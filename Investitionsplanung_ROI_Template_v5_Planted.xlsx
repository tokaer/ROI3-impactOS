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instellungen" sheetId="3" state="visible" r:id="rId3"/>
    <sheet xmlns:r="http://schemas.openxmlformats.org/officeDocument/2006/relationships" name="CAPEX_OPEX_Glossar" sheetId="4" state="visible" r:id="rId4"/>
    <sheet xmlns:r="http://schemas.openxmlformats.org/officeDocument/2006/relationships" name="Variablen" sheetId="5" state="visible" r:id="rId5"/>
    <sheet xmlns:r="http://schemas.openxmlformats.org/officeDocument/2006/relationships" name="Actions" sheetId="6" state="visible" r:id="rId6"/>
    <sheet xmlns:r="http://schemas.openxmlformats.org/officeDocument/2006/relationships" name="Helper" sheetId="7" state="hidden" r:id="rId7"/>
    <sheet xmlns:r="http://schemas.openxmlformats.org/officeDocument/2006/relationships" name="Action_Rechner" sheetId="8" state="visible" r:id="rId8"/>
    <sheet xmlns:r="http://schemas.openxmlformats.org/officeDocument/2006/relationships" name="Portfolio_Calc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MACC_KPI" sheetId="11" state="visible" r:id="rId11"/>
  </sheets>
  <definedNames>
    <definedName name="DiscountRate">Einstellungen!$B$3</definedName>
    <definedName name="HorizonYears">Einstellungen!$B$4</definedName>
    <definedName name="TaxRate">Einstellungen!$B$5</definedName>
    <definedName name="VariableNames">Variablen!$A$4:INDEX(Variablen!$A:$A,COUNTA(Variablen!$A:$A))</definedName>
    <definedName name="ActionIDs">Actions!$A$2:INDEX(Actions!$A:$A,COUNTA(Actions!$A:$A))</definedName>
    <definedName name="KPIList">Helper!$A$2#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9">
    <font>
      <name val="Calibri"/>
      <family val="2"/>
      <color theme="1"/>
      <sz val="11"/>
      <scheme val="minor"/>
    </font>
    <font>
      <name val="Saans Light"/>
      <color rgb="FF002616"/>
      <sz val="20"/>
    </font>
    <font>
      <name val="Saans"/>
      <i val="1"/>
      <color rgb="FF4D4D4D"/>
      <sz val="10"/>
    </font>
    <font>
      <name val="Saans"/>
      <b val="1"/>
      <color rgb="FF002616"/>
      <sz val="12"/>
    </font>
    <font>
      <name val="Saans"/>
      <b val="1"/>
      <color rgb="FFEBEBEB"/>
      <sz val="11"/>
    </font>
    <font>
      <name val="Saans"/>
      <b val="1"/>
      <color rgb="FF002616"/>
      <sz val="11"/>
    </font>
    <font>
      <name val="Saans"/>
      <color rgb="FF002616"/>
      <sz val="11"/>
    </font>
    <font>
      <name val="Saans Light"/>
      <color rgb="FF002616"/>
      <sz val="16"/>
    </font>
    <font>
      <name val="Saans"/>
      <color rgb="FF5D47FF"/>
      <sz val="11"/>
    </font>
  </fonts>
  <fills count="6">
    <fill>
      <patternFill/>
    </fill>
    <fill>
      <patternFill patternType="gray125"/>
    </fill>
    <fill>
      <patternFill patternType="solid">
        <fgColor rgb="FFDAC4FF"/>
      </patternFill>
    </fill>
    <fill>
      <patternFill patternType="solid">
        <fgColor rgb="FF002616"/>
      </patternFill>
    </fill>
    <fill>
      <patternFill patternType="solid">
        <fgColor rgb="FFFEF8BD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2" fontId="6" fillId="4" borderId="1" applyAlignment="1" pivotButton="0" quotePrefix="0" xfId="0">
      <alignment horizontal="right" vertical="center" wrapText="1"/>
    </xf>
    <xf numFmtId="1" fontId="6" fillId="4" borderId="1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2" fillId="0" borderId="0" pivotButton="0" quotePrefix="0" xfId="0"/>
    <xf numFmtId="0" fontId="6" fillId="4" borderId="1" applyAlignment="1" pivotButton="0" quotePrefix="0" xfId="0">
      <alignment horizontal="left" vertical="top" wrapText="1"/>
    </xf>
    <xf numFmtId="164" fontId="6" fillId="4" borderId="1" applyAlignment="1" pivotButton="0" quotePrefix="0" xfId="0">
      <alignment horizontal="right" vertical="center" wrapText="1"/>
    </xf>
    <xf numFmtId="164" fontId="6" fillId="0" borderId="1" applyAlignment="1" pivotButton="0" quotePrefix="0" xfId="0">
      <alignment horizontal="right" vertical="center" wrapText="1"/>
    </xf>
    <xf numFmtId="165" fontId="6" fillId="4" borderId="1" applyAlignment="1" pivotButton="0" quotePrefix="0" xfId="0">
      <alignment horizontal="right" vertical="center" wrapText="1"/>
    </xf>
    <xf numFmtId="3" fontId="6" fillId="4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8" fillId="0" borderId="1" applyAlignment="1" pivotButton="0" quotePrefix="0" xfId="0">
      <alignment horizontal="left" vertical="top" wrapText="1"/>
    </xf>
    <xf numFmtId="165" fontId="8" fillId="0" borderId="1" applyAlignment="1" pivotButton="0" quotePrefix="0" xfId="0">
      <alignment horizontal="right" vertical="center" wrapText="1"/>
    </xf>
    <xf numFmtId="3" fontId="8" fillId="0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1" fontId="8" fillId="0" borderId="1" applyAlignment="1" pivotButton="0" quotePrefix="0" xfId="0">
      <alignment horizontal="right" vertical="center" wrapText="1"/>
    </xf>
    <xf numFmtId="10" fontId="8" fillId="0" borderId="1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right" vertical="center" wrapText="1"/>
    </xf>
    <xf numFmtId="3" fontId="6" fillId="0" borderId="1" applyAlignment="1" pivotButton="0" quotePrefix="0" xfId="0">
      <alignment horizontal="right" vertical="center" wrapText="1"/>
    </xf>
    <xf numFmtId="3" fontId="6" fillId="5" borderId="1" applyAlignment="1" pivotButton="0" quotePrefix="0" xfId="0">
      <alignment horizontal="right" vertical="center" wrapText="1"/>
    </xf>
    <xf numFmtId="10" fontId="6" fillId="5" borderId="1" applyAlignment="1" pivotButton="0" quotePrefix="0" xfId="0">
      <alignment horizontal="right" vertical="center" wrapText="1"/>
    </xf>
    <xf numFmtId="1" fontId="6" fillId="5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10" fontId="6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top" wrapText="1"/>
    </xf>
    <xf numFmtId="1" fontId="6" fillId="2" borderId="1" applyAlignment="1" pivotButton="0" quotePrefix="0" xfId="0">
      <alignment horizontal="right" vertical="center" wrapText="1"/>
    </xf>
    <xf numFmtId="3" fontId="6" fillId="2" borderId="1" applyAlignment="1" pivotButton="0" quotePrefix="0" xfId="0">
      <alignment horizontal="right" vertical="center" wrapText="1"/>
    </xf>
    <xf numFmtId="165" fontId="6" fillId="0" borderId="1" applyAlignment="1" pivotButton="0" quotePrefix="0" xfId="0">
      <alignment horizontal="left" vertical="top" wrapText="1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Kumulierter Cashflow (Nachsteuer)</a:t>
            </a:r>
          </a:p>
        </rich>
      </tx>
    </title>
    <plotArea>
      <lineChart>
        <grouping val="standard"/>
        <ser>
          <idx val="0"/>
          <order val="0"/>
          <tx>
            <strRef>
              <f>'Action_Rechner'!K30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'Action_Rechner'!$B$31:$B$51</f>
            </numRef>
          </cat>
          <val>
            <numRef>
              <f>'Action_Rechner'!$K$31:$K$51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Kalenderjahr</a:t>
                </a:r>
              </a:p>
            </rich>
          </tx>
        </title>
        <numFmt formatCode="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numFmt formatCode="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NPV Nachsteuer je Action (Beispiel 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'Dashboard'!$B$10:$B$19</f>
            </numRef>
          </cat>
          <val>
            <numRef>
              <f>'Dashboard'!$J$10:$J$19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CAPEX je Action (Beispiel 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'Dashboard'!$B$10:$B$19</f>
            </numRef>
          </cat>
          <val>
            <numRef>
              <f>'Dashboard'!$H$10:$H$19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MACC Stufenlinie</a:t>
            </a:r>
          </a:p>
        </rich>
      </tx>
    </title>
    <plotArea>
      <scatterChart>
        <ser>
          <idx val="0"/>
          <order val="0"/>
          <tx>
            <v>MACC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'MACC_KPI'!$I$7:$I$106</f>
            </numRef>
          </xVal>
          <yVal>
            <numRef>
              <f>'MACC_KPI'!$J$7:$J$106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Kumulierte KPI-Reduktion (diskontiert)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MACC (€/Einheit KPI)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19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7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Glossar: Begriffe und Abkürzungen</t>
        </is>
      </c>
    </row>
    <row r="3">
      <c r="A3" s="2" t="inlineStr">
        <is>
          <t>Ziel: Kurze Erklärungen, damit auch Nicht-Finanzleute die Logik nachvollziehen können.</t>
        </is>
      </c>
    </row>
    <row r="5">
      <c r="A5" s="3" t="inlineStr">
        <is>
          <t>Begriffe</t>
        </is>
      </c>
    </row>
    <row r="6">
      <c r="A6" s="4" t="inlineStr">
        <is>
          <t>Begriff</t>
        </is>
      </c>
      <c r="B6" s="4" t="inlineStr">
        <is>
          <t>Erklärung</t>
        </is>
      </c>
    </row>
    <row r="7">
      <c r="A7" s="5" t="inlineStr">
        <is>
          <t>CAPEX</t>
        </is>
      </c>
      <c r="B7" s="6" t="inlineStr">
        <is>
          <t>Einmalige Investitionsausgaben (z.B. Hardware, Installation). In dieser Datei wird CAPEX in Jahr 0 als Auszahlung angesetzt.</t>
        </is>
      </c>
    </row>
    <row r="8">
      <c r="A8" s="5" t="inlineStr">
        <is>
          <t>OPEX</t>
        </is>
      </c>
      <c r="B8" s="6" t="inlineStr">
        <is>
          <t>Laufende Kosten pro Jahr (z.B. Wartung, Lizenzen). In dieser Datei starten OPEX ab Go-Live und werden im Go-Live-Jahr anteilig gerechnet.</t>
        </is>
      </c>
    </row>
    <row r="9">
      <c r="A9" s="5" t="inlineStr">
        <is>
          <t>ROI</t>
        </is>
      </c>
      <c r="B9" s="6" t="inlineStr">
        <is>
          <t>Return on Investment. Hier vereinfacht: Verhältnis von Netto-Nutzen zu (CAPEX + OPEX) über den Betrachtungszeitraum. Gut für einen schnellen Vergleich, aber weniger sauber als NPV.</t>
        </is>
      </c>
    </row>
    <row r="10">
      <c r="A10" s="5" t="inlineStr">
        <is>
          <t>NPV / Kapitalwert</t>
        </is>
      </c>
      <c r="B10" s="6" t="inlineStr">
        <is>
          <t>Summe aller zukünftigen Cashflows, abgezinst auf heute. Positiv bedeutet: wirtschaftlich attraktiv bei gegebenem Diskontsatz.</t>
        </is>
      </c>
    </row>
    <row r="11">
      <c r="A11" s="5" t="inlineStr">
        <is>
          <t>Diskontsatz</t>
        </is>
      </c>
      <c r="B11" s="6" t="inlineStr">
        <is>
          <t>Zinssatz, mit dem zukünftige Cashflows auf heute abgezinst werden (z.B. WACC). Höherer Diskontsatz macht zukünftige Nutzen weniger wert.</t>
        </is>
      </c>
    </row>
    <row r="12">
      <c r="A12" s="5" t="inlineStr">
        <is>
          <t>IRR</t>
        </is>
      </c>
      <c r="B12" s="6" t="inlineStr">
        <is>
          <t>Interner Zinsfuß. Der Diskontsatz, bei dem der Kapitalwert genau 0 ist. Hilft beim Vergleich von Projekten, kann aber bei untypischen Cashflows irreführend sein.</t>
        </is>
      </c>
    </row>
    <row r="13">
      <c r="A13" s="5" t="inlineStr">
        <is>
          <t>Payback / Amortisation</t>
        </is>
      </c>
      <c r="B13" s="6" t="inlineStr">
        <is>
          <t>Zeitpunkt, an dem die kumulierten Cashflows erstmals wieder positiv sind (Investition hat sich zurückgezahlt). Ignoriert Cashflows nach dem Payback und Diskontierung.</t>
        </is>
      </c>
    </row>
    <row r="14">
      <c r="A14" s="5" t="inlineStr">
        <is>
          <t>Go-Live</t>
        </is>
      </c>
      <c r="B14" s="6" t="inlineStr">
        <is>
          <t>Zeitpunkt, ab dem die Maßnahme wirkt und Nutzen sowie OPEX starten. In dieser Datei: Zieldatum.</t>
        </is>
      </c>
    </row>
    <row r="15">
      <c r="A15" s="5" t="inlineStr">
        <is>
          <t>Monetarisierung</t>
        </is>
      </c>
      <c r="B15" s="6" t="inlineStr">
        <is>
          <t>Übersetzung eines KPI-Impacts in Euro pro Einheit (z.B. EUR/kWh). Kann fix sein oder über eine Variable (z.B. Strompreis je Jahr).</t>
        </is>
      </c>
    </row>
    <row r="16">
      <c r="A16" s="5" t="inlineStr">
        <is>
          <t>Variable</t>
        </is>
      </c>
      <c r="B16" s="6" t="inlineStr">
        <is>
          <t>Zeitreihe mit Kalenderjahren (z.B. Strompreis 2020 bis 2055). Jede Variable hat ein eigenes Startjahr und einen eigenen Horizont.</t>
        </is>
      </c>
    </row>
    <row r="17">
      <c r="A17" s="5" t="inlineStr">
        <is>
          <t>MACC (pro KPI)</t>
        </is>
      </c>
      <c r="B17" s="6" t="inlineStr">
        <is>
          <t>Marginal Abatement Cost Curve. Hier: Kosten pro Einheit KPI-Reduktion (€/Einheit). Berechnet als -NPV / diskontierte KPI-Reduktion. MACC ist nur sinnvoll innerhalb eines KPI, weil Einheiten unterschiedlich sind.</t>
        </is>
      </c>
    </row>
  </sheetData>
  <mergeCells count="1"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ROI &amp; Investitionsplanung für Nachhaltigkeits-Actions (Vorlage v5)</t>
        </is>
      </c>
    </row>
    <row r="3">
      <c r="A3" s="8" t="inlineStr">
        <is>
          <t>Zweck: Pro Action und als Portfolio eine transparente Investitionsrechnung (NPV, IRR, ROI, Payback).</t>
        </is>
      </c>
    </row>
    <row r="4">
      <c r="A4" s="8" t="inlineStr">
        <is>
          <t>Neu: MACC wird pro Nachhaltigkeits-KPI dargestellt (nicht nur CO2).</t>
        </is>
      </c>
    </row>
    <row r="5">
      <c r="A5" s="8" t="inlineStr"/>
    </row>
    <row r="6">
      <c r="A6" s="8" t="inlineStr">
        <is>
          <t>Schritt-für-Schritt:</t>
        </is>
      </c>
    </row>
    <row r="7">
      <c r="A7" s="8" t="inlineStr">
        <is>
          <t>1) Trage Actions im Blatt „Actions“ ein. Blau sind Eingaben. Schwarzer Text sind Formeln oder automatisch gezogene Werte.</t>
        </is>
      </c>
    </row>
    <row r="8">
      <c r="A8" s="8" t="inlineStr">
        <is>
          <t>2) Trage bei Bedarf Variablen im Blatt „Variablen“ ein (z.B. Strompreis). Jede Variable hat eigenes Startjahr und eigenen Horizont.</t>
        </is>
      </c>
    </row>
    <row r="9">
      <c r="A9" s="8" t="inlineStr">
        <is>
          <t>3) Setze globale Annahmen in „Einstellungen“ (Diskontsatz, TaxRate, Horizont).</t>
        </is>
      </c>
    </row>
    <row r="10">
      <c r="A10" s="8" t="inlineStr">
        <is>
          <t>4) Nutze „Action_Rechner“ als Detailansicht je Action.</t>
        </is>
      </c>
    </row>
    <row r="11">
      <c r="A11" s="8" t="inlineStr">
        <is>
          <t>5) Nutze „Dashboard“ für die Portfolio-Übersicht und „MACC_KPI“ für MACC pro KPI.</t>
        </is>
      </c>
    </row>
    <row r="12">
      <c r="A12" s="8" t="inlineStr"/>
    </row>
    <row r="13">
      <c r="A13" s="8" t="inlineStr">
        <is>
          <t>Wichtige Modellannahmen:</t>
        </is>
      </c>
    </row>
    <row r="14">
      <c r="A14" s="8" t="inlineStr">
        <is>
          <t>• Nutzen und OPEX starten ab Go-Live (Zieldatum). Im Go-Live-Jahr anteilig nach Monaten: (12 - Monat(Go-Live) + 1) / 12.</t>
        </is>
      </c>
    </row>
    <row r="15">
      <c r="A15" s="8" t="inlineStr">
        <is>
          <t>• CAPEX wird als Auszahlung in Jahr 0 (relativ zum Startjahr) angesetzt.</t>
        </is>
      </c>
    </row>
    <row r="16">
      <c r="A16" s="8" t="inlineStr">
        <is>
          <t>• Abschreibung beeinflusst Cashflows nur über Steuern. Wenn du keine Steuerlogik willst: TaxRate = 0.</t>
        </is>
      </c>
    </row>
    <row r="17">
      <c r="A17" s="8" t="inlineStr">
        <is>
          <t>• Variablen-Matching: Jede Cashflow-Zeile nutzt den Variablenwert des gleichen Kalenderjahres.</t>
        </is>
      </c>
    </row>
    <row r="18">
      <c r="A18" s="8" t="inlineStr"/>
    </row>
    <row r="19">
      <c r="A19" s="8" t="inlineStr">
        <is>
          <t>Komplexität bewusst niedrig: Das Modell priorisiert Actions. Für Investitionsfreigaben brauchst du in der Praxis oft mehr Details (Timing von CAPEX, Ramp-up, Risiken, Sensitivitäten).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85" customWidth="1" min="3" max="3"/>
  </cols>
  <sheetData>
    <row r="1">
      <c r="A1" s="9" t="inlineStr">
        <is>
          <t>Globale Annahmen</t>
        </is>
      </c>
    </row>
    <row r="3">
      <c r="A3" s="5" t="inlineStr">
        <is>
          <t>Diskontsatz (WACC/Discount Rate)</t>
        </is>
      </c>
      <c r="B3" s="10" t="n">
        <v>0.08</v>
      </c>
      <c r="C3" s="6" t="inlineStr">
        <is>
          <t>Dezimal, z.B. 0,08 für 8%</t>
        </is>
      </c>
    </row>
    <row r="4">
      <c r="A4" s="5" t="inlineStr">
        <is>
          <t>Cashflow-Horizont (Jahre)</t>
        </is>
      </c>
      <c r="B4" s="11" t="n">
        <v>10</v>
      </c>
      <c r="C4" s="6" t="inlineStr">
        <is>
          <t>max 20 (in Cashflow-Tabellen)</t>
        </is>
      </c>
    </row>
    <row r="5">
      <c r="A5" s="5" t="inlineStr">
        <is>
          <t>TaxRate (Steuersatz)</t>
        </is>
      </c>
      <c r="B5" s="10" t="n">
        <v>0.3</v>
      </c>
      <c r="C5" s="6" t="inlineStr">
        <is>
          <t>0 setzen, wenn du Steuern/Abschreibung ignorieren willst</t>
        </is>
      </c>
    </row>
    <row r="6">
      <c r="A6" s="5" t="inlineStr">
        <is>
          <t>Währung</t>
        </is>
      </c>
      <c r="B6" s="12" t="inlineStr">
        <is>
          <t>EUR</t>
        </is>
      </c>
      <c r="C6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2" customWidth="1" min="2" max="2"/>
  </cols>
  <sheetData>
    <row r="1">
      <c r="A1" s="9" t="inlineStr">
        <is>
          <t>CAPEX und OPEX (Orientierung)</t>
        </is>
      </c>
    </row>
    <row r="3">
      <c r="A3" s="4" t="inlineStr">
        <is>
          <t>Kategorie</t>
        </is>
      </c>
      <c r="B3" s="4" t="inlineStr">
        <is>
          <t>Typische Inhalte</t>
        </is>
      </c>
    </row>
    <row r="4">
      <c r="A4" s="5" t="inlineStr">
        <is>
          <t>CAPEX Equipment</t>
        </is>
      </c>
      <c r="B4" s="6" t="inlineStr">
        <is>
          <t>Maschinen, Hardware, Anlagen, Sensorik, Ersatzinvestitionen, Gebäudeanpassungen</t>
        </is>
      </c>
    </row>
    <row r="5">
      <c r="A5" s="5" t="inlineStr">
        <is>
          <t>CAPEX Installation</t>
        </is>
      </c>
      <c r="B5" s="6" t="inlineStr">
        <is>
          <t>Montage, Inbetriebnahme, Umbauten, Projektmanagement (einmalig)</t>
        </is>
      </c>
    </row>
    <row r="6">
      <c r="A6" s="5" t="inlineStr">
        <is>
          <t>CAPEX Software</t>
        </is>
      </c>
      <c r="B6" s="6" t="inlineStr">
        <is>
          <t>Einmalige Software-Käufe, Implementierung, Setup, Integrationsaufwand</t>
        </is>
      </c>
    </row>
    <row r="7">
      <c r="A7" s="5" t="inlineStr">
        <is>
          <t>CAPEX Beratung</t>
        </is>
      </c>
      <c r="B7" s="6" t="inlineStr">
        <is>
          <t>Externe Beratung, Engineering, Audits (einmalig)</t>
        </is>
      </c>
    </row>
    <row r="8">
      <c r="A8" s="5" t="inlineStr">
        <is>
          <t>CAPEX Sonstiges</t>
        </is>
      </c>
      <c r="B8" s="6" t="inlineStr">
        <is>
          <t>Schulung (einmalig), Genehmigungen, Messkonzept-Aufbau, sonstige Einmalaufwände</t>
        </is>
      </c>
    </row>
    <row r="9">
      <c r="A9" s="5" t="inlineStr">
        <is>
          <t>OPEX Wartung</t>
        </is>
      </c>
      <c r="B9" s="6" t="inlineStr">
        <is>
          <t>Wartung, Ersatzteile, Service, Kalibrierung</t>
        </is>
      </c>
    </row>
    <row r="10">
      <c r="A10" s="5" t="inlineStr">
        <is>
          <t>OPEX Lizenzen</t>
        </is>
      </c>
      <c r="B10" s="6" t="inlineStr">
        <is>
          <t>SaaS-Abos, laufende Software-Lizenzen</t>
        </is>
      </c>
    </row>
    <row r="11">
      <c r="A11" s="5" t="inlineStr">
        <is>
          <t>OPEX Personal</t>
        </is>
      </c>
      <c r="B11" s="6" t="inlineStr">
        <is>
          <t>Betrieb, Monitoring, Reporting, zusätzliche interne Kapazität</t>
        </is>
      </c>
    </row>
    <row r="12">
      <c r="A12" s="5" t="inlineStr">
        <is>
          <t>OPEX Sonstiges</t>
        </is>
      </c>
      <c r="B12" s="6" t="inlineStr">
        <is>
          <t>Versicherung, Miete, Gebühren, sonstige Betriebskosten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22" customWidth="1" min="4" max="4"/>
    <col width="10" customWidth="1" min="5" max="5"/>
    <col width="14" customWidth="1" min="6" max="6"/>
    <col width="16" customWidth="1" min="7" max="7"/>
    <col width="1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</cols>
  <sheetData>
    <row r="1">
      <c r="A1" s="9" t="inlineStr">
        <is>
          <t>Variablen (kalenderjahresbasiert, pro Variable eigenes Startjahr &amp; Horizont)</t>
        </is>
      </c>
    </row>
    <row r="2">
      <c r="A2" s="13" t="inlineStr">
        <is>
          <t>Vor Startjahr: leer. Nach Ende (Startjahr + Horizont): konstant. Methode Manuell: Werte direkt in Jahres-Spalten überschreiben.</t>
        </is>
      </c>
    </row>
    <row r="3">
      <c r="A3" s="4" t="inlineStr">
        <is>
          <t>Variable Name</t>
        </is>
      </c>
      <c r="B3" s="4" t="inlineStr">
        <is>
          <t>Beschreibung</t>
        </is>
      </c>
      <c r="C3" s="4" t="inlineStr">
        <is>
          <t>Einheit</t>
        </is>
      </c>
      <c r="D3" s="4" t="inlineStr">
        <is>
          <t>Methode (Fix/CAGR/Manuell)</t>
        </is>
      </c>
      <c r="E3" s="4" t="inlineStr">
        <is>
          <t>Startjahr</t>
        </is>
      </c>
      <c r="F3" s="4" t="inlineStr">
        <is>
          <t>Horizont (Jahre)</t>
        </is>
      </c>
      <c r="G3" s="4" t="inlineStr">
        <is>
          <t>Wert im Startjahr</t>
        </is>
      </c>
      <c r="H3" s="4" t="inlineStr">
        <is>
          <t>Wachstum p.a. (CAGR)</t>
        </is>
      </c>
      <c r="I3" s="4" t="inlineStr">
        <is>
          <t>2018</t>
        </is>
      </c>
      <c r="J3" s="4" t="inlineStr">
        <is>
          <t>2019</t>
        </is>
      </c>
      <c r="K3" s="4" t="inlineStr">
        <is>
          <t>2020</t>
        </is>
      </c>
      <c r="L3" s="4" t="inlineStr">
        <is>
          <t>2021</t>
        </is>
      </c>
      <c r="M3" s="4" t="inlineStr">
        <is>
          <t>2022</t>
        </is>
      </c>
      <c r="N3" s="4" t="inlineStr">
        <is>
          <t>2023</t>
        </is>
      </c>
      <c r="O3" s="4" t="inlineStr">
        <is>
          <t>2024</t>
        </is>
      </c>
      <c r="P3" s="4" t="inlineStr">
        <is>
          <t>2025</t>
        </is>
      </c>
      <c r="Q3" s="4" t="inlineStr">
        <is>
          <t>2026</t>
        </is>
      </c>
      <c r="R3" s="4" t="inlineStr">
        <is>
          <t>2027</t>
        </is>
      </c>
      <c r="S3" s="4" t="inlineStr">
        <is>
          <t>2028</t>
        </is>
      </c>
      <c r="T3" s="4" t="inlineStr">
        <is>
          <t>2029</t>
        </is>
      </c>
      <c r="U3" s="4" t="inlineStr">
        <is>
          <t>2030</t>
        </is>
      </c>
      <c r="V3" s="4" t="inlineStr">
        <is>
          <t>2031</t>
        </is>
      </c>
      <c r="W3" s="4" t="inlineStr">
        <is>
          <t>2032</t>
        </is>
      </c>
      <c r="X3" s="4" t="inlineStr">
        <is>
          <t>2033</t>
        </is>
      </c>
      <c r="Y3" s="4" t="inlineStr">
        <is>
          <t>2034</t>
        </is>
      </c>
      <c r="Z3" s="4" t="inlineStr">
        <is>
          <t>2035</t>
        </is>
      </c>
      <c r="AA3" s="4" t="inlineStr">
        <is>
          <t>2036</t>
        </is>
      </c>
      <c r="AB3" s="4" t="inlineStr">
        <is>
          <t>2037</t>
        </is>
      </c>
      <c r="AC3" s="4" t="inlineStr">
        <is>
          <t>2038</t>
        </is>
      </c>
      <c r="AD3" s="4" t="inlineStr">
        <is>
          <t>2039</t>
        </is>
      </c>
      <c r="AE3" s="4" t="inlineStr">
        <is>
          <t>2040</t>
        </is>
      </c>
      <c r="AF3" s="4" t="inlineStr">
        <is>
          <t>2041</t>
        </is>
      </c>
      <c r="AG3" s="4" t="inlineStr">
        <is>
          <t>2042</t>
        </is>
      </c>
      <c r="AH3" s="4" t="inlineStr">
        <is>
          <t>2043</t>
        </is>
      </c>
      <c r="AI3" s="4" t="inlineStr">
        <is>
          <t>2044</t>
        </is>
      </c>
      <c r="AJ3" s="4" t="inlineStr">
        <is>
          <t>2045</t>
        </is>
      </c>
      <c r="AK3" s="4" t="inlineStr">
        <is>
          <t>2046</t>
        </is>
      </c>
      <c r="AL3" s="4" t="inlineStr">
        <is>
          <t>2047</t>
        </is>
      </c>
      <c r="AM3" s="4" t="inlineStr">
        <is>
          <t>2048</t>
        </is>
      </c>
      <c r="AN3" s="4" t="inlineStr">
        <is>
          <t>2049</t>
        </is>
      </c>
      <c r="AO3" s="4" t="inlineStr">
        <is>
          <t>2050</t>
        </is>
      </c>
      <c r="AP3" s="4" t="inlineStr">
        <is>
          <t>2051</t>
        </is>
      </c>
      <c r="AQ3" s="4" t="inlineStr">
        <is>
          <t>2052</t>
        </is>
      </c>
      <c r="AR3" s="4" t="inlineStr">
        <is>
          <t>2053</t>
        </is>
      </c>
      <c r="AS3" s="4" t="inlineStr">
        <is>
          <t>2054</t>
        </is>
      </c>
      <c r="AT3" s="4" t="inlineStr">
        <is>
          <t>2055</t>
        </is>
      </c>
    </row>
    <row r="4">
      <c r="A4" s="14" t="inlineStr">
        <is>
          <t>Strompreis</t>
        </is>
      </c>
      <c r="B4" s="14" t="inlineStr">
        <is>
          <t>Strompreis</t>
        </is>
      </c>
      <c r="C4" s="14" t="inlineStr">
        <is>
          <t>EUR/kWh</t>
        </is>
      </c>
      <c r="D4" s="14" t="inlineStr">
        <is>
          <t>CAGR</t>
        </is>
      </c>
      <c r="E4" s="11" t="n">
        <v>2020</v>
      </c>
      <c r="F4" s="11" t="n">
        <v>25</v>
      </c>
      <c r="G4" s="15" t="n">
        <v>0.22</v>
      </c>
      <c r="H4" s="15" t="n">
        <v>0.03</v>
      </c>
      <c r="I4" s="16">
        <f>IF($A4="","",IF(2018&lt;$E4,"",IF($D4="Manuell","",IF(2018&gt;$E4+$F4,IF($D4="Fix",$G4,$G4*(1+$H4)^($F4)),IF($D4="Fix",$G4,$G4*(1+$H4)^(2018-$E4))))))</f>
        <v/>
      </c>
      <c r="J4" s="16">
        <f>IF($A4="","",IF(2019&lt;$E4,"",IF($D4="Manuell","",IF(2019&gt;$E4+$F4,IF($D4="Fix",$G4,$G4*(1+$H4)^($F4)),IF($D4="Fix",$G4,$G4*(1+$H4)^(2019-$E4))))))</f>
        <v/>
      </c>
      <c r="K4" s="16">
        <f>IF($A4="","",IF(2020&lt;$E4,"",IF($D4="Manuell","",IF(2020&gt;$E4+$F4,IF($D4="Fix",$G4,$G4*(1+$H4)^($F4)),IF($D4="Fix",$G4,$G4*(1+$H4)^(2020-$E4))))))</f>
        <v/>
      </c>
      <c r="L4" s="16">
        <f>IF($A4="","",IF(2021&lt;$E4,"",IF($D4="Manuell","",IF(2021&gt;$E4+$F4,IF($D4="Fix",$G4,$G4*(1+$H4)^($F4)),IF($D4="Fix",$G4,$G4*(1+$H4)^(2021-$E4))))))</f>
        <v/>
      </c>
      <c r="M4" s="16">
        <f>IF($A4="","",IF(2022&lt;$E4,"",IF($D4="Manuell","",IF(2022&gt;$E4+$F4,IF($D4="Fix",$G4,$G4*(1+$H4)^($F4)),IF($D4="Fix",$G4,$G4*(1+$H4)^(2022-$E4))))))</f>
        <v/>
      </c>
      <c r="N4" s="16">
        <f>IF($A4="","",IF(2023&lt;$E4,"",IF($D4="Manuell","",IF(2023&gt;$E4+$F4,IF($D4="Fix",$G4,$G4*(1+$H4)^($F4)),IF($D4="Fix",$G4,$G4*(1+$H4)^(2023-$E4))))))</f>
        <v/>
      </c>
      <c r="O4" s="16">
        <f>IF($A4="","",IF(2024&lt;$E4,"",IF($D4="Manuell","",IF(2024&gt;$E4+$F4,IF($D4="Fix",$G4,$G4*(1+$H4)^($F4)),IF($D4="Fix",$G4,$G4*(1+$H4)^(2024-$E4))))))</f>
        <v/>
      </c>
      <c r="P4" s="16">
        <f>IF($A4="","",IF(2025&lt;$E4,"",IF($D4="Manuell","",IF(2025&gt;$E4+$F4,IF($D4="Fix",$G4,$G4*(1+$H4)^($F4)),IF($D4="Fix",$G4,$G4*(1+$H4)^(2025-$E4))))))</f>
        <v/>
      </c>
      <c r="Q4" s="16">
        <f>IF($A4="","",IF(2026&lt;$E4,"",IF($D4="Manuell","",IF(2026&gt;$E4+$F4,IF($D4="Fix",$G4,$G4*(1+$H4)^($F4)),IF($D4="Fix",$G4,$G4*(1+$H4)^(2026-$E4))))))</f>
        <v/>
      </c>
      <c r="R4" s="16">
        <f>IF($A4="","",IF(2027&lt;$E4,"",IF($D4="Manuell","",IF(2027&gt;$E4+$F4,IF($D4="Fix",$G4,$G4*(1+$H4)^($F4)),IF($D4="Fix",$G4,$G4*(1+$H4)^(2027-$E4))))))</f>
        <v/>
      </c>
      <c r="S4" s="16">
        <f>IF($A4="","",IF(2028&lt;$E4,"",IF($D4="Manuell","",IF(2028&gt;$E4+$F4,IF($D4="Fix",$G4,$G4*(1+$H4)^($F4)),IF($D4="Fix",$G4,$G4*(1+$H4)^(2028-$E4))))))</f>
        <v/>
      </c>
      <c r="T4" s="16">
        <f>IF($A4="","",IF(2029&lt;$E4,"",IF($D4="Manuell","",IF(2029&gt;$E4+$F4,IF($D4="Fix",$G4,$G4*(1+$H4)^($F4)),IF($D4="Fix",$G4,$G4*(1+$H4)^(2029-$E4))))))</f>
        <v/>
      </c>
      <c r="U4" s="16">
        <f>IF($A4="","",IF(2030&lt;$E4,"",IF($D4="Manuell","",IF(2030&gt;$E4+$F4,IF($D4="Fix",$G4,$G4*(1+$H4)^($F4)),IF($D4="Fix",$G4,$G4*(1+$H4)^(2030-$E4))))))</f>
        <v/>
      </c>
      <c r="V4" s="16">
        <f>IF($A4="","",IF(2031&lt;$E4,"",IF($D4="Manuell","",IF(2031&gt;$E4+$F4,IF($D4="Fix",$G4,$G4*(1+$H4)^($F4)),IF($D4="Fix",$G4,$G4*(1+$H4)^(2031-$E4))))))</f>
        <v/>
      </c>
      <c r="W4" s="16">
        <f>IF($A4="","",IF(2032&lt;$E4,"",IF($D4="Manuell","",IF(2032&gt;$E4+$F4,IF($D4="Fix",$G4,$G4*(1+$H4)^($F4)),IF($D4="Fix",$G4,$G4*(1+$H4)^(2032-$E4))))))</f>
        <v/>
      </c>
      <c r="X4" s="16">
        <f>IF($A4="","",IF(2033&lt;$E4,"",IF($D4="Manuell","",IF(2033&gt;$E4+$F4,IF($D4="Fix",$G4,$G4*(1+$H4)^($F4)),IF($D4="Fix",$G4,$G4*(1+$H4)^(2033-$E4))))))</f>
        <v/>
      </c>
      <c r="Y4" s="16">
        <f>IF($A4="","",IF(2034&lt;$E4,"",IF($D4="Manuell","",IF(2034&gt;$E4+$F4,IF($D4="Fix",$G4,$G4*(1+$H4)^($F4)),IF($D4="Fix",$G4,$G4*(1+$H4)^(2034-$E4))))))</f>
        <v/>
      </c>
      <c r="Z4" s="16">
        <f>IF($A4="","",IF(2035&lt;$E4,"",IF($D4="Manuell","",IF(2035&gt;$E4+$F4,IF($D4="Fix",$G4,$G4*(1+$H4)^($F4)),IF($D4="Fix",$G4,$G4*(1+$H4)^(2035-$E4))))))</f>
        <v/>
      </c>
      <c r="AA4" s="16">
        <f>IF($A4="","",IF(2036&lt;$E4,"",IF($D4="Manuell","",IF(2036&gt;$E4+$F4,IF($D4="Fix",$G4,$G4*(1+$H4)^($F4)),IF($D4="Fix",$G4,$G4*(1+$H4)^(2036-$E4))))))</f>
        <v/>
      </c>
      <c r="AB4" s="16">
        <f>IF($A4="","",IF(2037&lt;$E4,"",IF($D4="Manuell","",IF(2037&gt;$E4+$F4,IF($D4="Fix",$G4,$G4*(1+$H4)^($F4)),IF($D4="Fix",$G4,$G4*(1+$H4)^(2037-$E4))))))</f>
        <v/>
      </c>
      <c r="AC4" s="16">
        <f>IF($A4="","",IF(2038&lt;$E4,"",IF($D4="Manuell","",IF(2038&gt;$E4+$F4,IF($D4="Fix",$G4,$G4*(1+$H4)^($F4)),IF($D4="Fix",$G4,$G4*(1+$H4)^(2038-$E4))))))</f>
        <v/>
      </c>
      <c r="AD4" s="16">
        <f>IF($A4="","",IF(2039&lt;$E4,"",IF($D4="Manuell","",IF(2039&gt;$E4+$F4,IF($D4="Fix",$G4,$G4*(1+$H4)^($F4)),IF($D4="Fix",$G4,$G4*(1+$H4)^(2039-$E4))))))</f>
        <v/>
      </c>
      <c r="AE4" s="16">
        <f>IF($A4="","",IF(2040&lt;$E4,"",IF($D4="Manuell","",IF(2040&gt;$E4+$F4,IF($D4="Fix",$G4,$G4*(1+$H4)^($F4)),IF($D4="Fix",$G4,$G4*(1+$H4)^(2040-$E4))))))</f>
        <v/>
      </c>
      <c r="AF4" s="16">
        <f>IF($A4="","",IF(2041&lt;$E4,"",IF($D4="Manuell","",IF(2041&gt;$E4+$F4,IF($D4="Fix",$G4,$G4*(1+$H4)^($F4)),IF($D4="Fix",$G4,$G4*(1+$H4)^(2041-$E4))))))</f>
        <v/>
      </c>
      <c r="AG4" s="16">
        <f>IF($A4="","",IF(2042&lt;$E4,"",IF($D4="Manuell","",IF(2042&gt;$E4+$F4,IF($D4="Fix",$G4,$G4*(1+$H4)^($F4)),IF($D4="Fix",$G4,$G4*(1+$H4)^(2042-$E4))))))</f>
        <v/>
      </c>
      <c r="AH4" s="16">
        <f>IF($A4="","",IF(2043&lt;$E4,"",IF($D4="Manuell","",IF(2043&gt;$E4+$F4,IF($D4="Fix",$G4,$G4*(1+$H4)^($F4)),IF($D4="Fix",$G4,$G4*(1+$H4)^(2043-$E4))))))</f>
        <v/>
      </c>
      <c r="AI4" s="16">
        <f>IF($A4="","",IF(2044&lt;$E4,"",IF($D4="Manuell","",IF(2044&gt;$E4+$F4,IF($D4="Fix",$G4,$G4*(1+$H4)^($F4)),IF($D4="Fix",$G4,$G4*(1+$H4)^(2044-$E4))))))</f>
        <v/>
      </c>
      <c r="AJ4" s="16">
        <f>IF($A4="","",IF(2045&lt;$E4,"",IF($D4="Manuell","",IF(2045&gt;$E4+$F4,IF($D4="Fix",$G4,$G4*(1+$H4)^($F4)),IF($D4="Fix",$G4,$G4*(1+$H4)^(2045-$E4))))))</f>
        <v/>
      </c>
      <c r="AK4" s="16">
        <f>IF($A4="","",IF(2046&lt;$E4,"",IF($D4="Manuell","",IF(2046&gt;$E4+$F4,IF($D4="Fix",$G4,$G4*(1+$H4)^($F4)),IF($D4="Fix",$G4,$G4*(1+$H4)^(2046-$E4))))))</f>
        <v/>
      </c>
      <c r="AL4" s="16">
        <f>IF($A4="","",IF(2047&lt;$E4,"",IF($D4="Manuell","",IF(2047&gt;$E4+$F4,IF($D4="Fix",$G4,$G4*(1+$H4)^($F4)),IF($D4="Fix",$G4,$G4*(1+$H4)^(2047-$E4))))))</f>
        <v/>
      </c>
      <c r="AM4" s="16">
        <f>IF($A4="","",IF(2048&lt;$E4,"",IF($D4="Manuell","",IF(2048&gt;$E4+$F4,IF($D4="Fix",$G4,$G4*(1+$H4)^($F4)),IF($D4="Fix",$G4,$G4*(1+$H4)^(2048-$E4))))))</f>
        <v/>
      </c>
      <c r="AN4" s="16">
        <f>IF($A4="","",IF(2049&lt;$E4,"",IF($D4="Manuell","",IF(2049&gt;$E4+$F4,IF($D4="Fix",$G4,$G4*(1+$H4)^($F4)),IF($D4="Fix",$G4,$G4*(1+$H4)^(2049-$E4))))))</f>
        <v/>
      </c>
      <c r="AO4" s="16">
        <f>IF($A4="","",IF(2050&lt;$E4,"",IF($D4="Manuell","",IF(2050&gt;$E4+$F4,IF($D4="Fix",$G4,$G4*(1+$H4)^($F4)),IF($D4="Fix",$G4,$G4*(1+$H4)^(2050-$E4))))))</f>
        <v/>
      </c>
      <c r="AP4" s="16">
        <f>IF($A4="","",IF(2051&lt;$E4,"",IF($D4="Manuell","",IF(2051&gt;$E4+$F4,IF($D4="Fix",$G4,$G4*(1+$H4)^($F4)),IF($D4="Fix",$G4,$G4*(1+$H4)^(2051-$E4))))))</f>
        <v/>
      </c>
      <c r="AQ4" s="16">
        <f>IF($A4="","",IF(2052&lt;$E4,"",IF($D4="Manuell","",IF(2052&gt;$E4+$F4,IF($D4="Fix",$G4,$G4*(1+$H4)^($F4)),IF($D4="Fix",$G4,$G4*(1+$H4)^(2052-$E4))))))</f>
        <v/>
      </c>
      <c r="AR4" s="16">
        <f>IF($A4="","",IF(2053&lt;$E4,"",IF($D4="Manuell","",IF(2053&gt;$E4+$F4,IF($D4="Fix",$G4,$G4*(1+$H4)^($F4)),IF($D4="Fix",$G4,$G4*(1+$H4)^(2053-$E4))))))</f>
        <v/>
      </c>
      <c r="AS4" s="16">
        <f>IF($A4="","",IF(2054&lt;$E4,"",IF($D4="Manuell","",IF(2054&gt;$E4+$F4,IF($D4="Fix",$G4,$G4*(1+$H4)^($F4)),IF($D4="Fix",$G4,$G4*(1+$H4)^(2054-$E4))))))</f>
        <v/>
      </c>
      <c r="AT4" s="16">
        <f>IF($A4="","",IF(2055&lt;$E4,"",IF($D4="Manuell","",IF(2055&gt;$E4+$F4,IF($D4="Fix",$G4,$G4*(1+$H4)^($F4)),IF($D4="Fix",$G4,$G4*(1+$H4)^(2055-$E4))))))</f>
        <v/>
      </c>
    </row>
    <row r="5">
      <c r="A5" s="14" t="inlineStr">
        <is>
          <t>Gaspreis</t>
        </is>
      </c>
      <c r="B5" s="14" t="inlineStr">
        <is>
          <t>Gaspreis</t>
        </is>
      </c>
      <c r="C5" s="14" t="inlineStr">
        <is>
          <t>EUR/kWh</t>
        </is>
      </c>
      <c r="D5" s="14" t="inlineStr">
        <is>
          <t>CAGR</t>
        </is>
      </c>
      <c r="E5" s="11" t="n">
        <v>2020</v>
      </c>
      <c r="F5" s="11" t="n">
        <v>25</v>
      </c>
      <c r="G5" s="15" t="n">
        <v>0.07000000000000001</v>
      </c>
      <c r="H5" s="15" t="n">
        <v>0.02</v>
      </c>
      <c r="I5" s="16">
        <f>IF($A5="","",IF(2018&lt;$E5,"",IF($D5="Manuell","",IF(2018&gt;$E5+$F5,IF($D5="Fix",$G5,$G5*(1+$H5)^($F5)),IF($D5="Fix",$G5,$G5*(1+$H5)^(2018-$E5))))))</f>
        <v/>
      </c>
      <c r="J5" s="16">
        <f>IF($A5="","",IF(2019&lt;$E5,"",IF($D5="Manuell","",IF(2019&gt;$E5+$F5,IF($D5="Fix",$G5,$G5*(1+$H5)^($F5)),IF($D5="Fix",$G5,$G5*(1+$H5)^(2019-$E5))))))</f>
        <v/>
      </c>
      <c r="K5" s="16">
        <f>IF($A5="","",IF(2020&lt;$E5,"",IF($D5="Manuell","",IF(2020&gt;$E5+$F5,IF($D5="Fix",$G5,$G5*(1+$H5)^($F5)),IF($D5="Fix",$G5,$G5*(1+$H5)^(2020-$E5))))))</f>
        <v/>
      </c>
      <c r="L5" s="16">
        <f>IF($A5="","",IF(2021&lt;$E5,"",IF($D5="Manuell","",IF(2021&gt;$E5+$F5,IF($D5="Fix",$G5,$G5*(1+$H5)^($F5)),IF($D5="Fix",$G5,$G5*(1+$H5)^(2021-$E5))))))</f>
        <v/>
      </c>
      <c r="M5" s="16">
        <f>IF($A5="","",IF(2022&lt;$E5,"",IF($D5="Manuell","",IF(2022&gt;$E5+$F5,IF($D5="Fix",$G5,$G5*(1+$H5)^($F5)),IF($D5="Fix",$G5,$G5*(1+$H5)^(2022-$E5))))))</f>
        <v/>
      </c>
      <c r="N5" s="16">
        <f>IF($A5="","",IF(2023&lt;$E5,"",IF($D5="Manuell","",IF(2023&gt;$E5+$F5,IF($D5="Fix",$G5,$G5*(1+$H5)^($F5)),IF($D5="Fix",$G5,$G5*(1+$H5)^(2023-$E5))))))</f>
        <v/>
      </c>
      <c r="O5" s="16">
        <f>IF($A5="","",IF(2024&lt;$E5,"",IF($D5="Manuell","",IF(2024&gt;$E5+$F5,IF($D5="Fix",$G5,$G5*(1+$H5)^($F5)),IF($D5="Fix",$G5,$G5*(1+$H5)^(2024-$E5))))))</f>
        <v/>
      </c>
      <c r="P5" s="16">
        <f>IF($A5="","",IF(2025&lt;$E5,"",IF($D5="Manuell","",IF(2025&gt;$E5+$F5,IF($D5="Fix",$G5,$G5*(1+$H5)^($F5)),IF($D5="Fix",$G5,$G5*(1+$H5)^(2025-$E5))))))</f>
        <v/>
      </c>
      <c r="Q5" s="16">
        <f>IF($A5="","",IF(2026&lt;$E5,"",IF($D5="Manuell","",IF(2026&gt;$E5+$F5,IF($D5="Fix",$G5,$G5*(1+$H5)^($F5)),IF($D5="Fix",$G5,$G5*(1+$H5)^(2026-$E5))))))</f>
        <v/>
      </c>
      <c r="R5" s="16">
        <f>IF($A5="","",IF(2027&lt;$E5,"",IF($D5="Manuell","",IF(2027&gt;$E5+$F5,IF($D5="Fix",$G5,$G5*(1+$H5)^($F5)),IF($D5="Fix",$G5,$G5*(1+$H5)^(2027-$E5))))))</f>
        <v/>
      </c>
      <c r="S5" s="16">
        <f>IF($A5="","",IF(2028&lt;$E5,"",IF($D5="Manuell","",IF(2028&gt;$E5+$F5,IF($D5="Fix",$G5,$G5*(1+$H5)^($F5)),IF($D5="Fix",$G5,$G5*(1+$H5)^(2028-$E5))))))</f>
        <v/>
      </c>
      <c r="T5" s="16">
        <f>IF($A5="","",IF(2029&lt;$E5,"",IF($D5="Manuell","",IF(2029&gt;$E5+$F5,IF($D5="Fix",$G5,$G5*(1+$H5)^($F5)),IF($D5="Fix",$G5,$G5*(1+$H5)^(2029-$E5))))))</f>
        <v/>
      </c>
      <c r="U5" s="16">
        <f>IF($A5="","",IF(2030&lt;$E5,"",IF($D5="Manuell","",IF(2030&gt;$E5+$F5,IF($D5="Fix",$G5,$G5*(1+$H5)^($F5)),IF($D5="Fix",$G5,$G5*(1+$H5)^(2030-$E5))))))</f>
        <v/>
      </c>
      <c r="V5" s="16">
        <f>IF($A5="","",IF(2031&lt;$E5,"",IF($D5="Manuell","",IF(2031&gt;$E5+$F5,IF($D5="Fix",$G5,$G5*(1+$H5)^($F5)),IF($D5="Fix",$G5,$G5*(1+$H5)^(2031-$E5))))))</f>
        <v/>
      </c>
      <c r="W5" s="16">
        <f>IF($A5="","",IF(2032&lt;$E5,"",IF($D5="Manuell","",IF(2032&gt;$E5+$F5,IF($D5="Fix",$G5,$G5*(1+$H5)^($F5)),IF($D5="Fix",$G5,$G5*(1+$H5)^(2032-$E5))))))</f>
        <v/>
      </c>
      <c r="X5" s="16">
        <f>IF($A5="","",IF(2033&lt;$E5,"",IF($D5="Manuell","",IF(2033&gt;$E5+$F5,IF($D5="Fix",$G5,$G5*(1+$H5)^($F5)),IF($D5="Fix",$G5,$G5*(1+$H5)^(2033-$E5))))))</f>
        <v/>
      </c>
      <c r="Y5" s="16">
        <f>IF($A5="","",IF(2034&lt;$E5,"",IF($D5="Manuell","",IF(2034&gt;$E5+$F5,IF($D5="Fix",$G5,$G5*(1+$H5)^($F5)),IF($D5="Fix",$G5,$G5*(1+$H5)^(2034-$E5))))))</f>
        <v/>
      </c>
      <c r="Z5" s="16">
        <f>IF($A5="","",IF(2035&lt;$E5,"",IF($D5="Manuell","",IF(2035&gt;$E5+$F5,IF($D5="Fix",$G5,$G5*(1+$H5)^($F5)),IF($D5="Fix",$G5,$G5*(1+$H5)^(2035-$E5))))))</f>
        <v/>
      </c>
      <c r="AA5" s="16">
        <f>IF($A5="","",IF(2036&lt;$E5,"",IF($D5="Manuell","",IF(2036&gt;$E5+$F5,IF($D5="Fix",$G5,$G5*(1+$H5)^($F5)),IF($D5="Fix",$G5,$G5*(1+$H5)^(2036-$E5))))))</f>
        <v/>
      </c>
      <c r="AB5" s="16">
        <f>IF($A5="","",IF(2037&lt;$E5,"",IF($D5="Manuell","",IF(2037&gt;$E5+$F5,IF($D5="Fix",$G5,$G5*(1+$H5)^($F5)),IF($D5="Fix",$G5,$G5*(1+$H5)^(2037-$E5))))))</f>
        <v/>
      </c>
      <c r="AC5" s="16">
        <f>IF($A5="","",IF(2038&lt;$E5,"",IF($D5="Manuell","",IF(2038&gt;$E5+$F5,IF($D5="Fix",$G5,$G5*(1+$H5)^($F5)),IF($D5="Fix",$G5,$G5*(1+$H5)^(2038-$E5))))))</f>
        <v/>
      </c>
      <c r="AD5" s="16">
        <f>IF($A5="","",IF(2039&lt;$E5,"",IF($D5="Manuell","",IF(2039&gt;$E5+$F5,IF($D5="Fix",$G5,$G5*(1+$H5)^($F5)),IF($D5="Fix",$G5,$G5*(1+$H5)^(2039-$E5))))))</f>
        <v/>
      </c>
      <c r="AE5" s="16">
        <f>IF($A5="","",IF(2040&lt;$E5,"",IF($D5="Manuell","",IF(2040&gt;$E5+$F5,IF($D5="Fix",$G5,$G5*(1+$H5)^($F5)),IF($D5="Fix",$G5,$G5*(1+$H5)^(2040-$E5))))))</f>
        <v/>
      </c>
      <c r="AF5" s="16">
        <f>IF($A5="","",IF(2041&lt;$E5,"",IF($D5="Manuell","",IF(2041&gt;$E5+$F5,IF($D5="Fix",$G5,$G5*(1+$H5)^($F5)),IF($D5="Fix",$G5,$G5*(1+$H5)^(2041-$E5))))))</f>
        <v/>
      </c>
      <c r="AG5" s="16">
        <f>IF($A5="","",IF(2042&lt;$E5,"",IF($D5="Manuell","",IF(2042&gt;$E5+$F5,IF($D5="Fix",$G5,$G5*(1+$H5)^($F5)),IF($D5="Fix",$G5,$G5*(1+$H5)^(2042-$E5))))))</f>
        <v/>
      </c>
      <c r="AH5" s="16">
        <f>IF($A5="","",IF(2043&lt;$E5,"",IF($D5="Manuell","",IF(2043&gt;$E5+$F5,IF($D5="Fix",$G5,$G5*(1+$H5)^($F5)),IF($D5="Fix",$G5,$G5*(1+$H5)^(2043-$E5))))))</f>
        <v/>
      </c>
      <c r="AI5" s="16">
        <f>IF($A5="","",IF(2044&lt;$E5,"",IF($D5="Manuell","",IF(2044&gt;$E5+$F5,IF($D5="Fix",$G5,$G5*(1+$H5)^($F5)),IF($D5="Fix",$G5,$G5*(1+$H5)^(2044-$E5))))))</f>
        <v/>
      </c>
      <c r="AJ5" s="16">
        <f>IF($A5="","",IF(2045&lt;$E5,"",IF($D5="Manuell","",IF(2045&gt;$E5+$F5,IF($D5="Fix",$G5,$G5*(1+$H5)^($F5)),IF($D5="Fix",$G5,$G5*(1+$H5)^(2045-$E5))))))</f>
        <v/>
      </c>
      <c r="AK5" s="16">
        <f>IF($A5="","",IF(2046&lt;$E5,"",IF($D5="Manuell","",IF(2046&gt;$E5+$F5,IF($D5="Fix",$G5,$G5*(1+$H5)^($F5)),IF($D5="Fix",$G5,$G5*(1+$H5)^(2046-$E5))))))</f>
        <v/>
      </c>
      <c r="AL5" s="16">
        <f>IF($A5="","",IF(2047&lt;$E5,"",IF($D5="Manuell","",IF(2047&gt;$E5+$F5,IF($D5="Fix",$G5,$G5*(1+$H5)^($F5)),IF($D5="Fix",$G5,$G5*(1+$H5)^(2047-$E5))))))</f>
        <v/>
      </c>
      <c r="AM5" s="16">
        <f>IF($A5="","",IF(2048&lt;$E5,"",IF($D5="Manuell","",IF(2048&gt;$E5+$F5,IF($D5="Fix",$G5,$G5*(1+$H5)^($F5)),IF($D5="Fix",$G5,$G5*(1+$H5)^(2048-$E5))))))</f>
        <v/>
      </c>
      <c r="AN5" s="16">
        <f>IF($A5="","",IF(2049&lt;$E5,"",IF($D5="Manuell","",IF(2049&gt;$E5+$F5,IF($D5="Fix",$G5,$G5*(1+$H5)^($F5)),IF($D5="Fix",$G5,$G5*(1+$H5)^(2049-$E5))))))</f>
        <v/>
      </c>
      <c r="AO5" s="16">
        <f>IF($A5="","",IF(2050&lt;$E5,"",IF($D5="Manuell","",IF(2050&gt;$E5+$F5,IF($D5="Fix",$G5,$G5*(1+$H5)^($F5)),IF($D5="Fix",$G5,$G5*(1+$H5)^(2050-$E5))))))</f>
        <v/>
      </c>
      <c r="AP5" s="16">
        <f>IF($A5="","",IF(2051&lt;$E5,"",IF($D5="Manuell","",IF(2051&gt;$E5+$F5,IF($D5="Fix",$G5,$G5*(1+$H5)^($F5)),IF($D5="Fix",$G5,$G5*(1+$H5)^(2051-$E5))))))</f>
        <v/>
      </c>
      <c r="AQ5" s="16">
        <f>IF($A5="","",IF(2052&lt;$E5,"",IF($D5="Manuell","",IF(2052&gt;$E5+$F5,IF($D5="Fix",$G5,$G5*(1+$H5)^($F5)),IF($D5="Fix",$G5,$G5*(1+$H5)^(2052-$E5))))))</f>
        <v/>
      </c>
      <c r="AR5" s="16">
        <f>IF($A5="","",IF(2053&lt;$E5,"",IF($D5="Manuell","",IF(2053&gt;$E5+$F5,IF($D5="Fix",$G5,$G5*(1+$H5)^($F5)),IF($D5="Fix",$G5,$G5*(1+$H5)^(2053-$E5))))))</f>
        <v/>
      </c>
      <c r="AS5" s="16">
        <f>IF($A5="","",IF(2054&lt;$E5,"",IF($D5="Manuell","",IF(2054&gt;$E5+$F5,IF($D5="Fix",$G5,$G5*(1+$H5)^($F5)),IF($D5="Fix",$G5,$G5*(1+$H5)^(2054-$E5))))))</f>
        <v/>
      </c>
      <c r="AT5" s="16">
        <f>IF($A5="","",IF(2055&lt;$E5,"",IF($D5="Manuell","",IF(2055&gt;$E5+$F5,IF($D5="Fix",$G5,$G5*(1+$H5)^($F5)),IF($D5="Fix",$G5,$G5*(1+$H5)^(2055-$E5))))))</f>
        <v/>
      </c>
    </row>
    <row r="6">
      <c r="A6" s="14" t="inlineStr">
        <is>
          <t>Dieselpreis</t>
        </is>
      </c>
      <c r="B6" s="14" t="inlineStr">
        <is>
          <t>Dieselpreis</t>
        </is>
      </c>
      <c r="C6" s="14" t="inlineStr">
        <is>
          <t>EUR/L</t>
        </is>
      </c>
      <c r="D6" s="14" t="inlineStr">
        <is>
          <t>CAGR</t>
        </is>
      </c>
      <c r="E6" s="11" t="n">
        <v>2020</v>
      </c>
      <c r="F6" s="11" t="n">
        <v>25</v>
      </c>
      <c r="G6" s="15" t="n">
        <v>1.4</v>
      </c>
      <c r="H6" s="15" t="n">
        <v>0.02</v>
      </c>
      <c r="I6" s="16">
        <f>IF($A6="","",IF(2018&lt;$E6,"",IF($D6="Manuell","",IF(2018&gt;$E6+$F6,IF($D6="Fix",$G6,$G6*(1+$H6)^($F6)),IF($D6="Fix",$G6,$G6*(1+$H6)^(2018-$E6))))))</f>
        <v/>
      </c>
      <c r="J6" s="16">
        <f>IF($A6="","",IF(2019&lt;$E6,"",IF($D6="Manuell","",IF(2019&gt;$E6+$F6,IF($D6="Fix",$G6,$G6*(1+$H6)^($F6)),IF($D6="Fix",$G6,$G6*(1+$H6)^(2019-$E6))))))</f>
        <v/>
      </c>
      <c r="K6" s="16">
        <f>IF($A6="","",IF(2020&lt;$E6,"",IF($D6="Manuell","",IF(2020&gt;$E6+$F6,IF($D6="Fix",$G6,$G6*(1+$H6)^($F6)),IF($D6="Fix",$G6,$G6*(1+$H6)^(2020-$E6))))))</f>
        <v/>
      </c>
      <c r="L6" s="16">
        <f>IF($A6="","",IF(2021&lt;$E6,"",IF($D6="Manuell","",IF(2021&gt;$E6+$F6,IF($D6="Fix",$G6,$G6*(1+$H6)^($F6)),IF($D6="Fix",$G6,$G6*(1+$H6)^(2021-$E6))))))</f>
        <v/>
      </c>
      <c r="M6" s="16">
        <f>IF($A6="","",IF(2022&lt;$E6,"",IF($D6="Manuell","",IF(2022&gt;$E6+$F6,IF($D6="Fix",$G6,$G6*(1+$H6)^($F6)),IF($D6="Fix",$G6,$G6*(1+$H6)^(2022-$E6))))))</f>
        <v/>
      </c>
      <c r="N6" s="16">
        <f>IF($A6="","",IF(2023&lt;$E6,"",IF($D6="Manuell","",IF(2023&gt;$E6+$F6,IF($D6="Fix",$G6,$G6*(1+$H6)^($F6)),IF($D6="Fix",$G6,$G6*(1+$H6)^(2023-$E6))))))</f>
        <v/>
      </c>
      <c r="O6" s="16">
        <f>IF($A6="","",IF(2024&lt;$E6,"",IF($D6="Manuell","",IF(2024&gt;$E6+$F6,IF($D6="Fix",$G6,$G6*(1+$H6)^($F6)),IF($D6="Fix",$G6,$G6*(1+$H6)^(2024-$E6))))))</f>
        <v/>
      </c>
      <c r="P6" s="16">
        <f>IF($A6="","",IF(2025&lt;$E6,"",IF($D6="Manuell","",IF(2025&gt;$E6+$F6,IF($D6="Fix",$G6,$G6*(1+$H6)^($F6)),IF($D6="Fix",$G6,$G6*(1+$H6)^(2025-$E6))))))</f>
        <v/>
      </c>
      <c r="Q6" s="16">
        <f>IF($A6="","",IF(2026&lt;$E6,"",IF($D6="Manuell","",IF(2026&gt;$E6+$F6,IF($D6="Fix",$G6,$G6*(1+$H6)^($F6)),IF($D6="Fix",$G6,$G6*(1+$H6)^(2026-$E6))))))</f>
        <v/>
      </c>
      <c r="R6" s="16">
        <f>IF($A6="","",IF(2027&lt;$E6,"",IF($D6="Manuell","",IF(2027&gt;$E6+$F6,IF($D6="Fix",$G6,$G6*(1+$H6)^($F6)),IF($D6="Fix",$G6,$G6*(1+$H6)^(2027-$E6))))))</f>
        <v/>
      </c>
      <c r="S6" s="16">
        <f>IF($A6="","",IF(2028&lt;$E6,"",IF($D6="Manuell","",IF(2028&gt;$E6+$F6,IF($D6="Fix",$G6,$G6*(1+$H6)^($F6)),IF($D6="Fix",$G6,$G6*(1+$H6)^(2028-$E6))))))</f>
        <v/>
      </c>
      <c r="T6" s="16">
        <f>IF($A6="","",IF(2029&lt;$E6,"",IF($D6="Manuell","",IF(2029&gt;$E6+$F6,IF($D6="Fix",$G6,$G6*(1+$H6)^($F6)),IF($D6="Fix",$G6,$G6*(1+$H6)^(2029-$E6))))))</f>
        <v/>
      </c>
      <c r="U6" s="16">
        <f>IF($A6="","",IF(2030&lt;$E6,"",IF($D6="Manuell","",IF(2030&gt;$E6+$F6,IF($D6="Fix",$G6,$G6*(1+$H6)^($F6)),IF($D6="Fix",$G6,$G6*(1+$H6)^(2030-$E6))))))</f>
        <v/>
      </c>
      <c r="V6" s="16">
        <f>IF($A6="","",IF(2031&lt;$E6,"",IF($D6="Manuell","",IF(2031&gt;$E6+$F6,IF($D6="Fix",$G6,$G6*(1+$H6)^($F6)),IF($D6="Fix",$G6,$G6*(1+$H6)^(2031-$E6))))))</f>
        <v/>
      </c>
      <c r="W6" s="16">
        <f>IF($A6="","",IF(2032&lt;$E6,"",IF($D6="Manuell","",IF(2032&gt;$E6+$F6,IF($D6="Fix",$G6,$G6*(1+$H6)^($F6)),IF($D6="Fix",$G6,$G6*(1+$H6)^(2032-$E6))))))</f>
        <v/>
      </c>
      <c r="X6" s="16">
        <f>IF($A6="","",IF(2033&lt;$E6,"",IF($D6="Manuell","",IF(2033&gt;$E6+$F6,IF($D6="Fix",$G6,$G6*(1+$H6)^($F6)),IF($D6="Fix",$G6,$G6*(1+$H6)^(2033-$E6))))))</f>
        <v/>
      </c>
      <c r="Y6" s="16">
        <f>IF($A6="","",IF(2034&lt;$E6,"",IF($D6="Manuell","",IF(2034&gt;$E6+$F6,IF($D6="Fix",$G6,$G6*(1+$H6)^($F6)),IF($D6="Fix",$G6,$G6*(1+$H6)^(2034-$E6))))))</f>
        <v/>
      </c>
      <c r="Z6" s="16">
        <f>IF($A6="","",IF(2035&lt;$E6,"",IF($D6="Manuell","",IF(2035&gt;$E6+$F6,IF($D6="Fix",$G6,$G6*(1+$H6)^($F6)),IF($D6="Fix",$G6,$G6*(1+$H6)^(2035-$E6))))))</f>
        <v/>
      </c>
      <c r="AA6" s="16">
        <f>IF($A6="","",IF(2036&lt;$E6,"",IF($D6="Manuell","",IF(2036&gt;$E6+$F6,IF($D6="Fix",$G6,$G6*(1+$H6)^($F6)),IF($D6="Fix",$G6,$G6*(1+$H6)^(2036-$E6))))))</f>
        <v/>
      </c>
      <c r="AB6" s="16">
        <f>IF($A6="","",IF(2037&lt;$E6,"",IF($D6="Manuell","",IF(2037&gt;$E6+$F6,IF($D6="Fix",$G6,$G6*(1+$H6)^($F6)),IF($D6="Fix",$G6,$G6*(1+$H6)^(2037-$E6))))))</f>
        <v/>
      </c>
      <c r="AC6" s="16">
        <f>IF($A6="","",IF(2038&lt;$E6,"",IF($D6="Manuell","",IF(2038&gt;$E6+$F6,IF($D6="Fix",$G6,$G6*(1+$H6)^($F6)),IF($D6="Fix",$G6,$G6*(1+$H6)^(2038-$E6))))))</f>
        <v/>
      </c>
      <c r="AD6" s="16">
        <f>IF($A6="","",IF(2039&lt;$E6,"",IF($D6="Manuell","",IF(2039&gt;$E6+$F6,IF($D6="Fix",$G6,$G6*(1+$H6)^($F6)),IF($D6="Fix",$G6,$G6*(1+$H6)^(2039-$E6))))))</f>
        <v/>
      </c>
      <c r="AE6" s="16">
        <f>IF($A6="","",IF(2040&lt;$E6,"",IF($D6="Manuell","",IF(2040&gt;$E6+$F6,IF($D6="Fix",$G6,$G6*(1+$H6)^($F6)),IF($D6="Fix",$G6,$G6*(1+$H6)^(2040-$E6))))))</f>
        <v/>
      </c>
      <c r="AF6" s="16">
        <f>IF($A6="","",IF(2041&lt;$E6,"",IF($D6="Manuell","",IF(2041&gt;$E6+$F6,IF($D6="Fix",$G6,$G6*(1+$H6)^($F6)),IF($D6="Fix",$G6,$G6*(1+$H6)^(2041-$E6))))))</f>
        <v/>
      </c>
      <c r="AG6" s="16">
        <f>IF($A6="","",IF(2042&lt;$E6,"",IF($D6="Manuell","",IF(2042&gt;$E6+$F6,IF($D6="Fix",$G6,$G6*(1+$H6)^($F6)),IF($D6="Fix",$G6,$G6*(1+$H6)^(2042-$E6))))))</f>
        <v/>
      </c>
      <c r="AH6" s="16">
        <f>IF($A6="","",IF(2043&lt;$E6,"",IF($D6="Manuell","",IF(2043&gt;$E6+$F6,IF($D6="Fix",$G6,$G6*(1+$H6)^($F6)),IF($D6="Fix",$G6,$G6*(1+$H6)^(2043-$E6))))))</f>
        <v/>
      </c>
      <c r="AI6" s="16">
        <f>IF($A6="","",IF(2044&lt;$E6,"",IF($D6="Manuell","",IF(2044&gt;$E6+$F6,IF($D6="Fix",$G6,$G6*(1+$H6)^($F6)),IF($D6="Fix",$G6,$G6*(1+$H6)^(2044-$E6))))))</f>
        <v/>
      </c>
      <c r="AJ6" s="16">
        <f>IF($A6="","",IF(2045&lt;$E6,"",IF($D6="Manuell","",IF(2045&gt;$E6+$F6,IF($D6="Fix",$G6,$G6*(1+$H6)^($F6)),IF($D6="Fix",$G6,$G6*(1+$H6)^(2045-$E6))))))</f>
        <v/>
      </c>
      <c r="AK6" s="16">
        <f>IF($A6="","",IF(2046&lt;$E6,"",IF($D6="Manuell","",IF(2046&gt;$E6+$F6,IF($D6="Fix",$G6,$G6*(1+$H6)^($F6)),IF($D6="Fix",$G6,$G6*(1+$H6)^(2046-$E6))))))</f>
        <v/>
      </c>
      <c r="AL6" s="16">
        <f>IF($A6="","",IF(2047&lt;$E6,"",IF($D6="Manuell","",IF(2047&gt;$E6+$F6,IF($D6="Fix",$G6,$G6*(1+$H6)^($F6)),IF($D6="Fix",$G6,$G6*(1+$H6)^(2047-$E6))))))</f>
        <v/>
      </c>
      <c r="AM6" s="16">
        <f>IF($A6="","",IF(2048&lt;$E6,"",IF($D6="Manuell","",IF(2048&gt;$E6+$F6,IF($D6="Fix",$G6,$G6*(1+$H6)^($F6)),IF($D6="Fix",$G6,$G6*(1+$H6)^(2048-$E6))))))</f>
        <v/>
      </c>
      <c r="AN6" s="16">
        <f>IF($A6="","",IF(2049&lt;$E6,"",IF($D6="Manuell","",IF(2049&gt;$E6+$F6,IF($D6="Fix",$G6,$G6*(1+$H6)^($F6)),IF($D6="Fix",$G6,$G6*(1+$H6)^(2049-$E6))))))</f>
        <v/>
      </c>
      <c r="AO6" s="16">
        <f>IF($A6="","",IF(2050&lt;$E6,"",IF($D6="Manuell","",IF(2050&gt;$E6+$F6,IF($D6="Fix",$G6,$G6*(1+$H6)^($F6)),IF($D6="Fix",$G6,$G6*(1+$H6)^(2050-$E6))))))</f>
        <v/>
      </c>
      <c r="AP6" s="16">
        <f>IF($A6="","",IF(2051&lt;$E6,"",IF($D6="Manuell","",IF(2051&gt;$E6+$F6,IF($D6="Fix",$G6,$G6*(1+$H6)^($F6)),IF($D6="Fix",$G6,$G6*(1+$H6)^(2051-$E6))))))</f>
        <v/>
      </c>
      <c r="AQ6" s="16">
        <f>IF($A6="","",IF(2052&lt;$E6,"",IF($D6="Manuell","",IF(2052&gt;$E6+$F6,IF($D6="Fix",$G6,$G6*(1+$H6)^($F6)),IF($D6="Fix",$G6,$G6*(1+$H6)^(2052-$E6))))))</f>
        <v/>
      </c>
      <c r="AR6" s="16">
        <f>IF($A6="","",IF(2053&lt;$E6,"",IF($D6="Manuell","",IF(2053&gt;$E6+$F6,IF($D6="Fix",$G6,$G6*(1+$H6)^($F6)),IF($D6="Fix",$G6,$G6*(1+$H6)^(2053-$E6))))))</f>
        <v/>
      </c>
      <c r="AS6" s="16">
        <f>IF($A6="","",IF(2054&lt;$E6,"",IF($D6="Manuell","",IF(2054&gt;$E6+$F6,IF($D6="Fix",$G6,$G6*(1+$H6)^($F6)),IF($D6="Fix",$G6,$G6*(1+$H6)^(2054-$E6))))))</f>
        <v/>
      </c>
      <c r="AT6" s="16">
        <f>IF($A6="","",IF(2055&lt;$E6,"",IF($D6="Manuell","",IF(2055&gt;$E6+$F6,IF($D6="Fix",$G6,$G6*(1+$H6)^($F6)),IF($D6="Fix",$G6,$G6*(1+$H6)^(2055-$E6))))))</f>
        <v/>
      </c>
    </row>
    <row r="7">
      <c r="A7" s="14" t="inlineStr">
        <is>
          <t>Wasserpreis</t>
        </is>
      </c>
      <c r="B7" s="14" t="inlineStr">
        <is>
          <t>Wasserpreis</t>
        </is>
      </c>
      <c r="C7" s="14" t="inlineStr">
        <is>
          <t>EUR/m3</t>
        </is>
      </c>
      <c r="D7" s="14" t="inlineStr">
        <is>
          <t>CAGR</t>
        </is>
      </c>
      <c r="E7" s="11" t="n">
        <v>2025</v>
      </c>
      <c r="F7" s="11" t="n">
        <v>20</v>
      </c>
      <c r="G7" s="15" t="n">
        <v>2.5</v>
      </c>
      <c r="H7" s="15" t="n">
        <v>0.02</v>
      </c>
      <c r="I7" s="16">
        <f>IF($A7="","",IF(2018&lt;$E7,"",IF($D7="Manuell","",IF(2018&gt;$E7+$F7,IF($D7="Fix",$G7,$G7*(1+$H7)^($F7)),IF($D7="Fix",$G7,$G7*(1+$H7)^(2018-$E7))))))</f>
        <v/>
      </c>
      <c r="J7" s="16">
        <f>IF($A7="","",IF(2019&lt;$E7,"",IF($D7="Manuell","",IF(2019&gt;$E7+$F7,IF($D7="Fix",$G7,$G7*(1+$H7)^($F7)),IF($D7="Fix",$G7,$G7*(1+$H7)^(2019-$E7))))))</f>
        <v/>
      </c>
      <c r="K7" s="16">
        <f>IF($A7="","",IF(2020&lt;$E7,"",IF($D7="Manuell","",IF(2020&gt;$E7+$F7,IF($D7="Fix",$G7,$G7*(1+$H7)^($F7)),IF($D7="Fix",$G7,$G7*(1+$H7)^(2020-$E7))))))</f>
        <v/>
      </c>
      <c r="L7" s="16">
        <f>IF($A7="","",IF(2021&lt;$E7,"",IF($D7="Manuell","",IF(2021&gt;$E7+$F7,IF($D7="Fix",$G7,$G7*(1+$H7)^($F7)),IF($D7="Fix",$G7,$G7*(1+$H7)^(2021-$E7))))))</f>
        <v/>
      </c>
      <c r="M7" s="16">
        <f>IF($A7="","",IF(2022&lt;$E7,"",IF($D7="Manuell","",IF(2022&gt;$E7+$F7,IF($D7="Fix",$G7,$G7*(1+$H7)^($F7)),IF($D7="Fix",$G7,$G7*(1+$H7)^(2022-$E7))))))</f>
        <v/>
      </c>
      <c r="N7" s="16">
        <f>IF($A7="","",IF(2023&lt;$E7,"",IF($D7="Manuell","",IF(2023&gt;$E7+$F7,IF($D7="Fix",$G7,$G7*(1+$H7)^($F7)),IF($D7="Fix",$G7,$G7*(1+$H7)^(2023-$E7))))))</f>
        <v/>
      </c>
      <c r="O7" s="16">
        <f>IF($A7="","",IF(2024&lt;$E7,"",IF($D7="Manuell","",IF(2024&gt;$E7+$F7,IF($D7="Fix",$G7,$G7*(1+$H7)^($F7)),IF($D7="Fix",$G7,$G7*(1+$H7)^(2024-$E7))))))</f>
        <v/>
      </c>
      <c r="P7" s="16">
        <f>IF($A7="","",IF(2025&lt;$E7,"",IF($D7="Manuell","",IF(2025&gt;$E7+$F7,IF($D7="Fix",$G7,$G7*(1+$H7)^($F7)),IF($D7="Fix",$G7,$G7*(1+$H7)^(2025-$E7))))))</f>
        <v/>
      </c>
      <c r="Q7" s="16">
        <f>IF($A7="","",IF(2026&lt;$E7,"",IF($D7="Manuell","",IF(2026&gt;$E7+$F7,IF($D7="Fix",$G7,$G7*(1+$H7)^($F7)),IF($D7="Fix",$G7,$G7*(1+$H7)^(2026-$E7))))))</f>
        <v/>
      </c>
      <c r="R7" s="16">
        <f>IF($A7="","",IF(2027&lt;$E7,"",IF($D7="Manuell","",IF(2027&gt;$E7+$F7,IF($D7="Fix",$G7,$G7*(1+$H7)^($F7)),IF($D7="Fix",$G7,$G7*(1+$H7)^(2027-$E7))))))</f>
        <v/>
      </c>
      <c r="S7" s="16">
        <f>IF($A7="","",IF(2028&lt;$E7,"",IF($D7="Manuell","",IF(2028&gt;$E7+$F7,IF($D7="Fix",$G7,$G7*(1+$H7)^($F7)),IF($D7="Fix",$G7,$G7*(1+$H7)^(2028-$E7))))))</f>
        <v/>
      </c>
      <c r="T7" s="16">
        <f>IF($A7="","",IF(2029&lt;$E7,"",IF($D7="Manuell","",IF(2029&gt;$E7+$F7,IF($D7="Fix",$G7,$G7*(1+$H7)^($F7)),IF($D7="Fix",$G7,$G7*(1+$H7)^(2029-$E7))))))</f>
        <v/>
      </c>
      <c r="U7" s="16">
        <f>IF($A7="","",IF(2030&lt;$E7,"",IF($D7="Manuell","",IF(2030&gt;$E7+$F7,IF($D7="Fix",$G7,$G7*(1+$H7)^($F7)),IF($D7="Fix",$G7,$G7*(1+$H7)^(2030-$E7))))))</f>
        <v/>
      </c>
      <c r="V7" s="16">
        <f>IF($A7="","",IF(2031&lt;$E7,"",IF($D7="Manuell","",IF(2031&gt;$E7+$F7,IF($D7="Fix",$G7,$G7*(1+$H7)^($F7)),IF($D7="Fix",$G7,$G7*(1+$H7)^(2031-$E7))))))</f>
        <v/>
      </c>
      <c r="W7" s="16">
        <f>IF($A7="","",IF(2032&lt;$E7,"",IF($D7="Manuell","",IF(2032&gt;$E7+$F7,IF($D7="Fix",$G7,$G7*(1+$H7)^($F7)),IF($D7="Fix",$G7,$G7*(1+$H7)^(2032-$E7))))))</f>
        <v/>
      </c>
      <c r="X7" s="16">
        <f>IF($A7="","",IF(2033&lt;$E7,"",IF($D7="Manuell","",IF(2033&gt;$E7+$F7,IF($D7="Fix",$G7,$G7*(1+$H7)^($F7)),IF($D7="Fix",$G7,$G7*(1+$H7)^(2033-$E7))))))</f>
        <v/>
      </c>
      <c r="Y7" s="16">
        <f>IF($A7="","",IF(2034&lt;$E7,"",IF($D7="Manuell","",IF(2034&gt;$E7+$F7,IF($D7="Fix",$G7,$G7*(1+$H7)^($F7)),IF($D7="Fix",$G7,$G7*(1+$H7)^(2034-$E7))))))</f>
        <v/>
      </c>
      <c r="Z7" s="16">
        <f>IF($A7="","",IF(2035&lt;$E7,"",IF($D7="Manuell","",IF(2035&gt;$E7+$F7,IF($D7="Fix",$G7,$G7*(1+$H7)^($F7)),IF($D7="Fix",$G7,$G7*(1+$H7)^(2035-$E7))))))</f>
        <v/>
      </c>
      <c r="AA7" s="16">
        <f>IF($A7="","",IF(2036&lt;$E7,"",IF($D7="Manuell","",IF(2036&gt;$E7+$F7,IF($D7="Fix",$G7,$G7*(1+$H7)^($F7)),IF($D7="Fix",$G7,$G7*(1+$H7)^(2036-$E7))))))</f>
        <v/>
      </c>
      <c r="AB7" s="16">
        <f>IF($A7="","",IF(2037&lt;$E7,"",IF($D7="Manuell","",IF(2037&gt;$E7+$F7,IF($D7="Fix",$G7,$G7*(1+$H7)^($F7)),IF($D7="Fix",$G7,$G7*(1+$H7)^(2037-$E7))))))</f>
        <v/>
      </c>
      <c r="AC7" s="16">
        <f>IF($A7="","",IF(2038&lt;$E7,"",IF($D7="Manuell","",IF(2038&gt;$E7+$F7,IF($D7="Fix",$G7,$G7*(1+$H7)^($F7)),IF($D7="Fix",$G7,$G7*(1+$H7)^(2038-$E7))))))</f>
        <v/>
      </c>
      <c r="AD7" s="16">
        <f>IF($A7="","",IF(2039&lt;$E7,"",IF($D7="Manuell","",IF(2039&gt;$E7+$F7,IF($D7="Fix",$G7,$G7*(1+$H7)^($F7)),IF($D7="Fix",$G7,$G7*(1+$H7)^(2039-$E7))))))</f>
        <v/>
      </c>
      <c r="AE7" s="16">
        <f>IF($A7="","",IF(2040&lt;$E7,"",IF($D7="Manuell","",IF(2040&gt;$E7+$F7,IF($D7="Fix",$G7,$G7*(1+$H7)^($F7)),IF($D7="Fix",$G7,$G7*(1+$H7)^(2040-$E7))))))</f>
        <v/>
      </c>
      <c r="AF7" s="16">
        <f>IF($A7="","",IF(2041&lt;$E7,"",IF($D7="Manuell","",IF(2041&gt;$E7+$F7,IF($D7="Fix",$G7,$G7*(1+$H7)^($F7)),IF($D7="Fix",$G7,$G7*(1+$H7)^(2041-$E7))))))</f>
        <v/>
      </c>
      <c r="AG7" s="16">
        <f>IF($A7="","",IF(2042&lt;$E7,"",IF($D7="Manuell","",IF(2042&gt;$E7+$F7,IF($D7="Fix",$G7,$G7*(1+$H7)^($F7)),IF($D7="Fix",$G7,$G7*(1+$H7)^(2042-$E7))))))</f>
        <v/>
      </c>
      <c r="AH7" s="16">
        <f>IF($A7="","",IF(2043&lt;$E7,"",IF($D7="Manuell","",IF(2043&gt;$E7+$F7,IF($D7="Fix",$G7,$G7*(1+$H7)^($F7)),IF($D7="Fix",$G7,$G7*(1+$H7)^(2043-$E7))))))</f>
        <v/>
      </c>
      <c r="AI7" s="16">
        <f>IF($A7="","",IF(2044&lt;$E7,"",IF($D7="Manuell","",IF(2044&gt;$E7+$F7,IF($D7="Fix",$G7,$G7*(1+$H7)^($F7)),IF($D7="Fix",$G7,$G7*(1+$H7)^(2044-$E7))))))</f>
        <v/>
      </c>
      <c r="AJ7" s="16">
        <f>IF($A7="","",IF(2045&lt;$E7,"",IF($D7="Manuell","",IF(2045&gt;$E7+$F7,IF($D7="Fix",$G7,$G7*(1+$H7)^($F7)),IF($D7="Fix",$G7,$G7*(1+$H7)^(2045-$E7))))))</f>
        <v/>
      </c>
      <c r="AK7" s="16">
        <f>IF($A7="","",IF(2046&lt;$E7,"",IF($D7="Manuell","",IF(2046&gt;$E7+$F7,IF($D7="Fix",$G7,$G7*(1+$H7)^($F7)),IF($D7="Fix",$G7,$G7*(1+$H7)^(2046-$E7))))))</f>
        <v/>
      </c>
      <c r="AL7" s="16">
        <f>IF($A7="","",IF(2047&lt;$E7,"",IF($D7="Manuell","",IF(2047&gt;$E7+$F7,IF($D7="Fix",$G7,$G7*(1+$H7)^($F7)),IF($D7="Fix",$G7,$G7*(1+$H7)^(2047-$E7))))))</f>
        <v/>
      </c>
      <c r="AM7" s="16">
        <f>IF($A7="","",IF(2048&lt;$E7,"",IF($D7="Manuell","",IF(2048&gt;$E7+$F7,IF($D7="Fix",$G7,$G7*(1+$H7)^($F7)),IF($D7="Fix",$G7,$G7*(1+$H7)^(2048-$E7))))))</f>
        <v/>
      </c>
      <c r="AN7" s="16">
        <f>IF($A7="","",IF(2049&lt;$E7,"",IF($D7="Manuell","",IF(2049&gt;$E7+$F7,IF($D7="Fix",$G7,$G7*(1+$H7)^($F7)),IF($D7="Fix",$G7,$G7*(1+$H7)^(2049-$E7))))))</f>
        <v/>
      </c>
      <c r="AO7" s="16">
        <f>IF($A7="","",IF(2050&lt;$E7,"",IF($D7="Manuell","",IF(2050&gt;$E7+$F7,IF($D7="Fix",$G7,$G7*(1+$H7)^($F7)),IF($D7="Fix",$G7,$G7*(1+$H7)^(2050-$E7))))))</f>
        <v/>
      </c>
      <c r="AP7" s="16">
        <f>IF($A7="","",IF(2051&lt;$E7,"",IF($D7="Manuell","",IF(2051&gt;$E7+$F7,IF($D7="Fix",$G7,$G7*(1+$H7)^($F7)),IF($D7="Fix",$G7,$G7*(1+$H7)^(2051-$E7))))))</f>
        <v/>
      </c>
      <c r="AQ7" s="16">
        <f>IF($A7="","",IF(2052&lt;$E7,"",IF($D7="Manuell","",IF(2052&gt;$E7+$F7,IF($D7="Fix",$G7,$G7*(1+$H7)^($F7)),IF($D7="Fix",$G7,$G7*(1+$H7)^(2052-$E7))))))</f>
        <v/>
      </c>
      <c r="AR7" s="16">
        <f>IF($A7="","",IF(2053&lt;$E7,"",IF($D7="Manuell","",IF(2053&gt;$E7+$F7,IF($D7="Fix",$G7,$G7*(1+$H7)^($F7)),IF($D7="Fix",$G7,$G7*(1+$H7)^(2053-$E7))))))</f>
        <v/>
      </c>
      <c r="AS7" s="16">
        <f>IF($A7="","",IF(2054&lt;$E7,"",IF($D7="Manuell","",IF(2054&gt;$E7+$F7,IF($D7="Fix",$G7,$G7*(1+$H7)^($F7)),IF($D7="Fix",$G7,$G7*(1+$H7)^(2054-$E7))))))</f>
        <v/>
      </c>
      <c r="AT7" s="16">
        <f>IF($A7="","",IF(2055&lt;$E7,"",IF($D7="Manuell","",IF(2055&gt;$E7+$F7,IF($D7="Fix",$G7,$G7*(1+$H7)^($F7)),IF($D7="Fix",$G7,$G7*(1+$H7)^(2055-$E7))))))</f>
        <v/>
      </c>
    </row>
    <row r="8">
      <c r="A8" s="14" t="inlineStr">
        <is>
          <t>Entsorgungspreis</t>
        </is>
      </c>
      <c r="B8" s="14" t="inlineStr">
        <is>
          <t>Entsorgung</t>
        </is>
      </c>
      <c r="C8" s="14" t="inlineStr">
        <is>
          <t>EUR/t</t>
        </is>
      </c>
      <c r="D8" s="14" t="inlineStr">
        <is>
          <t>CAGR</t>
        </is>
      </c>
      <c r="E8" s="11" t="n">
        <v>2025</v>
      </c>
      <c r="F8" s="11" t="n">
        <v>20</v>
      </c>
      <c r="G8" s="15" t="n">
        <v>150</v>
      </c>
      <c r="H8" s="15" t="n">
        <v>0.02</v>
      </c>
      <c r="I8" s="16">
        <f>IF($A8="","",IF(2018&lt;$E8,"",IF($D8="Manuell","",IF(2018&gt;$E8+$F8,IF($D8="Fix",$G8,$G8*(1+$H8)^($F8)),IF($D8="Fix",$G8,$G8*(1+$H8)^(2018-$E8))))))</f>
        <v/>
      </c>
      <c r="J8" s="16">
        <f>IF($A8="","",IF(2019&lt;$E8,"",IF($D8="Manuell","",IF(2019&gt;$E8+$F8,IF($D8="Fix",$G8,$G8*(1+$H8)^($F8)),IF($D8="Fix",$G8,$G8*(1+$H8)^(2019-$E8))))))</f>
        <v/>
      </c>
      <c r="K8" s="16">
        <f>IF($A8="","",IF(2020&lt;$E8,"",IF($D8="Manuell","",IF(2020&gt;$E8+$F8,IF($D8="Fix",$G8,$G8*(1+$H8)^($F8)),IF($D8="Fix",$G8,$G8*(1+$H8)^(2020-$E8))))))</f>
        <v/>
      </c>
      <c r="L8" s="16">
        <f>IF($A8="","",IF(2021&lt;$E8,"",IF($D8="Manuell","",IF(2021&gt;$E8+$F8,IF($D8="Fix",$G8,$G8*(1+$H8)^($F8)),IF($D8="Fix",$G8,$G8*(1+$H8)^(2021-$E8))))))</f>
        <v/>
      </c>
      <c r="M8" s="16">
        <f>IF($A8="","",IF(2022&lt;$E8,"",IF($D8="Manuell","",IF(2022&gt;$E8+$F8,IF($D8="Fix",$G8,$G8*(1+$H8)^($F8)),IF($D8="Fix",$G8,$G8*(1+$H8)^(2022-$E8))))))</f>
        <v/>
      </c>
      <c r="N8" s="16">
        <f>IF($A8="","",IF(2023&lt;$E8,"",IF($D8="Manuell","",IF(2023&gt;$E8+$F8,IF($D8="Fix",$G8,$G8*(1+$H8)^($F8)),IF($D8="Fix",$G8,$G8*(1+$H8)^(2023-$E8))))))</f>
        <v/>
      </c>
      <c r="O8" s="16">
        <f>IF($A8="","",IF(2024&lt;$E8,"",IF($D8="Manuell","",IF(2024&gt;$E8+$F8,IF($D8="Fix",$G8,$G8*(1+$H8)^($F8)),IF($D8="Fix",$G8,$G8*(1+$H8)^(2024-$E8))))))</f>
        <v/>
      </c>
      <c r="P8" s="16">
        <f>IF($A8="","",IF(2025&lt;$E8,"",IF($D8="Manuell","",IF(2025&gt;$E8+$F8,IF($D8="Fix",$G8,$G8*(1+$H8)^($F8)),IF($D8="Fix",$G8,$G8*(1+$H8)^(2025-$E8))))))</f>
        <v/>
      </c>
      <c r="Q8" s="16">
        <f>IF($A8="","",IF(2026&lt;$E8,"",IF($D8="Manuell","",IF(2026&gt;$E8+$F8,IF($D8="Fix",$G8,$G8*(1+$H8)^($F8)),IF($D8="Fix",$G8,$G8*(1+$H8)^(2026-$E8))))))</f>
        <v/>
      </c>
      <c r="R8" s="16">
        <f>IF($A8="","",IF(2027&lt;$E8,"",IF($D8="Manuell","",IF(2027&gt;$E8+$F8,IF($D8="Fix",$G8,$G8*(1+$H8)^($F8)),IF($D8="Fix",$G8,$G8*(1+$H8)^(2027-$E8))))))</f>
        <v/>
      </c>
      <c r="S8" s="16">
        <f>IF($A8="","",IF(2028&lt;$E8,"",IF($D8="Manuell","",IF(2028&gt;$E8+$F8,IF($D8="Fix",$G8,$G8*(1+$H8)^($F8)),IF($D8="Fix",$G8,$G8*(1+$H8)^(2028-$E8))))))</f>
        <v/>
      </c>
      <c r="T8" s="16">
        <f>IF($A8="","",IF(2029&lt;$E8,"",IF($D8="Manuell","",IF(2029&gt;$E8+$F8,IF($D8="Fix",$G8,$G8*(1+$H8)^($F8)),IF($D8="Fix",$G8,$G8*(1+$H8)^(2029-$E8))))))</f>
        <v/>
      </c>
      <c r="U8" s="16">
        <f>IF($A8="","",IF(2030&lt;$E8,"",IF($D8="Manuell","",IF(2030&gt;$E8+$F8,IF($D8="Fix",$G8,$G8*(1+$H8)^($F8)),IF($D8="Fix",$G8,$G8*(1+$H8)^(2030-$E8))))))</f>
        <v/>
      </c>
      <c r="V8" s="16">
        <f>IF($A8="","",IF(2031&lt;$E8,"",IF($D8="Manuell","",IF(2031&gt;$E8+$F8,IF($D8="Fix",$G8,$G8*(1+$H8)^($F8)),IF($D8="Fix",$G8,$G8*(1+$H8)^(2031-$E8))))))</f>
        <v/>
      </c>
      <c r="W8" s="16">
        <f>IF($A8="","",IF(2032&lt;$E8,"",IF($D8="Manuell","",IF(2032&gt;$E8+$F8,IF($D8="Fix",$G8,$G8*(1+$H8)^($F8)),IF($D8="Fix",$G8,$G8*(1+$H8)^(2032-$E8))))))</f>
        <v/>
      </c>
      <c r="X8" s="16">
        <f>IF($A8="","",IF(2033&lt;$E8,"",IF($D8="Manuell","",IF(2033&gt;$E8+$F8,IF($D8="Fix",$G8,$G8*(1+$H8)^($F8)),IF($D8="Fix",$G8,$G8*(1+$H8)^(2033-$E8))))))</f>
        <v/>
      </c>
      <c r="Y8" s="16">
        <f>IF($A8="","",IF(2034&lt;$E8,"",IF($D8="Manuell","",IF(2034&gt;$E8+$F8,IF($D8="Fix",$G8,$G8*(1+$H8)^($F8)),IF($D8="Fix",$G8,$G8*(1+$H8)^(2034-$E8))))))</f>
        <v/>
      </c>
      <c r="Z8" s="16">
        <f>IF($A8="","",IF(2035&lt;$E8,"",IF($D8="Manuell","",IF(2035&gt;$E8+$F8,IF($D8="Fix",$G8,$G8*(1+$H8)^($F8)),IF($D8="Fix",$G8,$G8*(1+$H8)^(2035-$E8))))))</f>
        <v/>
      </c>
      <c r="AA8" s="16">
        <f>IF($A8="","",IF(2036&lt;$E8,"",IF($D8="Manuell","",IF(2036&gt;$E8+$F8,IF($D8="Fix",$G8,$G8*(1+$H8)^($F8)),IF($D8="Fix",$G8,$G8*(1+$H8)^(2036-$E8))))))</f>
        <v/>
      </c>
      <c r="AB8" s="16">
        <f>IF($A8="","",IF(2037&lt;$E8,"",IF($D8="Manuell","",IF(2037&gt;$E8+$F8,IF($D8="Fix",$G8,$G8*(1+$H8)^($F8)),IF($D8="Fix",$G8,$G8*(1+$H8)^(2037-$E8))))))</f>
        <v/>
      </c>
      <c r="AC8" s="16">
        <f>IF($A8="","",IF(2038&lt;$E8,"",IF($D8="Manuell","",IF(2038&gt;$E8+$F8,IF($D8="Fix",$G8,$G8*(1+$H8)^($F8)),IF($D8="Fix",$G8,$G8*(1+$H8)^(2038-$E8))))))</f>
        <v/>
      </c>
      <c r="AD8" s="16">
        <f>IF($A8="","",IF(2039&lt;$E8,"",IF($D8="Manuell","",IF(2039&gt;$E8+$F8,IF($D8="Fix",$G8,$G8*(1+$H8)^($F8)),IF($D8="Fix",$G8,$G8*(1+$H8)^(2039-$E8))))))</f>
        <v/>
      </c>
      <c r="AE8" s="16">
        <f>IF($A8="","",IF(2040&lt;$E8,"",IF($D8="Manuell","",IF(2040&gt;$E8+$F8,IF($D8="Fix",$G8,$G8*(1+$H8)^($F8)),IF($D8="Fix",$G8,$G8*(1+$H8)^(2040-$E8))))))</f>
        <v/>
      </c>
      <c r="AF8" s="16">
        <f>IF($A8="","",IF(2041&lt;$E8,"",IF($D8="Manuell","",IF(2041&gt;$E8+$F8,IF($D8="Fix",$G8,$G8*(1+$H8)^($F8)),IF($D8="Fix",$G8,$G8*(1+$H8)^(2041-$E8))))))</f>
        <v/>
      </c>
      <c r="AG8" s="16">
        <f>IF($A8="","",IF(2042&lt;$E8,"",IF($D8="Manuell","",IF(2042&gt;$E8+$F8,IF($D8="Fix",$G8,$G8*(1+$H8)^($F8)),IF($D8="Fix",$G8,$G8*(1+$H8)^(2042-$E8))))))</f>
        <v/>
      </c>
      <c r="AH8" s="16">
        <f>IF($A8="","",IF(2043&lt;$E8,"",IF($D8="Manuell","",IF(2043&gt;$E8+$F8,IF($D8="Fix",$G8,$G8*(1+$H8)^($F8)),IF($D8="Fix",$G8,$G8*(1+$H8)^(2043-$E8))))))</f>
        <v/>
      </c>
      <c r="AI8" s="16">
        <f>IF($A8="","",IF(2044&lt;$E8,"",IF($D8="Manuell","",IF(2044&gt;$E8+$F8,IF($D8="Fix",$G8,$G8*(1+$H8)^($F8)),IF($D8="Fix",$G8,$G8*(1+$H8)^(2044-$E8))))))</f>
        <v/>
      </c>
      <c r="AJ8" s="16">
        <f>IF($A8="","",IF(2045&lt;$E8,"",IF($D8="Manuell","",IF(2045&gt;$E8+$F8,IF($D8="Fix",$G8,$G8*(1+$H8)^($F8)),IF($D8="Fix",$G8,$G8*(1+$H8)^(2045-$E8))))))</f>
        <v/>
      </c>
      <c r="AK8" s="16">
        <f>IF($A8="","",IF(2046&lt;$E8,"",IF($D8="Manuell","",IF(2046&gt;$E8+$F8,IF($D8="Fix",$G8,$G8*(1+$H8)^($F8)),IF($D8="Fix",$G8,$G8*(1+$H8)^(2046-$E8))))))</f>
        <v/>
      </c>
      <c r="AL8" s="16">
        <f>IF($A8="","",IF(2047&lt;$E8,"",IF($D8="Manuell","",IF(2047&gt;$E8+$F8,IF($D8="Fix",$G8,$G8*(1+$H8)^($F8)),IF($D8="Fix",$G8,$G8*(1+$H8)^(2047-$E8))))))</f>
        <v/>
      </c>
      <c r="AM8" s="16">
        <f>IF($A8="","",IF(2048&lt;$E8,"",IF($D8="Manuell","",IF(2048&gt;$E8+$F8,IF($D8="Fix",$G8,$G8*(1+$H8)^($F8)),IF($D8="Fix",$G8,$G8*(1+$H8)^(2048-$E8))))))</f>
        <v/>
      </c>
      <c r="AN8" s="16">
        <f>IF($A8="","",IF(2049&lt;$E8,"",IF($D8="Manuell","",IF(2049&gt;$E8+$F8,IF($D8="Fix",$G8,$G8*(1+$H8)^($F8)),IF($D8="Fix",$G8,$G8*(1+$H8)^(2049-$E8))))))</f>
        <v/>
      </c>
      <c r="AO8" s="16">
        <f>IF($A8="","",IF(2050&lt;$E8,"",IF($D8="Manuell","",IF(2050&gt;$E8+$F8,IF($D8="Fix",$G8,$G8*(1+$H8)^($F8)),IF($D8="Fix",$G8,$G8*(1+$H8)^(2050-$E8))))))</f>
        <v/>
      </c>
      <c r="AP8" s="16">
        <f>IF($A8="","",IF(2051&lt;$E8,"",IF($D8="Manuell","",IF(2051&gt;$E8+$F8,IF($D8="Fix",$G8,$G8*(1+$H8)^($F8)),IF($D8="Fix",$G8,$G8*(1+$H8)^(2051-$E8))))))</f>
        <v/>
      </c>
      <c r="AQ8" s="16">
        <f>IF($A8="","",IF(2052&lt;$E8,"",IF($D8="Manuell","",IF(2052&gt;$E8+$F8,IF($D8="Fix",$G8,$G8*(1+$H8)^($F8)),IF($D8="Fix",$G8,$G8*(1+$H8)^(2052-$E8))))))</f>
        <v/>
      </c>
      <c r="AR8" s="16">
        <f>IF($A8="","",IF(2053&lt;$E8,"",IF($D8="Manuell","",IF(2053&gt;$E8+$F8,IF($D8="Fix",$G8,$G8*(1+$H8)^($F8)),IF($D8="Fix",$G8,$G8*(1+$H8)^(2053-$E8))))))</f>
        <v/>
      </c>
      <c r="AS8" s="16">
        <f>IF($A8="","",IF(2054&lt;$E8,"",IF($D8="Manuell","",IF(2054&gt;$E8+$F8,IF($D8="Fix",$G8,$G8*(1+$H8)^($F8)),IF($D8="Fix",$G8,$G8*(1+$H8)^(2054-$E8))))))</f>
        <v/>
      </c>
      <c r="AT8" s="16">
        <f>IF($A8="","",IF(2055&lt;$E8,"",IF($D8="Manuell","",IF(2055&gt;$E8+$F8,IF($D8="Fix",$G8,$G8*(1+$H8)^($F8)),IF($D8="Fix",$G8,$G8*(1+$H8)^(2055-$E8))))))</f>
        <v/>
      </c>
    </row>
    <row r="9">
      <c r="A9" s="14" t="inlineStr">
        <is>
          <t>Plastikpreis</t>
        </is>
      </c>
      <c r="B9" s="14" t="inlineStr">
        <is>
          <t>Kunststoff</t>
        </is>
      </c>
      <c r="C9" s="14" t="inlineStr">
        <is>
          <t>EUR/kg</t>
        </is>
      </c>
      <c r="D9" s="14" t="inlineStr">
        <is>
          <t>CAGR</t>
        </is>
      </c>
      <c r="E9" s="11" t="n">
        <v>2020</v>
      </c>
      <c r="F9" s="11" t="n">
        <v>20</v>
      </c>
      <c r="G9" s="15" t="n">
        <v>1.8</v>
      </c>
      <c r="H9" s="15" t="n">
        <v>0.01</v>
      </c>
      <c r="I9" s="16">
        <f>IF($A9="","",IF(2018&lt;$E9,"",IF($D9="Manuell","",IF(2018&gt;$E9+$F9,IF($D9="Fix",$G9,$G9*(1+$H9)^($F9)),IF($D9="Fix",$G9,$G9*(1+$H9)^(2018-$E9))))))</f>
        <v/>
      </c>
      <c r="J9" s="16">
        <f>IF($A9="","",IF(2019&lt;$E9,"",IF($D9="Manuell","",IF(2019&gt;$E9+$F9,IF($D9="Fix",$G9,$G9*(1+$H9)^($F9)),IF($D9="Fix",$G9,$G9*(1+$H9)^(2019-$E9))))))</f>
        <v/>
      </c>
      <c r="K9" s="16">
        <f>IF($A9="","",IF(2020&lt;$E9,"",IF($D9="Manuell","",IF(2020&gt;$E9+$F9,IF($D9="Fix",$G9,$G9*(1+$H9)^($F9)),IF($D9="Fix",$G9,$G9*(1+$H9)^(2020-$E9))))))</f>
        <v/>
      </c>
      <c r="L9" s="16">
        <f>IF($A9="","",IF(2021&lt;$E9,"",IF($D9="Manuell","",IF(2021&gt;$E9+$F9,IF($D9="Fix",$G9,$G9*(1+$H9)^($F9)),IF($D9="Fix",$G9,$G9*(1+$H9)^(2021-$E9))))))</f>
        <v/>
      </c>
      <c r="M9" s="16">
        <f>IF($A9="","",IF(2022&lt;$E9,"",IF($D9="Manuell","",IF(2022&gt;$E9+$F9,IF($D9="Fix",$G9,$G9*(1+$H9)^($F9)),IF($D9="Fix",$G9,$G9*(1+$H9)^(2022-$E9))))))</f>
        <v/>
      </c>
      <c r="N9" s="16">
        <f>IF($A9="","",IF(2023&lt;$E9,"",IF($D9="Manuell","",IF(2023&gt;$E9+$F9,IF($D9="Fix",$G9,$G9*(1+$H9)^($F9)),IF($D9="Fix",$G9,$G9*(1+$H9)^(2023-$E9))))))</f>
        <v/>
      </c>
      <c r="O9" s="16">
        <f>IF($A9="","",IF(2024&lt;$E9,"",IF($D9="Manuell","",IF(2024&gt;$E9+$F9,IF($D9="Fix",$G9,$G9*(1+$H9)^($F9)),IF($D9="Fix",$G9,$G9*(1+$H9)^(2024-$E9))))))</f>
        <v/>
      </c>
      <c r="P9" s="16">
        <f>IF($A9="","",IF(2025&lt;$E9,"",IF($D9="Manuell","",IF(2025&gt;$E9+$F9,IF($D9="Fix",$G9,$G9*(1+$H9)^($F9)),IF($D9="Fix",$G9,$G9*(1+$H9)^(2025-$E9))))))</f>
        <v/>
      </c>
      <c r="Q9" s="16">
        <f>IF($A9="","",IF(2026&lt;$E9,"",IF($D9="Manuell","",IF(2026&gt;$E9+$F9,IF($D9="Fix",$G9,$G9*(1+$H9)^($F9)),IF($D9="Fix",$G9,$G9*(1+$H9)^(2026-$E9))))))</f>
        <v/>
      </c>
      <c r="R9" s="16">
        <f>IF($A9="","",IF(2027&lt;$E9,"",IF($D9="Manuell","",IF(2027&gt;$E9+$F9,IF($D9="Fix",$G9,$G9*(1+$H9)^($F9)),IF($D9="Fix",$G9,$G9*(1+$H9)^(2027-$E9))))))</f>
        <v/>
      </c>
      <c r="S9" s="16">
        <f>IF($A9="","",IF(2028&lt;$E9,"",IF($D9="Manuell","",IF(2028&gt;$E9+$F9,IF($D9="Fix",$G9,$G9*(1+$H9)^($F9)),IF($D9="Fix",$G9,$G9*(1+$H9)^(2028-$E9))))))</f>
        <v/>
      </c>
      <c r="T9" s="16">
        <f>IF($A9="","",IF(2029&lt;$E9,"",IF($D9="Manuell","",IF(2029&gt;$E9+$F9,IF($D9="Fix",$G9,$G9*(1+$H9)^($F9)),IF($D9="Fix",$G9,$G9*(1+$H9)^(2029-$E9))))))</f>
        <v/>
      </c>
      <c r="U9" s="16">
        <f>IF($A9="","",IF(2030&lt;$E9,"",IF($D9="Manuell","",IF(2030&gt;$E9+$F9,IF($D9="Fix",$G9,$G9*(1+$H9)^($F9)),IF($D9="Fix",$G9,$G9*(1+$H9)^(2030-$E9))))))</f>
        <v/>
      </c>
      <c r="V9" s="16">
        <f>IF($A9="","",IF(2031&lt;$E9,"",IF($D9="Manuell","",IF(2031&gt;$E9+$F9,IF($D9="Fix",$G9,$G9*(1+$H9)^($F9)),IF($D9="Fix",$G9,$G9*(1+$H9)^(2031-$E9))))))</f>
        <v/>
      </c>
      <c r="W9" s="16">
        <f>IF($A9="","",IF(2032&lt;$E9,"",IF($D9="Manuell","",IF(2032&gt;$E9+$F9,IF($D9="Fix",$G9,$G9*(1+$H9)^($F9)),IF($D9="Fix",$G9,$G9*(1+$H9)^(2032-$E9))))))</f>
        <v/>
      </c>
      <c r="X9" s="16">
        <f>IF($A9="","",IF(2033&lt;$E9,"",IF($D9="Manuell","",IF(2033&gt;$E9+$F9,IF($D9="Fix",$G9,$G9*(1+$H9)^($F9)),IF($D9="Fix",$G9,$G9*(1+$H9)^(2033-$E9))))))</f>
        <v/>
      </c>
      <c r="Y9" s="16">
        <f>IF($A9="","",IF(2034&lt;$E9,"",IF($D9="Manuell","",IF(2034&gt;$E9+$F9,IF($D9="Fix",$G9,$G9*(1+$H9)^($F9)),IF($D9="Fix",$G9,$G9*(1+$H9)^(2034-$E9))))))</f>
        <v/>
      </c>
      <c r="Z9" s="16">
        <f>IF($A9="","",IF(2035&lt;$E9,"",IF($D9="Manuell","",IF(2035&gt;$E9+$F9,IF($D9="Fix",$G9,$G9*(1+$H9)^($F9)),IF($D9="Fix",$G9,$G9*(1+$H9)^(2035-$E9))))))</f>
        <v/>
      </c>
      <c r="AA9" s="16">
        <f>IF($A9="","",IF(2036&lt;$E9,"",IF($D9="Manuell","",IF(2036&gt;$E9+$F9,IF($D9="Fix",$G9,$G9*(1+$H9)^($F9)),IF($D9="Fix",$G9,$G9*(1+$H9)^(2036-$E9))))))</f>
        <v/>
      </c>
      <c r="AB9" s="16">
        <f>IF($A9="","",IF(2037&lt;$E9,"",IF($D9="Manuell","",IF(2037&gt;$E9+$F9,IF($D9="Fix",$G9,$G9*(1+$H9)^($F9)),IF($D9="Fix",$G9,$G9*(1+$H9)^(2037-$E9))))))</f>
        <v/>
      </c>
      <c r="AC9" s="16">
        <f>IF($A9="","",IF(2038&lt;$E9,"",IF($D9="Manuell","",IF(2038&gt;$E9+$F9,IF($D9="Fix",$G9,$G9*(1+$H9)^($F9)),IF($D9="Fix",$G9,$G9*(1+$H9)^(2038-$E9))))))</f>
        <v/>
      </c>
      <c r="AD9" s="16">
        <f>IF($A9="","",IF(2039&lt;$E9,"",IF($D9="Manuell","",IF(2039&gt;$E9+$F9,IF($D9="Fix",$G9,$G9*(1+$H9)^($F9)),IF($D9="Fix",$G9,$G9*(1+$H9)^(2039-$E9))))))</f>
        <v/>
      </c>
      <c r="AE9" s="16">
        <f>IF($A9="","",IF(2040&lt;$E9,"",IF($D9="Manuell","",IF(2040&gt;$E9+$F9,IF($D9="Fix",$G9,$G9*(1+$H9)^($F9)),IF($D9="Fix",$G9,$G9*(1+$H9)^(2040-$E9))))))</f>
        <v/>
      </c>
      <c r="AF9" s="16">
        <f>IF($A9="","",IF(2041&lt;$E9,"",IF($D9="Manuell","",IF(2041&gt;$E9+$F9,IF($D9="Fix",$G9,$G9*(1+$H9)^($F9)),IF($D9="Fix",$G9,$G9*(1+$H9)^(2041-$E9))))))</f>
        <v/>
      </c>
      <c r="AG9" s="16">
        <f>IF($A9="","",IF(2042&lt;$E9,"",IF($D9="Manuell","",IF(2042&gt;$E9+$F9,IF($D9="Fix",$G9,$G9*(1+$H9)^($F9)),IF($D9="Fix",$G9,$G9*(1+$H9)^(2042-$E9))))))</f>
        <v/>
      </c>
      <c r="AH9" s="16">
        <f>IF($A9="","",IF(2043&lt;$E9,"",IF($D9="Manuell","",IF(2043&gt;$E9+$F9,IF($D9="Fix",$G9,$G9*(1+$H9)^($F9)),IF($D9="Fix",$G9,$G9*(1+$H9)^(2043-$E9))))))</f>
        <v/>
      </c>
      <c r="AI9" s="16">
        <f>IF($A9="","",IF(2044&lt;$E9,"",IF($D9="Manuell","",IF(2044&gt;$E9+$F9,IF($D9="Fix",$G9,$G9*(1+$H9)^($F9)),IF($D9="Fix",$G9,$G9*(1+$H9)^(2044-$E9))))))</f>
        <v/>
      </c>
      <c r="AJ9" s="16">
        <f>IF($A9="","",IF(2045&lt;$E9,"",IF($D9="Manuell","",IF(2045&gt;$E9+$F9,IF($D9="Fix",$G9,$G9*(1+$H9)^($F9)),IF($D9="Fix",$G9,$G9*(1+$H9)^(2045-$E9))))))</f>
        <v/>
      </c>
      <c r="AK9" s="16">
        <f>IF($A9="","",IF(2046&lt;$E9,"",IF($D9="Manuell","",IF(2046&gt;$E9+$F9,IF($D9="Fix",$G9,$G9*(1+$H9)^($F9)),IF($D9="Fix",$G9,$G9*(1+$H9)^(2046-$E9))))))</f>
        <v/>
      </c>
      <c r="AL9" s="16">
        <f>IF($A9="","",IF(2047&lt;$E9,"",IF($D9="Manuell","",IF(2047&gt;$E9+$F9,IF($D9="Fix",$G9,$G9*(1+$H9)^($F9)),IF($D9="Fix",$G9,$G9*(1+$H9)^(2047-$E9))))))</f>
        <v/>
      </c>
      <c r="AM9" s="16">
        <f>IF($A9="","",IF(2048&lt;$E9,"",IF($D9="Manuell","",IF(2048&gt;$E9+$F9,IF($D9="Fix",$G9,$G9*(1+$H9)^($F9)),IF($D9="Fix",$G9,$G9*(1+$H9)^(2048-$E9))))))</f>
        <v/>
      </c>
      <c r="AN9" s="16">
        <f>IF($A9="","",IF(2049&lt;$E9,"",IF($D9="Manuell","",IF(2049&gt;$E9+$F9,IF($D9="Fix",$G9,$G9*(1+$H9)^($F9)),IF($D9="Fix",$G9,$G9*(1+$H9)^(2049-$E9))))))</f>
        <v/>
      </c>
      <c r="AO9" s="16">
        <f>IF($A9="","",IF(2050&lt;$E9,"",IF($D9="Manuell","",IF(2050&gt;$E9+$F9,IF($D9="Fix",$G9,$G9*(1+$H9)^($F9)),IF($D9="Fix",$G9,$G9*(1+$H9)^(2050-$E9))))))</f>
        <v/>
      </c>
      <c r="AP9" s="16">
        <f>IF($A9="","",IF(2051&lt;$E9,"",IF($D9="Manuell","",IF(2051&gt;$E9+$F9,IF($D9="Fix",$G9,$G9*(1+$H9)^($F9)),IF($D9="Fix",$G9,$G9*(1+$H9)^(2051-$E9))))))</f>
        <v/>
      </c>
      <c r="AQ9" s="16">
        <f>IF($A9="","",IF(2052&lt;$E9,"",IF($D9="Manuell","",IF(2052&gt;$E9+$F9,IF($D9="Fix",$G9,$G9*(1+$H9)^($F9)),IF($D9="Fix",$G9,$G9*(1+$H9)^(2052-$E9))))))</f>
        <v/>
      </c>
      <c r="AR9" s="16">
        <f>IF($A9="","",IF(2053&lt;$E9,"",IF($D9="Manuell","",IF(2053&gt;$E9+$F9,IF($D9="Fix",$G9,$G9*(1+$H9)^($F9)),IF($D9="Fix",$G9,$G9*(1+$H9)^(2053-$E9))))))</f>
        <v/>
      </c>
      <c r="AS9" s="16">
        <f>IF($A9="","",IF(2054&lt;$E9,"",IF($D9="Manuell","",IF(2054&gt;$E9+$F9,IF($D9="Fix",$G9,$G9*(1+$H9)^($F9)),IF($D9="Fix",$G9,$G9*(1+$H9)^(2054-$E9))))))</f>
        <v/>
      </c>
      <c r="AT9" s="16">
        <f>IF($A9="","",IF(2055&lt;$E9,"",IF($D9="Manuell","",IF(2055&gt;$E9+$F9,IF($D9="Fix",$G9,$G9*(1+$H9)^($F9)),IF($D9="Fix",$G9,$G9*(1+$H9)^(2055-$E9))))))</f>
        <v/>
      </c>
    </row>
    <row r="10">
      <c r="A10" s="14" t="inlineStr"/>
      <c r="B10" s="14" t="inlineStr"/>
      <c r="C10" s="14" t="inlineStr"/>
      <c r="D10" s="14" t="inlineStr"/>
      <c r="E10" s="11" t="inlineStr"/>
      <c r="F10" s="11" t="inlineStr"/>
      <c r="G10" s="15" t="inlineStr"/>
      <c r="H10" s="15" t="inlineStr"/>
      <c r="I10" s="16">
        <f>IF($A10="","",IF(2018&lt;$E10,"",IF($D10="Manuell","",IF(2018&gt;$E10+$F10,IF($D10="Fix",$G10,$G10*(1+$H10)^($F10)),IF($D10="Fix",$G10,$G10*(1+$H10)^(2018-$E10))))))</f>
        <v/>
      </c>
      <c r="J10" s="16">
        <f>IF($A10="","",IF(2019&lt;$E10,"",IF($D10="Manuell","",IF(2019&gt;$E10+$F10,IF($D10="Fix",$G10,$G10*(1+$H10)^($F10)),IF($D10="Fix",$G10,$G10*(1+$H10)^(2019-$E10))))))</f>
        <v/>
      </c>
      <c r="K10" s="16">
        <f>IF($A10="","",IF(2020&lt;$E10,"",IF($D10="Manuell","",IF(2020&gt;$E10+$F10,IF($D10="Fix",$G10,$G10*(1+$H10)^($F10)),IF($D10="Fix",$G10,$G10*(1+$H10)^(2020-$E10))))))</f>
        <v/>
      </c>
      <c r="L10" s="16">
        <f>IF($A10="","",IF(2021&lt;$E10,"",IF($D10="Manuell","",IF(2021&gt;$E10+$F10,IF($D10="Fix",$G10,$G10*(1+$H10)^($F10)),IF($D10="Fix",$G10,$G10*(1+$H10)^(2021-$E10))))))</f>
        <v/>
      </c>
      <c r="M10" s="16">
        <f>IF($A10="","",IF(2022&lt;$E10,"",IF($D10="Manuell","",IF(2022&gt;$E10+$F10,IF($D10="Fix",$G10,$G10*(1+$H10)^($F10)),IF($D10="Fix",$G10,$G10*(1+$H10)^(2022-$E10))))))</f>
        <v/>
      </c>
      <c r="N10" s="16">
        <f>IF($A10="","",IF(2023&lt;$E10,"",IF($D10="Manuell","",IF(2023&gt;$E10+$F10,IF($D10="Fix",$G10,$G10*(1+$H10)^($F10)),IF($D10="Fix",$G10,$G10*(1+$H10)^(2023-$E10))))))</f>
        <v/>
      </c>
      <c r="O10" s="16">
        <f>IF($A10="","",IF(2024&lt;$E10,"",IF($D10="Manuell","",IF(2024&gt;$E10+$F10,IF($D10="Fix",$G10,$G10*(1+$H10)^($F10)),IF($D10="Fix",$G10,$G10*(1+$H10)^(2024-$E10))))))</f>
        <v/>
      </c>
      <c r="P10" s="16">
        <f>IF($A10="","",IF(2025&lt;$E10,"",IF($D10="Manuell","",IF(2025&gt;$E10+$F10,IF($D10="Fix",$G10,$G10*(1+$H10)^($F10)),IF($D10="Fix",$G10,$G10*(1+$H10)^(2025-$E10))))))</f>
        <v/>
      </c>
      <c r="Q10" s="16">
        <f>IF($A10="","",IF(2026&lt;$E10,"",IF($D10="Manuell","",IF(2026&gt;$E10+$F10,IF($D10="Fix",$G10,$G10*(1+$H10)^($F10)),IF($D10="Fix",$G10,$G10*(1+$H10)^(2026-$E10))))))</f>
        <v/>
      </c>
      <c r="R10" s="16">
        <f>IF($A10="","",IF(2027&lt;$E10,"",IF($D10="Manuell","",IF(2027&gt;$E10+$F10,IF($D10="Fix",$G10,$G10*(1+$H10)^($F10)),IF($D10="Fix",$G10,$G10*(1+$H10)^(2027-$E10))))))</f>
        <v/>
      </c>
      <c r="S10" s="16">
        <f>IF($A10="","",IF(2028&lt;$E10,"",IF($D10="Manuell","",IF(2028&gt;$E10+$F10,IF($D10="Fix",$G10,$G10*(1+$H10)^($F10)),IF($D10="Fix",$G10,$G10*(1+$H10)^(2028-$E10))))))</f>
        <v/>
      </c>
      <c r="T10" s="16">
        <f>IF($A10="","",IF(2029&lt;$E10,"",IF($D10="Manuell","",IF(2029&gt;$E10+$F10,IF($D10="Fix",$G10,$G10*(1+$H10)^($F10)),IF($D10="Fix",$G10,$G10*(1+$H10)^(2029-$E10))))))</f>
        <v/>
      </c>
      <c r="U10" s="16">
        <f>IF($A10="","",IF(2030&lt;$E10,"",IF($D10="Manuell","",IF(2030&gt;$E10+$F10,IF($D10="Fix",$G10,$G10*(1+$H10)^($F10)),IF($D10="Fix",$G10,$G10*(1+$H10)^(2030-$E10))))))</f>
        <v/>
      </c>
      <c r="V10" s="16">
        <f>IF($A10="","",IF(2031&lt;$E10,"",IF($D10="Manuell","",IF(2031&gt;$E10+$F10,IF($D10="Fix",$G10,$G10*(1+$H10)^($F10)),IF($D10="Fix",$G10,$G10*(1+$H10)^(2031-$E10))))))</f>
        <v/>
      </c>
      <c r="W10" s="16">
        <f>IF($A10="","",IF(2032&lt;$E10,"",IF($D10="Manuell","",IF(2032&gt;$E10+$F10,IF($D10="Fix",$G10,$G10*(1+$H10)^($F10)),IF($D10="Fix",$G10,$G10*(1+$H10)^(2032-$E10))))))</f>
        <v/>
      </c>
      <c r="X10" s="16">
        <f>IF($A10="","",IF(2033&lt;$E10,"",IF($D10="Manuell","",IF(2033&gt;$E10+$F10,IF($D10="Fix",$G10,$G10*(1+$H10)^($F10)),IF($D10="Fix",$G10,$G10*(1+$H10)^(2033-$E10))))))</f>
        <v/>
      </c>
      <c r="Y10" s="16">
        <f>IF($A10="","",IF(2034&lt;$E10,"",IF($D10="Manuell","",IF(2034&gt;$E10+$F10,IF($D10="Fix",$G10,$G10*(1+$H10)^($F10)),IF($D10="Fix",$G10,$G10*(1+$H10)^(2034-$E10))))))</f>
        <v/>
      </c>
      <c r="Z10" s="16">
        <f>IF($A10="","",IF(2035&lt;$E10,"",IF($D10="Manuell","",IF(2035&gt;$E10+$F10,IF($D10="Fix",$G10,$G10*(1+$H10)^($F10)),IF($D10="Fix",$G10,$G10*(1+$H10)^(2035-$E10))))))</f>
        <v/>
      </c>
      <c r="AA10" s="16">
        <f>IF($A10="","",IF(2036&lt;$E10,"",IF($D10="Manuell","",IF(2036&gt;$E10+$F10,IF($D10="Fix",$G10,$G10*(1+$H10)^($F10)),IF($D10="Fix",$G10,$G10*(1+$H10)^(2036-$E10))))))</f>
        <v/>
      </c>
      <c r="AB10" s="16">
        <f>IF($A10="","",IF(2037&lt;$E10,"",IF($D10="Manuell","",IF(2037&gt;$E10+$F10,IF($D10="Fix",$G10,$G10*(1+$H10)^($F10)),IF($D10="Fix",$G10,$G10*(1+$H10)^(2037-$E10))))))</f>
        <v/>
      </c>
      <c r="AC10" s="16">
        <f>IF($A10="","",IF(2038&lt;$E10,"",IF($D10="Manuell","",IF(2038&gt;$E10+$F10,IF($D10="Fix",$G10,$G10*(1+$H10)^($F10)),IF($D10="Fix",$G10,$G10*(1+$H10)^(2038-$E10))))))</f>
        <v/>
      </c>
      <c r="AD10" s="16">
        <f>IF($A10="","",IF(2039&lt;$E10,"",IF($D10="Manuell","",IF(2039&gt;$E10+$F10,IF($D10="Fix",$G10,$G10*(1+$H10)^($F10)),IF($D10="Fix",$G10,$G10*(1+$H10)^(2039-$E10))))))</f>
        <v/>
      </c>
      <c r="AE10" s="16">
        <f>IF($A10="","",IF(2040&lt;$E10,"",IF($D10="Manuell","",IF(2040&gt;$E10+$F10,IF($D10="Fix",$G10,$G10*(1+$H10)^($F10)),IF($D10="Fix",$G10,$G10*(1+$H10)^(2040-$E10))))))</f>
        <v/>
      </c>
      <c r="AF10" s="16">
        <f>IF($A10="","",IF(2041&lt;$E10,"",IF($D10="Manuell","",IF(2041&gt;$E10+$F10,IF($D10="Fix",$G10,$G10*(1+$H10)^($F10)),IF($D10="Fix",$G10,$G10*(1+$H10)^(2041-$E10))))))</f>
        <v/>
      </c>
      <c r="AG10" s="16">
        <f>IF($A10="","",IF(2042&lt;$E10,"",IF($D10="Manuell","",IF(2042&gt;$E10+$F10,IF($D10="Fix",$G10,$G10*(1+$H10)^($F10)),IF($D10="Fix",$G10,$G10*(1+$H10)^(2042-$E10))))))</f>
        <v/>
      </c>
      <c r="AH10" s="16">
        <f>IF($A10="","",IF(2043&lt;$E10,"",IF($D10="Manuell","",IF(2043&gt;$E10+$F10,IF($D10="Fix",$G10,$G10*(1+$H10)^($F10)),IF($D10="Fix",$G10,$G10*(1+$H10)^(2043-$E10))))))</f>
        <v/>
      </c>
      <c r="AI10" s="16">
        <f>IF($A10="","",IF(2044&lt;$E10,"",IF($D10="Manuell","",IF(2044&gt;$E10+$F10,IF($D10="Fix",$G10,$G10*(1+$H10)^($F10)),IF($D10="Fix",$G10,$G10*(1+$H10)^(2044-$E10))))))</f>
        <v/>
      </c>
      <c r="AJ10" s="16">
        <f>IF($A10="","",IF(2045&lt;$E10,"",IF($D10="Manuell","",IF(2045&gt;$E10+$F10,IF($D10="Fix",$G10,$G10*(1+$H10)^($F10)),IF($D10="Fix",$G10,$G10*(1+$H10)^(2045-$E10))))))</f>
        <v/>
      </c>
      <c r="AK10" s="16">
        <f>IF($A10="","",IF(2046&lt;$E10,"",IF($D10="Manuell","",IF(2046&gt;$E10+$F10,IF($D10="Fix",$G10,$G10*(1+$H10)^($F10)),IF($D10="Fix",$G10,$G10*(1+$H10)^(2046-$E10))))))</f>
        <v/>
      </c>
      <c r="AL10" s="16">
        <f>IF($A10="","",IF(2047&lt;$E10,"",IF($D10="Manuell","",IF(2047&gt;$E10+$F10,IF($D10="Fix",$G10,$G10*(1+$H10)^($F10)),IF($D10="Fix",$G10,$G10*(1+$H10)^(2047-$E10))))))</f>
        <v/>
      </c>
      <c r="AM10" s="16">
        <f>IF($A10="","",IF(2048&lt;$E10,"",IF($D10="Manuell","",IF(2048&gt;$E10+$F10,IF($D10="Fix",$G10,$G10*(1+$H10)^($F10)),IF($D10="Fix",$G10,$G10*(1+$H10)^(2048-$E10))))))</f>
        <v/>
      </c>
      <c r="AN10" s="16">
        <f>IF($A10="","",IF(2049&lt;$E10,"",IF($D10="Manuell","",IF(2049&gt;$E10+$F10,IF($D10="Fix",$G10,$G10*(1+$H10)^($F10)),IF($D10="Fix",$G10,$G10*(1+$H10)^(2049-$E10))))))</f>
        <v/>
      </c>
      <c r="AO10" s="16">
        <f>IF($A10="","",IF(2050&lt;$E10,"",IF($D10="Manuell","",IF(2050&gt;$E10+$F10,IF($D10="Fix",$G10,$G10*(1+$H10)^($F10)),IF($D10="Fix",$G10,$G10*(1+$H10)^(2050-$E10))))))</f>
        <v/>
      </c>
      <c r="AP10" s="16">
        <f>IF($A10="","",IF(2051&lt;$E10,"",IF($D10="Manuell","",IF(2051&gt;$E10+$F10,IF($D10="Fix",$G10,$G10*(1+$H10)^($F10)),IF($D10="Fix",$G10,$G10*(1+$H10)^(2051-$E10))))))</f>
        <v/>
      </c>
      <c r="AQ10" s="16">
        <f>IF($A10="","",IF(2052&lt;$E10,"",IF($D10="Manuell","",IF(2052&gt;$E10+$F10,IF($D10="Fix",$G10,$G10*(1+$H10)^($F10)),IF($D10="Fix",$G10,$G10*(1+$H10)^(2052-$E10))))))</f>
        <v/>
      </c>
      <c r="AR10" s="16">
        <f>IF($A10="","",IF(2053&lt;$E10,"",IF($D10="Manuell","",IF(2053&gt;$E10+$F10,IF($D10="Fix",$G10,$G10*(1+$H10)^($F10)),IF($D10="Fix",$G10,$G10*(1+$H10)^(2053-$E10))))))</f>
        <v/>
      </c>
      <c r="AS10" s="16">
        <f>IF($A10="","",IF(2054&lt;$E10,"",IF($D10="Manuell","",IF(2054&gt;$E10+$F10,IF($D10="Fix",$G10,$G10*(1+$H10)^($F10)),IF($D10="Fix",$G10,$G10*(1+$H10)^(2054-$E10))))))</f>
        <v/>
      </c>
      <c r="AT10" s="16">
        <f>IF($A10="","",IF(2055&lt;$E10,"",IF($D10="Manuell","",IF(2055&gt;$E10+$F10,IF($D10="Fix",$G10,$G10*(1+$H10)^($F10)),IF($D10="Fix",$G10,$G10*(1+$H10)^(2055-$E10))))))</f>
        <v/>
      </c>
    </row>
    <row r="11">
      <c r="A11" s="14" t="inlineStr"/>
      <c r="B11" s="14" t="inlineStr"/>
      <c r="C11" s="14" t="inlineStr"/>
      <c r="D11" s="14" t="inlineStr"/>
      <c r="E11" s="11" t="inlineStr"/>
      <c r="F11" s="11" t="inlineStr"/>
      <c r="G11" s="15" t="inlineStr"/>
      <c r="H11" s="15" t="inlineStr"/>
      <c r="I11" s="16">
        <f>IF($A11="","",IF(2018&lt;$E11,"",IF($D11="Manuell","",IF(2018&gt;$E11+$F11,IF($D11="Fix",$G11,$G11*(1+$H11)^($F11)),IF($D11="Fix",$G11,$G11*(1+$H11)^(2018-$E11))))))</f>
        <v/>
      </c>
      <c r="J11" s="16">
        <f>IF($A11="","",IF(2019&lt;$E11,"",IF($D11="Manuell","",IF(2019&gt;$E11+$F11,IF($D11="Fix",$G11,$G11*(1+$H11)^($F11)),IF($D11="Fix",$G11,$G11*(1+$H11)^(2019-$E11))))))</f>
        <v/>
      </c>
      <c r="K11" s="16">
        <f>IF($A11="","",IF(2020&lt;$E11,"",IF($D11="Manuell","",IF(2020&gt;$E11+$F11,IF($D11="Fix",$G11,$G11*(1+$H11)^($F11)),IF($D11="Fix",$G11,$G11*(1+$H11)^(2020-$E11))))))</f>
        <v/>
      </c>
      <c r="L11" s="16">
        <f>IF($A11="","",IF(2021&lt;$E11,"",IF($D11="Manuell","",IF(2021&gt;$E11+$F11,IF($D11="Fix",$G11,$G11*(1+$H11)^($F11)),IF($D11="Fix",$G11,$G11*(1+$H11)^(2021-$E11))))))</f>
        <v/>
      </c>
      <c r="M11" s="16">
        <f>IF($A11="","",IF(2022&lt;$E11,"",IF($D11="Manuell","",IF(2022&gt;$E11+$F11,IF($D11="Fix",$G11,$G11*(1+$H11)^($F11)),IF($D11="Fix",$G11,$G11*(1+$H11)^(2022-$E11))))))</f>
        <v/>
      </c>
      <c r="N11" s="16">
        <f>IF($A11="","",IF(2023&lt;$E11,"",IF($D11="Manuell","",IF(2023&gt;$E11+$F11,IF($D11="Fix",$G11,$G11*(1+$H11)^($F11)),IF($D11="Fix",$G11,$G11*(1+$H11)^(2023-$E11))))))</f>
        <v/>
      </c>
      <c r="O11" s="16">
        <f>IF($A11="","",IF(2024&lt;$E11,"",IF($D11="Manuell","",IF(2024&gt;$E11+$F11,IF($D11="Fix",$G11,$G11*(1+$H11)^($F11)),IF($D11="Fix",$G11,$G11*(1+$H11)^(2024-$E11))))))</f>
        <v/>
      </c>
      <c r="P11" s="16">
        <f>IF($A11="","",IF(2025&lt;$E11,"",IF($D11="Manuell","",IF(2025&gt;$E11+$F11,IF($D11="Fix",$G11,$G11*(1+$H11)^($F11)),IF($D11="Fix",$G11,$G11*(1+$H11)^(2025-$E11))))))</f>
        <v/>
      </c>
      <c r="Q11" s="16">
        <f>IF($A11="","",IF(2026&lt;$E11,"",IF($D11="Manuell","",IF(2026&gt;$E11+$F11,IF($D11="Fix",$G11,$G11*(1+$H11)^($F11)),IF($D11="Fix",$G11,$G11*(1+$H11)^(2026-$E11))))))</f>
        <v/>
      </c>
      <c r="R11" s="16">
        <f>IF($A11="","",IF(2027&lt;$E11,"",IF($D11="Manuell","",IF(2027&gt;$E11+$F11,IF($D11="Fix",$G11,$G11*(1+$H11)^($F11)),IF($D11="Fix",$G11,$G11*(1+$H11)^(2027-$E11))))))</f>
        <v/>
      </c>
      <c r="S11" s="16">
        <f>IF($A11="","",IF(2028&lt;$E11,"",IF($D11="Manuell","",IF(2028&gt;$E11+$F11,IF($D11="Fix",$G11,$G11*(1+$H11)^($F11)),IF($D11="Fix",$G11,$G11*(1+$H11)^(2028-$E11))))))</f>
        <v/>
      </c>
      <c r="T11" s="16">
        <f>IF($A11="","",IF(2029&lt;$E11,"",IF($D11="Manuell","",IF(2029&gt;$E11+$F11,IF($D11="Fix",$G11,$G11*(1+$H11)^($F11)),IF($D11="Fix",$G11,$G11*(1+$H11)^(2029-$E11))))))</f>
        <v/>
      </c>
      <c r="U11" s="16">
        <f>IF($A11="","",IF(2030&lt;$E11,"",IF($D11="Manuell","",IF(2030&gt;$E11+$F11,IF($D11="Fix",$G11,$G11*(1+$H11)^($F11)),IF($D11="Fix",$G11,$G11*(1+$H11)^(2030-$E11))))))</f>
        <v/>
      </c>
      <c r="V11" s="16">
        <f>IF($A11="","",IF(2031&lt;$E11,"",IF($D11="Manuell","",IF(2031&gt;$E11+$F11,IF($D11="Fix",$G11,$G11*(1+$H11)^($F11)),IF($D11="Fix",$G11,$G11*(1+$H11)^(2031-$E11))))))</f>
        <v/>
      </c>
      <c r="W11" s="16">
        <f>IF($A11="","",IF(2032&lt;$E11,"",IF($D11="Manuell","",IF(2032&gt;$E11+$F11,IF($D11="Fix",$G11,$G11*(1+$H11)^($F11)),IF($D11="Fix",$G11,$G11*(1+$H11)^(2032-$E11))))))</f>
        <v/>
      </c>
      <c r="X11" s="16">
        <f>IF($A11="","",IF(2033&lt;$E11,"",IF($D11="Manuell","",IF(2033&gt;$E11+$F11,IF($D11="Fix",$G11,$G11*(1+$H11)^($F11)),IF($D11="Fix",$G11,$G11*(1+$H11)^(2033-$E11))))))</f>
        <v/>
      </c>
      <c r="Y11" s="16">
        <f>IF($A11="","",IF(2034&lt;$E11,"",IF($D11="Manuell","",IF(2034&gt;$E11+$F11,IF($D11="Fix",$G11,$G11*(1+$H11)^($F11)),IF($D11="Fix",$G11,$G11*(1+$H11)^(2034-$E11))))))</f>
        <v/>
      </c>
      <c r="Z11" s="16">
        <f>IF($A11="","",IF(2035&lt;$E11,"",IF($D11="Manuell","",IF(2035&gt;$E11+$F11,IF($D11="Fix",$G11,$G11*(1+$H11)^($F11)),IF($D11="Fix",$G11,$G11*(1+$H11)^(2035-$E11))))))</f>
        <v/>
      </c>
      <c r="AA11" s="16">
        <f>IF($A11="","",IF(2036&lt;$E11,"",IF($D11="Manuell","",IF(2036&gt;$E11+$F11,IF($D11="Fix",$G11,$G11*(1+$H11)^($F11)),IF($D11="Fix",$G11,$G11*(1+$H11)^(2036-$E11))))))</f>
        <v/>
      </c>
      <c r="AB11" s="16">
        <f>IF($A11="","",IF(2037&lt;$E11,"",IF($D11="Manuell","",IF(2037&gt;$E11+$F11,IF($D11="Fix",$G11,$G11*(1+$H11)^($F11)),IF($D11="Fix",$G11,$G11*(1+$H11)^(2037-$E11))))))</f>
        <v/>
      </c>
      <c r="AC11" s="16">
        <f>IF($A11="","",IF(2038&lt;$E11,"",IF($D11="Manuell","",IF(2038&gt;$E11+$F11,IF($D11="Fix",$G11,$G11*(1+$H11)^($F11)),IF($D11="Fix",$G11,$G11*(1+$H11)^(2038-$E11))))))</f>
        <v/>
      </c>
      <c r="AD11" s="16">
        <f>IF($A11="","",IF(2039&lt;$E11,"",IF($D11="Manuell","",IF(2039&gt;$E11+$F11,IF($D11="Fix",$G11,$G11*(1+$H11)^($F11)),IF($D11="Fix",$G11,$G11*(1+$H11)^(2039-$E11))))))</f>
        <v/>
      </c>
      <c r="AE11" s="16">
        <f>IF($A11="","",IF(2040&lt;$E11,"",IF($D11="Manuell","",IF(2040&gt;$E11+$F11,IF($D11="Fix",$G11,$G11*(1+$H11)^($F11)),IF($D11="Fix",$G11,$G11*(1+$H11)^(2040-$E11))))))</f>
        <v/>
      </c>
      <c r="AF11" s="16">
        <f>IF($A11="","",IF(2041&lt;$E11,"",IF($D11="Manuell","",IF(2041&gt;$E11+$F11,IF($D11="Fix",$G11,$G11*(1+$H11)^($F11)),IF($D11="Fix",$G11,$G11*(1+$H11)^(2041-$E11))))))</f>
        <v/>
      </c>
      <c r="AG11" s="16">
        <f>IF($A11="","",IF(2042&lt;$E11,"",IF($D11="Manuell","",IF(2042&gt;$E11+$F11,IF($D11="Fix",$G11,$G11*(1+$H11)^($F11)),IF($D11="Fix",$G11,$G11*(1+$H11)^(2042-$E11))))))</f>
        <v/>
      </c>
      <c r="AH11" s="16">
        <f>IF($A11="","",IF(2043&lt;$E11,"",IF($D11="Manuell","",IF(2043&gt;$E11+$F11,IF($D11="Fix",$G11,$G11*(1+$H11)^($F11)),IF($D11="Fix",$G11,$G11*(1+$H11)^(2043-$E11))))))</f>
        <v/>
      </c>
      <c r="AI11" s="16">
        <f>IF($A11="","",IF(2044&lt;$E11,"",IF($D11="Manuell","",IF(2044&gt;$E11+$F11,IF($D11="Fix",$G11,$G11*(1+$H11)^($F11)),IF($D11="Fix",$G11,$G11*(1+$H11)^(2044-$E11))))))</f>
        <v/>
      </c>
      <c r="AJ11" s="16">
        <f>IF($A11="","",IF(2045&lt;$E11,"",IF($D11="Manuell","",IF(2045&gt;$E11+$F11,IF($D11="Fix",$G11,$G11*(1+$H11)^($F11)),IF($D11="Fix",$G11,$G11*(1+$H11)^(2045-$E11))))))</f>
        <v/>
      </c>
      <c r="AK11" s="16">
        <f>IF($A11="","",IF(2046&lt;$E11,"",IF($D11="Manuell","",IF(2046&gt;$E11+$F11,IF($D11="Fix",$G11,$G11*(1+$H11)^($F11)),IF($D11="Fix",$G11,$G11*(1+$H11)^(2046-$E11))))))</f>
        <v/>
      </c>
      <c r="AL11" s="16">
        <f>IF($A11="","",IF(2047&lt;$E11,"",IF($D11="Manuell","",IF(2047&gt;$E11+$F11,IF($D11="Fix",$G11,$G11*(1+$H11)^($F11)),IF($D11="Fix",$G11,$G11*(1+$H11)^(2047-$E11))))))</f>
        <v/>
      </c>
      <c r="AM11" s="16">
        <f>IF($A11="","",IF(2048&lt;$E11,"",IF($D11="Manuell","",IF(2048&gt;$E11+$F11,IF($D11="Fix",$G11,$G11*(1+$H11)^($F11)),IF($D11="Fix",$G11,$G11*(1+$H11)^(2048-$E11))))))</f>
        <v/>
      </c>
      <c r="AN11" s="16">
        <f>IF($A11="","",IF(2049&lt;$E11,"",IF($D11="Manuell","",IF(2049&gt;$E11+$F11,IF($D11="Fix",$G11,$G11*(1+$H11)^($F11)),IF($D11="Fix",$G11,$G11*(1+$H11)^(2049-$E11))))))</f>
        <v/>
      </c>
      <c r="AO11" s="16">
        <f>IF($A11="","",IF(2050&lt;$E11,"",IF($D11="Manuell","",IF(2050&gt;$E11+$F11,IF($D11="Fix",$G11,$G11*(1+$H11)^($F11)),IF($D11="Fix",$G11,$G11*(1+$H11)^(2050-$E11))))))</f>
        <v/>
      </c>
      <c r="AP11" s="16">
        <f>IF($A11="","",IF(2051&lt;$E11,"",IF($D11="Manuell","",IF(2051&gt;$E11+$F11,IF($D11="Fix",$G11,$G11*(1+$H11)^($F11)),IF($D11="Fix",$G11,$G11*(1+$H11)^(2051-$E11))))))</f>
        <v/>
      </c>
      <c r="AQ11" s="16">
        <f>IF($A11="","",IF(2052&lt;$E11,"",IF($D11="Manuell","",IF(2052&gt;$E11+$F11,IF($D11="Fix",$G11,$G11*(1+$H11)^($F11)),IF($D11="Fix",$G11,$G11*(1+$H11)^(2052-$E11))))))</f>
        <v/>
      </c>
      <c r="AR11" s="16">
        <f>IF($A11="","",IF(2053&lt;$E11,"",IF($D11="Manuell","",IF(2053&gt;$E11+$F11,IF($D11="Fix",$G11,$G11*(1+$H11)^($F11)),IF($D11="Fix",$G11,$G11*(1+$H11)^(2053-$E11))))))</f>
        <v/>
      </c>
      <c r="AS11" s="16">
        <f>IF($A11="","",IF(2054&lt;$E11,"",IF($D11="Manuell","",IF(2054&gt;$E11+$F11,IF($D11="Fix",$G11,$G11*(1+$H11)^($F11)),IF($D11="Fix",$G11,$G11*(1+$H11)^(2054-$E11))))))</f>
        <v/>
      </c>
      <c r="AT11" s="16">
        <f>IF($A11="","",IF(2055&lt;$E11,"",IF($D11="Manuell","",IF(2055&gt;$E11+$F11,IF($D11="Fix",$G11,$G11*(1+$H11)^($F11)),IF($D11="Fix",$G11,$G11*(1+$H11)^(2055-$E11))))))</f>
        <v/>
      </c>
    </row>
    <row r="12">
      <c r="A12" s="14" t="inlineStr"/>
      <c r="B12" s="14" t="inlineStr"/>
      <c r="C12" s="14" t="inlineStr"/>
      <c r="D12" s="14" t="inlineStr"/>
      <c r="E12" s="11" t="inlineStr"/>
      <c r="F12" s="11" t="inlineStr"/>
      <c r="G12" s="15" t="inlineStr"/>
      <c r="H12" s="15" t="inlineStr"/>
      <c r="I12" s="16">
        <f>IF($A12="","",IF(2018&lt;$E12,"",IF($D12="Manuell","",IF(2018&gt;$E12+$F12,IF($D12="Fix",$G12,$G12*(1+$H12)^($F12)),IF($D12="Fix",$G12,$G12*(1+$H12)^(2018-$E12))))))</f>
        <v/>
      </c>
      <c r="J12" s="16">
        <f>IF($A12="","",IF(2019&lt;$E12,"",IF($D12="Manuell","",IF(2019&gt;$E12+$F12,IF($D12="Fix",$G12,$G12*(1+$H12)^($F12)),IF($D12="Fix",$G12,$G12*(1+$H12)^(2019-$E12))))))</f>
        <v/>
      </c>
      <c r="K12" s="16">
        <f>IF($A12="","",IF(2020&lt;$E12,"",IF($D12="Manuell","",IF(2020&gt;$E12+$F12,IF($D12="Fix",$G12,$G12*(1+$H12)^($F12)),IF($D12="Fix",$G12,$G12*(1+$H12)^(2020-$E12))))))</f>
        <v/>
      </c>
      <c r="L12" s="16">
        <f>IF($A12="","",IF(2021&lt;$E12,"",IF($D12="Manuell","",IF(2021&gt;$E12+$F12,IF($D12="Fix",$G12,$G12*(1+$H12)^($F12)),IF($D12="Fix",$G12,$G12*(1+$H12)^(2021-$E12))))))</f>
        <v/>
      </c>
      <c r="M12" s="16">
        <f>IF($A12="","",IF(2022&lt;$E12,"",IF($D12="Manuell","",IF(2022&gt;$E12+$F12,IF($D12="Fix",$G12,$G12*(1+$H12)^($F12)),IF($D12="Fix",$G12,$G12*(1+$H12)^(2022-$E12))))))</f>
        <v/>
      </c>
      <c r="N12" s="16">
        <f>IF($A12="","",IF(2023&lt;$E12,"",IF($D12="Manuell","",IF(2023&gt;$E12+$F12,IF($D12="Fix",$G12,$G12*(1+$H12)^($F12)),IF($D12="Fix",$G12,$G12*(1+$H12)^(2023-$E12))))))</f>
        <v/>
      </c>
      <c r="O12" s="16">
        <f>IF($A12="","",IF(2024&lt;$E12,"",IF($D12="Manuell","",IF(2024&gt;$E12+$F12,IF($D12="Fix",$G12,$G12*(1+$H12)^($F12)),IF($D12="Fix",$G12,$G12*(1+$H12)^(2024-$E12))))))</f>
        <v/>
      </c>
      <c r="P12" s="16">
        <f>IF($A12="","",IF(2025&lt;$E12,"",IF($D12="Manuell","",IF(2025&gt;$E12+$F12,IF($D12="Fix",$G12,$G12*(1+$H12)^($F12)),IF($D12="Fix",$G12,$G12*(1+$H12)^(2025-$E12))))))</f>
        <v/>
      </c>
      <c r="Q12" s="16">
        <f>IF($A12="","",IF(2026&lt;$E12,"",IF($D12="Manuell","",IF(2026&gt;$E12+$F12,IF($D12="Fix",$G12,$G12*(1+$H12)^($F12)),IF($D12="Fix",$G12,$G12*(1+$H12)^(2026-$E12))))))</f>
        <v/>
      </c>
      <c r="R12" s="16">
        <f>IF($A12="","",IF(2027&lt;$E12,"",IF($D12="Manuell","",IF(2027&gt;$E12+$F12,IF($D12="Fix",$G12,$G12*(1+$H12)^($F12)),IF($D12="Fix",$G12,$G12*(1+$H12)^(2027-$E12))))))</f>
        <v/>
      </c>
      <c r="S12" s="16">
        <f>IF($A12="","",IF(2028&lt;$E12,"",IF($D12="Manuell","",IF(2028&gt;$E12+$F12,IF($D12="Fix",$G12,$G12*(1+$H12)^($F12)),IF($D12="Fix",$G12,$G12*(1+$H12)^(2028-$E12))))))</f>
        <v/>
      </c>
      <c r="T12" s="16">
        <f>IF($A12="","",IF(2029&lt;$E12,"",IF($D12="Manuell","",IF(2029&gt;$E12+$F12,IF($D12="Fix",$G12,$G12*(1+$H12)^($F12)),IF($D12="Fix",$G12,$G12*(1+$H12)^(2029-$E12))))))</f>
        <v/>
      </c>
      <c r="U12" s="16">
        <f>IF($A12="","",IF(2030&lt;$E12,"",IF($D12="Manuell","",IF(2030&gt;$E12+$F12,IF($D12="Fix",$G12,$G12*(1+$H12)^($F12)),IF($D12="Fix",$G12,$G12*(1+$H12)^(2030-$E12))))))</f>
        <v/>
      </c>
      <c r="V12" s="16">
        <f>IF($A12="","",IF(2031&lt;$E12,"",IF($D12="Manuell","",IF(2031&gt;$E12+$F12,IF($D12="Fix",$G12,$G12*(1+$H12)^($F12)),IF($D12="Fix",$G12,$G12*(1+$H12)^(2031-$E12))))))</f>
        <v/>
      </c>
      <c r="W12" s="16">
        <f>IF($A12="","",IF(2032&lt;$E12,"",IF($D12="Manuell","",IF(2032&gt;$E12+$F12,IF($D12="Fix",$G12,$G12*(1+$H12)^($F12)),IF($D12="Fix",$G12,$G12*(1+$H12)^(2032-$E12))))))</f>
        <v/>
      </c>
      <c r="X12" s="16">
        <f>IF($A12="","",IF(2033&lt;$E12,"",IF($D12="Manuell","",IF(2033&gt;$E12+$F12,IF($D12="Fix",$G12,$G12*(1+$H12)^($F12)),IF($D12="Fix",$G12,$G12*(1+$H12)^(2033-$E12))))))</f>
        <v/>
      </c>
      <c r="Y12" s="16">
        <f>IF($A12="","",IF(2034&lt;$E12,"",IF($D12="Manuell","",IF(2034&gt;$E12+$F12,IF($D12="Fix",$G12,$G12*(1+$H12)^($F12)),IF($D12="Fix",$G12,$G12*(1+$H12)^(2034-$E12))))))</f>
        <v/>
      </c>
      <c r="Z12" s="16">
        <f>IF($A12="","",IF(2035&lt;$E12,"",IF($D12="Manuell","",IF(2035&gt;$E12+$F12,IF($D12="Fix",$G12,$G12*(1+$H12)^($F12)),IF($D12="Fix",$G12,$G12*(1+$H12)^(2035-$E12))))))</f>
        <v/>
      </c>
      <c r="AA12" s="16">
        <f>IF($A12="","",IF(2036&lt;$E12,"",IF($D12="Manuell","",IF(2036&gt;$E12+$F12,IF($D12="Fix",$G12,$G12*(1+$H12)^($F12)),IF($D12="Fix",$G12,$G12*(1+$H12)^(2036-$E12))))))</f>
        <v/>
      </c>
      <c r="AB12" s="16">
        <f>IF($A12="","",IF(2037&lt;$E12,"",IF($D12="Manuell","",IF(2037&gt;$E12+$F12,IF($D12="Fix",$G12,$G12*(1+$H12)^($F12)),IF($D12="Fix",$G12,$G12*(1+$H12)^(2037-$E12))))))</f>
        <v/>
      </c>
      <c r="AC12" s="16">
        <f>IF($A12="","",IF(2038&lt;$E12,"",IF($D12="Manuell","",IF(2038&gt;$E12+$F12,IF($D12="Fix",$G12,$G12*(1+$H12)^($F12)),IF($D12="Fix",$G12,$G12*(1+$H12)^(2038-$E12))))))</f>
        <v/>
      </c>
      <c r="AD12" s="16">
        <f>IF($A12="","",IF(2039&lt;$E12,"",IF($D12="Manuell","",IF(2039&gt;$E12+$F12,IF($D12="Fix",$G12,$G12*(1+$H12)^($F12)),IF($D12="Fix",$G12,$G12*(1+$H12)^(2039-$E12))))))</f>
        <v/>
      </c>
      <c r="AE12" s="16">
        <f>IF($A12="","",IF(2040&lt;$E12,"",IF($D12="Manuell","",IF(2040&gt;$E12+$F12,IF($D12="Fix",$G12,$G12*(1+$H12)^($F12)),IF($D12="Fix",$G12,$G12*(1+$H12)^(2040-$E12))))))</f>
        <v/>
      </c>
      <c r="AF12" s="16">
        <f>IF($A12="","",IF(2041&lt;$E12,"",IF($D12="Manuell","",IF(2041&gt;$E12+$F12,IF($D12="Fix",$G12,$G12*(1+$H12)^($F12)),IF($D12="Fix",$G12,$G12*(1+$H12)^(2041-$E12))))))</f>
        <v/>
      </c>
      <c r="AG12" s="16">
        <f>IF($A12="","",IF(2042&lt;$E12,"",IF($D12="Manuell","",IF(2042&gt;$E12+$F12,IF($D12="Fix",$G12,$G12*(1+$H12)^($F12)),IF($D12="Fix",$G12,$G12*(1+$H12)^(2042-$E12))))))</f>
        <v/>
      </c>
      <c r="AH12" s="16">
        <f>IF($A12="","",IF(2043&lt;$E12,"",IF($D12="Manuell","",IF(2043&gt;$E12+$F12,IF($D12="Fix",$G12,$G12*(1+$H12)^($F12)),IF($D12="Fix",$G12,$G12*(1+$H12)^(2043-$E12))))))</f>
        <v/>
      </c>
      <c r="AI12" s="16">
        <f>IF($A12="","",IF(2044&lt;$E12,"",IF($D12="Manuell","",IF(2044&gt;$E12+$F12,IF($D12="Fix",$G12,$G12*(1+$H12)^($F12)),IF($D12="Fix",$G12,$G12*(1+$H12)^(2044-$E12))))))</f>
        <v/>
      </c>
      <c r="AJ12" s="16">
        <f>IF($A12="","",IF(2045&lt;$E12,"",IF($D12="Manuell","",IF(2045&gt;$E12+$F12,IF($D12="Fix",$G12,$G12*(1+$H12)^($F12)),IF($D12="Fix",$G12,$G12*(1+$H12)^(2045-$E12))))))</f>
        <v/>
      </c>
      <c r="AK12" s="16">
        <f>IF($A12="","",IF(2046&lt;$E12,"",IF($D12="Manuell","",IF(2046&gt;$E12+$F12,IF($D12="Fix",$G12,$G12*(1+$H12)^($F12)),IF($D12="Fix",$G12,$G12*(1+$H12)^(2046-$E12))))))</f>
        <v/>
      </c>
      <c r="AL12" s="16">
        <f>IF($A12="","",IF(2047&lt;$E12,"",IF($D12="Manuell","",IF(2047&gt;$E12+$F12,IF($D12="Fix",$G12,$G12*(1+$H12)^($F12)),IF($D12="Fix",$G12,$G12*(1+$H12)^(2047-$E12))))))</f>
        <v/>
      </c>
      <c r="AM12" s="16">
        <f>IF($A12="","",IF(2048&lt;$E12,"",IF($D12="Manuell","",IF(2048&gt;$E12+$F12,IF($D12="Fix",$G12,$G12*(1+$H12)^($F12)),IF($D12="Fix",$G12,$G12*(1+$H12)^(2048-$E12))))))</f>
        <v/>
      </c>
      <c r="AN12" s="16">
        <f>IF($A12="","",IF(2049&lt;$E12,"",IF($D12="Manuell","",IF(2049&gt;$E12+$F12,IF($D12="Fix",$G12,$G12*(1+$H12)^($F12)),IF($D12="Fix",$G12,$G12*(1+$H12)^(2049-$E12))))))</f>
        <v/>
      </c>
      <c r="AO12" s="16">
        <f>IF($A12="","",IF(2050&lt;$E12,"",IF($D12="Manuell","",IF(2050&gt;$E12+$F12,IF($D12="Fix",$G12,$G12*(1+$H12)^($F12)),IF($D12="Fix",$G12,$G12*(1+$H12)^(2050-$E12))))))</f>
        <v/>
      </c>
      <c r="AP12" s="16">
        <f>IF($A12="","",IF(2051&lt;$E12,"",IF($D12="Manuell","",IF(2051&gt;$E12+$F12,IF($D12="Fix",$G12,$G12*(1+$H12)^($F12)),IF($D12="Fix",$G12,$G12*(1+$H12)^(2051-$E12))))))</f>
        <v/>
      </c>
      <c r="AQ12" s="16">
        <f>IF($A12="","",IF(2052&lt;$E12,"",IF($D12="Manuell","",IF(2052&gt;$E12+$F12,IF($D12="Fix",$G12,$G12*(1+$H12)^($F12)),IF($D12="Fix",$G12,$G12*(1+$H12)^(2052-$E12))))))</f>
        <v/>
      </c>
      <c r="AR12" s="16">
        <f>IF($A12="","",IF(2053&lt;$E12,"",IF($D12="Manuell","",IF(2053&gt;$E12+$F12,IF($D12="Fix",$G12,$G12*(1+$H12)^($F12)),IF($D12="Fix",$G12,$G12*(1+$H12)^(2053-$E12))))))</f>
        <v/>
      </c>
      <c r="AS12" s="16">
        <f>IF($A12="","",IF(2054&lt;$E12,"",IF($D12="Manuell","",IF(2054&gt;$E12+$F12,IF($D12="Fix",$G12,$G12*(1+$H12)^($F12)),IF($D12="Fix",$G12,$G12*(1+$H12)^(2054-$E12))))))</f>
        <v/>
      </c>
      <c r="AT12" s="16">
        <f>IF($A12="","",IF(2055&lt;$E12,"",IF($D12="Manuell","",IF(2055&gt;$E12+$F12,IF($D12="Fix",$G12,$G12*(1+$H12)^($F12)),IF($D12="Fix",$G12,$G12*(1+$H12)^(2055-$E12))))))</f>
        <v/>
      </c>
    </row>
    <row r="13">
      <c r="A13" s="14" t="inlineStr"/>
      <c r="B13" s="14" t="inlineStr"/>
      <c r="C13" s="14" t="inlineStr"/>
      <c r="D13" s="14" t="inlineStr"/>
      <c r="E13" s="11" t="inlineStr"/>
      <c r="F13" s="11" t="inlineStr"/>
      <c r="G13" s="15" t="inlineStr"/>
      <c r="H13" s="15" t="inlineStr"/>
      <c r="I13" s="16">
        <f>IF($A13="","",IF(2018&lt;$E13,"",IF($D13="Manuell","",IF(2018&gt;$E13+$F13,IF($D13="Fix",$G13,$G13*(1+$H13)^($F13)),IF($D13="Fix",$G13,$G13*(1+$H13)^(2018-$E13))))))</f>
        <v/>
      </c>
      <c r="J13" s="16">
        <f>IF($A13="","",IF(2019&lt;$E13,"",IF($D13="Manuell","",IF(2019&gt;$E13+$F13,IF($D13="Fix",$G13,$G13*(1+$H13)^($F13)),IF($D13="Fix",$G13,$G13*(1+$H13)^(2019-$E13))))))</f>
        <v/>
      </c>
      <c r="K13" s="16">
        <f>IF($A13="","",IF(2020&lt;$E13,"",IF($D13="Manuell","",IF(2020&gt;$E13+$F13,IF($D13="Fix",$G13,$G13*(1+$H13)^($F13)),IF($D13="Fix",$G13,$G13*(1+$H13)^(2020-$E13))))))</f>
        <v/>
      </c>
      <c r="L13" s="16">
        <f>IF($A13="","",IF(2021&lt;$E13,"",IF($D13="Manuell","",IF(2021&gt;$E13+$F13,IF($D13="Fix",$G13,$G13*(1+$H13)^($F13)),IF($D13="Fix",$G13,$G13*(1+$H13)^(2021-$E13))))))</f>
        <v/>
      </c>
      <c r="M13" s="16">
        <f>IF($A13="","",IF(2022&lt;$E13,"",IF($D13="Manuell","",IF(2022&gt;$E13+$F13,IF($D13="Fix",$G13,$G13*(1+$H13)^($F13)),IF($D13="Fix",$G13,$G13*(1+$H13)^(2022-$E13))))))</f>
        <v/>
      </c>
      <c r="N13" s="16">
        <f>IF($A13="","",IF(2023&lt;$E13,"",IF($D13="Manuell","",IF(2023&gt;$E13+$F13,IF($D13="Fix",$G13,$G13*(1+$H13)^($F13)),IF($D13="Fix",$G13,$G13*(1+$H13)^(2023-$E13))))))</f>
        <v/>
      </c>
      <c r="O13" s="16">
        <f>IF($A13="","",IF(2024&lt;$E13,"",IF($D13="Manuell","",IF(2024&gt;$E13+$F13,IF($D13="Fix",$G13,$G13*(1+$H13)^($F13)),IF($D13="Fix",$G13,$G13*(1+$H13)^(2024-$E13))))))</f>
        <v/>
      </c>
      <c r="P13" s="16">
        <f>IF($A13="","",IF(2025&lt;$E13,"",IF($D13="Manuell","",IF(2025&gt;$E13+$F13,IF($D13="Fix",$G13,$G13*(1+$H13)^($F13)),IF($D13="Fix",$G13,$G13*(1+$H13)^(2025-$E13))))))</f>
        <v/>
      </c>
      <c r="Q13" s="16">
        <f>IF($A13="","",IF(2026&lt;$E13,"",IF($D13="Manuell","",IF(2026&gt;$E13+$F13,IF($D13="Fix",$G13,$G13*(1+$H13)^($F13)),IF($D13="Fix",$G13,$G13*(1+$H13)^(2026-$E13))))))</f>
        <v/>
      </c>
      <c r="R13" s="16">
        <f>IF($A13="","",IF(2027&lt;$E13,"",IF($D13="Manuell","",IF(2027&gt;$E13+$F13,IF($D13="Fix",$G13,$G13*(1+$H13)^($F13)),IF($D13="Fix",$G13,$G13*(1+$H13)^(2027-$E13))))))</f>
        <v/>
      </c>
      <c r="S13" s="16">
        <f>IF($A13="","",IF(2028&lt;$E13,"",IF($D13="Manuell","",IF(2028&gt;$E13+$F13,IF($D13="Fix",$G13,$G13*(1+$H13)^($F13)),IF($D13="Fix",$G13,$G13*(1+$H13)^(2028-$E13))))))</f>
        <v/>
      </c>
      <c r="T13" s="16">
        <f>IF($A13="","",IF(2029&lt;$E13,"",IF($D13="Manuell","",IF(2029&gt;$E13+$F13,IF($D13="Fix",$G13,$G13*(1+$H13)^($F13)),IF($D13="Fix",$G13,$G13*(1+$H13)^(2029-$E13))))))</f>
        <v/>
      </c>
      <c r="U13" s="16">
        <f>IF($A13="","",IF(2030&lt;$E13,"",IF($D13="Manuell","",IF(2030&gt;$E13+$F13,IF($D13="Fix",$G13,$G13*(1+$H13)^($F13)),IF($D13="Fix",$G13,$G13*(1+$H13)^(2030-$E13))))))</f>
        <v/>
      </c>
      <c r="V13" s="16">
        <f>IF($A13="","",IF(2031&lt;$E13,"",IF($D13="Manuell","",IF(2031&gt;$E13+$F13,IF($D13="Fix",$G13,$G13*(1+$H13)^($F13)),IF($D13="Fix",$G13,$G13*(1+$H13)^(2031-$E13))))))</f>
        <v/>
      </c>
      <c r="W13" s="16">
        <f>IF($A13="","",IF(2032&lt;$E13,"",IF($D13="Manuell","",IF(2032&gt;$E13+$F13,IF($D13="Fix",$G13,$G13*(1+$H13)^($F13)),IF($D13="Fix",$G13,$G13*(1+$H13)^(2032-$E13))))))</f>
        <v/>
      </c>
      <c r="X13" s="16">
        <f>IF($A13="","",IF(2033&lt;$E13,"",IF($D13="Manuell","",IF(2033&gt;$E13+$F13,IF($D13="Fix",$G13,$G13*(1+$H13)^($F13)),IF($D13="Fix",$G13,$G13*(1+$H13)^(2033-$E13))))))</f>
        <v/>
      </c>
      <c r="Y13" s="16">
        <f>IF($A13="","",IF(2034&lt;$E13,"",IF($D13="Manuell","",IF(2034&gt;$E13+$F13,IF($D13="Fix",$G13,$G13*(1+$H13)^($F13)),IF($D13="Fix",$G13,$G13*(1+$H13)^(2034-$E13))))))</f>
        <v/>
      </c>
      <c r="Z13" s="16">
        <f>IF($A13="","",IF(2035&lt;$E13,"",IF($D13="Manuell","",IF(2035&gt;$E13+$F13,IF($D13="Fix",$G13,$G13*(1+$H13)^($F13)),IF($D13="Fix",$G13,$G13*(1+$H13)^(2035-$E13))))))</f>
        <v/>
      </c>
      <c r="AA13" s="16">
        <f>IF($A13="","",IF(2036&lt;$E13,"",IF($D13="Manuell","",IF(2036&gt;$E13+$F13,IF($D13="Fix",$G13,$G13*(1+$H13)^($F13)),IF($D13="Fix",$G13,$G13*(1+$H13)^(2036-$E13))))))</f>
        <v/>
      </c>
      <c r="AB13" s="16">
        <f>IF($A13="","",IF(2037&lt;$E13,"",IF($D13="Manuell","",IF(2037&gt;$E13+$F13,IF($D13="Fix",$G13,$G13*(1+$H13)^($F13)),IF($D13="Fix",$G13,$G13*(1+$H13)^(2037-$E13))))))</f>
        <v/>
      </c>
      <c r="AC13" s="16">
        <f>IF($A13="","",IF(2038&lt;$E13,"",IF($D13="Manuell","",IF(2038&gt;$E13+$F13,IF($D13="Fix",$G13,$G13*(1+$H13)^($F13)),IF($D13="Fix",$G13,$G13*(1+$H13)^(2038-$E13))))))</f>
        <v/>
      </c>
      <c r="AD13" s="16">
        <f>IF($A13="","",IF(2039&lt;$E13,"",IF($D13="Manuell","",IF(2039&gt;$E13+$F13,IF($D13="Fix",$G13,$G13*(1+$H13)^($F13)),IF($D13="Fix",$G13,$G13*(1+$H13)^(2039-$E13))))))</f>
        <v/>
      </c>
      <c r="AE13" s="16">
        <f>IF($A13="","",IF(2040&lt;$E13,"",IF($D13="Manuell","",IF(2040&gt;$E13+$F13,IF($D13="Fix",$G13,$G13*(1+$H13)^($F13)),IF($D13="Fix",$G13,$G13*(1+$H13)^(2040-$E13))))))</f>
        <v/>
      </c>
      <c r="AF13" s="16">
        <f>IF($A13="","",IF(2041&lt;$E13,"",IF($D13="Manuell","",IF(2041&gt;$E13+$F13,IF($D13="Fix",$G13,$G13*(1+$H13)^($F13)),IF($D13="Fix",$G13,$G13*(1+$H13)^(2041-$E13))))))</f>
        <v/>
      </c>
      <c r="AG13" s="16">
        <f>IF($A13="","",IF(2042&lt;$E13,"",IF($D13="Manuell","",IF(2042&gt;$E13+$F13,IF($D13="Fix",$G13,$G13*(1+$H13)^($F13)),IF($D13="Fix",$G13,$G13*(1+$H13)^(2042-$E13))))))</f>
        <v/>
      </c>
      <c r="AH13" s="16">
        <f>IF($A13="","",IF(2043&lt;$E13,"",IF($D13="Manuell","",IF(2043&gt;$E13+$F13,IF($D13="Fix",$G13,$G13*(1+$H13)^($F13)),IF($D13="Fix",$G13,$G13*(1+$H13)^(2043-$E13))))))</f>
        <v/>
      </c>
      <c r="AI13" s="16">
        <f>IF($A13="","",IF(2044&lt;$E13,"",IF($D13="Manuell","",IF(2044&gt;$E13+$F13,IF($D13="Fix",$G13,$G13*(1+$H13)^($F13)),IF($D13="Fix",$G13,$G13*(1+$H13)^(2044-$E13))))))</f>
        <v/>
      </c>
      <c r="AJ13" s="16">
        <f>IF($A13="","",IF(2045&lt;$E13,"",IF($D13="Manuell","",IF(2045&gt;$E13+$F13,IF($D13="Fix",$G13,$G13*(1+$H13)^($F13)),IF($D13="Fix",$G13,$G13*(1+$H13)^(2045-$E13))))))</f>
        <v/>
      </c>
      <c r="AK13" s="16">
        <f>IF($A13="","",IF(2046&lt;$E13,"",IF($D13="Manuell","",IF(2046&gt;$E13+$F13,IF($D13="Fix",$G13,$G13*(1+$H13)^($F13)),IF($D13="Fix",$G13,$G13*(1+$H13)^(2046-$E13))))))</f>
        <v/>
      </c>
      <c r="AL13" s="16">
        <f>IF($A13="","",IF(2047&lt;$E13,"",IF($D13="Manuell","",IF(2047&gt;$E13+$F13,IF($D13="Fix",$G13,$G13*(1+$H13)^($F13)),IF($D13="Fix",$G13,$G13*(1+$H13)^(2047-$E13))))))</f>
        <v/>
      </c>
      <c r="AM13" s="16">
        <f>IF($A13="","",IF(2048&lt;$E13,"",IF($D13="Manuell","",IF(2048&gt;$E13+$F13,IF($D13="Fix",$G13,$G13*(1+$H13)^($F13)),IF($D13="Fix",$G13,$G13*(1+$H13)^(2048-$E13))))))</f>
        <v/>
      </c>
      <c r="AN13" s="16">
        <f>IF($A13="","",IF(2049&lt;$E13,"",IF($D13="Manuell","",IF(2049&gt;$E13+$F13,IF($D13="Fix",$G13,$G13*(1+$H13)^($F13)),IF($D13="Fix",$G13,$G13*(1+$H13)^(2049-$E13))))))</f>
        <v/>
      </c>
      <c r="AO13" s="16">
        <f>IF($A13="","",IF(2050&lt;$E13,"",IF($D13="Manuell","",IF(2050&gt;$E13+$F13,IF($D13="Fix",$G13,$G13*(1+$H13)^($F13)),IF($D13="Fix",$G13,$G13*(1+$H13)^(2050-$E13))))))</f>
        <v/>
      </c>
      <c r="AP13" s="16">
        <f>IF($A13="","",IF(2051&lt;$E13,"",IF($D13="Manuell","",IF(2051&gt;$E13+$F13,IF($D13="Fix",$G13,$G13*(1+$H13)^($F13)),IF($D13="Fix",$G13,$G13*(1+$H13)^(2051-$E13))))))</f>
        <v/>
      </c>
      <c r="AQ13" s="16">
        <f>IF($A13="","",IF(2052&lt;$E13,"",IF($D13="Manuell","",IF(2052&gt;$E13+$F13,IF($D13="Fix",$G13,$G13*(1+$H13)^($F13)),IF($D13="Fix",$G13,$G13*(1+$H13)^(2052-$E13))))))</f>
        <v/>
      </c>
      <c r="AR13" s="16">
        <f>IF($A13="","",IF(2053&lt;$E13,"",IF($D13="Manuell","",IF(2053&gt;$E13+$F13,IF($D13="Fix",$G13,$G13*(1+$H13)^($F13)),IF($D13="Fix",$G13,$G13*(1+$H13)^(2053-$E13))))))</f>
        <v/>
      </c>
      <c r="AS13" s="16">
        <f>IF($A13="","",IF(2054&lt;$E13,"",IF($D13="Manuell","",IF(2054&gt;$E13+$F13,IF($D13="Fix",$G13,$G13*(1+$H13)^($F13)),IF($D13="Fix",$G13,$G13*(1+$H13)^(2054-$E13))))))</f>
        <v/>
      </c>
      <c r="AT13" s="16">
        <f>IF($A13="","",IF(2055&lt;$E13,"",IF($D13="Manuell","",IF(2055&gt;$E13+$F13,IF($D13="Fix",$G13,$G13*(1+$H13)^($F13)),IF($D13="Fix",$G13,$G13*(1+$H13)^(2055-$E13))))))</f>
        <v/>
      </c>
    </row>
    <row r="14">
      <c r="A14" s="14" t="inlineStr"/>
      <c r="B14" s="14" t="inlineStr"/>
      <c r="C14" s="14" t="inlineStr"/>
      <c r="D14" s="14" t="inlineStr"/>
      <c r="E14" s="11" t="inlineStr"/>
      <c r="F14" s="11" t="inlineStr"/>
      <c r="G14" s="15" t="inlineStr"/>
      <c r="H14" s="15" t="inlineStr"/>
      <c r="I14" s="16">
        <f>IF($A14="","",IF(2018&lt;$E14,"",IF($D14="Manuell","",IF(2018&gt;$E14+$F14,IF($D14="Fix",$G14,$G14*(1+$H14)^($F14)),IF($D14="Fix",$G14,$G14*(1+$H14)^(2018-$E14))))))</f>
        <v/>
      </c>
      <c r="J14" s="16">
        <f>IF($A14="","",IF(2019&lt;$E14,"",IF($D14="Manuell","",IF(2019&gt;$E14+$F14,IF($D14="Fix",$G14,$G14*(1+$H14)^($F14)),IF($D14="Fix",$G14,$G14*(1+$H14)^(2019-$E14))))))</f>
        <v/>
      </c>
      <c r="K14" s="16">
        <f>IF($A14="","",IF(2020&lt;$E14,"",IF($D14="Manuell","",IF(2020&gt;$E14+$F14,IF($D14="Fix",$G14,$G14*(1+$H14)^($F14)),IF($D14="Fix",$G14,$G14*(1+$H14)^(2020-$E14))))))</f>
        <v/>
      </c>
      <c r="L14" s="16">
        <f>IF($A14="","",IF(2021&lt;$E14,"",IF($D14="Manuell","",IF(2021&gt;$E14+$F14,IF($D14="Fix",$G14,$G14*(1+$H14)^($F14)),IF($D14="Fix",$G14,$G14*(1+$H14)^(2021-$E14))))))</f>
        <v/>
      </c>
      <c r="M14" s="16">
        <f>IF($A14="","",IF(2022&lt;$E14,"",IF($D14="Manuell","",IF(2022&gt;$E14+$F14,IF($D14="Fix",$G14,$G14*(1+$H14)^($F14)),IF($D14="Fix",$G14,$G14*(1+$H14)^(2022-$E14))))))</f>
        <v/>
      </c>
      <c r="N14" s="16">
        <f>IF($A14="","",IF(2023&lt;$E14,"",IF($D14="Manuell","",IF(2023&gt;$E14+$F14,IF($D14="Fix",$G14,$G14*(1+$H14)^($F14)),IF($D14="Fix",$G14,$G14*(1+$H14)^(2023-$E14))))))</f>
        <v/>
      </c>
      <c r="O14" s="16">
        <f>IF($A14="","",IF(2024&lt;$E14,"",IF($D14="Manuell","",IF(2024&gt;$E14+$F14,IF($D14="Fix",$G14,$G14*(1+$H14)^($F14)),IF($D14="Fix",$G14,$G14*(1+$H14)^(2024-$E14))))))</f>
        <v/>
      </c>
      <c r="P14" s="16">
        <f>IF($A14="","",IF(2025&lt;$E14,"",IF($D14="Manuell","",IF(2025&gt;$E14+$F14,IF($D14="Fix",$G14,$G14*(1+$H14)^($F14)),IF($D14="Fix",$G14,$G14*(1+$H14)^(2025-$E14))))))</f>
        <v/>
      </c>
      <c r="Q14" s="16">
        <f>IF($A14="","",IF(2026&lt;$E14,"",IF($D14="Manuell","",IF(2026&gt;$E14+$F14,IF($D14="Fix",$G14,$G14*(1+$H14)^($F14)),IF($D14="Fix",$G14,$G14*(1+$H14)^(2026-$E14))))))</f>
        <v/>
      </c>
      <c r="R14" s="16">
        <f>IF($A14="","",IF(2027&lt;$E14,"",IF($D14="Manuell","",IF(2027&gt;$E14+$F14,IF($D14="Fix",$G14,$G14*(1+$H14)^($F14)),IF($D14="Fix",$G14,$G14*(1+$H14)^(2027-$E14))))))</f>
        <v/>
      </c>
      <c r="S14" s="16">
        <f>IF($A14="","",IF(2028&lt;$E14,"",IF($D14="Manuell","",IF(2028&gt;$E14+$F14,IF($D14="Fix",$G14,$G14*(1+$H14)^($F14)),IF($D14="Fix",$G14,$G14*(1+$H14)^(2028-$E14))))))</f>
        <v/>
      </c>
      <c r="T14" s="16">
        <f>IF($A14="","",IF(2029&lt;$E14,"",IF($D14="Manuell","",IF(2029&gt;$E14+$F14,IF($D14="Fix",$G14,$G14*(1+$H14)^($F14)),IF($D14="Fix",$G14,$G14*(1+$H14)^(2029-$E14))))))</f>
        <v/>
      </c>
      <c r="U14" s="16">
        <f>IF($A14="","",IF(2030&lt;$E14,"",IF($D14="Manuell","",IF(2030&gt;$E14+$F14,IF($D14="Fix",$G14,$G14*(1+$H14)^($F14)),IF($D14="Fix",$G14,$G14*(1+$H14)^(2030-$E14))))))</f>
        <v/>
      </c>
      <c r="V14" s="16">
        <f>IF($A14="","",IF(2031&lt;$E14,"",IF($D14="Manuell","",IF(2031&gt;$E14+$F14,IF($D14="Fix",$G14,$G14*(1+$H14)^($F14)),IF($D14="Fix",$G14,$G14*(1+$H14)^(2031-$E14))))))</f>
        <v/>
      </c>
      <c r="W14" s="16">
        <f>IF($A14="","",IF(2032&lt;$E14,"",IF($D14="Manuell","",IF(2032&gt;$E14+$F14,IF($D14="Fix",$G14,$G14*(1+$H14)^($F14)),IF($D14="Fix",$G14,$G14*(1+$H14)^(2032-$E14))))))</f>
        <v/>
      </c>
      <c r="X14" s="16">
        <f>IF($A14="","",IF(2033&lt;$E14,"",IF($D14="Manuell","",IF(2033&gt;$E14+$F14,IF($D14="Fix",$G14,$G14*(1+$H14)^($F14)),IF($D14="Fix",$G14,$G14*(1+$H14)^(2033-$E14))))))</f>
        <v/>
      </c>
      <c r="Y14" s="16">
        <f>IF($A14="","",IF(2034&lt;$E14,"",IF($D14="Manuell","",IF(2034&gt;$E14+$F14,IF($D14="Fix",$G14,$G14*(1+$H14)^($F14)),IF($D14="Fix",$G14,$G14*(1+$H14)^(2034-$E14))))))</f>
        <v/>
      </c>
      <c r="Z14" s="16">
        <f>IF($A14="","",IF(2035&lt;$E14,"",IF($D14="Manuell","",IF(2035&gt;$E14+$F14,IF($D14="Fix",$G14,$G14*(1+$H14)^($F14)),IF($D14="Fix",$G14,$G14*(1+$H14)^(2035-$E14))))))</f>
        <v/>
      </c>
      <c r="AA14" s="16">
        <f>IF($A14="","",IF(2036&lt;$E14,"",IF($D14="Manuell","",IF(2036&gt;$E14+$F14,IF($D14="Fix",$G14,$G14*(1+$H14)^($F14)),IF($D14="Fix",$G14,$G14*(1+$H14)^(2036-$E14))))))</f>
        <v/>
      </c>
      <c r="AB14" s="16">
        <f>IF($A14="","",IF(2037&lt;$E14,"",IF($D14="Manuell","",IF(2037&gt;$E14+$F14,IF($D14="Fix",$G14,$G14*(1+$H14)^($F14)),IF($D14="Fix",$G14,$G14*(1+$H14)^(2037-$E14))))))</f>
        <v/>
      </c>
      <c r="AC14" s="16">
        <f>IF($A14="","",IF(2038&lt;$E14,"",IF($D14="Manuell","",IF(2038&gt;$E14+$F14,IF($D14="Fix",$G14,$G14*(1+$H14)^($F14)),IF($D14="Fix",$G14,$G14*(1+$H14)^(2038-$E14))))))</f>
        <v/>
      </c>
      <c r="AD14" s="16">
        <f>IF($A14="","",IF(2039&lt;$E14,"",IF($D14="Manuell","",IF(2039&gt;$E14+$F14,IF($D14="Fix",$G14,$G14*(1+$H14)^($F14)),IF($D14="Fix",$G14,$G14*(1+$H14)^(2039-$E14))))))</f>
        <v/>
      </c>
      <c r="AE14" s="16">
        <f>IF($A14="","",IF(2040&lt;$E14,"",IF($D14="Manuell","",IF(2040&gt;$E14+$F14,IF($D14="Fix",$G14,$G14*(1+$H14)^($F14)),IF($D14="Fix",$G14,$G14*(1+$H14)^(2040-$E14))))))</f>
        <v/>
      </c>
      <c r="AF14" s="16">
        <f>IF($A14="","",IF(2041&lt;$E14,"",IF($D14="Manuell","",IF(2041&gt;$E14+$F14,IF($D14="Fix",$G14,$G14*(1+$H14)^($F14)),IF($D14="Fix",$G14,$G14*(1+$H14)^(2041-$E14))))))</f>
        <v/>
      </c>
      <c r="AG14" s="16">
        <f>IF($A14="","",IF(2042&lt;$E14,"",IF($D14="Manuell","",IF(2042&gt;$E14+$F14,IF($D14="Fix",$G14,$G14*(1+$H14)^($F14)),IF($D14="Fix",$G14,$G14*(1+$H14)^(2042-$E14))))))</f>
        <v/>
      </c>
      <c r="AH14" s="16">
        <f>IF($A14="","",IF(2043&lt;$E14,"",IF($D14="Manuell","",IF(2043&gt;$E14+$F14,IF($D14="Fix",$G14,$G14*(1+$H14)^($F14)),IF($D14="Fix",$G14,$G14*(1+$H14)^(2043-$E14))))))</f>
        <v/>
      </c>
      <c r="AI14" s="16">
        <f>IF($A14="","",IF(2044&lt;$E14,"",IF($D14="Manuell","",IF(2044&gt;$E14+$F14,IF($D14="Fix",$G14,$G14*(1+$H14)^($F14)),IF($D14="Fix",$G14,$G14*(1+$H14)^(2044-$E14))))))</f>
        <v/>
      </c>
      <c r="AJ14" s="16">
        <f>IF($A14="","",IF(2045&lt;$E14,"",IF($D14="Manuell","",IF(2045&gt;$E14+$F14,IF($D14="Fix",$G14,$G14*(1+$H14)^($F14)),IF($D14="Fix",$G14,$G14*(1+$H14)^(2045-$E14))))))</f>
        <v/>
      </c>
      <c r="AK14" s="16">
        <f>IF($A14="","",IF(2046&lt;$E14,"",IF($D14="Manuell","",IF(2046&gt;$E14+$F14,IF($D14="Fix",$G14,$G14*(1+$H14)^($F14)),IF($D14="Fix",$G14,$G14*(1+$H14)^(2046-$E14))))))</f>
        <v/>
      </c>
      <c r="AL14" s="16">
        <f>IF($A14="","",IF(2047&lt;$E14,"",IF($D14="Manuell","",IF(2047&gt;$E14+$F14,IF($D14="Fix",$G14,$G14*(1+$H14)^($F14)),IF($D14="Fix",$G14,$G14*(1+$H14)^(2047-$E14))))))</f>
        <v/>
      </c>
      <c r="AM14" s="16">
        <f>IF($A14="","",IF(2048&lt;$E14,"",IF($D14="Manuell","",IF(2048&gt;$E14+$F14,IF($D14="Fix",$G14,$G14*(1+$H14)^($F14)),IF($D14="Fix",$G14,$G14*(1+$H14)^(2048-$E14))))))</f>
        <v/>
      </c>
      <c r="AN14" s="16">
        <f>IF($A14="","",IF(2049&lt;$E14,"",IF($D14="Manuell","",IF(2049&gt;$E14+$F14,IF($D14="Fix",$G14,$G14*(1+$H14)^($F14)),IF($D14="Fix",$G14,$G14*(1+$H14)^(2049-$E14))))))</f>
        <v/>
      </c>
      <c r="AO14" s="16">
        <f>IF($A14="","",IF(2050&lt;$E14,"",IF($D14="Manuell","",IF(2050&gt;$E14+$F14,IF($D14="Fix",$G14,$G14*(1+$H14)^($F14)),IF($D14="Fix",$G14,$G14*(1+$H14)^(2050-$E14))))))</f>
        <v/>
      </c>
      <c r="AP14" s="16">
        <f>IF($A14="","",IF(2051&lt;$E14,"",IF($D14="Manuell","",IF(2051&gt;$E14+$F14,IF($D14="Fix",$G14,$G14*(1+$H14)^($F14)),IF($D14="Fix",$G14,$G14*(1+$H14)^(2051-$E14))))))</f>
        <v/>
      </c>
      <c r="AQ14" s="16">
        <f>IF($A14="","",IF(2052&lt;$E14,"",IF($D14="Manuell","",IF(2052&gt;$E14+$F14,IF($D14="Fix",$G14,$G14*(1+$H14)^($F14)),IF($D14="Fix",$G14,$G14*(1+$H14)^(2052-$E14))))))</f>
        <v/>
      </c>
      <c r="AR14" s="16">
        <f>IF($A14="","",IF(2053&lt;$E14,"",IF($D14="Manuell","",IF(2053&gt;$E14+$F14,IF($D14="Fix",$G14,$G14*(1+$H14)^($F14)),IF($D14="Fix",$G14,$G14*(1+$H14)^(2053-$E14))))))</f>
        <v/>
      </c>
      <c r="AS14" s="16">
        <f>IF($A14="","",IF(2054&lt;$E14,"",IF($D14="Manuell","",IF(2054&gt;$E14+$F14,IF($D14="Fix",$G14,$G14*(1+$H14)^($F14)),IF($D14="Fix",$G14,$G14*(1+$H14)^(2054-$E14))))))</f>
        <v/>
      </c>
      <c r="AT14" s="16">
        <f>IF($A14="","",IF(2055&lt;$E14,"",IF($D14="Manuell","",IF(2055&gt;$E14+$F14,IF($D14="Fix",$G14,$G14*(1+$H14)^($F14)),IF($D14="Fix",$G14,$G14*(1+$H14)^(2055-$E14))))))</f>
        <v/>
      </c>
    </row>
    <row r="15">
      <c r="A15" s="14" t="inlineStr"/>
      <c r="B15" s="14" t="inlineStr"/>
      <c r="C15" s="14" t="inlineStr"/>
      <c r="D15" s="14" t="inlineStr"/>
      <c r="E15" s="11" t="inlineStr"/>
      <c r="F15" s="11" t="inlineStr"/>
      <c r="G15" s="15" t="inlineStr"/>
      <c r="H15" s="15" t="inlineStr"/>
      <c r="I15" s="16">
        <f>IF($A15="","",IF(2018&lt;$E15,"",IF($D15="Manuell","",IF(2018&gt;$E15+$F15,IF($D15="Fix",$G15,$G15*(1+$H15)^($F15)),IF($D15="Fix",$G15,$G15*(1+$H15)^(2018-$E15))))))</f>
        <v/>
      </c>
      <c r="J15" s="16">
        <f>IF($A15="","",IF(2019&lt;$E15,"",IF($D15="Manuell","",IF(2019&gt;$E15+$F15,IF($D15="Fix",$G15,$G15*(1+$H15)^($F15)),IF($D15="Fix",$G15,$G15*(1+$H15)^(2019-$E15))))))</f>
        <v/>
      </c>
      <c r="K15" s="16">
        <f>IF($A15="","",IF(2020&lt;$E15,"",IF($D15="Manuell","",IF(2020&gt;$E15+$F15,IF($D15="Fix",$G15,$G15*(1+$H15)^($F15)),IF($D15="Fix",$G15,$G15*(1+$H15)^(2020-$E15))))))</f>
        <v/>
      </c>
      <c r="L15" s="16">
        <f>IF($A15="","",IF(2021&lt;$E15,"",IF($D15="Manuell","",IF(2021&gt;$E15+$F15,IF($D15="Fix",$G15,$G15*(1+$H15)^($F15)),IF($D15="Fix",$G15,$G15*(1+$H15)^(2021-$E15))))))</f>
        <v/>
      </c>
      <c r="M15" s="16">
        <f>IF($A15="","",IF(2022&lt;$E15,"",IF($D15="Manuell","",IF(2022&gt;$E15+$F15,IF($D15="Fix",$G15,$G15*(1+$H15)^($F15)),IF($D15="Fix",$G15,$G15*(1+$H15)^(2022-$E15))))))</f>
        <v/>
      </c>
      <c r="N15" s="16">
        <f>IF($A15="","",IF(2023&lt;$E15,"",IF($D15="Manuell","",IF(2023&gt;$E15+$F15,IF($D15="Fix",$G15,$G15*(1+$H15)^($F15)),IF($D15="Fix",$G15,$G15*(1+$H15)^(2023-$E15))))))</f>
        <v/>
      </c>
      <c r="O15" s="16">
        <f>IF($A15="","",IF(2024&lt;$E15,"",IF($D15="Manuell","",IF(2024&gt;$E15+$F15,IF($D15="Fix",$G15,$G15*(1+$H15)^($F15)),IF($D15="Fix",$G15,$G15*(1+$H15)^(2024-$E15))))))</f>
        <v/>
      </c>
      <c r="P15" s="16">
        <f>IF($A15="","",IF(2025&lt;$E15,"",IF($D15="Manuell","",IF(2025&gt;$E15+$F15,IF($D15="Fix",$G15,$G15*(1+$H15)^($F15)),IF($D15="Fix",$G15,$G15*(1+$H15)^(2025-$E15))))))</f>
        <v/>
      </c>
      <c r="Q15" s="16">
        <f>IF($A15="","",IF(2026&lt;$E15,"",IF($D15="Manuell","",IF(2026&gt;$E15+$F15,IF($D15="Fix",$G15,$G15*(1+$H15)^($F15)),IF($D15="Fix",$G15,$G15*(1+$H15)^(2026-$E15))))))</f>
        <v/>
      </c>
      <c r="R15" s="16">
        <f>IF($A15="","",IF(2027&lt;$E15,"",IF($D15="Manuell","",IF(2027&gt;$E15+$F15,IF($D15="Fix",$G15,$G15*(1+$H15)^($F15)),IF($D15="Fix",$G15,$G15*(1+$H15)^(2027-$E15))))))</f>
        <v/>
      </c>
      <c r="S15" s="16">
        <f>IF($A15="","",IF(2028&lt;$E15,"",IF($D15="Manuell","",IF(2028&gt;$E15+$F15,IF($D15="Fix",$G15,$G15*(1+$H15)^($F15)),IF($D15="Fix",$G15,$G15*(1+$H15)^(2028-$E15))))))</f>
        <v/>
      </c>
      <c r="T15" s="16">
        <f>IF($A15="","",IF(2029&lt;$E15,"",IF($D15="Manuell","",IF(2029&gt;$E15+$F15,IF($D15="Fix",$G15,$G15*(1+$H15)^($F15)),IF($D15="Fix",$G15,$G15*(1+$H15)^(2029-$E15))))))</f>
        <v/>
      </c>
      <c r="U15" s="16">
        <f>IF($A15="","",IF(2030&lt;$E15,"",IF($D15="Manuell","",IF(2030&gt;$E15+$F15,IF($D15="Fix",$G15,$G15*(1+$H15)^($F15)),IF($D15="Fix",$G15,$G15*(1+$H15)^(2030-$E15))))))</f>
        <v/>
      </c>
      <c r="V15" s="16">
        <f>IF($A15="","",IF(2031&lt;$E15,"",IF($D15="Manuell","",IF(2031&gt;$E15+$F15,IF($D15="Fix",$G15,$G15*(1+$H15)^($F15)),IF($D15="Fix",$G15,$G15*(1+$H15)^(2031-$E15))))))</f>
        <v/>
      </c>
      <c r="W15" s="16">
        <f>IF($A15="","",IF(2032&lt;$E15,"",IF($D15="Manuell","",IF(2032&gt;$E15+$F15,IF($D15="Fix",$G15,$G15*(1+$H15)^($F15)),IF($D15="Fix",$G15,$G15*(1+$H15)^(2032-$E15))))))</f>
        <v/>
      </c>
      <c r="X15" s="16">
        <f>IF($A15="","",IF(2033&lt;$E15,"",IF($D15="Manuell","",IF(2033&gt;$E15+$F15,IF($D15="Fix",$G15,$G15*(1+$H15)^($F15)),IF($D15="Fix",$G15,$G15*(1+$H15)^(2033-$E15))))))</f>
        <v/>
      </c>
      <c r="Y15" s="16">
        <f>IF($A15="","",IF(2034&lt;$E15,"",IF($D15="Manuell","",IF(2034&gt;$E15+$F15,IF($D15="Fix",$G15,$G15*(1+$H15)^($F15)),IF($D15="Fix",$G15,$G15*(1+$H15)^(2034-$E15))))))</f>
        <v/>
      </c>
      <c r="Z15" s="16">
        <f>IF($A15="","",IF(2035&lt;$E15,"",IF($D15="Manuell","",IF(2035&gt;$E15+$F15,IF($D15="Fix",$G15,$G15*(1+$H15)^($F15)),IF($D15="Fix",$G15,$G15*(1+$H15)^(2035-$E15))))))</f>
        <v/>
      </c>
      <c r="AA15" s="16">
        <f>IF($A15="","",IF(2036&lt;$E15,"",IF($D15="Manuell","",IF(2036&gt;$E15+$F15,IF($D15="Fix",$G15,$G15*(1+$H15)^($F15)),IF($D15="Fix",$G15,$G15*(1+$H15)^(2036-$E15))))))</f>
        <v/>
      </c>
      <c r="AB15" s="16">
        <f>IF($A15="","",IF(2037&lt;$E15,"",IF($D15="Manuell","",IF(2037&gt;$E15+$F15,IF($D15="Fix",$G15,$G15*(1+$H15)^($F15)),IF($D15="Fix",$G15,$G15*(1+$H15)^(2037-$E15))))))</f>
        <v/>
      </c>
      <c r="AC15" s="16">
        <f>IF($A15="","",IF(2038&lt;$E15,"",IF($D15="Manuell","",IF(2038&gt;$E15+$F15,IF($D15="Fix",$G15,$G15*(1+$H15)^($F15)),IF($D15="Fix",$G15,$G15*(1+$H15)^(2038-$E15))))))</f>
        <v/>
      </c>
      <c r="AD15" s="16">
        <f>IF($A15="","",IF(2039&lt;$E15,"",IF($D15="Manuell","",IF(2039&gt;$E15+$F15,IF($D15="Fix",$G15,$G15*(1+$H15)^($F15)),IF($D15="Fix",$G15,$G15*(1+$H15)^(2039-$E15))))))</f>
        <v/>
      </c>
      <c r="AE15" s="16">
        <f>IF($A15="","",IF(2040&lt;$E15,"",IF($D15="Manuell","",IF(2040&gt;$E15+$F15,IF($D15="Fix",$G15,$G15*(1+$H15)^($F15)),IF($D15="Fix",$G15,$G15*(1+$H15)^(2040-$E15))))))</f>
        <v/>
      </c>
      <c r="AF15" s="16">
        <f>IF($A15="","",IF(2041&lt;$E15,"",IF($D15="Manuell","",IF(2041&gt;$E15+$F15,IF($D15="Fix",$G15,$G15*(1+$H15)^($F15)),IF($D15="Fix",$G15,$G15*(1+$H15)^(2041-$E15))))))</f>
        <v/>
      </c>
      <c r="AG15" s="16">
        <f>IF($A15="","",IF(2042&lt;$E15,"",IF($D15="Manuell","",IF(2042&gt;$E15+$F15,IF($D15="Fix",$G15,$G15*(1+$H15)^($F15)),IF($D15="Fix",$G15,$G15*(1+$H15)^(2042-$E15))))))</f>
        <v/>
      </c>
      <c r="AH15" s="16">
        <f>IF($A15="","",IF(2043&lt;$E15,"",IF($D15="Manuell","",IF(2043&gt;$E15+$F15,IF($D15="Fix",$G15,$G15*(1+$H15)^($F15)),IF($D15="Fix",$G15,$G15*(1+$H15)^(2043-$E15))))))</f>
        <v/>
      </c>
      <c r="AI15" s="16">
        <f>IF($A15="","",IF(2044&lt;$E15,"",IF($D15="Manuell","",IF(2044&gt;$E15+$F15,IF($D15="Fix",$G15,$G15*(1+$H15)^($F15)),IF($D15="Fix",$G15,$G15*(1+$H15)^(2044-$E15))))))</f>
        <v/>
      </c>
      <c r="AJ15" s="16">
        <f>IF($A15="","",IF(2045&lt;$E15,"",IF($D15="Manuell","",IF(2045&gt;$E15+$F15,IF($D15="Fix",$G15,$G15*(1+$H15)^($F15)),IF($D15="Fix",$G15,$G15*(1+$H15)^(2045-$E15))))))</f>
        <v/>
      </c>
      <c r="AK15" s="16">
        <f>IF($A15="","",IF(2046&lt;$E15,"",IF($D15="Manuell","",IF(2046&gt;$E15+$F15,IF($D15="Fix",$G15,$G15*(1+$H15)^($F15)),IF($D15="Fix",$G15,$G15*(1+$H15)^(2046-$E15))))))</f>
        <v/>
      </c>
      <c r="AL15" s="16">
        <f>IF($A15="","",IF(2047&lt;$E15,"",IF($D15="Manuell","",IF(2047&gt;$E15+$F15,IF($D15="Fix",$G15,$G15*(1+$H15)^($F15)),IF($D15="Fix",$G15,$G15*(1+$H15)^(2047-$E15))))))</f>
        <v/>
      </c>
      <c r="AM15" s="16">
        <f>IF($A15="","",IF(2048&lt;$E15,"",IF($D15="Manuell","",IF(2048&gt;$E15+$F15,IF($D15="Fix",$G15,$G15*(1+$H15)^($F15)),IF($D15="Fix",$G15,$G15*(1+$H15)^(2048-$E15))))))</f>
        <v/>
      </c>
      <c r="AN15" s="16">
        <f>IF($A15="","",IF(2049&lt;$E15,"",IF($D15="Manuell","",IF(2049&gt;$E15+$F15,IF($D15="Fix",$G15,$G15*(1+$H15)^($F15)),IF($D15="Fix",$G15,$G15*(1+$H15)^(2049-$E15))))))</f>
        <v/>
      </c>
      <c r="AO15" s="16">
        <f>IF($A15="","",IF(2050&lt;$E15,"",IF($D15="Manuell","",IF(2050&gt;$E15+$F15,IF($D15="Fix",$G15,$G15*(1+$H15)^($F15)),IF($D15="Fix",$G15,$G15*(1+$H15)^(2050-$E15))))))</f>
        <v/>
      </c>
      <c r="AP15" s="16">
        <f>IF($A15="","",IF(2051&lt;$E15,"",IF($D15="Manuell","",IF(2051&gt;$E15+$F15,IF($D15="Fix",$G15,$G15*(1+$H15)^($F15)),IF($D15="Fix",$G15,$G15*(1+$H15)^(2051-$E15))))))</f>
        <v/>
      </c>
      <c r="AQ15" s="16">
        <f>IF($A15="","",IF(2052&lt;$E15,"",IF($D15="Manuell","",IF(2052&gt;$E15+$F15,IF($D15="Fix",$G15,$G15*(1+$H15)^($F15)),IF($D15="Fix",$G15,$G15*(1+$H15)^(2052-$E15))))))</f>
        <v/>
      </c>
      <c r="AR15" s="16">
        <f>IF($A15="","",IF(2053&lt;$E15,"",IF($D15="Manuell","",IF(2053&gt;$E15+$F15,IF($D15="Fix",$G15,$G15*(1+$H15)^($F15)),IF($D15="Fix",$G15,$G15*(1+$H15)^(2053-$E15))))))</f>
        <v/>
      </c>
      <c r="AS15" s="16">
        <f>IF($A15="","",IF(2054&lt;$E15,"",IF($D15="Manuell","",IF(2054&gt;$E15+$F15,IF($D15="Fix",$G15,$G15*(1+$H15)^($F15)),IF($D15="Fix",$G15,$G15*(1+$H15)^(2054-$E15))))))</f>
        <v/>
      </c>
      <c r="AT15" s="16">
        <f>IF($A15="","",IF(2055&lt;$E15,"",IF($D15="Manuell","",IF(2055&gt;$E15+$F15,IF($D15="Fix",$G15,$G15*(1+$H15)^($F15)),IF($D15="Fix",$G15,$G15*(1+$H15)^(2055-$E15))))))</f>
        <v/>
      </c>
    </row>
    <row r="16">
      <c r="A16" s="14" t="inlineStr"/>
      <c r="B16" s="14" t="inlineStr"/>
      <c r="C16" s="14" t="inlineStr"/>
      <c r="D16" s="14" t="inlineStr"/>
      <c r="E16" s="11" t="inlineStr"/>
      <c r="F16" s="11" t="inlineStr"/>
      <c r="G16" s="15" t="inlineStr"/>
      <c r="H16" s="15" t="inlineStr"/>
      <c r="I16" s="16">
        <f>IF($A16="","",IF(2018&lt;$E16,"",IF($D16="Manuell","",IF(2018&gt;$E16+$F16,IF($D16="Fix",$G16,$G16*(1+$H16)^($F16)),IF($D16="Fix",$G16,$G16*(1+$H16)^(2018-$E16))))))</f>
        <v/>
      </c>
      <c r="J16" s="16">
        <f>IF($A16="","",IF(2019&lt;$E16,"",IF($D16="Manuell","",IF(2019&gt;$E16+$F16,IF($D16="Fix",$G16,$G16*(1+$H16)^($F16)),IF($D16="Fix",$G16,$G16*(1+$H16)^(2019-$E16))))))</f>
        <v/>
      </c>
      <c r="K16" s="16">
        <f>IF($A16="","",IF(2020&lt;$E16,"",IF($D16="Manuell","",IF(2020&gt;$E16+$F16,IF($D16="Fix",$G16,$G16*(1+$H16)^($F16)),IF($D16="Fix",$G16,$G16*(1+$H16)^(2020-$E16))))))</f>
        <v/>
      </c>
      <c r="L16" s="16">
        <f>IF($A16="","",IF(2021&lt;$E16,"",IF($D16="Manuell","",IF(2021&gt;$E16+$F16,IF($D16="Fix",$G16,$G16*(1+$H16)^($F16)),IF($D16="Fix",$G16,$G16*(1+$H16)^(2021-$E16))))))</f>
        <v/>
      </c>
      <c r="M16" s="16">
        <f>IF($A16="","",IF(2022&lt;$E16,"",IF($D16="Manuell","",IF(2022&gt;$E16+$F16,IF($D16="Fix",$G16,$G16*(1+$H16)^($F16)),IF($D16="Fix",$G16,$G16*(1+$H16)^(2022-$E16))))))</f>
        <v/>
      </c>
      <c r="N16" s="16">
        <f>IF($A16="","",IF(2023&lt;$E16,"",IF($D16="Manuell","",IF(2023&gt;$E16+$F16,IF($D16="Fix",$G16,$G16*(1+$H16)^($F16)),IF($D16="Fix",$G16,$G16*(1+$H16)^(2023-$E16))))))</f>
        <v/>
      </c>
      <c r="O16" s="16">
        <f>IF($A16="","",IF(2024&lt;$E16,"",IF($D16="Manuell","",IF(2024&gt;$E16+$F16,IF($D16="Fix",$G16,$G16*(1+$H16)^($F16)),IF($D16="Fix",$G16,$G16*(1+$H16)^(2024-$E16))))))</f>
        <v/>
      </c>
      <c r="P16" s="16">
        <f>IF($A16="","",IF(2025&lt;$E16,"",IF($D16="Manuell","",IF(2025&gt;$E16+$F16,IF($D16="Fix",$G16,$G16*(1+$H16)^($F16)),IF($D16="Fix",$G16,$G16*(1+$H16)^(2025-$E16))))))</f>
        <v/>
      </c>
      <c r="Q16" s="16">
        <f>IF($A16="","",IF(2026&lt;$E16,"",IF($D16="Manuell","",IF(2026&gt;$E16+$F16,IF($D16="Fix",$G16,$G16*(1+$H16)^($F16)),IF($D16="Fix",$G16,$G16*(1+$H16)^(2026-$E16))))))</f>
        <v/>
      </c>
      <c r="R16" s="16">
        <f>IF($A16="","",IF(2027&lt;$E16,"",IF($D16="Manuell","",IF(2027&gt;$E16+$F16,IF($D16="Fix",$G16,$G16*(1+$H16)^($F16)),IF($D16="Fix",$G16,$G16*(1+$H16)^(2027-$E16))))))</f>
        <v/>
      </c>
      <c r="S16" s="16">
        <f>IF($A16="","",IF(2028&lt;$E16,"",IF($D16="Manuell","",IF(2028&gt;$E16+$F16,IF($D16="Fix",$G16,$G16*(1+$H16)^($F16)),IF($D16="Fix",$G16,$G16*(1+$H16)^(2028-$E16))))))</f>
        <v/>
      </c>
      <c r="T16" s="16">
        <f>IF($A16="","",IF(2029&lt;$E16,"",IF($D16="Manuell","",IF(2029&gt;$E16+$F16,IF($D16="Fix",$G16,$G16*(1+$H16)^($F16)),IF($D16="Fix",$G16,$G16*(1+$H16)^(2029-$E16))))))</f>
        <v/>
      </c>
      <c r="U16" s="16">
        <f>IF($A16="","",IF(2030&lt;$E16,"",IF($D16="Manuell","",IF(2030&gt;$E16+$F16,IF($D16="Fix",$G16,$G16*(1+$H16)^($F16)),IF($D16="Fix",$G16,$G16*(1+$H16)^(2030-$E16))))))</f>
        <v/>
      </c>
      <c r="V16" s="16">
        <f>IF($A16="","",IF(2031&lt;$E16,"",IF($D16="Manuell","",IF(2031&gt;$E16+$F16,IF($D16="Fix",$G16,$G16*(1+$H16)^($F16)),IF($D16="Fix",$G16,$G16*(1+$H16)^(2031-$E16))))))</f>
        <v/>
      </c>
      <c r="W16" s="16">
        <f>IF($A16="","",IF(2032&lt;$E16,"",IF($D16="Manuell","",IF(2032&gt;$E16+$F16,IF($D16="Fix",$G16,$G16*(1+$H16)^($F16)),IF($D16="Fix",$G16,$G16*(1+$H16)^(2032-$E16))))))</f>
        <v/>
      </c>
      <c r="X16" s="16">
        <f>IF($A16="","",IF(2033&lt;$E16,"",IF($D16="Manuell","",IF(2033&gt;$E16+$F16,IF($D16="Fix",$G16,$G16*(1+$H16)^($F16)),IF($D16="Fix",$G16,$G16*(1+$H16)^(2033-$E16))))))</f>
        <v/>
      </c>
      <c r="Y16" s="16">
        <f>IF($A16="","",IF(2034&lt;$E16,"",IF($D16="Manuell","",IF(2034&gt;$E16+$F16,IF($D16="Fix",$G16,$G16*(1+$H16)^($F16)),IF($D16="Fix",$G16,$G16*(1+$H16)^(2034-$E16))))))</f>
        <v/>
      </c>
      <c r="Z16" s="16">
        <f>IF($A16="","",IF(2035&lt;$E16,"",IF($D16="Manuell","",IF(2035&gt;$E16+$F16,IF($D16="Fix",$G16,$G16*(1+$H16)^($F16)),IF($D16="Fix",$G16,$G16*(1+$H16)^(2035-$E16))))))</f>
        <v/>
      </c>
      <c r="AA16" s="16">
        <f>IF($A16="","",IF(2036&lt;$E16,"",IF($D16="Manuell","",IF(2036&gt;$E16+$F16,IF($D16="Fix",$G16,$G16*(1+$H16)^($F16)),IF($D16="Fix",$G16,$G16*(1+$H16)^(2036-$E16))))))</f>
        <v/>
      </c>
      <c r="AB16" s="16">
        <f>IF($A16="","",IF(2037&lt;$E16,"",IF($D16="Manuell","",IF(2037&gt;$E16+$F16,IF($D16="Fix",$G16,$G16*(1+$H16)^($F16)),IF($D16="Fix",$G16,$G16*(1+$H16)^(2037-$E16))))))</f>
        <v/>
      </c>
      <c r="AC16" s="16">
        <f>IF($A16="","",IF(2038&lt;$E16,"",IF($D16="Manuell","",IF(2038&gt;$E16+$F16,IF($D16="Fix",$G16,$G16*(1+$H16)^($F16)),IF($D16="Fix",$G16,$G16*(1+$H16)^(2038-$E16))))))</f>
        <v/>
      </c>
      <c r="AD16" s="16">
        <f>IF($A16="","",IF(2039&lt;$E16,"",IF($D16="Manuell","",IF(2039&gt;$E16+$F16,IF($D16="Fix",$G16,$G16*(1+$H16)^($F16)),IF($D16="Fix",$G16,$G16*(1+$H16)^(2039-$E16))))))</f>
        <v/>
      </c>
      <c r="AE16" s="16">
        <f>IF($A16="","",IF(2040&lt;$E16,"",IF($D16="Manuell","",IF(2040&gt;$E16+$F16,IF($D16="Fix",$G16,$G16*(1+$H16)^($F16)),IF($D16="Fix",$G16,$G16*(1+$H16)^(2040-$E16))))))</f>
        <v/>
      </c>
      <c r="AF16" s="16">
        <f>IF($A16="","",IF(2041&lt;$E16,"",IF($D16="Manuell","",IF(2041&gt;$E16+$F16,IF($D16="Fix",$G16,$G16*(1+$H16)^($F16)),IF($D16="Fix",$G16,$G16*(1+$H16)^(2041-$E16))))))</f>
        <v/>
      </c>
      <c r="AG16" s="16">
        <f>IF($A16="","",IF(2042&lt;$E16,"",IF($D16="Manuell","",IF(2042&gt;$E16+$F16,IF($D16="Fix",$G16,$G16*(1+$H16)^($F16)),IF($D16="Fix",$G16,$G16*(1+$H16)^(2042-$E16))))))</f>
        <v/>
      </c>
      <c r="AH16" s="16">
        <f>IF($A16="","",IF(2043&lt;$E16,"",IF($D16="Manuell","",IF(2043&gt;$E16+$F16,IF($D16="Fix",$G16,$G16*(1+$H16)^($F16)),IF($D16="Fix",$G16,$G16*(1+$H16)^(2043-$E16))))))</f>
        <v/>
      </c>
      <c r="AI16" s="16">
        <f>IF($A16="","",IF(2044&lt;$E16,"",IF($D16="Manuell","",IF(2044&gt;$E16+$F16,IF($D16="Fix",$G16,$G16*(1+$H16)^($F16)),IF($D16="Fix",$G16,$G16*(1+$H16)^(2044-$E16))))))</f>
        <v/>
      </c>
      <c r="AJ16" s="16">
        <f>IF($A16="","",IF(2045&lt;$E16,"",IF($D16="Manuell","",IF(2045&gt;$E16+$F16,IF($D16="Fix",$G16,$G16*(1+$H16)^($F16)),IF($D16="Fix",$G16,$G16*(1+$H16)^(2045-$E16))))))</f>
        <v/>
      </c>
      <c r="AK16" s="16">
        <f>IF($A16="","",IF(2046&lt;$E16,"",IF($D16="Manuell","",IF(2046&gt;$E16+$F16,IF($D16="Fix",$G16,$G16*(1+$H16)^($F16)),IF($D16="Fix",$G16,$G16*(1+$H16)^(2046-$E16))))))</f>
        <v/>
      </c>
      <c r="AL16" s="16">
        <f>IF($A16="","",IF(2047&lt;$E16,"",IF($D16="Manuell","",IF(2047&gt;$E16+$F16,IF($D16="Fix",$G16,$G16*(1+$H16)^($F16)),IF($D16="Fix",$G16,$G16*(1+$H16)^(2047-$E16))))))</f>
        <v/>
      </c>
      <c r="AM16" s="16">
        <f>IF($A16="","",IF(2048&lt;$E16,"",IF($D16="Manuell","",IF(2048&gt;$E16+$F16,IF($D16="Fix",$G16,$G16*(1+$H16)^($F16)),IF($D16="Fix",$G16,$G16*(1+$H16)^(2048-$E16))))))</f>
        <v/>
      </c>
      <c r="AN16" s="16">
        <f>IF($A16="","",IF(2049&lt;$E16,"",IF($D16="Manuell","",IF(2049&gt;$E16+$F16,IF($D16="Fix",$G16,$G16*(1+$H16)^($F16)),IF($D16="Fix",$G16,$G16*(1+$H16)^(2049-$E16))))))</f>
        <v/>
      </c>
      <c r="AO16" s="16">
        <f>IF($A16="","",IF(2050&lt;$E16,"",IF($D16="Manuell","",IF(2050&gt;$E16+$F16,IF($D16="Fix",$G16,$G16*(1+$H16)^($F16)),IF($D16="Fix",$G16,$G16*(1+$H16)^(2050-$E16))))))</f>
        <v/>
      </c>
      <c r="AP16" s="16">
        <f>IF($A16="","",IF(2051&lt;$E16,"",IF($D16="Manuell","",IF(2051&gt;$E16+$F16,IF($D16="Fix",$G16,$G16*(1+$H16)^($F16)),IF($D16="Fix",$G16,$G16*(1+$H16)^(2051-$E16))))))</f>
        <v/>
      </c>
      <c r="AQ16" s="16">
        <f>IF($A16="","",IF(2052&lt;$E16,"",IF($D16="Manuell","",IF(2052&gt;$E16+$F16,IF($D16="Fix",$G16,$G16*(1+$H16)^($F16)),IF($D16="Fix",$G16,$G16*(1+$H16)^(2052-$E16))))))</f>
        <v/>
      </c>
      <c r="AR16" s="16">
        <f>IF($A16="","",IF(2053&lt;$E16,"",IF($D16="Manuell","",IF(2053&gt;$E16+$F16,IF($D16="Fix",$G16,$G16*(1+$H16)^($F16)),IF($D16="Fix",$G16,$G16*(1+$H16)^(2053-$E16))))))</f>
        <v/>
      </c>
      <c r="AS16" s="16">
        <f>IF($A16="","",IF(2054&lt;$E16,"",IF($D16="Manuell","",IF(2054&gt;$E16+$F16,IF($D16="Fix",$G16,$G16*(1+$H16)^($F16)),IF($D16="Fix",$G16,$G16*(1+$H16)^(2054-$E16))))))</f>
        <v/>
      </c>
      <c r="AT16" s="16">
        <f>IF($A16="","",IF(2055&lt;$E16,"",IF($D16="Manuell","",IF(2055&gt;$E16+$F16,IF($D16="Fix",$G16,$G16*(1+$H16)^($F16)),IF($D16="Fix",$G16,$G16*(1+$H16)^(2055-$E16))))))</f>
        <v/>
      </c>
    </row>
    <row r="17">
      <c r="A17" s="14" t="inlineStr"/>
      <c r="B17" s="14" t="inlineStr"/>
      <c r="C17" s="14" t="inlineStr"/>
      <c r="D17" s="14" t="inlineStr"/>
      <c r="E17" s="11" t="inlineStr"/>
      <c r="F17" s="11" t="inlineStr"/>
      <c r="G17" s="15" t="inlineStr"/>
      <c r="H17" s="15" t="inlineStr"/>
      <c r="I17" s="16">
        <f>IF($A17="","",IF(2018&lt;$E17,"",IF($D17="Manuell","",IF(2018&gt;$E17+$F17,IF($D17="Fix",$G17,$G17*(1+$H17)^($F17)),IF($D17="Fix",$G17,$G17*(1+$H17)^(2018-$E17))))))</f>
        <v/>
      </c>
      <c r="J17" s="16">
        <f>IF($A17="","",IF(2019&lt;$E17,"",IF($D17="Manuell","",IF(2019&gt;$E17+$F17,IF($D17="Fix",$G17,$G17*(1+$H17)^($F17)),IF($D17="Fix",$G17,$G17*(1+$H17)^(2019-$E17))))))</f>
        <v/>
      </c>
      <c r="K17" s="16">
        <f>IF($A17="","",IF(2020&lt;$E17,"",IF($D17="Manuell","",IF(2020&gt;$E17+$F17,IF($D17="Fix",$G17,$G17*(1+$H17)^($F17)),IF($D17="Fix",$G17,$G17*(1+$H17)^(2020-$E17))))))</f>
        <v/>
      </c>
      <c r="L17" s="16">
        <f>IF($A17="","",IF(2021&lt;$E17,"",IF($D17="Manuell","",IF(2021&gt;$E17+$F17,IF($D17="Fix",$G17,$G17*(1+$H17)^($F17)),IF($D17="Fix",$G17,$G17*(1+$H17)^(2021-$E17))))))</f>
        <v/>
      </c>
      <c r="M17" s="16">
        <f>IF($A17="","",IF(2022&lt;$E17,"",IF($D17="Manuell","",IF(2022&gt;$E17+$F17,IF($D17="Fix",$G17,$G17*(1+$H17)^($F17)),IF($D17="Fix",$G17,$G17*(1+$H17)^(2022-$E17))))))</f>
        <v/>
      </c>
      <c r="N17" s="16">
        <f>IF($A17="","",IF(2023&lt;$E17,"",IF($D17="Manuell","",IF(2023&gt;$E17+$F17,IF($D17="Fix",$G17,$G17*(1+$H17)^($F17)),IF($D17="Fix",$G17,$G17*(1+$H17)^(2023-$E17))))))</f>
        <v/>
      </c>
      <c r="O17" s="16">
        <f>IF($A17="","",IF(2024&lt;$E17,"",IF($D17="Manuell","",IF(2024&gt;$E17+$F17,IF($D17="Fix",$G17,$G17*(1+$H17)^($F17)),IF($D17="Fix",$G17,$G17*(1+$H17)^(2024-$E17))))))</f>
        <v/>
      </c>
      <c r="P17" s="16">
        <f>IF($A17="","",IF(2025&lt;$E17,"",IF($D17="Manuell","",IF(2025&gt;$E17+$F17,IF($D17="Fix",$G17,$G17*(1+$H17)^($F17)),IF($D17="Fix",$G17,$G17*(1+$H17)^(2025-$E17))))))</f>
        <v/>
      </c>
      <c r="Q17" s="16">
        <f>IF($A17="","",IF(2026&lt;$E17,"",IF($D17="Manuell","",IF(2026&gt;$E17+$F17,IF($D17="Fix",$G17,$G17*(1+$H17)^($F17)),IF($D17="Fix",$G17,$G17*(1+$H17)^(2026-$E17))))))</f>
        <v/>
      </c>
      <c r="R17" s="16">
        <f>IF($A17="","",IF(2027&lt;$E17,"",IF($D17="Manuell","",IF(2027&gt;$E17+$F17,IF($D17="Fix",$G17,$G17*(1+$H17)^($F17)),IF($D17="Fix",$G17,$G17*(1+$H17)^(2027-$E17))))))</f>
        <v/>
      </c>
      <c r="S17" s="16">
        <f>IF($A17="","",IF(2028&lt;$E17,"",IF($D17="Manuell","",IF(2028&gt;$E17+$F17,IF($D17="Fix",$G17,$G17*(1+$H17)^($F17)),IF($D17="Fix",$G17,$G17*(1+$H17)^(2028-$E17))))))</f>
        <v/>
      </c>
      <c r="T17" s="16">
        <f>IF($A17="","",IF(2029&lt;$E17,"",IF($D17="Manuell","",IF(2029&gt;$E17+$F17,IF($D17="Fix",$G17,$G17*(1+$H17)^($F17)),IF($D17="Fix",$G17,$G17*(1+$H17)^(2029-$E17))))))</f>
        <v/>
      </c>
      <c r="U17" s="16">
        <f>IF($A17="","",IF(2030&lt;$E17,"",IF($D17="Manuell","",IF(2030&gt;$E17+$F17,IF($D17="Fix",$G17,$G17*(1+$H17)^($F17)),IF($D17="Fix",$G17,$G17*(1+$H17)^(2030-$E17))))))</f>
        <v/>
      </c>
      <c r="V17" s="16">
        <f>IF($A17="","",IF(2031&lt;$E17,"",IF($D17="Manuell","",IF(2031&gt;$E17+$F17,IF($D17="Fix",$G17,$G17*(1+$H17)^($F17)),IF($D17="Fix",$G17,$G17*(1+$H17)^(2031-$E17))))))</f>
        <v/>
      </c>
      <c r="W17" s="16">
        <f>IF($A17="","",IF(2032&lt;$E17,"",IF($D17="Manuell","",IF(2032&gt;$E17+$F17,IF($D17="Fix",$G17,$G17*(1+$H17)^($F17)),IF($D17="Fix",$G17,$G17*(1+$H17)^(2032-$E17))))))</f>
        <v/>
      </c>
      <c r="X17" s="16">
        <f>IF($A17="","",IF(2033&lt;$E17,"",IF($D17="Manuell","",IF(2033&gt;$E17+$F17,IF($D17="Fix",$G17,$G17*(1+$H17)^($F17)),IF($D17="Fix",$G17,$G17*(1+$H17)^(2033-$E17))))))</f>
        <v/>
      </c>
      <c r="Y17" s="16">
        <f>IF($A17="","",IF(2034&lt;$E17,"",IF($D17="Manuell","",IF(2034&gt;$E17+$F17,IF($D17="Fix",$G17,$G17*(1+$H17)^($F17)),IF($D17="Fix",$G17,$G17*(1+$H17)^(2034-$E17))))))</f>
        <v/>
      </c>
      <c r="Z17" s="16">
        <f>IF($A17="","",IF(2035&lt;$E17,"",IF($D17="Manuell","",IF(2035&gt;$E17+$F17,IF($D17="Fix",$G17,$G17*(1+$H17)^($F17)),IF($D17="Fix",$G17,$G17*(1+$H17)^(2035-$E17))))))</f>
        <v/>
      </c>
      <c r="AA17" s="16">
        <f>IF($A17="","",IF(2036&lt;$E17,"",IF($D17="Manuell","",IF(2036&gt;$E17+$F17,IF($D17="Fix",$G17,$G17*(1+$H17)^($F17)),IF($D17="Fix",$G17,$G17*(1+$H17)^(2036-$E17))))))</f>
        <v/>
      </c>
      <c r="AB17" s="16">
        <f>IF($A17="","",IF(2037&lt;$E17,"",IF($D17="Manuell","",IF(2037&gt;$E17+$F17,IF($D17="Fix",$G17,$G17*(1+$H17)^($F17)),IF($D17="Fix",$G17,$G17*(1+$H17)^(2037-$E17))))))</f>
        <v/>
      </c>
      <c r="AC17" s="16">
        <f>IF($A17="","",IF(2038&lt;$E17,"",IF($D17="Manuell","",IF(2038&gt;$E17+$F17,IF($D17="Fix",$G17,$G17*(1+$H17)^($F17)),IF($D17="Fix",$G17,$G17*(1+$H17)^(2038-$E17))))))</f>
        <v/>
      </c>
      <c r="AD17" s="16">
        <f>IF($A17="","",IF(2039&lt;$E17,"",IF($D17="Manuell","",IF(2039&gt;$E17+$F17,IF($D17="Fix",$G17,$G17*(1+$H17)^($F17)),IF($D17="Fix",$G17,$G17*(1+$H17)^(2039-$E17))))))</f>
        <v/>
      </c>
      <c r="AE17" s="16">
        <f>IF($A17="","",IF(2040&lt;$E17,"",IF($D17="Manuell","",IF(2040&gt;$E17+$F17,IF($D17="Fix",$G17,$G17*(1+$H17)^($F17)),IF($D17="Fix",$G17,$G17*(1+$H17)^(2040-$E17))))))</f>
        <v/>
      </c>
      <c r="AF17" s="16">
        <f>IF($A17="","",IF(2041&lt;$E17,"",IF($D17="Manuell","",IF(2041&gt;$E17+$F17,IF($D17="Fix",$G17,$G17*(1+$H17)^($F17)),IF($D17="Fix",$G17,$G17*(1+$H17)^(2041-$E17))))))</f>
        <v/>
      </c>
      <c r="AG17" s="16">
        <f>IF($A17="","",IF(2042&lt;$E17,"",IF($D17="Manuell","",IF(2042&gt;$E17+$F17,IF($D17="Fix",$G17,$G17*(1+$H17)^($F17)),IF($D17="Fix",$G17,$G17*(1+$H17)^(2042-$E17))))))</f>
        <v/>
      </c>
      <c r="AH17" s="16">
        <f>IF($A17="","",IF(2043&lt;$E17,"",IF($D17="Manuell","",IF(2043&gt;$E17+$F17,IF($D17="Fix",$G17,$G17*(1+$H17)^($F17)),IF($D17="Fix",$G17,$G17*(1+$H17)^(2043-$E17))))))</f>
        <v/>
      </c>
      <c r="AI17" s="16">
        <f>IF($A17="","",IF(2044&lt;$E17,"",IF($D17="Manuell","",IF(2044&gt;$E17+$F17,IF($D17="Fix",$G17,$G17*(1+$H17)^($F17)),IF($D17="Fix",$G17,$G17*(1+$H17)^(2044-$E17))))))</f>
        <v/>
      </c>
      <c r="AJ17" s="16">
        <f>IF($A17="","",IF(2045&lt;$E17,"",IF($D17="Manuell","",IF(2045&gt;$E17+$F17,IF($D17="Fix",$G17,$G17*(1+$H17)^($F17)),IF($D17="Fix",$G17,$G17*(1+$H17)^(2045-$E17))))))</f>
        <v/>
      </c>
      <c r="AK17" s="16">
        <f>IF($A17="","",IF(2046&lt;$E17,"",IF($D17="Manuell","",IF(2046&gt;$E17+$F17,IF($D17="Fix",$G17,$G17*(1+$H17)^($F17)),IF($D17="Fix",$G17,$G17*(1+$H17)^(2046-$E17))))))</f>
        <v/>
      </c>
      <c r="AL17" s="16">
        <f>IF($A17="","",IF(2047&lt;$E17,"",IF($D17="Manuell","",IF(2047&gt;$E17+$F17,IF($D17="Fix",$G17,$G17*(1+$H17)^($F17)),IF($D17="Fix",$G17,$G17*(1+$H17)^(2047-$E17))))))</f>
        <v/>
      </c>
      <c r="AM17" s="16">
        <f>IF($A17="","",IF(2048&lt;$E17,"",IF($D17="Manuell","",IF(2048&gt;$E17+$F17,IF($D17="Fix",$G17,$G17*(1+$H17)^($F17)),IF($D17="Fix",$G17,$G17*(1+$H17)^(2048-$E17))))))</f>
        <v/>
      </c>
      <c r="AN17" s="16">
        <f>IF($A17="","",IF(2049&lt;$E17,"",IF($D17="Manuell","",IF(2049&gt;$E17+$F17,IF($D17="Fix",$G17,$G17*(1+$H17)^($F17)),IF($D17="Fix",$G17,$G17*(1+$H17)^(2049-$E17))))))</f>
        <v/>
      </c>
      <c r="AO17" s="16">
        <f>IF($A17="","",IF(2050&lt;$E17,"",IF($D17="Manuell","",IF(2050&gt;$E17+$F17,IF($D17="Fix",$G17,$G17*(1+$H17)^($F17)),IF($D17="Fix",$G17,$G17*(1+$H17)^(2050-$E17))))))</f>
        <v/>
      </c>
      <c r="AP17" s="16">
        <f>IF($A17="","",IF(2051&lt;$E17,"",IF($D17="Manuell","",IF(2051&gt;$E17+$F17,IF($D17="Fix",$G17,$G17*(1+$H17)^($F17)),IF($D17="Fix",$G17,$G17*(1+$H17)^(2051-$E17))))))</f>
        <v/>
      </c>
      <c r="AQ17" s="16">
        <f>IF($A17="","",IF(2052&lt;$E17,"",IF($D17="Manuell","",IF(2052&gt;$E17+$F17,IF($D17="Fix",$G17,$G17*(1+$H17)^($F17)),IF($D17="Fix",$G17,$G17*(1+$H17)^(2052-$E17))))))</f>
        <v/>
      </c>
      <c r="AR17" s="16">
        <f>IF($A17="","",IF(2053&lt;$E17,"",IF($D17="Manuell","",IF(2053&gt;$E17+$F17,IF($D17="Fix",$G17,$G17*(1+$H17)^($F17)),IF($D17="Fix",$G17,$G17*(1+$H17)^(2053-$E17))))))</f>
        <v/>
      </c>
      <c r="AS17" s="16">
        <f>IF($A17="","",IF(2054&lt;$E17,"",IF($D17="Manuell","",IF(2054&gt;$E17+$F17,IF($D17="Fix",$G17,$G17*(1+$H17)^($F17)),IF($D17="Fix",$G17,$G17*(1+$H17)^(2054-$E17))))))</f>
        <v/>
      </c>
      <c r="AT17" s="16">
        <f>IF($A17="","",IF(2055&lt;$E17,"",IF($D17="Manuell","",IF(2055&gt;$E17+$F17,IF($D17="Fix",$G17,$G17*(1+$H17)^($F17)),IF($D17="Fix",$G17,$G17*(1+$H17)^(2055-$E17))))))</f>
        <v/>
      </c>
    </row>
    <row r="18">
      <c r="A18" s="14" t="inlineStr"/>
      <c r="B18" s="14" t="inlineStr"/>
      <c r="C18" s="14" t="inlineStr"/>
      <c r="D18" s="14" t="inlineStr"/>
      <c r="E18" s="11" t="inlineStr"/>
      <c r="F18" s="11" t="inlineStr"/>
      <c r="G18" s="15" t="inlineStr"/>
      <c r="H18" s="15" t="inlineStr"/>
      <c r="I18" s="16">
        <f>IF($A18="","",IF(2018&lt;$E18,"",IF($D18="Manuell","",IF(2018&gt;$E18+$F18,IF($D18="Fix",$G18,$G18*(1+$H18)^($F18)),IF($D18="Fix",$G18,$G18*(1+$H18)^(2018-$E18))))))</f>
        <v/>
      </c>
      <c r="J18" s="16">
        <f>IF($A18="","",IF(2019&lt;$E18,"",IF($D18="Manuell","",IF(2019&gt;$E18+$F18,IF($D18="Fix",$G18,$G18*(1+$H18)^($F18)),IF($D18="Fix",$G18,$G18*(1+$H18)^(2019-$E18))))))</f>
        <v/>
      </c>
      <c r="K18" s="16">
        <f>IF($A18="","",IF(2020&lt;$E18,"",IF($D18="Manuell","",IF(2020&gt;$E18+$F18,IF($D18="Fix",$G18,$G18*(1+$H18)^($F18)),IF($D18="Fix",$G18,$G18*(1+$H18)^(2020-$E18))))))</f>
        <v/>
      </c>
      <c r="L18" s="16">
        <f>IF($A18="","",IF(2021&lt;$E18,"",IF($D18="Manuell","",IF(2021&gt;$E18+$F18,IF($D18="Fix",$G18,$G18*(1+$H18)^($F18)),IF($D18="Fix",$G18,$G18*(1+$H18)^(2021-$E18))))))</f>
        <v/>
      </c>
      <c r="M18" s="16">
        <f>IF($A18="","",IF(2022&lt;$E18,"",IF($D18="Manuell","",IF(2022&gt;$E18+$F18,IF($D18="Fix",$G18,$G18*(1+$H18)^($F18)),IF($D18="Fix",$G18,$G18*(1+$H18)^(2022-$E18))))))</f>
        <v/>
      </c>
      <c r="N18" s="16">
        <f>IF($A18="","",IF(2023&lt;$E18,"",IF($D18="Manuell","",IF(2023&gt;$E18+$F18,IF($D18="Fix",$G18,$G18*(1+$H18)^($F18)),IF($D18="Fix",$G18,$G18*(1+$H18)^(2023-$E18))))))</f>
        <v/>
      </c>
      <c r="O18" s="16">
        <f>IF($A18="","",IF(2024&lt;$E18,"",IF($D18="Manuell","",IF(2024&gt;$E18+$F18,IF($D18="Fix",$G18,$G18*(1+$H18)^($F18)),IF($D18="Fix",$G18,$G18*(1+$H18)^(2024-$E18))))))</f>
        <v/>
      </c>
      <c r="P18" s="16">
        <f>IF($A18="","",IF(2025&lt;$E18,"",IF($D18="Manuell","",IF(2025&gt;$E18+$F18,IF($D18="Fix",$G18,$G18*(1+$H18)^($F18)),IF($D18="Fix",$G18,$G18*(1+$H18)^(2025-$E18))))))</f>
        <v/>
      </c>
      <c r="Q18" s="16">
        <f>IF($A18="","",IF(2026&lt;$E18,"",IF($D18="Manuell","",IF(2026&gt;$E18+$F18,IF($D18="Fix",$G18,$G18*(1+$H18)^($F18)),IF($D18="Fix",$G18,$G18*(1+$H18)^(2026-$E18))))))</f>
        <v/>
      </c>
      <c r="R18" s="16">
        <f>IF($A18="","",IF(2027&lt;$E18,"",IF($D18="Manuell","",IF(2027&gt;$E18+$F18,IF($D18="Fix",$G18,$G18*(1+$H18)^($F18)),IF($D18="Fix",$G18,$G18*(1+$H18)^(2027-$E18))))))</f>
        <v/>
      </c>
      <c r="S18" s="16">
        <f>IF($A18="","",IF(2028&lt;$E18,"",IF($D18="Manuell","",IF(2028&gt;$E18+$F18,IF($D18="Fix",$G18,$G18*(1+$H18)^($F18)),IF($D18="Fix",$G18,$G18*(1+$H18)^(2028-$E18))))))</f>
        <v/>
      </c>
      <c r="T18" s="16">
        <f>IF($A18="","",IF(2029&lt;$E18,"",IF($D18="Manuell","",IF(2029&gt;$E18+$F18,IF($D18="Fix",$G18,$G18*(1+$H18)^($F18)),IF($D18="Fix",$G18,$G18*(1+$H18)^(2029-$E18))))))</f>
        <v/>
      </c>
      <c r="U18" s="16">
        <f>IF($A18="","",IF(2030&lt;$E18,"",IF($D18="Manuell","",IF(2030&gt;$E18+$F18,IF($D18="Fix",$G18,$G18*(1+$H18)^($F18)),IF($D18="Fix",$G18,$G18*(1+$H18)^(2030-$E18))))))</f>
        <v/>
      </c>
      <c r="V18" s="16">
        <f>IF($A18="","",IF(2031&lt;$E18,"",IF($D18="Manuell","",IF(2031&gt;$E18+$F18,IF($D18="Fix",$G18,$G18*(1+$H18)^($F18)),IF($D18="Fix",$G18,$G18*(1+$H18)^(2031-$E18))))))</f>
        <v/>
      </c>
      <c r="W18" s="16">
        <f>IF($A18="","",IF(2032&lt;$E18,"",IF($D18="Manuell","",IF(2032&gt;$E18+$F18,IF($D18="Fix",$G18,$G18*(1+$H18)^($F18)),IF($D18="Fix",$G18,$G18*(1+$H18)^(2032-$E18))))))</f>
        <v/>
      </c>
      <c r="X18" s="16">
        <f>IF($A18="","",IF(2033&lt;$E18,"",IF($D18="Manuell","",IF(2033&gt;$E18+$F18,IF($D18="Fix",$G18,$G18*(1+$H18)^($F18)),IF($D18="Fix",$G18,$G18*(1+$H18)^(2033-$E18))))))</f>
        <v/>
      </c>
      <c r="Y18" s="16">
        <f>IF($A18="","",IF(2034&lt;$E18,"",IF($D18="Manuell","",IF(2034&gt;$E18+$F18,IF($D18="Fix",$G18,$G18*(1+$H18)^($F18)),IF($D18="Fix",$G18,$G18*(1+$H18)^(2034-$E18))))))</f>
        <v/>
      </c>
      <c r="Z18" s="16">
        <f>IF($A18="","",IF(2035&lt;$E18,"",IF($D18="Manuell","",IF(2035&gt;$E18+$F18,IF($D18="Fix",$G18,$G18*(1+$H18)^($F18)),IF($D18="Fix",$G18,$G18*(1+$H18)^(2035-$E18))))))</f>
        <v/>
      </c>
      <c r="AA18" s="16">
        <f>IF($A18="","",IF(2036&lt;$E18,"",IF($D18="Manuell","",IF(2036&gt;$E18+$F18,IF($D18="Fix",$G18,$G18*(1+$H18)^($F18)),IF($D18="Fix",$G18,$G18*(1+$H18)^(2036-$E18))))))</f>
        <v/>
      </c>
      <c r="AB18" s="16">
        <f>IF($A18="","",IF(2037&lt;$E18,"",IF($D18="Manuell","",IF(2037&gt;$E18+$F18,IF($D18="Fix",$G18,$G18*(1+$H18)^($F18)),IF($D18="Fix",$G18,$G18*(1+$H18)^(2037-$E18))))))</f>
        <v/>
      </c>
      <c r="AC18" s="16">
        <f>IF($A18="","",IF(2038&lt;$E18,"",IF($D18="Manuell","",IF(2038&gt;$E18+$F18,IF($D18="Fix",$G18,$G18*(1+$H18)^($F18)),IF($D18="Fix",$G18,$G18*(1+$H18)^(2038-$E18))))))</f>
        <v/>
      </c>
      <c r="AD18" s="16">
        <f>IF($A18="","",IF(2039&lt;$E18,"",IF($D18="Manuell","",IF(2039&gt;$E18+$F18,IF($D18="Fix",$G18,$G18*(1+$H18)^($F18)),IF($D18="Fix",$G18,$G18*(1+$H18)^(2039-$E18))))))</f>
        <v/>
      </c>
      <c r="AE18" s="16">
        <f>IF($A18="","",IF(2040&lt;$E18,"",IF($D18="Manuell","",IF(2040&gt;$E18+$F18,IF($D18="Fix",$G18,$G18*(1+$H18)^($F18)),IF($D18="Fix",$G18,$G18*(1+$H18)^(2040-$E18))))))</f>
        <v/>
      </c>
      <c r="AF18" s="16">
        <f>IF($A18="","",IF(2041&lt;$E18,"",IF($D18="Manuell","",IF(2041&gt;$E18+$F18,IF($D18="Fix",$G18,$G18*(1+$H18)^($F18)),IF($D18="Fix",$G18,$G18*(1+$H18)^(2041-$E18))))))</f>
        <v/>
      </c>
      <c r="AG18" s="16">
        <f>IF($A18="","",IF(2042&lt;$E18,"",IF($D18="Manuell","",IF(2042&gt;$E18+$F18,IF($D18="Fix",$G18,$G18*(1+$H18)^($F18)),IF($D18="Fix",$G18,$G18*(1+$H18)^(2042-$E18))))))</f>
        <v/>
      </c>
      <c r="AH18" s="16">
        <f>IF($A18="","",IF(2043&lt;$E18,"",IF($D18="Manuell","",IF(2043&gt;$E18+$F18,IF($D18="Fix",$G18,$G18*(1+$H18)^($F18)),IF($D18="Fix",$G18,$G18*(1+$H18)^(2043-$E18))))))</f>
        <v/>
      </c>
      <c r="AI18" s="16">
        <f>IF($A18="","",IF(2044&lt;$E18,"",IF($D18="Manuell","",IF(2044&gt;$E18+$F18,IF($D18="Fix",$G18,$G18*(1+$H18)^($F18)),IF($D18="Fix",$G18,$G18*(1+$H18)^(2044-$E18))))))</f>
        <v/>
      </c>
      <c r="AJ18" s="16">
        <f>IF($A18="","",IF(2045&lt;$E18,"",IF($D18="Manuell","",IF(2045&gt;$E18+$F18,IF($D18="Fix",$G18,$G18*(1+$H18)^($F18)),IF($D18="Fix",$G18,$G18*(1+$H18)^(2045-$E18))))))</f>
        <v/>
      </c>
      <c r="AK18" s="16">
        <f>IF($A18="","",IF(2046&lt;$E18,"",IF($D18="Manuell","",IF(2046&gt;$E18+$F18,IF($D18="Fix",$G18,$G18*(1+$H18)^($F18)),IF($D18="Fix",$G18,$G18*(1+$H18)^(2046-$E18))))))</f>
        <v/>
      </c>
      <c r="AL18" s="16">
        <f>IF($A18="","",IF(2047&lt;$E18,"",IF($D18="Manuell","",IF(2047&gt;$E18+$F18,IF($D18="Fix",$G18,$G18*(1+$H18)^($F18)),IF($D18="Fix",$G18,$G18*(1+$H18)^(2047-$E18))))))</f>
        <v/>
      </c>
      <c r="AM18" s="16">
        <f>IF($A18="","",IF(2048&lt;$E18,"",IF($D18="Manuell","",IF(2048&gt;$E18+$F18,IF($D18="Fix",$G18,$G18*(1+$H18)^($F18)),IF($D18="Fix",$G18,$G18*(1+$H18)^(2048-$E18))))))</f>
        <v/>
      </c>
      <c r="AN18" s="16">
        <f>IF($A18="","",IF(2049&lt;$E18,"",IF($D18="Manuell","",IF(2049&gt;$E18+$F18,IF($D18="Fix",$G18,$G18*(1+$H18)^($F18)),IF($D18="Fix",$G18,$G18*(1+$H18)^(2049-$E18))))))</f>
        <v/>
      </c>
      <c r="AO18" s="16">
        <f>IF($A18="","",IF(2050&lt;$E18,"",IF($D18="Manuell","",IF(2050&gt;$E18+$F18,IF($D18="Fix",$G18,$G18*(1+$H18)^($F18)),IF($D18="Fix",$G18,$G18*(1+$H18)^(2050-$E18))))))</f>
        <v/>
      </c>
      <c r="AP18" s="16">
        <f>IF($A18="","",IF(2051&lt;$E18,"",IF($D18="Manuell","",IF(2051&gt;$E18+$F18,IF($D18="Fix",$G18,$G18*(1+$H18)^($F18)),IF($D18="Fix",$G18,$G18*(1+$H18)^(2051-$E18))))))</f>
        <v/>
      </c>
      <c r="AQ18" s="16">
        <f>IF($A18="","",IF(2052&lt;$E18,"",IF($D18="Manuell","",IF(2052&gt;$E18+$F18,IF($D18="Fix",$G18,$G18*(1+$H18)^($F18)),IF($D18="Fix",$G18,$G18*(1+$H18)^(2052-$E18))))))</f>
        <v/>
      </c>
      <c r="AR18" s="16">
        <f>IF($A18="","",IF(2053&lt;$E18,"",IF($D18="Manuell","",IF(2053&gt;$E18+$F18,IF($D18="Fix",$G18,$G18*(1+$H18)^($F18)),IF($D18="Fix",$G18,$G18*(1+$H18)^(2053-$E18))))))</f>
        <v/>
      </c>
      <c r="AS18" s="16">
        <f>IF($A18="","",IF(2054&lt;$E18,"",IF($D18="Manuell","",IF(2054&gt;$E18+$F18,IF($D18="Fix",$G18,$G18*(1+$H18)^($F18)),IF($D18="Fix",$G18,$G18*(1+$H18)^(2054-$E18))))))</f>
        <v/>
      </c>
      <c r="AT18" s="16">
        <f>IF($A18="","",IF(2055&lt;$E18,"",IF($D18="Manuell","",IF(2055&gt;$E18+$F18,IF($D18="Fix",$G18,$G18*(1+$H18)^($F18)),IF($D18="Fix",$G18,$G18*(1+$H18)^(2055-$E18))))))</f>
        <v/>
      </c>
    </row>
    <row r="19">
      <c r="A19" s="14" t="inlineStr"/>
      <c r="B19" s="14" t="inlineStr"/>
      <c r="C19" s="14" t="inlineStr"/>
      <c r="D19" s="14" t="inlineStr"/>
      <c r="E19" s="11" t="inlineStr"/>
      <c r="F19" s="11" t="inlineStr"/>
      <c r="G19" s="15" t="inlineStr"/>
      <c r="H19" s="15" t="inlineStr"/>
      <c r="I19" s="16">
        <f>IF($A19="","",IF(2018&lt;$E19,"",IF($D19="Manuell","",IF(2018&gt;$E19+$F19,IF($D19="Fix",$G19,$G19*(1+$H19)^($F19)),IF($D19="Fix",$G19,$G19*(1+$H19)^(2018-$E19))))))</f>
        <v/>
      </c>
      <c r="J19" s="16">
        <f>IF($A19="","",IF(2019&lt;$E19,"",IF($D19="Manuell","",IF(2019&gt;$E19+$F19,IF($D19="Fix",$G19,$G19*(1+$H19)^($F19)),IF($D19="Fix",$G19,$G19*(1+$H19)^(2019-$E19))))))</f>
        <v/>
      </c>
      <c r="K19" s="16">
        <f>IF($A19="","",IF(2020&lt;$E19,"",IF($D19="Manuell","",IF(2020&gt;$E19+$F19,IF($D19="Fix",$G19,$G19*(1+$H19)^($F19)),IF($D19="Fix",$G19,$G19*(1+$H19)^(2020-$E19))))))</f>
        <v/>
      </c>
      <c r="L19" s="16">
        <f>IF($A19="","",IF(2021&lt;$E19,"",IF($D19="Manuell","",IF(2021&gt;$E19+$F19,IF($D19="Fix",$G19,$G19*(1+$H19)^($F19)),IF($D19="Fix",$G19,$G19*(1+$H19)^(2021-$E19))))))</f>
        <v/>
      </c>
      <c r="M19" s="16">
        <f>IF($A19="","",IF(2022&lt;$E19,"",IF($D19="Manuell","",IF(2022&gt;$E19+$F19,IF($D19="Fix",$G19,$G19*(1+$H19)^($F19)),IF($D19="Fix",$G19,$G19*(1+$H19)^(2022-$E19))))))</f>
        <v/>
      </c>
      <c r="N19" s="16">
        <f>IF($A19="","",IF(2023&lt;$E19,"",IF($D19="Manuell","",IF(2023&gt;$E19+$F19,IF($D19="Fix",$G19,$G19*(1+$H19)^($F19)),IF($D19="Fix",$G19,$G19*(1+$H19)^(2023-$E19))))))</f>
        <v/>
      </c>
      <c r="O19" s="16">
        <f>IF($A19="","",IF(2024&lt;$E19,"",IF($D19="Manuell","",IF(2024&gt;$E19+$F19,IF($D19="Fix",$G19,$G19*(1+$H19)^($F19)),IF($D19="Fix",$G19,$G19*(1+$H19)^(2024-$E19))))))</f>
        <v/>
      </c>
      <c r="P19" s="16">
        <f>IF($A19="","",IF(2025&lt;$E19,"",IF($D19="Manuell","",IF(2025&gt;$E19+$F19,IF($D19="Fix",$G19,$G19*(1+$H19)^($F19)),IF($D19="Fix",$G19,$G19*(1+$H19)^(2025-$E19))))))</f>
        <v/>
      </c>
      <c r="Q19" s="16">
        <f>IF($A19="","",IF(2026&lt;$E19,"",IF($D19="Manuell","",IF(2026&gt;$E19+$F19,IF($D19="Fix",$G19,$G19*(1+$H19)^($F19)),IF($D19="Fix",$G19,$G19*(1+$H19)^(2026-$E19))))))</f>
        <v/>
      </c>
      <c r="R19" s="16">
        <f>IF($A19="","",IF(2027&lt;$E19,"",IF($D19="Manuell","",IF(2027&gt;$E19+$F19,IF($D19="Fix",$G19,$G19*(1+$H19)^($F19)),IF($D19="Fix",$G19,$G19*(1+$H19)^(2027-$E19))))))</f>
        <v/>
      </c>
      <c r="S19" s="16">
        <f>IF($A19="","",IF(2028&lt;$E19,"",IF($D19="Manuell","",IF(2028&gt;$E19+$F19,IF($D19="Fix",$G19,$G19*(1+$H19)^($F19)),IF($D19="Fix",$G19,$G19*(1+$H19)^(2028-$E19))))))</f>
        <v/>
      </c>
      <c r="T19" s="16">
        <f>IF($A19="","",IF(2029&lt;$E19,"",IF($D19="Manuell","",IF(2029&gt;$E19+$F19,IF($D19="Fix",$G19,$G19*(1+$H19)^($F19)),IF($D19="Fix",$G19,$G19*(1+$H19)^(2029-$E19))))))</f>
        <v/>
      </c>
      <c r="U19" s="16">
        <f>IF($A19="","",IF(2030&lt;$E19,"",IF($D19="Manuell","",IF(2030&gt;$E19+$F19,IF($D19="Fix",$G19,$G19*(1+$H19)^($F19)),IF($D19="Fix",$G19,$G19*(1+$H19)^(2030-$E19))))))</f>
        <v/>
      </c>
      <c r="V19" s="16">
        <f>IF($A19="","",IF(2031&lt;$E19,"",IF($D19="Manuell","",IF(2031&gt;$E19+$F19,IF($D19="Fix",$G19,$G19*(1+$H19)^($F19)),IF($D19="Fix",$G19,$G19*(1+$H19)^(2031-$E19))))))</f>
        <v/>
      </c>
      <c r="W19" s="16">
        <f>IF($A19="","",IF(2032&lt;$E19,"",IF($D19="Manuell","",IF(2032&gt;$E19+$F19,IF($D19="Fix",$G19,$G19*(1+$H19)^($F19)),IF($D19="Fix",$G19,$G19*(1+$H19)^(2032-$E19))))))</f>
        <v/>
      </c>
      <c r="X19" s="16">
        <f>IF($A19="","",IF(2033&lt;$E19,"",IF($D19="Manuell","",IF(2033&gt;$E19+$F19,IF($D19="Fix",$G19,$G19*(1+$H19)^($F19)),IF($D19="Fix",$G19,$G19*(1+$H19)^(2033-$E19))))))</f>
        <v/>
      </c>
      <c r="Y19" s="16">
        <f>IF($A19="","",IF(2034&lt;$E19,"",IF($D19="Manuell","",IF(2034&gt;$E19+$F19,IF($D19="Fix",$G19,$G19*(1+$H19)^($F19)),IF($D19="Fix",$G19,$G19*(1+$H19)^(2034-$E19))))))</f>
        <v/>
      </c>
      <c r="Z19" s="16">
        <f>IF($A19="","",IF(2035&lt;$E19,"",IF($D19="Manuell","",IF(2035&gt;$E19+$F19,IF($D19="Fix",$G19,$G19*(1+$H19)^($F19)),IF($D19="Fix",$G19,$G19*(1+$H19)^(2035-$E19))))))</f>
        <v/>
      </c>
      <c r="AA19" s="16">
        <f>IF($A19="","",IF(2036&lt;$E19,"",IF($D19="Manuell","",IF(2036&gt;$E19+$F19,IF($D19="Fix",$G19,$G19*(1+$H19)^($F19)),IF($D19="Fix",$G19,$G19*(1+$H19)^(2036-$E19))))))</f>
        <v/>
      </c>
      <c r="AB19" s="16">
        <f>IF($A19="","",IF(2037&lt;$E19,"",IF($D19="Manuell","",IF(2037&gt;$E19+$F19,IF($D19="Fix",$G19,$G19*(1+$H19)^($F19)),IF($D19="Fix",$G19,$G19*(1+$H19)^(2037-$E19))))))</f>
        <v/>
      </c>
      <c r="AC19" s="16">
        <f>IF($A19="","",IF(2038&lt;$E19,"",IF($D19="Manuell","",IF(2038&gt;$E19+$F19,IF($D19="Fix",$G19,$G19*(1+$H19)^($F19)),IF($D19="Fix",$G19,$G19*(1+$H19)^(2038-$E19))))))</f>
        <v/>
      </c>
      <c r="AD19" s="16">
        <f>IF($A19="","",IF(2039&lt;$E19,"",IF($D19="Manuell","",IF(2039&gt;$E19+$F19,IF($D19="Fix",$G19,$G19*(1+$H19)^($F19)),IF($D19="Fix",$G19,$G19*(1+$H19)^(2039-$E19))))))</f>
        <v/>
      </c>
      <c r="AE19" s="16">
        <f>IF($A19="","",IF(2040&lt;$E19,"",IF($D19="Manuell","",IF(2040&gt;$E19+$F19,IF($D19="Fix",$G19,$G19*(1+$H19)^($F19)),IF($D19="Fix",$G19,$G19*(1+$H19)^(2040-$E19))))))</f>
        <v/>
      </c>
      <c r="AF19" s="16">
        <f>IF($A19="","",IF(2041&lt;$E19,"",IF($D19="Manuell","",IF(2041&gt;$E19+$F19,IF($D19="Fix",$G19,$G19*(1+$H19)^($F19)),IF($D19="Fix",$G19,$G19*(1+$H19)^(2041-$E19))))))</f>
        <v/>
      </c>
      <c r="AG19" s="16">
        <f>IF($A19="","",IF(2042&lt;$E19,"",IF($D19="Manuell","",IF(2042&gt;$E19+$F19,IF($D19="Fix",$G19,$G19*(1+$H19)^($F19)),IF($D19="Fix",$G19,$G19*(1+$H19)^(2042-$E19))))))</f>
        <v/>
      </c>
      <c r="AH19" s="16">
        <f>IF($A19="","",IF(2043&lt;$E19,"",IF($D19="Manuell","",IF(2043&gt;$E19+$F19,IF($D19="Fix",$G19,$G19*(1+$H19)^($F19)),IF($D19="Fix",$G19,$G19*(1+$H19)^(2043-$E19))))))</f>
        <v/>
      </c>
      <c r="AI19" s="16">
        <f>IF($A19="","",IF(2044&lt;$E19,"",IF($D19="Manuell","",IF(2044&gt;$E19+$F19,IF($D19="Fix",$G19,$G19*(1+$H19)^($F19)),IF($D19="Fix",$G19,$G19*(1+$H19)^(2044-$E19))))))</f>
        <v/>
      </c>
      <c r="AJ19" s="16">
        <f>IF($A19="","",IF(2045&lt;$E19,"",IF($D19="Manuell","",IF(2045&gt;$E19+$F19,IF($D19="Fix",$G19,$G19*(1+$H19)^($F19)),IF($D19="Fix",$G19,$G19*(1+$H19)^(2045-$E19))))))</f>
        <v/>
      </c>
      <c r="AK19" s="16">
        <f>IF($A19="","",IF(2046&lt;$E19,"",IF($D19="Manuell","",IF(2046&gt;$E19+$F19,IF($D19="Fix",$G19,$G19*(1+$H19)^($F19)),IF($D19="Fix",$G19,$G19*(1+$H19)^(2046-$E19))))))</f>
        <v/>
      </c>
      <c r="AL19" s="16">
        <f>IF($A19="","",IF(2047&lt;$E19,"",IF($D19="Manuell","",IF(2047&gt;$E19+$F19,IF($D19="Fix",$G19,$G19*(1+$H19)^($F19)),IF($D19="Fix",$G19,$G19*(1+$H19)^(2047-$E19))))))</f>
        <v/>
      </c>
      <c r="AM19" s="16">
        <f>IF($A19="","",IF(2048&lt;$E19,"",IF($D19="Manuell","",IF(2048&gt;$E19+$F19,IF($D19="Fix",$G19,$G19*(1+$H19)^($F19)),IF($D19="Fix",$G19,$G19*(1+$H19)^(2048-$E19))))))</f>
        <v/>
      </c>
      <c r="AN19" s="16">
        <f>IF($A19="","",IF(2049&lt;$E19,"",IF($D19="Manuell","",IF(2049&gt;$E19+$F19,IF($D19="Fix",$G19,$G19*(1+$H19)^($F19)),IF($D19="Fix",$G19,$G19*(1+$H19)^(2049-$E19))))))</f>
        <v/>
      </c>
      <c r="AO19" s="16">
        <f>IF($A19="","",IF(2050&lt;$E19,"",IF($D19="Manuell","",IF(2050&gt;$E19+$F19,IF($D19="Fix",$G19,$G19*(1+$H19)^($F19)),IF($D19="Fix",$G19,$G19*(1+$H19)^(2050-$E19))))))</f>
        <v/>
      </c>
      <c r="AP19" s="16">
        <f>IF($A19="","",IF(2051&lt;$E19,"",IF($D19="Manuell","",IF(2051&gt;$E19+$F19,IF($D19="Fix",$G19,$G19*(1+$H19)^($F19)),IF($D19="Fix",$G19,$G19*(1+$H19)^(2051-$E19))))))</f>
        <v/>
      </c>
      <c r="AQ19" s="16">
        <f>IF($A19="","",IF(2052&lt;$E19,"",IF($D19="Manuell","",IF(2052&gt;$E19+$F19,IF($D19="Fix",$G19,$G19*(1+$H19)^($F19)),IF($D19="Fix",$G19,$G19*(1+$H19)^(2052-$E19))))))</f>
        <v/>
      </c>
      <c r="AR19" s="16">
        <f>IF($A19="","",IF(2053&lt;$E19,"",IF($D19="Manuell","",IF(2053&gt;$E19+$F19,IF($D19="Fix",$G19,$G19*(1+$H19)^($F19)),IF($D19="Fix",$G19,$G19*(1+$H19)^(2053-$E19))))))</f>
        <v/>
      </c>
      <c r="AS19" s="16">
        <f>IF($A19="","",IF(2054&lt;$E19,"",IF($D19="Manuell","",IF(2054&gt;$E19+$F19,IF($D19="Fix",$G19,$G19*(1+$H19)^($F19)),IF($D19="Fix",$G19,$G19*(1+$H19)^(2054-$E19))))))</f>
        <v/>
      </c>
      <c r="AT19" s="16">
        <f>IF($A19="","",IF(2055&lt;$E19,"",IF($D19="Manuell","",IF(2055&gt;$E19+$F19,IF($D19="Fix",$G19,$G19*(1+$H19)^($F19)),IF($D19="Fix",$G19,$G19*(1+$H19)^(2055-$E19))))))</f>
        <v/>
      </c>
    </row>
    <row r="20">
      <c r="A20" s="14" t="inlineStr"/>
      <c r="B20" s="14" t="inlineStr"/>
      <c r="C20" s="14" t="inlineStr"/>
      <c r="D20" s="14" t="inlineStr"/>
      <c r="E20" s="11" t="inlineStr"/>
      <c r="F20" s="11" t="inlineStr"/>
      <c r="G20" s="15" t="inlineStr"/>
      <c r="H20" s="15" t="inlineStr"/>
      <c r="I20" s="16">
        <f>IF($A20="","",IF(2018&lt;$E20,"",IF($D20="Manuell","",IF(2018&gt;$E20+$F20,IF($D20="Fix",$G20,$G20*(1+$H20)^($F20)),IF($D20="Fix",$G20,$G20*(1+$H20)^(2018-$E20))))))</f>
        <v/>
      </c>
      <c r="J20" s="16">
        <f>IF($A20="","",IF(2019&lt;$E20,"",IF($D20="Manuell","",IF(2019&gt;$E20+$F20,IF($D20="Fix",$G20,$G20*(1+$H20)^($F20)),IF($D20="Fix",$G20,$G20*(1+$H20)^(2019-$E20))))))</f>
        <v/>
      </c>
      <c r="K20" s="16">
        <f>IF($A20="","",IF(2020&lt;$E20,"",IF($D20="Manuell","",IF(2020&gt;$E20+$F20,IF($D20="Fix",$G20,$G20*(1+$H20)^($F20)),IF($D20="Fix",$G20,$G20*(1+$H20)^(2020-$E20))))))</f>
        <v/>
      </c>
      <c r="L20" s="16">
        <f>IF($A20="","",IF(2021&lt;$E20,"",IF($D20="Manuell","",IF(2021&gt;$E20+$F20,IF($D20="Fix",$G20,$G20*(1+$H20)^($F20)),IF($D20="Fix",$G20,$G20*(1+$H20)^(2021-$E20))))))</f>
        <v/>
      </c>
      <c r="M20" s="16">
        <f>IF($A20="","",IF(2022&lt;$E20,"",IF($D20="Manuell","",IF(2022&gt;$E20+$F20,IF($D20="Fix",$G20,$G20*(1+$H20)^($F20)),IF($D20="Fix",$G20,$G20*(1+$H20)^(2022-$E20))))))</f>
        <v/>
      </c>
      <c r="N20" s="16">
        <f>IF($A20="","",IF(2023&lt;$E20,"",IF($D20="Manuell","",IF(2023&gt;$E20+$F20,IF($D20="Fix",$G20,$G20*(1+$H20)^($F20)),IF($D20="Fix",$G20,$G20*(1+$H20)^(2023-$E20))))))</f>
        <v/>
      </c>
      <c r="O20" s="16">
        <f>IF($A20="","",IF(2024&lt;$E20,"",IF($D20="Manuell","",IF(2024&gt;$E20+$F20,IF($D20="Fix",$G20,$G20*(1+$H20)^($F20)),IF($D20="Fix",$G20,$G20*(1+$H20)^(2024-$E20))))))</f>
        <v/>
      </c>
      <c r="P20" s="16">
        <f>IF($A20="","",IF(2025&lt;$E20,"",IF($D20="Manuell","",IF(2025&gt;$E20+$F20,IF($D20="Fix",$G20,$G20*(1+$H20)^($F20)),IF($D20="Fix",$G20,$G20*(1+$H20)^(2025-$E20))))))</f>
        <v/>
      </c>
      <c r="Q20" s="16">
        <f>IF($A20="","",IF(2026&lt;$E20,"",IF($D20="Manuell","",IF(2026&gt;$E20+$F20,IF($D20="Fix",$G20,$G20*(1+$H20)^($F20)),IF($D20="Fix",$G20,$G20*(1+$H20)^(2026-$E20))))))</f>
        <v/>
      </c>
      <c r="R20" s="16">
        <f>IF($A20="","",IF(2027&lt;$E20,"",IF($D20="Manuell","",IF(2027&gt;$E20+$F20,IF($D20="Fix",$G20,$G20*(1+$H20)^($F20)),IF($D20="Fix",$G20,$G20*(1+$H20)^(2027-$E20))))))</f>
        <v/>
      </c>
      <c r="S20" s="16">
        <f>IF($A20="","",IF(2028&lt;$E20,"",IF($D20="Manuell","",IF(2028&gt;$E20+$F20,IF($D20="Fix",$G20,$G20*(1+$H20)^($F20)),IF($D20="Fix",$G20,$G20*(1+$H20)^(2028-$E20))))))</f>
        <v/>
      </c>
      <c r="T20" s="16">
        <f>IF($A20="","",IF(2029&lt;$E20,"",IF($D20="Manuell","",IF(2029&gt;$E20+$F20,IF($D20="Fix",$G20,$G20*(1+$H20)^($F20)),IF($D20="Fix",$G20,$G20*(1+$H20)^(2029-$E20))))))</f>
        <v/>
      </c>
      <c r="U20" s="16">
        <f>IF($A20="","",IF(2030&lt;$E20,"",IF($D20="Manuell","",IF(2030&gt;$E20+$F20,IF($D20="Fix",$G20,$G20*(1+$H20)^($F20)),IF($D20="Fix",$G20,$G20*(1+$H20)^(2030-$E20))))))</f>
        <v/>
      </c>
      <c r="V20" s="16">
        <f>IF($A20="","",IF(2031&lt;$E20,"",IF($D20="Manuell","",IF(2031&gt;$E20+$F20,IF($D20="Fix",$G20,$G20*(1+$H20)^($F20)),IF($D20="Fix",$G20,$G20*(1+$H20)^(2031-$E20))))))</f>
        <v/>
      </c>
      <c r="W20" s="16">
        <f>IF($A20="","",IF(2032&lt;$E20,"",IF($D20="Manuell","",IF(2032&gt;$E20+$F20,IF($D20="Fix",$G20,$G20*(1+$H20)^($F20)),IF($D20="Fix",$G20,$G20*(1+$H20)^(2032-$E20))))))</f>
        <v/>
      </c>
      <c r="X20" s="16">
        <f>IF($A20="","",IF(2033&lt;$E20,"",IF($D20="Manuell","",IF(2033&gt;$E20+$F20,IF($D20="Fix",$G20,$G20*(1+$H20)^($F20)),IF($D20="Fix",$G20,$G20*(1+$H20)^(2033-$E20))))))</f>
        <v/>
      </c>
      <c r="Y20" s="16">
        <f>IF($A20="","",IF(2034&lt;$E20,"",IF($D20="Manuell","",IF(2034&gt;$E20+$F20,IF($D20="Fix",$G20,$G20*(1+$H20)^($F20)),IF($D20="Fix",$G20,$G20*(1+$H20)^(2034-$E20))))))</f>
        <v/>
      </c>
      <c r="Z20" s="16">
        <f>IF($A20="","",IF(2035&lt;$E20,"",IF($D20="Manuell","",IF(2035&gt;$E20+$F20,IF($D20="Fix",$G20,$G20*(1+$H20)^($F20)),IF($D20="Fix",$G20,$G20*(1+$H20)^(2035-$E20))))))</f>
        <v/>
      </c>
      <c r="AA20" s="16">
        <f>IF($A20="","",IF(2036&lt;$E20,"",IF($D20="Manuell","",IF(2036&gt;$E20+$F20,IF($D20="Fix",$G20,$G20*(1+$H20)^($F20)),IF($D20="Fix",$G20,$G20*(1+$H20)^(2036-$E20))))))</f>
        <v/>
      </c>
      <c r="AB20" s="16">
        <f>IF($A20="","",IF(2037&lt;$E20,"",IF($D20="Manuell","",IF(2037&gt;$E20+$F20,IF($D20="Fix",$G20,$G20*(1+$H20)^($F20)),IF($D20="Fix",$G20,$G20*(1+$H20)^(2037-$E20))))))</f>
        <v/>
      </c>
      <c r="AC20" s="16">
        <f>IF($A20="","",IF(2038&lt;$E20,"",IF($D20="Manuell","",IF(2038&gt;$E20+$F20,IF($D20="Fix",$G20,$G20*(1+$H20)^($F20)),IF($D20="Fix",$G20,$G20*(1+$H20)^(2038-$E20))))))</f>
        <v/>
      </c>
      <c r="AD20" s="16">
        <f>IF($A20="","",IF(2039&lt;$E20,"",IF($D20="Manuell","",IF(2039&gt;$E20+$F20,IF($D20="Fix",$G20,$G20*(1+$H20)^($F20)),IF($D20="Fix",$G20,$G20*(1+$H20)^(2039-$E20))))))</f>
        <v/>
      </c>
      <c r="AE20" s="16">
        <f>IF($A20="","",IF(2040&lt;$E20,"",IF($D20="Manuell","",IF(2040&gt;$E20+$F20,IF($D20="Fix",$G20,$G20*(1+$H20)^($F20)),IF($D20="Fix",$G20,$G20*(1+$H20)^(2040-$E20))))))</f>
        <v/>
      </c>
      <c r="AF20" s="16">
        <f>IF($A20="","",IF(2041&lt;$E20,"",IF($D20="Manuell","",IF(2041&gt;$E20+$F20,IF($D20="Fix",$G20,$G20*(1+$H20)^($F20)),IF($D20="Fix",$G20,$G20*(1+$H20)^(2041-$E20))))))</f>
        <v/>
      </c>
      <c r="AG20" s="16">
        <f>IF($A20="","",IF(2042&lt;$E20,"",IF($D20="Manuell","",IF(2042&gt;$E20+$F20,IF($D20="Fix",$G20,$G20*(1+$H20)^($F20)),IF($D20="Fix",$G20,$G20*(1+$H20)^(2042-$E20))))))</f>
        <v/>
      </c>
      <c r="AH20" s="16">
        <f>IF($A20="","",IF(2043&lt;$E20,"",IF($D20="Manuell","",IF(2043&gt;$E20+$F20,IF($D20="Fix",$G20,$G20*(1+$H20)^($F20)),IF($D20="Fix",$G20,$G20*(1+$H20)^(2043-$E20))))))</f>
        <v/>
      </c>
      <c r="AI20" s="16">
        <f>IF($A20="","",IF(2044&lt;$E20,"",IF($D20="Manuell","",IF(2044&gt;$E20+$F20,IF($D20="Fix",$G20,$G20*(1+$H20)^($F20)),IF($D20="Fix",$G20,$G20*(1+$H20)^(2044-$E20))))))</f>
        <v/>
      </c>
      <c r="AJ20" s="16">
        <f>IF($A20="","",IF(2045&lt;$E20,"",IF($D20="Manuell","",IF(2045&gt;$E20+$F20,IF($D20="Fix",$G20,$G20*(1+$H20)^($F20)),IF($D20="Fix",$G20,$G20*(1+$H20)^(2045-$E20))))))</f>
        <v/>
      </c>
      <c r="AK20" s="16">
        <f>IF($A20="","",IF(2046&lt;$E20,"",IF($D20="Manuell","",IF(2046&gt;$E20+$F20,IF($D20="Fix",$G20,$G20*(1+$H20)^($F20)),IF($D20="Fix",$G20,$G20*(1+$H20)^(2046-$E20))))))</f>
        <v/>
      </c>
      <c r="AL20" s="16">
        <f>IF($A20="","",IF(2047&lt;$E20,"",IF($D20="Manuell","",IF(2047&gt;$E20+$F20,IF($D20="Fix",$G20,$G20*(1+$H20)^($F20)),IF($D20="Fix",$G20,$G20*(1+$H20)^(2047-$E20))))))</f>
        <v/>
      </c>
      <c r="AM20" s="16">
        <f>IF($A20="","",IF(2048&lt;$E20,"",IF($D20="Manuell","",IF(2048&gt;$E20+$F20,IF($D20="Fix",$G20,$G20*(1+$H20)^($F20)),IF($D20="Fix",$G20,$G20*(1+$H20)^(2048-$E20))))))</f>
        <v/>
      </c>
      <c r="AN20" s="16">
        <f>IF($A20="","",IF(2049&lt;$E20,"",IF($D20="Manuell","",IF(2049&gt;$E20+$F20,IF($D20="Fix",$G20,$G20*(1+$H20)^($F20)),IF($D20="Fix",$G20,$G20*(1+$H20)^(2049-$E20))))))</f>
        <v/>
      </c>
      <c r="AO20" s="16">
        <f>IF($A20="","",IF(2050&lt;$E20,"",IF($D20="Manuell","",IF(2050&gt;$E20+$F20,IF($D20="Fix",$G20,$G20*(1+$H20)^($F20)),IF($D20="Fix",$G20,$G20*(1+$H20)^(2050-$E20))))))</f>
        <v/>
      </c>
      <c r="AP20" s="16">
        <f>IF($A20="","",IF(2051&lt;$E20,"",IF($D20="Manuell","",IF(2051&gt;$E20+$F20,IF($D20="Fix",$G20,$G20*(1+$H20)^($F20)),IF($D20="Fix",$G20,$G20*(1+$H20)^(2051-$E20))))))</f>
        <v/>
      </c>
      <c r="AQ20" s="16">
        <f>IF($A20="","",IF(2052&lt;$E20,"",IF($D20="Manuell","",IF(2052&gt;$E20+$F20,IF($D20="Fix",$G20,$G20*(1+$H20)^($F20)),IF($D20="Fix",$G20,$G20*(1+$H20)^(2052-$E20))))))</f>
        <v/>
      </c>
      <c r="AR20" s="16">
        <f>IF($A20="","",IF(2053&lt;$E20,"",IF($D20="Manuell","",IF(2053&gt;$E20+$F20,IF($D20="Fix",$G20,$G20*(1+$H20)^($F20)),IF($D20="Fix",$G20,$G20*(1+$H20)^(2053-$E20))))))</f>
        <v/>
      </c>
      <c r="AS20" s="16">
        <f>IF($A20="","",IF(2054&lt;$E20,"",IF($D20="Manuell","",IF(2054&gt;$E20+$F20,IF($D20="Fix",$G20,$G20*(1+$H20)^($F20)),IF($D20="Fix",$G20,$G20*(1+$H20)^(2054-$E20))))))</f>
        <v/>
      </c>
      <c r="AT20" s="16">
        <f>IF($A20="","",IF(2055&lt;$E20,"",IF($D20="Manuell","",IF(2055&gt;$E20+$F20,IF($D20="Fix",$G20,$G20*(1+$H20)^($F20)),IF($D20="Fix",$G20,$G20*(1+$H20)^(2055-$E20))))))</f>
        <v/>
      </c>
    </row>
    <row r="21">
      <c r="A21" s="14" t="inlineStr"/>
      <c r="B21" s="14" t="inlineStr"/>
      <c r="C21" s="14" t="inlineStr"/>
      <c r="D21" s="14" t="inlineStr"/>
      <c r="E21" s="11" t="inlineStr"/>
      <c r="F21" s="11" t="inlineStr"/>
      <c r="G21" s="15" t="inlineStr"/>
      <c r="H21" s="15" t="inlineStr"/>
      <c r="I21" s="16">
        <f>IF($A21="","",IF(2018&lt;$E21,"",IF($D21="Manuell","",IF(2018&gt;$E21+$F21,IF($D21="Fix",$G21,$G21*(1+$H21)^($F21)),IF($D21="Fix",$G21,$G21*(1+$H21)^(2018-$E21))))))</f>
        <v/>
      </c>
      <c r="J21" s="16">
        <f>IF($A21="","",IF(2019&lt;$E21,"",IF($D21="Manuell","",IF(2019&gt;$E21+$F21,IF($D21="Fix",$G21,$G21*(1+$H21)^($F21)),IF($D21="Fix",$G21,$G21*(1+$H21)^(2019-$E21))))))</f>
        <v/>
      </c>
      <c r="K21" s="16">
        <f>IF($A21="","",IF(2020&lt;$E21,"",IF($D21="Manuell","",IF(2020&gt;$E21+$F21,IF($D21="Fix",$G21,$G21*(1+$H21)^($F21)),IF($D21="Fix",$G21,$G21*(1+$H21)^(2020-$E21))))))</f>
        <v/>
      </c>
      <c r="L21" s="16">
        <f>IF($A21="","",IF(2021&lt;$E21,"",IF($D21="Manuell","",IF(2021&gt;$E21+$F21,IF($D21="Fix",$G21,$G21*(1+$H21)^($F21)),IF($D21="Fix",$G21,$G21*(1+$H21)^(2021-$E21))))))</f>
        <v/>
      </c>
      <c r="M21" s="16">
        <f>IF($A21="","",IF(2022&lt;$E21,"",IF($D21="Manuell","",IF(2022&gt;$E21+$F21,IF($D21="Fix",$G21,$G21*(1+$H21)^($F21)),IF($D21="Fix",$G21,$G21*(1+$H21)^(2022-$E21))))))</f>
        <v/>
      </c>
      <c r="N21" s="16">
        <f>IF($A21="","",IF(2023&lt;$E21,"",IF($D21="Manuell","",IF(2023&gt;$E21+$F21,IF($D21="Fix",$G21,$G21*(1+$H21)^($F21)),IF($D21="Fix",$G21,$G21*(1+$H21)^(2023-$E21))))))</f>
        <v/>
      </c>
      <c r="O21" s="16">
        <f>IF($A21="","",IF(2024&lt;$E21,"",IF($D21="Manuell","",IF(2024&gt;$E21+$F21,IF($D21="Fix",$G21,$G21*(1+$H21)^($F21)),IF($D21="Fix",$G21,$G21*(1+$H21)^(2024-$E21))))))</f>
        <v/>
      </c>
      <c r="P21" s="16">
        <f>IF($A21="","",IF(2025&lt;$E21,"",IF($D21="Manuell","",IF(2025&gt;$E21+$F21,IF($D21="Fix",$G21,$G21*(1+$H21)^($F21)),IF($D21="Fix",$G21,$G21*(1+$H21)^(2025-$E21))))))</f>
        <v/>
      </c>
      <c r="Q21" s="16">
        <f>IF($A21="","",IF(2026&lt;$E21,"",IF($D21="Manuell","",IF(2026&gt;$E21+$F21,IF($D21="Fix",$G21,$G21*(1+$H21)^($F21)),IF($D21="Fix",$G21,$G21*(1+$H21)^(2026-$E21))))))</f>
        <v/>
      </c>
      <c r="R21" s="16">
        <f>IF($A21="","",IF(2027&lt;$E21,"",IF($D21="Manuell","",IF(2027&gt;$E21+$F21,IF($D21="Fix",$G21,$G21*(1+$H21)^($F21)),IF($D21="Fix",$G21,$G21*(1+$H21)^(2027-$E21))))))</f>
        <v/>
      </c>
      <c r="S21" s="16">
        <f>IF($A21="","",IF(2028&lt;$E21,"",IF($D21="Manuell","",IF(2028&gt;$E21+$F21,IF($D21="Fix",$G21,$G21*(1+$H21)^($F21)),IF($D21="Fix",$G21,$G21*(1+$H21)^(2028-$E21))))))</f>
        <v/>
      </c>
      <c r="T21" s="16">
        <f>IF($A21="","",IF(2029&lt;$E21,"",IF($D21="Manuell","",IF(2029&gt;$E21+$F21,IF($D21="Fix",$G21,$G21*(1+$H21)^($F21)),IF($D21="Fix",$G21,$G21*(1+$H21)^(2029-$E21))))))</f>
        <v/>
      </c>
      <c r="U21" s="16">
        <f>IF($A21="","",IF(2030&lt;$E21,"",IF($D21="Manuell","",IF(2030&gt;$E21+$F21,IF($D21="Fix",$G21,$G21*(1+$H21)^($F21)),IF($D21="Fix",$G21,$G21*(1+$H21)^(2030-$E21))))))</f>
        <v/>
      </c>
      <c r="V21" s="16">
        <f>IF($A21="","",IF(2031&lt;$E21,"",IF($D21="Manuell","",IF(2031&gt;$E21+$F21,IF($D21="Fix",$G21,$G21*(1+$H21)^($F21)),IF($D21="Fix",$G21,$G21*(1+$H21)^(2031-$E21))))))</f>
        <v/>
      </c>
      <c r="W21" s="16">
        <f>IF($A21="","",IF(2032&lt;$E21,"",IF($D21="Manuell","",IF(2032&gt;$E21+$F21,IF($D21="Fix",$G21,$G21*(1+$H21)^($F21)),IF($D21="Fix",$G21,$G21*(1+$H21)^(2032-$E21))))))</f>
        <v/>
      </c>
      <c r="X21" s="16">
        <f>IF($A21="","",IF(2033&lt;$E21,"",IF($D21="Manuell","",IF(2033&gt;$E21+$F21,IF($D21="Fix",$G21,$G21*(1+$H21)^($F21)),IF($D21="Fix",$G21,$G21*(1+$H21)^(2033-$E21))))))</f>
        <v/>
      </c>
      <c r="Y21" s="16">
        <f>IF($A21="","",IF(2034&lt;$E21,"",IF($D21="Manuell","",IF(2034&gt;$E21+$F21,IF($D21="Fix",$G21,$G21*(1+$H21)^($F21)),IF($D21="Fix",$G21,$G21*(1+$H21)^(2034-$E21))))))</f>
        <v/>
      </c>
      <c r="Z21" s="16">
        <f>IF($A21="","",IF(2035&lt;$E21,"",IF($D21="Manuell","",IF(2035&gt;$E21+$F21,IF($D21="Fix",$G21,$G21*(1+$H21)^($F21)),IF($D21="Fix",$G21,$G21*(1+$H21)^(2035-$E21))))))</f>
        <v/>
      </c>
      <c r="AA21" s="16">
        <f>IF($A21="","",IF(2036&lt;$E21,"",IF($D21="Manuell","",IF(2036&gt;$E21+$F21,IF($D21="Fix",$G21,$G21*(1+$H21)^($F21)),IF($D21="Fix",$G21,$G21*(1+$H21)^(2036-$E21))))))</f>
        <v/>
      </c>
      <c r="AB21" s="16">
        <f>IF($A21="","",IF(2037&lt;$E21,"",IF($D21="Manuell","",IF(2037&gt;$E21+$F21,IF($D21="Fix",$G21,$G21*(1+$H21)^($F21)),IF($D21="Fix",$G21,$G21*(1+$H21)^(2037-$E21))))))</f>
        <v/>
      </c>
      <c r="AC21" s="16">
        <f>IF($A21="","",IF(2038&lt;$E21,"",IF($D21="Manuell","",IF(2038&gt;$E21+$F21,IF($D21="Fix",$G21,$G21*(1+$H21)^($F21)),IF($D21="Fix",$G21,$G21*(1+$H21)^(2038-$E21))))))</f>
        <v/>
      </c>
      <c r="AD21" s="16">
        <f>IF($A21="","",IF(2039&lt;$E21,"",IF($D21="Manuell","",IF(2039&gt;$E21+$F21,IF($D21="Fix",$G21,$G21*(1+$H21)^($F21)),IF($D21="Fix",$G21,$G21*(1+$H21)^(2039-$E21))))))</f>
        <v/>
      </c>
      <c r="AE21" s="16">
        <f>IF($A21="","",IF(2040&lt;$E21,"",IF($D21="Manuell","",IF(2040&gt;$E21+$F21,IF($D21="Fix",$G21,$G21*(1+$H21)^($F21)),IF($D21="Fix",$G21,$G21*(1+$H21)^(2040-$E21))))))</f>
        <v/>
      </c>
      <c r="AF21" s="16">
        <f>IF($A21="","",IF(2041&lt;$E21,"",IF($D21="Manuell","",IF(2041&gt;$E21+$F21,IF($D21="Fix",$G21,$G21*(1+$H21)^($F21)),IF($D21="Fix",$G21,$G21*(1+$H21)^(2041-$E21))))))</f>
        <v/>
      </c>
      <c r="AG21" s="16">
        <f>IF($A21="","",IF(2042&lt;$E21,"",IF($D21="Manuell","",IF(2042&gt;$E21+$F21,IF($D21="Fix",$G21,$G21*(1+$H21)^($F21)),IF($D21="Fix",$G21,$G21*(1+$H21)^(2042-$E21))))))</f>
        <v/>
      </c>
      <c r="AH21" s="16">
        <f>IF($A21="","",IF(2043&lt;$E21,"",IF($D21="Manuell","",IF(2043&gt;$E21+$F21,IF($D21="Fix",$G21,$G21*(1+$H21)^($F21)),IF($D21="Fix",$G21,$G21*(1+$H21)^(2043-$E21))))))</f>
        <v/>
      </c>
      <c r="AI21" s="16">
        <f>IF($A21="","",IF(2044&lt;$E21,"",IF($D21="Manuell","",IF(2044&gt;$E21+$F21,IF($D21="Fix",$G21,$G21*(1+$H21)^($F21)),IF($D21="Fix",$G21,$G21*(1+$H21)^(2044-$E21))))))</f>
        <v/>
      </c>
      <c r="AJ21" s="16">
        <f>IF($A21="","",IF(2045&lt;$E21,"",IF($D21="Manuell","",IF(2045&gt;$E21+$F21,IF($D21="Fix",$G21,$G21*(1+$H21)^($F21)),IF($D21="Fix",$G21,$G21*(1+$H21)^(2045-$E21))))))</f>
        <v/>
      </c>
      <c r="AK21" s="16">
        <f>IF($A21="","",IF(2046&lt;$E21,"",IF($D21="Manuell","",IF(2046&gt;$E21+$F21,IF($D21="Fix",$G21,$G21*(1+$H21)^($F21)),IF($D21="Fix",$G21,$G21*(1+$H21)^(2046-$E21))))))</f>
        <v/>
      </c>
      <c r="AL21" s="16">
        <f>IF($A21="","",IF(2047&lt;$E21,"",IF($D21="Manuell","",IF(2047&gt;$E21+$F21,IF($D21="Fix",$G21,$G21*(1+$H21)^($F21)),IF($D21="Fix",$G21,$G21*(1+$H21)^(2047-$E21))))))</f>
        <v/>
      </c>
      <c r="AM21" s="16">
        <f>IF($A21="","",IF(2048&lt;$E21,"",IF($D21="Manuell","",IF(2048&gt;$E21+$F21,IF($D21="Fix",$G21,$G21*(1+$H21)^($F21)),IF($D21="Fix",$G21,$G21*(1+$H21)^(2048-$E21))))))</f>
        <v/>
      </c>
      <c r="AN21" s="16">
        <f>IF($A21="","",IF(2049&lt;$E21,"",IF($D21="Manuell","",IF(2049&gt;$E21+$F21,IF($D21="Fix",$G21,$G21*(1+$H21)^($F21)),IF($D21="Fix",$G21,$G21*(1+$H21)^(2049-$E21))))))</f>
        <v/>
      </c>
      <c r="AO21" s="16">
        <f>IF($A21="","",IF(2050&lt;$E21,"",IF($D21="Manuell","",IF(2050&gt;$E21+$F21,IF($D21="Fix",$G21,$G21*(1+$H21)^($F21)),IF($D21="Fix",$G21,$G21*(1+$H21)^(2050-$E21))))))</f>
        <v/>
      </c>
      <c r="AP21" s="16">
        <f>IF($A21="","",IF(2051&lt;$E21,"",IF($D21="Manuell","",IF(2051&gt;$E21+$F21,IF($D21="Fix",$G21,$G21*(1+$H21)^($F21)),IF($D21="Fix",$G21,$G21*(1+$H21)^(2051-$E21))))))</f>
        <v/>
      </c>
      <c r="AQ21" s="16">
        <f>IF($A21="","",IF(2052&lt;$E21,"",IF($D21="Manuell","",IF(2052&gt;$E21+$F21,IF($D21="Fix",$G21,$G21*(1+$H21)^($F21)),IF($D21="Fix",$G21,$G21*(1+$H21)^(2052-$E21))))))</f>
        <v/>
      </c>
      <c r="AR21" s="16">
        <f>IF($A21="","",IF(2053&lt;$E21,"",IF($D21="Manuell","",IF(2053&gt;$E21+$F21,IF($D21="Fix",$G21,$G21*(1+$H21)^($F21)),IF($D21="Fix",$G21,$G21*(1+$H21)^(2053-$E21))))))</f>
        <v/>
      </c>
      <c r="AS21" s="16">
        <f>IF($A21="","",IF(2054&lt;$E21,"",IF($D21="Manuell","",IF(2054&gt;$E21+$F21,IF($D21="Fix",$G21,$G21*(1+$H21)^($F21)),IF($D21="Fix",$G21,$G21*(1+$H21)^(2054-$E21))))))</f>
        <v/>
      </c>
      <c r="AT21" s="16">
        <f>IF($A21="","",IF(2055&lt;$E21,"",IF($D21="Manuell","",IF(2055&gt;$E21+$F21,IF($D21="Fix",$G21,$G21*(1+$H21)^($F21)),IF($D21="Fix",$G21,$G21*(1+$H21)^(2055-$E21))))))</f>
        <v/>
      </c>
    </row>
    <row r="22">
      <c r="A22" s="14" t="inlineStr"/>
      <c r="B22" s="14" t="inlineStr"/>
      <c r="C22" s="14" t="inlineStr"/>
      <c r="D22" s="14" t="inlineStr"/>
      <c r="E22" s="11" t="inlineStr"/>
      <c r="F22" s="11" t="inlineStr"/>
      <c r="G22" s="15" t="inlineStr"/>
      <c r="H22" s="15" t="inlineStr"/>
      <c r="I22" s="16">
        <f>IF($A22="","",IF(2018&lt;$E22,"",IF($D22="Manuell","",IF(2018&gt;$E22+$F22,IF($D22="Fix",$G22,$G22*(1+$H22)^($F22)),IF($D22="Fix",$G22,$G22*(1+$H22)^(2018-$E22))))))</f>
        <v/>
      </c>
      <c r="J22" s="16">
        <f>IF($A22="","",IF(2019&lt;$E22,"",IF($D22="Manuell","",IF(2019&gt;$E22+$F22,IF($D22="Fix",$G22,$G22*(1+$H22)^($F22)),IF($D22="Fix",$G22,$G22*(1+$H22)^(2019-$E22))))))</f>
        <v/>
      </c>
      <c r="K22" s="16">
        <f>IF($A22="","",IF(2020&lt;$E22,"",IF($D22="Manuell","",IF(2020&gt;$E22+$F22,IF($D22="Fix",$G22,$G22*(1+$H22)^($F22)),IF($D22="Fix",$G22,$G22*(1+$H22)^(2020-$E22))))))</f>
        <v/>
      </c>
      <c r="L22" s="16">
        <f>IF($A22="","",IF(2021&lt;$E22,"",IF($D22="Manuell","",IF(2021&gt;$E22+$F22,IF($D22="Fix",$G22,$G22*(1+$H22)^($F22)),IF($D22="Fix",$G22,$G22*(1+$H22)^(2021-$E22))))))</f>
        <v/>
      </c>
      <c r="M22" s="16">
        <f>IF($A22="","",IF(2022&lt;$E22,"",IF($D22="Manuell","",IF(2022&gt;$E22+$F22,IF($D22="Fix",$G22,$G22*(1+$H22)^($F22)),IF($D22="Fix",$G22,$G22*(1+$H22)^(2022-$E22))))))</f>
        <v/>
      </c>
      <c r="N22" s="16">
        <f>IF($A22="","",IF(2023&lt;$E22,"",IF($D22="Manuell","",IF(2023&gt;$E22+$F22,IF($D22="Fix",$G22,$G22*(1+$H22)^($F22)),IF($D22="Fix",$G22,$G22*(1+$H22)^(2023-$E22))))))</f>
        <v/>
      </c>
      <c r="O22" s="16">
        <f>IF($A22="","",IF(2024&lt;$E22,"",IF($D22="Manuell","",IF(2024&gt;$E22+$F22,IF($D22="Fix",$G22,$G22*(1+$H22)^($F22)),IF($D22="Fix",$G22,$G22*(1+$H22)^(2024-$E22))))))</f>
        <v/>
      </c>
      <c r="P22" s="16">
        <f>IF($A22="","",IF(2025&lt;$E22,"",IF($D22="Manuell","",IF(2025&gt;$E22+$F22,IF($D22="Fix",$G22,$G22*(1+$H22)^($F22)),IF($D22="Fix",$G22,$G22*(1+$H22)^(2025-$E22))))))</f>
        <v/>
      </c>
      <c r="Q22" s="16">
        <f>IF($A22="","",IF(2026&lt;$E22,"",IF($D22="Manuell","",IF(2026&gt;$E22+$F22,IF($D22="Fix",$G22,$G22*(1+$H22)^($F22)),IF($D22="Fix",$G22,$G22*(1+$H22)^(2026-$E22))))))</f>
        <v/>
      </c>
      <c r="R22" s="16">
        <f>IF($A22="","",IF(2027&lt;$E22,"",IF($D22="Manuell","",IF(2027&gt;$E22+$F22,IF($D22="Fix",$G22,$G22*(1+$H22)^($F22)),IF($D22="Fix",$G22,$G22*(1+$H22)^(2027-$E22))))))</f>
        <v/>
      </c>
      <c r="S22" s="16">
        <f>IF($A22="","",IF(2028&lt;$E22,"",IF($D22="Manuell","",IF(2028&gt;$E22+$F22,IF($D22="Fix",$G22,$G22*(1+$H22)^($F22)),IF($D22="Fix",$G22,$G22*(1+$H22)^(2028-$E22))))))</f>
        <v/>
      </c>
      <c r="T22" s="16">
        <f>IF($A22="","",IF(2029&lt;$E22,"",IF($D22="Manuell","",IF(2029&gt;$E22+$F22,IF($D22="Fix",$G22,$G22*(1+$H22)^($F22)),IF($D22="Fix",$G22,$G22*(1+$H22)^(2029-$E22))))))</f>
        <v/>
      </c>
      <c r="U22" s="16">
        <f>IF($A22="","",IF(2030&lt;$E22,"",IF($D22="Manuell","",IF(2030&gt;$E22+$F22,IF($D22="Fix",$G22,$G22*(1+$H22)^($F22)),IF($D22="Fix",$G22,$G22*(1+$H22)^(2030-$E22))))))</f>
        <v/>
      </c>
      <c r="V22" s="16">
        <f>IF($A22="","",IF(2031&lt;$E22,"",IF($D22="Manuell","",IF(2031&gt;$E22+$F22,IF($D22="Fix",$G22,$G22*(1+$H22)^($F22)),IF($D22="Fix",$G22,$G22*(1+$H22)^(2031-$E22))))))</f>
        <v/>
      </c>
      <c r="W22" s="16">
        <f>IF($A22="","",IF(2032&lt;$E22,"",IF($D22="Manuell","",IF(2032&gt;$E22+$F22,IF($D22="Fix",$G22,$G22*(1+$H22)^($F22)),IF($D22="Fix",$G22,$G22*(1+$H22)^(2032-$E22))))))</f>
        <v/>
      </c>
      <c r="X22" s="16">
        <f>IF($A22="","",IF(2033&lt;$E22,"",IF($D22="Manuell","",IF(2033&gt;$E22+$F22,IF($D22="Fix",$G22,$G22*(1+$H22)^($F22)),IF($D22="Fix",$G22,$G22*(1+$H22)^(2033-$E22))))))</f>
        <v/>
      </c>
      <c r="Y22" s="16">
        <f>IF($A22="","",IF(2034&lt;$E22,"",IF($D22="Manuell","",IF(2034&gt;$E22+$F22,IF($D22="Fix",$G22,$G22*(1+$H22)^($F22)),IF($D22="Fix",$G22,$G22*(1+$H22)^(2034-$E22))))))</f>
        <v/>
      </c>
      <c r="Z22" s="16">
        <f>IF($A22="","",IF(2035&lt;$E22,"",IF($D22="Manuell","",IF(2035&gt;$E22+$F22,IF($D22="Fix",$G22,$G22*(1+$H22)^($F22)),IF($D22="Fix",$G22,$G22*(1+$H22)^(2035-$E22))))))</f>
        <v/>
      </c>
      <c r="AA22" s="16">
        <f>IF($A22="","",IF(2036&lt;$E22,"",IF($D22="Manuell","",IF(2036&gt;$E22+$F22,IF($D22="Fix",$G22,$G22*(1+$H22)^($F22)),IF($D22="Fix",$G22,$G22*(1+$H22)^(2036-$E22))))))</f>
        <v/>
      </c>
      <c r="AB22" s="16">
        <f>IF($A22="","",IF(2037&lt;$E22,"",IF($D22="Manuell","",IF(2037&gt;$E22+$F22,IF($D22="Fix",$G22,$G22*(1+$H22)^($F22)),IF($D22="Fix",$G22,$G22*(1+$H22)^(2037-$E22))))))</f>
        <v/>
      </c>
      <c r="AC22" s="16">
        <f>IF($A22="","",IF(2038&lt;$E22,"",IF($D22="Manuell","",IF(2038&gt;$E22+$F22,IF($D22="Fix",$G22,$G22*(1+$H22)^($F22)),IF($D22="Fix",$G22,$G22*(1+$H22)^(2038-$E22))))))</f>
        <v/>
      </c>
      <c r="AD22" s="16">
        <f>IF($A22="","",IF(2039&lt;$E22,"",IF($D22="Manuell","",IF(2039&gt;$E22+$F22,IF($D22="Fix",$G22,$G22*(1+$H22)^($F22)),IF($D22="Fix",$G22,$G22*(1+$H22)^(2039-$E22))))))</f>
        <v/>
      </c>
      <c r="AE22" s="16">
        <f>IF($A22="","",IF(2040&lt;$E22,"",IF($D22="Manuell","",IF(2040&gt;$E22+$F22,IF($D22="Fix",$G22,$G22*(1+$H22)^($F22)),IF($D22="Fix",$G22,$G22*(1+$H22)^(2040-$E22))))))</f>
        <v/>
      </c>
      <c r="AF22" s="16">
        <f>IF($A22="","",IF(2041&lt;$E22,"",IF($D22="Manuell","",IF(2041&gt;$E22+$F22,IF($D22="Fix",$G22,$G22*(1+$H22)^($F22)),IF($D22="Fix",$G22,$G22*(1+$H22)^(2041-$E22))))))</f>
        <v/>
      </c>
      <c r="AG22" s="16">
        <f>IF($A22="","",IF(2042&lt;$E22,"",IF($D22="Manuell","",IF(2042&gt;$E22+$F22,IF($D22="Fix",$G22,$G22*(1+$H22)^($F22)),IF($D22="Fix",$G22,$G22*(1+$H22)^(2042-$E22))))))</f>
        <v/>
      </c>
      <c r="AH22" s="16">
        <f>IF($A22="","",IF(2043&lt;$E22,"",IF($D22="Manuell","",IF(2043&gt;$E22+$F22,IF($D22="Fix",$G22,$G22*(1+$H22)^($F22)),IF($D22="Fix",$G22,$G22*(1+$H22)^(2043-$E22))))))</f>
        <v/>
      </c>
      <c r="AI22" s="16">
        <f>IF($A22="","",IF(2044&lt;$E22,"",IF($D22="Manuell","",IF(2044&gt;$E22+$F22,IF($D22="Fix",$G22,$G22*(1+$H22)^($F22)),IF($D22="Fix",$G22,$G22*(1+$H22)^(2044-$E22))))))</f>
        <v/>
      </c>
      <c r="AJ22" s="16">
        <f>IF($A22="","",IF(2045&lt;$E22,"",IF($D22="Manuell","",IF(2045&gt;$E22+$F22,IF($D22="Fix",$G22,$G22*(1+$H22)^($F22)),IF($D22="Fix",$G22,$G22*(1+$H22)^(2045-$E22))))))</f>
        <v/>
      </c>
      <c r="AK22" s="16">
        <f>IF($A22="","",IF(2046&lt;$E22,"",IF($D22="Manuell","",IF(2046&gt;$E22+$F22,IF($D22="Fix",$G22,$G22*(1+$H22)^($F22)),IF($D22="Fix",$G22,$G22*(1+$H22)^(2046-$E22))))))</f>
        <v/>
      </c>
      <c r="AL22" s="16">
        <f>IF($A22="","",IF(2047&lt;$E22,"",IF($D22="Manuell","",IF(2047&gt;$E22+$F22,IF($D22="Fix",$G22,$G22*(1+$H22)^($F22)),IF($D22="Fix",$G22,$G22*(1+$H22)^(2047-$E22))))))</f>
        <v/>
      </c>
      <c r="AM22" s="16">
        <f>IF($A22="","",IF(2048&lt;$E22,"",IF($D22="Manuell","",IF(2048&gt;$E22+$F22,IF($D22="Fix",$G22,$G22*(1+$H22)^($F22)),IF($D22="Fix",$G22,$G22*(1+$H22)^(2048-$E22))))))</f>
        <v/>
      </c>
      <c r="AN22" s="16">
        <f>IF($A22="","",IF(2049&lt;$E22,"",IF($D22="Manuell","",IF(2049&gt;$E22+$F22,IF($D22="Fix",$G22,$G22*(1+$H22)^($F22)),IF($D22="Fix",$G22,$G22*(1+$H22)^(2049-$E22))))))</f>
        <v/>
      </c>
      <c r="AO22" s="16">
        <f>IF($A22="","",IF(2050&lt;$E22,"",IF($D22="Manuell","",IF(2050&gt;$E22+$F22,IF($D22="Fix",$G22,$G22*(1+$H22)^($F22)),IF($D22="Fix",$G22,$G22*(1+$H22)^(2050-$E22))))))</f>
        <v/>
      </c>
      <c r="AP22" s="16">
        <f>IF($A22="","",IF(2051&lt;$E22,"",IF($D22="Manuell","",IF(2051&gt;$E22+$F22,IF($D22="Fix",$G22,$G22*(1+$H22)^($F22)),IF($D22="Fix",$G22,$G22*(1+$H22)^(2051-$E22))))))</f>
        <v/>
      </c>
      <c r="AQ22" s="16">
        <f>IF($A22="","",IF(2052&lt;$E22,"",IF($D22="Manuell","",IF(2052&gt;$E22+$F22,IF($D22="Fix",$G22,$G22*(1+$H22)^($F22)),IF($D22="Fix",$G22,$G22*(1+$H22)^(2052-$E22))))))</f>
        <v/>
      </c>
      <c r="AR22" s="16">
        <f>IF($A22="","",IF(2053&lt;$E22,"",IF($D22="Manuell","",IF(2053&gt;$E22+$F22,IF($D22="Fix",$G22,$G22*(1+$H22)^($F22)),IF($D22="Fix",$G22,$G22*(1+$H22)^(2053-$E22))))))</f>
        <v/>
      </c>
      <c r="AS22" s="16">
        <f>IF($A22="","",IF(2054&lt;$E22,"",IF($D22="Manuell","",IF(2054&gt;$E22+$F22,IF($D22="Fix",$G22,$G22*(1+$H22)^($F22)),IF($D22="Fix",$G22,$G22*(1+$H22)^(2054-$E22))))))</f>
        <v/>
      </c>
      <c r="AT22" s="16">
        <f>IF($A22="","",IF(2055&lt;$E22,"",IF($D22="Manuell","",IF(2055&gt;$E22+$F22,IF($D22="Fix",$G22,$G22*(1+$H22)^($F22)),IF($D22="Fix",$G22,$G22*(1+$H22)^(2055-$E22))))))</f>
        <v/>
      </c>
    </row>
    <row r="23">
      <c r="A23" s="14" t="inlineStr"/>
      <c r="B23" s="14" t="inlineStr"/>
      <c r="C23" s="14" t="inlineStr"/>
      <c r="D23" s="14" t="inlineStr"/>
      <c r="E23" s="11" t="inlineStr"/>
      <c r="F23" s="11" t="inlineStr"/>
      <c r="G23" s="15" t="inlineStr"/>
      <c r="H23" s="15" t="inlineStr"/>
      <c r="I23" s="16">
        <f>IF($A23="","",IF(2018&lt;$E23,"",IF($D23="Manuell","",IF(2018&gt;$E23+$F23,IF($D23="Fix",$G23,$G23*(1+$H23)^($F23)),IF($D23="Fix",$G23,$G23*(1+$H23)^(2018-$E23))))))</f>
        <v/>
      </c>
      <c r="J23" s="16">
        <f>IF($A23="","",IF(2019&lt;$E23,"",IF($D23="Manuell","",IF(2019&gt;$E23+$F23,IF($D23="Fix",$G23,$G23*(1+$H23)^($F23)),IF($D23="Fix",$G23,$G23*(1+$H23)^(2019-$E23))))))</f>
        <v/>
      </c>
      <c r="K23" s="16">
        <f>IF($A23="","",IF(2020&lt;$E23,"",IF($D23="Manuell","",IF(2020&gt;$E23+$F23,IF($D23="Fix",$G23,$G23*(1+$H23)^($F23)),IF($D23="Fix",$G23,$G23*(1+$H23)^(2020-$E23))))))</f>
        <v/>
      </c>
      <c r="L23" s="16">
        <f>IF($A23="","",IF(2021&lt;$E23,"",IF($D23="Manuell","",IF(2021&gt;$E23+$F23,IF($D23="Fix",$G23,$G23*(1+$H23)^($F23)),IF($D23="Fix",$G23,$G23*(1+$H23)^(2021-$E23))))))</f>
        <v/>
      </c>
      <c r="M23" s="16">
        <f>IF($A23="","",IF(2022&lt;$E23,"",IF($D23="Manuell","",IF(2022&gt;$E23+$F23,IF($D23="Fix",$G23,$G23*(1+$H23)^($F23)),IF($D23="Fix",$G23,$G23*(1+$H23)^(2022-$E23))))))</f>
        <v/>
      </c>
      <c r="N23" s="16">
        <f>IF($A23="","",IF(2023&lt;$E23,"",IF($D23="Manuell","",IF(2023&gt;$E23+$F23,IF($D23="Fix",$G23,$G23*(1+$H23)^($F23)),IF($D23="Fix",$G23,$G23*(1+$H23)^(2023-$E23))))))</f>
        <v/>
      </c>
      <c r="O23" s="16">
        <f>IF($A23="","",IF(2024&lt;$E23,"",IF($D23="Manuell","",IF(2024&gt;$E23+$F23,IF($D23="Fix",$G23,$G23*(1+$H23)^($F23)),IF($D23="Fix",$G23,$G23*(1+$H23)^(2024-$E23))))))</f>
        <v/>
      </c>
      <c r="P23" s="16">
        <f>IF($A23="","",IF(2025&lt;$E23,"",IF($D23="Manuell","",IF(2025&gt;$E23+$F23,IF($D23="Fix",$G23,$G23*(1+$H23)^($F23)),IF($D23="Fix",$G23,$G23*(1+$H23)^(2025-$E23))))))</f>
        <v/>
      </c>
      <c r="Q23" s="16">
        <f>IF($A23="","",IF(2026&lt;$E23,"",IF($D23="Manuell","",IF(2026&gt;$E23+$F23,IF($D23="Fix",$G23,$G23*(1+$H23)^($F23)),IF($D23="Fix",$G23,$G23*(1+$H23)^(2026-$E23))))))</f>
        <v/>
      </c>
      <c r="R23" s="16">
        <f>IF($A23="","",IF(2027&lt;$E23,"",IF($D23="Manuell","",IF(2027&gt;$E23+$F23,IF($D23="Fix",$G23,$G23*(1+$H23)^($F23)),IF($D23="Fix",$G23,$G23*(1+$H23)^(2027-$E23))))))</f>
        <v/>
      </c>
      <c r="S23" s="16">
        <f>IF($A23="","",IF(2028&lt;$E23,"",IF($D23="Manuell","",IF(2028&gt;$E23+$F23,IF($D23="Fix",$G23,$G23*(1+$H23)^($F23)),IF($D23="Fix",$G23,$G23*(1+$H23)^(2028-$E23))))))</f>
        <v/>
      </c>
      <c r="T23" s="16">
        <f>IF($A23="","",IF(2029&lt;$E23,"",IF($D23="Manuell","",IF(2029&gt;$E23+$F23,IF($D23="Fix",$G23,$G23*(1+$H23)^($F23)),IF($D23="Fix",$G23,$G23*(1+$H23)^(2029-$E23))))))</f>
        <v/>
      </c>
      <c r="U23" s="16">
        <f>IF($A23="","",IF(2030&lt;$E23,"",IF($D23="Manuell","",IF(2030&gt;$E23+$F23,IF($D23="Fix",$G23,$G23*(1+$H23)^($F23)),IF($D23="Fix",$G23,$G23*(1+$H23)^(2030-$E23))))))</f>
        <v/>
      </c>
      <c r="V23" s="16">
        <f>IF($A23="","",IF(2031&lt;$E23,"",IF($D23="Manuell","",IF(2031&gt;$E23+$F23,IF($D23="Fix",$G23,$G23*(1+$H23)^($F23)),IF($D23="Fix",$G23,$G23*(1+$H23)^(2031-$E23))))))</f>
        <v/>
      </c>
      <c r="W23" s="16">
        <f>IF($A23="","",IF(2032&lt;$E23,"",IF($D23="Manuell","",IF(2032&gt;$E23+$F23,IF($D23="Fix",$G23,$G23*(1+$H23)^($F23)),IF($D23="Fix",$G23,$G23*(1+$H23)^(2032-$E23))))))</f>
        <v/>
      </c>
      <c r="X23" s="16">
        <f>IF($A23="","",IF(2033&lt;$E23,"",IF($D23="Manuell","",IF(2033&gt;$E23+$F23,IF($D23="Fix",$G23,$G23*(1+$H23)^($F23)),IF($D23="Fix",$G23,$G23*(1+$H23)^(2033-$E23))))))</f>
        <v/>
      </c>
      <c r="Y23" s="16">
        <f>IF($A23="","",IF(2034&lt;$E23,"",IF($D23="Manuell","",IF(2034&gt;$E23+$F23,IF($D23="Fix",$G23,$G23*(1+$H23)^($F23)),IF($D23="Fix",$G23,$G23*(1+$H23)^(2034-$E23))))))</f>
        <v/>
      </c>
      <c r="Z23" s="16">
        <f>IF($A23="","",IF(2035&lt;$E23,"",IF($D23="Manuell","",IF(2035&gt;$E23+$F23,IF($D23="Fix",$G23,$G23*(1+$H23)^($F23)),IF($D23="Fix",$G23,$G23*(1+$H23)^(2035-$E23))))))</f>
        <v/>
      </c>
      <c r="AA23" s="16">
        <f>IF($A23="","",IF(2036&lt;$E23,"",IF($D23="Manuell","",IF(2036&gt;$E23+$F23,IF($D23="Fix",$G23,$G23*(1+$H23)^($F23)),IF($D23="Fix",$G23,$G23*(1+$H23)^(2036-$E23))))))</f>
        <v/>
      </c>
      <c r="AB23" s="16">
        <f>IF($A23="","",IF(2037&lt;$E23,"",IF($D23="Manuell","",IF(2037&gt;$E23+$F23,IF($D23="Fix",$G23,$G23*(1+$H23)^($F23)),IF($D23="Fix",$G23,$G23*(1+$H23)^(2037-$E23))))))</f>
        <v/>
      </c>
      <c r="AC23" s="16">
        <f>IF($A23="","",IF(2038&lt;$E23,"",IF($D23="Manuell","",IF(2038&gt;$E23+$F23,IF($D23="Fix",$G23,$G23*(1+$H23)^($F23)),IF($D23="Fix",$G23,$G23*(1+$H23)^(2038-$E23))))))</f>
        <v/>
      </c>
      <c r="AD23" s="16">
        <f>IF($A23="","",IF(2039&lt;$E23,"",IF($D23="Manuell","",IF(2039&gt;$E23+$F23,IF($D23="Fix",$G23,$G23*(1+$H23)^($F23)),IF($D23="Fix",$G23,$G23*(1+$H23)^(2039-$E23))))))</f>
        <v/>
      </c>
      <c r="AE23" s="16">
        <f>IF($A23="","",IF(2040&lt;$E23,"",IF($D23="Manuell","",IF(2040&gt;$E23+$F23,IF($D23="Fix",$G23,$G23*(1+$H23)^($F23)),IF($D23="Fix",$G23,$G23*(1+$H23)^(2040-$E23))))))</f>
        <v/>
      </c>
      <c r="AF23" s="16">
        <f>IF($A23="","",IF(2041&lt;$E23,"",IF($D23="Manuell","",IF(2041&gt;$E23+$F23,IF($D23="Fix",$G23,$G23*(1+$H23)^($F23)),IF($D23="Fix",$G23,$G23*(1+$H23)^(2041-$E23))))))</f>
        <v/>
      </c>
      <c r="AG23" s="16">
        <f>IF($A23="","",IF(2042&lt;$E23,"",IF($D23="Manuell","",IF(2042&gt;$E23+$F23,IF($D23="Fix",$G23,$G23*(1+$H23)^($F23)),IF($D23="Fix",$G23,$G23*(1+$H23)^(2042-$E23))))))</f>
        <v/>
      </c>
      <c r="AH23" s="16">
        <f>IF($A23="","",IF(2043&lt;$E23,"",IF($D23="Manuell","",IF(2043&gt;$E23+$F23,IF($D23="Fix",$G23,$G23*(1+$H23)^($F23)),IF($D23="Fix",$G23,$G23*(1+$H23)^(2043-$E23))))))</f>
        <v/>
      </c>
      <c r="AI23" s="16">
        <f>IF($A23="","",IF(2044&lt;$E23,"",IF($D23="Manuell","",IF(2044&gt;$E23+$F23,IF($D23="Fix",$G23,$G23*(1+$H23)^($F23)),IF($D23="Fix",$G23,$G23*(1+$H23)^(2044-$E23))))))</f>
        <v/>
      </c>
      <c r="AJ23" s="16">
        <f>IF($A23="","",IF(2045&lt;$E23,"",IF($D23="Manuell","",IF(2045&gt;$E23+$F23,IF($D23="Fix",$G23,$G23*(1+$H23)^($F23)),IF($D23="Fix",$G23,$G23*(1+$H23)^(2045-$E23))))))</f>
        <v/>
      </c>
      <c r="AK23" s="16">
        <f>IF($A23="","",IF(2046&lt;$E23,"",IF($D23="Manuell","",IF(2046&gt;$E23+$F23,IF($D23="Fix",$G23,$G23*(1+$H23)^($F23)),IF($D23="Fix",$G23,$G23*(1+$H23)^(2046-$E23))))))</f>
        <v/>
      </c>
      <c r="AL23" s="16">
        <f>IF($A23="","",IF(2047&lt;$E23,"",IF($D23="Manuell","",IF(2047&gt;$E23+$F23,IF($D23="Fix",$G23,$G23*(1+$H23)^($F23)),IF($D23="Fix",$G23,$G23*(1+$H23)^(2047-$E23))))))</f>
        <v/>
      </c>
      <c r="AM23" s="16">
        <f>IF($A23="","",IF(2048&lt;$E23,"",IF($D23="Manuell","",IF(2048&gt;$E23+$F23,IF($D23="Fix",$G23,$G23*(1+$H23)^($F23)),IF($D23="Fix",$G23,$G23*(1+$H23)^(2048-$E23))))))</f>
        <v/>
      </c>
      <c r="AN23" s="16">
        <f>IF($A23="","",IF(2049&lt;$E23,"",IF($D23="Manuell","",IF(2049&gt;$E23+$F23,IF($D23="Fix",$G23,$G23*(1+$H23)^($F23)),IF($D23="Fix",$G23,$G23*(1+$H23)^(2049-$E23))))))</f>
        <v/>
      </c>
      <c r="AO23" s="16">
        <f>IF($A23="","",IF(2050&lt;$E23,"",IF($D23="Manuell","",IF(2050&gt;$E23+$F23,IF($D23="Fix",$G23,$G23*(1+$H23)^($F23)),IF($D23="Fix",$G23,$G23*(1+$H23)^(2050-$E23))))))</f>
        <v/>
      </c>
      <c r="AP23" s="16">
        <f>IF($A23="","",IF(2051&lt;$E23,"",IF($D23="Manuell","",IF(2051&gt;$E23+$F23,IF($D23="Fix",$G23,$G23*(1+$H23)^($F23)),IF($D23="Fix",$G23,$G23*(1+$H23)^(2051-$E23))))))</f>
        <v/>
      </c>
      <c r="AQ23" s="16">
        <f>IF($A23="","",IF(2052&lt;$E23,"",IF($D23="Manuell","",IF(2052&gt;$E23+$F23,IF($D23="Fix",$G23,$G23*(1+$H23)^($F23)),IF($D23="Fix",$G23,$G23*(1+$H23)^(2052-$E23))))))</f>
        <v/>
      </c>
      <c r="AR23" s="16">
        <f>IF($A23="","",IF(2053&lt;$E23,"",IF($D23="Manuell","",IF(2053&gt;$E23+$F23,IF($D23="Fix",$G23,$G23*(1+$H23)^($F23)),IF($D23="Fix",$G23,$G23*(1+$H23)^(2053-$E23))))))</f>
        <v/>
      </c>
      <c r="AS23" s="16">
        <f>IF($A23="","",IF(2054&lt;$E23,"",IF($D23="Manuell","",IF(2054&gt;$E23+$F23,IF($D23="Fix",$G23,$G23*(1+$H23)^($F23)),IF($D23="Fix",$G23,$G23*(1+$H23)^(2054-$E23))))))</f>
        <v/>
      </c>
      <c r="AT23" s="16">
        <f>IF($A23="","",IF(2055&lt;$E23,"",IF($D23="Manuell","",IF(2055&gt;$E23+$F23,IF($D23="Fix",$G23,$G23*(1+$H23)^($F23)),IF($D23="Fix",$G23,$G23*(1+$H23)^(2055-$E23))))))</f>
        <v/>
      </c>
    </row>
    <row r="24">
      <c r="A24" s="14" t="inlineStr"/>
      <c r="B24" s="14" t="inlineStr"/>
      <c r="C24" s="14" t="inlineStr"/>
      <c r="D24" s="14" t="inlineStr"/>
      <c r="E24" s="11" t="inlineStr"/>
      <c r="F24" s="11" t="inlineStr"/>
      <c r="G24" s="15" t="inlineStr"/>
      <c r="H24" s="15" t="inlineStr"/>
      <c r="I24" s="16">
        <f>IF($A24="","",IF(2018&lt;$E24,"",IF($D24="Manuell","",IF(2018&gt;$E24+$F24,IF($D24="Fix",$G24,$G24*(1+$H24)^($F24)),IF($D24="Fix",$G24,$G24*(1+$H24)^(2018-$E24))))))</f>
        <v/>
      </c>
      <c r="J24" s="16">
        <f>IF($A24="","",IF(2019&lt;$E24,"",IF($D24="Manuell","",IF(2019&gt;$E24+$F24,IF($D24="Fix",$G24,$G24*(1+$H24)^($F24)),IF($D24="Fix",$G24,$G24*(1+$H24)^(2019-$E24))))))</f>
        <v/>
      </c>
      <c r="K24" s="16">
        <f>IF($A24="","",IF(2020&lt;$E24,"",IF($D24="Manuell","",IF(2020&gt;$E24+$F24,IF($D24="Fix",$G24,$G24*(1+$H24)^($F24)),IF($D24="Fix",$G24,$G24*(1+$H24)^(2020-$E24))))))</f>
        <v/>
      </c>
      <c r="L24" s="16">
        <f>IF($A24="","",IF(2021&lt;$E24,"",IF($D24="Manuell","",IF(2021&gt;$E24+$F24,IF($D24="Fix",$G24,$G24*(1+$H24)^($F24)),IF($D24="Fix",$G24,$G24*(1+$H24)^(2021-$E24))))))</f>
        <v/>
      </c>
      <c r="M24" s="16">
        <f>IF($A24="","",IF(2022&lt;$E24,"",IF($D24="Manuell","",IF(2022&gt;$E24+$F24,IF($D24="Fix",$G24,$G24*(1+$H24)^($F24)),IF($D24="Fix",$G24,$G24*(1+$H24)^(2022-$E24))))))</f>
        <v/>
      </c>
      <c r="N24" s="16">
        <f>IF($A24="","",IF(2023&lt;$E24,"",IF($D24="Manuell","",IF(2023&gt;$E24+$F24,IF($D24="Fix",$G24,$G24*(1+$H24)^($F24)),IF($D24="Fix",$G24,$G24*(1+$H24)^(2023-$E24))))))</f>
        <v/>
      </c>
      <c r="O24" s="16">
        <f>IF($A24="","",IF(2024&lt;$E24,"",IF($D24="Manuell","",IF(2024&gt;$E24+$F24,IF($D24="Fix",$G24,$G24*(1+$H24)^($F24)),IF($D24="Fix",$G24,$G24*(1+$H24)^(2024-$E24))))))</f>
        <v/>
      </c>
      <c r="P24" s="16">
        <f>IF($A24="","",IF(2025&lt;$E24,"",IF($D24="Manuell","",IF(2025&gt;$E24+$F24,IF($D24="Fix",$G24,$G24*(1+$H24)^($F24)),IF($D24="Fix",$G24,$G24*(1+$H24)^(2025-$E24))))))</f>
        <v/>
      </c>
      <c r="Q24" s="16">
        <f>IF($A24="","",IF(2026&lt;$E24,"",IF($D24="Manuell","",IF(2026&gt;$E24+$F24,IF($D24="Fix",$G24,$G24*(1+$H24)^($F24)),IF($D24="Fix",$G24,$G24*(1+$H24)^(2026-$E24))))))</f>
        <v/>
      </c>
      <c r="R24" s="16">
        <f>IF($A24="","",IF(2027&lt;$E24,"",IF($D24="Manuell","",IF(2027&gt;$E24+$F24,IF($D24="Fix",$G24,$G24*(1+$H24)^($F24)),IF($D24="Fix",$G24,$G24*(1+$H24)^(2027-$E24))))))</f>
        <v/>
      </c>
      <c r="S24" s="16">
        <f>IF($A24="","",IF(2028&lt;$E24,"",IF($D24="Manuell","",IF(2028&gt;$E24+$F24,IF($D24="Fix",$G24,$G24*(1+$H24)^($F24)),IF($D24="Fix",$G24,$G24*(1+$H24)^(2028-$E24))))))</f>
        <v/>
      </c>
      <c r="T24" s="16">
        <f>IF($A24="","",IF(2029&lt;$E24,"",IF($D24="Manuell","",IF(2029&gt;$E24+$F24,IF($D24="Fix",$G24,$G24*(1+$H24)^($F24)),IF($D24="Fix",$G24,$G24*(1+$H24)^(2029-$E24))))))</f>
        <v/>
      </c>
      <c r="U24" s="16">
        <f>IF($A24="","",IF(2030&lt;$E24,"",IF($D24="Manuell","",IF(2030&gt;$E24+$F24,IF($D24="Fix",$G24,$G24*(1+$H24)^($F24)),IF($D24="Fix",$G24,$G24*(1+$H24)^(2030-$E24))))))</f>
        <v/>
      </c>
      <c r="V24" s="16">
        <f>IF($A24="","",IF(2031&lt;$E24,"",IF($D24="Manuell","",IF(2031&gt;$E24+$F24,IF($D24="Fix",$G24,$G24*(1+$H24)^($F24)),IF($D24="Fix",$G24,$G24*(1+$H24)^(2031-$E24))))))</f>
        <v/>
      </c>
      <c r="W24" s="16">
        <f>IF($A24="","",IF(2032&lt;$E24,"",IF($D24="Manuell","",IF(2032&gt;$E24+$F24,IF($D24="Fix",$G24,$G24*(1+$H24)^($F24)),IF($D24="Fix",$G24,$G24*(1+$H24)^(2032-$E24))))))</f>
        <v/>
      </c>
      <c r="X24" s="16">
        <f>IF($A24="","",IF(2033&lt;$E24,"",IF($D24="Manuell","",IF(2033&gt;$E24+$F24,IF($D24="Fix",$G24,$G24*(1+$H24)^($F24)),IF($D24="Fix",$G24,$G24*(1+$H24)^(2033-$E24))))))</f>
        <v/>
      </c>
      <c r="Y24" s="16">
        <f>IF($A24="","",IF(2034&lt;$E24,"",IF($D24="Manuell","",IF(2034&gt;$E24+$F24,IF($D24="Fix",$G24,$G24*(1+$H24)^($F24)),IF($D24="Fix",$G24,$G24*(1+$H24)^(2034-$E24))))))</f>
        <v/>
      </c>
      <c r="Z24" s="16">
        <f>IF($A24="","",IF(2035&lt;$E24,"",IF($D24="Manuell","",IF(2035&gt;$E24+$F24,IF($D24="Fix",$G24,$G24*(1+$H24)^($F24)),IF($D24="Fix",$G24,$G24*(1+$H24)^(2035-$E24))))))</f>
        <v/>
      </c>
      <c r="AA24" s="16">
        <f>IF($A24="","",IF(2036&lt;$E24,"",IF($D24="Manuell","",IF(2036&gt;$E24+$F24,IF($D24="Fix",$G24,$G24*(1+$H24)^($F24)),IF($D24="Fix",$G24,$G24*(1+$H24)^(2036-$E24))))))</f>
        <v/>
      </c>
      <c r="AB24" s="16">
        <f>IF($A24="","",IF(2037&lt;$E24,"",IF($D24="Manuell","",IF(2037&gt;$E24+$F24,IF($D24="Fix",$G24,$G24*(1+$H24)^($F24)),IF($D24="Fix",$G24,$G24*(1+$H24)^(2037-$E24))))))</f>
        <v/>
      </c>
      <c r="AC24" s="16">
        <f>IF($A24="","",IF(2038&lt;$E24,"",IF($D24="Manuell","",IF(2038&gt;$E24+$F24,IF($D24="Fix",$G24,$G24*(1+$H24)^($F24)),IF($D24="Fix",$G24,$G24*(1+$H24)^(2038-$E24))))))</f>
        <v/>
      </c>
      <c r="AD24" s="16">
        <f>IF($A24="","",IF(2039&lt;$E24,"",IF($D24="Manuell","",IF(2039&gt;$E24+$F24,IF($D24="Fix",$G24,$G24*(1+$H24)^($F24)),IF($D24="Fix",$G24,$G24*(1+$H24)^(2039-$E24))))))</f>
        <v/>
      </c>
      <c r="AE24" s="16">
        <f>IF($A24="","",IF(2040&lt;$E24,"",IF($D24="Manuell","",IF(2040&gt;$E24+$F24,IF($D24="Fix",$G24,$G24*(1+$H24)^($F24)),IF($D24="Fix",$G24,$G24*(1+$H24)^(2040-$E24))))))</f>
        <v/>
      </c>
      <c r="AF24" s="16">
        <f>IF($A24="","",IF(2041&lt;$E24,"",IF($D24="Manuell","",IF(2041&gt;$E24+$F24,IF($D24="Fix",$G24,$G24*(1+$H24)^($F24)),IF($D24="Fix",$G24,$G24*(1+$H24)^(2041-$E24))))))</f>
        <v/>
      </c>
      <c r="AG24" s="16">
        <f>IF($A24="","",IF(2042&lt;$E24,"",IF($D24="Manuell","",IF(2042&gt;$E24+$F24,IF($D24="Fix",$G24,$G24*(1+$H24)^($F24)),IF($D24="Fix",$G24,$G24*(1+$H24)^(2042-$E24))))))</f>
        <v/>
      </c>
      <c r="AH24" s="16">
        <f>IF($A24="","",IF(2043&lt;$E24,"",IF($D24="Manuell","",IF(2043&gt;$E24+$F24,IF($D24="Fix",$G24,$G24*(1+$H24)^($F24)),IF($D24="Fix",$G24,$G24*(1+$H24)^(2043-$E24))))))</f>
        <v/>
      </c>
      <c r="AI24" s="16">
        <f>IF($A24="","",IF(2044&lt;$E24,"",IF($D24="Manuell","",IF(2044&gt;$E24+$F24,IF($D24="Fix",$G24,$G24*(1+$H24)^($F24)),IF($D24="Fix",$G24,$G24*(1+$H24)^(2044-$E24))))))</f>
        <v/>
      </c>
      <c r="AJ24" s="16">
        <f>IF($A24="","",IF(2045&lt;$E24,"",IF($D24="Manuell","",IF(2045&gt;$E24+$F24,IF($D24="Fix",$G24,$G24*(1+$H24)^($F24)),IF($D24="Fix",$G24,$G24*(1+$H24)^(2045-$E24))))))</f>
        <v/>
      </c>
      <c r="AK24" s="16">
        <f>IF($A24="","",IF(2046&lt;$E24,"",IF($D24="Manuell","",IF(2046&gt;$E24+$F24,IF($D24="Fix",$G24,$G24*(1+$H24)^($F24)),IF($D24="Fix",$G24,$G24*(1+$H24)^(2046-$E24))))))</f>
        <v/>
      </c>
      <c r="AL24" s="16">
        <f>IF($A24="","",IF(2047&lt;$E24,"",IF($D24="Manuell","",IF(2047&gt;$E24+$F24,IF($D24="Fix",$G24,$G24*(1+$H24)^($F24)),IF($D24="Fix",$G24,$G24*(1+$H24)^(2047-$E24))))))</f>
        <v/>
      </c>
      <c r="AM24" s="16">
        <f>IF($A24="","",IF(2048&lt;$E24,"",IF($D24="Manuell","",IF(2048&gt;$E24+$F24,IF($D24="Fix",$G24,$G24*(1+$H24)^($F24)),IF($D24="Fix",$G24,$G24*(1+$H24)^(2048-$E24))))))</f>
        <v/>
      </c>
      <c r="AN24" s="16">
        <f>IF($A24="","",IF(2049&lt;$E24,"",IF($D24="Manuell","",IF(2049&gt;$E24+$F24,IF($D24="Fix",$G24,$G24*(1+$H24)^($F24)),IF($D24="Fix",$G24,$G24*(1+$H24)^(2049-$E24))))))</f>
        <v/>
      </c>
      <c r="AO24" s="16">
        <f>IF($A24="","",IF(2050&lt;$E24,"",IF($D24="Manuell","",IF(2050&gt;$E24+$F24,IF($D24="Fix",$G24,$G24*(1+$H24)^($F24)),IF($D24="Fix",$G24,$G24*(1+$H24)^(2050-$E24))))))</f>
        <v/>
      </c>
      <c r="AP24" s="16">
        <f>IF($A24="","",IF(2051&lt;$E24,"",IF($D24="Manuell","",IF(2051&gt;$E24+$F24,IF($D24="Fix",$G24,$G24*(1+$H24)^($F24)),IF($D24="Fix",$G24,$G24*(1+$H24)^(2051-$E24))))))</f>
        <v/>
      </c>
      <c r="AQ24" s="16">
        <f>IF($A24="","",IF(2052&lt;$E24,"",IF($D24="Manuell","",IF(2052&gt;$E24+$F24,IF($D24="Fix",$G24,$G24*(1+$H24)^($F24)),IF($D24="Fix",$G24,$G24*(1+$H24)^(2052-$E24))))))</f>
        <v/>
      </c>
      <c r="AR24" s="16">
        <f>IF($A24="","",IF(2053&lt;$E24,"",IF($D24="Manuell","",IF(2053&gt;$E24+$F24,IF($D24="Fix",$G24,$G24*(1+$H24)^($F24)),IF($D24="Fix",$G24,$G24*(1+$H24)^(2053-$E24))))))</f>
        <v/>
      </c>
      <c r="AS24" s="16">
        <f>IF($A24="","",IF(2054&lt;$E24,"",IF($D24="Manuell","",IF(2054&gt;$E24+$F24,IF($D24="Fix",$G24,$G24*(1+$H24)^($F24)),IF($D24="Fix",$G24,$G24*(1+$H24)^(2054-$E24))))))</f>
        <v/>
      </c>
      <c r="AT24" s="16">
        <f>IF($A24="","",IF(2055&lt;$E24,"",IF($D24="Manuell","",IF(2055&gt;$E24+$F24,IF($D24="Fix",$G24,$G24*(1+$H24)^($F24)),IF($D24="Fix",$G24,$G24*(1+$H24)^(2055-$E24))))))</f>
        <v/>
      </c>
    </row>
    <row r="25">
      <c r="A25" s="14" t="inlineStr"/>
      <c r="B25" s="14" t="inlineStr"/>
      <c r="C25" s="14" t="inlineStr"/>
      <c r="D25" s="14" t="inlineStr"/>
      <c r="E25" s="11" t="inlineStr"/>
      <c r="F25" s="11" t="inlineStr"/>
      <c r="G25" s="15" t="inlineStr"/>
      <c r="H25" s="15" t="inlineStr"/>
      <c r="I25" s="16">
        <f>IF($A25="","",IF(2018&lt;$E25,"",IF($D25="Manuell","",IF(2018&gt;$E25+$F25,IF($D25="Fix",$G25,$G25*(1+$H25)^($F25)),IF($D25="Fix",$G25,$G25*(1+$H25)^(2018-$E25))))))</f>
        <v/>
      </c>
      <c r="J25" s="16">
        <f>IF($A25="","",IF(2019&lt;$E25,"",IF($D25="Manuell","",IF(2019&gt;$E25+$F25,IF($D25="Fix",$G25,$G25*(1+$H25)^($F25)),IF($D25="Fix",$G25,$G25*(1+$H25)^(2019-$E25))))))</f>
        <v/>
      </c>
      <c r="K25" s="16">
        <f>IF($A25="","",IF(2020&lt;$E25,"",IF($D25="Manuell","",IF(2020&gt;$E25+$F25,IF($D25="Fix",$G25,$G25*(1+$H25)^($F25)),IF($D25="Fix",$G25,$G25*(1+$H25)^(2020-$E25))))))</f>
        <v/>
      </c>
      <c r="L25" s="16">
        <f>IF($A25="","",IF(2021&lt;$E25,"",IF($D25="Manuell","",IF(2021&gt;$E25+$F25,IF($D25="Fix",$G25,$G25*(1+$H25)^($F25)),IF($D25="Fix",$G25,$G25*(1+$H25)^(2021-$E25))))))</f>
        <v/>
      </c>
      <c r="M25" s="16">
        <f>IF($A25="","",IF(2022&lt;$E25,"",IF($D25="Manuell","",IF(2022&gt;$E25+$F25,IF($D25="Fix",$G25,$G25*(1+$H25)^($F25)),IF($D25="Fix",$G25,$G25*(1+$H25)^(2022-$E25))))))</f>
        <v/>
      </c>
      <c r="N25" s="16">
        <f>IF($A25="","",IF(2023&lt;$E25,"",IF($D25="Manuell","",IF(2023&gt;$E25+$F25,IF($D25="Fix",$G25,$G25*(1+$H25)^($F25)),IF($D25="Fix",$G25,$G25*(1+$H25)^(2023-$E25))))))</f>
        <v/>
      </c>
      <c r="O25" s="16">
        <f>IF($A25="","",IF(2024&lt;$E25,"",IF($D25="Manuell","",IF(2024&gt;$E25+$F25,IF($D25="Fix",$G25,$G25*(1+$H25)^($F25)),IF($D25="Fix",$G25,$G25*(1+$H25)^(2024-$E25))))))</f>
        <v/>
      </c>
      <c r="P25" s="16">
        <f>IF($A25="","",IF(2025&lt;$E25,"",IF($D25="Manuell","",IF(2025&gt;$E25+$F25,IF($D25="Fix",$G25,$G25*(1+$H25)^($F25)),IF($D25="Fix",$G25,$G25*(1+$H25)^(2025-$E25))))))</f>
        <v/>
      </c>
      <c r="Q25" s="16">
        <f>IF($A25="","",IF(2026&lt;$E25,"",IF($D25="Manuell","",IF(2026&gt;$E25+$F25,IF($D25="Fix",$G25,$G25*(1+$H25)^($F25)),IF($D25="Fix",$G25,$G25*(1+$H25)^(2026-$E25))))))</f>
        <v/>
      </c>
      <c r="R25" s="16">
        <f>IF($A25="","",IF(2027&lt;$E25,"",IF($D25="Manuell","",IF(2027&gt;$E25+$F25,IF($D25="Fix",$G25,$G25*(1+$H25)^($F25)),IF($D25="Fix",$G25,$G25*(1+$H25)^(2027-$E25))))))</f>
        <v/>
      </c>
      <c r="S25" s="16">
        <f>IF($A25="","",IF(2028&lt;$E25,"",IF($D25="Manuell","",IF(2028&gt;$E25+$F25,IF($D25="Fix",$G25,$G25*(1+$H25)^($F25)),IF($D25="Fix",$G25,$G25*(1+$H25)^(2028-$E25))))))</f>
        <v/>
      </c>
      <c r="T25" s="16">
        <f>IF($A25="","",IF(2029&lt;$E25,"",IF($D25="Manuell","",IF(2029&gt;$E25+$F25,IF($D25="Fix",$G25,$G25*(1+$H25)^($F25)),IF($D25="Fix",$G25,$G25*(1+$H25)^(2029-$E25))))))</f>
        <v/>
      </c>
      <c r="U25" s="16">
        <f>IF($A25="","",IF(2030&lt;$E25,"",IF($D25="Manuell","",IF(2030&gt;$E25+$F25,IF($D25="Fix",$G25,$G25*(1+$H25)^($F25)),IF($D25="Fix",$G25,$G25*(1+$H25)^(2030-$E25))))))</f>
        <v/>
      </c>
      <c r="V25" s="16">
        <f>IF($A25="","",IF(2031&lt;$E25,"",IF($D25="Manuell","",IF(2031&gt;$E25+$F25,IF($D25="Fix",$G25,$G25*(1+$H25)^($F25)),IF($D25="Fix",$G25,$G25*(1+$H25)^(2031-$E25))))))</f>
        <v/>
      </c>
      <c r="W25" s="16">
        <f>IF($A25="","",IF(2032&lt;$E25,"",IF($D25="Manuell","",IF(2032&gt;$E25+$F25,IF($D25="Fix",$G25,$G25*(1+$H25)^($F25)),IF($D25="Fix",$G25,$G25*(1+$H25)^(2032-$E25))))))</f>
        <v/>
      </c>
      <c r="X25" s="16">
        <f>IF($A25="","",IF(2033&lt;$E25,"",IF($D25="Manuell","",IF(2033&gt;$E25+$F25,IF($D25="Fix",$G25,$G25*(1+$H25)^($F25)),IF($D25="Fix",$G25,$G25*(1+$H25)^(2033-$E25))))))</f>
        <v/>
      </c>
      <c r="Y25" s="16">
        <f>IF($A25="","",IF(2034&lt;$E25,"",IF($D25="Manuell","",IF(2034&gt;$E25+$F25,IF($D25="Fix",$G25,$G25*(1+$H25)^($F25)),IF($D25="Fix",$G25,$G25*(1+$H25)^(2034-$E25))))))</f>
        <v/>
      </c>
      <c r="Z25" s="16">
        <f>IF($A25="","",IF(2035&lt;$E25,"",IF($D25="Manuell","",IF(2035&gt;$E25+$F25,IF($D25="Fix",$G25,$G25*(1+$H25)^($F25)),IF($D25="Fix",$G25,$G25*(1+$H25)^(2035-$E25))))))</f>
        <v/>
      </c>
      <c r="AA25" s="16">
        <f>IF($A25="","",IF(2036&lt;$E25,"",IF($D25="Manuell","",IF(2036&gt;$E25+$F25,IF($D25="Fix",$G25,$G25*(1+$H25)^($F25)),IF($D25="Fix",$G25,$G25*(1+$H25)^(2036-$E25))))))</f>
        <v/>
      </c>
      <c r="AB25" s="16">
        <f>IF($A25="","",IF(2037&lt;$E25,"",IF($D25="Manuell","",IF(2037&gt;$E25+$F25,IF($D25="Fix",$G25,$G25*(1+$H25)^($F25)),IF($D25="Fix",$G25,$G25*(1+$H25)^(2037-$E25))))))</f>
        <v/>
      </c>
      <c r="AC25" s="16">
        <f>IF($A25="","",IF(2038&lt;$E25,"",IF($D25="Manuell","",IF(2038&gt;$E25+$F25,IF($D25="Fix",$G25,$G25*(1+$H25)^($F25)),IF($D25="Fix",$G25,$G25*(1+$H25)^(2038-$E25))))))</f>
        <v/>
      </c>
      <c r="AD25" s="16">
        <f>IF($A25="","",IF(2039&lt;$E25,"",IF($D25="Manuell","",IF(2039&gt;$E25+$F25,IF($D25="Fix",$G25,$G25*(1+$H25)^($F25)),IF($D25="Fix",$G25,$G25*(1+$H25)^(2039-$E25))))))</f>
        <v/>
      </c>
      <c r="AE25" s="16">
        <f>IF($A25="","",IF(2040&lt;$E25,"",IF($D25="Manuell","",IF(2040&gt;$E25+$F25,IF($D25="Fix",$G25,$G25*(1+$H25)^($F25)),IF($D25="Fix",$G25,$G25*(1+$H25)^(2040-$E25))))))</f>
        <v/>
      </c>
      <c r="AF25" s="16">
        <f>IF($A25="","",IF(2041&lt;$E25,"",IF($D25="Manuell","",IF(2041&gt;$E25+$F25,IF($D25="Fix",$G25,$G25*(1+$H25)^($F25)),IF($D25="Fix",$G25,$G25*(1+$H25)^(2041-$E25))))))</f>
        <v/>
      </c>
      <c r="AG25" s="16">
        <f>IF($A25="","",IF(2042&lt;$E25,"",IF($D25="Manuell","",IF(2042&gt;$E25+$F25,IF($D25="Fix",$G25,$G25*(1+$H25)^($F25)),IF($D25="Fix",$G25,$G25*(1+$H25)^(2042-$E25))))))</f>
        <v/>
      </c>
      <c r="AH25" s="16">
        <f>IF($A25="","",IF(2043&lt;$E25,"",IF($D25="Manuell","",IF(2043&gt;$E25+$F25,IF($D25="Fix",$G25,$G25*(1+$H25)^($F25)),IF($D25="Fix",$G25,$G25*(1+$H25)^(2043-$E25))))))</f>
        <v/>
      </c>
      <c r="AI25" s="16">
        <f>IF($A25="","",IF(2044&lt;$E25,"",IF($D25="Manuell","",IF(2044&gt;$E25+$F25,IF($D25="Fix",$G25,$G25*(1+$H25)^($F25)),IF($D25="Fix",$G25,$G25*(1+$H25)^(2044-$E25))))))</f>
        <v/>
      </c>
      <c r="AJ25" s="16">
        <f>IF($A25="","",IF(2045&lt;$E25,"",IF($D25="Manuell","",IF(2045&gt;$E25+$F25,IF($D25="Fix",$G25,$G25*(1+$H25)^($F25)),IF($D25="Fix",$G25,$G25*(1+$H25)^(2045-$E25))))))</f>
        <v/>
      </c>
      <c r="AK25" s="16">
        <f>IF($A25="","",IF(2046&lt;$E25,"",IF($D25="Manuell","",IF(2046&gt;$E25+$F25,IF($D25="Fix",$G25,$G25*(1+$H25)^($F25)),IF($D25="Fix",$G25,$G25*(1+$H25)^(2046-$E25))))))</f>
        <v/>
      </c>
      <c r="AL25" s="16">
        <f>IF($A25="","",IF(2047&lt;$E25,"",IF($D25="Manuell","",IF(2047&gt;$E25+$F25,IF($D25="Fix",$G25,$G25*(1+$H25)^($F25)),IF($D25="Fix",$G25,$G25*(1+$H25)^(2047-$E25))))))</f>
        <v/>
      </c>
      <c r="AM25" s="16">
        <f>IF($A25="","",IF(2048&lt;$E25,"",IF($D25="Manuell","",IF(2048&gt;$E25+$F25,IF($D25="Fix",$G25,$G25*(1+$H25)^($F25)),IF($D25="Fix",$G25,$G25*(1+$H25)^(2048-$E25))))))</f>
        <v/>
      </c>
      <c r="AN25" s="16">
        <f>IF($A25="","",IF(2049&lt;$E25,"",IF($D25="Manuell","",IF(2049&gt;$E25+$F25,IF($D25="Fix",$G25,$G25*(1+$H25)^($F25)),IF($D25="Fix",$G25,$G25*(1+$H25)^(2049-$E25))))))</f>
        <v/>
      </c>
      <c r="AO25" s="16">
        <f>IF($A25="","",IF(2050&lt;$E25,"",IF($D25="Manuell","",IF(2050&gt;$E25+$F25,IF($D25="Fix",$G25,$G25*(1+$H25)^($F25)),IF($D25="Fix",$G25,$G25*(1+$H25)^(2050-$E25))))))</f>
        <v/>
      </c>
      <c r="AP25" s="16">
        <f>IF($A25="","",IF(2051&lt;$E25,"",IF($D25="Manuell","",IF(2051&gt;$E25+$F25,IF($D25="Fix",$G25,$G25*(1+$H25)^($F25)),IF($D25="Fix",$G25,$G25*(1+$H25)^(2051-$E25))))))</f>
        <v/>
      </c>
      <c r="AQ25" s="16">
        <f>IF($A25="","",IF(2052&lt;$E25,"",IF($D25="Manuell","",IF(2052&gt;$E25+$F25,IF($D25="Fix",$G25,$G25*(1+$H25)^($F25)),IF($D25="Fix",$G25,$G25*(1+$H25)^(2052-$E25))))))</f>
        <v/>
      </c>
      <c r="AR25" s="16">
        <f>IF($A25="","",IF(2053&lt;$E25,"",IF($D25="Manuell","",IF(2053&gt;$E25+$F25,IF($D25="Fix",$G25,$G25*(1+$H25)^($F25)),IF($D25="Fix",$G25,$G25*(1+$H25)^(2053-$E25))))))</f>
        <v/>
      </c>
      <c r="AS25" s="16">
        <f>IF($A25="","",IF(2054&lt;$E25,"",IF($D25="Manuell","",IF(2054&gt;$E25+$F25,IF($D25="Fix",$G25,$G25*(1+$H25)^($F25)),IF($D25="Fix",$G25,$G25*(1+$H25)^(2054-$E25))))))</f>
        <v/>
      </c>
      <c r="AT25" s="16">
        <f>IF($A25="","",IF(2055&lt;$E25,"",IF($D25="Manuell","",IF(2055&gt;$E25+$F25,IF($D25="Fix",$G25,$G25*(1+$H25)^($F25)),IF($D25="Fix",$G25,$G25*(1+$H25)^(2055-$E25))))))</f>
        <v/>
      </c>
    </row>
    <row r="26">
      <c r="A26" s="14" t="inlineStr"/>
      <c r="B26" s="14" t="inlineStr"/>
      <c r="C26" s="14" t="inlineStr"/>
      <c r="D26" s="14" t="inlineStr"/>
      <c r="E26" s="11" t="inlineStr"/>
      <c r="F26" s="11" t="inlineStr"/>
      <c r="G26" s="15" t="inlineStr"/>
      <c r="H26" s="15" t="inlineStr"/>
      <c r="I26" s="16">
        <f>IF($A26="","",IF(2018&lt;$E26,"",IF($D26="Manuell","",IF(2018&gt;$E26+$F26,IF($D26="Fix",$G26,$G26*(1+$H26)^($F26)),IF($D26="Fix",$G26,$G26*(1+$H26)^(2018-$E26))))))</f>
        <v/>
      </c>
      <c r="J26" s="16">
        <f>IF($A26="","",IF(2019&lt;$E26,"",IF($D26="Manuell","",IF(2019&gt;$E26+$F26,IF($D26="Fix",$G26,$G26*(1+$H26)^($F26)),IF($D26="Fix",$G26,$G26*(1+$H26)^(2019-$E26))))))</f>
        <v/>
      </c>
      <c r="K26" s="16">
        <f>IF($A26="","",IF(2020&lt;$E26,"",IF($D26="Manuell","",IF(2020&gt;$E26+$F26,IF($D26="Fix",$G26,$G26*(1+$H26)^($F26)),IF($D26="Fix",$G26,$G26*(1+$H26)^(2020-$E26))))))</f>
        <v/>
      </c>
      <c r="L26" s="16">
        <f>IF($A26="","",IF(2021&lt;$E26,"",IF($D26="Manuell","",IF(2021&gt;$E26+$F26,IF($D26="Fix",$G26,$G26*(1+$H26)^($F26)),IF($D26="Fix",$G26,$G26*(1+$H26)^(2021-$E26))))))</f>
        <v/>
      </c>
      <c r="M26" s="16">
        <f>IF($A26="","",IF(2022&lt;$E26,"",IF($D26="Manuell","",IF(2022&gt;$E26+$F26,IF($D26="Fix",$G26,$G26*(1+$H26)^($F26)),IF($D26="Fix",$G26,$G26*(1+$H26)^(2022-$E26))))))</f>
        <v/>
      </c>
      <c r="N26" s="16">
        <f>IF($A26="","",IF(2023&lt;$E26,"",IF($D26="Manuell","",IF(2023&gt;$E26+$F26,IF($D26="Fix",$G26,$G26*(1+$H26)^($F26)),IF($D26="Fix",$G26,$G26*(1+$H26)^(2023-$E26))))))</f>
        <v/>
      </c>
      <c r="O26" s="16">
        <f>IF($A26="","",IF(2024&lt;$E26,"",IF($D26="Manuell","",IF(2024&gt;$E26+$F26,IF($D26="Fix",$G26,$G26*(1+$H26)^($F26)),IF($D26="Fix",$G26,$G26*(1+$H26)^(2024-$E26))))))</f>
        <v/>
      </c>
      <c r="P26" s="16">
        <f>IF($A26="","",IF(2025&lt;$E26,"",IF($D26="Manuell","",IF(2025&gt;$E26+$F26,IF($D26="Fix",$G26,$G26*(1+$H26)^($F26)),IF($D26="Fix",$G26,$G26*(1+$H26)^(2025-$E26))))))</f>
        <v/>
      </c>
      <c r="Q26" s="16">
        <f>IF($A26="","",IF(2026&lt;$E26,"",IF($D26="Manuell","",IF(2026&gt;$E26+$F26,IF($D26="Fix",$G26,$G26*(1+$H26)^($F26)),IF($D26="Fix",$G26,$G26*(1+$H26)^(2026-$E26))))))</f>
        <v/>
      </c>
      <c r="R26" s="16">
        <f>IF($A26="","",IF(2027&lt;$E26,"",IF($D26="Manuell","",IF(2027&gt;$E26+$F26,IF($D26="Fix",$G26,$G26*(1+$H26)^($F26)),IF($D26="Fix",$G26,$G26*(1+$H26)^(2027-$E26))))))</f>
        <v/>
      </c>
      <c r="S26" s="16">
        <f>IF($A26="","",IF(2028&lt;$E26,"",IF($D26="Manuell","",IF(2028&gt;$E26+$F26,IF($D26="Fix",$G26,$G26*(1+$H26)^($F26)),IF($D26="Fix",$G26,$G26*(1+$H26)^(2028-$E26))))))</f>
        <v/>
      </c>
      <c r="T26" s="16">
        <f>IF($A26="","",IF(2029&lt;$E26,"",IF($D26="Manuell","",IF(2029&gt;$E26+$F26,IF($D26="Fix",$G26,$G26*(1+$H26)^($F26)),IF($D26="Fix",$G26,$G26*(1+$H26)^(2029-$E26))))))</f>
        <v/>
      </c>
      <c r="U26" s="16">
        <f>IF($A26="","",IF(2030&lt;$E26,"",IF($D26="Manuell","",IF(2030&gt;$E26+$F26,IF($D26="Fix",$G26,$G26*(1+$H26)^($F26)),IF($D26="Fix",$G26,$G26*(1+$H26)^(2030-$E26))))))</f>
        <v/>
      </c>
      <c r="V26" s="16">
        <f>IF($A26="","",IF(2031&lt;$E26,"",IF($D26="Manuell","",IF(2031&gt;$E26+$F26,IF($D26="Fix",$G26,$G26*(1+$H26)^($F26)),IF($D26="Fix",$G26,$G26*(1+$H26)^(2031-$E26))))))</f>
        <v/>
      </c>
      <c r="W26" s="16">
        <f>IF($A26="","",IF(2032&lt;$E26,"",IF($D26="Manuell","",IF(2032&gt;$E26+$F26,IF($D26="Fix",$G26,$G26*(1+$H26)^($F26)),IF($D26="Fix",$G26,$G26*(1+$H26)^(2032-$E26))))))</f>
        <v/>
      </c>
      <c r="X26" s="16">
        <f>IF($A26="","",IF(2033&lt;$E26,"",IF($D26="Manuell","",IF(2033&gt;$E26+$F26,IF($D26="Fix",$G26,$G26*(1+$H26)^($F26)),IF($D26="Fix",$G26,$G26*(1+$H26)^(2033-$E26))))))</f>
        <v/>
      </c>
      <c r="Y26" s="16">
        <f>IF($A26="","",IF(2034&lt;$E26,"",IF($D26="Manuell","",IF(2034&gt;$E26+$F26,IF($D26="Fix",$G26,$G26*(1+$H26)^($F26)),IF($D26="Fix",$G26,$G26*(1+$H26)^(2034-$E26))))))</f>
        <v/>
      </c>
      <c r="Z26" s="16">
        <f>IF($A26="","",IF(2035&lt;$E26,"",IF($D26="Manuell","",IF(2035&gt;$E26+$F26,IF($D26="Fix",$G26,$G26*(1+$H26)^($F26)),IF($D26="Fix",$G26,$G26*(1+$H26)^(2035-$E26))))))</f>
        <v/>
      </c>
      <c r="AA26" s="16">
        <f>IF($A26="","",IF(2036&lt;$E26,"",IF($D26="Manuell","",IF(2036&gt;$E26+$F26,IF($D26="Fix",$G26,$G26*(1+$H26)^($F26)),IF($D26="Fix",$G26,$G26*(1+$H26)^(2036-$E26))))))</f>
        <v/>
      </c>
      <c r="AB26" s="16">
        <f>IF($A26="","",IF(2037&lt;$E26,"",IF($D26="Manuell","",IF(2037&gt;$E26+$F26,IF($D26="Fix",$G26,$G26*(1+$H26)^($F26)),IF($D26="Fix",$G26,$G26*(1+$H26)^(2037-$E26))))))</f>
        <v/>
      </c>
      <c r="AC26" s="16">
        <f>IF($A26="","",IF(2038&lt;$E26,"",IF($D26="Manuell","",IF(2038&gt;$E26+$F26,IF($D26="Fix",$G26,$G26*(1+$H26)^($F26)),IF($D26="Fix",$G26,$G26*(1+$H26)^(2038-$E26))))))</f>
        <v/>
      </c>
      <c r="AD26" s="16">
        <f>IF($A26="","",IF(2039&lt;$E26,"",IF($D26="Manuell","",IF(2039&gt;$E26+$F26,IF($D26="Fix",$G26,$G26*(1+$H26)^($F26)),IF($D26="Fix",$G26,$G26*(1+$H26)^(2039-$E26))))))</f>
        <v/>
      </c>
      <c r="AE26" s="16">
        <f>IF($A26="","",IF(2040&lt;$E26,"",IF($D26="Manuell","",IF(2040&gt;$E26+$F26,IF($D26="Fix",$G26,$G26*(1+$H26)^($F26)),IF($D26="Fix",$G26,$G26*(1+$H26)^(2040-$E26))))))</f>
        <v/>
      </c>
      <c r="AF26" s="16">
        <f>IF($A26="","",IF(2041&lt;$E26,"",IF($D26="Manuell","",IF(2041&gt;$E26+$F26,IF($D26="Fix",$G26,$G26*(1+$H26)^($F26)),IF($D26="Fix",$G26,$G26*(1+$H26)^(2041-$E26))))))</f>
        <v/>
      </c>
      <c r="AG26" s="16">
        <f>IF($A26="","",IF(2042&lt;$E26,"",IF($D26="Manuell","",IF(2042&gt;$E26+$F26,IF($D26="Fix",$G26,$G26*(1+$H26)^($F26)),IF($D26="Fix",$G26,$G26*(1+$H26)^(2042-$E26))))))</f>
        <v/>
      </c>
      <c r="AH26" s="16">
        <f>IF($A26="","",IF(2043&lt;$E26,"",IF($D26="Manuell","",IF(2043&gt;$E26+$F26,IF($D26="Fix",$G26,$G26*(1+$H26)^($F26)),IF($D26="Fix",$G26,$G26*(1+$H26)^(2043-$E26))))))</f>
        <v/>
      </c>
      <c r="AI26" s="16">
        <f>IF($A26="","",IF(2044&lt;$E26,"",IF($D26="Manuell","",IF(2044&gt;$E26+$F26,IF($D26="Fix",$G26,$G26*(1+$H26)^($F26)),IF($D26="Fix",$G26,$G26*(1+$H26)^(2044-$E26))))))</f>
        <v/>
      </c>
      <c r="AJ26" s="16">
        <f>IF($A26="","",IF(2045&lt;$E26,"",IF($D26="Manuell","",IF(2045&gt;$E26+$F26,IF($D26="Fix",$G26,$G26*(1+$H26)^($F26)),IF($D26="Fix",$G26,$G26*(1+$H26)^(2045-$E26))))))</f>
        <v/>
      </c>
      <c r="AK26" s="16">
        <f>IF($A26="","",IF(2046&lt;$E26,"",IF($D26="Manuell","",IF(2046&gt;$E26+$F26,IF($D26="Fix",$G26,$G26*(1+$H26)^($F26)),IF($D26="Fix",$G26,$G26*(1+$H26)^(2046-$E26))))))</f>
        <v/>
      </c>
      <c r="AL26" s="16">
        <f>IF($A26="","",IF(2047&lt;$E26,"",IF($D26="Manuell","",IF(2047&gt;$E26+$F26,IF($D26="Fix",$G26,$G26*(1+$H26)^($F26)),IF($D26="Fix",$G26,$G26*(1+$H26)^(2047-$E26))))))</f>
        <v/>
      </c>
      <c r="AM26" s="16">
        <f>IF($A26="","",IF(2048&lt;$E26,"",IF($D26="Manuell","",IF(2048&gt;$E26+$F26,IF($D26="Fix",$G26,$G26*(1+$H26)^($F26)),IF($D26="Fix",$G26,$G26*(1+$H26)^(2048-$E26))))))</f>
        <v/>
      </c>
      <c r="AN26" s="16">
        <f>IF($A26="","",IF(2049&lt;$E26,"",IF($D26="Manuell","",IF(2049&gt;$E26+$F26,IF($D26="Fix",$G26,$G26*(1+$H26)^($F26)),IF($D26="Fix",$G26,$G26*(1+$H26)^(2049-$E26))))))</f>
        <v/>
      </c>
      <c r="AO26" s="16">
        <f>IF($A26="","",IF(2050&lt;$E26,"",IF($D26="Manuell","",IF(2050&gt;$E26+$F26,IF($D26="Fix",$G26,$G26*(1+$H26)^($F26)),IF($D26="Fix",$G26,$G26*(1+$H26)^(2050-$E26))))))</f>
        <v/>
      </c>
      <c r="AP26" s="16">
        <f>IF($A26="","",IF(2051&lt;$E26,"",IF($D26="Manuell","",IF(2051&gt;$E26+$F26,IF($D26="Fix",$G26,$G26*(1+$H26)^($F26)),IF($D26="Fix",$G26,$G26*(1+$H26)^(2051-$E26))))))</f>
        <v/>
      </c>
      <c r="AQ26" s="16">
        <f>IF($A26="","",IF(2052&lt;$E26,"",IF($D26="Manuell","",IF(2052&gt;$E26+$F26,IF($D26="Fix",$G26,$G26*(1+$H26)^($F26)),IF($D26="Fix",$G26,$G26*(1+$H26)^(2052-$E26))))))</f>
        <v/>
      </c>
      <c r="AR26" s="16">
        <f>IF($A26="","",IF(2053&lt;$E26,"",IF($D26="Manuell","",IF(2053&gt;$E26+$F26,IF($D26="Fix",$G26,$G26*(1+$H26)^($F26)),IF($D26="Fix",$G26,$G26*(1+$H26)^(2053-$E26))))))</f>
        <v/>
      </c>
      <c r="AS26" s="16">
        <f>IF($A26="","",IF(2054&lt;$E26,"",IF($D26="Manuell","",IF(2054&gt;$E26+$F26,IF($D26="Fix",$G26,$G26*(1+$H26)^($F26)),IF($D26="Fix",$G26,$G26*(1+$H26)^(2054-$E26))))))</f>
        <v/>
      </c>
      <c r="AT26" s="16">
        <f>IF($A26="","",IF(2055&lt;$E26,"",IF($D26="Manuell","",IF(2055&gt;$E26+$F26,IF($D26="Fix",$G26,$G26*(1+$H26)^($F26)),IF($D26="Fix",$G26,$G26*(1+$H26)^(2055-$E26))))))</f>
        <v/>
      </c>
    </row>
    <row r="27">
      <c r="A27" s="14" t="inlineStr"/>
      <c r="B27" s="14" t="inlineStr"/>
      <c r="C27" s="14" t="inlineStr"/>
      <c r="D27" s="14" t="inlineStr"/>
      <c r="E27" s="11" t="inlineStr"/>
      <c r="F27" s="11" t="inlineStr"/>
      <c r="G27" s="15" t="inlineStr"/>
      <c r="H27" s="15" t="inlineStr"/>
      <c r="I27" s="16">
        <f>IF($A27="","",IF(2018&lt;$E27,"",IF($D27="Manuell","",IF(2018&gt;$E27+$F27,IF($D27="Fix",$G27,$G27*(1+$H27)^($F27)),IF($D27="Fix",$G27,$G27*(1+$H27)^(2018-$E27))))))</f>
        <v/>
      </c>
      <c r="J27" s="16">
        <f>IF($A27="","",IF(2019&lt;$E27,"",IF($D27="Manuell","",IF(2019&gt;$E27+$F27,IF($D27="Fix",$G27,$G27*(1+$H27)^($F27)),IF($D27="Fix",$G27,$G27*(1+$H27)^(2019-$E27))))))</f>
        <v/>
      </c>
      <c r="K27" s="16">
        <f>IF($A27="","",IF(2020&lt;$E27,"",IF($D27="Manuell","",IF(2020&gt;$E27+$F27,IF($D27="Fix",$G27,$G27*(1+$H27)^($F27)),IF($D27="Fix",$G27,$G27*(1+$H27)^(2020-$E27))))))</f>
        <v/>
      </c>
      <c r="L27" s="16">
        <f>IF($A27="","",IF(2021&lt;$E27,"",IF($D27="Manuell","",IF(2021&gt;$E27+$F27,IF($D27="Fix",$G27,$G27*(1+$H27)^($F27)),IF($D27="Fix",$G27,$G27*(1+$H27)^(2021-$E27))))))</f>
        <v/>
      </c>
      <c r="M27" s="16">
        <f>IF($A27="","",IF(2022&lt;$E27,"",IF($D27="Manuell","",IF(2022&gt;$E27+$F27,IF($D27="Fix",$G27,$G27*(1+$H27)^($F27)),IF($D27="Fix",$G27,$G27*(1+$H27)^(2022-$E27))))))</f>
        <v/>
      </c>
      <c r="N27" s="16">
        <f>IF($A27="","",IF(2023&lt;$E27,"",IF($D27="Manuell","",IF(2023&gt;$E27+$F27,IF($D27="Fix",$G27,$G27*(1+$H27)^($F27)),IF($D27="Fix",$G27,$G27*(1+$H27)^(2023-$E27))))))</f>
        <v/>
      </c>
      <c r="O27" s="16">
        <f>IF($A27="","",IF(2024&lt;$E27,"",IF($D27="Manuell","",IF(2024&gt;$E27+$F27,IF($D27="Fix",$G27,$G27*(1+$H27)^($F27)),IF($D27="Fix",$G27,$G27*(1+$H27)^(2024-$E27))))))</f>
        <v/>
      </c>
      <c r="P27" s="16">
        <f>IF($A27="","",IF(2025&lt;$E27,"",IF($D27="Manuell","",IF(2025&gt;$E27+$F27,IF($D27="Fix",$G27,$G27*(1+$H27)^($F27)),IF($D27="Fix",$G27,$G27*(1+$H27)^(2025-$E27))))))</f>
        <v/>
      </c>
      <c r="Q27" s="16">
        <f>IF($A27="","",IF(2026&lt;$E27,"",IF($D27="Manuell","",IF(2026&gt;$E27+$F27,IF($D27="Fix",$G27,$G27*(1+$H27)^($F27)),IF($D27="Fix",$G27,$G27*(1+$H27)^(2026-$E27))))))</f>
        <v/>
      </c>
      <c r="R27" s="16">
        <f>IF($A27="","",IF(2027&lt;$E27,"",IF($D27="Manuell","",IF(2027&gt;$E27+$F27,IF($D27="Fix",$G27,$G27*(1+$H27)^($F27)),IF($D27="Fix",$G27,$G27*(1+$H27)^(2027-$E27))))))</f>
        <v/>
      </c>
      <c r="S27" s="16">
        <f>IF($A27="","",IF(2028&lt;$E27,"",IF($D27="Manuell","",IF(2028&gt;$E27+$F27,IF($D27="Fix",$G27,$G27*(1+$H27)^($F27)),IF($D27="Fix",$G27,$G27*(1+$H27)^(2028-$E27))))))</f>
        <v/>
      </c>
      <c r="T27" s="16">
        <f>IF($A27="","",IF(2029&lt;$E27,"",IF($D27="Manuell","",IF(2029&gt;$E27+$F27,IF($D27="Fix",$G27,$G27*(1+$H27)^($F27)),IF($D27="Fix",$G27,$G27*(1+$H27)^(2029-$E27))))))</f>
        <v/>
      </c>
      <c r="U27" s="16">
        <f>IF($A27="","",IF(2030&lt;$E27,"",IF($D27="Manuell","",IF(2030&gt;$E27+$F27,IF($D27="Fix",$G27,$G27*(1+$H27)^($F27)),IF($D27="Fix",$G27,$G27*(1+$H27)^(2030-$E27))))))</f>
        <v/>
      </c>
      <c r="V27" s="16">
        <f>IF($A27="","",IF(2031&lt;$E27,"",IF($D27="Manuell","",IF(2031&gt;$E27+$F27,IF($D27="Fix",$G27,$G27*(1+$H27)^($F27)),IF($D27="Fix",$G27,$G27*(1+$H27)^(2031-$E27))))))</f>
        <v/>
      </c>
      <c r="W27" s="16">
        <f>IF($A27="","",IF(2032&lt;$E27,"",IF($D27="Manuell","",IF(2032&gt;$E27+$F27,IF($D27="Fix",$G27,$G27*(1+$H27)^($F27)),IF($D27="Fix",$G27,$G27*(1+$H27)^(2032-$E27))))))</f>
        <v/>
      </c>
      <c r="X27" s="16">
        <f>IF($A27="","",IF(2033&lt;$E27,"",IF($D27="Manuell","",IF(2033&gt;$E27+$F27,IF($D27="Fix",$G27,$G27*(1+$H27)^($F27)),IF($D27="Fix",$G27,$G27*(1+$H27)^(2033-$E27))))))</f>
        <v/>
      </c>
      <c r="Y27" s="16">
        <f>IF($A27="","",IF(2034&lt;$E27,"",IF($D27="Manuell","",IF(2034&gt;$E27+$F27,IF($D27="Fix",$G27,$G27*(1+$H27)^($F27)),IF($D27="Fix",$G27,$G27*(1+$H27)^(2034-$E27))))))</f>
        <v/>
      </c>
      <c r="Z27" s="16">
        <f>IF($A27="","",IF(2035&lt;$E27,"",IF($D27="Manuell","",IF(2035&gt;$E27+$F27,IF($D27="Fix",$G27,$G27*(1+$H27)^($F27)),IF($D27="Fix",$G27,$G27*(1+$H27)^(2035-$E27))))))</f>
        <v/>
      </c>
      <c r="AA27" s="16">
        <f>IF($A27="","",IF(2036&lt;$E27,"",IF($D27="Manuell","",IF(2036&gt;$E27+$F27,IF($D27="Fix",$G27,$G27*(1+$H27)^($F27)),IF($D27="Fix",$G27,$G27*(1+$H27)^(2036-$E27))))))</f>
        <v/>
      </c>
      <c r="AB27" s="16">
        <f>IF($A27="","",IF(2037&lt;$E27,"",IF($D27="Manuell","",IF(2037&gt;$E27+$F27,IF($D27="Fix",$G27,$G27*(1+$H27)^($F27)),IF($D27="Fix",$G27,$G27*(1+$H27)^(2037-$E27))))))</f>
        <v/>
      </c>
      <c r="AC27" s="16">
        <f>IF($A27="","",IF(2038&lt;$E27,"",IF($D27="Manuell","",IF(2038&gt;$E27+$F27,IF($D27="Fix",$G27,$G27*(1+$H27)^($F27)),IF($D27="Fix",$G27,$G27*(1+$H27)^(2038-$E27))))))</f>
        <v/>
      </c>
      <c r="AD27" s="16">
        <f>IF($A27="","",IF(2039&lt;$E27,"",IF($D27="Manuell","",IF(2039&gt;$E27+$F27,IF($D27="Fix",$G27,$G27*(1+$H27)^($F27)),IF($D27="Fix",$G27,$G27*(1+$H27)^(2039-$E27))))))</f>
        <v/>
      </c>
      <c r="AE27" s="16">
        <f>IF($A27="","",IF(2040&lt;$E27,"",IF($D27="Manuell","",IF(2040&gt;$E27+$F27,IF($D27="Fix",$G27,$G27*(1+$H27)^($F27)),IF($D27="Fix",$G27,$G27*(1+$H27)^(2040-$E27))))))</f>
        <v/>
      </c>
      <c r="AF27" s="16">
        <f>IF($A27="","",IF(2041&lt;$E27,"",IF($D27="Manuell","",IF(2041&gt;$E27+$F27,IF($D27="Fix",$G27,$G27*(1+$H27)^($F27)),IF($D27="Fix",$G27,$G27*(1+$H27)^(2041-$E27))))))</f>
        <v/>
      </c>
      <c r="AG27" s="16">
        <f>IF($A27="","",IF(2042&lt;$E27,"",IF($D27="Manuell","",IF(2042&gt;$E27+$F27,IF($D27="Fix",$G27,$G27*(1+$H27)^($F27)),IF($D27="Fix",$G27,$G27*(1+$H27)^(2042-$E27))))))</f>
        <v/>
      </c>
      <c r="AH27" s="16">
        <f>IF($A27="","",IF(2043&lt;$E27,"",IF($D27="Manuell","",IF(2043&gt;$E27+$F27,IF($D27="Fix",$G27,$G27*(1+$H27)^($F27)),IF($D27="Fix",$G27,$G27*(1+$H27)^(2043-$E27))))))</f>
        <v/>
      </c>
      <c r="AI27" s="16">
        <f>IF($A27="","",IF(2044&lt;$E27,"",IF($D27="Manuell","",IF(2044&gt;$E27+$F27,IF($D27="Fix",$G27,$G27*(1+$H27)^($F27)),IF($D27="Fix",$G27,$G27*(1+$H27)^(2044-$E27))))))</f>
        <v/>
      </c>
      <c r="AJ27" s="16">
        <f>IF($A27="","",IF(2045&lt;$E27,"",IF($D27="Manuell","",IF(2045&gt;$E27+$F27,IF($D27="Fix",$G27,$G27*(1+$H27)^($F27)),IF($D27="Fix",$G27,$G27*(1+$H27)^(2045-$E27))))))</f>
        <v/>
      </c>
      <c r="AK27" s="16">
        <f>IF($A27="","",IF(2046&lt;$E27,"",IF($D27="Manuell","",IF(2046&gt;$E27+$F27,IF($D27="Fix",$G27,$G27*(1+$H27)^($F27)),IF($D27="Fix",$G27,$G27*(1+$H27)^(2046-$E27))))))</f>
        <v/>
      </c>
      <c r="AL27" s="16">
        <f>IF($A27="","",IF(2047&lt;$E27,"",IF($D27="Manuell","",IF(2047&gt;$E27+$F27,IF($D27="Fix",$G27,$G27*(1+$H27)^($F27)),IF($D27="Fix",$G27,$G27*(1+$H27)^(2047-$E27))))))</f>
        <v/>
      </c>
      <c r="AM27" s="16">
        <f>IF($A27="","",IF(2048&lt;$E27,"",IF($D27="Manuell","",IF(2048&gt;$E27+$F27,IF($D27="Fix",$G27,$G27*(1+$H27)^($F27)),IF($D27="Fix",$G27,$G27*(1+$H27)^(2048-$E27))))))</f>
        <v/>
      </c>
      <c r="AN27" s="16">
        <f>IF($A27="","",IF(2049&lt;$E27,"",IF($D27="Manuell","",IF(2049&gt;$E27+$F27,IF($D27="Fix",$G27,$G27*(1+$H27)^($F27)),IF($D27="Fix",$G27,$G27*(1+$H27)^(2049-$E27))))))</f>
        <v/>
      </c>
      <c r="AO27" s="16">
        <f>IF($A27="","",IF(2050&lt;$E27,"",IF($D27="Manuell","",IF(2050&gt;$E27+$F27,IF($D27="Fix",$G27,$G27*(1+$H27)^($F27)),IF($D27="Fix",$G27,$G27*(1+$H27)^(2050-$E27))))))</f>
        <v/>
      </c>
      <c r="AP27" s="16">
        <f>IF($A27="","",IF(2051&lt;$E27,"",IF($D27="Manuell","",IF(2051&gt;$E27+$F27,IF($D27="Fix",$G27,$G27*(1+$H27)^($F27)),IF($D27="Fix",$G27,$G27*(1+$H27)^(2051-$E27))))))</f>
        <v/>
      </c>
      <c r="AQ27" s="16">
        <f>IF($A27="","",IF(2052&lt;$E27,"",IF($D27="Manuell","",IF(2052&gt;$E27+$F27,IF($D27="Fix",$G27,$G27*(1+$H27)^($F27)),IF($D27="Fix",$G27,$G27*(1+$H27)^(2052-$E27))))))</f>
        <v/>
      </c>
      <c r="AR27" s="16">
        <f>IF($A27="","",IF(2053&lt;$E27,"",IF($D27="Manuell","",IF(2053&gt;$E27+$F27,IF($D27="Fix",$G27,$G27*(1+$H27)^($F27)),IF($D27="Fix",$G27,$G27*(1+$H27)^(2053-$E27))))))</f>
        <v/>
      </c>
      <c r="AS27" s="16">
        <f>IF($A27="","",IF(2054&lt;$E27,"",IF($D27="Manuell","",IF(2054&gt;$E27+$F27,IF($D27="Fix",$G27,$G27*(1+$H27)^($F27)),IF($D27="Fix",$G27,$G27*(1+$H27)^(2054-$E27))))))</f>
        <v/>
      </c>
      <c r="AT27" s="16">
        <f>IF($A27="","",IF(2055&lt;$E27,"",IF($D27="Manuell","",IF(2055&gt;$E27+$F27,IF($D27="Fix",$G27,$G27*(1+$H27)^($F27)),IF($D27="Fix",$G27,$G27*(1+$H27)^(2055-$E27))))))</f>
        <v/>
      </c>
    </row>
    <row r="28">
      <c r="A28" s="14" t="inlineStr"/>
      <c r="B28" s="14" t="inlineStr"/>
      <c r="C28" s="14" t="inlineStr"/>
      <c r="D28" s="14" t="inlineStr"/>
      <c r="E28" s="11" t="inlineStr"/>
      <c r="F28" s="11" t="inlineStr"/>
      <c r="G28" s="15" t="inlineStr"/>
      <c r="H28" s="15" t="inlineStr"/>
      <c r="I28" s="16">
        <f>IF($A28="","",IF(2018&lt;$E28,"",IF($D28="Manuell","",IF(2018&gt;$E28+$F28,IF($D28="Fix",$G28,$G28*(1+$H28)^($F28)),IF($D28="Fix",$G28,$G28*(1+$H28)^(2018-$E28))))))</f>
        <v/>
      </c>
      <c r="J28" s="16">
        <f>IF($A28="","",IF(2019&lt;$E28,"",IF($D28="Manuell","",IF(2019&gt;$E28+$F28,IF($D28="Fix",$G28,$G28*(1+$H28)^($F28)),IF($D28="Fix",$G28,$G28*(1+$H28)^(2019-$E28))))))</f>
        <v/>
      </c>
      <c r="K28" s="16">
        <f>IF($A28="","",IF(2020&lt;$E28,"",IF($D28="Manuell","",IF(2020&gt;$E28+$F28,IF($D28="Fix",$G28,$G28*(1+$H28)^($F28)),IF($D28="Fix",$G28,$G28*(1+$H28)^(2020-$E28))))))</f>
        <v/>
      </c>
      <c r="L28" s="16">
        <f>IF($A28="","",IF(2021&lt;$E28,"",IF($D28="Manuell","",IF(2021&gt;$E28+$F28,IF($D28="Fix",$G28,$G28*(1+$H28)^($F28)),IF($D28="Fix",$G28,$G28*(1+$H28)^(2021-$E28))))))</f>
        <v/>
      </c>
      <c r="M28" s="16">
        <f>IF($A28="","",IF(2022&lt;$E28,"",IF($D28="Manuell","",IF(2022&gt;$E28+$F28,IF($D28="Fix",$G28,$G28*(1+$H28)^($F28)),IF($D28="Fix",$G28,$G28*(1+$H28)^(2022-$E28))))))</f>
        <v/>
      </c>
      <c r="N28" s="16">
        <f>IF($A28="","",IF(2023&lt;$E28,"",IF($D28="Manuell","",IF(2023&gt;$E28+$F28,IF($D28="Fix",$G28,$G28*(1+$H28)^($F28)),IF($D28="Fix",$G28,$G28*(1+$H28)^(2023-$E28))))))</f>
        <v/>
      </c>
      <c r="O28" s="16">
        <f>IF($A28="","",IF(2024&lt;$E28,"",IF($D28="Manuell","",IF(2024&gt;$E28+$F28,IF($D28="Fix",$G28,$G28*(1+$H28)^($F28)),IF($D28="Fix",$G28,$G28*(1+$H28)^(2024-$E28))))))</f>
        <v/>
      </c>
      <c r="P28" s="16">
        <f>IF($A28="","",IF(2025&lt;$E28,"",IF($D28="Manuell","",IF(2025&gt;$E28+$F28,IF($D28="Fix",$G28,$G28*(1+$H28)^($F28)),IF($D28="Fix",$G28,$G28*(1+$H28)^(2025-$E28))))))</f>
        <v/>
      </c>
      <c r="Q28" s="16">
        <f>IF($A28="","",IF(2026&lt;$E28,"",IF($D28="Manuell","",IF(2026&gt;$E28+$F28,IF($D28="Fix",$G28,$G28*(1+$H28)^($F28)),IF($D28="Fix",$G28,$G28*(1+$H28)^(2026-$E28))))))</f>
        <v/>
      </c>
      <c r="R28" s="16">
        <f>IF($A28="","",IF(2027&lt;$E28,"",IF($D28="Manuell","",IF(2027&gt;$E28+$F28,IF($D28="Fix",$G28,$G28*(1+$H28)^($F28)),IF($D28="Fix",$G28,$G28*(1+$H28)^(2027-$E28))))))</f>
        <v/>
      </c>
      <c r="S28" s="16">
        <f>IF($A28="","",IF(2028&lt;$E28,"",IF($D28="Manuell","",IF(2028&gt;$E28+$F28,IF($D28="Fix",$G28,$G28*(1+$H28)^($F28)),IF($D28="Fix",$G28,$G28*(1+$H28)^(2028-$E28))))))</f>
        <v/>
      </c>
      <c r="T28" s="16">
        <f>IF($A28="","",IF(2029&lt;$E28,"",IF($D28="Manuell","",IF(2029&gt;$E28+$F28,IF($D28="Fix",$G28,$G28*(1+$H28)^($F28)),IF($D28="Fix",$G28,$G28*(1+$H28)^(2029-$E28))))))</f>
        <v/>
      </c>
      <c r="U28" s="16">
        <f>IF($A28="","",IF(2030&lt;$E28,"",IF($D28="Manuell","",IF(2030&gt;$E28+$F28,IF($D28="Fix",$G28,$G28*(1+$H28)^($F28)),IF($D28="Fix",$G28,$G28*(1+$H28)^(2030-$E28))))))</f>
        <v/>
      </c>
      <c r="V28" s="16">
        <f>IF($A28="","",IF(2031&lt;$E28,"",IF($D28="Manuell","",IF(2031&gt;$E28+$F28,IF($D28="Fix",$G28,$G28*(1+$H28)^($F28)),IF($D28="Fix",$G28,$G28*(1+$H28)^(2031-$E28))))))</f>
        <v/>
      </c>
      <c r="W28" s="16">
        <f>IF($A28="","",IF(2032&lt;$E28,"",IF($D28="Manuell","",IF(2032&gt;$E28+$F28,IF($D28="Fix",$G28,$G28*(1+$H28)^($F28)),IF($D28="Fix",$G28,$G28*(1+$H28)^(2032-$E28))))))</f>
        <v/>
      </c>
      <c r="X28" s="16">
        <f>IF($A28="","",IF(2033&lt;$E28,"",IF($D28="Manuell","",IF(2033&gt;$E28+$F28,IF($D28="Fix",$G28,$G28*(1+$H28)^($F28)),IF($D28="Fix",$G28,$G28*(1+$H28)^(2033-$E28))))))</f>
        <v/>
      </c>
      <c r="Y28" s="16">
        <f>IF($A28="","",IF(2034&lt;$E28,"",IF($D28="Manuell","",IF(2034&gt;$E28+$F28,IF($D28="Fix",$G28,$G28*(1+$H28)^($F28)),IF($D28="Fix",$G28,$G28*(1+$H28)^(2034-$E28))))))</f>
        <v/>
      </c>
      <c r="Z28" s="16">
        <f>IF($A28="","",IF(2035&lt;$E28,"",IF($D28="Manuell","",IF(2035&gt;$E28+$F28,IF($D28="Fix",$G28,$G28*(1+$H28)^($F28)),IF($D28="Fix",$G28,$G28*(1+$H28)^(2035-$E28))))))</f>
        <v/>
      </c>
      <c r="AA28" s="16">
        <f>IF($A28="","",IF(2036&lt;$E28,"",IF($D28="Manuell","",IF(2036&gt;$E28+$F28,IF($D28="Fix",$G28,$G28*(1+$H28)^($F28)),IF($D28="Fix",$G28,$G28*(1+$H28)^(2036-$E28))))))</f>
        <v/>
      </c>
      <c r="AB28" s="16">
        <f>IF($A28="","",IF(2037&lt;$E28,"",IF($D28="Manuell","",IF(2037&gt;$E28+$F28,IF($D28="Fix",$G28,$G28*(1+$H28)^($F28)),IF($D28="Fix",$G28,$G28*(1+$H28)^(2037-$E28))))))</f>
        <v/>
      </c>
      <c r="AC28" s="16">
        <f>IF($A28="","",IF(2038&lt;$E28,"",IF($D28="Manuell","",IF(2038&gt;$E28+$F28,IF($D28="Fix",$G28,$G28*(1+$H28)^($F28)),IF($D28="Fix",$G28,$G28*(1+$H28)^(2038-$E28))))))</f>
        <v/>
      </c>
      <c r="AD28" s="16">
        <f>IF($A28="","",IF(2039&lt;$E28,"",IF($D28="Manuell","",IF(2039&gt;$E28+$F28,IF($D28="Fix",$G28,$G28*(1+$H28)^($F28)),IF($D28="Fix",$G28,$G28*(1+$H28)^(2039-$E28))))))</f>
        <v/>
      </c>
      <c r="AE28" s="16">
        <f>IF($A28="","",IF(2040&lt;$E28,"",IF($D28="Manuell","",IF(2040&gt;$E28+$F28,IF($D28="Fix",$G28,$G28*(1+$H28)^($F28)),IF($D28="Fix",$G28,$G28*(1+$H28)^(2040-$E28))))))</f>
        <v/>
      </c>
      <c r="AF28" s="16">
        <f>IF($A28="","",IF(2041&lt;$E28,"",IF($D28="Manuell","",IF(2041&gt;$E28+$F28,IF($D28="Fix",$G28,$G28*(1+$H28)^($F28)),IF($D28="Fix",$G28,$G28*(1+$H28)^(2041-$E28))))))</f>
        <v/>
      </c>
      <c r="AG28" s="16">
        <f>IF($A28="","",IF(2042&lt;$E28,"",IF($D28="Manuell","",IF(2042&gt;$E28+$F28,IF($D28="Fix",$G28,$G28*(1+$H28)^($F28)),IF($D28="Fix",$G28,$G28*(1+$H28)^(2042-$E28))))))</f>
        <v/>
      </c>
      <c r="AH28" s="16">
        <f>IF($A28="","",IF(2043&lt;$E28,"",IF($D28="Manuell","",IF(2043&gt;$E28+$F28,IF($D28="Fix",$G28,$G28*(1+$H28)^($F28)),IF($D28="Fix",$G28,$G28*(1+$H28)^(2043-$E28))))))</f>
        <v/>
      </c>
      <c r="AI28" s="16">
        <f>IF($A28="","",IF(2044&lt;$E28,"",IF($D28="Manuell","",IF(2044&gt;$E28+$F28,IF($D28="Fix",$G28,$G28*(1+$H28)^($F28)),IF($D28="Fix",$G28,$G28*(1+$H28)^(2044-$E28))))))</f>
        <v/>
      </c>
      <c r="AJ28" s="16">
        <f>IF($A28="","",IF(2045&lt;$E28,"",IF($D28="Manuell","",IF(2045&gt;$E28+$F28,IF($D28="Fix",$G28,$G28*(1+$H28)^($F28)),IF($D28="Fix",$G28,$G28*(1+$H28)^(2045-$E28))))))</f>
        <v/>
      </c>
      <c r="AK28" s="16">
        <f>IF($A28="","",IF(2046&lt;$E28,"",IF($D28="Manuell","",IF(2046&gt;$E28+$F28,IF($D28="Fix",$G28,$G28*(1+$H28)^($F28)),IF($D28="Fix",$G28,$G28*(1+$H28)^(2046-$E28))))))</f>
        <v/>
      </c>
      <c r="AL28" s="16">
        <f>IF($A28="","",IF(2047&lt;$E28,"",IF($D28="Manuell","",IF(2047&gt;$E28+$F28,IF($D28="Fix",$G28,$G28*(1+$H28)^($F28)),IF($D28="Fix",$G28,$G28*(1+$H28)^(2047-$E28))))))</f>
        <v/>
      </c>
      <c r="AM28" s="16">
        <f>IF($A28="","",IF(2048&lt;$E28,"",IF($D28="Manuell","",IF(2048&gt;$E28+$F28,IF($D28="Fix",$G28,$G28*(1+$H28)^($F28)),IF($D28="Fix",$G28,$G28*(1+$H28)^(2048-$E28))))))</f>
        <v/>
      </c>
      <c r="AN28" s="16">
        <f>IF($A28="","",IF(2049&lt;$E28,"",IF($D28="Manuell","",IF(2049&gt;$E28+$F28,IF($D28="Fix",$G28,$G28*(1+$H28)^($F28)),IF($D28="Fix",$G28,$G28*(1+$H28)^(2049-$E28))))))</f>
        <v/>
      </c>
      <c r="AO28" s="16">
        <f>IF($A28="","",IF(2050&lt;$E28,"",IF($D28="Manuell","",IF(2050&gt;$E28+$F28,IF($D28="Fix",$G28,$G28*(1+$H28)^($F28)),IF($D28="Fix",$G28,$G28*(1+$H28)^(2050-$E28))))))</f>
        <v/>
      </c>
      <c r="AP28" s="16">
        <f>IF($A28="","",IF(2051&lt;$E28,"",IF($D28="Manuell","",IF(2051&gt;$E28+$F28,IF($D28="Fix",$G28,$G28*(1+$H28)^($F28)),IF($D28="Fix",$G28,$G28*(1+$H28)^(2051-$E28))))))</f>
        <v/>
      </c>
      <c r="AQ28" s="16">
        <f>IF($A28="","",IF(2052&lt;$E28,"",IF($D28="Manuell","",IF(2052&gt;$E28+$F28,IF($D28="Fix",$G28,$G28*(1+$H28)^($F28)),IF($D28="Fix",$G28,$G28*(1+$H28)^(2052-$E28))))))</f>
        <v/>
      </c>
      <c r="AR28" s="16">
        <f>IF($A28="","",IF(2053&lt;$E28,"",IF($D28="Manuell","",IF(2053&gt;$E28+$F28,IF($D28="Fix",$G28,$G28*(1+$H28)^($F28)),IF($D28="Fix",$G28,$G28*(1+$H28)^(2053-$E28))))))</f>
        <v/>
      </c>
      <c r="AS28" s="16">
        <f>IF($A28="","",IF(2054&lt;$E28,"",IF($D28="Manuell","",IF(2054&gt;$E28+$F28,IF($D28="Fix",$G28,$G28*(1+$H28)^($F28)),IF($D28="Fix",$G28,$G28*(1+$H28)^(2054-$E28))))))</f>
        <v/>
      </c>
      <c r="AT28" s="16">
        <f>IF($A28="","",IF(2055&lt;$E28,"",IF($D28="Manuell","",IF(2055&gt;$E28+$F28,IF($D28="Fix",$G28,$G28*(1+$H28)^($F28)),IF($D28="Fix",$G28,$G28*(1+$H28)^(2055-$E28))))))</f>
        <v/>
      </c>
    </row>
    <row r="29">
      <c r="A29" s="14" t="inlineStr"/>
      <c r="B29" s="14" t="inlineStr"/>
      <c r="C29" s="14" t="inlineStr"/>
      <c r="D29" s="14" t="inlineStr"/>
      <c r="E29" s="11" t="inlineStr"/>
      <c r="F29" s="11" t="inlineStr"/>
      <c r="G29" s="15" t="inlineStr"/>
      <c r="H29" s="15" t="inlineStr"/>
      <c r="I29" s="16">
        <f>IF($A29="","",IF(2018&lt;$E29,"",IF($D29="Manuell","",IF(2018&gt;$E29+$F29,IF($D29="Fix",$G29,$G29*(1+$H29)^($F29)),IF($D29="Fix",$G29,$G29*(1+$H29)^(2018-$E29))))))</f>
        <v/>
      </c>
      <c r="J29" s="16">
        <f>IF($A29="","",IF(2019&lt;$E29,"",IF($D29="Manuell","",IF(2019&gt;$E29+$F29,IF($D29="Fix",$G29,$G29*(1+$H29)^($F29)),IF($D29="Fix",$G29,$G29*(1+$H29)^(2019-$E29))))))</f>
        <v/>
      </c>
      <c r="K29" s="16">
        <f>IF($A29="","",IF(2020&lt;$E29,"",IF($D29="Manuell","",IF(2020&gt;$E29+$F29,IF($D29="Fix",$G29,$G29*(1+$H29)^($F29)),IF($D29="Fix",$G29,$G29*(1+$H29)^(2020-$E29))))))</f>
        <v/>
      </c>
      <c r="L29" s="16">
        <f>IF($A29="","",IF(2021&lt;$E29,"",IF($D29="Manuell","",IF(2021&gt;$E29+$F29,IF($D29="Fix",$G29,$G29*(1+$H29)^($F29)),IF($D29="Fix",$G29,$G29*(1+$H29)^(2021-$E29))))))</f>
        <v/>
      </c>
      <c r="M29" s="16">
        <f>IF($A29="","",IF(2022&lt;$E29,"",IF($D29="Manuell","",IF(2022&gt;$E29+$F29,IF($D29="Fix",$G29,$G29*(1+$H29)^($F29)),IF($D29="Fix",$G29,$G29*(1+$H29)^(2022-$E29))))))</f>
        <v/>
      </c>
      <c r="N29" s="16">
        <f>IF($A29="","",IF(2023&lt;$E29,"",IF($D29="Manuell","",IF(2023&gt;$E29+$F29,IF($D29="Fix",$G29,$G29*(1+$H29)^($F29)),IF($D29="Fix",$G29,$G29*(1+$H29)^(2023-$E29))))))</f>
        <v/>
      </c>
      <c r="O29" s="16">
        <f>IF($A29="","",IF(2024&lt;$E29,"",IF($D29="Manuell","",IF(2024&gt;$E29+$F29,IF($D29="Fix",$G29,$G29*(1+$H29)^($F29)),IF($D29="Fix",$G29,$G29*(1+$H29)^(2024-$E29))))))</f>
        <v/>
      </c>
      <c r="P29" s="16">
        <f>IF($A29="","",IF(2025&lt;$E29,"",IF($D29="Manuell","",IF(2025&gt;$E29+$F29,IF($D29="Fix",$G29,$G29*(1+$H29)^($F29)),IF($D29="Fix",$G29,$G29*(1+$H29)^(2025-$E29))))))</f>
        <v/>
      </c>
      <c r="Q29" s="16">
        <f>IF($A29="","",IF(2026&lt;$E29,"",IF($D29="Manuell","",IF(2026&gt;$E29+$F29,IF($D29="Fix",$G29,$G29*(1+$H29)^($F29)),IF($D29="Fix",$G29,$G29*(1+$H29)^(2026-$E29))))))</f>
        <v/>
      </c>
      <c r="R29" s="16">
        <f>IF($A29="","",IF(2027&lt;$E29,"",IF($D29="Manuell","",IF(2027&gt;$E29+$F29,IF($D29="Fix",$G29,$G29*(1+$H29)^($F29)),IF($D29="Fix",$G29,$G29*(1+$H29)^(2027-$E29))))))</f>
        <v/>
      </c>
      <c r="S29" s="16">
        <f>IF($A29="","",IF(2028&lt;$E29,"",IF($D29="Manuell","",IF(2028&gt;$E29+$F29,IF($D29="Fix",$G29,$G29*(1+$H29)^($F29)),IF($D29="Fix",$G29,$G29*(1+$H29)^(2028-$E29))))))</f>
        <v/>
      </c>
      <c r="T29" s="16">
        <f>IF($A29="","",IF(2029&lt;$E29,"",IF($D29="Manuell","",IF(2029&gt;$E29+$F29,IF($D29="Fix",$G29,$G29*(1+$H29)^($F29)),IF($D29="Fix",$G29,$G29*(1+$H29)^(2029-$E29))))))</f>
        <v/>
      </c>
      <c r="U29" s="16">
        <f>IF($A29="","",IF(2030&lt;$E29,"",IF($D29="Manuell","",IF(2030&gt;$E29+$F29,IF($D29="Fix",$G29,$G29*(1+$H29)^($F29)),IF($D29="Fix",$G29,$G29*(1+$H29)^(2030-$E29))))))</f>
        <v/>
      </c>
      <c r="V29" s="16">
        <f>IF($A29="","",IF(2031&lt;$E29,"",IF($D29="Manuell","",IF(2031&gt;$E29+$F29,IF($D29="Fix",$G29,$G29*(1+$H29)^($F29)),IF($D29="Fix",$G29,$G29*(1+$H29)^(2031-$E29))))))</f>
        <v/>
      </c>
      <c r="W29" s="16">
        <f>IF($A29="","",IF(2032&lt;$E29,"",IF($D29="Manuell","",IF(2032&gt;$E29+$F29,IF($D29="Fix",$G29,$G29*(1+$H29)^($F29)),IF($D29="Fix",$G29,$G29*(1+$H29)^(2032-$E29))))))</f>
        <v/>
      </c>
      <c r="X29" s="16">
        <f>IF($A29="","",IF(2033&lt;$E29,"",IF($D29="Manuell","",IF(2033&gt;$E29+$F29,IF($D29="Fix",$G29,$G29*(1+$H29)^($F29)),IF($D29="Fix",$G29,$G29*(1+$H29)^(2033-$E29))))))</f>
        <v/>
      </c>
      <c r="Y29" s="16">
        <f>IF($A29="","",IF(2034&lt;$E29,"",IF($D29="Manuell","",IF(2034&gt;$E29+$F29,IF($D29="Fix",$G29,$G29*(1+$H29)^($F29)),IF($D29="Fix",$G29,$G29*(1+$H29)^(2034-$E29))))))</f>
        <v/>
      </c>
      <c r="Z29" s="16">
        <f>IF($A29="","",IF(2035&lt;$E29,"",IF($D29="Manuell","",IF(2035&gt;$E29+$F29,IF($D29="Fix",$G29,$G29*(1+$H29)^($F29)),IF($D29="Fix",$G29,$G29*(1+$H29)^(2035-$E29))))))</f>
        <v/>
      </c>
      <c r="AA29" s="16">
        <f>IF($A29="","",IF(2036&lt;$E29,"",IF($D29="Manuell","",IF(2036&gt;$E29+$F29,IF($D29="Fix",$G29,$G29*(1+$H29)^($F29)),IF($D29="Fix",$G29,$G29*(1+$H29)^(2036-$E29))))))</f>
        <v/>
      </c>
      <c r="AB29" s="16">
        <f>IF($A29="","",IF(2037&lt;$E29,"",IF($D29="Manuell","",IF(2037&gt;$E29+$F29,IF($D29="Fix",$G29,$G29*(1+$H29)^($F29)),IF($D29="Fix",$G29,$G29*(1+$H29)^(2037-$E29))))))</f>
        <v/>
      </c>
      <c r="AC29" s="16">
        <f>IF($A29="","",IF(2038&lt;$E29,"",IF($D29="Manuell","",IF(2038&gt;$E29+$F29,IF($D29="Fix",$G29,$G29*(1+$H29)^($F29)),IF($D29="Fix",$G29,$G29*(1+$H29)^(2038-$E29))))))</f>
        <v/>
      </c>
      <c r="AD29" s="16">
        <f>IF($A29="","",IF(2039&lt;$E29,"",IF($D29="Manuell","",IF(2039&gt;$E29+$F29,IF($D29="Fix",$G29,$G29*(1+$H29)^($F29)),IF($D29="Fix",$G29,$G29*(1+$H29)^(2039-$E29))))))</f>
        <v/>
      </c>
      <c r="AE29" s="16">
        <f>IF($A29="","",IF(2040&lt;$E29,"",IF($D29="Manuell","",IF(2040&gt;$E29+$F29,IF($D29="Fix",$G29,$G29*(1+$H29)^($F29)),IF($D29="Fix",$G29,$G29*(1+$H29)^(2040-$E29))))))</f>
        <v/>
      </c>
      <c r="AF29" s="16">
        <f>IF($A29="","",IF(2041&lt;$E29,"",IF($D29="Manuell","",IF(2041&gt;$E29+$F29,IF($D29="Fix",$G29,$G29*(1+$H29)^($F29)),IF($D29="Fix",$G29,$G29*(1+$H29)^(2041-$E29))))))</f>
        <v/>
      </c>
      <c r="AG29" s="16">
        <f>IF($A29="","",IF(2042&lt;$E29,"",IF($D29="Manuell","",IF(2042&gt;$E29+$F29,IF($D29="Fix",$G29,$G29*(1+$H29)^($F29)),IF($D29="Fix",$G29,$G29*(1+$H29)^(2042-$E29))))))</f>
        <v/>
      </c>
      <c r="AH29" s="16">
        <f>IF($A29="","",IF(2043&lt;$E29,"",IF($D29="Manuell","",IF(2043&gt;$E29+$F29,IF($D29="Fix",$G29,$G29*(1+$H29)^($F29)),IF($D29="Fix",$G29,$G29*(1+$H29)^(2043-$E29))))))</f>
        <v/>
      </c>
      <c r="AI29" s="16">
        <f>IF($A29="","",IF(2044&lt;$E29,"",IF($D29="Manuell","",IF(2044&gt;$E29+$F29,IF($D29="Fix",$G29,$G29*(1+$H29)^($F29)),IF($D29="Fix",$G29,$G29*(1+$H29)^(2044-$E29))))))</f>
        <v/>
      </c>
      <c r="AJ29" s="16">
        <f>IF($A29="","",IF(2045&lt;$E29,"",IF($D29="Manuell","",IF(2045&gt;$E29+$F29,IF($D29="Fix",$G29,$G29*(1+$H29)^($F29)),IF($D29="Fix",$G29,$G29*(1+$H29)^(2045-$E29))))))</f>
        <v/>
      </c>
      <c r="AK29" s="16">
        <f>IF($A29="","",IF(2046&lt;$E29,"",IF($D29="Manuell","",IF(2046&gt;$E29+$F29,IF($D29="Fix",$G29,$G29*(1+$H29)^($F29)),IF($D29="Fix",$G29,$G29*(1+$H29)^(2046-$E29))))))</f>
        <v/>
      </c>
      <c r="AL29" s="16">
        <f>IF($A29="","",IF(2047&lt;$E29,"",IF($D29="Manuell","",IF(2047&gt;$E29+$F29,IF($D29="Fix",$G29,$G29*(1+$H29)^($F29)),IF($D29="Fix",$G29,$G29*(1+$H29)^(2047-$E29))))))</f>
        <v/>
      </c>
      <c r="AM29" s="16">
        <f>IF($A29="","",IF(2048&lt;$E29,"",IF($D29="Manuell","",IF(2048&gt;$E29+$F29,IF($D29="Fix",$G29,$G29*(1+$H29)^($F29)),IF($D29="Fix",$G29,$G29*(1+$H29)^(2048-$E29))))))</f>
        <v/>
      </c>
      <c r="AN29" s="16">
        <f>IF($A29="","",IF(2049&lt;$E29,"",IF($D29="Manuell","",IF(2049&gt;$E29+$F29,IF($D29="Fix",$G29,$G29*(1+$H29)^($F29)),IF($D29="Fix",$G29,$G29*(1+$H29)^(2049-$E29))))))</f>
        <v/>
      </c>
      <c r="AO29" s="16">
        <f>IF($A29="","",IF(2050&lt;$E29,"",IF($D29="Manuell","",IF(2050&gt;$E29+$F29,IF($D29="Fix",$G29,$G29*(1+$H29)^($F29)),IF($D29="Fix",$G29,$G29*(1+$H29)^(2050-$E29))))))</f>
        <v/>
      </c>
      <c r="AP29" s="16">
        <f>IF($A29="","",IF(2051&lt;$E29,"",IF($D29="Manuell","",IF(2051&gt;$E29+$F29,IF($D29="Fix",$G29,$G29*(1+$H29)^($F29)),IF($D29="Fix",$G29,$G29*(1+$H29)^(2051-$E29))))))</f>
        <v/>
      </c>
      <c r="AQ29" s="16">
        <f>IF($A29="","",IF(2052&lt;$E29,"",IF($D29="Manuell","",IF(2052&gt;$E29+$F29,IF($D29="Fix",$G29,$G29*(1+$H29)^($F29)),IF($D29="Fix",$G29,$G29*(1+$H29)^(2052-$E29))))))</f>
        <v/>
      </c>
      <c r="AR29" s="16">
        <f>IF($A29="","",IF(2053&lt;$E29,"",IF($D29="Manuell","",IF(2053&gt;$E29+$F29,IF($D29="Fix",$G29,$G29*(1+$H29)^($F29)),IF($D29="Fix",$G29,$G29*(1+$H29)^(2053-$E29))))))</f>
        <v/>
      </c>
      <c r="AS29" s="16">
        <f>IF($A29="","",IF(2054&lt;$E29,"",IF($D29="Manuell","",IF(2054&gt;$E29+$F29,IF($D29="Fix",$G29,$G29*(1+$H29)^($F29)),IF($D29="Fix",$G29,$G29*(1+$H29)^(2054-$E29))))))</f>
        <v/>
      </c>
      <c r="AT29" s="16">
        <f>IF($A29="","",IF(2055&lt;$E29,"",IF($D29="Manuell","",IF(2055&gt;$E29+$F29,IF($D29="Fix",$G29,$G29*(1+$H29)^($F29)),IF($D29="Fix",$G29,$G29*(1+$H29)^(2055-$E29))))))</f>
        <v/>
      </c>
    </row>
    <row r="30">
      <c r="A30" s="14" t="inlineStr"/>
      <c r="B30" s="14" t="inlineStr"/>
      <c r="C30" s="14" t="inlineStr"/>
      <c r="D30" s="14" t="inlineStr"/>
      <c r="E30" s="11" t="inlineStr"/>
      <c r="F30" s="11" t="inlineStr"/>
      <c r="G30" s="15" t="inlineStr"/>
      <c r="H30" s="15" t="inlineStr"/>
      <c r="I30" s="16">
        <f>IF($A30="","",IF(2018&lt;$E30,"",IF($D30="Manuell","",IF(2018&gt;$E30+$F30,IF($D30="Fix",$G30,$G30*(1+$H30)^($F30)),IF($D30="Fix",$G30,$G30*(1+$H30)^(2018-$E30))))))</f>
        <v/>
      </c>
      <c r="J30" s="16">
        <f>IF($A30="","",IF(2019&lt;$E30,"",IF($D30="Manuell","",IF(2019&gt;$E30+$F30,IF($D30="Fix",$G30,$G30*(1+$H30)^($F30)),IF($D30="Fix",$G30,$G30*(1+$H30)^(2019-$E30))))))</f>
        <v/>
      </c>
      <c r="K30" s="16">
        <f>IF($A30="","",IF(2020&lt;$E30,"",IF($D30="Manuell","",IF(2020&gt;$E30+$F30,IF($D30="Fix",$G30,$G30*(1+$H30)^($F30)),IF($D30="Fix",$G30,$G30*(1+$H30)^(2020-$E30))))))</f>
        <v/>
      </c>
      <c r="L30" s="16">
        <f>IF($A30="","",IF(2021&lt;$E30,"",IF($D30="Manuell","",IF(2021&gt;$E30+$F30,IF($D30="Fix",$G30,$G30*(1+$H30)^($F30)),IF($D30="Fix",$G30,$G30*(1+$H30)^(2021-$E30))))))</f>
        <v/>
      </c>
      <c r="M30" s="16">
        <f>IF($A30="","",IF(2022&lt;$E30,"",IF($D30="Manuell","",IF(2022&gt;$E30+$F30,IF($D30="Fix",$G30,$G30*(1+$H30)^($F30)),IF($D30="Fix",$G30,$G30*(1+$H30)^(2022-$E30))))))</f>
        <v/>
      </c>
      <c r="N30" s="16">
        <f>IF($A30="","",IF(2023&lt;$E30,"",IF($D30="Manuell","",IF(2023&gt;$E30+$F30,IF($D30="Fix",$G30,$G30*(1+$H30)^($F30)),IF($D30="Fix",$G30,$G30*(1+$H30)^(2023-$E30))))))</f>
        <v/>
      </c>
      <c r="O30" s="16">
        <f>IF($A30="","",IF(2024&lt;$E30,"",IF($D30="Manuell","",IF(2024&gt;$E30+$F30,IF($D30="Fix",$G30,$G30*(1+$H30)^($F30)),IF($D30="Fix",$G30,$G30*(1+$H30)^(2024-$E30))))))</f>
        <v/>
      </c>
      <c r="P30" s="16">
        <f>IF($A30="","",IF(2025&lt;$E30,"",IF($D30="Manuell","",IF(2025&gt;$E30+$F30,IF($D30="Fix",$G30,$G30*(1+$H30)^($F30)),IF($D30="Fix",$G30,$G30*(1+$H30)^(2025-$E30))))))</f>
        <v/>
      </c>
      <c r="Q30" s="16">
        <f>IF($A30="","",IF(2026&lt;$E30,"",IF($D30="Manuell","",IF(2026&gt;$E30+$F30,IF($D30="Fix",$G30,$G30*(1+$H30)^($F30)),IF($D30="Fix",$G30,$G30*(1+$H30)^(2026-$E30))))))</f>
        <v/>
      </c>
      <c r="R30" s="16">
        <f>IF($A30="","",IF(2027&lt;$E30,"",IF($D30="Manuell","",IF(2027&gt;$E30+$F30,IF($D30="Fix",$G30,$G30*(1+$H30)^($F30)),IF($D30="Fix",$G30,$G30*(1+$H30)^(2027-$E30))))))</f>
        <v/>
      </c>
      <c r="S30" s="16">
        <f>IF($A30="","",IF(2028&lt;$E30,"",IF($D30="Manuell","",IF(2028&gt;$E30+$F30,IF($D30="Fix",$G30,$G30*(1+$H30)^($F30)),IF($D30="Fix",$G30,$G30*(1+$H30)^(2028-$E30))))))</f>
        <v/>
      </c>
      <c r="T30" s="16">
        <f>IF($A30="","",IF(2029&lt;$E30,"",IF($D30="Manuell","",IF(2029&gt;$E30+$F30,IF($D30="Fix",$G30,$G30*(1+$H30)^($F30)),IF($D30="Fix",$G30,$G30*(1+$H30)^(2029-$E30))))))</f>
        <v/>
      </c>
      <c r="U30" s="16">
        <f>IF($A30="","",IF(2030&lt;$E30,"",IF($D30="Manuell","",IF(2030&gt;$E30+$F30,IF($D30="Fix",$G30,$G30*(1+$H30)^($F30)),IF($D30="Fix",$G30,$G30*(1+$H30)^(2030-$E30))))))</f>
        <v/>
      </c>
      <c r="V30" s="16">
        <f>IF($A30="","",IF(2031&lt;$E30,"",IF($D30="Manuell","",IF(2031&gt;$E30+$F30,IF($D30="Fix",$G30,$G30*(1+$H30)^($F30)),IF($D30="Fix",$G30,$G30*(1+$H30)^(2031-$E30))))))</f>
        <v/>
      </c>
      <c r="W30" s="16">
        <f>IF($A30="","",IF(2032&lt;$E30,"",IF($D30="Manuell","",IF(2032&gt;$E30+$F30,IF($D30="Fix",$G30,$G30*(1+$H30)^($F30)),IF($D30="Fix",$G30,$G30*(1+$H30)^(2032-$E30))))))</f>
        <v/>
      </c>
      <c r="X30" s="16">
        <f>IF($A30="","",IF(2033&lt;$E30,"",IF($D30="Manuell","",IF(2033&gt;$E30+$F30,IF($D30="Fix",$G30,$G30*(1+$H30)^($F30)),IF($D30="Fix",$G30,$G30*(1+$H30)^(2033-$E30))))))</f>
        <v/>
      </c>
      <c r="Y30" s="16">
        <f>IF($A30="","",IF(2034&lt;$E30,"",IF($D30="Manuell","",IF(2034&gt;$E30+$F30,IF($D30="Fix",$G30,$G30*(1+$H30)^($F30)),IF($D30="Fix",$G30,$G30*(1+$H30)^(2034-$E30))))))</f>
        <v/>
      </c>
      <c r="Z30" s="16">
        <f>IF($A30="","",IF(2035&lt;$E30,"",IF($D30="Manuell","",IF(2035&gt;$E30+$F30,IF($D30="Fix",$G30,$G30*(1+$H30)^($F30)),IF($D30="Fix",$G30,$G30*(1+$H30)^(2035-$E30))))))</f>
        <v/>
      </c>
      <c r="AA30" s="16">
        <f>IF($A30="","",IF(2036&lt;$E30,"",IF($D30="Manuell","",IF(2036&gt;$E30+$F30,IF($D30="Fix",$G30,$G30*(1+$H30)^($F30)),IF($D30="Fix",$G30,$G30*(1+$H30)^(2036-$E30))))))</f>
        <v/>
      </c>
      <c r="AB30" s="16">
        <f>IF($A30="","",IF(2037&lt;$E30,"",IF($D30="Manuell","",IF(2037&gt;$E30+$F30,IF($D30="Fix",$G30,$G30*(1+$H30)^($F30)),IF($D30="Fix",$G30,$G30*(1+$H30)^(2037-$E30))))))</f>
        <v/>
      </c>
      <c r="AC30" s="16">
        <f>IF($A30="","",IF(2038&lt;$E30,"",IF($D30="Manuell","",IF(2038&gt;$E30+$F30,IF($D30="Fix",$G30,$G30*(1+$H30)^($F30)),IF($D30="Fix",$G30,$G30*(1+$H30)^(2038-$E30))))))</f>
        <v/>
      </c>
      <c r="AD30" s="16">
        <f>IF($A30="","",IF(2039&lt;$E30,"",IF($D30="Manuell","",IF(2039&gt;$E30+$F30,IF($D30="Fix",$G30,$G30*(1+$H30)^($F30)),IF($D30="Fix",$G30,$G30*(1+$H30)^(2039-$E30))))))</f>
        <v/>
      </c>
      <c r="AE30" s="16">
        <f>IF($A30="","",IF(2040&lt;$E30,"",IF($D30="Manuell","",IF(2040&gt;$E30+$F30,IF($D30="Fix",$G30,$G30*(1+$H30)^($F30)),IF($D30="Fix",$G30,$G30*(1+$H30)^(2040-$E30))))))</f>
        <v/>
      </c>
      <c r="AF30" s="16">
        <f>IF($A30="","",IF(2041&lt;$E30,"",IF($D30="Manuell","",IF(2041&gt;$E30+$F30,IF($D30="Fix",$G30,$G30*(1+$H30)^($F30)),IF($D30="Fix",$G30,$G30*(1+$H30)^(2041-$E30))))))</f>
        <v/>
      </c>
      <c r="AG30" s="16">
        <f>IF($A30="","",IF(2042&lt;$E30,"",IF($D30="Manuell","",IF(2042&gt;$E30+$F30,IF($D30="Fix",$G30,$G30*(1+$H30)^($F30)),IF($D30="Fix",$G30,$G30*(1+$H30)^(2042-$E30))))))</f>
        <v/>
      </c>
      <c r="AH30" s="16">
        <f>IF($A30="","",IF(2043&lt;$E30,"",IF($D30="Manuell","",IF(2043&gt;$E30+$F30,IF($D30="Fix",$G30,$G30*(1+$H30)^($F30)),IF($D30="Fix",$G30,$G30*(1+$H30)^(2043-$E30))))))</f>
        <v/>
      </c>
      <c r="AI30" s="16">
        <f>IF($A30="","",IF(2044&lt;$E30,"",IF($D30="Manuell","",IF(2044&gt;$E30+$F30,IF($D30="Fix",$G30,$G30*(1+$H30)^($F30)),IF($D30="Fix",$G30,$G30*(1+$H30)^(2044-$E30))))))</f>
        <v/>
      </c>
      <c r="AJ30" s="16">
        <f>IF($A30="","",IF(2045&lt;$E30,"",IF($D30="Manuell","",IF(2045&gt;$E30+$F30,IF($D30="Fix",$G30,$G30*(1+$H30)^($F30)),IF($D30="Fix",$G30,$G30*(1+$H30)^(2045-$E30))))))</f>
        <v/>
      </c>
      <c r="AK30" s="16">
        <f>IF($A30="","",IF(2046&lt;$E30,"",IF($D30="Manuell","",IF(2046&gt;$E30+$F30,IF($D30="Fix",$G30,$G30*(1+$H30)^($F30)),IF($D30="Fix",$G30,$G30*(1+$H30)^(2046-$E30))))))</f>
        <v/>
      </c>
      <c r="AL30" s="16">
        <f>IF($A30="","",IF(2047&lt;$E30,"",IF($D30="Manuell","",IF(2047&gt;$E30+$F30,IF($D30="Fix",$G30,$G30*(1+$H30)^($F30)),IF($D30="Fix",$G30,$G30*(1+$H30)^(2047-$E30))))))</f>
        <v/>
      </c>
      <c r="AM30" s="16">
        <f>IF($A30="","",IF(2048&lt;$E30,"",IF($D30="Manuell","",IF(2048&gt;$E30+$F30,IF($D30="Fix",$G30,$G30*(1+$H30)^($F30)),IF($D30="Fix",$G30,$G30*(1+$H30)^(2048-$E30))))))</f>
        <v/>
      </c>
      <c r="AN30" s="16">
        <f>IF($A30="","",IF(2049&lt;$E30,"",IF($D30="Manuell","",IF(2049&gt;$E30+$F30,IF($D30="Fix",$G30,$G30*(1+$H30)^($F30)),IF($D30="Fix",$G30,$G30*(1+$H30)^(2049-$E30))))))</f>
        <v/>
      </c>
      <c r="AO30" s="16">
        <f>IF($A30="","",IF(2050&lt;$E30,"",IF($D30="Manuell","",IF(2050&gt;$E30+$F30,IF($D30="Fix",$G30,$G30*(1+$H30)^($F30)),IF($D30="Fix",$G30,$G30*(1+$H30)^(2050-$E30))))))</f>
        <v/>
      </c>
      <c r="AP30" s="16">
        <f>IF($A30="","",IF(2051&lt;$E30,"",IF($D30="Manuell","",IF(2051&gt;$E30+$F30,IF($D30="Fix",$G30,$G30*(1+$H30)^($F30)),IF($D30="Fix",$G30,$G30*(1+$H30)^(2051-$E30))))))</f>
        <v/>
      </c>
      <c r="AQ30" s="16">
        <f>IF($A30="","",IF(2052&lt;$E30,"",IF($D30="Manuell","",IF(2052&gt;$E30+$F30,IF($D30="Fix",$G30,$G30*(1+$H30)^($F30)),IF($D30="Fix",$G30,$G30*(1+$H30)^(2052-$E30))))))</f>
        <v/>
      </c>
      <c r="AR30" s="16">
        <f>IF($A30="","",IF(2053&lt;$E30,"",IF($D30="Manuell","",IF(2053&gt;$E30+$F30,IF($D30="Fix",$G30,$G30*(1+$H30)^($F30)),IF($D30="Fix",$G30,$G30*(1+$H30)^(2053-$E30))))))</f>
        <v/>
      </c>
      <c r="AS30" s="16">
        <f>IF($A30="","",IF(2054&lt;$E30,"",IF($D30="Manuell","",IF(2054&gt;$E30+$F30,IF($D30="Fix",$G30,$G30*(1+$H30)^($F30)),IF($D30="Fix",$G30,$G30*(1+$H30)^(2054-$E30))))))</f>
        <v/>
      </c>
      <c r="AT30" s="16">
        <f>IF($A30="","",IF(2055&lt;$E30,"",IF($D30="Manuell","",IF(2055&gt;$E30+$F30,IF($D30="Fix",$G30,$G30*(1+$H30)^($F30)),IF($D30="Fix",$G30,$G30*(1+$H30)^(2055-$E30))))))</f>
        <v/>
      </c>
    </row>
    <row r="31">
      <c r="A31" s="14" t="inlineStr"/>
      <c r="B31" s="14" t="inlineStr"/>
      <c r="C31" s="14" t="inlineStr"/>
      <c r="D31" s="14" t="inlineStr"/>
      <c r="E31" s="11" t="inlineStr"/>
      <c r="F31" s="11" t="inlineStr"/>
      <c r="G31" s="15" t="inlineStr"/>
      <c r="H31" s="15" t="inlineStr"/>
      <c r="I31" s="16">
        <f>IF($A31="","",IF(2018&lt;$E31,"",IF($D31="Manuell","",IF(2018&gt;$E31+$F31,IF($D31="Fix",$G31,$G31*(1+$H31)^($F31)),IF($D31="Fix",$G31,$G31*(1+$H31)^(2018-$E31))))))</f>
        <v/>
      </c>
      <c r="J31" s="16">
        <f>IF($A31="","",IF(2019&lt;$E31,"",IF($D31="Manuell","",IF(2019&gt;$E31+$F31,IF($D31="Fix",$G31,$G31*(1+$H31)^($F31)),IF($D31="Fix",$G31,$G31*(1+$H31)^(2019-$E31))))))</f>
        <v/>
      </c>
      <c r="K31" s="16">
        <f>IF($A31="","",IF(2020&lt;$E31,"",IF($D31="Manuell","",IF(2020&gt;$E31+$F31,IF($D31="Fix",$G31,$G31*(1+$H31)^($F31)),IF($D31="Fix",$G31,$G31*(1+$H31)^(2020-$E31))))))</f>
        <v/>
      </c>
      <c r="L31" s="16">
        <f>IF($A31="","",IF(2021&lt;$E31,"",IF($D31="Manuell","",IF(2021&gt;$E31+$F31,IF($D31="Fix",$G31,$G31*(1+$H31)^($F31)),IF($D31="Fix",$G31,$G31*(1+$H31)^(2021-$E31))))))</f>
        <v/>
      </c>
      <c r="M31" s="16">
        <f>IF($A31="","",IF(2022&lt;$E31,"",IF($D31="Manuell","",IF(2022&gt;$E31+$F31,IF($D31="Fix",$G31,$G31*(1+$H31)^($F31)),IF($D31="Fix",$G31,$G31*(1+$H31)^(2022-$E31))))))</f>
        <v/>
      </c>
      <c r="N31" s="16">
        <f>IF($A31="","",IF(2023&lt;$E31,"",IF($D31="Manuell","",IF(2023&gt;$E31+$F31,IF($D31="Fix",$G31,$G31*(1+$H31)^($F31)),IF($D31="Fix",$G31,$G31*(1+$H31)^(2023-$E31))))))</f>
        <v/>
      </c>
      <c r="O31" s="16">
        <f>IF($A31="","",IF(2024&lt;$E31,"",IF($D31="Manuell","",IF(2024&gt;$E31+$F31,IF($D31="Fix",$G31,$G31*(1+$H31)^($F31)),IF($D31="Fix",$G31,$G31*(1+$H31)^(2024-$E31))))))</f>
        <v/>
      </c>
      <c r="P31" s="16">
        <f>IF($A31="","",IF(2025&lt;$E31,"",IF($D31="Manuell","",IF(2025&gt;$E31+$F31,IF($D31="Fix",$G31,$G31*(1+$H31)^($F31)),IF($D31="Fix",$G31,$G31*(1+$H31)^(2025-$E31))))))</f>
        <v/>
      </c>
      <c r="Q31" s="16">
        <f>IF($A31="","",IF(2026&lt;$E31,"",IF($D31="Manuell","",IF(2026&gt;$E31+$F31,IF($D31="Fix",$G31,$G31*(1+$H31)^($F31)),IF($D31="Fix",$G31,$G31*(1+$H31)^(2026-$E31))))))</f>
        <v/>
      </c>
      <c r="R31" s="16">
        <f>IF($A31="","",IF(2027&lt;$E31,"",IF($D31="Manuell","",IF(2027&gt;$E31+$F31,IF($D31="Fix",$G31,$G31*(1+$H31)^($F31)),IF($D31="Fix",$G31,$G31*(1+$H31)^(2027-$E31))))))</f>
        <v/>
      </c>
      <c r="S31" s="16">
        <f>IF($A31="","",IF(2028&lt;$E31,"",IF($D31="Manuell","",IF(2028&gt;$E31+$F31,IF($D31="Fix",$G31,$G31*(1+$H31)^($F31)),IF($D31="Fix",$G31,$G31*(1+$H31)^(2028-$E31))))))</f>
        <v/>
      </c>
      <c r="T31" s="16">
        <f>IF($A31="","",IF(2029&lt;$E31,"",IF($D31="Manuell","",IF(2029&gt;$E31+$F31,IF($D31="Fix",$G31,$G31*(1+$H31)^($F31)),IF($D31="Fix",$G31,$G31*(1+$H31)^(2029-$E31))))))</f>
        <v/>
      </c>
      <c r="U31" s="16">
        <f>IF($A31="","",IF(2030&lt;$E31,"",IF($D31="Manuell","",IF(2030&gt;$E31+$F31,IF($D31="Fix",$G31,$G31*(1+$H31)^($F31)),IF($D31="Fix",$G31,$G31*(1+$H31)^(2030-$E31))))))</f>
        <v/>
      </c>
      <c r="V31" s="16">
        <f>IF($A31="","",IF(2031&lt;$E31,"",IF($D31="Manuell","",IF(2031&gt;$E31+$F31,IF($D31="Fix",$G31,$G31*(1+$H31)^($F31)),IF($D31="Fix",$G31,$G31*(1+$H31)^(2031-$E31))))))</f>
        <v/>
      </c>
      <c r="W31" s="16">
        <f>IF($A31="","",IF(2032&lt;$E31,"",IF($D31="Manuell","",IF(2032&gt;$E31+$F31,IF($D31="Fix",$G31,$G31*(1+$H31)^($F31)),IF($D31="Fix",$G31,$G31*(1+$H31)^(2032-$E31))))))</f>
        <v/>
      </c>
      <c r="X31" s="16">
        <f>IF($A31="","",IF(2033&lt;$E31,"",IF($D31="Manuell","",IF(2033&gt;$E31+$F31,IF($D31="Fix",$G31,$G31*(1+$H31)^($F31)),IF($D31="Fix",$G31,$G31*(1+$H31)^(2033-$E31))))))</f>
        <v/>
      </c>
      <c r="Y31" s="16">
        <f>IF($A31="","",IF(2034&lt;$E31,"",IF($D31="Manuell","",IF(2034&gt;$E31+$F31,IF($D31="Fix",$G31,$G31*(1+$H31)^($F31)),IF($D31="Fix",$G31,$G31*(1+$H31)^(2034-$E31))))))</f>
        <v/>
      </c>
      <c r="Z31" s="16">
        <f>IF($A31="","",IF(2035&lt;$E31,"",IF($D31="Manuell","",IF(2035&gt;$E31+$F31,IF($D31="Fix",$G31,$G31*(1+$H31)^($F31)),IF($D31="Fix",$G31,$G31*(1+$H31)^(2035-$E31))))))</f>
        <v/>
      </c>
      <c r="AA31" s="16">
        <f>IF($A31="","",IF(2036&lt;$E31,"",IF($D31="Manuell","",IF(2036&gt;$E31+$F31,IF($D31="Fix",$G31,$G31*(1+$H31)^($F31)),IF($D31="Fix",$G31,$G31*(1+$H31)^(2036-$E31))))))</f>
        <v/>
      </c>
      <c r="AB31" s="16">
        <f>IF($A31="","",IF(2037&lt;$E31,"",IF($D31="Manuell","",IF(2037&gt;$E31+$F31,IF($D31="Fix",$G31,$G31*(1+$H31)^($F31)),IF($D31="Fix",$G31,$G31*(1+$H31)^(2037-$E31))))))</f>
        <v/>
      </c>
      <c r="AC31" s="16">
        <f>IF($A31="","",IF(2038&lt;$E31,"",IF($D31="Manuell","",IF(2038&gt;$E31+$F31,IF($D31="Fix",$G31,$G31*(1+$H31)^($F31)),IF($D31="Fix",$G31,$G31*(1+$H31)^(2038-$E31))))))</f>
        <v/>
      </c>
      <c r="AD31" s="16">
        <f>IF($A31="","",IF(2039&lt;$E31,"",IF($D31="Manuell","",IF(2039&gt;$E31+$F31,IF($D31="Fix",$G31,$G31*(1+$H31)^($F31)),IF($D31="Fix",$G31,$G31*(1+$H31)^(2039-$E31))))))</f>
        <v/>
      </c>
      <c r="AE31" s="16">
        <f>IF($A31="","",IF(2040&lt;$E31,"",IF($D31="Manuell","",IF(2040&gt;$E31+$F31,IF($D31="Fix",$G31,$G31*(1+$H31)^($F31)),IF($D31="Fix",$G31,$G31*(1+$H31)^(2040-$E31))))))</f>
        <v/>
      </c>
      <c r="AF31" s="16">
        <f>IF($A31="","",IF(2041&lt;$E31,"",IF($D31="Manuell","",IF(2041&gt;$E31+$F31,IF($D31="Fix",$G31,$G31*(1+$H31)^($F31)),IF($D31="Fix",$G31,$G31*(1+$H31)^(2041-$E31))))))</f>
        <v/>
      </c>
      <c r="AG31" s="16">
        <f>IF($A31="","",IF(2042&lt;$E31,"",IF($D31="Manuell","",IF(2042&gt;$E31+$F31,IF($D31="Fix",$G31,$G31*(1+$H31)^($F31)),IF($D31="Fix",$G31,$G31*(1+$H31)^(2042-$E31))))))</f>
        <v/>
      </c>
      <c r="AH31" s="16">
        <f>IF($A31="","",IF(2043&lt;$E31,"",IF($D31="Manuell","",IF(2043&gt;$E31+$F31,IF($D31="Fix",$G31,$G31*(1+$H31)^($F31)),IF($D31="Fix",$G31,$G31*(1+$H31)^(2043-$E31))))))</f>
        <v/>
      </c>
      <c r="AI31" s="16">
        <f>IF($A31="","",IF(2044&lt;$E31,"",IF($D31="Manuell","",IF(2044&gt;$E31+$F31,IF($D31="Fix",$G31,$G31*(1+$H31)^($F31)),IF($D31="Fix",$G31,$G31*(1+$H31)^(2044-$E31))))))</f>
        <v/>
      </c>
      <c r="AJ31" s="16">
        <f>IF($A31="","",IF(2045&lt;$E31,"",IF($D31="Manuell","",IF(2045&gt;$E31+$F31,IF($D31="Fix",$G31,$G31*(1+$H31)^($F31)),IF($D31="Fix",$G31,$G31*(1+$H31)^(2045-$E31))))))</f>
        <v/>
      </c>
      <c r="AK31" s="16">
        <f>IF($A31="","",IF(2046&lt;$E31,"",IF($D31="Manuell","",IF(2046&gt;$E31+$F31,IF($D31="Fix",$G31,$G31*(1+$H31)^($F31)),IF($D31="Fix",$G31,$G31*(1+$H31)^(2046-$E31))))))</f>
        <v/>
      </c>
      <c r="AL31" s="16">
        <f>IF($A31="","",IF(2047&lt;$E31,"",IF($D31="Manuell","",IF(2047&gt;$E31+$F31,IF($D31="Fix",$G31,$G31*(1+$H31)^($F31)),IF($D31="Fix",$G31,$G31*(1+$H31)^(2047-$E31))))))</f>
        <v/>
      </c>
      <c r="AM31" s="16">
        <f>IF($A31="","",IF(2048&lt;$E31,"",IF($D31="Manuell","",IF(2048&gt;$E31+$F31,IF($D31="Fix",$G31,$G31*(1+$H31)^($F31)),IF($D31="Fix",$G31,$G31*(1+$H31)^(2048-$E31))))))</f>
        <v/>
      </c>
      <c r="AN31" s="16">
        <f>IF($A31="","",IF(2049&lt;$E31,"",IF($D31="Manuell","",IF(2049&gt;$E31+$F31,IF($D31="Fix",$G31,$G31*(1+$H31)^($F31)),IF($D31="Fix",$G31,$G31*(1+$H31)^(2049-$E31))))))</f>
        <v/>
      </c>
      <c r="AO31" s="16">
        <f>IF($A31="","",IF(2050&lt;$E31,"",IF($D31="Manuell","",IF(2050&gt;$E31+$F31,IF($D31="Fix",$G31,$G31*(1+$H31)^($F31)),IF($D31="Fix",$G31,$G31*(1+$H31)^(2050-$E31))))))</f>
        <v/>
      </c>
      <c r="AP31" s="16">
        <f>IF($A31="","",IF(2051&lt;$E31,"",IF($D31="Manuell","",IF(2051&gt;$E31+$F31,IF($D31="Fix",$G31,$G31*(1+$H31)^($F31)),IF($D31="Fix",$G31,$G31*(1+$H31)^(2051-$E31))))))</f>
        <v/>
      </c>
      <c r="AQ31" s="16">
        <f>IF($A31="","",IF(2052&lt;$E31,"",IF($D31="Manuell","",IF(2052&gt;$E31+$F31,IF($D31="Fix",$G31,$G31*(1+$H31)^($F31)),IF($D31="Fix",$G31,$G31*(1+$H31)^(2052-$E31))))))</f>
        <v/>
      </c>
      <c r="AR31" s="16">
        <f>IF($A31="","",IF(2053&lt;$E31,"",IF($D31="Manuell","",IF(2053&gt;$E31+$F31,IF($D31="Fix",$G31,$G31*(1+$H31)^($F31)),IF($D31="Fix",$G31,$G31*(1+$H31)^(2053-$E31))))))</f>
        <v/>
      </c>
      <c r="AS31" s="16">
        <f>IF($A31="","",IF(2054&lt;$E31,"",IF($D31="Manuell","",IF(2054&gt;$E31+$F31,IF($D31="Fix",$G31,$G31*(1+$H31)^($F31)),IF($D31="Fix",$G31,$G31*(1+$H31)^(2054-$E31))))))</f>
        <v/>
      </c>
      <c r="AT31" s="16">
        <f>IF($A31="","",IF(2055&lt;$E31,"",IF($D31="Manuell","",IF(2055&gt;$E31+$F31,IF($D31="Fix",$G31,$G31*(1+$H31)^($F31)),IF($D31="Fix",$G31,$G31*(1+$H31)^(2055-$E31))))))</f>
        <v/>
      </c>
    </row>
    <row r="32">
      <c r="A32" s="14" t="inlineStr"/>
      <c r="B32" s="14" t="inlineStr"/>
      <c r="C32" s="14" t="inlineStr"/>
      <c r="D32" s="14" t="inlineStr"/>
      <c r="E32" s="11" t="inlineStr"/>
      <c r="F32" s="11" t="inlineStr"/>
      <c r="G32" s="15" t="inlineStr"/>
      <c r="H32" s="15" t="inlineStr"/>
      <c r="I32" s="16">
        <f>IF($A32="","",IF(2018&lt;$E32,"",IF($D32="Manuell","",IF(2018&gt;$E32+$F32,IF($D32="Fix",$G32,$G32*(1+$H32)^($F32)),IF($D32="Fix",$G32,$G32*(1+$H32)^(2018-$E32))))))</f>
        <v/>
      </c>
      <c r="J32" s="16">
        <f>IF($A32="","",IF(2019&lt;$E32,"",IF($D32="Manuell","",IF(2019&gt;$E32+$F32,IF($D32="Fix",$G32,$G32*(1+$H32)^($F32)),IF($D32="Fix",$G32,$G32*(1+$H32)^(2019-$E32))))))</f>
        <v/>
      </c>
      <c r="K32" s="16">
        <f>IF($A32="","",IF(2020&lt;$E32,"",IF($D32="Manuell","",IF(2020&gt;$E32+$F32,IF($D32="Fix",$G32,$G32*(1+$H32)^($F32)),IF($D32="Fix",$G32,$G32*(1+$H32)^(2020-$E32))))))</f>
        <v/>
      </c>
      <c r="L32" s="16">
        <f>IF($A32="","",IF(2021&lt;$E32,"",IF($D32="Manuell","",IF(2021&gt;$E32+$F32,IF($D32="Fix",$G32,$G32*(1+$H32)^($F32)),IF($D32="Fix",$G32,$G32*(1+$H32)^(2021-$E32))))))</f>
        <v/>
      </c>
      <c r="M32" s="16">
        <f>IF($A32="","",IF(2022&lt;$E32,"",IF($D32="Manuell","",IF(2022&gt;$E32+$F32,IF($D32="Fix",$G32,$G32*(1+$H32)^($F32)),IF($D32="Fix",$G32,$G32*(1+$H32)^(2022-$E32))))))</f>
        <v/>
      </c>
      <c r="N32" s="16">
        <f>IF($A32="","",IF(2023&lt;$E32,"",IF($D32="Manuell","",IF(2023&gt;$E32+$F32,IF($D32="Fix",$G32,$G32*(1+$H32)^($F32)),IF($D32="Fix",$G32,$G32*(1+$H32)^(2023-$E32))))))</f>
        <v/>
      </c>
      <c r="O32" s="16">
        <f>IF($A32="","",IF(2024&lt;$E32,"",IF($D32="Manuell","",IF(2024&gt;$E32+$F32,IF($D32="Fix",$G32,$G32*(1+$H32)^($F32)),IF($D32="Fix",$G32,$G32*(1+$H32)^(2024-$E32))))))</f>
        <v/>
      </c>
      <c r="P32" s="16">
        <f>IF($A32="","",IF(2025&lt;$E32,"",IF($D32="Manuell","",IF(2025&gt;$E32+$F32,IF($D32="Fix",$G32,$G32*(1+$H32)^($F32)),IF($D32="Fix",$G32,$G32*(1+$H32)^(2025-$E32))))))</f>
        <v/>
      </c>
      <c r="Q32" s="16">
        <f>IF($A32="","",IF(2026&lt;$E32,"",IF($D32="Manuell","",IF(2026&gt;$E32+$F32,IF($D32="Fix",$G32,$G32*(1+$H32)^($F32)),IF($D32="Fix",$G32,$G32*(1+$H32)^(2026-$E32))))))</f>
        <v/>
      </c>
      <c r="R32" s="16">
        <f>IF($A32="","",IF(2027&lt;$E32,"",IF($D32="Manuell","",IF(2027&gt;$E32+$F32,IF($D32="Fix",$G32,$G32*(1+$H32)^($F32)),IF($D32="Fix",$G32,$G32*(1+$H32)^(2027-$E32))))))</f>
        <v/>
      </c>
      <c r="S32" s="16">
        <f>IF($A32="","",IF(2028&lt;$E32,"",IF($D32="Manuell","",IF(2028&gt;$E32+$F32,IF($D32="Fix",$G32,$G32*(1+$H32)^($F32)),IF($D32="Fix",$G32,$G32*(1+$H32)^(2028-$E32))))))</f>
        <v/>
      </c>
      <c r="T32" s="16">
        <f>IF($A32="","",IF(2029&lt;$E32,"",IF($D32="Manuell","",IF(2029&gt;$E32+$F32,IF($D32="Fix",$G32,$G32*(1+$H32)^($F32)),IF($D32="Fix",$G32,$G32*(1+$H32)^(2029-$E32))))))</f>
        <v/>
      </c>
      <c r="U32" s="16">
        <f>IF($A32="","",IF(2030&lt;$E32,"",IF($D32="Manuell","",IF(2030&gt;$E32+$F32,IF($D32="Fix",$G32,$G32*(1+$H32)^($F32)),IF($D32="Fix",$G32,$G32*(1+$H32)^(2030-$E32))))))</f>
        <v/>
      </c>
      <c r="V32" s="16">
        <f>IF($A32="","",IF(2031&lt;$E32,"",IF($D32="Manuell","",IF(2031&gt;$E32+$F32,IF($D32="Fix",$G32,$G32*(1+$H32)^($F32)),IF($D32="Fix",$G32,$G32*(1+$H32)^(2031-$E32))))))</f>
        <v/>
      </c>
      <c r="W32" s="16">
        <f>IF($A32="","",IF(2032&lt;$E32,"",IF($D32="Manuell","",IF(2032&gt;$E32+$F32,IF($D32="Fix",$G32,$G32*(1+$H32)^($F32)),IF($D32="Fix",$G32,$G32*(1+$H32)^(2032-$E32))))))</f>
        <v/>
      </c>
      <c r="X32" s="16">
        <f>IF($A32="","",IF(2033&lt;$E32,"",IF($D32="Manuell","",IF(2033&gt;$E32+$F32,IF($D32="Fix",$G32,$G32*(1+$H32)^($F32)),IF($D32="Fix",$G32,$G32*(1+$H32)^(2033-$E32))))))</f>
        <v/>
      </c>
      <c r="Y32" s="16">
        <f>IF($A32="","",IF(2034&lt;$E32,"",IF($D32="Manuell","",IF(2034&gt;$E32+$F32,IF($D32="Fix",$G32,$G32*(1+$H32)^($F32)),IF($D32="Fix",$G32,$G32*(1+$H32)^(2034-$E32))))))</f>
        <v/>
      </c>
      <c r="Z32" s="16">
        <f>IF($A32="","",IF(2035&lt;$E32,"",IF($D32="Manuell","",IF(2035&gt;$E32+$F32,IF($D32="Fix",$G32,$G32*(1+$H32)^($F32)),IF($D32="Fix",$G32,$G32*(1+$H32)^(2035-$E32))))))</f>
        <v/>
      </c>
      <c r="AA32" s="16">
        <f>IF($A32="","",IF(2036&lt;$E32,"",IF($D32="Manuell","",IF(2036&gt;$E32+$F32,IF($D32="Fix",$G32,$G32*(1+$H32)^($F32)),IF($D32="Fix",$G32,$G32*(1+$H32)^(2036-$E32))))))</f>
        <v/>
      </c>
      <c r="AB32" s="16">
        <f>IF($A32="","",IF(2037&lt;$E32,"",IF($D32="Manuell","",IF(2037&gt;$E32+$F32,IF($D32="Fix",$G32,$G32*(1+$H32)^($F32)),IF($D32="Fix",$G32,$G32*(1+$H32)^(2037-$E32))))))</f>
        <v/>
      </c>
      <c r="AC32" s="16">
        <f>IF($A32="","",IF(2038&lt;$E32,"",IF($D32="Manuell","",IF(2038&gt;$E32+$F32,IF($D32="Fix",$G32,$G32*(1+$H32)^($F32)),IF($D32="Fix",$G32,$G32*(1+$H32)^(2038-$E32))))))</f>
        <v/>
      </c>
      <c r="AD32" s="16">
        <f>IF($A32="","",IF(2039&lt;$E32,"",IF($D32="Manuell","",IF(2039&gt;$E32+$F32,IF($D32="Fix",$G32,$G32*(1+$H32)^($F32)),IF($D32="Fix",$G32,$G32*(1+$H32)^(2039-$E32))))))</f>
        <v/>
      </c>
      <c r="AE32" s="16">
        <f>IF($A32="","",IF(2040&lt;$E32,"",IF($D32="Manuell","",IF(2040&gt;$E32+$F32,IF($D32="Fix",$G32,$G32*(1+$H32)^($F32)),IF($D32="Fix",$G32,$G32*(1+$H32)^(2040-$E32))))))</f>
        <v/>
      </c>
      <c r="AF32" s="16">
        <f>IF($A32="","",IF(2041&lt;$E32,"",IF($D32="Manuell","",IF(2041&gt;$E32+$F32,IF($D32="Fix",$G32,$G32*(1+$H32)^($F32)),IF($D32="Fix",$G32,$G32*(1+$H32)^(2041-$E32))))))</f>
        <v/>
      </c>
      <c r="AG32" s="16">
        <f>IF($A32="","",IF(2042&lt;$E32,"",IF($D32="Manuell","",IF(2042&gt;$E32+$F32,IF($D32="Fix",$G32,$G32*(1+$H32)^($F32)),IF($D32="Fix",$G32,$G32*(1+$H32)^(2042-$E32))))))</f>
        <v/>
      </c>
      <c r="AH32" s="16">
        <f>IF($A32="","",IF(2043&lt;$E32,"",IF($D32="Manuell","",IF(2043&gt;$E32+$F32,IF($D32="Fix",$G32,$G32*(1+$H32)^($F32)),IF($D32="Fix",$G32,$G32*(1+$H32)^(2043-$E32))))))</f>
        <v/>
      </c>
      <c r="AI32" s="16">
        <f>IF($A32="","",IF(2044&lt;$E32,"",IF($D32="Manuell","",IF(2044&gt;$E32+$F32,IF($D32="Fix",$G32,$G32*(1+$H32)^($F32)),IF($D32="Fix",$G32,$G32*(1+$H32)^(2044-$E32))))))</f>
        <v/>
      </c>
      <c r="AJ32" s="16">
        <f>IF($A32="","",IF(2045&lt;$E32,"",IF($D32="Manuell","",IF(2045&gt;$E32+$F32,IF($D32="Fix",$G32,$G32*(1+$H32)^($F32)),IF($D32="Fix",$G32,$G32*(1+$H32)^(2045-$E32))))))</f>
        <v/>
      </c>
      <c r="AK32" s="16">
        <f>IF($A32="","",IF(2046&lt;$E32,"",IF($D32="Manuell","",IF(2046&gt;$E32+$F32,IF($D32="Fix",$G32,$G32*(1+$H32)^($F32)),IF($D32="Fix",$G32,$G32*(1+$H32)^(2046-$E32))))))</f>
        <v/>
      </c>
      <c r="AL32" s="16">
        <f>IF($A32="","",IF(2047&lt;$E32,"",IF($D32="Manuell","",IF(2047&gt;$E32+$F32,IF($D32="Fix",$G32,$G32*(1+$H32)^($F32)),IF($D32="Fix",$G32,$G32*(1+$H32)^(2047-$E32))))))</f>
        <v/>
      </c>
      <c r="AM32" s="16">
        <f>IF($A32="","",IF(2048&lt;$E32,"",IF($D32="Manuell","",IF(2048&gt;$E32+$F32,IF($D32="Fix",$G32,$G32*(1+$H32)^($F32)),IF($D32="Fix",$G32,$G32*(1+$H32)^(2048-$E32))))))</f>
        <v/>
      </c>
      <c r="AN32" s="16">
        <f>IF($A32="","",IF(2049&lt;$E32,"",IF($D32="Manuell","",IF(2049&gt;$E32+$F32,IF($D32="Fix",$G32,$G32*(1+$H32)^($F32)),IF($D32="Fix",$G32,$G32*(1+$H32)^(2049-$E32))))))</f>
        <v/>
      </c>
      <c r="AO32" s="16">
        <f>IF($A32="","",IF(2050&lt;$E32,"",IF($D32="Manuell","",IF(2050&gt;$E32+$F32,IF($D32="Fix",$G32,$G32*(1+$H32)^($F32)),IF($D32="Fix",$G32,$G32*(1+$H32)^(2050-$E32))))))</f>
        <v/>
      </c>
      <c r="AP32" s="16">
        <f>IF($A32="","",IF(2051&lt;$E32,"",IF($D32="Manuell","",IF(2051&gt;$E32+$F32,IF($D32="Fix",$G32,$G32*(1+$H32)^($F32)),IF($D32="Fix",$G32,$G32*(1+$H32)^(2051-$E32))))))</f>
        <v/>
      </c>
      <c r="AQ32" s="16">
        <f>IF($A32="","",IF(2052&lt;$E32,"",IF($D32="Manuell","",IF(2052&gt;$E32+$F32,IF($D32="Fix",$G32,$G32*(1+$H32)^($F32)),IF($D32="Fix",$G32,$G32*(1+$H32)^(2052-$E32))))))</f>
        <v/>
      </c>
      <c r="AR32" s="16">
        <f>IF($A32="","",IF(2053&lt;$E32,"",IF($D32="Manuell","",IF(2053&gt;$E32+$F32,IF($D32="Fix",$G32,$G32*(1+$H32)^($F32)),IF($D32="Fix",$G32,$G32*(1+$H32)^(2053-$E32))))))</f>
        <v/>
      </c>
      <c r="AS32" s="16">
        <f>IF($A32="","",IF(2054&lt;$E32,"",IF($D32="Manuell","",IF(2054&gt;$E32+$F32,IF($D32="Fix",$G32,$G32*(1+$H32)^($F32)),IF($D32="Fix",$G32,$G32*(1+$H32)^(2054-$E32))))))</f>
        <v/>
      </c>
      <c r="AT32" s="16">
        <f>IF($A32="","",IF(2055&lt;$E32,"",IF($D32="Manuell","",IF(2055&gt;$E32+$F32,IF($D32="Fix",$G32,$G32*(1+$H32)^($F32)),IF($D32="Fix",$G32,$G32*(1+$H32)^(2055-$E32))))))</f>
        <v/>
      </c>
    </row>
    <row r="33">
      <c r="A33" s="14" t="inlineStr"/>
      <c r="B33" s="14" t="inlineStr"/>
      <c r="C33" s="14" t="inlineStr"/>
      <c r="D33" s="14" t="inlineStr"/>
      <c r="E33" s="11" t="inlineStr"/>
      <c r="F33" s="11" t="inlineStr"/>
      <c r="G33" s="15" t="inlineStr"/>
      <c r="H33" s="15" t="inlineStr"/>
      <c r="I33" s="16">
        <f>IF($A33="","",IF(2018&lt;$E33,"",IF($D33="Manuell","",IF(2018&gt;$E33+$F33,IF($D33="Fix",$G33,$G33*(1+$H33)^($F33)),IF($D33="Fix",$G33,$G33*(1+$H33)^(2018-$E33))))))</f>
        <v/>
      </c>
      <c r="J33" s="16">
        <f>IF($A33="","",IF(2019&lt;$E33,"",IF($D33="Manuell","",IF(2019&gt;$E33+$F33,IF($D33="Fix",$G33,$G33*(1+$H33)^($F33)),IF($D33="Fix",$G33,$G33*(1+$H33)^(2019-$E33))))))</f>
        <v/>
      </c>
      <c r="K33" s="16">
        <f>IF($A33="","",IF(2020&lt;$E33,"",IF($D33="Manuell","",IF(2020&gt;$E33+$F33,IF($D33="Fix",$G33,$G33*(1+$H33)^($F33)),IF($D33="Fix",$G33,$G33*(1+$H33)^(2020-$E33))))))</f>
        <v/>
      </c>
      <c r="L33" s="16">
        <f>IF($A33="","",IF(2021&lt;$E33,"",IF($D33="Manuell","",IF(2021&gt;$E33+$F33,IF($D33="Fix",$G33,$G33*(1+$H33)^($F33)),IF($D33="Fix",$G33,$G33*(1+$H33)^(2021-$E33))))))</f>
        <v/>
      </c>
      <c r="M33" s="16">
        <f>IF($A33="","",IF(2022&lt;$E33,"",IF($D33="Manuell","",IF(2022&gt;$E33+$F33,IF($D33="Fix",$G33,$G33*(1+$H33)^($F33)),IF($D33="Fix",$G33,$G33*(1+$H33)^(2022-$E33))))))</f>
        <v/>
      </c>
      <c r="N33" s="16">
        <f>IF($A33="","",IF(2023&lt;$E33,"",IF($D33="Manuell","",IF(2023&gt;$E33+$F33,IF($D33="Fix",$G33,$G33*(1+$H33)^($F33)),IF($D33="Fix",$G33,$G33*(1+$H33)^(2023-$E33))))))</f>
        <v/>
      </c>
      <c r="O33" s="16">
        <f>IF($A33="","",IF(2024&lt;$E33,"",IF($D33="Manuell","",IF(2024&gt;$E33+$F33,IF($D33="Fix",$G33,$G33*(1+$H33)^($F33)),IF($D33="Fix",$G33,$G33*(1+$H33)^(2024-$E33))))))</f>
        <v/>
      </c>
      <c r="P33" s="16">
        <f>IF($A33="","",IF(2025&lt;$E33,"",IF($D33="Manuell","",IF(2025&gt;$E33+$F33,IF($D33="Fix",$G33,$G33*(1+$H33)^($F33)),IF($D33="Fix",$G33,$G33*(1+$H33)^(2025-$E33))))))</f>
        <v/>
      </c>
      <c r="Q33" s="16">
        <f>IF($A33="","",IF(2026&lt;$E33,"",IF($D33="Manuell","",IF(2026&gt;$E33+$F33,IF($D33="Fix",$G33,$G33*(1+$H33)^($F33)),IF($D33="Fix",$G33,$G33*(1+$H33)^(2026-$E33))))))</f>
        <v/>
      </c>
      <c r="R33" s="16">
        <f>IF($A33="","",IF(2027&lt;$E33,"",IF($D33="Manuell","",IF(2027&gt;$E33+$F33,IF($D33="Fix",$G33,$G33*(1+$H33)^($F33)),IF($D33="Fix",$G33,$G33*(1+$H33)^(2027-$E33))))))</f>
        <v/>
      </c>
      <c r="S33" s="16">
        <f>IF($A33="","",IF(2028&lt;$E33,"",IF($D33="Manuell","",IF(2028&gt;$E33+$F33,IF($D33="Fix",$G33,$G33*(1+$H33)^($F33)),IF($D33="Fix",$G33,$G33*(1+$H33)^(2028-$E33))))))</f>
        <v/>
      </c>
      <c r="T33" s="16">
        <f>IF($A33="","",IF(2029&lt;$E33,"",IF($D33="Manuell","",IF(2029&gt;$E33+$F33,IF($D33="Fix",$G33,$G33*(1+$H33)^($F33)),IF($D33="Fix",$G33,$G33*(1+$H33)^(2029-$E33))))))</f>
        <v/>
      </c>
      <c r="U33" s="16">
        <f>IF($A33="","",IF(2030&lt;$E33,"",IF($D33="Manuell","",IF(2030&gt;$E33+$F33,IF($D33="Fix",$G33,$G33*(1+$H33)^($F33)),IF($D33="Fix",$G33,$G33*(1+$H33)^(2030-$E33))))))</f>
        <v/>
      </c>
      <c r="V33" s="16">
        <f>IF($A33="","",IF(2031&lt;$E33,"",IF($D33="Manuell","",IF(2031&gt;$E33+$F33,IF($D33="Fix",$G33,$G33*(1+$H33)^($F33)),IF($D33="Fix",$G33,$G33*(1+$H33)^(2031-$E33))))))</f>
        <v/>
      </c>
      <c r="W33" s="16">
        <f>IF($A33="","",IF(2032&lt;$E33,"",IF($D33="Manuell","",IF(2032&gt;$E33+$F33,IF($D33="Fix",$G33,$G33*(1+$H33)^($F33)),IF($D33="Fix",$G33,$G33*(1+$H33)^(2032-$E33))))))</f>
        <v/>
      </c>
      <c r="X33" s="16">
        <f>IF($A33="","",IF(2033&lt;$E33,"",IF($D33="Manuell","",IF(2033&gt;$E33+$F33,IF($D33="Fix",$G33,$G33*(1+$H33)^($F33)),IF($D33="Fix",$G33,$G33*(1+$H33)^(2033-$E33))))))</f>
        <v/>
      </c>
      <c r="Y33" s="16">
        <f>IF($A33="","",IF(2034&lt;$E33,"",IF($D33="Manuell","",IF(2034&gt;$E33+$F33,IF($D33="Fix",$G33,$G33*(1+$H33)^($F33)),IF($D33="Fix",$G33,$G33*(1+$H33)^(2034-$E33))))))</f>
        <v/>
      </c>
      <c r="Z33" s="16">
        <f>IF($A33="","",IF(2035&lt;$E33,"",IF($D33="Manuell","",IF(2035&gt;$E33+$F33,IF($D33="Fix",$G33,$G33*(1+$H33)^($F33)),IF($D33="Fix",$G33,$G33*(1+$H33)^(2035-$E33))))))</f>
        <v/>
      </c>
      <c r="AA33" s="16">
        <f>IF($A33="","",IF(2036&lt;$E33,"",IF($D33="Manuell","",IF(2036&gt;$E33+$F33,IF($D33="Fix",$G33,$G33*(1+$H33)^($F33)),IF($D33="Fix",$G33,$G33*(1+$H33)^(2036-$E33))))))</f>
        <v/>
      </c>
      <c r="AB33" s="16">
        <f>IF($A33="","",IF(2037&lt;$E33,"",IF($D33="Manuell","",IF(2037&gt;$E33+$F33,IF($D33="Fix",$G33,$G33*(1+$H33)^($F33)),IF($D33="Fix",$G33,$G33*(1+$H33)^(2037-$E33))))))</f>
        <v/>
      </c>
      <c r="AC33" s="16">
        <f>IF($A33="","",IF(2038&lt;$E33,"",IF($D33="Manuell","",IF(2038&gt;$E33+$F33,IF($D33="Fix",$G33,$G33*(1+$H33)^($F33)),IF($D33="Fix",$G33,$G33*(1+$H33)^(2038-$E33))))))</f>
        <v/>
      </c>
      <c r="AD33" s="16">
        <f>IF($A33="","",IF(2039&lt;$E33,"",IF($D33="Manuell","",IF(2039&gt;$E33+$F33,IF($D33="Fix",$G33,$G33*(1+$H33)^($F33)),IF($D33="Fix",$G33,$G33*(1+$H33)^(2039-$E33))))))</f>
        <v/>
      </c>
      <c r="AE33" s="16">
        <f>IF($A33="","",IF(2040&lt;$E33,"",IF($D33="Manuell","",IF(2040&gt;$E33+$F33,IF($D33="Fix",$G33,$G33*(1+$H33)^($F33)),IF($D33="Fix",$G33,$G33*(1+$H33)^(2040-$E33))))))</f>
        <v/>
      </c>
      <c r="AF33" s="16">
        <f>IF($A33="","",IF(2041&lt;$E33,"",IF($D33="Manuell","",IF(2041&gt;$E33+$F33,IF($D33="Fix",$G33,$G33*(1+$H33)^($F33)),IF($D33="Fix",$G33,$G33*(1+$H33)^(2041-$E33))))))</f>
        <v/>
      </c>
      <c r="AG33" s="16">
        <f>IF($A33="","",IF(2042&lt;$E33,"",IF($D33="Manuell","",IF(2042&gt;$E33+$F33,IF($D33="Fix",$G33,$G33*(1+$H33)^($F33)),IF($D33="Fix",$G33,$G33*(1+$H33)^(2042-$E33))))))</f>
        <v/>
      </c>
      <c r="AH33" s="16">
        <f>IF($A33="","",IF(2043&lt;$E33,"",IF($D33="Manuell","",IF(2043&gt;$E33+$F33,IF($D33="Fix",$G33,$G33*(1+$H33)^($F33)),IF($D33="Fix",$G33,$G33*(1+$H33)^(2043-$E33))))))</f>
        <v/>
      </c>
      <c r="AI33" s="16">
        <f>IF($A33="","",IF(2044&lt;$E33,"",IF($D33="Manuell","",IF(2044&gt;$E33+$F33,IF($D33="Fix",$G33,$G33*(1+$H33)^($F33)),IF($D33="Fix",$G33,$G33*(1+$H33)^(2044-$E33))))))</f>
        <v/>
      </c>
      <c r="AJ33" s="16">
        <f>IF($A33="","",IF(2045&lt;$E33,"",IF($D33="Manuell","",IF(2045&gt;$E33+$F33,IF($D33="Fix",$G33,$G33*(1+$H33)^($F33)),IF($D33="Fix",$G33,$G33*(1+$H33)^(2045-$E33))))))</f>
        <v/>
      </c>
      <c r="AK33" s="16">
        <f>IF($A33="","",IF(2046&lt;$E33,"",IF($D33="Manuell","",IF(2046&gt;$E33+$F33,IF($D33="Fix",$G33,$G33*(1+$H33)^($F33)),IF($D33="Fix",$G33,$G33*(1+$H33)^(2046-$E33))))))</f>
        <v/>
      </c>
      <c r="AL33" s="16">
        <f>IF($A33="","",IF(2047&lt;$E33,"",IF($D33="Manuell","",IF(2047&gt;$E33+$F33,IF($D33="Fix",$G33,$G33*(1+$H33)^($F33)),IF($D33="Fix",$G33,$G33*(1+$H33)^(2047-$E33))))))</f>
        <v/>
      </c>
      <c r="AM33" s="16">
        <f>IF($A33="","",IF(2048&lt;$E33,"",IF($D33="Manuell","",IF(2048&gt;$E33+$F33,IF($D33="Fix",$G33,$G33*(1+$H33)^($F33)),IF($D33="Fix",$G33,$G33*(1+$H33)^(2048-$E33))))))</f>
        <v/>
      </c>
      <c r="AN33" s="16">
        <f>IF($A33="","",IF(2049&lt;$E33,"",IF($D33="Manuell","",IF(2049&gt;$E33+$F33,IF($D33="Fix",$G33,$G33*(1+$H33)^($F33)),IF($D33="Fix",$G33,$G33*(1+$H33)^(2049-$E33))))))</f>
        <v/>
      </c>
      <c r="AO33" s="16">
        <f>IF($A33="","",IF(2050&lt;$E33,"",IF($D33="Manuell","",IF(2050&gt;$E33+$F33,IF($D33="Fix",$G33,$G33*(1+$H33)^($F33)),IF($D33="Fix",$G33,$G33*(1+$H33)^(2050-$E33))))))</f>
        <v/>
      </c>
      <c r="AP33" s="16">
        <f>IF($A33="","",IF(2051&lt;$E33,"",IF($D33="Manuell","",IF(2051&gt;$E33+$F33,IF($D33="Fix",$G33,$G33*(1+$H33)^($F33)),IF($D33="Fix",$G33,$G33*(1+$H33)^(2051-$E33))))))</f>
        <v/>
      </c>
      <c r="AQ33" s="16">
        <f>IF($A33="","",IF(2052&lt;$E33,"",IF($D33="Manuell","",IF(2052&gt;$E33+$F33,IF($D33="Fix",$G33,$G33*(1+$H33)^($F33)),IF($D33="Fix",$G33,$G33*(1+$H33)^(2052-$E33))))))</f>
        <v/>
      </c>
      <c r="AR33" s="16">
        <f>IF($A33="","",IF(2053&lt;$E33,"",IF($D33="Manuell","",IF(2053&gt;$E33+$F33,IF($D33="Fix",$G33,$G33*(1+$H33)^($F33)),IF($D33="Fix",$G33,$G33*(1+$H33)^(2053-$E33))))))</f>
        <v/>
      </c>
      <c r="AS33" s="16">
        <f>IF($A33="","",IF(2054&lt;$E33,"",IF($D33="Manuell","",IF(2054&gt;$E33+$F33,IF($D33="Fix",$G33,$G33*(1+$H33)^($F33)),IF($D33="Fix",$G33,$G33*(1+$H33)^(2054-$E33))))))</f>
        <v/>
      </c>
      <c r="AT33" s="16">
        <f>IF($A33="","",IF(2055&lt;$E33,"",IF($D33="Manuell","",IF(2055&gt;$E33+$F33,IF($D33="Fix",$G33,$G33*(1+$H33)^($F33)),IF($D33="Fix",$G33,$G33*(1+$H33)^(2055-$E33))))))</f>
        <v/>
      </c>
    </row>
    <row r="34">
      <c r="A34" s="14" t="inlineStr"/>
      <c r="B34" s="14" t="inlineStr"/>
      <c r="C34" s="14" t="inlineStr"/>
      <c r="D34" s="14" t="inlineStr"/>
      <c r="E34" s="11" t="inlineStr"/>
      <c r="F34" s="11" t="inlineStr"/>
      <c r="G34" s="15" t="inlineStr"/>
      <c r="H34" s="15" t="inlineStr"/>
      <c r="I34" s="16">
        <f>IF($A34="","",IF(2018&lt;$E34,"",IF($D34="Manuell","",IF(2018&gt;$E34+$F34,IF($D34="Fix",$G34,$G34*(1+$H34)^($F34)),IF($D34="Fix",$G34,$G34*(1+$H34)^(2018-$E34))))))</f>
        <v/>
      </c>
      <c r="J34" s="16">
        <f>IF($A34="","",IF(2019&lt;$E34,"",IF($D34="Manuell","",IF(2019&gt;$E34+$F34,IF($D34="Fix",$G34,$G34*(1+$H34)^($F34)),IF($D34="Fix",$G34,$G34*(1+$H34)^(2019-$E34))))))</f>
        <v/>
      </c>
      <c r="K34" s="16">
        <f>IF($A34="","",IF(2020&lt;$E34,"",IF($D34="Manuell","",IF(2020&gt;$E34+$F34,IF($D34="Fix",$G34,$G34*(1+$H34)^($F34)),IF($D34="Fix",$G34,$G34*(1+$H34)^(2020-$E34))))))</f>
        <v/>
      </c>
      <c r="L34" s="16">
        <f>IF($A34="","",IF(2021&lt;$E34,"",IF($D34="Manuell","",IF(2021&gt;$E34+$F34,IF($D34="Fix",$G34,$G34*(1+$H34)^($F34)),IF($D34="Fix",$G34,$G34*(1+$H34)^(2021-$E34))))))</f>
        <v/>
      </c>
      <c r="M34" s="16">
        <f>IF($A34="","",IF(2022&lt;$E34,"",IF($D34="Manuell","",IF(2022&gt;$E34+$F34,IF($D34="Fix",$G34,$G34*(1+$H34)^($F34)),IF($D34="Fix",$G34,$G34*(1+$H34)^(2022-$E34))))))</f>
        <v/>
      </c>
      <c r="N34" s="16">
        <f>IF($A34="","",IF(2023&lt;$E34,"",IF($D34="Manuell","",IF(2023&gt;$E34+$F34,IF($D34="Fix",$G34,$G34*(1+$H34)^($F34)),IF($D34="Fix",$G34,$G34*(1+$H34)^(2023-$E34))))))</f>
        <v/>
      </c>
      <c r="O34" s="16">
        <f>IF($A34="","",IF(2024&lt;$E34,"",IF($D34="Manuell","",IF(2024&gt;$E34+$F34,IF($D34="Fix",$G34,$G34*(1+$H34)^($F34)),IF($D34="Fix",$G34,$G34*(1+$H34)^(2024-$E34))))))</f>
        <v/>
      </c>
      <c r="P34" s="16">
        <f>IF($A34="","",IF(2025&lt;$E34,"",IF($D34="Manuell","",IF(2025&gt;$E34+$F34,IF($D34="Fix",$G34,$G34*(1+$H34)^($F34)),IF($D34="Fix",$G34,$G34*(1+$H34)^(2025-$E34))))))</f>
        <v/>
      </c>
      <c r="Q34" s="16">
        <f>IF($A34="","",IF(2026&lt;$E34,"",IF($D34="Manuell","",IF(2026&gt;$E34+$F34,IF($D34="Fix",$G34,$G34*(1+$H34)^($F34)),IF($D34="Fix",$G34,$G34*(1+$H34)^(2026-$E34))))))</f>
        <v/>
      </c>
      <c r="R34" s="16">
        <f>IF($A34="","",IF(2027&lt;$E34,"",IF($D34="Manuell","",IF(2027&gt;$E34+$F34,IF($D34="Fix",$G34,$G34*(1+$H34)^($F34)),IF($D34="Fix",$G34,$G34*(1+$H34)^(2027-$E34))))))</f>
        <v/>
      </c>
      <c r="S34" s="16">
        <f>IF($A34="","",IF(2028&lt;$E34,"",IF($D34="Manuell","",IF(2028&gt;$E34+$F34,IF($D34="Fix",$G34,$G34*(1+$H34)^($F34)),IF($D34="Fix",$G34,$G34*(1+$H34)^(2028-$E34))))))</f>
        <v/>
      </c>
      <c r="T34" s="16">
        <f>IF($A34="","",IF(2029&lt;$E34,"",IF($D34="Manuell","",IF(2029&gt;$E34+$F34,IF($D34="Fix",$G34,$G34*(1+$H34)^($F34)),IF($D34="Fix",$G34,$G34*(1+$H34)^(2029-$E34))))))</f>
        <v/>
      </c>
      <c r="U34" s="16">
        <f>IF($A34="","",IF(2030&lt;$E34,"",IF($D34="Manuell","",IF(2030&gt;$E34+$F34,IF($D34="Fix",$G34,$G34*(1+$H34)^($F34)),IF($D34="Fix",$G34,$G34*(1+$H34)^(2030-$E34))))))</f>
        <v/>
      </c>
      <c r="V34" s="16">
        <f>IF($A34="","",IF(2031&lt;$E34,"",IF($D34="Manuell","",IF(2031&gt;$E34+$F34,IF($D34="Fix",$G34,$G34*(1+$H34)^($F34)),IF($D34="Fix",$G34,$G34*(1+$H34)^(2031-$E34))))))</f>
        <v/>
      </c>
      <c r="W34" s="16">
        <f>IF($A34="","",IF(2032&lt;$E34,"",IF($D34="Manuell","",IF(2032&gt;$E34+$F34,IF($D34="Fix",$G34,$G34*(1+$H34)^($F34)),IF($D34="Fix",$G34,$G34*(1+$H34)^(2032-$E34))))))</f>
        <v/>
      </c>
      <c r="X34" s="16">
        <f>IF($A34="","",IF(2033&lt;$E34,"",IF($D34="Manuell","",IF(2033&gt;$E34+$F34,IF($D34="Fix",$G34,$G34*(1+$H34)^($F34)),IF($D34="Fix",$G34,$G34*(1+$H34)^(2033-$E34))))))</f>
        <v/>
      </c>
      <c r="Y34" s="16">
        <f>IF($A34="","",IF(2034&lt;$E34,"",IF($D34="Manuell","",IF(2034&gt;$E34+$F34,IF($D34="Fix",$G34,$G34*(1+$H34)^($F34)),IF($D34="Fix",$G34,$G34*(1+$H34)^(2034-$E34))))))</f>
        <v/>
      </c>
      <c r="Z34" s="16">
        <f>IF($A34="","",IF(2035&lt;$E34,"",IF($D34="Manuell","",IF(2035&gt;$E34+$F34,IF($D34="Fix",$G34,$G34*(1+$H34)^($F34)),IF($D34="Fix",$G34,$G34*(1+$H34)^(2035-$E34))))))</f>
        <v/>
      </c>
      <c r="AA34" s="16">
        <f>IF($A34="","",IF(2036&lt;$E34,"",IF($D34="Manuell","",IF(2036&gt;$E34+$F34,IF($D34="Fix",$G34,$G34*(1+$H34)^($F34)),IF($D34="Fix",$G34,$G34*(1+$H34)^(2036-$E34))))))</f>
        <v/>
      </c>
      <c r="AB34" s="16">
        <f>IF($A34="","",IF(2037&lt;$E34,"",IF($D34="Manuell","",IF(2037&gt;$E34+$F34,IF($D34="Fix",$G34,$G34*(1+$H34)^($F34)),IF($D34="Fix",$G34,$G34*(1+$H34)^(2037-$E34))))))</f>
        <v/>
      </c>
      <c r="AC34" s="16">
        <f>IF($A34="","",IF(2038&lt;$E34,"",IF($D34="Manuell","",IF(2038&gt;$E34+$F34,IF($D34="Fix",$G34,$G34*(1+$H34)^($F34)),IF($D34="Fix",$G34,$G34*(1+$H34)^(2038-$E34))))))</f>
        <v/>
      </c>
      <c r="AD34" s="16">
        <f>IF($A34="","",IF(2039&lt;$E34,"",IF($D34="Manuell","",IF(2039&gt;$E34+$F34,IF($D34="Fix",$G34,$G34*(1+$H34)^($F34)),IF($D34="Fix",$G34,$G34*(1+$H34)^(2039-$E34))))))</f>
        <v/>
      </c>
      <c r="AE34" s="16">
        <f>IF($A34="","",IF(2040&lt;$E34,"",IF($D34="Manuell","",IF(2040&gt;$E34+$F34,IF($D34="Fix",$G34,$G34*(1+$H34)^($F34)),IF($D34="Fix",$G34,$G34*(1+$H34)^(2040-$E34))))))</f>
        <v/>
      </c>
      <c r="AF34" s="16">
        <f>IF($A34="","",IF(2041&lt;$E34,"",IF($D34="Manuell","",IF(2041&gt;$E34+$F34,IF($D34="Fix",$G34,$G34*(1+$H34)^($F34)),IF($D34="Fix",$G34,$G34*(1+$H34)^(2041-$E34))))))</f>
        <v/>
      </c>
      <c r="AG34" s="16">
        <f>IF($A34="","",IF(2042&lt;$E34,"",IF($D34="Manuell","",IF(2042&gt;$E34+$F34,IF($D34="Fix",$G34,$G34*(1+$H34)^($F34)),IF($D34="Fix",$G34,$G34*(1+$H34)^(2042-$E34))))))</f>
        <v/>
      </c>
      <c r="AH34" s="16">
        <f>IF($A34="","",IF(2043&lt;$E34,"",IF($D34="Manuell","",IF(2043&gt;$E34+$F34,IF($D34="Fix",$G34,$G34*(1+$H34)^($F34)),IF($D34="Fix",$G34,$G34*(1+$H34)^(2043-$E34))))))</f>
        <v/>
      </c>
      <c r="AI34" s="16">
        <f>IF($A34="","",IF(2044&lt;$E34,"",IF($D34="Manuell","",IF(2044&gt;$E34+$F34,IF($D34="Fix",$G34,$G34*(1+$H34)^($F34)),IF($D34="Fix",$G34,$G34*(1+$H34)^(2044-$E34))))))</f>
        <v/>
      </c>
      <c r="AJ34" s="16">
        <f>IF($A34="","",IF(2045&lt;$E34,"",IF($D34="Manuell","",IF(2045&gt;$E34+$F34,IF($D34="Fix",$G34,$G34*(1+$H34)^($F34)),IF($D34="Fix",$G34,$G34*(1+$H34)^(2045-$E34))))))</f>
        <v/>
      </c>
      <c r="AK34" s="16">
        <f>IF($A34="","",IF(2046&lt;$E34,"",IF($D34="Manuell","",IF(2046&gt;$E34+$F34,IF($D34="Fix",$G34,$G34*(1+$H34)^($F34)),IF($D34="Fix",$G34,$G34*(1+$H34)^(2046-$E34))))))</f>
        <v/>
      </c>
      <c r="AL34" s="16">
        <f>IF($A34="","",IF(2047&lt;$E34,"",IF($D34="Manuell","",IF(2047&gt;$E34+$F34,IF($D34="Fix",$G34,$G34*(1+$H34)^($F34)),IF($D34="Fix",$G34,$G34*(1+$H34)^(2047-$E34))))))</f>
        <v/>
      </c>
      <c r="AM34" s="16">
        <f>IF($A34="","",IF(2048&lt;$E34,"",IF($D34="Manuell","",IF(2048&gt;$E34+$F34,IF($D34="Fix",$G34,$G34*(1+$H34)^($F34)),IF($D34="Fix",$G34,$G34*(1+$H34)^(2048-$E34))))))</f>
        <v/>
      </c>
      <c r="AN34" s="16">
        <f>IF($A34="","",IF(2049&lt;$E34,"",IF($D34="Manuell","",IF(2049&gt;$E34+$F34,IF($D34="Fix",$G34,$G34*(1+$H34)^($F34)),IF($D34="Fix",$G34,$G34*(1+$H34)^(2049-$E34))))))</f>
        <v/>
      </c>
      <c r="AO34" s="16">
        <f>IF($A34="","",IF(2050&lt;$E34,"",IF($D34="Manuell","",IF(2050&gt;$E34+$F34,IF($D34="Fix",$G34,$G34*(1+$H34)^($F34)),IF($D34="Fix",$G34,$G34*(1+$H34)^(2050-$E34))))))</f>
        <v/>
      </c>
      <c r="AP34" s="16">
        <f>IF($A34="","",IF(2051&lt;$E34,"",IF($D34="Manuell","",IF(2051&gt;$E34+$F34,IF($D34="Fix",$G34,$G34*(1+$H34)^($F34)),IF($D34="Fix",$G34,$G34*(1+$H34)^(2051-$E34))))))</f>
        <v/>
      </c>
      <c r="AQ34" s="16">
        <f>IF($A34="","",IF(2052&lt;$E34,"",IF($D34="Manuell","",IF(2052&gt;$E34+$F34,IF($D34="Fix",$G34,$G34*(1+$H34)^($F34)),IF($D34="Fix",$G34,$G34*(1+$H34)^(2052-$E34))))))</f>
        <v/>
      </c>
      <c r="AR34" s="16">
        <f>IF($A34="","",IF(2053&lt;$E34,"",IF($D34="Manuell","",IF(2053&gt;$E34+$F34,IF($D34="Fix",$G34,$G34*(1+$H34)^($F34)),IF($D34="Fix",$G34,$G34*(1+$H34)^(2053-$E34))))))</f>
        <v/>
      </c>
      <c r="AS34" s="16">
        <f>IF($A34="","",IF(2054&lt;$E34,"",IF($D34="Manuell","",IF(2054&gt;$E34+$F34,IF($D34="Fix",$G34,$G34*(1+$H34)^($F34)),IF($D34="Fix",$G34,$G34*(1+$H34)^(2054-$E34))))))</f>
        <v/>
      </c>
      <c r="AT34" s="16">
        <f>IF($A34="","",IF(2055&lt;$E34,"",IF($D34="Manuell","",IF(2055&gt;$E34+$F34,IF($D34="Fix",$G34,$G34*(1+$H34)^($F34)),IF($D34="Fix",$G34,$G34*(1+$H34)^(2055-$E34))))))</f>
        <v/>
      </c>
    </row>
    <row r="35">
      <c r="A35" s="14" t="inlineStr"/>
      <c r="B35" s="14" t="inlineStr"/>
      <c r="C35" s="14" t="inlineStr"/>
      <c r="D35" s="14" t="inlineStr"/>
      <c r="E35" s="11" t="inlineStr"/>
      <c r="F35" s="11" t="inlineStr"/>
      <c r="G35" s="15" t="inlineStr"/>
      <c r="H35" s="15" t="inlineStr"/>
      <c r="I35" s="16">
        <f>IF($A35="","",IF(2018&lt;$E35,"",IF($D35="Manuell","",IF(2018&gt;$E35+$F35,IF($D35="Fix",$G35,$G35*(1+$H35)^($F35)),IF($D35="Fix",$G35,$G35*(1+$H35)^(2018-$E35))))))</f>
        <v/>
      </c>
      <c r="J35" s="16">
        <f>IF($A35="","",IF(2019&lt;$E35,"",IF($D35="Manuell","",IF(2019&gt;$E35+$F35,IF($D35="Fix",$G35,$G35*(1+$H35)^($F35)),IF($D35="Fix",$G35,$G35*(1+$H35)^(2019-$E35))))))</f>
        <v/>
      </c>
      <c r="K35" s="16">
        <f>IF($A35="","",IF(2020&lt;$E35,"",IF($D35="Manuell","",IF(2020&gt;$E35+$F35,IF($D35="Fix",$G35,$G35*(1+$H35)^($F35)),IF($D35="Fix",$G35,$G35*(1+$H35)^(2020-$E35))))))</f>
        <v/>
      </c>
      <c r="L35" s="16">
        <f>IF($A35="","",IF(2021&lt;$E35,"",IF($D35="Manuell","",IF(2021&gt;$E35+$F35,IF($D35="Fix",$G35,$G35*(1+$H35)^($F35)),IF($D35="Fix",$G35,$G35*(1+$H35)^(2021-$E35))))))</f>
        <v/>
      </c>
      <c r="M35" s="16">
        <f>IF($A35="","",IF(2022&lt;$E35,"",IF($D35="Manuell","",IF(2022&gt;$E35+$F35,IF($D35="Fix",$G35,$G35*(1+$H35)^($F35)),IF($D35="Fix",$G35,$G35*(1+$H35)^(2022-$E35))))))</f>
        <v/>
      </c>
      <c r="N35" s="16">
        <f>IF($A35="","",IF(2023&lt;$E35,"",IF($D35="Manuell","",IF(2023&gt;$E35+$F35,IF($D35="Fix",$G35,$G35*(1+$H35)^($F35)),IF($D35="Fix",$G35,$G35*(1+$H35)^(2023-$E35))))))</f>
        <v/>
      </c>
      <c r="O35" s="16">
        <f>IF($A35="","",IF(2024&lt;$E35,"",IF($D35="Manuell","",IF(2024&gt;$E35+$F35,IF($D35="Fix",$G35,$G35*(1+$H35)^($F35)),IF($D35="Fix",$G35,$G35*(1+$H35)^(2024-$E35))))))</f>
        <v/>
      </c>
      <c r="P35" s="16">
        <f>IF($A35="","",IF(2025&lt;$E35,"",IF($D35="Manuell","",IF(2025&gt;$E35+$F35,IF($D35="Fix",$G35,$G35*(1+$H35)^($F35)),IF($D35="Fix",$G35,$G35*(1+$H35)^(2025-$E35))))))</f>
        <v/>
      </c>
      <c r="Q35" s="16">
        <f>IF($A35="","",IF(2026&lt;$E35,"",IF($D35="Manuell","",IF(2026&gt;$E35+$F35,IF($D35="Fix",$G35,$G35*(1+$H35)^($F35)),IF($D35="Fix",$G35,$G35*(1+$H35)^(2026-$E35))))))</f>
        <v/>
      </c>
      <c r="R35" s="16">
        <f>IF($A35="","",IF(2027&lt;$E35,"",IF($D35="Manuell","",IF(2027&gt;$E35+$F35,IF($D35="Fix",$G35,$G35*(1+$H35)^($F35)),IF($D35="Fix",$G35,$G35*(1+$H35)^(2027-$E35))))))</f>
        <v/>
      </c>
      <c r="S35" s="16">
        <f>IF($A35="","",IF(2028&lt;$E35,"",IF($D35="Manuell","",IF(2028&gt;$E35+$F35,IF($D35="Fix",$G35,$G35*(1+$H35)^($F35)),IF($D35="Fix",$G35,$G35*(1+$H35)^(2028-$E35))))))</f>
        <v/>
      </c>
      <c r="T35" s="16">
        <f>IF($A35="","",IF(2029&lt;$E35,"",IF($D35="Manuell","",IF(2029&gt;$E35+$F35,IF($D35="Fix",$G35,$G35*(1+$H35)^($F35)),IF($D35="Fix",$G35,$G35*(1+$H35)^(2029-$E35))))))</f>
        <v/>
      </c>
      <c r="U35" s="16">
        <f>IF($A35="","",IF(2030&lt;$E35,"",IF($D35="Manuell","",IF(2030&gt;$E35+$F35,IF($D35="Fix",$G35,$G35*(1+$H35)^($F35)),IF($D35="Fix",$G35,$G35*(1+$H35)^(2030-$E35))))))</f>
        <v/>
      </c>
      <c r="V35" s="16">
        <f>IF($A35="","",IF(2031&lt;$E35,"",IF($D35="Manuell","",IF(2031&gt;$E35+$F35,IF($D35="Fix",$G35,$G35*(1+$H35)^($F35)),IF($D35="Fix",$G35,$G35*(1+$H35)^(2031-$E35))))))</f>
        <v/>
      </c>
      <c r="W35" s="16">
        <f>IF($A35="","",IF(2032&lt;$E35,"",IF($D35="Manuell","",IF(2032&gt;$E35+$F35,IF($D35="Fix",$G35,$G35*(1+$H35)^($F35)),IF($D35="Fix",$G35,$G35*(1+$H35)^(2032-$E35))))))</f>
        <v/>
      </c>
      <c r="X35" s="16">
        <f>IF($A35="","",IF(2033&lt;$E35,"",IF($D35="Manuell","",IF(2033&gt;$E35+$F35,IF($D35="Fix",$G35,$G35*(1+$H35)^($F35)),IF($D35="Fix",$G35,$G35*(1+$H35)^(2033-$E35))))))</f>
        <v/>
      </c>
      <c r="Y35" s="16">
        <f>IF($A35="","",IF(2034&lt;$E35,"",IF($D35="Manuell","",IF(2034&gt;$E35+$F35,IF($D35="Fix",$G35,$G35*(1+$H35)^($F35)),IF($D35="Fix",$G35,$G35*(1+$H35)^(2034-$E35))))))</f>
        <v/>
      </c>
      <c r="Z35" s="16">
        <f>IF($A35="","",IF(2035&lt;$E35,"",IF($D35="Manuell","",IF(2035&gt;$E35+$F35,IF($D35="Fix",$G35,$G35*(1+$H35)^($F35)),IF($D35="Fix",$G35,$G35*(1+$H35)^(2035-$E35))))))</f>
        <v/>
      </c>
      <c r="AA35" s="16">
        <f>IF($A35="","",IF(2036&lt;$E35,"",IF($D35="Manuell","",IF(2036&gt;$E35+$F35,IF($D35="Fix",$G35,$G35*(1+$H35)^($F35)),IF($D35="Fix",$G35,$G35*(1+$H35)^(2036-$E35))))))</f>
        <v/>
      </c>
      <c r="AB35" s="16">
        <f>IF($A35="","",IF(2037&lt;$E35,"",IF($D35="Manuell","",IF(2037&gt;$E35+$F35,IF($D35="Fix",$G35,$G35*(1+$H35)^($F35)),IF($D35="Fix",$G35,$G35*(1+$H35)^(2037-$E35))))))</f>
        <v/>
      </c>
      <c r="AC35" s="16">
        <f>IF($A35="","",IF(2038&lt;$E35,"",IF($D35="Manuell","",IF(2038&gt;$E35+$F35,IF($D35="Fix",$G35,$G35*(1+$H35)^($F35)),IF($D35="Fix",$G35,$G35*(1+$H35)^(2038-$E35))))))</f>
        <v/>
      </c>
      <c r="AD35" s="16">
        <f>IF($A35="","",IF(2039&lt;$E35,"",IF($D35="Manuell","",IF(2039&gt;$E35+$F35,IF($D35="Fix",$G35,$G35*(1+$H35)^($F35)),IF($D35="Fix",$G35,$G35*(1+$H35)^(2039-$E35))))))</f>
        <v/>
      </c>
      <c r="AE35" s="16">
        <f>IF($A35="","",IF(2040&lt;$E35,"",IF($D35="Manuell","",IF(2040&gt;$E35+$F35,IF($D35="Fix",$G35,$G35*(1+$H35)^($F35)),IF($D35="Fix",$G35,$G35*(1+$H35)^(2040-$E35))))))</f>
        <v/>
      </c>
      <c r="AF35" s="16">
        <f>IF($A35="","",IF(2041&lt;$E35,"",IF($D35="Manuell","",IF(2041&gt;$E35+$F35,IF($D35="Fix",$G35,$G35*(1+$H35)^($F35)),IF($D35="Fix",$G35,$G35*(1+$H35)^(2041-$E35))))))</f>
        <v/>
      </c>
      <c r="AG35" s="16">
        <f>IF($A35="","",IF(2042&lt;$E35,"",IF($D35="Manuell","",IF(2042&gt;$E35+$F35,IF($D35="Fix",$G35,$G35*(1+$H35)^($F35)),IF($D35="Fix",$G35,$G35*(1+$H35)^(2042-$E35))))))</f>
        <v/>
      </c>
      <c r="AH35" s="16">
        <f>IF($A35="","",IF(2043&lt;$E35,"",IF($D35="Manuell","",IF(2043&gt;$E35+$F35,IF($D35="Fix",$G35,$G35*(1+$H35)^($F35)),IF($D35="Fix",$G35,$G35*(1+$H35)^(2043-$E35))))))</f>
        <v/>
      </c>
      <c r="AI35" s="16">
        <f>IF($A35="","",IF(2044&lt;$E35,"",IF($D35="Manuell","",IF(2044&gt;$E35+$F35,IF($D35="Fix",$G35,$G35*(1+$H35)^($F35)),IF($D35="Fix",$G35,$G35*(1+$H35)^(2044-$E35))))))</f>
        <v/>
      </c>
      <c r="AJ35" s="16">
        <f>IF($A35="","",IF(2045&lt;$E35,"",IF($D35="Manuell","",IF(2045&gt;$E35+$F35,IF($D35="Fix",$G35,$G35*(1+$H35)^($F35)),IF($D35="Fix",$G35,$G35*(1+$H35)^(2045-$E35))))))</f>
        <v/>
      </c>
      <c r="AK35" s="16">
        <f>IF($A35="","",IF(2046&lt;$E35,"",IF($D35="Manuell","",IF(2046&gt;$E35+$F35,IF($D35="Fix",$G35,$G35*(1+$H35)^($F35)),IF($D35="Fix",$G35,$G35*(1+$H35)^(2046-$E35))))))</f>
        <v/>
      </c>
      <c r="AL35" s="16">
        <f>IF($A35="","",IF(2047&lt;$E35,"",IF($D35="Manuell","",IF(2047&gt;$E35+$F35,IF($D35="Fix",$G35,$G35*(1+$H35)^($F35)),IF($D35="Fix",$G35,$G35*(1+$H35)^(2047-$E35))))))</f>
        <v/>
      </c>
      <c r="AM35" s="16">
        <f>IF($A35="","",IF(2048&lt;$E35,"",IF($D35="Manuell","",IF(2048&gt;$E35+$F35,IF($D35="Fix",$G35,$G35*(1+$H35)^($F35)),IF($D35="Fix",$G35,$G35*(1+$H35)^(2048-$E35))))))</f>
        <v/>
      </c>
      <c r="AN35" s="16">
        <f>IF($A35="","",IF(2049&lt;$E35,"",IF($D35="Manuell","",IF(2049&gt;$E35+$F35,IF($D35="Fix",$G35,$G35*(1+$H35)^($F35)),IF($D35="Fix",$G35,$G35*(1+$H35)^(2049-$E35))))))</f>
        <v/>
      </c>
      <c r="AO35" s="16">
        <f>IF($A35="","",IF(2050&lt;$E35,"",IF($D35="Manuell","",IF(2050&gt;$E35+$F35,IF($D35="Fix",$G35,$G35*(1+$H35)^($F35)),IF($D35="Fix",$G35,$G35*(1+$H35)^(2050-$E35))))))</f>
        <v/>
      </c>
      <c r="AP35" s="16">
        <f>IF($A35="","",IF(2051&lt;$E35,"",IF($D35="Manuell","",IF(2051&gt;$E35+$F35,IF($D35="Fix",$G35,$G35*(1+$H35)^($F35)),IF($D35="Fix",$G35,$G35*(1+$H35)^(2051-$E35))))))</f>
        <v/>
      </c>
      <c r="AQ35" s="16">
        <f>IF($A35="","",IF(2052&lt;$E35,"",IF($D35="Manuell","",IF(2052&gt;$E35+$F35,IF($D35="Fix",$G35,$G35*(1+$H35)^($F35)),IF($D35="Fix",$G35,$G35*(1+$H35)^(2052-$E35))))))</f>
        <v/>
      </c>
      <c r="AR35" s="16">
        <f>IF($A35="","",IF(2053&lt;$E35,"",IF($D35="Manuell","",IF(2053&gt;$E35+$F35,IF($D35="Fix",$G35,$G35*(1+$H35)^($F35)),IF($D35="Fix",$G35,$G35*(1+$H35)^(2053-$E35))))))</f>
        <v/>
      </c>
      <c r="AS35" s="16">
        <f>IF($A35="","",IF(2054&lt;$E35,"",IF($D35="Manuell","",IF(2054&gt;$E35+$F35,IF($D35="Fix",$G35,$G35*(1+$H35)^($F35)),IF($D35="Fix",$G35,$G35*(1+$H35)^(2054-$E35))))))</f>
        <v/>
      </c>
      <c r="AT35" s="16">
        <f>IF($A35="","",IF(2055&lt;$E35,"",IF($D35="Manuell","",IF(2055&gt;$E35+$F35,IF($D35="Fix",$G35,$G35*(1+$H35)^($F35)),IF($D35="Fix",$G35,$G35*(1+$H35)^(2055-$E35))))))</f>
        <v/>
      </c>
    </row>
    <row r="36">
      <c r="A36" s="14" t="inlineStr"/>
      <c r="B36" s="14" t="inlineStr"/>
      <c r="C36" s="14" t="inlineStr"/>
      <c r="D36" s="14" t="inlineStr"/>
      <c r="E36" s="11" t="inlineStr"/>
      <c r="F36" s="11" t="inlineStr"/>
      <c r="G36" s="15" t="inlineStr"/>
      <c r="H36" s="15" t="inlineStr"/>
      <c r="I36" s="16">
        <f>IF($A36="","",IF(2018&lt;$E36,"",IF($D36="Manuell","",IF(2018&gt;$E36+$F36,IF($D36="Fix",$G36,$G36*(1+$H36)^($F36)),IF($D36="Fix",$G36,$G36*(1+$H36)^(2018-$E36))))))</f>
        <v/>
      </c>
      <c r="J36" s="16">
        <f>IF($A36="","",IF(2019&lt;$E36,"",IF($D36="Manuell","",IF(2019&gt;$E36+$F36,IF($D36="Fix",$G36,$G36*(1+$H36)^($F36)),IF($D36="Fix",$G36,$G36*(1+$H36)^(2019-$E36))))))</f>
        <v/>
      </c>
      <c r="K36" s="16">
        <f>IF($A36="","",IF(2020&lt;$E36,"",IF($D36="Manuell","",IF(2020&gt;$E36+$F36,IF($D36="Fix",$G36,$G36*(1+$H36)^($F36)),IF($D36="Fix",$G36,$G36*(1+$H36)^(2020-$E36))))))</f>
        <v/>
      </c>
      <c r="L36" s="16">
        <f>IF($A36="","",IF(2021&lt;$E36,"",IF($D36="Manuell","",IF(2021&gt;$E36+$F36,IF($D36="Fix",$G36,$G36*(1+$H36)^($F36)),IF($D36="Fix",$G36,$G36*(1+$H36)^(2021-$E36))))))</f>
        <v/>
      </c>
      <c r="M36" s="16">
        <f>IF($A36="","",IF(2022&lt;$E36,"",IF($D36="Manuell","",IF(2022&gt;$E36+$F36,IF($D36="Fix",$G36,$G36*(1+$H36)^($F36)),IF($D36="Fix",$G36,$G36*(1+$H36)^(2022-$E36))))))</f>
        <v/>
      </c>
      <c r="N36" s="16">
        <f>IF($A36="","",IF(2023&lt;$E36,"",IF($D36="Manuell","",IF(2023&gt;$E36+$F36,IF($D36="Fix",$G36,$G36*(1+$H36)^($F36)),IF($D36="Fix",$G36,$G36*(1+$H36)^(2023-$E36))))))</f>
        <v/>
      </c>
      <c r="O36" s="16">
        <f>IF($A36="","",IF(2024&lt;$E36,"",IF($D36="Manuell","",IF(2024&gt;$E36+$F36,IF($D36="Fix",$G36,$G36*(1+$H36)^($F36)),IF($D36="Fix",$G36,$G36*(1+$H36)^(2024-$E36))))))</f>
        <v/>
      </c>
      <c r="P36" s="16">
        <f>IF($A36="","",IF(2025&lt;$E36,"",IF($D36="Manuell","",IF(2025&gt;$E36+$F36,IF($D36="Fix",$G36,$G36*(1+$H36)^($F36)),IF($D36="Fix",$G36,$G36*(1+$H36)^(2025-$E36))))))</f>
        <v/>
      </c>
      <c r="Q36" s="16">
        <f>IF($A36="","",IF(2026&lt;$E36,"",IF($D36="Manuell","",IF(2026&gt;$E36+$F36,IF($D36="Fix",$G36,$G36*(1+$H36)^($F36)),IF($D36="Fix",$G36,$G36*(1+$H36)^(2026-$E36))))))</f>
        <v/>
      </c>
      <c r="R36" s="16">
        <f>IF($A36="","",IF(2027&lt;$E36,"",IF($D36="Manuell","",IF(2027&gt;$E36+$F36,IF($D36="Fix",$G36,$G36*(1+$H36)^($F36)),IF($D36="Fix",$G36,$G36*(1+$H36)^(2027-$E36))))))</f>
        <v/>
      </c>
      <c r="S36" s="16">
        <f>IF($A36="","",IF(2028&lt;$E36,"",IF($D36="Manuell","",IF(2028&gt;$E36+$F36,IF($D36="Fix",$G36,$G36*(1+$H36)^($F36)),IF($D36="Fix",$G36,$G36*(1+$H36)^(2028-$E36))))))</f>
        <v/>
      </c>
      <c r="T36" s="16">
        <f>IF($A36="","",IF(2029&lt;$E36,"",IF($D36="Manuell","",IF(2029&gt;$E36+$F36,IF($D36="Fix",$G36,$G36*(1+$H36)^($F36)),IF($D36="Fix",$G36,$G36*(1+$H36)^(2029-$E36))))))</f>
        <v/>
      </c>
      <c r="U36" s="16">
        <f>IF($A36="","",IF(2030&lt;$E36,"",IF($D36="Manuell","",IF(2030&gt;$E36+$F36,IF($D36="Fix",$G36,$G36*(1+$H36)^($F36)),IF($D36="Fix",$G36,$G36*(1+$H36)^(2030-$E36))))))</f>
        <v/>
      </c>
      <c r="V36" s="16">
        <f>IF($A36="","",IF(2031&lt;$E36,"",IF($D36="Manuell","",IF(2031&gt;$E36+$F36,IF($D36="Fix",$G36,$G36*(1+$H36)^($F36)),IF($D36="Fix",$G36,$G36*(1+$H36)^(2031-$E36))))))</f>
        <v/>
      </c>
      <c r="W36" s="16">
        <f>IF($A36="","",IF(2032&lt;$E36,"",IF($D36="Manuell","",IF(2032&gt;$E36+$F36,IF($D36="Fix",$G36,$G36*(1+$H36)^($F36)),IF($D36="Fix",$G36,$G36*(1+$H36)^(2032-$E36))))))</f>
        <v/>
      </c>
      <c r="X36" s="16">
        <f>IF($A36="","",IF(2033&lt;$E36,"",IF($D36="Manuell","",IF(2033&gt;$E36+$F36,IF($D36="Fix",$G36,$G36*(1+$H36)^($F36)),IF($D36="Fix",$G36,$G36*(1+$H36)^(2033-$E36))))))</f>
        <v/>
      </c>
      <c r="Y36" s="16">
        <f>IF($A36="","",IF(2034&lt;$E36,"",IF($D36="Manuell","",IF(2034&gt;$E36+$F36,IF($D36="Fix",$G36,$G36*(1+$H36)^($F36)),IF($D36="Fix",$G36,$G36*(1+$H36)^(2034-$E36))))))</f>
        <v/>
      </c>
      <c r="Z36" s="16">
        <f>IF($A36="","",IF(2035&lt;$E36,"",IF($D36="Manuell","",IF(2035&gt;$E36+$F36,IF($D36="Fix",$G36,$G36*(1+$H36)^($F36)),IF($D36="Fix",$G36,$G36*(1+$H36)^(2035-$E36))))))</f>
        <v/>
      </c>
      <c r="AA36" s="16">
        <f>IF($A36="","",IF(2036&lt;$E36,"",IF($D36="Manuell","",IF(2036&gt;$E36+$F36,IF($D36="Fix",$G36,$G36*(1+$H36)^($F36)),IF($D36="Fix",$G36,$G36*(1+$H36)^(2036-$E36))))))</f>
        <v/>
      </c>
      <c r="AB36" s="16">
        <f>IF($A36="","",IF(2037&lt;$E36,"",IF($D36="Manuell","",IF(2037&gt;$E36+$F36,IF($D36="Fix",$G36,$G36*(1+$H36)^($F36)),IF($D36="Fix",$G36,$G36*(1+$H36)^(2037-$E36))))))</f>
        <v/>
      </c>
      <c r="AC36" s="16">
        <f>IF($A36="","",IF(2038&lt;$E36,"",IF($D36="Manuell","",IF(2038&gt;$E36+$F36,IF($D36="Fix",$G36,$G36*(1+$H36)^($F36)),IF($D36="Fix",$G36,$G36*(1+$H36)^(2038-$E36))))))</f>
        <v/>
      </c>
      <c r="AD36" s="16">
        <f>IF($A36="","",IF(2039&lt;$E36,"",IF($D36="Manuell","",IF(2039&gt;$E36+$F36,IF($D36="Fix",$G36,$G36*(1+$H36)^($F36)),IF($D36="Fix",$G36,$G36*(1+$H36)^(2039-$E36))))))</f>
        <v/>
      </c>
      <c r="AE36" s="16">
        <f>IF($A36="","",IF(2040&lt;$E36,"",IF($D36="Manuell","",IF(2040&gt;$E36+$F36,IF($D36="Fix",$G36,$G36*(1+$H36)^($F36)),IF($D36="Fix",$G36,$G36*(1+$H36)^(2040-$E36))))))</f>
        <v/>
      </c>
      <c r="AF36" s="16">
        <f>IF($A36="","",IF(2041&lt;$E36,"",IF($D36="Manuell","",IF(2041&gt;$E36+$F36,IF($D36="Fix",$G36,$G36*(1+$H36)^($F36)),IF($D36="Fix",$G36,$G36*(1+$H36)^(2041-$E36))))))</f>
        <v/>
      </c>
      <c r="AG36" s="16">
        <f>IF($A36="","",IF(2042&lt;$E36,"",IF($D36="Manuell","",IF(2042&gt;$E36+$F36,IF($D36="Fix",$G36,$G36*(1+$H36)^($F36)),IF($D36="Fix",$G36,$G36*(1+$H36)^(2042-$E36))))))</f>
        <v/>
      </c>
      <c r="AH36" s="16">
        <f>IF($A36="","",IF(2043&lt;$E36,"",IF($D36="Manuell","",IF(2043&gt;$E36+$F36,IF($D36="Fix",$G36,$G36*(1+$H36)^($F36)),IF($D36="Fix",$G36,$G36*(1+$H36)^(2043-$E36))))))</f>
        <v/>
      </c>
      <c r="AI36" s="16">
        <f>IF($A36="","",IF(2044&lt;$E36,"",IF($D36="Manuell","",IF(2044&gt;$E36+$F36,IF($D36="Fix",$G36,$G36*(1+$H36)^($F36)),IF($D36="Fix",$G36,$G36*(1+$H36)^(2044-$E36))))))</f>
        <v/>
      </c>
      <c r="AJ36" s="16">
        <f>IF($A36="","",IF(2045&lt;$E36,"",IF($D36="Manuell","",IF(2045&gt;$E36+$F36,IF($D36="Fix",$G36,$G36*(1+$H36)^($F36)),IF($D36="Fix",$G36,$G36*(1+$H36)^(2045-$E36))))))</f>
        <v/>
      </c>
      <c r="AK36" s="16">
        <f>IF($A36="","",IF(2046&lt;$E36,"",IF($D36="Manuell","",IF(2046&gt;$E36+$F36,IF($D36="Fix",$G36,$G36*(1+$H36)^($F36)),IF($D36="Fix",$G36,$G36*(1+$H36)^(2046-$E36))))))</f>
        <v/>
      </c>
      <c r="AL36" s="16">
        <f>IF($A36="","",IF(2047&lt;$E36,"",IF($D36="Manuell","",IF(2047&gt;$E36+$F36,IF($D36="Fix",$G36,$G36*(1+$H36)^($F36)),IF($D36="Fix",$G36,$G36*(1+$H36)^(2047-$E36))))))</f>
        <v/>
      </c>
      <c r="AM36" s="16">
        <f>IF($A36="","",IF(2048&lt;$E36,"",IF($D36="Manuell","",IF(2048&gt;$E36+$F36,IF($D36="Fix",$G36,$G36*(1+$H36)^($F36)),IF($D36="Fix",$G36,$G36*(1+$H36)^(2048-$E36))))))</f>
        <v/>
      </c>
      <c r="AN36" s="16">
        <f>IF($A36="","",IF(2049&lt;$E36,"",IF($D36="Manuell","",IF(2049&gt;$E36+$F36,IF($D36="Fix",$G36,$G36*(1+$H36)^($F36)),IF($D36="Fix",$G36,$G36*(1+$H36)^(2049-$E36))))))</f>
        <v/>
      </c>
      <c r="AO36" s="16">
        <f>IF($A36="","",IF(2050&lt;$E36,"",IF($D36="Manuell","",IF(2050&gt;$E36+$F36,IF($D36="Fix",$G36,$G36*(1+$H36)^($F36)),IF($D36="Fix",$G36,$G36*(1+$H36)^(2050-$E36))))))</f>
        <v/>
      </c>
      <c r="AP36" s="16">
        <f>IF($A36="","",IF(2051&lt;$E36,"",IF($D36="Manuell","",IF(2051&gt;$E36+$F36,IF($D36="Fix",$G36,$G36*(1+$H36)^($F36)),IF($D36="Fix",$G36,$G36*(1+$H36)^(2051-$E36))))))</f>
        <v/>
      </c>
      <c r="AQ36" s="16">
        <f>IF($A36="","",IF(2052&lt;$E36,"",IF($D36="Manuell","",IF(2052&gt;$E36+$F36,IF($D36="Fix",$G36,$G36*(1+$H36)^($F36)),IF($D36="Fix",$G36,$G36*(1+$H36)^(2052-$E36))))))</f>
        <v/>
      </c>
      <c r="AR36" s="16">
        <f>IF($A36="","",IF(2053&lt;$E36,"",IF($D36="Manuell","",IF(2053&gt;$E36+$F36,IF($D36="Fix",$G36,$G36*(1+$H36)^($F36)),IF($D36="Fix",$G36,$G36*(1+$H36)^(2053-$E36))))))</f>
        <v/>
      </c>
      <c r="AS36" s="16">
        <f>IF($A36="","",IF(2054&lt;$E36,"",IF($D36="Manuell","",IF(2054&gt;$E36+$F36,IF($D36="Fix",$G36,$G36*(1+$H36)^($F36)),IF($D36="Fix",$G36,$G36*(1+$H36)^(2054-$E36))))))</f>
        <v/>
      </c>
      <c r="AT36" s="16">
        <f>IF($A36="","",IF(2055&lt;$E36,"",IF($D36="Manuell","",IF(2055&gt;$E36+$F36,IF($D36="Fix",$G36,$G36*(1+$H36)^($F36)),IF($D36="Fix",$G36,$G36*(1+$H36)^(2055-$E36))))))</f>
        <v/>
      </c>
    </row>
    <row r="37">
      <c r="A37" s="14" t="inlineStr"/>
      <c r="B37" s="14" t="inlineStr"/>
      <c r="C37" s="14" t="inlineStr"/>
      <c r="D37" s="14" t="inlineStr"/>
      <c r="E37" s="11" t="inlineStr"/>
      <c r="F37" s="11" t="inlineStr"/>
      <c r="G37" s="15" t="inlineStr"/>
      <c r="H37" s="15" t="inlineStr"/>
      <c r="I37" s="16">
        <f>IF($A37="","",IF(2018&lt;$E37,"",IF($D37="Manuell","",IF(2018&gt;$E37+$F37,IF($D37="Fix",$G37,$G37*(1+$H37)^($F37)),IF($D37="Fix",$G37,$G37*(1+$H37)^(2018-$E37))))))</f>
        <v/>
      </c>
      <c r="J37" s="16">
        <f>IF($A37="","",IF(2019&lt;$E37,"",IF($D37="Manuell","",IF(2019&gt;$E37+$F37,IF($D37="Fix",$G37,$G37*(1+$H37)^($F37)),IF($D37="Fix",$G37,$G37*(1+$H37)^(2019-$E37))))))</f>
        <v/>
      </c>
      <c r="K37" s="16">
        <f>IF($A37="","",IF(2020&lt;$E37,"",IF($D37="Manuell","",IF(2020&gt;$E37+$F37,IF($D37="Fix",$G37,$G37*(1+$H37)^($F37)),IF($D37="Fix",$G37,$G37*(1+$H37)^(2020-$E37))))))</f>
        <v/>
      </c>
      <c r="L37" s="16">
        <f>IF($A37="","",IF(2021&lt;$E37,"",IF($D37="Manuell","",IF(2021&gt;$E37+$F37,IF($D37="Fix",$G37,$G37*(1+$H37)^($F37)),IF($D37="Fix",$G37,$G37*(1+$H37)^(2021-$E37))))))</f>
        <v/>
      </c>
      <c r="M37" s="16">
        <f>IF($A37="","",IF(2022&lt;$E37,"",IF($D37="Manuell","",IF(2022&gt;$E37+$F37,IF($D37="Fix",$G37,$G37*(1+$H37)^($F37)),IF($D37="Fix",$G37,$G37*(1+$H37)^(2022-$E37))))))</f>
        <v/>
      </c>
      <c r="N37" s="16">
        <f>IF($A37="","",IF(2023&lt;$E37,"",IF($D37="Manuell","",IF(2023&gt;$E37+$F37,IF($D37="Fix",$G37,$G37*(1+$H37)^($F37)),IF($D37="Fix",$G37,$G37*(1+$H37)^(2023-$E37))))))</f>
        <v/>
      </c>
      <c r="O37" s="16">
        <f>IF($A37="","",IF(2024&lt;$E37,"",IF($D37="Manuell","",IF(2024&gt;$E37+$F37,IF($D37="Fix",$G37,$G37*(1+$H37)^($F37)),IF($D37="Fix",$G37,$G37*(1+$H37)^(2024-$E37))))))</f>
        <v/>
      </c>
      <c r="P37" s="16">
        <f>IF($A37="","",IF(2025&lt;$E37,"",IF($D37="Manuell","",IF(2025&gt;$E37+$F37,IF($D37="Fix",$G37,$G37*(1+$H37)^($F37)),IF($D37="Fix",$G37,$G37*(1+$H37)^(2025-$E37))))))</f>
        <v/>
      </c>
      <c r="Q37" s="16">
        <f>IF($A37="","",IF(2026&lt;$E37,"",IF($D37="Manuell","",IF(2026&gt;$E37+$F37,IF($D37="Fix",$G37,$G37*(1+$H37)^($F37)),IF($D37="Fix",$G37,$G37*(1+$H37)^(2026-$E37))))))</f>
        <v/>
      </c>
      <c r="R37" s="16">
        <f>IF($A37="","",IF(2027&lt;$E37,"",IF($D37="Manuell","",IF(2027&gt;$E37+$F37,IF($D37="Fix",$G37,$G37*(1+$H37)^($F37)),IF($D37="Fix",$G37,$G37*(1+$H37)^(2027-$E37))))))</f>
        <v/>
      </c>
      <c r="S37" s="16">
        <f>IF($A37="","",IF(2028&lt;$E37,"",IF($D37="Manuell","",IF(2028&gt;$E37+$F37,IF($D37="Fix",$G37,$G37*(1+$H37)^($F37)),IF($D37="Fix",$G37,$G37*(1+$H37)^(2028-$E37))))))</f>
        <v/>
      </c>
      <c r="T37" s="16">
        <f>IF($A37="","",IF(2029&lt;$E37,"",IF($D37="Manuell","",IF(2029&gt;$E37+$F37,IF($D37="Fix",$G37,$G37*(1+$H37)^($F37)),IF($D37="Fix",$G37,$G37*(1+$H37)^(2029-$E37))))))</f>
        <v/>
      </c>
      <c r="U37" s="16">
        <f>IF($A37="","",IF(2030&lt;$E37,"",IF($D37="Manuell","",IF(2030&gt;$E37+$F37,IF($D37="Fix",$G37,$G37*(1+$H37)^($F37)),IF($D37="Fix",$G37,$G37*(1+$H37)^(2030-$E37))))))</f>
        <v/>
      </c>
      <c r="V37" s="16">
        <f>IF($A37="","",IF(2031&lt;$E37,"",IF($D37="Manuell","",IF(2031&gt;$E37+$F37,IF($D37="Fix",$G37,$G37*(1+$H37)^($F37)),IF($D37="Fix",$G37,$G37*(1+$H37)^(2031-$E37))))))</f>
        <v/>
      </c>
      <c r="W37" s="16">
        <f>IF($A37="","",IF(2032&lt;$E37,"",IF($D37="Manuell","",IF(2032&gt;$E37+$F37,IF($D37="Fix",$G37,$G37*(1+$H37)^($F37)),IF($D37="Fix",$G37,$G37*(1+$H37)^(2032-$E37))))))</f>
        <v/>
      </c>
      <c r="X37" s="16">
        <f>IF($A37="","",IF(2033&lt;$E37,"",IF($D37="Manuell","",IF(2033&gt;$E37+$F37,IF($D37="Fix",$G37,$G37*(1+$H37)^($F37)),IF($D37="Fix",$G37,$G37*(1+$H37)^(2033-$E37))))))</f>
        <v/>
      </c>
      <c r="Y37" s="16">
        <f>IF($A37="","",IF(2034&lt;$E37,"",IF($D37="Manuell","",IF(2034&gt;$E37+$F37,IF($D37="Fix",$G37,$G37*(1+$H37)^($F37)),IF($D37="Fix",$G37,$G37*(1+$H37)^(2034-$E37))))))</f>
        <v/>
      </c>
      <c r="Z37" s="16">
        <f>IF($A37="","",IF(2035&lt;$E37,"",IF($D37="Manuell","",IF(2035&gt;$E37+$F37,IF($D37="Fix",$G37,$G37*(1+$H37)^($F37)),IF($D37="Fix",$G37,$G37*(1+$H37)^(2035-$E37))))))</f>
        <v/>
      </c>
      <c r="AA37" s="16">
        <f>IF($A37="","",IF(2036&lt;$E37,"",IF($D37="Manuell","",IF(2036&gt;$E37+$F37,IF($D37="Fix",$G37,$G37*(1+$H37)^($F37)),IF($D37="Fix",$G37,$G37*(1+$H37)^(2036-$E37))))))</f>
        <v/>
      </c>
      <c r="AB37" s="16">
        <f>IF($A37="","",IF(2037&lt;$E37,"",IF($D37="Manuell","",IF(2037&gt;$E37+$F37,IF($D37="Fix",$G37,$G37*(1+$H37)^($F37)),IF($D37="Fix",$G37,$G37*(1+$H37)^(2037-$E37))))))</f>
        <v/>
      </c>
      <c r="AC37" s="16">
        <f>IF($A37="","",IF(2038&lt;$E37,"",IF($D37="Manuell","",IF(2038&gt;$E37+$F37,IF($D37="Fix",$G37,$G37*(1+$H37)^($F37)),IF($D37="Fix",$G37,$G37*(1+$H37)^(2038-$E37))))))</f>
        <v/>
      </c>
      <c r="AD37" s="16">
        <f>IF($A37="","",IF(2039&lt;$E37,"",IF($D37="Manuell","",IF(2039&gt;$E37+$F37,IF($D37="Fix",$G37,$G37*(1+$H37)^($F37)),IF($D37="Fix",$G37,$G37*(1+$H37)^(2039-$E37))))))</f>
        <v/>
      </c>
      <c r="AE37" s="16">
        <f>IF($A37="","",IF(2040&lt;$E37,"",IF($D37="Manuell","",IF(2040&gt;$E37+$F37,IF($D37="Fix",$G37,$G37*(1+$H37)^($F37)),IF($D37="Fix",$G37,$G37*(1+$H37)^(2040-$E37))))))</f>
        <v/>
      </c>
      <c r="AF37" s="16">
        <f>IF($A37="","",IF(2041&lt;$E37,"",IF($D37="Manuell","",IF(2041&gt;$E37+$F37,IF($D37="Fix",$G37,$G37*(1+$H37)^($F37)),IF($D37="Fix",$G37,$G37*(1+$H37)^(2041-$E37))))))</f>
        <v/>
      </c>
      <c r="AG37" s="16">
        <f>IF($A37="","",IF(2042&lt;$E37,"",IF($D37="Manuell","",IF(2042&gt;$E37+$F37,IF($D37="Fix",$G37,$G37*(1+$H37)^($F37)),IF($D37="Fix",$G37,$G37*(1+$H37)^(2042-$E37))))))</f>
        <v/>
      </c>
      <c r="AH37" s="16">
        <f>IF($A37="","",IF(2043&lt;$E37,"",IF($D37="Manuell","",IF(2043&gt;$E37+$F37,IF($D37="Fix",$G37,$G37*(1+$H37)^($F37)),IF($D37="Fix",$G37,$G37*(1+$H37)^(2043-$E37))))))</f>
        <v/>
      </c>
      <c r="AI37" s="16">
        <f>IF($A37="","",IF(2044&lt;$E37,"",IF($D37="Manuell","",IF(2044&gt;$E37+$F37,IF($D37="Fix",$G37,$G37*(1+$H37)^($F37)),IF($D37="Fix",$G37,$G37*(1+$H37)^(2044-$E37))))))</f>
        <v/>
      </c>
      <c r="AJ37" s="16">
        <f>IF($A37="","",IF(2045&lt;$E37,"",IF($D37="Manuell","",IF(2045&gt;$E37+$F37,IF($D37="Fix",$G37,$G37*(1+$H37)^($F37)),IF($D37="Fix",$G37,$G37*(1+$H37)^(2045-$E37))))))</f>
        <v/>
      </c>
      <c r="AK37" s="16">
        <f>IF($A37="","",IF(2046&lt;$E37,"",IF($D37="Manuell","",IF(2046&gt;$E37+$F37,IF($D37="Fix",$G37,$G37*(1+$H37)^($F37)),IF($D37="Fix",$G37,$G37*(1+$H37)^(2046-$E37))))))</f>
        <v/>
      </c>
      <c r="AL37" s="16">
        <f>IF($A37="","",IF(2047&lt;$E37,"",IF($D37="Manuell","",IF(2047&gt;$E37+$F37,IF($D37="Fix",$G37,$G37*(1+$H37)^($F37)),IF($D37="Fix",$G37,$G37*(1+$H37)^(2047-$E37))))))</f>
        <v/>
      </c>
      <c r="AM37" s="16">
        <f>IF($A37="","",IF(2048&lt;$E37,"",IF($D37="Manuell","",IF(2048&gt;$E37+$F37,IF($D37="Fix",$G37,$G37*(1+$H37)^($F37)),IF($D37="Fix",$G37,$G37*(1+$H37)^(2048-$E37))))))</f>
        <v/>
      </c>
      <c r="AN37" s="16">
        <f>IF($A37="","",IF(2049&lt;$E37,"",IF($D37="Manuell","",IF(2049&gt;$E37+$F37,IF($D37="Fix",$G37,$G37*(1+$H37)^($F37)),IF($D37="Fix",$G37,$G37*(1+$H37)^(2049-$E37))))))</f>
        <v/>
      </c>
      <c r="AO37" s="16">
        <f>IF($A37="","",IF(2050&lt;$E37,"",IF($D37="Manuell","",IF(2050&gt;$E37+$F37,IF($D37="Fix",$G37,$G37*(1+$H37)^($F37)),IF($D37="Fix",$G37,$G37*(1+$H37)^(2050-$E37))))))</f>
        <v/>
      </c>
      <c r="AP37" s="16">
        <f>IF($A37="","",IF(2051&lt;$E37,"",IF($D37="Manuell","",IF(2051&gt;$E37+$F37,IF($D37="Fix",$G37,$G37*(1+$H37)^($F37)),IF($D37="Fix",$G37,$G37*(1+$H37)^(2051-$E37))))))</f>
        <v/>
      </c>
      <c r="AQ37" s="16">
        <f>IF($A37="","",IF(2052&lt;$E37,"",IF($D37="Manuell","",IF(2052&gt;$E37+$F37,IF($D37="Fix",$G37,$G37*(1+$H37)^($F37)),IF($D37="Fix",$G37,$G37*(1+$H37)^(2052-$E37))))))</f>
        <v/>
      </c>
      <c r="AR37" s="16">
        <f>IF($A37="","",IF(2053&lt;$E37,"",IF($D37="Manuell","",IF(2053&gt;$E37+$F37,IF($D37="Fix",$G37,$G37*(1+$H37)^($F37)),IF($D37="Fix",$G37,$G37*(1+$H37)^(2053-$E37))))))</f>
        <v/>
      </c>
      <c r="AS37" s="16">
        <f>IF($A37="","",IF(2054&lt;$E37,"",IF($D37="Manuell","",IF(2054&gt;$E37+$F37,IF($D37="Fix",$G37,$G37*(1+$H37)^($F37)),IF($D37="Fix",$G37,$G37*(1+$H37)^(2054-$E37))))))</f>
        <v/>
      </c>
      <c r="AT37" s="16">
        <f>IF($A37="","",IF(2055&lt;$E37,"",IF($D37="Manuell","",IF(2055&gt;$E37+$F37,IF($D37="Fix",$G37,$G37*(1+$H37)^($F37)),IF($D37="Fix",$G37,$G37*(1+$H37)^(2055-$E37))))))</f>
        <v/>
      </c>
    </row>
    <row r="38">
      <c r="A38" s="14" t="inlineStr"/>
      <c r="B38" s="14" t="inlineStr"/>
      <c r="C38" s="14" t="inlineStr"/>
      <c r="D38" s="14" t="inlineStr"/>
      <c r="E38" s="11" t="inlineStr"/>
      <c r="F38" s="11" t="inlineStr"/>
      <c r="G38" s="15" t="inlineStr"/>
      <c r="H38" s="15" t="inlineStr"/>
      <c r="I38" s="16">
        <f>IF($A38="","",IF(2018&lt;$E38,"",IF($D38="Manuell","",IF(2018&gt;$E38+$F38,IF($D38="Fix",$G38,$G38*(1+$H38)^($F38)),IF($D38="Fix",$G38,$G38*(1+$H38)^(2018-$E38))))))</f>
        <v/>
      </c>
      <c r="J38" s="16">
        <f>IF($A38="","",IF(2019&lt;$E38,"",IF($D38="Manuell","",IF(2019&gt;$E38+$F38,IF($D38="Fix",$G38,$G38*(1+$H38)^($F38)),IF($D38="Fix",$G38,$G38*(1+$H38)^(2019-$E38))))))</f>
        <v/>
      </c>
      <c r="K38" s="16">
        <f>IF($A38="","",IF(2020&lt;$E38,"",IF($D38="Manuell","",IF(2020&gt;$E38+$F38,IF($D38="Fix",$G38,$G38*(1+$H38)^($F38)),IF($D38="Fix",$G38,$G38*(1+$H38)^(2020-$E38))))))</f>
        <v/>
      </c>
      <c r="L38" s="16">
        <f>IF($A38="","",IF(2021&lt;$E38,"",IF($D38="Manuell","",IF(2021&gt;$E38+$F38,IF($D38="Fix",$G38,$G38*(1+$H38)^($F38)),IF($D38="Fix",$G38,$G38*(1+$H38)^(2021-$E38))))))</f>
        <v/>
      </c>
      <c r="M38" s="16">
        <f>IF($A38="","",IF(2022&lt;$E38,"",IF($D38="Manuell","",IF(2022&gt;$E38+$F38,IF($D38="Fix",$G38,$G38*(1+$H38)^($F38)),IF($D38="Fix",$G38,$G38*(1+$H38)^(2022-$E38))))))</f>
        <v/>
      </c>
      <c r="N38" s="16">
        <f>IF($A38="","",IF(2023&lt;$E38,"",IF($D38="Manuell","",IF(2023&gt;$E38+$F38,IF($D38="Fix",$G38,$G38*(1+$H38)^($F38)),IF($D38="Fix",$G38,$G38*(1+$H38)^(2023-$E38))))))</f>
        <v/>
      </c>
      <c r="O38" s="16">
        <f>IF($A38="","",IF(2024&lt;$E38,"",IF($D38="Manuell","",IF(2024&gt;$E38+$F38,IF($D38="Fix",$G38,$G38*(1+$H38)^($F38)),IF($D38="Fix",$G38,$G38*(1+$H38)^(2024-$E38))))))</f>
        <v/>
      </c>
      <c r="P38" s="16">
        <f>IF($A38="","",IF(2025&lt;$E38,"",IF($D38="Manuell","",IF(2025&gt;$E38+$F38,IF($D38="Fix",$G38,$G38*(1+$H38)^($F38)),IF($D38="Fix",$G38,$G38*(1+$H38)^(2025-$E38))))))</f>
        <v/>
      </c>
      <c r="Q38" s="16">
        <f>IF($A38="","",IF(2026&lt;$E38,"",IF($D38="Manuell","",IF(2026&gt;$E38+$F38,IF($D38="Fix",$G38,$G38*(1+$H38)^($F38)),IF($D38="Fix",$G38,$G38*(1+$H38)^(2026-$E38))))))</f>
        <v/>
      </c>
      <c r="R38" s="16">
        <f>IF($A38="","",IF(2027&lt;$E38,"",IF($D38="Manuell","",IF(2027&gt;$E38+$F38,IF($D38="Fix",$G38,$G38*(1+$H38)^($F38)),IF($D38="Fix",$G38,$G38*(1+$H38)^(2027-$E38))))))</f>
        <v/>
      </c>
      <c r="S38" s="16">
        <f>IF($A38="","",IF(2028&lt;$E38,"",IF($D38="Manuell","",IF(2028&gt;$E38+$F38,IF($D38="Fix",$G38,$G38*(1+$H38)^($F38)),IF($D38="Fix",$G38,$G38*(1+$H38)^(2028-$E38))))))</f>
        <v/>
      </c>
      <c r="T38" s="16">
        <f>IF($A38="","",IF(2029&lt;$E38,"",IF($D38="Manuell","",IF(2029&gt;$E38+$F38,IF($D38="Fix",$G38,$G38*(1+$H38)^($F38)),IF($D38="Fix",$G38,$G38*(1+$H38)^(2029-$E38))))))</f>
        <v/>
      </c>
      <c r="U38" s="16">
        <f>IF($A38="","",IF(2030&lt;$E38,"",IF($D38="Manuell","",IF(2030&gt;$E38+$F38,IF($D38="Fix",$G38,$G38*(1+$H38)^($F38)),IF($D38="Fix",$G38,$G38*(1+$H38)^(2030-$E38))))))</f>
        <v/>
      </c>
      <c r="V38" s="16">
        <f>IF($A38="","",IF(2031&lt;$E38,"",IF($D38="Manuell","",IF(2031&gt;$E38+$F38,IF($D38="Fix",$G38,$G38*(1+$H38)^($F38)),IF($D38="Fix",$G38,$G38*(1+$H38)^(2031-$E38))))))</f>
        <v/>
      </c>
      <c r="W38" s="16">
        <f>IF($A38="","",IF(2032&lt;$E38,"",IF($D38="Manuell","",IF(2032&gt;$E38+$F38,IF($D38="Fix",$G38,$G38*(1+$H38)^($F38)),IF($D38="Fix",$G38,$G38*(1+$H38)^(2032-$E38))))))</f>
        <v/>
      </c>
      <c r="X38" s="16">
        <f>IF($A38="","",IF(2033&lt;$E38,"",IF($D38="Manuell","",IF(2033&gt;$E38+$F38,IF($D38="Fix",$G38,$G38*(1+$H38)^($F38)),IF($D38="Fix",$G38,$G38*(1+$H38)^(2033-$E38))))))</f>
        <v/>
      </c>
      <c r="Y38" s="16">
        <f>IF($A38="","",IF(2034&lt;$E38,"",IF($D38="Manuell","",IF(2034&gt;$E38+$F38,IF($D38="Fix",$G38,$G38*(1+$H38)^($F38)),IF($D38="Fix",$G38,$G38*(1+$H38)^(2034-$E38))))))</f>
        <v/>
      </c>
      <c r="Z38" s="16">
        <f>IF($A38="","",IF(2035&lt;$E38,"",IF($D38="Manuell","",IF(2035&gt;$E38+$F38,IF($D38="Fix",$G38,$G38*(1+$H38)^($F38)),IF($D38="Fix",$G38,$G38*(1+$H38)^(2035-$E38))))))</f>
        <v/>
      </c>
      <c r="AA38" s="16">
        <f>IF($A38="","",IF(2036&lt;$E38,"",IF($D38="Manuell","",IF(2036&gt;$E38+$F38,IF($D38="Fix",$G38,$G38*(1+$H38)^($F38)),IF($D38="Fix",$G38,$G38*(1+$H38)^(2036-$E38))))))</f>
        <v/>
      </c>
      <c r="AB38" s="16">
        <f>IF($A38="","",IF(2037&lt;$E38,"",IF($D38="Manuell","",IF(2037&gt;$E38+$F38,IF($D38="Fix",$G38,$G38*(1+$H38)^($F38)),IF($D38="Fix",$G38,$G38*(1+$H38)^(2037-$E38))))))</f>
        <v/>
      </c>
      <c r="AC38" s="16">
        <f>IF($A38="","",IF(2038&lt;$E38,"",IF($D38="Manuell","",IF(2038&gt;$E38+$F38,IF($D38="Fix",$G38,$G38*(1+$H38)^($F38)),IF($D38="Fix",$G38,$G38*(1+$H38)^(2038-$E38))))))</f>
        <v/>
      </c>
      <c r="AD38" s="16">
        <f>IF($A38="","",IF(2039&lt;$E38,"",IF($D38="Manuell","",IF(2039&gt;$E38+$F38,IF($D38="Fix",$G38,$G38*(1+$H38)^($F38)),IF($D38="Fix",$G38,$G38*(1+$H38)^(2039-$E38))))))</f>
        <v/>
      </c>
      <c r="AE38" s="16">
        <f>IF($A38="","",IF(2040&lt;$E38,"",IF($D38="Manuell","",IF(2040&gt;$E38+$F38,IF($D38="Fix",$G38,$G38*(1+$H38)^($F38)),IF($D38="Fix",$G38,$G38*(1+$H38)^(2040-$E38))))))</f>
        <v/>
      </c>
      <c r="AF38" s="16">
        <f>IF($A38="","",IF(2041&lt;$E38,"",IF($D38="Manuell","",IF(2041&gt;$E38+$F38,IF($D38="Fix",$G38,$G38*(1+$H38)^($F38)),IF($D38="Fix",$G38,$G38*(1+$H38)^(2041-$E38))))))</f>
        <v/>
      </c>
      <c r="AG38" s="16">
        <f>IF($A38="","",IF(2042&lt;$E38,"",IF($D38="Manuell","",IF(2042&gt;$E38+$F38,IF($D38="Fix",$G38,$G38*(1+$H38)^($F38)),IF($D38="Fix",$G38,$G38*(1+$H38)^(2042-$E38))))))</f>
        <v/>
      </c>
      <c r="AH38" s="16">
        <f>IF($A38="","",IF(2043&lt;$E38,"",IF($D38="Manuell","",IF(2043&gt;$E38+$F38,IF($D38="Fix",$G38,$G38*(1+$H38)^($F38)),IF($D38="Fix",$G38,$G38*(1+$H38)^(2043-$E38))))))</f>
        <v/>
      </c>
      <c r="AI38" s="16">
        <f>IF($A38="","",IF(2044&lt;$E38,"",IF($D38="Manuell","",IF(2044&gt;$E38+$F38,IF($D38="Fix",$G38,$G38*(1+$H38)^($F38)),IF($D38="Fix",$G38,$G38*(1+$H38)^(2044-$E38))))))</f>
        <v/>
      </c>
      <c r="AJ38" s="16">
        <f>IF($A38="","",IF(2045&lt;$E38,"",IF($D38="Manuell","",IF(2045&gt;$E38+$F38,IF($D38="Fix",$G38,$G38*(1+$H38)^($F38)),IF($D38="Fix",$G38,$G38*(1+$H38)^(2045-$E38))))))</f>
        <v/>
      </c>
      <c r="AK38" s="16">
        <f>IF($A38="","",IF(2046&lt;$E38,"",IF($D38="Manuell","",IF(2046&gt;$E38+$F38,IF($D38="Fix",$G38,$G38*(1+$H38)^($F38)),IF($D38="Fix",$G38,$G38*(1+$H38)^(2046-$E38))))))</f>
        <v/>
      </c>
      <c r="AL38" s="16">
        <f>IF($A38="","",IF(2047&lt;$E38,"",IF($D38="Manuell","",IF(2047&gt;$E38+$F38,IF($D38="Fix",$G38,$G38*(1+$H38)^($F38)),IF($D38="Fix",$G38,$G38*(1+$H38)^(2047-$E38))))))</f>
        <v/>
      </c>
      <c r="AM38" s="16">
        <f>IF($A38="","",IF(2048&lt;$E38,"",IF($D38="Manuell","",IF(2048&gt;$E38+$F38,IF($D38="Fix",$G38,$G38*(1+$H38)^($F38)),IF($D38="Fix",$G38,$G38*(1+$H38)^(2048-$E38))))))</f>
        <v/>
      </c>
      <c r="AN38" s="16">
        <f>IF($A38="","",IF(2049&lt;$E38,"",IF($D38="Manuell","",IF(2049&gt;$E38+$F38,IF($D38="Fix",$G38,$G38*(1+$H38)^($F38)),IF($D38="Fix",$G38,$G38*(1+$H38)^(2049-$E38))))))</f>
        <v/>
      </c>
      <c r="AO38" s="16">
        <f>IF($A38="","",IF(2050&lt;$E38,"",IF($D38="Manuell","",IF(2050&gt;$E38+$F38,IF($D38="Fix",$G38,$G38*(1+$H38)^($F38)),IF($D38="Fix",$G38,$G38*(1+$H38)^(2050-$E38))))))</f>
        <v/>
      </c>
      <c r="AP38" s="16">
        <f>IF($A38="","",IF(2051&lt;$E38,"",IF($D38="Manuell","",IF(2051&gt;$E38+$F38,IF($D38="Fix",$G38,$G38*(1+$H38)^($F38)),IF($D38="Fix",$G38,$G38*(1+$H38)^(2051-$E38))))))</f>
        <v/>
      </c>
      <c r="AQ38" s="16">
        <f>IF($A38="","",IF(2052&lt;$E38,"",IF($D38="Manuell","",IF(2052&gt;$E38+$F38,IF($D38="Fix",$G38,$G38*(1+$H38)^($F38)),IF($D38="Fix",$G38,$G38*(1+$H38)^(2052-$E38))))))</f>
        <v/>
      </c>
      <c r="AR38" s="16">
        <f>IF($A38="","",IF(2053&lt;$E38,"",IF($D38="Manuell","",IF(2053&gt;$E38+$F38,IF($D38="Fix",$G38,$G38*(1+$H38)^($F38)),IF($D38="Fix",$G38,$G38*(1+$H38)^(2053-$E38))))))</f>
        <v/>
      </c>
      <c r="AS38" s="16">
        <f>IF($A38="","",IF(2054&lt;$E38,"",IF($D38="Manuell","",IF(2054&gt;$E38+$F38,IF($D38="Fix",$G38,$G38*(1+$H38)^($F38)),IF($D38="Fix",$G38,$G38*(1+$H38)^(2054-$E38))))))</f>
        <v/>
      </c>
      <c r="AT38" s="16">
        <f>IF($A38="","",IF(2055&lt;$E38,"",IF($D38="Manuell","",IF(2055&gt;$E38+$F38,IF($D38="Fix",$G38,$G38*(1+$H38)^($F38)),IF($D38="Fix",$G38,$G38*(1+$H38)^(2055-$E38))))))</f>
        <v/>
      </c>
    </row>
    <row r="39">
      <c r="A39" s="14" t="inlineStr"/>
      <c r="B39" s="14" t="inlineStr"/>
      <c r="C39" s="14" t="inlineStr"/>
      <c r="D39" s="14" t="inlineStr"/>
      <c r="E39" s="11" t="inlineStr"/>
      <c r="F39" s="11" t="inlineStr"/>
      <c r="G39" s="15" t="inlineStr"/>
      <c r="H39" s="15" t="inlineStr"/>
      <c r="I39" s="16">
        <f>IF($A39="","",IF(2018&lt;$E39,"",IF($D39="Manuell","",IF(2018&gt;$E39+$F39,IF($D39="Fix",$G39,$G39*(1+$H39)^($F39)),IF($D39="Fix",$G39,$G39*(1+$H39)^(2018-$E39))))))</f>
        <v/>
      </c>
      <c r="J39" s="16">
        <f>IF($A39="","",IF(2019&lt;$E39,"",IF($D39="Manuell","",IF(2019&gt;$E39+$F39,IF($D39="Fix",$G39,$G39*(1+$H39)^($F39)),IF($D39="Fix",$G39,$G39*(1+$H39)^(2019-$E39))))))</f>
        <v/>
      </c>
      <c r="K39" s="16">
        <f>IF($A39="","",IF(2020&lt;$E39,"",IF($D39="Manuell","",IF(2020&gt;$E39+$F39,IF($D39="Fix",$G39,$G39*(1+$H39)^($F39)),IF($D39="Fix",$G39,$G39*(1+$H39)^(2020-$E39))))))</f>
        <v/>
      </c>
      <c r="L39" s="16">
        <f>IF($A39="","",IF(2021&lt;$E39,"",IF($D39="Manuell","",IF(2021&gt;$E39+$F39,IF($D39="Fix",$G39,$G39*(1+$H39)^($F39)),IF($D39="Fix",$G39,$G39*(1+$H39)^(2021-$E39))))))</f>
        <v/>
      </c>
      <c r="M39" s="16">
        <f>IF($A39="","",IF(2022&lt;$E39,"",IF($D39="Manuell","",IF(2022&gt;$E39+$F39,IF($D39="Fix",$G39,$G39*(1+$H39)^($F39)),IF($D39="Fix",$G39,$G39*(1+$H39)^(2022-$E39))))))</f>
        <v/>
      </c>
      <c r="N39" s="16">
        <f>IF($A39="","",IF(2023&lt;$E39,"",IF($D39="Manuell","",IF(2023&gt;$E39+$F39,IF($D39="Fix",$G39,$G39*(1+$H39)^($F39)),IF($D39="Fix",$G39,$G39*(1+$H39)^(2023-$E39))))))</f>
        <v/>
      </c>
      <c r="O39" s="16">
        <f>IF($A39="","",IF(2024&lt;$E39,"",IF($D39="Manuell","",IF(2024&gt;$E39+$F39,IF($D39="Fix",$G39,$G39*(1+$H39)^($F39)),IF($D39="Fix",$G39,$G39*(1+$H39)^(2024-$E39))))))</f>
        <v/>
      </c>
      <c r="P39" s="16">
        <f>IF($A39="","",IF(2025&lt;$E39,"",IF($D39="Manuell","",IF(2025&gt;$E39+$F39,IF($D39="Fix",$G39,$G39*(1+$H39)^($F39)),IF($D39="Fix",$G39,$G39*(1+$H39)^(2025-$E39))))))</f>
        <v/>
      </c>
      <c r="Q39" s="16">
        <f>IF($A39="","",IF(2026&lt;$E39,"",IF($D39="Manuell","",IF(2026&gt;$E39+$F39,IF($D39="Fix",$G39,$G39*(1+$H39)^($F39)),IF($D39="Fix",$G39,$G39*(1+$H39)^(2026-$E39))))))</f>
        <v/>
      </c>
      <c r="R39" s="16">
        <f>IF($A39="","",IF(2027&lt;$E39,"",IF($D39="Manuell","",IF(2027&gt;$E39+$F39,IF($D39="Fix",$G39,$G39*(1+$H39)^($F39)),IF($D39="Fix",$G39,$G39*(1+$H39)^(2027-$E39))))))</f>
        <v/>
      </c>
      <c r="S39" s="16">
        <f>IF($A39="","",IF(2028&lt;$E39,"",IF($D39="Manuell","",IF(2028&gt;$E39+$F39,IF($D39="Fix",$G39,$G39*(1+$H39)^($F39)),IF($D39="Fix",$G39,$G39*(1+$H39)^(2028-$E39))))))</f>
        <v/>
      </c>
      <c r="T39" s="16">
        <f>IF($A39="","",IF(2029&lt;$E39,"",IF($D39="Manuell","",IF(2029&gt;$E39+$F39,IF($D39="Fix",$G39,$G39*(1+$H39)^($F39)),IF($D39="Fix",$G39,$G39*(1+$H39)^(2029-$E39))))))</f>
        <v/>
      </c>
      <c r="U39" s="16">
        <f>IF($A39="","",IF(2030&lt;$E39,"",IF($D39="Manuell","",IF(2030&gt;$E39+$F39,IF($D39="Fix",$G39,$G39*(1+$H39)^($F39)),IF($D39="Fix",$G39,$G39*(1+$H39)^(2030-$E39))))))</f>
        <v/>
      </c>
      <c r="V39" s="16">
        <f>IF($A39="","",IF(2031&lt;$E39,"",IF($D39="Manuell","",IF(2031&gt;$E39+$F39,IF($D39="Fix",$G39,$G39*(1+$H39)^($F39)),IF($D39="Fix",$G39,$G39*(1+$H39)^(2031-$E39))))))</f>
        <v/>
      </c>
      <c r="W39" s="16">
        <f>IF($A39="","",IF(2032&lt;$E39,"",IF($D39="Manuell","",IF(2032&gt;$E39+$F39,IF($D39="Fix",$G39,$G39*(1+$H39)^($F39)),IF($D39="Fix",$G39,$G39*(1+$H39)^(2032-$E39))))))</f>
        <v/>
      </c>
      <c r="X39" s="16">
        <f>IF($A39="","",IF(2033&lt;$E39,"",IF($D39="Manuell","",IF(2033&gt;$E39+$F39,IF($D39="Fix",$G39,$G39*(1+$H39)^($F39)),IF($D39="Fix",$G39,$G39*(1+$H39)^(2033-$E39))))))</f>
        <v/>
      </c>
      <c r="Y39" s="16">
        <f>IF($A39="","",IF(2034&lt;$E39,"",IF($D39="Manuell","",IF(2034&gt;$E39+$F39,IF($D39="Fix",$G39,$G39*(1+$H39)^($F39)),IF($D39="Fix",$G39,$G39*(1+$H39)^(2034-$E39))))))</f>
        <v/>
      </c>
      <c r="Z39" s="16">
        <f>IF($A39="","",IF(2035&lt;$E39,"",IF($D39="Manuell","",IF(2035&gt;$E39+$F39,IF($D39="Fix",$G39,$G39*(1+$H39)^($F39)),IF($D39="Fix",$G39,$G39*(1+$H39)^(2035-$E39))))))</f>
        <v/>
      </c>
      <c r="AA39" s="16">
        <f>IF($A39="","",IF(2036&lt;$E39,"",IF($D39="Manuell","",IF(2036&gt;$E39+$F39,IF($D39="Fix",$G39,$G39*(1+$H39)^($F39)),IF($D39="Fix",$G39,$G39*(1+$H39)^(2036-$E39))))))</f>
        <v/>
      </c>
      <c r="AB39" s="16">
        <f>IF($A39="","",IF(2037&lt;$E39,"",IF($D39="Manuell","",IF(2037&gt;$E39+$F39,IF($D39="Fix",$G39,$G39*(1+$H39)^($F39)),IF($D39="Fix",$G39,$G39*(1+$H39)^(2037-$E39))))))</f>
        <v/>
      </c>
      <c r="AC39" s="16">
        <f>IF($A39="","",IF(2038&lt;$E39,"",IF($D39="Manuell","",IF(2038&gt;$E39+$F39,IF($D39="Fix",$G39,$G39*(1+$H39)^($F39)),IF($D39="Fix",$G39,$G39*(1+$H39)^(2038-$E39))))))</f>
        <v/>
      </c>
      <c r="AD39" s="16">
        <f>IF($A39="","",IF(2039&lt;$E39,"",IF($D39="Manuell","",IF(2039&gt;$E39+$F39,IF($D39="Fix",$G39,$G39*(1+$H39)^($F39)),IF($D39="Fix",$G39,$G39*(1+$H39)^(2039-$E39))))))</f>
        <v/>
      </c>
      <c r="AE39" s="16">
        <f>IF($A39="","",IF(2040&lt;$E39,"",IF($D39="Manuell","",IF(2040&gt;$E39+$F39,IF($D39="Fix",$G39,$G39*(1+$H39)^($F39)),IF($D39="Fix",$G39,$G39*(1+$H39)^(2040-$E39))))))</f>
        <v/>
      </c>
      <c r="AF39" s="16">
        <f>IF($A39="","",IF(2041&lt;$E39,"",IF($D39="Manuell","",IF(2041&gt;$E39+$F39,IF($D39="Fix",$G39,$G39*(1+$H39)^($F39)),IF($D39="Fix",$G39,$G39*(1+$H39)^(2041-$E39))))))</f>
        <v/>
      </c>
      <c r="AG39" s="16">
        <f>IF($A39="","",IF(2042&lt;$E39,"",IF($D39="Manuell","",IF(2042&gt;$E39+$F39,IF($D39="Fix",$G39,$G39*(1+$H39)^($F39)),IF($D39="Fix",$G39,$G39*(1+$H39)^(2042-$E39))))))</f>
        <v/>
      </c>
      <c r="AH39" s="16">
        <f>IF($A39="","",IF(2043&lt;$E39,"",IF($D39="Manuell","",IF(2043&gt;$E39+$F39,IF($D39="Fix",$G39,$G39*(1+$H39)^($F39)),IF($D39="Fix",$G39,$G39*(1+$H39)^(2043-$E39))))))</f>
        <v/>
      </c>
      <c r="AI39" s="16">
        <f>IF($A39="","",IF(2044&lt;$E39,"",IF($D39="Manuell","",IF(2044&gt;$E39+$F39,IF($D39="Fix",$G39,$G39*(1+$H39)^($F39)),IF($D39="Fix",$G39,$G39*(1+$H39)^(2044-$E39))))))</f>
        <v/>
      </c>
      <c r="AJ39" s="16">
        <f>IF($A39="","",IF(2045&lt;$E39,"",IF($D39="Manuell","",IF(2045&gt;$E39+$F39,IF($D39="Fix",$G39,$G39*(1+$H39)^($F39)),IF($D39="Fix",$G39,$G39*(1+$H39)^(2045-$E39))))))</f>
        <v/>
      </c>
      <c r="AK39" s="16">
        <f>IF($A39="","",IF(2046&lt;$E39,"",IF($D39="Manuell","",IF(2046&gt;$E39+$F39,IF($D39="Fix",$G39,$G39*(1+$H39)^($F39)),IF($D39="Fix",$G39,$G39*(1+$H39)^(2046-$E39))))))</f>
        <v/>
      </c>
      <c r="AL39" s="16">
        <f>IF($A39="","",IF(2047&lt;$E39,"",IF($D39="Manuell","",IF(2047&gt;$E39+$F39,IF($D39="Fix",$G39,$G39*(1+$H39)^($F39)),IF($D39="Fix",$G39,$G39*(1+$H39)^(2047-$E39))))))</f>
        <v/>
      </c>
      <c r="AM39" s="16">
        <f>IF($A39="","",IF(2048&lt;$E39,"",IF($D39="Manuell","",IF(2048&gt;$E39+$F39,IF($D39="Fix",$G39,$G39*(1+$H39)^($F39)),IF($D39="Fix",$G39,$G39*(1+$H39)^(2048-$E39))))))</f>
        <v/>
      </c>
      <c r="AN39" s="16">
        <f>IF($A39="","",IF(2049&lt;$E39,"",IF($D39="Manuell","",IF(2049&gt;$E39+$F39,IF($D39="Fix",$G39,$G39*(1+$H39)^($F39)),IF($D39="Fix",$G39,$G39*(1+$H39)^(2049-$E39))))))</f>
        <v/>
      </c>
      <c r="AO39" s="16">
        <f>IF($A39="","",IF(2050&lt;$E39,"",IF($D39="Manuell","",IF(2050&gt;$E39+$F39,IF($D39="Fix",$G39,$G39*(1+$H39)^($F39)),IF($D39="Fix",$G39,$G39*(1+$H39)^(2050-$E39))))))</f>
        <v/>
      </c>
      <c r="AP39" s="16">
        <f>IF($A39="","",IF(2051&lt;$E39,"",IF($D39="Manuell","",IF(2051&gt;$E39+$F39,IF($D39="Fix",$G39,$G39*(1+$H39)^($F39)),IF($D39="Fix",$G39,$G39*(1+$H39)^(2051-$E39))))))</f>
        <v/>
      </c>
      <c r="AQ39" s="16">
        <f>IF($A39="","",IF(2052&lt;$E39,"",IF($D39="Manuell","",IF(2052&gt;$E39+$F39,IF($D39="Fix",$G39,$G39*(1+$H39)^($F39)),IF($D39="Fix",$G39,$G39*(1+$H39)^(2052-$E39))))))</f>
        <v/>
      </c>
      <c r="AR39" s="16">
        <f>IF($A39="","",IF(2053&lt;$E39,"",IF($D39="Manuell","",IF(2053&gt;$E39+$F39,IF($D39="Fix",$G39,$G39*(1+$H39)^($F39)),IF($D39="Fix",$G39,$G39*(1+$H39)^(2053-$E39))))))</f>
        <v/>
      </c>
      <c r="AS39" s="16">
        <f>IF($A39="","",IF(2054&lt;$E39,"",IF($D39="Manuell","",IF(2054&gt;$E39+$F39,IF($D39="Fix",$G39,$G39*(1+$H39)^($F39)),IF($D39="Fix",$G39,$G39*(1+$H39)^(2054-$E39))))))</f>
        <v/>
      </c>
      <c r="AT39" s="16">
        <f>IF($A39="","",IF(2055&lt;$E39,"",IF($D39="Manuell","",IF(2055&gt;$E39+$F39,IF($D39="Fix",$G39,$G39*(1+$H39)^($F39)),IF($D39="Fix",$G39,$G39*(1+$H39)^(2055-$E39))))))</f>
        <v/>
      </c>
    </row>
    <row r="40">
      <c r="A40" s="14" t="inlineStr"/>
      <c r="B40" s="14" t="inlineStr"/>
      <c r="C40" s="14" t="inlineStr"/>
      <c r="D40" s="14" t="inlineStr"/>
      <c r="E40" s="11" t="inlineStr"/>
      <c r="F40" s="11" t="inlineStr"/>
      <c r="G40" s="15" t="inlineStr"/>
      <c r="H40" s="15" t="inlineStr"/>
      <c r="I40" s="16">
        <f>IF($A40="","",IF(2018&lt;$E40,"",IF($D40="Manuell","",IF(2018&gt;$E40+$F40,IF($D40="Fix",$G40,$G40*(1+$H40)^($F40)),IF($D40="Fix",$G40,$G40*(1+$H40)^(2018-$E40))))))</f>
        <v/>
      </c>
      <c r="J40" s="16">
        <f>IF($A40="","",IF(2019&lt;$E40,"",IF($D40="Manuell","",IF(2019&gt;$E40+$F40,IF($D40="Fix",$G40,$G40*(1+$H40)^($F40)),IF($D40="Fix",$G40,$G40*(1+$H40)^(2019-$E40))))))</f>
        <v/>
      </c>
      <c r="K40" s="16">
        <f>IF($A40="","",IF(2020&lt;$E40,"",IF($D40="Manuell","",IF(2020&gt;$E40+$F40,IF($D40="Fix",$G40,$G40*(1+$H40)^($F40)),IF($D40="Fix",$G40,$G40*(1+$H40)^(2020-$E40))))))</f>
        <v/>
      </c>
      <c r="L40" s="16">
        <f>IF($A40="","",IF(2021&lt;$E40,"",IF($D40="Manuell","",IF(2021&gt;$E40+$F40,IF($D40="Fix",$G40,$G40*(1+$H40)^($F40)),IF($D40="Fix",$G40,$G40*(1+$H40)^(2021-$E40))))))</f>
        <v/>
      </c>
      <c r="M40" s="16">
        <f>IF($A40="","",IF(2022&lt;$E40,"",IF($D40="Manuell","",IF(2022&gt;$E40+$F40,IF($D40="Fix",$G40,$G40*(1+$H40)^($F40)),IF($D40="Fix",$G40,$G40*(1+$H40)^(2022-$E40))))))</f>
        <v/>
      </c>
      <c r="N40" s="16">
        <f>IF($A40="","",IF(2023&lt;$E40,"",IF($D40="Manuell","",IF(2023&gt;$E40+$F40,IF($D40="Fix",$G40,$G40*(1+$H40)^($F40)),IF($D40="Fix",$G40,$G40*(1+$H40)^(2023-$E40))))))</f>
        <v/>
      </c>
      <c r="O40" s="16">
        <f>IF($A40="","",IF(2024&lt;$E40,"",IF($D40="Manuell","",IF(2024&gt;$E40+$F40,IF($D40="Fix",$G40,$G40*(1+$H40)^($F40)),IF($D40="Fix",$G40,$G40*(1+$H40)^(2024-$E40))))))</f>
        <v/>
      </c>
      <c r="P40" s="16">
        <f>IF($A40="","",IF(2025&lt;$E40,"",IF($D40="Manuell","",IF(2025&gt;$E40+$F40,IF($D40="Fix",$G40,$G40*(1+$H40)^($F40)),IF($D40="Fix",$G40,$G40*(1+$H40)^(2025-$E40))))))</f>
        <v/>
      </c>
      <c r="Q40" s="16">
        <f>IF($A40="","",IF(2026&lt;$E40,"",IF($D40="Manuell","",IF(2026&gt;$E40+$F40,IF($D40="Fix",$G40,$G40*(1+$H40)^($F40)),IF($D40="Fix",$G40,$G40*(1+$H40)^(2026-$E40))))))</f>
        <v/>
      </c>
      <c r="R40" s="16">
        <f>IF($A40="","",IF(2027&lt;$E40,"",IF($D40="Manuell","",IF(2027&gt;$E40+$F40,IF($D40="Fix",$G40,$G40*(1+$H40)^($F40)),IF($D40="Fix",$G40,$G40*(1+$H40)^(2027-$E40))))))</f>
        <v/>
      </c>
      <c r="S40" s="16">
        <f>IF($A40="","",IF(2028&lt;$E40,"",IF($D40="Manuell","",IF(2028&gt;$E40+$F40,IF($D40="Fix",$G40,$G40*(1+$H40)^($F40)),IF($D40="Fix",$G40,$G40*(1+$H40)^(2028-$E40))))))</f>
        <v/>
      </c>
      <c r="T40" s="16">
        <f>IF($A40="","",IF(2029&lt;$E40,"",IF($D40="Manuell","",IF(2029&gt;$E40+$F40,IF($D40="Fix",$G40,$G40*(1+$H40)^($F40)),IF($D40="Fix",$G40,$G40*(1+$H40)^(2029-$E40))))))</f>
        <v/>
      </c>
      <c r="U40" s="16">
        <f>IF($A40="","",IF(2030&lt;$E40,"",IF($D40="Manuell","",IF(2030&gt;$E40+$F40,IF($D40="Fix",$G40,$G40*(1+$H40)^($F40)),IF($D40="Fix",$G40,$G40*(1+$H40)^(2030-$E40))))))</f>
        <v/>
      </c>
      <c r="V40" s="16">
        <f>IF($A40="","",IF(2031&lt;$E40,"",IF($D40="Manuell","",IF(2031&gt;$E40+$F40,IF($D40="Fix",$G40,$G40*(1+$H40)^($F40)),IF($D40="Fix",$G40,$G40*(1+$H40)^(2031-$E40))))))</f>
        <v/>
      </c>
      <c r="W40" s="16">
        <f>IF($A40="","",IF(2032&lt;$E40,"",IF($D40="Manuell","",IF(2032&gt;$E40+$F40,IF($D40="Fix",$G40,$G40*(1+$H40)^($F40)),IF($D40="Fix",$G40,$G40*(1+$H40)^(2032-$E40))))))</f>
        <v/>
      </c>
      <c r="X40" s="16">
        <f>IF($A40="","",IF(2033&lt;$E40,"",IF($D40="Manuell","",IF(2033&gt;$E40+$F40,IF($D40="Fix",$G40,$G40*(1+$H40)^($F40)),IF($D40="Fix",$G40,$G40*(1+$H40)^(2033-$E40))))))</f>
        <v/>
      </c>
      <c r="Y40" s="16">
        <f>IF($A40="","",IF(2034&lt;$E40,"",IF($D40="Manuell","",IF(2034&gt;$E40+$F40,IF($D40="Fix",$G40,$G40*(1+$H40)^($F40)),IF($D40="Fix",$G40,$G40*(1+$H40)^(2034-$E40))))))</f>
        <v/>
      </c>
      <c r="Z40" s="16">
        <f>IF($A40="","",IF(2035&lt;$E40,"",IF($D40="Manuell","",IF(2035&gt;$E40+$F40,IF($D40="Fix",$G40,$G40*(1+$H40)^($F40)),IF($D40="Fix",$G40,$G40*(1+$H40)^(2035-$E40))))))</f>
        <v/>
      </c>
      <c r="AA40" s="16">
        <f>IF($A40="","",IF(2036&lt;$E40,"",IF($D40="Manuell","",IF(2036&gt;$E40+$F40,IF($D40="Fix",$G40,$G40*(1+$H40)^($F40)),IF($D40="Fix",$G40,$G40*(1+$H40)^(2036-$E40))))))</f>
        <v/>
      </c>
      <c r="AB40" s="16">
        <f>IF($A40="","",IF(2037&lt;$E40,"",IF($D40="Manuell","",IF(2037&gt;$E40+$F40,IF($D40="Fix",$G40,$G40*(1+$H40)^($F40)),IF($D40="Fix",$G40,$G40*(1+$H40)^(2037-$E40))))))</f>
        <v/>
      </c>
      <c r="AC40" s="16">
        <f>IF($A40="","",IF(2038&lt;$E40,"",IF($D40="Manuell","",IF(2038&gt;$E40+$F40,IF($D40="Fix",$G40,$G40*(1+$H40)^($F40)),IF($D40="Fix",$G40,$G40*(1+$H40)^(2038-$E40))))))</f>
        <v/>
      </c>
      <c r="AD40" s="16">
        <f>IF($A40="","",IF(2039&lt;$E40,"",IF($D40="Manuell","",IF(2039&gt;$E40+$F40,IF($D40="Fix",$G40,$G40*(1+$H40)^($F40)),IF($D40="Fix",$G40,$G40*(1+$H40)^(2039-$E40))))))</f>
        <v/>
      </c>
      <c r="AE40" s="16">
        <f>IF($A40="","",IF(2040&lt;$E40,"",IF($D40="Manuell","",IF(2040&gt;$E40+$F40,IF($D40="Fix",$G40,$G40*(1+$H40)^($F40)),IF($D40="Fix",$G40,$G40*(1+$H40)^(2040-$E40))))))</f>
        <v/>
      </c>
      <c r="AF40" s="16">
        <f>IF($A40="","",IF(2041&lt;$E40,"",IF($D40="Manuell","",IF(2041&gt;$E40+$F40,IF($D40="Fix",$G40,$G40*(1+$H40)^($F40)),IF($D40="Fix",$G40,$G40*(1+$H40)^(2041-$E40))))))</f>
        <v/>
      </c>
      <c r="AG40" s="16">
        <f>IF($A40="","",IF(2042&lt;$E40,"",IF($D40="Manuell","",IF(2042&gt;$E40+$F40,IF($D40="Fix",$G40,$G40*(1+$H40)^($F40)),IF($D40="Fix",$G40,$G40*(1+$H40)^(2042-$E40))))))</f>
        <v/>
      </c>
      <c r="AH40" s="16">
        <f>IF($A40="","",IF(2043&lt;$E40,"",IF($D40="Manuell","",IF(2043&gt;$E40+$F40,IF($D40="Fix",$G40,$G40*(1+$H40)^($F40)),IF($D40="Fix",$G40,$G40*(1+$H40)^(2043-$E40))))))</f>
        <v/>
      </c>
      <c r="AI40" s="16">
        <f>IF($A40="","",IF(2044&lt;$E40,"",IF($D40="Manuell","",IF(2044&gt;$E40+$F40,IF($D40="Fix",$G40,$G40*(1+$H40)^($F40)),IF($D40="Fix",$G40,$G40*(1+$H40)^(2044-$E40))))))</f>
        <v/>
      </c>
      <c r="AJ40" s="16">
        <f>IF($A40="","",IF(2045&lt;$E40,"",IF($D40="Manuell","",IF(2045&gt;$E40+$F40,IF($D40="Fix",$G40,$G40*(1+$H40)^($F40)),IF($D40="Fix",$G40,$G40*(1+$H40)^(2045-$E40))))))</f>
        <v/>
      </c>
      <c r="AK40" s="16">
        <f>IF($A40="","",IF(2046&lt;$E40,"",IF($D40="Manuell","",IF(2046&gt;$E40+$F40,IF($D40="Fix",$G40,$G40*(1+$H40)^($F40)),IF($D40="Fix",$G40,$G40*(1+$H40)^(2046-$E40))))))</f>
        <v/>
      </c>
      <c r="AL40" s="16">
        <f>IF($A40="","",IF(2047&lt;$E40,"",IF($D40="Manuell","",IF(2047&gt;$E40+$F40,IF($D40="Fix",$G40,$G40*(1+$H40)^($F40)),IF($D40="Fix",$G40,$G40*(1+$H40)^(2047-$E40))))))</f>
        <v/>
      </c>
      <c r="AM40" s="16">
        <f>IF($A40="","",IF(2048&lt;$E40,"",IF($D40="Manuell","",IF(2048&gt;$E40+$F40,IF($D40="Fix",$G40,$G40*(1+$H40)^($F40)),IF($D40="Fix",$G40,$G40*(1+$H40)^(2048-$E40))))))</f>
        <v/>
      </c>
      <c r="AN40" s="16">
        <f>IF($A40="","",IF(2049&lt;$E40,"",IF($D40="Manuell","",IF(2049&gt;$E40+$F40,IF($D40="Fix",$G40,$G40*(1+$H40)^($F40)),IF($D40="Fix",$G40,$G40*(1+$H40)^(2049-$E40))))))</f>
        <v/>
      </c>
      <c r="AO40" s="16">
        <f>IF($A40="","",IF(2050&lt;$E40,"",IF($D40="Manuell","",IF(2050&gt;$E40+$F40,IF($D40="Fix",$G40,$G40*(1+$H40)^($F40)),IF($D40="Fix",$G40,$G40*(1+$H40)^(2050-$E40))))))</f>
        <v/>
      </c>
      <c r="AP40" s="16">
        <f>IF($A40="","",IF(2051&lt;$E40,"",IF($D40="Manuell","",IF(2051&gt;$E40+$F40,IF($D40="Fix",$G40,$G40*(1+$H40)^($F40)),IF($D40="Fix",$G40,$G40*(1+$H40)^(2051-$E40))))))</f>
        <v/>
      </c>
      <c r="AQ40" s="16">
        <f>IF($A40="","",IF(2052&lt;$E40,"",IF($D40="Manuell","",IF(2052&gt;$E40+$F40,IF($D40="Fix",$G40,$G40*(1+$H40)^($F40)),IF($D40="Fix",$G40,$G40*(1+$H40)^(2052-$E40))))))</f>
        <v/>
      </c>
      <c r="AR40" s="16">
        <f>IF($A40="","",IF(2053&lt;$E40,"",IF($D40="Manuell","",IF(2053&gt;$E40+$F40,IF($D40="Fix",$G40,$G40*(1+$H40)^($F40)),IF($D40="Fix",$G40,$G40*(1+$H40)^(2053-$E40))))))</f>
        <v/>
      </c>
      <c r="AS40" s="16">
        <f>IF($A40="","",IF(2054&lt;$E40,"",IF($D40="Manuell","",IF(2054&gt;$E40+$F40,IF($D40="Fix",$G40,$G40*(1+$H40)^($F40)),IF($D40="Fix",$G40,$G40*(1+$H40)^(2054-$E40))))))</f>
        <v/>
      </c>
      <c r="AT40" s="16">
        <f>IF($A40="","",IF(2055&lt;$E40,"",IF($D40="Manuell","",IF(2055&gt;$E40+$F40,IF($D40="Fix",$G40,$G40*(1+$H40)^($F40)),IF($D40="Fix",$G40,$G40*(1+$H40)^(2055-$E40))))))</f>
        <v/>
      </c>
    </row>
    <row r="41">
      <c r="A41" s="14" t="inlineStr"/>
      <c r="B41" s="14" t="inlineStr"/>
      <c r="C41" s="14" t="inlineStr"/>
      <c r="D41" s="14" t="inlineStr"/>
      <c r="E41" s="11" t="inlineStr"/>
      <c r="F41" s="11" t="inlineStr"/>
      <c r="G41" s="15" t="inlineStr"/>
      <c r="H41" s="15" t="inlineStr"/>
      <c r="I41" s="16">
        <f>IF($A41="","",IF(2018&lt;$E41,"",IF($D41="Manuell","",IF(2018&gt;$E41+$F41,IF($D41="Fix",$G41,$G41*(1+$H41)^($F41)),IF($D41="Fix",$G41,$G41*(1+$H41)^(2018-$E41))))))</f>
        <v/>
      </c>
      <c r="J41" s="16">
        <f>IF($A41="","",IF(2019&lt;$E41,"",IF($D41="Manuell","",IF(2019&gt;$E41+$F41,IF($D41="Fix",$G41,$G41*(1+$H41)^($F41)),IF($D41="Fix",$G41,$G41*(1+$H41)^(2019-$E41))))))</f>
        <v/>
      </c>
      <c r="K41" s="16">
        <f>IF($A41="","",IF(2020&lt;$E41,"",IF($D41="Manuell","",IF(2020&gt;$E41+$F41,IF($D41="Fix",$G41,$G41*(1+$H41)^($F41)),IF($D41="Fix",$G41,$G41*(1+$H41)^(2020-$E41))))))</f>
        <v/>
      </c>
      <c r="L41" s="16">
        <f>IF($A41="","",IF(2021&lt;$E41,"",IF($D41="Manuell","",IF(2021&gt;$E41+$F41,IF($D41="Fix",$G41,$G41*(1+$H41)^($F41)),IF($D41="Fix",$G41,$G41*(1+$H41)^(2021-$E41))))))</f>
        <v/>
      </c>
      <c r="M41" s="16">
        <f>IF($A41="","",IF(2022&lt;$E41,"",IF($D41="Manuell","",IF(2022&gt;$E41+$F41,IF($D41="Fix",$G41,$G41*(1+$H41)^($F41)),IF($D41="Fix",$G41,$G41*(1+$H41)^(2022-$E41))))))</f>
        <v/>
      </c>
      <c r="N41" s="16">
        <f>IF($A41="","",IF(2023&lt;$E41,"",IF($D41="Manuell","",IF(2023&gt;$E41+$F41,IF($D41="Fix",$G41,$G41*(1+$H41)^($F41)),IF($D41="Fix",$G41,$G41*(1+$H41)^(2023-$E41))))))</f>
        <v/>
      </c>
      <c r="O41" s="16">
        <f>IF($A41="","",IF(2024&lt;$E41,"",IF($D41="Manuell","",IF(2024&gt;$E41+$F41,IF($D41="Fix",$G41,$G41*(1+$H41)^($F41)),IF($D41="Fix",$G41,$G41*(1+$H41)^(2024-$E41))))))</f>
        <v/>
      </c>
      <c r="P41" s="16">
        <f>IF($A41="","",IF(2025&lt;$E41,"",IF($D41="Manuell","",IF(2025&gt;$E41+$F41,IF($D41="Fix",$G41,$G41*(1+$H41)^($F41)),IF($D41="Fix",$G41,$G41*(1+$H41)^(2025-$E41))))))</f>
        <v/>
      </c>
      <c r="Q41" s="16">
        <f>IF($A41="","",IF(2026&lt;$E41,"",IF($D41="Manuell","",IF(2026&gt;$E41+$F41,IF($D41="Fix",$G41,$G41*(1+$H41)^($F41)),IF($D41="Fix",$G41,$G41*(1+$H41)^(2026-$E41))))))</f>
        <v/>
      </c>
      <c r="R41" s="16">
        <f>IF($A41="","",IF(2027&lt;$E41,"",IF($D41="Manuell","",IF(2027&gt;$E41+$F41,IF($D41="Fix",$G41,$G41*(1+$H41)^($F41)),IF($D41="Fix",$G41,$G41*(1+$H41)^(2027-$E41))))))</f>
        <v/>
      </c>
      <c r="S41" s="16">
        <f>IF($A41="","",IF(2028&lt;$E41,"",IF($D41="Manuell","",IF(2028&gt;$E41+$F41,IF($D41="Fix",$G41,$G41*(1+$H41)^($F41)),IF($D41="Fix",$G41,$G41*(1+$H41)^(2028-$E41))))))</f>
        <v/>
      </c>
      <c r="T41" s="16">
        <f>IF($A41="","",IF(2029&lt;$E41,"",IF($D41="Manuell","",IF(2029&gt;$E41+$F41,IF($D41="Fix",$G41,$G41*(1+$H41)^($F41)),IF($D41="Fix",$G41,$G41*(1+$H41)^(2029-$E41))))))</f>
        <v/>
      </c>
      <c r="U41" s="16">
        <f>IF($A41="","",IF(2030&lt;$E41,"",IF($D41="Manuell","",IF(2030&gt;$E41+$F41,IF($D41="Fix",$G41,$G41*(1+$H41)^($F41)),IF($D41="Fix",$G41,$G41*(1+$H41)^(2030-$E41))))))</f>
        <v/>
      </c>
      <c r="V41" s="16">
        <f>IF($A41="","",IF(2031&lt;$E41,"",IF($D41="Manuell","",IF(2031&gt;$E41+$F41,IF($D41="Fix",$G41,$G41*(1+$H41)^($F41)),IF($D41="Fix",$G41,$G41*(1+$H41)^(2031-$E41))))))</f>
        <v/>
      </c>
      <c r="W41" s="16">
        <f>IF($A41="","",IF(2032&lt;$E41,"",IF($D41="Manuell","",IF(2032&gt;$E41+$F41,IF($D41="Fix",$G41,$G41*(1+$H41)^($F41)),IF($D41="Fix",$G41,$G41*(1+$H41)^(2032-$E41))))))</f>
        <v/>
      </c>
      <c r="X41" s="16">
        <f>IF($A41="","",IF(2033&lt;$E41,"",IF($D41="Manuell","",IF(2033&gt;$E41+$F41,IF($D41="Fix",$G41,$G41*(1+$H41)^($F41)),IF($D41="Fix",$G41,$G41*(1+$H41)^(2033-$E41))))))</f>
        <v/>
      </c>
      <c r="Y41" s="16">
        <f>IF($A41="","",IF(2034&lt;$E41,"",IF($D41="Manuell","",IF(2034&gt;$E41+$F41,IF($D41="Fix",$G41,$G41*(1+$H41)^($F41)),IF($D41="Fix",$G41,$G41*(1+$H41)^(2034-$E41))))))</f>
        <v/>
      </c>
      <c r="Z41" s="16">
        <f>IF($A41="","",IF(2035&lt;$E41,"",IF($D41="Manuell","",IF(2035&gt;$E41+$F41,IF($D41="Fix",$G41,$G41*(1+$H41)^($F41)),IF($D41="Fix",$G41,$G41*(1+$H41)^(2035-$E41))))))</f>
        <v/>
      </c>
      <c r="AA41" s="16">
        <f>IF($A41="","",IF(2036&lt;$E41,"",IF($D41="Manuell","",IF(2036&gt;$E41+$F41,IF($D41="Fix",$G41,$G41*(1+$H41)^($F41)),IF($D41="Fix",$G41,$G41*(1+$H41)^(2036-$E41))))))</f>
        <v/>
      </c>
      <c r="AB41" s="16">
        <f>IF($A41="","",IF(2037&lt;$E41,"",IF($D41="Manuell","",IF(2037&gt;$E41+$F41,IF($D41="Fix",$G41,$G41*(1+$H41)^($F41)),IF($D41="Fix",$G41,$G41*(1+$H41)^(2037-$E41))))))</f>
        <v/>
      </c>
      <c r="AC41" s="16">
        <f>IF($A41="","",IF(2038&lt;$E41,"",IF($D41="Manuell","",IF(2038&gt;$E41+$F41,IF($D41="Fix",$G41,$G41*(1+$H41)^($F41)),IF($D41="Fix",$G41,$G41*(1+$H41)^(2038-$E41))))))</f>
        <v/>
      </c>
      <c r="AD41" s="16">
        <f>IF($A41="","",IF(2039&lt;$E41,"",IF($D41="Manuell","",IF(2039&gt;$E41+$F41,IF($D41="Fix",$G41,$G41*(1+$H41)^($F41)),IF($D41="Fix",$G41,$G41*(1+$H41)^(2039-$E41))))))</f>
        <v/>
      </c>
      <c r="AE41" s="16">
        <f>IF($A41="","",IF(2040&lt;$E41,"",IF($D41="Manuell","",IF(2040&gt;$E41+$F41,IF($D41="Fix",$G41,$G41*(1+$H41)^($F41)),IF($D41="Fix",$G41,$G41*(1+$H41)^(2040-$E41))))))</f>
        <v/>
      </c>
      <c r="AF41" s="16">
        <f>IF($A41="","",IF(2041&lt;$E41,"",IF($D41="Manuell","",IF(2041&gt;$E41+$F41,IF($D41="Fix",$G41,$G41*(1+$H41)^($F41)),IF($D41="Fix",$G41,$G41*(1+$H41)^(2041-$E41))))))</f>
        <v/>
      </c>
      <c r="AG41" s="16">
        <f>IF($A41="","",IF(2042&lt;$E41,"",IF($D41="Manuell","",IF(2042&gt;$E41+$F41,IF($D41="Fix",$G41,$G41*(1+$H41)^($F41)),IF($D41="Fix",$G41,$G41*(1+$H41)^(2042-$E41))))))</f>
        <v/>
      </c>
      <c r="AH41" s="16">
        <f>IF($A41="","",IF(2043&lt;$E41,"",IF($D41="Manuell","",IF(2043&gt;$E41+$F41,IF($D41="Fix",$G41,$G41*(1+$H41)^($F41)),IF($D41="Fix",$G41,$G41*(1+$H41)^(2043-$E41))))))</f>
        <v/>
      </c>
      <c r="AI41" s="16">
        <f>IF($A41="","",IF(2044&lt;$E41,"",IF($D41="Manuell","",IF(2044&gt;$E41+$F41,IF($D41="Fix",$G41,$G41*(1+$H41)^($F41)),IF($D41="Fix",$G41,$G41*(1+$H41)^(2044-$E41))))))</f>
        <v/>
      </c>
      <c r="AJ41" s="16">
        <f>IF($A41="","",IF(2045&lt;$E41,"",IF($D41="Manuell","",IF(2045&gt;$E41+$F41,IF($D41="Fix",$G41,$G41*(1+$H41)^($F41)),IF($D41="Fix",$G41,$G41*(1+$H41)^(2045-$E41))))))</f>
        <v/>
      </c>
      <c r="AK41" s="16">
        <f>IF($A41="","",IF(2046&lt;$E41,"",IF($D41="Manuell","",IF(2046&gt;$E41+$F41,IF($D41="Fix",$G41,$G41*(1+$H41)^($F41)),IF($D41="Fix",$G41,$G41*(1+$H41)^(2046-$E41))))))</f>
        <v/>
      </c>
      <c r="AL41" s="16">
        <f>IF($A41="","",IF(2047&lt;$E41,"",IF($D41="Manuell","",IF(2047&gt;$E41+$F41,IF($D41="Fix",$G41,$G41*(1+$H41)^($F41)),IF($D41="Fix",$G41,$G41*(1+$H41)^(2047-$E41))))))</f>
        <v/>
      </c>
      <c r="AM41" s="16">
        <f>IF($A41="","",IF(2048&lt;$E41,"",IF($D41="Manuell","",IF(2048&gt;$E41+$F41,IF($D41="Fix",$G41,$G41*(1+$H41)^($F41)),IF($D41="Fix",$G41,$G41*(1+$H41)^(2048-$E41))))))</f>
        <v/>
      </c>
      <c r="AN41" s="16">
        <f>IF($A41="","",IF(2049&lt;$E41,"",IF($D41="Manuell","",IF(2049&gt;$E41+$F41,IF($D41="Fix",$G41,$G41*(1+$H41)^($F41)),IF($D41="Fix",$G41,$G41*(1+$H41)^(2049-$E41))))))</f>
        <v/>
      </c>
      <c r="AO41" s="16">
        <f>IF($A41="","",IF(2050&lt;$E41,"",IF($D41="Manuell","",IF(2050&gt;$E41+$F41,IF($D41="Fix",$G41,$G41*(1+$H41)^($F41)),IF($D41="Fix",$G41,$G41*(1+$H41)^(2050-$E41))))))</f>
        <v/>
      </c>
      <c r="AP41" s="16">
        <f>IF($A41="","",IF(2051&lt;$E41,"",IF($D41="Manuell","",IF(2051&gt;$E41+$F41,IF($D41="Fix",$G41,$G41*(1+$H41)^($F41)),IF($D41="Fix",$G41,$G41*(1+$H41)^(2051-$E41))))))</f>
        <v/>
      </c>
      <c r="AQ41" s="16">
        <f>IF($A41="","",IF(2052&lt;$E41,"",IF($D41="Manuell","",IF(2052&gt;$E41+$F41,IF($D41="Fix",$G41,$G41*(1+$H41)^($F41)),IF($D41="Fix",$G41,$G41*(1+$H41)^(2052-$E41))))))</f>
        <v/>
      </c>
      <c r="AR41" s="16">
        <f>IF($A41="","",IF(2053&lt;$E41,"",IF($D41="Manuell","",IF(2053&gt;$E41+$F41,IF($D41="Fix",$G41,$G41*(1+$H41)^($F41)),IF($D41="Fix",$G41,$G41*(1+$H41)^(2053-$E41))))))</f>
        <v/>
      </c>
      <c r="AS41" s="16">
        <f>IF($A41="","",IF(2054&lt;$E41,"",IF($D41="Manuell","",IF(2054&gt;$E41+$F41,IF($D41="Fix",$G41,$G41*(1+$H41)^($F41)),IF($D41="Fix",$G41,$G41*(1+$H41)^(2054-$E41))))))</f>
        <v/>
      </c>
      <c r="AT41" s="16">
        <f>IF($A41="","",IF(2055&lt;$E41,"",IF($D41="Manuell","",IF(2055&gt;$E41+$F41,IF($D41="Fix",$G41,$G41*(1+$H41)^($F41)),IF($D41="Fix",$G41,$G41*(1+$H41)^(2055-$E41))))))</f>
        <v/>
      </c>
    </row>
    <row r="42">
      <c r="A42" s="14" t="inlineStr"/>
      <c r="B42" s="14" t="inlineStr"/>
      <c r="C42" s="14" t="inlineStr"/>
      <c r="D42" s="14" t="inlineStr"/>
      <c r="E42" s="11" t="inlineStr"/>
      <c r="F42" s="11" t="inlineStr"/>
      <c r="G42" s="15" t="inlineStr"/>
      <c r="H42" s="15" t="inlineStr"/>
      <c r="I42" s="16">
        <f>IF($A42="","",IF(2018&lt;$E42,"",IF($D42="Manuell","",IF(2018&gt;$E42+$F42,IF($D42="Fix",$G42,$G42*(1+$H42)^($F42)),IF($D42="Fix",$G42,$G42*(1+$H42)^(2018-$E42))))))</f>
        <v/>
      </c>
      <c r="J42" s="16">
        <f>IF($A42="","",IF(2019&lt;$E42,"",IF($D42="Manuell","",IF(2019&gt;$E42+$F42,IF($D42="Fix",$G42,$G42*(1+$H42)^($F42)),IF($D42="Fix",$G42,$G42*(1+$H42)^(2019-$E42))))))</f>
        <v/>
      </c>
      <c r="K42" s="16">
        <f>IF($A42="","",IF(2020&lt;$E42,"",IF($D42="Manuell","",IF(2020&gt;$E42+$F42,IF($D42="Fix",$G42,$G42*(1+$H42)^($F42)),IF($D42="Fix",$G42,$G42*(1+$H42)^(2020-$E42))))))</f>
        <v/>
      </c>
      <c r="L42" s="16">
        <f>IF($A42="","",IF(2021&lt;$E42,"",IF($D42="Manuell","",IF(2021&gt;$E42+$F42,IF($D42="Fix",$G42,$G42*(1+$H42)^($F42)),IF($D42="Fix",$G42,$G42*(1+$H42)^(2021-$E42))))))</f>
        <v/>
      </c>
      <c r="M42" s="16">
        <f>IF($A42="","",IF(2022&lt;$E42,"",IF($D42="Manuell","",IF(2022&gt;$E42+$F42,IF($D42="Fix",$G42,$G42*(1+$H42)^($F42)),IF($D42="Fix",$G42,$G42*(1+$H42)^(2022-$E42))))))</f>
        <v/>
      </c>
      <c r="N42" s="16">
        <f>IF($A42="","",IF(2023&lt;$E42,"",IF($D42="Manuell","",IF(2023&gt;$E42+$F42,IF($D42="Fix",$G42,$G42*(1+$H42)^($F42)),IF($D42="Fix",$G42,$G42*(1+$H42)^(2023-$E42))))))</f>
        <v/>
      </c>
      <c r="O42" s="16">
        <f>IF($A42="","",IF(2024&lt;$E42,"",IF($D42="Manuell","",IF(2024&gt;$E42+$F42,IF($D42="Fix",$G42,$G42*(1+$H42)^($F42)),IF($D42="Fix",$G42,$G42*(1+$H42)^(2024-$E42))))))</f>
        <v/>
      </c>
      <c r="P42" s="16">
        <f>IF($A42="","",IF(2025&lt;$E42,"",IF($D42="Manuell","",IF(2025&gt;$E42+$F42,IF($D42="Fix",$G42,$G42*(1+$H42)^($F42)),IF($D42="Fix",$G42,$G42*(1+$H42)^(2025-$E42))))))</f>
        <v/>
      </c>
      <c r="Q42" s="16">
        <f>IF($A42="","",IF(2026&lt;$E42,"",IF($D42="Manuell","",IF(2026&gt;$E42+$F42,IF($D42="Fix",$G42,$G42*(1+$H42)^($F42)),IF($D42="Fix",$G42,$G42*(1+$H42)^(2026-$E42))))))</f>
        <v/>
      </c>
      <c r="R42" s="16">
        <f>IF($A42="","",IF(2027&lt;$E42,"",IF($D42="Manuell","",IF(2027&gt;$E42+$F42,IF($D42="Fix",$G42,$G42*(1+$H42)^($F42)),IF($D42="Fix",$G42,$G42*(1+$H42)^(2027-$E42))))))</f>
        <v/>
      </c>
      <c r="S42" s="16">
        <f>IF($A42="","",IF(2028&lt;$E42,"",IF($D42="Manuell","",IF(2028&gt;$E42+$F42,IF($D42="Fix",$G42,$G42*(1+$H42)^($F42)),IF($D42="Fix",$G42,$G42*(1+$H42)^(2028-$E42))))))</f>
        <v/>
      </c>
      <c r="T42" s="16">
        <f>IF($A42="","",IF(2029&lt;$E42,"",IF($D42="Manuell","",IF(2029&gt;$E42+$F42,IF($D42="Fix",$G42,$G42*(1+$H42)^($F42)),IF($D42="Fix",$G42,$G42*(1+$H42)^(2029-$E42))))))</f>
        <v/>
      </c>
      <c r="U42" s="16">
        <f>IF($A42="","",IF(2030&lt;$E42,"",IF($D42="Manuell","",IF(2030&gt;$E42+$F42,IF($D42="Fix",$G42,$G42*(1+$H42)^($F42)),IF($D42="Fix",$G42,$G42*(1+$H42)^(2030-$E42))))))</f>
        <v/>
      </c>
      <c r="V42" s="16">
        <f>IF($A42="","",IF(2031&lt;$E42,"",IF($D42="Manuell","",IF(2031&gt;$E42+$F42,IF($D42="Fix",$G42,$G42*(1+$H42)^($F42)),IF($D42="Fix",$G42,$G42*(1+$H42)^(2031-$E42))))))</f>
        <v/>
      </c>
      <c r="W42" s="16">
        <f>IF($A42="","",IF(2032&lt;$E42,"",IF($D42="Manuell","",IF(2032&gt;$E42+$F42,IF($D42="Fix",$G42,$G42*(1+$H42)^($F42)),IF($D42="Fix",$G42,$G42*(1+$H42)^(2032-$E42))))))</f>
        <v/>
      </c>
      <c r="X42" s="16">
        <f>IF($A42="","",IF(2033&lt;$E42,"",IF($D42="Manuell","",IF(2033&gt;$E42+$F42,IF($D42="Fix",$G42,$G42*(1+$H42)^($F42)),IF($D42="Fix",$G42,$G42*(1+$H42)^(2033-$E42))))))</f>
        <v/>
      </c>
      <c r="Y42" s="16">
        <f>IF($A42="","",IF(2034&lt;$E42,"",IF($D42="Manuell","",IF(2034&gt;$E42+$F42,IF($D42="Fix",$G42,$G42*(1+$H42)^($F42)),IF($D42="Fix",$G42,$G42*(1+$H42)^(2034-$E42))))))</f>
        <v/>
      </c>
      <c r="Z42" s="16">
        <f>IF($A42="","",IF(2035&lt;$E42,"",IF($D42="Manuell","",IF(2035&gt;$E42+$F42,IF($D42="Fix",$G42,$G42*(1+$H42)^($F42)),IF($D42="Fix",$G42,$G42*(1+$H42)^(2035-$E42))))))</f>
        <v/>
      </c>
      <c r="AA42" s="16">
        <f>IF($A42="","",IF(2036&lt;$E42,"",IF($D42="Manuell","",IF(2036&gt;$E42+$F42,IF($D42="Fix",$G42,$G42*(1+$H42)^($F42)),IF($D42="Fix",$G42,$G42*(1+$H42)^(2036-$E42))))))</f>
        <v/>
      </c>
      <c r="AB42" s="16">
        <f>IF($A42="","",IF(2037&lt;$E42,"",IF($D42="Manuell","",IF(2037&gt;$E42+$F42,IF($D42="Fix",$G42,$G42*(1+$H42)^($F42)),IF($D42="Fix",$G42,$G42*(1+$H42)^(2037-$E42))))))</f>
        <v/>
      </c>
      <c r="AC42" s="16">
        <f>IF($A42="","",IF(2038&lt;$E42,"",IF($D42="Manuell","",IF(2038&gt;$E42+$F42,IF($D42="Fix",$G42,$G42*(1+$H42)^($F42)),IF($D42="Fix",$G42,$G42*(1+$H42)^(2038-$E42))))))</f>
        <v/>
      </c>
      <c r="AD42" s="16">
        <f>IF($A42="","",IF(2039&lt;$E42,"",IF($D42="Manuell","",IF(2039&gt;$E42+$F42,IF($D42="Fix",$G42,$G42*(1+$H42)^($F42)),IF($D42="Fix",$G42,$G42*(1+$H42)^(2039-$E42))))))</f>
        <v/>
      </c>
      <c r="AE42" s="16">
        <f>IF($A42="","",IF(2040&lt;$E42,"",IF($D42="Manuell","",IF(2040&gt;$E42+$F42,IF($D42="Fix",$G42,$G42*(1+$H42)^($F42)),IF($D42="Fix",$G42,$G42*(1+$H42)^(2040-$E42))))))</f>
        <v/>
      </c>
      <c r="AF42" s="16">
        <f>IF($A42="","",IF(2041&lt;$E42,"",IF($D42="Manuell","",IF(2041&gt;$E42+$F42,IF($D42="Fix",$G42,$G42*(1+$H42)^($F42)),IF($D42="Fix",$G42,$G42*(1+$H42)^(2041-$E42))))))</f>
        <v/>
      </c>
      <c r="AG42" s="16">
        <f>IF($A42="","",IF(2042&lt;$E42,"",IF($D42="Manuell","",IF(2042&gt;$E42+$F42,IF($D42="Fix",$G42,$G42*(1+$H42)^($F42)),IF($D42="Fix",$G42,$G42*(1+$H42)^(2042-$E42))))))</f>
        <v/>
      </c>
      <c r="AH42" s="16">
        <f>IF($A42="","",IF(2043&lt;$E42,"",IF($D42="Manuell","",IF(2043&gt;$E42+$F42,IF($D42="Fix",$G42,$G42*(1+$H42)^($F42)),IF($D42="Fix",$G42,$G42*(1+$H42)^(2043-$E42))))))</f>
        <v/>
      </c>
      <c r="AI42" s="16">
        <f>IF($A42="","",IF(2044&lt;$E42,"",IF($D42="Manuell","",IF(2044&gt;$E42+$F42,IF($D42="Fix",$G42,$G42*(1+$H42)^($F42)),IF($D42="Fix",$G42,$G42*(1+$H42)^(2044-$E42))))))</f>
        <v/>
      </c>
      <c r="AJ42" s="16">
        <f>IF($A42="","",IF(2045&lt;$E42,"",IF($D42="Manuell","",IF(2045&gt;$E42+$F42,IF($D42="Fix",$G42,$G42*(1+$H42)^($F42)),IF($D42="Fix",$G42,$G42*(1+$H42)^(2045-$E42))))))</f>
        <v/>
      </c>
      <c r="AK42" s="16">
        <f>IF($A42="","",IF(2046&lt;$E42,"",IF($D42="Manuell","",IF(2046&gt;$E42+$F42,IF($D42="Fix",$G42,$G42*(1+$H42)^($F42)),IF($D42="Fix",$G42,$G42*(1+$H42)^(2046-$E42))))))</f>
        <v/>
      </c>
      <c r="AL42" s="16">
        <f>IF($A42="","",IF(2047&lt;$E42,"",IF($D42="Manuell","",IF(2047&gt;$E42+$F42,IF($D42="Fix",$G42,$G42*(1+$H42)^($F42)),IF($D42="Fix",$G42,$G42*(1+$H42)^(2047-$E42))))))</f>
        <v/>
      </c>
      <c r="AM42" s="16">
        <f>IF($A42="","",IF(2048&lt;$E42,"",IF($D42="Manuell","",IF(2048&gt;$E42+$F42,IF($D42="Fix",$G42,$G42*(1+$H42)^($F42)),IF($D42="Fix",$G42,$G42*(1+$H42)^(2048-$E42))))))</f>
        <v/>
      </c>
      <c r="AN42" s="16">
        <f>IF($A42="","",IF(2049&lt;$E42,"",IF($D42="Manuell","",IF(2049&gt;$E42+$F42,IF($D42="Fix",$G42,$G42*(1+$H42)^($F42)),IF($D42="Fix",$G42,$G42*(1+$H42)^(2049-$E42))))))</f>
        <v/>
      </c>
      <c r="AO42" s="16">
        <f>IF($A42="","",IF(2050&lt;$E42,"",IF($D42="Manuell","",IF(2050&gt;$E42+$F42,IF($D42="Fix",$G42,$G42*(1+$H42)^($F42)),IF($D42="Fix",$G42,$G42*(1+$H42)^(2050-$E42))))))</f>
        <v/>
      </c>
      <c r="AP42" s="16">
        <f>IF($A42="","",IF(2051&lt;$E42,"",IF($D42="Manuell","",IF(2051&gt;$E42+$F42,IF($D42="Fix",$G42,$G42*(1+$H42)^($F42)),IF($D42="Fix",$G42,$G42*(1+$H42)^(2051-$E42))))))</f>
        <v/>
      </c>
      <c r="AQ42" s="16">
        <f>IF($A42="","",IF(2052&lt;$E42,"",IF($D42="Manuell","",IF(2052&gt;$E42+$F42,IF($D42="Fix",$G42,$G42*(1+$H42)^($F42)),IF($D42="Fix",$G42,$G42*(1+$H42)^(2052-$E42))))))</f>
        <v/>
      </c>
      <c r="AR42" s="16">
        <f>IF($A42="","",IF(2053&lt;$E42,"",IF($D42="Manuell","",IF(2053&gt;$E42+$F42,IF($D42="Fix",$G42,$G42*(1+$H42)^($F42)),IF($D42="Fix",$G42,$G42*(1+$H42)^(2053-$E42))))))</f>
        <v/>
      </c>
      <c r="AS42" s="16">
        <f>IF($A42="","",IF(2054&lt;$E42,"",IF($D42="Manuell","",IF(2054&gt;$E42+$F42,IF($D42="Fix",$G42,$G42*(1+$H42)^($F42)),IF($D42="Fix",$G42,$G42*(1+$H42)^(2054-$E42))))))</f>
        <v/>
      </c>
      <c r="AT42" s="16">
        <f>IF($A42="","",IF(2055&lt;$E42,"",IF($D42="Manuell","",IF(2055&gt;$E42+$F42,IF($D42="Fix",$G42,$G42*(1+$H42)^($F42)),IF($D42="Fix",$G42,$G42*(1+$H42)^(2055-$E42))))))</f>
        <v/>
      </c>
    </row>
    <row r="43">
      <c r="A43" s="14" t="inlineStr"/>
      <c r="B43" s="14" t="inlineStr"/>
      <c r="C43" s="14" t="inlineStr"/>
      <c r="D43" s="14" t="inlineStr"/>
      <c r="E43" s="11" t="inlineStr"/>
      <c r="F43" s="11" t="inlineStr"/>
      <c r="G43" s="15" t="inlineStr"/>
      <c r="H43" s="15" t="inlineStr"/>
      <c r="I43" s="16">
        <f>IF($A43="","",IF(2018&lt;$E43,"",IF($D43="Manuell","",IF(2018&gt;$E43+$F43,IF($D43="Fix",$G43,$G43*(1+$H43)^($F43)),IF($D43="Fix",$G43,$G43*(1+$H43)^(2018-$E43))))))</f>
        <v/>
      </c>
      <c r="J43" s="16">
        <f>IF($A43="","",IF(2019&lt;$E43,"",IF($D43="Manuell","",IF(2019&gt;$E43+$F43,IF($D43="Fix",$G43,$G43*(1+$H43)^($F43)),IF($D43="Fix",$G43,$G43*(1+$H43)^(2019-$E43))))))</f>
        <v/>
      </c>
      <c r="K43" s="16">
        <f>IF($A43="","",IF(2020&lt;$E43,"",IF($D43="Manuell","",IF(2020&gt;$E43+$F43,IF($D43="Fix",$G43,$G43*(1+$H43)^($F43)),IF($D43="Fix",$G43,$G43*(1+$H43)^(2020-$E43))))))</f>
        <v/>
      </c>
      <c r="L43" s="16">
        <f>IF($A43="","",IF(2021&lt;$E43,"",IF($D43="Manuell","",IF(2021&gt;$E43+$F43,IF($D43="Fix",$G43,$G43*(1+$H43)^($F43)),IF($D43="Fix",$G43,$G43*(1+$H43)^(2021-$E43))))))</f>
        <v/>
      </c>
      <c r="M43" s="16">
        <f>IF($A43="","",IF(2022&lt;$E43,"",IF($D43="Manuell","",IF(2022&gt;$E43+$F43,IF($D43="Fix",$G43,$G43*(1+$H43)^($F43)),IF($D43="Fix",$G43,$G43*(1+$H43)^(2022-$E43))))))</f>
        <v/>
      </c>
      <c r="N43" s="16">
        <f>IF($A43="","",IF(2023&lt;$E43,"",IF($D43="Manuell","",IF(2023&gt;$E43+$F43,IF($D43="Fix",$G43,$G43*(1+$H43)^($F43)),IF($D43="Fix",$G43,$G43*(1+$H43)^(2023-$E43))))))</f>
        <v/>
      </c>
      <c r="O43" s="16">
        <f>IF($A43="","",IF(2024&lt;$E43,"",IF($D43="Manuell","",IF(2024&gt;$E43+$F43,IF($D43="Fix",$G43,$G43*(1+$H43)^($F43)),IF($D43="Fix",$G43,$G43*(1+$H43)^(2024-$E43))))))</f>
        <v/>
      </c>
      <c r="P43" s="16">
        <f>IF($A43="","",IF(2025&lt;$E43,"",IF($D43="Manuell","",IF(2025&gt;$E43+$F43,IF($D43="Fix",$G43,$G43*(1+$H43)^($F43)),IF($D43="Fix",$G43,$G43*(1+$H43)^(2025-$E43))))))</f>
        <v/>
      </c>
      <c r="Q43" s="16">
        <f>IF($A43="","",IF(2026&lt;$E43,"",IF($D43="Manuell","",IF(2026&gt;$E43+$F43,IF($D43="Fix",$G43,$G43*(1+$H43)^($F43)),IF($D43="Fix",$G43,$G43*(1+$H43)^(2026-$E43))))))</f>
        <v/>
      </c>
      <c r="R43" s="16">
        <f>IF($A43="","",IF(2027&lt;$E43,"",IF($D43="Manuell","",IF(2027&gt;$E43+$F43,IF($D43="Fix",$G43,$G43*(1+$H43)^($F43)),IF($D43="Fix",$G43,$G43*(1+$H43)^(2027-$E43))))))</f>
        <v/>
      </c>
      <c r="S43" s="16">
        <f>IF($A43="","",IF(2028&lt;$E43,"",IF($D43="Manuell","",IF(2028&gt;$E43+$F43,IF($D43="Fix",$G43,$G43*(1+$H43)^($F43)),IF($D43="Fix",$G43,$G43*(1+$H43)^(2028-$E43))))))</f>
        <v/>
      </c>
      <c r="T43" s="16">
        <f>IF($A43="","",IF(2029&lt;$E43,"",IF($D43="Manuell","",IF(2029&gt;$E43+$F43,IF($D43="Fix",$G43,$G43*(1+$H43)^($F43)),IF($D43="Fix",$G43,$G43*(1+$H43)^(2029-$E43))))))</f>
        <v/>
      </c>
      <c r="U43" s="16">
        <f>IF($A43="","",IF(2030&lt;$E43,"",IF($D43="Manuell","",IF(2030&gt;$E43+$F43,IF($D43="Fix",$G43,$G43*(1+$H43)^($F43)),IF($D43="Fix",$G43,$G43*(1+$H43)^(2030-$E43))))))</f>
        <v/>
      </c>
      <c r="V43" s="16">
        <f>IF($A43="","",IF(2031&lt;$E43,"",IF($D43="Manuell","",IF(2031&gt;$E43+$F43,IF($D43="Fix",$G43,$G43*(1+$H43)^($F43)),IF($D43="Fix",$G43,$G43*(1+$H43)^(2031-$E43))))))</f>
        <v/>
      </c>
      <c r="W43" s="16">
        <f>IF($A43="","",IF(2032&lt;$E43,"",IF($D43="Manuell","",IF(2032&gt;$E43+$F43,IF($D43="Fix",$G43,$G43*(1+$H43)^($F43)),IF($D43="Fix",$G43,$G43*(1+$H43)^(2032-$E43))))))</f>
        <v/>
      </c>
      <c r="X43" s="16">
        <f>IF($A43="","",IF(2033&lt;$E43,"",IF($D43="Manuell","",IF(2033&gt;$E43+$F43,IF($D43="Fix",$G43,$G43*(1+$H43)^($F43)),IF($D43="Fix",$G43,$G43*(1+$H43)^(2033-$E43))))))</f>
        <v/>
      </c>
      <c r="Y43" s="16">
        <f>IF($A43="","",IF(2034&lt;$E43,"",IF($D43="Manuell","",IF(2034&gt;$E43+$F43,IF($D43="Fix",$G43,$G43*(1+$H43)^($F43)),IF($D43="Fix",$G43,$G43*(1+$H43)^(2034-$E43))))))</f>
        <v/>
      </c>
      <c r="Z43" s="16">
        <f>IF($A43="","",IF(2035&lt;$E43,"",IF($D43="Manuell","",IF(2035&gt;$E43+$F43,IF($D43="Fix",$G43,$G43*(1+$H43)^($F43)),IF($D43="Fix",$G43,$G43*(1+$H43)^(2035-$E43))))))</f>
        <v/>
      </c>
      <c r="AA43" s="16">
        <f>IF($A43="","",IF(2036&lt;$E43,"",IF($D43="Manuell","",IF(2036&gt;$E43+$F43,IF($D43="Fix",$G43,$G43*(1+$H43)^($F43)),IF($D43="Fix",$G43,$G43*(1+$H43)^(2036-$E43))))))</f>
        <v/>
      </c>
      <c r="AB43" s="16">
        <f>IF($A43="","",IF(2037&lt;$E43,"",IF($D43="Manuell","",IF(2037&gt;$E43+$F43,IF($D43="Fix",$G43,$G43*(1+$H43)^($F43)),IF($D43="Fix",$G43,$G43*(1+$H43)^(2037-$E43))))))</f>
        <v/>
      </c>
      <c r="AC43" s="16">
        <f>IF($A43="","",IF(2038&lt;$E43,"",IF($D43="Manuell","",IF(2038&gt;$E43+$F43,IF($D43="Fix",$G43,$G43*(1+$H43)^($F43)),IF($D43="Fix",$G43,$G43*(1+$H43)^(2038-$E43))))))</f>
        <v/>
      </c>
      <c r="AD43" s="16">
        <f>IF($A43="","",IF(2039&lt;$E43,"",IF($D43="Manuell","",IF(2039&gt;$E43+$F43,IF($D43="Fix",$G43,$G43*(1+$H43)^($F43)),IF($D43="Fix",$G43,$G43*(1+$H43)^(2039-$E43))))))</f>
        <v/>
      </c>
      <c r="AE43" s="16">
        <f>IF($A43="","",IF(2040&lt;$E43,"",IF($D43="Manuell","",IF(2040&gt;$E43+$F43,IF($D43="Fix",$G43,$G43*(1+$H43)^($F43)),IF($D43="Fix",$G43,$G43*(1+$H43)^(2040-$E43))))))</f>
        <v/>
      </c>
      <c r="AF43" s="16">
        <f>IF($A43="","",IF(2041&lt;$E43,"",IF($D43="Manuell","",IF(2041&gt;$E43+$F43,IF($D43="Fix",$G43,$G43*(1+$H43)^($F43)),IF($D43="Fix",$G43,$G43*(1+$H43)^(2041-$E43))))))</f>
        <v/>
      </c>
      <c r="AG43" s="16">
        <f>IF($A43="","",IF(2042&lt;$E43,"",IF($D43="Manuell","",IF(2042&gt;$E43+$F43,IF($D43="Fix",$G43,$G43*(1+$H43)^($F43)),IF($D43="Fix",$G43,$G43*(1+$H43)^(2042-$E43))))))</f>
        <v/>
      </c>
      <c r="AH43" s="16">
        <f>IF($A43="","",IF(2043&lt;$E43,"",IF($D43="Manuell","",IF(2043&gt;$E43+$F43,IF($D43="Fix",$G43,$G43*(1+$H43)^($F43)),IF($D43="Fix",$G43,$G43*(1+$H43)^(2043-$E43))))))</f>
        <v/>
      </c>
      <c r="AI43" s="16">
        <f>IF($A43="","",IF(2044&lt;$E43,"",IF($D43="Manuell","",IF(2044&gt;$E43+$F43,IF($D43="Fix",$G43,$G43*(1+$H43)^($F43)),IF($D43="Fix",$G43,$G43*(1+$H43)^(2044-$E43))))))</f>
        <v/>
      </c>
      <c r="AJ43" s="16">
        <f>IF($A43="","",IF(2045&lt;$E43,"",IF($D43="Manuell","",IF(2045&gt;$E43+$F43,IF($D43="Fix",$G43,$G43*(1+$H43)^($F43)),IF($D43="Fix",$G43,$G43*(1+$H43)^(2045-$E43))))))</f>
        <v/>
      </c>
      <c r="AK43" s="16">
        <f>IF($A43="","",IF(2046&lt;$E43,"",IF($D43="Manuell","",IF(2046&gt;$E43+$F43,IF($D43="Fix",$G43,$G43*(1+$H43)^($F43)),IF($D43="Fix",$G43,$G43*(1+$H43)^(2046-$E43))))))</f>
        <v/>
      </c>
      <c r="AL43" s="16">
        <f>IF($A43="","",IF(2047&lt;$E43,"",IF($D43="Manuell","",IF(2047&gt;$E43+$F43,IF($D43="Fix",$G43,$G43*(1+$H43)^($F43)),IF($D43="Fix",$G43,$G43*(1+$H43)^(2047-$E43))))))</f>
        <v/>
      </c>
      <c r="AM43" s="16">
        <f>IF($A43="","",IF(2048&lt;$E43,"",IF($D43="Manuell","",IF(2048&gt;$E43+$F43,IF($D43="Fix",$G43,$G43*(1+$H43)^($F43)),IF($D43="Fix",$G43,$G43*(1+$H43)^(2048-$E43))))))</f>
        <v/>
      </c>
      <c r="AN43" s="16">
        <f>IF($A43="","",IF(2049&lt;$E43,"",IF($D43="Manuell","",IF(2049&gt;$E43+$F43,IF($D43="Fix",$G43,$G43*(1+$H43)^($F43)),IF($D43="Fix",$G43,$G43*(1+$H43)^(2049-$E43))))))</f>
        <v/>
      </c>
      <c r="AO43" s="16">
        <f>IF($A43="","",IF(2050&lt;$E43,"",IF($D43="Manuell","",IF(2050&gt;$E43+$F43,IF($D43="Fix",$G43,$G43*(1+$H43)^($F43)),IF($D43="Fix",$G43,$G43*(1+$H43)^(2050-$E43))))))</f>
        <v/>
      </c>
      <c r="AP43" s="16">
        <f>IF($A43="","",IF(2051&lt;$E43,"",IF($D43="Manuell","",IF(2051&gt;$E43+$F43,IF($D43="Fix",$G43,$G43*(1+$H43)^($F43)),IF($D43="Fix",$G43,$G43*(1+$H43)^(2051-$E43))))))</f>
        <v/>
      </c>
      <c r="AQ43" s="16">
        <f>IF($A43="","",IF(2052&lt;$E43,"",IF($D43="Manuell","",IF(2052&gt;$E43+$F43,IF($D43="Fix",$G43,$G43*(1+$H43)^($F43)),IF($D43="Fix",$G43,$G43*(1+$H43)^(2052-$E43))))))</f>
        <v/>
      </c>
      <c r="AR43" s="16">
        <f>IF($A43="","",IF(2053&lt;$E43,"",IF($D43="Manuell","",IF(2053&gt;$E43+$F43,IF($D43="Fix",$G43,$G43*(1+$H43)^($F43)),IF($D43="Fix",$G43,$G43*(1+$H43)^(2053-$E43))))))</f>
        <v/>
      </c>
      <c r="AS43" s="16">
        <f>IF($A43="","",IF(2054&lt;$E43,"",IF($D43="Manuell","",IF(2054&gt;$E43+$F43,IF($D43="Fix",$G43,$G43*(1+$H43)^($F43)),IF($D43="Fix",$G43,$G43*(1+$H43)^(2054-$E43))))))</f>
        <v/>
      </c>
      <c r="AT43" s="16">
        <f>IF($A43="","",IF(2055&lt;$E43,"",IF($D43="Manuell","",IF(2055&gt;$E43+$F43,IF($D43="Fix",$G43,$G43*(1+$H43)^($F43)),IF($D43="Fix",$G43,$G43*(1+$H43)^(2055-$E43))))))</f>
        <v/>
      </c>
    </row>
    <row r="44">
      <c r="A44" s="14" t="inlineStr"/>
      <c r="B44" s="14" t="inlineStr"/>
      <c r="C44" s="14" t="inlineStr"/>
      <c r="D44" s="14" t="inlineStr"/>
      <c r="E44" s="11" t="inlineStr"/>
      <c r="F44" s="11" t="inlineStr"/>
      <c r="G44" s="15" t="inlineStr"/>
      <c r="H44" s="15" t="inlineStr"/>
      <c r="I44" s="16">
        <f>IF($A44="","",IF(2018&lt;$E44,"",IF($D44="Manuell","",IF(2018&gt;$E44+$F44,IF($D44="Fix",$G44,$G44*(1+$H44)^($F44)),IF($D44="Fix",$G44,$G44*(1+$H44)^(2018-$E44))))))</f>
        <v/>
      </c>
      <c r="J44" s="16">
        <f>IF($A44="","",IF(2019&lt;$E44,"",IF($D44="Manuell","",IF(2019&gt;$E44+$F44,IF($D44="Fix",$G44,$G44*(1+$H44)^($F44)),IF($D44="Fix",$G44,$G44*(1+$H44)^(2019-$E44))))))</f>
        <v/>
      </c>
      <c r="K44" s="16">
        <f>IF($A44="","",IF(2020&lt;$E44,"",IF($D44="Manuell","",IF(2020&gt;$E44+$F44,IF($D44="Fix",$G44,$G44*(1+$H44)^($F44)),IF($D44="Fix",$G44,$G44*(1+$H44)^(2020-$E44))))))</f>
        <v/>
      </c>
      <c r="L44" s="16">
        <f>IF($A44="","",IF(2021&lt;$E44,"",IF($D44="Manuell","",IF(2021&gt;$E44+$F44,IF($D44="Fix",$G44,$G44*(1+$H44)^($F44)),IF($D44="Fix",$G44,$G44*(1+$H44)^(2021-$E44))))))</f>
        <v/>
      </c>
      <c r="M44" s="16">
        <f>IF($A44="","",IF(2022&lt;$E44,"",IF($D44="Manuell","",IF(2022&gt;$E44+$F44,IF($D44="Fix",$G44,$G44*(1+$H44)^($F44)),IF($D44="Fix",$G44,$G44*(1+$H44)^(2022-$E44))))))</f>
        <v/>
      </c>
      <c r="N44" s="16">
        <f>IF($A44="","",IF(2023&lt;$E44,"",IF($D44="Manuell","",IF(2023&gt;$E44+$F44,IF($D44="Fix",$G44,$G44*(1+$H44)^($F44)),IF($D44="Fix",$G44,$G44*(1+$H44)^(2023-$E44))))))</f>
        <v/>
      </c>
      <c r="O44" s="16">
        <f>IF($A44="","",IF(2024&lt;$E44,"",IF($D44="Manuell","",IF(2024&gt;$E44+$F44,IF($D44="Fix",$G44,$G44*(1+$H44)^($F44)),IF($D44="Fix",$G44,$G44*(1+$H44)^(2024-$E44))))))</f>
        <v/>
      </c>
      <c r="P44" s="16">
        <f>IF($A44="","",IF(2025&lt;$E44,"",IF($D44="Manuell","",IF(2025&gt;$E44+$F44,IF($D44="Fix",$G44,$G44*(1+$H44)^($F44)),IF($D44="Fix",$G44,$G44*(1+$H44)^(2025-$E44))))))</f>
        <v/>
      </c>
      <c r="Q44" s="16">
        <f>IF($A44="","",IF(2026&lt;$E44,"",IF($D44="Manuell","",IF(2026&gt;$E44+$F44,IF($D44="Fix",$G44,$G44*(1+$H44)^($F44)),IF($D44="Fix",$G44,$G44*(1+$H44)^(2026-$E44))))))</f>
        <v/>
      </c>
      <c r="R44" s="16">
        <f>IF($A44="","",IF(2027&lt;$E44,"",IF($D44="Manuell","",IF(2027&gt;$E44+$F44,IF($D44="Fix",$G44,$G44*(1+$H44)^($F44)),IF($D44="Fix",$G44,$G44*(1+$H44)^(2027-$E44))))))</f>
        <v/>
      </c>
      <c r="S44" s="16">
        <f>IF($A44="","",IF(2028&lt;$E44,"",IF($D44="Manuell","",IF(2028&gt;$E44+$F44,IF($D44="Fix",$G44,$G44*(1+$H44)^($F44)),IF($D44="Fix",$G44,$G44*(1+$H44)^(2028-$E44))))))</f>
        <v/>
      </c>
      <c r="T44" s="16">
        <f>IF($A44="","",IF(2029&lt;$E44,"",IF($D44="Manuell","",IF(2029&gt;$E44+$F44,IF($D44="Fix",$G44,$G44*(1+$H44)^($F44)),IF($D44="Fix",$G44,$G44*(1+$H44)^(2029-$E44))))))</f>
        <v/>
      </c>
      <c r="U44" s="16">
        <f>IF($A44="","",IF(2030&lt;$E44,"",IF($D44="Manuell","",IF(2030&gt;$E44+$F44,IF($D44="Fix",$G44,$G44*(1+$H44)^($F44)),IF($D44="Fix",$G44,$G44*(1+$H44)^(2030-$E44))))))</f>
        <v/>
      </c>
      <c r="V44" s="16">
        <f>IF($A44="","",IF(2031&lt;$E44,"",IF($D44="Manuell","",IF(2031&gt;$E44+$F44,IF($D44="Fix",$G44,$G44*(1+$H44)^($F44)),IF($D44="Fix",$G44,$G44*(1+$H44)^(2031-$E44))))))</f>
        <v/>
      </c>
      <c r="W44" s="16">
        <f>IF($A44="","",IF(2032&lt;$E44,"",IF($D44="Manuell","",IF(2032&gt;$E44+$F44,IF($D44="Fix",$G44,$G44*(1+$H44)^($F44)),IF($D44="Fix",$G44,$G44*(1+$H44)^(2032-$E44))))))</f>
        <v/>
      </c>
      <c r="X44" s="16">
        <f>IF($A44="","",IF(2033&lt;$E44,"",IF($D44="Manuell","",IF(2033&gt;$E44+$F44,IF($D44="Fix",$G44,$G44*(1+$H44)^($F44)),IF($D44="Fix",$G44,$G44*(1+$H44)^(2033-$E44))))))</f>
        <v/>
      </c>
      <c r="Y44" s="16">
        <f>IF($A44="","",IF(2034&lt;$E44,"",IF($D44="Manuell","",IF(2034&gt;$E44+$F44,IF($D44="Fix",$G44,$G44*(1+$H44)^($F44)),IF($D44="Fix",$G44,$G44*(1+$H44)^(2034-$E44))))))</f>
        <v/>
      </c>
      <c r="Z44" s="16">
        <f>IF($A44="","",IF(2035&lt;$E44,"",IF($D44="Manuell","",IF(2035&gt;$E44+$F44,IF($D44="Fix",$G44,$G44*(1+$H44)^($F44)),IF($D44="Fix",$G44,$G44*(1+$H44)^(2035-$E44))))))</f>
        <v/>
      </c>
      <c r="AA44" s="16">
        <f>IF($A44="","",IF(2036&lt;$E44,"",IF($D44="Manuell","",IF(2036&gt;$E44+$F44,IF($D44="Fix",$G44,$G44*(1+$H44)^($F44)),IF($D44="Fix",$G44,$G44*(1+$H44)^(2036-$E44))))))</f>
        <v/>
      </c>
      <c r="AB44" s="16">
        <f>IF($A44="","",IF(2037&lt;$E44,"",IF($D44="Manuell","",IF(2037&gt;$E44+$F44,IF($D44="Fix",$G44,$G44*(1+$H44)^($F44)),IF($D44="Fix",$G44,$G44*(1+$H44)^(2037-$E44))))))</f>
        <v/>
      </c>
      <c r="AC44" s="16">
        <f>IF($A44="","",IF(2038&lt;$E44,"",IF($D44="Manuell","",IF(2038&gt;$E44+$F44,IF($D44="Fix",$G44,$G44*(1+$H44)^($F44)),IF($D44="Fix",$G44,$G44*(1+$H44)^(2038-$E44))))))</f>
        <v/>
      </c>
      <c r="AD44" s="16">
        <f>IF($A44="","",IF(2039&lt;$E44,"",IF($D44="Manuell","",IF(2039&gt;$E44+$F44,IF($D44="Fix",$G44,$G44*(1+$H44)^($F44)),IF($D44="Fix",$G44,$G44*(1+$H44)^(2039-$E44))))))</f>
        <v/>
      </c>
      <c r="AE44" s="16">
        <f>IF($A44="","",IF(2040&lt;$E44,"",IF($D44="Manuell","",IF(2040&gt;$E44+$F44,IF($D44="Fix",$G44,$G44*(1+$H44)^($F44)),IF($D44="Fix",$G44,$G44*(1+$H44)^(2040-$E44))))))</f>
        <v/>
      </c>
      <c r="AF44" s="16">
        <f>IF($A44="","",IF(2041&lt;$E44,"",IF($D44="Manuell","",IF(2041&gt;$E44+$F44,IF($D44="Fix",$G44,$G44*(1+$H44)^($F44)),IF($D44="Fix",$G44,$G44*(1+$H44)^(2041-$E44))))))</f>
        <v/>
      </c>
      <c r="AG44" s="16">
        <f>IF($A44="","",IF(2042&lt;$E44,"",IF($D44="Manuell","",IF(2042&gt;$E44+$F44,IF($D44="Fix",$G44,$G44*(1+$H44)^($F44)),IF($D44="Fix",$G44,$G44*(1+$H44)^(2042-$E44))))))</f>
        <v/>
      </c>
      <c r="AH44" s="16">
        <f>IF($A44="","",IF(2043&lt;$E44,"",IF($D44="Manuell","",IF(2043&gt;$E44+$F44,IF($D44="Fix",$G44,$G44*(1+$H44)^($F44)),IF($D44="Fix",$G44,$G44*(1+$H44)^(2043-$E44))))))</f>
        <v/>
      </c>
      <c r="AI44" s="16">
        <f>IF($A44="","",IF(2044&lt;$E44,"",IF($D44="Manuell","",IF(2044&gt;$E44+$F44,IF($D44="Fix",$G44,$G44*(1+$H44)^($F44)),IF($D44="Fix",$G44,$G44*(1+$H44)^(2044-$E44))))))</f>
        <v/>
      </c>
      <c r="AJ44" s="16">
        <f>IF($A44="","",IF(2045&lt;$E44,"",IF($D44="Manuell","",IF(2045&gt;$E44+$F44,IF($D44="Fix",$G44,$G44*(1+$H44)^($F44)),IF($D44="Fix",$G44,$G44*(1+$H44)^(2045-$E44))))))</f>
        <v/>
      </c>
      <c r="AK44" s="16">
        <f>IF($A44="","",IF(2046&lt;$E44,"",IF($D44="Manuell","",IF(2046&gt;$E44+$F44,IF($D44="Fix",$G44,$G44*(1+$H44)^($F44)),IF($D44="Fix",$G44,$G44*(1+$H44)^(2046-$E44))))))</f>
        <v/>
      </c>
      <c r="AL44" s="16">
        <f>IF($A44="","",IF(2047&lt;$E44,"",IF($D44="Manuell","",IF(2047&gt;$E44+$F44,IF($D44="Fix",$G44,$G44*(1+$H44)^($F44)),IF($D44="Fix",$G44,$G44*(1+$H44)^(2047-$E44))))))</f>
        <v/>
      </c>
      <c r="AM44" s="16">
        <f>IF($A44="","",IF(2048&lt;$E44,"",IF($D44="Manuell","",IF(2048&gt;$E44+$F44,IF($D44="Fix",$G44,$G44*(1+$H44)^($F44)),IF($D44="Fix",$G44,$G44*(1+$H44)^(2048-$E44))))))</f>
        <v/>
      </c>
      <c r="AN44" s="16">
        <f>IF($A44="","",IF(2049&lt;$E44,"",IF($D44="Manuell","",IF(2049&gt;$E44+$F44,IF($D44="Fix",$G44,$G44*(1+$H44)^($F44)),IF($D44="Fix",$G44,$G44*(1+$H44)^(2049-$E44))))))</f>
        <v/>
      </c>
      <c r="AO44" s="16">
        <f>IF($A44="","",IF(2050&lt;$E44,"",IF($D44="Manuell","",IF(2050&gt;$E44+$F44,IF($D44="Fix",$G44,$G44*(1+$H44)^($F44)),IF($D44="Fix",$G44,$G44*(1+$H44)^(2050-$E44))))))</f>
        <v/>
      </c>
      <c r="AP44" s="16">
        <f>IF($A44="","",IF(2051&lt;$E44,"",IF($D44="Manuell","",IF(2051&gt;$E44+$F44,IF($D44="Fix",$G44,$G44*(1+$H44)^($F44)),IF($D44="Fix",$G44,$G44*(1+$H44)^(2051-$E44))))))</f>
        <v/>
      </c>
      <c r="AQ44" s="16">
        <f>IF($A44="","",IF(2052&lt;$E44,"",IF($D44="Manuell","",IF(2052&gt;$E44+$F44,IF($D44="Fix",$G44,$G44*(1+$H44)^($F44)),IF($D44="Fix",$G44,$G44*(1+$H44)^(2052-$E44))))))</f>
        <v/>
      </c>
      <c r="AR44" s="16">
        <f>IF($A44="","",IF(2053&lt;$E44,"",IF($D44="Manuell","",IF(2053&gt;$E44+$F44,IF($D44="Fix",$G44,$G44*(1+$H44)^($F44)),IF($D44="Fix",$G44,$G44*(1+$H44)^(2053-$E44))))))</f>
        <v/>
      </c>
      <c r="AS44" s="16">
        <f>IF($A44="","",IF(2054&lt;$E44,"",IF($D44="Manuell","",IF(2054&gt;$E44+$F44,IF($D44="Fix",$G44,$G44*(1+$H44)^($F44)),IF($D44="Fix",$G44,$G44*(1+$H44)^(2054-$E44))))))</f>
        <v/>
      </c>
      <c r="AT44" s="16">
        <f>IF($A44="","",IF(2055&lt;$E44,"",IF($D44="Manuell","",IF(2055&gt;$E44+$F44,IF($D44="Fix",$G44,$G44*(1+$H44)^($F44)),IF($D44="Fix",$G44,$G44*(1+$H44)^(2055-$E44))))))</f>
        <v/>
      </c>
    </row>
    <row r="45">
      <c r="A45" s="14" t="inlineStr"/>
      <c r="B45" s="14" t="inlineStr"/>
      <c r="C45" s="14" t="inlineStr"/>
      <c r="D45" s="14" t="inlineStr"/>
      <c r="E45" s="11" t="inlineStr"/>
      <c r="F45" s="11" t="inlineStr"/>
      <c r="G45" s="15" t="inlineStr"/>
      <c r="H45" s="15" t="inlineStr"/>
      <c r="I45" s="16">
        <f>IF($A45="","",IF(2018&lt;$E45,"",IF($D45="Manuell","",IF(2018&gt;$E45+$F45,IF($D45="Fix",$G45,$G45*(1+$H45)^($F45)),IF($D45="Fix",$G45,$G45*(1+$H45)^(2018-$E45))))))</f>
        <v/>
      </c>
      <c r="J45" s="16">
        <f>IF($A45="","",IF(2019&lt;$E45,"",IF($D45="Manuell","",IF(2019&gt;$E45+$F45,IF($D45="Fix",$G45,$G45*(1+$H45)^($F45)),IF($D45="Fix",$G45,$G45*(1+$H45)^(2019-$E45))))))</f>
        <v/>
      </c>
      <c r="K45" s="16">
        <f>IF($A45="","",IF(2020&lt;$E45,"",IF($D45="Manuell","",IF(2020&gt;$E45+$F45,IF($D45="Fix",$G45,$G45*(1+$H45)^($F45)),IF($D45="Fix",$G45,$G45*(1+$H45)^(2020-$E45))))))</f>
        <v/>
      </c>
      <c r="L45" s="16">
        <f>IF($A45="","",IF(2021&lt;$E45,"",IF($D45="Manuell","",IF(2021&gt;$E45+$F45,IF($D45="Fix",$G45,$G45*(1+$H45)^($F45)),IF($D45="Fix",$G45,$G45*(1+$H45)^(2021-$E45))))))</f>
        <v/>
      </c>
      <c r="M45" s="16">
        <f>IF($A45="","",IF(2022&lt;$E45,"",IF($D45="Manuell","",IF(2022&gt;$E45+$F45,IF($D45="Fix",$G45,$G45*(1+$H45)^($F45)),IF($D45="Fix",$G45,$G45*(1+$H45)^(2022-$E45))))))</f>
        <v/>
      </c>
      <c r="N45" s="16">
        <f>IF($A45="","",IF(2023&lt;$E45,"",IF($D45="Manuell","",IF(2023&gt;$E45+$F45,IF($D45="Fix",$G45,$G45*(1+$H45)^($F45)),IF($D45="Fix",$G45,$G45*(1+$H45)^(2023-$E45))))))</f>
        <v/>
      </c>
      <c r="O45" s="16">
        <f>IF($A45="","",IF(2024&lt;$E45,"",IF($D45="Manuell","",IF(2024&gt;$E45+$F45,IF($D45="Fix",$G45,$G45*(1+$H45)^($F45)),IF($D45="Fix",$G45,$G45*(1+$H45)^(2024-$E45))))))</f>
        <v/>
      </c>
      <c r="P45" s="16">
        <f>IF($A45="","",IF(2025&lt;$E45,"",IF($D45="Manuell","",IF(2025&gt;$E45+$F45,IF($D45="Fix",$G45,$G45*(1+$H45)^($F45)),IF($D45="Fix",$G45,$G45*(1+$H45)^(2025-$E45))))))</f>
        <v/>
      </c>
      <c r="Q45" s="16">
        <f>IF($A45="","",IF(2026&lt;$E45,"",IF($D45="Manuell","",IF(2026&gt;$E45+$F45,IF($D45="Fix",$G45,$G45*(1+$H45)^($F45)),IF($D45="Fix",$G45,$G45*(1+$H45)^(2026-$E45))))))</f>
        <v/>
      </c>
      <c r="R45" s="16">
        <f>IF($A45="","",IF(2027&lt;$E45,"",IF($D45="Manuell","",IF(2027&gt;$E45+$F45,IF($D45="Fix",$G45,$G45*(1+$H45)^($F45)),IF($D45="Fix",$G45,$G45*(1+$H45)^(2027-$E45))))))</f>
        <v/>
      </c>
      <c r="S45" s="16">
        <f>IF($A45="","",IF(2028&lt;$E45,"",IF($D45="Manuell","",IF(2028&gt;$E45+$F45,IF($D45="Fix",$G45,$G45*(1+$H45)^($F45)),IF($D45="Fix",$G45,$G45*(1+$H45)^(2028-$E45))))))</f>
        <v/>
      </c>
      <c r="T45" s="16">
        <f>IF($A45="","",IF(2029&lt;$E45,"",IF($D45="Manuell","",IF(2029&gt;$E45+$F45,IF($D45="Fix",$G45,$G45*(1+$H45)^($F45)),IF($D45="Fix",$G45,$G45*(1+$H45)^(2029-$E45))))))</f>
        <v/>
      </c>
      <c r="U45" s="16">
        <f>IF($A45="","",IF(2030&lt;$E45,"",IF($D45="Manuell","",IF(2030&gt;$E45+$F45,IF($D45="Fix",$G45,$G45*(1+$H45)^($F45)),IF($D45="Fix",$G45,$G45*(1+$H45)^(2030-$E45))))))</f>
        <v/>
      </c>
      <c r="V45" s="16">
        <f>IF($A45="","",IF(2031&lt;$E45,"",IF($D45="Manuell","",IF(2031&gt;$E45+$F45,IF($D45="Fix",$G45,$G45*(1+$H45)^($F45)),IF($D45="Fix",$G45,$G45*(1+$H45)^(2031-$E45))))))</f>
        <v/>
      </c>
      <c r="W45" s="16">
        <f>IF($A45="","",IF(2032&lt;$E45,"",IF($D45="Manuell","",IF(2032&gt;$E45+$F45,IF($D45="Fix",$G45,$G45*(1+$H45)^($F45)),IF($D45="Fix",$G45,$G45*(1+$H45)^(2032-$E45))))))</f>
        <v/>
      </c>
      <c r="X45" s="16">
        <f>IF($A45="","",IF(2033&lt;$E45,"",IF($D45="Manuell","",IF(2033&gt;$E45+$F45,IF($D45="Fix",$G45,$G45*(1+$H45)^($F45)),IF($D45="Fix",$G45,$G45*(1+$H45)^(2033-$E45))))))</f>
        <v/>
      </c>
      <c r="Y45" s="16">
        <f>IF($A45="","",IF(2034&lt;$E45,"",IF($D45="Manuell","",IF(2034&gt;$E45+$F45,IF($D45="Fix",$G45,$G45*(1+$H45)^($F45)),IF($D45="Fix",$G45,$G45*(1+$H45)^(2034-$E45))))))</f>
        <v/>
      </c>
      <c r="Z45" s="16">
        <f>IF($A45="","",IF(2035&lt;$E45,"",IF($D45="Manuell","",IF(2035&gt;$E45+$F45,IF($D45="Fix",$G45,$G45*(1+$H45)^($F45)),IF($D45="Fix",$G45,$G45*(1+$H45)^(2035-$E45))))))</f>
        <v/>
      </c>
      <c r="AA45" s="16">
        <f>IF($A45="","",IF(2036&lt;$E45,"",IF($D45="Manuell","",IF(2036&gt;$E45+$F45,IF($D45="Fix",$G45,$G45*(1+$H45)^($F45)),IF($D45="Fix",$G45,$G45*(1+$H45)^(2036-$E45))))))</f>
        <v/>
      </c>
      <c r="AB45" s="16">
        <f>IF($A45="","",IF(2037&lt;$E45,"",IF($D45="Manuell","",IF(2037&gt;$E45+$F45,IF($D45="Fix",$G45,$G45*(1+$H45)^($F45)),IF($D45="Fix",$G45,$G45*(1+$H45)^(2037-$E45))))))</f>
        <v/>
      </c>
      <c r="AC45" s="16">
        <f>IF($A45="","",IF(2038&lt;$E45,"",IF($D45="Manuell","",IF(2038&gt;$E45+$F45,IF($D45="Fix",$G45,$G45*(1+$H45)^($F45)),IF($D45="Fix",$G45,$G45*(1+$H45)^(2038-$E45))))))</f>
        <v/>
      </c>
      <c r="AD45" s="16">
        <f>IF($A45="","",IF(2039&lt;$E45,"",IF($D45="Manuell","",IF(2039&gt;$E45+$F45,IF($D45="Fix",$G45,$G45*(1+$H45)^($F45)),IF($D45="Fix",$G45,$G45*(1+$H45)^(2039-$E45))))))</f>
        <v/>
      </c>
      <c r="AE45" s="16">
        <f>IF($A45="","",IF(2040&lt;$E45,"",IF($D45="Manuell","",IF(2040&gt;$E45+$F45,IF($D45="Fix",$G45,$G45*(1+$H45)^($F45)),IF($D45="Fix",$G45,$G45*(1+$H45)^(2040-$E45))))))</f>
        <v/>
      </c>
      <c r="AF45" s="16">
        <f>IF($A45="","",IF(2041&lt;$E45,"",IF($D45="Manuell","",IF(2041&gt;$E45+$F45,IF($D45="Fix",$G45,$G45*(1+$H45)^($F45)),IF($D45="Fix",$G45,$G45*(1+$H45)^(2041-$E45))))))</f>
        <v/>
      </c>
      <c r="AG45" s="16">
        <f>IF($A45="","",IF(2042&lt;$E45,"",IF($D45="Manuell","",IF(2042&gt;$E45+$F45,IF($D45="Fix",$G45,$G45*(1+$H45)^($F45)),IF($D45="Fix",$G45,$G45*(1+$H45)^(2042-$E45))))))</f>
        <v/>
      </c>
      <c r="AH45" s="16">
        <f>IF($A45="","",IF(2043&lt;$E45,"",IF($D45="Manuell","",IF(2043&gt;$E45+$F45,IF($D45="Fix",$G45,$G45*(1+$H45)^($F45)),IF($D45="Fix",$G45,$G45*(1+$H45)^(2043-$E45))))))</f>
        <v/>
      </c>
      <c r="AI45" s="16">
        <f>IF($A45="","",IF(2044&lt;$E45,"",IF($D45="Manuell","",IF(2044&gt;$E45+$F45,IF($D45="Fix",$G45,$G45*(1+$H45)^($F45)),IF($D45="Fix",$G45,$G45*(1+$H45)^(2044-$E45))))))</f>
        <v/>
      </c>
      <c r="AJ45" s="16">
        <f>IF($A45="","",IF(2045&lt;$E45,"",IF($D45="Manuell","",IF(2045&gt;$E45+$F45,IF($D45="Fix",$G45,$G45*(1+$H45)^($F45)),IF($D45="Fix",$G45,$G45*(1+$H45)^(2045-$E45))))))</f>
        <v/>
      </c>
      <c r="AK45" s="16">
        <f>IF($A45="","",IF(2046&lt;$E45,"",IF($D45="Manuell","",IF(2046&gt;$E45+$F45,IF($D45="Fix",$G45,$G45*(1+$H45)^($F45)),IF($D45="Fix",$G45,$G45*(1+$H45)^(2046-$E45))))))</f>
        <v/>
      </c>
      <c r="AL45" s="16">
        <f>IF($A45="","",IF(2047&lt;$E45,"",IF($D45="Manuell","",IF(2047&gt;$E45+$F45,IF($D45="Fix",$G45,$G45*(1+$H45)^($F45)),IF($D45="Fix",$G45,$G45*(1+$H45)^(2047-$E45))))))</f>
        <v/>
      </c>
      <c r="AM45" s="16">
        <f>IF($A45="","",IF(2048&lt;$E45,"",IF($D45="Manuell","",IF(2048&gt;$E45+$F45,IF($D45="Fix",$G45,$G45*(1+$H45)^($F45)),IF($D45="Fix",$G45,$G45*(1+$H45)^(2048-$E45))))))</f>
        <v/>
      </c>
      <c r="AN45" s="16">
        <f>IF($A45="","",IF(2049&lt;$E45,"",IF($D45="Manuell","",IF(2049&gt;$E45+$F45,IF($D45="Fix",$G45,$G45*(1+$H45)^($F45)),IF($D45="Fix",$G45,$G45*(1+$H45)^(2049-$E45))))))</f>
        <v/>
      </c>
      <c r="AO45" s="16">
        <f>IF($A45="","",IF(2050&lt;$E45,"",IF($D45="Manuell","",IF(2050&gt;$E45+$F45,IF($D45="Fix",$G45,$G45*(1+$H45)^($F45)),IF($D45="Fix",$G45,$G45*(1+$H45)^(2050-$E45))))))</f>
        <v/>
      </c>
      <c r="AP45" s="16">
        <f>IF($A45="","",IF(2051&lt;$E45,"",IF($D45="Manuell","",IF(2051&gt;$E45+$F45,IF($D45="Fix",$G45,$G45*(1+$H45)^($F45)),IF($D45="Fix",$G45,$G45*(1+$H45)^(2051-$E45))))))</f>
        <v/>
      </c>
      <c r="AQ45" s="16">
        <f>IF($A45="","",IF(2052&lt;$E45,"",IF($D45="Manuell","",IF(2052&gt;$E45+$F45,IF($D45="Fix",$G45,$G45*(1+$H45)^($F45)),IF($D45="Fix",$G45,$G45*(1+$H45)^(2052-$E45))))))</f>
        <v/>
      </c>
      <c r="AR45" s="16">
        <f>IF($A45="","",IF(2053&lt;$E45,"",IF($D45="Manuell","",IF(2053&gt;$E45+$F45,IF($D45="Fix",$G45,$G45*(1+$H45)^($F45)),IF($D45="Fix",$G45,$G45*(1+$H45)^(2053-$E45))))))</f>
        <v/>
      </c>
      <c r="AS45" s="16">
        <f>IF($A45="","",IF(2054&lt;$E45,"",IF($D45="Manuell","",IF(2054&gt;$E45+$F45,IF($D45="Fix",$G45,$G45*(1+$H45)^($F45)),IF($D45="Fix",$G45,$G45*(1+$H45)^(2054-$E45))))))</f>
        <v/>
      </c>
      <c r="AT45" s="16">
        <f>IF($A45="","",IF(2055&lt;$E45,"",IF($D45="Manuell","",IF(2055&gt;$E45+$F45,IF($D45="Fix",$G45,$G45*(1+$H45)^($F45)),IF($D45="Fix",$G45,$G45*(1+$H45)^(2055-$E45))))))</f>
        <v/>
      </c>
    </row>
    <row r="46">
      <c r="A46" s="14" t="inlineStr"/>
      <c r="B46" s="14" t="inlineStr"/>
      <c r="C46" s="14" t="inlineStr"/>
      <c r="D46" s="14" t="inlineStr"/>
      <c r="E46" s="11" t="inlineStr"/>
      <c r="F46" s="11" t="inlineStr"/>
      <c r="G46" s="15" t="inlineStr"/>
      <c r="H46" s="15" t="inlineStr"/>
      <c r="I46" s="16">
        <f>IF($A46="","",IF(2018&lt;$E46,"",IF($D46="Manuell","",IF(2018&gt;$E46+$F46,IF($D46="Fix",$G46,$G46*(1+$H46)^($F46)),IF($D46="Fix",$G46,$G46*(1+$H46)^(2018-$E46))))))</f>
        <v/>
      </c>
      <c r="J46" s="16">
        <f>IF($A46="","",IF(2019&lt;$E46,"",IF($D46="Manuell","",IF(2019&gt;$E46+$F46,IF($D46="Fix",$G46,$G46*(1+$H46)^($F46)),IF($D46="Fix",$G46,$G46*(1+$H46)^(2019-$E46))))))</f>
        <v/>
      </c>
      <c r="K46" s="16">
        <f>IF($A46="","",IF(2020&lt;$E46,"",IF($D46="Manuell","",IF(2020&gt;$E46+$F46,IF($D46="Fix",$G46,$G46*(1+$H46)^($F46)),IF($D46="Fix",$G46,$G46*(1+$H46)^(2020-$E46))))))</f>
        <v/>
      </c>
      <c r="L46" s="16">
        <f>IF($A46="","",IF(2021&lt;$E46,"",IF($D46="Manuell","",IF(2021&gt;$E46+$F46,IF($D46="Fix",$G46,$G46*(1+$H46)^($F46)),IF($D46="Fix",$G46,$G46*(1+$H46)^(2021-$E46))))))</f>
        <v/>
      </c>
      <c r="M46" s="16">
        <f>IF($A46="","",IF(2022&lt;$E46,"",IF($D46="Manuell","",IF(2022&gt;$E46+$F46,IF($D46="Fix",$G46,$G46*(1+$H46)^($F46)),IF($D46="Fix",$G46,$G46*(1+$H46)^(2022-$E46))))))</f>
        <v/>
      </c>
      <c r="N46" s="16">
        <f>IF($A46="","",IF(2023&lt;$E46,"",IF($D46="Manuell","",IF(2023&gt;$E46+$F46,IF($D46="Fix",$G46,$G46*(1+$H46)^($F46)),IF($D46="Fix",$G46,$G46*(1+$H46)^(2023-$E46))))))</f>
        <v/>
      </c>
      <c r="O46" s="16">
        <f>IF($A46="","",IF(2024&lt;$E46,"",IF($D46="Manuell","",IF(2024&gt;$E46+$F46,IF($D46="Fix",$G46,$G46*(1+$H46)^($F46)),IF($D46="Fix",$G46,$G46*(1+$H46)^(2024-$E46))))))</f>
        <v/>
      </c>
      <c r="P46" s="16">
        <f>IF($A46="","",IF(2025&lt;$E46,"",IF($D46="Manuell","",IF(2025&gt;$E46+$F46,IF($D46="Fix",$G46,$G46*(1+$H46)^($F46)),IF($D46="Fix",$G46,$G46*(1+$H46)^(2025-$E46))))))</f>
        <v/>
      </c>
      <c r="Q46" s="16">
        <f>IF($A46="","",IF(2026&lt;$E46,"",IF($D46="Manuell","",IF(2026&gt;$E46+$F46,IF($D46="Fix",$G46,$G46*(1+$H46)^($F46)),IF($D46="Fix",$G46,$G46*(1+$H46)^(2026-$E46))))))</f>
        <v/>
      </c>
      <c r="R46" s="16">
        <f>IF($A46="","",IF(2027&lt;$E46,"",IF($D46="Manuell","",IF(2027&gt;$E46+$F46,IF($D46="Fix",$G46,$G46*(1+$H46)^($F46)),IF($D46="Fix",$G46,$G46*(1+$H46)^(2027-$E46))))))</f>
        <v/>
      </c>
      <c r="S46" s="16">
        <f>IF($A46="","",IF(2028&lt;$E46,"",IF($D46="Manuell","",IF(2028&gt;$E46+$F46,IF($D46="Fix",$G46,$G46*(1+$H46)^($F46)),IF($D46="Fix",$G46,$G46*(1+$H46)^(2028-$E46))))))</f>
        <v/>
      </c>
      <c r="T46" s="16">
        <f>IF($A46="","",IF(2029&lt;$E46,"",IF($D46="Manuell","",IF(2029&gt;$E46+$F46,IF($D46="Fix",$G46,$G46*(1+$H46)^($F46)),IF($D46="Fix",$G46,$G46*(1+$H46)^(2029-$E46))))))</f>
        <v/>
      </c>
      <c r="U46" s="16">
        <f>IF($A46="","",IF(2030&lt;$E46,"",IF($D46="Manuell","",IF(2030&gt;$E46+$F46,IF($D46="Fix",$G46,$G46*(1+$H46)^($F46)),IF($D46="Fix",$G46,$G46*(1+$H46)^(2030-$E46))))))</f>
        <v/>
      </c>
      <c r="V46" s="16">
        <f>IF($A46="","",IF(2031&lt;$E46,"",IF($D46="Manuell","",IF(2031&gt;$E46+$F46,IF($D46="Fix",$G46,$G46*(1+$H46)^($F46)),IF($D46="Fix",$G46,$G46*(1+$H46)^(2031-$E46))))))</f>
        <v/>
      </c>
      <c r="W46" s="16">
        <f>IF($A46="","",IF(2032&lt;$E46,"",IF($D46="Manuell","",IF(2032&gt;$E46+$F46,IF($D46="Fix",$G46,$G46*(1+$H46)^($F46)),IF($D46="Fix",$G46,$G46*(1+$H46)^(2032-$E46))))))</f>
        <v/>
      </c>
      <c r="X46" s="16">
        <f>IF($A46="","",IF(2033&lt;$E46,"",IF($D46="Manuell","",IF(2033&gt;$E46+$F46,IF($D46="Fix",$G46,$G46*(1+$H46)^($F46)),IF($D46="Fix",$G46,$G46*(1+$H46)^(2033-$E46))))))</f>
        <v/>
      </c>
      <c r="Y46" s="16">
        <f>IF($A46="","",IF(2034&lt;$E46,"",IF($D46="Manuell","",IF(2034&gt;$E46+$F46,IF($D46="Fix",$G46,$G46*(1+$H46)^($F46)),IF($D46="Fix",$G46,$G46*(1+$H46)^(2034-$E46))))))</f>
        <v/>
      </c>
      <c r="Z46" s="16">
        <f>IF($A46="","",IF(2035&lt;$E46,"",IF($D46="Manuell","",IF(2035&gt;$E46+$F46,IF($D46="Fix",$G46,$G46*(1+$H46)^($F46)),IF($D46="Fix",$G46,$G46*(1+$H46)^(2035-$E46))))))</f>
        <v/>
      </c>
      <c r="AA46" s="16">
        <f>IF($A46="","",IF(2036&lt;$E46,"",IF($D46="Manuell","",IF(2036&gt;$E46+$F46,IF($D46="Fix",$G46,$G46*(1+$H46)^($F46)),IF($D46="Fix",$G46,$G46*(1+$H46)^(2036-$E46))))))</f>
        <v/>
      </c>
      <c r="AB46" s="16">
        <f>IF($A46="","",IF(2037&lt;$E46,"",IF($D46="Manuell","",IF(2037&gt;$E46+$F46,IF($D46="Fix",$G46,$G46*(1+$H46)^($F46)),IF($D46="Fix",$G46,$G46*(1+$H46)^(2037-$E46))))))</f>
        <v/>
      </c>
      <c r="AC46" s="16">
        <f>IF($A46="","",IF(2038&lt;$E46,"",IF($D46="Manuell","",IF(2038&gt;$E46+$F46,IF($D46="Fix",$G46,$G46*(1+$H46)^($F46)),IF($D46="Fix",$G46,$G46*(1+$H46)^(2038-$E46))))))</f>
        <v/>
      </c>
      <c r="AD46" s="16">
        <f>IF($A46="","",IF(2039&lt;$E46,"",IF($D46="Manuell","",IF(2039&gt;$E46+$F46,IF($D46="Fix",$G46,$G46*(1+$H46)^($F46)),IF($D46="Fix",$G46,$G46*(1+$H46)^(2039-$E46))))))</f>
        <v/>
      </c>
      <c r="AE46" s="16">
        <f>IF($A46="","",IF(2040&lt;$E46,"",IF($D46="Manuell","",IF(2040&gt;$E46+$F46,IF($D46="Fix",$G46,$G46*(1+$H46)^($F46)),IF($D46="Fix",$G46,$G46*(1+$H46)^(2040-$E46))))))</f>
        <v/>
      </c>
      <c r="AF46" s="16">
        <f>IF($A46="","",IF(2041&lt;$E46,"",IF($D46="Manuell","",IF(2041&gt;$E46+$F46,IF($D46="Fix",$G46,$G46*(1+$H46)^($F46)),IF($D46="Fix",$G46,$G46*(1+$H46)^(2041-$E46))))))</f>
        <v/>
      </c>
      <c r="AG46" s="16">
        <f>IF($A46="","",IF(2042&lt;$E46,"",IF($D46="Manuell","",IF(2042&gt;$E46+$F46,IF($D46="Fix",$G46,$G46*(1+$H46)^($F46)),IF($D46="Fix",$G46,$G46*(1+$H46)^(2042-$E46))))))</f>
        <v/>
      </c>
      <c r="AH46" s="16">
        <f>IF($A46="","",IF(2043&lt;$E46,"",IF($D46="Manuell","",IF(2043&gt;$E46+$F46,IF($D46="Fix",$G46,$G46*(1+$H46)^($F46)),IF($D46="Fix",$G46,$G46*(1+$H46)^(2043-$E46))))))</f>
        <v/>
      </c>
      <c r="AI46" s="16">
        <f>IF($A46="","",IF(2044&lt;$E46,"",IF($D46="Manuell","",IF(2044&gt;$E46+$F46,IF($D46="Fix",$G46,$G46*(1+$H46)^($F46)),IF($D46="Fix",$G46,$G46*(1+$H46)^(2044-$E46))))))</f>
        <v/>
      </c>
      <c r="AJ46" s="16">
        <f>IF($A46="","",IF(2045&lt;$E46,"",IF($D46="Manuell","",IF(2045&gt;$E46+$F46,IF($D46="Fix",$G46,$G46*(1+$H46)^($F46)),IF($D46="Fix",$G46,$G46*(1+$H46)^(2045-$E46))))))</f>
        <v/>
      </c>
      <c r="AK46" s="16">
        <f>IF($A46="","",IF(2046&lt;$E46,"",IF($D46="Manuell","",IF(2046&gt;$E46+$F46,IF($D46="Fix",$G46,$G46*(1+$H46)^($F46)),IF($D46="Fix",$G46,$G46*(1+$H46)^(2046-$E46))))))</f>
        <v/>
      </c>
      <c r="AL46" s="16">
        <f>IF($A46="","",IF(2047&lt;$E46,"",IF($D46="Manuell","",IF(2047&gt;$E46+$F46,IF($D46="Fix",$G46,$G46*(1+$H46)^($F46)),IF($D46="Fix",$G46,$G46*(1+$H46)^(2047-$E46))))))</f>
        <v/>
      </c>
      <c r="AM46" s="16">
        <f>IF($A46="","",IF(2048&lt;$E46,"",IF($D46="Manuell","",IF(2048&gt;$E46+$F46,IF($D46="Fix",$G46,$G46*(1+$H46)^($F46)),IF($D46="Fix",$G46,$G46*(1+$H46)^(2048-$E46))))))</f>
        <v/>
      </c>
      <c r="AN46" s="16">
        <f>IF($A46="","",IF(2049&lt;$E46,"",IF($D46="Manuell","",IF(2049&gt;$E46+$F46,IF($D46="Fix",$G46,$G46*(1+$H46)^($F46)),IF($D46="Fix",$G46,$G46*(1+$H46)^(2049-$E46))))))</f>
        <v/>
      </c>
      <c r="AO46" s="16">
        <f>IF($A46="","",IF(2050&lt;$E46,"",IF($D46="Manuell","",IF(2050&gt;$E46+$F46,IF($D46="Fix",$G46,$G46*(1+$H46)^($F46)),IF($D46="Fix",$G46,$G46*(1+$H46)^(2050-$E46))))))</f>
        <v/>
      </c>
      <c r="AP46" s="16">
        <f>IF($A46="","",IF(2051&lt;$E46,"",IF($D46="Manuell","",IF(2051&gt;$E46+$F46,IF($D46="Fix",$G46,$G46*(1+$H46)^($F46)),IF($D46="Fix",$G46,$G46*(1+$H46)^(2051-$E46))))))</f>
        <v/>
      </c>
      <c r="AQ46" s="16">
        <f>IF($A46="","",IF(2052&lt;$E46,"",IF($D46="Manuell","",IF(2052&gt;$E46+$F46,IF($D46="Fix",$G46,$G46*(1+$H46)^($F46)),IF($D46="Fix",$G46,$G46*(1+$H46)^(2052-$E46))))))</f>
        <v/>
      </c>
      <c r="AR46" s="16">
        <f>IF($A46="","",IF(2053&lt;$E46,"",IF($D46="Manuell","",IF(2053&gt;$E46+$F46,IF($D46="Fix",$G46,$G46*(1+$H46)^($F46)),IF($D46="Fix",$G46,$G46*(1+$H46)^(2053-$E46))))))</f>
        <v/>
      </c>
      <c r="AS46" s="16">
        <f>IF($A46="","",IF(2054&lt;$E46,"",IF($D46="Manuell","",IF(2054&gt;$E46+$F46,IF($D46="Fix",$G46,$G46*(1+$H46)^($F46)),IF($D46="Fix",$G46,$G46*(1+$H46)^(2054-$E46))))))</f>
        <v/>
      </c>
      <c r="AT46" s="16">
        <f>IF($A46="","",IF(2055&lt;$E46,"",IF($D46="Manuell","",IF(2055&gt;$E46+$F46,IF($D46="Fix",$G46,$G46*(1+$H46)^($F46)),IF($D46="Fix",$G46,$G46*(1+$H46)^(2055-$E46))))))</f>
        <v/>
      </c>
    </row>
    <row r="47">
      <c r="A47" s="14" t="inlineStr"/>
      <c r="B47" s="14" t="inlineStr"/>
      <c r="C47" s="14" t="inlineStr"/>
      <c r="D47" s="14" t="inlineStr"/>
      <c r="E47" s="11" t="inlineStr"/>
      <c r="F47" s="11" t="inlineStr"/>
      <c r="G47" s="15" t="inlineStr"/>
      <c r="H47" s="15" t="inlineStr"/>
      <c r="I47" s="16">
        <f>IF($A47="","",IF(2018&lt;$E47,"",IF($D47="Manuell","",IF(2018&gt;$E47+$F47,IF($D47="Fix",$G47,$G47*(1+$H47)^($F47)),IF($D47="Fix",$G47,$G47*(1+$H47)^(2018-$E47))))))</f>
        <v/>
      </c>
      <c r="J47" s="16">
        <f>IF($A47="","",IF(2019&lt;$E47,"",IF($D47="Manuell","",IF(2019&gt;$E47+$F47,IF($D47="Fix",$G47,$G47*(1+$H47)^($F47)),IF($D47="Fix",$G47,$G47*(1+$H47)^(2019-$E47))))))</f>
        <v/>
      </c>
      <c r="K47" s="16">
        <f>IF($A47="","",IF(2020&lt;$E47,"",IF($D47="Manuell","",IF(2020&gt;$E47+$F47,IF($D47="Fix",$G47,$G47*(1+$H47)^($F47)),IF($D47="Fix",$G47,$G47*(1+$H47)^(2020-$E47))))))</f>
        <v/>
      </c>
      <c r="L47" s="16">
        <f>IF($A47="","",IF(2021&lt;$E47,"",IF($D47="Manuell","",IF(2021&gt;$E47+$F47,IF($D47="Fix",$G47,$G47*(1+$H47)^($F47)),IF($D47="Fix",$G47,$G47*(1+$H47)^(2021-$E47))))))</f>
        <v/>
      </c>
      <c r="M47" s="16">
        <f>IF($A47="","",IF(2022&lt;$E47,"",IF($D47="Manuell","",IF(2022&gt;$E47+$F47,IF($D47="Fix",$G47,$G47*(1+$H47)^($F47)),IF($D47="Fix",$G47,$G47*(1+$H47)^(2022-$E47))))))</f>
        <v/>
      </c>
      <c r="N47" s="16">
        <f>IF($A47="","",IF(2023&lt;$E47,"",IF($D47="Manuell","",IF(2023&gt;$E47+$F47,IF($D47="Fix",$G47,$G47*(1+$H47)^($F47)),IF($D47="Fix",$G47,$G47*(1+$H47)^(2023-$E47))))))</f>
        <v/>
      </c>
      <c r="O47" s="16">
        <f>IF($A47="","",IF(2024&lt;$E47,"",IF($D47="Manuell","",IF(2024&gt;$E47+$F47,IF($D47="Fix",$G47,$G47*(1+$H47)^($F47)),IF($D47="Fix",$G47,$G47*(1+$H47)^(2024-$E47))))))</f>
        <v/>
      </c>
      <c r="P47" s="16">
        <f>IF($A47="","",IF(2025&lt;$E47,"",IF($D47="Manuell","",IF(2025&gt;$E47+$F47,IF($D47="Fix",$G47,$G47*(1+$H47)^($F47)),IF($D47="Fix",$G47,$G47*(1+$H47)^(2025-$E47))))))</f>
        <v/>
      </c>
      <c r="Q47" s="16">
        <f>IF($A47="","",IF(2026&lt;$E47,"",IF($D47="Manuell","",IF(2026&gt;$E47+$F47,IF($D47="Fix",$G47,$G47*(1+$H47)^($F47)),IF($D47="Fix",$G47,$G47*(1+$H47)^(2026-$E47))))))</f>
        <v/>
      </c>
      <c r="R47" s="16">
        <f>IF($A47="","",IF(2027&lt;$E47,"",IF($D47="Manuell","",IF(2027&gt;$E47+$F47,IF($D47="Fix",$G47,$G47*(1+$H47)^($F47)),IF($D47="Fix",$G47,$G47*(1+$H47)^(2027-$E47))))))</f>
        <v/>
      </c>
      <c r="S47" s="16">
        <f>IF($A47="","",IF(2028&lt;$E47,"",IF($D47="Manuell","",IF(2028&gt;$E47+$F47,IF($D47="Fix",$G47,$G47*(1+$H47)^($F47)),IF($D47="Fix",$G47,$G47*(1+$H47)^(2028-$E47))))))</f>
        <v/>
      </c>
      <c r="T47" s="16">
        <f>IF($A47="","",IF(2029&lt;$E47,"",IF($D47="Manuell","",IF(2029&gt;$E47+$F47,IF($D47="Fix",$G47,$G47*(1+$H47)^($F47)),IF($D47="Fix",$G47,$G47*(1+$H47)^(2029-$E47))))))</f>
        <v/>
      </c>
      <c r="U47" s="16">
        <f>IF($A47="","",IF(2030&lt;$E47,"",IF($D47="Manuell","",IF(2030&gt;$E47+$F47,IF($D47="Fix",$G47,$G47*(1+$H47)^($F47)),IF($D47="Fix",$G47,$G47*(1+$H47)^(2030-$E47))))))</f>
        <v/>
      </c>
      <c r="V47" s="16">
        <f>IF($A47="","",IF(2031&lt;$E47,"",IF($D47="Manuell","",IF(2031&gt;$E47+$F47,IF($D47="Fix",$G47,$G47*(1+$H47)^($F47)),IF($D47="Fix",$G47,$G47*(1+$H47)^(2031-$E47))))))</f>
        <v/>
      </c>
      <c r="W47" s="16">
        <f>IF($A47="","",IF(2032&lt;$E47,"",IF($D47="Manuell","",IF(2032&gt;$E47+$F47,IF($D47="Fix",$G47,$G47*(1+$H47)^($F47)),IF($D47="Fix",$G47,$G47*(1+$H47)^(2032-$E47))))))</f>
        <v/>
      </c>
      <c r="X47" s="16">
        <f>IF($A47="","",IF(2033&lt;$E47,"",IF($D47="Manuell","",IF(2033&gt;$E47+$F47,IF($D47="Fix",$G47,$G47*(1+$H47)^($F47)),IF($D47="Fix",$G47,$G47*(1+$H47)^(2033-$E47))))))</f>
        <v/>
      </c>
      <c r="Y47" s="16">
        <f>IF($A47="","",IF(2034&lt;$E47,"",IF($D47="Manuell","",IF(2034&gt;$E47+$F47,IF($D47="Fix",$G47,$G47*(1+$H47)^($F47)),IF($D47="Fix",$G47,$G47*(1+$H47)^(2034-$E47))))))</f>
        <v/>
      </c>
      <c r="Z47" s="16">
        <f>IF($A47="","",IF(2035&lt;$E47,"",IF($D47="Manuell","",IF(2035&gt;$E47+$F47,IF($D47="Fix",$G47,$G47*(1+$H47)^($F47)),IF($D47="Fix",$G47,$G47*(1+$H47)^(2035-$E47))))))</f>
        <v/>
      </c>
      <c r="AA47" s="16">
        <f>IF($A47="","",IF(2036&lt;$E47,"",IF($D47="Manuell","",IF(2036&gt;$E47+$F47,IF($D47="Fix",$G47,$G47*(1+$H47)^($F47)),IF($D47="Fix",$G47,$G47*(1+$H47)^(2036-$E47))))))</f>
        <v/>
      </c>
      <c r="AB47" s="16">
        <f>IF($A47="","",IF(2037&lt;$E47,"",IF($D47="Manuell","",IF(2037&gt;$E47+$F47,IF($D47="Fix",$G47,$G47*(1+$H47)^($F47)),IF($D47="Fix",$G47,$G47*(1+$H47)^(2037-$E47))))))</f>
        <v/>
      </c>
      <c r="AC47" s="16">
        <f>IF($A47="","",IF(2038&lt;$E47,"",IF($D47="Manuell","",IF(2038&gt;$E47+$F47,IF($D47="Fix",$G47,$G47*(1+$H47)^($F47)),IF($D47="Fix",$G47,$G47*(1+$H47)^(2038-$E47))))))</f>
        <v/>
      </c>
      <c r="AD47" s="16">
        <f>IF($A47="","",IF(2039&lt;$E47,"",IF($D47="Manuell","",IF(2039&gt;$E47+$F47,IF($D47="Fix",$G47,$G47*(1+$H47)^($F47)),IF($D47="Fix",$G47,$G47*(1+$H47)^(2039-$E47))))))</f>
        <v/>
      </c>
      <c r="AE47" s="16">
        <f>IF($A47="","",IF(2040&lt;$E47,"",IF($D47="Manuell","",IF(2040&gt;$E47+$F47,IF($D47="Fix",$G47,$G47*(1+$H47)^($F47)),IF($D47="Fix",$G47,$G47*(1+$H47)^(2040-$E47))))))</f>
        <v/>
      </c>
      <c r="AF47" s="16">
        <f>IF($A47="","",IF(2041&lt;$E47,"",IF($D47="Manuell","",IF(2041&gt;$E47+$F47,IF($D47="Fix",$G47,$G47*(1+$H47)^($F47)),IF($D47="Fix",$G47,$G47*(1+$H47)^(2041-$E47))))))</f>
        <v/>
      </c>
      <c r="AG47" s="16">
        <f>IF($A47="","",IF(2042&lt;$E47,"",IF($D47="Manuell","",IF(2042&gt;$E47+$F47,IF($D47="Fix",$G47,$G47*(1+$H47)^($F47)),IF($D47="Fix",$G47,$G47*(1+$H47)^(2042-$E47))))))</f>
        <v/>
      </c>
      <c r="AH47" s="16">
        <f>IF($A47="","",IF(2043&lt;$E47,"",IF($D47="Manuell","",IF(2043&gt;$E47+$F47,IF($D47="Fix",$G47,$G47*(1+$H47)^($F47)),IF($D47="Fix",$G47,$G47*(1+$H47)^(2043-$E47))))))</f>
        <v/>
      </c>
      <c r="AI47" s="16">
        <f>IF($A47="","",IF(2044&lt;$E47,"",IF($D47="Manuell","",IF(2044&gt;$E47+$F47,IF($D47="Fix",$G47,$G47*(1+$H47)^($F47)),IF($D47="Fix",$G47,$G47*(1+$H47)^(2044-$E47))))))</f>
        <v/>
      </c>
      <c r="AJ47" s="16">
        <f>IF($A47="","",IF(2045&lt;$E47,"",IF($D47="Manuell","",IF(2045&gt;$E47+$F47,IF($D47="Fix",$G47,$G47*(1+$H47)^($F47)),IF($D47="Fix",$G47,$G47*(1+$H47)^(2045-$E47))))))</f>
        <v/>
      </c>
      <c r="AK47" s="16">
        <f>IF($A47="","",IF(2046&lt;$E47,"",IF($D47="Manuell","",IF(2046&gt;$E47+$F47,IF($D47="Fix",$G47,$G47*(1+$H47)^($F47)),IF($D47="Fix",$G47,$G47*(1+$H47)^(2046-$E47))))))</f>
        <v/>
      </c>
      <c r="AL47" s="16">
        <f>IF($A47="","",IF(2047&lt;$E47,"",IF($D47="Manuell","",IF(2047&gt;$E47+$F47,IF($D47="Fix",$G47,$G47*(1+$H47)^($F47)),IF($D47="Fix",$G47,$G47*(1+$H47)^(2047-$E47))))))</f>
        <v/>
      </c>
      <c r="AM47" s="16">
        <f>IF($A47="","",IF(2048&lt;$E47,"",IF($D47="Manuell","",IF(2048&gt;$E47+$F47,IF($D47="Fix",$G47,$G47*(1+$H47)^($F47)),IF($D47="Fix",$G47,$G47*(1+$H47)^(2048-$E47))))))</f>
        <v/>
      </c>
      <c r="AN47" s="16">
        <f>IF($A47="","",IF(2049&lt;$E47,"",IF($D47="Manuell","",IF(2049&gt;$E47+$F47,IF($D47="Fix",$G47,$G47*(1+$H47)^($F47)),IF($D47="Fix",$G47,$G47*(1+$H47)^(2049-$E47))))))</f>
        <v/>
      </c>
      <c r="AO47" s="16">
        <f>IF($A47="","",IF(2050&lt;$E47,"",IF($D47="Manuell","",IF(2050&gt;$E47+$F47,IF($D47="Fix",$G47,$G47*(1+$H47)^($F47)),IF($D47="Fix",$G47,$G47*(1+$H47)^(2050-$E47))))))</f>
        <v/>
      </c>
      <c r="AP47" s="16">
        <f>IF($A47="","",IF(2051&lt;$E47,"",IF($D47="Manuell","",IF(2051&gt;$E47+$F47,IF($D47="Fix",$G47,$G47*(1+$H47)^($F47)),IF($D47="Fix",$G47,$G47*(1+$H47)^(2051-$E47))))))</f>
        <v/>
      </c>
      <c r="AQ47" s="16">
        <f>IF($A47="","",IF(2052&lt;$E47,"",IF($D47="Manuell","",IF(2052&gt;$E47+$F47,IF($D47="Fix",$G47,$G47*(1+$H47)^($F47)),IF($D47="Fix",$G47,$G47*(1+$H47)^(2052-$E47))))))</f>
        <v/>
      </c>
      <c r="AR47" s="16">
        <f>IF($A47="","",IF(2053&lt;$E47,"",IF($D47="Manuell","",IF(2053&gt;$E47+$F47,IF($D47="Fix",$G47,$G47*(1+$H47)^($F47)),IF($D47="Fix",$G47,$G47*(1+$H47)^(2053-$E47))))))</f>
        <v/>
      </c>
      <c r="AS47" s="16">
        <f>IF($A47="","",IF(2054&lt;$E47,"",IF($D47="Manuell","",IF(2054&gt;$E47+$F47,IF($D47="Fix",$G47,$G47*(1+$H47)^($F47)),IF($D47="Fix",$G47,$G47*(1+$H47)^(2054-$E47))))))</f>
        <v/>
      </c>
      <c r="AT47" s="16">
        <f>IF($A47="","",IF(2055&lt;$E47,"",IF($D47="Manuell","",IF(2055&gt;$E47+$F47,IF($D47="Fix",$G47,$G47*(1+$H47)^($F47)),IF($D47="Fix",$G47,$G47*(1+$H47)^(2055-$E47))))))</f>
        <v/>
      </c>
    </row>
    <row r="48">
      <c r="A48" s="14" t="inlineStr"/>
      <c r="B48" s="14" t="inlineStr"/>
      <c r="C48" s="14" t="inlineStr"/>
      <c r="D48" s="14" t="inlineStr"/>
      <c r="E48" s="11" t="inlineStr"/>
      <c r="F48" s="11" t="inlineStr"/>
      <c r="G48" s="15" t="inlineStr"/>
      <c r="H48" s="15" t="inlineStr"/>
      <c r="I48" s="16">
        <f>IF($A48="","",IF(2018&lt;$E48,"",IF($D48="Manuell","",IF(2018&gt;$E48+$F48,IF($D48="Fix",$G48,$G48*(1+$H48)^($F48)),IF($D48="Fix",$G48,$G48*(1+$H48)^(2018-$E48))))))</f>
        <v/>
      </c>
      <c r="J48" s="16">
        <f>IF($A48="","",IF(2019&lt;$E48,"",IF($D48="Manuell","",IF(2019&gt;$E48+$F48,IF($D48="Fix",$G48,$G48*(1+$H48)^($F48)),IF($D48="Fix",$G48,$G48*(1+$H48)^(2019-$E48))))))</f>
        <v/>
      </c>
      <c r="K48" s="16">
        <f>IF($A48="","",IF(2020&lt;$E48,"",IF($D48="Manuell","",IF(2020&gt;$E48+$F48,IF($D48="Fix",$G48,$G48*(1+$H48)^($F48)),IF($D48="Fix",$G48,$G48*(1+$H48)^(2020-$E48))))))</f>
        <v/>
      </c>
      <c r="L48" s="16">
        <f>IF($A48="","",IF(2021&lt;$E48,"",IF($D48="Manuell","",IF(2021&gt;$E48+$F48,IF($D48="Fix",$G48,$G48*(1+$H48)^($F48)),IF($D48="Fix",$G48,$G48*(1+$H48)^(2021-$E48))))))</f>
        <v/>
      </c>
      <c r="M48" s="16">
        <f>IF($A48="","",IF(2022&lt;$E48,"",IF($D48="Manuell","",IF(2022&gt;$E48+$F48,IF($D48="Fix",$G48,$G48*(1+$H48)^($F48)),IF($D48="Fix",$G48,$G48*(1+$H48)^(2022-$E48))))))</f>
        <v/>
      </c>
      <c r="N48" s="16">
        <f>IF($A48="","",IF(2023&lt;$E48,"",IF($D48="Manuell","",IF(2023&gt;$E48+$F48,IF($D48="Fix",$G48,$G48*(1+$H48)^($F48)),IF($D48="Fix",$G48,$G48*(1+$H48)^(2023-$E48))))))</f>
        <v/>
      </c>
      <c r="O48" s="16">
        <f>IF($A48="","",IF(2024&lt;$E48,"",IF($D48="Manuell","",IF(2024&gt;$E48+$F48,IF($D48="Fix",$G48,$G48*(1+$H48)^($F48)),IF($D48="Fix",$G48,$G48*(1+$H48)^(2024-$E48))))))</f>
        <v/>
      </c>
      <c r="P48" s="16">
        <f>IF($A48="","",IF(2025&lt;$E48,"",IF($D48="Manuell","",IF(2025&gt;$E48+$F48,IF($D48="Fix",$G48,$G48*(1+$H48)^($F48)),IF($D48="Fix",$G48,$G48*(1+$H48)^(2025-$E48))))))</f>
        <v/>
      </c>
      <c r="Q48" s="16">
        <f>IF($A48="","",IF(2026&lt;$E48,"",IF($D48="Manuell","",IF(2026&gt;$E48+$F48,IF($D48="Fix",$G48,$G48*(1+$H48)^($F48)),IF($D48="Fix",$G48,$G48*(1+$H48)^(2026-$E48))))))</f>
        <v/>
      </c>
      <c r="R48" s="16">
        <f>IF($A48="","",IF(2027&lt;$E48,"",IF($D48="Manuell","",IF(2027&gt;$E48+$F48,IF($D48="Fix",$G48,$G48*(1+$H48)^($F48)),IF($D48="Fix",$G48,$G48*(1+$H48)^(2027-$E48))))))</f>
        <v/>
      </c>
      <c r="S48" s="16">
        <f>IF($A48="","",IF(2028&lt;$E48,"",IF($D48="Manuell","",IF(2028&gt;$E48+$F48,IF($D48="Fix",$G48,$G48*(1+$H48)^($F48)),IF($D48="Fix",$G48,$G48*(1+$H48)^(2028-$E48))))))</f>
        <v/>
      </c>
      <c r="T48" s="16">
        <f>IF($A48="","",IF(2029&lt;$E48,"",IF($D48="Manuell","",IF(2029&gt;$E48+$F48,IF($D48="Fix",$G48,$G48*(1+$H48)^($F48)),IF($D48="Fix",$G48,$G48*(1+$H48)^(2029-$E48))))))</f>
        <v/>
      </c>
      <c r="U48" s="16">
        <f>IF($A48="","",IF(2030&lt;$E48,"",IF($D48="Manuell","",IF(2030&gt;$E48+$F48,IF($D48="Fix",$G48,$G48*(1+$H48)^($F48)),IF($D48="Fix",$G48,$G48*(1+$H48)^(2030-$E48))))))</f>
        <v/>
      </c>
      <c r="V48" s="16">
        <f>IF($A48="","",IF(2031&lt;$E48,"",IF($D48="Manuell","",IF(2031&gt;$E48+$F48,IF($D48="Fix",$G48,$G48*(1+$H48)^($F48)),IF($D48="Fix",$G48,$G48*(1+$H48)^(2031-$E48))))))</f>
        <v/>
      </c>
      <c r="W48" s="16">
        <f>IF($A48="","",IF(2032&lt;$E48,"",IF($D48="Manuell","",IF(2032&gt;$E48+$F48,IF($D48="Fix",$G48,$G48*(1+$H48)^($F48)),IF($D48="Fix",$G48,$G48*(1+$H48)^(2032-$E48))))))</f>
        <v/>
      </c>
      <c r="X48" s="16">
        <f>IF($A48="","",IF(2033&lt;$E48,"",IF($D48="Manuell","",IF(2033&gt;$E48+$F48,IF($D48="Fix",$G48,$G48*(1+$H48)^($F48)),IF($D48="Fix",$G48,$G48*(1+$H48)^(2033-$E48))))))</f>
        <v/>
      </c>
      <c r="Y48" s="16">
        <f>IF($A48="","",IF(2034&lt;$E48,"",IF($D48="Manuell","",IF(2034&gt;$E48+$F48,IF($D48="Fix",$G48,$G48*(1+$H48)^($F48)),IF($D48="Fix",$G48,$G48*(1+$H48)^(2034-$E48))))))</f>
        <v/>
      </c>
      <c r="Z48" s="16">
        <f>IF($A48="","",IF(2035&lt;$E48,"",IF($D48="Manuell","",IF(2035&gt;$E48+$F48,IF($D48="Fix",$G48,$G48*(1+$H48)^($F48)),IF($D48="Fix",$G48,$G48*(1+$H48)^(2035-$E48))))))</f>
        <v/>
      </c>
      <c r="AA48" s="16">
        <f>IF($A48="","",IF(2036&lt;$E48,"",IF($D48="Manuell","",IF(2036&gt;$E48+$F48,IF($D48="Fix",$G48,$G48*(1+$H48)^($F48)),IF($D48="Fix",$G48,$G48*(1+$H48)^(2036-$E48))))))</f>
        <v/>
      </c>
      <c r="AB48" s="16">
        <f>IF($A48="","",IF(2037&lt;$E48,"",IF($D48="Manuell","",IF(2037&gt;$E48+$F48,IF($D48="Fix",$G48,$G48*(1+$H48)^($F48)),IF($D48="Fix",$G48,$G48*(1+$H48)^(2037-$E48))))))</f>
        <v/>
      </c>
      <c r="AC48" s="16">
        <f>IF($A48="","",IF(2038&lt;$E48,"",IF($D48="Manuell","",IF(2038&gt;$E48+$F48,IF($D48="Fix",$G48,$G48*(1+$H48)^($F48)),IF($D48="Fix",$G48,$G48*(1+$H48)^(2038-$E48))))))</f>
        <v/>
      </c>
      <c r="AD48" s="16">
        <f>IF($A48="","",IF(2039&lt;$E48,"",IF($D48="Manuell","",IF(2039&gt;$E48+$F48,IF($D48="Fix",$G48,$G48*(1+$H48)^($F48)),IF($D48="Fix",$G48,$G48*(1+$H48)^(2039-$E48))))))</f>
        <v/>
      </c>
      <c r="AE48" s="16">
        <f>IF($A48="","",IF(2040&lt;$E48,"",IF($D48="Manuell","",IF(2040&gt;$E48+$F48,IF($D48="Fix",$G48,$G48*(1+$H48)^($F48)),IF($D48="Fix",$G48,$G48*(1+$H48)^(2040-$E48))))))</f>
        <v/>
      </c>
      <c r="AF48" s="16">
        <f>IF($A48="","",IF(2041&lt;$E48,"",IF($D48="Manuell","",IF(2041&gt;$E48+$F48,IF($D48="Fix",$G48,$G48*(1+$H48)^($F48)),IF($D48="Fix",$G48,$G48*(1+$H48)^(2041-$E48))))))</f>
        <v/>
      </c>
      <c r="AG48" s="16">
        <f>IF($A48="","",IF(2042&lt;$E48,"",IF($D48="Manuell","",IF(2042&gt;$E48+$F48,IF($D48="Fix",$G48,$G48*(1+$H48)^($F48)),IF($D48="Fix",$G48,$G48*(1+$H48)^(2042-$E48))))))</f>
        <v/>
      </c>
      <c r="AH48" s="16">
        <f>IF($A48="","",IF(2043&lt;$E48,"",IF($D48="Manuell","",IF(2043&gt;$E48+$F48,IF($D48="Fix",$G48,$G48*(1+$H48)^($F48)),IF($D48="Fix",$G48,$G48*(1+$H48)^(2043-$E48))))))</f>
        <v/>
      </c>
      <c r="AI48" s="16">
        <f>IF($A48="","",IF(2044&lt;$E48,"",IF($D48="Manuell","",IF(2044&gt;$E48+$F48,IF($D48="Fix",$G48,$G48*(1+$H48)^($F48)),IF($D48="Fix",$G48,$G48*(1+$H48)^(2044-$E48))))))</f>
        <v/>
      </c>
      <c r="AJ48" s="16">
        <f>IF($A48="","",IF(2045&lt;$E48,"",IF($D48="Manuell","",IF(2045&gt;$E48+$F48,IF($D48="Fix",$G48,$G48*(1+$H48)^($F48)),IF($D48="Fix",$G48,$G48*(1+$H48)^(2045-$E48))))))</f>
        <v/>
      </c>
      <c r="AK48" s="16">
        <f>IF($A48="","",IF(2046&lt;$E48,"",IF($D48="Manuell","",IF(2046&gt;$E48+$F48,IF($D48="Fix",$G48,$G48*(1+$H48)^($F48)),IF($D48="Fix",$G48,$G48*(1+$H48)^(2046-$E48))))))</f>
        <v/>
      </c>
      <c r="AL48" s="16">
        <f>IF($A48="","",IF(2047&lt;$E48,"",IF($D48="Manuell","",IF(2047&gt;$E48+$F48,IF($D48="Fix",$G48,$G48*(1+$H48)^($F48)),IF($D48="Fix",$G48,$G48*(1+$H48)^(2047-$E48))))))</f>
        <v/>
      </c>
      <c r="AM48" s="16">
        <f>IF($A48="","",IF(2048&lt;$E48,"",IF($D48="Manuell","",IF(2048&gt;$E48+$F48,IF($D48="Fix",$G48,$G48*(1+$H48)^($F48)),IF($D48="Fix",$G48,$G48*(1+$H48)^(2048-$E48))))))</f>
        <v/>
      </c>
      <c r="AN48" s="16">
        <f>IF($A48="","",IF(2049&lt;$E48,"",IF($D48="Manuell","",IF(2049&gt;$E48+$F48,IF($D48="Fix",$G48,$G48*(1+$H48)^($F48)),IF($D48="Fix",$G48,$G48*(1+$H48)^(2049-$E48))))))</f>
        <v/>
      </c>
      <c r="AO48" s="16">
        <f>IF($A48="","",IF(2050&lt;$E48,"",IF($D48="Manuell","",IF(2050&gt;$E48+$F48,IF($D48="Fix",$G48,$G48*(1+$H48)^($F48)),IF($D48="Fix",$G48,$G48*(1+$H48)^(2050-$E48))))))</f>
        <v/>
      </c>
      <c r="AP48" s="16">
        <f>IF($A48="","",IF(2051&lt;$E48,"",IF($D48="Manuell","",IF(2051&gt;$E48+$F48,IF($D48="Fix",$G48,$G48*(1+$H48)^($F48)),IF($D48="Fix",$G48,$G48*(1+$H48)^(2051-$E48))))))</f>
        <v/>
      </c>
      <c r="AQ48" s="16">
        <f>IF($A48="","",IF(2052&lt;$E48,"",IF($D48="Manuell","",IF(2052&gt;$E48+$F48,IF($D48="Fix",$G48,$G48*(1+$H48)^($F48)),IF($D48="Fix",$G48,$G48*(1+$H48)^(2052-$E48))))))</f>
        <v/>
      </c>
      <c r="AR48" s="16">
        <f>IF($A48="","",IF(2053&lt;$E48,"",IF($D48="Manuell","",IF(2053&gt;$E48+$F48,IF($D48="Fix",$G48,$G48*(1+$H48)^($F48)),IF($D48="Fix",$G48,$G48*(1+$H48)^(2053-$E48))))))</f>
        <v/>
      </c>
      <c r="AS48" s="16">
        <f>IF($A48="","",IF(2054&lt;$E48,"",IF($D48="Manuell","",IF(2054&gt;$E48+$F48,IF($D48="Fix",$G48,$G48*(1+$H48)^($F48)),IF($D48="Fix",$G48,$G48*(1+$H48)^(2054-$E48))))))</f>
        <v/>
      </c>
      <c r="AT48" s="16">
        <f>IF($A48="","",IF(2055&lt;$E48,"",IF($D48="Manuell","",IF(2055&gt;$E48+$F48,IF($D48="Fix",$G48,$G48*(1+$H48)^($F48)),IF($D48="Fix",$G48,$G48*(1+$H48)^(2055-$E48))))))</f>
        <v/>
      </c>
    </row>
    <row r="49">
      <c r="A49" s="14" t="inlineStr"/>
      <c r="B49" s="14" t="inlineStr"/>
      <c r="C49" s="14" t="inlineStr"/>
      <c r="D49" s="14" t="inlineStr"/>
      <c r="E49" s="11" t="inlineStr"/>
      <c r="F49" s="11" t="inlineStr"/>
      <c r="G49" s="15" t="inlineStr"/>
      <c r="H49" s="15" t="inlineStr"/>
      <c r="I49" s="16">
        <f>IF($A49="","",IF(2018&lt;$E49,"",IF($D49="Manuell","",IF(2018&gt;$E49+$F49,IF($D49="Fix",$G49,$G49*(1+$H49)^($F49)),IF($D49="Fix",$G49,$G49*(1+$H49)^(2018-$E49))))))</f>
        <v/>
      </c>
      <c r="J49" s="16">
        <f>IF($A49="","",IF(2019&lt;$E49,"",IF($D49="Manuell","",IF(2019&gt;$E49+$F49,IF($D49="Fix",$G49,$G49*(1+$H49)^($F49)),IF($D49="Fix",$G49,$G49*(1+$H49)^(2019-$E49))))))</f>
        <v/>
      </c>
      <c r="K49" s="16">
        <f>IF($A49="","",IF(2020&lt;$E49,"",IF($D49="Manuell","",IF(2020&gt;$E49+$F49,IF($D49="Fix",$G49,$G49*(1+$H49)^($F49)),IF($D49="Fix",$G49,$G49*(1+$H49)^(2020-$E49))))))</f>
        <v/>
      </c>
      <c r="L49" s="16">
        <f>IF($A49="","",IF(2021&lt;$E49,"",IF($D49="Manuell","",IF(2021&gt;$E49+$F49,IF($D49="Fix",$G49,$G49*(1+$H49)^($F49)),IF($D49="Fix",$G49,$G49*(1+$H49)^(2021-$E49))))))</f>
        <v/>
      </c>
      <c r="M49" s="16">
        <f>IF($A49="","",IF(2022&lt;$E49,"",IF($D49="Manuell","",IF(2022&gt;$E49+$F49,IF($D49="Fix",$G49,$G49*(1+$H49)^($F49)),IF($D49="Fix",$G49,$G49*(1+$H49)^(2022-$E49))))))</f>
        <v/>
      </c>
      <c r="N49" s="16">
        <f>IF($A49="","",IF(2023&lt;$E49,"",IF($D49="Manuell","",IF(2023&gt;$E49+$F49,IF($D49="Fix",$G49,$G49*(1+$H49)^($F49)),IF($D49="Fix",$G49,$G49*(1+$H49)^(2023-$E49))))))</f>
        <v/>
      </c>
      <c r="O49" s="16">
        <f>IF($A49="","",IF(2024&lt;$E49,"",IF($D49="Manuell","",IF(2024&gt;$E49+$F49,IF($D49="Fix",$G49,$G49*(1+$H49)^($F49)),IF($D49="Fix",$G49,$G49*(1+$H49)^(2024-$E49))))))</f>
        <v/>
      </c>
      <c r="P49" s="16">
        <f>IF($A49="","",IF(2025&lt;$E49,"",IF($D49="Manuell","",IF(2025&gt;$E49+$F49,IF($D49="Fix",$G49,$G49*(1+$H49)^($F49)),IF($D49="Fix",$G49,$G49*(1+$H49)^(2025-$E49))))))</f>
        <v/>
      </c>
      <c r="Q49" s="16">
        <f>IF($A49="","",IF(2026&lt;$E49,"",IF($D49="Manuell","",IF(2026&gt;$E49+$F49,IF($D49="Fix",$G49,$G49*(1+$H49)^($F49)),IF($D49="Fix",$G49,$G49*(1+$H49)^(2026-$E49))))))</f>
        <v/>
      </c>
      <c r="R49" s="16">
        <f>IF($A49="","",IF(2027&lt;$E49,"",IF($D49="Manuell","",IF(2027&gt;$E49+$F49,IF($D49="Fix",$G49,$G49*(1+$H49)^($F49)),IF($D49="Fix",$G49,$G49*(1+$H49)^(2027-$E49))))))</f>
        <v/>
      </c>
      <c r="S49" s="16">
        <f>IF($A49="","",IF(2028&lt;$E49,"",IF($D49="Manuell","",IF(2028&gt;$E49+$F49,IF($D49="Fix",$G49,$G49*(1+$H49)^($F49)),IF($D49="Fix",$G49,$G49*(1+$H49)^(2028-$E49))))))</f>
        <v/>
      </c>
      <c r="T49" s="16">
        <f>IF($A49="","",IF(2029&lt;$E49,"",IF($D49="Manuell","",IF(2029&gt;$E49+$F49,IF($D49="Fix",$G49,$G49*(1+$H49)^($F49)),IF($D49="Fix",$G49,$G49*(1+$H49)^(2029-$E49))))))</f>
        <v/>
      </c>
      <c r="U49" s="16">
        <f>IF($A49="","",IF(2030&lt;$E49,"",IF($D49="Manuell","",IF(2030&gt;$E49+$F49,IF($D49="Fix",$G49,$G49*(1+$H49)^($F49)),IF($D49="Fix",$G49,$G49*(1+$H49)^(2030-$E49))))))</f>
        <v/>
      </c>
      <c r="V49" s="16">
        <f>IF($A49="","",IF(2031&lt;$E49,"",IF($D49="Manuell","",IF(2031&gt;$E49+$F49,IF($D49="Fix",$G49,$G49*(1+$H49)^($F49)),IF($D49="Fix",$G49,$G49*(1+$H49)^(2031-$E49))))))</f>
        <v/>
      </c>
      <c r="W49" s="16">
        <f>IF($A49="","",IF(2032&lt;$E49,"",IF($D49="Manuell","",IF(2032&gt;$E49+$F49,IF($D49="Fix",$G49,$G49*(1+$H49)^($F49)),IF($D49="Fix",$G49,$G49*(1+$H49)^(2032-$E49))))))</f>
        <v/>
      </c>
      <c r="X49" s="16">
        <f>IF($A49="","",IF(2033&lt;$E49,"",IF($D49="Manuell","",IF(2033&gt;$E49+$F49,IF($D49="Fix",$G49,$G49*(1+$H49)^($F49)),IF($D49="Fix",$G49,$G49*(1+$H49)^(2033-$E49))))))</f>
        <v/>
      </c>
      <c r="Y49" s="16">
        <f>IF($A49="","",IF(2034&lt;$E49,"",IF($D49="Manuell","",IF(2034&gt;$E49+$F49,IF($D49="Fix",$G49,$G49*(1+$H49)^($F49)),IF($D49="Fix",$G49,$G49*(1+$H49)^(2034-$E49))))))</f>
        <v/>
      </c>
      <c r="Z49" s="16">
        <f>IF($A49="","",IF(2035&lt;$E49,"",IF($D49="Manuell","",IF(2035&gt;$E49+$F49,IF($D49="Fix",$G49,$G49*(1+$H49)^($F49)),IF($D49="Fix",$G49,$G49*(1+$H49)^(2035-$E49))))))</f>
        <v/>
      </c>
      <c r="AA49" s="16">
        <f>IF($A49="","",IF(2036&lt;$E49,"",IF($D49="Manuell","",IF(2036&gt;$E49+$F49,IF($D49="Fix",$G49,$G49*(1+$H49)^($F49)),IF($D49="Fix",$G49,$G49*(1+$H49)^(2036-$E49))))))</f>
        <v/>
      </c>
      <c r="AB49" s="16">
        <f>IF($A49="","",IF(2037&lt;$E49,"",IF($D49="Manuell","",IF(2037&gt;$E49+$F49,IF($D49="Fix",$G49,$G49*(1+$H49)^($F49)),IF($D49="Fix",$G49,$G49*(1+$H49)^(2037-$E49))))))</f>
        <v/>
      </c>
      <c r="AC49" s="16">
        <f>IF($A49="","",IF(2038&lt;$E49,"",IF($D49="Manuell","",IF(2038&gt;$E49+$F49,IF($D49="Fix",$G49,$G49*(1+$H49)^($F49)),IF($D49="Fix",$G49,$G49*(1+$H49)^(2038-$E49))))))</f>
        <v/>
      </c>
      <c r="AD49" s="16">
        <f>IF($A49="","",IF(2039&lt;$E49,"",IF($D49="Manuell","",IF(2039&gt;$E49+$F49,IF($D49="Fix",$G49,$G49*(1+$H49)^($F49)),IF($D49="Fix",$G49,$G49*(1+$H49)^(2039-$E49))))))</f>
        <v/>
      </c>
      <c r="AE49" s="16">
        <f>IF($A49="","",IF(2040&lt;$E49,"",IF($D49="Manuell","",IF(2040&gt;$E49+$F49,IF($D49="Fix",$G49,$G49*(1+$H49)^($F49)),IF($D49="Fix",$G49,$G49*(1+$H49)^(2040-$E49))))))</f>
        <v/>
      </c>
      <c r="AF49" s="16">
        <f>IF($A49="","",IF(2041&lt;$E49,"",IF($D49="Manuell","",IF(2041&gt;$E49+$F49,IF($D49="Fix",$G49,$G49*(1+$H49)^($F49)),IF($D49="Fix",$G49,$G49*(1+$H49)^(2041-$E49))))))</f>
        <v/>
      </c>
      <c r="AG49" s="16">
        <f>IF($A49="","",IF(2042&lt;$E49,"",IF($D49="Manuell","",IF(2042&gt;$E49+$F49,IF($D49="Fix",$G49,$G49*(1+$H49)^($F49)),IF($D49="Fix",$G49,$G49*(1+$H49)^(2042-$E49))))))</f>
        <v/>
      </c>
      <c r="AH49" s="16">
        <f>IF($A49="","",IF(2043&lt;$E49,"",IF($D49="Manuell","",IF(2043&gt;$E49+$F49,IF($D49="Fix",$G49,$G49*(1+$H49)^($F49)),IF($D49="Fix",$G49,$G49*(1+$H49)^(2043-$E49))))))</f>
        <v/>
      </c>
      <c r="AI49" s="16">
        <f>IF($A49="","",IF(2044&lt;$E49,"",IF($D49="Manuell","",IF(2044&gt;$E49+$F49,IF($D49="Fix",$G49,$G49*(1+$H49)^($F49)),IF($D49="Fix",$G49,$G49*(1+$H49)^(2044-$E49))))))</f>
        <v/>
      </c>
      <c r="AJ49" s="16">
        <f>IF($A49="","",IF(2045&lt;$E49,"",IF($D49="Manuell","",IF(2045&gt;$E49+$F49,IF($D49="Fix",$G49,$G49*(1+$H49)^($F49)),IF($D49="Fix",$G49,$G49*(1+$H49)^(2045-$E49))))))</f>
        <v/>
      </c>
      <c r="AK49" s="16">
        <f>IF($A49="","",IF(2046&lt;$E49,"",IF($D49="Manuell","",IF(2046&gt;$E49+$F49,IF($D49="Fix",$G49,$G49*(1+$H49)^($F49)),IF($D49="Fix",$G49,$G49*(1+$H49)^(2046-$E49))))))</f>
        <v/>
      </c>
      <c r="AL49" s="16">
        <f>IF($A49="","",IF(2047&lt;$E49,"",IF($D49="Manuell","",IF(2047&gt;$E49+$F49,IF($D49="Fix",$G49,$G49*(1+$H49)^($F49)),IF($D49="Fix",$G49,$G49*(1+$H49)^(2047-$E49))))))</f>
        <v/>
      </c>
      <c r="AM49" s="16">
        <f>IF($A49="","",IF(2048&lt;$E49,"",IF($D49="Manuell","",IF(2048&gt;$E49+$F49,IF($D49="Fix",$G49,$G49*(1+$H49)^($F49)),IF($D49="Fix",$G49,$G49*(1+$H49)^(2048-$E49))))))</f>
        <v/>
      </c>
      <c r="AN49" s="16">
        <f>IF($A49="","",IF(2049&lt;$E49,"",IF($D49="Manuell","",IF(2049&gt;$E49+$F49,IF($D49="Fix",$G49,$G49*(1+$H49)^($F49)),IF($D49="Fix",$G49,$G49*(1+$H49)^(2049-$E49))))))</f>
        <v/>
      </c>
      <c r="AO49" s="16">
        <f>IF($A49="","",IF(2050&lt;$E49,"",IF($D49="Manuell","",IF(2050&gt;$E49+$F49,IF($D49="Fix",$G49,$G49*(1+$H49)^($F49)),IF($D49="Fix",$G49,$G49*(1+$H49)^(2050-$E49))))))</f>
        <v/>
      </c>
      <c r="AP49" s="16">
        <f>IF($A49="","",IF(2051&lt;$E49,"",IF($D49="Manuell","",IF(2051&gt;$E49+$F49,IF($D49="Fix",$G49,$G49*(1+$H49)^($F49)),IF($D49="Fix",$G49,$G49*(1+$H49)^(2051-$E49))))))</f>
        <v/>
      </c>
      <c r="AQ49" s="16">
        <f>IF($A49="","",IF(2052&lt;$E49,"",IF($D49="Manuell","",IF(2052&gt;$E49+$F49,IF($D49="Fix",$G49,$G49*(1+$H49)^($F49)),IF($D49="Fix",$G49,$G49*(1+$H49)^(2052-$E49))))))</f>
        <v/>
      </c>
      <c r="AR49" s="16">
        <f>IF($A49="","",IF(2053&lt;$E49,"",IF($D49="Manuell","",IF(2053&gt;$E49+$F49,IF($D49="Fix",$G49,$G49*(1+$H49)^($F49)),IF($D49="Fix",$G49,$G49*(1+$H49)^(2053-$E49))))))</f>
        <v/>
      </c>
      <c r="AS49" s="16">
        <f>IF($A49="","",IF(2054&lt;$E49,"",IF($D49="Manuell","",IF(2054&gt;$E49+$F49,IF($D49="Fix",$G49,$G49*(1+$H49)^($F49)),IF($D49="Fix",$G49,$G49*(1+$H49)^(2054-$E49))))))</f>
        <v/>
      </c>
      <c r="AT49" s="16">
        <f>IF($A49="","",IF(2055&lt;$E49,"",IF($D49="Manuell","",IF(2055&gt;$E49+$F49,IF($D49="Fix",$G49,$G49*(1+$H49)^($F49)),IF($D49="Fix",$G49,$G49*(1+$H49)^(2055-$E49))))))</f>
        <v/>
      </c>
    </row>
    <row r="50">
      <c r="A50" s="14" t="inlineStr"/>
      <c r="B50" s="14" t="inlineStr"/>
      <c r="C50" s="14" t="inlineStr"/>
      <c r="D50" s="14" t="inlineStr"/>
      <c r="E50" s="11" t="inlineStr"/>
      <c r="F50" s="11" t="inlineStr"/>
      <c r="G50" s="15" t="inlineStr"/>
      <c r="H50" s="15" t="inlineStr"/>
      <c r="I50" s="16">
        <f>IF($A50="","",IF(2018&lt;$E50,"",IF($D50="Manuell","",IF(2018&gt;$E50+$F50,IF($D50="Fix",$G50,$G50*(1+$H50)^($F50)),IF($D50="Fix",$G50,$G50*(1+$H50)^(2018-$E50))))))</f>
        <v/>
      </c>
      <c r="J50" s="16">
        <f>IF($A50="","",IF(2019&lt;$E50,"",IF($D50="Manuell","",IF(2019&gt;$E50+$F50,IF($D50="Fix",$G50,$G50*(1+$H50)^($F50)),IF($D50="Fix",$G50,$G50*(1+$H50)^(2019-$E50))))))</f>
        <v/>
      </c>
      <c r="K50" s="16">
        <f>IF($A50="","",IF(2020&lt;$E50,"",IF($D50="Manuell","",IF(2020&gt;$E50+$F50,IF($D50="Fix",$G50,$G50*(1+$H50)^($F50)),IF($D50="Fix",$G50,$G50*(1+$H50)^(2020-$E50))))))</f>
        <v/>
      </c>
      <c r="L50" s="16">
        <f>IF($A50="","",IF(2021&lt;$E50,"",IF($D50="Manuell","",IF(2021&gt;$E50+$F50,IF($D50="Fix",$G50,$G50*(1+$H50)^($F50)),IF($D50="Fix",$G50,$G50*(1+$H50)^(2021-$E50))))))</f>
        <v/>
      </c>
      <c r="M50" s="16">
        <f>IF($A50="","",IF(2022&lt;$E50,"",IF($D50="Manuell","",IF(2022&gt;$E50+$F50,IF($D50="Fix",$G50,$G50*(1+$H50)^($F50)),IF($D50="Fix",$G50,$G50*(1+$H50)^(2022-$E50))))))</f>
        <v/>
      </c>
      <c r="N50" s="16">
        <f>IF($A50="","",IF(2023&lt;$E50,"",IF($D50="Manuell","",IF(2023&gt;$E50+$F50,IF($D50="Fix",$G50,$G50*(1+$H50)^($F50)),IF($D50="Fix",$G50,$G50*(1+$H50)^(2023-$E50))))))</f>
        <v/>
      </c>
      <c r="O50" s="16">
        <f>IF($A50="","",IF(2024&lt;$E50,"",IF($D50="Manuell","",IF(2024&gt;$E50+$F50,IF($D50="Fix",$G50,$G50*(1+$H50)^($F50)),IF($D50="Fix",$G50,$G50*(1+$H50)^(2024-$E50))))))</f>
        <v/>
      </c>
      <c r="P50" s="16">
        <f>IF($A50="","",IF(2025&lt;$E50,"",IF($D50="Manuell","",IF(2025&gt;$E50+$F50,IF($D50="Fix",$G50,$G50*(1+$H50)^($F50)),IF($D50="Fix",$G50,$G50*(1+$H50)^(2025-$E50))))))</f>
        <v/>
      </c>
      <c r="Q50" s="16">
        <f>IF($A50="","",IF(2026&lt;$E50,"",IF($D50="Manuell","",IF(2026&gt;$E50+$F50,IF($D50="Fix",$G50,$G50*(1+$H50)^($F50)),IF($D50="Fix",$G50,$G50*(1+$H50)^(2026-$E50))))))</f>
        <v/>
      </c>
      <c r="R50" s="16">
        <f>IF($A50="","",IF(2027&lt;$E50,"",IF($D50="Manuell","",IF(2027&gt;$E50+$F50,IF($D50="Fix",$G50,$G50*(1+$H50)^($F50)),IF($D50="Fix",$G50,$G50*(1+$H50)^(2027-$E50))))))</f>
        <v/>
      </c>
      <c r="S50" s="16">
        <f>IF($A50="","",IF(2028&lt;$E50,"",IF($D50="Manuell","",IF(2028&gt;$E50+$F50,IF($D50="Fix",$G50,$G50*(1+$H50)^($F50)),IF($D50="Fix",$G50,$G50*(1+$H50)^(2028-$E50))))))</f>
        <v/>
      </c>
      <c r="T50" s="16">
        <f>IF($A50="","",IF(2029&lt;$E50,"",IF($D50="Manuell","",IF(2029&gt;$E50+$F50,IF($D50="Fix",$G50,$G50*(1+$H50)^($F50)),IF($D50="Fix",$G50,$G50*(1+$H50)^(2029-$E50))))))</f>
        <v/>
      </c>
      <c r="U50" s="16">
        <f>IF($A50="","",IF(2030&lt;$E50,"",IF($D50="Manuell","",IF(2030&gt;$E50+$F50,IF($D50="Fix",$G50,$G50*(1+$H50)^($F50)),IF($D50="Fix",$G50,$G50*(1+$H50)^(2030-$E50))))))</f>
        <v/>
      </c>
      <c r="V50" s="16">
        <f>IF($A50="","",IF(2031&lt;$E50,"",IF($D50="Manuell","",IF(2031&gt;$E50+$F50,IF($D50="Fix",$G50,$G50*(1+$H50)^($F50)),IF($D50="Fix",$G50,$G50*(1+$H50)^(2031-$E50))))))</f>
        <v/>
      </c>
      <c r="W50" s="16">
        <f>IF($A50="","",IF(2032&lt;$E50,"",IF($D50="Manuell","",IF(2032&gt;$E50+$F50,IF($D50="Fix",$G50,$G50*(1+$H50)^($F50)),IF($D50="Fix",$G50,$G50*(1+$H50)^(2032-$E50))))))</f>
        <v/>
      </c>
      <c r="X50" s="16">
        <f>IF($A50="","",IF(2033&lt;$E50,"",IF($D50="Manuell","",IF(2033&gt;$E50+$F50,IF($D50="Fix",$G50,$G50*(1+$H50)^($F50)),IF($D50="Fix",$G50,$G50*(1+$H50)^(2033-$E50))))))</f>
        <v/>
      </c>
      <c r="Y50" s="16">
        <f>IF($A50="","",IF(2034&lt;$E50,"",IF($D50="Manuell","",IF(2034&gt;$E50+$F50,IF($D50="Fix",$G50,$G50*(1+$H50)^($F50)),IF($D50="Fix",$G50,$G50*(1+$H50)^(2034-$E50))))))</f>
        <v/>
      </c>
      <c r="Z50" s="16">
        <f>IF($A50="","",IF(2035&lt;$E50,"",IF($D50="Manuell","",IF(2035&gt;$E50+$F50,IF($D50="Fix",$G50,$G50*(1+$H50)^($F50)),IF($D50="Fix",$G50,$G50*(1+$H50)^(2035-$E50))))))</f>
        <v/>
      </c>
      <c r="AA50" s="16">
        <f>IF($A50="","",IF(2036&lt;$E50,"",IF($D50="Manuell","",IF(2036&gt;$E50+$F50,IF($D50="Fix",$G50,$G50*(1+$H50)^($F50)),IF($D50="Fix",$G50,$G50*(1+$H50)^(2036-$E50))))))</f>
        <v/>
      </c>
      <c r="AB50" s="16">
        <f>IF($A50="","",IF(2037&lt;$E50,"",IF($D50="Manuell","",IF(2037&gt;$E50+$F50,IF($D50="Fix",$G50,$G50*(1+$H50)^($F50)),IF($D50="Fix",$G50,$G50*(1+$H50)^(2037-$E50))))))</f>
        <v/>
      </c>
      <c r="AC50" s="16">
        <f>IF($A50="","",IF(2038&lt;$E50,"",IF($D50="Manuell","",IF(2038&gt;$E50+$F50,IF($D50="Fix",$G50,$G50*(1+$H50)^($F50)),IF($D50="Fix",$G50,$G50*(1+$H50)^(2038-$E50))))))</f>
        <v/>
      </c>
      <c r="AD50" s="16">
        <f>IF($A50="","",IF(2039&lt;$E50,"",IF($D50="Manuell","",IF(2039&gt;$E50+$F50,IF($D50="Fix",$G50,$G50*(1+$H50)^($F50)),IF($D50="Fix",$G50,$G50*(1+$H50)^(2039-$E50))))))</f>
        <v/>
      </c>
      <c r="AE50" s="16">
        <f>IF($A50="","",IF(2040&lt;$E50,"",IF($D50="Manuell","",IF(2040&gt;$E50+$F50,IF($D50="Fix",$G50,$G50*(1+$H50)^($F50)),IF($D50="Fix",$G50,$G50*(1+$H50)^(2040-$E50))))))</f>
        <v/>
      </c>
      <c r="AF50" s="16">
        <f>IF($A50="","",IF(2041&lt;$E50,"",IF($D50="Manuell","",IF(2041&gt;$E50+$F50,IF($D50="Fix",$G50,$G50*(1+$H50)^($F50)),IF($D50="Fix",$G50,$G50*(1+$H50)^(2041-$E50))))))</f>
        <v/>
      </c>
      <c r="AG50" s="16">
        <f>IF($A50="","",IF(2042&lt;$E50,"",IF($D50="Manuell","",IF(2042&gt;$E50+$F50,IF($D50="Fix",$G50,$G50*(1+$H50)^($F50)),IF($D50="Fix",$G50,$G50*(1+$H50)^(2042-$E50))))))</f>
        <v/>
      </c>
      <c r="AH50" s="16">
        <f>IF($A50="","",IF(2043&lt;$E50,"",IF($D50="Manuell","",IF(2043&gt;$E50+$F50,IF($D50="Fix",$G50,$G50*(1+$H50)^($F50)),IF($D50="Fix",$G50,$G50*(1+$H50)^(2043-$E50))))))</f>
        <v/>
      </c>
      <c r="AI50" s="16">
        <f>IF($A50="","",IF(2044&lt;$E50,"",IF($D50="Manuell","",IF(2044&gt;$E50+$F50,IF($D50="Fix",$G50,$G50*(1+$H50)^($F50)),IF($D50="Fix",$G50,$G50*(1+$H50)^(2044-$E50))))))</f>
        <v/>
      </c>
      <c r="AJ50" s="16">
        <f>IF($A50="","",IF(2045&lt;$E50,"",IF($D50="Manuell","",IF(2045&gt;$E50+$F50,IF($D50="Fix",$G50,$G50*(1+$H50)^($F50)),IF($D50="Fix",$G50,$G50*(1+$H50)^(2045-$E50))))))</f>
        <v/>
      </c>
      <c r="AK50" s="16">
        <f>IF($A50="","",IF(2046&lt;$E50,"",IF($D50="Manuell","",IF(2046&gt;$E50+$F50,IF($D50="Fix",$G50,$G50*(1+$H50)^($F50)),IF($D50="Fix",$G50,$G50*(1+$H50)^(2046-$E50))))))</f>
        <v/>
      </c>
      <c r="AL50" s="16">
        <f>IF($A50="","",IF(2047&lt;$E50,"",IF($D50="Manuell","",IF(2047&gt;$E50+$F50,IF($D50="Fix",$G50,$G50*(1+$H50)^($F50)),IF($D50="Fix",$G50,$G50*(1+$H50)^(2047-$E50))))))</f>
        <v/>
      </c>
      <c r="AM50" s="16">
        <f>IF($A50="","",IF(2048&lt;$E50,"",IF($D50="Manuell","",IF(2048&gt;$E50+$F50,IF($D50="Fix",$G50,$G50*(1+$H50)^($F50)),IF($D50="Fix",$G50,$G50*(1+$H50)^(2048-$E50))))))</f>
        <v/>
      </c>
      <c r="AN50" s="16">
        <f>IF($A50="","",IF(2049&lt;$E50,"",IF($D50="Manuell","",IF(2049&gt;$E50+$F50,IF($D50="Fix",$G50,$G50*(1+$H50)^($F50)),IF($D50="Fix",$G50,$G50*(1+$H50)^(2049-$E50))))))</f>
        <v/>
      </c>
      <c r="AO50" s="16">
        <f>IF($A50="","",IF(2050&lt;$E50,"",IF($D50="Manuell","",IF(2050&gt;$E50+$F50,IF($D50="Fix",$G50,$G50*(1+$H50)^($F50)),IF($D50="Fix",$G50,$G50*(1+$H50)^(2050-$E50))))))</f>
        <v/>
      </c>
      <c r="AP50" s="16">
        <f>IF($A50="","",IF(2051&lt;$E50,"",IF($D50="Manuell","",IF(2051&gt;$E50+$F50,IF($D50="Fix",$G50,$G50*(1+$H50)^($F50)),IF($D50="Fix",$G50,$G50*(1+$H50)^(2051-$E50))))))</f>
        <v/>
      </c>
      <c r="AQ50" s="16">
        <f>IF($A50="","",IF(2052&lt;$E50,"",IF($D50="Manuell","",IF(2052&gt;$E50+$F50,IF($D50="Fix",$G50,$G50*(1+$H50)^($F50)),IF($D50="Fix",$G50,$G50*(1+$H50)^(2052-$E50))))))</f>
        <v/>
      </c>
      <c r="AR50" s="16">
        <f>IF($A50="","",IF(2053&lt;$E50,"",IF($D50="Manuell","",IF(2053&gt;$E50+$F50,IF($D50="Fix",$G50,$G50*(1+$H50)^($F50)),IF($D50="Fix",$G50,$G50*(1+$H50)^(2053-$E50))))))</f>
        <v/>
      </c>
      <c r="AS50" s="16">
        <f>IF($A50="","",IF(2054&lt;$E50,"",IF($D50="Manuell","",IF(2054&gt;$E50+$F50,IF($D50="Fix",$G50,$G50*(1+$H50)^($F50)),IF($D50="Fix",$G50,$G50*(1+$H50)^(2054-$E50))))))</f>
        <v/>
      </c>
      <c r="AT50" s="16">
        <f>IF($A50="","",IF(2055&lt;$E50,"",IF($D50="Manuell","",IF(2055&gt;$E50+$F50,IF($D50="Fix",$G50,$G50*(1+$H50)^($F50)),IF($D50="Fix",$G50,$G50*(1+$H50)^(2055-$E50))))))</f>
        <v/>
      </c>
    </row>
    <row r="51">
      <c r="A51" s="14" t="inlineStr"/>
      <c r="B51" s="14" t="inlineStr"/>
      <c r="C51" s="14" t="inlineStr"/>
      <c r="D51" s="14" t="inlineStr"/>
      <c r="E51" s="11" t="inlineStr"/>
      <c r="F51" s="11" t="inlineStr"/>
      <c r="G51" s="15" t="inlineStr"/>
      <c r="H51" s="15" t="inlineStr"/>
      <c r="I51" s="16">
        <f>IF($A51="","",IF(2018&lt;$E51,"",IF($D51="Manuell","",IF(2018&gt;$E51+$F51,IF($D51="Fix",$G51,$G51*(1+$H51)^($F51)),IF($D51="Fix",$G51,$G51*(1+$H51)^(2018-$E51))))))</f>
        <v/>
      </c>
      <c r="J51" s="16">
        <f>IF($A51="","",IF(2019&lt;$E51,"",IF($D51="Manuell","",IF(2019&gt;$E51+$F51,IF($D51="Fix",$G51,$G51*(1+$H51)^($F51)),IF($D51="Fix",$G51,$G51*(1+$H51)^(2019-$E51))))))</f>
        <v/>
      </c>
      <c r="K51" s="16">
        <f>IF($A51="","",IF(2020&lt;$E51,"",IF($D51="Manuell","",IF(2020&gt;$E51+$F51,IF($D51="Fix",$G51,$G51*(1+$H51)^($F51)),IF($D51="Fix",$G51,$G51*(1+$H51)^(2020-$E51))))))</f>
        <v/>
      </c>
      <c r="L51" s="16">
        <f>IF($A51="","",IF(2021&lt;$E51,"",IF($D51="Manuell","",IF(2021&gt;$E51+$F51,IF($D51="Fix",$G51,$G51*(1+$H51)^($F51)),IF($D51="Fix",$G51,$G51*(1+$H51)^(2021-$E51))))))</f>
        <v/>
      </c>
      <c r="M51" s="16">
        <f>IF($A51="","",IF(2022&lt;$E51,"",IF($D51="Manuell","",IF(2022&gt;$E51+$F51,IF($D51="Fix",$G51,$G51*(1+$H51)^($F51)),IF($D51="Fix",$G51,$G51*(1+$H51)^(2022-$E51))))))</f>
        <v/>
      </c>
      <c r="N51" s="16">
        <f>IF($A51="","",IF(2023&lt;$E51,"",IF($D51="Manuell","",IF(2023&gt;$E51+$F51,IF($D51="Fix",$G51,$G51*(1+$H51)^($F51)),IF($D51="Fix",$G51,$G51*(1+$H51)^(2023-$E51))))))</f>
        <v/>
      </c>
      <c r="O51" s="16">
        <f>IF($A51="","",IF(2024&lt;$E51,"",IF($D51="Manuell","",IF(2024&gt;$E51+$F51,IF($D51="Fix",$G51,$G51*(1+$H51)^($F51)),IF($D51="Fix",$G51,$G51*(1+$H51)^(2024-$E51))))))</f>
        <v/>
      </c>
      <c r="P51" s="16">
        <f>IF($A51="","",IF(2025&lt;$E51,"",IF($D51="Manuell","",IF(2025&gt;$E51+$F51,IF($D51="Fix",$G51,$G51*(1+$H51)^($F51)),IF($D51="Fix",$G51,$G51*(1+$H51)^(2025-$E51))))))</f>
        <v/>
      </c>
      <c r="Q51" s="16">
        <f>IF($A51="","",IF(2026&lt;$E51,"",IF($D51="Manuell","",IF(2026&gt;$E51+$F51,IF($D51="Fix",$G51,$G51*(1+$H51)^($F51)),IF($D51="Fix",$G51,$G51*(1+$H51)^(2026-$E51))))))</f>
        <v/>
      </c>
      <c r="R51" s="16">
        <f>IF($A51="","",IF(2027&lt;$E51,"",IF($D51="Manuell","",IF(2027&gt;$E51+$F51,IF($D51="Fix",$G51,$G51*(1+$H51)^($F51)),IF($D51="Fix",$G51,$G51*(1+$H51)^(2027-$E51))))))</f>
        <v/>
      </c>
      <c r="S51" s="16">
        <f>IF($A51="","",IF(2028&lt;$E51,"",IF($D51="Manuell","",IF(2028&gt;$E51+$F51,IF($D51="Fix",$G51,$G51*(1+$H51)^($F51)),IF($D51="Fix",$G51,$G51*(1+$H51)^(2028-$E51))))))</f>
        <v/>
      </c>
      <c r="T51" s="16">
        <f>IF($A51="","",IF(2029&lt;$E51,"",IF($D51="Manuell","",IF(2029&gt;$E51+$F51,IF($D51="Fix",$G51,$G51*(1+$H51)^($F51)),IF($D51="Fix",$G51,$G51*(1+$H51)^(2029-$E51))))))</f>
        <v/>
      </c>
      <c r="U51" s="16">
        <f>IF($A51="","",IF(2030&lt;$E51,"",IF($D51="Manuell","",IF(2030&gt;$E51+$F51,IF($D51="Fix",$G51,$G51*(1+$H51)^($F51)),IF($D51="Fix",$G51,$G51*(1+$H51)^(2030-$E51))))))</f>
        <v/>
      </c>
      <c r="V51" s="16">
        <f>IF($A51="","",IF(2031&lt;$E51,"",IF($D51="Manuell","",IF(2031&gt;$E51+$F51,IF($D51="Fix",$G51,$G51*(1+$H51)^($F51)),IF($D51="Fix",$G51,$G51*(1+$H51)^(2031-$E51))))))</f>
        <v/>
      </c>
      <c r="W51" s="16">
        <f>IF($A51="","",IF(2032&lt;$E51,"",IF($D51="Manuell","",IF(2032&gt;$E51+$F51,IF($D51="Fix",$G51,$G51*(1+$H51)^($F51)),IF($D51="Fix",$G51,$G51*(1+$H51)^(2032-$E51))))))</f>
        <v/>
      </c>
      <c r="X51" s="16">
        <f>IF($A51="","",IF(2033&lt;$E51,"",IF($D51="Manuell","",IF(2033&gt;$E51+$F51,IF($D51="Fix",$G51,$G51*(1+$H51)^($F51)),IF($D51="Fix",$G51,$G51*(1+$H51)^(2033-$E51))))))</f>
        <v/>
      </c>
      <c r="Y51" s="16">
        <f>IF($A51="","",IF(2034&lt;$E51,"",IF($D51="Manuell","",IF(2034&gt;$E51+$F51,IF($D51="Fix",$G51,$G51*(1+$H51)^($F51)),IF($D51="Fix",$G51,$G51*(1+$H51)^(2034-$E51))))))</f>
        <v/>
      </c>
      <c r="Z51" s="16">
        <f>IF($A51="","",IF(2035&lt;$E51,"",IF($D51="Manuell","",IF(2035&gt;$E51+$F51,IF($D51="Fix",$G51,$G51*(1+$H51)^($F51)),IF($D51="Fix",$G51,$G51*(1+$H51)^(2035-$E51))))))</f>
        <v/>
      </c>
      <c r="AA51" s="16">
        <f>IF($A51="","",IF(2036&lt;$E51,"",IF($D51="Manuell","",IF(2036&gt;$E51+$F51,IF($D51="Fix",$G51,$G51*(1+$H51)^($F51)),IF($D51="Fix",$G51,$G51*(1+$H51)^(2036-$E51))))))</f>
        <v/>
      </c>
      <c r="AB51" s="16">
        <f>IF($A51="","",IF(2037&lt;$E51,"",IF($D51="Manuell","",IF(2037&gt;$E51+$F51,IF($D51="Fix",$G51,$G51*(1+$H51)^($F51)),IF($D51="Fix",$G51,$G51*(1+$H51)^(2037-$E51))))))</f>
        <v/>
      </c>
      <c r="AC51" s="16">
        <f>IF($A51="","",IF(2038&lt;$E51,"",IF($D51="Manuell","",IF(2038&gt;$E51+$F51,IF($D51="Fix",$G51,$G51*(1+$H51)^($F51)),IF($D51="Fix",$G51,$G51*(1+$H51)^(2038-$E51))))))</f>
        <v/>
      </c>
      <c r="AD51" s="16">
        <f>IF($A51="","",IF(2039&lt;$E51,"",IF($D51="Manuell","",IF(2039&gt;$E51+$F51,IF($D51="Fix",$G51,$G51*(1+$H51)^($F51)),IF($D51="Fix",$G51,$G51*(1+$H51)^(2039-$E51))))))</f>
        <v/>
      </c>
      <c r="AE51" s="16">
        <f>IF($A51="","",IF(2040&lt;$E51,"",IF($D51="Manuell","",IF(2040&gt;$E51+$F51,IF($D51="Fix",$G51,$G51*(1+$H51)^($F51)),IF($D51="Fix",$G51,$G51*(1+$H51)^(2040-$E51))))))</f>
        <v/>
      </c>
      <c r="AF51" s="16">
        <f>IF($A51="","",IF(2041&lt;$E51,"",IF($D51="Manuell","",IF(2041&gt;$E51+$F51,IF($D51="Fix",$G51,$G51*(1+$H51)^($F51)),IF($D51="Fix",$G51,$G51*(1+$H51)^(2041-$E51))))))</f>
        <v/>
      </c>
      <c r="AG51" s="16">
        <f>IF($A51="","",IF(2042&lt;$E51,"",IF($D51="Manuell","",IF(2042&gt;$E51+$F51,IF($D51="Fix",$G51,$G51*(1+$H51)^($F51)),IF($D51="Fix",$G51,$G51*(1+$H51)^(2042-$E51))))))</f>
        <v/>
      </c>
      <c r="AH51" s="16">
        <f>IF($A51="","",IF(2043&lt;$E51,"",IF($D51="Manuell","",IF(2043&gt;$E51+$F51,IF($D51="Fix",$G51,$G51*(1+$H51)^($F51)),IF($D51="Fix",$G51,$G51*(1+$H51)^(2043-$E51))))))</f>
        <v/>
      </c>
      <c r="AI51" s="16">
        <f>IF($A51="","",IF(2044&lt;$E51,"",IF($D51="Manuell","",IF(2044&gt;$E51+$F51,IF($D51="Fix",$G51,$G51*(1+$H51)^($F51)),IF($D51="Fix",$G51,$G51*(1+$H51)^(2044-$E51))))))</f>
        <v/>
      </c>
      <c r="AJ51" s="16">
        <f>IF($A51="","",IF(2045&lt;$E51,"",IF($D51="Manuell","",IF(2045&gt;$E51+$F51,IF($D51="Fix",$G51,$G51*(1+$H51)^($F51)),IF($D51="Fix",$G51,$G51*(1+$H51)^(2045-$E51))))))</f>
        <v/>
      </c>
      <c r="AK51" s="16">
        <f>IF($A51="","",IF(2046&lt;$E51,"",IF($D51="Manuell","",IF(2046&gt;$E51+$F51,IF($D51="Fix",$G51,$G51*(1+$H51)^($F51)),IF($D51="Fix",$G51,$G51*(1+$H51)^(2046-$E51))))))</f>
        <v/>
      </c>
      <c r="AL51" s="16">
        <f>IF($A51="","",IF(2047&lt;$E51,"",IF($D51="Manuell","",IF(2047&gt;$E51+$F51,IF($D51="Fix",$G51,$G51*(1+$H51)^($F51)),IF($D51="Fix",$G51,$G51*(1+$H51)^(2047-$E51))))))</f>
        <v/>
      </c>
      <c r="AM51" s="16">
        <f>IF($A51="","",IF(2048&lt;$E51,"",IF($D51="Manuell","",IF(2048&gt;$E51+$F51,IF($D51="Fix",$G51,$G51*(1+$H51)^($F51)),IF($D51="Fix",$G51,$G51*(1+$H51)^(2048-$E51))))))</f>
        <v/>
      </c>
      <c r="AN51" s="16">
        <f>IF($A51="","",IF(2049&lt;$E51,"",IF($D51="Manuell","",IF(2049&gt;$E51+$F51,IF($D51="Fix",$G51,$G51*(1+$H51)^($F51)),IF($D51="Fix",$G51,$G51*(1+$H51)^(2049-$E51))))))</f>
        <v/>
      </c>
      <c r="AO51" s="16">
        <f>IF($A51="","",IF(2050&lt;$E51,"",IF($D51="Manuell","",IF(2050&gt;$E51+$F51,IF($D51="Fix",$G51,$G51*(1+$H51)^($F51)),IF($D51="Fix",$G51,$G51*(1+$H51)^(2050-$E51))))))</f>
        <v/>
      </c>
      <c r="AP51" s="16">
        <f>IF($A51="","",IF(2051&lt;$E51,"",IF($D51="Manuell","",IF(2051&gt;$E51+$F51,IF($D51="Fix",$G51,$G51*(1+$H51)^($F51)),IF($D51="Fix",$G51,$G51*(1+$H51)^(2051-$E51))))))</f>
        <v/>
      </c>
      <c r="AQ51" s="16">
        <f>IF($A51="","",IF(2052&lt;$E51,"",IF($D51="Manuell","",IF(2052&gt;$E51+$F51,IF($D51="Fix",$G51,$G51*(1+$H51)^($F51)),IF($D51="Fix",$G51,$G51*(1+$H51)^(2052-$E51))))))</f>
        <v/>
      </c>
      <c r="AR51" s="16">
        <f>IF($A51="","",IF(2053&lt;$E51,"",IF($D51="Manuell","",IF(2053&gt;$E51+$F51,IF($D51="Fix",$G51,$G51*(1+$H51)^($F51)),IF($D51="Fix",$G51,$G51*(1+$H51)^(2053-$E51))))))</f>
        <v/>
      </c>
      <c r="AS51" s="16">
        <f>IF($A51="","",IF(2054&lt;$E51,"",IF($D51="Manuell","",IF(2054&gt;$E51+$F51,IF($D51="Fix",$G51,$G51*(1+$H51)^($F51)),IF($D51="Fix",$G51,$G51*(1+$H51)^(2054-$E51))))))</f>
        <v/>
      </c>
      <c r="AT51" s="16">
        <f>IF($A51="","",IF(2055&lt;$E51,"",IF($D51="Manuell","",IF(2055&gt;$E51+$F51,IF($D51="Fix",$G51,$G51*(1+$H51)^($F51)),IF($D51="Fix",$G51,$G51*(1+$H51)^(2055-$E51))))))</f>
        <v/>
      </c>
    </row>
    <row r="52">
      <c r="A52" s="14" t="inlineStr"/>
      <c r="B52" s="14" t="inlineStr"/>
      <c r="C52" s="14" t="inlineStr"/>
      <c r="D52" s="14" t="inlineStr"/>
      <c r="E52" s="11" t="inlineStr"/>
      <c r="F52" s="11" t="inlineStr"/>
      <c r="G52" s="15" t="inlineStr"/>
      <c r="H52" s="15" t="inlineStr"/>
      <c r="I52" s="16">
        <f>IF($A52="","",IF(2018&lt;$E52,"",IF($D52="Manuell","",IF(2018&gt;$E52+$F52,IF($D52="Fix",$G52,$G52*(1+$H52)^($F52)),IF($D52="Fix",$G52,$G52*(1+$H52)^(2018-$E52))))))</f>
        <v/>
      </c>
      <c r="J52" s="16">
        <f>IF($A52="","",IF(2019&lt;$E52,"",IF($D52="Manuell","",IF(2019&gt;$E52+$F52,IF($D52="Fix",$G52,$G52*(1+$H52)^($F52)),IF($D52="Fix",$G52,$G52*(1+$H52)^(2019-$E52))))))</f>
        <v/>
      </c>
      <c r="K52" s="16">
        <f>IF($A52="","",IF(2020&lt;$E52,"",IF($D52="Manuell","",IF(2020&gt;$E52+$F52,IF($D52="Fix",$G52,$G52*(1+$H52)^($F52)),IF($D52="Fix",$G52,$G52*(1+$H52)^(2020-$E52))))))</f>
        <v/>
      </c>
      <c r="L52" s="16">
        <f>IF($A52="","",IF(2021&lt;$E52,"",IF($D52="Manuell","",IF(2021&gt;$E52+$F52,IF($D52="Fix",$G52,$G52*(1+$H52)^($F52)),IF($D52="Fix",$G52,$G52*(1+$H52)^(2021-$E52))))))</f>
        <v/>
      </c>
      <c r="M52" s="16">
        <f>IF($A52="","",IF(2022&lt;$E52,"",IF($D52="Manuell","",IF(2022&gt;$E52+$F52,IF($D52="Fix",$G52,$G52*(1+$H52)^($F52)),IF($D52="Fix",$G52,$G52*(1+$H52)^(2022-$E52))))))</f>
        <v/>
      </c>
      <c r="N52" s="16">
        <f>IF($A52="","",IF(2023&lt;$E52,"",IF($D52="Manuell","",IF(2023&gt;$E52+$F52,IF($D52="Fix",$G52,$G52*(1+$H52)^($F52)),IF($D52="Fix",$G52,$G52*(1+$H52)^(2023-$E52))))))</f>
        <v/>
      </c>
      <c r="O52" s="16">
        <f>IF($A52="","",IF(2024&lt;$E52,"",IF($D52="Manuell","",IF(2024&gt;$E52+$F52,IF($D52="Fix",$G52,$G52*(1+$H52)^($F52)),IF($D52="Fix",$G52,$G52*(1+$H52)^(2024-$E52))))))</f>
        <v/>
      </c>
      <c r="P52" s="16">
        <f>IF($A52="","",IF(2025&lt;$E52,"",IF($D52="Manuell","",IF(2025&gt;$E52+$F52,IF($D52="Fix",$G52,$G52*(1+$H52)^($F52)),IF($D52="Fix",$G52,$G52*(1+$H52)^(2025-$E52))))))</f>
        <v/>
      </c>
      <c r="Q52" s="16">
        <f>IF($A52="","",IF(2026&lt;$E52,"",IF($D52="Manuell","",IF(2026&gt;$E52+$F52,IF($D52="Fix",$G52,$G52*(1+$H52)^($F52)),IF($D52="Fix",$G52,$G52*(1+$H52)^(2026-$E52))))))</f>
        <v/>
      </c>
      <c r="R52" s="16">
        <f>IF($A52="","",IF(2027&lt;$E52,"",IF($D52="Manuell","",IF(2027&gt;$E52+$F52,IF($D52="Fix",$G52,$G52*(1+$H52)^($F52)),IF($D52="Fix",$G52,$G52*(1+$H52)^(2027-$E52))))))</f>
        <v/>
      </c>
      <c r="S52" s="16">
        <f>IF($A52="","",IF(2028&lt;$E52,"",IF($D52="Manuell","",IF(2028&gt;$E52+$F52,IF($D52="Fix",$G52,$G52*(1+$H52)^($F52)),IF($D52="Fix",$G52,$G52*(1+$H52)^(2028-$E52))))))</f>
        <v/>
      </c>
      <c r="T52" s="16">
        <f>IF($A52="","",IF(2029&lt;$E52,"",IF($D52="Manuell","",IF(2029&gt;$E52+$F52,IF($D52="Fix",$G52,$G52*(1+$H52)^($F52)),IF($D52="Fix",$G52,$G52*(1+$H52)^(2029-$E52))))))</f>
        <v/>
      </c>
      <c r="U52" s="16">
        <f>IF($A52="","",IF(2030&lt;$E52,"",IF($D52="Manuell","",IF(2030&gt;$E52+$F52,IF($D52="Fix",$G52,$G52*(1+$H52)^($F52)),IF($D52="Fix",$G52,$G52*(1+$H52)^(2030-$E52))))))</f>
        <v/>
      </c>
      <c r="V52" s="16">
        <f>IF($A52="","",IF(2031&lt;$E52,"",IF($D52="Manuell","",IF(2031&gt;$E52+$F52,IF($D52="Fix",$G52,$G52*(1+$H52)^($F52)),IF($D52="Fix",$G52,$G52*(1+$H52)^(2031-$E52))))))</f>
        <v/>
      </c>
      <c r="W52" s="16">
        <f>IF($A52="","",IF(2032&lt;$E52,"",IF($D52="Manuell","",IF(2032&gt;$E52+$F52,IF($D52="Fix",$G52,$G52*(1+$H52)^($F52)),IF($D52="Fix",$G52,$G52*(1+$H52)^(2032-$E52))))))</f>
        <v/>
      </c>
      <c r="X52" s="16">
        <f>IF($A52="","",IF(2033&lt;$E52,"",IF($D52="Manuell","",IF(2033&gt;$E52+$F52,IF($D52="Fix",$G52,$G52*(1+$H52)^($F52)),IF($D52="Fix",$G52,$G52*(1+$H52)^(2033-$E52))))))</f>
        <v/>
      </c>
      <c r="Y52" s="16">
        <f>IF($A52="","",IF(2034&lt;$E52,"",IF($D52="Manuell","",IF(2034&gt;$E52+$F52,IF($D52="Fix",$G52,$G52*(1+$H52)^($F52)),IF($D52="Fix",$G52,$G52*(1+$H52)^(2034-$E52))))))</f>
        <v/>
      </c>
      <c r="Z52" s="16">
        <f>IF($A52="","",IF(2035&lt;$E52,"",IF($D52="Manuell","",IF(2035&gt;$E52+$F52,IF($D52="Fix",$G52,$G52*(1+$H52)^($F52)),IF($D52="Fix",$G52,$G52*(1+$H52)^(2035-$E52))))))</f>
        <v/>
      </c>
      <c r="AA52" s="16">
        <f>IF($A52="","",IF(2036&lt;$E52,"",IF($D52="Manuell","",IF(2036&gt;$E52+$F52,IF($D52="Fix",$G52,$G52*(1+$H52)^($F52)),IF($D52="Fix",$G52,$G52*(1+$H52)^(2036-$E52))))))</f>
        <v/>
      </c>
      <c r="AB52" s="16">
        <f>IF($A52="","",IF(2037&lt;$E52,"",IF($D52="Manuell","",IF(2037&gt;$E52+$F52,IF($D52="Fix",$G52,$G52*(1+$H52)^($F52)),IF($D52="Fix",$G52,$G52*(1+$H52)^(2037-$E52))))))</f>
        <v/>
      </c>
      <c r="AC52" s="16">
        <f>IF($A52="","",IF(2038&lt;$E52,"",IF($D52="Manuell","",IF(2038&gt;$E52+$F52,IF($D52="Fix",$G52,$G52*(1+$H52)^($F52)),IF($D52="Fix",$G52,$G52*(1+$H52)^(2038-$E52))))))</f>
        <v/>
      </c>
      <c r="AD52" s="16">
        <f>IF($A52="","",IF(2039&lt;$E52,"",IF($D52="Manuell","",IF(2039&gt;$E52+$F52,IF($D52="Fix",$G52,$G52*(1+$H52)^($F52)),IF($D52="Fix",$G52,$G52*(1+$H52)^(2039-$E52))))))</f>
        <v/>
      </c>
      <c r="AE52" s="16">
        <f>IF($A52="","",IF(2040&lt;$E52,"",IF($D52="Manuell","",IF(2040&gt;$E52+$F52,IF($D52="Fix",$G52,$G52*(1+$H52)^($F52)),IF($D52="Fix",$G52,$G52*(1+$H52)^(2040-$E52))))))</f>
        <v/>
      </c>
      <c r="AF52" s="16">
        <f>IF($A52="","",IF(2041&lt;$E52,"",IF($D52="Manuell","",IF(2041&gt;$E52+$F52,IF($D52="Fix",$G52,$G52*(1+$H52)^($F52)),IF($D52="Fix",$G52,$G52*(1+$H52)^(2041-$E52))))))</f>
        <v/>
      </c>
      <c r="AG52" s="16">
        <f>IF($A52="","",IF(2042&lt;$E52,"",IF($D52="Manuell","",IF(2042&gt;$E52+$F52,IF($D52="Fix",$G52,$G52*(1+$H52)^($F52)),IF($D52="Fix",$G52,$G52*(1+$H52)^(2042-$E52))))))</f>
        <v/>
      </c>
      <c r="AH52" s="16">
        <f>IF($A52="","",IF(2043&lt;$E52,"",IF($D52="Manuell","",IF(2043&gt;$E52+$F52,IF($D52="Fix",$G52,$G52*(1+$H52)^($F52)),IF($D52="Fix",$G52,$G52*(1+$H52)^(2043-$E52))))))</f>
        <v/>
      </c>
      <c r="AI52" s="16">
        <f>IF($A52="","",IF(2044&lt;$E52,"",IF($D52="Manuell","",IF(2044&gt;$E52+$F52,IF($D52="Fix",$G52,$G52*(1+$H52)^($F52)),IF($D52="Fix",$G52,$G52*(1+$H52)^(2044-$E52))))))</f>
        <v/>
      </c>
      <c r="AJ52" s="16">
        <f>IF($A52="","",IF(2045&lt;$E52,"",IF($D52="Manuell","",IF(2045&gt;$E52+$F52,IF($D52="Fix",$G52,$G52*(1+$H52)^($F52)),IF($D52="Fix",$G52,$G52*(1+$H52)^(2045-$E52))))))</f>
        <v/>
      </c>
      <c r="AK52" s="16">
        <f>IF($A52="","",IF(2046&lt;$E52,"",IF($D52="Manuell","",IF(2046&gt;$E52+$F52,IF($D52="Fix",$G52,$G52*(1+$H52)^($F52)),IF($D52="Fix",$G52,$G52*(1+$H52)^(2046-$E52))))))</f>
        <v/>
      </c>
      <c r="AL52" s="16">
        <f>IF($A52="","",IF(2047&lt;$E52,"",IF($D52="Manuell","",IF(2047&gt;$E52+$F52,IF($D52="Fix",$G52,$G52*(1+$H52)^($F52)),IF($D52="Fix",$G52,$G52*(1+$H52)^(2047-$E52))))))</f>
        <v/>
      </c>
      <c r="AM52" s="16">
        <f>IF($A52="","",IF(2048&lt;$E52,"",IF($D52="Manuell","",IF(2048&gt;$E52+$F52,IF($D52="Fix",$G52,$G52*(1+$H52)^($F52)),IF($D52="Fix",$G52,$G52*(1+$H52)^(2048-$E52))))))</f>
        <v/>
      </c>
      <c r="AN52" s="16">
        <f>IF($A52="","",IF(2049&lt;$E52,"",IF($D52="Manuell","",IF(2049&gt;$E52+$F52,IF($D52="Fix",$G52,$G52*(1+$H52)^($F52)),IF($D52="Fix",$G52,$G52*(1+$H52)^(2049-$E52))))))</f>
        <v/>
      </c>
      <c r="AO52" s="16">
        <f>IF($A52="","",IF(2050&lt;$E52,"",IF($D52="Manuell","",IF(2050&gt;$E52+$F52,IF($D52="Fix",$G52,$G52*(1+$H52)^($F52)),IF($D52="Fix",$G52,$G52*(1+$H52)^(2050-$E52))))))</f>
        <v/>
      </c>
      <c r="AP52" s="16">
        <f>IF($A52="","",IF(2051&lt;$E52,"",IF($D52="Manuell","",IF(2051&gt;$E52+$F52,IF($D52="Fix",$G52,$G52*(1+$H52)^($F52)),IF($D52="Fix",$G52,$G52*(1+$H52)^(2051-$E52))))))</f>
        <v/>
      </c>
      <c r="AQ52" s="16">
        <f>IF($A52="","",IF(2052&lt;$E52,"",IF($D52="Manuell","",IF(2052&gt;$E52+$F52,IF($D52="Fix",$G52,$G52*(1+$H52)^($F52)),IF($D52="Fix",$G52,$G52*(1+$H52)^(2052-$E52))))))</f>
        <v/>
      </c>
      <c r="AR52" s="16">
        <f>IF($A52="","",IF(2053&lt;$E52,"",IF($D52="Manuell","",IF(2053&gt;$E52+$F52,IF($D52="Fix",$G52,$G52*(1+$H52)^($F52)),IF($D52="Fix",$G52,$G52*(1+$H52)^(2053-$E52))))))</f>
        <v/>
      </c>
      <c r="AS52" s="16">
        <f>IF($A52="","",IF(2054&lt;$E52,"",IF($D52="Manuell","",IF(2054&gt;$E52+$F52,IF($D52="Fix",$G52,$G52*(1+$H52)^($F52)),IF($D52="Fix",$G52,$G52*(1+$H52)^(2054-$E52))))))</f>
        <v/>
      </c>
      <c r="AT52" s="16">
        <f>IF($A52="","",IF(2055&lt;$E52,"",IF($D52="Manuell","",IF(2055&gt;$E52+$F52,IF($D52="Fix",$G52,$G52*(1+$H52)^($F52)),IF($D52="Fix",$G52,$G52*(1+$H52)^(2055-$E52))))))</f>
        <v/>
      </c>
    </row>
    <row r="53">
      <c r="A53" s="14" t="inlineStr"/>
      <c r="B53" s="14" t="inlineStr"/>
      <c r="C53" s="14" t="inlineStr"/>
      <c r="D53" s="14" t="inlineStr"/>
      <c r="E53" s="11" t="inlineStr"/>
      <c r="F53" s="11" t="inlineStr"/>
      <c r="G53" s="15" t="inlineStr"/>
      <c r="H53" s="15" t="inlineStr"/>
      <c r="I53" s="16">
        <f>IF($A53="","",IF(2018&lt;$E53,"",IF($D53="Manuell","",IF(2018&gt;$E53+$F53,IF($D53="Fix",$G53,$G53*(1+$H53)^($F53)),IF($D53="Fix",$G53,$G53*(1+$H53)^(2018-$E53))))))</f>
        <v/>
      </c>
      <c r="J53" s="16">
        <f>IF($A53="","",IF(2019&lt;$E53,"",IF($D53="Manuell","",IF(2019&gt;$E53+$F53,IF($D53="Fix",$G53,$G53*(1+$H53)^($F53)),IF($D53="Fix",$G53,$G53*(1+$H53)^(2019-$E53))))))</f>
        <v/>
      </c>
      <c r="K53" s="16">
        <f>IF($A53="","",IF(2020&lt;$E53,"",IF($D53="Manuell","",IF(2020&gt;$E53+$F53,IF($D53="Fix",$G53,$G53*(1+$H53)^($F53)),IF($D53="Fix",$G53,$G53*(1+$H53)^(2020-$E53))))))</f>
        <v/>
      </c>
      <c r="L53" s="16">
        <f>IF($A53="","",IF(2021&lt;$E53,"",IF($D53="Manuell","",IF(2021&gt;$E53+$F53,IF($D53="Fix",$G53,$G53*(1+$H53)^($F53)),IF($D53="Fix",$G53,$G53*(1+$H53)^(2021-$E53))))))</f>
        <v/>
      </c>
      <c r="M53" s="16">
        <f>IF($A53="","",IF(2022&lt;$E53,"",IF($D53="Manuell","",IF(2022&gt;$E53+$F53,IF($D53="Fix",$G53,$G53*(1+$H53)^($F53)),IF($D53="Fix",$G53,$G53*(1+$H53)^(2022-$E53))))))</f>
        <v/>
      </c>
      <c r="N53" s="16">
        <f>IF($A53="","",IF(2023&lt;$E53,"",IF($D53="Manuell","",IF(2023&gt;$E53+$F53,IF($D53="Fix",$G53,$G53*(1+$H53)^($F53)),IF($D53="Fix",$G53,$G53*(1+$H53)^(2023-$E53))))))</f>
        <v/>
      </c>
      <c r="O53" s="16">
        <f>IF($A53="","",IF(2024&lt;$E53,"",IF($D53="Manuell","",IF(2024&gt;$E53+$F53,IF($D53="Fix",$G53,$G53*(1+$H53)^($F53)),IF($D53="Fix",$G53,$G53*(1+$H53)^(2024-$E53))))))</f>
        <v/>
      </c>
      <c r="P53" s="16">
        <f>IF($A53="","",IF(2025&lt;$E53,"",IF($D53="Manuell","",IF(2025&gt;$E53+$F53,IF($D53="Fix",$G53,$G53*(1+$H53)^($F53)),IF($D53="Fix",$G53,$G53*(1+$H53)^(2025-$E53))))))</f>
        <v/>
      </c>
      <c r="Q53" s="16">
        <f>IF($A53="","",IF(2026&lt;$E53,"",IF($D53="Manuell","",IF(2026&gt;$E53+$F53,IF($D53="Fix",$G53,$G53*(1+$H53)^($F53)),IF($D53="Fix",$G53,$G53*(1+$H53)^(2026-$E53))))))</f>
        <v/>
      </c>
      <c r="R53" s="16">
        <f>IF($A53="","",IF(2027&lt;$E53,"",IF($D53="Manuell","",IF(2027&gt;$E53+$F53,IF($D53="Fix",$G53,$G53*(1+$H53)^($F53)),IF($D53="Fix",$G53,$G53*(1+$H53)^(2027-$E53))))))</f>
        <v/>
      </c>
      <c r="S53" s="16">
        <f>IF($A53="","",IF(2028&lt;$E53,"",IF($D53="Manuell","",IF(2028&gt;$E53+$F53,IF($D53="Fix",$G53,$G53*(1+$H53)^($F53)),IF($D53="Fix",$G53,$G53*(1+$H53)^(2028-$E53))))))</f>
        <v/>
      </c>
      <c r="T53" s="16">
        <f>IF($A53="","",IF(2029&lt;$E53,"",IF($D53="Manuell","",IF(2029&gt;$E53+$F53,IF($D53="Fix",$G53,$G53*(1+$H53)^($F53)),IF($D53="Fix",$G53,$G53*(1+$H53)^(2029-$E53))))))</f>
        <v/>
      </c>
      <c r="U53" s="16">
        <f>IF($A53="","",IF(2030&lt;$E53,"",IF($D53="Manuell","",IF(2030&gt;$E53+$F53,IF($D53="Fix",$G53,$G53*(1+$H53)^($F53)),IF($D53="Fix",$G53,$G53*(1+$H53)^(2030-$E53))))))</f>
        <v/>
      </c>
      <c r="V53" s="16">
        <f>IF($A53="","",IF(2031&lt;$E53,"",IF($D53="Manuell","",IF(2031&gt;$E53+$F53,IF($D53="Fix",$G53,$G53*(1+$H53)^($F53)),IF($D53="Fix",$G53,$G53*(1+$H53)^(2031-$E53))))))</f>
        <v/>
      </c>
      <c r="W53" s="16">
        <f>IF($A53="","",IF(2032&lt;$E53,"",IF($D53="Manuell","",IF(2032&gt;$E53+$F53,IF($D53="Fix",$G53,$G53*(1+$H53)^($F53)),IF($D53="Fix",$G53,$G53*(1+$H53)^(2032-$E53))))))</f>
        <v/>
      </c>
      <c r="X53" s="16">
        <f>IF($A53="","",IF(2033&lt;$E53,"",IF($D53="Manuell","",IF(2033&gt;$E53+$F53,IF($D53="Fix",$G53,$G53*(1+$H53)^($F53)),IF($D53="Fix",$G53,$G53*(1+$H53)^(2033-$E53))))))</f>
        <v/>
      </c>
      <c r="Y53" s="16">
        <f>IF($A53="","",IF(2034&lt;$E53,"",IF($D53="Manuell","",IF(2034&gt;$E53+$F53,IF($D53="Fix",$G53,$G53*(1+$H53)^($F53)),IF($D53="Fix",$G53,$G53*(1+$H53)^(2034-$E53))))))</f>
        <v/>
      </c>
      <c r="Z53" s="16">
        <f>IF($A53="","",IF(2035&lt;$E53,"",IF($D53="Manuell","",IF(2035&gt;$E53+$F53,IF($D53="Fix",$G53,$G53*(1+$H53)^($F53)),IF($D53="Fix",$G53,$G53*(1+$H53)^(2035-$E53))))))</f>
        <v/>
      </c>
      <c r="AA53" s="16">
        <f>IF($A53="","",IF(2036&lt;$E53,"",IF($D53="Manuell","",IF(2036&gt;$E53+$F53,IF($D53="Fix",$G53,$G53*(1+$H53)^($F53)),IF($D53="Fix",$G53,$G53*(1+$H53)^(2036-$E53))))))</f>
        <v/>
      </c>
      <c r="AB53" s="16">
        <f>IF($A53="","",IF(2037&lt;$E53,"",IF($D53="Manuell","",IF(2037&gt;$E53+$F53,IF($D53="Fix",$G53,$G53*(1+$H53)^($F53)),IF($D53="Fix",$G53,$G53*(1+$H53)^(2037-$E53))))))</f>
        <v/>
      </c>
      <c r="AC53" s="16">
        <f>IF($A53="","",IF(2038&lt;$E53,"",IF($D53="Manuell","",IF(2038&gt;$E53+$F53,IF($D53="Fix",$G53,$G53*(1+$H53)^($F53)),IF($D53="Fix",$G53,$G53*(1+$H53)^(2038-$E53))))))</f>
        <v/>
      </c>
      <c r="AD53" s="16">
        <f>IF($A53="","",IF(2039&lt;$E53,"",IF($D53="Manuell","",IF(2039&gt;$E53+$F53,IF($D53="Fix",$G53,$G53*(1+$H53)^($F53)),IF($D53="Fix",$G53,$G53*(1+$H53)^(2039-$E53))))))</f>
        <v/>
      </c>
      <c r="AE53" s="16">
        <f>IF($A53="","",IF(2040&lt;$E53,"",IF($D53="Manuell","",IF(2040&gt;$E53+$F53,IF($D53="Fix",$G53,$G53*(1+$H53)^($F53)),IF($D53="Fix",$G53,$G53*(1+$H53)^(2040-$E53))))))</f>
        <v/>
      </c>
      <c r="AF53" s="16">
        <f>IF($A53="","",IF(2041&lt;$E53,"",IF($D53="Manuell","",IF(2041&gt;$E53+$F53,IF($D53="Fix",$G53,$G53*(1+$H53)^($F53)),IF($D53="Fix",$G53,$G53*(1+$H53)^(2041-$E53))))))</f>
        <v/>
      </c>
      <c r="AG53" s="16">
        <f>IF($A53="","",IF(2042&lt;$E53,"",IF($D53="Manuell","",IF(2042&gt;$E53+$F53,IF($D53="Fix",$G53,$G53*(1+$H53)^($F53)),IF($D53="Fix",$G53,$G53*(1+$H53)^(2042-$E53))))))</f>
        <v/>
      </c>
      <c r="AH53" s="16">
        <f>IF($A53="","",IF(2043&lt;$E53,"",IF($D53="Manuell","",IF(2043&gt;$E53+$F53,IF($D53="Fix",$G53,$G53*(1+$H53)^($F53)),IF($D53="Fix",$G53,$G53*(1+$H53)^(2043-$E53))))))</f>
        <v/>
      </c>
      <c r="AI53" s="16">
        <f>IF($A53="","",IF(2044&lt;$E53,"",IF($D53="Manuell","",IF(2044&gt;$E53+$F53,IF($D53="Fix",$G53,$G53*(1+$H53)^($F53)),IF($D53="Fix",$G53,$G53*(1+$H53)^(2044-$E53))))))</f>
        <v/>
      </c>
      <c r="AJ53" s="16">
        <f>IF($A53="","",IF(2045&lt;$E53,"",IF($D53="Manuell","",IF(2045&gt;$E53+$F53,IF($D53="Fix",$G53,$G53*(1+$H53)^($F53)),IF($D53="Fix",$G53,$G53*(1+$H53)^(2045-$E53))))))</f>
        <v/>
      </c>
      <c r="AK53" s="16">
        <f>IF($A53="","",IF(2046&lt;$E53,"",IF($D53="Manuell","",IF(2046&gt;$E53+$F53,IF($D53="Fix",$G53,$G53*(1+$H53)^($F53)),IF($D53="Fix",$G53,$G53*(1+$H53)^(2046-$E53))))))</f>
        <v/>
      </c>
      <c r="AL53" s="16">
        <f>IF($A53="","",IF(2047&lt;$E53,"",IF($D53="Manuell","",IF(2047&gt;$E53+$F53,IF($D53="Fix",$G53,$G53*(1+$H53)^($F53)),IF($D53="Fix",$G53,$G53*(1+$H53)^(2047-$E53))))))</f>
        <v/>
      </c>
      <c r="AM53" s="16">
        <f>IF($A53="","",IF(2048&lt;$E53,"",IF($D53="Manuell","",IF(2048&gt;$E53+$F53,IF($D53="Fix",$G53,$G53*(1+$H53)^($F53)),IF($D53="Fix",$G53,$G53*(1+$H53)^(2048-$E53))))))</f>
        <v/>
      </c>
      <c r="AN53" s="16">
        <f>IF($A53="","",IF(2049&lt;$E53,"",IF($D53="Manuell","",IF(2049&gt;$E53+$F53,IF($D53="Fix",$G53,$G53*(1+$H53)^($F53)),IF($D53="Fix",$G53,$G53*(1+$H53)^(2049-$E53))))))</f>
        <v/>
      </c>
      <c r="AO53" s="16">
        <f>IF($A53="","",IF(2050&lt;$E53,"",IF($D53="Manuell","",IF(2050&gt;$E53+$F53,IF($D53="Fix",$G53,$G53*(1+$H53)^($F53)),IF($D53="Fix",$G53,$G53*(1+$H53)^(2050-$E53))))))</f>
        <v/>
      </c>
      <c r="AP53" s="16">
        <f>IF($A53="","",IF(2051&lt;$E53,"",IF($D53="Manuell","",IF(2051&gt;$E53+$F53,IF($D53="Fix",$G53,$G53*(1+$H53)^($F53)),IF($D53="Fix",$G53,$G53*(1+$H53)^(2051-$E53))))))</f>
        <v/>
      </c>
      <c r="AQ53" s="16">
        <f>IF($A53="","",IF(2052&lt;$E53,"",IF($D53="Manuell","",IF(2052&gt;$E53+$F53,IF($D53="Fix",$G53,$G53*(1+$H53)^($F53)),IF($D53="Fix",$G53,$G53*(1+$H53)^(2052-$E53))))))</f>
        <v/>
      </c>
      <c r="AR53" s="16">
        <f>IF($A53="","",IF(2053&lt;$E53,"",IF($D53="Manuell","",IF(2053&gt;$E53+$F53,IF($D53="Fix",$G53,$G53*(1+$H53)^($F53)),IF($D53="Fix",$G53,$G53*(1+$H53)^(2053-$E53))))))</f>
        <v/>
      </c>
      <c r="AS53" s="16">
        <f>IF($A53="","",IF(2054&lt;$E53,"",IF($D53="Manuell","",IF(2054&gt;$E53+$F53,IF($D53="Fix",$G53,$G53*(1+$H53)^($F53)),IF($D53="Fix",$G53,$G53*(1+$H53)^(2054-$E53))))))</f>
        <v/>
      </c>
      <c r="AT53" s="16">
        <f>IF($A53="","",IF(2055&lt;$E53,"",IF($D53="Manuell","",IF(2055&gt;$E53+$F53,IF($D53="Fix",$G53,$G53*(1+$H53)^($F53)),IF($D53="Fix",$G53,$G53*(1+$H53)^(2055-$E53))))))</f>
        <v/>
      </c>
    </row>
    <row r="54">
      <c r="A54" s="14" t="inlineStr"/>
      <c r="B54" s="14" t="inlineStr"/>
      <c r="C54" s="14" t="inlineStr"/>
      <c r="D54" s="14" t="inlineStr"/>
      <c r="E54" s="11" t="inlineStr"/>
      <c r="F54" s="11" t="inlineStr"/>
      <c r="G54" s="15" t="inlineStr"/>
      <c r="H54" s="15" t="inlineStr"/>
      <c r="I54" s="16">
        <f>IF($A54="","",IF(2018&lt;$E54,"",IF($D54="Manuell","",IF(2018&gt;$E54+$F54,IF($D54="Fix",$G54,$G54*(1+$H54)^($F54)),IF($D54="Fix",$G54,$G54*(1+$H54)^(2018-$E54))))))</f>
        <v/>
      </c>
      <c r="J54" s="16">
        <f>IF($A54="","",IF(2019&lt;$E54,"",IF($D54="Manuell","",IF(2019&gt;$E54+$F54,IF($D54="Fix",$G54,$G54*(1+$H54)^($F54)),IF($D54="Fix",$G54,$G54*(1+$H54)^(2019-$E54))))))</f>
        <v/>
      </c>
      <c r="K54" s="16">
        <f>IF($A54="","",IF(2020&lt;$E54,"",IF($D54="Manuell","",IF(2020&gt;$E54+$F54,IF($D54="Fix",$G54,$G54*(1+$H54)^($F54)),IF($D54="Fix",$G54,$G54*(1+$H54)^(2020-$E54))))))</f>
        <v/>
      </c>
      <c r="L54" s="16">
        <f>IF($A54="","",IF(2021&lt;$E54,"",IF($D54="Manuell","",IF(2021&gt;$E54+$F54,IF($D54="Fix",$G54,$G54*(1+$H54)^($F54)),IF($D54="Fix",$G54,$G54*(1+$H54)^(2021-$E54))))))</f>
        <v/>
      </c>
      <c r="M54" s="16">
        <f>IF($A54="","",IF(2022&lt;$E54,"",IF($D54="Manuell","",IF(2022&gt;$E54+$F54,IF($D54="Fix",$G54,$G54*(1+$H54)^($F54)),IF($D54="Fix",$G54,$G54*(1+$H54)^(2022-$E54))))))</f>
        <v/>
      </c>
      <c r="N54" s="16">
        <f>IF($A54="","",IF(2023&lt;$E54,"",IF($D54="Manuell","",IF(2023&gt;$E54+$F54,IF($D54="Fix",$G54,$G54*(1+$H54)^($F54)),IF($D54="Fix",$G54,$G54*(1+$H54)^(2023-$E54))))))</f>
        <v/>
      </c>
      <c r="O54" s="16">
        <f>IF($A54="","",IF(2024&lt;$E54,"",IF($D54="Manuell","",IF(2024&gt;$E54+$F54,IF($D54="Fix",$G54,$G54*(1+$H54)^($F54)),IF($D54="Fix",$G54,$G54*(1+$H54)^(2024-$E54))))))</f>
        <v/>
      </c>
      <c r="P54" s="16">
        <f>IF($A54="","",IF(2025&lt;$E54,"",IF($D54="Manuell","",IF(2025&gt;$E54+$F54,IF($D54="Fix",$G54,$G54*(1+$H54)^($F54)),IF($D54="Fix",$G54,$G54*(1+$H54)^(2025-$E54))))))</f>
        <v/>
      </c>
      <c r="Q54" s="16">
        <f>IF($A54="","",IF(2026&lt;$E54,"",IF($D54="Manuell","",IF(2026&gt;$E54+$F54,IF($D54="Fix",$G54,$G54*(1+$H54)^($F54)),IF($D54="Fix",$G54,$G54*(1+$H54)^(2026-$E54))))))</f>
        <v/>
      </c>
      <c r="R54" s="16">
        <f>IF($A54="","",IF(2027&lt;$E54,"",IF($D54="Manuell","",IF(2027&gt;$E54+$F54,IF($D54="Fix",$G54,$G54*(1+$H54)^($F54)),IF($D54="Fix",$G54,$G54*(1+$H54)^(2027-$E54))))))</f>
        <v/>
      </c>
      <c r="S54" s="16">
        <f>IF($A54="","",IF(2028&lt;$E54,"",IF($D54="Manuell","",IF(2028&gt;$E54+$F54,IF($D54="Fix",$G54,$G54*(1+$H54)^($F54)),IF($D54="Fix",$G54,$G54*(1+$H54)^(2028-$E54))))))</f>
        <v/>
      </c>
      <c r="T54" s="16">
        <f>IF($A54="","",IF(2029&lt;$E54,"",IF($D54="Manuell","",IF(2029&gt;$E54+$F54,IF($D54="Fix",$G54,$G54*(1+$H54)^($F54)),IF($D54="Fix",$G54,$G54*(1+$H54)^(2029-$E54))))))</f>
        <v/>
      </c>
      <c r="U54" s="16">
        <f>IF($A54="","",IF(2030&lt;$E54,"",IF($D54="Manuell","",IF(2030&gt;$E54+$F54,IF($D54="Fix",$G54,$G54*(1+$H54)^($F54)),IF($D54="Fix",$G54,$G54*(1+$H54)^(2030-$E54))))))</f>
        <v/>
      </c>
      <c r="V54" s="16">
        <f>IF($A54="","",IF(2031&lt;$E54,"",IF($D54="Manuell","",IF(2031&gt;$E54+$F54,IF($D54="Fix",$G54,$G54*(1+$H54)^($F54)),IF($D54="Fix",$G54,$G54*(1+$H54)^(2031-$E54))))))</f>
        <v/>
      </c>
      <c r="W54" s="16">
        <f>IF($A54="","",IF(2032&lt;$E54,"",IF($D54="Manuell","",IF(2032&gt;$E54+$F54,IF($D54="Fix",$G54,$G54*(1+$H54)^($F54)),IF($D54="Fix",$G54,$G54*(1+$H54)^(2032-$E54))))))</f>
        <v/>
      </c>
      <c r="X54" s="16">
        <f>IF($A54="","",IF(2033&lt;$E54,"",IF($D54="Manuell","",IF(2033&gt;$E54+$F54,IF($D54="Fix",$G54,$G54*(1+$H54)^($F54)),IF($D54="Fix",$G54,$G54*(1+$H54)^(2033-$E54))))))</f>
        <v/>
      </c>
      <c r="Y54" s="16">
        <f>IF($A54="","",IF(2034&lt;$E54,"",IF($D54="Manuell","",IF(2034&gt;$E54+$F54,IF($D54="Fix",$G54,$G54*(1+$H54)^($F54)),IF($D54="Fix",$G54,$G54*(1+$H54)^(2034-$E54))))))</f>
        <v/>
      </c>
      <c r="Z54" s="16">
        <f>IF($A54="","",IF(2035&lt;$E54,"",IF($D54="Manuell","",IF(2035&gt;$E54+$F54,IF($D54="Fix",$G54,$G54*(1+$H54)^($F54)),IF($D54="Fix",$G54,$G54*(1+$H54)^(2035-$E54))))))</f>
        <v/>
      </c>
      <c r="AA54" s="16">
        <f>IF($A54="","",IF(2036&lt;$E54,"",IF($D54="Manuell","",IF(2036&gt;$E54+$F54,IF($D54="Fix",$G54,$G54*(1+$H54)^($F54)),IF($D54="Fix",$G54,$G54*(1+$H54)^(2036-$E54))))))</f>
        <v/>
      </c>
      <c r="AB54" s="16">
        <f>IF($A54="","",IF(2037&lt;$E54,"",IF($D54="Manuell","",IF(2037&gt;$E54+$F54,IF($D54="Fix",$G54,$G54*(1+$H54)^($F54)),IF($D54="Fix",$G54,$G54*(1+$H54)^(2037-$E54))))))</f>
        <v/>
      </c>
      <c r="AC54" s="16">
        <f>IF($A54="","",IF(2038&lt;$E54,"",IF($D54="Manuell","",IF(2038&gt;$E54+$F54,IF($D54="Fix",$G54,$G54*(1+$H54)^($F54)),IF($D54="Fix",$G54,$G54*(1+$H54)^(2038-$E54))))))</f>
        <v/>
      </c>
      <c r="AD54" s="16">
        <f>IF($A54="","",IF(2039&lt;$E54,"",IF($D54="Manuell","",IF(2039&gt;$E54+$F54,IF($D54="Fix",$G54,$G54*(1+$H54)^($F54)),IF($D54="Fix",$G54,$G54*(1+$H54)^(2039-$E54))))))</f>
        <v/>
      </c>
      <c r="AE54" s="16">
        <f>IF($A54="","",IF(2040&lt;$E54,"",IF($D54="Manuell","",IF(2040&gt;$E54+$F54,IF($D54="Fix",$G54,$G54*(1+$H54)^($F54)),IF($D54="Fix",$G54,$G54*(1+$H54)^(2040-$E54))))))</f>
        <v/>
      </c>
      <c r="AF54" s="16">
        <f>IF($A54="","",IF(2041&lt;$E54,"",IF($D54="Manuell","",IF(2041&gt;$E54+$F54,IF($D54="Fix",$G54,$G54*(1+$H54)^($F54)),IF($D54="Fix",$G54,$G54*(1+$H54)^(2041-$E54))))))</f>
        <v/>
      </c>
      <c r="AG54" s="16">
        <f>IF($A54="","",IF(2042&lt;$E54,"",IF($D54="Manuell","",IF(2042&gt;$E54+$F54,IF($D54="Fix",$G54,$G54*(1+$H54)^($F54)),IF($D54="Fix",$G54,$G54*(1+$H54)^(2042-$E54))))))</f>
        <v/>
      </c>
      <c r="AH54" s="16">
        <f>IF($A54="","",IF(2043&lt;$E54,"",IF($D54="Manuell","",IF(2043&gt;$E54+$F54,IF($D54="Fix",$G54,$G54*(1+$H54)^($F54)),IF($D54="Fix",$G54,$G54*(1+$H54)^(2043-$E54))))))</f>
        <v/>
      </c>
      <c r="AI54" s="16">
        <f>IF($A54="","",IF(2044&lt;$E54,"",IF($D54="Manuell","",IF(2044&gt;$E54+$F54,IF($D54="Fix",$G54,$G54*(1+$H54)^($F54)),IF($D54="Fix",$G54,$G54*(1+$H54)^(2044-$E54))))))</f>
        <v/>
      </c>
      <c r="AJ54" s="16">
        <f>IF($A54="","",IF(2045&lt;$E54,"",IF($D54="Manuell","",IF(2045&gt;$E54+$F54,IF($D54="Fix",$G54,$G54*(1+$H54)^($F54)),IF($D54="Fix",$G54,$G54*(1+$H54)^(2045-$E54))))))</f>
        <v/>
      </c>
      <c r="AK54" s="16">
        <f>IF($A54="","",IF(2046&lt;$E54,"",IF($D54="Manuell","",IF(2046&gt;$E54+$F54,IF($D54="Fix",$G54,$G54*(1+$H54)^($F54)),IF($D54="Fix",$G54,$G54*(1+$H54)^(2046-$E54))))))</f>
        <v/>
      </c>
      <c r="AL54" s="16">
        <f>IF($A54="","",IF(2047&lt;$E54,"",IF($D54="Manuell","",IF(2047&gt;$E54+$F54,IF($D54="Fix",$G54,$G54*(1+$H54)^($F54)),IF($D54="Fix",$G54,$G54*(1+$H54)^(2047-$E54))))))</f>
        <v/>
      </c>
      <c r="AM54" s="16">
        <f>IF($A54="","",IF(2048&lt;$E54,"",IF($D54="Manuell","",IF(2048&gt;$E54+$F54,IF($D54="Fix",$G54,$G54*(1+$H54)^($F54)),IF($D54="Fix",$G54,$G54*(1+$H54)^(2048-$E54))))))</f>
        <v/>
      </c>
      <c r="AN54" s="16">
        <f>IF($A54="","",IF(2049&lt;$E54,"",IF($D54="Manuell","",IF(2049&gt;$E54+$F54,IF($D54="Fix",$G54,$G54*(1+$H54)^($F54)),IF($D54="Fix",$G54,$G54*(1+$H54)^(2049-$E54))))))</f>
        <v/>
      </c>
      <c r="AO54" s="16">
        <f>IF($A54="","",IF(2050&lt;$E54,"",IF($D54="Manuell","",IF(2050&gt;$E54+$F54,IF($D54="Fix",$G54,$G54*(1+$H54)^($F54)),IF($D54="Fix",$G54,$G54*(1+$H54)^(2050-$E54))))))</f>
        <v/>
      </c>
      <c r="AP54" s="16">
        <f>IF($A54="","",IF(2051&lt;$E54,"",IF($D54="Manuell","",IF(2051&gt;$E54+$F54,IF($D54="Fix",$G54,$G54*(1+$H54)^($F54)),IF($D54="Fix",$G54,$G54*(1+$H54)^(2051-$E54))))))</f>
        <v/>
      </c>
      <c r="AQ54" s="16">
        <f>IF($A54="","",IF(2052&lt;$E54,"",IF($D54="Manuell","",IF(2052&gt;$E54+$F54,IF($D54="Fix",$G54,$G54*(1+$H54)^($F54)),IF($D54="Fix",$G54,$G54*(1+$H54)^(2052-$E54))))))</f>
        <v/>
      </c>
      <c r="AR54" s="16">
        <f>IF($A54="","",IF(2053&lt;$E54,"",IF($D54="Manuell","",IF(2053&gt;$E54+$F54,IF($D54="Fix",$G54,$G54*(1+$H54)^($F54)),IF($D54="Fix",$G54,$G54*(1+$H54)^(2053-$E54))))))</f>
        <v/>
      </c>
      <c r="AS54" s="16">
        <f>IF($A54="","",IF(2054&lt;$E54,"",IF($D54="Manuell","",IF(2054&gt;$E54+$F54,IF($D54="Fix",$G54,$G54*(1+$H54)^($F54)),IF($D54="Fix",$G54,$G54*(1+$H54)^(2054-$E54))))))</f>
        <v/>
      </c>
      <c r="AT54" s="16">
        <f>IF($A54="","",IF(2055&lt;$E54,"",IF($D54="Manuell","",IF(2055&gt;$E54+$F54,IF($D54="Fix",$G54,$G54*(1+$H54)^($F54)),IF($D54="Fix",$G54,$G54*(1+$H54)^(2055-$E54))))))</f>
        <v/>
      </c>
    </row>
    <row r="55">
      <c r="A55" s="14" t="inlineStr"/>
      <c r="B55" s="14" t="inlineStr"/>
      <c r="C55" s="14" t="inlineStr"/>
      <c r="D55" s="14" t="inlineStr"/>
      <c r="E55" s="11" t="inlineStr"/>
      <c r="F55" s="11" t="inlineStr"/>
      <c r="G55" s="15" t="inlineStr"/>
      <c r="H55" s="15" t="inlineStr"/>
      <c r="I55" s="16">
        <f>IF($A55="","",IF(2018&lt;$E55,"",IF($D55="Manuell","",IF(2018&gt;$E55+$F55,IF($D55="Fix",$G55,$G55*(1+$H55)^($F55)),IF($D55="Fix",$G55,$G55*(1+$H55)^(2018-$E55))))))</f>
        <v/>
      </c>
      <c r="J55" s="16">
        <f>IF($A55="","",IF(2019&lt;$E55,"",IF($D55="Manuell","",IF(2019&gt;$E55+$F55,IF($D55="Fix",$G55,$G55*(1+$H55)^($F55)),IF($D55="Fix",$G55,$G55*(1+$H55)^(2019-$E55))))))</f>
        <v/>
      </c>
      <c r="K55" s="16">
        <f>IF($A55="","",IF(2020&lt;$E55,"",IF($D55="Manuell","",IF(2020&gt;$E55+$F55,IF($D55="Fix",$G55,$G55*(1+$H55)^($F55)),IF($D55="Fix",$G55,$G55*(1+$H55)^(2020-$E55))))))</f>
        <v/>
      </c>
      <c r="L55" s="16">
        <f>IF($A55="","",IF(2021&lt;$E55,"",IF($D55="Manuell","",IF(2021&gt;$E55+$F55,IF($D55="Fix",$G55,$G55*(1+$H55)^($F55)),IF($D55="Fix",$G55,$G55*(1+$H55)^(2021-$E55))))))</f>
        <v/>
      </c>
      <c r="M55" s="16">
        <f>IF($A55="","",IF(2022&lt;$E55,"",IF($D55="Manuell","",IF(2022&gt;$E55+$F55,IF($D55="Fix",$G55,$G55*(1+$H55)^($F55)),IF($D55="Fix",$G55,$G55*(1+$H55)^(2022-$E55))))))</f>
        <v/>
      </c>
      <c r="N55" s="16">
        <f>IF($A55="","",IF(2023&lt;$E55,"",IF($D55="Manuell","",IF(2023&gt;$E55+$F55,IF($D55="Fix",$G55,$G55*(1+$H55)^($F55)),IF($D55="Fix",$G55,$G55*(1+$H55)^(2023-$E55))))))</f>
        <v/>
      </c>
      <c r="O55" s="16">
        <f>IF($A55="","",IF(2024&lt;$E55,"",IF($D55="Manuell","",IF(2024&gt;$E55+$F55,IF($D55="Fix",$G55,$G55*(1+$H55)^($F55)),IF($D55="Fix",$G55,$G55*(1+$H55)^(2024-$E55))))))</f>
        <v/>
      </c>
      <c r="P55" s="16">
        <f>IF($A55="","",IF(2025&lt;$E55,"",IF($D55="Manuell","",IF(2025&gt;$E55+$F55,IF($D55="Fix",$G55,$G55*(1+$H55)^($F55)),IF($D55="Fix",$G55,$G55*(1+$H55)^(2025-$E55))))))</f>
        <v/>
      </c>
      <c r="Q55" s="16">
        <f>IF($A55="","",IF(2026&lt;$E55,"",IF($D55="Manuell","",IF(2026&gt;$E55+$F55,IF($D55="Fix",$G55,$G55*(1+$H55)^($F55)),IF($D55="Fix",$G55,$G55*(1+$H55)^(2026-$E55))))))</f>
        <v/>
      </c>
      <c r="R55" s="16">
        <f>IF($A55="","",IF(2027&lt;$E55,"",IF($D55="Manuell","",IF(2027&gt;$E55+$F55,IF($D55="Fix",$G55,$G55*(1+$H55)^($F55)),IF($D55="Fix",$G55,$G55*(1+$H55)^(2027-$E55))))))</f>
        <v/>
      </c>
      <c r="S55" s="16">
        <f>IF($A55="","",IF(2028&lt;$E55,"",IF($D55="Manuell","",IF(2028&gt;$E55+$F55,IF($D55="Fix",$G55,$G55*(1+$H55)^($F55)),IF($D55="Fix",$G55,$G55*(1+$H55)^(2028-$E55))))))</f>
        <v/>
      </c>
      <c r="T55" s="16">
        <f>IF($A55="","",IF(2029&lt;$E55,"",IF($D55="Manuell","",IF(2029&gt;$E55+$F55,IF($D55="Fix",$G55,$G55*(1+$H55)^($F55)),IF($D55="Fix",$G55,$G55*(1+$H55)^(2029-$E55))))))</f>
        <v/>
      </c>
      <c r="U55" s="16">
        <f>IF($A55="","",IF(2030&lt;$E55,"",IF($D55="Manuell","",IF(2030&gt;$E55+$F55,IF($D55="Fix",$G55,$G55*(1+$H55)^($F55)),IF($D55="Fix",$G55,$G55*(1+$H55)^(2030-$E55))))))</f>
        <v/>
      </c>
      <c r="V55" s="16">
        <f>IF($A55="","",IF(2031&lt;$E55,"",IF($D55="Manuell","",IF(2031&gt;$E55+$F55,IF($D55="Fix",$G55,$G55*(1+$H55)^($F55)),IF($D55="Fix",$G55,$G55*(1+$H55)^(2031-$E55))))))</f>
        <v/>
      </c>
      <c r="W55" s="16">
        <f>IF($A55="","",IF(2032&lt;$E55,"",IF($D55="Manuell","",IF(2032&gt;$E55+$F55,IF($D55="Fix",$G55,$G55*(1+$H55)^($F55)),IF($D55="Fix",$G55,$G55*(1+$H55)^(2032-$E55))))))</f>
        <v/>
      </c>
      <c r="X55" s="16">
        <f>IF($A55="","",IF(2033&lt;$E55,"",IF($D55="Manuell","",IF(2033&gt;$E55+$F55,IF($D55="Fix",$G55,$G55*(1+$H55)^($F55)),IF($D55="Fix",$G55,$G55*(1+$H55)^(2033-$E55))))))</f>
        <v/>
      </c>
      <c r="Y55" s="16">
        <f>IF($A55="","",IF(2034&lt;$E55,"",IF($D55="Manuell","",IF(2034&gt;$E55+$F55,IF($D55="Fix",$G55,$G55*(1+$H55)^($F55)),IF($D55="Fix",$G55,$G55*(1+$H55)^(2034-$E55))))))</f>
        <v/>
      </c>
      <c r="Z55" s="16">
        <f>IF($A55="","",IF(2035&lt;$E55,"",IF($D55="Manuell","",IF(2035&gt;$E55+$F55,IF($D55="Fix",$G55,$G55*(1+$H55)^($F55)),IF($D55="Fix",$G55,$G55*(1+$H55)^(2035-$E55))))))</f>
        <v/>
      </c>
      <c r="AA55" s="16">
        <f>IF($A55="","",IF(2036&lt;$E55,"",IF($D55="Manuell","",IF(2036&gt;$E55+$F55,IF($D55="Fix",$G55,$G55*(1+$H55)^($F55)),IF($D55="Fix",$G55,$G55*(1+$H55)^(2036-$E55))))))</f>
        <v/>
      </c>
      <c r="AB55" s="16">
        <f>IF($A55="","",IF(2037&lt;$E55,"",IF($D55="Manuell","",IF(2037&gt;$E55+$F55,IF($D55="Fix",$G55,$G55*(1+$H55)^($F55)),IF($D55="Fix",$G55,$G55*(1+$H55)^(2037-$E55))))))</f>
        <v/>
      </c>
      <c r="AC55" s="16">
        <f>IF($A55="","",IF(2038&lt;$E55,"",IF($D55="Manuell","",IF(2038&gt;$E55+$F55,IF($D55="Fix",$G55,$G55*(1+$H55)^($F55)),IF($D55="Fix",$G55,$G55*(1+$H55)^(2038-$E55))))))</f>
        <v/>
      </c>
      <c r="AD55" s="16">
        <f>IF($A55="","",IF(2039&lt;$E55,"",IF($D55="Manuell","",IF(2039&gt;$E55+$F55,IF($D55="Fix",$G55,$G55*(1+$H55)^($F55)),IF($D55="Fix",$G55,$G55*(1+$H55)^(2039-$E55))))))</f>
        <v/>
      </c>
      <c r="AE55" s="16">
        <f>IF($A55="","",IF(2040&lt;$E55,"",IF($D55="Manuell","",IF(2040&gt;$E55+$F55,IF($D55="Fix",$G55,$G55*(1+$H55)^($F55)),IF($D55="Fix",$G55,$G55*(1+$H55)^(2040-$E55))))))</f>
        <v/>
      </c>
      <c r="AF55" s="16">
        <f>IF($A55="","",IF(2041&lt;$E55,"",IF($D55="Manuell","",IF(2041&gt;$E55+$F55,IF($D55="Fix",$G55,$G55*(1+$H55)^($F55)),IF($D55="Fix",$G55,$G55*(1+$H55)^(2041-$E55))))))</f>
        <v/>
      </c>
      <c r="AG55" s="16">
        <f>IF($A55="","",IF(2042&lt;$E55,"",IF($D55="Manuell","",IF(2042&gt;$E55+$F55,IF($D55="Fix",$G55,$G55*(1+$H55)^($F55)),IF($D55="Fix",$G55,$G55*(1+$H55)^(2042-$E55))))))</f>
        <v/>
      </c>
      <c r="AH55" s="16">
        <f>IF($A55="","",IF(2043&lt;$E55,"",IF($D55="Manuell","",IF(2043&gt;$E55+$F55,IF($D55="Fix",$G55,$G55*(1+$H55)^($F55)),IF($D55="Fix",$G55,$G55*(1+$H55)^(2043-$E55))))))</f>
        <v/>
      </c>
      <c r="AI55" s="16">
        <f>IF($A55="","",IF(2044&lt;$E55,"",IF($D55="Manuell","",IF(2044&gt;$E55+$F55,IF($D55="Fix",$G55,$G55*(1+$H55)^($F55)),IF($D55="Fix",$G55,$G55*(1+$H55)^(2044-$E55))))))</f>
        <v/>
      </c>
      <c r="AJ55" s="16">
        <f>IF($A55="","",IF(2045&lt;$E55,"",IF($D55="Manuell","",IF(2045&gt;$E55+$F55,IF($D55="Fix",$G55,$G55*(1+$H55)^($F55)),IF($D55="Fix",$G55,$G55*(1+$H55)^(2045-$E55))))))</f>
        <v/>
      </c>
      <c r="AK55" s="16">
        <f>IF($A55="","",IF(2046&lt;$E55,"",IF($D55="Manuell","",IF(2046&gt;$E55+$F55,IF($D55="Fix",$G55,$G55*(1+$H55)^($F55)),IF($D55="Fix",$G55,$G55*(1+$H55)^(2046-$E55))))))</f>
        <v/>
      </c>
      <c r="AL55" s="16">
        <f>IF($A55="","",IF(2047&lt;$E55,"",IF($D55="Manuell","",IF(2047&gt;$E55+$F55,IF($D55="Fix",$G55,$G55*(1+$H55)^($F55)),IF($D55="Fix",$G55,$G55*(1+$H55)^(2047-$E55))))))</f>
        <v/>
      </c>
      <c r="AM55" s="16">
        <f>IF($A55="","",IF(2048&lt;$E55,"",IF($D55="Manuell","",IF(2048&gt;$E55+$F55,IF($D55="Fix",$G55,$G55*(1+$H55)^($F55)),IF($D55="Fix",$G55,$G55*(1+$H55)^(2048-$E55))))))</f>
        <v/>
      </c>
      <c r="AN55" s="16">
        <f>IF($A55="","",IF(2049&lt;$E55,"",IF($D55="Manuell","",IF(2049&gt;$E55+$F55,IF($D55="Fix",$G55,$G55*(1+$H55)^($F55)),IF($D55="Fix",$G55,$G55*(1+$H55)^(2049-$E55))))))</f>
        <v/>
      </c>
      <c r="AO55" s="16">
        <f>IF($A55="","",IF(2050&lt;$E55,"",IF($D55="Manuell","",IF(2050&gt;$E55+$F55,IF($D55="Fix",$G55,$G55*(1+$H55)^($F55)),IF($D55="Fix",$G55,$G55*(1+$H55)^(2050-$E55))))))</f>
        <v/>
      </c>
      <c r="AP55" s="16">
        <f>IF($A55="","",IF(2051&lt;$E55,"",IF($D55="Manuell","",IF(2051&gt;$E55+$F55,IF($D55="Fix",$G55,$G55*(1+$H55)^($F55)),IF($D55="Fix",$G55,$G55*(1+$H55)^(2051-$E55))))))</f>
        <v/>
      </c>
      <c r="AQ55" s="16">
        <f>IF($A55="","",IF(2052&lt;$E55,"",IF($D55="Manuell","",IF(2052&gt;$E55+$F55,IF($D55="Fix",$G55,$G55*(1+$H55)^($F55)),IF($D55="Fix",$G55,$G55*(1+$H55)^(2052-$E55))))))</f>
        <v/>
      </c>
      <c r="AR55" s="16">
        <f>IF($A55="","",IF(2053&lt;$E55,"",IF($D55="Manuell","",IF(2053&gt;$E55+$F55,IF($D55="Fix",$G55,$G55*(1+$H55)^($F55)),IF($D55="Fix",$G55,$G55*(1+$H55)^(2053-$E55))))))</f>
        <v/>
      </c>
      <c r="AS55" s="16">
        <f>IF($A55="","",IF(2054&lt;$E55,"",IF($D55="Manuell","",IF(2054&gt;$E55+$F55,IF($D55="Fix",$G55,$G55*(1+$H55)^($F55)),IF($D55="Fix",$G55,$G55*(1+$H55)^(2054-$E55))))))</f>
        <v/>
      </c>
      <c r="AT55" s="16">
        <f>IF($A55="","",IF(2055&lt;$E55,"",IF($D55="Manuell","",IF(2055&gt;$E55+$F55,IF($D55="Fix",$G55,$G55*(1+$H55)^($F55)),IF($D55="Fix",$G55,$G55*(1+$H55)^(2055-$E55))))))</f>
        <v/>
      </c>
    </row>
    <row r="56">
      <c r="A56" s="14" t="inlineStr"/>
      <c r="B56" s="14" t="inlineStr"/>
      <c r="C56" s="14" t="inlineStr"/>
      <c r="D56" s="14" t="inlineStr"/>
      <c r="E56" s="11" t="inlineStr"/>
      <c r="F56" s="11" t="inlineStr"/>
      <c r="G56" s="15" t="inlineStr"/>
      <c r="H56" s="15" t="inlineStr"/>
      <c r="I56" s="16">
        <f>IF($A56="","",IF(2018&lt;$E56,"",IF($D56="Manuell","",IF(2018&gt;$E56+$F56,IF($D56="Fix",$G56,$G56*(1+$H56)^($F56)),IF($D56="Fix",$G56,$G56*(1+$H56)^(2018-$E56))))))</f>
        <v/>
      </c>
      <c r="J56" s="16">
        <f>IF($A56="","",IF(2019&lt;$E56,"",IF($D56="Manuell","",IF(2019&gt;$E56+$F56,IF($D56="Fix",$G56,$G56*(1+$H56)^($F56)),IF($D56="Fix",$G56,$G56*(1+$H56)^(2019-$E56))))))</f>
        <v/>
      </c>
      <c r="K56" s="16">
        <f>IF($A56="","",IF(2020&lt;$E56,"",IF($D56="Manuell","",IF(2020&gt;$E56+$F56,IF($D56="Fix",$G56,$G56*(1+$H56)^($F56)),IF($D56="Fix",$G56,$G56*(1+$H56)^(2020-$E56))))))</f>
        <v/>
      </c>
      <c r="L56" s="16">
        <f>IF($A56="","",IF(2021&lt;$E56,"",IF($D56="Manuell","",IF(2021&gt;$E56+$F56,IF($D56="Fix",$G56,$G56*(1+$H56)^($F56)),IF($D56="Fix",$G56,$G56*(1+$H56)^(2021-$E56))))))</f>
        <v/>
      </c>
      <c r="M56" s="16">
        <f>IF($A56="","",IF(2022&lt;$E56,"",IF($D56="Manuell","",IF(2022&gt;$E56+$F56,IF($D56="Fix",$G56,$G56*(1+$H56)^($F56)),IF($D56="Fix",$G56,$G56*(1+$H56)^(2022-$E56))))))</f>
        <v/>
      </c>
      <c r="N56" s="16">
        <f>IF($A56="","",IF(2023&lt;$E56,"",IF($D56="Manuell","",IF(2023&gt;$E56+$F56,IF($D56="Fix",$G56,$G56*(1+$H56)^($F56)),IF($D56="Fix",$G56,$G56*(1+$H56)^(2023-$E56))))))</f>
        <v/>
      </c>
      <c r="O56" s="16">
        <f>IF($A56="","",IF(2024&lt;$E56,"",IF($D56="Manuell","",IF(2024&gt;$E56+$F56,IF($D56="Fix",$G56,$G56*(1+$H56)^($F56)),IF($D56="Fix",$G56,$G56*(1+$H56)^(2024-$E56))))))</f>
        <v/>
      </c>
      <c r="P56" s="16">
        <f>IF($A56="","",IF(2025&lt;$E56,"",IF($D56="Manuell","",IF(2025&gt;$E56+$F56,IF($D56="Fix",$G56,$G56*(1+$H56)^($F56)),IF($D56="Fix",$G56,$G56*(1+$H56)^(2025-$E56))))))</f>
        <v/>
      </c>
      <c r="Q56" s="16">
        <f>IF($A56="","",IF(2026&lt;$E56,"",IF($D56="Manuell","",IF(2026&gt;$E56+$F56,IF($D56="Fix",$G56,$G56*(1+$H56)^($F56)),IF($D56="Fix",$G56,$G56*(1+$H56)^(2026-$E56))))))</f>
        <v/>
      </c>
      <c r="R56" s="16">
        <f>IF($A56="","",IF(2027&lt;$E56,"",IF($D56="Manuell","",IF(2027&gt;$E56+$F56,IF($D56="Fix",$G56,$G56*(1+$H56)^($F56)),IF($D56="Fix",$G56,$G56*(1+$H56)^(2027-$E56))))))</f>
        <v/>
      </c>
      <c r="S56" s="16">
        <f>IF($A56="","",IF(2028&lt;$E56,"",IF($D56="Manuell","",IF(2028&gt;$E56+$F56,IF($D56="Fix",$G56,$G56*(1+$H56)^($F56)),IF($D56="Fix",$G56,$G56*(1+$H56)^(2028-$E56))))))</f>
        <v/>
      </c>
      <c r="T56" s="16">
        <f>IF($A56="","",IF(2029&lt;$E56,"",IF($D56="Manuell","",IF(2029&gt;$E56+$F56,IF($D56="Fix",$G56,$G56*(1+$H56)^($F56)),IF($D56="Fix",$G56,$G56*(1+$H56)^(2029-$E56))))))</f>
        <v/>
      </c>
      <c r="U56" s="16">
        <f>IF($A56="","",IF(2030&lt;$E56,"",IF($D56="Manuell","",IF(2030&gt;$E56+$F56,IF($D56="Fix",$G56,$G56*(1+$H56)^($F56)),IF($D56="Fix",$G56,$G56*(1+$H56)^(2030-$E56))))))</f>
        <v/>
      </c>
      <c r="V56" s="16">
        <f>IF($A56="","",IF(2031&lt;$E56,"",IF($D56="Manuell","",IF(2031&gt;$E56+$F56,IF($D56="Fix",$G56,$G56*(1+$H56)^($F56)),IF($D56="Fix",$G56,$G56*(1+$H56)^(2031-$E56))))))</f>
        <v/>
      </c>
      <c r="W56" s="16">
        <f>IF($A56="","",IF(2032&lt;$E56,"",IF($D56="Manuell","",IF(2032&gt;$E56+$F56,IF($D56="Fix",$G56,$G56*(1+$H56)^($F56)),IF($D56="Fix",$G56,$G56*(1+$H56)^(2032-$E56))))))</f>
        <v/>
      </c>
      <c r="X56" s="16">
        <f>IF($A56="","",IF(2033&lt;$E56,"",IF($D56="Manuell","",IF(2033&gt;$E56+$F56,IF($D56="Fix",$G56,$G56*(1+$H56)^($F56)),IF($D56="Fix",$G56,$G56*(1+$H56)^(2033-$E56))))))</f>
        <v/>
      </c>
      <c r="Y56" s="16">
        <f>IF($A56="","",IF(2034&lt;$E56,"",IF($D56="Manuell","",IF(2034&gt;$E56+$F56,IF($D56="Fix",$G56,$G56*(1+$H56)^($F56)),IF($D56="Fix",$G56,$G56*(1+$H56)^(2034-$E56))))))</f>
        <v/>
      </c>
      <c r="Z56" s="16">
        <f>IF($A56="","",IF(2035&lt;$E56,"",IF($D56="Manuell","",IF(2035&gt;$E56+$F56,IF($D56="Fix",$G56,$G56*(1+$H56)^($F56)),IF($D56="Fix",$G56,$G56*(1+$H56)^(2035-$E56))))))</f>
        <v/>
      </c>
      <c r="AA56" s="16">
        <f>IF($A56="","",IF(2036&lt;$E56,"",IF($D56="Manuell","",IF(2036&gt;$E56+$F56,IF($D56="Fix",$G56,$G56*(1+$H56)^($F56)),IF($D56="Fix",$G56,$G56*(1+$H56)^(2036-$E56))))))</f>
        <v/>
      </c>
      <c r="AB56" s="16">
        <f>IF($A56="","",IF(2037&lt;$E56,"",IF($D56="Manuell","",IF(2037&gt;$E56+$F56,IF($D56="Fix",$G56,$G56*(1+$H56)^($F56)),IF($D56="Fix",$G56,$G56*(1+$H56)^(2037-$E56))))))</f>
        <v/>
      </c>
      <c r="AC56" s="16">
        <f>IF($A56="","",IF(2038&lt;$E56,"",IF($D56="Manuell","",IF(2038&gt;$E56+$F56,IF($D56="Fix",$G56,$G56*(1+$H56)^($F56)),IF($D56="Fix",$G56,$G56*(1+$H56)^(2038-$E56))))))</f>
        <v/>
      </c>
      <c r="AD56" s="16">
        <f>IF($A56="","",IF(2039&lt;$E56,"",IF($D56="Manuell","",IF(2039&gt;$E56+$F56,IF($D56="Fix",$G56,$G56*(1+$H56)^($F56)),IF($D56="Fix",$G56,$G56*(1+$H56)^(2039-$E56))))))</f>
        <v/>
      </c>
      <c r="AE56" s="16">
        <f>IF($A56="","",IF(2040&lt;$E56,"",IF($D56="Manuell","",IF(2040&gt;$E56+$F56,IF($D56="Fix",$G56,$G56*(1+$H56)^($F56)),IF($D56="Fix",$G56,$G56*(1+$H56)^(2040-$E56))))))</f>
        <v/>
      </c>
      <c r="AF56" s="16">
        <f>IF($A56="","",IF(2041&lt;$E56,"",IF($D56="Manuell","",IF(2041&gt;$E56+$F56,IF($D56="Fix",$G56,$G56*(1+$H56)^($F56)),IF($D56="Fix",$G56,$G56*(1+$H56)^(2041-$E56))))))</f>
        <v/>
      </c>
      <c r="AG56" s="16">
        <f>IF($A56="","",IF(2042&lt;$E56,"",IF($D56="Manuell","",IF(2042&gt;$E56+$F56,IF($D56="Fix",$G56,$G56*(1+$H56)^($F56)),IF($D56="Fix",$G56,$G56*(1+$H56)^(2042-$E56))))))</f>
        <v/>
      </c>
      <c r="AH56" s="16">
        <f>IF($A56="","",IF(2043&lt;$E56,"",IF($D56="Manuell","",IF(2043&gt;$E56+$F56,IF($D56="Fix",$G56,$G56*(1+$H56)^($F56)),IF($D56="Fix",$G56,$G56*(1+$H56)^(2043-$E56))))))</f>
        <v/>
      </c>
      <c r="AI56" s="16">
        <f>IF($A56="","",IF(2044&lt;$E56,"",IF($D56="Manuell","",IF(2044&gt;$E56+$F56,IF($D56="Fix",$G56,$G56*(1+$H56)^($F56)),IF($D56="Fix",$G56,$G56*(1+$H56)^(2044-$E56))))))</f>
        <v/>
      </c>
      <c r="AJ56" s="16">
        <f>IF($A56="","",IF(2045&lt;$E56,"",IF($D56="Manuell","",IF(2045&gt;$E56+$F56,IF($D56="Fix",$G56,$G56*(1+$H56)^($F56)),IF($D56="Fix",$G56,$G56*(1+$H56)^(2045-$E56))))))</f>
        <v/>
      </c>
      <c r="AK56" s="16">
        <f>IF($A56="","",IF(2046&lt;$E56,"",IF($D56="Manuell","",IF(2046&gt;$E56+$F56,IF($D56="Fix",$G56,$G56*(1+$H56)^($F56)),IF($D56="Fix",$G56,$G56*(1+$H56)^(2046-$E56))))))</f>
        <v/>
      </c>
      <c r="AL56" s="16">
        <f>IF($A56="","",IF(2047&lt;$E56,"",IF($D56="Manuell","",IF(2047&gt;$E56+$F56,IF($D56="Fix",$G56,$G56*(1+$H56)^($F56)),IF($D56="Fix",$G56,$G56*(1+$H56)^(2047-$E56))))))</f>
        <v/>
      </c>
      <c r="AM56" s="16">
        <f>IF($A56="","",IF(2048&lt;$E56,"",IF($D56="Manuell","",IF(2048&gt;$E56+$F56,IF($D56="Fix",$G56,$G56*(1+$H56)^($F56)),IF($D56="Fix",$G56,$G56*(1+$H56)^(2048-$E56))))))</f>
        <v/>
      </c>
      <c r="AN56" s="16">
        <f>IF($A56="","",IF(2049&lt;$E56,"",IF($D56="Manuell","",IF(2049&gt;$E56+$F56,IF($D56="Fix",$G56,$G56*(1+$H56)^($F56)),IF($D56="Fix",$G56,$G56*(1+$H56)^(2049-$E56))))))</f>
        <v/>
      </c>
      <c r="AO56" s="16">
        <f>IF($A56="","",IF(2050&lt;$E56,"",IF($D56="Manuell","",IF(2050&gt;$E56+$F56,IF($D56="Fix",$G56,$G56*(1+$H56)^($F56)),IF($D56="Fix",$G56,$G56*(1+$H56)^(2050-$E56))))))</f>
        <v/>
      </c>
      <c r="AP56" s="16">
        <f>IF($A56="","",IF(2051&lt;$E56,"",IF($D56="Manuell","",IF(2051&gt;$E56+$F56,IF($D56="Fix",$G56,$G56*(1+$H56)^($F56)),IF($D56="Fix",$G56,$G56*(1+$H56)^(2051-$E56))))))</f>
        <v/>
      </c>
      <c r="AQ56" s="16">
        <f>IF($A56="","",IF(2052&lt;$E56,"",IF($D56="Manuell","",IF(2052&gt;$E56+$F56,IF($D56="Fix",$G56,$G56*(1+$H56)^($F56)),IF($D56="Fix",$G56,$G56*(1+$H56)^(2052-$E56))))))</f>
        <v/>
      </c>
      <c r="AR56" s="16">
        <f>IF($A56="","",IF(2053&lt;$E56,"",IF($D56="Manuell","",IF(2053&gt;$E56+$F56,IF($D56="Fix",$G56,$G56*(1+$H56)^($F56)),IF($D56="Fix",$G56,$G56*(1+$H56)^(2053-$E56))))))</f>
        <v/>
      </c>
      <c r="AS56" s="16">
        <f>IF($A56="","",IF(2054&lt;$E56,"",IF($D56="Manuell","",IF(2054&gt;$E56+$F56,IF($D56="Fix",$G56,$G56*(1+$H56)^($F56)),IF($D56="Fix",$G56,$G56*(1+$H56)^(2054-$E56))))))</f>
        <v/>
      </c>
      <c r="AT56" s="16">
        <f>IF($A56="","",IF(2055&lt;$E56,"",IF($D56="Manuell","",IF(2055&gt;$E56+$F56,IF($D56="Fix",$G56,$G56*(1+$H56)^($F56)),IF($D56="Fix",$G56,$G56*(1+$H56)^(2055-$E56))))))</f>
        <v/>
      </c>
    </row>
    <row r="57">
      <c r="A57" s="14" t="inlineStr"/>
      <c r="B57" s="14" t="inlineStr"/>
      <c r="C57" s="14" t="inlineStr"/>
      <c r="D57" s="14" t="inlineStr"/>
      <c r="E57" s="11" t="inlineStr"/>
      <c r="F57" s="11" t="inlineStr"/>
      <c r="G57" s="15" t="inlineStr"/>
      <c r="H57" s="15" t="inlineStr"/>
      <c r="I57" s="16">
        <f>IF($A57="","",IF(2018&lt;$E57,"",IF($D57="Manuell","",IF(2018&gt;$E57+$F57,IF($D57="Fix",$G57,$G57*(1+$H57)^($F57)),IF($D57="Fix",$G57,$G57*(1+$H57)^(2018-$E57))))))</f>
        <v/>
      </c>
      <c r="J57" s="16">
        <f>IF($A57="","",IF(2019&lt;$E57,"",IF($D57="Manuell","",IF(2019&gt;$E57+$F57,IF($D57="Fix",$G57,$G57*(1+$H57)^($F57)),IF($D57="Fix",$G57,$G57*(1+$H57)^(2019-$E57))))))</f>
        <v/>
      </c>
      <c r="K57" s="16">
        <f>IF($A57="","",IF(2020&lt;$E57,"",IF($D57="Manuell","",IF(2020&gt;$E57+$F57,IF($D57="Fix",$G57,$G57*(1+$H57)^($F57)),IF($D57="Fix",$G57,$G57*(1+$H57)^(2020-$E57))))))</f>
        <v/>
      </c>
      <c r="L57" s="16">
        <f>IF($A57="","",IF(2021&lt;$E57,"",IF($D57="Manuell","",IF(2021&gt;$E57+$F57,IF($D57="Fix",$G57,$G57*(1+$H57)^($F57)),IF($D57="Fix",$G57,$G57*(1+$H57)^(2021-$E57))))))</f>
        <v/>
      </c>
      <c r="M57" s="16">
        <f>IF($A57="","",IF(2022&lt;$E57,"",IF($D57="Manuell","",IF(2022&gt;$E57+$F57,IF($D57="Fix",$G57,$G57*(1+$H57)^($F57)),IF($D57="Fix",$G57,$G57*(1+$H57)^(2022-$E57))))))</f>
        <v/>
      </c>
      <c r="N57" s="16">
        <f>IF($A57="","",IF(2023&lt;$E57,"",IF($D57="Manuell","",IF(2023&gt;$E57+$F57,IF($D57="Fix",$G57,$G57*(1+$H57)^($F57)),IF($D57="Fix",$G57,$G57*(1+$H57)^(2023-$E57))))))</f>
        <v/>
      </c>
      <c r="O57" s="16">
        <f>IF($A57="","",IF(2024&lt;$E57,"",IF($D57="Manuell","",IF(2024&gt;$E57+$F57,IF($D57="Fix",$G57,$G57*(1+$H57)^($F57)),IF($D57="Fix",$G57,$G57*(1+$H57)^(2024-$E57))))))</f>
        <v/>
      </c>
      <c r="P57" s="16">
        <f>IF($A57="","",IF(2025&lt;$E57,"",IF($D57="Manuell","",IF(2025&gt;$E57+$F57,IF($D57="Fix",$G57,$G57*(1+$H57)^($F57)),IF($D57="Fix",$G57,$G57*(1+$H57)^(2025-$E57))))))</f>
        <v/>
      </c>
      <c r="Q57" s="16">
        <f>IF($A57="","",IF(2026&lt;$E57,"",IF($D57="Manuell","",IF(2026&gt;$E57+$F57,IF($D57="Fix",$G57,$G57*(1+$H57)^($F57)),IF($D57="Fix",$G57,$G57*(1+$H57)^(2026-$E57))))))</f>
        <v/>
      </c>
      <c r="R57" s="16">
        <f>IF($A57="","",IF(2027&lt;$E57,"",IF($D57="Manuell","",IF(2027&gt;$E57+$F57,IF($D57="Fix",$G57,$G57*(1+$H57)^($F57)),IF($D57="Fix",$G57,$G57*(1+$H57)^(2027-$E57))))))</f>
        <v/>
      </c>
      <c r="S57" s="16">
        <f>IF($A57="","",IF(2028&lt;$E57,"",IF($D57="Manuell","",IF(2028&gt;$E57+$F57,IF($D57="Fix",$G57,$G57*(1+$H57)^($F57)),IF($D57="Fix",$G57,$G57*(1+$H57)^(2028-$E57))))))</f>
        <v/>
      </c>
      <c r="T57" s="16">
        <f>IF($A57="","",IF(2029&lt;$E57,"",IF($D57="Manuell","",IF(2029&gt;$E57+$F57,IF($D57="Fix",$G57,$G57*(1+$H57)^($F57)),IF($D57="Fix",$G57,$G57*(1+$H57)^(2029-$E57))))))</f>
        <v/>
      </c>
      <c r="U57" s="16">
        <f>IF($A57="","",IF(2030&lt;$E57,"",IF($D57="Manuell","",IF(2030&gt;$E57+$F57,IF($D57="Fix",$G57,$G57*(1+$H57)^($F57)),IF($D57="Fix",$G57,$G57*(1+$H57)^(2030-$E57))))))</f>
        <v/>
      </c>
      <c r="V57" s="16">
        <f>IF($A57="","",IF(2031&lt;$E57,"",IF($D57="Manuell","",IF(2031&gt;$E57+$F57,IF($D57="Fix",$G57,$G57*(1+$H57)^($F57)),IF($D57="Fix",$G57,$G57*(1+$H57)^(2031-$E57))))))</f>
        <v/>
      </c>
      <c r="W57" s="16">
        <f>IF($A57="","",IF(2032&lt;$E57,"",IF($D57="Manuell","",IF(2032&gt;$E57+$F57,IF($D57="Fix",$G57,$G57*(1+$H57)^($F57)),IF($D57="Fix",$G57,$G57*(1+$H57)^(2032-$E57))))))</f>
        <v/>
      </c>
      <c r="X57" s="16">
        <f>IF($A57="","",IF(2033&lt;$E57,"",IF($D57="Manuell","",IF(2033&gt;$E57+$F57,IF($D57="Fix",$G57,$G57*(1+$H57)^($F57)),IF($D57="Fix",$G57,$G57*(1+$H57)^(2033-$E57))))))</f>
        <v/>
      </c>
      <c r="Y57" s="16">
        <f>IF($A57="","",IF(2034&lt;$E57,"",IF($D57="Manuell","",IF(2034&gt;$E57+$F57,IF($D57="Fix",$G57,$G57*(1+$H57)^($F57)),IF($D57="Fix",$G57,$G57*(1+$H57)^(2034-$E57))))))</f>
        <v/>
      </c>
      <c r="Z57" s="16">
        <f>IF($A57="","",IF(2035&lt;$E57,"",IF($D57="Manuell","",IF(2035&gt;$E57+$F57,IF($D57="Fix",$G57,$G57*(1+$H57)^($F57)),IF($D57="Fix",$G57,$G57*(1+$H57)^(2035-$E57))))))</f>
        <v/>
      </c>
      <c r="AA57" s="16">
        <f>IF($A57="","",IF(2036&lt;$E57,"",IF($D57="Manuell","",IF(2036&gt;$E57+$F57,IF($D57="Fix",$G57,$G57*(1+$H57)^($F57)),IF($D57="Fix",$G57,$G57*(1+$H57)^(2036-$E57))))))</f>
        <v/>
      </c>
      <c r="AB57" s="16">
        <f>IF($A57="","",IF(2037&lt;$E57,"",IF($D57="Manuell","",IF(2037&gt;$E57+$F57,IF($D57="Fix",$G57,$G57*(1+$H57)^($F57)),IF($D57="Fix",$G57,$G57*(1+$H57)^(2037-$E57))))))</f>
        <v/>
      </c>
      <c r="AC57" s="16">
        <f>IF($A57="","",IF(2038&lt;$E57,"",IF($D57="Manuell","",IF(2038&gt;$E57+$F57,IF($D57="Fix",$G57,$G57*(1+$H57)^($F57)),IF($D57="Fix",$G57,$G57*(1+$H57)^(2038-$E57))))))</f>
        <v/>
      </c>
      <c r="AD57" s="16">
        <f>IF($A57="","",IF(2039&lt;$E57,"",IF($D57="Manuell","",IF(2039&gt;$E57+$F57,IF($D57="Fix",$G57,$G57*(1+$H57)^($F57)),IF($D57="Fix",$G57,$G57*(1+$H57)^(2039-$E57))))))</f>
        <v/>
      </c>
      <c r="AE57" s="16">
        <f>IF($A57="","",IF(2040&lt;$E57,"",IF($D57="Manuell","",IF(2040&gt;$E57+$F57,IF($D57="Fix",$G57,$G57*(1+$H57)^($F57)),IF($D57="Fix",$G57,$G57*(1+$H57)^(2040-$E57))))))</f>
        <v/>
      </c>
      <c r="AF57" s="16">
        <f>IF($A57="","",IF(2041&lt;$E57,"",IF($D57="Manuell","",IF(2041&gt;$E57+$F57,IF($D57="Fix",$G57,$G57*(1+$H57)^($F57)),IF($D57="Fix",$G57,$G57*(1+$H57)^(2041-$E57))))))</f>
        <v/>
      </c>
      <c r="AG57" s="16">
        <f>IF($A57="","",IF(2042&lt;$E57,"",IF($D57="Manuell","",IF(2042&gt;$E57+$F57,IF($D57="Fix",$G57,$G57*(1+$H57)^($F57)),IF($D57="Fix",$G57,$G57*(1+$H57)^(2042-$E57))))))</f>
        <v/>
      </c>
      <c r="AH57" s="16">
        <f>IF($A57="","",IF(2043&lt;$E57,"",IF($D57="Manuell","",IF(2043&gt;$E57+$F57,IF($D57="Fix",$G57,$G57*(1+$H57)^($F57)),IF($D57="Fix",$G57,$G57*(1+$H57)^(2043-$E57))))))</f>
        <v/>
      </c>
      <c r="AI57" s="16">
        <f>IF($A57="","",IF(2044&lt;$E57,"",IF($D57="Manuell","",IF(2044&gt;$E57+$F57,IF($D57="Fix",$G57,$G57*(1+$H57)^($F57)),IF($D57="Fix",$G57,$G57*(1+$H57)^(2044-$E57))))))</f>
        <v/>
      </c>
      <c r="AJ57" s="16">
        <f>IF($A57="","",IF(2045&lt;$E57,"",IF($D57="Manuell","",IF(2045&gt;$E57+$F57,IF($D57="Fix",$G57,$G57*(1+$H57)^($F57)),IF($D57="Fix",$G57,$G57*(1+$H57)^(2045-$E57))))))</f>
        <v/>
      </c>
      <c r="AK57" s="16">
        <f>IF($A57="","",IF(2046&lt;$E57,"",IF($D57="Manuell","",IF(2046&gt;$E57+$F57,IF($D57="Fix",$G57,$G57*(1+$H57)^($F57)),IF($D57="Fix",$G57,$G57*(1+$H57)^(2046-$E57))))))</f>
        <v/>
      </c>
      <c r="AL57" s="16">
        <f>IF($A57="","",IF(2047&lt;$E57,"",IF($D57="Manuell","",IF(2047&gt;$E57+$F57,IF($D57="Fix",$G57,$G57*(1+$H57)^($F57)),IF($D57="Fix",$G57,$G57*(1+$H57)^(2047-$E57))))))</f>
        <v/>
      </c>
      <c r="AM57" s="16">
        <f>IF($A57="","",IF(2048&lt;$E57,"",IF($D57="Manuell","",IF(2048&gt;$E57+$F57,IF($D57="Fix",$G57,$G57*(1+$H57)^($F57)),IF($D57="Fix",$G57,$G57*(1+$H57)^(2048-$E57))))))</f>
        <v/>
      </c>
      <c r="AN57" s="16">
        <f>IF($A57="","",IF(2049&lt;$E57,"",IF($D57="Manuell","",IF(2049&gt;$E57+$F57,IF($D57="Fix",$G57,$G57*(1+$H57)^($F57)),IF($D57="Fix",$G57,$G57*(1+$H57)^(2049-$E57))))))</f>
        <v/>
      </c>
      <c r="AO57" s="16">
        <f>IF($A57="","",IF(2050&lt;$E57,"",IF($D57="Manuell","",IF(2050&gt;$E57+$F57,IF($D57="Fix",$G57,$G57*(1+$H57)^($F57)),IF($D57="Fix",$G57,$G57*(1+$H57)^(2050-$E57))))))</f>
        <v/>
      </c>
      <c r="AP57" s="16">
        <f>IF($A57="","",IF(2051&lt;$E57,"",IF($D57="Manuell","",IF(2051&gt;$E57+$F57,IF($D57="Fix",$G57,$G57*(1+$H57)^($F57)),IF($D57="Fix",$G57,$G57*(1+$H57)^(2051-$E57))))))</f>
        <v/>
      </c>
      <c r="AQ57" s="16">
        <f>IF($A57="","",IF(2052&lt;$E57,"",IF($D57="Manuell","",IF(2052&gt;$E57+$F57,IF($D57="Fix",$G57,$G57*(1+$H57)^($F57)),IF($D57="Fix",$G57,$G57*(1+$H57)^(2052-$E57))))))</f>
        <v/>
      </c>
      <c r="AR57" s="16">
        <f>IF($A57="","",IF(2053&lt;$E57,"",IF($D57="Manuell","",IF(2053&gt;$E57+$F57,IF($D57="Fix",$G57,$G57*(1+$H57)^($F57)),IF($D57="Fix",$G57,$G57*(1+$H57)^(2053-$E57))))))</f>
        <v/>
      </c>
      <c r="AS57" s="16">
        <f>IF($A57="","",IF(2054&lt;$E57,"",IF($D57="Manuell","",IF(2054&gt;$E57+$F57,IF($D57="Fix",$G57,$G57*(1+$H57)^($F57)),IF($D57="Fix",$G57,$G57*(1+$H57)^(2054-$E57))))))</f>
        <v/>
      </c>
      <c r="AT57" s="16">
        <f>IF($A57="","",IF(2055&lt;$E57,"",IF($D57="Manuell","",IF(2055&gt;$E57+$F57,IF($D57="Fix",$G57,$G57*(1+$H57)^($F57)),IF($D57="Fix",$G57,$G57*(1+$H57)^(2055-$E57))))))</f>
        <v/>
      </c>
    </row>
    <row r="58">
      <c r="A58" s="14" t="inlineStr"/>
      <c r="B58" s="14" t="inlineStr"/>
      <c r="C58" s="14" t="inlineStr"/>
      <c r="D58" s="14" t="inlineStr"/>
      <c r="E58" s="11" t="inlineStr"/>
      <c r="F58" s="11" t="inlineStr"/>
      <c r="G58" s="15" t="inlineStr"/>
      <c r="H58" s="15" t="inlineStr"/>
      <c r="I58" s="16">
        <f>IF($A58="","",IF(2018&lt;$E58,"",IF($D58="Manuell","",IF(2018&gt;$E58+$F58,IF($D58="Fix",$G58,$G58*(1+$H58)^($F58)),IF($D58="Fix",$G58,$G58*(1+$H58)^(2018-$E58))))))</f>
        <v/>
      </c>
      <c r="J58" s="16">
        <f>IF($A58="","",IF(2019&lt;$E58,"",IF($D58="Manuell","",IF(2019&gt;$E58+$F58,IF($D58="Fix",$G58,$G58*(1+$H58)^($F58)),IF($D58="Fix",$G58,$G58*(1+$H58)^(2019-$E58))))))</f>
        <v/>
      </c>
      <c r="K58" s="16">
        <f>IF($A58="","",IF(2020&lt;$E58,"",IF($D58="Manuell","",IF(2020&gt;$E58+$F58,IF($D58="Fix",$G58,$G58*(1+$H58)^($F58)),IF($D58="Fix",$G58,$G58*(1+$H58)^(2020-$E58))))))</f>
        <v/>
      </c>
      <c r="L58" s="16">
        <f>IF($A58="","",IF(2021&lt;$E58,"",IF($D58="Manuell","",IF(2021&gt;$E58+$F58,IF($D58="Fix",$G58,$G58*(1+$H58)^($F58)),IF($D58="Fix",$G58,$G58*(1+$H58)^(2021-$E58))))))</f>
        <v/>
      </c>
      <c r="M58" s="16">
        <f>IF($A58="","",IF(2022&lt;$E58,"",IF($D58="Manuell","",IF(2022&gt;$E58+$F58,IF($D58="Fix",$G58,$G58*(1+$H58)^($F58)),IF($D58="Fix",$G58,$G58*(1+$H58)^(2022-$E58))))))</f>
        <v/>
      </c>
      <c r="N58" s="16">
        <f>IF($A58="","",IF(2023&lt;$E58,"",IF($D58="Manuell","",IF(2023&gt;$E58+$F58,IF($D58="Fix",$G58,$G58*(1+$H58)^($F58)),IF($D58="Fix",$G58,$G58*(1+$H58)^(2023-$E58))))))</f>
        <v/>
      </c>
      <c r="O58" s="16">
        <f>IF($A58="","",IF(2024&lt;$E58,"",IF($D58="Manuell","",IF(2024&gt;$E58+$F58,IF($D58="Fix",$G58,$G58*(1+$H58)^($F58)),IF($D58="Fix",$G58,$G58*(1+$H58)^(2024-$E58))))))</f>
        <v/>
      </c>
      <c r="P58" s="16">
        <f>IF($A58="","",IF(2025&lt;$E58,"",IF($D58="Manuell","",IF(2025&gt;$E58+$F58,IF($D58="Fix",$G58,$G58*(1+$H58)^($F58)),IF($D58="Fix",$G58,$G58*(1+$H58)^(2025-$E58))))))</f>
        <v/>
      </c>
      <c r="Q58" s="16">
        <f>IF($A58="","",IF(2026&lt;$E58,"",IF($D58="Manuell","",IF(2026&gt;$E58+$F58,IF($D58="Fix",$G58,$G58*(1+$H58)^($F58)),IF($D58="Fix",$G58,$G58*(1+$H58)^(2026-$E58))))))</f>
        <v/>
      </c>
      <c r="R58" s="16">
        <f>IF($A58="","",IF(2027&lt;$E58,"",IF($D58="Manuell","",IF(2027&gt;$E58+$F58,IF($D58="Fix",$G58,$G58*(1+$H58)^($F58)),IF($D58="Fix",$G58,$G58*(1+$H58)^(2027-$E58))))))</f>
        <v/>
      </c>
      <c r="S58" s="16">
        <f>IF($A58="","",IF(2028&lt;$E58,"",IF($D58="Manuell","",IF(2028&gt;$E58+$F58,IF($D58="Fix",$G58,$G58*(1+$H58)^($F58)),IF($D58="Fix",$G58,$G58*(1+$H58)^(2028-$E58))))))</f>
        <v/>
      </c>
      <c r="T58" s="16">
        <f>IF($A58="","",IF(2029&lt;$E58,"",IF($D58="Manuell","",IF(2029&gt;$E58+$F58,IF($D58="Fix",$G58,$G58*(1+$H58)^($F58)),IF($D58="Fix",$G58,$G58*(1+$H58)^(2029-$E58))))))</f>
        <v/>
      </c>
      <c r="U58" s="16">
        <f>IF($A58="","",IF(2030&lt;$E58,"",IF($D58="Manuell","",IF(2030&gt;$E58+$F58,IF($D58="Fix",$G58,$G58*(1+$H58)^($F58)),IF($D58="Fix",$G58,$G58*(1+$H58)^(2030-$E58))))))</f>
        <v/>
      </c>
      <c r="V58" s="16">
        <f>IF($A58="","",IF(2031&lt;$E58,"",IF($D58="Manuell","",IF(2031&gt;$E58+$F58,IF($D58="Fix",$G58,$G58*(1+$H58)^($F58)),IF($D58="Fix",$G58,$G58*(1+$H58)^(2031-$E58))))))</f>
        <v/>
      </c>
      <c r="W58" s="16">
        <f>IF($A58="","",IF(2032&lt;$E58,"",IF($D58="Manuell","",IF(2032&gt;$E58+$F58,IF($D58="Fix",$G58,$G58*(1+$H58)^($F58)),IF($D58="Fix",$G58,$G58*(1+$H58)^(2032-$E58))))))</f>
        <v/>
      </c>
      <c r="X58" s="16">
        <f>IF($A58="","",IF(2033&lt;$E58,"",IF($D58="Manuell","",IF(2033&gt;$E58+$F58,IF($D58="Fix",$G58,$G58*(1+$H58)^($F58)),IF($D58="Fix",$G58,$G58*(1+$H58)^(2033-$E58))))))</f>
        <v/>
      </c>
      <c r="Y58" s="16">
        <f>IF($A58="","",IF(2034&lt;$E58,"",IF($D58="Manuell","",IF(2034&gt;$E58+$F58,IF($D58="Fix",$G58,$G58*(1+$H58)^($F58)),IF($D58="Fix",$G58,$G58*(1+$H58)^(2034-$E58))))))</f>
        <v/>
      </c>
      <c r="Z58" s="16">
        <f>IF($A58="","",IF(2035&lt;$E58,"",IF($D58="Manuell","",IF(2035&gt;$E58+$F58,IF($D58="Fix",$G58,$G58*(1+$H58)^($F58)),IF($D58="Fix",$G58,$G58*(1+$H58)^(2035-$E58))))))</f>
        <v/>
      </c>
      <c r="AA58" s="16">
        <f>IF($A58="","",IF(2036&lt;$E58,"",IF($D58="Manuell","",IF(2036&gt;$E58+$F58,IF($D58="Fix",$G58,$G58*(1+$H58)^($F58)),IF($D58="Fix",$G58,$G58*(1+$H58)^(2036-$E58))))))</f>
        <v/>
      </c>
      <c r="AB58" s="16">
        <f>IF($A58="","",IF(2037&lt;$E58,"",IF($D58="Manuell","",IF(2037&gt;$E58+$F58,IF($D58="Fix",$G58,$G58*(1+$H58)^($F58)),IF($D58="Fix",$G58,$G58*(1+$H58)^(2037-$E58))))))</f>
        <v/>
      </c>
      <c r="AC58" s="16">
        <f>IF($A58="","",IF(2038&lt;$E58,"",IF($D58="Manuell","",IF(2038&gt;$E58+$F58,IF($D58="Fix",$G58,$G58*(1+$H58)^($F58)),IF($D58="Fix",$G58,$G58*(1+$H58)^(2038-$E58))))))</f>
        <v/>
      </c>
      <c r="AD58" s="16">
        <f>IF($A58="","",IF(2039&lt;$E58,"",IF($D58="Manuell","",IF(2039&gt;$E58+$F58,IF($D58="Fix",$G58,$G58*(1+$H58)^($F58)),IF($D58="Fix",$G58,$G58*(1+$H58)^(2039-$E58))))))</f>
        <v/>
      </c>
      <c r="AE58" s="16">
        <f>IF($A58="","",IF(2040&lt;$E58,"",IF($D58="Manuell","",IF(2040&gt;$E58+$F58,IF($D58="Fix",$G58,$G58*(1+$H58)^($F58)),IF($D58="Fix",$G58,$G58*(1+$H58)^(2040-$E58))))))</f>
        <v/>
      </c>
      <c r="AF58" s="16">
        <f>IF($A58="","",IF(2041&lt;$E58,"",IF($D58="Manuell","",IF(2041&gt;$E58+$F58,IF($D58="Fix",$G58,$G58*(1+$H58)^($F58)),IF($D58="Fix",$G58,$G58*(1+$H58)^(2041-$E58))))))</f>
        <v/>
      </c>
      <c r="AG58" s="16">
        <f>IF($A58="","",IF(2042&lt;$E58,"",IF($D58="Manuell","",IF(2042&gt;$E58+$F58,IF($D58="Fix",$G58,$G58*(1+$H58)^($F58)),IF($D58="Fix",$G58,$G58*(1+$H58)^(2042-$E58))))))</f>
        <v/>
      </c>
      <c r="AH58" s="16">
        <f>IF($A58="","",IF(2043&lt;$E58,"",IF($D58="Manuell","",IF(2043&gt;$E58+$F58,IF($D58="Fix",$G58,$G58*(1+$H58)^($F58)),IF($D58="Fix",$G58,$G58*(1+$H58)^(2043-$E58))))))</f>
        <v/>
      </c>
      <c r="AI58" s="16">
        <f>IF($A58="","",IF(2044&lt;$E58,"",IF($D58="Manuell","",IF(2044&gt;$E58+$F58,IF($D58="Fix",$G58,$G58*(1+$H58)^($F58)),IF($D58="Fix",$G58,$G58*(1+$H58)^(2044-$E58))))))</f>
        <v/>
      </c>
      <c r="AJ58" s="16">
        <f>IF($A58="","",IF(2045&lt;$E58,"",IF($D58="Manuell","",IF(2045&gt;$E58+$F58,IF($D58="Fix",$G58,$G58*(1+$H58)^($F58)),IF($D58="Fix",$G58,$G58*(1+$H58)^(2045-$E58))))))</f>
        <v/>
      </c>
      <c r="AK58" s="16">
        <f>IF($A58="","",IF(2046&lt;$E58,"",IF($D58="Manuell","",IF(2046&gt;$E58+$F58,IF($D58="Fix",$G58,$G58*(1+$H58)^($F58)),IF($D58="Fix",$G58,$G58*(1+$H58)^(2046-$E58))))))</f>
        <v/>
      </c>
      <c r="AL58" s="16">
        <f>IF($A58="","",IF(2047&lt;$E58,"",IF($D58="Manuell","",IF(2047&gt;$E58+$F58,IF($D58="Fix",$G58,$G58*(1+$H58)^($F58)),IF($D58="Fix",$G58,$G58*(1+$H58)^(2047-$E58))))))</f>
        <v/>
      </c>
      <c r="AM58" s="16">
        <f>IF($A58="","",IF(2048&lt;$E58,"",IF($D58="Manuell","",IF(2048&gt;$E58+$F58,IF($D58="Fix",$G58,$G58*(1+$H58)^($F58)),IF($D58="Fix",$G58,$G58*(1+$H58)^(2048-$E58))))))</f>
        <v/>
      </c>
      <c r="AN58" s="16">
        <f>IF($A58="","",IF(2049&lt;$E58,"",IF($D58="Manuell","",IF(2049&gt;$E58+$F58,IF($D58="Fix",$G58,$G58*(1+$H58)^($F58)),IF($D58="Fix",$G58,$G58*(1+$H58)^(2049-$E58))))))</f>
        <v/>
      </c>
      <c r="AO58" s="16">
        <f>IF($A58="","",IF(2050&lt;$E58,"",IF($D58="Manuell","",IF(2050&gt;$E58+$F58,IF($D58="Fix",$G58,$G58*(1+$H58)^($F58)),IF($D58="Fix",$G58,$G58*(1+$H58)^(2050-$E58))))))</f>
        <v/>
      </c>
      <c r="AP58" s="16">
        <f>IF($A58="","",IF(2051&lt;$E58,"",IF($D58="Manuell","",IF(2051&gt;$E58+$F58,IF($D58="Fix",$G58,$G58*(1+$H58)^($F58)),IF($D58="Fix",$G58,$G58*(1+$H58)^(2051-$E58))))))</f>
        <v/>
      </c>
      <c r="AQ58" s="16">
        <f>IF($A58="","",IF(2052&lt;$E58,"",IF($D58="Manuell","",IF(2052&gt;$E58+$F58,IF($D58="Fix",$G58,$G58*(1+$H58)^($F58)),IF($D58="Fix",$G58,$G58*(1+$H58)^(2052-$E58))))))</f>
        <v/>
      </c>
      <c r="AR58" s="16">
        <f>IF($A58="","",IF(2053&lt;$E58,"",IF($D58="Manuell","",IF(2053&gt;$E58+$F58,IF($D58="Fix",$G58,$G58*(1+$H58)^($F58)),IF($D58="Fix",$G58,$G58*(1+$H58)^(2053-$E58))))))</f>
        <v/>
      </c>
      <c r="AS58" s="16">
        <f>IF($A58="","",IF(2054&lt;$E58,"",IF($D58="Manuell","",IF(2054&gt;$E58+$F58,IF($D58="Fix",$G58,$G58*(1+$H58)^($F58)),IF($D58="Fix",$G58,$G58*(1+$H58)^(2054-$E58))))))</f>
        <v/>
      </c>
      <c r="AT58" s="16">
        <f>IF($A58="","",IF(2055&lt;$E58,"",IF($D58="Manuell","",IF(2055&gt;$E58+$F58,IF($D58="Fix",$G58,$G58*(1+$H58)^($F58)),IF($D58="Fix",$G58,$G58*(1+$H58)^(2055-$E58))))))</f>
        <v/>
      </c>
    </row>
    <row r="59">
      <c r="A59" s="14" t="inlineStr"/>
      <c r="B59" s="14" t="inlineStr"/>
      <c r="C59" s="14" t="inlineStr"/>
      <c r="D59" s="14" t="inlineStr"/>
      <c r="E59" s="11" t="inlineStr"/>
      <c r="F59" s="11" t="inlineStr"/>
      <c r="G59" s="15" t="inlineStr"/>
      <c r="H59" s="15" t="inlineStr"/>
      <c r="I59" s="16">
        <f>IF($A59="","",IF(2018&lt;$E59,"",IF($D59="Manuell","",IF(2018&gt;$E59+$F59,IF($D59="Fix",$G59,$G59*(1+$H59)^($F59)),IF($D59="Fix",$G59,$G59*(1+$H59)^(2018-$E59))))))</f>
        <v/>
      </c>
      <c r="J59" s="16">
        <f>IF($A59="","",IF(2019&lt;$E59,"",IF($D59="Manuell","",IF(2019&gt;$E59+$F59,IF($D59="Fix",$G59,$G59*(1+$H59)^($F59)),IF($D59="Fix",$G59,$G59*(1+$H59)^(2019-$E59))))))</f>
        <v/>
      </c>
      <c r="K59" s="16">
        <f>IF($A59="","",IF(2020&lt;$E59,"",IF($D59="Manuell","",IF(2020&gt;$E59+$F59,IF($D59="Fix",$G59,$G59*(1+$H59)^($F59)),IF($D59="Fix",$G59,$G59*(1+$H59)^(2020-$E59))))))</f>
        <v/>
      </c>
      <c r="L59" s="16">
        <f>IF($A59="","",IF(2021&lt;$E59,"",IF($D59="Manuell","",IF(2021&gt;$E59+$F59,IF($D59="Fix",$G59,$G59*(1+$H59)^($F59)),IF($D59="Fix",$G59,$G59*(1+$H59)^(2021-$E59))))))</f>
        <v/>
      </c>
      <c r="M59" s="16">
        <f>IF($A59="","",IF(2022&lt;$E59,"",IF($D59="Manuell","",IF(2022&gt;$E59+$F59,IF($D59="Fix",$G59,$G59*(1+$H59)^($F59)),IF($D59="Fix",$G59,$G59*(1+$H59)^(2022-$E59))))))</f>
        <v/>
      </c>
      <c r="N59" s="16">
        <f>IF($A59="","",IF(2023&lt;$E59,"",IF($D59="Manuell","",IF(2023&gt;$E59+$F59,IF($D59="Fix",$G59,$G59*(1+$H59)^($F59)),IF($D59="Fix",$G59,$G59*(1+$H59)^(2023-$E59))))))</f>
        <v/>
      </c>
      <c r="O59" s="16">
        <f>IF($A59="","",IF(2024&lt;$E59,"",IF($D59="Manuell","",IF(2024&gt;$E59+$F59,IF($D59="Fix",$G59,$G59*(1+$H59)^($F59)),IF($D59="Fix",$G59,$G59*(1+$H59)^(2024-$E59))))))</f>
        <v/>
      </c>
      <c r="P59" s="16">
        <f>IF($A59="","",IF(2025&lt;$E59,"",IF($D59="Manuell","",IF(2025&gt;$E59+$F59,IF($D59="Fix",$G59,$G59*(1+$H59)^($F59)),IF($D59="Fix",$G59,$G59*(1+$H59)^(2025-$E59))))))</f>
        <v/>
      </c>
      <c r="Q59" s="16">
        <f>IF($A59="","",IF(2026&lt;$E59,"",IF($D59="Manuell","",IF(2026&gt;$E59+$F59,IF($D59="Fix",$G59,$G59*(1+$H59)^($F59)),IF($D59="Fix",$G59,$G59*(1+$H59)^(2026-$E59))))))</f>
        <v/>
      </c>
      <c r="R59" s="16">
        <f>IF($A59="","",IF(2027&lt;$E59,"",IF($D59="Manuell","",IF(2027&gt;$E59+$F59,IF($D59="Fix",$G59,$G59*(1+$H59)^($F59)),IF($D59="Fix",$G59,$G59*(1+$H59)^(2027-$E59))))))</f>
        <v/>
      </c>
      <c r="S59" s="16">
        <f>IF($A59="","",IF(2028&lt;$E59,"",IF($D59="Manuell","",IF(2028&gt;$E59+$F59,IF($D59="Fix",$G59,$G59*(1+$H59)^($F59)),IF($D59="Fix",$G59,$G59*(1+$H59)^(2028-$E59))))))</f>
        <v/>
      </c>
      <c r="T59" s="16">
        <f>IF($A59="","",IF(2029&lt;$E59,"",IF($D59="Manuell","",IF(2029&gt;$E59+$F59,IF($D59="Fix",$G59,$G59*(1+$H59)^($F59)),IF($D59="Fix",$G59,$G59*(1+$H59)^(2029-$E59))))))</f>
        <v/>
      </c>
      <c r="U59" s="16">
        <f>IF($A59="","",IF(2030&lt;$E59,"",IF($D59="Manuell","",IF(2030&gt;$E59+$F59,IF($D59="Fix",$G59,$G59*(1+$H59)^($F59)),IF($D59="Fix",$G59,$G59*(1+$H59)^(2030-$E59))))))</f>
        <v/>
      </c>
      <c r="V59" s="16">
        <f>IF($A59="","",IF(2031&lt;$E59,"",IF($D59="Manuell","",IF(2031&gt;$E59+$F59,IF($D59="Fix",$G59,$G59*(1+$H59)^($F59)),IF($D59="Fix",$G59,$G59*(1+$H59)^(2031-$E59))))))</f>
        <v/>
      </c>
      <c r="W59" s="16">
        <f>IF($A59="","",IF(2032&lt;$E59,"",IF($D59="Manuell","",IF(2032&gt;$E59+$F59,IF($D59="Fix",$G59,$G59*(1+$H59)^($F59)),IF($D59="Fix",$G59,$G59*(1+$H59)^(2032-$E59))))))</f>
        <v/>
      </c>
      <c r="X59" s="16">
        <f>IF($A59="","",IF(2033&lt;$E59,"",IF($D59="Manuell","",IF(2033&gt;$E59+$F59,IF($D59="Fix",$G59,$G59*(1+$H59)^($F59)),IF($D59="Fix",$G59,$G59*(1+$H59)^(2033-$E59))))))</f>
        <v/>
      </c>
      <c r="Y59" s="16">
        <f>IF($A59="","",IF(2034&lt;$E59,"",IF($D59="Manuell","",IF(2034&gt;$E59+$F59,IF($D59="Fix",$G59,$G59*(1+$H59)^($F59)),IF($D59="Fix",$G59,$G59*(1+$H59)^(2034-$E59))))))</f>
        <v/>
      </c>
      <c r="Z59" s="16">
        <f>IF($A59="","",IF(2035&lt;$E59,"",IF($D59="Manuell","",IF(2035&gt;$E59+$F59,IF($D59="Fix",$G59,$G59*(1+$H59)^($F59)),IF($D59="Fix",$G59,$G59*(1+$H59)^(2035-$E59))))))</f>
        <v/>
      </c>
      <c r="AA59" s="16">
        <f>IF($A59="","",IF(2036&lt;$E59,"",IF($D59="Manuell","",IF(2036&gt;$E59+$F59,IF($D59="Fix",$G59,$G59*(1+$H59)^($F59)),IF($D59="Fix",$G59,$G59*(1+$H59)^(2036-$E59))))))</f>
        <v/>
      </c>
      <c r="AB59" s="16">
        <f>IF($A59="","",IF(2037&lt;$E59,"",IF($D59="Manuell","",IF(2037&gt;$E59+$F59,IF($D59="Fix",$G59,$G59*(1+$H59)^($F59)),IF($D59="Fix",$G59,$G59*(1+$H59)^(2037-$E59))))))</f>
        <v/>
      </c>
      <c r="AC59" s="16">
        <f>IF($A59="","",IF(2038&lt;$E59,"",IF($D59="Manuell","",IF(2038&gt;$E59+$F59,IF($D59="Fix",$G59,$G59*(1+$H59)^($F59)),IF($D59="Fix",$G59,$G59*(1+$H59)^(2038-$E59))))))</f>
        <v/>
      </c>
      <c r="AD59" s="16">
        <f>IF($A59="","",IF(2039&lt;$E59,"",IF($D59="Manuell","",IF(2039&gt;$E59+$F59,IF($D59="Fix",$G59,$G59*(1+$H59)^($F59)),IF($D59="Fix",$G59,$G59*(1+$H59)^(2039-$E59))))))</f>
        <v/>
      </c>
      <c r="AE59" s="16">
        <f>IF($A59="","",IF(2040&lt;$E59,"",IF($D59="Manuell","",IF(2040&gt;$E59+$F59,IF($D59="Fix",$G59,$G59*(1+$H59)^($F59)),IF($D59="Fix",$G59,$G59*(1+$H59)^(2040-$E59))))))</f>
        <v/>
      </c>
      <c r="AF59" s="16">
        <f>IF($A59="","",IF(2041&lt;$E59,"",IF($D59="Manuell","",IF(2041&gt;$E59+$F59,IF($D59="Fix",$G59,$G59*(1+$H59)^($F59)),IF($D59="Fix",$G59,$G59*(1+$H59)^(2041-$E59))))))</f>
        <v/>
      </c>
      <c r="AG59" s="16">
        <f>IF($A59="","",IF(2042&lt;$E59,"",IF($D59="Manuell","",IF(2042&gt;$E59+$F59,IF($D59="Fix",$G59,$G59*(1+$H59)^($F59)),IF($D59="Fix",$G59,$G59*(1+$H59)^(2042-$E59))))))</f>
        <v/>
      </c>
      <c r="AH59" s="16">
        <f>IF($A59="","",IF(2043&lt;$E59,"",IF($D59="Manuell","",IF(2043&gt;$E59+$F59,IF($D59="Fix",$G59,$G59*(1+$H59)^($F59)),IF($D59="Fix",$G59,$G59*(1+$H59)^(2043-$E59))))))</f>
        <v/>
      </c>
      <c r="AI59" s="16">
        <f>IF($A59="","",IF(2044&lt;$E59,"",IF($D59="Manuell","",IF(2044&gt;$E59+$F59,IF($D59="Fix",$G59,$G59*(1+$H59)^($F59)),IF($D59="Fix",$G59,$G59*(1+$H59)^(2044-$E59))))))</f>
        <v/>
      </c>
      <c r="AJ59" s="16">
        <f>IF($A59="","",IF(2045&lt;$E59,"",IF($D59="Manuell","",IF(2045&gt;$E59+$F59,IF($D59="Fix",$G59,$G59*(1+$H59)^($F59)),IF($D59="Fix",$G59,$G59*(1+$H59)^(2045-$E59))))))</f>
        <v/>
      </c>
      <c r="AK59" s="16">
        <f>IF($A59="","",IF(2046&lt;$E59,"",IF($D59="Manuell","",IF(2046&gt;$E59+$F59,IF($D59="Fix",$G59,$G59*(1+$H59)^($F59)),IF($D59="Fix",$G59,$G59*(1+$H59)^(2046-$E59))))))</f>
        <v/>
      </c>
      <c r="AL59" s="16">
        <f>IF($A59="","",IF(2047&lt;$E59,"",IF($D59="Manuell","",IF(2047&gt;$E59+$F59,IF($D59="Fix",$G59,$G59*(1+$H59)^($F59)),IF($D59="Fix",$G59,$G59*(1+$H59)^(2047-$E59))))))</f>
        <v/>
      </c>
      <c r="AM59" s="16">
        <f>IF($A59="","",IF(2048&lt;$E59,"",IF($D59="Manuell","",IF(2048&gt;$E59+$F59,IF($D59="Fix",$G59,$G59*(1+$H59)^($F59)),IF($D59="Fix",$G59,$G59*(1+$H59)^(2048-$E59))))))</f>
        <v/>
      </c>
      <c r="AN59" s="16">
        <f>IF($A59="","",IF(2049&lt;$E59,"",IF($D59="Manuell","",IF(2049&gt;$E59+$F59,IF($D59="Fix",$G59,$G59*(1+$H59)^($F59)),IF($D59="Fix",$G59,$G59*(1+$H59)^(2049-$E59))))))</f>
        <v/>
      </c>
      <c r="AO59" s="16">
        <f>IF($A59="","",IF(2050&lt;$E59,"",IF($D59="Manuell","",IF(2050&gt;$E59+$F59,IF($D59="Fix",$G59,$G59*(1+$H59)^($F59)),IF($D59="Fix",$G59,$G59*(1+$H59)^(2050-$E59))))))</f>
        <v/>
      </c>
      <c r="AP59" s="16">
        <f>IF($A59="","",IF(2051&lt;$E59,"",IF($D59="Manuell","",IF(2051&gt;$E59+$F59,IF($D59="Fix",$G59,$G59*(1+$H59)^($F59)),IF($D59="Fix",$G59,$G59*(1+$H59)^(2051-$E59))))))</f>
        <v/>
      </c>
      <c r="AQ59" s="16">
        <f>IF($A59="","",IF(2052&lt;$E59,"",IF($D59="Manuell","",IF(2052&gt;$E59+$F59,IF($D59="Fix",$G59,$G59*(1+$H59)^($F59)),IF($D59="Fix",$G59,$G59*(1+$H59)^(2052-$E59))))))</f>
        <v/>
      </c>
      <c r="AR59" s="16">
        <f>IF($A59="","",IF(2053&lt;$E59,"",IF($D59="Manuell","",IF(2053&gt;$E59+$F59,IF($D59="Fix",$G59,$G59*(1+$H59)^($F59)),IF($D59="Fix",$G59,$G59*(1+$H59)^(2053-$E59))))))</f>
        <v/>
      </c>
      <c r="AS59" s="16">
        <f>IF($A59="","",IF(2054&lt;$E59,"",IF($D59="Manuell","",IF(2054&gt;$E59+$F59,IF($D59="Fix",$G59,$G59*(1+$H59)^($F59)),IF($D59="Fix",$G59,$G59*(1+$H59)^(2054-$E59))))))</f>
        <v/>
      </c>
      <c r="AT59" s="16">
        <f>IF($A59="","",IF(2055&lt;$E59,"",IF($D59="Manuell","",IF(2055&gt;$E59+$F59,IF($D59="Fix",$G59,$G59*(1+$H59)^($F59)),IF($D59="Fix",$G59,$G59*(1+$H59)^(2055-$E59))))))</f>
        <v/>
      </c>
    </row>
    <row r="60">
      <c r="A60" s="14" t="inlineStr"/>
      <c r="B60" s="14" t="inlineStr"/>
      <c r="C60" s="14" t="inlineStr"/>
      <c r="D60" s="14" t="inlineStr"/>
      <c r="E60" s="11" t="inlineStr"/>
      <c r="F60" s="11" t="inlineStr"/>
      <c r="G60" s="15" t="inlineStr"/>
      <c r="H60" s="15" t="inlineStr"/>
      <c r="I60" s="16">
        <f>IF($A60="","",IF(2018&lt;$E60,"",IF($D60="Manuell","",IF(2018&gt;$E60+$F60,IF($D60="Fix",$G60,$G60*(1+$H60)^($F60)),IF($D60="Fix",$G60,$G60*(1+$H60)^(2018-$E60))))))</f>
        <v/>
      </c>
      <c r="J60" s="16">
        <f>IF($A60="","",IF(2019&lt;$E60,"",IF($D60="Manuell","",IF(2019&gt;$E60+$F60,IF($D60="Fix",$G60,$G60*(1+$H60)^($F60)),IF($D60="Fix",$G60,$G60*(1+$H60)^(2019-$E60))))))</f>
        <v/>
      </c>
      <c r="K60" s="16">
        <f>IF($A60="","",IF(2020&lt;$E60,"",IF($D60="Manuell","",IF(2020&gt;$E60+$F60,IF($D60="Fix",$G60,$G60*(1+$H60)^($F60)),IF($D60="Fix",$G60,$G60*(1+$H60)^(2020-$E60))))))</f>
        <v/>
      </c>
      <c r="L60" s="16">
        <f>IF($A60="","",IF(2021&lt;$E60,"",IF($D60="Manuell","",IF(2021&gt;$E60+$F60,IF($D60="Fix",$G60,$G60*(1+$H60)^($F60)),IF($D60="Fix",$G60,$G60*(1+$H60)^(2021-$E60))))))</f>
        <v/>
      </c>
      <c r="M60" s="16">
        <f>IF($A60="","",IF(2022&lt;$E60,"",IF($D60="Manuell","",IF(2022&gt;$E60+$F60,IF($D60="Fix",$G60,$G60*(1+$H60)^($F60)),IF($D60="Fix",$G60,$G60*(1+$H60)^(2022-$E60))))))</f>
        <v/>
      </c>
      <c r="N60" s="16">
        <f>IF($A60="","",IF(2023&lt;$E60,"",IF($D60="Manuell","",IF(2023&gt;$E60+$F60,IF($D60="Fix",$G60,$G60*(1+$H60)^($F60)),IF($D60="Fix",$G60,$G60*(1+$H60)^(2023-$E60))))))</f>
        <v/>
      </c>
      <c r="O60" s="16">
        <f>IF($A60="","",IF(2024&lt;$E60,"",IF($D60="Manuell","",IF(2024&gt;$E60+$F60,IF($D60="Fix",$G60,$G60*(1+$H60)^($F60)),IF($D60="Fix",$G60,$G60*(1+$H60)^(2024-$E60))))))</f>
        <v/>
      </c>
      <c r="P60" s="16">
        <f>IF($A60="","",IF(2025&lt;$E60,"",IF($D60="Manuell","",IF(2025&gt;$E60+$F60,IF($D60="Fix",$G60,$G60*(1+$H60)^($F60)),IF($D60="Fix",$G60,$G60*(1+$H60)^(2025-$E60))))))</f>
        <v/>
      </c>
      <c r="Q60" s="16">
        <f>IF($A60="","",IF(2026&lt;$E60,"",IF($D60="Manuell","",IF(2026&gt;$E60+$F60,IF($D60="Fix",$G60,$G60*(1+$H60)^($F60)),IF($D60="Fix",$G60,$G60*(1+$H60)^(2026-$E60))))))</f>
        <v/>
      </c>
      <c r="R60" s="16">
        <f>IF($A60="","",IF(2027&lt;$E60,"",IF($D60="Manuell","",IF(2027&gt;$E60+$F60,IF($D60="Fix",$G60,$G60*(1+$H60)^($F60)),IF($D60="Fix",$G60,$G60*(1+$H60)^(2027-$E60))))))</f>
        <v/>
      </c>
      <c r="S60" s="16">
        <f>IF($A60="","",IF(2028&lt;$E60,"",IF($D60="Manuell","",IF(2028&gt;$E60+$F60,IF($D60="Fix",$G60,$G60*(1+$H60)^($F60)),IF($D60="Fix",$G60,$G60*(1+$H60)^(2028-$E60))))))</f>
        <v/>
      </c>
      <c r="T60" s="16">
        <f>IF($A60="","",IF(2029&lt;$E60,"",IF($D60="Manuell","",IF(2029&gt;$E60+$F60,IF($D60="Fix",$G60,$G60*(1+$H60)^($F60)),IF($D60="Fix",$G60,$G60*(1+$H60)^(2029-$E60))))))</f>
        <v/>
      </c>
      <c r="U60" s="16">
        <f>IF($A60="","",IF(2030&lt;$E60,"",IF($D60="Manuell","",IF(2030&gt;$E60+$F60,IF($D60="Fix",$G60,$G60*(1+$H60)^($F60)),IF($D60="Fix",$G60,$G60*(1+$H60)^(2030-$E60))))))</f>
        <v/>
      </c>
      <c r="V60" s="16">
        <f>IF($A60="","",IF(2031&lt;$E60,"",IF($D60="Manuell","",IF(2031&gt;$E60+$F60,IF($D60="Fix",$G60,$G60*(1+$H60)^($F60)),IF($D60="Fix",$G60,$G60*(1+$H60)^(2031-$E60))))))</f>
        <v/>
      </c>
      <c r="W60" s="16">
        <f>IF($A60="","",IF(2032&lt;$E60,"",IF($D60="Manuell","",IF(2032&gt;$E60+$F60,IF($D60="Fix",$G60,$G60*(1+$H60)^($F60)),IF($D60="Fix",$G60,$G60*(1+$H60)^(2032-$E60))))))</f>
        <v/>
      </c>
      <c r="X60" s="16">
        <f>IF($A60="","",IF(2033&lt;$E60,"",IF($D60="Manuell","",IF(2033&gt;$E60+$F60,IF($D60="Fix",$G60,$G60*(1+$H60)^($F60)),IF($D60="Fix",$G60,$G60*(1+$H60)^(2033-$E60))))))</f>
        <v/>
      </c>
      <c r="Y60" s="16">
        <f>IF($A60="","",IF(2034&lt;$E60,"",IF($D60="Manuell","",IF(2034&gt;$E60+$F60,IF($D60="Fix",$G60,$G60*(1+$H60)^($F60)),IF($D60="Fix",$G60,$G60*(1+$H60)^(2034-$E60))))))</f>
        <v/>
      </c>
      <c r="Z60" s="16">
        <f>IF($A60="","",IF(2035&lt;$E60,"",IF($D60="Manuell","",IF(2035&gt;$E60+$F60,IF($D60="Fix",$G60,$G60*(1+$H60)^($F60)),IF($D60="Fix",$G60,$G60*(1+$H60)^(2035-$E60))))))</f>
        <v/>
      </c>
      <c r="AA60" s="16">
        <f>IF($A60="","",IF(2036&lt;$E60,"",IF($D60="Manuell","",IF(2036&gt;$E60+$F60,IF($D60="Fix",$G60,$G60*(1+$H60)^($F60)),IF($D60="Fix",$G60,$G60*(1+$H60)^(2036-$E60))))))</f>
        <v/>
      </c>
      <c r="AB60" s="16">
        <f>IF($A60="","",IF(2037&lt;$E60,"",IF($D60="Manuell","",IF(2037&gt;$E60+$F60,IF($D60="Fix",$G60,$G60*(1+$H60)^($F60)),IF($D60="Fix",$G60,$G60*(1+$H60)^(2037-$E60))))))</f>
        <v/>
      </c>
      <c r="AC60" s="16">
        <f>IF($A60="","",IF(2038&lt;$E60,"",IF($D60="Manuell","",IF(2038&gt;$E60+$F60,IF($D60="Fix",$G60,$G60*(1+$H60)^($F60)),IF($D60="Fix",$G60,$G60*(1+$H60)^(2038-$E60))))))</f>
        <v/>
      </c>
      <c r="AD60" s="16">
        <f>IF($A60="","",IF(2039&lt;$E60,"",IF($D60="Manuell","",IF(2039&gt;$E60+$F60,IF($D60="Fix",$G60,$G60*(1+$H60)^($F60)),IF($D60="Fix",$G60,$G60*(1+$H60)^(2039-$E60))))))</f>
        <v/>
      </c>
      <c r="AE60" s="16">
        <f>IF($A60="","",IF(2040&lt;$E60,"",IF($D60="Manuell","",IF(2040&gt;$E60+$F60,IF($D60="Fix",$G60,$G60*(1+$H60)^($F60)),IF($D60="Fix",$G60,$G60*(1+$H60)^(2040-$E60))))))</f>
        <v/>
      </c>
      <c r="AF60" s="16">
        <f>IF($A60="","",IF(2041&lt;$E60,"",IF($D60="Manuell","",IF(2041&gt;$E60+$F60,IF($D60="Fix",$G60,$G60*(1+$H60)^($F60)),IF($D60="Fix",$G60,$G60*(1+$H60)^(2041-$E60))))))</f>
        <v/>
      </c>
      <c r="AG60" s="16">
        <f>IF($A60="","",IF(2042&lt;$E60,"",IF($D60="Manuell","",IF(2042&gt;$E60+$F60,IF($D60="Fix",$G60,$G60*(1+$H60)^($F60)),IF($D60="Fix",$G60,$G60*(1+$H60)^(2042-$E60))))))</f>
        <v/>
      </c>
      <c r="AH60" s="16">
        <f>IF($A60="","",IF(2043&lt;$E60,"",IF($D60="Manuell","",IF(2043&gt;$E60+$F60,IF($D60="Fix",$G60,$G60*(1+$H60)^($F60)),IF($D60="Fix",$G60,$G60*(1+$H60)^(2043-$E60))))))</f>
        <v/>
      </c>
      <c r="AI60" s="16">
        <f>IF($A60="","",IF(2044&lt;$E60,"",IF($D60="Manuell","",IF(2044&gt;$E60+$F60,IF($D60="Fix",$G60,$G60*(1+$H60)^($F60)),IF($D60="Fix",$G60,$G60*(1+$H60)^(2044-$E60))))))</f>
        <v/>
      </c>
      <c r="AJ60" s="16">
        <f>IF($A60="","",IF(2045&lt;$E60,"",IF($D60="Manuell","",IF(2045&gt;$E60+$F60,IF($D60="Fix",$G60,$G60*(1+$H60)^($F60)),IF($D60="Fix",$G60,$G60*(1+$H60)^(2045-$E60))))))</f>
        <v/>
      </c>
      <c r="AK60" s="16">
        <f>IF($A60="","",IF(2046&lt;$E60,"",IF($D60="Manuell","",IF(2046&gt;$E60+$F60,IF($D60="Fix",$G60,$G60*(1+$H60)^($F60)),IF($D60="Fix",$G60,$G60*(1+$H60)^(2046-$E60))))))</f>
        <v/>
      </c>
      <c r="AL60" s="16">
        <f>IF($A60="","",IF(2047&lt;$E60,"",IF($D60="Manuell","",IF(2047&gt;$E60+$F60,IF($D60="Fix",$G60,$G60*(1+$H60)^($F60)),IF($D60="Fix",$G60,$G60*(1+$H60)^(2047-$E60))))))</f>
        <v/>
      </c>
      <c r="AM60" s="16">
        <f>IF($A60="","",IF(2048&lt;$E60,"",IF($D60="Manuell","",IF(2048&gt;$E60+$F60,IF($D60="Fix",$G60,$G60*(1+$H60)^($F60)),IF($D60="Fix",$G60,$G60*(1+$H60)^(2048-$E60))))))</f>
        <v/>
      </c>
      <c r="AN60" s="16">
        <f>IF($A60="","",IF(2049&lt;$E60,"",IF($D60="Manuell","",IF(2049&gt;$E60+$F60,IF($D60="Fix",$G60,$G60*(1+$H60)^($F60)),IF($D60="Fix",$G60,$G60*(1+$H60)^(2049-$E60))))))</f>
        <v/>
      </c>
      <c r="AO60" s="16">
        <f>IF($A60="","",IF(2050&lt;$E60,"",IF($D60="Manuell","",IF(2050&gt;$E60+$F60,IF($D60="Fix",$G60,$G60*(1+$H60)^($F60)),IF($D60="Fix",$G60,$G60*(1+$H60)^(2050-$E60))))))</f>
        <v/>
      </c>
      <c r="AP60" s="16">
        <f>IF($A60="","",IF(2051&lt;$E60,"",IF($D60="Manuell","",IF(2051&gt;$E60+$F60,IF($D60="Fix",$G60,$G60*(1+$H60)^($F60)),IF($D60="Fix",$G60,$G60*(1+$H60)^(2051-$E60))))))</f>
        <v/>
      </c>
      <c r="AQ60" s="16">
        <f>IF($A60="","",IF(2052&lt;$E60,"",IF($D60="Manuell","",IF(2052&gt;$E60+$F60,IF($D60="Fix",$G60,$G60*(1+$H60)^($F60)),IF($D60="Fix",$G60,$G60*(1+$H60)^(2052-$E60))))))</f>
        <v/>
      </c>
      <c r="AR60" s="16">
        <f>IF($A60="","",IF(2053&lt;$E60,"",IF($D60="Manuell","",IF(2053&gt;$E60+$F60,IF($D60="Fix",$G60,$G60*(1+$H60)^($F60)),IF($D60="Fix",$G60,$G60*(1+$H60)^(2053-$E60))))))</f>
        <v/>
      </c>
      <c r="AS60" s="16">
        <f>IF($A60="","",IF(2054&lt;$E60,"",IF($D60="Manuell","",IF(2054&gt;$E60+$F60,IF($D60="Fix",$G60,$G60*(1+$H60)^($F60)),IF($D60="Fix",$G60,$G60*(1+$H60)^(2054-$E60))))))</f>
        <v/>
      </c>
      <c r="AT60" s="16">
        <f>IF($A60="","",IF(2055&lt;$E60,"",IF($D60="Manuell","",IF(2055&gt;$E60+$F60,IF($D60="Fix",$G60,$G60*(1+$H60)^($F60)),IF($D60="Fix",$G60,$G60*(1+$H60)^(2055-$E60))))))</f>
        <v/>
      </c>
    </row>
    <row r="61">
      <c r="A61" s="14" t="inlineStr"/>
      <c r="B61" s="14" t="inlineStr"/>
      <c r="C61" s="14" t="inlineStr"/>
      <c r="D61" s="14" t="inlineStr"/>
      <c r="E61" s="11" t="inlineStr"/>
      <c r="F61" s="11" t="inlineStr"/>
      <c r="G61" s="15" t="inlineStr"/>
      <c r="H61" s="15" t="inlineStr"/>
      <c r="I61" s="16">
        <f>IF($A61="","",IF(2018&lt;$E61,"",IF($D61="Manuell","",IF(2018&gt;$E61+$F61,IF($D61="Fix",$G61,$G61*(1+$H61)^($F61)),IF($D61="Fix",$G61,$G61*(1+$H61)^(2018-$E61))))))</f>
        <v/>
      </c>
      <c r="J61" s="16">
        <f>IF($A61="","",IF(2019&lt;$E61,"",IF($D61="Manuell","",IF(2019&gt;$E61+$F61,IF($D61="Fix",$G61,$G61*(1+$H61)^($F61)),IF($D61="Fix",$G61,$G61*(1+$H61)^(2019-$E61))))))</f>
        <v/>
      </c>
      <c r="K61" s="16">
        <f>IF($A61="","",IF(2020&lt;$E61,"",IF($D61="Manuell","",IF(2020&gt;$E61+$F61,IF($D61="Fix",$G61,$G61*(1+$H61)^($F61)),IF($D61="Fix",$G61,$G61*(1+$H61)^(2020-$E61))))))</f>
        <v/>
      </c>
      <c r="L61" s="16">
        <f>IF($A61="","",IF(2021&lt;$E61,"",IF($D61="Manuell","",IF(2021&gt;$E61+$F61,IF($D61="Fix",$G61,$G61*(1+$H61)^($F61)),IF($D61="Fix",$G61,$G61*(1+$H61)^(2021-$E61))))))</f>
        <v/>
      </c>
      <c r="M61" s="16">
        <f>IF($A61="","",IF(2022&lt;$E61,"",IF($D61="Manuell","",IF(2022&gt;$E61+$F61,IF($D61="Fix",$G61,$G61*(1+$H61)^($F61)),IF($D61="Fix",$G61,$G61*(1+$H61)^(2022-$E61))))))</f>
        <v/>
      </c>
      <c r="N61" s="16">
        <f>IF($A61="","",IF(2023&lt;$E61,"",IF($D61="Manuell","",IF(2023&gt;$E61+$F61,IF($D61="Fix",$G61,$G61*(1+$H61)^($F61)),IF($D61="Fix",$G61,$G61*(1+$H61)^(2023-$E61))))))</f>
        <v/>
      </c>
      <c r="O61" s="16">
        <f>IF($A61="","",IF(2024&lt;$E61,"",IF($D61="Manuell","",IF(2024&gt;$E61+$F61,IF($D61="Fix",$G61,$G61*(1+$H61)^($F61)),IF($D61="Fix",$G61,$G61*(1+$H61)^(2024-$E61))))))</f>
        <v/>
      </c>
      <c r="P61" s="16">
        <f>IF($A61="","",IF(2025&lt;$E61,"",IF($D61="Manuell","",IF(2025&gt;$E61+$F61,IF($D61="Fix",$G61,$G61*(1+$H61)^($F61)),IF($D61="Fix",$G61,$G61*(1+$H61)^(2025-$E61))))))</f>
        <v/>
      </c>
      <c r="Q61" s="16">
        <f>IF($A61="","",IF(2026&lt;$E61,"",IF($D61="Manuell","",IF(2026&gt;$E61+$F61,IF($D61="Fix",$G61,$G61*(1+$H61)^($F61)),IF($D61="Fix",$G61,$G61*(1+$H61)^(2026-$E61))))))</f>
        <v/>
      </c>
      <c r="R61" s="16">
        <f>IF($A61="","",IF(2027&lt;$E61,"",IF($D61="Manuell","",IF(2027&gt;$E61+$F61,IF($D61="Fix",$G61,$G61*(1+$H61)^($F61)),IF($D61="Fix",$G61,$G61*(1+$H61)^(2027-$E61))))))</f>
        <v/>
      </c>
      <c r="S61" s="16">
        <f>IF($A61="","",IF(2028&lt;$E61,"",IF($D61="Manuell","",IF(2028&gt;$E61+$F61,IF($D61="Fix",$G61,$G61*(1+$H61)^($F61)),IF($D61="Fix",$G61,$G61*(1+$H61)^(2028-$E61))))))</f>
        <v/>
      </c>
      <c r="T61" s="16">
        <f>IF($A61="","",IF(2029&lt;$E61,"",IF($D61="Manuell","",IF(2029&gt;$E61+$F61,IF($D61="Fix",$G61,$G61*(1+$H61)^($F61)),IF($D61="Fix",$G61,$G61*(1+$H61)^(2029-$E61))))))</f>
        <v/>
      </c>
      <c r="U61" s="16">
        <f>IF($A61="","",IF(2030&lt;$E61,"",IF($D61="Manuell","",IF(2030&gt;$E61+$F61,IF($D61="Fix",$G61,$G61*(1+$H61)^($F61)),IF($D61="Fix",$G61,$G61*(1+$H61)^(2030-$E61))))))</f>
        <v/>
      </c>
      <c r="V61" s="16">
        <f>IF($A61="","",IF(2031&lt;$E61,"",IF($D61="Manuell","",IF(2031&gt;$E61+$F61,IF($D61="Fix",$G61,$G61*(1+$H61)^($F61)),IF($D61="Fix",$G61,$G61*(1+$H61)^(2031-$E61))))))</f>
        <v/>
      </c>
      <c r="W61" s="16">
        <f>IF($A61="","",IF(2032&lt;$E61,"",IF($D61="Manuell","",IF(2032&gt;$E61+$F61,IF($D61="Fix",$G61,$G61*(1+$H61)^($F61)),IF($D61="Fix",$G61,$G61*(1+$H61)^(2032-$E61))))))</f>
        <v/>
      </c>
      <c r="X61" s="16">
        <f>IF($A61="","",IF(2033&lt;$E61,"",IF($D61="Manuell","",IF(2033&gt;$E61+$F61,IF($D61="Fix",$G61,$G61*(1+$H61)^($F61)),IF($D61="Fix",$G61,$G61*(1+$H61)^(2033-$E61))))))</f>
        <v/>
      </c>
      <c r="Y61" s="16">
        <f>IF($A61="","",IF(2034&lt;$E61,"",IF($D61="Manuell","",IF(2034&gt;$E61+$F61,IF($D61="Fix",$G61,$G61*(1+$H61)^($F61)),IF($D61="Fix",$G61,$G61*(1+$H61)^(2034-$E61))))))</f>
        <v/>
      </c>
      <c r="Z61" s="16">
        <f>IF($A61="","",IF(2035&lt;$E61,"",IF($D61="Manuell","",IF(2035&gt;$E61+$F61,IF($D61="Fix",$G61,$G61*(1+$H61)^($F61)),IF($D61="Fix",$G61,$G61*(1+$H61)^(2035-$E61))))))</f>
        <v/>
      </c>
      <c r="AA61" s="16">
        <f>IF($A61="","",IF(2036&lt;$E61,"",IF($D61="Manuell","",IF(2036&gt;$E61+$F61,IF($D61="Fix",$G61,$G61*(1+$H61)^($F61)),IF($D61="Fix",$G61,$G61*(1+$H61)^(2036-$E61))))))</f>
        <v/>
      </c>
      <c r="AB61" s="16">
        <f>IF($A61="","",IF(2037&lt;$E61,"",IF($D61="Manuell","",IF(2037&gt;$E61+$F61,IF($D61="Fix",$G61,$G61*(1+$H61)^($F61)),IF($D61="Fix",$G61,$G61*(1+$H61)^(2037-$E61))))))</f>
        <v/>
      </c>
      <c r="AC61" s="16">
        <f>IF($A61="","",IF(2038&lt;$E61,"",IF($D61="Manuell","",IF(2038&gt;$E61+$F61,IF($D61="Fix",$G61,$G61*(1+$H61)^($F61)),IF($D61="Fix",$G61,$G61*(1+$H61)^(2038-$E61))))))</f>
        <v/>
      </c>
      <c r="AD61" s="16">
        <f>IF($A61="","",IF(2039&lt;$E61,"",IF($D61="Manuell","",IF(2039&gt;$E61+$F61,IF($D61="Fix",$G61,$G61*(1+$H61)^($F61)),IF($D61="Fix",$G61,$G61*(1+$H61)^(2039-$E61))))))</f>
        <v/>
      </c>
      <c r="AE61" s="16">
        <f>IF($A61="","",IF(2040&lt;$E61,"",IF($D61="Manuell","",IF(2040&gt;$E61+$F61,IF($D61="Fix",$G61,$G61*(1+$H61)^($F61)),IF($D61="Fix",$G61,$G61*(1+$H61)^(2040-$E61))))))</f>
        <v/>
      </c>
      <c r="AF61" s="16">
        <f>IF($A61="","",IF(2041&lt;$E61,"",IF($D61="Manuell","",IF(2041&gt;$E61+$F61,IF($D61="Fix",$G61,$G61*(1+$H61)^($F61)),IF($D61="Fix",$G61,$G61*(1+$H61)^(2041-$E61))))))</f>
        <v/>
      </c>
      <c r="AG61" s="16">
        <f>IF($A61="","",IF(2042&lt;$E61,"",IF($D61="Manuell","",IF(2042&gt;$E61+$F61,IF($D61="Fix",$G61,$G61*(1+$H61)^($F61)),IF($D61="Fix",$G61,$G61*(1+$H61)^(2042-$E61))))))</f>
        <v/>
      </c>
      <c r="AH61" s="16">
        <f>IF($A61="","",IF(2043&lt;$E61,"",IF($D61="Manuell","",IF(2043&gt;$E61+$F61,IF($D61="Fix",$G61,$G61*(1+$H61)^($F61)),IF($D61="Fix",$G61,$G61*(1+$H61)^(2043-$E61))))))</f>
        <v/>
      </c>
      <c r="AI61" s="16">
        <f>IF($A61="","",IF(2044&lt;$E61,"",IF($D61="Manuell","",IF(2044&gt;$E61+$F61,IF($D61="Fix",$G61,$G61*(1+$H61)^($F61)),IF($D61="Fix",$G61,$G61*(1+$H61)^(2044-$E61))))))</f>
        <v/>
      </c>
      <c r="AJ61" s="16">
        <f>IF($A61="","",IF(2045&lt;$E61,"",IF($D61="Manuell","",IF(2045&gt;$E61+$F61,IF($D61="Fix",$G61,$G61*(1+$H61)^($F61)),IF($D61="Fix",$G61,$G61*(1+$H61)^(2045-$E61))))))</f>
        <v/>
      </c>
      <c r="AK61" s="16">
        <f>IF($A61="","",IF(2046&lt;$E61,"",IF($D61="Manuell","",IF(2046&gt;$E61+$F61,IF($D61="Fix",$G61,$G61*(1+$H61)^($F61)),IF($D61="Fix",$G61,$G61*(1+$H61)^(2046-$E61))))))</f>
        <v/>
      </c>
      <c r="AL61" s="16">
        <f>IF($A61="","",IF(2047&lt;$E61,"",IF($D61="Manuell","",IF(2047&gt;$E61+$F61,IF($D61="Fix",$G61,$G61*(1+$H61)^($F61)),IF($D61="Fix",$G61,$G61*(1+$H61)^(2047-$E61))))))</f>
        <v/>
      </c>
      <c r="AM61" s="16">
        <f>IF($A61="","",IF(2048&lt;$E61,"",IF($D61="Manuell","",IF(2048&gt;$E61+$F61,IF($D61="Fix",$G61,$G61*(1+$H61)^($F61)),IF($D61="Fix",$G61,$G61*(1+$H61)^(2048-$E61))))))</f>
        <v/>
      </c>
      <c r="AN61" s="16">
        <f>IF($A61="","",IF(2049&lt;$E61,"",IF($D61="Manuell","",IF(2049&gt;$E61+$F61,IF($D61="Fix",$G61,$G61*(1+$H61)^($F61)),IF($D61="Fix",$G61,$G61*(1+$H61)^(2049-$E61))))))</f>
        <v/>
      </c>
      <c r="AO61" s="16">
        <f>IF($A61="","",IF(2050&lt;$E61,"",IF($D61="Manuell","",IF(2050&gt;$E61+$F61,IF($D61="Fix",$G61,$G61*(1+$H61)^($F61)),IF($D61="Fix",$G61,$G61*(1+$H61)^(2050-$E61))))))</f>
        <v/>
      </c>
      <c r="AP61" s="16">
        <f>IF($A61="","",IF(2051&lt;$E61,"",IF($D61="Manuell","",IF(2051&gt;$E61+$F61,IF($D61="Fix",$G61,$G61*(1+$H61)^($F61)),IF($D61="Fix",$G61,$G61*(1+$H61)^(2051-$E61))))))</f>
        <v/>
      </c>
      <c r="AQ61" s="16">
        <f>IF($A61="","",IF(2052&lt;$E61,"",IF($D61="Manuell","",IF(2052&gt;$E61+$F61,IF($D61="Fix",$G61,$G61*(1+$H61)^($F61)),IF($D61="Fix",$G61,$G61*(1+$H61)^(2052-$E61))))))</f>
        <v/>
      </c>
      <c r="AR61" s="16">
        <f>IF($A61="","",IF(2053&lt;$E61,"",IF($D61="Manuell","",IF(2053&gt;$E61+$F61,IF($D61="Fix",$G61,$G61*(1+$H61)^($F61)),IF($D61="Fix",$G61,$G61*(1+$H61)^(2053-$E61))))))</f>
        <v/>
      </c>
      <c r="AS61" s="16">
        <f>IF($A61="","",IF(2054&lt;$E61,"",IF($D61="Manuell","",IF(2054&gt;$E61+$F61,IF($D61="Fix",$G61,$G61*(1+$H61)^($F61)),IF($D61="Fix",$G61,$G61*(1+$H61)^(2054-$E61))))))</f>
        <v/>
      </c>
      <c r="AT61" s="16">
        <f>IF($A61="","",IF(2055&lt;$E61,"",IF($D61="Manuell","",IF(2055&gt;$E61+$F61,IF($D61="Fix",$G61,$G61*(1+$H61)^($F61)),IF($D61="Fix",$G61,$G61*(1+$H61)^(2055-$E61))))))</f>
        <v/>
      </c>
    </row>
    <row r="62">
      <c r="A62" s="14" t="inlineStr"/>
      <c r="B62" s="14" t="inlineStr"/>
      <c r="C62" s="14" t="inlineStr"/>
      <c r="D62" s="14" t="inlineStr"/>
      <c r="E62" s="11" t="inlineStr"/>
      <c r="F62" s="11" t="inlineStr"/>
      <c r="G62" s="15" t="inlineStr"/>
      <c r="H62" s="15" t="inlineStr"/>
      <c r="I62" s="16">
        <f>IF($A62="","",IF(2018&lt;$E62,"",IF($D62="Manuell","",IF(2018&gt;$E62+$F62,IF($D62="Fix",$G62,$G62*(1+$H62)^($F62)),IF($D62="Fix",$G62,$G62*(1+$H62)^(2018-$E62))))))</f>
        <v/>
      </c>
      <c r="J62" s="16">
        <f>IF($A62="","",IF(2019&lt;$E62,"",IF($D62="Manuell","",IF(2019&gt;$E62+$F62,IF($D62="Fix",$G62,$G62*(1+$H62)^($F62)),IF($D62="Fix",$G62,$G62*(1+$H62)^(2019-$E62))))))</f>
        <v/>
      </c>
      <c r="K62" s="16">
        <f>IF($A62="","",IF(2020&lt;$E62,"",IF($D62="Manuell","",IF(2020&gt;$E62+$F62,IF($D62="Fix",$G62,$G62*(1+$H62)^($F62)),IF($D62="Fix",$G62,$G62*(1+$H62)^(2020-$E62))))))</f>
        <v/>
      </c>
      <c r="L62" s="16">
        <f>IF($A62="","",IF(2021&lt;$E62,"",IF($D62="Manuell","",IF(2021&gt;$E62+$F62,IF($D62="Fix",$G62,$G62*(1+$H62)^($F62)),IF($D62="Fix",$G62,$G62*(1+$H62)^(2021-$E62))))))</f>
        <v/>
      </c>
      <c r="M62" s="16">
        <f>IF($A62="","",IF(2022&lt;$E62,"",IF($D62="Manuell","",IF(2022&gt;$E62+$F62,IF($D62="Fix",$G62,$G62*(1+$H62)^($F62)),IF($D62="Fix",$G62,$G62*(1+$H62)^(2022-$E62))))))</f>
        <v/>
      </c>
      <c r="N62" s="16">
        <f>IF($A62="","",IF(2023&lt;$E62,"",IF($D62="Manuell","",IF(2023&gt;$E62+$F62,IF($D62="Fix",$G62,$G62*(1+$H62)^($F62)),IF($D62="Fix",$G62,$G62*(1+$H62)^(2023-$E62))))))</f>
        <v/>
      </c>
      <c r="O62" s="16">
        <f>IF($A62="","",IF(2024&lt;$E62,"",IF($D62="Manuell","",IF(2024&gt;$E62+$F62,IF($D62="Fix",$G62,$G62*(1+$H62)^($F62)),IF($D62="Fix",$G62,$G62*(1+$H62)^(2024-$E62))))))</f>
        <v/>
      </c>
      <c r="P62" s="16">
        <f>IF($A62="","",IF(2025&lt;$E62,"",IF($D62="Manuell","",IF(2025&gt;$E62+$F62,IF($D62="Fix",$G62,$G62*(1+$H62)^($F62)),IF($D62="Fix",$G62,$G62*(1+$H62)^(2025-$E62))))))</f>
        <v/>
      </c>
      <c r="Q62" s="16">
        <f>IF($A62="","",IF(2026&lt;$E62,"",IF($D62="Manuell","",IF(2026&gt;$E62+$F62,IF($D62="Fix",$G62,$G62*(1+$H62)^($F62)),IF($D62="Fix",$G62,$G62*(1+$H62)^(2026-$E62))))))</f>
        <v/>
      </c>
      <c r="R62" s="16">
        <f>IF($A62="","",IF(2027&lt;$E62,"",IF($D62="Manuell","",IF(2027&gt;$E62+$F62,IF($D62="Fix",$G62,$G62*(1+$H62)^($F62)),IF($D62="Fix",$G62,$G62*(1+$H62)^(2027-$E62))))))</f>
        <v/>
      </c>
      <c r="S62" s="16">
        <f>IF($A62="","",IF(2028&lt;$E62,"",IF($D62="Manuell","",IF(2028&gt;$E62+$F62,IF($D62="Fix",$G62,$G62*(1+$H62)^($F62)),IF($D62="Fix",$G62,$G62*(1+$H62)^(2028-$E62))))))</f>
        <v/>
      </c>
      <c r="T62" s="16">
        <f>IF($A62="","",IF(2029&lt;$E62,"",IF($D62="Manuell","",IF(2029&gt;$E62+$F62,IF($D62="Fix",$G62,$G62*(1+$H62)^($F62)),IF($D62="Fix",$G62,$G62*(1+$H62)^(2029-$E62))))))</f>
        <v/>
      </c>
      <c r="U62" s="16">
        <f>IF($A62="","",IF(2030&lt;$E62,"",IF($D62="Manuell","",IF(2030&gt;$E62+$F62,IF($D62="Fix",$G62,$G62*(1+$H62)^($F62)),IF($D62="Fix",$G62,$G62*(1+$H62)^(2030-$E62))))))</f>
        <v/>
      </c>
      <c r="V62" s="16">
        <f>IF($A62="","",IF(2031&lt;$E62,"",IF($D62="Manuell","",IF(2031&gt;$E62+$F62,IF($D62="Fix",$G62,$G62*(1+$H62)^($F62)),IF($D62="Fix",$G62,$G62*(1+$H62)^(2031-$E62))))))</f>
        <v/>
      </c>
      <c r="W62" s="16">
        <f>IF($A62="","",IF(2032&lt;$E62,"",IF($D62="Manuell","",IF(2032&gt;$E62+$F62,IF($D62="Fix",$G62,$G62*(1+$H62)^($F62)),IF($D62="Fix",$G62,$G62*(1+$H62)^(2032-$E62))))))</f>
        <v/>
      </c>
      <c r="X62" s="16">
        <f>IF($A62="","",IF(2033&lt;$E62,"",IF($D62="Manuell","",IF(2033&gt;$E62+$F62,IF($D62="Fix",$G62,$G62*(1+$H62)^($F62)),IF($D62="Fix",$G62,$G62*(1+$H62)^(2033-$E62))))))</f>
        <v/>
      </c>
      <c r="Y62" s="16">
        <f>IF($A62="","",IF(2034&lt;$E62,"",IF($D62="Manuell","",IF(2034&gt;$E62+$F62,IF($D62="Fix",$G62,$G62*(1+$H62)^($F62)),IF($D62="Fix",$G62,$G62*(1+$H62)^(2034-$E62))))))</f>
        <v/>
      </c>
      <c r="Z62" s="16">
        <f>IF($A62="","",IF(2035&lt;$E62,"",IF($D62="Manuell","",IF(2035&gt;$E62+$F62,IF($D62="Fix",$G62,$G62*(1+$H62)^($F62)),IF($D62="Fix",$G62,$G62*(1+$H62)^(2035-$E62))))))</f>
        <v/>
      </c>
      <c r="AA62" s="16">
        <f>IF($A62="","",IF(2036&lt;$E62,"",IF($D62="Manuell","",IF(2036&gt;$E62+$F62,IF($D62="Fix",$G62,$G62*(1+$H62)^($F62)),IF($D62="Fix",$G62,$G62*(1+$H62)^(2036-$E62))))))</f>
        <v/>
      </c>
      <c r="AB62" s="16">
        <f>IF($A62="","",IF(2037&lt;$E62,"",IF($D62="Manuell","",IF(2037&gt;$E62+$F62,IF($D62="Fix",$G62,$G62*(1+$H62)^($F62)),IF($D62="Fix",$G62,$G62*(1+$H62)^(2037-$E62))))))</f>
        <v/>
      </c>
      <c r="AC62" s="16">
        <f>IF($A62="","",IF(2038&lt;$E62,"",IF($D62="Manuell","",IF(2038&gt;$E62+$F62,IF($D62="Fix",$G62,$G62*(1+$H62)^($F62)),IF($D62="Fix",$G62,$G62*(1+$H62)^(2038-$E62))))))</f>
        <v/>
      </c>
      <c r="AD62" s="16">
        <f>IF($A62="","",IF(2039&lt;$E62,"",IF($D62="Manuell","",IF(2039&gt;$E62+$F62,IF($D62="Fix",$G62,$G62*(1+$H62)^($F62)),IF($D62="Fix",$G62,$G62*(1+$H62)^(2039-$E62))))))</f>
        <v/>
      </c>
      <c r="AE62" s="16">
        <f>IF($A62="","",IF(2040&lt;$E62,"",IF($D62="Manuell","",IF(2040&gt;$E62+$F62,IF($D62="Fix",$G62,$G62*(1+$H62)^($F62)),IF($D62="Fix",$G62,$G62*(1+$H62)^(2040-$E62))))))</f>
        <v/>
      </c>
      <c r="AF62" s="16">
        <f>IF($A62="","",IF(2041&lt;$E62,"",IF($D62="Manuell","",IF(2041&gt;$E62+$F62,IF($D62="Fix",$G62,$G62*(1+$H62)^($F62)),IF($D62="Fix",$G62,$G62*(1+$H62)^(2041-$E62))))))</f>
        <v/>
      </c>
      <c r="AG62" s="16">
        <f>IF($A62="","",IF(2042&lt;$E62,"",IF($D62="Manuell","",IF(2042&gt;$E62+$F62,IF($D62="Fix",$G62,$G62*(1+$H62)^($F62)),IF($D62="Fix",$G62,$G62*(1+$H62)^(2042-$E62))))))</f>
        <v/>
      </c>
      <c r="AH62" s="16">
        <f>IF($A62="","",IF(2043&lt;$E62,"",IF($D62="Manuell","",IF(2043&gt;$E62+$F62,IF($D62="Fix",$G62,$G62*(1+$H62)^($F62)),IF($D62="Fix",$G62,$G62*(1+$H62)^(2043-$E62))))))</f>
        <v/>
      </c>
      <c r="AI62" s="16">
        <f>IF($A62="","",IF(2044&lt;$E62,"",IF($D62="Manuell","",IF(2044&gt;$E62+$F62,IF($D62="Fix",$G62,$G62*(1+$H62)^($F62)),IF($D62="Fix",$G62,$G62*(1+$H62)^(2044-$E62))))))</f>
        <v/>
      </c>
      <c r="AJ62" s="16">
        <f>IF($A62="","",IF(2045&lt;$E62,"",IF($D62="Manuell","",IF(2045&gt;$E62+$F62,IF($D62="Fix",$G62,$G62*(1+$H62)^($F62)),IF($D62="Fix",$G62,$G62*(1+$H62)^(2045-$E62))))))</f>
        <v/>
      </c>
      <c r="AK62" s="16">
        <f>IF($A62="","",IF(2046&lt;$E62,"",IF($D62="Manuell","",IF(2046&gt;$E62+$F62,IF($D62="Fix",$G62,$G62*(1+$H62)^($F62)),IF($D62="Fix",$G62,$G62*(1+$H62)^(2046-$E62))))))</f>
        <v/>
      </c>
      <c r="AL62" s="16">
        <f>IF($A62="","",IF(2047&lt;$E62,"",IF($D62="Manuell","",IF(2047&gt;$E62+$F62,IF($D62="Fix",$G62,$G62*(1+$H62)^($F62)),IF($D62="Fix",$G62,$G62*(1+$H62)^(2047-$E62))))))</f>
        <v/>
      </c>
      <c r="AM62" s="16">
        <f>IF($A62="","",IF(2048&lt;$E62,"",IF($D62="Manuell","",IF(2048&gt;$E62+$F62,IF($D62="Fix",$G62,$G62*(1+$H62)^($F62)),IF($D62="Fix",$G62,$G62*(1+$H62)^(2048-$E62))))))</f>
        <v/>
      </c>
      <c r="AN62" s="16">
        <f>IF($A62="","",IF(2049&lt;$E62,"",IF($D62="Manuell","",IF(2049&gt;$E62+$F62,IF($D62="Fix",$G62,$G62*(1+$H62)^($F62)),IF($D62="Fix",$G62,$G62*(1+$H62)^(2049-$E62))))))</f>
        <v/>
      </c>
      <c r="AO62" s="16">
        <f>IF($A62="","",IF(2050&lt;$E62,"",IF($D62="Manuell","",IF(2050&gt;$E62+$F62,IF($D62="Fix",$G62,$G62*(1+$H62)^($F62)),IF($D62="Fix",$G62,$G62*(1+$H62)^(2050-$E62))))))</f>
        <v/>
      </c>
      <c r="AP62" s="16">
        <f>IF($A62="","",IF(2051&lt;$E62,"",IF($D62="Manuell","",IF(2051&gt;$E62+$F62,IF($D62="Fix",$G62,$G62*(1+$H62)^($F62)),IF($D62="Fix",$G62,$G62*(1+$H62)^(2051-$E62))))))</f>
        <v/>
      </c>
      <c r="AQ62" s="16">
        <f>IF($A62="","",IF(2052&lt;$E62,"",IF($D62="Manuell","",IF(2052&gt;$E62+$F62,IF($D62="Fix",$G62,$G62*(1+$H62)^($F62)),IF($D62="Fix",$G62,$G62*(1+$H62)^(2052-$E62))))))</f>
        <v/>
      </c>
      <c r="AR62" s="16">
        <f>IF($A62="","",IF(2053&lt;$E62,"",IF($D62="Manuell","",IF(2053&gt;$E62+$F62,IF($D62="Fix",$G62,$G62*(1+$H62)^($F62)),IF($D62="Fix",$G62,$G62*(1+$H62)^(2053-$E62))))))</f>
        <v/>
      </c>
      <c r="AS62" s="16">
        <f>IF($A62="","",IF(2054&lt;$E62,"",IF($D62="Manuell","",IF(2054&gt;$E62+$F62,IF($D62="Fix",$G62,$G62*(1+$H62)^($F62)),IF($D62="Fix",$G62,$G62*(1+$H62)^(2054-$E62))))))</f>
        <v/>
      </c>
      <c r="AT62" s="16">
        <f>IF($A62="","",IF(2055&lt;$E62,"",IF($D62="Manuell","",IF(2055&gt;$E62+$F62,IF($D62="Fix",$G62,$G62*(1+$H62)^($F62)),IF($D62="Fix",$G62,$G62*(1+$H62)^(2055-$E62))))))</f>
        <v/>
      </c>
    </row>
    <row r="63">
      <c r="A63" s="14" t="inlineStr"/>
      <c r="B63" s="14" t="inlineStr"/>
      <c r="C63" s="14" t="inlineStr"/>
      <c r="D63" s="14" t="inlineStr"/>
      <c r="E63" s="11" t="inlineStr"/>
      <c r="F63" s="11" t="inlineStr"/>
      <c r="G63" s="15" t="inlineStr"/>
      <c r="H63" s="15" t="inlineStr"/>
      <c r="I63" s="16">
        <f>IF($A63="","",IF(2018&lt;$E63,"",IF($D63="Manuell","",IF(2018&gt;$E63+$F63,IF($D63="Fix",$G63,$G63*(1+$H63)^($F63)),IF($D63="Fix",$G63,$G63*(1+$H63)^(2018-$E63))))))</f>
        <v/>
      </c>
      <c r="J63" s="16">
        <f>IF($A63="","",IF(2019&lt;$E63,"",IF($D63="Manuell","",IF(2019&gt;$E63+$F63,IF($D63="Fix",$G63,$G63*(1+$H63)^($F63)),IF($D63="Fix",$G63,$G63*(1+$H63)^(2019-$E63))))))</f>
        <v/>
      </c>
      <c r="K63" s="16">
        <f>IF($A63="","",IF(2020&lt;$E63,"",IF($D63="Manuell","",IF(2020&gt;$E63+$F63,IF($D63="Fix",$G63,$G63*(1+$H63)^($F63)),IF($D63="Fix",$G63,$G63*(1+$H63)^(2020-$E63))))))</f>
        <v/>
      </c>
      <c r="L63" s="16">
        <f>IF($A63="","",IF(2021&lt;$E63,"",IF($D63="Manuell","",IF(2021&gt;$E63+$F63,IF($D63="Fix",$G63,$G63*(1+$H63)^($F63)),IF($D63="Fix",$G63,$G63*(1+$H63)^(2021-$E63))))))</f>
        <v/>
      </c>
      <c r="M63" s="16">
        <f>IF($A63="","",IF(2022&lt;$E63,"",IF($D63="Manuell","",IF(2022&gt;$E63+$F63,IF($D63="Fix",$G63,$G63*(1+$H63)^($F63)),IF($D63="Fix",$G63,$G63*(1+$H63)^(2022-$E63))))))</f>
        <v/>
      </c>
      <c r="N63" s="16">
        <f>IF($A63="","",IF(2023&lt;$E63,"",IF($D63="Manuell","",IF(2023&gt;$E63+$F63,IF($D63="Fix",$G63,$G63*(1+$H63)^($F63)),IF($D63="Fix",$G63,$G63*(1+$H63)^(2023-$E63))))))</f>
        <v/>
      </c>
      <c r="O63" s="16">
        <f>IF($A63="","",IF(2024&lt;$E63,"",IF($D63="Manuell","",IF(2024&gt;$E63+$F63,IF($D63="Fix",$G63,$G63*(1+$H63)^($F63)),IF($D63="Fix",$G63,$G63*(1+$H63)^(2024-$E63))))))</f>
        <v/>
      </c>
      <c r="P63" s="16">
        <f>IF($A63="","",IF(2025&lt;$E63,"",IF($D63="Manuell","",IF(2025&gt;$E63+$F63,IF($D63="Fix",$G63,$G63*(1+$H63)^($F63)),IF($D63="Fix",$G63,$G63*(1+$H63)^(2025-$E63))))))</f>
        <v/>
      </c>
      <c r="Q63" s="16">
        <f>IF($A63="","",IF(2026&lt;$E63,"",IF($D63="Manuell","",IF(2026&gt;$E63+$F63,IF($D63="Fix",$G63,$G63*(1+$H63)^($F63)),IF($D63="Fix",$G63,$G63*(1+$H63)^(2026-$E63))))))</f>
        <v/>
      </c>
      <c r="R63" s="16">
        <f>IF($A63="","",IF(2027&lt;$E63,"",IF($D63="Manuell","",IF(2027&gt;$E63+$F63,IF($D63="Fix",$G63,$G63*(1+$H63)^($F63)),IF($D63="Fix",$G63,$G63*(1+$H63)^(2027-$E63))))))</f>
        <v/>
      </c>
      <c r="S63" s="16">
        <f>IF($A63="","",IF(2028&lt;$E63,"",IF($D63="Manuell","",IF(2028&gt;$E63+$F63,IF($D63="Fix",$G63,$G63*(1+$H63)^($F63)),IF($D63="Fix",$G63,$G63*(1+$H63)^(2028-$E63))))))</f>
        <v/>
      </c>
      <c r="T63" s="16">
        <f>IF($A63="","",IF(2029&lt;$E63,"",IF($D63="Manuell","",IF(2029&gt;$E63+$F63,IF($D63="Fix",$G63,$G63*(1+$H63)^($F63)),IF($D63="Fix",$G63,$G63*(1+$H63)^(2029-$E63))))))</f>
        <v/>
      </c>
      <c r="U63" s="16">
        <f>IF($A63="","",IF(2030&lt;$E63,"",IF($D63="Manuell","",IF(2030&gt;$E63+$F63,IF($D63="Fix",$G63,$G63*(1+$H63)^($F63)),IF($D63="Fix",$G63,$G63*(1+$H63)^(2030-$E63))))))</f>
        <v/>
      </c>
      <c r="V63" s="16">
        <f>IF($A63="","",IF(2031&lt;$E63,"",IF($D63="Manuell","",IF(2031&gt;$E63+$F63,IF($D63="Fix",$G63,$G63*(1+$H63)^($F63)),IF($D63="Fix",$G63,$G63*(1+$H63)^(2031-$E63))))))</f>
        <v/>
      </c>
      <c r="W63" s="16">
        <f>IF($A63="","",IF(2032&lt;$E63,"",IF($D63="Manuell","",IF(2032&gt;$E63+$F63,IF($D63="Fix",$G63,$G63*(1+$H63)^($F63)),IF($D63="Fix",$G63,$G63*(1+$H63)^(2032-$E63))))))</f>
        <v/>
      </c>
      <c r="X63" s="16">
        <f>IF($A63="","",IF(2033&lt;$E63,"",IF($D63="Manuell","",IF(2033&gt;$E63+$F63,IF($D63="Fix",$G63,$G63*(1+$H63)^($F63)),IF($D63="Fix",$G63,$G63*(1+$H63)^(2033-$E63))))))</f>
        <v/>
      </c>
      <c r="Y63" s="16">
        <f>IF($A63="","",IF(2034&lt;$E63,"",IF($D63="Manuell","",IF(2034&gt;$E63+$F63,IF($D63="Fix",$G63,$G63*(1+$H63)^($F63)),IF($D63="Fix",$G63,$G63*(1+$H63)^(2034-$E63))))))</f>
        <v/>
      </c>
      <c r="Z63" s="16">
        <f>IF($A63="","",IF(2035&lt;$E63,"",IF($D63="Manuell","",IF(2035&gt;$E63+$F63,IF($D63="Fix",$G63,$G63*(1+$H63)^($F63)),IF($D63="Fix",$G63,$G63*(1+$H63)^(2035-$E63))))))</f>
        <v/>
      </c>
      <c r="AA63" s="16">
        <f>IF($A63="","",IF(2036&lt;$E63,"",IF($D63="Manuell","",IF(2036&gt;$E63+$F63,IF($D63="Fix",$G63,$G63*(1+$H63)^($F63)),IF($D63="Fix",$G63,$G63*(1+$H63)^(2036-$E63))))))</f>
        <v/>
      </c>
      <c r="AB63" s="16">
        <f>IF($A63="","",IF(2037&lt;$E63,"",IF($D63="Manuell","",IF(2037&gt;$E63+$F63,IF($D63="Fix",$G63,$G63*(1+$H63)^($F63)),IF($D63="Fix",$G63,$G63*(1+$H63)^(2037-$E63))))))</f>
        <v/>
      </c>
      <c r="AC63" s="16">
        <f>IF($A63="","",IF(2038&lt;$E63,"",IF($D63="Manuell","",IF(2038&gt;$E63+$F63,IF($D63="Fix",$G63,$G63*(1+$H63)^($F63)),IF($D63="Fix",$G63,$G63*(1+$H63)^(2038-$E63))))))</f>
        <v/>
      </c>
      <c r="AD63" s="16">
        <f>IF($A63="","",IF(2039&lt;$E63,"",IF($D63="Manuell","",IF(2039&gt;$E63+$F63,IF($D63="Fix",$G63,$G63*(1+$H63)^($F63)),IF($D63="Fix",$G63,$G63*(1+$H63)^(2039-$E63))))))</f>
        <v/>
      </c>
      <c r="AE63" s="16">
        <f>IF($A63="","",IF(2040&lt;$E63,"",IF($D63="Manuell","",IF(2040&gt;$E63+$F63,IF($D63="Fix",$G63,$G63*(1+$H63)^($F63)),IF($D63="Fix",$G63,$G63*(1+$H63)^(2040-$E63))))))</f>
        <v/>
      </c>
      <c r="AF63" s="16">
        <f>IF($A63="","",IF(2041&lt;$E63,"",IF($D63="Manuell","",IF(2041&gt;$E63+$F63,IF($D63="Fix",$G63,$G63*(1+$H63)^($F63)),IF($D63="Fix",$G63,$G63*(1+$H63)^(2041-$E63))))))</f>
        <v/>
      </c>
      <c r="AG63" s="16">
        <f>IF($A63="","",IF(2042&lt;$E63,"",IF($D63="Manuell","",IF(2042&gt;$E63+$F63,IF($D63="Fix",$G63,$G63*(1+$H63)^($F63)),IF($D63="Fix",$G63,$G63*(1+$H63)^(2042-$E63))))))</f>
        <v/>
      </c>
      <c r="AH63" s="16">
        <f>IF($A63="","",IF(2043&lt;$E63,"",IF($D63="Manuell","",IF(2043&gt;$E63+$F63,IF($D63="Fix",$G63,$G63*(1+$H63)^($F63)),IF($D63="Fix",$G63,$G63*(1+$H63)^(2043-$E63))))))</f>
        <v/>
      </c>
      <c r="AI63" s="16">
        <f>IF($A63="","",IF(2044&lt;$E63,"",IF($D63="Manuell","",IF(2044&gt;$E63+$F63,IF($D63="Fix",$G63,$G63*(1+$H63)^($F63)),IF($D63="Fix",$G63,$G63*(1+$H63)^(2044-$E63))))))</f>
        <v/>
      </c>
      <c r="AJ63" s="16">
        <f>IF($A63="","",IF(2045&lt;$E63,"",IF($D63="Manuell","",IF(2045&gt;$E63+$F63,IF($D63="Fix",$G63,$G63*(1+$H63)^($F63)),IF($D63="Fix",$G63,$G63*(1+$H63)^(2045-$E63))))))</f>
        <v/>
      </c>
      <c r="AK63" s="16">
        <f>IF($A63="","",IF(2046&lt;$E63,"",IF($D63="Manuell","",IF(2046&gt;$E63+$F63,IF($D63="Fix",$G63,$G63*(1+$H63)^($F63)),IF($D63="Fix",$G63,$G63*(1+$H63)^(2046-$E63))))))</f>
        <v/>
      </c>
      <c r="AL63" s="16">
        <f>IF($A63="","",IF(2047&lt;$E63,"",IF($D63="Manuell","",IF(2047&gt;$E63+$F63,IF($D63="Fix",$G63,$G63*(1+$H63)^($F63)),IF($D63="Fix",$G63,$G63*(1+$H63)^(2047-$E63))))))</f>
        <v/>
      </c>
      <c r="AM63" s="16">
        <f>IF($A63="","",IF(2048&lt;$E63,"",IF($D63="Manuell","",IF(2048&gt;$E63+$F63,IF($D63="Fix",$G63,$G63*(1+$H63)^($F63)),IF($D63="Fix",$G63,$G63*(1+$H63)^(2048-$E63))))))</f>
        <v/>
      </c>
      <c r="AN63" s="16">
        <f>IF($A63="","",IF(2049&lt;$E63,"",IF($D63="Manuell","",IF(2049&gt;$E63+$F63,IF($D63="Fix",$G63,$G63*(1+$H63)^($F63)),IF($D63="Fix",$G63,$G63*(1+$H63)^(2049-$E63))))))</f>
        <v/>
      </c>
      <c r="AO63" s="16">
        <f>IF($A63="","",IF(2050&lt;$E63,"",IF($D63="Manuell","",IF(2050&gt;$E63+$F63,IF($D63="Fix",$G63,$G63*(1+$H63)^($F63)),IF($D63="Fix",$G63,$G63*(1+$H63)^(2050-$E63))))))</f>
        <v/>
      </c>
      <c r="AP63" s="16">
        <f>IF($A63="","",IF(2051&lt;$E63,"",IF($D63="Manuell","",IF(2051&gt;$E63+$F63,IF($D63="Fix",$G63,$G63*(1+$H63)^($F63)),IF($D63="Fix",$G63,$G63*(1+$H63)^(2051-$E63))))))</f>
        <v/>
      </c>
      <c r="AQ63" s="16">
        <f>IF($A63="","",IF(2052&lt;$E63,"",IF($D63="Manuell","",IF(2052&gt;$E63+$F63,IF($D63="Fix",$G63,$G63*(1+$H63)^($F63)),IF($D63="Fix",$G63,$G63*(1+$H63)^(2052-$E63))))))</f>
        <v/>
      </c>
      <c r="AR63" s="16">
        <f>IF($A63="","",IF(2053&lt;$E63,"",IF($D63="Manuell","",IF(2053&gt;$E63+$F63,IF($D63="Fix",$G63,$G63*(1+$H63)^($F63)),IF($D63="Fix",$G63,$G63*(1+$H63)^(2053-$E63))))))</f>
        <v/>
      </c>
      <c r="AS63" s="16">
        <f>IF($A63="","",IF(2054&lt;$E63,"",IF($D63="Manuell","",IF(2054&gt;$E63+$F63,IF($D63="Fix",$G63,$G63*(1+$H63)^($F63)),IF($D63="Fix",$G63,$G63*(1+$H63)^(2054-$E63))))))</f>
        <v/>
      </c>
      <c r="AT63" s="16">
        <f>IF($A63="","",IF(2055&lt;$E63,"",IF($D63="Manuell","",IF(2055&gt;$E63+$F63,IF($D63="Fix",$G63,$G63*(1+$H63)^($F63)),IF($D63="Fix",$G63,$G63*(1+$H63)^(2055-$E63))))))</f>
        <v/>
      </c>
    </row>
    <row r="64">
      <c r="A64" s="14" t="inlineStr"/>
      <c r="B64" s="14" t="inlineStr"/>
      <c r="C64" s="14" t="inlineStr"/>
      <c r="D64" s="14" t="inlineStr"/>
      <c r="E64" s="11" t="inlineStr"/>
      <c r="F64" s="11" t="inlineStr"/>
      <c r="G64" s="15" t="inlineStr"/>
      <c r="H64" s="15" t="inlineStr"/>
      <c r="I64" s="16">
        <f>IF($A64="","",IF(2018&lt;$E64,"",IF($D64="Manuell","",IF(2018&gt;$E64+$F64,IF($D64="Fix",$G64,$G64*(1+$H64)^($F64)),IF($D64="Fix",$G64,$G64*(1+$H64)^(2018-$E64))))))</f>
        <v/>
      </c>
      <c r="J64" s="16">
        <f>IF($A64="","",IF(2019&lt;$E64,"",IF($D64="Manuell","",IF(2019&gt;$E64+$F64,IF($D64="Fix",$G64,$G64*(1+$H64)^($F64)),IF($D64="Fix",$G64,$G64*(1+$H64)^(2019-$E64))))))</f>
        <v/>
      </c>
      <c r="K64" s="16">
        <f>IF($A64="","",IF(2020&lt;$E64,"",IF($D64="Manuell","",IF(2020&gt;$E64+$F64,IF($D64="Fix",$G64,$G64*(1+$H64)^($F64)),IF($D64="Fix",$G64,$G64*(1+$H64)^(2020-$E64))))))</f>
        <v/>
      </c>
      <c r="L64" s="16">
        <f>IF($A64="","",IF(2021&lt;$E64,"",IF($D64="Manuell","",IF(2021&gt;$E64+$F64,IF($D64="Fix",$G64,$G64*(1+$H64)^($F64)),IF($D64="Fix",$G64,$G64*(1+$H64)^(2021-$E64))))))</f>
        <v/>
      </c>
      <c r="M64" s="16">
        <f>IF($A64="","",IF(2022&lt;$E64,"",IF($D64="Manuell","",IF(2022&gt;$E64+$F64,IF($D64="Fix",$G64,$G64*(1+$H64)^($F64)),IF($D64="Fix",$G64,$G64*(1+$H64)^(2022-$E64))))))</f>
        <v/>
      </c>
      <c r="N64" s="16">
        <f>IF($A64="","",IF(2023&lt;$E64,"",IF($D64="Manuell","",IF(2023&gt;$E64+$F64,IF($D64="Fix",$G64,$G64*(1+$H64)^($F64)),IF($D64="Fix",$G64,$G64*(1+$H64)^(2023-$E64))))))</f>
        <v/>
      </c>
      <c r="O64" s="16">
        <f>IF($A64="","",IF(2024&lt;$E64,"",IF($D64="Manuell","",IF(2024&gt;$E64+$F64,IF($D64="Fix",$G64,$G64*(1+$H64)^($F64)),IF($D64="Fix",$G64,$G64*(1+$H64)^(2024-$E64))))))</f>
        <v/>
      </c>
      <c r="P64" s="16">
        <f>IF($A64="","",IF(2025&lt;$E64,"",IF($D64="Manuell","",IF(2025&gt;$E64+$F64,IF($D64="Fix",$G64,$G64*(1+$H64)^($F64)),IF($D64="Fix",$G64,$G64*(1+$H64)^(2025-$E64))))))</f>
        <v/>
      </c>
      <c r="Q64" s="16">
        <f>IF($A64="","",IF(2026&lt;$E64,"",IF($D64="Manuell","",IF(2026&gt;$E64+$F64,IF($D64="Fix",$G64,$G64*(1+$H64)^($F64)),IF($D64="Fix",$G64,$G64*(1+$H64)^(2026-$E64))))))</f>
        <v/>
      </c>
      <c r="R64" s="16">
        <f>IF($A64="","",IF(2027&lt;$E64,"",IF($D64="Manuell","",IF(2027&gt;$E64+$F64,IF($D64="Fix",$G64,$G64*(1+$H64)^($F64)),IF($D64="Fix",$G64,$G64*(1+$H64)^(2027-$E64))))))</f>
        <v/>
      </c>
      <c r="S64" s="16">
        <f>IF($A64="","",IF(2028&lt;$E64,"",IF($D64="Manuell","",IF(2028&gt;$E64+$F64,IF($D64="Fix",$G64,$G64*(1+$H64)^($F64)),IF($D64="Fix",$G64,$G64*(1+$H64)^(2028-$E64))))))</f>
        <v/>
      </c>
      <c r="T64" s="16">
        <f>IF($A64="","",IF(2029&lt;$E64,"",IF($D64="Manuell","",IF(2029&gt;$E64+$F64,IF($D64="Fix",$G64,$G64*(1+$H64)^($F64)),IF($D64="Fix",$G64,$G64*(1+$H64)^(2029-$E64))))))</f>
        <v/>
      </c>
      <c r="U64" s="16">
        <f>IF($A64="","",IF(2030&lt;$E64,"",IF($D64="Manuell","",IF(2030&gt;$E64+$F64,IF($D64="Fix",$G64,$G64*(1+$H64)^($F64)),IF($D64="Fix",$G64,$G64*(1+$H64)^(2030-$E64))))))</f>
        <v/>
      </c>
      <c r="V64" s="16">
        <f>IF($A64="","",IF(2031&lt;$E64,"",IF($D64="Manuell","",IF(2031&gt;$E64+$F64,IF($D64="Fix",$G64,$G64*(1+$H64)^($F64)),IF($D64="Fix",$G64,$G64*(1+$H64)^(2031-$E64))))))</f>
        <v/>
      </c>
      <c r="W64" s="16">
        <f>IF($A64="","",IF(2032&lt;$E64,"",IF($D64="Manuell","",IF(2032&gt;$E64+$F64,IF($D64="Fix",$G64,$G64*(1+$H64)^($F64)),IF($D64="Fix",$G64,$G64*(1+$H64)^(2032-$E64))))))</f>
        <v/>
      </c>
      <c r="X64" s="16">
        <f>IF($A64="","",IF(2033&lt;$E64,"",IF($D64="Manuell","",IF(2033&gt;$E64+$F64,IF($D64="Fix",$G64,$G64*(1+$H64)^($F64)),IF($D64="Fix",$G64,$G64*(1+$H64)^(2033-$E64))))))</f>
        <v/>
      </c>
      <c r="Y64" s="16">
        <f>IF($A64="","",IF(2034&lt;$E64,"",IF($D64="Manuell","",IF(2034&gt;$E64+$F64,IF($D64="Fix",$G64,$G64*(1+$H64)^($F64)),IF($D64="Fix",$G64,$G64*(1+$H64)^(2034-$E64))))))</f>
        <v/>
      </c>
      <c r="Z64" s="16">
        <f>IF($A64="","",IF(2035&lt;$E64,"",IF($D64="Manuell","",IF(2035&gt;$E64+$F64,IF($D64="Fix",$G64,$G64*(1+$H64)^($F64)),IF($D64="Fix",$G64,$G64*(1+$H64)^(2035-$E64))))))</f>
        <v/>
      </c>
      <c r="AA64" s="16">
        <f>IF($A64="","",IF(2036&lt;$E64,"",IF($D64="Manuell","",IF(2036&gt;$E64+$F64,IF($D64="Fix",$G64,$G64*(1+$H64)^($F64)),IF($D64="Fix",$G64,$G64*(1+$H64)^(2036-$E64))))))</f>
        <v/>
      </c>
      <c r="AB64" s="16">
        <f>IF($A64="","",IF(2037&lt;$E64,"",IF($D64="Manuell","",IF(2037&gt;$E64+$F64,IF($D64="Fix",$G64,$G64*(1+$H64)^($F64)),IF($D64="Fix",$G64,$G64*(1+$H64)^(2037-$E64))))))</f>
        <v/>
      </c>
      <c r="AC64" s="16">
        <f>IF($A64="","",IF(2038&lt;$E64,"",IF($D64="Manuell","",IF(2038&gt;$E64+$F64,IF($D64="Fix",$G64,$G64*(1+$H64)^($F64)),IF($D64="Fix",$G64,$G64*(1+$H64)^(2038-$E64))))))</f>
        <v/>
      </c>
      <c r="AD64" s="16">
        <f>IF($A64="","",IF(2039&lt;$E64,"",IF($D64="Manuell","",IF(2039&gt;$E64+$F64,IF($D64="Fix",$G64,$G64*(1+$H64)^($F64)),IF($D64="Fix",$G64,$G64*(1+$H64)^(2039-$E64))))))</f>
        <v/>
      </c>
      <c r="AE64" s="16">
        <f>IF($A64="","",IF(2040&lt;$E64,"",IF($D64="Manuell","",IF(2040&gt;$E64+$F64,IF($D64="Fix",$G64,$G64*(1+$H64)^($F64)),IF($D64="Fix",$G64,$G64*(1+$H64)^(2040-$E64))))))</f>
        <v/>
      </c>
      <c r="AF64" s="16">
        <f>IF($A64="","",IF(2041&lt;$E64,"",IF($D64="Manuell","",IF(2041&gt;$E64+$F64,IF($D64="Fix",$G64,$G64*(1+$H64)^($F64)),IF($D64="Fix",$G64,$G64*(1+$H64)^(2041-$E64))))))</f>
        <v/>
      </c>
      <c r="AG64" s="16">
        <f>IF($A64="","",IF(2042&lt;$E64,"",IF($D64="Manuell","",IF(2042&gt;$E64+$F64,IF($D64="Fix",$G64,$G64*(1+$H64)^($F64)),IF($D64="Fix",$G64,$G64*(1+$H64)^(2042-$E64))))))</f>
        <v/>
      </c>
      <c r="AH64" s="16">
        <f>IF($A64="","",IF(2043&lt;$E64,"",IF($D64="Manuell","",IF(2043&gt;$E64+$F64,IF($D64="Fix",$G64,$G64*(1+$H64)^($F64)),IF($D64="Fix",$G64,$G64*(1+$H64)^(2043-$E64))))))</f>
        <v/>
      </c>
      <c r="AI64" s="16">
        <f>IF($A64="","",IF(2044&lt;$E64,"",IF($D64="Manuell","",IF(2044&gt;$E64+$F64,IF($D64="Fix",$G64,$G64*(1+$H64)^($F64)),IF($D64="Fix",$G64,$G64*(1+$H64)^(2044-$E64))))))</f>
        <v/>
      </c>
      <c r="AJ64" s="16">
        <f>IF($A64="","",IF(2045&lt;$E64,"",IF($D64="Manuell","",IF(2045&gt;$E64+$F64,IF($D64="Fix",$G64,$G64*(1+$H64)^($F64)),IF($D64="Fix",$G64,$G64*(1+$H64)^(2045-$E64))))))</f>
        <v/>
      </c>
      <c r="AK64" s="16">
        <f>IF($A64="","",IF(2046&lt;$E64,"",IF($D64="Manuell","",IF(2046&gt;$E64+$F64,IF($D64="Fix",$G64,$G64*(1+$H64)^($F64)),IF($D64="Fix",$G64,$G64*(1+$H64)^(2046-$E64))))))</f>
        <v/>
      </c>
      <c r="AL64" s="16">
        <f>IF($A64="","",IF(2047&lt;$E64,"",IF($D64="Manuell","",IF(2047&gt;$E64+$F64,IF($D64="Fix",$G64,$G64*(1+$H64)^($F64)),IF($D64="Fix",$G64,$G64*(1+$H64)^(2047-$E64))))))</f>
        <v/>
      </c>
      <c r="AM64" s="16">
        <f>IF($A64="","",IF(2048&lt;$E64,"",IF($D64="Manuell","",IF(2048&gt;$E64+$F64,IF($D64="Fix",$G64,$G64*(1+$H64)^($F64)),IF($D64="Fix",$G64,$G64*(1+$H64)^(2048-$E64))))))</f>
        <v/>
      </c>
      <c r="AN64" s="16">
        <f>IF($A64="","",IF(2049&lt;$E64,"",IF($D64="Manuell","",IF(2049&gt;$E64+$F64,IF($D64="Fix",$G64,$G64*(1+$H64)^($F64)),IF($D64="Fix",$G64,$G64*(1+$H64)^(2049-$E64))))))</f>
        <v/>
      </c>
      <c r="AO64" s="16">
        <f>IF($A64="","",IF(2050&lt;$E64,"",IF($D64="Manuell","",IF(2050&gt;$E64+$F64,IF($D64="Fix",$G64,$G64*(1+$H64)^($F64)),IF($D64="Fix",$G64,$G64*(1+$H64)^(2050-$E64))))))</f>
        <v/>
      </c>
      <c r="AP64" s="16">
        <f>IF($A64="","",IF(2051&lt;$E64,"",IF($D64="Manuell","",IF(2051&gt;$E64+$F64,IF($D64="Fix",$G64,$G64*(1+$H64)^($F64)),IF($D64="Fix",$G64,$G64*(1+$H64)^(2051-$E64))))))</f>
        <v/>
      </c>
      <c r="AQ64" s="16">
        <f>IF($A64="","",IF(2052&lt;$E64,"",IF($D64="Manuell","",IF(2052&gt;$E64+$F64,IF($D64="Fix",$G64,$G64*(1+$H64)^($F64)),IF($D64="Fix",$G64,$G64*(1+$H64)^(2052-$E64))))))</f>
        <v/>
      </c>
      <c r="AR64" s="16">
        <f>IF($A64="","",IF(2053&lt;$E64,"",IF($D64="Manuell","",IF(2053&gt;$E64+$F64,IF($D64="Fix",$G64,$G64*(1+$H64)^($F64)),IF($D64="Fix",$G64,$G64*(1+$H64)^(2053-$E64))))))</f>
        <v/>
      </c>
      <c r="AS64" s="16">
        <f>IF($A64="","",IF(2054&lt;$E64,"",IF($D64="Manuell","",IF(2054&gt;$E64+$F64,IF($D64="Fix",$G64,$G64*(1+$H64)^($F64)),IF($D64="Fix",$G64,$G64*(1+$H64)^(2054-$E64))))))</f>
        <v/>
      </c>
      <c r="AT64" s="16">
        <f>IF($A64="","",IF(2055&lt;$E64,"",IF($D64="Manuell","",IF(2055&gt;$E64+$F64,IF($D64="Fix",$G64,$G64*(1+$H64)^($F64)),IF($D64="Fix",$G64,$G64*(1+$H64)^(2055-$E64))))))</f>
        <v/>
      </c>
    </row>
    <row r="65">
      <c r="A65" s="14" t="inlineStr"/>
      <c r="B65" s="14" t="inlineStr"/>
      <c r="C65" s="14" t="inlineStr"/>
      <c r="D65" s="14" t="inlineStr"/>
      <c r="E65" s="11" t="inlineStr"/>
      <c r="F65" s="11" t="inlineStr"/>
      <c r="G65" s="15" t="inlineStr"/>
      <c r="H65" s="15" t="inlineStr"/>
      <c r="I65" s="16">
        <f>IF($A65="","",IF(2018&lt;$E65,"",IF($D65="Manuell","",IF(2018&gt;$E65+$F65,IF($D65="Fix",$G65,$G65*(1+$H65)^($F65)),IF($D65="Fix",$G65,$G65*(1+$H65)^(2018-$E65))))))</f>
        <v/>
      </c>
      <c r="J65" s="16">
        <f>IF($A65="","",IF(2019&lt;$E65,"",IF($D65="Manuell","",IF(2019&gt;$E65+$F65,IF($D65="Fix",$G65,$G65*(1+$H65)^($F65)),IF($D65="Fix",$G65,$G65*(1+$H65)^(2019-$E65))))))</f>
        <v/>
      </c>
      <c r="K65" s="16">
        <f>IF($A65="","",IF(2020&lt;$E65,"",IF($D65="Manuell","",IF(2020&gt;$E65+$F65,IF($D65="Fix",$G65,$G65*(1+$H65)^($F65)),IF($D65="Fix",$G65,$G65*(1+$H65)^(2020-$E65))))))</f>
        <v/>
      </c>
      <c r="L65" s="16">
        <f>IF($A65="","",IF(2021&lt;$E65,"",IF($D65="Manuell","",IF(2021&gt;$E65+$F65,IF($D65="Fix",$G65,$G65*(1+$H65)^($F65)),IF($D65="Fix",$G65,$G65*(1+$H65)^(2021-$E65))))))</f>
        <v/>
      </c>
      <c r="M65" s="16">
        <f>IF($A65="","",IF(2022&lt;$E65,"",IF($D65="Manuell","",IF(2022&gt;$E65+$F65,IF($D65="Fix",$G65,$G65*(1+$H65)^($F65)),IF($D65="Fix",$G65,$G65*(1+$H65)^(2022-$E65))))))</f>
        <v/>
      </c>
      <c r="N65" s="16">
        <f>IF($A65="","",IF(2023&lt;$E65,"",IF($D65="Manuell","",IF(2023&gt;$E65+$F65,IF($D65="Fix",$G65,$G65*(1+$H65)^($F65)),IF($D65="Fix",$G65,$G65*(1+$H65)^(2023-$E65))))))</f>
        <v/>
      </c>
      <c r="O65" s="16">
        <f>IF($A65="","",IF(2024&lt;$E65,"",IF($D65="Manuell","",IF(2024&gt;$E65+$F65,IF($D65="Fix",$G65,$G65*(1+$H65)^($F65)),IF($D65="Fix",$G65,$G65*(1+$H65)^(2024-$E65))))))</f>
        <v/>
      </c>
      <c r="P65" s="16">
        <f>IF($A65="","",IF(2025&lt;$E65,"",IF($D65="Manuell","",IF(2025&gt;$E65+$F65,IF($D65="Fix",$G65,$G65*(1+$H65)^($F65)),IF($D65="Fix",$G65,$G65*(1+$H65)^(2025-$E65))))))</f>
        <v/>
      </c>
      <c r="Q65" s="16">
        <f>IF($A65="","",IF(2026&lt;$E65,"",IF($D65="Manuell","",IF(2026&gt;$E65+$F65,IF($D65="Fix",$G65,$G65*(1+$H65)^($F65)),IF($D65="Fix",$G65,$G65*(1+$H65)^(2026-$E65))))))</f>
        <v/>
      </c>
      <c r="R65" s="16">
        <f>IF($A65="","",IF(2027&lt;$E65,"",IF($D65="Manuell","",IF(2027&gt;$E65+$F65,IF($D65="Fix",$G65,$G65*(1+$H65)^($F65)),IF($D65="Fix",$G65,$G65*(1+$H65)^(2027-$E65))))))</f>
        <v/>
      </c>
      <c r="S65" s="16">
        <f>IF($A65="","",IF(2028&lt;$E65,"",IF($D65="Manuell","",IF(2028&gt;$E65+$F65,IF($D65="Fix",$G65,$G65*(1+$H65)^($F65)),IF($D65="Fix",$G65,$G65*(1+$H65)^(2028-$E65))))))</f>
        <v/>
      </c>
      <c r="T65" s="16">
        <f>IF($A65="","",IF(2029&lt;$E65,"",IF($D65="Manuell","",IF(2029&gt;$E65+$F65,IF($D65="Fix",$G65,$G65*(1+$H65)^($F65)),IF($D65="Fix",$G65,$G65*(1+$H65)^(2029-$E65))))))</f>
        <v/>
      </c>
      <c r="U65" s="16">
        <f>IF($A65="","",IF(2030&lt;$E65,"",IF($D65="Manuell","",IF(2030&gt;$E65+$F65,IF($D65="Fix",$G65,$G65*(1+$H65)^($F65)),IF($D65="Fix",$G65,$G65*(1+$H65)^(2030-$E65))))))</f>
        <v/>
      </c>
      <c r="V65" s="16">
        <f>IF($A65="","",IF(2031&lt;$E65,"",IF($D65="Manuell","",IF(2031&gt;$E65+$F65,IF($D65="Fix",$G65,$G65*(1+$H65)^($F65)),IF($D65="Fix",$G65,$G65*(1+$H65)^(2031-$E65))))))</f>
        <v/>
      </c>
      <c r="W65" s="16">
        <f>IF($A65="","",IF(2032&lt;$E65,"",IF($D65="Manuell","",IF(2032&gt;$E65+$F65,IF($D65="Fix",$G65,$G65*(1+$H65)^($F65)),IF($D65="Fix",$G65,$G65*(1+$H65)^(2032-$E65))))))</f>
        <v/>
      </c>
      <c r="X65" s="16">
        <f>IF($A65="","",IF(2033&lt;$E65,"",IF($D65="Manuell","",IF(2033&gt;$E65+$F65,IF($D65="Fix",$G65,$G65*(1+$H65)^($F65)),IF($D65="Fix",$G65,$G65*(1+$H65)^(2033-$E65))))))</f>
        <v/>
      </c>
      <c r="Y65" s="16">
        <f>IF($A65="","",IF(2034&lt;$E65,"",IF($D65="Manuell","",IF(2034&gt;$E65+$F65,IF($D65="Fix",$G65,$G65*(1+$H65)^($F65)),IF($D65="Fix",$G65,$G65*(1+$H65)^(2034-$E65))))))</f>
        <v/>
      </c>
      <c r="Z65" s="16">
        <f>IF($A65="","",IF(2035&lt;$E65,"",IF($D65="Manuell","",IF(2035&gt;$E65+$F65,IF($D65="Fix",$G65,$G65*(1+$H65)^($F65)),IF($D65="Fix",$G65,$G65*(1+$H65)^(2035-$E65))))))</f>
        <v/>
      </c>
      <c r="AA65" s="16">
        <f>IF($A65="","",IF(2036&lt;$E65,"",IF($D65="Manuell","",IF(2036&gt;$E65+$F65,IF($D65="Fix",$G65,$G65*(1+$H65)^($F65)),IF($D65="Fix",$G65,$G65*(1+$H65)^(2036-$E65))))))</f>
        <v/>
      </c>
      <c r="AB65" s="16">
        <f>IF($A65="","",IF(2037&lt;$E65,"",IF($D65="Manuell","",IF(2037&gt;$E65+$F65,IF($D65="Fix",$G65,$G65*(1+$H65)^($F65)),IF($D65="Fix",$G65,$G65*(1+$H65)^(2037-$E65))))))</f>
        <v/>
      </c>
      <c r="AC65" s="16">
        <f>IF($A65="","",IF(2038&lt;$E65,"",IF($D65="Manuell","",IF(2038&gt;$E65+$F65,IF($D65="Fix",$G65,$G65*(1+$H65)^($F65)),IF($D65="Fix",$G65,$G65*(1+$H65)^(2038-$E65))))))</f>
        <v/>
      </c>
      <c r="AD65" s="16">
        <f>IF($A65="","",IF(2039&lt;$E65,"",IF($D65="Manuell","",IF(2039&gt;$E65+$F65,IF($D65="Fix",$G65,$G65*(1+$H65)^($F65)),IF($D65="Fix",$G65,$G65*(1+$H65)^(2039-$E65))))))</f>
        <v/>
      </c>
      <c r="AE65" s="16">
        <f>IF($A65="","",IF(2040&lt;$E65,"",IF($D65="Manuell","",IF(2040&gt;$E65+$F65,IF($D65="Fix",$G65,$G65*(1+$H65)^($F65)),IF($D65="Fix",$G65,$G65*(1+$H65)^(2040-$E65))))))</f>
        <v/>
      </c>
      <c r="AF65" s="16">
        <f>IF($A65="","",IF(2041&lt;$E65,"",IF($D65="Manuell","",IF(2041&gt;$E65+$F65,IF($D65="Fix",$G65,$G65*(1+$H65)^($F65)),IF($D65="Fix",$G65,$G65*(1+$H65)^(2041-$E65))))))</f>
        <v/>
      </c>
      <c r="AG65" s="16">
        <f>IF($A65="","",IF(2042&lt;$E65,"",IF($D65="Manuell","",IF(2042&gt;$E65+$F65,IF($D65="Fix",$G65,$G65*(1+$H65)^($F65)),IF($D65="Fix",$G65,$G65*(1+$H65)^(2042-$E65))))))</f>
        <v/>
      </c>
      <c r="AH65" s="16">
        <f>IF($A65="","",IF(2043&lt;$E65,"",IF($D65="Manuell","",IF(2043&gt;$E65+$F65,IF($D65="Fix",$G65,$G65*(1+$H65)^($F65)),IF($D65="Fix",$G65,$G65*(1+$H65)^(2043-$E65))))))</f>
        <v/>
      </c>
      <c r="AI65" s="16">
        <f>IF($A65="","",IF(2044&lt;$E65,"",IF($D65="Manuell","",IF(2044&gt;$E65+$F65,IF($D65="Fix",$G65,$G65*(1+$H65)^($F65)),IF($D65="Fix",$G65,$G65*(1+$H65)^(2044-$E65))))))</f>
        <v/>
      </c>
      <c r="AJ65" s="16">
        <f>IF($A65="","",IF(2045&lt;$E65,"",IF($D65="Manuell","",IF(2045&gt;$E65+$F65,IF($D65="Fix",$G65,$G65*(1+$H65)^($F65)),IF($D65="Fix",$G65,$G65*(1+$H65)^(2045-$E65))))))</f>
        <v/>
      </c>
      <c r="AK65" s="16">
        <f>IF($A65="","",IF(2046&lt;$E65,"",IF($D65="Manuell","",IF(2046&gt;$E65+$F65,IF($D65="Fix",$G65,$G65*(1+$H65)^($F65)),IF($D65="Fix",$G65,$G65*(1+$H65)^(2046-$E65))))))</f>
        <v/>
      </c>
      <c r="AL65" s="16">
        <f>IF($A65="","",IF(2047&lt;$E65,"",IF($D65="Manuell","",IF(2047&gt;$E65+$F65,IF($D65="Fix",$G65,$G65*(1+$H65)^($F65)),IF($D65="Fix",$G65,$G65*(1+$H65)^(2047-$E65))))))</f>
        <v/>
      </c>
      <c r="AM65" s="16">
        <f>IF($A65="","",IF(2048&lt;$E65,"",IF($D65="Manuell","",IF(2048&gt;$E65+$F65,IF($D65="Fix",$G65,$G65*(1+$H65)^($F65)),IF($D65="Fix",$G65,$G65*(1+$H65)^(2048-$E65))))))</f>
        <v/>
      </c>
      <c r="AN65" s="16">
        <f>IF($A65="","",IF(2049&lt;$E65,"",IF($D65="Manuell","",IF(2049&gt;$E65+$F65,IF($D65="Fix",$G65,$G65*(1+$H65)^($F65)),IF($D65="Fix",$G65,$G65*(1+$H65)^(2049-$E65))))))</f>
        <v/>
      </c>
      <c r="AO65" s="16">
        <f>IF($A65="","",IF(2050&lt;$E65,"",IF($D65="Manuell","",IF(2050&gt;$E65+$F65,IF($D65="Fix",$G65,$G65*(1+$H65)^($F65)),IF($D65="Fix",$G65,$G65*(1+$H65)^(2050-$E65))))))</f>
        <v/>
      </c>
      <c r="AP65" s="16">
        <f>IF($A65="","",IF(2051&lt;$E65,"",IF($D65="Manuell","",IF(2051&gt;$E65+$F65,IF($D65="Fix",$G65,$G65*(1+$H65)^($F65)),IF($D65="Fix",$G65,$G65*(1+$H65)^(2051-$E65))))))</f>
        <v/>
      </c>
      <c r="AQ65" s="16">
        <f>IF($A65="","",IF(2052&lt;$E65,"",IF($D65="Manuell","",IF(2052&gt;$E65+$F65,IF($D65="Fix",$G65,$G65*(1+$H65)^($F65)),IF($D65="Fix",$G65,$G65*(1+$H65)^(2052-$E65))))))</f>
        <v/>
      </c>
      <c r="AR65" s="16">
        <f>IF($A65="","",IF(2053&lt;$E65,"",IF($D65="Manuell","",IF(2053&gt;$E65+$F65,IF($D65="Fix",$G65,$G65*(1+$H65)^($F65)),IF($D65="Fix",$G65,$G65*(1+$H65)^(2053-$E65))))))</f>
        <v/>
      </c>
      <c r="AS65" s="16">
        <f>IF($A65="","",IF(2054&lt;$E65,"",IF($D65="Manuell","",IF(2054&gt;$E65+$F65,IF($D65="Fix",$G65,$G65*(1+$H65)^($F65)),IF($D65="Fix",$G65,$G65*(1+$H65)^(2054-$E65))))))</f>
        <v/>
      </c>
      <c r="AT65" s="16">
        <f>IF($A65="","",IF(2055&lt;$E65,"",IF($D65="Manuell","",IF(2055&gt;$E65+$F65,IF($D65="Fix",$G65,$G65*(1+$H65)^($F65)),IF($D65="Fix",$G65,$G65*(1+$H65)^(2055-$E65))))))</f>
        <v/>
      </c>
    </row>
    <row r="66">
      <c r="A66" s="14" t="inlineStr"/>
      <c r="B66" s="14" t="inlineStr"/>
      <c r="C66" s="14" t="inlineStr"/>
      <c r="D66" s="14" t="inlineStr"/>
      <c r="E66" s="11" t="inlineStr"/>
      <c r="F66" s="11" t="inlineStr"/>
      <c r="G66" s="15" t="inlineStr"/>
      <c r="H66" s="15" t="inlineStr"/>
      <c r="I66" s="16">
        <f>IF($A66="","",IF(2018&lt;$E66,"",IF($D66="Manuell","",IF(2018&gt;$E66+$F66,IF($D66="Fix",$G66,$G66*(1+$H66)^($F66)),IF($D66="Fix",$G66,$G66*(1+$H66)^(2018-$E66))))))</f>
        <v/>
      </c>
      <c r="J66" s="16">
        <f>IF($A66="","",IF(2019&lt;$E66,"",IF($D66="Manuell","",IF(2019&gt;$E66+$F66,IF($D66="Fix",$G66,$G66*(1+$H66)^($F66)),IF($D66="Fix",$G66,$G66*(1+$H66)^(2019-$E66))))))</f>
        <v/>
      </c>
      <c r="K66" s="16">
        <f>IF($A66="","",IF(2020&lt;$E66,"",IF($D66="Manuell","",IF(2020&gt;$E66+$F66,IF($D66="Fix",$G66,$G66*(1+$H66)^($F66)),IF($D66="Fix",$G66,$G66*(1+$H66)^(2020-$E66))))))</f>
        <v/>
      </c>
      <c r="L66" s="16">
        <f>IF($A66="","",IF(2021&lt;$E66,"",IF($D66="Manuell","",IF(2021&gt;$E66+$F66,IF($D66="Fix",$G66,$G66*(1+$H66)^($F66)),IF($D66="Fix",$G66,$G66*(1+$H66)^(2021-$E66))))))</f>
        <v/>
      </c>
      <c r="M66" s="16">
        <f>IF($A66="","",IF(2022&lt;$E66,"",IF($D66="Manuell","",IF(2022&gt;$E66+$F66,IF($D66="Fix",$G66,$G66*(1+$H66)^($F66)),IF($D66="Fix",$G66,$G66*(1+$H66)^(2022-$E66))))))</f>
        <v/>
      </c>
      <c r="N66" s="16">
        <f>IF($A66="","",IF(2023&lt;$E66,"",IF($D66="Manuell","",IF(2023&gt;$E66+$F66,IF($D66="Fix",$G66,$G66*(1+$H66)^($F66)),IF($D66="Fix",$G66,$G66*(1+$H66)^(2023-$E66))))))</f>
        <v/>
      </c>
      <c r="O66" s="16">
        <f>IF($A66="","",IF(2024&lt;$E66,"",IF($D66="Manuell","",IF(2024&gt;$E66+$F66,IF($D66="Fix",$G66,$G66*(1+$H66)^($F66)),IF($D66="Fix",$G66,$G66*(1+$H66)^(2024-$E66))))))</f>
        <v/>
      </c>
      <c r="P66" s="16">
        <f>IF($A66="","",IF(2025&lt;$E66,"",IF($D66="Manuell","",IF(2025&gt;$E66+$F66,IF($D66="Fix",$G66,$G66*(1+$H66)^($F66)),IF($D66="Fix",$G66,$G66*(1+$H66)^(2025-$E66))))))</f>
        <v/>
      </c>
      <c r="Q66" s="16">
        <f>IF($A66="","",IF(2026&lt;$E66,"",IF($D66="Manuell","",IF(2026&gt;$E66+$F66,IF($D66="Fix",$G66,$G66*(1+$H66)^($F66)),IF($D66="Fix",$G66,$G66*(1+$H66)^(2026-$E66))))))</f>
        <v/>
      </c>
      <c r="R66" s="16">
        <f>IF($A66="","",IF(2027&lt;$E66,"",IF($D66="Manuell","",IF(2027&gt;$E66+$F66,IF($D66="Fix",$G66,$G66*(1+$H66)^($F66)),IF($D66="Fix",$G66,$G66*(1+$H66)^(2027-$E66))))))</f>
        <v/>
      </c>
      <c r="S66" s="16">
        <f>IF($A66="","",IF(2028&lt;$E66,"",IF($D66="Manuell","",IF(2028&gt;$E66+$F66,IF($D66="Fix",$G66,$G66*(1+$H66)^($F66)),IF($D66="Fix",$G66,$G66*(1+$H66)^(2028-$E66))))))</f>
        <v/>
      </c>
      <c r="T66" s="16">
        <f>IF($A66="","",IF(2029&lt;$E66,"",IF($D66="Manuell","",IF(2029&gt;$E66+$F66,IF($D66="Fix",$G66,$G66*(1+$H66)^($F66)),IF($D66="Fix",$G66,$G66*(1+$H66)^(2029-$E66))))))</f>
        <v/>
      </c>
      <c r="U66" s="16">
        <f>IF($A66="","",IF(2030&lt;$E66,"",IF($D66="Manuell","",IF(2030&gt;$E66+$F66,IF($D66="Fix",$G66,$G66*(1+$H66)^($F66)),IF($D66="Fix",$G66,$G66*(1+$H66)^(2030-$E66))))))</f>
        <v/>
      </c>
      <c r="V66" s="16">
        <f>IF($A66="","",IF(2031&lt;$E66,"",IF($D66="Manuell","",IF(2031&gt;$E66+$F66,IF($D66="Fix",$G66,$G66*(1+$H66)^($F66)),IF($D66="Fix",$G66,$G66*(1+$H66)^(2031-$E66))))))</f>
        <v/>
      </c>
      <c r="W66" s="16">
        <f>IF($A66="","",IF(2032&lt;$E66,"",IF($D66="Manuell","",IF(2032&gt;$E66+$F66,IF($D66="Fix",$G66,$G66*(1+$H66)^($F66)),IF($D66="Fix",$G66,$G66*(1+$H66)^(2032-$E66))))))</f>
        <v/>
      </c>
      <c r="X66" s="16">
        <f>IF($A66="","",IF(2033&lt;$E66,"",IF($D66="Manuell","",IF(2033&gt;$E66+$F66,IF($D66="Fix",$G66,$G66*(1+$H66)^($F66)),IF($D66="Fix",$G66,$G66*(1+$H66)^(2033-$E66))))))</f>
        <v/>
      </c>
      <c r="Y66" s="16">
        <f>IF($A66="","",IF(2034&lt;$E66,"",IF($D66="Manuell","",IF(2034&gt;$E66+$F66,IF($D66="Fix",$G66,$G66*(1+$H66)^($F66)),IF($D66="Fix",$G66,$G66*(1+$H66)^(2034-$E66))))))</f>
        <v/>
      </c>
      <c r="Z66" s="16">
        <f>IF($A66="","",IF(2035&lt;$E66,"",IF($D66="Manuell","",IF(2035&gt;$E66+$F66,IF($D66="Fix",$G66,$G66*(1+$H66)^($F66)),IF($D66="Fix",$G66,$G66*(1+$H66)^(2035-$E66))))))</f>
        <v/>
      </c>
      <c r="AA66" s="16">
        <f>IF($A66="","",IF(2036&lt;$E66,"",IF($D66="Manuell","",IF(2036&gt;$E66+$F66,IF($D66="Fix",$G66,$G66*(1+$H66)^($F66)),IF($D66="Fix",$G66,$G66*(1+$H66)^(2036-$E66))))))</f>
        <v/>
      </c>
      <c r="AB66" s="16">
        <f>IF($A66="","",IF(2037&lt;$E66,"",IF($D66="Manuell","",IF(2037&gt;$E66+$F66,IF($D66="Fix",$G66,$G66*(1+$H66)^($F66)),IF($D66="Fix",$G66,$G66*(1+$H66)^(2037-$E66))))))</f>
        <v/>
      </c>
      <c r="AC66" s="16">
        <f>IF($A66="","",IF(2038&lt;$E66,"",IF($D66="Manuell","",IF(2038&gt;$E66+$F66,IF($D66="Fix",$G66,$G66*(1+$H66)^($F66)),IF($D66="Fix",$G66,$G66*(1+$H66)^(2038-$E66))))))</f>
        <v/>
      </c>
      <c r="AD66" s="16">
        <f>IF($A66="","",IF(2039&lt;$E66,"",IF($D66="Manuell","",IF(2039&gt;$E66+$F66,IF($D66="Fix",$G66,$G66*(1+$H66)^($F66)),IF($D66="Fix",$G66,$G66*(1+$H66)^(2039-$E66))))))</f>
        <v/>
      </c>
      <c r="AE66" s="16">
        <f>IF($A66="","",IF(2040&lt;$E66,"",IF($D66="Manuell","",IF(2040&gt;$E66+$F66,IF($D66="Fix",$G66,$G66*(1+$H66)^($F66)),IF($D66="Fix",$G66,$G66*(1+$H66)^(2040-$E66))))))</f>
        <v/>
      </c>
      <c r="AF66" s="16">
        <f>IF($A66="","",IF(2041&lt;$E66,"",IF($D66="Manuell","",IF(2041&gt;$E66+$F66,IF($D66="Fix",$G66,$G66*(1+$H66)^($F66)),IF($D66="Fix",$G66,$G66*(1+$H66)^(2041-$E66))))))</f>
        <v/>
      </c>
      <c r="AG66" s="16">
        <f>IF($A66="","",IF(2042&lt;$E66,"",IF($D66="Manuell","",IF(2042&gt;$E66+$F66,IF($D66="Fix",$G66,$G66*(1+$H66)^($F66)),IF($D66="Fix",$G66,$G66*(1+$H66)^(2042-$E66))))))</f>
        <v/>
      </c>
      <c r="AH66" s="16">
        <f>IF($A66="","",IF(2043&lt;$E66,"",IF($D66="Manuell","",IF(2043&gt;$E66+$F66,IF($D66="Fix",$G66,$G66*(1+$H66)^($F66)),IF($D66="Fix",$G66,$G66*(1+$H66)^(2043-$E66))))))</f>
        <v/>
      </c>
      <c r="AI66" s="16">
        <f>IF($A66="","",IF(2044&lt;$E66,"",IF($D66="Manuell","",IF(2044&gt;$E66+$F66,IF($D66="Fix",$G66,$G66*(1+$H66)^($F66)),IF($D66="Fix",$G66,$G66*(1+$H66)^(2044-$E66))))))</f>
        <v/>
      </c>
      <c r="AJ66" s="16">
        <f>IF($A66="","",IF(2045&lt;$E66,"",IF($D66="Manuell","",IF(2045&gt;$E66+$F66,IF($D66="Fix",$G66,$G66*(1+$H66)^($F66)),IF($D66="Fix",$G66,$G66*(1+$H66)^(2045-$E66))))))</f>
        <v/>
      </c>
      <c r="AK66" s="16">
        <f>IF($A66="","",IF(2046&lt;$E66,"",IF($D66="Manuell","",IF(2046&gt;$E66+$F66,IF($D66="Fix",$G66,$G66*(1+$H66)^($F66)),IF($D66="Fix",$G66,$G66*(1+$H66)^(2046-$E66))))))</f>
        <v/>
      </c>
      <c r="AL66" s="16">
        <f>IF($A66="","",IF(2047&lt;$E66,"",IF($D66="Manuell","",IF(2047&gt;$E66+$F66,IF($D66="Fix",$G66,$G66*(1+$H66)^($F66)),IF($D66="Fix",$G66,$G66*(1+$H66)^(2047-$E66))))))</f>
        <v/>
      </c>
      <c r="AM66" s="16">
        <f>IF($A66="","",IF(2048&lt;$E66,"",IF($D66="Manuell","",IF(2048&gt;$E66+$F66,IF($D66="Fix",$G66,$G66*(1+$H66)^($F66)),IF($D66="Fix",$G66,$G66*(1+$H66)^(2048-$E66))))))</f>
        <v/>
      </c>
      <c r="AN66" s="16">
        <f>IF($A66="","",IF(2049&lt;$E66,"",IF($D66="Manuell","",IF(2049&gt;$E66+$F66,IF($D66="Fix",$G66,$G66*(1+$H66)^($F66)),IF($D66="Fix",$G66,$G66*(1+$H66)^(2049-$E66))))))</f>
        <v/>
      </c>
      <c r="AO66" s="16">
        <f>IF($A66="","",IF(2050&lt;$E66,"",IF($D66="Manuell","",IF(2050&gt;$E66+$F66,IF($D66="Fix",$G66,$G66*(1+$H66)^($F66)),IF($D66="Fix",$G66,$G66*(1+$H66)^(2050-$E66))))))</f>
        <v/>
      </c>
      <c r="AP66" s="16">
        <f>IF($A66="","",IF(2051&lt;$E66,"",IF($D66="Manuell","",IF(2051&gt;$E66+$F66,IF($D66="Fix",$G66,$G66*(1+$H66)^($F66)),IF($D66="Fix",$G66,$G66*(1+$H66)^(2051-$E66))))))</f>
        <v/>
      </c>
      <c r="AQ66" s="16">
        <f>IF($A66="","",IF(2052&lt;$E66,"",IF($D66="Manuell","",IF(2052&gt;$E66+$F66,IF($D66="Fix",$G66,$G66*(1+$H66)^($F66)),IF($D66="Fix",$G66,$G66*(1+$H66)^(2052-$E66))))))</f>
        <v/>
      </c>
      <c r="AR66" s="16">
        <f>IF($A66="","",IF(2053&lt;$E66,"",IF($D66="Manuell","",IF(2053&gt;$E66+$F66,IF($D66="Fix",$G66,$G66*(1+$H66)^($F66)),IF($D66="Fix",$G66,$G66*(1+$H66)^(2053-$E66))))))</f>
        <v/>
      </c>
      <c r="AS66" s="16">
        <f>IF($A66="","",IF(2054&lt;$E66,"",IF($D66="Manuell","",IF(2054&gt;$E66+$F66,IF($D66="Fix",$G66,$G66*(1+$H66)^($F66)),IF($D66="Fix",$G66,$G66*(1+$H66)^(2054-$E66))))))</f>
        <v/>
      </c>
      <c r="AT66" s="16">
        <f>IF($A66="","",IF(2055&lt;$E66,"",IF($D66="Manuell","",IF(2055&gt;$E66+$F66,IF($D66="Fix",$G66,$G66*(1+$H66)^($F66)),IF($D66="Fix",$G66,$G66*(1+$H66)^(2055-$E66))))))</f>
        <v/>
      </c>
    </row>
    <row r="67">
      <c r="A67" s="14" t="inlineStr"/>
      <c r="B67" s="14" t="inlineStr"/>
      <c r="C67" s="14" t="inlineStr"/>
      <c r="D67" s="14" t="inlineStr"/>
      <c r="E67" s="11" t="inlineStr"/>
      <c r="F67" s="11" t="inlineStr"/>
      <c r="G67" s="15" t="inlineStr"/>
      <c r="H67" s="15" t="inlineStr"/>
      <c r="I67" s="16">
        <f>IF($A67="","",IF(2018&lt;$E67,"",IF($D67="Manuell","",IF(2018&gt;$E67+$F67,IF($D67="Fix",$G67,$G67*(1+$H67)^($F67)),IF($D67="Fix",$G67,$G67*(1+$H67)^(2018-$E67))))))</f>
        <v/>
      </c>
      <c r="J67" s="16">
        <f>IF($A67="","",IF(2019&lt;$E67,"",IF($D67="Manuell","",IF(2019&gt;$E67+$F67,IF($D67="Fix",$G67,$G67*(1+$H67)^($F67)),IF($D67="Fix",$G67,$G67*(1+$H67)^(2019-$E67))))))</f>
        <v/>
      </c>
      <c r="K67" s="16">
        <f>IF($A67="","",IF(2020&lt;$E67,"",IF($D67="Manuell","",IF(2020&gt;$E67+$F67,IF($D67="Fix",$G67,$G67*(1+$H67)^($F67)),IF($D67="Fix",$G67,$G67*(1+$H67)^(2020-$E67))))))</f>
        <v/>
      </c>
      <c r="L67" s="16">
        <f>IF($A67="","",IF(2021&lt;$E67,"",IF($D67="Manuell","",IF(2021&gt;$E67+$F67,IF($D67="Fix",$G67,$G67*(1+$H67)^($F67)),IF($D67="Fix",$G67,$G67*(1+$H67)^(2021-$E67))))))</f>
        <v/>
      </c>
      <c r="M67" s="16">
        <f>IF($A67="","",IF(2022&lt;$E67,"",IF($D67="Manuell","",IF(2022&gt;$E67+$F67,IF($D67="Fix",$G67,$G67*(1+$H67)^($F67)),IF($D67="Fix",$G67,$G67*(1+$H67)^(2022-$E67))))))</f>
        <v/>
      </c>
      <c r="N67" s="16">
        <f>IF($A67="","",IF(2023&lt;$E67,"",IF($D67="Manuell","",IF(2023&gt;$E67+$F67,IF($D67="Fix",$G67,$G67*(1+$H67)^($F67)),IF($D67="Fix",$G67,$G67*(1+$H67)^(2023-$E67))))))</f>
        <v/>
      </c>
      <c r="O67" s="16">
        <f>IF($A67="","",IF(2024&lt;$E67,"",IF($D67="Manuell","",IF(2024&gt;$E67+$F67,IF($D67="Fix",$G67,$G67*(1+$H67)^($F67)),IF($D67="Fix",$G67,$G67*(1+$H67)^(2024-$E67))))))</f>
        <v/>
      </c>
      <c r="P67" s="16">
        <f>IF($A67="","",IF(2025&lt;$E67,"",IF($D67="Manuell","",IF(2025&gt;$E67+$F67,IF($D67="Fix",$G67,$G67*(1+$H67)^($F67)),IF($D67="Fix",$G67,$G67*(1+$H67)^(2025-$E67))))))</f>
        <v/>
      </c>
      <c r="Q67" s="16">
        <f>IF($A67="","",IF(2026&lt;$E67,"",IF($D67="Manuell","",IF(2026&gt;$E67+$F67,IF($D67="Fix",$G67,$G67*(1+$H67)^($F67)),IF($D67="Fix",$G67,$G67*(1+$H67)^(2026-$E67))))))</f>
        <v/>
      </c>
      <c r="R67" s="16">
        <f>IF($A67="","",IF(2027&lt;$E67,"",IF($D67="Manuell","",IF(2027&gt;$E67+$F67,IF($D67="Fix",$G67,$G67*(1+$H67)^($F67)),IF($D67="Fix",$G67,$G67*(1+$H67)^(2027-$E67))))))</f>
        <v/>
      </c>
      <c r="S67" s="16">
        <f>IF($A67="","",IF(2028&lt;$E67,"",IF($D67="Manuell","",IF(2028&gt;$E67+$F67,IF($D67="Fix",$G67,$G67*(1+$H67)^($F67)),IF($D67="Fix",$G67,$G67*(1+$H67)^(2028-$E67))))))</f>
        <v/>
      </c>
      <c r="T67" s="16">
        <f>IF($A67="","",IF(2029&lt;$E67,"",IF($D67="Manuell","",IF(2029&gt;$E67+$F67,IF($D67="Fix",$G67,$G67*(1+$H67)^($F67)),IF($D67="Fix",$G67,$G67*(1+$H67)^(2029-$E67))))))</f>
        <v/>
      </c>
      <c r="U67" s="16">
        <f>IF($A67="","",IF(2030&lt;$E67,"",IF($D67="Manuell","",IF(2030&gt;$E67+$F67,IF($D67="Fix",$G67,$G67*(1+$H67)^($F67)),IF($D67="Fix",$G67,$G67*(1+$H67)^(2030-$E67))))))</f>
        <v/>
      </c>
      <c r="V67" s="16">
        <f>IF($A67="","",IF(2031&lt;$E67,"",IF($D67="Manuell","",IF(2031&gt;$E67+$F67,IF($D67="Fix",$G67,$G67*(1+$H67)^($F67)),IF($D67="Fix",$G67,$G67*(1+$H67)^(2031-$E67))))))</f>
        <v/>
      </c>
      <c r="W67" s="16">
        <f>IF($A67="","",IF(2032&lt;$E67,"",IF($D67="Manuell","",IF(2032&gt;$E67+$F67,IF($D67="Fix",$G67,$G67*(1+$H67)^($F67)),IF($D67="Fix",$G67,$G67*(1+$H67)^(2032-$E67))))))</f>
        <v/>
      </c>
      <c r="X67" s="16">
        <f>IF($A67="","",IF(2033&lt;$E67,"",IF($D67="Manuell","",IF(2033&gt;$E67+$F67,IF($D67="Fix",$G67,$G67*(1+$H67)^($F67)),IF($D67="Fix",$G67,$G67*(1+$H67)^(2033-$E67))))))</f>
        <v/>
      </c>
      <c r="Y67" s="16">
        <f>IF($A67="","",IF(2034&lt;$E67,"",IF($D67="Manuell","",IF(2034&gt;$E67+$F67,IF($D67="Fix",$G67,$G67*(1+$H67)^($F67)),IF($D67="Fix",$G67,$G67*(1+$H67)^(2034-$E67))))))</f>
        <v/>
      </c>
      <c r="Z67" s="16">
        <f>IF($A67="","",IF(2035&lt;$E67,"",IF($D67="Manuell","",IF(2035&gt;$E67+$F67,IF($D67="Fix",$G67,$G67*(1+$H67)^($F67)),IF($D67="Fix",$G67,$G67*(1+$H67)^(2035-$E67))))))</f>
        <v/>
      </c>
      <c r="AA67" s="16">
        <f>IF($A67="","",IF(2036&lt;$E67,"",IF($D67="Manuell","",IF(2036&gt;$E67+$F67,IF($D67="Fix",$G67,$G67*(1+$H67)^($F67)),IF($D67="Fix",$G67,$G67*(1+$H67)^(2036-$E67))))))</f>
        <v/>
      </c>
      <c r="AB67" s="16">
        <f>IF($A67="","",IF(2037&lt;$E67,"",IF($D67="Manuell","",IF(2037&gt;$E67+$F67,IF($D67="Fix",$G67,$G67*(1+$H67)^($F67)),IF($D67="Fix",$G67,$G67*(1+$H67)^(2037-$E67))))))</f>
        <v/>
      </c>
      <c r="AC67" s="16">
        <f>IF($A67="","",IF(2038&lt;$E67,"",IF($D67="Manuell","",IF(2038&gt;$E67+$F67,IF($D67="Fix",$G67,$G67*(1+$H67)^($F67)),IF($D67="Fix",$G67,$G67*(1+$H67)^(2038-$E67))))))</f>
        <v/>
      </c>
      <c r="AD67" s="16">
        <f>IF($A67="","",IF(2039&lt;$E67,"",IF($D67="Manuell","",IF(2039&gt;$E67+$F67,IF($D67="Fix",$G67,$G67*(1+$H67)^($F67)),IF($D67="Fix",$G67,$G67*(1+$H67)^(2039-$E67))))))</f>
        <v/>
      </c>
      <c r="AE67" s="16">
        <f>IF($A67="","",IF(2040&lt;$E67,"",IF($D67="Manuell","",IF(2040&gt;$E67+$F67,IF($D67="Fix",$G67,$G67*(1+$H67)^($F67)),IF($D67="Fix",$G67,$G67*(1+$H67)^(2040-$E67))))))</f>
        <v/>
      </c>
      <c r="AF67" s="16">
        <f>IF($A67="","",IF(2041&lt;$E67,"",IF($D67="Manuell","",IF(2041&gt;$E67+$F67,IF($D67="Fix",$G67,$G67*(1+$H67)^($F67)),IF($D67="Fix",$G67,$G67*(1+$H67)^(2041-$E67))))))</f>
        <v/>
      </c>
      <c r="AG67" s="16">
        <f>IF($A67="","",IF(2042&lt;$E67,"",IF($D67="Manuell","",IF(2042&gt;$E67+$F67,IF($D67="Fix",$G67,$G67*(1+$H67)^($F67)),IF($D67="Fix",$G67,$G67*(1+$H67)^(2042-$E67))))))</f>
        <v/>
      </c>
      <c r="AH67" s="16">
        <f>IF($A67="","",IF(2043&lt;$E67,"",IF($D67="Manuell","",IF(2043&gt;$E67+$F67,IF($D67="Fix",$G67,$G67*(1+$H67)^($F67)),IF($D67="Fix",$G67,$G67*(1+$H67)^(2043-$E67))))))</f>
        <v/>
      </c>
      <c r="AI67" s="16">
        <f>IF($A67="","",IF(2044&lt;$E67,"",IF($D67="Manuell","",IF(2044&gt;$E67+$F67,IF($D67="Fix",$G67,$G67*(1+$H67)^($F67)),IF($D67="Fix",$G67,$G67*(1+$H67)^(2044-$E67))))))</f>
        <v/>
      </c>
      <c r="AJ67" s="16">
        <f>IF($A67="","",IF(2045&lt;$E67,"",IF($D67="Manuell","",IF(2045&gt;$E67+$F67,IF($D67="Fix",$G67,$G67*(1+$H67)^($F67)),IF($D67="Fix",$G67,$G67*(1+$H67)^(2045-$E67))))))</f>
        <v/>
      </c>
      <c r="AK67" s="16">
        <f>IF($A67="","",IF(2046&lt;$E67,"",IF($D67="Manuell","",IF(2046&gt;$E67+$F67,IF($D67="Fix",$G67,$G67*(1+$H67)^($F67)),IF($D67="Fix",$G67,$G67*(1+$H67)^(2046-$E67))))))</f>
        <v/>
      </c>
      <c r="AL67" s="16">
        <f>IF($A67="","",IF(2047&lt;$E67,"",IF($D67="Manuell","",IF(2047&gt;$E67+$F67,IF($D67="Fix",$G67,$G67*(1+$H67)^($F67)),IF($D67="Fix",$G67,$G67*(1+$H67)^(2047-$E67))))))</f>
        <v/>
      </c>
      <c r="AM67" s="16">
        <f>IF($A67="","",IF(2048&lt;$E67,"",IF($D67="Manuell","",IF(2048&gt;$E67+$F67,IF($D67="Fix",$G67,$G67*(1+$H67)^($F67)),IF($D67="Fix",$G67,$G67*(1+$H67)^(2048-$E67))))))</f>
        <v/>
      </c>
      <c r="AN67" s="16">
        <f>IF($A67="","",IF(2049&lt;$E67,"",IF($D67="Manuell","",IF(2049&gt;$E67+$F67,IF($D67="Fix",$G67,$G67*(1+$H67)^($F67)),IF($D67="Fix",$G67,$G67*(1+$H67)^(2049-$E67))))))</f>
        <v/>
      </c>
      <c r="AO67" s="16">
        <f>IF($A67="","",IF(2050&lt;$E67,"",IF($D67="Manuell","",IF(2050&gt;$E67+$F67,IF($D67="Fix",$G67,$G67*(1+$H67)^($F67)),IF($D67="Fix",$G67,$G67*(1+$H67)^(2050-$E67))))))</f>
        <v/>
      </c>
      <c r="AP67" s="16">
        <f>IF($A67="","",IF(2051&lt;$E67,"",IF($D67="Manuell","",IF(2051&gt;$E67+$F67,IF($D67="Fix",$G67,$G67*(1+$H67)^($F67)),IF($D67="Fix",$G67,$G67*(1+$H67)^(2051-$E67))))))</f>
        <v/>
      </c>
      <c r="AQ67" s="16">
        <f>IF($A67="","",IF(2052&lt;$E67,"",IF($D67="Manuell","",IF(2052&gt;$E67+$F67,IF($D67="Fix",$G67,$G67*(1+$H67)^($F67)),IF($D67="Fix",$G67,$G67*(1+$H67)^(2052-$E67))))))</f>
        <v/>
      </c>
      <c r="AR67" s="16">
        <f>IF($A67="","",IF(2053&lt;$E67,"",IF($D67="Manuell","",IF(2053&gt;$E67+$F67,IF($D67="Fix",$G67,$G67*(1+$H67)^($F67)),IF($D67="Fix",$G67,$G67*(1+$H67)^(2053-$E67))))))</f>
        <v/>
      </c>
      <c r="AS67" s="16">
        <f>IF($A67="","",IF(2054&lt;$E67,"",IF($D67="Manuell","",IF(2054&gt;$E67+$F67,IF($D67="Fix",$G67,$G67*(1+$H67)^($F67)),IF($D67="Fix",$G67,$G67*(1+$H67)^(2054-$E67))))))</f>
        <v/>
      </c>
      <c r="AT67" s="16">
        <f>IF($A67="","",IF(2055&lt;$E67,"",IF($D67="Manuell","",IF(2055&gt;$E67+$F67,IF($D67="Fix",$G67,$G67*(1+$H67)^($F67)),IF($D67="Fix",$G67,$G67*(1+$H67)^(2055-$E67))))))</f>
        <v/>
      </c>
    </row>
    <row r="68">
      <c r="A68" s="14" t="inlineStr"/>
      <c r="B68" s="14" t="inlineStr"/>
      <c r="C68" s="14" t="inlineStr"/>
      <c r="D68" s="14" t="inlineStr"/>
      <c r="E68" s="11" t="inlineStr"/>
      <c r="F68" s="11" t="inlineStr"/>
      <c r="G68" s="15" t="inlineStr"/>
      <c r="H68" s="15" t="inlineStr"/>
      <c r="I68" s="16">
        <f>IF($A68="","",IF(2018&lt;$E68,"",IF($D68="Manuell","",IF(2018&gt;$E68+$F68,IF($D68="Fix",$G68,$G68*(1+$H68)^($F68)),IF($D68="Fix",$G68,$G68*(1+$H68)^(2018-$E68))))))</f>
        <v/>
      </c>
      <c r="J68" s="16">
        <f>IF($A68="","",IF(2019&lt;$E68,"",IF($D68="Manuell","",IF(2019&gt;$E68+$F68,IF($D68="Fix",$G68,$G68*(1+$H68)^($F68)),IF($D68="Fix",$G68,$G68*(1+$H68)^(2019-$E68))))))</f>
        <v/>
      </c>
      <c r="K68" s="16">
        <f>IF($A68="","",IF(2020&lt;$E68,"",IF($D68="Manuell","",IF(2020&gt;$E68+$F68,IF($D68="Fix",$G68,$G68*(1+$H68)^($F68)),IF($D68="Fix",$G68,$G68*(1+$H68)^(2020-$E68))))))</f>
        <v/>
      </c>
      <c r="L68" s="16">
        <f>IF($A68="","",IF(2021&lt;$E68,"",IF($D68="Manuell","",IF(2021&gt;$E68+$F68,IF($D68="Fix",$G68,$G68*(1+$H68)^($F68)),IF($D68="Fix",$G68,$G68*(1+$H68)^(2021-$E68))))))</f>
        <v/>
      </c>
      <c r="M68" s="16">
        <f>IF($A68="","",IF(2022&lt;$E68,"",IF($D68="Manuell","",IF(2022&gt;$E68+$F68,IF($D68="Fix",$G68,$G68*(1+$H68)^($F68)),IF($D68="Fix",$G68,$G68*(1+$H68)^(2022-$E68))))))</f>
        <v/>
      </c>
      <c r="N68" s="16">
        <f>IF($A68="","",IF(2023&lt;$E68,"",IF($D68="Manuell","",IF(2023&gt;$E68+$F68,IF($D68="Fix",$G68,$G68*(1+$H68)^($F68)),IF($D68="Fix",$G68,$G68*(1+$H68)^(2023-$E68))))))</f>
        <v/>
      </c>
      <c r="O68" s="16">
        <f>IF($A68="","",IF(2024&lt;$E68,"",IF($D68="Manuell","",IF(2024&gt;$E68+$F68,IF($D68="Fix",$G68,$G68*(1+$H68)^($F68)),IF($D68="Fix",$G68,$G68*(1+$H68)^(2024-$E68))))))</f>
        <v/>
      </c>
      <c r="P68" s="16">
        <f>IF($A68="","",IF(2025&lt;$E68,"",IF($D68="Manuell","",IF(2025&gt;$E68+$F68,IF($D68="Fix",$G68,$G68*(1+$H68)^($F68)),IF($D68="Fix",$G68,$G68*(1+$H68)^(2025-$E68))))))</f>
        <v/>
      </c>
      <c r="Q68" s="16">
        <f>IF($A68="","",IF(2026&lt;$E68,"",IF($D68="Manuell","",IF(2026&gt;$E68+$F68,IF($D68="Fix",$G68,$G68*(1+$H68)^($F68)),IF($D68="Fix",$G68,$G68*(1+$H68)^(2026-$E68))))))</f>
        <v/>
      </c>
      <c r="R68" s="16">
        <f>IF($A68="","",IF(2027&lt;$E68,"",IF($D68="Manuell","",IF(2027&gt;$E68+$F68,IF($D68="Fix",$G68,$G68*(1+$H68)^($F68)),IF($D68="Fix",$G68,$G68*(1+$H68)^(2027-$E68))))))</f>
        <v/>
      </c>
      <c r="S68" s="16">
        <f>IF($A68="","",IF(2028&lt;$E68,"",IF($D68="Manuell","",IF(2028&gt;$E68+$F68,IF($D68="Fix",$G68,$G68*(1+$H68)^($F68)),IF($D68="Fix",$G68,$G68*(1+$H68)^(2028-$E68))))))</f>
        <v/>
      </c>
      <c r="T68" s="16">
        <f>IF($A68="","",IF(2029&lt;$E68,"",IF($D68="Manuell","",IF(2029&gt;$E68+$F68,IF($D68="Fix",$G68,$G68*(1+$H68)^($F68)),IF($D68="Fix",$G68,$G68*(1+$H68)^(2029-$E68))))))</f>
        <v/>
      </c>
      <c r="U68" s="16">
        <f>IF($A68="","",IF(2030&lt;$E68,"",IF($D68="Manuell","",IF(2030&gt;$E68+$F68,IF($D68="Fix",$G68,$G68*(1+$H68)^($F68)),IF($D68="Fix",$G68,$G68*(1+$H68)^(2030-$E68))))))</f>
        <v/>
      </c>
      <c r="V68" s="16">
        <f>IF($A68="","",IF(2031&lt;$E68,"",IF($D68="Manuell","",IF(2031&gt;$E68+$F68,IF($D68="Fix",$G68,$G68*(1+$H68)^($F68)),IF($D68="Fix",$G68,$G68*(1+$H68)^(2031-$E68))))))</f>
        <v/>
      </c>
      <c r="W68" s="16">
        <f>IF($A68="","",IF(2032&lt;$E68,"",IF($D68="Manuell","",IF(2032&gt;$E68+$F68,IF($D68="Fix",$G68,$G68*(1+$H68)^($F68)),IF($D68="Fix",$G68,$G68*(1+$H68)^(2032-$E68))))))</f>
        <v/>
      </c>
      <c r="X68" s="16">
        <f>IF($A68="","",IF(2033&lt;$E68,"",IF($D68="Manuell","",IF(2033&gt;$E68+$F68,IF($D68="Fix",$G68,$G68*(1+$H68)^($F68)),IF($D68="Fix",$G68,$G68*(1+$H68)^(2033-$E68))))))</f>
        <v/>
      </c>
      <c r="Y68" s="16">
        <f>IF($A68="","",IF(2034&lt;$E68,"",IF($D68="Manuell","",IF(2034&gt;$E68+$F68,IF($D68="Fix",$G68,$G68*(1+$H68)^($F68)),IF($D68="Fix",$G68,$G68*(1+$H68)^(2034-$E68))))))</f>
        <v/>
      </c>
      <c r="Z68" s="16">
        <f>IF($A68="","",IF(2035&lt;$E68,"",IF($D68="Manuell","",IF(2035&gt;$E68+$F68,IF($D68="Fix",$G68,$G68*(1+$H68)^($F68)),IF($D68="Fix",$G68,$G68*(1+$H68)^(2035-$E68))))))</f>
        <v/>
      </c>
      <c r="AA68" s="16">
        <f>IF($A68="","",IF(2036&lt;$E68,"",IF($D68="Manuell","",IF(2036&gt;$E68+$F68,IF($D68="Fix",$G68,$G68*(1+$H68)^($F68)),IF($D68="Fix",$G68,$G68*(1+$H68)^(2036-$E68))))))</f>
        <v/>
      </c>
      <c r="AB68" s="16">
        <f>IF($A68="","",IF(2037&lt;$E68,"",IF($D68="Manuell","",IF(2037&gt;$E68+$F68,IF($D68="Fix",$G68,$G68*(1+$H68)^($F68)),IF($D68="Fix",$G68,$G68*(1+$H68)^(2037-$E68))))))</f>
        <v/>
      </c>
      <c r="AC68" s="16">
        <f>IF($A68="","",IF(2038&lt;$E68,"",IF($D68="Manuell","",IF(2038&gt;$E68+$F68,IF($D68="Fix",$G68,$G68*(1+$H68)^($F68)),IF($D68="Fix",$G68,$G68*(1+$H68)^(2038-$E68))))))</f>
        <v/>
      </c>
      <c r="AD68" s="16">
        <f>IF($A68="","",IF(2039&lt;$E68,"",IF($D68="Manuell","",IF(2039&gt;$E68+$F68,IF($D68="Fix",$G68,$G68*(1+$H68)^($F68)),IF($D68="Fix",$G68,$G68*(1+$H68)^(2039-$E68))))))</f>
        <v/>
      </c>
      <c r="AE68" s="16">
        <f>IF($A68="","",IF(2040&lt;$E68,"",IF($D68="Manuell","",IF(2040&gt;$E68+$F68,IF($D68="Fix",$G68,$G68*(1+$H68)^($F68)),IF($D68="Fix",$G68,$G68*(1+$H68)^(2040-$E68))))))</f>
        <v/>
      </c>
      <c r="AF68" s="16">
        <f>IF($A68="","",IF(2041&lt;$E68,"",IF($D68="Manuell","",IF(2041&gt;$E68+$F68,IF($D68="Fix",$G68,$G68*(1+$H68)^($F68)),IF($D68="Fix",$G68,$G68*(1+$H68)^(2041-$E68))))))</f>
        <v/>
      </c>
      <c r="AG68" s="16">
        <f>IF($A68="","",IF(2042&lt;$E68,"",IF($D68="Manuell","",IF(2042&gt;$E68+$F68,IF($D68="Fix",$G68,$G68*(1+$H68)^($F68)),IF($D68="Fix",$G68,$G68*(1+$H68)^(2042-$E68))))))</f>
        <v/>
      </c>
      <c r="AH68" s="16">
        <f>IF($A68="","",IF(2043&lt;$E68,"",IF($D68="Manuell","",IF(2043&gt;$E68+$F68,IF($D68="Fix",$G68,$G68*(1+$H68)^($F68)),IF($D68="Fix",$G68,$G68*(1+$H68)^(2043-$E68))))))</f>
        <v/>
      </c>
      <c r="AI68" s="16">
        <f>IF($A68="","",IF(2044&lt;$E68,"",IF($D68="Manuell","",IF(2044&gt;$E68+$F68,IF($D68="Fix",$G68,$G68*(1+$H68)^($F68)),IF($D68="Fix",$G68,$G68*(1+$H68)^(2044-$E68))))))</f>
        <v/>
      </c>
      <c r="AJ68" s="16">
        <f>IF($A68="","",IF(2045&lt;$E68,"",IF($D68="Manuell","",IF(2045&gt;$E68+$F68,IF($D68="Fix",$G68,$G68*(1+$H68)^($F68)),IF($D68="Fix",$G68,$G68*(1+$H68)^(2045-$E68))))))</f>
        <v/>
      </c>
      <c r="AK68" s="16">
        <f>IF($A68="","",IF(2046&lt;$E68,"",IF($D68="Manuell","",IF(2046&gt;$E68+$F68,IF($D68="Fix",$G68,$G68*(1+$H68)^($F68)),IF($D68="Fix",$G68,$G68*(1+$H68)^(2046-$E68))))))</f>
        <v/>
      </c>
      <c r="AL68" s="16">
        <f>IF($A68="","",IF(2047&lt;$E68,"",IF($D68="Manuell","",IF(2047&gt;$E68+$F68,IF($D68="Fix",$G68,$G68*(1+$H68)^($F68)),IF($D68="Fix",$G68,$G68*(1+$H68)^(2047-$E68))))))</f>
        <v/>
      </c>
      <c r="AM68" s="16">
        <f>IF($A68="","",IF(2048&lt;$E68,"",IF($D68="Manuell","",IF(2048&gt;$E68+$F68,IF($D68="Fix",$G68,$G68*(1+$H68)^($F68)),IF($D68="Fix",$G68,$G68*(1+$H68)^(2048-$E68))))))</f>
        <v/>
      </c>
      <c r="AN68" s="16">
        <f>IF($A68="","",IF(2049&lt;$E68,"",IF($D68="Manuell","",IF(2049&gt;$E68+$F68,IF($D68="Fix",$G68,$G68*(1+$H68)^($F68)),IF($D68="Fix",$G68,$G68*(1+$H68)^(2049-$E68))))))</f>
        <v/>
      </c>
      <c r="AO68" s="16">
        <f>IF($A68="","",IF(2050&lt;$E68,"",IF($D68="Manuell","",IF(2050&gt;$E68+$F68,IF($D68="Fix",$G68,$G68*(1+$H68)^($F68)),IF($D68="Fix",$G68,$G68*(1+$H68)^(2050-$E68))))))</f>
        <v/>
      </c>
      <c r="AP68" s="16">
        <f>IF($A68="","",IF(2051&lt;$E68,"",IF($D68="Manuell","",IF(2051&gt;$E68+$F68,IF($D68="Fix",$G68,$G68*(1+$H68)^($F68)),IF($D68="Fix",$G68,$G68*(1+$H68)^(2051-$E68))))))</f>
        <v/>
      </c>
      <c r="AQ68" s="16">
        <f>IF($A68="","",IF(2052&lt;$E68,"",IF($D68="Manuell","",IF(2052&gt;$E68+$F68,IF($D68="Fix",$G68,$G68*(1+$H68)^($F68)),IF($D68="Fix",$G68,$G68*(1+$H68)^(2052-$E68))))))</f>
        <v/>
      </c>
      <c r="AR68" s="16">
        <f>IF($A68="","",IF(2053&lt;$E68,"",IF($D68="Manuell","",IF(2053&gt;$E68+$F68,IF($D68="Fix",$G68,$G68*(1+$H68)^($F68)),IF($D68="Fix",$G68,$G68*(1+$H68)^(2053-$E68))))))</f>
        <v/>
      </c>
      <c r="AS68" s="16">
        <f>IF($A68="","",IF(2054&lt;$E68,"",IF($D68="Manuell","",IF(2054&gt;$E68+$F68,IF($D68="Fix",$G68,$G68*(1+$H68)^($F68)),IF($D68="Fix",$G68,$G68*(1+$H68)^(2054-$E68))))))</f>
        <v/>
      </c>
      <c r="AT68" s="16">
        <f>IF($A68="","",IF(2055&lt;$E68,"",IF($D68="Manuell","",IF(2055&gt;$E68+$F68,IF($D68="Fix",$G68,$G68*(1+$H68)^($F68)),IF($D68="Fix",$G68,$G68*(1+$H68)^(2055-$E68))))))</f>
        <v/>
      </c>
    </row>
    <row r="69">
      <c r="A69" s="14" t="inlineStr"/>
      <c r="B69" s="14" t="inlineStr"/>
      <c r="C69" s="14" t="inlineStr"/>
      <c r="D69" s="14" t="inlineStr"/>
      <c r="E69" s="11" t="inlineStr"/>
      <c r="F69" s="11" t="inlineStr"/>
      <c r="G69" s="15" t="inlineStr"/>
      <c r="H69" s="15" t="inlineStr"/>
      <c r="I69" s="16">
        <f>IF($A69="","",IF(2018&lt;$E69,"",IF($D69="Manuell","",IF(2018&gt;$E69+$F69,IF($D69="Fix",$G69,$G69*(1+$H69)^($F69)),IF($D69="Fix",$G69,$G69*(1+$H69)^(2018-$E69))))))</f>
        <v/>
      </c>
      <c r="J69" s="16">
        <f>IF($A69="","",IF(2019&lt;$E69,"",IF($D69="Manuell","",IF(2019&gt;$E69+$F69,IF($D69="Fix",$G69,$G69*(1+$H69)^($F69)),IF($D69="Fix",$G69,$G69*(1+$H69)^(2019-$E69))))))</f>
        <v/>
      </c>
      <c r="K69" s="16">
        <f>IF($A69="","",IF(2020&lt;$E69,"",IF($D69="Manuell","",IF(2020&gt;$E69+$F69,IF($D69="Fix",$G69,$G69*(1+$H69)^($F69)),IF($D69="Fix",$G69,$G69*(1+$H69)^(2020-$E69))))))</f>
        <v/>
      </c>
      <c r="L69" s="16">
        <f>IF($A69="","",IF(2021&lt;$E69,"",IF($D69="Manuell","",IF(2021&gt;$E69+$F69,IF($D69="Fix",$G69,$G69*(1+$H69)^($F69)),IF($D69="Fix",$G69,$G69*(1+$H69)^(2021-$E69))))))</f>
        <v/>
      </c>
      <c r="M69" s="16">
        <f>IF($A69="","",IF(2022&lt;$E69,"",IF($D69="Manuell","",IF(2022&gt;$E69+$F69,IF($D69="Fix",$G69,$G69*(1+$H69)^($F69)),IF($D69="Fix",$G69,$G69*(1+$H69)^(2022-$E69))))))</f>
        <v/>
      </c>
      <c r="N69" s="16">
        <f>IF($A69="","",IF(2023&lt;$E69,"",IF($D69="Manuell","",IF(2023&gt;$E69+$F69,IF($D69="Fix",$G69,$G69*(1+$H69)^($F69)),IF($D69="Fix",$G69,$G69*(1+$H69)^(2023-$E69))))))</f>
        <v/>
      </c>
      <c r="O69" s="16">
        <f>IF($A69="","",IF(2024&lt;$E69,"",IF($D69="Manuell","",IF(2024&gt;$E69+$F69,IF($D69="Fix",$G69,$G69*(1+$H69)^($F69)),IF($D69="Fix",$G69,$G69*(1+$H69)^(2024-$E69))))))</f>
        <v/>
      </c>
      <c r="P69" s="16">
        <f>IF($A69="","",IF(2025&lt;$E69,"",IF($D69="Manuell","",IF(2025&gt;$E69+$F69,IF($D69="Fix",$G69,$G69*(1+$H69)^($F69)),IF($D69="Fix",$G69,$G69*(1+$H69)^(2025-$E69))))))</f>
        <v/>
      </c>
      <c r="Q69" s="16">
        <f>IF($A69="","",IF(2026&lt;$E69,"",IF($D69="Manuell","",IF(2026&gt;$E69+$F69,IF($D69="Fix",$G69,$G69*(1+$H69)^($F69)),IF($D69="Fix",$G69,$G69*(1+$H69)^(2026-$E69))))))</f>
        <v/>
      </c>
      <c r="R69" s="16">
        <f>IF($A69="","",IF(2027&lt;$E69,"",IF($D69="Manuell","",IF(2027&gt;$E69+$F69,IF($D69="Fix",$G69,$G69*(1+$H69)^($F69)),IF($D69="Fix",$G69,$G69*(1+$H69)^(2027-$E69))))))</f>
        <v/>
      </c>
      <c r="S69" s="16">
        <f>IF($A69="","",IF(2028&lt;$E69,"",IF($D69="Manuell","",IF(2028&gt;$E69+$F69,IF($D69="Fix",$G69,$G69*(1+$H69)^($F69)),IF($D69="Fix",$G69,$G69*(1+$H69)^(2028-$E69))))))</f>
        <v/>
      </c>
      <c r="T69" s="16">
        <f>IF($A69="","",IF(2029&lt;$E69,"",IF($D69="Manuell","",IF(2029&gt;$E69+$F69,IF($D69="Fix",$G69,$G69*(1+$H69)^($F69)),IF($D69="Fix",$G69,$G69*(1+$H69)^(2029-$E69))))))</f>
        <v/>
      </c>
      <c r="U69" s="16">
        <f>IF($A69="","",IF(2030&lt;$E69,"",IF($D69="Manuell","",IF(2030&gt;$E69+$F69,IF($D69="Fix",$G69,$G69*(1+$H69)^($F69)),IF($D69="Fix",$G69,$G69*(1+$H69)^(2030-$E69))))))</f>
        <v/>
      </c>
      <c r="V69" s="16">
        <f>IF($A69="","",IF(2031&lt;$E69,"",IF($D69="Manuell","",IF(2031&gt;$E69+$F69,IF($D69="Fix",$G69,$G69*(1+$H69)^($F69)),IF($D69="Fix",$G69,$G69*(1+$H69)^(2031-$E69))))))</f>
        <v/>
      </c>
      <c r="W69" s="16">
        <f>IF($A69="","",IF(2032&lt;$E69,"",IF($D69="Manuell","",IF(2032&gt;$E69+$F69,IF($D69="Fix",$G69,$G69*(1+$H69)^($F69)),IF($D69="Fix",$G69,$G69*(1+$H69)^(2032-$E69))))))</f>
        <v/>
      </c>
      <c r="X69" s="16">
        <f>IF($A69="","",IF(2033&lt;$E69,"",IF($D69="Manuell","",IF(2033&gt;$E69+$F69,IF($D69="Fix",$G69,$G69*(1+$H69)^($F69)),IF($D69="Fix",$G69,$G69*(1+$H69)^(2033-$E69))))))</f>
        <v/>
      </c>
      <c r="Y69" s="16">
        <f>IF($A69="","",IF(2034&lt;$E69,"",IF($D69="Manuell","",IF(2034&gt;$E69+$F69,IF($D69="Fix",$G69,$G69*(1+$H69)^($F69)),IF($D69="Fix",$G69,$G69*(1+$H69)^(2034-$E69))))))</f>
        <v/>
      </c>
      <c r="Z69" s="16">
        <f>IF($A69="","",IF(2035&lt;$E69,"",IF($D69="Manuell","",IF(2035&gt;$E69+$F69,IF($D69="Fix",$G69,$G69*(1+$H69)^($F69)),IF($D69="Fix",$G69,$G69*(1+$H69)^(2035-$E69))))))</f>
        <v/>
      </c>
      <c r="AA69" s="16">
        <f>IF($A69="","",IF(2036&lt;$E69,"",IF($D69="Manuell","",IF(2036&gt;$E69+$F69,IF($D69="Fix",$G69,$G69*(1+$H69)^($F69)),IF($D69="Fix",$G69,$G69*(1+$H69)^(2036-$E69))))))</f>
        <v/>
      </c>
      <c r="AB69" s="16">
        <f>IF($A69="","",IF(2037&lt;$E69,"",IF($D69="Manuell","",IF(2037&gt;$E69+$F69,IF($D69="Fix",$G69,$G69*(1+$H69)^($F69)),IF($D69="Fix",$G69,$G69*(1+$H69)^(2037-$E69))))))</f>
        <v/>
      </c>
      <c r="AC69" s="16">
        <f>IF($A69="","",IF(2038&lt;$E69,"",IF($D69="Manuell","",IF(2038&gt;$E69+$F69,IF($D69="Fix",$G69,$G69*(1+$H69)^($F69)),IF($D69="Fix",$G69,$G69*(1+$H69)^(2038-$E69))))))</f>
        <v/>
      </c>
      <c r="AD69" s="16">
        <f>IF($A69="","",IF(2039&lt;$E69,"",IF($D69="Manuell","",IF(2039&gt;$E69+$F69,IF($D69="Fix",$G69,$G69*(1+$H69)^($F69)),IF($D69="Fix",$G69,$G69*(1+$H69)^(2039-$E69))))))</f>
        <v/>
      </c>
      <c r="AE69" s="16">
        <f>IF($A69="","",IF(2040&lt;$E69,"",IF($D69="Manuell","",IF(2040&gt;$E69+$F69,IF($D69="Fix",$G69,$G69*(1+$H69)^($F69)),IF($D69="Fix",$G69,$G69*(1+$H69)^(2040-$E69))))))</f>
        <v/>
      </c>
      <c r="AF69" s="16">
        <f>IF($A69="","",IF(2041&lt;$E69,"",IF($D69="Manuell","",IF(2041&gt;$E69+$F69,IF($D69="Fix",$G69,$G69*(1+$H69)^($F69)),IF($D69="Fix",$G69,$G69*(1+$H69)^(2041-$E69))))))</f>
        <v/>
      </c>
      <c r="AG69" s="16">
        <f>IF($A69="","",IF(2042&lt;$E69,"",IF($D69="Manuell","",IF(2042&gt;$E69+$F69,IF($D69="Fix",$G69,$G69*(1+$H69)^($F69)),IF($D69="Fix",$G69,$G69*(1+$H69)^(2042-$E69))))))</f>
        <v/>
      </c>
      <c r="AH69" s="16">
        <f>IF($A69="","",IF(2043&lt;$E69,"",IF($D69="Manuell","",IF(2043&gt;$E69+$F69,IF($D69="Fix",$G69,$G69*(1+$H69)^($F69)),IF($D69="Fix",$G69,$G69*(1+$H69)^(2043-$E69))))))</f>
        <v/>
      </c>
      <c r="AI69" s="16">
        <f>IF($A69="","",IF(2044&lt;$E69,"",IF($D69="Manuell","",IF(2044&gt;$E69+$F69,IF($D69="Fix",$G69,$G69*(1+$H69)^($F69)),IF($D69="Fix",$G69,$G69*(1+$H69)^(2044-$E69))))))</f>
        <v/>
      </c>
      <c r="AJ69" s="16">
        <f>IF($A69="","",IF(2045&lt;$E69,"",IF($D69="Manuell","",IF(2045&gt;$E69+$F69,IF($D69="Fix",$G69,$G69*(1+$H69)^($F69)),IF($D69="Fix",$G69,$G69*(1+$H69)^(2045-$E69))))))</f>
        <v/>
      </c>
      <c r="AK69" s="16">
        <f>IF($A69="","",IF(2046&lt;$E69,"",IF($D69="Manuell","",IF(2046&gt;$E69+$F69,IF($D69="Fix",$G69,$G69*(1+$H69)^($F69)),IF($D69="Fix",$G69,$G69*(1+$H69)^(2046-$E69))))))</f>
        <v/>
      </c>
      <c r="AL69" s="16">
        <f>IF($A69="","",IF(2047&lt;$E69,"",IF($D69="Manuell","",IF(2047&gt;$E69+$F69,IF($D69="Fix",$G69,$G69*(1+$H69)^($F69)),IF($D69="Fix",$G69,$G69*(1+$H69)^(2047-$E69))))))</f>
        <v/>
      </c>
      <c r="AM69" s="16">
        <f>IF($A69="","",IF(2048&lt;$E69,"",IF($D69="Manuell","",IF(2048&gt;$E69+$F69,IF($D69="Fix",$G69,$G69*(1+$H69)^($F69)),IF($D69="Fix",$G69,$G69*(1+$H69)^(2048-$E69))))))</f>
        <v/>
      </c>
      <c r="AN69" s="16">
        <f>IF($A69="","",IF(2049&lt;$E69,"",IF($D69="Manuell","",IF(2049&gt;$E69+$F69,IF($D69="Fix",$G69,$G69*(1+$H69)^($F69)),IF($D69="Fix",$G69,$G69*(1+$H69)^(2049-$E69))))))</f>
        <v/>
      </c>
      <c r="AO69" s="16">
        <f>IF($A69="","",IF(2050&lt;$E69,"",IF($D69="Manuell","",IF(2050&gt;$E69+$F69,IF($D69="Fix",$G69,$G69*(1+$H69)^($F69)),IF($D69="Fix",$G69,$G69*(1+$H69)^(2050-$E69))))))</f>
        <v/>
      </c>
      <c r="AP69" s="16">
        <f>IF($A69="","",IF(2051&lt;$E69,"",IF($D69="Manuell","",IF(2051&gt;$E69+$F69,IF($D69="Fix",$G69,$G69*(1+$H69)^($F69)),IF($D69="Fix",$G69,$G69*(1+$H69)^(2051-$E69))))))</f>
        <v/>
      </c>
      <c r="AQ69" s="16">
        <f>IF($A69="","",IF(2052&lt;$E69,"",IF($D69="Manuell","",IF(2052&gt;$E69+$F69,IF($D69="Fix",$G69,$G69*(1+$H69)^($F69)),IF($D69="Fix",$G69,$G69*(1+$H69)^(2052-$E69))))))</f>
        <v/>
      </c>
      <c r="AR69" s="16">
        <f>IF($A69="","",IF(2053&lt;$E69,"",IF($D69="Manuell","",IF(2053&gt;$E69+$F69,IF($D69="Fix",$G69,$G69*(1+$H69)^($F69)),IF($D69="Fix",$G69,$G69*(1+$H69)^(2053-$E69))))))</f>
        <v/>
      </c>
      <c r="AS69" s="16">
        <f>IF($A69="","",IF(2054&lt;$E69,"",IF($D69="Manuell","",IF(2054&gt;$E69+$F69,IF($D69="Fix",$G69,$G69*(1+$H69)^($F69)),IF($D69="Fix",$G69,$G69*(1+$H69)^(2054-$E69))))))</f>
        <v/>
      </c>
      <c r="AT69" s="16">
        <f>IF($A69="","",IF(2055&lt;$E69,"",IF($D69="Manuell","",IF(2055&gt;$E69+$F69,IF($D69="Fix",$G69,$G69*(1+$H69)^($F69)),IF($D69="Fix",$G69,$G69*(1+$H69)^(2055-$E69))))))</f>
        <v/>
      </c>
    </row>
    <row r="70">
      <c r="A70" s="14" t="inlineStr"/>
      <c r="B70" s="14" t="inlineStr"/>
      <c r="C70" s="14" t="inlineStr"/>
      <c r="D70" s="14" t="inlineStr"/>
      <c r="E70" s="11" t="inlineStr"/>
      <c r="F70" s="11" t="inlineStr"/>
      <c r="G70" s="15" t="inlineStr"/>
      <c r="H70" s="15" t="inlineStr"/>
      <c r="I70" s="16">
        <f>IF($A70="","",IF(2018&lt;$E70,"",IF($D70="Manuell","",IF(2018&gt;$E70+$F70,IF($D70="Fix",$G70,$G70*(1+$H70)^($F70)),IF($D70="Fix",$G70,$G70*(1+$H70)^(2018-$E70))))))</f>
        <v/>
      </c>
      <c r="J70" s="16">
        <f>IF($A70="","",IF(2019&lt;$E70,"",IF($D70="Manuell","",IF(2019&gt;$E70+$F70,IF($D70="Fix",$G70,$G70*(1+$H70)^($F70)),IF($D70="Fix",$G70,$G70*(1+$H70)^(2019-$E70))))))</f>
        <v/>
      </c>
      <c r="K70" s="16">
        <f>IF($A70="","",IF(2020&lt;$E70,"",IF($D70="Manuell","",IF(2020&gt;$E70+$F70,IF($D70="Fix",$G70,$G70*(1+$H70)^($F70)),IF($D70="Fix",$G70,$G70*(1+$H70)^(2020-$E70))))))</f>
        <v/>
      </c>
      <c r="L70" s="16">
        <f>IF($A70="","",IF(2021&lt;$E70,"",IF($D70="Manuell","",IF(2021&gt;$E70+$F70,IF($D70="Fix",$G70,$G70*(1+$H70)^($F70)),IF($D70="Fix",$G70,$G70*(1+$H70)^(2021-$E70))))))</f>
        <v/>
      </c>
      <c r="M70" s="16">
        <f>IF($A70="","",IF(2022&lt;$E70,"",IF($D70="Manuell","",IF(2022&gt;$E70+$F70,IF($D70="Fix",$G70,$G70*(1+$H70)^($F70)),IF($D70="Fix",$G70,$G70*(1+$H70)^(2022-$E70))))))</f>
        <v/>
      </c>
      <c r="N70" s="16">
        <f>IF($A70="","",IF(2023&lt;$E70,"",IF($D70="Manuell","",IF(2023&gt;$E70+$F70,IF($D70="Fix",$G70,$G70*(1+$H70)^($F70)),IF($D70="Fix",$G70,$G70*(1+$H70)^(2023-$E70))))))</f>
        <v/>
      </c>
      <c r="O70" s="16">
        <f>IF($A70="","",IF(2024&lt;$E70,"",IF($D70="Manuell","",IF(2024&gt;$E70+$F70,IF($D70="Fix",$G70,$G70*(1+$H70)^($F70)),IF($D70="Fix",$G70,$G70*(1+$H70)^(2024-$E70))))))</f>
        <v/>
      </c>
      <c r="P70" s="16">
        <f>IF($A70="","",IF(2025&lt;$E70,"",IF($D70="Manuell","",IF(2025&gt;$E70+$F70,IF($D70="Fix",$G70,$G70*(1+$H70)^($F70)),IF($D70="Fix",$G70,$G70*(1+$H70)^(2025-$E70))))))</f>
        <v/>
      </c>
      <c r="Q70" s="16">
        <f>IF($A70="","",IF(2026&lt;$E70,"",IF($D70="Manuell","",IF(2026&gt;$E70+$F70,IF($D70="Fix",$G70,$G70*(1+$H70)^($F70)),IF($D70="Fix",$G70,$G70*(1+$H70)^(2026-$E70))))))</f>
        <v/>
      </c>
      <c r="R70" s="16">
        <f>IF($A70="","",IF(2027&lt;$E70,"",IF($D70="Manuell","",IF(2027&gt;$E70+$F70,IF($D70="Fix",$G70,$G70*(1+$H70)^($F70)),IF($D70="Fix",$G70,$G70*(1+$H70)^(2027-$E70))))))</f>
        <v/>
      </c>
      <c r="S70" s="16">
        <f>IF($A70="","",IF(2028&lt;$E70,"",IF($D70="Manuell","",IF(2028&gt;$E70+$F70,IF($D70="Fix",$G70,$G70*(1+$H70)^($F70)),IF($D70="Fix",$G70,$G70*(1+$H70)^(2028-$E70))))))</f>
        <v/>
      </c>
      <c r="T70" s="16">
        <f>IF($A70="","",IF(2029&lt;$E70,"",IF($D70="Manuell","",IF(2029&gt;$E70+$F70,IF($D70="Fix",$G70,$G70*(1+$H70)^($F70)),IF($D70="Fix",$G70,$G70*(1+$H70)^(2029-$E70))))))</f>
        <v/>
      </c>
      <c r="U70" s="16">
        <f>IF($A70="","",IF(2030&lt;$E70,"",IF($D70="Manuell","",IF(2030&gt;$E70+$F70,IF($D70="Fix",$G70,$G70*(1+$H70)^($F70)),IF($D70="Fix",$G70,$G70*(1+$H70)^(2030-$E70))))))</f>
        <v/>
      </c>
      <c r="V70" s="16">
        <f>IF($A70="","",IF(2031&lt;$E70,"",IF($D70="Manuell","",IF(2031&gt;$E70+$F70,IF($D70="Fix",$G70,$G70*(1+$H70)^($F70)),IF($D70="Fix",$G70,$G70*(1+$H70)^(2031-$E70))))))</f>
        <v/>
      </c>
      <c r="W70" s="16">
        <f>IF($A70="","",IF(2032&lt;$E70,"",IF($D70="Manuell","",IF(2032&gt;$E70+$F70,IF($D70="Fix",$G70,$G70*(1+$H70)^($F70)),IF($D70="Fix",$G70,$G70*(1+$H70)^(2032-$E70))))))</f>
        <v/>
      </c>
      <c r="X70" s="16">
        <f>IF($A70="","",IF(2033&lt;$E70,"",IF($D70="Manuell","",IF(2033&gt;$E70+$F70,IF($D70="Fix",$G70,$G70*(1+$H70)^($F70)),IF($D70="Fix",$G70,$G70*(1+$H70)^(2033-$E70))))))</f>
        <v/>
      </c>
      <c r="Y70" s="16">
        <f>IF($A70="","",IF(2034&lt;$E70,"",IF($D70="Manuell","",IF(2034&gt;$E70+$F70,IF($D70="Fix",$G70,$G70*(1+$H70)^($F70)),IF($D70="Fix",$G70,$G70*(1+$H70)^(2034-$E70))))))</f>
        <v/>
      </c>
      <c r="Z70" s="16">
        <f>IF($A70="","",IF(2035&lt;$E70,"",IF($D70="Manuell","",IF(2035&gt;$E70+$F70,IF($D70="Fix",$G70,$G70*(1+$H70)^($F70)),IF($D70="Fix",$G70,$G70*(1+$H70)^(2035-$E70))))))</f>
        <v/>
      </c>
      <c r="AA70" s="16">
        <f>IF($A70="","",IF(2036&lt;$E70,"",IF($D70="Manuell","",IF(2036&gt;$E70+$F70,IF($D70="Fix",$G70,$G70*(1+$H70)^($F70)),IF($D70="Fix",$G70,$G70*(1+$H70)^(2036-$E70))))))</f>
        <v/>
      </c>
      <c r="AB70" s="16">
        <f>IF($A70="","",IF(2037&lt;$E70,"",IF($D70="Manuell","",IF(2037&gt;$E70+$F70,IF($D70="Fix",$G70,$G70*(1+$H70)^($F70)),IF($D70="Fix",$G70,$G70*(1+$H70)^(2037-$E70))))))</f>
        <v/>
      </c>
      <c r="AC70" s="16">
        <f>IF($A70="","",IF(2038&lt;$E70,"",IF($D70="Manuell","",IF(2038&gt;$E70+$F70,IF($D70="Fix",$G70,$G70*(1+$H70)^($F70)),IF($D70="Fix",$G70,$G70*(1+$H70)^(2038-$E70))))))</f>
        <v/>
      </c>
      <c r="AD70" s="16">
        <f>IF($A70="","",IF(2039&lt;$E70,"",IF($D70="Manuell","",IF(2039&gt;$E70+$F70,IF($D70="Fix",$G70,$G70*(1+$H70)^($F70)),IF($D70="Fix",$G70,$G70*(1+$H70)^(2039-$E70))))))</f>
        <v/>
      </c>
      <c r="AE70" s="16">
        <f>IF($A70="","",IF(2040&lt;$E70,"",IF($D70="Manuell","",IF(2040&gt;$E70+$F70,IF($D70="Fix",$G70,$G70*(1+$H70)^($F70)),IF($D70="Fix",$G70,$G70*(1+$H70)^(2040-$E70))))))</f>
        <v/>
      </c>
      <c r="AF70" s="16">
        <f>IF($A70="","",IF(2041&lt;$E70,"",IF($D70="Manuell","",IF(2041&gt;$E70+$F70,IF($D70="Fix",$G70,$G70*(1+$H70)^($F70)),IF($D70="Fix",$G70,$G70*(1+$H70)^(2041-$E70))))))</f>
        <v/>
      </c>
      <c r="AG70" s="16">
        <f>IF($A70="","",IF(2042&lt;$E70,"",IF($D70="Manuell","",IF(2042&gt;$E70+$F70,IF($D70="Fix",$G70,$G70*(1+$H70)^($F70)),IF($D70="Fix",$G70,$G70*(1+$H70)^(2042-$E70))))))</f>
        <v/>
      </c>
      <c r="AH70" s="16">
        <f>IF($A70="","",IF(2043&lt;$E70,"",IF($D70="Manuell","",IF(2043&gt;$E70+$F70,IF($D70="Fix",$G70,$G70*(1+$H70)^($F70)),IF($D70="Fix",$G70,$G70*(1+$H70)^(2043-$E70))))))</f>
        <v/>
      </c>
      <c r="AI70" s="16">
        <f>IF($A70="","",IF(2044&lt;$E70,"",IF($D70="Manuell","",IF(2044&gt;$E70+$F70,IF($D70="Fix",$G70,$G70*(1+$H70)^($F70)),IF($D70="Fix",$G70,$G70*(1+$H70)^(2044-$E70))))))</f>
        <v/>
      </c>
      <c r="AJ70" s="16">
        <f>IF($A70="","",IF(2045&lt;$E70,"",IF($D70="Manuell","",IF(2045&gt;$E70+$F70,IF($D70="Fix",$G70,$G70*(1+$H70)^($F70)),IF($D70="Fix",$G70,$G70*(1+$H70)^(2045-$E70))))))</f>
        <v/>
      </c>
      <c r="AK70" s="16">
        <f>IF($A70="","",IF(2046&lt;$E70,"",IF($D70="Manuell","",IF(2046&gt;$E70+$F70,IF($D70="Fix",$G70,$G70*(1+$H70)^($F70)),IF($D70="Fix",$G70,$G70*(1+$H70)^(2046-$E70))))))</f>
        <v/>
      </c>
      <c r="AL70" s="16">
        <f>IF($A70="","",IF(2047&lt;$E70,"",IF($D70="Manuell","",IF(2047&gt;$E70+$F70,IF($D70="Fix",$G70,$G70*(1+$H70)^($F70)),IF($D70="Fix",$G70,$G70*(1+$H70)^(2047-$E70))))))</f>
        <v/>
      </c>
      <c r="AM70" s="16">
        <f>IF($A70="","",IF(2048&lt;$E70,"",IF($D70="Manuell","",IF(2048&gt;$E70+$F70,IF($D70="Fix",$G70,$G70*(1+$H70)^($F70)),IF($D70="Fix",$G70,$G70*(1+$H70)^(2048-$E70))))))</f>
        <v/>
      </c>
      <c r="AN70" s="16">
        <f>IF($A70="","",IF(2049&lt;$E70,"",IF($D70="Manuell","",IF(2049&gt;$E70+$F70,IF($D70="Fix",$G70,$G70*(1+$H70)^($F70)),IF($D70="Fix",$G70,$G70*(1+$H70)^(2049-$E70))))))</f>
        <v/>
      </c>
      <c r="AO70" s="16">
        <f>IF($A70="","",IF(2050&lt;$E70,"",IF($D70="Manuell","",IF(2050&gt;$E70+$F70,IF($D70="Fix",$G70,$G70*(1+$H70)^($F70)),IF($D70="Fix",$G70,$G70*(1+$H70)^(2050-$E70))))))</f>
        <v/>
      </c>
      <c r="AP70" s="16">
        <f>IF($A70="","",IF(2051&lt;$E70,"",IF($D70="Manuell","",IF(2051&gt;$E70+$F70,IF($D70="Fix",$G70,$G70*(1+$H70)^($F70)),IF($D70="Fix",$G70,$G70*(1+$H70)^(2051-$E70))))))</f>
        <v/>
      </c>
      <c r="AQ70" s="16">
        <f>IF($A70="","",IF(2052&lt;$E70,"",IF($D70="Manuell","",IF(2052&gt;$E70+$F70,IF($D70="Fix",$G70,$G70*(1+$H70)^($F70)),IF($D70="Fix",$G70,$G70*(1+$H70)^(2052-$E70))))))</f>
        <v/>
      </c>
      <c r="AR70" s="16">
        <f>IF($A70="","",IF(2053&lt;$E70,"",IF($D70="Manuell","",IF(2053&gt;$E70+$F70,IF($D70="Fix",$G70,$G70*(1+$H70)^($F70)),IF($D70="Fix",$G70,$G70*(1+$H70)^(2053-$E70))))))</f>
        <v/>
      </c>
      <c r="AS70" s="16">
        <f>IF($A70="","",IF(2054&lt;$E70,"",IF($D70="Manuell","",IF(2054&gt;$E70+$F70,IF($D70="Fix",$G70,$G70*(1+$H70)^($F70)),IF($D70="Fix",$G70,$G70*(1+$H70)^(2054-$E70))))))</f>
        <v/>
      </c>
      <c r="AT70" s="16">
        <f>IF($A70="","",IF(2055&lt;$E70,"",IF($D70="Manuell","",IF(2055&gt;$E70+$F70,IF($D70="Fix",$G70,$G70*(1+$H70)^($F70)),IF($D70="Fix",$G70,$G70*(1+$H70)^(2055-$E70))))))</f>
        <v/>
      </c>
    </row>
    <row r="71">
      <c r="A71" s="14" t="inlineStr"/>
      <c r="B71" s="14" t="inlineStr"/>
      <c r="C71" s="14" t="inlineStr"/>
      <c r="D71" s="14" t="inlineStr"/>
      <c r="E71" s="11" t="inlineStr"/>
      <c r="F71" s="11" t="inlineStr"/>
      <c r="G71" s="15" t="inlineStr"/>
      <c r="H71" s="15" t="inlineStr"/>
      <c r="I71" s="16">
        <f>IF($A71="","",IF(2018&lt;$E71,"",IF($D71="Manuell","",IF(2018&gt;$E71+$F71,IF($D71="Fix",$G71,$G71*(1+$H71)^($F71)),IF($D71="Fix",$G71,$G71*(1+$H71)^(2018-$E71))))))</f>
        <v/>
      </c>
      <c r="J71" s="16">
        <f>IF($A71="","",IF(2019&lt;$E71,"",IF($D71="Manuell","",IF(2019&gt;$E71+$F71,IF($D71="Fix",$G71,$G71*(1+$H71)^($F71)),IF($D71="Fix",$G71,$G71*(1+$H71)^(2019-$E71))))))</f>
        <v/>
      </c>
      <c r="K71" s="16">
        <f>IF($A71="","",IF(2020&lt;$E71,"",IF($D71="Manuell","",IF(2020&gt;$E71+$F71,IF($D71="Fix",$G71,$G71*(1+$H71)^($F71)),IF($D71="Fix",$G71,$G71*(1+$H71)^(2020-$E71))))))</f>
        <v/>
      </c>
      <c r="L71" s="16">
        <f>IF($A71="","",IF(2021&lt;$E71,"",IF($D71="Manuell","",IF(2021&gt;$E71+$F71,IF($D71="Fix",$G71,$G71*(1+$H71)^($F71)),IF($D71="Fix",$G71,$G71*(1+$H71)^(2021-$E71))))))</f>
        <v/>
      </c>
      <c r="M71" s="16">
        <f>IF($A71="","",IF(2022&lt;$E71,"",IF($D71="Manuell","",IF(2022&gt;$E71+$F71,IF($D71="Fix",$G71,$G71*(1+$H71)^($F71)),IF($D71="Fix",$G71,$G71*(1+$H71)^(2022-$E71))))))</f>
        <v/>
      </c>
      <c r="N71" s="16">
        <f>IF($A71="","",IF(2023&lt;$E71,"",IF($D71="Manuell","",IF(2023&gt;$E71+$F71,IF($D71="Fix",$G71,$G71*(1+$H71)^($F71)),IF($D71="Fix",$G71,$G71*(1+$H71)^(2023-$E71))))))</f>
        <v/>
      </c>
      <c r="O71" s="16">
        <f>IF($A71="","",IF(2024&lt;$E71,"",IF($D71="Manuell","",IF(2024&gt;$E71+$F71,IF($D71="Fix",$G71,$G71*(1+$H71)^($F71)),IF($D71="Fix",$G71,$G71*(1+$H71)^(2024-$E71))))))</f>
        <v/>
      </c>
      <c r="P71" s="16">
        <f>IF($A71="","",IF(2025&lt;$E71,"",IF($D71="Manuell","",IF(2025&gt;$E71+$F71,IF($D71="Fix",$G71,$G71*(1+$H71)^($F71)),IF($D71="Fix",$G71,$G71*(1+$H71)^(2025-$E71))))))</f>
        <v/>
      </c>
      <c r="Q71" s="16">
        <f>IF($A71="","",IF(2026&lt;$E71,"",IF($D71="Manuell","",IF(2026&gt;$E71+$F71,IF($D71="Fix",$G71,$G71*(1+$H71)^($F71)),IF($D71="Fix",$G71,$G71*(1+$H71)^(2026-$E71))))))</f>
        <v/>
      </c>
      <c r="R71" s="16">
        <f>IF($A71="","",IF(2027&lt;$E71,"",IF($D71="Manuell","",IF(2027&gt;$E71+$F71,IF($D71="Fix",$G71,$G71*(1+$H71)^($F71)),IF($D71="Fix",$G71,$G71*(1+$H71)^(2027-$E71))))))</f>
        <v/>
      </c>
      <c r="S71" s="16">
        <f>IF($A71="","",IF(2028&lt;$E71,"",IF($D71="Manuell","",IF(2028&gt;$E71+$F71,IF($D71="Fix",$G71,$G71*(1+$H71)^($F71)),IF($D71="Fix",$G71,$G71*(1+$H71)^(2028-$E71))))))</f>
        <v/>
      </c>
      <c r="T71" s="16">
        <f>IF($A71="","",IF(2029&lt;$E71,"",IF($D71="Manuell","",IF(2029&gt;$E71+$F71,IF($D71="Fix",$G71,$G71*(1+$H71)^($F71)),IF($D71="Fix",$G71,$G71*(1+$H71)^(2029-$E71))))))</f>
        <v/>
      </c>
      <c r="U71" s="16">
        <f>IF($A71="","",IF(2030&lt;$E71,"",IF($D71="Manuell","",IF(2030&gt;$E71+$F71,IF($D71="Fix",$G71,$G71*(1+$H71)^($F71)),IF($D71="Fix",$G71,$G71*(1+$H71)^(2030-$E71))))))</f>
        <v/>
      </c>
      <c r="V71" s="16">
        <f>IF($A71="","",IF(2031&lt;$E71,"",IF($D71="Manuell","",IF(2031&gt;$E71+$F71,IF($D71="Fix",$G71,$G71*(1+$H71)^($F71)),IF($D71="Fix",$G71,$G71*(1+$H71)^(2031-$E71))))))</f>
        <v/>
      </c>
      <c r="W71" s="16">
        <f>IF($A71="","",IF(2032&lt;$E71,"",IF($D71="Manuell","",IF(2032&gt;$E71+$F71,IF($D71="Fix",$G71,$G71*(1+$H71)^($F71)),IF($D71="Fix",$G71,$G71*(1+$H71)^(2032-$E71))))))</f>
        <v/>
      </c>
      <c r="X71" s="16">
        <f>IF($A71="","",IF(2033&lt;$E71,"",IF($D71="Manuell","",IF(2033&gt;$E71+$F71,IF($D71="Fix",$G71,$G71*(1+$H71)^($F71)),IF($D71="Fix",$G71,$G71*(1+$H71)^(2033-$E71))))))</f>
        <v/>
      </c>
      <c r="Y71" s="16">
        <f>IF($A71="","",IF(2034&lt;$E71,"",IF($D71="Manuell","",IF(2034&gt;$E71+$F71,IF($D71="Fix",$G71,$G71*(1+$H71)^($F71)),IF($D71="Fix",$G71,$G71*(1+$H71)^(2034-$E71))))))</f>
        <v/>
      </c>
      <c r="Z71" s="16">
        <f>IF($A71="","",IF(2035&lt;$E71,"",IF($D71="Manuell","",IF(2035&gt;$E71+$F71,IF($D71="Fix",$G71,$G71*(1+$H71)^($F71)),IF($D71="Fix",$G71,$G71*(1+$H71)^(2035-$E71))))))</f>
        <v/>
      </c>
      <c r="AA71" s="16">
        <f>IF($A71="","",IF(2036&lt;$E71,"",IF($D71="Manuell","",IF(2036&gt;$E71+$F71,IF($D71="Fix",$G71,$G71*(1+$H71)^($F71)),IF($D71="Fix",$G71,$G71*(1+$H71)^(2036-$E71))))))</f>
        <v/>
      </c>
      <c r="AB71" s="16">
        <f>IF($A71="","",IF(2037&lt;$E71,"",IF($D71="Manuell","",IF(2037&gt;$E71+$F71,IF($D71="Fix",$G71,$G71*(1+$H71)^($F71)),IF($D71="Fix",$G71,$G71*(1+$H71)^(2037-$E71))))))</f>
        <v/>
      </c>
      <c r="AC71" s="16">
        <f>IF($A71="","",IF(2038&lt;$E71,"",IF($D71="Manuell","",IF(2038&gt;$E71+$F71,IF($D71="Fix",$G71,$G71*(1+$H71)^($F71)),IF($D71="Fix",$G71,$G71*(1+$H71)^(2038-$E71))))))</f>
        <v/>
      </c>
      <c r="AD71" s="16">
        <f>IF($A71="","",IF(2039&lt;$E71,"",IF($D71="Manuell","",IF(2039&gt;$E71+$F71,IF($D71="Fix",$G71,$G71*(1+$H71)^($F71)),IF($D71="Fix",$G71,$G71*(1+$H71)^(2039-$E71))))))</f>
        <v/>
      </c>
      <c r="AE71" s="16">
        <f>IF($A71="","",IF(2040&lt;$E71,"",IF($D71="Manuell","",IF(2040&gt;$E71+$F71,IF($D71="Fix",$G71,$G71*(1+$H71)^($F71)),IF($D71="Fix",$G71,$G71*(1+$H71)^(2040-$E71))))))</f>
        <v/>
      </c>
      <c r="AF71" s="16">
        <f>IF($A71="","",IF(2041&lt;$E71,"",IF($D71="Manuell","",IF(2041&gt;$E71+$F71,IF($D71="Fix",$G71,$G71*(1+$H71)^($F71)),IF($D71="Fix",$G71,$G71*(1+$H71)^(2041-$E71))))))</f>
        <v/>
      </c>
      <c r="AG71" s="16">
        <f>IF($A71="","",IF(2042&lt;$E71,"",IF($D71="Manuell","",IF(2042&gt;$E71+$F71,IF($D71="Fix",$G71,$G71*(1+$H71)^($F71)),IF($D71="Fix",$G71,$G71*(1+$H71)^(2042-$E71))))))</f>
        <v/>
      </c>
      <c r="AH71" s="16">
        <f>IF($A71="","",IF(2043&lt;$E71,"",IF($D71="Manuell","",IF(2043&gt;$E71+$F71,IF($D71="Fix",$G71,$G71*(1+$H71)^($F71)),IF($D71="Fix",$G71,$G71*(1+$H71)^(2043-$E71))))))</f>
        <v/>
      </c>
      <c r="AI71" s="16">
        <f>IF($A71="","",IF(2044&lt;$E71,"",IF($D71="Manuell","",IF(2044&gt;$E71+$F71,IF($D71="Fix",$G71,$G71*(1+$H71)^($F71)),IF($D71="Fix",$G71,$G71*(1+$H71)^(2044-$E71))))))</f>
        <v/>
      </c>
      <c r="AJ71" s="16">
        <f>IF($A71="","",IF(2045&lt;$E71,"",IF($D71="Manuell","",IF(2045&gt;$E71+$F71,IF($D71="Fix",$G71,$G71*(1+$H71)^($F71)),IF($D71="Fix",$G71,$G71*(1+$H71)^(2045-$E71))))))</f>
        <v/>
      </c>
      <c r="AK71" s="16">
        <f>IF($A71="","",IF(2046&lt;$E71,"",IF($D71="Manuell","",IF(2046&gt;$E71+$F71,IF($D71="Fix",$G71,$G71*(1+$H71)^($F71)),IF($D71="Fix",$G71,$G71*(1+$H71)^(2046-$E71))))))</f>
        <v/>
      </c>
      <c r="AL71" s="16">
        <f>IF($A71="","",IF(2047&lt;$E71,"",IF($D71="Manuell","",IF(2047&gt;$E71+$F71,IF($D71="Fix",$G71,$G71*(1+$H71)^($F71)),IF($D71="Fix",$G71,$G71*(1+$H71)^(2047-$E71))))))</f>
        <v/>
      </c>
      <c r="AM71" s="16">
        <f>IF($A71="","",IF(2048&lt;$E71,"",IF($D71="Manuell","",IF(2048&gt;$E71+$F71,IF($D71="Fix",$G71,$G71*(1+$H71)^($F71)),IF($D71="Fix",$G71,$G71*(1+$H71)^(2048-$E71))))))</f>
        <v/>
      </c>
      <c r="AN71" s="16">
        <f>IF($A71="","",IF(2049&lt;$E71,"",IF($D71="Manuell","",IF(2049&gt;$E71+$F71,IF($D71="Fix",$G71,$G71*(1+$H71)^($F71)),IF($D71="Fix",$G71,$G71*(1+$H71)^(2049-$E71))))))</f>
        <v/>
      </c>
      <c r="AO71" s="16">
        <f>IF($A71="","",IF(2050&lt;$E71,"",IF($D71="Manuell","",IF(2050&gt;$E71+$F71,IF($D71="Fix",$G71,$G71*(1+$H71)^($F71)),IF($D71="Fix",$G71,$G71*(1+$H71)^(2050-$E71))))))</f>
        <v/>
      </c>
      <c r="AP71" s="16">
        <f>IF($A71="","",IF(2051&lt;$E71,"",IF($D71="Manuell","",IF(2051&gt;$E71+$F71,IF($D71="Fix",$G71,$G71*(1+$H71)^($F71)),IF($D71="Fix",$G71,$G71*(1+$H71)^(2051-$E71))))))</f>
        <v/>
      </c>
      <c r="AQ71" s="16">
        <f>IF($A71="","",IF(2052&lt;$E71,"",IF($D71="Manuell","",IF(2052&gt;$E71+$F71,IF($D71="Fix",$G71,$G71*(1+$H71)^($F71)),IF($D71="Fix",$G71,$G71*(1+$H71)^(2052-$E71))))))</f>
        <v/>
      </c>
      <c r="AR71" s="16">
        <f>IF($A71="","",IF(2053&lt;$E71,"",IF($D71="Manuell","",IF(2053&gt;$E71+$F71,IF($D71="Fix",$G71,$G71*(1+$H71)^($F71)),IF($D71="Fix",$G71,$G71*(1+$H71)^(2053-$E71))))))</f>
        <v/>
      </c>
      <c r="AS71" s="16">
        <f>IF($A71="","",IF(2054&lt;$E71,"",IF($D71="Manuell","",IF(2054&gt;$E71+$F71,IF($D71="Fix",$G71,$G71*(1+$H71)^($F71)),IF($D71="Fix",$G71,$G71*(1+$H71)^(2054-$E71))))))</f>
        <v/>
      </c>
      <c r="AT71" s="16">
        <f>IF($A71="","",IF(2055&lt;$E71,"",IF($D71="Manuell","",IF(2055&gt;$E71+$F71,IF($D71="Fix",$G71,$G71*(1+$H71)^($F71)),IF($D71="Fix",$G71,$G71*(1+$H71)^(2055-$E71))))))</f>
        <v/>
      </c>
    </row>
    <row r="72">
      <c r="A72" s="14" t="inlineStr"/>
      <c r="B72" s="14" t="inlineStr"/>
      <c r="C72" s="14" t="inlineStr"/>
      <c r="D72" s="14" t="inlineStr"/>
      <c r="E72" s="11" t="inlineStr"/>
      <c r="F72" s="11" t="inlineStr"/>
      <c r="G72" s="15" t="inlineStr"/>
      <c r="H72" s="15" t="inlineStr"/>
      <c r="I72" s="16">
        <f>IF($A72="","",IF(2018&lt;$E72,"",IF($D72="Manuell","",IF(2018&gt;$E72+$F72,IF($D72="Fix",$G72,$G72*(1+$H72)^($F72)),IF($D72="Fix",$G72,$G72*(1+$H72)^(2018-$E72))))))</f>
        <v/>
      </c>
      <c r="J72" s="16">
        <f>IF($A72="","",IF(2019&lt;$E72,"",IF($D72="Manuell","",IF(2019&gt;$E72+$F72,IF($D72="Fix",$G72,$G72*(1+$H72)^($F72)),IF($D72="Fix",$G72,$G72*(1+$H72)^(2019-$E72))))))</f>
        <v/>
      </c>
      <c r="K72" s="16">
        <f>IF($A72="","",IF(2020&lt;$E72,"",IF($D72="Manuell","",IF(2020&gt;$E72+$F72,IF($D72="Fix",$G72,$G72*(1+$H72)^($F72)),IF($D72="Fix",$G72,$G72*(1+$H72)^(2020-$E72))))))</f>
        <v/>
      </c>
      <c r="L72" s="16">
        <f>IF($A72="","",IF(2021&lt;$E72,"",IF($D72="Manuell","",IF(2021&gt;$E72+$F72,IF($D72="Fix",$G72,$G72*(1+$H72)^($F72)),IF($D72="Fix",$G72,$G72*(1+$H72)^(2021-$E72))))))</f>
        <v/>
      </c>
      <c r="M72" s="16">
        <f>IF($A72="","",IF(2022&lt;$E72,"",IF($D72="Manuell","",IF(2022&gt;$E72+$F72,IF($D72="Fix",$G72,$G72*(1+$H72)^($F72)),IF($D72="Fix",$G72,$G72*(1+$H72)^(2022-$E72))))))</f>
        <v/>
      </c>
      <c r="N72" s="16">
        <f>IF($A72="","",IF(2023&lt;$E72,"",IF($D72="Manuell","",IF(2023&gt;$E72+$F72,IF($D72="Fix",$G72,$G72*(1+$H72)^($F72)),IF($D72="Fix",$G72,$G72*(1+$H72)^(2023-$E72))))))</f>
        <v/>
      </c>
      <c r="O72" s="16">
        <f>IF($A72="","",IF(2024&lt;$E72,"",IF($D72="Manuell","",IF(2024&gt;$E72+$F72,IF($D72="Fix",$G72,$G72*(1+$H72)^($F72)),IF($D72="Fix",$G72,$G72*(1+$H72)^(2024-$E72))))))</f>
        <v/>
      </c>
      <c r="P72" s="16">
        <f>IF($A72="","",IF(2025&lt;$E72,"",IF($D72="Manuell","",IF(2025&gt;$E72+$F72,IF($D72="Fix",$G72,$G72*(1+$H72)^($F72)),IF($D72="Fix",$G72,$G72*(1+$H72)^(2025-$E72))))))</f>
        <v/>
      </c>
      <c r="Q72" s="16">
        <f>IF($A72="","",IF(2026&lt;$E72,"",IF($D72="Manuell","",IF(2026&gt;$E72+$F72,IF($D72="Fix",$G72,$G72*(1+$H72)^($F72)),IF($D72="Fix",$G72,$G72*(1+$H72)^(2026-$E72))))))</f>
        <v/>
      </c>
      <c r="R72" s="16">
        <f>IF($A72="","",IF(2027&lt;$E72,"",IF($D72="Manuell","",IF(2027&gt;$E72+$F72,IF($D72="Fix",$G72,$G72*(1+$H72)^($F72)),IF($D72="Fix",$G72,$G72*(1+$H72)^(2027-$E72))))))</f>
        <v/>
      </c>
      <c r="S72" s="16">
        <f>IF($A72="","",IF(2028&lt;$E72,"",IF($D72="Manuell","",IF(2028&gt;$E72+$F72,IF($D72="Fix",$G72,$G72*(1+$H72)^($F72)),IF($D72="Fix",$G72,$G72*(1+$H72)^(2028-$E72))))))</f>
        <v/>
      </c>
      <c r="T72" s="16">
        <f>IF($A72="","",IF(2029&lt;$E72,"",IF($D72="Manuell","",IF(2029&gt;$E72+$F72,IF($D72="Fix",$G72,$G72*(1+$H72)^($F72)),IF($D72="Fix",$G72,$G72*(1+$H72)^(2029-$E72))))))</f>
        <v/>
      </c>
      <c r="U72" s="16">
        <f>IF($A72="","",IF(2030&lt;$E72,"",IF($D72="Manuell","",IF(2030&gt;$E72+$F72,IF($D72="Fix",$G72,$G72*(1+$H72)^($F72)),IF($D72="Fix",$G72,$G72*(1+$H72)^(2030-$E72))))))</f>
        <v/>
      </c>
      <c r="V72" s="16">
        <f>IF($A72="","",IF(2031&lt;$E72,"",IF($D72="Manuell","",IF(2031&gt;$E72+$F72,IF($D72="Fix",$G72,$G72*(1+$H72)^($F72)),IF($D72="Fix",$G72,$G72*(1+$H72)^(2031-$E72))))))</f>
        <v/>
      </c>
      <c r="W72" s="16">
        <f>IF($A72="","",IF(2032&lt;$E72,"",IF($D72="Manuell","",IF(2032&gt;$E72+$F72,IF($D72="Fix",$G72,$G72*(1+$H72)^($F72)),IF($D72="Fix",$G72,$G72*(1+$H72)^(2032-$E72))))))</f>
        <v/>
      </c>
      <c r="X72" s="16">
        <f>IF($A72="","",IF(2033&lt;$E72,"",IF($D72="Manuell","",IF(2033&gt;$E72+$F72,IF($D72="Fix",$G72,$G72*(1+$H72)^($F72)),IF($D72="Fix",$G72,$G72*(1+$H72)^(2033-$E72))))))</f>
        <v/>
      </c>
      <c r="Y72" s="16">
        <f>IF($A72="","",IF(2034&lt;$E72,"",IF($D72="Manuell","",IF(2034&gt;$E72+$F72,IF($D72="Fix",$G72,$G72*(1+$H72)^($F72)),IF($D72="Fix",$G72,$G72*(1+$H72)^(2034-$E72))))))</f>
        <v/>
      </c>
      <c r="Z72" s="16">
        <f>IF($A72="","",IF(2035&lt;$E72,"",IF($D72="Manuell","",IF(2035&gt;$E72+$F72,IF($D72="Fix",$G72,$G72*(1+$H72)^($F72)),IF($D72="Fix",$G72,$G72*(1+$H72)^(2035-$E72))))))</f>
        <v/>
      </c>
      <c r="AA72" s="16">
        <f>IF($A72="","",IF(2036&lt;$E72,"",IF($D72="Manuell","",IF(2036&gt;$E72+$F72,IF($D72="Fix",$G72,$G72*(1+$H72)^($F72)),IF($D72="Fix",$G72,$G72*(1+$H72)^(2036-$E72))))))</f>
        <v/>
      </c>
      <c r="AB72" s="16">
        <f>IF($A72="","",IF(2037&lt;$E72,"",IF($D72="Manuell","",IF(2037&gt;$E72+$F72,IF($D72="Fix",$G72,$G72*(1+$H72)^($F72)),IF($D72="Fix",$G72,$G72*(1+$H72)^(2037-$E72))))))</f>
        <v/>
      </c>
      <c r="AC72" s="16">
        <f>IF($A72="","",IF(2038&lt;$E72,"",IF($D72="Manuell","",IF(2038&gt;$E72+$F72,IF($D72="Fix",$G72,$G72*(1+$H72)^($F72)),IF($D72="Fix",$G72,$G72*(1+$H72)^(2038-$E72))))))</f>
        <v/>
      </c>
      <c r="AD72" s="16">
        <f>IF($A72="","",IF(2039&lt;$E72,"",IF($D72="Manuell","",IF(2039&gt;$E72+$F72,IF($D72="Fix",$G72,$G72*(1+$H72)^($F72)),IF($D72="Fix",$G72,$G72*(1+$H72)^(2039-$E72))))))</f>
        <v/>
      </c>
      <c r="AE72" s="16">
        <f>IF($A72="","",IF(2040&lt;$E72,"",IF($D72="Manuell","",IF(2040&gt;$E72+$F72,IF($D72="Fix",$G72,$G72*(1+$H72)^($F72)),IF($D72="Fix",$G72,$G72*(1+$H72)^(2040-$E72))))))</f>
        <v/>
      </c>
      <c r="AF72" s="16">
        <f>IF($A72="","",IF(2041&lt;$E72,"",IF($D72="Manuell","",IF(2041&gt;$E72+$F72,IF($D72="Fix",$G72,$G72*(1+$H72)^($F72)),IF($D72="Fix",$G72,$G72*(1+$H72)^(2041-$E72))))))</f>
        <v/>
      </c>
      <c r="AG72" s="16">
        <f>IF($A72="","",IF(2042&lt;$E72,"",IF($D72="Manuell","",IF(2042&gt;$E72+$F72,IF($D72="Fix",$G72,$G72*(1+$H72)^($F72)),IF($D72="Fix",$G72,$G72*(1+$H72)^(2042-$E72))))))</f>
        <v/>
      </c>
      <c r="AH72" s="16">
        <f>IF($A72="","",IF(2043&lt;$E72,"",IF($D72="Manuell","",IF(2043&gt;$E72+$F72,IF($D72="Fix",$G72,$G72*(1+$H72)^($F72)),IF($D72="Fix",$G72,$G72*(1+$H72)^(2043-$E72))))))</f>
        <v/>
      </c>
      <c r="AI72" s="16">
        <f>IF($A72="","",IF(2044&lt;$E72,"",IF($D72="Manuell","",IF(2044&gt;$E72+$F72,IF($D72="Fix",$G72,$G72*(1+$H72)^($F72)),IF($D72="Fix",$G72,$G72*(1+$H72)^(2044-$E72))))))</f>
        <v/>
      </c>
      <c r="AJ72" s="16">
        <f>IF($A72="","",IF(2045&lt;$E72,"",IF($D72="Manuell","",IF(2045&gt;$E72+$F72,IF($D72="Fix",$G72,$G72*(1+$H72)^($F72)),IF($D72="Fix",$G72,$G72*(1+$H72)^(2045-$E72))))))</f>
        <v/>
      </c>
      <c r="AK72" s="16">
        <f>IF($A72="","",IF(2046&lt;$E72,"",IF($D72="Manuell","",IF(2046&gt;$E72+$F72,IF($D72="Fix",$G72,$G72*(1+$H72)^($F72)),IF($D72="Fix",$G72,$G72*(1+$H72)^(2046-$E72))))))</f>
        <v/>
      </c>
      <c r="AL72" s="16">
        <f>IF($A72="","",IF(2047&lt;$E72,"",IF($D72="Manuell","",IF(2047&gt;$E72+$F72,IF($D72="Fix",$G72,$G72*(1+$H72)^($F72)),IF($D72="Fix",$G72,$G72*(1+$H72)^(2047-$E72))))))</f>
        <v/>
      </c>
      <c r="AM72" s="16">
        <f>IF($A72="","",IF(2048&lt;$E72,"",IF($D72="Manuell","",IF(2048&gt;$E72+$F72,IF($D72="Fix",$G72,$G72*(1+$H72)^($F72)),IF($D72="Fix",$G72,$G72*(1+$H72)^(2048-$E72))))))</f>
        <v/>
      </c>
      <c r="AN72" s="16">
        <f>IF($A72="","",IF(2049&lt;$E72,"",IF($D72="Manuell","",IF(2049&gt;$E72+$F72,IF($D72="Fix",$G72,$G72*(1+$H72)^($F72)),IF($D72="Fix",$G72,$G72*(1+$H72)^(2049-$E72))))))</f>
        <v/>
      </c>
      <c r="AO72" s="16">
        <f>IF($A72="","",IF(2050&lt;$E72,"",IF($D72="Manuell","",IF(2050&gt;$E72+$F72,IF($D72="Fix",$G72,$G72*(1+$H72)^($F72)),IF($D72="Fix",$G72,$G72*(1+$H72)^(2050-$E72))))))</f>
        <v/>
      </c>
      <c r="AP72" s="16">
        <f>IF($A72="","",IF(2051&lt;$E72,"",IF($D72="Manuell","",IF(2051&gt;$E72+$F72,IF($D72="Fix",$G72,$G72*(1+$H72)^($F72)),IF($D72="Fix",$G72,$G72*(1+$H72)^(2051-$E72))))))</f>
        <v/>
      </c>
      <c r="AQ72" s="16">
        <f>IF($A72="","",IF(2052&lt;$E72,"",IF($D72="Manuell","",IF(2052&gt;$E72+$F72,IF($D72="Fix",$G72,$G72*(1+$H72)^($F72)),IF($D72="Fix",$G72,$G72*(1+$H72)^(2052-$E72))))))</f>
        <v/>
      </c>
      <c r="AR72" s="16">
        <f>IF($A72="","",IF(2053&lt;$E72,"",IF($D72="Manuell","",IF(2053&gt;$E72+$F72,IF($D72="Fix",$G72,$G72*(1+$H72)^($F72)),IF($D72="Fix",$G72,$G72*(1+$H72)^(2053-$E72))))))</f>
        <v/>
      </c>
      <c r="AS72" s="16">
        <f>IF($A72="","",IF(2054&lt;$E72,"",IF($D72="Manuell","",IF(2054&gt;$E72+$F72,IF($D72="Fix",$G72,$G72*(1+$H72)^($F72)),IF($D72="Fix",$G72,$G72*(1+$H72)^(2054-$E72))))))</f>
        <v/>
      </c>
      <c r="AT72" s="16">
        <f>IF($A72="","",IF(2055&lt;$E72,"",IF($D72="Manuell","",IF(2055&gt;$E72+$F72,IF($D72="Fix",$G72,$G72*(1+$H72)^($F72)),IF($D72="Fix",$G72,$G72*(1+$H72)^(2055-$E72))))))</f>
        <v/>
      </c>
    </row>
    <row r="73">
      <c r="A73" s="14" t="inlineStr"/>
      <c r="B73" s="14" t="inlineStr"/>
      <c r="C73" s="14" t="inlineStr"/>
      <c r="D73" s="14" t="inlineStr"/>
      <c r="E73" s="11" t="inlineStr"/>
      <c r="F73" s="11" t="inlineStr"/>
      <c r="G73" s="15" t="inlineStr"/>
      <c r="H73" s="15" t="inlineStr"/>
      <c r="I73" s="16">
        <f>IF($A73="","",IF(2018&lt;$E73,"",IF($D73="Manuell","",IF(2018&gt;$E73+$F73,IF($D73="Fix",$G73,$G73*(1+$H73)^($F73)),IF($D73="Fix",$G73,$G73*(1+$H73)^(2018-$E73))))))</f>
        <v/>
      </c>
      <c r="J73" s="16">
        <f>IF($A73="","",IF(2019&lt;$E73,"",IF($D73="Manuell","",IF(2019&gt;$E73+$F73,IF($D73="Fix",$G73,$G73*(1+$H73)^($F73)),IF($D73="Fix",$G73,$G73*(1+$H73)^(2019-$E73))))))</f>
        <v/>
      </c>
      <c r="K73" s="16">
        <f>IF($A73="","",IF(2020&lt;$E73,"",IF($D73="Manuell","",IF(2020&gt;$E73+$F73,IF($D73="Fix",$G73,$G73*(1+$H73)^($F73)),IF($D73="Fix",$G73,$G73*(1+$H73)^(2020-$E73))))))</f>
        <v/>
      </c>
      <c r="L73" s="16">
        <f>IF($A73="","",IF(2021&lt;$E73,"",IF($D73="Manuell","",IF(2021&gt;$E73+$F73,IF($D73="Fix",$G73,$G73*(1+$H73)^($F73)),IF($D73="Fix",$G73,$G73*(1+$H73)^(2021-$E73))))))</f>
        <v/>
      </c>
      <c r="M73" s="16">
        <f>IF($A73="","",IF(2022&lt;$E73,"",IF($D73="Manuell","",IF(2022&gt;$E73+$F73,IF($D73="Fix",$G73,$G73*(1+$H73)^($F73)),IF($D73="Fix",$G73,$G73*(1+$H73)^(2022-$E73))))))</f>
        <v/>
      </c>
      <c r="N73" s="16">
        <f>IF($A73="","",IF(2023&lt;$E73,"",IF($D73="Manuell","",IF(2023&gt;$E73+$F73,IF($D73="Fix",$G73,$G73*(1+$H73)^($F73)),IF($D73="Fix",$G73,$G73*(1+$H73)^(2023-$E73))))))</f>
        <v/>
      </c>
      <c r="O73" s="16">
        <f>IF($A73="","",IF(2024&lt;$E73,"",IF($D73="Manuell","",IF(2024&gt;$E73+$F73,IF($D73="Fix",$G73,$G73*(1+$H73)^($F73)),IF($D73="Fix",$G73,$G73*(1+$H73)^(2024-$E73))))))</f>
        <v/>
      </c>
      <c r="P73" s="16">
        <f>IF($A73="","",IF(2025&lt;$E73,"",IF($D73="Manuell","",IF(2025&gt;$E73+$F73,IF($D73="Fix",$G73,$G73*(1+$H73)^($F73)),IF($D73="Fix",$G73,$G73*(1+$H73)^(2025-$E73))))))</f>
        <v/>
      </c>
      <c r="Q73" s="16">
        <f>IF($A73="","",IF(2026&lt;$E73,"",IF($D73="Manuell","",IF(2026&gt;$E73+$F73,IF($D73="Fix",$G73,$G73*(1+$H73)^($F73)),IF($D73="Fix",$G73,$G73*(1+$H73)^(2026-$E73))))))</f>
        <v/>
      </c>
      <c r="R73" s="16">
        <f>IF($A73="","",IF(2027&lt;$E73,"",IF($D73="Manuell","",IF(2027&gt;$E73+$F73,IF($D73="Fix",$G73,$G73*(1+$H73)^($F73)),IF($D73="Fix",$G73,$G73*(1+$H73)^(2027-$E73))))))</f>
        <v/>
      </c>
      <c r="S73" s="16">
        <f>IF($A73="","",IF(2028&lt;$E73,"",IF($D73="Manuell","",IF(2028&gt;$E73+$F73,IF($D73="Fix",$G73,$G73*(1+$H73)^($F73)),IF($D73="Fix",$G73,$G73*(1+$H73)^(2028-$E73))))))</f>
        <v/>
      </c>
      <c r="T73" s="16">
        <f>IF($A73="","",IF(2029&lt;$E73,"",IF($D73="Manuell","",IF(2029&gt;$E73+$F73,IF($D73="Fix",$G73,$G73*(1+$H73)^($F73)),IF($D73="Fix",$G73,$G73*(1+$H73)^(2029-$E73))))))</f>
        <v/>
      </c>
      <c r="U73" s="16">
        <f>IF($A73="","",IF(2030&lt;$E73,"",IF($D73="Manuell","",IF(2030&gt;$E73+$F73,IF($D73="Fix",$G73,$G73*(1+$H73)^($F73)),IF($D73="Fix",$G73,$G73*(1+$H73)^(2030-$E73))))))</f>
        <v/>
      </c>
      <c r="V73" s="16">
        <f>IF($A73="","",IF(2031&lt;$E73,"",IF($D73="Manuell","",IF(2031&gt;$E73+$F73,IF($D73="Fix",$G73,$G73*(1+$H73)^($F73)),IF($D73="Fix",$G73,$G73*(1+$H73)^(2031-$E73))))))</f>
        <v/>
      </c>
      <c r="W73" s="16">
        <f>IF($A73="","",IF(2032&lt;$E73,"",IF($D73="Manuell","",IF(2032&gt;$E73+$F73,IF($D73="Fix",$G73,$G73*(1+$H73)^($F73)),IF($D73="Fix",$G73,$G73*(1+$H73)^(2032-$E73))))))</f>
        <v/>
      </c>
      <c r="X73" s="16">
        <f>IF($A73="","",IF(2033&lt;$E73,"",IF($D73="Manuell","",IF(2033&gt;$E73+$F73,IF($D73="Fix",$G73,$G73*(1+$H73)^($F73)),IF($D73="Fix",$G73,$G73*(1+$H73)^(2033-$E73))))))</f>
        <v/>
      </c>
      <c r="Y73" s="16">
        <f>IF($A73="","",IF(2034&lt;$E73,"",IF($D73="Manuell","",IF(2034&gt;$E73+$F73,IF($D73="Fix",$G73,$G73*(1+$H73)^($F73)),IF($D73="Fix",$G73,$G73*(1+$H73)^(2034-$E73))))))</f>
        <v/>
      </c>
      <c r="Z73" s="16">
        <f>IF($A73="","",IF(2035&lt;$E73,"",IF($D73="Manuell","",IF(2035&gt;$E73+$F73,IF($D73="Fix",$G73,$G73*(1+$H73)^($F73)),IF($D73="Fix",$G73,$G73*(1+$H73)^(2035-$E73))))))</f>
        <v/>
      </c>
      <c r="AA73" s="16">
        <f>IF($A73="","",IF(2036&lt;$E73,"",IF($D73="Manuell","",IF(2036&gt;$E73+$F73,IF($D73="Fix",$G73,$G73*(1+$H73)^($F73)),IF($D73="Fix",$G73,$G73*(1+$H73)^(2036-$E73))))))</f>
        <v/>
      </c>
      <c r="AB73" s="16">
        <f>IF($A73="","",IF(2037&lt;$E73,"",IF($D73="Manuell","",IF(2037&gt;$E73+$F73,IF($D73="Fix",$G73,$G73*(1+$H73)^($F73)),IF($D73="Fix",$G73,$G73*(1+$H73)^(2037-$E73))))))</f>
        <v/>
      </c>
      <c r="AC73" s="16">
        <f>IF($A73="","",IF(2038&lt;$E73,"",IF($D73="Manuell","",IF(2038&gt;$E73+$F73,IF($D73="Fix",$G73,$G73*(1+$H73)^($F73)),IF($D73="Fix",$G73,$G73*(1+$H73)^(2038-$E73))))))</f>
        <v/>
      </c>
      <c r="AD73" s="16">
        <f>IF($A73="","",IF(2039&lt;$E73,"",IF($D73="Manuell","",IF(2039&gt;$E73+$F73,IF($D73="Fix",$G73,$G73*(1+$H73)^($F73)),IF($D73="Fix",$G73,$G73*(1+$H73)^(2039-$E73))))))</f>
        <v/>
      </c>
      <c r="AE73" s="16">
        <f>IF($A73="","",IF(2040&lt;$E73,"",IF($D73="Manuell","",IF(2040&gt;$E73+$F73,IF($D73="Fix",$G73,$G73*(1+$H73)^($F73)),IF($D73="Fix",$G73,$G73*(1+$H73)^(2040-$E73))))))</f>
        <v/>
      </c>
      <c r="AF73" s="16">
        <f>IF($A73="","",IF(2041&lt;$E73,"",IF($D73="Manuell","",IF(2041&gt;$E73+$F73,IF($D73="Fix",$G73,$G73*(1+$H73)^($F73)),IF($D73="Fix",$G73,$G73*(1+$H73)^(2041-$E73))))))</f>
        <v/>
      </c>
      <c r="AG73" s="16">
        <f>IF($A73="","",IF(2042&lt;$E73,"",IF($D73="Manuell","",IF(2042&gt;$E73+$F73,IF($D73="Fix",$G73,$G73*(1+$H73)^($F73)),IF($D73="Fix",$G73,$G73*(1+$H73)^(2042-$E73))))))</f>
        <v/>
      </c>
      <c r="AH73" s="16">
        <f>IF($A73="","",IF(2043&lt;$E73,"",IF($D73="Manuell","",IF(2043&gt;$E73+$F73,IF($D73="Fix",$G73,$G73*(1+$H73)^($F73)),IF($D73="Fix",$G73,$G73*(1+$H73)^(2043-$E73))))))</f>
        <v/>
      </c>
      <c r="AI73" s="16">
        <f>IF($A73="","",IF(2044&lt;$E73,"",IF($D73="Manuell","",IF(2044&gt;$E73+$F73,IF($D73="Fix",$G73,$G73*(1+$H73)^($F73)),IF($D73="Fix",$G73,$G73*(1+$H73)^(2044-$E73))))))</f>
        <v/>
      </c>
      <c r="AJ73" s="16">
        <f>IF($A73="","",IF(2045&lt;$E73,"",IF($D73="Manuell","",IF(2045&gt;$E73+$F73,IF($D73="Fix",$G73,$G73*(1+$H73)^($F73)),IF($D73="Fix",$G73,$G73*(1+$H73)^(2045-$E73))))))</f>
        <v/>
      </c>
      <c r="AK73" s="16">
        <f>IF($A73="","",IF(2046&lt;$E73,"",IF($D73="Manuell","",IF(2046&gt;$E73+$F73,IF($D73="Fix",$G73,$G73*(1+$H73)^($F73)),IF($D73="Fix",$G73,$G73*(1+$H73)^(2046-$E73))))))</f>
        <v/>
      </c>
      <c r="AL73" s="16">
        <f>IF($A73="","",IF(2047&lt;$E73,"",IF($D73="Manuell","",IF(2047&gt;$E73+$F73,IF($D73="Fix",$G73,$G73*(1+$H73)^($F73)),IF($D73="Fix",$G73,$G73*(1+$H73)^(2047-$E73))))))</f>
        <v/>
      </c>
      <c r="AM73" s="16">
        <f>IF($A73="","",IF(2048&lt;$E73,"",IF($D73="Manuell","",IF(2048&gt;$E73+$F73,IF($D73="Fix",$G73,$G73*(1+$H73)^($F73)),IF($D73="Fix",$G73,$G73*(1+$H73)^(2048-$E73))))))</f>
        <v/>
      </c>
      <c r="AN73" s="16">
        <f>IF($A73="","",IF(2049&lt;$E73,"",IF($D73="Manuell","",IF(2049&gt;$E73+$F73,IF($D73="Fix",$G73,$G73*(1+$H73)^($F73)),IF($D73="Fix",$G73,$G73*(1+$H73)^(2049-$E73))))))</f>
        <v/>
      </c>
      <c r="AO73" s="16">
        <f>IF($A73="","",IF(2050&lt;$E73,"",IF($D73="Manuell","",IF(2050&gt;$E73+$F73,IF($D73="Fix",$G73,$G73*(1+$H73)^($F73)),IF($D73="Fix",$G73,$G73*(1+$H73)^(2050-$E73))))))</f>
        <v/>
      </c>
      <c r="AP73" s="16">
        <f>IF($A73="","",IF(2051&lt;$E73,"",IF($D73="Manuell","",IF(2051&gt;$E73+$F73,IF($D73="Fix",$G73,$G73*(1+$H73)^($F73)),IF($D73="Fix",$G73,$G73*(1+$H73)^(2051-$E73))))))</f>
        <v/>
      </c>
      <c r="AQ73" s="16">
        <f>IF($A73="","",IF(2052&lt;$E73,"",IF($D73="Manuell","",IF(2052&gt;$E73+$F73,IF($D73="Fix",$G73,$G73*(1+$H73)^($F73)),IF($D73="Fix",$G73,$G73*(1+$H73)^(2052-$E73))))))</f>
        <v/>
      </c>
      <c r="AR73" s="16">
        <f>IF($A73="","",IF(2053&lt;$E73,"",IF($D73="Manuell","",IF(2053&gt;$E73+$F73,IF($D73="Fix",$G73,$G73*(1+$H73)^($F73)),IF($D73="Fix",$G73,$G73*(1+$H73)^(2053-$E73))))))</f>
        <v/>
      </c>
      <c r="AS73" s="16">
        <f>IF($A73="","",IF(2054&lt;$E73,"",IF($D73="Manuell","",IF(2054&gt;$E73+$F73,IF($D73="Fix",$G73,$G73*(1+$H73)^($F73)),IF($D73="Fix",$G73,$G73*(1+$H73)^(2054-$E73))))))</f>
        <v/>
      </c>
      <c r="AT73" s="16">
        <f>IF($A73="","",IF(2055&lt;$E73,"",IF($D73="Manuell","",IF(2055&gt;$E73+$F73,IF($D73="Fix",$G73,$G73*(1+$H73)^($F73)),IF($D73="Fix",$G73,$G73*(1+$H73)^(2055-$E73))))))</f>
        <v/>
      </c>
    </row>
    <row r="74">
      <c r="A74" s="14" t="inlineStr"/>
      <c r="B74" s="14" t="inlineStr"/>
      <c r="C74" s="14" t="inlineStr"/>
      <c r="D74" s="14" t="inlineStr"/>
      <c r="E74" s="11" t="inlineStr"/>
      <c r="F74" s="11" t="inlineStr"/>
      <c r="G74" s="15" t="inlineStr"/>
      <c r="H74" s="15" t="inlineStr"/>
      <c r="I74" s="16">
        <f>IF($A74="","",IF(2018&lt;$E74,"",IF($D74="Manuell","",IF(2018&gt;$E74+$F74,IF($D74="Fix",$G74,$G74*(1+$H74)^($F74)),IF($D74="Fix",$G74,$G74*(1+$H74)^(2018-$E74))))))</f>
        <v/>
      </c>
      <c r="J74" s="16">
        <f>IF($A74="","",IF(2019&lt;$E74,"",IF($D74="Manuell","",IF(2019&gt;$E74+$F74,IF($D74="Fix",$G74,$G74*(1+$H74)^($F74)),IF($D74="Fix",$G74,$G74*(1+$H74)^(2019-$E74))))))</f>
        <v/>
      </c>
      <c r="K74" s="16">
        <f>IF($A74="","",IF(2020&lt;$E74,"",IF($D74="Manuell","",IF(2020&gt;$E74+$F74,IF($D74="Fix",$G74,$G74*(1+$H74)^($F74)),IF($D74="Fix",$G74,$G74*(1+$H74)^(2020-$E74))))))</f>
        <v/>
      </c>
      <c r="L74" s="16">
        <f>IF($A74="","",IF(2021&lt;$E74,"",IF($D74="Manuell","",IF(2021&gt;$E74+$F74,IF($D74="Fix",$G74,$G74*(1+$H74)^($F74)),IF($D74="Fix",$G74,$G74*(1+$H74)^(2021-$E74))))))</f>
        <v/>
      </c>
      <c r="M74" s="16">
        <f>IF($A74="","",IF(2022&lt;$E74,"",IF($D74="Manuell","",IF(2022&gt;$E74+$F74,IF($D74="Fix",$G74,$G74*(1+$H74)^($F74)),IF($D74="Fix",$G74,$G74*(1+$H74)^(2022-$E74))))))</f>
        <v/>
      </c>
      <c r="N74" s="16">
        <f>IF($A74="","",IF(2023&lt;$E74,"",IF($D74="Manuell","",IF(2023&gt;$E74+$F74,IF($D74="Fix",$G74,$G74*(1+$H74)^($F74)),IF($D74="Fix",$G74,$G74*(1+$H74)^(2023-$E74))))))</f>
        <v/>
      </c>
      <c r="O74" s="16">
        <f>IF($A74="","",IF(2024&lt;$E74,"",IF($D74="Manuell","",IF(2024&gt;$E74+$F74,IF($D74="Fix",$G74,$G74*(1+$H74)^($F74)),IF($D74="Fix",$G74,$G74*(1+$H74)^(2024-$E74))))))</f>
        <v/>
      </c>
      <c r="P74" s="16">
        <f>IF($A74="","",IF(2025&lt;$E74,"",IF($D74="Manuell","",IF(2025&gt;$E74+$F74,IF($D74="Fix",$G74,$G74*(1+$H74)^($F74)),IF($D74="Fix",$G74,$G74*(1+$H74)^(2025-$E74))))))</f>
        <v/>
      </c>
      <c r="Q74" s="16">
        <f>IF($A74="","",IF(2026&lt;$E74,"",IF($D74="Manuell","",IF(2026&gt;$E74+$F74,IF($D74="Fix",$G74,$G74*(1+$H74)^($F74)),IF($D74="Fix",$G74,$G74*(1+$H74)^(2026-$E74))))))</f>
        <v/>
      </c>
      <c r="R74" s="16">
        <f>IF($A74="","",IF(2027&lt;$E74,"",IF($D74="Manuell","",IF(2027&gt;$E74+$F74,IF($D74="Fix",$G74,$G74*(1+$H74)^($F74)),IF($D74="Fix",$G74,$G74*(1+$H74)^(2027-$E74))))))</f>
        <v/>
      </c>
      <c r="S74" s="16">
        <f>IF($A74="","",IF(2028&lt;$E74,"",IF($D74="Manuell","",IF(2028&gt;$E74+$F74,IF($D74="Fix",$G74,$G74*(1+$H74)^($F74)),IF($D74="Fix",$G74,$G74*(1+$H74)^(2028-$E74))))))</f>
        <v/>
      </c>
      <c r="T74" s="16">
        <f>IF($A74="","",IF(2029&lt;$E74,"",IF($D74="Manuell","",IF(2029&gt;$E74+$F74,IF($D74="Fix",$G74,$G74*(1+$H74)^($F74)),IF($D74="Fix",$G74,$G74*(1+$H74)^(2029-$E74))))))</f>
        <v/>
      </c>
      <c r="U74" s="16">
        <f>IF($A74="","",IF(2030&lt;$E74,"",IF($D74="Manuell","",IF(2030&gt;$E74+$F74,IF($D74="Fix",$G74,$G74*(1+$H74)^($F74)),IF($D74="Fix",$G74,$G74*(1+$H74)^(2030-$E74))))))</f>
        <v/>
      </c>
      <c r="V74" s="16">
        <f>IF($A74="","",IF(2031&lt;$E74,"",IF($D74="Manuell","",IF(2031&gt;$E74+$F74,IF($D74="Fix",$G74,$G74*(1+$H74)^($F74)),IF($D74="Fix",$G74,$G74*(1+$H74)^(2031-$E74))))))</f>
        <v/>
      </c>
      <c r="W74" s="16">
        <f>IF($A74="","",IF(2032&lt;$E74,"",IF($D74="Manuell","",IF(2032&gt;$E74+$F74,IF($D74="Fix",$G74,$G74*(1+$H74)^($F74)),IF($D74="Fix",$G74,$G74*(1+$H74)^(2032-$E74))))))</f>
        <v/>
      </c>
      <c r="X74" s="16">
        <f>IF($A74="","",IF(2033&lt;$E74,"",IF($D74="Manuell","",IF(2033&gt;$E74+$F74,IF($D74="Fix",$G74,$G74*(1+$H74)^($F74)),IF($D74="Fix",$G74,$G74*(1+$H74)^(2033-$E74))))))</f>
        <v/>
      </c>
      <c r="Y74" s="16">
        <f>IF($A74="","",IF(2034&lt;$E74,"",IF($D74="Manuell","",IF(2034&gt;$E74+$F74,IF($D74="Fix",$G74,$G74*(1+$H74)^($F74)),IF($D74="Fix",$G74,$G74*(1+$H74)^(2034-$E74))))))</f>
        <v/>
      </c>
      <c r="Z74" s="16">
        <f>IF($A74="","",IF(2035&lt;$E74,"",IF($D74="Manuell","",IF(2035&gt;$E74+$F74,IF($D74="Fix",$G74,$G74*(1+$H74)^($F74)),IF($D74="Fix",$G74,$G74*(1+$H74)^(2035-$E74))))))</f>
        <v/>
      </c>
      <c r="AA74" s="16">
        <f>IF($A74="","",IF(2036&lt;$E74,"",IF($D74="Manuell","",IF(2036&gt;$E74+$F74,IF($D74="Fix",$G74,$G74*(1+$H74)^($F74)),IF($D74="Fix",$G74,$G74*(1+$H74)^(2036-$E74))))))</f>
        <v/>
      </c>
      <c r="AB74" s="16">
        <f>IF($A74="","",IF(2037&lt;$E74,"",IF($D74="Manuell","",IF(2037&gt;$E74+$F74,IF($D74="Fix",$G74,$G74*(1+$H74)^($F74)),IF($D74="Fix",$G74,$G74*(1+$H74)^(2037-$E74))))))</f>
        <v/>
      </c>
      <c r="AC74" s="16">
        <f>IF($A74="","",IF(2038&lt;$E74,"",IF($D74="Manuell","",IF(2038&gt;$E74+$F74,IF($D74="Fix",$G74,$G74*(1+$H74)^($F74)),IF($D74="Fix",$G74,$G74*(1+$H74)^(2038-$E74))))))</f>
        <v/>
      </c>
      <c r="AD74" s="16">
        <f>IF($A74="","",IF(2039&lt;$E74,"",IF($D74="Manuell","",IF(2039&gt;$E74+$F74,IF($D74="Fix",$G74,$G74*(1+$H74)^($F74)),IF($D74="Fix",$G74,$G74*(1+$H74)^(2039-$E74))))))</f>
        <v/>
      </c>
      <c r="AE74" s="16">
        <f>IF($A74="","",IF(2040&lt;$E74,"",IF($D74="Manuell","",IF(2040&gt;$E74+$F74,IF($D74="Fix",$G74,$G74*(1+$H74)^($F74)),IF($D74="Fix",$G74,$G74*(1+$H74)^(2040-$E74))))))</f>
        <v/>
      </c>
      <c r="AF74" s="16">
        <f>IF($A74="","",IF(2041&lt;$E74,"",IF($D74="Manuell","",IF(2041&gt;$E74+$F74,IF($D74="Fix",$G74,$G74*(1+$H74)^($F74)),IF($D74="Fix",$G74,$G74*(1+$H74)^(2041-$E74))))))</f>
        <v/>
      </c>
      <c r="AG74" s="16">
        <f>IF($A74="","",IF(2042&lt;$E74,"",IF($D74="Manuell","",IF(2042&gt;$E74+$F74,IF($D74="Fix",$G74,$G74*(1+$H74)^($F74)),IF($D74="Fix",$G74,$G74*(1+$H74)^(2042-$E74))))))</f>
        <v/>
      </c>
      <c r="AH74" s="16">
        <f>IF($A74="","",IF(2043&lt;$E74,"",IF($D74="Manuell","",IF(2043&gt;$E74+$F74,IF($D74="Fix",$G74,$G74*(1+$H74)^($F74)),IF($D74="Fix",$G74,$G74*(1+$H74)^(2043-$E74))))))</f>
        <v/>
      </c>
      <c r="AI74" s="16">
        <f>IF($A74="","",IF(2044&lt;$E74,"",IF($D74="Manuell","",IF(2044&gt;$E74+$F74,IF($D74="Fix",$G74,$G74*(1+$H74)^($F74)),IF($D74="Fix",$G74,$G74*(1+$H74)^(2044-$E74))))))</f>
        <v/>
      </c>
      <c r="AJ74" s="16">
        <f>IF($A74="","",IF(2045&lt;$E74,"",IF($D74="Manuell","",IF(2045&gt;$E74+$F74,IF($D74="Fix",$G74,$G74*(1+$H74)^($F74)),IF($D74="Fix",$G74,$G74*(1+$H74)^(2045-$E74))))))</f>
        <v/>
      </c>
      <c r="AK74" s="16">
        <f>IF($A74="","",IF(2046&lt;$E74,"",IF($D74="Manuell","",IF(2046&gt;$E74+$F74,IF($D74="Fix",$G74,$G74*(1+$H74)^($F74)),IF($D74="Fix",$G74,$G74*(1+$H74)^(2046-$E74))))))</f>
        <v/>
      </c>
      <c r="AL74" s="16">
        <f>IF($A74="","",IF(2047&lt;$E74,"",IF($D74="Manuell","",IF(2047&gt;$E74+$F74,IF($D74="Fix",$G74,$G74*(1+$H74)^($F74)),IF($D74="Fix",$G74,$G74*(1+$H74)^(2047-$E74))))))</f>
        <v/>
      </c>
      <c r="AM74" s="16">
        <f>IF($A74="","",IF(2048&lt;$E74,"",IF($D74="Manuell","",IF(2048&gt;$E74+$F74,IF($D74="Fix",$G74,$G74*(1+$H74)^($F74)),IF($D74="Fix",$G74,$G74*(1+$H74)^(2048-$E74))))))</f>
        <v/>
      </c>
      <c r="AN74" s="16">
        <f>IF($A74="","",IF(2049&lt;$E74,"",IF($D74="Manuell","",IF(2049&gt;$E74+$F74,IF($D74="Fix",$G74,$G74*(1+$H74)^($F74)),IF($D74="Fix",$G74,$G74*(1+$H74)^(2049-$E74))))))</f>
        <v/>
      </c>
      <c r="AO74" s="16">
        <f>IF($A74="","",IF(2050&lt;$E74,"",IF($D74="Manuell","",IF(2050&gt;$E74+$F74,IF($D74="Fix",$G74,$G74*(1+$H74)^($F74)),IF($D74="Fix",$G74,$G74*(1+$H74)^(2050-$E74))))))</f>
        <v/>
      </c>
      <c r="AP74" s="16">
        <f>IF($A74="","",IF(2051&lt;$E74,"",IF($D74="Manuell","",IF(2051&gt;$E74+$F74,IF($D74="Fix",$G74,$G74*(1+$H74)^($F74)),IF($D74="Fix",$G74,$G74*(1+$H74)^(2051-$E74))))))</f>
        <v/>
      </c>
      <c r="AQ74" s="16">
        <f>IF($A74="","",IF(2052&lt;$E74,"",IF($D74="Manuell","",IF(2052&gt;$E74+$F74,IF($D74="Fix",$G74,$G74*(1+$H74)^($F74)),IF($D74="Fix",$G74,$G74*(1+$H74)^(2052-$E74))))))</f>
        <v/>
      </c>
      <c r="AR74" s="16">
        <f>IF($A74="","",IF(2053&lt;$E74,"",IF($D74="Manuell","",IF(2053&gt;$E74+$F74,IF($D74="Fix",$G74,$G74*(1+$H74)^($F74)),IF($D74="Fix",$G74,$G74*(1+$H74)^(2053-$E74))))))</f>
        <v/>
      </c>
      <c r="AS74" s="16">
        <f>IF($A74="","",IF(2054&lt;$E74,"",IF($D74="Manuell","",IF(2054&gt;$E74+$F74,IF($D74="Fix",$G74,$G74*(1+$H74)^($F74)),IF($D74="Fix",$G74,$G74*(1+$H74)^(2054-$E74))))))</f>
        <v/>
      </c>
      <c r="AT74" s="16">
        <f>IF($A74="","",IF(2055&lt;$E74,"",IF($D74="Manuell","",IF(2055&gt;$E74+$F74,IF($D74="Fix",$G74,$G74*(1+$H74)^($F74)),IF($D74="Fix",$G74,$G74*(1+$H74)^(2055-$E74))))))</f>
        <v/>
      </c>
    </row>
    <row r="75">
      <c r="A75" s="14" t="inlineStr"/>
      <c r="B75" s="14" t="inlineStr"/>
      <c r="C75" s="14" t="inlineStr"/>
      <c r="D75" s="14" t="inlineStr"/>
      <c r="E75" s="11" t="inlineStr"/>
      <c r="F75" s="11" t="inlineStr"/>
      <c r="G75" s="15" t="inlineStr"/>
      <c r="H75" s="15" t="inlineStr"/>
      <c r="I75" s="16">
        <f>IF($A75="","",IF(2018&lt;$E75,"",IF($D75="Manuell","",IF(2018&gt;$E75+$F75,IF($D75="Fix",$G75,$G75*(1+$H75)^($F75)),IF($D75="Fix",$G75,$G75*(1+$H75)^(2018-$E75))))))</f>
        <v/>
      </c>
      <c r="J75" s="16">
        <f>IF($A75="","",IF(2019&lt;$E75,"",IF($D75="Manuell","",IF(2019&gt;$E75+$F75,IF($D75="Fix",$G75,$G75*(1+$H75)^($F75)),IF($D75="Fix",$G75,$G75*(1+$H75)^(2019-$E75))))))</f>
        <v/>
      </c>
      <c r="K75" s="16">
        <f>IF($A75="","",IF(2020&lt;$E75,"",IF($D75="Manuell","",IF(2020&gt;$E75+$F75,IF($D75="Fix",$G75,$G75*(1+$H75)^($F75)),IF($D75="Fix",$G75,$G75*(1+$H75)^(2020-$E75))))))</f>
        <v/>
      </c>
      <c r="L75" s="16">
        <f>IF($A75="","",IF(2021&lt;$E75,"",IF($D75="Manuell","",IF(2021&gt;$E75+$F75,IF($D75="Fix",$G75,$G75*(1+$H75)^($F75)),IF($D75="Fix",$G75,$G75*(1+$H75)^(2021-$E75))))))</f>
        <v/>
      </c>
      <c r="M75" s="16">
        <f>IF($A75="","",IF(2022&lt;$E75,"",IF($D75="Manuell","",IF(2022&gt;$E75+$F75,IF($D75="Fix",$G75,$G75*(1+$H75)^($F75)),IF($D75="Fix",$G75,$G75*(1+$H75)^(2022-$E75))))))</f>
        <v/>
      </c>
      <c r="N75" s="16">
        <f>IF($A75="","",IF(2023&lt;$E75,"",IF($D75="Manuell","",IF(2023&gt;$E75+$F75,IF($D75="Fix",$G75,$G75*(1+$H75)^($F75)),IF($D75="Fix",$G75,$G75*(1+$H75)^(2023-$E75))))))</f>
        <v/>
      </c>
      <c r="O75" s="16">
        <f>IF($A75="","",IF(2024&lt;$E75,"",IF($D75="Manuell","",IF(2024&gt;$E75+$F75,IF($D75="Fix",$G75,$G75*(1+$H75)^($F75)),IF($D75="Fix",$G75,$G75*(1+$H75)^(2024-$E75))))))</f>
        <v/>
      </c>
      <c r="P75" s="16">
        <f>IF($A75="","",IF(2025&lt;$E75,"",IF($D75="Manuell","",IF(2025&gt;$E75+$F75,IF($D75="Fix",$G75,$G75*(1+$H75)^($F75)),IF($D75="Fix",$G75,$G75*(1+$H75)^(2025-$E75))))))</f>
        <v/>
      </c>
      <c r="Q75" s="16">
        <f>IF($A75="","",IF(2026&lt;$E75,"",IF($D75="Manuell","",IF(2026&gt;$E75+$F75,IF($D75="Fix",$G75,$G75*(1+$H75)^($F75)),IF($D75="Fix",$G75,$G75*(1+$H75)^(2026-$E75))))))</f>
        <v/>
      </c>
      <c r="R75" s="16">
        <f>IF($A75="","",IF(2027&lt;$E75,"",IF($D75="Manuell","",IF(2027&gt;$E75+$F75,IF($D75="Fix",$G75,$G75*(1+$H75)^($F75)),IF($D75="Fix",$G75,$G75*(1+$H75)^(2027-$E75))))))</f>
        <v/>
      </c>
      <c r="S75" s="16">
        <f>IF($A75="","",IF(2028&lt;$E75,"",IF($D75="Manuell","",IF(2028&gt;$E75+$F75,IF($D75="Fix",$G75,$G75*(1+$H75)^($F75)),IF($D75="Fix",$G75,$G75*(1+$H75)^(2028-$E75))))))</f>
        <v/>
      </c>
      <c r="T75" s="16">
        <f>IF($A75="","",IF(2029&lt;$E75,"",IF($D75="Manuell","",IF(2029&gt;$E75+$F75,IF($D75="Fix",$G75,$G75*(1+$H75)^($F75)),IF($D75="Fix",$G75,$G75*(1+$H75)^(2029-$E75))))))</f>
        <v/>
      </c>
      <c r="U75" s="16">
        <f>IF($A75="","",IF(2030&lt;$E75,"",IF($D75="Manuell","",IF(2030&gt;$E75+$F75,IF($D75="Fix",$G75,$G75*(1+$H75)^($F75)),IF($D75="Fix",$G75,$G75*(1+$H75)^(2030-$E75))))))</f>
        <v/>
      </c>
      <c r="V75" s="16">
        <f>IF($A75="","",IF(2031&lt;$E75,"",IF($D75="Manuell","",IF(2031&gt;$E75+$F75,IF($D75="Fix",$G75,$G75*(1+$H75)^($F75)),IF($D75="Fix",$G75,$G75*(1+$H75)^(2031-$E75))))))</f>
        <v/>
      </c>
      <c r="W75" s="16">
        <f>IF($A75="","",IF(2032&lt;$E75,"",IF($D75="Manuell","",IF(2032&gt;$E75+$F75,IF($D75="Fix",$G75,$G75*(1+$H75)^($F75)),IF($D75="Fix",$G75,$G75*(1+$H75)^(2032-$E75))))))</f>
        <v/>
      </c>
      <c r="X75" s="16">
        <f>IF($A75="","",IF(2033&lt;$E75,"",IF($D75="Manuell","",IF(2033&gt;$E75+$F75,IF($D75="Fix",$G75,$G75*(1+$H75)^($F75)),IF($D75="Fix",$G75,$G75*(1+$H75)^(2033-$E75))))))</f>
        <v/>
      </c>
      <c r="Y75" s="16">
        <f>IF($A75="","",IF(2034&lt;$E75,"",IF($D75="Manuell","",IF(2034&gt;$E75+$F75,IF($D75="Fix",$G75,$G75*(1+$H75)^($F75)),IF($D75="Fix",$G75,$G75*(1+$H75)^(2034-$E75))))))</f>
        <v/>
      </c>
      <c r="Z75" s="16">
        <f>IF($A75="","",IF(2035&lt;$E75,"",IF($D75="Manuell","",IF(2035&gt;$E75+$F75,IF($D75="Fix",$G75,$G75*(1+$H75)^($F75)),IF($D75="Fix",$G75,$G75*(1+$H75)^(2035-$E75))))))</f>
        <v/>
      </c>
      <c r="AA75" s="16">
        <f>IF($A75="","",IF(2036&lt;$E75,"",IF($D75="Manuell","",IF(2036&gt;$E75+$F75,IF($D75="Fix",$G75,$G75*(1+$H75)^($F75)),IF($D75="Fix",$G75,$G75*(1+$H75)^(2036-$E75))))))</f>
        <v/>
      </c>
      <c r="AB75" s="16">
        <f>IF($A75="","",IF(2037&lt;$E75,"",IF($D75="Manuell","",IF(2037&gt;$E75+$F75,IF($D75="Fix",$G75,$G75*(1+$H75)^($F75)),IF($D75="Fix",$G75,$G75*(1+$H75)^(2037-$E75))))))</f>
        <v/>
      </c>
      <c r="AC75" s="16">
        <f>IF($A75="","",IF(2038&lt;$E75,"",IF($D75="Manuell","",IF(2038&gt;$E75+$F75,IF($D75="Fix",$G75,$G75*(1+$H75)^($F75)),IF($D75="Fix",$G75,$G75*(1+$H75)^(2038-$E75))))))</f>
        <v/>
      </c>
      <c r="AD75" s="16">
        <f>IF($A75="","",IF(2039&lt;$E75,"",IF($D75="Manuell","",IF(2039&gt;$E75+$F75,IF($D75="Fix",$G75,$G75*(1+$H75)^($F75)),IF($D75="Fix",$G75,$G75*(1+$H75)^(2039-$E75))))))</f>
        <v/>
      </c>
      <c r="AE75" s="16">
        <f>IF($A75="","",IF(2040&lt;$E75,"",IF($D75="Manuell","",IF(2040&gt;$E75+$F75,IF($D75="Fix",$G75,$G75*(1+$H75)^($F75)),IF($D75="Fix",$G75,$G75*(1+$H75)^(2040-$E75))))))</f>
        <v/>
      </c>
      <c r="AF75" s="16">
        <f>IF($A75="","",IF(2041&lt;$E75,"",IF($D75="Manuell","",IF(2041&gt;$E75+$F75,IF($D75="Fix",$G75,$G75*(1+$H75)^($F75)),IF($D75="Fix",$G75,$G75*(1+$H75)^(2041-$E75))))))</f>
        <v/>
      </c>
      <c r="AG75" s="16">
        <f>IF($A75="","",IF(2042&lt;$E75,"",IF($D75="Manuell","",IF(2042&gt;$E75+$F75,IF($D75="Fix",$G75,$G75*(1+$H75)^($F75)),IF($D75="Fix",$G75,$G75*(1+$H75)^(2042-$E75))))))</f>
        <v/>
      </c>
      <c r="AH75" s="16">
        <f>IF($A75="","",IF(2043&lt;$E75,"",IF($D75="Manuell","",IF(2043&gt;$E75+$F75,IF($D75="Fix",$G75,$G75*(1+$H75)^($F75)),IF($D75="Fix",$G75,$G75*(1+$H75)^(2043-$E75))))))</f>
        <v/>
      </c>
      <c r="AI75" s="16">
        <f>IF($A75="","",IF(2044&lt;$E75,"",IF($D75="Manuell","",IF(2044&gt;$E75+$F75,IF($D75="Fix",$G75,$G75*(1+$H75)^($F75)),IF($D75="Fix",$G75,$G75*(1+$H75)^(2044-$E75))))))</f>
        <v/>
      </c>
      <c r="AJ75" s="16">
        <f>IF($A75="","",IF(2045&lt;$E75,"",IF($D75="Manuell","",IF(2045&gt;$E75+$F75,IF($D75="Fix",$G75,$G75*(1+$H75)^($F75)),IF($D75="Fix",$G75,$G75*(1+$H75)^(2045-$E75))))))</f>
        <v/>
      </c>
      <c r="AK75" s="16">
        <f>IF($A75="","",IF(2046&lt;$E75,"",IF($D75="Manuell","",IF(2046&gt;$E75+$F75,IF($D75="Fix",$G75,$G75*(1+$H75)^($F75)),IF($D75="Fix",$G75,$G75*(1+$H75)^(2046-$E75))))))</f>
        <v/>
      </c>
      <c r="AL75" s="16">
        <f>IF($A75="","",IF(2047&lt;$E75,"",IF($D75="Manuell","",IF(2047&gt;$E75+$F75,IF($D75="Fix",$G75,$G75*(1+$H75)^($F75)),IF($D75="Fix",$G75,$G75*(1+$H75)^(2047-$E75))))))</f>
        <v/>
      </c>
      <c r="AM75" s="16">
        <f>IF($A75="","",IF(2048&lt;$E75,"",IF($D75="Manuell","",IF(2048&gt;$E75+$F75,IF($D75="Fix",$G75,$G75*(1+$H75)^($F75)),IF($D75="Fix",$G75,$G75*(1+$H75)^(2048-$E75))))))</f>
        <v/>
      </c>
      <c r="AN75" s="16">
        <f>IF($A75="","",IF(2049&lt;$E75,"",IF($D75="Manuell","",IF(2049&gt;$E75+$F75,IF($D75="Fix",$G75,$G75*(1+$H75)^($F75)),IF($D75="Fix",$G75,$G75*(1+$H75)^(2049-$E75))))))</f>
        <v/>
      </c>
      <c r="AO75" s="16">
        <f>IF($A75="","",IF(2050&lt;$E75,"",IF($D75="Manuell","",IF(2050&gt;$E75+$F75,IF($D75="Fix",$G75,$G75*(1+$H75)^($F75)),IF($D75="Fix",$G75,$G75*(1+$H75)^(2050-$E75))))))</f>
        <v/>
      </c>
      <c r="AP75" s="16">
        <f>IF($A75="","",IF(2051&lt;$E75,"",IF($D75="Manuell","",IF(2051&gt;$E75+$F75,IF($D75="Fix",$G75,$G75*(1+$H75)^($F75)),IF($D75="Fix",$G75,$G75*(1+$H75)^(2051-$E75))))))</f>
        <v/>
      </c>
      <c r="AQ75" s="16">
        <f>IF($A75="","",IF(2052&lt;$E75,"",IF($D75="Manuell","",IF(2052&gt;$E75+$F75,IF($D75="Fix",$G75,$G75*(1+$H75)^($F75)),IF($D75="Fix",$G75,$G75*(1+$H75)^(2052-$E75))))))</f>
        <v/>
      </c>
      <c r="AR75" s="16">
        <f>IF($A75="","",IF(2053&lt;$E75,"",IF($D75="Manuell","",IF(2053&gt;$E75+$F75,IF($D75="Fix",$G75,$G75*(1+$H75)^($F75)),IF($D75="Fix",$G75,$G75*(1+$H75)^(2053-$E75))))))</f>
        <v/>
      </c>
      <c r="AS75" s="16">
        <f>IF($A75="","",IF(2054&lt;$E75,"",IF($D75="Manuell","",IF(2054&gt;$E75+$F75,IF($D75="Fix",$G75,$G75*(1+$H75)^($F75)),IF($D75="Fix",$G75,$G75*(1+$H75)^(2054-$E75))))))</f>
        <v/>
      </c>
      <c r="AT75" s="16">
        <f>IF($A75="","",IF(2055&lt;$E75,"",IF($D75="Manuell","",IF(2055&gt;$E75+$F75,IF($D75="Fix",$G75,$G75*(1+$H75)^($F75)),IF($D75="Fix",$G75,$G75*(1+$H75)^(2055-$E75))))))</f>
        <v/>
      </c>
    </row>
    <row r="76">
      <c r="A76" s="14" t="inlineStr"/>
      <c r="B76" s="14" t="inlineStr"/>
      <c r="C76" s="14" t="inlineStr"/>
      <c r="D76" s="14" t="inlineStr"/>
      <c r="E76" s="11" t="inlineStr"/>
      <c r="F76" s="11" t="inlineStr"/>
      <c r="G76" s="15" t="inlineStr"/>
      <c r="H76" s="15" t="inlineStr"/>
      <c r="I76" s="16">
        <f>IF($A76="","",IF(2018&lt;$E76,"",IF($D76="Manuell","",IF(2018&gt;$E76+$F76,IF($D76="Fix",$G76,$G76*(1+$H76)^($F76)),IF($D76="Fix",$G76,$G76*(1+$H76)^(2018-$E76))))))</f>
        <v/>
      </c>
      <c r="J76" s="16">
        <f>IF($A76="","",IF(2019&lt;$E76,"",IF($D76="Manuell","",IF(2019&gt;$E76+$F76,IF($D76="Fix",$G76,$G76*(1+$H76)^($F76)),IF($D76="Fix",$G76,$G76*(1+$H76)^(2019-$E76))))))</f>
        <v/>
      </c>
      <c r="K76" s="16">
        <f>IF($A76="","",IF(2020&lt;$E76,"",IF($D76="Manuell","",IF(2020&gt;$E76+$F76,IF($D76="Fix",$G76,$G76*(1+$H76)^($F76)),IF($D76="Fix",$G76,$G76*(1+$H76)^(2020-$E76))))))</f>
        <v/>
      </c>
      <c r="L76" s="16">
        <f>IF($A76="","",IF(2021&lt;$E76,"",IF($D76="Manuell","",IF(2021&gt;$E76+$F76,IF($D76="Fix",$G76,$G76*(1+$H76)^($F76)),IF($D76="Fix",$G76,$G76*(1+$H76)^(2021-$E76))))))</f>
        <v/>
      </c>
      <c r="M76" s="16">
        <f>IF($A76="","",IF(2022&lt;$E76,"",IF($D76="Manuell","",IF(2022&gt;$E76+$F76,IF($D76="Fix",$G76,$G76*(1+$H76)^($F76)),IF($D76="Fix",$G76,$G76*(1+$H76)^(2022-$E76))))))</f>
        <v/>
      </c>
      <c r="N76" s="16">
        <f>IF($A76="","",IF(2023&lt;$E76,"",IF($D76="Manuell","",IF(2023&gt;$E76+$F76,IF($D76="Fix",$G76,$G76*(1+$H76)^($F76)),IF($D76="Fix",$G76,$G76*(1+$H76)^(2023-$E76))))))</f>
        <v/>
      </c>
      <c r="O76" s="16">
        <f>IF($A76="","",IF(2024&lt;$E76,"",IF($D76="Manuell","",IF(2024&gt;$E76+$F76,IF($D76="Fix",$G76,$G76*(1+$H76)^($F76)),IF($D76="Fix",$G76,$G76*(1+$H76)^(2024-$E76))))))</f>
        <v/>
      </c>
      <c r="P76" s="16">
        <f>IF($A76="","",IF(2025&lt;$E76,"",IF($D76="Manuell","",IF(2025&gt;$E76+$F76,IF($D76="Fix",$G76,$G76*(1+$H76)^($F76)),IF($D76="Fix",$G76,$G76*(1+$H76)^(2025-$E76))))))</f>
        <v/>
      </c>
      <c r="Q76" s="16">
        <f>IF($A76="","",IF(2026&lt;$E76,"",IF($D76="Manuell","",IF(2026&gt;$E76+$F76,IF($D76="Fix",$G76,$G76*(1+$H76)^($F76)),IF($D76="Fix",$G76,$G76*(1+$H76)^(2026-$E76))))))</f>
        <v/>
      </c>
      <c r="R76" s="16">
        <f>IF($A76="","",IF(2027&lt;$E76,"",IF($D76="Manuell","",IF(2027&gt;$E76+$F76,IF($D76="Fix",$G76,$G76*(1+$H76)^($F76)),IF($D76="Fix",$G76,$G76*(1+$H76)^(2027-$E76))))))</f>
        <v/>
      </c>
      <c r="S76" s="16">
        <f>IF($A76="","",IF(2028&lt;$E76,"",IF($D76="Manuell","",IF(2028&gt;$E76+$F76,IF($D76="Fix",$G76,$G76*(1+$H76)^($F76)),IF($D76="Fix",$G76,$G76*(1+$H76)^(2028-$E76))))))</f>
        <v/>
      </c>
      <c r="T76" s="16">
        <f>IF($A76="","",IF(2029&lt;$E76,"",IF($D76="Manuell","",IF(2029&gt;$E76+$F76,IF($D76="Fix",$G76,$G76*(1+$H76)^($F76)),IF($D76="Fix",$G76,$G76*(1+$H76)^(2029-$E76))))))</f>
        <v/>
      </c>
      <c r="U76" s="16">
        <f>IF($A76="","",IF(2030&lt;$E76,"",IF($D76="Manuell","",IF(2030&gt;$E76+$F76,IF($D76="Fix",$G76,$G76*(1+$H76)^($F76)),IF($D76="Fix",$G76,$G76*(1+$H76)^(2030-$E76))))))</f>
        <v/>
      </c>
      <c r="V76" s="16">
        <f>IF($A76="","",IF(2031&lt;$E76,"",IF($D76="Manuell","",IF(2031&gt;$E76+$F76,IF($D76="Fix",$G76,$G76*(1+$H76)^($F76)),IF($D76="Fix",$G76,$G76*(1+$H76)^(2031-$E76))))))</f>
        <v/>
      </c>
      <c r="W76" s="16">
        <f>IF($A76="","",IF(2032&lt;$E76,"",IF($D76="Manuell","",IF(2032&gt;$E76+$F76,IF($D76="Fix",$G76,$G76*(1+$H76)^($F76)),IF($D76="Fix",$G76,$G76*(1+$H76)^(2032-$E76))))))</f>
        <v/>
      </c>
      <c r="X76" s="16">
        <f>IF($A76="","",IF(2033&lt;$E76,"",IF($D76="Manuell","",IF(2033&gt;$E76+$F76,IF($D76="Fix",$G76,$G76*(1+$H76)^($F76)),IF($D76="Fix",$G76,$G76*(1+$H76)^(2033-$E76))))))</f>
        <v/>
      </c>
      <c r="Y76" s="16">
        <f>IF($A76="","",IF(2034&lt;$E76,"",IF($D76="Manuell","",IF(2034&gt;$E76+$F76,IF($D76="Fix",$G76,$G76*(1+$H76)^($F76)),IF($D76="Fix",$G76,$G76*(1+$H76)^(2034-$E76))))))</f>
        <v/>
      </c>
      <c r="Z76" s="16">
        <f>IF($A76="","",IF(2035&lt;$E76,"",IF($D76="Manuell","",IF(2035&gt;$E76+$F76,IF($D76="Fix",$G76,$G76*(1+$H76)^($F76)),IF($D76="Fix",$G76,$G76*(1+$H76)^(2035-$E76))))))</f>
        <v/>
      </c>
      <c r="AA76" s="16">
        <f>IF($A76="","",IF(2036&lt;$E76,"",IF($D76="Manuell","",IF(2036&gt;$E76+$F76,IF($D76="Fix",$G76,$G76*(1+$H76)^($F76)),IF($D76="Fix",$G76,$G76*(1+$H76)^(2036-$E76))))))</f>
        <v/>
      </c>
      <c r="AB76" s="16">
        <f>IF($A76="","",IF(2037&lt;$E76,"",IF($D76="Manuell","",IF(2037&gt;$E76+$F76,IF($D76="Fix",$G76,$G76*(1+$H76)^($F76)),IF($D76="Fix",$G76,$G76*(1+$H76)^(2037-$E76))))))</f>
        <v/>
      </c>
      <c r="AC76" s="16">
        <f>IF($A76="","",IF(2038&lt;$E76,"",IF($D76="Manuell","",IF(2038&gt;$E76+$F76,IF($D76="Fix",$G76,$G76*(1+$H76)^($F76)),IF($D76="Fix",$G76,$G76*(1+$H76)^(2038-$E76))))))</f>
        <v/>
      </c>
      <c r="AD76" s="16">
        <f>IF($A76="","",IF(2039&lt;$E76,"",IF($D76="Manuell","",IF(2039&gt;$E76+$F76,IF($D76="Fix",$G76,$G76*(1+$H76)^($F76)),IF($D76="Fix",$G76,$G76*(1+$H76)^(2039-$E76))))))</f>
        <v/>
      </c>
      <c r="AE76" s="16">
        <f>IF($A76="","",IF(2040&lt;$E76,"",IF($D76="Manuell","",IF(2040&gt;$E76+$F76,IF($D76="Fix",$G76,$G76*(1+$H76)^($F76)),IF($D76="Fix",$G76,$G76*(1+$H76)^(2040-$E76))))))</f>
        <v/>
      </c>
      <c r="AF76" s="16">
        <f>IF($A76="","",IF(2041&lt;$E76,"",IF($D76="Manuell","",IF(2041&gt;$E76+$F76,IF($D76="Fix",$G76,$G76*(1+$H76)^($F76)),IF($D76="Fix",$G76,$G76*(1+$H76)^(2041-$E76))))))</f>
        <v/>
      </c>
      <c r="AG76" s="16">
        <f>IF($A76="","",IF(2042&lt;$E76,"",IF($D76="Manuell","",IF(2042&gt;$E76+$F76,IF($D76="Fix",$G76,$G76*(1+$H76)^($F76)),IF($D76="Fix",$G76,$G76*(1+$H76)^(2042-$E76))))))</f>
        <v/>
      </c>
      <c r="AH76" s="16">
        <f>IF($A76="","",IF(2043&lt;$E76,"",IF($D76="Manuell","",IF(2043&gt;$E76+$F76,IF($D76="Fix",$G76,$G76*(1+$H76)^($F76)),IF($D76="Fix",$G76,$G76*(1+$H76)^(2043-$E76))))))</f>
        <v/>
      </c>
      <c r="AI76" s="16">
        <f>IF($A76="","",IF(2044&lt;$E76,"",IF($D76="Manuell","",IF(2044&gt;$E76+$F76,IF($D76="Fix",$G76,$G76*(1+$H76)^($F76)),IF($D76="Fix",$G76,$G76*(1+$H76)^(2044-$E76))))))</f>
        <v/>
      </c>
      <c r="AJ76" s="16">
        <f>IF($A76="","",IF(2045&lt;$E76,"",IF($D76="Manuell","",IF(2045&gt;$E76+$F76,IF($D76="Fix",$G76,$G76*(1+$H76)^($F76)),IF($D76="Fix",$G76,$G76*(1+$H76)^(2045-$E76))))))</f>
        <v/>
      </c>
      <c r="AK76" s="16">
        <f>IF($A76="","",IF(2046&lt;$E76,"",IF($D76="Manuell","",IF(2046&gt;$E76+$F76,IF($D76="Fix",$G76,$G76*(1+$H76)^($F76)),IF($D76="Fix",$G76,$G76*(1+$H76)^(2046-$E76))))))</f>
        <v/>
      </c>
      <c r="AL76" s="16">
        <f>IF($A76="","",IF(2047&lt;$E76,"",IF($D76="Manuell","",IF(2047&gt;$E76+$F76,IF($D76="Fix",$G76,$G76*(1+$H76)^($F76)),IF($D76="Fix",$G76,$G76*(1+$H76)^(2047-$E76))))))</f>
        <v/>
      </c>
      <c r="AM76" s="16">
        <f>IF($A76="","",IF(2048&lt;$E76,"",IF($D76="Manuell","",IF(2048&gt;$E76+$F76,IF($D76="Fix",$G76,$G76*(1+$H76)^($F76)),IF($D76="Fix",$G76,$G76*(1+$H76)^(2048-$E76))))))</f>
        <v/>
      </c>
      <c r="AN76" s="16">
        <f>IF($A76="","",IF(2049&lt;$E76,"",IF($D76="Manuell","",IF(2049&gt;$E76+$F76,IF($D76="Fix",$G76,$G76*(1+$H76)^($F76)),IF($D76="Fix",$G76,$G76*(1+$H76)^(2049-$E76))))))</f>
        <v/>
      </c>
      <c r="AO76" s="16">
        <f>IF($A76="","",IF(2050&lt;$E76,"",IF($D76="Manuell","",IF(2050&gt;$E76+$F76,IF($D76="Fix",$G76,$G76*(1+$H76)^($F76)),IF($D76="Fix",$G76,$G76*(1+$H76)^(2050-$E76))))))</f>
        <v/>
      </c>
      <c r="AP76" s="16">
        <f>IF($A76="","",IF(2051&lt;$E76,"",IF($D76="Manuell","",IF(2051&gt;$E76+$F76,IF($D76="Fix",$G76,$G76*(1+$H76)^($F76)),IF($D76="Fix",$G76,$G76*(1+$H76)^(2051-$E76))))))</f>
        <v/>
      </c>
      <c r="AQ76" s="16">
        <f>IF($A76="","",IF(2052&lt;$E76,"",IF($D76="Manuell","",IF(2052&gt;$E76+$F76,IF($D76="Fix",$G76,$G76*(1+$H76)^($F76)),IF($D76="Fix",$G76,$G76*(1+$H76)^(2052-$E76))))))</f>
        <v/>
      </c>
      <c r="AR76" s="16">
        <f>IF($A76="","",IF(2053&lt;$E76,"",IF($D76="Manuell","",IF(2053&gt;$E76+$F76,IF($D76="Fix",$G76,$G76*(1+$H76)^($F76)),IF($D76="Fix",$G76,$G76*(1+$H76)^(2053-$E76))))))</f>
        <v/>
      </c>
      <c r="AS76" s="16">
        <f>IF($A76="","",IF(2054&lt;$E76,"",IF($D76="Manuell","",IF(2054&gt;$E76+$F76,IF($D76="Fix",$G76,$G76*(1+$H76)^($F76)),IF($D76="Fix",$G76,$G76*(1+$H76)^(2054-$E76))))))</f>
        <v/>
      </c>
      <c r="AT76" s="16">
        <f>IF($A76="","",IF(2055&lt;$E76,"",IF($D76="Manuell","",IF(2055&gt;$E76+$F76,IF($D76="Fix",$G76,$G76*(1+$H76)^($F76)),IF($D76="Fix",$G76,$G76*(1+$H76)^(2055-$E76))))))</f>
        <v/>
      </c>
    </row>
    <row r="77">
      <c r="A77" s="14" t="inlineStr"/>
      <c r="B77" s="14" t="inlineStr"/>
      <c r="C77" s="14" t="inlineStr"/>
      <c r="D77" s="14" t="inlineStr"/>
      <c r="E77" s="11" t="inlineStr"/>
      <c r="F77" s="11" t="inlineStr"/>
      <c r="G77" s="15" t="inlineStr"/>
      <c r="H77" s="15" t="inlineStr"/>
      <c r="I77" s="16">
        <f>IF($A77="","",IF(2018&lt;$E77,"",IF($D77="Manuell","",IF(2018&gt;$E77+$F77,IF($D77="Fix",$G77,$G77*(1+$H77)^($F77)),IF($D77="Fix",$G77,$G77*(1+$H77)^(2018-$E77))))))</f>
        <v/>
      </c>
      <c r="J77" s="16">
        <f>IF($A77="","",IF(2019&lt;$E77,"",IF($D77="Manuell","",IF(2019&gt;$E77+$F77,IF($D77="Fix",$G77,$G77*(1+$H77)^($F77)),IF($D77="Fix",$G77,$G77*(1+$H77)^(2019-$E77))))))</f>
        <v/>
      </c>
      <c r="K77" s="16">
        <f>IF($A77="","",IF(2020&lt;$E77,"",IF($D77="Manuell","",IF(2020&gt;$E77+$F77,IF($D77="Fix",$G77,$G77*(1+$H77)^($F77)),IF($D77="Fix",$G77,$G77*(1+$H77)^(2020-$E77))))))</f>
        <v/>
      </c>
      <c r="L77" s="16">
        <f>IF($A77="","",IF(2021&lt;$E77,"",IF($D77="Manuell","",IF(2021&gt;$E77+$F77,IF($D77="Fix",$G77,$G77*(1+$H77)^($F77)),IF($D77="Fix",$G77,$G77*(1+$H77)^(2021-$E77))))))</f>
        <v/>
      </c>
      <c r="M77" s="16">
        <f>IF($A77="","",IF(2022&lt;$E77,"",IF($D77="Manuell","",IF(2022&gt;$E77+$F77,IF($D77="Fix",$G77,$G77*(1+$H77)^($F77)),IF($D77="Fix",$G77,$G77*(1+$H77)^(2022-$E77))))))</f>
        <v/>
      </c>
      <c r="N77" s="16">
        <f>IF($A77="","",IF(2023&lt;$E77,"",IF($D77="Manuell","",IF(2023&gt;$E77+$F77,IF($D77="Fix",$G77,$G77*(1+$H77)^($F77)),IF($D77="Fix",$G77,$G77*(1+$H77)^(2023-$E77))))))</f>
        <v/>
      </c>
      <c r="O77" s="16">
        <f>IF($A77="","",IF(2024&lt;$E77,"",IF($D77="Manuell","",IF(2024&gt;$E77+$F77,IF($D77="Fix",$G77,$G77*(1+$H77)^($F77)),IF($D77="Fix",$G77,$G77*(1+$H77)^(2024-$E77))))))</f>
        <v/>
      </c>
      <c r="P77" s="16">
        <f>IF($A77="","",IF(2025&lt;$E77,"",IF($D77="Manuell","",IF(2025&gt;$E77+$F77,IF($D77="Fix",$G77,$G77*(1+$H77)^($F77)),IF($D77="Fix",$G77,$G77*(1+$H77)^(2025-$E77))))))</f>
        <v/>
      </c>
      <c r="Q77" s="16">
        <f>IF($A77="","",IF(2026&lt;$E77,"",IF($D77="Manuell","",IF(2026&gt;$E77+$F77,IF($D77="Fix",$G77,$G77*(1+$H77)^($F77)),IF($D77="Fix",$G77,$G77*(1+$H77)^(2026-$E77))))))</f>
        <v/>
      </c>
      <c r="R77" s="16">
        <f>IF($A77="","",IF(2027&lt;$E77,"",IF($D77="Manuell","",IF(2027&gt;$E77+$F77,IF($D77="Fix",$G77,$G77*(1+$H77)^($F77)),IF($D77="Fix",$G77,$G77*(1+$H77)^(2027-$E77))))))</f>
        <v/>
      </c>
      <c r="S77" s="16">
        <f>IF($A77="","",IF(2028&lt;$E77,"",IF($D77="Manuell","",IF(2028&gt;$E77+$F77,IF($D77="Fix",$G77,$G77*(1+$H77)^($F77)),IF($D77="Fix",$G77,$G77*(1+$H77)^(2028-$E77))))))</f>
        <v/>
      </c>
      <c r="T77" s="16">
        <f>IF($A77="","",IF(2029&lt;$E77,"",IF($D77="Manuell","",IF(2029&gt;$E77+$F77,IF($D77="Fix",$G77,$G77*(1+$H77)^($F77)),IF($D77="Fix",$G77,$G77*(1+$H77)^(2029-$E77))))))</f>
        <v/>
      </c>
      <c r="U77" s="16">
        <f>IF($A77="","",IF(2030&lt;$E77,"",IF($D77="Manuell","",IF(2030&gt;$E77+$F77,IF($D77="Fix",$G77,$G77*(1+$H77)^($F77)),IF($D77="Fix",$G77,$G77*(1+$H77)^(2030-$E77))))))</f>
        <v/>
      </c>
      <c r="V77" s="16">
        <f>IF($A77="","",IF(2031&lt;$E77,"",IF($D77="Manuell","",IF(2031&gt;$E77+$F77,IF($D77="Fix",$G77,$G77*(1+$H77)^($F77)),IF($D77="Fix",$G77,$G77*(1+$H77)^(2031-$E77))))))</f>
        <v/>
      </c>
      <c r="W77" s="16">
        <f>IF($A77="","",IF(2032&lt;$E77,"",IF($D77="Manuell","",IF(2032&gt;$E77+$F77,IF($D77="Fix",$G77,$G77*(1+$H77)^($F77)),IF($D77="Fix",$G77,$G77*(1+$H77)^(2032-$E77))))))</f>
        <v/>
      </c>
      <c r="X77" s="16">
        <f>IF($A77="","",IF(2033&lt;$E77,"",IF($D77="Manuell","",IF(2033&gt;$E77+$F77,IF($D77="Fix",$G77,$G77*(1+$H77)^($F77)),IF($D77="Fix",$G77,$G77*(1+$H77)^(2033-$E77))))))</f>
        <v/>
      </c>
      <c r="Y77" s="16">
        <f>IF($A77="","",IF(2034&lt;$E77,"",IF($D77="Manuell","",IF(2034&gt;$E77+$F77,IF($D77="Fix",$G77,$G77*(1+$H77)^($F77)),IF($D77="Fix",$G77,$G77*(1+$H77)^(2034-$E77))))))</f>
        <v/>
      </c>
      <c r="Z77" s="16">
        <f>IF($A77="","",IF(2035&lt;$E77,"",IF($D77="Manuell","",IF(2035&gt;$E77+$F77,IF($D77="Fix",$G77,$G77*(1+$H77)^($F77)),IF($D77="Fix",$G77,$G77*(1+$H77)^(2035-$E77))))))</f>
        <v/>
      </c>
      <c r="AA77" s="16">
        <f>IF($A77="","",IF(2036&lt;$E77,"",IF($D77="Manuell","",IF(2036&gt;$E77+$F77,IF($D77="Fix",$G77,$G77*(1+$H77)^($F77)),IF($D77="Fix",$G77,$G77*(1+$H77)^(2036-$E77))))))</f>
        <v/>
      </c>
      <c r="AB77" s="16">
        <f>IF($A77="","",IF(2037&lt;$E77,"",IF($D77="Manuell","",IF(2037&gt;$E77+$F77,IF($D77="Fix",$G77,$G77*(1+$H77)^($F77)),IF($D77="Fix",$G77,$G77*(1+$H77)^(2037-$E77))))))</f>
        <v/>
      </c>
      <c r="AC77" s="16">
        <f>IF($A77="","",IF(2038&lt;$E77,"",IF($D77="Manuell","",IF(2038&gt;$E77+$F77,IF($D77="Fix",$G77,$G77*(1+$H77)^($F77)),IF($D77="Fix",$G77,$G77*(1+$H77)^(2038-$E77))))))</f>
        <v/>
      </c>
      <c r="AD77" s="16">
        <f>IF($A77="","",IF(2039&lt;$E77,"",IF($D77="Manuell","",IF(2039&gt;$E77+$F77,IF($D77="Fix",$G77,$G77*(1+$H77)^($F77)),IF($D77="Fix",$G77,$G77*(1+$H77)^(2039-$E77))))))</f>
        <v/>
      </c>
      <c r="AE77" s="16">
        <f>IF($A77="","",IF(2040&lt;$E77,"",IF($D77="Manuell","",IF(2040&gt;$E77+$F77,IF($D77="Fix",$G77,$G77*(1+$H77)^($F77)),IF($D77="Fix",$G77,$G77*(1+$H77)^(2040-$E77))))))</f>
        <v/>
      </c>
      <c r="AF77" s="16">
        <f>IF($A77="","",IF(2041&lt;$E77,"",IF($D77="Manuell","",IF(2041&gt;$E77+$F77,IF($D77="Fix",$G77,$G77*(1+$H77)^($F77)),IF($D77="Fix",$G77,$G77*(1+$H77)^(2041-$E77))))))</f>
        <v/>
      </c>
      <c r="AG77" s="16">
        <f>IF($A77="","",IF(2042&lt;$E77,"",IF($D77="Manuell","",IF(2042&gt;$E77+$F77,IF($D77="Fix",$G77,$G77*(1+$H77)^($F77)),IF($D77="Fix",$G77,$G77*(1+$H77)^(2042-$E77))))))</f>
        <v/>
      </c>
      <c r="AH77" s="16">
        <f>IF($A77="","",IF(2043&lt;$E77,"",IF($D77="Manuell","",IF(2043&gt;$E77+$F77,IF($D77="Fix",$G77,$G77*(1+$H77)^($F77)),IF($D77="Fix",$G77,$G77*(1+$H77)^(2043-$E77))))))</f>
        <v/>
      </c>
      <c r="AI77" s="16">
        <f>IF($A77="","",IF(2044&lt;$E77,"",IF($D77="Manuell","",IF(2044&gt;$E77+$F77,IF($D77="Fix",$G77,$G77*(1+$H77)^($F77)),IF($D77="Fix",$G77,$G77*(1+$H77)^(2044-$E77))))))</f>
        <v/>
      </c>
      <c r="AJ77" s="16">
        <f>IF($A77="","",IF(2045&lt;$E77,"",IF($D77="Manuell","",IF(2045&gt;$E77+$F77,IF($D77="Fix",$G77,$G77*(1+$H77)^($F77)),IF($D77="Fix",$G77,$G77*(1+$H77)^(2045-$E77))))))</f>
        <v/>
      </c>
      <c r="AK77" s="16">
        <f>IF($A77="","",IF(2046&lt;$E77,"",IF($D77="Manuell","",IF(2046&gt;$E77+$F77,IF($D77="Fix",$G77,$G77*(1+$H77)^($F77)),IF($D77="Fix",$G77,$G77*(1+$H77)^(2046-$E77))))))</f>
        <v/>
      </c>
      <c r="AL77" s="16">
        <f>IF($A77="","",IF(2047&lt;$E77,"",IF($D77="Manuell","",IF(2047&gt;$E77+$F77,IF($D77="Fix",$G77,$G77*(1+$H77)^($F77)),IF($D77="Fix",$G77,$G77*(1+$H77)^(2047-$E77))))))</f>
        <v/>
      </c>
      <c r="AM77" s="16">
        <f>IF($A77="","",IF(2048&lt;$E77,"",IF($D77="Manuell","",IF(2048&gt;$E77+$F77,IF($D77="Fix",$G77,$G77*(1+$H77)^($F77)),IF($D77="Fix",$G77,$G77*(1+$H77)^(2048-$E77))))))</f>
        <v/>
      </c>
      <c r="AN77" s="16">
        <f>IF($A77="","",IF(2049&lt;$E77,"",IF($D77="Manuell","",IF(2049&gt;$E77+$F77,IF($D77="Fix",$G77,$G77*(1+$H77)^($F77)),IF($D77="Fix",$G77,$G77*(1+$H77)^(2049-$E77))))))</f>
        <v/>
      </c>
      <c r="AO77" s="16">
        <f>IF($A77="","",IF(2050&lt;$E77,"",IF($D77="Manuell","",IF(2050&gt;$E77+$F77,IF($D77="Fix",$G77,$G77*(1+$H77)^($F77)),IF($D77="Fix",$G77,$G77*(1+$H77)^(2050-$E77))))))</f>
        <v/>
      </c>
      <c r="AP77" s="16">
        <f>IF($A77="","",IF(2051&lt;$E77,"",IF($D77="Manuell","",IF(2051&gt;$E77+$F77,IF($D77="Fix",$G77,$G77*(1+$H77)^($F77)),IF($D77="Fix",$G77,$G77*(1+$H77)^(2051-$E77))))))</f>
        <v/>
      </c>
      <c r="AQ77" s="16">
        <f>IF($A77="","",IF(2052&lt;$E77,"",IF($D77="Manuell","",IF(2052&gt;$E77+$F77,IF($D77="Fix",$G77,$G77*(1+$H77)^($F77)),IF($D77="Fix",$G77,$G77*(1+$H77)^(2052-$E77))))))</f>
        <v/>
      </c>
      <c r="AR77" s="16">
        <f>IF($A77="","",IF(2053&lt;$E77,"",IF($D77="Manuell","",IF(2053&gt;$E77+$F77,IF($D77="Fix",$G77,$G77*(1+$H77)^($F77)),IF($D77="Fix",$G77,$G77*(1+$H77)^(2053-$E77))))))</f>
        <v/>
      </c>
      <c r="AS77" s="16">
        <f>IF($A77="","",IF(2054&lt;$E77,"",IF($D77="Manuell","",IF(2054&gt;$E77+$F77,IF($D77="Fix",$G77,$G77*(1+$H77)^($F77)),IF($D77="Fix",$G77,$G77*(1+$H77)^(2054-$E77))))))</f>
        <v/>
      </c>
      <c r="AT77" s="16">
        <f>IF($A77="","",IF(2055&lt;$E77,"",IF($D77="Manuell","",IF(2055&gt;$E77+$F77,IF($D77="Fix",$G77,$G77*(1+$H77)^($F77)),IF($D77="Fix",$G77,$G77*(1+$H77)^(2055-$E77))))))</f>
        <v/>
      </c>
    </row>
    <row r="78">
      <c r="A78" s="14" t="inlineStr"/>
      <c r="B78" s="14" t="inlineStr"/>
      <c r="C78" s="14" t="inlineStr"/>
      <c r="D78" s="14" t="inlineStr"/>
      <c r="E78" s="11" t="inlineStr"/>
      <c r="F78" s="11" t="inlineStr"/>
      <c r="G78" s="15" t="inlineStr"/>
      <c r="H78" s="15" t="inlineStr"/>
      <c r="I78" s="16">
        <f>IF($A78="","",IF(2018&lt;$E78,"",IF($D78="Manuell","",IF(2018&gt;$E78+$F78,IF($D78="Fix",$G78,$G78*(1+$H78)^($F78)),IF($D78="Fix",$G78,$G78*(1+$H78)^(2018-$E78))))))</f>
        <v/>
      </c>
      <c r="J78" s="16">
        <f>IF($A78="","",IF(2019&lt;$E78,"",IF($D78="Manuell","",IF(2019&gt;$E78+$F78,IF($D78="Fix",$G78,$G78*(1+$H78)^($F78)),IF($D78="Fix",$G78,$G78*(1+$H78)^(2019-$E78))))))</f>
        <v/>
      </c>
      <c r="K78" s="16">
        <f>IF($A78="","",IF(2020&lt;$E78,"",IF($D78="Manuell","",IF(2020&gt;$E78+$F78,IF($D78="Fix",$G78,$G78*(1+$H78)^($F78)),IF($D78="Fix",$G78,$G78*(1+$H78)^(2020-$E78))))))</f>
        <v/>
      </c>
      <c r="L78" s="16">
        <f>IF($A78="","",IF(2021&lt;$E78,"",IF($D78="Manuell","",IF(2021&gt;$E78+$F78,IF($D78="Fix",$G78,$G78*(1+$H78)^($F78)),IF($D78="Fix",$G78,$G78*(1+$H78)^(2021-$E78))))))</f>
        <v/>
      </c>
      <c r="M78" s="16">
        <f>IF($A78="","",IF(2022&lt;$E78,"",IF($D78="Manuell","",IF(2022&gt;$E78+$F78,IF($D78="Fix",$G78,$G78*(1+$H78)^($F78)),IF($D78="Fix",$G78,$G78*(1+$H78)^(2022-$E78))))))</f>
        <v/>
      </c>
      <c r="N78" s="16">
        <f>IF($A78="","",IF(2023&lt;$E78,"",IF($D78="Manuell","",IF(2023&gt;$E78+$F78,IF($D78="Fix",$G78,$G78*(1+$H78)^($F78)),IF($D78="Fix",$G78,$G78*(1+$H78)^(2023-$E78))))))</f>
        <v/>
      </c>
      <c r="O78" s="16">
        <f>IF($A78="","",IF(2024&lt;$E78,"",IF($D78="Manuell","",IF(2024&gt;$E78+$F78,IF($D78="Fix",$G78,$G78*(1+$H78)^($F78)),IF($D78="Fix",$G78,$G78*(1+$H78)^(2024-$E78))))))</f>
        <v/>
      </c>
      <c r="P78" s="16">
        <f>IF($A78="","",IF(2025&lt;$E78,"",IF($D78="Manuell","",IF(2025&gt;$E78+$F78,IF($D78="Fix",$G78,$G78*(1+$H78)^($F78)),IF($D78="Fix",$G78,$G78*(1+$H78)^(2025-$E78))))))</f>
        <v/>
      </c>
      <c r="Q78" s="16">
        <f>IF($A78="","",IF(2026&lt;$E78,"",IF($D78="Manuell","",IF(2026&gt;$E78+$F78,IF($D78="Fix",$G78,$G78*(1+$H78)^($F78)),IF($D78="Fix",$G78,$G78*(1+$H78)^(2026-$E78))))))</f>
        <v/>
      </c>
      <c r="R78" s="16">
        <f>IF($A78="","",IF(2027&lt;$E78,"",IF($D78="Manuell","",IF(2027&gt;$E78+$F78,IF($D78="Fix",$G78,$G78*(1+$H78)^($F78)),IF($D78="Fix",$G78,$G78*(1+$H78)^(2027-$E78))))))</f>
        <v/>
      </c>
      <c r="S78" s="16">
        <f>IF($A78="","",IF(2028&lt;$E78,"",IF($D78="Manuell","",IF(2028&gt;$E78+$F78,IF($D78="Fix",$G78,$G78*(1+$H78)^($F78)),IF($D78="Fix",$G78,$G78*(1+$H78)^(2028-$E78))))))</f>
        <v/>
      </c>
      <c r="T78" s="16">
        <f>IF($A78="","",IF(2029&lt;$E78,"",IF($D78="Manuell","",IF(2029&gt;$E78+$F78,IF($D78="Fix",$G78,$G78*(1+$H78)^($F78)),IF($D78="Fix",$G78,$G78*(1+$H78)^(2029-$E78))))))</f>
        <v/>
      </c>
      <c r="U78" s="16">
        <f>IF($A78="","",IF(2030&lt;$E78,"",IF($D78="Manuell","",IF(2030&gt;$E78+$F78,IF($D78="Fix",$G78,$G78*(1+$H78)^($F78)),IF($D78="Fix",$G78,$G78*(1+$H78)^(2030-$E78))))))</f>
        <v/>
      </c>
      <c r="V78" s="16">
        <f>IF($A78="","",IF(2031&lt;$E78,"",IF($D78="Manuell","",IF(2031&gt;$E78+$F78,IF($D78="Fix",$G78,$G78*(1+$H78)^($F78)),IF($D78="Fix",$G78,$G78*(1+$H78)^(2031-$E78))))))</f>
        <v/>
      </c>
      <c r="W78" s="16">
        <f>IF($A78="","",IF(2032&lt;$E78,"",IF($D78="Manuell","",IF(2032&gt;$E78+$F78,IF($D78="Fix",$G78,$G78*(1+$H78)^($F78)),IF($D78="Fix",$G78,$G78*(1+$H78)^(2032-$E78))))))</f>
        <v/>
      </c>
      <c r="X78" s="16">
        <f>IF($A78="","",IF(2033&lt;$E78,"",IF($D78="Manuell","",IF(2033&gt;$E78+$F78,IF($D78="Fix",$G78,$G78*(1+$H78)^($F78)),IF($D78="Fix",$G78,$G78*(1+$H78)^(2033-$E78))))))</f>
        <v/>
      </c>
      <c r="Y78" s="16">
        <f>IF($A78="","",IF(2034&lt;$E78,"",IF($D78="Manuell","",IF(2034&gt;$E78+$F78,IF($D78="Fix",$G78,$G78*(1+$H78)^($F78)),IF($D78="Fix",$G78,$G78*(1+$H78)^(2034-$E78))))))</f>
        <v/>
      </c>
      <c r="Z78" s="16">
        <f>IF($A78="","",IF(2035&lt;$E78,"",IF($D78="Manuell","",IF(2035&gt;$E78+$F78,IF($D78="Fix",$G78,$G78*(1+$H78)^($F78)),IF($D78="Fix",$G78,$G78*(1+$H78)^(2035-$E78))))))</f>
        <v/>
      </c>
      <c r="AA78" s="16">
        <f>IF($A78="","",IF(2036&lt;$E78,"",IF($D78="Manuell","",IF(2036&gt;$E78+$F78,IF($D78="Fix",$G78,$G78*(1+$H78)^($F78)),IF($D78="Fix",$G78,$G78*(1+$H78)^(2036-$E78))))))</f>
        <v/>
      </c>
      <c r="AB78" s="16">
        <f>IF($A78="","",IF(2037&lt;$E78,"",IF($D78="Manuell","",IF(2037&gt;$E78+$F78,IF($D78="Fix",$G78,$G78*(1+$H78)^($F78)),IF($D78="Fix",$G78,$G78*(1+$H78)^(2037-$E78))))))</f>
        <v/>
      </c>
      <c r="AC78" s="16">
        <f>IF($A78="","",IF(2038&lt;$E78,"",IF($D78="Manuell","",IF(2038&gt;$E78+$F78,IF($D78="Fix",$G78,$G78*(1+$H78)^($F78)),IF($D78="Fix",$G78,$G78*(1+$H78)^(2038-$E78))))))</f>
        <v/>
      </c>
      <c r="AD78" s="16">
        <f>IF($A78="","",IF(2039&lt;$E78,"",IF($D78="Manuell","",IF(2039&gt;$E78+$F78,IF($D78="Fix",$G78,$G78*(1+$H78)^($F78)),IF($D78="Fix",$G78,$G78*(1+$H78)^(2039-$E78))))))</f>
        <v/>
      </c>
      <c r="AE78" s="16">
        <f>IF($A78="","",IF(2040&lt;$E78,"",IF($D78="Manuell","",IF(2040&gt;$E78+$F78,IF($D78="Fix",$G78,$G78*(1+$H78)^($F78)),IF($D78="Fix",$G78,$G78*(1+$H78)^(2040-$E78))))))</f>
        <v/>
      </c>
      <c r="AF78" s="16">
        <f>IF($A78="","",IF(2041&lt;$E78,"",IF($D78="Manuell","",IF(2041&gt;$E78+$F78,IF($D78="Fix",$G78,$G78*(1+$H78)^($F78)),IF($D78="Fix",$G78,$G78*(1+$H78)^(2041-$E78))))))</f>
        <v/>
      </c>
      <c r="AG78" s="16">
        <f>IF($A78="","",IF(2042&lt;$E78,"",IF($D78="Manuell","",IF(2042&gt;$E78+$F78,IF($D78="Fix",$G78,$G78*(1+$H78)^($F78)),IF($D78="Fix",$G78,$G78*(1+$H78)^(2042-$E78))))))</f>
        <v/>
      </c>
      <c r="AH78" s="16">
        <f>IF($A78="","",IF(2043&lt;$E78,"",IF($D78="Manuell","",IF(2043&gt;$E78+$F78,IF($D78="Fix",$G78,$G78*(1+$H78)^($F78)),IF($D78="Fix",$G78,$G78*(1+$H78)^(2043-$E78))))))</f>
        <v/>
      </c>
      <c r="AI78" s="16">
        <f>IF($A78="","",IF(2044&lt;$E78,"",IF($D78="Manuell","",IF(2044&gt;$E78+$F78,IF($D78="Fix",$G78,$G78*(1+$H78)^($F78)),IF($D78="Fix",$G78,$G78*(1+$H78)^(2044-$E78))))))</f>
        <v/>
      </c>
      <c r="AJ78" s="16">
        <f>IF($A78="","",IF(2045&lt;$E78,"",IF($D78="Manuell","",IF(2045&gt;$E78+$F78,IF($D78="Fix",$G78,$G78*(1+$H78)^($F78)),IF($D78="Fix",$G78,$G78*(1+$H78)^(2045-$E78))))))</f>
        <v/>
      </c>
      <c r="AK78" s="16">
        <f>IF($A78="","",IF(2046&lt;$E78,"",IF($D78="Manuell","",IF(2046&gt;$E78+$F78,IF($D78="Fix",$G78,$G78*(1+$H78)^($F78)),IF($D78="Fix",$G78,$G78*(1+$H78)^(2046-$E78))))))</f>
        <v/>
      </c>
      <c r="AL78" s="16">
        <f>IF($A78="","",IF(2047&lt;$E78,"",IF($D78="Manuell","",IF(2047&gt;$E78+$F78,IF($D78="Fix",$G78,$G78*(1+$H78)^($F78)),IF($D78="Fix",$G78,$G78*(1+$H78)^(2047-$E78))))))</f>
        <v/>
      </c>
      <c r="AM78" s="16">
        <f>IF($A78="","",IF(2048&lt;$E78,"",IF($D78="Manuell","",IF(2048&gt;$E78+$F78,IF($D78="Fix",$G78,$G78*(1+$H78)^($F78)),IF($D78="Fix",$G78,$G78*(1+$H78)^(2048-$E78))))))</f>
        <v/>
      </c>
      <c r="AN78" s="16">
        <f>IF($A78="","",IF(2049&lt;$E78,"",IF($D78="Manuell","",IF(2049&gt;$E78+$F78,IF($D78="Fix",$G78,$G78*(1+$H78)^($F78)),IF($D78="Fix",$G78,$G78*(1+$H78)^(2049-$E78))))))</f>
        <v/>
      </c>
      <c r="AO78" s="16">
        <f>IF($A78="","",IF(2050&lt;$E78,"",IF($D78="Manuell","",IF(2050&gt;$E78+$F78,IF($D78="Fix",$G78,$G78*(1+$H78)^($F78)),IF($D78="Fix",$G78,$G78*(1+$H78)^(2050-$E78))))))</f>
        <v/>
      </c>
      <c r="AP78" s="16">
        <f>IF($A78="","",IF(2051&lt;$E78,"",IF($D78="Manuell","",IF(2051&gt;$E78+$F78,IF($D78="Fix",$G78,$G78*(1+$H78)^($F78)),IF($D78="Fix",$G78,$G78*(1+$H78)^(2051-$E78))))))</f>
        <v/>
      </c>
      <c r="AQ78" s="16">
        <f>IF($A78="","",IF(2052&lt;$E78,"",IF($D78="Manuell","",IF(2052&gt;$E78+$F78,IF($D78="Fix",$G78,$G78*(1+$H78)^($F78)),IF($D78="Fix",$G78,$G78*(1+$H78)^(2052-$E78))))))</f>
        <v/>
      </c>
      <c r="AR78" s="16">
        <f>IF($A78="","",IF(2053&lt;$E78,"",IF($D78="Manuell","",IF(2053&gt;$E78+$F78,IF($D78="Fix",$G78,$G78*(1+$H78)^($F78)),IF($D78="Fix",$G78,$G78*(1+$H78)^(2053-$E78))))))</f>
        <v/>
      </c>
      <c r="AS78" s="16">
        <f>IF($A78="","",IF(2054&lt;$E78,"",IF($D78="Manuell","",IF(2054&gt;$E78+$F78,IF($D78="Fix",$G78,$G78*(1+$H78)^($F78)),IF($D78="Fix",$G78,$G78*(1+$H78)^(2054-$E78))))))</f>
        <v/>
      </c>
      <c r="AT78" s="16">
        <f>IF($A78="","",IF(2055&lt;$E78,"",IF($D78="Manuell","",IF(2055&gt;$E78+$F78,IF($D78="Fix",$G78,$G78*(1+$H78)^($F78)),IF($D78="Fix",$G78,$G78*(1+$H78)^(2055-$E78))))))</f>
        <v/>
      </c>
    </row>
    <row r="79">
      <c r="A79" s="14" t="inlineStr"/>
      <c r="B79" s="14" t="inlineStr"/>
      <c r="C79" s="14" t="inlineStr"/>
      <c r="D79" s="14" t="inlineStr"/>
      <c r="E79" s="11" t="inlineStr"/>
      <c r="F79" s="11" t="inlineStr"/>
      <c r="G79" s="15" t="inlineStr"/>
      <c r="H79" s="15" t="inlineStr"/>
      <c r="I79" s="16">
        <f>IF($A79="","",IF(2018&lt;$E79,"",IF($D79="Manuell","",IF(2018&gt;$E79+$F79,IF($D79="Fix",$G79,$G79*(1+$H79)^($F79)),IF($D79="Fix",$G79,$G79*(1+$H79)^(2018-$E79))))))</f>
        <v/>
      </c>
      <c r="J79" s="16">
        <f>IF($A79="","",IF(2019&lt;$E79,"",IF($D79="Manuell","",IF(2019&gt;$E79+$F79,IF($D79="Fix",$G79,$G79*(1+$H79)^($F79)),IF($D79="Fix",$G79,$G79*(1+$H79)^(2019-$E79))))))</f>
        <v/>
      </c>
      <c r="K79" s="16">
        <f>IF($A79="","",IF(2020&lt;$E79,"",IF($D79="Manuell","",IF(2020&gt;$E79+$F79,IF($D79="Fix",$G79,$G79*(1+$H79)^($F79)),IF($D79="Fix",$G79,$G79*(1+$H79)^(2020-$E79))))))</f>
        <v/>
      </c>
      <c r="L79" s="16">
        <f>IF($A79="","",IF(2021&lt;$E79,"",IF($D79="Manuell","",IF(2021&gt;$E79+$F79,IF($D79="Fix",$G79,$G79*(1+$H79)^($F79)),IF($D79="Fix",$G79,$G79*(1+$H79)^(2021-$E79))))))</f>
        <v/>
      </c>
      <c r="M79" s="16">
        <f>IF($A79="","",IF(2022&lt;$E79,"",IF($D79="Manuell","",IF(2022&gt;$E79+$F79,IF($D79="Fix",$G79,$G79*(1+$H79)^($F79)),IF($D79="Fix",$G79,$G79*(1+$H79)^(2022-$E79))))))</f>
        <v/>
      </c>
      <c r="N79" s="16">
        <f>IF($A79="","",IF(2023&lt;$E79,"",IF($D79="Manuell","",IF(2023&gt;$E79+$F79,IF($D79="Fix",$G79,$G79*(1+$H79)^($F79)),IF($D79="Fix",$G79,$G79*(1+$H79)^(2023-$E79))))))</f>
        <v/>
      </c>
      <c r="O79" s="16">
        <f>IF($A79="","",IF(2024&lt;$E79,"",IF($D79="Manuell","",IF(2024&gt;$E79+$F79,IF($D79="Fix",$G79,$G79*(1+$H79)^($F79)),IF($D79="Fix",$G79,$G79*(1+$H79)^(2024-$E79))))))</f>
        <v/>
      </c>
      <c r="P79" s="16">
        <f>IF($A79="","",IF(2025&lt;$E79,"",IF($D79="Manuell","",IF(2025&gt;$E79+$F79,IF($D79="Fix",$G79,$G79*(1+$H79)^($F79)),IF($D79="Fix",$G79,$G79*(1+$H79)^(2025-$E79))))))</f>
        <v/>
      </c>
      <c r="Q79" s="16">
        <f>IF($A79="","",IF(2026&lt;$E79,"",IF($D79="Manuell","",IF(2026&gt;$E79+$F79,IF($D79="Fix",$G79,$G79*(1+$H79)^($F79)),IF($D79="Fix",$G79,$G79*(1+$H79)^(2026-$E79))))))</f>
        <v/>
      </c>
      <c r="R79" s="16">
        <f>IF($A79="","",IF(2027&lt;$E79,"",IF($D79="Manuell","",IF(2027&gt;$E79+$F79,IF($D79="Fix",$G79,$G79*(1+$H79)^($F79)),IF($D79="Fix",$G79,$G79*(1+$H79)^(2027-$E79))))))</f>
        <v/>
      </c>
      <c r="S79" s="16">
        <f>IF($A79="","",IF(2028&lt;$E79,"",IF($D79="Manuell","",IF(2028&gt;$E79+$F79,IF($D79="Fix",$G79,$G79*(1+$H79)^($F79)),IF($D79="Fix",$G79,$G79*(1+$H79)^(2028-$E79))))))</f>
        <v/>
      </c>
      <c r="T79" s="16">
        <f>IF($A79="","",IF(2029&lt;$E79,"",IF($D79="Manuell","",IF(2029&gt;$E79+$F79,IF($D79="Fix",$G79,$G79*(1+$H79)^($F79)),IF($D79="Fix",$G79,$G79*(1+$H79)^(2029-$E79))))))</f>
        <v/>
      </c>
      <c r="U79" s="16">
        <f>IF($A79="","",IF(2030&lt;$E79,"",IF($D79="Manuell","",IF(2030&gt;$E79+$F79,IF($D79="Fix",$G79,$G79*(1+$H79)^($F79)),IF($D79="Fix",$G79,$G79*(1+$H79)^(2030-$E79))))))</f>
        <v/>
      </c>
      <c r="V79" s="16">
        <f>IF($A79="","",IF(2031&lt;$E79,"",IF($D79="Manuell","",IF(2031&gt;$E79+$F79,IF($D79="Fix",$G79,$G79*(1+$H79)^($F79)),IF($D79="Fix",$G79,$G79*(1+$H79)^(2031-$E79))))))</f>
        <v/>
      </c>
      <c r="W79" s="16">
        <f>IF($A79="","",IF(2032&lt;$E79,"",IF($D79="Manuell","",IF(2032&gt;$E79+$F79,IF($D79="Fix",$G79,$G79*(1+$H79)^($F79)),IF($D79="Fix",$G79,$G79*(1+$H79)^(2032-$E79))))))</f>
        <v/>
      </c>
      <c r="X79" s="16">
        <f>IF($A79="","",IF(2033&lt;$E79,"",IF($D79="Manuell","",IF(2033&gt;$E79+$F79,IF($D79="Fix",$G79,$G79*(1+$H79)^($F79)),IF($D79="Fix",$G79,$G79*(1+$H79)^(2033-$E79))))))</f>
        <v/>
      </c>
      <c r="Y79" s="16">
        <f>IF($A79="","",IF(2034&lt;$E79,"",IF($D79="Manuell","",IF(2034&gt;$E79+$F79,IF($D79="Fix",$G79,$G79*(1+$H79)^($F79)),IF($D79="Fix",$G79,$G79*(1+$H79)^(2034-$E79))))))</f>
        <v/>
      </c>
      <c r="Z79" s="16">
        <f>IF($A79="","",IF(2035&lt;$E79,"",IF($D79="Manuell","",IF(2035&gt;$E79+$F79,IF($D79="Fix",$G79,$G79*(1+$H79)^($F79)),IF($D79="Fix",$G79,$G79*(1+$H79)^(2035-$E79))))))</f>
        <v/>
      </c>
      <c r="AA79" s="16">
        <f>IF($A79="","",IF(2036&lt;$E79,"",IF($D79="Manuell","",IF(2036&gt;$E79+$F79,IF($D79="Fix",$G79,$G79*(1+$H79)^($F79)),IF($D79="Fix",$G79,$G79*(1+$H79)^(2036-$E79))))))</f>
        <v/>
      </c>
      <c r="AB79" s="16">
        <f>IF($A79="","",IF(2037&lt;$E79,"",IF($D79="Manuell","",IF(2037&gt;$E79+$F79,IF($D79="Fix",$G79,$G79*(1+$H79)^($F79)),IF($D79="Fix",$G79,$G79*(1+$H79)^(2037-$E79))))))</f>
        <v/>
      </c>
      <c r="AC79" s="16">
        <f>IF($A79="","",IF(2038&lt;$E79,"",IF($D79="Manuell","",IF(2038&gt;$E79+$F79,IF($D79="Fix",$G79,$G79*(1+$H79)^($F79)),IF($D79="Fix",$G79,$G79*(1+$H79)^(2038-$E79))))))</f>
        <v/>
      </c>
      <c r="AD79" s="16">
        <f>IF($A79="","",IF(2039&lt;$E79,"",IF($D79="Manuell","",IF(2039&gt;$E79+$F79,IF($D79="Fix",$G79,$G79*(1+$H79)^($F79)),IF($D79="Fix",$G79,$G79*(1+$H79)^(2039-$E79))))))</f>
        <v/>
      </c>
      <c r="AE79" s="16">
        <f>IF($A79="","",IF(2040&lt;$E79,"",IF($D79="Manuell","",IF(2040&gt;$E79+$F79,IF($D79="Fix",$G79,$G79*(1+$H79)^($F79)),IF($D79="Fix",$G79,$G79*(1+$H79)^(2040-$E79))))))</f>
        <v/>
      </c>
      <c r="AF79" s="16">
        <f>IF($A79="","",IF(2041&lt;$E79,"",IF($D79="Manuell","",IF(2041&gt;$E79+$F79,IF($D79="Fix",$G79,$G79*(1+$H79)^($F79)),IF($D79="Fix",$G79,$G79*(1+$H79)^(2041-$E79))))))</f>
        <v/>
      </c>
      <c r="AG79" s="16">
        <f>IF($A79="","",IF(2042&lt;$E79,"",IF($D79="Manuell","",IF(2042&gt;$E79+$F79,IF($D79="Fix",$G79,$G79*(1+$H79)^($F79)),IF($D79="Fix",$G79,$G79*(1+$H79)^(2042-$E79))))))</f>
        <v/>
      </c>
      <c r="AH79" s="16">
        <f>IF($A79="","",IF(2043&lt;$E79,"",IF($D79="Manuell","",IF(2043&gt;$E79+$F79,IF($D79="Fix",$G79,$G79*(1+$H79)^($F79)),IF($D79="Fix",$G79,$G79*(1+$H79)^(2043-$E79))))))</f>
        <v/>
      </c>
      <c r="AI79" s="16">
        <f>IF($A79="","",IF(2044&lt;$E79,"",IF($D79="Manuell","",IF(2044&gt;$E79+$F79,IF($D79="Fix",$G79,$G79*(1+$H79)^($F79)),IF($D79="Fix",$G79,$G79*(1+$H79)^(2044-$E79))))))</f>
        <v/>
      </c>
      <c r="AJ79" s="16">
        <f>IF($A79="","",IF(2045&lt;$E79,"",IF($D79="Manuell","",IF(2045&gt;$E79+$F79,IF($D79="Fix",$G79,$G79*(1+$H79)^($F79)),IF($D79="Fix",$G79,$G79*(1+$H79)^(2045-$E79))))))</f>
        <v/>
      </c>
      <c r="AK79" s="16">
        <f>IF($A79="","",IF(2046&lt;$E79,"",IF($D79="Manuell","",IF(2046&gt;$E79+$F79,IF($D79="Fix",$G79,$G79*(1+$H79)^($F79)),IF($D79="Fix",$G79,$G79*(1+$H79)^(2046-$E79))))))</f>
        <v/>
      </c>
      <c r="AL79" s="16">
        <f>IF($A79="","",IF(2047&lt;$E79,"",IF($D79="Manuell","",IF(2047&gt;$E79+$F79,IF($D79="Fix",$G79,$G79*(1+$H79)^($F79)),IF($D79="Fix",$G79,$G79*(1+$H79)^(2047-$E79))))))</f>
        <v/>
      </c>
      <c r="AM79" s="16">
        <f>IF($A79="","",IF(2048&lt;$E79,"",IF($D79="Manuell","",IF(2048&gt;$E79+$F79,IF($D79="Fix",$G79,$G79*(1+$H79)^($F79)),IF($D79="Fix",$G79,$G79*(1+$H79)^(2048-$E79))))))</f>
        <v/>
      </c>
      <c r="AN79" s="16">
        <f>IF($A79="","",IF(2049&lt;$E79,"",IF($D79="Manuell","",IF(2049&gt;$E79+$F79,IF($D79="Fix",$G79,$G79*(1+$H79)^($F79)),IF($D79="Fix",$G79,$G79*(1+$H79)^(2049-$E79))))))</f>
        <v/>
      </c>
      <c r="AO79" s="16">
        <f>IF($A79="","",IF(2050&lt;$E79,"",IF($D79="Manuell","",IF(2050&gt;$E79+$F79,IF($D79="Fix",$G79,$G79*(1+$H79)^($F79)),IF($D79="Fix",$G79,$G79*(1+$H79)^(2050-$E79))))))</f>
        <v/>
      </c>
      <c r="AP79" s="16">
        <f>IF($A79="","",IF(2051&lt;$E79,"",IF($D79="Manuell","",IF(2051&gt;$E79+$F79,IF($D79="Fix",$G79,$G79*(1+$H79)^($F79)),IF($D79="Fix",$G79,$G79*(1+$H79)^(2051-$E79))))))</f>
        <v/>
      </c>
      <c r="AQ79" s="16">
        <f>IF($A79="","",IF(2052&lt;$E79,"",IF($D79="Manuell","",IF(2052&gt;$E79+$F79,IF($D79="Fix",$G79,$G79*(1+$H79)^($F79)),IF($D79="Fix",$G79,$G79*(1+$H79)^(2052-$E79))))))</f>
        <v/>
      </c>
      <c r="AR79" s="16">
        <f>IF($A79="","",IF(2053&lt;$E79,"",IF($D79="Manuell","",IF(2053&gt;$E79+$F79,IF($D79="Fix",$G79,$G79*(1+$H79)^($F79)),IF($D79="Fix",$G79,$G79*(1+$H79)^(2053-$E79))))))</f>
        <v/>
      </c>
      <c r="AS79" s="16">
        <f>IF($A79="","",IF(2054&lt;$E79,"",IF($D79="Manuell","",IF(2054&gt;$E79+$F79,IF($D79="Fix",$G79,$G79*(1+$H79)^($F79)),IF($D79="Fix",$G79,$G79*(1+$H79)^(2054-$E79))))))</f>
        <v/>
      </c>
      <c r="AT79" s="16">
        <f>IF($A79="","",IF(2055&lt;$E79,"",IF($D79="Manuell","",IF(2055&gt;$E79+$F79,IF($D79="Fix",$G79,$G79*(1+$H79)^($F79)),IF($D79="Fix",$G79,$G79*(1+$H79)^(2055-$E79))))))</f>
        <v/>
      </c>
    </row>
    <row r="80">
      <c r="A80" s="14" t="inlineStr"/>
      <c r="B80" s="14" t="inlineStr"/>
      <c r="C80" s="14" t="inlineStr"/>
      <c r="D80" s="14" t="inlineStr"/>
      <c r="E80" s="11" t="inlineStr"/>
      <c r="F80" s="11" t="inlineStr"/>
      <c r="G80" s="15" t="inlineStr"/>
      <c r="H80" s="15" t="inlineStr"/>
      <c r="I80" s="16">
        <f>IF($A80="","",IF(2018&lt;$E80,"",IF($D80="Manuell","",IF(2018&gt;$E80+$F80,IF($D80="Fix",$G80,$G80*(1+$H80)^($F80)),IF($D80="Fix",$G80,$G80*(1+$H80)^(2018-$E80))))))</f>
        <v/>
      </c>
      <c r="J80" s="16">
        <f>IF($A80="","",IF(2019&lt;$E80,"",IF($D80="Manuell","",IF(2019&gt;$E80+$F80,IF($D80="Fix",$G80,$G80*(1+$H80)^($F80)),IF($D80="Fix",$G80,$G80*(1+$H80)^(2019-$E80))))))</f>
        <v/>
      </c>
      <c r="K80" s="16">
        <f>IF($A80="","",IF(2020&lt;$E80,"",IF($D80="Manuell","",IF(2020&gt;$E80+$F80,IF($D80="Fix",$G80,$G80*(1+$H80)^($F80)),IF($D80="Fix",$G80,$G80*(1+$H80)^(2020-$E80))))))</f>
        <v/>
      </c>
      <c r="L80" s="16">
        <f>IF($A80="","",IF(2021&lt;$E80,"",IF($D80="Manuell","",IF(2021&gt;$E80+$F80,IF($D80="Fix",$G80,$G80*(1+$H80)^($F80)),IF($D80="Fix",$G80,$G80*(1+$H80)^(2021-$E80))))))</f>
        <v/>
      </c>
      <c r="M80" s="16">
        <f>IF($A80="","",IF(2022&lt;$E80,"",IF($D80="Manuell","",IF(2022&gt;$E80+$F80,IF($D80="Fix",$G80,$G80*(1+$H80)^($F80)),IF($D80="Fix",$G80,$G80*(1+$H80)^(2022-$E80))))))</f>
        <v/>
      </c>
      <c r="N80" s="16">
        <f>IF($A80="","",IF(2023&lt;$E80,"",IF($D80="Manuell","",IF(2023&gt;$E80+$F80,IF($D80="Fix",$G80,$G80*(1+$H80)^($F80)),IF($D80="Fix",$G80,$G80*(1+$H80)^(2023-$E80))))))</f>
        <v/>
      </c>
      <c r="O80" s="16">
        <f>IF($A80="","",IF(2024&lt;$E80,"",IF($D80="Manuell","",IF(2024&gt;$E80+$F80,IF($D80="Fix",$G80,$G80*(1+$H80)^($F80)),IF($D80="Fix",$G80,$G80*(1+$H80)^(2024-$E80))))))</f>
        <v/>
      </c>
      <c r="P80" s="16">
        <f>IF($A80="","",IF(2025&lt;$E80,"",IF($D80="Manuell","",IF(2025&gt;$E80+$F80,IF($D80="Fix",$G80,$G80*(1+$H80)^($F80)),IF($D80="Fix",$G80,$G80*(1+$H80)^(2025-$E80))))))</f>
        <v/>
      </c>
      <c r="Q80" s="16">
        <f>IF($A80="","",IF(2026&lt;$E80,"",IF($D80="Manuell","",IF(2026&gt;$E80+$F80,IF($D80="Fix",$G80,$G80*(1+$H80)^($F80)),IF($D80="Fix",$G80,$G80*(1+$H80)^(2026-$E80))))))</f>
        <v/>
      </c>
      <c r="R80" s="16">
        <f>IF($A80="","",IF(2027&lt;$E80,"",IF($D80="Manuell","",IF(2027&gt;$E80+$F80,IF($D80="Fix",$G80,$G80*(1+$H80)^($F80)),IF($D80="Fix",$G80,$G80*(1+$H80)^(2027-$E80))))))</f>
        <v/>
      </c>
      <c r="S80" s="16">
        <f>IF($A80="","",IF(2028&lt;$E80,"",IF($D80="Manuell","",IF(2028&gt;$E80+$F80,IF($D80="Fix",$G80,$G80*(1+$H80)^($F80)),IF($D80="Fix",$G80,$G80*(1+$H80)^(2028-$E80))))))</f>
        <v/>
      </c>
      <c r="T80" s="16">
        <f>IF($A80="","",IF(2029&lt;$E80,"",IF($D80="Manuell","",IF(2029&gt;$E80+$F80,IF($D80="Fix",$G80,$G80*(1+$H80)^($F80)),IF($D80="Fix",$G80,$G80*(1+$H80)^(2029-$E80))))))</f>
        <v/>
      </c>
      <c r="U80" s="16">
        <f>IF($A80="","",IF(2030&lt;$E80,"",IF($D80="Manuell","",IF(2030&gt;$E80+$F80,IF($D80="Fix",$G80,$G80*(1+$H80)^($F80)),IF($D80="Fix",$G80,$G80*(1+$H80)^(2030-$E80))))))</f>
        <v/>
      </c>
      <c r="V80" s="16">
        <f>IF($A80="","",IF(2031&lt;$E80,"",IF($D80="Manuell","",IF(2031&gt;$E80+$F80,IF($D80="Fix",$G80,$G80*(1+$H80)^($F80)),IF($D80="Fix",$G80,$G80*(1+$H80)^(2031-$E80))))))</f>
        <v/>
      </c>
      <c r="W80" s="16">
        <f>IF($A80="","",IF(2032&lt;$E80,"",IF($D80="Manuell","",IF(2032&gt;$E80+$F80,IF($D80="Fix",$G80,$G80*(1+$H80)^($F80)),IF($D80="Fix",$G80,$G80*(1+$H80)^(2032-$E80))))))</f>
        <v/>
      </c>
      <c r="X80" s="16">
        <f>IF($A80="","",IF(2033&lt;$E80,"",IF($D80="Manuell","",IF(2033&gt;$E80+$F80,IF($D80="Fix",$G80,$G80*(1+$H80)^($F80)),IF($D80="Fix",$G80,$G80*(1+$H80)^(2033-$E80))))))</f>
        <v/>
      </c>
      <c r="Y80" s="16">
        <f>IF($A80="","",IF(2034&lt;$E80,"",IF($D80="Manuell","",IF(2034&gt;$E80+$F80,IF($D80="Fix",$G80,$G80*(1+$H80)^($F80)),IF($D80="Fix",$G80,$G80*(1+$H80)^(2034-$E80))))))</f>
        <v/>
      </c>
      <c r="Z80" s="16">
        <f>IF($A80="","",IF(2035&lt;$E80,"",IF($D80="Manuell","",IF(2035&gt;$E80+$F80,IF($D80="Fix",$G80,$G80*(1+$H80)^($F80)),IF($D80="Fix",$G80,$G80*(1+$H80)^(2035-$E80))))))</f>
        <v/>
      </c>
      <c r="AA80" s="16">
        <f>IF($A80="","",IF(2036&lt;$E80,"",IF($D80="Manuell","",IF(2036&gt;$E80+$F80,IF($D80="Fix",$G80,$G80*(1+$H80)^($F80)),IF($D80="Fix",$G80,$G80*(1+$H80)^(2036-$E80))))))</f>
        <v/>
      </c>
      <c r="AB80" s="16">
        <f>IF($A80="","",IF(2037&lt;$E80,"",IF($D80="Manuell","",IF(2037&gt;$E80+$F80,IF($D80="Fix",$G80,$G80*(1+$H80)^($F80)),IF($D80="Fix",$G80,$G80*(1+$H80)^(2037-$E80))))))</f>
        <v/>
      </c>
      <c r="AC80" s="16">
        <f>IF($A80="","",IF(2038&lt;$E80,"",IF($D80="Manuell","",IF(2038&gt;$E80+$F80,IF($D80="Fix",$G80,$G80*(1+$H80)^($F80)),IF($D80="Fix",$G80,$G80*(1+$H80)^(2038-$E80))))))</f>
        <v/>
      </c>
      <c r="AD80" s="16">
        <f>IF($A80="","",IF(2039&lt;$E80,"",IF($D80="Manuell","",IF(2039&gt;$E80+$F80,IF($D80="Fix",$G80,$G80*(1+$H80)^($F80)),IF($D80="Fix",$G80,$G80*(1+$H80)^(2039-$E80))))))</f>
        <v/>
      </c>
      <c r="AE80" s="16">
        <f>IF($A80="","",IF(2040&lt;$E80,"",IF($D80="Manuell","",IF(2040&gt;$E80+$F80,IF($D80="Fix",$G80,$G80*(1+$H80)^($F80)),IF($D80="Fix",$G80,$G80*(1+$H80)^(2040-$E80))))))</f>
        <v/>
      </c>
      <c r="AF80" s="16">
        <f>IF($A80="","",IF(2041&lt;$E80,"",IF($D80="Manuell","",IF(2041&gt;$E80+$F80,IF($D80="Fix",$G80,$G80*(1+$H80)^($F80)),IF($D80="Fix",$G80,$G80*(1+$H80)^(2041-$E80))))))</f>
        <v/>
      </c>
      <c r="AG80" s="16">
        <f>IF($A80="","",IF(2042&lt;$E80,"",IF($D80="Manuell","",IF(2042&gt;$E80+$F80,IF($D80="Fix",$G80,$G80*(1+$H80)^($F80)),IF($D80="Fix",$G80,$G80*(1+$H80)^(2042-$E80))))))</f>
        <v/>
      </c>
      <c r="AH80" s="16">
        <f>IF($A80="","",IF(2043&lt;$E80,"",IF($D80="Manuell","",IF(2043&gt;$E80+$F80,IF($D80="Fix",$G80,$G80*(1+$H80)^($F80)),IF($D80="Fix",$G80,$G80*(1+$H80)^(2043-$E80))))))</f>
        <v/>
      </c>
      <c r="AI80" s="16">
        <f>IF($A80="","",IF(2044&lt;$E80,"",IF($D80="Manuell","",IF(2044&gt;$E80+$F80,IF($D80="Fix",$G80,$G80*(1+$H80)^($F80)),IF($D80="Fix",$G80,$G80*(1+$H80)^(2044-$E80))))))</f>
        <v/>
      </c>
      <c r="AJ80" s="16">
        <f>IF($A80="","",IF(2045&lt;$E80,"",IF($D80="Manuell","",IF(2045&gt;$E80+$F80,IF($D80="Fix",$G80,$G80*(1+$H80)^($F80)),IF($D80="Fix",$G80,$G80*(1+$H80)^(2045-$E80))))))</f>
        <v/>
      </c>
      <c r="AK80" s="16">
        <f>IF($A80="","",IF(2046&lt;$E80,"",IF($D80="Manuell","",IF(2046&gt;$E80+$F80,IF($D80="Fix",$G80,$G80*(1+$H80)^($F80)),IF($D80="Fix",$G80,$G80*(1+$H80)^(2046-$E80))))))</f>
        <v/>
      </c>
      <c r="AL80" s="16">
        <f>IF($A80="","",IF(2047&lt;$E80,"",IF($D80="Manuell","",IF(2047&gt;$E80+$F80,IF($D80="Fix",$G80,$G80*(1+$H80)^($F80)),IF($D80="Fix",$G80,$G80*(1+$H80)^(2047-$E80))))))</f>
        <v/>
      </c>
      <c r="AM80" s="16">
        <f>IF($A80="","",IF(2048&lt;$E80,"",IF($D80="Manuell","",IF(2048&gt;$E80+$F80,IF($D80="Fix",$G80,$G80*(1+$H80)^($F80)),IF($D80="Fix",$G80,$G80*(1+$H80)^(2048-$E80))))))</f>
        <v/>
      </c>
      <c r="AN80" s="16">
        <f>IF($A80="","",IF(2049&lt;$E80,"",IF($D80="Manuell","",IF(2049&gt;$E80+$F80,IF($D80="Fix",$G80,$G80*(1+$H80)^($F80)),IF($D80="Fix",$G80,$G80*(1+$H80)^(2049-$E80))))))</f>
        <v/>
      </c>
      <c r="AO80" s="16">
        <f>IF($A80="","",IF(2050&lt;$E80,"",IF($D80="Manuell","",IF(2050&gt;$E80+$F80,IF($D80="Fix",$G80,$G80*(1+$H80)^($F80)),IF($D80="Fix",$G80,$G80*(1+$H80)^(2050-$E80))))))</f>
        <v/>
      </c>
      <c r="AP80" s="16">
        <f>IF($A80="","",IF(2051&lt;$E80,"",IF($D80="Manuell","",IF(2051&gt;$E80+$F80,IF($D80="Fix",$G80,$G80*(1+$H80)^($F80)),IF($D80="Fix",$G80,$G80*(1+$H80)^(2051-$E80))))))</f>
        <v/>
      </c>
      <c r="AQ80" s="16">
        <f>IF($A80="","",IF(2052&lt;$E80,"",IF($D80="Manuell","",IF(2052&gt;$E80+$F80,IF($D80="Fix",$G80,$G80*(1+$H80)^($F80)),IF($D80="Fix",$G80,$G80*(1+$H80)^(2052-$E80))))))</f>
        <v/>
      </c>
      <c r="AR80" s="16">
        <f>IF($A80="","",IF(2053&lt;$E80,"",IF($D80="Manuell","",IF(2053&gt;$E80+$F80,IF($D80="Fix",$G80,$G80*(1+$H80)^($F80)),IF($D80="Fix",$G80,$G80*(1+$H80)^(2053-$E80))))))</f>
        <v/>
      </c>
      <c r="AS80" s="16">
        <f>IF($A80="","",IF(2054&lt;$E80,"",IF($D80="Manuell","",IF(2054&gt;$E80+$F80,IF($D80="Fix",$G80,$G80*(1+$H80)^($F80)),IF($D80="Fix",$G80,$G80*(1+$H80)^(2054-$E80))))))</f>
        <v/>
      </c>
      <c r="AT80" s="16">
        <f>IF($A80="","",IF(2055&lt;$E80,"",IF($D80="Manuell","",IF(2055&gt;$E80+$F80,IF($D80="Fix",$G80,$G80*(1+$H80)^($F80)),IF($D80="Fix",$G80,$G80*(1+$H80)^(2055-$E80))))))</f>
        <v/>
      </c>
    </row>
    <row r="81">
      <c r="A81" s="14" t="inlineStr"/>
      <c r="B81" s="14" t="inlineStr"/>
      <c r="C81" s="14" t="inlineStr"/>
      <c r="D81" s="14" t="inlineStr"/>
      <c r="E81" s="11" t="inlineStr"/>
      <c r="F81" s="11" t="inlineStr"/>
      <c r="G81" s="15" t="inlineStr"/>
      <c r="H81" s="15" t="inlineStr"/>
      <c r="I81" s="16">
        <f>IF($A81="","",IF(2018&lt;$E81,"",IF($D81="Manuell","",IF(2018&gt;$E81+$F81,IF($D81="Fix",$G81,$G81*(1+$H81)^($F81)),IF($D81="Fix",$G81,$G81*(1+$H81)^(2018-$E81))))))</f>
        <v/>
      </c>
      <c r="J81" s="16">
        <f>IF($A81="","",IF(2019&lt;$E81,"",IF($D81="Manuell","",IF(2019&gt;$E81+$F81,IF($D81="Fix",$G81,$G81*(1+$H81)^($F81)),IF($D81="Fix",$G81,$G81*(1+$H81)^(2019-$E81))))))</f>
        <v/>
      </c>
      <c r="K81" s="16">
        <f>IF($A81="","",IF(2020&lt;$E81,"",IF($D81="Manuell","",IF(2020&gt;$E81+$F81,IF($D81="Fix",$G81,$G81*(1+$H81)^($F81)),IF($D81="Fix",$G81,$G81*(1+$H81)^(2020-$E81))))))</f>
        <v/>
      </c>
      <c r="L81" s="16">
        <f>IF($A81="","",IF(2021&lt;$E81,"",IF($D81="Manuell","",IF(2021&gt;$E81+$F81,IF($D81="Fix",$G81,$G81*(1+$H81)^($F81)),IF($D81="Fix",$G81,$G81*(1+$H81)^(2021-$E81))))))</f>
        <v/>
      </c>
      <c r="M81" s="16">
        <f>IF($A81="","",IF(2022&lt;$E81,"",IF($D81="Manuell","",IF(2022&gt;$E81+$F81,IF($D81="Fix",$G81,$G81*(1+$H81)^($F81)),IF($D81="Fix",$G81,$G81*(1+$H81)^(2022-$E81))))))</f>
        <v/>
      </c>
      <c r="N81" s="16">
        <f>IF($A81="","",IF(2023&lt;$E81,"",IF($D81="Manuell","",IF(2023&gt;$E81+$F81,IF($D81="Fix",$G81,$G81*(1+$H81)^($F81)),IF($D81="Fix",$G81,$G81*(1+$H81)^(2023-$E81))))))</f>
        <v/>
      </c>
      <c r="O81" s="16">
        <f>IF($A81="","",IF(2024&lt;$E81,"",IF($D81="Manuell","",IF(2024&gt;$E81+$F81,IF($D81="Fix",$G81,$G81*(1+$H81)^($F81)),IF($D81="Fix",$G81,$G81*(1+$H81)^(2024-$E81))))))</f>
        <v/>
      </c>
      <c r="P81" s="16">
        <f>IF($A81="","",IF(2025&lt;$E81,"",IF($D81="Manuell","",IF(2025&gt;$E81+$F81,IF($D81="Fix",$G81,$G81*(1+$H81)^($F81)),IF($D81="Fix",$G81,$G81*(1+$H81)^(2025-$E81))))))</f>
        <v/>
      </c>
      <c r="Q81" s="16">
        <f>IF($A81="","",IF(2026&lt;$E81,"",IF($D81="Manuell","",IF(2026&gt;$E81+$F81,IF($D81="Fix",$G81,$G81*(1+$H81)^($F81)),IF($D81="Fix",$G81,$G81*(1+$H81)^(2026-$E81))))))</f>
        <v/>
      </c>
      <c r="R81" s="16">
        <f>IF($A81="","",IF(2027&lt;$E81,"",IF($D81="Manuell","",IF(2027&gt;$E81+$F81,IF($D81="Fix",$G81,$G81*(1+$H81)^($F81)),IF($D81="Fix",$G81,$G81*(1+$H81)^(2027-$E81))))))</f>
        <v/>
      </c>
      <c r="S81" s="16">
        <f>IF($A81="","",IF(2028&lt;$E81,"",IF($D81="Manuell","",IF(2028&gt;$E81+$F81,IF($D81="Fix",$G81,$G81*(1+$H81)^($F81)),IF($D81="Fix",$G81,$G81*(1+$H81)^(2028-$E81))))))</f>
        <v/>
      </c>
      <c r="T81" s="16">
        <f>IF($A81="","",IF(2029&lt;$E81,"",IF($D81="Manuell","",IF(2029&gt;$E81+$F81,IF($D81="Fix",$G81,$G81*(1+$H81)^($F81)),IF($D81="Fix",$G81,$G81*(1+$H81)^(2029-$E81))))))</f>
        <v/>
      </c>
      <c r="U81" s="16">
        <f>IF($A81="","",IF(2030&lt;$E81,"",IF($D81="Manuell","",IF(2030&gt;$E81+$F81,IF($D81="Fix",$G81,$G81*(1+$H81)^($F81)),IF($D81="Fix",$G81,$G81*(1+$H81)^(2030-$E81))))))</f>
        <v/>
      </c>
      <c r="V81" s="16">
        <f>IF($A81="","",IF(2031&lt;$E81,"",IF($D81="Manuell","",IF(2031&gt;$E81+$F81,IF($D81="Fix",$G81,$G81*(1+$H81)^($F81)),IF($D81="Fix",$G81,$G81*(1+$H81)^(2031-$E81))))))</f>
        <v/>
      </c>
      <c r="W81" s="16">
        <f>IF($A81="","",IF(2032&lt;$E81,"",IF($D81="Manuell","",IF(2032&gt;$E81+$F81,IF($D81="Fix",$G81,$G81*(1+$H81)^($F81)),IF($D81="Fix",$G81,$G81*(1+$H81)^(2032-$E81))))))</f>
        <v/>
      </c>
      <c r="X81" s="16">
        <f>IF($A81="","",IF(2033&lt;$E81,"",IF($D81="Manuell","",IF(2033&gt;$E81+$F81,IF($D81="Fix",$G81,$G81*(1+$H81)^($F81)),IF($D81="Fix",$G81,$G81*(1+$H81)^(2033-$E81))))))</f>
        <v/>
      </c>
      <c r="Y81" s="16">
        <f>IF($A81="","",IF(2034&lt;$E81,"",IF($D81="Manuell","",IF(2034&gt;$E81+$F81,IF($D81="Fix",$G81,$G81*(1+$H81)^($F81)),IF($D81="Fix",$G81,$G81*(1+$H81)^(2034-$E81))))))</f>
        <v/>
      </c>
      <c r="Z81" s="16">
        <f>IF($A81="","",IF(2035&lt;$E81,"",IF($D81="Manuell","",IF(2035&gt;$E81+$F81,IF($D81="Fix",$G81,$G81*(1+$H81)^($F81)),IF($D81="Fix",$G81,$G81*(1+$H81)^(2035-$E81))))))</f>
        <v/>
      </c>
      <c r="AA81" s="16">
        <f>IF($A81="","",IF(2036&lt;$E81,"",IF($D81="Manuell","",IF(2036&gt;$E81+$F81,IF($D81="Fix",$G81,$G81*(1+$H81)^($F81)),IF($D81="Fix",$G81,$G81*(1+$H81)^(2036-$E81))))))</f>
        <v/>
      </c>
      <c r="AB81" s="16">
        <f>IF($A81="","",IF(2037&lt;$E81,"",IF($D81="Manuell","",IF(2037&gt;$E81+$F81,IF($D81="Fix",$G81,$G81*(1+$H81)^($F81)),IF($D81="Fix",$G81,$G81*(1+$H81)^(2037-$E81))))))</f>
        <v/>
      </c>
      <c r="AC81" s="16">
        <f>IF($A81="","",IF(2038&lt;$E81,"",IF($D81="Manuell","",IF(2038&gt;$E81+$F81,IF($D81="Fix",$G81,$G81*(1+$H81)^($F81)),IF($D81="Fix",$G81,$G81*(1+$H81)^(2038-$E81))))))</f>
        <v/>
      </c>
      <c r="AD81" s="16">
        <f>IF($A81="","",IF(2039&lt;$E81,"",IF($D81="Manuell","",IF(2039&gt;$E81+$F81,IF($D81="Fix",$G81,$G81*(1+$H81)^($F81)),IF($D81="Fix",$G81,$G81*(1+$H81)^(2039-$E81))))))</f>
        <v/>
      </c>
      <c r="AE81" s="16">
        <f>IF($A81="","",IF(2040&lt;$E81,"",IF($D81="Manuell","",IF(2040&gt;$E81+$F81,IF($D81="Fix",$G81,$G81*(1+$H81)^($F81)),IF($D81="Fix",$G81,$G81*(1+$H81)^(2040-$E81))))))</f>
        <v/>
      </c>
      <c r="AF81" s="16">
        <f>IF($A81="","",IF(2041&lt;$E81,"",IF($D81="Manuell","",IF(2041&gt;$E81+$F81,IF($D81="Fix",$G81,$G81*(1+$H81)^($F81)),IF($D81="Fix",$G81,$G81*(1+$H81)^(2041-$E81))))))</f>
        <v/>
      </c>
      <c r="AG81" s="16">
        <f>IF($A81="","",IF(2042&lt;$E81,"",IF($D81="Manuell","",IF(2042&gt;$E81+$F81,IF($D81="Fix",$G81,$G81*(1+$H81)^($F81)),IF($D81="Fix",$G81,$G81*(1+$H81)^(2042-$E81))))))</f>
        <v/>
      </c>
      <c r="AH81" s="16">
        <f>IF($A81="","",IF(2043&lt;$E81,"",IF($D81="Manuell","",IF(2043&gt;$E81+$F81,IF($D81="Fix",$G81,$G81*(1+$H81)^($F81)),IF($D81="Fix",$G81,$G81*(1+$H81)^(2043-$E81))))))</f>
        <v/>
      </c>
      <c r="AI81" s="16">
        <f>IF($A81="","",IF(2044&lt;$E81,"",IF($D81="Manuell","",IF(2044&gt;$E81+$F81,IF($D81="Fix",$G81,$G81*(1+$H81)^($F81)),IF($D81="Fix",$G81,$G81*(1+$H81)^(2044-$E81))))))</f>
        <v/>
      </c>
      <c r="AJ81" s="16">
        <f>IF($A81="","",IF(2045&lt;$E81,"",IF($D81="Manuell","",IF(2045&gt;$E81+$F81,IF($D81="Fix",$G81,$G81*(1+$H81)^($F81)),IF($D81="Fix",$G81,$G81*(1+$H81)^(2045-$E81))))))</f>
        <v/>
      </c>
      <c r="AK81" s="16">
        <f>IF($A81="","",IF(2046&lt;$E81,"",IF($D81="Manuell","",IF(2046&gt;$E81+$F81,IF($D81="Fix",$G81,$G81*(1+$H81)^($F81)),IF($D81="Fix",$G81,$G81*(1+$H81)^(2046-$E81))))))</f>
        <v/>
      </c>
      <c r="AL81" s="16">
        <f>IF($A81="","",IF(2047&lt;$E81,"",IF($D81="Manuell","",IF(2047&gt;$E81+$F81,IF($D81="Fix",$G81,$G81*(1+$H81)^($F81)),IF($D81="Fix",$G81,$G81*(1+$H81)^(2047-$E81))))))</f>
        <v/>
      </c>
      <c r="AM81" s="16">
        <f>IF($A81="","",IF(2048&lt;$E81,"",IF($D81="Manuell","",IF(2048&gt;$E81+$F81,IF($D81="Fix",$G81,$G81*(1+$H81)^($F81)),IF($D81="Fix",$G81,$G81*(1+$H81)^(2048-$E81))))))</f>
        <v/>
      </c>
      <c r="AN81" s="16">
        <f>IF($A81="","",IF(2049&lt;$E81,"",IF($D81="Manuell","",IF(2049&gt;$E81+$F81,IF($D81="Fix",$G81,$G81*(1+$H81)^($F81)),IF($D81="Fix",$G81,$G81*(1+$H81)^(2049-$E81))))))</f>
        <v/>
      </c>
      <c r="AO81" s="16">
        <f>IF($A81="","",IF(2050&lt;$E81,"",IF($D81="Manuell","",IF(2050&gt;$E81+$F81,IF($D81="Fix",$G81,$G81*(1+$H81)^($F81)),IF($D81="Fix",$G81,$G81*(1+$H81)^(2050-$E81))))))</f>
        <v/>
      </c>
      <c r="AP81" s="16">
        <f>IF($A81="","",IF(2051&lt;$E81,"",IF($D81="Manuell","",IF(2051&gt;$E81+$F81,IF($D81="Fix",$G81,$G81*(1+$H81)^($F81)),IF($D81="Fix",$G81,$G81*(1+$H81)^(2051-$E81))))))</f>
        <v/>
      </c>
      <c r="AQ81" s="16">
        <f>IF($A81="","",IF(2052&lt;$E81,"",IF($D81="Manuell","",IF(2052&gt;$E81+$F81,IF($D81="Fix",$G81,$G81*(1+$H81)^($F81)),IF($D81="Fix",$G81,$G81*(1+$H81)^(2052-$E81))))))</f>
        <v/>
      </c>
      <c r="AR81" s="16">
        <f>IF($A81="","",IF(2053&lt;$E81,"",IF($D81="Manuell","",IF(2053&gt;$E81+$F81,IF($D81="Fix",$G81,$G81*(1+$H81)^($F81)),IF($D81="Fix",$G81,$G81*(1+$H81)^(2053-$E81))))))</f>
        <v/>
      </c>
      <c r="AS81" s="16">
        <f>IF($A81="","",IF(2054&lt;$E81,"",IF($D81="Manuell","",IF(2054&gt;$E81+$F81,IF($D81="Fix",$G81,$G81*(1+$H81)^($F81)),IF($D81="Fix",$G81,$G81*(1+$H81)^(2054-$E81))))))</f>
        <v/>
      </c>
      <c r="AT81" s="16">
        <f>IF($A81="","",IF(2055&lt;$E81,"",IF($D81="Manuell","",IF(2055&gt;$E81+$F81,IF($D81="Fix",$G81,$G81*(1+$H81)^($F81)),IF($D81="Fix",$G81,$G81*(1+$H81)^(2055-$E81))))))</f>
        <v/>
      </c>
    </row>
    <row r="82">
      <c r="A82" s="14" t="inlineStr"/>
      <c r="B82" s="14" t="inlineStr"/>
      <c r="C82" s="14" t="inlineStr"/>
      <c r="D82" s="14" t="inlineStr"/>
      <c r="E82" s="11" t="inlineStr"/>
      <c r="F82" s="11" t="inlineStr"/>
      <c r="G82" s="15" t="inlineStr"/>
      <c r="H82" s="15" t="inlineStr"/>
      <c r="I82" s="16">
        <f>IF($A82="","",IF(2018&lt;$E82,"",IF($D82="Manuell","",IF(2018&gt;$E82+$F82,IF($D82="Fix",$G82,$G82*(1+$H82)^($F82)),IF($D82="Fix",$G82,$G82*(1+$H82)^(2018-$E82))))))</f>
        <v/>
      </c>
      <c r="J82" s="16">
        <f>IF($A82="","",IF(2019&lt;$E82,"",IF($D82="Manuell","",IF(2019&gt;$E82+$F82,IF($D82="Fix",$G82,$G82*(1+$H82)^($F82)),IF($D82="Fix",$G82,$G82*(1+$H82)^(2019-$E82))))))</f>
        <v/>
      </c>
      <c r="K82" s="16">
        <f>IF($A82="","",IF(2020&lt;$E82,"",IF($D82="Manuell","",IF(2020&gt;$E82+$F82,IF($D82="Fix",$G82,$G82*(1+$H82)^($F82)),IF($D82="Fix",$G82,$G82*(1+$H82)^(2020-$E82))))))</f>
        <v/>
      </c>
      <c r="L82" s="16">
        <f>IF($A82="","",IF(2021&lt;$E82,"",IF($D82="Manuell","",IF(2021&gt;$E82+$F82,IF($D82="Fix",$G82,$G82*(1+$H82)^($F82)),IF($D82="Fix",$G82,$G82*(1+$H82)^(2021-$E82))))))</f>
        <v/>
      </c>
      <c r="M82" s="16">
        <f>IF($A82="","",IF(2022&lt;$E82,"",IF($D82="Manuell","",IF(2022&gt;$E82+$F82,IF($D82="Fix",$G82,$G82*(1+$H82)^($F82)),IF($D82="Fix",$G82,$G82*(1+$H82)^(2022-$E82))))))</f>
        <v/>
      </c>
      <c r="N82" s="16">
        <f>IF($A82="","",IF(2023&lt;$E82,"",IF($D82="Manuell","",IF(2023&gt;$E82+$F82,IF($D82="Fix",$G82,$G82*(1+$H82)^($F82)),IF($D82="Fix",$G82,$G82*(1+$H82)^(2023-$E82))))))</f>
        <v/>
      </c>
      <c r="O82" s="16">
        <f>IF($A82="","",IF(2024&lt;$E82,"",IF($D82="Manuell","",IF(2024&gt;$E82+$F82,IF($D82="Fix",$G82,$G82*(1+$H82)^($F82)),IF($D82="Fix",$G82,$G82*(1+$H82)^(2024-$E82))))))</f>
        <v/>
      </c>
      <c r="P82" s="16">
        <f>IF($A82="","",IF(2025&lt;$E82,"",IF($D82="Manuell","",IF(2025&gt;$E82+$F82,IF($D82="Fix",$G82,$G82*(1+$H82)^($F82)),IF($D82="Fix",$G82,$G82*(1+$H82)^(2025-$E82))))))</f>
        <v/>
      </c>
      <c r="Q82" s="16">
        <f>IF($A82="","",IF(2026&lt;$E82,"",IF($D82="Manuell","",IF(2026&gt;$E82+$F82,IF($D82="Fix",$G82,$G82*(1+$H82)^($F82)),IF($D82="Fix",$G82,$G82*(1+$H82)^(2026-$E82))))))</f>
        <v/>
      </c>
      <c r="R82" s="16">
        <f>IF($A82="","",IF(2027&lt;$E82,"",IF($D82="Manuell","",IF(2027&gt;$E82+$F82,IF($D82="Fix",$G82,$G82*(1+$H82)^($F82)),IF($D82="Fix",$G82,$G82*(1+$H82)^(2027-$E82))))))</f>
        <v/>
      </c>
      <c r="S82" s="16">
        <f>IF($A82="","",IF(2028&lt;$E82,"",IF($D82="Manuell","",IF(2028&gt;$E82+$F82,IF($D82="Fix",$G82,$G82*(1+$H82)^($F82)),IF($D82="Fix",$G82,$G82*(1+$H82)^(2028-$E82))))))</f>
        <v/>
      </c>
      <c r="T82" s="16">
        <f>IF($A82="","",IF(2029&lt;$E82,"",IF($D82="Manuell","",IF(2029&gt;$E82+$F82,IF($D82="Fix",$G82,$G82*(1+$H82)^($F82)),IF($D82="Fix",$G82,$G82*(1+$H82)^(2029-$E82))))))</f>
        <v/>
      </c>
      <c r="U82" s="16">
        <f>IF($A82="","",IF(2030&lt;$E82,"",IF($D82="Manuell","",IF(2030&gt;$E82+$F82,IF($D82="Fix",$G82,$G82*(1+$H82)^($F82)),IF($D82="Fix",$G82,$G82*(1+$H82)^(2030-$E82))))))</f>
        <v/>
      </c>
      <c r="V82" s="16">
        <f>IF($A82="","",IF(2031&lt;$E82,"",IF($D82="Manuell","",IF(2031&gt;$E82+$F82,IF($D82="Fix",$G82,$G82*(1+$H82)^($F82)),IF($D82="Fix",$G82,$G82*(1+$H82)^(2031-$E82))))))</f>
        <v/>
      </c>
      <c r="W82" s="16">
        <f>IF($A82="","",IF(2032&lt;$E82,"",IF($D82="Manuell","",IF(2032&gt;$E82+$F82,IF($D82="Fix",$G82,$G82*(1+$H82)^($F82)),IF($D82="Fix",$G82,$G82*(1+$H82)^(2032-$E82))))))</f>
        <v/>
      </c>
      <c r="X82" s="16">
        <f>IF($A82="","",IF(2033&lt;$E82,"",IF($D82="Manuell","",IF(2033&gt;$E82+$F82,IF($D82="Fix",$G82,$G82*(1+$H82)^($F82)),IF($D82="Fix",$G82,$G82*(1+$H82)^(2033-$E82))))))</f>
        <v/>
      </c>
      <c r="Y82" s="16">
        <f>IF($A82="","",IF(2034&lt;$E82,"",IF($D82="Manuell","",IF(2034&gt;$E82+$F82,IF($D82="Fix",$G82,$G82*(1+$H82)^($F82)),IF($D82="Fix",$G82,$G82*(1+$H82)^(2034-$E82))))))</f>
        <v/>
      </c>
      <c r="Z82" s="16">
        <f>IF($A82="","",IF(2035&lt;$E82,"",IF($D82="Manuell","",IF(2035&gt;$E82+$F82,IF($D82="Fix",$G82,$G82*(1+$H82)^($F82)),IF($D82="Fix",$G82,$G82*(1+$H82)^(2035-$E82))))))</f>
        <v/>
      </c>
      <c r="AA82" s="16">
        <f>IF($A82="","",IF(2036&lt;$E82,"",IF($D82="Manuell","",IF(2036&gt;$E82+$F82,IF($D82="Fix",$G82,$G82*(1+$H82)^($F82)),IF($D82="Fix",$G82,$G82*(1+$H82)^(2036-$E82))))))</f>
        <v/>
      </c>
      <c r="AB82" s="16">
        <f>IF($A82="","",IF(2037&lt;$E82,"",IF($D82="Manuell","",IF(2037&gt;$E82+$F82,IF($D82="Fix",$G82,$G82*(1+$H82)^($F82)),IF($D82="Fix",$G82,$G82*(1+$H82)^(2037-$E82))))))</f>
        <v/>
      </c>
      <c r="AC82" s="16">
        <f>IF($A82="","",IF(2038&lt;$E82,"",IF($D82="Manuell","",IF(2038&gt;$E82+$F82,IF($D82="Fix",$G82,$G82*(1+$H82)^($F82)),IF($D82="Fix",$G82,$G82*(1+$H82)^(2038-$E82))))))</f>
        <v/>
      </c>
      <c r="AD82" s="16">
        <f>IF($A82="","",IF(2039&lt;$E82,"",IF($D82="Manuell","",IF(2039&gt;$E82+$F82,IF($D82="Fix",$G82,$G82*(1+$H82)^($F82)),IF($D82="Fix",$G82,$G82*(1+$H82)^(2039-$E82))))))</f>
        <v/>
      </c>
      <c r="AE82" s="16">
        <f>IF($A82="","",IF(2040&lt;$E82,"",IF($D82="Manuell","",IF(2040&gt;$E82+$F82,IF($D82="Fix",$G82,$G82*(1+$H82)^($F82)),IF($D82="Fix",$G82,$G82*(1+$H82)^(2040-$E82))))))</f>
        <v/>
      </c>
      <c r="AF82" s="16">
        <f>IF($A82="","",IF(2041&lt;$E82,"",IF($D82="Manuell","",IF(2041&gt;$E82+$F82,IF($D82="Fix",$G82,$G82*(1+$H82)^($F82)),IF($D82="Fix",$G82,$G82*(1+$H82)^(2041-$E82))))))</f>
        <v/>
      </c>
      <c r="AG82" s="16">
        <f>IF($A82="","",IF(2042&lt;$E82,"",IF($D82="Manuell","",IF(2042&gt;$E82+$F82,IF($D82="Fix",$G82,$G82*(1+$H82)^($F82)),IF($D82="Fix",$G82,$G82*(1+$H82)^(2042-$E82))))))</f>
        <v/>
      </c>
      <c r="AH82" s="16">
        <f>IF($A82="","",IF(2043&lt;$E82,"",IF($D82="Manuell","",IF(2043&gt;$E82+$F82,IF($D82="Fix",$G82,$G82*(1+$H82)^($F82)),IF($D82="Fix",$G82,$G82*(1+$H82)^(2043-$E82))))))</f>
        <v/>
      </c>
      <c r="AI82" s="16">
        <f>IF($A82="","",IF(2044&lt;$E82,"",IF($D82="Manuell","",IF(2044&gt;$E82+$F82,IF($D82="Fix",$G82,$G82*(1+$H82)^($F82)),IF($D82="Fix",$G82,$G82*(1+$H82)^(2044-$E82))))))</f>
        <v/>
      </c>
      <c r="AJ82" s="16">
        <f>IF($A82="","",IF(2045&lt;$E82,"",IF($D82="Manuell","",IF(2045&gt;$E82+$F82,IF($D82="Fix",$G82,$G82*(1+$H82)^($F82)),IF($D82="Fix",$G82,$G82*(1+$H82)^(2045-$E82))))))</f>
        <v/>
      </c>
      <c r="AK82" s="16">
        <f>IF($A82="","",IF(2046&lt;$E82,"",IF($D82="Manuell","",IF(2046&gt;$E82+$F82,IF($D82="Fix",$G82,$G82*(1+$H82)^($F82)),IF($D82="Fix",$G82,$G82*(1+$H82)^(2046-$E82))))))</f>
        <v/>
      </c>
      <c r="AL82" s="16">
        <f>IF($A82="","",IF(2047&lt;$E82,"",IF($D82="Manuell","",IF(2047&gt;$E82+$F82,IF($D82="Fix",$G82,$G82*(1+$H82)^($F82)),IF($D82="Fix",$G82,$G82*(1+$H82)^(2047-$E82))))))</f>
        <v/>
      </c>
      <c r="AM82" s="16">
        <f>IF($A82="","",IF(2048&lt;$E82,"",IF($D82="Manuell","",IF(2048&gt;$E82+$F82,IF($D82="Fix",$G82,$G82*(1+$H82)^($F82)),IF($D82="Fix",$G82,$G82*(1+$H82)^(2048-$E82))))))</f>
        <v/>
      </c>
      <c r="AN82" s="16">
        <f>IF($A82="","",IF(2049&lt;$E82,"",IF($D82="Manuell","",IF(2049&gt;$E82+$F82,IF($D82="Fix",$G82,$G82*(1+$H82)^($F82)),IF($D82="Fix",$G82,$G82*(1+$H82)^(2049-$E82))))))</f>
        <v/>
      </c>
      <c r="AO82" s="16">
        <f>IF($A82="","",IF(2050&lt;$E82,"",IF($D82="Manuell","",IF(2050&gt;$E82+$F82,IF($D82="Fix",$G82,$G82*(1+$H82)^($F82)),IF($D82="Fix",$G82,$G82*(1+$H82)^(2050-$E82))))))</f>
        <v/>
      </c>
      <c r="AP82" s="16">
        <f>IF($A82="","",IF(2051&lt;$E82,"",IF($D82="Manuell","",IF(2051&gt;$E82+$F82,IF($D82="Fix",$G82,$G82*(1+$H82)^($F82)),IF($D82="Fix",$G82,$G82*(1+$H82)^(2051-$E82))))))</f>
        <v/>
      </c>
      <c r="AQ82" s="16">
        <f>IF($A82="","",IF(2052&lt;$E82,"",IF($D82="Manuell","",IF(2052&gt;$E82+$F82,IF($D82="Fix",$G82,$G82*(1+$H82)^($F82)),IF($D82="Fix",$G82,$G82*(1+$H82)^(2052-$E82))))))</f>
        <v/>
      </c>
      <c r="AR82" s="16">
        <f>IF($A82="","",IF(2053&lt;$E82,"",IF($D82="Manuell","",IF(2053&gt;$E82+$F82,IF($D82="Fix",$G82,$G82*(1+$H82)^($F82)),IF($D82="Fix",$G82,$G82*(1+$H82)^(2053-$E82))))))</f>
        <v/>
      </c>
      <c r="AS82" s="16">
        <f>IF($A82="","",IF(2054&lt;$E82,"",IF($D82="Manuell","",IF(2054&gt;$E82+$F82,IF($D82="Fix",$G82,$G82*(1+$H82)^($F82)),IF($D82="Fix",$G82,$G82*(1+$H82)^(2054-$E82))))))</f>
        <v/>
      </c>
      <c r="AT82" s="16">
        <f>IF($A82="","",IF(2055&lt;$E82,"",IF($D82="Manuell","",IF(2055&gt;$E82+$F82,IF($D82="Fix",$G82,$G82*(1+$H82)^($F82)),IF($D82="Fix",$G82,$G82*(1+$H82)^(2055-$E82))))))</f>
        <v/>
      </c>
    </row>
    <row r="83">
      <c r="A83" s="14" t="inlineStr"/>
      <c r="B83" s="14" t="inlineStr"/>
      <c r="C83" s="14" t="inlineStr"/>
      <c r="D83" s="14" t="inlineStr"/>
      <c r="E83" s="11" t="inlineStr"/>
      <c r="F83" s="11" t="inlineStr"/>
      <c r="G83" s="15" t="inlineStr"/>
      <c r="H83" s="15" t="inlineStr"/>
      <c r="I83" s="16">
        <f>IF($A83="","",IF(2018&lt;$E83,"",IF($D83="Manuell","",IF(2018&gt;$E83+$F83,IF($D83="Fix",$G83,$G83*(1+$H83)^($F83)),IF($D83="Fix",$G83,$G83*(1+$H83)^(2018-$E83))))))</f>
        <v/>
      </c>
      <c r="J83" s="16">
        <f>IF($A83="","",IF(2019&lt;$E83,"",IF($D83="Manuell","",IF(2019&gt;$E83+$F83,IF($D83="Fix",$G83,$G83*(1+$H83)^($F83)),IF($D83="Fix",$G83,$G83*(1+$H83)^(2019-$E83))))))</f>
        <v/>
      </c>
      <c r="K83" s="16">
        <f>IF($A83="","",IF(2020&lt;$E83,"",IF($D83="Manuell","",IF(2020&gt;$E83+$F83,IF($D83="Fix",$G83,$G83*(1+$H83)^($F83)),IF($D83="Fix",$G83,$G83*(1+$H83)^(2020-$E83))))))</f>
        <v/>
      </c>
      <c r="L83" s="16">
        <f>IF($A83="","",IF(2021&lt;$E83,"",IF($D83="Manuell","",IF(2021&gt;$E83+$F83,IF($D83="Fix",$G83,$G83*(1+$H83)^($F83)),IF($D83="Fix",$G83,$G83*(1+$H83)^(2021-$E83))))))</f>
        <v/>
      </c>
      <c r="M83" s="16">
        <f>IF($A83="","",IF(2022&lt;$E83,"",IF($D83="Manuell","",IF(2022&gt;$E83+$F83,IF($D83="Fix",$G83,$G83*(1+$H83)^($F83)),IF($D83="Fix",$G83,$G83*(1+$H83)^(2022-$E83))))))</f>
        <v/>
      </c>
      <c r="N83" s="16">
        <f>IF($A83="","",IF(2023&lt;$E83,"",IF($D83="Manuell","",IF(2023&gt;$E83+$F83,IF($D83="Fix",$G83,$G83*(1+$H83)^($F83)),IF($D83="Fix",$G83,$G83*(1+$H83)^(2023-$E83))))))</f>
        <v/>
      </c>
      <c r="O83" s="16">
        <f>IF($A83="","",IF(2024&lt;$E83,"",IF($D83="Manuell","",IF(2024&gt;$E83+$F83,IF($D83="Fix",$G83,$G83*(1+$H83)^($F83)),IF($D83="Fix",$G83,$G83*(1+$H83)^(2024-$E83))))))</f>
        <v/>
      </c>
      <c r="P83" s="16">
        <f>IF($A83="","",IF(2025&lt;$E83,"",IF($D83="Manuell","",IF(2025&gt;$E83+$F83,IF($D83="Fix",$G83,$G83*(1+$H83)^($F83)),IF($D83="Fix",$G83,$G83*(1+$H83)^(2025-$E83))))))</f>
        <v/>
      </c>
      <c r="Q83" s="16">
        <f>IF($A83="","",IF(2026&lt;$E83,"",IF($D83="Manuell","",IF(2026&gt;$E83+$F83,IF($D83="Fix",$G83,$G83*(1+$H83)^($F83)),IF($D83="Fix",$G83,$G83*(1+$H83)^(2026-$E83))))))</f>
        <v/>
      </c>
      <c r="R83" s="16">
        <f>IF($A83="","",IF(2027&lt;$E83,"",IF($D83="Manuell","",IF(2027&gt;$E83+$F83,IF($D83="Fix",$G83,$G83*(1+$H83)^($F83)),IF($D83="Fix",$G83,$G83*(1+$H83)^(2027-$E83))))))</f>
        <v/>
      </c>
      <c r="S83" s="16">
        <f>IF($A83="","",IF(2028&lt;$E83,"",IF($D83="Manuell","",IF(2028&gt;$E83+$F83,IF($D83="Fix",$G83,$G83*(1+$H83)^($F83)),IF($D83="Fix",$G83,$G83*(1+$H83)^(2028-$E83))))))</f>
        <v/>
      </c>
      <c r="T83" s="16">
        <f>IF($A83="","",IF(2029&lt;$E83,"",IF($D83="Manuell","",IF(2029&gt;$E83+$F83,IF($D83="Fix",$G83,$G83*(1+$H83)^($F83)),IF($D83="Fix",$G83,$G83*(1+$H83)^(2029-$E83))))))</f>
        <v/>
      </c>
      <c r="U83" s="16">
        <f>IF($A83="","",IF(2030&lt;$E83,"",IF($D83="Manuell","",IF(2030&gt;$E83+$F83,IF($D83="Fix",$G83,$G83*(1+$H83)^($F83)),IF($D83="Fix",$G83,$G83*(1+$H83)^(2030-$E83))))))</f>
        <v/>
      </c>
      <c r="V83" s="16">
        <f>IF($A83="","",IF(2031&lt;$E83,"",IF($D83="Manuell","",IF(2031&gt;$E83+$F83,IF($D83="Fix",$G83,$G83*(1+$H83)^($F83)),IF($D83="Fix",$G83,$G83*(1+$H83)^(2031-$E83))))))</f>
        <v/>
      </c>
      <c r="W83" s="16">
        <f>IF($A83="","",IF(2032&lt;$E83,"",IF($D83="Manuell","",IF(2032&gt;$E83+$F83,IF($D83="Fix",$G83,$G83*(1+$H83)^($F83)),IF($D83="Fix",$G83,$G83*(1+$H83)^(2032-$E83))))))</f>
        <v/>
      </c>
      <c r="X83" s="16">
        <f>IF($A83="","",IF(2033&lt;$E83,"",IF($D83="Manuell","",IF(2033&gt;$E83+$F83,IF($D83="Fix",$G83,$G83*(1+$H83)^($F83)),IF($D83="Fix",$G83,$G83*(1+$H83)^(2033-$E83))))))</f>
        <v/>
      </c>
      <c r="Y83" s="16">
        <f>IF($A83="","",IF(2034&lt;$E83,"",IF($D83="Manuell","",IF(2034&gt;$E83+$F83,IF($D83="Fix",$G83,$G83*(1+$H83)^($F83)),IF($D83="Fix",$G83,$G83*(1+$H83)^(2034-$E83))))))</f>
        <v/>
      </c>
      <c r="Z83" s="16">
        <f>IF($A83="","",IF(2035&lt;$E83,"",IF($D83="Manuell","",IF(2035&gt;$E83+$F83,IF($D83="Fix",$G83,$G83*(1+$H83)^($F83)),IF($D83="Fix",$G83,$G83*(1+$H83)^(2035-$E83))))))</f>
        <v/>
      </c>
      <c r="AA83" s="16">
        <f>IF($A83="","",IF(2036&lt;$E83,"",IF($D83="Manuell","",IF(2036&gt;$E83+$F83,IF($D83="Fix",$G83,$G83*(1+$H83)^($F83)),IF($D83="Fix",$G83,$G83*(1+$H83)^(2036-$E83))))))</f>
        <v/>
      </c>
      <c r="AB83" s="16">
        <f>IF($A83="","",IF(2037&lt;$E83,"",IF($D83="Manuell","",IF(2037&gt;$E83+$F83,IF($D83="Fix",$G83,$G83*(1+$H83)^($F83)),IF($D83="Fix",$G83,$G83*(1+$H83)^(2037-$E83))))))</f>
        <v/>
      </c>
      <c r="AC83" s="16">
        <f>IF($A83="","",IF(2038&lt;$E83,"",IF($D83="Manuell","",IF(2038&gt;$E83+$F83,IF($D83="Fix",$G83,$G83*(1+$H83)^($F83)),IF($D83="Fix",$G83,$G83*(1+$H83)^(2038-$E83))))))</f>
        <v/>
      </c>
      <c r="AD83" s="16">
        <f>IF($A83="","",IF(2039&lt;$E83,"",IF($D83="Manuell","",IF(2039&gt;$E83+$F83,IF($D83="Fix",$G83,$G83*(1+$H83)^($F83)),IF($D83="Fix",$G83,$G83*(1+$H83)^(2039-$E83))))))</f>
        <v/>
      </c>
      <c r="AE83" s="16">
        <f>IF($A83="","",IF(2040&lt;$E83,"",IF($D83="Manuell","",IF(2040&gt;$E83+$F83,IF($D83="Fix",$G83,$G83*(1+$H83)^($F83)),IF($D83="Fix",$G83,$G83*(1+$H83)^(2040-$E83))))))</f>
        <v/>
      </c>
      <c r="AF83" s="16">
        <f>IF($A83="","",IF(2041&lt;$E83,"",IF($D83="Manuell","",IF(2041&gt;$E83+$F83,IF($D83="Fix",$G83,$G83*(1+$H83)^($F83)),IF($D83="Fix",$G83,$G83*(1+$H83)^(2041-$E83))))))</f>
        <v/>
      </c>
      <c r="AG83" s="16">
        <f>IF($A83="","",IF(2042&lt;$E83,"",IF($D83="Manuell","",IF(2042&gt;$E83+$F83,IF($D83="Fix",$G83,$G83*(1+$H83)^($F83)),IF($D83="Fix",$G83,$G83*(1+$H83)^(2042-$E83))))))</f>
        <v/>
      </c>
      <c r="AH83" s="16">
        <f>IF($A83="","",IF(2043&lt;$E83,"",IF($D83="Manuell","",IF(2043&gt;$E83+$F83,IF($D83="Fix",$G83,$G83*(1+$H83)^($F83)),IF($D83="Fix",$G83,$G83*(1+$H83)^(2043-$E83))))))</f>
        <v/>
      </c>
      <c r="AI83" s="16">
        <f>IF($A83="","",IF(2044&lt;$E83,"",IF($D83="Manuell","",IF(2044&gt;$E83+$F83,IF($D83="Fix",$G83,$G83*(1+$H83)^($F83)),IF($D83="Fix",$G83,$G83*(1+$H83)^(2044-$E83))))))</f>
        <v/>
      </c>
      <c r="AJ83" s="16">
        <f>IF($A83="","",IF(2045&lt;$E83,"",IF($D83="Manuell","",IF(2045&gt;$E83+$F83,IF($D83="Fix",$G83,$G83*(1+$H83)^($F83)),IF($D83="Fix",$G83,$G83*(1+$H83)^(2045-$E83))))))</f>
        <v/>
      </c>
      <c r="AK83" s="16">
        <f>IF($A83="","",IF(2046&lt;$E83,"",IF($D83="Manuell","",IF(2046&gt;$E83+$F83,IF($D83="Fix",$G83,$G83*(1+$H83)^($F83)),IF($D83="Fix",$G83,$G83*(1+$H83)^(2046-$E83))))))</f>
        <v/>
      </c>
      <c r="AL83" s="16">
        <f>IF($A83="","",IF(2047&lt;$E83,"",IF($D83="Manuell","",IF(2047&gt;$E83+$F83,IF($D83="Fix",$G83,$G83*(1+$H83)^($F83)),IF($D83="Fix",$G83,$G83*(1+$H83)^(2047-$E83))))))</f>
        <v/>
      </c>
      <c r="AM83" s="16">
        <f>IF($A83="","",IF(2048&lt;$E83,"",IF($D83="Manuell","",IF(2048&gt;$E83+$F83,IF($D83="Fix",$G83,$G83*(1+$H83)^($F83)),IF($D83="Fix",$G83,$G83*(1+$H83)^(2048-$E83))))))</f>
        <v/>
      </c>
      <c r="AN83" s="16">
        <f>IF($A83="","",IF(2049&lt;$E83,"",IF($D83="Manuell","",IF(2049&gt;$E83+$F83,IF($D83="Fix",$G83,$G83*(1+$H83)^($F83)),IF($D83="Fix",$G83,$G83*(1+$H83)^(2049-$E83))))))</f>
        <v/>
      </c>
      <c r="AO83" s="16">
        <f>IF($A83="","",IF(2050&lt;$E83,"",IF($D83="Manuell","",IF(2050&gt;$E83+$F83,IF($D83="Fix",$G83,$G83*(1+$H83)^($F83)),IF($D83="Fix",$G83,$G83*(1+$H83)^(2050-$E83))))))</f>
        <v/>
      </c>
      <c r="AP83" s="16">
        <f>IF($A83="","",IF(2051&lt;$E83,"",IF($D83="Manuell","",IF(2051&gt;$E83+$F83,IF($D83="Fix",$G83,$G83*(1+$H83)^($F83)),IF($D83="Fix",$G83,$G83*(1+$H83)^(2051-$E83))))))</f>
        <v/>
      </c>
      <c r="AQ83" s="16">
        <f>IF($A83="","",IF(2052&lt;$E83,"",IF($D83="Manuell","",IF(2052&gt;$E83+$F83,IF($D83="Fix",$G83,$G83*(1+$H83)^($F83)),IF($D83="Fix",$G83,$G83*(1+$H83)^(2052-$E83))))))</f>
        <v/>
      </c>
      <c r="AR83" s="16">
        <f>IF($A83="","",IF(2053&lt;$E83,"",IF($D83="Manuell","",IF(2053&gt;$E83+$F83,IF($D83="Fix",$G83,$G83*(1+$H83)^($F83)),IF($D83="Fix",$G83,$G83*(1+$H83)^(2053-$E83))))))</f>
        <v/>
      </c>
      <c r="AS83" s="16">
        <f>IF($A83="","",IF(2054&lt;$E83,"",IF($D83="Manuell","",IF(2054&gt;$E83+$F83,IF($D83="Fix",$G83,$G83*(1+$H83)^($F83)),IF($D83="Fix",$G83,$G83*(1+$H83)^(2054-$E83))))))</f>
        <v/>
      </c>
      <c r="AT83" s="16">
        <f>IF($A83="","",IF(2055&lt;$E83,"",IF($D83="Manuell","",IF(2055&gt;$E83+$F83,IF($D83="Fix",$G83,$G83*(1+$H83)^($F83)),IF($D83="Fix",$G83,$G83*(1+$H83)^(2055-$E83))))))</f>
        <v/>
      </c>
    </row>
    <row r="84">
      <c r="A84" s="14" t="inlineStr"/>
      <c r="B84" s="14" t="inlineStr"/>
      <c r="C84" s="14" t="inlineStr"/>
      <c r="D84" s="14" t="inlineStr"/>
      <c r="E84" s="11" t="inlineStr"/>
      <c r="F84" s="11" t="inlineStr"/>
      <c r="G84" s="15" t="inlineStr"/>
      <c r="H84" s="15" t="inlineStr"/>
      <c r="I84" s="16">
        <f>IF($A84="","",IF(2018&lt;$E84,"",IF($D84="Manuell","",IF(2018&gt;$E84+$F84,IF($D84="Fix",$G84,$G84*(1+$H84)^($F84)),IF($D84="Fix",$G84,$G84*(1+$H84)^(2018-$E84))))))</f>
        <v/>
      </c>
      <c r="J84" s="16">
        <f>IF($A84="","",IF(2019&lt;$E84,"",IF($D84="Manuell","",IF(2019&gt;$E84+$F84,IF($D84="Fix",$G84,$G84*(1+$H84)^($F84)),IF($D84="Fix",$G84,$G84*(1+$H84)^(2019-$E84))))))</f>
        <v/>
      </c>
      <c r="K84" s="16">
        <f>IF($A84="","",IF(2020&lt;$E84,"",IF($D84="Manuell","",IF(2020&gt;$E84+$F84,IF($D84="Fix",$G84,$G84*(1+$H84)^($F84)),IF($D84="Fix",$G84,$G84*(1+$H84)^(2020-$E84))))))</f>
        <v/>
      </c>
      <c r="L84" s="16">
        <f>IF($A84="","",IF(2021&lt;$E84,"",IF($D84="Manuell","",IF(2021&gt;$E84+$F84,IF($D84="Fix",$G84,$G84*(1+$H84)^($F84)),IF($D84="Fix",$G84,$G84*(1+$H84)^(2021-$E84))))))</f>
        <v/>
      </c>
      <c r="M84" s="16">
        <f>IF($A84="","",IF(2022&lt;$E84,"",IF($D84="Manuell","",IF(2022&gt;$E84+$F84,IF($D84="Fix",$G84,$G84*(1+$H84)^($F84)),IF($D84="Fix",$G84,$G84*(1+$H84)^(2022-$E84))))))</f>
        <v/>
      </c>
      <c r="N84" s="16">
        <f>IF($A84="","",IF(2023&lt;$E84,"",IF($D84="Manuell","",IF(2023&gt;$E84+$F84,IF($D84="Fix",$G84,$G84*(1+$H84)^($F84)),IF($D84="Fix",$G84,$G84*(1+$H84)^(2023-$E84))))))</f>
        <v/>
      </c>
      <c r="O84" s="16">
        <f>IF($A84="","",IF(2024&lt;$E84,"",IF($D84="Manuell","",IF(2024&gt;$E84+$F84,IF($D84="Fix",$G84,$G84*(1+$H84)^($F84)),IF($D84="Fix",$G84,$G84*(1+$H84)^(2024-$E84))))))</f>
        <v/>
      </c>
      <c r="P84" s="16">
        <f>IF($A84="","",IF(2025&lt;$E84,"",IF($D84="Manuell","",IF(2025&gt;$E84+$F84,IF($D84="Fix",$G84,$G84*(1+$H84)^($F84)),IF($D84="Fix",$G84,$G84*(1+$H84)^(2025-$E84))))))</f>
        <v/>
      </c>
      <c r="Q84" s="16">
        <f>IF($A84="","",IF(2026&lt;$E84,"",IF($D84="Manuell","",IF(2026&gt;$E84+$F84,IF($D84="Fix",$G84,$G84*(1+$H84)^($F84)),IF($D84="Fix",$G84,$G84*(1+$H84)^(2026-$E84))))))</f>
        <v/>
      </c>
      <c r="R84" s="16">
        <f>IF($A84="","",IF(2027&lt;$E84,"",IF($D84="Manuell","",IF(2027&gt;$E84+$F84,IF($D84="Fix",$G84,$G84*(1+$H84)^($F84)),IF($D84="Fix",$G84,$G84*(1+$H84)^(2027-$E84))))))</f>
        <v/>
      </c>
      <c r="S84" s="16">
        <f>IF($A84="","",IF(2028&lt;$E84,"",IF($D84="Manuell","",IF(2028&gt;$E84+$F84,IF($D84="Fix",$G84,$G84*(1+$H84)^($F84)),IF($D84="Fix",$G84,$G84*(1+$H84)^(2028-$E84))))))</f>
        <v/>
      </c>
      <c r="T84" s="16">
        <f>IF($A84="","",IF(2029&lt;$E84,"",IF($D84="Manuell","",IF(2029&gt;$E84+$F84,IF($D84="Fix",$G84,$G84*(1+$H84)^($F84)),IF($D84="Fix",$G84,$G84*(1+$H84)^(2029-$E84))))))</f>
        <v/>
      </c>
      <c r="U84" s="16">
        <f>IF($A84="","",IF(2030&lt;$E84,"",IF($D84="Manuell","",IF(2030&gt;$E84+$F84,IF($D84="Fix",$G84,$G84*(1+$H84)^($F84)),IF($D84="Fix",$G84,$G84*(1+$H84)^(2030-$E84))))))</f>
        <v/>
      </c>
      <c r="V84" s="16">
        <f>IF($A84="","",IF(2031&lt;$E84,"",IF($D84="Manuell","",IF(2031&gt;$E84+$F84,IF($D84="Fix",$G84,$G84*(1+$H84)^($F84)),IF($D84="Fix",$G84,$G84*(1+$H84)^(2031-$E84))))))</f>
        <v/>
      </c>
      <c r="W84" s="16">
        <f>IF($A84="","",IF(2032&lt;$E84,"",IF($D84="Manuell","",IF(2032&gt;$E84+$F84,IF($D84="Fix",$G84,$G84*(1+$H84)^($F84)),IF($D84="Fix",$G84,$G84*(1+$H84)^(2032-$E84))))))</f>
        <v/>
      </c>
      <c r="X84" s="16">
        <f>IF($A84="","",IF(2033&lt;$E84,"",IF($D84="Manuell","",IF(2033&gt;$E84+$F84,IF($D84="Fix",$G84,$G84*(1+$H84)^($F84)),IF($D84="Fix",$G84,$G84*(1+$H84)^(2033-$E84))))))</f>
        <v/>
      </c>
      <c r="Y84" s="16">
        <f>IF($A84="","",IF(2034&lt;$E84,"",IF($D84="Manuell","",IF(2034&gt;$E84+$F84,IF($D84="Fix",$G84,$G84*(1+$H84)^($F84)),IF($D84="Fix",$G84,$G84*(1+$H84)^(2034-$E84))))))</f>
        <v/>
      </c>
      <c r="Z84" s="16">
        <f>IF($A84="","",IF(2035&lt;$E84,"",IF($D84="Manuell","",IF(2035&gt;$E84+$F84,IF($D84="Fix",$G84,$G84*(1+$H84)^($F84)),IF($D84="Fix",$G84,$G84*(1+$H84)^(2035-$E84))))))</f>
        <v/>
      </c>
      <c r="AA84" s="16">
        <f>IF($A84="","",IF(2036&lt;$E84,"",IF($D84="Manuell","",IF(2036&gt;$E84+$F84,IF($D84="Fix",$G84,$G84*(1+$H84)^($F84)),IF($D84="Fix",$G84,$G84*(1+$H84)^(2036-$E84))))))</f>
        <v/>
      </c>
      <c r="AB84" s="16">
        <f>IF($A84="","",IF(2037&lt;$E84,"",IF($D84="Manuell","",IF(2037&gt;$E84+$F84,IF($D84="Fix",$G84,$G84*(1+$H84)^($F84)),IF($D84="Fix",$G84,$G84*(1+$H84)^(2037-$E84))))))</f>
        <v/>
      </c>
      <c r="AC84" s="16">
        <f>IF($A84="","",IF(2038&lt;$E84,"",IF($D84="Manuell","",IF(2038&gt;$E84+$F84,IF($D84="Fix",$G84,$G84*(1+$H84)^($F84)),IF($D84="Fix",$G84,$G84*(1+$H84)^(2038-$E84))))))</f>
        <v/>
      </c>
      <c r="AD84" s="16">
        <f>IF($A84="","",IF(2039&lt;$E84,"",IF($D84="Manuell","",IF(2039&gt;$E84+$F84,IF($D84="Fix",$G84,$G84*(1+$H84)^($F84)),IF($D84="Fix",$G84,$G84*(1+$H84)^(2039-$E84))))))</f>
        <v/>
      </c>
      <c r="AE84" s="16">
        <f>IF($A84="","",IF(2040&lt;$E84,"",IF($D84="Manuell","",IF(2040&gt;$E84+$F84,IF($D84="Fix",$G84,$G84*(1+$H84)^($F84)),IF($D84="Fix",$G84,$G84*(1+$H84)^(2040-$E84))))))</f>
        <v/>
      </c>
      <c r="AF84" s="16">
        <f>IF($A84="","",IF(2041&lt;$E84,"",IF($D84="Manuell","",IF(2041&gt;$E84+$F84,IF($D84="Fix",$G84,$G84*(1+$H84)^($F84)),IF($D84="Fix",$G84,$G84*(1+$H84)^(2041-$E84))))))</f>
        <v/>
      </c>
      <c r="AG84" s="16">
        <f>IF($A84="","",IF(2042&lt;$E84,"",IF($D84="Manuell","",IF(2042&gt;$E84+$F84,IF($D84="Fix",$G84,$G84*(1+$H84)^($F84)),IF($D84="Fix",$G84,$G84*(1+$H84)^(2042-$E84))))))</f>
        <v/>
      </c>
      <c r="AH84" s="16">
        <f>IF($A84="","",IF(2043&lt;$E84,"",IF($D84="Manuell","",IF(2043&gt;$E84+$F84,IF($D84="Fix",$G84,$G84*(1+$H84)^($F84)),IF($D84="Fix",$G84,$G84*(1+$H84)^(2043-$E84))))))</f>
        <v/>
      </c>
      <c r="AI84" s="16">
        <f>IF($A84="","",IF(2044&lt;$E84,"",IF($D84="Manuell","",IF(2044&gt;$E84+$F84,IF($D84="Fix",$G84,$G84*(1+$H84)^($F84)),IF($D84="Fix",$G84,$G84*(1+$H84)^(2044-$E84))))))</f>
        <v/>
      </c>
      <c r="AJ84" s="16">
        <f>IF($A84="","",IF(2045&lt;$E84,"",IF($D84="Manuell","",IF(2045&gt;$E84+$F84,IF($D84="Fix",$G84,$G84*(1+$H84)^($F84)),IF($D84="Fix",$G84,$G84*(1+$H84)^(2045-$E84))))))</f>
        <v/>
      </c>
      <c r="AK84" s="16">
        <f>IF($A84="","",IF(2046&lt;$E84,"",IF($D84="Manuell","",IF(2046&gt;$E84+$F84,IF($D84="Fix",$G84,$G84*(1+$H84)^($F84)),IF($D84="Fix",$G84,$G84*(1+$H84)^(2046-$E84))))))</f>
        <v/>
      </c>
      <c r="AL84" s="16">
        <f>IF($A84="","",IF(2047&lt;$E84,"",IF($D84="Manuell","",IF(2047&gt;$E84+$F84,IF($D84="Fix",$G84,$G84*(1+$H84)^($F84)),IF($D84="Fix",$G84,$G84*(1+$H84)^(2047-$E84))))))</f>
        <v/>
      </c>
      <c r="AM84" s="16">
        <f>IF($A84="","",IF(2048&lt;$E84,"",IF($D84="Manuell","",IF(2048&gt;$E84+$F84,IF($D84="Fix",$G84,$G84*(1+$H84)^($F84)),IF($D84="Fix",$G84,$G84*(1+$H84)^(2048-$E84))))))</f>
        <v/>
      </c>
      <c r="AN84" s="16">
        <f>IF($A84="","",IF(2049&lt;$E84,"",IF($D84="Manuell","",IF(2049&gt;$E84+$F84,IF($D84="Fix",$G84,$G84*(1+$H84)^($F84)),IF($D84="Fix",$G84,$G84*(1+$H84)^(2049-$E84))))))</f>
        <v/>
      </c>
      <c r="AO84" s="16">
        <f>IF($A84="","",IF(2050&lt;$E84,"",IF($D84="Manuell","",IF(2050&gt;$E84+$F84,IF($D84="Fix",$G84,$G84*(1+$H84)^($F84)),IF($D84="Fix",$G84,$G84*(1+$H84)^(2050-$E84))))))</f>
        <v/>
      </c>
      <c r="AP84" s="16">
        <f>IF($A84="","",IF(2051&lt;$E84,"",IF($D84="Manuell","",IF(2051&gt;$E84+$F84,IF($D84="Fix",$G84,$G84*(1+$H84)^($F84)),IF($D84="Fix",$G84,$G84*(1+$H84)^(2051-$E84))))))</f>
        <v/>
      </c>
      <c r="AQ84" s="16">
        <f>IF($A84="","",IF(2052&lt;$E84,"",IF($D84="Manuell","",IF(2052&gt;$E84+$F84,IF($D84="Fix",$G84,$G84*(1+$H84)^($F84)),IF($D84="Fix",$G84,$G84*(1+$H84)^(2052-$E84))))))</f>
        <v/>
      </c>
      <c r="AR84" s="16">
        <f>IF($A84="","",IF(2053&lt;$E84,"",IF($D84="Manuell","",IF(2053&gt;$E84+$F84,IF($D84="Fix",$G84,$G84*(1+$H84)^($F84)),IF($D84="Fix",$G84,$G84*(1+$H84)^(2053-$E84))))))</f>
        <v/>
      </c>
      <c r="AS84" s="16">
        <f>IF($A84="","",IF(2054&lt;$E84,"",IF($D84="Manuell","",IF(2054&gt;$E84+$F84,IF($D84="Fix",$G84,$G84*(1+$H84)^($F84)),IF($D84="Fix",$G84,$G84*(1+$H84)^(2054-$E84))))))</f>
        <v/>
      </c>
      <c r="AT84" s="16">
        <f>IF($A84="","",IF(2055&lt;$E84,"",IF($D84="Manuell","",IF(2055&gt;$E84+$F84,IF($D84="Fix",$G84,$G84*(1+$H84)^($F84)),IF($D84="Fix",$G84,$G84*(1+$H84)^(2055-$E84))))))</f>
        <v/>
      </c>
    </row>
    <row r="85">
      <c r="A85" s="14" t="inlineStr"/>
      <c r="B85" s="14" t="inlineStr"/>
      <c r="C85" s="14" t="inlineStr"/>
      <c r="D85" s="14" t="inlineStr"/>
      <c r="E85" s="11" t="inlineStr"/>
      <c r="F85" s="11" t="inlineStr"/>
      <c r="G85" s="15" t="inlineStr"/>
      <c r="H85" s="15" t="inlineStr"/>
      <c r="I85" s="16">
        <f>IF($A85="","",IF(2018&lt;$E85,"",IF($D85="Manuell","",IF(2018&gt;$E85+$F85,IF($D85="Fix",$G85,$G85*(1+$H85)^($F85)),IF($D85="Fix",$G85,$G85*(1+$H85)^(2018-$E85))))))</f>
        <v/>
      </c>
      <c r="J85" s="16">
        <f>IF($A85="","",IF(2019&lt;$E85,"",IF($D85="Manuell","",IF(2019&gt;$E85+$F85,IF($D85="Fix",$G85,$G85*(1+$H85)^($F85)),IF($D85="Fix",$G85,$G85*(1+$H85)^(2019-$E85))))))</f>
        <v/>
      </c>
      <c r="K85" s="16">
        <f>IF($A85="","",IF(2020&lt;$E85,"",IF($D85="Manuell","",IF(2020&gt;$E85+$F85,IF($D85="Fix",$G85,$G85*(1+$H85)^($F85)),IF($D85="Fix",$G85,$G85*(1+$H85)^(2020-$E85))))))</f>
        <v/>
      </c>
      <c r="L85" s="16">
        <f>IF($A85="","",IF(2021&lt;$E85,"",IF($D85="Manuell","",IF(2021&gt;$E85+$F85,IF($D85="Fix",$G85,$G85*(1+$H85)^($F85)),IF($D85="Fix",$G85,$G85*(1+$H85)^(2021-$E85))))))</f>
        <v/>
      </c>
      <c r="M85" s="16">
        <f>IF($A85="","",IF(2022&lt;$E85,"",IF($D85="Manuell","",IF(2022&gt;$E85+$F85,IF($D85="Fix",$G85,$G85*(1+$H85)^($F85)),IF($D85="Fix",$G85,$G85*(1+$H85)^(2022-$E85))))))</f>
        <v/>
      </c>
      <c r="N85" s="16">
        <f>IF($A85="","",IF(2023&lt;$E85,"",IF($D85="Manuell","",IF(2023&gt;$E85+$F85,IF($D85="Fix",$G85,$G85*(1+$H85)^($F85)),IF($D85="Fix",$G85,$G85*(1+$H85)^(2023-$E85))))))</f>
        <v/>
      </c>
      <c r="O85" s="16">
        <f>IF($A85="","",IF(2024&lt;$E85,"",IF($D85="Manuell","",IF(2024&gt;$E85+$F85,IF($D85="Fix",$G85,$G85*(1+$H85)^($F85)),IF($D85="Fix",$G85,$G85*(1+$H85)^(2024-$E85))))))</f>
        <v/>
      </c>
      <c r="P85" s="16">
        <f>IF($A85="","",IF(2025&lt;$E85,"",IF($D85="Manuell","",IF(2025&gt;$E85+$F85,IF($D85="Fix",$G85,$G85*(1+$H85)^($F85)),IF($D85="Fix",$G85,$G85*(1+$H85)^(2025-$E85))))))</f>
        <v/>
      </c>
      <c r="Q85" s="16">
        <f>IF($A85="","",IF(2026&lt;$E85,"",IF($D85="Manuell","",IF(2026&gt;$E85+$F85,IF($D85="Fix",$G85,$G85*(1+$H85)^($F85)),IF($D85="Fix",$G85,$G85*(1+$H85)^(2026-$E85))))))</f>
        <v/>
      </c>
      <c r="R85" s="16">
        <f>IF($A85="","",IF(2027&lt;$E85,"",IF($D85="Manuell","",IF(2027&gt;$E85+$F85,IF($D85="Fix",$G85,$G85*(1+$H85)^($F85)),IF($D85="Fix",$G85,$G85*(1+$H85)^(2027-$E85))))))</f>
        <v/>
      </c>
      <c r="S85" s="16">
        <f>IF($A85="","",IF(2028&lt;$E85,"",IF($D85="Manuell","",IF(2028&gt;$E85+$F85,IF($D85="Fix",$G85,$G85*(1+$H85)^($F85)),IF($D85="Fix",$G85,$G85*(1+$H85)^(2028-$E85))))))</f>
        <v/>
      </c>
      <c r="T85" s="16">
        <f>IF($A85="","",IF(2029&lt;$E85,"",IF($D85="Manuell","",IF(2029&gt;$E85+$F85,IF($D85="Fix",$G85,$G85*(1+$H85)^($F85)),IF($D85="Fix",$G85,$G85*(1+$H85)^(2029-$E85))))))</f>
        <v/>
      </c>
      <c r="U85" s="16">
        <f>IF($A85="","",IF(2030&lt;$E85,"",IF($D85="Manuell","",IF(2030&gt;$E85+$F85,IF($D85="Fix",$G85,$G85*(1+$H85)^($F85)),IF($D85="Fix",$G85,$G85*(1+$H85)^(2030-$E85))))))</f>
        <v/>
      </c>
      <c r="V85" s="16">
        <f>IF($A85="","",IF(2031&lt;$E85,"",IF($D85="Manuell","",IF(2031&gt;$E85+$F85,IF($D85="Fix",$G85,$G85*(1+$H85)^($F85)),IF($D85="Fix",$G85,$G85*(1+$H85)^(2031-$E85))))))</f>
        <v/>
      </c>
      <c r="W85" s="16">
        <f>IF($A85="","",IF(2032&lt;$E85,"",IF($D85="Manuell","",IF(2032&gt;$E85+$F85,IF($D85="Fix",$G85,$G85*(1+$H85)^($F85)),IF($D85="Fix",$G85,$G85*(1+$H85)^(2032-$E85))))))</f>
        <v/>
      </c>
      <c r="X85" s="16">
        <f>IF($A85="","",IF(2033&lt;$E85,"",IF($D85="Manuell","",IF(2033&gt;$E85+$F85,IF($D85="Fix",$G85,$G85*(1+$H85)^($F85)),IF($D85="Fix",$G85,$G85*(1+$H85)^(2033-$E85))))))</f>
        <v/>
      </c>
      <c r="Y85" s="16">
        <f>IF($A85="","",IF(2034&lt;$E85,"",IF($D85="Manuell","",IF(2034&gt;$E85+$F85,IF($D85="Fix",$G85,$G85*(1+$H85)^($F85)),IF($D85="Fix",$G85,$G85*(1+$H85)^(2034-$E85))))))</f>
        <v/>
      </c>
      <c r="Z85" s="16">
        <f>IF($A85="","",IF(2035&lt;$E85,"",IF($D85="Manuell","",IF(2035&gt;$E85+$F85,IF($D85="Fix",$G85,$G85*(1+$H85)^($F85)),IF($D85="Fix",$G85,$G85*(1+$H85)^(2035-$E85))))))</f>
        <v/>
      </c>
      <c r="AA85" s="16">
        <f>IF($A85="","",IF(2036&lt;$E85,"",IF($D85="Manuell","",IF(2036&gt;$E85+$F85,IF($D85="Fix",$G85,$G85*(1+$H85)^($F85)),IF($D85="Fix",$G85,$G85*(1+$H85)^(2036-$E85))))))</f>
        <v/>
      </c>
      <c r="AB85" s="16">
        <f>IF($A85="","",IF(2037&lt;$E85,"",IF($D85="Manuell","",IF(2037&gt;$E85+$F85,IF($D85="Fix",$G85,$G85*(1+$H85)^($F85)),IF($D85="Fix",$G85,$G85*(1+$H85)^(2037-$E85))))))</f>
        <v/>
      </c>
      <c r="AC85" s="16">
        <f>IF($A85="","",IF(2038&lt;$E85,"",IF($D85="Manuell","",IF(2038&gt;$E85+$F85,IF($D85="Fix",$G85,$G85*(1+$H85)^($F85)),IF($D85="Fix",$G85,$G85*(1+$H85)^(2038-$E85))))))</f>
        <v/>
      </c>
      <c r="AD85" s="16">
        <f>IF($A85="","",IF(2039&lt;$E85,"",IF($D85="Manuell","",IF(2039&gt;$E85+$F85,IF($D85="Fix",$G85,$G85*(1+$H85)^($F85)),IF($D85="Fix",$G85,$G85*(1+$H85)^(2039-$E85))))))</f>
        <v/>
      </c>
      <c r="AE85" s="16">
        <f>IF($A85="","",IF(2040&lt;$E85,"",IF($D85="Manuell","",IF(2040&gt;$E85+$F85,IF($D85="Fix",$G85,$G85*(1+$H85)^($F85)),IF($D85="Fix",$G85,$G85*(1+$H85)^(2040-$E85))))))</f>
        <v/>
      </c>
      <c r="AF85" s="16">
        <f>IF($A85="","",IF(2041&lt;$E85,"",IF($D85="Manuell","",IF(2041&gt;$E85+$F85,IF($D85="Fix",$G85,$G85*(1+$H85)^($F85)),IF($D85="Fix",$G85,$G85*(1+$H85)^(2041-$E85))))))</f>
        <v/>
      </c>
      <c r="AG85" s="16">
        <f>IF($A85="","",IF(2042&lt;$E85,"",IF($D85="Manuell","",IF(2042&gt;$E85+$F85,IF($D85="Fix",$G85,$G85*(1+$H85)^($F85)),IF($D85="Fix",$G85,$G85*(1+$H85)^(2042-$E85))))))</f>
        <v/>
      </c>
      <c r="AH85" s="16">
        <f>IF($A85="","",IF(2043&lt;$E85,"",IF($D85="Manuell","",IF(2043&gt;$E85+$F85,IF($D85="Fix",$G85,$G85*(1+$H85)^($F85)),IF($D85="Fix",$G85,$G85*(1+$H85)^(2043-$E85))))))</f>
        <v/>
      </c>
      <c r="AI85" s="16">
        <f>IF($A85="","",IF(2044&lt;$E85,"",IF($D85="Manuell","",IF(2044&gt;$E85+$F85,IF($D85="Fix",$G85,$G85*(1+$H85)^($F85)),IF($D85="Fix",$G85,$G85*(1+$H85)^(2044-$E85))))))</f>
        <v/>
      </c>
      <c r="AJ85" s="16">
        <f>IF($A85="","",IF(2045&lt;$E85,"",IF($D85="Manuell","",IF(2045&gt;$E85+$F85,IF($D85="Fix",$G85,$G85*(1+$H85)^($F85)),IF($D85="Fix",$G85,$G85*(1+$H85)^(2045-$E85))))))</f>
        <v/>
      </c>
      <c r="AK85" s="16">
        <f>IF($A85="","",IF(2046&lt;$E85,"",IF($D85="Manuell","",IF(2046&gt;$E85+$F85,IF($D85="Fix",$G85,$G85*(1+$H85)^($F85)),IF($D85="Fix",$G85,$G85*(1+$H85)^(2046-$E85))))))</f>
        <v/>
      </c>
      <c r="AL85" s="16">
        <f>IF($A85="","",IF(2047&lt;$E85,"",IF($D85="Manuell","",IF(2047&gt;$E85+$F85,IF($D85="Fix",$G85,$G85*(1+$H85)^($F85)),IF($D85="Fix",$G85,$G85*(1+$H85)^(2047-$E85))))))</f>
        <v/>
      </c>
      <c r="AM85" s="16">
        <f>IF($A85="","",IF(2048&lt;$E85,"",IF($D85="Manuell","",IF(2048&gt;$E85+$F85,IF($D85="Fix",$G85,$G85*(1+$H85)^($F85)),IF($D85="Fix",$G85,$G85*(1+$H85)^(2048-$E85))))))</f>
        <v/>
      </c>
      <c r="AN85" s="16">
        <f>IF($A85="","",IF(2049&lt;$E85,"",IF($D85="Manuell","",IF(2049&gt;$E85+$F85,IF($D85="Fix",$G85,$G85*(1+$H85)^($F85)),IF($D85="Fix",$G85,$G85*(1+$H85)^(2049-$E85))))))</f>
        <v/>
      </c>
      <c r="AO85" s="16">
        <f>IF($A85="","",IF(2050&lt;$E85,"",IF($D85="Manuell","",IF(2050&gt;$E85+$F85,IF($D85="Fix",$G85,$G85*(1+$H85)^($F85)),IF($D85="Fix",$G85,$G85*(1+$H85)^(2050-$E85))))))</f>
        <v/>
      </c>
      <c r="AP85" s="16">
        <f>IF($A85="","",IF(2051&lt;$E85,"",IF($D85="Manuell","",IF(2051&gt;$E85+$F85,IF($D85="Fix",$G85,$G85*(1+$H85)^($F85)),IF($D85="Fix",$G85,$G85*(1+$H85)^(2051-$E85))))))</f>
        <v/>
      </c>
      <c r="AQ85" s="16">
        <f>IF($A85="","",IF(2052&lt;$E85,"",IF($D85="Manuell","",IF(2052&gt;$E85+$F85,IF($D85="Fix",$G85,$G85*(1+$H85)^($F85)),IF($D85="Fix",$G85,$G85*(1+$H85)^(2052-$E85))))))</f>
        <v/>
      </c>
      <c r="AR85" s="16">
        <f>IF($A85="","",IF(2053&lt;$E85,"",IF($D85="Manuell","",IF(2053&gt;$E85+$F85,IF($D85="Fix",$G85,$G85*(1+$H85)^($F85)),IF($D85="Fix",$G85,$G85*(1+$H85)^(2053-$E85))))))</f>
        <v/>
      </c>
      <c r="AS85" s="16">
        <f>IF($A85="","",IF(2054&lt;$E85,"",IF($D85="Manuell","",IF(2054&gt;$E85+$F85,IF($D85="Fix",$G85,$G85*(1+$H85)^($F85)),IF($D85="Fix",$G85,$G85*(1+$H85)^(2054-$E85))))))</f>
        <v/>
      </c>
      <c r="AT85" s="16">
        <f>IF($A85="","",IF(2055&lt;$E85,"",IF($D85="Manuell","",IF(2055&gt;$E85+$F85,IF($D85="Fix",$G85,$G85*(1+$H85)^($F85)),IF($D85="Fix",$G85,$G85*(1+$H85)^(2055-$E85))))))</f>
        <v/>
      </c>
    </row>
    <row r="86">
      <c r="A86" s="14" t="inlineStr"/>
      <c r="B86" s="14" t="inlineStr"/>
      <c r="C86" s="14" t="inlineStr"/>
      <c r="D86" s="14" t="inlineStr"/>
      <c r="E86" s="11" t="inlineStr"/>
      <c r="F86" s="11" t="inlineStr"/>
      <c r="G86" s="15" t="inlineStr"/>
      <c r="H86" s="15" t="inlineStr"/>
      <c r="I86" s="16">
        <f>IF($A86="","",IF(2018&lt;$E86,"",IF($D86="Manuell","",IF(2018&gt;$E86+$F86,IF($D86="Fix",$G86,$G86*(1+$H86)^($F86)),IF($D86="Fix",$G86,$G86*(1+$H86)^(2018-$E86))))))</f>
        <v/>
      </c>
      <c r="J86" s="16">
        <f>IF($A86="","",IF(2019&lt;$E86,"",IF($D86="Manuell","",IF(2019&gt;$E86+$F86,IF($D86="Fix",$G86,$G86*(1+$H86)^($F86)),IF($D86="Fix",$G86,$G86*(1+$H86)^(2019-$E86))))))</f>
        <v/>
      </c>
      <c r="K86" s="16">
        <f>IF($A86="","",IF(2020&lt;$E86,"",IF($D86="Manuell","",IF(2020&gt;$E86+$F86,IF($D86="Fix",$G86,$G86*(1+$H86)^($F86)),IF($D86="Fix",$G86,$G86*(1+$H86)^(2020-$E86))))))</f>
        <v/>
      </c>
      <c r="L86" s="16">
        <f>IF($A86="","",IF(2021&lt;$E86,"",IF($D86="Manuell","",IF(2021&gt;$E86+$F86,IF($D86="Fix",$G86,$G86*(1+$H86)^($F86)),IF($D86="Fix",$G86,$G86*(1+$H86)^(2021-$E86))))))</f>
        <v/>
      </c>
      <c r="M86" s="16">
        <f>IF($A86="","",IF(2022&lt;$E86,"",IF($D86="Manuell","",IF(2022&gt;$E86+$F86,IF($D86="Fix",$G86,$G86*(1+$H86)^($F86)),IF($D86="Fix",$G86,$G86*(1+$H86)^(2022-$E86))))))</f>
        <v/>
      </c>
      <c r="N86" s="16">
        <f>IF($A86="","",IF(2023&lt;$E86,"",IF($D86="Manuell","",IF(2023&gt;$E86+$F86,IF($D86="Fix",$G86,$G86*(1+$H86)^($F86)),IF($D86="Fix",$G86,$G86*(1+$H86)^(2023-$E86))))))</f>
        <v/>
      </c>
      <c r="O86" s="16">
        <f>IF($A86="","",IF(2024&lt;$E86,"",IF($D86="Manuell","",IF(2024&gt;$E86+$F86,IF($D86="Fix",$G86,$G86*(1+$H86)^($F86)),IF($D86="Fix",$G86,$G86*(1+$H86)^(2024-$E86))))))</f>
        <v/>
      </c>
      <c r="P86" s="16">
        <f>IF($A86="","",IF(2025&lt;$E86,"",IF($D86="Manuell","",IF(2025&gt;$E86+$F86,IF($D86="Fix",$G86,$G86*(1+$H86)^($F86)),IF($D86="Fix",$G86,$G86*(1+$H86)^(2025-$E86))))))</f>
        <v/>
      </c>
      <c r="Q86" s="16">
        <f>IF($A86="","",IF(2026&lt;$E86,"",IF($D86="Manuell","",IF(2026&gt;$E86+$F86,IF($D86="Fix",$G86,$G86*(1+$H86)^($F86)),IF($D86="Fix",$G86,$G86*(1+$H86)^(2026-$E86))))))</f>
        <v/>
      </c>
      <c r="R86" s="16">
        <f>IF($A86="","",IF(2027&lt;$E86,"",IF($D86="Manuell","",IF(2027&gt;$E86+$F86,IF($D86="Fix",$G86,$G86*(1+$H86)^($F86)),IF($D86="Fix",$G86,$G86*(1+$H86)^(2027-$E86))))))</f>
        <v/>
      </c>
      <c r="S86" s="16">
        <f>IF($A86="","",IF(2028&lt;$E86,"",IF($D86="Manuell","",IF(2028&gt;$E86+$F86,IF($D86="Fix",$G86,$G86*(1+$H86)^($F86)),IF($D86="Fix",$G86,$G86*(1+$H86)^(2028-$E86))))))</f>
        <v/>
      </c>
      <c r="T86" s="16">
        <f>IF($A86="","",IF(2029&lt;$E86,"",IF($D86="Manuell","",IF(2029&gt;$E86+$F86,IF($D86="Fix",$G86,$G86*(1+$H86)^($F86)),IF($D86="Fix",$G86,$G86*(1+$H86)^(2029-$E86))))))</f>
        <v/>
      </c>
      <c r="U86" s="16">
        <f>IF($A86="","",IF(2030&lt;$E86,"",IF($D86="Manuell","",IF(2030&gt;$E86+$F86,IF($D86="Fix",$G86,$G86*(1+$H86)^($F86)),IF($D86="Fix",$G86,$G86*(1+$H86)^(2030-$E86))))))</f>
        <v/>
      </c>
      <c r="V86" s="16">
        <f>IF($A86="","",IF(2031&lt;$E86,"",IF($D86="Manuell","",IF(2031&gt;$E86+$F86,IF($D86="Fix",$G86,$G86*(1+$H86)^($F86)),IF($D86="Fix",$G86,$G86*(1+$H86)^(2031-$E86))))))</f>
        <v/>
      </c>
      <c r="W86" s="16">
        <f>IF($A86="","",IF(2032&lt;$E86,"",IF($D86="Manuell","",IF(2032&gt;$E86+$F86,IF($D86="Fix",$G86,$G86*(1+$H86)^($F86)),IF($D86="Fix",$G86,$G86*(1+$H86)^(2032-$E86))))))</f>
        <v/>
      </c>
      <c r="X86" s="16">
        <f>IF($A86="","",IF(2033&lt;$E86,"",IF($D86="Manuell","",IF(2033&gt;$E86+$F86,IF($D86="Fix",$G86,$G86*(1+$H86)^($F86)),IF($D86="Fix",$G86,$G86*(1+$H86)^(2033-$E86))))))</f>
        <v/>
      </c>
      <c r="Y86" s="16">
        <f>IF($A86="","",IF(2034&lt;$E86,"",IF($D86="Manuell","",IF(2034&gt;$E86+$F86,IF($D86="Fix",$G86,$G86*(1+$H86)^($F86)),IF($D86="Fix",$G86,$G86*(1+$H86)^(2034-$E86))))))</f>
        <v/>
      </c>
      <c r="Z86" s="16">
        <f>IF($A86="","",IF(2035&lt;$E86,"",IF($D86="Manuell","",IF(2035&gt;$E86+$F86,IF($D86="Fix",$G86,$G86*(1+$H86)^($F86)),IF($D86="Fix",$G86,$G86*(1+$H86)^(2035-$E86))))))</f>
        <v/>
      </c>
      <c r="AA86" s="16">
        <f>IF($A86="","",IF(2036&lt;$E86,"",IF($D86="Manuell","",IF(2036&gt;$E86+$F86,IF($D86="Fix",$G86,$G86*(1+$H86)^($F86)),IF($D86="Fix",$G86,$G86*(1+$H86)^(2036-$E86))))))</f>
        <v/>
      </c>
      <c r="AB86" s="16">
        <f>IF($A86="","",IF(2037&lt;$E86,"",IF($D86="Manuell","",IF(2037&gt;$E86+$F86,IF($D86="Fix",$G86,$G86*(1+$H86)^($F86)),IF($D86="Fix",$G86,$G86*(1+$H86)^(2037-$E86))))))</f>
        <v/>
      </c>
      <c r="AC86" s="16">
        <f>IF($A86="","",IF(2038&lt;$E86,"",IF($D86="Manuell","",IF(2038&gt;$E86+$F86,IF($D86="Fix",$G86,$G86*(1+$H86)^($F86)),IF($D86="Fix",$G86,$G86*(1+$H86)^(2038-$E86))))))</f>
        <v/>
      </c>
      <c r="AD86" s="16">
        <f>IF($A86="","",IF(2039&lt;$E86,"",IF($D86="Manuell","",IF(2039&gt;$E86+$F86,IF($D86="Fix",$G86,$G86*(1+$H86)^($F86)),IF($D86="Fix",$G86,$G86*(1+$H86)^(2039-$E86))))))</f>
        <v/>
      </c>
      <c r="AE86" s="16">
        <f>IF($A86="","",IF(2040&lt;$E86,"",IF($D86="Manuell","",IF(2040&gt;$E86+$F86,IF($D86="Fix",$G86,$G86*(1+$H86)^($F86)),IF($D86="Fix",$G86,$G86*(1+$H86)^(2040-$E86))))))</f>
        <v/>
      </c>
      <c r="AF86" s="16">
        <f>IF($A86="","",IF(2041&lt;$E86,"",IF($D86="Manuell","",IF(2041&gt;$E86+$F86,IF($D86="Fix",$G86,$G86*(1+$H86)^($F86)),IF($D86="Fix",$G86,$G86*(1+$H86)^(2041-$E86))))))</f>
        <v/>
      </c>
      <c r="AG86" s="16">
        <f>IF($A86="","",IF(2042&lt;$E86,"",IF($D86="Manuell","",IF(2042&gt;$E86+$F86,IF($D86="Fix",$G86,$G86*(1+$H86)^($F86)),IF($D86="Fix",$G86,$G86*(1+$H86)^(2042-$E86))))))</f>
        <v/>
      </c>
      <c r="AH86" s="16">
        <f>IF($A86="","",IF(2043&lt;$E86,"",IF($D86="Manuell","",IF(2043&gt;$E86+$F86,IF($D86="Fix",$G86,$G86*(1+$H86)^($F86)),IF($D86="Fix",$G86,$G86*(1+$H86)^(2043-$E86))))))</f>
        <v/>
      </c>
      <c r="AI86" s="16">
        <f>IF($A86="","",IF(2044&lt;$E86,"",IF($D86="Manuell","",IF(2044&gt;$E86+$F86,IF($D86="Fix",$G86,$G86*(1+$H86)^($F86)),IF($D86="Fix",$G86,$G86*(1+$H86)^(2044-$E86))))))</f>
        <v/>
      </c>
      <c r="AJ86" s="16">
        <f>IF($A86="","",IF(2045&lt;$E86,"",IF($D86="Manuell","",IF(2045&gt;$E86+$F86,IF($D86="Fix",$G86,$G86*(1+$H86)^($F86)),IF($D86="Fix",$G86,$G86*(1+$H86)^(2045-$E86))))))</f>
        <v/>
      </c>
      <c r="AK86" s="16">
        <f>IF($A86="","",IF(2046&lt;$E86,"",IF($D86="Manuell","",IF(2046&gt;$E86+$F86,IF($D86="Fix",$G86,$G86*(1+$H86)^($F86)),IF($D86="Fix",$G86,$G86*(1+$H86)^(2046-$E86))))))</f>
        <v/>
      </c>
      <c r="AL86" s="16">
        <f>IF($A86="","",IF(2047&lt;$E86,"",IF($D86="Manuell","",IF(2047&gt;$E86+$F86,IF($D86="Fix",$G86,$G86*(1+$H86)^($F86)),IF($D86="Fix",$G86,$G86*(1+$H86)^(2047-$E86))))))</f>
        <v/>
      </c>
      <c r="AM86" s="16">
        <f>IF($A86="","",IF(2048&lt;$E86,"",IF($D86="Manuell","",IF(2048&gt;$E86+$F86,IF($D86="Fix",$G86,$G86*(1+$H86)^($F86)),IF($D86="Fix",$G86,$G86*(1+$H86)^(2048-$E86))))))</f>
        <v/>
      </c>
      <c r="AN86" s="16">
        <f>IF($A86="","",IF(2049&lt;$E86,"",IF($D86="Manuell","",IF(2049&gt;$E86+$F86,IF($D86="Fix",$G86,$G86*(1+$H86)^($F86)),IF($D86="Fix",$G86,$G86*(1+$H86)^(2049-$E86))))))</f>
        <v/>
      </c>
      <c r="AO86" s="16">
        <f>IF($A86="","",IF(2050&lt;$E86,"",IF($D86="Manuell","",IF(2050&gt;$E86+$F86,IF($D86="Fix",$G86,$G86*(1+$H86)^($F86)),IF($D86="Fix",$G86,$G86*(1+$H86)^(2050-$E86))))))</f>
        <v/>
      </c>
      <c r="AP86" s="16">
        <f>IF($A86="","",IF(2051&lt;$E86,"",IF($D86="Manuell","",IF(2051&gt;$E86+$F86,IF($D86="Fix",$G86,$G86*(1+$H86)^($F86)),IF($D86="Fix",$G86,$G86*(1+$H86)^(2051-$E86))))))</f>
        <v/>
      </c>
      <c r="AQ86" s="16">
        <f>IF($A86="","",IF(2052&lt;$E86,"",IF($D86="Manuell","",IF(2052&gt;$E86+$F86,IF($D86="Fix",$G86,$G86*(1+$H86)^($F86)),IF($D86="Fix",$G86,$G86*(1+$H86)^(2052-$E86))))))</f>
        <v/>
      </c>
      <c r="AR86" s="16">
        <f>IF($A86="","",IF(2053&lt;$E86,"",IF($D86="Manuell","",IF(2053&gt;$E86+$F86,IF($D86="Fix",$G86,$G86*(1+$H86)^($F86)),IF($D86="Fix",$G86,$G86*(1+$H86)^(2053-$E86))))))</f>
        <v/>
      </c>
      <c r="AS86" s="16">
        <f>IF($A86="","",IF(2054&lt;$E86,"",IF($D86="Manuell","",IF(2054&gt;$E86+$F86,IF($D86="Fix",$G86,$G86*(1+$H86)^($F86)),IF($D86="Fix",$G86,$G86*(1+$H86)^(2054-$E86))))))</f>
        <v/>
      </c>
      <c r="AT86" s="16">
        <f>IF($A86="","",IF(2055&lt;$E86,"",IF($D86="Manuell","",IF(2055&gt;$E86+$F86,IF($D86="Fix",$G86,$G86*(1+$H86)^($F86)),IF($D86="Fix",$G86,$G86*(1+$H86)^(2055-$E86))))))</f>
        <v/>
      </c>
    </row>
    <row r="87">
      <c r="A87" s="14" t="inlineStr"/>
      <c r="B87" s="14" t="inlineStr"/>
      <c r="C87" s="14" t="inlineStr"/>
      <c r="D87" s="14" t="inlineStr"/>
      <c r="E87" s="11" t="inlineStr"/>
      <c r="F87" s="11" t="inlineStr"/>
      <c r="G87" s="15" t="inlineStr"/>
      <c r="H87" s="15" t="inlineStr"/>
      <c r="I87" s="16">
        <f>IF($A87="","",IF(2018&lt;$E87,"",IF($D87="Manuell","",IF(2018&gt;$E87+$F87,IF($D87="Fix",$G87,$G87*(1+$H87)^($F87)),IF($D87="Fix",$G87,$G87*(1+$H87)^(2018-$E87))))))</f>
        <v/>
      </c>
      <c r="J87" s="16">
        <f>IF($A87="","",IF(2019&lt;$E87,"",IF($D87="Manuell","",IF(2019&gt;$E87+$F87,IF($D87="Fix",$G87,$G87*(1+$H87)^($F87)),IF($D87="Fix",$G87,$G87*(1+$H87)^(2019-$E87))))))</f>
        <v/>
      </c>
      <c r="K87" s="16">
        <f>IF($A87="","",IF(2020&lt;$E87,"",IF($D87="Manuell","",IF(2020&gt;$E87+$F87,IF($D87="Fix",$G87,$G87*(1+$H87)^($F87)),IF($D87="Fix",$G87,$G87*(1+$H87)^(2020-$E87))))))</f>
        <v/>
      </c>
      <c r="L87" s="16">
        <f>IF($A87="","",IF(2021&lt;$E87,"",IF($D87="Manuell","",IF(2021&gt;$E87+$F87,IF($D87="Fix",$G87,$G87*(1+$H87)^($F87)),IF($D87="Fix",$G87,$G87*(1+$H87)^(2021-$E87))))))</f>
        <v/>
      </c>
      <c r="M87" s="16">
        <f>IF($A87="","",IF(2022&lt;$E87,"",IF($D87="Manuell","",IF(2022&gt;$E87+$F87,IF($D87="Fix",$G87,$G87*(1+$H87)^($F87)),IF($D87="Fix",$G87,$G87*(1+$H87)^(2022-$E87))))))</f>
        <v/>
      </c>
      <c r="N87" s="16">
        <f>IF($A87="","",IF(2023&lt;$E87,"",IF($D87="Manuell","",IF(2023&gt;$E87+$F87,IF($D87="Fix",$G87,$G87*(1+$H87)^($F87)),IF($D87="Fix",$G87,$G87*(1+$H87)^(2023-$E87))))))</f>
        <v/>
      </c>
      <c r="O87" s="16">
        <f>IF($A87="","",IF(2024&lt;$E87,"",IF($D87="Manuell","",IF(2024&gt;$E87+$F87,IF($D87="Fix",$G87,$G87*(1+$H87)^($F87)),IF($D87="Fix",$G87,$G87*(1+$H87)^(2024-$E87))))))</f>
        <v/>
      </c>
      <c r="P87" s="16">
        <f>IF($A87="","",IF(2025&lt;$E87,"",IF($D87="Manuell","",IF(2025&gt;$E87+$F87,IF($D87="Fix",$G87,$G87*(1+$H87)^($F87)),IF($D87="Fix",$G87,$G87*(1+$H87)^(2025-$E87))))))</f>
        <v/>
      </c>
      <c r="Q87" s="16">
        <f>IF($A87="","",IF(2026&lt;$E87,"",IF($D87="Manuell","",IF(2026&gt;$E87+$F87,IF($D87="Fix",$G87,$G87*(1+$H87)^($F87)),IF($D87="Fix",$G87,$G87*(1+$H87)^(2026-$E87))))))</f>
        <v/>
      </c>
      <c r="R87" s="16">
        <f>IF($A87="","",IF(2027&lt;$E87,"",IF($D87="Manuell","",IF(2027&gt;$E87+$F87,IF($D87="Fix",$G87,$G87*(1+$H87)^($F87)),IF($D87="Fix",$G87,$G87*(1+$H87)^(2027-$E87))))))</f>
        <v/>
      </c>
      <c r="S87" s="16">
        <f>IF($A87="","",IF(2028&lt;$E87,"",IF($D87="Manuell","",IF(2028&gt;$E87+$F87,IF($D87="Fix",$G87,$G87*(1+$H87)^($F87)),IF($D87="Fix",$G87,$G87*(1+$H87)^(2028-$E87))))))</f>
        <v/>
      </c>
      <c r="T87" s="16">
        <f>IF($A87="","",IF(2029&lt;$E87,"",IF($D87="Manuell","",IF(2029&gt;$E87+$F87,IF($D87="Fix",$G87,$G87*(1+$H87)^($F87)),IF($D87="Fix",$G87,$G87*(1+$H87)^(2029-$E87))))))</f>
        <v/>
      </c>
      <c r="U87" s="16">
        <f>IF($A87="","",IF(2030&lt;$E87,"",IF($D87="Manuell","",IF(2030&gt;$E87+$F87,IF($D87="Fix",$G87,$G87*(1+$H87)^($F87)),IF($D87="Fix",$G87,$G87*(1+$H87)^(2030-$E87))))))</f>
        <v/>
      </c>
      <c r="V87" s="16">
        <f>IF($A87="","",IF(2031&lt;$E87,"",IF($D87="Manuell","",IF(2031&gt;$E87+$F87,IF($D87="Fix",$G87,$G87*(1+$H87)^($F87)),IF($D87="Fix",$G87,$G87*(1+$H87)^(2031-$E87))))))</f>
        <v/>
      </c>
      <c r="W87" s="16">
        <f>IF($A87="","",IF(2032&lt;$E87,"",IF($D87="Manuell","",IF(2032&gt;$E87+$F87,IF($D87="Fix",$G87,$G87*(1+$H87)^($F87)),IF($D87="Fix",$G87,$G87*(1+$H87)^(2032-$E87))))))</f>
        <v/>
      </c>
      <c r="X87" s="16">
        <f>IF($A87="","",IF(2033&lt;$E87,"",IF($D87="Manuell","",IF(2033&gt;$E87+$F87,IF($D87="Fix",$G87,$G87*(1+$H87)^($F87)),IF($D87="Fix",$G87,$G87*(1+$H87)^(2033-$E87))))))</f>
        <v/>
      </c>
      <c r="Y87" s="16">
        <f>IF($A87="","",IF(2034&lt;$E87,"",IF($D87="Manuell","",IF(2034&gt;$E87+$F87,IF($D87="Fix",$G87,$G87*(1+$H87)^($F87)),IF($D87="Fix",$G87,$G87*(1+$H87)^(2034-$E87))))))</f>
        <v/>
      </c>
      <c r="Z87" s="16">
        <f>IF($A87="","",IF(2035&lt;$E87,"",IF($D87="Manuell","",IF(2035&gt;$E87+$F87,IF($D87="Fix",$G87,$G87*(1+$H87)^($F87)),IF($D87="Fix",$G87,$G87*(1+$H87)^(2035-$E87))))))</f>
        <v/>
      </c>
      <c r="AA87" s="16">
        <f>IF($A87="","",IF(2036&lt;$E87,"",IF($D87="Manuell","",IF(2036&gt;$E87+$F87,IF($D87="Fix",$G87,$G87*(1+$H87)^($F87)),IF($D87="Fix",$G87,$G87*(1+$H87)^(2036-$E87))))))</f>
        <v/>
      </c>
      <c r="AB87" s="16">
        <f>IF($A87="","",IF(2037&lt;$E87,"",IF($D87="Manuell","",IF(2037&gt;$E87+$F87,IF($D87="Fix",$G87,$G87*(1+$H87)^($F87)),IF($D87="Fix",$G87,$G87*(1+$H87)^(2037-$E87))))))</f>
        <v/>
      </c>
      <c r="AC87" s="16">
        <f>IF($A87="","",IF(2038&lt;$E87,"",IF($D87="Manuell","",IF(2038&gt;$E87+$F87,IF($D87="Fix",$G87,$G87*(1+$H87)^($F87)),IF($D87="Fix",$G87,$G87*(1+$H87)^(2038-$E87))))))</f>
        <v/>
      </c>
      <c r="AD87" s="16">
        <f>IF($A87="","",IF(2039&lt;$E87,"",IF($D87="Manuell","",IF(2039&gt;$E87+$F87,IF($D87="Fix",$G87,$G87*(1+$H87)^($F87)),IF($D87="Fix",$G87,$G87*(1+$H87)^(2039-$E87))))))</f>
        <v/>
      </c>
      <c r="AE87" s="16">
        <f>IF($A87="","",IF(2040&lt;$E87,"",IF($D87="Manuell","",IF(2040&gt;$E87+$F87,IF($D87="Fix",$G87,$G87*(1+$H87)^($F87)),IF($D87="Fix",$G87,$G87*(1+$H87)^(2040-$E87))))))</f>
        <v/>
      </c>
      <c r="AF87" s="16">
        <f>IF($A87="","",IF(2041&lt;$E87,"",IF($D87="Manuell","",IF(2041&gt;$E87+$F87,IF($D87="Fix",$G87,$G87*(1+$H87)^($F87)),IF($D87="Fix",$G87,$G87*(1+$H87)^(2041-$E87))))))</f>
        <v/>
      </c>
      <c r="AG87" s="16">
        <f>IF($A87="","",IF(2042&lt;$E87,"",IF($D87="Manuell","",IF(2042&gt;$E87+$F87,IF($D87="Fix",$G87,$G87*(1+$H87)^($F87)),IF($D87="Fix",$G87,$G87*(1+$H87)^(2042-$E87))))))</f>
        <v/>
      </c>
      <c r="AH87" s="16">
        <f>IF($A87="","",IF(2043&lt;$E87,"",IF($D87="Manuell","",IF(2043&gt;$E87+$F87,IF($D87="Fix",$G87,$G87*(1+$H87)^($F87)),IF($D87="Fix",$G87,$G87*(1+$H87)^(2043-$E87))))))</f>
        <v/>
      </c>
      <c r="AI87" s="16">
        <f>IF($A87="","",IF(2044&lt;$E87,"",IF($D87="Manuell","",IF(2044&gt;$E87+$F87,IF($D87="Fix",$G87,$G87*(1+$H87)^($F87)),IF($D87="Fix",$G87,$G87*(1+$H87)^(2044-$E87))))))</f>
        <v/>
      </c>
      <c r="AJ87" s="16">
        <f>IF($A87="","",IF(2045&lt;$E87,"",IF($D87="Manuell","",IF(2045&gt;$E87+$F87,IF($D87="Fix",$G87,$G87*(1+$H87)^($F87)),IF($D87="Fix",$G87,$G87*(1+$H87)^(2045-$E87))))))</f>
        <v/>
      </c>
      <c r="AK87" s="16">
        <f>IF($A87="","",IF(2046&lt;$E87,"",IF($D87="Manuell","",IF(2046&gt;$E87+$F87,IF($D87="Fix",$G87,$G87*(1+$H87)^($F87)),IF($D87="Fix",$G87,$G87*(1+$H87)^(2046-$E87))))))</f>
        <v/>
      </c>
      <c r="AL87" s="16">
        <f>IF($A87="","",IF(2047&lt;$E87,"",IF($D87="Manuell","",IF(2047&gt;$E87+$F87,IF($D87="Fix",$G87,$G87*(1+$H87)^($F87)),IF($D87="Fix",$G87,$G87*(1+$H87)^(2047-$E87))))))</f>
        <v/>
      </c>
      <c r="AM87" s="16">
        <f>IF($A87="","",IF(2048&lt;$E87,"",IF($D87="Manuell","",IF(2048&gt;$E87+$F87,IF($D87="Fix",$G87,$G87*(1+$H87)^($F87)),IF($D87="Fix",$G87,$G87*(1+$H87)^(2048-$E87))))))</f>
        <v/>
      </c>
      <c r="AN87" s="16">
        <f>IF($A87="","",IF(2049&lt;$E87,"",IF($D87="Manuell","",IF(2049&gt;$E87+$F87,IF($D87="Fix",$G87,$G87*(1+$H87)^($F87)),IF($D87="Fix",$G87,$G87*(1+$H87)^(2049-$E87))))))</f>
        <v/>
      </c>
      <c r="AO87" s="16">
        <f>IF($A87="","",IF(2050&lt;$E87,"",IF($D87="Manuell","",IF(2050&gt;$E87+$F87,IF($D87="Fix",$G87,$G87*(1+$H87)^($F87)),IF($D87="Fix",$G87,$G87*(1+$H87)^(2050-$E87))))))</f>
        <v/>
      </c>
      <c r="AP87" s="16">
        <f>IF($A87="","",IF(2051&lt;$E87,"",IF($D87="Manuell","",IF(2051&gt;$E87+$F87,IF($D87="Fix",$G87,$G87*(1+$H87)^($F87)),IF($D87="Fix",$G87,$G87*(1+$H87)^(2051-$E87))))))</f>
        <v/>
      </c>
      <c r="AQ87" s="16">
        <f>IF($A87="","",IF(2052&lt;$E87,"",IF($D87="Manuell","",IF(2052&gt;$E87+$F87,IF($D87="Fix",$G87,$G87*(1+$H87)^($F87)),IF($D87="Fix",$G87,$G87*(1+$H87)^(2052-$E87))))))</f>
        <v/>
      </c>
      <c r="AR87" s="16">
        <f>IF($A87="","",IF(2053&lt;$E87,"",IF($D87="Manuell","",IF(2053&gt;$E87+$F87,IF($D87="Fix",$G87,$G87*(1+$H87)^($F87)),IF($D87="Fix",$G87,$G87*(1+$H87)^(2053-$E87))))))</f>
        <v/>
      </c>
      <c r="AS87" s="16">
        <f>IF($A87="","",IF(2054&lt;$E87,"",IF($D87="Manuell","",IF(2054&gt;$E87+$F87,IF($D87="Fix",$G87,$G87*(1+$H87)^($F87)),IF($D87="Fix",$G87,$G87*(1+$H87)^(2054-$E87))))))</f>
        <v/>
      </c>
      <c r="AT87" s="16">
        <f>IF($A87="","",IF(2055&lt;$E87,"",IF($D87="Manuell","",IF(2055&gt;$E87+$F87,IF($D87="Fix",$G87,$G87*(1+$H87)^($F87)),IF($D87="Fix",$G87,$G87*(1+$H87)^(2055-$E87))))))</f>
        <v/>
      </c>
    </row>
    <row r="88">
      <c r="A88" s="14" t="inlineStr"/>
      <c r="B88" s="14" t="inlineStr"/>
      <c r="C88" s="14" t="inlineStr"/>
      <c r="D88" s="14" t="inlineStr"/>
      <c r="E88" s="11" t="inlineStr"/>
      <c r="F88" s="11" t="inlineStr"/>
      <c r="G88" s="15" t="inlineStr"/>
      <c r="H88" s="15" t="inlineStr"/>
      <c r="I88" s="16">
        <f>IF($A88="","",IF(2018&lt;$E88,"",IF($D88="Manuell","",IF(2018&gt;$E88+$F88,IF($D88="Fix",$G88,$G88*(1+$H88)^($F88)),IF($D88="Fix",$G88,$G88*(1+$H88)^(2018-$E88))))))</f>
        <v/>
      </c>
      <c r="J88" s="16">
        <f>IF($A88="","",IF(2019&lt;$E88,"",IF($D88="Manuell","",IF(2019&gt;$E88+$F88,IF($D88="Fix",$G88,$G88*(1+$H88)^($F88)),IF($D88="Fix",$G88,$G88*(1+$H88)^(2019-$E88))))))</f>
        <v/>
      </c>
      <c r="K88" s="16">
        <f>IF($A88="","",IF(2020&lt;$E88,"",IF($D88="Manuell","",IF(2020&gt;$E88+$F88,IF($D88="Fix",$G88,$G88*(1+$H88)^($F88)),IF($D88="Fix",$G88,$G88*(1+$H88)^(2020-$E88))))))</f>
        <v/>
      </c>
      <c r="L88" s="16">
        <f>IF($A88="","",IF(2021&lt;$E88,"",IF($D88="Manuell","",IF(2021&gt;$E88+$F88,IF($D88="Fix",$G88,$G88*(1+$H88)^($F88)),IF($D88="Fix",$G88,$G88*(1+$H88)^(2021-$E88))))))</f>
        <v/>
      </c>
      <c r="M88" s="16">
        <f>IF($A88="","",IF(2022&lt;$E88,"",IF($D88="Manuell","",IF(2022&gt;$E88+$F88,IF($D88="Fix",$G88,$G88*(1+$H88)^($F88)),IF($D88="Fix",$G88,$G88*(1+$H88)^(2022-$E88))))))</f>
        <v/>
      </c>
      <c r="N88" s="16">
        <f>IF($A88="","",IF(2023&lt;$E88,"",IF($D88="Manuell","",IF(2023&gt;$E88+$F88,IF($D88="Fix",$G88,$G88*(1+$H88)^($F88)),IF($D88="Fix",$G88,$G88*(1+$H88)^(2023-$E88))))))</f>
        <v/>
      </c>
      <c r="O88" s="16">
        <f>IF($A88="","",IF(2024&lt;$E88,"",IF($D88="Manuell","",IF(2024&gt;$E88+$F88,IF($D88="Fix",$G88,$G88*(1+$H88)^($F88)),IF($D88="Fix",$G88,$G88*(1+$H88)^(2024-$E88))))))</f>
        <v/>
      </c>
      <c r="P88" s="16">
        <f>IF($A88="","",IF(2025&lt;$E88,"",IF($D88="Manuell","",IF(2025&gt;$E88+$F88,IF($D88="Fix",$G88,$G88*(1+$H88)^($F88)),IF($D88="Fix",$G88,$G88*(1+$H88)^(2025-$E88))))))</f>
        <v/>
      </c>
      <c r="Q88" s="16">
        <f>IF($A88="","",IF(2026&lt;$E88,"",IF($D88="Manuell","",IF(2026&gt;$E88+$F88,IF($D88="Fix",$G88,$G88*(1+$H88)^($F88)),IF($D88="Fix",$G88,$G88*(1+$H88)^(2026-$E88))))))</f>
        <v/>
      </c>
      <c r="R88" s="16">
        <f>IF($A88="","",IF(2027&lt;$E88,"",IF($D88="Manuell","",IF(2027&gt;$E88+$F88,IF($D88="Fix",$G88,$G88*(1+$H88)^($F88)),IF($D88="Fix",$G88,$G88*(1+$H88)^(2027-$E88))))))</f>
        <v/>
      </c>
      <c r="S88" s="16">
        <f>IF($A88="","",IF(2028&lt;$E88,"",IF($D88="Manuell","",IF(2028&gt;$E88+$F88,IF($D88="Fix",$G88,$G88*(1+$H88)^($F88)),IF($D88="Fix",$G88,$G88*(1+$H88)^(2028-$E88))))))</f>
        <v/>
      </c>
      <c r="T88" s="16">
        <f>IF($A88="","",IF(2029&lt;$E88,"",IF($D88="Manuell","",IF(2029&gt;$E88+$F88,IF($D88="Fix",$G88,$G88*(1+$H88)^($F88)),IF($D88="Fix",$G88,$G88*(1+$H88)^(2029-$E88))))))</f>
        <v/>
      </c>
      <c r="U88" s="16">
        <f>IF($A88="","",IF(2030&lt;$E88,"",IF($D88="Manuell","",IF(2030&gt;$E88+$F88,IF($D88="Fix",$G88,$G88*(1+$H88)^($F88)),IF($D88="Fix",$G88,$G88*(1+$H88)^(2030-$E88))))))</f>
        <v/>
      </c>
      <c r="V88" s="16">
        <f>IF($A88="","",IF(2031&lt;$E88,"",IF($D88="Manuell","",IF(2031&gt;$E88+$F88,IF($D88="Fix",$G88,$G88*(1+$H88)^($F88)),IF($D88="Fix",$G88,$G88*(1+$H88)^(2031-$E88))))))</f>
        <v/>
      </c>
      <c r="W88" s="16">
        <f>IF($A88="","",IF(2032&lt;$E88,"",IF($D88="Manuell","",IF(2032&gt;$E88+$F88,IF($D88="Fix",$G88,$G88*(1+$H88)^($F88)),IF($D88="Fix",$G88,$G88*(1+$H88)^(2032-$E88))))))</f>
        <v/>
      </c>
      <c r="X88" s="16">
        <f>IF($A88="","",IF(2033&lt;$E88,"",IF($D88="Manuell","",IF(2033&gt;$E88+$F88,IF($D88="Fix",$G88,$G88*(1+$H88)^($F88)),IF($D88="Fix",$G88,$G88*(1+$H88)^(2033-$E88))))))</f>
        <v/>
      </c>
      <c r="Y88" s="16">
        <f>IF($A88="","",IF(2034&lt;$E88,"",IF($D88="Manuell","",IF(2034&gt;$E88+$F88,IF($D88="Fix",$G88,$G88*(1+$H88)^($F88)),IF($D88="Fix",$G88,$G88*(1+$H88)^(2034-$E88))))))</f>
        <v/>
      </c>
      <c r="Z88" s="16">
        <f>IF($A88="","",IF(2035&lt;$E88,"",IF($D88="Manuell","",IF(2035&gt;$E88+$F88,IF($D88="Fix",$G88,$G88*(1+$H88)^($F88)),IF($D88="Fix",$G88,$G88*(1+$H88)^(2035-$E88))))))</f>
        <v/>
      </c>
      <c r="AA88" s="16">
        <f>IF($A88="","",IF(2036&lt;$E88,"",IF($D88="Manuell","",IF(2036&gt;$E88+$F88,IF($D88="Fix",$G88,$G88*(1+$H88)^($F88)),IF($D88="Fix",$G88,$G88*(1+$H88)^(2036-$E88))))))</f>
        <v/>
      </c>
      <c r="AB88" s="16">
        <f>IF($A88="","",IF(2037&lt;$E88,"",IF($D88="Manuell","",IF(2037&gt;$E88+$F88,IF($D88="Fix",$G88,$G88*(1+$H88)^($F88)),IF($D88="Fix",$G88,$G88*(1+$H88)^(2037-$E88))))))</f>
        <v/>
      </c>
      <c r="AC88" s="16">
        <f>IF($A88="","",IF(2038&lt;$E88,"",IF($D88="Manuell","",IF(2038&gt;$E88+$F88,IF($D88="Fix",$G88,$G88*(1+$H88)^($F88)),IF($D88="Fix",$G88,$G88*(1+$H88)^(2038-$E88))))))</f>
        <v/>
      </c>
      <c r="AD88" s="16">
        <f>IF($A88="","",IF(2039&lt;$E88,"",IF($D88="Manuell","",IF(2039&gt;$E88+$F88,IF($D88="Fix",$G88,$G88*(1+$H88)^($F88)),IF($D88="Fix",$G88,$G88*(1+$H88)^(2039-$E88))))))</f>
        <v/>
      </c>
      <c r="AE88" s="16">
        <f>IF($A88="","",IF(2040&lt;$E88,"",IF($D88="Manuell","",IF(2040&gt;$E88+$F88,IF($D88="Fix",$G88,$G88*(1+$H88)^($F88)),IF($D88="Fix",$G88,$G88*(1+$H88)^(2040-$E88))))))</f>
        <v/>
      </c>
      <c r="AF88" s="16">
        <f>IF($A88="","",IF(2041&lt;$E88,"",IF($D88="Manuell","",IF(2041&gt;$E88+$F88,IF($D88="Fix",$G88,$G88*(1+$H88)^($F88)),IF($D88="Fix",$G88,$G88*(1+$H88)^(2041-$E88))))))</f>
        <v/>
      </c>
      <c r="AG88" s="16">
        <f>IF($A88="","",IF(2042&lt;$E88,"",IF($D88="Manuell","",IF(2042&gt;$E88+$F88,IF($D88="Fix",$G88,$G88*(1+$H88)^($F88)),IF($D88="Fix",$G88,$G88*(1+$H88)^(2042-$E88))))))</f>
        <v/>
      </c>
      <c r="AH88" s="16">
        <f>IF($A88="","",IF(2043&lt;$E88,"",IF($D88="Manuell","",IF(2043&gt;$E88+$F88,IF($D88="Fix",$G88,$G88*(1+$H88)^($F88)),IF($D88="Fix",$G88,$G88*(1+$H88)^(2043-$E88))))))</f>
        <v/>
      </c>
      <c r="AI88" s="16">
        <f>IF($A88="","",IF(2044&lt;$E88,"",IF($D88="Manuell","",IF(2044&gt;$E88+$F88,IF($D88="Fix",$G88,$G88*(1+$H88)^($F88)),IF($D88="Fix",$G88,$G88*(1+$H88)^(2044-$E88))))))</f>
        <v/>
      </c>
      <c r="AJ88" s="16">
        <f>IF($A88="","",IF(2045&lt;$E88,"",IF($D88="Manuell","",IF(2045&gt;$E88+$F88,IF($D88="Fix",$G88,$G88*(1+$H88)^($F88)),IF($D88="Fix",$G88,$G88*(1+$H88)^(2045-$E88))))))</f>
        <v/>
      </c>
      <c r="AK88" s="16">
        <f>IF($A88="","",IF(2046&lt;$E88,"",IF($D88="Manuell","",IF(2046&gt;$E88+$F88,IF($D88="Fix",$G88,$G88*(1+$H88)^($F88)),IF($D88="Fix",$G88,$G88*(1+$H88)^(2046-$E88))))))</f>
        <v/>
      </c>
      <c r="AL88" s="16">
        <f>IF($A88="","",IF(2047&lt;$E88,"",IF($D88="Manuell","",IF(2047&gt;$E88+$F88,IF($D88="Fix",$G88,$G88*(1+$H88)^($F88)),IF($D88="Fix",$G88,$G88*(1+$H88)^(2047-$E88))))))</f>
        <v/>
      </c>
      <c r="AM88" s="16">
        <f>IF($A88="","",IF(2048&lt;$E88,"",IF($D88="Manuell","",IF(2048&gt;$E88+$F88,IF($D88="Fix",$G88,$G88*(1+$H88)^($F88)),IF($D88="Fix",$G88,$G88*(1+$H88)^(2048-$E88))))))</f>
        <v/>
      </c>
      <c r="AN88" s="16">
        <f>IF($A88="","",IF(2049&lt;$E88,"",IF($D88="Manuell","",IF(2049&gt;$E88+$F88,IF($D88="Fix",$G88,$G88*(1+$H88)^($F88)),IF($D88="Fix",$G88,$G88*(1+$H88)^(2049-$E88))))))</f>
        <v/>
      </c>
      <c r="AO88" s="16">
        <f>IF($A88="","",IF(2050&lt;$E88,"",IF($D88="Manuell","",IF(2050&gt;$E88+$F88,IF($D88="Fix",$G88,$G88*(1+$H88)^($F88)),IF($D88="Fix",$G88,$G88*(1+$H88)^(2050-$E88))))))</f>
        <v/>
      </c>
      <c r="AP88" s="16">
        <f>IF($A88="","",IF(2051&lt;$E88,"",IF($D88="Manuell","",IF(2051&gt;$E88+$F88,IF($D88="Fix",$G88,$G88*(1+$H88)^($F88)),IF($D88="Fix",$G88,$G88*(1+$H88)^(2051-$E88))))))</f>
        <v/>
      </c>
      <c r="AQ88" s="16">
        <f>IF($A88="","",IF(2052&lt;$E88,"",IF($D88="Manuell","",IF(2052&gt;$E88+$F88,IF($D88="Fix",$G88,$G88*(1+$H88)^($F88)),IF($D88="Fix",$G88,$G88*(1+$H88)^(2052-$E88))))))</f>
        <v/>
      </c>
      <c r="AR88" s="16">
        <f>IF($A88="","",IF(2053&lt;$E88,"",IF($D88="Manuell","",IF(2053&gt;$E88+$F88,IF($D88="Fix",$G88,$G88*(1+$H88)^($F88)),IF($D88="Fix",$G88,$G88*(1+$H88)^(2053-$E88))))))</f>
        <v/>
      </c>
      <c r="AS88" s="16">
        <f>IF($A88="","",IF(2054&lt;$E88,"",IF($D88="Manuell","",IF(2054&gt;$E88+$F88,IF($D88="Fix",$G88,$G88*(1+$H88)^($F88)),IF($D88="Fix",$G88,$G88*(1+$H88)^(2054-$E88))))))</f>
        <v/>
      </c>
      <c r="AT88" s="16">
        <f>IF($A88="","",IF(2055&lt;$E88,"",IF($D88="Manuell","",IF(2055&gt;$E88+$F88,IF($D88="Fix",$G88,$G88*(1+$H88)^($F88)),IF($D88="Fix",$G88,$G88*(1+$H88)^(2055-$E88))))))</f>
        <v/>
      </c>
    </row>
    <row r="89">
      <c r="A89" s="14" t="inlineStr"/>
      <c r="B89" s="14" t="inlineStr"/>
      <c r="C89" s="14" t="inlineStr"/>
      <c r="D89" s="14" t="inlineStr"/>
      <c r="E89" s="11" t="inlineStr"/>
      <c r="F89" s="11" t="inlineStr"/>
      <c r="G89" s="15" t="inlineStr"/>
      <c r="H89" s="15" t="inlineStr"/>
      <c r="I89" s="16">
        <f>IF($A89="","",IF(2018&lt;$E89,"",IF($D89="Manuell","",IF(2018&gt;$E89+$F89,IF($D89="Fix",$G89,$G89*(1+$H89)^($F89)),IF($D89="Fix",$G89,$G89*(1+$H89)^(2018-$E89))))))</f>
        <v/>
      </c>
      <c r="J89" s="16">
        <f>IF($A89="","",IF(2019&lt;$E89,"",IF($D89="Manuell","",IF(2019&gt;$E89+$F89,IF($D89="Fix",$G89,$G89*(1+$H89)^($F89)),IF($D89="Fix",$G89,$G89*(1+$H89)^(2019-$E89))))))</f>
        <v/>
      </c>
      <c r="K89" s="16">
        <f>IF($A89="","",IF(2020&lt;$E89,"",IF($D89="Manuell","",IF(2020&gt;$E89+$F89,IF($D89="Fix",$G89,$G89*(1+$H89)^($F89)),IF($D89="Fix",$G89,$G89*(1+$H89)^(2020-$E89))))))</f>
        <v/>
      </c>
      <c r="L89" s="16">
        <f>IF($A89="","",IF(2021&lt;$E89,"",IF($D89="Manuell","",IF(2021&gt;$E89+$F89,IF($D89="Fix",$G89,$G89*(1+$H89)^($F89)),IF($D89="Fix",$G89,$G89*(1+$H89)^(2021-$E89))))))</f>
        <v/>
      </c>
      <c r="M89" s="16">
        <f>IF($A89="","",IF(2022&lt;$E89,"",IF($D89="Manuell","",IF(2022&gt;$E89+$F89,IF($D89="Fix",$G89,$G89*(1+$H89)^($F89)),IF($D89="Fix",$G89,$G89*(1+$H89)^(2022-$E89))))))</f>
        <v/>
      </c>
      <c r="N89" s="16">
        <f>IF($A89="","",IF(2023&lt;$E89,"",IF($D89="Manuell","",IF(2023&gt;$E89+$F89,IF($D89="Fix",$G89,$G89*(1+$H89)^($F89)),IF($D89="Fix",$G89,$G89*(1+$H89)^(2023-$E89))))))</f>
        <v/>
      </c>
      <c r="O89" s="16">
        <f>IF($A89="","",IF(2024&lt;$E89,"",IF($D89="Manuell","",IF(2024&gt;$E89+$F89,IF($D89="Fix",$G89,$G89*(1+$H89)^($F89)),IF($D89="Fix",$G89,$G89*(1+$H89)^(2024-$E89))))))</f>
        <v/>
      </c>
      <c r="P89" s="16">
        <f>IF($A89="","",IF(2025&lt;$E89,"",IF($D89="Manuell","",IF(2025&gt;$E89+$F89,IF($D89="Fix",$G89,$G89*(1+$H89)^($F89)),IF($D89="Fix",$G89,$G89*(1+$H89)^(2025-$E89))))))</f>
        <v/>
      </c>
      <c r="Q89" s="16">
        <f>IF($A89="","",IF(2026&lt;$E89,"",IF($D89="Manuell","",IF(2026&gt;$E89+$F89,IF($D89="Fix",$G89,$G89*(1+$H89)^($F89)),IF($D89="Fix",$G89,$G89*(1+$H89)^(2026-$E89))))))</f>
        <v/>
      </c>
      <c r="R89" s="16">
        <f>IF($A89="","",IF(2027&lt;$E89,"",IF($D89="Manuell","",IF(2027&gt;$E89+$F89,IF($D89="Fix",$G89,$G89*(1+$H89)^($F89)),IF($D89="Fix",$G89,$G89*(1+$H89)^(2027-$E89))))))</f>
        <v/>
      </c>
      <c r="S89" s="16">
        <f>IF($A89="","",IF(2028&lt;$E89,"",IF($D89="Manuell","",IF(2028&gt;$E89+$F89,IF($D89="Fix",$G89,$G89*(1+$H89)^($F89)),IF($D89="Fix",$G89,$G89*(1+$H89)^(2028-$E89))))))</f>
        <v/>
      </c>
      <c r="T89" s="16">
        <f>IF($A89="","",IF(2029&lt;$E89,"",IF($D89="Manuell","",IF(2029&gt;$E89+$F89,IF($D89="Fix",$G89,$G89*(1+$H89)^($F89)),IF($D89="Fix",$G89,$G89*(1+$H89)^(2029-$E89))))))</f>
        <v/>
      </c>
      <c r="U89" s="16">
        <f>IF($A89="","",IF(2030&lt;$E89,"",IF($D89="Manuell","",IF(2030&gt;$E89+$F89,IF($D89="Fix",$G89,$G89*(1+$H89)^($F89)),IF($D89="Fix",$G89,$G89*(1+$H89)^(2030-$E89))))))</f>
        <v/>
      </c>
      <c r="V89" s="16">
        <f>IF($A89="","",IF(2031&lt;$E89,"",IF($D89="Manuell","",IF(2031&gt;$E89+$F89,IF($D89="Fix",$G89,$G89*(1+$H89)^($F89)),IF($D89="Fix",$G89,$G89*(1+$H89)^(2031-$E89))))))</f>
        <v/>
      </c>
      <c r="W89" s="16">
        <f>IF($A89="","",IF(2032&lt;$E89,"",IF($D89="Manuell","",IF(2032&gt;$E89+$F89,IF($D89="Fix",$G89,$G89*(1+$H89)^($F89)),IF($D89="Fix",$G89,$G89*(1+$H89)^(2032-$E89))))))</f>
        <v/>
      </c>
      <c r="X89" s="16">
        <f>IF($A89="","",IF(2033&lt;$E89,"",IF($D89="Manuell","",IF(2033&gt;$E89+$F89,IF($D89="Fix",$G89,$G89*(1+$H89)^($F89)),IF($D89="Fix",$G89,$G89*(1+$H89)^(2033-$E89))))))</f>
        <v/>
      </c>
      <c r="Y89" s="16">
        <f>IF($A89="","",IF(2034&lt;$E89,"",IF($D89="Manuell","",IF(2034&gt;$E89+$F89,IF($D89="Fix",$G89,$G89*(1+$H89)^($F89)),IF($D89="Fix",$G89,$G89*(1+$H89)^(2034-$E89))))))</f>
        <v/>
      </c>
      <c r="Z89" s="16">
        <f>IF($A89="","",IF(2035&lt;$E89,"",IF($D89="Manuell","",IF(2035&gt;$E89+$F89,IF($D89="Fix",$G89,$G89*(1+$H89)^($F89)),IF($D89="Fix",$G89,$G89*(1+$H89)^(2035-$E89))))))</f>
        <v/>
      </c>
      <c r="AA89" s="16">
        <f>IF($A89="","",IF(2036&lt;$E89,"",IF($D89="Manuell","",IF(2036&gt;$E89+$F89,IF($D89="Fix",$G89,$G89*(1+$H89)^($F89)),IF($D89="Fix",$G89,$G89*(1+$H89)^(2036-$E89))))))</f>
        <v/>
      </c>
      <c r="AB89" s="16">
        <f>IF($A89="","",IF(2037&lt;$E89,"",IF($D89="Manuell","",IF(2037&gt;$E89+$F89,IF($D89="Fix",$G89,$G89*(1+$H89)^($F89)),IF($D89="Fix",$G89,$G89*(1+$H89)^(2037-$E89))))))</f>
        <v/>
      </c>
      <c r="AC89" s="16">
        <f>IF($A89="","",IF(2038&lt;$E89,"",IF($D89="Manuell","",IF(2038&gt;$E89+$F89,IF($D89="Fix",$G89,$G89*(1+$H89)^($F89)),IF($D89="Fix",$G89,$G89*(1+$H89)^(2038-$E89))))))</f>
        <v/>
      </c>
      <c r="AD89" s="16">
        <f>IF($A89="","",IF(2039&lt;$E89,"",IF($D89="Manuell","",IF(2039&gt;$E89+$F89,IF($D89="Fix",$G89,$G89*(1+$H89)^($F89)),IF($D89="Fix",$G89,$G89*(1+$H89)^(2039-$E89))))))</f>
        <v/>
      </c>
      <c r="AE89" s="16">
        <f>IF($A89="","",IF(2040&lt;$E89,"",IF($D89="Manuell","",IF(2040&gt;$E89+$F89,IF($D89="Fix",$G89,$G89*(1+$H89)^($F89)),IF($D89="Fix",$G89,$G89*(1+$H89)^(2040-$E89))))))</f>
        <v/>
      </c>
      <c r="AF89" s="16">
        <f>IF($A89="","",IF(2041&lt;$E89,"",IF($D89="Manuell","",IF(2041&gt;$E89+$F89,IF($D89="Fix",$G89,$G89*(1+$H89)^($F89)),IF($D89="Fix",$G89,$G89*(1+$H89)^(2041-$E89))))))</f>
        <v/>
      </c>
      <c r="AG89" s="16">
        <f>IF($A89="","",IF(2042&lt;$E89,"",IF($D89="Manuell","",IF(2042&gt;$E89+$F89,IF($D89="Fix",$G89,$G89*(1+$H89)^($F89)),IF($D89="Fix",$G89,$G89*(1+$H89)^(2042-$E89))))))</f>
        <v/>
      </c>
      <c r="AH89" s="16">
        <f>IF($A89="","",IF(2043&lt;$E89,"",IF($D89="Manuell","",IF(2043&gt;$E89+$F89,IF($D89="Fix",$G89,$G89*(1+$H89)^($F89)),IF($D89="Fix",$G89,$G89*(1+$H89)^(2043-$E89))))))</f>
        <v/>
      </c>
      <c r="AI89" s="16">
        <f>IF($A89="","",IF(2044&lt;$E89,"",IF($D89="Manuell","",IF(2044&gt;$E89+$F89,IF($D89="Fix",$G89,$G89*(1+$H89)^($F89)),IF($D89="Fix",$G89,$G89*(1+$H89)^(2044-$E89))))))</f>
        <v/>
      </c>
      <c r="AJ89" s="16">
        <f>IF($A89="","",IF(2045&lt;$E89,"",IF($D89="Manuell","",IF(2045&gt;$E89+$F89,IF($D89="Fix",$G89,$G89*(1+$H89)^($F89)),IF($D89="Fix",$G89,$G89*(1+$H89)^(2045-$E89))))))</f>
        <v/>
      </c>
      <c r="AK89" s="16">
        <f>IF($A89="","",IF(2046&lt;$E89,"",IF($D89="Manuell","",IF(2046&gt;$E89+$F89,IF($D89="Fix",$G89,$G89*(1+$H89)^($F89)),IF($D89="Fix",$G89,$G89*(1+$H89)^(2046-$E89))))))</f>
        <v/>
      </c>
      <c r="AL89" s="16">
        <f>IF($A89="","",IF(2047&lt;$E89,"",IF($D89="Manuell","",IF(2047&gt;$E89+$F89,IF($D89="Fix",$G89,$G89*(1+$H89)^($F89)),IF($D89="Fix",$G89,$G89*(1+$H89)^(2047-$E89))))))</f>
        <v/>
      </c>
      <c r="AM89" s="16">
        <f>IF($A89="","",IF(2048&lt;$E89,"",IF($D89="Manuell","",IF(2048&gt;$E89+$F89,IF($D89="Fix",$G89,$G89*(1+$H89)^($F89)),IF($D89="Fix",$G89,$G89*(1+$H89)^(2048-$E89))))))</f>
        <v/>
      </c>
      <c r="AN89" s="16">
        <f>IF($A89="","",IF(2049&lt;$E89,"",IF($D89="Manuell","",IF(2049&gt;$E89+$F89,IF($D89="Fix",$G89,$G89*(1+$H89)^($F89)),IF($D89="Fix",$G89,$G89*(1+$H89)^(2049-$E89))))))</f>
        <v/>
      </c>
      <c r="AO89" s="16">
        <f>IF($A89="","",IF(2050&lt;$E89,"",IF($D89="Manuell","",IF(2050&gt;$E89+$F89,IF($D89="Fix",$G89,$G89*(1+$H89)^($F89)),IF($D89="Fix",$G89,$G89*(1+$H89)^(2050-$E89))))))</f>
        <v/>
      </c>
      <c r="AP89" s="16">
        <f>IF($A89="","",IF(2051&lt;$E89,"",IF($D89="Manuell","",IF(2051&gt;$E89+$F89,IF($D89="Fix",$G89,$G89*(1+$H89)^($F89)),IF($D89="Fix",$G89,$G89*(1+$H89)^(2051-$E89))))))</f>
        <v/>
      </c>
      <c r="AQ89" s="16">
        <f>IF($A89="","",IF(2052&lt;$E89,"",IF($D89="Manuell","",IF(2052&gt;$E89+$F89,IF($D89="Fix",$G89,$G89*(1+$H89)^($F89)),IF($D89="Fix",$G89,$G89*(1+$H89)^(2052-$E89))))))</f>
        <v/>
      </c>
      <c r="AR89" s="16">
        <f>IF($A89="","",IF(2053&lt;$E89,"",IF($D89="Manuell","",IF(2053&gt;$E89+$F89,IF($D89="Fix",$G89,$G89*(1+$H89)^($F89)),IF($D89="Fix",$G89,$G89*(1+$H89)^(2053-$E89))))))</f>
        <v/>
      </c>
      <c r="AS89" s="16">
        <f>IF($A89="","",IF(2054&lt;$E89,"",IF($D89="Manuell","",IF(2054&gt;$E89+$F89,IF($D89="Fix",$G89,$G89*(1+$H89)^($F89)),IF($D89="Fix",$G89,$G89*(1+$H89)^(2054-$E89))))))</f>
        <v/>
      </c>
      <c r="AT89" s="16">
        <f>IF($A89="","",IF(2055&lt;$E89,"",IF($D89="Manuell","",IF(2055&gt;$E89+$F89,IF($D89="Fix",$G89,$G89*(1+$H89)^($F89)),IF($D89="Fix",$G89,$G89*(1+$H89)^(2055-$E89))))))</f>
        <v/>
      </c>
    </row>
    <row r="90">
      <c r="A90" s="14" t="inlineStr"/>
      <c r="B90" s="14" t="inlineStr"/>
      <c r="C90" s="14" t="inlineStr"/>
      <c r="D90" s="14" t="inlineStr"/>
      <c r="E90" s="11" t="inlineStr"/>
      <c r="F90" s="11" t="inlineStr"/>
      <c r="G90" s="15" t="inlineStr"/>
      <c r="H90" s="15" t="inlineStr"/>
      <c r="I90" s="16">
        <f>IF($A90="","",IF(2018&lt;$E90,"",IF($D90="Manuell","",IF(2018&gt;$E90+$F90,IF($D90="Fix",$G90,$G90*(1+$H90)^($F90)),IF($D90="Fix",$G90,$G90*(1+$H90)^(2018-$E90))))))</f>
        <v/>
      </c>
      <c r="J90" s="16">
        <f>IF($A90="","",IF(2019&lt;$E90,"",IF($D90="Manuell","",IF(2019&gt;$E90+$F90,IF($D90="Fix",$G90,$G90*(1+$H90)^($F90)),IF($D90="Fix",$G90,$G90*(1+$H90)^(2019-$E90))))))</f>
        <v/>
      </c>
      <c r="K90" s="16">
        <f>IF($A90="","",IF(2020&lt;$E90,"",IF($D90="Manuell","",IF(2020&gt;$E90+$F90,IF($D90="Fix",$G90,$G90*(1+$H90)^($F90)),IF($D90="Fix",$G90,$G90*(1+$H90)^(2020-$E90))))))</f>
        <v/>
      </c>
      <c r="L90" s="16">
        <f>IF($A90="","",IF(2021&lt;$E90,"",IF($D90="Manuell","",IF(2021&gt;$E90+$F90,IF($D90="Fix",$G90,$G90*(1+$H90)^($F90)),IF($D90="Fix",$G90,$G90*(1+$H90)^(2021-$E90))))))</f>
        <v/>
      </c>
      <c r="M90" s="16">
        <f>IF($A90="","",IF(2022&lt;$E90,"",IF($D90="Manuell","",IF(2022&gt;$E90+$F90,IF($D90="Fix",$G90,$G90*(1+$H90)^($F90)),IF($D90="Fix",$G90,$G90*(1+$H90)^(2022-$E90))))))</f>
        <v/>
      </c>
      <c r="N90" s="16">
        <f>IF($A90="","",IF(2023&lt;$E90,"",IF($D90="Manuell","",IF(2023&gt;$E90+$F90,IF($D90="Fix",$G90,$G90*(1+$H90)^($F90)),IF($D90="Fix",$G90,$G90*(1+$H90)^(2023-$E90))))))</f>
        <v/>
      </c>
      <c r="O90" s="16">
        <f>IF($A90="","",IF(2024&lt;$E90,"",IF($D90="Manuell","",IF(2024&gt;$E90+$F90,IF($D90="Fix",$G90,$G90*(1+$H90)^($F90)),IF($D90="Fix",$G90,$G90*(1+$H90)^(2024-$E90))))))</f>
        <v/>
      </c>
      <c r="P90" s="16">
        <f>IF($A90="","",IF(2025&lt;$E90,"",IF($D90="Manuell","",IF(2025&gt;$E90+$F90,IF($D90="Fix",$G90,$G90*(1+$H90)^($F90)),IF($D90="Fix",$G90,$G90*(1+$H90)^(2025-$E90))))))</f>
        <v/>
      </c>
      <c r="Q90" s="16">
        <f>IF($A90="","",IF(2026&lt;$E90,"",IF($D90="Manuell","",IF(2026&gt;$E90+$F90,IF($D90="Fix",$G90,$G90*(1+$H90)^($F90)),IF($D90="Fix",$G90,$G90*(1+$H90)^(2026-$E90))))))</f>
        <v/>
      </c>
      <c r="R90" s="16">
        <f>IF($A90="","",IF(2027&lt;$E90,"",IF($D90="Manuell","",IF(2027&gt;$E90+$F90,IF($D90="Fix",$G90,$G90*(1+$H90)^($F90)),IF($D90="Fix",$G90,$G90*(1+$H90)^(2027-$E90))))))</f>
        <v/>
      </c>
      <c r="S90" s="16">
        <f>IF($A90="","",IF(2028&lt;$E90,"",IF($D90="Manuell","",IF(2028&gt;$E90+$F90,IF($D90="Fix",$G90,$G90*(1+$H90)^($F90)),IF($D90="Fix",$G90,$G90*(1+$H90)^(2028-$E90))))))</f>
        <v/>
      </c>
      <c r="T90" s="16">
        <f>IF($A90="","",IF(2029&lt;$E90,"",IF($D90="Manuell","",IF(2029&gt;$E90+$F90,IF($D90="Fix",$G90,$G90*(1+$H90)^($F90)),IF($D90="Fix",$G90,$G90*(1+$H90)^(2029-$E90))))))</f>
        <v/>
      </c>
      <c r="U90" s="16">
        <f>IF($A90="","",IF(2030&lt;$E90,"",IF($D90="Manuell","",IF(2030&gt;$E90+$F90,IF($D90="Fix",$G90,$G90*(1+$H90)^($F90)),IF($D90="Fix",$G90,$G90*(1+$H90)^(2030-$E90))))))</f>
        <v/>
      </c>
      <c r="V90" s="16">
        <f>IF($A90="","",IF(2031&lt;$E90,"",IF($D90="Manuell","",IF(2031&gt;$E90+$F90,IF($D90="Fix",$G90,$G90*(1+$H90)^($F90)),IF($D90="Fix",$G90,$G90*(1+$H90)^(2031-$E90))))))</f>
        <v/>
      </c>
      <c r="W90" s="16">
        <f>IF($A90="","",IF(2032&lt;$E90,"",IF($D90="Manuell","",IF(2032&gt;$E90+$F90,IF($D90="Fix",$G90,$G90*(1+$H90)^($F90)),IF($D90="Fix",$G90,$G90*(1+$H90)^(2032-$E90))))))</f>
        <v/>
      </c>
      <c r="X90" s="16">
        <f>IF($A90="","",IF(2033&lt;$E90,"",IF($D90="Manuell","",IF(2033&gt;$E90+$F90,IF($D90="Fix",$G90,$G90*(1+$H90)^($F90)),IF($D90="Fix",$G90,$G90*(1+$H90)^(2033-$E90))))))</f>
        <v/>
      </c>
      <c r="Y90" s="16">
        <f>IF($A90="","",IF(2034&lt;$E90,"",IF($D90="Manuell","",IF(2034&gt;$E90+$F90,IF($D90="Fix",$G90,$G90*(1+$H90)^($F90)),IF($D90="Fix",$G90,$G90*(1+$H90)^(2034-$E90))))))</f>
        <v/>
      </c>
      <c r="Z90" s="16">
        <f>IF($A90="","",IF(2035&lt;$E90,"",IF($D90="Manuell","",IF(2035&gt;$E90+$F90,IF($D90="Fix",$G90,$G90*(1+$H90)^($F90)),IF($D90="Fix",$G90,$G90*(1+$H90)^(2035-$E90))))))</f>
        <v/>
      </c>
      <c r="AA90" s="16">
        <f>IF($A90="","",IF(2036&lt;$E90,"",IF($D90="Manuell","",IF(2036&gt;$E90+$F90,IF($D90="Fix",$G90,$G90*(1+$H90)^($F90)),IF($D90="Fix",$G90,$G90*(1+$H90)^(2036-$E90))))))</f>
        <v/>
      </c>
      <c r="AB90" s="16">
        <f>IF($A90="","",IF(2037&lt;$E90,"",IF($D90="Manuell","",IF(2037&gt;$E90+$F90,IF($D90="Fix",$G90,$G90*(1+$H90)^($F90)),IF($D90="Fix",$G90,$G90*(1+$H90)^(2037-$E90))))))</f>
        <v/>
      </c>
      <c r="AC90" s="16">
        <f>IF($A90="","",IF(2038&lt;$E90,"",IF($D90="Manuell","",IF(2038&gt;$E90+$F90,IF($D90="Fix",$G90,$G90*(1+$H90)^($F90)),IF($D90="Fix",$G90,$G90*(1+$H90)^(2038-$E90))))))</f>
        <v/>
      </c>
      <c r="AD90" s="16">
        <f>IF($A90="","",IF(2039&lt;$E90,"",IF($D90="Manuell","",IF(2039&gt;$E90+$F90,IF($D90="Fix",$G90,$G90*(1+$H90)^($F90)),IF($D90="Fix",$G90,$G90*(1+$H90)^(2039-$E90))))))</f>
        <v/>
      </c>
      <c r="AE90" s="16">
        <f>IF($A90="","",IF(2040&lt;$E90,"",IF($D90="Manuell","",IF(2040&gt;$E90+$F90,IF($D90="Fix",$G90,$G90*(1+$H90)^($F90)),IF($D90="Fix",$G90,$G90*(1+$H90)^(2040-$E90))))))</f>
        <v/>
      </c>
      <c r="AF90" s="16">
        <f>IF($A90="","",IF(2041&lt;$E90,"",IF($D90="Manuell","",IF(2041&gt;$E90+$F90,IF($D90="Fix",$G90,$G90*(1+$H90)^($F90)),IF($D90="Fix",$G90,$G90*(1+$H90)^(2041-$E90))))))</f>
        <v/>
      </c>
      <c r="AG90" s="16">
        <f>IF($A90="","",IF(2042&lt;$E90,"",IF($D90="Manuell","",IF(2042&gt;$E90+$F90,IF($D90="Fix",$G90,$G90*(1+$H90)^($F90)),IF($D90="Fix",$G90,$G90*(1+$H90)^(2042-$E90))))))</f>
        <v/>
      </c>
      <c r="AH90" s="16">
        <f>IF($A90="","",IF(2043&lt;$E90,"",IF($D90="Manuell","",IF(2043&gt;$E90+$F90,IF($D90="Fix",$G90,$G90*(1+$H90)^($F90)),IF($D90="Fix",$G90,$G90*(1+$H90)^(2043-$E90))))))</f>
        <v/>
      </c>
      <c r="AI90" s="16">
        <f>IF($A90="","",IF(2044&lt;$E90,"",IF($D90="Manuell","",IF(2044&gt;$E90+$F90,IF($D90="Fix",$G90,$G90*(1+$H90)^($F90)),IF($D90="Fix",$G90,$G90*(1+$H90)^(2044-$E90))))))</f>
        <v/>
      </c>
      <c r="AJ90" s="16">
        <f>IF($A90="","",IF(2045&lt;$E90,"",IF($D90="Manuell","",IF(2045&gt;$E90+$F90,IF($D90="Fix",$G90,$G90*(1+$H90)^($F90)),IF($D90="Fix",$G90,$G90*(1+$H90)^(2045-$E90))))))</f>
        <v/>
      </c>
      <c r="AK90" s="16">
        <f>IF($A90="","",IF(2046&lt;$E90,"",IF($D90="Manuell","",IF(2046&gt;$E90+$F90,IF($D90="Fix",$G90,$G90*(1+$H90)^($F90)),IF($D90="Fix",$G90,$G90*(1+$H90)^(2046-$E90))))))</f>
        <v/>
      </c>
      <c r="AL90" s="16">
        <f>IF($A90="","",IF(2047&lt;$E90,"",IF($D90="Manuell","",IF(2047&gt;$E90+$F90,IF($D90="Fix",$G90,$G90*(1+$H90)^($F90)),IF($D90="Fix",$G90,$G90*(1+$H90)^(2047-$E90))))))</f>
        <v/>
      </c>
      <c r="AM90" s="16">
        <f>IF($A90="","",IF(2048&lt;$E90,"",IF($D90="Manuell","",IF(2048&gt;$E90+$F90,IF($D90="Fix",$G90,$G90*(1+$H90)^($F90)),IF($D90="Fix",$G90,$G90*(1+$H90)^(2048-$E90))))))</f>
        <v/>
      </c>
      <c r="AN90" s="16">
        <f>IF($A90="","",IF(2049&lt;$E90,"",IF($D90="Manuell","",IF(2049&gt;$E90+$F90,IF($D90="Fix",$G90,$G90*(1+$H90)^($F90)),IF($D90="Fix",$G90,$G90*(1+$H90)^(2049-$E90))))))</f>
        <v/>
      </c>
      <c r="AO90" s="16">
        <f>IF($A90="","",IF(2050&lt;$E90,"",IF($D90="Manuell","",IF(2050&gt;$E90+$F90,IF($D90="Fix",$G90,$G90*(1+$H90)^($F90)),IF($D90="Fix",$G90,$G90*(1+$H90)^(2050-$E90))))))</f>
        <v/>
      </c>
      <c r="AP90" s="16">
        <f>IF($A90="","",IF(2051&lt;$E90,"",IF($D90="Manuell","",IF(2051&gt;$E90+$F90,IF($D90="Fix",$G90,$G90*(1+$H90)^($F90)),IF($D90="Fix",$G90,$G90*(1+$H90)^(2051-$E90))))))</f>
        <v/>
      </c>
      <c r="AQ90" s="16">
        <f>IF($A90="","",IF(2052&lt;$E90,"",IF($D90="Manuell","",IF(2052&gt;$E90+$F90,IF($D90="Fix",$G90,$G90*(1+$H90)^($F90)),IF($D90="Fix",$G90,$G90*(1+$H90)^(2052-$E90))))))</f>
        <v/>
      </c>
      <c r="AR90" s="16">
        <f>IF($A90="","",IF(2053&lt;$E90,"",IF($D90="Manuell","",IF(2053&gt;$E90+$F90,IF($D90="Fix",$G90,$G90*(1+$H90)^($F90)),IF($D90="Fix",$G90,$G90*(1+$H90)^(2053-$E90))))))</f>
        <v/>
      </c>
      <c r="AS90" s="16">
        <f>IF($A90="","",IF(2054&lt;$E90,"",IF($D90="Manuell","",IF(2054&gt;$E90+$F90,IF($D90="Fix",$G90,$G90*(1+$H90)^($F90)),IF($D90="Fix",$G90,$G90*(1+$H90)^(2054-$E90))))))</f>
        <v/>
      </c>
      <c r="AT90" s="16">
        <f>IF($A90="","",IF(2055&lt;$E90,"",IF($D90="Manuell","",IF(2055&gt;$E90+$F90,IF($D90="Fix",$G90,$G90*(1+$H90)^($F90)),IF($D90="Fix",$G90,$G90*(1+$H90)^(2055-$E90))))))</f>
        <v/>
      </c>
    </row>
    <row r="91">
      <c r="A91" s="14" t="inlineStr"/>
      <c r="B91" s="14" t="inlineStr"/>
      <c r="C91" s="14" t="inlineStr"/>
      <c r="D91" s="14" t="inlineStr"/>
      <c r="E91" s="11" t="inlineStr"/>
      <c r="F91" s="11" t="inlineStr"/>
      <c r="G91" s="15" t="inlineStr"/>
      <c r="H91" s="15" t="inlineStr"/>
      <c r="I91" s="16">
        <f>IF($A91="","",IF(2018&lt;$E91,"",IF($D91="Manuell","",IF(2018&gt;$E91+$F91,IF($D91="Fix",$G91,$G91*(1+$H91)^($F91)),IF($D91="Fix",$G91,$G91*(1+$H91)^(2018-$E91))))))</f>
        <v/>
      </c>
      <c r="J91" s="16">
        <f>IF($A91="","",IF(2019&lt;$E91,"",IF($D91="Manuell","",IF(2019&gt;$E91+$F91,IF($D91="Fix",$G91,$G91*(1+$H91)^($F91)),IF($D91="Fix",$G91,$G91*(1+$H91)^(2019-$E91))))))</f>
        <v/>
      </c>
      <c r="K91" s="16">
        <f>IF($A91="","",IF(2020&lt;$E91,"",IF($D91="Manuell","",IF(2020&gt;$E91+$F91,IF($D91="Fix",$G91,$G91*(1+$H91)^($F91)),IF($D91="Fix",$G91,$G91*(1+$H91)^(2020-$E91))))))</f>
        <v/>
      </c>
      <c r="L91" s="16">
        <f>IF($A91="","",IF(2021&lt;$E91,"",IF($D91="Manuell","",IF(2021&gt;$E91+$F91,IF($D91="Fix",$G91,$G91*(1+$H91)^($F91)),IF($D91="Fix",$G91,$G91*(1+$H91)^(2021-$E91))))))</f>
        <v/>
      </c>
      <c r="M91" s="16">
        <f>IF($A91="","",IF(2022&lt;$E91,"",IF($D91="Manuell","",IF(2022&gt;$E91+$F91,IF($D91="Fix",$G91,$G91*(1+$H91)^($F91)),IF($D91="Fix",$G91,$G91*(1+$H91)^(2022-$E91))))))</f>
        <v/>
      </c>
      <c r="N91" s="16">
        <f>IF($A91="","",IF(2023&lt;$E91,"",IF($D91="Manuell","",IF(2023&gt;$E91+$F91,IF($D91="Fix",$G91,$G91*(1+$H91)^($F91)),IF($D91="Fix",$G91,$G91*(1+$H91)^(2023-$E91))))))</f>
        <v/>
      </c>
      <c r="O91" s="16">
        <f>IF($A91="","",IF(2024&lt;$E91,"",IF($D91="Manuell","",IF(2024&gt;$E91+$F91,IF($D91="Fix",$G91,$G91*(1+$H91)^($F91)),IF($D91="Fix",$G91,$G91*(1+$H91)^(2024-$E91))))))</f>
        <v/>
      </c>
      <c r="P91" s="16">
        <f>IF($A91="","",IF(2025&lt;$E91,"",IF($D91="Manuell","",IF(2025&gt;$E91+$F91,IF($D91="Fix",$G91,$G91*(1+$H91)^($F91)),IF($D91="Fix",$G91,$G91*(1+$H91)^(2025-$E91))))))</f>
        <v/>
      </c>
      <c r="Q91" s="16">
        <f>IF($A91="","",IF(2026&lt;$E91,"",IF($D91="Manuell","",IF(2026&gt;$E91+$F91,IF($D91="Fix",$G91,$G91*(1+$H91)^($F91)),IF($D91="Fix",$G91,$G91*(1+$H91)^(2026-$E91))))))</f>
        <v/>
      </c>
      <c r="R91" s="16">
        <f>IF($A91="","",IF(2027&lt;$E91,"",IF($D91="Manuell","",IF(2027&gt;$E91+$F91,IF($D91="Fix",$G91,$G91*(1+$H91)^($F91)),IF($D91="Fix",$G91,$G91*(1+$H91)^(2027-$E91))))))</f>
        <v/>
      </c>
      <c r="S91" s="16">
        <f>IF($A91="","",IF(2028&lt;$E91,"",IF($D91="Manuell","",IF(2028&gt;$E91+$F91,IF($D91="Fix",$G91,$G91*(1+$H91)^($F91)),IF($D91="Fix",$G91,$G91*(1+$H91)^(2028-$E91))))))</f>
        <v/>
      </c>
      <c r="T91" s="16">
        <f>IF($A91="","",IF(2029&lt;$E91,"",IF($D91="Manuell","",IF(2029&gt;$E91+$F91,IF($D91="Fix",$G91,$G91*(1+$H91)^($F91)),IF($D91="Fix",$G91,$G91*(1+$H91)^(2029-$E91))))))</f>
        <v/>
      </c>
      <c r="U91" s="16">
        <f>IF($A91="","",IF(2030&lt;$E91,"",IF($D91="Manuell","",IF(2030&gt;$E91+$F91,IF($D91="Fix",$G91,$G91*(1+$H91)^($F91)),IF($D91="Fix",$G91,$G91*(1+$H91)^(2030-$E91))))))</f>
        <v/>
      </c>
      <c r="V91" s="16">
        <f>IF($A91="","",IF(2031&lt;$E91,"",IF($D91="Manuell","",IF(2031&gt;$E91+$F91,IF($D91="Fix",$G91,$G91*(1+$H91)^($F91)),IF($D91="Fix",$G91,$G91*(1+$H91)^(2031-$E91))))))</f>
        <v/>
      </c>
      <c r="W91" s="16">
        <f>IF($A91="","",IF(2032&lt;$E91,"",IF($D91="Manuell","",IF(2032&gt;$E91+$F91,IF($D91="Fix",$G91,$G91*(1+$H91)^($F91)),IF($D91="Fix",$G91,$G91*(1+$H91)^(2032-$E91))))))</f>
        <v/>
      </c>
      <c r="X91" s="16">
        <f>IF($A91="","",IF(2033&lt;$E91,"",IF($D91="Manuell","",IF(2033&gt;$E91+$F91,IF($D91="Fix",$G91,$G91*(1+$H91)^($F91)),IF($D91="Fix",$G91,$G91*(1+$H91)^(2033-$E91))))))</f>
        <v/>
      </c>
      <c r="Y91" s="16">
        <f>IF($A91="","",IF(2034&lt;$E91,"",IF($D91="Manuell","",IF(2034&gt;$E91+$F91,IF($D91="Fix",$G91,$G91*(1+$H91)^($F91)),IF($D91="Fix",$G91,$G91*(1+$H91)^(2034-$E91))))))</f>
        <v/>
      </c>
      <c r="Z91" s="16">
        <f>IF($A91="","",IF(2035&lt;$E91,"",IF($D91="Manuell","",IF(2035&gt;$E91+$F91,IF($D91="Fix",$G91,$G91*(1+$H91)^($F91)),IF($D91="Fix",$G91,$G91*(1+$H91)^(2035-$E91))))))</f>
        <v/>
      </c>
      <c r="AA91" s="16">
        <f>IF($A91="","",IF(2036&lt;$E91,"",IF($D91="Manuell","",IF(2036&gt;$E91+$F91,IF($D91="Fix",$G91,$G91*(1+$H91)^($F91)),IF($D91="Fix",$G91,$G91*(1+$H91)^(2036-$E91))))))</f>
        <v/>
      </c>
      <c r="AB91" s="16">
        <f>IF($A91="","",IF(2037&lt;$E91,"",IF($D91="Manuell","",IF(2037&gt;$E91+$F91,IF($D91="Fix",$G91,$G91*(1+$H91)^($F91)),IF($D91="Fix",$G91,$G91*(1+$H91)^(2037-$E91))))))</f>
        <v/>
      </c>
      <c r="AC91" s="16">
        <f>IF($A91="","",IF(2038&lt;$E91,"",IF($D91="Manuell","",IF(2038&gt;$E91+$F91,IF($D91="Fix",$G91,$G91*(1+$H91)^($F91)),IF($D91="Fix",$G91,$G91*(1+$H91)^(2038-$E91))))))</f>
        <v/>
      </c>
      <c r="AD91" s="16">
        <f>IF($A91="","",IF(2039&lt;$E91,"",IF($D91="Manuell","",IF(2039&gt;$E91+$F91,IF($D91="Fix",$G91,$G91*(1+$H91)^($F91)),IF($D91="Fix",$G91,$G91*(1+$H91)^(2039-$E91))))))</f>
        <v/>
      </c>
      <c r="AE91" s="16">
        <f>IF($A91="","",IF(2040&lt;$E91,"",IF($D91="Manuell","",IF(2040&gt;$E91+$F91,IF($D91="Fix",$G91,$G91*(1+$H91)^($F91)),IF($D91="Fix",$G91,$G91*(1+$H91)^(2040-$E91))))))</f>
        <v/>
      </c>
      <c r="AF91" s="16">
        <f>IF($A91="","",IF(2041&lt;$E91,"",IF($D91="Manuell","",IF(2041&gt;$E91+$F91,IF($D91="Fix",$G91,$G91*(1+$H91)^($F91)),IF($D91="Fix",$G91,$G91*(1+$H91)^(2041-$E91))))))</f>
        <v/>
      </c>
      <c r="AG91" s="16">
        <f>IF($A91="","",IF(2042&lt;$E91,"",IF($D91="Manuell","",IF(2042&gt;$E91+$F91,IF($D91="Fix",$G91,$G91*(1+$H91)^($F91)),IF($D91="Fix",$G91,$G91*(1+$H91)^(2042-$E91))))))</f>
        <v/>
      </c>
      <c r="AH91" s="16">
        <f>IF($A91="","",IF(2043&lt;$E91,"",IF($D91="Manuell","",IF(2043&gt;$E91+$F91,IF($D91="Fix",$G91,$G91*(1+$H91)^($F91)),IF($D91="Fix",$G91,$G91*(1+$H91)^(2043-$E91))))))</f>
        <v/>
      </c>
      <c r="AI91" s="16">
        <f>IF($A91="","",IF(2044&lt;$E91,"",IF($D91="Manuell","",IF(2044&gt;$E91+$F91,IF($D91="Fix",$G91,$G91*(1+$H91)^($F91)),IF($D91="Fix",$G91,$G91*(1+$H91)^(2044-$E91))))))</f>
        <v/>
      </c>
      <c r="AJ91" s="16">
        <f>IF($A91="","",IF(2045&lt;$E91,"",IF($D91="Manuell","",IF(2045&gt;$E91+$F91,IF($D91="Fix",$G91,$G91*(1+$H91)^($F91)),IF($D91="Fix",$G91,$G91*(1+$H91)^(2045-$E91))))))</f>
        <v/>
      </c>
      <c r="AK91" s="16">
        <f>IF($A91="","",IF(2046&lt;$E91,"",IF($D91="Manuell","",IF(2046&gt;$E91+$F91,IF($D91="Fix",$G91,$G91*(1+$H91)^($F91)),IF($D91="Fix",$G91,$G91*(1+$H91)^(2046-$E91))))))</f>
        <v/>
      </c>
      <c r="AL91" s="16">
        <f>IF($A91="","",IF(2047&lt;$E91,"",IF($D91="Manuell","",IF(2047&gt;$E91+$F91,IF($D91="Fix",$G91,$G91*(1+$H91)^($F91)),IF($D91="Fix",$G91,$G91*(1+$H91)^(2047-$E91))))))</f>
        <v/>
      </c>
      <c r="AM91" s="16">
        <f>IF($A91="","",IF(2048&lt;$E91,"",IF($D91="Manuell","",IF(2048&gt;$E91+$F91,IF($D91="Fix",$G91,$G91*(1+$H91)^($F91)),IF($D91="Fix",$G91,$G91*(1+$H91)^(2048-$E91))))))</f>
        <v/>
      </c>
      <c r="AN91" s="16">
        <f>IF($A91="","",IF(2049&lt;$E91,"",IF($D91="Manuell","",IF(2049&gt;$E91+$F91,IF($D91="Fix",$G91,$G91*(1+$H91)^($F91)),IF($D91="Fix",$G91,$G91*(1+$H91)^(2049-$E91))))))</f>
        <v/>
      </c>
      <c r="AO91" s="16">
        <f>IF($A91="","",IF(2050&lt;$E91,"",IF($D91="Manuell","",IF(2050&gt;$E91+$F91,IF($D91="Fix",$G91,$G91*(1+$H91)^($F91)),IF($D91="Fix",$G91,$G91*(1+$H91)^(2050-$E91))))))</f>
        <v/>
      </c>
      <c r="AP91" s="16">
        <f>IF($A91="","",IF(2051&lt;$E91,"",IF($D91="Manuell","",IF(2051&gt;$E91+$F91,IF($D91="Fix",$G91,$G91*(1+$H91)^($F91)),IF($D91="Fix",$G91,$G91*(1+$H91)^(2051-$E91))))))</f>
        <v/>
      </c>
      <c r="AQ91" s="16">
        <f>IF($A91="","",IF(2052&lt;$E91,"",IF($D91="Manuell","",IF(2052&gt;$E91+$F91,IF($D91="Fix",$G91,$G91*(1+$H91)^($F91)),IF($D91="Fix",$G91,$G91*(1+$H91)^(2052-$E91))))))</f>
        <v/>
      </c>
      <c r="AR91" s="16">
        <f>IF($A91="","",IF(2053&lt;$E91,"",IF($D91="Manuell","",IF(2053&gt;$E91+$F91,IF($D91="Fix",$G91,$G91*(1+$H91)^($F91)),IF($D91="Fix",$G91,$G91*(1+$H91)^(2053-$E91))))))</f>
        <v/>
      </c>
      <c r="AS91" s="16">
        <f>IF($A91="","",IF(2054&lt;$E91,"",IF($D91="Manuell","",IF(2054&gt;$E91+$F91,IF($D91="Fix",$G91,$G91*(1+$H91)^($F91)),IF($D91="Fix",$G91,$G91*(1+$H91)^(2054-$E91))))))</f>
        <v/>
      </c>
      <c r="AT91" s="16">
        <f>IF($A91="","",IF(2055&lt;$E91,"",IF($D91="Manuell","",IF(2055&gt;$E91+$F91,IF($D91="Fix",$G91,$G91*(1+$H91)^($F91)),IF($D91="Fix",$G91,$G91*(1+$H91)^(2055-$E91))))))</f>
        <v/>
      </c>
    </row>
    <row r="92">
      <c r="A92" s="14" t="inlineStr"/>
      <c r="B92" s="14" t="inlineStr"/>
      <c r="C92" s="14" t="inlineStr"/>
      <c r="D92" s="14" t="inlineStr"/>
      <c r="E92" s="11" t="inlineStr"/>
      <c r="F92" s="11" t="inlineStr"/>
      <c r="G92" s="15" t="inlineStr"/>
      <c r="H92" s="15" t="inlineStr"/>
      <c r="I92" s="16">
        <f>IF($A92="","",IF(2018&lt;$E92,"",IF($D92="Manuell","",IF(2018&gt;$E92+$F92,IF($D92="Fix",$G92,$G92*(1+$H92)^($F92)),IF($D92="Fix",$G92,$G92*(1+$H92)^(2018-$E92))))))</f>
        <v/>
      </c>
      <c r="J92" s="16">
        <f>IF($A92="","",IF(2019&lt;$E92,"",IF($D92="Manuell","",IF(2019&gt;$E92+$F92,IF($D92="Fix",$G92,$G92*(1+$H92)^($F92)),IF($D92="Fix",$G92,$G92*(1+$H92)^(2019-$E92))))))</f>
        <v/>
      </c>
      <c r="K92" s="16">
        <f>IF($A92="","",IF(2020&lt;$E92,"",IF($D92="Manuell","",IF(2020&gt;$E92+$F92,IF($D92="Fix",$G92,$G92*(1+$H92)^($F92)),IF($D92="Fix",$G92,$G92*(1+$H92)^(2020-$E92))))))</f>
        <v/>
      </c>
      <c r="L92" s="16">
        <f>IF($A92="","",IF(2021&lt;$E92,"",IF($D92="Manuell","",IF(2021&gt;$E92+$F92,IF($D92="Fix",$G92,$G92*(1+$H92)^($F92)),IF($D92="Fix",$G92,$G92*(1+$H92)^(2021-$E92))))))</f>
        <v/>
      </c>
      <c r="M92" s="16">
        <f>IF($A92="","",IF(2022&lt;$E92,"",IF($D92="Manuell","",IF(2022&gt;$E92+$F92,IF($D92="Fix",$G92,$G92*(1+$H92)^($F92)),IF($D92="Fix",$G92,$G92*(1+$H92)^(2022-$E92))))))</f>
        <v/>
      </c>
      <c r="N92" s="16">
        <f>IF($A92="","",IF(2023&lt;$E92,"",IF($D92="Manuell","",IF(2023&gt;$E92+$F92,IF($D92="Fix",$G92,$G92*(1+$H92)^($F92)),IF($D92="Fix",$G92,$G92*(1+$H92)^(2023-$E92))))))</f>
        <v/>
      </c>
      <c r="O92" s="16">
        <f>IF($A92="","",IF(2024&lt;$E92,"",IF($D92="Manuell","",IF(2024&gt;$E92+$F92,IF($D92="Fix",$G92,$G92*(1+$H92)^($F92)),IF($D92="Fix",$G92,$G92*(1+$H92)^(2024-$E92))))))</f>
        <v/>
      </c>
      <c r="P92" s="16">
        <f>IF($A92="","",IF(2025&lt;$E92,"",IF($D92="Manuell","",IF(2025&gt;$E92+$F92,IF($D92="Fix",$G92,$G92*(1+$H92)^($F92)),IF($D92="Fix",$G92,$G92*(1+$H92)^(2025-$E92))))))</f>
        <v/>
      </c>
      <c r="Q92" s="16">
        <f>IF($A92="","",IF(2026&lt;$E92,"",IF($D92="Manuell","",IF(2026&gt;$E92+$F92,IF($D92="Fix",$G92,$G92*(1+$H92)^($F92)),IF($D92="Fix",$G92,$G92*(1+$H92)^(2026-$E92))))))</f>
        <v/>
      </c>
      <c r="R92" s="16">
        <f>IF($A92="","",IF(2027&lt;$E92,"",IF($D92="Manuell","",IF(2027&gt;$E92+$F92,IF($D92="Fix",$G92,$G92*(1+$H92)^($F92)),IF($D92="Fix",$G92,$G92*(1+$H92)^(2027-$E92))))))</f>
        <v/>
      </c>
      <c r="S92" s="16">
        <f>IF($A92="","",IF(2028&lt;$E92,"",IF($D92="Manuell","",IF(2028&gt;$E92+$F92,IF($D92="Fix",$G92,$G92*(1+$H92)^($F92)),IF($D92="Fix",$G92,$G92*(1+$H92)^(2028-$E92))))))</f>
        <v/>
      </c>
      <c r="T92" s="16">
        <f>IF($A92="","",IF(2029&lt;$E92,"",IF($D92="Manuell","",IF(2029&gt;$E92+$F92,IF($D92="Fix",$G92,$G92*(1+$H92)^($F92)),IF($D92="Fix",$G92,$G92*(1+$H92)^(2029-$E92))))))</f>
        <v/>
      </c>
      <c r="U92" s="16">
        <f>IF($A92="","",IF(2030&lt;$E92,"",IF($D92="Manuell","",IF(2030&gt;$E92+$F92,IF($D92="Fix",$G92,$G92*(1+$H92)^($F92)),IF($D92="Fix",$G92,$G92*(1+$H92)^(2030-$E92))))))</f>
        <v/>
      </c>
      <c r="V92" s="16">
        <f>IF($A92="","",IF(2031&lt;$E92,"",IF($D92="Manuell","",IF(2031&gt;$E92+$F92,IF($D92="Fix",$G92,$G92*(1+$H92)^($F92)),IF($D92="Fix",$G92,$G92*(1+$H92)^(2031-$E92))))))</f>
        <v/>
      </c>
      <c r="W92" s="16">
        <f>IF($A92="","",IF(2032&lt;$E92,"",IF($D92="Manuell","",IF(2032&gt;$E92+$F92,IF($D92="Fix",$G92,$G92*(1+$H92)^($F92)),IF($D92="Fix",$G92,$G92*(1+$H92)^(2032-$E92))))))</f>
        <v/>
      </c>
      <c r="X92" s="16">
        <f>IF($A92="","",IF(2033&lt;$E92,"",IF($D92="Manuell","",IF(2033&gt;$E92+$F92,IF($D92="Fix",$G92,$G92*(1+$H92)^($F92)),IF($D92="Fix",$G92,$G92*(1+$H92)^(2033-$E92))))))</f>
        <v/>
      </c>
      <c r="Y92" s="16">
        <f>IF($A92="","",IF(2034&lt;$E92,"",IF($D92="Manuell","",IF(2034&gt;$E92+$F92,IF($D92="Fix",$G92,$G92*(1+$H92)^($F92)),IF($D92="Fix",$G92,$G92*(1+$H92)^(2034-$E92))))))</f>
        <v/>
      </c>
      <c r="Z92" s="16">
        <f>IF($A92="","",IF(2035&lt;$E92,"",IF($D92="Manuell","",IF(2035&gt;$E92+$F92,IF($D92="Fix",$G92,$G92*(1+$H92)^($F92)),IF($D92="Fix",$G92,$G92*(1+$H92)^(2035-$E92))))))</f>
        <v/>
      </c>
      <c r="AA92" s="16">
        <f>IF($A92="","",IF(2036&lt;$E92,"",IF($D92="Manuell","",IF(2036&gt;$E92+$F92,IF($D92="Fix",$G92,$G92*(1+$H92)^($F92)),IF($D92="Fix",$G92,$G92*(1+$H92)^(2036-$E92))))))</f>
        <v/>
      </c>
      <c r="AB92" s="16">
        <f>IF($A92="","",IF(2037&lt;$E92,"",IF($D92="Manuell","",IF(2037&gt;$E92+$F92,IF($D92="Fix",$G92,$G92*(1+$H92)^($F92)),IF($D92="Fix",$G92,$G92*(1+$H92)^(2037-$E92))))))</f>
        <v/>
      </c>
      <c r="AC92" s="16">
        <f>IF($A92="","",IF(2038&lt;$E92,"",IF($D92="Manuell","",IF(2038&gt;$E92+$F92,IF($D92="Fix",$G92,$G92*(1+$H92)^($F92)),IF($D92="Fix",$G92,$G92*(1+$H92)^(2038-$E92))))))</f>
        <v/>
      </c>
      <c r="AD92" s="16">
        <f>IF($A92="","",IF(2039&lt;$E92,"",IF($D92="Manuell","",IF(2039&gt;$E92+$F92,IF($D92="Fix",$G92,$G92*(1+$H92)^($F92)),IF($D92="Fix",$G92,$G92*(1+$H92)^(2039-$E92))))))</f>
        <v/>
      </c>
      <c r="AE92" s="16">
        <f>IF($A92="","",IF(2040&lt;$E92,"",IF($D92="Manuell","",IF(2040&gt;$E92+$F92,IF($D92="Fix",$G92,$G92*(1+$H92)^($F92)),IF($D92="Fix",$G92,$G92*(1+$H92)^(2040-$E92))))))</f>
        <v/>
      </c>
      <c r="AF92" s="16">
        <f>IF($A92="","",IF(2041&lt;$E92,"",IF($D92="Manuell","",IF(2041&gt;$E92+$F92,IF($D92="Fix",$G92,$G92*(1+$H92)^($F92)),IF($D92="Fix",$G92,$G92*(1+$H92)^(2041-$E92))))))</f>
        <v/>
      </c>
      <c r="AG92" s="16">
        <f>IF($A92="","",IF(2042&lt;$E92,"",IF($D92="Manuell","",IF(2042&gt;$E92+$F92,IF($D92="Fix",$G92,$G92*(1+$H92)^($F92)),IF($D92="Fix",$G92,$G92*(1+$H92)^(2042-$E92))))))</f>
        <v/>
      </c>
      <c r="AH92" s="16">
        <f>IF($A92="","",IF(2043&lt;$E92,"",IF($D92="Manuell","",IF(2043&gt;$E92+$F92,IF($D92="Fix",$G92,$G92*(1+$H92)^($F92)),IF($D92="Fix",$G92,$G92*(1+$H92)^(2043-$E92))))))</f>
        <v/>
      </c>
      <c r="AI92" s="16">
        <f>IF($A92="","",IF(2044&lt;$E92,"",IF($D92="Manuell","",IF(2044&gt;$E92+$F92,IF($D92="Fix",$G92,$G92*(1+$H92)^($F92)),IF($D92="Fix",$G92,$G92*(1+$H92)^(2044-$E92))))))</f>
        <v/>
      </c>
      <c r="AJ92" s="16">
        <f>IF($A92="","",IF(2045&lt;$E92,"",IF($D92="Manuell","",IF(2045&gt;$E92+$F92,IF($D92="Fix",$G92,$G92*(1+$H92)^($F92)),IF($D92="Fix",$G92,$G92*(1+$H92)^(2045-$E92))))))</f>
        <v/>
      </c>
      <c r="AK92" s="16">
        <f>IF($A92="","",IF(2046&lt;$E92,"",IF($D92="Manuell","",IF(2046&gt;$E92+$F92,IF($D92="Fix",$G92,$G92*(1+$H92)^($F92)),IF($D92="Fix",$G92,$G92*(1+$H92)^(2046-$E92))))))</f>
        <v/>
      </c>
      <c r="AL92" s="16">
        <f>IF($A92="","",IF(2047&lt;$E92,"",IF($D92="Manuell","",IF(2047&gt;$E92+$F92,IF($D92="Fix",$G92,$G92*(1+$H92)^($F92)),IF($D92="Fix",$G92,$G92*(1+$H92)^(2047-$E92))))))</f>
        <v/>
      </c>
      <c r="AM92" s="16">
        <f>IF($A92="","",IF(2048&lt;$E92,"",IF($D92="Manuell","",IF(2048&gt;$E92+$F92,IF($D92="Fix",$G92,$G92*(1+$H92)^($F92)),IF($D92="Fix",$G92,$G92*(1+$H92)^(2048-$E92))))))</f>
        <v/>
      </c>
      <c r="AN92" s="16">
        <f>IF($A92="","",IF(2049&lt;$E92,"",IF($D92="Manuell","",IF(2049&gt;$E92+$F92,IF($D92="Fix",$G92,$G92*(1+$H92)^($F92)),IF($D92="Fix",$G92,$G92*(1+$H92)^(2049-$E92))))))</f>
        <v/>
      </c>
      <c r="AO92" s="16">
        <f>IF($A92="","",IF(2050&lt;$E92,"",IF($D92="Manuell","",IF(2050&gt;$E92+$F92,IF($D92="Fix",$G92,$G92*(1+$H92)^($F92)),IF($D92="Fix",$G92,$G92*(1+$H92)^(2050-$E92))))))</f>
        <v/>
      </c>
      <c r="AP92" s="16">
        <f>IF($A92="","",IF(2051&lt;$E92,"",IF($D92="Manuell","",IF(2051&gt;$E92+$F92,IF($D92="Fix",$G92,$G92*(1+$H92)^($F92)),IF($D92="Fix",$G92,$G92*(1+$H92)^(2051-$E92))))))</f>
        <v/>
      </c>
      <c r="AQ92" s="16">
        <f>IF($A92="","",IF(2052&lt;$E92,"",IF($D92="Manuell","",IF(2052&gt;$E92+$F92,IF($D92="Fix",$G92,$G92*(1+$H92)^($F92)),IF($D92="Fix",$G92,$G92*(1+$H92)^(2052-$E92))))))</f>
        <v/>
      </c>
      <c r="AR92" s="16">
        <f>IF($A92="","",IF(2053&lt;$E92,"",IF($D92="Manuell","",IF(2053&gt;$E92+$F92,IF($D92="Fix",$G92,$G92*(1+$H92)^($F92)),IF($D92="Fix",$G92,$G92*(1+$H92)^(2053-$E92))))))</f>
        <v/>
      </c>
      <c r="AS92" s="16">
        <f>IF($A92="","",IF(2054&lt;$E92,"",IF($D92="Manuell","",IF(2054&gt;$E92+$F92,IF($D92="Fix",$G92,$G92*(1+$H92)^($F92)),IF($D92="Fix",$G92,$G92*(1+$H92)^(2054-$E92))))))</f>
        <v/>
      </c>
      <c r="AT92" s="16">
        <f>IF($A92="","",IF(2055&lt;$E92,"",IF($D92="Manuell","",IF(2055&gt;$E92+$F92,IF($D92="Fix",$G92,$G92*(1+$H92)^($F92)),IF($D92="Fix",$G92,$G92*(1+$H92)^(2055-$E92))))))</f>
        <v/>
      </c>
    </row>
    <row r="93">
      <c r="A93" s="14" t="inlineStr"/>
      <c r="B93" s="14" t="inlineStr"/>
      <c r="C93" s="14" t="inlineStr"/>
      <c r="D93" s="14" t="inlineStr"/>
      <c r="E93" s="11" t="inlineStr"/>
      <c r="F93" s="11" t="inlineStr"/>
      <c r="G93" s="15" t="inlineStr"/>
      <c r="H93" s="15" t="inlineStr"/>
      <c r="I93" s="16">
        <f>IF($A93="","",IF(2018&lt;$E93,"",IF($D93="Manuell","",IF(2018&gt;$E93+$F93,IF($D93="Fix",$G93,$G93*(1+$H93)^($F93)),IF($D93="Fix",$G93,$G93*(1+$H93)^(2018-$E93))))))</f>
        <v/>
      </c>
      <c r="J93" s="16">
        <f>IF($A93="","",IF(2019&lt;$E93,"",IF($D93="Manuell","",IF(2019&gt;$E93+$F93,IF($D93="Fix",$G93,$G93*(1+$H93)^($F93)),IF($D93="Fix",$G93,$G93*(1+$H93)^(2019-$E93))))))</f>
        <v/>
      </c>
      <c r="K93" s="16">
        <f>IF($A93="","",IF(2020&lt;$E93,"",IF($D93="Manuell","",IF(2020&gt;$E93+$F93,IF($D93="Fix",$G93,$G93*(1+$H93)^($F93)),IF($D93="Fix",$G93,$G93*(1+$H93)^(2020-$E93))))))</f>
        <v/>
      </c>
      <c r="L93" s="16">
        <f>IF($A93="","",IF(2021&lt;$E93,"",IF($D93="Manuell","",IF(2021&gt;$E93+$F93,IF($D93="Fix",$G93,$G93*(1+$H93)^($F93)),IF($D93="Fix",$G93,$G93*(1+$H93)^(2021-$E93))))))</f>
        <v/>
      </c>
      <c r="M93" s="16">
        <f>IF($A93="","",IF(2022&lt;$E93,"",IF($D93="Manuell","",IF(2022&gt;$E93+$F93,IF($D93="Fix",$G93,$G93*(1+$H93)^($F93)),IF($D93="Fix",$G93,$G93*(1+$H93)^(2022-$E93))))))</f>
        <v/>
      </c>
      <c r="N93" s="16">
        <f>IF($A93="","",IF(2023&lt;$E93,"",IF($D93="Manuell","",IF(2023&gt;$E93+$F93,IF($D93="Fix",$G93,$G93*(1+$H93)^($F93)),IF($D93="Fix",$G93,$G93*(1+$H93)^(2023-$E93))))))</f>
        <v/>
      </c>
      <c r="O93" s="16">
        <f>IF($A93="","",IF(2024&lt;$E93,"",IF($D93="Manuell","",IF(2024&gt;$E93+$F93,IF($D93="Fix",$G93,$G93*(1+$H93)^($F93)),IF($D93="Fix",$G93,$G93*(1+$H93)^(2024-$E93))))))</f>
        <v/>
      </c>
      <c r="P93" s="16">
        <f>IF($A93="","",IF(2025&lt;$E93,"",IF($D93="Manuell","",IF(2025&gt;$E93+$F93,IF($D93="Fix",$G93,$G93*(1+$H93)^($F93)),IF($D93="Fix",$G93,$G93*(1+$H93)^(2025-$E93))))))</f>
        <v/>
      </c>
      <c r="Q93" s="16">
        <f>IF($A93="","",IF(2026&lt;$E93,"",IF($D93="Manuell","",IF(2026&gt;$E93+$F93,IF($D93="Fix",$G93,$G93*(1+$H93)^($F93)),IF($D93="Fix",$G93,$G93*(1+$H93)^(2026-$E93))))))</f>
        <v/>
      </c>
      <c r="R93" s="16">
        <f>IF($A93="","",IF(2027&lt;$E93,"",IF($D93="Manuell","",IF(2027&gt;$E93+$F93,IF($D93="Fix",$G93,$G93*(1+$H93)^($F93)),IF($D93="Fix",$G93,$G93*(1+$H93)^(2027-$E93))))))</f>
        <v/>
      </c>
      <c r="S93" s="16">
        <f>IF($A93="","",IF(2028&lt;$E93,"",IF($D93="Manuell","",IF(2028&gt;$E93+$F93,IF($D93="Fix",$G93,$G93*(1+$H93)^($F93)),IF($D93="Fix",$G93,$G93*(1+$H93)^(2028-$E93))))))</f>
        <v/>
      </c>
      <c r="T93" s="16">
        <f>IF($A93="","",IF(2029&lt;$E93,"",IF($D93="Manuell","",IF(2029&gt;$E93+$F93,IF($D93="Fix",$G93,$G93*(1+$H93)^($F93)),IF($D93="Fix",$G93,$G93*(1+$H93)^(2029-$E93))))))</f>
        <v/>
      </c>
      <c r="U93" s="16">
        <f>IF($A93="","",IF(2030&lt;$E93,"",IF($D93="Manuell","",IF(2030&gt;$E93+$F93,IF($D93="Fix",$G93,$G93*(1+$H93)^($F93)),IF($D93="Fix",$G93,$G93*(1+$H93)^(2030-$E93))))))</f>
        <v/>
      </c>
      <c r="V93" s="16">
        <f>IF($A93="","",IF(2031&lt;$E93,"",IF($D93="Manuell","",IF(2031&gt;$E93+$F93,IF($D93="Fix",$G93,$G93*(1+$H93)^($F93)),IF($D93="Fix",$G93,$G93*(1+$H93)^(2031-$E93))))))</f>
        <v/>
      </c>
      <c r="W93" s="16">
        <f>IF($A93="","",IF(2032&lt;$E93,"",IF($D93="Manuell","",IF(2032&gt;$E93+$F93,IF($D93="Fix",$G93,$G93*(1+$H93)^($F93)),IF($D93="Fix",$G93,$G93*(1+$H93)^(2032-$E93))))))</f>
        <v/>
      </c>
      <c r="X93" s="16">
        <f>IF($A93="","",IF(2033&lt;$E93,"",IF($D93="Manuell","",IF(2033&gt;$E93+$F93,IF($D93="Fix",$G93,$G93*(1+$H93)^($F93)),IF($D93="Fix",$G93,$G93*(1+$H93)^(2033-$E93))))))</f>
        <v/>
      </c>
      <c r="Y93" s="16">
        <f>IF($A93="","",IF(2034&lt;$E93,"",IF($D93="Manuell","",IF(2034&gt;$E93+$F93,IF($D93="Fix",$G93,$G93*(1+$H93)^($F93)),IF($D93="Fix",$G93,$G93*(1+$H93)^(2034-$E93))))))</f>
        <v/>
      </c>
      <c r="Z93" s="16">
        <f>IF($A93="","",IF(2035&lt;$E93,"",IF($D93="Manuell","",IF(2035&gt;$E93+$F93,IF($D93="Fix",$G93,$G93*(1+$H93)^($F93)),IF($D93="Fix",$G93,$G93*(1+$H93)^(2035-$E93))))))</f>
        <v/>
      </c>
      <c r="AA93" s="16">
        <f>IF($A93="","",IF(2036&lt;$E93,"",IF($D93="Manuell","",IF(2036&gt;$E93+$F93,IF($D93="Fix",$G93,$G93*(1+$H93)^($F93)),IF($D93="Fix",$G93,$G93*(1+$H93)^(2036-$E93))))))</f>
        <v/>
      </c>
      <c r="AB93" s="16">
        <f>IF($A93="","",IF(2037&lt;$E93,"",IF($D93="Manuell","",IF(2037&gt;$E93+$F93,IF($D93="Fix",$G93,$G93*(1+$H93)^($F93)),IF($D93="Fix",$G93,$G93*(1+$H93)^(2037-$E93))))))</f>
        <v/>
      </c>
      <c r="AC93" s="16">
        <f>IF($A93="","",IF(2038&lt;$E93,"",IF($D93="Manuell","",IF(2038&gt;$E93+$F93,IF($D93="Fix",$G93,$G93*(1+$H93)^($F93)),IF($D93="Fix",$G93,$G93*(1+$H93)^(2038-$E93))))))</f>
        <v/>
      </c>
      <c r="AD93" s="16">
        <f>IF($A93="","",IF(2039&lt;$E93,"",IF($D93="Manuell","",IF(2039&gt;$E93+$F93,IF($D93="Fix",$G93,$G93*(1+$H93)^($F93)),IF($D93="Fix",$G93,$G93*(1+$H93)^(2039-$E93))))))</f>
        <v/>
      </c>
      <c r="AE93" s="16">
        <f>IF($A93="","",IF(2040&lt;$E93,"",IF($D93="Manuell","",IF(2040&gt;$E93+$F93,IF($D93="Fix",$G93,$G93*(1+$H93)^($F93)),IF($D93="Fix",$G93,$G93*(1+$H93)^(2040-$E93))))))</f>
        <v/>
      </c>
      <c r="AF93" s="16">
        <f>IF($A93="","",IF(2041&lt;$E93,"",IF($D93="Manuell","",IF(2041&gt;$E93+$F93,IF($D93="Fix",$G93,$G93*(1+$H93)^($F93)),IF($D93="Fix",$G93,$G93*(1+$H93)^(2041-$E93))))))</f>
        <v/>
      </c>
      <c r="AG93" s="16">
        <f>IF($A93="","",IF(2042&lt;$E93,"",IF($D93="Manuell","",IF(2042&gt;$E93+$F93,IF($D93="Fix",$G93,$G93*(1+$H93)^($F93)),IF($D93="Fix",$G93,$G93*(1+$H93)^(2042-$E93))))))</f>
        <v/>
      </c>
      <c r="AH93" s="16">
        <f>IF($A93="","",IF(2043&lt;$E93,"",IF($D93="Manuell","",IF(2043&gt;$E93+$F93,IF($D93="Fix",$G93,$G93*(1+$H93)^($F93)),IF($D93="Fix",$G93,$G93*(1+$H93)^(2043-$E93))))))</f>
        <v/>
      </c>
      <c r="AI93" s="16">
        <f>IF($A93="","",IF(2044&lt;$E93,"",IF($D93="Manuell","",IF(2044&gt;$E93+$F93,IF($D93="Fix",$G93,$G93*(1+$H93)^($F93)),IF($D93="Fix",$G93,$G93*(1+$H93)^(2044-$E93))))))</f>
        <v/>
      </c>
      <c r="AJ93" s="16">
        <f>IF($A93="","",IF(2045&lt;$E93,"",IF($D93="Manuell","",IF(2045&gt;$E93+$F93,IF($D93="Fix",$G93,$G93*(1+$H93)^($F93)),IF($D93="Fix",$G93,$G93*(1+$H93)^(2045-$E93))))))</f>
        <v/>
      </c>
      <c r="AK93" s="16">
        <f>IF($A93="","",IF(2046&lt;$E93,"",IF($D93="Manuell","",IF(2046&gt;$E93+$F93,IF($D93="Fix",$G93,$G93*(1+$H93)^($F93)),IF($D93="Fix",$G93,$G93*(1+$H93)^(2046-$E93))))))</f>
        <v/>
      </c>
      <c r="AL93" s="16">
        <f>IF($A93="","",IF(2047&lt;$E93,"",IF($D93="Manuell","",IF(2047&gt;$E93+$F93,IF($D93="Fix",$G93,$G93*(1+$H93)^($F93)),IF($D93="Fix",$G93,$G93*(1+$H93)^(2047-$E93))))))</f>
        <v/>
      </c>
      <c r="AM93" s="16">
        <f>IF($A93="","",IF(2048&lt;$E93,"",IF($D93="Manuell","",IF(2048&gt;$E93+$F93,IF($D93="Fix",$G93,$G93*(1+$H93)^($F93)),IF($D93="Fix",$G93,$G93*(1+$H93)^(2048-$E93))))))</f>
        <v/>
      </c>
      <c r="AN93" s="16">
        <f>IF($A93="","",IF(2049&lt;$E93,"",IF($D93="Manuell","",IF(2049&gt;$E93+$F93,IF($D93="Fix",$G93,$G93*(1+$H93)^($F93)),IF($D93="Fix",$G93,$G93*(1+$H93)^(2049-$E93))))))</f>
        <v/>
      </c>
      <c r="AO93" s="16">
        <f>IF($A93="","",IF(2050&lt;$E93,"",IF($D93="Manuell","",IF(2050&gt;$E93+$F93,IF($D93="Fix",$G93,$G93*(1+$H93)^($F93)),IF($D93="Fix",$G93,$G93*(1+$H93)^(2050-$E93))))))</f>
        <v/>
      </c>
      <c r="AP93" s="16">
        <f>IF($A93="","",IF(2051&lt;$E93,"",IF($D93="Manuell","",IF(2051&gt;$E93+$F93,IF($D93="Fix",$G93,$G93*(1+$H93)^($F93)),IF($D93="Fix",$G93,$G93*(1+$H93)^(2051-$E93))))))</f>
        <v/>
      </c>
      <c r="AQ93" s="16">
        <f>IF($A93="","",IF(2052&lt;$E93,"",IF($D93="Manuell","",IF(2052&gt;$E93+$F93,IF($D93="Fix",$G93,$G93*(1+$H93)^($F93)),IF($D93="Fix",$G93,$G93*(1+$H93)^(2052-$E93))))))</f>
        <v/>
      </c>
      <c r="AR93" s="16">
        <f>IF($A93="","",IF(2053&lt;$E93,"",IF($D93="Manuell","",IF(2053&gt;$E93+$F93,IF($D93="Fix",$G93,$G93*(1+$H93)^($F93)),IF($D93="Fix",$G93,$G93*(1+$H93)^(2053-$E93))))))</f>
        <v/>
      </c>
      <c r="AS93" s="16">
        <f>IF($A93="","",IF(2054&lt;$E93,"",IF($D93="Manuell","",IF(2054&gt;$E93+$F93,IF($D93="Fix",$G93,$G93*(1+$H93)^($F93)),IF($D93="Fix",$G93,$G93*(1+$H93)^(2054-$E93))))))</f>
        <v/>
      </c>
      <c r="AT93" s="16">
        <f>IF($A93="","",IF(2055&lt;$E93,"",IF($D93="Manuell","",IF(2055&gt;$E93+$F93,IF($D93="Fix",$G93,$G93*(1+$H93)^($F93)),IF($D93="Fix",$G93,$G93*(1+$H93)^(2055-$E93))))))</f>
        <v/>
      </c>
    </row>
    <row r="94">
      <c r="A94" s="14" t="inlineStr"/>
      <c r="B94" s="14" t="inlineStr"/>
      <c r="C94" s="14" t="inlineStr"/>
      <c r="D94" s="14" t="inlineStr"/>
      <c r="E94" s="11" t="inlineStr"/>
      <c r="F94" s="11" t="inlineStr"/>
      <c r="G94" s="15" t="inlineStr"/>
      <c r="H94" s="15" t="inlineStr"/>
      <c r="I94" s="16">
        <f>IF($A94="","",IF(2018&lt;$E94,"",IF($D94="Manuell","",IF(2018&gt;$E94+$F94,IF($D94="Fix",$G94,$G94*(1+$H94)^($F94)),IF($D94="Fix",$G94,$G94*(1+$H94)^(2018-$E94))))))</f>
        <v/>
      </c>
      <c r="J94" s="16">
        <f>IF($A94="","",IF(2019&lt;$E94,"",IF($D94="Manuell","",IF(2019&gt;$E94+$F94,IF($D94="Fix",$G94,$G94*(1+$H94)^($F94)),IF($D94="Fix",$G94,$G94*(1+$H94)^(2019-$E94))))))</f>
        <v/>
      </c>
      <c r="K94" s="16">
        <f>IF($A94="","",IF(2020&lt;$E94,"",IF($D94="Manuell","",IF(2020&gt;$E94+$F94,IF($D94="Fix",$G94,$G94*(1+$H94)^($F94)),IF($D94="Fix",$G94,$G94*(1+$H94)^(2020-$E94))))))</f>
        <v/>
      </c>
      <c r="L94" s="16">
        <f>IF($A94="","",IF(2021&lt;$E94,"",IF($D94="Manuell","",IF(2021&gt;$E94+$F94,IF($D94="Fix",$G94,$G94*(1+$H94)^($F94)),IF($D94="Fix",$G94,$G94*(1+$H94)^(2021-$E94))))))</f>
        <v/>
      </c>
      <c r="M94" s="16">
        <f>IF($A94="","",IF(2022&lt;$E94,"",IF($D94="Manuell","",IF(2022&gt;$E94+$F94,IF($D94="Fix",$G94,$G94*(1+$H94)^($F94)),IF($D94="Fix",$G94,$G94*(1+$H94)^(2022-$E94))))))</f>
        <v/>
      </c>
      <c r="N94" s="16">
        <f>IF($A94="","",IF(2023&lt;$E94,"",IF($D94="Manuell","",IF(2023&gt;$E94+$F94,IF($D94="Fix",$G94,$G94*(1+$H94)^($F94)),IF($D94="Fix",$G94,$G94*(1+$H94)^(2023-$E94))))))</f>
        <v/>
      </c>
      <c r="O94" s="16">
        <f>IF($A94="","",IF(2024&lt;$E94,"",IF($D94="Manuell","",IF(2024&gt;$E94+$F94,IF($D94="Fix",$G94,$G94*(1+$H94)^($F94)),IF($D94="Fix",$G94,$G94*(1+$H94)^(2024-$E94))))))</f>
        <v/>
      </c>
      <c r="P94" s="16">
        <f>IF($A94="","",IF(2025&lt;$E94,"",IF($D94="Manuell","",IF(2025&gt;$E94+$F94,IF($D94="Fix",$G94,$G94*(1+$H94)^($F94)),IF($D94="Fix",$G94,$G94*(1+$H94)^(2025-$E94))))))</f>
        <v/>
      </c>
      <c r="Q94" s="16">
        <f>IF($A94="","",IF(2026&lt;$E94,"",IF($D94="Manuell","",IF(2026&gt;$E94+$F94,IF($D94="Fix",$G94,$G94*(1+$H94)^($F94)),IF($D94="Fix",$G94,$G94*(1+$H94)^(2026-$E94))))))</f>
        <v/>
      </c>
      <c r="R94" s="16">
        <f>IF($A94="","",IF(2027&lt;$E94,"",IF($D94="Manuell","",IF(2027&gt;$E94+$F94,IF($D94="Fix",$G94,$G94*(1+$H94)^($F94)),IF($D94="Fix",$G94,$G94*(1+$H94)^(2027-$E94))))))</f>
        <v/>
      </c>
      <c r="S94" s="16">
        <f>IF($A94="","",IF(2028&lt;$E94,"",IF($D94="Manuell","",IF(2028&gt;$E94+$F94,IF($D94="Fix",$G94,$G94*(1+$H94)^($F94)),IF($D94="Fix",$G94,$G94*(1+$H94)^(2028-$E94))))))</f>
        <v/>
      </c>
      <c r="T94" s="16">
        <f>IF($A94="","",IF(2029&lt;$E94,"",IF($D94="Manuell","",IF(2029&gt;$E94+$F94,IF($D94="Fix",$G94,$G94*(1+$H94)^($F94)),IF($D94="Fix",$G94,$G94*(1+$H94)^(2029-$E94))))))</f>
        <v/>
      </c>
      <c r="U94" s="16">
        <f>IF($A94="","",IF(2030&lt;$E94,"",IF($D94="Manuell","",IF(2030&gt;$E94+$F94,IF($D94="Fix",$G94,$G94*(1+$H94)^($F94)),IF($D94="Fix",$G94,$G94*(1+$H94)^(2030-$E94))))))</f>
        <v/>
      </c>
      <c r="V94" s="16">
        <f>IF($A94="","",IF(2031&lt;$E94,"",IF($D94="Manuell","",IF(2031&gt;$E94+$F94,IF($D94="Fix",$G94,$G94*(1+$H94)^($F94)),IF($D94="Fix",$G94,$G94*(1+$H94)^(2031-$E94))))))</f>
        <v/>
      </c>
      <c r="W94" s="16">
        <f>IF($A94="","",IF(2032&lt;$E94,"",IF($D94="Manuell","",IF(2032&gt;$E94+$F94,IF($D94="Fix",$G94,$G94*(1+$H94)^($F94)),IF($D94="Fix",$G94,$G94*(1+$H94)^(2032-$E94))))))</f>
        <v/>
      </c>
      <c r="X94" s="16">
        <f>IF($A94="","",IF(2033&lt;$E94,"",IF($D94="Manuell","",IF(2033&gt;$E94+$F94,IF($D94="Fix",$G94,$G94*(1+$H94)^($F94)),IF($D94="Fix",$G94,$G94*(1+$H94)^(2033-$E94))))))</f>
        <v/>
      </c>
      <c r="Y94" s="16">
        <f>IF($A94="","",IF(2034&lt;$E94,"",IF($D94="Manuell","",IF(2034&gt;$E94+$F94,IF($D94="Fix",$G94,$G94*(1+$H94)^($F94)),IF($D94="Fix",$G94,$G94*(1+$H94)^(2034-$E94))))))</f>
        <v/>
      </c>
      <c r="Z94" s="16">
        <f>IF($A94="","",IF(2035&lt;$E94,"",IF($D94="Manuell","",IF(2035&gt;$E94+$F94,IF($D94="Fix",$G94,$G94*(1+$H94)^($F94)),IF($D94="Fix",$G94,$G94*(1+$H94)^(2035-$E94))))))</f>
        <v/>
      </c>
      <c r="AA94" s="16">
        <f>IF($A94="","",IF(2036&lt;$E94,"",IF($D94="Manuell","",IF(2036&gt;$E94+$F94,IF($D94="Fix",$G94,$G94*(1+$H94)^($F94)),IF($D94="Fix",$G94,$G94*(1+$H94)^(2036-$E94))))))</f>
        <v/>
      </c>
      <c r="AB94" s="16">
        <f>IF($A94="","",IF(2037&lt;$E94,"",IF($D94="Manuell","",IF(2037&gt;$E94+$F94,IF($D94="Fix",$G94,$G94*(1+$H94)^($F94)),IF($D94="Fix",$G94,$G94*(1+$H94)^(2037-$E94))))))</f>
        <v/>
      </c>
      <c r="AC94" s="16">
        <f>IF($A94="","",IF(2038&lt;$E94,"",IF($D94="Manuell","",IF(2038&gt;$E94+$F94,IF($D94="Fix",$G94,$G94*(1+$H94)^($F94)),IF($D94="Fix",$G94,$G94*(1+$H94)^(2038-$E94))))))</f>
        <v/>
      </c>
      <c r="AD94" s="16">
        <f>IF($A94="","",IF(2039&lt;$E94,"",IF($D94="Manuell","",IF(2039&gt;$E94+$F94,IF($D94="Fix",$G94,$G94*(1+$H94)^($F94)),IF($D94="Fix",$G94,$G94*(1+$H94)^(2039-$E94))))))</f>
        <v/>
      </c>
      <c r="AE94" s="16">
        <f>IF($A94="","",IF(2040&lt;$E94,"",IF($D94="Manuell","",IF(2040&gt;$E94+$F94,IF($D94="Fix",$G94,$G94*(1+$H94)^($F94)),IF($D94="Fix",$G94,$G94*(1+$H94)^(2040-$E94))))))</f>
        <v/>
      </c>
      <c r="AF94" s="16">
        <f>IF($A94="","",IF(2041&lt;$E94,"",IF($D94="Manuell","",IF(2041&gt;$E94+$F94,IF($D94="Fix",$G94,$G94*(1+$H94)^($F94)),IF($D94="Fix",$G94,$G94*(1+$H94)^(2041-$E94))))))</f>
        <v/>
      </c>
      <c r="AG94" s="16">
        <f>IF($A94="","",IF(2042&lt;$E94,"",IF($D94="Manuell","",IF(2042&gt;$E94+$F94,IF($D94="Fix",$G94,$G94*(1+$H94)^($F94)),IF($D94="Fix",$G94,$G94*(1+$H94)^(2042-$E94))))))</f>
        <v/>
      </c>
      <c r="AH94" s="16">
        <f>IF($A94="","",IF(2043&lt;$E94,"",IF($D94="Manuell","",IF(2043&gt;$E94+$F94,IF($D94="Fix",$G94,$G94*(1+$H94)^($F94)),IF($D94="Fix",$G94,$G94*(1+$H94)^(2043-$E94))))))</f>
        <v/>
      </c>
      <c r="AI94" s="16">
        <f>IF($A94="","",IF(2044&lt;$E94,"",IF($D94="Manuell","",IF(2044&gt;$E94+$F94,IF($D94="Fix",$G94,$G94*(1+$H94)^($F94)),IF($D94="Fix",$G94,$G94*(1+$H94)^(2044-$E94))))))</f>
        <v/>
      </c>
      <c r="AJ94" s="16">
        <f>IF($A94="","",IF(2045&lt;$E94,"",IF($D94="Manuell","",IF(2045&gt;$E94+$F94,IF($D94="Fix",$G94,$G94*(1+$H94)^($F94)),IF($D94="Fix",$G94,$G94*(1+$H94)^(2045-$E94))))))</f>
        <v/>
      </c>
      <c r="AK94" s="16">
        <f>IF($A94="","",IF(2046&lt;$E94,"",IF($D94="Manuell","",IF(2046&gt;$E94+$F94,IF($D94="Fix",$G94,$G94*(1+$H94)^($F94)),IF($D94="Fix",$G94,$G94*(1+$H94)^(2046-$E94))))))</f>
        <v/>
      </c>
      <c r="AL94" s="16">
        <f>IF($A94="","",IF(2047&lt;$E94,"",IF($D94="Manuell","",IF(2047&gt;$E94+$F94,IF($D94="Fix",$G94,$G94*(1+$H94)^($F94)),IF($D94="Fix",$G94,$G94*(1+$H94)^(2047-$E94))))))</f>
        <v/>
      </c>
      <c r="AM94" s="16">
        <f>IF($A94="","",IF(2048&lt;$E94,"",IF($D94="Manuell","",IF(2048&gt;$E94+$F94,IF($D94="Fix",$G94,$G94*(1+$H94)^($F94)),IF($D94="Fix",$G94,$G94*(1+$H94)^(2048-$E94))))))</f>
        <v/>
      </c>
      <c r="AN94" s="16">
        <f>IF($A94="","",IF(2049&lt;$E94,"",IF($D94="Manuell","",IF(2049&gt;$E94+$F94,IF($D94="Fix",$G94,$G94*(1+$H94)^($F94)),IF($D94="Fix",$G94,$G94*(1+$H94)^(2049-$E94))))))</f>
        <v/>
      </c>
      <c r="AO94" s="16">
        <f>IF($A94="","",IF(2050&lt;$E94,"",IF($D94="Manuell","",IF(2050&gt;$E94+$F94,IF($D94="Fix",$G94,$G94*(1+$H94)^($F94)),IF($D94="Fix",$G94,$G94*(1+$H94)^(2050-$E94))))))</f>
        <v/>
      </c>
      <c r="AP94" s="16">
        <f>IF($A94="","",IF(2051&lt;$E94,"",IF($D94="Manuell","",IF(2051&gt;$E94+$F94,IF($D94="Fix",$G94,$G94*(1+$H94)^($F94)),IF($D94="Fix",$G94,$G94*(1+$H94)^(2051-$E94))))))</f>
        <v/>
      </c>
      <c r="AQ94" s="16">
        <f>IF($A94="","",IF(2052&lt;$E94,"",IF($D94="Manuell","",IF(2052&gt;$E94+$F94,IF($D94="Fix",$G94,$G94*(1+$H94)^($F94)),IF($D94="Fix",$G94,$G94*(1+$H94)^(2052-$E94))))))</f>
        <v/>
      </c>
      <c r="AR94" s="16">
        <f>IF($A94="","",IF(2053&lt;$E94,"",IF($D94="Manuell","",IF(2053&gt;$E94+$F94,IF($D94="Fix",$G94,$G94*(1+$H94)^($F94)),IF($D94="Fix",$G94,$G94*(1+$H94)^(2053-$E94))))))</f>
        <v/>
      </c>
      <c r="AS94" s="16">
        <f>IF($A94="","",IF(2054&lt;$E94,"",IF($D94="Manuell","",IF(2054&gt;$E94+$F94,IF($D94="Fix",$G94,$G94*(1+$H94)^($F94)),IF($D94="Fix",$G94,$G94*(1+$H94)^(2054-$E94))))))</f>
        <v/>
      </c>
      <c r="AT94" s="16">
        <f>IF($A94="","",IF(2055&lt;$E94,"",IF($D94="Manuell","",IF(2055&gt;$E94+$F94,IF($D94="Fix",$G94,$G94*(1+$H94)^($F94)),IF($D94="Fix",$G94,$G94*(1+$H94)^(2055-$E94))))))</f>
        <v/>
      </c>
    </row>
    <row r="95">
      <c r="A95" s="14" t="inlineStr"/>
      <c r="B95" s="14" t="inlineStr"/>
      <c r="C95" s="14" t="inlineStr"/>
      <c r="D95" s="14" t="inlineStr"/>
      <c r="E95" s="11" t="inlineStr"/>
      <c r="F95" s="11" t="inlineStr"/>
      <c r="G95" s="15" t="inlineStr"/>
      <c r="H95" s="15" t="inlineStr"/>
      <c r="I95" s="16">
        <f>IF($A95="","",IF(2018&lt;$E95,"",IF($D95="Manuell","",IF(2018&gt;$E95+$F95,IF($D95="Fix",$G95,$G95*(1+$H95)^($F95)),IF($D95="Fix",$G95,$G95*(1+$H95)^(2018-$E95))))))</f>
        <v/>
      </c>
      <c r="J95" s="16">
        <f>IF($A95="","",IF(2019&lt;$E95,"",IF($D95="Manuell","",IF(2019&gt;$E95+$F95,IF($D95="Fix",$G95,$G95*(1+$H95)^($F95)),IF($D95="Fix",$G95,$G95*(1+$H95)^(2019-$E95))))))</f>
        <v/>
      </c>
      <c r="K95" s="16">
        <f>IF($A95="","",IF(2020&lt;$E95,"",IF($D95="Manuell","",IF(2020&gt;$E95+$F95,IF($D95="Fix",$G95,$G95*(1+$H95)^($F95)),IF($D95="Fix",$G95,$G95*(1+$H95)^(2020-$E95))))))</f>
        <v/>
      </c>
      <c r="L95" s="16">
        <f>IF($A95="","",IF(2021&lt;$E95,"",IF($D95="Manuell","",IF(2021&gt;$E95+$F95,IF($D95="Fix",$G95,$G95*(1+$H95)^($F95)),IF($D95="Fix",$G95,$G95*(1+$H95)^(2021-$E95))))))</f>
        <v/>
      </c>
      <c r="M95" s="16">
        <f>IF($A95="","",IF(2022&lt;$E95,"",IF($D95="Manuell","",IF(2022&gt;$E95+$F95,IF($D95="Fix",$G95,$G95*(1+$H95)^($F95)),IF($D95="Fix",$G95,$G95*(1+$H95)^(2022-$E95))))))</f>
        <v/>
      </c>
      <c r="N95" s="16">
        <f>IF($A95="","",IF(2023&lt;$E95,"",IF($D95="Manuell","",IF(2023&gt;$E95+$F95,IF($D95="Fix",$G95,$G95*(1+$H95)^($F95)),IF($D95="Fix",$G95,$G95*(1+$H95)^(2023-$E95))))))</f>
        <v/>
      </c>
      <c r="O95" s="16">
        <f>IF($A95="","",IF(2024&lt;$E95,"",IF($D95="Manuell","",IF(2024&gt;$E95+$F95,IF($D95="Fix",$G95,$G95*(1+$H95)^($F95)),IF($D95="Fix",$G95,$G95*(1+$H95)^(2024-$E95))))))</f>
        <v/>
      </c>
      <c r="P95" s="16">
        <f>IF($A95="","",IF(2025&lt;$E95,"",IF($D95="Manuell","",IF(2025&gt;$E95+$F95,IF($D95="Fix",$G95,$G95*(1+$H95)^($F95)),IF($D95="Fix",$G95,$G95*(1+$H95)^(2025-$E95))))))</f>
        <v/>
      </c>
      <c r="Q95" s="16">
        <f>IF($A95="","",IF(2026&lt;$E95,"",IF($D95="Manuell","",IF(2026&gt;$E95+$F95,IF($D95="Fix",$G95,$G95*(1+$H95)^($F95)),IF($D95="Fix",$G95,$G95*(1+$H95)^(2026-$E95))))))</f>
        <v/>
      </c>
      <c r="R95" s="16">
        <f>IF($A95="","",IF(2027&lt;$E95,"",IF($D95="Manuell","",IF(2027&gt;$E95+$F95,IF($D95="Fix",$G95,$G95*(1+$H95)^($F95)),IF($D95="Fix",$G95,$G95*(1+$H95)^(2027-$E95))))))</f>
        <v/>
      </c>
      <c r="S95" s="16">
        <f>IF($A95="","",IF(2028&lt;$E95,"",IF($D95="Manuell","",IF(2028&gt;$E95+$F95,IF($D95="Fix",$G95,$G95*(1+$H95)^($F95)),IF($D95="Fix",$G95,$G95*(1+$H95)^(2028-$E95))))))</f>
        <v/>
      </c>
      <c r="T95" s="16">
        <f>IF($A95="","",IF(2029&lt;$E95,"",IF($D95="Manuell","",IF(2029&gt;$E95+$F95,IF($D95="Fix",$G95,$G95*(1+$H95)^($F95)),IF($D95="Fix",$G95,$G95*(1+$H95)^(2029-$E95))))))</f>
        <v/>
      </c>
      <c r="U95" s="16">
        <f>IF($A95="","",IF(2030&lt;$E95,"",IF($D95="Manuell","",IF(2030&gt;$E95+$F95,IF($D95="Fix",$G95,$G95*(1+$H95)^($F95)),IF($D95="Fix",$G95,$G95*(1+$H95)^(2030-$E95))))))</f>
        <v/>
      </c>
      <c r="V95" s="16">
        <f>IF($A95="","",IF(2031&lt;$E95,"",IF($D95="Manuell","",IF(2031&gt;$E95+$F95,IF($D95="Fix",$G95,$G95*(1+$H95)^($F95)),IF($D95="Fix",$G95,$G95*(1+$H95)^(2031-$E95))))))</f>
        <v/>
      </c>
      <c r="W95" s="16">
        <f>IF($A95="","",IF(2032&lt;$E95,"",IF($D95="Manuell","",IF(2032&gt;$E95+$F95,IF($D95="Fix",$G95,$G95*(1+$H95)^($F95)),IF($D95="Fix",$G95,$G95*(1+$H95)^(2032-$E95))))))</f>
        <v/>
      </c>
      <c r="X95" s="16">
        <f>IF($A95="","",IF(2033&lt;$E95,"",IF($D95="Manuell","",IF(2033&gt;$E95+$F95,IF($D95="Fix",$G95,$G95*(1+$H95)^($F95)),IF($D95="Fix",$G95,$G95*(1+$H95)^(2033-$E95))))))</f>
        <v/>
      </c>
      <c r="Y95" s="16">
        <f>IF($A95="","",IF(2034&lt;$E95,"",IF($D95="Manuell","",IF(2034&gt;$E95+$F95,IF($D95="Fix",$G95,$G95*(1+$H95)^($F95)),IF($D95="Fix",$G95,$G95*(1+$H95)^(2034-$E95))))))</f>
        <v/>
      </c>
      <c r="Z95" s="16">
        <f>IF($A95="","",IF(2035&lt;$E95,"",IF($D95="Manuell","",IF(2035&gt;$E95+$F95,IF($D95="Fix",$G95,$G95*(1+$H95)^($F95)),IF($D95="Fix",$G95,$G95*(1+$H95)^(2035-$E95))))))</f>
        <v/>
      </c>
      <c r="AA95" s="16">
        <f>IF($A95="","",IF(2036&lt;$E95,"",IF($D95="Manuell","",IF(2036&gt;$E95+$F95,IF($D95="Fix",$G95,$G95*(1+$H95)^($F95)),IF($D95="Fix",$G95,$G95*(1+$H95)^(2036-$E95))))))</f>
        <v/>
      </c>
      <c r="AB95" s="16">
        <f>IF($A95="","",IF(2037&lt;$E95,"",IF($D95="Manuell","",IF(2037&gt;$E95+$F95,IF($D95="Fix",$G95,$G95*(1+$H95)^($F95)),IF($D95="Fix",$G95,$G95*(1+$H95)^(2037-$E95))))))</f>
        <v/>
      </c>
      <c r="AC95" s="16">
        <f>IF($A95="","",IF(2038&lt;$E95,"",IF($D95="Manuell","",IF(2038&gt;$E95+$F95,IF($D95="Fix",$G95,$G95*(1+$H95)^($F95)),IF($D95="Fix",$G95,$G95*(1+$H95)^(2038-$E95))))))</f>
        <v/>
      </c>
      <c r="AD95" s="16">
        <f>IF($A95="","",IF(2039&lt;$E95,"",IF($D95="Manuell","",IF(2039&gt;$E95+$F95,IF($D95="Fix",$G95,$G95*(1+$H95)^($F95)),IF($D95="Fix",$G95,$G95*(1+$H95)^(2039-$E95))))))</f>
        <v/>
      </c>
      <c r="AE95" s="16">
        <f>IF($A95="","",IF(2040&lt;$E95,"",IF($D95="Manuell","",IF(2040&gt;$E95+$F95,IF($D95="Fix",$G95,$G95*(1+$H95)^($F95)),IF($D95="Fix",$G95,$G95*(1+$H95)^(2040-$E95))))))</f>
        <v/>
      </c>
      <c r="AF95" s="16">
        <f>IF($A95="","",IF(2041&lt;$E95,"",IF($D95="Manuell","",IF(2041&gt;$E95+$F95,IF($D95="Fix",$G95,$G95*(1+$H95)^($F95)),IF($D95="Fix",$G95,$G95*(1+$H95)^(2041-$E95))))))</f>
        <v/>
      </c>
      <c r="AG95" s="16">
        <f>IF($A95="","",IF(2042&lt;$E95,"",IF($D95="Manuell","",IF(2042&gt;$E95+$F95,IF($D95="Fix",$G95,$G95*(1+$H95)^($F95)),IF($D95="Fix",$G95,$G95*(1+$H95)^(2042-$E95))))))</f>
        <v/>
      </c>
      <c r="AH95" s="16">
        <f>IF($A95="","",IF(2043&lt;$E95,"",IF($D95="Manuell","",IF(2043&gt;$E95+$F95,IF($D95="Fix",$G95,$G95*(1+$H95)^($F95)),IF($D95="Fix",$G95,$G95*(1+$H95)^(2043-$E95))))))</f>
        <v/>
      </c>
      <c r="AI95" s="16">
        <f>IF($A95="","",IF(2044&lt;$E95,"",IF($D95="Manuell","",IF(2044&gt;$E95+$F95,IF($D95="Fix",$G95,$G95*(1+$H95)^($F95)),IF($D95="Fix",$G95,$G95*(1+$H95)^(2044-$E95))))))</f>
        <v/>
      </c>
      <c r="AJ95" s="16">
        <f>IF($A95="","",IF(2045&lt;$E95,"",IF($D95="Manuell","",IF(2045&gt;$E95+$F95,IF($D95="Fix",$G95,$G95*(1+$H95)^($F95)),IF($D95="Fix",$G95,$G95*(1+$H95)^(2045-$E95))))))</f>
        <v/>
      </c>
      <c r="AK95" s="16">
        <f>IF($A95="","",IF(2046&lt;$E95,"",IF($D95="Manuell","",IF(2046&gt;$E95+$F95,IF($D95="Fix",$G95,$G95*(1+$H95)^($F95)),IF($D95="Fix",$G95,$G95*(1+$H95)^(2046-$E95))))))</f>
        <v/>
      </c>
      <c r="AL95" s="16">
        <f>IF($A95="","",IF(2047&lt;$E95,"",IF($D95="Manuell","",IF(2047&gt;$E95+$F95,IF($D95="Fix",$G95,$G95*(1+$H95)^($F95)),IF($D95="Fix",$G95,$G95*(1+$H95)^(2047-$E95))))))</f>
        <v/>
      </c>
      <c r="AM95" s="16">
        <f>IF($A95="","",IF(2048&lt;$E95,"",IF($D95="Manuell","",IF(2048&gt;$E95+$F95,IF($D95="Fix",$G95,$G95*(1+$H95)^($F95)),IF($D95="Fix",$G95,$G95*(1+$H95)^(2048-$E95))))))</f>
        <v/>
      </c>
      <c r="AN95" s="16">
        <f>IF($A95="","",IF(2049&lt;$E95,"",IF($D95="Manuell","",IF(2049&gt;$E95+$F95,IF($D95="Fix",$G95,$G95*(1+$H95)^($F95)),IF($D95="Fix",$G95,$G95*(1+$H95)^(2049-$E95))))))</f>
        <v/>
      </c>
      <c r="AO95" s="16">
        <f>IF($A95="","",IF(2050&lt;$E95,"",IF($D95="Manuell","",IF(2050&gt;$E95+$F95,IF($D95="Fix",$G95,$G95*(1+$H95)^($F95)),IF($D95="Fix",$G95,$G95*(1+$H95)^(2050-$E95))))))</f>
        <v/>
      </c>
      <c r="AP95" s="16">
        <f>IF($A95="","",IF(2051&lt;$E95,"",IF($D95="Manuell","",IF(2051&gt;$E95+$F95,IF($D95="Fix",$G95,$G95*(1+$H95)^($F95)),IF($D95="Fix",$G95,$G95*(1+$H95)^(2051-$E95))))))</f>
        <v/>
      </c>
      <c r="AQ95" s="16">
        <f>IF($A95="","",IF(2052&lt;$E95,"",IF($D95="Manuell","",IF(2052&gt;$E95+$F95,IF($D95="Fix",$G95,$G95*(1+$H95)^($F95)),IF($D95="Fix",$G95,$G95*(1+$H95)^(2052-$E95))))))</f>
        <v/>
      </c>
      <c r="AR95" s="16">
        <f>IF($A95="","",IF(2053&lt;$E95,"",IF($D95="Manuell","",IF(2053&gt;$E95+$F95,IF($D95="Fix",$G95,$G95*(1+$H95)^($F95)),IF($D95="Fix",$G95,$G95*(1+$H95)^(2053-$E95))))))</f>
        <v/>
      </c>
      <c r="AS95" s="16">
        <f>IF($A95="","",IF(2054&lt;$E95,"",IF($D95="Manuell","",IF(2054&gt;$E95+$F95,IF($D95="Fix",$G95,$G95*(1+$H95)^($F95)),IF($D95="Fix",$G95,$G95*(1+$H95)^(2054-$E95))))))</f>
        <v/>
      </c>
      <c r="AT95" s="16">
        <f>IF($A95="","",IF(2055&lt;$E95,"",IF($D95="Manuell","",IF(2055&gt;$E95+$F95,IF($D95="Fix",$G95,$G95*(1+$H95)^($F95)),IF($D95="Fix",$G95,$G95*(1+$H95)^(2055-$E95))))))</f>
        <v/>
      </c>
    </row>
    <row r="96">
      <c r="A96" s="14" t="inlineStr"/>
      <c r="B96" s="14" t="inlineStr"/>
      <c r="C96" s="14" t="inlineStr"/>
      <c r="D96" s="14" t="inlineStr"/>
      <c r="E96" s="11" t="inlineStr"/>
      <c r="F96" s="11" t="inlineStr"/>
      <c r="G96" s="15" t="inlineStr"/>
      <c r="H96" s="15" t="inlineStr"/>
      <c r="I96" s="16">
        <f>IF($A96="","",IF(2018&lt;$E96,"",IF($D96="Manuell","",IF(2018&gt;$E96+$F96,IF($D96="Fix",$G96,$G96*(1+$H96)^($F96)),IF($D96="Fix",$G96,$G96*(1+$H96)^(2018-$E96))))))</f>
        <v/>
      </c>
      <c r="J96" s="16">
        <f>IF($A96="","",IF(2019&lt;$E96,"",IF($D96="Manuell","",IF(2019&gt;$E96+$F96,IF($D96="Fix",$G96,$G96*(1+$H96)^($F96)),IF($D96="Fix",$G96,$G96*(1+$H96)^(2019-$E96))))))</f>
        <v/>
      </c>
      <c r="K96" s="16">
        <f>IF($A96="","",IF(2020&lt;$E96,"",IF($D96="Manuell","",IF(2020&gt;$E96+$F96,IF($D96="Fix",$G96,$G96*(1+$H96)^($F96)),IF($D96="Fix",$G96,$G96*(1+$H96)^(2020-$E96))))))</f>
        <v/>
      </c>
      <c r="L96" s="16">
        <f>IF($A96="","",IF(2021&lt;$E96,"",IF($D96="Manuell","",IF(2021&gt;$E96+$F96,IF($D96="Fix",$G96,$G96*(1+$H96)^($F96)),IF($D96="Fix",$G96,$G96*(1+$H96)^(2021-$E96))))))</f>
        <v/>
      </c>
      <c r="M96" s="16">
        <f>IF($A96="","",IF(2022&lt;$E96,"",IF($D96="Manuell","",IF(2022&gt;$E96+$F96,IF($D96="Fix",$G96,$G96*(1+$H96)^($F96)),IF($D96="Fix",$G96,$G96*(1+$H96)^(2022-$E96))))))</f>
        <v/>
      </c>
      <c r="N96" s="16">
        <f>IF($A96="","",IF(2023&lt;$E96,"",IF($D96="Manuell","",IF(2023&gt;$E96+$F96,IF($D96="Fix",$G96,$G96*(1+$H96)^($F96)),IF($D96="Fix",$G96,$G96*(1+$H96)^(2023-$E96))))))</f>
        <v/>
      </c>
      <c r="O96" s="16">
        <f>IF($A96="","",IF(2024&lt;$E96,"",IF($D96="Manuell","",IF(2024&gt;$E96+$F96,IF($D96="Fix",$G96,$G96*(1+$H96)^($F96)),IF($D96="Fix",$G96,$G96*(1+$H96)^(2024-$E96))))))</f>
        <v/>
      </c>
      <c r="P96" s="16">
        <f>IF($A96="","",IF(2025&lt;$E96,"",IF($D96="Manuell","",IF(2025&gt;$E96+$F96,IF($D96="Fix",$G96,$G96*(1+$H96)^($F96)),IF($D96="Fix",$G96,$G96*(1+$H96)^(2025-$E96))))))</f>
        <v/>
      </c>
      <c r="Q96" s="16">
        <f>IF($A96="","",IF(2026&lt;$E96,"",IF($D96="Manuell","",IF(2026&gt;$E96+$F96,IF($D96="Fix",$G96,$G96*(1+$H96)^($F96)),IF($D96="Fix",$G96,$G96*(1+$H96)^(2026-$E96))))))</f>
        <v/>
      </c>
      <c r="R96" s="16">
        <f>IF($A96="","",IF(2027&lt;$E96,"",IF($D96="Manuell","",IF(2027&gt;$E96+$F96,IF($D96="Fix",$G96,$G96*(1+$H96)^($F96)),IF($D96="Fix",$G96,$G96*(1+$H96)^(2027-$E96))))))</f>
        <v/>
      </c>
      <c r="S96" s="16">
        <f>IF($A96="","",IF(2028&lt;$E96,"",IF($D96="Manuell","",IF(2028&gt;$E96+$F96,IF($D96="Fix",$G96,$G96*(1+$H96)^($F96)),IF($D96="Fix",$G96,$G96*(1+$H96)^(2028-$E96))))))</f>
        <v/>
      </c>
      <c r="T96" s="16">
        <f>IF($A96="","",IF(2029&lt;$E96,"",IF($D96="Manuell","",IF(2029&gt;$E96+$F96,IF($D96="Fix",$G96,$G96*(1+$H96)^($F96)),IF($D96="Fix",$G96,$G96*(1+$H96)^(2029-$E96))))))</f>
        <v/>
      </c>
      <c r="U96" s="16">
        <f>IF($A96="","",IF(2030&lt;$E96,"",IF($D96="Manuell","",IF(2030&gt;$E96+$F96,IF($D96="Fix",$G96,$G96*(1+$H96)^($F96)),IF($D96="Fix",$G96,$G96*(1+$H96)^(2030-$E96))))))</f>
        <v/>
      </c>
      <c r="V96" s="16">
        <f>IF($A96="","",IF(2031&lt;$E96,"",IF($D96="Manuell","",IF(2031&gt;$E96+$F96,IF($D96="Fix",$G96,$G96*(1+$H96)^($F96)),IF($D96="Fix",$G96,$G96*(1+$H96)^(2031-$E96))))))</f>
        <v/>
      </c>
      <c r="W96" s="16">
        <f>IF($A96="","",IF(2032&lt;$E96,"",IF($D96="Manuell","",IF(2032&gt;$E96+$F96,IF($D96="Fix",$G96,$G96*(1+$H96)^($F96)),IF($D96="Fix",$G96,$G96*(1+$H96)^(2032-$E96))))))</f>
        <v/>
      </c>
      <c r="X96" s="16">
        <f>IF($A96="","",IF(2033&lt;$E96,"",IF($D96="Manuell","",IF(2033&gt;$E96+$F96,IF($D96="Fix",$G96,$G96*(1+$H96)^($F96)),IF($D96="Fix",$G96,$G96*(1+$H96)^(2033-$E96))))))</f>
        <v/>
      </c>
      <c r="Y96" s="16">
        <f>IF($A96="","",IF(2034&lt;$E96,"",IF($D96="Manuell","",IF(2034&gt;$E96+$F96,IF($D96="Fix",$G96,$G96*(1+$H96)^($F96)),IF($D96="Fix",$G96,$G96*(1+$H96)^(2034-$E96))))))</f>
        <v/>
      </c>
      <c r="Z96" s="16">
        <f>IF($A96="","",IF(2035&lt;$E96,"",IF($D96="Manuell","",IF(2035&gt;$E96+$F96,IF($D96="Fix",$G96,$G96*(1+$H96)^($F96)),IF($D96="Fix",$G96,$G96*(1+$H96)^(2035-$E96))))))</f>
        <v/>
      </c>
      <c r="AA96" s="16">
        <f>IF($A96="","",IF(2036&lt;$E96,"",IF($D96="Manuell","",IF(2036&gt;$E96+$F96,IF($D96="Fix",$G96,$G96*(1+$H96)^($F96)),IF($D96="Fix",$G96,$G96*(1+$H96)^(2036-$E96))))))</f>
        <v/>
      </c>
      <c r="AB96" s="16">
        <f>IF($A96="","",IF(2037&lt;$E96,"",IF($D96="Manuell","",IF(2037&gt;$E96+$F96,IF($D96="Fix",$G96,$G96*(1+$H96)^($F96)),IF($D96="Fix",$G96,$G96*(1+$H96)^(2037-$E96))))))</f>
        <v/>
      </c>
      <c r="AC96" s="16">
        <f>IF($A96="","",IF(2038&lt;$E96,"",IF($D96="Manuell","",IF(2038&gt;$E96+$F96,IF($D96="Fix",$G96,$G96*(1+$H96)^($F96)),IF($D96="Fix",$G96,$G96*(1+$H96)^(2038-$E96))))))</f>
        <v/>
      </c>
      <c r="AD96" s="16">
        <f>IF($A96="","",IF(2039&lt;$E96,"",IF($D96="Manuell","",IF(2039&gt;$E96+$F96,IF($D96="Fix",$G96,$G96*(1+$H96)^($F96)),IF($D96="Fix",$G96,$G96*(1+$H96)^(2039-$E96))))))</f>
        <v/>
      </c>
      <c r="AE96" s="16">
        <f>IF($A96="","",IF(2040&lt;$E96,"",IF($D96="Manuell","",IF(2040&gt;$E96+$F96,IF($D96="Fix",$G96,$G96*(1+$H96)^($F96)),IF($D96="Fix",$G96,$G96*(1+$H96)^(2040-$E96))))))</f>
        <v/>
      </c>
      <c r="AF96" s="16">
        <f>IF($A96="","",IF(2041&lt;$E96,"",IF($D96="Manuell","",IF(2041&gt;$E96+$F96,IF($D96="Fix",$G96,$G96*(1+$H96)^($F96)),IF($D96="Fix",$G96,$G96*(1+$H96)^(2041-$E96))))))</f>
        <v/>
      </c>
      <c r="AG96" s="16">
        <f>IF($A96="","",IF(2042&lt;$E96,"",IF($D96="Manuell","",IF(2042&gt;$E96+$F96,IF($D96="Fix",$G96,$G96*(1+$H96)^($F96)),IF($D96="Fix",$G96,$G96*(1+$H96)^(2042-$E96))))))</f>
        <v/>
      </c>
      <c r="AH96" s="16">
        <f>IF($A96="","",IF(2043&lt;$E96,"",IF($D96="Manuell","",IF(2043&gt;$E96+$F96,IF($D96="Fix",$G96,$G96*(1+$H96)^($F96)),IF($D96="Fix",$G96,$G96*(1+$H96)^(2043-$E96))))))</f>
        <v/>
      </c>
      <c r="AI96" s="16">
        <f>IF($A96="","",IF(2044&lt;$E96,"",IF($D96="Manuell","",IF(2044&gt;$E96+$F96,IF($D96="Fix",$G96,$G96*(1+$H96)^($F96)),IF($D96="Fix",$G96,$G96*(1+$H96)^(2044-$E96))))))</f>
        <v/>
      </c>
      <c r="AJ96" s="16">
        <f>IF($A96="","",IF(2045&lt;$E96,"",IF($D96="Manuell","",IF(2045&gt;$E96+$F96,IF($D96="Fix",$G96,$G96*(1+$H96)^($F96)),IF($D96="Fix",$G96,$G96*(1+$H96)^(2045-$E96))))))</f>
        <v/>
      </c>
      <c r="AK96" s="16">
        <f>IF($A96="","",IF(2046&lt;$E96,"",IF($D96="Manuell","",IF(2046&gt;$E96+$F96,IF($D96="Fix",$G96,$G96*(1+$H96)^($F96)),IF($D96="Fix",$G96,$G96*(1+$H96)^(2046-$E96))))))</f>
        <v/>
      </c>
      <c r="AL96" s="16">
        <f>IF($A96="","",IF(2047&lt;$E96,"",IF($D96="Manuell","",IF(2047&gt;$E96+$F96,IF($D96="Fix",$G96,$G96*(1+$H96)^($F96)),IF($D96="Fix",$G96,$G96*(1+$H96)^(2047-$E96))))))</f>
        <v/>
      </c>
      <c r="AM96" s="16">
        <f>IF($A96="","",IF(2048&lt;$E96,"",IF($D96="Manuell","",IF(2048&gt;$E96+$F96,IF($D96="Fix",$G96,$G96*(1+$H96)^($F96)),IF($D96="Fix",$G96,$G96*(1+$H96)^(2048-$E96))))))</f>
        <v/>
      </c>
      <c r="AN96" s="16">
        <f>IF($A96="","",IF(2049&lt;$E96,"",IF($D96="Manuell","",IF(2049&gt;$E96+$F96,IF($D96="Fix",$G96,$G96*(1+$H96)^($F96)),IF($D96="Fix",$G96,$G96*(1+$H96)^(2049-$E96))))))</f>
        <v/>
      </c>
      <c r="AO96" s="16">
        <f>IF($A96="","",IF(2050&lt;$E96,"",IF($D96="Manuell","",IF(2050&gt;$E96+$F96,IF($D96="Fix",$G96,$G96*(1+$H96)^($F96)),IF($D96="Fix",$G96,$G96*(1+$H96)^(2050-$E96))))))</f>
        <v/>
      </c>
      <c r="AP96" s="16">
        <f>IF($A96="","",IF(2051&lt;$E96,"",IF($D96="Manuell","",IF(2051&gt;$E96+$F96,IF($D96="Fix",$G96,$G96*(1+$H96)^($F96)),IF($D96="Fix",$G96,$G96*(1+$H96)^(2051-$E96))))))</f>
        <v/>
      </c>
      <c r="AQ96" s="16">
        <f>IF($A96="","",IF(2052&lt;$E96,"",IF($D96="Manuell","",IF(2052&gt;$E96+$F96,IF($D96="Fix",$G96,$G96*(1+$H96)^($F96)),IF($D96="Fix",$G96,$G96*(1+$H96)^(2052-$E96))))))</f>
        <v/>
      </c>
      <c r="AR96" s="16">
        <f>IF($A96="","",IF(2053&lt;$E96,"",IF($D96="Manuell","",IF(2053&gt;$E96+$F96,IF($D96="Fix",$G96,$G96*(1+$H96)^($F96)),IF($D96="Fix",$G96,$G96*(1+$H96)^(2053-$E96))))))</f>
        <v/>
      </c>
      <c r="AS96" s="16">
        <f>IF($A96="","",IF(2054&lt;$E96,"",IF($D96="Manuell","",IF(2054&gt;$E96+$F96,IF($D96="Fix",$G96,$G96*(1+$H96)^($F96)),IF($D96="Fix",$G96,$G96*(1+$H96)^(2054-$E96))))))</f>
        <v/>
      </c>
      <c r="AT96" s="16">
        <f>IF($A96="","",IF(2055&lt;$E96,"",IF($D96="Manuell","",IF(2055&gt;$E96+$F96,IF($D96="Fix",$G96,$G96*(1+$H96)^($F96)),IF($D96="Fix",$G96,$G96*(1+$H96)^(2055-$E96))))))</f>
        <v/>
      </c>
    </row>
    <row r="97">
      <c r="A97" s="14" t="inlineStr"/>
      <c r="B97" s="14" t="inlineStr"/>
      <c r="C97" s="14" t="inlineStr"/>
      <c r="D97" s="14" t="inlineStr"/>
      <c r="E97" s="11" t="inlineStr"/>
      <c r="F97" s="11" t="inlineStr"/>
      <c r="G97" s="15" t="inlineStr"/>
      <c r="H97" s="15" t="inlineStr"/>
      <c r="I97" s="16">
        <f>IF($A97="","",IF(2018&lt;$E97,"",IF($D97="Manuell","",IF(2018&gt;$E97+$F97,IF($D97="Fix",$G97,$G97*(1+$H97)^($F97)),IF($D97="Fix",$G97,$G97*(1+$H97)^(2018-$E97))))))</f>
        <v/>
      </c>
      <c r="J97" s="16">
        <f>IF($A97="","",IF(2019&lt;$E97,"",IF($D97="Manuell","",IF(2019&gt;$E97+$F97,IF($D97="Fix",$G97,$G97*(1+$H97)^($F97)),IF($D97="Fix",$G97,$G97*(1+$H97)^(2019-$E97))))))</f>
        <v/>
      </c>
      <c r="K97" s="16">
        <f>IF($A97="","",IF(2020&lt;$E97,"",IF($D97="Manuell","",IF(2020&gt;$E97+$F97,IF($D97="Fix",$G97,$G97*(1+$H97)^($F97)),IF($D97="Fix",$G97,$G97*(1+$H97)^(2020-$E97))))))</f>
        <v/>
      </c>
      <c r="L97" s="16">
        <f>IF($A97="","",IF(2021&lt;$E97,"",IF($D97="Manuell","",IF(2021&gt;$E97+$F97,IF($D97="Fix",$G97,$G97*(1+$H97)^($F97)),IF($D97="Fix",$G97,$G97*(1+$H97)^(2021-$E97))))))</f>
        <v/>
      </c>
      <c r="M97" s="16">
        <f>IF($A97="","",IF(2022&lt;$E97,"",IF($D97="Manuell","",IF(2022&gt;$E97+$F97,IF($D97="Fix",$G97,$G97*(1+$H97)^($F97)),IF($D97="Fix",$G97,$G97*(1+$H97)^(2022-$E97))))))</f>
        <v/>
      </c>
      <c r="N97" s="16">
        <f>IF($A97="","",IF(2023&lt;$E97,"",IF($D97="Manuell","",IF(2023&gt;$E97+$F97,IF($D97="Fix",$G97,$G97*(1+$H97)^($F97)),IF($D97="Fix",$G97,$G97*(1+$H97)^(2023-$E97))))))</f>
        <v/>
      </c>
      <c r="O97" s="16">
        <f>IF($A97="","",IF(2024&lt;$E97,"",IF($D97="Manuell","",IF(2024&gt;$E97+$F97,IF($D97="Fix",$G97,$G97*(1+$H97)^($F97)),IF($D97="Fix",$G97,$G97*(1+$H97)^(2024-$E97))))))</f>
        <v/>
      </c>
      <c r="P97" s="16">
        <f>IF($A97="","",IF(2025&lt;$E97,"",IF($D97="Manuell","",IF(2025&gt;$E97+$F97,IF($D97="Fix",$G97,$G97*(1+$H97)^($F97)),IF($D97="Fix",$G97,$G97*(1+$H97)^(2025-$E97))))))</f>
        <v/>
      </c>
      <c r="Q97" s="16">
        <f>IF($A97="","",IF(2026&lt;$E97,"",IF($D97="Manuell","",IF(2026&gt;$E97+$F97,IF($D97="Fix",$G97,$G97*(1+$H97)^($F97)),IF($D97="Fix",$G97,$G97*(1+$H97)^(2026-$E97))))))</f>
        <v/>
      </c>
      <c r="R97" s="16">
        <f>IF($A97="","",IF(2027&lt;$E97,"",IF($D97="Manuell","",IF(2027&gt;$E97+$F97,IF($D97="Fix",$G97,$G97*(1+$H97)^($F97)),IF($D97="Fix",$G97,$G97*(1+$H97)^(2027-$E97))))))</f>
        <v/>
      </c>
      <c r="S97" s="16">
        <f>IF($A97="","",IF(2028&lt;$E97,"",IF($D97="Manuell","",IF(2028&gt;$E97+$F97,IF($D97="Fix",$G97,$G97*(1+$H97)^($F97)),IF($D97="Fix",$G97,$G97*(1+$H97)^(2028-$E97))))))</f>
        <v/>
      </c>
      <c r="T97" s="16">
        <f>IF($A97="","",IF(2029&lt;$E97,"",IF($D97="Manuell","",IF(2029&gt;$E97+$F97,IF($D97="Fix",$G97,$G97*(1+$H97)^($F97)),IF($D97="Fix",$G97,$G97*(1+$H97)^(2029-$E97))))))</f>
        <v/>
      </c>
      <c r="U97" s="16">
        <f>IF($A97="","",IF(2030&lt;$E97,"",IF($D97="Manuell","",IF(2030&gt;$E97+$F97,IF($D97="Fix",$G97,$G97*(1+$H97)^($F97)),IF($D97="Fix",$G97,$G97*(1+$H97)^(2030-$E97))))))</f>
        <v/>
      </c>
      <c r="V97" s="16">
        <f>IF($A97="","",IF(2031&lt;$E97,"",IF($D97="Manuell","",IF(2031&gt;$E97+$F97,IF($D97="Fix",$G97,$G97*(1+$H97)^($F97)),IF($D97="Fix",$G97,$G97*(1+$H97)^(2031-$E97))))))</f>
        <v/>
      </c>
      <c r="W97" s="16">
        <f>IF($A97="","",IF(2032&lt;$E97,"",IF($D97="Manuell","",IF(2032&gt;$E97+$F97,IF($D97="Fix",$G97,$G97*(1+$H97)^($F97)),IF($D97="Fix",$G97,$G97*(1+$H97)^(2032-$E97))))))</f>
        <v/>
      </c>
      <c r="X97" s="16">
        <f>IF($A97="","",IF(2033&lt;$E97,"",IF($D97="Manuell","",IF(2033&gt;$E97+$F97,IF($D97="Fix",$G97,$G97*(1+$H97)^($F97)),IF($D97="Fix",$G97,$G97*(1+$H97)^(2033-$E97))))))</f>
        <v/>
      </c>
      <c r="Y97" s="16">
        <f>IF($A97="","",IF(2034&lt;$E97,"",IF($D97="Manuell","",IF(2034&gt;$E97+$F97,IF($D97="Fix",$G97,$G97*(1+$H97)^($F97)),IF($D97="Fix",$G97,$G97*(1+$H97)^(2034-$E97))))))</f>
        <v/>
      </c>
      <c r="Z97" s="16">
        <f>IF($A97="","",IF(2035&lt;$E97,"",IF($D97="Manuell","",IF(2035&gt;$E97+$F97,IF($D97="Fix",$G97,$G97*(1+$H97)^($F97)),IF($D97="Fix",$G97,$G97*(1+$H97)^(2035-$E97))))))</f>
        <v/>
      </c>
      <c r="AA97" s="16">
        <f>IF($A97="","",IF(2036&lt;$E97,"",IF($D97="Manuell","",IF(2036&gt;$E97+$F97,IF($D97="Fix",$G97,$G97*(1+$H97)^($F97)),IF($D97="Fix",$G97,$G97*(1+$H97)^(2036-$E97))))))</f>
        <v/>
      </c>
      <c r="AB97" s="16">
        <f>IF($A97="","",IF(2037&lt;$E97,"",IF($D97="Manuell","",IF(2037&gt;$E97+$F97,IF($D97="Fix",$G97,$G97*(1+$H97)^($F97)),IF($D97="Fix",$G97,$G97*(1+$H97)^(2037-$E97))))))</f>
        <v/>
      </c>
      <c r="AC97" s="16">
        <f>IF($A97="","",IF(2038&lt;$E97,"",IF($D97="Manuell","",IF(2038&gt;$E97+$F97,IF($D97="Fix",$G97,$G97*(1+$H97)^($F97)),IF($D97="Fix",$G97,$G97*(1+$H97)^(2038-$E97))))))</f>
        <v/>
      </c>
      <c r="AD97" s="16">
        <f>IF($A97="","",IF(2039&lt;$E97,"",IF($D97="Manuell","",IF(2039&gt;$E97+$F97,IF($D97="Fix",$G97,$G97*(1+$H97)^($F97)),IF($D97="Fix",$G97,$G97*(1+$H97)^(2039-$E97))))))</f>
        <v/>
      </c>
      <c r="AE97" s="16">
        <f>IF($A97="","",IF(2040&lt;$E97,"",IF($D97="Manuell","",IF(2040&gt;$E97+$F97,IF($D97="Fix",$G97,$G97*(1+$H97)^($F97)),IF($D97="Fix",$G97,$G97*(1+$H97)^(2040-$E97))))))</f>
        <v/>
      </c>
      <c r="AF97" s="16">
        <f>IF($A97="","",IF(2041&lt;$E97,"",IF($D97="Manuell","",IF(2041&gt;$E97+$F97,IF($D97="Fix",$G97,$G97*(1+$H97)^($F97)),IF($D97="Fix",$G97,$G97*(1+$H97)^(2041-$E97))))))</f>
        <v/>
      </c>
      <c r="AG97" s="16">
        <f>IF($A97="","",IF(2042&lt;$E97,"",IF($D97="Manuell","",IF(2042&gt;$E97+$F97,IF($D97="Fix",$G97,$G97*(1+$H97)^($F97)),IF($D97="Fix",$G97,$G97*(1+$H97)^(2042-$E97))))))</f>
        <v/>
      </c>
      <c r="AH97" s="16">
        <f>IF($A97="","",IF(2043&lt;$E97,"",IF($D97="Manuell","",IF(2043&gt;$E97+$F97,IF($D97="Fix",$G97,$G97*(1+$H97)^($F97)),IF($D97="Fix",$G97,$G97*(1+$H97)^(2043-$E97))))))</f>
        <v/>
      </c>
      <c r="AI97" s="16">
        <f>IF($A97="","",IF(2044&lt;$E97,"",IF($D97="Manuell","",IF(2044&gt;$E97+$F97,IF($D97="Fix",$G97,$G97*(1+$H97)^($F97)),IF($D97="Fix",$G97,$G97*(1+$H97)^(2044-$E97))))))</f>
        <v/>
      </c>
      <c r="AJ97" s="16">
        <f>IF($A97="","",IF(2045&lt;$E97,"",IF($D97="Manuell","",IF(2045&gt;$E97+$F97,IF($D97="Fix",$G97,$G97*(1+$H97)^($F97)),IF($D97="Fix",$G97,$G97*(1+$H97)^(2045-$E97))))))</f>
        <v/>
      </c>
      <c r="AK97" s="16">
        <f>IF($A97="","",IF(2046&lt;$E97,"",IF($D97="Manuell","",IF(2046&gt;$E97+$F97,IF($D97="Fix",$G97,$G97*(1+$H97)^($F97)),IF($D97="Fix",$G97,$G97*(1+$H97)^(2046-$E97))))))</f>
        <v/>
      </c>
      <c r="AL97" s="16">
        <f>IF($A97="","",IF(2047&lt;$E97,"",IF($D97="Manuell","",IF(2047&gt;$E97+$F97,IF($D97="Fix",$G97,$G97*(1+$H97)^($F97)),IF($D97="Fix",$G97,$G97*(1+$H97)^(2047-$E97))))))</f>
        <v/>
      </c>
      <c r="AM97" s="16">
        <f>IF($A97="","",IF(2048&lt;$E97,"",IF($D97="Manuell","",IF(2048&gt;$E97+$F97,IF($D97="Fix",$G97,$G97*(1+$H97)^($F97)),IF($D97="Fix",$G97,$G97*(1+$H97)^(2048-$E97))))))</f>
        <v/>
      </c>
      <c r="AN97" s="16">
        <f>IF($A97="","",IF(2049&lt;$E97,"",IF($D97="Manuell","",IF(2049&gt;$E97+$F97,IF($D97="Fix",$G97,$G97*(1+$H97)^($F97)),IF($D97="Fix",$G97,$G97*(1+$H97)^(2049-$E97))))))</f>
        <v/>
      </c>
      <c r="AO97" s="16">
        <f>IF($A97="","",IF(2050&lt;$E97,"",IF($D97="Manuell","",IF(2050&gt;$E97+$F97,IF($D97="Fix",$G97,$G97*(1+$H97)^($F97)),IF($D97="Fix",$G97,$G97*(1+$H97)^(2050-$E97))))))</f>
        <v/>
      </c>
      <c r="AP97" s="16">
        <f>IF($A97="","",IF(2051&lt;$E97,"",IF($D97="Manuell","",IF(2051&gt;$E97+$F97,IF($D97="Fix",$G97,$G97*(1+$H97)^($F97)),IF($D97="Fix",$G97,$G97*(1+$H97)^(2051-$E97))))))</f>
        <v/>
      </c>
      <c r="AQ97" s="16">
        <f>IF($A97="","",IF(2052&lt;$E97,"",IF($D97="Manuell","",IF(2052&gt;$E97+$F97,IF($D97="Fix",$G97,$G97*(1+$H97)^($F97)),IF($D97="Fix",$G97,$G97*(1+$H97)^(2052-$E97))))))</f>
        <v/>
      </c>
      <c r="AR97" s="16">
        <f>IF($A97="","",IF(2053&lt;$E97,"",IF($D97="Manuell","",IF(2053&gt;$E97+$F97,IF($D97="Fix",$G97,$G97*(1+$H97)^($F97)),IF($D97="Fix",$G97,$G97*(1+$H97)^(2053-$E97))))))</f>
        <v/>
      </c>
      <c r="AS97" s="16">
        <f>IF($A97="","",IF(2054&lt;$E97,"",IF($D97="Manuell","",IF(2054&gt;$E97+$F97,IF($D97="Fix",$G97,$G97*(1+$H97)^($F97)),IF($D97="Fix",$G97,$G97*(1+$H97)^(2054-$E97))))))</f>
        <v/>
      </c>
      <c r="AT97" s="16">
        <f>IF($A97="","",IF(2055&lt;$E97,"",IF($D97="Manuell","",IF(2055&gt;$E97+$F97,IF($D97="Fix",$G97,$G97*(1+$H97)^($F97)),IF($D97="Fix",$G97,$G97*(1+$H97)^(2055-$E97))))))</f>
        <v/>
      </c>
    </row>
    <row r="98">
      <c r="A98" s="14" t="inlineStr"/>
      <c r="B98" s="14" t="inlineStr"/>
      <c r="C98" s="14" t="inlineStr"/>
      <c r="D98" s="14" t="inlineStr"/>
      <c r="E98" s="11" t="inlineStr"/>
      <c r="F98" s="11" t="inlineStr"/>
      <c r="G98" s="15" t="inlineStr"/>
      <c r="H98" s="15" t="inlineStr"/>
      <c r="I98" s="16">
        <f>IF($A98="","",IF(2018&lt;$E98,"",IF($D98="Manuell","",IF(2018&gt;$E98+$F98,IF($D98="Fix",$G98,$G98*(1+$H98)^($F98)),IF($D98="Fix",$G98,$G98*(1+$H98)^(2018-$E98))))))</f>
        <v/>
      </c>
      <c r="J98" s="16">
        <f>IF($A98="","",IF(2019&lt;$E98,"",IF($D98="Manuell","",IF(2019&gt;$E98+$F98,IF($D98="Fix",$G98,$G98*(1+$H98)^($F98)),IF($D98="Fix",$G98,$G98*(1+$H98)^(2019-$E98))))))</f>
        <v/>
      </c>
      <c r="K98" s="16">
        <f>IF($A98="","",IF(2020&lt;$E98,"",IF($D98="Manuell","",IF(2020&gt;$E98+$F98,IF($D98="Fix",$G98,$G98*(1+$H98)^($F98)),IF($D98="Fix",$G98,$G98*(1+$H98)^(2020-$E98))))))</f>
        <v/>
      </c>
      <c r="L98" s="16">
        <f>IF($A98="","",IF(2021&lt;$E98,"",IF($D98="Manuell","",IF(2021&gt;$E98+$F98,IF($D98="Fix",$G98,$G98*(1+$H98)^($F98)),IF($D98="Fix",$G98,$G98*(1+$H98)^(2021-$E98))))))</f>
        <v/>
      </c>
      <c r="M98" s="16">
        <f>IF($A98="","",IF(2022&lt;$E98,"",IF($D98="Manuell","",IF(2022&gt;$E98+$F98,IF($D98="Fix",$G98,$G98*(1+$H98)^($F98)),IF($D98="Fix",$G98,$G98*(1+$H98)^(2022-$E98))))))</f>
        <v/>
      </c>
      <c r="N98" s="16">
        <f>IF($A98="","",IF(2023&lt;$E98,"",IF($D98="Manuell","",IF(2023&gt;$E98+$F98,IF($D98="Fix",$G98,$G98*(1+$H98)^($F98)),IF($D98="Fix",$G98,$G98*(1+$H98)^(2023-$E98))))))</f>
        <v/>
      </c>
      <c r="O98" s="16">
        <f>IF($A98="","",IF(2024&lt;$E98,"",IF($D98="Manuell","",IF(2024&gt;$E98+$F98,IF($D98="Fix",$G98,$G98*(1+$H98)^($F98)),IF($D98="Fix",$G98,$G98*(1+$H98)^(2024-$E98))))))</f>
        <v/>
      </c>
      <c r="P98" s="16">
        <f>IF($A98="","",IF(2025&lt;$E98,"",IF($D98="Manuell","",IF(2025&gt;$E98+$F98,IF($D98="Fix",$G98,$G98*(1+$H98)^($F98)),IF($D98="Fix",$G98,$G98*(1+$H98)^(2025-$E98))))))</f>
        <v/>
      </c>
      <c r="Q98" s="16">
        <f>IF($A98="","",IF(2026&lt;$E98,"",IF($D98="Manuell","",IF(2026&gt;$E98+$F98,IF($D98="Fix",$G98,$G98*(1+$H98)^($F98)),IF($D98="Fix",$G98,$G98*(1+$H98)^(2026-$E98))))))</f>
        <v/>
      </c>
      <c r="R98" s="16">
        <f>IF($A98="","",IF(2027&lt;$E98,"",IF($D98="Manuell","",IF(2027&gt;$E98+$F98,IF($D98="Fix",$G98,$G98*(1+$H98)^($F98)),IF($D98="Fix",$G98,$G98*(1+$H98)^(2027-$E98))))))</f>
        <v/>
      </c>
      <c r="S98" s="16">
        <f>IF($A98="","",IF(2028&lt;$E98,"",IF($D98="Manuell","",IF(2028&gt;$E98+$F98,IF($D98="Fix",$G98,$G98*(1+$H98)^($F98)),IF($D98="Fix",$G98,$G98*(1+$H98)^(2028-$E98))))))</f>
        <v/>
      </c>
      <c r="T98" s="16">
        <f>IF($A98="","",IF(2029&lt;$E98,"",IF($D98="Manuell","",IF(2029&gt;$E98+$F98,IF($D98="Fix",$G98,$G98*(1+$H98)^($F98)),IF($D98="Fix",$G98,$G98*(1+$H98)^(2029-$E98))))))</f>
        <v/>
      </c>
      <c r="U98" s="16">
        <f>IF($A98="","",IF(2030&lt;$E98,"",IF($D98="Manuell","",IF(2030&gt;$E98+$F98,IF($D98="Fix",$G98,$G98*(1+$H98)^($F98)),IF($D98="Fix",$G98,$G98*(1+$H98)^(2030-$E98))))))</f>
        <v/>
      </c>
      <c r="V98" s="16">
        <f>IF($A98="","",IF(2031&lt;$E98,"",IF($D98="Manuell","",IF(2031&gt;$E98+$F98,IF($D98="Fix",$G98,$G98*(1+$H98)^($F98)),IF($D98="Fix",$G98,$G98*(1+$H98)^(2031-$E98))))))</f>
        <v/>
      </c>
      <c r="W98" s="16">
        <f>IF($A98="","",IF(2032&lt;$E98,"",IF($D98="Manuell","",IF(2032&gt;$E98+$F98,IF($D98="Fix",$G98,$G98*(1+$H98)^($F98)),IF($D98="Fix",$G98,$G98*(1+$H98)^(2032-$E98))))))</f>
        <v/>
      </c>
      <c r="X98" s="16">
        <f>IF($A98="","",IF(2033&lt;$E98,"",IF($D98="Manuell","",IF(2033&gt;$E98+$F98,IF($D98="Fix",$G98,$G98*(1+$H98)^($F98)),IF($D98="Fix",$G98,$G98*(1+$H98)^(2033-$E98))))))</f>
        <v/>
      </c>
      <c r="Y98" s="16">
        <f>IF($A98="","",IF(2034&lt;$E98,"",IF($D98="Manuell","",IF(2034&gt;$E98+$F98,IF($D98="Fix",$G98,$G98*(1+$H98)^($F98)),IF($D98="Fix",$G98,$G98*(1+$H98)^(2034-$E98))))))</f>
        <v/>
      </c>
      <c r="Z98" s="16">
        <f>IF($A98="","",IF(2035&lt;$E98,"",IF($D98="Manuell","",IF(2035&gt;$E98+$F98,IF($D98="Fix",$G98,$G98*(1+$H98)^($F98)),IF($D98="Fix",$G98,$G98*(1+$H98)^(2035-$E98))))))</f>
        <v/>
      </c>
      <c r="AA98" s="16">
        <f>IF($A98="","",IF(2036&lt;$E98,"",IF($D98="Manuell","",IF(2036&gt;$E98+$F98,IF($D98="Fix",$G98,$G98*(1+$H98)^($F98)),IF($D98="Fix",$G98,$G98*(1+$H98)^(2036-$E98))))))</f>
        <v/>
      </c>
      <c r="AB98" s="16">
        <f>IF($A98="","",IF(2037&lt;$E98,"",IF($D98="Manuell","",IF(2037&gt;$E98+$F98,IF($D98="Fix",$G98,$G98*(1+$H98)^($F98)),IF($D98="Fix",$G98,$G98*(1+$H98)^(2037-$E98))))))</f>
        <v/>
      </c>
      <c r="AC98" s="16">
        <f>IF($A98="","",IF(2038&lt;$E98,"",IF($D98="Manuell","",IF(2038&gt;$E98+$F98,IF($D98="Fix",$G98,$G98*(1+$H98)^($F98)),IF($D98="Fix",$G98,$G98*(1+$H98)^(2038-$E98))))))</f>
        <v/>
      </c>
      <c r="AD98" s="16">
        <f>IF($A98="","",IF(2039&lt;$E98,"",IF($D98="Manuell","",IF(2039&gt;$E98+$F98,IF($D98="Fix",$G98,$G98*(1+$H98)^($F98)),IF($D98="Fix",$G98,$G98*(1+$H98)^(2039-$E98))))))</f>
        <v/>
      </c>
      <c r="AE98" s="16">
        <f>IF($A98="","",IF(2040&lt;$E98,"",IF($D98="Manuell","",IF(2040&gt;$E98+$F98,IF($D98="Fix",$G98,$G98*(1+$H98)^($F98)),IF($D98="Fix",$G98,$G98*(1+$H98)^(2040-$E98))))))</f>
        <v/>
      </c>
      <c r="AF98" s="16">
        <f>IF($A98="","",IF(2041&lt;$E98,"",IF($D98="Manuell","",IF(2041&gt;$E98+$F98,IF($D98="Fix",$G98,$G98*(1+$H98)^($F98)),IF($D98="Fix",$G98,$G98*(1+$H98)^(2041-$E98))))))</f>
        <v/>
      </c>
      <c r="AG98" s="16">
        <f>IF($A98="","",IF(2042&lt;$E98,"",IF($D98="Manuell","",IF(2042&gt;$E98+$F98,IF($D98="Fix",$G98,$G98*(1+$H98)^($F98)),IF($D98="Fix",$G98,$G98*(1+$H98)^(2042-$E98))))))</f>
        <v/>
      </c>
      <c r="AH98" s="16">
        <f>IF($A98="","",IF(2043&lt;$E98,"",IF($D98="Manuell","",IF(2043&gt;$E98+$F98,IF($D98="Fix",$G98,$G98*(1+$H98)^($F98)),IF($D98="Fix",$G98,$G98*(1+$H98)^(2043-$E98))))))</f>
        <v/>
      </c>
      <c r="AI98" s="16">
        <f>IF($A98="","",IF(2044&lt;$E98,"",IF($D98="Manuell","",IF(2044&gt;$E98+$F98,IF($D98="Fix",$G98,$G98*(1+$H98)^($F98)),IF($D98="Fix",$G98,$G98*(1+$H98)^(2044-$E98))))))</f>
        <v/>
      </c>
      <c r="AJ98" s="16">
        <f>IF($A98="","",IF(2045&lt;$E98,"",IF($D98="Manuell","",IF(2045&gt;$E98+$F98,IF($D98="Fix",$G98,$G98*(1+$H98)^($F98)),IF($D98="Fix",$G98,$G98*(1+$H98)^(2045-$E98))))))</f>
        <v/>
      </c>
      <c r="AK98" s="16">
        <f>IF($A98="","",IF(2046&lt;$E98,"",IF($D98="Manuell","",IF(2046&gt;$E98+$F98,IF($D98="Fix",$G98,$G98*(1+$H98)^($F98)),IF($D98="Fix",$G98,$G98*(1+$H98)^(2046-$E98))))))</f>
        <v/>
      </c>
      <c r="AL98" s="16">
        <f>IF($A98="","",IF(2047&lt;$E98,"",IF($D98="Manuell","",IF(2047&gt;$E98+$F98,IF($D98="Fix",$G98,$G98*(1+$H98)^($F98)),IF($D98="Fix",$G98,$G98*(1+$H98)^(2047-$E98))))))</f>
        <v/>
      </c>
      <c r="AM98" s="16">
        <f>IF($A98="","",IF(2048&lt;$E98,"",IF($D98="Manuell","",IF(2048&gt;$E98+$F98,IF($D98="Fix",$G98,$G98*(1+$H98)^($F98)),IF($D98="Fix",$G98,$G98*(1+$H98)^(2048-$E98))))))</f>
        <v/>
      </c>
      <c r="AN98" s="16">
        <f>IF($A98="","",IF(2049&lt;$E98,"",IF($D98="Manuell","",IF(2049&gt;$E98+$F98,IF($D98="Fix",$G98,$G98*(1+$H98)^($F98)),IF($D98="Fix",$G98,$G98*(1+$H98)^(2049-$E98))))))</f>
        <v/>
      </c>
      <c r="AO98" s="16">
        <f>IF($A98="","",IF(2050&lt;$E98,"",IF($D98="Manuell","",IF(2050&gt;$E98+$F98,IF($D98="Fix",$G98,$G98*(1+$H98)^($F98)),IF($D98="Fix",$G98,$G98*(1+$H98)^(2050-$E98))))))</f>
        <v/>
      </c>
      <c r="AP98" s="16">
        <f>IF($A98="","",IF(2051&lt;$E98,"",IF($D98="Manuell","",IF(2051&gt;$E98+$F98,IF($D98="Fix",$G98,$G98*(1+$H98)^($F98)),IF($D98="Fix",$G98,$G98*(1+$H98)^(2051-$E98))))))</f>
        <v/>
      </c>
      <c r="AQ98" s="16">
        <f>IF($A98="","",IF(2052&lt;$E98,"",IF($D98="Manuell","",IF(2052&gt;$E98+$F98,IF($D98="Fix",$G98,$G98*(1+$H98)^($F98)),IF($D98="Fix",$G98,$G98*(1+$H98)^(2052-$E98))))))</f>
        <v/>
      </c>
      <c r="AR98" s="16">
        <f>IF($A98="","",IF(2053&lt;$E98,"",IF($D98="Manuell","",IF(2053&gt;$E98+$F98,IF($D98="Fix",$G98,$G98*(1+$H98)^($F98)),IF($D98="Fix",$G98,$G98*(1+$H98)^(2053-$E98))))))</f>
        <v/>
      </c>
      <c r="AS98" s="16">
        <f>IF($A98="","",IF(2054&lt;$E98,"",IF($D98="Manuell","",IF(2054&gt;$E98+$F98,IF($D98="Fix",$G98,$G98*(1+$H98)^($F98)),IF($D98="Fix",$G98,$G98*(1+$H98)^(2054-$E98))))))</f>
        <v/>
      </c>
      <c r="AT98" s="16">
        <f>IF($A98="","",IF(2055&lt;$E98,"",IF($D98="Manuell","",IF(2055&gt;$E98+$F98,IF($D98="Fix",$G98,$G98*(1+$H98)^($F98)),IF($D98="Fix",$G98,$G98*(1+$H98)^(2055-$E98))))))</f>
        <v/>
      </c>
    </row>
    <row r="99">
      <c r="A99" s="14" t="inlineStr"/>
      <c r="B99" s="14" t="inlineStr"/>
      <c r="C99" s="14" t="inlineStr"/>
      <c r="D99" s="14" t="inlineStr"/>
      <c r="E99" s="11" t="inlineStr"/>
      <c r="F99" s="11" t="inlineStr"/>
      <c r="G99" s="15" t="inlineStr"/>
      <c r="H99" s="15" t="inlineStr"/>
      <c r="I99" s="16">
        <f>IF($A99="","",IF(2018&lt;$E99,"",IF($D99="Manuell","",IF(2018&gt;$E99+$F99,IF($D99="Fix",$G99,$G99*(1+$H99)^($F99)),IF($D99="Fix",$G99,$G99*(1+$H99)^(2018-$E99))))))</f>
        <v/>
      </c>
      <c r="J99" s="16">
        <f>IF($A99="","",IF(2019&lt;$E99,"",IF($D99="Manuell","",IF(2019&gt;$E99+$F99,IF($D99="Fix",$G99,$G99*(1+$H99)^($F99)),IF($D99="Fix",$G99,$G99*(1+$H99)^(2019-$E99))))))</f>
        <v/>
      </c>
      <c r="K99" s="16">
        <f>IF($A99="","",IF(2020&lt;$E99,"",IF($D99="Manuell","",IF(2020&gt;$E99+$F99,IF($D99="Fix",$G99,$G99*(1+$H99)^($F99)),IF($D99="Fix",$G99,$G99*(1+$H99)^(2020-$E99))))))</f>
        <v/>
      </c>
      <c r="L99" s="16">
        <f>IF($A99="","",IF(2021&lt;$E99,"",IF($D99="Manuell","",IF(2021&gt;$E99+$F99,IF($D99="Fix",$G99,$G99*(1+$H99)^($F99)),IF($D99="Fix",$G99,$G99*(1+$H99)^(2021-$E99))))))</f>
        <v/>
      </c>
      <c r="M99" s="16">
        <f>IF($A99="","",IF(2022&lt;$E99,"",IF($D99="Manuell","",IF(2022&gt;$E99+$F99,IF($D99="Fix",$G99,$G99*(1+$H99)^($F99)),IF($D99="Fix",$G99,$G99*(1+$H99)^(2022-$E99))))))</f>
        <v/>
      </c>
      <c r="N99" s="16">
        <f>IF($A99="","",IF(2023&lt;$E99,"",IF($D99="Manuell","",IF(2023&gt;$E99+$F99,IF($D99="Fix",$G99,$G99*(1+$H99)^($F99)),IF($D99="Fix",$G99,$G99*(1+$H99)^(2023-$E99))))))</f>
        <v/>
      </c>
      <c r="O99" s="16">
        <f>IF($A99="","",IF(2024&lt;$E99,"",IF($D99="Manuell","",IF(2024&gt;$E99+$F99,IF($D99="Fix",$G99,$G99*(1+$H99)^($F99)),IF($D99="Fix",$G99,$G99*(1+$H99)^(2024-$E99))))))</f>
        <v/>
      </c>
      <c r="P99" s="16">
        <f>IF($A99="","",IF(2025&lt;$E99,"",IF($D99="Manuell","",IF(2025&gt;$E99+$F99,IF($D99="Fix",$G99,$G99*(1+$H99)^($F99)),IF($D99="Fix",$G99,$G99*(1+$H99)^(2025-$E99))))))</f>
        <v/>
      </c>
      <c r="Q99" s="16">
        <f>IF($A99="","",IF(2026&lt;$E99,"",IF($D99="Manuell","",IF(2026&gt;$E99+$F99,IF($D99="Fix",$G99,$G99*(1+$H99)^($F99)),IF($D99="Fix",$G99,$G99*(1+$H99)^(2026-$E99))))))</f>
        <v/>
      </c>
      <c r="R99" s="16">
        <f>IF($A99="","",IF(2027&lt;$E99,"",IF($D99="Manuell","",IF(2027&gt;$E99+$F99,IF($D99="Fix",$G99,$G99*(1+$H99)^($F99)),IF($D99="Fix",$G99,$G99*(1+$H99)^(2027-$E99))))))</f>
        <v/>
      </c>
      <c r="S99" s="16">
        <f>IF($A99="","",IF(2028&lt;$E99,"",IF($D99="Manuell","",IF(2028&gt;$E99+$F99,IF($D99="Fix",$G99,$G99*(1+$H99)^($F99)),IF($D99="Fix",$G99,$G99*(1+$H99)^(2028-$E99))))))</f>
        <v/>
      </c>
      <c r="T99" s="16">
        <f>IF($A99="","",IF(2029&lt;$E99,"",IF($D99="Manuell","",IF(2029&gt;$E99+$F99,IF($D99="Fix",$G99,$G99*(1+$H99)^($F99)),IF($D99="Fix",$G99,$G99*(1+$H99)^(2029-$E99))))))</f>
        <v/>
      </c>
      <c r="U99" s="16">
        <f>IF($A99="","",IF(2030&lt;$E99,"",IF($D99="Manuell","",IF(2030&gt;$E99+$F99,IF($D99="Fix",$G99,$G99*(1+$H99)^($F99)),IF($D99="Fix",$G99,$G99*(1+$H99)^(2030-$E99))))))</f>
        <v/>
      </c>
      <c r="V99" s="16">
        <f>IF($A99="","",IF(2031&lt;$E99,"",IF($D99="Manuell","",IF(2031&gt;$E99+$F99,IF($D99="Fix",$G99,$G99*(1+$H99)^($F99)),IF($D99="Fix",$G99,$G99*(1+$H99)^(2031-$E99))))))</f>
        <v/>
      </c>
      <c r="W99" s="16">
        <f>IF($A99="","",IF(2032&lt;$E99,"",IF($D99="Manuell","",IF(2032&gt;$E99+$F99,IF($D99="Fix",$G99,$G99*(1+$H99)^($F99)),IF($D99="Fix",$G99,$G99*(1+$H99)^(2032-$E99))))))</f>
        <v/>
      </c>
      <c r="X99" s="16">
        <f>IF($A99="","",IF(2033&lt;$E99,"",IF($D99="Manuell","",IF(2033&gt;$E99+$F99,IF($D99="Fix",$G99,$G99*(1+$H99)^($F99)),IF($D99="Fix",$G99,$G99*(1+$H99)^(2033-$E99))))))</f>
        <v/>
      </c>
      <c r="Y99" s="16">
        <f>IF($A99="","",IF(2034&lt;$E99,"",IF($D99="Manuell","",IF(2034&gt;$E99+$F99,IF($D99="Fix",$G99,$G99*(1+$H99)^($F99)),IF($D99="Fix",$G99,$G99*(1+$H99)^(2034-$E99))))))</f>
        <v/>
      </c>
      <c r="Z99" s="16">
        <f>IF($A99="","",IF(2035&lt;$E99,"",IF($D99="Manuell","",IF(2035&gt;$E99+$F99,IF($D99="Fix",$G99,$G99*(1+$H99)^($F99)),IF($D99="Fix",$G99,$G99*(1+$H99)^(2035-$E99))))))</f>
        <v/>
      </c>
      <c r="AA99" s="16">
        <f>IF($A99="","",IF(2036&lt;$E99,"",IF($D99="Manuell","",IF(2036&gt;$E99+$F99,IF($D99="Fix",$G99,$G99*(1+$H99)^($F99)),IF($D99="Fix",$G99,$G99*(1+$H99)^(2036-$E99))))))</f>
        <v/>
      </c>
      <c r="AB99" s="16">
        <f>IF($A99="","",IF(2037&lt;$E99,"",IF($D99="Manuell","",IF(2037&gt;$E99+$F99,IF($D99="Fix",$G99,$G99*(1+$H99)^($F99)),IF($D99="Fix",$G99,$G99*(1+$H99)^(2037-$E99))))))</f>
        <v/>
      </c>
      <c r="AC99" s="16">
        <f>IF($A99="","",IF(2038&lt;$E99,"",IF($D99="Manuell","",IF(2038&gt;$E99+$F99,IF($D99="Fix",$G99,$G99*(1+$H99)^($F99)),IF($D99="Fix",$G99,$G99*(1+$H99)^(2038-$E99))))))</f>
        <v/>
      </c>
      <c r="AD99" s="16">
        <f>IF($A99="","",IF(2039&lt;$E99,"",IF($D99="Manuell","",IF(2039&gt;$E99+$F99,IF($D99="Fix",$G99,$G99*(1+$H99)^($F99)),IF($D99="Fix",$G99,$G99*(1+$H99)^(2039-$E99))))))</f>
        <v/>
      </c>
      <c r="AE99" s="16">
        <f>IF($A99="","",IF(2040&lt;$E99,"",IF($D99="Manuell","",IF(2040&gt;$E99+$F99,IF($D99="Fix",$G99,$G99*(1+$H99)^($F99)),IF($D99="Fix",$G99,$G99*(1+$H99)^(2040-$E99))))))</f>
        <v/>
      </c>
      <c r="AF99" s="16">
        <f>IF($A99="","",IF(2041&lt;$E99,"",IF($D99="Manuell","",IF(2041&gt;$E99+$F99,IF($D99="Fix",$G99,$G99*(1+$H99)^($F99)),IF($D99="Fix",$G99,$G99*(1+$H99)^(2041-$E99))))))</f>
        <v/>
      </c>
      <c r="AG99" s="16">
        <f>IF($A99="","",IF(2042&lt;$E99,"",IF($D99="Manuell","",IF(2042&gt;$E99+$F99,IF($D99="Fix",$G99,$G99*(1+$H99)^($F99)),IF($D99="Fix",$G99,$G99*(1+$H99)^(2042-$E99))))))</f>
        <v/>
      </c>
      <c r="AH99" s="16">
        <f>IF($A99="","",IF(2043&lt;$E99,"",IF($D99="Manuell","",IF(2043&gt;$E99+$F99,IF($D99="Fix",$G99,$G99*(1+$H99)^($F99)),IF($D99="Fix",$G99,$G99*(1+$H99)^(2043-$E99))))))</f>
        <v/>
      </c>
      <c r="AI99" s="16">
        <f>IF($A99="","",IF(2044&lt;$E99,"",IF($D99="Manuell","",IF(2044&gt;$E99+$F99,IF($D99="Fix",$G99,$G99*(1+$H99)^($F99)),IF($D99="Fix",$G99,$G99*(1+$H99)^(2044-$E99))))))</f>
        <v/>
      </c>
      <c r="AJ99" s="16">
        <f>IF($A99="","",IF(2045&lt;$E99,"",IF($D99="Manuell","",IF(2045&gt;$E99+$F99,IF($D99="Fix",$G99,$G99*(1+$H99)^($F99)),IF($D99="Fix",$G99,$G99*(1+$H99)^(2045-$E99))))))</f>
        <v/>
      </c>
      <c r="AK99" s="16">
        <f>IF($A99="","",IF(2046&lt;$E99,"",IF($D99="Manuell","",IF(2046&gt;$E99+$F99,IF($D99="Fix",$G99,$G99*(1+$H99)^($F99)),IF($D99="Fix",$G99,$G99*(1+$H99)^(2046-$E99))))))</f>
        <v/>
      </c>
      <c r="AL99" s="16">
        <f>IF($A99="","",IF(2047&lt;$E99,"",IF($D99="Manuell","",IF(2047&gt;$E99+$F99,IF($D99="Fix",$G99,$G99*(1+$H99)^($F99)),IF($D99="Fix",$G99,$G99*(1+$H99)^(2047-$E99))))))</f>
        <v/>
      </c>
      <c r="AM99" s="16">
        <f>IF($A99="","",IF(2048&lt;$E99,"",IF($D99="Manuell","",IF(2048&gt;$E99+$F99,IF($D99="Fix",$G99,$G99*(1+$H99)^($F99)),IF($D99="Fix",$G99,$G99*(1+$H99)^(2048-$E99))))))</f>
        <v/>
      </c>
      <c r="AN99" s="16">
        <f>IF($A99="","",IF(2049&lt;$E99,"",IF($D99="Manuell","",IF(2049&gt;$E99+$F99,IF($D99="Fix",$G99,$G99*(1+$H99)^($F99)),IF($D99="Fix",$G99,$G99*(1+$H99)^(2049-$E99))))))</f>
        <v/>
      </c>
      <c r="AO99" s="16">
        <f>IF($A99="","",IF(2050&lt;$E99,"",IF($D99="Manuell","",IF(2050&gt;$E99+$F99,IF($D99="Fix",$G99,$G99*(1+$H99)^($F99)),IF($D99="Fix",$G99,$G99*(1+$H99)^(2050-$E99))))))</f>
        <v/>
      </c>
      <c r="AP99" s="16">
        <f>IF($A99="","",IF(2051&lt;$E99,"",IF($D99="Manuell","",IF(2051&gt;$E99+$F99,IF($D99="Fix",$G99,$G99*(1+$H99)^($F99)),IF($D99="Fix",$G99,$G99*(1+$H99)^(2051-$E99))))))</f>
        <v/>
      </c>
      <c r="AQ99" s="16">
        <f>IF($A99="","",IF(2052&lt;$E99,"",IF($D99="Manuell","",IF(2052&gt;$E99+$F99,IF($D99="Fix",$G99,$G99*(1+$H99)^($F99)),IF($D99="Fix",$G99,$G99*(1+$H99)^(2052-$E99))))))</f>
        <v/>
      </c>
      <c r="AR99" s="16">
        <f>IF($A99="","",IF(2053&lt;$E99,"",IF($D99="Manuell","",IF(2053&gt;$E99+$F99,IF($D99="Fix",$G99,$G99*(1+$H99)^($F99)),IF($D99="Fix",$G99,$G99*(1+$H99)^(2053-$E99))))))</f>
        <v/>
      </c>
      <c r="AS99" s="16">
        <f>IF($A99="","",IF(2054&lt;$E99,"",IF($D99="Manuell","",IF(2054&gt;$E99+$F99,IF($D99="Fix",$G99,$G99*(1+$H99)^($F99)),IF($D99="Fix",$G99,$G99*(1+$H99)^(2054-$E99))))))</f>
        <v/>
      </c>
      <c r="AT99" s="16">
        <f>IF($A99="","",IF(2055&lt;$E99,"",IF($D99="Manuell","",IF(2055&gt;$E99+$F99,IF($D99="Fix",$G99,$G99*(1+$H99)^($F99)),IF($D99="Fix",$G99,$G99*(1+$H99)^(2055-$E99))))))</f>
        <v/>
      </c>
    </row>
    <row r="100">
      <c r="A100" s="14" t="inlineStr"/>
      <c r="B100" s="14" t="inlineStr"/>
      <c r="C100" s="14" t="inlineStr"/>
      <c r="D100" s="14" t="inlineStr"/>
      <c r="E100" s="11" t="inlineStr"/>
      <c r="F100" s="11" t="inlineStr"/>
      <c r="G100" s="15" t="inlineStr"/>
      <c r="H100" s="15" t="inlineStr"/>
      <c r="I100" s="16">
        <f>IF($A100="","",IF(2018&lt;$E100,"",IF($D100="Manuell","",IF(2018&gt;$E100+$F100,IF($D100="Fix",$G100,$G100*(1+$H100)^($F100)),IF($D100="Fix",$G100,$G100*(1+$H100)^(2018-$E100))))))</f>
        <v/>
      </c>
      <c r="J100" s="16">
        <f>IF($A100="","",IF(2019&lt;$E100,"",IF($D100="Manuell","",IF(2019&gt;$E100+$F100,IF($D100="Fix",$G100,$G100*(1+$H100)^($F100)),IF($D100="Fix",$G100,$G100*(1+$H100)^(2019-$E100))))))</f>
        <v/>
      </c>
      <c r="K100" s="16">
        <f>IF($A100="","",IF(2020&lt;$E100,"",IF($D100="Manuell","",IF(2020&gt;$E100+$F100,IF($D100="Fix",$G100,$G100*(1+$H100)^($F100)),IF($D100="Fix",$G100,$G100*(1+$H100)^(2020-$E100))))))</f>
        <v/>
      </c>
      <c r="L100" s="16">
        <f>IF($A100="","",IF(2021&lt;$E100,"",IF($D100="Manuell","",IF(2021&gt;$E100+$F100,IF($D100="Fix",$G100,$G100*(1+$H100)^($F100)),IF($D100="Fix",$G100,$G100*(1+$H100)^(2021-$E100))))))</f>
        <v/>
      </c>
      <c r="M100" s="16">
        <f>IF($A100="","",IF(2022&lt;$E100,"",IF($D100="Manuell","",IF(2022&gt;$E100+$F100,IF($D100="Fix",$G100,$G100*(1+$H100)^($F100)),IF($D100="Fix",$G100,$G100*(1+$H100)^(2022-$E100))))))</f>
        <v/>
      </c>
      <c r="N100" s="16">
        <f>IF($A100="","",IF(2023&lt;$E100,"",IF($D100="Manuell","",IF(2023&gt;$E100+$F100,IF($D100="Fix",$G100,$G100*(1+$H100)^($F100)),IF($D100="Fix",$G100,$G100*(1+$H100)^(2023-$E100))))))</f>
        <v/>
      </c>
      <c r="O100" s="16">
        <f>IF($A100="","",IF(2024&lt;$E100,"",IF($D100="Manuell","",IF(2024&gt;$E100+$F100,IF($D100="Fix",$G100,$G100*(1+$H100)^($F100)),IF($D100="Fix",$G100,$G100*(1+$H100)^(2024-$E100))))))</f>
        <v/>
      </c>
      <c r="P100" s="16">
        <f>IF($A100="","",IF(2025&lt;$E100,"",IF($D100="Manuell","",IF(2025&gt;$E100+$F100,IF($D100="Fix",$G100,$G100*(1+$H100)^($F100)),IF($D100="Fix",$G100,$G100*(1+$H100)^(2025-$E100))))))</f>
        <v/>
      </c>
      <c r="Q100" s="16">
        <f>IF($A100="","",IF(2026&lt;$E100,"",IF($D100="Manuell","",IF(2026&gt;$E100+$F100,IF($D100="Fix",$G100,$G100*(1+$H100)^($F100)),IF($D100="Fix",$G100,$G100*(1+$H100)^(2026-$E100))))))</f>
        <v/>
      </c>
      <c r="R100" s="16">
        <f>IF($A100="","",IF(2027&lt;$E100,"",IF($D100="Manuell","",IF(2027&gt;$E100+$F100,IF($D100="Fix",$G100,$G100*(1+$H100)^($F100)),IF($D100="Fix",$G100,$G100*(1+$H100)^(2027-$E100))))))</f>
        <v/>
      </c>
      <c r="S100" s="16">
        <f>IF($A100="","",IF(2028&lt;$E100,"",IF($D100="Manuell","",IF(2028&gt;$E100+$F100,IF($D100="Fix",$G100,$G100*(1+$H100)^($F100)),IF($D100="Fix",$G100,$G100*(1+$H100)^(2028-$E100))))))</f>
        <v/>
      </c>
      <c r="T100" s="16">
        <f>IF($A100="","",IF(2029&lt;$E100,"",IF($D100="Manuell","",IF(2029&gt;$E100+$F100,IF($D100="Fix",$G100,$G100*(1+$H100)^($F100)),IF($D100="Fix",$G100,$G100*(1+$H100)^(2029-$E100))))))</f>
        <v/>
      </c>
      <c r="U100" s="16">
        <f>IF($A100="","",IF(2030&lt;$E100,"",IF($D100="Manuell","",IF(2030&gt;$E100+$F100,IF($D100="Fix",$G100,$G100*(1+$H100)^($F100)),IF($D100="Fix",$G100,$G100*(1+$H100)^(2030-$E100))))))</f>
        <v/>
      </c>
      <c r="V100" s="16">
        <f>IF($A100="","",IF(2031&lt;$E100,"",IF($D100="Manuell","",IF(2031&gt;$E100+$F100,IF($D100="Fix",$G100,$G100*(1+$H100)^($F100)),IF($D100="Fix",$G100,$G100*(1+$H100)^(2031-$E100))))))</f>
        <v/>
      </c>
      <c r="W100" s="16">
        <f>IF($A100="","",IF(2032&lt;$E100,"",IF($D100="Manuell","",IF(2032&gt;$E100+$F100,IF($D100="Fix",$G100,$G100*(1+$H100)^($F100)),IF($D100="Fix",$G100,$G100*(1+$H100)^(2032-$E100))))))</f>
        <v/>
      </c>
      <c r="X100" s="16">
        <f>IF($A100="","",IF(2033&lt;$E100,"",IF($D100="Manuell","",IF(2033&gt;$E100+$F100,IF($D100="Fix",$G100,$G100*(1+$H100)^($F100)),IF($D100="Fix",$G100,$G100*(1+$H100)^(2033-$E100))))))</f>
        <v/>
      </c>
      <c r="Y100" s="16">
        <f>IF($A100="","",IF(2034&lt;$E100,"",IF($D100="Manuell","",IF(2034&gt;$E100+$F100,IF($D100="Fix",$G100,$G100*(1+$H100)^($F100)),IF($D100="Fix",$G100,$G100*(1+$H100)^(2034-$E100))))))</f>
        <v/>
      </c>
      <c r="Z100" s="16">
        <f>IF($A100="","",IF(2035&lt;$E100,"",IF($D100="Manuell","",IF(2035&gt;$E100+$F100,IF($D100="Fix",$G100,$G100*(1+$H100)^($F100)),IF($D100="Fix",$G100,$G100*(1+$H100)^(2035-$E100))))))</f>
        <v/>
      </c>
      <c r="AA100" s="16">
        <f>IF($A100="","",IF(2036&lt;$E100,"",IF($D100="Manuell","",IF(2036&gt;$E100+$F100,IF($D100="Fix",$G100,$G100*(1+$H100)^($F100)),IF($D100="Fix",$G100,$G100*(1+$H100)^(2036-$E100))))))</f>
        <v/>
      </c>
      <c r="AB100" s="16">
        <f>IF($A100="","",IF(2037&lt;$E100,"",IF($D100="Manuell","",IF(2037&gt;$E100+$F100,IF($D100="Fix",$G100,$G100*(1+$H100)^($F100)),IF($D100="Fix",$G100,$G100*(1+$H100)^(2037-$E100))))))</f>
        <v/>
      </c>
      <c r="AC100" s="16">
        <f>IF($A100="","",IF(2038&lt;$E100,"",IF($D100="Manuell","",IF(2038&gt;$E100+$F100,IF($D100="Fix",$G100,$G100*(1+$H100)^($F100)),IF($D100="Fix",$G100,$G100*(1+$H100)^(2038-$E100))))))</f>
        <v/>
      </c>
      <c r="AD100" s="16">
        <f>IF($A100="","",IF(2039&lt;$E100,"",IF($D100="Manuell","",IF(2039&gt;$E100+$F100,IF($D100="Fix",$G100,$G100*(1+$H100)^($F100)),IF($D100="Fix",$G100,$G100*(1+$H100)^(2039-$E100))))))</f>
        <v/>
      </c>
      <c r="AE100" s="16">
        <f>IF($A100="","",IF(2040&lt;$E100,"",IF($D100="Manuell","",IF(2040&gt;$E100+$F100,IF($D100="Fix",$G100,$G100*(1+$H100)^($F100)),IF($D100="Fix",$G100,$G100*(1+$H100)^(2040-$E100))))))</f>
        <v/>
      </c>
      <c r="AF100" s="16">
        <f>IF($A100="","",IF(2041&lt;$E100,"",IF($D100="Manuell","",IF(2041&gt;$E100+$F100,IF($D100="Fix",$G100,$G100*(1+$H100)^($F100)),IF($D100="Fix",$G100,$G100*(1+$H100)^(2041-$E100))))))</f>
        <v/>
      </c>
      <c r="AG100" s="16">
        <f>IF($A100="","",IF(2042&lt;$E100,"",IF($D100="Manuell","",IF(2042&gt;$E100+$F100,IF($D100="Fix",$G100,$G100*(1+$H100)^($F100)),IF($D100="Fix",$G100,$G100*(1+$H100)^(2042-$E100))))))</f>
        <v/>
      </c>
      <c r="AH100" s="16">
        <f>IF($A100="","",IF(2043&lt;$E100,"",IF($D100="Manuell","",IF(2043&gt;$E100+$F100,IF($D100="Fix",$G100,$G100*(1+$H100)^($F100)),IF($D100="Fix",$G100,$G100*(1+$H100)^(2043-$E100))))))</f>
        <v/>
      </c>
      <c r="AI100" s="16">
        <f>IF($A100="","",IF(2044&lt;$E100,"",IF($D100="Manuell","",IF(2044&gt;$E100+$F100,IF($D100="Fix",$G100,$G100*(1+$H100)^($F100)),IF($D100="Fix",$G100,$G100*(1+$H100)^(2044-$E100))))))</f>
        <v/>
      </c>
      <c r="AJ100" s="16">
        <f>IF($A100="","",IF(2045&lt;$E100,"",IF($D100="Manuell","",IF(2045&gt;$E100+$F100,IF($D100="Fix",$G100,$G100*(1+$H100)^($F100)),IF($D100="Fix",$G100,$G100*(1+$H100)^(2045-$E100))))))</f>
        <v/>
      </c>
      <c r="AK100" s="16">
        <f>IF($A100="","",IF(2046&lt;$E100,"",IF($D100="Manuell","",IF(2046&gt;$E100+$F100,IF($D100="Fix",$G100,$G100*(1+$H100)^($F100)),IF($D100="Fix",$G100,$G100*(1+$H100)^(2046-$E100))))))</f>
        <v/>
      </c>
      <c r="AL100" s="16">
        <f>IF($A100="","",IF(2047&lt;$E100,"",IF($D100="Manuell","",IF(2047&gt;$E100+$F100,IF($D100="Fix",$G100,$G100*(1+$H100)^($F100)),IF($D100="Fix",$G100,$G100*(1+$H100)^(2047-$E100))))))</f>
        <v/>
      </c>
      <c r="AM100" s="16">
        <f>IF($A100="","",IF(2048&lt;$E100,"",IF($D100="Manuell","",IF(2048&gt;$E100+$F100,IF($D100="Fix",$G100,$G100*(1+$H100)^($F100)),IF($D100="Fix",$G100,$G100*(1+$H100)^(2048-$E100))))))</f>
        <v/>
      </c>
      <c r="AN100" s="16">
        <f>IF($A100="","",IF(2049&lt;$E100,"",IF($D100="Manuell","",IF(2049&gt;$E100+$F100,IF($D100="Fix",$G100,$G100*(1+$H100)^($F100)),IF($D100="Fix",$G100,$G100*(1+$H100)^(2049-$E100))))))</f>
        <v/>
      </c>
      <c r="AO100" s="16">
        <f>IF($A100="","",IF(2050&lt;$E100,"",IF($D100="Manuell","",IF(2050&gt;$E100+$F100,IF($D100="Fix",$G100,$G100*(1+$H100)^($F100)),IF($D100="Fix",$G100,$G100*(1+$H100)^(2050-$E100))))))</f>
        <v/>
      </c>
      <c r="AP100" s="16">
        <f>IF($A100="","",IF(2051&lt;$E100,"",IF($D100="Manuell","",IF(2051&gt;$E100+$F100,IF($D100="Fix",$G100,$G100*(1+$H100)^($F100)),IF($D100="Fix",$G100,$G100*(1+$H100)^(2051-$E100))))))</f>
        <v/>
      </c>
      <c r="AQ100" s="16">
        <f>IF($A100="","",IF(2052&lt;$E100,"",IF($D100="Manuell","",IF(2052&gt;$E100+$F100,IF($D100="Fix",$G100,$G100*(1+$H100)^($F100)),IF($D100="Fix",$G100,$G100*(1+$H100)^(2052-$E100))))))</f>
        <v/>
      </c>
      <c r="AR100" s="16">
        <f>IF($A100="","",IF(2053&lt;$E100,"",IF($D100="Manuell","",IF(2053&gt;$E100+$F100,IF($D100="Fix",$G100,$G100*(1+$H100)^($F100)),IF($D100="Fix",$G100,$G100*(1+$H100)^(2053-$E100))))))</f>
        <v/>
      </c>
      <c r="AS100" s="16">
        <f>IF($A100="","",IF(2054&lt;$E100,"",IF($D100="Manuell","",IF(2054&gt;$E100+$F100,IF($D100="Fix",$G100,$G100*(1+$H100)^($F100)),IF($D100="Fix",$G100,$G100*(1+$H100)^(2054-$E100))))))</f>
        <v/>
      </c>
      <c r="AT100" s="16">
        <f>IF($A100="","",IF(2055&lt;$E100,"",IF($D100="Manuell","",IF(2055&gt;$E100+$F100,IF($D100="Fix",$G100,$G100*(1+$H100)^($F100)),IF($D100="Fix",$G100,$G100*(1+$H100)^(2055-$E100))))))</f>
        <v/>
      </c>
    </row>
    <row r="101">
      <c r="A101" s="14" t="inlineStr"/>
      <c r="B101" s="14" t="inlineStr"/>
      <c r="C101" s="14" t="inlineStr"/>
      <c r="D101" s="14" t="inlineStr"/>
      <c r="E101" s="11" t="inlineStr"/>
      <c r="F101" s="11" t="inlineStr"/>
      <c r="G101" s="15" t="inlineStr"/>
      <c r="H101" s="15" t="inlineStr"/>
      <c r="I101" s="16">
        <f>IF($A101="","",IF(2018&lt;$E101,"",IF($D101="Manuell","",IF(2018&gt;$E101+$F101,IF($D101="Fix",$G101,$G101*(1+$H101)^($F101)),IF($D101="Fix",$G101,$G101*(1+$H101)^(2018-$E101))))))</f>
        <v/>
      </c>
      <c r="J101" s="16">
        <f>IF($A101="","",IF(2019&lt;$E101,"",IF($D101="Manuell","",IF(2019&gt;$E101+$F101,IF($D101="Fix",$G101,$G101*(1+$H101)^($F101)),IF($D101="Fix",$G101,$G101*(1+$H101)^(2019-$E101))))))</f>
        <v/>
      </c>
      <c r="K101" s="16">
        <f>IF($A101="","",IF(2020&lt;$E101,"",IF($D101="Manuell","",IF(2020&gt;$E101+$F101,IF($D101="Fix",$G101,$G101*(1+$H101)^($F101)),IF($D101="Fix",$G101,$G101*(1+$H101)^(2020-$E101))))))</f>
        <v/>
      </c>
      <c r="L101" s="16">
        <f>IF($A101="","",IF(2021&lt;$E101,"",IF($D101="Manuell","",IF(2021&gt;$E101+$F101,IF($D101="Fix",$G101,$G101*(1+$H101)^($F101)),IF($D101="Fix",$G101,$G101*(1+$H101)^(2021-$E101))))))</f>
        <v/>
      </c>
      <c r="M101" s="16">
        <f>IF($A101="","",IF(2022&lt;$E101,"",IF($D101="Manuell","",IF(2022&gt;$E101+$F101,IF($D101="Fix",$G101,$G101*(1+$H101)^($F101)),IF($D101="Fix",$G101,$G101*(1+$H101)^(2022-$E101))))))</f>
        <v/>
      </c>
      <c r="N101" s="16">
        <f>IF($A101="","",IF(2023&lt;$E101,"",IF($D101="Manuell","",IF(2023&gt;$E101+$F101,IF($D101="Fix",$G101,$G101*(1+$H101)^($F101)),IF($D101="Fix",$G101,$G101*(1+$H101)^(2023-$E101))))))</f>
        <v/>
      </c>
      <c r="O101" s="16">
        <f>IF($A101="","",IF(2024&lt;$E101,"",IF($D101="Manuell","",IF(2024&gt;$E101+$F101,IF($D101="Fix",$G101,$G101*(1+$H101)^($F101)),IF($D101="Fix",$G101,$G101*(1+$H101)^(2024-$E101))))))</f>
        <v/>
      </c>
      <c r="P101" s="16">
        <f>IF($A101="","",IF(2025&lt;$E101,"",IF($D101="Manuell","",IF(2025&gt;$E101+$F101,IF($D101="Fix",$G101,$G101*(1+$H101)^($F101)),IF($D101="Fix",$G101,$G101*(1+$H101)^(2025-$E101))))))</f>
        <v/>
      </c>
      <c r="Q101" s="16">
        <f>IF($A101="","",IF(2026&lt;$E101,"",IF($D101="Manuell","",IF(2026&gt;$E101+$F101,IF($D101="Fix",$G101,$G101*(1+$H101)^($F101)),IF($D101="Fix",$G101,$G101*(1+$H101)^(2026-$E101))))))</f>
        <v/>
      </c>
      <c r="R101" s="16">
        <f>IF($A101="","",IF(2027&lt;$E101,"",IF($D101="Manuell","",IF(2027&gt;$E101+$F101,IF($D101="Fix",$G101,$G101*(1+$H101)^($F101)),IF($D101="Fix",$G101,$G101*(1+$H101)^(2027-$E101))))))</f>
        <v/>
      </c>
      <c r="S101" s="16">
        <f>IF($A101="","",IF(2028&lt;$E101,"",IF($D101="Manuell","",IF(2028&gt;$E101+$F101,IF($D101="Fix",$G101,$G101*(1+$H101)^($F101)),IF($D101="Fix",$G101,$G101*(1+$H101)^(2028-$E101))))))</f>
        <v/>
      </c>
      <c r="T101" s="16">
        <f>IF($A101="","",IF(2029&lt;$E101,"",IF($D101="Manuell","",IF(2029&gt;$E101+$F101,IF($D101="Fix",$G101,$G101*(1+$H101)^($F101)),IF($D101="Fix",$G101,$G101*(1+$H101)^(2029-$E101))))))</f>
        <v/>
      </c>
      <c r="U101" s="16">
        <f>IF($A101="","",IF(2030&lt;$E101,"",IF($D101="Manuell","",IF(2030&gt;$E101+$F101,IF($D101="Fix",$G101,$G101*(1+$H101)^($F101)),IF($D101="Fix",$G101,$G101*(1+$H101)^(2030-$E101))))))</f>
        <v/>
      </c>
      <c r="V101" s="16">
        <f>IF($A101="","",IF(2031&lt;$E101,"",IF($D101="Manuell","",IF(2031&gt;$E101+$F101,IF($D101="Fix",$G101,$G101*(1+$H101)^($F101)),IF($D101="Fix",$G101,$G101*(1+$H101)^(2031-$E101))))))</f>
        <v/>
      </c>
      <c r="W101" s="16">
        <f>IF($A101="","",IF(2032&lt;$E101,"",IF($D101="Manuell","",IF(2032&gt;$E101+$F101,IF($D101="Fix",$G101,$G101*(1+$H101)^($F101)),IF($D101="Fix",$G101,$G101*(1+$H101)^(2032-$E101))))))</f>
        <v/>
      </c>
      <c r="X101" s="16">
        <f>IF($A101="","",IF(2033&lt;$E101,"",IF($D101="Manuell","",IF(2033&gt;$E101+$F101,IF($D101="Fix",$G101,$G101*(1+$H101)^($F101)),IF($D101="Fix",$G101,$G101*(1+$H101)^(2033-$E101))))))</f>
        <v/>
      </c>
      <c r="Y101" s="16">
        <f>IF($A101="","",IF(2034&lt;$E101,"",IF($D101="Manuell","",IF(2034&gt;$E101+$F101,IF($D101="Fix",$G101,$G101*(1+$H101)^($F101)),IF($D101="Fix",$G101,$G101*(1+$H101)^(2034-$E101))))))</f>
        <v/>
      </c>
      <c r="Z101" s="16">
        <f>IF($A101="","",IF(2035&lt;$E101,"",IF($D101="Manuell","",IF(2035&gt;$E101+$F101,IF($D101="Fix",$G101,$G101*(1+$H101)^($F101)),IF($D101="Fix",$G101,$G101*(1+$H101)^(2035-$E101))))))</f>
        <v/>
      </c>
      <c r="AA101" s="16">
        <f>IF($A101="","",IF(2036&lt;$E101,"",IF($D101="Manuell","",IF(2036&gt;$E101+$F101,IF($D101="Fix",$G101,$G101*(1+$H101)^($F101)),IF($D101="Fix",$G101,$G101*(1+$H101)^(2036-$E101))))))</f>
        <v/>
      </c>
      <c r="AB101" s="16">
        <f>IF($A101="","",IF(2037&lt;$E101,"",IF($D101="Manuell","",IF(2037&gt;$E101+$F101,IF($D101="Fix",$G101,$G101*(1+$H101)^($F101)),IF($D101="Fix",$G101,$G101*(1+$H101)^(2037-$E101))))))</f>
        <v/>
      </c>
      <c r="AC101" s="16">
        <f>IF($A101="","",IF(2038&lt;$E101,"",IF($D101="Manuell","",IF(2038&gt;$E101+$F101,IF($D101="Fix",$G101,$G101*(1+$H101)^($F101)),IF($D101="Fix",$G101,$G101*(1+$H101)^(2038-$E101))))))</f>
        <v/>
      </c>
      <c r="AD101" s="16">
        <f>IF($A101="","",IF(2039&lt;$E101,"",IF($D101="Manuell","",IF(2039&gt;$E101+$F101,IF($D101="Fix",$G101,$G101*(1+$H101)^($F101)),IF($D101="Fix",$G101,$G101*(1+$H101)^(2039-$E101))))))</f>
        <v/>
      </c>
      <c r="AE101" s="16">
        <f>IF($A101="","",IF(2040&lt;$E101,"",IF($D101="Manuell","",IF(2040&gt;$E101+$F101,IF($D101="Fix",$G101,$G101*(1+$H101)^($F101)),IF($D101="Fix",$G101,$G101*(1+$H101)^(2040-$E101))))))</f>
        <v/>
      </c>
      <c r="AF101" s="16">
        <f>IF($A101="","",IF(2041&lt;$E101,"",IF($D101="Manuell","",IF(2041&gt;$E101+$F101,IF($D101="Fix",$G101,$G101*(1+$H101)^($F101)),IF($D101="Fix",$G101,$G101*(1+$H101)^(2041-$E101))))))</f>
        <v/>
      </c>
      <c r="AG101" s="16">
        <f>IF($A101="","",IF(2042&lt;$E101,"",IF($D101="Manuell","",IF(2042&gt;$E101+$F101,IF($D101="Fix",$G101,$G101*(1+$H101)^($F101)),IF($D101="Fix",$G101,$G101*(1+$H101)^(2042-$E101))))))</f>
        <v/>
      </c>
      <c r="AH101" s="16">
        <f>IF($A101="","",IF(2043&lt;$E101,"",IF($D101="Manuell","",IF(2043&gt;$E101+$F101,IF($D101="Fix",$G101,$G101*(1+$H101)^($F101)),IF($D101="Fix",$G101,$G101*(1+$H101)^(2043-$E101))))))</f>
        <v/>
      </c>
      <c r="AI101" s="16">
        <f>IF($A101="","",IF(2044&lt;$E101,"",IF($D101="Manuell","",IF(2044&gt;$E101+$F101,IF($D101="Fix",$G101,$G101*(1+$H101)^($F101)),IF($D101="Fix",$G101,$G101*(1+$H101)^(2044-$E101))))))</f>
        <v/>
      </c>
      <c r="AJ101" s="16">
        <f>IF($A101="","",IF(2045&lt;$E101,"",IF($D101="Manuell","",IF(2045&gt;$E101+$F101,IF($D101="Fix",$G101,$G101*(1+$H101)^($F101)),IF($D101="Fix",$G101,$G101*(1+$H101)^(2045-$E101))))))</f>
        <v/>
      </c>
      <c r="AK101" s="16">
        <f>IF($A101="","",IF(2046&lt;$E101,"",IF($D101="Manuell","",IF(2046&gt;$E101+$F101,IF($D101="Fix",$G101,$G101*(1+$H101)^($F101)),IF($D101="Fix",$G101,$G101*(1+$H101)^(2046-$E101))))))</f>
        <v/>
      </c>
      <c r="AL101" s="16">
        <f>IF($A101="","",IF(2047&lt;$E101,"",IF($D101="Manuell","",IF(2047&gt;$E101+$F101,IF($D101="Fix",$G101,$G101*(1+$H101)^($F101)),IF($D101="Fix",$G101,$G101*(1+$H101)^(2047-$E101))))))</f>
        <v/>
      </c>
      <c r="AM101" s="16">
        <f>IF($A101="","",IF(2048&lt;$E101,"",IF($D101="Manuell","",IF(2048&gt;$E101+$F101,IF($D101="Fix",$G101,$G101*(1+$H101)^($F101)),IF($D101="Fix",$G101,$G101*(1+$H101)^(2048-$E101))))))</f>
        <v/>
      </c>
      <c r="AN101" s="16">
        <f>IF($A101="","",IF(2049&lt;$E101,"",IF($D101="Manuell","",IF(2049&gt;$E101+$F101,IF($D101="Fix",$G101,$G101*(1+$H101)^($F101)),IF($D101="Fix",$G101,$G101*(1+$H101)^(2049-$E101))))))</f>
        <v/>
      </c>
      <c r="AO101" s="16">
        <f>IF($A101="","",IF(2050&lt;$E101,"",IF($D101="Manuell","",IF(2050&gt;$E101+$F101,IF($D101="Fix",$G101,$G101*(1+$H101)^($F101)),IF($D101="Fix",$G101,$G101*(1+$H101)^(2050-$E101))))))</f>
        <v/>
      </c>
      <c r="AP101" s="16">
        <f>IF($A101="","",IF(2051&lt;$E101,"",IF($D101="Manuell","",IF(2051&gt;$E101+$F101,IF($D101="Fix",$G101,$G101*(1+$H101)^($F101)),IF($D101="Fix",$G101,$G101*(1+$H101)^(2051-$E101))))))</f>
        <v/>
      </c>
      <c r="AQ101" s="16">
        <f>IF($A101="","",IF(2052&lt;$E101,"",IF($D101="Manuell","",IF(2052&gt;$E101+$F101,IF($D101="Fix",$G101,$G101*(1+$H101)^($F101)),IF($D101="Fix",$G101,$G101*(1+$H101)^(2052-$E101))))))</f>
        <v/>
      </c>
      <c r="AR101" s="16">
        <f>IF($A101="","",IF(2053&lt;$E101,"",IF($D101="Manuell","",IF(2053&gt;$E101+$F101,IF($D101="Fix",$G101,$G101*(1+$H101)^($F101)),IF($D101="Fix",$G101,$G101*(1+$H101)^(2053-$E101))))))</f>
        <v/>
      </c>
      <c r="AS101" s="16">
        <f>IF($A101="","",IF(2054&lt;$E101,"",IF($D101="Manuell","",IF(2054&gt;$E101+$F101,IF($D101="Fix",$G101,$G101*(1+$H101)^($F101)),IF($D101="Fix",$G101,$G101*(1+$H101)^(2054-$E101))))))</f>
        <v/>
      </c>
      <c r="AT101" s="16">
        <f>IF($A101="","",IF(2055&lt;$E101,"",IF($D101="Manuell","",IF(2055&gt;$E101+$F101,IF($D101="Fix",$G101,$G101*(1+$H101)^($F101)),IF($D101="Fix",$G101,$G101*(1+$H101)^(2055-$E101))))))</f>
        <v/>
      </c>
    </row>
    <row r="102">
      <c r="A102" s="14" t="inlineStr"/>
      <c r="B102" s="14" t="inlineStr"/>
      <c r="C102" s="14" t="inlineStr"/>
      <c r="D102" s="14" t="inlineStr"/>
      <c r="E102" s="11" t="inlineStr"/>
      <c r="F102" s="11" t="inlineStr"/>
      <c r="G102" s="15" t="inlineStr"/>
      <c r="H102" s="15" t="inlineStr"/>
      <c r="I102" s="16">
        <f>IF($A102="","",IF(2018&lt;$E102,"",IF($D102="Manuell","",IF(2018&gt;$E102+$F102,IF($D102="Fix",$G102,$G102*(1+$H102)^($F102)),IF($D102="Fix",$G102,$G102*(1+$H102)^(2018-$E102))))))</f>
        <v/>
      </c>
      <c r="J102" s="16">
        <f>IF($A102="","",IF(2019&lt;$E102,"",IF($D102="Manuell","",IF(2019&gt;$E102+$F102,IF($D102="Fix",$G102,$G102*(1+$H102)^($F102)),IF($D102="Fix",$G102,$G102*(1+$H102)^(2019-$E102))))))</f>
        <v/>
      </c>
      <c r="K102" s="16">
        <f>IF($A102="","",IF(2020&lt;$E102,"",IF($D102="Manuell","",IF(2020&gt;$E102+$F102,IF($D102="Fix",$G102,$G102*(1+$H102)^($F102)),IF($D102="Fix",$G102,$G102*(1+$H102)^(2020-$E102))))))</f>
        <v/>
      </c>
      <c r="L102" s="16">
        <f>IF($A102="","",IF(2021&lt;$E102,"",IF($D102="Manuell","",IF(2021&gt;$E102+$F102,IF($D102="Fix",$G102,$G102*(1+$H102)^($F102)),IF($D102="Fix",$G102,$G102*(1+$H102)^(2021-$E102))))))</f>
        <v/>
      </c>
      <c r="M102" s="16">
        <f>IF($A102="","",IF(2022&lt;$E102,"",IF($D102="Manuell","",IF(2022&gt;$E102+$F102,IF($D102="Fix",$G102,$G102*(1+$H102)^($F102)),IF($D102="Fix",$G102,$G102*(1+$H102)^(2022-$E102))))))</f>
        <v/>
      </c>
      <c r="N102" s="16">
        <f>IF($A102="","",IF(2023&lt;$E102,"",IF($D102="Manuell","",IF(2023&gt;$E102+$F102,IF($D102="Fix",$G102,$G102*(1+$H102)^($F102)),IF($D102="Fix",$G102,$G102*(1+$H102)^(2023-$E102))))))</f>
        <v/>
      </c>
      <c r="O102" s="16">
        <f>IF($A102="","",IF(2024&lt;$E102,"",IF($D102="Manuell","",IF(2024&gt;$E102+$F102,IF($D102="Fix",$G102,$G102*(1+$H102)^($F102)),IF($D102="Fix",$G102,$G102*(1+$H102)^(2024-$E102))))))</f>
        <v/>
      </c>
      <c r="P102" s="16">
        <f>IF($A102="","",IF(2025&lt;$E102,"",IF($D102="Manuell","",IF(2025&gt;$E102+$F102,IF($D102="Fix",$G102,$G102*(1+$H102)^($F102)),IF($D102="Fix",$G102,$G102*(1+$H102)^(2025-$E102))))))</f>
        <v/>
      </c>
      <c r="Q102" s="16">
        <f>IF($A102="","",IF(2026&lt;$E102,"",IF($D102="Manuell","",IF(2026&gt;$E102+$F102,IF($D102="Fix",$G102,$G102*(1+$H102)^($F102)),IF($D102="Fix",$G102,$G102*(1+$H102)^(2026-$E102))))))</f>
        <v/>
      </c>
      <c r="R102" s="16">
        <f>IF($A102="","",IF(2027&lt;$E102,"",IF($D102="Manuell","",IF(2027&gt;$E102+$F102,IF($D102="Fix",$G102,$G102*(1+$H102)^($F102)),IF($D102="Fix",$G102,$G102*(1+$H102)^(2027-$E102))))))</f>
        <v/>
      </c>
      <c r="S102" s="16">
        <f>IF($A102="","",IF(2028&lt;$E102,"",IF($D102="Manuell","",IF(2028&gt;$E102+$F102,IF($D102="Fix",$G102,$G102*(1+$H102)^($F102)),IF($D102="Fix",$G102,$G102*(1+$H102)^(2028-$E102))))))</f>
        <v/>
      </c>
      <c r="T102" s="16">
        <f>IF($A102="","",IF(2029&lt;$E102,"",IF($D102="Manuell","",IF(2029&gt;$E102+$F102,IF($D102="Fix",$G102,$G102*(1+$H102)^($F102)),IF($D102="Fix",$G102,$G102*(1+$H102)^(2029-$E102))))))</f>
        <v/>
      </c>
      <c r="U102" s="16">
        <f>IF($A102="","",IF(2030&lt;$E102,"",IF($D102="Manuell","",IF(2030&gt;$E102+$F102,IF($D102="Fix",$G102,$G102*(1+$H102)^($F102)),IF($D102="Fix",$G102,$G102*(1+$H102)^(2030-$E102))))))</f>
        <v/>
      </c>
      <c r="V102" s="16">
        <f>IF($A102="","",IF(2031&lt;$E102,"",IF($D102="Manuell","",IF(2031&gt;$E102+$F102,IF($D102="Fix",$G102,$G102*(1+$H102)^($F102)),IF($D102="Fix",$G102,$G102*(1+$H102)^(2031-$E102))))))</f>
        <v/>
      </c>
      <c r="W102" s="16">
        <f>IF($A102="","",IF(2032&lt;$E102,"",IF($D102="Manuell","",IF(2032&gt;$E102+$F102,IF($D102="Fix",$G102,$G102*(1+$H102)^($F102)),IF($D102="Fix",$G102,$G102*(1+$H102)^(2032-$E102))))))</f>
        <v/>
      </c>
      <c r="X102" s="16">
        <f>IF($A102="","",IF(2033&lt;$E102,"",IF($D102="Manuell","",IF(2033&gt;$E102+$F102,IF($D102="Fix",$G102,$G102*(1+$H102)^($F102)),IF($D102="Fix",$G102,$G102*(1+$H102)^(2033-$E102))))))</f>
        <v/>
      </c>
      <c r="Y102" s="16">
        <f>IF($A102="","",IF(2034&lt;$E102,"",IF($D102="Manuell","",IF(2034&gt;$E102+$F102,IF($D102="Fix",$G102,$G102*(1+$H102)^($F102)),IF($D102="Fix",$G102,$G102*(1+$H102)^(2034-$E102))))))</f>
        <v/>
      </c>
      <c r="Z102" s="16">
        <f>IF($A102="","",IF(2035&lt;$E102,"",IF($D102="Manuell","",IF(2035&gt;$E102+$F102,IF($D102="Fix",$G102,$G102*(1+$H102)^($F102)),IF($D102="Fix",$G102,$G102*(1+$H102)^(2035-$E102))))))</f>
        <v/>
      </c>
      <c r="AA102" s="16">
        <f>IF($A102="","",IF(2036&lt;$E102,"",IF($D102="Manuell","",IF(2036&gt;$E102+$F102,IF($D102="Fix",$G102,$G102*(1+$H102)^($F102)),IF($D102="Fix",$G102,$G102*(1+$H102)^(2036-$E102))))))</f>
        <v/>
      </c>
      <c r="AB102" s="16">
        <f>IF($A102="","",IF(2037&lt;$E102,"",IF($D102="Manuell","",IF(2037&gt;$E102+$F102,IF($D102="Fix",$G102,$G102*(1+$H102)^($F102)),IF($D102="Fix",$G102,$G102*(1+$H102)^(2037-$E102))))))</f>
        <v/>
      </c>
      <c r="AC102" s="16">
        <f>IF($A102="","",IF(2038&lt;$E102,"",IF($D102="Manuell","",IF(2038&gt;$E102+$F102,IF($D102="Fix",$G102,$G102*(1+$H102)^($F102)),IF($D102="Fix",$G102,$G102*(1+$H102)^(2038-$E102))))))</f>
        <v/>
      </c>
      <c r="AD102" s="16">
        <f>IF($A102="","",IF(2039&lt;$E102,"",IF($D102="Manuell","",IF(2039&gt;$E102+$F102,IF($D102="Fix",$G102,$G102*(1+$H102)^($F102)),IF($D102="Fix",$G102,$G102*(1+$H102)^(2039-$E102))))))</f>
        <v/>
      </c>
      <c r="AE102" s="16">
        <f>IF($A102="","",IF(2040&lt;$E102,"",IF($D102="Manuell","",IF(2040&gt;$E102+$F102,IF($D102="Fix",$G102,$G102*(1+$H102)^($F102)),IF($D102="Fix",$G102,$G102*(1+$H102)^(2040-$E102))))))</f>
        <v/>
      </c>
      <c r="AF102" s="16">
        <f>IF($A102="","",IF(2041&lt;$E102,"",IF($D102="Manuell","",IF(2041&gt;$E102+$F102,IF($D102="Fix",$G102,$G102*(1+$H102)^($F102)),IF($D102="Fix",$G102,$G102*(1+$H102)^(2041-$E102))))))</f>
        <v/>
      </c>
      <c r="AG102" s="16">
        <f>IF($A102="","",IF(2042&lt;$E102,"",IF($D102="Manuell","",IF(2042&gt;$E102+$F102,IF($D102="Fix",$G102,$G102*(1+$H102)^($F102)),IF($D102="Fix",$G102,$G102*(1+$H102)^(2042-$E102))))))</f>
        <v/>
      </c>
      <c r="AH102" s="16">
        <f>IF($A102="","",IF(2043&lt;$E102,"",IF($D102="Manuell","",IF(2043&gt;$E102+$F102,IF($D102="Fix",$G102,$G102*(1+$H102)^($F102)),IF($D102="Fix",$G102,$G102*(1+$H102)^(2043-$E102))))))</f>
        <v/>
      </c>
      <c r="AI102" s="16">
        <f>IF($A102="","",IF(2044&lt;$E102,"",IF($D102="Manuell","",IF(2044&gt;$E102+$F102,IF($D102="Fix",$G102,$G102*(1+$H102)^($F102)),IF($D102="Fix",$G102,$G102*(1+$H102)^(2044-$E102))))))</f>
        <v/>
      </c>
      <c r="AJ102" s="16">
        <f>IF($A102="","",IF(2045&lt;$E102,"",IF($D102="Manuell","",IF(2045&gt;$E102+$F102,IF($D102="Fix",$G102,$G102*(1+$H102)^($F102)),IF($D102="Fix",$G102,$G102*(1+$H102)^(2045-$E102))))))</f>
        <v/>
      </c>
      <c r="AK102" s="16">
        <f>IF($A102="","",IF(2046&lt;$E102,"",IF($D102="Manuell","",IF(2046&gt;$E102+$F102,IF($D102="Fix",$G102,$G102*(1+$H102)^($F102)),IF($D102="Fix",$G102,$G102*(1+$H102)^(2046-$E102))))))</f>
        <v/>
      </c>
      <c r="AL102" s="16">
        <f>IF($A102="","",IF(2047&lt;$E102,"",IF($D102="Manuell","",IF(2047&gt;$E102+$F102,IF($D102="Fix",$G102,$G102*(1+$H102)^($F102)),IF($D102="Fix",$G102,$G102*(1+$H102)^(2047-$E102))))))</f>
        <v/>
      </c>
      <c r="AM102" s="16">
        <f>IF($A102="","",IF(2048&lt;$E102,"",IF($D102="Manuell","",IF(2048&gt;$E102+$F102,IF($D102="Fix",$G102,$G102*(1+$H102)^($F102)),IF($D102="Fix",$G102,$G102*(1+$H102)^(2048-$E102))))))</f>
        <v/>
      </c>
      <c r="AN102" s="16">
        <f>IF($A102="","",IF(2049&lt;$E102,"",IF($D102="Manuell","",IF(2049&gt;$E102+$F102,IF($D102="Fix",$G102,$G102*(1+$H102)^($F102)),IF($D102="Fix",$G102,$G102*(1+$H102)^(2049-$E102))))))</f>
        <v/>
      </c>
      <c r="AO102" s="16">
        <f>IF($A102="","",IF(2050&lt;$E102,"",IF($D102="Manuell","",IF(2050&gt;$E102+$F102,IF($D102="Fix",$G102,$G102*(1+$H102)^($F102)),IF($D102="Fix",$G102,$G102*(1+$H102)^(2050-$E102))))))</f>
        <v/>
      </c>
      <c r="AP102" s="16">
        <f>IF($A102="","",IF(2051&lt;$E102,"",IF($D102="Manuell","",IF(2051&gt;$E102+$F102,IF($D102="Fix",$G102,$G102*(1+$H102)^($F102)),IF($D102="Fix",$G102,$G102*(1+$H102)^(2051-$E102))))))</f>
        <v/>
      </c>
      <c r="AQ102" s="16">
        <f>IF($A102="","",IF(2052&lt;$E102,"",IF($D102="Manuell","",IF(2052&gt;$E102+$F102,IF($D102="Fix",$G102,$G102*(1+$H102)^($F102)),IF($D102="Fix",$G102,$G102*(1+$H102)^(2052-$E102))))))</f>
        <v/>
      </c>
      <c r="AR102" s="16">
        <f>IF($A102="","",IF(2053&lt;$E102,"",IF($D102="Manuell","",IF(2053&gt;$E102+$F102,IF($D102="Fix",$G102,$G102*(1+$H102)^($F102)),IF($D102="Fix",$G102,$G102*(1+$H102)^(2053-$E102))))))</f>
        <v/>
      </c>
      <c r="AS102" s="16">
        <f>IF($A102="","",IF(2054&lt;$E102,"",IF($D102="Manuell","",IF(2054&gt;$E102+$F102,IF($D102="Fix",$G102,$G102*(1+$H102)^($F102)),IF($D102="Fix",$G102,$G102*(1+$H102)^(2054-$E102))))))</f>
        <v/>
      </c>
      <c r="AT102" s="16">
        <f>IF($A102="","",IF(2055&lt;$E102,"",IF($D102="Manuell","",IF(2055&gt;$E102+$F102,IF($D102="Fix",$G102,$G102*(1+$H102)^($F102)),IF($D102="Fix",$G102,$G102*(1+$H102)^(2055-$E102))))))</f>
        <v/>
      </c>
    </row>
    <row r="103">
      <c r="A103" s="14" t="inlineStr"/>
      <c r="B103" s="14" t="inlineStr"/>
      <c r="C103" s="14" t="inlineStr"/>
      <c r="D103" s="14" t="inlineStr"/>
      <c r="E103" s="11" t="inlineStr"/>
      <c r="F103" s="11" t="inlineStr"/>
      <c r="G103" s="15" t="inlineStr"/>
      <c r="H103" s="15" t="inlineStr"/>
      <c r="I103" s="16">
        <f>IF($A103="","",IF(2018&lt;$E103,"",IF($D103="Manuell","",IF(2018&gt;$E103+$F103,IF($D103="Fix",$G103,$G103*(1+$H103)^($F103)),IF($D103="Fix",$G103,$G103*(1+$H103)^(2018-$E103))))))</f>
        <v/>
      </c>
      <c r="J103" s="16">
        <f>IF($A103="","",IF(2019&lt;$E103,"",IF($D103="Manuell","",IF(2019&gt;$E103+$F103,IF($D103="Fix",$G103,$G103*(1+$H103)^($F103)),IF($D103="Fix",$G103,$G103*(1+$H103)^(2019-$E103))))))</f>
        <v/>
      </c>
      <c r="K103" s="16">
        <f>IF($A103="","",IF(2020&lt;$E103,"",IF($D103="Manuell","",IF(2020&gt;$E103+$F103,IF($D103="Fix",$G103,$G103*(1+$H103)^($F103)),IF($D103="Fix",$G103,$G103*(1+$H103)^(2020-$E103))))))</f>
        <v/>
      </c>
      <c r="L103" s="16">
        <f>IF($A103="","",IF(2021&lt;$E103,"",IF($D103="Manuell","",IF(2021&gt;$E103+$F103,IF($D103="Fix",$G103,$G103*(1+$H103)^($F103)),IF($D103="Fix",$G103,$G103*(1+$H103)^(2021-$E103))))))</f>
        <v/>
      </c>
      <c r="M103" s="16">
        <f>IF($A103="","",IF(2022&lt;$E103,"",IF($D103="Manuell","",IF(2022&gt;$E103+$F103,IF($D103="Fix",$G103,$G103*(1+$H103)^($F103)),IF($D103="Fix",$G103,$G103*(1+$H103)^(2022-$E103))))))</f>
        <v/>
      </c>
      <c r="N103" s="16">
        <f>IF($A103="","",IF(2023&lt;$E103,"",IF($D103="Manuell","",IF(2023&gt;$E103+$F103,IF($D103="Fix",$G103,$G103*(1+$H103)^($F103)),IF($D103="Fix",$G103,$G103*(1+$H103)^(2023-$E103))))))</f>
        <v/>
      </c>
      <c r="O103" s="16">
        <f>IF($A103="","",IF(2024&lt;$E103,"",IF($D103="Manuell","",IF(2024&gt;$E103+$F103,IF($D103="Fix",$G103,$G103*(1+$H103)^($F103)),IF($D103="Fix",$G103,$G103*(1+$H103)^(2024-$E103))))))</f>
        <v/>
      </c>
      <c r="P103" s="16">
        <f>IF($A103="","",IF(2025&lt;$E103,"",IF($D103="Manuell","",IF(2025&gt;$E103+$F103,IF($D103="Fix",$G103,$G103*(1+$H103)^($F103)),IF($D103="Fix",$G103,$G103*(1+$H103)^(2025-$E103))))))</f>
        <v/>
      </c>
      <c r="Q103" s="16">
        <f>IF($A103="","",IF(2026&lt;$E103,"",IF($D103="Manuell","",IF(2026&gt;$E103+$F103,IF($D103="Fix",$G103,$G103*(1+$H103)^($F103)),IF($D103="Fix",$G103,$G103*(1+$H103)^(2026-$E103))))))</f>
        <v/>
      </c>
      <c r="R103" s="16">
        <f>IF($A103="","",IF(2027&lt;$E103,"",IF($D103="Manuell","",IF(2027&gt;$E103+$F103,IF($D103="Fix",$G103,$G103*(1+$H103)^($F103)),IF($D103="Fix",$G103,$G103*(1+$H103)^(2027-$E103))))))</f>
        <v/>
      </c>
      <c r="S103" s="16">
        <f>IF($A103="","",IF(2028&lt;$E103,"",IF($D103="Manuell","",IF(2028&gt;$E103+$F103,IF($D103="Fix",$G103,$G103*(1+$H103)^($F103)),IF($D103="Fix",$G103,$G103*(1+$H103)^(2028-$E103))))))</f>
        <v/>
      </c>
      <c r="T103" s="16">
        <f>IF($A103="","",IF(2029&lt;$E103,"",IF($D103="Manuell","",IF(2029&gt;$E103+$F103,IF($D103="Fix",$G103,$G103*(1+$H103)^($F103)),IF($D103="Fix",$G103,$G103*(1+$H103)^(2029-$E103))))))</f>
        <v/>
      </c>
      <c r="U103" s="16">
        <f>IF($A103="","",IF(2030&lt;$E103,"",IF($D103="Manuell","",IF(2030&gt;$E103+$F103,IF($D103="Fix",$G103,$G103*(1+$H103)^($F103)),IF($D103="Fix",$G103,$G103*(1+$H103)^(2030-$E103))))))</f>
        <v/>
      </c>
      <c r="V103" s="16">
        <f>IF($A103="","",IF(2031&lt;$E103,"",IF($D103="Manuell","",IF(2031&gt;$E103+$F103,IF($D103="Fix",$G103,$G103*(1+$H103)^($F103)),IF($D103="Fix",$G103,$G103*(1+$H103)^(2031-$E103))))))</f>
        <v/>
      </c>
      <c r="W103" s="16">
        <f>IF($A103="","",IF(2032&lt;$E103,"",IF($D103="Manuell","",IF(2032&gt;$E103+$F103,IF($D103="Fix",$G103,$G103*(1+$H103)^($F103)),IF($D103="Fix",$G103,$G103*(1+$H103)^(2032-$E103))))))</f>
        <v/>
      </c>
      <c r="X103" s="16">
        <f>IF($A103="","",IF(2033&lt;$E103,"",IF($D103="Manuell","",IF(2033&gt;$E103+$F103,IF($D103="Fix",$G103,$G103*(1+$H103)^($F103)),IF($D103="Fix",$G103,$G103*(1+$H103)^(2033-$E103))))))</f>
        <v/>
      </c>
      <c r="Y103" s="16">
        <f>IF($A103="","",IF(2034&lt;$E103,"",IF($D103="Manuell","",IF(2034&gt;$E103+$F103,IF($D103="Fix",$G103,$G103*(1+$H103)^($F103)),IF($D103="Fix",$G103,$G103*(1+$H103)^(2034-$E103))))))</f>
        <v/>
      </c>
      <c r="Z103" s="16">
        <f>IF($A103="","",IF(2035&lt;$E103,"",IF($D103="Manuell","",IF(2035&gt;$E103+$F103,IF($D103="Fix",$G103,$G103*(1+$H103)^($F103)),IF($D103="Fix",$G103,$G103*(1+$H103)^(2035-$E103))))))</f>
        <v/>
      </c>
      <c r="AA103" s="16">
        <f>IF($A103="","",IF(2036&lt;$E103,"",IF($D103="Manuell","",IF(2036&gt;$E103+$F103,IF($D103="Fix",$G103,$G103*(1+$H103)^($F103)),IF($D103="Fix",$G103,$G103*(1+$H103)^(2036-$E103))))))</f>
        <v/>
      </c>
      <c r="AB103" s="16">
        <f>IF($A103="","",IF(2037&lt;$E103,"",IF($D103="Manuell","",IF(2037&gt;$E103+$F103,IF($D103="Fix",$G103,$G103*(1+$H103)^($F103)),IF($D103="Fix",$G103,$G103*(1+$H103)^(2037-$E103))))))</f>
        <v/>
      </c>
      <c r="AC103" s="16">
        <f>IF($A103="","",IF(2038&lt;$E103,"",IF($D103="Manuell","",IF(2038&gt;$E103+$F103,IF($D103="Fix",$G103,$G103*(1+$H103)^($F103)),IF($D103="Fix",$G103,$G103*(1+$H103)^(2038-$E103))))))</f>
        <v/>
      </c>
      <c r="AD103" s="16">
        <f>IF($A103="","",IF(2039&lt;$E103,"",IF($D103="Manuell","",IF(2039&gt;$E103+$F103,IF($D103="Fix",$G103,$G103*(1+$H103)^($F103)),IF($D103="Fix",$G103,$G103*(1+$H103)^(2039-$E103))))))</f>
        <v/>
      </c>
      <c r="AE103" s="16">
        <f>IF($A103="","",IF(2040&lt;$E103,"",IF($D103="Manuell","",IF(2040&gt;$E103+$F103,IF($D103="Fix",$G103,$G103*(1+$H103)^($F103)),IF($D103="Fix",$G103,$G103*(1+$H103)^(2040-$E103))))))</f>
        <v/>
      </c>
      <c r="AF103" s="16">
        <f>IF($A103="","",IF(2041&lt;$E103,"",IF($D103="Manuell","",IF(2041&gt;$E103+$F103,IF($D103="Fix",$G103,$G103*(1+$H103)^($F103)),IF($D103="Fix",$G103,$G103*(1+$H103)^(2041-$E103))))))</f>
        <v/>
      </c>
      <c r="AG103" s="16">
        <f>IF($A103="","",IF(2042&lt;$E103,"",IF($D103="Manuell","",IF(2042&gt;$E103+$F103,IF($D103="Fix",$G103,$G103*(1+$H103)^($F103)),IF($D103="Fix",$G103,$G103*(1+$H103)^(2042-$E103))))))</f>
        <v/>
      </c>
      <c r="AH103" s="16">
        <f>IF($A103="","",IF(2043&lt;$E103,"",IF($D103="Manuell","",IF(2043&gt;$E103+$F103,IF($D103="Fix",$G103,$G103*(1+$H103)^($F103)),IF($D103="Fix",$G103,$G103*(1+$H103)^(2043-$E103))))))</f>
        <v/>
      </c>
      <c r="AI103" s="16">
        <f>IF($A103="","",IF(2044&lt;$E103,"",IF($D103="Manuell","",IF(2044&gt;$E103+$F103,IF($D103="Fix",$G103,$G103*(1+$H103)^($F103)),IF($D103="Fix",$G103,$G103*(1+$H103)^(2044-$E103))))))</f>
        <v/>
      </c>
      <c r="AJ103" s="16">
        <f>IF($A103="","",IF(2045&lt;$E103,"",IF($D103="Manuell","",IF(2045&gt;$E103+$F103,IF($D103="Fix",$G103,$G103*(1+$H103)^($F103)),IF($D103="Fix",$G103,$G103*(1+$H103)^(2045-$E103))))))</f>
        <v/>
      </c>
      <c r="AK103" s="16">
        <f>IF($A103="","",IF(2046&lt;$E103,"",IF($D103="Manuell","",IF(2046&gt;$E103+$F103,IF($D103="Fix",$G103,$G103*(1+$H103)^($F103)),IF($D103="Fix",$G103,$G103*(1+$H103)^(2046-$E103))))))</f>
        <v/>
      </c>
      <c r="AL103" s="16">
        <f>IF($A103="","",IF(2047&lt;$E103,"",IF($D103="Manuell","",IF(2047&gt;$E103+$F103,IF($D103="Fix",$G103,$G103*(1+$H103)^($F103)),IF($D103="Fix",$G103,$G103*(1+$H103)^(2047-$E103))))))</f>
        <v/>
      </c>
      <c r="AM103" s="16">
        <f>IF($A103="","",IF(2048&lt;$E103,"",IF($D103="Manuell","",IF(2048&gt;$E103+$F103,IF($D103="Fix",$G103,$G103*(1+$H103)^($F103)),IF($D103="Fix",$G103,$G103*(1+$H103)^(2048-$E103))))))</f>
        <v/>
      </c>
      <c r="AN103" s="16">
        <f>IF($A103="","",IF(2049&lt;$E103,"",IF($D103="Manuell","",IF(2049&gt;$E103+$F103,IF($D103="Fix",$G103,$G103*(1+$H103)^($F103)),IF($D103="Fix",$G103,$G103*(1+$H103)^(2049-$E103))))))</f>
        <v/>
      </c>
      <c r="AO103" s="16">
        <f>IF($A103="","",IF(2050&lt;$E103,"",IF($D103="Manuell","",IF(2050&gt;$E103+$F103,IF($D103="Fix",$G103,$G103*(1+$H103)^($F103)),IF($D103="Fix",$G103,$G103*(1+$H103)^(2050-$E103))))))</f>
        <v/>
      </c>
      <c r="AP103" s="16">
        <f>IF($A103="","",IF(2051&lt;$E103,"",IF($D103="Manuell","",IF(2051&gt;$E103+$F103,IF($D103="Fix",$G103,$G103*(1+$H103)^($F103)),IF($D103="Fix",$G103,$G103*(1+$H103)^(2051-$E103))))))</f>
        <v/>
      </c>
      <c r="AQ103" s="16">
        <f>IF($A103="","",IF(2052&lt;$E103,"",IF($D103="Manuell","",IF(2052&gt;$E103+$F103,IF($D103="Fix",$G103,$G103*(1+$H103)^($F103)),IF($D103="Fix",$G103,$G103*(1+$H103)^(2052-$E103))))))</f>
        <v/>
      </c>
      <c r="AR103" s="16">
        <f>IF($A103="","",IF(2053&lt;$E103,"",IF($D103="Manuell","",IF(2053&gt;$E103+$F103,IF($D103="Fix",$G103,$G103*(1+$H103)^($F103)),IF($D103="Fix",$G103,$G103*(1+$H103)^(2053-$E103))))))</f>
        <v/>
      </c>
      <c r="AS103" s="16">
        <f>IF($A103="","",IF(2054&lt;$E103,"",IF($D103="Manuell","",IF(2054&gt;$E103+$F103,IF($D103="Fix",$G103,$G103*(1+$H103)^($F103)),IF($D103="Fix",$G103,$G103*(1+$H103)^(2054-$E103))))))</f>
        <v/>
      </c>
      <c r="AT103" s="16">
        <f>IF($A103="","",IF(2055&lt;$E103,"",IF($D103="Manuell","",IF(2055&gt;$E103+$F103,IF($D103="Fix",$G103,$G103*(1+$H103)^($F103)),IF($D103="Fix",$G103,$G103*(1+$H103)^(2055-$E103))))))</f>
        <v/>
      </c>
    </row>
  </sheetData>
  <dataValidations count="1">
    <dataValidation sqref="D4:D103" showDropDown="0" showInputMessage="0" showErrorMessage="0" allowBlank="1" type="list">
      <formula1>"Fix,CAGR,Manuell"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40" customWidth="1" min="3" max="3"/>
    <col width="18" customWidth="1" min="4" max="4"/>
    <col width="14" customWidth="1" min="5" max="5"/>
    <col width="16" customWidth="1" min="6" max="6"/>
    <col width="18" customWidth="1" min="7" max="7"/>
    <col width="12" customWidth="1" min="8" max="8"/>
    <col width="16" customWidth="1" min="9" max="9"/>
    <col width="12" customWidth="1" min="10" max="10"/>
    <col width="12" customWidth="1" min="11" max="11"/>
    <col width="22" customWidth="1" min="12" max="12"/>
    <col width="24" customWidth="1" min="13" max="13"/>
    <col width="18" customWidth="1" min="14" max="14"/>
    <col width="14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18" customWidth="1" min="27" max="27"/>
    <col width="34" customWidth="1" min="28" max="28"/>
    <col width="26" customWidth="1" min="29" max="29"/>
  </cols>
  <sheetData>
    <row r="1">
      <c r="A1" s="4" t="inlineStr">
        <is>
          <t>ID</t>
        </is>
      </c>
      <c r="B1" s="4" t="inlineStr">
        <is>
          <t>Action Name</t>
        </is>
      </c>
      <c r="C1" s="4" t="inlineStr">
        <is>
          <t>Beschreibung</t>
        </is>
      </c>
      <c r="D1" s="4" t="inlineStr">
        <is>
          <t>Verantwortlich</t>
        </is>
      </c>
      <c r="E1" s="4" t="inlineStr">
        <is>
          <t>Startdatum</t>
        </is>
      </c>
      <c r="F1" s="4" t="inlineStr">
        <is>
          <t>Zieldatum (Go-Live)</t>
        </is>
      </c>
      <c r="G1" s="4" t="inlineStr">
        <is>
          <t>NH KPI</t>
        </is>
      </c>
      <c r="H1" s="4" t="inlineStr">
        <is>
          <t>KPI Einheit</t>
        </is>
      </c>
      <c r="I1" s="4" t="inlineStr">
        <is>
          <t>KPI Baseline p.a.</t>
        </is>
      </c>
      <c r="J1" s="4" t="inlineStr">
        <is>
          <t>Impact Typ</t>
        </is>
      </c>
      <c r="K1" s="4" t="inlineStr">
        <is>
          <t>Impact Wert</t>
        </is>
      </c>
      <c r="L1" s="4" t="inlineStr">
        <is>
          <t>Monetarisierung Fix €/Einheit</t>
        </is>
      </c>
      <c r="M1" s="4" t="inlineStr">
        <is>
          <t>Monetarisierungs-Variable</t>
        </is>
      </c>
      <c r="N1" s="4" t="inlineStr">
        <is>
          <t>Abschreibungsdauer (Jahre)</t>
        </is>
      </c>
      <c r="O1" s="4" t="inlineStr">
        <is>
          <t>CAPEX Equipment</t>
        </is>
      </c>
      <c r="P1" s="4" t="inlineStr">
        <is>
          <t>CAPEX Installation</t>
        </is>
      </c>
      <c r="Q1" s="4" t="inlineStr">
        <is>
          <t>CAPEX Software</t>
        </is>
      </c>
      <c r="R1" s="4" t="inlineStr">
        <is>
          <t>CAPEX Beratung</t>
        </is>
      </c>
      <c r="S1" s="4" t="inlineStr">
        <is>
          <t>CAPEX Sonstiges</t>
        </is>
      </c>
      <c r="T1" s="4" t="inlineStr">
        <is>
          <t>CAPEX Total</t>
        </is>
      </c>
      <c r="U1" s="4" t="inlineStr">
        <is>
          <t>OPEX Wartung</t>
        </is>
      </c>
      <c r="V1" s="4" t="inlineStr">
        <is>
          <t>OPEX Lizenzen</t>
        </is>
      </c>
      <c r="W1" s="4" t="inlineStr">
        <is>
          <t>OPEX Personal</t>
        </is>
      </c>
      <c r="X1" s="4" t="inlineStr">
        <is>
          <t>OPEX Sonstiges</t>
        </is>
      </c>
      <c r="Y1" s="4" t="inlineStr">
        <is>
          <t>OPEX Total</t>
        </is>
      </c>
      <c r="Z1" s="4" t="inlineStr">
        <is>
          <t>Sonst. Nutzen € p.a.</t>
        </is>
      </c>
      <c r="AA1" s="4" t="inlineStr">
        <is>
          <t>Sonst. Kosten € p.a.</t>
        </is>
      </c>
      <c r="AB1" s="4" t="inlineStr">
        <is>
          <t>Warum/Wieso (Begründung)</t>
        </is>
      </c>
      <c r="AC1" s="4" t="inlineStr">
        <is>
          <t>Notizen/Annahmen</t>
        </is>
      </c>
    </row>
    <row r="2">
      <c r="A2" s="12" t="inlineStr">
        <is>
          <t>A001</t>
        </is>
      </c>
      <c r="B2" s="14" t="inlineStr">
        <is>
          <t>LED-Umrüstung</t>
        </is>
      </c>
      <c r="C2" s="14" t="inlineStr">
        <is>
          <t>Austausch Beleuchtung auf LED</t>
        </is>
      </c>
      <c r="D2" s="14" t="inlineStr">
        <is>
          <t>Owner A</t>
        </is>
      </c>
      <c r="E2" s="17" t="n">
        <v>46054</v>
      </c>
      <c r="F2" s="17" t="n">
        <v>46174</v>
      </c>
      <c r="G2" s="14" t="inlineStr">
        <is>
          <t>Energieverbrauch</t>
        </is>
      </c>
      <c r="H2" s="14" t="inlineStr">
        <is>
          <t>kWh</t>
        </is>
      </c>
      <c r="I2" s="18" t="n">
        <v>120000</v>
      </c>
      <c r="J2" s="14" t="inlineStr">
        <is>
          <t>%</t>
        </is>
      </c>
      <c r="K2" s="15" t="n">
        <v>0.15</v>
      </c>
      <c r="L2" s="15" t="n">
        <v>0.25</v>
      </c>
      <c r="M2" s="14" t="inlineStr">
        <is>
          <t>Strompreis</t>
        </is>
      </c>
      <c r="N2" s="11" t="n">
        <v>7</v>
      </c>
      <c r="O2" s="18" t="n">
        <v>15000</v>
      </c>
      <c r="P2" s="18" t="n">
        <v>2000</v>
      </c>
      <c r="Q2" s="18" t="n">
        <v>0</v>
      </c>
      <c r="R2" s="18" t="n">
        <v>0</v>
      </c>
      <c r="S2" s="18" t="n">
        <v>1000</v>
      </c>
      <c r="T2" s="18">
        <f>SUM(O2:S2)</f>
        <v/>
      </c>
      <c r="U2" s="18" t="n">
        <v>200</v>
      </c>
      <c r="V2" s="18" t="n">
        <v>0</v>
      </c>
      <c r="W2" s="18" t="n">
        <v>300</v>
      </c>
      <c r="X2" s="18" t="n">
        <v>0</v>
      </c>
      <c r="Y2" s="18">
        <f>SUM(U2:X2)</f>
        <v/>
      </c>
      <c r="Z2" s="18" t="n">
        <v>0</v>
      </c>
      <c r="AA2" s="18" t="n">
        <v>0</v>
      </c>
      <c r="AB2" s="14" t="inlineStr">
        <is>
          <t>Reduktion Strombedarf durch effizientere Beleuchtung.</t>
        </is>
      </c>
      <c r="AC2" s="14" t="inlineStr"/>
    </row>
    <row r="3">
      <c r="A3" s="12" t="inlineStr">
        <is>
          <t>A002</t>
        </is>
      </c>
      <c r="B3" s="14" t="inlineStr">
        <is>
          <t>Druckluft-Leckagen reduzieren</t>
        </is>
      </c>
      <c r="C3" s="14" t="inlineStr">
        <is>
          <t>Leckage-Programm und Monitoring</t>
        </is>
      </c>
      <c r="D3" s="14" t="inlineStr">
        <is>
          <t>Owner B</t>
        </is>
      </c>
      <c r="E3" s="17" t="n">
        <v>46023</v>
      </c>
      <c r="F3" s="17" t="n">
        <v>46113</v>
      </c>
      <c r="G3" s="14" t="inlineStr">
        <is>
          <t>Energieverbrauch</t>
        </is>
      </c>
      <c r="H3" s="14" t="inlineStr">
        <is>
          <t>kWh</t>
        </is>
      </c>
      <c r="I3" s="18" t="n">
        <v>80000</v>
      </c>
      <c r="J3" s="14" t="inlineStr">
        <is>
          <t>%</t>
        </is>
      </c>
      <c r="K3" s="15" t="n">
        <v>0.08</v>
      </c>
      <c r="L3" s="15" t="n">
        <v>0.25</v>
      </c>
      <c r="M3" s="14" t="inlineStr">
        <is>
          <t>Strompreis</t>
        </is>
      </c>
      <c r="N3" s="11" t="n">
        <v>3</v>
      </c>
      <c r="O3" s="18" t="n">
        <v>2000</v>
      </c>
      <c r="P3" s="18" t="n">
        <v>500</v>
      </c>
      <c r="Q3" s="18" t="n">
        <v>2000</v>
      </c>
      <c r="R3" s="18" t="n">
        <v>0</v>
      </c>
      <c r="S3" s="18" t="n">
        <v>0</v>
      </c>
      <c r="T3" s="18">
        <f>SUM(O3:S3)</f>
        <v/>
      </c>
      <c r="U3" s="18" t="n">
        <v>150</v>
      </c>
      <c r="V3" s="18" t="n">
        <v>500</v>
      </c>
      <c r="W3" s="18" t="n">
        <v>200</v>
      </c>
      <c r="X3" s="18" t="n">
        <v>0</v>
      </c>
      <c r="Y3" s="18">
        <f>SUM(U3:X3)</f>
        <v/>
      </c>
      <c r="Z3" s="18" t="n">
        <v>0</v>
      </c>
      <c r="AA3" s="18" t="n">
        <v>0</v>
      </c>
      <c r="AB3" s="14" t="inlineStr">
        <is>
          <t>Schnelle Effizienzgewinne, geringe Investition.</t>
        </is>
      </c>
      <c r="AC3" s="14" t="inlineStr"/>
    </row>
    <row r="4">
      <c r="A4" s="12" t="inlineStr">
        <is>
          <t>A003</t>
        </is>
      </c>
      <c r="B4" s="14" t="inlineStr">
        <is>
          <t>BMS Optimierung</t>
        </is>
      </c>
      <c r="C4" s="14" t="inlineStr">
        <is>
          <t>Gebäudeleittechnik optimieren</t>
        </is>
      </c>
      <c r="D4" s="14" t="inlineStr">
        <is>
          <t>Owner C</t>
        </is>
      </c>
      <c r="E4" s="17" t="n">
        <v>46082</v>
      </c>
      <c r="F4" s="17" t="n">
        <v>46296</v>
      </c>
      <c r="G4" s="14" t="inlineStr">
        <is>
          <t>Energieverbrauch</t>
        </is>
      </c>
      <c r="H4" s="14" t="inlineStr">
        <is>
          <t>kWh</t>
        </is>
      </c>
      <c r="I4" s="18" t="n">
        <v>250000</v>
      </c>
      <c r="J4" s="14" t="inlineStr">
        <is>
          <t>%</t>
        </is>
      </c>
      <c r="K4" s="15" t="n">
        <v>0.05</v>
      </c>
      <c r="L4" s="15" t="n">
        <v>0.25</v>
      </c>
      <c r="M4" s="14" t="inlineStr">
        <is>
          <t>Strompreis</t>
        </is>
      </c>
      <c r="N4" s="11" t="n">
        <v>5</v>
      </c>
      <c r="O4" s="18" t="n">
        <v>0</v>
      </c>
      <c r="P4" s="18" t="n">
        <v>0</v>
      </c>
      <c r="Q4" s="18" t="n">
        <v>15000</v>
      </c>
      <c r="R4" s="18" t="n">
        <v>0</v>
      </c>
      <c r="S4" s="18" t="n">
        <v>0</v>
      </c>
      <c r="T4" s="18">
        <f>SUM(O4:S4)</f>
        <v/>
      </c>
      <c r="U4" s="18" t="n">
        <v>500</v>
      </c>
      <c r="V4" s="18" t="n">
        <v>3000</v>
      </c>
      <c r="W4" s="18" t="n">
        <v>5000</v>
      </c>
      <c r="X4" s="18" t="n">
        <v>0</v>
      </c>
      <c r="Y4" s="18">
        <f>SUM(U4:X4)</f>
        <v/>
      </c>
      <c r="Z4" s="18" t="n">
        <v>0</v>
      </c>
      <c r="AA4" s="18" t="n">
        <v>0</v>
      </c>
      <c r="AB4" s="14" t="inlineStr">
        <is>
          <t>Reduziert Lastspitzen und Grundlast.</t>
        </is>
      </c>
      <c r="AC4" s="14" t="inlineStr"/>
    </row>
    <row r="5">
      <c r="A5" s="12" t="inlineStr">
        <is>
          <t>A004</t>
        </is>
      </c>
      <c r="B5" s="14" t="inlineStr">
        <is>
          <t>Wärmerückgewinnung</t>
        </is>
      </c>
      <c r="C5" s="14" t="inlineStr">
        <is>
          <t>Abwärme nutzen, Gasbedarf senken</t>
        </is>
      </c>
      <c r="D5" s="14" t="inlineStr">
        <is>
          <t>Owner D</t>
        </is>
      </c>
      <c r="E5" s="17" t="n">
        <v>46388</v>
      </c>
      <c r="F5" s="17" t="n">
        <v>46722</v>
      </c>
      <c r="G5" s="14" t="inlineStr">
        <is>
          <t>Gasverbrauch</t>
        </is>
      </c>
      <c r="H5" s="14" t="inlineStr">
        <is>
          <t>kWh</t>
        </is>
      </c>
      <c r="I5" s="18" t="n">
        <v>500000</v>
      </c>
      <c r="J5" s="14" t="inlineStr">
        <is>
          <t>%</t>
        </is>
      </c>
      <c r="K5" s="15" t="n">
        <v>0.12</v>
      </c>
      <c r="L5" s="15" t="n">
        <v>0.09</v>
      </c>
      <c r="M5" s="14" t="inlineStr">
        <is>
          <t>Gaspreis</t>
        </is>
      </c>
      <c r="N5" s="11" t="n">
        <v>10</v>
      </c>
      <c r="O5" s="18" t="n">
        <v>60000</v>
      </c>
      <c r="P5" s="18" t="n">
        <v>15000</v>
      </c>
      <c r="Q5" s="18" t="n">
        <v>0</v>
      </c>
      <c r="R5" s="18" t="n">
        <v>5000</v>
      </c>
      <c r="S5" s="18" t="n">
        <v>0</v>
      </c>
      <c r="T5" s="18">
        <f>SUM(O5:S5)</f>
        <v/>
      </c>
      <c r="U5" s="18" t="n">
        <v>1500</v>
      </c>
      <c r="V5" s="18" t="n">
        <v>0</v>
      </c>
      <c r="W5" s="18" t="n">
        <v>1500</v>
      </c>
      <c r="X5" s="18" t="n">
        <v>0</v>
      </c>
      <c r="Y5" s="18">
        <f>SUM(U5:X5)</f>
        <v/>
      </c>
      <c r="Z5" s="18" t="n">
        <v>0</v>
      </c>
      <c r="AA5" s="18" t="n">
        <v>0</v>
      </c>
      <c r="AB5" s="14" t="inlineStr">
        <is>
          <t>Energieeffizienz, mittlere Komplexität.</t>
        </is>
      </c>
      <c r="AC5" s="14" t="inlineStr"/>
    </row>
    <row r="6">
      <c r="A6" s="12" t="inlineStr">
        <is>
          <t>A005</t>
        </is>
      </c>
      <c r="B6" s="14" t="inlineStr">
        <is>
          <t>Fuhrpark optimieren</t>
        </is>
      </c>
      <c r="C6" s="14" t="inlineStr">
        <is>
          <t>Dieselverbrauch senken durch Fahrtraining</t>
        </is>
      </c>
      <c r="D6" s="14" t="inlineStr">
        <is>
          <t>Owner E</t>
        </is>
      </c>
      <c r="E6" s="17" t="n">
        <v>46539</v>
      </c>
      <c r="F6" s="17" t="n">
        <v>46661</v>
      </c>
      <c r="G6" s="14" t="inlineStr">
        <is>
          <t>Dieselverbrauch</t>
        </is>
      </c>
      <c r="H6" s="14" t="inlineStr">
        <is>
          <t>L</t>
        </is>
      </c>
      <c r="I6" s="18" t="n">
        <v>60000</v>
      </c>
      <c r="J6" s="14" t="inlineStr">
        <is>
          <t>%</t>
        </is>
      </c>
      <c r="K6" s="15" t="n">
        <v>0.08</v>
      </c>
      <c r="L6" s="15" t="n">
        <v>1.6</v>
      </c>
      <c r="M6" s="14" t="inlineStr">
        <is>
          <t>Dieselpreis</t>
        </is>
      </c>
      <c r="N6" s="11" t="n">
        <v>1</v>
      </c>
      <c r="O6" s="18" t="n">
        <v>2000</v>
      </c>
      <c r="P6" s="18" t="n">
        <v>0</v>
      </c>
      <c r="Q6" s="18" t="n">
        <v>0</v>
      </c>
      <c r="R6" s="18" t="n">
        <v>0</v>
      </c>
      <c r="S6" s="18" t="n">
        <v>0</v>
      </c>
      <c r="T6" s="18">
        <f>SUM(O6:S6)</f>
        <v/>
      </c>
      <c r="U6" s="18" t="n">
        <v>500</v>
      </c>
      <c r="V6" s="18" t="n">
        <v>0</v>
      </c>
      <c r="W6" s="18" t="n">
        <v>500</v>
      </c>
      <c r="X6" s="18" t="n">
        <v>0</v>
      </c>
      <c r="Y6" s="18">
        <f>SUM(U6:X6)</f>
        <v/>
      </c>
      <c r="Z6" s="18" t="n">
        <v>0</v>
      </c>
      <c r="AA6" s="18" t="n">
        <v>0</v>
      </c>
      <c r="AB6" s="14" t="inlineStr">
        <is>
          <t>Geringe CAPEX, schneller Effekt.</t>
        </is>
      </c>
      <c r="AC6" s="14" t="inlineStr"/>
    </row>
    <row r="7">
      <c r="A7" s="12" t="inlineStr">
        <is>
          <t>A006</t>
        </is>
      </c>
      <c r="B7" s="14" t="inlineStr">
        <is>
          <t>PV Dachanlage</t>
        </is>
      </c>
      <c r="C7" s="14" t="inlineStr">
        <is>
          <t>Eigenstrom erzeugen, Netzbezug reduzieren</t>
        </is>
      </c>
      <c r="D7" s="14" t="inlineStr">
        <is>
          <t>Owner F</t>
        </is>
      </c>
      <c r="E7" s="17" t="n">
        <v>46753</v>
      </c>
      <c r="F7" s="17" t="n">
        <v>46997</v>
      </c>
      <c r="G7" s="14" t="inlineStr">
        <is>
          <t>Energieverbrauch</t>
        </is>
      </c>
      <c r="H7" s="14" t="inlineStr">
        <is>
          <t>kWh</t>
        </is>
      </c>
      <c r="I7" s="18" t="inlineStr"/>
      <c r="J7" s="14" t="inlineStr">
        <is>
          <t>absolut</t>
        </is>
      </c>
      <c r="K7" s="15" t="n">
        <v>180000</v>
      </c>
      <c r="L7" s="15" t="n">
        <v>0.25</v>
      </c>
      <c r="M7" s="14" t="inlineStr">
        <is>
          <t>Strompreis</t>
        </is>
      </c>
      <c r="N7" s="11" t="n">
        <v>20</v>
      </c>
      <c r="O7" s="18" t="n">
        <v>220000</v>
      </c>
      <c r="P7" s="18" t="n">
        <v>20000</v>
      </c>
      <c r="Q7" s="18" t="n">
        <v>0</v>
      </c>
      <c r="R7" s="18" t="n">
        <v>0</v>
      </c>
      <c r="S7" s="18" t="n">
        <v>10000</v>
      </c>
      <c r="T7" s="18">
        <f>SUM(O7:S7)</f>
        <v/>
      </c>
      <c r="U7" s="18" t="n">
        <v>3000</v>
      </c>
      <c r="V7" s="18" t="n">
        <v>0</v>
      </c>
      <c r="W7" s="18" t="n">
        <v>0</v>
      </c>
      <c r="X7" s="18" t="n">
        <v>0</v>
      </c>
      <c r="Y7" s="18">
        <f>SUM(U7:X7)</f>
        <v/>
      </c>
      <c r="Z7" s="18" t="n">
        <v>0</v>
      </c>
      <c r="AA7" s="18" t="n">
        <v>0</v>
      </c>
      <c r="AB7" s="14" t="inlineStr">
        <is>
          <t>Langfristige Einsparungen.</t>
        </is>
      </c>
      <c r="AC7" s="14" t="inlineStr"/>
    </row>
    <row r="8">
      <c r="A8" s="12" t="inlineStr">
        <is>
          <t>A007</t>
        </is>
      </c>
      <c r="B8" s="14" t="inlineStr">
        <is>
          <t>Verpackung reduzieren</t>
        </is>
      </c>
      <c r="C8" s="14" t="inlineStr">
        <is>
          <t>Materialeinsatz senken, Re-Design</t>
        </is>
      </c>
      <c r="D8" s="14" t="inlineStr">
        <is>
          <t>Owner G</t>
        </is>
      </c>
      <c r="E8" s="17" t="n">
        <v>46143</v>
      </c>
      <c r="F8" s="17" t="n">
        <v>46327</v>
      </c>
      <c r="G8" s="14" t="inlineStr">
        <is>
          <t>Plastikverbrauch</t>
        </is>
      </c>
      <c r="H8" s="14" t="inlineStr">
        <is>
          <t>kg</t>
        </is>
      </c>
      <c r="I8" s="18" t="n">
        <v>40000</v>
      </c>
      <c r="J8" s="14" t="inlineStr">
        <is>
          <t>%</t>
        </is>
      </c>
      <c r="K8" s="15" t="n">
        <v>0.2</v>
      </c>
      <c r="L8" s="15" t="n">
        <v>1.8</v>
      </c>
      <c r="M8" s="14" t="inlineStr">
        <is>
          <t>Plastikpreis</t>
        </is>
      </c>
      <c r="N8" s="11" t="n">
        <v>2</v>
      </c>
      <c r="O8" s="18" t="n">
        <v>0</v>
      </c>
      <c r="P8" s="18" t="n">
        <v>0</v>
      </c>
      <c r="Q8" s="18" t="n">
        <v>5000</v>
      </c>
      <c r="R8" s="18" t="n">
        <v>0</v>
      </c>
      <c r="S8" s="18" t="n">
        <v>0</v>
      </c>
      <c r="T8" s="18">
        <f>SUM(O8:S8)</f>
        <v/>
      </c>
      <c r="U8" s="18" t="n">
        <v>0</v>
      </c>
      <c r="V8" s="18" t="n">
        <v>0</v>
      </c>
      <c r="W8" s="18" t="n">
        <v>2000</v>
      </c>
      <c r="X8" s="18" t="n">
        <v>0</v>
      </c>
      <c r="Y8" s="18">
        <f>SUM(U8:X8)</f>
        <v/>
      </c>
      <c r="Z8" s="18" t="n">
        <v>0</v>
      </c>
      <c r="AA8" s="18" t="n">
        <v>0</v>
      </c>
      <c r="AB8" s="14" t="inlineStr">
        <is>
          <t>Kosten und Materialeinsatz reduzieren.</t>
        </is>
      </c>
      <c r="AC8" s="14" t="inlineStr"/>
    </row>
    <row r="9">
      <c r="A9" s="12" t="inlineStr">
        <is>
          <t>A008</t>
        </is>
      </c>
      <c r="B9" s="14" t="inlineStr">
        <is>
          <t>Abfalltrennung verbessern</t>
        </is>
      </c>
      <c r="C9" s="14" t="inlineStr">
        <is>
          <t>Restmüll reduzieren, bessere Sortierung</t>
        </is>
      </c>
      <c r="D9" s="14" t="inlineStr">
        <is>
          <t>Owner H</t>
        </is>
      </c>
      <c r="E9" s="17" t="n">
        <v>46113</v>
      </c>
      <c r="F9" s="17" t="n">
        <v>46388</v>
      </c>
      <c r="G9" s="14" t="inlineStr">
        <is>
          <t>Abfallmenge</t>
        </is>
      </c>
      <c r="H9" s="14" t="inlineStr">
        <is>
          <t>t</t>
        </is>
      </c>
      <c r="I9" s="18" t="n">
        <v>800</v>
      </c>
      <c r="J9" s="14" t="inlineStr">
        <is>
          <t>%</t>
        </is>
      </c>
      <c r="K9" s="15" t="n">
        <v>0.15</v>
      </c>
      <c r="L9" s="15" t="n">
        <v>150</v>
      </c>
      <c r="M9" s="14" t="inlineStr">
        <is>
          <t>Entsorgungspreis</t>
        </is>
      </c>
      <c r="N9" s="11" t="n">
        <v>3</v>
      </c>
      <c r="O9" s="18" t="n">
        <v>3000</v>
      </c>
      <c r="P9" s="18" t="n">
        <v>0</v>
      </c>
      <c r="Q9" s="18" t="n">
        <v>2000</v>
      </c>
      <c r="R9" s="18" t="n">
        <v>0</v>
      </c>
      <c r="S9" s="18" t="n">
        <v>0</v>
      </c>
      <c r="T9" s="18">
        <f>SUM(O9:S9)</f>
        <v/>
      </c>
      <c r="U9" s="18" t="n">
        <v>500</v>
      </c>
      <c r="V9" s="18" t="n">
        <v>0</v>
      </c>
      <c r="W9" s="18" t="n">
        <v>500</v>
      </c>
      <c r="X9" s="18" t="n">
        <v>0</v>
      </c>
      <c r="Y9" s="18">
        <f>SUM(U9:X9)</f>
        <v/>
      </c>
      <c r="Z9" s="18" t="n">
        <v>0</v>
      </c>
      <c r="AA9" s="18" t="n">
        <v>0</v>
      </c>
      <c r="AB9" s="14" t="inlineStr">
        <is>
          <t>Laufende Einsparung bei Entsorgung.</t>
        </is>
      </c>
      <c r="AC9" s="14" t="inlineStr"/>
    </row>
    <row r="10">
      <c r="A10" s="12" t="inlineStr">
        <is>
          <t>A009</t>
        </is>
      </c>
      <c r="B10" s="14" t="inlineStr">
        <is>
          <t>Wassereffizienz</t>
        </is>
      </c>
      <c r="C10" s="14" t="inlineStr">
        <is>
          <t>Armaturen und Prozesse optimieren</t>
        </is>
      </c>
      <c r="D10" s="14" t="inlineStr">
        <is>
          <t>Owner I</t>
        </is>
      </c>
      <c r="E10" s="17" t="n">
        <v>46419</v>
      </c>
      <c r="F10" s="17" t="n">
        <v>46600</v>
      </c>
      <c r="G10" s="14" t="inlineStr">
        <is>
          <t>Wasserverbrauch</t>
        </is>
      </c>
      <c r="H10" s="14" t="inlineStr">
        <is>
          <t>m3</t>
        </is>
      </c>
      <c r="I10" s="18" t="n">
        <v>20000</v>
      </c>
      <c r="J10" s="14" t="inlineStr">
        <is>
          <t>%</t>
        </is>
      </c>
      <c r="K10" s="15" t="n">
        <v>0.1</v>
      </c>
      <c r="L10" s="15" t="n">
        <v>2.5</v>
      </c>
      <c r="M10" s="14" t="inlineStr">
        <is>
          <t>Wasserpreis</t>
        </is>
      </c>
      <c r="N10" s="11" t="n">
        <v>5</v>
      </c>
      <c r="O10" s="18" t="n">
        <v>8000</v>
      </c>
      <c r="P10" s="18" t="n">
        <v>2000</v>
      </c>
      <c r="Q10" s="18" t="n">
        <v>0</v>
      </c>
      <c r="R10" s="18" t="n">
        <v>0</v>
      </c>
      <c r="S10" s="18" t="n">
        <v>0</v>
      </c>
      <c r="T10" s="18">
        <f>SUM(O10:S10)</f>
        <v/>
      </c>
      <c r="U10" s="18" t="n">
        <v>200</v>
      </c>
      <c r="V10" s="18" t="n">
        <v>0</v>
      </c>
      <c r="W10" s="18" t="n">
        <v>300</v>
      </c>
      <c r="X10" s="18" t="n">
        <v>0</v>
      </c>
      <c r="Y10" s="18">
        <f>SUM(U10:X10)</f>
        <v/>
      </c>
      <c r="Z10" s="18" t="n">
        <v>0</v>
      </c>
      <c r="AA10" s="18" t="n">
        <v>0</v>
      </c>
      <c r="AB10" s="14" t="inlineStr">
        <is>
          <t>Reduziert Wasserbedarf.</t>
        </is>
      </c>
      <c r="AC10" s="14" t="inlineStr"/>
    </row>
    <row r="11">
      <c r="A11" s="12" t="inlineStr">
        <is>
          <t>A010</t>
        </is>
      </c>
      <c r="B11" s="14" t="inlineStr">
        <is>
          <t>Prozessoptimierung Produktion</t>
        </is>
      </c>
      <c r="C11" s="14" t="inlineStr">
        <is>
          <t>Energieeffizienz, Start 2029, Go-Live 2030</t>
        </is>
      </c>
      <c r="D11" s="14" t="inlineStr">
        <is>
          <t>Owner J</t>
        </is>
      </c>
      <c r="E11" s="17" t="n">
        <v>47119</v>
      </c>
      <c r="F11" s="17" t="n">
        <v>47543</v>
      </c>
      <c r="G11" s="14" t="inlineStr">
        <is>
          <t>Energieverbrauch</t>
        </is>
      </c>
      <c r="H11" s="14" t="inlineStr">
        <is>
          <t>kWh</t>
        </is>
      </c>
      <c r="I11" s="18" t="n">
        <v>600000</v>
      </c>
      <c r="J11" s="14" t="inlineStr">
        <is>
          <t>%</t>
        </is>
      </c>
      <c r="K11" s="15" t="n">
        <v>0.06</v>
      </c>
      <c r="L11" s="15" t="n">
        <v>0.25</v>
      </c>
      <c r="M11" s="14" t="inlineStr">
        <is>
          <t>Strompreis</t>
        </is>
      </c>
      <c r="N11" s="11" t="n">
        <v>8</v>
      </c>
      <c r="O11" s="18" t="n">
        <v>40000</v>
      </c>
      <c r="P11" s="18" t="n">
        <v>10000</v>
      </c>
      <c r="Q11" s="18" t="n">
        <v>15000</v>
      </c>
      <c r="R11" s="18" t="n">
        <v>0</v>
      </c>
      <c r="S11" s="18" t="n">
        <v>0</v>
      </c>
      <c r="T11" s="18">
        <f>SUM(O11:S11)</f>
        <v/>
      </c>
      <c r="U11" s="18" t="n">
        <v>1500</v>
      </c>
      <c r="V11" s="18" t="n">
        <v>0</v>
      </c>
      <c r="W11" s="18" t="n">
        <v>2000</v>
      </c>
      <c r="X11" s="18" t="n">
        <v>0</v>
      </c>
      <c r="Y11" s="18">
        <f>SUM(U11:X11)</f>
        <v/>
      </c>
      <c r="Z11" s="18" t="n">
        <v>0</v>
      </c>
      <c r="AA11" s="18" t="n">
        <v>0</v>
      </c>
      <c r="AB11" s="14" t="inlineStr">
        <is>
          <t>Test für spätere Startjahre, nutzt 2030er Preise.</t>
        </is>
      </c>
      <c r="AC11" s="14" t="inlineStr"/>
    </row>
    <row r="12">
      <c r="A12" s="12" t="inlineStr"/>
      <c r="B12" s="14" t="inlineStr"/>
      <c r="C12" s="14" t="inlineStr"/>
      <c r="D12" s="14" t="inlineStr"/>
      <c r="E12" s="17" t="inlineStr"/>
      <c r="F12" s="17" t="inlineStr"/>
      <c r="G12" s="14" t="inlineStr"/>
      <c r="H12" s="14" t="inlineStr"/>
      <c r="I12" s="18" t="inlineStr"/>
      <c r="J12" s="14" t="inlineStr"/>
      <c r="K12" s="15" t="inlineStr"/>
      <c r="L12" s="15" t="inlineStr"/>
      <c r="M12" s="14" t="inlineStr"/>
      <c r="N12" s="11" t="inlineStr"/>
      <c r="O12" s="18" t="inlineStr"/>
      <c r="P12" s="18" t="inlineStr"/>
      <c r="Q12" s="18" t="inlineStr"/>
      <c r="R12" s="18" t="inlineStr"/>
      <c r="S12" s="18" t="inlineStr"/>
      <c r="T12" s="18">
        <f>SUM(O12:S12)</f>
        <v/>
      </c>
      <c r="U12" s="18" t="inlineStr"/>
      <c r="V12" s="18" t="inlineStr"/>
      <c r="W12" s="18" t="inlineStr"/>
      <c r="X12" s="18" t="inlineStr"/>
      <c r="Y12" s="18">
        <f>SUM(U12:X12)</f>
        <v/>
      </c>
      <c r="Z12" s="18" t="inlineStr"/>
      <c r="AA12" s="18" t="inlineStr"/>
      <c r="AB12" s="14" t="inlineStr"/>
      <c r="AC12" s="14" t="inlineStr"/>
    </row>
    <row r="13">
      <c r="A13" s="12" t="inlineStr"/>
      <c r="B13" s="14" t="inlineStr"/>
      <c r="C13" s="14" t="inlineStr"/>
      <c r="D13" s="14" t="inlineStr"/>
      <c r="E13" s="17" t="inlineStr"/>
      <c r="F13" s="17" t="inlineStr"/>
      <c r="G13" s="14" t="inlineStr"/>
      <c r="H13" s="14" t="inlineStr"/>
      <c r="I13" s="18" t="inlineStr"/>
      <c r="J13" s="14" t="inlineStr"/>
      <c r="K13" s="15" t="inlineStr"/>
      <c r="L13" s="15" t="inlineStr"/>
      <c r="M13" s="14" t="inlineStr"/>
      <c r="N13" s="11" t="inlineStr"/>
      <c r="O13" s="18" t="inlineStr"/>
      <c r="P13" s="18" t="inlineStr"/>
      <c r="Q13" s="18" t="inlineStr"/>
      <c r="R13" s="18" t="inlineStr"/>
      <c r="S13" s="18" t="inlineStr"/>
      <c r="T13" s="18">
        <f>SUM(O13:S13)</f>
        <v/>
      </c>
      <c r="U13" s="18" t="inlineStr"/>
      <c r="V13" s="18" t="inlineStr"/>
      <c r="W13" s="18" t="inlineStr"/>
      <c r="X13" s="18" t="inlineStr"/>
      <c r="Y13" s="18">
        <f>SUM(U13:X13)</f>
        <v/>
      </c>
      <c r="Z13" s="18" t="inlineStr"/>
      <c r="AA13" s="18" t="inlineStr"/>
      <c r="AB13" s="14" t="inlineStr"/>
      <c r="AC13" s="14" t="inlineStr"/>
    </row>
    <row r="14">
      <c r="A14" s="12" t="inlineStr"/>
      <c r="B14" s="14" t="inlineStr"/>
      <c r="C14" s="14" t="inlineStr"/>
      <c r="D14" s="14" t="inlineStr"/>
      <c r="E14" s="17" t="inlineStr"/>
      <c r="F14" s="17" t="inlineStr"/>
      <c r="G14" s="14" t="inlineStr"/>
      <c r="H14" s="14" t="inlineStr"/>
      <c r="I14" s="18" t="inlineStr"/>
      <c r="J14" s="14" t="inlineStr"/>
      <c r="K14" s="15" t="inlineStr"/>
      <c r="L14" s="15" t="inlineStr"/>
      <c r="M14" s="14" t="inlineStr"/>
      <c r="N14" s="11" t="inlineStr"/>
      <c r="O14" s="18" t="inlineStr"/>
      <c r="P14" s="18" t="inlineStr"/>
      <c r="Q14" s="18" t="inlineStr"/>
      <c r="R14" s="18" t="inlineStr"/>
      <c r="S14" s="18" t="inlineStr"/>
      <c r="T14" s="18">
        <f>SUM(O14:S14)</f>
        <v/>
      </c>
      <c r="U14" s="18" t="inlineStr"/>
      <c r="V14" s="18" t="inlineStr"/>
      <c r="W14" s="18" t="inlineStr"/>
      <c r="X14" s="18" t="inlineStr"/>
      <c r="Y14" s="18">
        <f>SUM(U14:X14)</f>
        <v/>
      </c>
      <c r="Z14" s="18" t="inlineStr"/>
      <c r="AA14" s="18" t="inlineStr"/>
      <c r="AB14" s="14" t="inlineStr"/>
      <c r="AC14" s="14" t="inlineStr"/>
    </row>
    <row r="15">
      <c r="A15" s="12" t="inlineStr"/>
      <c r="B15" s="14" t="inlineStr"/>
      <c r="C15" s="14" t="inlineStr"/>
      <c r="D15" s="14" t="inlineStr"/>
      <c r="E15" s="17" t="inlineStr"/>
      <c r="F15" s="17" t="inlineStr"/>
      <c r="G15" s="14" t="inlineStr"/>
      <c r="H15" s="14" t="inlineStr"/>
      <c r="I15" s="18" t="inlineStr"/>
      <c r="J15" s="14" t="inlineStr"/>
      <c r="K15" s="15" t="inlineStr"/>
      <c r="L15" s="15" t="inlineStr"/>
      <c r="M15" s="14" t="inlineStr"/>
      <c r="N15" s="11" t="inlineStr"/>
      <c r="O15" s="18" t="inlineStr"/>
      <c r="P15" s="18" t="inlineStr"/>
      <c r="Q15" s="18" t="inlineStr"/>
      <c r="R15" s="18" t="inlineStr"/>
      <c r="S15" s="18" t="inlineStr"/>
      <c r="T15" s="18">
        <f>SUM(O15:S15)</f>
        <v/>
      </c>
      <c r="U15" s="18" t="inlineStr"/>
      <c r="V15" s="18" t="inlineStr"/>
      <c r="W15" s="18" t="inlineStr"/>
      <c r="X15" s="18" t="inlineStr"/>
      <c r="Y15" s="18">
        <f>SUM(U15:X15)</f>
        <v/>
      </c>
      <c r="Z15" s="18" t="inlineStr"/>
      <c r="AA15" s="18" t="inlineStr"/>
      <c r="AB15" s="14" t="inlineStr"/>
      <c r="AC15" s="14" t="inlineStr"/>
    </row>
    <row r="16">
      <c r="A16" s="12" t="inlineStr"/>
      <c r="B16" s="14" t="inlineStr"/>
      <c r="C16" s="14" t="inlineStr"/>
      <c r="D16" s="14" t="inlineStr"/>
      <c r="E16" s="17" t="inlineStr"/>
      <c r="F16" s="17" t="inlineStr"/>
      <c r="G16" s="14" t="inlineStr"/>
      <c r="H16" s="14" t="inlineStr"/>
      <c r="I16" s="18" t="inlineStr"/>
      <c r="J16" s="14" t="inlineStr"/>
      <c r="K16" s="15" t="inlineStr"/>
      <c r="L16" s="15" t="inlineStr"/>
      <c r="M16" s="14" t="inlineStr"/>
      <c r="N16" s="11" t="inlineStr"/>
      <c r="O16" s="18" t="inlineStr"/>
      <c r="P16" s="18" t="inlineStr"/>
      <c r="Q16" s="18" t="inlineStr"/>
      <c r="R16" s="18" t="inlineStr"/>
      <c r="S16" s="18" t="inlineStr"/>
      <c r="T16" s="18">
        <f>SUM(O16:S16)</f>
        <v/>
      </c>
      <c r="U16" s="18" t="inlineStr"/>
      <c r="V16" s="18" t="inlineStr"/>
      <c r="W16" s="18" t="inlineStr"/>
      <c r="X16" s="18" t="inlineStr"/>
      <c r="Y16" s="18">
        <f>SUM(U16:X16)</f>
        <v/>
      </c>
      <c r="Z16" s="18" t="inlineStr"/>
      <c r="AA16" s="18" t="inlineStr"/>
      <c r="AB16" s="14" t="inlineStr"/>
      <c r="AC16" s="14" t="inlineStr"/>
    </row>
    <row r="17">
      <c r="A17" s="12" t="inlineStr"/>
      <c r="B17" s="14" t="inlineStr"/>
      <c r="C17" s="14" t="inlineStr"/>
      <c r="D17" s="14" t="inlineStr"/>
      <c r="E17" s="17" t="inlineStr"/>
      <c r="F17" s="17" t="inlineStr"/>
      <c r="G17" s="14" t="inlineStr"/>
      <c r="H17" s="14" t="inlineStr"/>
      <c r="I17" s="18" t="inlineStr"/>
      <c r="J17" s="14" t="inlineStr"/>
      <c r="K17" s="15" t="inlineStr"/>
      <c r="L17" s="15" t="inlineStr"/>
      <c r="M17" s="14" t="inlineStr"/>
      <c r="N17" s="11" t="inlineStr"/>
      <c r="O17" s="18" t="inlineStr"/>
      <c r="P17" s="18" t="inlineStr"/>
      <c r="Q17" s="18" t="inlineStr"/>
      <c r="R17" s="18" t="inlineStr"/>
      <c r="S17" s="18" t="inlineStr"/>
      <c r="T17" s="18">
        <f>SUM(O17:S17)</f>
        <v/>
      </c>
      <c r="U17" s="18" t="inlineStr"/>
      <c r="V17" s="18" t="inlineStr"/>
      <c r="W17" s="18" t="inlineStr"/>
      <c r="X17" s="18" t="inlineStr"/>
      <c r="Y17" s="18">
        <f>SUM(U17:X17)</f>
        <v/>
      </c>
      <c r="Z17" s="18" t="inlineStr"/>
      <c r="AA17" s="18" t="inlineStr"/>
      <c r="AB17" s="14" t="inlineStr"/>
      <c r="AC17" s="14" t="inlineStr"/>
    </row>
    <row r="18">
      <c r="A18" s="12" t="inlineStr"/>
      <c r="B18" s="14" t="inlineStr"/>
      <c r="C18" s="14" t="inlineStr"/>
      <c r="D18" s="14" t="inlineStr"/>
      <c r="E18" s="17" t="inlineStr"/>
      <c r="F18" s="17" t="inlineStr"/>
      <c r="G18" s="14" t="inlineStr"/>
      <c r="H18" s="14" t="inlineStr"/>
      <c r="I18" s="18" t="inlineStr"/>
      <c r="J18" s="14" t="inlineStr"/>
      <c r="K18" s="15" t="inlineStr"/>
      <c r="L18" s="15" t="inlineStr"/>
      <c r="M18" s="14" t="inlineStr"/>
      <c r="N18" s="11" t="inlineStr"/>
      <c r="O18" s="18" t="inlineStr"/>
      <c r="P18" s="18" t="inlineStr"/>
      <c r="Q18" s="18" t="inlineStr"/>
      <c r="R18" s="18" t="inlineStr"/>
      <c r="S18" s="18" t="inlineStr"/>
      <c r="T18" s="18">
        <f>SUM(O18:S18)</f>
        <v/>
      </c>
      <c r="U18" s="18" t="inlineStr"/>
      <c r="V18" s="18" t="inlineStr"/>
      <c r="W18" s="18" t="inlineStr"/>
      <c r="X18" s="18" t="inlineStr"/>
      <c r="Y18" s="18">
        <f>SUM(U18:X18)</f>
        <v/>
      </c>
      <c r="Z18" s="18" t="inlineStr"/>
      <c r="AA18" s="18" t="inlineStr"/>
      <c r="AB18" s="14" t="inlineStr"/>
      <c r="AC18" s="14" t="inlineStr"/>
    </row>
    <row r="19">
      <c r="A19" s="12" t="inlineStr"/>
      <c r="B19" s="14" t="inlineStr"/>
      <c r="C19" s="14" t="inlineStr"/>
      <c r="D19" s="14" t="inlineStr"/>
      <c r="E19" s="17" t="inlineStr"/>
      <c r="F19" s="17" t="inlineStr"/>
      <c r="G19" s="14" t="inlineStr"/>
      <c r="H19" s="14" t="inlineStr"/>
      <c r="I19" s="18" t="inlineStr"/>
      <c r="J19" s="14" t="inlineStr"/>
      <c r="K19" s="15" t="inlineStr"/>
      <c r="L19" s="15" t="inlineStr"/>
      <c r="M19" s="14" t="inlineStr"/>
      <c r="N19" s="11" t="inlineStr"/>
      <c r="O19" s="18" t="inlineStr"/>
      <c r="P19" s="18" t="inlineStr"/>
      <c r="Q19" s="18" t="inlineStr"/>
      <c r="R19" s="18" t="inlineStr"/>
      <c r="S19" s="18" t="inlineStr"/>
      <c r="T19" s="18">
        <f>SUM(O19:S19)</f>
        <v/>
      </c>
      <c r="U19" s="18" t="inlineStr"/>
      <c r="V19" s="18" t="inlineStr"/>
      <c r="W19" s="18" t="inlineStr"/>
      <c r="X19" s="18" t="inlineStr"/>
      <c r="Y19" s="18">
        <f>SUM(U19:X19)</f>
        <v/>
      </c>
      <c r="Z19" s="18" t="inlineStr"/>
      <c r="AA19" s="18" t="inlineStr"/>
      <c r="AB19" s="14" t="inlineStr"/>
      <c r="AC19" s="14" t="inlineStr"/>
    </row>
    <row r="20">
      <c r="A20" s="12" t="inlineStr"/>
      <c r="B20" s="14" t="inlineStr"/>
      <c r="C20" s="14" t="inlineStr"/>
      <c r="D20" s="14" t="inlineStr"/>
      <c r="E20" s="17" t="inlineStr"/>
      <c r="F20" s="17" t="inlineStr"/>
      <c r="G20" s="14" t="inlineStr"/>
      <c r="H20" s="14" t="inlineStr"/>
      <c r="I20" s="18" t="inlineStr"/>
      <c r="J20" s="14" t="inlineStr"/>
      <c r="K20" s="15" t="inlineStr"/>
      <c r="L20" s="15" t="inlineStr"/>
      <c r="M20" s="14" t="inlineStr"/>
      <c r="N20" s="11" t="inlineStr"/>
      <c r="O20" s="18" t="inlineStr"/>
      <c r="P20" s="18" t="inlineStr"/>
      <c r="Q20" s="18" t="inlineStr"/>
      <c r="R20" s="18" t="inlineStr"/>
      <c r="S20" s="18" t="inlineStr"/>
      <c r="T20" s="18">
        <f>SUM(O20:S20)</f>
        <v/>
      </c>
      <c r="U20" s="18" t="inlineStr"/>
      <c r="V20" s="18" t="inlineStr"/>
      <c r="W20" s="18" t="inlineStr"/>
      <c r="X20" s="18" t="inlineStr"/>
      <c r="Y20" s="18">
        <f>SUM(U20:X20)</f>
        <v/>
      </c>
      <c r="Z20" s="18" t="inlineStr"/>
      <c r="AA20" s="18" t="inlineStr"/>
      <c r="AB20" s="14" t="inlineStr"/>
      <c r="AC20" s="14" t="inlineStr"/>
    </row>
    <row r="21">
      <c r="A21" s="12" t="inlineStr"/>
      <c r="B21" s="14" t="inlineStr"/>
      <c r="C21" s="14" t="inlineStr"/>
      <c r="D21" s="14" t="inlineStr"/>
      <c r="E21" s="17" t="inlineStr"/>
      <c r="F21" s="17" t="inlineStr"/>
      <c r="G21" s="14" t="inlineStr"/>
      <c r="H21" s="14" t="inlineStr"/>
      <c r="I21" s="18" t="inlineStr"/>
      <c r="J21" s="14" t="inlineStr"/>
      <c r="K21" s="15" t="inlineStr"/>
      <c r="L21" s="15" t="inlineStr"/>
      <c r="M21" s="14" t="inlineStr"/>
      <c r="N21" s="11" t="inlineStr"/>
      <c r="O21" s="18" t="inlineStr"/>
      <c r="P21" s="18" t="inlineStr"/>
      <c r="Q21" s="18" t="inlineStr"/>
      <c r="R21" s="18" t="inlineStr"/>
      <c r="S21" s="18" t="inlineStr"/>
      <c r="T21" s="18">
        <f>SUM(O21:S21)</f>
        <v/>
      </c>
      <c r="U21" s="18" t="inlineStr"/>
      <c r="V21" s="18" t="inlineStr"/>
      <c r="W21" s="18" t="inlineStr"/>
      <c r="X21" s="18" t="inlineStr"/>
      <c r="Y21" s="18">
        <f>SUM(U21:X21)</f>
        <v/>
      </c>
      <c r="Z21" s="18" t="inlineStr"/>
      <c r="AA21" s="18" t="inlineStr"/>
      <c r="AB21" s="14" t="inlineStr"/>
      <c r="AC21" s="14" t="inlineStr"/>
    </row>
    <row r="22">
      <c r="A22" s="12" t="inlineStr"/>
      <c r="B22" s="14" t="inlineStr"/>
      <c r="C22" s="14" t="inlineStr"/>
      <c r="D22" s="14" t="inlineStr"/>
      <c r="E22" s="17" t="inlineStr"/>
      <c r="F22" s="17" t="inlineStr"/>
      <c r="G22" s="14" t="inlineStr"/>
      <c r="H22" s="14" t="inlineStr"/>
      <c r="I22" s="18" t="inlineStr"/>
      <c r="J22" s="14" t="inlineStr"/>
      <c r="K22" s="15" t="inlineStr"/>
      <c r="L22" s="15" t="inlineStr"/>
      <c r="M22" s="14" t="inlineStr"/>
      <c r="N22" s="11" t="inlineStr"/>
      <c r="O22" s="18" t="inlineStr"/>
      <c r="P22" s="18" t="inlineStr"/>
      <c r="Q22" s="18" t="inlineStr"/>
      <c r="R22" s="18" t="inlineStr"/>
      <c r="S22" s="18" t="inlineStr"/>
      <c r="T22" s="18">
        <f>SUM(O22:S22)</f>
        <v/>
      </c>
      <c r="U22" s="18" t="inlineStr"/>
      <c r="V22" s="18" t="inlineStr"/>
      <c r="W22" s="18" t="inlineStr"/>
      <c r="X22" s="18" t="inlineStr"/>
      <c r="Y22" s="18">
        <f>SUM(U22:X22)</f>
        <v/>
      </c>
      <c r="Z22" s="18" t="inlineStr"/>
      <c r="AA22" s="18" t="inlineStr"/>
      <c r="AB22" s="14" t="inlineStr"/>
      <c r="AC22" s="14" t="inlineStr"/>
    </row>
    <row r="23">
      <c r="A23" s="12" t="inlineStr"/>
      <c r="B23" s="14" t="inlineStr"/>
      <c r="C23" s="14" t="inlineStr"/>
      <c r="D23" s="14" t="inlineStr"/>
      <c r="E23" s="17" t="inlineStr"/>
      <c r="F23" s="17" t="inlineStr"/>
      <c r="G23" s="14" t="inlineStr"/>
      <c r="H23" s="14" t="inlineStr"/>
      <c r="I23" s="18" t="inlineStr"/>
      <c r="J23" s="14" t="inlineStr"/>
      <c r="K23" s="15" t="inlineStr"/>
      <c r="L23" s="15" t="inlineStr"/>
      <c r="M23" s="14" t="inlineStr"/>
      <c r="N23" s="11" t="inlineStr"/>
      <c r="O23" s="18" t="inlineStr"/>
      <c r="P23" s="18" t="inlineStr"/>
      <c r="Q23" s="18" t="inlineStr"/>
      <c r="R23" s="18" t="inlineStr"/>
      <c r="S23" s="18" t="inlineStr"/>
      <c r="T23" s="18">
        <f>SUM(O23:S23)</f>
        <v/>
      </c>
      <c r="U23" s="18" t="inlineStr"/>
      <c r="V23" s="18" t="inlineStr"/>
      <c r="W23" s="18" t="inlineStr"/>
      <c r="X23" s="18" t="inlineStr"/>
      <c r="Y23" s="18">
        <f>SUM(U23:X23)</f>
        <v/>
      </c>
      <c r="Z23" s="18" t="inlineStr"/>
      <c r="AA23" s="18" t="inlineStr"/>
      <c r="AB23" s="14" t="inlineStr"/>
      <c r="AC23" s="14" t="inlineStr"/>
    </row>
    <row r="24">
      <c r="A24" s="12" t="inlineStr"/>
      <c r="B24" s="14" t="inlineStr"/>
      <c r="C24" s="14" t="inlineStr"/>
      <c r="D24" s="14" t="inlineStr"/>
      <c r="E24" s="17" t="inlineStr"/>
      <c r="F24" s="17" t="inlineStr"/>
      <c r="G24" s="14" t="inlineStr"/>
      <c r="H24" s="14" t="inlineStr"/>
      <c r="I24" s="18" t="inlineStr"/>
      <c r="J24" s="14" t="inlineStr"/>
      <c r="K24" s="15" t="inlineStr"/>
      <c r="L24" s="15" t="inlineStr"/>
      <c r="M24" s="14" t="inlineStr"/>
      <c r="N24" s="11" t="inlineStr"/>
      <c r="O24" s="18" t="inlineStr"/>
      <c r="P24" s="18" t="inlineStr"/>
      <c r="Q24" s="18" t="inlineStr"/>
      <c r="R24" s="18" t="inlineStr"/>
      <c r="S24" s="18" t="inlineStr"/>
      <c r="T24" s="18">
        <f>SUM(O24:S24)</f>
        <v/>
      </c>
      <c r="U24" s="18" t="inlineStr"/>
      <c r="V24" s="18" t="inlineStr"/>
      <c r="W24" s="18" t="inlineStr"/>
      <c r="X24" s="18" t="inlineStr"/>
      <c r="Y24" s="18">
        <f>SUM(U24:X24)</f>
        <v/>
      </c>
      <c r="Z24" s="18" t="inlineStr"/>
      <c r="AA24" s="18" t="inlineStr"/>
      <c r="AB24" s="14" t="inlineStr"/>
      <c r="AC24" s="14" t="inlineStr"/>
    </row>
    <row r="25">
      <c r="A25" s="12" t="inlineStr"/>
      <c r="B25" s="14" t="inlineStr"/>
      <c r="C25" s="14" t="inlineStr"/>
      <c r="D25" s="14" t="inlineStr"/>
      <c r="E25" s="17" t="inlineStr"/>
      <c r="F25" s="17" t="inlineStr"/>
      <c r="G25" s="14" t="inlineStr"/>
      <c r="H25" s="14" t="inlineStr"/>
      <c r="I25" s="18" t="inlineStr"/>
      <c r="J25" s="14" t="inlineStr"/>
      <c r="K25" s="15" t="inlineStr"/>
      <c r="L25" s="15" t="inlineStr"/>
      <c r="M25" s="14" t="inlineStr"/>
      <c r="N25" s="11" t="inlineStr"/>
      <c r="O25" s="18" t="inlineStr"/>
      <c r="P25" s="18" t="inlineStr"/>
      <c r="Q25" s="18" t="inlineStr"/>
      <c r="R25" s="18" t="inlineStr"/>
      <c r="S25" s="18" t="inlineStr"/>
      <c r="T25" s="18">
        <f>SUM(O25:S25)</f>
        <v/>
      </c>
      <c r="U25" s="18" t="inlineStr"/>
      <c r="V25" s="18" t="inlineStr"/>
      <c r="W25" s="18" t="inlineStr"/>
      <c r="X25" s="18" t="inlineStr"/>
      <c r="Y25" s="18">
        <f>SUM(U25:X25)</f>
        <v/>
      </c>
      <c r="Z25" s="18" t="inlineStr"/>
      <c r="AA25" s="18" t="inlineStr"/>
      <c r="AB25" s="14" t="inlineStr"/>
      <c r="AC25" s="14" t="inlineStr"/>
    </row>
    <row r="26">
      <c r="A26" s="12" t="inlineStr"/>
      <c r="B26" s="14" t="inlineStr"/>
      <c r="C26" s="14" t="inlineStr"/>
      <c r="D26" s="14" t="inlineStr"/>
      <c r="E26" s="17" t="inlineStr"/>
      <c r="F26" s="17" t="inlineStr"/>
      <c r="G26" s="14" t="inlineStr"/>
      <c r="H26" s="14" t="inlineStr"/>
      <c r="I26" s="18" t="inlineStr"/>
      <c r="J26" s="14" t="inlineStr"/>
      <c r="K26" s="15" t="inlineStr"/>
      <c r="L26" s="15" t="inlineStr"/>
      <c r="M26" s="14" t="inlineStr"/>
      <c r="N26" s="11" t="inlineStr"/>
      <c r="O26" s="18" t="inlineStr"/>
      <c r="P26" s="18" t="inlineStr"/>
      <c r="Q26" s="18" t="inlineStr"/>
      <c r="R26" s="18" t="inlineStr"/>
      <c r="S26" s="18" t="inlineStr"/>
      <c r="T26" s="18">
        <f>SUM(O26:S26)</f>
        <v/>
      </c>
      <c r="U26" s="18" t="inlineStr"/>
      <c r="V26" s="18" t="inlineStr"/>
      <c r="W26" s="18" t="inlineStr"/>
      <c r="X26" s="18" t="inlineStr"/>
      <c r="Y26" s="18">
        <f>SUM(U26:X26)</f>
        <v/>
      </c>
      <c r="Z26" s="18" t="inlineStr"/>
      <c r="AA26" s="18" t="inlineStr"/>
      <c r="AB26" s="14" t="inlineStr"/>
      <c r="AC26" s="14" t="inlineStr"/>
    </row>
    <row r="27">
      <c r="A27" s="12" t="inlineStr"/>
      <c r="B27" s="14" t="inlineStr"/>
      <c r="C27" s="14" t="inlineStr"/>
      <c r="D27" s="14" t="inlineStr"/>
      <c r="E27" s="17" t="inlineStr"/>
      <c r="F27" s="17" t="inlineStr"/>
      <c r="G27" s="14" t="inlineStr"/>
      <c r="H27" s="14" t="inlineStr"/>
      <c r="I27" s="18" t="inlineStr"/>
      <c r="J27" s="14" t="inlineStr"/>
      <c r="K27" s="15" t="inlineStr"/>
      <c r="L27" s="15" t="inlineStr"/>
      <c r="M27" s="14" t="inlineStr"/>
      <c r="N27" s="11" t="inlineStr"/>
      <c r="O27" s="18" t="inlineStr"/>
      <c r="P27" s="18" t="inlineStr"/>
      <c r="Q27" s="18" t="inlineStr"/>
      <c r="R27" s="18" t="inlineStr"/>
      <c r="S27" s="18" t="inlineStr"/>
      <c r="T27" s="18">
        <f>SUM(O27:S27)</f>
        <v/>
      </c>
      <c r="U27" s="18" t="inlineStr"/>
      <c r="V27" s="18" t="inlineStr"/>
      <c r="W27" s="18" t="inlineStr"/>
      <c r="X27" s="18" t="inlineStr"/>
      <c r="Y27" s="18">
        <f>SUM(U27:X27)</f>
        <v/>
      </c>
      <c r="Z27" s="18" t="inlineStr"/>
      <c r="AA27" s="18" t="inlineStr"/>
      <c r="AB27" s="14" t="inlineStr"/>
      <c r="AC27" s="14" t="inlineStr"/>
    </row>
    <row r="28">
      <c r="A28" s="12" t="inlineStr"/>
      <c r="B28" s="14" t="inlineStr"/>
      <c r="C28" s="14" t="inlineStr"/>
      <c r="D28" s="14" t="inlineStr"/>
      <c r="E28" s="17" t="inlineStr"/>
      <c r="F28" s="17" t="inlineStr"/>
      <c r="G28" s="14" t="inlineStr"/>
      <c r="H28" s="14" t="inlineStr"/>
      <c r="I28" s="18" t="inlineStr"/>
      <c r="J28" s="14" t="inlineStr"/>
      <c r="K28" s="15" t="inlineStr"/>
      <c r="L28" s="15" t="inlineStr"/>
      <c r="M28" s="14" t="inlineStr"/>
      <c r="N28" s="11" t="inlineStr"/>
      <c r="O28" s="18" t="inlineStr"/>
      <c r="P28" s="18" t="inlineStr"/>
      <c r="Q28" s="18" t="inlineStr"/>
      <c r="R28" s="18" t="inlineStr"/>
      <c r="S28" s="18" t="inlineStr"/>
      <c r="T28" s="18">
        <f>SUM(O28:S28)</f>
        <v/>
      </c>
      <c r="U28" s="18" t="inlineStr"/>
      <c r="V28" s="18" t="inlineStr"/>
      <c r="W28" s="18" t="inlineStr"/>
      <c r="X28" s="18" t="inlineStr"/>
      <c r="Y28" s="18">
        <f>SUM(U28:X28)</f>
        <v/>
      </c>
      <c r="Z28" s="18" t="inlineStr"/>
      <c r="AA28" s="18" t="inlineStr"/>
      <c r="AB28" s="14" t="inlineStr"/>
      <c r="AC28" s="14" t="inlineStr"/>
    </row>
    <row r="29">
      <c r="A29" s="12" t="inlineStr"/>
      <c r="B29" s="14" t="inlineStr"/>
      <c r="C29" s="14" t="inlineStr"/>
      <c r="D29" s="14" t="inlineStr"/>
      <c r="E29" s="17" t="inlineStr"/>
      <c r="F29" s="17" t="inlineStr"/>
      <c r="G29" s="14" t="inlineStr"/>
      <c r="H29" s="14" t="inlineStr"/>
      <c r="I29" s="18" t="inlineStr"/>
      <c r="J29" s="14" t="inlineStr"/>
      <c r="K29" s="15" t="inlineStr"/>
      <c r="L29" s="15" t="inlineStr"/>
      <c r="M29" s="14" t="inlineStr"/>
      <c r="N29" s="11" t="inlineStr"/>
      <c r="O29" s="18" t="inlineStr"/>
      <c r="P29" s="18" t="inlineStr"/>
      <c r="Q29" s="18" t="inlineStr"/>
      <c r="R29" s="18" t="inlineStr"/>
      <c r="S29" s="18" t="inlineStr"/>
      <c r="T29" s="18">
        <f>SUM(O29:S29)</f>
        <v/>
      </c>
      <c r="U29" s="18" t="inlineStr"/>
      <c r="V29" s="18" t="inlineStr"/>
      <c r="W29" s="18" t="inlineStr"/>
      <c r="X29" s="18" t="inlineStr"/>
      <c r="Y29" s="18">
        <f>SUM(U29:X29)</f>
        <v/>
      </c>
      <c r="Z29" s="18" t="inlineStr"/>
      <c r="AA29" s="18" t="inlineStr"/>
      <c r="AB29" s="14" t="inlineStr"/>
      <c r="AC29" s="14" t="inlineStr"/>
    </row>
    <row r="30">
      <c r="A30" s="12" t="inlineStr"/>
      <c r="B30" s="14" t="inlineStr"/>
      <c r="C30" s="14" t="inlineStr"/>
      <c r="D30" s="14" t="inlineStr"/>
      <c r="E30" s="17" t="inlineStr"/>
      <c r="F30" s="17" t="inlineStr"/>
      <c r="G30" s="14" t="inlineStr"/>
      <c r="H30" s="14" t="inlineStr"/>
      <c r="I30" s="18" t="inlineStr"/>
      <c r="J30" s="14" t="inlineStr"/>
      <c r="K30" s="15" t="inlineStr"/>
      <c r="L30" s="15" t="inlineStr"/>
      <c r="M30" s="14" t="inlineStr"/>
      <c r="N30" s="11" t="inlineStr"/>
      <c r="O30" s="18" t="inlineStr"/>
      <c r="P30" s="18" t="inlineStr"/>
      <c r="Q30" s="18" t="inlineStr"/>
      <c r="R30" s="18" t="inlineStr"/>
      <c r="S30" s="18" t="inlineStr"/>
      <c r="T30" s="18">
        <f>SUM(O30:S30)</f>
        <v/>
      </c>
      <c r="U30" s="18" t="inlineStr"/>
      <c r="V30" s="18" t="inlineStr"/>
      <c r="W30" s="18" t="inlineStr"/>
      <c r="X30" s="18" t="inlineStr"/>
      <c r="Y30" s="18">
        <f>SUM(U30:X30)</f>
        <v/>
      </c>
      <c r="Z30" s="18" t="inlineStr"/>
      <c r="AA30" s="18" t="inlineStr"/>
      <c r="AB30" s="14" t="inlineStr"/>
      <c r="AC30" s="14" t="inlineStr"/>
    </row>
    <row r="31">
      <c r="A31" s="12" t="inlineStr"/>
      <c r="B31" s="14" t="inlineStr"/>
      <c r="C31" s="14" t="inlineStr"/>
      <c r="D31" s="14" t="inlineStr"/>
      <c r="E31" s="17" t="inlineStr"/>
      <c r="F31" s="17" t="inlineStr"/>
      <c r="G31" s="14" t="inlineStr"/>
      <c r="H31" s="14" t="inlineStr"/>
      <c r="I31" s="18" t="inlineStr"/>
      <c r="J31" s="14" t="inlineStr"/>
      <c r="K31" s="15" t="inlineStr"/>
      <c r="L31" s="15" t="inlineStr"/>
      <c r="M31" s="14" t="inlineStr"/>
      <c r="N31" s="11" t="inlineStr"/>
      <c r="O31" s="18" t="inlineStr"/>
      <c r="P31" s="18" t="inlineStr"/>
      <c r="Q31" s="18" t="inlineStr"/>
      <c r="R31" s="18" t="inlineStr"/>
      <c r="S31" s="18" t="inlineStr"/>
      <c r="T31" s="18">
        <f>SUM(O31:S31)</f>
        <v/>
      </c>
      <c r="U31" s="18" t="inlineStr"/>
      <c r="V31" s="18" t="inlineStr"/>
      <c r="W31" s="18" t="inlineStr"/>
      <c r="X31" s="18" t="inlineStr"/>
      <c r="Y31" s="18">
        <f>SUM(U31:X31)</f>
        <v/>
      </c>
      <c r="Z31" s="18" t="inlineStr"/>
      <c r="AA31" s="18" t="inlineStr"/>
      <c r="AB31" s="14" t="inlineStr"/>
      <c r="AC31" s="14" t="inlineStr"/>
    </row>
    <row r="32">
      <c r="A32" s="12" t="inlineStr"/>
      <c r="B32" s="14" t="inlineStr"/>
      <c r="C32" s="14" t="inlineStr"/>
      <c r="D32" s="14" t="inlineStr"/>
      <c r="E32" s="17" t="inlineStr"/>
      <c r="F32" s="17" t="inlineStr"/>
      <c r="G32" s="14" t="inlineStr"/>
      <c r="H32" s="14" t="inlineStr"/>
      <c r="I32" s="18" t="inlineStr"/>
      <c r="J32" s="14" t="inlineStr"/>
      <c r="K32" s="15" t="inlineStr"/>
      <c r="L32" s="15" t="inlineStr"/>
      <c r="M32" s="14" t="inlineStr"/>
      <c r="N32" s="11" t="inlineStr"/>
      <c r="O32" s="18" t="inlineStr"/>
      <c r="P32" s="18" t="inlineStr"/>
      <c r="Q32" s="18" t="inlineStr"/>
      <c r="R32" s="18" t="inlineStr"/>
      <c r="S32" s="18" t="inlineStr"/>
      <c r="T32" s="18">
        <f>SUM(O32:S32)</f>
        <v/>
      </c>
      <c r="U32" s="18" t="inlineStr"/>
      <c r="V32" s="18" t="inlineStr"/>
      <c r="W32" s="18" t="inlineStr"/>
      <c r="X32" s="18" t="inlineStr"/>
      <c r="Y32" s="18">
        <f>SUM(U32:X32)</f>
        <v/>
      </c>
      <c r="Z32" s="18" t="inlineStr"/>
      <c r="AA32" s="18" t="inlineStr"/>
      <c r="AB32" s="14" t="inlineStr"/>
      <c r="AC32" s="14" t="inlineStr"/>
    </row>
    <row r="33">
      <c r="A33" s="12" t="inlineStr"/>
      <c r="B33" s="14" t="inlineStr"/>
      <c r="C33" s="14" t="inlineStr"/>
      <c r="D33" s="14" t="inlineStr"/>
      <c r="E33" s="17" t="inlineStr"/>
      <c r="F33" s="17" t="inlineStr"/>
      <c r="G33" s="14" t="inlineStr"/>
      <c r="H33" s="14" t="inlineStr"/>
      <c r="I33" s="18" t="inlineStr"/>
      <c r="J33" s="14" t="inlineStr"/>
      <c r="K33" s="15" t="inlineStr"/>
      <c r="L33" s="15" t="inlineStr"/>
      <c r="M33" s="14" t="inlineStr"/>
      <c r="N33" s="11" t="inlineStr"/>
      <c r="O33" s="18" t="inlineStr"/>
      <c r="P33" s="18" t="inlineStr"/>
      <c r="Q33" s="18" t="inlineStr"/>
      <c r="R33" s="18" t="inlineStr"/>
      <c r="S33" s="18" t="inlineStr"/>
      <c r="T33" s="18">
        <f>SUM(O33:S33)</f>
        <v/>
      </c>
      <c r="U33" s="18" t="inlineStr"/>
      <c r="V33" s="18" t="inlineStr"/>
      <c r="W33" s="18" t="inlineStr"/>
      <c r="X33" s="18" t="inlineStr"/>
      <c r="Y33" s="18">
        <f>SUM(U33:X33)</f>
        <v/>
      </c>
      <c r="Z33" s="18" t="inlineStr"/>
      <c r="AA33" s="18" t="inlineStr"/>
      <c r="AB33" s="14" t="inlineStr"/>
      <c r="AC33" s="14" t="inlineStr"/>
    </row>
    <row r="34">
      <c r="A34" s="12" t="inlineStr"/>
      <c r="B34" s="14" t="inlineStr"/>
      <c r="C34" s="14" t="inlineStr"/>
      <c r="D34" s="14" t="inlineStr"/>
      <c r="E34" s="17" t="inlineStr"/>
      <c r="F34" s="17" t="inlineStr"/>
      <c r="G34" s="14" t="inlineStr"/>
      <c r="H34" s="14" t="inlineStr"/>
      <c r="I34" s="18" t="inlineStr"/>
      <c r="J34" s="14" t="inlineStr"/>
      <c r="K34" s="15" t="inlineStr"/>
      <c r="L34" s="15" t="inlineStr"/>
      <c r="M34" s="14" t="inlineStr"/>
      <c r="N34" s="11" t="inlineStr"/>
      <c r="O34" s="18" t="inlineStr"/>
      <c r="P34" s="18" t="inlineStr"/>
      <c r="Q34" s="18" t="inlineStr"/>
      <c r="R34" s="18" t="inlineStr"/>
      <c r="S34" s="18" t="inlineStr"/>
      <c r="T34" s="18">
        <f>SUM(O34:S34)</f>
        <v/>
      </c>
      <c r="U34" s="18" t="inlineStr"/>
      <c r="V34" s="18" t="inlineStr"/>
      <c r="W34" s="18" t="inlineStr"/>
      <c r="X34" s="18" t="inlineStr"/>
      <c r="Y34" s="18">
        <f>SUM(U34:X34)</f>
        <v/>
      </c>
      <c r="Z34" s="18" t="inlineStr"/>
      <c r="AA34" s="18" t="inlineStr"/>
      <c r="AB34" s="14" t="inlineStr"/>
      <c r="AC34" s="14" t="inlineStr"/>
    </row>
    <row r="35">
      <c r="A35" s="12" t="inlineStr"/>
      <c r="B35" s="14" t="inlineStr"/>
      <c r="C35" s="14" t="inlineStr"/>
      <c r="D35" s="14" t="inlineStr"/>
      <c r="E35" s="17" t="inlineStr"/>
      <c r="F35" s="17" t="inlineStr"/>
      <c r="G35" s="14" t="inlineStr"/>
      <c r="H35" s="14" t="inlineStr"/>
      <c r="I35" s="18" t="inlineStr"/>
      <c r="J35" s="14" t="inlineStr"/>
      <c r="K35" s="15" t="inlineStr"/>
      <c r="L35" s="15" t="inlineStr"/>
      <c r="M35" s="14" t="inlineStr"/>
      <c r="N35" s="11" t="inlineStr"/>
      <c r="O35" s="18" t="inlineStr"/>
      <c r="P35" s="18" t="inlineStr"/>
      <c r="Q35" s="18" t="inlineStr"/>
      <c r="R35" s="18" t="inlineStr"/>
      <c r="S35" s="18" t="inlineStr"/>
      <c r="T35" s="18">
        <f>SUM(O35:S35)</f>
        <v/>
      </c>
      <c r="U35" s="18" t="inlineStr"/>
      <c r="V35" s="18" t="inlineStr"/>
      <c r="W35" s="18" t="inlineStr"/>
      <c r="X35" s="18" t="inlineStr"/>
      <c r="Y35" s="18">
        <f>SUM(U35:X35)</f>
        <v/>
      </c>
      <c r="Z35" s="18" t="inlineStr"/>
      <c r="AA35" s="18" t="inlineStr"/>
      <c r="AB35" s="14" t="inlineStr"/>
      <c r="AC35" s="14" t="inlineStr"/>
    </row>
    <row r="36">
      <c r="A36" s="12" t="inlineStr"/>
      <c r="B36" s="14" t="inlineStr"/>
      <c r="C36" s="14" t="inlineStr"/>
      <c r="D36" s="14" t="inlineStr"/>
      <c r="E36" s="17" t="inlineStr"/>
      <c r="F36" s="17" t="inlineStr"/>
      <c r="G36" s="14" t="inlineStr"/>
      <c r="H36" s="14" t="inlineStr"/>
      <c r="I36" s="18" t="inlineStr"/>
      <c r="J36" s="14" t="inlineStr"/>
      <c r="K36" s="15" t="inlineStr"/>
      <c r="L36" s="15" t="inlineStr"/>
      <c r="M36" s="14" t="inlineStr"/>
      <c r="N36" s="11" t="inlineStr"/>
      <c r="O36" s="18" t="inlineStr"/>
      <c r="P36" s="18" t="inlineStr"/>
      <c r="Q36" s="18" t="inlineStr"/>
      <c r="R36" s="18" t="inlineStr"/>
      <c r="S36" s="18" t="inlineStr"/>
      <c r="T36" s="18">
        <f>SUM(O36:S36)</f>
        <v/>
      </c>
      <c r="U36" s="18" t="inlineStr"/>
      <c r="V36" s="18" t="inlineStr"/>
      <c r="W36" s="18" t="inlineStr"/>
      <c r="X36" s="18" t="inlineStr"/>
      <c r="Y36" s="18">
        <f>SUM(U36:X36)</f>
        <v/>
      </c>
      <c r="Z36" s="18" t="inlineStr"/>
      <c r="AA36" s="18" t="inlineStr"/>
      <c r="AB36" s="14" t="inlineStr"/>
      <c r="AC36" s="14" t="inlineStr"/>
    </row>
    <row r="37">
      <c r="A37" s="12" t="inlineStr"/>
      <c r="B37" s="14" t="inlineStr"/>
      <c r="C37" s="14" t="inlineStr"/>
      <c r="D37" s="14" t="inlineStr"/>
      <c r="E37" s="17" t="inlineStr"/>
      <c r="F37" s="17" t="inlineStr"/>
      <c r="G37" s="14" t="inlineStr"/>
      <c r="H37" s="14" t="inlineStr"/>
      <c r="I37" s="18" t="inlineStr"/>
      <c r="J37" s="14" t="inlineStr"/>
      <c r="K37" s="15" t="inlineStr"/>
      <c r="L37" s="15" t="inlineStr"/>
      <c r="M37" s="14" t="inlineStr"/>
      <c r="N37" s="11" t="inlineStr"/>
      <c r="O37" s="18" t="inlineStr"/>
      <c r="P37" s="18" t="inlineStr"/>
      <c r="Q37" s="18" t="inlineStr"/>
      <c r="R37" s="18" t="inlineStr"/>
      <c r="S37" s="18" t="inlineStr"/>
      <c r="T37" s="18">
        <f>SUM(O37:S37)</f>
        <v/>
      </c>
      <c r="U37" s="18" t="inlineStr"/>
      <c r="V37" s="18" t="inlineStr"/>
      <c r="W37" s="18" t="inlineStr"/>
      <c r="X37" s="18" t="inlineStr"/>
      <c r="Y37" s="18">
        <f>SUM(U37:X37)</f>
        <v/>
      </c>
      <c r="Z37" s="18" t="inlineStr"/>
      <c r="AA37" s="18" t="inlineStr"/>
      <c r="AB37" s="14" t="inlineStr"/>
      <c r="AC37" s="14" t="inlineStr"/>
    </row>
    <row r="38">
      <c r="A38" s="12" t="inlineStr"/>
      <c r="B38" s="14" t="inlineStr"/>
      <c r="C38" s="14" t="inlineStr"/>
      <c r="D38" s="14" t="inlineStr"/>
      <c r="E38" s="17" t="inlineStr"/>
      <c r="F38" s="17" t="inlineStr"/>
      <c r="G38" s="14" t="inlineStr"/>
      <c r="H38" s="14" t="inlineStr"/>
      <c r="I38" s="18" t="inlineStr"/>
      <c r="J38" s="14" t="inlineStr"/>
      <c r="K38" s="15" t="inlineStr"/>
      <c r="L38" s="15" t="inlineStr"/>
      <c r="M38" s="14" t="inlineStr"/>
      <c r="N38" s="11" t="inlineStr"/>
      <c r="O38" s="18" t="inlineStr"/>
      <c r="P38" s="18" t="inlineStr"/>
      <c r="Q38" s="18" t="inlineStr"/>
      <c r="R38" s="18" t="inlineStr"/>
      <c r="S38" s="18" t="inlineStr"/>
      <c r="T38" s="18">
        <f>SUM(O38:S38)</f>
        <v/>
      </c>
      <c r="U38" s="18" t="inlineStr"/>
      <c r="V38" s="18" t="inlineStr"/>
      <c r="W38" s="18" t="inlineStr"/>
      <c r="X38" s="18" t="inlineStr"/>
      <c r="Y38" s="18">
        <f>SUM(U38:X38)</f>
        <v/>
      </c>
      <c r="Z38" s="18" t="inlineStr"/>
      <c r="AA38" s="18" t="inlineStr"/>
      <c r="AB38" s="14" t="inlineStr"/>
      <c r="AC38" s="14" t="inlineStr"/>
    </row>
    <row r="39">
      <c r="A39" s="12" t="inlineStr"/>
      <c r="B39" s="14" t="inlineStr"/>
      <c r="C39" s="14" t="inlineStr"/>
      <c r="D39" s="14" t="inlineStr"/>
      <c r="E39" s="17" t="inlineStr"/>
      <c r="F39" s="17" t="inlineStr"/>
      <c r="G39" s="14" t="inlineStr"/>
      <c r="H39" s="14" t="inlineStr"/>
      <c r="I39" s="18" t="inlineStr"/>
      <c r="J39" s="14" t="inlineStr"/>
      <c r="K39" s="15" t="inlineStr"/>
      <c r="L39" s="15" t="inlineStr"/>
      <c r="M39" s="14" t="inlineStr"/>
      <c r="N39" s="11" t="inlineStr"/>
      <c r="O39" s="18" t="inlineStr"/>
      <c r="P39" s="18" t="inlineStr"/>
      <c r="Q39" s="18" t="inlineStr"/>
      <c r="R39" s="18" t="inlineStr"/>
      <c r="S39" s="18" t="inlineStr"/>
      <c r="T39" s="18">
        <f>SUM(O39:S39)</f>
        <v/>
      </c>
      <c r="U39" s="18" t="inlineStr"/>
      <c r="V39" s="18" t="inlineStr"/>
      <c r="W39" s="18" t="inlineStr"/>
      <c r="X39" s="18" t="inlineStr"/>
      <c r="Y39" s="18">
        <f>SUM(U39:X39)</f>
        <v/>
      </c>
      <c r="Z39" s="18" t="inlineStr"/>
      <c r="AA39" s="18" t="inlineStr"/>
      <c r="AB39" s="14" t="inlineStr"/>
      <c r="AC39" s="14" t="inlineStr"/>
    </row>
    <row r="40">
      <c r="A40" s="12" t="inlineStr"/>
      <c r="B40" s="14" t="inlineStr"/>
      <c r="C40" s="14" t="inlineStr"/>
      <c r="D40" s="14" t="inlineStr"/>
      <c r="E40" s="17" t="inlineStr"/>
      <c r="F40" s="17" t="inlineStr"/>
      <c r="G40" s="14" t="inlineStr"/>
      <c r="H40" s="14" t="inlineStr"/>
      <c r="I40" s="18" t="inlineStr"/>
      <c r="J40" s="14" t="inlineStr"/>
      <c r="K40" s="15" t="inlineStr"/>
      <c r="L40" s="15" t="inlineStr"/>
      <c r="M40" s="14" t="inlineStr"/>
      <c r="N40" s="11" t="inlineStr"/>
      <c r="O40" s="18" t="inlineStr"/>
      <c r="P40" s="18" t="inlineStr"/>
      <c r="Q40" s="18" t="inlineStr"/>
      <c r="R40" s="18" t="inlineStr"/>
      <c r="S40" s="18" t="inlineStr"/>
      <c r="T40" s="18">
        <f>SUM(O40:S40)</f>
        <v/>
      </c>
      <c r="U40" s="18" t="inlineStr"/>
      <c r="V40" s="18" t="inlineStr"/>
      <c r="W40" s="18" t="inlineStr"/>
      <c r="X40" s="18" t="inlineStr"/>
      <c r="Y40" s="18">
        <f>SUM(U40:X40)</f>
        <v/>
      </c>
      <c r="Z40" s="18" t="inlineStr"/>
      <c r="AA40" s="18" t="inlineStr"/>
      <c r="AB40" s="14" t="inlineStr"/>
      <c r="AC40" s="14" t="inlineStr"/>
    </row>
    <row r="41">
      <c r="A41" s="12" t="inlineStr"/>
      <c r="B41" s="14" t="inlineStr"/>
      <c r="C41" s="14" t="inlineStr"/>
      <c r="D41" s="14" t="inlineStr"/>
      <c r="E41" s="17" t="inlineStr"/>
      <c r="F41" s="17" t="inlineStr"/>
      <c r="G41" s="14" t="inlineStr"/>
      <c r="H41" s="14" t="inlineStr"/>
      <c r="I41" s="18" t="inlineStr"/>
      <c r="J41" s="14" t="inlineStr"/>
      <c r="K41" s="15" t="inlineStr"/>
      <c r="L41" s="15" t="inlineStr"/>
      <c r="M41" s="14" t="inlineStr"/>
      <c r="N41" s="11" t="inlineStr"/>
      <c r="O41" s="18" t="inlineStr"/>
      <c r="P41" s="18" t="inlineStr"/>
      <c r="Q41" s="18" t="inlineStr"/>
      <c r="R41" s="18" t="inlineStr"/>
      <c r="S41" s="18" t="inlineStr"/>
      <c r="T41" s="18">
        <f>SUM(O41:S41)</f>
        <v/>
      </c>
      <c r="U41" s="18" t="inlineStr"/>
      <c r="V41" s="18" t="inlineStr"/>
      <c r="W41" s="18" t="inlineStr"/>
      <c r="X41" s="18" t="inlineStr"/>
      <c r="Y41" s="18">
        <f>SUM(U41:X41)</f>
        <v/>
      </c>
      <c r="Z41" s="18" t="inlineStr"/>
      <c r="AA41" s="18" t="inlineStr"/>
      <c r="AB41" s="14" t="inlineStr"/>
      <c r="AC41" s="14" t="inlineStr"/>
    </row>
    <row r="42">
      <c r="A42" s="12" t="inlineStr"/>
      <c r="B42" s="14" t="inlineStr"/>
      <c r="C42" s="14" t="inlineStr"/>
      <c r="D42" s="14" t="inlineStr"/>
      <c r="E42" s="17" t="inlineStr"/>
      <c r="F42" s="17" t="inlineStr"/>
      <c r="G42" s="14" t="inlineStr"/>
      <c r="H42" s="14" t="inlineStr"/>
      <c r="I42" s="18" t="inlineStr"/>
      <c r="J42" s="14" t="inlineStr"/>
      <c r="K42" s="15" t="inlineStr"/>
      <c r="L42" s="15" t="inlineStr"/>
      <c r="M42" s="14" t="inlineStr"/>
      <c r="N42" s="11" t="inlineStr"/>
      <c r="O42" s="18" t="inlineStr"/>
      <c r="P42" s="18" t="inlineStr"/>
      <c r="Q42" s="18" t="inlineStr"/>
      <c r="R42" s="18" t="inlineStr"/>
      <c r="S42" s="18" t="inlineStr"/>
      <c r="T42" s="18">
        <f>SUM(O42:S42)</f>
        <v/>
      </c>
      <c r="U42" s="18" t="inlineStr"/>
      <c r="V42" s="18" t="inlineStr"/>
      <c r="W42" s="18" t="inlineStr"/>
      <c r="X42" s="18" t="inlineStr"/>
      <c r="Y42" s="18">
        <f>SUM(U42:X42)</f>
        <v/>
      </c>
      <c r="Z42" s="18" t="inlineStr"/>
      <c r="AA42" s="18" t="inlineStr"/>
      <c r="AB42" s="14" t="inlineStr"/>
      <c r="AC42" s="14" t="inlineStr"/>
    </row>
    <row r="43">
      <c r="A43" s="12" t="inlineStr"/>
      <c r="B43" s="14" t="inlineStr"/>
      <c r="C43" s="14" t="inlineStr"/>
      <c r="D43" s="14" t="inlineStr"/>
      <c r="E43" s="17" t="inlineStr"/>
      <c r="F43" s="17" t="inlineStr"/>
      <c r="G43" s="14" t="inlineStr"/>
      <c r="H43" s="14" t="inlineStr"/>
      <c r="I43" s="18" t="inlineStr"/>
      <c r="J43" s="14" t="inlineStr"/>
      <c r="K43" s="15" t="inlineStr"/>
      <c r="L43" s="15" t="inlineStr"/>
      <c r="M43" s="14" t="inlineStr"/>
      <c r="N43" s="11" t="inlineStr"/>
      <c r="O43" s="18" t="inlineStr"/>
      <c r="P43" s="18" t="inlineStr"/>
      <c r="Q43" s="18" t="inlineStr"/>
      <c r="R43" s="18" t="inlineStr"/>
      <c r="S43" s="18" t="inlineStr"/>
      <c r="T43" s="18">
        <f>SUM(O43:S43)</f>
        <v/>
      </c>
      <c r="U43" s="18" t="inlineStr"/>
      <c r="V43" s="18" t="inlineStr"/>
      <c r="W43" s="18" t="inlineStr"/>
      <c r="X43" s="18" t="inlineStr"/>
      <c r="Y43" s="18">
        <f>SUM(U43:X43)</f>
        <v/>
      </c>
      <c r="Z43" s="18" t="inlineStr"/>
      <c r="AA43" s="18" t="inlineStr"/>
      <c r="AB43" s="14" t="inlineStr"/>
      <c r="AC43" s="14" t="inlineStr"/>
    </row>
    <row r="44">
      <c r="A44" s="12" t="inlineStr"/>
      <c r="B44" s="14" t="inlineStr"/>
      <c r="C44" s="14" t="inlineStr"/>
      <c r="D44" s="14" t="inlineStr"/>
      <c r="E44" s="17" t="inlineStr"/>
      <c r="F44" s="17" t="inlineStr"/>
      <c r="G44" s="14" t="inlineStr"/>
      <c r="H44" s="14" t="inlineStr"/>
      <c r="I44" s="18" t="inlineStr"/>
      <c r="J44" s="14" t="inlineStr"/>
      <c r="K44" s="15" t="inlineStr"/>
      <c r="L44" s="15" t="inlineStr"/>
      <c r="M44" s="14" t="inlineStr"/>
      <c r="N44" s="11" t="inlineStr"/>
      <c r="O44" s="18" t="inlineStr"/>
      <c r="P44" s="18" t="inlineStr"/>
      <c r="Q44" s="18" t="inlineStr"/>
      <c r="R44" s="18" t="inlineStr"/>
      <c r="S44" s="18" t="inlineStr"/>
      <c r="T44" s="18">
        <f>SUM(O44:S44)</f>
        <v/>
      </c>
      <c r="U44" s="18" t="inlineStr"/>
      <c r="V44" s="18" t="inlineStr"/>
      <c r="W44" s="18" t="inlineStr"/>
      <c r="X44" s="18" t="inlineStr"/>
      <c r="Y44" s="18">
        <f>SUM(U44:X44)</f>
        <v/>
      </c>
      <c r="Z44" s="18" t="inlineStr"/>
      <c r="AA44" s="18" t="inlineStr"/>
      <c r="AB44" s="14" t="inlineStr"/>
      <c r="AC44" s="14" t="inlineStr"/>
    </row>
    <row r="45">
      <c r="A45" s="12" t="inlineStr"/>
      <c r="B45" s="14" t="inlineStr"/>
      <c r="C45" s="14" t="inlineStr"/>
      <c r="D45" s="14" t="inlineStr"/>
      <c r="E45" s="17" t="inlineStr"/>
      <c r="F45" s="17" t="inlineStr"/>
      <c r="G45" s="14" t="inlineStr"/>
      <c r="H45" s="14" t="inlineStr"/>
      <c r="I45" s="18" t="inlineStr"/>
      <c r="J45" s="14" t="inlineStr"/>
      <c r="K45" s="15" t="inlineStr"/>
      <c r="L45" s="15" t="inlineStr"/>
      <c r="M45" s="14" t="inlineStr"/>
      <c r="N45" s="11" t="inlineStr"/>
      <c r="O45" s="18" t="inlineStr"/>
      <c r="P45" s="18" t="inlineStr"/>
      <c r="Q45" s="18" t="inlineStr"/>
      <c r="R45" s="18" t="inlineStr"/>
      <c r="S45" s="18" t="inlineStr"/>
      <c r="T45" s="18">
        <f>SUM(O45:S45)</f>
        <v/>
      </c>
      <c r="U45" s="18" t="inlineStr"/>
      <c r="V45" s="18" t="inlineStr"/>
      <c r="W45" s="18" t="inlineStr"/>
      <c r="X45" s="18" t="inlineStr"/>
      <c r="Y45" s="18">
        <f>SUM(U45:X45)</f>
        <v/>
      </c>
      <c r="Z45" s="18" t="inlineStr"/>
      <c r="AA45" s="18" t="inlineStr"/>
      <c r="AB45" s="14" t="inlineStr"/>
      <c r="AC45" s="14" t="inlineStr"/>
    </row>
    <row r="46">
      <c r="A46" s="12" t="inlineStr"/>
      <c r="B46" s="14" t="inlineStr"/>
      <c r="C46" s="14" t="inlineStr"/>
      <c r="D46" s="14" t="inlineStr"/>
      <c r="E46" s="17" t="inlineStr"/>
      <c r="F46" s="17" t="inlineStr"/>
      <c r="G46" s="14" t="inlineStr"/>
      <c r="H46" s="14" t="inlineStr"/>
      <c r="I46" s="18" t="inlineStr"/>
      <c r="J46" s="14" t="inlineStr"/>
      <c r="K46" s="15" t="inlineStr"/>
      <c r="L46" s="15" t="inlineStr"/>
      <c r="M46" s="14" t="inlineStr"/>
      <c r="N46" s="11" t="inlineStr"/>
      <c r="O46" s="18" t="inlineStr"/>
      <c r="P46" s="18" t="inlineStr"/>
      <c r="Q46" s="18" t="inlineStr"/>
      <c r="R46" s="18" t="inlineStr"/>
      <c r="S46" s="18" t="inlineStr"/>
      <c r="T46" s="18">
        <f>SUM(O46:S46)</f>
        <v/>
      </c>
      <c r="U46" s="18" t="inlineStr"/>
      <c r="V46" s="18" t="inlineStr"/>
      <c r="W46" s="18" t="inlineStr"/>
      <c r="X46" s="18" t="inlineStr"/>
      <c r="Y46" s="18">
        <f>SUM(U46:X46)</f>
        <v/>
      </c>
      <c r="Z46" s="18" t="inlineStr"/>
      <c r="AA46" s="18" t="inlineStr"/>
      <c r="AB46" s="14" t="inlineStr"/>
      <c r="AC46" s="14" t="inlineStr"/>
    </row>
    <row r="47">
      <c r="A47" s="12" t="inlineStr"/>
      <c r="B47" s="14" t="inlineStr"/>
      <c r="C47" s="14" t="inlineStr"/>
      <c r="D47" s="14" t="inlineStr"/>
      <c r="E47" s="17" t="inlineStr"/>
      <c r="F47" s="17" t="inlineStr"/>
      <c r="G47" s="14" t="inlineStr"/>
      <c r="H47" s="14" t="inlineStr"/>
      <c r="I47" s="18" t="inlineStr"/>
      <c r="J47" s="14" t="inlineStr"/>
      <c r="K47" s="15" t="inlineStr"/>
      <c r="L47" s="15" t="inlineStr"/>
      <c r="M47" s="14" t="inlineStr"/>
      <c r="N47" s="11" t="inlineStr"/>
      <c r="O47" s="18" t="inlineStr"/>
      <c r="P47" s="18" t="inlineStr"/>
      <c r="Q47" s="18" t="inlineStr"/>
      <c r="R47" s="18" t="inlineStr"/>
      <c r="S47" s="18" t="inlineStr"/>
      <c r="T47" s="18">
        <f>SUM(O47:S47)</f>
        <v/>
      </c>
      <c r="U47" s="18" t="inlineStr"/>
      <c r="V47" s="18" t="inlineStr"/>
      <c r="W47" s="18" t="inlineStr"/>
      <c r="X47" s="18" t="inlineStr"/>
      <c r="Y47" s="18">
        <f>SUM(U47:X47)</f>
        <v/>
      </c>
      <c r="Z47" s="18" t="inlineStr"/>
      <c r="AA47" s="18" t="inlineStr"/>
      <c r="AB47" s="14" t="inlineStr"/>
      <c r="AC47" s="14" t="inlineStr"/>
    </row>
    <row r="48">
      <c r="A48" s="12" t="inlineStr"/>
      <c r="B48" s="14" t="inlineStr"/>
      <c r="C48" s="14" t="inlineStr"/>
      <c r="D48" s="14" t="inlineStr"/>
      <c r="E48" s="17" t="inlineStr"/>
      <c r="F48" s="17" t="inlineStr"/>
      <c r="G48" s="14" t="inlineStr"/>
      <c r="H48" s="14" t="inlineStr"/>
      <c r="I48" s="18" t="inlineStr"/>
      <c r="J48" s="14" t="inlineStr"/>
      <c r="K48" s="15" t="inlineStr"/>
      <c r="L48" s="15" t="inlineStr"/>
      <c r="M48" s="14" t="inlineStr"/>
      <c r="N48" s="11" t="inlineStr"/>
      <c r="O48" s="18" t="inlineStr"/>
      <c r="P48" s="18" t="inlineStr"/>
      <c r="Q48" s="18" t="inlineStr"/>
      <c r="R48" s="18" t="inlineStr"/>
      <c r="S48" s="18" t="inlineStr"/>
      <c r="T48" s="18">
        <f>SUM(O48:S48)</f>
        <v/>
      </c>
      <c r="U48" s="18" t="inlineStr"/>
      <c r="V48" s="18" t="inlineStr"/>
      <c r="W48" s="18" t="inlineStr"/>
      <c r="X48" s="18" t="inlineStr"/>
      <c r="Y48" s="18">
        <f>SUM(U48:X48)</f>
        <v/>
      </c>
      <c r="Z48" s="18" t="inlineStr"/>
      <c r="AA48" s="18" t="inlineStr"/>
      <c r="AB48" s="14" t="inlineStr"/>
      <c r="AC48" s="14" t="inlineStr"/>
    </row>
    <row r="49">
      <c r="A49" s="12" t="inlineStr"/>
      <c r="B49" s="14" t="inlineStr"/>
      <c r="C49" s="14" t="inlineStr"/>
      <c r="D49" s="14" t="inlineStr"/>
      <c r="E49" s="17" t="inlineStr"/>
      <c r="F49" s="17" t="inlineStr"/>
      <c r="G49" s="14" t="inlineStr"/>
      <c r="H49" s="14" t="inlineStr"/>
      <c r="I49" s="18" t="inlineStr"/>
      <c r="J49" s="14" t="inlineStr"/>
      <c r="K49" s="15" t="inlineStr"/>
      <c r="L49" s="15" t="inlineStr"/>
      <c r="M49" s="14" t="inlineStr"/>
      <c r="N49" s="11" t="inlineStr"/>
      <c r="O49" s="18" t="inlineStr"/>
      <c r="P49" s="18" t="inlineStr"/>
      <c r="Q49" s="18" t="inlineStr"/>
      <c r="R49" s="18" t="inlineStr"/>
      <c r="S49" s="18" t="inlineStr"/>
      <c r="T49" s="18">
        <f>SUM(O49:S49)</f>
        <v/>
      </c>
      <c r="U49" s="18" t="inlineStr"/>
      <c r="V49" s="18" t="inlineStr"/>
      <c r="W49" s="18" t="inlineStr"/>
      <c r="X49" s="18" t="inlineStr"/>
      <c r="Y49" s="18">
        <f>SUM(U49:X49)</f>
        <v/>
      </c>
      <c r="Z49" s="18" t="inlineStr"/>
      <c r="AA49" s="18" t="inlineStr"/>
      <c r="AB49" s="14" t="inlineStr"/>
      <c r="AC49" s="14" t="inlineStr"/>
    </row>
    <row r="50">
      <c r="A50" s="12" t="inlineStr"/>
      <c r="B50" s="14" t="inlineStr"/>
      <c r="C50" s="14" t="inlineStr"/>
      <c r="D50" s="14" t="inlineStr"/>
      <c r="E50" s="17" t="inlineStr"/>
      <c r="F50" s="17" t="inlineStr"/>
      <c r="G50" s="14" t="inlineStr"/>
      <c r="H50" s="14" t="inlineStr"/>
      <c r="I50" s="18" t="inlineStr"/>
      <c r="J50" s="14" t="inlineStr"/>
      <c r="K50" s="15" t="inlineStr"/>
      <c r="L50" s="15" t="inlineStr"/>
      <c r="M50" s="14" t="inlineStr"/>
      <c r="N50" s="11" t="inlineStr"/>
      <c r="O50" s="18" t="inlineStr"/>
      <c r="P50" s="18" t="inlineStr"/>
      <c r="Q50" s="18" t="inlineStr"/>
      <c r="R50" s="18" t="inlineStr"/>
      <c r="S50" s="18" t="inlineStr"/>
      <c r="T50" s="18">
        <f>SUM(O50:S50)</f>
        <v/>
      </c>
      <c r="U50" s="18" t="inlineStr"/>
      <c r="V50" s="18" t="inlineStr"/>
      <c r="W50" s="18" t="inlineStr"/>
      <c r="X50" s="18" t="inlineStr"/>
      <c r="Y50" s="18">
        <f>SUM(U50:X50)</f>
        <v/>
      </c>
      <c r="Z50" s="18" t="inlineStr"/>
      <c r="AA50" s="18" t="inlineStr"/>
      <c r="AB50" s="14" t="inlineStr"/>
      <c r="AC50" s="14" t="inlineStr"/>
    </row>
    <row r="51">
      <c r="A51" s="12" t="inlineStr"/>
      <c r="B51" s="14" t="inlineStr"/>
      <c r="C51" s="14" t="inlineStr"/>
      <c r="D51" s="14" t="inlineStr"/>
      <c r="E51" s="17" t="inlineStr"/>
      <c r="F51" s="17" t="inlineStr"/>
      <c r="G51" s="14" t="inlineStr"/>
      <c r="H51" s="14" t="inlineStr"/>
      <c r="I51" s="18" t="inlineStr"/>
      <c r="J51" s="14" t="inlineStr"/>
      <c r="K51" s="15" t="inlineStr"/>
      <c r="L51" s="15" t="inlineStr"/>
      <c r="M51" s="14" t="inlineStr"/>
      <c r="N51" s="11" t="inlineStr"/>
      <c r="O51" s="18" t="inlineStr"/>
      <c r="P51" s="18" t="inlineStr"/>
      <c r="Q51" s="18" t="inlineStr"/>
      <c r="R51" s="18" t="inlineStr"/>
      <c r="S51" s="18" t="inlineStr"/>
      <c r="T51" s="18">
        <f>SUM(O51:S51)</f>
        <v/>
      </c>
      <c r="U51" s="18" t="inlineStr"/>
      <c r="V51" s="18" t="inlineStr"/>
      <c r="W51" s="18" t="inlineStr"/>
      <c r="X51" s="18" t="inlineStr"/>
      <c r="Y51" s="18">
        <f>SUM(U51:X51)</f>
        <v/>
      </c>
      <c r="Z51" s="18" t="inlineStr"/>
      <c r="AA51" s="18" t="inlineStr"/>
      <c r="AB51" s="14" t="inlineStr"/>
      <c r="AC51" s="14" t="inlineStr"/>
    </row>
    <row r="52">
      <c r="A52" s="12" t="inlineStr"/>
      <c r="B52" s="14" t="inlineStr"/>
      <c r="C52" s="14" t="inlineStr"/>
      <c r="D52" s="14" t="inlineStr"/>
      <c r="E52" s="17" t="inlineStr"/>
      <c r="F52" s="17" t="inlineStr"/>
      <c r="G52" s="14" t="inlineStr"/>
      <c r="H52" s="14" t="inlineStr"/>
      <c r="I52" s="18" t="inlineStr"/>
      <c r="J52" s="14" t="inlineStr"/>
      <c r="K52" s="15" t="inlineStr"/>
      <c r="L52" s="15" t="inlineStr"/>
      <c r="M52" s="14" t="inlineStr"/>
      <c r="N52" s="11" t="inlineStr"/>
      <c r="O52" s="18" t="inlineStr"/>
      <c r="P52" s="18" t="inlineStr"/>
      <c r="Q52" s="18" t="inlineStr"/>
      <c r="R52" s="18" t="inlineStr"/>
      <c r="S52" s="18" t="inlineStr"/>
      <c r="T52" s="18">
        <f>SUM(O52:S52)</f>
        <v/>
      </c>
      <c r="U52" s="18" t="inlineStr"/>
      <c r="V52" s="18" t="inlineStr"/>
      <c r="W52" s="18" t="inlineStr"/>
      <c r="X52" s="18" t="inlineStr"/>
      <c r="Y52" s="18">
        <f>SUM(U52:X52)</f>
        <v/>
      </c>
      <c r="Z52" s="18" t="inlineStr"/>
      <c r="AA52" s="18" t="inlineStr"/>
      <c r="AB52" s="14" t="inlineStr"/>
      <c r="AC52" s="14" t="inlineStr"/>
    </row>
    <row r="53">
      <c r="A53" s="12" t="inlineStr"/>
      <c r="B53" s="14" t="inlineStr"/>
      <c r="C53" s="14" t="inlineStr"/>
      <c r="D53" s="14" t="inlineStr"/>
      <c r="E53" s="17" t="inlineStr"/>
      <c r="F53" s="17" t="inlineStr"/>
      <c r="G53" s="14" t="inlineStr"/>
      <c r="H53" s="14" t="inlineStr"/>
      <c r="I53" s="18" t="inlineStr"/>
      <c r="J53" s="14" t="inlineStr"/>
      <c r="K53" s="15" t="inlineStr"/>
      <c r="L53" s="15" t="inlineStr"/>
      <c r="M53" s="14" t="inlineStr"/>
      <c r="N53" s="11" t="inlineStr"/>
      <c r="O53" s="18" t="inlineStr"/>
      <c r="P53" s="18" t="inlineStr"/>
      <c r="Q53" s="18" t="inlineStr"/>
      <c r="R53" s="18" t="inlineStr"/>
      <c r="S53" s="18" t="inlineStr"/>
      <c r="T53" s="18">
        <f>SUM(O53:S53)</f>
        <v/>
      </c>
      <c r="U53" s="18" t="inlineStr"/>
      <c r="V53" s="18" t="inlineStr"/>
      <c r="W53" s="18" t="inlineStr"/>
      <c r="X53" s="18" t="inlineStr"/>
      <c r="Y53" s="18">
        <f>SUM(U53:X53)</f>
        <v/>
      </c>
      <c r="Z53" s="18" t="inlineStr"/>
      <c r="AA53" s="18" t="inlineStr"/>
      <c r="AB53" s="14" t="inlineStr"/>
      <c r="AC53" s="14" t="inlineStr"/>
    </row>
    <row r="54">
      <c r="A54" s="12" t="inlineStr"/>
      <c r="B54" s="14" t="inlineStr"/>
      <c r="C54" s="14" t="inlineStr"/>
      <c r="D54" s="14" t="inlineStr"/>
      <c r="E54" s="17" t="inlineStr"/>
      <c r="F54" s="17" t="inlineStr"/>
      <c r="G54" s="14" t="inlineStr"/>
      <c r="H54" s="14" t="inlineStr"/>
      <c r="I54" s="18" t="inlineStr"/>
      <c r="J54" s="14" t="inlineStr"/>
      <c r="K54" s="15" t="inlineStr"/>
      <c r="L54" s="15" t="inlineStr"/>
      <c r="M54" s="14" t="inlineStr"/>
      <c r="N54" s="11" t="inlineStr"/>
      <c r="O54" s="18" t="inlineStr"/>
      <c r="P54" s="18" t="inlineStr"/>
      <c r="Q54" s="18" t="inlineStr"/>
      <c r="R54" s="18" t="inlineStr"/>
      <c r="S54" s="18" t="inlineStr"/>
      <c r="T54" s="18">
        <f>SUM(O54:S54)</f>
        <v/>
      </c>
      <c r="U54" s="18" t="inlineStr"/>
      <c r="V54" s="18" t="inlineStr"/>
      <c r="W54" s="18" t="inlineStr"/>
      <c r="X54" s="18" t="inlineStr"/>
      <c r="Y54" s="18">
        <f>SUM(U54:X54)</f>
        <v/>
      </c>
      <c r="Z54" s="18" t="inlineStr"/>
      <c r="AA54" s="18" t="inlineStr"/>
      <c r="AB54" s="14" t="inlineStr"/>
      <c r="AC54" s="14" t="inlineStr"/>
    </row>
    <row r="55">
      <c r="A55" s="12" t="inlineStr"/>
      <c r="B55" s="14" t="inlineStr"/>
      <c r="C55" s="14" t="inlineStr"/>
      <c r="D55" s="14" t="inlineStr"/>
      <c r="E55" s="17" t="inlineStr"/>
      <c r="F55" s="17" t="inlineStr"/>
      <c r="G55" s="14" t="inlineStr"/>
      <c r="H55" s="14" t="inlineStr"/>
      <c r="I55" s="18" t="inlineStr"/>
      <c r="J55" s="14" t="inlineStr"/>
      <c r="K55" s="15" t="inlineStr"/>
      <c r="L55" s="15" t="inlineStr"/>
      <c r="M55" s="14" t="inlineStr"/>
      <c r="N55" s="11" t="inlineStr"/>
      <c r="O55" s="18" t="inlineStr"/>
      <c r="P55" s="18" t="inlineStr"/>
      <c r="Q55" s="18" t="inlineStr"/>
      <c r="R55" s="18" t="inlineStr"/>
      <c r="S55" s="18" t="inlineStr"/>
      <c r="T55" s="18">
        <f>SUM(O55:S55)</f>
        <v/>
      </c>
      <c r="U55" s="18" t="inlineStr"/>
      <c r="V55" s="18" t="inlineStr"/>
      <c r="W55" s="18" t="inlineStr"/>
      <c r="X55" s="18" t="inlineStr"/>
      <c r="Y55" s="18">
        <f>SUM(U55:X55)</f>
        <v/>
      </c>
      <c r="Z55" s="18" t="inlineStr"/>
      <c r="AA55" s="18" t="inlineStr"/>
      <c r="AB55" s="14" t="inlineStr"/>
      <c r="AC55" s="14" t="inlineStr"/>
    </row>
    <row r="56">
      <c r="A56" s="12" t="inlineStr"/>
      <c r="B56" s="14" t="inlineStr"/>
      <c r="C56" s="14" t="inlineStr"/>
      <c r="D56" s="14" t="inlineStr"/>
      <c r="E56" s="17" t="inlineStr"/>
      <c r="F56" s="17" t="inlineStr"/>
      <c r="G56" s="14" t="inlineStr"/>
      <c r="H56" s="14" t="inlineStr"/>
      <c r="I56" s="18" t="inlineStr"/>
      <c r="J56" s="14" t="inlineStr"/>
      <c r="K56" s="15" t="inlineStr"/>
      <c r="L56" s="15" t="inlineStr"/>
      <c r="M56" s="14" t="inlineStr"/>
      <c r="N56" s="11" t="inlineStr"/>
      <c r="O56" s="18" t="inlineStr"/>
      <c r="P56" s="18" t="inlineStr"/>
      <c r="Q56" s="18" t="inlineStr"/>
      <c r="R56" s="18" t="inlineStr"/>
      <c r="S56" s="18" t="inlineStr"/>
      <c r="T56" s="18">
        <f>SUM(O56:S56)</f>
        <v/>
      </c>
      <c r="U56" s="18" t="inlineStr"/>
      <c r="V56" s="18" t="inlineStr"/>
      <c r="W56" s="18" t="inlineStr"/>
      <c r="X56" s="18" t="inlineStr"/>
      <c r="Y56" s="18">
        <f>SUM(U56:X56)</f>
        <v/>
      </c>
      <c r="Z56" s="18" t="inlineStr"/>
      <c r="AA56" s="18" t="inlineStr"/>
      <c r="AB56" s="14" t="inlineStr"/>
      <c r="AC56" s="14" t="inlineStr"/>
    </row>
    <row r="57">
      <c r="A57" s="12" t="inlineStr"/>
      <c r="B57" s="14" t="inlineStr"/>
      <c r="C57" s="14" t="inlineStr"/>
      <c r="D57" s="14" t="inlineStr"/>
      <c r="E57" s="17" t="inlineStr"/>
      <c r="F57" s="17" t="inlineStr"/>
      <c r="G57" s="14" t="inlineStr"/>
      <c r="H57" s="14" t="inlineStr"/>
      <c r="I57" s="18" t="inlineStr"/>
      <c r="J57" s="14" t="inlineStr"/>
      <c r="K57" s="15" t="inlineStr"/>
      <c r="L57" s="15" t="inlineStr"/>
      <c r="M57" s="14" t="inlineStr"/>
      <c r="N57" s="11" t="inlineStr"/>
      <c r="O57" s="18" t="inlineStr"/>
      <c r="P57" s="18" t="inlineStr"/>
      <c r="Q57" s="18" t="inlineStr"/>
      <c r="R57" s="18" t="inlineStr"/>
      <c r="S57" s="18" t="inlineStr"/>
      <c r="T57" s="18">
        <f>SUM(O57:S57)</f>
        <v/>
      </c>
      <c r="U57" s="18" t="inlineStr"/>
      <c r="V57" s="18" t="inlineStr"/>
      <c r="W57" s="18" t="inlineStr"/>
      <c r="X57" s="18" t="inlineStr"/>
      <c r="Y57" s="18">
        <f>SUM(U57:X57)</f>
        <v/>
      </c>
      <c r="Z57" s="18" t="inlineStr"/>
      <c r="AA57" s="18" t="inlineStr"/>
      <c r="AB57" s="14" t="inlineStr"/>
      <c r="AC57" s="14" t="inlineStr"/>
    </row>
    <row r="58">
      <c r="A58" s="12" t="inlineStr"/>
      <c r="B58" s="14" t="inlineStr"/>
      <c r="C58" s="14" t="inlineStr"/>
      <c r="D58" s="14" t="inlineStr"/>
      <c r="E58" s="17" t="inlineStr"/>
      <c r="F58" s="17" t="inlineStr"/>
      <c r="G58" s="14" t="inlineStr"/>
      <c r="H58" s="14" t="inlineStr"/>
      <c r="I58" s="18" t="inlineStr"/>
      <c r="J58" s="14" t="inlineStr"/>
      <c r="K58" s="15" t="inlineStr"/>
      <c r="L58" s="15" t="inlineStr"/>
      <c r="M58" s="14" t="inlineStr"/>
      <c r="N58" s="11" t="inlineStr"/>
      <c r="O58" s="18" t="inlineStr"/>
      <c r="P58" s="18" t="inlineStr"/>
      <c r="Q58" s="18" t="inlineStr"/>
      <c r="R58" s="18" t="inlineStr"/>
      <c r="S58" s="18" t="inlineStr"/>
      <c r="T58" s="18">
        <f>SUM(O58:S58)</f>
        <v/>
      </c>
      <c r="U58" s="18" t="inlineStr"/>
      <c r="V58" s="18" t="inlineStr"/>
      <c r="W58" s="18" t="inlineStr"/>
      <c r="X58" s="18" t="inlineStr"/>
      <c r="Y58" s="18">
        <f>SUM(U58:X58)</f>
        <v/>
      </c>
      <c r="Z58" s="18" t="inlineStr"/>
      <c r="AA58" s="18" t="inlineStr"/>
      <c r="AB58" s="14" t="inlineStr"/>
      <c r="AC58" s="14" t="inlineStr"/>
    </row>
    <row r="59">
      <c r="A59" s="12" t="inlineStr"/>
      <c r="B59" s="14" t="inlineStr"/>
      <c r="C59" s="14" t="inlineStr"/>
      <c r="D59" s="14" t="inlineStr"/>
      <c r="E59" s="17" t="inlineStr"/>
      <c r="F59" s="17" t="inlineStr"/>
      <c r="G59" s="14" t="inlineStr"/>
      <c r="H59" s="14" t="inlineStr"/>
      <c r="I59" s="18" t="inlineStr"/>
      <c r="J59" s="14" t="inlineStr"/>
      <c r="K59" s="15" t="inlineStr"/>
      <c r="L59" s="15" t="inlineStr"/>
      <c r="M59" s="14" t="inlineStr"/>
      <c r="N59" s="11" t="inlineStr"/>
      <c r="O59" s="18" t="inlineStr"/>
      <c r="P59" s="18" t="inlineStr"/>
      <c r="Q59" s="18" t="inlineStr"/>
      <c r="R59" s="18" t="inlineStr"/>
      <c r="S59" s="18" t="inlineStr"/>
      <c r="T59" s="18">
        <f>SUM(O59:S59)</f>
        <v/>
      </c>
      <c r="U59" s="18" t="inlineStr"/>
      <c r="V59" s="18" t="inlineStr"/>
      <c r="W59" s="18" t="inlineStr"/>
      <c r="X59" s="18" t="inlineStr"/>
      <c r="Y59" s="18">
        <f>SUM(U59:X59)</f>
        <v/>
      </c>
      <c r="Z59" s="18" t="inlineStr"/>
      <c r="AA59" s="18" t="inlineStr"/>
      <c r="AB59" s="14" t="inlineStr"/>
      <c r="AC59" s="14" t="inlineStr"/>
    </row>
    <row r="60">
      <c r="A60" s="12" t="inlineStr"/>
      <c r="B60" s="14" t="inlineStr"/>
      <c r="C60" s="14" t="inlineStr"/>
      <c r="D60" s="14" t="inlineStr"/>
      <c r="E60" s="17" t="inlineStr"/>
      <c r="F60" s="17" t="inlineStr"/>
      <c r="G60" s="14" t="inlineStr"/>
      <c r="H60" s="14" t="inlineStr"/>
      <c r="I60" s="18" t="inlineStr"/>
      <c r="J60" s="14" t="inlineStr"/>
      <c r="K60" s="15" t="inlineStr"/>
      <c r="L60" s="15" t="inlineStr"/>
      <c r="M60" s="14" t="inlineStr"/>
      <c r="N60" s="11" t="inlineStr"/>
      <c r="O60" s="18" t="inlineStr"/>
      <c r="P60" s="18" t="inlineStr"/>
      <c r="Q60" s="18" t="inlineStr"/>
      <c r="R60" s="18" t="inlineStr"/>
      <c r="S60" s="18" t="inlineStr"/>
      <c r="T60" s="18">
        <f>SUM(O60:S60)</f>
        <v/>
      </c>
      <c r="U60" s="18" t="inlineStr"/>
      <c r="V60" s="18" t="inlineStr"/>
      <c r="W60" s="18" t="inlineStr"/>
      <c r="X60" s="18" t="inlineStr"/>
      <c r="Y60" s="18">
        <f>SUM(U60:X60)</f>
        <v/>
      </c>
      <c r="Z60" s="18" t="inlineStr"/>
      <c r="AA60" s="18" t="inlineStr"/>
      <c r="AB60" s="14" t="inlineStr"/>
      <c r="AC60" s="14" t="inlineStr"/>
    </row>
    <row r="61">
      <c r="A61" s="12" t="inlineStr"/>
      <c r="B61" s="14" t="inlineStr"/>
      <c r="C61" s="14" t="inlineStr"/>
      <c r="D61" s="14" t="inlineStr"/>
      <c r="E61" s="17" t="inlineStr"/>
      <c r="F61" s="17" t="inlineStr"/>
      <c r="G61" s="14" t="inlineStr"/>
      <c r="H61" s="14" t="inlineStr"/>
      <c r="I61" s="18" t="inlineStr"/>
      <c r="J61" s="14" t="inlineStr"/>
      <c r="K61" s="15" t="inlineStr"/>
      <c r="L61" s="15" t="inlineStr"/>
      <c r="M61" s="14" t="inlineStr"/>
      <c r="N61" s="11" t="inlineStr"/>
      <c r="O61" s="18" t="inlineStr"/>
      <c r="P61" s="18" t="inlineStr"/>
      <c r="Q61" s="18" t="inlineStr"/>
      <c r="R61" s="18" t="inlineStr"/>
      <c r="S61" s="18" t="inlineStr"/>
      <c r="T61" s="18">
        <f>SUM(O61:S61)</f>
        <v/>
      </c>
      <c r="U61" s="18" t="inlineStr"/>
      <c r="V61" s="18" t="inlineStr"/>
      <c r="W61" s="18" t="inlineStr"/>
      <c r="X61" s="18" t="inlineStr"/>
      <c r="Y61" s="18">
        <f>SUM(U61:X61)</f>
        <v/>
      </c>
      <c r="Z61" s="18" t="inlineStr"/>
      <c r="AA61" s="18" t="inlineStr"/>
      <c r="AB61" s="14" t="inlineStr"/>
      <c r="AC61" s="14" t="inlineStr"/>
    </row>
    <row r="62">
      <c r="A62" s="12" t="inlineStr"/>
      <c r="B62" s="14" t="inlineStr"/>
      <c r="C62" s="14" t="inlineStr"/>
      <c r="D62" s="14" t="inlineStr"/>
      <c r="E62" s="17" t="inlineStr"/>
      <c r="F62" s="17" t="inlineStr"/>
      <c r="G62" s="14" t="inlineStr"/>
      <c r="H62" s="14" t="inlineStr"/>
      <c r="I62" s="18" t="inlineStr"/>
      <c r="J62" s="14" t="inlineStr"/>
      <c r="K62" s="15" t="inlineStr"/>
      <c r="L62" s="15" t="inlineStr"/>
      <c r="M62" s="14" t="inlineStr"/>
      <c r="N62" s="11" t="inlineStr"/>
      <c r="O62" s="18" t="inlineStr"/>
      <c r="P62" s="18" t="inlineStr"/>
      <c r="Q62" s="18" t="inlineStr"/>
      <c r="R62" s="18" t="inlineStr"/>
      <c r="S62" s="18" t="inlineStr"/>
      <c r="T62" s="18">
        <f>SUM(O62:S62)</f>
        <v/>
      </c>
      <c r="U62" s="18" t="inlineStr"/>
      <c r="V62" s="18" t="inlineStr"/>
      <c r="W62" s="18" t="inlineStr"/>
      <c r="X62" s="18" t="inlineStr"/>
      <c r="Y62" s="18">
        <f>SUM(U62:X62)</f>
        <v/>
      </c>
      <c r="Z62" s="18" t="inlineStr"/>
      <c r="AA62" s="18" t="inlineStr"/>
      <c r="AB62" s="14" t="inlineStr"/>
      <c r="AC62" s="14" t="inlineStr"/>
    </row>
    <row r="63">
      <c r="A63" s="12" t="inlineStr"/>
      <c r="B63" s="14" t="inlineStr"/>
      <c r="C63" s="14" t="inlineStr"/>
      <c r="D63" s="14" t="inlineStr"/>
      <c r="E63" s="17" t="inlineStr"/>
      <c r="F63" s="17" t="inlineStr"/>
      <c r="G63" s="14" t="inlineStr"/>
      <c r="H63" s="14" t="inlineStr"/>
      <c r="I63" s="18" t="inlineStr"/>
      <c r="J63" s="14" t="inlineStr"/>
      <c r="K63" s="15" t="inlineStr"/>
      <c r="L63" s="15" t="inlineStr"/>
      <c r="M63" s="14" t="inlineStr"/>
      <c r="N63" s="11" t="inlineStr"/>
      <c r="O63" s="18" t="inlineStr"/>
      <c r="P63" s="18" t="inlineStr"/>
      <c r="Q63" s="18" t="inlineStr"/>
      <c r="R63" s="18" t="inlineStr"/>
      <c r="S63" s="18" t="inlineStr"/>
      <c r="T63" s="18">
        <f>SUM(O63:S63)</f>
        <v/>
      </c>
      <c r="U63" s="18" t="inlineStr"/>
      <c r="V63" s="18" t="inlineStr"/>
      <c r="W63" s="18" t="inlineStr"/>
      <c r="X63" s="18" t="inlineStr"/>
      <c r="Y63" s="18">
        <f>SUM(U63:X63)</f>
        <v/>
      </c>
      <c r="Z63" s="18" t="inlineStr"/>
      <c r="AA63" s="18" t="inlineStr"/>
      <c r="AB63" s="14" t="inlineStr"/>
      <c r="AC63" s="14" t="inlineStr"/>
    </row>
    <row r="64">
      <c r="A64" s="12" t="inlineStr"/>
      <c r="B64" s="14" t="inlineStr"/>
      <c r="C64" s="14" t="inlineStr"/>
      <c r="D64" s="14" t="inlineStr"/>
      <c r="E64" s="17" t="inlineStr"/>
      <c r="F64" s="17" t="inlineStr"/>
      <c r="G64" s="14" t="inlineStr"/>
      <c r="H64" s="14" t="inlineStr"/>
      <c r="I64" s="18" t="inlineStr"/>
      <c r="J64" s="14" t="inlineStr"/>
      <c r="K64" s="15" t="inlineStr"/>
      <c r="L64" s="15" t="inlineStr"/>
      <c r="M64" s="14" t="inlineStr"/>
      <c r="N64" s="11" t="inlineStr"/>
      <c r="O64" s="18" t="inlineStr"/>
      <c r="P64" s="18" t="inlineStr"/>
      <c r="Q64" s="18" t="inlineStr"/>
      <c r="R64" s="18" t="inlineStr"/>
      <c r="S64" s="18" t="inlineStr"/>
      <c r="T64" s="18">
        <f>SUM(O64:S64)</f>
        <v/>
      </c>
      <c r="U64" s="18" t="inlineStr"/>
      <c r="V64" s="18" t="inlineStr"/>
      <c r="W64" s="18" t="inlineStr"/>
      <c r="X64" s="18" t="inlineStr"/>
      <c r="Y64" s="18">
        <f>SUM(U64:X64)</f>
        <v/>
      </c>
      <c r="Z64" s="18" t="inlineStr"/>
      <c r="AA64" s="18" t="inlineStr"/>
      <c r="AB64" s="14" t="inlineStr"/>
      <c r="AC64" s="14" t="inlineStr"/>
    </row>
    <row r="65">
      <c r="A65" s="12" t="inlineStr"/>
      <c r="B65" s="14" t="inlineStr"/>
      <c r="C65" s="14" t="inlineStr"/>
      <c r="D65" s="14" t="inlineStr"/>
      <c r="E65" s="17" t="inlineStr"/>
      <c r="F65" s="17" t="inlineStr"/>
      <c r="G65" s="14" t="inlineStr"/>
      <c r="H65" s="14" t="inlineStr"/>
      <c r="I65" s="18" t="inlineStr"/>
      <c r="J65" s="14" t="inlineStr"/>
      <c r="K65" s="15" t="inlineStr"/>
      <c r="L65" s="15" t="inlineStr"/>
      <c r="M65" s="14" t="inlineStr"/>
      <c r="N65" s="11" t="inlineStr"/>
      <c r="O65" s="18" t="inlineStr"/>
      <c r="P65" s="18" t="inlineStr"/>
      <c r="Q65" s="18" t="inlineStr"/>
      <c r="R65" s="18" t="inlineStr"/>
      <c r="S65" s="18" t="inlineStr"/>
      <c r="T65" s="18">
        <f>SUM(O65:S65)</f>
        <v/>
      </c>
      <c r="U65" s="18" t="inlineStr"/>
      <c r="V65" s="18" t="inlineStr"/>
      <c r="W65" s="18" t="inlineStr"/>
      <c r="X65" s="18" t="inlineStr"/>
      <c r="Y65" s="18">
        <f>SUM(U65:X65)</f>
        <v/>
      </c>
      <c r="Z65" s="18" t="inlineStr"/>
      <c r="AA65" s="18" t="inlineStr"/>
      <c r="AB65" s="14" t="inlineStr"/>
      <c r="AC65" s="14" t="inlineStr"/>
    </row>
    <row r="66">
      <c r="A66" s="12" t="inlineStr"/>
      <c r="B66" s="14" t="inlineStr"/>
      <c r="C66" s="14" t="inlineStr"/>
      <c r="D66" s="14" t="inlineStr"/>
      <c r="E66" s="17" t="inlineStr"/>
      <c r="F66" s="17" t="inlineStr"/>
      <c r="G66" s="14" t="inlineStr"/>
      <c r="H66" s="14" t="inlineStr"/>
      <c r="I66" s="18" t="inlineStr"/>
      <c r="J66" s="14" t="inlineStr"/>
      <c r="K66" s="15" t="inlineStr"/>
      <c r="L66" s="15" t="inlineStr"/>
      <c r="M66" s="14" t="inlineStr"/>
      <c r="N66" s="11" t="inlineStr"/>
      <c r="O66" s="18" t="inlineStr"/>
      <c r="P66" s="18" t="inlineStr"/>
      <c r="Q66" s="18" t="inlineStr"/>
      <c r="R66" s="18" t="inlineStr"/>
      <c r="S66" s="18" t="inlineStr"/>
      <c r="T66" s="18">
        <f>SUM(O66:S66)</f>
        <v/>
      </c>
      <c r="U66" s="18" t="inlineStr"/>
      <c r="V66" s="18" t="inlineStr"/>
      <c r="W66" s="18" t="inlineStr"/>
      <c r="X66" s="18" t="inlineStr"/>
      <c r="Y66" s="18">
        <f>SUM(U66:X66)</f>
        <v/>
      </c>
      <c r="Z66" s="18" t="inlineStr"/>
      <c r="AA66" s="18" t="inlineStr"/>
      <c r="AB66" s="14" t="inlineStr"/>
      <c r="AC66" s="14" t="inlineStr"/>
    </row>
    <row r="67">
      <c r="A67" s="12" t="inlineStr"/>
      <c r="B67" s="14" t="inlineStr"/>
      <c r="C67" s="14" t="inlineStr"/>
      <c r="D67" s="14" t="inlineStr"/>
      <c r="E67" s="17" t="inlineStr"/>
      <c r="F67" s="17" t="inlineStr"/>
      <c r="G67" s="14" t="inlineStr"/>
      <c r="H67" s="14" t="inlineStr"/>
      <c r="I67" s="18" t="inlineStr"/>
      <c r="J67" s="14" t="inlineStr"/>
      <c r="K67" s="15" t="inlineStr"/>
      <c r="L67" s="15" t="inlineStr"/>
      <c r="M67" s="14" t="inlineStr"/>
      <c r="N67" s="11" t="inlineStr"/>
      <c r="O67" s="18" t="inlineStr"/>
      <c r="P67" s="18" t="inlineStr"/>
      <c r="Q67" s="18" t="inlineStr"/>
      <c r="R67" s="18" t="inlineStr"/>
      <c r="S67" s="18" t="inlineStr"/>
      <c r="T67" s="18">
        <f>SUM(O67:S67)</f>
        <v/>
      </c>
      <c r="U67" s="18" t="inlineStr"/>
      <c r="V67" s="18" t="inlineStr"/>
      <c r="W67" s="18" t="inlineStr"/>
      <c r="X67" s="18" t="inlineStr"/>
      <c r="Y67" s="18">
        <f>SUM(U67:X67)</f>
        <v/>
      </c>
      <c r="Z67" s="18" t="inlineStr"/>
      <c r="AA67" s="18" t="inlineStr"/>
      <c r="AB67" s="14" t="inlineStr"/>
      <c r="AC67" s="14" t="inlineStr"/>
    </row>
    <row r="68">
      <c r="A68" s="12" t="inlineStr"/>
      <c r="B68" s="14" t="inlineStr"/>
      <c r="C68" s="14" t="inlineStr"/>
      <c r="D68" s="14" t="inlineStr"/>
      <c r="E68" s="17" t="inlineStr"/>
      <c r="F68" s="17" t="inlineStr"/>
      <c r="G68" s="14" t="inlineStr"/>
      <c r="H68" s="14" t="inlineStr"/>
      <c r="I68" s="18" t="inlineStr"/>
      <c r="J68" s="14" t="inlineStr"/>
      <c r="K68" s="15" t="inlineStr"/>
      <c r="L68" s="15" t="inlineStr"/>
      <c r="M68" s="14" t="inlineStr"/>
      <c r="N68" s="11" t="inlineStr"/>
      <c r="O68" s="18" t="inlineStr"/>
      <c r="P68" s="18" t="inlineStr"/>
      <c r="Q68" s="18" t="inlineStr"/>
      <c r="R68" s="18" t="inlineStr"/>
      <c r="S68" s="18" t="inlineStr"/>
      <c r="T68" s="18">
        <f>SUM(O68:S68)</f>
        <v/>
      </c>
      <c r="U68" s="18" t="inlineStr"/>
      <c r="V68" s="18" t="inlineStr"/>
      <c r="W68" s="18" t="inlineStr"/>
      <c r="X68" s="18" t="inlineStr"/>
      <c r="Y68" s="18">
        <f>SUM(U68:X68)</f>
        <v/>
      </c>
      <c r="Z68" s="18" t="inlineStr"/>
      <c r="AA68" s="18" t="inlineStr"/>
      <c r="AB68" s="14" t="inlineStr"/>
      <c r="AC68" s="14" t="inlineStr"/>
    </row>
    <row r="69">
      <c r="A69" s="12" t="inlineStr"/>
      <c r="B69" s="14" t="inlineStr"/>
      <c r="C69" s="14" t="inlineStr"/>
      <c r="D69" s="14" t="inlineStr"/>
      <c r="E69" s="17" t="inlineStr"/>
      <c r="F69" s="17" t="inlineStr"/>
      <c r="G69" s="14" t="inlineStr"/>
      <c r="H69" s="14" t="inlineStr"/>
      <c r="I69" s="18" t="inlineStr"/>
      <c r="J69" s="14" t="inlineStr"/>
      <c r="K69" s="15" t="inlineStr"/>
      <c r="L69" s="15" t="inlineStr"/>
      <c r="M69" s="14" t="inlineStr"/>
      <c r="N69" s="11" t="inlineStr"/>
      <c r="O69" s="18" t="inlineStr"/>
      <c r="P69" s="18" t="inlineStr"/>
      <c r="Q69" s="18" t="inlineStr"/>
      <c r="R69" s="18" t="inlineStr"/>
      <c r="S69" s="18" t="inlineStr"/>
      <c r="T69" s="18">
        <f>SUM(O69:S69)</f>
        <v/>
      </c>
      <c r="U69" s="18" t="inlineStr"/>
      <c r="V69" s="18" t="inlineStr"/>
      <c r="W69" s="18" t="inlineStr"/>
      <c r="X69" s="18" t="inlineStr"/>
      <c r="Y69" s="18">
        <f>SUM(U69:X69)</f>
        <v/>
      </c>
      <c r="Z69" s="18" t="inlineStr"/>
      <c r="AA69" s="18" t="inlineStr"/>
      <c r="AB69" s="14" t="inlineStr"/>
      <c r="AC69" s="14" t="inlineStr"/>
    </row>
    <row r="70">
      <c r="A70" s="12" t="inlineStr"/>
      <c r="B70" s="14" t="inlineStr"/>
      <c r="C70" s="14" t="inlineStr"/>
      <c r="D70" s="14" t="inlineStr"/>
      <c r="E70" s="17" t="inlineStr"/>
      <c r="F70" s="17" t="inlineStr"/>
      <c r="G70" s="14" t="inlineStr"/>
      <c r="H70" s="14" t="inlineStr"/>
      <c r="I70" s="18" t="inlineStr"/>
      <c r="J70" s="14" t="inlineStr"/>
      <c r="K70" s="15" t="inlineStr"/>
      <c r="L70" s="15" t="inlineStr"/>
      <c r="M70" s="14" t="inlineStr"/>
      <c r="N70" s="11" t="inlineStr"/>
      <c r="O70" s="18" t="inlineStr"/>
      <c r="P70" s="18" t="inlineStr"/>
      <c r="Q70" s="18" t="inlineStr"/>
      <c r="R70" s="18" t="inlineStr"/>
      <c r="S70" s="18" t="inlineStr"/>
      <c r="T70" s="18">
        <f>SUM(O70:S70)</f>
        <v/>
      </c>
      <c r="U70" s="18" t="inlineStr"/>
      <c r="V70" s="18" t="inlineStr"/>
      <c r="W70" s="18" t="inlineStr"/>
      <c r="X70" s="18" t="inlineStr"/>
      <c r="Y70" s="18">
        <f>SUM(U70:X70)</f>
        <v/>
      </c>
      <c r="Z70" s="18" t="inlineStr"/>
      <c r="AA70" s="18" t="inlineStr"/>
      <c r="AB70" s="14" t="inlineStr"/>
      <c r="AC70" s="14" t="inlineStr"/>
    </row>
    <row r="71">
      <c r="A71" s="12" t="inlineStr"/>
      <c r="B71" s="14" t="inlineStr"/>
      <c r="C71" s="14" t="inlineStr"/>
      <c r="D71" s="14" t="inlineStr"/>
      <c r="E71" s="17" t="inlineStr"/>
      <c r="F71" s="17" t="inlineStr"/>
      <c r="G71" s="14" t="inlineStr"/>
      <c r="H71" s="14" t="inlineStr"/>
      <c r="I71" s="18" t="inlineStr"/>
      <c r="J71" s="14" t="inlineStr"/>
      <c r="K71" s="15" t="inlineStr"/>
      <c r="L71" s="15" t="inlineStr"/>
      <c r="M71" s="14" t="inlineStr"/>
      <c r="N71" s="11" t="inlineStr"/>
      <c r="O71" s="18" t="inlineStr"/>
      <c r="P71" s="18" t="inlineStr"/>
      <c r="Q71" s="18" t="inlineStr"/>
      <c r="R71" s="18" t="inlineStr"/>
      <c r="S71" s="18" t="inlineStr"/>
      <c r="T71" s="18">
        <f>SUM(O71:S71)</f>
        <v/>
      </c>
      <c r="U71" s="18" t="inlineStr"/>
      <c r="V71" s="18" t="inlineStr"/>
      <c r="W71" s="18" t="inlineStr"/>
      <c r="X71" s="18" t="inlineStr"/>
      <c r="Y71" s="18">
        <f>SUM(U71:X71)</f>
        <v/>
      </c>
      <c r="Z71" s="18" t="inlineStr"/>
      <c r="AA71" s="18" t="inlineStr"/>
      <c r="AB71" s="14" t="inlineStr"/>
      <c r="AC71" s="14" t="inlineStr"/>
    </row>
    <row r="72">
      <c r="A72" s="12" t="inlineStr"/>
      <c r="B72" s="14" t="inlineStr"/>
      <c r="C72" s="14" t="inlineStr"/>
      <c r="D72" s="14" t="inlineStr"/>
      <c r="E72" s="17" t="inlineStr"/>
      <c r="F72" s="17" t="inlineStr"/>
      <c r="G72" s="14" t="inlineStr"/>
      <c r="H72" s="14" t="inlineStr"/>
      <c r="I72" s="18" t="inlineStr"/>
      <c r="J72" s="14" t="inlineStr"/>
      <c r="K72" s="15" t="inlineStr"/>
      <c r="L72" s="15" t="inlineStr"/>
      <c r="M72" s="14" t="inlineStr"/>
      <c r="N72" s="11" t="inlineStr"/>
      <c r="O72" s="18" t="inlineStr"/>
      <c r="P72" s="18" t="inlineStr"/>
      <c r="Q72" s="18" t="inlineStr"/>
      <c r="R72" s="18" t="inlineStr"/>
      <c r="S72" s="18" t="inlineStr"/>
      <c r="T72" s="18">
        <f>SUM(O72:S72)</f>
        <v/>
      </c>
      <c r="U72" s="18" t="inlineStr"/>
      <c r="V72" s="18" t="inlineStr"/>
      <c r="W72" s="18" t="inlineStr"/>
      <c r="X72" s="18" t="inlineStr"/>
      <c r="Y72" s="18">
        <f>SUM(U72:X72)</f>
        <v/>
      </c>
      <c r="Z72" s="18" t="inlineStr"/>
      <c r="AA72" s="18" t="inlineStr"/>
      <c r="AB72" s="14" t="inlineStr"/>
      <c r="AC72" s="14" t="inlineStr"/>
    </row>
    <row r="73">
      <c r="A73" s="12" t="inlineStr"/>
      <c r="B73" s="14" t="inlineStr"/>
      <c r="C73" s="14" t="inlineStr"/>
      <c r="D73" s="14" t="inlineStr"/>
      <c r="E73" s="17" t="inlineStr"/>
      <c r="F73" s="17" t="inlineStr"/>
      <c r="G73" s="14" t="inlineStr"/>
      <c r="H73" s="14" t="inlineStr"/>
      <c r="I73" s="18" t="inlineStr"/>
      <c r="J73" s="14" t="inlineStr"/>
      <c r="K73" s="15" t="inlineStr"/>
      <c r="L73" s="15" t="inlineStr"/>
      <c r="M73" s="14" t="inlineStr"/>
      <c r="N73" s="11" t="inlineStr"/>
      <c r="O73" s="18" t="inlineStr"/>
      <c r="P73" s="18" t="inlineStr"/>
      <c r="Q73" s="18" t="inlineStr"/>
      <c r="R73" s="18" t="inlineStr"/>
      <c r="S73" s="18" t="inlineStr"/>
      <c r="T73" s="18">
        <f>SUM(O73:S73)</f>
        <v/>
      </c>
      <c r="U73" s="18" t="inlineStr"/>
      <c r="V73" s="18" t="inlineStr"/>
      <c r="W73" s="18" t="inlineStr"/>
      <c r="X73" s="18" t="inlineStr"/>
      <c r="Y73" s="18">
        <f>SUM(U73:X73)</f>
        <v/>
      </c>
      <c r="Z73" s="18" t="inlineStr"/>
      <c r="AA73" s="18" t="inlineStr"/>
      <c r="AB73" s="14" t="inlineStr"/>
      <c r="AC73" s="14" t="inlineStr"/>
    </row>
    <row r="74">
      <c r="A74" s="12" t="inlineStr"/>
      <c r="B74" s="14" t="inlineStr"/>
      <c r="C74" s="14" t="inlineStr"/>
      <c r="D74" s="14" t="inlineStr"/>
      <c r="E74" s="17" t="inlineStr"/>
      <c r="F74" s="17" t="inlineStr"/>
      <c r="G74" s="14" t="inlineStr"/>
      <c r="H74" s="14" t="inlineStr"/>
      <c r="I74" s="18" t="inlineStr"/>
      <c r="J74" s="14" t="inlineStr"/>
      <c r="K74" s="15" t="inlineStr"/>
      <c r="L74" s="15" t="inlineStr"/>
      <c r="M74" s="14" t="inlineStr"/>
      <c r="N74" s="11" t="inlineStr"/>
      <c r="O74" s="18" t="inlineStr"/>
      <c r="P74" s="18" t="inlineStr"/>
      <c r="Q74" s="18" t="inlineStr"/>
      <c r="R74" s="18" t="inlineStr"/>
      <c r="S74" s="18" t="inlineStr"/>
      <c r="T74" s="18">
        <f>SUM(O74:S74)</f>
        <v/>
      </c>
      <c r="U74" s="18" t="inlineStr"/>
      <c r="V74" s="18" t="inlineStr"/>
      <c r="W74" s="18" t="inlineStr"/>
      <c r="X74" s="18" t="inlineStr"/>
      <c r="Y74" s="18">
        <f>SUM(U74:X74)</f>
        <v/>
      </c>
      <c r="Z74" s="18" t="inlineStr"/>
      <c r="AA74" s="18" t="inlineStr"/>
      <c r="AB74" s="14" t="inlineStr"/>
      <c r="AC74" s="14" t="inlineStr"/>
    </row>
    <row r="75">
      <c r="A75" s="12" t="inlineStr"/>
      <c r="B75" s="14" t="inlineStr"/>
      <c r="C75" s="14" t="inlineStr"/>
      <c r="D75" s="14" t="inlineStr"/>
      <c r="E75" s="17" t="inlineStr"/>
      <c r="F75" s="17" t="inlineStr"/>
      <c r="G75" s="14" t="inlineStr"/>
      <c r="H75" s="14" t="inlineStr"/>
      <c r="I75" s="18" t="inlineStr"/>
      <c r="J75" s="14" t="inlineStr"/>
      <c r="K75" s="15" t="inlineStr"/>
      <c r="L75" s="15" t="inlineStr"/>
      <c r="M75" s="14" t="inlineStr"/>
      <c r="N75" s="11" t="inlineStr"/>
      <c r="O75" s="18" t="inlineStr"/>
      <c r="P75" s="18" t="inlineStr"/>
      <c r="Q75" s="18" t="inlineStr"/>
      <c r="R75" s="18" t="inlineStr"/>
      <c r="S75" s="18" t="inlineStr"/>
      <c r="T75" s="18">
        <f>SUM(O75:S75)</f>
        <v/>
      </c>
      <c r="U75" s="18" t="inlineStr"/>
      <c r="V75" s="18" t="inlineStr"/>
      <c r="W75" s="18" t="inlineStr"/>
      <c r="X75" s="18" t="inlineStr"/>
      <c r="Y75" s="18">
        <f>SUM(U75:X75)</f>
        <v/>
      </c>
      <c r="Z75" s="18" t="inlineStr"/>
      <c r="AA75" s="18" t="inlineStr"/>
      <c r="AB75" s="14" t="inlineStr"/>
      <c r="AC75" s="14" t="inlineStr"/>
    </row>
    <row r="76">
      <c r="A76" s="12" t="inlineStr"/>
      <c r="B76" s="14" t="inlineStr"/>
      <c r="C76" s="14" t="inlineStr"/>
      <c r="D76" s="14" t="inlineStr"/>
      <c r="E76" s="17" t="inlineStr"/>
      <c r="F76" s="17" t="inlineStr"/>
      <c r="G76" s="14" t="inlineStr"/>
      <c r="H76" s="14" t="inlineStr"/>
      <c r="I76" s="18" t="inlineStr"/>
      <c r="J76" s="14" t="inlineStr"/>
      <c r="K76" s="15" t="inlineStr"/>
      <c r="L76" s="15" t="inlineStr"/>
      <c r="M76" s="14" t="inlineStr"/>
      <c r="N76" s="11" t="inlineStr"/>
      <c r="O76" s="18" t="inlineStr"/>
      <c r="P76" s="18" t="inlineStr"/>
      <c r="Q76" s="18" t="inlineStr"/>
      <c r="R76" s="18" t="inlineStr"/>
      <c r="S76" s="18" t="inlineStr"/>
      <c r="T76" s="18">
        <f>SUM(O76:S76)</f>
        <v/>
      </c>
      <c r="U76" s="18" t="inlineStr"/>
      <c r="V76" s="18" t="inlineStr"/>
      <c r="W76" s="18" t="inlineStr"/>
      <c r="X76" s="18" t="inlineStr"/>
      <c r="Y76" s="18">
        <f>SUM(U76:X76)</f>
        <v/>
      </c>
      <c r="Z76" s="18" t="inlineStr"/>
      <c r="AA76" s="18" t="inlineStr"/>
      <c r="AB76" s="14" t="inlineStr"/>
      <c r="AC76" s="14" t="inlineStr"/>
    </row>
    <row r="77">
      <c r="A77" s="12" t="inlineStr"/>
      <c r="B77" s="14" t="inlineStr"/>
      <c r="C77" s="14" t="inlineStr"/>
      <c r="D77" s="14" t="inlineStr"/>
      <c r="E77" s="17" t="inlineStr"/>
      <c r="F77" s="17" t="inlineStr"/>
      <c r="G77" s="14" t="inlineStr"/>
      <c r="H77" s="14" t="inlineStr"/>
      <c r="I77" s="18" t="inlineStr"/>
      <c r="J77" s="14" t="inlineStr"/>
      <c r="K77" s="15" t="inlineStr"/>
      <c r="L77" s="15" t="inlineStr"/>
      <c r="M77" s="14" t="inlineStr"/>
      <c r="N77" s="11" t="inlineStr"/>
      <c r="O77" s="18" t="inlineStr"/>
      <c r="P77" s="18" t="inlineStr"/>
      <c r="Q77" s="18" t="inlineStr"/>
      <c r="R77" s="18" t="inlineStr"/>
      <c r="S77" s="18" t="inlineStr"/>
      <c r="T77" s="18">
        <f>SUM(O77:S77)</f>
        <v/>
      </c>
      <c r="U77" s="18" t="inlineStr"/>
      <c r="V77" s="18" t="inlineStr"/>
      <c r="W77" s="18" t="inlineStr"/>
      <c r="X77" s="18" t="inlineStr"/>
      <c r="Y77" s="18">
        <f>SUM(U77:X77)</f>
        <v/>
      </c>
      <c r="Z77" s="18" t="inlineStr"/>
      <c r="AA77" s="18" t="inlineStr"/>
      <c r="AB77" s="14" t="inlineStr"/>
      <c r="AC77" s="14" t="inlineStr"/>
    </row>
    <row r="78">
      <c r="A78" s="12" t="inlineStr"/>
      <c r="B78" s="14" t="inlineStr"/>
      <c r="C78" s="14" t="inlineStr"/>
      <c r="D78" s="14" t="inlineStr"/>
      <c r="E78" s="17" t="inlineStr"/>
      <c r="F78" s="17" t="inlineStr"/>
      <c r="G78" s="14" t="inlineStr"/>
      <c r="H78" s="14" t="inlineStr"/>
      <c r="I78" s="18" t="inlineStr"/>
      <c r="J78" s="14" t="inlineStr"/>
      <c r="K78" s="15" t="inlineStr"/>
      <c r="L78" s="15" t="inlineStr"/>
      <c r="M78" s="14" t="inlineStr"/>
      <c r="N78" s="11" t="inlineStr"/>
      <c r="O78" s="18" t="inlineStr"/>
      <c r="P78" s="18" t="inlineStr"/>
      <c r="Q78" s="18" t="inlineStr"/>
      <c r="R78" s="18" t="inlineStr"/>
      <c r="S78" s="18" t="inlineStr"/>
      <c r="T78" s="18">
        <f>SUM(O78:S78)</f>
        <v/>
      </c>
      <c r="U78" s="18" t="inlineStr"/>
      <c r="V78" s="18" t="inlineStr"/>
      <c r="W78" s="18" t="inlineStr"/>
      <c r="X78" s="18" t="inlineStr"/>
      <c r="Y78" s="18">
        <f>SUM(U78:X78)</f>
        <v/>
      </c>
      <c r="Z78" s="18" t="inlineStr"/>
      <c r="AA78" s="18" t="inlineStr"/>
      <c r="AB78" s="14" t="inlineStr"/>
      <c r="AC78" s="14" t="inlineStr"/>
    </row>
    <row r="79">
      <c r="A79" s="12" t="inlineStr"/>
      <c r="B79" s="14" t="inlineStr"/>
      <c r="C79" s="14" t="inlineStr"/>
      <c r="D79" s="14" t="inlineStr"/>
      <c r="E79" s="17" t="inlineStr"/>
      <c r="F79" s="17" t="inlineStr"/>
      <c r="G79" s="14" t="inlineStr"/>
      <c r="H79" s="14" t="inlineStr"/>
      <c r="I79" s="18" t="inlineStr"/>
      <c r="J79" s="14" t="inlineStr"/>
      <c r="K79" s="15" t="inlineStr"/>
      <c r="L79" s="15" t="inlineStr"/>
      <c r="M79" s="14" t="inlineStr"/>
      <c r="N79" s="11" t="inlineStr"/>
      <c r="O79" s="18" t="inlineStr"/>
      <c r="P79" s="18" t="inlineStr"/>
      <c r="Q79" s="18" t="inlineStr"/>
      <c r="R79" s="18" t="inlineStr"/>
      <c r="S79" s="18" t="inlineStr"/>
      <c r="T79" s="18">
        <f>SUM(O79:S79)</f>
        <v/>
      </c>
      <c r="U79" s="18" t="inlineStr"/>
      <c r="V79" s="18" t="inlineStr"/>
      <c r="W79" s="18" t="inlineStr"/>
      <c r="X79" s="18" t="inlineStr"/>
      <c r="Y79" s="18">
        <f>SUM(U79:X79)</f>
        <v/>
      </c>
      <c r="Z79" s="18" t="inlineStr"/>
      <c r="AA79" s="18" t="inlineStr"/>
      <c r="AB79" s="14" t="inlineStr"/>
      <c r="AC79" s="14" t="inlineStr"/>
    </row>
    <row r="80">
      <c r="A80" s="12" t="inlineStr"/>
      <c r="B80" s="14" t="inlineStr"/>
      <c r="C80" s="14" t="inlineStr"/>
      <c r="D80" s="14" t="inlineStr"/>
      <c r="E80" s="17" t="inlineStr"/>
      <c r="F80" s="17" t="inlineStr"/>
      <c r="G80" s="14" t="inlineStr"/>
      <c r="H80" s="14" t="inlineStr"/>
      <c r="I80" s="18" t="inlineStr"/>
      <c r="J80" s="14" t="inlineStr"/>
      <c r="K80" s="15" t="inlineStr"/>
      <c r="L80" s="15" t="inlineStr"/>
      <c r="M80" s="14" t="inlineStr"/>
      <c r="N80" s="11" t="inlineStr"/>
      <c r="O80" s="18" t="inlineStr"/>
      <c r="P80" s="18" t="inlineStr"/>
      <c r="Q80" s="18" t="inlineStr"/>
      <c r="R80" s="18" t="inlineStr"/>
      <c r="S80" s="18" t="inlineStr"/>
      <c r="T80" s="18">
        <f>SUM(O80:S80)</f>
        <v/>
      </c>
      <c r="U80" s="18" t="inlineStr"/>
      <c r="V80" s="18" t="inlineStr"/>
      <c r="W80" s="18" t="inlineStr"/>
      <c r="X80" s="18" t="inlineStr"/>
      <c r="Y80" s="18">
        <f>SUM(U80:X80)</f>
        <v/>
      </c>
      <c r="Z80" s="18" t="inlineStr"/>
      <c r="AA80" s="18" t="inlineStr"/>
      <c r="AB80" s="14" t="inlineStr"/>
      <c r="AC80" s="14" t="inlineStr"/>
    </row>
    <row r="81">
      <c r="A81" s="12" t="inlineStr"/>
      <c r="B81" s="14" t="inlineStr"/>
      <c r="C81" s="14" t="inlineStr"/>
      <c r="D81" s="14" t="inlineStr"/>
      <c r="E81" s="17" t="inlineStr"/>
      <c r="F81" s="17" t="inlineStr"/>
      <c r="G81" s="14" t="inlineStr"/>
      <c r="H81" s="14" t="inlineStr"/>
      <c r="I81" s="18" t="inlineStr"/>
      <c r="J81" s="14" t="inlineStr"/>
      <c r="K81" s="15" t="inlineStr"/>
      <c r="L81" s="15" t="inlineStr"/>
      <c r="M81" s="14" t="inlineStr"/>
      <c r="N81" s="11" t="inlineStr"/>
      <c r="O81" s="18" t="inlineStr"/>
      <c r="P81" s="18" t="inlineStr"/>
      <c r="Q81" s="18" t="inlineStr"/>
      <c r="R81" s="18" t="inlineStr"/>
      <c r="S81" s="18" t="inlineStr"/>
      <c r="T81" s="18">
        <f>SUM(O81:S81)</f>
        <v/>
      </c>
      <c r="U81" s="18" t="inlineStr"/>
      <c r="V81" s="18" t="inlineStr"/>
      <c r="W81" s="18" t="inlineStr"/>
      <c r="X81" s="18" t="inlineStr"/>
      <c r="Y81" s="18">
        <f>SUM(U81:X81)</f>
        <v/>
      </c>
      <c r="Z81" s="18" t="inlineStr"/>
      <c r="AA81" s="18" t="inlineStr"/>
      <c r="AB81" s="14" t="inlineStr"/>
      <c r="AC81" s="14" t="inlineStr"/>
    </row>
    <row r="82">
      <c r="A82" s="12" t="inlineStr"/>
      <c r="B82" s="14" t="inlineStr"/>
      <c r="C82" s="14" t="inlineStr"/>
      <c r="D82" s="14" t="inlineStr"/>
      <c r="E82" s="17" t="inlineStr"/>
      <c r="F82" s="17" t="inlineStr"/>
      <c r="G82" s="14" t="inlineStr"/>
      <c r="H82" s="14" t="inlineStr"/>
      <c r="I82" s="18" t="inlineStr"/>
      <c r="J82" s="14" t="inlineStr"/>
      <c r="K82" s="15" t="inlineStr"/>
      <c r="L82" s="15" t="inlineStr"/>
      <c r="M82" s="14" t="inlineStr"/>
      <c r="N82" s="11" t="inlineStr"/>
      <c r="O82" s="18" t="inlineStr"/>
      <c r="P82" s="18" t="inlineStr"/>
      <c r="Q82" s="18" t="inlineStr"/>
      <c r="R82" s="18" t="inlineStr"/>
      <c r="S82" s="18" t="inlineStr"/>
      <c r="T82" s="18">
        <f>SUM(O82:S82)</f>
        <v/>
      </c>
      <c r="U82" s="18" t="inlineStr"/>
      <c r="V82" s="18" t="inlineStr"/>
      <c r="W82" s="18" t="inlineStr"/>
      <c r="X82" s="18" t="inlineStr"/>
      <c r="Y82" s="18">
        <f>SUM(U82:X82)</f>
        <v/>
      </c>
      <c r="Z82" s="18" t="inlineStr"/>
      <c r="AA82" s="18" t="inlineStr"/>
      <c r="AB82" s="14" t="inlineStr"/>
      <c r="AC82" s="14" t="inlineStr"/>
    </row>
    <row r="83">
      <c r="A83" s="12" t="inlineStr"/>
      <c r="B83" s="14" t="inlineStr"/>
      <c r="C83" s="14" t="inlineStr"/>
      <c r="D83" s="14" t="inlineStr"/>
      <c r="E83" s="17" t="inlineStr"/>
      <c r="F83" s="17" t="inlineStr"/>
      <c r="G83" s="14" t="inlineStr"/>
      <c r="H83" s="14" t="inlineStr"/>
      <c r="I83" s="18" t="inlineStr"/>
      <c r="J83" s="14" t="inlineStr"/>
      <c r="K83" s="15" t="inlineStr"/>
      <c r="L83" s="15" t="inlineStr"/>
      <c r="M83" s="14" t="inlineStr"/>
      <c r="N83" s="11" t="inlineStr"/>
      <c r="O83" s="18" t="inlineStr"/>
      <c r="P83" s="18" t="inlineStr"/>
      <c r="Q83" s="18" t="inlineStr"/>
      <c r="R83" s="18" t="inlineStr"/>
      <c r="S83" s="18" t="inlineStr"/>
      <c r="T83" s="18">
        <f>SUM(O83:S83)</f>
        <v/>
      </c>
      <c r="U83" s="18" t="inlineStr"/>
      <c r="V83" s="18" t="inlineStr"/>
      <c r="W83" s="18" t="inlineStr"/>
      <c r="X83" s="18" t="inlineStr"/>
      <c r="Y83" s="18">
        <f>SUM(U83:X83)</f>
        <v/>
      </c>
      <c r="Z83" s="18" t="inlineStr"/>
      <c r="AA83" s="18" t="inlineStr"/>
      <c r="AB83" s="14" t="inlineStr"/>
      <c r="AC83" s="14" t="inlineStr"/>
    </row>
    <row r="84">
      <c r="A84" s="12" t="inlineStr"/>
      <c r="B84" s="14" t="inlineStr"/>
      <c r="C84" s="14" t="inlineStr"/>
      <c r="D84" s="14" t="inlineStr"/>
      <c r="E84" s="17" t="inlineStr"/>
      <c r="F84" s="17" t="inlineStr"/>
      <c r="G84" s="14" t="inlineStr"/>
      <c r="H84" s="14" t="inlineStr"/>
      <c r="I84" s="18" t="inlineStr"/>
      <c r="J84" s="14" t="inlineStr"/>
      <c r="K84" s="15" t="inlineStr"/>
      <c r="L84" s="15" t="inlineStr"/>
      <c r="M84" s="14" t="inlineStr"/>
      <c r="N84" s="11" t="inlineStr"/>
      <c r="O84" s="18" t="inlineStr"/>
      <c r="P84" s="18" t="inlineStr"/>
      <c r="Q84" s="18" t="inlineStr"/>
      <c r="R84" s="18" t="inlineStr"/>
      <c r="S84" s="18" t="inlineStr"/>
      <c r="T84" s="18">
        <f>SUM(O84:S84)</f>
        <v/>
      </c>
      <c r="U84" s="18" t="inlineStr"/>
      <c r="V84" s="18" t="inlineStr"/>
      <c r="W84" s="18" t="inlineStr"/>
      <c r="X84" s="18" t="inlineStr"/>
      <c r="Y84" s="18">
        <f>SUM(U84:X84)</f>
        <v/>
      </c>
      <c r="Z84" s="18" t="inlineStr"/>
      <c r="AA84" s="18" t="inlineStr"/>
      <c r="AB84" s="14" t="inlineStr"/>
      <c r="AC84" s="14" t="inlineStr"/>
    </row>
    <row r="85">
      <c r="A85" s="12" t="inlineStr"/>
      <c r="B85" s="14" t="inlineStr"/>
      <c r="C85" s="14" t="inlineStr"/>
      <c r="D85" s="14" t="inlineStr"/>
      <c r="E85" s="17" t="inlineStr"/>
      <c r="F85" s="17" t="inlineStr"/>
      <c r="G85" s="14" t="inlineStr"/>
      <c r="H85" s="14" t="inlineStr"/>
      <c r="I85" s="18" t="inlineStr"/>
      <c r="J85" s="14" t="inlineStr"/>
      <c r="K85" s="15" t="inlineStr"/>
      <c r="L85" s="15" t="inlineStr"/>
      <c r="M85" s="14" t="inlineStr"/>
      <c r="N85" s="11" t="inlineStr"/>
      <c r="O85" s="18" t="inlineStr"/>
      <c r="P85" s="18" t="inlineStr"/>
      <c r="Q85" s="18" t="inlineStr"/>
      <c r="R85" s="18" t="inlineStr"/>
      <c r="S85" s="18" t="inlineStr"/>
      <c r="T85" s="18">
        <f>SUM(O85:S85)</f>
        <v/>
      </c>
      <c r="U85" s="18" t="inlineStr"/>
      <c r="V85" s="18" t="inlineStr"/>
      <c r="W85" s="18" t="inlineStr"/>
      <c r="X85" s="18" t="inlineStr"/>
      <c r="Y85" s="18">
        <f>SUM(U85:X85)</f>
        <v/>
      </c>
      <c r="Z85" s="18" t="inlineStr"/>
      <c r="AA85" s="18" t="inlineStr"/>
      <c r="AB85" s="14" t="inlineStr"/>
      <c r="AC85" s="14" t="inlineStr"/>
    </row>
    <row r="86">
      <c r="A86" s="12" t="inlineStr"/>
      <c r="B86" s="14" t="inlineStr"/>
      <c r="C86" s="14" t="inlineStr"/>
      <c r="D86" s="14" t="inlineStr"/>
      <c r="E86" s="17" t="inlineStr"/>
      <c r="F86" s="17" t="inlineStr"/>
      <c r="G86" s="14" t="inlineStr"/>
      <c r="H86" s="14" t="inlineStr"/>
      <c r="I86" s="18" t="inlineStr"/>
      <c r="J86" s="14" t="inlineStr"/>
      <c r="K86" s="15" t="inlineStr"/>
      <c r="L86" s="15" t="inlineStr"/>
      <c r="M86" s="14" t="inlineStr"/>
      <c r="N86" s="11" t="inlineStr"/>
      <c r="O86" s="18" t="inlineStr"/>
      <c r="P86" s="18" t="inlineStr"/>
      <c r="Q86" s="18" t="inlineStr"/>
      <c r="R86" s="18" t="inlineStr"/>
      <c r="S86" s="18" t="inlineStr"/>
      <c r="T86" s="18">
        <f>SUM(O86:S86)</f>
        <v/>
      </c>
      <c r="U86" s="18" t="inlineStr"/>
      <c r="V86" s="18" t="inlineStr"/>
      <c r="W86" s="18" t="inlineStr"/>
      <c r="X86" s="18" t="inlineStr"/>
      <c r="Y86" s="18">
        <f>SUM(U86:X86)</f>
        <v/>
      </c>
      <c r="Z86" s="18" t="inlineStr"/>
      <c r="AA86" s="18" t="inlineStr"/>
      <c r="AB86" s="14" t="inlineStr"/>
      <c r="AC86" s="14" t="inlineStr"/>
    </row>
    <row r="87">
      <c r="A87" s="12" t="inlineStr"/>
      <c r="B87" s="14" t="inlineStr"/>
      <c r="C87" s="14" t="inlineStr"/>
      <c r="D87" s="14" t="inlineStr"/>
      <c r="E87" s="17" t="inlineStr"/>
      <c r="F87" s="17" t="inlineStr"/>
      <c r="G87" s="14" t="inlineStr"/>
      <c r="H87" s="14" t="inlineStr"/>
      <c r="I87" s="18" t="inlineStr"/>
      <c r="J87" s="14" t="inlineStr"/>
      <c r="K87" s="15" t="inlineStr"/>
      <c r="L87" s="15" t="inlineStr"/>
      <c r="M87" s="14" t="inlineStr"/>
      <c r="N87" s="11" t="inlineStr"/>
      <c r="O87" s="18" t="inlineStr"/>
      <c r="P87" s="18" t="inlineStr"/>
      <c r="Q87" s="18" t="inlineStr"/>
      <c r="R87" s="18" t="inlineStr"/>
      <c r="S87" s="18" t="inlineStr"/>
      <c r="T87" s="18">
        <f>SUM(O87:S87)</f>
        <v/>
      </c>
      <c r="U87" s="18" t="inlineStr"/>
      <c r="V87" s="18" t="inlineStr"/>
      <c r="W87" s="18" t="inlineStr"/>
      <c r="X87" s="18" t="inlineStr"/>
      <c r="Y87" s="18">
        <f>SUM(U87:X87)</f>
        <v/>
      </c>
      <c r="Z87" s="18" t="inlineStr"/>
      <c r="AA87" s="18" t="inlineStr"/>
      <c r="AB87" s="14" t="inlineStr"/>
      <c r="AC87" s="14" t="inlineStr"/>
    </row>
    <row r="88">
      <c r="A88" s="12" t="inlineStr"/>
      <c r="B88" s="14" t="inlineStr"/>
      <c r="C88" s="14" t="inlineStr"/>
      <c r="D88" s="14" t="inlineStr"/>
      <c r="E88" s="17" t="inlineStr"/>
      <c r="F88" s="17" t="inlineStr"/>
      <c r="G88" s="14" t="inlineStr"/>
      <c r="H88" s="14" t="inlineStr"/>
      <c r="I88" s="18" t="inlineStr"/>
      <c r="J88" s="14" t="inlineStr"/>
      <c r="K88" s="15" t="inlineStr"/>
      <c r="L88" s="15" t="inlineStr"/>
      <c r="M88" s="14" t="inlineStr"/>
      <c r="N88" s="11" t="inlineStr"/>
      <c r="O88" s="18" t="inlineStr"/>
      <c r="P88" s="18" t="inlineStr"/>
      <c r="Q88" s="18" t="inlineStr"/>
      <c r="R88" s="18" t="inlineStr"/>
      <c r="S88" s="18" t="inlineStr"/>
      <c r="T88" s="18">
        <f>SUM(O88:S88)</f>
        <v/>
      </c>
      <c r="U88" s="18" t="inlineStr"/>
      <c r="V88" s="18" t="inlineStr"/>
      <c r="W88" s="18" t="inlineStr"/>
      <c r="X88" s="18" t="inlineStr"/>
      <c r="Y88" s="18">
        <f>SUM(U88:X88)</f>
        <v/>
      </c>
      <c r="Z88" s="18" t="inlineStr"/>
      <c r="AA88" s="18" t="inlineStr"/>
      <c r="AB88" s="14" t="inlineStr"/>
      <c r="AC88" s="14" t="inlineStr"/>
    </row>
    <row r="89">
      <c r="A89" s="12" t="inlineStr"/>
      <c r="B89" s="14" t="inlineStr"/>
      <c r="C89" s="14" t="inlineStr"/>
      <c r="D89" s="14" t="inlineStr"/>
      <c r="E89" s="17" t="inlineStr"/>
      <c r="F89" s="17" t="inlineStr"/>
      <c r="G89" s="14" t="inlineStr"/>
      <c r="H89" s="14" t="inlineStr"/>
      <c r="I89" s="18" t="inlineStr"/>
      <c r="J89" s="14" t="inlineStr"/>
      <c r="K89" s="15" t="inlineStr"/>
      <c r="L89" s="15" t="inlineStr"/>
      <c r="M89" s="14" t="inlineStr"/>
      <c r="N89" s="11" t="inlineStr"/>
      <c r="O89" s="18" t="inlineStr"/>
      <c r="P89" s="18" t="inlineStr"/>
      <c r="Q89" s="18" t="inlineStr"/>
      <c r="R89" s="18" t="inlineStr"/>
      <c r="S89" s="18" t="inlineStr"/>
      <c r="T89" s="18">
        <f>SUM(O89:S89)</f>
        <v/>
      </c>
      <c r="U89" s="18" t="inlineStr"/>
      <c r="V89" s="18" t="inlineStr"/>
      <c r="W89" s="18" t="inlineStr"/>
      <c r="X89" s="18" t="inlineStr"/>
      <c r="Y89" s="18">
        <f>SUM(U89:X89)</f>
        <v/>
      </c>
      <c r="Z89" s="18" t="inlineStr"/>
      <c r="AA89" s="18" t="inlineStr"/>
      <c r="AB89" s="14" t="inlineStr"/>
      <c r="AC89" s="14" t="inlineStr"/>
    </row>
    <row r="90">
      <c r="A90" s="12" t="inlineStr"/>
      <c r="B90" s="14" t="inlineStr"/>
      <c r="C90" s="14" t="inlineStr"/>
      <c r="D90" s="14" t="inlineStr"/>
      <c r="E90" s="17" t="inlineStr"/>
      <c r="F90" s="17" t="inlineStr"/>
      <c r="G90" s="14" t="inlineStr"/>
      <c r="H90" s="14" t="inlineStr"/>
      <c r="I90" s="18" t="inlineStr"/>
      <c r="J90" s="14" t="inlineStr"/>
      <c r="K90" s="15" t="inlineStr"/>
      <c r="L90" s="15" t="inlineStr"/>
      <c r="M90" s="14" t="inlineStr"/>
      <c r="N90" s="11" t="inlineStr"/>
      <c r="O90" s="18" t="inlineStr"/>
      <c r="P90" s="18" t="inlineStr"/>
      <c r="Q90" s="18" t="inlineStr"/>
      <c r="R90" s="18" t="inlineStr"/>
      <c r="S90" s="18" t="inlineStr"/>
      <c r="T90" s="18">
        <f>SUM(O90:S90)</f>
        <v/>
      </c>
      <c r="U90" s="18" t="inlineStr"/>
      <c r="V90" s="18" t="inlineStr"/>
      <c r="W90" s="18" t="inlineStr"/>
      <c r="X90" s="18" t="inlineStr"/>
      <c r="Y90" s="18">
        <f>SUM(U90:X90)</f>
        <v/>
      </c>
      <c r="Z90" s="18" t="inlineStr"/>
      <c r="AA90" s="18" t="inlineStr"/>
      <c r="AB90" s="14" t="inlineStr"/>
      <c r="AC90" s="14" t="inlineStr"/>
    </row>
    <row r="91">
      <c r="A91" s="12" t="inlineStr"/>
      <c r="B91" s="14" t="inlineStr"/>
      <c r="C91" s="14" t="inlineStr"/>
      <c r="D91" s="14" t="inlineStr"/>
      <c r="E91" s="17" t="inlineStr"/>
      <c r="F91" s="17" t="inlineStr"/>
      <c r="G91" s="14" t="inlineStr"/>
      <c r="H91" s="14" t="inlineStr"/>
      <c r="I91" s="18" t="inlineStr"/>
      <c r="J91" s="14" t="inlineStr"/>
      <c r="K91" s="15" t="inlineStr"/>
      <c r="L91" s="15" t="inlineStr"/>
      <c r="M91" s="14" t="inlineStr"/>
      <c r="N91" s="11" t="inlineStr"/>
      <c r="O91" s="18" t="inlineStr"/>
      <c r="P91" s="18" t="inlineStr"/>
      <c r="Q91" s="18" t="inlineStr"/>
      <c r="R91" s="18" t="inlineStr"/>
      <c r="S91" s="18" t="inlineStr"/>
      <c r="T91" s="18">
        <f>SUM(O91:S91)</f>
        <v/>
      </c>
      <c r="U91" s="18" t="inlineStr"/>
      <c r="V91" s="18" t="inlineStr"/>
      <c r="W91" s="18" t="inlineStr"/>
      <c r="X91" s="18" t="inlineStr"/>
      <c r="Y91" s="18">
        <f>SUM(U91:X91)</f>
        <v/>
      </c>
      <c r="Z91" s="18" t="inlineStr"/>
      <c r="AA91" s="18" t="inlineStr"/>
      <c r="AB91" s="14" t="inlineStr"/>
      <c r="AC91" s="14" t="inlineStr"/>
    </row>
    <row r="92">
      <c r="A92" s="12" t="inlineStr"/>
      <c r="B92" s="14" t="inlineStr"/>
      <c r="C92" s="14" t="inlineStr"/>
      <c r="D92" s="14" t="inlineStr"/>
      <c r="E92" s="17" t="inlineStr"/>
      <c r="F92" s="17" t="inlineStr"/>
      <c r="G92" s="14" t="inlineStr"/>
      <c r="H92" s="14" t="inlineStr"/>
      <c r="I92" s="18" t="inlineStr"/>
      <c r="J92" s="14" t="inlineStr"/>
      <c r="K92" s="15" t="inlineStr"/>
      <c r="L92" s="15" t="inlineStr"/>
      <c r="M92" s="14" t="inlineStr"/>
      <c r="N92" s="11" t="inlineStr"/>
      <c r="O92" s="18" t="inlineStr"/>
      <c r="P92" s="18" t="inlineStr"/>
      <c r="Q92" s="18" t="inlineStr"/>
      <c r="R92" s="18" t="inlineStr"/>
      <c r="S92" s="18" t="inlineStr"/>
      <c r="T92" s="18">
        <f>SUM(O92:S92)</f>
        <v/>
      </c>
      <c r="U92" s="18" t="inlineStr"/>
      <c r="V92" s="18" t="inlineStr"/>
      <c r="W92" s="18" t="inlineStr"/>
      <c r="X92" s="18" t="inlineStr"/>
      <c r="Y92" s="18">
        <f>SUM(U92:X92)</f>
        <v/>
      </c>
      <c r="Z92" s="18" t="inlineStr"/>
      <c r="AA92" s="18" t="inlineStr"/>
      <c r="AB92" s="14" t="inlineStr"/>
      <c r="AC92" s="14" t="inlineStr"/>
    </row>
    <row r="93">
      <c r="A93" s="12" t="inlineStr"/>
      <c r="B93" s="14" t="inlineStr"/>
      <c r="C93" s="14" t="inlineStr"/>
      <c r="D93" s="14" t="inlineStr"/>
      <c r="E93" s="17" t="inlineStr"/>
      <c r="F93" s="17" t="inlineStr"/>
      <c r="G93" s="14" t="inlineStr"/>
      <c r="H93" s="14" t="inlineStr"/>
      <c r="I93" s="18" t="inlineStr"/>
      <c r="J93" s="14" t="inlineStr"/>
      <c r="K93" s="15" t="inlineStr"/>
      <c r="L93" s="15" t="inlineStr"/>
      <c r="M93" s="14" t="inlineStr"/>
      <c r="N93" s="11" t="inlineStr"/>
      <c r="O93" s="18" t="inlineStr"/>
      <c r="P93" s="18" t="inlineStr"/>
      <c r="Q93" s="18" t="inlineStr"/>
      <c r="R93" s="18" t="inlineStr"/>
      <c r="S93" s="18" t="inlineStr"/>
      <c r="T93" s="18">
        <f>SUM(O93:S93)</f>
        <v/>
      </c>
      <c r="U93" s="18" t="inlineStr"/>
      <c r="V93" s="18" t="inlineStr"/>
      <c r="W93" s="18" t="inlineStr"/>
      <c r="X93" s="18" t="inlineStr"/>
      <c r="Y93" s="18">
        <f>SUM(U93:X93)</f>
        <v/>
      </c>
      <c r="Z93" s="18" t="inlineStr"/>
      <c r="AA93" s="18" t="inlineStr"/>
      <c r="AB93" s="14" t="inlineStr"/>
      <c r="AC93" s="14" t="inlineStr"/>
    </row>
    <row r="94">
      <c r="A94" s="12" t="inlineStr"/>
      <c r="B94" s="14" t="inlineStr"/>
      <c r="C94" s="14" t="inlineStr"/>
      <c r="D94" s="14" t="inlineStr"/>
      <c r="E94" s="17" t="inlineStr"/>
      <c r="F94" s="17" t="inlineStr"/>
      <c r="G94" s="14" t="inlineStr"/>
      <c r="H94" s="14" t="inlineStr"/>
      <c r="I94" s="18" t="inlineStr"/>
      <c r="J94" s="14" t="inlineStr"/>
      <c r="K94" s="15" t="inlineStr"/>
      <c r="L94" s="15" t="inlineStr"/>
      <c r="M94" s="14" t="inlineStr"/>
      <c r="N94" s="11" t="inlineStr"/>
      <c r="O94" s="18" t="inlineStr"/>
      <c r="P94" s="18" t="inlineStr"/>
      <c r="Q94" s="18" t="inlineStr"/>
      <c r="R94" s="18" t="inlineStr"/>
      <c r="S94" s="18" t="inlineStr"/>
      <c r="T94" s="18">
        <f>SUM(O94:S94)</f>
        <v/>
      </c>
      <c r="U94" s="18" t="inlineStr"/>
      <c r="V94" s="18" t="inlineStr"/>
      <c r="W94" s="18" t="inlineStr"/>
      <c r="X94" s="18" t="inlineStr"/>
      <c r="Y94" s="18">
        <f>SUM(U94:X94)</f>
        <v/>
      </c>
      <c r="Z94" s="18" t="inlineStr"/>
      <c r="AA94" s="18" t="inlineStr"/>
      <c r="AB94" s="14" t="inlineStr"/>
      <c r="AC94" s="14" t="inlineStr"/>
    </row>
    <row r="95">
      <c r="A95" s="12" t="inlineStr"/>
      <c r="B95" s="14" t="inlineStr"/>
      <c r="C95" s="14" t="inlineStr"/>
      <c r="D95" s="14" t="inlineStr"/>
      <c r="E95" s="17" t="inlineStr"/>
      <c r="F95" s="17" t="inlineStr"/>
      <c r="G95" s="14" t="inlineStr"/>
      <c r="H95" s="14" t="inlineStr"/>
      <c r="I95" s="18" t="inlineStr"/>
      <c r="J95" s="14" t="inlineStr"/>
      <c r="K95" s="15" t="inlineStr"/>
      <c r="L95" s="15" t="inlineStr"/>
      <c r="M95" s="14" t="inlineStr"/>
      <c r="N95" s="11" t="inlineStr"/>
      <c r="O95" s="18" t="inlineStr"/>
      <c r="P95" s="18" t="inlineStr"/>
      <c r="Q95" s="18" t="inlineStr"/>
      <c r="R95" s="18" t="inlineStr"/>
      <c r="S95" s="18" t="inlineStr"/>
      <c r="T95" s="18">
        <f>SUM(O95:S95)</f>
        <v/>
      </c>
      <c r="U95" s="18" t="inlineStr"/>
      <c r="V95" s="18" t="inlineStr"/>
      <c r="W95" s="18" t="inlineStr"/>
      <c r="X95" s="18" t="inlineStr"/>
      <c r="Y95" s="18">
        <f>SUM(U95:X95)</f>
        <v/>
      </c>
      <c r="Z95" s="18" t="inlineStr"/>
      <c r="AA95" s="18" t="inlineStr"/>
      <c r="AB95" s="14" t="inlineStr"/>
      <c r="AC95" s="14" t="inlineStr"/>
    </row>
    <row r="96">
      <c r="A96" s="12" t="inlineStr"/>
      <c r="B96" s="14" t="inlineStr"/>
      <c r="C96" s="14" t="inlineStr"/>
      <c r="D96" s="14" t="inlineStr"/>
      <c r="E96" s="17" t="inlineStr"/>
      <c r="F96" s="17" t="inlineStr"/>
      <c r="G96" s="14" t="inlineStr"/>
      <c r="H96" s="14" t="inlineStr"/>
      <c r="I96" s="18" t="inlineStr"/>
      <c r="J96" s="14" t="inlineStr"/>
      <c r="K96" s="15" t="inlineStr"/>
      <c r="L96" s="15" t="inlineStr"/>
      <c r="M96" s="14" t="inlineStr"/>
      <c r="N96" s="11" t="inlineStr"/>
      <c r="O96" s="18" t="inlineStr"/>
      <c r="P96" s="18" t="inlineStr"/>
      <c r="Q96" s="18" t="inlineStr"/>
      <c r="R96" s="18" t="inlineStr"/>
      <c r="S96" s="18" t="inlineStr"/>
      <c r="T96" s="18">
        <f>SUM(O96:S96)</f>
        <v/>
      </c>
      <c r="U96" s="18" t="inlineStr"/>
      <c r="V96" s="18" t="inlineStr"/>
      <c r="W96" s="18" t="inlineStr"/>
      <c r="X96" s="18" t="inlineStr"/>
      <c r="Y96" s="18">
        <f>SUM(U96:X96)</f>
        <v/>
      </c>
      <c r="Z96" s="18" t="inlineStr"/>
      <c r="AA96" s="18" t="inlineStr"/>
      <c r="AB96" s="14" t="inlineStr"/>
      <c r="AC96" s="14" t="inlineStr"/>
    </row>
    <row r="97">
      <c r="A97" s="12" t="inlineStr"/>
      <c r="B97" s="14" t="inlineStr"/>
      <c r="C97" s="14" t="inlineStr"/>
      <c r="D97" s="14" t="inlineStr"/>
      <c r="E97" s="17" t="inlineStr"/>
      <c r="F97" s="17" t="inlineStr"/>
      <c r="G97" s="14" t="inlineStr"/>
      <c r="H97" s="14" t="inlineStr"/>
      <c r="I97" s="18" t="inlineStr"/>
      <c r="J97" s="14" t="inlineStr"/>
      <c r="K97" s="15" t="inlineStr"/>
      <c r="L97" s="15" t="inlineStr"/>
      <c r="M97" s="14" t="inlineStr"/>
      <c r="N97" s="11" t="inlineStr"/>
      <c r="O97" s="18" t="inlineStr"/>
      <c r="P97" s="18" t="inlineStr"/>
      <c r="Q97" s="18" t="inlineStr"/>
      <c r="R97" s="18" t="inlineStr"/>
      <c r="S97" s="18" t="inlineStr"/>
      <c r="T97" s="18">
        <f>SUM(O97:S97)</f>
        <v/>
      </c>
      <c r="U97" s="18" t="inlineStr"/>
      <c r="V97" s="18" t="inlineStr"/>
      <c r="W97" s="18" t="inlineStr"/>
      <c r="X97" s="18" t="inlineStr"/>
      <c r="Y97" s="18">
        <f>SUM(U97:X97)</f>
        <v/>
      </c>
      <c r="Z97" s="18" t="inlineStr"/>
      <c r="AA97" s="18" t="inlineStr"/>
      <c r="AB97" s="14" t="inlineStr"/>
      <c r="AC97" s="14" t="inlineStr"/>
    </row>
    <row r="98">
      <c r="A98" s="12" t="inlineStr"/>
      <c r="B98" s="14" t="inlineStr"/>
      <c r="C98" s="14" t="inlineStr"/>
      <c r="D98" s="14" t="inlineStr"/>
      <c r="E98" s="17" t="inlineStr"/>
      <c r="F98" s="17" t="inlineStr"/>
      <c r="G98" s="14" t="inlineStr"/>
      <c r="H98" s="14" t="inlineStr"/>
      <c r="I98" s="18" t="inlineStr"/>
      <c r="J98" s="14" t="inlineStr"/>
      <c r="K98" s="15" t="inlineStr"/>
      <c r="L98" s="15" t="inlineStr"/>
      <c r="M98" s="14" t="inlineStr"/>
      <c r="N98" s="11" t="inlineStr"/>
      <c r="O98" s="18" t="inlineStr"/>
      <c r="P98" s="18" t="inlineStr"/>
      <c r="Q98" s="18" t="inlineStr"/>
      <c r="R98" s="18" t="inlineStr"/>
      <c r="S98" s="18" t="inlineStr"/>
      <c r="T98" s="18">
        <f>SUM(O98:S98)</f>
        <v/>
      </c>
      <c r="U98" s="18" t="inlineStr"/>
      <c r="V98" s="18" t="inlineStr"/>
      <c r="W98" s="18" t="inlineStr"/>
      <c r="X98" s="18" t="inlineStr"/>
      <c r="Y98" s="18">
        <f>SUM(U98:X98)</f>
        <v/>
      </c>
      <c r="Z98" s="18" t="inlineStr"/>
      <c r="AA98" s="18" t="inlineStr"/>
      <c r="AB98" s="14" t="inlineStr"/>
      <c r="AC98" s="14" t="inlineStr"/>
    </row>
    <row r="99">
      <c r="A99" s="12" t="inlineStr"/>
      <c r="B99" s="14" t="inlineStr"/>
      <c r="C99" s="14" t="inlineStr"/>
      <c r="D99" s="14" t="inlineStr"/>
      <c r="E99" s="17" t="inlineStr"/>
      <c r="F99" s="17" t="inlineStr"/>
      <c r="G99" s="14" t="inlineStr"/>
      <c r="H99" s="14" t="inlineStr"/>
      <c r="I99" s="18" t="inlineStr"/>
      <c r="J99" s="14" t="inlineStr"/>
      <c r="K99" s="15" t="inlineStr"/>
      <c r="L99" s="15" t="inlineStr"/>
      <c r="M99" s="14" t="inlineStr"/>
      <c r="N99" s="11" t="inlineStr"/>
      <c r="O99" s="18" t="inlineStr"/>
      <c r="P99" s="18" t="inlineStr"/>
      <c r="Q99" s="18" t="inlineStr"/>
      <c r="R99" s="18" t="inlineStr"/>
      <c r="S99" s="18" t="inlineStr"/>
      <c r="T99" s="18">
        <f>SUM(O99:S99)</f>
        <v/>
      </c>
      <c r="U99" s="18" t="inlineStr"/>
      <c r="V99" s="18" t="inlineStr"/>
      <c r="W99" s="18" t="inlineStr"/>
      <c r="X99" s="18" t="inlineStr"/>
      <c r="Y99" s="18">
        <f>SUM(U99:X99)</f>
        <v/>
      </c>
      <c r="Z99" s="18" t="inlineStr"/>
      <c r="AA99" s="18" t="inlineStr"/>
      <c r="AB99" s="14" t="inlineStr"/>
      <c r="AC99" s="14" t="inlineStr"/>
    </row>
    <row r="100">
      <c r="A100" s="12" t="inlineStr"/>
      <c r="B100" s="14" t="inlineStr"/>
      <c r="C100" s="14" t="inlineStr"/>
      <c r="D100" s="14" t="inlineStr"/>
      <c r="E100" s="17" t="inlineStr"/>
      <c r="F100" s="17" t="inlineStr"/>
      <c r="G100" s="14" t="inlineStr"/>
      <c r="H100" s="14" t="inlineStr"/>
      <c r="I100" s="18" t="inlineStr"/>
      <c r="J100" s="14" t="inlineStr"/>
      <c r="K100" s="15" t="inlineStr"/>
      <c r="L100" s="15" t="inlineStr"/>
      <c r="M100" s="14" t="inlineStr"/>
      <c r="N100" s="11" t="inlineStr"/>
      <c r="O100" s="18" t="inlineStr"/>
      <c r="P100" s="18" t="inlineStr"/>
      <c r="Q100" s="18" t="inlineStr"/>
      <c r="R100" s="18" t="inlineStr"/>
      <c r="S100" s="18" t="inlineStr"/>
      <c r="T100" s="18">
        <f>SUM(O100:S100)</f>
        <v/>
      </c>
      <c r="U100" s="18" t="inlineStr"/>
      <c r="V100" s="18" t="inlineStr"/>
      <c r="W100" s="18" t="inlineStr"/>
      <c r="X100" s="18" t="inlineStr"/>
      <c r="Y100" s="18">
        <f>SUM(U100:X100)</f>
        <v/>
      </c>
      <c r="Z100" s="18" t="inlineStr"/>
      <c r="AA100" s="18" t="inlineStr"/>
      <c r="AB100" s="14" t="inlineStr"/>
      <c r="AC100" s="14" t="inlineStr"/>
    </row>
    <row r="101">
      <c r="A101" s="12" t="inlineStr"/>
      <c r="B101" s="14" t="inlineStr"/>
      <c r="C101" s="14" t="inlineStr"/>
      <c r="D101" s="14" t="inlineStr"/>
      <c r="E101" s="17" t="inlineStr"/>
      <c r="F101" s="17" t="inlineStr"/>
      <c r="G101" s="14" t="inlineStr"/>
      <c r="H101" s="14" t="inlineStr"/>
      <c r="I101" s="18" t="inlineStr"/>
      <c r="J101" s="14" t="inlineStr"/>
      <c r="K101" s="15" t="inlineStr"/>
      <c r="L101" s="15" t="inlineStr"/>
      <c r="M101" s="14" t="inlineStr"/>
      <c r="N101" s="11" t="inlineStr"/>
      <c r="O101" s="18" t="inlineStr"/>
      <c r="P101" s="18" t="inlineStr"/>
      <c r="Q101" s="18" t="inlineStr"/>
      <c r="R101" s="18" t="inlineStr"/>
      <c r="S101" s="18" t="inlineStr"/>
      <c r="T101" s="18">
        <f>SUM(O101:S101)</f>
        <v/>
      </c>
      <c r="U101" s="18" t="inlineStr"/>
      <c r="V101" s="18" t="inlineStr"/>
      <c r="W101" s="18" t="inlineStr"/>
      <c r="X101" s="18" t="inlineStr"/>
      <c r="Y101" s="18">
        <f>SUM(U101:X101)</f>
        <v/>
      </c>
      <c r="Z101" s="18" t="inlineStr"/>
      <c r="AA101" s="18" t="inlineStr"/>
      <c r="AB101" s="14" t="inlineStr"/>
      <c r="AC101" s="14" t="inlineStr"/>
    </row>
    <row r="102">
      <c r="A102" s="12" t="inlineStr"/>
      <c r="B102" s="14" t="inlineStr"/>
      <c r="C102" s="14" t="inlineStr"/>
      <c r="D102" s="14" t="inlineStr"/>
      <c r="E102" s="17" t="inlineStr"/>
      <c r="F102" s="17" t="inlineStr"/>
      <c r="G102" s="14" t="inlineStr"/>
      <c r="H102" s="14" t="inlineStr"/>
      <c r="I102" s="18" t="inlineStr"/>
      <c r="J102" s="14" t="inlineStr"/>
      <c r="K102" s="15" t="inlineStr"/>
      <c r="L102" s="15" t="inlineStr"/>
      <c r="M102" s="14" t="inlineStr"/>
      <c r="N102" s="11" t="inlineStr"/>
      <c r="O102" s="18" t="inlineStr"/>
      <c r="P102" s="18" t="inlineStr"/>
      <c r="Q102" s="18" t="inlineStr"/>
      <c r="R102" s="18" t="inlineStr"/>
      <c r="S102" s="18" t="inlineStr"/>
      <c r="T102" s="18">
        <f>SUM(O102:S102)</f>
        <v/>
      </c>
      <c r="U102" s="18" t="inlineStr"/>
      <c r="V102" s="18" t="inlineStr"/>
      <c r="W102" s="18" t="inlineStr"/>
      <c r="X102" s="18" t="inlineStr"/>
      <c r="Y102" s="18">
        <f>SUM(U102:X102)</f>
        <v/>
      </c>
      <c r="Z102" s="18" t="inlineStr"/>
      <c r="AA102" s="18" t="inlineStr"/>
      <c r="AB102" s="14" t="inlineStr"/>
      <c r="AC102" s="14" t="inlineStr"/>
    </row>
    <row r="103">
      <c r="A103" s="12" t="inlineStr"/>
      <c r="B103" s="14" t="inlineStr"/>
      <c r="C103" s="14" t="inlineStr"/>
      <c r="D103" s="14" t="inlineStr"/>
      <c r="E103" s="17" t="inlineStr"/>
      <c r="F103" s="17" t="inlineStr"/>
      <c r="G103" s="14" t="inlineStr"/>
      <c r="H103" s="14" t="inlineStr"/>
      <c r="I103" s="18" t="inlineStr"/>
      <c r="J103" s="14" t="inlineStr"/>
      <c r="K103" s="15" t="inlineStr"/>
      <c r="L103" s="15" t="inlineStr"/>
      <c r="M103" s="14" t="inlineStr"/>
      <c r="N103" s="11" t="inlineStr"/>
      <c r="O103" s="18" t="inlineStr"/>
      <c r="P103" s="18" t="inlineStr"/>
      <c r="Q103" s="18" t="inlineStr"/>
      <c r="R103" s="18" t="inlineStr"/>
      <c r="S103" s="18" t="inlineStr"/>
      <c r="T103" s="18">
        <f>SUM(O103:S103)</f>
        <v/>
      </c>
      <c r="U103" s="18" t="inlineStr"/>
      <c r="V103" s="18" t="inlineStr"/>
      <c r="W103" s="18" t="inlineStr"/>
      <c r="X103" s="18" t="inlineStr"/>
      <c r="Y103" s="18">
        <f>SUM(U103:X103)</f>
        <v/>
      </c>
      <c r="Z103" s="18" t="inlineStr"/>
      <c r="AA103" s="18" t="inlineStr"/>
      <c r="AB103" s="14" t="inlineStr"/>
      <c r="AC103" s="14" t="inlineStr"/>
    </row>
    <row r="104">
      <c r="A104" s="12" t="inlineStr"/>
      <c r="B104" s="14" t="inlineStr"/>
      <c r="C104" s="14" t="inlineStr"/>
      <c r="D104" s="14" t="inlineStr"/>
      <c r="E104" s="17" t="inlineStr"/>
      <c r="F104" s="17" t="inlineStr"/>
      <c r="G104" s="14" t="inlineStr"/>
      <c r="H104" s="14" t="inlineStr"/>
      <c r="I104" s="18" t="inlineStr"/>
      <c r="J104" s="14" t="inlineStr"/>
      <c r="K104" s="15" t="inlineStr"/>
      <c r="L104" s="15" t="inlineStr"/>
      <c r="M104" s="14" t="inlineStr"/>
      <c r="N104" s="11" t="inlineStr"/>
      <c r="O104" s="18" t="inlineStr"/>
      <c r="P104" s="18" t="inlineStr"/>
      <c r="Q104" s="18" t="inlineStr"/>
      <c r="R104" s="18" t="inlineStr"/>
      <c r="S104" s="18" t="inlineStr"/>
      <c r="T104" s="18">
        <f>SUM(O104:S104)</f>
        <v/>
      </c>
      <c r="U104" s="18" t="inlineStr"/>
      <c r="V104" s="18" t="inlineStr"/>
      <c r="W104" s="18" t="inlineStr"/>
      <c r="X104" s="18" t="inlineStr"/>
      <c r="Y104" s="18">
        <f>SUM(U104:X104)</f>
        <v/>
      </c>
      <c r="Z104" s="18" t="inlineStr"/>
      <c r="AA104" s="18" t="inlineStr"/>
      <c r="AB104" s="14" t="inlineStr"/>
      <c r="AC104" s="14" t="inlineStr"/>
    </row>
    <row r="105">
      <c r="A105" s="12" t="inlineStr"/>
      <c r="B105" s="14" t="inlineStr"/>
      <c r="C105" s="14" t="inlineStr"/>
      <c r="D105" s="14" t="inlineStr"/>
      <c r="E105" s="17" t="inlineStr"/>
      <c r="F105" s="17" t="inlineStr"/>
      <c r="G105" s="14" t="inlineStr"/>
      <c r="H105" s="14" t="inlineStr"/>
      <c r="I105" s="18" t="inlineStr"/>
      <c r="J105" s="14" t="inlineStr"/>
      <c r="K105" s="15" t="inlineStr"/>
      <c r="L105" s="15" t="inlineStr"/>
      <c r="M105" s="14" t="inlineStr"/>
      <c r="N105" s="11" t="inlineStr"/>
      <c r="O105" s="18" t="inlineStr"/>
      <c r="P105" s="18" t="inlineStr"/>
      <c r="Q105" s="18" t="inlineStr"/>
      <c r="R105" s="18" t="inlineStr"/>
      <c r="S105" s="18" t="inlineStr"/>
      <c r="T105" s="18">
        <f>SUM(O105:S105)</f>
        <v/>
      </c>
      <c r="U105" s="18" t="inlineStr"/>
      <c r="V105" s="18" t="inlineStr"/>
      <c r="W105" s="18" t="inlineStr"/>
      <c r="X105" s="18" t="inlineStr"/>
      <c r="Y105" s="18">
        <f>SUM(U105:X105)</f>
        <v/>
      </c>
      <c r="Z105" s="18" t="inlineStr"/>
      <c r="AA105" s="18" t="inlineStr"/>
      <c r="AB105" s="14" t="inlineStr"/>
      <c r="AC105" s="14" t="inlineStr"/>
    </row>
    <row r="106">
      <c r="A106" s="12" t="inlineStr"/>
      <c r="B106" s="14" t="inlineStr"/>
      <c r="C106" s="14" t="inlineStr"/>
      <c r="D106" s="14" t="inlineStr"/>
      <c r="E106" s="17" t="inlineStr"/>
      <c r="F106" s="17" t="inlineStr"/>
      <c r="G106" s="14" t="inlineStr"/>
      <c r="H106" s="14" t="inlineStr"/>
      <c r="I106" s="18" t="inlineStr"/>
      <c r="J106" s="14" t="inlineStr"/>
      <c r="K106" s="15" t="inlineStr"/>
      <c r="L106" s="15" t="inlineStr"/>
      <c r="M106" s="14" t="inlineStr"/>
      <c r="N106" s="11" t="inlineStr"/>
      <c r="O106" s="18" t="inlineStr"/>
      <c r="P106" s="18" t="inlineStr"/>
      <c r="Q106" s="18" t="inlineStr"/>
      <c r="R106" s="18" t="inlineStr"/>
      <c r="S106" s="18" t="inlineStr"/>
      <c r="T106" s="18">
        <f>SUM(O106:S106)</f>
        <v/>
      </c>
      <c r="U106" s="18" t="inlineStr"/>
      <c r="V106" s="18" t="inlineStr"/>
      <c r="W106" s="18" t="inlineStr"/>
      <c r="X106" s="18" t="inlineStr"/>
      <c r="Y106" s="18">
        <f>SUM(U106:X106)</f>
        <v/>
      </c>
      <c r="Z106" s="18" t="inlineStr"/>
      <c r="AA106" s="18" t="inlineStr"/>
      <c r="AB106" s="14" t="inlineStr"/>
      <c r="AC106" s="14" t="inlineStr"/>
    </row>
    <row r="107">
      <c r="A107" s="12" t="inlineStr"/>
      <c r="B107" s="14" t="inlineStr"/>
      <c r="C107" s="14" t="inlineStr"/>
      <c r="D107" s="14" t="inlineStr"/>
      <c r="E107" s="17" t="inlineStr"/>
      <c r="F107" s="17" t="inlineStr"/>
      <c r="G107" s="14" t="inlineStr"/>
      <c r="H107" s="14" t="inlineStr"/>
      <c r="I107" s="18" t="inlineStr"/>
      <c r="J107" s="14" t="inlineStr"/>
      <c r="K107" s="15" t="inlineStr"/>
      <c r="L107" s="15" t="inlineStr"/>
      <c r="M107" s="14" t="inlineStr"/>
      <c r="N107" s="11" t="inlineStr"/>
      <c r="O107" s="18" t="inlineStr"/>
      <c r="P107" s="18" t="inlineStr"/>
      <c r="Q107" s="18" t="inlineStr"/>
      <c r="R107" s="18" t="inlineStr"/>
      <c r="S107" s="18" t="inlineStr"/>
      <c r="T107" s="18">
        <f>SUM(O107:S107)</f>
        <v/>
      </c>
      <c r="U107" s="18" t="inlineStr"/>
      <c r="V107" s="18" t="inlineStr"/>
      <c r="W107" s="18" t="inlineStr"/>
      <c r="X107" s="18" t="inlineStr"/>
      <c r="Y107" s="18">
        <f>SUM(U107:X107)</f>
        <v/>
      </c>
      <c r="Z107" s="18" t="inlineStr"/>
      <c r="AA107" s="18" t="inlineStr"/>
      <c r="AB107" s="14" t="inlineStr"/>
      <c r="AC107" s="14" t="inlineStr"/>
    </row>
    <row r="108">
      <c r="A108" s="12" t="inlineStr"/>
      <c r="B108" s="14" t="inlineStr"/>
      <c r="C108" s="14" t="inlineStr"/>
      <c r="D108" s="14" t="inlineStr"/>
      <c r="E108" s="17" t="inlineStr"/>
      <c r="F108" s="17" t="inlineStr"/>
      <c r="G108" s="14" t="inlineStr"/>
      <c r="H108" s="14" t="inlineStr"/>
      <c r="I108" s="18" t="inlineStr"/>
      <c r="J108" s="14" t="inlineStr"/>
      <c r="K108" s="15" t="inlineStr"/>
      <c r="L108" s="15" t="inlineStr"/>
      <c r="M108" s="14" t="inlineStr"/>
      <c r="N108" s="11" t="inlineStr"/>
      <c r="O108" s="18" t="inlineStr"/>
      <c r="P108" s="18" t="inlineStr"/>
      <c r="Q108" s="18" t="inlineStr"/>
      <c r="R108" s="18" t="inlineStr"/>
      <c r="S108" s="18" t="inlineStr"/>
      <c r="T108" s="18">
        <f>SUM(O108:S108)</f>
        <v/>
      </c>
      <c r="U108" s="18" t="inlineStr"/>
      <c r="V108" s="18" t="inlineStr"/>
      <c r="W108" s="18" t="inlineStr"/>
      <c r="X108" s="18" t="inlineStr"/>
      <c r="Y108" s="18">
        <f>SUM(U108:X108)</f>
        <v/>
      </c>
      <c r="Z108" s="18" t="inlineStr"/>
      <c r="AA108" s="18" t="inlineStr"/>
      <c r="AB108" s="14" t="inlineStr"/>
      <c r="AC108" s="14" t="inlineStr"/>
    </row>
    <row r="109">
      <c r="A109" s="12" t="inlineStr"/>
      <c r="B109" s="14" t="inlineStr"/>
      <c r="C109" s="14" t="inlineStr"/>
      <c r="D109" s="14" t="inlineStr"/>
      <c r="E109" s="17" t="inlineStr"/>
      <c r="F109" s="17" t="inlineStr"/>
      <c r="G109" s="14" t="inlineStr"/>
      <c r="H109" s="14" t="inlineStr"/>
      <c r="I109" s="18" t="inlineStr"/>
      <c r="J109" s="14" t="inlineStr"/>
      <c r="K109" s="15" t="inlineStr"/>
      <c r="L109" s="15" t="inlineStr"/>
      <c r="M109" s="14" t="inlineStr"/>
      <c r="N109" s="11" t="inlineStr"/>
      <c r="O109" s="18" t="inlineStr"/>
      <c r="P109" s="18" t="inlineStr"/>
      <c r="Q109" s="18" t="inlineStr"/>
      <c r="R109" s="18" t="inlineStr"/>
      <c r="S109" s="18" t="inlineStr"/>
      <c r="T109" s="18">
        <f>SUM(O109:S109)</f>
        <v/>
      </c>
      <c r="U109" s="18" t="inlineStr"/>
      <c r="V109" s="18" t="inlineStr"/>
      <c r="W109" s="18" t="inlineStr"/>
      <c r="X109" s="18" t="inlineStr"/>
      <c r="Y109" s="18">
        <f>SUM(U109:X109)</f>
        <v/>
      </c>
      <c r="Z109" s="18" t="inlineStr"/>
      <c r="AA109" s="18" t="inlineStr"/>
      <c r="AB109" s="14" t="inlineStr"/>
      <c r="AC109" s="14" t="inlineStr"/>
    </row>
    <row r="110">
      <c r="A110" s="12" t="inlineStr"/>
      <c r="B110" s="14" t="inlineStr"/>
      <c r="C110" s="14" t="inlineStr"/>
      <c r="D110" s="14" t="inlineStr"/>
      <c r="E110" s="17" t="inlineStr"/>
      <c r="F110" s="17" t="inlineStr"/>
      <c r="G110" s="14" t="inlineStr"/>
      <c r="H110" s="14" t="inlineStr"/>
      <c r="I110" s="18" t="inlineStr"/>
      <c r="J110" s="14" t="inlineStr"/>
      <c r="K110" s="15" t="inlineStr"/>
      <c r="L110" s="15" t="inlineStr"/>
      <c r="M110" s="14" t="inlineStr"/>
      <c r="N110" s="11" t="inlineStr"/>
      <c r="O110" s="18" t="inlineStr"/>
      <c r="P110" s="18" t="inlineStr"/>
      <c r="Q110" s="18" t="inlineStr"/>
      <c r="R110" s="18" t="inlineStr"/>
      <c r="S110" s="18" t="inlineStr"/>
      <c r="T110" s="18">
        <f>SUM(O110:S110)</f>
        <v/>
      </c>
      <c r="U110" s="18" t="inlineStr"/>
      <c r="V110" s="18" t="inlineStr"/>
      <c r="W110" s="18" t="inlineStr"/>
      <c r="X110" s="18" t="inlineStr"/>
      <c r="Y110" s="18">
        <f>SUM(U110:X110)</f>
        <v/>
      </c>
      <c r="Z110" s="18" t="inlineStr"/>
      <c r="AA110" s="18" t="inlineStr"/>
      <c r="AB110" s="14" t="inlineStr"/>
      <c r="AC110" s="14" t="inlineStr"/>
    </row>
    <row r="111">
      <c r="A111" s="12" t="inlineStr"/>
      <c r="B111" s="14" t="inlineStr"/>
      <c r="C111" s="14" t="inlineStr"/>
      <c r="D111" s="14" t="inlineStr"/>
      <c r="E111" s="17" t="inlineStr"/>
      <c r="F111" s="17" t="inlineStr"/>
      <c r="G111" s="14" t="inlineStr"/>
      <c r="H111" s="14" t="inlineStr"/>
      <c r="I111" s="18" t="inlineStr"/>
      <c r="J111" s="14" t="inlineStr"/>
      <c r="K111" s="15" t="inlineStr"/>
      <c r="L111" s="15" t="inlineStr"/>
      <c r="M111" s="14" t="inlineStr"/>
      <c r="N111" s="11" t="inlineStr"/>
      <c r="O111" s="18" t="inlineStr"/>
      <c r="P111" s="18" t="inlineStr"/>
      <c r="Q111" s="18" t="inlineStr"/>
      <c r="R111" s="18" t="inlineStr"/>
      <c r="S111" s="18" t="inlineStr"/>
      <c r="T111" s="18">
        <f>SUM(O111:S111)</f>
        <v/>
      </c>
      <c r="U111" s="18" t="inlineStr"/>
      <c r="V111" s="18" t="inlineStr"/>
      <c r="W111" s="18" t="inlineStr"/>
      <c r="X111" s="18" t="inlineStr"/>
      <c r="Y111" s="18">
        <f>SUM(U111:X111)</f>
        <v/>
      </c>
      <c r="Z111" s="18" t="inlineStr"/>
      <c r="AA111" s="18" t="inlineStr"/>
      <c r="AB111" s="14" t="inlineStr"/>
      <c r="AC111" s="14" t="inlineStr"/>
    </row>
    <row r="112">
      <c r="A112" s="12" t="inlineStr"/>
      <c r="B112" s="14" t="inlineStr"/>
      <c r="C112" s="14" t="inlineStr"/>
      <c r="D112" s="14" t="inlineStr"/>
      <c r="E112" s="17" t="inlineStr"/>
      <c r="F112" s="17" t="inlineStr"/>
      <c r="G112" s="14" t="inlineStr"/>
      <c r="H112" s="14" t="inlineStr"/>
      <c r="I112" s="18" t="inlineStr"/>
      <c r="J112" s="14" t="inlineStr"/>
      <c r="K112" s="15" t="inlineStr"/>
      <c r="L112" s="15" t="inlineStr"/>
      <c r="M112" s="14" t="inlineStr"/>
      <c r="N112" s="11" t="inlineStr"/>
      <c r="O112" s="18" t="inlineStr"/>
      <c r="P112" s="18" t="inlineStr"/>
      <c r="Q112" s="18" t="inlineStr"/>
      <c r="R112" s="18" t="inlineStr"/>
      <c r="S112" s="18" t="inlineStr"/>
      <c r="T112" s="18">
        <f>SUM(O112:S112)</f>
        <v/>
      </c>
      <c r="U112" s="18" t="inlineStr"/>
      <c r="V112" s="18" t="inlineStr"/>
      <c r="W112" s="18" t="inlineStr"/>
      <c r="X112" s="18" t="inlineStr"/>
      <c r="Y112" s="18">
        <f>SUM(U112:X112)</f>
        <v/>
      </c>
      <c r="Z112" s="18" t="inlineStr"/>
      <c r="AA112" s="18" t="inlineStr"/>
      <c r="AB112" s="14" t="inlineStr"/>
      <c r="AC112" s="14" t="inlineStr"/>
    </row>
    <row r="113">
      <c r="A113" s="12" t="inlineStr"/>
      <c r="B113" s="14" t="inlineStr"/>
      <c r="C113" s="14" t="inlineStr"/>
      <c r="D113" s="14" t="inlineStr"/>
      <c r="E113" s="17" t="inlineStr"/>
      <c r="F113" s="17" t="inlineStr"/>
      <c r="G113" s="14" t="inlineStr"/>
      <c r="H113" s="14" t="inlineStr"/>
      <c r="I113" s="18" t="inlineStr"/>
      <c r="J113" s="14" t="inlineStr"/>
      <c r="K113" s="15" t="inlineStr"/>
      <c r="L113" s="15" t="inlineStr"/>
      <c r="M113" s="14" t="inlineStr"/>
      <c r="N113" s="11" t="inlineStr"/>
      <c r="O113" s="18" t="inlineStr"/>
      <c r="P113" s="18" t="inlineStr"/>
      <c r="Q113" s="18" t="inlineStr"/>
      <c r="R113" s="18" t="inlineStr"/>
      <c r="S113" s="18" t="inlineStr"/>
      <c r="T113" s="18">
        <f>SUM(O113:S113)</f>
        <v/>
      </c>
      <c r="U113" s="18" t="inlineStr"/>
      <c r="V113" s="18" t="inlineStr"/>
      <c r="W113" s="18" t="inlineStr"/>
      <c r="X113" s="18" t="inlineStr"/>
      <c r="Y113" s="18">
        <f>SUM(U113:X113)</f>
        <v/>
      </c>
      <c r="Z113" s="18" t="inlineStr"/>
      <c r="AA113" s="18" t="inlineStr"/>
      <c r="AB113" s="14" t="inlineStr"/>
      <c r="AC113" s="14" t="inlineStr"/>
    </row>
    <row r="114">
      <c r="A114" s="12" t="inlineStr"/>
      <c r="B114" s="14" t="inlineStr"/>
      <c r="C114" s="14" t="inlineStr"/>
      <c r="D114" s="14" t="inlineStr"/>
      <c r="E114" s="17" t="inlineStr"/>
      <c r="F114" s="17" t="inlineStr"/>
      <c r="G114" s="14" t="inlineStr"/>
      <c r="H114" s="14" t="inlineStr"/>
      <c r="I114" s="18" t="inlineStr"/>
      <c r="J114" s="14" t="inlineStr"/>
      <c r="K114" s="15" t="inlineStr"/>
      <c r="L114" s="15" t="inlineStr"/>
      <c r="M114" s="14" t="inlineStr"/>
      <c r="N114" s="11" t="inlineStr"/>
      <c r="O114" s="18" t="inlineStr"/>
      <c r="P114" s="18" t="inlineStr"/>
      <c r="Q114" s="18" t="inlineStr"/>
      <c r="R114" s="18" t="inlineStr"/>
      <c r="S114" s="18" t="inlineStr"/>
      <c r="T114" s="18">
        <f>SUM(O114:S114)</f>
        <v/>
      </c>
      <c r="U114" s="18" t="inlineStr"/>
      <c r="V114" s="18" t="inlineStr"/>
      <c r="W114" s="18" t="inlineStr"/>
      <c r="X114" s="18" t="inlineStr"/>
      <c r="Y114" s="18">
        <f>SUM(U114:X114)</f>
        <v/>
      </c>
      <c r="Z114" s="18" t="inlineStr"/>
      <c r="AA114" s="18" t="inlineStr"/>
      <c r="AB114" s="14" t="inlineStr"/>
      <c r="AC114" s="14" t="inlineStr"/>
    </row>
    <row r="115">
      <c r="A115" s="12" t="inlineStr"/>
      <c r="B115" s="14" t="inlineStr"/>
      <c r="C115" s="14" t="inlineStr"/>
      <c r="D115" s="14" t="inlineStr"/>
      <c r="E115" s="17" t="inlineStr"/>
      <c r="F115" s="17" t="inlineStr"/>
      <c r="G115" s="14" t="inlineStr"/>
      <c r="H115" s="14" t="inlineStr"/>
      <c r="I115" s="18" t="inlineStr"/>
      <c r="J115" s="14" t="inlineStr"/>
      <c r="K115" s="15" t="inlineStr"/>
      <c r="L115" s="15" t="inlineStr"/>
      <c r="M115" s="14" t="inlineStr"/>
      <c r="N115" s="11" t="inlineStr"/>
      <c r="O115" s="18" t="inlineStr"/>
      <c r="P115" s="18" t="inlineStr"/>
      <c r="Q115" s="18" t="inlineStr"/>
      <c r="R115" s="18" t="inlineStr"/>
      <c r="S115" s="18" t="inlineStr"/>
      <c r="T115" s="18">
        <f>SUM(O115:S115)</f>
        <v/>
      </c>
      <c r="U115" s="18" t="inlineStr"/>
      <c r="V115" s="18" t="inlineStr"/>
      <c r="W115" s="18" t="inlineStr"/>
      <c r="X115" s="18" t="inlineStr"/>
      <c r="Y115" s="18">
        <f>SUM(U115:X115)</f>
        <v/>
      </c>
      <c r="Z115" s="18" t="inlineStr"/>
      <c r="AA115" s="18" t="inlineStr"/>
      <c r="AB115" s="14" t="inlineStr"/>
      <c r="AC115" s="14" t="inlineStr"/>
    </row>
    <row r="116">
      <c r="A116" s="12" t="inlineStr"/>
      <c r="B116" s="14" t="inlineStr"/>
      <c r="C116" s="14" t="inlineStr"/>
      <c r="D116" s="14" t="inlineStr"/>
      <c r="E116" s="17" t="inlineStr"/>
      <c r="F116" s="17" t="inlineStr"/>
      <c r="G116" s="14" t="inlineStr"/>
      <c r="H116" s="14" t="inlineStr"/>
      <c r="I116" s="18" t="inlineStr"/>
      <c r="J116" s="14" t="inlineStr"/>
      <c r="K116" s="15" t="inlineStr"/>
      <c r="L116" s="15" t="inlineStr"/>
      <c r="M116" s="14" t="inlineStr"/>
      <c r="N116" s="11" t="inlineStr"/>
      <c r="O116" s="18" t="inlineStr"/>
      <c r="P116" s="18" t="inlineStr"/>
      <c r="Q116" s="18" t="inlineStr"/>
      <c r="R116" s="18" t="inlineStr"/>
      <c r="S116" s="18" t="inlineStr"/>
      <c r="T116" s="18">
        <f>SUM(O116:S116)</f>
        <v/>
      </c>
      <c r="U116" s="18" t="inlineStr"/>
      <c r="V116" s="18" t="inlineStr"/>
      <c r="W116" s="18" t="inlineStr"/>
      <c r="X116" s="18" t="inlineStr"/>
      <c r="Y116" s="18">
        <f>SUM(U116:X116)</f>
        <v/>
      </c>
      <c r="Z116" s="18" t="inlineStr"/>
      <c r="AA116" s="18" t="inlineStr"/>
      <c r="AB116" s="14" t="inlineStr"/>
      <c r="AC116" s="14" t="inlineStr"/>
    </row>
    <row r="117">
      <c r="A117" s="12" t="inlineStr"/>
      <c r="B117" s="14" t="inlineStr"/>
      <c r="C117" s="14" t="inlineStr"/>
      <c r="D117" s="14" t="inlineStr"/>
      <c r="E117" s="17" t="inlineStr"/>
      <c r="F117" s="17" t="inlineStr"/>
      <c r="G117" s="14" t="inlineStr"/>
      <c r="H117" s="14" t="inlineStr"/>
      <c r="I117" s="18" t="inlineStr"/>
      <c r="J117" s="14" t="inlineStr"/>
      <c r="K117" s="15" t="inlineStr"/>
      <c r="L117" s="15" t="inlineStr"/>
      <c r="M117" s="14" t="inlineStr"/>
      <c r="N117" s="11" t="inlineStr"/>
      <c r="O117" s="18" t="inlineStr"/>
      <c r="P117" s="18" t="inlineStr"/>
      <c r="Q117" s="18" t="inlineStr"/>
      <c r="R117" s="18" t="inlineStr"/>
      <c r="S117" s="18" t="inlineStr"/>
      <c r="T117" s="18">
        <f>SUM(O117:S117)</f>
        <v/>
      </c>
      <c r="U117" s="18" t="inlineStr"/>
      <c r="V117" s="18" t="inlineStr"/>
      <c r="W117" s="18" t="inlineStr"/>
      <c r="X117" s="18" t="inlineStr"/>
      <c r="Y117" s="18">
        <f>SUM(U117:X117)</f>
        <v/>
      </c>
      <c r="Z117" s="18" t="inlineStr"/>
      <c r="AA117" s="18" t="inlineStr"/>
      <c r="AB117" s="14" t="inlineStr"/>
      <c r="AC117" s="14" t="inlineStr"/>
    </row>
    <row r="118">
      <c r="A118" s="12" t="inlineStr"/>
      <c r="B118" s="14" t="inlineStr"/>
      <c r="C118" s="14" t="inlineStr"/>
      <c r="D118" s="14" t="inlineStr"/>
      <c r="E118" s="17" t="inlineStr"/>
      <c r="F118" s="17" t="inlineStr"/>
      <c r="G118" s="14" t="inlineStr"/>
      <c r="H118" s="14" t="inlineStr"/>
      <c r="I118" s="18" t="inlineStr"/>
      <c r="J118" s="14" t="inlineStr"/>
      <c r="K118" s="15" t="inlineStr"/>
      <c r="L118" s="15" t="inlineStr"/>
      <c r="M118" s="14" t="inlineStr"/>
      <c r="N118" s="11" t="inlineStr"/>
      <c r="O118" s="18" t="inlineStr"/>
      <c r="P118" s="18" t="inlineStr"/>
      <c r="Q118" s="18" t="inlineStr"/>
      <c r="R118" s="18" t="inlineStr"/>
      <c r="S118" s="18" t="inlineStr"/>
      <c r="T118" s="18">
        <f>SUM(O118:S118)</f>
        <v/>
      </c>
      <c r="U118" s="18" t="inlineStr"/>
      <c r="V118" s="18" t="inlineStr"/>
      <c r="W118" s="18" t="inlineStr"/>
      <c r="X118" s="18" t="inlineStr"/>
      <c r="Y118" s="18">
        <f>SUM(U118:X118)</f>
        <v/>
      </c>
      <c r="Z118" s="18" t="inlineStr"/>
      <c r="AA118" s="18" t="inlineStr"/>
      <c r="AB118" s="14" t="inlineStr"/>
      <c r="AC118" s="14" t="inlineStr"/>
    </row>
    <row r="119">
      <c r="A119" s="12" t="inlineStr"/>
      <c r="B119" s="14" t="inlineStr"/>
      <c r="C119" s="14" t="inlineStr"/>
      <c r="D119" s="14" t="inlineStr"/>
      <c r="E119" s="17" t="inlineStr"/>
      <c r="F119" s="17" t="inlineStr"/>
      <c r="G119" s="14" t="inlineStr"/>
      <c r="H119" s="14" t="inlineStr"/>
      <c r="I119" s="18" t="inlineStr"/>
      <c r="J119" s="14" t="inlineStr"/>
      <c r="K119" s="15" t="inlineStr"/>
      <c r="L119" s="15" t="inlineStr"/>
      <c r="M119" s="14" t="inlineStr"/>
      <c r="N119" s="11" t="inlineStr"/>
      <c r="O119" s="18" t="inlineStr"/>
      <c r="P119" s="18" t="inlineStr"/>
      <c r="Q119" s="18" t="inlineStr"/>
      <c r="R119" s="18" t="inlineStr"/>
      <c r="S119" s="18" t="inlineStr"/>
      <c r="T119" s="18">
        <f>SUM(O119:S119)</f>
        <v/>
      </c>
      <c r="U119" s="18" t="inlineStr"/>
      <c r="V119" s="18" t="inlineStr"/>
      <c r="W119" s="18" t="inlineStr"/>
      <c r="X119" s="18" t="inlineStr"/>
      <c r="Y119" s="18">
        <f>SUM(U119:X119)</f>
        <v/>
      </c>
      <c r="Z119" s="18" t="inlineStr"/>
      <c r="AA119" s="18" t="inlineStr"/>
      <c r="AB119" s="14" t="inlineStr"/>
      <c r="AC119" s="14" t="inlineStr"/>
    </row>
    <row r="120">
      <c r="A120" s="12" t="inlineStr"/>
      <c r="B120" s="14" t="inlineStr"/>
      <c r="C120" s="14" t="inlineStr"/>
      <c r="D120" s="14" t="inlineStr"/>
      <c r="E120" s="17" t="inlineStr"/>
      <c r="F120" s="17" t="inlineStr"/>
      <c r="G120" s="14" t="inlineStr"/>
      <c r="H120" s="14" t="inlineStr"/>
      <c r="I120" s="18" t="inlineStr"/>
      <c r="J120" s="14" t="inlineStr"/>
      <c r="K120" s="15" t="inlineStr"/>
      <c r="L120" s="15" t="inlineStr"/>
      <c r="M120" s="14" t="inlineStr"/>
      <c r="N120" s="11" t="inlineStr"/>
      <c r="O120" s="18" t="inlineStr"/>
      <c r="P120" s="18" t="inlineStr"/>
      <c r="Q120" s="18" t="inlineStr"/>
      <c r="R120" s="18" t="inlineStr"/>
      <c r="S120" s="18" t="inlineStr"/>
      <c r="T120" s="18">
        <f>SUM(O120:S120)</f>
        <v/>
      </c>
      <c r="U120" s="18" t="inlineStr"/>
      <c r="V120" s="18" t="inlineStr"/>
      <c r="W120" s="18" t="inlineStr"/>
      <c r="X120" s="18" t="inlineStr"/>
      <c r="Y120" s="18">
        <f>SUM(U120:X120)</f>
        <v/>
      </c>
      <c r="Z120" s="18" t="inlineStr"/>
      <c r="AA120" s="18" t="inlineStr"/>
      <c r="AB120" s="14" t="inlineStr"/>
      <c r="AC120" s="14" t="inlineStr"/>
    </row>
    <row r="121">
      <c r="A121" s="12" t="inlineStr"/>
      <c r="B121" s="14" t="inlineStr"/>
      <c r="C121" s="14" t="inlineStr"/>
      <c r="D121" s="14" t="inlineStr"/>
      <c r="E121" s="17" t="inlineStr"/>
      <c r="F121" s="17" t="inlineStr"/>
      <c r="G121" s="14" t="inlineStr"/>
      <c r="H121" s="14" t="inlineStr"/>
      <c r="I121" s="18" t="inlineStr"/>
      <c r="J121" s="14" t="inlineStr"/>
      <c r="K121" s="15" t="inlineStr"/>
      <c r="L121" s="15" t="inlineStr"/>
      <c r="M121" s="14" t="inlineStr"/>
      <c r="N121" s="11" t="inlineStr"/>
      <c r="O121" s="18" t="inlineStr"/>
      <c r="P121" s="18" t="inlineStr"/>
      <c r="Q121" s="18" t="inlineStr"/>
      <c r="R121" s="18" t="inlineStr"/>
      <c r="S121" s="18" t="inlineStr"/>
      <c r="T121" s="18">
        <f>SUM(O121:S121)</f>
        <v/>
      </c>
      <c r="U121" s="18" t="inlineStr"/>
      <c r="V121" s="18" t="inlineStr"/>
      <c r="W121" s="18" t="inlineStr"/>
      <c r="X121" s="18" t="inlineStr"/>
      <c r="Y121" s="18">
        <f>SUM(U121:X121)</f>
        <v/>
      </c>
      <c r="Z121" s="18" t="inlineStr"/>
      <c r="AA121" s="18" t="inlineStr"/>
      <c r="AB121" s="14" t="inlineStr"/>
      <c r="AC121" s="14" t="inlineStr"/>
    </row>
    <row r="122">
      <c r="A122" s="12" t="inlineStr"/>
      <c r="B122" s="14" t="inlineStr"/>
      <c r="C122" s="14" t="inlineStr"/>
      <c r="D122" s="14" t="inlineStr"/>
      <c r="E122" s="17" t="inlineStr"/>
      <c r="F122" s="17" t="inlineStr"/>
      <c r="G122" s="14" t="inlineStr"/>
      <c r="H122" s="14" t="inlineStr"/>
      <c r="I122" s="18" t="inlineStr"/>
      <c r="J122" s="14" t="inlineStr"/>
      <c r="K122" s="15" t="inlineStr"/>
      <c r="L122" s="15" t="inlineStr"/>
      <c r="M122" s="14" t="inlineStr"/>
      <c r="N122" s="11" t="inlineStr"/>
      <c r="O122" s="18" t="inlineStr"/>
      <c r="P122" s="18" t="inlineStr"/>
      <c r="Q122" s="18" t="inlineStr"/>
      <c r="R122" s="18" t="inlineStr"/>
      <c r="S122" s="18" t="inlineStr"/>
      <c r="T122" s="18">
        <f>SUM(O122:S122)</f>
        <v/>
      </c>
      <c r="U122" s="18" t="inlineStr"/>
      <c r="V122" s="18" t="inlineStr"/>
      <c r="W122" s="18" t="inlineStr"/>
      <c r="X122" s="18" t="inlineStr"/>
      <c r="Y122" s="18">
        <f>SUM(U122:X122)</f>
        <v/>
      </c>
      <c r="Z122" s="18" t="inlineStr"/>
      <c r="AA122" s="18" t="inlineStr"/>
      <c r="AB122" s="14" t="inlineStr"/>
      <c r="AC122" s="14" t="inlineStr"/>
    </row>
    <row r="123">
      <c r="A123" s="12" t="inlineStr"/>
      <c r="B123" s="14" t="inlineStr"/>
      <c r="C123" s="14" t="inlineStr"/>
      <c r="D123" s="14" t="inlineStr"/>
      <c r="E123" s="17" t="inlineStr"/>
      <c r="F123" s="17" t="inlineStr"/>
      <c r="G123" s="14" t="inlineStr"/>
      <c r="H123" s="14" t="inlineStr"/>
      <c r="I123" s="18" t="inlineStr"/>
      <c r="J123" s="14" t="inlineStr"/>
      <c r="K123" s="15" t="inlineStr"/>
      <c r="L123" s="15" t="inlineStr"/>
      <c r="M123" s="14" t="inlineStr"/>
      <c r="N123" s="11" t="inlineStr"/>
      <c r="O123" s="18" t="inlineStr"/>
      <c r="P123" s="18" t="inlineStr"/>
      <c r="Q123" s="18" t="inlineStr"/>
      <c r="R123" s="18" t="inlineStr"/>
      <c r="S123" s="18" t="inlineStr"/>
      <c r="T123" s="18">
        <f>SUM(O123:S123)</f>
        <v/>
      </c>
      <c r="U123" s="18" t="inlineStr"/>
      <c r="V123" s="18" t="inlineStr"/>
      <c r="W123" s="18" t="inlineStr"/>
      <c r="X123" s="18" t="inlineStr"/>
      <c r="Y123" s="18">
        <f>SUM(U123:X123)</f>
        <v/>
      </c>
      <c r="Z123" s="18" t="inlineStr"/>
      <c r="AA123" s="18" t="inlineStr"/>
      <c r="AB123" s="14" t="inlineStr"/>
      <c r="AC123" s="14" t="inlineStr"/>
    </row>
    <row r="124">
      <c r="A124" s="12" t="inlineStr"/>
      <c r="B124" s="14" t="inlineStr"/>
      <c r="C124" s="14" t="inlineStr"/>
      <c r="D124" s="14" t="inlineStr"/>
      <c r="E124" s="17" t="inlineStr"/>
      <c r="F124" s="17" t="inlineStr"/>
      <c r="G124" s="14" t="inlineStr"/>
      <c r="H124" s="14" t="inlineStr"/>
      <c r="I124" s="18" t="inlineStr"/>
      <c r="J124" s="14" t="inlineStr"/>
      <c r="K124" s="15" t="inlineStr"/>
      <c r="L124" s="15" t="inlineStr"/>
      <c r="M124" s="14" t="inlineStr"/>
      <c r="N124" s="11" t="inlineStr"/>
      <c r="O124" s="18" t="inlineStr"/>
      <c r="P124" s="18" t="inlineStr"/>
      <c r="Q124" s="18" t="inlineStr"/>
      <c r="R124" s="18" t="inlineStr"/>
      <c r="S124" s="18" t="inlineStr"/>
      <c r="T124" s="18">
        <f>SUM(O124:S124)</f>
        <v/>
      </c>
      <c r="U124" s="18" t="inlineStr"/>
      <c r="V124" s="18" t="inlineStr"/>
      <c r="W124" s="18" t="inlineStr"/>
      <c r="X124" s="18" t="inlineStr"/>
      <c r="Y124" s="18">
        <f>SUM(U124:X124)</f>
        <v/>
      </c>
      <c r="Z124" s="18" t="inlineStr"/>
      <c r="AA124" s="18" t="inlineStr"/>
      <c r="AB124" s="14" t="inlineStr"/>
      <c r="AC124" s="14" t="inlineStr"/>
    </row>
    <row r="125">
      <c r="A125" s="12" t="inlineStr"/>
      <c r="B125" s="14" t="inlineStr"/>
      <c r="C125" s="14" t="inlineStr"/>
      <c r="D125" s="14" t="inlineStr"/>
      <c r="E125" s="17" t="inlineStr"/>
      <c r="F125" s="17" t="inlineStr"/>
      <c r="G125" s="14" t="inlineStr"/>
      <c r="H125" s="14" t="inlineStr"/>
      <c r="I125" s="18" t="inlineStr"/>
      <c r="J125" s="14" t="inlineStr"/>
      <c r="K125" s="15" t="inlineStr"/>
      <c r="L125" s="15" t="inlineStr"/>
      <c r="M125" s="14" t="inlineStr"/>
      <c r="N125" s="11" t="inlineStr"/>
      <c r="O125" s="18" t="inlineStr"/>
      <c r="P125" s="18" t="inlineStr"/>
      <c r="Q125" s="18" t="inlineStr"/>
      <c r="R125" s="18" t="inlineStr"/>
      <c r="S125" s="18" t="inlineStr"/>
      <c r="T125" s="18">
        <f>SUM(O125:S125)</f>
        <v/>
      </c>
      <c r="U125" s="18" t="inlineStr"/>
      <c r="V125" s="18" t="inlineStr"/>
      <c r="W125" s="18" t="inlineStr"/>
      <c r="X125" s="18" t="inlineStr"/>
      <c r="Y125" s="18">
        <f>SUM(U125:X125)</f>
        <v/>
      </c>
      <c r="Z125" s="18" t="inlineStr"/>
      <c r="AA125" s="18" t="inlineStr"/>
      <c r="AB125" s="14" t="inlineStr"/>
      <c r="AC125" s="14" t="inlineStr"/>
    </row>
    <row r="126">
      <c r="A126" s="12" t="inlineStr"/>
      <c r="B126" s="14" t="inlineStr"/>
      <c r="C126" s="14" t="inlineStr"/>
      <c r="D126" s="14" t="inlineStr"/>
      <c r="E126" s="17" t="inlineStr"/>
      <c r="F126" s="17" t="inlineStr"/>
      <c r="G126" s="14" t="inlineStr"/>
      <c r="H126" s="14" t="inlineStr"/>
      <c r="I126" s="18" t="inlineStr"/>
      <c r="J126" s="14" t="inlineStr"/>
      <c r="K126" s="15" t="inlineStr"/>
      <c r="L126" s="15" t="inlineStr"/>
      <c r="M126" s="14" t="inlineStr"/>
      <c r="N126" s="11" t="inlineStr"/>
      <c r="O126" s="18" t="inlineStr"/>
      <c r="P126" s="18" t="inlineStr"/>
      <c r="Q126" s="18" t="inlineStr"/>
      <c r="R126" s="18" t="inlineStr"/>
      <c r="S126" s="18" t="inlineStr"/>
      <c r="T126" s="18">
        <f>SUM(O126:S126)</f>
        <v/>
      </c>
      <c r="U126" s="18" t="inlineStr"/>
      <c r="V126" s="18" t="inlineStr"/>
      <c r="W126" s="18" t="inlineStr"/>
      <c r="X126" s="18" t="inlineStr"/>
      <c r="Y126" s="18">
        <f>SUM(U126:X126)</f>
        <v/>
      </c>
      <c r="Z126" s="18" t="inlineStr"/>
      <c r="AA126" s="18" t="inlineStr"/>
      <c r="AB126" s="14" t="inlineStr"/>
      <c r="AC126" s="14" t="inlineStr"/>
    </row>
    <row r="127">
      <c r="A127" s="12" t="inlineStr"/>
      <c r="B127" s="14" t="inlineStr"/>
      <c r="C127" s="14" t="inlineStr"/>
      <c r="D127" s="14" t="inlineStr"/>
      <c r="E127" s="17" t="inlineStr"/>
      <c r="F127" s="17" t="inlineStr"/>
      <c r="G127" s="14" t="inlineStr"/>
      <c r="H127" s="14" t="inlineStr"/>
      <c r="I127" s="18" t="inlineStr"/>
      <c r="J127" s="14" t="inlineStr"/>
      <c r="K127" s="15" t="inlineStr"/>
      <c r="L127" s="15" t="inlineStr"/>
      <c r="M127" s="14" t="inlineStr"/>
      <c r="N127" s="11" t="inlineStr"/>
      <c r="O127" s="18" t="inlineStr"/>
      <c r="P127" s="18" t="inlineStr"/>
      <c r="Q127" s="18" t="inlineStr"/>
      <c r="R127" s="18" t="inlineStr"/>
      <c r="S127" s="18" t="inlineStr"/>
      <c r="T127" s="18">
        <f>SUM(O127:S127)</f>
        <v/>
      </c>
      <c r="U127" s="18" t="inlineStr"/>
      <c r="V127" s="18" t="inlineStr"/>
      <c r="W127" s="18" t="inlineStr"/>
      <c r="X127" s="18" t="inlineStr"/>
      <c r="Y127" s="18">
        <f>SUM(U127:X127)</f>
        <v/>
      </c>
      <c r="Z127" s="18" t="inlineStr"/>
      <c r="AA127" s="18" t="inlineStr"/>
      <c r="AB127" s="14" t="inlineStr"/>
      <c r="AC127" s="14" t="inlineStr"/>
    </row>
    <row r="128">
      <c r="A128" s="12" t="inlineStr"/>
      <c r="B128" s="14" t="inlineStr"/>
      <c r="C128" s="14" t="inlineStr"/>
      <c r="D128" s="14" t="inlineStr"/>
      <c r="E128" s="17" t="inlineStr"/>
      <c r="F128" s="17" t="inlineStr"/>
      <c r="G128" s="14" t="inlineStr"/>
      <c r="H128" s="14" t="inlineStr"/>
      <c r="I128" s="18" t="inlineStr"/>
      <c r="J128" s="14" t="inlineStr"/>
      <c r="K128" s="15" t="inlineStr"/>
      <c r="L128" s="15" t="inlineStr"/>
      <c r="M128" s="14" t="inlineStr"/>
      <c r="N128" s="11" t="inlineStr"/>
      <c r="O128" s="18" t="inlineStr"/>
      <c r="P128" s="18" t="inlineStr"/>
      <c r="Q128" s="18" t="inlineStr"/>
      <c r="R128" s="18" t="inlineStr"/>
      <c r="S128" s="18" t="inlineStr"/>
      <c r="T128" s="18">
        <f>SUM(O128:S128)</f>
        <v/>
      </c>
      <c r="U128" s="18" t="inlineStr"/>
      <c r="V128" s="18" t="inlineStr"/>
      <c r="W128" s="18" t="inlineStr"/>
      <c r="X128" s="18" t="inlineStr"/>
      <c r="Y128" s="18">
        <f>SUM(U128:X128)</f>
        <v/>
      </c>
      <c r="Z128" s="18" t="inlineStr"/>
      <c r="AA128" s="18" t="inlineStr"/>
      <c r="AB128" s="14" t="inlineStr"/>
      <c r="AC128" s="14" t="inlineStr"/>
    </row>
    <row r="129">
      <c r="A129" s="12" t="inlineStr"/>
      <c r="B129" s="14" t="inlineStr"/>
      <c r="C129" s="14" t="inlineStr"/>
      <c r="D129" s="14" t="inlineStr"/>
      <c r="E129" s="17" t="inlineStr"/>
      <c r="F129" s="17" t="inlineStr"/>
      <c r="G129" s="14" t="inlineStr"/>
      <c r="H129" s="14" t="inlineStr"/>
      <c r="I129" s="18" t="inlineStr"/>
      <c r="J129" s="14" t="inlineStr"/>
      <c r="K129" s="15" t="inlineStr"/>
      <c r="L129" s="15" t="inlineStr"/>
      <c r="M129" s="14" t="inlineStr"/>
      <c r="N129" s="11" t="inlineStr"/>
      <c r="O129" s="18" t="inlineStr"/>
      <c r="P129" s="18" t="inlineStr"/>
      <c r="Q129" s="18" t="inlineStr"/>
      <c r="R129" s="18" t="inlineStr"/>
      <c r="S129" s="18" t="inlineStr"/>
      <c r="T129" s="18">
        <f>SUM(O129:S129)</f>
        <v/>
      </c>
      <c r="U129" s="18" t="inlineStr"/>
      <c r="V129" s="18" t="inlineStr"/>
      <c r="W129" s="18" t="inlineStr"/>
      <c r="X129" s="18" t="inlineStr"/>
      <c r="Y129" s="18">
        <f>SUM(U129:X129)</f>
        <v/>
      </c>
      <c r="Z129" s="18" t="inlineStr"/>
      <c r="AA129" s="18" t="inlineStr"/>
      <c r="AB129" s="14" t="inlineStr"/>
      <c r="AC129" s="14" t="inlineStr"/>
    </row>
    <row r="130">
      <c r="A130" s="12" t="inlineStr"/>
      <c r="B130" s="14" t="inlineStr"/>
      <c r="C130" s="14" t="inlineStr"/>
      <c r="D130" s="14" t="inlineStr"/>
      <c r="E130" s="17" t="inlineStr"/>
      <c r="F130" s="17" t="inlineStr"/>
      <c r="G130" s="14" t="inlineStr"/>
      <c r="H130" s="14" t="inlineStr"/>
      <c r="I130" s="18" t="inlineStr"/>
      <c r="J130" s="14" t="inlineStr"/>
      <c r="K130" s="15" t="inlineStr"/>
      <c r="L130" s="15" t="inlineStr"/>
      <c r="M130" s="14" t="inlineStr"/>
      <c r="N130" s="11" t="inlineStr"/>
      <c r="O130" s="18" t="inlineStr"/>
      <c r="P130" s="18" t="inlineStr"/>
      <c r="Q130" s="18" t="inlineStr"/>
      <c r="R130" s="18" t="inlineStr"/>
      <c r="S130" s="18" t="inlineStr"/>
      <c r="T130" s="18">
        <f>SUM(O130:S130)</f>
        <v/>
      </c>
      <c r="U130" s="18" t="inlineStr"/>
      <c r="V130" s="18" t="inlineStr"/>
      <c r="W130" s="18" t="inlineStr"/>
      <c r="X130" s="18" t="inlineStr"/>
      <c r="Y130" s="18">
        <f>SUM(U130:X130)</f>
        <v/>
      </c>
      <c r="Z130" s="18" t="inlineStr"/>
      <c r="AA130" s="18" t="inlineStr"/>
      <c r="AB130" s="14" t="inlineStr"/>
      <c r="AC130" s="14" t="inlineStr"/>
    </row>
    <row r="131">
      <c r="A131" s="12" t="inlineStr"/>
      <c r="B131" s="14" t="inlineStr"/>
      <c r="C131" s="14" t="inlineStr"/>
      <c r="D131" s="14" t="inlineStr"/>
      <c r="E131" s="17" t="inlineStr"/>
      <c r="F131" s="17" t="inlineStr"/>
      <c r="G131" s="14" t="inlineStr"/>
      <c r="H131" s="14" t="inlineStr"/>
      <c r="I131" s="18" t="inlineStr"/>
      <c r="J131" s="14" t="inlineStr"/>
      <c r="K131" s="15" t="inlineStr"/>
      <c r="L131" s="15" t="inlineStr"/>
      <c r="M131" s="14" t="inlineStr"/>
      <c r="N131" s="11" t="inlineStr"/>
      <c r="O131" s="18" t="inlineStr"/>
      <c r="P131" s="18" t="inlineStr"/>
      <c r="Q131" s="18" t="inlineStr"/>
      <c r="R131" s="18" t="inlineStr"/>
      <c r="S131" s="18" t="inlineStr"/>
      <c r="T131" s="18">
        <f>SUM(O131:S131)</f>
        <v/>
      </c>
      <c r="U131" s="18" t="inlineStr"/>
      <c r="V131" s="18" t="inlineStr"/>
      <c r="W131" s="18" t="inlineStr"/>
      <c r="X131" s="18" t="inlineStr"/>
      <c r="Y131" s="18">
        <f>SUM(U131:X131)</f>
        <v/>
      </c>
      <c r="Z131" s="18" t="inlineStr"/>
      <c r="AA131" s="18" t="inlineStr"/>
      <c r="AB131" s="14" t="inlineStr"/>
      <c r="AC131" s="14" t="inlineStr"/>
    </row>
    <row r="132">
      <c r="A132" s="12" t="inlineStr"/>
      <c r="B132" s="14" t="inlineStr"/>
      <c r="C132" s="14" t="inlineStr"/>
      <c r="D132" s="14" t="inlineStr"/>
      <c r="E132" s="17" t="inlineStr"/>
      <c r="F132" s="17" t="inlineStr"/>
      <c r="G132" s="14" t="inlineStr"/>
      <c r="H132" s="14" t="inlineStr"/>
      <c r="I132" s="18" t="inlineStr"/>
      <c r="J132" s="14" t="inlineStr"/>
      <c r="K132" s="15" t="inlineStr"/>
      <c r="L132" s="15" t="inlineStr"/>
      <c r="M132" s="14" t="inlineStr"/>
      <c r="N132" s="11" t="inlineStr"/>
      <c r="O132" s="18" t="inlineStr"/>
      <c r="P132" s="18" t="inlineStr"/>
      <c r="Q132" s="18" t="inlineStr"/>
      <c r="R132" s="18" t="inlineStr"/>
      <c r="S132" s="18" t="inlineStr"/>
      <c r="T132" s="18">
        <f>SUM(O132:S132)</f>
        <v/>
      </c>
      <c r="U132" s="18" t="inlineStr"/>
      <c r="V132" s="18" t="inlineStr"/>
      <c r="W132" s="18" t="inlineStr"/>
      <c r="X132" s="18" t="inlineStr"/>
      <c r="Y132" s="18">
        <f>SUM(U132:X132)</f>
        <v/>
      </c>
      <c r="Z132" s="18" t="inlineStr"/>
      <c r="AA132" s="18" t="inlineStr"/>
      <c r="AB132" s="14" t="inlineStr"/>
      <c r="AC132" s="14" t="inlineStr"/>
    </row>
    <row r="133">
      <c r="A133" s="12" t="inlineStr"/>
      <c r="B133" s="14" t="inlineStr"/>
      <c r="C133" s="14" t="inlineStr"/>
      <c r="D133" s="14" t="inlineStr"/>
      <c r="E133" s="17" t="inlineStr"/>
      <c r="F133" s="17" t="inlineStr"/>
      <c r="G133" s="14" t="inlineStr"/>
      <c r="H133" s="14" t="inlineStr"/>
      <c r="I133" s="18" t="inlineStr"/>
      <c r="J133" s="14" t="inlineStr"/>
      <c r="K133" s="15" t="inlineStr"/>
      <c r="L133" s="15" t="inlineStr"/>
      <c r="M133" s="14" t="inlineStr"/>
      <c r="N133" s="11" t="inlineStr"/>
      <c r="O133" s="18" t="inlineStr"/>
      <c r="P133" s="18" t="inlineStr"/>
      <c r="Q133" s="18" t="inlineStr"/>
      <c r="R133" s="18" t="inlineStr"/>
      <c r="S133" s="18" t="inlineStr"/>
      <c r="T133" s="18">
        <f>SUM(O133:S133)</f>
        <v/>
      </c>
      <c r="U133" s="18" t="inlineStr"/>
      <c r="V133" s="18" t="inlineStr"/>
      <c r="W133" s="18" t="inlineStr"/>
      <c r="X133" s="18" t="inlineStr"/>
      <c r="Y133" s="18">
        <f>SUM(U133:X133)</f>
        <v/>
      </c>
      <c r="Z133" s="18" t="inlineStr"/>
      <c r="AA133" s="18" t="inlineStr"/>
      <c r="AB133" s="14" t="inlineStr"/>
      <c r="AC133" s="14" t="inlineStr"/>
    </row>
    <row r="134">
      <c r="A134" s="12" t="inlineStr"/>
      <c r="B134" s="14" t="inlineStr"/>
      <c r="C134" s="14" t="inlineStr"/>
      <c r="D134" s="14" t="inlineStr"/>
      <c r="E134" s="17" t="inlineStr"/>
      <c r="F134" s="17" t="inlineStr"/>
      <c r="G134" s="14" t="inlineStr"/>
      <c r="H134" s="14" t="inlineStr"/>
      <c r="I134" s="18" t="inlineStr"/>
      <c r="J134" s="14" t="inlineStr"/>
      <c r="K134" s="15" t="inlineStr"/>
      <c r="L134" s="15" t="inlineStr"/>
      <c r="M134" s="14" t="inlineStr"/>
      <c r="N134" s="11" t="inlineStr"/>
      <c r="O134" s="18" t="inlineStr"/>
      <c r="P134" s="18" t="inlineStr"/>
      <c r="Q134" s="18" t="inlineStr"/>
      <c r="R134" s="18" t="inlineStr"/>
      <c r="S134" s="18" t="inlineStr"/>
      <c r="T134" s="18">
        <f>SUM(O134:S134)</f>
        <v/>
      </c>
      <c r="U134" s="18" t="inlineStr"/>
      <c r="V134" s="18" t="inlineStr"/>
      <c r="W134" s="18" t="inlineStr"/>
      <c r="X134" s="18" t="inlineStr"/>
      <c r="Y134" s="18">
        <f>SUM(U134:X134)</f>
        <v/>
      </c>
      <c r="Z134" s="18" t="inlineStr"/>
      <c r="AA134" s="18" t="inlineStr"/>
      <c r="AB134" s="14" t="inlineStr"/>
      <c r="AC134" s="14" t="inlineStr"/>
    </row>
    <row r="135">
      <c r="A135" s="12" t="inlineStr"/>
      <c r="B135" s="14" t="inlineStr"/>
      <c r="C135" s="14" t="inlineStr"/>
      <c r="D135" s="14" t="inlineStr"/>
      <c r="E135" s="17" t="inlineStr"/>
      <c r="F135" s="17" t="inlineStr"/>
      <c r="G135" s="14" t="inlineStr"/>
      <c r="H135" s="14" t="inlineStr"/>
      <c r="I135" s="18" t="inlineStr"/>
      <c r="J135" s="14" t="inlineStr"/>
      <c r="K135" s="15" t="inlineStr"/>
      <c r="L135" s="15" t="inlineStr"/>
      <c r="M135" s="14" t="inlineStr"/>
      <c r="N135" s="11" t="inlineStr"/>
      <c r="O135" s="18" t="inlineStr"/>
      <c r="P135" s="18" t="inlineStr"/>
      <c r="Q135" s="18" t="inlineStr"/>
      <c r="R135" s="18" t="inlineStr"/>
      <c r="S135" s="18" t="inlineStr"/>
      <c r="T135" s="18">
        <f>SUM(O135:S135)</f>
        <v/>
      </c>
      <c r="U135" s="18" t="inlineStr"/>
      <c r="V135" s="18" t="inlineStr"/>
      <c r="W135" s="18" t="inlineStr"/>
      <c r="X135" s="18" t="inlineStr"/>
      <c r="Y135" s="18">
        <f>SUM(U135:X135)</f>
        <v/>
      </c>
      <c r="Z135" s="18" t="inlineStr"/>
      <c r="AA135" s="18" t="inlineStr"/>
      <c r="AB135" s="14" t="inlineStr"/>
      <c r="AC135" s="14" t="inlineStr"/>
    </row>
    <row r="136">
      <c r="A136" s="12" t="inlineStr"/>
      <c r="B136" s="14" t="inlineStr"/>
      <c r="C136" s="14" t="inlineStr"/>
      <c r="D136" s="14" t="inlineStr"/>
      <c r="E136" s="17" t="inlineStr"/>
      <c r="F136" s="17" t="inlineStr"/>
      <c r="G136" s="14" t="inlineStr"/>
      <c r="H136" s="14" t="inlineStr"/>
      <c r="I136" s="18" t="inlineStr"/>
      <c r="J136" s="14" t="inlineStr"/>
      <c r="K136" s="15" t="inlineStr"/>
      <c r="L136" s="15" t="inlineStr"/>
      <c r="M136" s="14" t="inlineStr"/>
      <c r="N136" s="11" t="inlineStr"/>
      <c r="O136" s="18" t="inlineStr"/>
      <c r="P136" s="18" t="inlineStr"/>
      <c r="Q136" s="18" t="inlineStr"/>
      <c r="R136" s="18" t="inlineStr"/>
      <c r="S136" s="18" t="inlineStr"/>
      <c r="T136" s="18">
        <f>SUM(O136:S136)</f>
        <v/>
      </c>
      <c r="U136" s="18" t="inlineStr"/>
      <c r="V136" s="18" t="inlineStr"/>
      <c r="W136" s="18" t="inlineStr"/>
      <c r="X136" s="18" t="inlineStr"/>
      <c r="Y136" s="18">
        <f>SUM(U136:X136)</f>
        <v/>
      </c>
      <c r="Z136" s="18" t="inlineStr"/>
      <c r="AA136" s="18" t="inlineStr"/>
      <c r="AB136" s="14" t="inlineStr"/>
      <c r="AC136" s="14" t="inlineStr"/>
    </row>
    <row r="137">
      <c r="A137" s="12" t="inlineStr"/>
      <c r="B137" s="14" t="inlineStr"/>
      <c r="C137" s="14" t="inlineStr"/>
      <c r="D137" s="14" t="inlineStr"/>
      <c r="E137" s="17" t="inlineStr"/>
      <c r="F137" s="17" t="inlineStr"/>
      <c r="G137" s="14" t="inlineStr"/>
      <c r="H137" s="14" t="inlineStr"/>
      <c r="I137" s="18" t="inlineStr"/>
      <c r="J137" s="14" t="inlineStr"/>
      <c r="K137" s="15" t="inlineStr"/>
      <c r="L137" s="15" t="inlineStr"/>
      <c r="M137" s="14" t="inlineStr"/>
      <c r="N137" s="11" t="inlineStr"/>
      <c r="O137" s="18" t="inlineStr"/>
      <c r="P137" s="18" t="inlineStr"/>
      <c r="Q137" s="18" t="inlineStr"/>
      <c r="R137" s="18" t="inlineStr"/>
      <c r="S137" s="18" t="inlineStr"/>
      <c r="T137" s="18">
        <f>SUM(O137:S137)</f>
        <v/>
      </c>
      <c r="U137" s="18" t="inlineStr"/>
      <c r="V137" s="18" t="inlineStr"/>
      <c r="W137" s="18" t="inlineStr"/>
      <c r="X137" s="18" t="inlineStr"/>
      <c r="Y137" s="18">
        <f>SUM(U137:X137)</f>
        <v/>
      </c>
      <c r="Z137" s="18" t="inlineStr"/>
      <c r="AA137" s="18" t="inlineStr"/>
      <c r="AB137" s="14" t="inlineStr"/>
      <c r="AC137" s="14" t="inlineStr"/>
    </row>
    <row r="138">
      <c r="A138" s="12" t="inlineStr"/>
      <c r="B138" s="14" t="inlineStr"/>
      <c r="C138" s="14" t="inlineStr"/>
      <c r="D138" s="14" t="inlineStr"/>
      <c r="E138" s="17" t="inlineStr"/>
      <c r="F138" s="17" t="inlineStr"/>
      <c r="G138" s="14" t="inlineStr"/>
      <c r="H138" s="14" t="inlineStr"/>
      <c r="I138" s="18" t="inlineStr"/>
      <c r="J138" s="14" t="inlineStr"/>
      <c r="K138" s="15" t="inlineStr"/>
      <c r="L138" s="15" t="inlineStr"/>
      <c r="M138" s="14" t="inlineStr"/>
      <c r="N138" s="11" t="inlineStr"/>
      <c r="O138" s="18" t="inlineStr"/>
      <c r="P138" s="18" t="inlineStr"/>
      <c r="Q138" s="18" t="inlineStr"/>
      <c r="R138" s="18" t="inlineStr"/>
      <c r="S138" s="18" t="inlineStr"/>
      <c r="T138" s="18">
        <f>SUM(O138:S138)</f>
        <v/>
      </c>
      <c r="U138" s="18" t="inlineStr"/>
      <c r="V138" s="18" t="inlineStr"/>
      <c r="W138" s="18" t="inlineStr"/>
      <c r="X138" s="18" t="inlineStr"/>
      <c r="Y138" s="18">
        <f>SUM(U138:X138)</f>
        <v/>
      </c>
      <c r="Z138" s="18" t="inlineStr"/>
      <c r="AA138" s="18" t="inlineStr"/>
      <c r="AB138" s="14" t="inlineStr"/>
      <c r="AC138" s="14" t="inlineStr"/>
    </row>
    <row r="139">
      <c r="A139" s="12" t="inlineStr"/>
      <c r="B139" s="14" t="inlineStr"/>
      <c r="C139" s="14" t="inlineStr"/>
      <c r="D139" s="14" t="inlineStr"/>
      <c r="E139" s="17" t="inlineStr"/>
      <c r="F139" s="17" t="inlineStr"/>
      <c r="G139" s="14" t="inlineStr"/>
      <c r="H139" s="14" t="inlineStr"/>
      <c r="I139" s="18" t="inlineStr"/>
      <c r="J139" s="14" t="inlineStr"/>
      <c r="K139" s="15" t="inlineStr"/>
      <c r="L139" s="15" t="inlineStr"/>
      <c r="M139" s="14" t="inlineStr"/>
      <c r="N139" s="11" t="inlineStr"/>
      <c r="O139" s="18" t="inlineStr"/>
      <c r="P139" s="18" t="inlineStr"/>
      <c r="Q139" s="18" t="inlineStr"/>
      <c r="R139" s="18" t="inlineStr"/>
      <c r="S139" s="18" t="inlineStr"/>
      <c r="T139" s="18">
        <f>SUM(O139:S139)</f>
        <v/>
      </c>
      <c r="U139" s="18" t="inlineStr"/>
      <c r="V139" s="18" t="inlineStr"/>
      <c r="W139" s="18" t="inlineStr"/>
      <c r="X139" s="18" t="inlineStr"/>
      <c r="Y139" s="18">
        <f>SUM(U139:X139)</f>
        <v/>
      </c>
      <c r="Z139" s="18" t="inlineStr"/>
      <c r="AA139" s="18" t="inlineStr"/>
      <c r="AB139" s="14" t="inlineStr"/>
      <c r="AC139" s="14" t="inlineStr"/>
    </row>
    <row r="140">
      <c r="A140" s="12" t="inlineStr"/>
      <c r="B140" s="14" t="inlineStr"/>
      <c r="C140" s="14" t="inlineStr"/>
      <c r="D140" s="14" t="inlineStr"/>
      <c r="E140" s="17" t="inlineStr"/>
      <c r="F140" s="17" t="inlineStr"/>
      <c r="G140" s="14" t="inlineStr"/>
      <c r="H140" s="14" t="inlineStr"/>
      <c r="I140" s="18" t="inlineStr"/>
      <c r="J140" s="14" t="inlineStr"/>
      <c r="K140" s="15" t="inlineStr"/>
      <c r="L140" s="15" t="inlineStr"/>
      <c r="M140" s="14" t="inlineStr"/>
      <c r="N140" s="11" t="inlineStr"/>
      <c r="O140" s="18" t="inlineStr"/>
      <c r="P140" s="18" t="inlineStr"/>
      <c r="Q140" s="18" t="inlineStr"/>
      <c r="R140" s="18" t="inlineStr"/>
      <c r="S140" s="18" t="inlineStr"/>
      <c r="T140" s="18">
        <f>SUM(O140:S140)</f>
        <v/>
      </c>
      <c r="U140" s="18" t="inlineStr"/>
      <c r="V140" s="18" t="inlineStr"/>
      <c r="W140" s="18" t="inlineStr"/>
      <c r="X140" s="18" t="inlineStr"/>
      <c r="Y140" s="18">
        <f>SUM(U140:X140)</f>
        <v/>
      </c>
      <c r="Z140" s="18" t="inlineStr"/>
      <c r="AA140" s="18" t="inlineStr"/>
      <c r="AB140" s="14" t="inlineStr"/>
      <c r="AC140" s="14" t="inlineStr"/>
    </row>
    <row r="141">
      <c r="A141" s="12" t="inlineStr"/>
      <c r="B141" s="14" t="inlineStr"/>
      <c r="C141" s="14" t="inlineStr"/>
      <c r="D141" s="14" t="inlineStr"/>
      <c r="E141" s="17" t="inlineStr"/>
      <c r="F141" s="17" t="inlineStr"/>
      <c r="G141" s="14" t="inlineStr"/>
      <c r="H141" s="14" t="inlineStr"/>
      <c r="I141" s="18" t="inlineStr"/>
      <c r="J141" s="14" t="inlineStr"/>
      <c r="K141" s="15" t="inlineStr"/>
      <c r="L141" s="15" t="inlineStr"/>
      <c r="M141" s="14" t="inlineStr"/>
      <c r="N141" s="11" t="inlineStr"/>
      <c r="O141" s="18" t="inlineStr"/>
      <c r="P141" s="18" t="inlineStr"/>
      <c r="Q141" s="18" t="inlineStr"/>
      <c r="R141" s="18" t="inlineStr"/>
      <c r="S141" s="18" t="inlineStr"/>
      <c r="T141" s="18">
        <f>SUM(O141:S141)</f>
        <v/>
      </c>
      <c r="U141" s="18" t="inlineStr"/>
      <c r="V141" s="18" t="inlineStr"/>
      <c r="W141" s="18" t="inlineStr"/>
      <c r="X141" s="18" t="inlineStr"/>
      <c r="Y141" s="18">
        <f>SUM(U141:X141)</f>
        <v/>
      </c>
      <c r="Z141" s="18" t="inlineStr"/>
      <c r="AA141" s="18" t="inlineStr"/>
      <c r="AB141" s="14" t="inlineStr"/>
      <c r="AC141" s="14" t="inlineStr"/>
    </row>
    <row r="142">
      <c r="A142" s="12" t="inlineStr"/>
      <c r="B142" s="14" t="inlineStr"/>
      <c r="C142" s="14" t="inlineStr"/>
      <c r="D142" s="14" t="inlineStr"/>
      <c r="E142" s="17" t="inlineStr"/>
      <c r="F142" s="17" t="inlineStr"/>
      <c r="G142" s="14" t="inlineStr"/>
      <c r="H142" s="14" t="inlineStr"/>
      <c r="I142" s="18" t="inlineStr"/>
      <c r="J142" s="14" t="inlineStr"/>
      <c r="K142" s="15" t="inlineStr"/>
      <c r="L142" s="15" t="inlineStr"/>
      <c r="M142" s="14" t="inlineStr"/>
      <c r="N142" s="11" t="inlineStr"/>
      <c r="O142" s="18" t="inlineStr"/>
      <c r="P142" s="18" t="inlineStr"/>
      <c r="Q142" s="18" t="inlineStr"/>
      <c r="R142" s="18" t="inlineStr"/>
      <c r="S142" s="18" t="inlineStr"/>
      <c r="T142" s="18">
        <f>SUM(O142:S142)</f>
        <v/>
      </c>
      <c r="U142" s="18" t="inlineStr"/>
      <c r="V142" s="18" t="inlineStr"/>
      <c r="W142" s="18" t="inlineStr"/>
      <c r="X142" s="18" t="inlineStr"/>
      <c r="Y142" s="18">
        <f>SUM(U142:X142)</f>
        <v/>
      </c>
      <c r="Z142" s="18" t="inlineStr"/>
      <c r="AA142" s="18" t="inlineStr"/>
      <c r="AB142" s="14" t="inlineStr"/>
      <c r="AC142" s="14" t="inlineStr"/>
    </row>
    <row r="143">
      <c r="A143" s="12" t="inlineStr"/>
      <c r="B143" s="14" t="inlineStr"/>
      <c r="C143" s="14" t="inlineStr"/>
      <c r="D143" s="14" t="inlineStr"/>
      <c r="E143" s="17" t="inlineStr"/>
      <c r="F143" s="17" t="inlineStr"/>
      <c r="G143" s="14" t="inlineStr"/>
      <c r="H143" s="14" t="inlineStr"/>
      <c r="I143" s="18" t="inlineStr"/>
      <c r="J143" s="14" t="inlineStr"/>
      <c r="K143" s="15" t="inlineStr"/>
      <c r="L143" s="15" t="inlineStr"/>
      <c r="M143" s="14" t="inlineStr"/>
      <c r="N143" s="11" t="inlineStr"/>
      <c r="O143" s="18" t="inlineStr"/>
      <c r="P143" s="18" t="inlineStr"/>
      <c r="Q143" s="18" t="inlineStr"/>
      <c r="R143" s="18" t="inlineStr"/>
      <c r="S143" s="18" t="inlineStr"/>
      <c r="T143" s="18">
        <f>SUM(O143:S143)</f>
        <v/>
      </c>
      <c r="U143" s="18" t="inlineStr"/>
      <c r="V143" s="18" t="inlineStr"/>
      <c r="W143" s="18" t="inlineStr"/>
      <c r="X143" s="18" t="inlineStr"/>
      <c r="Y143" s="18">
        <f>SUM(U143:X143)</f>
        <v/>
      </c>
      <c r="Z143" s="18" t="inlineStr"/>
      <c r="AA143" s="18" t="inlineStr"/>
      <c r="AB143" s="14" t="inlineStr"/>
      <c r="AC143" s="14" t="inlineStr"/>
    </row>
    <row r="144">
      <c r="A144" s="12" t="inlineStr"/>
      <c r="B144" s="14" t="inlineStr"/>
      <c r="C144" s="14" t="inlineStr"/>
      <c r="D144" s="14" t="inlineStr"/>
      <c r="E144" s="17" t="inlineStr"/>
      <c r="F144" s="17" t="inlineStr"/>
      <c r="G144" s="14" t="inlineStr"/>
      <c r="H144" s="14" t="inlineStr"/>
      <c r="I144" s="18" t="inlineStr"/>
      <c r="J144" s="14" t="inlineStr"/>
      <c r="K144" s="15" t="inlineStr"/>
      <c r="L144" s="15" t="inlineStr"/>
      <c r="M144" s="14" t="inlineStr"/>
      <c r="N144" s="11" t="inlineStr"/>
      <c r="O144" s="18" t="inlineStr"/>
      <c r="P144" s="18" t="inlineStr"/>
      <c r="Q144" s="18" t="inlineStr"/>
      <c r="R144" s="18" t="inlineStr"/>
      <c r="S144" s="18" t="inlineStr"/>
      <c r="T144" s="18">
        <f>SUM(O144:S144)</f>
        <v/>
      </c>
      <c r="U144" s="18" t="inlineStr"/>
      <c r="V144" s="18" t="inlineStr"/>
      <c r="W144" s="18" t="inlineStr"/>
      <c r="X144" s="18" t="inlineStr"/>
      <c r="Y144" s="18">
        <f>SUM(U144:X144)</f>
        <v/>
      </c>
      <c r="Z144" s="18" t="inlineStr"/>
      <c r="AA144" s="18" t="inlineStr"/>
      <c r="AB144" s="14" t="inlineStr"/>
      <c r="AC144" s="14" t="inlineStr"/>
    </row>
    <row r="145">
      <c r="A145" s="12" t="inlineStr"/>
      <c r="B145" s="14" t="inlineStr"/>
      <c r="C145" s="14" t="inlineStr"/>
      <c r="D145" s="14" t="inlineStr"/>
      <c r="E145" s="17" t="inlineStr"/>
      <c r="F145" s="17" t="inlineStr"/>
      <c r="G145" s="14" t="inlineStr"/>
      <c r="H145" s="14" t="inlineStr"/>
      <c r="I145" s="18" t="inlineStr"/>
      <c r="J145" s="14" t="inlineStr"/>
      <c r="K145" s="15" t="inlineStr"/>
      <c r="L145" s="15" t="inlineStr"/>
      <c r="M145" s="14" t="inlineStr"/>
      <c r="N145" s="11" t="inlineStr"/>
      <c r="O145" s="18" t="inlineStr"/>
      <c r="P145" s="18" t="inlineStr"/>
      <c r="Q145" s="18" t="inlineStr"/>
      <c r="R145" s="18" t="inlineStr"/>
      <c r="S145" s="18" t="inlineStr"/>
      <c r="T145" s="18">
        <f>SUM(O145:S145)</f>
        <v/>
      </c>
      <c r="U145" s="18" t="inlineStr"/>
      <c r="V145" s="18" t="inlineStr"/>
      <c r="W145" s="18" t="inlineStr"/>
      <c r="X145" s="18" t="inlineStr"/>
      <c r="Y145" s="18">
        <f>SUM(U145:X145)</f>
        <v/>
      </c>
      <c r="Z145" s="18" t="inlineStr"/>
      <c r="AA145" s="18" t="inlineStr"/>
      <c r="AB145" s="14" t="inlineStr"/>
      <c r="AC145" s="14" t="inlineStr"/>
    </row>
    <row r="146">
      <c r="A146" s="12" t="inlineStr"/>
      <c r="B146" s="14" t="inlineStr"/>
      <c r="C146" s="14" t="inlineStr"/>
      <c r="D146" s="14" t="inlineStr"/>
      <c r="E146" s="17" t="inlineStr"/>
      <c r="F146" s="17" t="inlineStr"/>
      <c r="G146" s="14" t="inlineStr"/>
      <c r="H146" s="14" t="inlineStr"/>
      <c r="I146" s="18" t="inlineStr"/>
      <c r="J146" s="14" t="inlineStr"/>
      <c r="K146" s="15" t="inlineStr"/>
      <c r="L146" s="15" t="inlineStr"/>
      <c r="M146" s="14" t="inlineStr"/>
      <c r="N146" s="11" t="inlineStr"/>
      <c r="O146" s="18" t="inlineStr"/>
      <c r="P146" s="18" t="inlineStr"/>
      <c r="Q146" s="18" t="inlineStr"/>
      <c r="R146" s="18" t="inlineStr"/>
      <c r="S146" s="18" t="inlineStr"/>
      <c r="T146" s="18">
        <f>SUM(O146:S146)</f>
        <v/>
      </c>
      <c r="U146" s="18" t="inlineStr"/>
      <c r="V146" s="18" t="inlineStr"/>
      <c r="W146" s="18" t="inlineStr"/>
      <c r="X146" s="18" t="inlineStr"/>
      <c r="Y146" s="18">
        <f>SUM(U146:X146)</f>
        <v/>
      </c>
      <c r="Z146" s="18" t="inlineStr"/>
      <c r="AA146" s="18" t="inlineStr"/>
      <c r="AB146" s="14" t="inlineStr"/>
      <c r="AC146" s="14" t="inlineStr"/>
    </row>
    <row r="147">
      <c r="A147" s="12" t="inlineStr"/>
      <c r="B147" s="14" t="inlineStr"/>
      <c r="C147" s="14" t="inlineStr"/>
      <c r="D147" s="14" t="inlineStr"/>
      <c r="E147" s="17" t="inlineStr"/>
      <c r="F147" s="17" t="inlineStr"/>
      <c r="G147" s="14" t="inlineStr"/>
      <c r="H147" s="14" t="inlineStr"/>
      <c r="I147" s="18" t="inlineStr"/>
      <c r="J147" s="14" t="inlineStr"/>
      <c r="K147" s="15" t="inlineStr"/>
      <c r="L147" s="15" t="inlineStr"/>
      <c r="M147" s="14" t="inlineStr"/>
      <c r="N147" s="11" t="inlineStr"/>
      <c r="O147" s="18" t="inlineStr"/>
      <c r="P147" s="18" t="inlineStr"/>
      <c r="Q147" s="18" t="inlineStr"/>
      <c r="R147" s="18" t="inlineStr"/>
      <c r="S147" s="18" t="inlineStr"/>
      <c r="T147" s="18">
        <f>SUM(O147:S147)</f>
        <v/>
      </c>
      <c r="U147" s="18" t="inlineStr"/>
      <c r="V147" s="18" t="inlineStr"/>
      <c r="W147" s="18" t="inlineStr"/>
      <c r="X147" s="18" t="inlineStr"/>
      <c r="Y147" s="18">
        <f>SUM(U147:X147)</f>
        <v/>
      </c>
      <c r="Z147" s="18" t="inlineStr"/>
      <c r="AA147" s="18" t="inlineStr"/>
      <c r="AB147" s="14" t="inlineStr"/>
      <c r="AC147" s="14" t="inlineStr"/>
    </row>
    <row r="148">
      <c r="A148" s="12" t="inlineStr"/>
      <c r="B148" s="14" t="inlineStr"/>
      <c r="C148" s="14" t="inlineStr"/>
      <c r="D148" s="14" t="inlineStr"/>
      <c r="E148" s="17" t="inlineStr"/>
      <c r="F148" s="17" t="inlineStr"/>
      <c r="G148" s="14" t="inlineStr"/>
      <c r="H148" s="14" t="inlineStr"/>
      <c r="I148" s="18" t="inlineStr"/>
      <c r="J148" s="14" t="inlineStr"/>
      <c r="K148" s="15" t="inlineStr"/>
      <c r="L148" s="15" t="inlineStr"/>
      <c r="M148" s="14" t="inlineStr"/>
      <c r="N148" s="11" t="inlineStr"/>
      <c r="O148" s="18" t="inlineStr"/>
      <c r="P148" s="18" t="inlineStr"/>
      <c r="Q148" s="18" t="inlineStr"/>
      <c r="R148" s="18" t="inlineStr"/>
      <c r="S148" s="18" t="inlineStr"/>
      <c r="T148" s="18">
        <f>SUM(O148:S148)</f>
        <v/>
      </c>
      <c r="U148" s="18" t="inlineStr"/>
      <c r="V148" s="18" t="inlineStr"/>
      <c r="W148" s="18" t="inlineStr"/>
      <c r="X148" s="18" t="inlineStr"/>
      <c r="Y148" s="18">
        <f>SUM(U148:X148)</f>
        <v/>
      </c>
      <c r="Z148" s="18" t="inlineStr"/>
      <c r="AA148" s="18" t="inlineStr"/>
      <c r="AB148" s="14" t="inlineStr"/>
      <c r="AC148" s="14" t="inlineStr"/>
    </row>
    <row r="149">
      <c r="A149" s="12" t="inlineStr"/>
      <c r="B149" s="14" t="inlineStr"/>
      <c r="C149" s="14" t="inlineStr"/>
      <c r="D149" s="14" t="inlineStr"/>
      <c r="E149" s="17" t="inlineStr"/>
      <c r="F149" s="17" t="inlineStr"/>
      <c r="G149" s="14" t="inlineStr"/>
      <c r="H149" s="14" t="inlineStr"/>
      <c r="I149" s="18" t="inlineStr"/>
      <c r="J149" s="14" t="inlineStr"/>
      <c r="K149" s="15" t="inlineStr"/>
      <c r="L149" s="15" t="inlineStr"/>
      <c r="M149" s="14" t="inlineStr"/>
      <c r="N149" s="11" t="inlineStr"/>
      <c r="O149" s="18" t="inlineStr"/>
      <c r="P149" s="18" t="inlineStr"/>
      <c r="Q149" s="18" t="inlineStr"/>
      <c r="R149" s="18" t="inlineStr"/>
      <c r="S149" s="18" t="inlineStr"/>
      <c r="T149" s="18">
        <f>SUM(O149:S149)</f>
        <v/>
      </c>
      <c r="U149" s="18" t="inlineStr"/>
      <c r="V149" s="18" t="inlineStr"/>
      <c r="W149" s="18" t="inlineStr"/>
      <c r="X149" s="18" t="inlineStr"/>
      <c r="Y149" s="18">
        <f>SUM(U149:X149)</f>
        <v/>
      </c>
      <c r="Z149" s="18" t="inlineStr"/>
      <c r="AA149" s="18" t="inlineStr"/>
      <c r="AB149" s="14" t="inlineStr"/>
      <c r="AC149" s="14" t="inlineStr"/>
    </row>
    <row r="150">
      <c r="A150" s="12" t="inlineStr"/>
      <c r="B150" s="14" t="inlineStr"/>
      <c r="C150" s="14" t="inlineStr"/>
      <c r="D150" s="14" t="inlineStr"/>
      <c r="E150" s="17" t="inlineStr"/>
      <c r="F150" s="17" t="inlineStr"/>
      <c r="G150" s="14" t="inlineStr"/>
      <c r="H150" s="14" t="inlineStr"/>
      <c r="I150" s="18" t="inlineStr"/>
      <c r="J150" s="14" t="inlineStr"/>
      <c r="K150" s="15" t="inlineStr"/>
      <c r="L150" s="15" t="inlineStr"/>
      <c r="M150" s="14" t="inlineStr"/>
      <c r="N150" s="11" t="inlineStr"/>
      <c r="O150" s="18" t="inlineStr"/>
      <c r="P150" s="18" t="inlineStr"/>
      <c r="Q150" s="18" t="inlineStr"/>
      <c r="R150" s="18" t="inlineStr"/>
      <c r="S150" s="18" t="inlineStr"/>
      <c r="T150" s="18">
        <f>SUM(O150:S150)</f>
        <v/>
      </c>
      <c r="U150" s="18" t="inlineStr"/>
      <c r="V150" s="18" t="inlineStr"/>
      <c r="W150" s="18" t="inlineStr"/>
      <c r="X150" s="18" t="inlineStr"/>
      <c r="Y150" s="18">
        <f>SUM(U150:X150)</f>
        <v/>
      </c>
      <c r="Z150" s="18" t="inlineStr"/>
      <c r="AA150" s="18" t="inlineStr"/>
      <c r="AB150" s="14" t="inlineStr"/>
      <c r="AC150" s="14" t="inlineStr"/>
    </row>
    <row r="151">
      <c r="A151" s="12" t="inlineStr"/>
      <c r="B151" s="14" t="inlineStr"/>
      <c r="C151" s="14" t="inlineStr"/>
      <c r="D151" s="14" t="inlineStr"/>
      <c r="E151" s="17" t="inlineStr"/>
      <c r="F151" s="17" t="inlineStr"/>
      <c r="G151" s="14" t="inlineStr"/>
      <c r="H151" s="14" t="inlineStr"/>
      <c r="I151" s="18" t="inlineStr"/>
      <c r="J151" s="14" t="inlineStr"/>
      <c r="K151" s="15" t="inlineStr"/>
      <c r="L151" s="15" t="inlineStr"/>
      <c r="M151" s="14" t="inlineStr"/>
      <c r="N151" s="11" t="inlineStr"/>
      <c r="O151" s="18" t="inlineStr"/>
      <c r="P151" s="18" t="inlineStr"/>
      <c r="Q151" s="18" t="inlineStr"/>
      <c r="R151" s="18" t="inlineStr"/>
      <c r="S151" s="18" t="inlineStr"/>
      <c r="T151" s="18">
        <f>SUM(O151:S151)</f>
        <v/>
      </c>
      <c r="U151" s="18" t="inlineStr"/>
      <c r="V151" s="18" t="inlineStr"/>
      <c r="W151" s="18" t="inlineStr"/>
      <c r="X151" s="18" t="inlineStr"/>
      <c r="Y151" s="18">
        <f>SUM(U151:X151)</f>
        <v/>
      </c>
      <c r="Z151" s="18" t="inlineStr"/>
      <c r="AA151" s="18" t="inlineStr"/>
      <c r="AB151" s="14" t="inlineStr"/>
      <c r="AC151" s="14" t="inlineStr"/>
    </row>
    <row r="152">
      <c r="A152" s="12" t="inlineStr"/>
      <c r="B152" s="14" t="inlineStr"/>
      <c r="C152" s="14" t="inlineStr"/>
      <c r="D152" s="14" t="inlineStr"/>
      <c r="E152" s="17" t="inlineStr"/>
      <c r="F152" s="17" t="inlineStr"/>
      <c r="G152" s="14" t="inlineStr"/>
      <c r="H152" s="14" t="inlineStr"/>
      <c r="I152" s="18" t="inlineStr"/>
      <c r="J152" s="14" t="inlineStr"/>
      <c r="K152" s="15" t="inlineStr"/>
      <c r="L152" s="15" t="inlineStr"/>
      <c r="M152" s="14" t="inlineStr"/>
      <c r="N152" s="11" t="inlineStr"/>
      <c r="O152" s="18" t="inlineStr"/>
      <c r="P152" s="18" t="inlineStr"/>
      <c r="Q152" s="18" t="inlineStr"/>
      <c r="R152" s="18" t="inlineStr"/>
      <c r="S152" s="18" t="inlineStr"/>
      <c r="T152" s="18">
        <f>SUM(O152:S152)</f>
        <v/>
      </c>
      <c r="U152" s="18" t="inlineStr"/>
      <c r="V152" s="18" t="inlineStr"/>
      <c r="W152" s="18" t="inlineStr"/>
      <c r="X152" s="18" t="inlineStr"/>
      <c r="Y152" s="18">
        <f>SUM(U152:X152)</f>
        <v/>
      </c>
      <c r="Z152" s="18" t="inlineStr"/>
      <c r="AA152" s="18" t="inlineStr"/>
      <c r="AB152" s="14" t="inlineStr"/>
      <c r="AC152" s="14" t="inlineStr"/>
    </row>
    <row r="153">
      <c r="A153" s="12" t="inlineStr"/>
      <c r="B153" s="14" t="inlineStr"/>
      <c r="C153" s="14" t="inlineStr"/>
      <c r="D153" s="14" t="inlineStr"/>
      <c r="E153" s="17" t="inlineStr"/>
      <c r="F153" s="17" t="inlineStr"/>
      <c r="G153" s="14" t="inlineStr"/>
      <c r="H153" s="14" t="inlineStr"/>
      <c r="I153" s="18" t="inlineStr"/>
      <c r="J153" s="14" t="inlineStr"/>
      <c r="K153" s="15" t="inlineStr"/>
      <c r="L153" s="15" t="inlineStr"/>
      <c r="M153" s="14" t="inlineStr"/>
      <c r="N153" s="11" t="inlineStr"/>
      <c r="O153" s="18" t="inlineStr"/>
      <c r="P153" s="18" t="inlineStr"/>
      <c r="Q153" s="18" t="inlineStr"/>
      <c r="R153" s="18" t="inlineStr"/>
      <c r="S153" s="18" t="inlineStr"/>
      <c r="T153" s="18">
        <f>SUM(O153:S153)</f>
        <v/>
      </c>
      <c r="U153" s="18" t="inlineStr"/>
      <c r="V153" s="18" t="inlineStr"/>
      <c r="W153" s="18" t="inlineStr"/>
      <c r="X153" s="18" t="inlineStr"/>
      <c r="Y153" s="18">
        <f>SUM(U153:X153)</f>
        <v/>
      </c>
      <c r="Z153" s="18" t="inlineStr"/>
      <c r="AA153" s="18" t="inlineStr"/>
      <c r="AB153" s="14" t="inlineStr"/>
      <c r="AC153" s="14" t="inlineStr"/>
    </row>
    <row r="154">
      <c r="A154" s="12" t="inlineStr"/>
      <c r="B154" s="14" t="inlineStr"/>
      <c r="C154" s="14" t="inlineStr"/>
      <c r="D154" s="14" t="inlineStr"/>
      <c r="E154" s="17" t="inlineStr"/>
      <c r="F154" s="17" t="inlineStr"/>
      <c r="G154" s="14" t="inlineStr"/>
      <c r="H154" s="14" t="inlineStr"/>
      <c r="I154" s="18" t="inlineStr"/>
      <c r="J154" s="14" t="inlineStr"/>
      <c r="K154" s="15" t="inlineStr"/>
      <c r="L154" s="15" t="inlineStr"/>
      <c r="M154" s="14" t="inlineStr"/>
      <c r="N154" s="11" t="inlineStr"/>
      <c r="O154" s="18" t="inlineStr"/>
      <c r="P154" s="18" t="inlineStr"/>
      <c r="Q154" s="18" t="inlineStr"/>
      <c r="R154" s="18" t="inlineStr"/>
      <c r="S154" s="18" t="inlineStr"/>
      <c r="T154" s="18">
        <f>SUM(O154:S154)</f>
        <v/>
      </c>
      <c r="U154" s="18" t="inlineStr"/>
      <c r="V154" s="18" t="inlineStr"/>
      <c r="W154" s="18" t="inlineStr"/>
      <c r="X154" s="18" t="inlineStr"/>
      <c r="Y154" s="18">
        <f>SUM(U154:X154)</f>
        <v/>
      </c>
      <c r="Z154" s="18" t="inlineStr"/>
      <c r="AA154" s="18" t="inlineStr"/>
      <c r="AB154" s="14" t="inlineStr"/>
      <c r="AC154" s="14" t="inlineStr"/>
    </row>
    <row r="155">
      <c r="A155" s="12" t="inlineStr"/>
      <c r="B155" s="14" t="inlineStr"/>
      <c r="C155" s="14" t="inlineStr"/>
      <c r="D155" s="14" t="inlineStr"/>
      <c r="E155" s="17" t="inlineStr"/>
      <c r="F155" s="17" t="inlineStr"/>
      <c r="G155" s="14" t="inlineStr"/>
      <c r="H155" s="14" t="inlineStr"/>
      <c r="I155" s="18" t="inlineStr"/>
      <c r="J155" s="14" t="inlineStr"/>
      <c r="K155" s="15" t="inlineStr"/>
      <c r="L155" s="15" t="inlineStr"/>
      <c r="M155" s="14" t="inlineStr"/>
      <c r="N155" s="11" t="inlineStr"/>
      <c r="O155" s="18" t="inlineStr"/>
      <c r="P155" s="18" t="inlineStr"/>
      <c r="Q155" s="18" t="inlineStr"/>
      <c r="R155" s="18" t="inlineStr"/>
      <c r="S155" s="18" t="inlineStr"/>
      <c r="T155" s="18">
        <f>SUM(O155:S155)</f>
        <v/>
      </c>
      <c r="U155" s="18" t="inlineStr"/>
      <c r="V155" s="18" t="inlineStr"/>
      <c r="W155" s="18" t="inlineStr"/>
      <c r="X155" s="18" t="inlineStr"/>
      <c r="Y155" s="18">
        <f>SUM(U155:X155)</f>
        <v/>
      </c>
      <c r="Z155" s="18" t="inlineStr"/>
      <c r="AA155" s="18" t="inlineStr"/>
      <c r="AB155" s="14" t="inlineStr"/>
      <c r="AC155" s="14" t="inlineStr"/>
    </row>
    <row r="156">
      <c r="A156" s="12" t="inlineStr"/>
      <c r="B156" s="14" t="inlineStr"/>
      <c r="C156" s="14" t="inlineStr"/>
      <c r="D156" s="14" t="inlineStr"/>
      <c r="E156" s="17" t="inlineStr"/>
      <c r="F156" s="17" t="inlineStr"/>
      <c r="G156" s="14" t="inlineStr"/>
      <c r="H156" s="14" t="inlineStr"/>
      <c r="I156" s="18" t="inlineStr"/>
      <c r="J156" s="14" t="inlineStr"/>
      <c r="K156" s="15" t="inlineStr"/>
      <c r="L156" s="15" t="inlineStr"/>
      <c r="M156" s="14" t="inlineStr"/>
      <c r="N156" s="11" t="inlineStr"/>
      <c r="O156" s="18" t="inlineStr"/>
      <c r="P156" s="18" t="inlineStr"/>
      <c r="Q156" s="18" t="inlineStr"/>
      <c r="R156" s="18" t="inlineStr"/>
      <c r="S156" s="18" t="inlineStr"/>
      <c r="T156" s="18">
        <f>SUM(O156:S156)</f>
        <v/>
      </c>
      <c r="U156" s="18" t="inlineStr"/>
      <c r="V156" s="18" t="inlineStr"/>
      <c r="W156" s="18" t="inlineStr"/>
      <c r="X156" s="18" t="inlineStr"/>
      <c r="Y156" s="18">
        <f>SUM(U156:X156)</f>
        <v/>
      </c>
      <c r="Z156" s="18" t="inlineStr"/>
      <c r="AA156" s="18" t="inlineStr"/>
      <c r="AB156" s="14" t="inlineStr"/>
      <c r="AC156" s="14" t="inlineStr"/>
    </row>
    <row r="157">
      <c r="A157" s="12" t="inlineStr"/>
      <c r="B157" s="14" t="inlineStr"/>
      <c r="C157" s="14" t="inlineStr"/>
      <c r="D157" s="14" t="inlineStr"/>
      <c r="E157" s="17" t="inlineStr"/>
      <c r="F157" s="17" t="inlineStr"/>
      <c r="G157" s="14" t="inlineStr"/>
      <c r="H157" s="14" t="inlineStr"/>
      <c r="I157" s="18" t="inlineStr"/>
      <c r="J157" s="14" t="inlineStr"/>
      <c r="K157" s="15" t="inlineStr"/>
      <c r="L157" s="15" t="inlineStr"/>
      <c r="M157" s="14" t="inlineStr"/>
      <c r="N157" s="11" t="inlineStr"/>
      <c r="O157" s="18" t="inlineStr"/>
      <c r="P157" s="18" t="inlineStr"/>
      <c r="Q157" s="18" t="inlineStr"/>
      <c r="R157" s="18" t="inlineStr"/>
      <c r="S157" s="18" t="inlineStr"/>
      <c r="T157" s="18">
        <f>SUM(O157:S157)</f>
        <v/>
      </c>
      <c r="U157" s="18" t="inlineStr"/>
      <c r="V157" s="18" t="inlineStr"/>
      <c r="W157" s="18" t="inlineStr"/>
      <c r="X157" s="18" t="inlineStr"/>
      <c r="Y157" s="18">
        <f>SUM(U157:X157)</f>
        <v/>
      </c>
      <c r="Z157" s="18" t="inlineStr"/>
      <c r="AA157" s="18" t="inlineStr"/>
      <c r="AB157" s="14" t="inlineStr"/>
      <c r="AC157" s="14" t="inlineStr"/>
    </row>
    <row r="158">
      <c r="A158" s="12" t="inlineStr"/>
      <c r="B158" s="14" t="inlineStr"/>
      <c r="C158" s="14" t="inlineStr"/>
      <c r="D158" s="14" t="inlineStr"/>
      <c r="E158" s="17" t="inlineStr"/>
      <c r="F158" s="17" t="inlineStr"/>
      <c r="G158" s="14" t="inlineStr"/>
      <c r="H158" s="14" t="inlineStr"/>
      <c r="I158" s="18" t="inlineStr"/>
      <c r="J158" s="14" t="inlineStr"/>
      <c r="K158" s="15" t="inlineStr"/>
      <c r="L158" s="15" t="inlineStr"/>
      <c r="M158" s="14" t="inlineStr"/>
      <c r="N158" s="11" t="inlineStr"/>
      <c r="O158" s="18" t="inlineStr"/>
      <c r="P158" s="18" t="inlineStr"/>
      <c r="Q158" s="18" t="inlineStr"/>
      <c r="R158" s="18" t="inlineStr"/>
      <c r="S158" s="18" t="inlineStr"/>
      <c r="T158" s="18">
        <f>SUM(O158:S158)</f>
        <v/>
      </c>
      <c r="U158" s="18" t="inlineStr"/>
      <c r="V158" s="18" t="inlineStr"/>
      <c r="W158" s="18" t="inlineStr"/>
      <c r="X158" s="18" t="inlineStr"/>
      <c r="Y158" s="18">
        <f>SUM(U158:X158)</f>
        <v/>
      </c>
      <c r="Z158" s="18" t="inlineStr"/>
      <c r="AA158" s="18" t="inlineStr"/>
      <c r="AB158" s="14" t="inlineStr"/>
      <c r="AC158" s="14" t="inlineStr"/>
    </row>
    <row r="159">
      <c r="A159" s="12" t="inlineStr"/>
      <c r="B159" s="14" t="inlineStr"/>
      <c r="C159" s="14" t="inlineStr"/>
      <c r="D159" s="14" t="inlineStr"/>
      <c r="E159" s="17" t="inlineStr"/>
      <c r="F159" s="17" t="inlineStr"/>
      <c r="G159" s="14" t="inlineStr"/>
      <c r="H159" s="14" t="inlineStr"/>
      <c r="I159" s="18" t="inlineStr"/>
      <c r="J159" s="14" t="inlineStr"/>
      <c r="K159" s="15" t="inlineStr"/>
      <c r="L159" s="15" t="inlineStr"/>
      <c r="M159" s="14" t="inlineStr"/>
      <c r="N159" s="11" t="inlineStr"/>
      <c r="O159" s="18" t="inlineStr"/>
      <c r="P159" s="18" t="inlineStr"/>
      <c r="Q159" s="18" t="inlineStr"/>
      <c r="R159" s="18" t="inlineStr"/>
      <c r="S159" s="18" t="inlineStr"/>
      <c r="T159" s="18">
        <f>SUM(O159:S159)</f>
        <v/>
      </c>
      <c r="U159" s="18" t="inlineStr"/>
      <c r="V159" s="18" t="inlineStr"/>
      <c r="W159" s="18" t="inlineStr"/>
      <c r="X159" s="18" t="inlineStr"/>
      <c r="Y159" s="18">
        <f>SUM(U159:X159)</f>
        <v/>
      </c>
      <c r="Z159" s="18" t="inlineStr"/>
      <c r="AA159" s="18" t="inlineStr"/>
      <c r="AB159" s="14" t="inlineStr"/>
      <c r="AC159" s="14" t="inlineStr"/>
    </row>
    <row r="160">
      <c r="A160" s="12" t="inlineStr"/>
      <c r="B160" s="14" t="inlineStr"/>
      <c r="C160" s="14" t="inlineStr"/>
      <c r="D160" s="14" t="inlineStr"/>
      <c r="E160" s="17" t="inlineStr"/>
      <c r="F160" s="17" t="inlineStr"/>
      <c r="G160" s="14" t="inlineStr"/>
      <c r="H160" s="14" t="inlineStr"/>
      <c r="I160" s="18" t="inlineStr"/>
      <c r="J160" s="14" t="inlineStr"/>
      <c r="K160" s="15" t="inlineStr"/>
      <c r="L160" s="15" t="inlineStr"/>
      <c r="M160" s="14" t="inlineStr"/>
      <c r="N160" s="11" t="inlineStr"/>
      <c r="O160" s="18" t="inlineStr"/>
      <c r="P160" s="18" t="inlineStr"/>
      <c r="Q160" s="18" t="inlineStr"/>
      <c r="R160" s="18" t="inlineStr"/>
      <c r="S160" s="18" t="inlineStr"/>
      <c r="T160" s="18">
        <f>SUM(O160:S160)</f>
        <v/>
      </c>
      <c r="U160" s="18" t="inlineStr"/>
      <c r="V160" s="18" t="inlineStr"/>
      <c r="W160" s="18" t="inlineStr"/>
      <c r="X160" s="18" t="inlineStr"/>
      <c r="Y160" s="18">
        <f>SUM(U160:X160)</f>
        <v/>
      </c>
      <c r="Z160" s="18" t="inlineStr"/>
      <c r="AA160" s="18" t="inlineStr"/>
      <c r="AB160" s="14" t="inlineStr"/>
      <c r="AC160" s="14" t="inlineStr"/>
    </row>
    <row r="161">
      <c r="A161" s="12" t="inlineStr"/>
      <c r="B161" s="14" t="inlineStr"/>
      <c r="C161" s="14" t="inlineStr"/>
      <c r="D161" s="14" t="inlineStr"/>
      <c r="E161" s="17" t="inlineStr"/>
      <c r="F161" s="17" t="inlineStr"/>
      <c r="G161" s="14" t="inlineStr"/>
      <c r="H161" s="14" t="inlineStr"/>
      <c r="I161" s="18" t="inlineStr"/>
      <c r="J161" s="14" t="inlineStr"/>
      <c r="K161" s="15" t="inlineStr"/>
      <c r="L161" s="15" t="inlineStr"/>
      <c r="M161" s="14" t="inlineStr"/>
      <c r="N161" s="11" t="inlineStr"/>
      <c r="O161" s="18" t="inlineStr"/>
      <c r="P161" s="18" t="inlineStr"/>
      <c r="Q161" s="18" t="inlineStr"/>
      <c r="R161" s="18" t="inlineStr"/>
      <c r="S161" s="18" t="inlineStr"/>
      <c r="T161" s="18">
        <f>SUM(O161:S161)</f>
        <v/>
      </c>
      <c r="U161" s="18" t="inlineStr"/>
      <c r="V161" s="18" t="inlineStr"/>
      <c r="W161" s="18" t="inlineStr"/>
      <c r="X161" s="18" t="inlineStr"/>
      <c r="Y161" s="18">
        <f>SUM(U161:X161)</f>
        <v/>
      </c>
      <c r="Z161" s="18" t="inlineStr"/>
      <c r="AA161" s="18" t="inlineStr"/>
      <c r="AB161" s="14" t="inlineStr"/>
      <c r="AC161" s="14" t="inlineStr"/>
    </row>
    <row r="162">
      <c r="A162" s="12" t="inlineStr"/>
      <c r="B162" s="14" t="inlineStr"/>
      <c r="C162" s="14" t="inlineStr"/>
      <c r="D162" s="14" t="inlineStr"/>
      <c r="E162" s="17" t="inlineStr"/>
      <c r="F162" s="17" t="inlineStr"/>
      <c r="G162" s="14" t="inlineStr"/>
      <c r="H162" s="14" t="inlineStr"/>
      <c r="I162" s="18" t="inlineStr"/>
      <c r="J162" s="14" t="inlineStr"/>
      <c r="K162" s="15" t="inlineStr"/>
      <c r="L162" s="15" t="inlineStr"/>
      <c r="M162" s="14" t="inlineStr"/>
      <c r="N162" s="11" t="inlineStr"/>
      <c r="O162" s="18" t="inlineStr"/>
      <c r="P162" s="18" t="inlineStr"/>
      <c r="Q162" s="18" t="inlineStr"/>
      <c r="R162" s="18" t="inlineStr"/>
      <c r="S162" s="18" t="inlineStr"/>
      <c r="T162" s="18">
        <f>SUM(O162:S162)</f>
        <v/>
      </c>
      <c r="U162" s="18" t="inlineStr"/>
      <c r="V162" s="18" t="inlineStr"/>
      <c r="W162" s="18" t="inlineStr"/>
      <c r="X162" s="18" t="inlineStr"/>
      <c r="Y162" s="18">
        <f>SUM(U162:X162)</f>
        <v/>
      </c>
      <c r="Z162" s="18" t="inlineStr"/>
      <c r="AA162" s="18" t="inlineStr"/>
      <c r="AB162" s="14" t="inlineStr"/>
      <c r="AC162" s="14" t="inlineStr"/>
    </row>
    <row r="163">
      <c r="A163" s="12" t="inlineStr"/>
      <c r="B163" s="14" t="inlineStr"/>
      <c r="C163" s="14" t="inlineStr"/>
      <c r="D163" s="14" t="inlineStr"/>
      <c r="E163" s="17" t="inlineStr"/>
      <c r="F163" s="17" t="inlineStr"/>
      <c r="G163" s="14" t="inlineStr"/>
      <c r="H163" s="14" t="inlineStr"/>
      <c r="I163" s="18" t="inlineStr"/>
      <c r="J163" s="14" t="inlineStr"/>
      <c r="K163" s="15" t="inlineStr"/>
      <c r="L163" s="15" t="inlineStr"/>
      <c r="M163" s="14" t="inlineStr"/>
      <c r="N163" s="11" t="inlineStr"/>
      <c r="O163" s="18" t="inlineStr"/>
      <c r="P163" s="18" t="inlineStr"/>
      <c r="Q163" s="18" t="inlineStr"/>
      <c r="R163" s="18" t="inlineStr"/>
      <c r="S163" s="18" t="inlineStr"/>
      <c r="T163" s="18">
        <f>SUM(O163:S163)</f>
        <v/>
      </c>
      <c r="U163" s="18" t="inlineStr"/>
      <c r="V163" s="18" t="inlineStr"/>
      <c r="W163" s="18" t="inlineStr"/>
      <c r="X163" s="18" t="inlineStr"/>
      <c r="Y163" s="18">
        <f>SUM(U163:X163)</f>
        <v/>
      </c>
      <c r="Z163" s="18" t="inlineStr"/>
      <c r="AA163" s="18" t="inlineStr"/>
      <c r="AB163" s="14" t="inlineStr"/>
      <c r="AC163" s="14" t="inlineStr"/>
    </row>
    <row r="164">
      <c r="A164" s="12" t="inlineStr"/>
      <c r="B164" s="14" t="inlineStr"/>
      <c r="C164" s="14" t="inlineStr"/>
      <c r="D164" s="14" t="inlineStr"/>
      <c r="E164" s="17" t="inlineStr"/>
      <c r="F164" s="17" t="inlineStr"/>
      <c r="G164" s="14" t="inlineStr"/>
      <c r="H164" s="14" t="inlineStr"/>
      <c r="I164" s="18" t="inlineStr"/>
      <c r="J164" s="14" t="inlineStr"/>
      <c r="K164" s="15" t="inlineStr"/>
      <c r="L164" s="15" t="inlineStr"/>
      <c r="M164" s="14" t="inlineStr"/>
      <c r="N164" s="11" t="inlineStr"/>
      <c r="O164" s="18" t="inlineStr"/>
      <c r="P164" s="18" t="inlineStr"/>
      <c r="Q164" s="18" t="inlineStr"/>
      <c r="R164" s="18" t="inlineStr"/>
      <c r="S164" s="18" t="inlineStr"/>
      <c r="T164" s="18">
        <f>SUM(O164:S164)</f>
        <v/>
      </c>
      <c r="U164" s="18" t="inlineStr"/>
      <c r="V164" s="18" t="inlineStr"/>
      <c r="W164" s="18" t="inlineStr"/>
      <c r="X164" s="18" t="inlineStr"/>
      <c r="Y164" s="18">
        <f>SUM(U164:X164)</f>
        <v/>
      </c>
      <c r="Z164" s="18" t="inlineStr"/>
      <c r="AA164" s="18" t="inlineStr"/>
      <c r="AB164" s="14" t="inlineStr"/>
      <c r="AC164" s="14" t="inlineStr"/>
    </row>
    <row r="165">
      <c r="A165" s="12" t="inlineStr"/>
      <c r="B165" s="14" t="inlineStr"/>
      <c r="C165" s="14" t="inlineStr"/>
      <c r="D165" s="14" t="inlineStr"/>
      <c r="E165" s="17" t="inlineStr"/>
      <c r="F165" s="17" t="inlineStr"/>
      <c r="G165" s="14" t="inlineStr"/>
      <c r="H165" s="14" t="inlineStr"/>
      <c r="I165" s="18" t="inlineStr"/>
      <c r="J165" s="14" t="inlineStr"/>
      <c r="K165" s="15" t="inlineStr"/>
      <c r="L165" s="15" t="inlineStr"/>
      <c r="M165" s="14" t="inlineStr"/>
      <c r="N165" s="11" t="inlineStr"/>
      <c r="O165" s="18" t="inlineStr"/>
      <c r="P165" s="18" t="inlineStr"/>
      <c r="Q165" s="18" t="inlineStr"/>
      <c r="R165" s="18" t="inlineStr"/>
      <c r="S165" s="18" t="inlineStr"/>
      <c r="T165" s="18">
        <f>SUM(O165:S165)</f>
        <v/>
      </c>
      <c r="U165" s="18" t="inlineStr"/>
      <c r="V165" s="18" t="inlineStr"/>
      <c r="W165" s="18" t="inlineStr"/>
      <c r="X165" s="18" t="inlineStr"/>
      <c r="Y165" s="18">
        <f>SUM(U165:X165)</f>
        <v/>
      </c>
      <c r="Z165" s="18" t="inlineStr"/>
      <c r="AA165" s="18" t="inlineStr"/>
      <c r="AB165" s="14" t="inlineStr"/>
      <c r="AC165" s="14" t="inlineStr"/>
    </row>
    <row r="166">
      <c r="A166" s="12" t="inlineStr"/>
      <c r="B166" s="14" t="inlineStr"/>
      <c r="C166" s="14" t="inlineStr"/>
      <c r="D166" s="14" t="inlineStr"/>
      <c r="E166" s="17" t="inlineStr"/>
      <c r="F166" s="17" t="inlineStr"/>
      <c r="G166" s="14" t="inlineStr"/>
      <c r="H166" s="14" t="inlineStr"/>
      <c r="I166" s="18" t="inlineStr"/>
      <c r="J166" s="14" t="inlineStr"/>
      <c r="K166" s="15" t="inlineStr"/>
      <c r="L166" s="15" t="inlineStr"/>
      <c r="M166" s="14" t="inlineStr"/>
      <c r="N166" s="11" t="inlineStr"/>
      <c r="O166" s="18" t="inlineStr"/>
      <c r="P166" s="18" t="inlineStr"/>
      <c r="Q166" s="18" t="inlineStr"/>
      <c r="R166" s="18" t="inlineStr"/>
      <c r="S166" s="18" t="inlineStr"/>
      <c r="T166" s="18">
        <f>SUM(O166:S166)</f>
        <v/>
      </c>
      <c r="U166" s="18" t="inlineStr"/>
      <c r="V166" s="18" t="inlineStr"/>
      <c r="W166" s="18" t="inlineStr"/>
      <c r="X166" s="18" t="inlineStr"/>
      <c r="Y166" s="18">
        <f>SUM(U166:X166)</f>
        <v/>
      </c>
      <c r="Z166" s="18" t="inlineStr"/>
      <c r="AA166" s="18" t="inlineStr"/>
      <c r="AB166" s="14" t="inlineStr"/>
      <c r="AC166" s="14" t="inlineStr"/>
    </row>
    <row r="167">
      <c r="A167" s="12" t="inlineStr"/>
      <c r="B167" s="14" t="inlineStr"/>
      <c r="C167" s="14" t="inlineStr"/>
      <c r="D167" s="14" t="inlineStr"/>
      <c r="E167" s="17" t="inlineStr"/>
      <c r="F167" s="17" t="inlineStr"/>
      <c r="G167" s="14" t="inlineStr"/>
      <c r="H167" s="14" t="inlineStr"/>
      <c r="I167" s="18" t="inlineStr"/>
      <c r="J167" s="14" t="inlineStr"/>
      <c r="K167" s="15" t="inlineStr"/>
      <c r="L167" s="15" t="inlineStr"/>
      <c r="M167" s="14" t="inlineStr"/>
      <c r="N167" s="11" t="inlineStr"/>
      <c r="O167" s="18" t="inlineStr"/>
      <c r="P167" s="18" t="inlineStr"/>
      <c r="Q167" s="18" t="inlineStr"/>
      <c r="R167" s="18" t="inlineStr"/>
      <c r="S167" s="18" t="inlineStr"/>
      <c r="T167" s="18">
        <f>SUM(O167:S167)</f>
        <v/>
      </c>
      <c r="U167" s="18" t="inlineStr"/>
      <c r="V167" s="18" t="inlineStr"/>
      <c r="W167" s="18" t="inlineStr"/>
      <c r="X167" s="18" t="inlineStr"/>
      <c r="Y167" s="18">
        <f>SUM(U167:X167)</f>
        <v/>
      </c>
      <c r="Z167" s="18" t="inlineStr"/>
      <c r="AA167" s="18" t="inlineStr"/>
      <c r="AB167" s="14" t="inlineStr"/>
      <c r="AC167" s="14" t="inlineStr"/>
    </row>
    <row r="168">
      <c r="A168" s="12" t="inlineStr"/>
      <c r="B168" s="14" t="inlineStr"/>
      <c r="C168" s="14" t="inlineStr"/>
      <c r="D168" s="14" t="inlineStr"/>
      <c r="E168" s="17" t="inlineStr"/>
      <c r="F168" s="17" t="inlineStr"/>
      <c r="G168" s="14" t="inlineStr"/>
      <c r="H168" s="14" t="inlineStr"/>
      <c r="I168" s="18" t="inlineStr"/>
      <c r="J168" s="14" t="inlineStr"/>
      <c r="K168" s="15" t="inlineStr"/>
      <c r="L168" s="15" t="inlineStr"/>
      <c r="M168" s="14" t="inlineStr"/>
      <c r="N168" s="11" t="inlineStr"/>
      <c r="O168" s="18" t="inlineStr"/>
      <c r="P168" s="18" t="inlineStr"/>
      <c r="Q168" s="18" t="inlineStr"/>
      <c r="R168" s="18" t="inlineStr"/>
      <c r="S168" s="18" t="inlineStr"/>
      <c r="T168" s="18">
        <f>SUM(O168:S168)</f>
        <v/>
      </c>
      <c r="U168" s="18" t="inlineStr"/>
      <c r="V168" s="18" t="inlineStr"/>
      <c r="W168" s="18" t="inlineStr"/>
      <c r="X168" s="18" t="inlineStr"/>
      <c r="Y168" s="18">
        <f>SUM(U168:X168)</f>
        <v/>
      </c>
      <c r="Z168" s="18" t="inlineStr"/>
      <c r="AA168" s="18" t="inlineStr"/>
      <c r="AB168" s="14" t="inlineStr"/>
      <c r="AC168" s="14" t="inlineStr"/>
    </row>
    <row r="169">
      <c r="A169" s="12" t="inlineStr"/>
      <c r="B169" s="14" t="inlineStr"/>
      <c r="C169" s="14" t="inlineStr"/>
      <c r="D169" s="14" t="inlineStr"/>
      <c r="E169" s="17" t="inlineStr"/>
      <c r="F169" s="17" t="inlineStr"/>
      <c r="G169" s="14" t="inlineStr"/>
      <c r="H169" s="14" t="inlineStr"/>
      <c r="I169" s="18" t="inlineStr"/>
      <c r="J169" s="14" t="inlineStr"/>
      <c r="K169" s="15" t="inlineStr"/>
      <c r="L169" s="15" t="inlineStr"/>
      <c r="M169" s="14" t="inlineStr"/>
      <c r="N169" s="11" t="inlineStr"/>
      <c r="O169" s="18" t="inlineStr"/>
      <c r="P169" s="18" t="inlineStr"/>
      <c r="Q169" s="18" t="inlineStr"/>
      <c r="R169" s="18" t="inlineStr"/>
      <c r="S169" s="18" t="inlineStr"/>
      <c r="T169" s="18">
        <f>SUM(O169:S169)</f>
        <v/>
      </c>
      <c r="U169" s="18" t="inlineStr"/>
      <c r="V169" s="18" t="inlineStr"/>
      <c r="W169" s="18" t="inlineStr"/>
      <c r="X169" s="18" t="inlineStr"/>
      <c r="Y169" s="18">
        <f>SUM(U169:X169)</f>
        <v/>
      </c>
      <c r="Z169" s="18" t="inlineStr"/>
      <c r="AA169" s="18" t="inlineStr"/>
      <c r="AB169" s="14" t="inlineStr"/>
      <c r="AC169" s="14" t="inlineStr"/>
    </row>
    <row r="170">
      <c r="A170" s="12" t="inlineStr"/>
      <c r="B170" s="14" t="inlineStr"/>
      <c r="C170" s="14" t="inlineStr"/>
      <c r="D170" s="14" t="inlineStr"/>
      <c r="E170" s="17" t="inlineStr"/>
      <c r="F170" s="17" t="inlineStr"/>
      <c r="G170" s="14" t="inlineStr"/>
      <c r="H170" s="14" t="inlineStr"/>
      <c r="I170" s="18" t="inlineStr"/>
      <c r="J170" s="14" t="inlineStr"/>
      <c r="K170" s="15" t="inlineStr"/>
      <c r="L170" s="15" t="inlineStr"/>
      <c r="M170" s="14" t="inlineStr"/>
      <c r="N170" s="11" t="inlineStr"/>
      <c r="O170" s="18" t="inlineStr"/>
      <c r="P170" s="18" t="inlineStr"/>
      <c r="Q170" s="18" t="inlineStr"/>
      <c r="R170" s="18" t="inlineStr"/>
      <c r="S170" s="18" t="inlineStr"/>
      <c r="T170" s="18">
        <f>SUM(O170:S170)</f>
        <v/>
      </c>
      <c r="U170" s="18" t="inlineStr"/>
      <c r="V170" s="18" t="inlineStr"/>
      <c r="W170" s="18" t="inlineStr"/>
      <c r="X170" s="18" t="inlineStr"/>
      <c r="Y170" s="18">
        <f>SUM(U170:X170)</f>
        <v/>
      </c>
      <c r="Z170" s="18" t="inlineStr"/>
      <c r="AA170" s="18" t="inlineStr"/>
      <c r="AB170" s="14" t="inlineStr"/>
      <c r="AC170" s="14" t="inlineStr"/>
    </row>
    <row r="171">
      <c r="A171" s="12" t="inlineStr"/>
      <c r="B171" s="14" t="inlineStr"/>
      <c r="C171" s="14" t="inlineStr"/>
      <c r="D171" s="14" t="inlineStr"/>
      <c r="E171" s="17" t="inlineStr"/>
      <c r="F171" s="17" t="inlineStr"/>
      <c r="G171" s="14" t="inlineStr"/>
      <c r="H171" s="14" t="inlineStr"/>
      <c r="I171" s="18" t="inlineStr"/>
      <c r="J171" s="14" t="inlineStr"/>
      <c r="K171" s="15" t="inlineStr"/>
      <c r="L171" s="15" t="inlineStr"/>
      <c r="M171" s="14" t="inlineStr"/>
      <c r="N171" s="11" t="inlineStr"/>
      <c r="O171" s="18" t="inlineStr"/>
      <c r="P171" s="18" t="inlineStr"/>
      <c r="Q171" s="18" t="inlineStr"/>
      <c r="R171" s="18" t="inlineStr"/>
      <c r="S171" s="18" t="inlineStr"/>
      <c r="T171" s="18">
        <f>SUM(O171:S171)</f>
        <v/>
      </c>
      <c r="U171" s="18" t="inlineStr"/>
      <c r="V171" s="18" t="inlineStr"/>
      <c r="W171" s="18" t="inlineStr"/>
      <c r="X171" s="18" t="inlineStr"/>
      <c r="Y171" s="18">
        <f>SUM(U171:X171)</f>
        <v/>
      </c>
      <c r="Z171" s="18" t="inlineStr"/>
      <c r="AA171" s="18" t="inlineStr"/>
      <c r="AB171" s="14" t="inlineStr"/>
      <c r="AC171" s="14" t="inlineStr"/>
    </row>
    <row r="172">
      <c r="A172" s="12" t="inlineStr"/>
      <c r="B172" s="14" t="inlineStr"/>
      <c r="C172" s="14" t="inlineStr"/>
      <c r="D172" s="14" t="inlineStr"/>
      <c r="E172" s="17" t="inlineStr"/>
      <c r="F172" s="17" t="inlineStr"/>
      <c r="G172" s="14" t="inlineStr"/>
      <c r="H172" s="14" t="inlineStr"/>
      <c r="I172" s="18" t="inlineStr"/>
      <c r="J172" s="14" t="inlineStr"/>
      <c r="K172" s="15" t="inlineStr"/>
      <c r="L172" s="15" t="inlineStr"/>
      <c r="M172" s="14" t="inlineStr"/>
      <c r="N172" s="11" t="inlineStr"/>
      <c r="O172" s="18" t="inlineStr"/>
      <c r="P172" s="18" t="inlineStr"/>
      <c r="Q172" s="18" t="inlineStr"/>
      <c r="R172" s="18" t="inlineStr"/>
      <c r="S172" s="18" t="inlineStr"/>
      <c r="T172" s="18">
        <f>SUM(O172:S172)</f>
        <v/>
      </c>
      <c r="U172" s="18" t="inlineStr"/>
      <c r="V172" s="18" t="inlineStr"/>
      <c r="W172" s="18" t="inlineStr"/>
      <c r="X172" s="18" t="inlineStr"/>
      <c r="Y172" s="18">
        <f>SUM(U172:X172)</f>
        <v/>
      </c>
      <c r="Z172" s="18" t="inlineStr"/>
      <c r="AA172" s="18" t="inlineStr"/>
      <c r="AB172" s="14" t="inlineStr"/>
      <c r="AC172" s="14" t="inlineStr"/>
    </row>
    <row r="173">
      <c r="A173" s="12" t="inlineStr"/>
      <c r="B173" s="14" t="inlineStr"/>
      <c r="C173" s="14" t="inlineStr"/>
      <c r="D173" s="14" t="inlineStr"/>
      <c r="E173" s="17" t="inlineStr"/>
      <c r="F173" s="17" t="inlineStr"/>
      <c r="G173" s="14" t="inlineStr"/>
      <c r="H173" s="14" t="inlineStr"/>
      <c r="I173" s="18" t="inlineStr"/>
      <c r="J173" s="14" t="inlineStr"/>
      <c r="K173" s="15" t="inlineStr"/>
      <c r="L173" s="15" t="inlineStr"/>
      <c r="M173" s="14" t="inlineStr"/>
      <c r="N173" s="11" t="inlineStr"/>
      <c r="O173" s="18" t="inlineStr"/>
      <c r="P173" s="18" t="inlineStr"/>
      <c r="Q173" s="18" t="inlineStr"/>
      <c r="R173" s="18" t="inlineStr"/>
      <c r="S173" s="18" t="inlineStr"/>
      <c r="T173" s="18">
        <f>SUM(O173:S173)</f>
        <v/>
      </c>
      <c r="U173" s="18" t="inlineStr"/>
      <c r="V173" s="18" t="inlineStr"/>
      <c r="W173" s="18" t="inlineStr"/>
      <c r="X173" s="18" t="inlineStr"/>
      <c r="Y173" s="18">
        <f>SUM(U173:X173)</f>
        <v/>
      </c>
      <c r="Z173" s="18" t="inlineStr"/>
      <c r="AA173" s="18" t="inlineStr"/>
      <c r="AB173" s="14" t="inlineStr"/>
      <c r="AC173" s="14" t="inlineStr"/>
    </row>
    <row r="174">
      <c r="A174" s="12" t="inlineStr"/>
      <c r="B174" s="14" t="inlineStr"/>
      <c r="C174" s="14" t="inlineStr"/>
      <c r="D174" s="14" t="inlineStr"/>
      <c r="E174" s="17" t="inlineStr"/>
      <c r="F174" s="17" t="inlineStr"/>
      <c r="G174" s="14" t="inlineStr"/>
      <c r="H174" s="14" t="inlineStr"/>
      <c r="I174" s="18" t="inlineStr"/>
      <c r="J174" s="14" t="inlineStr"/>
      <c r="K174" s="15" t="inlineStr"/>
      <c r="L174" s="15" t="inlineStr"/>
      <c r="M174" s="14" t="inlineStr"/>
      <c r="N174" s="11" t="inlineStr"/>
      <c r="O174" s="18" t="inlineStr"/>
      <c r="P174" s="18" t="inlineStr"/>
      <c r="Q174" s="18" t="inlineStr"/>
      <c r="R174" s="18" t="inlineStr"/>
      <c r="S174" s="18" t="inlineStr"/>
      <c r="T174" s="18">
        <f>SUM(O174:S174)</f>
        <v/>
      </c>
      <c r="U174" s="18" t="inlineStr"/>
      <c r="V174" s="18" t="inlineStr"/>
      <c r="W174" s="18" t="inlineStr"/>
      <c r="X174" s="18" t="inlineStr"/>
      <c r="Y174" s="18">
        <f>SUM(U174:X174)</f>
        <v/>
      </c>
      <c r="Z174" s="18" t="inlineStr"/>
      <c r="AA174" s="18" t="inlineStr"/>
      <c r="AB174" s="14" t="inlineStr"/>
      <c r="AC174" s="14" t="inlineStr"/>
    </row>
    <row r="175">
      <c r="A175" s="12" t="inlineStr"/>
      <c r="B175" s="14" t="inlineStr"/>
      <c r="C175" s="14" t="inlineStr"/>
      <c r="D175" s="14" t="inlineStr"/>
      <c r="E175" s="17" t="inlineStr"/>
      <c r="F175" s="17" t="inlineStr"/>
      <c r="G175" s="14" t="inlineStr"/>
      <c r="H175" s="14" t="inlineStr"/>
      <c r="I175" s="18" t="inlineStr"/>
      <c r="J175" s="14" t="inlineStr"/>
      <c r="K175" s="15" t="inlineStr"/>
      <c r="L175" s="15" t="inlineStr"/>
      <c r="M175" s="14" t="inlineStr"/>
      <c r="N175" s="11" t="inlineStr"/>
      <c r="O175" s="18" t="inlineStr"/>
      <c r="P175" s="18" t="inlineStr"/>
      <c r="Q175" s="18" t="inlineStr"/>
      <c r="R175" s="18" t="inlineStr"/>
      <c r="S175" s="18" t="inlineStr"/>
      <c r="T175" s="18">
        <f>SUM(O175:S175)</f>
        <v/>
      </c>
      <c r="U175" s="18" t="inlineStr"/>
      <c r="V175" s="18" t="inlineStr"/>
      <c r="W175" s="18" t="inlineStr"/>
      <c r="X175" s="18" t="inlineStr"/>
      <c r="Y175" s="18">
        <f>SUM(U175:X175)</f>
        <v/>
      </c>
      <c r="Z175" s="18" t="inlineStr"/>
      <c r="AA175" s="18" t="inlineStr"/>
      <c r="AB175" s="14" t="inlineStr"/>
      <c r="AC175" s="14" t="inlineStr"/>
    </row>
    <row r="176">
      <c r="A176" s="12" t="inlineStr"/>
      <c r="B176" s="14" t="inlineStr"/>
      <c r="C176" s="14" t="inlineStr"/>
      <c r="D176" s="14" t="inlineStr"/>
      <c r="E176" s="17" t="inlineStr"/>
      <c r="F176" s="17" t="inlineStr"/>
      <c r="G176" s="14" t="inlineStr"/>
      <c r="H176" s="14" t="inlineStr"/>
      <c r="I176" s="18" t="inlineStr"/>
      <c r="J176" s="14" t="inlineStr"/>
      <c r="K176" s="15" t="inlineStr"/>
      <c r="L176" s="15" t="inlineStr"/>
      <c r="M176" s="14" t="inlineStr"/>
      <c r="N176" s="11" t="inlineStr"/>
      <c r="O176" s="18" t="inlineStr"/>
      <c r="P176" s="18" t="inlineStr"/>
      <c r="Q176" s="18" t="inlineStr"/>
      <c r="R176" s="18" t="inlineStr"/>
      <c r="S176" s="18" t="inlineStr"/>
      <c r="T176" s="18">
        <f>SUM(O176:S176)</f>
        <v/>
      </c>
      <c r="U176" s="18" t="inlineStr"/>
      <c r="V176" s="18" t="inlineStr"/>
      <c r="W176" s="18" t="inlineStr"/>
      <c r="X176" s="18" t="inlineStr"/>
      <c r="Y176" s="18">
        <f>SUM(U176:X176)</f>
        <v/>
      </c>
      <c r="Z176" s="18" t="inlineStr"/>
      <c r="AA176" s="18" t="inlineStr"/>
      <c r="AB176" s="14" t="inlineStr"/>
      <c r="AC176" s="14" t="inlineStr"/>
    </row>
    <row r="177">
      <c r="A177" s="12" t="inlineStr"/>
      <c r="B177" s="14" t="inlineStr"/>
      <c r="C177" s="14" t="inlineStr"/>
      <c r="D177" s="14" t="inlineStr"/>
      <c r="E177" s="17" t="inlineStr"/>
      <c r="F177" s="17" t="inlineStr"/>
      <c r="G177" s="14" t="inlineStr"/>
      <c r="H177" s="14" t="inlineStr"/>
      <c r="I177" s="18" t="inlineStr"/>
      <c r="J177" s="14" t="inlineStr"/>
      <c r="K177" s="15" t="inlineStr"/>
      <c r="L177" s="15" t="inlineStr"/>
      <c r="M177" s="14" t="inlineStr"/>
      <c r="N177" s="11" t="inlineStr"/>
      <c r="O177" s="18" t="inlineStr"/>
      <c r="P177" s="18" t="inlineStr"/>
      <c r="Q177" s="18" t="inlineStr"/>
      <c r="R177" s="18" t="inlineStr"/>
      <c r="S177" s="18" t="inlineStr"/>
      <c r="T177" s="18">
        <f>SUM(O177:S177)</f>
        <v/>
      </c>
      <c r="U177" s="18" t="inlineStr"/>
      <c r="V177" s="18" t="inlineStr"/>
      <c r="W177" s="18" t="inlineStr"/>
      <c r="X177" s="18" t="inlineStr"/>
      <c r="Y177" s="18">
        <f>SUM(U177:X177)</f>
        <v/>
      </c>
      <c r="Z177" s="18" t="inlineStr"/>
      <c r="AA177" s="18" t="inlineStr"/>
      <c r="AB177" s="14" t="inlineStr"/>
      <c r="AC177" s="14" t="inlineStr"/>
    </row>
    <row r="178">
      <c r="A178" s="12" t="inlineStr"/>
      <c r="B178" s="14" t="inlineStr"/>
      <c r="C178" s="14" t="inlineStr"/>
      <c r="D178" s="14" t="inlineStr"/>
      <c r="E178" s="17" t="inlineStr"/>
      <c r="F178" s="17" t="inlineStr"/>
      <c r="G178" s="14" t="inlineStr"/>
      <c r="H178" s="14" t="inlineStr"/>
      <c r="I178" s="18" t="inlineStr"/>
      <c r="J178" s="14" t="inlineStr"/>
      <c r="K178" s="15" t="inlineStr"/>
      <c r="L178" s="15" t="inlineStr"/>
      <c r="M178" s="14" t="inlineStr"/>
      <c r="N178" s="11" t="inlineStr"/>
      <c r="O178" s="18" t="inlineStr"/>
      <c r="P178" s="18" t="inlineStr"/>
      <c r="Q178" s="18" t="inlineStr"/>
      <c r="R178" s="18" t="inlineStr"/>
      <c r="S178" s="18" t="inlineStr"/>
      <c r="T178" s="18">
        <f>SUM(O178:S178)</f>
        <v/>
      </c>
      <c r="U178" s="18" t="inlineStr"/>
      <c r="V178" s="18" t="inlineStr"/>
      <c r="W178" s="18" t="inlineStr"/>
      <c r="X178" s="18" t="inlineStr"/>
      <c r="Y178" s="18">
        <f>SUM(U178:X178)</f>
        <v/>
      </c>
      <c r="Z178" s="18" t="inlineStr"/>
      <c r="AA178" s="18" t="inlineStr"/>
      <c r="AB178" s="14" t="inlineStr"/>
      <c r="AC178" s="14" t="inlineStr"/>
    </row>
    <row r="179">
      <c r="A179" s="12" t="inlineStr"/>
      <c r="B179" s="14" t="inlineStr"/>
      <c r="C179" s="14" t="inlineStr"/>
      <c r="D179" s="14" t="inlineStr"/>
      <c r="E179" s="17" t="inlineStr"/>
      <c r="F179" s="17" t="inlineStr"/>
      <c r="G179" s="14" t="inlineStr"/>
      <c r="H179" s="14" t="inlineStr"/>
      <c r="I179" s="18" t="inlineStr"/>
      <c r="J179" s="14" t="inlineStr"/>
      <c r="K179" s="15" t="inlineStr"/>
      <c r="L179" s="15" t="inlineStr"/>
      <c r="M179" s="14" t="inlineStr"/>
      <c r="N179" s="11" t="inlineStr"/>
      <c r="O179" s="18" t="inlineStr"/>
      <c r="P179" s="18" t="inlineStr"/>
      <c r="Q179" s="18" t="inlineStr"/>
      <c r="R179" s="18" t="inlineStr"/>
      <c r="S179" s="18" t="inlineStr"/>
      <c r="T179" s="18">
        <f>SUM(O179:S179)</f>
        <v/>
      </c>
      <c r="U179" s="18" t="inlineStr"/>
      <c r="V179" s="18" t="inlineStr"/>
      <c r="W179" s="18" t="inlineStr"/>
      <c r="X179" s="18" t="inlineStr"/>
      <c r="Y179" s="18">
        <f>SUM(U179:X179)</f>
        <v/>
      </c>
      <c r="Z179" s="18" t="inlineStr"/>
      <c r="AA179" s="18" t="inlineStr"/>
      <c r="AB179" s="14" t="inlineStr"/>
      <c r="AC179" s="14" t="inlineStr"/>
    </row>
    <row r="180">
      <c r="A180" s="12" t="inlineStr"/>
      <c r="B180" s="14" t="inlineStr"/>
      <c r="C180" s="14" t="inlineStr"/>
      <c r="D180" s="14" t="inlineStr"/>
      <c r="E180" s="17" t="inlineStr"/>
      <c r="F180" s="17" t="inlineStr"/>
      <c r="G180" s="14" t="inlineStr"/>
      <c r="H180" s="14" t="inlineStr"/>
      <c r="I180" s="18" t="inlineStr"/>
      <c r="J180" s="14" t="inlineStr"/>
      <c r="K180" s="15" t="inlineStr"/>
      <c r="L180" s="15" t="inlineStr"/>
      <c r="M180" s="14" t="inlineStr"/>
      <c r="N180" s="11" t="inlineStr"/>
      <c r="O180" s="18" t="inlineStr"/>
      <c r="P180" s="18" t="inlineStr"/>
      <c r="Q180" s="18" t="inlineStr"/>
      <c r="R180" s="18" t="inlineStr"/>
      <c r="S180" s="18" t="inlineStr"/>
      <c r="T180" s="18">
        <f>SUM(O180:S180)</f>
        <v/>
      </c>
      <c r="U180" s="18" t="inlineStr"/>
      <c r="V180" s="18" t="inlineStr"/>
      <c r="W180" s="18" t="inlineStr"/>
      <c r="X180" s="18" t="inlineStr"/>
      <c r="Y180" s="18">
        <f>SUM(U180:X180)</f>
        <v/>
      </c>
      <c r="Z180" s="18" t="inlineStr"/>
      <c r="AA180" s="18" t="inlineStr"/>
      <c r="AB180" s="14" t="inlineStr"/>
      <c r="AC180" s="14" t="inlineStr"/>
    </row>
    <row r="181">
      <c r="A181" s="12" t="inlineStr"/>
      <c r="B181" s="14" t="inlineStr"/>
      <c r="C181" s="14" t="inlineStr"/>
      <c r="D181" s="14" t="inlineStr"/>
      <c r="E181" s="17" t="inlineStr"/>
      <c r="F181" s="17" t="inlineStr"/>
      <c r="G181" s="14" t="inlineStr"/>
      <c r="H181" s="14" t="inlineStr"/>
      <c r="I181" s="18" t="inlineStr"/>
      <c r="J181" s="14" t="inlineStr"/>
      <c r="K181" s="15" t="inlineStr"/>
      <c r="L181" s="15" t="inlineStr"/>
      <c r="M181" s="14" t="inlineStr"/>
      <c r="N181" s="11" t="inlineStr"/>
      <c r="O181" s="18" t="inlineStr"/>
      <c r="P181" s="18" t="inlineStr"/>
      <c r="Q181" s="18" t="inlineStr"/>
      <c r="R181" s="18" t="inlineStr"/>
      <c r="S181" s="18" t="inlineStr"/>
      <c r="T181" s="18">
        <f>SUM(O181:S181)</f>
        <v/>
      </c>
      <c r="U181" s="18" t="inlineStr"/>
      <c r="V181" s="18" t="inlineStr"/>
      <c r="W181" s="18" t="inlineStr"/>
      <c r="X181" s="18" t="inlineStr"/>
      <c r="Y181" s="18">
        <f>SUM(U181:X181)</f>
        <v/>
      </c>
      <c r="Z181" s="18" t="inlineStr"/>
      <c r="AA181" s="18" t="inlineStr"/>
      <c r="AB181" s="14" t="inlineStr"/>
      <c r="AC181" s="14" t="inlineStr"/>
    </row>
    <row r="182">
      <c r="A182" s="12" t="inlineStr"/>
      <c r="B182" s="14" t="inlineStr"/>
      <c r="C182" s="14" t="inlineStr"/>
      <c r="D182" s="14" t="inlineStr"/>
      <c r="E182" s="17" t="inlineStr"/>
      <c r="F182" s="17" t="inlineStr"/>
      <c r="G182" s="14" t="inlineStr"/>
      <c r="H182" s="14" t="inlineStr"/>
      <c r="I182" s="18" t="inlineStr"/>
      <c r="J182" s="14" t="inlineStr"/>
      <c r="K182" s="15" t="inlineStr"/>
      <c r="L182" s="15" t="inlineStr"/>
      <c r="M182" s="14" t="inlineStr"/>
      <c r="N182" s="11" t="inlineStr"/>
      <c r="O182" s="18" t="inlineStr"/>
      <c r="P182" s="18" t="inlineStr"/>
      <c r="Q182" s="18" t="inlineStr"/>
      <c r="R182" s="18" t="inlineStr"/>
      <c r="S182" s="18" t="inlineStr"/>
      <c r="T182" s="18">
        <f>SUM(O182:S182)</f>
        <v/>
      </c>
      <c r="U182" s="18" t="inlineStr"/>
      <c r="V182" s="18" t="inlineStr"/>
      <c r="W182" s="18" t="inlineStr"/>
      <c r="X182" s="18" t="inlineStr"/>
      <c r="Y182" s="18">
        <f>SUM(U182:X182)</f>
        <v/>
      </c>
      <c r="Z182" s="18" t="inlineStr"/>
      <c r="AA182" s="18" t="inlineStr"/>
      <c r="AB182" s="14" t="inlineStr"/>
      <c r="AC182" s="14" t="inlineStr"/>
    </row>
    <row r="183">
      <c r="A183" s="12" t="inlineStr"/>
      <c r="B183" s="14" t="inlineStr"/>
      <c r="C183" s="14" t="inlineStr"/>
      <c r="D183" s="14" t="inlineStr"/>
      <c r="E183" s="17" t="inlineStr"/>
      <c r="F183" s="17" t="inlineStr"/>
      <c r="G183" s="14" t="inlineStr"/>
      <c r="H183" s="14" t="inlineStr"/>
      <c r="I183" s="18" t="inlineStr"/>
      <c r="J183" s="14" t="inlineStr"/>
      <c r="K183" s="15" t="inlineStr"/>
      <c r="L183" s="15" t="inlineStr"/>
      <c r="M183" s="14" t="inlineStr"/>
      <c r="N183" s="11" t="inlineStr"/>
      <c r="O183" s="18" t="inlineStr"/>
      <c r="P183" s="18" t="inlineStr"/>
      <c r="Q183" s="18" t="inlineStr"/>
      <c r="R183" s="18" t="inlineStr"/>
      <c r="S183" s="18" t="inlineStr"/>
      <c r="T183" s="18">
        <f>SUM(O183:S183)</f>
        <v/>
      </c>
      <c r="U183" s="18" t="inlineStr"/>
      <c r="V183" s="18" t="inlineStr"/>
      <c r="W183" s="18" t="inlineStr"/>
      <c r="X183" s="18" t="inlineStr"/>
      <c r="Y183" s="18">
        <f>SUM(U183:X183)</f>
        <v/>
      </c>
      <c r="Z183" s="18" t="inlineStr"/>
      <c r="AA183" s="18" t="inlineStr"/>
      <c r="AB183" s="14" t="inlineStr"/>
      <c r="AC183" s="14" t="inlineStr"/>
    </row>
    <row r="184">
      <c r="A184" s="12" t="inlineStr"/>
      <c r="B184" s="14" t="inlineStr"/>
      <c r="C184" s="14" t="inlineStr"/>
      <c r="D184" s="14" t="inlineStr"/>
      <c r="E184" s="17" t="inlineStr"/>
      <c r="F184" s="17" t="inlineStr"/>
      <c r="G184" s="14" t="inlineStr"/>
      <c r="H184" s="14" t="inlineStr"/>
      <c r="I184" s="18" t="inlineStr"/>
      <c r="J184" s="14" t="inlineStr"/>
      <c r="K184" s="15" t="inlineStr"/>
      <c r="L184" s="15" t="inlineStr"/>
      <c r="M184" s="14" t="inlineStr"/>
      <c r="N184" s="11" t="inlineStr"/>
      <c r="O184" s="18" t="inlineStr"/>
      <c r="P184" s="18" t="inlineStr"/>
      <c r="Q184" s="18" t="inlineStr"/>
      <c r="R184" s="18" t="inlineStr"/>
      <c r="S184" s="18" t="inlineStr"/>
      <c r="T184" s="18">
        <f>SUM(O184:S184)</f>
        <v/>
      </c>
      <c r="U184" s="18" t="inlineStr"/>
      <c r="V184" s="18" t="inlineStr"/>
      <c r="W184" s="18" t="inlineStr"/>
      <c r="X184" s="18" t="inlineStr"/>
      <c r="Y184" s="18">
        <f>SUM(U184:X184)</f>
        <v/>
      </c>
      <c r="Z184" s="18" t="inlineStr"/>
      <c r="AA184" s="18" t="inlineStr"/>
      <c r="AB184" s="14" t="inlineStr"/>
      <c r="AC184" s="14" t="inlineStr"/>
    </row>
    <row r="185">
      <c r="A185" s="12" t="inlineStr"/>
      <c r="B185" s="14" t="inlineStr"/>
      <c r="C185" s="14" t="inlineStr"/>
      <c r="D185" s="14" t="inlineStr"/>
      <c r="E185" s="17" t="inlineStr"/>
      <c r="F185" s="17" t="inlineStr"/>
      <c r="G185" s="14" t="inlineStr"/>
      <c r="H185" s="14" t="inlineStr"/>
      <c r="I185" s="18" t="inlineStr"/>
      <c r="J185" s="14" t="inlineStr"/>
      <c r="K185" s="15" t="inlineStr"/>
      <c r="L185" s="15" t="inlineStr"/>
      <c r="M185" s="14" t="inlineStr"/>
      <c r="N185" s="11" t="inlineStr"/>
      <c r="O185" s="18" t="inlineStr"/>
      <c r="P185" s="18" t="inlineStr"/>
      <c r="Q185" s="18" t="inlineStr"/>
      <c r="R185" s="18" t="inlineStr"/>
      <c r="S185" s="18" t="inlineStr"/>
      <c r="T185" s="18">
        <f>SUM(O185:S185)</f>
        <v/>
      </c>
      <c r="U185" s="18" t="inlineStr"/>
      <c r="V185" s="18" t="inlineStr"/>
      <c r="W185" s="18" t="inlineStr"/>
      <c r="X185" s="18" t="inlineStr"/>
      <c r="Y185" s="18">
        <f>SUM(U185:X185)</f>
        <v/>
      </c>
      <c r="Z185" s="18" t="inlineStr"/>
      <c r="AA185" s="18" t="inlineStr"/>
      <c r="AB185" s="14" t="inlineStr"/>
      <c r="AC185" s="14" t="inlineStr"/>
    </row>
    <row r="186">
      <c r="A186" s="12" t="inlineStr"/>
      <c r="B186" s="14" t="inlineStr"/>
      <c r="C186" s="14" t="inlineStr"/>
      <c r="D186" s="14" t="inlineStr"/>
      <c r="E186" s="17" t="inlineStr"/>
      <c r="F186" s="17" t="inlineStr"/>
      <c r="G186" s="14" t="inlineStr"/>
      <c r="H186" s="14" t="inlineStr"/>
      <c r="I186" s="18" t="inlineStr"/>
      <c r="J186" s="14" t="inlineStr"/>
      <c r="K186" s="15" t="inlineStr"/>
      <c r="L186" s="15" t="inlineStr"/>
      <c r="M186" s="14" t="inlineStr"/>
      <c r="N186" s="11" t="inlineStr"/>
      <c r="O186" s="18" t="inlineStr"/>
      <c r="P186" s="18" t="inlineStr"/>
      <c r="Q186" s="18" t="inlineStr"/>
      <c r="R186" s="18" t="inlineStr"/>
      <c r="S186" s="18" t="inlineStr"/>
      <c r="T186" s="18">
        <f>SUM(O186:S186)</f>
        <v/>
      </c>
      <c r="U186" s="18" t="inlineStr"/>
      <c r="V186" s="18" t="inlineStr"/>
      <c r="W186" s="18" t="inlineStr"/>
      <c r="X186" s="18" t="inlineStr"/>
      <c r="Y186" s="18">
        <f>SUM(U186:X186)</f>
        <v/>
      </c>
      <c r="Z186" s="18" t="inlineStr"/>
      <c r="AA186" s="18" t="inlineStr"/>
      <c r="AB186" s="14" t="inlineStr"/>
      <c r="AC186" s="14" t="inlineStr"/>
    </row>
    <row r="187">
      <c r="A187" s="12" t="inlineStr"/>
      <c r="B187" s="14" t="inlineStr"/>
      <c r="C187" s="14" t="inlineStr"/>
      <c r="D187" s="14" t="inlineStr"/>
      <c r="E187" s="17" t="inlineStr"/>
      <c r="F187" s="17" t="inlineStr"/>
      <c r="G187" s="14" t="inlineStr"/>
      <c r="H187" s="14" t="inlineStr"/>
      <c r="I187" s="18" t="inlineStr"/>
      <c r="J187" s="14" t="inlineStr"/>
      <c r="K187" s="15" t="inlineStr"/>
      <c r="L187" s="15" t="inlineStr"/>
      <c r="M187" s="14" t="inlineStr"/>
      <c r="N187" s="11" t="inlineStr"/>
      <c r="O187" s="18" t="inlineStr"/>
      <c r="P187" s="18" t="inlineStr"/>
      <c r="Q187" s="18" t="inlineStr"/>
      <c r="R187" s="18" t="inlineStr"/>
      <c r="S187" s="18" t="inlineStr"/>
      <c r="T187" s="18">
        <f>SUM(O187:S187)</f>
        <v/>
      </c>
      <c r="U187" s="18" t="inlineStr"/>
      <c r="V187" s="18" t="inlineStr"/>
      <c r="W187" s="18" t="inlineStr"/>
      <c r="X187" s="18" t="inlineStr"/>
      <c r="Y187" s="18">
        <f>SUM(U187:X187)</f>
        <v/>
      </c>
      <c r="Z187" s="18" t="inlineStr"/>
      <c r="AA187" s="18" t="inlineStr"/>
      <c r="AB187" s="14" t="inlineStr"/>
      <c r="AC187" s="14" t="inlineStr"/>
    </row>
    <row r="188">
      <c r="A188" s="12" t="inlineStr"/>
      <c r="B188" s="14" t="inlineStr"/>
      <c r="C188" s="14" t="inlineStr"/>
      <c r="D188" s="14" t="inlineStr"/>
      <c r="E188" s="17" t="inlineStr"/>
      <c r="F188" s="17" t="inlineStr"/>
      <c r="G188" s="14" t="inlineStr"/>
      <c r="H188" s="14" t="inlineStr"/>
      <c r="I188" s="18" t="inlineStr"/>
      <c r="J188" s="14" t="inlineStr"/>
      <c r="K188" s="15" t="inlineStr"/>
      <c r="L188" s="15" t="inlineStr"/>
      <c r="M188" s="14" t="inlineStr"/>
      <c r="N188" s="11" t="inlineStr"/>
      <c r="O188" s="18" t="inlineStr"/>
      <c r="P188" s="18" t="inlineStr"/>
      <c r="Q188" s="18" t="inlineStr"/>
      <c r="R188" s="18" t="inlineStr"/>
      <c r="S188" s="18" t="inlineStr"/>
      <c r="T188" s="18">
        <f>SUM(O188:S188)</f>
        <v/>
      </c>
      <c r="U188" s="18" t="inlineStr"/>
      <c r="V188" s="18" t="inlineStr"/>
      <c r="W188" s="18" t="inlineStr"/>
      <c r="X188" s="18" t="inlineStr"/>
      <c r="Y188" s="18">
        <f>SUM(U188:X188)</f>
        <v/>
      </c>
      <c r="Z188" s="18" t="inlineStr"/>
      <c r="AA188" s="18" t="inlineStr"/>
      <c r="AB188" s="14" t="inlineStr"/>
      <c r="AC188" s="14" t="inlineStr"/>
    </row>
    <row r="189">
      <c r="A189" s="12" t="inlineStr"/>
      <c r="B189" s="14" t="inlineStr"/>
      <c r="C189" s="14" t="inlineStr"/>
      <c r="D189" s="14" t="inlineStr"/>
      <c r="E189" s="17" t="inlineStr"/>
      <c r="F189" s="17" t="inlineStr"/>
      <c r="G189" s="14" t="inlineStr"/>
      <c r="H189" s="14" t="inlineStr"/>
      <c r="I189" s="18" t="inlineStr"/>
      <c r="J189" s="14" t="inlineStr"/>
      <c r="K189" s="15" t="inlineStr"/>
      <c r="L189" s="15" t="inlineStr"/>
      <c r="M189" s="14" t="inlineStr"/>
      <c r="N189" s="11" t="inlineStr"/>
      <c r="O189" s="18" t="inlineStr"/>
      <c r="P189" s="18" t="inlineStr"/>
      <c r="Q189" s="18" t="inlineStr"/>
      <c r="R189" s="18" t="inlineStr"/>
      <c r="S189" s="18" t="inlineStr"/>
      <c r="T189" s="18">
        <f>SUM(O189:S189)</f>
        <v/>
      </c>
      <c r="U189" s="18" t="inlineStr"/>
      <c r="V189" s="18" t="inlineStr"/>
      <c r="W189" s="18" t="inlineStr"/>
      <c r="X189" s="18" t="inlineStr"/>
      <c r="Y189" s="18">
        <f>SUM(U189:X189)</f>
        <v/>
      </c>
      <c r="Z189" s="18" t="inlineStr"/>
      <c r="AA189" s="18" t="inlineStr"/>
      <c r="AB189" s="14" t="inlineStr"/>
      <c r="AC189" s="14" t="inlineStr"/>
    </row>
    <row r="190">
      <c r="A190" s="12" t="inlineStr"/>
      <c r="B190" s="14" t="inlineStr"/>
      <c r="C190" s="14" t="inlineStr"/>
      <c r="D190" s="14" t="inlineStr"/>
      <c r="E190" s="17" t="inlineStr"/>
      <c r="F190" s="17" t="inlineStr"/>
      <c r="G190" s="14" t="inlineStr"/>
      <c r="H190" s="14" t="inlineStr"/>
      <c r="I190" s="18" t="inlineStr"/>
      <c r="J190" s="14" t="inlineStr"/>
      <c r="K190" s="15" t="inlineStr"/>
      <c r="L190" s="15" t="inlineStr"/>
      <c r="M190" s="14" t="inlineStr"/>
      <c r="N190" s="11" t="inlineStr"/>
      <c r="O190" s="18" t="inlineStr"/>
      <c r="P190" s="18" t="inlineStr"/>
      <c r="Q190" s="18" t="inlineStr"/>
      <c r="R190" s="18" t="inlineStr"/>
      <c r="S190" s="18" t="inlineStr"/>
      <c r="T190" s="18">
        <f>SUM(O190:S190)</f>
        <v/>
      </c>
      <c r="U190" s="18" t="inlineStr"/>
      <c r="V190" s="18" t="inlineStr"/>
      <c r="W190" s="18" t="inlineStr"/>
      <c r="X190" s="18" t="inlineStr"/>
      <c r="Y190" s="18">
        <f>SUM(U190:X190)</f>
        <v/>
      </c>
      <c r="Z190" s="18" t="inlineStr"/>
      <c r="AA190" s="18" t="inlineStr"/>
      <c r="AB190" s="14" t="inlineStr"/>
      <c r="AC190" s="14" t="inlineStr"/>
    </row>
    <row r="191">
      <c r="A191" s="12" t="inlineStr"/>
      <c r="B191" s="14" t="inlineStr"/>
      <c r="C191" s="14" t="inlineStr"/>
      <c r="D191" s="14" t="inlineStr"/>
      <c r="E191" s="17" t="inlineStr"/>
      <c r="F191" s="17" t="inlineStr"/>
      <c r="G191" s="14" t="inlineStr"/>
      <c r="H191" s="14" t="inlineStr"/>
      <c r="I191" s="18" t="inlineStr"/>
      <c r="J191" s="14" t="inlineStr"/>
      <c r="K191" s="15" t="inlineStr"/>
      <c r="L191" s="15" t="inlineStr"/>
      <c r="M191" s="14" t="inlineStr"/>
      <c r="N191" s="11" t="inlineStr"/>
      <c r="O191" s="18" t="inlineStr"/>
      <c r="P191" s="18" t="inlineStr"/>
      <c r="Q191" s="18" t="inlineStr"/>
      <c r="R191" s="18" t="inlineStr"/>
      <c r="S191" s="18" t="inlineStr"/>
      <c r="T191" s="18">
        <f>SUM(O191:S191)</f>
        <v/>
      </c>
      <c r="U191" s="18" t="inlineStr"/>
      <c r="V191" s="18" t="inlineStr"/>
      <c r="W191" s="18" t="inlineStr"/>
      <c r="X191" s="18" t="inlineStr"/>
      <c r="Y191" s="18">
        <f>SUM(U191:X191)</f>
        <v/>
      </c>
      <c r="Z191" s="18" t="inlineStr"/>
      <c r="AA191" s="18" t="inlineStr"/>
      <c r="AB191" s="14" t="inlineStr"/>
      <c r="AC191" s="14" t="inlineStr"/>
    </row>
    <row r="192">
      <c r="A192" s="12" t="inlineStr"/>
      <c r="B192" s="14" t="inlineStr"/>
      <c r="C192" s="14" t="inlineStr"/>
      <c r="D192" s="14" t="inlineStr"/>
      <c r="E192" s="17" t="inlineStr"/>
      <c r="F192" s="17" t="inlineStr"/>
      <c r="G192" s="14" t="inlineStr"/>
      <c r="H192" s="14" t="inlineStr"/>
      <c r="I192" s="18" t="inlineStr"/>
      <c r="J192" s="14" t="inlineStr"/>
      <c r="K192" s="15" t="inlineStr"/>
      <c r="L192" s="15" t="inlineStr"/>
      <c r="M192" s="14" t="inlineStr"/>
      <c r="N192" s="11" t="inlineStr"/>
      <c r="O192" s="18" t="inlineStr"/>
      <c r="P192" s="18" t="inlineStr"/>
      <c r="Q192" s="18" t="inlineStr"/>
      <c r="R192" s="18" t="inlineStr"/>
      <c r="S192" s="18" t="inlineStr"/>
      <c r="T192" s="18">
        <f>SUM(O192:S192)</f>
        <v/>
      </c>
      <c r="U192" s="18" t="inlineStr"/>
      <c r="V192" s="18" t="inlineStr"/>
      <c r="W192" s="18" t="inlineStr"/>
      <c r="X192" s="18" t="inlineStr"/>
      <c r="Y192" s="18">
        <f>SUM(U192:X192)</f>
        <v/>
      </c>
      <c r="Z192" s="18" t="inlineStr"/>
      <c r="AA192" s="18" t="inlineStr"/>
      <c r="AB192" s="14" t="inlineStr"/>
      <c r="AC192" s="14" t="inlineStr"/>
    </row>
    <row r="193">
      <c r="A193" s="12" t="inlineStr"/>
      <c r="B193" s="14" t="inlineStr"/>
      <c r="C193" s="14" t="inlineStr"/>
      <c r="D193" s="14" t="inlineStr"/>
      <c r="E193" s="17" t="inlineStr"/>
      <c r="F193" s="17" t="inlineStr"/>
      <c r="G193" s="14" t="inlineStr"/>
      <c r="H193" s="14" t="inlineStr"/>
      <c r="I193" s="18" t="inlineStr"/>
      <c r="J193" s="14" t="inlineStr"/>
      <c r="K193" s="15" t="inlineStr"/>
      <c r="L193" s="15" t="inlineStr"/>
      <c r="M193" s="14" t="inlineStr"/>
      <c r="N193" s="11" t="inlineStr"/>
      <c r="O193" s="18" t="inlineStr"/>
      <c r="P193" s="18" t="inlineStr"/>
      <c r="Q193" s="18" t="inlineStr"/>
      <c r="R193" s="18" t="inlineStr"/>
      <c r="S193" s="18" t="inlineStr"/>
      <c r="T193" s="18">
        <f>SUM(O193:S193)</f>
        <v/>
      </c>
      <c r="U193" s="18" t="inlineStr"/>
      <c r="V193" s="18" t="inlineStr"/>
      <c r="W193" s="18" t="inlineStr"/>
      <c r="X193" s="18" t="inlineStr"/>
      <c r="Y193" s="18">
        <f>SUM(U193:X193)</f>
        <v/>
      </c>
      <c r="Z193" s="18" t="inlineStr"/>
      <c r="AA193" s="18" t="inlineStr"/>
      <c r="AB193" s="14" t="inlineStr"/>
      <c r="AC193" s="14" t="inlineStr"/>
    </row>
    <row r="194">
      <c r="A194" s="12" t="inlineStr"/>
      <c r="B194" s="14" t="inlineStr"/>
      <c r="C194" s="14" t="inlineStr"/>
      <c r="D194" s="14" t="inlineStr"/>
      <c r="E194" s="17" t="inlineStr"/>
      <c r="F194" s="17" t="inlineStr"/>
      <c r="G194" s="14" t="inlineStr"/>
      <c r="H194" s="14" t="inlineStr"/>
      <c r="I194" s="18" t="inlineStr"/>
      <c r="J194" s="14" t="inlineStr"/>
      <c r="K194" s="15" t="inlineStr"/>
      <c r="L194" s="15" t="inlineStr"/>
      <c r="M194" s="14" t="inlineStr"/>
      <c r="N194" s="11" t="inlineStr"/>
      <c r="O194" s="18" t="inlineStr"/>
      <c r="P194" s="18" t="inlineStr"/>
      <c r="Q194" s="18" t="inlineStr"/>
      <c r="R194" s="18" t="inlineStr"/>
      <c r="S194" s="18" t="inlineStr"/>
      <c r="T194" s="18">
        <f>SUM(O194:S194)</f>
        <v/>
      </c>
      <c r="U194" s="18" t="inlineStr"/>
      <c r="V194" s="18" t="inlineStr"/>
      <c r="W194" s="18" t="inlineStr"/>
      <c r="X194" s="18" t="inlineStr"/>
      <c r="Y194" s="18">
        <f>SUM(U194:X194)</f>
        <v/>
      </c>
      <c r="Z194" s="18" t="inlineStr"/>
      <c r="AA194" s="18" t="inlineStr"/>
      <c r="AB194" s="14" t="inlineStr"/>
      <c r="AC194" s="14" t="inlineStr"/>
    </row>
    <row r="195">
      <c r="A195" s="12" t="inlineStr"/>
      <c r="B195" s="14" t="inlineStr"/>
      <c r="C195" s="14" t="inlineStr"/>
      <c r="D195" s="14" t="inlineStr"/>
      <c r="E195" s="17" t="inlineStr"/>
      <c r="F195" s="17" t="inlineStr"/>
      <c r="G195" s="14" t="inlineStr"/>
      <c r="H195" s="14" t="inlineStr"/>
      <c r="I195" s="18" t="inlineStr"/>
      <c r="J195" s="14" t="inlineStr"/>
      <c r="K195" s="15" t="inlineStr"/>
      <c r="L195" s="15" t="inlineStr"/>
      <c r="M195" s="14" t="inlineStr"/>
      <c r="N195" s="11" t="inlineStr"/>
      <c r="O195" s="18" t="inlineStr"/>
      <c r="P195" s="18" t="inlineStr"/>
      <c r="Q195" s="18" t="inlineStr"/>
      <c r="R195" s="18" t="inlineStr"/>
      <c r="S195" s="18" t="inlineStr"/>
      <c r="T195" s="18">
        <f>SUM(O195:S195)</f>
        <v/>
      </c>
      <c r="U195" s="18" t="inlineStr"/>
      <c r="V195" s="18" t="inlineStr"/>
      <c r="W195" s="18" t="inlineStr"/>
      <c r="X195" s="18" t="inlineStr"/>
      <c r="Y195" s="18">
        <f>SUM(U195:X195)</f>
        <v/>
      </c>
      <c r="Z195" s="18" t="inlineStr"/>
      <c r="AA195" s="18" t="inlineStr"/>
      <c r="AB195" s="14" t="inlineStr"/>
      <c r="AC195" s="14" t="inlineStr"/>
    </row>
    <row r="196">
      <c r="A196" s="12" t="inlineStr"/>
      <c r="B196" s="14" t="inlineStr"/>
      <c r="C196" s="14" t="inlineStr"/>
      <c r="D196" s="14" t="inlineStr"/>
      <c r="E196" s="17" t="inlineStr"/>
      <c r="F196" s="17" t="inlineStr"/>
      <c r="G196" s="14" t="inlineStr"/>
      <c r="H196" s="14" t="inlineStr"/>
      <c r="I196" s="18" t="inlineStr"/>
      <c r="J196" s="14" t="inlineStr"/>
      <c r="K196" s="15" t="inlineStr"/>
      <c r="L196" s="15" t="inlineStr"/>
      <c r="M196" s="14" t="inlineStr"/>
      <c r="N196" s="11" t="inlineStr"/>
      <c r="O196" s="18" t="inlineStr"/>
      <c r="P196" s="18" t="inlineStr"/>
      <c r="Q196" s="18" t="inlineStr"/>
      <c r="R196" s="18" t="inlineStr"/>
      <c r="S196" s="18" t="inlineStr"/>
      <c r="T196" s="18">
        <f>SUM(O196:S196)</f>
        <v/>
      </c>
      <c r="U196" s="18" t="inlineStr"/>
      <c r="V196" s="18" t="inlineStr"/>
      <c r="W196" s="18" t="inlineStr"/>
      <c r="X196" s="18" t="inlineStr"/>
      <c r="Y196" s="18">
        <f>SUM(U196:X196)</f>
        <v/>
      </c>
      <c r="Z196" s="18" t="inlineStr"/>
      <c r="AA196" s="18" t="inlineStr"/>
      <c r="AB196" s="14" t="inlineStr"/>
      <c r="AC196" s="14" t="inlineStr"/>
    </row>
    <row r="197">
      <c r="A197" s="12" t="inlineStr"/>
      <c r="B197" s="14" t="inlineStr"/>
      <c r="C197" s="14" t="inlineStr"/>
      <c r="D197" s="14" t="inlineStr"/>
      <c r="E197" s="17" t="inlineStr"/>
      <c r="F197" s="17" t="inlineStr"/>
      <c r="G197" s="14" t="inlineStr"/>
      <c r="H197" s="14" t="inlineStr"/>
      <c r="I197" s="18" t="inlineStr"/>
      <c r="J197" s="14" t="inlineStr"/>
      <c r="K197" s="15" t="inlineStr"/>
      <c r="L197" s="15" t="inlineStr"/>
      <c r="M197" s="14" t="inlineStr"/>
      <c r="N197" s="11" t="inlineStr"/>
      <c r="O197" s="18" t="inlineStr"/>
      <c r="P197" s="18" t="inlineStr"/>
      <c r="Q197" s="18" t="inlineStr"/>
      <c r="R197" s="18" t="inlineStr"/>
      <c r="S197" s="18" t="inlineStr"/>
      <c r="T197" s="18">
        <f>SUM(O197:S197)</f>
        <v/>
      </c>
      <c r="U197" s="18" t="inlineStr"/>
      <c r="V197" s="18" t="inlineStr"/>
      <c r="W197" s="18" t="inlineStr"/>
      <c r="X197" s="18" t="inlineStr"/>
      <c r="Y197" s="18">
        <f>SUM(U197:X197)</f>
        <v/>
      </c>
      <c r="Z197" s="18" t="inlineStr"/>
      <c r="AA197" s="18" t="inlineStr"/>
      <c r="AB197" s="14" t="inlineStr"/>
      <c r="AC197" s="14" t="inlineStr"/>
    </row>
    <row r="198">
      <c r="A198" s="12" t="inlineStr"/>
      <c r="B198" s="14" t="inlineStr"/>
      <c r="C198" s="14" t="inlineStr"/>
      <c r="D198" s="14" t="inlineStr"/>
      <c r="E198" s="17" t="inlineStr"/>
      <c r="F198" s="17" t="inlineStr"/>
      <c r="G198" s="14" t="inlineStr"/>
      <c r="H198" s="14" t="inlineStr"/>
      <c r="I198" s="18" t="inlineStr"/>
      <c r="J198" s="14" t="inlineStr"/>
      <c r="K198" s="15" t="inlineStr"/>
      <c r="L198" s="15" t="inlineStr"/>
      <c r="M198" s="14" t="inlineStr"/>
      <c r="N198" s="11" t="inlineStr"/>
      <c r="O198" s="18" t="inlineStr"/>
      <c r="P198" s="18" t="inlineStr"/>
      <c r="Q198" s="18" t="inlineStr"/>
      <c r="R198" s="18" t="inlineStr"/>
      <c r="S198" s="18" t="inlineStr"/>
      <c r="T198" s="18">
        <f>SUM(O198:S198)</f>
        <v/>
      </c>
      <c r="U198" s="18" t="inlineStr"/>
      <c r="V198" s="18" t="inlineStr"/>
      <c r="W198" s="18" t="inlineStr"/>
      <c r="X198" s="18" t="inlineStr"/>
      <c r="Y198" s="18">
        <f>SUM(U198:X198)</f>
        <v/>
      </c>
      <c r="Z198" s="18" t="inlineStr"/>
      <c r="AA198" s="18" t="inlineStr"/>
      <c r="AB198" s="14" t="inlineStr"/>
      <c r="AC198" s="14" t="inlineStr"/>
    </row>
    <row r="199">
      <c r="A199" s="12" t="inlineStr"/>
      <c r="B199" s="14" t="inlineStr"/>
      <c r="C199" s="14" t="inlineStr"/>
      <c r="D199" s="14" t="inlineStr"/>
      <c r="E199" s="17" t="inlineStr"/>
      <c r="F199" s="17" t="inlineStr"/>
      <c r="G199" s="14" t="inlineStr"/>
      <c r="H199" s="14" t="inlineStr"/>
      <c r="I199" s="18" t="inlineStr"/>
      <c r="J199" s="14" t="inlineStr"/>
      <c r="K199" s="15" t="inlineStr"/>
      <c r="L199" s="15" t="inlineStr"/>
      <c r="M199" s="14" t="inlineStr"/>
      <c r="N199" s="11" t="inlineStr"/>
      <c r="O199" s="18" t="inlineStr"/>
      <c r="P199" s="18" t="inlineStr"/>
      <c r="Q199" s="18" t="inlineStr"/>
      <c r="R199" s="18" t="inlineStr"/>
      <c r="S199" s="18" t="inlineStr"/>
      <c r="T199" s="18">
        <f>SUM(O199:S199)</f>
        <v/>
      </c>
      <c r="U199" s="18" t="inlineStr"/>
      <c r="V199" s="18" t="inlineStr"/>
      <c r="W199" s="18" t="inlineStr"/>
      <c r="X199" s="18" t="inlineStr"/>
      <c r="Y199" s="18">
        <f>SUM(U199:X199)</f>
        <v/>
      </c>
      <c r="Z199" s="18" t="inlineStr"/>
      <c r="AA199" s="18" t="inlineStr"/>
      <c r="AB199" s="14" t="inlineStr"/>
      <c r="AC199" s="14" t="inlineStr"/>
    </row>
    <row r="200">
      <c r="A200" s="12" t="inlineStr"/>
      <c r="B200" s="14" t="inlineStr"/>
      <c r="C200" s="14" t="inlineStr"/>
      <c r="D200" s="14" t="inlineStr"/>
      <c r="E200" s="17" t="inlineStr"/>
      <c r="F200" s="17" t="inlineStr"/>
      <c r="G200" s="14" t="inlineStr"/>
      <c r="H200" s="14" t="inlineStr"/>
      <c r="I200" s="18" t="inlineStr"/>
      <c r="J200" s="14" t="inlineStr"/>
      <c r="K200" s="15" t="inlineStr"/>
      <c r="L200" s="15" t="inlineStr"/>
      <c r="M200" s="14" t="inlineStr"/>
      <c r="N200" s="11" t="inlineStr"/>
      <c r="O200" s="18" t="inlineStr"/>
      <c r="P200" s="18" t="inlineStr"/>
      <c r="Q200" s="18" t="inlineStr"/>
      <c r="R200" s="18" t="inlineStr"/>
      <c r="S200" s="18" t="inlineStr"/>
      <c r="T200" s="18">
        <f>SUM(O200:S200)</f>
        <v/>
      </c>
      <c r="U200" s="18" t="inlineStr"/>
      <c r="V200" s="18" t="inlineStr"/>
      <c r="W200" s="18" t="inlineStr"/>
      <c r="X200" s="18" t="inlineStr"/>
      <c r="Y200" s="18">
        <f>SUM(U200:X200)</f>
        <v/>
      </c>
      <c r="Z200" s="18" t="inlineStr"/>
      <c r="AA200" s="18" t="inlineStr"/>
      <c r="AB200" s="14" t="inlineStr"/>
      <c r="AC200" s="14" t="inlineStr"/>
    </row>
    <row r="201">
      <c r="A201" s="12" t="inlineStr"/>
      <c r="B201" s="14" t="inlineStr"/>
      <c r="C201" s="14" t="inlineStr"/>
      <c r="D201" s="14" t="inlineStr"/>
      <c r="E201" s="17" t="inlineStr"/>
      <c r="F201" s="17" t="inlineStr"/>
      <c r="G201" s="14" t="inlineStr"/>
      <c r="H201" s="14" t="inlineStr"/>
      <c r="I201" s="18" t="inlineStr"/>
      <c r="J201" s="14" t="inlineStr"/>
      <c r="K201" s="15" t="inlineStr"/>
      <c r="L201" s="15" t="inlineStr"/>
      <c r="M201" s="14" t="inlineStr"/>
      <c r="N201" s="11" t="inlineStr"/>
      <c r="O201" s="18" t="inlineStr"/>
      <c r="P201" s="18" t="inlineStr"/>
      <c r="Q201" s="18" t="inlineStr"/>
      <c r="R201" s="18" t="inlineStr"/>
      <c r="S201" s="18" t="inlineStr"/>
      <c r="T201" s="18">
        <f>SUM(O201:S201)</f>
        <v/>
      </c>
      <c r="U201" s="18" t="inlineStr"/>
      <c r="V201" s="18" t="inlineStr"/>
      <c r="W201" s="18" t="inlineStr"/>
      <c r="X201" s="18" t="inlineStr"/>
      <c r="Y201" s="18">
        <f>SUM(U201:X201)</f>
        <v/>
      </c>
      <c r="Z201" s="18" t="inlineStr"/>
      <c r="AA201" s="18" t="inlineStr"/>
      <c r="AB201" s="14" t="inlineStr"/>
      <c r="AC201" s="14" t="inlineStr"/>
    </row>
  </sheetData>
  <dataValidations count="2">
    <dataValidation sqref="J2:J201" showDropDown="0" showInputMessage="0" showErrorMessage="0" allowBlank="1" type="list">
      <formula1>"%,absolut"</formula1>
    </dataValidation>
    <dataValidation sqref="M2:M201" showDropDown="0" showInputMessage="0" showErrorMessage="0" allowBlank="1" type="list">
      <formula1>=VariableNames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3" t="inlineStr">
        <is>
          <t>KPI_Liste (Spill)</t>
        </is>
      </c>
    </row>
    <row r="2">
      <c r="A2" s="19">
        <f>SORT(UNIQUE(FILTER(Actions!G2:G201,Actions!G2:G201&lt;&gt;"")))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9"/>
  <sheetViews>
    <sheetView showGridLines="0" workbookViewId="0">
      <pane ySplit="30" topLeftCell="A31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8" customWidth="1" min="11" max="11"/>
    <col width="12" customWidth="1" min="12" max="12"/>
    <col width="18" customWidth="1" min="13" max="13"/>
    <col width="22" customWidth="1" min="14" max="14"/>
  </cols>
  <sheetData>
    <row r="1">
      <c r="A1" s="9" t="inlineStr">
        <is>
          <t>Action-Rechner (Detailansicht)</t>
        </is>
      </c>
    </row>
    <row r="2">
      <c r="A2" s="13" t="inlineStr">
        <is>
          <t>Tipp: Wähle eine Action-ID. Eingaben stehen im Blatt Actions. Variablen werden je Kalenderjahr gematcht.</t>
        </is>
      </c>
    </row>
    <row r="3">
      <c r="A3" s="20" t="inlineStr">
        <is>
          <t>Action auswählen (ID)</t>
        </is>
      </c>
      <c r="B3" s="14" t="inlineStr"/>
    </row>
    <row r="5">
      <c r="A5" s="21" t="inlineStr">
        <is>
          <t>Stammdaten &amp; Annahmen</t>
        </is>
      </c>
    </row>
    <row r="6">
      <c r="A6" s="5" t="inlineStr">
        <is>
          <t>Action Name</t>
        </is>
      </c>
      <c r="B6" s="22">
        <f>IFERROR(INDEX(Actions!$B:$B, MATCH($B$3, Actions!$A:$A, 0)), "")</f>
        <v/>
      </c>
    </row>
    <row r="7" ht="60" customHeight="1">
      <c r="A7" s="5" t="inlineStr">
        <is>
          <t>Beschreibung</t>
        </is>
      </c>
      <c r="B7" s="22">
        <f>IFERROR(INDEX(Actions!$C:$C, MATCH($B$3, Actions!$A:$A, 0)), "")</f>
        <v/>
      </c>
    </row>
    <row r="8">
      <c r="A8" s="5" t="inlineStr">
        <is>
          <t>Verantwortlich</t>
        </is>
      </c>
      <c r="B8" s="22">
        <f>IFERROR(INDEX(Actions!$D:$D, MATCH($B$3, Actions!$A:$A, 0)), "")</f>
        <v/>
      </c>
    </row>
    <row r="9">
      <c r="A9" s="5" t="inlineStr">
        <is>
          <t>Startdatum</t>
        </is>
      </c>
      <c r="B9" s="23">
        <f>IFERROR(INDEX(Actions!$E:$E, MATCH($B$3, Actions!$A:$A, 0)), "")</f>
        <v/>
      </c>
    </row>
    <row r="10">
      <c r="A10" s="5" t="inlineStr">
        <is>
          <t>Zieldatum (Go-Live)</t>
        </is>
      </c>
      <c r="B10" s="23">
        <f>IFERROR(INDEX(Actions!$F:$F, MATCH($B$3, Actions!$A:$A, 0)), "")</f>
        <v/>
      </c>
    </row>
    <row r="11">
      <c r="A11" s="5" t="inlineStr">
        <is>
          <t>NH KPI</t>
        </is>
      </c>
      <c r="B11" s="22">
        <f>IFERROR(INDEX(Actions!$G:$G, MATCH($B$3, Actions!$A:$A, 0)), "")</f>
        <v/>
      </c>
    </row>
    <row r="12">
      <c r="A12" s="5" t="inlineStr">
        <is>
          <t>KPI Einheit</t>
        </is>
      </c>
      <c r="B12" s="22">
        <f>IFERROR(INDEX(Actions!$H:$H, MATCH($B$3, Actions!$A:$A, 0)), "")</f>
        <v/>
      </c>
    </row>
    <row r="13">
      <c r="A13" s="5" t="inlineStr">
        <is>
          <t>KPI Baseline p.a.</t>
        </is>
      </c>
      <c r="B13" s="24">
        <f>IFERROR(INDEX(Actions!$I:$I, MATCH($B$3, Actions!$A:$A, 0)), "")</f>
        <v/>
      </c>
    </row>
    <row r="14">
      <c r="A14" s="5" t="inlineStr">
        <is>
          <t>Impact Typ</t>
        </is>
      </c>
      <c r="B14" s="22">
        <f>IFERROR(INDEX(Actions!$J:$J, MATCH($B$3, Actions!$A:$A, 0)), "")</f>
        <v/>
      </c>
    </row>
    <row r="15">
      <c r="A15" s="5" t="inlineStr">
        <is>
          <t>Impact Wert</t>
        </is>
      </c>
      <c r="B15" s="25">
        <f>IFERROR(INDEX(Actions!$K:$K, MATCH($B$3, Actions!$A:$A, 0)), "")</f>
        <v/>
      </c>
    </row>
    <row r="16">
      <c r="A16" s="5" t="inlineStr">
        <is>
          <t>Monetarisierung Fix €/Einheit</t>
        </is>
      </c>
      <c r="B16" s="25">
        <f>IFERROR(INDEX(Actions!$L:$L, MATCH($B$3, Actions!$A:$A, 0)), "")</f>
        <v/>
      </c>
    </row>
    <row r="17">
      <c r="A17" s="5" t="inlineStr">
        <is>
          <t>Monetarisierungs-Variable</t>
        </is>
      </c>
      <c r="B17" s="22">
        <f>IFERROR(INDEX(Actions!$M:$M, MATCH($B$3, Actions!$A:$A, 0)), "")</f>
        <v/>
      </c>
    </row>
    <row r="18">
      <c r="A18" s="5" t="inlineStr">
        <is>
          <t>Abschreibungsdauer (Jahre)</t>
        </is>
      </c>
      <c r="B18" s="26">
        <f>IFERROR(INDEX(Actions!$N:$N, MATCH($B$3, Actions!$A:$A, 0)), "")</f>
        <v/>
      </c>
    </row>
    <row r="19">
      <c r="A19" s="5" t="inlineStr">
        <is>
          <t>CAPEX Total</t>
        </is>
      </c>
      <c r="B19" s="24">
        <f>IFERROR(INDEX(Actions!$T:$T, MATCH($B$3, Actions!$A:$A, 0)), "")</f>
        <v/>
      </c>
      <c r="D19" s="5" t="inlineStr">
        <is>
          <t>Sonst. Nutzen € p.a.</t>
        </is>
      </c>
      <c r="E19" s="24">
        <f>IFERROR(INDEX(Actions!$Z:$Z, MATCH($B$3, Actions!$A:$A, 0)), "")</f>
        <v/>
      </c>
    </row>
    <row r="20">
      <c r="A20" s="5" t="inlineStr">
        <is>
          <t>OPEX Total</t>
        </is>
      </c>
      <c r="B20" s="24">
        <f>IFERROR(INDEX(Actions!$Y:$Y, MATCH($B$3, Actions!$A:$A, 0)), "")</f>
        <v/>
      </c>
      <c r="D20" s="5" t="inlineStr">
        <is>
          <t>Sonst. Kosten € p.a.</t>
        </is>
      </c>
      <c r="E20" s="24">
        <f>IFERROR(INDEX(Actions!$AA:$AA, MATCH($B$3, Actions!$A:$A, 0)), "")</f>
        <v/>
      </c>
    </row>
    <row r="22">
      <c r="A22" s="21" t="inlineStr">
        <is>
          <t>Berechnungen</t>
        </is>
      </c>
    </row>
    <row r="24">
      <c r="A24" s="5" t="inlineStr">
        <is>
          <t>KPI-Reduktion p.a. (Einheiten)</t>
        </is>
      </c>
      <c r="B24" s="16">
        <f>IF($B$14="%", $B$13*$B$15, $B$15)</f>
        <v/>
      </c>
      <c r="C24" s="22">
        <f>B12</f>
        <v/>
      </c>
    </row>
    <row r="25">
      <c r="A25" s="5" t="inlineStr">
        <is>
          <t>Diskontsatz</t>
        </is>
      </c>
      <c r="B25" s="27">
        <f>DiscountRate</f>
        <v/>
      </c>
    </row>
    <row r="26">
      <c r="A26" s="5" t="inlineStr">
        <is>
          <t>TaxRate</t>
        </is>
      </c>
      <c r="B26" s="27">
        <f>TaxRate</f>
        <v/>
      </c>
    </row>
    <row r="27">
      <c r="A27" s="5" t="inlineStr">
        <is>
          <t>Horizont (Jahre)</t>
        </is>
      </c>
      <c r="B27" s="26">
        <f>HorizonYears</f>
        <v/>
      </c>
    </row>
    <row r="30">
      <c r="A30" s="4" t="inlineStr">
        <is>
          <t>Jahr-Index</t>
        </is>
      </c>
      <c r="B30" s="4" t="inlineStr">
        <is>
          <t>Kalenderjahr</t>
        </is>
      </c>
      <c r="C30" s="4" t="inlineStr">
        <is>
          <t>Faktor Go-Live</t>
        </is>
      </c>
      <c r="D30" s="4" t="inlineStr">
        <is>
          <t>€/Einheit (fix oder Variable)</t>
        </is>
      </c>
      <c r="E30" s="4" t="inlineStr">
        <is>
          <t>Nutzen (€)</t>
        </is>
      </c>
      <c r="F30" s="4" t="inlineStr">
        <is>
          <t>OPEX (€)</t>
        </is>
      </c>
      <c r="G30" s="4" t="inlineStr">
        <is>
          <t>Abschreibung (€)</t>
        </is>
      </c>
      <c r="H30" s="4" t="inlineStr">
        <is>
          <t>EBIT (€)</t>
        </is>
      </c>
      <c r="I30" s="4" t="inlineStr">
        <is>
          <t>Steuern (€)</t>
        </is>
      </c>
      <c r="J30" s="4" t="inlineStr">
        <is>
          <t>Netto CF Nachsteuer (€)</t>
        </is>
      </c>
      <c r="K30" s="4" t="inlineStr">
        <is>
          <t>Kum. CF Nachsteuer (€)</t>
        </is>
      </c>
      <c r="L30" s="4" t="inlineStr">
        <is>
          <t>Diskontfaktor</t>
        </is>
      </c>
      <c r="M30" s="4" t="inlineStr">
        <is>
          <t>Disk. CF Nachsteuer (€)</t>
        </is>
      </c>
      <c r="N30" s="4" t="inlineStr">
        <is>
          <t>Kum. disk. CF Nachsteuer (€)</t>
        </is>
      </c>
    </row>
    <row r="31">
      <c r="A31" s="28" t="n">
        <v>0</v>
      </c>
      <c r="B31" s="28">
        <f>IF($B$9="","",YEAR($B$9)+A31)</f>
        <v/>
      </c>
      <c r="C31" s="16">
        <f>IF(B31="","",IF(B31&lt;YEAR($B$10),0,IF(B31&gt;YEAR($B$10),1,(12-MONTH($B$10)+1)/12)))</f>
        <v/>
      </c>
      <c r="D31" s="16">
        <f>IF($B$17="",$B$16,IFERROR(IF(INDEX(Variablen!$I:$AT, MATCH($B$17, Variablen!$A:$A, 0), MATCH(B31, Variablen!$I$3:$AT$3, 0))="",$B$16,INDEX(Variablen!$I:$AT, MATCH($B$17, Variablen!$A:$A, 0), MATCH(B31, Variablen!$I$3:$AT$3, 0))),$B$16))</f>
        <v/>
      </c>
      <c r="E31" s="29">
        <f>$B$24*D31*C31 + $E$19*C31</f>
        <v/>
      </c>
      <c r="F31" s="29">
        <f>$B$20*C31 + $E$20*C31</f>
        <v/>
      </c>
      <c r="G31" s="29">
        <f>IF(OR($B$18="",$B$18&lt;=0),0,($B$19/$B$18)*(IF(OR($B$18="",$B$18&lt;=0),0,IF(B31&lt;YEAR($B$10),0,IF(B31&gt;=YEAR($B$10)+$B$18,0,IF(B31=YEAR($B$10),(12-MONTH($B$10)+1)/12,1))))))</f>
        <v/>
      </c>
      <c r="H31" s="29">
        <f>E31-F31-G31</f>
        <v/>
      </c>
      <c r="I31" s="29">
        <f>IF(H31&gt;0,H31*$B$26,0)</f>
        <v/>
      </c>
      <c r="J31" s="29">
        <f>E31-F31-I31-IF(A31=0,$B$19,0)</f>
        <v/>
      </c>
      <c r="K31" s="29">
        <f>J31</f>
        <v/>
      </c>
      <c r="L31" s="16">
        <f>1/(1+$B$25)^(A31)</f>
        <v/>
      </c>
      <c r="M31" s="29">
        <f>J31*L31</f>
        <v/>
      </c>
      <c r="N31" s="29">
        <f>M31</f>
        <v/>
      </c>
    </row>
    <row r="32">
      <c r="A32" s="28" t="n">
        <v>1</v>
      </c>
      <c r="B32" s="28">
        <f>IF($B$9="","",YEAR($B$9)+A32)</f>
        <v/>
      </c>
      <c r="C32" s="16">
        <f>IF(B32="","",IF(B32&lt;YEAR($B$10),0,IF(B32&gt;YEAR($B$10),1,(12-MONTH($B$10)+1)/12)))</f>
        <v/>
      </c>
      <c r="D32" s="16">
        <f>IF($B$17="",$B$16,IFERROR(IF(INDEX(Variablen!$I:$AT, MATCH($B$17, Variablen!$A:$A, 0), MATCH(B32, Variablen!$I$3:$AT$3, 0))="",$B$16,INDEX(Variablen!$I:$AT, MATCH($B$17, Variablen!$A:$A, 0), MATCH(B32, Variablen!$I$3:$AT$3, 0))),$B$16))</f>
        <v/>
      </c>
      <c r="E32" s="29">
        <f>$B$24*D32*C32 + $E$19*C32</f>
        <v/>
      </c>
      <c r="F32" s="29">
        <f>$B$20*C32 + $E$20*C32</f>
        <v/>
      </c>
      <c r="G32" s="29">
        <f>IF(OR($B$18="",$B$18&lt;=0),0,($B$19/$B$18)*(IF(OR($B$18="",$B$18&lt;=0),0,IF(B32&lt;YEAR($B$10),0,IF(B32&gt;=YEAR($B$10)+$B$18,0,IF(B32=YEAR($B$10),(12-MONTH($B$10)+1)/12,1))))))</f>
        <v/>
      </c>
      <c r="H32" s="29">
        <f>E32-F32-G32</f>
        <v/>
      </c>
      <c r="I32" s="29">
        <f>IF(H32&gt;0,H32*$B$26,0)</f>
        <v/>
      </c>
      <c r="J32" s="29">
        <f>E32-F32-I32-IF(A32=0,$B$19,0)</f>
        <v/>
      </c>
      <c r="K32" s="29">
        <f>K31+J32</f>
        <v/>
      </c>
      <c r="L32" s="16">
        <f>1/(1+$B$25)^(A32)</f>
        <v/>
      </c>
      <c r="M32" s="29">
        <f>J32*L32</f>
        <v/>
      </c>
      <c r="N32" s="29">
        <f>N31+M32</f>
        <v/>
      </c>
    </row>
    <row r="33">
      <c r="A33" s="28" t="n">
        <v>2</v>
      </c>
      <c r="B33" s="28">
        <f>IF($B$9="","",YEAR($B$9)+A33)</f>
        <v/>
      </c>
      <c r="C33" s="16">
        <f>IF(B33="","",IF(B33&lt;YEAR($B$10),0,IF(B33&gt;YEAR($B$10),1,(12-MONTH($B$10)+1)/12)))</f>
        <v/>
      </c>
      <c r="D33" s="16">
        <f>IF($B$17="",$B$16,IFERROR(IF(INDEX(Variablen!$I:$AT, MATCH($B$17, Variablen!$A:$A, 0), MATCH(B33, Variablen!$I$3:$AT$3, 0))="",$B$16,INDEX(Variablen!$I:$AT, MATCH($B$17, Variablen!$A:$A, 0), MATCH(B33, Variablen!$I$3:$AT$3, 0))),$B$16))</f>
        <v/>
      </c>
      <c r="E33" s="29">
        <f>$B$24*D33*C33 + $E$19*C33</f>
        <v/>
      </c>
      <c r="F33" s="29">
        <f>$B$20*C33 + $E$20*C33</f>
        <v/>
      </c>
      <c r="G33" s="29">
        <f>IF(OR($B$18="",$B$18&lt;=0),0,($B$19/$B$18)*(IF(OR($B$18="",$B$18&lt;=0),0,IF(B33&lt;YEAR($B$10),0,IF(B33&gt;=YEAR($B$10)+$B$18,0,IF(B33=YEAR($B$10),(12-MONTH($B$10)+1)/12,1))))))</f>
        <v/>
      </c>
      <c r="H33" s="29">
        <f>E33-F33-G33</f>
        <v/>
      </c>
      <c r="I33" s="29">
        <f>IF(H33&gt;0,H33*$B$26,0)</f>
        <v/>
      </c>
      <c r="J33" s="29">
        <f>E33-F33-I33-IF(A33=0,$B$19,0)</f>
        <v/>
      </c>
      <c r="K33" s="29">
        <f>K32+J33</f>
        <v/>
      </c>
      <c r="L33" s="16">
        <f>1/(1+$B$25)^(A33)</f>
        <v/>
      </c>
      <c r="M33" s="29">
        <f>J33*L33</f>
        <v/>
      </c>
      <c r="N33" s="29">
        <f>N32+M33</f>
        <v/>
      </c>
    </row>
    <row r="34">
      <c r="A34" s="28" t="n">
        <v>3</v>
      </c>
      <c r="B34" s="28">
        <f>IF($B$9="","",YEAR($B$9)+A34)</f>
        <v/>
      </c>
      <c r="C34" s="16">
        <f>IF(B34="","",IF(B34&lt;YEAR($B$10),0,IF(B34&gt;YEAR($B$10),1,(12-MONTH($B$10)+1)/12)))</f>
        <v/>
      </c>
      <c r="D34" s="16">
        <f>IF($B$17="",$B$16,IFERROR(IF(INDEX(Variablen!$I:$AT, MATCH($B$17, Variablen!$A:$A, 0), MATCH(B34, Variablen!$I$3:$AT$3, 0))="",$B$16,INDEX(Variablen!$I:$AT, MATCH($B$17, Variablen!$A:$A, 0), MATCH(B34, Variablen!$I$3:$AT$3, 0))),$B$16))</f>
        <v/>
      </c>
      <c r="E34" s="29">
        <f>$B$24*D34*C34 + $E$19*C34</f>
        <v/>
      </c>
      <c r="F34" s="29">
        <f>$B$20*C34 + $E$20*C34</f>
        <v/>
      </c>
      <c r="G34" s="29">
        <f>IF(OR($B$18="",$B$18&lt;=0),0,($B$19/$B$18)*(IF(OR($B$18="",$B$18&lt;=0),0,IF(B34&lt;YEAR($B$10),0,IF(B34&gt;=YEAR($B$10)+$B$18,0,IF(B34=YEAR($B$10),(12-MONTH($B$10)+1)/12,1))))))</f>
        <v/>
      </c>
      <c r="H34" s="29">
        <f>E34-F34-G34</f>
        <v/>
      </c>
      <c r="I34" s="29">
        <f>IF(H34&gt;0,H34*$B$26,0)</f>
        <v/>
      </c>
      <c r="J34" s="29">
        <f>E34-F34-I34-IF(A34=0,$B$19,0)</f>
        <v/>
      </c>
      <c r="K34" s="29">
        <f>K33+J34</f>
        <v/>
      </c>
      <c r="L34" s="16">
        <f>1/(1+$B$25)^(A34)</f>
        <v/>
      </c>
      <c r="M34" s="29">
        <f>J34*L34</f>
        <v/>
      </c>
      <c r="N34" s="29">
        <f>N33+M34</f>
        <v/>
      </c>
    </row>
    <row r="35">
      <c r="A35" s="28" t="n">
        <v>4</v>
      </c>
      <c r="B35" s="28">
        <f>IF($B$9="","",YEAR($B$9)+A35)</f>
        <v/>
      </c>
      <c r="C35" s="16">
        <f>IF(B35="","",IF(B35&lt;YEAR($B$10),0,IF(B35&gt;YEAR($B$10),1,(12-MONTH($B$10)+1)/12)))</f>
        <v/>
      </c>
      <c r="D35" s="16">
        <f>IF($B$17="",$B$16,IFERROR(IF(INDEX(Variablen!$I:$AT, MATCH($B$17, Variablen!$A:$A, 0), MATCH(B35, Variablen!$I$3:$AT$3, 0))="",$B$16,INDEX(Variablen!$I:$AT, MATCH($B$17, Variablen!$A:$A, 0), MATCH(B35, Variablen!$I$3:$AT$3, 0))),$B$16))</f>
        <v/>
      </c>
      <c r="E35" s="29">
        <f>$B$24*D35*C35 + $E$19*C35</f>
        <v/>
      </c>
      <c r="F35" s="29">
        <f>$B$20*C35 + $E$20*C35</f>
        <v/>
      </c>
      <c r="G35" s="29">
        <f>IF(OR($B$18="",$B$18&lt;=0),0,($B$19/$B$18)*(IF(OR($B$18="",$B$18&lt;=0),0,IF(B35&lt;YEAR($B$10),0,IF(B35&gt;=YEAR($B$10)+$B$18,0,IF(B35=YEAR($B$10),(12-MONTH($B$10)+1)/12,1))))))</f>
        <v/>
      </c>
      <c r="H35" s="29">
        <f>E35-F35-G35</f>
        <v/>
      </c>
      <c r="I35" s="29">
        <f>IF(H35&gt;0,H35*$B$26,0)</f>
        <v/>
      </c>
      <c r="J35" s="29">
        <f>E35-F35-I35-IF(A35=0,$B$19,0)</f>
        <v/>
      </c>
      <c r="K35" s="29">
        <f>K34+J35</f>
        <v/>
      </c>
      <c r="L35" s="16">
        <f>1/(1+$B$25)^(A35)</f>
        <v/>
      </c>
      <c r="M35" s="29">
        <f>J35*L35</f>
        <v/>
      </c>
      <c r="N35" s="29">
        <f>N34+M35</f>
        <v/>
      </c>
    </row>
    <row r="36">
      <c r="A36" s="28" t="n">
        <v>5</v>
      </c>
      <c r="B36" s="28">
        <f>IF($B$9="","",YEAR($B$9)+A36)</f>
        <v/>
      </c>
      <c r="C36" s="16">
        <f>IF(B36="","",IF(B36&lt;YEAR($B$10),0,IF(B36&gt;YEAR($B$10),1,(12-MONTH($B$10)+1)/12)))</f>
        <v/>
      </c>
      <c r="D36" s="16">
        <f>IF($B$17="",$B$16,IFERROR(IF(INDEX(Variablen!$I:$AT, MATCH($B$17, Variablen!$A:$A, 0), MATCH(B36, Variablen!$I$3:$AT$3, 0))="",$B$16,INDEX(Variablen!$I:$AT, MATCH($B$17, Variablen!$A:$A, 0), MATCH(B36, Variablen!$I$3:$AT$3, 0))),$B$16))</f>
        <v/>
      </c>
      <c r="E36" s="29">
        <f>$B$24*D36*C36 + $E$19*C36</f>
        <v/>
      </c>
      <c r="F36" s="29">
        <f>$B$20*C36 + $E$20*C36</f>
        <v/>
      </c>
      <c r="G36" s="29">
        <f>IF(OR($B$18="",$B$18&lt;=0),0,($B$19/$B$18)*(IF(OR($B$18="",$B$18&lt;=0),0,IF(B36&lt;YEAR($B$10),0,IF(B36&gt;=YEAR($B$10)+$B$18,0,IF(B36=YEAR($B$10),(12-MONTH($B$10)+1)/12,1))))))</f>
        <v/>
      </c>
      <c r="H36" s="29">
        <f>E36-F36-G36</f>
        <v/>
      </c>
      <c r="I36" s="29">
        <f>IF(H36&gt;0,H36*$B$26,0)</f>
        <v/>
      </c>
      <c r="J36" s="29">
        <f>E36-F36-I36-IF(A36=0,$B$19,0)</f>
        <v/>
      </c>
      <c r="K36" s="29">
        <f>K35+J36</f>
        <v/>
      </c>
      <c r="L36" s="16">
        <f>1/(1+$B$25)^(A36)</f>
        <v/>
      </c>
      <c r="M36" s="29">
        <f>J36*L36</f>
        <v/>
      </c>
      <c r="N36" s="29">
        <f>N35+M36</f>
        <v/>
      </c>
    </row>
    <row r="37">
      <c r="A37" s="28" t="n">
        <v>6</v>
      </c>
      <c r="B37" s="28">
        <f>IF($B$9="","",YEAR($B$9)+A37)</f>
        <v/>
      </c>
      <c r="C37" s="16">
        <f>IF(B37="","",IF(B37&lt;YEAR($B$10),0,IF(B37&gt;YEAR($B$10),1,(12-MONTH($B$10)+1)/12)))</f>
        <v/>
      </c>
      <c r="D37" s="16">
        <f>IF($B$17="",$B$16,IFERROR(IF(INDEX(Variablen!$I:$AT, MATCH($B$17, Variablen!$A:$A, 0), MATCH(B37, Variablen!$I$3:$AT$3, 0))="",$B$16,INDEX(Variablen!$I:$AT, MATCH($B$17, Variablen!$A:$A, 0), MATCH(B37, Variablen!$I$3:$AT$3, 0))),$B$16))</f>
        <v/>
      </c>
      <c r="E37" s="29">
        <f>$B$24*D37*C37 + $E$19*C37</f>
        <v/>
      </c>
      <c r="F37" s="29">
        <f>$B$20*C37 + $E$20*C37</f>
        <v/>
      </c>
      <c r="G37" s="29">
        <f>IF(OR($B$18="",$B$18&lt;=0),0,($B$19/$B$18)*(IF(OR($B$18="",$B$18&lt;=0),0,IF(B37&lt;YEAR($B$10),0,IF(B37&gt;=YEAR($B$10)+$B$18,0,IF(B37=YEAR($B$10),(12-MONTH($B$10)+1)/12,1))))))</f>
        <v/>
      </c>
      <c r="H37" s="29">
        <f>E37-F37-G37</f>
        <v/>
      </c>
      <c r="I37" s="29">
        <f>IF(H37&gt;0,H37*$B$26,0)</f>
        <v/>
      </c>
      <c r="J37" s="29">
        <f>E37-F37-I37-IF(A37=0,$B$19,0)</f>
        <v/>
      </c>
      <c r="K37" s="29">
        <f>K36+J37</f>
        <v/>
      </c>
      <c r="L37" s="16">
        <f>1/(1+$B$25)^(A37)</f>
        <v/>
      </c>
      <c r="M37" s="29">
        <f>J37*L37</f>
        <v/>
      </c>
      <c r="N37" s="29">
        <f>N36+M37</f>
        <v/>
      </c>
    </row>
    <row r="38">
      <c r="A38" s="28" t="n">
        <v>7</v>
      </c>
      <c r="B38" s="28">
        <f>IF($B$9="","",YEAR($B$9)+A38)</f>
        <v/>
      </c>
      <c r="C38" s="16">
        <f>IF(B38="","",IF(B38&lt;YEAR($B$10),0,IF(B38&gt;YEAR($B$10),1,(12-MONTH($B$10)+1)/12)))</f>
        <v/>
      </c>
      <c r="D38" s="16">
        <f>IF($B$17="",$B$16,IFERROR(IF(INDEX(Variablen!$I:$AT, MATCH($B$17, Variablen!$A:$A, 0), MATCH(B38, Variablen!$I$3:$AT$3, 0))="",$B$16,INDEX(Variablen!$I:$AT, MATCH($B$17, Variablen!$A:$A, 0), MATCH(B38, Variablen!$I$3:$AT$3, 0))),$B$16))</f>
        <v/>
      </c>
      <c r="E38" s="29">
        <f>$B$24*D38*C38 + $E$19*C38</f>
        <v/>
      </c>
      <c r="F38" s="29">
        <f>$B$20*C38 + $E$20*C38</f>
        <v/>
      </c>
      <c r="G38" s="29">
        <f>IF(OR($B$18="",$B$18&lt;=0),0,($B$19/$B$18)*(IF(OR($B$18="",$B$18&lt;=0),0,IF(B38&lt;YEAR($B$10),0,IF(B38&gt;=YEAR($B$10)+$B$18,0,IF(B38=YEAR($B$10),(12-MONTH($B$10)+1)/12,1))))))</f>
        <v/>
      </c>
      <c r="H38" s="29">
        <f>E38-F38-G38</f>
        <v/>
      </c>
      <c r="I38" s="29">
        <f>IF(H38&gt;0,H38*$B$26,0)</f>
        <v/>
      </c>
      <c r="J38" s="29">
        <f>E38-F38-I38-IF(A38=0,$B$19,0)</f>
        <v/>
      </c>
      <c r="K38" s="29">
        <f>K37+J38</f>
        <v/>
      </c>
      <c r="L38" s="16">
        <f>1/(1+$B$25)^(A38)</f>
        <v/>
      </c>
      <c r="M38" s="29">
        <f>J38*L38</f>
        <v/>
      </c>
      <c r="N38" s="29">
        <f>N37+M38</f>
        <v/>
      </c>
    </row>
    <row r="39">
      <c r="A39" s="28" t="n">
        <v>8</v>
      </c>
      <c r="B39" s="28">
        <f>IF($B$9="","",YEAR($B$9)+A39)</f>
        <v/>
      </c>
      <c r="C39" s="16">
        <f>IF(B39="","",IF(B39&lt;YEAR($B$10),0,IF(B39&gt;YEAR($B$10),1,(12-MONTH($B$10)+1)/12)))</f>
        <v/>
      </c>
      <c r="D39" s="16">
        <f>IF($B$17="",$B$16,IFERROR(IF(INDEX(Variablen!$I:$AT, MATCH($B$17, Variablen!$A:$A, 0), MATCH(B39, Variablen!$I$3:$AT$3, 0))="",$B$16,INDEX(Variablen!$I:$AT, MATCH($B$17, Variablen!$A:$A, 0), MATCH(B39, Variablen!$I$3:$AT$3, 0))),$B$16))</f>
        <v/>
      </c>
      <c r="E39" s="29">
        <f>$B$24*D39*C39 + $E$19*C39</f>
        <v/>
      </c>
      <c r="F39" s="29">
        <f>$B$20*C39 + $E$20*C39</f>
        <v/>
      </c>
      <c r="G39" s="29">
        <f>IF(OR($B$18="",$B$18&lt;=0),0,($B$19/$B$18)*(IF(OR($B$18="",$B$18&lt;=0),0,IF(B39&lt;YEAR($B$10),0,IF(B39&gt;=YEAR($B$10)+$B$18,0,IF(B39=YEAR($B$10),(12-MONTH($B$10)+1)/12,1))))))</f>
        <v/>
      </c>
      <c r="H39" s="29">
        <f>E39-F39-G39</f>
        <v/>
      </c>
      <c r="I39" s="29">
        <f>IF(H39&gt;0,H39*$B$26,0)</f>
        <v/>
      </c>
      <c r="J39" s="29">
        <f>E39-F39-I39-IF(A39=0,$B$19,0)</f>
        <v/>
      </c>
      <c r="K39" s="29">
        <f>K38+J39</f>
        <v/>
      </c>
      <c r="L39" s="16">
        <f>1/(1+$B$25)^(A39)</f>
        <v/>
      </c>
      <c r="M39" s="29">
        <f>J39*L39</f>
        <v/>
      </c>
      <c r="N39" s="29">
        <f>N38+M39</f>
        <v/>
      </c>
    </row>
    <row r="40">
      <c r="A40" s="28" t="n">
        <v>9</v>
      </c>
      <c r="B40" s="28">
        <f>IF($B$9="","",YEAR($B$9)+A40)</f>
        <v/>
      </c>
      <c r="C40" s="16">
        <f>IF(B40="","",IF(B40&lt;YEAR($B$10),0,IF(B40&gt;YEAR($B$10),1,(12-MONTH($B$10)+1)/12)))</f>
        <v/>
      </c>
      <c r="D40" s="16">
        <f>IF($B$17="",$B$16,IFERROR(IF(INDEX(Variablen!$I:$AT, MATCH($B$17, Variablen!$A:$A, 0), MATCH(B40, Variablen!$I$3:$AT$3, 0))="",$B$16,INDEX(Variablen!$I:$AT, MATCH($B$17, Variablen!$A:$A, 0), MATCH(B40, Variablen!$I$3:$AT$3, 0))),$B$16))</f>
        <v/>
      </c>
      <c r="E40" s="29">
        <f>$B$24*D40*C40 + $E$19*C40</f>
        <v/>
      </c>
      <c r="F40" s="29">
        <f>$B$20*C40 + $E$20*C40</f>
        <v/>
      </c>
      <c r="G40" s="29">
        <f>IF(OR($B$18="",$B$18&lt;=0),0,($B$19/$B$18)*(IF(OR($B$18="",$B$18&lt;=0),0,IF(B40&lt;YEAR($B$10),0,IF(B40&gt;=YEAR($B$10)+$B$18,0,IF(B40=YEAR($B$10),(12-MONTH($B$10)+1)/12,1))))))</f>
        <v/>
      </c>
      <c r="H40" s="29">
        <f>E40-F40-G40</f>
        <v/>
      </c>
      <c r="I40" s="29">
        <f>IF(H40&gt;0,H40*$B$26,0)</f>
        <v/>
      </c>
      <c r="J40" s="29">
        <f>E40-F40-I40-IF(A40=0,$B$19,0)</f>
        <v/>
      </c>
      <c r="K40" s="29">
        <f>K39+J40</f>
        <v/>
      </c>
      <c r="L40" s="16">
        <f>1/(1+$B$25)^(A40)</f>
        <v/>
      </c>
      <c r="M40" s="29">
        <f>J40*L40</f>
        <v/>
      </c>
      <c r="N40" s="29">
        <f>N39+M40</f>
        <v/>
      </c>
    </row>
    <row r="41">
      <c r="A41" s="28" t="n">
        <v>10</v>
      </c>
      <c r="B41" s="28">
        <f>IF($B$9="","",YEAR($B$9)+A41)</f>
        <v/>
      </c>
      <c r="C41" s="16">
        <f>IF(B41="","",IF(B41&lt;YEAR($B$10),0,IF(B41&gt;YEAR($B$10),1,(12-MONTH($B$10)+1)/12)))</f>
        <v/>
      </c>
      <c r="D41" s="16">
        <f>IF($B$17="",$B$16,IFERROR(IF(INDEX(Variablen!$I:$AT, MATCH($B$17, Variablen!$A:$A, 0), MATCH(B41, Variablen!$I$3:$AT$3, 0))="",$B$16,INDEX(Variablen!$I:$AT, MATCH($B$17, Variablen!$A:$A, 0), MATCH(B41, Variablen!$I$3:$AT$3, 0))),$B$16))</f>
        <v/>
      </c>
      <c r="E41" s="29">
        <f>$B$24*D41*C41 + $E$19*C41</f>
        <v/>
      </c>
      <c r="F41" s="29">
        <f>$B$20*C41 + $E$20*C41</f>
        <v/>
      </c>
      <c r="G41" s="29">
        <f>IF(OR($B$18="",$B$18&lt;=0),0,($B$19/$B$18)*(IF(OR($B$18="",$B$18&lt;=0),0,IF(B41&lt;YEAR($B$10),0,IF(B41&gt;=YEAR($B$10)+$B$18,0,IF(B41=YEAR($B$10),(12-MONTH($B$10)+1)/12,1))))))</f>
        <v/>
      </c>
      <c r="H41" s="29">
        <f>E41-F41-G41</f>
        <v/>
      </c>
      <c r="I41" s="29">
        <f>IF(H41&gt;0,H41*$B$26,0)</f>
        <v/>
      </c>
      <c r="J41" s="29">
        <f>E41-F41-I41-IF(A41=0,$B$19,0)</f>
        <v/>
      </c>
      <c r="K41" s="29">
        <f>K40+J41</f>
        <v/>
      </c>
      <c r="L41" s="16">
        <f>1/(1+$B$25)^(A41)</f>
        <v/>
      </c>
      <c r="M41" s="29">
        <f>J41*L41</f>
        <v/>
      </c>
      <c r="N41" s="29">
        <f>N40+M41</f>
        <v/>
      </c>
    </row>
    <row r="42">
      <c r="A42" s="28" t="n">
        <v>11</v>
      </c>
      <c r="B42" s="28">
        <f>IF($B$9="","",YEAR($B$9)+A42)</f>
        <v/>
      </c>
      <c r="C42" s="16">
        <f>IF(B42="","",IF(B42&lt;YEAR($B$10),0,IF(B42&gt;YEAR($B$10),1,(12-MONTH($B$10)+1)/12)))</f>
        <v/>
      </c>
      <c r="D42" s="16">
        <f>IF($B$17="",$B$16,IFERROR(IF(INDEX(Variablen!$I:$AT, MATCH($B$17, Variablen!$A:$A, 0), MATCH(B42, Variablen!$I$3:$AT$3, 0))="",$B$16,INDEX(Variablen!$I:$AT, MATCH($B$17, Variablen!$A:$A, 0), MATCH(B42, Variablen!$I$3:$AT$3, 0))),$B$16))</f>
        <v/>
      </c>
      <c r="E42" s="29">
        <f>$B$24*D42*C42 + $E$19*C42</f>
        <v/>
      </c>
      <c r="F42" s="29">
        <f>$B$20*C42 + $E$20*C42</f>
        <v/>
      </c>
      <c r="G42" s="29">
        <f>IF(OR($B$18="",$B$18&lt;=0),0,($B$19/$B$18)*(IF(OR($B$18="",$B$18&lt;=0),0,IF(B42&lt;YEAR($B$10),0,IF(B42&gt;=YEAR($B$10)+$B$18,0,IF(B42=YEAR($B$10),(12-MONTH($B$10)+1)/12,1))))))</f>
        <v/>
      </c>
      <c r="H42" s="29">
        <f>E42-F42-G42</f>
        <v/>
      </c>
      <c r="I42" s="29">
        <f>IF(H42&gt;0,H42*$B$26,0)</f>
        <v/>
      </c>
      <c r="J42" s="29">
        <f>E42-F42-I42-IF(A42=0,$B$19,0)</f>
        <v/>
      </c>
      <c r="K42" s="29">
        <f>K41+J42</f>
        <v/>
      </c>
      <c r="L42" s="16">
        <f>1/(1+$B$25)^(A42)</f>
        <v/>
      </c>
      <c r="M42" s="29">
        <f>J42*L42</f>
        <v/>
      </c>
      <c r="N42" s="29">
        <f>N41+M42</f>
        <v/>
      </c>
    </row>
    <row r="43">
      <c r="A43" s="28" t="n">
        <v>12</v>
      </c>
      <c r="B43" s="28">
        <f>IF($B$9="","",YEAR($B$9)+A43)</f>
        <v/>
      </c>
      <c r="C43" s="16">
        <f>IF(B43="","",IF(B43&lt;YEAR($B$10),0,IF(B43&gt;YEAR($B$10),1,(12-MONTH($B$10)+1)/12)))</f>
        <v/>
      </c>
      <c r="D43" s="16">
        <f>IF($B$17="",$B$16,IFERROR(IF(INDEX(Variablen!$I:$AT, MATCH($B$17, Variablen!$A:$A, 0), MATCH(B43, Variablen!$I$3:$AT$3, 0))="",$B$16,INDEX(Variablen!$I:$AT, MATCH($B$17, Variablen!$A:$A, 0), MATCH(B43, Variablen!$I$3:$AT$3, 0))),$B$16))</f>
        <v/>
      </c>
      <c r="E43" s="29">
        <f>$B$24*D43*C43 + $E$19*C43</f>
        <v/>
      </c>
      <c r="F43" s="29">
        <f>$B$20*C43 + $E$20*C43</f>
        <v/>
      </c>
      <c r="G43" s="29">
        <f>IF(OR($B$18="",$B$18&lt;=0),0,($B$19/$B$18)*(IF(OR($B$18="",$B$18&lt;=0),0,IF(B43&lt;YEAR($B$10),0,IF(B43&gt;=YEAR($B$10)+$B$18,0,IF(B43=YEAR($B$10),(12-MONTH($B$10)+1)/12,1))))))</f>
        <v/>
      </c>
      <c r="H43" s="29">
        <f>E43-F43-G43</f>
        <v/>
      </c>
      <c r="I43" s="29">
        <f>IF(H43&gt;0,H43*$B$26,0)</f>
        <v/>
      </c>
      <c r="J43" s="29">
        <f>E43-F43-I43-IF(A43=0,$B$19,0)</f>
        <v/>
      </c>
      <c r="K43" s="29">
        <f>K42+J43</f>
        <v/>
      </c>
      <c r="L43" s="16">
        <f>1/(1+$B$25)^(A43)</f>
        <v/>
      </c>
      <c r="M43" s="29">
        <f>J43*L43</f>
        <v/>
      </c>
      <c r="N43" s="29">
        <f>N42+M43</f>
        <v/>
      </c>
    </row>
    <row r="44">
      <c r="A44" s="28" t="n">
        <v>13</v>
      </c>
      <c r="B44" s="28">
        <f>IF($B$9="","",YEAR($B$9)+A44)</f>
        <v/>
      </c>
      <c r="C44" s="16">
        <f>IF(B44="","",IF(B44&lt;YEAR($B$10),0,IF(B44&gt;YEAR($B$10),1,(12-MONTH($B$10)+1)/12)))</f>
        <v/>
      </c>
      <c r="D44" s="16">
        <f>IF($B$17="",$B$16,IFERROR(IF(INDEX(Variablen!$I:$AT, MATCH($B$17, Variablen!$A:$A, 0), MATCH(B44, Variablen!$I$3:$AT$3, 0))="",$B$16,INDEX(Variablen!$I:$AT, MATCH($B$17, Variablen!$A:$A, 0), MATCH(B44, Variablen!$I$3:$AT$3, 0))),$B$16))</f>
        <v/>
      </c>
      <c r="E44" s="29">
        <f>$B$24*D44*C44 + $E$19*C44</f>
        <v/>
      </c>
      <c r="F44" s="29">
        <f>$B$20*C44 + $E$20*C44</f>
        <v/>
      </c>
      <c r="G44" s="29">
        <f>IF(OR($B$18="",$B$18&lt;=0),0,($B$19/$B$18)*(IF(OR($B$18="",$B$18&lt;=0),0,IF(B44&lt;YEAR($B$10),0,IF(B44&gt;=YEAR($B$10)+$B$18,0,IF(B44=YEAR($B$10),(12-MONTH($B$10)+1)/12,1))))))</f>
        <v/>
      </c>
      <c r="H44" s="29">
        <f>E44-F44-G44</f>
        <v/>
      </c>
      <c r="I44" s="29">
        <f>IF(H44&gt;0,H44*$B$26,0)</f>
        <v/>
      </c>
      <c r="J44" s="29">
        <f>E44-F44-I44-IF(A44=0,$B$19,0)</f>
        <v/>
      </c>
      <c r="K44" s="29">
        <f>K43+J44</f>
        <v/>
      </c>
      <c r="L44" s="16">
        <f>1/(1+$B$25)^(A44)</f>
        <v/>
      </c>
      <c r="M44" s="29">
        <f>J44*L44</f>
        <v/>
      </c>
      <c r="N44" s="29">
        <f>N43+M44</f>
        <v/>
      </c>
    </row>
    <row r="45">
      <c r="A45" s="28" t="n">
        <v>14</v>
      </c>
      <c r="B45" s="28">
        <f>IF($B$9="","",YEAR($B$9)+A45)</f>
        <v/>
      </c>
      <c r="C45" s="16">
        <f>IF(B45="","",IF(B45&lt;YEAR($B$10),0,IF(B45&gt;YEAR($B$10),1,(12-MONTH($B$10)+1)/12)))</f>
        <v/>
      </c>
      <c r="D45" s="16">
        <f>IF($B$17="",$B$16,IFERROR(IF(INDEX(Variablen!$I:$AT, MATCH($B$17, Variablen!$A:$A, 0), MATCH(B45, Variablen!$I$3:$AT$3, 0))="",$B$16,INDEX(Variablen!$I:$AT, MATCH($B$17, Variablen!$A:$A, 0), MATCH(B45, Variablen!$I$3:$AT$3, 0))),$B$16))</f>
        <v/>
      </c>
      <c r="E45" s="29">
        <f>$B$24*D45*C45 + $E$19*C45</f>
        <v/>
      </c>
      <c r="F45" s="29">
        <f>$B$20*C45 + $E$20*C45</f>
        <v/>
      </c>
      <c r="G45" s="29">
        <f>IF(OR($B$18="",$B$18&lt;=0),0,($B$19/$B$18)*(IF(OR($B$18="",$B$18&lt;=0),0,IF(B45&lt;YEAR($B$10),0,IF(B45&gt;=YEAR($B$10)+$B$18,0,IF(B45=YEAR($B$10),(12-MONTH($B$10)+1)/12,1))))))</f>
        <v/>
      </c>
      <c r="H45" s="29">
        <f>E45-F45-G45</f>
        <v/>
      </c>
      <c r="I45" s="29">
        <f>IF(H45&gt;0,H45*$B$26,0)</f>
        <v/>
      </c>
      <c r="J45" s="29">
        <f>E45-F45-I45-IF(A45=0,$B$19,0)</f>
        <v/>
      </c>
      <c r="K45" s="29">
        <f>K44+J45</f>
        <v/>
      </c>
      <c r="L45" s="16">
        <f>1/(1+$B$25)^(A45)</f>
        <v/>
      </c>
      <c r="M45" s="29">
        <f>J45*L45</f>
        <v/>
      </c>
      <c r="N45" s="29">
        <f>N44+M45</f>
        <v/>
      </c>
    </row>
    <row r="46">
      <c r="A46" s="28" t="n">
        <v>15</v>
      </c>
      <c r="B46" s="28">
        <f>IF($B$9="","",YEAR($B$9)+A46)</f>
        <v/>
      </c>
      <c r="C46" s="16">
        <f>IF(B46="","",IF(B46&lt;YEAR($B$10),0,IF(B46&gt;YEAR($B$10),1,(12-MONTH($B$10)+1)/12)))</f>
        <v/>
      </c>
      <c r="D46" s="16">
        <f>IF($B$17="",$B$16,IFERROR(IF(INDEX(Variablen!$I:$AT, MATCH($B$17, Variablen!$A:$A, 0), MATCH(B46, Variablen!$I$3:$AT$3, 0))="",$B$16,INDEX(Variablen!$I:$AT, MATCH($B$17, Variablen!$A:$A, 0), MATCH(B46, Variablen!$I$3:$AT$3, 0))),$B$16))</f>
        <v/>
      </c>
      <c r="E46" s="29">
        <f>$B$24*D46*C46 + $E$19*C46</f>
        <v/>
      </c>
      <c r="F46" s="29">
        <f>$B$20*C46 + $E$20*C46</f>
        <v/>
      </c>
      <c r="G46" s="29">
        <f>IF(OR($B$18="",$B$18&lt;=0),0,($B$19/$B$18)*(IF(OR($B$18="",$B$18&lt;=0),0,IF(B46&lt;YEAR($B$10),0,IF(B46&gt;=YEAR($B$10)+$B$18,0,IF(B46=YEAR($B$10),(12-MONTH($B$10)+1)/12,1))))))</f>
        <v/>
      </c>
      <c r="H46" s="29">
        <f>E46-F46-G46</f>
        <v/>
      </c>
      <c r="I46" s="29">
        <f>IF(H46&gt;0,H46*$B$26,0)</f>
        <v/>
      </c>
      <c r="J46" s="29">
        <f>E46-F46-I46-IF(A46=0,$B$19,0)</f>
        <v/>
      </c>
      <c r="K46" s="29">
        <f>K45+J46</f>
        <v/>
      </c>
      <c r="L46" s="16">
        <f>1/(1+$B$25)^(A46)</f>
        <v/>
      </c>
      <c r="M46" s="29">
        <f>J46*L46</f>
        <v/>
      </c>
      <c r="N46" s="29">
        <f>N45+M46</f>
        <v/>
      </c>
    </row>
    <row r="47">
      <c r="A47" s="28" t="n">
        <v>16</v>
      </c>
      <c r="B47" s="28">
        <f>IF($B$9="","",YEAR($B$9)+A47)</f>
        <v/>
      </c>
      <c r="C47" s="16">
        <f>IF(B47="","",IF(B47&lt;YEAR($B$10),0,IF(B47&gt;YEAR($B$10),1,(12-MONTH($B$10)+1)/12)))</f>
        <v/>
      </c>
      <c r="D47" s="16">
        <f>IF($B$17="",$B$16,IFERROR(IF(INDEX(Variablen!$I:$AT, MATCH($B$17, Variablen!$A:$A, 0), MATCH(B47, Variablen!$I$3:$AT$3, 0))="",$B$16,INDEX(Variablen!$I:$AT, MATCH($B$17, Variablen!$A:$A, 0), MATCH(B47, Variablen!$I$3:$AT$3, 0))),$B$16))</f>
        <v/>
      </c>
      <c r="E47" s="29">
        <f>$B$24*D47*C47 + $E$19*C47</f>
        <v/>
      </c>
      <c r="F47" s="29">
        <f>$B$20*C47 + $E$20*C47</f>
        <v/>
      </c>
      <c r="G47" s="29">
        <f>IF(OR($B$18="",$B$18&lt;=0),0,($B$19/$B$18)*(IF(OR($B$18="",$B$18&lt;=0),0,IF(B47&lt;YEAR($B$10),0,IF(B47&gt;=YEAR($B$10)+$B$18,0,IF(B47=YEAR($B$10),(12-MONTH($B$10)+1)/12,1))))))</f>
        <v/>
      </c>
      <c r="H47" s="29">
        <f>E47-F47-G47</f>
        <v/>
      </c>
      <c r="I47" s="29">
        <f>IF(H47&gt;0,H47*$B$26,0)</f>
        <v/>
      </c>
      <c r="J47" s="29">
        <f>E47-F47-I47-IF(A47=0,$B$19,0)</f>
        <v/>
      </c>
      <c r="K47" s="29">
        <f>K46+J47</f>
        <v/>
      </c>
      <c r="L47" s="16">
        <f>1/(1+$B$25)^(A47)</f>
        <v/>
      </c>
      <c r="M47" s="29">
        <f>J47*L47</f>
        <v/>
      </c>
      <c r="N47" s="29">
        <f>N46+M47</f>
        <v/>
      </c>
    </row>
    <row r="48">
      <c r="A48" s="28" t="n">
        <v>17</v>
      </c>
      <c r="B48" s="28">
        <f>IF($B$9="","",YEAR($B$9)+A48)</f>
        <v/>
      </c>
      <c r="C48" s="16">
        <f>IF(B48="","",IF(B48&lt;YEAR($B$10),0,IF(B48&gt;YEAR($B$10),1,(12-MONTH($B$10)+1)/12)))</f>
        <v/>
      </c>
      <c r="D48" s="16">
        <f>IF($B$17="",$B$16,IFERROR(IF(INDEX(Variablen!$I:$AT, MATCH($B$17, Variablen!$A:$A, 0), MATCH(B48, Variablen!$I$3:$AT$3, 0))="",$B$16,INDEX(Variablen!$I:$AT, MATCH($B$17, Variablen!$A:$A, 0), MATCH(B48, Variablen!$I$3:$AT$3, 0))),$B$16))</f>
        <v/>
      </c>
      <c r="E48" s="29">
        <f>$B$24*D48*C48 + $E$19*C48</f>
        <v/>
      </c>
      <c r="F48" s="29">
        <f>$B$20*C48 + $E$20*C48</f>
        <v/>
      </c>
      <c r="G48" s="29">
        <f>IF(OR($B$18="",$B$18&lt;=0),0,($B$19/$B$18)*(IF(OR($B$18="",$B$18&lt;=0),0,IF(B48&lt;YEAR($B$10),0,IF(B48&gt;=YEAR($B$10)+$B$18,0,IF(B48=YEAR($B$10),(12-MONTH($B$10)+1)/12,1))))))</f>
        <v/>
      </c>
      <c r="H48" s="29">
        <f>E48-F48-G48</f>
        <v/>
      </c>
      <c r="I48" s="29">
        <f>IF(H48&gt;0,H48*$B$26,0)</f>
        <v/>
      </c>
      <c r="J48" s="29">
        <f>E48-F48-I48-IF(A48=0,$B$19,0)</f>
        <v/>
      </c>
      <c r="K48" s="29">
        <f>K47+J48</f>
        <v/>
      </c>
      <c r="L48" s="16">
        <f>1/(1+$B$25)^(A48)</f>
        <v/>
      </c>
      <c r="M48" s="29">
        <f>J48*L48</f>
        <v/>
      </c>
      <c r="N48" s="29">
        <f>N47+M48</f>
        <v/>
      </c>
    </row>
    <row r="49">
      <c r="A49" s="28" t="n">
        <v>18</v>
      </c>
      <c r="B49" s="28">
        <f>IF($B$9="","",YEAR($B$9)+A49)</f>
        <v/>
      </c>
      <c r="C49" s="16">
        <f>IF(B49="","",IF(B49&lt;YEAR($B$10),0,IF(B49&gt;YEAR($B$10),1,(12-MONTH($B$10)+1)/12)))</f>
        <v/>
      </c>
      <c r="D49" s="16">
        <f>IF($B$17="",$B$16,IFERROR(IF(INDEX(Variablen!$I:$AT, MATCH($B$17, Variablen!$A:$A, 0), MATCH(B49, Variablen!$I$3:$AT$3, 0))="",$B$16,INDEX(Variablen!$I:$AT, MATCH($B$17, Variablen!$A:$A, 0), MATCH(B49, Variablen!$I$3:$AT$3, 0))),$B$16))</f>
        <v/>
      </c>
      <c r="E49" s="29">
        <f>$B$24*D49*C49 + $E$19*C49</f>
        <v/>
      </c>
      <c r="F49" s="29">
        <f>$B$20*C49 + $E$20*C49</f>
        <v/>
      </c>
      <c r="G49" s="29">
        <f>IF(OR($B$18="",$B$18&lt;=0),0,($B$19/$B$18)*(IF(OR($B$18="",$B$18&lt;=0),0,IF(B49&lt;YEAR($B$10),0,IF(B49&gt;=YEAR($B$10)+$B$18,0,IF(B49=YEAR($B$10),(12-MONTH($B$10)+1)/12,1))))))</f>
        <v/>
      </c>
      <c r="H49" s="29">
        <f>E49-F49-G49</f>
        <v/>
      </c>
      <c r="I49" s="29">
        <f>IF(H49&gt;0,H49*$B$26,0)</f>
        <v/>
      </c>
      <c r="J49" s="29">
        <f>E49-F49-I49-IF(A49=0,$B$19,0)</f>
        <v/>
      </c>
      <c r="K49" s="29">
        <f>K48+J49</f>
        <v/>
      </c>
      <c r="L49" s="16">
        <f>1/(1+$B$25)^(A49)</f>
        <v/>
      </c>
      <c r="M49" s="29">
        <f>J49*L49</f>
        <v/>
      </c>
      <c r="N49" s="29">
        <f>N48+M49</f>
        <v/>
      </c>
    </row>
    <row r="50">
      <c r="A50" s="28" t="n">
        <v>19</v>
      </c>
      <c r="B50" s="28">
        <f>IF($B$9="","",YEAR($B$9)+A50)</f>
        <v/>
      </c>
      <c r="C50" s="16">
        <f>IF(B50="","",IF(B50&lt;YEAR($B$10),0,IF(B50&gt;YEAR($B$10),1,(12-MONTH($B$10)+1)/12)))</f>
        <v/>
      </c>
      <c r="D50" s="16">
        <f>IF($B$17="",$B$16,IFERROR(IF(INDEX(Variablen!$I:$AT, MATCH($B$17, Variablen!$A:$A, 0), MATCH(B50, Variablen!$I$3:$AT$3, 0))="",$B$16,INDEX(Variablen!$I:$AT, MATCH($B$17, Variablen!$A:$A, 0), MATCH(B50, Variablen!$I$3:$AT$3, 0))),$B$16))</f>
        <v/>
      </c>
      <c r="E50" s="29">
        <f>$B$24*D50*C50 + $E$19*C50</f>
        <v/>
      </c>
      <c r="F50" s="29">
        <f>$B$20*C50 + $E$20*C50</f>
        <v/>
      </c>
      <c r="G50" s="29">
        <f>IF(OR($B$18="",$B$18&lt;=0),0,($B$19/$B$18)*(IF(OR($B$18="",$B$18&lt;=0),0,IF(B50&lt;YEAR($B$10),0,IF(B50&gt;=YEAR($B$10)+$B$18,0,IF(B50=YEAR($B$10),(12-MONTH($B$10)+1)/12,1))))))</f>
        <v/>
      </c>
      <c r="H50" s="29">
        <f>E50-F50-G50</f>
        <v/>
      </c>
      <c r="I50" s="29">
        <f>IF(H50&gt;0,H50*$B$26,0)</f>
        <v/>
      </c>
      <c r="J50" s="29">
        <f>E50-F50-I50-IF(A50=0,$B$19,0)</f>
        <v/>
      </c>
      <c r="K50" s="29">
        <f>K49+J50</f>
        <v/>
      </c>
      <c r="L50" s="16">
        <f>1/(1+$B$25)^(A50)</f>
        <v/>
      </c>
      <c r="M50" s="29">
        <f>J50*L50</f>
        <v/>
      </c>
      <c r="N50" s="29">
        <f>N49+M50</f>
        <v/>
      </c>
    </row>
    <row r="51">
      <c r="A51" s="28" t="n">
        <v>20</v>
      </c>
      <c r="B51" s="28">
        <f>IF($B$9="","",YEAR($B$9)+A51)</f>
        <v/>
      </c>
      <c r="C51" s="16">
        <f>IF(B51="","",IF(B51&lt;YEAR($B$10),0,IF(B51&gt;YEAR($B$10),1,(12-MONTH($B$10)+1)/12)))</f>
        <v/>
      </c>
      <c r="D51" s="16">
        <f>IF($B$17="",$B$16,IFERROR(IF(INDEX(Variablen!$I:$AT, MATCH($B$17, Variablen!$A:$A, 0), MATCH(B51, Variablen!$I$3:$AT$3, 0))="",$B$16,INDEX(Variablen!$I:$AT, MATCH($B$17, Variablen!$A:$A, 0), MATCH(B51, Variablen!$I$3:$AT$3, 0))),$B$16))</f>
        <v/>
      </c>
      <c r="E51" s="29">
        <f>$B$24*D51*C51 + $E$19*C51</f>
        <v/>
      </c>
      <c r="F51" s="29">
        <f>$B$20*C51 + $E$20*C51</f>
        <v/>
      </c>
      <c r="G51" s="29">
        <f>IF(OR($B$18="",$B$18&lt;=0),0,($B$19/$B$18)*(IF(OR($B$18="",$B$18&lt;=0),0,IF(B51&lt;YEAR($B$10),0,IF(B51&gt;=YEAR($B$10)+$B$18,0,IF(B51=YEAR($B$10),(12-MONTH($B$10)+1)/12,1))))))</f>
        <v/>
      </c>
      <c r="H51" s="29">
        <f>E51-F51-G51</f>
        <v/>
      </c>
      <c r="I51" s="29">
        <f>IF(H51&gt;0,H51*$B$26,0)</f>
        <v/>
      </c>
      <c r="J51" s="29">
        <f>E51-F51-I51-IF(A51=0,$B$19,0)</f>
        <v/>
      </c>
      <c r="K51" s="29">
        <f>K50+J51</f>
        <v/>
      </c>
      <c r="L51" s="16">
        <f>1/(1+$B$25)^(A51)</f>
        <v/>
      </c>
      <c r="M51" s="29">
        <f>J51*L51</f>
        <v/>
      </c>
      <c r="N51" s="29">
        <f>N50+M51</f>
        <v/>
      </c>
    </row>
    <row r="53">
      <c r="A53" s="21" t="inlineStr">
        <is>
          <t>Kennzahlen</t>
        </is>
      </c>
    </row>
    <row r="55">
      <c r="A55" s="5" t="inlineStr">
        <is>
          <t>Kapitalwert (NPV) Nachsteuer €</t>
        </is>
      </c>
      <c r="B55" s="30">
        <f>SUM(OFFSET($M$31,0,0,MIN(HorizonYears,20)+1,1))</f>
        <v/>
      </c>
    </row>
    <row r="56">
      <c r="A56" s="5" t="inlineStr">
        <is>
          <t>IRR Nachsteuer</t>
        </is>
      </c>
      <c r="B56" s="31">
        <f>IFERROR(IRR(OFFSET($J$31,0,0,MIN(HorizonYears,20)+1,1)),"n/a")</f>
        <v/>
      </c>
    </row>
    <row r="57">
      <c r="A57" s="5" t="inlineStr">
        <is>
          <t>Amortisation (Payback) Nachsteuer (Jahr-Index)</t>
        </is>
      </c>
      <c r="B57" s="32">
        <f>IFERROR(MATCH(TRUE,OFFSET($K$31,0,0,MIN(HorizonYears,20)+1,1)&gt;=0,0)-1,"n/a")</f>
        <v/>
      </c>
    </row>
    <row r="58">
      <c r="A58" s="5" t="inlineStr">
        <is>
          <t>Diskontierte KPI-Reduktion (Einheiten)</t>
        </is>
      </c>
      <c r="B58" s="33">
        <f>SUMPRODUCT(OFFSET($L$31,0,0,MIN(HorizonYears,20)+1,1),OFFSET($C$31,0,0,MIN(HorizonYears,20)+1,1))*$B$24</f>
        <v/>
      </c>
    </row>
    <row r="59">
      <c r="A59" s="5" t="inlineStr">
        <is>
          <t>MACC (€/Einheit KPI)</t>
        </is>
      </c>
      <c r="B59" s="33">
        <f>IFERROR(-B55/B58,"n/a")</f>
        <v/>
      </c>
    </row>
  </sheetData>
  <mergeCells count="4">
    <mergeCell ref="A2:F2"/>
    <mergeCell ref="A53:F53"/>
    <mergeCell ref="A22:F22"/>
    <mergeCell ref="A5:F5"/>
  </mergeCells>
  <dataValidations count="1">
    <dataValidation sqref="B3" showDropDown="0" showInputMessage="0" showErrorMessage="0" allowBlank="0" type="list">
      <formula1>=ActionIDs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10" customWidth="1" min="7" max="7"/>
    <col width="14" customWidth="1" min="8" max="8"/>
    <col width="10" customWidth="1" min="9" max="9"/>
    <col width="10" customWidth="1" min="10" max="10"/>
    <col width="18" customWidth="1" min="11" max="11"/>
    <col width="12" customWidth="1" min="12" max="12"/>
    <col width="18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9" t="inlineStr">
        <is>
          <t>Portfolio_Calc (technisches Rechenblatt)</t>
        </is>
      </c>
    </row>
    <row r="2" ht="20" customHeight="1">
      <c r="A2" s="34" t="inlineStr">
        <is>
          <t>Inputs &amp; Annahmen</t>
        </is>
      </c>
      <c r="S2" s="34" t="inlineStr">
        <is>
          <t>Cashflows je Jahr (Nachsteuer)</t>
        </is>
      </c>
      <c r="AN2" s="34" t="inlineStr">
        <is>
          <t>Kumulierter Cashflow</t>
        </is>
      </c>
      <c r="BI2" s="34" t="inlineStr">
        <is>
          <t>Diskontierte KPI-Reduktion je Jahr</t>
        </is>
      </c>
      <c r="CD2" s="34" t="inlineStr">
        <is>
          <t>Kennzahlen</t>
        </is>
      </c>
    </row>
    <row r="3" ht="18" customHeight="1">
      <c r="A3" s="4" t="inlineStr">
        <is>
          <t>ID</t>
        </is>
      </c>
      <c r="B3" s="4" t="inlineStr">
        <is>
          <t>Action</t>
        </is>
      </c>
      <c r="C3" s="4" t="inlineStr">
        <is>
          <t>Owner</t>
        </is>
      </c>
      <c r="D3" s="4" t="inlineStr">
        <is>
          <t>Start</t>
        </is>
      </c>
      <c r="E3" s="4" t="inlineStr">
        <is>
          <t>GoLive</t>
        </is>
      </c>
      <c r="F3" s="4" t="inlineStr">
        <is>
          <t>KPI</t>
        </is>
      </c>
      <c r="G3" s="4" t="inlineStr">
        <is>
          <t>Einheit</t>
        </is>
      </c>
      <c r="H3" s="4" t="inlineStr">
        <is>
          <t>Baseline</t>
        </is>
      </c>
      <c r="I3" s="4" t="inlineStr">
        <is>
          <t>ImpactTyp</t>
        </is>
      </c>
      <c r="J3" s="4" t="inlineStr">
        <is>
          <t>Impact</t>
        </is>
      </c>
      <c r="K3" s="4" t="inlineStr">
        <is>
          <t>KPI_Reduktion_p.a.</t>
        </is>
      </c>
      <c r="L3" s="4" t="inlineStr">
        <is>
          <t>FixPrice</t>
        </is>
      </c>
      <c r="M3" s="4" t="inlineStr">
        <is>
          <t>VarName</t>
        </is>
      </c>
      <c r="N3" s="4" t="inlineStr">
        <is>
          <t>DepY</t>
        </is>
      </c>
      <c r="O3" s="4" t="inlineStr">
        <is>
          <t>CAPEX</t>
        </is>
      </c>
      <c r="P3" s="4" t="inlineStr">
        <is>
          <t>OPEX</t>
        </is>
      </c>
      <c r="Q3" s="4" t="inlineStr">
        <is>
          <t>OtherBen</t>
        </is>
      </c>
      <c r="R3" s="4" t="inlineStr">
        <is>
          <t>OtherCost</t>
        </is>
      </c>
      <c r="S3" s="4" t="inlineStr">
        <is>
          <t>CF_0</t>
        </is>
      </c>
      <c r="T3" s="4" t="inlineStr">
        <is>
          <t>CF_1</t>
        </is>
      </c>
      <c r="U3" s="4" t="inlineStr">
        <is>
          <t>CF_2</t>
        </is>
      </c>
      <c r="V3" s="4" t="inlineStr">
        <is>
          <t>CF_3</t>
        </is>
      </c>
      <c r="W3" s="4" t="inlineStr">
        <is>
          <t>CF_4</t>
        </is>
      </c>
      <c r="X3" s="4" t="inlineStr">
        <is>
          <t>CF_5</t>
        </is>
      </c>
      <c r="Y3" s="4" t="inlineStr">
        <is>
          <t>CF_6</t>
        </is>
      </c>
      <c r="Z3" s="4" t="inlineStr">
        <is>
          <t>CF_7</t>
        </is>
      </c>
      <c r="AA3" s="4" t="inlineStr">
        <is>
          <t>CF_8</t>
        </is>
      </c>
      <c r="AB3" s="4" t="inlineStr">
        <is>
          <t>CF_9</t>
        </is>
      </c>
      <c r="AC3" s="4" t="inlineStr">
        <is>
          <t>CF_10</t>
        </is>
      </c>
      <c r="AD3" s="4" t="inlineStr">
        <is>
          <t>CF_11</t>
        </is>
      </c>
      <c r="AE3" s="4" t="inlineStr">
        <is>
          <t>CF_12</t>
        </is>
      </c>
      <c r="AF3" s="4" t="inlineStr">
        <is>
          <t>CF_13</t>
        </is>
      </c>
      <c r="AG3" s="4" t="inlineStr">
        <is>
          <t>CF_14</t>
        </is>
      </c>
      <c r="AH3" s="4" t="inlineStr">
        <is>
          <t>CF_15</t>
        </is>
      </c>
      <c r="AI3" s="4" t="inlineStr">
        <is>
          <t>CF_16</t>
        </is>
      </c>
      <c r="AJ3" s="4" t="inlineStr">
        <is>
          <t>CF_17</t>
        </is>
      </c>
      <c r="AK3" s="4" t="inlineStr">
        <is>
          <t>CF_18</t>
        </is>
      </c>
      <c r="AL3" s="4" t="inlineStr">
        <is>
          <t>CF_19</t>
        </is>
      </c>
      <c r="AM3" s="4" t="inlineStr">
        <is>
          <t>CF_20</t>
        </is>
      </c>
      <c r="AN3" s="4" t="inlineStr">
        <is>
          <t>KumCF_0</t>
        </is>
      </c>
      <c r="AO3" s="4" t="inlineStr">
        <is>
          <t>KumCF_1</t>
        </is>
      </c>
      <c r="AP3" s="4" t="inlineStr">
        <is>
          <t>KumCF_2</t>
        </is>
      </c>
      <c r="AQ3" s="4" t="inlineStr">
        <is>
          <t>KumCF_3</t>
        </is>
      </c>
      <c r="AR3" s="4" t="inlineStr">
        <is>
          <t>KumCF_4</t>
        </is>
      </c>
      <c r="AS3" s="4" t="inlineStr">
        <is>
          <t>KumCF_5</t>
        </is>
      </c>
      <c r="AT3" s="4" t="inlineStr">
        <is>
          <t>KumCF_6</t>
        </is>
      </c>
      <c r="AU3" s="4" t="inlineStr">
        <is>
          <t>KumCF_7</t>
        </is>
      </c>
      <c r="AV3" s="4" t="inlineStr">
        <is>
          <t>KumCF_8</t>
        </is>
      </c>
      <c r="AW3" s="4" t="inlineStr">
        <is>
          <t>KumCF_9</t>
        </is>
      </c>
      <c r="AX3" s="4" t="inlineStr">
        <is>
          <t>KumCF_10</t>
        </is>
      </c>
      <c r="AY3" s="4" t="inlineStr">
        <is>
          <t>KumCF_11</t>
        </is>
      </c>
      <c r="AZ3" s="4" t="inlineStr">
        <is>
          <t>KumCF_12</t>
        </is>
      </c>
      <c r="BA3" s="4" t="inlineStr">
        <is>
          <t>KumCF_13</t>
        </is>
      </c>
      <c r="BB3" s="4" t="inlineStr">
        <is>
          <t>KumCF_14</t>
        </is>
      </c>
      <c r="BC3" s="4" t="inlineStr">
        <is>
          <t>KumCF_15</t>
        </is>
      </c>
      <c r="BD3" s="4" t="inlineStr">
        <is>
          <t>KumCF_16</t>
        </is>
      </c>
      <c r="BE3" s="4" t="inlineStr">
        <is>
          <t>KumCF_17</t>
        </is>
      </c>
      <c r="BF3" s="4" t="inlineStr">
        <is>
          <t>KumCF_18</t>
        </is>
      </c>
      <c r="BG3" s="4" t="inlineStr">
        <is>
          <t>KumCF_19</t>
        </is>
      </c>
      <c r="BH3" s="4" t="inlineStr">
        <is>
          <t>KumCF_20</t>
        </is>
      </c>
      <c r="BI3" s="4" t="inlineStr">
        <is>
          <t>DiscRed_0</t>
        </is>
      </c>
      <c r="BJ3" s="4" t="inlineStr">
        <is>
          <t>DiscRed_1</t>
        </is>
      </c>
      <c r="BK3" s="4" t="inlineStr">
        <is>
          <t>DiscRed_2</t>
        </is>
      </c>
      <c r="BL3" s="4" t="inlineStr">
        <is>
          <t>DiscRed_3</t>
        </is>
      </c>
      <c r="BM3" s="4" t="inlineStr">
        <is>
          <t>DiscRed_4</t>
        </is>
      </c>
      <c r="BN3" s="4" t="inlineStr">
        <is>
          <t>DiscRed_5</t>
        </is>
      </c>
      <c r="BO3" s="4" t="inlineStr">
        <is>
          <t>DiscRed_6</t>
        </is>
      </c>
      <c r="BP3" s="4" t="inlineStr">
        <is>
          <t>DiscRed_7</t>
        </is>
      </c>
      <c r="BQ3" s="4" t="inlineStr">
        <is>
          <t>DiscRed_8</t>
        </is>
      </c>
      <c r="BR3" s="4" t="inlineStr">
        <is>
          <t>DiscRed_9</t>
        </is>
      </c>
      <c r="BS3" s="4" t="inlineStr">
        <is>
          <t>DiscRed_10</t>
        </is>
      </c>
      <c r="BT3" s="4" t="inlineStr">
        <is>
          <t>DiscRed_11</t>
        </is>
      </c>
      <c r="BU3" s="4" t="inlineStr">
        <is>
          <t>DiscRed_12</t>
        </is>
      </c>
      <c r="BV3" s="4" t="inlineStr">
        <is>
          <t>DiscRed_13</t>
        </is>
      </c>
      <c r="BW3" s="4" t="inlineStr">
        <is>
          <t>DiscRed_14</t>
        </is>
      </c>
      <c r="BX3" s="4" t="inlineStr">
        <is>
          <t>DiscRed_15</t>
        </is>
      </c>
      <c r="BY3" s="4" t="inlineStr">
        <is>
          <t>DiscRed_16</t>
        </is>
      </c>
      <c r="BZ3" s="4" t="inlineStr">
        <is>
          <t>DiscRed_17</t>
        </is>
      </c>
      <c r="CA3" s="4" t="inlineStr">
        <is>
          <t>DiscRed_18</t>
        </is>
      </c>
      <c r="CB3" s="4" t="inlineStr">
        <is>
          <t>DiscRed_19</t>
        </is>
      </c>
      <c r="CC3" s="4" t="inlineStr">
        <is>
          <t>DiscRed_20</t>
        </is>
      </c>
      <c r="CD3" s="4" t="inlineStr">
        <is>
          <t>NPV</t>
        </is>
      </c>
      <c r="CE3" s="4" t="inlineStr">
        <is>
          <t>IRR</t>
        </is>
      </c>
      <c r="CF3" s="4" t="inlineStr">
        <is>
          <t>Payback</t>
        </is>
      </c>
      <c r="CG3" s="4" t="inlineStr">
        <is>
          <t>DiscRed_Total</t>
        </is>
      </c>
      <c r="CH3" s="4" t="inlineStr">
        <is>
          <t>MACC_EUR_pro_Einheit</t>
        </is>
      </c>
    </row>
    <row r="4">
      <c r="A4" s="6">
        <f>Actions!A2</f>
        <v/>
      </c>
      <c r="B4" s="6">
        <f>Actions!B2</f>
        <v/>
      </c>
      <c r="C4" s="6">
        <f>Actions!D2</f>
        <v/>
      </c>
      <c r="D4" s="35">
        <f>Actions!E2</f>
        <v/>
      </c>
      <c r="E4" s="35">
        <f>Actions!F2</f>
        <v/>
      </c>
      <c r="F4" s="6">
        <f>Actions!G2</f>
        <v/>
      </c>
      <c r="G4" s="6">
        <f>Actions!H2</f>
        <v/>
      </c>
      <c r="H4" s="29">
        <f>Actions!I2</f>
        <v/>
      </c>
      <c r="I4" s="6">
        <f>Actions!J2</f>
        <v/>
      </c>
      <c r="J4" s="16">
        <f>Actions!K2</f>
        <v/>
      </c>
      <c r="K4" s="16">
        <f>IF(A4="","",IF(I4="%",H4*J4,J4))</f>
        <v/>
      </c>
      <c r="L4" s="16">
        <f>Actions!L2</f>
        <v/>
      </c>
      <c r="M4" s="6">
        <f>Actions!M2</f>
        <v/>
      </c>
      <c r="N4" s="28">
        <f>Actions!N2</f>
        <v/>
      </c>
      <c r="O4" s="29">
        <f>Actions!T2</f>
        <v/>
      </c>
      <c r="P4" s="29">
        <f>Actions!Y2</f>
        <v/>
      </c>
      <c r="Q4" s="29">
        <f>Actions!Z2</f>
        <v/>
      </c>
      <c r="R4" s="29">
        <f>Actions!AA2</f>
        <v/>
      </c>
      <c r="S4" s="29">
        <f>IF(A4="","",((K4)*(IF(M4="",L4,IFERROR(IF(INDEX(Variablen!$I:$AT, MATCH(M4, Variablen!$A:$A, 0), MATCH((YEAR(D4)+0), Variablen!$I$3:$AT$3, 0))="",L4,INDEX(Variablen!$I:$AT, MATCH(M4, Variablen!$A:$A, 0), MATCH((YEAR(D4)+0), Variablen!$I$3:$AT$3, 0))),L4)))*(IF((YEAR(D4)+0)&lt;YEAR(E4),0,IF((YEAR(D4)+0)&gt;YEAR(E4),1,(12-MONTH(E4)+1)/12))) + (Q4)*(IF((YEAR(D4)+0)&lt;YEAR(E4),0,IF((YEAR(D4)+0)&gt;YEAR(E4),1,(12-MONTH(E4)+1)/12))))-((P4)*(IF((YEAR(D4)+0)&lt;YEAR(E4),0,IF((YEAR(D4)+0)&gt;YEAR(E4),1,(12-MONTH(E4)+1)/12))) + (R4)*(IF((YEAR(D4)+0)&lt;YEAR(E4),0,IF((YEAR(D4)+0)&gt;YEAR(E4),1,(12-MONTH(E4)+1)/12))))-(IF((((K4)*(IF(M4="",L4,IFERROR(IF(INDEX(Variablen!$I:$AT, MATCH(M4, Variablen!$A:$A, 0), MATCH((YEAR(D4)+0), Variablen!$I$3:$AT$3, 0))="",L4,INDEX(Variablen!$I:$AT, MATCH(M4, Variablen!$A:$A, 0), MATCH((YEAR(D4)+0), Variablen!$I$3:$AT$3, 0))),L4)))*(IF((YEAR(D4)+0)&lt;YEAR(E4),0,IF((YEAR(D4)+0)&gt;YEAR(E4),1,(12-MONTH(E4)+1)/12))) + (Q4)*(IF((YEAR(D4)+0)&lt;YEAR(E4),0,IF((YEAR(D4)+0)&gt;YEAR(E4),1,(12-MONTH(E4)+1)/12))))-((P4)*(IF((YEAR(D4)+0)&lt;YEAR(E4),0,IF((YEAR(D4)+0)&gt;YEAR(E4),1,(12-MONTH(E4)+1)/12))) + (R4)*(IF((YEAR(D4)+0)&lt;YEAR(E4),0,IF((YEAR(D4)+0)&gt;YEAR(E4),1,(12-MONTH(E4)+1)/12))))-(IF(OR(N4="",N4&lt;=0),0,(O4/N4)*(IF(OR(N4="",N4&lt;=0),0,IF((YEAR(D4)+0)&lt;YEAR(E4),0,IF((YEAR(D4)+0)&gt;=YEAR(E4)+N4,0,IF((YEAR(D4)+0)=YEAR(E4),(12-MONTH(E4)+1)/12,1))))))))&gt;0,(((K4)*(IF(M4="",L4,IFERROR(IF(INDEX(Variablen!$I:$AT, MATCH(M4, Variablen!$A:$A, 0), MATCH((YEAR(D4)+0), Variablen!$I$3:$AT$3, 0))="",L4,INDEX(Variablen!$I:$AT, MATCH(M4, Variablen!$A:$A, 0), MATCH((YEAR(D4)+0), Variablen!$I$3:$AT$3, 0))),L4)))*(IF((YEAR(D4)+0)&lt;YEAR(E4),0,IF((YEAR(D4)+0)&gt;YEAR(E4),1,(12-MONTH(E4)+1)/12))) + (Q4)*(IF((YEAR(D4)+0)&lt;YEAR(E4),0,IF((YEAR(D4)+0)&gt;YEAR(E4),1,(12-MONTH(E4)+1)/12))))-((P4)*(IF((YEAR(D4)+0)&lt;YEAR(E4),0,IF((YEAR(D4)+0)&gt;YEAR(E4),1,(12-MONTH(E4)+1)/12))) + (R4)*(IF((YEAR(D4)+0)&lt;YEAR(E4),0,IF((YEAR(D4)+0)&gt;YEAR(E4),1,(12-MONTH(E4)+1)/12))))-(IF(OR(N4="",N4&lt;=0),0,(O4/N4)*(IF(OR(N4="",N4&lt;=0),0,IF((YEAR(D4)+0)&lt;YEAR(E4),0,IF((YEAR(D4)+0)&gt;=YEAR(E4)+N4,0,IF((YEAR(D4)+0)=YEAR(E4),(12-MONTH(E4)+1)/12,1))))))))*TaxRate,0))-IF(0=0,O4,0))</f>
        <v/>
      </c>
      <c r="T4" s="29">
        <f>IF(A4="","",((K4)*(IF(M4="",L4,IFERROR(IF(INDEX(Variablen!$I:$AT, MATCH(M4, Variablen!$A:$A, 0), MATCH((YEAR(D4)+1), Variablen!$I$3:$AT$3, 0))="",L4,INDEX(Variablen!$I:$AT, MATCH(M4, Variablen!$A:$A, 0), MATCH((YEAR(D4)+1), Variablen!$I$3:$AT$3, 0))),L4)))*(IF((YEAR(D4)+1)&lt;YEAR(E4),0,IF((YEAR(D4)+1)&gt;YEAR(E4),1,(12-MONTH(E4)+1)/12))) + (Q4)*(IF((YEAR(D4)+1)&lt;YEAR(E4),0,IF((YEAR(D4)+1)&gt;YEAR(E4),1,(12-MONTH(E4)+1)/12))))-((P4)*(IF((YEAR(D4)+1)&lt;YEAR(E4),0,IF((YEAR(D4)+1)&gt;YEAR(E4),1,(12-MONTH(E4)+1)/12))) + (R4)*(IF((YEAR(D4)+1)&lt;YEAR(E4),0,IF((YEAR(D4)+1)&gt;YEAR(E4),1,(12-MONTH(E4)+1)/12))))-(IF((((K4)*(IF(M4="",L4,IFERROR(IF(INDEX(Variablen!$I:$AT, MATCH(M4, Variablen!$A:$A, 0), MATCH((YEAR(D4)+1), Variablen!$I$3:$AT$3, 0))="",L4,INDEX(Variablen!$I:$AT, MATCH(M4, Variablen!$A:$A, 0), MATCH((YEAR(D4)+1), Variablen!$I$3:$AT$3, 0))),L4)))*(IF((YEAR(D4)+1)&lt;YEAR(E4),0,IF((YEAR(D4)+1)&gt;YEAR(E4),1,(12-MONTH(E4)+1)/12))) + (Q4)*(IF((YEAR(D4)+1)&lt;YEAR(E4),0,IF((YEAR(D4)+1)&gt;YEAR(E4),1,(12-MONTH(E4)+1)/12))))-((P4)*(IF((YEAR(D4)+1)&lt;YEAR(E4),0,IF((YEAR(D4)+1)&gt;YEAR(E4),1,(12-MONTH(E4)+1)/12))) + (R4)*(IF((YEAR(D4)+1)&lt;YEAR(E4),0,IF((YEAR(D4)+1)&gt;YEAR(E4),1,(12-MONTH(E4)+1)/12))))-(IF(OR(N4="",N4&lt;=0),0,(O4/N4)*(IF(OR(N4="",N4&lt;=0),0,IF((YEAR(D4)+1)&lt;YEAR(E4),0,IF((YEAR(D4)+1)&gt;=YEAR(E4)+N4,0,IF((YEAR(D4)+1)=YEAR(E4),(12-MONTH(E4)+1)/12,1))))))))&gt;0,(((K4)*(IF(M4="",L4,IFERROR(IF(INDEX(Variablen!$I:$AT, MATCH(M4, Variablen!$A:$A, 0), MATCH((YEAR(D4)+1), Variablen!$I$3:$AT$3, 0))="",L4,INDEX(Variablen!$I:$AT, MATCH(M4, Variablen!$A:$A, 0), MATCH((YEAR(D4)+1), Variablen!$I$3:$AT$3, 0))),L4)))*(IF((YEAR(D4)+1)&lt;YEAR(E4),0,IF((YEAR(D4)+1)&gt;YEAR(E4),1,(12-MONTH(E4)+1)/12))) + (Q4)*(IF((YEAR(D4)+1)&lt;YEAR(E4),0,IF((YEAR(D4)+1)&gt;YEAR(E4),1,(12-MONTH(E4)+1)/12))))-((P4)*(IF((YEAR(D4)+1)&lt;YEAR(E4),0,IF((YEAR(D4)+1)&gt;YEAR(E4),1,(12-MONTH(E4)+1)/12))) + (R4)*(IF((YEAR(D4)+1)&lt;YEAR(E4),0,IF((YEAR(D4)+1)&gt;YEAR(E4),1,(12-MONTH(E4)+1)/12))))-(IF(OR(N4="",N4&lt;=0),0,(O4/N4)*(IF(OR(N4="",N4&lt;=0),0,IF((YEAR(D4)+1)&lt;YEAR(E4),0,IF((YEAR(D4)+1)&gt;=YEAR(E4)+N4,0,IF((YEAR(D4)+1)=YEAR(E4),(12-MONTH(E4)+1)/12,1))))))))*TaxRate,0))-IF(1=0,O4,0))</f>
        <v/>
      </c>
      <c r="U4" s="29">
        <f>IF(A4="","",((K4)*(IF(M4="",L4,IFERROR(IF(INDEX(Variablen!$I:$AT, MATCH(M4, Variablen!$A:$A, 0), MATCH((YEAR(D4)+2), Variablen!$I$3:$AT$3, 0))="",L4,INDEX(Variablen!$I:$AT, MATCH(M4, Variablen!$A:$A, 0), MATCH((YEAR(D4)+2), Variablen!$I$3:$AT$3, 0))),L4)))*(IF((YEAR(D4)+2)&lt;YEAR(E4),0,IF((YEAR(D4)+2)&gt;YEAR(E4),1,(12-MONTH(E4)+1)/12))) + (Q4)*(IF((YEAR(D4)+2)&lt;YEAR(E4),0,IF((YEAR(D4)+2)&gt;YEAR(E4),1,(12-MONTH(E4)+1)/12))))-((P4)*(IF((YEAR(D4)+2)&lt;YEAR(E4),0,IF((YEAR(D4)+2)&gt;YEAR(E4),1,(12-MONTH(E4)+1)/12))) + (R4)*(IF((YEAR(D4)+2)&lt;YEAR(E4),0,IF((YEAR(D4)+2)&gt;YEAR(E4),1,(12-MONTH(E4)+1)/12))))-(IF((((K4)*(IF(M4="",L4,IFERROR(IF(INDEX(Variablen!$I:$AT, MATCH(M4, Variablen!$A:$A, 0), MATCH((YEAR(D4)+2), Variablen!$I$3:$AT$3, 0))="",L4,INDEX(Variablen!$I:$AT, MATCH(M4, Variablen!$A:$A, 0), MATCH((YEAR(D4)+2), Variablen!$I$3:$AT$3, 0))),L4)))*(IF((YEAR(D4)+2)&lt;YEAR(E4),0,IF((YEAR(D4)+2)&gt;YEAR(E4),1,(12-MONTH(E4)+1)/12))) + (Q4)*(IF((YEAR(D4)+2)&lt;YEAR(E4),0,IF((YEAR(D4)+2)&gt;YEAR(E4),1,(12-MONTH(E4)+1)/12))))-((P4)*(IF((YEAR(D4)+2)&lt;YEAR(E4),0,IF((YEAR(D4)+2)&gt;YEAR(E4),1,(12-MONTH(E4)+1)/12))) + (R4)*(IF((YEAR(D4)+2)&lt;YEAR(E4),0,IF((YEAR(D4)+2)&gt;YEAR(E4),1,(12-MONTH(E4)+1)/12))))-(IF(OR(N4="",N4&lt;=0),0,(O4/N4)*(IF(OR(N4="",N4&lt;=0),0,IF((YEAR(D4)+2)&lt;YEAR(E4),0,IF((YEAR(D4)+2)&gt;=YEAR(E4)+N4,0,IF((YEAR(D4)+2)=YEAR(E4),(12-MONTH(E4)+1)/12,1))))))))&gt;0,(((K4)*(IF(M4="",L4,IFERROR(IF(INDEX(Variablen!$I:$AT, MATCH(M4, Variablen!$A:$A, 0), MATCH((YEAR(D4)+2), Variablen!$I$3:$AT$3, 0))="",L4,INDEX(Variablen!$I:$AT, MATCH(M4, Variablen!$A:$A, 0), MATCH((YEAR(D4)+2), Variablen!$I$3:$AT$3, 0))),L4)))*(IF((YEAR(D4)+2)&lt;YEAR(E4),0,IF((YEAR(D4)+2)&gt;YEAR(E4),1,(12-MONTH(E4)+1)/12))) + (Q4)*(IF((YEAR(D4)+2)&lt;YEAR(E4),0,IF((YEAR(D4)+2)&gt;YEAR(E4),1,(12-MONTH(E4)+1)/12))))-((P4)*(IF((YEAR(D4)+2)&lt;YEAR(E4),0,IF((YEAR(D4)+2)&gt;YEAR(E4),1,(12-MONTH(E4)+1)/12))) + (R4)*(IF((YEAR(D4)+2)&lt;YEAR(E4),0,IF((YEAR(D4)+2)&gt;YEAR(E4),1,(12-MONTH(E4)+1)/12))))-(IF(OR(N4="",N4&lt;=0),0,(O4/N4)*(IF(OR(N4="",N4&lt;=0),0,IF((YEAR(D4)+2)&lt;YEAR(E4),0,IF((YEAR(D4)+2)&gt;=YEAR(E4)+N4,0,IF((YEAR(D4)+2)=YEAR(E4),(12-MONTH(E4)+1)/12,1))))))))*TaxRate,0))-IF(2=0,O4,0))</f>
        <v/>
      </c>
      <c r="V4" s="29">
        <f>IF(A4="","",((K4)*(IF(M4="",L4,IFERROR(IF(INDEX(Variablen!$I:$AT, MATCH(M4, Variablen!$A:$A, 0), MATCH((YEAR(D4)+3), Variablen!$I$3:$AT$3, 0))="",L4,INDEX(Variablen!$I:$AT, MATCH(M4, Variablen!$A:$A, 0), MATCH((YEAR(D4)+3), Variablen!$I$3:$AT$3, 0))),L4)))*(IF((YEAR(D4)+3)&lt;YEAR(E4),0,IF((YEAR(D4)+3)&gt;YEAR(E4),1,(12-MONTH(E4)+1)/12))) + (Q4)*(IF((YEAR(D4)+3)&lt;YEAR(E4),0,IF((YEAR(D4)+3)&gt;YEAR(E4),1,(12-MONTH(E4)+1)/12))))-((P4)*(IF((YEAR(D4)+3)&lt;YEAR(E4),0,IF((YEAR(D4)+3)&gt;YEAR(E4),1,(12-MONTH(E4)+1)/12))) + (R4)*(IF((YEAR(D4)+3)&lt;YEAR(E4),0,IF((YEAR(D4)+3)&gt;YEAR(E4),1,(12-MONTH(E4)+1)/12))))-(IF((((K4)*(IF(M4="",L4,IFERROR(IF(INDEX(Variablen!$I:$AT, MATCH(M4, Variablen!$A:$A, 0), MATCH((YEAR(D4)+3), Variablen!$I$3:$AT$3, 0))="",L4,INDEX(Variablen!$I:$AT, MATCH(M4, Variablen!$A:$A, 0), MATCH((YEAR(D4)+3), Variablen!$I$3:$AT$3, 0))),L4)))*(IF((YEAR(D4)+3)&lt;YEAR(E4),0,IF((YEAR(D4)+3)&gt;YEAR(E4),1,(12-MONTH(E4)+1)/12))) + (Q4)*(IF((YEAR(D4)+3)&lt;YEAR(E4),0,IF((YEAR(D4)+3)&gt;YEAR(E4),1,(12-MONTH(E4)+1)/12))))-((P4)*(IF((YEAR(D4)+3)&lt;YEAR(E4),0,IF((YEAR(D4)+3)&gt;YEAR(E4),1,(12-MONTH(E4)+1)/12))) + (R4)*(IF((YEAR(D4)+3)&lt;YEAR(E4),0,IF((YEAR(D4)+3)&gt;YEAR(E4),1,(12-MONTH(E4)+1)/12))))-(IF(OR(N4="",N4&lt;=0),0,(O4/N4)*(IF(OR(N4="",N4&lt;=0),0,IF((YEAR(D4)+3)&lt;YEAR(E4),0,IF((YEAR(D4)+3)&gt;=YEAR(E4)+N4,0,IF((YEAR(D4)+3)=YEAR(E4),(12-MONTH(E4)+1)/12,1))))))))&gt;0,(((K4)*(IF(M4="",L4,IFERROR(IF(INDEX(Variablen!$I:$AT, MATCH(M4, Variablen!$A:$A, 0), MATCH((YEAR(D4)+3), Variablen!$I$3:$AT$3, 0))="",L4,INDEX(Variablen!$I:$AT, MATCH(M4, Variablen!$A:$A, 0), MATCH((YEAR(D4)+3), Variablen!$I$3:$AT$3, 0))),L4)))*(IF((YEAR(D4)+3)&lt;YEAR(E4),0,IF((YEAR(D4)+3)&gt;YEAR(E4),1,(12-MONTH(E4)+1)/12))) + (Q4)*(IF((YEAR(D4)+3)&lt;YEAR(E4),0,IF((YEAR(D4)+3)&gt;YEAR(E4),1,(12-MONTH(E4)+1)/12))))-((P4)*(IF((YEAR(D4)+3)&lt;YEAR(E4),0,IF((YEAR(D4)+3)&gt;YEAR(E4),1,(12-MONTH(E4)+1)/12))) + (R4)*(IF((YEAR(D4)+3)&lt;YEAR(E4),0,IF((YEAR(D4)+3)&gt;YEAR(E4),1,(12-MONTH(E4)+1)/12))))-(IF(OR(N4="",N4&lt;=0),0,(O4/N4)*(IF(OR(N4="",N4&lt;=0),0,IF((YEAR(D4)+3)&lt;YEAR(E4),0,IF((YEAR(D4)+3)&gt;=YEAR(E4)+N4,0,IF((YEAR(D4)+3)=YEAR(E4),(12-MONTH(E4)+1)/12,1))))))))*TaxRate,0))-IF(3=0,O4,0))</f>
        <v/>
      </c>
      <c r="W4" s="29">
        <f>IF(A4="","",((K4)*(IF(M4="",L4,IFERROR(IF(INDEX(Variablen!$I:$AT, MATCH(M4, Variablen!$A:$A, 0), MATCH((YEAR(D4)+4), Variablen!$I$3:$AT$3, 0))="",L4,INDEX(Variablen!$I:$AT, MATCH(M4, Variablen!$A:$A, 0), MATCH((YEAR(D4)+4), Variablen!$I$3:$AT$3, 0))),L4)))*(IF((YEAR(D4)+4)&lt;YEAR(E4),0,IF((YEAR(D4)+4)&gt;YEAR(E4),1,(12-MONTH(E4)+1)/12))) + (Q4)*(IF((YEAR(D4)+4)&lt;YEAR(E4),0,IF((YEAR(D4)+4)&gt;YEAR(E4),1,(12-MONTH(E4)+1)/12))))-((P4)*(IF((YEAR(D4)+4)&lt;YEAR(E4),0,IF((YEAR(D4)+4)&gt;YEAR(E4),1,(12-MONTH(E4)+1)/12))) + (R4)*(IF((YEAR(D4)+4)&lt;YEAR(E4),0,IF((YEAR(D4)+4)&gt;YEAR(E4),1,(12-MONTH(E4)+1)/12))))-(IF((((K4)*(IF(M4="",L4,IFERROR(IF(INDEX(Variablen!$I:$AT, MATCH(M4, Variablen!$A:$A, 0), MATCH((YEAR(D4)+4), Variablen!$I$3:$AT$3, 0))="",L4,INDEX(Variablen!$I:$AT, MATCH(M4, Variablen!$A:$A, 0), MATCH((YEAR(D4)+4), Variablen!$I$3:$AT$3, 0))),L4)))*(IF((YEAR(D4)+4)&lt;YEAR(E4),0,IF((YEAR(D4)+4)&gt;YEAR(E4),1,(12-MONTH(E4)+1)/12))) + (Q4)*(IF((YEAR(D4)+4)&lt;YEAR(E4),0,IF((YEAR(D4)+4)&gt;YEAR(E4),1,(12-MONTH(E4)+1)/12))))-((P4)*(IF((YEAR(D4)+4)&lt;YEAR(E4),0,IF((YEAR(D4)+4)&gt;YEAR(E4),1,(12-MONTH(E4)+1)/12))) + (R4)*(IF((YEAR(D4)+4)&lt;YEAR(E4),0,IF((YEAR(D4)+4)&gt;YEAR(E4),1,(12-MONTH(E4)+1)/12))))-(IF(OR(N4="",N4&lt;=0),0,(O4/N4)*(IF(OR(N4="",N4&lt;=0),0,IF((YEAR(D4)+4)&lt;YEAR(E4),0,IF((YEAR(D4)+4)&gt;=YEAR(E4)+N4,0,IF((YEAR(D4)+4)=YEAR(E4),(12-MONTH(E4)+1)/12,1))))))))&gt;0,(((K4)*(IF(M4="",L4,IFERROR(IF(INDEX(Variablen!$I:$AT, MATCH(M4, Variablen!$A:$A, 0), MATCH((YEAR(D4)+4), Variablen!$I$3:$AT$3, 0))="",L4,INDEX(Variablen!$I:$AT, MATCH(M4, Variablen!$A:$A, 0), MATCH((YEAR(D4)+4), Variablen!$I$3:$AT$3, 0))),L4)))*(IF((YEAR(D4)+4)&lt;YEAR(E4),0,IF((YEAR(D4)+4)&gt;YEAR(E4),1,(12-MONTH(E4)+1)/12))) + (Q4)*(IF((YEAR(D4)+4)&lt;YEAR(E4),0,IF((YEAR(D4)+4)&gt;YEAR(E4),1,(12-MONTH(E4)+1)/12))))-((P4)*(IF((YEAR(D4)+4)&lt;YEAR(E4),0,IF((YEAR(D4)+4)&gt;YEAR(E4),1,(12-MONTH(E4)+1)/12))) + (R4)*(IF((YEAR(D4)+4)&lt;YEAR(E4),0,IF((YEAR(D4)+4)&gt;YEAR(E4),1,(12-MONTH(E4)+1)/12))))-(IF(OR(N4="",N4&lt;=0),0,(O4/N4)*(IF(OR(N4="",N4&lt;=0),0,IF((YEAR(D4)+4)&lt;YEAR(E4),0,IF((YEAR(D4)+4)&gt;=YEAR(E4)+N4,0,IF((YEAR(D4)+4)=YEAR(E4),(12-MONTH(E4)+1)/12,1))))))))*TaxRate,0))-IF(4=0,O4,0))</f>
        <v/>
      </c>
      <c r="X4" s="29">
        <f>IF(A4="","",((K4)*(IF(M4="",L4,IFERROR(IF(INDEX(Variablen!$I:$AT, MATCH(M4, Variablen!$A:$A, 0), MATCH((YEAR(D4)+5), Variablen!$I$3:$AT$3, 0))="",L4,INDEX(Variablen!$I:$AT, MATCH(M4, Variablen!$A:$A, 0), MATCH((YEAR(D4)+5), Variablen!$I$3:$AT$3, 0))),L4)))*(IF((YEAR(D4)+5)&lt;YEAR(E4),0,IF((YEAR(D4)+5)&gt;YEAR(E4),1,(12-MONTH(E4)+1)/12))) + (Q4)*(IF((YEAR(D4)+5)&lt;YEAR(E4),0,IF((YEAR(D4)+5)&gt;YEAR(E4),1,(12-MONTH(E4)+1)/12))))-((P4)*(IF((YEAR(D4)+5)&lt;YEAR(E4),0,IF((YEAR(D4)+5)&gt;YEAR(E4),1,(12-MONTH(E4)+1)/12))) + (R4)*(IF((YEAR(D4)+5)&lt;YEAR(E4),0,IF((YEAR(D4)+5)&gt;YEAR(E4),1,(12-MONTH(E4)+1)/12))))-(IF((((K4)*(IF(M4="",L4,IFERROR(IF(INDEX(Variablen!$I:$AT, MATCH(M4, Variablen!$A:$A, 0), MATCH((YEAR(D4)+5), Variablen!$I$3:$AT$3, 0))="",L4,INDEX(Variablen!$I:$AT, MATCH(M4, Variablen!$A:$A, 0), MATCH((YEAR(D4)+5), Variablen!$I$3:$AT$3, 0))),L4)))*(IF((YEAR(D4)+5)&lt;YEAR(E4),0,IF((YEAR(D4)+5)&gt;YEAR(E4),1,(12-MONTH(E4)+1)/12))) + (Q4)*(IF((YEAR(D4)+5)&lt;YEAR(E4),0,IF((YEAR(D4)+5)&gt;YEAR(E4),1,(12-MONTH(E4)+1)/12))))-((P4)*(IF((YEAR(D4)+5)&lt;YEAR(E4),0,IF((YEAR(D4)+5)&gt;YEAR(E4),1,(12-MONTH(E4)+1)/12))) + (R4)*(IF((YEAR(D4)+5)&lt;YEAR(E4),0,IF((YEAR(D4)+5)&gt;YEAR(E4),1,(12-MONTH(E4)+1)/12))))-(IF(OR(N4="",N4&lt;=0),0,(O4/N4)*(IF(OR(N4="",N4&lt;=0),0,IF((YEAR(D4)+5)&lt;YEAR(E4),0,IF((YEAR(D4)+5)&gt;=YEAR(E4)+N4,0,IF((YEAR(D4)+5)=YEAR(E4),(12-MONTH(E4)+1)/12,1))))))))&gt;0,(((K4)*(IF(M4="",L4,IFERROR(IF(INDEX(Variablen!$I:$AT, MATCH(M4, Variablen!$A:$A, 0), MATCH((YEAR(D4)+5), Variablen!$I$3:$AT$3, 0))="",L4,INDEX(Variablen!$I:$AT, MATCH(M4, Variablen!$A:$A, 0), MATCH((YEAR(D4)+5), Variablen!$I$3:$AT$3, 0))),L4)))*(IF((YEAR(D4)+5)&lt;YEAR(E4),0,IF((YEAR(D4)+5)&gt;YEAR(E4),1,(12-MONTH(E4)+1)/12))) + (Q4)*(IF((YEAR(D4)+5)&lt;YEAR(E4),0,IF((YEAR(D4)+5)&gt;YEAR(E4),1,(12-MONTH(E4)+1)/12))))-((P4)*(IF((YEAR(D4)+5)&lt;YEAR(E4),0,IF((YEAR(D4)+5)&gt;YEAR(E4),1,(12-MONTH(E4)+1)/12))) + (R4)*(IF((YEAR(D4)+5)&lt;YEAR(E4),0,IF((YEAR(D4)+5)&gt;YEAR(E4),1,(12-MONTH(E4)+1)/12))))-(IF(OR(N4="",N4&lt;=0),0,(O4/N4)*(IF(OR(N4="",N4&lt;=0),0,IF((YEAR(D4)+5)&lt;YEAR(E4),0,IF((YEAR(D4)+5)&gt;=YEAR(E4)+N4,0,IF((YEAR(D4)+5)=YEAR(E4),(12-MONTH(E4)+1)/12,1))))))))*TaxRate,0))-IF(5=0,O4,0))</f>
        <v/>
      </c>
      <c r="Y4" s="29">
        <f>IF(A4="","",((K4)*(IF(M4="",L4,IFERROR(IF(INDEX(Variablen!$I:$AT, MATCH(M4, Variablen!$A:$A, 0), MATCH((YEAR(D4)+6), Variablen!$I$3:$AT$3, 0))="",L4,INDEX(Variablen!$I:$AT, MATCH(M4, Variablen!$A:$A, 0), MATCH((YEAR(D4)+6), Variablen!$I$3:$AT$3, 0))),L4)))*(IF((YEAR(D4)+6)&lt;YEAR(E4),0,IF((YEAR(D4)+6)&gt;YEAR(E4),1,(12-MONTH(E4)+1)/12))) + (Q4)*(IF((YEAR(D4)+6)&lt;YEAR(E4),0,IF((YEAR(D4)+6)&gt;YEAR(E4),1,(12-MONTH(E4)+1)/12))))-((P4)*(IF((YEAR(D4)+6)&lt;YEAR(E4),0,IF((YEAR(D4)+6)&gt;YEAR(E4),1,(12-MONTH(E4)+1)/12))) + (R4)*(IF((YEAR(D4)+6)&lt;YEAR(E4),0,IF((YEAR(D4)+6)&gt;YEAR(E4),1,(12-MONTH(E4)+1)/12))))-(IF((((K4)*(IF(M4="",L4,IFERROR(IF(INDEX(Variablen!$I:$AT, MATCH(M4, Variablen!$A:$A, 0), MATCH((YEAR(D4)+6), Variablen!$I$3:$AT$3, 0))="",L4,INDEX(Variablen!$I:$AT, MATCH(M4, Variablen!$A:$A, 0), MATCH((YEAR(D4)+6), Variablen!$I$3:$AT$3, 0))),L4)))*(IF((YEAR(D4)+6)&lt;YEAR(E4),0,IF((YEAR(D4)+6)&gt;YEAR(E4),1,(12-MONTH(E4)+1)/12))) + (Q4)*(IF((YEAR(D4)+6)&lt;YEAR(E4),0,IF((YEAR(D4)+6)&gt;YEAR(E4),1,(12-MONTH(E4)+1)/12))))-((P4)*(IF((YEAR(D4)+6)&lt;YEAR(E4),0,IF((YEAR(D4)+6)&gt;YEAR(E4),1,(12-MONTH(E4)+1)/12))) + (R4)*(IF((YEAR(D4)+6)&lt;YEAR(E4),0,IF((YEAR(D4)+6)&gt;YEAR(E4),1,(12-MONTH(E4)+1)/12))))-(IF(OR(N4="",N4&lt;=0),0,(O4/N4)*(IF(OR(N4="",N4&lt;=0),0,IF((YEAR(D4)+6)&lt;YEAR(E4),0,IF((YEAR(D4)+6)&gt;=YEAR(E4)+N4,0,IF((YEAR(D4)+6)=YEAR(E4),(12-MONTH(E4)+1)/12,1))))))))&gt;0,(((K4)*(IF(M4="",L4,IFERROR(IF(INDEX(Variablen!$I:$AT, MATCH(M4, Variablen!$A:$A, 0), MATCH((YEAR(D4)+6), Variablen!$I$3:$AT$3, 0))="",L4,INDEX(Variablen!$I:$AT, MATCH(M4, Variablen!$A:$A, 0), MATCH((YEAR(D4)+6), Variablen!$I$3:$AT$3, 0))),L4)))*(IF((YEAR(D4)+6)&lt;YEAR(E4),0,IF((YEAR(D4)+6)&gt;YEAR(E4),1,(12-MONTH(E4)+1)/12))) + (Q4)*(IF((YEAR(D4)+6)&lt;YEAR(E4),0,IF((YEAR(D4)+6)&gt;YEAR(E4),1,(12-MONTH(E4)+1)/12))))-((P4)*(IF((YEAR(D4)+6)&lt;YEAR(E4),0,IF((YEAR(D4)+6)&gt;YEAR(E4),1,(12-MONTH(E4)+1)/12))) + (R4)*(IF((YEAR(D4)+6)&lt;YEAR(E4),0,IF((YEAR(D4)+6)&gt;YEAR(E4),1,(12-MONTH(E4)+1)/12))))-(IF(OR(N4="",N4&lt;=0),0,(O4/N4)*(IF(OR(N4="",N4&lt;=0),0,IF((YEAR(D4)+6)&lt;YEAR(E4),0,IF((YEAR(D4)+6)&gt;=YEAR(E4)+N4,0,IF((YEAR(D4)+6)=YEAR(E4),(12-MONTH(E4)+1)/12,1))))))))*TaxRate,0))-IF(6=0,O4,0))</f>
        <v/>
      </c>
      <c r="Z4" s="29">
        <f>IF(A4="","",((K4)*(IF(M4="",L4,IFERROR(IF(INDEX(Variablen!$I:$AT, MATCH(M4, Variablen!$A:$A, 0), MATCH((YEAR(D4)+7), Variablen!$I$3:$AT$3, 0))="",L4,INDEX(Variablen!$I:$AT, MATCH(M4, Variablen!$A:$A, 0), MATCH((YEAR(D4)+7), Variablen!$I$3:$AT$3, 0))),L4)))*(IF((YEAR(D4)+7)&lt;YEAR(E4),0,IF((YEAR(D4)+7)&gt;YEAR(E4),1,(12-MONTH(E4)+1)/12))) + (Q4)*(IF((YEAR(D4)+7)&lt;YEAR(E4),0,IF((YEAR(D4)+7)&gt;YEAR(E4),1,(12-MONTH(E4)+1)/12))))-((P4)*(IF((YEAR(D4)+7)&lt;YEAR(E4),0,IF((YEAR(D4)+7)&gt;YEAR(E4),1,(12-MONTH(E4)+1)/12))) + (R4)*(IF((YEAR(D4)+7)&lt;YEAR(E4),0,IF((YEAR(D4)+7)&gt;YEAR(E4),1,(12-MONTH(E4)+1)/12))))-(IF((((K4)*(IF(M4="",L4,IFERROR(IF(INDEX(Variablen!$I:$AT, MATCH(M4, Variablen!$A:$A, 0), MATCH((YEAR(D4)+7), Variablen!$I$3:$AT$3, 0))="",L4,INDEX(Variablen!$I:$AT, MATCH(M4, Variablen!$A:$A, 0), MATCH((YEAR(D4)+7), Variablen!$I$3:$AT$3, 0))),L4)))*(IF((YEAR(D4)+7)&lt;YEAR(E4),0,IF((YEAR(D4)+7)&gt;YEAR(E4),1,(12-MONTH(E4)+1)/12))) + (Q4)*(IF((YEAR(D4)+7)&lt;YEAR(E4),0,IF((YEAR(D4)+7)&gt;YEAR(E4),1,(12-MONTH(E4)+1)/12))))-((P4)*(IF((YEAR(D4)+7)&lt;YEAR(E4),0,IF((YEAR(D4)+7)&gt;YEAR(E4),1,(12-MONTH(E4)+1)/12))) + (R4)*(IF((YEAR(D4)+7)&lt;YEAR(E4),0,IF((YEAR(D4)+7)&gt;YEAR(E4),1,(12-MONTH(E4)+1)/12))))-(IF(OR(N4="",N4&lt;=0),0,(O4/N4)*(IF(OR(N4="",N4&lt;=0),0,IF((YEAR(D4)+7)&lt;YEAR(E4),0,IF((YEAR(D4)+7)&gt;=YEAR(E4)+N4,0,IF((YEAR(D4)+7)=YEAR(E4),(12-MONTH(E4)+1)/12,1))))))))&gt;0,(((K4)*(IF(M4="",L4,IFERROR(IF(INDEX(Variablen!$I:$AT, MATCH(M4, Variablen!$A:$A, 0), MATCH((YEAR(D4)+7), Variablen!$I$3:$AT$3, 0))="",L4,INDEX(Variablen!$I:$AT, MATCH(M4, Variablen!$A:$A, 0), MATCH((YEAR(D4)+7), Variablen!$I$3:$AT$3, 0))),L4)))*(IF((YEAR(D4)+7)&lt;YEAR(E4),0,IF((YEAR(D4)+7)&gt;YEAR(E4),1,(12-MONTH(E4)+1)/12))) + (Q4)*(IF((YEAR(D4)+7)&lt;YEAR(E4),0,IF((YEAR(D4)+7)&gt;YEAR(E4),1,(12-MONTH(E4)+1)/12))))-((P4)*(IF((YEAR(D4)+7)&lt;YEAR(E4),0,IF((YEAR(D4)+7)&gt;YEAR(E4),1,(12-MONTH(E4)+1)/12))) + (R4)*(IF((YEAR(D4)+7)&lt;YEAR(E4),0,IF((YEAR(D4)+7)&gt;YEAR(E4),1,(12-MONTH(E4)+1)/12))))-(IF(OR(N4="",N4&lt;=0),0,(O4/N4)*(IF(OR(N4="",N4&lt;=0),0,IF((YEAR(D4)+7)&lt;YEAR(E4),0,IF((YEAR(D4)+7)&gt;=YEAR(E4)+N4,0,IF((YEAR(D4)+7)=YEAR(E4),(12-MONTH(E4)+1)/12,1))))))))*TaxRate,0))-IF(7=0,O4,0))</f>
        <v/>
      </c>
      <c r="AA4" s="29">
        <f>IF(A4="","",((K4)*(IF(M4="",L4,IFERROR(IF(INDEX(Variablen!$I:$AT, MATCH(M4, Variablen!$A:$A, 0), MATCH((YEAR(D4)+8), Variablen!$I$3:$AT$3, 0))="",L4,INDEX(Variablen!$I:$AT, MATCH(M4, Variablen!$A:$A, 0), MATCH((YEAR(D4)+8), Variablen!$I$3:$AT$3, 0))),L4)))*(IF((YEAR(D4)+8)&lt;YEAR(E4),0,IF((YEAR(D4)+8)&gt;YEAR(E4),1,(12-MONTH(E4)+1)/12))) + (Q4)*(IF((YEAR(D4)+8)&lt;YEAR(E4),0,IF((YEAR(D4)+8)&gt;YEAR(E4),1,(12-MONTH(E4)+1)/12))))-((P4)*(IF((YEAR(D4)+8)&lt;YEAR(E4),0,IF((YEAR(D4)+8)&gt;YEAR(E4),1,(12-MONTH(E4)+1)/12))) + (R4)*(IF((YEAR(D4)+8)&lt;YEAR(E4),0,IF((YEAR(D4)+8)&gt;YEAR(E4),1,(12-MONTH(E4)+1)/12))))-(IF((((K4)*(IF(M4="",L4,IFERROR(IF(INDEX(Variablen!$I:$AT, MATCH(M4, Variablen!$A:$A, 0), MATCH((YEAR(D4)+8), Variablen!$I$3:$AT$3, 0))="",L4,INDEX(Variablen!$I:$AT, MATCH(M4, Variablen!$A:$A, 0), MATCH((YEAR(D4)+8), Variablen!$I$3:$AT$3, 0))),L4)))*(IF((YEAR(D4)+8)&lt;YEAR(E4),0,IF((YEAR(D4)+8)&gt;YEAR(E4),1,(12-MONTH(E4)+1)/12))) + (Q4)*(IF((YEAR(D4)+8)&lt;YEAR(E4),0,IF((YEAR(D4)+8)&gt;YEAR(E4),1,(12-MONTH(E4)+1)/12))))-((P4)*(IF((YEAR(D4)+8)&lt;YEAR(E4),0,IF((YEAR(D4)+8)&gt;YEAR(E4),1,(12-MONTH(E4)+1)/12))) + (R4)*(IF((YEAR(D4)+8)&lt;YEAR(E4),0,IF((YEAR(D4)+8)&gt;YEAR(E4),1,(12-MONTH(E4)+1)/12))))-(IF(OR(N4="",N4&lt;=0),0,(O4/N4)*(IF(OR(N4="",N4&lt;=0),0,IF((YEAR(D4)+8)&lt;YEAR(E4),0,IF((YEAR(D4)+8)&gt;=YEAR(E4)+N4,0,IF((YEAR(D4)+8)=YEAR(E4),(12-MONTH(E4)+1)/12,1))))))))&gt;0,(((K4)*(IF(M4="",L4,IFERROR(IF(INDEX(Variablen!$I:$AT, MATCH(M4, Variablen!$A:$A, 0), MATCH((YEAR(D4)+8), Variablen!$I$3:$AT$3, 0))="",L4,INDEX(Variablen!$I:$AT, MATCH(M4, Variablen!$A:$A, 0), MATCH((YEAR(D4)+8), Variablen!$I$3:$AT$3, 0))),L4)))*(IF((YEAR(D4)+8)&lt;YEAR(E4),0,IF((YEAR(D4)+8)&gt;YEAR(E4),1,(12-MONTH(E4)+1)/12))) + (Q4)*(IF((YEAR(D4)+8)&lt;YEAR(E4),0,IF((YEAR(D4)+8)&gt;YEAR(E4),1,(12-MONTH(E4)+1)/12))))-((P4)*(IF((YEAR(D4)+8)&lt;YEAR(E4),0,IF((YEAR(D4)+8)&gt;YEAR(E4),1,(12-MONTH(E4)+1)/12))) + (R4)*(IF((YEAR(D4)+8)&lt;YEAR(E4),0,IF((YEAR(D4)+8)&gt;YEAR(E4),1,(12-MONTH(E4)+1)/12))))-(IF(OR(N4="",N4&lt;=0),0,(O4/N4)*(IF(OR(N4="",N4&lt;=0),0,IF((YEAR(D4)+8)&lt;YEAR(E4),0,IF((YEAR(D4)+8)&gt;=YEAR(E4)+N4,0,IF((YEAR(D4)+8)=YEAR(E4),(12-MONTH(E4)+1)/12,1))))))))*TaxRate,0))-IF(8=0,O4,0))</f>
        <v/>
      </c>
      <c r="AB4" s="29">
        <f>IF(A4="","",((K4)*(IF(M4="",L4,IFERROR(IF(INDEX(Variablen!$I:$AT, MATCH(M4, Variablen!$A:$A, 0), MATCH((YEAR(D4)+9), Variablen!$I$3:$AT$3, 0))="",L4,INDEX(Variablen!$I:$AT, MATCH(M4, Variablen!$A:$A, 0), MATCH((YEAR(D4)+9), Variablen!$I$3:$AT$3, 0))),L4)))*(IF((YEAR(D4)+9)&lt;YEAR(E4),0,IF((YEAR(D4)+9)&gt;YEAR(E4),1,(12-MONTH(E4)+1)/12))) + (Q4)*(IF((YEAR(D4)+9)&lt;YEAR(E4),0,IF((YEAR(D4)+9)&gt;YEAR(E4),1,(12-MONTH(E4)+1)/12))))-((P4)*(IF((YEAR(D4)+9)&lt;YEAR(E4),0,IF((YEAR(D4)+9)&gt;YEAR(E4),1,(12-MONTH(E4)+1)/12))) + (R4)*(IF((YEAR(D4)+9)&lt;YEAR(E4),0,IF((YEAR(D4)+9)&gt;YEAR(E4),1,(12-MONTH(E4)+1)/12))))-(IF((((K4)*(IF(M4="",L4,IFERROR(IF(INDEX(Variablen!$I:$AT, MATCH(M4, Variablen!$A:$A, 0), MATCH((YEAR(D4)+9), Variablen!$I$3:$AT$3, 0))="",L4,INDEX(Variablen!$I:$AT, MATCH(M4, Variablen!$A:$A, 0), MATCH((YEAR(D4)+9), Variablen!$I$3:$AT$3, 0))),L4)))*(IF((YEAR(D4)+9)&lt;YEAR(E4),0,IF((YEAR(D4)+9)&gt;YEAR(E4),1,(12-MONTH(E4)+1)/12))) + (Q4)*(IF((YEAR(D4)+9)&lt;YEAR(E4),0,IF((YEAR(D4)+9)&gt;YEAR(E4),1,(12-MONTH(E4)+1)/12))))-((P4)*(IF((YEAR(D4)+9)&lt;YEAR(E4),0,IF((YEAR(D4)+9)&gt;YEAR(E4),1,(12-MONTH(E4)+1)/12))) + (R4)*(IF((YEAR(D4)+9)&lt;YEAR(E4),0,IF((YEAR(D4)+9)&gt;YEAR(E4),1,(12-MONTH(E4)+1)/12))))-(IF(OR(N4="",N4&lt;=0),0,(O4/N4)*(IF(OR(N4="",N4&lt;=0),0,IF((YEAR(D4)+9)&lt;YEAR(E4),0,IF((YEAR(D4)+9)&gt;=YEAR(E4)+N4,0,IF((YEAR(D4)+9)=YEAR(E4),(12-MONTH(E4)+1)/12,1))))))))&gt;0,(((K4)*(IF(M4="",L4,IFERROR(IF(INDEX(Variablen!$I:$AT, MATCH(M4, Variablen!$A:$A, 0), MATCH((YEAR(D4)+9), Variablen!$I$3:$AT$3, 0))="",L4,INDEX(Variablen!$I:$AT, MATCH(M4, Variablen!$A:$A, 0), MATCH((YEAR(D4)+9), Variablen!$I$3:$AT$3, 0))),L4)))*(IF((YEAR(D4)+9)&lt;YEAR(E4),0,IF((YEAR(D4)+9)&gt;YEAR(E4),1,(12-MONTH(E4)+1)/12))) + (Q4)*(IF((YEAR(D4)+9)&lt;YEAR(E4),0,IF((YEAR(D4)+9)&gt;YEAR(E4),1,(12-MONTH(E4)+1)/12))))-((P4)*(IF((YEAR(D4)+9)&lt;YEAR(E4),0,IF((YEAR(D4)+9)&gt;YEAR(E4),1,(12-MONTH(E4)+1)/12))) + (R4)*(IF((YEAR(D4)+9)&lt;YEAR(E4),0,IF((YEAR(D4)+9)&gt;YEAR(E4),1,(12-MONTH(E4)+1)/12))))-(IF(OR(N4="",N4&lt;=0),0,(O4/N4)*(IF(OR(N4="",N4&lt;=0),0,IF((YEAR(D4)+9)&lt;YEAR(E4),0,IF((YEAR(D4)+9)&gt;=YEAR(E4)+N4,0,IF((YEAR(D4)+9)=YEAR(E4),(12-MONTH(E4)+1)/12,1))))))))*TaxRate,0))-IF(9=0,O4,0))</f>
        <v/>
      </c>
      <c r="AC4" s="29">
        <f>IF(A4="","",((K4)*(IF(M4="",L4,IFERROR(IF(INDEX(Variablen!$I:$AT, MATCH(M4, Variablen!$A:$A, 0), MATCH((YEAR(D4)+10), Variablen!$I$3:$AT$3, 0))="",L4,INDEX(Variablen!$I:$AT, MATCH(M4, Variablen!$A:$A, 0), MATCH((YEAR(D4)+10), Variablen!$I$3:$AT$3, 0))),L4)))*(IF((YEAR(D4)+10)&lt;YEAR(E4),0,IF((YEAR(D4)+10)&gt;YEAR(E4),1,(12-MONTH(E4)+1)/12))) + (Q4)*(IF((YEAR(D4)+10)&lt;YEAR(E4),0,IF((YEAR(D4)+10)&gt;YEAR(E4),1,(12-MONTH(E4)+1)/12))))-((P4)*(IF((YEAR(D4)+10)&lt;YEAR(E4),0,IF((YEAR(D4)+10)&gt;YEAR(E4),1,(12-MONTH(E4)+1)/12))) + (R4)*(IF((YEAR(D4)+10)&lt;YEAR(E4),0,IF((YEAR(D4)+10)&gt;YEAR(E4),1,(12-MONTH(E4)+1)/12))))-(IF((((K4)*(IF(M4="",L4,IFERROR(IF(INDEX(Variablen!$I:$AT, MATCH(M4, Variablen!$A:$A, 0), MATCH((YEAR(D4)+10), Variablen!$I$3:$AT$3, 0))="",L4,INDEX(Variablen!$I:$AT, MATCH(M4, Variablen!$A:$A, 0), MATCH((YEAR(D4)+10), Variablen!$I$3:$AT$3, 0))),L4)))*(IF((YEAR(D4)+10)&lt;YEAR(E4),0,IF((YEAR(D4)+10)&gt;YEAR(E4),1,(12-MONTH(E4)+1)/12))) + (Q4)*(IF((YEAR(D4)+10)&lt;YEAR(E4),0,IF((YEAR(D4)+10)&gt;YEAR(E4),1,(12-MONTH(E4)+1)/12))))-((P4)*(IF((YEAR(D4)+10)&lt;YEAR(E4),0,IF((YEAR(D4)+10)&gt;YEAR(E4),1,(12-MONTH(E4)+1)/12))) + (R4)*(IF((YEAR(D4)+10)&lt;YEAR(E4),0,IF((YEAR(D4)+10)&gt;YEAR(E4),1,(12-MONTH(E4)+1)/12))))-(IF(OR(N4="",N4&lt;=0),0,(O4/N4)*(IF(OR(N4="",N4&lt;=0),0,IF((YEAR(D4)+10)&lt;YEAR(E4),0,IF((YEAR(D4)+10)&gt;=YEAR(E4)+N4,0,IF((YEAR(D4)+10)=YEAR(E4),(12-MONTH(E4)+1)/12,1))))))))&gt;0,(((K4)*(IF(M4="",L4,IFERROR(IF(INDEX(Variablen!$I:$AT, MATCH(M4, Variablen!$A:$A, 0), MATCH((YEAR(D4)+10), Variablen!$I$3:$AT$3, 0))="",L4,INDEX(Variablen!$I:$AT, MATCH(M4, Variablen!$A:$A, 0), MATCH((YEAR(D4)+10), Variablen!$I$3:$AT$3, 0))),L4)))*(IF((YEAR(D4)+10)&lt;YEAR(E4),0,IF((YEAR(D4)+10)&gt;YEAR(E4),1,(12-MONTH(E4)+1)/12))) + (Q4)*(IF((YEAR(D4)+10)&lt;YEAR(E4),0,IF((YEAR(D4)+10)&gt;YEAR(E4),1,(12-MONTH(E4)+1)/12))))-((P4)*(IF((YEAR(D4)+10)&lt;YEAR(E4),0,IF((YEAR(D4)+10)&gt;YEAR(E4),1,(12-MONTH(E4)+1)/12))) + (R4)*(IF((YEAR(D4)+10)&lt;YEAR(E4),0,IF((YEAR(D4)+10)&gt;YEAR(E4),1,(12-MONTH(E4)+1)/12))))-(IF(OR(N4="",N4&lt;=0),0,(O4/N4)*(IF(OR(N4="",N4&lt;=0),0,IF((YEAR(D4)+10)&lt;YEAR(E4),0,IF((YEAR(D4)+10)&gt;=YEAR(E4)+N4,0,IF((YEAR(D4)+10)=YEAR(E4),(12-MONTH(E4)+1)/12,1))))))))*TaxRate,0))-IF(10=0,O4,0))</f>
        <v/>
      </c>
      <c r="AD4" s="29">
        <f>IF(A4="","",((K4)*(IF(M4="",L4,IFERROR(IF(INDEX(Variablen!$I:$AT, MATCH(M4, Variablen!$A:$A, 0), MATCH((YEAR(D4)+11), Variablen!$I$3:$AT$3, 0))="",L4,INDEX(Variablen!$I:$AT, MATCH(M4, Variablen!$A:$A, 0), MATCH((YEAR(D4)+11), Variablen!$I$3:$AT$3, 0))),L4)))*(IF((YEAR(D4)+11)&lt;YEAR(E4),0,IF((YEAR(D4)+11)&gt;YEAR(E4),1,(12-MONTH(E4)+1)/12))) + (Q4)*(IF((YEAR(D4)+11)&lt;YEAR(E4),0,IF((YEAR(D4)+11)&gt;YEAR(E4),1,(12-MONTH(E4)+1)/12))))-((P4)*(IF((YEAR(D4)+11)&lt;YEAR(E4),0,IF((YEAR(D4)+11)&gt;YEAR(E4),1,(12-MONTH(E4)+1)/12))) + (R4)*(IF((YEAR(D4)+11)&lt;YEAR(E4),0,IF((YEAR(D4)+11)&gt;YEAR(E4),1,(12-MONTH(E4)+1)/12))))-(IF((((K4)*(IF(M4="",L4,IFERROR(IF(INDEX(Variablen!$I:$AT, MATCH(M4, Variablen!$A:$A, 0), MATCH((YEAR(D4)+11), Variablen!$I$3:$AT$3, 0))="",L4,INDEX(Variablen!$I:$AT, MATCH(M4, Variablen!$A:$A, 0), MATCH((YEAR(D4)+11), Variablen!$I$3:$AT$3, 0))),L4)))*(IF((YEAR(D4)+11)&lt;YEAR(E4),0,IF((YEAR(D4)+11)&gt;YEAR(E4),1,(12-MONTH(E4)+1)/12))) + (Q4)*(IF((YEAR(D4)+11)&lt;YEAR(E4),0,IF((YEAR(D4)+11)&gt;YEAR(E4),1,(12-MONTH(E4)+1)/12))))-((P4)*(IF((YEAR(D4)+11)&lt;YEAR(E4),0,IF((YEAR(D4)+11)&gt;YEAR(E4),1,(12-MONTH(E4)+1)/12))) + (R4)*(IF((YEAR(D4)+11)&lt;YEAR(E4),0,IF((YEAR(D4)+11)&gt;YEAR(E4),1,(12-MONTH(E4)+1)/12))))-(IF(OR(N4="",N4&lt;=0),0,(O4/N4)*(IF(OR(N4="",N4&lt;=0),0,IF((YEAR(D4)+11)&lt;YEAR(E4),0,IF((YEAR(D4)+11)&gt;=YEAR(E4)+N4,0,IF((YEAR(D4)+11)=YEAR(E4),(12-MONTH(E4)+1)/12,1))))))))&gt;0,(((K4)*(IF(M4="",L4,IFERROR(IF(INDEX(Variablen!$I:$AT, MATCH(M4, Variablen!$A:$A, 0), MATCH((YEAR(D4)+11), Variablen!$I$3:$AT$3, 0))="",L4,INDEX(Variablen!$I:$AT, MATCH(M4, Variablen!$A:$A, 0), MATCH((YEAR(D4)+11), Variablen!$I$3:$AT$3, 0))),L4)))*(IF((YEAR(D4)+11)&lt;YEAR(E4),0,IF((YEAR(D4)+11)&gt;YEAR(E4),1,(12-MONTH(E4)+1)/12))) + (Q4)*(IF((YEAR(D4)+11)&lt;YEAR(E4),0,IF((YEAR(D4)+11)&gt;YEAR(E4),1,(12-MONTH(E4)+1)/12))))-((P4)*(IF((YEAR(D4)+11)&lt;YEAR(E4),0,IF((YEAR(D4)+11)&gt;YEAR(E4),1,(12-MONTH(E4)+1)/12))) + (R4)*(IF((YEAR(D4)+11)&lt;YEAR(E4),0,IF((YEAR(D4)+11)&gt;YEAR(E4),1,(12-MONTH(E4)+1)/12))))-(IF(OR(N4="",N4&lt;=0),0,(O4/N4)*(IF(OR(N4="",N4&lt;=0),0,IF((YEAR(D4)+11)&lt;YEAR(E4),0,IF((YEAR(D4)+11)&gt;=YEAR(E4)+N4,0,IF((YEAR(D4)+11)=YEAR(E4),(12-MONTH(E4)+1)/12,1))))))))*TaxRate,0))-IF(11=0,O4,0))</f>
        <v/>
      </c>
      <c r="AE4" s="29">
        <f>IF(A4="","",((K4)*(IF(M4="",L4,IFERROR(IF(INDEX(Variablen!$I:$AT, MATCH(M4, Variablen!$A:$A, 0), MATCH((YEAR(D4)+12), Variablen!$I$3:$AT$3, 0))="",L4,INDEX(Variablen!$I:$AT, MATCH(M4, Variablen!$A:$A, 0), MATCH((YEAR(D4)+12), Variablen!$I$3:$AT$3, 0))),L4)))*(IF((YEAR(D4)+12)&lt;YEAR(E4),0,IF((YEAR(D4)+12)&gt;YEAR(E4),1,(12-MONTH(E4)+1)/12))) + (Q4)*(IF((YEAR(D4)+12)&lt;YEAR(E4),0,IF((YEAR(D4)+12)&gt;YEAR(E4),1,(12-MONTH(E4)+1)/12))))-((P4)*(IF((YEAR(D4)+12)&lt;YEAR(E4),0,IF((YEAR(D4)+12)&gt;YEAR(E4),1,(12-MONTH(E4)+1)/12))) + (R4)*(IF((YEAR(D4)+12)&lt;YEAR(E4),0,IF((YEAR(D4)+12)&gt;YEAR(E4),1,(12-MONTH(E4)+1)/12))))-(IF((((K4)*(IF(M4="",L4,IFERROR(IF(INDEX(Variablen!$I:$AT, MATCH(M4, Variablen!$A:$A, 0), MATCH((YEAR(D4)+12), Variablen!$I$3:$AT$3, 0))="",L4,INDEX(Variablen!$I:$AT, MATCH(M4, Variablen!$A:$A, 0), MATCH((YEAR(D4)+12), Variablen!$I$3:$AT$3, 0))),L4)))*(IF((YEAR(D4)+12)&lt;YEAR(E4),0,IF((YEAR(D4)+12)&gt;YEAR(E4),1,(12-MONTH(E4)+1)/12))) + (Q4)*(IF((YEAR(D4)+12)&lt;YEAR(E4),0,IF((YEAR(D4)+12)&gt;YEAR(E4),1,(12-MONTH(E4)+1)/12))))-((P4)*(IF((YEAR(D4)+12)&lt;YEAR(E4),0,IF((YEAR(D4)+12)&gt;YEAR(E4),1,(12-MONTH(E4)+1)/12))) + (R4)*(IF((YEAR(D4)+12)&lt;YEAR(E4),0,IF((YEAR(D4)+12)&gt;YEAR(E4),1,(12-MONTH(E4)+1)/12))))-(IF(OR(N4="",N4&lt;=0),0,(O4/N4)*(IF(OR(N4="",N4&lt;=0),0,IF((YEAR(D4)+12)&lt;YEAR(E4),0,IF((YEAR(D4)+12)&gt;=YEAR(E4)+N4,0,IF((YEAR(D4)+12)=YEAR(E4),(12-MONTH(E4)+1)/12,1))))))))&gt;0,(((K4)*(IF(M4="",L4,IFERROR(IF(INDEX(Variablen!$I:$AT, MATCH(M4, Variablen!$A:$A, 0), MATCH((YEAR(D4)+12), Variablen!$I$3:$AT$3, 0))="",L4,INDEX(Variablen!$I:$AT, MATCH(M4, Variablen!$A:$A, 0), MATCH((YEAR(D4)+12), Variablen!$I$3:$AT$3, 0))),L4)))*(IF((YEAR(D4)+12)&lt;YEAR(E4),0,IF((YEAR(D4)+12)&gt;YEAR(E4),1,(12-MONTH(E4)+1)/12))) + (Q4)*(IF((YEAR(D4)+12)&lt;YEAR(E4),0,IF((YEAR(D4)+12)&gt;YEAR(E4),1,(12-MONTH(E4)+1)/12))))-((P4)*(IF((YEAR(D4)+12)&lt;YEAR(E4),0,IF((YEAR(D4)+12)&gt;YEAR(E4),1,(12-MONTH(E4)+1)/12))) + (R4)*(IF((YEAR(D4)+12)&lt;YEAR(E4),0,IF((YEAR(D4)+12)&gt;YEAR(E4),1,(12-MONTH(E4)+1)/12))))-(IF(OR(N4="",N4&lt;=0),0,(O4/N4)*(IF(OR(N4="",N4&lt;=0),0,IF((YEAR(D4)+12)&lt;YEAR(E4),0,IF((YEAR(D4)+12)&gt;=YEAR(E4)+N4,0,IF((YEAR(D4)+12)=YEAR(E4),(12-MONTH(E4)+1)/12,1))))))))*TaxRate,0))-IF(12=0,O4,0))</f>
        <v/>
      </c>
      <c r="AF4" s="29">
        <f>IF(A4="","",((K4)*(IF(M4="",L4,IFERROR(IF(INDEX(Variablen!$I:$AT, MATCH(M4, Variablen!$A:$A, 0), MATCH((YEAR(D4)+13), Variablen!$I$3:$AT$3, 0))="",L4,INDEX(Variablen!$I:$AT, MATCH(M4, Variablen!$A:$A, 0), MATCH((YEAR(D4)+13), Variablen!$I$3:$AT$3, 0))),L4)))*(IF((YEAR(D4)+13)&lt;YEAR(E4),0,IF((YEAR(D4)+13)&gt;YEAR(E4),1,(12-MONTH(E4)+1)/12))) + (Q4)*(IF((YEAR(D4)+13)&lt;YEAR(E4),0,IF((YEAR(D4)+13)&gt;YEAR(E4),1,(12-MONTH(E4)+1)/12))))-((P4)*(IF((YEAR(D4)+13)&lt;YEAR(E4),0,IF((YEAR(D4)+13)&gt;YEAR(E4),1,(12-MONTH(E4)+1)/12))) + (R4)*(IF((YEAR(D4)+13)&lt;YEAR(E4),0,IF((YEAR(D4)+13)&gt;YEAR(E4),1,(12-MONTH(E4)+1)/12))))-(IF((((K4)*(IF(M4="",L4,IFERROR(IF(INDEX(Variablen!$I:$AT, MATCH(M4, Variablen!$A:$A, 0), MATCH((YEAR(D4)+13), Variablen!$I$3:$AT$3, 0))="",L4,INDEX(Variablen!$I:$AT, MATCH(M4, Variablen!$A:$A, 0), MATCH((YEAR(D4)+13), Variablen!$I$3:$AT$3, 0))),L4)))*(IF((YEAR(D4)+13)&lt;YEAR(E4),0,IF((YEAR(D4)+13)&gt;YEAR(E4),1,(12-MONTH(E4)+1)/12))) + (Q4)*(IF((YEAR(D4)+13)&lt;YEAR(E4),0,IF((YEAR(D4)+13)&gt;YEAR(E4),1,(12-MONTH(E4)+1)/12))))-((P4)*(IF((YEAR(D4)+13)&lt;YEAR(E4),0,IF((YEAR(D4)+13)&gt;YEAR(E4),1,(12-MONTH(E4)+1)/12))) + (R4)*(IF((YEAR(D4)+13)&lt;YEAR(E4),0,IF((YEAR(D4)+13)&gt;YEAR(E4),1,(12-MONTH(E4)+1)/12))))-(IF(OR(N4="",N4&lt;=0),0,(O4/N4)*(IF(OR(N4="",N4&lt;=0),0,IF((YEAR(D4)+13)&lt;YEAR(E4),0,IF((YEAR(D4)+13)&gt;=YEAR(E4)+N4,0,IF((YEAR(D4)+13)=YEAR(E4),(12-MONTH(E4)+1)/12,1))))))))&gt;0,(((K4)*(IF(M4="",L4,IFERROR(IF(INDEX(Variablen!$I:$AT, MATCH(M4, Variablen!$A:$A, 0), MATCH((YEAR(D4)+13), Variablen!$I$3:$AT$3, 0))="",L4,INDEX(Variablen!$I:$AT, MATCH(M4, Variablen!$A:$A, 0), MATCH((YEAR(D4)+13), Variablen!$I$3:$AT$3, 0))),L4)))*(IF((YEAR(D4)+13)&lt;YEAR(E4),0,IF((YEAR(D4)+13)&gt;YEAR(E4),1,(12-MONTH(E4)+1)/12))) + (Q4)*(IF((YEAR(D4)+13)&lt;YEAR(E4),0,IF((YEAR(D4)+13)&gt;YEAR(E4),1,(12-MONTH(E4)+1)/12))))-((P4)*(IF((YEAR(D4)+13)&lt;YEAR(E4),0,IF((YEAR(D4)+13)&gt;YEAR(E4),1,(12-MONTH(E4)+1)/12))) + (R4)*(IF((YEAR(D4)+13)&lt;YEAR(E4),0,IF((YEAR(D4)+13)&gt;YEAR(E4),1,(12-MONTH(E4)+1)/12))))-(IF(OR(N4="",N4&lt;=0),0,(O4/N4)*(IF(OR(N4="",N4&lt;=0),0,IF((YEAR(D4)+13)&lt;YEAR(E4),0,IF((YEAR(D4)+13)&gt;=YEAR(E4)+N4,0,IF((YEAR(D4)+13)=YEAR(E4),(12-MONTH(E4)+1)/12,1))))))))*TaxRate,0))-IF(13=0,O4,0))</f>
        <v/>
      </c>
      <c r="AG4" s="29">
        <f>IF(A4="","",((K4)*(IF(M4="",L4,IFERROR(IF(INDEX(Variablen!$I:$AT, MATCH(M4, Variablen!$A:$A, 0), MATCH((YEAR(D4)+14), Variablen!$I$3:$AT$3, 0))="",L4,INDEX(Variablen!$I:$AT, MATCH(M4, Variablen!$A:$A, 0), MATCH((YEAR(D4)+14), Variablen!$I$3:$AT$3, 0))),L4)))*(IF((YEAR(D4)+14)&lt;YEAR(E4),0,IF((YEAR(D4)+14)&gt;YEAR(E4),1,(12-MONTH(E4)+1)/12))) + (Q4)*(IF((YEAR(D4)+14)&lt;YEAR(E4),0,IF((YEAR(D4)+14)&gt;YEAR(E4),1,(12-MONTH(E4)+1)/12))))-((P4)*(IF((YEAR(D4)+14)&lt;YEAR(E4),0,IF((YEAR(D4)+14)&gt;YEAR(E4),1,(12-MONTH(E4)+1)/12))) + (R4)*(IF((YEAR(D4)+14)&lt;YEAR(E4),0,IF((YEAR(D4)+14)&gt;YEAR(E4),1,(12-MONTH(E4)+1)/12))))-(IF((((K4)*(IF(M4="",L4,IFERROR(IF(INDEX(Variablen!$I:$AT, MATCH(M4, Variablen!$A:$A, 0), MATCH((YEAR(D4)+14), Variablen!$I$3:$AT$3, 0))="",L4,INDEX(Variablen!$I:$AT, MATCH(M4, Variablen!$A:$A, 0), MATCH((YEAR(D4)+14), Variablen!$I$3:$AT$3, 0))),L4)))*(IF((YEAR(D4)+14)&lt;YEAR(E4),0,IF((YEAR(D4)+14)&gt;YEAR(E4),1,(12-MONTH(E4)+1)/12))) + (Q4)*(IF((YEAR(D4)+14)&lt;YEAR(E4),0,IF((YEAR(D4)+14)&gt;YEAR(E4),1,(12-MONTH(E4)+1)/12))))-((P4)*(IF((YEAR(D4)+14)&lt;YEAR(E4),0,IF((YEAR(D4)+14)&gt;YEAR(E4),1,(12-MONTH(E4)+1)/12))) + (R4)*(IF((YEAR(D4)+14)&lt;YEAR(E4),0,IF((YEAR(D4)+14)&gt;YEAR(E4),1,(12-MONTH(E4)+1)/12))))-(IF(OR(N4="",N4&lt;=0),0,(O4/N4)*(IF(OR(N4="",N4&lt;=0),0,IF((YEAR(D4)+14)&lt;YEAR(E4),0,IF((YEAR(D4)+14)&gt;=YEAR(E4)+N4,0,IF((YEAR(D4)+14)=YEAR(E4),(12-MONTH(E4)+1)/12,1))))))))&gt;0,(((K4)*(IF(M4="",L4,IFERROR(IF(INDEX(Variablen!$I:$AT, MATCH(M4, Variablen!$A:$A, 0), MATCH((YEAR(D4)+14), Variablen!$I$3:$AT$3, 0))="",L4,INDEX(Variablen!$I:$AT, MATCH(M4, Variablen!$A:$A, 0), MATCH((YEAR(D4)+14), Variablen!$I$3:$AT$3, 0))),L4)))*(IF((YEAR(D4)+14)&lt;YEAR(E4),0,IF((YEAR(D4)+14)&gt;YEAR(E4),1,(12-MONTH(E4)+1)/12))) + (Q4)*(IF((YEAR(D4)+14)&lt;YEAR(E4),0,IF((YEAR(D4)+14)&gt;YEAR(E4),1,(12-MONTH(E4)+1)/12))))-((P4)*(IF((YEAR(D4)+14)&lt;YEAR(E4),0,IF((YEAR(D4)+14)&gt;YEAR(E4),1,(12-MONTH(E4)+1)/12))) + (R4)*(IF((YEAR(D4)+14)&lt;YEAR(E4),0,IF((YEAR(D4)+14)&gt;YEAR(E4),1,(12-MONTH(E4)+1)/12))))-(IF(OR(N4="",N4&lt;=0),0,(O4/N4)*(IF(OR(N4="",N4&lt;=0),0,IF((YEAR(D4)+14)&lt;YEAR(E4),0,IF((YEAR(D4)+14)&gt;=YEAR(E4)+N4,0,IF((YEAR(D4)+14)=YEAR(E4),(12-MONTH(E4)+1)/12,1))))))))*TaxRate,0))-IF(14=0,O4,0))</f>
        <v/>
      </c>
      <c r="AH4" s="29">
        <f>IF(A4="","",((K4)*(IF(M4="",L4,IFERROR(IF(INDEX(Variablen!$I:$AT, MATCH(M4, Variablen!$A:$A, 0), MATCH((YEAR(D4)+15), Variablen!$I$3:$AT$3, 0))="",L4,INDEX(Variablen!$I:$AT, MATCH(M4, Variablen!$A:$A, 0), MATCH((YEAR(D4)+15), Variablen!$I$3:$AT$3, 0))),L4)))*(IF((YEAR(D4)+15)&lt;YEAR(E4),0,IF((YEAR(D4)+15)&gt;YEAR(E4),1,(12-MONTH(E4)+1)/12))) + (Q4)*(IF((YEAR(D4)+15)&lt;YEAR(E4),0,IF((YEAR(D4)+15)&gt;YEAR(E4),1,(12-MONTH(E4)+1)/12))))-((P4)*(IF((YEAR(D4)+15)&lt;YEAR(E4),0,IF((YEAR(D4)+15)&gt;YEAR(E4),1,(12-MONTH(E4)+1)/12))) + (R4)*(IF((YEAR(D4)+15)&lt;YEAR(E4),0,IF((YEAR(D4)+15)&gt;YEAR(E4),1,(12-MONTH(E4)+1)/12))))-(IF((((K4)*(IF(M4="",L4,IFERROR(IF(INDEX(Variablen!$I:$AT, MATCH(M4, Variablen!$A:$A, 0), MATCH((YEAR(D4)+15), Variablen!$I$3:$AT$3, 0))="",L4,INDEX(Variablen!$I:$AT, MATCH(M4, Variablen!$A:$A, 0), MATCH((YEAR(D4)+15), Variablen!$I$3:$AT$3, 0))),L4)))*(IF((YEAR(D4)+15)&lt;YEAR(E4),0,IF((YEAR(D4)+15)&gt;YEAR(E4),1,(12-MONTH(E4)+1)/12))) + (Q4)*(IF((YEAR(D4)+15)&lt;YEAR(E4),0,IF((YEAR(D4)+15)&gt;YEAR(E4),1,(12-MONTH(E4)+1)/12))))-((P4)*(IF((YEAR(D4)+15)&lt;YEAR(E4),0,IF((YEAR(D4)+15)&gt;YEAR(E4),1,(12-MONTH(E4)+1)/12))) + (R4)*(IF((YEAR(D4)+15)&lt;YEAR(E4),0,IF((YEAR(D4)+15)&gt;YEAR(E4),1,(12-MONTH(E4)+1)/12))))-(IF(OR(N4="",N4&lt;=0),0,(O4/N4)*(IF(OR(N4="",N4&lt;=0),0,IF((YEAR(D4)+15)&lt;YEAR(E4),0,IF((YEAR(D4)+15)&gt;=YEAR(E4)+N4,0,IF((YEAR(D4)+15)=YEAR(E4),(12-MONTH(E4)+1)/12,1))))))))&gt;0,(((K4)*(IF(M4="",L4,IFERROR(IF(INDEX(Variablen!$I:$AT, MATCH(M4, Variablen!$A:$A, 0), MATCH((YEAR(D4)+15), Variablen!$I$3:$AT$3, 0))="",L4,INDEX(Variablen!$I:$AT, MATCH(M4, Variablen!$A:$A, 0), MATCH((YEAR(D4)+15), Variablen!$I$3:$AT$3, 0))),L4)))*(IF((YEAR(D4)+15)&lt;YEAR(E4),0,IF((YEAR(D4)+15)&gt;YEAR(E4),1,(12-MONTH(E4)+1)/12))) + (Q4)*(IF((YEAR(D4)+15)&lt;YEAR(E4),0,IF((YEAR(D4)+15)&gt;YEAR(E4),1,(12-MONTH(E4)+1)/12))))-((P4)*(IF((YEAR(D4)+15)&lt;YEAR(E4),0,IF((YEAR(D4)+15)&gt;YEAR(E4),1,(12-MONTH(E4)+1)/12))) + (R4)*(IF((YEAR(D4)+15)&lt;YEAR(E4),0,IF((YEAR(D4)+15)&gt;YEAR(E4),1,(12-MONTH(E4)+1)/12))))-(IF(OR(N4="",N4&lt;=0),0,(O4/N4)*(IF(OR(N4="",N4&lt;=0),0,IF((YEAR(D4)+15)&lt;YEAR(E4),0,IF((YEAR(D4)+15)&gt;=YEAR(E4)+N4,0,IF((YEAR(D4)+15)=YEAR(E4),(12-MONTH(E4)+1)/12,1))))))))*TaxRate,0))-IF(15=0,O4,0))</f>
        <v/>
      </c>
      <c r="AI4" s="29">
        <f>IF(A4="","",((K4)*(IF(M4="",L4,IFERROR(IF(INDEX(Variablen!$I:$AT, MATCH(M4, Variablen!$A:$A, 0), MATCH((YEAR(D4)+16), Variablen!$I$3:$AT$3, 0))="",L4,INDEX(Variablen!$I:$AT, MATCH(M4, Variablen!$A:$A, 0), MATCH((YEAR(D4)+16), Variablen!$I$3:$AT$3, 0))),L4)))*(IF((YEAR(D4)+16)&lt;YEAR(E4),0,IF((YEAR(D4)+16)&gt;YEAR(E4),1,(12-MONTH(E4)+1)/12))) + (Q4)*(IF((YEAR(D4)+16)&lt;YEAR(E4),0,IF((YEAR(D4)+16)&gt;YEAR(E4),1,(12-MONTH(E4)+1)/12))))-((P4)*(IF((YEAR(D4)+16)&lt;YEAR(E4),0,IF((YEAR(D4)+16)&gt;YEAR(E4),1,(12-MONTH(E4)+1)/12))) + (R4)*(IF((YEAR(D4)+16)&lt;YEAR(E4),0,IF((YEAR(D4)+16)&gt;YEAR(E4),1,(12-MONTH(E4)+1)/12))))-(IF((((K4)*(IF(M4="",L4,IFERROR(IF(INDEX(Variablen!$I:$AT, MATCH(M4, Variablen!$A:$A, 0), MATCH((YEAR(D4)+16), Variablen!$I$3:$AT$3, 0))="",L4,INDEX(Variablen!$I:$AT, MATCH(M4, Variablen!$A:$A, 0), MATCH((YEAR(D4)+16), Variablen!$I$3:$AT$3, 0))),L4)))*(IF((YEAR(D4)+16)&lt;YEAR(E4),0,IF((YEAR(D4)+16)&gt;YEAR(E4),1,(12-MONTH(E4)+1)/12))) + (Q4)*(IF((YEAR(D4)+16)&lt;YEAR(E4),0,IF((YEAR(D4)+16)&gt;YEAR(E4),1,(12-MONTH(E4)+1)/12))))-((P4)*(IF((YEAR(D4)+16)&lt;YEAR(E4),0,IF((YEAR(D4)+16)&gt;YEAR(E4),1,(12-MONTH(E4)+1)/12))) + (R4)*(IF((YEAR(D4)+16)&lt;YEAR(E4),0,IF((YEAR(D4)+16)&gt;YEAR(E4),1,(12-MONTH(E4)+1)/12))))-(IF(OR(N4="",N4&lt;=0),0,(O4/N4)*(IF(OR(N4="",N4&lt;=0),0,IF((YEAR(D4)+16)&lt;YEAR(E4),0,IF((YEAR(D4)+16)&gt;=YEAR(E4)+N4,0,IF((YEAR(D4)+16)=YEAR(E4),(12-MONTH(E4)+1)/12,1))))))))&gt;0,(((K4)*(IF(M4="",L4,IFERROR(IF(INDEX(Variablen!$I:$AT, MATCH(M4, Variablen!$A:$A, 0), MATCH((YEAR(D4)+16), Variablen!$I$3:$AT$3, 0))="",L4,INDEX(Variablen!$I:$AT, MATCH(M4, Variablen!$A:$A, 0), MATCH((YEAR(D4)+16), Variablen!$I$3:$AT$3, 0))),L4)))*(IF((YEAR(D4)+16)&lt;YEAR(E4),0,IF((YEAR(D4)+16)&gt;YEAR(E4),1,(12-MONTH(E4)+1)/12))) + (Q4)*(IF((YEAR(D4)+16)&lt;YEAR(E4),0,IF((YEAR(D4)+16)&gt;YEAR(E4),1,(12-MONTH(E4)+1)/12))))-((P4)*(IF((YEAR(D4)+16)&lt;YEAR(E4),0,IF((YEAR(D4)+16)&gt;YEAR(E4),1,(12-MONTH(E4)+1)/12))) + (R4)*(IF((YEAR(D4)+16)&lt;YEAR(E4),0,IF((YEAR(D4)+16)&gt;YEAR(E4),1,(12-MONTH(E4)+1)/12))))-(IF(OR(N4="",N4&lt;=0),0,(O4/N4)*(IF(OR(N4="",N4&lt;=0),0,IF((YEAR(D4)+16)&lt;YEAR(E4),0,IF((YEAR(D4)+16)&gt;=YEAR(E4)+N4,0,IF((YEAR(D4)+16)=YEAR(E4),(12-MONTH(E4)+1)/12,1))))))))*TaxRate,0))-IF(16=0,O4,0))</f>
        <v/>
      </c>
      <c r="AJ4" s="29">
        <f>IF(A4="","",((K4)*(IF(M4="",L4,IFERROR(IF(INDEX(Variablen!$I:$AT, MATCH(M4, Variablen!$A:$A, 0), MATCH((YEAR(D4)+17), Variablen!$I$3:$AT$3, 0))="",L4,INDEX(Variablen!$I:$AT, MATCH(M4, Variablen!$A:$A, 0), MATCH((YEAR(D4)+17), Variablen!$I$3:$AT$3, 0))),L4)))*(IF((YEAR(D4)+17)&lt;YEAR(E4),0,IF((YEAR(D4)+17)&gt;YEAR(E4),1,(12-MONTH(E4)+1)/12))) + (Q4)*(IF((YEAR(D4)+17)&lt;YEAR(E4),0,IF((YEAR(D4)+17)&gt;YEAR(E4),1,(12-MONTH(E4)+1)/12))))-((P4)*(IF((YEAR(D4)+17)&lt;YEAR(E4),0,IF((YEAR(D4)+17)&gt;YEAR(E4),1,(12-MONTH(E4)+1)/12))) + (R4)*(IF((YEAR(D4)+17)&lt;YEAR(E4),0,IF((YEAR(D4)+17)&gt;YEAR(E4),1,(12-MONTH(E4)+1)/12))))-(IF((((K4)*(IF(M4="",L4,IFERROR(IF(INDEX(Variablen!$I:$AT, MATCH(M4, Variablen!$A:$A, 0), MATCH((YEAR(D4)+17), Variablen!$I$3:$AT$3, 0))="",L4,INDEX(Variablen!$I:$AT, MATCH(M4, Variablen!$A:$A, 0), MATCH((YEAR(D4)+17), Variablen!$I$3:$AT$3, 0))),L4)))*(IF((YEAR(D4)+17)&lt;YEAR(E4),0,IF((YEAR(D4)+17)&gt;YEAR(E4),1,(12-MONTH(E4)+1)/12))) + (Q4)*(IF((YEAR(D4)+17)&lt;YEAR(E4),0,IF((YEAR(D4)+17)&gt;YEAR(E4),1,(12-MONTH(E4)+1)/12))))-((P4)*(IF((YEAR(D4)+17)&lt;YEAR(E4),0,IF((YEAR(D4)+17)&gt;YEAR(E4),1,(12-MONTH(E4)+1)/12))) + (R4)*(IF((YEAR(D4)+17)&lt;YEAR(E4),0,IF((YEAR(D4)+17)&gt;YEAR(E4),1,(12-MONTH(E4)+1)/12))))-(IF(OR(N4="",N4&lt;=0),0,(O4/N4)*(IF(OR(N4="",N4&lt;=0),0,IF((YEAR(D4)+17)&lt;YEAR(E4),0,IF((YEAR(D4)+17)&gt;=YEAR(E4)+N4,0,IF((YEAR(D4)+17)=YEAR(E4),(12-MONTH(E4)+1)/12,1))))))))&gt;0,(((K4)*(IF(M4="",L4,IFERROR(IF(INDEX(Variablen!$I:$AT, MATCH(M4, Variablen!$A:$A, 0), MATCH((YEAR(D4)+17), Variablen!$I$3:$AT$3, 0))="",L4,INDEX(Variablen!$I:$AT, MATCH(M4, Variablen!$A:$A, 0), MATCH((YEAR(D4)+17), Variablen!$I$3:$AT$3, 0))),L4)))*(IF((YEAR(D4)+17)&lt;YEAR(E4),0,IF((YEAR(D4)+17)&gt;YEAR(E4),1,(12-MONTH(E4)+1)/12))) + (Q4)*(IF((YEAR(D4)+17)&lt;YEAR(E4),0,IF((YEAR(D4)+17)&gt;YEAR(E4),1,(12-MONTH(E4)+1)/12))))-((P4)*(IF((YEAR(D4)+17)&lt;YEAR(E4),0,IF((YEAR(D4)+17)&gt;YEAR(E4),1,(12-MONTH(E4)+1)/12))) + (R4)*(IF((YEAR(D4)+17)&lt;YEAR(E4),0,IF((YEAR(D4)+17)&gt;YEAR(E4),1,(12-MONTH(E4)+1)/12))))-(IF(OR(N4="",N4&lt;=0),0,(O4/N4)*(IF(OR(N4="",N4&lt;=0),0,IF((YEAR(D4)+17)&lt;YEAR(E4),0,IF((YEAR(D4)+17)&gt;=YEAR(E4)+N4,0,IF((YEAR(D4)+17)=YEAR(E4),(12-MONTH(E4)+1)/12,1))))))))*TaxRate,0))-IF(17=0,O4,0))</f>
        <v/>
      </c>
      <c r="AK4" s="29">
        <f>IF(A4="","",((K4)*(IF(M4="",L4,IFERROR(IF(INDEX(Variablen!$I:$AT, MATCH(M4, Variablen!$A:$A, 0), MATCH((YEAR(D4)+18), Variablen!$I$3:$AT$3, 0))="",L4,INDEX(Variablen!$I:$AT, MATCH(M4, Variablen!$A:$A, 0), MATCH((YEAR(D4)+18), Variablen!$I$3:$AT$3, 0))),L4)))*(IF((YEAR(D4)+18)&lt;YEAR(E4),0,IF((YEAR(D4)+18)&gt;YEAR(E4),1,(12-MONTH(E4)+1)/12))) + (Q4)*(IF((YEAR(D4)+18)&lt;YEAR(E4),0,IF((YEAR(D4)+18)&gt;YEAR(E4),1,(12-MONTH(E4)+1)/12))))-((P4)*(IF((YEAR(D4)+18)&lt;YEAR(E4),0,IF((YEAR(D4)+18)&gt;YEAR(E4),1,(12-MONTH(E4)+1)/12))) + (R4)*(IF((YEAR(D4)+18)&lt;YEAR(E4),0,IF((YEAR(D4)+18)&gt;YEAR(E4),1,(12-MONTH(E4)+1)/12))))-(IF((((K4)*(IF(M4="",L4,IFERROR(IF(INDEX(Variablen!$I:$AT, MATCH(M4, Variablen!$A:$A, 0), MATCH((YEAR(D4)+18), Variablen!$I$3:$AT$3, 0))="",L4,INDEX(Variablen!$I:$AT, MATCH(M4, Variablen!$A:$A, 0), MATCH((YEAR(D4)+18), Variablen!$I$3:$AT$3, 0))),L4)))*(IF((YEAR(D4)+18)&lt;YEAR(E4),0,IF((YEAR(D4)+18)&gt;YEAR(E4),1,(12-MONTH(E4)+1)/12))) + (Q4)*(IF((YEAR(D4)+18)&lt;YEAR(E4),0,IF((YEAR(D4)+18)&gt;YEAR(E4),1,(12-MONTH(E4)+1)/12))))-((P4)*(IF((YEAR(D4)+18)&lt;YEAR(E4),0,IF((YEAR(D4)+18)&gt;YEAR(E4),1,(12-MONTH(E4)+1)/12))) + (R4)*(IF((YEAR(D4)+18)&lt;YEAR(E4),0,IF((YEAR(D4)+18)&gt;YEAR(E4),1,(12-MONTH(E4)+1)/12))))-(IF(OR(N4="",N4&lt;=0),0,(O4/N4)*(IF(OR(N4="",N4&lt;=0),0,IF((YEAR(D4)+18)&lt;YEAR(E4),0,IF((YEAR(D4)+18)&gt;=YEAR(E4)+N4,0,IF((YEAR(D4)+18)=YEAR(E4),(12-MONTH(E4)+1)/12,1))))))))&gt;0,(((K4)*(IF(M4="",L4,IFERROR(IF(INDEX(Variablen!$I:$AT, MATCH(M4, Variablen!$A:$A, 0), MATCH((YEAR(D4)+18), Variablen!$I$3:$AT$3, 0))="",L4,INDEX(Variablen!$I:$AT, MATCH(M4, Variablen!$A:$A, 0), MATCH((YEAR(D4)+18), Variablen!$I$3:$AT$3, 0))),L4)))*(IF((YEAR(D4)+18)&lt;YEAR(E4),0,IF((YEAR(D4)+18)&gt;YEAR(E4),1,(12-MONTH(E4)+1)/12))) + (Q4)*(IF((YEAR(D4)+18)&lt;YEAR(E4),0,IF((YEAR(D4)+18)&gt;YEAR(E4),1,(12-MONTH(E4)+1)/12))))-((P4)*(IF((YEAR(D4)+18)&lt;YEAR(E4),0,IF((YEAR(D4)+18)&gt;YEAR(E4),1,(12-MONTH(E4)+1)/12))) + (R4)*(IF((YEAR(D4)+18)&lt;YEAR(E4),0,IF((YEAR(D4)+18)&gt;YEAR(E4),1,(12-MONTH(E4)+1)/12))))-(IF(OR(N4="",N4&lt;=0),0,(O4/N4)*(IF(OR(N4="",N4&lt;=0),0,IF((YEAR(D4)+18)&lt;YEAR(E4),0,IF((YEAR(D4)+18)&gt;=YEAR(E4)+N4,0,IF((YEAR(D4)+18)=YEAR(E4),(12-MONTH(E4)+1)/12,1))))))))*TaxRate,0))-IF(18=0,O4,0))</f>
        <v/>
      </c>
      <c r="AL4" s="29">
        <f>IF(A4="","",((K4)*(IF(M4="",L4,IFERROR(IF(INDEX(Variablen!$I:$AT, MATCH(M4, Variablen!$A:$A, 0), MATCH((YEAR(D4)+19), Variablen!$I$3:$AT$3, 0))="",L4,INDEX(Variablen!$I:$AT, MATCH(M4, Variablen!$A:$A, 0), MATCH((YEAR(D4)+19), Variablen!$I$3:$AT$3, 0))),L4)))*(IF((YEAR(D4)+19)&lt;YEAR(E4),0,IF((YEAR(D4)+19)&gt;YEAR(E4),1,(12-MONTH(E4)+1)/12))) + (Q4)*(IF((YEAR(D4)+19)&lt;YEAR(E4),0,IF((YEAR(D4)+19)&gt;YEAR(E4),1,(12-MONTH(E4)+1)/12))))-((P4)*(IF((YEAR(D4)+19)&lt;YEAR(E4),0,IF((YEAR(D4)+19)&gt;YEAR(E4),1,(12-MONTH(E4)+1)/12))) + (R4)*(IF((YEAR(D4)+19)&lt;YEAR(E4),0,IF((YEAR(D4)+19)&gt;YEAR(E4),1,(12-MONTH(E4)+1)/12))))-(IF((((K4)*(IF(M4="",L4,IFERROR(IF(INDEX(Variablen!$I:$AT, MATCH(M4, Variablen!$A:$A, 0), MATCH((YEAR(D4)+19), Variablen!$I$3:$AT$3, 0))="",L4,INDEX(Variablen!$I:$AT, MATCH(M4, Variablen!$A:$A, 0), MATCH((YEAR(D4)+19), Variablen!$I$3:$AT$3, 0))),L4)))*(IF((YEAR(D4)+19)&lt;YEAR(E4),0,IF((YEAR(D4)+19)&gt;YEAR(E4),1,(12-MONTH(E4)+1)/12))) + (Q4)*(IF((YEAR(D4)+19)&lt;YEAR(E4),0,IF((YEAR(D4)+19)&gt;YEAR(E4),1,(12-MONTH(E4)+1)/12))))-((P4)*(IF((YEAR(D4)+19)&lt;YEAR(E4),0,IF((YEAR(D4)+19)&gt;YEAR(E4),1,(12-MONTH(E4)+1)/12))) + (R4)*(IF((YEAR(D4)+19)&lt;YEAR(E4),0,IF((YEAR(D4)+19)&gt;YEAR(E4),1,(12-MONTH(E4)+1)/12))))-(IF(OR(N4="",N4&lt;=0),0,(O4/N4)*(IF(OR(N4="",N4&lt;=0),0,IF((YEAR(D4)+19)&lt;YEAR(E4),0,IF((YEAR(D4)+19)&gt;=YEAR(E4)+N4,0,IF((YEAR(D4)+19)=YEAR(E4),(12-MONTH(E4)+1)/12,1))))))))&gt;0,(((K4)*(IF(M4="",L4,IFERROR(IF(INDEX(Variablen!$I:$AT, MATCH(M4, Variablen!$A:$A, 0), MATCH((YEAR(D4)+19), Variablen!$I$3:$AT$3, 0))="",L4,INDEX(Variablen!$I:$AT, MATCH(M4, Variablen!$A:$A, 0), MATCH((YEAR(D4)+19), Variablen!$I$3:$AT$3, 0))),L4)))*(IF((YEAR(D4)+19)&lt;YEAR(E4),0,IF((YEAR(D4)+19)&gt;YEAR(E4),1,(12-MONTH(E4)+1)/12))) + (Q4)*(IF((YEAR(D4)+19)&lt;YEAR(E4),0,IF((YEAR(D4)+19)&gt;YEAR(E4),1,(12-MONTH(E4)+1)/12))))-((P4)*(IF((YEAR(D4)+19)&lt;YEAR(E4),0,IF((YEAR(D4)+19)&gt;YEAR(E4),1,(12-MONTH(E4)+1)/12))) + (R4)*(IF((YEAR(D4)+19)&lt;YEAR(E4),0,IF((YEAR(D4)+19)&gt;YEAR(E4),1,(12-MONTH(E4)+1)/12))))-(IF(OR(N4="",N4&lt;=0),0,(O4/N4)*(IF(OR(N4="",N4&lt;=0),0,IF((YEAR(D4)+19)&lt;YEAR(E4),0,IF((YEAR(D4)+19)&gt;=YEAR(E4)+N4,0,IF((YEAR(D4)+19)=YEAR(E4),(12-MONTH(E4)+1)/12,1))))))))*TaxRate,0))-IF(19=0,O4,0))</f>
        <v/>
      </c>
      <c r="AM4" s="29">
        <f>IF(A4="","",((K4)*(IF(M4="",L4,IFERROR(IF(INDEX(Variablen!$I:$AT, MATCH(M4, Variablen!$A:$A, 0), MATCH((YEAR(D4)+20), Variablen!$I$3:$AT$3, 0))="",L4,INDEX(Variablen!$I:$AT, MATCH(M4, Variablen!$A:$A, 0), MATCH((YEAR(D4)+20), Variablen!$I$3:$AT$3, 0))),L4)))*(IF((YEAR(D4)+20)&lt;YEAR(E4),0,IF((YEAR(D4)+20)&gt;YEAR(E4),1,(12-MONTH(E4)+1)/12))) + (Q4)*(IF((YEAR(D4)+20)&lt;YEAR(E4),0,IF((YEAR(D4)+20)&gt;YEAR(E4),1,(12-MONTH(E4)+1)/12))))-((P4)*(IF((YEAR(D4)+20)&lt;YEAR(E4),0,IF((YEAR(D4)+20)&gt;YEAR(E4),1,(12-MONTH(E4)+1)/12))) + (R4)*(IF((YEAR(D4)+20)&lt;YEAR(E4),0,IF((YEAR(D4)+20)&gt;YEAR(E4),1,(12-MONTH(E4)+1)/12))))-(IF((((K4)*(IF(M4="",L4,IFERROR(IF(INDEX(Variablen!$I:$AT, MATCH(M4, Variablen!$A:$A, 0), MATCH((YEAR(D4)+20), Variablen!$I$3:$AT$3, 0))="",L4,INDEX(Variablen!$I:$AT, MATCH(M4, Variablen!$A:$A, 0), MATCH((YEAR(D4)+20), Variablen!$I$3:$AT$3, 0))),L4)))*(IF((YEAR(D4)+20)&lt;YEAR(E4),0,IF((YEAR(D4)+20)&gt;YEAR(E4),1,(12-MONTH(E4)+1)/12))) + (Q4)*(IF((YEAR(D4)+20)&lt;YEAR(E4),0,IF((YEAR(D4)+20)&gt;YEAR(E4),1,(12-MONTH(E4)+1)/12))))-((P4)*(IF((YEAR(D4)+20)&lt;YEAR(E4),0,IF((YEAR(D4)+20)&gt;YEAR(E4),1,(12-MONTH(E4)+1)/12))) + (R4)*(IF((YEAR(D4)+20)&lt;YEAR(E4),0,IF((YEAR(D4)+20)&gt;YEAR(E4),1,(12-MONTH(E4)+1)/12))))-(IF(OR(N4="",N4&lt;=0),0,(O4/N4)*(IF(OR(N4="",N4&lt;=0),0,IF((YEAR(D4)+20)&lt;YEAR(E4),0,IF((YEAR(D4)+20)&gt;=YEAR(E4)+N4,0,IF((YEAR(D4)+20)=YEAR(E4),(12-MONTH(E4)+1)/12,1))))))))&gt;0,(((K4)*(IF(M4="",L4,IFERROR(IF(INDEX(Variablen!$I:$AT, MATCH(M4, Variablen!$A:$A, 0), MATCH((YEAR(D4)+20), Variablen!$I$3:$AT$3, 0))="",L4,INDEX(Variablen!$I:$AT, MATCH(M4, Variablen!$A:$A, 0), MATCH((YEAR(D4)+20), Variablen!$I$3:$AT$3, 0))),L4)))*(IF((YEAR(D4)+20)&lt;YEAR(E4),0,IF((YEAR(D4)+20)&gt;YEAR(E4),1,(12-MONTH(E4)+1)/12))) + (Q4)*(IF((YEAR(D4)+20)&lt;YEAR(E4),0,IF((YEAR(D4)+20)&gt;YEAR(E4),1,(12-MONTH(E4)+1)/12))))-((P4)*(IF((YEAR(D4)+20)&lt;YEAR(E4),0,IF((YEAR(D4)+20)&gt;YEAR(E4),1,(12-MONTH(E4)+1)/12))) + (R4)*(IF((YEAR(D4)+20)&lt;YEAR(E4),0,IF((YEAR(D4)+20)&gt;YEAR(E4),1,(12-MONTH(E4)+1)/12))))-(IF(OR(N4="",N4&lt;=0),0,(O4/N4)*(IF(OR(N4="",N4&lt;=0),0,IF((YEAR(D4)+20)&lt;YEAR(E4),0,IF((YEAR(D4)+20)&gt;=YEAR(E4)+N4,0,IF((YEAR(D4)+20)=YEAR(E4),(12-MONTH(E4)+1)/12,1))))))))*TaxRate,0))-IF(20=0,O4,0))</f>
        <v/>
      </c>
      <c r="AN4" s="29">
        <f>IF(A4="","",S4)</f>
        <v/>
      </c>
      <c r="AO4" s="29">
        <f>IF(A4="","",AN4+T4)</f>
        <v/>
      </c>
      <c r="AP4" s="29">
        <f>IF(A4="","",AO4+U4)</f>
        <v/>
      </c>
      <c r="AQ4" s="29">
        <f>IF(A4="","",AP4+V4)</f>
        <v/>
      </c>
      <c r="AR4" s="29">
        <f>IF(A4="","",AQ4+W4)</f>
        <v/>
      </c>
      <c r="AS4" s="29">
        <f>IF(A4="","",AR4+X4)</f>
        <v/>
      </c>
      <c r="AT4" s="29">
        <f>IF(A4="","",AS4+Y4)</f>
        <v/>
      </c>
      <c r="AU4" s="29">
        <f>IF(A4="","",AT4+Z4)</f>
        <v/>
      </c>
      <c r="AV4" s="29">
        <f>IF(A4="","",AU4+AA4)</f>
        <v/>
      </c>
      <c r="AW4" s="29">
        <f>IF(A4="","",AV4+AB4)</f>
        <v/>
      </c>
      <c r="AX4" s="29">
        <f>IF(A4="","",AW4+AC4)</f>
        <v/>
      </c>
      <c r="AY4" s="29">
        <f>IF(A4="","",AX4+AD4)</f>
        <v/>
      </c>
      <c r="AZ4" s="29">
        <f>IF(A4="","",AY4+AE4)</f>
        <v/>
      </c>
      <c r="BA4" s="29">
        <f>IF(A4="","",AZ4+AF4)</f>
        <v/>
      </c>
      <c r="BB4" s="29">
        <f>IF(A4="","",BA4+AG4)</f>
        <v/>
      </c>
      <c r="BC4" s="29">
        <f>IF(A4="","",BB4+AH4)</f>
        <v/>
      </c>
      <c r="BD4" s="29">
        <f>IF(A4="","",BC4+AI4)</f>
        <v/>
      </c>
      <c r="BE4" s="29">
        <f>IF(A4="","",BD4+AJ4)</f>
        <v/>
      </c>
      <c r="BF4" s="29">
        <f>IF(A4="","",BE4+AK4)</f>
        <v/>
      </c>
      <c r="BG4" s="29">
        <f>IF(A4="","",BF4+AL4)</f>
        <v/>
      </c>
      <c r="BH4" s="29">
        <f>IF(A4="","",BG4+AM4)</f>
        <v/>
      </c>
      <c r="BI4" s="36">
        <f>IF(A4="","",(K4)*(IF((YEAR(D4)+0)&lt;YEAR(E4),0,IF((YEAR(D4)+0)&gt;YEAR(E4),1,(12-MONTH(E4)+1)/12)))*(1/(1+DiscountRate)^0))</f>
        <v/>
      </c>
      <c r="BJ4" s="36">
        <f>IF(A4="","",(K4)*(IF((YEAR(D4)+1)&lt;YEAR(E4),0,IF((YEAR(D4)+1)&gt;YEAR(E4),1,(12-MONTH(E4)+1)/12)))*(1/(1+DiscountRate)^1))</f>
        <v/>
      </c>
      <c r="BK4" s="36">
        <f>IF(A4="","",(K4)*(IF((YEAR(D4)+2)&lt;YEAR(E4),0,IF((YEAR(D4)+2)&gt;YEAR(E4),1,(12-MONTH(E4)+1)/12)))*(1/(1+DiscountRate)^2))</f>
        <v/>
      </c>
      <c r="BL4" s="36">
        <f>IF(A4="","",(K4)*(IF((YEAR(D4)+3)&lt;YEAR(E4),0,IF((YEAR(D4)+3)&gt;YEAR(E4),1,(12-MONTH(E4)+1)/12)))*(1/(1+DiscountRate)^3))</f>
        <v/>
      </c>
      <c r="BM4" s="36">
        <f>IF(A4="","",(K4)*(IF((YEAR(D4)+4)&lt;YEAR(E4),0,IF((YEAR(D4)+4)&gt;YEAR(E4),1,(12-MONTH(E4)+1)/12)))*(1/(1+DiscountRate)^4))</f>
        <v/>
      </c>
      <c r="BN4" s="36">
        <f>IF(A4="","",(K4)*(IF((YEAR(D4)+5)&lt;YEAR(E4),0,IF((YEAR(D4)+5)&gt;YEAR(E4),1,(12-MONTH(E4)+1)/12)))*(1/(1+DiscountRate)^5))</f>
        <v/>
      </c>
      <c r="BO4" s="36">
        <f>IF(A4="","",(K4)*(IF((YEAR(D4)+6)&lt;YEAR(E4),0,IF((YEAR(D4)+6)&gt;YEAR(E4),1,(12-MONTH(E4)+1)/12)))*(1/(1+DiscountRate)^6))</f>
        <v/>
      </c>
      <c r="BP4" s="36">
        <f>IF(A4="","",(K4)*(IF((YEAR(D4)+7)&lt;YEAR(E4),0,IF((YEAR(D4)+7)&gt;YEAR(E4),1,(12-MONTH(E4)+1)/12)))*(1/(1+DiscountRate)^7))</f>
        <v/>
      </c>
      <c r="BQ4" s="36">
        <f>IF(A4="","",(K4)*(IF((YEAR(D4)+8)&lt;YEAR(E4),0,IF((YEAR(D4)+8)&gt;YEAR(E4),1,(12-MONTH(E4)+1)/12)))*(1/(1+DiscountRate)^8))</f>
        <v/>
      </c>
      <c r="BR4" s="36">
        <f>IF(A4="","",(K4)*(IF((YEAR(D4)+9)&lt;YEAR(E4),0,IF((YEAR(D4)+9)&gt;YEAR(E4),1,(12-MONTH(E4)+1)/12)))*(1/(1+DiscountRate)^9))</f>
        <v/>
      </c>
      <c r="BS4" s="36">
        <f>IF(A4="","",(K4)*(IF((YEAR(D4)+10)&lt;YEAR(E4),0,IF((YEAR(D4)+10)&gt;YEAR(E4),1,(12-MONTH(E4)+1)/12)))*(1/(1+DiscountRate)^10))</f>
        <v/>
      </c>
      <c r="BT4" s="36">
        <f>IF(A4="","",(K4)*(IF((YEAR(D4)+11)&lt;YEAR(E4),0,IF((YEAR(D4)+11)&gt;YEAR(E4),1,(12-MONTH(E4)+1)/12)))*(1/(1+DiscountRate)^11))</f>
        <v/>
      </c>
      <c r="BU4" s="36">
        <f>IF(A4="","",(K4)*(IF((YEAR(D4)+12)&lt;YEAR(E4),0,IF((YEAR(D4)+12)&gt;YEAR(E4),1,(12-MONTH(E4)+1)/12)))*(1/(1+DiscountRate)^12))</f>
        <v/>
      </c>
      <c r="BV4" s="36">
        <f>IF(A4="","",(K4)*(IF((YEAR(D4)+13)&lt;YEAR(E4),0,IF((YEAR(D4)+13)&gt;YEAR(E4),1,(12-MONTH(E4)+1)/12)))*(1/(1+DiscountRate)^13))</f>
        <v/>
      </c>
      <c r="BW4" s="36">
        <f>IF(A4="","",(K4)*(IF((YEAR(D4)+14)&lt;YEAR(E4),0,IF((YEAR(D4)+14)&gt;YEAR(E4),1,(12-MONTH(E4)+1)/12)))*(1/(1+DiscountRate)^14))</f>
        <v/>
      </c>
      <c r="BX4" s="36">
        <f>IF(A4="","",(K4)*(IF((YEAR(D4)+15)&lt;YEAR(E4),0,IF((YEAR(D4)+15)&gt;YEAR(E4),1,(12-MONTH(E4)+1)/12)))*(1/(1+DiscountRate)^15))</f>
        <v/>
      </c>
      <c r="BY4" s="36">
        <f>IF(A4="","",(K4)*(IF((YEAR(D4)+16)&lt;YEAR(E4),0,IF((YEAR(D4)+16)&gt;YEAR(E4),1,(12-MONTH(E4)+1)/12)))*(1/(1+DiscountRate)^16))</f>
        <v/>
      </c>
      <c r="BZ4" s="36">
        <f>IF(A4="","",(K4)*(IF((YEAR(D4)+17)&lt;YEAR(E4),0,IF((YEAR(D4)+17)&gt;YEAR(E4),1,(12-MONTH(E4)+1)/12)))*(1/(1+DiscountRate)^17))</f>
        <v/>
      </c>
      <c r="CA4" s="36">
        <f>IF(A4="","",(K4)*(IF((YEAR(D4)+18)&lt;YEAR(E4),0,IF((YEAR(D4)+18)&gt;YEAR(E4),1,(12-MONTH(E4)+1)/12)))*(1/(1+DiscountRate)^18))</f>
        <v/>
      </c>
      <c r="CB4" s="36">
        <f>IF(A4="","",(K4)*(IF((YEAR(D4)+19)&lt;YEAR(E4),0,IF((YEAR(D4)+19)&gt;YEAR(E4),1,(12-MONTH(E4)+1)/12)))*(1/(1+DiscountRate)^19))</f>
        <v/>
      </c>
      <c r="CC4" s="36">
        <f>IF(A4="","",(K4)*(IF((YEAR(D4)+20)&lt;YEAR(E4),0,IF((YEAR(D4)+20)&gt;YEAR(E4),1,(12-MONTH(E4)+1)/12)))*(1/(1+DiscountRate)^20))</f>
        <v/>
      </c>
      <c r="CD4" s="29">
        <f>IF(A4="","",S4/(1+DiscountRate)^0+T4/(1+DiscountRate)^1+U4/(1+DiscountRate)^2+V4/(1+DiscountRate)^3+W4/(1+DiscountRate)^4+X4/(1+DiscountRate)^5+Y4/(1+DiscountRate)^6+Z4/(1+DiscountRate)^7+AA4/(1+DiscountRate)^8+AB4/(1+DiscountRate)^9+AC4/(1+DiscountRate)^10+AD4/(1+DiscountRate)^11+AE4/(1+DiscountRate)^12+AF4/(1+DiscountRate)^13+AG4/(1+DiscountRate)^14+AH4/(1+DiscountRate)^15+AI4/(1+DiscountRate)^16+AJ4/(1+DiscountRate)^17+AK4/(1+DiscountRate)^18+AL4/(1+DiscountRate)^19+AM4/(1+DiscountRate)^20)</f>
        <v/>
      </c>
      <c r="CE4" s="37">
        <f>IF(A4="","",IFERROR(IRR(OFFSET(S4,0,0,1,MIN(HorizonYears,20)+1)),"n/a"))</f>
        <v/>
      </c>
      <c r="CF4" s="28">
        <f>IF(A4="","",IFERROR(MATCH(TRUE,OFFSET(AN4,0,0,1,MIN(HorizonYears,20)+1)&gt;=0,0)-1,"n/a"))</f>
        <v/>
      </c>
      <c r="CG4" s="36">
        <f>IF(A4="","",SUM(OFFSET(BI4,0,0,1,MIN(HorizonYears,20)+1)))</f>
        <v/>
      </c>
      <c r="CH4" s="36">
        <f>IF(A4="","",IFERROR(-CD4/CG4,"n/a"))</f>
        <v/>
      </c>
    </row>
    <row r="5">
      <c r="A5" s="6">
        <f>Actions!A3</f>
        <v/>
      </c>
      <c r="B5" s="6">
        <f>Actions!B3</f>
        <v/>
      </c>
      <c r="C5" s="6">
        <f>Actions!D3</f>
        <v/>
      </c>
      <c r="D5" s="35">
        <f>Actions!E3</f>
        <v/>
      </c>
      <c r="E5" s="35">
        <f>Actions!F3</f>
        <v/>
      </c>
      <c r="F5" s="6">
        <f>Actions!G3</f>
        <v/>
      </c>
      <c r="G5" s="6">
        <f>Actions!H3</f>
        <v/>
      </c>
      <c r="H5" s="29">
        <f>Actions!I3</f>
        <v/>
      </c>
      <c r="I5" s="6">
        <f>Actions!J3</f>
        <v/>
      </c>
      <c r="J5" s="16">
        <f>Actions!K3</f>
        <v/>
      </c>
      <c r="K5" s="16">
        <f>IF(A5="","",IF(I5="%",H5*J5,J5))</f>
        <v/>
      </c>
      <c r="L5" s="16">
        <f>Actions!L3</f>
        <v/>
      </c>
      <c r="M5" s="6">
        <f>Actions!M3</f>
        <v/>
      </c>
      <c r="N5" s="28">
        <f>Actions!N3</f>
        <v/>
      </c>
      <c r="O5" s="29">
        <f>Actions!T3</f>
        <v/>
      </c>
      <c r="P5" s="29">
        <f>Actions!Y3</f>
        <v/>
      </c>
      <c r="Q5" s="29">
        <f>Actions!Z3</f>
        <v/>
      </c>
      <c r="R5" s="29">
        <f>Actions!AA3</f>
        <v/>
      </c>
      <c r="S5" s="29">
        <f>IF(A5="","",((K5)*(IF(M5="",L5,IFERROR(IF(INDEX(Variablen!$I:$AT, MATCH(M5, Variablen!$A:$A, 0), MATCH((YEAR(D5)+0), Variablen!$I$3:$AT$3, 0))="",L5,INDEX(Variablen!$I:$AT, MATCH(M5, Variablen!$A:$A, 0), MATCH((YEAR(D5)+0), Variablen!$I$3:$AT$3, 0))),L5)))*(IF((YEAR(D5)+0)&lt;YEAR(E5),0,IF((YEAR(D5)+0)&gt;YEAR(E5),1,(12-MONTH(E5)+1)/12))) + (Q5)*(IF((YEAR(D5)+0)&lt;YEAR(E5),0,IF((YEAR(D5)+0)&gt;YEAR(E5),1,(12-MONTH(E5)+1)/12))))-((P5)*(IF((YEAR(D5)+0)&lt;YEAR(E5),0,IF((YEAR(D5)+0)&gt;YEAR(E5),1,(12-MONTH(E5)+1)/12))) + (R5)*(IF((YEAR(D5)+0)&lt;YEAR(E5),0,IF((YEAR(D5)+0)&gt;YEAR(E5),1,(12-MONTH(E5)+1)/12))))-(IF((((K5)*(IF(M5="",L5,IFERROR(IF(INDEX(Variablen!$I:$AT, MATCH(M5, Variablen!$A:$A, 0), MATCH((YEAR(D5)+0), Variablen!$I$3:$AT$3, 0))="",L5,INDEX(Variablen!$I:$AT, MATCH(M5, Variablen!$A:$A, 0), MATCH((YEAR(D5)+0), Variablen!$I$3:$AT$3, 0))),L5)))*(IF((YEAR(D5)+0)&lt;YEAR(E5),0,IF((YEAR(D5)+0)&gt;YEAR(E5),1,(12-MONTH(E5)+1)/12))) + (Q5)*(IF((YEAR(D5)+0)&lt;YEAR(E5),0,IF((YEAR(D5)+0)&gt;YEAR(E5),1,(12-MONTH(E5)+1)/12))))-((P5)*(IF((YEAR(D5)+0)&lt;YEAR(E5),0,IF((YEAR(D5)+0)&gt;YEAR(E5),1,(12-MONTH(E5)+1)/12))) + (R5)*(IF((YEAR(D5)+0)&lt;YEAR(E5),0,IF((YEAR(D5)+0)&gt;YEAR(E5),1,(12-MONTH(E5)+1)/12))))-(IF(OR(N5="",N5&lt;=0),0,(O5/N5)*(IF(OR(N5="",N5&lt;=0),0,IF((YEAR(D5)+0)&lt;YEAR(E5),0,IF((YEAR(D5)+0)&gt;=YEAR(E5)+N5,0,IF((YEAR(D5)+0)=YEAR(E5),(12-MONTH(E5)+1)/12,1))))))))&gt;0,(((K5)*(IF(M5="",L5,IFERROR(IF(INDEX(Variablen!$I:$AT, MATCH(M5, Variablen!$A:$A, 0), MATCH((YEAR(D5)+0), Variablen!$I$3:$AT$3, 0))="",L5,INDEX(Variablen!$I:$AT, MATCH(M5, Variablen!$A:$A, 0), MATCH((YEAR(D5)+0), Variablen!$I$3:$AT$3, 0))),L5)))*(IF((YEAR(D5)+0)&lt;YEAR(E5),0,IF((YEAR(D5)+0)&gt;YEAR(E5),1,(12-MONTH(E5)+1)/12))) + (Q5)*(IF((YEAR(D5)+0)&lt;YEAR(E5),0,IF((YEAR(D5)+0)&gt;YEAR(E5),1,(12-MONTH(E5)+1)/12))))-((P5)*(IF((YEAR(D5)+0)&lt;YEAR(E5),0,IF((YEAR(D5)+0)&gt;YEAR(E5),1,(12-MONTH(E5)+1)/12))) + (R5)*(IF((YEAR(D5)+0)&lt;YEAR(E5),0,IF((YEAR(D5)+0)&gt;YEAR(E5),1,(12-MONTH(E5)+1)/12))))-(IF(OR(N5="",N5&lt;=0),0,(O5/N5)*(IF(OR(N5="",N5&lt;=0),0,IF((YEAR(D5)+0)&lt;YEAR(E5),0,IF((YEAR(D5)+0)&gt;=YEAR(E5)+N5,0,IF((YEAR(D5)+0)=YEAR(E5),(12-MONTH(E5)+1)/12,1))))))))*TaxRate,0))-IF(0=0,O5,0))</f>
        <v/>
      </c>
      <c r="T5" s="29">
        <f>IF(A5="","",((K5)*(IF(M5="",L5,IFERROR(IF(INDEX(Variablen!$I:$AT, MATCH(M5, Variablen!$A:$A, 0), MATCH((YEAR(D5)+1), Variablen!$I$3:$AT$3, 0))="",L5,INDEX(Variablen!$I:$AT, MATCH(M5, Variablen!$A:$A, 0), MATCH((YEAR(D5)+1), Variablen!$I$3:$AT$3, 0))),L5)))*(IF((YEAR(D5)+1)&lt;YEAR(E5),0,IF((YEAR(D5)+1)&gt;YEAR(E5),1,(12-MONTH(E5)+1)/12))) + (Q5)*(IF((YEAR(D5)+1)&lt;YEAR(E5),0,IF((YEAR(D5)+1)&gt;YEAR(E5),1,(12-MONTH(E5)+1)/12))))-((P5)*(IF((YEAR(D5)+1)&lt;YEAR(E5),0,IF((YEAR(D5)+1)&gt;YEAR(E5),1,(12-MONTH(E5)+1)/12))) + (R5)*(IF((YEAR(D5)+1)&lt;YEAR(E5),0,IF((YEAR(D5)+1)&gt;YEAR(E5),1,(12-MONTH(E5)+1)/12))))-(IF((((K5)*(IF(M5="",L5,IFERROR(IF(INDEX(Variablen!$I:$AT, MATCH(M5, Variablen!$A:$A, 0), MATCH((YEAR(D5)+1), Variablen!$I$3:$AT$3, 0))="",L5,INDEX(Variablen!$I:$AT, MATCH(M5, Variablen!$A:$A, 0), MATCH((YEAR(D5)+1), Variablen!$I$3:$AT$3, 0))),L5)))*(IF((YEAR(D5)+1)&lt;YEAR(E5),0,IF((YEAR(D5)+1)&gt;YEAR(E5),1,(12-MONTH(E5)+1)/12))) + (Q5)*(IF((YEAR(D5)+1)&lt;YEAR(E5),0,IF((YEAR(D5)+1)&gt;YEAR(E5),1,(12-MONTH(E5)+1)/12))))-((P5)*(IF((YEAR(D5)+1)&lt;YEAR(E5),0,IF((YEAR(D5)+1)&gt;YEAR(E5),1,(12-MONTH(E5)+1)/12))) + (R5)*(IF((YEAR(D5)+1)&lt;YEAR(E5),0,IF((YEAR(D5)+1)&gt;YEAR(E5),1,(12-MONTH(E5)+1)/12))))-(IF(OR(N5="",N5&lt;=0),0,(O5/N5)*(IF(OR(N5="",N5&lt;=0),0,IF((YEAR(D5)+1)&lt;YEAR(E5),0,IF((YEAR(D5)+1)&gt;=YEAR(E5)+N5,0,IF((YEAR(D5)+1)=YEAR(E5),(12-MONTH(E5)+1)/12,1))))))))&gt;0,(((K5)*(IF(M5="",L5,IFERROR(IF(INDEX(Variablen!$I:$AT, MATCH(M5, Variablen!$A:$A, 0), MATCH((YEAR(D5)+1), Variablen!$I$3:$AT$3, 0))="",L5,INDEX(Variablen!$I:$AT, MATCH(M5, Variablen!$A:$A, 0), MATCH((YEAR(D5)+1), Variablen!$I$3:$AT$3, 0))),L5)))*(IF((YEAR(D5)+1)&lt;YEAR(E5),0,IF((YEAR(D5)+1)&gt;YEAR(E5),1,(12-MONTH(E5)+1)/12))) + (Q5)*(IF((YEAR(D5)+1)&lt;YEAR(E5),0,IF((YEAR(D5)+1)&gt;YEAR(E5),1,(12-MONTH(E5)+1)/12))))-((P5)*(IF((YEAR(D5)+1)&lt;YEAR(E5),0,IF((YEAR(D5)+1)&gt;YEAR(E5),1,(12-MONTH(E5)+1)/12))) + (R5)*(IF((YEAR(D5)+1)&lt;YEAR(E5),0,IF((YEAR(D5)+1)&gt;YEAR(E5),1,(12-MONTH(E5)+1)/12))))-(IF(OR(N5="",N5&lt;=0),0,(O5/N5)*(IF(OR(N5="",N5&lt;=0),0,IF((YEAR(D5)+1)&lt;YEAR(E5),0,IF((YEAR(D5)+1)&gt;=YEAR(E5)+N5,0,IF((YEAR(D5)+1)=YEAR(E5),(12-MONTH(E5)+1)/12,1))))))))*TaxRate,0))-IF(1=0,O5,0))</f>
        <v/>
      </c>
      <c r="U5" s="29">
        <f>IF(A5="","",((K5)*(IF(M5="",L5,IFERROR(IF(INDEX(Variablen!$I:$AT, MATCH(M5, Variablen!$A:$A, 0), MATCH((YEAR(D5)+2), Variablen!$I$3:$AT$3, 0))="",L5,INDEX(Variablen!$I:$AT, MATCH(M5, Variablen!$A:$A, 0), MATCH((YEAR(D5)+2), Variablen!$I$3:$AT$3, 0))),L5)))*(IF((YEAR(D5)+2)&lt;YEAR(E5),0,IF((YEAR(D5)+2)&gt;YEAR(E5),1,(12-MONTH(E5)+1)/12))) + (Q5)*(IF((YEAR(D5)+2)&lt;YEAR(E5),0,IF((YEAR(D5)+2)&gt;YEAR(E5),1,(12-MONTH(E5)+1)/12))))-((P5)*(IF((YEAR(D5)+2)&lt;YEAR(E5),0,IF((YEAR(D5)+2)&gt;YEAR(E5),1,(12-MONTH(E5)+1)/12))) + (R5)*(IF((YEAR(D5)+2)&lt;YEAR(E5),0,IF((YEAR(D5)+2)&gt;YEAR(E5),1,(12-MONTH(E5)+1)/12))))-(IF((((K5)*(IF(M5="",L5,IFERROR(IF(INDEX(Variablen!$I:$AT, MATCH(M5, Variablen!$A:$A, 0), MATCH((YEAR(D5)+2), Variablen!$I$3:$AT$3, 0))="",L5,INDEX(Variablen!$I:$AT, MATCH(M5, Variablen!$A:$A, 0), MATCH((YEAR(D5)+2), Variablen!$I$3:$AT$3, 0))),L5)))*(IF((YEAR(D5)+2)&lt;YEAR(E5),0,IF((YEAR(D5)+2)&gt;YEAR(E5),1,(12-MONTH(E5)+1)/12))) + (Q5)*(IF((YEAR(D5)+2)&lt;YEAR(E5),0,IF((YEAR(D5)+2)&gt;YEAR(E5),1,(12-MONTH(E5)+1)/12))))-((P5)*(IF((YEAR(D5)+2)&lt;YEAR(E5),0,IF((YEAR(D5)+2)&gt;YEAR(E5),1,(12-MONTH(E5)+1)/12))) + (R5)*(IF((YEAR(D5)+2)&lt;YEAR(E5),0,IF((YEAR(D5)+2)&gt;YEAR(E5),1,(12-MONTH(E5)+1)/12))))-(IF(OR(N5="",N5&lt;=0),0,(O5/N5)*(IF(OR(N5="",N5&lt;=0),0,IF((YEAR(D5)+2)&lt;YEAR(E5),0,IF((YEAR(D5)+2)&gt;=YEAR(E5)+N5,0,IF((YEAR(D5)+2)=YEAR(E5),(12-MONTH(E5)+1)/12,1))))))))&gt;0,(((K5)*(IF(M5="",L5,IFERROR(IF(INDEX(Variablen!$I:$AT, MATCH(M5, Variablen!$A:$A, 0), MATCH((YEAR(D5)+2), Variablen!$I$3:$AT$3, 0))="",L5,INDEX(Variablen!$I:$AT, MATCH(M5, Variablen!$A:$A, 0), MATCH((YEAR(D5)+2), Variablen!$I$3:$AT$3, 0))),L5)))*(IF((YEAR(D5)+2)&lt;YEAR(E5),0,IF((YEAR(D5)+2)&gt;YEAR(E5),1,(12-MONTH(E5)+1)/12))) + (Q5)*(IF((YEAR(D5)+2)&lt;YEAR(E5),0,IF((YEAR(D5)+2)&gt;YEAR(E5),1,(12-MONTH(E5)+1)/12))))-((P5)*(IF((YEAR(D5)+2)&lt;YEAR(E5),0,IF((YEAR(D5)+2)&gt;YEAR(E5),1,(12-MONTH(E5)+1)/12))) + (R5)*(IF((YEAR(D5)+2)&lt;YEAR(E5),0,IF((YEAR(D5)+2)&gt;YEAR(E5),1,(12-MONTH(E5)+1)/12))))-(IF(OR(N5="",N5&lt;=0),0,(O5/N5)*(IF(OR(N5="",N5&lt;=0),0,IF((YEAR(D5)+2)&lt;YEAR(E5),0,IF((YEAR(D5)+2)&gt;=YEAR(E5)+N5,0,IF((YEAR(D5)+2)=YEAR(E5),(12-MONTH(E5)+1)/12,1))))))))*TaxRate,0))-IF(2=0,O5,0))</f>
        <v/>
      </c>
      <c r="V5" s="29">
        <f>IF(A5="","",((K5)*(IF(M5="",L5,IFERROR(IF(INDEX(Variablen!$I:$AT, MATCH(M5, Variablen!$A:$A, 0), MATCH((YEAR(D5)+3), Variablen!$I$3:$AT$3, 0))="",L5,INDEX(Variablen!$I:$AT, MATCH(M5, Variablen!$A:$A, 0), MATCH((YEAR(D5)+3), Variablen!$I$3:$AT$3, 0))),L5)))*(IF((YEAR(D5)+3)&lt;YEAR(E5),0,IF((YEAR(D5)+3)&gt;YEAR(E5),1,(12-MONTH(E5)+1)/12))) + (Q5)*(IF((YEAR(D5)+3)&lt;YEAR(E5),0,IF((YEAR(D5)+3)&gt;YEAR(E5),1,(12-MONTH(E5)+1)/12))))-((P5)*(IF((YEAR(D5)+3)&lt;YEAR(E5),0,IF((YEAR(D5)+3)&gt;YEAR(E5),1,(12-MONTH(E5)+1)/12))) + (R5)*(IF((YEAR(D5)+3)&lt;YEAR(E5),0,IF((YEAR(D5)+3)&gt;YEAR(E5),1,(12-MONTH(E5)+1)/12))))-(IF((((K5)*(IF(M5="",L5,IFERROR(IF(INDEX(Variablen!$I:$AT, MATCH(M5, Variablen!$A:$A, 0), MATCH((YEAR(D5)+3), Variablen!$I$3:$AT$3, 0))="",L5,INDEX(Variablen!$I:$AT, MATCH(M5, Variablen!$A:$A, 0), MATCH((YEAR(D5)+3), Variablen!$I$3:$AT$3, 0))),L5)))*(IF((YEAR(D5)+3)&lt;YEAR(E5),0,IF((YEAR(D5)+3)&gt;YEAR(E5),1,(12-MONTH(E5)+1)/12))) + (Q5)*(IF((YEAR(D5)+3)&lt;YEAR(E5),0,IF((YEAR(D5)+3)&gt;YEAR(E5),1,(12-MONTH(E5)+1)/12))))-((P5)*(IF((YEAR(D5)+3)&lt;YEAR(E5),0,IF((YEAR(D5)+3)&gt;YEAR(E5),1,(12-MONTH(E5)+1)/12))) + (R5)*(IF((YEAR(D5)+3)&lt;YEAR(E5),0,IF((YEAR(D5)+3)&gt;YEAR(E5),1,(12-MONTH(E5)+1)/12))))-(IF(OR(N5="",N5&lt;=0),0,(O5/N5)*(IF(OR(N5="",N5&lt;=0),0,IF((YEAR(D5)+3)&lt;YEAR(E5),0,IF((YEAR(D5)+3)&gt;=YEAR(E5)+N5,0,IF((YEAR(D5)+3)=YEAR(E5),(12-MONTH(E5)+1)/12,1))))))))&gt;0,(((K5)*(IF(M5="",L5,IFERROR(IF(INDEX(Variablen!$I:$AT, MATCH(M5, Variablen!$A:$A, 0), MATCH((YEAR(D5)+3), Variablen!$I$3:$AT$3, 0))="",L5,INDEX(Variablen!$I:$AT, MATCH(M5, Variablen!$A:$A, 0), MATCH((YEAR(D5)+3), Variablen!$I$3:$AT$3, 0))),L5)))*(IF((YEAR(D5)+3)&lt;YEAR(E5),0,IF((YEAR(D5)+3)&gt;YEAR(E5),1,(12-MONTH(E5)+1)/12))) + (Q5)*(IF((YEAR(D5)+3)&lt;YEAR(E5),0,IF((YEAR(D5)+3)&gt;YEAR(E5),1,(12-MONTH(E5)+1)/12))))-((P5)*(IF((YEAR(D5)+3)&lt;YEAR(E5),0,IF((YEAR(D5)+3)&gt;YEAR(E5),1,(12-MONTH(E5)+1)/12))) + (R5)*(IF((YEAR(D5)+3)&lt;YEAR(E5),0,IF((YEAR(D5)+3)&gt;YEAR(E5),1,(12-MONTH(E5)+1)/12))))-(IF(OR(N5="",N5&lt;=0),0,(O5/N5)*(IF(OR(N5="",N5&lt;=0),0,IF((YEAR(D5)+3)&lt;YEAR(E5),0,IF((YEAR(D5)+3)&gt;=YEAR(E5)+N5,0,IF((YEAR(D5)+3)=YEAR(E5),(12-MONTH(E5)+1)/12,1))))))))*TaxRate,0))-IF(3=0,O5,0))</f>
        <v/>
      </c>
      <c r="W5" s="29">
        <f>IF(A5="","",((K5)*(IF(M5="",L5,IFERROR(IF(INDEX(Variablen!$I:$AT, MATCH(M5, Variablen!$A:$A, 0), MATCH((YEAR(D5)+4), Variablen!$I$3:$AT$3, 0))="",L5,INDEX(Variablen!$I:$AT, MATCH(M5, Variablen!$A:$A, 0), MATCH((YEAR(D5)+4), Variablen!$I$3:$AT$3, 0))),L5)))*(IF((YEAR(D5)+4)&lt;YEAR(E5),0,IF((YEAR(D5)+4)&gt;YEAR(E5),1,(12-MONTH(E5)+1)/12))) + (Q5)*(IF((YEAR(D5)+4)&lt;YEAR(E5),0,IF((YEAR(D5)+4)&gt;YEAR(E5),1,(12-MONTH(E5)+1)/12))))-((P5)*(IF((YEAR(D5)+4)&lt;YEAR(E5),0,IF((YEAR(D5)+4)&gt;YEAR(E5),1,(12-MONTH(E5)+1)/12))) + (R5)*(IF((YEAR(D5)+4)&lt;YEAR(E5),0,IF((YEAR(D5)+4)&gt;YEAR(E5),1,(12-MONTH(E5)+1)/12))))-(IF((((K5)*(IF(M5="",L5,IFERROR(IF(INDEX(Variablen!$I:$AT, MATCH(M5, Variablen!$A:$A, 0), MATCH((YEAR(D5)+4), Variablen!$I$3:$AT$3, 0))="",L5,INDEX(Variablen!$I:$AT, MATCH(M5, Variablen!$A:$A, 0), MATCH((YEAR(D5)+4), Variablen!$I$3:$AT$3, 0))),L5)))*(IF((YEAR(D5)+4)&lt;YEAR(E5),0,IF((YEAR(D5)+4)&gt;YEAR(E5),1,(12-MONTH(E5)+1)/12))) + (Q5)*(IF((YEAR(D5)+4)&lt;YEAR(E5),0,IF((YEAR(D5)+4)&gt;YEAR(E5),1,(12-MONTH(E5)+1)/12))))-((P5)*(IF((YEAR(D5)+4)&lt;YEAR(E5),0,IF((YEAR(D5)+4)&gt;YEAR(E5),1,(12-MONTH(E5)+1)/12))) + (R5)*(IF((YEAR(D5)+4)&lt;YEAR(E5),0,IF((YEAR(D5)+4)&gt;YEAR(E5),1,(12-MONTH(E5)+1)/12))))-(IF(OR(N5="",N5&lt;=0),0,(O5/N5)*(IF(OR(N5="",N5&lt;=0),0,IF((YEAR(D5)+4)&lt;YEAR(E5),0,IF((YEAR(D5)+4)&gt;=YEAR(E5)+N5,0,IF((YEAR(D5)+4)=YEAR(E5),(12-MONTH(E5)+1)/12,1))))))))&gt;0,(((K5)*(IF(M5="",L5,IFERROR(IF(INDEX(Variablen!$I:$AT, MATCH(M5, Variablen!$A:$A, 0), MATCH((YEAR(D5)+4), Variablen!$I$3:$AT$3, 0))="",L5,INDEX(Variablen!$I:$AT, MATCH(M5, Variablen!$A:$A, 0), MATCH((YEAR(D5)+4), Variablen!$I$3:$AT$3, 0))),L5)))*(IF((YEAR(D5)+4)&lt;YEAR(E5),0,IF((YEAR(D5)+4)&gt;YEAR(E5),1,(12-MONTH(E5)+1)/12))) + (Q5)*(IF((YEAR(D5)+4)&lt;YEAR(E5),0,IF((YEAR(D5)+4)&gt;YEAR(E5),1,(12-MONTH(E5)+1)/12))))-((P5)*(IF((YEAR(D5)+4)&lt;YEAR(E5),0,IF((YEAR(D5)+4)&gt;YEAR(E5),1,(12-MONTH(E5)+1)/12))) + (R5)*(IF((YEAR(D5)+4)&lt;YEAR(E5),0,IF((YEAR(D5)+4)&gt;YEAR(E5),1,(12-MONTH(E5)+1)/12))))-(IF(OR(N5="",N5&lt;=0),0,(O5/N5)*(IF(OR(N5="",N5&lt;=0),0,IF((YEAR(D5)+4)&lt;YEAR(E5),0,IF((YEAR(D5)+4)&gt;=YEAR(E5)+N5,0,IF((YEAR(D5)+4)=YEAR(E5),(12-MONTH(E5)+1)/12,1))))))))*TaxRate,0))-IF(4=0,O5,0))</f>
        <v/>
      </c>
      <c r="X5" s="29">
        <f>IF(A5="","",((K5)*(IF(M5="",L5,IFERROR(IF(INDEX(Variablen!$I:$AT, MATCH(M5, Variablen!$A:$A, 0), MATCH((YEAR(D5)+5), Variablen!$I$3:$AT$3, 0))="",L5,INDEX(Variablen!$I:$AT, MATCH(M5, Variablen!$A:$A, 0), MATCH((YEAR(D5)+5), Variablen!$I$3:$AT$3, 0))),L5)))*(IF((YEAR(D5)+5)&lt;YEAR(E5),0,IF((YEAR(D5)+5)&gt;YEAR(E5),1,(12-MONTH(E5)+1)/12))) + (Q5)*(IF((YEAR(D5)+5)&lt;YEAR(E5),0,IF((YEAR(D5)+5)&gt;YEAR(E5),1,(12-MONTH(E5)+1)/12))))-((P5)*(IF((YEAR(D5)+5)&lt;YEAR(E5),0,IF((YEAR(D5)+5)&gt;YEAR(E5),1,(12-MONTH(E5)+1)/12))) + (R5)*(IF((YEAR(D5)+5)&lt;YEAR(E5),0,IF((YEAR(D5)+5)&gt;YEAR(E5),1,(12-MONTH(E5)+1)/12))))-(IF((((K5)*(IF(M5="",L5,IFERROR(IF(INDEX(Variablen!$I:$AT, MATCH(M5, Variablen!$A:$A, 0), MATCH((YEAR(D5)+5), Variablen!$I$3:$AT$3, 0))="",L5,INDEX(Variablen!$I:$AT, MATCH(M5, Variablen!$A:$A, 0), MATCH((YEAR(D5)+5), Variablen!$I$3:$AT$3, 0))),L5)))*(IF((YEAR(D5)+5)&lt;YEAR(E5),0,IF((YEAR(D5)+5)&gt;YEAR(E5),1,(12-MONTH(E5)+1)/12))) + (Q5)*(IF((YEAR(D5)+5)&lt;YEAR(E5),0,IF((YEAR(D5)+5)&gt;YEAR(E5),1,(12-MONTH(E5)+1)/12))))-((P5)*(IF((YEAR(D5)+5)&lt;YEAR(E5),0,IF((YEAR(D5)+5)&gt;YEAR(E5),1,(12-MONTH(E5)+1)/12))) + (R5)*(IF((YEAR(D5)+5)&lt;YEAR(E5),0,IF((YEAR(D5)+5)&gt;YEAR(E5),1,(12-MONTH(E5)+1)/12))))-(IF(OR(N5="",N5&lt;=0),0,(O5/N5)*(IF(OR(N5="",N5&lt;=0),0,IF((YEAR(D5)+5)&lt;YEAR(E5),0,IF((YEAR(D5)+5)&gt;=YEAR(E5)+N5,0,IF((YEAR(D5)+5)=YEAR(E5),(12-MONTH(E5)+1)/12,1))))))))&gt;0,(((K5)*(IF(M5="",L5,IFERROR(IF(INDEX(Variablen!$I:$AT, MATCH(M5, Variablen!$A:$A, 0), MATCH((YEAR(D5)+5), Variablen!$I$3:$AT$3, 0))="",L5,INDEX(Variablen!$I:$AT, MATCH(M5, Variablen!$A:$A, 0), MATCH((YEAR(D5)+5), Variablen!$I$3:$AT$3, 0))),L5)))*(IF((YEAR(D5)+5)&lt;YEAR(E5),0,IF((YEAR(D5)+5)&gt;YEAR(E5),1,(12-MONTH(E5)+1)/12))) + (Q5)*(IF((YEAR(D5)+5)&lt;YEAR(E5),0,IF((YEAR(D5)+5)&gt;YEAR(E5),1,(12-MONTH(E5)+1)/12))))-((P5)*(IF((YEAR(D5)+5)&lt;YEAR(E5),0,IF((YEAR(D5)+5)&gt;YEAR(E5),1,(12-MONTH(E5)+1)/12))) + (R5)*(IF((YEAR(D5)+5)&lt;YEAR(E5),0,IF((YEAR(D5)+5)&gt;YEAR(E5),1,(12-MONTH(E5)+1)/12))))-(IF(OR(N5="",N5&lt;=0),0,(O5/N5)*(IF(OR(N5="",N5&lt;=0),0,IF((YEAR(D5)+5)&lt;YEAR(E5),0,IF((YEAR(D5)+5)&gt;=YEAR(E5)+N5,0,IF((YEAR(D5)+5)=YEAR(E5),(12-MONTH(E5)+1)/12,1))))))))*TaxRate,0))-IF(5=0,O5,0))</f>
        <v/>
      </c>
      <c r="Y5" s="29">
        <f>IF(A5="","",((K5)*(IF(M5="",L5,IFERROR(IF(INDEX(Variablen!$I:$AT, MATCH(M5, Variablen!$A:$A, 0), MATCH((YEAR(D5)+6), Variablen!$I$3:$AT$3, 0))="",L5,INDEX(Variablen!$I:$AT, MATCH(M5, Variablen!$A:$A, 0), MATCH((YEAR(D5)+6), Variablen!$I$3:$AT$3, 0))),L5)))*(IF((YEAR(D5)+6)&lt;YEAR(E5),0,IF((YEAR(D5)+6)&gt;YEAR(E5),1,(12-MONTH(E5)+1)/12))) + (Q5)*(IF((YEAR(D5)+6)&lt;YEAR(E5),0,IF((YEAR(D5)+6)&gt;YEAR(E5),1,(12-MONTH(E5)+1)/12))))-((P5)*(IF((YEAR(D5)+6)&lt;YEAR(E5),0,IF((YEAR(D5)+6)&gt;YEAR(E5),1,(12-MONTH(E5)+1)/12))) + (R5)*(IF((YEAR(D5)+6)&lt;YEAR(E5),0,IF((YEAR(D5)+6)&gt;YEAR(E5),1,(12-MONTH(E5)+1)/12))))-(IF((((K5)*(IF(M5="",L5,IFERROR(IF(INDEX(Variablen!$I:$AT, MATCH(M5, Variablen!$A:$A, 0), MATCH((YEAR(D5)+6), Variablen!$I$3:$AT$3, 0))="",L5,INDEX(Variablen!$I:$AT, MATCH(M5, Variablen!$A:$A, 0), MATCH((YEAR(D5)+6), Variablen!$I$3:$AT$3, 0))),L5)))*(IF((YEAR(D5)+6)&lt;YEAR(E5),0,IF((YEAR(D5)+6)&gt;YEAR(E5),1,(12-MONTH(E5)+1)/12))) + (Q5)*(IF((YEAR(D5)+6)&lt;YEAR(E5),0,IF((YEAR(D5)+6)&gt;YEAR(E5),1,(12-MONTH(E5)+1)/12))))-((P5)*(IF((YEAR(D5)+6)&lt;YEAR(E5),0,IF((YEAR(D5)+6)&gt;YEAR(E5),1,(12-MONTH(E5)+1)/12))) + (R5)*(IF((YEAR(D5)+6)&lt;YEAR(E5),0,IF((YEAR(D5)+6)&gt;YEAR(E5),1,(12-MONTH(E5)+1)/12))))-(IF(OR(N5="",N5&lt;=0),0,(O5/N5)*(IF(OR(N5="",N5&lt;=0),0,IF((YEAR(D5)+6)&lt;YEAR(E5),0,IF((YEAR(D5)+6)&gt;=YEAR(E5)+N5,0,IF((YEAR(D5)+6)=YEAR(E5),(12-MONTH(E5)+1)/12,1))))))))&gt;0,(((K5)*(IF(M5="",L5,IFERROR(IF(INDEX(Variablen!$I:$AT, MATCH(M5, Variablen!$A:$A, 0), MATCH((YEAR(D5)+6), Variablen!$I$3:$AT$3, 0))="",L5,INDEX(Variablen!$I:$AT, MATCH(M5, Variablen!$A:$A, 0), MATCH((YEAR(D5)+6), Variablen!$I$3:$AT$3, 0))),L5)))*(IF((YEAR(D5)+6)&lt;YEAR(E5),0,IF((YEAR(D5)+6)&gt;YEAR(E5),1,(12-MONTH(E5)+1)/12))) + (Q5)*(IF((YEAR(D5)+6)&lt;YEAR(E5),0,IF((YEAR(D5)+6)&gt;YEAR(E5),1,(12-MONTH(E5)+1)/12))))-((P5)*(IF((YEAR(D5)+6)&lt;YEAR(E5),0,IF((YEAR(D5)+6)&gt;YEAR(E5),1,(12-MONTH(E5)+1)/12))) + (R5)*(IF((YEAR(D5)+6)&lt;YEAR(E5),0,IF((YEAR(D5)+6)&gt;YEAR(E5),1,(12-MONTH(E5)+1)/12))))-(IF(OR(N5="",N5&lt;=0),0,(O5/N5)*(IF(OR(N5="",N5&lt;=0),0,IF((YEAR(D5)+6)&lt;YEAR(E5),0,IF((YEAR(D5)+6)&gt;=YEAR(E5)+N5,0,IF((YEAR(D5)+6)=YEAR(E5),(12-MONTH(E5)+1)/12,1))))))))*TaxRate,0))-IF(6=0,O5,0))</f>
        <v/>
      </c>
      <c r="Z5" s="29">
        <f>IF(A5="","",((K5)*(IF(M5="",L5,IFERROR(IF(INDEX(Variablen!$I:$AT, MATCH(M5, Variablen!$A:$A, 0), MATCH((YEAR(D5)+7), Variablen!$I$3:$AT$3, 0))="",L5,INDEX(Variablen!$I:$AT, MATCH(M5, Variablen!$A:$A, 0), MATCH((YEAR(D5)+7), Variablen!$I$3:$AT$3, 0))),L5)))*(IF((YEAR(D5)+7)&lt;YEAR(E5),0,IF((YEAR(D5)+7)&gt;YEAR(E5),1,(12-MONTH(E5)+1)/12))) + (Q5)*(IF((YEAR(D5)+7)&lt;YEAR(E5),0,IF((YEAR(D5)+7)&gt;YEAR(E5),1,(12-MONTH(E5)+1)/12))))-((P5)*(IF((YEAR(D5)+7)&lt;YEAR(E5),0,IF((YEAR(D5)+7)&gt;YEAR(E5),1,(12-MONTH(E5)+1)/12))) + (R5)*(IF((YEAR(D5)+7)&lt;YEAR(E5),0,IF((YEAR(D5)+7)&gt;YEAR(E5),1,(12-MONTH(E5)+1)/12))))-(IF((((K5)*(IF(M5="",L5,IFERROR(IF(INDEX(Variablen!$I:$AT, MATCH(M5, Variablen!$A:$A, 0), MATCH((YEAR(D5)+7), Variablen!$I$3:$AT$3, 0))="",L5,INDEX(Variablen!$I:$AT, MATCH(M5, Variablen!$A:$A, 0), MATCH((YEAR(D5)+7), Variablen!$I$3:$AT$3, 0))),L5)))*(IF((YEAR(D5)+7)&lt;YEAR(E5),0,IF((YEAR(D5)+7)&gt;YEAR(E5),1,(12-MONTH(E5)+1)/12))) + (Q5)*(IF((YEAR(D5)+7)&lt;YEAR(E5),0,IF((YEAR(D5)+7)&gt;YEAR(E5),1,(12-MONTH(E5)+1)/12))))-((P5)*(IF((YEAR(D5)+7)&lt;YEAR(E5),0,IF((YEAR(D5)+7)&gt;YEAR(E5),1,(12-MONTH(E5)+1)/12))) + (R5)*(IF((YEAR(D5)+7)&lt;YEAR(E5),0,IF((YEAR(D5)+7)&gt;YEAR(E5),1,(12-MONTH(E5)+1)/12))))-(IF(OR(N5="",N5&lt;=0),0,(O5/N5)*(IF(OR(N5="",N5&lt;=0),0,IF((YEAR(D5)+7)&lt;YEAR(E5),0,IF((YEAR(D5)+7)&gt;=YEAR(E5)+N5,0,IF((YEAR(D5)+7)=YEAR(E5),(12-MONTH(E5)+1)/12,1))))))))&gt;0,(((K5)*(IF(M5="",L5,IFERROR(IF(INDEX(Variablen!$I:$AT, MATCH(M5, Variablen!$A:$A, 0), MATCH((YEAR(D5)+7), Variablen!$I$3:$AT$3, 0))="",L5,INDEX(Variablen!$I:$AT, MATCH(M5, Variablen!$A:$A, 0), MATCH((YEAR(D5)+7), Variablen!$I$3:$AT$3, 0))),L5)))*(IF((YEAR(D5)+7)&lt;YEAR(E5),0,IF((YEAR(D5)+7)&gt;YEAR(E5),1,(12-MONTH(E5)+1)/12))) + (Q5)*(IF((YEAR(D5)+7)&lt;YEAR(E5),0,IF((YEAR(D5)+7)&gt;YEAR(E5),1,(12-MONTH(E5)+1)/12))))-((P5)*(IF((YEAR(D5)+7)&lt;YEAR(E5),0,IF((YEAR(D5)+7)&gt;YEAR(E5),1,(12-MONTH(E5)+1)/12))) + (R5)*(IF((YEAR(D5)+7)&lt;YEAR(E5),0,IF((YEAR(D5)+7)&gt;YEAR(E5),1,(12-MONTH(E5)+1)/12))))-(IF(OR(N5="",N5&lt;=0),0,(O5/N5)*(IF(OR(N5="",N5&lt;=0),0,IF((YEAR(D5)+7)&lt;YEAR(E5),0,IF((YEAR(D5)+7)&gt;=YEAR(E5)+N5,0,IF((YEAR(D5)+7)=YEAR(E5),(12-MONTH(E5)+1)/12,1))))))))*TaxRate,0))-IF(7=0,O5,0))</f>
        <v/>
      </c>
      <c r="AA5" s="29">
        <f>IF(A5="","",((K5)*(IF(M5="",L5,IFERROR(IF(INDEX(Variablen!$I:$AT, MATCH(M5, Variablen!$A:$A, 0), MATCH((YEAR(D5)+8), Variablen!$I$3:$AT$3, 0))="",L5,INDEX(Variablen!$I:$AT, MATCH(M5, Variablen!$A:$A, 0), MATCH((YEAR(D5)+8), Variablen!$I$3:$AT$3, 0))),L5)))*(IF((YEAR(D5)+8)&lt;YEAR(E5),0,IF((YEAR(D5)+8)&gt;YEAR(E5),1,(12-MONTH(E5)+1)/12))) + (Q5)*(IF((YEAR(D5)+8)&lt;YEAR(E5),0,IF((YEAR(D5)+8)&gt;YEAR(E5),1,(12-MONTH(E5)+1)/12))))-((P5)*(IF((YEAR(D5)+8)&lt;YEAR(E5),0,IF((YEAR(D5)+8)&gt;YEAR(E5),1,(12-MONTH(E5)+1)/12))) + (R5)*(IF((YEAR(D5)+8)&lt;YEAR(E5),0,IF((YEAR(D5)+8)&gt;YEAR(E5),1,(12-MONTH(E5)+1)/12))))-(IF((((K5)*(IF(M5="",L5,IFERROR(IF(INDEX(Variablen!$I:$AT, MATCH(M5, Variablen!$A:$A, 0), MATCH((YEAR(D5)+8), Variablen!$I$3:$AT$3, 0))="",L5,INDEX(Variablen!$I:$AT, MATCH(M5, Variablen!$A:$A, 0), MATCH((YEAR(D5)+8), Variablen!$I$3:$AT$3, 0))),L5)))*(IF((YEAR(D5)+8)&lt;YEAR(E5),0,IF((YEAR(D5)+8)&gt;YEAR(E5),1,(12-MONTH(E5)+1)/12))) + (Q5)*(IF((YEAR(D5)+8)&lt;YEAR(E5),0,IF((YEAR(D5)+8)&gt;YEAR(E5),1,(12-MONTH(E5)+1)/12))))-((P5)*(IF((YEAR(D5)+8)&lt;YEAR(E5),0,IF((YEAR(D5)+8)&gt;YEAR(E5),1,(12-MONTH(E5)+1)/12))) + (R5)*(IF((YEAR(D5)+8)&lt;YEAR(E5),0,IF((YEAR(D5)+8)&gt;YEAR(E5),1,(12-MONTH(E5)+1)/12))))-(IF(OR(N5="",N5&lt;=0),0,(O5/N5)*(IF(OR(N5="",N5&lt;=0),0,IF((YEAR(D5)+8)&lt;YEAR(E5),0,IF((YEAR(D5)+8)&gt;=YEAR(E5)+N5,0,IF((YEAR(D5)+8)=YEAR(E5),(12-MONTH(E5)+1)/12,1))))))))&gt;0,(((K5)*(IF(M5="",L5,IFERROR(IF(INDEX(Variablen!$I:$AT, MATCH(M5, Variablen!$A:$A, 0), MATCH((YEAR(D5)+8), Variablen!$I$3:$AT$3, 0))="",L5,INDEX(Variablen!$I:$AT, MATCH(M5, Variablen!$A:$A, 0), MATCH((YEAR(D5)+8), Variablen!$I$3:$AT$3, 0))),L5)))*(IF((YEAR(D5)+8)&lt;YEAR(E5),0,IF((YEAR(D5)+8)&gt;YEAR(E5),1,(12-MONTH(E5)+1)/12))) + (Q5)*(IF((YEAR(D5)+8)&lt;YEAR(E5),0,IF((YEAR(D5)+8)&gt;YEAR(E5),1,(12-MONTH(E5)+1)/12))))-((P5)*(IF((YEAR(D5)+8)&lt;YEAR(E5),0,IF((YEAR(D5)+8)&gt;YEAR(E5),1,(12-MONTH(E5)+1)/12))) + (R5)*(IF((YEAR(D5)+8)&lt;YEAR(E5),0,IF((YEAR(D5)+8)&gt;YEAR(E5),1,(12-MONTH(E5)+1)/12))))-(IF(OR(N5="",N5&lt;=0),0,(O5/N5)*(IF(OR(N5="",N5&lt;=0),0,IF((YEAR(D5)+8)&lt;YEAR(E5),0,IF((YEAR(D5)+8)&gt;=YEAR(E5)+N5,0,IF((YEAR(D5)+8)=YEAR(E5),(12-MONTH(E5)+1)/12,1))))))))*TaxRate,0))-IF(8=0,O5,0))</f>
        <v/>
      </c>
      <c r="AB5" s="29">
        <f>IF(A5="","",((K5)*(IF(M5="",L5,IFERROR(IF(INDEX(Variablen!$I:$AT, MATCH(M5, Variablen!$A:$A, 0), MATCH((YEAR(D5)+9), Variablen!$I$3:$AT$3, 0))="",L5,INDEX(Variablen!$I:$AT, MATCH(M5, Variablen!$A:$A, 0), MATCH((YEAR(D5)+9), Variablen!$I$3:$AT$3, 0))),L5)))*(IF((YEAR(D5)+9)&lt;YEAR(E5),0,IF((YEAR(D5)+9)&gt;YEAR(E5),1,(12-MONTH(E5)+1)/12))) + (Q5)*(IF((YEAR(D5)+9)&lt;YEAR(E5),0,IF((YEAR(D5)+9)&gt;YEAR(E5),1,(12-MONTH(E5)+1)/12))))-((P5)*(IF((YEAR(D5)+9)&lt;YEAR(E5),0,IF((YEAR(D5)+9)&gt;YEAR(E5),1,(12-MONTH(E5)+1)/12))) + (R5)*(IF((YEAR(D5)+9)&lt;YEAR(E5),0,IF((YEAR(D5)+9)&gt;YEAR(E5),1,(12-MONTH(E5)+1)/12))))-(IF((((K5)*(IF(M5="",L5,IFERROR(IF(INDEX(Variablen!$I:$AT, MATCH(M5, Variablen!$A:$A, 0), MATCH((YEAR(D5)+9), Variablen!$I$3:$AT$3, 0))="",L5,INDEX(Variablen!$I:$AT, MATCH(M5, Variablen!$A:$A, 0), MATCH((YEAR(D5)+9), Variablen!$I$3:$AT$3, 0))),L5)))*(IF((YEAR(D5)+9)&lt;YEAR(E5),0,IF((YEAR(D5)+9)&gt;YEAR(E5),1,(12-MONTH(E5)+1)/12))) + (Q5)*(IF((YEAR(D5)+9)&lt;YEAR(E5),0,IF((YEAR(D5)+9)&gt;YEAR(E5),1,(12-MONTH(E5)+1)/12))))-((P5)*(IF((YEAR(D5)+9)&lt;YEAR(E5),0,IF((YEAR(D5)+9)&gt;YEAR(E5),1,(12-MONTH(E5)+1)/12))) + (R5)*(IF((YEAR(D5)+9)&lt;YEAR(E5),0,IF((YEAR(D5)+9)&gt;YEAR(E5),1,(12-MONTH(E5)+1)/12))))-(IF(OR(N5="",N5&lt;=0),0,(O5/N5)*(IF(OR(N5="",N5&lt;=0),0,IF((YEAR(D5)+9)&lt;YEAR(E5),0,IF((YEAR(D5)+9)&gt;=YEAR(E5)+N5,0,IF((YEAR(D5)+9)=YEAR(E5),(12-MONTH(E5)+1)/12,1))))))))&gt;0,(((K5)*(IF(M5="",L5,IFERROR(IF(INDEX(Variablen!$I:$AT, MATCH(M5, Variablen!$A:$A, 0), MATCH((YEAR(D5)+9), Variablen!$I$3:$AT$3, 0))="",L5,INDEX(Variablen!$I:$AT, MATCH(M5, Variablen!$A:$A, 0), MATCH((YEAR(D5)+9), Variablen!$I$3:$AT$3, 0))),L5)))*(IF((YEAR(D5)+9)&lt;YEAR(E5),0,IF((YEAR(D5)+9)&gt;YEAR(E5),1,(12-MONTH(E5)+1)/12))) + (Q5)*(IF((YEAR(D5)+9)&lt;YEAR(E5),0,IF((YEAR(D5)+9)&gt;YEAR(E5),1,(12-MONTH(E5)+1)/12))))-((P5)*(IF((YEAR(D5)+9)&lt;YEAR(E5),0,IF((YEAR(D5)+9)&gt;YEAR(E5),1,(12-MONTH(E5)+1)/12))) + (R5)*(IF((YEAR(D5)+9)&lt;YEAR(E5),0,IF((YEAR(D5)+9)&gt;YEAR(E5),1,(12-MONTH(E5)+1)/12))))-(IF(OR(N5="",N5&lt;=0),0,(O5/N5)*(IF(OR(N5="",N5&lt;=0),0,IF((YEAR(D5)+9)&lt;YEAR(E5),0,IF((YEAR(D5)+9)&gt;=YEAR(E5)+N5,0,IF((YEAR(D5)+9)=YEAR(E5),(12-MONTH(E5)+1)/12,1))))))))*TaxRate,0))-IF(9=0,O5,0))</f>
        <v/>
      </c>
      <c r="AC5" s="29">
        <f>IF(A5="","",((K5)*(IF(M5="",L5,IFERROR(IF(INDEX(Variablen!$I:$AT, MATCH(M5, Variablen!$A:$A, 0), MATCH((YEAR(D5)+10), Variablen!$I$3:$AT$3, 0))="",L5,INDEX(Variablen!$I:$AT, MATCH(M5, Variablen!$A:$A, 0), MATCH((YEAR(D5)+10), Variablen!$I$3:$AT$3, 0))),L5)))*(IF((YEAR(D5)+10)&lt;YEAR(E5),0,IF((YEAR(D5)+10)&gt;YEAR(E5),1,(12-MONTH(E5)+1)/12))) + (Q5)*(IF((YEAR(D5)+10)&lt;YEAR(E5),0,IF((YEAR(D5)+10)&gt;YEAR(E5),1,(12-MONTH(E5)+1)/12))))-((P5)*(IF((YEAR(D5)+10)&lt;YEAR(E5),0,IF((YEAR(D5)+10)&gt;YEAR(E5),1,(12-MONTH(E5)+1)/12))) + (R5)*(IF((YEAR(D5)+10)&lt;YEAR(E5),0,IF((YEAR(D5)+10)&gt;YEAR(E5),1,(12-MONTH(E5)+1)/12))))-(IF((((K5)*(IF(M5="",L5,IFERROR(IF(INDEX(Variablen!$I:$AT, MATCH(M5, Variablen!$A:$A, 0), MATCH((YEAR(D5)+10), Variablen!$I$3:$AT$3, 0))="",L5,INDEX(Variablen!$I:$AT, MATCH(M5, Variablen!$A:$A, 0), MATCH((YEAR(D5)+10), Variablen!$I$3:$AT$3, 0))),L5)))*(IF((YEAR(D5)+10)&lt;YEAR(E5),0,IF((YEAR(D5)+10)&gt;YEAR(E5),1,(12-MONTH(E5)+1)/12))) + (Q5)*(IF((YEAR(D5)+10)&lt;YEAR(E5),0,IF((YEAR(D5)+10)&gt;YEAR(E5),1,(12-MONTH(E5)+1)/12))))-((P5)*(IF((YEAR(D5)+10)&lt;YEAR(E5),0,IF((YEAR(D5)+10)&gt;YEAR(E5),1,(12-MONTH(E5)+1)/12))) + (R5)*(IF((YEAR(D5)+10)&lt;YEAR(E5),0,IF((YEAR(D5)+10)&gt;YEAR(E5),1,(12-MONTH(E5)+1)/12))))-(IF(OR(N5="",N5&lt;=0),0,(O5/N5)*(IF(OR(N5="",N5&lt;=0),0,IF((YEAR(D5)+10)&lt;YEAR(E5),0,IF((YEAR(D5)+10)&gt;=YEAR(E5)+N5,0,IF((YEAR(D5)+10)=YEAR(E5),(12-MONTH(E5)+1)/12,1))))))))&gt;0,(((K5)*(IF(M5="",L5,IFERROR(IF(INDEX(Variablen!$I:$AT, MATCH(M5, Variablen!$A:$A, 0), MATCH((YEAR(D5)+10), Variablen!$I$3:$AT$3, 0))="",L5,INDEX(Variablen!$I:$AT, MATCH(M5, Variablen!$A:$A, 0), MATCH((YEAR(D5)+10), Variablen!$I$3:$AT$3, 0))),L5)))*(IF((YEAR(D5)+10)&lt;YEAR(E5),0,IF((YEAR(D5)+10)&gt;YEAR(E5),1,(12-MONTH(E5)+1)/12))) + (Q5)*(IF((YEAR(D5)+10)&lt;YEAR(E5),0,IF((YEAR(D5)+10)&gt;YEAR(E5),1,(12-MONTH(E5)+1)/12))))-((P5)*(IF((YEAR(D5)+10)&lt;YEAR(E5),0,IF((YEAR(D5)+10)&gt;YEAR(E5),1,(12-MONTH(E5)+1)/12))) + (R5)*(IF((YEAR(D5)+10)&lt;YEAR(E5),0,IF((YEAR(D5)+10)&gt;YEAR(E5),1,(12-MONTH(E5)+1)/12))))-(IF(OR(N5="",N5&lt;=0),0,(O5/N5)*(IF(OR(N5="",N5&lt;=0),0,IF((YEAR(D5)+10)&lt;YEAR(E5),0,IF((YEAR(D5)+10)&gt;=YEAR(E5)+N5,0,IF((YEAR(D5)+10)=YEAR(E5),(12-MONTH(E5)+1)/12,1))))))))*TaxRate,0))-IF(10=0,O5,0))</f>
        <v/>
      </c>
      <c r="AD5" s="29">
        <f>IF(A5="","",((K5)*(IF(M5="",L5,IFERROR(IF(INDEX(Variablen!$I:$AT, MATCH(M5, Variablen!$A:$A, 0), MATCH((YEAR(D5)+11), Variablen!$I$3:$AT$3, 0))="",L5,INDEX(Variablen!$I:$AT, MATCH(M5, Variablen!$A:$A, 0), MATCH((YEAR(D5)+11), Variablen!$I$3:$AT$3, 0))),L5)))*(IF((YEAR(D5)+11)&lt;YEAR(E5),0,IF((YEAR(D5)+11)&gt;YEAR(E5),1,(12-MONTH(E5)+1)/12))) + (Q5)*(IF((YEAR(D5)+11)&lt;YEAR(E5),0,IF((YEAR(D5)+11)&gt;YEAR(E5),1,(12-MONTH(E5)+1)/12))))-((P5)*(IF((YEAR(D5)+11)&lt;YEAR(E5),0,IF((YEAR(D5)+11)&gt;YEAR(E5),1,(12-MONTH(E5)+1)/12))) + (R5)*(IF((YEAR(D5)+11)&lt;YEAR(E5),0,IF((YEAR(D5)+11)&gt;YEAR(E5),1,(12-MONTH(E5)+1)/12))))-(IF((((K5)*(IF(M5="",L5,IFERROR(IF(INDEX(Variablen!$I:$AT, MATCH(M5, Variablen!$A:$A, 0), MATCH((YEAR(D5)+11), Variablen!$I$3:$AT$3, 0))="",L5,INDEX(Variablen!$I:$AT, MATCH(M5, Variablen!$A:$A, 0), MATCH((YEAR(D5)+11), Variablen!$I$3:$AT$3, 0))),L5)))*(IF((YEAR(D5)+11)&lt;YEAR(E5),0,IF((YEAR(D5)+11)&gt;YEAR(E5),1,(12-MONTH(E5)+1)/12))) + (Q5)*(IF((YEAR(D5)+11)&lt;YEAR(E5),0,IF((YEAR(D5)+11)&gt;YEAR(E5),1,(12-MONTH(E5)+1)/12))))-((P5)*(IF((YEAR(D5)+11)&lt;YEAR(E5),0,IF((YEAR(D5)+11)&gt;YEAR(E5),1,(12-MONTH(E5)+1)/12))) + (R5)*(IF((YEAR(D5)+11)&lt;YEAR(E5),0,IF((YEAR(D5)+11)&gt;YEAR(E5),1,(12-MONTH(E5)+1)/12))))-(IF(OR(N5="",N5&lt;=0),0,(O5/N5)*(IF(OR(N5="",N5&lt;=0),0,IF((YEAR(D5)+11)&lt;YEAR(E5),0,IF((YEAR(D5)+11)&gt;=YEAR(E5)+N5,0,IF((YEAR(D5)+11)=YEAR(E5),(12-MONTH(E5)+1)/12,1))))))))&gt;0,(((K5)*(IF(M5="",L5,IFERROR(IF(INDEX(Variablen!$I:$AT, MATCH(M5, Variablen!$A:$A, 0), MATCH((YEAR(D5)+11), Variablen!$I$3:$AT$3, 0))="",L5,INDEX(Variablen!$I:$AT, MATCH(M5, Variablen!$A:$A, 0), MATCH((YEAR(D5)+11), Variablen!$I$3:$AT$3, 0))),L5)))*(IF((YEAR(D5)+11)&lt;YEAR(E5),0,IF((YEAR(D5)+11)&gt;YEAR(E5),1,(12-MONTH(E5)+1)/12))) + (Q5)*(IF((YEAR(D5)+11)&lt;YEAR(E5),0,IF((YEAR(D5)+11)&gt;YEAR(E5),1,(12-MONTH(E5)+1)/12))))-((P5)*(IF((YEAR(D5)+11)&lt;YEAR(E5),0,IF((YEAR(D5)+11)&gt;YEAR(E5),1,(12-MONTH(E5)+1)/12))) + (R5)*(IF((YEAR(D5)+11)&lt;YEAR(E5),0,IF((YEAR(D5)+11)&gt;YEAR(E5),1,(12-MONTH(E5)+1)/12))))-(IF(OR(N5="",N5&lt;=0),0,(O5/N5)*(IF(OR(N5="",N5&lt;=0),0,IF((YEAR(D5)+11)&lt;YEAR(E5),0,IF((YEAR(D5)+11)&gt;=YEAR(E5)+N5,0,IF((YEAR(D5)+11)=YEAR(E5),(12-MONTH(E5)+1)/12,1))))))))*TaxRate,0))-IF(11=0,O5,0))</f>
        <v/>
      </c>
      <c r="AE5" s="29">
        <f>IF(A5="","",((K5)*(IF(M5="",L5,IFERROR(IF(INDEX(Variablen!$I:$AT, MATCH(M5, Variablen!$A:$A, 0), MATCH((YEAR(D5)+12), Variablen!$I$3:$AT$3, 0))="",L5,INDEX(Variablen!$I:$AT, MATCH(M5, Variablen!$A:$A, 0), MATCH((YEAR(D5)+12), Variablen!$I$3:$AT$3, 0))),L5)))*(IF((YEAR(D5)+12)&lt;YEAR(E5),0,IF((YEAR(D5)+12)&gt;YEAR(E5),1,(12-MONTH(E5)+1)/12))) + (Q5)*(IF((YEAR(D5)+12)&lt;YEAR(E5),0,IF((YEAR(D5)+12)&gt;YEAR(E5),1,(12-MONTH(E5)+1)/12))))-((P5)*(IF((YEAR(D5)+12)&lt;YEAR(E5),0,IF((YEAR(D5)+12)&gt;YEAR(E5),1,(12-MONTH(E5)+1)/12))) + (R5)*(IF((YEAR(D5)+12)&lt;YEAR(E5),0,IF((YEAR(D5)+12)&gt;YEAR(E5),1,(12-MONTH(E5)+1)/12))))-(IF((((K5)*(IF(M5="",L5,IFERROR(IF(INDEX(Variablen!$I:$AT, MATCH(M5, Variablen!$A:$A, 0), MATCH((YEAR(D5)+12), Variablen!$I$3:$AT$3, 0))="",L5,INDEX(Variablen!$I:$AT, MATCH(M5, Variablen!$A:$A, 0), MATCH((YEAR(D5)+12), Variablen!$I$3:$AT$3, 0))),L5)))*(IF((YEAR(D5)+12)&lt;YEAR(E5),0,IF((YEAR(D5)+12)&gt;YEAR(E5),1,(12-MONTH(E5)+1)/12))) + (Q5)*(IF((YEAR(D5)+12)&lt;YEAR(E5),0,IF((YEAR(D5)+12)&gt;YEAR(E5),1,(12-MONTH(E5)+1)/12))))-((P5)*(IF((YEAR(D5)+12)&lt;YEAR(E5),0,IF((YEAR(D5)+12)&gt;YEAR(E5),1,(12-MONTH(E5)+1)/12))) + (R5)*(IF((YEAR(D5)+12)&lt;YEAR(E5),0,IF((YEAR(D5)+12)&gt;YEAR(E5),1,(12-MONTH(E5)+1)/12))))-(IF(OR(N5="",N5&lt;=0),0,(O5/N5)*(IF(OR(N5="",N5&lt;=0),0,IF((YEAR(D5)+12)&lt;YEAR(E5),0,IF((YEAR(D5)+12)&gt;=YEAR(E5)+N5,0,IF((YEAR(D5)+12)=YEAR(E5),(12-MONTH(E5)+1)/12,1))))))))&gt;0,(((K5)*(IF(M5="",L5,IFERROR(IF(INDEX(Variablen!$I:$AT, MATCH(M5, Variablen!$A:$A, 0), MATCH((YEAR(D5)+12), Variablen!$I$3:$AT$3, 0))="",L5,INDEX(Variablen!$I:$AT, MATCH(M5, Variablen!$A:$A, 0), MATCH((YEAR(D5)+12), Variablen!$I$3:$AT$3, 0))),L5)))*(IF((YEAR(D5)+12)&lt;YEAR(E5),0,IF((YEAR(D5)+12)&gt;YEAR(E5),1,(12-MONTH(E5)+1)/12))) + (Q5)*(IF((YEAR(D5)+12)&lt;YEAR(E5),0,IF((YEAR(D5)+12)&gt;YEAR(E5),1,(12-MONTH(E5)+1)/12))))-((P5)*(IF((YEAR(D5)+12)&lt;YEAR(E5),0,IF((YEAR(D5)+12)&gt;YEAR(E5),1,(12-MONTH(E5)+1)/12))) + (R5)*(IF((YEAR(D5)+12)&lt;YEAR(E5),0,IF((YEAR(D5)+12)&gt;YEAR(E5),1,(12-MONTH(E5)+1)/12))))-(IF(OR(N5="",N5&lt;=0),0,(O5/N5)*(IF(OR(N5="",N5&lt;=0),0,IF((YEAR(D5)+12)&lt;YEAR(E5),0,IF((YEAR(D5)+12)&gt;=YEAR(E5)+N5,0,IF((YEAR(D5)+12)=YEAR(E5),(12-MONTH(E5)+1)/12,1))))))))*TaxRate,0))-IF(12=0,O5,0))</f>
        <v/>
      </c>
      <c r="AF5" s="29">
        <f>IF(A5="","",((K5)*(IF(M5="",L5,IFERROR(IF(INDEX(Variablen!$I:$AT, MATCH(M5, Variablen!$A:$A, 0), MATCH((YEAR(D5)+13), Variablen!$I$3:$AT$3, 0))="",L5,INDEX(Variablen!$I:$AT, MATCH(M5, Variablen!$A:$A, 0), MATCH((YEAR(D5)+13), Variablen!$I$3:$AT$3, 0))),L5)))*(IF((YEAR(D5)+13)&lt;YEAR(E5),0,IF((YEAR(D5)+13)&gt;YEAR(E5),1,(12-MONTH(E5)+1)/12))) + (Q5)*(IF((YEAR(D5)+13)&lt;YEAR(E5),0,IF((YEAR(D5)+13)&gt;YEAR(E5),1,(12-MONTH(E5)+1)/12))))-((P5)*(IF((YEAR(D5)+13)&lt;YEAR(E5),0,IF((YEAR(D5)+13)&gt;YEAR(E5),1,(12-MONTH(E5)+1)/12))) + (R5)*(IF((YEAR(D5)+13)&lt;YEAR(E5),0,IF((YEAR(D5)+13)&gt;YEAR(E5),1,(12-MONTH(E5)+1)/12))))-(IF((((K5)*(IF(M5="",L5,IFERROR(IF(INDEX(Variablen!$I:$AT, MATCH(M5, Variablen!$A:$A, 0), MATCH((YEAR(D5)+13), Variablen!$I$3:$AT$3, 0))="",L5,INDEX(Variablen!$I:$AT, MATCH(M5, Variablen!$A:$A, 0), MATCH((YEAR(D5)+13), Variablen!$I$3:$AT$3, 0))),L5)))*(IF((YEAR(D5)+13)&lt;YEAR(E5),0,IF((YEAR(D5)+13)&gt;YEAR(E5),1,(12-MONTH(E5)+1)/12))) + (Q5)*(IF((YEAR(D5)+13)&lt;YEAR(E5),0,IF((YEAR(D5)+13)&gt;YEAR(E5),1,(12-MONTH(E5)+1)/12))))-((P5)*(IF((YEAR(D5)+13)&lt;YEAR(E5),0,IF((YEAR(D5)+13)&gt;YEAR(E5),1,(12-MONTH(E5)+1)/12))) + (R5)*(IF((YEAR(D5)+13)&lt;YEAR(E5),0,IF((YEAR(D5)+13)&gt;YEAR(E5),1,(12-MONTH(E5)+1)/12))))-(IF(OR(N5="",N5&lt;=0),0,(O5/N5)*(IF(OR(N5="",N5&lt;=0),0,IF((YEAR(D5)+13)&lt;YEAR(E5),0,IF((YEAR(D5)+13)&gt;=YEAR(E5)+N5,0,IF((YEAR(D5)+13)=YEAR(E5),(12-MONTH(E5)+1)/12,1))))))))&gt;0,(((K5)*(IF(M5="",L5,IFERROR(IF(INDEX(Variablen!$I:$AT, MATCH(M5, Variablen!$A:$A, 0), MATCH((YEAR(D5)+13), Variablen!$I$3:$AT$3, 0))="",L5,INDEX(Variablen!$I:$AT, MATCH(M5, Variablen!$A:$A, 0), MATCH((YEAR(D5)+13), Variablen!$I$3:$AT$3, 0))),L5)))*(IF((YEAR(D5)+13)&lt;YEAR(E5),0,IF((YEAR(D5)+13)&gt;YEAR(E5),1,(12-MONTH(E5)+1)/12))) + (Q5)*(IF((YEAR(D5)+13)&lt;YEAR(E5),0,IF((YEAR(D5)+13)&gt;YEAR(E5),1,(12-MONTH(E5)+1)/12))))-((P5)*(IF((YEAR(D5)+13)&lt;YEAR(E5),0,IF((YEAR(D5)+13)&gt;YEAR(E5),1,(12-MONTH(E5)+1)/12))) + (R5)*(IF((YEAR(D5)+13)&lt;YEAR(E5),0,IF((YEAR(D5)+13)&gt;YEAR(E5),1,(12-MONTH(E5)+1)/12))))-(IF(OR(N5="",N5&lt;=0),0,(O5/N5)*(IF(OR(N5="",N5&lt;=0),0,IF((YEAR(D5)+13)&lt;YEAR(E5),0,IF((YEAR(D5)+13)&gt;=YEAR(E5)+N5,0,IF((YEAR(D5)+13)=YEAR(E5),(12-MONTH(E5)+1)/12,1))))))))*TaxRate,0))-IF(13=0,O5,0))</f>
        <v/>
      </c>
      <c r="AG5" s="29">
        <f>IF(A5="","",((K5)*(IF(M5="",L5,IFERROR(IF(INDEX(Variablen!$I:$AT, MATCH(M5, Variablen!$A:$A, 0), MATCH((YEAR(D5)+14), Variablen!$I$3:$AT$3, 0))="",L5,INDEX(Variablen!$I:$AT, MATCH(M5, Variablen!$A:$A, 0), MATCH((YEAR(D5)+14), Variablen!$I$3:$AT$3, 0))),L5)))*(IF((YEAR(D5)+14)&lt;YEAR(E5),0,IF((YEAR(D5)+14)&gt;YEAR(E5),1,(12-MONTH(E5)+1)/12))) + (Q5)*(IF((YEAR(D5)+14)&lt;YEAR(E5),0,IF((YEAR(D5)+14)&gt;YEAR(E5),1,(12-MONTH(E5)+1)/12))))-((P5)*(IF((YEAR(D5)+14)&lt;YEAR(E5),0,IF((YEAR(D5)+14)&gt;YEAR(E5),1,(12-MONTH(E5)+1)/12))) + (R5)*(IF((YEAR(D5)+14)&lt;YEAR(E5),0,IF((YEAR(D5)+14)&gt;YEAR(E5),1,(12-MONTH(E5)+1)/12))))-(IF((((K5)*(IF(M5="",L5,IFERROR(IF(INDEX(Variablen!$I:$AT, MATCH(M5, Variablen!$A:$A, 0), MATCH((YEAR(D5)+14), Variablen!$I$3:$AT$3, 0))="",L5,INDEX(Variablen!$I:$AT, MATCH(M5, Variablen!$A:$A, 0), MATCH((YEAR(D5)+14), Variablen!$I$3:$AT$3, 0))),L5)))*(IF((YEAR(D5)+14)&lt;YEAR(E5),0,IF((YEAR(D5)+14)&gt;YEAR(E5),1,(12-MONTH(E5)+1)/12))) + (Q5)*(IF((YEAR(D5)+14)&lt;YEAR(E5),0,IF((YEAR(D5)+14)&gt;YEAR(E5),1,(12-MONTH(E5)+1)/12))))-((P5)*(IF((YEAR(D5)+14)&lt;YEAR(E5),0,IF((YEAR(D5)+14)&gt;YEAR(E5),1,(12-MONTH(E5)+1)/12))) + (R5)*(IF((YEAR(D5)+14)&lt;YEAR(E5),0,IF((YEAR(D5)+14)&gt;YEAR(E5),1,(12-MONTH(E5)+1)/12))))-(IF(OR(N5="",N5&lt;=0),0,(O5/N5)*(IF(OR(N5="",N5&lt;=0),0,IF((YEAR(D5)+14)&lt;YEAR(E5),0,IF((YEAR(D5)+14)&gt;=YEAR(E5)+N5,0,IF((YEAR(D5)+14)=YEAR(E5),(12-MONTH(E5)+1)/12,1))))))))&gt;0,(((K5)*(IF(M5="",L5,IFERROR(IF(INDEX(Variablen!$I:$AT, MATCH(M5, Variablen!$A:$A, 0), MATCH((YEAR(D5)+14), Variablen!$I$3:$AT$3, 0))="",L5,INDEX(Variablen!$I:$AT, MATCH(M5, Variablen!$A:$A, 0), MATCH((YEAR(D5)+14), Variablen!$I$3:$AT$3, 0))),L5)))*(IF((YEAR(D5)+14)&lt;YEAR(E5),0,IF((YEAR(D5)+14)&gt;YEAR(E5),1,(12-MONTH(E5)+1)/12))) + (Q5)*(IF((YEAR(D5)+14)&lt;YEAR(E5),0,IF((YEAR(D5)+14)&gt;YEAR(E5),1,(12-MONTH(E5)+1)/12))))-((P5)*(IF((YEAR(D5)+14)&lt;YEAR(E5),0,IF((YEAR(D5)+14)&gt;YEAR(E5),1,(12-MONTH(E5)+1)/12))) + (R5)*(IF((YEAR(D5)+14)&lt;YEAR(E5),0,IF((YEAR(D5)+14)&gt;YEAR(E5),1,(12-MONTH(E5)+1)/12))))-(IF(OR(N5="",N5&lt;=0),0,(O5/N5)*(IF(OR(N5="",N5&lt;=0),0,IF((YEAR(D5)+14)&lt;YEAR(E5),0,IF((YEAR(D5)+14)&gt;=YEAR(E5)+N5,0,IF((YEAR(D5)+14)=YEAR(E5),(12-MONTH(E5)+1)/12,1))))))))*TaxRate,0))-IF(14=0,O5,0))</f>
        <v/>
      </c>
      <c r="AH5" s="29">
        <f>IF(A5="","",((K5)*(IF(M5="",L5,IFERROR(IF(INDEX(Variablen!$I:$AT, MATCH(M5, Variablen!$A:$A, 0), MATCH((YEAR(D5)+15), Variablen!$I$3:$AT$3, 0))="",L5,INDEX(Variablen!$I:$AT, MATCH(M5, Variablen!$A:$A, 0), MATCH((YEAR(D5)+15), Variablen!$I$3:$AT$3, 0))),L5)))*(IF((YEAR(D5)+15)&lt;YEAR(E5),0,IF((YEAR(D5)+15)&gt;YEAR(E5),1,(12-MONTH(E5)+1)/12))) + (Q5)*(IF((YEAR(D5)+15)&lt;YEAR(E5),0,IF((YEAR(D5)+15)&gt;YEAR(E5),1,(12-MONTH(E5)+1)/12))))-((P5)*(IF((YEAR(D5)+15)&lt;YEAR(E5),0,IF((YEAR(D5)+15)&gt;YEAR(E5),1,(12-MONTH(E5)+1)/12))) + (R5)*(IF((YEAR(D5)+15)&lt;YEAR(E5),0,IF((YEAR(D5)+15)&gt;YEAR(E5),1,(12-MONTH(E5)+1)/12))))-(IF((((K5)*(IF(M5="",L5,IFERROR(IF(INDEX(Variablen!$I:$AT, MATCH(M5, Variablen!$A:$A, 0), MATCH((YEAR(D5)+15), Variablen!$I$3:$AT$3, 0))="",L5,INDEX(Variablen!$I:$AT, MATCH(M5, Variablen!$A:$A, 0), MATCH((YEAR(D5)+15), Variablen!$I$3:$AT$3, 0))),L5)))*(IF((YEAR(D5)+15)&lt;YEAR(E5),0,IF((YEAR(D5)+15)&gt;YEAR(E5),1,(12-MONTH(E5)+1)/12))) + (Q5)*(IF((YEAR(D5)+15)&lt;YEAR(E5),0,IF((YEAR(D5)+15)&gt;YEAR(E5),1,(12-MONTH(E5)+1)/12))))-((P5)*(IF((YEAR(D5)+15)&lt;YEAR(E5),0,IF((YEAR(D5)+15)&gt;YEAR(E5),1,(12-MONTH(E5)+1)/12))) + (R5)*(IF((YEAR(D5)+15)&lt;YEAR(E5),0,IF((YEAR(D5)+15)&gt;YEAR(E5),1,(12-MONTH(E5)+1)/12))))-(IF(OR(N5="",N5&lt;=0),0,(O5/N5)*(IF(OR(N5="",N5&lt;=0),0,IF((YEAR(D5)+15)&lt;YEAR(E5),0,IF((YEAR(D5)+15)&gt;=YEAR(E5)+N5,0,IF((YEAR(D5)+15)=YEAR(E5),(12-MONTH(E5)+1)/12,1))))))))&gt;0,(((K5)*(IF(M5="",L5,IFERROR(IF(INDEX(Variablen!$I:$AT, MATCH(M5, Variablen!$A:$A, 0), MATCH((YEAR(D5)+15), Variablen!$I$3:$AT$3, 0))="",L5,INDEX(Variablen!$I:$AT, MATCH(M5, Variablen!$A:$A, 0), MATCH((YEAR(D5)+15), Variablen!$I$3:$AT$3, 0))),L5)))*(IF((YEAR(D5)+15)&lt;YEAR(E5),0,IF((YEAR(D5)+15)&gt;YEAR(E5),1,(12-MONTH(E5)+1)/12))) + (Q5)*(IF((YEAR(D5)+15)&lt;YEAR(E5),0,IF((YEAR(D5)+15)&gt;YEAR(E5),1,(12-MONTH(E5)+1)/12))))-((P5)*(IF((YEAR(D5)+15)&lt;YEAR(E5),0,IF((YEAR(D5)+15)&gt;YEAR(E5),1,(12-MONTH(E5)+1)/12))) + (R5)*(IF((YEAR(D5)+15)&lt;YEAR(E5),0,IF((YEAR(D5)+15)&gt;YEAR(E5),1,(12-MONTH(E5)+1)/12))))-(IF(OR(N5="",N5&lt;=0),0,(O5/N5)*(IF(OR(N5="",N5&lt;=0),0,IF((YEAR(D5)+15)&lt;YEAR(E5),0,IF((YEAR(D5)+15)&gt;=YEAR(E5)+N5,0,IF((YEAR(D5)+15)=YEAR(E5),(12-MONTH(E5)+1)/12,1))))))))*TaxRate,0))-IF(15=0,O5,0))</f>
        <v/>
      </c>
      <c r="AI5" s="29">
        <f>IF(A5="","",((K5)*(IF(M5="",L5,IFERROR(IF(INDEX(Variablen!$I:$AT, MATCH(M5, Variablen!$A:$A, 0), MATCH((YEAR(D5)+16), Variablen!$I$3:$AT$3, 0))="",L5,INDEX(Variablen!$I:$AT, MATCH(M5, Variablen!$A:$A, 0), MATCH((YEAR(D5)+16), Variablen!$I$3:$AT$3, 0))),L5)))*(IF((YEAR(D5)+16)&lt;YEAR(E5),0,IF((YEAR(D5)+16)&gt;YEAR(E5),1,(12-MONTH(E5)+1)/12))) + (Q5)*(IF((YEAR(D5)+16)&lt;YEAR(E5),0,IF((YEAR(D5)+16)&gt;YEAR(E5),1,(12-MONTH(E5)+1)/12))))-((P5)*(IF((YEAR(D5)+16)&lt;YEAR(E5),0,IF((YEAR(D5)+16)&gt;YEAR(E5),1,(12-MONTH(E5)+1)/12))) + (R5)*(IF((YEAR(D5)+16)&lt;YEAR(E5),0,IF((YEAR(D5)+16)&gt;YEAR(E5),1,(12-MONTH(E5)+1)/12))))-(IF((((K5)*(IF(M5="",L5,IFERROR(IF(INDEX(Variablen!$I:$AT, MATCH(M5, Variablen!$A:$A, 0), MATCH((YEAR(D5)+16), Variablen!$I$3:$AT$3, 0))="",L5,INDEX(Variablen!$I:$AT, MATCH(M5, Variablen!$A:$A, 0), MATCH((YEAR(D5)+16), Variablen!$I$3:$AT$3, 0))),L5)))*(IF((YEAR(D5)+16)&lt;YEAR(E5),0,IF((YEAR(D5)+16)&gt;YEAR(E5),1,(12-MONTH(E5)+1)/12))) + (Q5)*(IF((YEAR(D5)+16)&lt;YEAR(E5),0,IF((YEAR(D5)+16)&gt;YEAR(E5),1,(12-MONTH(E5)+1)/12))))-((P5)*(IF((YEAR(D5)+16)&lt;YEAR(E5),0,IF((YEAR(D5)+16)&gt;YEAR(E5),1,(12-MONTH(E5)+1)/12))) + (R5)*(IF((YEAR(D5)+16)&lt;YEAR(E5),0,IF((YEAR(D5)+16)&gt;YEAR(E5),1,(12-MONTH(E5)+1)/12))))-(IF(OR(N5="",N5&lt;=0),0,(O5/N5)*(IF(OR(N5="",N5&lt;=0),0,IF((YEAR(D5)+16)&lt;YEAR(E5),0,IF((YEAR(D5)+16)&gt;=YEAR(E5)+N5,0,IF((YEAR(D5)+16)=YEAR(E5),(12-MONTH(E5)+1)/12,1))))))))&gt;0,(((K5)*(IF(M5="",L5,IFERROR(IF(INDEX(Variablen!$I:$AT, MATCH(M5, Variablen!$A:$A, 0), MATCH((YEAR(D5)+16), Variablen!$I$3:$AT$3, 0))="",L5,INDEX(Variablen!$I:$AT, MATCH(M5, Variablen!$A:$A, 0), MATCH((YEAR(D5)+16), Variablen!$I$3:$AT$3, 0))),L5)))*(IF((YEAR(D5)+16)&lt;YEAR(E5),0,IF((YEAR(D5)+16)&gt;YEAR(E5),1,(12-MONTH(E5)+1)/12))) + (Q5)*(IF((YEAR(D5)+16)&lt;YEAR(E5),0,IF((YEAR(D5)+16)&gt;YEAR(E5),1,(12-MONTH(E5)+1)/12))))-((P5)*(IF((YEAR(D5)+16)&lt;YEAR(E5),0,IF((YEAR(D5)+16)&gt;YEAR(E5),1,(12-MONTH(E5)+1)/12))) + (R5)*(IF((YEAR(D5)+16)&lt;YEAR(E5),0,IF((YEAR(D5)+16)&gt;YEAR(E5),1,(12-MONTH(E5)+1)/12))))-(IF(OR(N5="",N5&lt;=0),0,(O5/N5)*(IF(OR(N5="",N5&lt;=0),0,IF((YEAR(D5)+16)&lt;YEAR(E5),0,IF((YEAR(D5)+16)&gt;=YEAR(E5)+N5,0,IF((YEAR(D5)+16)=YEAR(E5),(12-MONTH(E5)+1)/12,1))))))))*TaxRate,0))-IF(16=0,O5,0))</f>
        <v/>
      </c>
      <c r="AJ5" s="29">
        <f>IF(A5="","",((K5)*(IF(M5="",L5,IFERROR(IF(INDEX(Variablen!$I:$AT, MATCH(M5, Variablen!$A:$A, 0), MATCH((YEAR(D5)+17), Variablen!$I$3:$AT$3, 0))="",L5,INDEX(Variablen!$I:$AT, MATCH(M5, Variablen!$A:$A, 0), MATCH((YEAR(D5)+17), Variablen!$I$3:$AT$3, 0))),L5)))*(IF((YEAR(D5)+17)&lt;YEAR(E5),0,IF((YEAR(D5)+17)&gt;YEAR(E5),1,(12-MONTH(E5)+1)/12))) + (Q5)*(IF((YEAR(D5)+17)&lt;YEAR(E5),0,IF((YEAR(D5)+17)&gt;YEAR(E5),1,(12-MONTH(E5)+1)/12))))-((P5)*(IF((YEAR(D5)+17)&lt;YEAR(E5),0,IF((YEAR(D5)+17)&gt;YEAR(E5),1,(12-MONTH(E5)+1)/12))) + (R5)*(IF((YEAR(D5)+17)&lt;YEAR(E5),0,IF((YEAR(D5)+17)&gt;YEAR(E5),1,(12-MONTH(E5)+1)/12))))-(IF((((K5)*(IF(M5="",L5,IFERROR(IF(INDEX(Variablen!$I:$AT, MATCH(M5, Variablen!$A:$A, 0), MATCH((YEAR(D5)+17), Variablen!$I$3:$AT$3, 0))="",L5,INDEX(Variablen!$I:$AT, MATCH(M5, Variablen!$A:$A, 0), MATCH((YEAR(D5)+17), Variablen!$I$3:$AT$3, 0))),L5)))*(IF((YEAR(D5)+17)&lt;YEAR(E5),0,IF((YEAR(D5)+17)&gt;YEAR(E5),1,(12-MONTH(E5)+1)/12))) + (Q5)*(IF((YEAR(D5)+17)&lt;YEAR(E5),0,IF((YEAR(D5)+17)&gt;YEAR(E5),1,(12-MONTH(E5)+1)/12))))-((P5)*(IF((YEAR(D5)+17)&lt;YEAR(E5),0,IF((YEAR(D5)+17)&gt;YEAR(E5),1,(12-MONTH(E5)+1)/12))) + (R5)*(IF((YEAR(D5)+17)&lt;YEAR(E5),0,IF((YEAR(D5)+17)&gt;YEAR(E5),1,(12-MONTH(E5)+1)/12))))-(IF(OR(N5="",N5&lt;=0),0,(O5/N5)*(IF(OR(N5="",N5&lt;=0),0,IF((YEAR(D5)+17)&lt;YEAR(E5),0,IF((YEAR(D5)+17)&gt;=YEAR(E5)+N5,0,IF((YEAR(D5)+17)=YEAR(E5),(12-MONTH(E5)+1)/12,1))))))))&gt;0,(((K5)*(IF(M5="",L5,IFERROR(IF(INDEX(Variablen!$I:$AT, MATCH(M5, Variablen!$A:$A, 0), MATCH((YEAR(D5)+17), Variablen!$I$3:$AT$3, 0))="",L5,INDEX(Variablen!$I:$AT, MATCH(M5, Variablen!$A:$A, 0), MATCH((YEAR(D5)+17), Variablen!$I$3:$AT$3, 0))),L5)))*(IF((YEAR(D5)+17)&lt;YEAR(E5),0,IF((YEAR(D5)+17)&gt;YEAR(E5),1,(12-MONTH(E5)+1)/12))) + (Q5)*(IF((YEAR(D5)+17)&lt;YEAR(E5),0,IF((YEAR(D5)+17)&gt;YEAR(E5),1,(12-MONTH(E5)+1)/12))))-((P5)*(IF((YEAR(D5)+17)&lt;YEAR(E5),0,IF((YEAR(D5)+17)&gt;YEAR(E5),1,(12-MONTH(E5)+1)/12))) + (R5)*(IF((YEAR(D5)+17)&lt;YEAR(E5),0,IF((YEAR(D5)+17)&gt;YEAR(E5),1,(12-MONTH(E5)+1)/12))))-(IF(OR(N5="",N5&lt;=0),0,(O5/N5)*(IF(OR(N5="",N5&lt;=0),0,IF((YEAR(D5)+17)&lt;YEAR(E5),0,IF((YEAR(D5)+17)&gt;=YEAR(E5)+N5,0,IF((YEAR(D5)+17)=YEAR(E5),(12-MONTH(E5)+1)/12,1))))))))*TaxRate,0))-IF(17=0,O5,0))</f>
        <v/>
      </c>
      <c r="AK5" s="29">
        <f>IF(A5="","",((K5)*(IF(M5="",L5,IFERROR(IF(INDEX(Variablen!$I:$AT, MATCH(M5, Variablen!$A:$A, 0), MATCH((YEAR(D5)+18), Variablen!$I$3:$AT$3, 0))="",L5,INDEX(Variablen!$I:$AT, MATCH(M5, Variablen!$A:$A, 0), MATCH((YEAR(D5)+18), Variablen!$I$3:$AT$3, 0))),L5)))*(IF((YEAR(D5)+18)&lt;YEAR(E5),0,IF((YEAR(D5)+18)&gt;YEAR(E5),1,(12-MONTH(E5)+1)/12))) + (Q5)*(IF((YEAR(D5)+18)&lt;YEAR(E5),0,IF((YEAR(D5)+18)&gt;YEAR(E5),1,(12-MONTH(E5)+1)/12))))-((P5)*(IF((YEAR(D5)+18)&lt;YEAR(E5),0,IF((YEAR(D5)+18)&gt;YEAR(E5),1,(12-MONTH(E5)+1)/12))) + (R5)*(IF((YEAR(D5)+18)&lt;YEAR(E5),0,IF((YEAR(D5)+18)&gt;YEAR(E5),1,(12-MONTH(E5)+1)/12))))-(IF((((K5)*(IF(M5="",L5,IFERROR(IF(INDEX(Variablen!$I:$AT, MATCH(M5, Variablen!$A:$A, 0), MATCH((YEAR(D5)+18), Variablen!$I$3:$AT$3, 0))="",L5,INDEX(Variablen!$I:$AT, MATCH(M5, Variablen!$A:$A, 0), MATCH((YEAR(D5)+18), Variablen!$I$3:$AT$3, 0))),L5)))*(IF((YEAR(D5)+18)&lt;YEAR(E5),0,IF((YEAR(D5)+18)&gt;YEAR(E5),1,(12-MONTH(E5)+1)/12))) + (Q5)*(IF((YEAR(D5)+18)&lt;YEAR(E5),0,IF((YEAR(D5)+18)&gt;YEAR(E5),1,(12-MONTH(E5)+1)/12))))-((P5)*(IF((YEAR(D5)+18)&lt;YEAR(E5),0,IF((YEAR(D5)+18)&gt;YEAR(E5),1,(12-MONTH(E5)+1)/12))) + (R5)*(IF((YEAR(D5)+18)&lt;YEAR(E5),0,IF((YEAR(D5)+18)&gt;YEAR(E5),1,(12-MONTH(E5)+1)/12))))-(IF(OR(N5="",N5&lt;=0),0,(O5/N5)*(IF(OR(N5="",N5&lt;=0),0,IF((YEAR(D5)+18)&lt;YEAR(E5),0,IF((YEAR(D5)+18)&gt;=YEAR(E5)+N5,0,IF((YEAR(D5)+18)=YEAR(E5),(12-MONTH(E5)+1)/12,1))))))))&gt;0,(((K5)*(IF(M5="",L5,IFERROR(IF(INDEX(Variablen!$I:$AT, MATCH(M5, Variablen!$A:$A, 0), MATCH((YEAR(D5)+18), Variablen!$I$3:$AT$3, 0))="",L5,INDEX(Variablen!$I:$AT, MATCH(M5, Variablen!$A:$A, 0), MATCH((YEAR(D5)+18), Variablen!$I$3:$AT$3, 0))),L5)))*(IF((YEAR(D5)+18)&lt;YEAR(E5),0,IF((YEAR(D5)+18)&gt;YEAR(E5),1,(12-MONTH(E5)+1)/12))) + (Q5)*(IF((YEAR(D5)+18)&lt;YEAR(E5),0,IF((YEAR(D5)+18)&gt;YEAR(E5),1,(12-MONTH(E5)+1)/12))))-((P5)*(IF((YEAR(D5)+18)&lt;YEAR(E5),0,IF((YEAR(D5)+18)&gt;YEAR(E5),1,(12-MONTH(E5)+1)/12))) + (R5)*(IF((YEAR(D5)+18)&lt;YEAR(E5),0,IF((YEAR(D5)+18)&gt;YEAR(E5),1,(12-MONTH(E5)+1)/12))))-(IF(OR(N5="",N5&lt;=0),0,(O5/N5)*(IF(OR(N5="",N5&lt;=0),0,IF((YEAR(D5)+18)&lt;YEAR(E5),0,IF((YEAR(D5)+18)&gt;=YEAR(E5)+N5,0,IF((YEAR(D5)+18)=YEAR(E5),(12-MONTH(E5)+1)/12,1))))))))*TaxRate,0))-IF(18=0,O5,0))</f>
        <v/>
      </c>
      <c r="AL5" s="29">
        <f>IF(A5="","",((K5)*(IF(M5="",L5,IFERROR(IF(INDEX(Variablen!$I:$AT, MATCH(M5, Variablen!$A:$A, 0), MATCH((YEAR(D5)+19), Variablen!$I$3:$AT$3, 0))="",L5,INDEX(Variablen!$I:$AT, MATCH(M5, Variablen!$A:$A, 0), MATCH((YEAR(D5)+19), Variablen!$I$3:$AT$3, 0))),L5)))*(IF((YEAR(D5)+19)&lt;YEAR(E5),0,IF((YEAR(D5)+19)&gt;YEAR(E5),1,(12-MONTH(E5)+1)/12))) + (Q5)*(IF((YEAR(D5)+19)&lt;YEAR(E5),0,IF((YEAR(D5)+19)&gt;YEAR(E5),1,(12-MONTH(E5)+1)/12))))-((P5)*(IF((YEAR(D5)+19)&lt;YEAR(E5),0,IF((YEAR(D5)+19)&gt;YEAR(E5),1,(12-MONTH(E5)+1)/12))) + (R5)*(IF((YEAR(D5)+19)&lt;YEAR(E5),0,IF((YEAR(D5)+19)&gt;YEAR(E5),1,(12-MONTH(E5)+1)/12))))-(IF((((K5)*(IF(M5="",L5,IFERROR(IF(INDEX(Variablen!$I:$AT, MATCH(M5, Variablen!$A:$A, 0), MATCH((YEAR(D5)+19), Variablen!$I$3:$AT$3, 0))="",L5,INDEX(Variablen!$I:$AT, MATCH(M5, Variablen!$A:$A, 0), MATCH((YEAR(D5)+19), Variablen!$I$3:$AT$3, 0))),L5)))*(IF((YEAR(D5)+19)&lt;YEAR(E5),0,IF((YEAR(D5)+19)&gt;YEAR(E5),1,(12-MONTH(E5)+1)/12))) + (Q5)*(IF((YEAR(D5)+19)&lt;YEAR(E5),0,IF((YEAR(D5)+19)&gt;YEAR(E5),1,(12-MONTH(E5)+1)/12))))-((P5)*(IF((YEAR(D5)+19)&lt;YEAR(E5),0,IF((YEAR(D5)+19)&gt;YEAR(E5),1,(12-MONTH(E5)+1)/12))) + (R5)*(IF((YEAR(D5)+19)&lt;YEAR(E5),0,IF((YEAR(D5)+19)&gt;YEAR(E5),1,(12-MONTH(E5)+1)/12))))-(IF(OR(N5="",N5&lt;=0),0,(O5/N5)*(IF(OR(N5="",N5&lt;=0),0,IF((YEAR(D5)+19)&lt;YEAR(E5),0,IF((YEAR(D5)+19)&gt;=YEAR(E5)+N5,0,IF((YEAR(D5)+19)=YEAR(E5),(12-MONTH(E5)+1)/12,1))))))))&gt;0,(((K5)*(IF(M5="",L5,IFERROR(IF(INDEX(Variablen!$I:$AT, MATCH(M5, Variablen!$A:$A, 0), MATCH((YEAR(D5)+19), Variablen!$I$3:$AT$3, 0))="",L5,INDEX(Variablen!$I:$AT, MATCH(M5, Variablen!$A:$A, 0), MATCH((YEAR(D5)+19), Variablen!$I$3:$AT$3, 0))),L5)))*(IF((YEAR(D5)+19)&lt;YEAR(E5),0,IF((YEAR(D5)+19)&gt;YEAR(E5),1,(12-MONTH(E5)+1)/12))) + (Q5)*(IF((YEAR(D5)+19)&lt;YEAR(E5),0,IF((YEAR(D5)+19)&gt;YEAR(E5),1,(12-MONTH(E5)+1)/12))))-((P5)*(IF((YEAR(D5)+19)&lt;YEAR(E5),0,IF((YEAR(D5)+19)&gt;YEAR(E5),1,(12-MONTH(E5)+1)/12))) + (R5)*(IF((YEAR(D5)+19)&lt;YEAR(E5),0,IF((YEAR(D5)+19)&gt;YEAR(E5),1,(12-MONTH(E5)+1)/12))))-(IF(OR(N5="",N5&lt;=0),0,(O5/N5)*(IF(OR(N5="",N5&lt;=0),0,IF((YEAR(D5)+19)&lt;YEAR(E5),0,IF((YEAR(D5)+19)&gt;=YEAR(E5)+N5,0,IF((YEAR(D5)+19)=YEAR(E5),(12-MONTH(E5)+1)/12,1))))))))*TaxRate,0))-IF(19=0,O5,0))</f>
        <v/>
      </c>
      <c r="AM5" s="29">
        <f>IF(A5="","",((K5)*(IF(M5="",L5,IFERROR(IF(INDEX(Variablen!$I:$AT, MATCH(M5, Variablen!$A:$A, 0), MATCH((YEAR(D5)+20), Variablen!$I$3:$AT$3, 0))="",L5,INDEX(Variablen!$I:$AT, MATCH(M5, Variablen!$A:$A, 0), MATCH((YEAR(D5)+20), Variablen!$I$3:$AT$3, 0))),L5)))*(IF((YEAR(D5)+20)&lt;YEAR(E5),0,IF((YEAR(D5)+20)&gt;YEAR(E5),1,(12-MONTH(E5)+1)/12))) + (Q5)*(IF((YEAR(D5)+20)&lt;YEAR(E5),0,IF((YEAR(D5)+20)&gt;YEAR(E5),1,(12-MONTH(E5)+1)/12))))-((P5)*(IF((YEAR(D5)+20)&lt;YEAR(E5),0,IF((YEAR(D5)+20)&gt;YEAR(E5),1,(12-MONTH(E5)+1)/12))) + (R5)*(IF((YEAR(D5)+20)&lt;YEAR(E5),0,IF((YEAR(D5)+20)&gt;YEAR(E5),1,(12-MONTH(E5)+1)/12))))-(IF((((K5)*(IF(M5="",L5,IFERROR(IF(INDEX(Variablen!$I:$AT, MATCH(M5, Variablen!$A:$A, 0), MATCH((YEAR(D5)+20), Variablen!$I$3:$AT$3, 0))="",L5,INDEX(Variablen!$I:$AT, MATCH(M5, Variablen!$A:$A, 0), MATCH((YEAR(D5)+20), Variablen!$I$3:$AT$3, 0))),L5)))*(IF((YEAR(D5)+20)&lt;YEAR(E5),0,IF((YEAR(D5)+20)&gt;YEAR(E5),1,(12-MONTH(E5)+1)/12))) + (Q5)*(IF((YEAR(D5)+20)&lt;YEAR(E5),0,IF((YEAR(D5)+20)&gt;YEAR(E5),1,(12-MONTH(E5)+1)/12))))-((P5)*(IF((YEAR(D5)+20)&lt;YEAR(E5),0,IF((YEAR(D5)+20)&gt;YEAR(E5),1,(12-MONTH(E5)+1)/12))) + (R5)*(IF((YEAR(D5)+20)&lt;YEAR(E5),0,IF((YEAR(D5)+20)&gt;YEAR(E5),1,(12-MONTH(E5)+1)/12))))-(IF(OR(N5="",N5&lt;=0),0,(O5/N5)*(IF(OR(N5="",N5&lt;=0),0,IF((YEAR(D5)+20)&lt;YEAR(E5),0,IF((YEAR(D5)+20)&gt;=YEAR(E5)+N5,0,IF((YEAR(D5)+20)=YEAR(E5),(12-MONTH(E5)+1)/12,1))))))))&gt;0,(((K5)*(IF(M5="",L5,IFERROR(IF(INDEX(Variablen!$I:$AT, MATCH(M5, Variablen!$A:$A, 0), MATCH((YEAR(D5)+20), Variablen!$I$3:$AT$3, 0))="",L5,INDEX(Variablen!$I:$AT, MATCH(M5, Variablen!$A:$A, 0), MATCH((YEAR(D5)+20), Variablen!$I$3:$AT$3, 0))),L5)))*(IF((YEAR(D5)+20)&lt;YEAR(E5),0,IF((YEAR(D5)+20)&gt;YEAR(E5),1,(12-MONTH(E5)+1)/12))) + (Q5)*(IF((YEAR(D5)+20)&lt;YEAR(E5),0,IF((YEAR(D5)+20)&gt;YEAR(E5),1,(12-MONTH(E5)+1)/12))))-((P5)*(IF((YEAR(D5)+20)&lt;YEAR(E5),0,IF((YEAR(D5)+20)&gt;YEAR(E5),1,(12-MONTH(E5)+1)/12))) + (R5)*(IF((YEAR(D5)+20)&lt;YEAR(E5),0,IF((YEAR(D5)+20)&gt;YEAR(E5),1,(12-MONTH(E5)+1)/12))))-(IF(OR(N5="",N5&lt;=0),0,(O5/N5)*(IF(OR(N5="",N5&lt;=0),0,IF((YEAR(D5)+20)&lt;YEAR(E5),0,IF((YEAR(D5)+20)&gt;=YEAR(E5)+N5,0,IF((YEAR(D5)+20)=YEAR(E5),(12-MONTH(E5)+1)/12,1))))))))*TaxRate,0))-IF(20=0,O5,0))</f>
        <v/>
      </c>
      <c r="AN5" s="29">
        <f>IF(A5="","",S5)</f>
        <v/>
      </c>
      <c r="AO5" s="29">
        <f>IF(A5="","",AN5+T5)</f>
        <v/>
      </c>
      <c r="AP5" s="29">
        <f>IF(A5="","",AO5+U5)</f>
        <v/>
      </c>
      <c r="AQ5" s="29">
        <f>IF(A5="","",AP5+V5)</f>
        <v/>
      </c>
      <c r="AR5" s="29">
        <f>IF(A5="","",AQ5+W5)</f>
        <v/>
      </c>
      <c r="AS5" s="29">
        <f>IF(A5="","",AR5+X5)</f>
        <v/>
      </c>
      <c r="AT5" s="29">
        <f>IF(A5="","",AS5+Y5)</f>
        <v/>
      </c>
      <c r="AU5" s="29">
        <f>IF(A5="","",AT5+Z5)</f>
        <v/>
      </c>
      <c r="AV5" s="29">
        <f>IF(A5="","",AU5+AA5)</f>
        <v/>
      </c>
      <c r="AW5" s="29">
        <f>IF(A5="","",AV5+AB5)</f>
        <v/>
      </c>
      <c r="AX5" s="29">
        <f>IF(A5="","",AW5+AC5)</f>
        <v/>
      </c>
      <c r="AY5" s="29">
        <f>IF(A5="","",AX5+AD5)</f>
        <v/>
      </c>
      <c r="AZ5" s="29">
        <f>IF(A5="","",AY5+AE5)</f>
        <v/>
      </c>
      <c r="BA5" s="29">
        <f>IF(A5="","",AZ5+AF5)</f>
        <v/>
      </c>
      <c r="BB5" s="29">
        <f>IF(A5="","",BA5+AG5)</f>
        <v/>
      </c>
      <c r="BC5" s="29">
        <f>IF(A5="","",BB5+AH5)</f>
        <v/>
      </c>
      <c r="BD5" s="29">
        <f>IF(A5="","",BC5+AI5)</f>
        <v/>
      </c>
      <c r="BE5" s="29">
        <f>IF(A5="","",BD5+AJ5)</f>
        <v/>
      </c>
      <c r="BF5" s="29">
        <f>IF(A5="","",BE5+AK5)</f>
        <v/>
      </c>
      <c r="BG5" s="29">
        <f>IF(A5="","",BF5+AL5)</f>
        <v/>
      </c>
      <c r="BH5" s="29">
        <f>IF(A5="","",BG5+AM5)</f>
        <v/>
      </c>
      <c r="BI5" s="36">
        <f>IF(A5="","",(K5)*(IF((YEAR(D5)+0)&lt;YEAR(E5),0,IF((YEAR(D5)+0)&gt;YEAR(E5),1,(12-MONTH(E5)+1)/12)))*(1/(1+DiscountRate)^0))</f>
        <v/>
      </c>
      <c r="BJ5" s="36">
        <f>IF(A5="","",(K5)*(IF((YEAR(D5)+1)&lt;YEAR(E5),0,IF((YEAR(D5)+1)&gt;YEAR(E5),1,(12-MONTH(E5)+1)/12)))*(1/(1+DiscountRate)^1))</f>
        <v/>
      </c>
      <c r="BK5" s="36">
        <f>IF(A5="","",(K5)*(IF((YEAR(D5)+2)&lt;YEAR(E5),0,IF((YEAR(D5)+2)&gt;YEAR(E5),1,(12-MONTH(E5)+1)/12)))*(1/(1+DiscountRate)^2))</f>
        <v/>
      </c>
      <c r="BL5" s="36">
        <f>IF(A5="","",(K5)*(IF((YEAR(D5)+3)&lt;YEAR(E5),0,IF((YEAR(D5)+3)&gt;YEAR(E5),1,(12-MONTH(E5)+1)/12)))*(1/(1+DiscountRate)^3))</f>
        <v/>
      </c>
      <c r="BM5" s="36">
        <f>IF(A5="","",(K5)*(IF((YEAR(D5)+4)&lt;YEAR(E5),0,IF((YEAR(D5)+4)&gt;YEAR(E5),1,(12-MONTH(E5)+1)/12)))*(1/(1+DiscountRate)^4))</f>
        <v/>
      </c>
      <c r="BN5" s="36">
        <f>IF(A5="","",(K5)*(IF((YEAR(D5)+5)&lt;YEAR(E5),0,IF((YEAR(D5)+5)&gt;YEAR(E5),1,(12-MONTH(E5)+1)/12)))*(1/(1+DiscountRate)^5))</f>
        <v/>
      </c>
      <c r="BO5" s="36">
        <f>IF(A5="","",(K5)*(IF((YEAR(D5)+6)&lt;YEAR(E5),0,IF((YEAR(D5)+6)&gt;YEAR(E5),1,(12-MONTH(E5)+1)/12)))*(1/(1+DiscountRate)^6))</f>
        <v/>
      </c>
      <c r="BP5" s="36">
        <f>IF(A5="","",(K5)*(IF((YEAR(D5)+7)&lt;YEAR(E5),0,IF((YEAR(D5)+7)&gt;YEAR(E5),1,(12-MONTH(E5)+1)/12)))*(1/(1+DiscountRate)^7))</f>
        <v/>
      </c>
      <c r="BQ5" s="36">
        <f>IF(A5="","",(K5)*(IF((YEAR(D5)+8)&lt;YEAR(E5),0,IF((YEAR(D5)+8)&gt;YEAR(E5),1,(12-MONTH(E5)+1)/12)))*(1/(1+DiscountRate)^8))</f>
        <v/>
      </c>
      <c r="BR5" s="36">
        <f>IF(A5="","",(K5)*(IF((YEAR(D5)+9)&lt;YEAR(E5),0,IF((YEAR(D5)+9)&gt;YEAR(E5),1,(12-MONTH(E5)+1)/12)))*(1/(1+DiscountRate)^9))</f>
        <v/>
      </c>
      <c r="BS5" s="36">
        <f>IF(A5="","",(K5)*(IF((YEAR(D5)+10)&lt;YEAR(E5),0,IF((YEAR(D5)+10)&gt;YEAR(E5),1,(12-MONTH(E5)+1)/12)))*(1/(1+DiscountRate)^10))</f>
        <v/>
      </c>
      <c r="BT5" s="36">
        <f>IF(A5="","",(K5)*(IF((YEAR(D5)+11)&lt;YEAR(E5),0,IF((YEAR(D5)+11)&gt;YEAR(E5),1,(12-MONTH(E5)+1)/12)))*(1/(1+DiscountRate)^11))</f>
        <v/>
      </c>
      <c r="BU5" s="36">
        <f>IF(A5="","",(K5)*(IF((YEAR(D5)+12)&lt;YEAR(E5),0,IF((YEAR(D5)+12)&gt;YEAR(E5),1,(12-MONTH(E5)+1)/12)))*(1/(1+DiscountRate)^12))</f>
        <v/>
      </c>
      <c r="BV5" s="36">
        <f>IF(A5="","",(K5)*(IF((YEAR(D5)+13)&lt;YEAR(E5),0,IF((YEAR(D5)+13)&gt;YEAR(E5),1,(12-MONTH(E5)+1)/12)))*(1/(1+DiscountRate)^13))</f>
        <v/>
      </c>
      <c r="BW5" s="36">
        <f>IF(A5="","",(K5)*(IF((YEAR(D5)+14)&lt;YEAR(E5),0,IF((YEAR(D5)+14)&gt;YEAR(E5),1,(12-MONTH(E5)+1)/12)))*(1/(1+DiscountRate)^14))</f>
        <v/>
      </c>
      <c r="BX5" s="36">
        <f>IF(A5="","",(K5)*(IF((YEAR(D5)+15)&lt;YEAR(E5),0,IF((YEAR(D5)+15)&gt;YEAR(E5),1,(12-MONTH(E5)+1)/12)))*(1/(1+DiscountRate)^15))</f>
        <v/>
      </c>
      <c r="BY5" s="36">
        <f>IF(A5="","",(K5)*(IF((YEAR(D5)+16)&lt;YEAR(E5),0,IF((YEAR(D5)+16)&gt;YEAR(E5),1,(12-MONTH(E5)+1)/12)))*(1/(1+DiscountRate)^16))</f>
        <v/>
      </c>
      <c r="BZ5" s="36">
        <f>IF(A5="","",(K5)*(IF((YEAR(D5)+17)&lt;YEAR(E5),0,IF((YEAR(D5)+17)&gt;YEAR(E5),1,(12-MONTH(E5)+1)/12)))*(1/(1+DiscountRate)^17))</f>
        <v/>
      </c>
      <c r="CA5" s="36">
        <f>IF(A5="","",(K5)*(IF((YEAR(D5)+18)&lt;YEAR(E5),0,IF((YEAR(D5)+18)&gt;YEAR(E5),1,(12-MONTH(E5)+1)/12)))*(1/(1+DiscountRate)^18))</f>
        <v/>
      </c>
      <c r="CB5" s="36">
        <f>IF(A5="","",(K5)*(IF((YEAR(D5)+19)&lt;YEAR(E5),0,IF((YEAR(D5)+19)&gt;YEAR(E5),1,(12-MONTH(E5)+1)/12)))*(1/(1+DiscountRate)^19))</f>
        <v/>
      </c>
      <c r="CC5" s="36">
        <f>IF(A5="","",(K5)*(IF((YEAR(D5)+20)&lt;YEAR(E5),0,IF((YEAR(D5)+20)&gt;YEAR(E5),1,(12-MONTH(E5)+1)/12)))*(1/(1+DiscountRate)^20))</f>
        <v/>
      </c>
      <c r="CD5" s="29">
        <f>IF(A5="","",S5/(1+DiscountRate)^0+T5/(1+DiscountRate)^1+U5/(1+DiscountRate)^2+V5/(1+DiscountRate)^3+W5/(1+DiscountRate)^4+X5/(1+DiscountRate)^5+Y5/(1+DiscountRate)^6+Z5/(1+DiscountRate)^7+AA5/(1+DiscountRate)^8+AB5/(1+DiscountRate)^9+AC5/(1+DiscountRate)^10+AD5/(1+DiscountRate)^11+AE5/(1+DiscountRate)^12+AF5/(1+DiscountRate)^13+AG5/(1+DiscountRate)^14+AH5/(1+DiscountRate)^15+AI5/(1+DiscountRate)^16+AJ5/(1+DiscountRate)^17+AK5/(1+DiscountRate)^18+AL5/(1+DiscountRate)^19+AM5/(1+DiscountRate)^20)</f>
        <v/>
      </c>
      <c r="CE5" s="37">
        <f>IF(A5="","",IFERROR(IRR(OFFSET(S5,0,0,1,MIN(HorizonYears,20)+1)),"n/a"))</f>
        <v/>
      </c>
      <c r="CF5" s="28">
        <f>IF(A5="","",IFERROR(MATCH(TRUE,OFFSET(AN5,0,0,1,MIN(HorizonYears,20)+1)&gt;=0,0)-1,"n/a"))</f>
        <v/>
      </c>
      <c r="CG5" s="36">
        <f>IF(A5="","",SUM(OFFSET(BI5,0,0,1,MIN(HorizonYears,20)+1)))</f>
        <v/>
      </c>
      <c r="CH5" s="36">
        <f>IF(A5="","",IFERROR(-CD5/CG5,"n/a"))</f>
        <v/>
      </c>
    </row>
    <row r="6">
      <c r="A6" s="6">
        <f>Actions!A4</f>
        <v/>
      </c>
      <c r="B6" s="6">
        <f>Actions!B4</f>
        <v/>
      </c>
      <c r="C6" s="6">
        <f>Actions!D4</f>
        <v/>
      </c>
      <c r="D6" s="35">
        <f>Actions!E4</f>
        <v/>
      </c>
      <c r="E6" s="35">
        <f>Actions!F4</f>
        <v/>
      </c>
      <c r="F6" s="6">
        <f>Actions!G4</f>
        <v/>
      </c>
      <c r="G6" s="6">
        <f>Actions!H4</f>
        <v/>
      </c>
      <c r="H6" s="29">
        <f>Actions!I4</f>
        <v/>
      </c>
      <c r="I6" s="6">
        <f>Actions!J4</f>
        <v/>
      </c>
      <c r="J6" s="16">
        <f>Actions!K4</f>
        <v/>
      </c>
      <c r="K6" s="16">
        <f>IF(A6="","",IF(I6="%",H6*J6,J6))</f>
        <v/>
      </c>
      <c r="L6" s="16">
        <f>Actions!L4</f>
        <v/>
      </c>
      <c r="M6" s="6">
        <f>Actions!M4</f>
        <v/>
      </c>
      <c r="N6" s="28">
        <f>Actions!N4</f>
        <v/>
      </c>
      <c r="O6" s="29">
        <f>Actions!T4</f>
        <v/>
      </c>
      <c r="P6" s="29">
        <f>Actions!Y4</f>
        <v/>
      </c>
      <c r="Q6" s="29">
        <f>Actions!Z4</f>
        <v/>
      </c>
      <c r="R6" s="29">
        <f>Actions!AA4</f>
        <v/>
      </c>
      <c r="S6" s="29">
        <f>IF(A6="","",((K6)*(IF(M6="",L6,IFERROR(IF(INDEX(Variablen!$I:$AT, MATCH(M6, Variablen!$A:$A, 0), MATCH((YEAR(D6)+0), Variablen!$I$3:$AT$3, 0))="",L6,INDEX(Variablen!$I:$AT, MATCH(M6, Variablen!$A:$A, 0), MATCH((YEAR(D6)+0), Variablen!$I$3:$AT$3, 0))),L6)))*(IF((YEAR(D6)+0)&lt;YEAR(E6),0,IF((YEAR(D6)+0)&gt;YEAR(E6),1,(12-MONTH(E6)+1)/12))) + (Q6)*(IF((YEAR(D6)+0)&lt;YEAR(E6),0,IF((YEAR(D6)+0)&gt;YEAR(E6),1,(12-MONTH(E6)+1)/12))))-((P6)*(IF((YEAR(D6)+0)&lt;YEAR(E6),0,IF((YEAR(D6)+0)&gt;YEAR(E6),1,(12-MONTH(E6)+1)/12))) + (R6)*(IF((YEAR(D6)+0)&lt;YEAR(E6),0,IF((YEAR(D6)+0)&gt;YEAR(E6),1,(12-MONTH(E6)+1)/12))))-(IF((((K6)*(IF(M6="",L6,IFERROR(IF(INDEX(Variablen!$I:$AT, MATCH(M6, Variablen!$A:$A, 0), MATCH((YEAR(D6)+0), Variablen!$I$3:$AT$3, 0))="",L6,INDEX(Variablen!$I:$AT, MATCH(M6, Variablen!$A:$A, 0), MATCH((YEAR(D6)+0), Variablen!$I$3:$AT$3, 0))),L6)))*(IF((YEAR(D6)+0)&lt;YEAR(E6),0,IF((YEAR(D6)+0)&gt;YEAR(E6),1,(12-MONTH(E6)+1)/12))) + (Q6)*(IF((YEAR(D6)+0)&lt;YEAR(E6),0,IF((YEAR(D6)+0)&gt;YEAR(E6),1,(12-MONTH(E6)+1)/12))))-((P6)*(IF((YEAR(D6)+0)&lt;YEAR(E6),0,IF((YEAR(D6)+0)&gt;YEAR(E6),1,(12-MONTH(E6)+1)/12))) + (R6)*(IF((YEAR(D6)+0)&lt;YEAR(E6),0,IF((YEAR(D6)+0)&gt;YEAR(E6),1,(12-MONTH(E6)+1)/12))))-(IF(OR(N6="",N6&lt;=0),0,(O6/N6)*(IF(OR(N6="",N6&lt;=0),0,IF((YEAR(D6)+0)&lt;YEAR(E6),0,IF((YEAR(D6)+0)&gt;=YEAR(E6)+N6,0,IF((YEAR(D6)+0)=YEAR(E6),(12-MONTH(E6)+1)/12,1))))))))&gt;0,(((K6)*(IF(M6="",L6,IFERROR(IF(INDEX(Variablen!$I:$AT, MATCH(M6, Variablen!$A:$A, 0), MATCH((YEAR(D6)+0), Variablen!$I$3:$AT$3, 0))="",L6,INDEX(Variablen!$I:$AT, MATCH(M6, Variablen!$A:$A, 0), MATCH((YEAR(D6)+0), Variablen!$I$3:$AT$3, 0))),L6)))*(IF((YEAR(D6)+0)&lt;YEAR(E6),0,IF((YEAR(D6)+0)&gt;YEAR(E6),1,(12-MONTH(E6)+1)/12))) + (Q6)*(IF((YEAR(D6)+0)&lt;YEAR(E6),0,IF((YEAR(D6)+0)&gt;YEAR(E6),1,(12-MONTH(E6)+1)/12))))-((P6)*(IF((YEAR(D6)+0)&lt;YEAR(E6),0,IF((YEAR(D6)+0)&gt;YEAR(E6),1,(12-MONTH(E6)+1)/12))) + (R6)*(IF((YEAR(D6)+0)&lt;YEAR(E6),0,IF((YEAR(D6)+0)&gt;YEAR(E6),1,(12-MONTH(E6)+1)/12))))-(IF(OR(N6="",N6&lt;=0),0,(O6/N6)*(IF(OR(N6="",N6&lt;=0),0,IF((YEAR(D6)+0)&lt;YEAR(E6),0,IF((YEAR(D6)+0)&gt;=YEAR(E6)+N6,0,IF((YEAR(D6)+0)=YEAR(E6),(12-MONTH(E6)+1)/12,1))))))))*TaxRate,0))-IF(0=0,O6,0))</f>
        <v/>
      </c>
      <c r="T6" s="29">
        <f>IF(A6="","",((K6)*(IF(M6="",L6,IFERROR(IF(INDEX(Variablen!$I:$AT, MATCH(M6, Variablen!$A:$A, 0), MATCH((YEAR(D6)+1), Variablen!$I$3:$AT$3, 0))="",L6,INDEX(Variablen!$I:$AT, MATCH(M6, Variablen!$A:$A, 0), MATCH((YEAR(D6)+1), Variablen!$I$3:$AT$3, 0))),L6)))*(IF((YEAR(D6)+1)&lt;YEAR(E6),0,IF((YEAR(D6)+1)&gt;YEAR(E6),1,(12-MONTH(E6)+1)/12))) + (Q6)*(IF((YEAR(D6)+1)&lt;YEAR(E6),0,IF((YEAR(D6)+1)&gt;YEAR(E6),1,(12-MONTH(E6)+1)/12))))-((P6)*(IF((YEAR(D6)+1)&lt;YEAR(E6),0,IF((YEAR(D6)+1)&gt;YEAR(E6),1,(12-MONTH(E6)+1)/12))) + (R6)*(IF((YEAR(D6)+1)&lt;YEAR(E6),0,IF((YEAR(D6)+1)&gt;YEAR(E6),1,(12-MONTH(E6)+1)/12))))-(IF((((K6)*(IF(M6="",L6,IFERROR(IF(INDEX(Variablen!$I:$AT, MATCH(M6, Variablen!$A:$A, 0), MATCH((YEAR(D6)+1), Variablen!$I$3:$AT$3, 0))="",L6,INDEX(Variablen!$I:$AT, MATCH(M6, Variablen!$A:$A, 0), MATCH((YEAR(D6)+1), Variablen!$I$3:$AT$3, 0))),L6)))*(IF((YEAR(D6)+1)&lt;YEAR(E6),0,IF((YEAR(D6)+1)&gt;YEAR(E6),1,(12-MONTH(E6)+1)/12))) + (Q6)*(IF((YEAR(D6)+1)&lt;YEAR(E6),0,IF((YEAR(D6)+1)&gt;YEAR(E6),1,(12-MONTH(E6)+1)/12))))-((P6)*(IF((YEAR(D6)+1)&lt;YEAR(E6),0,IF((YEAR(D6)+1)&gt;YEAR(E6),1,(12-MONTH(E6)+1)/12))) + (R6)*(IF((YEAR(D6)+1)&lt;YEAR(E6),0,IF((YEAR(D6)+1)&gt;YEAR(E6),1,(12-MONTH(E6)+1)/12))))-(IF(OR(N6="",N6&lt;=0),0,(O6/N6)*(IF(OR(N6="",N6&lt;=0),0,IF((YEAR(D6)+1)&lt;YEAR(E6),0,IF((YEAR(D6)+1)&gt;=YEAR(E6)+N6,0,IF((YEAR(D6)+1)=YEAR(E6),(12-MONTH(E6)+1)/12,1))))))))&gt;0,(((K6)*(IF(M6="",L6,IFERROR(IF(INDEX(Variablen!$I:$AT, MATCH(M6, Variablen!$A:$A, 0), MATCH((YEAR(D6)+1), Variablen!$I$3:$AT$3, 0))="",L6,INDEX(Variablen!$I:$AT, MATCH(M6, Variablen!$A:$A, 0), MATCH((YEAR(D6)+1), Variablen!$I$3:$AT$3, 0))),L6)))*(IF((YEAR(D6)+1)&lt;YEAR(E6),0,IF((YEAR(D6)+1)&gt;YEAR(E6),1,(12-MONTH(E6)+1)/12))) + (Q6)*(IF((YEAR(D6)+1)&lt;YEAR(E6),0,IF((YEAR(D6)+1)&gt;YEAR(E6),1,(12-MONTH(E6)+1)/12))))-((P6)*(IF((YEAR(D6)+1)&lt;YEAR(E6),0,IF((YEAR(D6)+1)&gt;YEAR(E6),1,(12-MONTH(E6)+1)/12))) + (R6)*(IF((YEAR(D6)+1)&lt;YEAR(E6),0,IF((YEAR(D6)+1)&gt;YEAR(E6),1,(12-MONTH(E6)+1)/12))))-(IF(OR(N6="",N6&lt;=0),0,(O6/N6)*(IF(OR(N6="",N6&lt;=0),0,IF((YEAR(D6)+1)&lt;YEAR(E6),0,IF((YEAR(D6)+1)&gt;=YEAR(E6)+N6,0,IF((YEAR(D6)+1)=YEAR(E6),(12-MONTH(E6)+1)/12,1))))))))*TaxRate,0))-IF(1=0,O6,0))</f>
        <v/>
      </c>
      <c r="U6" s="29">
        <f>IF(A6="","",((K6)*(IF(M6="",L6,IFERROR(IF(INDEX(Variablen!$I:$AT, MATCH(M6, Variablen!$A:$A, 0), MATCH((YEAR(D6)+2), Variablen!$I$3:$AT$3, 0))="",L6,INDEX(Variablen!$I:$AT, MATCH(M6, Variablen!$A:$A, 0), MATCH((YEAR(D6)+2), Variablen!$I$3:$AT$3, 0))),L6)))*(IF((YEAR(D6)+2)&lt;YEAR(E6),0,IF((YEAR(D6)+2)&gt;YEAR(E6),1,(12-MONTH(E6)+1)/12))) + (Q6)*(IF((YEAR(D6)+2)&lt;YEAR(E6),0,IF((YEAR(D6)+2)&gt;YEAR(E6),1,(12-MONTH(E6)+1)/12))))-((P6)*(IF((YEAR(D6)+2)&lt;YEAR(E6),0,IF((YEAR(D6)+2)&gt;YEAR(E6),1,(12-MONTH(E6)+1)/12))) + (R6)*(IF((YEAR(D6)+2)&lt;YEAR(E6),0,IF((YEAR(D6)+2)&gt;YEAR(E6),1,(12-MONTH(E6)+1)/12))))-(IF((((K6)*(IF(M6="",L6,IFERROR(IF(INDEX(Variablen!$I:$AT, MATCH(M6, Variablen!$A:$A, 0), MATCH((YEAR(D6)+2), Variablen!$I$3:$AT$3, 0))="",L6,INDEX(Variablen!$I:$AT, MATCH(M6, Variablen!$A:$A, 0), MATCH((YEAR(D6)+2), Variablen!$I$3:$AT$3, 0))),L6)))*(IF((YEAR(D6)+2)&lt;YEAR(E6),0,IF((YEAR(D6)+2)&gt;YEAR(E6),1,(12-MONTH(E6)+1)/12))) + (Q6)*(IF((YEAR(D6)+2)&lt;YEAR(E6),0,IF((YEAR(D6)+2)&gt;YEAR(E6),1,(12-MONTH(E6)+1)/12))))-((P6)*(IF((YEAR(D6)+2)&lt;YEAR(E6),0,IF((YEAR(D6)+2)&gt;YEAR(E6),1,(12-MONTH(E6)+1)/12))) + (R6)*(IF((YEAR(D6)+2)&lt;YEAR(E6),0,IF((YEAR(D6)+2)&gt;YEAR(E6),1,(12-MONTH(E6)+1)/12))))-(IF(OR(N6="",N6&lt;=0),0,(O6/N6)*(IF(OR(N6="",N6&lt;=0),0,IF((YEAR(D6)+2)&lt;YEAR(E6),0,IF((YEAR(D6)+2)&gt;=YEAR(E6)+N6,0,IF((YEAR(D6)+2)=YEAR(E6),(12-MONTH(E6)+1)/12,1))))))))&gt;0,(((K6)*(IF(M6="",L6,IFERROR(IF(INDEX(Variablen!$I:$AT, MATCH(M6, Variablen!$A:$A, 0), MATCH((YEAR(D6)+2), Variablen!$I$3:$AT$3, 0))="",L6,INDEX(Variablen!$I:$AT, MATCH(M6, Variablen!$A:$A, 0), MATCH((YEAR(D6)+2), Variablen!$I$3:$AT$3, 0))),L6)))*(IF((YEAR(D6)+2)&lt;YEAR(E6),0,IF((YEAR(D6)+2)&gt;YEAR(E6),1,(12-MONTH(E6)+1)/12))) + (Q6)*(IF((YEAR(D6)+2)&lt;YEAR(E6),0,IF((YEAR(D6)+2)&gt;YEAR(E6),1,(12-MONTH(E6)+1)/12))))-((P6)*(IF((YEAR(D6)+2)&lt;YEAR(E6),0,IF((YEAR(D6)+2)&gt;YEAR(E6),1,(12-MONTH(E6)+1)/12))) + (R6)*(IF((YEAR(D6)+2)&lt;YEAR(E6),0,IF((YEAR(D6)+2)&gt;YEAR(E6),1,(12-MONTH(E6)+1)/12))))-(IF(OR(N6="",N6&lt;=0),0,(O6/N6)*(IF(OR(N6="",N6&lt;=0),0,IF((YEAR(D6)+2)&lt;YEAR(E6),0,IF((YEAR(D6)+2)&gt;=YEAR(E6)+N6,0,IF((YEAR(D6)+2)=YEAR(E6),(12-MONTH(E6)+1)/12,1))))))))*TaxRate,0))-IF(2=0,O6,0))</f>
        <v/>
      </c>
      <c r="V6" s="29">
        <f>IF(A6="","",((K6)*(IF(M6="",L6,IFERROR(IF(INDEX(Variablen!$I:$AT, MATCH(M6, Variablen!$A:$A, 0), MATCH((YEAR(D6)+3), Variablen!$I$3:$AT$3, 0))="",L6,INDEX(Variablen!$I:$AT, MATCH(M6, Variablen!$A:$A, 0), MATCH((YEAR(D6)+3), Variablen!$I$3:$AT$3, 0))),L6)))*(IF((YEAR(D6)+3)&lt;YEAR(E6),0,IF((YEAR(D6)+3)&gt;YEAR(E6),1,(12-MONTH(E6)+1)/12))) + (Q6)*(IF((YEAR(D6)+3)&lt;YEAR(E6),0,IF((YEAR(D6)+3)&gt;YEAR(E6),1,(12-MONTH(E6)+1)/12))))-((P6)*(IF((YEAR(D6)+3)&lt;YEAR(E6),0,IF((YEAR(D6)+3)&gt;YEAR(E6),1,(12-MONTH(E6)+1)/12))) + (R6)*(IF((YEAR(D6)+3)&lt;YEAR(E6),0,IF((YEAR(D6)+3)&gt;YEAR(E6),1,(12-MONTH(E6)+1)/12))))-(IF((((K6)*(IF(M6="",L6,IFERROR(IF(INDEX(Variablen!$I:$AT, MATCH(M6, Variablen!$A:$A, 0), MATCH((YEAR(D6)+3), Variablen!$I$3:$AT$3, 0))="",L6,INDEX(Variablen!$I:$AT, MATCH(M6, Variablen!$A:$A, 0), MATCH((YEAR(D6)+3), Variablen!$I$3:$AT$3, 0))),L6)))*(IF((YEAR(D6)+3)&lt;YEAR(E6),0,IF((YEAR(D6)+3)&gt;YEAR(E6),1,(12-MONTH(E6)+1)/12))) + (Q6)*(IF((YEAR(D6)+3)&lt;YEAR(E6),0,IF((YEAR(D6)+3)&gt;YEAR(E6),1,(12-MONTH(E6)+1)/12))))-((P6)*(IF((YEAR(D6)+3)&lt;YEAR(E6),0,IF((YEAR(D6)+3)&gt;YEAR(E6),1,(12-MONTH(E6)+1)/12))) + (R6)*(IF((YEAR(D6)+3)&lt;YEAR(E6),0,IF((YEAR(D6)+3)&gt;YEAR(E6),1,(12-MONTH(E6)+1)/12))))-(IF(OR(N6="",N6&lt;=0),0,(O6/N6)*(IF(OR(N6="",N6&lt;=0),0,IF((YEAR(D6)+3)&lt;YEAR(E6),0,IF((YEAR(D6)+3)&gt;=YEAR(E6)+N6,0,IF((YEAR(D6)+3)=YEAR(E6),(12-MONTH(E6)+1)/12,1))))))))&gt;0,(((K6)*(IF(M6="",L6,IFERROR(IF(INDEX(Variablen!$I:$AT, MATCH(M6, Variablen!$A:$A, 0), MATCH((YEAR(D6)+3), Variablen!$I$3:$AT$3, 0))="",L6,INDEX(Variablen!$I:$AT, MATCH(M6, Variablen!$A:$A, 0), MATCH((YEAR(D6)+3), Variablen!$I$3:$AT$3, 0))),L6)))*(IF((YEAR(D6)+3)&lt;YEAR(E6),0,IF((YEAR(D6)+3)&gt;YEAR(E6),1,(12-MONTH(E6)+1)/12))) + (Q6)*(IF((YEAR(D6)+3)&lt;YEAR(E6),0,IF((YEAR(D6)+3)&gt;YEAR(E6),1,(12-MONTH(E6)+1)/12))))-((P6)*(IF((YEAR(D6)+3)&lt;YEAR(E6),0,IF((YEAR(D6)+3)&gt;YEAR(E6),1,(12-MONTH(E6)+1)/12))) + (R6)*(IF((YEAR(D6)+3)&lt;YEAR(E6),0,IF((YEAR(D6)+3)&gt;YEAR(E6),1,(12-MONTH(E6)+1)/12))))-(IF(OR(N6="",N6&lt;=0),0,(O6/N6)*(IF(OR(N6="",N6&lt;=0),0,IF((YEAR(D6)+3)&lt;YEAR(E6),0,IF((YEAR(D6)+3)&gt;=YEAR(E6)+N6,0,IF((YEAR(D6)+3)=YEAR(E6),(12-MONTH(E6)+1)/12,1))))))))*TaxRate,0))-IF(3=0,O6,0))</f>
        <v/>
      </c>
      <c r="W6" s="29">
        <f>IF(A6="","",((K6)*(IF(M6="",L6,IFERROR(IF(INDEX(Variablen!$I:$AT, MATCH(M6, Variablen!$A:$A, 0), MATCH((YEAR(D6)+4), Variablen!$I$3:$AT$3, 0))="",L6,INDEX(Variablen!$I:$AT, MATCH(M6, Variablen!$A:$A, 0), MATCH((YEAR(D6)+4), Variablen!$I$3:$AT$3, 0))),L6)))*(IF((YEAR(D6)+4)&lt;YEAR(E6),0,IF((YEAR(D6)+4)&gt;YEAR(E6),1,(12-MONTH(E6)+1)/12))) + (Q6)*(IF((YEAR(D6)+4)&lt;YEAR(E6),0,IF((YEAR(D6)+4)&gt;YEAR(E6),1,(12-MONTH(E6)+1)/12))))-((P6)*(IF((YEAR(D6)+4)&lt;YEAR(E6),0,IF((YEAR(D6)+4)&gt;YEAR(E6),1,(12-MONTH(E6)+1)/12))) + (R6)*(IF((YEAR(D6)+4)&lt;YEAR(E6),0,IF((YEAR(D6)+4)&gt;YEAR(E6),1,(12-MONTH(E6)+1)/12))))-(IF((((K6)*(IF(M6="",L6,IFERROR(IF(INDEX(Variablen!$I:$AT, MATCH(M6, Variablen!$A:$A, 0), MATCH((YEAR(D6)+4), Variablen!$I$3:$AT$3, 0))="",L6,INDEX(Variablen!$I:$AT, MATCH(M6, Variablen!$A:$A, 0), MATCH((YEAR(D6)+4), Variablen!$I$3:$AT$3, 0))),L6)))*(IF((YEAR(D6)+4)&lt;YEAR(E6),0,IF((YEAR(D6)+4)&gt;YEAR(E6),1,(12-MONTH(E6)+1)/12))) + (Q6)*(IF((YEAR(D6)+4)&lt;YEAR(E6),0,IF((YEAR(D6)+4)&gt;YEAR(E6),1,(12-MONTH(E6)+1)/12))))-((P6)*(IF((YEAR(D6)+4)&lt;YEAR(E6),0,IF((YEAR(D6)+4)&gt;YEAR(E6),1,(12-MONTH(E6)+1)/12))) + (R6)*(IF((YEAR(D6)+4)&lt;YEAR(E6),0,IF((YEAR(D6)+4)&gt;YEAR(E6),1,(12-MONTH(E6)+1)/12))))-(IF(OR(N6="",N6&lt;=0),0,(O6/N6)*(IF(OR(N6="",N6&lt;=0),0,IF((YEAR(D6)+4)&lt;YEAR(E6),0,IF((YEAR(D6)+4)&gt;=YEAR(E6)+N6,0,IF((YEAR(D6)+4)=YEAR(E6),(12-MONTH(E6)+1)/12,1))))))))&gt;0,(((K6)*(IF(M6="",L6,IFERROR(IF(INDEX(Variablen!$I:$AT, MATCH(M6, Variablen!$A:$A, 0), MATCH((YEAR(D6)+4), Variablen!$I$3:$AT$3, 0))="",L6,INDEX(Variablen!$I:$AT, MATCH(M6, Variablen!$A:$A, 0), MATCH((YEAR(D6)+4), Variablen!$I$3:$AT$3, 0))),L6)))*(IF((YEAR(D6)+4)&lt;YEAR(E6),0,IF((YEAR(D6)+4)&gt;YEAR(E6),1,(12-MONTH(E6)+1)/12))) + (Q6)*(IF((YEAR(D6)+4)&lt;YEAR(E6),0,IF((YEAR(D6)+4)&gt;YEAR(E6),1,(12-MONTH(E6)+1)/12))))-((P6)*(IF((YEAR(D6)+4)&lt;YEAR(E6),0,IF((YEAR(D6)+4)&gt;YEAR(E6),1,(12-MONTH(E6)+1)/12))) + (R6)*(IF((YEAR(D6)+4)&lt;YEAR(E6),0,IF((YEAR(D6)+4)&gt;YEAR(E6),1,(12-MONTH(E6)+1)/12))))-(IF(OR(N6="",N6&lt;=0),0,(O6/N6)*(IF(OR(N6="",N6&lt;=0),0,IF((YEAR(D6)+4)&lt;YEAR(E6),0,IF((YEAR(D6)+4)&gt;=YEAR(E6)+N6,0,IF((YEAR(D6)+4)=YEAR(E6),(12-MONTH(E6)+1)/12,1))))))))*TaxRate,0))-IF(4=0,O6,0))</f>
        <v/>
      </c>
      <c r="X6" s="29">
        <f>IF(A6="","",((K6)*(IF(M6="",L6,IFERROR(IF(INDEX(Variablen!$I:$AT, MATCH(M6, Variablen!$A:$A, 0), MATCH((YEAR(D6)+5), Variablen!$I$3:$AT$3, 0))="",L6,INDEX(Variablen!$I:$AT, MATCH(M6, Variablen!$A:$A, 0), MATCH((YEAR(D6)+5), Variablen!$I$3:$AT$3, 0))),L6)))*(IF((YEAR(D6)+5)&lt;YEAR(E6),0,IF((YEAR(D6)+5)&gt;YEAR(E6),1,(12-MONTH(E6)+1)/12))) + (Q6)*(IF((YEAR(D6)+5)&lt;YEAR(E6),0,IF((YEAR(D6)+5)&gt;YEAR(E6),1,(12-MONTH(E6)+1)/12))))-((P6)*(IF((YEAR(D6)+5)&lt;YEAR(E6),0,IF((YEAR(D6)+5)&gt;YEAR(E6),1,(12-MONTH(E6)+1)/12))) + (R6)*(IF((YEAR(D6)+5)&lt;YEAR(E6),0,IF((YEAR(D6)+5)&gt;YEAR(E6),1,(12-MONTH(E6)+1)/12))))-(IF((((K6)*(IF(M6="",L6,IFERROR(IF(INDEX(Variablen!$I:$AT, MATCH(M6, Variablen!$A:$A, 0), MATCH((YEAR(D6)+5), Variablen!$I$3:$AT$3, 0))="",L6,INDEX(Variablen!$I:$AT, MATCH(M6, Variablen!$A:$A, 0), MATCH((YEAR(D6)+5), Variablen!$I$3:$AT$3, 0))),L6)))*(IF((YEAR(D6)+5)&lt;YEAR(E6),0,IF((YEAR(D6)+5)&gt;YEAR(E6),1,(12-MONTH(E6)+1)/12))) + (Q6)*(IF((YEAR(D6)+5)&lt;YEAR(E6),0,IF((YEAR(D6)+5)&gt;YEAR(E6),1,(12-MONTH(E6)+1)/12))))-((P6)*(IF((YEAR(D6)+5)&lt;YEAR(E6),0,IF((YEAR(D6)+5)&gt;YEAR(E6),1,(12-MONTH(E6)+1)/12))) + (R6)*(IF((YEAR(D6)+5)&lt;YEAR(E6),0,IF((YEAR(D6)+5)&gt;YEAR(E6),1,(12-MONTH(E6)+1)/12))))-(IF(OR(N6="",N6&lt;=0),0,(O6/N6)*(IF(OR(N6="",N6&lt;=0),0,IF((YEAR(D6)+5)&lt;YEAR(E6),0,IF((YEAR(D6)+5)&gt;=YEAR(E6)+N6,0,IF((YEAR(D6)+5)=YEAR(E6),(12-MONTH(E6)+1)/12,1))))))))&gt;0,(((K6)*(IF(M6="",L6,IFERROR(IF(INDEX(Variablen!$I:$AT, MATCH(M6, Variablen!$A:$A, 0), MATCH((YEAR(D6)+5), Variablen!$I$3:$AT$3, 0))="",L6,INDEX(Variablen!$I:$AT, MATCH(M6, Variablen!$A:$A, 0), MATCH((YEAR(D6)+5), Variablen!$I$3:$AT$3, 0))),L6)))*(IF((YEAR(D6)+5)&lt;YEAR(E6),0,IF((YEAR(D6)+5)&gt;YEAR(E6),1,(12-MONTH(E6)+1)/12))) + (Q6)*(IF((YEAR(D6)+5)&lt;YEAR(E6),0,IF((YEAR(D6)+5)&gt;YEAR(E6),1,(12-MONTH(E6)+1)/12))))-((P6)*(IF((YEAR(D6)+5)&lt;YEAR(E6),0,IF((YEAR(D6)+5)&gt;YEAR(E6),1,(12-MONTH(E6)+1)/12))) + (R6)*(IF((YEAR(D6)+5)&lt;YEAR(E6),0,IF((YEAR(D6)+5)&gt;YEAR(E6),1,(12-MONTH(E6)+1)/12))))-(IF(OR(N6="",N6&lt;=0),0,(O6/N6)*(IF(OR(N6="",N6&lt;=0),0,IF((YEAR(D6)+5)&lt;YEAR(E6),0,IF((YEAR(D6)+5)&gt;=YEAR(E6)+N6,0,IF((YEAR(D6)+5)=YEAR(E6),(12-MONTH(E6)+1)/12,1))))))))*TaxRate,0))-IF(5=0,O6,0))</f>
        <v/>
      </c>
      <c r="Y6" s="29">
        <f>IF(A6="","",((K6)*(IF(M6="",L6,IFERROR(IF(INDEX(Variablen!$I:$AT, MATCH(M6, Variablen!$A:$A, 0), MATCH((YEAR(D6)+6), Variablen!$I$3:$AT$3, 0))="",L6,INDEX(Variablen!$I:$AT, MATCH(M6, Variablen!$A:$A, 0), MATCH((YEAR(D6)+6), Variablen!$I$3:$AT$3, 0))),L6)))*(IF((YEAR(D6)+6)&lt;YEAR(E6),0,IF((YEAR(D6)+6)&gt;YEAR(E6),1,(12-MONTH(E6)+1)/12))) + (Q6)*(IF((YEAR(D6)+6)&lt;YEAR(E6),0,IF((YEAR(D6)+6)&gt;YEAR(E6),1,(12-MONTH(E6)+1)/12))))-((P6)*(IF((YEAR(D6)+6)&lt;YEAR(E6),0,IF((YEAR(D6)+6)&gt;YEAR(E6),1,(12-MONTH(E6)+1)/12))) + (R6)*(IF((YEAR(D6)+6)&lt;YEAR(E6),0,IF((YEAR(D6)+6)&gt;YEAR(E6),1,(12-MONTH(E6)+1)/12))))-(IF((((K6)*(IF(M6="",L6,IFERROR(IF(INDEX(Variablen!$I:$AT, MATCH(M6, Variablen!$A:$A, 0), MATCH((YEAR(D6)+6), Variablen!$I$3:$AT$3, 0))="",L6,INDEX(Variablen!$I:$AT, MATCH(M6, Variablen!$A:$A, 0), MATCH((YEAR(D6)+6), Variablen!$I$3:$AT$3, 0))),L6)))*(IF((YEAR(D6)+6)&lt;YEAR(E6),0,IF((YEAR(D6)+6)&gt;YEAR(E6),1,(12-MONTH(E6)+1)/12))) + (Q6)*(IF((YEAR(D6)+6)&lt;YEAR(E6),0,IF((YEAR(D6)+6)&gt;YEAR(E6),1,(12-MONTH(E6)+1)/12))))-((P6)*(IF((YEAR(D6)+6)&lt;YEAR(E6),0,IF((YEAR(D6)+6)&gt;YEAR(E6),1,(12-MONTH(E6)+1)/12))) + (R6)*(IF((YEAR(D6)+6)&lt;YEAR(E6),0,IF((YEAR(D6)+6)&gt;YEAR(E6),1,(12-MONTH(E6)+1)/12))))-(IF(OR(N6="",N6&lt;=0),0,(O6/N6)*(IF(OR(N6="",N6&lt;=0),0,IF((YEAR(D6)+6)&lt;YEAR(E6),0,IF((YEAR(D6)+6)&gt;=YEAR(E6)+N6,0,IF((YEAR(D6)+6)=YEAR(E6),(12-MONTH(E6)+1)/12,1))))))))&gt;0,(((K6)*(IF(M6="",L6,IFERROR(IF(INDEX(Variablen!$I:$AT, MATCH(M6, Variablen!$A:$A, 0), MATCH((YEAR(D6)+6), Variablen!$I$3:$AT$3, 0))="",L6,INDEX(Variablen!$I:$AT, MATCH(M6, Variablen!$A:$A, 0), MATCH((YEAR(D6)+6), Variablen!$I$3:$AT$3, 0))),L6)))*(IF((YEAR(D6)+6)&lt;YEAR(E6),0,IF((YEAR(D6)+6)&gt;YEAR(E6),1,(12-MONTH(E6)+1)/12))) + (Q6)*(IF((YEAR(D6)+6)&lt;YEAR(E6),0,IF((YEAR(D6)+6)&gt;YEAR(E6),1,(12-MONTH(E6)+1)/12))))-((P6)*(IF((YEAR(D6)+6)&lt;YEAR(E6),0,IF((YEAR(D6)+6)&gt;YEAR(E6),1,(12-MONTH(E6)+1)/12))) + (R6)*(IF((YEAR(D6)+6)&lt;YEAR(E6),0,IF((YEAR(D6)+6)&gt;YEAR(E6),1,(12-MONTH(E6)+1)/12))))-(IF(OR(N6="",N6&lt;=0),0,(O6/N6)*(IF(OR(N6="",N6&lt;=0),0,IF((YEAR(D6)+6)&lt;YEAR(E6),0,IF((YEAR(D6)+6)&gt;=YEAR(E6)+N6,0,IF((YEAR(D6)+6)=YEAR(E6),(12-MONTH(E6)+1)/12,1))))))))*TaxRate,0))-IF(6=0,O6,0))</f>
        <v/>
      </c>
      <c r="Z6" s="29">
        <f>IF(A6="","",((K6)*(IF(M6="",L6,IFERROR(IF(INDEX(Variablen!$I:$AT, MATCH(M6, Variablen!$A:$A, 0), MATCH((YEAR(D6)+7), Variablen!$I$3:$AT$3, 0))="",L6,INDEX(Variablen!$I:$AT, MATCH(M6, Variablen!$A:$A, 0), MATCH((YEAR(D6)+7), Variablen!$I$3:$AT$3, 0))),L6)))*(IF((YEAR(D6)+7)&lt;YEAR(E6),0,IF((YEAR(D6)+7)&gt;YEAR(E6),1,(12-MONTH(E6)+1)/12))) + (Q6)*(IF((YEAR(D6)+7)&lt;YEAR(E6),0,IF((YEAR(D6)+7)&gt;YEAR(E6),1,(12-MONTH(E6)+1)/12))))-((P6)*(IF((YEAR(D6)+7)&lt;YEAR(E6),0,IF((YEAR(D6)+7)&gt;YEAR(E6),1,(12-MONTH(E6)+1)/12))) + (R6)*(IF((YEAR(D6)+7)&lt;YEAR(E6),0,IF((YEAR(D6)+7)&gt;YEAR(E6),1,(12-MONTH(E6)+1)/12))))-(IF((((K6)*(IF(M6="",L6,IFERROR(IF(INDEX(Variablen!$I:$AT, MATCH(M6, Variablen!$A:$A, 0), MATCH((YEAR(D6)+7), Variablen!$I$3:$AT$3, 0))="",L6,INDEX(Variablen!$I:$AT, MATCH(M6, Variablen!$A:$A, 0), MATCH((YEAR(D6)+7), Variablen!$I$3:$AT$3, 0))),L6)))*(IF((YEAR(D6)+7)&lt;YEAR(E6),0,IF((YEAR(D6)+7)&gt;YEAR(E6),1,(12-MONTH(E6)+1)/12))) + (Q6)*(IF((YEAR(D6)+7)&lt;YEAR(E6),0,IF((YEAR(D6)+7)&gt;YEAR(E6),1,(12-MONTH(E6)+1)/12))))-((P6)*(IF((YEAR(D6)+7)&lt;YEAR(E6),0,IF((YEAR(D6)+7)&gt;YEAR(E6),1,(12-MONTH(E6)+1)/12))) + (R6)*(IF((YEAR(D6)+7)&lt;YEAR(E6),0,IF((YEAR(D6)+7)&gt;YEAR(E6),1,(12-MONTH(E6)+1)/12))))-(IF(OR(N6="",N6&lt;=0),0,(O6/N6)*(IF(OR(N6="",N6&lt;=0),0,IF((YEAR(D6)+7)&lt;YEAR(E6),0,IF((YEAR(D6)+7)&gt;=YEAR(E6)+N6,0,IF((YEAR(D6)+7)=YEAR(E6),(12-MONTH(E6)+1)/12,1))))))))&gt;0,(((K6)*(IF(M6="",L6,IFERROR(IF(INDEX(Variablen!$I:$AT, MATCH(M6, Variablen!$A:$A, 0), MATCH((YEAR(D6)+7), Variablen!$I$3:$AT$3, 0))="",L6,INDEX(Variablen!$I:$AT, MATCH(M6, Variablen!$A:$A, 0), MATCH((YEAR(D6)+7), Variablen!$I$3:$AT$3, 0))),L6)))*(IF((YEAR(D6)+7)&lt;YEAR(E6),0,IF((YEAR(D6)+7)&gt;YEAR(E6),1,(12-MONTH(E6)+1)/12))) + (Q6)*(IF((YEAR(D6)+7)&lt;YEAR(E6),0,IF((YEAR(D6)+7)&gt;YEAR(E6),1,(12-MONTH(E6)+1)/12))))-((P6)*(IF((YEAR(D6)+7)&lt;YEAR(E6),0,IF((YEAR(D6)+7)&gt;YEAR(E6),1,(12-MONTH(E6)+1)/12))) + (R6)*(IF((YEAR(D6)+7)&lt;YEAR(E6),0,IF((YEAR(D6)+7)&gt;YEAR(E6),1,(12-MONTH(E6)+1)/12))))-(IF(OR(N6="",N6&lt;=0),0,(O6/N6)*(IF(OR(N6="",N6&lt;=0),0,IF((YEAR(D6)+7)&lt;YEAR(E6),0,IF((YEAR(D6)+7)&gt;=YEAR(E6)+N6,0,IF((YEAR(D6)+7)=YEAR(E6),(12-MONTH(E6)+1)/12,1))))))))*TaxRate,0))-IF(7=0,O6,0))</f>
        <v/>
      </c>
      <c r="AA6" s="29">
        <f>IF(A6="","",((K6)*(IF(M6="",L6,IFERROR(IF(INDEX(Variablen!$I:$AT, MATCH(M6, Variablen!$A:$A, 0), MATCH((YEAR(D6)+8), Variablen!$I$3:$AT$3, 0))="",L6,INDEX(Variablen!$I:$AT, MATCH(M6, Variablen!$A:$A, 0), MATCH((YEAR(D6)+8), Variablen!$I$3:$AT$3, 0))),L6)))*(IF((YEAR(D6)+8)&lt;YEAR(E6),0,IF((YEAR(D6)+8)&gt;YEAR(E6),1,(12-MONTH(E6)+1)/12))) + (Q6)*(IF((YEAR(D6)+8)&lt;YEAR(E6),0,IF((YEAR(D6)+8)&gt;YEAR(E6),1,(12-MONTH(E6)+1)/12))))-((P6)*(IF((YEAR(D6)+8)&lt;YEAR(E6),0,IF((YEAR(D6)+8)&gt;YEAR(E6),1,(12-MONTH(E6)+1)/12))) + (R6)*(IF((YEAR(D6)+8)&lt;YEAR(E6),0,IF((YEAR(D6)+8)&gt;YEAR(E6),1,(12-MONTH(E6)+1)/12))))-(IF((((K6)*(IF(M6="",L6,IFERROR(IF(INDEX(Variablen!$I:$AT, MATCH(M6, Variablen!$A:$A, 0), MATCH((YEAR(D6)+8), Variablen!$I$3:$AT$3, 0))="",L6,INDEX(Variablen!$I:$AT, MATCH(M6, Variablen!$A:$A, 0), MATCH((YEAR(D6)+8), Variablen!$I$3:$AT$3, 0))),L6)))*(IF((YEAR(D6)+8)&lt;YEAR(E6),0,IF((YEAR(D6)+8)&gt;YEAR(E6),1,(12-MONTH(E6)+1)/12))) + (Q6)*(IF((YEAR(D6)+8)&lt;YEAR(E6),0,IF((YEAR(D6)+8)&gt;YEAR(E6),1,(12-MONTH(E6)+1)/12))))-((P6)*(IF((YEAR(D6)+8)&lt;YEAR(E6),0,IF((YEAR(D6)+8)&gt;YEAR(E6),1,(12-MONTH(E6)+1)/12))) + (R6)*(IF((YEAR(D6)+8)&lt;YEAR(E6),0,IF((YEAR(D6)+8)&gt;YEAR(E6),1,(12-MONTH(E6)+1)/12))))-(IF(OR(N6="",N6&lt;=0),0,(O6/N6)*(IF(OR(N6="",N6&lt;=0),0,IF((YEAR(D6)+8)&lt;YEAR(E6),0,IF((YEAR(D6)+8)&gt;=YEAR(E6)+N6,0,IF((YEAR(D6)+8)=YEAR(E6),(12-MONTH(E6)+1)/12,1))))))))&gt;0,(((K6)*(IF(M6="",L6,IFERROR(IF(INDEX(Variablen!$I:$AT, MATCH(M6, Variablen!$A:$A, 0), MATCH((YEAR(D6)+8), Variablen!$I$3:$AT$3, 0))="",L6,INDEX(Variablen!$I:$AT, MATCH(M6, Variablen!$A:$A, 0), MATCH((YEAR(D6)+8), Variablen!$I$3:$AT$3, 0))),L6)))*(IF((YEAR(D6)+8)&lt;YEAR(E6),0,IF((YEAR(D6)+8)&gt;YEAR(E6),1,(12-MONTH(E6)+1)/12))) + (Q6)*(IF((YEAR(D6)+8)&lt;YEAR(E6),0,IF((YEAR(D6)+8)&gt;YEAR(E6),1,(12-MONTH(E6)+1)/12))))-((P6)*(IF((YEAR(D6)+8)&lt;YEAR(E6),0,IF((YEAR(D6)+8)&gt;YEAR(E6),1,(12-MONTH(E6)+1)/12))) + (R6)*(IF((YEAR(D6)+8)&lt;YEAR(E6),0,IF((YEAR(D6)+8)&gt;YEAR(E6),1,(12-MONTH(E6)+1)/12))))-(IF(OR(N6="",N6&lt;=0),0,(O6/N6)*(IF(OR(N6="",N6&lt;=0),0,IF((YEAR(D6)+8)&lt;YEAR(E6),0,IF((YEAR(D6)+8)&gt;=YEAR(E6)+N6,0,IF((YEAR(D6)+8)=YEAR(E6),(12-MONTH(E6)+1)/12,1))))))))*TaxRate,0))-IF(8=0,O6,0))</f>
        <v/>
      </c>
      <c r="AB6" s="29">
        <f>IF(A6="","",((K6)*(IF(M6="",L6,IFERROR(IF(INDEX(Variablen!$I:$AT, MATCH(M6, Variablen!$A:$A, 0), MATCH((YEAR(D6)+9), Variablen!$I$3:$AT$3, 0))="",L6,INDEX(Variablen!$I:$AT, MATCH(M6, Variablen!$A:$A, 0), MATCH((YEAR(D6)+9), Variablen!$I$3:$AT$3, 0))),L6)))*(IF((YEAR(D6)+9)&lt;YEAR(E6),0,IF((YEAR(D6)+9)&gt;YEAR(E6),1,(12-MONTH(E6)+1)/12))) + (Q6)*(IF((YEAR(D6)+9)&lt;YEAR(E6),0,IF((YEAR(D6)+9)&gt;YEAR(E6),1,(12-MONTH(E6)+1)/12))))-((P6)*(IF((YEAR(D6)+9)&lt;YEAR(E6),0,IF((YEAR(D6)+9)&gt;YEAR(E6),1,(12-MONTH(E6)+1)/12))) + (R6)*(IF((YEAR(D6)+9)&lt;YEAR(E6),0,IF((YEAR(D6)+9)&gt;YEAR(E6),1,(12-MONTH(E6)+1)/12))))-(IF((((K6)*(IF(M6="",L6,IFERROR(IF(INDEX(Variablen!$I:$AT, MATCH(M6, Variablen!$A:$A, 0), MATCH((YEAR(D6)+9), Variablen!$I$3:$AT$3, 0))="",L6,INDEX(Variablen!$I:$AT, MATCH(M6, Variablen!$A:$A, 0), MATCH((YEAR(D6)+9), Variablen!$I$3:$AT$3, 0))),L6)))*(IF((YEAR(D6)+9)&lt;YEAR(E6),0,IF((YEAR(D6)+9)&gt;YEAR(E6),1,(12-MONTH(E6)+1)/12))) + (Q6)*(IF((YEAR(D6)+9)&lt;YEAR(E6),0,IF((YEAR(D6)+9)&gt;YEAR(E6),1,(12-MONTH(E6)+1)/12))))-((P6)*(IF((YEAR(D6)+9)&lt;YEAR(E6),0,IF((YEAR(D6)+9)&gt;YEAR(E6),1,(12-MONTH(E6)+1)/12))) + (R6)*(IF((YEAR(D6)+9)&lt;YEAR(E6),0,IF((YEAR(D6)+9)&gt;YEAR(E6),1,(12-MONTH(E6)+1)/12))))-(IF(OR(N6="",N6&lt;=0),0,(O6/N6)*(IF(OR(N6="",N6&lt;=0),0,IF((YEAR(D6)+9)&lt;YEAR(E6),0,IF((YEAR(D6)+9)&gt;=YEAR(E6)+N6,0,IF((YEAR(D6)+9)=YEAR(E6),(12-MONTH(E6)+1)/12,1))))))))&gt;0,(((K6)*(IF(M6="",L6,IFERROR(IF(INDEX(Variablen!$I:$AT, MATCH(M6, Variablen!$A:$A, 0), MATCH((YEAR(D6)+9), Variablen!$I$3:$AT$3, 0))="",L6,INDEX(Variablen!$I:$AT, MATCH(M6, Variablen!$A:$A, 0), MATCH((YEAR(D6)+9), Variablen!$I$3:$AT$3, 0))),L6)))*(IF((YEAR(D6)+9)&lt;YEAR(E6),0,IF((YEAR(D6)+9)&gt;YEAR(E6),1,(12-MONTH(E6)+1)/12))) + (Q6)*(IF((YEAR(D6)+9)&lt;YEAR(E6),0,IF((YEAR(D6)+9)&gt;YEAR(E6),1,(12-MONTH(E6)+1)/12))))-((P6)*(IF((YEAR(D6)+9)&lt;YEAR(E6),0,IF((YEAR(D6)+9)&gt;YEAR(E6),1,(12-MONTH(E6)+1)/12))) + (R6)*(IF((YEAR(D6)+9)&lt;YEAR(E6),0,IF((YEAR(D6)+9)&gt;YEAR(E6),1,(12-MONTH(E6)+1)/12))))-(IF(OR(N6="",N6&lt;=0),0,(O6/N6)*(IF(OR(N6="",N6&lt;=0),0,IF((YEAR(D6)+9)&lt;YEAR(E6),0,IF((YEAR(D6)+9)&gt;=YEAR(E6)+N6,0,IF((YEAR(D6)+9)=YEAR(E6),(12-MONTH(E6)+1)/12,1))))))))*TaxRate,0))-IF(9=0,O6,0))</f>
        <v/>
      </c>
      <c r="AC6" s="29">
        <f>IF(A6="","",((K6)*(IF(M6="",L6,IFERROR(IF(INDEX(Variablen!$I:$AT, MATCH(M6, Variablen!$A:$A, 0), MATCH((YEAR(D6)+10), Variablen!$I$3:$AT$3, 0))="",L6,INDEX(Variablen!$I:$AT, MATCH(M6, Variablen!$A:$A, 0), MATCH((YEAR(D6)+10), Variablen!$I$3:$AT$3, 0))),L6)))*(IF((YEAR(D6)+10)&lt;YEAR(E6),0,IF((YEAR(D6)+10)&gt;YEAR(E6),1,(12-MONTH(E6)+1)/12))) + (Q6)*(IF((YEAR(D6)+10)&lt;YEAR(E6),0,IF((YEAR(D6)+10)&gt;YEAR(E6),1,(12-MONTH(E6)+1)/12))))-((P6)*(IF((YEAR(D6)+10)&lt;YEAR(E6),0,IF((YEAR(D6)+10)&gt;YEAR(E6),1,(12-MONTH(E6)+1)/12))) + (R6)*(IF((YEAR(D6)+10)&lt;YEAR(E6),0,IF((YEAR(D6)+10)&gt;YEAR(E6),1,(12-MONTH(E6)+1)/12))))-(IF((((K6)*(IF(M6="",L6,IFERROR(IF(INDEX(Variablen!$I:$AT, MATCH(M6, Variablen!$A:$A, 0), MATCH((YEAR(D6)+10), Variablen!$I$3:$AT$3, 0))="",L6,INDEX(Variablen!$I:$AT, MATCH(M6, Variablen!$A:$A, 0), MATCH((YEAR(D6)+10), Variablen!$I$3:$AT$3, 0))),L6)))*(IF((YEAR(D6)+10)&lt;YEAR(E6),0,IF((YEAR(D6)+10)&gt;YEAR(E6),1,(12-MONTH(E6)+1)/12))) + (Q6)*(IF((YEAR(D6)+10)&lt;YEAR(E6),0,IF((YEAR(D6)+10)&gt;YEAR(E6),1,(12-MONTH(E6)+1)/12))))-((P6)*(IF((YEAR(D6)+10)&lt;YEAR(E6),0,IF((YEAR(D6)+10)&gt;YEAR(E6),1,(12-MONTH(E6)+1)/12))) + (R6)*(IF((YEAR(D6)+10)&lt;YEAR(E6),0,IF((YEAR(D6)+10)&gt;YEAR(E6),1,(12-MONTH(E6)+1)/12))))-(IF(OR(N6="",N6&lt;=0),0,(O6/N6)*(IF(OR(N6="",N6&lt;=0),0,IF((YEAR(D6)+10)&lt;YEAR(E6),0,IF((YEAR(D6)+10)&gt;=YEAR(E6)+N6,0,IF((YEAR(D6)+10)=YEAR(E6),(12-MONTH(E6)+1)/12,1))))))))&gt;0,(((K6)*(IF(M6="",L6,IFERROR(IF(INDEX(Variablen!$I:$AT, MATCH(M6, Variablen!$A:$A, 0), MATCH((YEAR(D6)+10), Variablen!$I$3:$AT$3, 0))="",L6,INDEX(Variablen!$I:$AT, MATCH(M6, Variablen!$A:$A, 0), MATCH((YEAR(D6)+10), Variablen!$I$3:$AT$3, 0))),L6)))*(IF((YEAR(D6)+10)&lt;YEAR(E6),0,IF((YEAR(D6)+10)&gt;YEAR(E6),1,(12-MONTH(E6)+1)/12))) + (Q6)*(IF((YEAR(D6)+10)&lt;YEAR(E6),0,IF((YEAR(D6)+10)&gt;YEAR(E6),1,(12-MONTH(E6)+1)/12))))-((P6)*(IF((YEAR(D6)+10)&lt;YEAR(E6),0,IF((YEAR(D6)+10)&gt;YEAR(E6),1,(12-MONTH(E6)+1)/12))) + (R6)*(IF((YEAR(D6)+10)&lt;YEAR(E6),0,IF((YEAR(D6)+10)&gt;YEAR(E6),1,(12-MONTH(E6)+1)/12))))-(IF(OR(N6="",N6&lt;=0),0,(O6/N6)*(IF(OR(N6="",N6&lt;=0),0,IF((YEAR(D6)+10)&lt;YEAR(E6),0,IF((YEAR(D6)+10)&gt;=YEAR(E6)+N6,0,IF((YEAR(D6)+10)=YEAR(E6),(12-MONTH(E6)+1)/12,1))))))))*TaxRate,0))-IF(10=0,O6,0))</f>
        <v/>
      </c>
      <c r="AD6" s="29">
        <f>IF(A6="","",((K6)*(IF(M6="",L6,IFERROR(IF(INDEX(Variablen!$I:$AT, MATCH(M6, Variablen!$A:$A, 0), MATCH((YEAR(D6)+11), Variablen!$I$3:$AT$3, 0))="",L6,INDEX(Variablen!$I:$AT, MATCH(M6, Variablen!$A:$A, 0), MATCH((YEAR(D6)+11), Variablen!$I$3:$AT$3, 0))),L6)))*(IF((YEAR(D6)+11)&lt;YEAR(E6),0,IF((YEAR(D6)+11)&gt;YEAR(E6),1,(12-MONTH(E6)+1)/12))) + (Q6)*(IF((YEAR(D6)+11)&lt;YEAR(E6),0,IF((YEAR(D6)+11)&gt;YEAR(E6),1,(12-MONTH(E6)+1)/12))))-((P6)*(IF((YEAR(D6)+11)&lt;YEAR(E6),0,IF((YEAR(D6)+11)&gt;YEAR(E6),1,(12-MONTH(E6)+1)/12))) + (R6)*(IF((YEAR(D6)+11)&lt;YEAR(E6),0,IF((YEAR(D6)+11)&gt;YEAR(E6),1,(12-MONTH(E6)+1)/12))))-(IF((((K6)*(IF(M6="",L6,IFERROR(IF(INDEX(Variablen!$I:$AT, MATCH(M6, Variablen!$A:$A, 0), MATCH((YEAR(D6)+11), Variablen!$I$3:$AT$3, 0))="",L6,INDEX(Variablen!$I:$AT, MATCH(M6, Variablen!$A:$A, 0), MATCH((YEAR(D6)+11), Variablen!$I$3:$AT$3, 0))),L6)))*(IF((YEAR(D6)+11)&lt;YEAR(E6),0,IF((YEAR(D6)+11)&gt;YEAR(E6),1,(12-MONTH(E6)+1)/12))) + (Q6)*(IF((YEAR(D6)+11)&lt;YEAR(E6),0,IF((YEAR(D6)+11)&gt;YEAR(E6),1,(12-MONTH(E6)+1)/12))))-((P6)*(IF((YEAR(D6)+11)&lt;YEAR(E6),0,IF((YEAR(D6)+11)&gt;YEAR(E6),1,(12-MONTH(E6)+1)/12))) + (R6)*(IF((YEAR(D6)+11)&lt;YEAR(E6),0,IF((YEAR(D6)+11)&gt;YEAR(E6),1,(12-MONTH(E6)+1)/12))))-(IF(OR(N6="",N6&lt;=0),0,(O6/N6)*(IF(OR(N6="",N6&lt;=0),0,IF((YEAR(D6)+11)&lt;YEAR(E6),0,IF((YEAR(D6)+11)&gt;=YEAR(E6)+N6,0,IF((YEAR(D6)+11)=YEAR(E6),(12-MONTH(E6)+1)/12,1))))))))&gt;0,(((K6)*(IF(M6="",L6,IFERROR(IF(INDEX(Variablen!$I:$AT, MATCH(M6, Variablen!$A:$A, 0), MATCH((YEAR(D6)+11), Variablen!$I$3:$AT$3, 0))="",L6,INDEX(Variablen!$I:$AT, MATCH(M6, Variablen!$A:$A, 0), MATCH((YEAR(D6)+11), Variablen!$I$3:$AT$3, 0))),L6)))*(IF((YEAR(D6)+11)&lt;YEAR(E6),0,IF((YEAR(D6)+11)&gt;YEAR(E6),1,(12-MONTH(E6)+1)/12))) + (Q6)*(IF((YEAR(D6)+11)&lt;YEAR(E6),0,IF((YEAR(D6)+11)&gt;YEAR(E6),1,(12-MONTH(E6)+1)/12))))-((P6)*(IF((YEAR(D6)+11)&lt;YEAR(E6),0,IF((YEAR(D6)+11)&gt;YEAR(E6),1,(12-MONTH(E6)+1)/12))) + (R6)*(IF((YEAR(D6)+11)&lt;YEAR(E6),0,IF((YEAR(D6)+11)&gt;YEAR(E6),1,(12-MONTH(E6)+1)/12))))-(IF(OR(N6="",N6&lt;=0),0,(O6/N6)*(IF(OR(N6="",N6&lt;=0),0,IF((YEAR(D6)+11)&lt;YEAR(E6),0,IF((YEAR(D6)+11)&gt;=YEAR(E6)+N6,0,IF((YEAR(D6)+11)=YEAR(E6),(12-MONTH(E6)+1)/12,1))))))))*TaxRate,0))-IF(11=0,O6,0))</f>
        <v/>
      </c>
      <c r="AE6" s="29">
        <f>IF(A6="","",((K6)*(IF(M6="",L6,IFERROR(IF(INDEX(Variablen!$I:$AT, MATCH(M6, Variablen!$A:$A, 0), MATCH((YEAR(D6)+12), Variablen!$I$3:$AT$3, 0))="",L6,INDEX(Variablen!$I:$AT, MATCH(M6, Variablen!$A:$A, 0), MATCH((YEAR(D6)+12), Variablen!$I$3:$AT$3, 0))),L6)))*(IF((YEAR(D6)+12)&lt;YEAR(E6),0,IF((YEAR(D6)+12)&gt;YEAR(E6),1,(12-MONTH(E6)+1)/12))) + (Q6)*(IF((YEAR(D6)+12)&lt;YEAR(E6),0,IF((YEAR(D6)+12)&gt;YEAR(E6),1,(12-MONTH(E6)+1)/12))))-((P6)*(IF((YEAR(D6)+12)&lt;YEAR(E6),0,IF((YEAR(D6)+12)&gt;YEAR(E6),1,(12-MONTH(E6)+1)/12))) + (R6)*(IF((YEAR(D6)+12)&lt;YEAR(E6),0,IF((YEAR(D6)+12)&gt;YEAR(E6),1,(12-MONTH(E6)+1)/12))))-(IF((((K6)*(IF(M6="",L6,IFERROR(IF(INDEX(Variablen!$I:$AT, MATCH(M6, Variablen!$A:$A, 0), MATCH((YEAR(D6)+12), Variablen!$I$3:$AT$3, 0))="",L6,INDEX(Variablen!$I:$AT, MATCH(M6, Variablen!$A:$A, 0), MATCH((YEAR(D6)+12), Variablen!$I$3:$AT$3, 0))),L6)))*(IF((YEAR(D6)+12)&lt;YEAR(E6),0,IF((YEAR(D6)+12)&gt;YEAR(E6),1,(12-MONTH(E6)+1)/12))) + (Q6)*(IF((YEAR(D6)+12)&lt;YEAR(E6),0,IF((YEAR(D6)+12)&gt;YEAR(E6),1,(12-MONTH(E6)+1)/12))))-((P6)*(IF((YEAR(D6)+12)&lt;YEAR(E6),0,IF((YEAR(D6)+12)&gt;YEAR(E6),1,(12-MONTH(E6)+1)/12))) + (R6)*(IF((YEAR(D6)+12)&lt;YEAR(E6),0,IF((YEAR(D6)+12)&gt;YEAR(E6),1,(12-MONTH(E6)+1)/12))))-(IF(OR(N6="",N6&lt;=0),0,(O6/N6)*(IF(OR(N6="",N6&lt;=0),0,IF((YEAR(D6)+12)&lt;YEAR(E6),0,IF((YEAR(D6)+12)&gt;=YEAR(E6)+N6,0,IF((YEAR(D6)+12)=YEAR(E6),(12-MONTH(E6)+1)/12,1))))))))&gt;0,(((K6)*(IF(M6="",L6,IFERROR(IF(INDEX(Variablen!$I:$AT, MATCH(M6, Variablen!$A:$A, 0), MATCH((YEAR(D6)+12), Variablen!$I$3:$AT$3, 0))="",L6,INDEX(Variablen!$I:$AT, MATCH(M6, Variablen!$A:$A, 0), MATCH((YEAR(D6)+12), Variablen!$I$3:$AT$3, 0))),L6)))*(IF((YEAR(D6)+12)&lt;YEAR(E6),0,IF((YEAR(D6)+12)&gt;YEAR(E6),1,(12-MONTH(E6)+1)/12))) + (Q6)*(IF((YEAR(D6)+12)&lt;YEAR(E6),0,IF((YEAR(D6)+12)&gt;YEAR(E6),1,(12-MONTH(E6)+1)/12))))-((P6)*(IF((YEAR(D6)+12)&lt;YEAR(E6),0,IF((YEAR(D6)+12)&gt;YEAR(E6),1,(12-MONTH(E6)+1)/12))) + (R6)*(IF((YEAR(D6)+12)&lt;YEAR(E6),0,IF((YEAR(D6)+12)&gt;YEAR(E6),1,(12-MONTH(E6)+1)/12))))-(IF(OR(N6="",N6&lt;=0),0,(O6/N6)*(IF(OR(N6="",N6&lt;=0),0,IF((YEAR(D6)+12)&lt;YEAR(E6),0,IF((YEAR(D6)+12)&gt;=YEAR(E6)+N6,0,IF((YEAR(D6)+12)=YEAR(E6),(12-MONTH(E6)+1)/12,1))))))))*TaxRate,0))-IF(12=0,O6,0))</f>
        <v/>
      </c>
      <c r="AF6" s="29">
        <f>IF(A6="","",((K6)*(IF(M6="",L6,IFERROR(IF(INDEX(Variablen!$I:$AT, MATCH(M6, Variablen!$A:$A, 0), MATCH((YEAR(D6)+13), Variablen!$I$3:$AT$3, 0))="",L6,INDEX(Variablen!$I:$AT, MATCH(M6, Variablen!$A:$A, 0), MATCH((YEAR(D6)+13), Variablen!$I$3:$AT$3, 0))),L6)))*(IF((YEAR(D6)+13)&lt;YEAR(E6),0,IF((YEAR(D6)+13)&gt;YEAR(E6),1,(12-MONTH(E6)+1)/12))) + (Q6)*(IF((YEAR(D6)+13)&lt;YEAR(E6),0,IF((YEAR(D6)+13)&gt;YEAR(E6),1,(12-MONTH(E6)+1)/12))))-((P6)*(IF((YEAR(D6)+13)&lt;YEAR(E6),0,IF((YEAR(D6)+13)&gt;YEAR(E6),1,(12-MONTH(E6)+1)/12))) + (R6)*(IF((YEAR(D6)+13)&lt;YEAR(E6),0,IF((YEAR(D6)+13)&gt;YEAR(E6),1,(12-MONTH(E6)+1)/12))))-(IF((((K6)*(IF(M6="",L6,IFERROR(IF(INDEX(Variablen!$I:$AT, MATCH(M6, Variablen!$A:$A, 0), MATCH((YEAR(D6)+13), Variablen!$I$3:$AT$3, 0))="",L6,INDEX(Variablen!$I:$AT, MATCH(M6, Variablen!$A:$A, 0), MATCH((YEAR(D6)+13), Variablen!$I$3:$AT$3, 0))),L6)))*(IF((YEAR(D6)+13)&lt;YEAR(E6),0,IF((YEAR(D6)+13)&gt;YEAR(E6),1,(12-MONTH(E6)+1)/12))) + (Q6)*(IF((YEAR(D6)+13)&lt;YEAR(E6),0,IF((YEAR(D6)+13)&gt;YEAR(E6),1,(12-MONTH(E6)+1)/12))))-((P6)*(IF((YEAR(D6)+13)&lt;YEAR(E6),0,IF((YEAR(D6)+13)&gt;YEAR(E6),1,(12-MONTH(E6)+1)/12))) + (R6)*(IF((YEAR(D6)+13)&lt;YEAR(E6),0,IF((YEAR(D6)+13)&gt;YEAR(E6),1,(12-MONTH(E6)+1)/12))))-(IF(OR(N6="",N6&lt;=0),0,(O6/N6)*(IF(OR(N6="",N6&lt;=0),0,IF((YEAR(D6)+13)&lt;YEAR(E6),0,IF((YEAR(D6)+13)&gt;=YEAR(E6)+N6,0,IF((YEAR(D6)+13)=YEAR(E6),(12-MONTH(E6)+1)/12,1))))))))&gt;0,(((K6)*(IF(M6="",L6,IFERROR(IF(INDEX(Variablen!$I:$AT, MATCH(M6, Variablen!$A:$A, 0), MATCH((YEAR(D6)+13), Variablen!$I$3:$AT$3, 0))="",L6,INDEX(Variablen!$I:$AT, MATCH(M6, Variablen!$A:$A, 0), MATCH((YEAR(D6)+13), Variablen!$I$3:$AT$3, 0))),L6)))*(IF((YEAR(D6)+13)&lt;YEAR(E6),0,IF((YEAR(D6)+13)&gt;YEAR(E6),1,(12-MONTH(E6)+1)/12))) + (Q6)*(IF((YEAR(D6)+13)&lt;YEAR(E6),0,IF((YEAR(D6)+13)&gt;YEAR(E6),1,(12-MONTH(E6)+1)/12))))-((P6)*(IF((YEAR(D6)+13)&lt;YEAR(E6),0,IF((YEAR(D6)+13)&gt;YEAR(E6),1,(12-MONTH(E6)+1)/12))) + (R6)*(IF((YEAR(D6)+13)&lt;YEAR(E6),0,IF((YEAR(D6)+13)&gt;YEAR(E6),1,(12-MONTH(E6)+1)/12))))-(IF(OR(N6="",N6&lt;=0),0,(O6/N6)*(IF(OR(N6="",N6&lt;=0),0,IF((YEAR(D6)+13)&lt;YEAR(E6),0,IF((YEAR(D6)+13)&gt;=YEAR(E6)+N6,0,IF((YEAR(D6)+13)=YEAR(E6),(12-MONTH(E6)+1)/12,1))))))))*TaxRate,0))-IF(13=0,O6,0))</f>
        <v/>
      </c>
      <c r="AG6" s="29">
        <f>IF(A6="","",((K6)*(IF(M6="",L6,IFERROR(IF(INDEX(Variablen!$I:$AT, MATCH(M6, Variablen!$A:$A, 0), MATCH((YEAR(D6)+14), Variablen!$I$3:$AT$3, 0))="",L6,INDEX(Variablen!$I:$AT, MATCH(M6, Variablen!$A:$A, 0), MATCH((YEAR(D6)+14), Variablen!$I$3:$AT$3, 0))),L6)))*(IF((YEAR(D6)+14)&lt;YEAR(E6),0,IF((YEAR(D6)+14)&gt;YEAR(E6),1,(12-MONTH(E6)+1)/12))) + (Q6)*(IF((YEAR(D6)+14)&lt;YEAR(E6),0,IF((YEAR(D6)+14)&gt;YEAR(E6),1,(12-MONTH(E6)+1)/12))))-((P6)*(IF((YEAR(D6)+14)&lt;YEAR(E6),0,IF((YEAR(D6)+14)&gt;YEAR(E6),1,(12-MONTH(E6)+1)/12))) + (R6)*(IF((YEAR(D6)+14)&lt;YEAR(E6),0,IF((YEAR(D6)+14)&gt;YEAR(E6),1,(12-MONTH(E6)+1)/12))))-(IF((((K6)*(IF(M6="",L6,IFERROR(IF(INDEX(Variablen!$I:$AT, MATCH(M6, Variablen!$A:$A, 0), MATCH((YEAR(D6)+14), Variablen!$I$3:$AT$3, 0))="",L6,INDEX(Variablen!$I:$AT, MATCH(M6, Variablen!$A:$A, 0), MATCH((YEAR(D6)+14), Variablen!$I$3:$AT$3, 0))),L6)))*(IF((YEAR(D6)+14)&lt;YEAR(E6),0,IF((YEAR(D6)+14)&gt;YEAR(E6),1,(12-MONTH(E6)+1)/12))) + (Q6)*(IF((YEAR(D6)+14)&lt;YEAR(E6),0,IF((YEAR(D6)+14)&gt;YEAR(E6),1,(12-MONTH(E6)+1)/12))))-((P6)*(IF((YEAR(D6)+14)&lt;YEAR(E6),0,IF((YEAR(D6)+14)&gt;YEAR(E6),1,(12-MONTH(E6)+1)/12))) + (R6)*(IF((YEAR(D6)+14)&lt;YEAR(E6),0,IF((YEAR(D6)+14)&gt;YEAR(E6),1,(12-MONTH(E6)+1)/12))))-(IF(OR(N6="",N6&lt;=0),0,(O6/N6)*(IF(OR(N6="",N6&lt;=0),0,IF((YEAR(D6)+14)&lt;YEAR(E6),0,IF((YEAR(D6)+14)&gt;=YEAR(E6)+N6,0,IF((YEAR(D6)+14)=YEAR(E6),(12-MONTH(E6)+1)/12,1))))))))&gt;0,(((K6)*(IF(M6="",L6,IFERROR(IF(INDEX(Variablen!$I:$AT, MATCH(M6, Variablen!$A:$A, 0), MATCH((YEAR(D6)+14), Variablen!$I$3:$AT$3, 0))="",L6,INDEX(Variablen!$I:$AT, MATCH(M6, Variablen!$A:$A, 0), MATCH((YEAR(D6)+14), Variablen!$I$3:$AT$3, 0))),L6)))*(IF((YEAR(D6)+14)&lt;YEAR(E6),0,IF((YEAR(D6)+14)&gt;YEAR(E6),1,(12-MONTH(E6)+1)/12))) + (Q6)*(IF((YEAR(D6)+14)&lt;YEAR(E6),0,IF((YEAR(D6)+14)&gt;YEAR(E6),1,(12-MONTH(E6)+1)/12))))-((P6)*(IF((YEAR(D6)+14)&lt;YEAR(E6),0,IF((YEAR(D6)+14)&gt;YEAR(E6),1,(12-MONTH(E6)+1)/12))) + (R6)*(IF((YEAR(D6)+14)&lt;YEAR(E6),0,IF((YEAR(D6)+14)&gt;YEAR(E6),1,(12-MONTH(E6)+1)/12))))-(IF(OR(N6="",N6&lt;=0),0,(O6/N6)*(IF(OR(N6="",N6&lt;=0),0,IF((YEAR(D6)+14)&lt;YEAR(E6),0,IF((YEAR(D6)+14)&gt;=YEAR(E6)+N6,0,IF((YEAR(D6)+14)=YEAR(E6),(12-MONTH(E6)+1)/12,1))))))))*TaxRate,0))-IF(14=0,O6,0))</f>
        <v/>
      </c>
      <c r="AH6" s="29">
        <f>IF(A6="","",((K6)*(IF(M6="",L6,IFERROR(IF(INDEX(Variablen!$I:$AT, MATCH(M6, Variablen!$A:$A, 0), MATCH((YEAR(D6)+15), Variablen!$I$3:$AT$3, 0))="",L6,INDEX(Variablen!$I:$AT, MATCH(M6, Variablen!$A:$A, 0), MATCH((YEAR(D6)+15), Variablen!$I$3:$AT$3, 0))),L6)))*(IF((YEAR(D6)+15)&lt;YEAR(E6),0,IF((YEAR(D6)+15)&gt;YEAR(E6),1,(12-MONTH(E6)+1)/12))) + (Q6)*(IF((YEAR(D6)+15)&lt;YEAR(E6),0,IF((YEAR(D6)+15)&gt;YEAR(E6),1,(12-MONTH(E6)+1)/12))))-((P6)*(IF((YEAR(D6)+15)&lt;YEAR(E6),0,IF((YEAR(D6)+15)&gt;YEAR(E6),1,(12-MONTH(E6)+1)/12))) + (R6)*(IF((YEAR(D6)+15)&lt;YEAR(E6),0,IF((YEAR(D6)+15)&gt;YEAR(E6),1,(12-MONTH(E6)+1)/12))))-(IF((((K6)*(IF(M6="",L6,IFERROR(IF(INDEX(Variablen!$I:$AT, MATCH(M6, Variablen!$A:$A, 0), MATCH((YEAR(D6)+15), Variablen!$I$3:$AT$3, 0))="",L6,INDEX(Variablen!$I:$AT, MATCH(M6, Variablen!$A:$A, 0), MATCH((YEAR(D6)+15), Variablen!$I$3:$AT$3, 0))),L6)))*(IF((YEAR(D6)+15)&lt;YEAR(E6),0,IF((YEAR(D6)+15)&gt;YEAR(E6),1,(12-MONTH(E6)+1)/12))) + (Q6)*(IF((YEAR(D6)+15)&lt;YEAR(E6),0,IF((YEAR(D6)+15)&gt;YEAR(E6),1,(12-MONTH(E6)+1)/12))))-((P6)*(IF((YEAR(D6)+15)&lt;YEAR(E6),0,IF((YEAR(D6)+15)&gt;YEAR(E6),1,(12-MONTH(E6)+1)/12))) + (R6)*(IF((YEAR(D6)+15)&lt;YEAR(E6),0,IF((YEAR(D6)+15)&gt;YEAR(E6),1,(12-MONTH(E6)+1)/12))))-(IF(OR(N6="",N6&lt;=0),0,(O6/N6)*(IF(OR(N6="",N6&lt;=0),0,IF((YEAR(D6)+15)&lt;YEAR(E6),0,IF((YEAR(D6)+15)&gt;=YEAR(E6)+N6,0,IF((YEAR(D6)+15)=YEAR(E6),(12-MONTH(E6)+1)/12,1))))))))&gt;0,(((K6)*(IF(M6="",L6,IFERROR(IF(INDEX(Variablen!$I:$AT, MATCH(M6, Variablen!$A:$A, 0), MATCH((YEAR(D6)+15), Variablen!$I$3:$AT$3, 0))="",L6,INDEX(Variablen!$I:$AT, MATCH(M6, Variablen!$A:$A, 0), MATCH((YEAR(D6)+15), Variablen!$I$3:$AT$3, 0))),L6)))*(IF((YEAR(D6)+15)&lt;YEAR(E6),0,IF((YEAR(D6)+15)&gt;YEAR(E6),1,(12-MONTH(E6)+1)/12))) + (Q6)*(IF((YEAR(D6)+15)&lt;YEAR(E6),0,IF((YEAR(D6)+15)&gt;YEAR(E6),1,(12-MONTH(E6)+1)/12))))-((P6)*(IF((YEAR(D6)+15)&lt;YEAR(E6),0,IF((YEAR(D6)+15)&gt;YEAR(E6),1,(12-MONTH(E6)+1)/12))) + (R6)*(IF((YEAR(D6)+15)&lt;YEAR(E6),0,IF((YEAR(D6)+15)&gt;YEAR(E6),1,(12-MONTH(E6)+1)/12))))-(IF(OR(N6="",N6&lt;=0),0,(O6/N6)*(IF(OR(N6="",N6&lt;=0),0,IF((YEAR(D6)+15)&lt;YEAR(E6),0,IF((YEAR(D6)+15)&gt;=YEAR(E6)+N6,0,IF((YEAR(D6)+15)=YEAR(E6),(12-MONTH(E6)+1)/12,1))))))))*TaxRate,0))-IF(15=0,O6,0))</f>
        <v/>
      </c>
      <c r="AI6" s="29">
        <f>IF(A6="","",((K6)*(IF(M6="",L6,IFERROR(IF(INDEX(Variablen!$I:$AT, MATCH(M6, Variablen!$A:$A, 0), MATCH((YEAR(D6)+16), Variablen!$I$3:$AT$3, 0))="",L6,INDEX(Variablen!$I:$AT, MATCH(M6, Variablen!$A:$A, 0), MATCH((YEAR(D6)+16), Variablen!$I$3:$AT$3, 0))),L6)))*(IF((YEAR(D6)+16)&lt;YEAR(E6),0,IF((YEAR(D6)+16)&gt;YEAR(E6),1,(12-MONTH(E6)+1)/12))) + (Q6)*(IF((YEAR(D6)+16)&lt;YEAR(E6),0,IF((YEAR(D6)+16)&gt;YEAR(E6),1,(12-MONTH(E6)+1)/12))))-((P6)*(IF((YEAR(D6)+16)&lt;YEAR(E6),0,IF((YEAR(D6)+16)&gt;YEAR(E6),1,(12-MONTH(E6)+1)/12))) + (R6)*(IF((YEAR(D6)+16)&lt;YEAR(E6),0,IF((YEAR(D6)+16)&gt;YEAR(E6),1,(12-MONTH(E6)+1)/12))))-(IF((((K6)*(IF(M6="",L6,IFERROR(IF(INDEX(Variablen!$I:$AT, MATCH(M6, Variablen!$A:$A, 0), MATCH((YEAR(D6)+16), Variablen!$I$3:$AT$3, 0))="",L6,INDEX(Variablen!$I:$AT, MATCH(M6, Variablen!$A:$A, 0), MATCH((YEAR(D6)+16), Variablen!$I$3:$AT$3, 0))),L6)))*(IF((YEAR(D6)+16)&lt;YEAR(E6),0,IF((YEAR(D6)+16)&gt;YEAR(E6),1,(12-MONTH(E6)+1)/12))) + (Q6)*(IF((YEAR(D6)+16)&lt;YEAR(E6),0,IF((YEAR(D6)+16)&gt;YEAR(E6),1,(12-MONTH(E6)+1)/12))))-((P6)*(IF((YEAR(D6)+16)&lt;YEAR(E6),0,IF((YEAR(D6)+16)&gt;YEAR(E6),1,(12-MONTH(E6)+1)/12))) + (R6)*(IF((YEAR(D6)+16)&lt;YEAR(E6),0,IF((YEAR(D6)+16)&gt;YEAR(E6),1,(12-MONTH(E6)+1)/12))))-(IF(OR(N6="",N6&lt;=0),0,(O6/N6)*(IF(OR(N6="",N6&lt;=0),0,IF((YEAR(D6)+16)&lt;YEAR(E6),0,IF((YEAR(D6)+16)&gt;=YEAR(E6)+N6,0,IF((YEAR(D6)+16)=YEAR(E6),(12-MONTH(E6)+1)/12,1))))))))&gt;0,(((K6)*(IF(M6="",L6,IFERROR(IF(INDEX(Variablen!$I:$AT, MATCH(M6, Variablen!$A:$A, 0), MATCH((YEAR(D6)+16), Variablen!$I$3:$AT$3, 0))="",L6,INDEX(Variablen!$I:$AT, MATCH(M6, Variablen!$A:$A, 0), MATCH((YEAR(D6)+16), Variablen!$I$3:$AT$3, 0))),L6)))*(IF((YEAR(D6)+16)&lt;YEAR(E6),0,IF((YEAR(D6)+16)&gt;YEAR(E6),1,(12-MONTH(E6)+1)/12))) + (Q6)*(IF((YEAR(D6)+16)&lt;YEAR(E6),0,IF((YEAR(D6)+16)&gt;YEAR(E6),1,(12-MONTH(E6)+1)/12))))-((P6)*(IF((YEAR(D6)+16)&lt;YEAR(E6),0,IF((YEAR(D6)+16)&gt;YEAR(E6),1,(12-MONTH(E6)+1)/12))) + (R6)*(IF((YEAR(D6)+16)&lt;YEAR(E6),0,IF((YEAR(D6)+16)&gt;YEAR(E6),1,(12-MONTH(E6)+1)/12))))-(IF(OR(N6="",N6&lt;=0),0,(O6/N6)*(IF(OR(N6="",N6&lt;=0),0,IF((YEAR(D6)+16)&lt;YEAR(E6),0,IF((YEAR(D6)+16)&gt;=YEAR(E6)+N6,0,IF((YEAR(D6)+16)=YEAR(E6),(12-MONTH(E6)+1)/12,1))))))))*TaxRate,0))-IF(16=0,O6,0))</f>
        <v/>
      </c>
      <c r="AJ6" s="29">
        <f>IF(A6="","",((K6)*(IF(M6="",L6,IFERROR(IF(INDEX(Variablen!$I:$AT, MATCH(M6, Variablen!$A:$A, 0), MATCH((YEAR(D6)+17), Variablen!$I$3:$AT$3, 0))="",L6,INDEX(Variablen!$I:$AT, MATCH(M6, Variablen!$A:$A, 0), MATCH((YEAR(D6)+17), Variablen!$I$3:$AT$3, 0))),L6)))*(IF((YEAR(D6)+17)&lt;YEAR(E6),0,IF((YEAR(D6)+17)&gt;YEAR(E6),1,(12-MONTH(E6)+1)/12))) + (Q6)*(IF((YEAR(D6)+17)&lt;YEAR(E6),0,IF((YEAR(D6)+17)&gt;YEAR(E6),1,(12-MONTH(E6)+1)/12))))-((P6)*(IF((YEAR(D6)+17)&lt;YEAR(E6),0,IF((YEAR(D6)+17)&gt;YEAR(E6),1,(12-MONTH(E6)+1)/12))) + (R6)*(IF((YEAR(D6)+17)&lt;YEAR(E6),0,IF((YEAR(D6)+17)&gt;YEAR(E6),1,(12-MONTH(E6)+1)/12))))-(IF((((K6)*(IF(M6="",L6,IFERROR(IF(INDEX(Variablen!$I:$AT, MATCH(M6, Variablen!$A:$A, 0), MATCH((YEAR(D6)+17), Variablen!$I$3:$AT$3, 0))="",L6,INDEX(Variablen!$I:$AT, MATCH(M6, Variablen!$A:$A, 0), MATCH((YEAR(D6)+17), Variablen!$I$3:$AT$3, 0))),L6)))*(IF((YEAR(D6)+17)&lt;YEAR(E6),0,IF((YEAR(D6)+17)&gt;YEAR(E6),1,(12-MONTH(E6)+1)/12))) + (Q6)*(IF((YEAR(D6)+17)&lt;YEAR(E6),0,IF((YEAR(D6)+17)&gt;YEAR(E6),1,(12-MONTH(E6)+1)/12))))-((P6)*(IF((YEAR(D6)+17)&lt;YEAR(E6),0,IF((YEAR(D6)+17)&gt;YEAR(E6),1,(12-MONTH(E6)+1)/12))) + (R6)*(IF((YEAR(D6)+17)&lt;YEAR(E6),0,IF((YEAR(D6)+17)&gt;YEAR(E6),1,(12-MONTH(E6)+1)/12))))-(IF(OR(N6="",N6&lt;=0),0,(O6/N6)*(IF(OR(N6="",N6&lt;=0),0,IF((YEAR(D6)+17)&lt;YEAR(E6),0,IF((YEAR(D6)+17)&gt;=YEAR(E6)+N6,0,IF((YEAR(D6)+17)=YEAR(E6),(12-MONTH(E6)+1)/12,1))))))))&gt;0,(((K6)*(IF(M6="",L6,IFERROR(IF(INDEX(Variablen!$I:$AT, MATCH(M6, Variablen!$A:$A, 0), MATCH((YEAR(D6)+17), Variablen!$I$3:$AT$3, 0))="",L6,INDEX(Variablen!$I:$AT, MATCH(M6, Variablen!$A:$A, 0), MATCH((YEAR(D6)+17), Variablen!$I$3:$AT$3, 0))),L6)))*(IF((YEAR(D6)+17)&lt;YEAR(E6),0,IF((YEAR(D6)+17)&gt;YEAR(E6),1,(12-MONTH(E6)+1)/12))) + (Q6)*(IF((YEAR(D6)+17)&lt;YEAR(E6),0,IF((YEAR(D6)+17)&gt;YEAR(E6),1,(12-MONTH(E6)+1)/12))))-((P6)*(IF((YEAR(D6)+17)&lt;YEAR(E6),0,IF((YEAR(D6)+17)&gt;YEAR(E6),1,(12-MONTH(E6)+1)/12))) + (R6)*(IF((YEAR(D6)+17)&lt;YEAR(E6),0,IF((YEAR(D6)+17)&gt;YEAR(E6),1,(12-MONTH(E6)+1)/12))))-(IF(OR(N6="",N6&lt;=0),0,(O6/N6)*(IF(OR(N6="",N6&lt;=0),0,IF((YEAR(D6)+17)&lt;YEAR(E6),0,IF((YEAR(D6)+17)&gt;=YEAR(E6)+N6,0,IF((YEAR(D6)+17)=YEAR(E6),(12-MONTH(E6)+1)/12,1))))))))*TaxRate,0))-IF(17=0,O6,0))</f>
        <v/>
      </c>
      <c r="AK6" s="29">
        <f>IF(A6="","",((K6)*(IF(M6="",L6,IFERROR(IF(INDEX(Variablen!$I:$AT, MATCH(M6, Variablen!$A:$A, 0), MATCH((YEAR(D6)+18), Variablen!$I$3:$AT$3, 0))="",L6,INDEX(Variablen!$I:$AT, MATCH(M6, Variablen!$A:$A, 0), MATCH((YEAR(D6)+18), Variablen!$I$3:$AT$3, 0))),L6)))*(IF((YEAR(D6)+18)&lt;YEAR(E6),0,IF((YEAR(D6)+18)&gt;YEAR(E6),1,(12-MONTH(E6)+1)/12))) + (Q6)*(IF((YEAR(D6)+18)&lt;YEAR(E6),0,IF((YEAR(D6)+18)&gt;YEAR(E6),1,(12-MONTH(E6)+1)/12))))-((P6)*(IF((YEAR(D6)+18)&lt;YEAR(E6),0,IF((YEAR(D6)+18)&gt;YEAR(E6),1,(12-MONTH(E6)+1)/12))) + (R6)*(IF((YEAR(D6)+18)&lt;YEAR(E6),0,IF((YEAR(D6)+18)&gt;YEAR(E6),1,(12-MONTH(E6)+1)/12))))-(IF((((K6)*(IF(M6="",L6,IFERROR(IF(INDEX(Variablen!$I:$AT, MATCH(M6, Variablen!$A:$A, 0), MATCH((YEAR(D6)+18), Variablen!$I$3:$AT$3, 0))="",L6,INDEX(Variablen!$I:$AT, MATCH(M6, Variablen!$A:$A, 0), MATCH((YEAR(D6)+18), Variablen!$I$3:$AT$3, 0))),L6)))*(IF((YEAR(D6)+18)&lt;YEAR(E6),0,IF((YEAR(D6)+18)&gt;YEAR(E6),1,(12-MONTH(E6)+1)/12))) + (Q6)*(IF((YEAR(D6)+18)&lt;YEAR(E6),0,IF((YEAR(D6)+18)&gt;YEAR(E6),1,(12-MONTH(E6)+1)/12))))-((P6)*(IF((YEAR(D6)+18)&lt;YEAR(E6),0,IF((YEAR(D6)+18)&gt;YEAR(E6),1,(12-MONTH(E6)+1)/12))) + (R6)*(IF((YEAR(D6)+18)&lt;YEAR(E6),0,IF((YEAR(D6)+18)&gt;YEAR(E6),1,(12-MONTH(E6)+1)/12))))-(IF(OR(N6="",N6&lt;=0),0,(O6/N6)*(IF(OR(N6="",N6&lt;=0),0,IF((YEAR(D6)+18)&lt;YEAR(E6),0,IF((YEAR(D6)+18)&gt;=YEAR(E6)+N6,0,IF((YEAR(D6)+18)=YEAR(E6),(12-MONTH(E6)+1)/12,1))))))))&gt;0,(((K6)*(IF(M6="",L6,IFERROR(IF(INDEX(Variablen!$I:$AT, MATCH(M6, Variablen!$A:$A, 0), MATCH((YEAR(D6)+18), Variablen!$I$3:$AT$3, 0))="",L6,INDEX(Variablen!$I:$AT, MATCH(M6, Variablen!$A:$A, 0), MATCH((YEAR(D6)+18), Variablen!$I$3:$AT$3, 0))),L6)))*(IF((YEAR(D6)+18)&lt;YEAR(E6),0,IF((YEAR(D6)+18)&gt;YEAR(E6),1,(12-MONTH(E6)+1)/12))) + (Q6)*(IF((YEAR(D6)+18)&lt;YEAR(E6),0,IF((YEAR(D6)+18)&gt;YEAR(E6),1,(12-MONTH(E6)+1)/12))))-((P6)*(IF((YEAR(D6)+18)&lt;YEAR(E6),0,IF((YEAR(D6)+18)&gt;YEAR(E6),1,(12-MONTH(E6)+1)/12))) + (R6)*(IF((YEAR(D6)+18)&lt;YEAR(E6),0,IF((YEAR(D6)+18)&gt;YEAR(E6),1,(12-MONTH(E6)+1)/12))))-(IF(OR(N6="",N6&lt;=0),0,(O6/N6)*(IF(OR(N6="",N6&lt;=0),0,IF((YEAR(D6)+18)&lt;YEAR(E6),0,IF((YEAR(D6)+18)&gt;=YEAR(E6)+N6,0,IF((YEAR(D6)+18)=YEAR(E6),(12-MONTH(E6)+1)/12,1))))))))*TaxRate,0))-IF(18=0,O6,0))</f>
        <v/>
      </c>
      <c r="AL6" s="29">
        <f>IF(A6="","",((K6)*(IF(M6="",L6,IFERROR(IF(INDEX(Variablen!$I:$AT, MATCH(M6, Variablen!$A:$A, 0), MATCH((YEAR(D6)+19), Variablen!$I$3:$AT$3, 0))="",L6,INDEX(Variablen!$I:$AT, MATCH(M6, Variablen!$A:$A, 0), MATCH((YEAR(D6)+19), Variablen!$I$3:$AT$3, 0))),L6)))*(IF((YEAR(D6)+19)&lt;YEAR(E6),0,IF((YEAR(D6)+19)&gt;YEAR(E6),1,(12-MONTH(E6)+1)/12))) + (Q6)*(IF((YEAR(D6)+19)&lt;YEAR(E6),0,IF((YEAR(D6)+19)&gt;YEAR(E6),1,(12-MONTH(E6)+1)/12))))-((P6)*(IF((YEAR(D6)+19)&lt;YEAR(E6),0,IF((YEAR(D6)+19)&gt;YEAR(E6),1,(12-MONTH(E6)+1)/12))) + (R6)*(IF((YEAR(D6)+19)&lt;YEAR(E6),0,IF((YEAR(D6)+19)&gt;YEAR(E6),1,(12-MONTH(E6)+1)/12))))-(IF((((K6)*(IF(M6="",L6,IFERROR(IF(INDEX(Variablen!$I:$AT, MATCH(M6, Variablen!$A:$A, 0), MATCH((YEAR(D6)+19), Variablen!$I$3:$AT$3, 0))="",L6,INDEX(Variablen!$I:$AT, MATCH(M6, Variablen!$A:$A, 0), MATCH((YEAR(D6)+19), Variablen!$I$3:$AT$3, 0))),L6)))*(IF((YEAR(D6)+19)&lt;YEAR(E6),0,IF((YEAR(D6)+19)&gt;YEAR(E6),1,(12-MONTH(E6)+1)/12))) + (Q6)*(IF((YEAR(D6)+19)&lt;YEAR(E6),0,IF((YEAR(D6)+19)&gt;YEAR(E6),1,(12-MONTH(E6)+1)/12))))-((P6)*(IF((YEAR(D6)+19)&lt;YEAR(E6),0,IF((YEAR(D6)+19)&gt;YEAR(E6),1,(12-MONTH(E6)+1)/12))) + (R6)*(IF((YEAR(D6)+19)&lt;YEAR(E6),0,IF((YEAR(D6)+19)&gt;YEAR(E6),1,(12-MONTH(E6)+1)/12))))-(IF(OR(N6="",N6&lt;=0),0,(O6/N6)*(IF(OR(N6="",N6&lt;=0),0,IF((YEAR(D6)+19)&lt;YEAR(E6),0,IF((YEAR(D6)+19)&gt;=YEAR(E6)+N6,0,IF((YEAR(D6)+19)=YEAR(E6),(12-MONTH(E6)+1)/12,1))))))))&gt;0,(((K6)*(IF(M6="",L6,IFERROR(IF(INDEX(Variablen!$I:$AT, MATCH(M6, Variablen!$A:$A, 0), MATCH((YEAR(D6)+19), Variablen!$I$3:$AT$3, 0))="",L6,INDEX(Variablen!$I:$AT, MATCH(M6, Variablen!$A:$A, 0), MATCH((YEAR(D6)+19), Variablen!$I$3:$AT$3, 0))),L6)))*(IF((YEAR(D6)+19)&lt;YEAR(E6),0,IF((YEAR(D6)+19)&gt;YEAR(E6),1,(12-MONTH(E6)+1)/12))) + (Q6)*(IF((YEAR(D6)+19)&lt;YEAR(E6),0,IF((YEAR(D6)+19)&gt;YEAR(E6),1,(12-MONTH(E6)+1)/12))))-((P6)*(IF((YEAR(D6)+19)&lt;YEAR(E6),0,IF((YEAR(D6)+19)&gt;YEAR(E6),1,(12-MONTH(E6)+1)/12))) + (R6)*(IF((YEAR(D6)+19)&lt;YEAR(E6),0,IF((YEAR(D6)+19)&gt;YEAR(E6),1,(12-MONTH(E6)+1)/12))))-(IF(OR(N6="",N6&lt;=0),0,(O6/N6)*(IF(OR(N6="",N6&lt;=0),0,IF((YEAR(D6)+19)&lt;YEAR(E6),0,IF((YEAR(D6)+19)&gt;=YEAR(E6)+N6,0,IF((YEAR(D6)+19)=YEAR(E6),(12-MONTH(E6)+1)/12,1))))))))*TaxRate,0))-IF(19=0,O6,0))</f>
        <v/>
      </c>
      <c r="AM6" s="29">
        <f>IF(A6="","",((K6)*(IF(M6="",L6,IFERROR(IF(INDEX(Variablen!$I:$AT, MATCH(M6, Variablen!$A:$A, 0), MATCH((YEAR(D6)+20), Variablen!$I$3:$AT$3, 0))="",L6,INDEX(Variablen!$I:$AT, MATCH(M6, Variablen!$A:$A, 0), MATCH((YEAR(D6)+20), Variablen!$I$3:$AT$3, 0))),L6)))*(IF((YEAR(D6)+20)&lt;YEAR(E6),0,IF((YEAR(D6)+20)&gt;YEAR(E6),1,(12-MONTH(E6)+1)/12))) + (Q6)*(IF((YEAR(D6)+20)&lt;YEAR(E6),0,IF((YEAR(D6)+20)&gt;YEAR(E6),1,(12-MONTH(E6)+1)/12))))-((P6)*(IF((YEAR(D6)+20)&lt;YEAR(E6),0,IF((YEAR(D6)+20)&gt;YEAR(E6),1,(12-MONTH(E6)+1)/12))) + (R6)*(IF((YEAR(D6)+20)&lt;YEAR(E6),0,IF((YEAR(D6)+20)&gt;YEAR(E6),1,(12-MONTH(E6)+1)/12))))-(IF((((K6)*(IF(M6="",L6,IFERROR(IF(INDEX(Variablen!$I:$AT, MATCH(M6, Variablen!$A:$A, 0), MATCH((YEAR(D6)+20), Variablen!$I$3:$AT$3, 0))="",L6,INDEX(Variablen!$I:$AT, MATCH(M6, Variablen!$A:$A, 0), MATCH((YEAR(D6)+20), Variablen!$I$3:$AT$3, 0))),L6)))*(IF((YEAR(D6)+20)&lt;YEAR(E6),0,IF((YEAR(D6)+20)&gt;YEAR(E6),1,(12-MONTH(E6)+1)/12))) + (Q6)*(IF((YEAR(D6)+20)&lt;YEAR(E6),0,IF((YEAR(D6)+20)&gt;YEAR(E6),1,(12-MONTH(E6)+1)/12))))-((P6)*(IF((YEAR(D6)+20)&lt;YEAR(E6),0,IF((YEAR(D6)+20)&gt;YEAR(E6),1,(12-MONTH(E6)+1)/12))) + (R6)*(IF((YEAR(D6)+20)&lt;YEAR(E6),0,IF((YEAR(D6)+20)&gt;YEAR(E6),1,(12-MONTH(E6)+1)/12))))-(IF(OR(N6="",N6&lt;=0),0,(O6/N6)*(IF(OR(N6="",N6&lt;=0),0,IF((YEAR(D6)+20)&lt;YEAR(E6),0,IF((YEAR(D6)+20)&gt;=YEAR(E6)+N6,0,IF((YEAR(D6)+20)=YEAR(E6),(12-MONTH(E6)+1)/12,1))))))))&gt;0,(((K6)*(IF(M6="",L6,IFERROR(IF(INDEX(Variablen!$I:$AT, MATCH(M6, Variablen!$A:$A, 0), MATCH((YEAR(D6)+20), Variablen!$I$3:$AT$3, 0))="",L6,INDEX(Variablen!$I:$AT, MATCH(M6, Variablen!$A:$A, 0), MATCH((YEAR(D6)+20), Variablen!$I$3:$AT$3, 0))),L6)))*(IF((YEAR(D6)+20)&lt;YEAR(E6),0,IF((YEAR(D6)+20)&gt;YEAR(E6),1,(12-MONTH(E6)+1)/12))) + (Q6)*(IF((YEAR(D6)+20)&lt;YEAR(E6),0,IF((YEAR(D6)+20)&gt;YEAR(E6),1,(12-MONTH(E6)+1)/12))))-((P6)*(IF((YEAR(D6)+20)&lt;YEAR(E6),0,IF((YEAR(D6)+20)&gt;YEAR(E6),1,(12-MONTH(E6)+1)/12))) + (R6)*(IF((YEAR(D6)+20)&lt;YEAR(E6),0,IF((YEAR(D6)+20)&gt;YEAR(E6),1,(12-MONTH(E6)+1)/12))))-(IF(OR(N6="",N6&lt;=0),0,(O6/N6)*(IF(OR(N6="",N6&lt;=0),0,IF((YEAR(D6)+20)&lt;YEAR(E6),0,IF((YEAR(D6)+20)&gt;=YEAR(E6)+N6,0,IF((YEAR(D6)+20)=YEAR(E6),(12-MONTH(E6)+1)/12,1))))))))*TaxRate,0))-IF(20=0,O6,0))</f>
        <v/>
      </c>
      <c r="AN6" s="29">
        <f>IF(A6="","",S6)</f>
        <v/>
      </c>
      <c r="AO6" s="29">
        <f>IF(A6="","",AN6+T6)</f>
        <v/>
      </c>
      <c r="AP6" s="29">
        <f>IF(A6="","",AO6+U6)</f>
        <v/>
      </c>
      <c r="AQ6" s="29">
        <f>IF(A6="","",AP6+V6)</f>
        <v/>
      </c>
      <c r="AR6" s="29">
        <f>IF(A6="","",AQ6+W6)</f>
        <v/>
      </c>
      <c r="AS6" s="29">
        <f>IF(A6="","",AR6+X6)</f>
        <v/>
      </c>
      <c r="AT6" s="29">
        <f>IF(A6="","",AS6+Y6)</f>
        <v/>
      </c>
      <c r="AU6" s="29">
        <f>IF(A6="","",AT6+Z6)</f>
        <v/>
      </c>
      <c r="AV6" s="29">
        <f>IF(A6="","",AU6+AA6)</f>
        <v/>
      </c>
      <c r="AW6" s="29">
        <f>IF(A6="","",AV6+AB6)</f>
        <v/>
      </c>
      <c r="AX6" s="29">
        <f>IF(A6="","",AW6+AC6)</f>
        <v/>
      </c>
      <c r="AY6" s="29">
        <f>IF(A6="","",AX6+AD6)</f>
        <v/>
      </c>
      <c r="AZ6" s="29">
        <f>IF(A6="","",AY6+AE6)</f>
        <v/>
      </c>
      <c r="BA6" s="29">
        <f>IF(A6="","",AZ6+AF6)</f>
        <v/>
      </c>
      <c r="BB6" s="29">
        <f>IF(A6="","",BA6+AG6)</f>
        <v/>
      </c>
      <c r="BC6" s="29">
        <f>IF(A6="","",BB6+AH6)</f>
        <v/>
      </c>
      <c r="BD6" s="29">
        <f>IF(A6="","",BC6+AI6)</f>
        <v/>
      </c>
      <c r="BE6" s="29">
        <f>IF(A6="","",BD6+AJ6)</f>
        <v/>
      </c>
      <c r="BF6" s="29">
        <f>IF(A6="","",BE6+AK6)</f>
        <v/>
      </c>
      <c r="BG6" s="29">
        <f>IF(A6="","",BF6+AL6)</f>
        <v/>
      </c>
      <c r="BH6" s="29">
        <f>IF(A6="","",BG6+AM6)</f>
        <v/>
      </c>
      <c r="BI6" s="36">
        <f>IF(A6="","",(K6)*(IF((YEAR(D6)+0)&lt;YEAR(E6),0,IF((YEAR(D6)+0)&gt;YEAR(E6),1,(12-MONTH(E6)+1)/12)))*(1/(1+DiscountRate)^0))</f>
        <v/>
      </c>
      <c r="BJ6" s="36">
        <f>IF(A6="","",(K6)*(IF((YEAR(D6)+1)&lt;YEAR(E6),0,IF((YEAR(D6)+1)&gt;YEAR(E6),1,(12-MONTH(E6)+1)/12)))*(1/(1+DiscountRate)^1))</f>
        <v/>
      </c>
      <c r="BK6" s="36">
        <f>IF(A6="","",(K6)*(IF((YEAR(D6)+2)&lt;YEAR(E6),0,IF((YEAR(D6)+2)&gt;YEAR(E6),1,(12-MONTH(E6)+1)/12)))*(1/(1+DiscountRate)^2))</f>
        <v/>
      </c>
      <c r="BL6" s="36">
        <f>IF(A6="","",(K6)*(IF((YEAR(D6)+3)&lt;YEAR(E6),0,IF((YEAR(D6)+3)&gt;YEAR(E6),1,(12-MONTH(E6)+1)/12)))*(1/(1+DiscountRate)^3))</f>
        <v/>
      </c>
      <c r="BM6" s="36">
        <f>IF(A6="","",(K6)*(IF((YEAR(D6)+4)&lt;YEAR(E6),0,IF((YEAR(D6)+4)&gt;YEAR(E6),1,(12-MONTH(E6)+1)/12)))*(1/(1+DiscountRate)^4))</f>
        <v/>
      </c>
      <c r="BN6" s="36">
        <f>IF(A6="","",(K6)*(IF((YEAR(D6)+5)&lt;YEAR(E6),0,IF((YEAR(D6)+5)&gt;YEAR(E6),1,(12-MONTH(E6)+1)/12)))*(1/(1+DiscountRate)^5))</f>
        <v/>
      </c>
      <c r="BO6" s="36">
        <f>IF(A6="","",(K6)*(IF((YEAR(D6)+6)&lt;YEAR(E6),0,IF((YEAR(D6)+6)&gt;YEAR(E6),1,(12-MONTH(E6)+1)/12)))*(1/(1+DiscountRate)^6))</f>
        <v/>
      </c>
      <c r="BP6" s="36">
        <f>IF(A6="","",(K6)*(IF((YEAR(D6)+7)&lt;YEAR(E6),0,IF((YEAR(D6)+7)&gt;YEAR(E6),1,(12-MONTH(E6)+1)/12)))*(1/(1+DiscountRate)^7))</f>
        <v/>
      </c>
      <c r="BQ6" s="36">
        <f>IF(A6="","",(K6)*(IF((YEAR(D6)+8)&lt;YEAR(E6),0,IF((YEAR(D6)+8)&gt;YEAR(E6),1,(12-MONTH(E6)+1)/12)))*(1/(1+DiscountRate)^8))</f>
        <v/>
      </c>
      <c r="BR6" s="36">
        <f>IF(A6="","",(K6)*(IF((YEAR(D6)+9)&lt;YEAR(E6),0,IF((YEAR(D6)+9)&gt;YEAR(E6),1,(12-MONTH(E6)+1)/12)))*(1/(1+DiscountRate)^9))</f>
        <v/>
      </c>
      <c r="BS6" s="36">
        <f>IF(A6="","",(K6)*(IF((YEAR(D6)+10)&lt;YEAR(E6),0,IF((YEAR(D6)+10)&gt;YEAR(E6),1,(12-MONTH(E6)+1)/12)))*(1/(1+DiscountRate)^10))</f>
        <v/>
      </c>
      <c r="BT6" s="36">
        <f>IF(A6="","",(K6)*(IF((YEAR(D6)+11)&lt;YEAR(E6),0,IF((YEAR(D6)+11)&gt;YEAR(E6),1,(12-MONTH(E6)+1)/12)))*(1/(1+DiscountRate)^11))</f>
        <v/>
      </c>
      <c r="BU6" s="36">
        <f>IF(A6="","",(K6)*(IF((YEAR(D6)+12)&lt;YEAR(E6),0,IF((YEAR(D6)+12)&gt;YEAR(E6),1,(12-MONTH(E6)+1)/12)))*(1/(1+DiscountRate)^12))</f>
        <v/>
      </c>
      <c r="BV6" s="36">
        <f>IF(A6="","",(K6)*(IF((YEAR(D6)+13)&lt;YEAR(E6),0,IF((YEAR(D6)+13)&gt;YEAR(E6),1,(12-MONTH(E6)+1)/12)))*(1/(1+DiscountRate)^13))</f>
        <v/>
      </c>
      <c r="BW6" s="36">
        <f>IF(A6="","",(K6)*(IF((YEAR(D6)+14)&lt;YEAR(E6),0,IF((YEAR(D6)+14)&gt;YEAR(E6),1,(12-MONTH(E6)+1)/12)))*(1/(1+DiscountRate)^14))</f>
        <v/>
      </c>
      <c r="BX6" s="36">
        <f>IF(A6="","",(K6)*(IF((YEAR(D6)+15)&lt;YEAR(E6),0,IF((YEAR(D6)+15)&gt;YEAR(E6),1,(12-MONTH(E6)+1)/12)))*(1/(1+DiscountRate)^15))</f>
        <v/>
      </c>
      <c r="BY6" s="36">
        <f>IF(A6="","",(K6)*(IF((YEAR(D6)+16)&lt;YEAR(E6),0,IF((YEAR(D6)+16)&gt;YEAR(E6),1,(12-MONTH(E6)+1)/12)))*(1/(1+DiscountRate)^16))</f>
        <v/>
      </c>
      <c r="BZ6" s="36">
        <f>IF(A6="","",(K6)*(IF((YEAR(D6)+17)&lt;YEAR(E6),0,IF((YEAR(D6)+17)&gt;YEAR(E6),1,(12-MONTH(E6)+1)/12)))*(1/(1+DiscountRate)^17))</f>
        <v/>
      </c>
      <c r="CA6" s="36">
        <f>IF(A6="","",(K6)*(IF((YEAR(D6)+18)&lt;YEAR(E6),0,IF((YEAR(D6)+18)&gt;YEAR(E6),1,(12-MONTH(E6)+1)/12)))*(1/(1+DiscountRate)^18))</f>
        <v/>
      </c>
      <c r="CB6" s="36">
        <f>IF(A6="","",(K6)*(IF((YEAR(D6)+19)&lt;YEAR(E6),0,IF((YEAR(D6)+19)&gt;YEAR(E6),1,(12-MONTH(E6)+1)/12)))*(1/(1+DiscountRate)^19))</f>
        <v/>
      </c>
      <c r="CC6" s="36">
        <f>IF(A6="","",(K6)*(IF((YEAR(D6)+20)&lt;YEAR(E6),0,IF((YEAR(D6)+20)&gt;YEAR(E6),1,(12-MONTH(E6)+1)/12)))*(1/(1+DiscountRate)^20))</f>
        <v/>
      </c>
      <c r="CD6" s="29">
        <f>IF(A6="","",S6/(1+DiscountRate)^0+T6/(1+DiscountRate)^1+U6/(1+DiscountRate)^2+V6/(1+DiscountRate)^3+W6/(1+DiscountRate)^4+X6/(1+DiscountRate)^5+Y6/(1+DiscountRate)^6+Z6/(1+DiscountRate)^7+AA6/(1+DiscountRate)^8+AB6/(1+DiscountRate)^9+AC6/(1+DiscountRate)^10+AD6/(1+DiscountRate)^11+AE6/(1+DiscountRate)^12+AF6/(1+DiscountRate)^13+AG6/(1+DiscountRate)^14+AH6/(1+DiscountRate)^15+AI6/(1+DiscountRate)^16+AJ6/(1+DiscountRate)^17+AK6/(1+DiscountRate)^18+AL6/(1+DiscountRate)^19+AM6/(1+DiscountRate)^20)</f>
        <v/>
      </c>
      <c r="CE6" s="37">
        <f>IF(A6="","",IFERROR(IRR(OFFSET(S6,0,0,1,MIN(HorizonYears,20)+1)),"n/a"))</f>
        <v/>
      </c>
      <c r="CF6" s="28">
        <f>IF(A6="","",IFERROR(MATCH(TRUE,OFFSET(AN6,0,0,1,MIN(HorizonYears,20)+1)&gt;=0,0)-1,"n/a"))</f>
        <v/>
      </c>
      <c r="CG6" s="36">
        <f>IF(A6="","",SUM(OFFSET(BI6,0,0,1,MIN(HorizonYears,20)+1)))</f>
        <v/>
      </c>
      <c r="CH6" s="36">
        <f>IF(A6="","",IFERROR(-CD6/CG6,"n/a"))</f>
        <v/>
      </c>
    </row>
    <row r="7">
      <c r="A7" s="6">
        <f>Actions!A5</f>
        <v/>
      </c>
      <c r="B7" s="6">
        <f>Actions!B5</f>
        <v/>
      </c>
      <c r="C7" s="6">
        <f>Actions!D5</f>
        <v/>
      </c>
      <c r="D7" s="35">
        <f>Actions!E5</f>
        <v/>
      </c>
      <c r="E7" s="35">
        <f>Actions!F5</f>
        <v/>
      </c>
      <c r="F7" s="6">
        <f>Actions!G5</f>
        <v/>
      </c>
      <c r="G7" s="6">
        <f>Actions!H5</f>
        <v/>
      </c>
      <c r="H7" s="29">
        <f>Actions!I5</f>
        <v/>
      </c>
      <c r="I7" s="6">
        <f>Actions!J5</f>
        <v/>
      </c>
      <c r="J7" s="16">
        <f>Actions!K5</f>
        <v/>
      </c>
      <c r="K7" s="16">
        <f>IF(A7="","",IF(I7="%",H7*J7,J7))</f>
        <v/>
      </c>
      <c r="L7" s="16">
        <f>Actions!L5</f>
        <v/>
      </c>
      <c r="M7" s="6">
        <f>Actions!M5</f>
        <v/>
      </c>
      <c r="N7" s="28">
        <f>Actions!N5</f>
        <v/>
      </c>
      <c r="O7" s="29">
        <f>Actions!T5</f>
        <v/>
      </c>
      <c r="P7" s="29">
        <f>Actions!Y5</f>
        <v/>
      </c>
      <c r="Q7" s="29">
        <f>Actions!Z5</f>
        <v/>
      </c>
      <c r="R7" s="29">
        <f>Actions!AA5</f>
        <v/>
      </c>
      <c r="S7" s="29">
        <f>IF(A7="","",((K7)*(IF(M7="",L7,IFERROR(IF(INDEX(Variablen!$I:$AT, MATCH(M7, Variablen!$A:$A, 0), MATCH((YEAR(D7)+0), Variablen!$I$3:$AT$3, 0))="",L7,INDEX(Variablen!$I:$AT, MATCH(M7, Variablen!$A:$A, 0), MATCH((YEAR(D7)+0), Variablen!$I$3:$AT$3, 0))),L7)))*(IF((YEAR(D7)+0)&lt;YEAR(E7),0,IF((YEAR(D7)+0)&gt;YEAR(E7),1,(12-MONTH(E7)+1)/12))) + (Q7)*(IF((YEAR(D7)+0)&lt;YEAR(E7),0,IF((YEAR(D7)+0)&gt;YEAR(E7),1,(12-MONTH(E7)+1)/12))))-((P7)*(IF((YEAR(D7)+0)&lt;YEAR(E7),0,IF((YEAR(D7)+0)&gt;YEAR(E7),1,(12-MONTH(E7)+1)/12))) + (R7)*(IF((YEAR(D7)+0)&lt;YEAR(E7),0,IF((YEAR(D7)+0)&gt;YEAR(E7),1,(12-MONTH(E7)+1)/12))))-(IF((((K7)*(IF(M7="",L7,IFERROR(IF(INDEX(Variablen!$I:$AT, MATCH(M7, Variablen!$A:$A, 0), MATCH((YEAR(D7)+0), Variablen!$I$3:$AT$3, 0))="",L7,INDEX(Variablen!$I:$AT, MATCH(M7, Variablen!$A:$A, 0), MATCH((YEAR(D7)+0), Variablen!$I$3:$AT$3, 0))),L7)))*(IF((YEAR(D7)+0)&lt;YEAR(E7),0,IF((YEAR(D7)+0)&gt;YEAR(E7),1,(12-MONTH(E7)+1)/12))) + (Q7)*(IF((YEAR(D7)+0)&lt;YEAR(E7),0,IF((YEAR(D7)+0)&gt;YEAR(E7),1,(12-MONTH(E7)+1)/12))))-((P7)*(IF((YEAR(D7)+0)&lt;YEAR(E7),0,IF((YEAR(D7)+0)&gt;YEAR(E7),1,(12-MONTH(E7)+1)/12))) + (R7)*(IF((YEAR(D7)+0)&lt;YEAR(E7),0,IF((YEAR(D7)+0)&gt;YEAR(E7),1,(12-MONTH(E7)+1)/12))))-(IF(OR(N7="",N7&lt;=0),0,(O7/N7)*(IF(OR(N7="",N7&lt;=0),0,IF((YEAR(D7)+0)&lt;YEAR(E7),0,IF((YEAR(D7)+0)&gt;=YEAR(E7)+N7,0,IF((YEAR(D7)+0)=YEAR(E7),(12-MONTH(E7)+1)/12,1))))))))&gt;0,(((K7)*(IF(M7="",L7,IFERROR(IF(INDEX(Variablen!$I:$AT, MATCH(M7, Variablen!$A:$A, 0), MATCH((YEAR(D7)+0), Variablen!$I$3:$AT$3, 0))="",L7,INDEX(Variablen!$I:$AT, MATCH(M7, Variablen!$A:$A, 0), MATCH((YEAR(D7)+0), Variablen!$I$3:$AT$3, 0))),L7)))*(IF((YEAR(D7)+0)&lt;YEAR(E7),0,IF((YEAR(D7)+0)&gt;YEAR(E7),1,(12-MONTH(E7)+1)/12))) + (Q7)*(IF((YEAR(D7)+0)&lt;YEAR(E7),0,IF((YEAR(D7)+0)&gt;YEAR(E7),1,(12-MONTH(E7)+1)/12))))-((P7)*(IF((YEAR(D7)+0)&lt;YEAR(E7),0,IF((YEAR(D7)+0)&gt;YEAR(E7),1,(12-MONTH(E7)+1)/12))) + (R7)*(IF((YEAR(D7)+0)&lt;YEAR(E7),0,IF((YEAR(D7)+0)&gt;YEAR(E7),1,(12-MONTH(E7)+1)/12))))-(IF(OR(N7="",N7&lt;=0),0,(O7/N7)*(IF(OR(N7="",N7&lt;=0),0,IF((YEAR(D7)+0)&lt;YEAR(E7),0,IF((YEAR(D7)+0)&gt;=YEAR(E7)+N7,0,IF((YEAR(D7)+0)=YEAR(E7),(12-MONTH(E7)+1)/12,1))))))))*TaxRate,0))-IF(0=0,O7,0))</f>
        <v/>
      </c>
      <c r="T7" s="29">
        <f>IF(A7="","",((K7)*(IF(M7="",L7,IFERROR(IF(INDEX(Variablen!$I:$AT, MATCH(M7, Variablen!$A:$A, 0), MATCH((YEAR(D7)+1), Variablen!$I$3:$AT$3, 0))="",L7,INDEX(Variablen!$I:$AT, MATCH(M7, Variablen!$A:$A, 0), MATCH((YEAR(D7)+1), Variablen!$I$3:$AT$3, 0))),L7)))*(IF((YEAR(D7)+1)&lt;YEAR(E7),0,IF((YEAR(D7)+1)&gt;YEAR(E7),1,(12-MONTH(E7)+1)/12))) + (Q7)*(IF((YEAR(D7)+1)&lt;YEAR(E7),0,IF((YEAR(D7)+1)&gt;YEAR(E7),1,(12-MONTH(E7)+1)/12))))-((P7)*(IF((YEAR(D7)+1)&lt;YEAR(E7),0,IF((YEAR(D7)+1)&gt;YEAR(E7),1,(12-MONTH(E7)+1)/12))) + (R7)*(IF((YEAR(D7)+1)&lt;YEAR(E7),0,IF((YEAR(D7)+1)&gt;YEAR(E7),1,(12-MONTH(E7)+1)/12))))-(IF((((K7)*(IF(M7="",L7,IFERROR(IF(INDEX(Variablen!$I:$AT, MATCH(M7, Variablen!$A:$A, 0), MATCH((YEAR(D7)+1), Variablen!$I$3:$AT$3, 0))="",L7,INDEX(Variablen!$I:$AT, MATCH(M7, Variablen!$A:$A, 0), MATCH((YEAR(D7)+1), Variablen!$I$3:$AT$3, 0))),L7)))*(IF((YEAR(D7)+1)&lt;YEAR(E7),0,IF((YEAR(D7)+1)&gt;YEAR(E7),1,(12-MONTH(E7)+1)/12))) + (Q7)*(IF((YEAR(D7)+1)&lt;YEAR(E7),0,IF((YEAR(D7)+1)&gt;YEAR(E7),1,(12-MONTH(E7)+1)/12))))-((P7)*(IF((YEAR(D7)+1)&lt;YEAR(E7),0,IF((YEAR(D7)+1)&gt;YEAR(E7),1,(12-MONTH(E7)+1)/12))) + (R7)*(IF((YEAR(D7)+1)&lt;YEAR(E7),0,IF((YEAR(D7)+1)&gt;YEAR(E7),1,(12-MONTH(E7)+1)/12))))-(IF(OR(N7="",N7&lt;=0),0,(O7/N7)*(IF(OR(N7="",N7&lt;=0),0,IF((YEAR(D7)+1)&lt;YEAR(E7),0,IF((YEAR(D7)+1)&gt;=YEAR(E7)+N7,0,IF((YEAR(D7)+1)=YEAR(E7),(12-MONTH(E7)+1)/12,1))))))))&gt;0,(((K7)*(IF(M7="",L7,IFERROR(IF(INDEX(Variablen!$I:$AT, MATCH(M7, Variablen!$A:$A, 0), MATCH((YEAR(D7)+1), Variablen!$I$3:$AT$3, 0))="",L7,INDEX(Variablen!$I:$AT, MATCH(M7, Variablen!$A:$A, 0), MATCH((YEAR(D7)+1), Variablen!$I$3:$AT$3, 0))),L7)))*(IF((YEAR(D7)+1)&lt;YEAR(E7),0,IF((YEAR(D7)+1)&gt;YEAR(E7),1,(12-MONTH(E7)+1)/12))) + (Q7)*(IF((YEAR(D7)+1)&lt;YEAR(E7),0,IF((YEAR(D7)+1)&gt;YEAR(E7),1,(12-MONTH(E7)+1)/12))))-((P7)*(IF((YEAR(D7)+1)&lt;YEAR(E7),0,IF((YEAR(D7)+1)&gt;YEAR(E7),1,(12-MONTH(E7)+1)/12))) + (R7)*(IF((YEAR(D7)+1)&lt;YEAR(E7),0,IF((YEAR(D7)+1)&gt;YEAR(E7),1,(12-MONTH(E7)+1)/12))))-(IF(OR(N7="",N7&lt;=0),0,(O7/N7)*(IF(OR(N7="",N7&lt;=0),0,IF((YEAR(D7)+1)&lt;YEAR(E7),0,IF((YEAR(D7)+1)&gt;=YEAR(E7)+N7,0,IF((YEAR(D7)+1)=YEAR(E7),(12-MONTH(E7)+1)/12,1))))))))*TaxRate,0))-IF(1=0,O7,0))</f>
        <v/>
      </c>
      <c r="U7" s="29">
        <f>IF(A7="","",((K7)*(IF(M7="",L7,IFERROR(IF(INDEX(Variablen!$I:$AT, MATCH(M7, Variablen!$A:$A, 0), MATCH((YEAR(D7)+2), Variablen!$I$3:$AT$3, 0))="",L7,INDEX(Variablen!$I:$AT, MATCH(M7, Variablen!$A:$A, 0), MATCH((YEAR(D7)+2), Variablen!$I$3:$AT$3, 0))),L7)))*(IF((YEAR(D7)+2)&lt;YEAR(E7),0,IF((YEAR(D7)+2)&gt;YEAR(E7),1,(12-MONTH(E7)+1)/12))) + (Q7)*(IF((YEAR(D7)+2)&lt;YEAR(E7),0,IF((YEAR(D7)+2)&gt;YEAR(E7),1,(12-MONTH(E7)+1)/12))))-((P7)*(IF((YEAR(D7)+2)&lt;YEAR(E7),0,IF((YEAR(D7)+2)&gt;YEAR(E7),1,(12-MONTH(E7)+1)/12))) + (R7)*(IF((YEAR(D7)+2)&lt;YEAR(E7),0,IF((YEAR(D7)+2)&gt;YEAR(E7),1,(12-MONTH(E7)+1)/12))))-(IF((((K7)*(IF(M7="",L7,IFERROR(IF(INDEX(Variablen!$I:$AT, MATCH(M7, Variablen!$A:$A, 0), MATCH((YEAR(D7)+2), Variablen!$I$3:$AT$3, 0))="",L7,INDEX(Variablen!$I:$AT, MATCH(M7, Variablen!$A:$A, 0), MATCH((YEAR(D7)+2), Variablen!$I$3:$AT$3, 0))),L7)))*(IF((YEAR(D7)+2)&lt;YEAR(E7),0,IF((YEAR(D7)+2)&gt;YEAR(E7),1,(12-MONTH(E7)+1)/12))) + (Q7)*(IF((YEAR(D7)+2)&lt;YEAR(E7),0,IF((YEAR(D7)+2)&gt;YEAR(E7),1,(12-MONTH(E7)+1)/12))))-((P7)*(IF((YEAR(D7)+2)&lt;YEAR(E7),0,IF((YEAR(D7)+2)&gt;YEAR(E7),1,(12-MONTH(E7)+1)/12))) + (R7)*(IF((YEAR(D7)+2)&lt;YEAR(E7),0,IF((YEAR(D7)+2)&gt;YEAR(E7),1,(12-MONTH(E7)+1)/12))))-(IF(OR(N7="",N7&lt;=0),0,(O7/N7)*(IF(OR(N7="",N7&lt;=0),0,IF((YEAR(D7)+2)&lt;YEAR(E7),0,IF((YEAR(D7)+2)&gt;=YEAR(E7)+N7,0,IF((YEAR(D7)+2)=YEAR(E7),(12-MONTH(E7)+1)/12,1))))))))&gt;0,(((K7)*(IF(M7="",L7,IFERROR(IF(INDEX(Variablen!$I:$AT, MATCH(M7, Variablen!$A:$A, 0), MATCH((YEAR(D7)+2), Variablen!$I$3:$AT$3, 0))="",L7,INDEX(Variablen!$I:$AT, MATCH(M7, Variablen!$A:$A, 0), MATCH((YEAR(D7)+2), Variablen!$I$3:$AT$3, 0))),L7)))*(IF((YEAR(D7)+2)&lt;YEAR(E7),0,IF((YEAR(D7)+2)&gt;YEAR(E7),1,(12-MONTH(E7)+1)/12))) + (Q7)*(IF((YEAR(D7)+2)&lt;YEAR(E7),0,IF((YEAR(D7)+2)&gt;YEAR(E7),1,(12-MONTH(E7)+1)/12))))-((P7)*(IF((YEAR(D7)+2)&lt;YEAR(E7),0,IF((YEAR(D7)+2)&gt;YEAR(E7),1,(12-MONTH(E7)+1)/12))) + (R7)*(IF((YEAR(D7)+2)&lt;YEAR(E7),0,IF((YEAR(D7)+2)&gt;YEAR(E7),1,(12-MONTH(E7)+1)/12))))-(IF(OR(N7="",N7&lt;=0),0,(O7/N7)*(IF(OR(N7="",N7&lt;=0),0,IF((YEAR(D7)+2)&lt;YEAR(E7),0,IF((YEAR(D7)+2)&gt;=YEAR(E7)+N7,0,IF((YEAR(D7)+2)=YEAR(E7),(12-MONTH(E7)+1)/12,1))))))))*TaxRate,0))-IF(2=0,O7,0))</f>
        <v/>
      </c>
      <c r="V7" s="29">
        <f>IF(A7="","",((K7)*(IF(M7="",L7,IFERROR(IF(INDEX(Variablen!$I:$AT, MATCH(M7, Variablen!$A:$A, 0), MATCH((YEAR(D7)+3), Variablen!$I$3:$AT$3, 0))="",L7,INDEX(Variablen!$I:$AT, MATCH(M7, Variablen!$A:$A, 0), MATCH((YEAR(D7)+3), Variablen!$I$3:$AT$3, 0))),L7)))*(IF((YEAR(D7)+3)&lt;YEAR(E7),0,IF((YEAR(D7)+3)&gt;YEAR(E7),1,(12-MONTH(E7)+1)/12))) + (Q7)*(IF((YEAR(D7)+3)&lt;YEAR(E7),0,IF((YEAR(D7)+3)&gt;YEAR(E7),1,(12-MONTH(E7)+1)/12))))-((P7)*(IF((YEAR(D7)+3)&lt;YEAR(E7),0,IF((YEAR(D7)+3)&gt;YEAR(E7),1,(12-MONTH(E7)+1)/12))) + (R7)*(IF((YEAR(D7)+3)&lt;YEAR(E7),0,IF((YEAR(D7)+3)&gt;YEAR(E7),1,(12-MONTH(E7)+1)/12))))-(IF((((K7)*(IF(M7="",L7,IFERROR(IF(INDEX(Variablen!$I:$AT, MATCH(M7, Variablen!$A:$A, 0), MATCH((YEAR(D7)+3), Variablen!$I$3:$AT$3, 0))="",L7,INDEX(Variablen!$I:$AT, MATCH(M7, Variablen!$A:$A, 0), MATCH((YEAR(D7)+3), Variablen!$I$3:$AT$3, 0))),L7)))*(IF((YEAR(D7)+3)&lt;YEAR(E7),0,IF((YEAR(D7)+3)&gt;YEAR(E7),1,(12-MONTH(E7)+1)/12))) + (Q7)*(IF((YEAR(D7)+3)&lt;YEAR(E7),0,IF((YEAR(D7)+3)&gt;YEAR(E7),1,(12-MONTH(E7)+1)/12))))-((P7)*(IF((YEAR(D7)+3)&lt;YEAR(E7),0,IF((YEAR(D7)+3)&gt;YEAR(E7),1,(12-MONTH(E7)+1)/12))) + (R7)*(IF((YEAR(D7)+3)&lt;YEAR(E7),0,IF((YEAR(D7)+3)&gt;YEAR(E7),1,(12-MONTH(E7)+1)/12))))-(IF(OR(N7="",N7&lt;=0),0,(O7/N7)*(IF(OR(N7="",N7&lt;=0),0,IF((YEAR(D7)+3)&lt;YEAR(E7),0,IF((YEAR(D7)+3)&gt;=YEAR(E7)+N7,0,IF((YEAR(D7)+3)=YEAR(E7),(12-MONTH(E7)+1)/12,1))))))))&gt;0,(((K7)*(IF(M7="",L7,IFERROR(IF(INDEX(Variablen!$I:$AT, MATCH(M7, Variablen!$A:$A, 0), MATCH((YEAR(D7)+3), Variablen!$I$3:$AT$3, 0))="",L7,INDEX(Variablen!$I:$AT, MATCH(M7, Variablen!$A:$A, 0), MATCH((YEAR(D7)+3), Variablen!$I$3:$AT$3, 0))),L7)))*(IF((YEAR(D7)+3)&lt;YEAR(E7),0,IF((YEAR(D7)+3)&gt;YEAR(E7),1,(12-MONTH(E7)+1)/12))) + (Q7)*(IF((YEAR(D7)+3)&lt;YEAR(E7),0,IF((YEAR(D7)+3)&gt;YEAR(E7),1,(12-MONTH(E7)+1)/12))))-((P7)*(IF((YEAR(D7)+3)&lt;YEAR(E7),0,IF((YEAR(D7)+3)&gt;YEAR(E7),1,(12-MONTH(E7)+1)/12))) + (R7)*(IF((YEAR(D7)+3)&lt;YEAR(E7),0,IF((YEAR(D7)+3)&gt;YEAR(E7),1,(12-MONTH(E7)+1)/12))))-(IF(OR(N7="",N7&lt;=0),0,(O7/N7)*(IF(OR(N7="",N7&lt;=0),0,IF((YEAR(D7)+3)&lt;YEAR(E7),0,IF((YEAR(D7)+3)&gt;=YEAR(E7)+N7,0,IF((YEAR(D7)+3)=YEAR(E7),(12-MONTH(E7)+1)/12,1))))))))*TaxRate,0))-IF(3=0,O7,0))</f>
        <v/>
      </c>
      <c r="W7" s="29">
        <f>IF(A7="","",((K7)*(IF(M7="",L7,IFERROR(IF(INDEX(Variablen!$I:$AT, MATCH(M7, Variablen!$A:$A, 0), MATCH((YEAR(D7)+4), Variablen!$I$3:$AT$3, 0))="",L7,INDEX(Variablen!$I:$AT, MATCH(M7, Variablen!$A:$A, 0), MATCH((YEAR(D7)+4), Variablen!$I$3:$AT$3, 0))),L7)))*(IF((YEAR(D7)+4)&lt;YEAR(E7),0,IF((YEAR(D7)+4)&gt;YEAR(E7),1,(12-MONTH(E7)+1)/12))) + (Q7)*(IF((YEAR(D7)+4)&lt;YEAR(E7),0,IF((YEAR(D7)+4)&gt;YEAR(E7),1,(12-MONTH(E7)+1)/12))))-((P7)*(IF((YEAR(D7)+4)&lt;YEAR(E7),0,IF((YEAR(D7)+4)&gt;YEAR(E7),1,(12-MONTH(E7)+1)/12))) + (R7)*(IF((YEAR(D7)+4)&lt;YEAR(E7),0,IF((YEAR(D7)+4)&gt;YEAR(E7),1,(12-MONTH(E7)+1)/12))))-(IF((((K7)*(IF(M7="",L7,IFERROR(IF(INDEX(Variablen!$I:$AT, MATCH(M7, Variablen!$A:$A, 0), MATCH((YEAR(D7)+4), Variablen!$I$3:$AT$3, 0))="",L7,INDEX(Variablen!$I:$AT, MATCH(M7, Variablen!$A:$A, 0), MATCH((YEAR(D7)+4), Variablen!$I$3:$AT$3, 0))),L7)))*(IF((YEAR(D7)+4)&lt;YEAR(E7),0,IF((YEAR(D7)+4)&gt;YEAR(E7),1,(12-MONTH(E7)+1)/12))) + (Q7)*(IF((YEAR(D7)+4)&lt;YEAR(E7),0,IF((YEAR(D7)+4)&gt;YEAR(E7),1,(12-MONTH(E7)+1)/12))))-((P7)*(IF((YEAR(D7)+4)&lt;YEAR(E7),0,IF((YEAR(D7)+4)&gt;YEAR(E7),1,(12-MONTH(E7)+1)/12))) + (R7)*(IF((YEAR(D7)+4)&lt;YEAR(E7),0,IF((YEAR(D7)+4)&gt;YEAR(E7),1,(12-MONTH(E7)+1)/12))))-(IF(OR(N7="",N7&lt;=0),0,(O7/N7)*(IF(OR(N7="",N7&lt;=0),0,IF((YEAR(D7)+4)&lt;YEAR(E7),0,IF((YEAR(D7)+4)&gt;=YEAR(E7)+N7,0,IF((YEAR(D7)+4)=YEAR(E7),(12-MONTH(E7)+1)/12,1))))))))&gt;0,(((K7)*(IF(M7="",L7,IFERROR(IF(INDEX(Variablen!$I:$AT, MATCH(M7, Variablen!$A:$A, 0), MATCH((YEAR(D7)+4), Variablen!$I$3:$AT$3, 0))="",L7,INDEX(Variablen!$I:$AT, MATCH(M7, Variablen!$A:$A, 0), MATCH((YEAR(D7)+4), Variablen!$I$3:$AT$3, 0))),L7)))*(IF((YEAR(D7)+4)&lt;YEAR(E7),0,IF((YEAR(D7)+4)&gt;YEAR(E7),1,(12-MONTH(E7)+1)/12))) + (Q7)*(IF((YEAR(D7)+4)&lt;YEAR(E7),0,IF((YEAR(D7)+4)&gt;YEAR(E7),1,(12-MONTH(E7)+1)/12))))-((P7)*(IF((YEAR(D7)+4)&lt;YEAR(E7),0,IF((YEAR(D7)+4)&gt;YEAR(E7),1,(12-MONTH(E7)+1)/12))) + (R7)*(IF((YEAR(D7)+4)&lt;YEAR(E7),0,IF((YEAR(D7)+4)&gt;YEAR(E7),1,(12-MONTH(E7)+1)/12))))-(IF(OR(N7="",N7&lt;=0),0,(O7/N7)*(IF(OR(N7="",N7&lt;=0),0,IF((YEAR(D7)+4)&lt;YEAR(E7),0,IF((YEAR(D7)+4)&gt;=YEAR(E7)+N7,0,IF((YEAR(D7)+4)=YEAR(E7),(12-MONTH(E7)+1)/12,1))))))))*TaxRate,0))-IF(4=0,O7,0))</f>
        <v/>
      </c>
      <c r="X7" s="29">
        <f>IF(A7="","",((K7)*(IF(M7="",L7,IFERROR(IF(INDEX(Variablen!$I:$AT, MATCH(M7, Variablen!$A:$A, 0), MATCH((YEAR(D7)+5), Variablen!$I$3:$AT$3, 0))="",L7,INDEX(Variablen!$I:$AT, MATCH(M7, Variablen!$A:$A, 0), MATCH((YEAR(D7)+5), Variablen!$I$3:$AT$3, 0))),L7)))*(IF((YEAR(D7)+5)&lt;YEAR(E7),0,IF((YEAR(D7)+5)&gt;YEAR(E7),1,(12-MONTH(E7)+1)/12))) + (Q7)*(IF((YEAR(D7)+5)&lt;YEAR(E7),0,IF((YEAR(D7)+5)&gt;YEAR(E7),1,(12-MONTH(E7)+1)/12))))-((P7)*(IF((YEAR(D7)+5)&lt;YEAR(E7),0,IF((YEAR(D7)+5)&gt;YEAR(E7),1,(12-MONTH(E7)+1)/12))) + (R7)*(IF((YEAR(D7)+5)&lt;YEAR(E7),0,IF((YEAR(D7)+5)&gt;YEAR(E7),1,(12-MONTH(E7)+1)/12))))-(IF((((K7)*(IF(M7="",L7,IFERROR(IF(INDEX(Variablen!$I:$AT, MATCH(M7, Variablen!$A:$A, 0), MATCH((YEAR(D7)+5), Variablen!$I$3:$AT$3, 0))="",L7,INDEX(Variablen!$I:$AT, MATCH(M7, Variablen!$A:$A, 0), MATCH((YEAR(D7)+5), Variablen!$I$3:$AT$3, 0))),L7)))*(IF((YEAR(D7)+5)&lt;YEAR(E7),0,IF((YEAR(D7)+5)&gt;YEAR(E7),1,(12-MONTH(E7)+1)/12))) + (Q7)*(IF((YEAR(D7)+5)&lt;YEAR(E7),0,IF((YEAR(D7)+5)&gt;YEAR(E7),1,(12-MONTH(E7)+1)/12))))-((P7)*(IF((YEAR(D7)+5)&lt;YEAR(E7),0,IF((YEAR(D7)+5)&gt;YEAR(E7),1,(12-MONTH(E7)+1)/12))) + (R7)*(IF((YEAR(D7)+5)&lt;YEAR(E7),0,IF((YEAR(D7)+5)&gt;YEAR(E7),1,(12-MONTH(E7)+1)/12))))-(IF(OR(N7="",N7&lt;=0),0,(O7/N7)*(IF(OR(N7="",N7&lt;=0),0,IF((YEAR(D7)+5)&lt;YEAR(E7),0,IF((YEAR(D7)+5)&gt;=YEAR(E7)+N7,0,IF((YEAR(D7)+5)=YEAR(E7),(12-MONTH(E7)+1)/12,1))))))))&gt;0,(((K7)*(IF(M7="",L7,IFERROR(IF(INDEX(Variablen!$I:$AT, MATCH(M7, Variablen!$A:$A, 0), MATCH((YEAR(D7)+5), Variablen!$I$3:$AT$3, 0))="",L7,INDEX(Variablen!$I:$AT, MATCH(M7, Variablen!$A:$A, 0), MATCH((YEAR(D7)+5), Variablen!$I$3:$AT$3, 0))),L7)))*(IF((YEAR(D7)+5)&lt;YEAR(E7),0,IF((YEAR(D7)+5)&gt;YEAR(E7),1,(12-MONTH(E7)+1)/12))) + (Q7)*(IF((YEAR(D7)+5)&lt;YEAR(E7),0,IF((YEAR(D7)+5)&gt;YEAR(E7),1,(12-MONTH(E7)+1)/12))))-((P7)*(IF((YEAR(D7)+5)&lt;YEAR(E7),0,IF((YEAR(D7)+5)&gt;YEAR(E7),1,(12-MONTH(E7)+1)/12))) + (R7)*(IF((YEAR(D7)+5)&lt;YEAR(E7),0,IF((YEAR(D7)+5)&gt;YEAR(E7),1,(12-MONTH(E7)+1)/12))))-(IF(OR(N7="",N7&lt;=0),0,(O7/N7)*(IF(OR(N7="",N7&lt;=0),0,IF((YEAR(D7)+5)&lt;YEAR(E7),0,IF((YEAR(D7)+5)&gt;=YEAR(E7)+N7,0,IF((YEAR(D7)+5)=YEAR(E7),(12-MONTH(E7)+1)/12,1))))))))*TaxRate,0))-IF(5=0,O7,0))</f>
        <v/>
      </c>
      <c r="Y7" s="29">
        <f>IF(A7="","",((K7)*(IF(M7="",L7,IFERROR(IF(INDEX(Variablen!$I:$AT, MATCH(M7, Variablen!$A:$A, 0), MATCH((YEAR(D7)+6), Variablen!$I$3:$AT$3, 0))="",L7,INDEX(Variablen!$I:$AT, MATCH(M7, Variablen!$A:$A, 0), MATCH((YEAR(D7)+6), Variablen!$I$3:$AT$3, 0))),L7)))*(IF((YEAR(D7)+6)&lt;YEAR(E7),0,IF((YEAR(D7)+6)&gt;YEAR(E7),1,(12-MONTH(E7)+1)/12))) + (Q7)*(IF((YEAR(D7)+6)&lt;YEAR(E7),0,IF((YEAR(D7)+6)&gt;YEAR(E7),1,(12-MONTH(E7)+1)/12))))-((P7)*(IF((YEAR(D7)+6)&lt;YEAR(E7),0,IF((YEAR(D7)+6)&gt;YEAR(E7),1,(12-MONTH(E7)+1)/12))) + (R7)*(IF((YEAR(D7)+6)&lt;YEAR(E7),0,IF((YEAR(D7)+6)&gt;YEAR(E7),1,(12-MONTH(E7)+1)/12))))-(IF((((K7)*(IF(M7="",L7,IFERROR(IF(INDEX(Variablen!$I:$AT, MATCH(M7, Variablen!$A:$A, 0), MATCH((YEAR(D7)+6), Variablen!$I$3:$AT$3, 0))="",L7,INDEX(Variablen!$I:$AT, MATCH(M7, Variablen!$A:$A, 0), MATCH((YEAR(D7)+6), Variablen!$I$3:$AT$3, 0))),L7)))*(IF((YEAR(D7)+6)&lt;YEAR(E7),0,IF((YEAR(D7)+6)&gt;YEAR(E7),1,(12-MONTH(E7)+1)/12))) + (Q7)*(IF((YEAR(D7)+6)&lt;YEAR(E7),0,IF((YEAR(D7)+6)&gt;YEAR(E7),1,(12-MONTH(E7)+1)/12))))-((P7)*(IF((YEAR(D7)+6)&lt;YEAR(E7),0,IF((YEAR(D7)+6)&gt;YEAR(E7),1,(12-MONTH(E7)+1)/12))) + (R7)*(IF((YEAR(D7)+6)&lt;YEAR(E7),0,IF((YEAR(D7)+6)&gt;YEAR(E7),1,(12-MONTH(E7)+1)/12))))-(IF(OR(N7="",N7&lt;=0),0,(O7/N7)*(IF(OR(N7="",N7&lt;=0),0,IF((YEAR(D7)+6)&lt;YEAR(E7),0,IF((YEAR(D7)+6)&gt;=YEAR(E7)+N7,0,IF((YEAR(D7)+6)=YEAR(E7),(12-MONTH(E7)+1)/12,1))))))))&gt;0,(((K7)*(IF(M7="",L7,IFERROR(IF(INDEX(Variablen!$I:$AT, MATCH(M7, Variablen!$A:$A, 0), MATCH((YEAR(D7)+6), Variablen!$I$3:$AT$3, 0))="",L7,INDEX(Variablen!$I:$AT, MATCH(M7, Variablen!$A:$A, 0), MATCH((YEAR(D7)+6), Variablen!$I$3:$AT$3, 0))),L7)))*(IF((YEAR(D7)+6)&lt;YEAR(E7),0,IF((YEAR(D7)+6)&gt;YEAR(E7),1,(12-MONTH(E7)+1)/12))) + (Q7)*(IF((YEAR(D7)+6)&lt;YEAR(E7),0,IF((YEAR(D7)+6)&gt;YEAR(E7),1,(12-MONTH(E7)+1)/12))))-((P7)*(IF((YEAR(D7)+6)&lt;YEAR(E7),0,IF((YEAR(D7)+6)&gt;YEAR(E7),1,(12-MONTH(E7)+1)/12))) + (R7)*(IF((YEAR(D7)+6)&lt;YEAR(E7),0,IF((YEAR(D7)+6)&gt;YEAR(E7),1,(12-MONTH(E7)+1)/12))))-(IF(OR(N7="",N7&lt;=0),0,(O7/N7)*(IF(OR(N7="",N7&lt;=0),0,IF((YEAR(D7)+6)&lt;YEAR(E7),0,IF((YEAR(D7)+6)&gt;=YEAR(E7)+N7,0,IF((YEAR(D7)+6)=YEAR(E7),(12-MONTH(E7)+1)/12,1))))))))*TaxRate,0))-IF(6=0,O7,0))</f>
        <v/>
      </c>
      <c r="Z7" s="29">
        <f>IF(A7="","",((K7)*(IF(M7="",L7,IFERROR(IF(INDEX(Variablen!$I:$AT, MATCH(M7, Variablen!$A:$A, 0), MATCH((YEAR(D7)+7), Variablen!$I$3:$AT$3, 0))="",L7,INDEX(Variablen!$I:$AT, MATCH(M7, Variablen!$A:$A, 0), MATCH((YEAR(D7)+7), Variablen!$I$3:$AT$3, 0))),L7)))*(IF((YEAR(D7)+7)&lt;YEAR(E7),0,IF((YEAR(D7)+7)&gt;YEAR(E7),1,(12-MONTH(E7)+1)/12))) + (Q7)*(IF((YEAR(D7)+7)&lt;YEAR(E7),0,IF((YEAR(D7)+7)&gt;YEAR(E7),1,(12-MONTH(E7)+1)/12))))-((P7)*(IF((YEAR(D7)+7)&lt;YEAR(E7),0,IF((YEAR(D7)+7)&gt;YEAR(E7),1,(12-MONTH(E7)+1)/12))) + (R7)*(IF((YEAR(D7)+7)&lt;YEAR(E7),0,IF((YEAR(D7)+7)&gt;YEAR(E7),1,(12-MONTH(E7)+1)/12))))-(IF((((K7)*(IF(M7="",L7,IFERROR(IF(INDEX(Variablen!$I:$AT, MATCH(M7, Variablen!$A:$A, 0), MATCH((YEAR(D7)+7), Variablen!$I$3:$AT$3, 0))="",L7,INDEX(Variablen!$I:$AT, MATCH(M7, Variablen!$A:$A, 0), MATCH((YEAR(D7)+7), Variablen!$I$3:$AT$3, 0))),L7)))*(IF((YEAR(D7)+7)&lt;YEAR(E7),0,IF((YEAR(D7)+7)&gt;YEAR(E7),1,(12-MONTH(E7)+1)/12))) + (Q7)*(IF((YEAR(D7)+7)&lt;YEAR(E7),0,IF((YEAR(D7)+7)&gt;YEAR(E7),1,(12-MONTH(E7)+1)/12))))-((P7)*(IF((YEAR(D7)+7)&lt;YEAR(E7),0,IF((YEAR(D7)+7)&gt;YEAR(E7),1,(12-MONTH(E7)+1)/12))) + (R7)*(IF((YEAR(D7)+7)&lt;YEAR(E7),0,IF((YEAR(D7)+7)&gt;YEAR(E7),1,(12-MONTH(E7)+1)/12))))-(IF(OR(N7="",N7&lt;=0),0,(O7/N7)*(IF(OR(N7="",N7&lt;=0),0,IF((YEAR(D7)+7)&lt;YEAR(E7),0,IF((YEAR(D7)+7)&gt;=YEAR(E7)+N7,0,IF((YEAR(D7)+7)=YEAR(E7),(12-MONTH(E7)+1)/12,1))))))))&gt;0,(((K7)*(IF(M7="",L7,IFERROR(IF(INDEX(Variablen!$I:$AT, MATCH(M7, Variablen!$A:$A, 0), MATCH((YEAR(D7)+7), Variablen!$I$3:$AT$3, 0))="",L7,INDEX(Variablen!$I:$AT, MATCH(M7, Variablen!$A:$A, 0), MATCH((YEAR(D7)+7), Variablen!$I$3:$AT$3, 0))),L7)))*(IF((YEAR(D7)+7)&lt;YEAR(E7),0,IF((YEAR(D7)+7)&gt;YEAR(E7),1,(12-MONTH(E7)+1)/12))) + (Q7)*(IF((YEAR(D7)+7)&lt;YEAR(E7),0,IF((YEAR(D7)+7)&gt;YEAR(E7),1,(12-MONTH(E7)+1)/12))))-((P7)*(IF((YEAR(D7)+7)&lt;YEAR(E7),0,IF((YEAR(D7)+7)&gt;YEAR(E7),1,(12-MONTH(E7)+1)/12))) + (R7)*(IF((YEAR(D7)+7)&lt;YEAR(E7),0,IF((YEAR(D7)+7)&gt;YEAR(E7),1,(12-MONTH(E7)+1)/12))))-(IF(OR(N7="",N7&lt;=0),0,(O7/N7)*(IF(OR(N7="",N7&lt;=0),0,IF((YEAR(D7)+7)&lt;YEAR(E7),0,IF((YEAR(D7)+7)&gt;=YEAR(E7)+N7,0,IF((YEAR(D7)+7)=YEAR(E7),(12-MONTH(E7)+1)/12,1))))))))*TaxRate,0))-IF(7=0,O7,0))</f>
        <v/>
      </c>
      <c r="AA7" s="29">
        <f>IF(A7="","",((K7)*(IF(M7="",L7,IFERROR(IF(INDEX(Variablen!$I:$AT, MATCH(M7, Variablen!$A:$A, 0), MATCH((YEAR(D7)+8), Variablen!$I$3:$AT$3, 0))="",L7,INDEX(Variablen!$I:$AT, MATCH(M7, Variablen!$A:$A, 0), MATCH((YEAR(D7)+8), Variablen!$I$3:$AT$3, 0))),L7)))*(IF((YEAR(D7)+8)&lt;YEAR(E7),0,IF((YEAR(D7)+8)&gt;YEAR(E7),1,(12-MONTH(E7)+1)/12))) + (Q7)*(IF((YEAR(D7)+8)&lt;YEAR(E7),0,IF((YEAR(D7)+8)&gt;YEAR(E7),1,(12-MONTH(E7)+1)/12))))-((P7)*(IF((YEAR(D7)+8)&lt;YEAR(E7),0,IF((YEAR(D7)+8)&gt;YEAR(E7),1,(12-MONTH(E7)+1)/12))) + (R7)*(IF((YEAR(D7)+8)&lt;YEAR(E7),0,IF((YEAR(D7)+8)&gt;YEAR(E7),1,(12-MONTH(E7)+1)/12))))-(IF((((K7)*(IF(M7="",L7,IFERROR(IF(INDEX(Variablen!$I:$AT, MATCH(M7, Variablen!$A:$A, 0), MATCH((YEAR(D7)+8), Variablen!$I$3:$AT$3, 0))="",L7,INDEX(Variablen!$I:$AT, MATCH(M7, Variablen!$A:$A, 0), MATCH((YEAR(D7)+8), Variablen!$I$3:$AT$3, 0))),L7)))*(IF((YEAR(D7)+8)&lt;YEAR(E7),0,IF((YEAR(D7)+8)&gt;YEAR(E7),1,(12-MONTH(E7)+1)/12))) + (Q7)*(IF((YEAR(D7)+8)&lt;YEAR(E7),0,IF((YEAR(D7)+8)&gt;YEAR(E7),1,(12-MONTH(E7)+1)/12))))-((P7)*(IF((YEAR(D7)+8)&lt;YEAR(E7),0,IF((YEAR(D7)+8)&gt;YEAR(E7),1,(12-MONTH(E7)+1)/12))) + (R7)*(IF((YEAR(D7)+8)&lt;YEAR(E7),0,IF((YEAR(D7)+8)&gt;YEAR(E7),1,(12-MONTH(E7)+1)/12))))-(IF(OR(N7="",N7&lt;=0),0,(O7/N7)*(IF(OR(N7="",N7&lt;=0),0,IF((YEAR(D7)+8)&lt;YEAR(E7),0,IF((YEAR(D7)+8)&gt;=YEAR(E7)+N7,0,IF((YEAR(D7)+8)=YEAR(E7),(12-MONTH(E7)+1)/12,1))))))))&gt;0,(((K7)*(IF(M7="",L7,IFERROR(IF(INDEX(Variablen!$I:$AT, MATCH(M7, Variablen!$A:$A, 0), MATCH((YEAR(D7)+8), Variablen!$I$3:$AT$3, 0))="",L7,INDEX(Variablen!$I:$AT, MATCH(M7, Variablen!$A:$A, 0), MATCH((YEAR(D7)+8), Variablen!$I$3:$AT$3, 0))),L7)))*(IF((YEAR(D7)+8)&lt;YEAR(E7),0,IF((YEAR(D7)+8)&gt;YEAR(E7),1,(12-MONTH(E7)+1)/12))) + (Q7)*(IF((YEAR(D7)+8)&lt;YEAR(E7),0,IF((YEAR(D7)+8)&gt;YEAR(E7),1,(12-MONTH(E7)+1)/12))))-((P7)*(IF((YEAR(D7)+8)&lt;YEAR(E7),0,IF((YEAR(D7)+8)&gt;YEAR(E7),1,(12-MONTH(E7)+1)/12))) + (R7)*(IF((YEAR(D7)+8)&lt;YEAR(E7),0,IF((YEAR(D7)+8)&gt;YEAR(E7),1,(12-MONTH(E7)+1)/12))))-(IF(OR(N7="",N7&lt;=0),0,(O7/N7)*(IF(OR(N7="",N7&lt;=0),0,IF((YEAR(D7)+8)&lt;YEAR(E7),0,IF((YEAR(D7)+8)&gt;=YEAR(E7)+N7,0,IF((YEAR(D7)+8)=YEAR(E7),(12-MONTH(E7)+1)/12,1))))))))*TaxRate,0))-IF(8=0,O7,0))</f>
        <v/>
      </c>
      <c r="AB7" s="29">
        <f>IF(A7="","",((K7)*(IF(M7="",L7,IFERROR(IF(INDEX(Variablen!$I:$AT, MATCH(M7, Variablen!$A:$A, 0), MATCH((YEAR(D7)+9), Variablen!$I$3:$AT$3, 0))="",L7,INDEX(Variablen!$I:$AT, MATCH(M7, Variablen!$A:$A, 0), MATCH((YEAR(D7)+9), Variablen!$I$3:$AT$3, 0))),L7)))*(IF((YEAR(D7)+9)&lt;YEAR(E7),0,IF((YEAR(D7)+9)&gt;YEAR(E7),1,(12-MONTH(E7)+1)/12))) + (Q7)*(IF((YEAR(D7)+9)&lt;YEAR(E7),0,IF((YEAR(D7)+9)&gt;YEAR(E7),1,(12-MONTH(E7)+1)/12))))-((P7)*(IF((YEAR(D7)+9)&lt;YEAR(E7),0,IF((YEAR(D7)+9)&gt;YEAR(E7),1,(12-MONTH(E7)+1)/12))) + (R7)*(IF((YEAR(D7)+9)&lt;YEAR(E7),0,IF((YEAR(D7)+9)&gt;YEAR(E7),1,(12-MONTH(E7)+1)/12))))-(IF((((K7)*(IF(M7="",L7,IFERROR(IF(INDEX(Variablen!$I:$AT, MATCH(M7, Variablen!$A:$A, 0), MATCH((YEAR(D7)+9), Variablen!$I$3:$AT$3, 0))="",L7,INDEX(Variablen!$I:$AT, MATCH(M7, Variablen!$A:$A, 0), MATCH((YEAR(D7)+9), Variablen!$I$3:$AT$3, 0))),L7)))*(IF((YEAR(D7)+9)&lt;YEAR(E7),0,IF((YEAR(D7)+9)&gt;YEAR(E7),1,(12-MONTH(E7)+1)/12))) + (Q7)*(IF((YEAR(D7)+9)&lt;YEAR(E7),0,IF((YEAR(D7)+9)&gt;YEAR(E7),1,(12-MONTH(E7)+1)/12))))-((P7)*(IF((YEAR(D7)+9)&lt;YEAR(E7),0,IF((YEAR(D7)+9)&gt;YEAR(E7),1,(12-MONTH(E7)+1)/12))) + (R7)*(IF((YEAR(D7)+9)&lt;YEAR(E7),0,IF((YEAR(D7)+9)&gt;YEAR(E7),1,(12-MONTH(E7)+1)/12))))-(IF(OR(N7="",N7&lt;=0),0,(O7/N7)*(IF(OR(N7="",N7&lt;=0),0,IF((YEAR(D7)+9)&lt;YEAR(E7),0,IF((YEAR(D7)+9)&gt;=YEAR(E7)+N7,0,IF((YEAR(D7)+9)=YEAR(E7),(12-MONTH(E7)+1)/12,1))))))))&gt;0,(((K7)*(IF(M7="",L7,IFERROR(IF(INDEX(Variablen!$I:$AT, MATCH(M7, Variablen!$A:$A, 0), MATCH((YEAR(D7)+9), Variablen!$I$3:$AT$3, 0))="",L7,INDEX(Variablen!$I:$AT, MATCH(M7, Variablen!$A:$A, 0), MATCH((YEAR(D7)+9), Variablen!$I$3:$AT$3, 0))),L7)))*(IF((YEAR(D7)+9)&lt;YEAR(E7),0,IF((YEAR(D7)+9)&gt;YEAR(E7),1,(12-MONTH(E7)+1)/12))) + (Q7)*(IF((YEAR(D7)+9)&lt;YEAR(E7),0,IF((YEAR(D7)+9)&gt;YEAR(E7),1,(12-MONTH(E7)+1)/12))))-((P7)*(IF((YEAR(D7)+9)&lt;YEAR(E7),0,IF((YEAR(D7)+9)&gt;YEAR(E7),1,(12-MONTH(E7)+1)/12))) + (R7)*(IF((YEAR(D7)+9)&lt;YEAR(E7),0,IF((YEAR(D7)+9)&gt;YEAR(E7),1,(12-MONTH(E7)+1)/12))))-(IF(OR(N7="",N7&lt;=0),0,(O7/N7)*(IF(OR(N7="",N7&lt;=0),0,IF((YEAR(D7)+9)&lt;YEAR(E7),0,IF((YEAR(D7)+9)&gt;=YEAR(E7)+N7,0,IF((YEAR(D7)+9)=YEAR(E7),(12-MONTH(E7)+1)/12,1))))))))*TaxRate,0))-IF(9=0,O7,0))</f>
        <v/>
      </c>
      <c r="AC7" s="29">
        <f>IF(A7="","",((K7)*(IF(M7="",L7,IFERROR(IF(INDEX(Variablen!$I:$AT, MATCH(M7, Variablen!$A:$A, 0), MATCH((YEAR(D7)+10), Variablen!$I$3:$AT$3, 0))="",L7,INDEX(Variablen!$I:$AT, MATCH(M7, Variablen!$A:$A, 0), MATCH((YEAR(D7)+10), Variablen!$I$3:$AT$3, 0))),L7)))*(IF((YEAR(D7)+10)&lt;YEAR(E7),0,IF((YEAR(D7)+10)&gt;YEAR(E7),1,(12-MONTH(E7)+1)/12))) + (Q7)*(IF((YEAR(D7)+10)&lt;YEAR(E7),0,IF((YEAR(D7)+10)&gt;YEAR(E7),1,(12-MONTH(E7)+1)/12))))-((P7)*(IF((YEAR(D7)+10)&lt;YEAR(E7),0,IF((YEAR(D7)+10)&gt;YEAR(E7),1,(12-MONTH(E7)+1)/12))) + (R7)*(IF((YEAR(D7)+10)&lt;YEAR(E7),0,IF((YEAR(D7)+10)&gt;YEAR(E7),1,(12-MONTH(E7)+1)/12))))-(IF((((K7)*(IF(M7="",L7,IFERROR(IF(INDEX(Variablen!$I:$AT, MATCH(M7, Variablen!$A:$A, 0), MATCH((YEAR(D7)+10), Variablen!$I$3:$AT$3, 0))="",L7,INDEX(Variablen!$I:$AT, MATCH(M7, Variablen!$A:$A, 0), MATCH((YEAR(D7)+10), Variablen!$I$3:$AT$3, 0))),L7)))*(IF((YEAR(D7)+10)&lt;YEAR(E7),0,IF((YEAR(D7)+10)&gt;YEAR(E7),1,(12-MONTH(E7)+1)/12))) + (Q7)*(IF((YEAR(D7)+10)&lt;YEAR(E7),0,IF((YEAR(D7)+10)&gt;YEAR(E7),1,(12-MONTH(E7)+1)/12))))-((P7)*(IF((YEAR(D7)+10)&lt;YEAR(E7),0,IF((YEAR(D7)+10)&gt;YEAR(E7),1,(12-MONTH(E7)+1)/12))) + (R7)*(IF((YEAR(D7)+10)&lt;YEAR(E7),0,IF((YEAR(D7)+10)&gt;YEAR(E7),1,(12-MONTH(E7)+1)/12))))-(IF(OR(N7="",N7&lt;=0),0,(O7/N7)*(IF(OR(N7="",N7&lt;=0),0,IF((YEAR(D7)+10)&lt;YEAR(E7),0,IF((YEAR(D7)+10)&gt;=YEAR(E7)+N7,0,IF((YEAR(D7)+10)=YEAR(E7),(12-MONTH(E7)+1)/12,1))))))))&gt;0,(((K7)*(IF(M7="",L7,IFERROR(IF(INDEX(Variablen!$I:$AT, MATCH(M7, Variablen!$A:$A, 0), MATCH((YEAR(D7)+10), Variablen!$I$3:$AT$3, 0))="",L7,INDEX(Variablen!$I:$AT, MATCH(M7, Variablen!$A:$A, 0), MATCH((YEAR(D7)+10), Variablen!$I$3:$AT$3, 0))),L7)))*(IF((YEAR(D7)+10)&lt;YEAR(E7),0,IF((YEAR(D7)+10)&gt;YEAR(E7),1,(12-MONTH(E7)+1)/12))) + (Q7)*(IF((YEAR(D7)+10)&lt;YEAR(E7),0,IF((YEAR(D7)+10)&gt;YEAR(E7),1,(12-MONTH(E7)+1)/12))))-((P7)*(IF((YEAR(D7)+10)&lt;YEAR(E7),0,IF((YEAR(D7)+10)&gt;YEAR(E7),1,(12-MONTH(E7)+1)/12))) + (R7)*(IF((YEAR(D7)+10)&lt;YEAR(E7),0,IF((YEAR(D7)+10)&gt;YEAR(E7),1,(12-MONTH(E7)+1)/12))))-(IF(OR(N7="",N7&lt;=0),0,(O7/N7)*(IF(OR(N7="",N7&lt;=0),0,IF((YEAR(D7)+10)&lt;YEAR(E7),0,IF((YEAR(D7)+10)&gt;=YEAR(E7)+N7,0,IF((YEAR(D7)+10)=YEAR(E7),(12-MONTH(E7)+1)/12,1))))))))*TaxRate,0))-IF(10=0,O7,0))</f>
        <v/>
      </c>
      <c r="AD7" s="29">
        <f>IF(A7="","",((K7)*(IF(M7="",L7,IFERROR(IF(INDEX(Variablen!$I:$AT, MATCH(M7, Variablen!$A:$A, 0), MATCH((YEAR(D7)+11), Variablen!$I$3:$AT$3, 0))="",L7,INDEX(Variablen!$I:$AT, MATCH(M7, Variablen!$A:$A, 0), MATCH((YEAR(D7)+11), Variablen!$I$3:$AT$3, 0))),L7)))*(IF((YEAR(D7)+11)&lt;YEAR(E7),0,IF((YEAR(D7)+11)&gt;YEAR(E7),1,(12-MONTH(E7)+1)/12))) + (Q7)*(IF((YEAR(D7)+11)&lt;YEAR(E7),0,IF((YEAR(D7)+11)&gt;YEAR(E7),1,(12-MONTH(E7)+1)/12))))-((P7)*(IF((YEAR(D7)+11)&lt;YEAR(E7),0,IF((YEAR(D7)+11)&gt;YEAR(E7),1,(12-MONTH(E7)+1)/12))) + (R7)*(IF((YEAR(D7)+11)&lt;YEAR(E7),0,IF((YEAR(D7)+11)&gt;YEAR(E7),1,(12-MONTH(E7)+1)/12))))-(IF((((K7)*(IF(M7="",L7,IFERROR(IF(INDEX(Variablen!$I:$AT, MATCH(M7, Variablen!$A:$A, 0), MATCH((YEAR(D7)+11), Variablen!$I$3:$AT$3, 0))="",L7,INDEX(Variablen!$I:$AT, MATCH(M7, Variablen!$A:$A, 0), MATCH((YEAR(D7)+11), Variablen!$I$3:$AT$3, 0))),L7)))*(IF((YEAR(D7)+11)&lt;YEAR(E7),0,IF((YEAR(D7)+11)&gt;YEAR(E7),1,(12-MONTH(E7)+1)/12))) + (Q7)*(IF((YEAR(D7)+11)&lt;YEAR(E7),0,IF((YEAR(D7)+11)&gt;YEAR(E7),1,(12-MONTH(E7)+1)/12))))-((P7)*(IF((YEAR(D7)+11)&lt;YEAR(E7),0,IF((YEAR(D7)+11)&gt;YEAR(E7),1,(12-MONTH(E7)+1)/12))) + (R7)*(IF((YEAR(D7)+11)&lt;YEAR(E7),0,IF((YEAR(D7)+11)&gt;YEAR(E7),1,(12-MONTH(E7)+1)/12))))-(IF(OR(N7="",N7&lt;=0),0,(O7/N7)*(IF(OR(N7="",N7&lt;=0),0,IF((YEAR(D7)+11)&lt;YEAR(E7),0,IF((YEAR(D7)+11)&gt;=YEAR(E7)+N7,0,IF((YEAR(D7)+11)=YEAR(E7),(12-MONTH(E7)+1)/12,1))))))))&gt;0,(((K7)*(IF(M7="",L7,IFERROR(IF(INDEX(Variablen!$I:$AT, MATCH(M7, Variablen!$A:$A, 0), MATCH((YEAR(D7)+11), Variablen!$I$3:$AT$3, 0))="",L7,INDEX(Variablen!$I:$AT, MATCH(M7, Variablen!$A:$A, 0), MATCH((YEAR(D7)+11), Variablen!$I$3:$AT$3, 0))),L7)))*(IF((YEAR(D7)+11)&lt;YEAR(E7),0,IF((YEAR(D7)+11)&gt;YEAR(E7),1,(12-MONTH(E7)+1)/12))) + (Q7)*(IF((YEAR(D7)+11)&lt;YEAR(E7),0,IF((YEAR(D7)+11)&gt;YEAR(E7),1,(12-MONTH(E7)+1)/12))))-((P7)*(IF((YEAR(D7)+11)&lt;YEAR(E7),0,IF((YEAR(D7)+11)&gt;YEAR(E7),1,(12-MONTH(E7)+1)/12))) + (R7)*(IF((YEAR(D7)+11)&lt;YEAR(E7),0,IF((YEAR(D7)+11)&gt;YEAR(E7),1,(12-MONTH(E7)+1)/12))))-(IF(OR(N7="",N7&lt;=0),0,(O7/N7)*(IF(OR(N7="",N7&lt;=0),0,IF((YEAR(D7)+11)&lt;YEAR(E7),0,IF((YEAR(D7)+11)&gt;=YEAR(E7)+N7,0,IF((YEAR(D7)+11)=YEAR(E7),(12-MONTH(E7)+1)/12,1))))))))*TaxRate,0))-IF(11=0,O7,0))</f>
        <v/>
      </c>
      <c r="AE7" s="29">
        <f>IF(A7="","",((K7)*(IF(M7="",L7,IFERROR(IF(INDEX(Variablen!$I:$AT, MATCH(M7, Variablen!$A:$A, 0), MATCH((YEAR(D7)+12), Variablen!$I$3:$AT$3, 0))="",L7,INDEX(Variablen!$I:$AT, MATCH(M7, Variablen!$A:$A, 0), MATCH((YEAR(D7)+12), Variablen!$I$3:$AT$3, 0))),L7)))*(IF((YEAR(D7)+12)&lt;YEAR(E7),0,IF((YEAR(D7)+12)&gt;YEAR(E7),1,(12-MONTH(E7)+1)/12))) + (Q7)*(IF((YEAR(D7)+12)&lt;YEAR(E7),0,IF((YEAR(D7)+12)&gt;YEAR(E7),1,(12-MONTH(E7)+1)/12))))-((P7)*(IF((YEAR(D7)+12)&lt;YEAR(E7),0,IF((YEAR(D7)+12)&gt;YEAR(E7),1,(12-MONTH(E7)+1)/12))) + (R7)*(IF((YEAR(D7)+12)&lt;YEAR(E7),0,IF((YEAR(D7)+12)&gt;YEAR(E7),1,(12-MONTH(E7)+1)/12))))-(IF((((K7)*(IF(M7="",L7,IFERROR(IF(INDEX(Variablen!$I:$AT, MATCH(M7, Variablen!$A:$A, 0), MATCH((YEAR(D7)+12), Variablen!$I$3:$AT$3, 0))="",L7,INDEX(Variablen!$I:$AT, MATCH(M7, Variablen!$A:$A, 0), MATCH((YEAR(D7)+12), Variablen!$I$3:$AT$3, 0))),L7)))*(IF((YEAR(D7)+12)&lt;YEAR(E7),0,IF((YEAR(D7)+12)&gt;YEAR(E7),1,(12-MONTH(E7)+1)/12))) + (Q7)*(IF((YEAR(D7)+12)&lt;YEAR(E7),0,IF((YEAR(D7)+12)&gt;YEAR(E7),1,(12-MONTH(E7)+1)/12))))-((P7)*(IF((YEAR(D7)+12)&lt;YEAR(E7),0,IF((YEAR(D7)+12)&gt;YEAR(E7),1,(12-MONTH(E7)+1)/12))) + (R7)*(IF((YEAR(D7)+12)&lt;YEAR(E7),0,IF((YEAR(D7)+12)&gt;YEAR(E7),1,(12-MONTH(E7)+1)/12))))-(IF(OR(N7="",N7&lt;=0),0,(O7/N7)*(IF(OR(N7="",N7&lt;=0),0,IF((YEAR(D7)+12)&lt;YEAR(E7),0,IF((YEAR(D7)+12)&gt;=YEAR(E7)+N7,0,IF((YEAR(D7)+12)=YEAR(E7),(12-MONTH(E7)+1)/12,1))))))))&gt;0,(((K7)*(IF(M7="",L7,IFERROR(IF(INDEX(Variablen!$I:$AT, MATCH(M7, Variablen!$A:$A, 0), MATCH((YEAR(D7)+12), Variablen!$I$3:$AT$3, 0))="",L7,INDEX(Variablen!$I:$AT, MATCH(M7, Variablen!$A:$A, 0), MATCH((YEAR(D7)+12), Variablen!$I$3:$AT$3, 0))),L7)))*(IF((YEAR(D7)+12)&lt;YEAR(E7),0,IF((YEAR(D7)+12)&gt;YEAR(E7),1,(12-MONTH(E7)+1)/12))) + (Q7)*(IF((YEAR(D7)+12)&lt;YEAR(E7),0,IF((YEAR(D7)+12)&gt;YEAR(E7),1,(12-MONTH(E7)+1)/12))))-((P7)*(IF((YEAR(D7)+12)&lt;YEAR(E7),0,IF((YEAR(D7)+12)&gt;YEAR(E7),1,(12-MONTH(E7)+1)/12))) + (R7)*(IF((YEAR(D7)+12)&lt;YEAR(E7),0,IF((YEAR(D7)+12)&gt;YEAR(E7),1,(12-MONTH(E7)+1)/12))))-(IF(OR(N7="",N7&lt;=0),0,(O7/N7)*(IF(OR(N7="",N7&lt;=0),0,IF((YEAR(D7)+12)&lt;YEAR(E7),0,IF((YEAR(D7)+12)&gt;=YEAR(E7)+N7,0,IF((YEAR(D7)+12)=YEAR(E7),(12-MONTH(E7)+1)/12,1))))))))*TaxRate,0))-IF(12=0,O7,0))</f>
        <v/>
      </c>
      <c r="AF7" s="29">
        <f>IF(A7="","",((K7)*(IF(M7="",L7,IFERROR(IF(INDEX(Variablen!$I:$AT, MATCH(M7, Variablen!$A:$A, 0), MATCH((YEAR(D7)+13), Variablen!$I$3:$AT$3, 0))="",L7,INDEX(Variablen!$I:$AT, MATCH(M7, Variablen!$A:$A, 0), MATCH((YEAR(D7)+13), Variablen!$I$3:$AT$3, 0))),L7)))*(IF((YEAR(D7)+13)&lt;YEAR(E7),0,IF((YEAR(D7)+13)&gt;YEAR(E7),1,(12-MONTH(E7)+1)/12))) + (Q7)*(IF((YEAR(D7)+13)&lt;YEAR(E7),0,IF((YEAR(D7)+13)&gt;YEAR(E7),1,(12-MONTH(E7)+1)/12))))-((P7)*(IF((YEAR(D7)+13)&lt;YEAR(E7),0,IF((YEAR(D7)+13)&gt;YEAR(E7),1,(12-MONTH(E7)+1)/12))) + (R7)*(IF((YEAR(D7)+13)&lt;YEAR(E7),0,IF((YEAR(D7)+13)&gt;YEAR(E7),1,(12-MONTH(E7)+1)/12))))-(IF((((K7)*(IF(M7="",L7,IFERROR(IF(INDEX(Variablen!$I:$AT, MATCH(M7, Variablen!$A:$A, 0), MATCH((YEAR(D7)+13), Variablen!$I$3:$AT$3, 0))="",L7,INDEX(Variablen!$I:$AT, MATCH(M7, Variablen!$A:$A, 0), MATCH((YEAR(D7)+13), Variablen!$I$3:$AT$3, 0))),L7)))*(IF((YEAR(D7)+13)&lt;YEAR(E7),0,IF((YEAR(D7)+13)&gt;YEAR(E7),1,(12-MONTH(E7)+1)/12))) + (Q7)*(IF((YEAR(D7)+13)&lt;YEAR(E7),0,IF((YEAR(D7)+13)&gt;YEAR(E7),1,(12-MONTH(E7)+1)/12))))-((P7)*(IF((YEAR(D7)+13)&lt;YEAR(E7),0,IF((YEAR(D7)+13)&gt;YEAR(E7),1,(12-MONTH(E7)+1)/12))) + (R7)*(IF((YEAR(D7)+13)&lt;YEAR(E7),0,IF((YEAR(D7)+13)&gt;YEAR(E7),1,(12-MONTH(E7)+1)/12))))-(IF(OR(N7="",N7&lt;=0),0,(O7/N7)*(IF(OR(N7="",N7&lt;=0),0,IF((YEAR(D7)+13)&lt;YEAR(E7),0,IF((YEAR(D7)+13)&gt;=YEAR(E7)+N7,0,IF((YEAR(D7)+13)=YEAR(E7),(12-MONTH(E7)+1)/12,1))))))))&gt;0,(((K7)*(IF(M7="",L7,IFERROR(IF(INDEX(Variablen!$I:$AT, MATCH(M7, Variablen!$A:$A, 0), MATCH((YEAR(D7)+13), Variablen!$I$3:$AT$3, 0))="",L7,INDEX(Variablen!$I:$AT, MATCH(M7, Variablen!$A:$A, 0), MATCH((YEAR(D7)+13), Variablen!$I$3:$AT$3, 0))),L7)))*(IF((YEAR(D7)+13)&lt;YEAR(E7),0,IF((YEAR(D7)+13)&gt;YEAR(E7),1,(12-MONTH(E7)+1)/12))) + (Q7)*(IF((YEAR(D7)+13)&lt;YEAR(E7),0,IF((YEAR(D7)+13)&gt;YEAR(E7),1,(12-MONTH(E7)+1)/12))))-((P7)*(IF((YEAR(D7)+13)&lt;YEAR(E7),0,IF((YEAR(D7)+13)&gt;YEAR(E7),1,(12-MONTH(E7)+1)/12))) + (R7)*(IF((YEAR(D7)+13)&lt;YEAR(E7),0,IF((YEAR(D7)+13)&gt;YEAR(E7),1,(12-MONTH(E7)+1)/12))))-(IF(OR(N7="",N7&lt;=0),0,(O7/N7)*(IF(OR(N7="",N7&lt;=0),0,IF((YEAR(D7)+13)&lt;YEAR(E7),0,IF((YEAR(D7)+13)&gt;=YEAR(E7)+N7,0,IF((YEAR(D7)+13)=YEAR(E7),(12-MONTH(E7)+1)/12,1))))))))*TaxRate,0))-IF(13=0,O7,0))</f>
        <v/>
      </c>
      <c r="AG7" s="29">
        <f>IF(A7="","",((K7)*(IF(M7="",L7,IFERROR(IF(INDEX(Variablen!$I:$AT, MATCH(M7, Variablen!$A:$A, 0), MATCH((YEAR(D7)+14), Variablen!$I$3:$AT$3, 0))="",L7,INDEX(Variablen!$I:$AT, MATCH(M7, Variablen!$A:$A, 0), MATCH((YEAR(D7)+14), Variablen!$I$3:$AT$3, 0))),L7)))*(IF((YEAR(D7)+14)&lt;YEAR(E7),0,IF((YEAR(D7)+14)&gt;YEAR(E7),1,(12-MONTH(E7)+1)/12))) + (Q7)*(IF((YEAR(D7)+14)&lt;YEAR(E7),0,IF((YEAR(D7)+14)&gt;YEAR(E7),1,(12-MONTH(E7)+1)/12))))-((P7)*(IF((YEAR(D7)+14)&lt;YEAR(E7),0,IF((YEAR(D7)+14)&gt;YEAR(E7),1,(12-MONTH(E7)+1)/12))) + (R7)*(IF((YEAR(D7)+14)&lt;YEAR(E7),0,IF((YEAR(D7)+14)&gt;YEAR(E7),1,(12-MONTH(E7)+1)/12))))-(IF((((K7)*(IF(M7="",L7,IFERROR(IF(INDEX(Variablen!$I:$AT, MATCH(M7, Variablen!$A:$A, 0), MATCH((YEAR(D7)+14), Variablen!$I$3:$AT$3, 0))="",L7,INDEX(Variablen!$I:$AT, MATCH(M7, Variablen!$A:$A, 0), MATCH((YEAR(D7)+14), Variablen!$I$3:$AT$3, 0))),L7)))*(IF((YEAR(D7)+14)&lt;YEAR(E7),0,IF((YEAR(D7)+14)&gt;YEAR(E7),1,(12-MONTH(E7)+1)/12))) + (Q7)*(IF((YEAR(D7)+14)&lt;YEAR(E7),0,IF((YEAR(D7)+14)&gt;YEAR(E7),1,(12-MONTH(E7)+1)/12))))-((P7)*(IF((YEAR(D7)+14)&lt;YEAR(E7),0,IF((YEAR(D7)+14)&gt;YEAR(E7),1,(12-MONTH(E7)+1)/12))) + (R7)*(IF((YEAR(D7)+14)&lt;YEAR(E7),0,IF((YEAR(D7)+14)&gt;YEAR(E7),1,(12-MONTH(E7)+1)/12))))-(IF(OR(N7="",N7&lt;=0),0,(O7/N7)*(IF(OR(N7="",N7&lt;=0),0,IF((YEAR(D7)+14)&lt;YEAR(E7),0,IF((YEAR(D7)+14)&gt;=YEAR(E7)+N7,0,IF((YEAR(D7)+14)=YEAR(E7),(12-MONTH(E7)+1)/12,1))))))))&gt;0,(((K7)*(IF(M7="",L7,IFERROR(IF(INDEX(Variablen!$I:$AT, MATCH(M7, Variablen!$A:$A, 0), MATCH((YEAR(D7)+14), Variablen!$I$3:$AT$3, 0))="",L7,INDEX(Variablen!$I:$AT, MATCH(M7, Variablen!$A:$A, 0), MATCH((YEAR(D7)+14), Variablen!$I$3:$AT$3, 0))),L7)))*(IF((YEAR(D7)+14)&lt;YEAR(E7),0,IF((YEAR(D7)+14)&gt;YEAR(E7),1,(12-MONTH(E7)+1)/12))) + (Q7)*(IF((YEAR(D7)+14)&lt;YEAR(E7),0,IF((YEAR(D7)+14)&gt;YEAR(E7),1,(12-MONTH(E7)+1)/12))))-((P7)*(IF((YEAR(D7)+14)&lt;YEAR(E7),0,IF((YEAR(D7)+14)&gt;YEAR(E7),1,(12-MONTH(E7)+1)/12))) + (R7)*(IF((YEAR(D7)+14)&lt;YEAR(E7),0,IF((YEAR(D7)+14)&gt;YEAR(E7),1,(12-MONTH(E7)+1)/12))))-(IF(OR(N7="",N7&lt;=0),0,(O7/N7)*(IF(OR(N7="",N7&lt;=0),0,IF((YEAR(D7)+14)&lt;YEAR(E7),0,IF((YEAR(D7)+14)&gt;=YEAR(E7)+N7,0,IF((YEAR(D7)+14)=YEAR(E7),(12-MONTH(E7)+1)/12,1))))))))*TaxRate,0))-IF(14=0,O7,0))</f>
        <v/>
      </c>
      <c r="AH7" s="29">
        <f>IF(A7="","",((K7)*(IF(M7="",L7,IFERROR(IF(INDEX(Variablen!$I:$AT, MATCH(M7, Variablen!$A:$A, 0), MATCH((YEAR(D7)+15), Variablen!$I$3:$AT$3, 0))="",L7,INDEX(Variablen!$I:$AT, MATCH(M7, Variablen!$A:$A, 0), MATCH((YEAR(D7)+15), Variablen!$I$3:$AT$3, 0))),L7)))*(IF((YEAR(D7)+15)&lt;YEAR(E7),0,IF((YEAR(D7)+15)&gt;YEAR(E7),1,(12-MONTH(E7)+1)/12))) + (Q7)*(IF((YEAR(D7)+15)&lt;YEAR(E7),0,IF((YEAR(D7)+15)&gt;YEAR(E7),1,(12-MONTH(E7)+1)/12))))-((P7)*(IF((YEAR(D7)+15)&lt;YEAR(E7),0,IF((YEAR(D7)+15)&gt;YEAR(E7),1,(12-MONTH(E7)+1)/12))) + (R7)*(IF((YEAR(D7)+15)&lt;YEAR(E7),0,IF((YEAR(D7)+15)&gt;YEAR(E7),1,(12-MONTH(E7)+1)/12))))-(IF((((K7)*(IF(M7="",L7,IFERROR(IF(INDEX(Variablen!$I:$AT, MATCH(M7, Variablen!$A:$A, 0), MATCH((YEAR(D7)+15), Variablen!$I$3:$AT$3, 0))="",L7,INDEX(Variablen!$I:$AT, MATCH(M7, Variablen!$A:$A, 0), MATCH((YEAR(D7)+15), Variablen!$I$3:$AT$3, 0))),L7)))*(IF((YEAR(D7)+15)&lt;YEAR(E7),0,IF((YEAR(D7)+15)&gt;YEAR(E7),1,(12-MONTH(E7)+1)/12))) + (Q7)*(IF((YEAR(D7)+15)&lt;YEAR(E7),0,IF((YEAR(D7)+15)&gt;YEAR(E7),1,(12-MONTH(E7)+1)/12))))-((P7)*(IF((YEAR(D7)+15)&lt;YEAR(E7),0,IF((YEAR(D7)+15)&gt;YEAR(E7),1,(12-MONTH(E7)+1)/12))) + (R7)*(IF((YEAR(D7)+15)&lt;YEAR(E7),0,IF((YEAR(D7)+15)&gt;YEAR(E7),1,(12-MONTH(E7)+1)/12))))-(IF(OR(N7="",N7&lt;=0),0,(O7/N7)*(IF(OR(N7="",N7&lt;=0),0,IF((YEAR(D7)+15)&lt;YEAR(E7),0,IF((YEAR(D7)+15)&gt;=YEAR(E7)+N7,0,IF((YEAR(D7)+15)=YEAR(E7),(12-MONTH(E7)+1)/12,1))))))))&gt;0,(((K7)*(IF(M7="",L7,IFERROR(IF(INDEX(Variablen!$I:$AT, MATCH(M7, Variablen!$A:$A, 0), MATCH((YEAR(D7)+15), Variablen!$I$3:$AT$3, 0))="",L7,INDEX(Variablen!$I:$AT, MATCH(M7, Variablen!$A:$A, 0), MATCH((YEAR(D7)+15), Variablen!$I$3:$AT$3, 0))),L7)))*(IF((YEAR(D7)+15)&lt;YEAR(E7),0,IF((YEAR(D7)+15)&gt;YEAR(E7),1,(12-MONTH(E7)+1)/12))) + (Q7)*(IF((YEAR(D7)+15)&lt;YEAR(E7),0,IF((YEAR(D7)+15)&gt;YEAR(E7),1,(12-MONTH(E7)+1)/12))))-((P7)*(IF((YEAR(D7)+15)&lt;YEAR(E7),0,IF((YEAR(D7)+15)&gt;YEAR(E7),1,(12-MONTH(E7)+1)/12))) + (R7)*(IF((YEAR(D7)+15)&lt;YEAR(E7),0,IF((YEAR(D7)+15)&gt;YEAR(E7),1,(12-MONTH(E7)+1)/12))))-(IF(OR(N7="",N7&lt;=0),0,(O7/N7)*(IF(OR(N7="",N7&lt;=0),0,IF((YEAR(D7)+15)&lt;YEAR(E7),0,IF((YEAR(D7)+15)&gt;=YEAR(E7)+N7,0,IF((YEAR(D7)+15)=YEAR(E7),(12-MONTH(E7)+1)/12,1))))))))*TaxRate,0))-IF(15=0,O7,0))</f>
        <v/>
      </c>
      <c r="AI7" s="29">
        <f>IF(A7="","",((K7)*(IF(M7="",L7,IFERROR(IF(INDEX(Variablen!$I:$AT, MATCH(M7, Variablen!$A:$A, 0), MATCH((YEAR(D7)+16), Variablen!$I$3:$AT$3, 0))="",L7,INDEX(Variablen!$I:$AT, MATCH(M7, Variablen!$A:$A, 0), MATCH((YEAR(D7)+16), Variablen!$I$3:$AT$3, 0))),L7)))*(IF((YEAR(D7)+16)&lt;YEAR(E7),0,IF((YEAR(D7)+16)&gt;YEAR(E7),1,(12-MONTH(E7)+1)/12))) + (Q7)*(IF((YEAR(D7)+16)&lt;YEAR(E7),0,IF((YEAR(D7)+16)&gt;YEAR(E7),1,(12-MONTH(E7)+1)/12))))-((P7)*(IF((YEAR(D7)+16)&lt;YEAR(E7),0,IF((YEAR(D7)+16)&gt;YEAR(E7),1,(12-MONTH(E7)+1)/12))) + (R7)*(IF((YEAR(D7)+16)&lt;YEAR(E7),0,IF((YEAR(D7)+16)&gt;YEAR(E7),1,(12-MONTH(E7)+1)/12))))-(IF((((K7)*(IF(M7="",L7,IFERROR(IF(INDEX(Variablen!$I:$AT, MATCH(M7, Variablen!$A:$A, 0), MATCH((YEAR(D7)+16), Variablen!$I$3:$AT$3, 0))="",L7,INDEX(Variablen!$I:$AT, MATCH(M7, Variablen!$A:$A, 0), MATCH((YEAR(D7)+16), Variablen!$I$3:$AT$3, 0))),L7)))*(IF((YEAR(D7)+16)&lt;YEAR(E7),0,IF((YEAR(D7)+16)&gt;YEAR(E7),1,(12-MONTH(E7)+1)/12))) + (Q7)*(IF((YEAR(D7)+16)&lt;YEAR(E7),0,IF((YEAR(D7)+16)&gt;YEAR(E7),1,(12-MONTH(E7)+1)/12))))-((P7)*(IF((YEAR(D7)+16)&lt;YEAR(E7),0,IF((YEAR(D7)+16)&gt;YEAR(E7),1,(12-MONTH(E7)+1)/12))) + (R7)*(IF((YEAR(D7)+16)&lt;YEAR(E7),0,IF((YEAR(D7)+16)&gt;YEAR(E7),1,(12-MONTH(E7)+1)/12))))-(IF(OR(N7="",N7&lt;=0),0,(O7/N7)*(IF(OR(N7="",N7&lt;=0),0,IF((YEAR(D7)+16)&lt;YEAR(E7),0,IF((YEAR(D7)+16)&gt;=YEAR(E7)+N7,0,IF((YEAR(D7)+16)=YEAR(E7),(12-MONTH(E7)+1)/12,1))))))))&gt;0,(((K7)*(IF(M7="",L7,IFERROR(IF(INDEX(Variablen!$I:$AT, MATCH(M7, Variablen!$A:$A, 0), MATCH((YEAR(D7)+16), Variablen!$I$3:$AT$3, 0))="",L7,INDEX(Variablen!$I:$AT, MATCH(M7, Variablen!$A:$A, 0), MATCH((YEAR(D7)+16), Variablen!$I$3:$AT$3, 0))),L7)))*(IF((YEAR(D7)+16)&lt;YEAR(E7),0,IF((YEAR(D7)+16)&gt;YEAR(E7),1,(12-MONTH(E7)+1)/12))) + (Q7)*(IF((YEAR(D7)+16)&lt;YEAR(E7),0,IF((YEAR(D7)+16)&gt;YEAR(E7),1,(12-MONTH(E7)+1)/12))))-((P7)*(IF((YEAR(D7)+16)&lt;YEAR(E7),0,IF((YEAR(D7)+16)&gt;YEAR(E7),1,(12-MONTH(E7)+1)/12))) + (R7)*(IF((YEAR(D7)+16)&lt;YEAR(E7),0,IF((YEAR(D7)+16)&gt;YEAR(E7),1,(12-MONTH(E7)+1)/12))))-(IF(OR(N7="",N7&lt;=0),0,(O7/N7)*(IF(OR(N7="",N7&lt;=0),0,IF((YEAR(D7)+16)&lt;YEAR(E7),0,IF((YEAR(D7)+16)&gt;=YEAR(E7)+N7,0,IF((YEAR(D7)+16)=YEAR(E7),(12-MONTH(E7)+1)/12,1))))))))*TaxRate,0))-IF(16=0,O7,0))</f>
        <v/>
      </c>
      <c r="AJ7" s="29">
        <f>IF(A7="","",((K7)*(IF(M7="",L7,IFERROR(IF(INDEX(Variablen!$I:$AT, MATCH(M7, Variablen!$A:$A, 0), MATCH((YEAR(D7)+17), Variablen!$I$3:$AT$3, 0))="",L7,INDEX(Variablen!$I:$AT, MATCH(M7, Variablen!$A:$A, 0), MATCH((YEAR(D7)+17), Variablen!$I$3:$AT$3, 0))),L7)))*(IF((YEAR(D7)+17)&lt;YEAR(E7),0,IF((YEAR(D7)+17)&gt;YEAR(E7),1,(12-MONTH(E7)+1)/12))) + (Q7)*(IF((YEAR(D7)+17)&lt;YEAR(E7),0,IF((YEAR(D7)+17)&gt;YEAR(E7),1,(12-MONTH(E7)+1)/12))))-((P7)*(IF((YEAR(D7)+17)&lt;YEAR(E7),0,IF((YEAR(D7)+17)&gt;YEAR(E7),1,(12-MONTH(E7)+1)/12))) + (R7)*(IF((YEAR(D7)+17)&lt;YEAR(E7),0,IF((YEAR(D7)+17)&gt;YEAR(E7),1,(12-MONTH(E7)+1)/12))))-(IF((((K7)*(IF(M7="",L7,IFERROR(IF(INDEX(Variablen!$I:$AT, MATCH(M7, Variablen!$A:$A, 0), MATCH((YEAR(D7)+17), Variablen!$I$3:$AT$3, 0))="",L7,INDEX(Variablen!$I:$AT, MATCH(M7, Variablen!$A:$A, 0), MATCH((YEAR(D7)+17), Variablen!$I$3:$AT$3, 0))),L7)))*(IF((YEAR(D7)+17)&lt;YEAR(E7),0,IF((YEAR(D7)+17)&gt;YEAR(E7),1,(12-MONTH(E7)+1)/12))) + (Q7)*(IF((YEAR(D7)+17)&lt;YEAR(E7),0,IF((YEAR(D7)+17)&gt;YEAR(E7),1,(12-MONTH(E7)+1)/12))))-((P7)*(IF((YEAR(D7)+17)&lt;YEAR(E7),0,IF((YEAR(D7)+17)&gt;YEAR(E7),1,(12-MONTH(E7)+1)/12))) + (R7)*(IF((YEAR(D7)+17)&lt;YEAR(E7),0,IF((YEAR(D7)+17)&gt;YEAR(E7),1,(12-MONTH(E7)+1)/12))))-(IF(OR(N7="",N7&lt;=0),0,(O7/N7)*(IF(OR(N7="",N7&lt;=0),0,IF((YEAR(D7)+17)&lt;YEAR(E7),0,IF((YEAR(D7)+17)&gt;=YEAR(E7)+N7,0,IF((YEAR(D7)+17)=YEAR(E7),(12-MONTH(E7)+1)/12,1))))))))&gt;0,(((K7)*(IF(M7="",L7,IFERROR(IF(INDEX(Variablen!$I:$AT, MATCH(M7, Variablen!$A:$A, 0), MATCH((YEAR(D7)+17), Variablen!$I$3:$AT$3, 0))="",L7,INDEX(Variablen!$I:$AT, MATCH(M7, Variablen!$A:$A, 0), MATCH((YEAR(D7)+17), Variablen!$I$3:$AT$3, 0))),L7)))*(IF((YEAR(D7)+17)&lt;YEAR(E7),0,IF((YEAR(D7)+17)&gt;YEAR(E7),1,(12-MONTH(E7)+1)/12))) + (Q7)*(IF((YEAR(D7)+17)&lt;YEAR(E7),0,IF((YEAR(D7)+17)&gt;YEAR(E7),1,(12-MONTH(E7)+1)/12))))-((P7)*(IF((YEAR(D7)+17)&lt;YEAR(E7),0,IF((YEAR(D7)+17)&gt;YEAR(E7),1,(12-MONTH(E7)+1)/12))) + (R7)*(IF((YEAR(D7)+17)&lt;YEAR(E7),0,IF((YEAR(D7)+17)&gt;YEAR(E7),1,(12-MONTH(E7)+1)/12))))-(IF(OR(N7="",N7&lt;=0),0,(O7/N7)*(IF(OR(N7="",N7&lt;=0),0,IF((YEAR(D7)+17)&lt;YEAR(E7),0,IF((YEAR(D7)+17)&gt;=YEAR(E7)+N7,0,IF((YEAR(D7)+17)=YEAR(E7),(12-MONTH(E7)+1)/12,1))))))))*TaxRate,0))-IF(17=0,O7,0))</f>
        <v/>
      </c>
      <c r="AK7" s="29">
        <f>IF(A7="","",((K7)*(IF(M7="",L7,IFERROR(IF(INDEX(Variablen!$I:$AT, MATCH(M7, Variablen!$A:$A, 0), MATCH((YEAR(D7)+18), Variablen!$I$3:$AT$3, 0))="",L7,INDEX(Variablen!$I:$AT, MATCH(M7, Variablen!$A:$A, 0), MATCH((YEAR(D7)+18), Variablen!$I$3:$AT$3, 0))),L7)))*(IF((YEAR(D7)+18)&lt;YEAR(E7),0,IF((YEAR(D7)+18)&gt;YEAR(E7),1,(12-MONTH(E7)+1)/12))) + (Q7)*(IF((YEAR(D7)+18)&lt;YEAR(E7),0,IF((YEAR(D7)+18)&gt;YEAR(E7),1,(12-MONTH(E7)+1)/12))))-((P7)*(IF((YEAR(D7)+18)&lt;YEAR(E7),0,IF((YEAR(D7)+18)&gt;YEAR(E7),1,(12-MONTH(E7)+1)/12))) + (R7)*(IF((YEAR(D7)+18)&lt;YEAR(E7),0,IF((YEAR(D7)+18)&gt;YEAR(E7),1,(12-MONTH(E7)+1)/12))))-(IF((((K7)*(IF(M7="",L7,IFERROR(IF(INDEX(Variablen!$I:$AT, MATCH(M7, Variablen!$A:$A, 0), MATCH((YEAR(D7)+18), Variablen!$I$3:$AT$3, 0))="",L7,INDEX(Variablen!$I:$AT, MATCH(M7, Variablen!$A:$A, 0), MATCH((YEAR(D7)+18), Variablen!$I$3:$AT$3, 0))),L7)))*(IF((YEAR(D7)+18)&lt;YEAR(E7),0,IF((YEAR(D7)+18)&gt;YEAR(E7),1,(12-MONTH(E7)+1)/12))) + (Q7)*(IF((YEAR(D7)+18)&lt;YEAR(E7),0,IF((YEAR(D7)+18)&gt;YEAR(E7),1,(12-MONTH(E7)+1)/12))))-((P7)*(IF((YEAR(D7)+18)&lt;YEAR(E7),0,IF((YEAR(D7)+18)&gt;YEAR(E7),1,(12-MONTH(E7)+1)/12))) + (R7)*(IF((YEAR(D7)+18)&lt;YEAR(E7),0,IF((YEAR(D7)+18)&gt;YEAR(E7),1,(12-MONTH(E7)+1)/12))))-(IF(OR(N7="",N7&lt;=0),0,(O7/N7)*(IF(OR(N7="",N7&lt;=0),0,IF((YEAR(D7)+18)&lt;YEAR(E7),0,IF((YEAR(D7)+18)&gt;=YEAR(E7)+N7,0,IF((YEAR(D7)+18)=YEAR(E7),(12-MONTH(E7)+1)/12,1))))))))&gt;0,(((K7)*(IF(M7="",L7,IFERROR(IF(INDEX(Variablen!$I:$AT, MATCH(M7, Variablen!$A:$A, 0), MATCH((YEAR(D7)+18), Variablen!$I$3:$AT$3, 0))="",L7,INDEX(Variablen!$I:$AT, MATCH(M7, Variablen!$A:$A, 0), MATCH((YEAR(D7)+18), Variablen!$I$3:$AT$3, 0))),L7)))*(IF((YEAR(D7)+18)&lt;YEAR(E7),0,IF((YEAR(D7)+18)&gt;YEAR(E7),1,(12-MONTH(E7)+1)/12))) + (Q7)*(IF((YEAR(D7)+18)&lt;YEAR(E7),0,IF((YEAR(D7)+18)&gt;YEAR(E7),1,(12-MONTH(E7)+1)/12))))-((P7)*(IF((YEAR(D7)+18)&lt;YEAR(E7),0,IF((YEAR(D7)+18)&gt;YEAR(E7),1,(12-MONTH(E7)+1)/12))) + (R7)*(IF((YEAR(D7)+18)&lt;YEAR(E7),0,IF((YEAR(D7)+18)&gt;YEAR(E7),1,(12-MONTH(E7)+1)/12))))-(IF(OR(N7="",N7&lt;=0),0,(O7/N7)*(IF(OR(N7="",N7&lt;=0),0,IF((YEAR(D7)+18)&lt;YEAR(E7),0,IF((YEAR(D7)+18)&gt;=YEAR(E7)+N7,0,IF((YEAR(D7)+18)=YEAR(E7),(12-MONTH(E7)+1)/12,1))))))))*TaxRate,0))-IF(18=0,O7,0))</f>
        <v/>
      </c>
      <c r="AL7" s="29">
        <f>IF(A7="","",((K7)*(IF(M7="",L7,IFERROR(IF(INDEX(Variablen!$I:$AT, MATCH(M7, Variablen!$A:$A, 0), MATCH((YEAR(D7)+19), Variablen!$I$3:$AT$3, 0))="",L7,INDEX(Variablen!$I:$AT, MATCH(M7, Variablen!$A:$A, 0), MATCH((YEAR(D7)+19), Variablen!$I$3:$AT$3, 0))),L7)))*(IF((YEAR(D7)+19)&lt;YEAR(E7),0,IF((YEAR(D7)+19)&gt;YEAR(E7),1,(12-MONTH(E7)+1)/12))) + (Q7)*(IF((YEAR(D7)+19)&lt;YEAR(E7),0,IF((YEAR(D7)+19)&gt;YEAR(E7),1,(12-MONTH(E7)+1)/12))))-((P7)*(IF((YEAR(D7)+19)&lt;YEAR(E7),0,IF((YEAR(D7)+19)&gt;YEAR(E7),1,(12-MONTH(E7)+1)/12))) + (R7)*(IF((YEAR(D7)+19)&lt;YEAR(E7),0,IF((YEAR(D7)+19)&gt;YEAR(E7),1,(12-MONTH(E7)+1)/12))))-(IF((((K7)*(IF(M7="",L7,IFERROR(IF(INDEX(Variablen!$I:$AT, MATCH(M7, Variablen!$A:$A, 0), MATCH((YEAR(D7)+19), Variablen!$I$3:$AT$3, 0))="",L7,INDEX(Variablen!$I:$AT, MATCH(M7, Variablen!$A:$A, 0), MATCH((YEAR(D7)+19), Variablen!$I$3:$AT$3, 0))),L7)))*(IF((YEAR(D7)+19)&lt;YEAR(E7),0,IF((YEAR(D7)+19)&gt;YEAR(E7),1,(12-MONTH(E7)+1)/12))) + (Q7)*(IF((YEAR(D7)+19)&lt;YEAR(E7),0,IF((YEAR(D7)+19)&gt;YEAR(E7),1,(12-MONTH(E7)+1)/12))))-((P7)*(IF((YEAR(D7)+19)&lt;YEAR(E7),0,IF((YEAR(D7)+19)&gt;YEAR(E7),1,(12-MONTH(E7)+1)/12))) + (R7)*(IF((YEAR(D7)+19)&lt;YEAR(E7),0,IF((YEAR(D7)+19)&gt;YEAR(E7),1,(12-MONTH(E7)+1)/12))))-(IF(OR(N7="",N7&lt;=0),0,(O7/N7)*(IF(OR(N7="",N7&lt;=0),0,IF((YEAR(D7)+19)&lt;YEAR(E7),0,IF((YEAR(D7)+19)&gt;=YEAR(E7)+N7,0,IF((YEAR(D7)+19)=YEAR(E7),(12-MONTH(E7)+1)/12,1))))))))&gt;0,(((K7)*(IF(M7="",L7,IFERROR(IF(INDEX(Variablen!$I:$AT, MATCH(M7, Variablen!$A:$A, 0), MATCH((YEAR(D7)+19), Variablen!$I$3:$AT$3, 0))="",L7,INDEX(Variablen!$I:$AT, MATCH(M7, Variablen!$A:$A, 0), MATCH((YEAR(D7)+19), Variablen!$I$3:$AT$3, 0))),L7)))*(IF((YEAR(D7)+19)&lt;YEAR(E7),0,IF((YEAR(D7)+19)&gt;YEAR(E7),1,(12-MONTH(E7)+1)/12))) + (Q7)*(IF((YEAR(D7)+19)&lt;YEAR(E7),0,IF((YEAR(D7)+19)&gt;YEAR(E7),1,(12-MONTH(E7)+1)/12))))-((P7)*(IF((YEAR(D7)+19)&lt;YEAR(E7),0,IF((YEAR(D7)+19)&gt;YEAR(E7),1,(12-MONTH(E7)+1)/12))) + (R7)*(IF((YEAR(D7)+19)&lt;YEAR(E7),0,IF((YEAR(D7)+19)&gt;YEAR(E7),1,(12-MONTH(E7)+1)/12))))-(IF(OR(N7="",N7&lt;=0),0,(O7/N7)*(IF(OR(N7="",N7&lt;=0),0,IF((YEAR(D7)+19)&lt;YEAR(E7),0,IF((YEAR(D7)+19)&gt;=YEAR(E7)+N7,0,IF((YEAR(D7)+19)=YEAR(E7),(12-MONTH(E7)+1)/12,1))))))))*TaxRate,0))-IF(19=0,O7,0))</f>
        <v/>
      </c>
      <c r="AM7" s="29">
        <f>IF(A7="","",((K7)*(IF(M7="",L7,IFERROR(IF(INDEX(Variablen!$I:$AT, MATCH(M7, Variablen!$A:$A, 0), MATCH((YEAR(D7)+20), Variablen!$I$3:$AT$3, 0))="",L7,INDEX(Variablen!$I:$AT, MATCH(M7, Variablen!$A:$A, 0), MATCH((YEAR(D7)+20), Variablen!$I$3:$AT$3, 0))),L7)))*(IF((YEAR(D7)+20)&lt;YEAR(E7),0,IF((YEAR(D7)+20)&gt;YEAR(E7),1,(12-MONTH(E7)+1)/12))) + (Q7)*(IF((YEAR(D7)+20)&lt;YEAR(E7),0,IF((YEAR(D7)+20)&gt;YEAR(E7),1,(12-MONTH(E7)+1)/12))))-((P7)*(IF((YEAR(D7)+20)&lt;YEAR(E7),0,IF((YEAR(D7)+20)&gt;YEAR(E7),1,(12-MONTH(E7)+1)/12))) + (R7)*(IF((YEAR(D7)+20)&lt;YEAR(E7),0,IF((YEAR(D7)+20)&gt;YEAR(E7),1,(12-MONTH(E7)+1)/12))))-(IF((((K7)*(IF(M7="",L7,IFERROR(IF(INDEX(Variablen!$I:$AT, MATCH(M7, Variablen!$A:$A, 0), MATCH((YEAR(D7)+20), Variablen!$I$3:$AT$3, 0))="",L7,INDEX(Variablen!$I:$AT, MATCH(M7, Variablen!$A:$A, 0), MATCH((YEAR(D7)+20), Variablen!$I$3:$AT$3, 0))),L7)))*(IF((YEAR(D7)+20)&lt;YEAR(E7),0,IF((YEAR(D7)+20)&gt;YEAR(E7),1,(12-MONTH(E7)+1)/12))) + (Q7)*(IF((YEAR(D7)+20)&lt;YEAR(E7),0,IF((YEAR(D7)+20)&gt;YEAR(E7),1,(12-MONTH(E7)+1)/12))))-((P7)*(IF((YEAR(D7)+20)&lt;YEAR(E7),0,IF((YEAR(D7)+20)&gt;YEAR(E7),1,(12-MONTH(E7)+1)/12))) + (R7)*(IF((YEAR(D7)+20)&lt;YEAR(E7),0,IF((YEAR(D7)+20)&gt;YEAR(E7),1,(12-MONTH(E7)+1)/12))))-(IF(OR(N7="",N7&lt;=0),0,(O7/N7)*(IF(OR(N7="",N7&lt;=0),0,IF((YEAR(D7)+20)&lt;YEAR(E7),0,IF((YEAR(D7)+20)&gt;=YEAR(E7)+N7,0,IF((YEAR(D7)+20)=YEAR(E7),(12-MONTH(E7)+1)/12,1))))))))&gt;0,(((K7)*(IF(M7="",L7,IFERROR(IF(INDEX(Variablen!$I:$AT, MATCH(M7, Variablen!$A:$A, 0), MATCH((YEAR(D7)+20), Variablen!$I$3:$AT$3, 0))="",L7,INDEX(Variablen!$I:$AT, MATCH(M7, Variablen!$A:$A, 0), MATCH((YEAR(D7)+20), Variablen!$I$3:$AT$3, 0))),L7)))*(IF((YEAR(D7)+20)&lt;YEAR(E7),0,IF((YEAR(D7)+20)&gt;YEAR(E7),1,(12-MONTH(E7)+1)/12))) + (Q7)*(IF((YEAR(D7)+20)&lt;YEAR(E7),0,IF((YEAR(D7)+20)&gt;YEAR(E7),1,(12-MONTH(E7)+1)/12))))-((P7)*(IF((YEAR(D7)+20)&lt;YEAR(E7),0,IF((YEAR(D7)+20)&gt;YEAR(E7),1,(12-MONTH(E7)+1)/12))) + (R7)*(IF((YEAR(D7)+20)&lt;YEAR(E7),0,IF((YEAR(D7)+20)&gt;YEAR(E7),1,(12-MONTH(E7)+1)/12))))-(IF(OR(N7="",N7&lt;=0),0,(O7/N7)*(IF(OR(N7="",N7&lt;=0),0,IF((YEAR(D7)+20)&lt;YEAR(E7),0,IF((YEAR(D7)+20)&gt;=YEAR(E7)+N7,0,IF((YEAR(D7)+20)=YEAR(E7),(12-MONTH(E7)+1)/12,1))))))))*TaxRate,0))-IF(20=0,O7,0))</f>
        <v/>
      </c>
      <c r="AN7" s="29">
        <f>IF(A7="","",S7)</f>
        <v/>
      </c>
      <c r="AO7" s="29">
        <f>IF(A7="","",AN7+T7)</f>
        <v/>
      </c>
      <c r="AP7" s="29">
        <f>IF(A7="","",AO7+U7)</f>
        <v/>
      </c>
      <c r="AQ7" s="29">
        <f>IF(A7="","",AP7+V7)</f>
        <v/>
      </c>
      <c r="AR7" s="29">
        <f>IF(A7="","",AQ7+W7)</f>
        <v/>
      </c>
      <c r="AS7" s="29">
        <f>IF(A7="","",AR7+X7)</f>
        <v/>
      </c>
      <c r="AT7" s="29">
        <f>IF(A7="","",AS7+Y7)</f>
        <v/>
      </c>
      <c r="AU7" s="29">
        <f>IF(A7="","",AT7+Z7)</f>
        <v/>
      </c>
      <c r="AV7" s="29">
        <f>IF(A7="","",AU7+AA7)</f>
        <v/>
      </c>
      <c r="AW7" s="29">
        <f>IF(A7="","",AV7+AB7)</f>
        <v/>
      </c>
      <c r="AX7" s="29">
        <f>IF(A7="","",AW7+AC7)</f>
        <v/>
      </c>
      <c r="AY7" s="29">
        <f>IF(A7="","",AX7+AD7)</f>
        <v/>
      </c>
      <c r="AZ7" s="29">
        <f>IF(A7="","",AY7+AE7)</f>
        <v/>
      </c>
      <c r="BA7" s="29">
        <f>IF(A7="","",AZ7+AF7)</f>
        <v/>
      </c>
      <c r="BB7" s="29">
        <f>IF(A7="","",BA7+AG7)</f>
        <v/>
      </c>
      <c r="BC7" s="29">
        <f>IF(A7="","",BB7+AH7)</f>
        <v/>
      </c>
      <c r="BD7" s="29">
        <f>IF(A7="","",BC7+AI7)</f>
        <v/>
      </c>
      <c r="BE7" s="29">
        <f>IF(A7="","",BD7+AJ7)</f>
        <v/>
      </c>
      <c r="BF7" s="29">
        <f>IF(A7="","",BE7+AK7)</f>
        <v/>
      </c>
      <c r="BG7" s="29">
        <f>IF(A7="","",BF7+AL7)</f>
        <v/>
      </c>
      <c r="BH7" s="29">
        <f>IF(A7="","",BG7+AM7)</f>
        <v/>
      </c>
      <c r="BI7" s="36">
        <f>IF(A7="","",(K7)*(IF((YEAR(D7)+0)&lt;YEAR(E7),0,IF((YEAR(D7)+0)&gt;YEAR(E7),1,(12-MONTH(E7)+1)/12)))*(1/(1+DiscountRate)^0))</f>
        <v/>
      </c>
      <c r="BJ7" s="36">
        <f>IF(A7="","",(K7)*(IF((YEAR(D7)+1)&lt;YEAR(E7),0,IF((YEAR(D7)+1)&gt;YEAR(E7),1,(12-MONTH(E7)+1)/12)))*(1/(1+DiscountRate)^1))</f>
        <v/>
      </c>
      <c r="BK7" s="36">
        <f>IF(A7="","",(K7)*(IF((YEAR(D7)+2)&lt;YEAR(E7),0,IF((YEAR(D7)+2)&gt;YEAR(E7),1,(12-MONTH(E7)+1)/12)))*(1/(1+DiscountRate)^2))</f>
        <v/>
      </c>
      <c r="BL7" s="36">
        <f>IF(A7="","",(K7)*(IF((YEAR(D7)+3)&lt;YEAR(E7),0,IF((YEAR(D7)+3)&gt;YEAR(E7),1,(12-MONTH(E7)+1)/12)))*(1/(1+DiscountRate)^3))</f>
        <v/>
      </c>
      <c r="BM7" s="36">
        <f>IF(A7="","",(K7)*(IF((YEAR(D7)+4)&lt;YEAR(E7),0,IF((YEAR(D7)+4)&gt;YEAR(E7),1,(12-MONTH(E7)+1)/12)))*(1/(1+DiscountRate)^4))</f>
        <v/>
      </c>
      <c r="BN7" s="36">
        <f>IF(A7="","",(K7)*(IF((YEAR(D7)+5)&lt;YEAR(E7),0,IF((YEAR(D7)+5)&gt;YEAR(E7),1,(12-MONTH(E7)+1)/12)))*(1/(1+DiscountRate)^5))</f>
        <v/>
      </c>
      <c r="BO7" s="36">
        <f>IF(A7="","",(K7)*(IF((YEAR(D7)+6)&lt;YEAR(E7),0,IF((YEAR(D7)+6)&gt;YEAR(E7),1,(12-MONTH(E7)+1)/12)))*(1/(1+DiscountRate)^6))</f>
        <v/>
      </c>
      <c r="BP7" s="36">
        <f>IF(A7="","",(K7)*(IF((YEAR(D7)+7)&lt;YEAR(E7),0,IF((YEAR(D7)+7)&gt;YEAR(E7),1,(12-MONTH(E7)+1)/12)))*(1/(1+DiscountRate)^7))</f>
        <v/>
      </c>
      <c r="BQ7" s="36">
        <f>IF(A7="","",(K7)*(IF((YEAR(D7)+8)&lt;YEAR(E7),0,IF((YEAR(D7)+8)&gt;YEAR(E7),1,(12-MONTH(E7)+1)/12)))*(1/(1+DiscountRate)^8))</f>
        <v/>
      </c>
      <c r="BR7" s="36">
        <f>IF(A7="","",(K7)*(IF((YEAR(D7)+9)&lt;YEAR(E7),0,IF((YEAR(D7)+9)&gt;YEAR(E7),1,(12-MONTH(E7)+1)/12)))*(1/(1+DiscountRate)^9))</f>
        <v/>
      </c>
      <c r="BS7" s="36">
        <f>IF(A7="","",(K7)*(IF((YEAR(D7)+10)&lt;YEAR(E7),0,IF((YEAR(D7)+10)&gt;YEAR(E7),1,(12-MONTH(E7)+1)/12)))*(1/(1+DiscountRate)^10))</f>
        <v/>
      </c>
      <c r="BT7" s="36">
        <f>IF(A7="","",(K7)*(IF((YEAR(D7)+11)&lt;YEAR(E7),0,IF((YEAR(D7)+11)&gt;YEAR(E7),1,(12-MONTH(E7)+1)/12)))*(1/(1+DiscountRate)^11))</f>
        <v/>
      </c>
      <c r="BU7" s="36">
        <f>IF(A7="","",(K7)*(IF((YEAR(D7)+12)&lt;YEAR(E7),0,IF((YEAR(D7)+12)&gt;YEAR(E7),1,(12-MONTH(E7)+1)/12)))*(1/(1+DiscountRate)^12))</f>
        <v/>
      </c>
      <c r="BV7" s="36">
        <f>IF(A7="","",(K7)*(IF((YEAR(D7)+13)&lt;YEAR(E7),0,IF((YEAR(D7)+13)&gt;YEAR(E7),1,(12-MONTH(E7)+1)/12)))*(1/(1+DiscountRate)^13))</f>
        <v/>
      </c>
      <c r="BW7" s="36">
        <f>IF(A7="","",(K7)*(IF((YEAR(D7)+14)&lt;YEAR(E7),0,IF((YEAR(D7)+14)&gt;YEAR(E7),1,(12-MONTH(E7)+1)/12)))*(1/(1+DiscountRate)^14))</f>
        <v/>
      </c>
      <c r="BX7" s="36">
        <f>IF(A7="","",(K7)*(IF((YEAR(D7)+15)&lt;YEAR(E7),0,IF((YEAR(D7)+15)&gt;YEAR(E7),1,(12-MONTH(E7)+1)/12)))*(1/(1+DiscountRate)^15))</f>
        <v/>
      </c>
      <c r="BY7" s="36">
        <f>IF(A7="","",(K7)*(IF((YEAR(D7)+16)&lt;YEAR(E7),0,IF((YEAR(D7)+16)&gt;YEAR(E7),1,(12-MONTH(E7)+1)/12)))*(1/(1+DiscountRate)^16))</f>
        <v/>
      </c>
      <c r="BZ7" s="36">
        <f>IF(A7="","",(K7)*(IF((YEAR(D7)+17)&lt;YEAR(E7),0,IF((YEAR(D7)+17)&gt;YEAR(E7),1,(12-MONTH(E7)+1)/12)))*(1/(1+DiscountRate)^17))</f>
        <v/>
      </c>
      <c r="CA7" s="36">
        <f>IF(A7="","",(K7)*(IF((YEAR(D7)+18)&lt;YEAR(E7),0,IF((YEAR(D7)+18)&gt;YEAR(E7),1,(12-MONTH(E7)+1)/12)))*(1/(1+DiscountRate)^18))</f>
        <v/>
      </c>
      <c r="CB7" s="36">
        <f>IF(A7="","",(K7)*(IF((YEAR(D7)+19)&lt;YEAR(E7),0,IF((YEAR(D7)+19)&gt;YEAR(E7),1,(12-MONTH(E7)+1)/12)))*(1/(1+DiscountRate)^19))</f>
        <v/>
      </c>
      <c r="CC7" s="36">
        <f>IF(A7="","",(K7)*(IF((YEAR(D7)+20)&lt;YEAR(E7),0,IF((YEAR(D7)+20)&gt;YEAR(E7),1,(12-MONTH(E7)+1)/12)))*(1/(1+DiscountRate)^20))</f>
        <v/>
      </c>
      <c r="CD7" s="29">
        <f>IF(A7="","",S7/(1+DiscountRate)^0+T7/(1+DiscountRate)^1+U7/(1+DiscountRate)^2+V7/(1+DiscountRate)^3+W7/(1+DiscountRate)^4+X7/(1+DiscountRate)^5+Y7/(1+DiscountRate)^6+Z7/(1+DiscountRate)^7+AA7/(1+DiscountRate)^8+AB7/(1+DiscountRate)^9+AC7/(1+DiscountRate)^10+AD7/(1+DiscountRate)^11+AE7/(1+DiscountRate)^12+AF7/(1+DiscountRate)^13+AG7/(1+DiscountRate)^14+AH7/(1+DiscountRate)^15+AI7/(1+DiscountRate)^16+AJ7/(1+DiscountRate)^17+AK7/(1+DiscountRate)^18+AL7/(1+DiscountRate)^19+AM7/(1+DiscountRate)^20)</f>
        <v/>
      </c>
      <c r="CE7" s="37">
        <f>IF(A7="","",IFERROR(IRR(OFFSET(S7,0,0,1,MIN(HorizonYears,20)+1)),"n/a"))</f>
        <v/>
      </c>
      <c r="CF7" s="28">
        <f>IF(A7="","",IFERROR(MATCH(TRUE,OFFSET(AN7,0,0,1,MIN(HorizonYears,20)+1)&gt;=0,0)-1,"n/a"))</f>
        <v/>
      </c>
      <c r="CG7" s="36">
        <f>IF(A7="","",SUM(OFFSET(BI7,0,0,1,MIN(HorizonYears,20)+1)))</f>
        <v/>
      </c>
      <c r="CH7" s="36">
        <f>IF(A7="","",IFERROR(-CD7/CG7,"n/a"))</f>
        <v/>
      </c>
    </row>
    <row r="8">
      <c r="A8" s="6">
        <f>Actions!A6</f>
        <v/>
      </c>
      <c r="B8" s="6">
        <f>Actions!B6</f>
        <v/>
      </c>
      <c r="C8" s="6">
        <f>Actions!D6</f>
        <v/>
      </c>
      <c r="D8" s="35">
        <f>Actions!E6</f>
        <v/>
      </c>
      <c r="E8" s="35">
        <f>Actions!F6</f>
        <v/>
      </c>
      <c r="F8" s="6">
        <f>Actions!G6</f>
        <v/>
      </c>
      <c r="G8" s="6">
        <f>Actions!H6</f>
        <v/>
      </c>
      <c r="H8" s="29">
        <f>Actions!I6</f>
        <v/>
      </c>
      <c r="I8" s="6">
        <f>Actions!J6</f>
        <v/>
      </c>
      <c r="J8" s="16">
        <f>Actions!K6</f>
        <v/>
      </c>
      <c r="K8" s="16">
        <f>IF(A8="","",IF(I8="%",H8*J8,J8))</f>
        <v/>
      </c>
      <c r="L8" s="16">
        <f>Actions!L6</f>
        <v/>
      </c>
      <c r="M8" s="6">
        <f>Actions!M6</f>
        <v/>
      </c>
      <c r="N8" s="28">
        <f>Actions!N6</f>
        <v/>
      </c>
      <c r="O8" s="29">
        <f>Actions!T6</f>
        <v/>
      </c>
      <c r="P8" s="29">
        <f>Actions!Y6</f>
        <v/>
      </c>
      <c r="Q8" s="29">
        <f>Actions!Z6</f>
        <v/>
      </c>
      <c r="R8" s="29">
        <f>Actions!AA6</f>
        <v/>
      </c>
      <c r="S8" s="29">
        <f>IF(A8="","",((K8)*(IF(M8="",L8,IFERROR(IF(INDEX(Variablen!$I:$AT, MATCH(M8, Variablen!$A:$A, 0), MATCH((YEAR(D8)+0), Variablen!$I$3:$AT$3, 0))="",L8,INDEX(Variablen!$I:$AT, MATCH(M8, Variablen!$A:$A, 0), MATCH((YEAR(D8)+0), Variablen!$I$3:$AT$3, 0))),L8)))*(IF((YEAR(D8)+0)&lt;YEAR(E8),0,IF((YEAR(D8)+0)&gt;YEAR(E8),1,(12-MONTH(E8)+1)/12))) + (Q8)*(IF((YEAR(D8)+0)&lt;YEAR(E8),0,IF((YEAR(D8)+0)&gt;YEAR(E8),1,(12-MONTH(E8)+1)/12))))-((P8)*(IF((YEAR(D8)+0)&lt;YEAR(E8),0,IF((YEAR(D8)+0)&gt;YEAR(E8),1,(12-MONTH(E8)+1)/12))) + (R8)*(IF((YEAR(D8)+0)&lt;YEAR(E8),0,IF((YEAR(D8)+0)&gt;YEAR(E8),1,(12-MONTH(E8)+1)/12))))-(IF((((K8)*(IF(M8="",L8,IFERROR(IF(INDEX(Variablen!$I:$AT, MATCH(M8, Variablen!$A:$A, 0), MATCH((YEAR(D8)+0), Variablen!$I$3:$AT$3, 0))="",L8,INDEX(Variablen!$I:$AT, MATCH(M8, Variablen!$A:$A, 0), MATCH((YEAR(D8)+0), Variablen!$I$3:$AT$3, 0))),L8)))*(IF((YEAR(D8)+0)&lt;YEAR(E8),0,IF((YEAR(D8)+0)&gt;YEAR(E8),1,(12-MONTH(E8)+1)/12))) + (Q8)*(IF((YEAR(D8)+0)&lt;YEAR(E8),0,IF((YEAR(D8)+0)&gt;YEAR(E8),1,(12-MONTH(E8)+1)/12))))-((P8)*(IF((YEAR(D8)+0)&lt;YEAR(E8),0,IF((YEAR(D8)+0)&gt;YEAR(E8),1,(12-MONTH(E8)+1)/12))) + (R8)*(IF((YEAR(D8)+0)&lt;YEAR(E8),0,IF((YEAR(D8)+0)&gt;YEAR(E8),1,(12-MONTH(E8)+1)/12))))-(IF(OR(N8="",N8&lt;=0),0,(O8/N8)*(IF(OR(N8="",N8&lt;=0),0,IF((YEAR(D8)+0)&lt;YEAR(E8),0,IF((YEAR(D8)+0)&gt;=YEAR(E8)+N8,0,IF((YEAR(D8)+0)=YEAR(E8),(12-MONTH(E8)+1)/12,1))))))))&gt;0,(((K8)*(IF(M8="",L8,IFERROR(IF(INDEX(Variablen!$I:$AT, MATCH(M8, Variablen!$A:$A, 0), MATCH((YEAR(D8)+0), Variablen!$I$3:$AT$3, 0))="",L8,INDEX(Variablen!$I:$AT, MATCH(M8, Variablen!$A:$A, 0), MATCH((YEAR(D8)+0), Variablen!$I$3:$AT$3, 0))),L8)))*(IF((YEAR(D8)+0)&lt;YEAR(E8),0,IF((YEAR(D8)+0)&gt;YEAR(E8),1,(12-MONTH(E8)+1)/12))) + (Q8)*(IF((YEAR(D8)+0)&lt;YEAR(E8),0,IF((YEAR(D8)+0)&gt;YEAR(E8),1,(12-MONTH(E8)+1)/12))))-((P8)*(IF((YEAR(D8)+0)&lt;YEAR(E8),0,IF((YEAR(D8)+0)&gt;YEAR(E8),1,(12-MONTH(E8)+1)/12))) + (R8)*(IF((YEAR(D8)+0)&lt;YEAR(E8),0,IF((YEAR(D8)+0)&gt;YEAR(E8),1,(12-MONTH(E8)+1)/12))))-(IF(OR(N8="",N8&lt;=0),0,(O8/N8)*(IF(OR(N8="",N8&lt;=0),0,IF((YEAR(D8)+0)&lt;YEAR(E8),0,IF((YEAR(D8)+0)&gt;=YEAR(E8)+N8,0,IF((YEAR(D8)+0)=YEAR(E8),(12-MONTH(E8)+1)/12,1))))))))*TaxRate,0))-IF(0=0,O8,0))</f>
        <v/>
      </c>
      <c r="T8" s="29">
        <f>IF(A8="","",((K8)*(IF(M8="",L8,IFERROR(IF(INDEX(Variablen!$I:$AT, MATCH(M8, Variablen!$A:$A, 0), MATCH((YEAR(D8)+1), Variablen!$I$3:$AT$3, 0))="",L8,INDEX(Variablen!$I:$AT, MATCH(M8, Variablen!$A:$A, 0), MATCH((YEAR(D8)+1), Variablen!$I$3:$AT$3, 0))),L8)))*(IF((YEAR(D8)+1)&lt;YEAR(E8),0,IF((YEAR(D8)+1)&gt;YEAR(E8),1,(12-MONTH(E8)+1)/12))) + (Q8)*(IF((YEAR(D8)+1)&lt;YEAR(E8),0,IF((YEAR(D8)+1)&gt;YEAR(E8),1,(12-MONTH(E8)+1)/12))))-((P8)*(IF((YEAR(D8)+1)&lt;YEAR(E8),0,IF((YEAR(D8)+1)&gt;YEAR(E8),1,(12-MONTH(E8)+1)/12))) + (R8)*(IF((YEAR(D8)+1)&lt;YEAR(E8),0,IF((YEAR(D8)+1)&gt;YEAR(E8),1,(12-MONTH(E8)+1)/12))))-(IF((((K8)*(IF(M8="",L8,IFERROR(IF(INDEX(Variablen!$I:$AT, MATCH(M8, Variablen!$A:$A, 0), MATCH((YEAR(D8)+1), Variablen!$I$3:$AT$3, 0))="",L8,INDEX(Variablen!$I:$AT, MATCH(M8, Variablen!$A:$A, 0), MATCH((YEAR(D8)+1), Variablen!$I$3:$AT$3, 0))),L8)))*(IF((YEAR(D8)+1)&lt;YEAR(E8),0,IF((YEAR(D8)+1)&gt;YEAR(E8),1,(12-MONTH(E8)+1)/12))) + (Q8)*(IF((YEAR(D8)+1)&lt;YEAR(E8),0,IF((YEAR(D8)+1)&gt;YEAR(E8),1,(12-MONTH(E8)+1)/12))))-((P8)*(IF((YEAR(D8)+1)&lt;YEAR(E8),0,IF((YEAR(D8)+1)&gt;YEAR(E8),1,(12-MONTH(E8)+1)/12))) + (R8)*(IF((YEAR(D8)+1)&lt;YEAR(E8),0,IF((YEAR(D8)+1)&gt;YEAR(E8),1,(12-MONTH(E8)+1)/12))))-(IF(OR(N8="",N8&lt;=0),0,(O8/N8)*(IF(OR(N8="",N8&lt;=0),0,IF((YEAR(D8)+1)&lt;YEAR(E8),0,IF((YEAR(D8)+1)&gt;=YEAR(E8)+N8,0,IF((YEAR(D8)+1)=YEAR(E8),(12-MONTH(E8)+1)/12,1))))))))&gt;0,(((K8)*(IF(M8="",L8,IFERROR(IF(INDEX(Variablen!$I:$AT, MATCH(M8, Variablen!$A:$A, 0), MATCH((YEAR(D8)+1), Variablen!$I$3:$AT$3, 0))="",L8,INDEX(Variablen!$I:$AT, MATCH(M8, Variablen!$A:$A, 0), MATCH((YEAR(D8)+1), Variablen!$I$3:$AT$3, 0))),L8)))*(IF((YEAR(D8)+1)&lt;YEAR(E8),0,IF((YEAR(D8)+1)&gt;YEAR(E8),1,(12-MONTH(E8)+1)/12))) + (Q8)*(IF((YEAR(D8)+1)&lt;YEAR(E8),0,IF((YEAR(D8)+1)&gt;YEAR(E8),1,(12-MONTH(E8)+1)/12))))-((P8)*(IF((YEAR(D8)+1)&lt;YEAR(E8),0,IF((YEAR(D8)+1)&gt;YEAR(E8),1,(12-MONTH(E8)+1)/12))) + (R8)*(IF((YEAR(D8)+1)&lt;YEAR(E8),0,IF((YEAR(D8)+1)&gt;YEAR(E8),1,(12-MONTH(E8)+1)/12))))-(IF(OR(N8="",N8&lt;=0),0,(O8/N8)*(IF(OR(N8="",N8&lt;=0),0,IF((YEAR(D8)+1)&lt;YEAR(E8),0,IF((YEAR(D8)+1)&gt;=YEAR(E8)+N8,0,IF((YEAR(D8)+1)=YEAR(E8),(12-MONTH(E8)+1)/12,1))))))))*TaxRate,0))-IF(1=0,O8,0))</f>
        <v/>
      </c>
      <c r="U8" s="29">
        <f>IF(A8="","",((K8)*(IF(M8="",L8,IFERROR(IF(INDEX(Variablen!$I:$AT, MATCH(M8, Variablen!$A:$A, 0), MATCH((YEAR(D8)+2), Variablen!$I$3:$AT$3, 0))="",L8,INDEX(Variablen!$I:$AT, MATCH(M8, Variablen!$A:$A, 0), MATCH((YEAR(D8)+2), Variablen!$I$3:$AT$3, 0))),L8)))*(IF((YEAR(D8)+2)&lt;YEAR(E8),0,IF((YEAR(D8)+2)&gt;YEAR(E8),1,(12-MONTH(E8)+1)/12))) + (Q8)*(IF((YEAR(D8)+2)&lt;YEAR(E8),0,IF((YEAR(D8)+2)&gt;YEAR(E8),1,(12-MONTH(E8)+1)/12))))-((P8)*(IF((YEAR(D8)+2)&lt;YEAR(E8),0,IF((YEAR(D8)+2)&gt;YEAR(E8),1,(12-MONTH(E8)+1)/12))) + (R8)*(IF((YEAR(D8)+2)&lt;YEAR(E8),0,IF((YEAR(D8)+2)&gt;YEAR(E8),1,(12-MONTH(E8)+1)/12))))-(IF((((K8)*(IF(M8="",L8,IFERROR(IF(INDEX(Variablen!$I:$AT, MATCH(M8, Variablen!$A:$A, 0), MATCH((YEAR(D8)+2), Variablen!$I$3:$AT$3, 0))="",L8,INDEX(Variablen!$I:$AT, MATCH(M8, Variablen!$A:$A, 0), MATCH((YEAR(D8)+2), Variablen!$I$3:$AT$3, 0))),L8)))*(IF((YEAR(D8)+2)&lt;YEAR(E8),0,IF((YEAR(D8)+2)&gt;YEAR(E8),1,(12-MONTH(E8)+1)/12))) + (Q8)*(IF((YEAR(D8)+2)&lt;YEAR(E8),0,IF((YEAR(D8)+2)&gt;YEAR(E8),1,(12-MONTH(E8)+1)/12))))-((P8)*(IF((YEAR(D8)+2)&lt;YEAR(E8),0,IF((YEAR(D8)+2)&gt;YEAR(E8),1,(12-MONTH(E8)+1)/12))) + (R8)*(IF((YEAR(D8)+2)&lt;YEAR(E8),0,IF((YEAR(D8)+2)&gt;YEAR(E8),1,(12-MONTH(E8)+1)/12))))-(IF(OR(N8="",N8&lt;=0),0,(O8/N8)*(IF(OR(N8="",N8&lt;=0),0,IF((YEAR(D8)+2)&lt;YEAR(E8),0,IF((YEAR(D8)+2)&gt;=YEAR(E8)+N8,0,IF((YEAR(D8)+2)=YEAR(E8),(12-MONTH(E8)+1)/12,1))))))))&gt;0,(((K8)*(IF(M8="",L8,IFERROR(IF(INDEX(Variablen!$I:$AT, MATCH(M8, Variablen!$A:$A, 0), MATCH((YEAR(D8)+2), Variablen!$I$3:$AT$3, 0))="",L8,INDEX(Variablen!$I:$AT, MATCH(M8, Variablen!$A:$A, 0), MATCH((YEAR(D8)+2), Variablen!$I$3:$AT$3, 0))),L8)))*(IF((YEAR(D8)+2)&lt;YEAR(E8),0,IF((YEAR(D8)+2)&gt;YEAR(E8),1,(12-MONTH(E8)+1)/12))) + (Q8)*(IF((YEAR(D8)+2)&lt;YEAR(E8),0,IF((YEAR(D8)+2)&gt;YEAR(E8),1,(12-MONTH(E8)+1)/12))))-((P8)*(IF((YEAR(D8)+2)&lt;YEAR(E8),0,IF((YEAR(D8)+2)&gt;YEAR(E8),1,(12-MONTH(E8)+1)/12))) + (R8)*(IF((YEAR(D8)+2)&lt;YEAR(E8),0,IF((YEAR(D8)+2)&gt;YEAR(E8),1,(12-MONTH(E8)+1)/12))))-(IF(OR(N8="",N8&lt;=0),0,(O8/N8)*(IF(OR(N8="",N8&lt;=0),0,IF((YEAR(D8)+2)&lt;YEAR(E8),0,IF((YEAR(D8)+2)&gt;=YEAR(E8)+N8,0,IF((YEAR(D8)+2)=YEAR(E8),(12-MONTH(E8)+1)/12,1))))))))*TaxRate,0))-IF(2=0,O8,0))</f>
        <v/>
      </c>
      <c r="V8" s="29">
        <f>IF(A8="","",((K8)*(IF(M8="",L8,IFERROR(IF(INDEX(Variablen!$I:$AT, MATCH(M8, Variablen!$A:$A, 0), MATCH((YEAR(D8)+3), Variablen!$I$3:$AT$3, 0))="",L8,INDEX(Variablen!$I:$AT, MATCH(M8, Variablen!$A:$A, 0), MATCH((YEAR(D8)+3), Variablen!$I$3:$AT$3, 0))),L8)))*(IF((YEAR(D8)+3)&lt;YEAR(E8),0,IF((YEAR(D8)+3)&gt;YEAR(E8),1,(12-MONTH(E8)+1)/12))) + (Q8)*(IF((YEAR(D8)+3)&lt;YEAR(E8),0,IF((YEAR(D8)+3)&gt;YEAR(E8),1,(12-MONTH(E8)+1)/12))))-((P8)*(IF((YEAR(D8)+3)&lt;YEAR(E8),0,IF((YEAR(D8)+3)&gt;YEAR(E8),1,(12-MONTH(E8)+1)/12))) + (R8)*(IF((YEAR(D8)+3)&lt;YEAR(E8),0,IF((YEAR(D8)+3)&gt;YEAR(E8),1,(12-MONTH(E8)+1)/12))))-(IF((((K8)*(IF(M8="",L8,IFERROR(IF(INDEX(Variablen!$I:$AT, MATCH(M8, Variablen!$A:$A, 0), MATCH((YEAR(D8)+3), Variablen!$I$3:$AT$3, 0))="",L8,INDEX(Variablen!$I:$AT, MATCH(M8, Variablen!$A:$A, 0), MATCH((YEAR(D8)+3), Variablen!$I$3:$AT$3, 0))),L8)))*(IF((YEAR(D8)+3)&lt;YEAR(E8),0,IF((YEAR(D8)+3)&gt;YEAR(E8),1,(12-MONTH(E8)+1)/12))) + (Q8)*(IF((YEAR(D8)+3)&lt;YEAR(E8),0,IF((YEAR(D8)+3)&gt;YEAR(E8),1,(12-MONTH(E8)+1)/12))))-((P8)*(IF((YEAR(D8)+3)&lt;YEAR(E8),0,IF((YEAR(D8)+3)&gt;YEAR(E8),1,(12-MONTH(E8)+1)/12))) + (R8)*(IF((YEAR(D8)+3)&lt;YEAR(E8),0,IF((YEAR(D8)+3)&gt;YEAR(E8),1,(12-MONTH(E8)+1)/12))))-(IF(OR(N8="",N8&lt;=0),0,(O8/N8)*(IF(OR(N8="",N8&lt;=0),0,IF((YEAR(D8)+3)&lt;YEAR(E8),0,IF((YEAR(D8)+3)&gt;=YEAR(E8)+N8,0,IF((YEAR(D8)+3)=YEAR(E8),(12-MONTH(E8)+1)/12,1))))))))&gt;0,(((K8)*(IF(M8="",L8,IFERROR(IF(INDEX(Variablen!$I:$AT, MATCH(M8, Variablen!$A:$A, 0), MATCH((YEAR(D8)+3), Variablen!$I$3:$AT$3, 0))="",L8,INDEX(Variablen!$I:$AT, MATCH(M8, Variablen!$A:$A, 0), MATCH((YEAR(D8)+3), Variablen!$I$3:$AT$3, 0))),L8)))*(IF((YEAR(D8)+3)&lt;YEAR(E8),0,IF((YEAR(D8)+3)&gt;YEAR(E8),1,(12-MONTH(E8)+1)/12))) + (Q8)*(IF((YEAR(D8)+3)&lt;YEAR(E8),0,IF((YEAR(D8)+3)&gt;YEAR(E8),1,(12-MONTH(E8)+1)/12))))-((P8)*(IF((YEAR(D8)+3)&lt;YEAR(E8),0,IF((YEAR(D8)+3)&gt;YEAR(E8),1,(12-MONTH(E8)+1)/12))) + (R8)*(IF((YEAR(D8)+3)&lt;YEAR(E8),0,IF((YEAR(D8)+3)&gt;YEAR(E8),1,(12-MONTH(E8)+1)/12))))-(IF(OR(N8="",N8&lt;=0),0,(O8/N8)*(IF(OR(N8="",N8&lt;=0),0,IF((YEAR(D8)+3)&lt;YEAR(E8),0,IF((YEAR(D8)+3)&gt;=YEAR(E8)+N8,0,IF((YEAR(D8)+3)=YEAR(E8),(12-MONTH(E8)+1)/12,1))))))))*TaxRate,0))-IF(3=0,O8,0))</f>
        <v/>
      </c>
      <c r="W8" s="29">
        <f>IF(A8="","",((K8)*(IF(M8="",L8,IFERROR(IF(INDEX(Variablen!$I:$AT, MATCH(M8, Variablen!$A:$A, 0), MATCH((YEAR(D8)+4), Variablen!$I$3:$AT$3, 0))="",L8,INDEX(Variablen!$I:$AT, MATCH(M8, Variablen!$A:$A, 0), MATCH((YEAR(D8)+4), Variablen!$I$3:$AT$3, 0))),L8)))*(IF((YEAR(D8)+4)&lt;YEAR(E8),0,IF((YEAR(D8)+4)&gt;YEAR(E8),1,(12-MONTH(E8)+1)/12))) + (Q8)*(IF((YEAR(D8)+4)&lt;YEAR(E8),0,IF((YEAR(D8)+4)&gt;YEAR(E8),1,(12-MONTH(E8)+1)/12))))-((P8)*(IF((YEAR(D8)+4)&lt;YEAR(E8),0,IF((YEAR(D8)+4)&gt;YEAR(E8),1,(12-MONTH(E8)+1)/12))) + (R8)*(IF((YEAR(D8)+4)&lt;YEAR(E8),0,IF((YEAR(D8)+4)&gt;YEAR(E8),1,(12-MONTH(E8)+1)/12))))-(IF((((K8)*(IF(M8="",L8,IFERROR(IF(INDEX(Variablen!$I:$AT, MATCH(M8, Variablen!$A:$A, 0), MATCH((YEAR(D8)+4), Variablen!$I$3:$AT$3, 0))="",L8,INDEX(Variablen!$I:$AT, MATCH(M8, Variablen!$A:$A, 0), MATCH((YEAR(D8)+4), Variablen!$I$3:$AT$3, 0))),L8)))*(IF((YEAR(D8)+4)&lt;YEAR(E8),0,IF((YEAR(D8)+4)&gt;YEAR(E8),1,(12-MONTH(E8)+1)/12))) + (Q8)*(IF((YEAR(D8)+4)&lt;YEAR(E8),0,IF((YEAR(D8)+4)&gt;YEAR(E8),1,(12-MONTH(E8)+1)/12))))-((P8)*(IF((YEAR(D8)+4)&lt;YEAR(E8),0,IF((YEAR(D8)+4)&gt;YEAR(E8),1,(12-MONTH(E8)+1)/12))) + (R8)*(IF((YEAR(D8)+4)&lt;YEAR(E8),0,IF((YEAR(D8)+4)&gt;YEAR(E8),1,(12-MONTH(E8)+1)/12))))-(IF(OR(N8="",N8&lt;=0),0,(O8/N8)*(IF(OR(N8="",N8&lt;=0),0,IF((YEAR(D8)+4)&lt;YEAR(E8),0,IF((YEAR(D8)+4)&gt;=YEAR(E8)+N8,0,IF((YEAR(D8)+4)=YEAR(E8),(12-MONTH(E8)+1)/12,1))))))))&gt;0,(((K8)*(IF(M8="",L8,IFERROR(IF(INDEX(Variablen!$I:$AT, MATCH(M8, Variablen!$A:$A, 0), MATCH((YEAR(D8)+4), Variablen!$I$3:$AT$3, 0))="",L8,INDEX(Variablen!$I:$AT, MATCH(M8, Variablen!$A:$A, 0), MATCH((YEAR(D8)+4), Variablen!$I$3:$AT$3, 0))),L8)))*(IF((YEAR(D8)+4)&lt;YEAR(E8),0,IF((YEAR(D8)+4)&gt;YEAR(E8),1,(12-MONTH(E8)+1)/12))) + (Q8)*(IF((YEAR(D8)+4)&lt;YEAR(E8),0,IF((YEAR(D8)+4)&gt;YEAR(E8),1,(12-MONTH(E8)+1)/12))))-((P8)*(IF((YEAR(D8)+4)&lt;YEAR(E8),0,IF((YEAR(D8)+4)&gt;YEAR(E8),1,(12-MONTH(E8)+1)/12))) + (R8)*(IF((YEAR(D8)+4)&lt;YEAR(E8),0,IF((YEAR(D8)+4)&gt;YEAR(E8),1,(12-MONTH(E8)+1)/12))))-(IF(OR(N8="",N8&lt;=0),0,(O8/N8)*(IF(OR(N8="",N8&lt;=0),0,IF((YEAR(D8)+4)&lt;YEAR(E8),0,IF((YEAR(D8)+4)&gt;=YEAR(E8)+N8,0,IF((YEAR(D8)+4)=YEAR(E8),(12-MONTH(E8)+1)/12,1))))))))*TaxRate,0))-IF(4=0,O8,0))</f>
        <v/>
      </c>
      <c r="X8" s="29">
        <f>IF(A8="","",((K8)*(IF(M8="",L8,IFERROR(IF(INDEX(Variablen!$I:$AT, MATCH(M8, Variablen!$A:$A, 0), MATCH((YEAR(D8)+5), Variablen!$I$3:$AT$3, 0))="",L8,INDEX(Variablen!$I:$AT, MATCH(M8, Variablen!$A:$A, 0), MATCH((YEAR(D8)+5), Variablen!$I$3:$AT$3, 0))),L8)))*(IF((YEAR(D8)+5)&lt;YEAR(E8),0,IF((YEAR(D8)+5)&gt;YEAR(E8),1,(12-MONTH(E8)+1)/12))) + (Q8)*(IF((YEAR(D8)+5)&lt;YEAR(E8),0,IF((YEAR(D8)+5)&gt;YEAR(E8),1,(12-MONTH(E8)+1)/12))))-((P8)*(IF((YEAR(D8)+5)&lt;YEAR(E8),0,IF((YEAR(D8)+5)&gt;YEAR(E8),1,(12-MONTH(E8)+1)/12))) + (R8)*(IF((YEAR(D8)+5)&lt;YEAR(E8),0,IF((YEAR(D8)+5)&gt;YEAR(E8),1,(12-MONTH(E8)+1)/12))))-(IF((((K8)*(IF(M8="",L8,IFERROR(IF(INDEX(Variablen!$I:$AT, MATCH(M8, Variablen!$A:$A, 0), MATCH((YEAR(D8)+5), Variablen!$I$3:$AT$3, 0))="",L8,INDEX(Variablen!$I:$AT, MATCH(M8, Variablen!$A:$A, 0), MATCH((YEAR(D8)+5), Variablen!$I$3:$AT$3, 0))),L8)))*(IF((YEAR(D8)+5)&lt;YEAR(E8),0,IF((YEAR(D8)+5)&gt;YEAR(E8),1,(12-MONTH(E8)+1)/12))) + (Q8)*(IF((YEAR(D8)+5)&lt;YEAR(E8),0,IF((YEAR(D8)+5)&gt;YEAR(E8),1,(12-MONTH(E8)+1)/12))))-((P8)*(IF((YEAR(D8)+5)&lt;YEAR(E8),0,IF((YEAR(D8)+5)&gt;YEAR(E8),1,(12-MONTH(E8)+1)/12))) + (R8)*(IF((YEAR(D8)+5)&lt;YEAR(E8),0,IF((YEAR(D8)+5)&gt;YEAR(E8),1,(12-MONTH(E8)+1)/12))))-(IF(OR(N8="",N8&lt;=0),0,(O8/N8)*(IF(OR(N8="",N8&lt;=0),0,IF((YEAR(D8)+5)&lt;YEAR(E8),0,IF((YEAR(D8)+5)&gt;=YEAR(E8)+N8,0,IF((YEAR(D8)+5)=YEAR(E8),(12-MONTH(E8)+1)/12,1))))))))&gt;0,(((K8)*(IF(M8="",L8,IFERROR(IF(INDEX(Variablen!$I:$AT, MATCH(M8, Variablen!$A:$A, 0), MATCH((YEAR(D8)+5), Variablen!$I$3:$AT$3, 0))="",L8,INDEX(Variablen!$I:$AT, MATCH(M8, Variablen!$A:$A, 0), MATCH((YEAR(D8)+5), Variablen!$I$3:$AT$3, 0))),L8)))*(IF((YEAR(D8)+5)&lt;YEAR(E8),0,IF((YEAR(D8)+5)&gt;YEAR(E8),1,(12-MONTH(E8)+1)/12))) + (Q8)*(IF((YEAR(D8)+5)&lt;YEAR(E8),0,IF((YEAR(D8)+5)&gt;YEAR(E8),1,(12-MONTH(E8)+1)/12))))-((P8)*(IF((YEAR(D8)+5)&lt;YEAR(E8),0,IF((YEAR(D8)+5)&gt;YEAR(E8),1,(12-MONTH(E8)+1)/12))) + (R8)*(IF((YEAR(D8)+5)&lt;YEAR(E8),0,IF((YEAR(D8)+5)&gt;YEAR(E8),1,(12-MONTH(E8)+1)/12))))-(IF(OR(N8="",N8&lt;=0),0,(O8/N8)*(IF(OR(N8="",N8&lt;=0),0,IF((YEAR(D8)+5)&lt;YEAR(E8),0,IF((YEAR(D8)+5)&gt;=YEAR(E8)+N8,0,IF((YEAR(D8)+5)=YEAR(E8),(12-MONTH(E8)+1)/12,1))))))))*TaxRate,0))-IF(5=0,O8,0))</f>
        <v/>
      </c>
      <c r="Y8" s="29">
        <f>IF(A8="","",((K8)*(IF(M8="",L8,IFERROR(IF(INDEX(Variablen!$I:$AT, MATCH(M8, Variablen!$A:$A, 0), MATCH((YEAR(D8)+6), Variablen!$I$3:$AT$3, 0))="",L8,INDEX(Variablen!$I:$AT, MATCH(M8, Variablen!$A:$A, 0), MATCH((YEAR(D8)+6), Variablen!$I$3:$AT$3, 0))),L8)))*(IF((YEAR(D8)+6)&lt;YEAR(E8),0,IF((YEAR(D8)+6)&gt;YEAR(E8),1,(12-MONTH(E8)+1)/12))) + (Q8)*(IF((YEAR(D8)+6)&lt;YEAR(E8),0,IF((YEAR(D8)+6)&gt;YEAR(E8),1,(12-MONTH(E8)+1)/12))))-((P8)*(IF((YEAR(D8)+6)&lt;YEAR(E8),0,IF((YEAR(D8)+6)&gt;YEAR(E8),1,(12-MONTH(E8)+1)/12))) + (R8)*(IF((YEAR(D8)+6)&lt;YEAR(E8),0,IF((YEAR(D8)+6)&gt;YEAR(E8),1,(12-MONTH(E8)+1)/12))))-(IF((((K8)*(IF(M8="",L8,IFERROR(IF(INDEX(Variablen!$I:$AT, MATCH(M8, Variablen!$A:$A, 0), MATCH((YEAR(D8)+6), Variablen!$I$3:$AT$3, 0))="",L8,INDEX(Variablen!$I:$AT, MATCH(M8, Variablen!$A:$A, 0), MATCH((YEAR(D8)+6), Variablen!$I$3:$AT$3, 0))),L8)))*(IF((YEAR(D8)+6)&lt;YEAR(E8),0,IF((YEAR(D8)+6)&gt;YEAR(E8),1,(12-MONTH(E8)+1)/12))) + (Q8)*(IF((YEAR(D8)+6)&lt;YEAR(E8),0,IF((YEAR(D8)+6)&gt;YEAR(E8),1,(12-MONTH(E8)+1)/12))))-((P8)*(IF((YEAR(D8)+6)&lt;YEAR(E8),0,IF((YEAR(D8)+6)&gt;YEAR(E8),1,(12-MONTH(E8)+1)/12))) + (R8)*(IF((YEAR(D8)+6)&lt;YEAR(E8),0,IF((YEAR(D8)+6)&gt;YEAR(E8),1,(12-MONTH(E8)+1)/12))))-(IF(OR(N8="",N8&lt;=0),0,(O8/N8)*(IF(OR(N8="",N8&lt;=0),0,IF((YEAR(D8)+6)&lt;YEAR(E8),0,IF((YEAR(D8)+6)&gt;=YEAR(E8)+N8,0,IF((YEAR(D8)+6)=YEAR(E8),(12-MONTH(E8)+1)/12,1))))))))&gt;0,(((K8)*(IF(M8="",L8,IFERROR(IF(INDEX(Variablen!$I:$AT, MATCH(M8, Variablen!$A:$A, 0), MATCH((YEAR(D8)+6), Variablen!$I$3:$AT$3, 0))="",L8,INDEX(Variablen!$I:$AT, MATCH(M8, Variablen!$A:$A, 0), MATCH((YEAR(D8)+6), Variablen!$I$3:$AT$3, 0))),L8)))*(IF((YEAR(D8)+6)&lt;YEAR(E8),0,IF((YEAR(D8)+6)&gt;YEAR(E8),1,(12-MONTH(E8)+1)/12))) + (Q8)*(IF((YEAR(D8)+6)&lt;YEAR(E8),0,IF((YEAR(D8)+6)&gt;YEAR(E8),1,(12-MONTH(E8)+1)/12))))-((P8)*(IF((YEAR(D8)+6)&lt;YEAR(E8),0,IF((YEAR(D8)+6)&gt;YEAR(E8),1,(12-MONTH(E8)+1)/12))) + (R8)*(IF((YEAR(D8)+6)&lt;YEAR(E8),0,IF((YEAR(D8)+6)&gt;YEAR(E8),1,(12-MONTH(E8)+1)/12))))-(IF(OR(N8="",N8&lt;=0),0,(O8/N8)*(IF(OR(N8="",N8&lt;=0),0,IF((YEAR(D8)+6)&lt;YEAR(E8),0,IF((YEAR(D8)+6)&gt;=YEAR(E8)+N8,0,IF((YEAR(D8)+6)=YEAR(E8),(12-MONTH(E8)+1)/12,1))))))))*TaxRate,0))-IF(6=0,O8,0))</f>
        <v/>
      </c>
      <c r="Z8" s="29">
        <f>IF(A8="","",((K8)*(IF(M8="",L8,IFERROR(IF(INDEX(Variablen!$I:$AT, MATCH(M8, Variablen!$A:$A, 0), MATCH((YEAR(D8)+7), Variablen!$I$3:$AT$3, 0))="",L8,INDEX(Variablen!$I:$AT, MATCH(M8, Variablen!$A:$A, 0), MATCH((YEAR(D8)+7), Variablen!$I$3:$AT$3, 0))),L8)))*(IF((YEAR(D8)+7)&lt;YEAR(E8),0,IF((YEAR(D8)+7)&gt;YEAR(E8),1,(12-MONTH(E8)+1)/12))) + (Q8)*(IF((YEAR(D8)+7)&lt;YEAR(E8),0,IF((YEAR(D8)+7)&gt;YEAR(E8),1,(12-MONTH(E8)+1)/12))))-((P8)*(IF((YEAR(D8)+7)&lt;YEAR(E8),0,IF((YEAR(D8)+7)&gt;YEAR(E8),1,(12-MONTH(E8)+1)/12))) + (R8)*(IF((YEAR(D8)+7)&lt;YEAR(E8),0,IF((YEAR(D8)+7)&gt;YEAR(E8),1,(12-MONTH(E8)+1)/12))))-(IF((((K8)*(IF(M8="",L8,IFERROR(IF(INDEX(Variablen!$I:$AT, MATCH(M8, Variablen!$A:$A, 0), MATCH((YEAR(D8)+7), Variablen!$I$3:$AT$3, 0))="",L8,INDEX(Variablen!$I:$AT, MATCH(M8, Variablen!$A:$A, 0), MATCH((YEAR(D8)+7), Variablen!$I$3:$AT$3, 0))),L8)))*(IF((YEAR(D8)+7)&lt;YEAR(E8),0,IF((YEAR(D8)+7)&gt;YEAR(E8),1,(12-MONTH(E8)+1)/12))) + (Q8)*(IF((YEAR(D8)+7)&lt;YEAR(E8),0,IF((YEAR(D8)+7)&gt;YEAR(E8),1,(12-MONTH(E8)+1)/12))))-((P8)*(IF((YEAR(D8)+7)&lt;YEAR(E8),0,IF((YEAR(D8)+7)&gt;YEAR(E8),1,(12-MONTH(E8)+1)/12))) + (R8)*(IF((YEAR(D8)+7)&lt;YEAR(E8),0,IF((YEAR(D8)+7)&gt;YEAR(E8),1,(12-MONTH(E8)+1)/12))))-(IF(OR(N8="",N8&lt;=0),0,(O8/N8)*(IF(OR(N8="",N8&lt;=0),0,IF((YEAR(D8)+7)&lt;YEAR(E8),0,IF((YEAR(D8)+7)&gt;=YEAR(E8)+N8,0,IF((YEAR(D8)+7)=YEAR(E8),(12-MONTH(E8)+1)/12,1))))))))&gt;0,(((K8)*(IF(M8="",L8,IFERROR(IF(INDEX(Variablen!$I:$AT, MATCH(M8, Variablen!$A:$A, 0), MATCH((YEAR(D8)+7), Variablen!$I$3:$AT$3, 0))="",L8,INDEX(Variablen!$I:$AT, MATCH(M8, Variablen!$A:$A, 0), MATCH((YEAR(D8)+7), Variablen!$I$3:$AT$3, 0))),L8)))*(IF((YEAR(D8)+7)&lt;YEAR(E8),0,IF((YEAR(D8)+7)&gt;YEAR(E8),1,(12-MONTH(E8)+1)/12))) + (Q8)*(IF((YEAR(D8)+7)&lt;YEAR(E8),0,IF((YEAR(D8)+7)&gt;YEAR(E8),1,(12-MONTH(E8)+1)/12))))-((P8)*(IF((YEAR(D8)+7)&lt;YEAR(E8),0,IF((YEAR(D8)+7)&gt;YEAR(E8),1,(12-MONTH(E8)+1)/12))) + (R8)*(IF((YEAR(D8)+7)&lt;YEAR(E8),0,IF((YEAR(D8)+7)&gt;YEAR(E8),1,(12-MONTH(E8)+1)/12))))-(IF(OR(N8="",N8&lt;=0),0,(O8/N8)*(IF(OR(N8="",N8&lt;=0),0,IF((YEAR(D8)+7)&lt;YEAR(E8),0,IF((YEAR(D8)+7)&gt;=YEAR(E8)+N8,0,IF((YEAR(D8)+7)=YEAR(E8),(12-MONTH(E8)+1)/12,1))))))))*TaxRate,0))-IF(7=0,O8,0))</f>
        <v/>
      </c>
      <c r="AA8" s="29">
        <f>IF(A8="","",((K8)*(IF(M8="",L8,IFERROR(IF(INDEX(Variablen!$I:$AT, MATCH(M8, Variablen!$A:$A, 0), MATCH((YEAR(D8)+8), Variablen!$I$3:$AT$3, 0))="",L8,INDEX(Variablen!$I:$AT, MATCH(M8, Variablen!$A:$A, 0), MATCH((YEAR(D8)+8), Variablen!$I$3:$AT$3, 0))),L8)))*(IF((YEAR(D8)+8)&lt;YEAR(E8),0,IF((YEAR(D8)+8)&gt;YEAR(E8),1,(12-MONTH(E8)+1)/12))) + (Q8)*(IF((YEAR(D8)+8)&lt;YEAR(E8),0,IF((YEAR(D8)+8)&gt;YEAR(E8),1,(12-MONTH(E8)+1)/12))))-((P8)*(IF((YEAR(D8)+8)&lt;YEAR(E8),0,IF((YEAR(D8)+8)&gt;YEAR(E8),1,(12-MONTH(E8)+1)/12))) + (R8)*(IF((YEAR(D8)+8)&lt;YEAR(E8),0,IF((YEAR(D8)+8)&gt;YEAR(E8),1,(12-MONTH(E8)+1)/12))))-(IF((((K8)*(IF(M8="",L8,IFERROR(IF(INDEX(Variablen!$I:$AT, MATCH(M8, Variablen!$A:$A, 0), MATCH((YEAR(D8)+8), Variablen!$I$3:$AT$3, 0))="",L8,INDEX(Variablen!$I:$AT, MATCH(M8, Variablen!$A:$A, 0), MATCH((YEAR(D8)+8), Variablen!$I$3:$AT$3, 0))),L8)))*(IF((YEAR(D8)+8)&lt;YEAR(E8),0,IF((YEAR(D8)+8)&gt;YEAR(E8),1,(12-MONTH(E8)+1)/12))) + (Q8)*(IF((YEAR(D8)+8)&lt;YEAR(E8),0,IF((YEAR(D8)+8)&gt;YEAR(E8),1,(12-MONTH(E8)+1)/12))))-((P8)*(IF((YEAR(D8)+8)&lt;YEAR(E8),0,IF((YEAR(D8)+8)&gt;YEAR(E8),1,(12-MONTH(E8)+1)/12))) + (R8)*(IF((YEAR(D8)+8)&lt;YEAR(E8),0,IF((YEAR(D8)+8)&gt;YEAR(E8),1,(12-MONTH(E8)+1)/12))))-(IF(OR(N8="",N8&lt;=0),0,(O8/N8)*(IF(OR(N8="",N8&lt;=0),0,IF((YEAR(D8)+8)&lt;YEAR(E8),0,IF((YEAR(D8)+8)&gt;=YEAR(E8)+N8,0,IF((YEAR(D8)+8)=YEAR(E8),(12-MONTH(E8)+1)/12,1))))))))&gt;0,(((K8)*(IF(M8="",L8,IFERROR(IF(INDEX(Variablen!$I:$AT, MATCH(M8, Variablen!$A:$A, 0), MATCH((YEAR(D8)+8), Variablen!$I$3:$AT$3, 0))="",L8,INDEX(Variablen!$I:$AT, MATCH(M8, Variablen!$A:$A, 0), MATCH((YEAR(D8)+8), Variablen!$I$3:$AT$3, 0))),L8)))*(IF((YEAR(D8)+8)&lt;YEAR(E8),0,IF((YEAR(D8)+8)&gt;YEAR(E8),1,(12-MONTH(E8)+1)/12))) + (Q8)*(IF((YEAR(D8)+8)&lt;YEAR(E8),0,IF((YEAR(D8)+8)&gt;YEAR(E8),1,(12-MONTH(E8)+1)/12))))-((P8)*(IF((YEAR(D8)+8)&lt;YEAR(E8),0,IF((YEAR(D8)+8)&gt;YEAR(E8),1,(12-MONTH(E8)+1)/12))) + (R8)*(IF((YEAR(D8)+8)&lt;YEAR(E8),0,IF((YEAR(D8)+8)&gt;YEAR(E8),1,(12-MONTH(E8)+1)/12))))-(IF(OR(N8="",N8&lt;=0),0,(O8/N8)*(IF(OR(N8="",N8&lt;=0),0,IF((YEAR(D8)+8)&lt;YEAR(E8),0,IF((YEAR(D8)+8)&gt;=YEAR(E8)+N8,0,IF((YEAR(D8)+8)=YEAR(E8),(12-MONTH(E8)+1)/12,1))))))))*TaxRate,0))-IF(8=0,O8,0))</f>
        <v/>
      </c>
      <c r="AB8" s="29">
        <f>IF(A8="","",((K8)*(IF(M8="",L8,IFERROR(IF(INDEX(Variablen!$I:$AT, MATCH(M8, Variablen!$A:$A, 0), MATCH((YEAR(D8)+9), Variablen!$I$3:$AT$3, 0))="",L8,INDEX(Variablen!$I:$AT, MATCH(M8, Variablen!$A:$A, 0), MATCH((YEAR(D8)+9), Variablen!$I$3:$AT$3, 0))),L8)))*(IF((YEAR(D8)+9)&lt;YEAR(E8),0,IF((YEAR(D8)+9)&gt;YEAR(E8),1,(12-MONTH(E8)+1)/12))) + (Q8)*(IF((YEAR(D8)+9)&lt;YEAR(E8),0,IF((YEAR(D8)+9)&gt;YEAR(E8),1,(12-MONTH(E8)+1)/12))))-((P8)*(IF((YEAR(D8)+9)&lt;YEAR(E8),0,IF((YEAR(D8)+9)&gt;YEAR(E8),1,(12-MONTH(E8)+1)/12))) + (R8)*(IF((YEAR(D8)+9)&lt;YEAR(E8),0,IF((YEAR(D8)+9)&gt;YEAR(E8),1,(12-MONTH(E8)+1)/12))))-(IF((((K8)*(IF(M8="",L8,IFERROR(IF(INDEX(Variablen!$I:$AT, MATCH(M8, Variablen!$A:$A, 0), MATCH((YEAR(D8)+9), Variablen!$I$3:$AT$3, 0))="",L8,INDEX(Variablen!$I:$AT, MATCH(M8, Variablen!$A:$A, 0), MATCH((YEAR(D8)+9), Variablen!$I$3:$AT$3, 0))),L8)))*(IF((YEAR(D8)+9)&lt;YEAR(E8),0,IF((YEAR(D8)+9)&gt;YEAR(E8),1,(12-MONTH(E8)+1)/12))) + (Q8)*(IF((YEAR(D8)+9)&lt;YEAR(E8),0,IF((YEAR(D8)+9)&gt;YEAR(E8),1,(12-MONTH(E8)+1)/12))))-((P8)*(IF((YEAR(D8)+9)&lt;YEAR(E8),0,IF((YEAR(D8)+9)&gt;YEAR(E8),1,(12-MONTH(E8)+1)/12))) + (R8)*(IF((YEAR(D8)+9)&lt;YEAR(E8),0,IF((YEAR(D8)+9)&gt;YEAR(E8),1,(12-MONTH(E8)+1)/12))))-(IF(OR(N8="",N8&lt;=0),0,(O8/N8)*(IF(OR(N8="",N8&lt;=0),0,IF((YEAR(D8)+9)&lt;YEAR(E8),0,IF((YEAR(D8)+9)&gt;=YEAR(E8)+N8,0,IF((YEAR(D8)+9)=YEAR(E8),(12-MONTH(E8)+1)/12,1))))))))&gt;0,(((K8)*(IF(M8="",L8,IFERROR(IF(INDEX(Variablen!$I:$AT, MATCH(M8, Variablen!$A:$A, 0), MATCH((YEAR(D8)+9), Variablen!$I$3:$AT$3, 0))="",L8,INDEX(Variablen!$I:$AT, MATCH(M8, Variablen!$A:$A, 0), MATCH((YEAR(D8)+9), Variablen!$I$3:$AT$3, 0))),L8)))*(IF((YEAR(D8)+9)&lt;YEAR(E8),0,IF((YEAR(D8)+9)&gt;YEAR(E8),1,(12-MONTH(E8)+1)/12))) + (Q8)*(IF((YEAR(D8)+9)&lt;YEAR(E8),0,IF((YEAR(D8)+9)&gt;YEAR(E8),1,(12-MONTH(E8)+1)/12))))-((P8)*(IF((YEAR(D8)+9)&lt;YEAR(E8),0,IF((YEAR(D8)+9)&gt;YEAR(E8),1,(12-MONTH(E8)+1)/12))) + (R8)*(IF((YEAR(D8)+9)&lt;YEAR(E8),0,IF((YEAR(D8)+9)&gt;YEAR(E8),1,(12-MONTH(E8)+1)/12))))-(IF(OR(N8="",N8&lt;=0),0,(O8/N8)*(IF(OR(N8="",N8&lt;=0),0,IF((YEAR(D8)+9)&lt;YEAR(E8),0,IF((YEAR(D8)+9)&gt;=YEAR(E8)+N8,0,IF((YEAR(D8)+9)=YEAR(E8),(12-MONTH(E8)+1)/12,1))))))))*TaxRate,0))-IF(9=0,O8,0))</f>
        <v/>
      </c>
      <c r="AC8" s="29">
        <f>IF(A8="","",((K8)*(IF(M8="",L8,IFERROR(IF(INDEX(Variablen!$I:$AT, MATCH(M8, Variablen!$A:$A, 0), MATCH((YEAR(D8)+10), Variablen!$I$3:$AT$3, 0))="",L8,INDEX(Variablen!$I:$AT, MATCH(M8, Variablen!$A:$A, 0), MATCH((YEAR(D8)+10), Variablen!$I$3:$AT$3, 0))),L8)))*(IF((YEAR(D8)+10)&lt;YEAR(E8),0,IF((YEAR(D8)+10)&gt;YEAR(E8),1,(12-MONTH(E8)+1)/12))) + (Q8)*(IF((YEAR(D8)+10)&lt;YEAR(E8),0,IF((YEAR(D8)+10)&gt;YEAR(E8),1,(12-MONTH(E8)+1)/12))))-((P8)*(IF((YEAR(D8)+10)&lt;YEAR(E8),0,IF((YEAR(D8)+10)&gt;YEAR(E8),1,(12-MONTH(E8)+1)/12))) + (R8)*(IF((YEAR(D8)+10)&lt;YEAR(E8),0,IF((YEAR(D8)+10)&gt;YEAR(E8),1,(12-MONTH(E8)+1)/12))))-(IF((((K8)*(IF(M8="",L8,IFERROR(IF(INDEX(Variablen!$I:$AT, MATCH(M8, Variablen!$A:$A, 0), MATCH((YEAR(D8)+10), Variablen!$I$3:$AT$3, 0))="",L8,INDEX(Variablen!$I:$AT, MATCH(M8, Variablen!$A:$A, 0), MATCH((YEAR(D8)+10), Variablen!$I$3:$AT$3, 0))),L8)))*(IF((YEAR(D8)+10)&lt;YEAR(E8),0,IF((YEAR(D8)+10)&gt;YEAR(E8),1,(12-MONTH(E8)+1)/12))) + (Q8)*(IF((YEAR(D8)+10)&lt;YEAR(E8),0,IF((YEAR(D8)+10)&gt;YEAR(E8),1,(12-MONTH(E8)+1)/12))))-((P8)*(IF((YEAR(D8)+10)&lt;YEAR(E8),0,IF((YEAR(D8)+10)&gt;YEAR(E8),1,(12-MONTH(E8)+1)/12))) + (R8)*(IF((YEAR(D8)+10)&lt;YEAR(E8),0,IF((YEAR(D8)+10)&gt;YEAR(E8),1,(12-MONTH(E8)+1)/12))))-(IF(OR(N8="",N8&lt;=0),0,(O8/N8)*(IF(OR(N8="",N8&lt;=0),0,IF((YEAR(D8)+10)&lt;YEAR(E8),0,IF((YEAR(D8)+10)&gt;=YEAR(E8)+N8,0,IF((YEAR(D8)+10)=YEAR(E8),(12-MONTH(E8)+1)/12,1))))))))&gt;0,(((K8)*(IF(M8="",L8,IFERROR(IF(INDEX(Variablen!$I:$AT, MATCH(M8, Variablen!$A:$A, 0), MATCH((YEAR(D8)+10), Variablen!$I$3:$AT$3, 0))="",L8,INDEX(Variablen!$I:$AT, MATCH(M8, Variablen!$A:$A, 0), MATCH((YEAR(D8)+10), Variablen!$I$3:$AT$3, 0))),L8)))*(IF((YEAR(D8)+10)&lt;YEAR(E8),0,IF((YEAR(D8)+10)&gt;YEAR(E8),1,(12-MONTH(E8)+1)/12))) + (Q8)*(IF((YEAR(D8)+10)&lt;YEAR(E8),0,IF((YEAR(D8)+10)&gt;YEAR(E8),1,(12-MONTH(E8)+1)/12))))-((P8)*(IF((YEAR(D8)+10)&lt;YEAR(E8),0,IF((YEAR(D8)+10)&gt;YEAR(E8),1,(12-MONTH(E8)+1)/12))) + (R8)*(IF((YEAR(D8)+10)&lt;YEAR(E8),0,IF((YEAR(D8)+10)&gt;YEAR(E8),1,(12-MONTH(E8)+1)/12))))-(IF(OR(N8="",N8&lt;=0),0,(O8/N8)*(IF(OR(N8="",N8&lt;=0),0,IF((YEAR(D8)+10)&lt;YEAR(E8),0,IF((YEAR(D8)+10)&gt;=YEAR(E8)+N8,0,IF((YEAR(D8)+10)=YEAR(E8),(12-MONTH(E8)+1)/12,1))))))))*TaxRate,0))-IF(10=0,O8,0))</f>
        <v/>
      </c>
      <c r="AD8" s="29">
        <f>IF(A8="","",((K8)*(IF(M8="",L8,IFERROR(IF(INDEX(Variablen!$I:$AT, MATCH(M8, Variablen!$A:$A, 0), MATCH((YEAR(D8)+11), Variablen!$I$3:$AT$3, 0))="",L8,INDEX(Variablen!$I:$AT, MATCH(M8, Variablen!$A:$A, 0), MATCH((YEAR(D8)+11), Variablen!$I$3:$AT$3, 0))),L8)))*(IF((YEAR(D8)+11)&lt;YEAR(E8),0,IF((YEAR(D8)+11)&gt;YEAR(E8),1,(12-MONTH(E8)+1)/12))) + (Q8)*(IF((YEAR(D8)+11)&lt;YEAR(E8),0,IF((YEAR(D8)+11)&gt;YEAR(E8),1,(12-MONTH(E8)+1)/12))))-((P8)*(IF((YEAR(D8)+11)&lt;YEAR(E8),0,IF((YEAR(D8)+11)&gt;YEAR(E8),1,(12-MONTH(E8)+1)/12))) + (R8)*(IF((YEAR(D8)+11)&lt;YEAR(E8),0,IF((YEAR(D8)+11)&gt;YEAR(E8),1,(12-MONTH(E8)+1)/12))))-(IF((((K8)*(IF(M8="",L8,IFERROR(IF(INDEX(Variablen!$I:$AT, MATCH(M8, Variablen!$A:$A, 0), MATCH((YEAR(D8)+11), Variablen!$I$3:$AT$3, 0))="",L8,INDEX(Variablen!$I:$AT, MATCH(M8, Variablen!$A:$A, 0), MATCH((YEAR(D8)+11), Variablen!$I$3:$AT$3, 0))),L8)))*(IF((YEAR(D8)+11)&lt;YEAR(E8),0,IF((YEAR(D8)+11)&gt;YEAR(E8),1,(12-MONTH(E8)+1)/12))) + (Q8)*(IF((YEAR(D8)+11)&lt;YEAR(E8),0,IF((YEAR(D8)+11)&gt;YEAR(E8),1,(12-MONTH(E8)+1)/12))))-((P8)*(IF((YEAR(D8)+11)&lt;YEAR(E8),0,IF((YEAR(D8)+11)&gt;YEAR(E8),1,(12-MONTH(E8)+1)/12))) + (R8)*(IF((YEAR(D8)+11)&lt;YEAR(E8),0,IF((YEAR(D8)+11)&gt;YEAR(E8),1,(12-MONTH(E8)+1)/12))))-(IF(OR(N8="",N8&lt;=0),0,(O8/N8)*(IF(OR(N8="",N8&lt;=0),0,IF((YEAR(D8)+11)&lt;YEAR(E8),0,IF((YEAR(D8)+11)&gt;=YEAR(E8)+N8,0,IF((YEAR(D8)+11)=YEAR(E8),(12-MONTH(E8)+1)/12,1))))))))&gt;0,(((K8)*(IF(M8="",L8,IFERROR(IF(INDEX(Variablen!$I:$AT, MATCH(M8, Variablen!$A:$A, 0), MATCH((YEAR(D8)+11), Variablen!$I$3:$AT$3, 0))="",L8,INDEX(Variablen!$I:$AT, MATCH(M8, Variablen!$A:$A, 0), MATCH((YEAR(D8)+11), Variablen!$I$3:$AT$3, 0))),L8)))*(IF((YEAR(D8)+11)&lt;YEAR(E8),0,IF((YEAR(D8)+11)&gt;YEAR(E8),1,(12-MONTH(E8)+1)/12))) + (Q8)*(IF((YEAR(D8)+11)&lt;YEAR(E8),0,IF((YEAR(D8)+11)&gt;YEAR(E8),1,(12-MONTH(E8)+1)/12))))-((P8)*(IF((YEAR(D8)+11)&lt;YEAR(E8),0,IF((YEAR(D8)+11)&gt;YEAR(E8),1,(12-MONTH(E8)+1)/12))) + (R8)*(IF((YEAR(D8)+11)&lt;YEAR(E8),0,IF((YEAR(D8)+11)&gt;YEAR(E8),1,(12-MONTH(E8)+1)/12))))-(IF(OR(N8="",N8&lt;=0),0,(O8/N8)*(IF(OR(N8="",N8&lt;=0),0,IF((YEAR(D8)+11)&lt;YEAR(E8),0,IF((YEAR(D8)+11)&gt;=YEAR(E8)+N8,0,IF((YEAR(D8)+11)=YEAR(E8),(12-MONTH(E8)+1)/12,1))))))))*TaxRate,0))-IF(11=0,O8,0))</f>
        <v/>
      </c>
      <c r="AE8" s="29">
        <f>IF(A8="","",((K8)*(IF(M8="",L8,IFERROR(IF(INDEX(Variablen!$I:$AT, MATCH(M8, Variablen!$A:$A, 0), MATCH((YEAR(D8)+12), Variablen!$I$3:$AT$3, 0))="",L8,INDEX(Variablen!$I:$AT, MATCH(M8, Variablen!$A:$A, 0), MATCH((YEAR(D8)+12), Variablen!$I$3:$AT$3, 0))),L8)))*(IF((YEAR(D8)+12)&lt;YEAR(E8),0,IF((YEAR(D8)+12)&gt;YEAR(E8),1,(12-MONTH(E8)+1)/12))) + (Q8)*(IF((YEAR(D8)+12)&lt;YEAR(E8),0,IF((YEAR(D8)+12)&gt;YEAR(E8),1,(12-MONTH(E8)+1)/12))))-((P8)*(IF((YEAR(D8)+12)&lt;YEAR(E8),0,IF((YEAR(D8)+12)&gt;YEAR(E8),1,(12-MONTH(E8)+1)/12))) + (R8)*(IF((YEAR(D8)+12)&lt;YEAR(E8),0,IF((YEAR(D8)+12)&gt;YEAR(E8),1,(12-MONTH(E8)+1)/12))))-(IF((((K8)*(IF(M8="",L8,IFERROR(IF(INDEX(Variablen!$I:$AT, MATCH(M8, Variablen!$A:$A, 0), MATCH((YEAR(D8)+12), Variablen!$I$3:$AT$3, 0))="",L8,INDEX(Variablen!$I:$AT, MATCH(M8, Variablen!$A:$A, 0), MATCH((YEAR(D8)+12), Variablen!$I$3:$AT$3, 0))),L8)))*(IF((YEAR(D8)+12)&lt;YEAR(E8),0,IF((YEAR(D8)+12)&gt;YEAR(E8),1,(12-MONTH(E8)+1)/12))) + (Q8)*(IF((YEAR(D8)+12)&lt;YEAR(E8),0,IF((YEAR(D8)+12)&gt;YEAR(E8),1,(12-MONTH(E8)+1)/12))))-((P8)*(IF((YEAR(D8)+12)&lt;YEAR(E8),0,IF((YEAR(D8)+12)&gt;YEAR(E8),1,(12-MONTH(E8)+1)/12))) + (R8)*(IF((YEAR(D8)+12)&lt;YEAR(E8),0,IF((YEAR(D8)+12)&gt;YEAR(E8),1,(12-MONTH(E8)+1)/12))))-(IF(OR(N8="",N8&lt;=0),0,(O8/N8)*(IF(OR(N8="",N8&lt;=0),0,IF((YEAR(D8)+12)&lt;YEAR(E8),0,IF((YEAR(D8)+12)&gt;=YEAR(E8)+N8,0,IF((YEAR(D8)+12)=YEAR(E8),(12-MONTH(E8)+1)/12,1))))))))&gt;0,(((K8)*(IF(M8="",L8,IFERROR(IF(INDEX(Variablen!$I:$AT, MATCH(M8, Variablen!$A:$A, 0), MATCH((YEAR(D8)+12), Variablen!$I$3:$AT$3, 0))="",L8,INDEX(Variablen!$I:$AT, MATCH(M8, Variablen!$A:$A, 0), MATCH((YEAR(D8)+12), Variablen!$I$3:$AT$3, 0))),L8)))*(IF((YEAR(D8)+12)&lt;YEAR(E8),0,IF((YEAR(D8)+12)&gt;YEAR(E8),1,(12-MONTH(E8)+1)/12))) + (Q8)*(IF((YEAR(D8)+12)&lt;YEAR(E8),0,IF((YEAR(D8)+12)&gt;YEAR(E8),1,(12-MONTH(E8)+1)/12))))-((P8)*(IF((YEAR(D8)+12)&lt;YEAR(E8),0,IF((YEAR(D8)+12)&gt;YEAR(E8),1,(12-MONTH(E8)+1)/12))) + (R8)*(IF((YEAR(D8)+12)&lt;YEAR(E8),0,IF((YEAR(D8)+12)&gt;YEAR(E8),1,(12-MONTH(E8)+1)/12))))-(IF(OR(N8="",N8&lt;=0),0,(O8/N8)*(IF(OR(N8="",N8&lt;=0),0,IF((YEAR(D8)+12)&lt;YEAR(E8),0,IF((YEAR(D8)+12)&gt;=YEAR(E8)+N8,0,IF((YEAR(D8)+12)=YEAR(E8),(12-MONTH(E8)+1)/12,1))))))))*TaxRate,0))-IF(12=0,O8,0))</f>
        <v/>
      </c>
      <c r="AF8" s="29">
        <f>IF(A8="","",((K8)*(IF(M8="",L8,IFERROR(IF(INDEX(Variablen!$I:$AT, MATCH(M8, Variablen!$A:$A, 0), MATCH((YEAR(D8)+13), Variablen!$I$3:$AT$3, 0))="",L8,INDEX(Variablen!$I:$AT, MATCH(M8, Variablen!$A:$A, 0), MATCH((YEAR(D8)+13), Variablen!$I$3:$AT$3, 0))),L8)))*(IF((YEAR(D8)+13)&lt;YEAR(E8),0,IF((YEAR(D8)+13)&gt;YEAR(E8),1,(12-MONTH(E8)+1)/12))) + (Q8)*(IF((YEAR(D8)+13)&lt;YEAR(E8),0,IF((YEAR(D8)+13)&gt;YEAR(E8),1,(12-MONTH(E8)+1)/12))))-((P8)*(IF((YEAR(D8)+13)&lt;YEAR(E8),0,IF((YEAR(D8)+13)&gt;YEAR(E8),1,(12-MONTH(E8)+1)/12))) + (R8)*(IF((YEAR(D8)+13)&lt;YEAR(E8),0,IF((YEAR(D8)+13)&gt;YEAR(E8),1,(12-MONTH(E8)+1)/12))))-(IF((((K8)*(IF(M8="",L8,IFERROR(IF(INDEX(Variablen!$I:$AT, MATCH(M8, Variablen!$A:$A, 0), MATCH((YEAR(D8)+13), Variablen!$I$3:$AT$3, 0))="",L8,INDEX(Variablen!$I:$AT, MATCH(M8, Variablen!$A:$A, 0), MATCH((YEAR(D8)+13), Variablen!$I$3:$AT$3, 0))),L8)))*(IF((YEAR(D8)+13)&lt;YEAR(E8),0,IF((YEAR(D8)+13)&gt;YEAR(E8),1,(12-MONTH(E8)+1)/12))) + (Q8)*(IF((YEAR(D8)+13)&lt;YEAR(E8),0,IF((YEAR(D8)+13)&gt;YEAR(E8),1,(12-MONTH(E8)+1)/12))))-((P8)*(IF((YEAR(D8)+13)&lt;YEAR(E8),0,IF((YEAR(D8)+13)&gt;YEAR(E8),1,(12-MONTH(E8)+1)/12))) + (R8)*(IF((YEAR(D8)+13)&lt;YEAR(E8),0,IF((YEAR(D8)+13)&gt;YEAR(E8),1,(12-MONTH(E8)+1)/12))))-(IF(OR(N8="",N8&lt;=0),0,(O8/N8)*(IF(OR(N8="",N8&lt;=0),0,IF((YEAR(D8)+13)&lt;YEAR(E8),0,IF((YEAR(D8)+13)&gt;=YEAR(E8)+N8,0,IF((YEAR(D8)+13)=YEAR(E8),(12-MONTH(E8)+1)/12,1))))))))&gt;0,(((K8)*(IF(M8="",L8,IFERROR(IF(INDEX(Variablen!$I:$AT, MATCH(M8, Variablen!$A:$A, 0), MATCH((YEAR(D8)+13), Variablen!$I$3:$AT$3, 0))="",L8,INDEX(Variablen!$I:$AT, MATCH(M8, Variablen!$A:$A, 0), MATCH((YEAR(D8)+13), Variablen!$I$3:$AT$3, 0))),L8)))*(IF((YEAR(D8)+13)&lt;YEAR(E8),0,IF((YEAR(D8)+13)&gt;YEAR(E8),1,(12-MONTH(E8)+1)/12))) + (Q8)*(IF((YEAR(D8)+13)&lt;YEAR(E8),0,IF((YEAR(D8)+13)&gt;YEAR(E8),1,(12-MONTH(E8)+1)/12))))-((P8)*(IF((YEAR(D8)+13)&lt;YEAR(E8),0,IF((YEAR(D8)+13)&gt;YEAR(E8),1,(12-MONTH(E8)+1)/12))) + (R8)*(IF((YEAR(D8)+13)&lt;YEAR(E8),0,IF((YEAR(D8)+13)&gt;YEAR(E8),1,(12-MONTH(E8)+1)/12))))-(IF(OR(N8="",N8&lt;=0),0,(O8/N8)*(IF(OR(N8="",N8&lt;=0),0,IF((YEAR(D8)+13)&lt;YEAR(E8),0,IF((YEAR(D8)+13)&gt;=YEAR(E8)+N8,0,IF((YEAR(D8)+13)=YEAR(E8),(12-MONTH(E8)+1)/12,1))))))))*TaxRate,0))-IF(13=0,O8,0))</f>
        <v/>
      </c>
      <c r="AG8" s="29">
        <f>IF(A8="","",((K8)*(IF(M8="",L8,IFERROR(IF(INDEX(Variablen!$I:$AT, MATCH(M8, Variablen!$A:$A, 0), MATCH((YEAR(D8)+14), Variablen!$I$3:$AT$3, 0))="",L8,INDEX(Variablen!$I:$AT, MATCH(M8, Variablen!$A:$A, 0), MATCH((YEAR(D8)+14), Variablen!$I$3:$AT$3, 0))),L8)))*(IF((YEAR(D8)+14)&lt;YEAR(E8),0,IF((YEAR(D8)+14)&gt;YEAR(E8),1,(12-MONTH(E8)+1)/12))) + (Q8)*(IF((YEAR(D8)+14)&lt;YEAR(E8),0,IF((YEAR(D8)+14)&gt;YEAR(E8),1,(12-MONTH(E8)+1)/12))))-((P8)*(IF((YEAR(D8)+14)&lt;YEAR(E8),0,IF((YEAR(D8)+14)&gt;YEAR(E8),1,(12-MONTH(E8)+1)/12))) + (R8)*(IF((YEAR(D8)+14)&lt;YEAR(E8),0,IF((YEAR(D8)+14)&gt;YEAR(E8),1,(12-MONTH(E8)+1)/12))))-(IF((((K8)*(IF(M8="",L8,IFERROR(IF(INDEX(Variablen!$I:$AT, MATCH(M8, Variablen!$A:$A, 0), MATCH((YEAR(D8)+14), Variablen!$I$3:$AT$3, 0))="",L8,INDEX(Variablen!$I:$AT, MATCH(M8, Variablen!$A:$A, 0), MATCH((YEAR(D8)+14), Variablen!$I$3:$AT$3, 0))),L8)))*(IF((YEAR(D8)+14)&lt;YEAR(E8),0,IF((YEAR(D8)+14)&gt;YEAR(E8),1,(12-MONTH(E8)+1)/12))) + (Q8)*(IF((YEAR(D8)+14)&lt;YEAR(E8),0,IF((YEAR(D8)+14)&gt;YEAR(E8),1,(12-MONTH(E8)+1)/12))))-((P8)*(IF((YEAR(D8)+14)&lt;YEAR(E8),0,IF((YEAR(D8)+14)&gt;YEAR(E8),1,(12-MONTH(E8)+1)/12))) + (R8)*(IF((YEAR(D8)+14)&lt;YEAR(E8),0,IF((YEAR(D8)+14)&gt;YEAR(E8),1,(12-MONTH(E8)+1)/12))))-(IF(OR(N8="",N8&lt;=0),0,(O8/N8)*(IF(OR(N8="",N8&lt;=0),0,IF((YEAR(D8)+14)&lt;YEAR(E8),0,IF((YEAR(D8)+14)&gt;=YEAR(E8)+N8,0,IF((YEAR(D8)+14)=YEAR(E8),(12-MONTH(E8)+1)/12,1))))))))&gt;0,(((K8)*(IF(M8="",L8,IFERROR(IF(INDEX(Variablen!$I:$AT, MATCH(M8, Variablen!$A:$A, 0), MATCH((YEAR(D8)+14), Variablen!$I$3:$AT$3, 0))="",L8,INDEX(Variablen!$I:$AT, MATCH(M8, Variablen!$A:$A, 0), MATCH((YEAR(D8)+14), Variablen!$I$3:$AT$3, 0))),L8)))*(IF((YEAR(D8)+14)&lt;YEAR(E8),0,IF((YEAR(D8)+14)&gt;YEAR(E8),1,(12-MONTH(E8)+1)/12))) + (Q8)*(IF((YEAR(D8)+14)&lt;YEAR(E8),0,IF((YEAR(D8)+14)&gt;YEAR(E8),1,(12-MONTH(E8)+1)/12))))-((P8)*(IF((YEAR(D8)+14)&lt;YEAR(E8),0,IF((YEAR(D8)+14)&gt;YEAR(E8),1,(12-MONTH(E8)+1)/12))) + (R8)*(IF((YEAR(D8)+14)&lt;YEAR(E8),0,IF((YEAR(D8)+14)&gt;YEAR(E8),1,(12-MONTH(E8)+1)/12))))-(IF(OR(N8="",N8&lt;=0),0,(O8/N8)*(IF(OR(N8="",N8&lt;=0),0,IF((YEAR(D8)+14)&lt;YEAR(E8),0,IF((YEAR(D8)+14)&gt;=YEAR(E8)+N8,0,IF((YEAR(D8)+14)=YEAR(E8),(12-MONTH(E8)+1)/12,1))))))))*TaxRate,0))-IF(14=0,O8,0))</f>
        <v/>
      </c>
      <c r="AH8" s="29">
        <f>IF(A8="","",((K8)*(IF(M8="",L8,IFERROR(IF(INDEX(Variablen!$I:$AT, MATCH(M8, Variablen!$A:$A, 0), MATCH((YEAR(D8)+15), Variablen!$I$3:$AT$3, 0))="",L8,INDEX(Variablen!$I:$AT, MATCH(M8, Variablen!$A:$A, 0), MATCH((YEAR(D8)+15), Variablen!$I$3:$AT$3, 0))),L8)))*(IF((YEAR(D8)+15)&lt;YEAR(E8),0,IF((YEAR(D8)+15)&gt;YEAR(E8),1,(12-MONTH(E8)+1)/12))) + (Q8)*(IF((YEAR(D8)+15)&lt;YEAR(E8),0,IF((YEAR(D8)+15)&gt;YEAR(E8),1,(12-MONTH(E8)+1)/12))))-((P8)*(IF((YEAR(D8)+15)&lt;YEAR(E8),0,IF((YEAR(D8)+15)&gt;YEAR(E8),1,(12-MONTH(E8)+1)/12))) + (R8)*(IF((YEAR(D8)+15)&lt;YEAR(E8),0,IF((YEAR(D8)+15)&gt;YEAR(E8),1,(12-MONTH(E8)+1)/12))))-(IF((((K8)*(IF(M8="",L8,IFERROR(IF(INDEX(Variablen!$I:$AT, MATCH(M8, Variablen!$A:$A, 0), MATCH((YEAR(D8)+15), Variablen!$I$3:$AT$3, 0))="",L8,INDEX(Variablen!$I:$AT, MATCH(M8, Variablen!$A:$A, 0), MATCH((YEAR(D8)+15), Variablen!$I$3:$AT$3, 0))),L8)))*(IF((YEAR(D8)+15)&lt;YEAR(E8),0,IF((YEAR(D8)+15)&gt;YEAR(E8),1,(12-MONTH(E8)+1)/12))) + (Q8)*(IF((YEAR(D8)+15)&lt;YEAR(E8),0,IF((YEAR(D8)+15)&gt;YEAR(E8),1,(12-MONTH(E8)+1)/12))))-((P8)*(IF((YEAR(D8)+15)&lt;YEAR(E8),0,IF((YEAR(D8)+15)&gt;YEAR(E8),1,(12-MONTH(E8)+1)/12))) + (R8)*(IF((YEAR(D8)+15)&lt;YEAR(E8),0,IF((YEAR(D8)+15)&gt;YEAR(E8),1,(12-MONTH(E8)+1)/12))))-(IF(OR(N8="",N8&lt;=0),0,(O8/N8)*(IF(OR(N8="",N8&lt;=0),0,IF((YEAR(D8)+15)&lt;YEAR(E8),0,IF((YEAR(D8)+15)&gt;=YEAR(E8)+N8,0,IF((YEAR(D8)+15)=YEAR(E8),(12-MONTH(E8)+1)/12,1))))))))&gt;0,(((K8)*(IF(M8="",L8,IFERROR(IF(INDEX(Variablen!$I:$AT, MATCH(M8, Variablen!$A:$A, 0), MATCH((YEAR(D8)+15), Variablen!$I$3:$AT$3, 0))="",L8,INDEX(Variablen!$I:$AT, MATCH(M8, Variablen!$A:$A, 0), MATCH((YEAR(D8)+15), Variablen!$I$3:$AT$3, 0))),L8)))*(IF((YEAR(D8)+15)&lt;YEAR(E8),0,IF((YEAR(D8)+15)&gt;YEAR(E8),1,(12-MONTH(E8)+1)/12))) + (Q8)*(IF((YEAR(D8)+15)&lt;YEAR(E8),0,IF((YEAR(D8)+15)&gt;YEAR(E8),1,(12-MONTH(E8)+1)/12))))-((P8)*(IF((YEAR(D8)+15)&lt;YEAR(E8),0,IF((YEAR(D8)+15)&gt;YEAR(E8),1,(12-MONTH(E8)+1)/12))) + (R8)*(IF((YEAR(D8)+15)&lt;YEAR(E8),0,IF((YEAR(D8)+15)&gt;YEAR(E8),1,(12-MONTH(E8)+1)/12))))-(IF(OR(N8="",N8&lt;=0),0,(O8/N8)*(IF(OR(N8="",N8&lt;=0),0,IF((YEAR(D8)+15)&lt;YEAR(E8),0,IF((YEAR(D8)+15)&gt;=YEAR(E8)+N8,0,IF((YEAR(D8)+15)=YEAR(E8),(12-MONTH(E8)+1)/12,1))))))))*TaxRate,0))-IF(15=0,O8,0))</f>
        <v/>
      </c>
      <c r="AI8" s="29">
        <f>IF(A8="","",((K8)*(IF(M8="",L8,IFERROR(IF(INDEX(Variablen!$I:$AT, MATCH(M8, Variablen!$A:$A, 0), MATCH((YEAR(D8)+16), Variablen!$I$3:$AT$3, 0))="",L8,INDEX(Variablen!$I:$AT, MATCH(M8, Variablen!$A:$A, 0), MATCH((YEAR(D8)+16), Variablen!$I$3:$AT$3, 0))),L8)))*(IF((YEAR(D8)+16)&lt;YEAR(E8),0,IF((YEAR(D8)+16)&gt;YEAR(E8),1,(12-MONTH(E8)+1)/12))) + (Q8)*(IF((YEAR(D8)+16)&lt;YEAR(E8),0,IF((YEAR(D8)+16)&gt;YEAR(E8),1,(12-MONTH(E8)+1)/12))))-((P8)*(IF((YEAR(D8)+16)&lt;YEAR(E8),0,IF((YEAR(D8)+16)&gt;YEAR(E8),1,(12-MONTH(E8)+1)/12))) + (R8)*(IF((YEAR(D8)+16)&lt;YEAR(E8),0,IF((YEAR(D8)+16)&gt;YEAR(E8),1,(12-MONTH(E8)+1)/12))))-(IF((((K8)*(IF(M8="",L8,IFERROR(IF(INDEX(Variablen!$I:$AT, MATCH(M8, Variablen!$A:$A, 0), MATCH((YEAR(D8)+16), Variablen!$I$3:$AT$3, 0))="",L8,INDEX(Variablen!$I:$AT, MATCH(M8, Variablen!$A:$A, 0), MATCH((YEAR(D8)+16), Variablen!$I$3:$AT$3, 0))),L8)))*(IF((YEAR(D8)+16)&lt;YEAR(E8),0,IF((YEAR(D8)+16)&gt;YEAR(E8),1,(12-MONTH(E8)+1)/12))) + (Q8)*(IF((YEAR(D8)+16)&lt;YEAR(E8),0,IF((YEAR(D8)+16)&gt;YEAR(E8),1,(12-MONTH(E8)+1)/12))))-((P8)*(IF((YEAR(D8)+16)&lt;YEAR(E8),0,IF((YEAR(D8)+16)&gt;YEAR(E8),1,(12-MONTH(E8)+1)/12))) + (R8)*(IF((YEAR(D8)+16)&lt;YEAR(E8),0,IF((YEAR(D8)+16)&gt;YEAR(E8),1,(12-MONTH(E8)+1)/12))))-(IF(OR(N8="",N8&lt;=0),0,(O8/N8)*(IF(OR(N8="",N8&lt;=0),0,IF((YEAR(D8)+16)&lt;YEAR(E8),0,IF((YEAR(D8)+16)&gt;=YEAR(E8)+N8,0,IF((YEAR(D8)+16)=YEAR(E8),(12-MONTH(E8)+1)/12,1))))))))&gt;0,(((K8)*(IF(M8="",L8,IFERROR(IF(INDEX(Variablen!$I:$AT, MATCH(M8, Variablen!$A:$A, 0), MATCH((YEAR(D8)+16), Variablen!$I$3:$AT$3, 0))="",L8,INDEX(Variablen!$I:$AT, MATCH(M8, Variablen!$A:$A, 0), MATCH((YEAR(D8)+16), Variablen!$I$3:$AT$3, 0))),L8)))*(IF((YEAR(D8)+16)&lt;YEAR(E8),0,IF((YEAR(D8)+16)&gt;YEAR(E8),1,(12-MONTH(E8)+1)/12))) + (Q8)*(IF((YEAR(D8)+16)&lt;YEAR(E8),0,IF((YEAR(D8)+16)&gt;YEAR(E8),1,(12-MONTH(E8)+1)/12))))-((P8)*(IF((YEAR(D8)+16)&lt;YEAR(E8),0,IF((YEAR(D8)+16)&gt;YEAR(E8),1,(12-MONTH(E8)+1)/12))) + (R8)*(IF((YEAR(D8)+16)&lt;YEAR(E8),0,IF((YEAR(D8)+16)&gt;YEAR(E8),1,(12-MONTH(E8)+1)/12))))-(IF(OR(N8="",N8&lt;=0),0,(O8/N8)*(IF(OR(N8="",N8&lt;=0),0,IF((YEAR(D8)+16)&lt;YEAR(E8),0,IF((YEAR(D8)+16)&gt;=YEAR(E8)+N8,0,IF((YEAR(D8)+16)=YEAR(E8),(12-MONTH(E8)+1)/12,1))))))))*TaxRate,0))-IF(16=0,O8,0))</f>
        <v/>
      </c>
      <c r="AJ8" s="29">
        <f>IF(A8="","",((K8)*(IF(M8="",L8,IFERROR(IF(INDEX(Variablen!$I:$AT, MATCH(M8, Variablen!$A:$A, 0), MATCH((YEAR(D8)+17), Variablen!$I$3:$AT$3, 0))="",L8,INDEX(Variablen!$I:$AT, MATCH(M8, Variablen!$A:$A, 0), MATCH((YEAR(D8)+17), Variablen!$I$3:$AT$3, 0))),L8)))*(IF((YEAR(D8)+17)&lt;YEAR(E8),0,IF((YEAR(D8)+17)&gt;YEAR(E8),1,(12-MONTH(E8)+1)/12))) + (Q8)*(IF((YEAR(D8)+17)&lt;YEAR(E8),0,IF((YEAR(D8)+17)&gt;YEAR(E8),1,(12-MONTH(E8)+1)/12))))-((P8)*(IF((YEAR(D8)+17)&lt;YEAR(E8),0,IF((YEAR(D8)+17)&gt;YEAR(E8),1,(12-MONTH(E8)+1)/12))) + (R8)*(IF((YEAR(D8)+17)&lt;YEAR(E8),0,IF((YEAR(D8)+17)&gt;YEAR(E8),1,(12-MONTH(E8)+1)/12))))-(IF((((K8)*(IF(M8="",L8,IFERROR(IF(INDEX(Variablen!$I:$AT, MATCH(M8, Variablen!$A:$A, 0), MATCH((YEAR(D8)+17), Variablen!$I$3:$AT$3, 0))="",L8,INDEX(Variablen!$I:$AT, MATCH(M8, Variablen!$A:$A, 0), MATCH((YEAR(D8)+17), Variablen!$I$3:$AT$3, 0))),L8)))*(IF((YEAR(D8)+17)&lt;YEAR(E8),0,IF((YEAR(D8)+17)&gt;YEAR(E8),1,(12-MONTH(E8)+1)/12))) + (Q8)*(IF((YEAR(D8)+17)&lt;YEAR(E8),0,IF((YEAR(D8)+17)&gt;YEAR(E8),1,(12-MONTH(E8)+1)/12))))-((P8)*(IF((YEAR(D8)+17)&lt;YEAR(E8),0,IF((YEAR(D8)+17)&gt;YEAR(E8),1,(12-MONTH(E8)+1)/12))) + (R8)*(IF((YEAR(D8)+17)&lt;YEAR(E8),0,IF((YEAR(D8)+17)&gt;YEAR(E8),1,(12-MONTH(E8)+1)/12))))-(IF(OR(N8="",N8&lt;=0),0,(O8/N8)*(IF(OR(N8="",N8&lt;=0),0,IF((YEAR(D8)+17)&lt;YEAR(E8),0,IF((YEAR(D8)+17)&gt;=YEAR(E8)+N8,0,IF((YEAR(D8)+17)=YEAR(E8),(12-MONTH(E8)+1)/12,1))))))))&gt;0,(((K8)*(IF(M8="",L8,IFERROR(IF(INDEX(Variablen!$I:$AT, MATCH(M8, Variablen!$A:$A, 0), MATCH((YEAR(D8)+17), Variablen!$I$3:$AT$3, 0))="",L8,INDEX(Variablen!$I:$AT, MATCH(M8, Variablen!$A:$A, 0), MATCH((YEAR(D8)+17), Variablen!$I$3:$AT$3, 0))),L8)))*(IF((YEAR(D8)+17)&lt;YEAR(E8),0,IF((YEAR(D8)+17)&gt;YEAR(E8),1,(12-MONTH(E8)+1)/12))) + (Q8)*(IF((YEAR(D8)+17)&lt;YEAR(E8),0,IF((YEAR(D8)+17)&gt;YEAR(E8),1,(12-MONTH(E8)+1)/12))))-((P8)*(IF((YEAR(D8)+17)&lt;YEAR(E8),0,IF((YEAR(D8)+17)&gt;YEAR(E8),1,(12-MONTH(E8)+1)/12))) + (R8)*(IF((YEAR(D8)+17)&lt;YEAR(E8),0,IF((YEAR(D8)+17)&gt;YEAR(E8),1,(12-MONTH(E8)+1)/12))))-(IF(OR(N8="",N8&lt;=0),0,(O8/N8)*(IF(OR(N8="",N8&lt;=0),0,IF((YEAR(D8)+17)&lt;YEAR(E8),0,IF((YEAR(D8)+17)&gt;=YEAR(E8)+N8,0,IF((YEAR(D8)+17)=YEAR(E8),(12-MONTH(E8)+1)/12,1))))))))*TaxRate,0))-IF(17=0,O8,0))</f>
        <v/>
      </c>
      <c r="AK8" s="29">
        <f>IF(A8="","",((K8)*(IF(M8="",L8,IFERROR(IF(INDEX(Variablen!$I:$AT, MATCH(M8, Variablen!$A:$A, 0), MATCH((YEAR(D8)+18), Variablen!$I$3:$AT$3, 0))="",L8,INDEX(Variablen!$I:$AT, MATCH(M8, Variablen!$A:$A, 0), MATCH((YEAR(D8)+18), Variablen!$I$3:$AT$3, 0))),L8)))*(IF((YEAR(D8)+18)&lt;YEAR(E8),0,IF((YEAR(D8)+18)&gt;YEAR(E8),1,(12-MONTH(E8)+1)/12))) + (Q8)*(IF((YEAR(D8)+18)&lt;YEAR(E8),0,IF((YEAR(D8)+18)&gt;YEAR(E8),1,(12-MONTH(E8)+1)/12))))-((P8)*(IF((YEAR(D8)+18)&lt;YEAR(E8),0,IF((YEAR(D8)+18)&gt;YEAR(E8),1,(12-MONTH(E8)+1)/12))) + (R8)*(IF((YEAR(D8)+18)&lt;YEAR(E8),0,IF((YEAR(D8)+18)&gt;YEAR(E8),1,(12-MONTH(E8)+1)/12))))-(IF((((K8)*(IF(M8="",L8,IFERROR(IF(INDEX(Variablen!$I:$AT, MATCH(M8, Variablen!$A:$A, 0), MATCH((YEAR(D8)+18), Variablen!$I$3:$AT$3, 0))="",L8,INDEX(Variablen!$I:$AT, MATCH(M8, Variablen!$A:$A, 0), MATCH((YEAR(D8)+18), Variablen!$I$3:$AT$3, 0))),L8)))*(IF((YEAR(D8)+18)&lt;YEAR(E8),0,IF((YEAR(D8)+18)&gt;YEAR(E8),1,(12-MONTH(E8)+1)/12))) + (Q8)*(IF((YEAR(D8)+18)&lt;YEAR(E8),0,IF((YEAR(D8)+18)&gt;YEAR(E8),1,(12-MONTH(E8)+1)/12))))-((P8)*(IF((YEAR(D8)+18)&lt;YEAR(E8),0,IF((YEAR(D8)+18)&gt;YEAR(E8),1,(12-MONTH(E8)+1)/12))) + (R8)*(IF((YEAR(D8)+18)&lt;YEAR(E8),0,IF((YEAR(D8)+18)&gt;YEAR(E8),1,(12-MONTH(E8)+1)/12))))-(IF(OR(N8="",N8&lt;=0),0,(O8/N8)*(IF(OR(N8="",N8&lt;=0),0,IF((YEAR(D8)+18)&lt;YEAR(E8),0,IF((YEAR(D8)+18)&gt;=YEAR(E8)+N8,0,IF((YEAR(D8)+18)=YEAR(E8),(12-MONTH(E8)+1)/12,1))))))))&gt;0,(((K8)*(IF(M8="",L8,IFERROR(IF(INDEX(Variablen!$I:$AT, MATCH(M8, Variablen!$A:$A, 0), MATCH((YEAR(D8)+18), Variablen!$I$3:$AT$3, 0))="",L8,INDEX(Variablen!$I:$AT, MATCH(M8, Variablen!$A:$A, 0), MATCH((YEAR(D8)+18), Variablen!$I$3:$AT$3, 0))),L8)))*(IF((YEAR(D8)+18)&lt;YEAR(E8),0,IF((YEAR(D8)+18)&gt;YEAR(E8),1,(12-MONTH(E8)+1)/12))) + (Q8)*(IF((YEAR(D8)+18)&lt;YEAR(E8),0,IF((YEAR(D8)+18)&gt;YEAR(E8),1,(12-MONTH(E8)+1)/12))))-((P8)*(IF((YEAR(D8)+18)&lt;YEAR(E8),0,IF((YEAR(D8)+18)&gt;YEAR(E8),1,(12-MONTH(E8)+1)/12))) + (R8)*(IF((YEAR(D8)+18)&lt;YEAR(E8),0,IF((YEAR(D8)+18)&gt;YEAR(E8),1,(12-MONTH(E8)+1)/12))))-(IF(OR(N8="",N8&lt;=0),0,(O8/N8)*(IF(OR(N8="",N8&lt;=0),0,IF((YEAR(D8)+18)&lt;YEAR(E8),0,IF((YEAR(D8)+18)&gt;=YEAR(E8)+N8,0,IF((YEAR(D8)+18)=YEAR(E8),(12-MONTH(E8)+1)/12,1))))))))*TaxRate,0))-IF(18=0,O8,0))</f>
        <v/>
      </c>
      <c r="AL8" s="29">
        <f>IF(A8="","",((K8)*(IF(M8="",L8,IFERROR(IF(INDEX(Variablen!$I:$AT, MATCH(M8, Variablen!$A:$A, 0), MATCH((YEAR(D8)+19), Variablen!$I$3:$AT$3, 0))="",L8,INDEX(Variablen!$I:$AT, MATCH(M8, Variablen!$A:$A, 0), MATCH((YEAR(D8)+19), Variablen!$I$3:$AT$3, 0))),L8)))*(IF((YEAR(D8)+19)&lt;YEAR(E8),0,IF((YEAR(D8)+19)&gt;YEAR(E8),1,(12-MONTH(E8)+1)/12))) + (Q8)*(IF((YEAR(D8)+19)&lt;YEAR(E8),0,IF((YEAR(D8)+19)&gt;YEAR(E8),1,(12-MONTH(E8)+1)/12))))-((P8)*(IF((YEAR(D8)+19)&lt;YEAR(E8),0,IF((YEAR(D8)+19)&gt;YEAR(E8),1,(12-MONTH(E8)+1)/12))) + (R8)*(IF((YEAR(D8)+19)&lt;YEAR(E8),0,IF((YEAR(D8)+19)&gt;YEAR(E8),1,(12-MONTH(E8)+1)/12))))-(IF((((K8)*(IF(M8="",L8,IFERROR(IF(INDEX(Variablen!$I:$AT, MATCH(M8, Variablen!$A:$A, 0), MATCH((YEAR(D8)+19), Variablen!$I$3:$AT$3, 0))="",L8,INDEX(Variablen!$I:$AT, MATCH(M8, Variablen!$A:$A, 0), MATCH((YEAR(D8)+19), Variablen!$I$3:$AT$3, 0))),L8)))*(IF((YEAR(D8)+19)&lt;YEAR(E8),0,IF((YEAR(D8)+19)&gt;YEAR(E8),1,(12-MONTH(E8)+1)/12))) + (Q8)*(IF((YEAR(D8)+19)&lt;YEAR(E8),0,IF((YEAR(D8)+19)&gt;YEAR(E8),1,(12-MONTH(E8)+1)/12))))-((P8)*(IF((YEAR(D8)+19)&lt;YEAR(E8),0,IF((YEAR(D8)+19)&gt;YEAR(E8),1,(12-MONTH(E8)+1)/12))) + (R8)*(IF((YEAR(D8)+19)&lt;YEAR(E8),0,IF((YEAR(D8)+19)&gt;YEAR(E8),1,(12-MONTH(E8)+1)/12))))-(IF(OR(N8="",N8&lt;=0),0,(O8/N8)*(IF(OR(N8="",N8&lt;=0),0,IF((YEAR(D8)+19)&lt;YEAR(E8),0,IF((YEAR(D8)+19)&gt;=YEAR(E8)+N8,0,IF((YEAR(D8)+19)=YEAR(E8),(12-MONTH(E8)+1)/12,1))))))))&gt;0,(((K8)*(IF(M8="",L8,IFERROR(IF(INDEX(Variablen!$I:$AT, MATCH(M8, Variablen!$A:$A, 0), MATCH((YEAR(D8)+19), Variablen!$I$3:$AT$3, 0))="",L8,INDEX(Variablen!$I:$AT, MATCH(M8, Variablen!$A:$A, 0), MATCH((YEAR(D8)+19), Variablen!$I$3:$AT$3, 0))),L8)))*(IF((YEAR(D8)+19)&lt;YEAR(E8),0,IF((YEAR(D8)+19)&gt;YEAR(E8),1,(12-MONTH(E8)+1)/12))) + (Q8)*(IF((YEAR(D8)+19)&lt;YEAR(E8),0,IF((YEAR(D8)+19)&gt;YEAR(E8),1,(12-MONTH(E8)+1)/12))))-((P8)*(IF((YEAR(D8)+19)&lt;YEAR(E8),0,IF((YEAR(D8)+19)&gt;YEAR(E8),1,(12-MONTH(E8)+1)/12))) + (R8)*(IF((YEAR(D8)+19)&lt;YEAR(E8),0,IF((YEAR(D8)+19)&gt;YEAR(E8),1,(12-MONTH(E8)+1)/12))))-(IF(OR(N8="",N8&lt;=0),0,(O8/N8)*(IF(OR(N8="",N8&lt;=0),0,IF((YEAR(D8)+19)&lt;YEAR(E8),0,IF((YEAR(D8)+19)&gt;=YEAR(E8)+N8,0,IF((YEAR(D8)+19)=YEAR(E8),(12-MONTH(E8)+1)/12,1))))))))*TaxRate,0))-IF(19=0,O8,0))</f>
        <v/>
      </c>
      <c r="AM8" s="29">
        <f>IF(A8="","",((K8)*(IF(M8="",L8,IFERROR(IF(INDEX(Variablen!$I:$AT, MATCH(M8, Variablen!$A:$A, 0), MATCH((YEAR(D8)+20), Variablen!$I$3:$AT$3, 0))="",L8,INDEX(Variablen!$I:$AT, MATCH(M8, Variablen!$A:$A, 0), MATCH((YEAR(D8)+20), Variablen!$I$3:$AT$3, 0))),L8)))*(IF((YEAR(D8)+20)&lt;YEAR(E8),0,IF((YEAR(D8)+20)&gt;YEAR(E8),1,(12-MONTH(E8)+1)/12))) + (Q8)*(IF((YEAR(D8)+20)&lt;YEAR(E8),0,IF((YEAR(D8)+20)&gt;YEAR(E8),1,(12-MONTH(E8)+1)/12))))-((P8)*(IF((YEAR(D8)+20)&lt;YEAR(E8),0,IF((YEAR(D8)+20)&gt;YEAR(E8),1,(12-MONTH(E8)+1)/12))) + (R8)*(IF((YEAR(D8)+20)&lt;YEAR(E8),0,IF((YEAR(D8)+20)&gt;YEAR(E8),1,(12-MONTH(E8)+1)/12))))-(IF((((K8)*(IF(M8="",L8,IFERROR(IF(INDEX(Variablen!$I:$AT, MATCH(M8, Variablen!$A:$A, 0), MATCH((YEAR(D8)+20), Variablen!$I$3:$AT$3, 0))="",L8,INDEX(Variablen!$I:$AT, MATCH(M8, Variablen!$A:$A, 0), MATCH((YEAR(D8)+20), Variablen!$I$3:$AT$3, 0))),L8)))*(IF((YEAR(D8)+20)&lt;YEAR(E8),0,IF((YEAR(D8)+20)&gt;YEAR(E8),1,(12-MONTH(E8)+1)/12))) + (Q8)*(IF((YEAR(D8)+20)&lt;YEAR(E8),0,IF((YEAR(D8)+20)&gt;YEAR(E8),1,(12-MONTH(E8)+1)/12))))-((P8)*(IF((YEAR(D8)+20)&lt;YEAR(E8),0,IF((YEAR(D8)+20)&gt;YEAR(E8),1,(12-MONTH(E8)+1)/12))) + (R8)*(IF((YEAR(D8)+20)&lt;YEAR(E8),0,IF((YEAR(D8)+20)&gt;YEAR(E8),1,(12-MONTH(E8)+1)/12))))-(IF(OR(N8="",N8&lt;=0),0,(O8/N8)*(IF(OR(N8="",N8&lt;=0),0,IF((YEAR(D8)+20)&lt;YEAR(E8),0,IF((YEAR(D8)+20)&gt;=YEAR(E8)+N8,0,IF((YEAR(D8)+20)=YEAR(E8),(12-MONTH(E8)+1)/12,1))))))))&gt;0,(((K8)*(IF(M8="",L8,IFERROR(IF(INDEX(Variablen!$I:$AT, MATCH(M8, Variablen!$A:$A, 0), MATCH((YEAR(D8)+20), Variablen!$I$3:$AT$3, 0))="",L8,INDEX(Variablen!$I:$AT, MATCH(M8, Variablen!$A:$A, 0), MATCH((YEAR(D8)+20), Variablen!$I$3:$AT$3, 0))),L8)))*(IF((YEAR(D8)+20)&lt;YEAR(E8),0,IF((YEAR(D8)+20)&gt;YEAR(E8),1,(12-MONTH(E8)+1)/12))) + (Q8)*(IF((YEAR(D8)+20)&lt;YEAR(E8),0,IF((YEAR(D8)+20)&gt;YEAR(E8),1,(12-MONTH(E8)+1)/12))))-((P8)*(IF((YEAR(D8)+20)&lt;YEAR(E8),0,IF((YEAR(D8)+20)&gt;YEAR(E8),1,(12-MONTH(E8)+1)/12))) + (R8)*(IF((YEAR(D8)+20)&lt;YEAR(E8),0,IF((YEAR(D8)+20)&gt;YEAR(E8),1,(12-MONTH(E8)+1)/12))))-(IF(OR(N8="",N8&lt;=0),0,(O8/N8)*(IF(OR(N8="",N8&lt;=0),0,IF((YEAR(D8)+20)&lt;YEAR(E8),0,IF((YEAR(D8)+20)&gt;=YEAR(E8)+N8,0,IF((YEAR(D8)+20)=YEAR(E8),(12-MONTH(E8)+1)/12,1))))))))*TaxRate,0))-IF(20=0,O8,0))</f>
        <v/>
      </c>
      <c r="AN8" s="29">
        <f>IF(A8="","",S8)</f>
        <v/>
      </c>
      <c r="AO8" s="29">
        <f>IF(A8="","",AN8+T8)</f>
        <v/>
      </c>
      <c r="AP8" s="29">
        <f>IF(A8="","",AO8+U8)</f>
        <v/>
      </c>
      <c r="AQ8" s="29">
        <f>IF(A8="","",AP8+V8)</f>
        <v/>
      </c>
      <c r="AR8" s="29">
        <f>IF(A8="","",AQ8+W8)</f>
        <v/>
      </c>
      <c r="AS8" s="29">
        <f>IF(A8="","",AR8+X8)</f>
        <v/>
      </c>
      <c r="AT8" s="29">
        <f>IF(A8="","",AS8+Y8)</f>
        <v/>
      </c>
      <c r="AU8" s="29">
        <f>IF(A8="","",AT8+Z8)</f>
        <v/>
      </c>
      <c r="AV8" s="29">
        <f>IF(A8="","",AU8+AA8)</f>
        <v/>
      </c>
      <c r="AW8" s="29">
        <f>IF(A8="","",AV8+AB8)</f>
        <v/>
      </c>
      <c r="AX8" s="29">
        <f>IF(A8="","",AW8+AC8)</f>
        <v/>
      </c>
      <c r="AY8" s="29">
        <f>IF(A8="","",AX8+AD8)</f>
        <v/>
      </c>
      <c r="AZ8" s="29">
        <f>IF(A8="","",AY8+AE8)</f>
        <v/>
      </c>
      <c r="BA8" s="29">
        <f>IF(A8="","",AZ8+AF8)</f>
        <v/>
      </c>
      <c r="BB8" s="29">
        <f>IF(A8="","",BA8+AG8)</f>
        <v/>
      </c>
      <c r="BC8" s="29">
        <f>IF(A8="","",BB8+AH8)</f>
        <v/>
      </c>
      <c r="BD8" s="29">
        <f>IF(A8="","",BC8+AI8)</f>
        <v/>
      </c>
      <c r="BE8" s="29">
        <f>IF(A8="","",BD8+AJ8)</f>
        <v/>
      </c>
      <c r="BF8" s="29">
        <f>IF(A8="","",BE8+AK8)</f>
        <v/>
      </c>
      <c r="BG8" s="29">
        <f>IF(A8="","",BF8+AL8)</f>
        <v/>
      </c>
      <c r="BH8" s="29">
        <f>IF(A8="","",BG8+AM8)</f>
        <v/>
      </c>
      <c r="BI8" s="36">
        <f>IF(A8="","",(K8)*(IF((YEAR(D8)+0)&lt;YEAR(E8),0,IF((YEAR(D8)+0)&gt;YEAR(E8),1,(12-MONTH(E8)+1)/12)))*(1/(1+DiscountRate)^0))</f>
        <v/>
      </c>
      <c r="BJ8" s="36">
        <f>IF(A8="","",(K8)*(IF((YEAR(D8)+1)&lt;YEAR(E8),0,IF((YEAR(D8)+1)&gt;YEAR(E8),1,(12-MONTH(E8)+1)/12)))*(1/(1+DiscountRate)^1))</f>
        <v/>
      </c>
      <c r="BK8" s="36">
        <f>IF(A8="","",(K8)*(IF((YEAR(D8)+2)&lt;YEAR(E8),0,IF((YEAR(D8)+2)&gt;YEAR(E8),1,(12-MONTH(E8)+1)/12)))*(1/(1+DiscountRate)^2))</f>
        <v/>
      </c>
      <c r="BL8" s="36">
        <f>IF(A8="","",(K8)*(IF((YEAR(D8)+3)&lt;YEAR(E8),0,IF((YEAR(D8)+3)&gt;YEAR(E8),1,(12-MONTH(E8)+1)/12)))*(1/(1+DiscountRate)^3))</f>
        <v/>
      </c>
      <c r="BM8" s="36">
        <f>IF(A8="","",(K8)*(IF((YEAR(D8)+4)&lt;YEAR(E8),0,IF((YEAR(D8)+4)&gt;YEAR(E8),1,(12-MONTH(E8)+1)/12)))*(1/(1+DiscountRate)^4))</f>
        <v/>
      </c>
      <c r="BN8" s="36">
        <f>IF(A8="","",(K8)*(IF((YEAR(D8)+5)&lt;YEAR(E8),0,IF((YEAR(D8)+5)&gt;YEAR(E8),1,(12-MONTH(E8)+1)/12)))*(1/(1+DiscountRate)^5))</f>
        <v/>
      </c>
      <c r="BO8" s="36">
        <f>IF(A8="","",(K8)*(IF((YEAR(D8)+6)&lt;YEAR(E8),0,IF((YEAR(D8)+6)&gt;YEAR(E8),1,(12-MONTH(E8)+1)/12)))*(1/(1+DiscountRate)^6))</f>
        <v/>
      </c>
      <c r="BP8" s="36">
        <f>IF(A8="","",(K8)*(IF((YEAR(D8)+7)&lt;YEAR(E8),0,IF((YEAR(D8)+7)&gt;YEAR(E8),1,(12-MONTH(E8)+1)/12)))*(1/(1+DiscountRate)^7))</f>
        <v/>
      </c>
      <c r="BQ8" s="36">
        <f>IF(A8="","",(K8)*(IF((YEAR(D8)+8)&lt;YEAR(E8),0,IF((YEAR(D8)+8)&gt;YEAR(E8),1,(12-MONTH(E8)+1)/12)))*(1/(1+DiscountRate)^8))</f>
        <v/>
      </c>
      <c r="BR8" s="36">
        <f>IF(A8="","",(K8)*(IF((YEAR(D8)+9)&lt;YEAR(E8),0,IF((YEAR(D8)+9)&gt;YEAR(E8),1,(12-MONTH(E8)+1)/12)))*(1/(1+DiscountRate)^9))</f>
        <v/>
      </c>
      <c r="BS8" s="36">
        <f>IF(A8="","",(K8)*(IF((YEAR(D8)+10)&lt;YEAR(E8),0,IF((YEAR(D8)+10)&gt;YEAR(E8),1,(12-MONTH(E8)+1)/12)))*(1/(1+DiscountRate)^10))</f>
        <v/>
      </c>
      <c r="BT8" s="36">
        <f>IF(A8="","",(K8)*(IF((YEAR(D8)+11)&lt;YEAR(E8),0,IF((YEAR(D8)+11)&gt;YEAR(E8),1,(12-MONTH(E8)+1)/12)))*(1/(1+DiscountRate)^11))</f>
        <v/>
      </c>
      <c r="BU8" s="36">
        <f>IF(A8="","",(K8)*(IF((YEAR(D8)+12)&lt;YEAR(E8),0,IF((YEAR(D8)+12)&gt;YEAR(E8),1,(12-MONTH(E8)+1)/12)))*(1/(1+DiscountRate)^12))</f>
        <v/>
      </c>
      <c r="BV8" s="36">
        <f>IF(A8="","",(K8)*(IF((YEAR(D8)+13)&lt;YEAR(E8),0,IF((YEAR(D8)+13)&gt;YEAR(E8),1,(12-MONTH(E8)+1)/12)))*(1/(1+DiscountRate)^13))</f>
        <v/>
      </c>
      <c r="BW8" s="36">
        <f>IF(A8="","",(K8)*(IF((YEAR(D8)+14)&lt;YEAR(E8),0,IF((YEAR(D8)+14)&gt;YEAR(E8),1,(12-MONTH(E8)+1)/12)))*(1/(1+DiscountRate)^14))</f>
        <v/>
      </c>
      <c r="BX8" s="36">
        <f>IF(A8="","",(K8)*(IF((YEAR(D8)+15)&lt;YEAR(E8),0,IF((YEAR(D8)+15)&gt;YEAR(E8),1,(12-MONTH(E8)+1)/12)))*(1/(1+DiscountRate)^15))</f>
        <v/>
      </c>
      <c r="BY8" s="36">
        <f>IF(A8="","",(K8)*(IF((YEAR(D8)+16)&lt;YEAR(E8),0,IF((YEAR(D8)+16)&gt;YEAR(E8),1,(12-MONTH(E8)+1)/12)))*(1/(1+DiscountRate)^16))</f>
        <v/>
      </c>
      <c r="BZ8" s="36">
        <f>IF(A8="","",(K8)*(IF((YEAR(D8)+17)&lt;YEAR(E8),0,IF((YEAR(D8)+17)&gt;YEAR(E8),1,(12-MONTH(E8)+1)/12)))*(1/(1+DiscountRate)^17))</f>
        <v/>
      </c>
      <c r="CA8" s="36">
        <f>IF(A8="","",(K8)*(IF((YEAR(D8)+18)&lt;YEAR(E8),0,IF((YEAR(D8)+18)&gt;YEAR(E8),1,(12-MONTH(E8)+1)/12)))*(1/(1+DiscountRate)^18))</f>
        <v/>
      </c>
      <c r="CB8" s="36">
        <f>IF(A8="","",(K8)*(IF((YEAR(D8)+19)&lt;YEAR(E8),0,IF((YEAR(D8)+19)&gt;YEAR(E8),1,(12-MONTH(E8)+1)/12)))*(1/(1+DiscountRate)^19))</f>
        <v/>
      </c>
      <c r="CC8" s="36">
        <f>IF(A8="","",(K8)*(IF((YEAR(D8)+20)&lt;YEAR(E8),0,IF((YEAR(D8)+20)&gt;YEAR(E8),1,(12-MONTH(E8)+1)/12)))*(1/(1+DiscountRate)^20))</f>
        <v/>
      </c>
      <c r="CD8" s="29">
        <f>IF(A8="","",S8/(1+DiscountRate)^0+T8/(1+DiscountRate)^1+U8/(1+DiscountRate)^2+V8/(1+DiscountRate)^3+W8/(1+DiscountRate)^4+X8/(1+DiscountRate)^5+Y8/(1+DiscountRate)^6+Z8/(1+DiscountRate)^7+AA8/(1+DiscountRate)^8+AB8/(1+DiscountRate)^9+AC8/(1+DiscountRate)^10+AD8/(1+DiscountRate)^11+AE8/(1+DiscountRate)^12+AF8/(1+DiscountRate)^13+AG8/(1+DiscountRate)^14+AH8/(1+DiscountRate)^15+AI8/(1+DiscountRate)^16+AJ8/(1+DiscountRate)^17+AK8/(1+DiscountRate)^18+AL8/(1+DiscountRate)^19+AM8/(1+DiscountRate)^20)</f>
        <v/>
      </c>
      <c r="CE8" s="37">
        <f>IF(A8="","",IFERROR(IRR(OFFSET(S8,0,0,1,MIN(HorizonYears,20)+1)),"n/a"))</f>
        <v/>
      </c>
      <c r="CF8" s="28">
        <f>IF(A8="","",IFERROR(MATCH(TRUE,OFFSET(AN8,0,0,1,MIN(HorizonYears,20)+1)&gt;=0,0)-1,"n/a"))</f>
        <v/>
      </c>
      <c r="CG8" s="36">
        <f>IF(A8="","",SUM(OFFSET(BI8,0,0,1,MIN(HorizonYears,20)+1)))</f>
        <v/>
      </c>
      <c r="CH8" s="36">
        <f>IF(A8="","",IFERROR(-CD8/CG8,"n/a"))</f>
        <v/>
      </c>
    </row>
    <row r="9">
      <c r="A9" s="6">
        <f>Actions!A7</f>
        <v/>
      </c>
      <c r="B9" s="6">
        <f>Actions!B7</f>
        <v/>
      </c>
      <c r="C9" s="6">
        <f>Actions!D7</f>
        <v/>
      </c>
      <c r="D9" s="35">
        <f>Actions!E7</f>
        <v/>
      </c>
      <c r="E9" s="35">
        <f>Actions!F7</f>
        <v/>
      </c>
      <c r="F9" s="6">
        <f>Actions!G7</f>
        <v/>
      </c>
      <c r="G9" s="6">
        <f>Actions!H7</f>
        <v/>
      </c>
      <c r="H9" s="29">
        <f>Actions!I7</f>
        <v/>
      </c>
      <c r="I9" s="6">
        <f>Actions!J7</f>
        <v/>
      </c>
      <c r="J9" s="16">
        <f>Actions!K7</f>
        <v/>
      </c>
      <c r="K9" s="16">
        <f>IF(A9="","",IF(I9="%",H9*J9,J9))</f>
        <v/>
      </c>
      <c r="L9" s="16">
        <f>Actions!L7</f>
        <v/>
      </c>
      <c r="M9" s="6">
        <f>Actions!M7</f>
        <v/>
      </c>
      <c r="N9" s="28">
        <f>Actions!N7</f>
        <v/>
      </c>
      <c r="O9" s="29">
        <f>Actions!T7</f>
        <v/>
      </c>
      <c r="P9" s="29">
        <f>Actions!Y7</f>
        <v/>
      </c>
      <c r="Q9" s="29">
        <f>Actions!Z7</f>
        <v/>
      </c>
      <c r="R9" s="29">
        <f>Actions!AA7</f>
        <v/>
      </c>
      <c r="S9" s="29">
        <f>IF(A9="","",((K9)*(IF(M9="",L9,IFERROR(IF(INDEX(Variablen!$I:$AT, MATCH(M9, Variablen!$A:$A, 0), MATCH((YEAR(D9)+0), Variablen!$I$3:$AT$3, 0))="",L9,INDEX(Variablen!$I:$AT, MATCH(M9, Variablen!$A:$A, 0), MATCH((YEAR(D9)+0), Variablen!$I$3:$AT$3, 0))),L9)))*(IF((YEAR(D9)+0)&lt;YEAR(E9),0,IF((YEAR(D9)+0)&gt;YEAR(E9),1,(12-MONTH(E9)+1)/12))) + (Q9)*(IF((YEAR(D9)+0)&lt;YEAR(E9),0,IF((YEAR(D9)+0)&gt;YEAR(E9),1,(12-MONTH(E9)+1)/12))))-((P9)*(IF((YEAR(D9)+0)&lt;YEAR(E9),0,IF((YEAR(D9)+0)&gt;YEAR(E9),1,(12-MONTH(E9)+1)/12))) + (R9)*(IF((YEAR(D9)+0)&lt;YEAR(E9),0,IF((YEAR(D9)+0)&gt;YEAR(E9),1,(12-MONTH(E9)+1)/12))))-(IF((((K9)*(IF(M9="",L9,IFERROR(IF(INDEX(Variablen!$I:$AT, MATCH(M9, Variablen!$A:$A, 0), MATCH((YEAR(D9)+0), Variablen!$I$3:$AT$3, 0))="",L9,INDEX(Variablen!$I:$AT, MATCH(M9, Variablen!$A:$A, 0), MATCH((YEAR(D9)+0), Variablen!$I$3:$AT$3, 0))),L9)))*(IF((YEAR(D9)+0)&lt;YEAR(E9),0,IF((YEAR(D9)+0)&gt;YEAR(E9),1,(12-MONTH(E9)+1)/12))) + (Q9)*(IF((YEAR(D9)+0)&lt;YEAR(E9),0,IF((YEAR(D9)+0)&gt;YEAR(E9),1,(12-MONTH(E9)+1)/12))))-((P9)*(IF((YEAR(D9)+0)&lt;YEAR(E9),0,IF((YEAR(D9)+0)&gt;YEAR(E9),1,(12-MONTH(E9)+1)/12))) + (R9)*(IF((YEAR(D9)+0)&lt;YEAR(E9),0,IF((YEAR(D9)+0)&gt;YEAR(E9),1,(12-MONTH(E9)+1)/12))))-(IF(OR(N9="",N9&lt;=0),0,(O9/N9)*(IF(OR(N9="",N9&lt;=0),0,IF((YEAR(D9)+0)&lt;YEAR(E9),0,IF((YEAR(D9)+0)&gt;=YEAR(E9)+N9,0,IF((YEAR(D9)+0)=YEAR(E9),(12-MONTH(E9)+1)/12,1))))))))&gt;0,(((K9)*(IF(M9="",L9,IFERROR(IF(INDEX(Variablen!$I:$AT, MATCH(M9, Variablen!$A:$A, 0), MATCH((YEAR(D9)+0), Variablen!$I$3:$AT$3, 0))="",L9,INDEX(Variablen!$I:$AT, MATCH(M9, Variablen!$A:$A, 0), MATCH((YEAR(D9)+0), Variablen!$I$3:$AT$3, 0))),L9)))*(IF((YEAR(D9)+0)&lt;YEAR(E9),0,IF((YEAR(D9)+0)&gt;YEAR(E9),1,(12-MONTH(E9)+1)/12))) + (Q9)*(IF((YEAR(D9)+0)&lt;YEAR(E9),0,IF((YEAR(D9)+0)&gt;YEAR(E9),1,(12-MONTH(E9)+1)/12))))-((P9)*(IF((YEAR(D9)+0)&lt;YEAR(E9),0,IF((YEAR(D9)+0)&gt;YEAR(E9),1,(12-MONTH(E9)+1)/12))) + (R9)*(IF((YEAR(D9)+0)&lt;YEAR(E9),0,IF((YEAR(D9)+0)&gt;YEAR(E9),1,(12-MONTH(E9)+1)/12))))-(IF(OR(N9="",N9&lt;=0),0,(O9/N9)*(IF(OR(N9="",N9&lt;=0),0,IF((YEAR(D9)+0)&lt;YEAR(E9),0,IF((YEAR(D9)+0)&gt;=YEAR(E9)+N9,0,IF((YEAR(D9)+0)=YEAR(E9),(12-MONTH(E9)+1)/12,1))))))))*TaxRate,0))-IF(0=0,O9,0))</f>
        <v/>
      </c>
      <c r="T9" s="29">
        <f>IF(A9="","",((K9)*(IF(M9="",L9,IFERROR(IF(INDEX(Variablen!$I:$AT, MATCH(M9, Variablen!$A:$A, 0), MATCH((YEAR(D9)+1), Variablen!$I$3:$AT$3, 0))="",L9,INDEX(Variablen!$I:$AT, MATCH(M9, Variablen!$A:$A, 0), MATCH((YEAR(D9)+1), Variablen!$I$3:$AT$3, 0))),L9)))*(IF((YEAR(D9)+1)&lt;YEAR(E9),0,IF((YEAR(D9)+1)&gt;YEAR(E9),1,(12-MONTH(E9)+1)/12))) + (Q9)*(IF((YEAR(D9)+1)&lt;YEAR(E9),0,IF((YEAR(D9)+1)&gt;YEAR(E9),1,(12-MONTH(E9)+1)/12))))-((P9)*(IF((YEAR(D9)+1)&lt;YEAR(E9),0,IF((YEAR(D9)+1)&gt;YEAR(E9),1,(12-MONTH(E9)+1)/12))) + (R9)*(IF((YEAR(D9)+1)&lt;YEAR(E9),0,IF((YEAR(D9)+1)&gt;YEAR(E9),1,(12-MONTH(E9)+1)/12))))-(IF((((K9)*(IF(M9="",L9,IFERROR(IF(INDEX(Variablen!$I:$AT, MATCH(M9, Variablen!$A:$A, 0), MATCH((YEAR(D9)+1), Variablen!$I$3:$AT$3, 0))="",L9,INDEX(Variablen!$I:$AT, MATCH(M9, Variablen!$A:$A, 0), MATCH((YEAR(D9)+1), Variablen!$I$3:$AT$3, 0))),L9)))*(IF((YEAR(D9)+1)&lt;YEAR(E9),0,IF((YEAR(D9)+1)&gt;YEAR(E9),1,(12-MONTH(E9)+1)/12))) + (Q9)*(IF((YEAR(D9)+1)&lt;YEAR(E9),0,IF((YEAR(D9)+1)&gt;YEAR(E9),1,(12-MONTH(E9)+1)/12))))-((P9)*(IF((YEAR(D9)+1)&lt;YEAR(E9),0,IF((YEAR(D9)+1)&gt;YEAR(E9),1,(12-MONTH(E9)+1)/12))) + (R9)*(IF((YEAR(D9)+1)&lt;YEAR(E9),0,IF((YEAR(D9)+1)&gt;YEAR(E9),1,(12-MONTH(E9)+1)/12))))-(IF(OR(N9="",N9&lt;=0),0,(O9/N9)*(IF(OR(N9="",N9&lt;=0),0,IF((YEAR(D9)+1)&lt;YEAR(E9),0,IF((YEAR(D9)+1)&gt;=YEAR(E9)+N9,0,IF((YEAR(D9)+1)=YEAR(E9),(12-MONTH(E9)+1)/12,1))))))))&gt;0,(((K9)*(IF(M9="",L9,IFERROR(IF(INDEX(Variablen!$I:$AT, MATCH(M9, Variablen!$A:$A, 0), MATCH((YEAR(D9)+1), Variablen!$I$3:$AT$3, 0))="",L9,INDEX(Variablen!$I:$AT, MATCH(M9, Variablen!$A:$A, 0), MATCH((YEAR(D9)+1), Variablen!$I$3:$AT$3, 0))),L9)))*(IF((YEAR(D9)+1)&lt;YEAR(E9),0,IF((YEAR(D9)+1)&gt;YEAR(E9),1,(12-MONTH(E9)+1)/12))) + (Q9)*(IF((YEAR(D9)+1)&lt;YEAR(E9),0,IF((YEAR(D9)+1)&gt;YEAR(E9),1,(12-MONTH(E9)+1)/12))))-((P9)*(IF((YEAR(D9)+1)&lt;YEAR(E9),0,IF((YEAR(D9)+1)&gt;YEAR(E9),1,(12-MONTH(E9)+1)/12))) + (R9)*(IF((YEAR(D9)+1)&lt;YEAR(E9),0,IF((YEAR(D9)+1)&gt;YEAR(E9),1,(12-MONTH(E9)+1)/12))))-(IF(OR(N9="",N9&lt;=0),0,(O9/N9)*(IF(OR(N9="",N9&lt;=0),0,IF((YEAR(D9)+1)&lt;YEAR(E9),0,IF((YEAR(D9)+1)&gt;=YEAR(E9)+N9,0,IF((YEAR(D9)+1)=YEAR(E9),(12-MONTH(E9)+1)/12,1))))))))*TaxRate,0))-IF(1=0,O9,0))</f>
        <v/>
      </c>
      <c r="U9" s="29">
        <f>IF(A9="","",((K9)*(IF(M9="",L9,IFERROR(IF(INDEX(Variablen!$I:$AT, MATCH(M9, Variablen!$A:$A, 0), MATCH((YEAR(D9)+2), Variablen!$I$3:$AT$3, 0))="",L9,INDEX(Variablen!$I:$AT, MATCH(M9, Variablen!$A:$A, 0), MATCH((YEAR(D9)+2), Variablen!$I$3:$AT$3, 0))),L9)))*(IF((YEAR(D9)+2)&lt;YEAR(E9),0,IF((YEAR(D9)+2)&gt;YEAR(E9),1,(12-MONTH(E9)+1)/12))) + (Q9)*(IF((YEAR(D9)+2)&lt;YEAR(E9),0,IF((YEAR(D9)+2)&gt;YEAR(E9),1,(12-MONTH(E9)+1)/12))))-((P9)*(IF((YEAR(D9)+2)&lt;YEAR(E9),0,IF((YEAR(D9)+2)&gt;YEAR(E9),1,(12-MONTH(E9)+1)/12))) + (R9)*(IF((YEAR(D9)+2)&lt;YEAR(E9),0,IF((YEAR(D9)+2)&gt;YEAR(E9),1,(12-MONTH(E9)+1)/12))))-(IF((((K9)*(IF(M9="",L9,IFERROR(IF(INDEX(Variablen!$I:$AT, MATCH(M9, Variablen!$A:$A, 0), MATCH((YEAR(D9)+2), Variablen!$I$3:$AT$3, 0))="",L9,INDEX(Variablen!$I:$AT, MATCH(M9, Variablen!$A:$A, 0), MATCH((YEAR(D9)+2), Variablen!$I$3:$AT$3, 0))),L9)))*(IF((YEAR(D9)+2)&lt;YEAR(E9),0,IF((YEAR(D9)+2)&gt;YEAR(E9),1,(12-MONTH(E9)+1)/12))) + (Q9)*(IF((YEAR(D9)+2)&lt;YEAR(E9),0,IF((YEAR(D9)+2)&gt;YEAR(E9),1,(12-MONTH(E9)+1)/12))))-((P9)*(IF((YEAR(D9)+2)&lt;YEAR(E9),0,IF((YEAR(D9)+2)&gt;YEAR(E9),1,(12-MONTH(E9)+1)/12))) + (R9)*(IF((YEAR(D9)+2)&lt;YEAR(E9),0,IF((YEAR(D9)+2)&gt;YEAR(E9),1,(12-MONTH(E9)+1)/12))))-(IF(OR(N9="",N9&lt;=0),0,(O9/N9)*(IF(OR(N9="",N9&lt;=0),0,IF((YEAR(D9)+2)&lt;YEAR(E9),0,IF((YEAR(D9)+2)&gt;=YEAR(E9)+N9,0,IF((YEAR(D9)+2)=YEAR(E9),(12-MONTH(E9)+1)/12,1))))))))&gt;0,(((K9)*(IF(M9="",L9,IFERROR(IF(INDEX(Variablen!$I:$AT, MATCH(M9, Variablen!$A:$A, 0), MATCH((YEAR(D9)+2), Variablen!$I$3:$AT$3, 0))="",L9,INDEX(Variablen!$I:$AT, MATCH(M9, Variablen!$A:$A, 0), MATCH((YEAR(D9)+2), Variablen!$I$3:$AT$3, 0))),L9)))*(IF((YEAR(D9)+2)&lt;YEAR(E9),0,IF((YEAR(D9)+2)&gt;YEAR(E9),1,(12-MONTH(E9)+1)/12))) + (Q9)*(IF((YEAR(D9)+2)&lt;YEAR(E9),0,IF((YEAR(D9)+2)&gt;YEAR(E9),1,(12-MONTH(E9)+1)/12))))-((P9)*(IF((YEAR(D9)+2)&lt;YEAR(E9),0,IF((YEAR(D9)+2)&gt;YEAR(E9),1,(12-MONTH(E9)+1)/12))) + (R9)*(IF((YEAR(D9)+2)&lt;YEAR(E9),0,IF((YEAR(D9)+2)&gt;YEAR(E9),1,(12-MONTH(E9)+1)/12))))-(IF(OR(N9="",N9&lt;=0),0,(O9/N9)*(IF(OR(N9="",N9&lt;=0),0,IF((YEAR(D9)+2)&lt;YEAR(E9),0,IF((YEAR(D9)+2)&gt;=YEAR(E9)+N9,0,IF((YEAR(D9)+2)=YEAR(E9),(12-MONTH(E9)+1)/12,1))))))))*TaxRate,0))-IF(2=0,O9,0))</f>
        <v/>
      </c>
      <c r="V9" s="29">
        <f>IF(A9="","",((K9)*(IF(M9="",L9,IFERROR(IF(INDEX(Variablen!$I:$AT, MATCH(M9, Variablen!$A:$A, 0), MATCH((YEAR(D9)+3), Variablen!$I$3:$AT$3, 0))="",L9,INDEX(Variablen!$I:$AT, MATCH(M9, Variablen!$A:$A, 0), MATCH((YEAR(D9)+3), Variablen!$I$3:$AT$3, 0))),L9)))*(IF((YEAR(D9)+3)&lt;YEAR(E9),0,IF((YEAR(D9)+3)&gt;YEAR(E9),1,(12-MONTH(E9)+1)/12))) + (Q9)*(IF((YEAR(D9)+3)&lt;YEAR(E9),0,IF((YEAR(D9)+3)&gt;YEAR(E9),1,(12-MONTH(E9)+1)/12))))-((P9)*(IF((YEAR(D9)+3)&lt;YEAR(E9),0,IF((YEAR(D9)+3)&gt;YEAR(E9),1,(12-MONTH(E9)+1)/12))) + (R9)*(IF((YEAR(D9)+3)&lt;YEAR(E9),0,IF((YEAR(D9)+3)&gt;YEAR(E9),1,(12-MONTH(E9)+1)/12))))-(IF((((K9)*(IF(M9="",L9,IFERROR(IF(INDEX(Variablen!$I:$AT, MATCH(M9, Variablen!$A:$A, 0), MATCH((YEAR(D9)+3), Variablen!$I$3:$AT$3, 0))="",L9,INDEX(Variablen!$I:$AT, MATCH(M9, Variablen!$A:$A, 0), MATCH((YEAR(D9)+3), Variablen!$I$3:$AT$3, 0))),L9)))*(IF((YEAR(D9)+3)&lt;YEAR(E9),0,IF((YEAR(D9)+3)&gt;YEAR(E9),1,(12-MONTH(E9)+1)/12))) + (Q9)*(IF((YEAR(D9)+3)&lt;YEAR(E9),0,IF((YEAR(D9)+3)&gt;YEAR(E9),1,(12-MONTH(E9)+1)/12))))-((P9)*(IF((YEAR(D9)+3)&lt;YEAR(E9),0,IF((YEAR(D9)+3)&gt;YEAR(E9),1,(12-MONTH(E9)+1)/12))) + (R9)*(IF((YEAR(D9)+3)&lt;YEAR(E9),0,IF((YEAR(D9)+3)&gt;YEAR(E9),1,(12-MONTH(E9)+1)/12))))-(IF(OR(N9="",N9&lt;=0),0,(O9/N9)*(IF(OR(N9="",N9&lt;=0),0,IF((YEAR(D9)+3)&lt;YEAR(E9),0,IF((YEAR(D9)+3)&gt;=YEAR(E9)+N9,0,IF((YEAR(D9)+3)=YEAR(E9),(12-MONTH(E9)+1)/12,1))))))))&gt;0,(((K9)*(IF(M9="",L9,IFERROR(IF(INDEX(Variablen!$I:$AT, MATCH(M9, Variablen!$A:$A, 0), MATCH((YEAR(D9)+3), Variablen!$I$3:$AT$3, 0))="",L9,INDEX(Variablen!$I:$AT, MATCH(M9, Variablen!$A:$A, 0), MATCH((YEAR(D9)+3), Variablen!$I$3:$AT$3, 0))),L9)))*(IF((YEAR(D9)+3)&lt;YEAR(E9),0,IF((YEAR(D9)+3)&gt;YEAR(E9),1,(12-MONTH(E9)+1)/12))) + (Q9)*(IF((YEAR(D9)+3)&lt;YEAR(E9),0,IF((YEAR(D9)+3)&gt;YEAR(E9),1,(12-MONTH(E9)+1)/12))))-((P9)*(IF((YEAR(D9)+3)&lt;YEAR(E9),0,IF((YEAR(D9)+3)&gt;YEAR(E9),1,(12-MONTH(E9)+1)/12))) + (R9)*(IF((YEAR(D9)+3)&lt;YEAR(E9),0,IF((YEAR(D9)+3)&gt;YEAR(E9),1,(12-MONTH(E9)+1)/12))))-(IF(OR(N9="",N9&lt;=0),0,(O9/N9)*(IF(OR(N9="",N9&lt;=0),0,IF((YEAR(D9)+3)&lt;YEAR(E9),0,IF((YEAR(D9)+3)&gt;=YEAR(E9)+N9,0,IF((YEAR(D9)+3)=YEAR(E9),(12-MONTH(E9)+1)/12,1))))))))*TaxRate,0))-IF(3=0,O9,0))</f>
        <v/>
      </c>
      <c r="W9" s="29">
        <f>IF(A9="","",((K9)*(IF(M9="",L9,IFERROR(IF(INDEX(Variablen!$I:$AT, MATCH(M9, Variablen!$A:$A, 0), MATCH((YEAR(D9)+4), Variablen!$I$3:$AT$3, 0))="",L9,INDEX(Variablen!$I:$AT, MATCH(M9, Variablen!$A:$A, 0), MATCH((YEAR(D9)+4), Variablen!$I$3:$AT$3, 0))),L9)))*(IF((YEAR(D9)+4)&lt;YEAR(E9),0,IF((YEAR(D9)+4)&gt;YEAR(E9),1,(12-MONTH(E9)+1)/12))) + (Q9)*(IF((YEAR(D9)+4)&lt;YEAR(E9),0,IF((YEAR(D9)+4)&gt;YEAR(E9),1,(12-MONTH(E9)+1)/12))))-((P9)*(IF((YEAR(D9)+4)&lt;YEAR(E9),0,IF((YEAR(D9)+4)&gt;YEAR(E9),1,(12-MONTH(E9)+1)/12))) + (R9)*(IF((YEAR(D9)+4)&lt;YEAR(E9),0,IF((YEAR(D9)+4)&gt;YEAR(E9),1,(12-MONTH(E9)+1)/12))))-(IF((((K9)*(IF(M9="",L9,IFERROR(IF(INDEX(Variablen!$I:$AT, MATCH(M9, Variablen!$A:$A, 0), MATCH((YEAR(D9)+4), Variablen!$I$3:$AT$3, 0))="",L9,INDEX(Variablen!$I:$AT, MATCH(M9, Variablen!$A:$A, 0), MATCH((YEAR(D9)+4), Variablen!$I$3:$AT$3, 0))),L9)))*(IF((YEAR(D9)+4)&lt;YEAR(E9),0,IF((YEAR(D9)+4)&gt;YEAR(E9),1,(12-MONTH(E9)+1)/12))) + (Q9)*(IF((YEAR(D9)+4)&lt;YEAR(E9),0,IF((YEAR(D9)+4)&gt;YEAR(E9),1,(12-MONTH(E9)+1)/12))))-((P9)*(IF((YEAR(D9)+4)&lt;YEAR(E9),0,IF((YEAR(D9)+4)&gt;YEAR(E9),1,(12-MONTH(E9)+1)/12))) + (R9)*(IF((YEAR(D9)+4)&lt;YEAR(E9),0,IF((YEAR(D9)+4)&gt;YEAR(E9),1,(12-MONTH(E9)+1)/12))))-(IF(OR(N9="",N9&lt;=0),0,(O9/N9)*(IF(OR(N9="",N9&lt;=0),0,IF((YEAR(D9)+4)&lt;YEAR(E9),0,IF((YEAR(D9)+4)&gt;=YEAR(E9)+N9,0,IF((YEAR(D9)+4)=YEAR(E9),(12-MONTH(E9)+1)/12,1))))))))&gt;0,(((K9)*(IF(M9="",L9,IFERROR(IF(INDEX(Variablen!$I:$AT, MATCH(M9, Variablen!$A:$A, 0), MATCH((YEAR(D9)+4), Variablen!$I$3:$AT$3, 0))="",L9,INDEX(Variablen!$I:$AT, MATCH(M9, Variablen!$A:$A, 0), MATCH((YEAR(D9)+4), Variablen!$I$3:$AT$3, 0))),L9)))*(IF((YEAR(D9)+4)&lt;YEAR(E9),0,IF((YEAR(D9)+4)&gt;YEAR(E9),1,(12-MONTH(E9)+1)/12))) + (Q9)*(IF((YEAR(D9)+4)&lt;YEAR(E9),0,IF((YEAR(D9)+4)&gt;YEAR(E9),1,(12-MONTH(E9)+1)/12))))-((P9)*(IF((YEAR(D9)+4)&lt;YEAR(E9),0,IF((YEAR(D9)+4)&gt;YEAR(E9),1,(12-MONTH(E9)+1)/12))) + (R9)*(IF((YEAR(D9)+4)&lt;YEAR(E9),0,IF((YEAR(D9)+4)&gt;YEAR(E9),1,(12-MONTH(E9)+1)/12))))-(IF(OR(N9="",N9&lt;=0),0,(O9/N9)*(IF(OR(N9="",N9&lt;=0),0,IF((YEAR(D9)+4)&lt;YEAR(E9),0,IF((YEAR(D9)+4)&gt;=YEAR(E9)+N9,0,IF((YEAR(D9)+4)=YEAR(E9),(12-MONTH(E9)+1)/12,1))))))))*TaxRate,0))-IF(4=0,O9,0))</f>
        <v/>
      </c>
      <c r="X9" s="29">
        <f>IF(A9="","",((K9)*(IF(M9="",L9,IFERROR(IF(INDEX(Variablen!$I:$AT, MATCH(M9, Variablen!$A:$A, 0), MATCH((YEAR(D9)+5), Variablen!$I$3:$AT$3, 0))="",L9,INDEX(Variablen!$I:$AT, MATCH(M9, Variablen!$A:$A, 0), MATCH((YEAR(D9)+5), Variablen!$I$3:$AT$3, 0))),L9)))*(IF((YEAR(D9)+5)&lt;YEAR(E9),0,IF((YEAR(D9)+5)&gt;YEAR(E9),1,(12-MONTH(E9)+1)/12))) + (Q9)*(IF((YEAR(D9)+5)&lt;YEAR(E9),0,IF((YEAR(D9)+5)&gt;YEAR(E9),1,(12-MONTH(E9)+1)/12))))-((P9)*(IF((YEAR(D9)+5)&lt;YEAR(E9),0,IF((YEAR(D9)+5)&gt;YEAR(E9),1,(12-MONTH(E9)+1)/12))) + (R9)*(IF((YEAR(D9)+5)&lt;YEAR(E9),0,IF((YEAR(D9)+5)&gt;YEAR(E9),1,(12-MONTH(E9)+1)/12))))-(IF((((K9)*(IF(M9="",L9,IFERROR(IF(INDEX(Variablen!$I:$AT, MATCH(M9, Variablen!$A:$A, 0), MATCH((YEAR(D9)+5), Variablen!$I$3:$AT$3, 0))="",L9,INDEX(Variablen!$I:$AT, MATCH(M9, Variablen!$A:$A, 0), MATCH((YEAR(D9)+5), Variablen!$I$3:$AT$3, 0))),L9)))*(IF((YEAR(D9)+5)&lt;YEAR(E9),0,IF((YEAR(D9)+5)&gt;YEAR(E9),1,(12-MONTH(E9)+1)/12))) + (Q9)*(IF((YEAR(D9)+5)&lt;YEAR(E9),0,IF((YEAR(D9)+5)&gt;YEAR(E9),1,(12-MONTH(E9)+1)/12))))-((P9)*(IF((YEAR(D9)+5)&lt;YEAR(E9),0,IF((YEAR(D9)+5)&gt;YEAR(E9),1,(12-MONTH(E9)+1)/12))) + (R9)*(IF((YEAR(D9)+5)&lt;YEAR(E9),0,IF((YEAR(D9)+5)&gt;YEAR(E9),1,(12-MONTH(E9)+1)/12))))-(IF(OR(N9="",N9&lt;=0),0,(O9/N9)*(IF(OR(N9="",N9&lt;=0),0,IF((YEAR(D9)+5)&lt;YEAR(E9),0,IF((YEAR(D9)+5)&gt;=YEAR(E9)+N9,0,IF((YEAR(D9)+5)=YEAR(E9),(12-MONTH(E9)+1)/12,1))))))))&gt;0,(((K9)*(IF(M9="",L9,IFERROR(IF(INDEX(Variablen!$I:$AT, MATCH(M9, Variablen!$A:$A, 0), MATCH((YEAR(D9)+5), Variablen!$I$3:$AT$3, 0))="",L9,INDEX(Variablen!$I:$AT, MATCH(M9, Variablen!$A:$A, 0), MATCH((YEAR(D9)+5), Variablen!$I$3:$AT$3, 0))),L9)))*(IF((YEAR(D9)+5)&lt;YEAR(E9),0,IF((YEAR(D9)+5)&gt;YEAR(E9),1,(12-MONTH(E9)+1)/12))) + (Q9)*(IF((YEAR(D9)+5)&lt;YEAR(E9),0,IF((YEAR(D9)+5)&gt;YEAR(E9),1,(12-MONTH(E9)+1)/12))))-((P9)*(IF((YEAR(D9)+5)&lt;YEAR(E9),0,IF((YEAR(D9)+5)&gt;YEAR(E9),1,(12-MONTH(E9)+1)/12))) + (R9)*(IF((YEAR(D9)+5)&lt;YEAR(E9),0,IF((YEAR(D9)+5)&gt;YEAR(E9),1,(12-MONTH(E9)+1)/12))))-(IF(OR(N9="",N9&lt;=0),0,(O9/N9)*(IF(OR(N9="",N9&lt;=0),0,IF((YEAR(D9)+5)&lt;YEAR(E9),0,IF((YEAR(D9)+5)&gt;=YEAR(E9)+N9,0,IF((YEAR(D9)+5)=YEAR(E9),(12-MONTH(E9)+1)/12,1))))))))*TaxRate,0))-IF(5=0,O9,0))</f>
        <v/>
      </c>
      <c r="Y9" s="29">
        <f>IF(A9="","",((K9)*(IF(M9="",L9,IFERROR(IF(INDEX(Variablen!$I:$AT, MATCH(M9, Variablen!$A:$A, 0), MATCH((YEAR(D9)+6), Variablen!$I$3:$AT$3, 0))="",L9,INDEX(Variablen!$I:$AT, MATCH(M9, Variablen!$A:$A, 0), MATCH((YEAR(D9)+6), Variablen!$I$3:$AT$3, 0))),L9)))*(IF((YEAR(D9)+6)&lt;YEAR(E9),0,IF((YEAR(D9)+6)&gt;YEAR(E9),1,(12-MONTH(E9)+1)/12))) + (Q9)*(IF((YEAR(D9)+6)&lt;YEAR(E9),0,IF((YEAR(D9)+6)&gt;YEAR(E9),1,(12-MONTH(E9)+1)/12))))-((P9)*(IF((YEAR(D9)+6)&lt;YEAR(E9),0,IF((YEAR(D9)+6)&gt;YEAR(E9),1,(12-MONTH(E9)+1)/12))) + (R9)*(IF((YEAR(D9)+6)&lt;YEAR(E9),0,IF((YEAR(D9)+6)&gt;YEAR(E9),1,(12-MONTH(E9)+1)/12))))-(IF((((K9)*(IF(M9="",L9,IFERROR(IF(INDEX(Variablen!$I:$AT, MATCH(M9, Variablen!$A:$A, 0), MATCH((YEAR(D9)+6), Variablen!$I$3:$AT$3, 0))="",L9,INDEX(Variablen!$I:$AT, MATCH(M9, Variablen!$A:$A, 0), MATCH((YEAR(D9)+6), Variablen!$I$3:$AT$3, 0))),L9)))*(IF((YEAR(D9)+6)&lt;YEAR(E9),0,IF((YEAR(D9)+6)&gt;YEAR(E9),1,(12-MONTH(E9)+1)/12))) + (Q9)*(IF((YEAR(D9)+6)&lt;YEAR(E9),0,IF((YEAR(D9)+6)&gt;YEAR(E9),1,(12-MONTH(E9)+1)/12))))-((P9)*(IF((YEAR(D9)+6)&lt;YEAR(E9),0,IF((YEAR(D9)+6)&gt;YEAR(E9),1,(12-MONTH(E9)+1)/12))) + (R9)*(IF((YEAR(D9)+6)&lt;YEAR(E9),0,IF((YEAR(D9)+6)&gt;YEAR(E9),1,(12-MONTH(E9)+1)/12))))-(IF(OR(N9="",N9&lt;=0),0,(O9/N9)*(IF(OR(N9="",N9&lt;=0),0,IF((YEAR(D9)+6)&lt;YEAR(E9),0,IF((YEAR(D9)+6)&gt;=YEAR(E9)+N9,0,IF((YEAR(D9)+6)=YEAR(E9),(12-MONTH(E9)+1)/12,1))))))))&gt;0,(((K9)*(IF(M9="",L9,IFERROR(IF(INDEX(Variablen!$I:$AT, MATCH(M9, Variablen!$A:$A, 0), MATCH((YEAR(D9)+6), Variablen!$I$3:$AT$3, 0))="",L9,INDEX(Variablen!$I:$AT, MATCH(M9, Variablen!$A:$A, 0), MATCH((YEAR(D9)+6), Variablen!$I$3:$AT$3, 0))),L9)))*(IF((YEAR(D9)+6)&lt;YEAR(E9),0,IF((YEAR(D9)+6)&gt;YEAR(E9),1,(12-MONTH(E9)+1)/12))) + (Q9)*(IF((YEAR(D9)+6)&lt;YEAR(E9),0,IF((YEAR(D9)+6)&gt;YEAR(E9),1,(12-MONTH(E9)+1)/12))))-((P9)*(IF((YEAR(D9)+6)&lt;YEAR(E9),0,IF((YEAR(D9)+6)&gt;YEAR(E9),1,(12-MONTH(E9)+1)/12))) + (R9)*(IF((YEAR(D9)+6)&lt;YEAR(E9),0,IF((YEAR(D9)+6)&gt;YEAR(E9),1,(12-MONTH(E9)+1)/12))))-(IF(OR(N9="",N9&lt;=0),0,(O9/N9)*(IF(OR(N9="",N9&lt;=0),0,IF((YEAR(D9)+6)&lt;YEAR(E9),0,IF((YEAR(D9)+6)&gt;=YEAR(E9)+N9,0,IF((YEAR(D9)+6)=YEAR(E9),(12-MONTH(E9)+1)/12,1))))))))*TaxRate,0))-IF(6=0,O9,0))</f>
        <v/>
      </c>
      <c r="Z9" s="29">
        <f>IF(A9="","",((K9)*(IF(M9="",L9,IFERROR(IF(INDEX(Variablen!$I:$AT, MATCH(M9, Variablen!$A:$A, 0), MATCH((YEAR(D9)+7), Variablen!$I$3:$AT$3, 0))="",L9,INDEX(Variablen!$I:$AT, MATCH(M9, Variablen!$A:$A, 0), MATCH((YEAR(D9)+7), Variablen!$I$3:$AT$3, 0))),L9)))*(IF((YEAR(D9)+7)&lt;YEAR(E9),0,IF((YEAR(D9)+7)&gt;YEAR(E9),1,(12-MONTH(E9)+1)/12))) + (Q9)*(IF((YEAR(D9)+7)&lt;YEAR(E9),0,IF((YEAR(D9)+7)&gt;YEAR(E9),1,(12-MONTH(E9)+1)/12))))-((P9)*(IF((YEAR(D9)+7)&lt;YEAR(E9),0,IF((YEAR(D9)+7)&gt;YEAR(E9),1,(12-MONTH(E9)+1)/12))) + (R9)*(IF((YEAR(D9)+7)&lt;YEAR(E9),0,IF((YEAR(D9)+7)&gt;YEAR(E9),1,(12-MONTH(E9)+1)/12))))-(IF((((K9)*(IF(M9="",L9,IFERROR(IF(INDEX(Variablen!$I:$AT, MATCH(M9, Variablen!$A:$A, 0), MATCH((YEAR(D9)+7), Variablen!$I$3:$AT$3, 0))="",L9,INDEX(Variablen!$I:$AT, MATCH(M9, Variablen!$A:$A, 0), MATCH((YEAR(D9)+7), Variablen!$I$3:$AT$3, 0))),L9)))*(IF((YEAR(D9)+7)&lt;YEAR(E9),0,IF((YEAR(D9)+7)&gt;YEAR(E9),1,(12-MONTH(E9)+1)/12))) + (Q9)*(IF((YEAR(D9)+7)&lt;YEAR(E9),0,IF((YEAR(D9)+7)&gt;YEAR(E9),1,(12-MONTH(E9)+1)/12))))-((P9)*(IF((YEAR(D9)+7)&lt;YEAR(E9),0,IF((YEAR(D9)+7)&gt;YEAR(E9),1,(12-MONTH(E9)+1)/12))) + (R9)*(IF((YEAR(D9)+7)&lt;YEAR(E9),0,IF((YEAR(D9)+7)&gt;YEAR(E9),1,(12-MONTH(E9)+1)/12))))-(IF(OR(N9="",N9&lt;=0),0,(O9/N9)*(IF(OR(N9="",N9&lt;=0),0,IF((YEAR(D9)+7)&lt;YEAR(E9),0,IF((YEAR(D9)+7)&gt;=YEAR(E9)+N9,0,IF((YEAR(D9)+7)=YEAR(E9),(12-MONTH(E9)+1)/12,1))))))))&gt;0,(((K9)*(IF(M9="",L9,IFERROR(IF(INDEX(Variablen!$I:$AT, MATCH(M9, Variablen!$A:$A, 0), MATCH((YEAR(D9)+7), Variablen!$I$3:$AT$3, 0))="",L9,INDEX(Variablen!$I:$AT, MATCH(M9, Variablen!$A:$A, 0), MATCH((YEAR(D9)+7), Variablen!$I$3:$AT$3, 0))),L9)))*(IF((YEAR(D9)+7)&lt;YEAR(E9),0,IF((YEAR(D9)+7)&gt;YEAR(E9),1,(12-MONTH(E9)+1)/12))) + (Q9)*(IF((YEAR(D9)+7)&lt;YEAR(E9),0,IF((YEAR(D9)+7)&gt;YEAR(E9),1,(12-MONTH(E9)+1)/12))))-((P9)*(IF((YEAR(D9)+7)&lt;YEAR(E9),0,IF((YEAR(D9)+7)&gt;YEAR(E9),1,(12-MONTH(E9)+1)/12))) + (R9)*(IF((YEAR(D9)+7)&lt;YEAR(E9),0,IF((YEAR(D9)+7)&gt;YEAR(E9),1,(12-MONTH(E9)+1)/12))))-(IF(OR(N9="",N9&lt;=0),0,(O9/N9)*(IF(OR(N9="",N9&lt;=0),0,IF((YEAR(D9)+7)&lt;YEAR(E9),0,IF((YEAR(D9)+7)&gt;=YEAR(E9)+N9,0,IF((YEAR(D9)+7)=YEAR(E9),(12-MONTH(E9)+1)/12,1))))))))*TaxRate,0))-IF(7=0,O9,0))</f>
        <v/>
      </c>
      <c r="AA9" s="29">
        <f>IF(A9="","",((K9)*(IF(M9="",L9,IFERROR(IF(INDEX(Variablen!$I:$AT, MATCH(M9, Variablen!$A:$A, 0), MATCH((YEAR(D9)+8), Variablen!$I$3:$AT$3, 0))="",L9,INDEX(Variablen!$I:$AT, MATCH(M9, Variablen!$A:$A, 0), MATCH((YEAR(D9)+8), Variablen!$I$3:$AT$3, 0))),L9)))*(IF((YEAR(D9)+8)&lt;YEAR(E9),0,IF((YEAR(D9)+8)&gt;YEAR(E9),1,(12-MONTH(E9)+1)/12))) + (Q9)*(IF((YEAR(D9)+8)&lt;YEAR(E9),0,IF((YEAR(D9)+8)&gt;YEAR(E9),1,(12-MONTH(E9)+1)/12))))-((P9)*(IF((YEAR(D9)+8)&lt;YEAR(E9),0,IF((YEAR(D9)+8)&gt;YEAR(E9),1,(12-MONTH(E9)+1)/12))) + (R9)*(IF((YEAR(D9)+8)&lt;YEAR(E9),0,IF((YEAR(D9)+8)&gt;YEAR(E9),1,(12-MONTH(E9)+1)/12))))-(IF((((K9)*(IF(M9="",L9,IFERROR(IF(INDEX(Variablen!$I:$AT, MATCH(M9, Variablen!$A:$A, 0), MATCH((YEAR(D9)+8), Variablen!$I$3:$AT$3, 0))="",L9,INDEX(Variablen!$I:$AT, MATCH(M9, Variablen!$A:$A, 0), MATCH((YEAR(D9)+8), Variablen!$I$3:$AT$3, 0))),L9)))*(IF((YEAR(D9)+8)&lt;YEAR(E9),0,IF((YEAR(D9)+8)&gt;YEAR(E9),1,(12-MONTH(E9)+1)/12))) + (Q9)*(IF((YEAR(D9)+8)&lt;YEAR(E9),0,IF((YEAR(D9)+8)&gt;YEAR(E9),1,(12-MONTH(E9)+1)/12))))-((P9)*(IF((YEAR(D9)+8)&lt;YEAR(E9),0,IF((YEAR(D9)+8)&gt;YEAR(E9),1,(12-MONTH(E9)+1)/12))) + (R9)*(IF((YEAR(D9)+8)&lt;YEAR(E9),0,IF((YEAR(D9)+8)&gt;YEAR(E9),1,(12-MONTH(E9)+1)/12))))-(IF(OR(N9="",N9&lt;=0),0,(O9/N9)*(IF(OR(N9="",N9&lt;=0),0,IF((YEAR(D9)+8)&lt;YEAR(E9),0,IF((YEAR(D9)+8)&gt;=YEAR(E9)+N9,0,IF((YEAR(D9)+8)=YEAR(E9),(12-MONTH(E9)+1)/12,1))))))))&gt;0,(((K9)*(IF(M9="",L9,IFERROR(IF(INDEX(Variablen!$I:$AT, MATCH(M9, Variablen!$A:$A, 0), MATCH((YEAR(D9)+8), Variablen!$I$3:$AT$3, 0))="",L9,INDEX(Variablen!$I:$AT, MATCH(M9, Variablen!$A:$A, 0), MATCH((YEAR(D9)+8), Variablen!$I$3:$AT$3, 0))),L9)))*(IF((YEAR(D9)+8)&lt;YEAR(E9),0,IF((YEAR(D9)+8)&gt;YEAR(E9),1,(12-MONTH(E9)+1)/12))) + (Q9)*(IF((YEAR(D9)+8)&lt;YEAR(E9),0,IF((YEAR(D9)+8)&gt;YEAR(E9),1,(12-MONTH(E9)+1)/12))))-((P9)*(IF((YEAR(D9)+8)&lt;YEAR(E9),0,IF((YEAR(D9)+8)&gt;YEAR(E9),1,(12-MONTH(E9)+1)/12))) + (R9)*(IF((YEAR(D9)+8)&lt;YEAR(E9),0,IF((YEAR(D9)+8)&gt;YEAR(E9),1,(12-MONTH(E9)+1)/12))))-(IF(OR(N9="",N9&lt;=0),0,(O9/N9)*(IF(OR(N9="",N9&lt;=0),0,IF((YEAR(D9)+8)&lt;YEAR(E9),0,IF((YEAR(D9)+8)&gt;=YEAR(E9)+N9,0,IF((YEAR(D9)+8)=YEAR(E9),(12-MONTH(E9)+1)/12,1))))))))*TaxRate,0))-IF(8=0,O9,0))</f>
        <v/>
      </c>
      <c r="AB9" s="29">
        <f>IF(A9="","",((K9)*(IF(M9="",L9,IFERROR(IF(INDEX(Variablen!$I:$AT, MATCH(M9, Variablen!$A:$A, 0), MATCH((YEAR(D9)+9), Variablen!$I$3:$AT$3, 0))="",L9,INDEX(Variablen!$I:$AT, MATCH(M9, Variablen!$A:$A, 0), MATCH((YEAR(D9)+9), Variablen!$I$3:$AT$3, 0))),L9)))*(IF((YEAR(D9)+9)&lt;YEAR(E9),0,IF((YEAR(D9)+9)&gt;YEAR(E9),1,(12-MONTH(E9)+1)/12))) + (Q9)*(IF((YEAR(D9)+9)&lt;YEAR(E9),0,IF((YEAR(D9)+9)&gt;YEAR(E9),1,(12-MONTH(E9)+1)/12))))-((P9)*(IF((YEAR(D9)+9)&lt;YEAR(E9),0,IF((YEAR(D9)+9)&gt;YEAR(E9),1,(12-MONTH(E9)+1)/12))) + (R9)*(IF((YEAR(D9)+9)&lt;YEAR(E9),0,IF((YEAR(D9)+9)&gt;YEAR(E9),1,(12-MONTH(E9)+1)/12))))-(IF((((K9)*(IF(M9="",L9,IFERROR(IF(INDEX(Variablen!$I:$AT, MATCH(M9, Variablen!$A:$A, 0), MATCH((YEAR(D9)+9), Variablen!$I$3:$AT$3, 0))="",L9,INDEX(Variablen!$I:$AT, MATCH(M9, Variablen!$A:$A, 0), MATCH((YEAR(D9)+9), Variablen!$I$3:$AT$3, 0))),L9)))*(IF((YEAR(D9)+9)&lt;YEAR(E9),0,IF((YEAR(D9)+9)&gt;YEAR(E9),1,(12-MONTH(E9)+1)/12))) + (Q9)*(IF((YEAR(D9)+9)&lt;YEAR(E9),0,IF((YEAR(D9)+9)&gt;YEAR(E9),1,(12-MONTH(E9)+1)/12))))-((P9)*(IF((YEAR(D9)+9)&lt;YEAR(E9),0,IF((YEAR(D9)+9)&gt;YEAR(E9),1,(12-MONTH(E9)+1)/12))) + (R9)*(IF((YEAR(D9)+9)&lt;YEAR(E9),0,IF((YEAR(D9)+9)&gt;YEAR(E9),1,(12-MONTH(E9)+1)/12))))-(IF(OR(N9="",N9&lt;=0),0,(O9/N9)*(IF(OR(N9="",N9&lt;=0),0,IF((YEAR(D9)+9)&lt;YEAR(E9),0,IF((YEAR(D9)+9)&gt;=YEAR(E9)+N9,0,IF((YEAR(D9)+9)=YEAR(E9),(12-MONTH(E9)+1)/12,1))))))))&gt;0,(((K9)*(IF(M9="",L9,IFERROR(IF(INDEX(Variablen!$I:$AT, MATCH(M9, Variablen!$A:$A, 0), MATCH((YEAR(D9)+9), Variablen!$I$3:$AT$3, 0))="",L9,INDEX(Variablen!$I:$AT, MATCH(M9, Variablen!$A:$A, 0), MATCH((YEAR(D9)+9), Variablen!$I$3:$AT$3, 0))),L9)))*(IF((YEAR(D9)+9)&lt;YEAR(E9),0,IF((YEAR(D9)+9)&gt;YEAR(E9),1,(12-MONTH(E9)+1)/12))) + (Q9)*(IF((YEAR(D9)+9)&lt;YEAR(E9),0,IF((YEAR(D9)+9)&gt;YEAR(E9),1,(12-MONTH(E9)+1)/12))))-((P9)*(IF((YEAR(D9)+9)&lt;YEAR(E9),0,IF((YEAR(D9)+9)&gt;YEAR(E9),1,(12-MONTH(E9)+1)/12))) + (R9)*(IF((YEAR(D9)+9)&lt;YEAR(E9),0,IF((YEAR(D9)+9)&gt;YEAR(E9),1,(12-MONTH(E9)+1)/12))))-(IF(OR(N9="",N9&lt;=0),0,(O9/N9)*(IF(OR(N9="",N9&lt;=0),0,IF((YEAR(D9)+9)&lt;YEAR(E9),0,IF((YEAR(D9)+9)&gt;=YEAR(E9)+N9,0,IF((YEAR(D9)+9)=YEAR(E9),(12-MONTH(E9)+1)/12,1))))))))*TaxRate,0))-IF(9=0,O9,0))</f>
        <v/>
      </c>
      <c r="AC9" s="29">
        <f>IF(A9="","",((K9)*(IF(M9="",L9,IFERROR(IF(INDEX(Variablen!$I:$AT, MATCH(M9, Variablen!$A:$A, 0), MATCH((YEAR(D9)+10), Variablen!$I$3:$AT$3, 0))="",L9,INDEX(Variablen!$I:$AT, MATCH(M9, Variablen!$A:$A, 0), MATCH((YEAR(D9)+10), Variablen!$I$3:$AT$3, 0))),L9)))*(IF((YEAR(D9)+10)&lt;YEAR(E9),0,IF((YEAR(D9)+10)&gt;YEAR(E9),1,(12-MONTH(E9)+1)/12))) + (Q9)*(IF((YEAR(D9)+10)&lt;YEAR(E9),0,IF((YEAR(D9)+10)&gt;YEAR(E9),1,(12-MONTH(E9)+1)/12))))-((P9)*(IF((YEAR(D9)+10)&lt;YEAR(E9),0,IF((YEAR(D9)+10)&gt;YEAR(E9),1,(12-MONTH(E9)+1)/12))) + (R9)*(IF((YEAR(D9)+10)&lt;YEAR(E9),0,IF((YEAR(D9)+10)&gt;YEAR(E9),1,(12-MONTH(E9)+1)/12))))-(IF((((K9)*(IF(M9="",L9,IFERROR(IF(INDEX(Variablen!$I:$AT, MATCH(M9, Variablen!$A:$A, 0), MATCH((YEAR(D9)+10), Variablen!$I$3:$AT$3, 0))="",L9,INDEX(Variablen!$I:$AT, MATCH(M9, Variablen!$A:$A, 0), MATCH((YEAR(D9)+10), Variablen!$I$3:$AT$3, 0))),L9)))*(IF((YEAR(D9)+10)&lt;YEAR(E9),0,IF((YEAR(D9)+10)&gt;YEAR(E9),1,(12-MONTH(E9)+1)/12))) + (Q9)*(IF((YEAR(D9)+10)&lt;YEAR(E9),0,IF((YEAR(D9)+10)&gt;YEAR(E9),1,(12-MONTH(E9)+1)/12))))-((P9)*(IF((YEAR(D9)+10)&lt;YEAR(E9),0,IF((YEAR(D9)+10)&gt;YEAR(E9),1,(12-MONTH(E9)+1)/12))) + (R9)*(IF((YEAR(D9)+10)&lt;YEAR(E9),0,IF((YEAR(D9)+10)&gt;YEAR(E9),1,(12-MONTH(E9)+1)/12))))-(IF(OR(N9="",N9&lt;=0),0,(O9/N9)*(IF(OR(N9="",N9&lt;=0),0,IF((YEAR(D9)+10)&lt;YEAR(E9),0,IF((YEAR(D9)+10)&gt;=YEAR(E9)+N9,0,IF((YEAR(D9)+10)=YEAR(E9),(12-MONTH(E9)+1)/12,1))))))))&gt;0,(((K9)*(IF(M9="",L9,IFERROR(IF(INDEX(Variablen!$I:$AT, MATCH(M9, Variablen!$A:$A, 0), MATCH((YEAR(D9)+10), Variablen!$I$3:$AT$3, 0))="",L9,INDEX(Variablen!$I:$AT, MATCH(M9, Variablen!$A:$A, 0), MATCH((YEAR(D9)+10), Variablen!$I$3:$AT$3, 0))),L9)))*(IF((YEAR(D9)+10)&lt;YEAR(E9),0,IF((YEAR(D9)+10)&gt;YEAR(E9),1,(12-MONTH(E9)+1)/12))) + (Q9)*(IF((YEAR(D9)+10)&lt;YEAR(E9),0,IF((YEAR(D9)+10)&gt;YEAR(E9),1,(12-MONTH(E9)+1)/12))))-((P9)*(IF((YEAR(D9)+10)&lt;YEAR(E9),0,IF((YEAR(D9)+10)&gt;YEAR(E9),1,(12-MONTH(E9)+1)/12))) + (R9)*(IF((YEAR(D9)+10)&lt;YEAR(E9),0,IF((YEAR(D9)+10)&gt;YEAR(E9),1,(12-MONTH(E9)+1)/12))))-(IF(OR(N9="",N9&lt;=0),0,(O9/N9)*(IF(OR(N9="",N9&lt;=0),0,IF((YEAR(D9)+10)&lt;YEAR(E9),0,IF((YEAR(D9)+10)&gt;=YEAR(E9)+N9,0,IF((YEAR(D9)+10)=YEAR(E9),(12-MONTH(E9)+1)/12,1))))))))*TaxRate,0))-IF(10=0,O9,0))</f>
        <v/>
      </c>
      <c r="AD9" s="29">
        <f>IF(A9="","",((K9)*(IF(M9="",L9,IFERROR(IF(INDEX(Variablen!$I:$AT, MATCH(M9, Variablen!$A:$A, 0), MATCH((YEAR(D9)+11), Variablen!$I$3:$AT$3, 0))="",L9,INDEX(Variablen!$I:$AT, MATCH(M9, Variablen!$A:$A, 0), MATCH((YEAR(D9)+11), Variablen!$I$3:$AT$3, 0))),L9)))*(IF((YEAR(D9)+11)&lt;YEAR(E9),0,IF((YEAR(D9)+11)&gt;YEAR(E9),1,(12-MONTH(E9)+1)/12))) + (Q9)*(IF((YEAR(D9)+11)&lt;YEAR(E9),0,IF((YEAR(D9)+11)&gt;YEAR(E9),1,(12-MONTH(E9)+1)/12))))-((P9)*(IF((YEAR(D9)+11)&lt;YEAR(E9),0,IF((YEAR(D9)+11)&gt;YEAR(E9),1,(12-MONTH(E9)+1)/12))) + (R9)*(IF((YEAR(D9)+11)&lt;YEAR(E9),0,IF((YEAR(D9)+11)&gt;YEAR(E9),1,(12-MONTH(E9)+1)/12))))-(IF((((K9)*(IF(M9="",L9,IFERROR(IF(INDEX(Variablen!$I:$AT, MATCH(M9, Variablen!$A:$A, 0), MATCH((YEAR(D9)+11), Variablen!$I$3:$AT$3, 0))="",L9,INDEX(Variablen!$I:$AT, MATCH(M9, Variablen!$A:$A, 0), MATCH((YEAR(D9)+11), Variablen!$I$3:$AT$3, 0))),L9)))*(IF((YEAR(D9)+11)&lt;YEAR(E9),0,IF((YEAR(D9)+11)&gt;YEAR(E9),1,(12-MONTH(E9)+1)/12))) + (Q9)*(IF((YEAR(D9)+11)&lt;YEAR(E9),0,IF((YEAR(D9)+11)&gt;YEAR(E9),1,(12-MONTH(E9)+1)/12))))-((P9)*(IF((YEAR(D9)+11)&lt;YEAR(E9),0,IF((YEAR(D9)+11)&gt;YEAR(E9),1,(12-MONTH(E9)+1)/12))) + (R9)*(IF((YEAR(D9)+11)&lt;YEAR(E9),0,IF((YEAR(D9)+11)&gt;YEAR(E9),1,(12-MONTH(E9)+1)/12))))-(IF(OR(N9="",N9&lt;=0),0,(O9/N9)*(IF(OR(N9="",N9&lt;=0),0,IF((YEAR(D9)+11)&lt;YEAR(E9),0,IF((YEAR(D9)+11)&gt;=YEAR(E9)+N9,0,IF((YEAR(D9)+11)=YEAR(E9),(12-MONTH(E9)+1)/12,1))))))))&gt;0,(((K9)*(IF(M9="",L9,IFERROR(IF(INDEX(Variablen!$I:$AT, MATCH(M9, Variablen!$A:$A, 0), MATCH((YEAR(D9)+11), Variablen!$I$3:$AT$3, 0))="",L9,INDEX(Variablen!$I:$AT, MATCH(M9, Variablen!$A:$A, 0), MATCH((YEAR(D9)+11), Variablen!$I$3:$AT$3, 0))),L9)))*(IF((YEAR(D9)+11)&lt;YEAR(E9),0,IF((YEAR(D9)+11)&gt;YEAR(E9),1,(12-MONTH(E9)+1)/12))) + (Q9)*(IF((YEAR(D9)+11)&lt;YEAR(E9),0,IF((YEAR(D9)+11)&gt;YEAR(E9),1,(12-MONTH(E9)+1)/12))))-((P9)*(IF((YEAR(D9)+11)&lt;YEAR(E9),0,IF((YEAR(D9)+11)&gt;YEAR(E9),1,(12-MONTH(E9)+1)/12))) + (R9)*(IF((YEAR(D9)+11)&lt;YEAR(E9),0,IF((YEAR(D9)+11)&gt;YEAR(E9),1,(12-MONTH(E9)+1)/12))))-(IF(OR(N9="",N9&lt;=0),0,(O9/N9)*(IF(OR(N9="",N9&lt;=0),0,IF((YEAR(D9)+11)&lt;YEAR(E9),0,IF((YEAR(D9)+11)&gt;=YEAR(E9)+N9,0,IF((YEAR(D9)+11)=YEAR(E9),(12-MONTH(E9)+1)/12,1))))))))*TaxRate,0))-IF(11=0,O9,0))</f>
        <v/>
      </c>
      <c r="AE9" s="29">
        <f>IF(A9="","",((K9)*(IF(M9="",L9,IFERROR(IF(INDEX(Variablen!$I:$AT, MATCH(M9, Variablen!$A:$A, 0), MATCH((YEAR(D9)+12), Variablen!$I$3:$AT$3, 0))="",L9,INDEX(Variablen!$I:$AT, MATCH(M9, Variablen!$A:$A, 0), MATCH((YEAR(D9)+12), Variablen!$I$3:$AT$3, 0))),L9)))*(IF((YEAR(D9)+12)&lt;YEAR(E9),0,IF((YEAR(D9)+12)&gt;YEAR(E9),1,(12-MONTH(E9)+1)/12))) + (Q9)*(IF((YEAR(D9)+12)&lt;YEAR(E9),0,IF((YEAR(D9)+12)&gt;YEAR(E9),1,(12-MONTH(E9)+1)/12))))-((P9)*(IF((YEAR(D9)+12)&lt;YEAR(E9),0,IF((YEAR(D9)+12)&gt;YEAR(E9),1,(12-MONTH(E9)+1)/12))) + (R9)*(IF((YEAR(D9)+12)&lt;YEAR(E9),0,IF((YEAR(D9)+12)&gt;YEAR(E9),1,(12-MONTH(E9)+1)/12))))-(IF((((K9)*(IF(M9="",L9,IFERROR(IF(INDEX(Variablen!$I:$AT, MATCH(M9, Variablen!$A:$A, 0), MATCH((YEAR(D9)+12), Variablen!$I$3:$AT$3, 0))="",L9,INDEX(Variablen!$I:$AT, MATCH(M9, Variablen!$A:$A, 0), MATCH((YEAR(D9)+12), Variablen!$I$3:$AT$3, 0))),L9)))*(IF((YEAR(D9)+12)&lt;YEAR(E9),0,IF((YEAR(D9)+12)&gt;YEAR(E9),1,(12-MONTH(E9)+1)/12))) + (Q9)*(IF((YEAR(D9)+12)&lt;YEAR(E9),0,IF((YEAR(D9)+12)&gt;YEAR(E9),1,(12-MONTH(E9)+1)/12))))-((P9)*(IF((YEAR(D9)+12)&lt;YEAR(E9),0,IF((YEAR(D9)+12)&gt;YEAR(E9),1,(12-MONTH(E9)+1)/12))) + (R9)*(IF((YEAR(D9)+12)&lt;YEAR(E9),0,IF((YEAR(D9)+12)&gt;YEAR(E9),1,(12-MONTH(E9)+1)/12))))-(IF(OR(N9="",N9&lt;=0),0,(O9/N9)*(IF(OR(N9="",N9&lt;=0),0,IF((YEAR(D9)+12)&lt;YEAR(E9),0,IF((YEAR(D9)+12)&gt;=YEAR(E9)+N9,0,IF((YEAR(D9)+12)=YEAR(E9),(12-MONTH(E9)+1)/12,1))))))))&gt;0,(((K9)*(IF(M9="",L9,IFERROR(IF(INDEX(Variablen!$I:$AT, MATCH(M9, Variablen!$A:$A, 0), MATCH((YEAR(D9)+12), Variablen!$I$3:$AT$3, 0))="",L9,INDEX(Variablen!$I:$AT, MATCH(M9, Variablen!$A:$A, 0), MATCH((YEAR(D9)+12), Variablen!$I$3:$AT$3, 0))),L9)))*(IF((YEAR(D9)+12)&lt;YEAR(E9),0,IF((YEAR(D9)+12)&gt;YEAR(E9),1,(12-MONTH(E9)+1)/12))) + (Q9)*(IF((YEAR(D9)+12)&lt;YEAR(E9),0,IF((YEAR(D9)+12)&gt;YEAR(E9),1,(12-MONTH(E9)+1)/12))))-((P9)*(IF((YEAR(D9)+12)&lt;YEAR(E9),0,IF((YEAR(D9)+12)&gt;YEAR(E9),1,(12-MONTH(E9)+1)/12))) + (R9)*(IF((YEAR(D9)+12)&lt;YEAR(E9),0,IF((YEAR(D9)+12)&gt;YEAR(E9),1,(12-MONTH(E9)+1)/12))))-(IF(OR(N9="",N9&lt;=0),0,(O9/N9)*(IF(OR(N9="",N9&lt;=0),0,IF((YEAR(D9)+12)&lt;YEAR(E9),0,IF((YEAR(D9)+12)&gt;=YEAR(E9)+N9,0,IF((YEAR(D9)+12)=YEAR(E9),(12-MONTH(E9)+1)/12,1))))))))*TaxRate,0))-IF(12=0,O9,0))</f>
        <v/>
      </c>
      <c r="AF9" s="29">
        <f>IF(A9="","",((K9)*(IF(M9="",L9,IFERROR(IF(INDEX(Variablen!$I:$AT, MATCH(M9, Variablen!$A:$A, 0), MATCH((YEAR(D9)+13), Variablen!$I$3:$AT$3, 0))="",L9,INDEX(Variablen!$I:$AT, MATCH(M9, Variablen!$A:$A, 0), MATCH((YEAR(D9)+13), Variablen!$I$3:$AT$3, 0))),L9)))*(IF((YEAR(D9)+13)&lt;YEAR(E9),0,IF((YEAR(D9)+13)&gt;YEAR(E9),1,(12-MONTH(E9)+1)/12))) + (Q9)*(IF((YEAR(D9)+13)&lt;YEAR(E9),0,IF((YEAR(D9)+13)&gt;YEAR(E9),1,(12-MONTH(E9)+1)/12))))-((P9)*(IF((YEAR(D9)+13)&lt;YEAR(E9),0,IF((YEAR(D9)+13)&gt;YEAR(E9),1,(12-MONTH(E9)+1)/12))) + (R9)*(IF((YEAR(D9)+13)&lt;YEAR(E9),0,IF((YEAR(D9)+13)&gt;YEAR(E9),1,(12-MONTH(E9)+1)/12))))-(IF((((K9)*(IF(M9="",L9,IFERROR(IF(INDEX(Variablen!$I:$AT, MATCH(M9, Variablen!$A:$A, 0), MATCH((YEAR(D9)+13), Variablen!$I$3:$AT$3, 0))="",L9,INDEX(Variablen!$I:$AT, MATCH(M9, Variablen!$A:$A, 0), MATCH((YEAR(D9)+13), Variablen!$I$3:$AT$3, 0))),L9)))*(IF((YEAR(D9)+13)&lt;YEAR(E9),0,IF((YEAR(D9)+13)&gt;YEAR(E9),1,(12-MONTH(E9)+1)/12))) + (Q9)*(IF((YEAR(D9)+13)&lt;YEAR(E9),0,IF((YEAR(D9)+13)&gt;YEAR(E9),1,(12-MONTH(E9)+1)/12))))-((P9)*(IF((YEAR(D9)+13)&lt;YEAR(E9),0,IF((YEAR(D9)+13)&gt;YEAR(E9),1,(12-MONTH(E9)+1)/12))) + (R9)*(IF((YEAR(D9)+13)&lt;YEAR(E9),0,IF((YEAR(D9)+13)&gt;YEAR(E9),1,(12-MONTH(E9)+1)/12))))-(IF(OR(N9="",N9&lt;=0),0,(O9/N9)*(IF(OR(N9="",N9&lt;=0),0,IF((YEAR(D9)+13)&lt;YEAR(E9),0,IF((YEAR(D9)+13)&gt;=YEAR(E9)+N9,0,IF((YEAR(D9)+13)=YEAR(E9),(12-MONTH(E9)+1)/12,1))))))))&gt;0,(((K9)*(IF(M9="",L9,IFERROR(IF(INDEX(Variablen!$I:$AT, MATCH(M9, Variablen!$A:$A, 0), MATCH((YEAR(D9)+13), Variablen!$I$3:$AT$3, 0))="",L9,INDEX(Variablen!$I:$AT, MATCH(M9, Variablen!$A:$A, 0), MATCH((YEAR(D9)+13), Variablen!$I$3:$AT$3, 0))),L9)))*(IF((YEAR(D9)+13)&lt;YEAR(E9),0,IF((YEAR(D9)+13)&gt;YEAR(E9),1,(12-MONTH(E9)+1)/12))) + (Q9)*(IF((YEAR(D9)+13)&lt;YEAR(E9),0,IF((YEAR(D9)+13)&gt;YEAR(E9),1,(12-MONTH(E9)+1)/12))))-((P9)*(IF((YEAR(D9)+13)&lt;YEAR(E9),0,IF((YEAR(D9)+13)&gt;YEAR(E9),1,(12-MONTH(E9)+1)/12))) + (R9)*(IF((YEAR(D9)+13)&lt;YEAR(E9),0,IF((YEAR(D9)+13)&gt;YEAR(E9),1,(12-MONTH(E9)+1)/12))))-(IF(OR(N9="",N9&lt;=0),0,(O9/N9)*(IF(OR(N9="",N9&lt;=0),0,IF((YEAR(D9)+13)&lt;YEAR(E9),0,IF((YEAR(D9)+13)&gt;=YEAR(E9)+N9,0,IF((YEAR(D9)+13)=YEAR(E9),(12-MONTH(E9)+1)/12,1))))))))*TaxRate,0))-IF(13=0,O9,0))</f>
        <v/>
      </c>
      <c r="AG9" s="29">
        <f>IF(A9="","",((K9)*(IF(M9="",L9,IFERROR(IF(INDEX(Variablen!$I:$AT, MATCH(M9, Variablen!$A:$A, 0), MATCH((YEAR(D9)+14), Variablen!$I$3:$AT$3, 0))="",L9,INDEX(Variablen!$I:$AT, MATCH(M9, Variablen!$A:$A, 0), MATCH((YEAR(D9)+14), Variablen!$I$3:$AT$3, 0))),L9)))*(IF((YEAR(D9)+14)&lt;YEAR(E9),0,IF((YEAR(D9)+14)&gt;YEAR(E9),1,(12-MONTH(E9)+1)/12))) + (Q9)*(IF((YEAR(D9)+14)&lt;YEAR(E9),0,IF((YEAR(D9)+14)&gt;YEAR(E9),1,(12-MONTH(E9)+1)/12))))-((P9)*(IF((YEAR(D9)+14)&lt;YEAR(E9),0,IF((YEAR(D9)+14)&gt;YEAR(E9),1,(12-MONTH(E9)+1)/12))) + (R9)*(IF((YEAR(D9)+14)&lt;YEAR(E9),0,IF((YEAR(D9)+14)&gt;YEAR(E9),1,(12-MONTH(E9)+1)/12))))-(IF((((K9)*(IF(M9="",L9,IFERROR(IF(INDEX(Variablen!$I:$AT, MATCH(M9, Variablen!$A:$A, 0), MATCH((YEAR(D9)+14), Variablen!$I$3:$AT$3, 0))="",L9,INDEX(Variablen!$I:$AT, MATCH(M9, Variablen!$A:$A, 0), MATCH((YEAR(D9)+14), Variablen!$I$3:$AT$3, 0))),L9)))*(IF((YEAR(D9)+14)&lt;YEAR(E9),0,IF((YEAR(D9)+14)&gt;YEAR(E9),1,(12-MONTH(E9)+1)/12))) + (Q9)*(IF((YEAR(D9)+14)&lt;YEAR(E9),0,IF((YEAR(D9)+14)&gt;YEAR(E9),1,(12-MONTH(E9)+1)/12))))-((P9)*(IF((YEAR(D9)+14)&lt;YEAR(E9),0,IF((YEAR(D9)+14)&gt;YEAR(E9),1,(12-MONTH(E9)+1)/12))) + (R9)*(IF((YEAR(D9)+14)&lt;YEAR(E9),0,IF((YEAR(D9)+14)&gt;YEAR(E9),1,(12-MONTH(E9)+1)/12))))-(IF(OR(N9="",N9&lt;=0),0,(O9/N9)*(IF(OR(N9="",N9&lt;=0),0,IF((YEAR(D9)+14)&lt;YEAR(E9),0,IF((YEAR(D9)+14)&gt;=YEAR(E9)+N9,0,IF((YEAR(D9)+14)=YEAR(E9),(12-MONTH(E9)+1)/12,1))))))))&gt;0,(((K9)*(IF(M9="",L9,IFERROR(IF(INDEX(Variablen!$I:$AT, MATCH(M9, Variablen!$A:$A, 0), MATCH((YEAR(D9)+14), Variablen!$I$3:$AT$3, 0))="",L9,INDEX(Variablen!$I:$AT, MATCH(M9, Variablen!$A:$A, 0), MATCH((YEAR(D9)+14), Variablen!$I$3:$AT$3, 0))),L9)))*(IF((YEAR(D9)+14)&lt;YEAR(E9),0,IF((YEAR(D9)+14)&gt;YEAR(E9),1,(12-MONTH(E9)+1)/12))) + (Q9)*(IF((YEAR(D9)+14)&lt;YEAR(E9),0,IF((YEAR(D9)+14)&gt;YEAR(E9),1,(12-MONTH(E9)+1)/12))))-((P9)*(IF((YEAR(D9)+14)&lt;YEAR(E9),0,IF((YEAR(D9)+14)&gt;YEAR(E9),1,(12-MONTH(E9)+1)/12))) + (R9)*(IF((YEAR(D9)+14)&lt;YEAR(E9),0,IF((YEAR(D9)+14)&gt;YEAR(E9),1,(12-MONTH(E9)+1)/12))))-(IF(OR(N9="",N9&lt;=0),0,(O9/N9)*(IF(OR(N9="",N9&lt;=0),0,IF((YEAR(D9)+14)&lt;YEAR(E9),0,IF((YEAR(D9)+14)&gt;=YEAR(E9)+N9,0,IF((YEAR(D9)+14)=YEAR(E9),(12-MONTH(E9)+1)/12,1))))))))*TaxRate,0))-IF(14=0,O9,0))</f>
        <v/>
      </c>
      <c r="AH9" s="29">
        <f>IF(A9="","",((K9)*(IF(M9="",L9,IFERROR(IF(INDEX(Variablen!$I:$AT, MATCH(M9, Variablen!$A:$A, 0), MATCH((YEAR(D9)+15), Variablen!$I$3:$AT$3, 0))="",L9,INDEX(Variablen!$I:$AT, MATCH(M9, Variablen!$A:$A, 0), MATCH((YEAR(D9)+15), Variablen!$I$3:$AT$3, 0))),L9)))*(IF((YEAR(D9)+15)&lt;YEAR(E9),0,IF((YEAR(D9)+15)&gt;YEAR(E9),1,(12-MONTH(E9)+1)/12))) + (Q9)*(IF((YEAR(D9)+15)&lt;YEAR(E9),0,IF((YEAR(D9)+15)&gt;YEAR(E9),1,(12-MONTH(E9)+1)/12))))-((P9)*(IF((YEAR(D9)+15)&lt;YEAR(E9),0,IF((YEAR(D9)+15)&gt;YEAR(E9),1,(12-MONTH(E9)+1)/12))) + (R9)*(IF((YEAR(D9)+15)&lt;YEAR(E9),0,IF((YEAR(D9)+15)&gt;YEAR(E9),1,(12-MONTH(E9)+1)/12))))-(IF((((K9)*(IF(M9="",L9,IFERROR(IF(INDEX(Variablen!$I:$AT, MATCH(M9, Variablen!$A:$A, 0), MATCH((YEAR(D9)+15), Variablen!$I$3:$AT$3, 0))="",L9,INDEX(Variablen!$I:$AT, MATCH(M9, Variablen!$A:$A, 0), MATCH((YEAR(D9)+15), Variablen!$I$3:$AT$3, 0))),L9)))*(IF((YEAR(D9)+15)&lt;YEAR(E9),0,IF((YEAR(D9)+15)&gt;YEAR(E9),1,(12-MONTH(E9)+1)/12))) + (Q9)*(IF((YEAR(D9)+15)&lt;YEAR(E9),0,IF((YEAR(D9)+15)&gt;YEAR(E9),1,(12-MONTH(E9)+1)/12))))-((P9)*(IF((YEAR(D9)+15)&lt;YEAR(E9),0,IF((YEAR(D9)+15)&gt;YEAR(E9),1,(12-MONTH(E9)+1)/12))) + (R9)*(IF((YEAR(D9)+15)&lt;YEAR(E9),0,IF((YEAR(D9)+15)&gt;YEAR(E9),1,(12-MONTH(E9)+1)/12))))-(IF(OR(N9="",N9&lt;=0),0,(O9/N9)*(IF(OR(N9="",N9&lt;=0),0,IF((YEAR(D9)+15)&lt;YEAR(E9),0,IF((YEAR(D9)+15)&gt;=YEAR(E9)+N9,0,IF((YEAR(D9)+15)=YEAR(E9),(12-MONTH(E9)+1)/12,1))))))))&gt;0,(((K9)*(IF(M9="",L9,IFERROR(IF(INDEX(Variablen!$I:$AT, MATCH(M9, Variablen!$A:$A, 0), MATCH((YEAR(D9)+15), Variablen!$I$3:$AT$3, 0))="",L9,INDEX(Variablen!$I:$AT, MATCH(M9, Variablen!$A:$A, 0), MATCH((YEAR(D9)+15), Variablen!$I$3:$AT$3, 0))),L9)))*(IF((YEAR(D9)+15)&lt;YEAR(E9),0,IF((YEAR(D9)+15)&gt;YEAR(E9),1,(12-MONTH(E9)+1)/12))) + (Q9)*(IF((YEAR(D9)+15)&lt;YEAR(E9),0,IF((YEAR(D9)+15)&gt;YEAR(E9),1,(12-MONTH(E9)+1)/12))))-((P9)*(IF((YEAR(D9)+15)&lt;YEAR(E9),0,IF((YEAR(D9)+15)&gt;YEAR(E9),1,(12-MONTH(E9)+1)/12))) + (R9)*(IF((YEAR(D9)+15)&lt;YEAR(E9),0,IF((YEAR(D9)+15)&gt;YEAR(E9),1,(12-MONTH(E9)+1)/12))))-(IF(OR(N9="",N9&lt;=0),0,(O9/N9)*(IF(OR(N9="",N9&lt;=0),0,IF((YEAR(D9)+15)&lt;YEAR(E9),0,IF((YEAR(D9)+15)&gt;=YEAR(E9)+N9,0,IF((YEAR(D9)+15)=YEAR(E9),(12-MONTH(E9)+1)/12,1))))))))*TaxRate,0))-IF(15=0,O9,0))</f>
        <v/>
      </c>
      <c r="AI9" s="29">
        <f>IF(A9="","",((K9)*(IF(M9="",L9,IFERROR(IF(INDEX(Variablen!$I:$AT, MATCH(M9, Variablen!$A:$A, 0), MATCH((YEAR(D9)+16), Variablen!$I$3:$AT$3, 0))="",L9,INDEX(Variablen!$I:$AT, MATCH(M9, Variablen!$A:$A, 0), MATCH((YEAR(D9)+16), Variablen!$I$3:$AT$3, 0))),L9)))*(IF((YEAR(D9)+16)&lt;YEAR(E9),0,IF((YEAR(D9)+16)&gt;YEAR(E9),1,(12-MONTH(E9)+1)/12))) + (Q9)*(IF((YEAR(D9)+16)&lt;YEAR(E9),0,IF((YEAR(D9)+16)&gt;YEAR(E9),1,(12-MONTH(E9)+1)/12))))-((P9)*(IF((YEAR(D9)+16)&lt;YEAR(E9),0,IF((YEAR(D9)+16)&gt;YEAR(E9),1,(12-MONTH(E9)+1)/12))) + (R9)*(IF((YEAR(D9)+16)&lt;YEAR(E9),0,IF((YEAR(D9)+16)&gt;YEAR(E9),1,(12-MONTH(E9)+1)/12))))-(IF((((K9)*(IF(M9="",L9,IFERROR(IF(INDEX(Variablen!$I:$AT, MATCH(M9, Variablen!$A:$A, 0), MATCH((YEAR(D9)+16), Variablen!$I$3:$AT$3, 0))="",L9,INDEX(Variablen!$I:$AT, MATCH(M9, Variablen!$A:$A, 0), MATCH((YEAR(D9)+16), Variablen!$I$3:$AT$3, 0))),L9)))*(IF((YEAR(D9)+16)&lt;YEAR(E9),0,IF((YEAR(D9)+16)&gt;YEAR(E9),1,(12-MONTH(E9)+1)/12))) + (Q9)*(IF((YEAR(D9)+16)&lt;YEAR(E9),0,IF((YEAR(D9)+16)&gt;YEAR(E9),1,(12-MONTH(E9)+1)/12))))-((P9)*(IF((YEAR(D9)+16)&lt;YEAR(E9),0,IF((YEAR(D9)+16)&gt;YEAR(E9),1,(12-MONTH(E9)+1)/12))) + (R9)*(IF((YEAR(D9)+16)&lt;YEAR(E9),0,IF((YEAR(D9)+16)&gt;YEAR(E9),1,(12-MONTH(E9)+1)/12))))-(IF(OR(N9="",N9&lt;=0),0,(O9/N9)*(IF(OR(N9="",N9&lt;=0),0,IF((YEAR(D9)+16)&lt;YEAR(E9),0,IF((YEAR(D9)+16)&gt;=YEAR(E9)+N9,0,IF((YEAR(D9)+16)=YEAR(E9),(12-MONTH(E9)+1)/12,1))))))))&gt;0,(((K9)*(IF(M9="",L9,IFERROR(IF(INDEX(Variablen!$I:$AT, MATCH(M9, Variablen!$A:$A, 0), MATCH((YEAR(D9)+16), Variablen!$I$3:$AT$3, 0))="",L9,INDEX(Variablen!$I:$AT, MATCH(M9, Variablen!$A:$A, 0), MATCH((YEAR(D9)+16), Variablen!$I$3:$AT$3, 0))),L9)))*(IF((YEAR(D9)+16)&lt;YEAR(E9),0,IF((YEAR(D9)+16)&gt;YEAR(E9),1,(12-MONTH(E9)+1)/12))) + (Q9)*(IF((YEAR(D9)+16)&lt;YEAR(E9),0,IF((YEAR(D9)+16)&gt;YEAR(E9),1,(12-MONTH(E9)+1)/12))))-((P9)*(IF((YEAR(D9)+16)&lt;YEAR(E9),0,IF((YEAR(D9)+16)&gt;YEAR(E9),1,(12-MONTH(E9)+1)/12))) + (R9)*(IF((YEAR(D9)+16)&lt;YEAR(E9),0,IF((YEAR(D9)+16)&gt;YEAR(E9),1,(12-MONTH(E9)+1)/12))))-(IF(OR(N9="",N9&lt;=0),0,(O9/N9)*(IF(OR(N9="",N9&lt;=0),0,IF((YEAR(D9)+16)&lt;YEAR(E9),0,IF((YEAR(D9)+16)&gt;=YEAR(E9)+N9,0,IF((YEAR(D9)+16)=YEAR(E9),(12-MONTH(E9)+1)/12,1))))))))*TaxRate,0))-IF(16=0,O9,0))</f>
        <v/>
      </c>
      <c r="AJ9" s="29">
        <f>IF(A9="","",((K9)*(IF(M9="",L9,IFERROR(IF(INDEX(Variablen!$I:$AT, MATCH(M9, Variablen!$A:$A, 0), MATCH((YEAR(D9)+17), Variablen!$I$3:$AT$3, 0))="",L9,INDEX(Variablen!$I:$AT, MATCH(M9, Variablen!$A:$A, 0), MATCH((YEAR(D9)+17), Variablen!$I$3:$AT$3, 0))),L9)))*(IF((YEAR(D9)+17)&lt;YEAR(E9),0,IF((YEAR(D9)+17)&gt;YEAR(E9),1,(12-MONTH(E9)+1)/12))) + (Q9)*(IF((YEAR(D9)+17)&lt;YEAR(E9),0,IF((YEAR(D9)+17)&gt;YEAR(E9),1,(12-MONTH(E9)+1)/12))))-((P9)*(IF((YEAR(D9)+17)&lt;YEAR(E9),0,IF((YEAR(D9)+17)&gt;YEAR(E9),1,(12-MONTH(E9)+1)/12))) + (R9)*(IF((YEAR(D9)+17)&lt;YEAR(E9),0,IF((YEAR(D9)+17)&gt;YEAR(E9),1,(12-MONTH(E9)+1)/12))))-(IF((((K9)*(IF(M9="",L9,IFERROR(IF(INDEX(Variablen!$I:$AT, MATCH(M9, Variablen!$A:$A, 0), MATCH((YEAR(D9)+17), Variablen!$I$3:$AT$3, 0))="",L9,INDEX(Variablen!$I:$AT, MATCH(M9, Variablen!$A:$A, 0), MATCH((YEAR(D9)+17), Variablen!$I$3:$AT$3, 0))),L9)))*(IF((YEAR(D9)+17)&lt;YEAR(E9),0,IF((YEAR(D9)+17)&gt;YEAR(E9),1,(12-MONTH(E9)+1)/12))) + (Q9)*(IF((YEAR(D9)+17)&lt;YEAR(E9),0,IF((YEAR(D9)+17)&gt;YEAR(E9),1,(12-MONTH(E9)+1)/12))))-((P9)*(IF((YEAR(D9)+17)&lt;YEAR(E9),0,IF((YEAR(D9)+17)&gt;YEAR(E9),1,(12-MONTH(E9)+1)/12))) + (R9)*(IF((YEAR(D9)+17)&lt;YEAR(E9),0,IF((YEAR(D9)+17)&gt;YEAR(E9),1,(12-MONTH(E9)+1)/12))))-(IF(OR(N9="",N9&lt;=0),0,(O9/N9)*(IF(OR(N9="",N9&lt;=0),0,IF((YEAR(D9)+17)&lt;YEAR(E9),0,IF((YEAR(D9)+17)&gt;=YEAR(E9)+N9,0,IF((YEAR(D9)+17)=YEAR(E9),(12-MONTH(E9)+1)/12,1))))))))&gt;0,(((K9)*(IF(M9="",L9,IFERROR(IF(INDEX(Variablen!$I:$AT, MATCH(M9, Variablen!$A:$A, 0), MATCH((YEAR(D9)+17), Variablen!$I$3:$AT$3, 0))="",L9,INDEX(Variablen!$I:$AT, MATCH(M9, Variablen!$A:$A, 0), MATCH((YEAR(D9)+17), Variablen!$I$3:$AT$3, 0))),L9)))*(IF((YEAR(D9)+17)&lt;YEAR(E9),0,IF((YEAR(D9)+17)&gt;YEAR(E9),1,(12-MONTH(E9)+1)/12))) + (Q9)*(IF((YEAR(D9)+17)&lt;YEAR(E9),0,IF((YEAR(D9)+17)&gt;YEAR(E9),1,(12-MONTH(E9)+1)/12))))-((P9)*(IF((YEAR(D9)+17)&lt;YEAR(E9),0,IF((YEAR(D9)+17)&gt;YEAR(E9),1,(12-MONTH(E9)+1)/12))) + (R9)*(IF((YEAR(D9)+17)&lt;YEAR(E9),0,IF((YEAR(D9)+17)&gt;YEAR(E9),1,(12-MONTH(E9)+1)/12))))-(IF(OR(N9="",N9&lt;=0),0,(O9/N9)*(IF(OR(N9="",N9&lt;=0),0,IF((YEAR(D9)+17)&lt;YEAR(E9),0,IF((YEAR(D9)+17)&gt;=YEAR(E9)+N9,0,IF((YEAR(D9)+17)=YEAR(E9),(12-MONTH(E9)+1)/12,1))))))))*TaxRate,0))-IF(17=0,O9,0))</f>
        <v/>
      </c>
      <c r="AK9" s="29">
        <f>IF(A9="","",((K9)*(IF(M9="",L9,IFERROR(IF(INDEX(Variablen!$I:$AT, MATCH(M9, Variablen!$A:$A, 0), MATCH((YEAR(D9)+18), Variablen!$I$3:$AT$3, 0))="",L9,INDEX(Variablen!$I:$AT, MATCH(M9, Variablen!$A:$A, 0), MATCH((YEAR(D9)+18), Variablen!$I$3:$AT$3, 0))),L9)))*(IF((YEAR(D9)+18)&lt;YEAR(E9),0,IF((YEAR(D9)+18)&gt;YEAR(E9),1,(12-MONTH(E9)+1)/12))) + (Q9)*(IF((YEAR(D9)+18)&lt;YEAR(E9),0,IF((YEAR(D9)+18)&gt;YEAR(E9),1,(12-MONTH(E9)+1)/12))))-((P9)*(IF((YEAR(D9)+18)&lt;YEAR(E9),0,IF((YEAR(D9)+18)&gt;YEAR(E9),1,(12-MONTH(E9)+1)/12))) + (R9)*(IF((YEAR(D9)+18)&lt;YEAR(E9),0,IF((YEAR(D9)+18)&gt;YEAR(E9),1,(12-MONTH(E9)+1)/12))))-(IF((((K9)*(IF(M9="",L9,IFERROR(IF(INDEX(Variablen!$I:$AT, MATCH(M9, Variablen!$A:$A, 0), MATCH((YEAR(D9)+18), Variablen!$I$3:$AT$3, 0))="",L9,INDEX(Variablen!$I:$AT, MATCH(M9, Variablen!$A:$A, 0), MATCH((YEAR(D9)+18), Variablen!$I$3:$AT$3, 0))),L9)))*(IF((YEAR(D9)+18)&lt;YEAR(E9),0,IF((YEAR(D9)+18)&gt;YEAR(E9),1,(12-MONTH(E9)+1)/12))) + (Q9)*(IF((YEAR(D9)+18)&lt;YEAR(E9),0,IF((YEAR(D9)+18)&gt;YEAR(E9),1,(12-MONTH(E9)+1)/12))))-((P9)*(IF((YEAR(D9)+18)&lt;YEAR(E9),0,IF((YEAR(D9)+18)&gt;YEAR(E9),1,(12-MONTH(E9)+1)/12))) + (R9)*(IF((YEAR(D9)+18)&lt;YEAR(E9),0,IF((YEAR(D9)+18)&gt;YEAR(E9),1,(12-MONTH(E9)+1)/12))))-(IF(OR(N9="",N9&lt;=0),0,(O9/N9)*(IF(OR(N9="",N9&lt;=0),0,IF((YEAR(D9)+18)&lt;YEAR(E9),0,IF((YEAR(D9)+18)&gt;=YEAR(E9)+N9,0,IF((YEAR(D9)+18)=YEAR(E9),(12-MONTH(E9)+1)/12,1))))))))&gt;0,(((K9)*(IF(M9="",L9,IFERROR(IF(INDEX(Variablen!$I:$AT, MATCH(M9, Variablen!$A:$A, 0), MATCH((YEAR(D9)+18), Variablen!$I$3:$AT$3, 0))="",L9,INDEX(Variablen!$I:$AT, MATCH(M9, Variablen!$A:$A, 0), MATCH((YEAR(D9)+18), Variablen!$I$3:$AT$3, 0))),L9)))*(IF((YEAR(D9)+18)&lt;YEAR(E9),0,IF((YEAR(D9)+18)&gt;YEAR(E9),1,(12-MONTH(E9)+1)/12))) + (Q9)*(IF((YEAR(D9)+18)&lt;YEAR(E9),0,IF((YEAR(D9)+18)&gt;YEAR(E9),1,(12-MONTH(E9)+1)/12))))-((P9)*(IF((YEAR(D9)+18)&lt;YEAR(E9),0,IF((YEAR(D9)+18)&gt;YEAR(E9),1,(12-MONTH(E9)+1)/12))) + (R9)*(IF((YEAR(D9)+18)&lt;YEAR(E9),0,IF((YEAR(D9)+18)&gt;YEAR(E9),1,(12-MONTH(E9)+1)/12))))-(IF(OR(N9="",N9&lt;=0),0,(O9/N9)*(IF(OR(N9="",N9&lt;=0),0,IF((YEAR(D9)+18)&lt;YEAR(E9),0,IF((YEAR(D9)+18)&gt;=YEAR(E9)+N9,0,IF((YEAR(D9)+18)=YEAR(E9),(12-MONTH(E9)+1)/12,1))))))))*TaxRate,0))-IF(18=0,O9,0))</f>
        <v/>
      </c>
      <c r="AL9" s="29">
        <f>IF(A9="","",((K9)*(IF(M9="",L9,IFERROR(IF(INDEX(Variablen!$I:$AT, MATCH(M9, Variablen!$A:$A, 0), MATCH((YEAR(D9)+19), Variablen!$I$3:$AT$3, 0))="",L9,INDEX(Variablen!$I:$AT, MATCH(M9, Variablen!$A:$A, 0), MATCH((YEAR(D9)+19), Variablen!$I$3:$AT$3, 0))),L9)))*(IF((YEAR(D9)+19)&lt;YEAR(E9),0,IF((YEAR(D9)+19)&gt;YEAR(E9),1,(12-MONTH(E9)+1)/12))) + (Q9)*(IF((YEAR(D9)+19)&lt;YEAR(E9),0,IF((YEAR(D9)+19)&gt;YEAR(E9),1,(12-MONTH(E9)+1)/12))))-((P9)*(IF((YEAR(D9)+19)&lt;YEAR(E9),0,IF((YEAR(D9)+19)&gt;YEAR(E9),1,(12-MONTH(E9)+1)/12))) + (R9)*(IF((YEAR(D9)+19)&lt;YEAR(E9),0,IF((YEAR(D9)+19)&gt;YEAR(E9),1,(12-MONTH(E9)+1)/12))))-(IF((((K9)*(IF(M9="",L9,IFERROR(IF(INDEX(Variablen!$I:$AT, MATCH(M9, Variablen!$A:$A, 0), MATCH((YEAR(D9)+19), Variablen!$I$3:$AT$3, 0))="",L9,INDEX(Variablen!$I:$AT, MATCH(M9, Variablen!$A:$A, 0), MATCH((YEAR(D9)+19), Variablen!$I$3:$AT$3, 0))),L9)))*(IF((YEAR(D9)+19)&lt;YEAR(E9),0,IF((YEAR(D9)+19)&gt;YEAR(E9),1,(12-MONTH(E9)+1)/12))) + (Q9)*(IF((YEAR(D9)+19)&lt;YEAR(E9),0,IF((YEAR(D9)+19)&gt;YEAR(E9),1,(12-MONTH(E9)+1)/12))))-((P9)*(IF((YEAR(D9)+19)&lt;YEAR(E9),0,IF((YEAR(D9)+19)&gt;YEAR(E9),1,(12-MONTH(E9)+1)/12))) + (R9)*(IF((YEAR(D9)+19)&lt;YEAR(E9),0,IF((YEAR(D9)+19)&gt;YEAR(E9),1,(12-MONTH(E9)+1)/12))))-(IF(OR(N9="",N9&lt;=0),0,(O9/N9)*(IF(OR(N9="",N9&lt;=0),0,IF((YEAR(D9)+19)&lt;YEAR(E9),0,IF((YEAR(D9)+19)&gt;=YEAR(E9)+N9,0,IF((YEAR(D9)+19)=YEAR(E9),(12-MONTH(E9)+1)/12,1))))))))&gt;0,(((K9)*(IF(M9="",L9,IFERROR(IF(INDEX(Variablen!$I:$AT, MATCH(M9, Variablen!$A:$A, 0), MATCH((YEAR(D9)+19), Variablen!$I$3:$AT$3, 0))="",L9,INDEX(Variablen!$I:$AT, MATCH(M9, Variablen!$A:$A, 0), MATCH((YEAR(D9)+19), Variablen!$I$3:$AT$3, 0))),L9)))*(IF((YEAR(D9)+19)&lt;YEAR(E9),0,IF((YEAR(D9)+19)&gt;YEAR(E9),1,(12-MONTH(E9)+1)/12))) + (Q9)*(IF((YEAR(D9)+19)&lt;YEAR(E9),0,IF((YEAR(D9)+19)&gt;YEAR(E9),1,(12-MONTH(E9)+1)/12))))-((P9)*(IF((YEAR(D9)+19)&lt;YEAR(E9),0,IF((YEAR(D9)+19)&gt;YEAR(E9),1,(12-MONTH(E9)+1)/12))) + (R9)*(IF((YEAR(D9)+19)&lt;YEAR(E9),0,IF((YEAR(D9)+19)&gt;YEAR(E9),1,(12-MONTH(E9)+1)/12))))-(IF(OR(N9="",N9&lt;=0),0,(O9/N9)*(IF(OR(N9="",N9&lt;=0),0,IF((YEAR(D9)+19)&lt;YEAR(E9),0,IF((YEAR(D9)+19)&gt;=YEAR(E9)+N9,0,IF((YEAR(D9)+19)=YEAR(E9),(12-MONTH(E9)+1)/12,1))))))))*TaxRate,0))-IF(19=0,O9,0))</f>
        <v/>
      </c>
      <c r="AM9" s="29">
        <f>IF(A9="","",((K9)*(IF(M9="",L9,IFERROR(IF(INDEX(Variablen!$I:$AT, MATCH(M9, Variablen!$A:$A, 0), MATCH((YEAR(D9)+20), Variablen!$I$3:$AT$3, 0))="",L9,INDEX(Variablen!$I:$AT, MATCH(M9, Variablen!$A:$A, 0), MATCH((YEAR(D9)+20), Variablen!$I$3:$AT$3, 0))),L9)))*(IF((YEAR(D9)+20)&lt;YEAR(E9),0,IF((YEAR(D9)+20)&gt;YEAR(E9),1,(12-MONTH(E9)+1)/12))) + (Q9)*(IF((YEAR(D9)+20)&lt;YEAR(E9),0,IF((YEAR(D9)+20)&gt;YEAR(E9),1,(12-MONTH(E9)+1)/12))))-((P9)*(IF((YEAR(D9)+20)&lt;YEAR(E9),0,IF((YEAR(D9)+20)&gt;YEAR(E9),1,(12-MONTH(E9)+1)/12))) + (R9)*(IF((YEAR(D9)+20)&lt;YEAR(E9),0,IF((YEAR(D9)+20)&gt;YEAR(E9),1,(12-MONTH(E9)+1)/12))))-(IF((((K9)*(IF(M9="",L9,IFERROR(IF(INDEX(Variablen!$I:$AT, MATCH(M9, Variablen!$A:$A, 0), MATCH((YEAR(D9)+20), Variablen!$I$3:$AT$3, 0))="",L9,INDEX(Variablen!$I:$AT, MATCH(M9, Variablen!$A:$A, 0), MATCH((YEAR(D9)+20), Variablen!$I$3:$AT$3, 0))),L9)))*(IF((YEAR(D9)+20)&lt;YEAR(E9),0,IF((YEAR(D9)+20)&gt;YEAR(E9),1,(12-MONTH(E9)+1)/12))) + (Q9)*(IF((YEAR(D9)+20)&lt;YEAR(E9),0,IF((YEAR(D9)+20)&gt;YEAR(E9),1,(12-MONTH(E9)+1)/12))))-((P9)*(IF((YEAR(D9)+20)&lt;YEAR(E9),0,IF((YEAR(D9)+20)&gt;YEAR(E9),1,(12-MONTH(E9)+1)/12))) + (R9)*(IF((YEAR(D9)+20)&lt;YEAR(E9),0,IF((YEAR(D9)+20)&gt;YEAR(E9),1,(12-MONTH(E9)+1)/12))))-(IF(OR(N9="",N9&lt;=0),0,(O9/N9)*(IF(OR(N9="",N9&lt;=0),0,IF((YEAR(D9)+20)&lt;YEAR(E9),0,IF((YEAR(D9)+20)&gt;=YEAR(E9)+N9,0,IF((YEAR(D9)+20)=YEAR(E9),(12-MONTH(E9)+1)/12,1))))))))&gt;0,(((K9)*(IF(M9="",L9,IFERROR(IF(INDEX(Variablen!$I:$AT, MATCH(M9, Variablen!$A:$A, 0), MATCH((YEAR(D9)+20), Variablen!$I$3:$AT$3, 0))="",L9,INDEX(Variablen!$I:$AT, MATCH(M9, Variablen!$A:$A, 0), MATCH((YEAR(D9)+20), Variablen!$I$3:$AT$3, 0))),L9)))*(IF((YEAR(D9)+20)&lt;YEAR(E9),0,IF((YEAR(D9)+20)&gt;YEAR(E9),1,(12-MONTH(E9)+1)/12))) + (Q9)*(IF((YEAR(D9)+20)&lt;YEAR(E9),0,IF((YEAR(D9)+20)&gt;YEAR(E9),1,(12-MONTH(E9)+1)/12))))-((P9)*(IF((YEAR(D9)+20)&lt;YEAR(E9),0,IF((YEAR(D9)+20)&gt;YEAR(E9),1,(12-MONTH(E9)+1)/12))) + (R9)*(IF((YEAR(D9)+20)&lt;YEAR(E9),0,IF((YEAR(D9)+20)&gt;YEAR(E9),1,(12-MONTH(E9)+1)/12))))-(IF(OR(N9="",N9&lt;=0),0,(O9/N9)*(IF(OR(N9="",N9&lt;=0),0,IF((YEAR(D9)+20)&lt;YEAR(E9),0,IF((YEAR(D9)+20)&gt;=YEAR(E9)+N9,0,IF((YEAR(D9)+20)=YEAR(E9),(12-MONTH(E9)+1)/12,1))))))))*TaxRate,0))-IF(20=0,O9,0))</f>
        <v/>
      </c>
      <c r="AN9" s="29">
        <f>IF(A9="","",S9)</f>
        <v/>
      </c>
      <c r="AO9" s="29">
        <f>IF(A9="","",AN9+T9)</f>
        <v/>
      </c>
      <c r="AP9" s="29">
        <f>IF(A9="","",AO9+U9)</f>
        <v/>
      </c>
      <c r="AQ9" s="29">
        <f>IF(A9="","",AP9+V9)</f>
        <v/>
      </c>
      <c r="AR9" s="29">
        <f>IF(A9="","",AQ9+W9)</f>
        <v/>
      </c>
      <c r="AS9" s="29">
        <f>IF(A9="","",AR9+X9)</f>
        <v/>
      </c>
      <c r="AT9" s="29">
        <f>IF(A9="","",AS9+Y9)</f>
        <v/>
      </c>
      <c r="AU9" s="29">
        <f>IF(A9="","",AT9+Z9)</f>
        <v/>
      </c>
      <c r="AV9" s="29">
        <f>IF(A9="","",AU9+AA9)</f>
        <v/>
      </c>
      <c r="AW9" s="29">
        <f>IF(A9="","",AV9+AB9)</f>
        <v/>
      </c>
      <c r="AX9" s="29">
        <f>IF(A9="","",AW9+AC9)</f>
        <v/>
      </c>
      <c r="AY9" s="29">
        <f>IF(A9="","",AX9+AD9)</f>
        <v/>
      </c>
      <c r="AZ9" s="29">
        <f>IF(A9="","",AY9+AE9)</f>
        <v/>
      </c>
      <c r="BA9" s="29">
        <f>IF(A9="","",AZ9+AF9)</f>
        <v/>
      </c>
      <c r="BB9" s="29">
        <f>IF(A9="","",BA9+AG9)</f>
        <v/>
      </c>
      <c r="BC9" s="29">
        <f>IF(A9="","",BB9+AH9)</f>
        <v/>
      </c>
      <c r="BD9" s="29">
        <f>IF(A9="","",BC9+AI9)</f>
        <v/>
      </c>
      <c r="BE9" s="29">
        <f>IF(A9="","",BD9+AJ9)</f>
        <v/>
      </c>
      <c r="BF9" s="29">
        <f>IF(A9="","",BE9+AK9)</f>
        <v/>
      </c>
      <c r="BG9" s="29">
        <f>IF(A9="","",BF9+AL9)</f>
        <v/>
      </c>
      <c r="BH9" s="29">
        <f>IF(A9="","",BG9+AM9)</f>
        <v/>
      </c>
      <c r="BI9" s="36">
        <f>IF(A9="","",(K9)*(IF((YEAR(D9)+0)&lt;YEAR(E9),0,IF((YEAR(D9)+0)&gt;YEAR(E9),1,(12-MONTH(E9)+1)/12)))*(1/(1+DiscountRate)^0))</f>
        <v/>
      </c>
      <c r="BJ9" s="36">
        <f>IF(A9="","",(K9)*(IF((YEAR(D9)+1)&lt;YEAR(E9),0,IF((YEAR(D9)+1)&gt;YEAR(E9),1,(12-MONTH(E9)+1)/12)))*(1/(1+DiscountRate)^1))</f>
        <v/>
      </c>
      <c r="BK9" s="36">
        <f>IF(A9="","",(K9)*(IF((YEAR(D9)+2)&lt;YEAR(E9),0,IF((YEAR(D9)+2)&gt;YEAR(E9),1,(12-MONTH(E9)+1)/12)))*(1/(1+DiscountRate)^2))</f>
        <v/>
      </c>
      <c r="BL9" s="36">
        <f>IF(A9="","",(K9)*(IF((YEAR(D9)+3)&lt;YEAR(E9),0,IF((YEAR(D9)+3)&gt;YEAR(E9),1,(12-MONTH(E9)+1)/12)))*(1/(1+DiscountRate)^3))</f>
        <v/>
      </c>
      <c r="BM9" s="36">
        <f>IF(A9="","",(K9)*(IF((YEAR(D9)+4)&lt;YEAR(E9),0,IF((YEAR(D9)+4)&gt;YEAR(E9),1,(12-MONTH(E9)+1)/12)))*(1/(1+DiscountRate)^4))</f>
        <v/>
      </c>
      <c r="BN9" s="36">
        <f>IF(A9="","",(K9)*(IF((YEAR(D9)+5)&lt;YEAR(E9),0,IF((YEAR(D9)+5)&gt;YEAR(E9),1,(12-MONTH(E9)+1)/12)))*(1/(1+DiscountRate)^5))</f>
        <v/>
      </c>
      <c r="BO9" s="36">
        <f>IF(A9="","",(K9)*(IF((YEAR(D9)+6)&lt;YEAR(E9),0,IF((YEAR(D9)+6)&gt;YEAR(E9),1,(12-MONTH(E9)+1)/12)))*(1/(1+DiscountRate)^6))</f>
        <v/>
      </c>
      <c r="BP9" s="36">
        <f>IF(A9="","",(K9)*(IF((YEAR(D9)+7)&lt;YEAR(E9),0,IF((YEAR(D9)+7)&gt;YEAR(E9),1,(12-MONTH(E9)+1)/12)))*(1/(1+DiscountRate)^7))</f>
        <v/>
      </c>
      <c r="BQ9" s="36">
        <f>IF(A9="","",(K9)*(IF((YEAR(D9)+8)&lt;YEAR(E9),0,IF((YEAR(D9)+8)&gt;YEAR(E9),1,(12-MONTH(E9)+1)/12)))*(1/(1+DiscountRate)^8))</f>
        <v/>
      </c>
      <c r="BR9" s="36">
        <f>IF(A9="","",(K9)*(IF((YEAR(D9)+9)&lt;YEAR(E9),0,IF((YEAR(D9)+9)&gt;YEAR(E9),1,(12-MONTH(E9)+1)/12)))*(1/(1+DiscountRate)^9))</f>
        <v/>
      </c>
      <c r="BS9" s="36">
        <f>IF(A9="","",(K9)*(IF((YEAR(D9)+10)&lt;YEAR(E9),0,IF((YEAR(D9)+10)&gt;YEAR(E9),1,(12-MONTH(E9)+1)/12)))*(1/(1+DiscountRate)^10))</f>
        <v/>
      </c>
      <c r="BT9" s="36">
        <f>IF(A9="","",(K9)*(IF((YEAR(D9)+11)&lt;YEAR(E9),0,IF((YEAR(D9)+11)&gt;YEAR(E9),1,(12-MONTH(E9)+1)/12)))*(1/(1+DiscountRate)^11))</f>
        <v/>
      </c>
      <c r="BU9" s="36">
        <f>IF(A9="","",(K9)*(IF((YEAR(D9)+12)&lt;YEAR(E9),0,IF((YEAR(D9)+12)&gt;YEAR(E9),1,(12-MONTH(E9)+1)/12)))*(1/(1+DiscountRate)^12))</f>
        <v/>
      </c>
      <c r="BV9" s="36">
        <f>IF(A9="","",(K9)*(IF((YEAR(D9)+13)&lt;YEAR(E9),0,IF((YEAR(D9)+13)&gt;YEAR(E9),1,(12-MONTH(E9)+1)/12)))*(1/(1+DiscountRate)^13))</f>
        <v/>
      </c>
      <c r="BW9" s="36">
        <f>IF(A9="","",(K9)*(IF((YEAR(D9)+14)&lt;YEAR(E9),0,IF((YEAR(D9)+14)&gt;YEAR(E9),1,(12-MONTH(E9)+1)/12)))*(1/(1+DiscountRate)^14))</f>
        <v/>
      </c>
      <c r="BX9" s="36">
        <f>IF(A9="","",(K9)*(IF((YEAR(D9)+15)&lt;YEAR(E9),0,IF((YEAR(D9)+15)&gt;YEAR(E9),1,(12-MONTH(E9)+1)/12)))*(1/(1+DiscountRate)^15))</f>
        <v/>
      </c>
      <c r="BY9" s="36">
        <f>IF(A9="","",(K9)*(IF((YEAR(D9)+16)&lt;YEAR(E9),0,IF((YEAR(D9)+16)&gt;YEAR(E9),1,(12-MONTH(E9)+1)/12)))*(1/(1+DiscountRate)^16))</f>
        <v/>
      </c>
      <c r="BZ9" s="36">
        <f>IF(A9="","",(K9)*(IF((YEAR(D9)+17)&lt;YEAR(E9),0,IF((YEAR(D9)+17)&gt;YEAR(E9),1,(12-MONTH(E9)+1)/12)))*(1/(1+DiscountRate)^17))</f>
        <v/>
      </c>
      <c r="CA9" s="36">
        <f>IF(A9="","",(K9)*(IF((YEAR(D9)+18)&lt;YEAR(E9),0,IF((YEAR(D9)+18)&gt;YEAR(E9),1,(12-MONTH(E9)+1)/12)))*(1/(1+DiscountRate)^18))</f>
        <v/>
      </c>
      <c r="CB9" s="36">
        <f>IF(A9="","",(K9)*(IF((YEAR(D9)+19)&lt;YEAR(E9),0,IF((YEAR(D9)+19)&gt;YEAR(E9),1,(12-MONTH(E9)+1)/12)))*(1/(1+DiscountRate)^19))</f>
        <v/>
      </c>
      <c r="CC9" s="36">
        <f>IF(A9="","",(K9)*(IF((YEAR(D9)+20)&lt;YEAR(E9),0,IF((YEAR(D9)+20)&gt;YEAR(E9),1,(12-MONTH(E9)+1)/12)))*(1/(1+DiscountRate)^20))</f>
        <v/>
      </c>
      <c r="CD9" s="29">
        <f>IF(A9="","",S9/(1+DiscountRate)^0+T9/(1+DiscountRate)^1+U9/(1+DiscountRate)^2+V9/(1+DiscountRate)^3+W9/(1+DiscountRate)^4+X9/(1+DiscountRate)^5+Y9/(1+DiscountRate)^6+Z9/(1+DiscountRate)^7+AA9/(1+DiscountRate)^8+AB9/(1+DiscountRate)^9+AC9/(1+DiscountRate)^10+AD9/(1+DiscountRate)^11+AE9/(1+DiscountRate)^12+AF9/(1+DiscountRate)^13+AG9/(1+DiscountRate)^14+AH9/(1+DiscountRate)^15+AI9/(1+DiscountRate)^16+AJ9/(1+DiscountRate)^17+AK9/(1+DiscountRate)^18+AL9/(1+DiscountRate)^19+AM9/(1+DiscountRate)^20)</f>
        <v/>
      </c>
      <c r="CE9" s="37">
        <f>IF(A9="","",IFERROR(IRR(OFFSET(S9,0,0,1,MIN(HorizonYears,20)+1)),"n/a"))</f>
        <v/>
      </c>
      <c r="CF9" s="28">
        <f>IF(A9="","",IFERROR(MATCH(TRUE,OFFSET(AN9,0,0,1,MIN(HorizonYears,20)+1)&gt;=0,0)-1,"n/a"))</f>
        <v/>
      </c>
      <c r="CG9" s="36">
        <f>IF(A9="","",SUM(OFFSET(BI9,0,0,1,MIN(HorizonYears,20)+1)))</f>
        <v/>
      </c>
      <c r="CH9" s="36">
        <f>IF(A9="","",IFERROR(-CD9/CG9,"n/a"))</f>
        <v/>
      </c>
    </row>
    <row r="10">
      <c r="A10" s="6">
        <f>Actions!A8</f>
        <v/>
      </c>
      <c r="B10" s="6">
        <f>Actions!B8</f>
        <v/>
      </c>
      <c r="C10" s="6">
        <f>Actions!D8</f>
        <v/>
      </c>
      <c r="D10" s="35">
        <f>Actions!E8</f>
        <v/>
      </c>
      <c r="E10" s="35">
        <f>Actions!F8</f>
        <v/>
      </c>
      <c r="F10" s="6">
        <f>Actions!G8</f>
        <v/>
      </c>
      <c r="G10" s="6">
        <f>Actions!H8</f>
        <v/>
      </c>
      <c r="H10" s="29">
        <f>Actions!I8</f>
        <v/>
      </c>
      <c r="I10" s="6">
        <f>Actions!J8</f>
        <v/>
      </c>
      <c r="J10" s="16">
        <f>Actions!K8</f>
        <v/>
      </c>
      <c r="K10" s="16">
        <f>IF(A10="","",IF(I10="%",H10*J10,J10))</f>
        <v/>
      </c>
      <c r="L10" s="16">
        <f>Actions!L8</f>
        <v/>
      </c>
      <c r="M10" s="6">
        <f>Actions!M8</f>
        <v/>
      </c>
      <c r="N10" s="28">
        <f>Actions!N8</f>
        <v/>
      </c>
      <c r="O10" s="29">
        <f>Actions!T8</f>
        <v/>
      </c>
      <c r="P10" s="29">
        <f>Actions!Y8</f>
        <v/>
      </c>
      <c r="Q10" s="29">
        <f>Actions!Z8</f>
        <v/>
      </c>
      <c r="R10" s="29">
        <f>Actions!AA8</f>
        <v/>
      </c>
      <c r="S10" s="29">
        <f>IF(A10="","",((K10)*(IF(M10="",L10,IFERROR(IF(INDEX(Variablen!$I:$AT, MATCH(M10, Variablen!$A:$A, 0), MATCH((YEAR(D10)+0), Variablen!$I$3:$AT$3, 0))="",L10,INDEX(Variablen!$I:$AT, MATCH(M10, Variablen!$A:$A, 0), MATCH((YEAR(D10)+0), Variablen!$I$3:$AT$3, 0))),L10)))*(IF((YEAR(D10)+0)&lt;YEAR(E10),0,IF((YEAR(D10)+0)&gt;YEAR(E10),1,(12-MONTH(E10)+1)/12))) + (Q10)*(IF((YEAR(D10)+0)&lt;YEAR(E10),0,IF((YEAR(D10)+0)&gt;YEAR(E10),1,(12-MONTH(E10)+1)/12))))-((P10)*(IF((YEAR(D10)+0)&lt;YEAR(E10),0,IF((YEAR(D10)+0)&gt;YEAR(E10),1,(12-MONTH(E10)+1)/12))) + (R10)*(IF((YEAR(D10)+0)&lt;YEAR(E10),0,IF((YEAR(D10)+0)&gt;YEAR(E10),1,(12-MONTH(E10)+1)/12))))-(IF((((K10)*(IF(M10="",L10,IFERROR(IF(INDEX(Variablen!$I:$AT, MATCH(M10, Variablen!$A:$A, 0), MATCH((YEAR(D10)+0), Variablen!$I$3:$AT$3, 0))="",L10,INDEX(Variablen!$I:$AT, MATCH(M10, Variablen!$A:$A, 0), MATCH((YEAR(D10)+0), Variablen!$I$3:$AT$3, 0))),L10)))*(IF((YEAR(D10)+0)&lt;YEAR(E10),0,IF((YEAR(D10)+0)&gt;YEAR(E10),1,(12-MONTH(E10)+1)/12))) + (Q10)*(IF((YEAR(D10)+0)&lt;YEAR(E10),0,IF((YEAR(D10)+0)&gt;YEAR(E10),1,(12-MONTH(E10)+1)/12))))-((P10)*(IF((YEAR(D10)+0)&lt;YEAR(E10),0,IF((YEAR(D10)+0)&gt;YEAR(E10),1,(12-MONTH(E10)+1)/12))) + (R10)*(IF((YEAR(D10)+0)&lt;YEAR(E10),0,IF((YEAR(D10)+0)&gt;YEAR(E10),1,(12-MONTH(E10)+1)/12))))-(IF(OR(N10="",N10&lt;=0),0,(O10/N10)*(IF(OR(N10="",N10&lt;=0),0,IF((YEAR(D10)+0)&lt;YEAR(E10),0,IF((YEAR(D10)+0)&gt;=YEAR(E10)+N10,0,IF((YEAR(D10)+0)=YEAR(E10),(12-MONTH(E10)+1)/12,1))))))))&gt;0,(((K10)*(IF(M10="",L10,IFERROR(IF(INDEX(Variablen!$I:$AT, MATCH(M10, Variablen!$A:$A, 0), MATCH((YEAR(D10)+0), Variablen!$I$3:$AT$3, 0))="",L10,INDEX(Variablen!$I:$AT, MATCH(M10, Variablen!$A:$A, 0), MATCH((YEAR(D10)+0), Variablen!$I$3:$AT$3, 0))),L10)))*(IF((YEAR(D10)+0)&lt;YEAR(E10),0,IF((YEAR(D10)+0)&gt;YEAR(E10),1,(12-MONTH(E10)+1)/12))) + (Q10)*(IF((YEAR(D10)+0)&lt;YEAR(E10),0,IF((YEAR(D10)+0)&gt;YEAR(E10),1,(12-MONTH(E10)+1)/12))))-((P10)*(IF((YEAR(D10)+0)&lt;YEAR(E10),0,IF((YEAR(D10)+0)&gt;YEAR(E10),1,(12-MONTH(E10)+1)/12))) + (R10)*(IF((YEAR(D10)+0)&lt;YEAR(E10),0,IF((YEAR(D10)+0)&gt;YEAR(E10),1,(12-MONTH(E10)+1)/12))))-(IF(OR(N10="",N10&lt;=0),0,(O10/N10)*(IF(OR(N10="",N10&lt;=0),0,IF((YEAR(D10)+0)&lt;YEAR(E10),0,IF((YEAR(D10)+0)&gt;=YEAR(E10)+N10,0,IF((YEAR(D10)+0)=YEAR(E10),(12-MONTH(E10)+1)/12,1))))))))*TaxRate,0))-IF(0=0,O10,0))</f>
        <v/>
      </c>
      <c r="T10" s="29">
        <f>IF(A10="","",((K10)*(IF(M10="",L10,IFERROR(IF(INDEX(Variablen!$I:$AT, MATCH(M10, Variablen!$A:$A, 0), MATCH((YEAR(D10)+1), Variablen!$I$3:$AT$3, 0))="",L10,INDEX(Variablen!$I:$AT, MATCH(M10, Variablen!$A:$A, 0), MATCH((YEAR(D10)+1), Variablen!$I$3:$AT$3, 0))),L10)))*(IF((YEAR(D10)+1)&lt;YEAR(E10),0,IF((YEAR(D10)+1)&gt;YEAR(E10),1,(12-MONTH(E10)+1)/12))) + (Q10)*(IF((YEAR(D10)+1)&lt;YEAR(E10),0,IF((YEAR(D10)+1)&gt;YEAR(E10),1,(12-MONTH(E10)+1)/12))))-((P10)*(IF((YEAR(D10)+1)&lt;YEAR(E10),0,IF((YEAR(D10)+1)&gt;YEAR(E10),1,(12-MONTH(E10)+1)/12))) + (R10)*(IF((YEAR(D10)+1)&lt;YEAR(E10),0,IF((YEAR(D10)+1)&gt;YEAR(E10),1,(12-MONTH(E10)+1)/12))))-(IF((((K10)*(IF(M10="",L10,IFERROR(IF(INDEX(Variablen!$I:$AT, MATCH(M10, Variablen!$A:$A, 0), MATCH((YEAR(D10)+1), Variablen!$I$3:$AT$3, 0))="",L10,INDEX(Variablen!$I:$AT, MATCH(M10, Variablen!$A:$A, 0), MATCH((YEAR(D10)+1), Variablen!$I$3:$AT$3, 0))),L10)))*(IF((YEAR(D10)+1)&lt;YEAR(E10),0,IF((YEAR(D10)+1)&gt;YEAR(E10),1,(12-MONTH(E10)+1)/12))) + (Q10)*(IF((YEAR(D10)+1)&lt;YEAR(E10),0,IF((YEAR(D10)+1)&gt;YEAR(E10),1,(12-MONTH(E10)+1)/12))))-((P10)*(IF((YEAR(D10)+1)&lt;YEAR(E10),0,IF((YEAR(D10)+1)&gt;YEAR(E10),1,(12-MONTH(E10)+1)/12))) + (R10)*(IF((YEAR(D10)+1)&lt;YEAR(E10),0,IF((YEAR(D10)+1)&gt;YEAR(E10),1,(12-MONTH(E10)+1)/12))))-(IF(OR(N10="",N10&lt;=0),0,(O10/N10)*(IF(OR(N10="",N10&lt;=0),0,IF((YEAR(D10)+1)&lt;YEAR(E10),0,IF((YEAR(D10)+1)&gt;=YEAR(E10)+N10,0,IF((YEAR(D10)+1)=YEAR(E10),(12-MONTH(E10)+1)/12,1))))))))&gt;0,(((K10)*(IF(M10="",L10,IFERROR(IF(INDEX(Variablen!$I:$AT, MATCH(M10, Variablen!$A:$A, 0), MATCH((YEAR(D10)+1), Variablen!$I$3:$AT$3, 0))="",L10,INDEX(Variablen!$I:$AT, MATCH(M10, Variablen!$A:$A, 0), MATCH((YEAR(D10)+1), Variablen!$I$3:$AT$3, 0))),L10)))*(IF((YEAR(D10)+1)&lt;YEAR(E10),0,IF((YEAR(D10)+1)&gt;YEAR(E10),1,(12-MONTH(E10)+1)/12))) + (Q10)*(IF((YEAR(D10)+1)&lt;YEAR(E10),0,IF((YEAR(D10)+1)&gt;YEAR(E10),1,(12-MONTH(E10)+1)/12))))-((P10)*(IF((YEAR(D10)+1)&lt;YEAR(E10),0,IF((YEAR(D10)+1)&gt;YEAR(E10),1,(12-MONTH(E10)+1)/12))) + (R10)*(IF((YEAR(D10)+1)&lt;YEAR(E10),0,IF((YEAR(D10)+1)&gt;YEAR(E10),1,(12-MONTH(E10)+1)/12))))-(IF(OR(N10="",N10&lt;=0),0,(O10/N10)*(IF(OR(N10="",N10&lt;=0),0,IF((YEAR(D10)+1)&lt;YEAR(E10),0,IF((YEAR(D10)+1)&gt;=YEAR(E10)+N10,0,IF((YEAR(D10)+1)=YEAR(E10),(12-MONTH(E10)+1)/12,1))))))))*TaxRate,0))-IF(1=0,O10,0))</f>
        <v/>
      </c>
      <c r="U10" s="29">
        <f>IF(A10="","",((K10)*(IF(M10="",L10,IFERROR(IF(INDEX(Variablen!$I:$AT, MATCH(M10, Variablen!$A:$A, 0), MATCH((YEAR(D10)+2), Variablen!$I$3:$AT$3, 0))="",L10,INDEX(Variablen!$I:$AT, MATCH(M10, Variablen!$A:$A, 0), MATCH((YEAR(D10)+2), Variablen!$I$3:$AT$3, 0))),L10)))*(IF((YEAR(D10)+2)&lt;YEAR(E10),0,IF((YEAR(D10)+2)&gt;YEAR(E10),1,(12-MONTH(E10)+1)/12))) + (Q10)*(IF((YEAR(D10)+2)&lt;YEAR(E10),0,IF((YEAR(D10)+2)&gt;YEAR(E10),1,(12-MONTH(E10)+1)/12))))-((P10)*(IF((YEAR(D10)+2)&lt;YEAR(E10),0,IF((YEAR(D10)+2)&gt;YEAR(E10),1,(12-MONTH(E10)+1)/12))) + (R10)*(IF((YEAR(D10)+2)&lt;YEAR(E10),0,IF((YEAR(D10)+2)&gt;YEAR(E10),1,(12-MONTH(E10)+1)/12))))-(IF((((K10)*(IF(M10="",L10,IFERROR(IF(INDEX(Variablen!$I:$AT, MATCH(M10, Variablen!$A:$A, 0), MATCH((YEAR(D10)+2), Variablen!$I$3:$AT$3, 0))="",L10,INDEX(Variablen!$I:$AT, MATCH(M10, Variablen!$A:$A, 0), MATCH((YEAR(D10)+2), Variablen!$I$3:$AT$3, 0))),L10)))*(IF((YEAR(D10)+2)&lt;YEAR(E10),0,IF((YEAR(D10)+2)&gt;YEAR(E10),1,(12-MONTH(E10)+1)/12))) + (Q10)*(IF((YEAR(D10)+2)&lt;YEAR(E10),0,IF((YEAR(D10)+2)&gt;YEAR(E10),1,(12-MONTH(E10)+1)/12))))-((P10)*(IF((YEAR(D10)+2)&lt;YEAR(E10),0,IF((YEAR(D10)+2)&gt;YEAR(E10),1,(12-MONTH(E10)+1)/12))) + (R10)*(IF((YEAR(D10)+2)&lt;YEAR(E10),0,IF((YEAR(D10)+2)&gt;YEAR(E10),1,(12-MONTH(E10)+1)/12))))-(IF(OR(N10="",N10&lt;=0),0,(O10/N10)*(IF(OR(N10="",N10&lt;=0),0,IF((YEAR(D10)+2)&lt;YEAR(E10),0,IF((YEAR(D10)+2)&gt;=YEAR(E10)+N10,0,IF((YEAR(D10)+2)=YEAR(E10),(12-MONTH(E10)+1)/12,1))))))))&gt;0,(((K10)*(IF(M10="",L10,IFERROR(IF(INDEX(Variablen!$I:$AT, MATCH(M10, Variablen!$A:$A, 0), MATCH((YEAR(D10)+2), Variablen!$I$3:$AT$3, 0))="",L10,INDEX(Variablen!$I:$AT, MATCH(M10, Variablen!$A:$A, 0), MATCH((YEAR(D10)+2), Variablen!$I$3:$AT$3, 0))),L10)))*(IF((YEAR(D10)+2)&lt;YEAR(E10),0,IF((YEAR(D10)+2)&gt;YEAR(E10),1,(12-MONTH(E10)+1)/12))) + (Q10)*(IF((YEAR(D10)+2)&lt;YEAR(E10),0,IF((YEAR(D10)+2)&gt;YEAR(E10),1,(12-MONTH(E10)+1)/12))))-((P10)*(IF((YEAR(D10)+2)&lt;YEAR(E10),0,IF((YEAR(D10)+2)&gt;YEAR(E10),1,(12-MONTH(E10)+1)/12))) + (R10)*(IF((YEAR(D10)+2)&lt;YEAR(E10),0,IF((YEAR(D10)+2)&gt;YEAR(E10),1,(12-MONTH(E10)+1)/12))))-(IF(OR(N10="",N10&lt;=0),0,(O10/N10)*(IF(OR(N10="",N10&lt;=0),0,IF((YEAR(D10)+2)&lt;YEAR(E10),0,IF((YEAR(D10)+2)&gt;=YEAR(E10)+N10,0,IF((YEAR(D10)+2)=YEAR(E10),(12-MONTH(E10)+1)/12,1))))))))*TaxRate,0))-IF(2=0,O10,0))</f>
        <v/>
      </c>
      <c r="V10" s="29">
        <f>IF(A10="","",((K10)*(IF(M10="",L10,IFERROR(IF(INDEX(Variablen!$I:$AT, MATCH(M10, Variablen!$A:$A, 0), MATCH((YEAR(D10)+3), Variablen!$I$3:$AT$3, 0))="",L10,INDEX(Variablen!$I:$AT, MATCH(M10, Variablen!$A:$A, 0), MATCH((YEAR(D10)+3), Variablen!$I$3:$AT$3, 0))),L10)))*(IF((YEAR(D10)+3)&lt;YEAR(E10),0,IF((YEAR(D10)+3)&gt;YEAR(E10),1,(12-MONTH(E10)+1)/12))) + (Q10)*(IF((YEAR(D10)+3)&lt;YEAR(E10),0,IF((YEAR(D10)+3)&gt;YEAR(E10),1,(12-MONTH(E10)+1)/12))))-((P10)*(IF((YEAR(D10)+3)&lt;YEAR(E10),0,IF((YEAR(D10)+3)&gt;YEAR(E10),1,(12-MONTH(E10)+1)/12))) + (R10)*(IF((YEAR(D10)+3)&lt;YEAR(E10),0,IF((YEAR(D10)+3)&gt;YEAR(E10),1,(12-MONTH(E10)+1)/12))))-(IF((((K10)*(IF(M10="",L10,IFERROR(IF(INDEX(Variablen!$I:$AT, MATCH(M10, Variablen!$A:$A, 0), MATCH((YEAR(D10)+3), Variablen!$I$3:$AT$3, 0))="",L10,INDEX(Variablen!$I:$AT, MATCH(M10, Variablen!$A:$A, 0), MATCH((YEAR(D10)+3), Variablen!$I$3:$AT$3, 0))),L10)))*(IF((YEAR(D10)+3)&lt;YEAR(E10),0,IF((YEAR(D10)+3)&gt;YEAR(E10),1,(12-MONTH(E10)+1)/12))) + (Q10)*(IF((YEAR(D10)+3)&lt;YEAR(E10),0,IF((YEAR(D10)+3)&gt;YEAR(E10),1,(12-MONTH(E10)+1)/12))))-((P10)*(IF((YEAR(D10)+3)&lt;YEAR(E10),0,IF((YEAR(D10)+3)&gt;YEAR(E10),1,(12-MONTH(E10)+1)/12))) + (R10)*(IF((YEAR(D10)+3)&lt;YEAR(E10),0,IF((YEAR(D10)+3)&gt;YEAR(E10),1,(12-MONTH(E10)+1)/12))))-(IF(OR(N10="",N10&lt;=0),0,(O10/N10)*(IF(OR(N10="",N10&lt;=0),0,IF((YEAR(D10)+3)&lt;YEAR(E10),0,IF((YEAR(D10)+3)&gt;=YEAR(E10)+N10,0,IF((YEAR(D10)+3)=YEAR(E10),(12-MONTH(E10)+1)/12,1))))))))&gt;0,(((K10)*(IF(M10="",L10,IFERROR(IF(INDEX(Variablen!$I:$AT, MATCH(M10, Variablen!$A:$A, 0), MATCH((YEAR(D10)+3), Variablen!$I$3:$AT$3, 0))="",L10,INDEX(Variablen!$I:$AT, MATCH(M10, Variablen!$A:$A, 0), MATCH((YEAR(D10)+3), Variablen!$I$3:$AT$3, 0))),L10)))*(IF((YEAR(D10)+3)&lt;YEAR(E10),0,IF((YEAR(D10)+3)&gt;YEAR(E10),1,(12-MONTH(E10)+1)/12))) + (Q10)*(IF((YEAR(D10)+3)&lt;YEAR(E10),0,IF((YEAR(D10)+3)&gt;YEAR(E10),1,(12-MONTH(E10)+1)/12))))-((P10)*(IF((YEAR(D10)+3)&lt;YEAR(E10),0,IF((YEAR(D10)+3)&gt;YEAR(E10),1,(12-MONTH(E10)+1)/12))) + (R10)*(IF((YEAR(D10)+3)&lt;YEAR(E10),0,IF((YEAR(D10)+3)&gt;YEAR(E10),1,(12-MONTH(E10)+1)/12))))-(IF(OR(N10="",N10&lt;=0),0,(O10/N10)*(IF(OR(N10="",N10&lt;=0),0,IF((YEAR(D10)+3)&lt;YEAR(E10),0,IF((YEAR(D10)+3)&gt;=YEAR(E10)+N10,0,IF((YEAR(D10)+3)=YEAR(E10),(12-MONTH(E10)+1)/12,1))))))))*TaxRate,0))-IF(3=0,O10,0))</f>
        <v/>
      </c>
      <c r="W10" s="29">
        <f>IF(A10="","",((K10)*(IF(M10="",L10,IFERROR(IF(INDEX(Variablen!$I:$AT, MATCH(M10, Variablen!$A:$A, 0), MATCH((YEAR(D10)+4), Variablen!$I$3:$AT$3, 0))="",L10,INDEX(Variablen!$I:$AT, MATCH(M10, Variablen!$A:$A, 0), MATCH((YEAR(D10)+4), Variablen!$I$3:$AT$3, 0))),L10)))*(IF((YEAR(D10)+4)&lt;YEAR(E10),0,IF((YEAR(D10)+4)&gt;YEAR(E10),1,(12-MONTH(E10)+1)/12))) + (Q10)*(IF((YEAR(D10)+4)&lt;YEAR(E10),0,IF((YEAR(D10)+4)&gt;YEAR(E10),1,(12-MONTH(E10)+1)/12))))-((P10)*(IF((YEAR(D10)+4)&lt;YEAR(E10),0,IF((YEAR(D10)+4)&gt;YEAR(E10),1,(12-MONTH(E10)+1)/12))) + (R10)*(IF((YEAR(D10)+4)&lt;YEAR(E10),0,IF((YEAR(D10)+4)&gt;YEAR(E10),1,(12-MONTH(E10)+1)/12))))-(IF((((K10)*(IF(M10="",L10,IFERROR(IF(INDEX(Variablen!$I:$AT, MATCH(M10, Variablen!$A:$A, 0), MATCH((YEAR(D10)+4), Variablen!$I$3:$AT$3, 0))="",L10,INDEX(Variablen!$I:$AT, MATCH(M10, Variablen!$A:$A, 0), MATCH((YEAR(D10)+4), Variablen!$I$3:$AT$3, 0))),L10)))*(IF((YEAR(D10)+4)&lt;YEAR(E10),0,IF((YEAR(D10)+4)&gt;YEAR(E10),1,(12-MONTH(E10)+1)/12))) + (Q10)*(IF((YEAR(D10)+4)&lt;YEAR(E10),0,IF((YEAR(D10)+4)&gt;YEAR(E10),1,(12-MONTH(E10)+1)/12))))-((P10)*(IF((YEAR(D10)+4)&lt;YEAR(E10),0,IF((YEAR(D10)+4)&gt;YEAR(E10),1,(12-MONTH(E10)+1)/12))) + (R10)*(IF((YEAR(D10)+4)&lt;YEAR(E10),0,IF((YEAR(D10)+4)&gt;YEAR(E10),1,(12-MONTH(E10)+1)/12))))-(IF(OR(N10="",N10&lt;=0),0,(O10/N10)*(IF(OR(N10="",N10&lt;=0),0,IF((YEAR(D10)+4)&lt;YEAR(E10),0,IF((YEAR(D10)+4)&gt;=YEAR(E10)+N10,0,IF((YEAR(D10)+4)=YEAR(E10),(12-MONTH(E10)+1)/12,1))))))))&gt;0,(((K10)*(IF(M10="",L10,IFERROR(IF(INDEX(Variablen!$I:$AT, MATCH(M10, Variablen!$A:$A, 0), MATCH((YEAR(D10)+4), Variablen!$I$3:$AT$3, 0))="",L10,INDEX(Variablen!$I:$AT, MATCH(M10, Variablen!$A:$A, 0), MATCH((YEAR(D10)+4), Variablen!$I$3:$AT$3, 0))),L10)))*(IF((YEAR(D10)+4)&lt;YEAR(E10),0,IF((YEAR(D10)+4)&gt;YEAR(E10),1,(12-MONTH(E10)+1)/12))) + (Q10)*(IF((YEAR(D10)+4)&lt;YEAR(E10),0,IF((YEAR(D10)+4)&gt;YEAR(E10),1,(12-MONTH(E10)+1)/12))))-((P10)*(IF((YEAR(D10)+4)&lt;YEAR(E10),0,IF((YEAR(D10)+4)&gt;YEAR(E10),1,(12-MONTH(E10)+1)/12))) + (R10)*(IF((YEAR(D10)+4)&lt;YEAR(E10),0,IF((YEAR(D10)+4)&gt;YEAR(E10),1,(12-MONTH(E10)+1)/12))))-(IF(OR(N10="",N10&lt;=0),0,(O10/N10)*(IF(OR(N10="",N10&lt;=0),0,IF((YEAR(D10)+4)&lt;YEAR(E10),0,IF((YEAR(D10)+4)&gt;=YEAR(E10)+N10,0,IF((YEAR(D10)+4)=YEAR(E10),(12-MONTH(E10)+1)/12,1))))))))*TaxRate,0))-IF(4=0,O10,0))</f>
        <v/>
      </c>
      <c r="X10" s="29">
        <f>IF(A10="","",((K10)*(IF(M10="",L10,IFERROR(IF(INDEX(Variablen!$I:$AT, MATCH(M10, Variablen!$A:$A, 0), MATCH((YEAR(D10)+5), Variablen!$I$3:$AT$3, 0))="",L10,INDEX(Variablen!$I:$AT, MATCH(M10, Variablen!$A:$A, 0), MATCH((YEAR(D10)+5), Variablen!$I$3:$AT$3, 0))),L10)))*(IF((YEAR(D10)+5)&lt;YEAR(E10),0,IF((YEAR(D10)+5)&gt;YEAR(E10),1,(12-MONTH(E10)+1)/12))) + (Q10)*(IF((YEAR(D10)+5)&lt;YEAR(E10),0,IF((YEAR(D10)+5)&gt;YEAR(E10),1,(12-MONTH(E10)+1)/12))))-((P10)*(IF((YEAR(D10)+5)&lt;YEAR(E10),0,IF((YEAR(D10)+5)&gt;YEAR(E10),1,(12-MONTH(E10)+1)/12))) + (R10)*(IF((YEAR(D10)+5)&lt;YEAR(E10),0,IF((YEAR(D10)+5)&gt;YEAR(E10),1,(12-MONTH(E10)+1)/12))))-(IF((((K10)*(IF(M10="",L10,IFERROR(IF(INDEX(Variablen!$I:$AT, MATCH(M10, Variablen!$A:$A, 0), MATCH((YEAR(D10)+5), Variablen!$I$3:$AT$3, 0))="",L10,INDEX(Variablen!$I:$AT, MATCH(M10, Variablen!$A:$A, 0), MATCH((YEAR(D10)+5), Variablen!$I$3:$AT$3, 0))),L10)))*(IF((YEAR(D10)+5)&lt;YEAR(E10),0,IF((YEAR(D10)+5)&gt;YEAR(E10),1,(12-MONTH(E10)+1)/12))) + (Q10)*(IF((YEAR(D10)+5)&lt;YEAR(E10),0,IF((YEAR(D10)+5)&gt;YEAR(E10),1,(12-MONTH(E10)+1)/12))))-((P10)*(IF((YEAR(D10)+5)&lt;YEAR(E10),0,IF((YEAR(D10)+5)&gt;YEAR(E10),1,(12-MONTH(E10)+1)/12))) + (R10)*(IF((YEAR(D10)+5)&lt;YEAR(E10),0,IF((YEAR(D10)+5)&gt;YEAR(E10),1,(12-MONTH(E10)+1)/12))))-(IF(OR(N10="",N10&lt;=0),0,(O10/N10)*(IF(OR(N10="",N10&lt;=0),0,IF((YEAR(D10)+5)&lt;YEAR(E10),0,IF((YEAR(D10)+5)&gt;=YEAR(E10)+N10,0,IF((YEAR(D10)+5)=YEAR(E10),(12-MONTH(E10)+1)/12,1))))))))&gt;0,(((K10)*(IF(M10="",L10,IFERROR(IF(INDEX(Variablen!$I:$AT, MATCH(M10, Variablen!$A:$A, 0), MATCH((YEAR(D10)+5), Variablen!$I$3:$AT$3, 0))="",L10,INDEX(Variablen!$I:$AT, MATCH(M10, Variablen!$A:$A, 0), MATCH((YEAR(D10)+5), Variablen!$I$3:$AT$3, 0))),L10)))*(IF((YEAR(D10)+5)&lt;YEAR(E10),0,IF((YEAR(D10)+5)&gt;YEAR(E10),1,(12-MONTH(E10)+1)/12))) + (Q10)*(IF((YEAR(D10)+5)&lt;YEAR(E10),0,IF((YEAR(D10)+5)&gt;YEAR(E10),1,(12-MONTH(E10)+1)/12))))-((P10)*(IF((YEAR(D10)+5)&lt;YEAR(E10),0,IF((YEAR(D10)+5)&gt;YEAR(E10),1,(12-MONTH(E10)+1)/12))) + (R10)*(IF((YEAR(D10)+5)&lt;YEAR(E10),0,IF((YEAR(D10)+5)&gt;YEAR(E10),1,(12-MONTH(E10)+1)/12))))-(IF(OR(N10="",N10&lt;=0),0,(O10/N10)*(IF(OR(N10="",N10&lt;=0),0,IF((YEAR(D10)+5)&lt;YEAR(E10),0,IF((YEAR(D10)+5)&gt;=YEAR(E10)+N10,0,IF((YEAR(D10)+5)=YEAR(E10),(12-MONTH(E10)+1)/12,1))))))))*TaxRate,0))-IF(5=0,O10,0))</f>
        <v/>
      </c>
      <c r="Y10" s="29">
        <f>IF(A10="","",((K10)*(IF(M10="",L10,IFERROR(IF(INDEX(Variablen!$I:$AT, MATCH(M10, Variablen!$A:$A, 0), MATCH((YEAR(D10)+6), Variablen!$I$3:$AT$3, 0))="",L10,INDEX(Variablen!$I:$AT, MATCH(M10, Variablen!$A:$A, 0), MATCH((YEAR(D10)+6), Variablen!$I$3:$AT$3, 0))),L10)))*(IF((YEAR(D10)+6)&lt;YEAR(E10),0,IF((YEAR(D10)+6)&gt;YEAR(E10),1,(12-MONTH(E10)+1)/12))) + (Q10)*(IF((YEAR(D10)+6)&lt;YEAR(E10),0,IF((YEAR(D10)+6)&gt;YEAR(E10),1,(12-MONTH(E10)+1)/12))))-((P10)*(IF((YEAR(D10)+6)&lt;YEAR(E10),0,IF((YEAR(D10)+6)&gt;YEAR(E10),1,(12-MONTH(E10)+1)/12))) + (R10)*(IF((YEAR(D10)+6)&lt;YEAR(E10),0,IF((YEAR(D10)+6)&gt;YEAR(E10),1,(12-MONTH(E10)+1)/12))))-(IF((((K10)*(IF(M10="",L10,IFERROR(IF(INDEX(Variablen!$I:$AT, MATCH(M10, Variablen!$A:$A, 0), MATCH((YEAR(D10)+6), Variablen!$I$3:$AT$3, 0))="",L10,INDEX(Variablen!$I:$AT, MATCH(M10, Variablen!$A:$A, 0), MATCH((YEAR(D10)+6), Variablen!$I$3:$AT$3, 0))),L10)))*(IF((YEAR(D10)+6)&lt;YEAR(E10),0,IF((YEAR(D10)+6)&gt;YEAR(E10),1,(12-MONTH(E10)+1)/12))) + (Q10)*(IF((YEAR(D10)+6)&lt;YEAR(E10),0,IF((YEAR(D10)+6)&gt;YEAR(E10),1,(12-MONTH(E10)+1)/12))))-((P10)*(IF((YEAR(D10)+6)&lt;YEAR(E10),0,IF((YEAR(D10)+6)&gt;YEAR(E10),1,(12-MONTH(E10)+1)/12))) + (R10)*(IF((YEAR(D10)+6)&lt;YEAR(E10),0,IF((YEAR(D10)+6)&gt;YEAR(E10),1,(12-MONTH(E10)+1)/12))))-(IF(OR(N10="",N10&lt;=0),0,(O10/N10)*(IF(OR(N10="",N10&lt;=0),0,IF((YEAR(D10)+6)&lt;YEAR(E10),0,IF((YEAR(D10)+6)&gt;=YEAR(E10)+N10,0,IF((YEAR(D10)+6)=YEAR(E10),(12-MONTH(E10)+1)/12,1))))))))&gt;0,(((K10)*(IF(M10="",L10,IFERROR(IF(INDEX(Variablen!$I:$AT, MATCH(M10, Variablen!$A:$A, 0), MATCH((YEAR(D10)+6), Variablen!$I$3:$AT$3, 0))="",L10,INDEX(Variablen!$I:$AT, MATCH(M10, Variablen!$A:$A, 0), MATCH((YEAR(D10)+6), Variablen!$I$3:$AT$3, 0))),L10)))*(IF((YEAR(D10)+6)&lt;YEAR(E10),0,IF((YEAR(D10)+6)&gt;YEAR(E10),1,(12-MONTH(E10)+1)/12))) + (Q10)*(IF((YEAR(D10)+6)&lt;YEAR(E10),0,IF((YEAR(D10)+6)&gt;YEAR(E10),1,(12-MONTH(E10)+1)/12))))-((P10)*(IF((YEAR(D10)+6)&lt;YEAR(E10),0,IF((YEAR(D10)+6)&gt;YEAR(E10),1,(12-MONTH(E10)+1)/12))) + (R10)*(IF((YEAR(D10)+6)&lt;YEAR(E10),0,IF((YEAR(D10)+6)&gt;YEAR(E10),1,(12-MONTH(E10)+1)/12))))-(IF(OR(N10="",N10&lt;=0),0,(O10/N10)*(IF(OR(N10="",N10&lt;=0),0,IF((YEAR(D10)+6)&lt;YEAR(E10),0,IF((YEAR(D10)+6)&gt;=YEAR(E10)+N10,0,IF((YEAR(D10)+6)=YEAR(E10),(12-MONTH(E10)+1)/12,1))))))))*TaxRate,0))-IF(6=0,O10,0))</f>
        <v/>
      </c>
      <c r="Z10" s="29">
        <f>IF(A10="","",((K10)*(IF(M10="",L10,IFERROR(IF(INDEX(Variablen!$I:$AT, MATCH(M10, Variablen!$A:$A, 0), MATCH((YEAR(D10)+7), Variablen!$I$3:$AT$3, 0))="",L10,INDEX(Variablen!$I:$AT, MATCH(M10, Variablen!$A:$A, 0), MATCH((YEAR(D10)+7), Variablen!$I$3:$AT$3, 0))),L10)))*(IF((YEAR(D10)+7)&lt;YEAR(E10),0,IF((YEAR(D10)+7)&gt;YEAR(E10),1,(12-MONTH(E10)+1)/12))) + (Q10)*(IF((YEAR(D10)+7)&lt;YEAR(E10),0,IF((YEAR(D10)+7)&gt;YEAR(E10),1,(12-MONTH(E10)+1)/12))))-((P10)*(IF((YEAR(D10)+7)&lt;YEAR(E10),0,IF((YEAR(D10)+7)&gt;YEAR(E10),1,(12-MONTH(E10)+1)/12))) + (R10)*(IF((YEAR(D10)+7)&lt;YEAR(E10),0,IF((YEAR(D10)+7)&gt;YEAR(E10),1,(12-MONTH(E10)+1)/12))))-(IF((((K10)*(IF(M10="",L10,IFERROR(IF(INDEX(Variablen!$I:$AT, MATCH(M10, Variablen!$A:$A, 0), MATCH((YEAR(D10)+7), Variablen!$I$3:$AT$3, 0))="",L10,INDEX(Variablen!$I:$AT, MATCH(M10, Variablen!$A:$A, 0), MATCH((YEAR(D10)+7), Variablen!$I$3:$AT$3, 0))),L10)))*(IF((YEAR(D10)+7)&lt;YEAR(E10),0,IF((YEAR(D10)+7)&gt;YEAR(E10),1,(12-MONTH(E10)+1)/12))) + (Q10)*(IF((YEAR(D10)+7)&lt;YEAR(E10),0,IF((YEAR(D10)+7)&gt;YEAR(E10),1,(12-MONTH(E10)+1)/12))))-((P10)*(IF((YEAR(D10)+7)&lt;YEAR(E10),0,IF((YEAR(D10)+7)&gt;YEAR(E10),1,(12-MONTH(E10)+1)/12))) + (R10)*(IF((YEAR(D10)+7)&lt;YEAR(E10),0,IF((YEAR(D10)+7)&gt;YEAR(E10),1,(12-MONTH(E10)+1)/12))))-(IF(OR(N10="",N10&lt;=0),0,(O10/N10)*(IF(OR(N10="",N10&lt;=0),0,IF((YEAR(D10)+7)&lt;YEAR(E10),0,IF((YEAR(D10)+7)&gt;=YEAR(E10)+N10,0,IF((YEAR(D10)+7)=YEAR(E10),(12-MONTH(E10)+1)/12,1))))))))&gt;0,(((K10)*(IF(M10="",L10,IFERROR(IF(INDEX(Variablen!$I:$AT, MATCH(M10, Variablen!$A:$A, 0), MATCH((YEAR(D10)+7), Variablen!$I$3:$AT$3, 0))="",L10,INDEX(Variablen!$I:$AT, MATCH(M10, Variablen!$A:$A, 0), MATCH((YEAR(D10)+7), Variablen!$I$3:$AT$3, 0))),L10)))*(IF((YEAR(D10)+7)&lt;YEAR(E10),0,IF((YEAR(D10)+7)&gt;YEAR(E10),1,(12-MONTH(E10)+1)/12))) + (Q10)*(IF((YEAR(D10)+7)&lt;YEAR(E10),0,IF((YEAR(D10)+7)&gt;YEAR(E10),1,(12-MONTH(E10)+1)/12))))-((P10)*(IF((YEAR(D10)+7)&lt;YEAR(E10),0,IF((YEAR(D10)+7)&gt;YEAR(E10),1,(12-MONTH(E10)+1)/12))) + (R10)*(IF((YEAR(D10)+7)&lt;YEAR(E10),0,IF((YEAR(D10)+7)&gt;YEAR(E10),1,(12-MONTH(E10)+1)/12))))-(IF(OR(N10="",N10&lt;=0),0,(O10/N10)*(IF(OR(N10="",N10&lt;=0),0,IF((YEAR(D10)+7)&lt;YEAR(E10),0,IF((YEAR(D10)+7)&gt;=YEAR(E10)+N10,0,IF((YEAR(D10)+7)=YEAR(E10),(12-MONTH(E10)+1)/12,1))))))))*TaxRate,0))-IF(7=0,O10,0))</f>
        <v/>
      </c>
      <c r="AA10" s="29">
        <f>IF(A10="","",((K10)*(IF(M10="",L10,IFERROR(IF(INDEX(Variablen!$I:$AT, MATCH(M10, Variablen!$A:$A, 0), MATCH((YEAR(D10)+8), Variablen!$I$3:$AT$3, 0))="",L10,INDEX(Variablen!$I:$AT, MATCH(M10, Variablen!$A:$A, 0), MATCH((YEAR(D10)+8), Variablen!$I$3:$AT$3, 0))),L10)))*(IF((YEAR(D10)+8)&lt;YEAR(E10),0,IF((YEAR(D10)+8)&gt;YEAR(E10),1,(12-MONTH(E10)+1)/12))) + (Q10)*(IF((YEAR(D10)+8)&lt;YEAR(E10),0,IF((YEAR(D10)+8)&gt;YEAR(E10),1,(12-MONTH(E10)+1)/12))))-((P10)*(IF((YEAR(D10)+8)&lt;YEAR(E10),0,IF((YEAR(D10)+8)&gt;YEAR(E10),1,(12-MONTH(E10)+1)/12))) + (R10)*(IF((YEAR(D10)+8)&lt;YEAR(E10),0,IF((YEAR(D10)+8)&gt;YEAR(E10),1,(12-MONTH(E10)+1)/12))))-(IF((((K10)*(IF(M10="",L10,IFERROR(IF(INDEX(Variablen!$I:$AT, MATCH(M10, Variablen!$A:$A, 0), MATCH((YEAR(D10)+8), Variablen!$I$3:$AT$3, 0))="",L10,INDEX(Variablen!$I:$AT, MATCH(M10, Variablen!$A:$A, 0), MATCH((YEAR(D10)+8), Variablen!$I$3:$AT$3, 0))),L10)))*(IF((YEAR(D10)+8)&lt;YEAR(E10),0,IF((YEAR(D10)+8)&gt;YEAR(E10),1,(12-MONTH(E10)+1)/12))) + (Q10)*(IF((YEAR(D10)+8)&lt;YEAR(E10),0,IF((YEAR(D10)+8)&gt;YEAR(E10),1,(12-MONTH(E10)+1)/12))))-((P10)*(IF((YEAR(D10)+8)&lt;YEAR(E10),0,IF((YEAR(D10)+8)&gt;YEAR(E10),1,(12-MONTH(E10)+1)/12))) + (R10)*(IF((YEAR(D10)+8)&lt;YEAR(E10),0,IF((YEAR(D10)+8)&gt;YEAR(E10),1,(12-MONTH(E10)+1)/12))))-(IF(OR(N10="",N10&lt;=0),0,(O10/N10)*(IF(OR(N10="",N10&lt;=0),0,IF((YEAR(D10)+8)&lt;YEAR(E10),0,IF((YEAR(D10)+8)&gt;=YEAR(E10)+N10,0,IF((YEAR(D10)+8)=YEAR(E10),(12-MONTH(E10)+1)/12,1))))))))&gt;0,(((K10)*(IF(M10="",L10,IFERROR(IF(INDEX(Variablen!$I:$AT, MATCH(M10, Variablen!$A:$A, 0), MATCH((YEAR(D10)+8), Variablen!$I$3:$AT$3, 0))="",L10,INDEX(Variablen!$I:$AT, MATCH(M10, Variablen!$A:$A, 0), MATCH((YEAR(D10)+8), Variablen!$I$3:$AT$3, 0))),L10)))*(IF((YEAR(D10)+8)&lt;YEAR(E10),0,IF((YEAR(D10)+8)&gt;YEAR(E10),1,(12-MONTH(E10)+1)/12))) + (Q10)*(IF((YEAR(D10)+8)&lt;YEAR(E10),0,IF((YEAR(D10)+8)&gt;YEAR(E10),1,(12-MONTH(E10)+1)/12))))-((P10)*(IF((YEAR(D10)+8)&lt;YEAR(E10),0,IF((YEAR(D10)+8)&gt;YEAR(E10),1,(12-MONTH(E10)+1)/12))) + (R10)*(IF((YEAR(D10)+8)&lt;YEAR(E10),0,IF((YEAR(D10)+8)&gt;YEAR(E10),1,(12-MONTH(E10)+1)/12))))-(IF(OR(N10="",N10&lt;=0),0,(O10/N10)*(IF(OR(N10="",N10&lt;=0),0,IF((YEAR(D10)+8)&lt;YEAR(E10),0,IF((YEAR(D10)+8)&gt;=YEAR(E10)+N10,0,IF((YEAR(D10)+8)=YEAR(E10),(12-MONTH(E10)+1)/12,1))))))))*TaxRate,0))-IF(8=0,O10,0))</f>
        <v/>
      </c>
      <c r="AB10" s="29">
        <f>IF(A10="","",((K10)*(IF(M10="",L10,IFERROR(IF(INDEX(Variablen!$I:$AT, MATCH(M10, Variablen!$A:$A, 0), MATCH((YEAR(D10)+9), Variablen!$I$3:$AT$3, 0))="",L10,INDEX(Variablen!$I:$AT, MATCH(M10, Variablen!$A:$A, 0), MATCH((YEAR(D10)+9), Variablen!$I$3:$AT$3, 0))),L10)))*(IF((YEAR(D10)+9)&lt;YEAR(E10),0,IF((YEAR(D10)+9)&gt;YEAR(E10),1,(12-MONTH(E10)+1)/12))) + (Q10)*(IF((YEAR(D10)+9)&lt;YEAR(E10),0,IF((YEAR(D10)+9)&gt;YEAR(E10),1,(12-MONTH(E10)+1)/12))))-((P10)*(IF((YEAR(D10)+9)&lt;YEAR(E10),0,IF((YEAR(D10)+9)&gt;YEAR(E10),1,(12-MONTH(E10)+1)/12))) + (R10)*(IF((YEAR(D10)+9)&lt;YEAR(E10),0,IF((YEAR(D10)+9)&gt;YEAR(E10),1,(12-MONTH(E10)+1)/12))))-(IF((((K10)*(IF(M10="",L10,IFERROR(IF(INDEX(Variablen!$I:$AT, MATCH(M10, Variablen!$A:$A, 0), MATCH((YEAR(D10)+9), Variablen!$I$3:$AT$3, 0))="",L10,INDEX(Variablen!$I:$AT, MATCH(M10, Variablen!$A:$A, 0), MATCH((YEAR(D10)+9), Variablen!$I$3:$AT$3, 0))),L10)))*(IF((YEAR(D10)+9)&lt;YEAR(E10),0,IF((YEAR(D10)+9)&gt;YEAR(E10),1,(12-MONTH(E10)+1)/12))) + (Q10)*(IF((YEAR(D10)+9)&lt;YEAR(E10),0,IF((YEAR(D10)+9)&gt;YEAR(E10),1,(12-MONTH(E10)+1)/12))))-((P10)*(IF((YEAR(D10)+9)&lt;YEAR(E10),0,IF((YEAR(D10)+9)&gt;YEAR(E10),1,(12-MONTH(E10)+1)/12))) + (R10)*(IF((YEAR(D10)+9)&lt;YEAR(E10),0,IF((YEAR(D10)+9)&gt;YEAR(E10),1,(12-MONTH(E10)+1)/12))))-(IF(OR(N10="",N10&lt;=0),0,(O10/N10)*(IF(OR(N10="",N10&lt;=0),0,IF((YEAR(D10)+9)&lt;YEAR(E10),0,IF((YEAR(D10)+9)&gt;=YEAR(E10)+N10,0,IF((YEAR(D10)+9)=YEAR(E10),(12-MONTH(E10)+1)/12,1))))))))&gt;0,(((K10)*(IF(M10="",L10,IFERROR(IF(INDEX(Variablen!$I:$AT, MATCH(M10, Variablen!$A:$A, 0), MATCH((YEAR(D10)+9), Variablen!$I$3:$AT$3, 0))="",L10,INDEX(Variablen!$I:$AT, MATCH(M10, Variablen!$A:$A, 0), MATCH((YEAR(D10)+9), Variablen!$I$3:$AT$3, 0))),L10)))*(IF((YEAR(D10)+9)&lt;YEAR(E10),0,IF((YEAR(D10)+9)&gt;YEAR(E10),1,(12-MONTH(E10)+1)/12))) + (Q10)*(IF((YEAR(D10)+9)&lt;YEAR(E10),0,IF((YEAR(D10)+9)&gt;YEAR(E10),1,(12-MONTH(E10)+1)/12))))-((P10)*(IF((YEAR(D10)+9)&lt;YEAR(E10),0,IF((YEAR(D10)+9)&gt;YEAR(E10),1,(12-MONTH(E10)+1)/12))) + (R10)*(IF((YEAR(D10)+9)&lt;YEAR(E10),0,IF((YEAR(D10)+9)&gt;YEAR(E10),1,(12-MONTH(E10)+1)/12))))-(IF(OR(N10="",N10&lt;=0),0,(O10/N10)*(IF(OR(N10="",N10&lt;=0),0,IF((YEAR(D10)+9)&lt;YEAR(E10),0,IF((YEAR(D10)+9)&gt;=YEAR(E10)+N10,0,IF((YEAR(D10)+9)=YEAR(E10),(12-MONTH(E10)+1)/12,1))))))))*TaxRate,0))-IF(9=0,O10,0))</f>
        <v/>
      </c>
      <c r="AC10" s="29">
        <f>IF(A10="","",((K10)*(IF(M10="",L10,IFERROR(IF(INDEX(Variablen!$I:$AT, MATCH(M10, Variablen!$A:$A, 0), MATCH((YEAR(D10)+10), Variablen!$I$3:$AT$3, 0))="",L10,INDEX(Variablen!$I:$AT, MATCH(M10, Variablen!$A:$A, 0), MATCH((YEAR(D10)+10), Variablen!$I$3:$AT$3, 0))),L10)))*(IF((YEAR(D10)+10)&lt;YEAR(E10),0,IF((YEAR(D10)+10)&gt;YEAR(E10),1,(12-MONTH(E10)+1)/12))) + (Q10)*(IF((YEAR(D10)+10)&lt;YEAR(E10),0,IF((YEAR(D10)+10)&gt;YEAR(E10),1,(12-MONTH(E10)+1)/12))))-((P10)*(IF((YEAR(D10)+10)&lt;YEAR(E10),0,IF((YEAR(D10)+10)&gt;YEAR(E10),1,(12-MONTH(E10)+1)/12))) + (R10)*(IF((YEAR(D10)+10)&lt;YEAR(E10),0,IF((YEAR(D10)+10)&gt;YEAR(E10),1,(12-MONTH(E10)+1)/12))))-(IF((((K10)*(IF(M10="",L10,IFERROR(IF(INDEX(Variablen!$I:$AT, MATCH(M10, Variablen!$A:$A, 0), MATCH((YEAR(D10)+10), Variablen!$I$3:$AT$3, 0))="",L10,INDEX(Variablen!$I:$AT, MATCH(M10, Variablen!$A:$A, 0), MATCH((YEAR(D10)+10), Variablen!$I$3:$AT$3, 0))),L10)))*(IF((YEAR(D10)+10)&lt;YEAR(E10),0,IF((YEAR(D10)+10)&gt;YEAR(E10),1,(12-MONTH(E10)+1)/12))) + (Q10)*(IF((YEAR(D10)+10)&lt;YEAR(E10),0,IF((YEAR(D10)+10)&gt;YEAR(E10),1,(12-MONTH(E10)+1)/12))))-((P10)*(IF((YEAR(D10)+10)&lt;YEAR(E10),0,IF((YEAR(D10)+10)&gt;YEAR(E10),1,(12-MONTH(E10)+1)/12))) + (R10)*(IF((YEAR(D10)+10)&lt;YEAR(E10),0,IF((YEAR(D10)+10)&gt;YEAR(E10),1,(12-MONTH(E10)+1)/12))))-(IF(OR(N10="",N10&lt;=0),0,(O10/N10)*(IF(OR(N10="",N10&lt;=0),0,IF((YEAR(D10)+10)&lt;YEAR(E10),0,IF((YEAR(D10)+10)&gt;=YEAR(E10)+N10,0,IF((YEAR(D10)+10)=YEAR(E10),(12-MONTH(E10)+1)/12,1))))))))&gt;0,(((K10)*(IF(M10="",L10,IFERROR(IF(INDEX(Variablen!$I:$AT, MATCH(M10, Variablen!$A:$A, 0), MATCH((YEAR(D10)+10), Variablen!$I$3:$AT$3, 0))="",L10,INDEX(Variablen!$I:$AT, MATCH(M10, Variablen!$A:$A, 0), MATCH((YEAR(D10)+10), Variablen!$I$3:$AT$3, 0))),L10)))*(IF((YEAR(D10)+10)&lt;YEAR(E10),0,IF((YEAR(D10)+10)&gt;YEAR(E10),1,(12-MONTH(E10)+1)/12))) + (Q10)*(IF((YEAR(D10)+10)&lt;YEAR(E10),0,IF((YEAR(D10)+10)&gt;YEAR(E10),1,(12-MONTH(E10)+1)/12))))-((P10)*(IF((YEAR(D10)+10)&lt;YEAR(E10),0,IF((YEAR(D10)+10)&gt;YEAR(E10),1,(12-MONTH(E10)+1)/12))) + (R10)*(IF((YEAR(D10)+10)&lt;YEAR(E10),0,IF((YEAR(D10)+10)&gt;YEAR(E10),1,(12-MONTH(E10)+1)/12))))-(IF(OR(N10="",N10&lt;=0),0,(O10/N10)*(IF(OR(N10="",N10&lt;=0),0,IF((YEAR(D10)+10)&lt;YEAR(E10),0,IF((YEAR(D10)+10)&gt;=YEAR(E10)+N10,0,IF((YEAR(D10)+10)=YEAR(E10),(12-MONTH(E10)+1)/12,1))))))))*TaxRate,0))-IF(10=0,O10,0))</f>
        <v/>
      </c>
      <c r="AD10" s="29">
        <f>IF(A10="","",((K10)*(IF(M10="",L10,IFERROR(IF(INDEX(Variablen!$I:$AT, MATCH(M10, Variablen!$A:$A, 0), MATCH((YEAR(D10)+11), Variablen!$I$3:$AT$3, 0))="",L10,INDEX(Variablen!$I:$AT, MATCH(M10, Variablen!$A:$A, 0), MATCH((YEAR(D10)+11), Variablen!$I$3:$AT$3, 0))),L10)))*(IF((YEAR(D10)+11)&lt;YEAR(E10),0,IF((YEAR(D10)+11)&gt;YEAR(E10),1,(12-MONTH(E10)+1)/12))) + (Q10)*(IF((YEAR(D10)+11)&lt;YEAR(E10),0,IF((YEAR(D10)+11)&gt;YEAR(E10),1,(12-MONTH(E10)+1)/12))))-((P10)*(IF((YEAR(D10)+11)&lt;YEAR(E10),0,IF((YEAR(D10)+11)&gt;YEAR(E10),1,(12-MONTH(E10)+1)/12))) + (R10)*(IF((YEAR(D10)+11)&lt;YEAR(E10),0,IF((YEAR(D10)+11)&gt;YEAR(E10),1,(12-MONTH(E10)+1)/12))))-(IF((((K10)*(IF(M10="",L10,IFERROR(IF(INDEX(Variablen!$I:$AT, MATCH(M10, Variablen!$A:$A, 0), MATCH((YEAR(D10)+11), Variablen!$I$3:$AT$3, 0))="",L10,INDEX(Variablen!$I:$AT, MATCH(M10, Variablen!$A:$A, 0), MATCH((YEAR(D10)+11), Variablen!$I$3:$AT$3, 0))),L10)))*(IF((YEAR(D10)+11)&lt;YEAR(E10),0,IF((YEAR(D10)+11)&gt;YEAR(E10),1,(12-MONTH(E10)+1)/12))) + (Q10)*(IF((YEAR(D10)+11)&lt;YEAR(E10),0,IF((YEAR(D10)+11)&gt;YEAR(E10),1,(12-MONTH(E10)+1)/12))))-((P10)*(IF((YEAR(D10)+11)&lt;YEAR(E10),0,IF((YEAR(D10)+11)&gt;YEAR(E10),1,(12-MONTH(E10)+1)/12))) + (R10)*(IF((YEAR(D10)+11)&lt;YEAR(E10),0,IF((YEAR(D10)+11)&gt;YEAR(E10),1,(12-MONTH(E10)+1)/12))))-(IF(OR(N10="",N10&lt;=0),0,(O10/N10)*(IF(OR(N10="",N10&lt;=0),0,IF((YEAR(D10)+11)&lt;YEAR(E10),0,IF((YEAR(D10)+11)&gt;=YEAR(E10)+N10,0,IF((YEAR(D10)+11)=YEAR(E10),(12-MONTH(E10)+1)/12,1))))))))&gt;0,(((K10)*(IF(M10="",L10,IFERROR(IF(INDEX(Variablen!$I:$AT, MATCH(M10, Variablen!$A:$A, 0), MATCH((YEAR(D10)+11), Variablen!$I$3:$AT$3, 0))="",L10,INDEX(Variablen!$I:$AT, MATCH(M10, Variablen!$A:$A, 0), MATCH((YEAR(D10)+11), Variablen!$I$3:$AT$3, 0))),L10)))*(IF((YEAR(D10)+11)&lt;YEAR(E10),0,IF((YEAR(D10)+11)&gt;YEAR(E10),1,(12-MONTH(E10)+1)/12))) + (Q10)*(IF((YEAR(D10)+11)&lt;YEAR(E10),0,IF((YEAR(D10)+11)&gt;YEAR(E10),1,(12-MONTH(E10)+1)/12))))-((P10)*(IF((YEAR(D10)+11)&lt;YEAR(E10),0,IF((YEAR(D10)+11)&gt;YEAR(E10),1,(12-MONTH(E10)+1)/12))) + (R10)*(IF((YEAR(D10)+11)&lt;YEAR(E10),0,IF((YEAR(D10)+11)&gt;YEAR(E10),1,(12-MONTH(E10)+1)/12))))-(IF(OR(N10="",N10&lt;=0),0,(O10/N10)*(IF(OR(N10="",N10&lt;=0),0,IF((YEAR(D10)+11)&lt;YEAR(E10),0,IF((YEAR(D10)+11)&gt;=YEAR(E10)+N10,0,IF((YEAR(D10)+11)=YEAR(E10),(12-MONTH(E10)+1)/12,1))))))))*TaxRate,0))-IF(11=0,O10,0))</f>
        <v/>
      </c>
      <c r="AE10" s="29">
        <f>IF(A10="","",((K10)*(IF(M10="",L10,IFERROR(IF(INDEX(Variablen!$I:$AT, MATCH(M10, Variablen!$A:$A, 0), MATCH((YEAR(D10)+12), Variablen!$I$3:$AT$3, 0))="",L10,INDEX(Variablen!$I:$AT, MATCH(M10, Variablen!$A:$A, 0), MATCH((YEAR(D10)+12), Variablen!$I$3:$AT$3, 0))),L10)))*(IF((YEAR(D10)+12)&lt;YEAR(E10),0,IF((YEAR(D10)+12)&gt;YEAR(E10),1,(12-MONTH(E10)+1)/12))) + (Q10)*(IF((YEAR(D10)+12)&lt;YEAR(E10),0,IF((YEAR(D10)+12)&gt;YEAR(E10),1,(12-MONTH(E10)+1)/12))))-((P10)*(IF((YEAR(D10)+12)&lt;YEAR(E10),0,IF((YEAR(D10)+12)&gt;YEAR(E10),1,(12-MONTH(E10)+1)/12))) + (R10)*(IF((YEAR(D10)+12)&lt;YEAR(E10),0,IF((YEAR(D10)+12)&gt;YEAR(E10),1,(12-MONTH(E10)+1)/12))))-(IF((((K10)*(IF(M10="",L10,IFERROR(IF(INDEX(Variablen!$I:$AT, MATCH(M10, Variablen!$A:$A, 0), MATCH((YEAR(D10)+12), Variablen!$I$3:$AT$3, 0))="",L10,INDEX(Variablen!$I:$AT, MATCH(M10, Variablen!$A:$A, 0), MATCH((YEAR(D10)+12), Variablen!$I$3:$AT$3, 0))),L10)))*(IF((YEAR(D10)+12)&lt;YEAR(E10),0,IF((YEAR(D10)+12)&gt;YEAR(E10),1,(12-MONTH(E10)+1)/12))) + (Q10)*(IF((YEAR(D10)+12)&lt;YEAR(E10),0,IF((YEAR(D10)+12)&gt;YEAR(E10),1,(12-MONTH(E10)+1)/12))))-((P10)*(IF((YEAR(D10)+12)&lt;YEAR(E10),0,IF((YEAR(D10)+12)&gt;YEAR(E10),1,(12-MONTH(E10)+1)/12))) + (R10)*(IF((YEAR(D10)+12)&lt;YEAR(E10),0,IF((YEAR(D10)+12)&gt;YEAR(E10),1,(12-MONTH(E10)+1)/12))))-(IF(OR(N10="",N10&lt;=0),0,(O10/N10)*(IF(OR(N10="",N10&lt;=0),0,IF((YEAR(D10)+12)&lt;YEAR(E10),0,IF((YEAR(D10)+12)&gt;=YEAR(E10)+N10,0,IF((YEAR(D10)+12)=YEAR(E10),(12-MONTH(E10)+1)/12,1))))))))&gt;0,(((K10)*(IF(M10="",L10,IFERROR(IF(INDEX(Variablen!$I:$AT, MATCH(M10, Variablen!$A:$A, 0), MATCH((YEAR(D10)+12), Variablen!$I$3:$AT$3, 0))="",L10,INDEX(Variablen!$I:$AT, MATCH(M10, Variablen!$A:$A, 0), MATCH((YEAR(D10)+12), Variablen!$I$3:$AT$3, 0))),L10)))*(IF((YEAR(D10)+12)&lt;YEAR(E10),0,IF((YEAR(D10)+12)&gt;YEAR(E10),1,(12-MONTH(E10)+1)/12))) + (Q10)*(IF((YEAR(D10)+12)&lt;YEAR(E10),0,IF((YEAR(D10)+12)&gt;YEAR(E10),1,(12-MONTH(E10)+1)/12))))-((P10)*(IF((YEAR(D10)+12)&lt;YEAR(E10),0,IF((YEAR(D10)+12)&gt;YEAR(E10),1,(12-MONTH(E10)+1)/12))) + (R10)*(IF((YEAR(D10)+12)&lt;YEAR(E10),0,IF((YEAR(D10)+12)&gt;YEAR(E10),1,(12-MONTH(E10)+1)/12))))-(IF(OR(N10="",N10&lt;=0),0,(O10/N10)*(IF(OR(N10="",N10&lt;=0),0,IF((YEAR(D10)+12)&lt;YEAR(E10),0,IF((YEAR(D10)+12)&gt;=YEAR(E10)+N10,0,IF((YEAR(D10)+12)=YEAR(E10),(12-MONTH(E10)+1)/12,1))))))))*TaxRate,0))-IF(12=0,O10,0))</f>
        <v/>
      </c>
      <c r="AF10" s="29">
        <f>IF(A10="","",((K10)*(IF(M10="",L10,IFERROR(IF(INDEX(Variablen!$I:$AT, MATCH(M10, Variablen!$A:$A, 0), MATCH((YEAR(D10)+13), Variablen!$I$3:$AT$3, 0))="",L10,INDEX(Variablen!$I:$AT, MATCH(M10, Variablen!$A:$A, 0), MATCH((YEAR(D10)+13), Variablen!$I$3:$AT$3, 0))),L10)))*(IF((YEAR(D10)+13)&lt;YEAR(E10),0,IF((YEAR(D10)+13)&gt;YEAR(E10),1,(12-MONTH(E10)+1)/12))) + (Q10)*(IF((YEAR(D10)+13)&lt;YEAR(E10),0,IF((YEAR(D10)+13)&gt;YEAR(E10),1,(12-MONTH(E10)+1)/12))))-((P10)*(IF((YEAR(D10)+13)&lt;YEAR(E10),0,IF((YEAR(D10)+13)&gt;YEAR(E10),1,(12-MONTH(E10)+1)/12))) + (R10)*(IF((YEAR(D10)+13)&lt;YEAR(E10),0,IF((YEAR(D10)+13)&gt;YEAR(E10),1,(12-MONTH(E10)+1)/12))))-(IF((((K10)*(IF(M10="",L10,IFERROR(IF(INDEX(Variablen!$I:$AT, MATCH(M10, Variablen!$A:$A, 0), MATCH((YEAR(D10)+13), Variablen!$I$3:$AT$3, 0))="",L10,INDEX(Variablen!$I:$AT, MATCH(M10, Variablen!$A:$A, 0), MATCH((YEAR(D10)+13), Variablen!$I$3:$AT$3, 0))),L10)))*(IF((YEAR(D10)+13)&lt;YEAR(E10),0,IF((YEAR(D10)+13)&gt;YEAR(E10),1,(12-MONTH(E10)+1)/12))) + (Q10)*(IF((YEAR(D10)+13)&lt;YEAR(E10),0,IF((YEAR(D10)+13)&gt;YEAR(E10),1,(12-MONTH(E10)+1)/12))))-((P10)*(IF((YEAR(D10)+13)&lt;YEAR(E10),0,IF((YEAR(D10)+13)&gt;YEAR(E10),1,(12-MONTH(E10)+1)/12))) + (R10)*(IF((YEAR(D10)+13)&lt;YEAR(E10),0,IF((YEAR(D10)+13)&gt;YEAR(E10),1,(12-MONTH(E10)+1)/12))))-(IF(OR(N10="",N10&lt;=0),0,(O10/N10)*(IF(OR(N10="",N10&lt;=0),0,IF((YEAR(D10)+13)&lt;YEAR(E10),0,IF((YEAR(D10)+13)&gt;=YEAR(E10)+N10,0,IF((YEAR(D10)+13)=YEAR(E10),(12-MONTH(E10)+1)/12,1))))))))&gt;0,(((K10)*(IF(M10="",L10,IFERROR(IF(INDEX(Variablen!$I:$AT, MATCH(M10, Variablen!$A:$A, 0), MATCH((YEAR(D10)+13), Variablen!$I$3:$AT$3, 0))="",L10,INDEX(Variablen!$I:$AT, MATCH(M10, Variablen!$A:$A, 0), MATCH((YEAR(D10)+13), Variablen!$I$3:$AT$3, 0))),L10)))*(IF((YEAR(D10)+13)&lt;YEAR(E10),0,IF((YEAR(D10)+13)&gt;YEAR(E10),1,(12-MONTH(E10)+1)/12))) + (Q10)*(IF((YEAR(D10)+13)&lt;YEAR(E10),0,IF((YEAR(D10)+13)&gt;YEAR(E10),1,(12-MONTH(E10)+1)/12))))-((P10)*(IF((YEAR(D10)+13)&lt;YEAR(E10),0,IF((YEAR(D10)+13)&gt;YEAR(E10),1,(12-MONTH(E10)+1)/12))) + (R10)*(IF((YEAR(D10)+13)&lt;YEAR(E10),0,IF((YEAR(D10)+13)&gt;YEAR(E10),1,(12-MONTH(E10)+1)/12))))-(IF(OR(N10="",N10&lt;=0),0,(O10/N10)*(IF(OR(N10="",N10&lt;=0),0,IF((YEAR(D10)+13)&lt;YEAR(E10),0,IF((YEAR(D10)+13)&gt;=YEAR(E10)+N10,0,IF((YEAR(D10)+13)=YEAR(E10),(12-MONTH(E10)+1)/12,1))))))))*TaxRate,0))-IF(13=0,O10,0))</f>
        <v/>
      </c>
      <c r="AG10" s="29">
        <f>IF(A10="","",((K10)*(IF(M10="",L10,IFERROR(IF(INDEX(Variablen!$I:$AT, MATCH(M10, Variablen!$A:$A, 0), MATCH((YEAR(D10)+14), Variablen!$I$3:$AT$3, 0))="",L10,INDEX(Variablen!$I:$AT, MATCH(M10, Variablen!$A:$A, 0), MATCH((YEAR(D10)+14), Variablen!$I$3:$AT$3, 0))),L10)))*(IF((YEAR(D10)+14)&lt;YEAR(E10),0,IF((YEAR(D10)+14)&gt;YEAR(E10),1,(12-MONTH(E10)+1)/12))) + (Q10)*(IF((YEAR(D10)+14)&lt;YEAR(E10),0,IF((YEAR(D10)+14)&gt;YEAR(E10),1,(12-MONTH(E10)+1)/12))))-((P10)*(IF((YEAR(D10)+14)&lt;YEAR(E10),0,IF((YEAR(D10)+14)&gt;YEAR(E10),1,(12-MONTH(E10)+1)/12))) + (R10)*(IF((YEAR(D10)+14)&lt;YEAR(E10),0,IF((YEAR(D10)+14)&gt;YEAR(E10),1,(12-MONTH(E10)+1)/12))))-(IF((((K10)*(IF(M10="",L10,IFERROR(IF(INDEX(Variablen!$I:$AT, MATCH(M10, Variablen!$A:$A, 0), MATCH((YEAR(D10)+14), Variablen!$I$3:$AT$3, 0))="",L10,INDEX(Variablen!$I:$AT, MATCH(M10, Variablen!$A:$A, 0), MATCH((YEAR(D10)+14), Variablen!$I$3:$AT$3, 0))),L10)))*(IF((YEAR(D10)+14)&lt;YEAR(E10),0,IF((YEAR(D10)+14)&gt;YEAR(E10),1,(12-MONTH(E10)+1)/12))) + (Q10)*(IF((YEAR(D10)+14)&lt;YEAR(E10),0,IF((YEAR(D10)+14)&gt;YEAR(E10),1,(12-MONTH(E10)+1)/12))))-((P10)*(IF((YEAR(D10)+14)&lt;YEAR(E10),0,IF((YEAR(D10)+14)&gt;YEAR(E10),1,(12-MONTH(E10)+1)/12))) + (R10)*(IF((YEAR(D10)+14)&lt;YEAR(E10),0,IF((YEAR(D10)+14)&gt;YEAR(E10),1,(12-MONTH(E10)+1)/12))))-(IF(OR(N10="",N10&lt;=0),0,(O10/N10)*(IF(OR(N10="",N10&lt;=0),0,IF((YEAR(D10)+14)&lt;YEAR(E10),0,IF((YEAR(D10)+14)&gt;=YEAR(E10)+N10,0,IF((YEAR(D10)+14)=YEAR(E10),(12-MONTH(E10)+1)/12,1))))))))&gt;0,(((K10)*(IF(M10="",L10,IFERROR(IF(INDEX(Variablen!$I:$AT, MATCH(M10, Variablen!$A:$A, 0), MATCH((YEAR(D10)+14), Variablen!$I$3:$AT$3, 0))="",L10,INDEX(Variablen!$I:$AT, MATCH(M10, Variablen!$A:$A, 0), MATCH((YEAR(D10)+14), Variablen!$I$3:$AT$3, 0))),L10)))*(IF((YEAR(D10)+14)&lt;YEAR(E10),0,IF((YEAR(D10)+14)&gt;YEAR(E10),1,(12-MONTH(E10)+1)/12))) + (Q10)*(IF((YEAR(D10)+14)&lt;YEAR(E10),0,IF((YEAR(D10)+14)&gt;YEAR(E10),1,(12-MONTH(E10)+1)/12))))-((P10)*(IF((YEAR(D10)+14)&lt;YEAR(E10),0,IF((YEAR(D10)+14)&gt;YEAR(E10),1,(12-MONTH(E10)+1)/12))) + (R10)*(IF((YEAR(D10)+14)&lt;YEAR(E10),0,IF((YEAR(D10)+14)&gt;YEAR(E10),1,(12-MONTH(E10)+1)/12))))-(IF(OR(N10="",N10&lt;=0),0,(O10/N10)*(IF(OR(N10="",N10&lt;=0),0,IF((YEAR(D10)+14)&lt;YEAR(E10),0,IF((YEAR(D10)+14)&gt;=YEAR(E10)+N10,0,IF((YEAR(D10)+14)=YEAR(E10),(12-MONTH(E10)+1)/12,1))))))))*TaxRate,0))-IF(14=0,O10,0))</f>
        <v/>
      </c>
      <c r="AH10" s="29">
        <f>IF(A10="","",((K10)*(IF(M10="",L10,IFERROR(IF(INDEX(Variablen!$I:$AT, MATCH(M10, Variablen!$A:$A, 0), MATCH((YEAR(D10)+15), Variablen!$I$3:$AT$3, 0))="",L10,INDEX(Variablen!$I:$AT, MATCH(M10, Variablen!$A:$A, 0), MATCH((YEAR(D10)+15), Variablen!$I$3:$AT$3, 0))),L10)))*(IF((YEAR(D10)+15)&lt;YEAR(E10),0,IF((YEAR(D10)+15)&gt;YEAR(E10),1,(12-MONTH(E10)+1)/12))) + (Q10)*(IF((YEAR(D10)+15)&lt;YEAR(E10),0,IF((YEAR(D10)+15)&gt;YEAR(E10),1,(12-MONTH(E10)+1)/12))))-((P10)*(IF((YEAR(D10)+15)&lt;YEAR(E10),0,IF((YEAR(D10)+15)&gt;YEAR(E10),1,(12-MONTH(E10)+1)/12))) + (R10)*(IF((YEAR(D10)+15)&lt;YEAR(E10),0,IF((YEAR(D10)+15)&gt;YEAR(E10),1,(12-MONTH(E10)+1)/12))))-(IF((((K10)*(IF(M10="",L10,IFERROR(IF(INDEX(Variablen!$I:$AT, MATCH(M10, Variablen!$A:$A, 0), MATCH((YEAR(D10)+15), Variablen!$I$3:$AT$3, 0))="",L10,INDEX(Variablen!$I:$AT, MATCH(M10, Variablen!$A:$A, 0), MATCH((YEAR(D10)+15), Variablen!$I$3:$AT$3, 0))),L10)))*(IF((YEAR(D10)+15)&lt;YEAR(E10),0,IF((YEAR(D10)+15)&gt;YEAR(E10),1,(12-MONTH(E10)+1)/12))) + (Q10)*(IF((YEAR(D10)+15)&lt;YEAR(E10),0,IF((YEAR(D10)+15)&gt;YEAR(E10),1,(12-MONTH(E10)+1)/12))))-((P10)*(IF((YEAR(D10)+15)&lt;YEAR(E10),0,IF((YEAR(D10)+15)&gt;YEAR(E10),1,(12-MONTH(E10)+1)/12))) + (R10)*(IF((YEAR(D10)+15)&lt;YEAR(E10),0,IF((YEAR(D10)+15)&gt;YEAR(E10),1,(12-MONTH(E10)+1)/12))))-(IF(OR(N10="",N10&lt;=0),0,(O10/N10)*(IF(OR(N10="",N10&lt;=0),0,IF((YEAR(D10)+15)&lt;YEAR(E10),0,IF((YEAR(D10)+15)&gt;=YEAR(E10)+N10,0,IF((YEAR(D10)+15)=YEAR(E10),(12-MONTH(E10)+1)/12,1))))))))&gt;0,(((K10)*(IF(M10="",L10,IFERROR(IF(INDEX(Variablen!$I:$AT, MATCH(M10, Variablen!$A:$A, 0), MATCH((YEAR(D10)+15), Variablen!$I$3:$AT$3, 0))="",L10,INDEX(Variablen!$I:$AT, MATCH(M10, Variablen!$A:$A, 0), MATCH((YEAR(D10)+15), Variablen!$I$3:$AT$3, 0))),L10)))*(IF((YEAR(D10)+15)&lt;YEAR(E10),0,IF((YEAR(D10)+15)&gt;YEAR(E10),1,(12-MONTH(E10)+1)/12))) + (Q10)*(IF((YEAR(D10)+15)&lt;YEAR(E10),0,IF((YEAR(D10)+15)&gt;YEAR(E10),1,(12-MONTH(E10)+1)/12))))-((P10)*(IF((YEAR(D10)+15)&lt;YEAR(E10),0,IF((YEAR(D10)+15)&gt;YEAR(E10),1,(12-MONTH(E10)+1)/12))) + (R10)*(IF((YEAR(D10)+15)&lt;YEAR(E10),0,IF((YEAR(D10)+15)&gt;YEAR(E10),1,(12-MONTH(E10)+1)/12))))-(IF(OR(N10="",N10&lt;=0),0,(O10/N10)*(IF(OR(N10="",N10&lt;=0),0,IF((YEAR(D10)+15)&lt;YEAR(E10),0,IF((YEAR(D10)+15)&gt;=YEAR(E10)+N10,0,IF((YEAR(D10)+15)=YEAR(E10),(12-MONTH(E10)+1)/12,1))))))))*TaxRate,0))-IF(15=0,O10,0))</f>
        <v/>
      </c>
      <c r="AI10" s="29">
        <f>IF(A10="","",((K10)*(IF(M10="",L10,IFERROR(IF(INDEX(Variablen!$I:$AT, MATCH(M10, Variablen!$A:$A, 0), MATCH((YEAR(D10)+16), Variablen!$I$3:$AT$3, 0))="",L10,INDEX(Variablen!$I:$AT, MATCH(M10, Variablen!$A:$A, 0), MATCH((YEAR(D10)+16), Variablen!$I$3:$AT$3, 0))),L10)))*(IF((YEAR(D10)+16)&lt;YEAR(E10),0,IF((YEAR(D10)+16)&gt;YEAR(E10),1,(12-MONTH(E10)+1)/12))) + (Q10)*(IF((YEAR(D10)+16)&lt;YEAR(E10),0,IF((YEAR(D10)+16)&gt;YEAR(E10),1,(12-MONTH(E10)+1)/12))))-((P10)*(IF((YEAR(D10)+16)&lt;YEAR(E10),0,IF((YEAR(D10)+16)&gt;YEAR(E10),1,(12-MONTH(E10)+1)/12))) + (R10)*(IF((YEAR(D10)+16)&lt;YEAR(E10),0,IF((YEAR(D10)+16)&gt;YEAR(E10),1,(12-MONTH(E10)+1)/12))))-(IF((((K10)*(IF(M10="",L10,IFERROR(IF(INDEX(Variablen!$I:$AT, MATCH(M10, Variablen!$A:$A, 0), MATCH((YEAR(D10)+16), Variablen!$I$3:$AT$3, 0))="",L10,INDEX(Variablen!$I:$AT, MATCH(M10, Variablen!$A:$A, 0), MATCH((YEAR(D10)+16), Variablen!$I$3:$AT$3, 0))),L10)))*(IF((YEAR(D10)+16)&lt;YEAR(E10),0,IF((YEAR(D10)+16)&gt;YEAR(E10),1,(12-MONTH(E10)+1)/12))) + (Q10)*(IF((YEAR(D10)+16)&lt;YEAR(E10),0,IF((YEAR(D10)+16)&gt;YEAR(E10),1,(12-MONTH(E10)+1)/12))))-((P10)*(IF((YEAR(D10)+16)&lt;YEAR(E10),0,IF((YEAR(D10)+16)&gt;YEAR(E10),1,(12-MONTH(E10)+1)/12))) + (R10)*(IF((YEAR(D10)+16)&lt;YEAR(E10),0,IF((YEAR(D10)+16)&gt;YEAR(E10),1,(12-MONTH(E10)+1)/12))))-(IF(OR(N10="",N10&lt;=0),0,(O10/N10)*(IF(OR(N10="",N10&lt;=0),0,IF((YEAR(D10)+16)&lt;YEAR(E10),0,IF((YEAR(D10)+16)&gt;=YEAR(E10)+N10,0,IF((YEAR(D10)+16)=YEAR(E10),(12-MONTH(E10)+1)/12,1))))))))&gt;0,(((K10)*(IF(M10="",L10,IFERROR(IF(INDEX(Variablen!$I:$AT, MATCH(M10, Variablen!$A:$A, 0), MATCH((YEAR(D10)+16), Variablen!$I$3:$AT$3, 0))="",L10,INDEX(Variablen!$I:$AT, MATCH(M10, Variablen!$A:$A, 0), MATCH((YEAR(D10)+16), Variablen!$I$3:$AT$3, 0))),L10)))*(IF((YEAR(D10)+16)&lt;YEAR(E10),0,IF((YEAR(D10)+16)&gt;YEAR(E10),1,(12-MONTH(E10)+1)/12))) + (Q10)*(IF((YEAR(D10)+16)&lt;YEAR(E10),0,IF((YEAR(D10)+16)&gt;YEAR(E10),1,(12-MONTH(E10)+1)/12))))-((P10)*(IF((YEAR(D10)+16)&lt;YEAR(E10),0,IF((YEAR(D10)+16)&gt;YEAR(E10),1,(12-MONTH(E10)+1)/12))) + (R10)*(IF((YEAR(D10)+16)&lt;YEAR(E10),0,IF((YEAR(D10)+16)&gt;YEAR(E10),1,(12-MONTH(E10)+1)/12))))-(IF(OR(N10="",N10&lt;=0),0,(O10/N10)*(IF(OR(N10="",N10&lt;=0),0,IF((YEAR(D10)+16)&lt;YEAR(E10),0,IF((YEAR(D10)+16)&gt;=YEAR(E10)+N10,0,IF((YEAR(D10)+16)=YEAR(E10),(12-MONTH(E10)+1)/12,1))))))))*TaxRate,0))-IF(16=0,O10,0))</f>
        <v/>
      </c>
      <c r="AJ10" s="29">
        <f>IF(A10="","",((K10)*(IF(M10="",L10,IFERROR(IF(INDEX(Variablen!$I:$AT, MATCH(M10, Variablen!$A:$A, 0), MATCH((YEAR(D10)+17), Variablen!$I$3:$AT$3, 0))="",L10,INDEX(Variablen!$I:$AT, MATCH(M10, Variablen!$A:$A, 0), MATCH((YEAR(D10)+17), Variablen!$I$3:$AT$3, 0))),L10)))*(IF((YEAR(D10)+17)&lt;YEAR(E10),0,IF((YEAR(D10)+17)&gt;YEAR(E10),1,(12-MONTH(E10)+1)/12))) + (Q10)*(IF((YEAR(D10)+17)&lt;YEAR(E10),0,IF((YEAR(D10)+17)&gt;YEAR(E10),1,(12-MONTH(E10)+1)/12))))-((P10)*(IF((YEAR(D10)+17)&lt;YEAR(E10),0,IF((YEAR(D10)+17)&gt;YEAR(E10),1,(12-MONTH(E10)+1)/12))) + (R10)*(IF((YEAR(D10)+17)&lt;YEAR(E10),0,IF((YEAR(D10)+17)&gt;YEAR(E10),1,(12-MONTH(E10)+1)/12))))-(IF((((K10)*(IF(M10="",L10,IFERROR(IF(INDEX(Variablen!$I:$AT, MATCH(M10, Variablen!$A:$A, 0), MATCH((YEAR(D10)+17), Variablen!$I$3:$AT$3, 0))="",L10,INDEX(Variablen!$I:$AT, MATCH(M10, Variablen!$A:$A, 0), MATCH((YEAR(D10)+17), Variablen!$I$3:$AT$3, 0))),L10)))*(IF((YEAR(D10)+17)&lt;YEAR(E10),0,IF((YEAR(D10)+17)&gt;YEAR(E10),1,(12-MONTH(E10)+1)/12))) + (Q10)*(IF((YEAR(D10)+17)&lt;YEAR(E10),0,IF((YEAR(D10)+17)&gt;YEAR(E10),1,(12-MONTH(E10)+1)/12))))-((P10)*(IF((YEAR(D10)+17)&lt;YEAR(E10),0,IF((YEAR(D10)+17)&gt;YEAR(E10),1,(12-MONTH(E10)+1)/12))) + (R10)*(IF((YEAR(D10)+17)&lt;YEAR(E10),0,IF((YEAR(D10)+17)&gt;YEAR(E10),1,(12-MONTH(E10)+1)/12))))-(IF(OR(N10="",N10&lt;=0),0,(O10/N10)*(IF(OR(N10="",N10&lt;=0),0,IF((YEAR(D10)+17)&lt;YEAR(E10),0,IF((YEAR(D10)+17)&gt;=YEAR(E10)+N10,0,IF((YEAR(D10)+17)=YEAR(E10),(12-MONTH(E10)+1)/12,1))))))))&gt;0,(((K10)*(IF(M10="",L10,IFERROR(IF(INDEX(Variablen!$I:$AT, MATCH(M10, Variablen!$A:$A, 0), MATCH((YEAR(D10)+17), Variablen!$I$3:$AT$3, 0))="",L10,INDEX(Variablen!$I:$AT, MATCH(M10, Variablen!$A:$A, 0), MATCH((YEAR(D10)+17), Variablen!$I$3:$AT$3, 0))),L10)))*(IF((YEAR(D10)+17)&lt;YEAR(E10),0,IF((YEAR(D10)+17)&gt;YEAR(E10),1,(12-MONTH(E10)+1)/12))) + (Q10)*(IF((YEAR(D10)+17)&lt;YEAR(E10),0,IF((YEAR(D10)+17)&gt;YEAR(E10),1,(12-MONTH(E10)+1)/12))))-((P10)*(IF((YEAR(D10)+17)&lt;YEAR(E10),0,IF((YEAR(D10)+17)&gt;YEAR(E10),1,(12-MONTH(E10)+1)/12))) + (R10)*(IF((YEAR(D10)+17)&lt;YEAR(E10),0,IF((YEAR(D10)+17)&gt;YEAR(E10),1,(12-MONTH(E10)+1)/12))))-(IF(OR(N10="",N10&lt;=0),0,(O10/N10)*(IF(OR(N10="",N10&lt;=0),0,IF((YEAR(D10)+17)&lt;YEAR(E10),0,IF((YEAR(D10)+17)&gt;=YEAR(E10)+N10,0,IF((YEAR(D10)+17)=YEAR(E10),(12-MONTH(E10)+1)/12,1))))))))*TaxRate,0))-IF(17=0,O10,0))</f>
        <v/>
      </c>
      <c r="AK10" s="29">
        <f>IF(A10="","",((K10)*(IF(M10="",L10,IFERROR(IF(INDEX(Variablen!$I:$AT, MATCH(M10, Variablen!$A:$A, 0), MATCH((YEAR(D10)+18), Variablen!$I$3:$AT$3, 0))="",L10,INDEX(Variablen!$I:$AT, MATCH(M10, Variablen!$A:$A, 0), MATCH((YEAR(D10)+18), Variablen!$I$3:$AT$3, 0))),L10)))*(IF((YEAR(D10)+18)&lt;YEAR(E10),0,IF((YEAR(D10)+18)&gt;YEAR(E10),1,(12-MONTH(E10)+1)/12))) + (Q10)*(IF((YEAR(D10)+18)&lt;YEAR(E10),0,IF((YEAR(D10)+18)&gt;YEAR(E10),1,(12-MONTH(E10)+1)/12))))-((P10)*(IF((YEAR(D10)+18)&lt;YEAR(E10),0,IF((YEAR(D10)+18)&gt;YEAR(E10),1,(12-MONTH(E10)+1)/12))) + (R10)*(IF((YEAR(D10)+18)&lt;YEAR(E10),0,IF((YEAR(D10)+18)&gt;YEAR(E10),1,(12-MONTH(E10)+1)/12))))-(IF((((K10)*(IF(M10="",L10,IFERROR(IF(INDEX(Variablen!$I:$AT, MATCH(M10, Variablen!$A:$A, 0), MATCH((YEAR(D10)+18), Variablen!$I$3:$AT$3, 0))="",L10,INDEX(Variablen!$I:$AT, MATCH(M10, Variablen!$A:$A, 0), MATCH((YEAR(D10)+18), Variablen!$I$3:$AT$3, 0))),L10)))*(IF((YEAR(D10)+18)&lt;YEAR(E10),0,IF((YEAR(D10)+18)&gt;YEAR(E10),1,(12-MONTH(E10)+1)/12))) + (Q10)*(IF((YEAR(D10)+18)&lt;YEAR(E10),0,IF((YEAR(D10)+18)&gt;YEAR(E10),1,(12-MONTH(E10)+1)/12))))-((P10)*(IF((YEAR(D10)+18)&lt;YEAR(E10),0,IF((YEAR(D10)+18)&gt;YEAR(E10),1,(12-MONTH(E10)+1)/12))) + (R10)*(IF((YEAR(D10)+18)&lt;YEAR(E10),0,IF((YEAR(D10)+18)&gt;YEAR(E10),1,(12-MONTH(E10)+1)/12))))-(IF(OR(N10="",N10&lt;=0),0,(O10/N10)*(IF(OR(N10="",N10&lt;=0),0,IF((YEAR(D10)+18)&lt;YEAR(E10),0,IF((YEAR(D10)+18)&gt;=YEAR(E10)+N10,0,IF((YEAR(D10)+18)=YEAR(E10),(12-MONTH(E10)+1)/12,1))))))))&gt;0,(((K10)*(IF(M10="",L10,IFERROR(IF(INDEX(Variablen!$I:$AT, MATCH(M10, Variablen!$A:$A, 0), MATCH((YEAR(D10)+18), Variablen!$I$3:$AT$3, 0))="",L10,INDEX(Variablen!$I:$AT, MATCH(M10, Variablen!$A:$A, 0), MATCH((YEAR(D10)+18), Variablen!$I$3:$AT$3, 0))),L10)))*(IF((YEAR(D10)+18)&lt;YEAR(E10),0,IF((YEAR(D10)+18)&gt;YEAR(E10),1,(12-MONTH(E10)+1)/12))) + (Q10)*(IF((YEAR(D10)+18)&lt;YEAR(E10),0,IF((YEAR(D10)+18)&gt;YEAR(E10),1,(12-MONTH(E10)+1)/12))))-((P10)*(IF((YEAR(D10)+18)&lt;YEAR(E10),0,IF((YEAR(D10)+18)&gt;YEAR(E10),1,(12-MONTH(E10)+1)/12))) + (R10)*(IF((YEAR(D10)+18)&lt;YEAR(E10),0,IF((YEAR(D10)+18)&gt;YEAR(E10),1,(12-MONTH(E10)+1)/12))))-(IF(OR(N10="",N10&lt;=0),0,(O10/N10)*(IF(OR(N10="",N10&lt;=0),0,IF((YEAR(D10)+18)&lt;YEAR(E10),0,IF((YEAR(D10)+18)&gt;=YEAR(E10)+N10,0,IF((YEAR(D10)+18)=YEAR(E10),(12-MONTH(E10)+1)/12,1))))))))*TaxRate,0))-IF(18=0,O10,0))</f>
        <v/>
      </c>
      <c r="AL10" s="29">
        <f>IF(A10="","",((K10)*(IF(M10="",L10,IFERROR(IF(INDEX(Variablen!$I:$AT, MATCH(M10, Variablen!$A:$A, 0), MATCH((YEAR(D10)+19), Variablen!$I$3:$AT$3, 0))="",L10,INDEX(Variablen!$I:$AT, MATCH(M10, Variablen!$A:$A, 0), MATCH((YEAR(D10)+19), Variablen!$I$3:$AT$3, 0))),L10)))*(IF((YEAR(D10)+19)&lt;YEAR(E10),0,IF((YEAR(D10)+19)&gt;YEAR(E10),1,(12-MONTH(E10)+1)/12))) + (Q10)*(IF((YEAR(D10)+19)&lt;YEAR(E10),0,IF((YEAR(D10)+19)&gt;YEAR(E10),1,(12-MONTH(E10)+1)/12))))-((P10)*(IF((YEAR(D10)+19)&lt;YEAR(E10),0,IF((YEAR(D10)+19)&gt;YEAR(E10),1,(12-MONTH(E10)+1)/12))) + (R10)*(IF((YEAR(D10)+19)&lt;YEAR(E10),0,IF((YEAR(D10)+19)&gt;YEAR(E10),1,(12-MONTH(E10)+1)/12))))-(IF((((K10)*(IF(M10="",L10,IFERROR(IF(INDEX(Variablen!$I:$AT, MATCH(M10, Variablen!$A:$A, 0), MATCH((YEAR(D10)+19), Variablen!$I$3:$AT$3, 0))="",L10,INDEX(Variablen!$I:$AT, MATCH(M10, Variablen!$A:$A, 0), MATCH((YEAR(D10)+19), Variablen!$I$3:$AT$3, 0))),L10)))*(IF((YEAR(D10)+19)&lt;YEAR(E10),0,IF((YEAR(D10)+19)&gt;YEAR(E10),1,(12-MONTH(E10)+1)/12))) + (Q10)*(IF((YEAR(D10)+19)&lt;YEAR(E10),0,IF((YEAR(D10)+19)&gt;YEAR(E10),1,(12-MONTH(E10)+1)/12))))-((P10)*(IF((YEAR(D10)+19)&lt;YEAR(E10),0,IF((YEAR(D10)+19)&gt;YEAR(E10),1,(12-MONTH(E10)+1)/12))) + (R10)*(IF((YEAR(D10)+19)&lt;YEAR(E10),0,IF((YEAR(D10)+19)&gt;YEAR(E10),1,(12-MONTH(E10)+1)/12))))-(IF(OR(N10="",N10&lt;=0),0,(O10/N10)*(IF(OR(N10="",N10&lt;=0),0,IF((YEAR(D10)+19)&lt;YEAR(E10),0,IF((YEAR(D10)+19)&gt;=YEAR(E10)+N10,0,IF((YEAR(D10)+19)=YEAR(E10),(12-MONTH(E10)+1)/12,1))))))))&gt;0,(((K10)*(IF(M10="",L10,IFERROR(IF(INDEX(Variablen!$I:$AT, MATCH(M10, Variablen!$A:$A, 0), MATCH((YEAR(D10)+19), Variablen!$I$3:$AT$3, 0))="",L10,INDEX(Variablen!$I:$AT, MATCH(M10, Variablen!$A:$A, 0), MATCH((YEAR(D10)+19), Variablen!$I$3:$AT$3, 0))),L10)))*(IF((YEAR(D10)+19)&lt;YEAR(E10),0,IF((YEAR(D10)+19)&gt;YEAR(E10),1,(12-MONTH(E10)+1)/12))) + (Q10)*(IF((YEAR(D10)+19)&lt;YEAR(E10),0,IF((YEAR(D10)+19)&gt;YEAR(E10),1,(12-MONTH(E10)+1)/12))))-((P10)*(IF((YEAR(D10)+19)&lt;YEAR(E10),0,IF((YEAR(D10)+19)&gt;YEAR(E10),1,(12-MONTH(E10)+1)/12))) + (R10)*(IF((YEAR(D10)+19)&lt;YEAR(E10),0,IF((YEAR(D10)+19)&gt;YEAR(E10),1,(12-MONTH(E10)+1)/12))))-(IF(OR(N10="",N10&lt;=0),0,(O10/N10)*(IF(OR(N10="",N10&lt;=0),0,IF((YEAR(D10)+19)&lt;YEAR(E10),0,IF((YEAR(D10)+19)&gt;=YEAR(E10)+N10,0,IF((YEAR(D10)+19)=YEAR(E10),(12-MONTH(E10)+1)/12,1))))))))*TaxRate,0))-IF(19=0,O10,0))</f>
        <v/>
      </c>
      <c r="AM10" s="29">
        <f>IF(A10="","",((K10)*(IF(M10="",L10,IFERROR(IF(INDEX(Variablen!$I:$AT, MATCH(M10, Variablen!$A:$A, 0), MATCH((YEAR(D10)+20), Variablen!$I$3:$AT$3, 0))="",L10,INDEX(Variablen!$I:$AT, MATCH(M10, Variablen!$A:$A, 0), MATCH((YEAR(D10)+20), Variablen!$I$3:$AT$3, 0))),L10)))*(IF((YEAR(D10)+20)&lt;YEAR(E10),0,IF((YEAR(D10)+20)&gt;YEAR(E10),1,(12-MONTH(E10)+1)/12))) + (Q10)*(IF((YEAR(D10)+20)&lt;YEAR(E10),0,IF((YEAR(D10)+20)&gt;YEAR(E10),1,(12-MONTH(E10)+1)/12))))-((P10)*(IF((YEAR(D10)+20)&lt;YEAR(E10),0,IF((YEAR(D10)+20)&gt;YEAR(E10),1,(12-MONTH(E10)+1)/12))) + (R10)*(IF((YEAR(D10)+20)&lt;YEAR(E10),0,IF((YEAR(D10)+20)&gt;YEAR(E10),1,(12-MONTH(E10)+1)/12))))-(IF((((K10)*(IF(M10="",L10,IFERROR(IF(INDEX(Variablen!$I:$AT, MATCH(M10, Variablen!$A:$A, 0), MATCH((YEAR(D10)+20), Variablen!$I$3:$AT$3, 0))="",L10,INDEX(Variablen!$I:$AT, MATCH(M10, Variablen!$A:$A, 0), MATCH((YEAR(D10)+20), Variablen!$I$3:$AT$3, 0))),L10)))*(IF((YEAR(D10)+20)&lt;YEAR(E10),0,IF((YEAR(D10)+20)&gt;YEAR(E10),1,(12-MONTH(E10)+1)/12))) + (Q10)*(IF((YEAR(D10)+20)&lt;YEAR(E10),0,IF((YEAR(D10)+20)&gt;YEAR(E10),1,(12-MONTH(E10)+1)/12))))-((P10)*(IF((YEAR(D10)+20)&lt;YEAR(E10),0,IF((YEAR(D10)+20)&gt;YEAR(E10),1,(12-MONTH(E10)+1)/12))) + (R10)*(IF((YEAR(D10)+20)&lt;YEAR(E10),0,IF((YEAR(D10)+20)&gt;YEAR(E10),1,(12-MONTH(E10)+1)/12))))-(IF(OR(N10="",N10&lt;=0),0,(O10/N10)*(IF(OR(N10="",N10&lt;=0),0,IF((YEAR(D10)+20)&lt;YEAR(E10),0,IF((YEAR(D10)+20)&gt;=YEAR(E10)+N10,0,IF((YEAR(D10)+20)=YEAR(E10),(12-MONTH(E10)+1)/12,1))))))))&gt;0,(((K10)*(IF(M10="",L10,IFERROR(IF(INDEX(Variablen!$I:$AT, MATCH(M10, Variablen!$A:$A, 0), MATCH((YEAR(D10)+20), Variablen!$I$3:$AT$3, 0))="",L10,INDEX(Variablen!$I:$AT, MATCH(M10, Variablen!$A:$A, 0), MATCH((YEAR(D10)+20), Variablen!$I$3:$AT$3, 0))),L10)))*(IF((YEAR(D10)+20)&lt;YEAR(E10),0,IF((YEAR(D10)+20)&gt;YEAR(E10),1,(12-MONTH(E10)+1)/12))) + (Q10)*(IF((YEAR(D10)+20)&lt;YEAR(E10),0,IF((YEAR(D10)+20)&gt;YEAR(E10),1,(12-MONTH(E10)+1)/12))))-((P10)*(IF((YEAR(D10)+20)&lt;YEAR(E10),0,IF((YEAR(D10)+20)&gt;YEAR(E10),1,(12-MONTH(E10)+1)/12))) + (R10)*(IF((YEAR(D10)+20)&lt;YEAR(E10),0,IF((YEAR(D10)+20)&gt;YEAR(E10),1,(12-MONTH(E10)+1)/12))))-(IF(OR(N10="",N10&lt;=0),0,(O10/N10)*(IF(OR(N10="",N10&lt;=0),0,IF((YEAR(D10)+20)&lt;YEAR(E10),0,IF((YEAR(D10)+20)&gt;=YEAR(E10)+N10,0,IF((YEAR(D10)+20)=YEAR(E10),(12-MONTH(E10)+1)/12,1))))))))*TaxRate,0))-IF(20=0,O10,0))</f>
        <v/>
      </c>
      <c r="AN10" s="29">
        <f>IF(A10="","",S10)</f>
        <v/>
      </c>
      <c r="AO10" s="29">
        <f>IF(A10="","",AN10+T10)</f>
        <v/>
      </c>
      <c r="AP10" s="29">
        <f>IF(A10="","",AO10+U10)</f>
        <v/>
      </c>
      <c r="AQ10" s="29">
        <f>IF(A10="","",AP10+V10)</f>
        <v/>
      </c>
      <c r="AR10" s="29">
        <f>IF(A10="","",AQ10+W10)</f>
        <v/>
      </c>
      <c r="AS10" s="29">
        <f>IF(A10="","",AR10+X10)</f>
        <v/>
      </c>
      <c r="AT10" s="29">
        <f>IF(A10="","",AS10+Y10)</f>
        <v/>
      </c>
      <c r="AU10" s="29">
        <f>IF(A10="","",AT10+Z10)</f>
        <v/>
      </c>
      <c r="AV10" s="29">
        <f>IF(A10="","",AU10+AA10)</f>
        <v/>
      </c>
      <c r="AW10" s="29">
        <f>IF(A10="","",AV10+AB10)</f>
        <v/>
      </c>
      <c r="AX10" s="29">
        <f>IF(A10="","",AW10+AC10)</f>
        <v/>
      </c>
      <c r="AY10" s="29">
        <f>IF(A10="","",AX10+AD10)</f>
        <v/>
      </c>
      <c r="AZ10" s="29">
        <f>IF(A10="","",AY10+AE10)</f>
        <v/>
      </c>
      <c r="BA10" s="29">
        <f>IF(A10="","",AZ10+AF10)</f>
        <v/>
      </c>
      <c r="BB10" s="29">
        <f>IF(A10="","",BA10+AG10)</f>
        <v/>
      </c>
      <c r="BC10" s="29">
        <f>IF(A10="","",BB10+AH10)</f>
        <v/>
      </c>
      <c r="BD10" s="29">
        <f>IF(A10="","",BC10+AI10)</f>
        <v/>
      </c>
      <c r="BE10" s="29">
        <f>IF(A10="","",BD10+AJ10)</f>
        <v/>
      </c>
      <c r="BF10" s="29">
        <f>IF(A10="","",BE10+AK10)</f>
        <v/>
      </c>
      <c r="BG10" s="29">
        <f>IF(A10="","",BF10+AL10)</f>
        <v/>
      </c>
      <c r="BH10" s="29">
        <f>IF(A10="","",BG10+AM10)</f>
        <v/>
      </c>
      <c r="BI10" s="36">
        <f>IF(A10="","",(K10)*(IF((YEAR(D10)+0)&lt;YEAR(E10),0,IF((YEAR(D10)+0)&gt;YEAR(E10),1,(12-MONTH(E10)+1)/12)))*(1/(1+DiscountRate)^0))</f>
        <v/>
      </c>
      <c r="BJ10" s="36">
        <f>IF(A10="","",(K10)*(IF((YEAR(D10)+1)&lt;YEAR(E10),0,IF((YEAR(D10)+1)&gt;YEAR(E10),1,(12-MONTH(E10)+1)/12)))*(1/(1+DiscountRate)^1))</f>
        <v/>
      </c>
      <c r="BK10" s="36">
        <f>IF(A10="","",(K10)*(IF((YEAR(D10)+2)&lt;YEAR(E10),0,IF((YEAR(D10)+2)&gt;YEAR(E10),1,(12-MONTH(E10)+1)/12)))*(1/(1+DiscountRate)^2))</f>
        <v/>
      </c>
      <c r="BL10" s="36">
        <f>IF(A10="","",(K10)*(IF((YEAR(D10)+3)&lt;YEAR(E10),0,IF((YEAR(D10)+3)&gt;YEAR(E10),1,(12-MONTH(E10)+1)/12)))*(1/(1+DiscountRate)^3))</f>
        <v/>
      </c>
      <c r="BM10" s="36">
        <f>IF(A10="","",(K10)*(IF((YEAR(D10)+4)&lt;YEAR(E10),0,IF((YEAR(D10)+4)&gt;YEAR(E10),1,(12-MONTH(E10)+1)/12)))*(1/(1+DiscountRate)^4))</f>
        <v/>
      </c>
      <c r="BN10" s="36">
        <f>IF(A10="","",(K10)*(IF((YEAR(D10)+5)&lt;YEAR(E10),0,IF((YEAR(D10)+5)&gt;YEAR(E10),1,(12-MONTH(E10)+1)/12)))*(1/(1+DiscountRate)^5))</f>
        <v/>
      </c>
      <c r="BO10" s="36">
        <f>IF(A10="","",(K10)*(IF((YEAR(D10)+6)&lt;YEAR(E10),0,IF((YEAR(D10)+6)&gt;YEAR(E10),1,(12-MONTH(E10)+1)/12)))*(1/(1+DiscountRate)^6))</f>
        <v/>
      </c>
      <c r="BP10" s="36">
        <f>IF(A10="","",(K10)*(IF((YEAR(D10)+7)&lt;YEAR(E10),0,IF((YEAR(D10)+7)&gt;YEAR(E10),1,(12-MONTH(E10)+1)/12)))*(1/(1+DiscountRate)^7))</f>
        <v/>
      </c>
      <c r="BQ10" s="36">
        <f>IF(A10="","",(K10)*(IF((YEAR(D10)+8)&lt;YEAR(E10),0,IF((YEAR(D10)+8)&gt;YEAR(E10),1,(12-MONTH(E10)+1)/12)))*(1/(1+DiscountRate)^8))</f>
        <v/>
      </c>
      <c r="BR10" s="36">
        <f>IF(A10="","",(K10)*(IF((YEAR(D10)+9)&lt;YEAR(E10),0,IF((YEAR(D10)+9)&gt;YEAR(E10),1,(12-MONTH(E10)+1)/12)))*(1/(1+DiscountRate)^9))</f>
        <v/>
      </c>
      <c r="BS10" s="36">
        <f>IF(A10="","",(K10)*(IF((YEAR(D10)+10)&lt;YEAR(E10),0,IF((YEAR(D10)+10)&gt;YEAR(E10),1,(12-MONTH(E10)+1)/12)))*(1/(1+DiscountRate)^10))</f>
        <v/>
      </c>
      <c r="BT10" s="36">
        <f>IF(A10="","",(K10)*(IF((YEAR(D10)+11)&lt;YEAR(E10),0,IF((YEAR(D10)+11)&gt;YEAR(E10),1,(12-MONTH(E10)+1)/12)))*(1/(1+DiscountRate)^11))</f>
        <v/>
      </c>
      <c r="BU10" s="36">
        <f>IF(A10="","",(K10)*(IF((YEAR(D10)+12)&lt;YEAR(E10),0,IF((YEAR(D10)+12)&gt;YEAR(E10),1,(12-MONTH(E10)+1)/12)))*(1/(1+DiscountRate)^12))</f>
        <v/>
      </c>
      <c r="BV10" s="36">
        <f>IF(A10="","",(K10)*(IF((YEAR(D10)+13)&lt;YEAR(E10),0,IF((YEAR(D10)+13)&gt;YEAR(E10),1,(12-MONTH(E10)+1)/12)))*(1/(1+DiscountRate)^13))</f>
        <v/>
      </c>
      <c r="BW10" s="36">
        <f>IF(A10="","",(K10)*(IF((YEAR(D10)+14)&lt;YEAR(E10),0,IF((YEAR(D10)+14)&gt;YEAR(E10),1,(12-MONTH(E10)+1)/12)))*(1/(1+DiscountRate)^14))</f>
        <v/>
      </c>
      <c r="BX10" s="36">
        <f>IF(A10="","",(K10)*(IF((YEAR(D10)+15)&lt;YEAR(E10),0,IF((YEAR(D10)+15)&gt;YEAR(E10),1,(12-MONTH(E10)+1)/12)))*(1/(1+DiscountRate)^15))</f>
        <v/>
      </c>
      <c r="BY10" s="36">
        <f>IF(A10="","",(K10)*(IF((YEAR(D10)+16)&lt;YEAR(E10),0,IF((YEAR(D10)+16)&gt;YEAR(E10),1,(12-MONTH(E10)+1)/12)))*(1/(1+DiscountRate)^16))</f>
        <v/>
      </c>
      <c r="BZ10" s="36">
        <f>IF(A10="","",(K10)*(IF((YEAR(D10)+17)&lt;YEAR(E10),0,IF((YEAR(D10)+17)&gt;YEAR(E10),1,(12-MONTH(E10)+1)/12)))*(1/(1+DiscountRate)^17))</f>
        <v/>
      </c>
      <c r="CA10" s="36">
        <f>IF(A10="","",(K10)*(IF((YEAR(D10)+18)&lt;YEAR(E10),0,IF((YEAR(D10)+18)&gt;YEAR(E10),1,(12-MONTH(E10)+1)/12)))*(1/(1+DiscountRate)^18))</f>
        <v/>
      </c>
      <c r="CB10" s="36">
        <f>IF(A10="","",(K10)*(IF((YEAR(D10)+19)&lt;YEAR(E10),0,IF((YEAR(D10)+19)&gt;YEAR(E10),1,(12-MONTH(E10)+1)/12)))*(1/(1+DiscountRate)^19))</f>
        <v/>
      </c>
      <c r="CC10" s="36">
        <f>IF(A10="","",(K10)*(IF((YEAR(D10)+20)&lt;YEAR(E10),0,IF((YEAR(D10)+20)&gt;YEAR(E10),1,(12-MONTH(E10)+1)/12)))*(1/(1+DiscountRate)^20))</f>
        <v/>
      </c>
      <c r="CD10" s="29">
        <f>IF(A10="","",S10/(1+DiscountRate)^0+T10/(1+DiscountRate)^1+U10/(1+DiscountRate)^2+V10/(1+DiscountRate)^3+W10/(1+DiscountRate)^4+X10/(1+DiscountRate)^5+Y10/(1+DiscountRate)^6+Z10/(1+DiscountRate)^7+AA10/(1+DiscountRate)^8+AB10/(1+DiscountRate)^9+AC10/(1+DiscountRate)^10+AD10/(1+DiscountRate)^11+AE10/(1+DiscountRate)^12+AF10/(1+DiscountRate)^13+AG10/(1+DiscountRate)^14+AH10/(1+DiscountRate)^15+AI10/(1+DiscountRate)^16+AJ10/(1+DiscountRate)^17+AK10/(1+DiscountRate)^18+AL10/(1+DiscountRate)^19+AM10/(1+DiscountRate)^20)</f>
        <v/>
      </c>
      <c r="CE10" s="37">
        <f>IF(A10="","",IFERROR(IRR(OFFSET(S10,0,0,1,MIN(HorizonYears,20)+1)),"n/a"))</f>
        <v/>
      </c>
      <c r="CF10" s="28">
        <f>IF(A10="","",IFERROR(MATCH(TRUE,OFFSET(AN10,0,0,1,MIN(HorizonYears,20)+1)&gt;=0,0)-1,"n/a"))</f>
        <v/>
      </c>
      <c r="CG10" s="36">
        <f>IF(A10="","",SUM(OFFSET(BI10,0,0,1,MIN(HorizonYears,20)+1)))</f>
        <v/>
      </c>
      <c r="CH10" s="36">
        <f>IF(A10="","",IFERROR(-CD10/CG10,"n/a"))</f>
        <v/>
      </c>
    </row>
    <row r="11">
      <c r="A11" s="6">
        <f>Actions!A9</f>
        <v/>
      </c>
      <c r="B11" s="6">
        <f>Actions!B9</f>
        <v/>
      </c>
      <c r="C11" s="6">
        <f>Actions!D9</f>
        <v/>
      </c>
      <c r="D11" s="35">
        <f>Actions!E9</f>
        <v/>
      </c>
      <c r="E11" s="35">
        <f>Actions!F9</f>
        <v/>
      </c>
      <c r="F11" s="6">
        <f>Actions!G9</f>
        <v/>
      </c>
      <c r="G11" s="6">
        <f>Actions!H9</f>
        <v/>
      </c>
      <c r="H11" s="29">
        <f>Actions!I9</f>
        <v/>
      </c>
      <c r="I11" s="6">
        <f>Actions!J9</f>
        <v/>
      </c>
      <c r="J11" s="16">
        <f>Actions!K9</f>
        <v/>
      </c>
      <c r="K11" s="16">
        <f>IF(A11="","",IF(I11="%",H11*J11,J11))</f>
        <v/>
      </c>
      <c r="L11" s="16">
        <f>Actions!L9</f>
        <v/>
      </c>
      <c r="M11" s="6">
        <f>Actions!M9</f>
        <v/>
      </c>
      <c r="N11" s="28">
        <f>Actions!N9</f>
        <v/>
      </c>
      <c r="O11" s="29">
        <f>Actions!T9</f>
        <v/>
      </c>
      <c r="P11" s="29">
        <f>Actions!Y9</f>
        <v/>
      </c>
      <c r="Q11" s="29">
        <f>Actions!Z9</f>
        <v/>
      </c>
      <c r="R11" s="29">
        <f>Actions!AA9</f>
        <v/>
      </c>
      <c r="S11" s="29">
        <f>IF(A11="","",((K11)*(IF(M11="",L11,IFERROR(IF(INDEX(Variablen!$I:$AT, MATCH(M11, Variablen!$A:$A, 0), MATCH((YEAR(D11)+0), Variablen!$I$3:$AT$3, 0))="",L11,INDEX(Variablen!$I:$AT, MATCH(M11, Variablen!$A:$A, 0), MATCH((YEAR(D11)+0), Variablen!$I$3:$AT$3, 0))),L11)))*(IF((YEAR(D11)+0)&lt;YEAR(E11),0,IF((YEAR(D11)+0)&gt;YEAR(E11),1,(12-MONTH(E11)+1)/12))) + (Q11)*(IF((YEAR(D11)+0)&lt;YEAR(E11),0,IF((YEAR(D11)+0)&gt;YEAR(E11),1,(12-MONTH(E11)+1)/12))))-((P11)*(IF((YEAR(D11)+0)&lt;YEAR(E11),0,IF((YEAR(D11)+0)&gt;YEAR(E11),1,(12-MONTH(E11)+1)/12))) + (R11)*(IF((YEAR(D11)+0)&lt;YEAR(E11),0,IF((YEAR(D11)+0)&gt;YEAR(E11),1,(12-MONTH(E11)+1)/12))))-(IF((((K11)*(IF(M11="",L11,IFERROR(IF(INDEX(Variablen!$I:$AT, MATCH(M11, Variablen!$A:$A, 0), MATCH((YEAR(D11)+0), Variablen!$I$3:$AT$3, 0))="",L11,INDEX(Variablen!$I:$AT, MATCH(M11, Variablen!$A:$A, 0), MATCH((YEAR(D11)+0), Variablen!$I$3:$AT$3, 0))),L11)))*(IF((YEAR(D11)+0)&lt;YEAR(E11),0,IF((YEAR(D11)+0)&gt;YEAR(E11),1,(12-MONTH(E11)+1)/12))) + (Q11)*(IF((YEAR(D11)+0)&lt;YEAR(E11),0,IF((YEAR(D11)+0)&gt;YEAR(E11),1,(12-MONTH(E11)+1)/12))))-((P11)*(IF((YEAR(D11)+0)&lt;YEAR(E11),0,IF((YEAR(D11)+0)&gt;YEAR(E11),1,(12-MONTH(E11)+1)/12))) + (R11)*(IF((YEAR(D11)+0)&lt;YEAR(E11),0,IF((YEAR(D11)+0)&gt;YEAR(E11),1,(12-MONTH(E11)+1)/12))))-(IF(OR(N11="",N11&lt;=0),0,(O11/N11)*(IF(OR(N11="",N11&lt;=0),0,IF((YEAR(D11)+0)&lt;YEAR(E11),0,IF((YEAR(D11)+0)&gt;=YEAR(E11)+N11,0,IF((YEAR(D11)+0)=YEAR(E11),(12-MONTH(E11)+1)/12,1))))))))&gt;0,(((K11)*(IF(M11="",L11,IFERROR(IF(INDEX(Variablen!$I:$AT, MATCH(M11, Variablen!$A:$A, 0), MATCH((YEAR(D11)+0), Variablen!$I$3:$AT$3, 0))="",L11,INDEX(Variablen!$I:$AT, MATCH(M11, Variablen!$A:$A, 0), MATCH((YEAR(D11)+0), Variablen!$I$3:$AT$3, 0))),L11)))*(IF((YEAR(D11)+0)&lt;YEAR(E11),0,IF((YEAR(D11)+0)&gt;YEAR(E11),1,(12-MONTH(E11)+1)/12))) + (Q11)*(IF((YEAR(D11)+0)&lt;YEAR(E11),0,IF((YEAR(D11)+0)&gt;YEAR(E11),1,(12-MONTH(E11)+1)/12))))-((P11)*(IF((YEAR(D11)+0)&lt;YEAR(E11),0,IF((YEAR(D11)+0)&gt;YEAR(E11),1,(12-MONTH(E11)+1)/12))) + (R11)*(IF((YEAR(D11)+0)&lt;YEAR(E11),0,IF((YEAR(D11)+0)&gt;YEAR(E11),1,(12-MONTH(E11)+1)/12))))-(IF(OR(N11="",N11&lt;=0),0,(O11/N11)*(IF(OR(N11="",N11&lt;=0),0,IF((YEAR(D11)+0)&lt;YEAR(E11),0,IF((YEAR(D11)+0)&gt;=YEAR(E11)+N11,0,IF((YEAR(D11)+0)=YEAR(E11),(12-MONTH(E11)+1)/12,1))))))))*TaxRate,0))-IF(0=0,O11,0))</f>
        <v/>
      </c>
      <c r="T11" s="29">
        <f>IF(A11="","",((K11)*(IF(M11="",L11,IFERROR(IF(INDEX(Variablen!$I:$AT, MATCH(M11, Variablen!$A:$A, 0), MATCH((YEAR(D11)+1), Variablen!$I$3:$AT$3, 0))="",L11,INDEX(Variablen!$I:$AT, MATCH(M11, Variablen!$A:$A, 0), MATCH((YEAR(D11)+1), Variablen!$I$3:$AT$3, 0))),L11)))*(IF((YEAR(D11)+1)&lt;YEAR(E11),0,IF((YEAR(D11)+1)&gt;YEAR(E11),1,(12-MONTH(E11)+1)/12))) + (Q11)*(IF((YEAR(D11)+1)&lt;YEAR(E11),0,IF((YEAR(D11)+1)&gt;YEAR(E11),1,(12-MONTH(E11)+1)/12))))-((P11)*(IF((YEAR(D11)+1)&lt;YEAR(E11),0,IF((YEAR(D11)+1)&gt;YEAR(E11),1,(12-MONTH(E11)+1)/12))) + (R11)*(IF((YEAR(D11)+1)&lt;YEAR(E11),0,IF((YEAR(D11)+1)&gt;YEAR(E11),1,(12-MONTH(E11)+1)/12))))-(IF((((K11)*(IF(M11="",L11,IFERROR(IF(INDEX(Variablen!$I:$AT, MATCH(M11, Variablen!$A:$A, 0), MATCH((YEAR(D11)+1), Variablen!$I$3:$AT$3, 0))="",L11,INDEX(Variablen!$I:$AT, MATCH(M11, Variablen!$A:$A, 0), MATCH((YEAR(D11)+1), Variablen!$I$3:$AT$3, 0))),L11)))*(IF((YEAR(D11)+1)&lt;YEAR(E11),0,IF((YEAR(D11)+1)&gt;YEAR(E11),1,(12-MONTH(E11)+1)/12))) + (Q11)*(IF((YEAR(D11)+1)&lt;YEAR(E11),0,IF((YEAR(D11)+1)&gt;YEAR(E11),1,(12-MONTH(E11)+1)/12))))-((P11)*(IF((YEAR(D11)+1)&lt;YEAR(E11),0,IF((YEAR(D11)+1)&gt;YEAR(E11),1,(12-MONTH(E11)+1)/12))) + (R11)*(IF((YEAR(D11)+1)&lt;YEAR(E11),0,IF((YEAR(D11)+1)&gt;YEAR(E11),1,(12-MONTH(E11)+1)/12))))-(IF(OR(N11="",N11&lt;=0),0,(O11/N11)*(IF(OR(N11="",N11&lt;=0),0,IF((YEAR(D11)+1)&lt;YEAR(E11),0,IF((YEAR(D11)+1)&gt;=YEAR(E11)+N11,0,IF((YEAR(D11)+1)=YEAR(E11),(12-MONTH(E11)+1)/12,1))))))))&gt;0,(((K11)*(IF(M11="",L11,IFERROR(IF(INDEX(Variablen!$I:$AT, MATCH(M11, Variablen!$A:$A, 0), MATCH((YEAR(D11)+1), Variablen!$I$3:$AT$3, 0))="",L11,INDEX(Variablen!$I:$AT, MATCH(M11, Variablen!$A:$A, 0), MATCH((YEAR(D11)+1), Variablen!$I$3:$AT$3, 0))),L11)))*(IF((YEAR(D11)+1)&lt;YEAR(E11),0,IF((YEAR(D11)+1)&gt;YEAR(E11),1,(12-MONTH(E11)+1)/12))) + (Q11)*(IF((YEAR(D11)+1)&lt;YEAR(E11),0,IF((YEAR(D11)+1)&gt;YEAR(E11),1,(12-MONTH(E11)+1)/12))))-((P11)*(IF((YEAR(D11)+1)&lt;YEAR(E11),0,IF((YEAR(D11)+1)&gt;YEAR(E11),1,(12-MONTH(E11)+1)/12))) + (R11)*(IF((YEAR(D11)+1)&lt;YEAR(E11),0,IF((YEAR(D11)+1)&gt;YEAR(E11),1,(12-MONTH(E11)+1)/12))))-(IF(OR(N11="",N11&lt;=0),0,(O11/N11)*(IF(OR(N11="",N11&lt;=0),0,IF((YEAR(D11)+1)&lt;YEAR(E11),0,IF((YEAR(D11)+1)&gt;=YEAR(E11)+N11,0,IF((YEAR(D11)+1)=YEAR(E11),(12-MONTH(E11)+1)/12,1))))))))*TaxRate,0))-IF(1=0,O11,0))</f>
        <v/>
      </c>
      <c r="U11" s="29">
        <f>IF(A11="","",((K11)*(IF(M11="",L11,IFERROR(IF(INDEX(Variablen!$I:$AT, MATCH(M11, Variablen!$A:$A, 0), MATCH((YEAR(D11)+2), Variablen!$I$3:$AT$3, 0))="",L11,INDEX(Variablen!$I:$AT, MATCH(M11, Variablen!$A:$A, 0), MATCH((YEAR(D11)+2), Variablen!$I$3:$AT$3, 0))),L11)))*(IF((YEAR(D11)+2)&lt;YEAR(E11),0,IF((YEAR(D11)+2)&gt;YEAR(E11),1,(12-MONTH(E11)+1)/12))) + (Q11)*(IF((YEAR(D11)+2)&lt;YEAR(E11),0,IF((YEAR(D11)+2)&gt;YEAR(E11),1,(12-MONTH(E11)+1)/12))))-((P11)*(IF((YEAR(D11)+2)&lt;YEAR(E11),0,IF((YEAR(D11)+2)&gt;YEAR(E11),1,(12-MONTH(E11)+1)/12))) + (R11)*(IF((YEAR(D11)+2)&lt;YEAR(E11),0,IF((YEAR(D11)+2)&gt;YEAR(E11),1,(12-MONTH(E11)+1)/12))))-(IF((((K11)*(IF(M11="",L11,IFERROR(IF(INDEX(Variablen!$I:$AT, MATCH(M11, Variablen!$A:$A, 0), MATCH((YEAR(D11)+2), Variablen!$I$3:$AT$3, 0))="",L11,INDEX(Variablen!$I:$AT, MATCH(M11, Variablen!$A:$A, 0), MATCH((YEAR(D11)+2), Variablen!$I$3:$AT$3, 0))),L11)))*(IF((YEAR(D11)+2)&lt;YEAR(E11),0,IF((YEAR(D11)+2)&gt;YEAR(E11),1,(12-MONTH(E11)+1)/12))) + (Q11)*(IF((YEAR(D11)+2)&lt;YEAR(E11),0,IF((YEAR(D11)+2)&gt;YEAR(E11),1,(12-MONTH(E11)+1)/12))))-((P11)*(IF((YEAR(D11)+2)&lt;YEAR(E11),0,IF((YEAR(D11)+2)&gt;YEAR(E11),1,(12-MONTH(E11)+1)/12))) + (R11)*(IF((YEAR(D11)+2)&lt;YEAR(E11),0,IF((YEAR(D11)+2)&gt;YEAR(E11),1,(12-MONTH(E11)+1)/12))))-(IF(OR(N11="",N11&lt;=0),0,(O11/N11)*(IF(OR(N11="",N11&lt;=0),0,IF((YEAR(D11)+2)&lt;YEAR(E11),0,IF((YEAR(D11)+2)&gt;=YEAR(E11)+N11,0,IF((YEAR(D11)+2)=YEAR(E11),(12-MONTH(E11)+1)/12,1))))))))&gt;0,(((K11)*(IF(M11="",L11,IFERROR(IF(INDEX(Variablen!$I:$AT, MATCH(M11, Variablen!$A:$A, 0), MATCH((YEAR(D11)+2), Variablen!$I$3:$AT$3, 0))="",L11,INDEX(Variablen!$I:$AT, MATCH(M11, Variablen!$A:$A, 0), MATCH((YEAR(D11)+2), Variablen!$I$3:$AT$3, 0))),L11)))*(IF((YEAR(D11)+2)&lt;YEAR(E11),0,IF((YEAR(D11)+2)&gt;YEAR(E11),1,(12-MONTH(E11)+1)/12))) + (Q11)*(IF((YEAR(D11)+2)&lt;YEAR(E11),0,IF((YEAR(D11)+2)&gt;YEAR(E11),1,(12-MONTH(E11)+1)/12))))-((P11)*(IF((YEAR(D11)+2)&lt;YEAR(E11),0,IF((YEAR(D11)+2)&gt;YEAR(E11),1,(12-MONTH(E11)+1)/12))) + (R11)*(IF((YEAR(D11)+2)&lt;YEAR(E11),0,IF((YEAR(D11)+2)&gt;YEAR(E11),1,(12-MONTH(E11)+1)/12))))-(IF(OR(N11="",N11&lt;=0),0,(O11/N11)*(IF(OR(N11="",N11&lt;=0),0,IF((YEAR(D11)+2)&lt;YEAR(E11),0,IF((YEAR(D11)+2)&gt;=YEAR(E11)+N11,0,IF((YEAR(D11)+2)=YEAR(E11),(12-MONTH(E11)+1)/12,1))))))))*TaxRate,0))-IF(2=0,O11,0))</f>
        <v/>
      </c>
      <c r="V11" s="29">
        <f>IF(A11="","",((K11)*(IF(M11="",L11,IFERROR(IF(INDEX(Variablen!$I:$AT, MATCH(M11, Variablen!$A:$A, 0), MATCH((YEAR(D11)+3), Variablen!$I$3:$AT$3, 0))="",L11,INDEX(Variablen!$I:$AT, MATCH(M11, Variablen!$A:$A, 0), MATCH((YEAR(D11)+3), Variablen!$I$3:$AT$3, 0))),L11)))*(IF((YEAR(D11)+3)&lt;YEAR(E11),0,IF((YEAR(D11)+3)&gt;YEAR(E11),1,(12-MONTH(E11)+1)/12))) + (Q11)*(IF((YEAR(D11)+3)&lt;YEAR(E11),0,IF((YEAR(D11)+3)&gt;YEAR(E11),1,(12-MONTH(E11)+1)/12))))-((P11)*(IF((YEAR(D11)+3)&lt;YEAR(E11),0,IF((YEAR(D11)+3)&gt;YEAR(E11),1,(12-MONTH(E11)+1)/12))) + (R11)*(IF((YEAR(D11)+3)&lt;YEAR(E11),0,IF((YEAR(D11)+3)&gt;YEAR(E11),1,(12-MONTH(E11)+1)/12))))-(IF((((K11)*(IF(M11="",L11,IFERROR(IF(INDEX(Variablen!$I:$AT, MATCH(M11, Variablen!$A:$A, 0), MATCH((YEAR(D11)+3), Variablen!$I$3:$AT$3, 0))="",L11,INDEX(Variablen!$I:$AT, MATCH(M11, Variablen!$A:$A, 0), MATCH((YEAR(D11)+3), Variablen!$I$3:$AT$3, 0))),L11)))*(IF((YEAR(D11)+3)&lt;YEAR(E11),0,IF((YEAR(D11)+3)&gt;YEAR(E11),1,(12-MONTH(E11)+1)/12))) + (Q11)*(IF((YEAR(D11)+3)&lt;YEAR(E11),0,IF((YEAR(D11)+3)&gt;YEAR(E11),1,(12-MONTH(E11)+1)/12))))-((P11)*(IF((YEAR(D11)+3)&lt;YEAR(E11),0,IF((YEAR(D11)+3)&gt;YEAR(E11),1,(12-MONTH(E11)+1)/12))) + (R11)*(IF((YEAR(D11)+3)&lt;YEAR(E11),0,IF((YEAR(D11)+3)&gt;YEAR(E11),1,(12-MONTH(E11)+1)/12))))-(IF(OR(N11="",N11&lt;=0),0,(O11/N11)*(IF(OR(N11="",N11&lt;=0),0,IF((YEAR(D11)+3)&lt;YEAR(E11),0,IF((YEAR(D11)+3)&gt;=YEAR(E11)+N11,0,IF((YEAR(D11)+3)=YEAR(E11),(12-MONTH(E11)+1)/12,1))))))))&gt;0,(((K11)*(IF(M11="",L11,IFERROR(IF(INDEX(Variablen!$I:$AT, MATCH(M11, Variablen!$A:$A, 0), MATCH((YEAR(D11)+3), Variablen!$I$3:$AT$3, 0))="",L11,INDEX(Variablen!$I:$AT, MATCH(M11, Variablen!$A:$A, 0), MATCH((YEAR(D11)+3), Variablen!$I$3:$AT$3, 0))),L11)))*(IF((YEAR(D11)+3)&lt;YEAR(E11),0,IF((YEAR(D11)+3)&gt;YEAR(E11),1,(12-MONTH(E11)+1)/12))) + (Q11)*(IF((YEAR(D11)+3)&lt;YEAR(E11),0,IF((YEAR(D11)+3)&gt;YEAR(E11),1,(12-MONTH(E11)+1)/12))))-((P11)*(IF((YEAR(D11)+3)&lt;YEAR(E11),0,IF((YEAR(D11)+3)&gt;YEAR(E11),1,(12-MONTH(E11)+1)/12))) + (R11)*(IF((YEAR(D11)+3)&lt;YEAR(E11),0,IF((YEAR(D11)+3)&gt;YEAR(E11),1,(12-MONTH(E11)+1)/12))))-(IF(OR(N11="",N11&lt;=0),0,(O11/N11)*(IF(OR(N11="",N11&lt;=0),0,IF((YEAR(D11)+3)&lt;YEAR(E11),0,IF((YEAR(D11)+3)&gt;=YEAR(E11)+N11,0,IF((YEAR(D11)+3)=YEAR(E11),(12-MONTH(E11)+1)/12,1))))))))*TaxRate,0))-IF(3=0,O11,0))</f>
        <v/>
      </c>
      <c r="W11" s="29">
        <f>IF(A11="","",((K11)*(IF(M11="",L11,IFERROR(IF(INDEX(Variablen!$I:$AT, MATCH(M11, Variablen!$A:$A, 0), MATCH((YEAR(D11)+4), Variablen!$I$3:$AT$3, 0))="",L11,INDEX(Variablen!$I:$AT, MATCH(M11, Variablen!$A:$A, 0), MATCH((YEAR(D11)+4), Variablen!$I$3:$AT$3, 0))),L11)))*(IF((YEAR(D11)+4)&lt;YEAR(E11),0,IF((YEAR(D11)+4)&gt;YEAR(E11),1,(12-MONTH(E11)+1)/12))) + (Q11)*(IF((YEAR(D11)+4)&lt;YEAR(E11),0,IF((YEAR(D11)+4)&gt;YEAR(E11),1,(12-MONTH(E11)+1)/12))))-((P11)*(IF((YEAR(D11)+4)&lt;YEAR(E11),0,IF((YEAR(D11)+4)&gt;YEAR(E11),1,(12-MONTH(E11)+1)/12))) + (R11)*(IF((YEAR(D11)+4)&lt;YEAR(E11),0,IF((YEAR(D11)+4)&gt;YEAR(E11),1,(12-MONTH(E11)+1)/12))))-(IF((((K11)*(IF(M11="",L11,IFERROR(IF(INDEX(Variablen!$I:$AT, MATCH(M11, Variablen!$A:$A, 0), MATCH((YEAR(D11)+4), Variablen!$I$3:$AT$3, 0))="",L11,INDEX(Variablen!$I:$AT, MATCH(M11, Variablen!$A:$A, 0), MATCH((YEAR(D11)+4), Variablen!$I$3:$AT$3, 0))),L11)))*(IF((YEAR(D11)+4)&lt;YEAR(E11),0,IF((YEAR(D11)+4)&gt;YEAR(E11),1,(12-MONTH(E11)+1)/12))) + (Q11)*(IF((YEAR(D11)+4)&lt;YEAR(E11),0,IF((YEAR(D11)+4)&gt;YEAR(E11),1,(12-MONTH(E11)+1)/12))))-((P11)*(IF((YEAR(D11)+4)&lt;YEAR(E11),0,IF((YEAR(D11)+4)&gt;YEAR(E11),1,(12-MONTH(E11)+1)/12))) + (R11)*(IF((YEAR(D11)+4)&lt;YEAR(E11),0,IF((YEAR(D11)+4)&gt;YEAR(E11),1,(12-MONTH(E11)+1)/12))))-(IF(OR(N11="",N11&lt;=0),0,(O11/N11)*(IF(OR(N11="",N11&lt;=0),0,IF((YEAR(D11)+4)&lt;YEAR(E11),0,IF((YEAR(D11)+4)&gt;=YEAR(E11)+N11,0,IF((YEAR(D11)+4)=YEAR(E11),(12-MONTH(E11)+1)/12,1))))))))&gt;0,(((K11)*(IF(M11="",L11,IFERROR(IF(INDEX(Variablen!$I:$AT, MATCH(M11, Variablen!$A:$A, 0), MATCH((YEAR(D11)+4), Variablen!$I$3:$AT$3, 0))="",L11,INDEX(Variablen!$I:$AT, MATCH(M11, Variablen!$A:$A, 0), MATCH((YEAR(D11)+4), Variablen!$I$3:$AT$3, 0))),L11)))*(IF((YEAR(D11)+4)&lt;YEAR(E11),0,IF((YEAR(D11)+4)&gt;YEAR(E11),1,(12-MONTH(E11)+1)/12))) + (Q11)*(IF((YEAR(D11)+4)&lt;YEAR(E11),0,IF((YEAR(D11)+4)&gt;YEAR(E11),1,(12-MONTH(E11)+1)/12))))-((P11)*(IF((YEAR(D11)+4)&lt;YEAR(E11),0,IF((YEAR(D11)+4)&gt;YEAR(E11),1,(12-MONTH(E11)+1)/12))) + (R11)*(IF((YEAR(D11)+4)&lt;YEAR(E11),0,IF((YEAR(D11)+4)&gt;YEAR(E11),1,(12-MONTH(E11)+1)/12))))-(IF(OR(N11="",N11&lt;=0),0,(O11/N11)*(IF(OR(N11="",N11&lt;=0),0,IF((YEAR(D11)+4)&lt;YEAR(E11),0,IF((YEAR(D11)+4)&gt;=YEAR(E11)+N11,0,IF((YEAR(D11)+4)=YEAR(E11),(12-MONTH(E11)+1)/12,1))))))))*TaxRate,0))-IF(4=0,O11,0))</f>
        <v/>
      </c>
      <c r="X11" s="29">
        <f>IF(A11="","",((K11)*(IF(M11="",L11,IFERROR(IF(INDEX(Variablen!$I:$AT, MATCH(M11, Variablen!$A:$A, 0), MATCH((YEAR(D11)+5), Variablen!$I$3:$AT$3, 0))="",L11,INDEX(Variablen!$I:$AT, MATCH(M11, Variablen!$A:$A, 0), MATCH((YEAR(D11)+5), Variablen!$I$3:$AT$3, 0))),L11)))*(IF((YEAR(D11)+5)&lt;YEAR(E11),0,IF((YEAR(D11)+5)&gt;YEAR(E11),1,(12-MONTH(E11)+1)/12))) + (Q11)*(IF((YEAR(D11)+5)&lt;YEAR(E11),0,IF((YEAR(D11)+5)&gt;YEAR(E11),1,(12-MONTH(E11)+1)/12))))-((P11)*(IF((YEAR(D11)+5)&lt;YEAR(E11),0,IF((YEAR(D11)+5)&gt;YEAR(E11),1,(12-MONTH(E11)+1)/12))) + (R11)*(IF((YEAR(D11)+5)&lt;YEAR(E11),0,IF((YEAR(D11)+5)&gt;YEAR(E11),1,(12-MONTH(E11)+1)/12))))-(IF((((K11)*(IF(M11="",L11,IFERROR(IF(INDEX(Variablen!$I:$AT, MATCH(M11, Variablen!$A:$A, 0), MATCH((YEAR(D11)+5), Variablen!$I$3:$AT$3, 0))="",L11,INDEX(Variablen!$I:$AT, MATCH(M11, Variablen!$A:$A, 0), MATCH((YEAR(D11)+5), Variablen!$I$3:$AT$3, 0))),L11)))*(IF((YEAR(D11)+5)&lt;YEAR(E11),0,IF((YEAR(D11)+5)&gt;YEAR(E11),1,(12-MONTH(E11)+1)/12))) + (Q11)*(IF((YEAR(D11)+5)&lt;YEAR(E11),0,IF((YEAR(D11)+5)&gt;YEAR(E11),1,(12-MONTH(E11)+1)/12))))-((P11)*(IF((YEAR(D11)+5)&lt;YEAR(E11),0,IF((YEAR(D11)+5)&gt;YEAR(E11),1,(12-MONTH(E11)+1)/12))) + (R11)*(IF((YEAR(D11)+5)&lt;YEAR(E11),0,IF((YEAR(D11)+5)&gt;YEAR(E11),1,(12-MONTH(E11)+1)/12))))-(IF(OR(N11="",N11&lt;=0),0,(O11/N11)*(IF(OR(N11="",N11&lt;=0),0,IF((YEAR(D11)+5)&lt;YEAR(E11),0,IF((YEAR(D11)+5)&gt;=YEAR(E11)+N11,0,IF((YEAR(D11)+5)=YEAR(E11),(12-MONTH(E11)+1)/12,1))))))))&gt;0,(((K11)*(IF(M11="",L11,IFERROR(IF(INDEX(Variablen!$I:$AT, MATCH(M11, Variablen!$A:$A, 0), MATCH((YEAR(D11)+5), Variablen!$I$3:$AT$3, 0))="",L11,INDEX(Variablen!$I:$AT, MATCH(M11, Variablen!$A:$A, 0), MATCH((YEAR(D11)+5), Variablen!$I$3:$AT$3, 0))),L11)))*(IF((YEAR(D11)+5)&lt;YEAR(E11),0,IF((YEAR(D11)+5)&gt;YEAR(E11),1,(12-MONTH(E11)+1)/12))) + (Q11)*(IF((YEAR(D11)+5)&lt;YEAR(E11),0,IF((YEAR(D11)+5)&gt;YEAR(E11),1,(12-MONTH(E11)+1)/12))))-((P11)*(IF((YEAR(D11)+5)&lt;YEAR(E11),0,IF((YEAR(D11)+5)&gt;YEAR(E11),1,(12-MONTH(E11)+1)/12))) + (R11)*(IF((YEAR(D11)+5)&lt;YEAR(E11),0,IF((YEAR(D11)+5)&gt;YEAR(E11),1,(12-MONTH(E11)+1)/12))))-(IF(OR(N11="",N11&lt;=0),0,(O11/N11)*(IF(OR(N11="",N11&lt;=0),0,IF((YEAR(D11)+5)&lt;YEAR(E11),0,IF((YEAR(D11)+5)&gt;=YEAR(E11)+N11,0,IF((YEAR(D11)+5)=YEAR(E11),(12-MONTH(E11)+1)/12,1))))))))*TaxRate,0))-IF(5=0,O11,0))</f>
        <v/>
      </c>
      <c r="Y11" s="29">
        <f>IF(A11="","",((K11)*(IF(M11="",L11,IFERROR(IF(INDEX(Variablen!$I:$AT, MATCH(M11, Variablen!$A:$A, 0), MATCH((YEAR(D11)+6), Variablen!$I$3:$AT$3, 0))="",L11,INDEX(Variablen!$I:$AT, MATCH(M11, Variablen!$A:$A, 0), MATCH((YEAR(D11)+6), Variablen!$I$3:$AT$3, 0))),L11)))*(IF((YEAR(D11)+6)&lt;YEAR(E11),0,IF((YEAR(D11)+6)&gt;YEAR(E11),1,(12-MONTH(E11)+1)/12))) + (Q11)*(IF((YEAR(D11)+6)&lt;YEAR(E11),0,IF((YEAR(D11)+6)&gt;YEAR(E11),1,(12-MONTH(E11)+1)/12))))-((P11)*(IF((YEAR(D11)+6)&lt;YEAR(E11),0,IF((YEAR(D11)+6)&gt;YEAR(E11),1,(12-MONTH(E11)+1)/12))) + (R11)*(IF((YEAR(D11)+6)&lt;YEAR(E11),0,IF((YEAR(D11)+6)&gt;YEAR(E11),1,(12-MONTH(E11)+1)/12))))-(IF((((K11)*(IF(M11="",L11,IFERROR(IF(INDEX(Variablen!$I:$AT, MATCH(M11, Variablen!$A:$A, 0), MATCH((YEAR(D11)+6), Variablen!$I$3:$AT$3, 0))="",L11,INDEX(Variablen!$I:$AT, MATCH(M11, Variablen!$A:$A, 0), MATCH((YEAR(D11)+6), Variablen!$I$3:$AT$3, 0))),L11)))*(IF((YEAR(D11)+6)&lt;YEAR(E11),0,IF((YEAR(D11)+6)&gt;YEAR(E11),1,(12-MONTH(E11)+1)/12))) + (Q11)*(IF((YEAR(D11)+6)&lt;YEAR(E11),0,IF((YEAR(D11)+6)&gt;YEAR(E11),1,(12-MONTH(E11)+1)/12))))-((P11)*(IF((YEAR(D11)+6)&lt;YEAR(E11),0,IF((YEAR(D11)+6)&gt;YEAR(E11),1,(12-MONTH(E11)+1)/12))) + (R11)*(IF((YEAR(D11)+6)&lt;YEAR(E11),0,IF((YEAR(D11)+6)&gt;YEAR(E11),1,(12-MONTH(E11)+1)/12))))-(IF(OR(N11="",N11&lt;=0),0,(O11/N11)*(IF(OR(N11="",N11&lt;=0),0,IF((YEAR(D11)+6)&lt;YEAR(E11),0,IF((YEAR(D11)+6)&gt;=YEAR(E11)+N11,0,IF((YEAR(D11)+6)=YEAR(E11),(12-MONTH(E11)+1)/12,1))))))))&gt;0,(((K11)*(IF(M11="",L11,IFERROR(IF(INDEX(Variablen!$I:$AT, MATCH(M11, Variablen!$A:$A, 0), MATCH((YEAR(D11)+6), Variablen!$I$3:$AT$3, 0))="",L11,INDEX(Variablen!$I:$AT, MATCH(M11, Variablen!$A:$A, 0), MATCH((YEAR(D11)+6), Variablen!$I$3:$AT$3, 0))),L11)))*(IF((YEAR(D11)+6)&lt;YEAR(E11),0,IF((YEAR(D11)+6)&gt;YEAR(E11),1,(12-MONTH(E11)+1)/12))) + (Q11)*(IF((YEAR(D11)+6)&lt;YEAR(E11),0,IF((YEAR(D11)+6)&gt;YEAR(E11),1,(12-MONTH(E11)+1)/12))))-((P11)*(IF((YEAR(D11)+6)&lt;YEAR(E11),0,IF((YEAR(D11)+6)&gt;YEAR(E11),1,(12-MONTH(E11)+1)/12))) + (R11)*(IF((YEAR(D11)+6)&lt;YEAR(E11),0,IF((YEAR(D11)+6)&gt;YEAR(E11),1,(12-MONTH(E11)+1)/12))))-(IF(OR(N11="",N11&lt;=0),0,(O11/N11)*(IF(OR(N11="",N11&lt;=0),0,IF((YEAR(D11)+6)&lt;YEAR(E11),0,IF((YEAR(D11)+6)&gt;=YEAR(E11)+N11,0,IF((YEAR(D11)+6)=YEAR(E11),(12-MONTH(E11)+1)/12,1))))))))*TaxRate,0))-IF(6=0,O11,0))</f>
        <v/>
      </c>
      <c r="Z11" s="29">
        <f>IF(A11="","",((K11)*(IF(M11="",L11,IFERROR(IF(INDEX(Variablen!$I:$AT, MATCH(M11, Variablen!$A:$A, 0), MATCH((YEAR(D11)+7), Variablen!$I$3:$AT$3, 0))="",L11,INDEX(Variablen!$I:$AT, MATCH(M11, Variablen!$A:$A, 0), MATCH((YEAR(D11)+7), Variablen!$I$3:$AT$3, 0))),L11)))*(IF((YEAR(D11)+7)&lt;YEAR(E11),0,IF((YEAR(D11)+7)&gt;YEAR(E11),1,(12-MONTH(E11)+1)/12))) + (Q11)*(IF((YEAR(D11)+7)&lt;YEAR(E11),0,IF((YEAR(D11)+7)&gt;YEAR(E11),1,(12-MONTH(E11)+1)/12))))-((P11)*(IF((YEAR(D11)+7)&lt;YEAR(E11),0,IF((YEAR(D11)+7)&gt;YEAR(E11),1,(12-MONTH(E11)+1)/12))) + (R11)*(IF((YEAR(D11)+7)&lt;YEAR(E11),0,IF((YEAR(D11)+7)&gt;YEAR(E11),1,(12-MONTH(E11)+1)/12))))-(IF((((K11)*(IF(M11="",L11,IFERROR(IF(INDEX(Variablen!$I:$AT, MATCH(M11, Variablen!$A:$A, 0), MATCH((YEAR(D11)+7), Variablen!$I$3:$AT$3, 0))="",L11,INDEX(Variablen!$I:$AT, MATCH(M11, Variablen!$A:$A, 0), MATCH((YEAR(D11)+7), Variablen!$I$3:$AT$3, 0))),L11)))*(IF((YEAR(D11)+7)&lt;YEAR(E11),0,IF((YEAR(D11)+7)&gt;YEAR(E11),1,(12-MONTH(E11)+1)/12))) + (Q11)*(IF((YEAR(D11)+7)&lt;YEAR(E11),0,IF((YEAR(D11)+7)&gt;YEAR(E11),1,(12-MONTH(E11)+1)/12))))-((P11)*(IF((YEAR(D11)+7)&lt;YEAR(E11),0,IF((YEAR(D11)+7)&gt;YEAR(E11),1,(12-MONTH(E11)+1)/12))) + (R11)*(IF((YEAR(D11)+7)&lt;YEAR(E11),0,IF((YEAR(D11)+7)&gt;YEAR(E11),1,(12-MONTH(E11)+1)/12))))-(IF(OR(N11="",N11&lt;=0),0,(O11/N11)*(IF(OR(N11="",N11&lt;=0),0,IF((YEAR(D11)+7)&lt;YEAR(E11),0,IF((YEAR(D11)+7)&gt;=YEAR(E11)+N11,0,IF((YEAR(D11)+7)=YEAR(E11),(12-MONTH(E11)+1)/12,1))))))))&gt;0,(((K11)*(IF(M11="",L11,IFERROR(IF(INDEX(Variablen!$I:$AT, MATCH(M11, Variablen!$A:$A, 0), MATCH((YEAR(D11)+7), Variablen!$I$3:$AT$3, 0))="",L11,INDEX(Variablen!$I:$AT, MATCH(M11, Variablen!$A:$A, 0), MATCH((YEAR(D11)+7), Variablen!$I$3:$AT$3, 0))),L11)))*(IF((YEAR(D11)+7)&lt;YEAR(E11),0,IF((YEAR(D11)+7)&gt;YEAR(E11),1,(12-MONTH(E11)+1)/12))) + (Q11)*(IF((YEAR(D11)+7)&lt;YEAR(E11),0,IF((YEAR(D11)+7)&gt;YEAR(E11),1,(12-MONTH(E11)+1)/12))))-((P11)*(IF((YEAR(D11)+7)&lt;YEAR(E11),0,IF((YEAR(D11)+7)&gt;YEAR(E11),1,(12-MONTH(E11)+1)/12))) + (R11)*(IF((YEAR(D11)+7)&lt;YEAR(E11),0,IF((YEAR(D11)+7)&gt;YEAR(E11),1,(12-MONTH(E11)+1)/12))))-(IF(OR(N11="",N11&lt;=0),0,(O11/N11)*(IF(OR(N11="",N11&lt;=0),0,IF((YEAR(D11)+7)&lt;YEAR(E11),0,IF((YEAR(D11)+7)&gt;=YEAR(E11)+N11,0,IF((YEAR(D11)+7)=YEAR(E11),(12-MONTH(E11)+1)/12,1))))))))*TaxRate,0))-IF(7=0,O11,0))</f>
        <v/>
      </c>
      <c r="AA11" s="29">
        <f>IF(A11="","",((K11)*(IF(M11="",L11,IFERROR(IF(INDEX(Variablen!$I:$AT, MATCH(M11, Variablen!$A:$A, 0), MATCH((YEAR(D11)+8), Variablen!$I$3:$AT$3, 0))="",L11,INDEX(Variablen!$I:$AT, MATCH(M11, Variablen!$A:$A, 0), MATCH((YEAR(D11)+8), Variablen!$I$3:$AT$3, 0))),L11)))*(IF((YEAR(D11)+8)&lt;YEAR(E11),0,IF((YEAR(D11)+8)&gt;YEAR(E11),1,(12-MONTH(E11)+1)/12))) + (Q11)*(IF((YEAR(D11)+8)&lt;YEAR(E11),0,IF((YEAR(D11)+8)&gt;YEAR(E11),1,(12-MONTH(E11)+1)/12))))-((P11)*(IF((YEAR(D11)+8)&lt;YEAR(E11),0,IF((YEAR(D11)+8)&gt;YEAR(E11),1,(12-MONTH(E11)+1)/12))) + (R11)*(IF((YEAR(D11)+8)&lt;YEAR(E11),0,IF((YEAR(D11)+8)&gt;YEAR(E11),1,(12-MONTH(E11)+1)/12))))-(IF((((K11)*(IF(M11="",L11,IFERROR(IF(INDEX(Variablen!$I:$AT, MATCH(M11, Variablen!$A:$A, 0), MATCH((YEAR(D11)+8), Variablen!$I$3:$AT$3, 0))="",L11,INDEX(Variablen!$I:$AT, MATCH(M11, Variablen!$A:$A, 0), MATCH((YEAR(D11)+8), Variablen!$I$3:$AT$3, 0))),L11)))*(IF((YEAR(D11)+8)&lt;YEAR(E11),0,IF((YEAR(D11)+8)&gt;YEAR(E11),1,(12-MONTH(E11)+1)/12))) + (Q11)*(IF((YEAR(D11)+8)&lt;YEAR(E11),0,IF((YEAR(D11)+8)&gt;YEAR(E11),1,(12-MONTH(E11)+1)/12))))-((P11)*(IF((YEAR(D11)+8)&lt;YEAR(E11),0,IF((YEAR(D11)+8)&gt;YEAR(E11),1,(12-MONTH(E11)+1)/12))) + (R11)*(IF((YEAR(D11)+8)&lt;YEAR(E11),0,IF((YEAR(D11)+8)&gt;YEAR(E11),1,(12-MONTH(E11)+1)/12))))-(IF(OR(N11="",N11&lt;=0),0,(O11/N11)*(IF(OR(N11="",N11&lt;=0),0,IF((YEAR(D11)+8)&lt;YEAR(E11),0,IF((YEAR(D11)+8)&gt;=YEAR(E11)+N11,0,IF((YEAR(D11)+8)=YEAR(E11),(12-MONTH(E11)+1)/12,1))))))))&gt;0,(((K11)*(IF(M11="",L11,IFERROR(IF(INDEX(Variablen!$I:$AT, MATCH(M11, Variablen!$A:$A, 0), MATCH((YEAR(D11)+8), Variablen!$I$3:$AT$3, 0))="",L11,INDEX(Variablen!$I:$AT, MATCH(M11, Variablen!$A:$A, 0), MATCH((YEAR(D11)+8), Variablen!$I$3:$AT$3, 0))),L11)))*(IF((YEAR(D11)+8)&lt;YEAR(E11),0,IF((YEAR(D11)+8)&gt;YEAR(E11),1,(12-MONTH(E11)+1)/12))) + (Q11)*(IF((YEAR(D11)+8)&lt;YEAR(E11),0,IF((YEAR(D11)+8)&gt;YEAR(E11),1,(12-MONTH(E11)+1)/12))))-((P11)*(IF((YEAR(D11)+8)&lt;YEAR(E11),0,IF((YEAR(D11)+8)&gt;YEAR(E11),1,(12-MONTH(E11)+1)/12))) + (R11)*(IF((YEAR(D11)+8)&lt;YEAR(E11),0,IF((YEAR(D11)+8)&gt;YEAR(E11),1,(12-MONTH(E11)+1)/12))))-(IF(OR(N11="",N11&lt;=0),0,(O11/N11)*(IF(OR(N11="",N11&lt;=0),0,IF((YEAR(D11)+8)&lt;YEAR(E11),0,IF((YEAR(D11)+8)&gt;=YEAR(E11)+N11,0,IF((YEAR(D11)+8)=YEAR(E11),(12-MONTH(E11)+1)/12,1))))))))*TaxRate,0))-IF(8=0,O11,0))</f>
        <v/>
      </c>
      <c r="AB11" s="29">
        <f>IF(A11="","",((K11)*(IF(M11="",L11,IFERROR(IF(INDEX(Variablen!$I:$AT, MATCH(M11, Variablen!$A:$A, 0), MATCH((YEAR(D11)+9), Variablen!$I$3:$AT$3, 0))="",L11,INDEX(Variablen!$I:$AT, MATCH(M11, Variablen!$A:$A, 0), MATCH((YEAR(D11)+9), Variablen!$I$3:$AT$3, 0))),L11)))*(IF((YEAR(D11)+9)&lt;YEAR(E11),0,IF((YEAR(D11)+9)&gt;YEAR(E11),1,(12-MONTH(E11)+1)/12))) + (Q11)*(IF((YEAR(D11)+9)&lt;YEAR(E11),0,IF((YEAR(D11)+9)&gt;YEAR(E11),1,(12-MONTH(E11)+1)/12))))-((P11)*(IF((YEAR(D11)+9)&lt;YEAR(E11),0,IF((YEAR(D11)+9)&gt;YEAR(E11),1,(12-MONTH(E11)+1)/12))) + (R11)*(IF((YEAR(D11)+9)&lt;YEAR(E11),0,IF((YEAR(D11)+9)&gt;YEAR(E11),1,(12-MONTH(E11)+1)/12))))-(IF((((K11)*(IF(M11="",L11,IFERROR(IF(INDEX(Variablen!$I:$AT, MATCH(M11, Variablen!$A:$A, 0), MATCH((YEAR(D11)+9), Variablen!$I$3:$AT$3, 0))="",L11,INDEX(Variablen!$I:$AT, MATCH(M11, Variablen!$A:$A, 0), MATCH((YEAR(D11)+9), Variablen!$I$3:$AT$3, 0))),L11)))*(IF((YEAR(D11)+9)&lt;YEAR(E11),0,IF((YEAR(D11)+9)&gt;YEAR(E11),1,(12-MONTH(E11)+1)/12))) + (Q11)*(IF((YEAR(D11)+9)&lt;YEAR(E11),0,IF((YEAR(D11)+9)&gt;YEAR(E11),1,(12-MONTH(E11)+1)/12))))-((P11)*(IF((YEAR(D11)+9)&lt;YEAR(E11),0,IF((YEAR(D11)+9)&gt;YEAR(E11),1,(12-MONTH(E11)+1)/12))) + (R11)*(IF((YEAR(D11)+9)&lt;YEAR(E11),0,IF((YEAR(D11)+9)&gt;YEAR(E11),1,(12-MONTH(E11)+1)/12))))-(IF(OR(N11="",N11&lt;=0),0,(O11/N11)*(IF(OR(N11="",N11&lt;=0),0,IF((YEAR(D11)+9)&lt;YEAR(E11),0,IF((YEAR(D11)+9)&gt;=YEAR(E11)+N11,0,IF((YEAR(D11)+9)=YEAR(E11),(12-MONTH(E11)+1)/12,1))))))))&gt;0,(((K11)*(IF(M11="",L11,IFERROR(IF(INDEX(Variablen!$I:$AT, MATCH(M11, Variablen!$A:$A, 0), MATCH((YEAR(D11)+9), Variablen!$I$3:$AT$3, 0))="",L11,INDEX(Variablen!$I:$AT, MATCH(M11, Variablen!$A:$A, 0), MATCH((YEAR(D11)+9), Variablen!$I$3:$AT$3, 0))),L11)))*(IF((YEAR(D11)+9)&lt;YEAR(E11),0,IF((YEAR(D11)+9)&gt;YEAR(E11),1,(12-MONTH(E11)+1)/12))) + (Q11)*(IF((YEAR(D11)+9)&lt;YEAR(E11),0,IF((YEAR(D11)+9)&gt;YEAR(E11),1,(12-MONTH(E11)+1)/12))))-((P11)*(IF((YEAR(D11)+9)&lt;YEAR(E11),0,IF((YEAR(D11)+9)&gt;YEAR(E11),1,(12-MONTH(E11)+1)/12))) + (R11)*(IF((YEAR(D11)+9)&lt;YEAR(E11),0,IF((YEAR(D11)+9)&gt;YEAR(E11),1,(12-MONTH(E11)+1)/12))))-(IF(OR(N11="",N11&lt;=0),0,(O11/N11)*(IF(OR(N11="",N11&lt;=0),0,IF((YEAR(D11)+9)&lt;YEAR(E11),0,IF((YEAR(D11)+9)&gt;=YEAR(E11)+N11,0,IF((YEAR(D11)+9)=YEAR(E11),(12-MONTH(E11)+1)/12,1))))))))*TaxRate,0))-IF(9=0,O11,0))</f>
        <v/>
      </c>
      <c r="AC11" s="29">
        <f>IF(A11="","",((K11)*(IF(M11="",L11,IFERROR(IF(INDEX(Variablen!$I:$AT, MATCH(M11, Variablen!$A:$A, 0), MATCH((YEAR(D11)+10), Variablen!$I$3:$AT$3, 0))="",L11,INDEX(Variablen!$I:$AT, MATCH(M11, Variablen!$A:$A, 0), MATCH((YEAR(D11)+10), Variablen!$I$3:$AT$3, 0))),L11)))*(IF((YEAR(D11)+10)&lt;YEAR(E11),0,IF((YEAR(D11)+10)&gt;YEAR(E11),1,(12-MONTH(E11)+1)/12))) + (Q11)*(IF((YEAR(D11)+10)&lt;YEAR(E11),0,IF((YEAR(D11)+10)&gt;YEAR(E11),1,(12-MONTH(E11)+1)/12))))-((P11)*(IF((YEAR(D11)+10)&lt;YEAR(E11),0,IF((YEAR(D11)+10)&gt;YEAR(E11),1,(12-MONTH(E11)+1)/12))) + (R11)*(IF((YEAR(D11)+10)&lt;YEAR(E11),0,IF((YEAR(D11)+10)&gt;YEAR(E11),1,(12-MONTH(E11)+1)/12))))-(IF((((K11)*(IF(M11="",L11,IFERROR(IF(INDEX(Variablen!$I:$AT, MATCH(M11, Variablen!$A:$A, 0), MATCH((YEAR(D11)+10), Variablen!$I$3:$AT$3, 0))="",L11,INDEX(Variablen!$I:$AT, MATCH(M11, Variablen!$A:$A, 0), MATCH((YEAR(D11)+10), Variablen!$I$3:$AT$3, 0))),L11)))*(IF((YEAR(D11)+10)&lt;YEAR(E11),0,IF((YEAR(D11)+10)&gt;YEAR(E11),1,(12-MONTH(E11)+1)/12))) + (Q11)*(IF((YEAR(D11)+10)&lt;YEAR(E11),0,IF((YEAR(D11)+10)&gt;YEAR(E11),1,(12-MONTH(E11)+1)/12))))-((P11)*(IF((YEAR(D11)+10)&lt;YEAR(E11),0,IF((YEAR(D11)+10)&gt;YEAR(E11),1,(12-MONTH(E11)+1)/12))) + (R11)*(IF((YEAR(D11)+10)&lt;YEAR(E11),0,IF((YEAR(D11)+10)&gt;YEAR(E11),1,(12-MONTH(E11)+1)/12))))-(IF(OR(N11="",N11&lt;=0),0,(O11/N11)*(IF(OR(N11="",N11&lt;=0),0,IF((YEAR(D11)+10)&lt;YEAR(E11),0,IF((YEAR(D11)+10)&gt;=YEAR(E11)+N11,0,IF((YEAR(D11)+10)=YEAR(E11),(12-MONTH(E11)+1)/12,1))))))))&gt;0,(((K11)*(IF(M11="",L11,IFERROR(IF(INDEX(Variablen!$I:$AT, MATCH(M11, Variablen!$A:$A, 0), MATCH((YEAR(D11)+10), Variablen!$I$3:$AT$3, 0))="",L11,INDEX(Variablen!$I:$AT, MATCH(M11, Variablen!$A:$A, 0), MATCH((YEAR(D11)+10), Variablen!$I$3:$AT$3, 0))),L11)))*(IF((YEAR(D11)+10)&lt;YEAR(E11),0,IF((YEAR(D11)+10)&gt;YEAR(E11),1,(12-MONTH(E11)+1)/12))) + (Q11)*(IF((YEAR(D11)+10)&lt;YEAR(E11),0,IF((YEAR(D11)+10)&gt;YEAR(E11),1,(12-MONTH(E11)+1)/12))))-((P11)*(IF((YEAR(D11)+10)&lt;YEAR(E11),0,IF((YEAR(D11)+10)&gt;YEAR(E11),1,(12-MONTH(E11)+1)/12))) + (R11)*(IF((YEAR(D11)+10)&lt;YEAR(E11),0,IF((YEAR(D11)+10)&gt;YEAR(E11),1,(12-MONTH(E11)+1)/12))))-(IF(OR(N11="",N11&lt;=0),0,(O11/N11)*(IF(OR(N11="",N11&lt;=0),0,IF((YEAR(D11)+10)&lt;YEAR(E11),0,IF((YEAR(D11)+10)&gt;=YEAR(E11)+N11,0,IF((YEAR(D11)+10)=YEAR(E11),(12-MONTH(E11)+1)/12,1))))))))*TaxRate,0))-IF(10=0,O11,0))</f>
        <v/>
      </c>
      <c r="AD11" s="29">
        <f>IF(A11="","",((K11)*(IF(M11="",L11,IFERROR(IF(INDEX(Variablen!$I:$AT, MATCH(M11, Variablen!$A:$A, 0), MATCH((YEAR(D11)+11), Variablen!$I$3:$AT$3, 0))="",L11,INDEX(Variablen!$I:$AT, MATCH(M11, Variablen!$A:$A, 0), MATCH((YEAR(D11)+11), Variablen!$I$3:$AT$3, 0))),L11)))*(IF((YEAR(D11)+11)&lt;YEAR(E11),0,IF((YEAR(D11)+11)&gt;YEAR(E11),1,(12-MONTH(E11)+1)/12))) + (Q11)*(IF((YEAR(D11)+11)&lt;YEAR(E11),0,IF((YEAR(D11)+11)&gt;YEAR(E11),1,(12-MONTH(E11)+1)/12))))-((P11)*(IF((YEAR(D11)+11)&lt;YEAR(E11),0,IF((YEAR(D11)+11)&gt;YEAR(E11),1,(12-MONTH(E11)+1)/12))) + (R11)*(IF((YEAR(D11)+11)&lt;YEAR(E11),0,IF((YEAR(D11)+11)&gt;YEAR(E11),1,(12-MONTH(E11)+1)/12))))-(IF((((K11)*(IF(M11="",L11,IFERROR(IF(INDEX(Variablen!$I:$AT, MATCH(M11, Variablen!$A:$A, 0), MATCH((YEAR(D11)+11), Variablen!$I$3:$AT$3, 0))="",L11,INDEX(Variablen!$I:$AT, MATCH(M11, Variablen!$A:$A, 0), MATCH((YEAR(D11)+11), Variablen!$I$3:$AT$3, 0))),L11)))*(IF((YEAR(D11)+11)&lt;YEAR(E11),0,IF((YEAR(D11)+11)&gt;YEAR(E11),1,(12-MONTH(E11)+1)/12))) + (Q11)*(IF((YEAR(D11)+11)&lt;YEAR(E11),0,IF((YEAR(D11)+11)&gt;YEAR(E11),1,(12-MONTH(E11)+1)/12))))-((P11)*(IF((YEAR(D11)+11)&lt;YEAR(E11),0,IF((YEAR(D11)+11)&gt;YEAR(E11),1,(12-MONTH(E11)+1)/12))) + (R11)*(IF((YEAR(D11)+11)&lt;YEAR(E11),0,IF((YEAR(D11)+11)&gt;YEAR(E11),1,(12-MONTH(E11)+1)/12))))-(IF(OR(N11="",N11&lt;=0),0,(O11/N11)*(IF(OR(N11="",N11&lt;=0),0,IF((YEAR(D11)+11)&lt;YEAR(E11),0,IF((YEAR(D11)+11)&gt;=YEAR(E11)+N11,0,IF((YEAR(D11)+11)=YEAR(E11),(12-MONTH(E11)+1)/12,1))))))))&gt;0,(((K11)*(IF(M11="",L11,IFERROR(IF(INDEX(Variablen!$I:$AT, MATCH(M11, Variablen!$A:$A, 0), MATCH((YEAR(D11)+11), Variablen!$I$3:$AT$3, 0))="",L11,INDEX(Variablen!$I:$AT, MATCH(M11, Variablen!$A:$A, 0), MATCH((YEAR(D11)+11), Variablen!$I$3:$AT$3, 0))),L11)))*(IF((YEAR(D11)+11)&lt;YEAR(E11),0,IF((YEAR(D11)+11)&gt;YEAR(E11),1,(12-MONTH(E11)+1)/12))) + (Q11)*(IF((YEAR(D11)+11)&lt;YEAR(E11),0,IF((YEAR(D11)+11)&gt;YEAR(E11),1,(12-MONTH(E11)+1)/12))))-((P11)*(IF((YEAR(D11)+11)&lt;YEAR(E11),0,IF((YEAR(D11)+11)&gt;YEAR(E11),1,(12-MONTH(E11)+1)/12))) + (R11)*(IF((YEAR(D11)+11)&lt;YEAR(E11),0,IF((YEAR(D11)+11)&gt;YEAR(E11),1,(12-MONTH(E11)+1)/12))))-(IF(OR(N11="",N11&lt;=0),0,(O11/N11)*(IF(OR(N11="",N11&lt;=0),0,IF((YEAR(D11)+11)&lt;YEAR(E11),0,IF((YEAR(D11)+11)&gt;=YEAR(E11)+N11,0,IF((YEAR(D11)+11)=YEAR(E11),(12-MONTH(E11)+1)/12,1))))))))*TaxRate,0))-IF(11=0,O11,0))</f>
        <v/>
      </c>
      <c r="AE11" s="29">
        <f>IF(A11="","",((K11)*(IF(M11="",L11,IFERROR(IF(INDEX(Variablen!$I:$AT, MATCH(M11, Variablen!$A:$A, 0), MATCH((YEAR(D11)+12), Variablen!$I$3:$AT$3, 0))="",L11,INDEX(Variablen!$I:$AT, MATCH(M11, Variablen!$A:$A, 0), MATCH((YEAR(D11)+12), Variablen!$I$3:$AT$3, 0))),L11)))*(IF((YEAR(D11)+12)&lt;YEAR(E11),0,IF((YEAR(D11)+12)&gt;YEAR(E11),1,(12-MONTH(E11)+1)/12))) + (Q11)*(IF((YEAR(D11)+12)&lt;YEAR(E11),0,IF((YEAR(D11)+12)&gt;YEAR(E11),1,(12-MONTH(E11)+1)/12))))-((P11)*(IF((YEAR(D11)+12)&lt;YEAR(E11),0,IF((YEAR(D11)+12)&gt;YEAR(E11),1,(12-MONTH(E11)+1)/12))) + (R11)*(IF((YEAR(D11)+12)&lt;YEAR(E11),0,IF((YEAR(D11)+12)&gt;YEAR(E11),1,(12-MONTH(E11)+1)/12))))-(IF((((K11)*(IF(M11="",L11,IFERROR(IF(INDEX(Variablen!$I:$AT, MATCH(M11, Variablen!$A:$A, 0), MATCH((YEAR(D11)+12), Variablen!$I$3:$AT$3, 0))="",L11,INDEX(Variablen!$I:$AT, MATCH(M11, Variablen!$A:$A, 0), MATCH((YEAR(D11)+12), Variablen!$I$3:$AT$3, 0))),L11)))*(IF((YEAR(D11)+12)&lt;YEAR(E11),0,IF((YEAR(D11)+12)&gt;YEAR(E11),1,(12-MONTH(E11)+1)/12))) + (Q11)*(IF((YEAR(D11)+12)&lt;YEAR(E11),0,IF((YEAR(D11)+12)&gt;YEAR(E11),1,(12-MONTH(E11)+1)/12))))-((P11)*(IF((YEAR(D11)+12)&lt;YEAR(E11),0,IF((YEAR(D11)+12)&gt;YEAR(E11),1,(12-MONTH(E11)+1)/12))) + (R11)*(IF((YEAR(D11)+12)&lt;YEAR(E11),0,IF((YEAR(D11)+12)&gt;YEAR(E11),1,(12-MONTH(E11)+1)/12))))-(IF(OR(N11="",N11&lt;=0),0,(O11/N11)*(IF(OR(N11="",N11&lt;=0),0,IF((YEAR(D11)+12)&lt;YEAR(E11),0,IF((YEAR(D11)+12)&gt;=YEAR(E11)+N11,0,IF((YEAR(D11)+12)=YEAR(E11),(12-MONTH(E11)+1)/12,1))))))))&gt;0,(((K11)*(IF(M11="",L11,IFERROR(IF(INDEX(Variablen!$I:$AT, MATCH(M11, Variablen!$A:$A, 0), MATCH((YEAR(D11)+12), Variablen!$I$3:$AT$3, 0))="",L11,INDEX(Variablen!$I:$AT, MATCH(M11, Variablen!$A:$A, 0), MATCH((YEAR(D11)+12), Variablen!$I$3:$AT$3, 0))),L11)))*(IF((YEAR(D11)+12)&lt;YEAR(E11),0,IF((YEAR(D11)+12)&gt;YEAR(E11),1,(12-MONTH(E11)+1)/12))) + (Q11)*(IF((YEAR(D11)+12)&lt;YEAR(E11),0,IF((YEAR(D11)+12)&gt;YEAR(E11),1,(12-MONTH(E11)+1)/12))))-((P11)*(IF((YEAR(D11)+12)&lt;YEAR(E11),0,IF((YEAR(D11)+12)&gt;YEAR(E11),1,(12-MONTH(E11)+1)/12))) + (R11)*(IF((YEAR(D11)+12)&lt;YEAR(E11),0,IF((YEAR(D11)+12)&gt;YEAR(E11),1,(12-MONTH(E11)+1)/12))))-(IF(OR(N11="",N11&lt;=0),0,(O11/N11)*(IF(OR(N11="",N11&lt;=0),0,IF((YEAR(D11)+12)&lt;YEAR(E11),0,IF((YEAR(D11)+12)&gt;=YEAR(E11)+N11,0,IF((YEAR(D11)+12)=YEAR(E11),(12-MONTH(E11)+1)/12,1))))))))*TaxRate,0))-IF(12=0,O11,0))</f>
        <v/>
      </c>
      <c r="AF11" s="29">
        <f>IF(A11="","",((K11)*(IF(M11="",L11,IFERROR(IF(INDEX(Variablen!$I:$AT, MATCH(M11, Variablen!$A:$A, 0), MATCH((YEAR(D11)+13), Variablen!$I$3:$AT$3, 0))="",L11,INDEX(Variablen!$I:$AT, MATCH(M11, Variablen!$A:$A, 0), MATCH((YEAR(D11)+13), Variablen!$I$3:$AT$3, 0))),L11)))*(IF((YEAR(D11)+13)&lt;YEAR(E11),0,IF((YEAR(D11)+13)&gt;YEAR(E11),1,(12-MONTH(E11)+1)/12))) + (Q11)*(IF((YEAR(D11)+13)&lt;YEAR(E11),0,IF((YEAR(D11)+13)&gt;YEAR(E11),1,(12-MONTH(E11)+1)/12))))-((P11)*(IF((YEAR(D11)+13)&lt;YEAR(E11),0,IF((YEAR(D11)+13)&gt;YEAR(E11),1,(12-MONTH(E11)+1)/12))) + (R11)*(IF((YEAR(D11)+13)&lt;YEAR(E11),0,IF((YEAR(D11)+13)&gt;YEAR(E11),1,(12-MONTH(E11)+1)/12))))-(IF((((K11)*(IF(M11="",L11,IFERROR(IF(INDEX(Variablen!$I:$AT, MATCH(M11, Variablen!$A:$A, 0), MATCH((YEAR(D11)+13), Variablen!$I$3:$AT$3, 0))="",L11,INDEX(Variablen!$I:$AT, MATCH(M11, Variablen!$A:$A, 0), MATCH((YEAR(D11)+13), Variablen!$I$3:$AT$3, 0))),L11)))*(IF((YEAR(D11)+13)&lt;YEAR(E11),0,IF((YEAR(D11)+13)&gt;YEAR(E11),1,(12-MONTH(E11)+1)/12))) + (Q11)*(IF((YEAR(D11)+13)&lt;YEAR(E11),0,IF((YEAR(D11)+13)&gt;YEAR(E11),1,(12-MONTH(E11)+1)/12))))-((P11)*(IF((YEAR(D11)+13)&lt;YEAR(E11),0,IF((YEAR(D11)+13)&gt;YEAR(E11),1,(12-MONTH(E11)+1)/12))) + (R11)*(IF((YEAR(D11)+13)&lt;YEAR(E11),0,IF((YEAR(D11)+13)&gt;YEAR(E11),1,(12-MONTH(E11)+1)/12))))-(IF(OR(N11="",N11&lt;=0),0,(O11/N11)*(IF(OR(N11="",N11&lt;=0),0,IF((YEAR(D11)+13)&lt;YEAR(E11),0,IF((YEAR(D11)+13)&gt;=YEAR(E11)+N11,0,IF((YEAR(D11)+13)=YEAR(E11),(12-MONTH(E11)+1)/12,1))))))))&gt;0,(((K11)*(IF(M11="",L11,IFERROR(IF(INDEX(Variablen!$I:$AT, MATCH(M11, Variablen!$A:$A, 0), MATCH((YEAR(D11)+13), Variablen!$I$3:$AT$3, 0))="",L11,INDEX(Variablen!$I:$AT, MATCH(M11, Variablen!$A:$A, 0), MATCH((YEAR(D11)+13), Variablen!$I$3:$AT$3, 0))),L11)))*(IF((YEAR(D11)+13)&lt;YEAR(E11),0,IF((YEAR(D11)+13)&gt;YEAR(E11),1,(12-MONTH(E11)+1)/12))) + (Q11)*(IF((YEAR(D11)+13)&lt;YEAR(E11),0,IF((YEAR(D11)+13)&gt;YEAR(E11),1,(12-MONTH(E11)+1)/12))))-((P11)*(IF((YEAR(D11)+13)&lt;YEAR(E11),0,IF((YEAR(D11)+13)&gt;YEAR(E11),1,(12-MONTH(E11)+1)/12))) + (R11)*(IF((YEAR(D11)+13)&lt;YEAR(E11),0,IF((YEAR(D11)+13)&gt;YEAR(E11),1,(12-MONTH(E11)+1)/12))))-(IF(OR(N11="",N11&lt;=0),0,(O11/N11)*(IF(OR(N11="",N11&lt;=0),0,IF((YEAR(D11)+13)&lt;YEAR(E11),0,IF((YEAR(D11)+13)&gt;=YEAR(E11)+N11,0,IF((YEAR(D11)+13)=YEAR(E11),(12-MONTH(E11)+1)/12,1))))))))*TaxRate,0))-IF(13=0,O11,0))</f>
        <v/>
      </c>
      <c r="AG11" s="29">
        <f>IF(A11="","",((K11)*(IF(M11="",L11,IFERROR(IF(INDEX(Variablen!$I:$AT, MATCH(M11, Variablen!$A:$A, 0), MATCH((YEAR(D11)+14), Variablen!$I$3:$AT$3, 0))="",L11,INDEX(Variablen!$I:$AT, MATCH(M11, Variablen!$A:$A, 0), MATCH((YEAR(D11)+14), Variablen!$I$3:$AT$3, 0))),L11)))*(IF((YEAR(D11)+14)&lt;YEAR(E11),0,IF((YEAR(D11)+14)&gt;YEAR(E11),1,(12-MONTH(E11)+1)/12))) + (Q11)*(IF((YEAR(D11)+14)&lt;YEAR(E11),0,IF((YEAR(D11)+14)&gt;YEAR(E11),1,(12-MONTH(E11)+1)/12))))-((P11)*(IF((YEAR(D11)+14)&lt;YEAR(E11),0,IF((YEAR(D11)+14)&gt;YEAR(E11),1,(12-MONTH(E11)+1)/12))) + (R11)*(IF((YEAR(D11)+14)&lt;YEAR(E11),0,IF((YEAR(D11)+14)&gt;YEAR(E11),1,(12-MONTH(E11)+1)/12))))-(IF((((K11)*(IF(M11="",L11,IFERROR(IF(INDEX(Variablen!$I:$AT, MATCH(M11, Variablen!$A:$A, 0), MATCH((YEAR(D11)+14), Variablen!$I$3:$AT$3, 0))="",L11,INDEX(Variablen!$I:$AT, MATCH(M11, Variablen!$A:$A, 0), MATCH((YEAR(D11)+14), Variablen!$I$3:$AT$3, 0))),L11)))*(IF((YEAR(D11)+14)&lt;YEAR(E11),0,IF((YEAR(D11)+14)&gt;YEAR(E11),1,(12-MONTH(E11)+1)/12))) + (Q11)*(IF((YEAR(D11)+14)&lt;YEAR(E11),0,IF((YEAR(D11)+14)&gt;YEAR(E11),1,(12-MONTH(E11)+1)/12))))-((P11)*(IF((YEAR(D11)+14)&lt;YEAR(E11),0,IF((YEAR(D11)+14)&gt;YEAR(E11),1,(12-MONTH(E11)+1)/12))) + (R11)*(IF((YEAR(D11)+14)&lt;YEAR(E11),0,IF((YEAR(D11)+14)&gt;YEAR(E11),1,(12-MONTH(E11)+1)/12))))-(IF(OR(N11="",N11&lt;=0),0,(O11/N11)*(IF(OR(N11="",N11&lt;=0),0,IF((YEAR(D11)+14)&lt;YEAR(E11),0,IF((YEAR(D11)+14)&gt;=YEAR(E11)+N11,0,IF((YEAR(D11)+14)=YEAR(E11),(12-MONTH(E11)+1)/12,1))))))))&gt;0,(((K11)*(IF(M11="",L11,IFERROR(IF(INDEX(Variablen!$I:$AT, MATCH(M11, Variablen!$A:$A, 0), MATCH((YEAR(D11)+14), Variablen!$I$3:$AT$3, 0))="",L11,INDEX(Variablen!$I:$AT, MATCH(M11, Variablen!$A:$A, 0), MATCH((YEAR(D11)+14), Variablen!$I$3:$AT$3, 0))),L11)))*(IF((YEAR(D11)+14)&lt;YEAR(E11),0,IF((YEAR(D11)+14)&gt;YEAR(E11),1,(12-MONTH(E11)+1)/12))) + (Q11)*(IF((YEAR(D11)+14)&lt;YEAR(E11),0,IF((YEAR(D11)+14)&gt;YEAR(E11),1,(12-MONTH(E11)+1)/12))))-((P11)*(IF((YEAR(D11)+14)&lt;YEAR(E11),0,IF((YEAR(D11)+14)&gt;YEAR(E11),1,(12-MONTH(E11)+1)/12))) + (R11)*(IF((YEAR(D11)+14)&lt;YEAR(E11),0,IF((YEAR(D11)+14)&gt;YEAR(E11),1,(12-MONTH(E11)+1)/12))))-(IF(OR(N11="",N11&lt;=0),0,(O11/N11)*(IF(OR(N11="",N11&lt;=0),0,IF((YEAR(D11)+14)&lt;YEAR(E11),0,IF((YEAR(D11)+14)&gt;=YEAR(E11)+N11,0,IF((YEAR(D11)+14)=YEAR(E11),(12-MONTH(E11)+1)/12,1))))))))*TaxRate,0))-IF(14=0,O11,0))</f>
        <v/>
      </c>
      <c r="AH11" s="29">
        <f>IF(A11="","",((K11)*(IF(M11="",L11,IFERROR(IF(INDEX(Variablen!$I:$AT, MATCH(M11, Variablen!$A:$A, 0), MATCH((YEAR(D11)+15), Variablen!$I$3:$AT$3, 0))="",L11,INDEX(Variablen!$I:$AT, MATCH(M11, Variablen!$A:$A, 0), MATCH((YEAR(D11)+15), Variablen!$I$3:$AT$3, 0))),L11)))*(IF((YEAR(D11)+15)&lt;YEAR(E11),0,IF((YEAR(D11)+15)&gt;YEAR(E11),1,(12-MONTH(E11)+1)/12))) + (Q11)*(IF((YEAR(D11)+15)&lt;YEAR(E11),0,IF((YEAR(D11)+15)&gt;YEAR(E11),1,(12-MONTH(E11)+1)/12))))-((P11)*(IF((YEAR(D11)+15)&lt;YEAR(E11),0,IF((YEAR(D11)+15)&gt;YEAR(E11),1,(12-MONTH(E11)+1)/12))) + (R11)*(IF((YEAR(D11)+15)&lt;YEAR(E11),0,IF((YEAR(D11)+15)&gt;YEAR(E11),1,(12-MONTH(E11)+1)/12))))-(IF((((K11)*(IF(M11="",L11,IFERROR(IF(INDEX(Variablen!$I:$AT, MATCH(M11, Variablen!$A:$A, 0), MATCH((YEAR(D11)+15), Variablen!$I$3:$AT$3, 0))="",L11,INDEX(Variablen!$I:$AT, MATCH(M11, Variablen!$A:$A, 0), MATCH((YEAR(D11)+15), Variablen!$I$3:$AT$3, 0))),L11)))*(IF((YEAR(D11)+15)&lt;YEAR(E11),0,IF((YEAR(D11)+15)&gt;YEAR(E11),1,(12-MONTH(E11)+1)/12))) + (Q11)*(IF((YEAR(D11)+15)&lt;YEAR(E11),0,IF((YEAR(D11)+15)&gt;YEAR(E11),1,(12-MONTH(E11)+1)/12))))-((P11)*(IF((YEAR(D11)+15)&lt;YEAR(E11),0,IF((YEAR(D11)+15)&gt;YEAR(E11),1,(12-MONTH(E11)+1)/12))) + (R11)*(IF((YEAR(D11)+15)&lt;YEAR(E11),0,IF((YEAR(D11)+15)&gt;YEAR(E11),1,(12-MONTH(E11)+1)/12))))-(IF(OR(N11="",N11&lt;=0),0,(O11/N11)*(IF(OR(N11="",N11&lt;=0),0,IF((YEAR(D11)+15)&lt;YEAR(E11),0,IF((YEAR(D11)+15)&gt;=YEAR(E11)+N11,0,IF((YEAR(D11)+15)=YEAR(E11),(12-MONTH(E11)+1)/12,1))))))))&gt;0,(((K11)*(IF(M11="",L11,IFERROR(IF(INDEX(Variablen!$I:$AT, MATCH(M11, Variablen!$A:$A, 0), MATCH((YEAR(D11)+15), Variablen!$I$3:$AT$3, 0))="",L11,INDEX(Variablen!$I:$AT, MATCH(M11, Variablen!$A:$A, 0), MATCH((YEAR(D11)+15), Variablen!$I$3:$AT$3, 0))),L11)))*(IF((YEAR(D11)+15)&lt;YEAR(E11),0,IF((YEAR(D11)+15)&gt;YEAR(E11),1,(12-MONTH(E11)+1)/12))) + (Q11)*(IF((YEAR(D11)+15)&lt;YEAR(E11),0,IF((YEAR(D11)+15)&gt;YEAR(E11),1,(12-MONTH(E11)+1)/12))))-((P11)*(IF((YEAR(D11)+15)&lt;YEAR(E11),0,IF((YEAR(D11)+15)&gt;YEAR(E11),1,(12-MONTH(E11)+1)/12))) + (R11)*(IF((YEAR(D11)+15)&lt;YEAR(E11),0,IF((YEAR(D11)+15)&gt;YEAR(E11),1,(12-MONTH(E11)+1)/12))))-(IF(OR(N11="",N11&lt;=0),0,(O11/N11)*(IF(OR(N11="",N11&lt;=0),0,IF((YEAR(D11)+15)&lt;YEAR(E11),0,IF((YEAR(D11)+15)&gt;=YEAR(E11)+N11,0,IF((YEAR(D11)+15)=YEAR(E11),(12-MONTH(E11)+1)/12,1))))))))*TaxRate,0))-IF(15=0,O11,0))</f>
        <v/>
      </c>
      <c r="AI11" s="29">
        <f>IF(A11="","",((K11)*(IF(M11="",L11,IFERROR(IF(INDEX(Variablen!$I:$AT, MATCH(M11, Variablen!$A:$A, 0), MATCH((YEAR(D11)+16), Variablen!$I$3:$AT$3, 0))="",L11,INDEX(Variablen!$I:$AT, MATCH(M11, Variablen!$A:$A, 0), MATCH((YEAR(D11)+16), Variablen!$I$3:$AT$3, 0))),L11)))*(IF((YEAR(D11)+16)&lt;YEAR(E11),0,IF((YEAR(D11)+16)&gt;YEAR(E11),1,(12-MONTH(E11)+1)/12))) + (Q11)*(IF((YEAR(D11)+16)&lt;YEAR(E11),0,IF((YEAR(D11)+16)&gt;YEAR(E11),1,(12-MONTH(E11)+1)/12))))-((P11)*(IF((YEAR(D11)+16)&lt;YEAR(E11),0,IF((YEAR(D11)+16)&gt;YEAR(E11),1,(12-MONTH(E11)+1)/12))) + (R11)*(IF((YEAR(D11)+16)&lt;YEAR(E11),0,IF((YEAR(D11)+16)&gt;YEAR(E11),1,(12-MONTH(E11)+1)/12))))-(IF((((K11)*(IF(M11="",L11,IFERROR(IF(INDEX(Variablen!$I:$AT, MATCH(M11, Variablen!$A:$A, 0), MATCH((YEAR(D11)+16), Variablen!$I$3:$AT$3, 0))="",L11,INDEX(Variablen!$I:$AT, MATCH(M11, Variablen!$A:$A, 0), MATCH((YEAR(D11)+16), Variablen!$I$3:$AT$3, 0))),L11)))*(IF((YEAR(D11)+16)&lt;YEAR(E11),0,IF((YEAR(D11)+16)&gt;YEAR(E11),1,(12-MONTH(E11)+1)/12))) + (Q11)*(IF((YEAR(D11)+16)&lt;YEAR(E11),0,IF((YEAR(D11)+16)&gt;YEAR(E11),1,(12-MONTH(E11)+1)/12))))-((P11)*(IF((YEAR(D11)+16)&lt;YEAR(E11),0,IF((YEAR(D11)+16)&gt;YEAR(E11),1,(12-MONTH(E11)+1)/12))) + (R11)*(IF((YEAR(D11)+16)&lt;YEAR(E11),0,IF((YEAR(D11)+16)&gt;YEAR(E11),1,(12-MONTH(E11)+1)/12))))-(IF(OR(N11="",N11&lt;=0),0,(O11/N11)*(IF(OR(N11="",N11&lt;=0),0,IF((YEAR(D11)+16)&lt;YEAR(E11),0,IF((YEAR(D11)+16)&gt;=YEAR(E11)+N11,0,IF((YEAR(D11)+16)=YEAR(E11),(12-MONTH(E11)+1)/12,1))))))))&gt;0,(((K11)*(IF(M11="",L11,IFERROR(IF(INDEX(Variablen!$I:$AT, MATCH(M11, Variablen!$A:$A, 0), MATCH((YEAR(D11)+16), Variablen!$I$3:$AT$3, 0))="",L11,INDEX(Variablen!$I:$AT, MATCH(M11, Variablen!$A:$A, 0), MATCH((YEAR(D11)+16), Variablen!$I$3:$AT$3, 0))),L11)))*(IF((YEAR(D11)+16)&lt;YEAR(E11),0,IF((YEAR(D11)+16)&gt;YEAR(E11),1,(12-MONTH(E11)+1)/12))) + (Q11)*(IF((YEAR(D11)+16)&lt;YEAR(E11),0,IF((YEAR(D11)+16)&gt;YEAR(E11),1,(12-MONTH(E11)+1)/12))))-((P11)*(IF((YEAR(D11)+16)&lt;YEAR(E11),0,IF((YEAR(D11)+16)&gt;YEAR(E11),1,(12-MONTH(E11)+1)/12))) + (R11)*(IF((YEAR(D11)+16)&lt;YEAR(E11),0,IF((YEAR(D11)+16)&gt;YEAR(E11),1,(12-MONTH(E11)+1)/12))))-(IF(OR(N11="",N11&lt;=0),0,(O11/N11)*(IF(OR(N11="",N11&lt;=0),0,IF((YEAR(D11)+16)&lt;YEAR(E11),0,IF((YEAR(D11)+16)&gt;=YEAR(E11)+N11,0,IF((YEAR(D11)+16)=YEAR(E11),(12-MONTH(E11)+1)/12,1))))))))*TaxRate,0))-IF(16=0,O11,0))</f>
        <v/>
      </c>
      <c r="AJ11" s="29">
        <f>IF(A11="","",((K11)*(IF(M11="",L11,IFERROR(IF(INDEX(Variablen!$I:$AT, MATCH(M11, Variablen!$A:$A, 0), MATCH((YEAR(D11)+17), Variablen!$I$3:$AT$3, 0))="",L11,INDEX(Variablen!$I:$AT, MATCH(M11, Variablen!$A:$A, 0), MATCH((YEAR(D11)+17), Variablen!$I$3:$AT$3, 0))),L11)))*(IF((YEAR(D11)+17)&lt;YEAR(E11),0,IF((YEAR(D11)+17)&gt;YEAR(E11),1,(12-MONTH(E11)+1)/12))) + (Q11)*(IF((YEAR(D11)+17)&lt;YEAR(E11),0,IF((YEAR(D11)+17)&gt;YEAR(E11),1,(12-MONTH(E11)+1)/12))))-((P11)*(IF((YEAR(D11)+17)&lt;YEAR(E11),0,IF((YEAR(D11)+17)&gt;YEAR(E11),1,(12-MONTH(E11)+1)/12))) + (R11)*(IF((YEAR(D11)+17)&lt;YEAR(E11),0,IF((YEAR(D11)+17)&gt;YEAR(E11),1,(12-MONTH(E11)+1)/12))))-(IF((((K11)*(IF(M11="",L11,IFERROR(IF(INDEX(Variablen!$I:$AT, MATCH(M11, Variablen!$A:$A, 0), MATCH((YEAR(D11)+17), Variablen!$I$3:$AT$3, 0))="",L11,INDEX(Variablen!$I:$AT, MATCH(M11, Variablen!$A:$A, 0), MATCH((YEAR(D11)+17), Variablen!$I$3:$AT$3, 0))),L11)))*(IF((YEAR(D11)+17)&lt;YEAR(E11),0,IF((YEAR(D11)+17)&gt;YEAR(E11),1,(12-MONTH(E11)+1)/12))) + (Q11)*(IF((YEAR(D11)+17)&lt;YEAR(E11),0,IF((YEAR(D11)+17)&gt;YEAR(E11),1,(12-MONTH(E11)+1)/12))))-((P11)*(IF((YEAR(D11)+17)&lt;YEAR(E11),0,IF((YEAR(D11)+17)&gt;YEAR(E11),1,(12-MONTH(E11)+1)/12))) + (R11)*(IF((YEAR(D11)+17)&lt;YEAR(E11),0,IF((YEAR(D11)+17)&gt;YEAR(E11),1,(12-MONTH(E11)+1)/12))))-(IF(OR(N11="",N11&lt;=0),0,(O11/N11)*(IF(OR(N11="",N11&lt;=0),0,IF((YEAR(D11)+17)&lt;YEAR(E11),0,IF((YEAR(D11)+17)&gt;=YEAR(E11)+N11,0,IF((YEAR(D11)+17)=YEAR(E11),(12-MONTH(E11)+1)/12,1))))))))&gt;0,(((K11)*(IF(M11="",L11,IFERROR(IF(INDEX(Variablen!$I:$AT, MATCH(M11, Variablen!$A:$A, 0), MATCH((YEAR(D11)+17), Variablen!$I$3:$AT$3, 0))="",L11,INDEX(Variablen!$I:$AT, MATCH(M11, Variablen!$A:$A, 0), MATCH((YEAR(D11)+17), Variablen!$I$3:$AT$3, 0))),L11)))*(IF((YEAR(D11)+17)&lt;YEAR(E11),0,IF((YEAR(D11)+17)&gt;YEAR(E11),1,(12-MONTH(E11)+1)/12))) + (Q11)*(IF((YEAR(D11)+17)&lt;YEAR(E11),0,IF((YEAR(D11)+17)&gt;YEAR(E11),1,(12-MONTH(E11)+1)/12))))-((P11)*(IF((YEAR(D11)+17)&lt;YEAR(E11),0,IF((YEAR(D11)+17)&gt;YEAR(E11),1,(12-MONTH(E11)+1)/12))) + (R11)*(IF((YEAR(D11)+17)&lt;YEAR(E11),0,IF((YEAR(D11)+17)&gt;YEAR(E11),1,(12-MONTH(E11)+1)/12))))-(IF(OR(N11="",N11&lt;=0),0,(O11/N11)*(IF(OR(N11="",N11&lt;=0),0,IF((YEAR(D11)+17)&lt;YEAR(E11),0,IF((YEAR(D11)+17)&gt;=YEAR(E11)+N11,0,IF((YEAR(D11)+17)=YEAR(E11),(12-MONTH(E11)+1)/12,1))))))))*TaxRate,0))-IF(17=0,O11,0))</f>
        <v/>
      </c>
      <c r="AK11" s="29">
        <f>IF(A11="","",((K11)*(IF(M11="",L11,IFERROR(IF(INDEX(Variablen!$I:$AT, MATCH(M11, Variablen!$A:$A, 0), MATCH((YEAR(D11)+18), Variablen!$I$3:$AT$3, 0))="",L11,INDEX(Variablen!$I:$AT, MATCH(M11, Variablen!$A:$A, 0), MATCH((YEAR(D11)+18), Variablen!$I$3:$AT$3, 0))),L11)))*(IF((YEAR(D11)+18)&lt;YEAR(E11),0,IF((YEAR(D11)+18)&gt;YEAR(E11),1,(12-MONTH(E11)+1)/12))) + (Q11)*(IF((YEAR(D11)+18)&lt;YEAR(E11),0,IF((YEAR(D11)+18)&gt;YEAR(E11),1,(12-MONTH(E11)+1)/12))))-((P11)*(IF((YEAR(D11)+18)&lt;YEAR(E11),0,IF((YEAR(D11)+18)&gt;YEAR(E11),1,(12-MONTH(E11)+1)/12))) + (R11)*(IF((YEAR(D11)+18)&lt;YEAR(E11),0,IF((YEAR(D11)+18)&gt;YEAR(E11),1,(12-MONTH(E11)+1)/12))))-(IF((((K11)*(IF(M11="",L11,IFERROR(IF(INDEX(Variablen!$I:$AT, MATCH(M11, Variablen!$A:$A, 0), MATCH((YEAR(D11)+18), Variablen!$I$3:$AT$3, 0))="",L11,INDEX(Variablen!$I:$AT, MATCH(M11, Variablen!$A:$A, 0), MATCH((YEAR(D11)+18), Variablen!$I$3:$AT$3, 0))),L11)))*(IF((YEAR(D11)+18)&lt;YEAR(E11),0,IF((YEAR(D11)+18)&gt;YEAR(E11),1,(12-MONTH(E11)+1)/12))) + (Q11)*(IF((YEAR(D11)+18)&lt;YEAR(E11),0,IF((YEAR(D11)+18)&gt;YEAR(E11),1,(12-MONTH(E11)+1)/12))))-((P11)*(IF((YEAR(D11)+18)&lt;YEAR(E11),0,IF((YEAR(D11)+18)&gt;YEAR(E11),1,(12-MONTH(E11)+1)/12))) + (R11)*(IF((YEAR(D11)+18)&lt;YEAR(E11),0,IF((YEAR(D11)+18)&gt;YEAR(E11),1,(12-MONTH(E11)+1)/12))))-(IF(OR(N11="",N11&lt;=0),0,(O11/N11)*(IF(OR(N11="",N11&lt;=0),0,IF((YEAR(D11)+18)&lt;YEAR(E11),0,IF((YEAR(D11)+18)&gt;=YEAR(E11)+N11,0,IF((YEAR(D11)+18)=YEAR(E11),(12-MONTH(E11)+1)/12,1))))))))&gt;0,(((K11)*(IF(M11="",L11,IFERROR(IF(INDEX(Variablen!$I:$AT, MATCH(M11, Variablen!$A:$A, 0), MATCH((YEAR(D11)+18), Variablen!$I$3:$AT$3, 0))="",L11,INDEX(Variablen!$I:$AT, MATCH(M11, Variablen!$A:$A, 0), MATCH((YEAR(D11)+18), Variablen!$I$3:$AT$3, 0))),L11)))*(IF((YEAR(D11)+18)&lt;YEAR(E11),0,IF((YEAR(D11)+18)&gt;YEAR(E11),1,(12-MONTH(E11)+1)/12))) + (Q11)*(IF((YEAR(D11)+18)&lt;YEAR(E11),0,IF((YEAR(D11)+18)&gt;YEAR(E11),1,(12-MONTH(E11)+1)/12))))-((P11)*(IF((YEAR(D11)+18)&lt;YEAR(E11),0,IF((YEAR(D11)+18)&gt;YEAR(E11),1,(12-MONTH(E11)+1)/12))) + (R11)*(IF((YEAR(D11)+18)&lt;YEAR(E11),0,IF((YEAR(D11)+18)&gt;YEAR(E11),1,(12-MONTH(E11)+1)/12))))-(IF(OR(N11="",N11&lt;=0),0,(O11/N11)*(IF(OR(N11="",N11&lt;=0),0,IF((YEAR(D11)+18)&lt;YEAR(E11),0,IF((YEAR(D11)+18)&gt;=YEAR(E11)+N11,0,IF((YEAR(D11)+18)=YEAR(E11),(12-MONTH(E11)+1)/12,1))))))))*TaxRate,0))-IF(18=0,O11,0))</f>
        <v/>
      </c>
      <c r="AL11" s="29">
        <f>IF(A11="","",((K11)*(IF(M11="",L11,IFERROR(IF(INDEX(Variablen!$I:$AT, MATCH(M11, Variablen!$A:$A, 0), MATCH((YEAR(D11)+19), Variablen!$I$3:$AT$3, 0))="",L11,INDEX(Variablen!$I:$AT, MATCH(M11, Variablen!$A:$A, 0), MATCH((YEAR(D11)+19), Variablen!$I$3:$AT$3, 0))),L11)))*(IF((YEAR(D11)+19)&lt;YEAR(E11),0,IF((YEAR(D11)+19)&gt;YEAR(E11),1,(12-MONTH(E11)+1)/12))) + (Q11)*(IF((YEAR(D11)+19)&lt;YEAR(E11),0,IF((YEAR(D11)+19)&gt;YEAR(E11),1,(12-MONTH(E11)+1)/12))))-((P11)*(IF((YEAR(D11)+19)&lt;YEAR(E11),0,IF((YEAR(D11)+19)&gt;YEAR(E11),1,(12-MONTH(E11)+1)/12))) + (R11)*(IF((YEAR(D11)+19)&lt;YEAR(E11),0,IF((YEAR(D11)+19)&gt;YEAR(E11),1,(12-MONTH(E11)+1)/12))))-(IF((((K11)*(IF(M11="",L11,IFERROR(IF(INDEX(Variablen!$I:$AT, MATCH(M11, Variablen!$A:$A, 0), MATCH((YEAR(D11)+19), Variablen!$I$3:$AT$3, 0))="",L11,INDEX(Variablen!$I:$AT, MATCH(M11, Variablen!$A:$A, 0), MATCH((YEAR(D11)+19), Variablen!$I$3:$AT$3, 0))),L11)))*(IF((YEAR(D11)+19)&lt;YEAR(E11),0,IF((YEAR(D11)+19)&gt;YEAR(E11),1,(12-MONTH(E11)+1)/12))) + (Q11)*(IF((YEAR(D11)+19)&lt;YEAR(E11),0,IF((YEAR(D11)+19)&gt;YEAR(E11),1,(12-MONTH(E11)+1)/12))))-((P11)*(IF((YEAR(D11)+19)&lt;YEAR(E11),0,IF((YEAR(D11)+19)&gt;YEAR(E11),1,(12-MONTH(E11)+1)/12))) + (R11)*(IF((YEAR(D11)+19)&lt;YEAR(E11),0,IF((YEAR(D11)+19)&gt;YEAR(E11),1,(12-MONTH(E11)+1)/12))))-(IF(OR(N11="",N11&lt;=0),0,(O11/N11)*(IF(OR(N11="",N11&lt;=0),0,IF((YEAR(D11)+19)&lt;YEAR(E11),0,IF((YEAR(D11)+19)&gt;=YEAR(E11)+N11,0,IF((YEAR(D11)+19)=YEAR(E11),(12-MONTH(E11)+1)/12,1))))))))&gt;0,(((K11)*(IF(M11="",L11,IFERROR(IF(INDEX(Variablen!$I:$AT, MATCH(M11, Variablen!$A:$A, 0), MATCH((YEAR(D11)+19), Variablen!$I$3:$AT$3, 0))="",L11,INDEX(Variablen!$I:$AT, MATCH(M11, Variablen!$A:$A, 0), MATCH((YEAR(D11)+19), Variablen!$I$3:$AT$3, 0))),L11)))*(IF((YEAR(D11)+19)&lt;YEAR(E11),0,IF((YEAR(D11)+19)&gt;YEAR(E11),1,(12-MONTH(E11)+1)/12))) + (Q11)*(IF((YEAR(D11)+19)&lt;YEAR(E11),0,IF((YEAR(D11)+19)&gt;YEAR(E11),1,(12-MONTH(E11)+1)/12))))-((P11)*(IF((YEAR(D11)+19)&lt;YEAR(E11),0,IF((YEAR(D11)+19)&gt;YEAR(E11),1,(12-MONTH(E11)+1)/12))) + (R11)*(IF((YEAR(D11)+19)&lt;YEAR(E11),0,IF((YEAR(D11)+19)&gt;YEAR(E11),1,(12-MONTH(E11)+1)/12))))-(IF(OR(N11="",N11&lt;=0),0,(O11/N11)*(IF(OR(N11="",N11&lt;=0),0,IF((YEAR(D11)+19)&lt;YEAR(E11),0,IF((YEAR(D11)+19)&gt;=YEAR(E11)+N11,0,IF((YEAR(D11)+19)=YEAR(E11),(12-MONTH(E11)+1)/12,1))))))))*TaxRate,0))-IF(19=0,O11,0))</f>
        <v/>
      </c>
      <c r="AM11" s="29">
        <f>IF(A11="","",((K11)*(IF(M11="",L11,IFERROR(IF(INDEX(Variablen!$I:$AT, MATCH(M11, Variablen!$A:$A, 0), MATCH((YEAR(D11)+20), Variablen!$I$3:$AT$3, 0))="",L11,INDEX(Variablen!$I:$AT, MATCH(M11, Variablen!$A:$A, 0), MATCH((YEAR(D11)+20), Variablen!$I$3:$AT$3, 0))),L11)))*(IF((YEAR(D11)+20)&lt;YEAR(E11),0,IF((YEAR(D11)+20)&gt;YEAR(E11),1,(12-MONTH(E11)+1)/12))) + (Q11)*(IF((YEAR(D11)+20)&lt;YEAR(E11),0,IF((YEAR(D11)+20)&gt;YEAR(E11),1,(12-MONTH(E11)+1)/12))))-((P11)*(IF((YEAR(D11)+20)&lt;YEAR(E11),0,IF((YEAR(D11)+20)&gt;YEAR(E11),1,(12-MONTH(E11)+1)/12))) + (R11)*(IF((YEAR(D11)+20)&lt;YEAR(E11),0,IF((YEAR(D11)+20)&gt;YEAR(E11),1,(12-MONTH(E11)+1)/12))))-(IF((((K11)*(IF(M11="",L11,IFERROR(IF(INDEX(Variablen!$I:$AT, MATCH(M11, Variablen!$A:$A, 0), MATCH((YEAR(D11)+20), Variablen!$I$3:$AT$3, 0))="",L11,INDEX(Variablen!$I:$AT, MATCH(M11, Variablen!$A:$A, 0), MATCH((YEAR(D11)+20), Variablen!$I$3:$AT$3, 0))),L11)))*(IF((YEAR(D11)+20)&lt;YEAR(E11),0,IF((YEAR(D11)+20)&gt;YEAR(E11),1,(12-MONTH(E11)+1)/12))) + (Q11)*(IF((YEAR(D11)+20)&lt;YEAR(E11),0,IF((YEAR(D11)+20)&gt;YEAR(E11),1,(12-MONTH(E11)+1)/12))))-((P11)*(IF((YEAR(D11)+20)&lt;YEAR(E11),0,IF((YEAR(D11)+20)&gt;YEAR(E11),1,(12-MONTH(E11)+1)/12))) + (R11)*(IF((YEAR(D11)+20)&lt;YEAR(E11),0,IF((YEAR(D11)+20)&gt;YEAR(E11),1,(12-MONTH(E11)+1)/12))))-(IF(OR(N11="",N11&lt;=0),0,(O11/N11)*(IF(OR(N11="",N11&lt;=0),0,IF((YEAR(D11)+20)&lt;YEAR(E11),0,IF((YEAR(D11)+20)&gt;=YEAR(E11)+N11,0,IF((YEAR(D11)+20)=YEAR(E11),(12-MONTH(E11)+1)/12,1))))))))&gt;0,(((K11)*(IF(M11="",L11,IFERROR(IF(INDEX(Variablen!$I:$AT, MATCH(M11, Variablen!$A:$A, 0), MATCH((YEAR(D11)+20), Variablen!$I$3:$AT$3, 0))="",L11,INDEX(Variablen!$I:$AT, MATCH(M11, Variablen!$A:$A, 0), MATCH((YEAR(D11)+20), Variablen!$I$3:$AT$3, 0))),L11)))*(IF((YEAR(D11)+20)&lt;YEAR(E11),0,IF((YEAR(D11)+20)&gt;YEAR(E11),1,(12-MONTH(E11)+1)/12))) + (Q11)*(IF((YEAR(D11)+20)&lt;YEAR(E11),0,IF((YEAR(D11)+20)&gt;YEAR(E11),1,(12-MONTH(E11)+1)/12))))-((P11)*(IF((YEAR(D11)+20)&lt;YEAR(E11),0,IF((YEAR(D11)+20)&gt;YEAR(E11),1,(12-MONTH(E11)+1)/12))) + (R11)*(IF((YEAR(D11)+20)&lt;YEAR(E11),0,IF((YEAR(D11)+20)&gt;YEAR(E11),1,(12-MONTH(E11)+1)/12))))-(IF(OR(N11="",N11&lt;=0),0,(O11/N11)*(IF(OR(N11="",N11&lt;=0),0,IF((YEAR(D11)+20)&lt;YEAR(E11),0,IF((YEAR(D11)+20)&gt;=YEAR(E11)+N11,0,IF((YEAR(D11)+20)=YEAR(E11),(12-MONTH(E11)+1)/12,1))))))))*TaxRate,0))-IF(20=0,O11,0))</f>
        <v/>
      </c>
      <c r="AN11" s="29">
        <f>IF(A11="","",S11)</f>
        <v/>
      </c>
      <c r="AO11" s="29">
        <f>IF(A11="","",AN11+T11)</f>
        <v/>
      </c>
      <c r="AP11" s="29">
        <f>IF(A11="","",AO11+U11)</f>
        <v/>
      </c>
      <c r="AQ11" s="29">
        <f>IF(A11="","",AP11+V11)</f>
        <v/>
      </c>
      <c r="AR11" s="29">
        <f>IF(A11="","",AQ11+W11)</f>
        <v/>
      </c>
      <c r="AS11" s="29">
        <f>IF(A11="","",AR11+X11)</f>
        <v/>
      </c>
      <c r="AT11" s="29">
        <f>IF(A11="","",AS11+Y11)</f>
        <v/>
      </c>
      <c r="AU11" s="29">
        <f>IF(A11="","",AT11+Z11)</f>
        <v/>
      </c>
      <c r="AV11" s="29">
        <f>IF(A11="","",AU11+AA11)</f>
        <v/>
      </c>
      <c r="AW11" s="29">
        <f>IF(A11="","",AV11+AB11)</f>
        <v/>
      </c>
      <c r="AX11" s="29">
        <f>IF(A11="","",AW11+AC11)</f>
        <v/>
      </c>
      <c r="AY11" s="29">
        <f>IF(A11="","",AX11+AD11)</f>
        <v/>
      </c>
      <c r="AZ11" s="29">
        <f>IF(A11="","",AY11+AE11)</f>
        <v/>
      </c>
      <c r="BA11" s="29">
        <f>IF(A11="","",AZ11+AF11)</f>
        <v/>
      </c>
      <c r="BB11" s="29">
        <f>IF(A11="","",BA11+AG11)</f>
        <v/>
      </c>
      <c r="BC11" s="29">
        <f>IF(A11="","",BB11+AH11)</f>
        <v/>
      </c>
      <c r="BD11" s="29">
        <f>IF(A11="","",BC11+AI11)</f>
        <v/>
      </c>
      <c r="BE11" s="29">
        <f>IF(A11="","",BD11+AJ11)</f>
        <v/>
      </c>
      <c r="BF11" s="29">
        <f>IF(A11="","",BE11+AK11)</f>
        <v/>
      </c>
      <c r="BG11" s="29">
        <f>IF(A11="","",BF11+AL11)</f>
        <v/>
      </c>
      <c r="BH11" s="29">
        <f>IF(A11="","",BG11+AM11)</f>
        <v/>
      </c>
      <c r="BI11" s="36">
        <f>IF(A11="","",(K11)*(IF((YEAR(D11)+0)&lt;YEAR(E11),0,IF((YEAR(D11)+0)&gt;YEAR(E11),1,(12-MONTH(E11)+1)/12)))*(1/(1+DiscountRate)^0))</f>
        <v/>
      </c>
      <c r="BJ11" s="36">
        <f>IF(A11="","",(K11)*(IF((YEAR(D11)+1)&lt;YEAR(E11),0,IF((YEAR(D11)+1)&gt;YEAR(E11),1,(12-MONTH(E11)+1)/12)))*(1/(1+DiscountRate)^1))</f>
        <v/>
      </c>
      <c r="BK11" s="36">
        <f>IF(A11="","",(K11)*(IF((YEAR(D11)+2)&lt;YEAR(E11),0,IF((YEAR(D11)+2)&gt;YEAR(E11),1,(12-MONTH(E11)+1)/12)))*(1/(1+DiscountRate)^2))</f>
        <v/>
      </c>
      <c r="BL11" s="36">
        <f>IF(A11="","",(K11)*(IF((YEAR(D11)+3)&lt;YEAR(E11),0,IF((YEAR(D11)+3)&gt;YEAR(E11),1,(12-MONTH(E11)+1)/12)))*(1/(1+DiscountRate)^3))</f>
        <v/>
      </c>
      <c r="BM11" s="36">
        <f>IF(A11="","",(K11)*(IF((YEAR(D11)+4)&lt;YEAR(E11),0,IF((YEAR(D11)+4)&gt;YEAR(E11),1,(12-MONTH(E11)+1)/12)))*(1/(1+DiscountRate)^4))</f>
        <v/>
      </c>
      <c r="BN11" s="36">
        <f>IF(A11="","",(K11)*(IF((YEAR(D11)+5)&lt;YEAR(E11),0,IF((YEAR(D11)+5)&gt;YEAR(E11),1,(12-MONTH(E11)+1)/12)))*(1/(1+DiscountRate)^5))</f>
        <v/>
      </c>
      <c r="BO11" s="36">
        <f>IF(A11="","",(K11)*(IF((YEAR(D11)+6)&lt;YEAR(E11),0,IF((YEAR(D11)+6)&gt;YEAR(E11),1,(12-MONTH(E11)+1)/12)))*(1/(1+DiscountRate)^6))</f>
        <v/>
      </c>
      <c r="BP11" s="36">
        <f>IF(A11="","",(K11)*(IF((YEAR(D11)+7)&lt;YEAR(E11),0,IF((YEAR(D11)+7)&gt;YEAR(E11),1,(12-MONTH(E11)+1)/12)))*(1/(1+DiscountRate)^7))</f>
        <v/>
      </c>
      <c r="BQ11" s="36">
        <f>IF(A11="","",(K11)*(IF((YEAR(D11)+8)&lt;YEAR(E11),0,IF((YEAR(D11)+8)&gt;YEAR(E11),1,(12-MONTH(E11)+1)/12)))*(1/(1+DiscountRate)^8))</f>
        <v/>
      </c>
      <c r="BR11" s="36">
        <f>IF(A11="","",(K11)*(IF((YEAR(D11)+9)&lt;YEAR(E11),0,IF((YEAR(D11)+9)&gt;YEAR(E11),1,(12-MONTH(E11)+1)/12)))*(1/(1+DiscountRate)^9))</f>
        <v/>
      </c>
      <c r="BS11" s="36">
        <f>IF(A11="","",(K11)*(IF((YEAR(D11)+10)&lt;YEAR(E11),0,IF((YEAR(D11)+10)&gt;YEAR(E11),1,(12-MONTH(E11)+1)/12)))*(1/(1+DiscountRate)^10))</f>
        <v/>
      </c>
      <c r="BT11" s="36">
        <f>IF(A11="","",(K11)*(IF((YEAR(D11)+11)&lt;YEAR(E11),0,IF((YEAR(D11)+11)&gt;YEAR(E11),1,(12-MONTH(E11)+1)/12)))*(1/(1+DiscountRate)^11))</f>
        <v/>
      </c>
      <c r="BU11" s="36">
        <f>IF(A11="","",(K11)*(IF((YEAR(D11)+12)&lt;YEAR(E11),0,IF((YEAR(D11)+12)&gt;YEAR(E11),1,(12-MONTH(E11)+1)/12)))*(1/(1+DiscountRate)^12))</f>
        <v/>
      </c>
      <c r="BV11" s="36">
        <f>IF(A11="","",(K11)*(IF((YEAR(D11)+13)&lt;YEAR(E11),0,IF((YEAR(D11)+13)&gt;YEAR(E11),1,(12-MONTH(E11)+1)/12)))*(1/(1+DiscountRate)^13))</f>
        <v/>
      </c>
      <c r="BW11" s="36">
        <f>IF(A11="","",(K11)*(IF((YEAR(D11)+14)&lt;YEAR(E11),0,IF((YEAR(D11)+14)&gt;YEAR(E11),1,(12-MONTH(E11)+1)/12)))*(1/(1+DiscountRate)^14))</f>
        <v/>
      </c>
      <c r="BX11" s="36">
        <f>IF(A11="","",(K11)*(IF((YEAR(D11)+15)&lt;YEAR(E11),0,IF((YEAR(D11)+15)&gt;YEAR(E11),1,(12-MONTH(E11)+1)/12)))*(1/(1+DiscountRate)^15))</f>
        <v/>
      </c>
      <c r="BY11" s="36">
        <f>IF(A11="","",(K11)*(IF((YEAR(D11)+16)&lt;YEAR(E11),0,IF((YEAR(D11)+16)&gt;YEAR(E11),1,(12-MONTH(E11)+1)/12)))*(1/(1+DiscountRate)^16))</f>
        <v/>
      </c>
      <c r="BZ11" s="36">
        <f>IF(A11="","",(K11)*(IF((YEAR(D11)+17)&lt;YEAR(E11),0,IF((YEAR(D11)+17)&gt;YEAR(E11),1,(12-MONTH(E11)+1)/12)))*(1/(1+DiscountRate)^17))</f>
        <v/>
      </c>
      <c r="CA11" s="36">
        <f>IF(A11="","",(K11)*(IF((YEAR(D11)+18)&lt;YEAR(E11),0,IF((YEAR(D11)+18)&gt;YEAR(E11),1,(12-MONTH(E11)+1)/12)))*(1/(1+DiscountRate)^18))</f>
        <v/>
      </c>
      <c r="CB11" s="36">
        <f>IF(A11="","",(K11)*(IF((YEAR(D11)+19)&lt;YEAR(E11),0,IF((YEAR(D11)+19)&gt;YEAR(E11),1,(12-MONTH(E11)+1)/12)))*(1/(1+DiscountRate)^19))</f>
        <v/>
      </c>
      <c r="CC11" s="36">
        <f>IF(A11="","",(K11)*(IF((YEAR(D11)+20)&lt;YEAR(E11),0,IF((YEAR(D11)+20)&gt;YEAR(E11),1,(12-MONTH(E11)+1)/12)))*(1/(1+DiscountRate)^20))</f>
        <v/>
      </c>
      <c r="CD11" s="29">
        <f>IF(A11="","",S11/(1+DiscountRate)^0+T11/(1+DiscountRate)^1+U11/(1+DiscountRate)^2+V11/(1+DiscountRate)^3+W11/(1+DiscountRate)^4+X11/(1+DiscountRate)^5+Y11/(1+DiscountRate)^6+Z11/(1+DiscountRate)^7+AA11/(1+DiscountRate)^8+AB11/(1+DiscountRate)^9+AC11/(1+DiscountRate)^10+AD11/(1+DiscountRate)^11+AE11/(1+DiscountRate)^12+AF11/(1+DiscountRate)^13+AG11/(1+DiscountRate)^14+AH11/(1+DiscountRate)^15+AI11/(1+DiscountRate)^16+AJ11/(1+DiscountRate)^17+AK11/(1+DiscountRate)^18+AL11/(1+DiscountRate)^19+AM11/(1+DiscountRate)^20)</f>
        <v/>
      </c>
      <c r="CE11" s="37">
        <f>IF(A11="","",IFERROR(IRR(OFFSET(S11,0,0,1,MIN(HorizonYears,20)+1)),"n/a"))</f>
        <v/>
      </c>
      <c r="CF11" s="28">
        <f>IF(A11="","",IFERROR(MATCH(TRUE,OFFSET(AN11,0,0,1,MIN(HorizonYears,20)+1)&gt;=0,0)-1,"n/a"))</f>
        <v/>
      </c>
      <c r="CG11" s="36">
        <f>IF(A11="","",SUM(OFFSET(BI11,0,0,1,MIN(HorizonYears,20)+1)))</f>
        <v/>
      </c>
      <c r="CH11" s="36">
        <f>IF(A11="","",IFERROR(-CD11/CG11,"n/a"))</f>
        <v/>
      </c>
    </row>
    <row r="12">
      <c r="A12" s="6">
        <f>Actions!A10</f>
        <v/>
      </c>
      <c r="B12" s="6">
        <f>Actions!B10</f>
        <v/>
      </c>
      <c r="C12" s="6">
        <f>Actions!D10</f>
        <v/>
      </c>
      <c r="D12" s="35">
        <f>Actions!E10</f>
        <v/>
      </c>
      <c r="E12" s="35">
        <f>Actions!F10</f>
        <v/>
      </c>
      <c r="F12" s="6">
        <f>Actions!G10</f>
        <v/>
      </c>
      <c r="G12" s="6">
        <f>Actions!H10</f>
        <v/>
      </c>
      <c r="H12" s="29">
        <f>Actions!I10</f>
        <v/>
      </c>
      <c r="I12" s="6">
        <f>Actions!J10</f>
        <v/>
      </c>
      <c r="J12" s="16">
        <f>Actions!K10</f>
        <v/>
      </c>
      <c r="K12" s="16">
        <f>IF(A12="","",IF(I12="%",H12*J12,J12))</f>
        <v/>
      </c>
      <c r="L12" s="16">
        <f>Actions!L10</f>
        <v/>
      </c>
      <c r="M12" s="6">
        <f>Actions!M10</f>
        <v/>
      </c>
      <c r="N12" s="28">
        <f>Actions!N10</f>
        <v/>
      </c>
      <c r="O12" s="29">
        <f>Actions!T10</f>
        <v/>
      </c>
      <c r="P12" s="29">
        <f>Actions!Y10</f>
        <v/>
      </c>
      <c r="Q12" s="29">
        <f>Actions!Z10</f>
        <v/>
      </c>
      <c r="R12" s="29">
        <f>Actions!AA10</f>
        <v/>
      </c>
      <c r="S12" s="29">
        <f>IF(A12="","",((K12)*(IF(M12="",L12,IFERROR(IF(INDEX(Variablen!$I:$AT, MATCH(M12, Variablen!$A:$A, 0), MATCH((YEAR(D12)+0), Variablen!$I$3:$AT$3, 0))="",L12,INDEX(Variablen!$I:$AT, MATCH(M12, Variablen!$A:$A, 0), MATCH((YEAR(D12)+0), Variablen!$I$3:$AT$3, 0))),L12)))*(IF((YEAR(D12)+0)&lt;YEAR(E12),0,IF((YEAR(D12)+0)&gt;YEAR(E12),1,(12-MONTH(E12)+1)/12))) + (Q12)*(IF((YEAR(D12)+0)&lt;YEAR(E12),0,IF((YEAR(D12)+0)&gt;YEAR(E12),1,(12-MONTH(E12)+1)/12))))-((P12)*(IF((YEAR(D12)+0)&lt;YEAR(E12),0,IF((YEAR(D12)+0)&gt;YEAR(E12),1,(12-MONTH(E12)+1)/12))) + (R12)*(IF((YEAR(D12)+0)&lt;YEAR(E12),0,IF((YEAR(D12)+0)&gt;YEAR(E12),1,(12-MONTH(E12)+1)/12))))-(IF((((K12)*(IF(M12="",L12,IFERROR(IF(INDEX(Variablen!$I:$AT, MATCH(M12, Variablen!$A:$A, 0), MATCH((YEAR(D12)+0), Variablen!$I$3:$AT$3, 0))="",L12,INDEX(Variablen!$I:$AT, MATCH(M12, Variablen!$A:$A, 0), MATCH((YEAR(D12)+0), Variablen!$I$3:$AT$3, 0))),L12)))*(IF((YEAR(D12)+0)&lt;YEAR(E12),0,IF((YEAR(D12)+0)&gt;YEAR(E12),1,(12-MONTH(E12)+1)/12))) + (Q12)*(IF((YEAR(D12)+0)&lt;YEAR(E12),0,IF((YEAR(D12)+0)&gt;YEAR(E12),1,(12-MONTH(E12)+1)/12))))-((P12)*(IF((YEAR(D12)+0)&lt;YEAR(E12),0,IF((YEAR(D12)+0)&gt;YEAR(E12),1,(12-MONTH(E12)+1)/12))) + (R12)*(IF((YEAR(D12)+0)&lt;YEAR(E12),0,IF((YEAR(D12)+0)&gt;YEAR(E12),1,(12-MONTH(E12)+1)/12))))-(IF(OR(N12="",N12&lt;=0),0,(O12/N12)*(IF(OR(N12="",N12&lt;=0),0,IF((YEAR(D12)+0)&lt;YEAR(E12),0,IF((YEAR(D12)+0)&gt;=YEAR(E12)+N12,0,IF((YEAR(D12)+0)=YEAR(E12),(12-MONTH(E12)+1)/12,1))))))))&gt;0,(((K12)*(IF(M12="",L12,IFERROR(IF(INDEX(Variablen!$I:$AT, MATCH(M12, Variablen!$A:$A, 0), MATCH((YEAR(D12)+0), Variablen!$I$3:$AT$3, 0))="",L12,INDEX(Variablen!$I:$AT, MATCH(M12, Variablen!$A:$A, 0), MATCH((YEAR(D12)+0), Variablen!$I$3:$AT$3, 0))),L12)))*(IF((YEAR(D12)+0)&lt;YEAR(E12),0,IF((YEAR(D12)+0)&gt;YEAR(E12),1,(12-MONTH(E12)+1)/12))) + (Q12)*(IF((YEAR(D12)+0)&lt;YEAR(E12),0,IF((YEAR(D12)+0)&gt;YEAR(E12),1,(12-MONTH(E12)+1)/12))))-((P12)*(IF((YEAR(D12)+0)&lt;YEAR(E12),0,IF((YEAR(D12)+0)&gt;YEAR(E12),1,(12-MONTH(E12)+1)/12))) + (R12)*(IF((YEAR(D12)+0)&lt;YEAR(E12),0,IF((YEAR(D12)+0)&gt;YEAR(E12),1,(12-MONTH(E12)+1)/12))))-(IF(OR(N12="",N12&lt;=0),0,(O12/N12)*(IF(OR(N12="",N12&lt;=0),0,IF((YEAR(D12)+0)&lt;YEAR(E12),0,IF((YEAR(D12)+0)&gt;=YEAR(E12)+N12,0,IF((YEAR(D12)+0)=YEAR(E12),(12-MONTH(E12)+1)/12,1))))))))*TaxRate,0))-IF(0=0,O12,0))</f>
        <v/>
      </c>
      <c r="T12" s="29">
        <f>IF(A12="","",((K12)*(IF(M12="",L12,IFERROR(IF(INDEX(Variablen!$I:$AT, MATCH(M12, Variablen!$A:$A, 0), MATCH((YEAR(D12)+1), Variablen!$I$3:$AT$3, 0))="",L12,INDEX(Variablen!$I:$AT, MATCH(M12, Variablen!$A:$A, 0), MATCH((YEAR(D12)+1), Variablen!$I$3:$AT$3, 0))),L12)))*(IF((YEAR(D12)+1)&lt;YEAR(E12),0,IF((YEAR(D12)+1)&gt;YEAR(E12),1,(12-MONTH(E12)+1)/12))) + (Q12)*(IF((YEAR(D12)+1)&lt;YEAR(E12),0,IF((YEAR(D12)+1)&gt;YEAR(E12),1,(12-MONTH(E12)+1)/12))))-((P12)*(IF((YEAR(D12)+1)&lt;YEAR(E12),0,IF((YEAR(D12)+1)&gt;YEAR(E12),1,(12-MONTH(E12)+1)/12))) + (R12)*(IF((YEAR(D12)+1)&lt;YEAR(E12),0,IF((YEAR(D12)+1)&gt;YEAR(E12),1,(12-MONTH(E12)+1)/12))))-(IF((((K12)*(IF(M12="",L12,IFERROR(IF(INDEX(Variablen!$I:$AT, MATCH(M12, Variablen!$A:$A, 0), MATCH((YEAR(D12)+1), Variablen!$I$3:$AT$3, 0))="",L12,INDEX(Variablen!$I:$AT, MATCH(M12, Variablen!$A:$A, 0), MATCH((YEAR(D12)+1), Variablen!$I$3:$AT$3, 0))),L12)))*(IF((YEAR(D12)+1)&lt;YEAR(E12),0,IF((YEAR(D12)+1)&gt;YEAR(E12),1,(12-MONTH(E12)+1)/12))) + (Q12)*(IF((YEAR(D12)+1)&lt;YEAR(E12),0,IF((YEAR(D12)+1)&gt;YEAR(E12),1,(12-MONTH(E12)+1)/12))))-((P12)*(IF((YEAR(D12)+1)&lt;YEAR(E12),0,IF((YEAR(D12)+1)&gt;YEAR(E12),1,(12-MONTH(E12)+1)/12))) + (R12)*(IF((YEAR(D12)+1)&lt;YEAR(E12),0,IF((YEAR(D12)+1)&gt;YEAR(E12),1,(12-MONTH(E12)+1)/12))))-(IF(OR(N12="",N12&lt;=0),0,(O12/N12)*(IF(OR(N12="",N12&lt;=0),0,IF((YEAR(D12)+1)&lt;YEAR(E12),0,IF((YEAR(D12)+1)&gt;=YEAR(E12)+N12,0,IF((YEAR(D12)+1)=YEAR(E12),(12-MONTH(E12)+1)/12,1))))))))&gt;0,(((K12)*(IF(M12="",L12,IFERROR(IF(INDEX(Variablen!$I:$AT, MATCH(M12, Variablen!$A:$A, 0), MATCH((YEAR(D12)+1), Variablen!$I$3:$AT$3, 0))="",L12,INDEX(Variablen!$I:$AT, MATCH(M12, Variablen!$A:$A, 0), MATCH((YEAR(D12)+1), Variablen!$I$3:$AT$3, 0))),L12)))*(IF((YEAR(D12)+1)&lt;YEAR(E12),0,IF((YEAR(D12)+1)&gt;YEAR(E12),1,(12-MONTH(E12)+1)/12))) + (Q12)*(IF((YEAR(D12)+1)&lt;YEAR(E12),0,IF((YEAR(D12)+1)&gt;YEAR(E12),1,(12-MONTH(E12)+1)/12))))-((P12)*(IF((YEAR(D12)+1)&lt;YEAR(E12),0,IF((YEAR(D12)+1)&gt;YEAR(E12),1,(12-MONTH(E12)+1)/12))) + (R12)*(IF((YEAR(D12)+1)&lt;YEAR(E12),0,IF((YEAR(D12)+1)&gt;YEAR(E12),1,(12-MONTH(E12)+1)/12))))-(IF(OR(N12="",N12&lt;=0),0,(O12/N12)*(IF(OR(N12="",N12&lt;=0),0,IF((YEAR(D12)+1)&lt;YEAR(E12),0,IF((YEAR(D12)+1)&gt;=YEAR(E12)+N12,0,IF((YEAR(D12)+1)=YEAR(E12),(12-MONTH(E12)+1)/12,1))))))))*TaxRate,0))-IF(1=0,O12,0))</f>
        <v/>
      </c>
      <c r="U12" s="29">
        <f>IF(A12="","",((K12)*(IF(M12="",L12,IFERROR(IF(INDEX(Variablen!$I:$AT, MATCH(M12, Variablen!$A:$A, 0), MATCH((YEAR(D12)+2), Variablen!$I$3:$AT$3, 0))="",L12,INDEX(Variablen!$I:$AT, MATCH(M12, Variablen!$A:$A, 0), MATCH((YEAR(D12)+2), Variablen!$I$3:$AT$3, 0))),L12)))*(IF((YEAR(D12)+2)&lt;YEAR(E12),0,IF((YEAR(D12)+2)&gt;YEAR(E12),1,(12-MONTH(E12)+1)/12))) + (Q12)*(IF((YEAR(D12)+2)&lt;YEAR(E12),0,IF((YEAR(D12)+2)&gt;YEAR(E12),1,(12-MONTH(E12)+1)/12))))-((P12)*(IF((YEAR(D12)+2)&lt;YEAR(E12),0,IF((YEAR(D12)+2)&gt;YEAR(E12),1,(12-MONTH(E12)+1)/12))) + (R12)*(IF((YEAR(D12)+2)&lt;YEAR(E12),0,IF((YEAR(D12)+2)&gt;YEAR(E12),1,(12-MONTH(E12)+1)/12))))-(IF((((K12)*(IF(M12="",L12,IFERROR(IF(INDEX(Variablen!$I:$AT, MATCH(M12, Variablen!$A:$A, 0), MATCH((YEAR(D12)+2), Variablen!$I$3:$AT$3, 0))="",L12,INDEX(Variablen!$I:$AT, MATCH(M12, Variablen!$A:$A, 0), MATCH((YEAR(D12)+2), Variablen!$I$3:$AT$3, 0))),L12)))*(IF((YEAR(D12)+2)&lt;YEAR(E12),0,IF((YEAR(D12)+2)&gt;YEAR(E12),1,(12-MONTH(E12)+1)/12))) + (Q12)*(IF((YEAR(D12)+2)&lt;YEAR(E12),0,IF((YEAR(D12)+2)&gt;YEAR(E12),1,(12-MONTH(E12)+1)/12))))-((P12)*(IF((YEAR(D12)+2)&lt;YEAR(E12),0,IF((YEAR(D12)+2)&gt;YEAR(E12),1,(12-MONTH(E12)+1)/12))) + (R12)*(IF((YEAR(D12)+2)&lt;YEAR(E12),0,IF((YEAR(D12)+2)&gt;YEAR(E12),1,(12-MONTH(E12)+1)/12))))-(IF(OR(N12="",N12&lt;=0),0,(O12/N12)*(IF(OR(N12="",N12&lt;=0),0,IF((YEAR(D12)+2)&lt;YEAR(E12),0,IF((YEAR(D12)+2)&gt;=YEAR(E12)+N12,0,IF((YEAR(D12)+2)=YEAR(E12),(12-MONTH(E12)+1)/12,1))))))))&gt;0,(((K12)*(IF(M12="",L12,IFERROR(IF(INDEX(Variablen!$I:$AT, MATCH(M12, Variablen!$A:$A, 0), MATCH((YEAR(D12)+2), Variablen!$I$3:$AT$3, 0))="",L12,INDEX(Variablen!$I:$AT, MATCH(M12, Variablen!$A:$A, 0), MATCH((YEAR(D12)+2), Variablen!$I$3:$AT$3, 0))),L12)))*(IF((YEAR(D12)+2)&lt;YEAR(E12),0,IF((YEAR(D12)+2)&gt;YEAR(E12),1,(12-MONTH(E12)+1)/12))) + (Q12)*(IF((YEAR(D12)+2)&lt;YEAR(E12),0,IF((YEAR(D12)+2)&gt;YEAR(E12),1,(12-MONTH(E12)+1)/12))))-((P12)*(IF((YEAR(D12)+2)&lt;YEAR(E12),0,IF((YEAR(D12)+2)&gt;YEAR(E12),1,(12-MONTH(E12)+1)/12))) + (R12)*(IF((YEAR(D12)+2)&lt;YEAR(E12),0,IF((YEAR(D12)+2)&gt;YEAR(E12),1,(12-MONTH(E12)+1)/12))))-(IF(OR(N12="",N12&lt;=0),0,(O12/N12)*(IF(OR(N12="",N12&lt;=0),0,IF((YEAR(D12)+2)&lt;YEAR(E12),0,IF((YEAR(D12)+2)&gt;=YEAR(E12)+N12,0,IF((YEAR(D12)+2)=YEAR(E12),(12-MONTH(E12)+1)/12,1))))))))*TaxRate,0))-IF(2=0,O12,0))</f>
        <v/>
      </c>
      <c r="V12" s="29">
        <f>IF(A12="","",((K12)*(IF(M12="",L12,IFERROR(IF(INDEX(Variablen!$I:$AT, MATCH(M12, Variablen!$A:$A, 0), MATCH((YEAR(D12)+3), Variablen!$I$3:$AT$3, 0))="",L12,INDEX(Variablen!$I:$AT, MATCH(M12, Variablen!$A:$A, 0), MATCH((YEAR(D12)+3), Variablen!$I$3:$AT$3, 0))),L12)))*(IF((YEAR(D12)+3)&lt;YEAR(E12),0,IF((YEAR(D12)+3)&gt;YEAR(E12),1,(12-MONTH(E12)+1)/12))) + (Q12)*(IF((YEAR(D12)+3)&lt;YEAR(E12),0,IF((YEAR(D12)+3)&gt;YEAR(E12),1,(12-MONTH(E12)+1)/12))))-((P12)*(IF((YEAR(D12)+3)&lt;YEAR(E12),0,IF((YEAR(D12)+3)&gt;YEAR(E12),1,(12-MONTH(E12)+1)/12))) + (R12)*(IF((YEAR(D12)+3)&lt;YEAR(E12),0,IF((YEAR(D12)+3)&gt;YEAR(E12),1,(12-MONTH(E12)+1)/12))))-(IF((((K12)*(IF(M12="",L12,IFERROR(IF(INDEX(Variablen!$I:$AT, MATCH(M12, Variablen!$A:$A, 0), MATCH((YEAR(D12)+3), Variablen!$I$3:$AT$3, 0))="",L12,INDEX(Variablen!$I:$AT, MATCH(M12, Variablen!$A:$A, 0), MATCH((YEAR(D12)+3), Variablen!$I$3:$AT$3, 0))),L12)))*(IF((YEAR(D12)+3)&lt;YEAR(E12),0,IF((YEAR(D12)+3)&gt;YEAR(E12),1,(12-MONTH(E12)+1)/12))) + (Q12)*(IF((YEAR(D12)+3)&lt;YEAR(E12),0,IF((YEAR(D12)+3)&gt;YEAR(E12),1,(12-MONTH(E12)+1)/12))))-((P12)*(IF((YEAR(D12)+3)&lt;YEAR(E12),0,IF((YEAR(D12)+3)&gt;YEAR(E12),1,(12-MONTH(E12)+1)/12))) + (R12)*(IF((YEAR(D12)+3)&lt;YEAR(E12),0,IF((YEAR(D12)+3)&gt;YEAR(E12),1,(12-MONTH(E12)+1)/12))))-(IF(OR(N12="",N12&lt;=0),0,(O12/N12)*(IF(OR(N12="",N12&lt;=0),0,IF((YEAR(D12)+3)&lt;YEAR(E12),0,IF((YEAR(D12)+3)&gt;=YEAR(E12)+N12,0,IF((YEAR(D12)+3)=YEAR(E12),(12-MONTH(E12)+1)/12,1))))))))&gt;0,(((K12)*(IF(M12="",L12,IFERROR(IF(INDEX(Variablen!$I:$AT, MATCH(M12, Variablen!$A:$A, 0), MATCH((YEAR(D12)+3), Variablen!$I$3:$AT$3, 0))="",L12,INDEX(Variablen!$I:$AT, MATCH(M12, Variablen!$A:$A, 0), MATCH((YEAR(D12)+3), Variablen!$I$3:$AT$3, 0))),L12)))*(IF((YEAR(D12)+3)&lt;YEAR(E12),0,IF((YEAR(D12)+3)&gt;YEAR(E12),1,(12-MONTH(E12)+1)/12))) + (Q12)*(IF((YEAR(D12)+3)&lt;YEAR(E12),0,IF((YEAR(D12)+3)&gt;YEAR(E12),1,(12-MONTH(E12)+1)/12))))-((P12)*(IF((YEAR(D12)+3)&lt;YEAR(E12),0,IF((YEAR(D12)+3)&gt;YEAR(E12),1,(12-MONTH(E12)+1)/12))) + (R12)*(IF((YEAR(D12)+3)&lt;YEAR(E12),0,IF((YEAR(D12)+3)&gt;YEAR(E12),1,(12-MONTH(E12)+1)/12))))-(IF(OR(N12="",N12&lt;=0),0,(O12/N12)*(IF(OR(N12="",N12&lt;=0),0,IF((YEAR(D12)+3)&lt;YEAR(E12),0,IF((YEAR(D12)+3)&gt;=YEAR(E12)+N12,0,IF((YEAR(D12)+3)=YEAR(E12),(12-MONTH(E12)+1)/12,1))))))))*TaxRate,0))-IF(3=0,O12,0))</f>
        <v/>
      </c>
      <c r="W12" s="29">
        <f>IF(A12="","",((K12)*(IF(M12="",L12,IFERROR(IF(INDEX(Variablen!$I:$AT, MATCH(M12, Variablen!$A:$A, 0), MATCH((YEAR(D12)+4), Variablen!$I$3:$AT$3, 0))="",L12,INDEX(Variablen!$I:$AT, MATCH(M12, Variablen!$A:$A, 0), MATCH((YEAR(D12)+4), Variablen!$I$3:$AT$3, 0))),L12)))*(IF((YEAR(D12)+4)&lt;YEAR(E12),0,IF((YEAR(D12)+4)&gt;YEAR(E12),1,(12-MONTH(E12)+1)/12))) + (Q12)*(IF((YEAR(D12)+4)&lt;YEAR(E12),0,IF((YEAR(D12)+4)&gt;YEAR(E12),1,(12-MONTH(E12)+1)/12))))-((P12)*(IF((YEAR(D12)+4)&lt;YEAR(E12),0,IF((YEAR(D12)+4)&gt;YEAR(E12),1,(12-MONTH(E12)+1)/12))) + (R12)*(IF((YEAR(D12)+4)&lt;YEAR(E12),0,IF((YEAR(D12)+4)&gt;YEAR(E12),1,(12-MONTH(E12)+1)/12))))-(IF((((K12)*(IF(M12="",L12,IFERROR(IF(INDEX(Variablen!$I:$AT, MATCH(M12, Variablen!$A:$A, 0), MATCH((YEAR(D12)+4), Variablen!$I$3:$AT$3, 0))="",L12,INDEX(Variablen!$I:$AT, MATCH(M12, Variablen!$A:$A, 0), MATCH((YEAR(D12)+4), Variablen!$I$3:$AT$3, 0))),L12)))*(IF((YEAR(D12)+4)&lt;YEAR(E12),0,IF((YEAR(D12)+4)&gt;YEAR(E12),1,(12-MONTH(E12)+1)/12))) + (Q12)*(IF((YEAR(D12)+4)&lt;YEAR(E12),0,IF((YEAR(D12)+4)&gt;YEAR(E12),1,(12-MONTH(E12)+1)/12))))-((P12)*(IF((YEAR(D12)+4)&lt;YEAR(E12),0,IF((YEAR(D12)+4)&gt;YEAR(E12),1,(12-MONTH(E12)+1)/12))) + (R12)*(IF((YEAR(D12)+4)&lt;YEAR(E12),0,IF((YEAR(D12)+4)&gt;YEAR(E12),1,(12-MONTH(E12)+1)/12))))-(IF(OR(N12="",N12&lt;=0),0,(O12/N12)*(IF(OR(N12="",N12&lt;=0),0,IF((YEAR(D12)+4)&lt;YEAR(E12),0,IF((YEAR(D12)+4)&gt;=YEAR(E12)+N12,0,IF((YEAR(D12)+4)=YEAR(E12),(12-MONTH(E12)+1)/12,1))))))))&gt;0,(((K12)*(IF(M12="",L12,IFERROR(IF(INDEX(Variablen!$I:$AT, MATCH(M12, Variablen!$A:$A, 0), MATCH((YEAR(D12)+4), Variablen!$I$3:$AT$3, 0))="",L12,INDEX(Variablen!$I:$AT, MATCH(M12, Variablen!$A:$A, 0), MATCH((YEAR(D12)+4), Variablen!$I$3:$AT$3, 0))),L12)))*(IF((YEAR(D12)+4)&lt;YEAR(E12),0,IF((YEAR(D12)+4)&gt;YEAR(E12),1,(12-MONTH(E12)+1)/12))) + (Q12)*(IF((YEAR(D12)+4)&lt;YEAR(E12),0,IF((YEAR(D12)+4)&gt;YEAR(E12),1,(12-MONTH(E12)+1)/12))))-((P12)*(IF((YEAR(D12)+4)&lt;YEAR(E12),0,IF((YEAR(D12)+4)&gt;YEAR(E12),1,(12-MONTH(E12)+1)/12))) + (R12)*(IF((YEAR(D12)+4)&lt;YEAR(E12),0,IF((YEAR(D12)+4)&gt;YEAR(E12),1,(12-MONTH(E12)+1)/12))))-(IF(OR(N12="",N12&lt;=0),0,(O12/N12)*(IF(OR(N12="",N12&lt;=0),0,IF((YEAR(D12)+4)&lt;YEAR(E12),0,IF((YEAR(D12)+4)&gt;=YEAR(E12)+N12,0,IF((YEAR(D12)+4)=YEAR(E12),(12-MONTH(E12)+1)/12,1))))))))*TaxRate,0))-IF(4=0,O12,0))</f>
        <v/>
      </c>
      <c r="X12" s="29">
        <f>IF(A12="","",((K12)*(IF(M12="",L12,IFERROR(IF(INDEX(Variablen!$I:$AT, MATCH(M12, Variablen!$A:$A, 0), MATCH((YEAR(D12)+5), Variablen!$I$3:$AT$3, 0))="",L12,INDEX(Variablen!$I:$AT, MATCH(M12, Variablen!$A:$A, 0), MATCH((YEAR(D12)+5), Variablen!$I$3:$AT$3, 0))),L12)))*(IF((YEAR(D12)+5)&lt;YEAR(E12),0,IF((YEAR(D12)+5)&gt;YEAR(E12),1,(12-MONTH(E12)+1)/12))) + (Q12)*(IF((YEAR(D12)+5)&lt;YEAR(E12),0,IF((YEAR(D12)+5)&gt;YEAR(E12),1,(12-MONTH(E12)+1)/12))))-((P12)*(IF((YEAR(D12)+5)&lt;YEAR(E12),0,IF((YEAR(D12)+5)&gt;YEAR(E12),1,(12-MONTH(E12)+1)/12))) + (R12)*(IF((YEAR(D12)+5)&lt;YEAR(E12),0,IF((YEAR(D12)+5)&gt;YEAR(E12),1,(12-MONTH(E12)+1)/12))))-(IF((((K12)*(IF(M12="",L12,IFERROR(IF(INDEX(Variablen!$I:$AT, MATCH(M12, Variablen!$A:$A, 0), MATCH((YEAR(D12)+5), Variablen!$I$3:$AT$3, 0))="",L12,INDEX(Variablen!$I:$AT, MATCH(M12, Variablen!$A:$A, 0), MATCH((YEAR(D12)+5), Variablen!$I$3:$AT$3, 0))),L12)))*(IF((YEAR(D12)+5)&lt;YEAR(E12),0,IF((YEAR(D12)+5)&gt;YEAR(E12),1,(12-MONTH(E12)+1)/12))) + (Q12)*(IF((YEAR(D12)+5)&lt;YEAR(E12),0,IF((YEAR(D12)+5)&gt;YEAR(E12),1,(12-MONTH(E12)+1)/12))))-((P12)*(IF((YEAR(D12)+5)&lt;YEAR(E12),0,IF((YEAR(D12)+5)&gt;YEAR(E12),1,(12-MONTH(E12)+1)/12))) + (R12)*(IF((YEAR(D12)+5)&lt;YEAR(E12),0,IF((YEAR(D12)+5)&gt;YEAR(E12),1,(12-MONTH(E12)+1)/12))))-(IF(OR(N12="",N12&lt;=0),0,(O12/N12)*(IF(OR(N12="",N12&lt;=0),0,IF((YEAR(D12)+5)&lt;YEAR(E12),0,IF((YEAR(D12)+5)&gt;=YEAR(E12)+N12,0,IF((YEAR(D12)+5)=YEAR(E12),(12-MONTH(E12)+1)/12,1))))))))&gt;0,(((K12)*(IF(M12="",L12,IFERROR(IF(INDEX(Variablen!$I:$AT, MATCH(M12, Variablen!$A:$A, 0), MATCH((YEAR(D12)+5), Variablen!$I$3:$AT$3, 0))="",L12,INDEX(Variablen!$I:$AT, MATCH(M12, Variablen!$A:$A, 0), MATCH((YEAR(D12)+5), Variablen!$I$3:$AT$3, 0))),L12)))*(IF((YEAR(D12)+5)&lt;YEAR(E12),0,IF((YEAR(D12)+5)&gt;YEAR(E12),1,(12-MONTH(E12)+1)/12))) + (Q12)*(IF((YEAR(D12)+5)&lt;YEAR(E12),0,IF((YEAR(D12)+5)&gt;YEAR(E12),1,(12-MONTH(E12)+1)/12))))-((P12)*(IF((YEAR(D12)+5)&lt;YEAR(E12),0,IF((YEAR(D12)+5)&gt;YEAR(E12),1,(12-MONTH(E12)+1)/12))) + (R12)*(IF((YEAR(D12)+5)&lt;YEAR(E12),0,IF((YEAR(D12)+5)&gt;YEAR(E12),1,(12-MONTH(E12)+1)/12))))-(IF(OR(N12="",N12&lt;=0),0,(O12/N12)*(IF(OR(N12="",N12&lt;=0),0,IF((YEAR(D12)+5)&lt;YEAR(E12),0,IF((YEAR(D12)+5)&gt;=YEAR(E12)+N12,0,IF((YEAR(D12)+5)=YEAR(E12),(12-MONTH(E12)+1)/12,1))))))))*TaxRate,0))-IF(5=0,O12,0))</f>
        <v/>
      </c>
      <c r="Y12" s="29">
        <f>IF(A12="","",((K12)*(IF(M12="",L12,IFERROR(IF(INDEX(Variablen!$I:$AT, MATCH(M12, Variablen!$A:$A, 0), MATCH((YEAR(D12)+6), Variablen!$I$3:$AT$3, 0))="",L12,INDEX(Variablen!$I:$AT, MATCH(M12, Variablen!$A:$A, 0), MATCH((YEAR(D12)+6), Variablen!$I$3:$AT$3, 0))),L12)))*(IF((YEAR(D12)+6)&lt;YEAR(E12),0,IF((YEAR(D12)+6)&gt;YEAR(E12),1,(12-MONTH(E12)+1)/12))) + (Q12)*(IF((YEAR(D12)+6)&lt;YEAR(E12),0,IF((YEAR(D12)+6)&gt;YEAR(E12),1,(12-MONTH(E12)+1)/12))))-((P12)*(IF((YEAR(D12)+6)&lt;YEAR(E12),0,IF((YEAR(D12)+6)&gt;YEAR(E12),1,(12-MONTH(E12)+1)/12))) + (R12)*(IF((YEAR(D12)+6)&lt;YEAR(E12),0,IF((YEAR(D12)+6)&gt;YEAR(E12),1,(12-MONTH(E12)+1)/12))))-(IF((((K12)*(IF(M12="",L12,IFERROR(IF(INDEX(Variablen!$I:$AT, MATCH(M12, Variablen!$A:$A, 0), MATCH((YEAR(D12)+6), Variablen!$I$3:$AT$3, 0))="",L12,INDEX(Variablen!$I:$AT, MATCH(M12, Variablen!$A:$A, 0), MATCH((YEAR(D12)+6), Variablen!$I$3:$AT$3, 0))),L12)))*(IF((YEAR(D12)+6)&lt;YEAR(E12),0,IF((YEAR(D12)+6)&gt;YEAR(E12),1,(12-MONTH(E12)+1)/12))) + (Q12)*(IF((YEAR(D12)+6)&lt;YEAR(E12),0,IF((YEAR(D12)+6)&gt;YEAR(E12),1,(12-MONTH(E12)+1)/12))))-((P12)*(IF((YEAR(D12)+6)&lt;YEAR(E12),0,IF((YEAR(D12)+6)&gt;YEAR(E12),1,(12-MONTH(E12)+1)/12))) + (R12)*(IF((YEAR(D12)+6)&lt;YEAR(E12),0,IF((YEAR(D12)+6)&gt;YEAR(E12),1,(12-MONTH(E12)+1)/12))))-(IF(OR(N12="",N12&lt;=0),0,(O12/N12)*(IF(OR(N12="",N12&lt;=0),0,IF((YEAR(D12)+6)&lt;YEAR(E12),0,IF((YEAR(D12)+6)&gt;=YEAR(E12)+N12,0,IF((YEAR(D12)+6)=YEAR(E12),(12-MONTH(E12)+1)/12,1))))))))&gt;0,(((K12)*(IF(M12="",L12,IFERROR(IF(INDEX(Variablen!$I:$AT, MATCH(M12, Variablen!$A:$A, 0), MATCH((YEAR(D12)+6), Variablen!$I$3:$AT$3, 0))="",L12,INDEX(Variablen!$I:$AT, MATCH(M12, Variablen!$A:$A, 0), MATCH((YEAR(D12)+6), Variablen!$I$3:$AT$3, 0))),L12)))*(IF((YEAR(D12)+6)&lt;YEAR(E12),0,IF((YEAR(D12)+6)&gt;YEAR(E12),1,(12-MONTH(E12)+1)/12))) + (Q12)*(IF((YEAR(D12)+6)&lt;YEAR(E12),0,IF((YEAR(D12)+6)&gt;YEAR(E12),1,(12-MONTH(E12)+1)/12))))-((P12)*(IF((YEAR(D12)+6)&lt;YEAR(E12),0,IF((YEAR(D12)+6)&gt;YEAR(E12),1,(12-MONTH(E12)+1)/12))) + (R12)*(IF((YEAR(D12)+6)&lt;YEAR(E12),0,IF((YEAR(D12)+6)&gt;YEAR(E12),1,(12-MONTH(E12)+1)/12))))-(IF(OR(N12="",N12&lt;=0),0,(O12/N12)*(IF(OR(N12="",N12&lt;=0),0,IF((YEAR(D12)+6)&lt;YEAR(E12),0,IF((YEAR(D12)+6)&gt;=YEAR(E12)+N12,0,IF((YEAR(D12)+6)=YEAR(E12),(12-MONTH(E12)+1)/12,1))))))))*TaxRate,0))-IF(6=0,O12,0))</f>
        <v/>
      </c>
      <c r="Z12" s="29">
        <f>IF(A12="","",((K12)*(IF(M12="",L12,IFERROR(IF(INDEX(Variablen!$I:$AT, MATCH(M12, Variablen!$A:$A, 0), MATCH((YEAR(D12)+7), Variablen!$I$3:$AT$3, 0))="",L12,INDEX(Variablen!$I:$AT, MATCH(M12, Variablen!$A:$A, 0), MATCH((YEAR(D12)+7), Variablen!$I$3:$AT$3, 0))),L12)))*(IF((YEAR(D12)+7)&lt;YEAR(E12),0,IF((YEAR(D12)+7)&gt;YEAR(E12),1,(12-MONTH(E12)+1)/12))) + (Q12)*(IF((YEAR(D12)+7)&lt;YEAR(E12),0,IF((YEAR(D12)+7)&gt;YEAR(E12),1,(12-MONTH(E12)+1)/12))))-((P12)*(IF((YEAR(D12)+7)&lt;YEAR(E12),0,IF((YEAR(D12)+7)&gt;YEAR(E12),1,(12-MONTH(E12)+1)/12))) + (R12)*(IF((YEAR(D12)+7)&lt;YEAR(E12),0,IF((YEAR(D12)+7)&gt;YEAR(E12),1,(12-MONTH(E12)+1)/12))))-(IF((((K12)*(IF(M12="",L12,IFERROR(IF(INDEX(Variablen!$I:$AT, MATCH(M12, Variablen!$A:$A, 0), MATCH((YEAR(D12)+7), Variablen!$I$3:$AT$3, 0))="",L12,INDEX(Variablen!$I:$AT, MATCH(M12, Variablen!$A:$A, 0), MATCH((YEAR(D12)+7), Variablen!$I$3:$AT$3, 0))),L12)))*(IF((YEAR(D12)+7)&lt;YEAR(E12),0,IF((YEAR(D12)+7)&gt;YEAR(E12),1,(12-MONTH(E12)+1)/12))) + (Q12)*(IF((YEAR(D12)+7)&lt;YEAR(E12),0,IF((YEAR(D12)+7)&gt;YEAR(E12),1,(12-MONTH(E12)+1)/12))))-((P12)*(IF((YEAR(D12)+7)&lt;YEAR(E12),0,IF((YEAR(D12)+7)&gt;YEAR(E12),1,(12-MONTH(E12)+1)/12))) + (R12)*(IF((YEAR(D12)+7)&lt;YEAR(E12),0,IF((YEAR(D12)+7)&gt;YEAR(E12),1,(12-MONTH(E12)+1)/12))))-(IF(OR(N12="",N12&lt;=0),0,(O12/N12)*(IF(OR(N12="",N12&lt;=0),0,IF((YEAR(D12)+7)&lt;YEAR(E12),0,IF((YEAR(D12)+7)&gt;=YEAR(E12)+N12,0,IF((YEAR(D12)+7)=YEAR(E12),(12-MONTH(E12)+1)/12,1))))))))&gt;0,(((K12)*(IF(M12="",L12,IFERROR(IF(INDEX(Variablen!$I:$AT, MATCH(M12, Variablen!$A:$A, 0), MATCH((YEAR(D12)+7), Variablen!$I$3:$AT$3, 0))="",L12,INDEX(Variablen!$I:$AT, MATCH(M12, Variablen!$A:$A, 0), MATCH((YEAR(D12)+7), Variablen!$I$3:$AT$3, 0))),L12)))*(IF((YEAR(D12)+7)&lt;YEAR(E12),0,IF((YEAR(D12)+7)&gt;YEAR(E12),1,(12-MONTH(E12)+1)/12))) + (Q12)*(IF((YEAR(D12)+7)&lt;YEAR(E12),0,IF((YEAR(D12)+7)&gt;YEAR(E12),1,(12-MONTH(E12)+1)/12))))-((P12)*(IF((YEAR(D12)+7)&lt;YEAR(E12),0,IF((YEAR(D12)+7)&gt;YEAR(E12),1,(12-MONTH(E12)+1)/12))) + (R12)*(IF((YEAR(D12)+7)&lt;YEAR(E12),0,IF((YEAR(D12)+7)&gt;YEAR(E12),1,(12-MONTH(E12)+1)/12))))-(IF(OR(N12="",N12&lt;=0),0,(O12/N12)*(IF(OR(N12="",N12&lt;=0),0,IF((YEAR(D12)+7)&lt;YEAR(E12),0,IF((YEAR(D12)+7)&gt;=YEAR(E12)+N12,0,IF((YEAR(D12)+7)=YEAR(E12),(12-MONTH(E12)+1)/12,1))))))))*TaxRate,0))-IF(7=0,O12,0))</f>
        <v/>
      </c>
      <c r="AA12" s="29">
        <f>IF(A12="","",((K12)*(IF(M12="",L12,IFERROR(IF(INDEX(Variablen!$I:$AT, MATCH(M12, Variablen!$A:$A, 0), MATCH((YEAR(D12)+8), Variablen!$I$3:$AT$3, 0))="",L12,INDEX(Variablen!$I:$AT, MATCH(M12, Variablen!$A:$A, 0), MATCH((YEAR(D12)+8), Variablen!$I$3:$AT$3, 0))),L12)))*(IF((YEAR(D12)+8)&lt;YEAR(E12),0,IF((YEAR(D12)+8)&gt;YEAR(E12),1,(12-MONTH(E12)+1)/12))) + (Q12)*(IF((YEAR(D12)+8)&lt;YEAR(E12),0,IF((YEAR(D12)+8)&gt;YEAR(E12),1,(12-MONTH(E12)+1)/12))))-((P12)*(IF((YEAR(D12)+8)&lt;YEAR(E12),0,IF((YEAR(D12)+8)&gt;YEAR(E12),1,(12-MONTH(E12)+1)/12))) + (R12)*(IF((YEAR(D12)+8)&lt;YEAR(E12),0,IF((YEAR(D12)+8)&gt;YEAR(E12),1,(12-MONTH(E12)+1)/12))))-(IF((((K12)*(IF(M12="",L12,IFERROR(IF(INDEX(Variablen!$I:$AT, MATCH(M12, Variablen!$A:$A, 0), MATCH((YEAR(D12)+8), Variablen!$I$3:$AT$3, 0))="",L12,INDEX(Variablen!$I:$AT, MATCH(M12, Variablen!$A:$A, 0), MATCH((YEAR(D12)+8), Variablen!$I$3:$AT$3, 0))),L12)))*(IF((YEAR(D12)+8)&lt;YEAR(E12),0,IF((YEAR(D12)+8)&gt;YEAR(E12),1,(12-MONTH(E12)+1)/12))) + (Q12)*(IF((YEAR(D12)+8)&lt;YEAR(E12),0,IF((YEAR(D12)+8)&gt;YEAR(E12),1,(12-MONTH(E12)+1)/12))))-((P12)*(IF((YEAR(D12)+8)&lt;YEAR(E12),0,IF((YEAR(D12)+8)&gt;YEAR(E12),1,(12-MONTH(E12)+1)/12))) + (R12)*(IF((YEAR(D12)+8)&lt;YEAR(E12),0,IF((YEAR(D12)+8)&gt;YEAR(E12),1,(12-MONTH(E12)+1)/12))))-(IF(OR(N12="",N12&lt;=0),0,(O12/N12)*(IF(OR(N12="",N12&lt;=0),0,IF((YEAR(D12)+8)&lt;YEAR(E12),0,IF((YEAR(D12)+8)&gt;=YEAR(E12)+N12,0,IF((YEAR(D12)+8)=YEAR(E12),(12-MONTH(E12)+1)/12,1))))))))&gt;0,(((K12)*(IF(M12="",L12,IFERROR(IF(INDEX(Variablen!$I:$AT, MATCH(M12, Variablen!$A:$A, 0), MATCH((YEAR(D12)+8), Variablen!$I$3:$AT$3, 0))="",L12,INDEX(Variablen!$I:$AT, MATCH(M12, Variablen!$A:$A, 0), MATCH((YEAR(D12)+8), Variablen!$I$3:$AT$3, 0))),L12)))*(IF((YEAR(D12)+8)&lt;YEAR(E12),0,IF((YEAR(D12)+8)&gt;YEAR(E12),1,(12-MONTH(E12)+1)/12))) + (Q12)*(IF((YEAR(D12)+8)&lt;YEAR(E12),0,IF((YEAR(D12)+8)&gt;YEAR(E12),1,(12-MONTH(E12)+1)/12))))-((P12)*(IF((YEAR(D12)+8)&lt;YEAR(E12),0,IF((YEAR(D12)+8)&gt;YEAR(E12),1,(12-MONTH(E12)+1)/12))) + (R12)*(IF((YEAR(D12)+8)&lt;YEAR(E12),0,IF((YEAR(D12)+8)&gt;YEAR(E12),1,(12-MONTH(E12)+1)/12))))-(IF(OR(N12="",N12&lt;=0),0,(O12/N12)*(IF(OR(N12="",N12&lt;=0),0,IF((YEAR(D12)+8)&lt;YEAR(E12),0,IF((YEAR(D12)+8)&gt;=YEAR(E12)+N12,0,IF((YEAR(D12)+8)=YEAR(E12),(12-MONTH(E12)+1)/12,1))))))))*TaxRate,0))-IF(8=0,O12,0))</f>
        <v/>
      </c>
      <c r="AB12" s="29">
        <f>IF(A12="","",((K12)*(IF(M12="",L12,IFERROR(IF(INDEX(Variablen!$I:$AT, MATCH(M12, Variablen!$A:$A, 0), MATCH((YEAR(D12)+9), Variablen!$I$3:$AT$3, 0))="",L12,INDEX(Variablen!$I:$AT, MATCH(M12, Variablen!$A:$A, 0), MATCH((YEAR(D12)+9), Variablen!$I$3:$AT$3, 0))),L12)))*(IF((YEAR(D12)+9)&lt;YEAR(E12),0,IF((YEAR(D12)+9)&gt;YEAR(E12),1,(12-MONTH(E12)+1)/12))) + (Q12)*(IF((YEAR(D12)+9)&lt;YEAR(E12),0,IF((YEAR(D12)+9)&gt;YEAR(E12),1,(12-MONTH(E12)+1)/12))))-((P12)*(IF((YEAR(D12)+9)&lt;YEAR(E12),0,IF((YEAR(D12)+9)&gt;YEAR(E12),1,(12-MONTH(E12)+1)/12))) + (R12)*(IF((YEAR(D12)+9)&lt;YEAR(E12),0,IF((YEAR(D12)+9)&gt;YEAR(E12),1,(12-MONTH(E12)+1)/12))))-(IF((((K12)*(IF(M12="",L12,IFERROR(IF(INDEX(Variablen!$I:$AT, MATCH(M12, Variablen!$A:$A, 0), MATCH((YEAR(D12)+9), Variablen!$I$3:$AT$3, 0))="",L12,INDEX(Variablen!$I:$AT, MATCH(M12, Variablen!$A:$A, 0), MATCH((YEAR(D12)+9), Variablen!$I$3:$AT$3, 0))),L12)))*(IF((YEAR(D12)+9)&lt;YEAR(E12),0,IF((YEAR(D12)+9)&gt;YEAR(E12),1,(12-MONTH(E12)+1)/12))) + (Q12)*(IF((YEAR(D12)+9)&lt;YEAR(E12),0,IF((YEAR(D12)+9)&gt;YEAR(E12),1,(12-MONTH(E12)+1)/12))))-((P12)*(IF((YEAR(D12)+9)&lt;YEAR(E12),0,IF((YEAR(D12)+9)&gt;YEAR(E12),1,(12-MONTH(E12)+1)/12))) + (R12)*(IF((YEAR(D12)+9)&lt;YEAR(E12),0,IF((YEAR(D12)+9)&gt;YEAR(E12),1,(12-MONTH(E12)+1)/12))))-(IF(OR(N12="",N12&lt;=0),0,(O12/N12)*(IF(OR(N12="",N12&lt;=0),0,IF((YEAR(D12)+9)&lt;YEAR(E12),0,IF((YEAR(D12)+9)&gt;=YEAR(E12)+N12,0,IF((YEAR(D12)+9)=YEAR(E12),(12-MONTH(E12)+1)/12,1))))))))&gt;0,(((K12)*(IF(M12="",L12,IFERROR(IF(INDEX(Variablen!$I:$AT, MATCH(M12, Variablen!$A:$A, 0), MATCH((YEAR(D12)+9), Variablen!$I$3:$AT$3, 0))="",L12,INDEX(Variablen!$I:$AT, MATCH(M12, Variablen!$A:$A, 0), MATCH((YEAR(D12)+9), Variablen!$I$3:$AT$3, 0))),L12)))*(IF((YEAR(D12)+9)&lt;YEAR(E12),0,IF((YEAR(D12)+9)&gt;YEAR(E12),1,(12-MONTH(E12)+1)/12))) + (Q12)*(IF((YEAR(D12)+9)&lt;YEAR(E12),0,IF((YEAR(D12)+9)&gt;YEAR(E12),1,(12-MONTH(E12)+1)/12))))-((P12)*(IF((YEAR(D12)+9)&lt;YEAR(E12),0,IF((YEAR(D12)+9)&gt;YEAR(E12),1,(12-MONTH(E12)+1)/12))) + (R12)*(IF((YEAR(D12)+9)&lt;YEAR(E12),0,IF((YEAR(D12)+9)&gt;YEAR(E12),1,(12-MONTH(E12)+1)/12))))-(IF(OR(N12="",N12&lt;=0),0,(O12/N12)*(IF(OR(N12="",N12&lt;=0),0,IF((YEAR(D12)+9)&lt;YEAR(E12),0,IF((YEAR(D12)+9)&gt;=YEAR(E12)+N12,0,IF((YEAR(D12)+9)=YEAR(E12),(12-MONTH(E12)+1)/12,1))))))))*TaxRate,0))-IF(9=0,O12,0))</f>
        <v/>
      </c>
      <c r="AC12" s="29">
        <f>IF(A12="","",((K12)*(IF(M12="",L12,IFERROR(IF(INDEX(Variablen!$I:$AT, MATCH(M12, Variablen!$A:$A, 0), MATCH((YEAR(D12)+10), Variablen!$I$3:$AT$3, 0))="",L12,INDEX(Variablen!$I:$AT, MATCH(M12, Variablen!$A:$A, 0), MATCH((YEAR(D12)+10), Variablen!$I$3:$AT$3, 0))),L12)))*(IF((YEAR(D12)+10)&lt;YEAR(E12),0,IF((YEAR(D12)+10)&gt;YEAR(E12),1,(12-MONTH(E12)+1)/12))) + (Q12)*(IF((YEAR(D12)+10)&lt;YEAR(E12),0,IF((YEAR(D12)+10)&gt;YEAR(E12),1,(12-MONTH(E12)+1)/12))))-((P12)*(IF((YEAR(D12)+10)&lt;YEAR(E12),0,IF((YEAR(D12)+10)&gt;YEAR(E12),1,(12-MONTH(E12)+1)/12))) + (R12)*(IF((YEAR(D12)+10)&lt;YEAR(E12),0,IF((YEAR(D12)+10)&gt;YEAR(E12),1,(12-MONTH(E12)+1)/12))))-(IF((((K12)*(IF(M12="",L12,IFERROR(IF(INDEX(Variablen!$I:$AT, MATCH(M12, Variablen!$A:$A, 0), MATCH((YEAR(D12)+10), Variablen!$I$3:$AT$3, 0))="",L12,INDEX(Variablen!$I:$AT, MATCH(M12, Variablen!$A:$A, 0), MATCH((YEAR(D12)+10), Variablen!$I$3:$AT$3, 0))),L12)))*(IF((YEAR(D12)+10)&lt;YEAR(E12),0,IF((YEAR(D12)+10)&gt;YEAR(E12),1,(12-MONTH(E12)+1)/12))) + (Q12)*(IF((YEAR(D12)+10)&lt;YEAR(E12),0,IF((YEAR(D12)+10)&gt;YEAR(E12),1,(12-MONTH(E12)+1)/12))))-((P12)*(IF((YEAR(D12)+10)&lt;YEAR(E12),0,IF((YEAR(D12)+10)&gt;YEAR(E12),1,(12-MONTH(E12)+1)/12))) + (R12)*(IF((YEAR(D12)+10)&lt;YEAR(E12),0,IF((YEAR(D12)+10)&gt;YEAR(E12),1,(12-MONTH(E12)+1)/12))))-(IF(OR(N12="",N12&lt;=0),0,(O12/N12)*(IF(OR(N12="",N12&lt;=0),0,IF((YEAR(D12)+10)&lt;YEAR(E12),0,IF((YEAR(D12)+10)&gt;=YEAR(E12)+N12,0,IF((YEAR(D12)+10)=YEAR(E12),(12-MONTH(E12)+1)/12,1))))))))&gt;0,(((K12)*(IF(M12="",L12,IFERROR(IF(INDEX(Variablen!$I:$AT, MATCH(M12, Variablen!$A:$A, 0), MATCH((YEAR(D12)+10), Variablen!$I$3:$AT$3, 0))="",L12,INDEX(Variablen!$I:$AT, MATCH(M12, Variablen!$A:$A, 0), MATCH((YEAR(D12)+10), Variablen!$I$3:$AT$3, 0))),L12)))*(IF((YEAR(D12)+10)&lt;YEAR(E12),0,IF((YEAR(D12)+10)&gt;YEAR(E12),1,(12-MONTH(E12)+1)/12))) + (Q12)*(IF((YEAR(D12)+10)&lt;YEAR(E12),0,IF((YEAR(D12)+10)&gt;YEAR(E12),1,(12-MONTH(E12)+1)/12))))-((P12)*(IF((YEAR(D12)+10)&lt;YEAR(E12),0,IF((YEAR(D12)+10)&gt;YEAR(E12),1,(12-MONTH(E12)+1)/12))) + (R12)*(IF((YEAR(D12)+10)&lt;YEAR(E12),0,IF((YEAR(D12)+10)&gt;YEAR(E12),1,(12-MONTH(E12)+1)/12))))-(IF(OR(N12="",N12&lt;=0),0,(O12/N12)*(IF(OR(N12="",N12&lt;=0),0,IF((YEAR(D12)+10)&lt;YEAR(E12),0,IF((YEAR(D12)+10)&gt;=YEAR(E12)+N12,0,IF((YEAR(D12)+10)=YEAR(E12),(12-MONTH(E12)+1)/12,1))))))))*TaxRate,0))-IF(10=0,O12,0))</f>
        <v/>
      </c>
      <c r="AD12" s="29">
        <f>IF(A12="","",((K12)*(IF(M12="",L12,IFERROR(IF(INDEX(Variablen!$I:$AT, MATCH(M12, Variablen!$A:$A, 0), MATCH((YEAR(D12)+11), Variablen!$I$3:$AT$3, 0))="",L12,INDEX(Variablen!$I:$AT, MATCH(M12, Variablen!$A:$A, 0), MATCH((YEAR(D12)+11), Variablen!$I$3:$AT$3, 0))),L12)))*(IF((YEAR(D12)+11)&lt;YEAR(E12),0,IF((YEAR(D12)+11)&gt;YEAR(E12),1,(12-MONTH(E12)+1)/12))) + (Q12)*(IF((YEAR(D12)+11)&lt;YEAR(E12),0,IF((YEAR(D12)+11)&gt;YEAR(E12),1,(12-MONTH(E12)+1)/12))))-((P12)*(IF((YEAR(D12)+11)&lt;YEAR(E12),0,IF((YEAR(D12)+11)&gt;YEAR(E12),1,(12-MONTH(E12)+1)/12))) + (R12)*(IF((YEAR(D12)+11)&lt;YEAR(E12),0,IF((YEAR(D12)+11)&gt;YEAR(E12),1,(12-MONTH(E12)+1)/12))))-(IF((((K12)*(IF(M12="",L12,IFERROR(IF(INDEX(Variablen!$I:$AT, MATCH(M12, Variablen!$A:$A, 0), MATCH((YEAR(D12)+11), Variablen!$I$3:$AT$3, 0))="",L12,INDEX(Variablen!$I:$AT, MATCH(M12, Variablen!$A:$A, 0), MATCH((YEAR(D12)+11), Variablen!$I$3:$AT$3, 0))),L12)))*(IF((YEAR(D12)+11)&lt;YEAR(E12),0,IF((YEAR(D12)+11)&gt;YEAR(E12),1,(12-MONTH(E12)+1)/12))) + (Q12)*(IF((YEAR(D12)+11)&lt;YEAR(E12),0,IF((YEAR(D12)+11)&gt;YEAR(E12),1,(12-MONTH(E12)+1)/12))))-((P12)*(IF((YEAR(D12)+11)&lt;YEAR(E12),0,IF((YEAR(D12)+11)&gt;YEAR(E12),1,(12-MONTH(E12)+1)/12))) + (R12)*(IF((YEAR(D12)+11)&lt;YEAR(E12),0,IF((YEAR(D12)+11)&gt;YEAR(E12),1,(12-MONTH(E12)+1)/12))))-(IF(OR(N12="",N12&lt;=0),0,(O12/N12)*(IF(OR(N12="",N12&lt;=0),0,IF((YEAR(D12)+11)&lt;YEAR(E12),0,IF((YEAR(D12)+11)&gt;=YEAR(E12)+N12,0,IF((YEAR(D12)+11)=YEAR(E12),(12-MONTH(E12)+1)/12,1))))))))&gt;0,(((K12)*(IF(M12="",L12,IFERROR(IF(INDEX(Variablen!$I:$AT, MATCH(M12, Variablen!$A:$A, 0), MATCH((YEAR(D12)+11), Variablen!$I$3:$AT$3, 0))="",L12,INDEX(Variablen!$I:$AT, MATCH(M12, Variablen!$A:$A, 0), MATCH((YEAR(D12)+11), Variablen!$I$3:$AT$3, 0))),L12)))*(IF((YEAR(D12)+11)&lt;YEAR(E12),0,IF((YEAR(D12)+11)&gt;YEAR(E12),1,(12-MONTH(E12)+1)/12))) + (Q12)*(IF((YEAR(D12)+11)&lt;YEAR(E12),0,IF((YEAR(D12)+11)&gt;YEAR(E12),1,(12-MONTH(E12)+1)/12))))-((P12)*(IF((YEAR(D12)+11)&lt;YEAR(E12),0,IF((YEAR(D12)+11)&gt;YEAR(E12),1,(12-MONTH(E12)+1)/12))) + (R12)*(IF((YEAR(D12)+11)&lt;YEAR(E12),0,IF((YEAR(D12)+11)&gt;YEAR(E12),1,(12-MONTH(E12)+1)/12))))-(IF(OR(N12="",N12&lt;=0),0,(O12/N12)*(IF(OR(N12="",N12&lt;=0),0,IF((YEAR(D12)+11)&lt;YEAR(E12),0,IF((YEAR(D12)+11)&gt;=YEAR(E12)+N12,0,IF((YEAR(D12)+11)=YEAR(E12),(12-MONTH(E12)+1)/12,1))))))))*TaxRate,0))-IF(11=0,O12,0))</f>
        <v/>
      </c>
      <c r="AE12" s="29">
        <f>IF(A12="","",((K12)*(IF(M12="",L12,IFERROR(IF(INDEX(Variablen!$I:$AT, MATCH(M12, Variablen!$A:$A, 0), MATCH((YEAR(D12)+12), Variablen!$I$3:$AT$3, 0))="",L12,INDEX(Variablen!$I:$AT, MATCH(M12, Variablen!$A:$A, 0), MATCH((YEAR(D12)+12), Variablen!$I$3:$AT$3, 0))),L12)))*(IF((YEAR(D12)+12)&lt;YEAR(E12),0,IF((YEAR(D12)+12)&gt;YEAR(E12),1,(12-MONTH(E12)+1)/12))) + (Q12)*(IF((YEAR(D12)+12)&lt;YEAR(E12),0,IF((YEAR(D12)+12)&gt;YEAR(E12),1,(12-MONTH(E12)+1)/12))))-((P12)*(IF((YEAR(D12)+12)&lt;YEAR(E12),0,IF((YEAR(D12)+12)&gt;YEAR(E12),1,(12-MONTH(E12)+1)/12))) + (R12)*(IF((YEAR(D12)+12)&lt;YEAR(E12),0,IF((YEAR(D12)+12)&gt;YEAR(E12),1,(12-MONTH(E12)+1)/12))))-(IF((((K12)*(IF(M12="",L12,IFERROR(IF(INDEX(Variablen!$I:$AT, MATCH(M12, Variablen!$A:$A, 0), MATCH((YEAR(D12)+12), Variablen!$I$3:$AT$3, 0))="",L12,INDEX(Variablen!$I:$AT, MATCH(M12, Variablen!$A:$A, 0), MATCH((YEAR(D12)+12), Variablen!$I$3:$AT$3, 0))),L12)))*(IF((YEAR(D12)+12)&lt;YEAR(E12),0,IF((YEAR(D12)+12)&gt;YEAR(E12),1,(12-MONTH(E12)+1)/12))) + (Q12)*(IF((YEAR(D12)+12)&lt;YEAR(E12),0,IF((YEAR(D12)+12)&gt;YEAR(E12),1,(12-MONTH(E12)+1)/12))))-((P12)*(IF((YEAR(D12)+12)&lt;YEAR(E12),0,IF((YEAR(D12)+12)&gt;YEAR(E12),1,(12-MONTH(E12)+1)/12))) + (R12)*(IF((YEAR(D12)+12)&lt;YEAR(E12),0,IF((YEAR(D12)+12)&gt;YEAR(E12),1,(12-MONTH(E12)+1)/12))))-(IF(OR(N12="",N12&lt;=0),0,(O12/N12)*(IF(OR(N12="",N12&lt;=0),0,IF((YEAR(D12)+12)&lt;YEAR(E12),0,IF((YEAR(D12)+12)&gt;=YEAR(E12)+N12,0,IF((YEAR(D12)+12)=YEAR(E12),(12-MONTH(E12)+1)/12,1))))))))&gt;0,(((K12)*(IF(M12="",L12,IFERROR(IF(INDEX(Variablen!$I:$AT, MATCH(M12, Variablen!$A:$A, 0), MATCH((YEAR(D12)+12), Variablen!$I$3:$AT$3, 0))="",L12,INDEX(Variablen!$I:$AT, MATCH(M12, Variablen!$A:$A, 0), MATCH((YEAR(D12)+12), Variablen!$I$3:$AT$3, 0))),L12)))*(IF((YEAR(D12)+12)&lt;YEAR(E12),0,IF((YEAR(D12)+12)&gt;YEAR(E12),1,(12-MONTH(E12)+1)/12))) + (Q12)*(IF((YEAR(D12)+12)&lt;YEAR(E12),0,IF((YEAR(D12)+12)&gt;YEAR(E12),1,(12-MONTH(E12)+1)/12))))-((P12)*(IF((YEAR(D12)+12)&lt;YEAR(E12),0,IF((YEAR(D12)+12)&gt;YEAR(E12),1,(12-MONTH(E12)+1)/12))) + (R12)*(IF((YEAR(D12)+12)&lt;YEAR(E12),0,IF((YEAR(D12)+12)&gt;YEAR(E12),1,(12-MONTH(E12)+1)/12))))-(IF(OR(N12="",N12&lt;=0),0,(O12/N12)*(IF(OR(N12="",N12&lt;=0),0,IF((YEAR(D12)+12)&lt;YEAR(E12),0,IF((YEAR(D12)+12)&gt;=YEAR(E12)+N12,0,IF((YEAR(D12)+12)=YEAR(E12),(12-MONTH(E12)+1)/12,1))))))))*TaxRate,0))-IF(12=0,O12,0))</f>
        <v/>
      </c>
      <c r="AF12" s="29">
        <f>IF(A12="","",((K12)*(IF(M12="",L12,IFERROR(IF(INDEX(Variablen!$I:$AT, MATCH(M12, Variablen!$A:$A, 0), MATCH((YEAR(D12)+13), Variablen!$I$3:$AT$3, 0))="",L12,INDEX(Variablen!$I:$AT, MATCH(M12, Variablen!$A:$A, 0), MATCH((YEAR(D12)+13), Variablen!$I$3:$AT$3, 0))),L12)))*(IF((YEAR(D12)+13)&lt;YEAR(E12),0,IF((YEAR(D12)+13)&gt;YEAR(E12),1,(12-MONTH(E12)+1)/12))) + (Q12)*(IF((YEAR(D12)+13)&lt;YEAR(E12),0,IF((YEAR(D12)+13)&gt;YEAR(E12),1,(12-MONTH(E12)+1)/12))))-((P12)*(IF((YEAR(D12)+13)&lt;YEAR(E12),0,IF((YEAR(D12)+13)&gt;YEAR(E12),1,(12-MONTH(E12)+1)/12))) + (R12)*(IF((YEAR(D12)+13)&lt;YEAR(E12),0,IF((YEAR(D12)+13)&gt;YEAR(E12),1,(12-MONTH(E12)+1)/12))))-(IF((((K12)*(IF(M12="",L12,IFERROR(IF(INDEX(Variablen!$I:$AT, MATCH(M12, Variablen!$A:$A, 0), MATCH((YEAR(D12)+13), Variablen!$I$3:$AT$3, 0))="",L12,INDEX(Variablen!$I:$AT, MATCH(M12, Variablen!$A:$A, 0), MATCH((YEAR(D12)+13), Variablen!$I$3:$AT$3, 0))),L12)))*(IF((YEAR(D12)+13)&lt;YEAR(E12),0,IF((YEAR(D12)+13)&gt;YEAR(E12),1,(12-MONTH(E12)+1)/12))) + (Q12)*(IF((YEAR(D12)+13)&lt;YEAR(E12),0,IF((YEAR(D12)+13)&gt;YEAR(E12),1,(12-MONTH(E12)+1)/12))))-((P12)*(IF((YEAR(D12)+13)&lt;YEAR(E12),0,IF((YEAR(D12)+13)&gt;YEAR(E12),1,(12-MONTH(E12)+1)/12))) + (R12)*(IF((YEAR(D12)+13)&lt;YEAR(E12),0,IF((YEAR(D12)+13)&gt;YEAR(E12),1,(12-MONTH(E12)+1)/12))))-(IF(OR(N12="",N12&lt;=0),0,(O12/N12)*(IF(OR(N12="",N12&lt;=0),0,IF((YEAR(D12)+13)&lt;YEAR(E12),0,IF((YEAR(D12)+13)&gt;=YEAR(E12)+N12,0,IF((YEAR(D12)+13)=YEAR(E12),(12-MONTH(E12)+1)/12,1))))))))&gt;0,(((K12)*(IF(M12="",L12,IFERROR(IF(INDEX(Variablen!$I:$AT, MATCH(M12, Variablen!$A:$A, 0), MATCH((YEAR(D12)+13), Variablen!$I$3:$AT$3, 0))="",L12,INDEX(Variablen!$I:$AT, MATCH(M12, Variablen!$A:$A, 0), MATCH((YEAR(D12)+13), Variablen!$I$3:$AT$3, 0))),L12)))*(IF((YEAR(D12)+13)&lt;YEAR(E12),0,IF((YEAR(D12)+13)&gt;YEAR(E12),1,(12-MONTH(E12)+1)/12))) + (Q12)*(IF((YEAR(D12)+13)&lt;YEAR(E12),0,IF((YEAR(D12)+13)&gt;YEAR(E12),1,(12-MONTH(E12)+1)/12))))-((P12)*(IF((YEAR(D12)+13)&lt;YEAR(E12),0,IF((YEAR(D12)+13)&gt;YEAR(E12),1,(12-MONTH(E12)+1)/12))) + (R12)*(IF((YEAR(D12)+13)&lt;YEAR(E12),0,IF((YEAR(D12)+13)&gt;YEAR(E12),1,(12-MONTH(E12)+1)/12))))-(IF(OR(N12="",N12&lt;=0),0,(O12/N12)*(IF(OR(N12="",N12&lt;=0),0,IF((YEAR(D12)+13)&lt;YEAR(E12),0,IF((YEAR(D12)+13)&gt;=YEAR(E12)+N12,0,IF((YEAR(D12)+13)=YEAR(E12),(12-MONTH(E12)+1)/12,1))))))))*TaxRate,0))-IF(13=0,O12,0))</f>
        <v/>
      </c>
      <c r="AG12" s="29">
        <f>IF(A12="","",((K12)*(IF(M12="",L12,IFERROR(IF(INDEX(Variablen!$I:$AT, MATCH(M12, Variablen!$A:$A, 0), MATCH((YEAR(D12)+14), Variablen!$I$3:$AT$3, 0))="",L12,INDEX(Variablen!$I:$AT, MATCH(M12, Variablen!$A:$A, 0), MATCH((YEAR(D12)+14), Variablen!$I$3:$AT$3, 0))),L12)))*(IF((YEAR(D12)+14)&lt;YEAR(E12),0,IF((YEAR(D12)+14)&gt;YEAR(E12),1,(12-MONTH(E12)+1)/12))) + (Q12)*(IF((YEAR(D12)+14)&lt;YEAR(E12),0,IF((YEAR(D12)+14)&gt;YEAR(E12),1,(12-MONTH(E12)+1)/12))))-((P12)*(IF((YEAR(D12)+14)&lt;YEAR(E12),0,IF((YEAR(D12)+14)&gt;YEAR(E12),1,(12-MONTH(E12)+1)/12))) + (R12)*(IF((YEAR(D12)+14)&lt;YEAR(E12),0,IF((YEAR(D12)+14)&gt;YEAR(E12),1,(12-MONTH(E12)+1)/12))))-(IF((((K12)*(IF(M12="",L12,IFERROR(IF(INDEX(Variablen!$I:$AT, MATCH(M12, Variablen!$A:$A, 0), MATCH((YEAR(D12)+14), Variablen!$I$3:$AT$3, 0))="",L12,INDEX(Variablen!$I:$AT, MATCH(M12, Variablen!$A:$A, 0), MATCH((YEAR(D12)+14), Variablen!$I$3:$AT$3, 0))),L12)))*(IF((YEAR(D12)+14)&lt;YEAR(E12),0,IF((YEAR(D12)+14)&gt;YEAR(E12),1,(12-MONTH(E12)+1)/12))) + (Q12)*(IF((YEAR(D12)+14)&lt;YEAR(E12),0,IF((YEAR(D12)+14)&gt;YEAR(E12),1,(12-MONTH(E12)+1)/12))))-((P12)*(IF((YEAR(D12)+14)&lt;YEAR(E12),0,IF((YEAR(D12)+14)&gt;YEAR(E12),1,(12-MONTH(E12)+1)/12))) + (R12)*(IF((YEAR(D12)+14)&lt;YEAR(E12),0,IF((YEAR(D12)+14)&gt;YEAR(E12),1,(12-MONTH(E12)+1)/12))))-(IF(OR(N12="",N12&lt;=0),0,(O12/N12)*(IF(OR(N12="",N12&lt;=0),0,IF((YEAR(D12)+14)&lt;YEAR(E12),0,IF((YEAR(D12)+14)&gt;=YEAR(E12)+N12,0,IF((YEAR(D12)+14)=YEAR(E12),(12-MONTH(E12)+1)/12,1))))))))&gt;0,(((K12)*(IF(M12="",L12,IFERROR(IF(INDEX(Variablen!$I:$AT, MATCH(M12, Variablen!$A:$A, 0), MATCH((YEAR(D12)+14), Variablen!$I$3:$AT$3, 0))="",L12,INDEX(Variablen!$I:$AT, MATCH(M12, Variablen!$A:$A, 0), MATCH((YEAR(D12)+14), Variablen!$I$3:$AT$3, 0))),L12)))*(IF((YEAR(D12)+14)&lt;YEAR(E12),0,IF((YEAR(D12)+14)&gt;YEAR(E12),1,(12-MONTH(E12)+1)/12))) + (Q12)*(IF((YEAR(D12)+14)&lt;YEAR(E12),0,IF((YEAR(D12)+14)&gt;YEAR(E12),1,(12-MONTH(E12)+1)/12))))-((P12)*(IF((YEAR(D12)+14)&lt;YEAR(E12),0,IF((YEAR(D12)+14)&gt;YEAR(E12),1,(12-MONTH(E12)+1)/12))) + (R12)*(IF((YEAR(D12)+14)&lt;YEAR(E12),0,IF((YEAR(D12)+14)&gt;YEAR(E12),1,(12-MONTH(E12)+1)/12))))-(IF(OR(N12="",N12&lt;=0),0,(O12/N12)*(IF(OR(N12="",N12&lt;=0),0,IF((YEAR(D12)+14)&lt;YEAR(E12),0,IF((YEAR(D12)+14)&gt;=YEAR(E12)+N12,0,IF((YEAR(D12)+14)=YEAR(E12),(12-MONTH(E12)+1)/12,1))))))))*TaxRate,0))-IF(14=0,O12,0))</f>
        <v/>
      </c>
      <c r="AH12" s="29">
        <f>IF(A12="","",((K12)*(IF(M12="",L12,IFERROR(IF(INDEX(Variablen!$I:$AT, MATCH(M12, Variablen!$A:$A, 0), MATCH((YEAR(D12)+15), Variablen!$I$3:$AT$3, 0))="",L12,INDEX(Variablen!$I:$AT, MATCH(M12, Variablen!$A:$A, 0), MATCH((YEAR(D12)+15), Variablen!$I$3:$AT$3, 0))),L12)))*(IF((YEAR(D12)+15)&lt;YEAR(E12),0,IF((YEAR(D12)+15)&gt;YEAR(E12),1,(12-MONTH(E12)+1)/12))) + (Q12)*(IF((YEAR(D12)+15)&lt;YEAR(E12),0,IF((YEAR(D12)+15)&gt;YEAR(E12),1,(12-MONTH(E12)+1)/12))))-((P12)*(IF((YEAR(D12)+15)&lt;YEAR(E12),0,IF((YEAR(D12)+15)&gt;YEAR(E12),1,(12-MONTH(E12)+1)/12))) + (R12)*(IF((YEAR(D12)+15)&lt;YEAR(E12),0,IF((YEAR(D12)+15)&gt;YEAR(E12),1,(12-MONTH(E12)+1)/12))))-(IF((((K12)*(IF(M12="",L12,IFERROR(IF(INDEX(Variablen!$I:$AT, MATCH(M12, Variablen!$A:$A, 0), MATCH((YEAR(D12)+15), Variablen!$I$3:$AT$3, 0))="",L12,INDEX(Variablen!$I:$AT, MATCH(M12, Variablen!$A:$A, 0), MATCH((YEAR(D12)+15), Variablen!$I$3:$AT$3, 0))),L12)))*(IF((YEAR(D12)+15)&lt;YEAR(E12),0,IF((YEAR(D12)+15)&gt;YEAR(E12),1,(12-MONTH(E12)+1)/12))) + (Q12)*(IF((YEAR(D12)+15)&lt;YEAR(E12),0,IF((YEAR(D12)+15)&gt;YEAR(E12),1,(12-MONTH(E12)+1)/12))))-((P12)*(IF((YEAR(D12)+15)&lt;YEAR(E12),0,IF((YEAR(D12)+15)&gt;YEAR(E12),1,(12-MONTH(E12)+1)/12))) + (R12)*(IF((YEAR(D12)+15)&lt;YEAR(E12),0,IF((YEAR(D12)+15)&gt;YEAR(E12),1,(12-MONTH(E12)+1)/12))))-(IF(OR(N12="",N12&lt;=0),0,(O12/N12)*(IF(OR(N12="",N12&lt;=0),0,IF((YEAR(D12)+15)&lt;YEAR(E12),0,IF((YEAR(D12)+15)&gt;=YEAR(E12)+N12,0,IF((YEAR(D12)+15)=YEAR(E12),(12-MONTH(E12)+1)/12,1))))))))&gt;0,(((K12)*(IF(M12="",L12,IFERROR(IF(INDEX(Variablen!$I:$AT, MATCH(M12, Variablen!$A:$A, 0), MATCH((YEAR(D12)+15), Variablen!$I$3:$AT$3, 0))="",L12,INDEX(Variablen!$I:$AT, MATCH(M12, Variablen!$A:$A, 0), MATCH((YEAR(D12)+15), Variablen!$I$3:$AT$3, 0))),L12)))*(IF((YEAR(D12)+15)&lt;YEAR(E12),0,IF((YEAR(D12)+15)&gt;YEAR(E12),1,(12-MONTH(E12)+1)/12))) + (Q12)*(IF((YEAR(D12)+15)&lt;YEAR(E12),0,IF((YEAR(D12)+15)&gt;YEAR(E12),1,(12-MONTH(E12)+1)/12))))-((P12)*(IF((YEAR(D12)+15)&lt;YEAR(E12),0,IF((YEAR(D12)+15)&gt;YEAR(E12),1,(12-MONTH(E12)+1)/12))) + (R12)*(IF((YEAR(D12)+15)&lt;YEAR(E12),0,IF((YEAR(D12)+15)&gt;YEAR(E12),1,(12-MONTH(E12)+1)/12))))-(IF(OR(N12="",N12&lt;=0),0,(O12/N12)*(IF(OR(N12="",N12&lt;=0),0,IF((YEAR(D12)+15)&lt;YEAR(E12),0,IF((YEAR(D12)+15)&gt;=YEAR(E12)+N12,0,IF((YEAR(D12)+15)=YEAR(E12),(12-MONTH(E12)+1)/12,1))))))))*TaxRate,0))-IF(15=0,O12,0))</f>
        <v/>
      </c>
      <c r="AI12" s="29">
        <f>IF(A12="","",((K12)*(IF(M12="",L12,IFERROR(IF(INDEX(Variablen!$I:$AT, MATCH(M12, Variablen!$A:$A, 0), MATCH((YEAR(D12)+16), Variablen!$I$3:$AT$3, 0))="",L12,INDEX(Variablen!$I:$AT, MATCH(M12, Variablen!$A:$A, 0), MATCH((YEAR(D12)+16), Variablen!$I$3:$AT$3, 0))),L12)))*(IF((YEAR(D12)+16)&lt;YEAR(E12),0,IF((YEAR(D12)+16)&gt;YEAR(E12),1,(12-MONTH(E12)+1)/12))) + (Q12)*(IF((YEAR(D12)+16)&lt;YEAR(E12),0,IF((YEAR(D12)+16)&gt;YEAR(E12),1,(12-MONTH(E12)+1)/12))))-((P12)*(IF((YEAR(D12)+16)&lt;YEAR(E12),0,IF((YEAR(D12)+16)&gt;YEAR(E12),1,(12-MONTH(E12)+1)/12))) + (R12)*(IF((YEAR(D12)+16)&lt;YEAR(E12),0,IF((YEAR(D12)+16)&gt;YEAR(E12),1,(12-MONTH(E12)+1)/12))))-(IF((((K12)*(IF(M12="",L12,IFERROR(IF(INDEX(Variablen!$I:$AT, MATCH(M12, Variablen!$A:$A, 0), MATCH((YEAR(D12)+16), Variablen!$I$3:$AT$3, 0))="",L12,INDEX(Variablen!$I:$AT, MATCH(M12, Variablen!$A:$A, 0), MATCH((YEAR(D12)+16), Variablen!$I$3:$AT$3, 0))),L12)))*(IF((YEAR(D12)+16)&lt;YEAR(E12),0,IF((YEAR(D12)+16)&gt;YEAR(E12),1,(12-MONTH(E12)+1)/12))) + (Q12)*(IF((YEAR(D12)+16)&lt;YEAR(E12),0,IF((YEAR(D12)+16)&gt;YEAR(E12),1,(12-MONTH(E12)+1)/12))))-((P12)*(IF((YEAR(D12)+16)&lt;YEAR(E12),0,IF((YEAR(D12)+16)&gt;YEAR(E12),1,(12-MONTH(E12)+1)/12))) + (R12)*(IF((YEAR(D12)+16)&lt;YEAR(E12),0,IF((YEAR(D12)+16)&gt;YEAR(E12),1,(12-MONTH(E12)+1)/12))))-(IF(OR(N12="",N12&lt;=0),0,(O12/N12)*(IF(OR(N12="",N12&lt;=0),0,IF((YEAR(D12)+16)&lt;YEAR(E12),0,IF((YEAR(D12)+16)&gt;=YEAR(E12)+N12,0,IF((YEAR(D12)+16)=YEAR(E12),(12-MONTH(E12)+1)/12,1))))))))&gt;0,(((K12)*(IF(M12="",L12,IFERROR(IF(INDEX(Variablen!$I:$AT, MATCH(M12, Variablen!$A:$A, 0), MATCH((YEAR(D12)+16), Variablen!$I$3:$AT$3, 0))="",L12,INDEX(Variablen!$I:$AT, MATCH(M12, Variablen!$A:$A, 0), MATCH((YEAR(D12)+16), Variablen!$I$3:$AT$3, 0))),L12)))*(IF((YEAR(D12)+16)&lt;YEAR(E12),0,IF((YEAR(D12)+16)&gt;YEAR(E12),1,(12-MONTH(E12)+1)/12))) + (Q12)*(IF((YEAR(D12)+16)&lt;YEAR(E12),0,IF((YEAR(D12)+16)&gt;YEAR(E12),1,(12-MONTH(E12)+1)/12))))-((P12)*(IF((YEAR(D12)+16)&lt;YEAR(E12),0,IF((YEAR(D12)+16)&gt;YEAR(E12),1,(12-MONTH(E12)+1)/12))) + (R12)*(IF((YEAR(D12)+16)&lt;YEAR(E12),0,IF((YEAR(D12)+16)&gt;YEAR(E12),1,(12-MONTH(E12)+1)/12))))-(IF(OR(N12="",N12&lt;=0),0,(O12/N12)*(IF(OR(N12="",N12&lt;=0),0,IF((YEAR(D12)+16)&lt;YEAR(E12),0,IF((YEAR(D12)+16)&gt;=YEAR(E12)+N12,0,IF((YEAR(D12)+16)=YEAR(E12),(12-MONTH(E12)+1)/12,1))))))))*TaxRate,0))-IF(16=0,O12,0))</f>
        <v/>
      </c>
      <c r="AJ12" s="29">
        <f>IF(A12="","",((K12)*(IF(M12="",L12,IFERROR(IF(INDEX(Variablen!$I:$AT, MATCH(M12, Variablen!$A:$A, 0), MATCH((YEAR(D12)+17), Variablen!$I$3:$AT$3, 0))="",L12,INDEX(Variablen!$I:$AT, MATCH(M12, Variablen!$A:$A, 0), MATCH((YEAR(D12)+17), Variablen!$I$3:$AT$3, 0))),L12)))*(IF((YEAR(D12)+17)&lt;YEAR(E12),0,IF((YEAR(D12)+17)&gt;YEAR(E12),1,(12-MONTH(E12)+1)/12))) + (Q12)*(IF((YEAR(D12)+17)&lt;YEAR(E12),0,IF((YEAR(D12)+17)&gt;YEAR(E12),1,(12-MONTH(E12)+1)/12))))-((P12)*(IF((YEAR(D12)+17)&lt;YEAR(E12),0,IF((YEAR(D12)+17)&gt;YEAR(E12),1,(12-MONTH(E12)+1)/12))) + (R12)*(IF((YEAR(D12)+17)&lt;YEAR(E12),0,IF((YEAR(D12)+17)&gt;YEAR(E12),1,(12-MONTH(E12)+1)/12))))-(IF((((K12)*(IF(M12="",L12,IFERROR(IF(INDEX(Variablen!$I:$AT, MATCH(M12, Variablen!$A:$A, 0), MATCH((YEAR(D12)+17), Variablen!$I$3:$AT$3, 0))="",L12,INDEX(Variablen!$I:$AT, MATCH(M12, Variablen!$A:$A, 0), MATCH((YEAR(D12)+17), Variablen!$I$3:$AT$3, 0))),L12)))*(IF((YEAR(D12)+17)&lt;YEAR(E12),0,IF((YEAR(D12)+17)&gt;YEAR(E12),1,(12-MONTH(E12)+1)/12))) + (Q12)*(IF((YEAR(D12)+17)&lt;YEAR(E12),0,IF((YEAR(D12)+17)&gt;YEAR(E12),1,(12-MONTH(E12)+1)/12))))-((P12)*(IF((YEAR(D12)+17)&lt;YEAR(E12),0,IF((YEAR(D12)+17)&gt;YEAR(E12),1,(12-MONTH(E12)+1)/12))) + (R12)*(IF((YEAR(D12)+17)&lt;YEAR(E12),0,IF((YEAR(D12)+17)&gt;YEAR(E12),1,(12-MONTH(E12)+1)/12))))-(IF(OR(N12="",N12&lt;=0),0,(O12/N12)*(IF(OR(N12="",N12&lt;=0),0,IF((YEAR(D12)+17)&lt;YEAR(E12),0,IF((YEAR(D12)+17)&gt;=YEAR(E12)+N12,0,IF((YEAR(D12)+17)=YEAR(E12),(12-MONTH(E12)+1)/12,1))))))))&gt;0,(((K12)*(IF(M12="",L12,IFERROR(IF(INDEX(Variablen!$I:$AT, MATCH(M12, Variablen!$A:$A, 0), MATCH((YEAR(D12)+17), Variablen!$I$3:$AT$3, 0))="",L12,INDEX(Variablen!$I:$AT, MATCH(M12, Variablen!$A:$A, 0), MATCH((YEAR(D12)+17), Variablen!$I$3:$AT$3, 0))),L12)))*(IF((YEAR(D12)+17)&lt;YEAR(E12),0,IF((YEAR(D12)+17)&gt;YEAR(E12),1,(12-MONTH(E12)+1)/12))) + (Q12)*(IF((YEAR(D12)+17)&lt;YEAR(E12),0,IF((YEAR(D12)+17)&gt;YEAR(E12),1,(12-MONTH(E12)+1)/12))))-((P12)*(IF((YEAR(D12)+17)&lt;YEAR(E12),0,IF((YEAR(D12)+17)&gt;YEAR(E12),1,(12-MONTH(E12)+1)/12))) + (R12)*(IF((YEAR(D12)+17)&lt;YEAR(E12),0,IF((YEAR(D12)+17)&gt;YEAR(E12),1,(12-MONTH(E12)+1)/12))))-(IF(OR(N12="",N12&lt;=0),0,(O12/N12)*(IF(OR(N12="",N12&lt;=0),0,IF((YEAR(D12)+17)&lt;YEAR(E12),0,IF((YEAR(D12)+17)&gt;=YEAR(E12)+N12,0,IF((YEAR(D12)+17)=YEAR(E12),(12-MONTH(E12)+1)/12,1))))))))*TaxRate,0))-IF(17=0,O12,0))</f>
        <v/>
      </c>
      <c r="AK12" s="29">
        <f>IF(A12="","",((K12)*(IF(M12="",L12,IFERROR(IF(INDEX(Variablen!$I:$AT, MATCH(M12, Variablen!$A:$A, 0), MATCH((YEAR(D12)+18), Variablen!$I$3:$AT$3, 0))="",L12,INDEX(Variablen!$I:$AT, MATCH(M12, Variablen!$A:$A, 0), MATCH((YEAR(D12)+18), Variablen!$I$3:$AT$3, 0))),L12)))*(IF((YEAR(D12)+18)&lt;YEAR(E12),0,IF((YEAR(D12)+18)&gt;YEAR(E12),1,(12-MONTH(E12)+1)/12))) + (Q12)*(IF((YEAR(D12)+18)&lt;YEAR(E12),0,IF((YEAR(D12)+18)&gt;YEAR(E12),1,(12-MONTH(E12)+1)/12))))-((P12)*(IF((YEAR(D12)+18)&lt;YEAR(E12),0,IF((YEAR(D12)+18)&gt;YEAR(E12),1,(12-MONTH(E12)+1)/12))) + (R12)*(IF((YEAR(D12)+18)&lt;YEAR(E12),0,IF((YEAR(D12)+18)&gt;YEAR(E12),1,(12-MONTH(E12)+1)/12))))-(IF((((K12)*(IF(M12="",L12,IFERROR(IF(INDEX(Variablen!$I:$AT, MATCH(M12, Variablen!$A:$A, 0), MATCH((YEAR(D12)+18), Variablen!$I$3:$AT$3, 0))="",L12,INDEX(Variablen!$I:$AT, MATCH(M12, Variablen!$A:$A, 0), MATCH((YEAR(D12)+18), Variablen!$I$3:$AT$3, 0))),L12)))*(IF((YEAR(D12)+18)&lt;YEAR(E12),0,IF((YEAR(D12)+18)&gt;YEAR(E12),1,(12-MONTH(E12)+1)/12))) + (Q12)*(IF((YEAR(D12)+18)&lt;YEAR(E12),0,IF((YEAR(D12)+18)&gt;YEAR(E12),1,(12-MONTH(E12)+1)/12))))-((P12)*(IF((YEAR(D12)+18)&lt;YEAR(E12),0,IF((YEAR(D12)+18)&gt;YEAR(E12),1,(12-MONTH(E12)+1)/12))) + (R12)*(IF((YEAR(D12)+18)&lt;YEAR(E12),0,IF((YEAR(D12)+18)&gt;YEAR(E12),1,(12-MONTH(E12)+1)/12))))-(IF(OR(N12="",N12&lt;=0),0,(O12/N12)*(IF(OR(N12="",N12&lt;=0),0,IF((YEAR(D12)+18)&lt;YEAR(E12),0,IF((YEAR(D12)+18)&gt;=YEAR(E12)+N12,0,IF((YEAR(D12)+18)=YEAR(E12),(12-MONTH(E12)+1)/12,1))))))))&gt;0,(((K12)*(IF(M12="",L12,IFERROR(IF(INDEX(Variablen!$I:$AT, MATCH(M12, Variablen!$A:$A, 0), MATCH((YEAR(D12)+18), Variablen!$I$3:$AT$3, 0))="",L12,INDEX(Variablen!$I:$AT, MATCH(M12, Variablen!$A:$A, 0), MATCH((YEAR(D12)+18), Variablen!$I$3:$AT$3, 0))),L12)))*(IF((YEAR(D12)+18)&lt;YEAR(E12),0,IF((YEAR(D12)+18)&gt;YEAR(E12),1,(12-MONTH(E12)+1)/12))) + (Q12)*(IF((YEAR(D12)+18)&lt;YEAR(E12),0,IF((YEAR(D12)+18)&gt;YEAR(E12),1,(12-MONTH(E12)+1)/12))))-((P12)*(IF((YEAR(D12)+18)&lt;YEAR(E12),0,IF((YEAR(D12)+18)&gt;YEAR(E12),1,(12-MONTH(E12)+1)/12))) + (R12)*(IF((YEAR(D12)+18)&lt;YEAR(E12),0,IF((YEAR(D12)+18)&gt;YEAR(E12),1,(12-MONTH(E12)+1)/12))))-(IF(OR(N12="",N12&lt;=0),0,(O12/N12)*(IF(OR(N12="",N12&lt;=0),0,IF((YEAR(D12)+18)&lt;YEAR(E12),0,IF((YEAR(D12)+18)&gt;=YEAR(E12)+N12,0,IF((YEAR(D12)+18)=YEAR(E12),(12-MONTH(E12)+1)/12,1))))))))*TaxRate,0))-IF(18=0,O12,0))</f>
        <v/>
      </c>
      <c r="AL12" s="29">
        <f>IF(A12="","",((K12)*(IF(M12="",L12,IFERROR(IF(INDEX(Variablen!$I:$AT, MATCH(M12, Variablen!$A:$A, 0), MATCH((YEAR(D12)+19), Variablen!$I$3:$AT$3, 0))="",L12,INDEX(Variablen!$I:$AT, MATCH(M12, Variablen!$A:$A, 0), MATCH((YEAR(D12)+19), Variablen!$I$3:$AT$3, 0))),L12)))*(IF((YEAR(D12)+19)&lt;YEAR(E12),0,IF((YEAR(D12)+19)&gt;YEAR(E12),1,(12-MONTH(E12)+1)/12))) + (Q12)*(IF((YEAR(D12)+19)&lt;YEAR(E12),0,IF((YEAR(D12)+19)&gt;YEAR(E12),1,(12-MONTH(E12)+1)/12))))-((P12)*(IF((YEAR(D12)+19)&lt;YEAR(E12),0,IF((YEAR(D12)+19)&gt;YEAR(E12),1,(12-MONTH(E12)+1)/12))) + (R12)*(IF((YEAR(D12)+19)&lt;YEAR(E12),0,IF((YEAR(D12)+19)&gt;YEAR(E12),1,(12-MONTH(E12)+1)/12))))-(IF((((K12)*(IF(M12="",L12,IFERROR(IF(INDEX(Variablen!$I:$AT, MATCH(M12, Variablen!$A:$A, 0), MATCH((YEAR(D12)+19), Variablen!$I$3:$AT$3, 0))="",L12,INDEX(Variablen!$I:$AT, MATCH(M12, Variablen!$A:$A, 0), MATCH((YEAR(D12)+19), Variablen!$I$3:$AT$3, 0))),L12)))*(IF((YEAR(D12)+19)&lt;YEAR(E12),0,IF((YEAR(D12)+19)&gt;YEAR(E12),1,(12-MONTH(E12)+1)/12))) + (Q12)*(IF((YEAR(D12)+19)&lt;YEAR(E12),0,IF((YEAR(D12)+19)&gt;YEAR(E12),1,(12-MONTH(E12)+1)/12))))-((P12)*(IF((YEAR(D12)+19)&lt;YEAR(E12),0,IF((YEAR(D12)+19)&gt;YEAR(E12),1,(12-MONTH(E12)+1)/12))) + (R12)*(IF((YEAR(D12)+19)&lt;YEAR(E12),0,IF((YEAR(D12)+19)&gt;YEAR(E12),1,(12-MONTH(E12)+1)/12))))-(IF(OR(N12="",N12&lt;=0),0,(O12/N12)*(IF(OR(N12="",N12&lt;=0),0,IF((YEAR(D12)+19)&lt;YEAR(E12),0,IF((YEAR(D12)+19)&gt;=YEAR(E12)+N12,0,IF((YEAR(D12)+19)=YEAR(E12),(12-MONTH(E12)+1)/12,1))))))))&gt;0,(((K12)*(IF(M12="",L12,IFERROR(IF(INDEX(Variablen!$I:$AT, MATCH(M12, Variablen!$A:$A, 0), MATCH((YEAR(D12)+19), Variablen!$I$3:$AT$3, 0))="",L12,INDEX(Variablen!$I:$AT, MATCH(M12, Variablen!$A:$A, 0), MATCH((YEAR(D12)+19), Variablen!$I$3:$AT$3, 0))),L12)))*(IF((YEAR(D12)+19)&lt;YEAR(E12),0,IF((YEAR(D12)+19)&gt;YEAR(E12),1,(12-MONTH(E12)+1)/12))) + (Q12)*(IF((YEAR(D12)+19)&lt;YEAR(E12),0,IF((YEAR(D12)+19)&gt;YEAR(E12),1,(12-MONTH(E12)+1)/12))))-((P12)*(IF((YEAR(D12)+19)&lt;YEAR(E12),0,IF((YEAR(D12)+19)&gt;YEAR(E12),1,(12-MONTH(E12)+1)/12))) + (R12)*(IF((YEAR(D12)+19)&lt;YEAR(E12),0,IF((YEAR(D12)+19)&gt;YEAR(E12),1,(12-MONTH(E12)+1)/12))))-(IF(OR(N12="",N12&lt;=0),0,(O12/N12)*(IF(OR(N12="",N12&lt;=0),0,IF((YEAR(D12)+19)&lt;YEAR(E12),0,IF((YEAR(D12)+19)&gt;=YEAR(E12)+N12,0,IF((YEAR(D12)+19)=YEAR(E12),(12-MONTH(E12)+1)/12,1))))))))*TaxRate,0))-IF(19=0,O12,0))</f>
        <v/>
      </c>
      <c r="AM12" s="29">
        <f>IF(A12="","",((K12)*(IF(M12="",L12,IFERROR(IF(INDEX(Variablen!$I:$AT, MATCH(M12, Variablen!$A:$A, 0), MATCH((YEAR(D12)+20), Variablen!$I$3:$AT$3, 0))="",L12,INDEX(Variablen!$I:$AT, MATCH(M12, Variablen!$A:$A, 0), MATCH((YEAR(D12)+20), Variablen!$I$3:$AT$3, 0))),L12)))*(IF((YEAR(D12)+20)&lt;YEAR(E12),0,IF((YEAR(D12)+20)&gt;YEAR(E12),1,(12-MONTH(E12)+1)/12))) + (Q12)*(IF((YEAR(D12)+20)&lt;YEAR(E12),0,IF((YEAR(D12)+20)&gt;YEAR(E12),1,(12-MONTH(E12)+1)/12))))-((P12)*(IF((YEAR(D12)+20)&lt;YEAR(E12),0,IF((YEAR(D12)+20)&gt;YEAR(E12),1,(12-MONTH(E12)+1)/12))) + (R12)*(IF((YEAR(D12)+20)&lt;YEAR(E12),0,IF((YEAR(D12)+20)&gt;YEAR(E12),1,(12-MONTH(E12)+1)/12))))-(IF((((K12)*(IF(M12="",L12,IFERROR(IF(INDEX(Variablen!$I:$AT, MATCH(M12, Variablen!$A:$A, 0), MATCH((YEAR(D12)+20), Variablen!$I$3:$AT$3, 0))="",L12,INDEX(Variablen!$I:$AT, MATCH(M12, Variablen!$A:$A, 0), MATCH((YEAR(D12)+20), Variablen!$I$3:$AT$3, 0))),L12)))*(IF((YEAR(D12)+20)&lt;YEAR(E12),0,IF((YEAR(D12)+20)&gt;YEAR(E12),1,(12-MONTH(E12)+1)/12))) + (Q12)*(IF((YEAR(D12)+20)&lt;YEAR(E12),0,IF((YEAR(D12)+20)&gt;YEAR(E12),1,(12-MONTH(E12)+1)/12))))-((P12)*(IF((YEAR(D12)+20)&lt;YEAR(E12),0,IF((YEAR(D12)+20)&gt;YEAR(E12),1,(12-MONTH(E12)+1)/12))) + (R12)*(IF((YEAR(D12)+20)&lt;YEAR(E12),0,IF((YEAR(D12)+20)&gt;YEAR(E12),1,(12-MONTH(E12)+1)/12))))-(IF(OR(N12="",N12&lt;=0),0,(O12/N12)*(IF(OR(N12="",N12&lt;=0),0,IF((YEAR(D12)+20)&lt;YEAR(E12),0,IF((YEAR(D12)+20)&gt;=YEAR(E12)+N12,0,IF((YEAR(D12)+20)=YEAR(E12),(12-MONTH(E12)+1)/12,1))))))))&gt;0,(((K12)*(IF(M12="",L12,IFERROR(IF(INDEX(Variablen!$I:$AT, MATCH(M12, Variablen!$A:$A, 0), MATCH((YEAR(D12)+20), Variablen!$I$3:$AT$3, 0))="",L12,INDEX(Variablen!$I:$AT, MATCH(M12, Variablen!$A:$A, 0), MATCH((YEAR(D12)+20), Variablen!$I$3:$AT$3, 0))),L12)))*(IF((YEAR(D12)+20)&lt;YEAR(E12),0,IF((YEAR(D12)+20)&gt;YEAR(E12),1,(12-MONTH(E12)+1)/12))) + (Q12)*(IF((YEAR(D12)+20)&lt;YEAR(E12),0,IF((YEAR(D12)+20)&gt;YEAR(E12),1,(12-MONTH(E12)+1)/12))))-((P12)*(IF((YEAR(D12)+20)&lt;YEAR(E12),0,IF((YEAR(D12)+20)&gt;YEAR(E12),1,(12-MONTH(E12)+1)/12))) + (R12)*(IF((YEAR(D12)+20)&lt;YEAR(E12),0,IF((YEAR(D12)+20)&gt;YEAR(E12),1,(12-MONTH(E12)+1)/12))))-(IF(OR(N12="",N12&lt;=0),0,(O12/N12)*(IF(OR(N12="",N12&lt;=0),0,IF((YEAR(D12)+20)&lt;YEAR(E12),0,IF((YEAR(D12)+20)&gt;=YEAR(E12)+N12,0,IF((YEAR(D12)+20)=YEAR(E12),(12-MONTH(E12)+1)/12,1))))))))*TaxRate,0))-IF(20=0,O12,0))</f>
        <v/>
      </c>
      <c r="AN12" s="29">
        <f>IF(A12="","",S12)</f>
        <v/>
      </c>
      <c r="AO12" s="29">
        <f>IF(A12="","",AN12+T12)</f>
        <v/>
      </c>
      <c r="AP12" s="29">
        <f>IF(A12="","",AO12+U12)</f>
        <v/>
      </c>
      <c r="AQ12" s="29">
        <f>IF(A12="","",AP12+V12)</f>
        <v/>
      </c>
      <c r="AR12" s="29">
        <f>IF(A12="","",AQ12+W12)</f>
        <v/>
      </c>
      <c r="AS12" s="29">
        <f>IF(A12="","",AR12+X12)</f>
        <v/>
      </c>
      <c r="AT12" s="29">
        <f>IF(A12="","",AS12+Y12)</f>
        <v/>
      </c>
      <c r="AU12" s="29">
        <f>IF(A12="","",AT12+Z12)</f>
        <v/>
      </c>
      <c r="AV12" s="29">
        <f>IF(A12="","",AU12+AA12)</f>
        <v/>
      </c>
      <c r="AW12" s="29">
        <f>IF(A12="","",AV12+AB12)</f>
        <v/>
      </c>
      <c r="AX12" s="29">
        <f>IF(A12="","",AW12+AC12)</f>
        <v/>
      </c>
      <c r="AY12" s="29">
        <f>IF(A12="","",AX12+AD12)</f>
        <v/>
      </c>
      <c r="AZ12" s="29">
        <f>IF(A12="","",AY12+AE12)</f>
        <v/>
      </c>
      <c r="BA12" s="29">
        <f>IF(A12="","",AZ12+AF12)</f>
        <v/>
      </c>
      <c r="BB12" s="29">
        <f>IF(A12="","",BA12+AG12)</f>
        <v/>
      </c>
      <c r="BC12" s="29">
        <f>IF(A12="","",BB12+AH12)</f>
        <v/>
      </c>
      <c r="BD12" s="29">
        <f>IF(A12="","",BC12+AI12)</f>
        <v/>
      </c>
      <c r="BE12" s="29">
        <f>IF(A12="","",BD12+AJ12)</f>
        <v/>
      </c>
      <c r="BF12" s="29">
        <f>IF(A12="","",BE12+AK12)</f>
        <v/>
      </c>
      <c r="BG12" s="29">
        <f>IF(A12="","",BF12+AL12)</f>
        <v/>
      </c>
      <c r="BH12" s="29">
        <f>IF(A12="","",BG12+AM12)</f>
        <v/>
      </c>
      <c r="BI12" s="36">
        <f>IF(A12="","",(K12)*(IF((YEAR(D12)+0)&lt;YEAR(E12),0,IF((YEAR(D12)+0)&gt;YEAR(E12),1,(12-MONTH(E12)+1)/12)))*(1/(1+DiscountRate)^0))</f>
        <v/>
      </c>
      <c r="BJ12" s="36">
        <f>IF(A12="","",(K12)*(IF((YEAR(D12)+1)&lt;YEAR(E12),0,IF((YEAR(D12)+1)&gt;YEAR(E12),1,(12-MONTH(E12)+1)/12)))*(1/(1+DiscountRate)^1))</f>
        <v/>
      </c>
      <c r="BK12" s="36">
        <f>IF(A12="","",(K12)*(IF((YEAR(D12)+2)&lt;YEAR(E12),0,IF((YEAR(D12)+2)&gt;YEAR(E12),1,(12-MONTH(E12)+1)/12)))*(1/(1+DiscountRate)^2))</f>
        <v/>
      </c>
      <c r="BL12" s="36">
        <f>IF(A12="","",(K12)*(IF((YEAR(D12)+3)&lt;YEAR(E12),0,IF((YEAR(D12)+3)&gt;YEAR(E12),1,(12-MONTH(E12)+1)/12)))*(1/(1+DiscountRate)^3))</f>
        <v/>
      </c>
      <c r="BM12" s="36">
        <f>IF(A12="","",(K12)*(IF((YEAR(D12)+4)&lt;YEAR(E12),0,IF((YEAR(D12)+4)&gt;YEAR(E12),1,(12-MONTH(E12)+1)/12)))*(1/(1+DiscountRate)^4))</f>
        <v/>
      </c>
      <c r="BN12" s="36">
        <f>IF(A12="","",(K12)*(IF((YEAR(D12)+5)&lt;YEAR(E12),0,IF((YEAR(D12)+5)&gt;YEAR(E12),1,(12-MONTH(E12)+1)/12)))*(1/(1+DiscountRate)^5))</f>
        <v/>
      </c>
      <c r="BO12" s="36">
        <f>IF(A12="","",(K12)*(IF((YEAR(D12)+6)&lt;YEAR(E12),0,IF((YEAR(D12)+6)&gt;YEAR(E12),1,(12-MONTH(E12)+1)/12)))*(1/(1+DiscountRate)^6))</f>
        <v/>
      </c>
      <c r="BP12" s="36">
        <f>IF(A12="","",(K12)*(IF((YEAR(D12)+7)&lt;YEAR(E12),0,IF((YEAR(D12)+7)&gt;YEAR(E12),1,(12-MONTH(E12)+1)/12)))*(1/(1+DiscountRate)^7))</f>
        <v/>
      </c>
      <c r="BQ12" s="36">
        <f>IF(A12="","",(K12)*(IF((YEAR(D12)+8)&lt;YEAR(E12),0,IF((YEAR(D12)+8)&gt;YEAR(E12),1,(12-MONTH(E12)+1)/12)))*(1/(1+DiscountRate)^8))</f>
        <v/>
      </c>
      <c r="BR12" s="36">
        <f>IF(A12="","",(K12)*(IF((YEAR(D12)+9)&lt;YEAR(E12),0,IF((YEAR(D12)+9)&gt;YEAR(E12),1,(12-MONTH(E12)+1)/12)))*(1/(1+DiscountRate)^9))</f>
        <v/>
      </c>
      <c r="BS12" s="36">
        <f>IF(A12="","",(K12)*(IF((YEAR(D12)+10)&lt;YEAR(E12),0,IF((YEAR(D12)+10)&gt;YEAR(E12),1,(12-MONTH(E12)+1)/12)))*(1/(1+DiscountRate)^10))</f>
        <v/>
      </c>
      <c r="BT12" s="36">
        <f>IF(A12="","",(K12)*(IF((YEAR(D12)+11)&lt;YEAR(E12),0,IF((YEAR(D12)+11)&gt;YEAR(E12),1,(12-MONTH(E12)+1)/12)))*(1/(1+DiscountRate)^11))</f>
        <v/>
      </c>
      <c r="BU12" s="36">
        <f>IF(A12="","",(K12)*(IF((YEAR(D12)+12)&lt;YEAR(E12),0,IF((YEAR(D12)+12)&gt;YEAR(E12),1,(12-MONTH(E12)+1)/12)))*(1/(1+DiscountRate)^12))</f>
        <v/>
      </c>
      <c r="BV12" s="36">
        <f>IF(A12="","",(K12)*(IF((YEAR(D12)+13)&lt;YEAR(E12),0,IF((YEAR(D12)+13)&gt;YEAR(E12),1,(12-MONTH(E12)+1)/12)))*(1/(1+DiscountRate)^13))</f>
        <v/>
      </c>
      <c r="BW12" s="36">
        <f>IF(A12="","",(K12)*(IF((YEAR(D12)+14)&lt;YEAR(E12),0,IF((YEAR(D12)+14)&gt;YEAR(E12),1,(12-MONTH(E12)+1)/12)))*(1/(1+DiscountRate)^14))</f>
        <v/>
      </c>
      <c r="BX12" s="36">
        <f>IF(A12="","",(K12)*(IF((YEAR(D12)+15)&lt;YEAR(E12),0,IF((YEAR(D12)+15)&gt;YEAR(E12),1,(12-MONTH(E12)+1)/12)))*(1/(1+DiscountRate)^15))</f>
        <v/>
      </c>
      <c r="BY12" s="36">
        <f>IF(A12="","",(K12)*(IF((YEAR(D12)+16)&lt;YEAR(E12),0,IF((YEAR(D12)+16)&gt;YEAR(E12),1,(12-MONTH(E12)+1)/12)))*(1/(1+DiscountRate)^16))</f>
        <v/>
      </c>
      <c r="BZ12" s="36">
        <f>IF(A12="","",(K12)*(IF((YEAR(D12)+17)&lt;YEAR(E12),0,IF((YEAR(D12)+17)&gt;YEAR(E12),1,(12-MONTH(E12)+1)/12)))*(1/(1+DiscountRate)^17))</f>
        <v/>
      </c>
      <c r="CA12" s="36">
        <f>IF(A12="","",(K12)*(IF((YEAR(D12)+18)&lt;YEAR(E12),0,IF((YEAR(D12)+18)&gt;YEAR(E12),1,(12-MONTH(E12)+1)/12)))*(1/(1+DiscountRate)^18))</f>
        <v/>
      </c>
      <c r="CB12" s="36">
        <f>IF(A12="","",(K12)*(IF((YEAR(D12)+19)&lt;YEAR(E12),0,IF((YEAR(D12)+19)&gt;YEAR(E12),1,(12-MONTH(E12)+1)/12)))*(1/(1+DiscountRate)^19))</f>
        <v/>
      </c>
      <c r="CC12" s="36">
        <f>IF(A12="","",(K12)*(IF((YEAR(D12)+20)&lt;YEAR(E12),0,IF((YEAR(D12)+20)&gt;YEAR(E12),1,(12-MONTH(E12)+1)/12)))*(1/(1+DiscountRate)^20))</f>
        <v/>
      </c>
      <c r="CD12" s="29">
        <f>IF(A12="","",S12/(1+DiscountRate)^0+T12/(1+DiscountRate)^1+U12/(1+DiscountRate)^2+V12/(1+DiscountRate)^3+W12/(1+DiscountRate)^4+X12/(1+DiscountRate)^5+Y12/(1+DiscountRate)^6+Z12/(1+DiscountRate)^7+AA12/(1+DiscountRate)^8+AB12/(1+DiscountRate)^9+AC12/(1+DiscountRate)^10+AD12/(1+DiscountRate)^11+AE12/(1+DiscountRate)^12+AF12/(1+DiscountRate)^13+AG12/(1+DiscountRate)^14+AH12/(1+DiscountRate)^15+AI12/(1+DiscountRate)^16+AJ12/(1+DiscountRate)^17+AK12/(1+DiscountRate)^18+AL12/(1+DiscountRate)^19+AM12/(1+DiscountRate)^20)</f>
        <v/>
      </c>
      <c r="CE12" s="37">
        <f>IF(A12="","",IFERROR(IRR(OFFSET(S12,0,0,1,MIN(HorizonYears,20)+1)),"n/a"))</f>
        <v/>
      </c>
      <c r="CF12" s="28">
        <f>IF(A12="","",IFERROR(MATCH(TRUE,OFFSET(AN12,0,0,1,MIN(HorizonYears,20)+1)&gt;=0,0)-1,"n/a"))</f>
        <v/>
      </c>
      <c r="CG12" s="36">
        <f>IF(A12="","",SUM(OFFSET(BI12,0,0,1,MIN(HorizonYears,20)+1)))</f>
        <v/>
      </c>
      <c r="CH12" s="36">
        <f>IF(A12="","",IFERROR(-CD12/CG12,"n/a"))</f>
        <v/>
      </c>
    </row>
    <row r="13">
      <c r="A13" s="6">
        <f>Actions!A11</f>
        <v/>
      </c>
      <c r="B13" s="6">
        <f>Actions!B11</f>
        <v/>
      </c>
      <c r="C13" s="6">
        <f>Actions!D11</f>
        <v/>
      </c>
      <c r="D13" s="35">
        <f>Actions!E11</f>
        <v/>
      </c>
      <c r="E13" s="35">
        <f>Actions!F11</f>
        <v/>
      </c>
      <c r="F13" s="6">
        <f>Actions!G11</f>
        <v/>
      </c>
      <c r="G13" s="6">
        <f>Actions!H11</f>
        <v/>
      </c>
      <c r="H13" s="29">
        <f>Actions!I11</f>
        <v/>
      </c>
      <c r="I13" s="6">
        <f>Actions!J11</f>
        <v/>
      </c>
      <c r="J13" s="16">
        <f>Actions!K11</f>
        <v/>
      </c>
      <c r="K13" s="16">
        <f>IF(A13="","",IF(I13="%",H13*J13,J13))</f>
        <v/>
      </c>
      <c r="L13" s="16">
        <f>Actions!L11</f>
        <v/>
      </c>
      <c r="M13" s="6">
        <f>Actions!M11</f>
        <v/>
      </c>
      <c r="N13" s="28">
        <f>Actions!N11</f>
        <v/>
      </c>
      <c r="O13" s="29">
        <f>Actions!T11</f>
        <v/>
      </c>
      <c r="P13" s="29">
        <f>Actions!Y11</f>
        <v/>
      </c>
      <c r="Q13" s="29">
        <f>Actions!Z11</f>
        <v/>
      </c>
      <c r="R13" s="29">
        <f>Actions!AA11</f>
        <v/>
      </c>
      <c r="S13" s="29">
        <f>IF(A13="","",((K13)*(IF(M13="",L13,IFERROR(IF(INDEX(Variablen!$I:$AT, MATCH(M13, Variablen!$A:$A, 0), MATCH((YEAR(D13)+0), Variablen!$I$3:$AT$3, 0))="",L13,INDEX(Variablen!$I:$AT, MATCH(M13, Variablen!$A:$A, 0), MATCH((YEAR(D13)+0), Variablen!$I$3:$AT$3, 0))),L13)))*(IF((YEAR(D13)+0)&lt;YEAR(E13),0,IF((YEAR(D13)+0)&gt;YEAR(E13),1,(12-MONTH(E13)+1)/12))) + (Q13)*(IF((YEAR(D13)+0)&lt;YEAR(E13),0,IF((YEAR(D13)+0)&gt;YEAR(E13),1,(12-MONTH(E13)+1)/12))))-((P13)*(IF((YEAR(D13)+0)&lt;YEAR(E13),0,IF((YEAR(D13)+0)&gt;YEAR(E13),1,(12-MONTH(E13)+1)/12))) + (R13)*(IF((YEAR(D13)+0)&lt;YEAR(E13),0,IF((YEAR(D13)+0)&gt;YEAR(E13),1,(12-MONTH(E13)+1)/12))))-(IF((((K13)*(IF(M13="",L13,IFERROR(IF(INDEX(Variablen!$I:$AT, MATCH(M13, Variablen!$A:$A, 0), MATCH((YEAR(D13)+0), Variablen!$I$3:$AT$3, 0))="",L13,INDEX(Variablen!$I:$AT, MATCH(M13, Variablen!$A:$A, 0), MATCH((YEAR(D13)+0), Variablen!$I$3:$AT$3, 0))),L13)))*(IF((YEAR(D13)+0)&lt;YEAR(E13),0,IF((YEAR(D13)+0)&gt;YEAR(E13),1,(12-MONTH(E13)+1)/12))) + (Q13)*(IF((YEAR(D13)+0)&lt;YEAR(E13),0,IF((YEAR(D13)+0)&gt;YEAR(E13),1,(12-MONTH(E13)+1)/12))))-((P13)*(IF((YEAR(D13)+0)&lt;YEAR(E13),0,IF((YEAR(D13)+0)&gt;YEAR(E13),1,(12-MONTH(E13)+1)/12))) + (R13)*(IF((YEAR(D13)+0)&lt;YEAR(E13),0,IF((YEAR(D13)+0)&gt;YEAR(E13),1,(12-MONTH(E13)+1)/12))))-(IF(OR(N13="",N13&lt;=0),0,(O13/N13)*(IF(OR(N13="",N13&lt;=0),0,IF((YEAR(D13)+0)&lt;YEAR(E13),0,IF((YEAR(D13)+0)&gt;=YEAR(E13)+N13,0,IF((YEAR(D13)+0)=YEAR(E13),(12-MONTH(E13)+1)/12,1))))))))&gt;0,(((K13)*(IF(M13="",L13,IFERROR(IF(INDEX(Variablen!$I:$AT, MATCH(M13, Variablen!$A:$A, 0), MATCH((YEAR(D13)+0), Variablen!$I$3:$AT$3, 0))="",L13,INDEX(Variablen!$I:$AT, MATCH(M13, Variablen!$A:$A, 0), MATCH((YEAR(D13)+0), Variablen!$I$3:$AT$3, 0))),L13)))*(IF((YEAR(D13)+0)&lt;YEAR(E13),0,IF((YEAR(D13)+0)&gt;YEAR(E13),1,(12-MONTH(E13)+1)/12))) + (Q13)*(IF((YEAR(D13)+0)&lt;YEAR(E13),0,IF((YEAR(D13)+0)&gt;YEAR(E13),1,(12-MONTH(E13)+1)/12))))-((P13)*(IF((YEAR(D13)+0)&lt;YEAR(E13),0,IF((YEAR(D13)+0)&gt;YEAR(E13),1,(12-MONTH(E13)+1)/12))) + (R13)*(IF((YEAR(D13)+0)&lt;YEAR(E13),0,IF((YEAR(D13)+0)&gt;YEAR(E13),1,(12-MONTH(E13)+1)/12))))-(IF(OR(N13="",N13&lt;=0),0,(O13/N13)*(IF(OR(N13="",N13&lt;=0),0,IF((YEAR(D13)+0)&lt;YEAR(E13),0,IF((YEAR(D13)+0)&gt;=YEAR(E13)+N13,0,IF((YEAR(D13)+0)=YEAR(E13),(12-MONTH(E13)+1)/12,1))))))))*TaxRate,0))-IF(0=0,O13,0))</f>
        <v/>
      </c>
      <c r="T13" s="29">
        <f>IF(A13="","",((K13)*(IF(M13="",L13,IFERROR(IF(INDEX(Variablen!$I:$AT, MATCH(M13, Variablen!$A:$A, 0), MATCH((YEAR(D13)+1), Variablen!$I$3:$AT$3, 0))="",L13,INDEX(Variablen!$I:$AT, MATCH(M13, Variablen!$A:$A, 0), MATCH((YEAR(D13)+1), Variablen!$I$3:$AT$3, 0))),L13)))*(IF((YEAR(D13)+1)&lt;YEAR(E13),0,IF((YEAR(D13)+1)&gt;YEAR(E13),1,(12-MONTH(E13)+1)/12))) + (Q13)*(IF((YEAR(D13)+1)&lt;YEAR(E13),0,IF((YEAR(D13)+1)&gt;YEAR(E13),1,(12-MONTH(E13)+1)/12))))-((P13)*(IF((YEAR(D13)+1)&lt;YEAR(E13),0,IF((YEAR(D13)+1)&gt;YEAR(E13),1,(12-MONTH(E13)+1)/12))) + (R13)*(IF((YEAR(D13)+1)&lt;YEAR(E13),0,IF((YEAR(D13)+1)&gt;YEAR(E13),1,(12-MONTH(E13)+1)/12))))-(IF((((K13)*(IF(M13="",L13,IFERROR(IF(INDEX(Variablen!$I:$AT, MATCH(M13, Variablen!$A:$A, 0), MATCH((YEAR(D13)+1), Variablen!$I$3:$AT$3, 0))="",L13,INDEX(Variablen!$I:$AT, MATCH(M13, Variablen!$A:$A, 0), MATCH((YEAR(D13)+1), Variablen!$I$3:$AT$3, 0))),L13)))*(IF((YEAR(D13)+1)&lt;YEAR(E13),0,IF((YEAR(D13)+1)&gt;YEAR(E13),1,(12-MONTH(E13)+1)/12))) + (Q13)*(IF((YEAR(D13)+1)&lt;YEAR(E13),0,IF((YEAR(D13)+1)&gt;YEAR(E13),1,(12-MONTH(E13)+1)/12))))-((P13)*(IF((YEAR(D13)+1)&lt;YEAR(E13),0,IF((YEAR(D13)+1)&gt;YEAR(E13),1,(12-MONTH(E13)+1)/12))) + (R13)*(IF((YEAR(D13)+1)&lt;YEAR(E13),0,IF((YEAR(D13)+1)&gt;YEAR(E13),1,(12-MONTH(E13)+1)/12))))-(IF(OR(N13="",N13&lt;=0),0,(O13/N13)*(IF(OR(N13="",N13&lt;=0),0,IF((YEAR(D13)+1)&lt;YEAR(E13),0,IF((YEAR(D13)+1)&gt;=YEAR(E13)+N13,0,IF((YEAR(D13)+1)=YEAR(E13),(12-MONTH(E13)+1)/12,1))))))))&gt;0,(((K13)*(IF(M13="",L13,IFERROR(IF(INDEX(Variablen!$I:$AT, MATCH(M13, Variablen!$A:$A, 0), MATCH((YEAR(D13)+1), Variablen!$I$3:$AT$3, 0))="",L13,INDEX(Variablen!$I:$AT, MATCH(M13, Variablen!$A:$A, 0), MATCH((YEAR(D13)+1), Variablen!$I$3:$AT$3, 0))),L13)))*(IF((YEAR(D13)+1)&lt;YEAR(E13),0,IF((YEAR(D13)+1)&gt;YEAR(E13),1,(12-MONTH(E13)+1)/12))) + (Q13)*(IF((YEAR(D13)+1)&lt;YEAR(E13),0,IF((YEAR(D13)+1)&gt;YEAR(E13),1,(12-MONTH(E13)+1)/12))))-((P13)*(IF((YEAR(D13)+1)&lt;YEAR(E13),0,IF((YEAR(D13)+1)&gt;YEAR(E13),1,(12-MONTH(E13)+1)/12))) + (R13)*(IF((YEAR(D13)+1)&lt;YEAR(E13),0,IF((YEAR(D13)+1)&gt;YEAR(E13),1,(12-MONTH(E13)+1)/12))))-(IF(OR(N13="",N13&lt;=0),0,(O13/N13)*(IF(OR(N13="",N13&lt;=0),0,IF((YEAR(D13)+1)&lt;YEAR(E13),0,IF((YEAR(D13)+1)&gt;=YEAR(E13)+N13,0,IF((YEAR(D13)+1)=YEAR(E13),(12-MONTH(E13)+1)/12,1))))))))*TaxRate,0))-IF(1=0,O13,0))</f>
        <v/>
      </c>
      <c r="U13" s="29">
        <f>IF(A13="","",((K13)*(IF(M13="",L13,IFERROR(IF(INDEX(Variablen!$I:$AT, MATCH(M13, Variablen!$A:$A, 0), MATCH((YEAR(D13)+2), Variablen!$I$3:$AT$3, 0))="",L13,INDEX(Variablen!$I:$AT, MATCH(M13, Variablen!$A:$A, 0), MATCH((YEAR(D13)+2), Variablen!$I$3:$AT$3, 0))),L13)))*(IF((YEAR(D13)+2)&lt;YEAR(E13),0,IF((YEAR(D13)+2)&gt;YEAR(E13),1,(12-MONTH(E13)+1)/12))) + (Q13)*(IF((YEAR(D13)+2)&lt;YEAR(E13),0,IF((YEAR(D13)+2)&gt;YEAR(E13),1,(12-MONTH(E13)+1)/12))))-((P13)*(IF((YEAR(D13)+2)&lt;YEAR(E13),0,IF((YEAR(D13)+2)&gt;YEAR(E13),1,(12-MONTH(E13)+1)/12))) + (R13)*(IF((YEAR(D13)+2)&lt;YEAR(E13),0,IF((YEAR(D13)+2)&gt;YEAR(E13),1,(12-MONTH(E13)+1)/12))))-(IF((((K13)*(IF(M13="",L13,IFERROR(IF(INDEX(Variablen!$I:$AT, MATCH(M13, Variablen!$A:$A, 0), MATCH((YEAR(D13)+2), Variablen!$I$3:$AT$3, 0))="",L13,INDEX(Variablen!$I:$AT, MATCH(M13, Variablen!$A:$A, 0), MATCH((YEAR(D13)+2), Variablen!$I$3:$AT$3, 0))),L13)))*(IF((YEAR(D13)+2)&lt;YEAR(E13),0,IF((YEAR(D13)+2)&gt;YEAR(E13),1,(12-MONTH(E13)+1)/12))) + (Q13)*(IF((YEAR(D13)+2)&lt;YEAR(E13),0,IF((YEAR(D13)+2)&gt;YEAR(E13),1,(12-MONTH(E13)+1)/12))))-((P13)*(IF((YEAR(D13)+2)&lt;YEAR(E13),0,IF((YEAR(D13)+2)&gt;YEAR(E13),1,(12-MONTH(E13)+1)/12))) + (R13)*(IF((YEAR(D13)+2)&lt;YEAR(E13),0,IF((YEAR(D13)+2)&gt;YEAR(E13),1,(12-MONTH(E13)+1)/12))))-(IF(OR(N13="",N13&lt;=0),0,(O13/N13)*(IF(OR(N13="",N13&lt;=0),0,IF((YEAR(D13)+2)&lt;YEAR(E13),0,IF((YEAR(D13)+2)&gt;=YEAR(E13)+N13,0,IF((YEAR(D13)+2)=YEAR(E13),(12-MONTH(E13)+1)/12,1))))))))&gt;0,(((K13)*(IF(M13="",L13,IFERROR(IF(INDEX(Variablen!$I:$AT, MATCH(M13, Variablen!$A:$A, 0), MATCH((YEAR(D13)+2), Variablen!$I$3:$AT$3, 0))="",L13,INDEX(Variablen!$I:$AT, MATCH(M13, Variablen!$A:$A, 0), MATCH((YEAR(D13)+2), Variablen!$I$3:$AT$3, 0))),L13)))*(IF((YEAR(D13)+2)&lt;YEAR(E13),0,IF((YEAR(D13)+2)&gt;YEAR(E13),1,(12-MONTH(E13)+1)/12))) + (Q13)*(IF((YEAR(D13)+2)&lt;YEAR(E13),0,IF((YEAR(D13)+2)&gt;YEAR(E13),1,(12-MONTH(E13)+1)/12))))-((P13)*(IF((YEAR(D13)+2)&lt;YEAR(E13),0,IF((YEAR(D13)+2)&gt;YEAR(E13),1,(12-MONTH(E13)+1)/12))) + (R13)*(IF((YEAR(D13)+2)&lt;YEAR(E13),0,IF((YEAR(D13)+2)&gt;YEAR(E13),1,(12-MONTH(E13)+1)/12))))-(IF(OR(N13="",N13&lt;=0),0,(O13/N13)*(IF(OR(N13="",N13&lt;=0),0,IF((YEAR(D13)+2)&lt;YEAR(E13),0,IF((YEAR(D13)+2)&gt;=YEAR(E13)+N13,0,IF((YEAR(D13)+2)=YEAR(E13),(12-MONTH(E13)+1)/12,1))))))))*TaxRate,0))-IF(2=0,O13,0))</f>
        <v/>
      </c>
      <c r="V13" s="29">
        <f>IF(A13="","",((K13)*(IF(M13="",L13,IFERROR(IF(INDEX(Variablen!$I:$AT, MATCH(M13, Variablen!$A:$A, 0), MATCH((YEAR(D13)+3), Variablen!$I$3:$AT$3, 0))="",L13,INDEX(Variablen!$I:$AT, MATCH(M13, Variablen!$A:$A, 0), MATCH((YEAR(D13)+3), Variablen!$I$3:$AT$3, 0))),L13)))*(IF((YEAR(D13)+3)&lt;YEAR(E13),0,IF((YEAR(D13)+3)&gt;YEAR(E13),1,(12-MONTH(E13)+1)/12))) + (Q13)*(IF((YEAR(D13)+3)&lt;YEAR(E13),0,IF((YEAR(D13)+3)&gt;YEAR(E13),1,(12-MONTH(E13)+1)/12))))-((P13)*(IF((YEAR(D13)+3)&lt;YEAR(E13),0,IF((YEAR(D13)+3)&gt;YEAR(E13),1,(12-MONTH(E13)+1)/12))) + (R13)*(IF((YEAR(D13)+3)&lt;YEAR(E13),0,IF((YEAR(D13)+3)&gt;YEAR(E13),1,(12-MONTH(E13)+1)/12))))-(IF((((K13)*(IF(M13="",L13,IFERROR(IF(INDEX(Variablen!$I:$AT, MATCH(M13, Variablen!$A:$A, 0), MATCH((YEAR(D13)+3), Variablen!$I$3:$AT$3, 0))="",L13,INDEX(Variablen!$I:$AT, MATCH(M13, Variablen!$A:$A, 0), MATCH((YEAR(D13)+3), Variablen!$I$3:$AT$3, 0))),L13)))*(IF((YEAR(D13)+3)&lt;YEAR(E13),0,IF((YEAR(D13)+3)&gt;YEAR(E13),1,(12-MONTH(E13)+1)/12))) + (Q13)*(IF((YEAR(D13)+3)&lt;YEAR(E13),0,IF((YEAR(D13)+3)&gt;YEAR(E13),1,(12-MONTH(E13)+1)/12))))-((P13)*(IF((YEAR(D13)+3)&lt;YEAR(E13),0,IF((YEAR(D13)+3)&gt;YEAR(E13),1,(12-MONTH(E13)+1)/12))) + (R13)*(IF((YEAR(D13)+3)&lt;YEAR(E13),0,IF((YEAR(D13)+3)&gt;YEAR(E13),1,(12-MONTH(E13)+1)/12))))-(IF(OR(N13="",N13&lt;=0),0,(O13/N13)*(IF(OR(N13="",N13&lt;=0),0,IF((YEAR(D13)+3)&lt;YEAR(E13),0,IF((YEAR(D13)+3)&gt;=YEAR(E13)+N13,0,IF((YEAR(D13)+3)=YEAR(E13),(12-MONTH(E13)+1)/12,1))))))))&gt;0,(((K13)*(IF(M13="",L13,IFERROR(IF(INDEX(Variablen!$I:$AT, MATCH(M13, Variablen!$A:$A, 0), MATCH((YEAR(D13)+3), Variablen!$I$3:$AT$3, 0))="",L13,INDEX(Variablen!$I:$AT, MATCH(M13, Variablen!$A:$A, 0), MATCH((YEAR(D13)+3), Variablen!$I$3:$AT$3, 0))),L13)))*(IF((YEAR(D13)+3)&lt;YEAR(E13),0,IF((YEAR(D13)+3)&gt;YEAR(E13),1,(12-MONTH(E13)+1)/12))) + (Q13)*(IF((YEAR(D13)+3)&lt;YEAR(E13),0,IF((YEAR(D13)+3)&gt;YEAR(E13),1,(12-MONTH(E13)+1)/12))))-((P13)*(IF((YEAR(D13)+3)&lt;YEAR(E13),0,IF((YEAR(D13)+3)&gt;YEAR(E13),1,(12-MONTH(E13)+1)/12))) + (R13)*(IF((YEAR(D13)+3)&lt;YEAR(E13),0,IF((YEAR(D13)+3)&gt;YEAR(E13),1,(12-MONTH(E13)+1)/12))))-(IF(OR(N13="",N13&lt;=0),0,(O13/N13)*(IF(OR(N13="",N13&lt;=0),0,IF((YEAR(D13)+3)&lt;YEAR(E13),0,IF((YEAR(D13)+3)&gt;=YEAR(E13)+N13,0,IF((YEAR(D13)+3)=YEAR(E13),(12-MONTH(E13)+1)/12,1))))))))*TaxRate,0))-IF(3=0,O13,0))</f>
        <v/>
      </c>
      <c r="W13" s="29">
        <f>IF(A13="","",((K13)*(IF(M13="",L13,IFERROR(IF(INDEX(Variablen!$I:$AT, MATCH(M13, Variablen!$A:$A, 0), MATCH((YEAR(D13)+4), Variablen!$I$3:$AT$3, 0))="",L13,INDEX(Variablen!$I:$AT, MATCH(M13, Variablen!$A:$A, 0), MATCH((YEAR(D13)+4), Variablen!$I$3:$AT$3, 0))),L13)))*(IF((YEAR(D13)+4)&lt;YEAR(E13),0,IF((YEAR(D13)+4)&gt;YEAR(E13),1,(12-MONTH(E13)+1)/12))) + (Q13)*(IF((YEAR(D13)+4)&lt;YEAR(E13),0,IF((YEAR(D13)+4)&gt;YEAR(E13),1,(12-MONTH(E13)+1)/12))))-((P13)*(IF((YEAR(D13)+4)&lt;YEAR(E13),0,IF((YEAR(D13)+4)&gt;YEAR(E13),1,(12-MONTH(E13)+1)/12))) + (R13)*(IF((YEAR(D13)+4)&lt;YEAR(E13),0,IF((YEAR(D13)+4)&gt;YEAR(E13),1,(12-MONTH(E13)+1)/12))))-(IF((((K13)*(IF(M13="",L13,IFERROR(IF(INDEX(Variablen!$I:$AT, MATCH(M13, Variablen!$A:$A, 0), MATCH((YEAR(D13)+4), Variablen!$I$3:$AT$3, 0))="",L13,INDEX(Variablen!$I:$AT, MATCH(M13, Variablen!$A:$A, 0), MATCH((YEAR(D13)+4), Variablen!$I$3:$AT$3, 0))),L13)))*(IF((YEAR(D13)+4)&lt;YEAR(E13),0,IF((YEAR(D13)+4)&gt;YEAR(E13),1,(12-MONTH(E13)+1)/12))) + (Q13)*(IF((YEAR(D13)+4)&lt;YEAR(E13),0,IF((YEAR(D13)+4)&gt;YEAR(E13),1,(12-MONTH(E13)+1)/12))))-((P13)*(IF((YEAR(D13)+4)&lt;YEAR(E13),0,IF((YEAR(D13)+4)&gt;YEAR(E13),1,(12-MONTH(E13)+1)/12))) + (R13)*(IF((YEAR(D13)+4)&lt;YEAR(E13),0,IF((YEAR(D13)+4)&gt;YEAR(E13),1,(12-MONTH(E13)+1)/12))))-(IF(OR(N13="",N13&lt;=0),0,(O13/N13)*(IF(OR(N13="",N13&lt;=0),0,IF((YEAR(D13)+4)&lt;YEAR(E13),0,IF((YEAR(D13)+4)&gt;=YEAR(E13)+N13,0,IF((YEAR(D13)+4)=YEAR(E13),(12-MONTH(E13)+1)/12,1))))))))&gt;0,(((K13)*(IF(M13="",L13,IFERROR(IF(INDEX(Variablen!$I:$AT, MATCH(M13, Variablen!$A:$A, 0), MATCH((YEAR(D13)+4), Variablen!$I$3:$AT$3, 0))="",L13,INDEX(Variablen!$I:$AT, MATCH(M13, Variablen!$A:$A, 0), MATCH((YEAR(D13)+4), Variablen!$I$3:$AT$3, 0))),L13)))*(IF((YEAR(D13)+4)&lt;YEAR(E13),0,IF((YEAR(D13)+4)&gt;YEAR(E13),1,(12-MONTH(E13)+1)/12))) + (Q13)*(IF((YEAR(D13)+4)&lt;YEAR(E13),0,IF((YEAR(D13)+4)&gt;YEAR(E13),1,(12-MONTH(E13)+1)/12))))-((P13)*(IF((YEAR(D13)+4)&lt;YEAR(E13),0,IF((YEAR(D13)+4)&gt;YEAR(E13),1,(12-MONTH(E13)+1)/12))) + (R13)*(IF((YEAR(D13)+4)&lt;YEAR(E13),0,IF((YEAR(D13)+4)&gt;YEAR(E13),1,(12-MONTH(E13)+1)/12))))-(IF(OR(N13="",N13&lt;=0),0,(O13/N13)*(IF(OR(N13="",N13&lt;=0),0,IF((YEAR(D13)+4)&lt;YEAR(E13),0,IF((YEAR(D13)+4)&gt;=YEAR(E13)+N13,0,IF((YEAR(D13)+4)=YEAR(E13),(12-MONTH(E13)+1)/12,1))))))))*TaxRate,0))-IF(4=0,O13,0))</f>
        <v/>
      </c>
      <c r="X13" s="29">
        <f>IF(A13="","",((K13)*(IF(M13="",L13,IFERROR(IF(INDEX(Variablen!$I:$AT, MATCH(M13, Variablen!$A:$A, 0), MATCH((YEAR(D13)+5), Variablen!$I$3:$AT$3, 0))="",L13,INDEX(Variablen!$I:$AT, MATCH(M13, Variablen!$A:$A, 0), MATCH((YEAR(D13)+5), Variablen!$I$3:$AT$3, 0))),L13)))*(IF((YEAR(D13)+5)&lt;YEAR(E13),0,IF((YEAR(D13)+5)&gt;YEAR(E13),1,(12-MONTH(E13)+1)/12))) + (Q13)*(IF((YEAR(D13)+5)&lt;YEAR(E13),0,IF((YEAR(D13)+5)&gt;YEAR(E13),1,(12-MONTH(E13)+1)/12))))-((P13)*(IF((YEAR(D13)+5)&lt;YEAR(E13),0,IF((YEAR(D13)+5)&gt;YEAR(E13),1,(12-MONTH(E13)+1)/12))) + (R13)*(IF((YEAR(D13)+5)&lt;YEAR(E13),0,IF((YEAR(D13)+5)&gt;YEAR(E13),1,(12-MONTH(E13)+1)/12))))-(IF((((K13)*(IF(M13="",L13,IFERROR(IF(INDEX(Variablen!$I:$AT, MATCH(M13, Variablen!$A:$A, 0), MATCH((YEAR(D13)+5), Variablen!$I$3:$AT$3, 0))="",L13,INDEX(Variablen!$I:$AT, MATCH(M13, Variablen!$A:$A, 0), MATCH((YEAR(D13)+5), Variablen!$I$3:$AT$3, 0))),L13)))*(IF((YEAR(D13)+5)&lt;YEAR(E13),0,IF((YEAR(D13)+5)&gt;YEAR(E13),1,(12-MONTH(E13)+1)/12))) + (Q13)*(IF((YEAR(D13)+5)&lt;YEAR(E13),0,IF((YEAR(D13)+5)&gt;YEAR(E13),1,(12-MONTH(E13)+1)/12))))-((P13)*(IF((YEAR(D13)+5)&lt;YEAR(E13),0,IF((YEAR(D13)+5)&gt;YEAR(E13),1,(12-MONTH(E13)+1)/12))) + (R13)*(IF((YEAR(D13)+5)&lt;YEAR(E13),0,IF((YEAR(D13)+5)&gt;YEAR(E13),1,(12-MONTH(E13)+1)/12))))-(IF(OR(N13="",N13&lt;=0),0,(O13/N13)*(IF(OR(N13="",N13&lt;=0),0,IF((YEAR(D13)+5)&lt;YEAR(E13),0,IF((YEAR(D13)+5)&gt;=YEAR(E13)+N13,0,IF((YEAR(D13)+5)=YEAR(E13),(12-MONTH(E13)+1)/12,1))))))))&gt;0,(((K13)*(IF(M13="",L13,IFERROR(IF(INDEX(Variablen!$I:$AT, MATCH(M13, Variablen!$A:$A, 0), MATCH((YEAR(D13)+5), Variablen!$I$3:$AT$3, 0))="",L13,INDEX(Variablen!$I:$AT, MATCH(M13, Variablen!$A:$A, 0), MATCH((YEAR(D13)+5), Variablen!$I$3:$AT$3, 0))),L13)))*(IF((YEAR(D13)+5)&lt;YEAR(E13),0,IF((YEAR(D13)+5)&gt;YEAR(E13),1,(12-MONTH(E13)+1)/12))) + (Q13)*(IF((YEAR(D13)+5)&lt;YEAR(E13),0,IF((YEAR(D13)+5)&gt;YEAR(E13),1,(12-MONTH(E13)+1)/12))))-((P13)*(IF((YEAR(D13)+5)&lt;YEAR(E13),0,IF((YEAR(D13)+5)&gt;YEAR(E13),1,(12-MONTH(E13)+1)/12))) + (R13)*(IF((YEAR(D13)+5)&lt;YEAR(E13),0,IF((YEAR(D13)+5)&gt;YEAR(E13),1,(12-MONTH(E13)+1)/12))))-(IF(OR(N13="",N13&lt;=0),0,(O13/N13)*(IF(OR(N13="",N13&lt;=0),0,IF((YEAR(D13)+5)&lt;YEAR(E13),0,IF((YEAR(D13)+5)&gt;=YEAR(E13)+N13,0,IF((YEAR(D13)+5)=YEAR(E13),(12-MONTH(E13)+1)/12,1))))))))*TaxRate,0))-IF(5=0,O13,0))</f>
        <v/>
      </c>
      <c r="Y13" s="29">
        <f>IF(A13="","",((K13)*(IF(M13="",L13,IFERROR(IF(INDEX(Variablen!$I:$AT, MATCH(M13, Variablen!$A:$A, 0), MATCH((YEAR(D13)+6), Variablen!$I$3:$AT$3, 0))="",L13,INDEX(Variablen!$I:$AT, MATCH(M13, Variablen!$A:$A, 0), MATCH((YEAR(D13)+6), Variablen!$I$3:$AT$3, 0))),L13)))*(IF((YEAR(D13)+6)&lt;YEAR(E13),0,IF((YEAR(D13)+6)&gt;YEAR(E13),1,(12-MONTH(E13)+1)/12))) + (Q13)*(IF((YEAR(D13)+6)&lt;YEAR(E13),0,IF((YEAR(D13)+6)&gt;YEAR(E13),1,(12-MONTH(E13)+1)/12))))-((P13)*(IF((YEAR(D13)+6)&lt;YEAR(E13),0,IF((YEAR(D13)+6)&gt;YEAR(E13),1,(12-MONTH(E13)+1)/12))) + (R13)*(IF((YEAR(D13)+6)&lt;YEAR(E13),0,IF((YEAR(D13)+6)&gt;YEAR(E13),1,(12-MONTH(E13)+1)/12))))-(IF((((K13)*(IF(M13="",L13,IFERROR(IF(INDEX(Variablen!$I:$AT, MATCH(M13, Variablen!$A:$A, 0), MATCH((YEAR(D13)+6), Variablen!$I$3:$AT$3, 0))="",L13,INDEX(Variablen!$I:$AT, MATCH(M13, Variablen!$A:$A, 0), MATCH((YEAR(D13)+6), Variablen!$I$3:$AT$3, 0))),L13)))*(IF((YEAR(D13)+6)&lt;YEAR(E13),0,IF((YEAR(D13)+6)&gt;YEAR(E13),1,(12-MONTH(E13)+1)/12))) + (Q13)*(IF((YEAR(D13)+6)&lt;YEAR(E13),0,IF((YEAR(D13)+6)&gt;YEAR(E13),1,(12-MONTH(E13)+1)/12))))-((P13)*(IF((YEAR(D13)+6)&lt;YEAR(E13),0,IF((YEAR(D13)+6)&gt;YEAR(E13),1,(12-MONTH(E13)+1)/12))) + (R13)*(IF((YEAR(D13)+6)&lt;YEAR(E13),0,IF((YEAR(D13)+6)&gt;YEAR(E13),1,(12-MONTH(E13)+1)/12))))-(IF(OR(N13="",N13&lt;=0),0,(O13/N13)*(IF(OR(N13="",N13&lt;=0),0,IF((YEAR(D13)+6)&lt;YEAR(E13),0,IF((YEAR(D13)+6)&gt;=YEAR(E13)+N13,0,IF((YEAR(D13)+6)=YEAR(E13),(12-MONTH(E13)+1)/12,1))))))))&gt;0,(((K13)*(IF(M13="",L13,IFERROR(IF(INDEX(Variablen!$I:$AT, MATCH(M13, Variablen!$A:$A, 0), MATCH((YEAR(D13)+6), Variablen!$I$3:$AT$3, 0))="",L13,INDEX(Variablen!$I:$AT, MATCH(M13, Variablen!$A:$A, 0), MATCH((YEAR(D13)+6), Variablen!$I$3:$AT$3, 0))),L13)))*(IF((YEAR(D13)+6)&lt;YEAR(E13),0,IF((YEAR(D13)+6)&gt;YEAR(E13),1,(12-MONTH(E13)+1)/12))) + (Q13)*(IF((YEAR(D13)+6)&lt;YEAR(E13),0,IF((YEAR(D13)+6)&gt;YEAR(E13),1,(12-MONTH(E13)+1)/12))))-((P13)*(IF((YEAR(D13)+6)&lt;YEAR(E13),0,IF((YEAR(D13)+6)&gt;YEAR(E13),1,(12-MONTH(E13)+1)/12))) + (R13)*(IF((YEAR(D13)+6)&lt;YEAR(E13),0,IF((YEAR(D13)+6)&gt;YEAR(E13),1,(12-MONTH(E13)+1)/12))))-(IF(OR(N13="",N13&lt;=0),0,(O13/N13)*(IF(OR(N13="",N13&lt;=0),0,IF((YEAR(D13)+6)&lt;YEAR(E13),0,IF((YEAR(D13)+6)&gt;=YEAR(E13)+N13,0,IF((YEAR(D13)+6)=YEAR(E13),(12-MONTH(E13)+1)/12,1))))))))*TaxRate,0))-IF(6=0,O13,0))</f>
        <v/>
      </c>
      <c r="Z13" s="29">
        <f>IF(A13="","",((K13)*(IF(M13="",L13,IFERROR(IF(INDEX(Variablen!$I:$AT, MATCH(M13, Variablen!$A:$A, 0), MATCH((YEAR(D13)+7), Variablen!$I$3:$AT$3, 0))="",L13,INDEX(Variablen!$I:$AT, MATCH(M13, Variablen!$A:$A, 0), MATCH((YEAR(D13)+7), Variablen!$I$3:$AT$3, 0))),L13)))*(IF((YEAR(D13)+7)&lt;YEAR(E13),0,IF((YEAR(D13)+7)&gt;YEAR(E13),1,(12-MONTH(E13)+1)/12))) + (Q13)*(IF((YEAR(D13)+7)&lt;YEAR(E13),0,IF((YEAR(D13)+7)&gt;YEAR(E13),1,(12-MONTH(E13)+1)/12))))-((P13)*(IF((YEAR(D13)+7)&lt;YEAR(E13),0,IF((YEAR(D13)+7)&gt;YEAR(E13),1,(12-MONTH(E13)+1)/12))) + (R13)*(IF((YEAR(D13)+7)&lt;YEAR(E13),0,IF((YEAR(D13)+7)&gt;YEAR(E13),1,(12-MONTH(E13)+1)/12))))-(IF((((K13)*(IF(M13="",L13,IFERROR(IF(INDEX(Variablen!$I:$AT, MATCH(M13, Variablen!$A:$A, 0), MATCH((YEAR(D13)+7), Variablen!$I$3:$AT$3, 0))="",L13,INDEX(Variablen!$I:$AT, MATCH(M13, Variablen!$A:$A, 0), MATCH((YEAR(D13)+7), Variablen!$I$3:$AT$3, 0))),L13)))*(IF((YEAR(D13)+7)&lt;YEAR(E13),0,IF((YEAR(D13)+7)&gt;YEAR(E13),1,(12-MONTH(E13)+1)/12))) + (Q13)*(IF((YEAR(D13)+7)&lt;YEAR(E13),0,IF((YEAR(D13)+7)&gt;YEAR(E13),1,(12-MONTH(E13)+1)/12))))-((P13)*(IF((YEAR(D13)+7)&lt;YEAR(E13),0,IF((YEAR(D13)+7)&gt;YEAR(E13),1,(12-MONTH(E13)+1)/12))) + (R13)*(IF((YEAR(D13)+7)&lt;YEAR(E13),0,IF((YEAR(D13)+7)&gt;YEAR(E13),1,(12-MONTH(E13)+1)/12))))-(IF(OR(N13="",N13&lt;=0),0,(O13/N13)*(IF(OR(N13="",N13&lt;=0),0,IF((YEAR(D13)+7)&lt;YEAR(E13),0,IF((YEAR(D13)+7)&gt;=YEAR(E13)+N13,0,IF((YEAR(D13)+7)=YEAR(E13),(12-MONTH(E13)+1)/12,1))))))))&gt;0,(((K13)*(IF(M13="",L13,IFERROR(IF(INDEX(Variablen!$I:$AT, MATCH(M13, Variablen!$A:$A, 0), MATCH((YEAR(D13)+7), Variablen!$I$3:$AT$3, 0))="",L13,INDEX(Variablen!$I:$AT, MATCH(M13, Variablen!$A:$A, 0), MATCH((YEAR(D13)+7), Variablen!$I$3:$AT$3, 0))),L13)))*(IF((YEAR(D13)+7)&lt;YEAR(E13),0,IF((YEAR(D13)+7)&gt;YEAR(E13),1,(12-MONTH(E13)+1)/12))) + (Q13)*(IF((YEAR(D13)+7)&lt;YEAR(E13),0,IF((YEAR(D13)+7)&gt;YEAR(E13),1,(12-MONTH(E13)+1)/12))))-((P13)*(IF((YEAR(D13)+7)&lt;YEAR(E13),0,IF((YEAR(D13)+7)&gt;YEAR(E13),1,(12-MONTH(E13)+1)/12))) + (R13)*(IF((YEAR(D13)+7)&lt;YEAR(E13),0,IF((YEAR(D13)+7)&gt;YEAR(E13),1,(12-MONTH(E13)+1)/12))))-(IF(OR(N13="",N13&lt;=0),0,(O13/N13)*(IF(OR(N13="",N13&lt;=0),0,IF((YEAR(D13)+7)&lt;YEAR(E13),0,IF((YEAR(D13)+7)&gt;=YEAR(E13)+N13,0,IF((YEAR(D13)+7)=YEAR(E13),(12-MONTH(E13)+1)/12,1))))))))*TaxRate,0))-IF(7=0,O13,0))</f>
        <v/>
      </c>
      <c r="AA13" s="29">
        <f>IF(A13="","",((K13)*(IF(M13="",L13,IFERROR(IF(INDEX(Variablen!$I:$AT, MATCH(M13, Variablen!$A:$A, 0), MATCH((YEAR(D13)+8), Variablen!$I$3:$AT$3, 0))="",L13,INDEX(Variablen!$I:$AT, MATCH(M13, Variablen!$A:$A, 0), MATCH((YEAR(D13)+8), Variablen!$I$3:$AT$3, 0))),L13)))*(IF((YEAR(D13)+8)&lt;YEAR(E13),0,IF((YEAR(D13)+8)&gt;YEAR(E13),1,(12-MONTH(E13)+1)/12))) + (Q13)*(IF((YEAR(D13)+8)&lt;YEAR(E13),0,IF((YEAR(D13)+8)&gt;YEAR(E13),1,(12-MONTH(E13)+1)/12))))-((P13)*(IF((YEAR(D13)+8)&lt;YEAR(E13),0,IF((YEAR(D13)+8)&gt;YEAR(E13),1,(12-MONTH(E13)+1)/12))) + (R13)*(IF((YEAR(D13)+8)&lt;YEAR(E13),0,IF((YEAR(D13)+8)&gt;YEAR(E13),1,(12-MONTH(E13)+1)/12))))-(IF((((K13)*(IF(M13="",L13,IFERROR(IF(INDEX(Variablen!$I:$AT, MATCH(M13, Variablen!$A:$A, 0), MATCH((YEAR(D13)+8), Variablen!$I$3:$AT$3, 0))="",L13,INDEX(Variablen!$I:$AT, MATCH(M13, Variablen!$A:$A, 0), MATCH((YEAR(D13)+8), Variablen!$I$3:$AT$3, 0))),L13)))*(IF((YEAR(D13)+8)&lt;YEAR(E13),0,IF((YEAR(D13)+8)&gt;YEAR(E13),1,(12-MONTH(E13)+1)/12))) + (Q13)*(IF((YEAR(D13)+8)&lt;YEAR(E13),0,IF((YEAR(D13)+8)&gt;YEAR(E13),1,(12-MONTH(E13)+1)/12))))-((P13)*(IF((YEAR(D13)+8)&lt;YEAR(E13),0,IF((YEAR(D13)+8)&gt;YEAR(E13),1,(12-MONTH(E13)+1)/12))) + (R13)*(IF((YEAR(D13)+8)&lt;YEAR(E13),0,IF((YEAR(D13)+8)&gt;YEAR(E13),1,(12-MONTH(E13)+1)/12))))-(IF(OR(N13="",N13&lt;=0),0,(O13/N13)*(IF(OR(N13="",N13&lt;=0),0,IF((YEAR(D13)+8)&lt;YEAR(E13),0,IF((YEAR(D13)+8)&gt;=YEAR(E13)+N13,0,IF((YEAR(D13)+8)=YEAR(E13),(12-MONTH(E13)+1)/12,1))))))))&gt;0,(((K13)*(IF(M13="",L13,IFERROR(IF(INDEX(Variablen!$I:$AT, MATCH(M13, Variablen!$A:$A, 0), MATCH((YEAR(D13)+8), Variablen!$I$3:$AT$3, 0))="",L13,INDEX(Variablen!$I:$AT, MATCH(M13, Variablen!$A:$A, 0), MATCH((YEAR(D13)+8), Variablen!$I$3:$AT$3, 0))),L13)))*(IF((YEAR(D13)+8)&lt;YEAR(E13),0,IF((YEAR(D13)+8)&gt;YEAR(E13),1,(12-MONTH(E13)+1)/12))) + (Q13)*(IF((YEAR(D13)+8)&lt;YEAR(E13),0,IF((YEAR(D13)+8)&gt;YEAR(E13),1,(12-MONTH(E13)+1)/12))))-((P13)*(IF((YEAR(D13)+8)&lt;YEAR(E13),0,IF((YEAR(D13)+8)&gt;YEAR(E13),1,(12-MONTH(E13)+1)/12))) + (R13)*(IF((YEAR(D13)+8)&lt;YEAR(E13),0,IF((YEAR(D13)+8)&gt;YEAR(E13),1,(12-MONTH(E13)+1)/12))))-(IF(OR(N13="",N13&lt;=0),0,(O13/N13)*(IF(OR(N13="",N13&lt;=0),0,IF((YEAR(D13)+8)&lt;YEAR(E13),0,IF((YEAR(D13)+8)&gt;=YEAR(E13)+N13,0,IF((YEAR(D13)+8)=YEAR(E13),(12-MONTH(E13)+1)/12,1))))))))*TaxRate,0))-IF(8=0,O13,0))</f>
        <v/>
      </c>
      <c r="AB13" s="29">
        <f>IF(A13="","",((K13)*(IF(M13="",L13,IFERROR(IF(INDEX(Variablen!$I:$AT, MATCH(M13, Variablen!$A:$A, 0), MATCH((YEAR(D13)+9), Variablen!$I$3:$AT$3, 0))="",L13,INDEX(Variablen!$I:$AT, MATCH(M13, Variablen!$A:$A, 0), MATCH((YEAR(D13)+9), Variablen!$I$3:$AT$3, 0))),L13)))*(IF((YEAR(D13)+9)&lt;YEAR(E13),0,IF((YEAR(D13)+9)&gt;YEAR(E13),1,(12-MONTH(E13)+1)/12))) + (Q13)*(IF((YEAR(D13)+9)&lt;YEAR(E13),0,IF((YEAR(D13)+9)&gt;YEAR(E13),1,(12-MONTH(E13)+1)/12))))-((P13)*(IF((YEAR(D13)+9)&lt;YEAR(E13),0,IF((YEAR(D13)+9)&gt;YEAR(E13),1,(12-MONTH(E13)+1)/12))) + (R13)*(IF((YEAR(D13)+9)&lt;YEAR(E13),0,IF((YEAR(D13)+9)&gt;YEAR(E13),1,(12-MONTH(E13)+1)/12))))-(IF((((K13)*(IF(M13="",L13,IFERROR(IF(INDEX(Variablen!$I:$AT, MATCH(M13, Variablen!$A:$A, 0), MATCH((YEAR(D13)+9), Variablen!$I$3:$AT$3, 0))="",L13,INDEX(Variablen!$I:$AT, MATCH(M13, Variablen!$A:$A, 0), MATCH((YEAR(D13)+9), Variablen!$I$3:$AT$3, 0))),L13)))*(IF((YEAR(D13)+9)&lt;YEAR(E13),0,IF((YEAR(D13)+9)&gt;YEAR(E13),1,(12-MONTH(E13)+1)/12))) + (Q13)*(IF((YEAR(D13)+9)&lt;YEAR(E13),0,IF((YEAR(D13)+9)&gt;YEAR(E13),1,(12-MONTH(E13)+1)/12))))-((P13)*(IF((YEAR(D13)+9)&lt;YEAR(E13),0,IF((YEAR(D13)+9)&gt;YEAR(E13),1,(12-MONTH(E13)+1)/12))) + (R13)*(IF((YEAR(D13)+9)&lt;YEAR(E13),0,IF((YEAR(D13)+9)&gt;YEAR(E13),1,(12-MONTH(E13)+1)/12))))-(IF(OR(N13="",N13&lt;=0),0,(O13/N13)*(IF(OR(N13="",N13&lt;=0),0,IF((YEAR(D13)+9)&lt;YEAR(E13),0,IF((YEAR(D13)+9)&gt;=YEAR(E13)+N13,0,IF((YEAR(D13)+9)=YEAR(E13),(12-MONTH(E13)+1)/12,1))))))))&gt;0,(((K13)*(IF(M13="",L13,IFERROR(IF(INDEX(Variablen!$I:$AT, MATCH(M13, Variablen!$A:$A, 0), MATCH((YEAR(D13)+9), Variablen!$I$3:$AT$3, 0))="",L13,INDEX(Variablen!$I:$AT, MATCH(M13, Variablen!$A:$A, 0), MATCH((YEAR(D13)+9), Variablen!$I$3:$AT$3, 0))),L13)))*(IF((YEAR(D13)+9)&lt;YEAR(E13),0,IF((YEAR(D13)+9)&gt;YEAR(E13),1,(12-MONTH(E13)+1)/12))) + (Q13)*(IF((YEAR(D13)+9)&lt;YEAR(E13),0,IF((YEAR(D13)+9)&gt;YEAR(E13),1,(12-MONTH(E13)+1)/12))))-((P13)*(IF((YEAR(D13)+9)&lt;YEAR(E13),0,IF((YEAR(D13)+9)&gt;YEAR(E13),1,(12-MONTH(E13)+1)/12))) + (R13)*(IF((YEAR(D13)+9)&lt;YEAR(E13),0,IF((YEAR(D13)+9)&gt;YEAR(E13),1,(12-MONTH(E13)+1)/12))))-(IF(OR(N13="",N13&lt;=0),0,(O13/N13)*(IF(OR(N13="",N13&lt;=0),0,IF((YEAR(D13)+9)&lt;YEAR(E13),0,IF((YEAR(D13)+9)&gt;=YEAR(E13)+N13,0,IF((YEAR(D13)+9)=YEAR(E13),(12-MONTH(E13)+1)/12,1))))))))*TaxRate,0))-IF(9=0,O13,0))</f>
        <v/>
      </c>
      <c r="AC13" s="29">
        <f>IF(A13="","",((K13)*(IF(M13="",L13,IFERROR(IF(INDEX(Variablen!$I:$AT, MATCH(M13, Variablen!$A:$A, 0), MATCH((YEAR(D13)+10), Variablen!$I$3:$AT$3, 0))="",L13,INDEX(Variablen!$I:$AT, MATCH(M13, Variablen!$A:$A, 0), MATCH((YEAR(D13)+10), Variablen!$I$3:$AT$3, 0))),L13)))*(IF((YEAR(D13)+10)&lt;YEAR(E13),0,IF((YEAR(D13)+10)&gt;YEAR(E13),1,(12-MONTH(E13)+1)/12))) + (Q13)*(IF((YEAR(D13)+10)&lt;YEAR(E13),0,IF((YEAR(D13)+10)&gt;YEAR(E13),1,(12-MONTH(E13)+1)/12))))-((P13)*(IF((YEAR(D13)+10)&lt;YEAR(E13),0,IF((YEAR(D13)+10)&gt;YEAR(E13),1,(12-MONTH(E13)+1)/12))) + (R13)*(IF((YEAR(D13)+10)&lt;YEAR(E13),0,IF((YEAR(D13)+10)&gt;YEAR(E13),1,(12-MONTH(E13)+1)/12))))-(IF((((K13)*(IF(M13="",L13,IFERROR(IF(INDEX(Variablen!$I:$AT, MATCH(M13, Variablen!$A:$A, 0), MATCH((YEAR(D13)+10), Variablen!$I$3:$AT$3, 0))="",L13,INDEX(Variablen!$I:$AT, MATCH(M13, Variablen!$A:$A, 0), MATCH((YEAR(D13)+10), Variablen!$I$3:$AT$3, 0))),L13)))*(IF((YEAR(D13)+10)&lt;YEAR(E13),0,IF((YEAR(D13)+10)&gt;YEAR(E13),1,(12-MONTH(E13)+1)/12))) + (Q13)*(IF((YEAR(D13)+10)&lt;YEAR(E13),0,IF((YEAR(D13)+10)&gt;YEAR(E13),1,(12-MONTH(E13)+1)/12))))-((P13)*(IF((YEAR(D13)+10)&lt;YEAR(E13),0,IF((YEAR(D13)+10)&gt;YEAR(E13),1,(12-MONTH(E13)+1)/12))) + (R13)*(IF((YEAR(D13)+10)&lt;YEAR(E13),0,IF((YEAR(D13)+10)&gt;YEAR(E13),1,(12-MONTH(E13)+1)/12))))-(IF(OR(N13="",N13&lt;=0),0,(O13/N13)*(IF(OR(N13="",N13&lt;=0),0,IF((YEAR(D13)+10)&lt;YEAR(E13),0,IF((YEAR(D13)+10)&gt;=YEAR(E13)+N13,0,IF((YEAR(D13)+10)=YEAR(E13),(12-MONTH(E13)+1)/12,1))))))))&gt;0,(((K13)*(IF(M13="",L13,IFERROR(IF(INDEX(Variablen!$I:$AT, MATCH(M13, Variablen!$A:$A, 0), MATCH((YEAR(D13)+10), Variablen!$I$3:$AT$3, 0))="",L13,INDEX(Variablen!$I:$AT, MATCH(M13, Variablen!$A:$A, 0), MATCH((YEAR(D13)+10), Variablen!$I$3:$AT$3, 0))),L13)))*(IF((YEAR(D13)+10)&lt;YEAR(E13),0,IF((YEAR(D13)+10)&gt;YEAR(E13),1,(12-MONTH(E13)+1)/12))) + (Q13)*(IF((YEAR(D13)+10)&lt;YEAR(E13),0,IF((YEAR(D13)+10)&gt;YEAR(E13),1,(12-MONTH(E13)+1)/12))))-((P13)*(IF((YEAR(D13)+10)&lt;YEAR(E13),0,IF((YEAR(D13)+10)&gt;YEAR(E13),1,(12-MONTH(E13)+1)/12))) + (R13)*(IF((YEAR(D13)+10)&lt;YEAR(E13),0,IF((YEAR(D13)+10)&gt;YEAR(E13),1,(12-MONTH(E13)+1)/12))))-(IF(OR(N13="",N13&lt;=0),0,(O13/N13)*(IF(OR(N13="",N13&lt;=0),0,IF((YEAR(D13)+10)&lt;YEAR(E13),0,IF((YEAR(D13)+10)&gt;=YEAR(E13)+N13,0,IF((YEAR(D13)+10)=YEAR(E13),(12-MONTH(E13)+1)/12,1))))))))*TaxRate,0))-IF(10=0,O13,0))</f>
        <v/>
      </c>
      <c r="AD13" s="29">
        <f>IF(A13="","",((K13)*(IF(M13="",L13,IFERROR(IF(INDEX(Variablen!$I:$AT, MATCH(M13, Variablen!$A:$A, 0), MATCH((YEAR(D13)+11), Variablen!$I$3:$AT$3, 0))="",L13,INDEX(Variablen!$I:$AT, MATCH(M13, Variablen!$A:$A, 0), MATCH((YEAR(D13)+11), Variablen!$I$3:$AT$3, 0))),L13)))*(IF((YEAR(D13)+11)&lt;YEAR(E13),0,IF((YEAR(D13)+11)&gt;YEAR(E13),1,(12-MONTH(E13)+1)/12))) + (Q13)*(IF((YEAR(D13)+11)&lt;YEAR(E13),0,IF((YEAR(D13)+11)&gt;YEAR(E13),1,(12-MONTH(E13)+1)/12))))-((P13)*(IF((YEAR(D13)+11)&lt;YEAR(E13),0,IF((YEAR(D13)+11)&gt;YEAR(E13),1,(12-MONTH(E13)+1)/12))) + (R13)*(IF((YEAR(D13)+11)&lt;YEAR(E13),0,IF((YEAR(D13)+11)&gt;YEAR(E13),1,(12-MONTH(E13)+1)/12))))-(IF((((K13)*(IF(M13="",L13,IFERROR(IF(INDEX(Variablen!$I:$AT, MATCH(M13, Variablen!$A:$A, 0), MATCH((YEAR(D13)+11), Variablen!$I$3:$AT$3, 0))="",L13,INDEX(Variablen!$I:$AT, MATCH(M13, Variablen!$A:$A, 0), MATCH((YEAR(D13)+11), Variablen!$I$3:$AT$3, 0))),L13)))*(IF((YEAR(D13)+11)&lt;YEAR(E13),0,IF((YEAR(D13)+11)&gt;YEAR(E13),1,(12-MONTH(E13)+1)/12))) + (Q13)*(IF((YEAR(D13)+11)&lt;YEAR(E13),0,IF((YEAR(D13)+11)&gt;YEAR(E13),1,(12-MONTH(E13)+1)/12))))-((P13)*(IF((YEAR(D13)+11)&lt;YEAR(E13),0,IF((YEAR(D13)+11)&gt;YEAR(E13),1,(12-MONTH(E13)+1)/12))) + (R13)*(IF((YEAR(D13)+11)&lt;YEAR(E13),0,IF((YEAR(D13)+11)&gt;YEAR(E13),1,(12-MONTH(E13)+1)/12))))-(IF(OR(N13="",N13&lt;=0),0,(O13/N13)*(IF(OR(N13="",N13&lt;=0),0,IF((YEAR(D13)+11)&lt;YEAR(E13),0,IF((YEAR(D13)+11)&gt;=YEAR(E13)+N13,0,IF((YEAR(D13)+11)=YEAR(E13),(12-MONTH(E13)+1)/12,1))))))))&gt;0,(((K13)*(IF(M13="",L13,IFERROR(IF(INDEX(Variablen!$I:$AT, MATCH(M13, Variablen!$A:$A, 0), MATCH((YEAR(D13)+11), Variablen!$I$3:$AT$3, 0))="",L13,INDEX(Variablen!$I:$AT, MATCH(M13, Variablen!$A:$A, 0), MATCH((YEAR(D13)+11), Variablen!$I$3:$AT$3, 0))),L13)))*(IF((YEAR(D13)+11)&lt;YEAR(E13),0,IF((YEAR(D13)+11)&gt;YEAR(E13),1,(12-MONTH(E13)+1)/12))) + (Q13)*(IF((YEAR(D13)+11)&lt;YEAR(E13),0,IF((YEAR(D13)+11)&gt;YEAR(E13),1,(12-MONTH(E13)+1)/12))))-((P13)*(IF((YEAR(D13)+11)&lt;YEAR(E13),0,IF((YEAR(D13)+11)&gt;YEAR(E13),1,(12-MONTH(E13)+1)/12))) + (R13)*(IF((YEAR(D13)+11)&lt;YEAR(E13),0,IF((YEAR(D13)+11)&gt;YEAR(E13),1,(12-MONTH(E13)+1)/12))))-(IF(OR(N13="",N13&lt;=0),0,(O13/N13)*(IF(OR(N13="",N13&lt;=0),0,IF((YEAR(D13)+11)&lt;YEAR(E13),0,IF((YEAR(D13)+11)&gt;=YEAR(E13)+N13,0,IF((YEAR(D13)+11)=YEAR(E13),(12-MONTH(E13)+1)/12,1))))))))*TaxRate,0))-IF(11=0,O13,0))</f>
        <v/>
      </c>
      <c r="AE13" s="29">
        <f>IF(A13="","",((K13)*(IF(M13="",L13,IFERROR(IF(INDEX(Variablen!$I:$AT, MATCH(M13, Variablen!$A:$A, 0), MATCH((YEAR(D13)+12), Variablen!$I$3:$AT$3, 0))="",L13,INDEX(Variablen!$I:$AT, MATCH(M13, Variablen!$A:$A, 0), MATCH((YEAR(D13)+12), Variablen!$I$3:$AT$3, 0))),L13)))*(IF((YEAR(D13)+12)&lt;YEAR(E13),0,IF((YEAR(D13)+12)&gt;YEAR(E13),1,(12-MONTH(E13)+1)/12))) + (Q13)*(IF((YEAR(D13)+12)&lt;YEAR(E13),0,IF((YEAR(D13)+12)&gt;YEAR(E13),1,(12-MONTH(E13)+1)/12))))-((P13)*(IF((YEAR(D13)+12)&lt;YEAR(E13),0,IF((YEAR(D13)+12)&gt;YEAR(E13),1,(12-MONTH(E13)+1)/12))) + (R13)*(IF((YEAR(D13)+12)&lt;YEAR(E13),0,IF((YEAR(D13)+12)&gt;YEAR(E13),1,(12-MONTH(E13)+1)/12))))-(IF((((K13)*(IF(M13="",L13,IFERROR(IF(INDEX(Variablen!$I:$AT, MATCH(M13, Variablen!$A:$A, 0), MATCH((YEAR(D13)+12), Variablen!$I$3:$AT$3, 0))="",L13,INDEX(Variablen!$I:$AT, MATCH(M13, Variablen!$A:$A, 0), MATCH((YEAR(D13)+12), Variablen!$I$3:$AT$3, 0))),L13)))*(IF((YEAR(D13)+12)&lt;YEAR(E13),0,IF((YEAR(D13)+12)&gt;YEAR(E13),1,(12-MONTH(E13)+1)/12))) + (Q13)*(IF((YEAR(D13)+12)&lt;YEAR(E13),0,IF((YEAR(D13)+12)&gt;YEAR(E13),1,(12-MONTH(E13)+1)/12))))-((P13)*(IF((YEAR(D13)+12)&lt;YEAR(E13),0,IF((YEAR(D13)+12)&gt;YEAR(E13),1,(12-MONTH(E13)+1)/12))) + (R13)*(IF((YEAR(D13)+12)&lt;YEAR(E13),0,IF((YEAR(D13)+12)&gt;YEAR(E13),1,(12-MONTH(E13)+1)/12))))-(IF(OR(N13="",N13&lt;=0),0,(O13/N13)*(IF(OR(N13="",N13&lt;=0),0,IF((YEAR(D13)+12)&lt;YEAR(E13),0,IF((YEAR(D13)+12)&gt;=YEAR(E13)+N13,0,IF((YEAR(D13)+12)=YEAR(E13),(12-MONTH(E13)+1)/12,1))))))))&gt;0,(((K13)*(IF(M13="",L13,IFERROR(IF(INDEX(Variablen!$I:$AT, MATCH(M13, Variablen!$A:$A, 0), MATCH((YEAR(D13)+12), Variablen!$I$3:$AT$3, 0))="",L13,INDEX(Variablen!$I:$AT, MATCH(M13, Variablen!$A:$A, 0), MATCH((YEAR(D13)+12), Variablen!$I$3:$AT$3, 0))),L13)))*(IF((YEAR(D13)+12)&lt;YEAR(E13),0,IF((YEAR(D13)+12)&gt;YEAR(E13),1,(12-MONTH(E13)+1)/12))) + (Q13)*(IF((YEAR(D13)+12)&lt;YEAR(E13),0,IF((YEAR(D13)+12)&gt;YEAR(E13),1,(12-MONTH(E13)+1)/12))))-((P13)*(IF((YEAR(D13)+12)&lt;YEAR(E13),0,IF((YEAR(D13)+12)&gt;YEAR(E13),1,(12-MONTH(E13)+1)/12))) + (R13)*(IF((YEAR(D13)+12)&lt;YEAR(E13),0,IF((YEAR(D13)+12)&gt;YEAR(E13),1,(12-MONTH(E13)+1)/12))))-(IF(OR(N13="",N13&lt;=0),0,(O13/N13)*(IF(OR(N13="",N13&lt;=0),0,IF((YEAR(D13)+12)&lt;YEAR(E13),0,IF((YEAR(D13)+12)&gt;=YEAR(E13)+N13,0,IF((YEAR(D13)+12)=YEAR(E13),(12-MONTH(E13)+1)/12,1))))))))*TaxRate,0))-IF(12=0,O13,0))</f>
        <v/>
      </c>
      <c r="AF13" s="29">
        <f>IF(A13="","",((K13)*(IF(M13="",L13,IFERROR(IF(INDEX(Variablen!$I:$AT, MATCH(M13, Variablen!$A:$A, 0), MATCH((YEAR(D13)+13), Variablen!$I$3:$AT$3, 0))="",L13,INDEX(Variablen!$I:$AT, MATCH(M13, Variablen!$A:$A, 0), MATCH((YEAR(D13)+13), Variablen!$I$3:$AT$3, 0))),L13)))*(IF((YEAR(D13)+13)&lt;YEAR(E13),0,IF((YEAR(D13)+13)&gt;YEAR(E13),1,(12-MONTH(E13)+1)/12))) + (Q13)*(IF((YEAR(D13)+13)&lt;YEAR(E13),0,IF((YEAR(D13)+13)&gt;YEAR(E13),1,(12-MONTH(E13)+1)/12))))-((P13)*(IF((YEAR(D13)+13)&lt;YEAR(E13),0,IF((YEAR(D13)+13)&gt;YEAR(E13),1,(12-MONTH(E13)+1)/12))) + (R13)*(IF((YEAR(D13)+13)&lt;YEAR(E13),0,IF((YEAR(D13)+13)&gt;YEAR(E13),1,(12-MONTH(E13)+1)/12))))-(IF((((K13)*(IF(M13="",L13,IFERROR(IF(INDEX(Variablen!$I:$AT, MATCH(M13, Variablen!$A:$A, 0), MATCH((YEAR(D13)+13), Variablen!$I$3:$AT$3, 0))="",L13,INDEX(Variablen!$I:$AT, MATCH(M13, Variablen!$A:$A, 0), MATCH((YEAR(D13)+13), Variablen!$I$3:$AT$3, 0))),L13)))*(IF((YEAR(D13)+13)&lt;YEAR(E13),0,IF((YEAR(D13)+13)&gt;YEAR(E13),1,(12-MONTH(E13)+1)/12))) + (Q13)*(IF((YEAR(D13)+13)&lt;YEAR(E13),0,IF((YEAR(D13)+13)&gt;YEAR(E13),1,(12-MONTH(E13)+1)/12))))-((P13)*(IF((YEAR(D13)+13)&lt;YEAR(E13),0,IF((YEAR(D13)+13)&gt;YEAR(E13),1,(12-MONTH(E13)+1)/12))) + (R13)*(IF((YEAR(D13)+13)&lt;YEAR(E13),0,IF((YEAR(D13)+13)&gt;YEAR(E13),1,(12-MONTH(E13)+1)/12))))-(IF(OR(N13="",N13&lt;=0),0,(O13/N13)*(IF(OR(N13="",N13&lt;=0),0,IF((YEAR(D13)+13)&lt;YEAR(E13),0,IF((YEAR(D13)+13)&gt;=YEAR(E13)+N13,0,IF((YEAR(D13)+13)=YEAR(E13),(12-MONTH(E13)+1)/12,1))))))))&gt;0,(((K13)*(IF(M13="",L13,IFERROR(IF(INDEX(Variablen!$I:$AT, MATCH(M13, Variablen!$A:$A, 0), MATCH((YEAR(D13)+13), Variablen!$I$3:$AT$3, 0))="",L13,INDEX(Variablen!$I:$AT, MATCH(M13, Variablen!$A:$A, 0), MATCH((YEAR(D13)+13), Variablen!$I$3:$AT$3, 0))),L13)))*(IF((YEAR(D13)+13)&lt;YEAR(E13),0,IF((YEAR(D13)+13)&gt;YEAR(E13),1,(12-MONTH(E13)+1)/12))) + (Q13)*(IF((YEAR(D13)+13)&lt;YEAR(E13),0,IF((YEAR(D13)+13)&gt;YEAR(E13),1,(12-MONTH(E13)+1)/12))))-((P13)*(IF((YEAR(D13)+13)&lt;YEAR(E13),0,IF((YEAR(D13)+13)&gt;YEAR(E13),1,(12-MONTH(E13)+1)/12))) + (R13)*(IF((YEAR(D13)+13)&lt;YEAR(E13),0,IF((YEAR(D13)+13)&gt;YEAR(E13),1,(12-MONTH(E13)+1)/12))))-(IF(OR(N13="",N13&lt;=0),0,(O13/N13)*(IF(OR(N13="",N13&lt;=0),0,IF((YEAR(D13)+13)&lt;YEAR(E13),0,IF((YEAR(D13)+13)&gt;=YEAR(E13)+N13,0,IF((YEAR(D13)+13)=YEAR(E13),(12-MONTH(E13)+1)/12,1))))))))*TaxRate,0))-IF(13=0,O13,0))</f>
        <v/>
      </c>
      <c r="AG13" s="29">
        <f>IF(A13="","",((K13)*(IF(M13="",L13,IFERROR(IF(INDEX(Variablen!$I:$AT, MATCH(M13, Variablen!$A:$A, 0), MATCH((YEAR(D13)+14), Variablen!$I$3:$AT$3, 0))="",L13,INDEX(Variablen!$I:$AT, MATCH(M13, Variablen!$A:$A, 0), MATCH((YEAR(D13)+14), Variablen!$I$3:$AT$3, 0))),L13)))*(IF((YEAR(D13)+14)&lt;YEAR(E13),0,IF((YEAR(D13)+14)&gt;YEAR(E13),1,(12-MONTH(E13)+1)/12))) + (Q13)*(IF((YEAR(D13)+14)&lt;YEAR(E13),0,IF((YEAR(D13)+14)&gt;YEAR(E13),1,(12-MONTH(E13)+1)/12))))-((P13)*(IF((YEAR(D13)+14)&lt;YEAR(E13),0,IF((YEAR(D13)+14)&gt;YEAR(E13),1,(12-MONTH(E13)+1)/12))) + (R13)*(IF((YEAR(D13)+14)&lt;YEAR(E13),0,IF((YEAR(D13)+14)&gt;YEAR(E13),1,(12-MONTH(E13)+1)/12))))-(IF((((K13)*(IF(M13="",L13,IFERROR(IF(INDEX(Variablen!$I:$AT, MATCH(M13, Variablen!$A:$A, 0), MATCH((YEAR(D13)+14), Variablen!$I$3:$AT$3, 0))="",L13,INDEX(Variablen!$I:$AT, MATCH(M13, Variablen!$A:$A, 0), MATCH((YEAR(D13)+14), Variablen!$I$3:$AT$3, 0))),L13)))*(IF((YEAR(D13)+14)&lt;YEAR(E13),0,IF((YEAR(D13)+14)&gt;YEAR(E13),1,(12-MONTH(E13)+1)/12))) + (Q13)*(IF((YEAR(D13)+14)&lt;YEAR(E13),0,IF((YEAR(D13)+14)&gt;YEAR(E13),1,(12-MONTH(E13)+1)/12))))-((P13)*(IF((YEAR(D13)+14)&lt;YEAR(E13),0,IF((YEAR(D13)+14)&gt;YEAR(E13),1,(12-MONTH(E13)+1)/12))) + (R13)*(IF((YEAR(D13)+14)&lt;YEAR(E13),0,IF((YEAR(D13)+14)&gt;YEAR(E13),1,(12-MONTH(E13)+1)/12))))-(IF(OR(N13="",N13&lt;=0),0,(O13/N13)*(IF(OR(N13="",N13&lt;=0),0,IF((YEAR(D13)+14)&lt;YEAR(E13),0,IF((YEAR(D13)+14)&gt;=YEAR(E13)+N13,0,IF((YEAR(D13)+14)=YEAR(E13),(12-MONTH(E13)+1)/12,1))))))))&gt;0,(((K13)*(IF(M13="",L13,IFERROR(IF(INDEX(Variablen!$I:$AT, MATCH(M13, Variablen!$A:$A, 0), MATCH((YEAR(D13)+14), Variablen!$I$3:$AT$3, 0))="",L13,INDEX(Variablen!$I:$AT, MATCH(M13, Variablen!$A:$A, 0), MATCH((YEAR(D13)+14), Variablen!$I$3:$AT$3, 0))),L13)))*(IF((YEAR(D13)+14)&lt;YEAR(E13),0,IF((YEAR(D13)+14)&gt;YEAR(E13),1,(12-MONTH(E13)+1)/12))) + (Q13)*(IF((YEAR(D13)+14)&lt;YEAR(E13),0,IF((YEAR(D13)+14)&gt;YEAR(E13),1,(12-MONTH(E13)+1)/12))))-((P13)*(IF((YEAR(D13)+14)&lt;YEAR(E13),0,IF((YEAR(D13)+14)&gt;YEAR(E13),1,(12-MONTH(E13)+1)/12))) + (R13)*(IF((YEAR(D13)+14)&lt;YEAR(E13),0,IF((YEAR(D13)+14)&gt;YEAR(E13),1,(12-MONTH(E13)+1)/12))))-(IF(OR(N13="",N13&lt;=0),0,(O13/N13)*(IF(OR(N13="",N13&lt;=0),0,IF((YEAR(D13)+14)&lt;YEAR(E13),0,IF((YEAR(D13)+14)&gt;=YEAR(E13)+N13,0,IF((YEAR(D13)+14)=YEAR(E13),(12-MONTH(E13)+1)/12,1))))))))*TaxRate,0))-IF(14=0,O13,0))</f>
        <v/>
      </c>
      <c r="AH13" s="29">
        <f>IF(A13="","",((K13)*(IF(M13="",L13,IFERROR(IF(INDEX(Variablen!$I:$AT, MATCH(M13, Variablen!$A:$A, 0), MATCH((YEAR(D13)+15), Variablen!$I$3:$AT$3, 0))="",L13,INDEX(Variablen!$I:$AT, MATCH(M13, Variablen!$A:$A, 0), MATCH((YEAR(D13)+15), Variablen!$I$3:$AT$3, 0))),L13)))*(IF((YEAR(D13)+15)&lt;YEAR(E13),0,IF((YEAR(D13)+15)&gt;YEAR(E13),1,(12-MONTH(E13)+1)/12))) + (Q13)*(IF((YEAR(D13)+15)&lt;YEAR(E13),0,IF((YEAR(D13)+15)&gt;YEAR(E13),1,(12-MONTH(E13)+1)/12))))-((P13)*(IF((YEAR(D13)+15)&lt;YEAR(E13),0,IF((YEAR(D13)+15)&gt;YEAR(E13),1,(12-MONTH(E13)+1)/12))) + (R13)*(IF((YEAR(D13)+15)&lt;YEAR(E13),0,IF((YEAR(D13)+15)&gt;YEAR(E13),1,(12-MONTH(E13)+1)/12))))-(IF((((K13)*(IF(M13="",L13,IFERROR(IF(INDEX(Variablen!$I:$AT, MATCH(M13, Variablen!$A:$A, 0), MATCH((YEAR(D13)+15), Variablen!$I$3:$AT$3, 0))="",L13,INDEX(Variablen!$I:$AT, MATCH(M13, Variablen!$A:$A, 0), MATCH((YEAR(D13)+15), Variablen!$I$3:$AT$3, 0))),L13)))*(IF((YEAR(D13)+15)&lt;YEAR(E13),0,IF((YEAR(D13)+15)&gt;YEAR(E13),1,(12-MONTH(E13)+1)/12))) + (Q13)*(IF((YEAR(D13)+15)&lt;YEAR(E13),0,IF((YEAR(D13)+15)&gt;YEAR(E13),1,(12-MONTH(E13)+1)/12))))-((P13)*(IF((YEAR(D13)+15)&lt;YEAR(E13),0,IF((YEAR(D13)+15)&gt;YEAR(E13),1,(12-MONTH(E13)+1)/12))) + (R13)*(IF((YEAR(D13)+15)&lt;YEAR(E13),0,IF((YEAR(D13)+15)&gt;YEAR(E13),1,(12-MONTH(E13)+1)/12))))-(IF(OR(N13="",N13&lt;=0),0,(O13/N13)*(IF(OR(N13="",N13&lt;=0),0,IF((YEAR(D13)+15)&lt;YEAR(E13),0,IF((YEAR(D13)+15)&gt;=YEAR(E13)+N13,0,IF((YEAR(D13)+15)=YEAR(E13),(12-MONTH(E13)+1)/12,1))))))))&gt;0,(((K13)*(IF(M13="",L13,IFERROR(IF(INDEX(Variablen!$I:$AT, MATCH(M13, Variablen!$A:$A, 0), MATCH((YEAR(D13)+15), Variablen!$I$3:$AT$3, 0))="",L13,INDEX(Variablen!$I:$AT, MATCH(M13, Variablen!$A:$A, 0), MATCH((YEAR(D13)+15), Variablen!$I$3:$AT$3, 0))),L13)))*(IF((YEAR(D13)+15)&lt;YEAR(E13),0,IF((YEAR(D13)+15)&gt;YEAR(E13),1,(12-MONTH(E13)+1)/12))) + (Q13)*(IF((YEAR(D13)+15)&lt;YEAR(E13),0,IF((YEAR(D13)+15)&gt;YEAR(E13),1,(12-MONTH(E13)+1)/12))))-((P13)*(IF((YEAR(D13)+15)&lt;YEAR(E13),0,IF((YEAR(D13)+15)&gt;YEAR(E13),1,(12-MONTH(E13)+1)/12))) + (R13)*(IF((YEAR(D13)+15)&lt;YEAR(E13),0,IF((YEAR(D13)+15)&gt;YEAR(E13),1,(12-MONTH(E13)+1)/12))))-(IF(OR(N13="",N13&lt;=0),0,(O13/N13)*(IF(OR(N13="",N13&lt;=0),0,IF((YEAR(D13)+15)&lt;YEAR(E13),0,IF((YEAR(D13)+15)&gt;=YEAR(E13)+N13,0,IF((YEAR(D13)+15)=YEAR(E13),(12-MONTH(E13)+1)/12,1))))))))*TaxRate,0))-IF(15=0,O13,0))</f>
        <v/>
      </c>
      <c r="AI13" s="29">
        <f>IF(A13="","",((K13)*(IF(M13="",L13,IFERROR(IF(INDEX(Variablen!$I:$AT, MATCH(M13, Variablen!$A:$A, 0), MATCH((YEAR(D13)+16), Variablen!$I$3:$AT$3, 0))="",L13,INDEX(Variablen!$I:$AT, MATCH(M13, Variablen!$A:$A, 0), MATCH((YEAR(D13)+16), Variablen!$I$3:$AT$3, 0))),L13)))*(IF((YEAR(D13)+16)&lt;YEAR(E13),0,IF((YEAR(D13)+16)&gt;YEAR(E13),1,(12-MONTH(E13)+1)/12))) + (Q13)*(IF((YEAR(D13)+16)&lt;YEAR(E13),0,IF((YEAR(D13)+16)&gt;YEAR(E13),1,(12-MONTH(E13)+1)/12))))-((P13)*(IF((YEAR(D13)+16)&lt;YEAR(E13),0,IF((YEAR(D13)+16)&gt;YEAR(E13),1,(12-MONTH(E13)+1)/12))) + (R13)*(IF((YEAR(D13)+16)&lt;YEAR(E13),0,IF((YEAR(D13)+16)&gt;YEAR(E13),1,(12-MONTH(E13)+1)/12))))-(IF((((K13)*(IF(M13="",L13,IFERROR(IF(INDEX(Variablen!$I:$AT, MATCH(M13, Variablen!$A:$A, 0), MATCH((YEAR(D13)+16), Variablen!$I$3:$AT$3, 0))="",L13,INDEX(Variablen!$I:$AT, MATCH(M13, Variablen!$A:$A, 0), MATCH((YEAR(D13)+16), Variablen!$I$3:$AT$3, 0))),L13)))*(IF((YEAR(D13)+16)&lt;YEAR(E13),0,IF((YEAR(D13)+16)&gt;YEAR(E13),1,(12-MONTH(E13)+1)/12))) + (Q13)*(IF((YEAR(D13)+16)&lt;YEAR(E13),0,IF((YEAR(D13)+16)&gt;YEAR(E13),1,(12-MONTH(E13)+1)/12))))-((P13)*(IF((YEAR(D13)+16)&lt;YEAR(E13),0,IF((YEAR(D13)+16)&gt;YEAR(E13),1,(12-MONTH(E13)+1)/12))) + (R13)*(IF((YEAR(D13)+16)&lt;YEAR(E13),0,IF((YEAR(D13)+16)&gt;YEAR(E13),1,(12-MONTH(E13)+1)/12))))-(IF(OR(N13="",N13&lt;=0),0,(O13/N13)*(IF(OR(N13="",N13&lt;=0),0,IF((YEAR(D13)+16)&lt;YEAR(E13),0,IF((YEAR(D13)+16)&gt;=YEAR(E13)+N13,0,IF((YEAR(D13)+16)=YEAR(E13),(12-MONTH(E13)+1)/12,1))))))))&gt;0,(((K13)*(IF(M13="",L13,IFERROR(IF(INDEX(Variablen!$I:$AT, MATCH(M13, Variablen!$A:$A, 0), MATCH((YEAR(D13)+16), Variablen!$I$3:$AT$3, 0))="",L13,INDEX(Variablen!$I:$AT, MATCH(M13, Variablen!$A:$A, 0), MATCH((YEAR(D13)+16), Variablen!$I$3:$AT$3, 0))),L13)))*(IF((YEAR(D13)+16)&lt;YEAR(E13),0,IF((YEAR(D13)+16)&gt;YEAR(E13),1,(12-MONTH(E13)+1)/12))) + (Q13)*(IF((YEAR(D13)+16)&lt;YEAR(E13),0,IF((YEAR(D13)+16)&gt;YEAR(E13),1,(12-MONTH(E13)+1)/12))))-((P13)*(IF((YEAR(D13)+16)&lt;YEAR(E13),0,IF((YEAR(D13)+16)&gt;YEAR(E13),1,(12-MONTH(E13)+1)/12))) + (R13)*(IF((YEAR(D13)+16)&lt;YEAR(E13),0,IF((YEAR(D13)+16)&gt;YEAR(E13),1,(12-MONTH(E13)+1)/12))))-(IF(OR(N13="",N13&lt;=0),0,(O13/N13)*(IF(OR(N13="",N13&lt;=0),0,IF((YEAR(D13)+16)&lt;YEAR(E13),0,IF((YEAR(D13)+16)&gt;=YEAR(E13)+N13,0,IF((YEAR(D13)+16)=YEAR(E13),(12-MONTH(E13)+1)/12,1))))))))*TaxRate,0))-IF(16=0,O13,0))</f>
        <v/>
      </c>
      <c r="AJ13" s="29">
        <f>IF(A13="","",((K13)*(IF(M13="",L13,IFERROR(IF(INDEX(Variablen!$I:$AT, MATCH(M13, Variablen!$A:$A, 0), MATCH((YEAR(D13)+17), Variablen!$I$3:$AT$3, 0))="",L13,INDEX(Variablen!$I:$AT, MATCH(M13, Variablen!$A:$A, 0), MATCH((YEAR(D13)+17), Variablen!$I$3:$AT$3, 0))),L13)))*(IF((YEAR(D13)+17)&lt;YEAR(E13),0,IF((YEAR(D13)+17)&gt;YEAR(E13),1,(12-MONTH(E13)+1)/12))) + (Q13)*(IF((YEAR(D13)+17)&lt;YEAR(E13),0,IF((YEAR(D13)+17)&gt;YEAR(E13),1,(12-MONTH(E13)+1)/12))))-((P13)*(IF((YEAR(D13)+17)&lt;YEAR(E13),0,IF((YEAR(D13)+17)&gt;YEAR(E13),1,(12-MONTH(E13)+1)/12))) + (R13)*(IF((YEAR(D13)+17)&lt;YEAR(E13),0,IF((YEAR(D13)+17)&gt;YEAR(E13),1,(12-MONTH(E13)+1)/12))))-(IF((((K13)*(IF(M13="",L13,IFERROR(IF(INDEX(Variablen!$I:$AT, MATCH(M13, Variablen!$A:$A, 0), MATCH((YEAR(D13)+17), Variablen!$I$3:$AT$3, 0))="",L13,INDEX(Variablen!$I:$AT, MATCH(M13, Variablen!$A:$A, 0), MATCH((YEAR(D13)+17), Variablen!$I$3:$AT$3, 0))),L13)))*(IF((YEAR(D13)+17)&lt;YEAR(E13),0,IF((YEAR(D13)+17)&gt;YEAR(E13),1,(12-MONTH(E13)+1)/12))) + (Q13)*(IF((YEAR(D13)+17)&lt;YEAR(E13),0,IF((YEAR(D13)+17)&gt;YEAR(E13),1,(12-MONTH(E13)+1)/12))))-((P13)*(IF((YEAR(D13)+17)&lt;YEAR(E13),0,IF((YEAR(D13)+17)&gt;YEAR(E13),1,(12-MONTH(E13)+1)/12))) + (R13)*(IF((YEAR(D13)+17)&lt;YEAR(E13),0,IF((YEAR(D13)+17)&gt;YEAR(E13),1,(12-MONTH(E13)+1)/12))))-(IF(OR(N13="",N13&lt;=0),0,(O13/N13)*(IF(OR(N13="",N13&lt;=0),0,IF((YEAR(D13)+17)&lt;YEAR(E13),0,IF((YEAR(D13)+17)&gt;=YEAR(E13)+N13,0,IF((YEAR(D13)+17)=YEAR(E13),(12-MONTH(E13)+1)/12,1))))))))&gt;0,(((K13)*(IF(M13="",L13,IFERROR(IF(INDEX(Variablen!$I:$AT, MATCH(M13, Variablen!$A:$A, 0), MATCH((YEAR(D13)+17), Variablen!$I$3:$AT$3, 0))="",L13,INDEX(Variablen!$I:$AT, MATCH(M13, Variablen!$A:$A, 0), MATCH((YEAR(D13)+17), Variablen!$I$3:$AT$3, 0))),L13)))*(IF((YEAR(D13)+17)&lt;YEAR(E13),0,IF((YEAR(D13)+17)&gt;YEAR(E13),1,(12-MONTH(E13)+1)/12))) + (Q13)*(IF((YEAR(D13)+17)&lt;YEAR(E13),0,IF((YEAR(D13)+17)&gt;YEAR(E13),1,(12-MONTH(E13)+1)/12))))-((P13)*(IF((YEAR(D13)+17)&lt;YEAR(E13),0,IF((YEAR(D13)+17)&gt;YEAR(E13),1,(12-MONTH(E13)+1)/12))) + (R13)*(IF((YEAR(D13)+17)&lt;YEAR(E13),0,IF((YEAR(D13)+17)&gt;YEAR(E13),1,(12-MONTH(E13)+1)/12))))-(IF(OR(N13="",N13&lt;=0),0,(O13/N13)*(IF(OR(N13="",N13&lt;=0),0,IF((YEAR(D13)+17)&lt;YEAR(E13),0,IF((YEAR(D13)+17)&gt;=YEAR(E13)+N13,0,IF((YEAR(D13)+17)=YEAR(E13),(12-MONTH(E13)+1)/12,1))))))))*TaxRate,0))-IF(17=0,O13,0))</f>
        <v/>
      </c>
      <c r="AK13" s="29">
        <f>IF(A13="","",((K13)*(IF(M13="",L13,IFERROR(IF(INDEX(Variablen!$I:$AT, MATCH(M13, Variablen!$A:$A, 0), MATCH((YEAR(D13)+18), Variablen!$I$3:$AT$3, 0))="",L13,INDEX(Variablen!$I:$AT, MATCH(M13, Variablen!$A:$A, 0), MATCH((YEAR(D13)+18), Variablen!$I$3:$AT$3, 0))),L13)))*(IF((YEAR(D13)+18)&lt;YEAR(E13),0,IF((YEAR(D13)+18)&gt;YEAR(E13),1,(12-MONTH(E13)+1)/12))) + (Q13)*(IF((YEAR(D13)+18)&lt;YEAR(E13),0,IF((YEAR(D13)+18)&gt;YEAR(E13),1,(12-MONTH(E13)+1)/12))))-((P13)*(IF((YEAR(D13)+18)&lt;YEAR(E13),0,IF((YEAR(D13)+18)&gt;YEAR(E13),1,(12-MONTH(E13)+1)/12))) + (R13)*(IF((YEAR(D13)+18)&lt;YEAR(E13),0,IF((YEAR(D13)+18)&gt;YEAR(E13),1,(12-MONTH(E13)+1)/12))))-(IF((((K13)*(IF(M13="",L13,IFERROR(IF(INDEX(Variablen!$I:$AT, MATCH(M13, Variablen!$A:$A, 0), MATCH((YEAR(D13)+18), Variablen!$I$3:$AT$3, 0))="",L13,INDEX(Variablen!$I:$AT, MATCH(M13, Variablen!$A:$A, 0), MATCH((YEAR(D13)+18), Variablen!$I$3:$AT$3, 0))),L13)))*(IF((YEAR(D13)+18)&lt;YEAR(E13),0,IF((YEAR(D13)+18)&gt;YEAR(E13),1,(12-MONTH(E13)+1)/12))) + (Q13)*(IF((YEAR(D13)+18)&lt;YEAR(E13),0,IF((YEAR(D13)+18)&gt;YEAR(E13),1,(12-MONTH(E13)+1)/12))))-((P13)*(IF((YEAR(D13)+18)&lt;YEAR(E13),0,IF((YEAR(D13)+18)&gt;YEAR(E13),1,(12-MONTH(E13)+1)/12))) + (R13)*(IF((YEAR(D13)+18)&lt;YEAR(E13),0,IF((YEAR(D13)+18)&gt;YEAR(E13),1,(12-MONTH(E13)+1)/12))))-(IF(OR(N13="",N13&lt;=0),0,(O13/N13)*(IF(OR(N13="",N13&lt;=0),0,IF((YEAR(D13)+18)&lt;YEAR(E13),0,IF((YEAR(D13)+18)&gt;=YEAR(E13)+N13,0,IF((YEAR(D13)+18)=YEAR(E13),(12-MONTH(E13)+1)/12,1))))))))&gt;0,(((K13)*(IF(M13="",L13,IFERROR(IF(INDEX(Variablen!$I:$AT, MATCH(M13, Variablen!$A:$A, 0), MATCH((YEAR(D13)+18), Variablen!$I$3:$AT$3, 0))="",L13,INDEX(Variablen!$I:$AT, MATCH(M13, Variablen!$A:$A, 0), MATCH((YEAR(D13)+18), Variablen!$I$3:$AT$3, 0))),L13)))*(IF((YEAR(D13)+18)&lt;YEAR(E13),0,IF((YEAR(D13)+18)&gt;YEAR(E13),1,(12-MONTH(E13)+1)/12))) + (Q13)*(IF((YEAR(D13)+18)&lt;YEAR(E13),0,IF((YEAR(D13)+18)&gt;YEAR(E13),1,(12-MONTH(E13)+1)/12))))-((P13)*(IF((YEAR(D13)+18)&lt;YEAR(E13),0,IF((YEAR(D13)+18)&gt;YEAR(E13),1,(12-MONTH(E13)+1)/12))) + (R13)*(IF((YEAR(D13)+18)&lt;YEAR(E13),0,IF((YEAR(D13)+18)&gt;YEAR(E13),1,(12-MONTH(E13)+1)/12))))-(IF(OR(N13="",N13&lt;=0),0,(O13/N13)*(IF(OR(N13="",N13&lt;=0),0,IF((YEAR(D13)+18)&lt;YEAR(E13),0,IF((YEAR(D13)+18)&gt;=YEAR(E13)+N13,0,IF((YEAR(D13)+18)=YEAR(E13),(12-MONTH(E13)+1)/12,1))))))))*TaxRate,0))-IF(18=0,O13,0))</f>
        <v/>
      </c>
      <c r="AL13" s="29">
        <f>IF(A13="","",((K13)*(IF(M13="",L13,IFERROR(IF(INDEX(Variablen!$I:$AT, MATCH(M13, Variablen!$A:$A, 0), MATCH((YEAR(D13)+19), Variablen!$I$3:$AT$3, 0))="",L13,INDEX(Variablen!$I:$AT, MATCH(M13, Variablen!$A:$A, 0), MATCH((YEAR(D13)+19), Variablen!$I$3:$AT$3, 0))),L13)))*(IF((YEAR(D13)+19)&lt;YEAR(E13),0,IF((YEAR(D13)+19)&gt;YEAR(E13),1,(12-MONTH(E13)+1)/12))) + (Q13)*(IF((YEAR(D13)+19)&lt;YEAR(E13),0,IF((YEAR(D13)+19)&gt;YEAR(E13),1,(12-MONTH(E13)+1)/12))))-((P13)*(IF((YEAR(D13)+19)&lt;YEAR(E13),0,IF((YEAR(D13)+19)&gt;YEAR(E13),1,(12-MONTH(E13)+1)/12))) + (R13)*(IF((YEAR(D13)+19)&lt;YEAR(E13),0,IF((YEAR(D13)+19)&gt;YEAR(E13),1,(12-MONTH(E13)+1)/12))))-(IF((((K13)*(IF(M13="",L13,IFERROR(IF(INDEX(Variablen!$I:$AT, MATCH(M13, Variablen!$A:$A, 0), MATCH((YEAR(D13)+19), Variablen!$I$3:$AT$3, 0))="",L13,INDEX(Variablen!$I:$AT, MATCH(M13, Variablen!$A:$A, 0), MATCH((YEAR(D13)+19), Variablen!$I$3:$AT$3, 0))),L13)))*(IF((YEAR(D13)+19)&lt;YEAR(E13),0,IF((YEAR(D13)+19)&gt;YEAR(E13),1,(12-MONTH(E13)+1)/12))) + (Q13)*(IF((YEAR(D13)+19)&lt;YEAR(E13),0,IF((YEAR(D13)+19)&gt;YEAR(E13),1,(12-MONTH(E13)+1)/12))))-((P13)*(IF((YEAR(D13)+19)&lt;YEAR(E13),0,IF((YEAR(D13)+19)&gt;YEAR(E13),1,(12-MONTH(E13)+1)/12))) + (R13)*(IF((YEAR(D13)+19)&lt;YEAR(E13),0,IF((YEAR(D13)+19)&gt;YEAR(E13),1,(12-MONTH(E13)+1)/12))))-(IF(OR(N13="",N13&lt;=0),0,(O13/N13)*(IF(OR(N13="",N13&lt;=0),0,IF((YEAR(D13)+19)&lt;YEAR(E13),0,IF((YEAR(D13)+19)&gt;=YEAR(E13)+N13,0,IF((YEAR(D13)+19)=YEAR(E13),(12-MONTH(E13)+1)/12,1))))))))&gt;0,(((K13)*(IF(M13="",L13,IFERROR(IF(INDEX(Variablen!$I:$AT, MATCH(M13, Variablen!$A:$A, 0), MATCH((YEAR(D13)+19), Variablen!$I$3:$AT$3, 0))="",L13,INDEX(Variablen!$I:$AT, MATCH(M13, Variablen!$A:$A, 0), MATCH((YEAR(D13)+19), Variablen!$I$3:$AT$3, 0))),L13)))*(IF((YEAR(D13)+19)&lt;YEAR(E13),0,IF((YEAR(D13)+19)&gt;YEAR(E13),1,(12-MONTH(E13)+1)/12))) + (Q13)*(IF((YEAR(D13)+19)&lt;YEAR(E13),0,IF((YEAR(D13)+19)&gt;YEAR(E13),1,(12-MONTH(E13)+1)/12))))-((P13)*(IF((YEAR(D13)+19)&lt;YEAR(E13),0,IF((YEAR(D13)+19)&gt;YEAR(E13),1,(12-MONTH(E13)+1)/12))) + (R13)*(IF((YEAR(D13)+19)&lt;YEAR(E13),0,IF((YEAR(D13)+19)&gt;YEAR(E13),1,(12-MONTH(E13)+1)/12))))-(IF(OR(N13="",N13&lt;=0),0,(O13/N13)*(IF(OR(N13="",N13&lt;=0),0,IF((YEAR(D13)+19)&lt;YEAR(E13),0,IF((YEAR(D13)+19)&gt;=YEAR(E13)+N13,0,IF((YEAR(D13)+19)=YEAR(E13),(12-MONTH(E13)+1)/12,1))))))))*TaxRate,0))-IF(19=0,O13,0))</f>
        <v/>
      </c>
      <c r="AM13" s="29">
        <f>IF(A13="","",((K13)*(IF(M13="",L13,IFERROR(IF(INDEX(Variablen!$I:$AT, MATCH(M13, Variablen!$A:$A, 0), MATCH((YEAR(D13)+20), Variablen!$I$3:$AT$3, 0))="",L13,INDEX(Variablen!$I:$AT, MATCH(M13, Variablen!$A:$A, 0), MATCH((YEAR(D13)+20), Variablen!$I$3:$AT$3, 0))),L13)))*(IF((YEAR(D13)+20)&lt;YEAR(E13),0,IF((YEAR(D13)+20)&gt;YEAR(E13),1,(12-MONTH(E13)+1)/12))) + (Q13)*(IF((YEAR(D13)+20)&lt;YEAR(E13),0,IF((YEAR(D13)+20)&gt;YEAR(E13),1,(12-MONTH(E13)+1)/12))))-((P13)*(IF((YEAR(D13)+20)&lt;YEAR(E13),0,IF((YEAR(D13)+20)&gt;YEAR(E13),1,(12-MONTH(E13)+1)/12))) + (R13)*(IF((YEAR(D13)+20)&lt;YEAR(E13),0,IF((YEAR(D13)+20)&gt;YEAR(E13),1,(12-MONTH(E13)+1)/12))))-(IF((((K13)*(IF(M13="",L13,IFERROR(IF(INDEX(Variablen!$I:$AT, MATCH(M13, Variablen!$A:$A, 0), MATCH((YEAR(D13)+20), Variablen!$I$3:$AT$3, 0))="",L13,INDEX(Variablen!$I:$AT, MATCH(M13, Variablen!$A:$A, 0), MATCH((YEAR(D13)+20), Variablen!$I$3:$AT$3, 0))),L13)))*(IF((YEAR(D13)+20)&lt;YEAR(E13),0,IF((YEAR(D13)+20)&gt;YEAR(E13),1,(12-MONTH(E13)+1)/12))) + (Q13)*(IF((YEAR(D13)+20)&lt;YEAR(E13),0,IF((YEAR(D13)+20)&gt;YEAR(E13),1,(12-MONTH(E13)+1)/12))))-((P13)*(IF((YEAR(D13)+20)&lt;YEAR(E13),0,IF((YEAR(D13)+20)&gt;YEAR(E13),1,(12-MONTH(E13)+1)/12))) + (R13)*(IF((YEAR(D13)+20)&lt;YEAR(E13),0,IF((YEAR(D13)+20)&gt;YEAR(E13),1,(12-MONTH(E13)+1)/12))))-(IF(OR(N13="",N13&lt;=0),0,(O13/N13)*(IF(OR(N13="",N13&lt;=0),0,IF((YEAR(D13)+20)&lt;YEAR(E13),0,IF((YEAR(D13)+20)&gt;=YEAR(E13)+N13,0,IF((YEAR(D13)+20)=YEAR(E13),(12-MONTH(E13)+1)/12,1))))))))&gt;0,(((K13)*(IF(M13="",L13,IFERROR(IF(INDEX(Variablen!$I:$AT, MATCH(M13, Variablen!$A:$A, 0), MATCH((YEAR(D13)+20), Variablen!$I$3:$AT$3, 0))="",L13,INDEX(Variablen!$I:$AT, MATCH(M13, Variablen!$A:$A, 0), MATCH((YEAR(D13)+20), Variablen!$I$3:$AT$3, 0))),L13)))*(IF((YEAR(D13)+20)&lt;YEAR(E13),0,IF((YEAR(D13)+20)&gt;YEAR(E13),1,(12-MONTH(E13)+1)/12))) + (Q13)*(IF((YEAR(D13)+20)&lt;YEAR(E13),0,IF((YEAR(D13)+20)&gt;YEAR(E13),1,(12-MONTH(E13)+1)/12))))-((P13)*(IF((YEAR(D13)+20)&lt;YEAR(E13),0,IF((YEAR(D13)+20)&gt;YEAR(E13),1,(12-MONTH(E13)+1)/12))) + (R13)*(IF((YEAR(D13)+20)&lt;YEAR(E13),0,IF((YEAR(D13)+20)&gt;YEAR(E13),1,(12-MONTH(E13)+1)/12))))-(IF(OR(N13="",N13&lt;=0),0,(O13/N13)*(IF(OR(N13="",N13&lt;=0),0,IF((YEAR(D13)+20)&lt;YEAR(E13),0,IF((YEAR(D13)+20)&gt;=YEAR(E13)+N13,0,IF((YEAR(D13)+20)=YEAR(E13),(12-MONTH(E13)+1)/12,1))))))))*TaxRate,0))-IF(20=0,O13,0))</f>
        <v/>
      </c>
      <c r="AN13" s="29">
        <f>IF(A13="","",S13)</f>
        <v/>
      </c>
      <c r="AO13" s="29">
        <f>IF(A13="","",AN13+T13)</f>
        <v/>
      </c>
      <c r="AP13" s="29">
        <f>IF(A13="","",AO13+U13)</f>
        <v/>
      </c>
      <c r="AQ13" s="29">
        <f>IF(A13="","",AP13+V13)</f>
        <v/>
      </c>
      <c r="AR13" s="29">
        <f>IF(A13="","",AQ13+W13)</f>
        <v/>
      </c>
      <c r="AS13" s="29">
        <f>IF(A13="","",AR13+X13)</f>
        <v/>
      </c>
      <c r="AT13" s="29">
        <f>IF(A13="","",AS13+Y13)</f>
        <v/>
      </c>
      <c r="AU13" s="29">
        <f>IF(A13="","",AT13+Z13)</f>
        <v/>
      </c>
      <c r="AV13" s="29">
        <f>IF(A13="","",AU13+AA13)</f>
        <v/>
      </c>
      <c r="AW13" s="29">
        <f>IF(A13="","",AV13+AB13)</f>
        <v/>
      </c>
      <c r="AX13" s="29">
        <f>IF(A13="","",AW13+AC13)</f>
        <v/>
      </c>
      <c r="AY13" s="29">
        <f>IF(A13="","",AX13+AD13)</f>
        <v/>
      </c>
      <c r="AZ13" s="29">
        <f>IF(A13="","",AY13+AE13)</f>
        <v/>
      </c>
      <c r="BA13" s="29">
        <f>IF(A13="","",AZ13+AF13)</f>
        <v/>
      </c>
      <c r="BB13" s="29">
        <f>IF(A13="","",BA13+AG13)</f>
        <v/>
      </c>
      <c r="BC13" s="29">
        <f>IF(A13="","",BB13+AH13)</f>
        <v/>
      </c>
      <c r="BD13" s="29">
        <f>IF(A13="","",BC13+AI13)</f>
        <v/>
      </c>
      <c r="BE13" s="29">
        <f>IF(A13="","",BD13+AJ13)</f>
        <v/>
      </c>
      <c r="BF13" s="29">
        <f>IF(A13="","",BE13+AK13)</f>
        <v/>
      </c>
      <c r="BG13" s="29">
        <f>IF(A13="","",BF13+AL13)</f>
        <v/>
      </c>
      <c r="BH13" s="29">
        <f>IF(A13="","",BG13+AM13)</f>
        <v/>
      </c>
      <c r="BI13" s="36">
        <f>IF(A13="","",(K13)*(IF((YEAR(D13)+0)&lt;YEAR(E13),0,IF((YEAR(D13)+0)&gt;YEAR(E13),1,(12-MONTH(E13)+1)/12)))*(1/(1+DiscountRate)^0))</f>
        <v/>
      </c>
      <c r="BJ13" s="36">
        <f>IF(A13="","",(K13)*(IF((YEAR(D13)+1)&lt;YEAR(E13),0,IF((YEAR(D13)+1)&gt;YEAR(E13),1,(12-MONTH(E13)+1)/12)))*(1/(1+DiscountRate)^1))</f>
        <v/>
      </c>
      <c r="BK13" s="36">
        <f>IF(A13="","",(K13)*(IF((YEAR(D13)+2)&lt;YEAR(E13),0,IF((YEAR(D13)+2)&gt;YEAR(E13),1,(12-MONTH(E13)+1)/12)))*(1/(1+DiscountRate)^2))</f>
        <v/>
      </c>
      <c r="BL13" s="36">
        <f>IF(A13="","",(K13)*(IF((YEAR(D13)+3)&lt;YEAR(E13),0,IF((YEAR(D13)+3)&gt;YEAR(E13),1,(12-MONTH(E13)+1)/12)))*(1/(1+DiscountRate)^3))</f>
        <v/>
      </c>
      <c r="BM13" s="36">
        <f>IF(A13="","",(K13)*(IF((YEAR(D13)+4)&lt;YEAR(E13),0,IF((YEAR(D13)+4)&gt;YEAR(E13),1,(12-MONTH(E13)+1)/12)))*(1/(1+DiscountRate)^4))</f>
        <v/>
      </c>
      <c r="BN13" s="36">
        <f>IF(A13="","",(K13)*(IF((YEAR(D13)+5)&lt;YEAR(E13),0,IF((YEAR(D13)+5)&gt;YEAR(E13),1,(12-MONTH(E13)+1)/12)))*(1/(1+DiscountRate)^5))</f>
        <v/>
      </c>
      <c r="BO13" s="36">
        <f>IF(A13="","",(K13)*(IF((YEAR(D13)+6)&lt;YEAR(E13),0,IF((YEAR(D13)+6)&gt;YEAR(E13),1,(12-MONTH(E13)+1)/12)))*(1/(1+DiscountRate)^6))</f>
        <v/>
      </c>
      <c r="BP13" s="36">
        <f>IF(A13="","",(K13)*(IF((YEAR(D13)+7)&lt;YEAR(E13),0,IF((YEAR(D13)+7)&gt;YEAR(E13),1,(12-MONTH(E13)+1)/12)))*(1/(1+DiscountRate)^7))</f>
        <v/>
      </c>
      <c r="BQ13" s="36">
        <f>IF(A13="","",(K13)*(IF((YEAR(D13)+8)&lt;YEAR(E13),0,IF((YEAR(D13)+8)&gt;YEAR(E13),1,(12-MONTH(E13)+1)/12)))*(1/(1+DiscountRate)^8))</f>
        <v/>
      </c>
      <c r="BR13" s="36">
        <f>IF(A13="","",(K13)*(IF((YEAR(D13)+9)&lt;YEAR(E13),0,IF((YEAR(D13)+9)&gt;YEAR(E13),1,(12-MONTH(E13)+1)/12)))*(1/(1+DiscountRate)^9))</f>
        <v/>
      </c>
      <c r="BS13" s="36">
        <f>IF(A13="","",(K13)*(IF((YEAR(D13)+10)&lt;YEAR(E13),0,IF((YEAR(D13)+10)&gt;YEAR(E13),1,(12-MONTH(E13)+1)/12)))*(1/(1+DiscountRate)^10))</f>
        <v/>
      </c>
      <c r="BT13" s="36">
        <f>IF(A13="","",(K13)*(IF((YEAR(D13)+11)&lt;YEAR(E13),0,IF((YEAR(D13)+11)&gt;YEAR(E13),1,(12-MONTH(E13)+1)/12)))*(1/(1+DiscountRate)^11))</f>
        <v/>
      </c>
      <c r="BU13" s="36">
        <f>IF(A13="","",(K13)*(IF((YEAR(D13)+12)&lt;YEAR(E13),0,IF((YEAR(D13)+12)&gt;YEAR(E13),1,(12-MONTH(E13)+1)/12)))*(1/(1+DiscountRate)^12))</f>
        <v/>
      </c>
      <c r="BV13" s="36">
        <f>IF(A13="","",(K13)*(IF((YEAR(D13)+13)&lt;YEAR(E13),0,IF((YEAR(D13)+13)&gt;YEAR(E13),1,(12-MONTH(E13)+1)/12)))*(1/(1+DiscountRate)^13))</f>
        <v/>
      </c>
      <c r="BW13" s="36">
        <f>IF(A13="","",(K13)*(IF((YEAR(D13)+14)&lt;YEAR(E13),0,IF((YEAR(D13)+14)&gt;YEAR(E13),1,(12-MONTH(E13)+1)/12)))*(1/(1+DiscountRate)^14))</f>
        <v/>
      </c>
      <c r="BX13" s="36">
        <f>IF(A13="","",(K13)*(IF((YEAR(D13)+15)&lt;YEAR(E13),0,IF((YEAR(D13)+15)&gt;YEAR(E13),1,(12-MONTH(E13)+1)/12)))*(1/(1+DiscountRate)^15))</f>
        <v/>
      </c>
      <c r="BY13" s="36">
        <f>IF(A13="","",(K13)*(IF((YEAR(D13)+16)&lt;YEAR(E13),0,IF((YEAR(D13)+16)&gt;YEAR(E13),1,(12-MONTH(E13)+1)/12)))*(1/(1+DiscountRate)^16))</f>
        <v/>
      </c>
      <c r="BZ13" s="36">
        <f>IF(A13="","",(K13)*(IF((YEAR(D13)+17)&lt;YEAR(E13),0,IF((YEAR(D13)+17)&gt;YEAR(E13),1,(12-MONTH(E13)+1)/12)))*(1/(1+DiscountRate)^17))</f>
        <v/>
      </c>
      <c r="CA13" s="36">
        <f>IF(A13="","",(K13)*(IF((YEAR(D13)+18)&lt;YEAR(E13),0,IF((YEAR(D13)+18)&gt;YEAR(E13),1,(12-MONTH(E13)+1)/12)))*(1/(1+DiscountRate)^18))</f>
        <v/>
      </c>
      <c r="CB13" s="36">
        <f>IF(A13="","",(K13)*(IF((YEAR(D13)+19)&lt;YEAR(E13),0,IF((YEAR(D13)+19)&gt;YEAR(E13),1,(12-MONTH(E13)+1)/12)))*(1/(1+DiscountRate)^19))</f>
        <v/>
      </c>
      <c r="CC13" s="36">
        <f>IF(A13="","",(K13)*(IF((YEAR(D13)+20)&lt;YEAR(E13),0,IF((YEAR(D13)+20)&gt;YEAR(E13),1,(12-MONTH(E13)+1)/12)))*(1/(1+DiscountRate)^20))</f>
        <v/>
      </c>
      <c r="CD13" s="29">
        <f>IF(A13="","",S13/(1+DiscountRate)^0+T13/(1+DiscountRate)^1+U13/(1+DiscountRate)^2+V13/(1+DiscountRate)^3+W13/(1+DiscountRate)^4+X13/(1+DiscountRate)^5+Y13/(1+DiscountRate)^6+Z13/(1+DiscountRate)^7+AA13/(1+DiscountRate)^8+AB13/(1+DiscountRate)^9+AC13/(1+DiscountRate)^10+AD13/(1+DiscountRate)^11+AE13/(1+DiscountRate)^12+AF13/(1+DiscountRate)^13+AG13/(1+DiscountRate)^14+AH13/(1+DiscountRate)^15+AI13/(1+DiscountRate)^16+AJ13/(1+DiscountRate)^17+AK13/(1+DiscountRate)^18+AL13/(1+DiscountRate)^19+AM13/(1+DiscountRate)^20)</f>
        <v/>
      </c>
      <c r="CE13" s="37">
        <f>IF(A13="","",IFERROR(IRR(OFFSET(S13,0,0,1,MIN(HorizonYears,20)+1)),"n/a"))</f>
        <v/>
      </c>
      <c r="CF13" s="28">
        <f>IF(A13="","",IFERROR(MATCH(TRUE,OFFSET(AN13,0,0,1,MIN(HorizonYears,20)+1)&gt;=0,0)-1,"n/a"))</f>
        <v/>
      </c>
      <c r="CG13" s="36">
        <f>IF(A13="","",SUM(OFFSET(BI13,0,0,1,MIN(HorizonYears,20)+1)))</f>
        <v/>
      </c>
      <c r="CH13" s="36">
        <f>IF(A13="","",IFERROR(-CD13/CG13,"n/a"))</f>
        <v/>
      </c>
    </row>
    <row r="14">
      <c r="A14" s="6">
        <f>Actions!A12</f>
        <v/>
      </c>
      <c r="B14" s="6">
        <f>Actions!B12</f>
        <v/>
      </c>
      <c r="C14" s="6">
        <f>Actions!D12</f>
        <v/>
      </c>
      <c r="D14" s="35">
        <f>Actions!E12</f>
        <v/>
      </c>
      <c r="E14" s="35">
        <f>Actions!F12</f>
        <v/>
      </c>
      <c r="F14" s="6">
        <f>Actions!G12</f>
        <v/>
      </c>
      <c r="G14" s="6">
        <f>Actions!H12</f>
        <v/>
      </c>
      <c r="H14" s="29">
        <f>Actions!I12</f>
        <v/>
      </c>
      <c r="I14" s="6">
        <f>Actions!J12</f>
        <v/>
      </c>
      <c r="J14" s="16">
        <f>Actions!K12</f>
        <v/>
      </c>
      <c r="K14" s="16">
        <f>IF(A14="","",IF(I14="%",H14*J14,J14))</f>
        <v/>
      </c>
      <c r="L14" s="16">
        <f>Actions!L12</f>
        <v/>
      </c>
      <c r="M14" s="6">
        <f>Actions!M12</f>
        <v/>
      </c>
      <c r="N14" s="28">
        <f>Actions!N12</f>
        <v/>
      </c>
      <c r="O14" s="29">
        <f>Actions!T12</f>
        <v/>
      </c>
      <c r="P14" s="29">
        <f>Actions!Y12</f>
        <v/>
      </c>
      <c r="Q14" s="29">
        <f>Actions!Z12</f>
        <v/>
      </c>
      <c r="R14" s="29">
        <f>Actions!AA12</f>
        <v/>
      </c>
      <c r="S14" s="29">
        <f>IF(A14="","",((K14)*(IF(M14="",L14,IFERROR(IF(INDEX(Variablen!$I:$AT, MATCH(M14, Variablen!$A:$A, 0), MATCH((YEAR(D14)+0), Variablen!$I$3:$AT$3, 0))="",L14,INDEX(Variablen!$I:$AT, MATCH(M14, Variablen!$A:$A, 0), MATCH((YEAR(D14)+0), Variablen!$I$3:$AT$3, 0))),L14)))*(IF((YEAR(D14)+0)&lt;YEAR(E14),0,IF((YEAR(D14)+0)&gt;YEAR(E14),1,(12-MONTH(E14)+1)/12))) + (Q14)*(IF((YEAR(D14)+0)&lt;YEAR(E14),0,IF((YEAR(D14)+0)&gt;YEAR(E14),1,(12-MONTH(E14)+1)/12))))-((P14)*(IF((YEAR(D14)+0)&lt;YEAR(E14),0,IF((YEAR(D14)+0)&gt;YEAR(E14),1,(12-MONTH(E14)+1)/12))) + (R14)*(IF((YEAR(D14)+0)&lt;YEAR(E14),0,IF((YEAR(D14)+0)&gt;YEAR(E14),1,(12-MONTH(E14)+1)/12))))-(IF((((K14)*(IF(M14="",L14,IFERROR(IF(INDEX(Variablen!$I:$AT, MATCH(M14, Variablen!$A:$A, 0), MATCH((YEAR(D14)+0), Variablen!$I$3:$AT$3, 0))="",L14,INDEX(Variablen!$I:$AT, MATCH(M14, Variablen!$A:$A, 0), MATCH((YEAR(D14)+0), Variablen!$I$3:$AT$3, 0))),L14)))*(IF((YEAR(D14)+0)&lt;YEAR(E14),0,IF((YEAR(D14)+0)&gt;YEAR(E14),1,(12-MONTH(E14)+1)/12))) + (Q14)*(IF((YEAR(D14)+0)&lt;YEAR(E14),0,IF((YEAR(D14)+0)&gt;YEAR(E14),1,(12-MONTH(E14)+1)/12))))-((P14)*(IF((YEAR(D14)+0)&lt;YEAR(E14),0,IF((YEAR(D14)+0)&gt;YEAR(E14),1,(12-MONTH(E14)+1)/12))) + (R14)*(IF((YEAR(D14)+0)&lt;YEAR(E14),0,IF((YEAR(D14)+0)&gt;YEAR(E14),1,(12-MONTH(E14)+1)/12))))-(IF(OR(N14="",N14&lt;=0),0,(O14/N14)*(IF(OR(N14="",N14&lt;=0),0,IF((YEAR(D14)+0)&lt;YEAR(E14),0,IF((YEAR(D14)+0)&gt;=YEAR(E14)+N14,0,IF((YEAR(D14)+0)=YEAR(E14),(12-MONTH(E14)+1)/12,1))))))))&gt;0,(((K14)*(IF(M14="",L14,IFERROR(IF(INDEX(Variablen!$I:$AT, MATCH(M14, Variablen!$A:$A, 0), MATCH((YEAR(D14)+0), Variablen!$I$3:$AT$3, 0))="",L14,INDEX(Variablen!$I:$AT, MATCH(M14, Variablen!$A:$A, 0), MATCH((YEAR(D14)+0), Variablen!$I$3:$AT$3, 0))),L14)))*(IF((YEAR(D14)+0)&lt;YEAR(E14),0,IF((YEAR(D14)+0)&gt;YEAR(E14),1,(12-MONTH(E14)+1)/12))) + (Q14)*(IF((YEAR(D14)+0)&lt;YEAR(E14),0,IF((YEAR(D14)+0)&gt;YEAR(E14),1,(12-MONTH(E14)+1)/12))))-((P14)*(IF((YEAR(D14)+0)&lt;YEAR(E14),0,IF((YEAR(D14)+0)&gt;YEAR(E14),1,(12-MONTH(E14)+1)/12))) + (R14)*(IF((YEAR(D14)+0)&lt;YEAR(E14),0,IF((YEAR(D14)+0)&gt;YEAR(E14),1,(12-MONTH(E14)+1)/12))))-(IF(OR(N14="",N14&lt;=0),0,(O14/N14)*(IF(OR(N14="",N14&lt;=0),0,IF((YEAR(D14)+0)&lt;YEAR(E14),0,IF((YEAR(D14)+0)&gt;=YEAR(E14)+N14,0,IF((YEAR(D14)+0)=YEAR(E14),(12-MONTH(E14)+1)/12,1))))))))*TaxRate,0))-IF(0=0,O14,0))</f>
        <v/>
      </c>
      <c r="T14" s="29">
        <f>IF(A14="","",((K14)*(IF(M14="",L14,IFERROR(IF(INDEX(Variablen!$I:$AT, MATCH(M14, Variablen!$A:$A, 0), MATCH((YEAR(D14)+1), Variablen!$I$3:$AT$3, 0))="",L14,INDEX(Variablen!$I:$AT, MATCH(M14, Variablen!$A:$A, 0), MATCH((YEAR(D14)+1), Variablen!$I$3:$AT$3, 0))),L14)))*(IF((YEAR(D14)+1)&lt;YEAR(E14),0,IF((YEAR(D14)+1)&gt;YEAR(E14),1,(12-MONTH(E14)+1)/12))) + (Q14)*(IF((YEAR(D14)+1)&lt;YEAR(E14),0,IF((YEAR(D14)+1)&gt;YEAR(E14),1,(12-MONTH(E14)+1)/12))))-((P14)*(IF((YEAR(D14)+1)&lt;YEAR(E14),0,IF((YEAR(D14)+1)&gt;YEAR(E14),1,(12-MONTH(E14)+1)/12))) + (R14)*(IF((YEAR(D14)+1)&lt;YEAR(E14),0,IF((YEAR(D14)+1)&gt;YEAR(E14),1,(12-MONTH(E14)+1)/12))))-(IF((((K14)*(IF(M14="",L14,IFERROR(IF(INDEX(Variablen!$I:$AT, MATCH(M14, Variablen!$A:$A, 0), MATCH((YEAR(D14)+1), Variablen!$I$3:$AT$3, 0))="",L14,INDEX(Variablen!$I:$AT, MATCH(M14, Variablen!$A:$A, 0), MATCH((YEAR(D14)+1), Variablen!$I$3:$AT$3, 0))),L14)))*(IF((YEAR(D14)+1)&lt;YEAR(E14),0,IF((YEAR(D14)+1)&gt;YEAR(E14),1,(12-MONTH(E14)+1)/12))) + (Q14)*(IF((YEAR(D14)+1)&lt;YEAR(E14),0,IF((YEAR(D14)+1)&gt;YEAR(E14),1,(12-MONTH(E14)+1)/12))))-((P14)*(IF((YEAR(D14)+1)&lt;YEAR(E14),0,IF((YEAR(D14)+1)&gt;YEAR(E14),1,(12-MONTH(E14)+1)/12))) + (R14)*(IF((YEAR(D14)+1)&lt;YEAR(E14),0,IF((YEAR(D14)+1)&gt;YEAR(E14),1,(12-MONTH(E14)+1)/12))))-(IF(OR(N14="",N14&lt;=0),0,(O14/N14)*(IF(OR(N14="",N14&lt;=0),0,IF((YEAR(D14)+1)&lt;YEAR(E14),0,IF((YEAR(D14)+1)&gt;=YEAR(E14)+N14,0,IF((YEAR(D14)+1)=YEAR(E14),(12-MONTH(E14)+1)/12,1))))))))&gt;0,(((K14)*(IF(M14="",L14,IFERROR(IF(INDEX(Variablen!$I:$AT, MATCH(M14, Variablen!$A:$A, 0), MATCH((YEAR(D14)+1), Variablen!$I$3:$AT$3, 0))="",L14,INDEX(Variablen!$I:$AT, MATCH(M14, Variablen!$A:$A, 0), MATCH((YEAR(D14)+1), Variablen!$I$3:$AT$3, 0))),L14)))*(IF((YEAR(D14)+1)&lt;YEAR(E14),0,IF((YEAR(D14)+1)&gt;YEAR(E14),1,(12-MONTH(E14)+1)/12))) + (Q14)*(IF((YEAR(D14)+1)&lt;YEAR(E14),0,IF((YEAR(D14)+1)&gt;YEAR(E14),1,(12-MONTH(E14)+1)/12))))-((P14)*(IF((YEAR(D14)+1)&lt;YEAR(E14),0,IF((YEAR(D14)+1)&gt;YEAR(E14),1,(12-MONTH(E14)+1)/12))) + (R14)*(IF((YEAR(D14)+1)&lt;YEAR(E14),0,IF((YEAR(D14)+1)&gt;YEAR(E14),1,(12-MONTH(E14)+1)/12))))-(IF(OR(N14="",N14&lt;=0),0,(O14/N14)*(IF(OR(N14="",N14&lt;=0),0,IF((YEAR(D14)+1)&lt;YEAR(E14),0,IF((YEAR(D14)+1)&gt;=YEAR(E14)+N14,0,IF((YEAR(D14)+1)=YEAR(E14),(12-MONTH(E14)+1)/12,1))))))))*TaxRate,0))-IF(1=0,O14,0))</f>
        <v/>
      </c>
      <c r="U14" s="29">
        <f>IF(A14="","",((K14)*(IF(M14="",L14,IFERROR(IF(INDEX(Variablen!$I:$AT, MATCH(M14, Variablen!$A:$A, 0), MATCH((YEAR(D14)+2), Variablen!$I$3:$AT$3, 0))="",L14,INDEX(Variablen!$I:$AT, MATCH(M14, Variablen!$A:$A, 0), MATCH((YEAR(D14)+2), Variablen!$I$3:$AT$3, 0))),L14)))*(IF((YEAR(D14)+2)&lt;YEAR(E14),0,IF((YEAR(D14)+2)&gt;YEAR(E14),1,(12-MONTH(E14)+1)/12))) + (Q14)*(IF((YEAR(D14)+2)&lt;YEAR(E14),0,IF((YEAR(D14)+2)&gt;YEAR(E14),1,(12-MONTH(E14)+1)/12))))-((P14)*(IF((YEAR(D14)+2)&lt;YEAR(E14),0,IF((YEAR(D14)+2)&gt;YEAR(E14),1,(12-MONTH(E14)+1)/12))) + (R14)*(IF((YEAR(D14)+2)&lt;YEAR(E14),0,IF((YEAR(D14)+2)&gt;YEAR(E14),1,(12-MONTH(E14)+1)/12))))-(IF((((K14)*(IF(M14="",L14,IFERROR(IF(INDEX(Variablen!$I:$AT, MATCH(M14, Variablen!$A:$A, 0), MATCH((YEAR(D14)+2), Variablen!$I$3:$AT$3, 0))="",L14,INDEX(Variablen!$I:$AT, MATCH(M14, Variablen!$A:$A, 0), MATCH((YEAR(D14)+2), Variablen!$I$3:$AT$3, 0))),L14)))*(IF((YEAR(D14)+2)&lt;YEAR(E14),0,IF((YEAR(D14)+2)&gt;YEAR(E14),1,(12-MONTH(E14)+1)/12))) + (Q14)*(IF((YEAR(D14)+2)&lt;YEAR(E14),0,IF((YEAR(D14)+2)&gt;YEAR(E14),1,(12-MONTH(E14)+1)/12))))-((P14)*(IF((YEAR(D14)+2)&lt;YEAR(E14),0,IF((YEAR(D14)+2)&gt;YEAR(E14),1,(12-MONTH(E14)+1)/12))) + (R14)*(IF((YEAR(D14)+2)&lt;YEAR(E14),0,IF((YEAR(D14)+2)&gt;YEAR(E14),1,(12-MONTH(E14)+1)/12))))-(IF(OR(N14="",N14&lt;=0),0,(O14/N14)*(IF(OR(N14="",N14&lt;=0),0,IF((YEAR(D14)+2)&lt;YEAR(E14),0,IF((YEAR(D14)+2)&gt;=YEAR(E14)+N14,0,IF((YEAR(D14)+2)=YEAR(E14),(12-MONTH(E14)+1)/12,1))))))))&gt;0,(((K14)*(IF(M14="",L14,IFERROR(IF(INDEX(Variablen!$I:$AT, MATCH(M14, Variablen!$A:$A, 0), MATCH((YEAR(D14)+2), Variablen!$I$3:$AT$3, 0))="",L14,INDEX(Variablen!$I:$AT, MATCH(M14, Variablen!$A:$A, 0), MATCH((YEAR(D14)+2), Variablen!$I$3:$AT$3, 0))),L14)))*(IF((YEAR(D14)+2)&lt;YEAR(E14),0,IF((YEAR(D14)+2)&gt;YEAR(E14),1,(12-MONTH(E14)+1)/12))) + (Q14)*(IF((YEAR(D14)+2)&lt;YEAR(E14),0,IF((YEAR(D14)+2)&gt;YEAR(E14),1,(12-MONTH(E14)+1)/12))))-((P14)*(IF((YEAR(D14)+2)&lt;YEAR(E14),0,IF((YEAR(D14)+2)&gt;YEAR(E14),1,(12-MONTH(E14)+1)/12))) + (R14)*(IF((YEAR(D14)+2)&lt;YEAR(E14),0,IF((YEAR(D14)+2)&gt;YEAR(E14),1,(12-MONTH(E14)+1)/12))))-(IF(OR(N14="",N14&lt;=0),0,(O14/N14)*(IF(OR(N14="",N14&lt;=0),0,IF((YEAR(D14)+2)&lt;YEAR(E14),0,IF((YEAR(D14)+2)&gt;=YEAR(E14)+N14,0,IF((YEAR(D14)+2)=YEAR(E14),(12-MONTH(E14)+1)/12,1))))))))*TaxRate,0))-IF(2=0,O14,0))</f>
        <v/>
      </c>
      <c r="V14" s="29">
        <f>IF(A14="","",((K14)*(IF(M14="",L14,IFERROR(IF(INDEX(Variablen!$I:$AT, MATCH(M14, Variablen!$A:$A, 0), MATCH((YEAR(D14)+3), Variablen!$I$3:$AT$3, 0))="",L14,INDEX(Variablen!$I:$AT, MATCH(M14, Variablen!$A:$A, 0), MATCH((YEAR(D14)+3), Variablen!$I$3:$AT$3, 0))),L14)))*(IF((YEAR(D14)+3)&lt;YEAR(E14),0,IF((YEAR(D14)+3)&gt;YEAR(E14),1,(12-MONTH(E14)+1)/12))) + (Q14)*(IF((YEAR(D14)+3)&lt;YEAR(E14),0,IF((YEAR(D14)+3)&gt;YEAR(E14),1,(12-MONTH(E14)+1)/12))))-((P14)*(IF((YEAR(D14)+3)&lt;YEAR(E14),0,IF((YEAR(D14)+3)&gt;YEAR(E14),1,(12-MONTH(E14)+1)/12))) + (R14)*(IF((YEAR(D14)+3)&lt;YEAR(E14),0,IF((YEAR(D14)+3)&gt;YEAR(E14),1,(12-MONTH(E14)+1)/12))))-(IF((((K14)*(IF(M14="",L14,IFERROR(IF(INDEX(Variablen!$I:$AT, MATCH(M14, Variablen!$A:$A, 0), MATCH((YEAR(D14)+3), Variablen!$I$3:$AT$3, 0))="",L14,INDEX(Variablen!$I:$AT, MATCH(M14, Variablen!$A:$A, 0), MATCH((YEAR(D14)+3), Variablen!$I$3:$AT$3, 0))),L14)))*(IF((YEAR(D14)+3)&lt;YEAR(E14),0,IF((YEAR(D14)+3)&gt;YEAR(E14),1,(12-MONTH(E14)+1)/12))) + (Q14)*(IF((YEAR(D14)+3)&lt;YEAR(E14),0,IF((YEAR(D14)+3)&gt;YEAR(E14),1,(12-MONTH(E14)+1)/12))))-((P14)*(IF((YEAR(D14)+3)&lt;YEAR(E14),0,IF((YEAR(D14)+3)&gt;YEAR(E14),1,(12-MONTH(E14)+1)/12))) + (R14)*(IF((YEAR(D14)+3)&lt;YEAR(E14),0,IF((YEAR(D14)+3)&gt;YEAR(E14),1,(12-MONTH(E14)+1)/12))))-(IF(OR(N14="",N14&lt;=0),0,(O14/N14)*(IF(OR(N14="",N14&lt;=0),0,IF((YEAR(D14)+3)&lt;YEAR(E14),0,IF((YEAR(D14)+3)&gt;=YEAR(E14)+N14,0,IF((YEAR(D14)+3)=YEAR(E14),(12-MONTH(E14)+1)/12,1))))))))&gt;0,(((K14)*(IF(M14="",L14,IFERROR(IF(INDEX(Variablen!$I:$AT, MATCH(M14, Variablen!$A:$A, 0), MATCH((YEAR(D14)+3), Variablen!$I$3:$AT$3, 0))="",L14,INDEX(Variablen!$I:$AT, MATCH(M14, Variablen!$A:$A, 0), MATCH((YEAR(D14)+3), Variablen!$I$3:$AT$3, 0))),L14)))*(IF((YEAR(D14)+3)&lt;YEAR(E14),0,IF((YEAR(D14)+3)&gt;YEAR(E14),1,(12-MONTH(E14)+1)/12))) + (Q14)*(IF((YEAR(D14)+3)&lt;YEAR(E14),0,IF((YEAR(D14)+3)&gt;YEAR(E14),1,(12-MONTH(E14)+1)/12))))-((P14)*(IF((YEAR(D14)+3)&lt;YEAR(E14),0,IF((YEAR(D14)+3)&gt;YEAR(E14),1,(12-MONTH(E14)+1)/12))) + (R14)*(IF((YEAR(D14)+3)&lt;YEAR(E14),0,IF((YEAR(D14)+3)&gt;YEAR(E14),1,(12-MONTH(E14)+1)/12))))-(IF(OR(N14="",N14&lt;=0),0,(O14/N14)*(IF(OR(N14="",N14&lt;=0),0,IF((YEAR(D14)+3)&lt;YEAR(E14),0,IF((YEAR(D14)+3)&gt;=YEAR(E14)+N14,0,IF((YEAR(D14)+3)=YEAR(E14),(12-MONTH(E14)+1)/12,1))))))))*TaxRate,0))-IF(3=0,O14,0))</f>
        <v/>
      </c>
      <c r="W14" s="29">
        <f>IF(A14="","",((K14)*(IF(M14="",L14,IFERROR(IF(INDEX(Variablen!$I:$AT, MATCH(M14, Variablen!$A:$A, 0), MATCH((YEAR(D14)+4), Variablen!$I$3:$AT$3, 0))="",L14,INDEX(Variablen!$I:$AT, MATCH(M14, Variablen!$A:$A, 0), MATCH((YEAR(D14)+4), Variablen!$I$3:$AT$3, 0))),L14)))*(IF((YEAR(D14)+4)&lt;YEAR(E14),0,IF((YEAR(D14)+4)&gt;YEAR(E14),1,(12-MONTH(E14)+1)/12))) + (Q14)*(IF((YEAR(D14)+4)&lt;YEAR(E14),0,IF((YEAR(D14)+4)&gt;YEAR(E14),1,(12-MONTH(E14)+1)/12))))-((P14)*(IF((YEAR(D14)+4)&lt;YEAR(E14),0,IF((YEAR(D14)+4)&gt;YEAR(E14),1,(12-MONTH(E14)+1)/12))) + (R14)*(IF((YEAR(D14)+4)&lt;YEAR(E14),0,IF((YEAR(D14)+4)&gt;YEAR(E14),1,(12-MONTH(E14)+1)/12))))-(IF((((K14)*(IF(M14="",L14,IFERROR(IF(INDEX(Variablen!$I:$AT, MATCH(M14, Variablen!$A:$A, 0), MATCH((YEAR(D14)+4), Variablen!$I$3:$AT$3, 0))="",L14,INDEX(Variablen!$I:$AT, MATCH(M14, Variablen!$A:$A, 0), MATCH((YEAR(D14)+4), Variablen!$I$3:$AT$3, 0))),L14)))*(IF((YEAR(D14)+4)&lt;YEAR(E14),0,IF((YEAR(D14)+4)&gt;YEAR(E14),1,(12-MONTH(E14)+1)/12))) + (Q14)*(IF((YEAR(D14)+4)&lt;YEAR(E14),0,IF((YEAR(D14)+4)&gt;YEAR(E14),1,(12-MONTH(E14)+1)/12))))-((P14)*(IF((YEAR(D14)+4)&lt;YEAR(E14),0,IF((YEAR(D14)+4)&gt;YEAR(E14),1,(12-MONTH(E14)+1)/12))) + (R14)*(IF((YEAR(D14)+4)&lt;YEAR(E14),0,IF((YEAR(D14)+4)&gt;YEAR(E14),1,(12-MONTH(E14)+1)/12))))-(IF(OR(N14="",N14&lt;=0),0,(O14/N14)*(IF(OR(N14="",N14&lt;=0),0,IF((YEAR(D14)+4)&lt;YEAR(E14),0,IF((YEAR(D14)+4)&gt;=YEAR(E14)+N14,0,IF((YEAR(D14)+4)=YEAR(E14),(12-MONTH(E14)+1)/12,1))))))))&gt;0,(((K14)*(IF(M14="",L14,IFERROR(IF(INDEX(Variablen!$I:$AT, MATCH(M14, Variablen!$A:$A, 0), MATCH((YEAR(D14)+4), Variablen!$I$3:$AT$3, 0))="",L14,INDEX(Variablen!$I:$AT, MATCH(M14, Variablen!$A:$A, 0), MATCH((YEAR(D14)+4), Variablen!$I$3:$AT$3, 0))),L14)))*(IF((YEAR(D14)+4)&lt;YEAR(E14),0,IF((YEAR(D14)+4)&gt;YEAR(E14),1,(12-MONTH(E14)+1)/12))) + (Q14)*(IF((YEAR(D14)+4)&lt;YEAR(E14),0,IF((YEAR(D14)+4)&gt;YEAR(E14),1,(12-MONTH(E14)+1)/12))))-((P14)*(IF((YEAR(D14)+4)&lt;YEAR(E14),0,IF((YEAR(D14)+4)&gt;YEAR(E14),1,(12-MONTH(E14)+1)/12))) + (R14)*(IF((YEAR(D14)+4)&lt;YEAR(E14),0,IF((YEAR(D14)+4)&gt;YEAR(E14),1,(12-MONTH(E14)+1)/12))))-(IF(OR(N14="",N14&lt;=0),0,(O14/N14)*(IF(OR(N14="",N14&lt;=0),0,IF((YEAR(D14)+4)&lt;YEAR(E14),0,IF((YEAR(D14)+4)&gt;=YEAR(E14)+N14,0,IF((YEAR(D14)+4)=YEAR(E14),(12-MONTH(E14)+1)/12,1))))))))*TaxRate,0))-IF(4=0,O14,0))</f>
        <v/>
      </c>
      <c r="X14" s="29">
        <f>IF(A14="","",((K14)*(IF(M14="",L14,IFERROR(IF(INDEX(Variablen!$I:$AT, MATCH(M14, Variablen!$A:$A, 0), MATCH((YEAR(D14)+5), Variablen!$I$3:$AT$3, 0))="",L14,INDEX(Variablen!$I:$AT, MATCH(M14, Variablen!$A:$A, 0), MATCH((YEAR(D14)+5), Variablen!$I$3:$AT$3, 0))),L14)))*(IF((YEAR(D14)+5)&lt;YEAR(E14),0,IF((YEAR(D14)+5)&gt;YEAR(E14),1,(12-MONTH(E14)+1)/12))) + (Q14)*(IF((YEAR(D14)+5)&lt;YEAR(E14),0,IF((YEAR(D14)+5)&gt;YEAR(E14),1,(12-MONTH(E14)+1)/12))))-((P14)*(IF((YEAR(D14)+5)&lt;YEAR(E14),0,IF((YEAR(D14)+5)&gt;YEAR(E14),1,(12-MONTH(E14)+1)/12))) + (R14)*(IF((YEAR(D14)+5)&lt;YEAR(E14),0,IF((YEAR(D14)+5)&gt;YEAR(E14),1,(12-MONTH(E14)+1)/12))))-(IF((((K14)*(IF(M14="",L14,IFERROR(IF(INDEX(Variablen!$I:$AT, MATCH(M14, Variablen!$A:$A, 0), MATCH((YEAR(D14)+5), Variablen!$I$3:$AT$3, 0))="",L14,INDEX(Variablen!$I:$AT, MATCH(M14, Variablen!$A:$A, 0), MATCH((YEAR(D14)+5), Variablen!$I$3:$AT$3, 0))),L14)))*(IF((YEAR(D14)+5)&lt;YEAR(E14),0,IF((YEAR(D14)+5)&gt;YEAR(E14),1,(12-MONTH(E14)+1)/12))) + (Q14)*(IF((YEAR(D14)+5)&lt;YEAR(E14),0,IF((YEAR(D14)+5)&gt;YEAR(E14),1,(12-MONTH(E14)+1)/12))))-((P14)*(IF((YEAR(D14)+5)&lt;YEAR(E14),0,IF((YEAR(D14)+5)&gt;YEAR(E14),1,(12-MONTH(E14)+1)/12))) + (R14)*(IF((YEAR(D14)+5)&lt;YEAR(E14),0,IF((YEAR(D14)+5)&gt;YEAR(E14),1,(12-MONTH(E14)+1)/12))))-(IF(OR(N14="",N14&lt;=0),0,(O14/N14)*(IF(OR(N14="",N14&lt;=0),0,IF((YEAR(D14)+5)&lt;YEAR(E14),0,IF((YEAR(D14)+5)&gt;=YEAR(E14)+N14,0,IF((YEAR(D14)+5)=YEAR(E14),(12-MONTH(E14)+1)/12,1))))))))&gt;0,(((K14)*(IF(M14="",L14,IFERROR(IF(INDEX(Variablen!$I:$AT, MATCH(M14, Variablen!$A:$A, 0), MATCH((YEAR(D14)+5), Variablen!$I$3:$AT$3, 0))="",L14,INDEX(Variablen!$I:$AT, MATCH(M14, Variablen!$A:$A, 0), MATCH((YEAR(D14)+5), Variablen!$I$3:$AT$3, 0))),L14)))*(IF((YEAR(D14)+5)&lt;YEAR(E14),0,IF((YEAR(D14)+5)&gt;YEAR(E14),1,(12-MONTH(E14)+1)/12))) + (Q14)*(IF((YEAR(D14)+5)&lt;YEAR(E14),0,IF((YEAR(D14)+5)&gt;YEAR(E14),1,(12-MONTH(E14)+1)/12))))-((P14)*(IF((YEAR(D14)+5)&lt;YEAR(E14),0,IF((YEAR(D14)+5)&gt;YEAR(E14),1,(12-MONTH(E14)+1)/12))) + (R14)*(IF((YEAR(D14)+5)&lt;YEAR(E14),0,IF((YEAR(D14)+5)&gt;YEAR(E14),1,(12-MONTH(E14)+1)/12))))-(IF(OR(N14="",N14&lt;=0),0,(O14/N14)*(IF(OR(N14="",N14&lt;=0),0,IF((YEAR(D14)+5)&lt;YEAR(E14),0,IF((YEAR(D14)+5)&gt;=YEAR(E14)+N14,0,IF((YEAR(D14)+5)=YEAR(E14),(12-MONTH(E14)+1)/12,1))))))))*TaxRate,0))-IF(5=0,O14,0))</f>
        <v/>
      </c>
      <c r="Y14" s="29">
        <f>IF(A14="","",((K14)*(IF(M14="",L14,IFERROR(IF(INDEX(Variablen!$I:$AT, MATCH(M14, Variablen!$A:$A, 0), MATCH((YEAR(D14)+6), Variablen!$I$3:$AT$3, 0))="",L14,INDEX(Variablen!$I:$AT, MATCH(M14, Variablen!$A:$A, 0), MATCH((YEAR(D14)+6), Variablen!$I$3:$AT$3, 0))),L14)))*(IF((YEAR(D14)+6)&lt;YEAR(E14),0,IF((YEAR(D14)+6)&gt;YEAR(E14),1,(12-MONTH(E14)+1)/12))) + (Q14)*(IF((YEAR(D14)+6)&lt;YEAR(E14),0,IF((YEAR(D14)+6)&gt;YEAR(E14),1,(12-MONTH(E14)+1)/12))))-((P14)*(IF((YEAR(D14)+6)&lt;YEAR(E14),0,IF((YEAR(D14)+6)&gt;YEAR(E14),1,(12-MONTH(E14)+1)/12))) + (R14)*(IF((YEAR(D14)+6)&lt;YEAR(E14),0,IF((YEAR(D14)+6)&gt;YEAR(E14),1,(12-MONTH(E14)+1)/12))))-(IF((((K14)*(IF(M14="",L14,IFERROR(IF(INDEX(Variablen!$I:$AT, MATCH(M14, Variablen!$A:$A, 0), MATCH((YEAR(D14)+6), Variablen!$I$3:$AT$3, 0))="",L14,INDEX(Variablen!$I:$AT, MATCH(M14, Variablen!$A:$A, 0), MATCH((YEAR(D14)+6), Variablen!$I$3:$AT$3, 0))),L14)))*(IF((YEAR(D14)+6)&lt;YEAR(E14),0,IF((YEAR(D14)+6)&gt;YEAR(E14),1,(12-MONTH(E14)+1)/12))) + (Q14)*(IF((YEAR(D14)+6)&lt;YEAR(E14),0,IF((YEAR(D14)+6)&gt;YEAR(E14),1,(12-MONTH(E14)+1)/12))))-((P14)*(IF((YEAR(D14)+6)&lt;YEAR(E14),0,IF((YEAR(D14)+6)&gt;YEAR(E14),1,(12-MONTH(E14)+1)/12))) + (R14)*(IF((YEAR(D14)+6)&lt;YEAR(E14),0,IF((YEAR(D14)+6)&gt;YEAR(E14),1,(12-MONTH(E14)+1)/12))))-(IF(OR(N14="",N14&lt;=0),0,(O14/N14)*(IF(OR(N14="",N14&lt;=0),0,IF((YEAR(D14)+6)&lt;YEAR(E14),0,IF((YEAR(D14)+6)&gt;=YEAR(E14)+N14,0,IF((YEAR(D14)+6)=YEAR(E14),(12-MONTH(E14)+1)/12,1))))))))&gt;0,(((K14)*(IF(M14="",L14,IFERROR(IF(INDEX(Variablen!$I:$AT, MATCH(M14, Variablen!$A:$A, 0), MATCH((YEAR(D14)+6), Variablen!$I$3:$AT$3, 0))="",L14,INDEX(Variablen!$I:$AT, MATCH(M14, Variablen!$A:$A, 0), MATCH((YEAR(D14)+6), Variablen!$I$3:$AT$3, 0))),L14)))*(IF((YEAR(D14)+6)&lt;YEAR(E14),0,IF((YEAR(D14)+6)&gt;YEAR(E14),1,(12-MONTH(E14)+1)/12))) + (Q14)*(IF((YEAR(D14)+6)&lt;YEAR(E14),0,IF((YEAR(D14)+6)&gt;YEAR(E14),1,(12-MONTH(E14)+1)/12))))-((P14)*(IF((YEAR(D14)+6)&lt;YEAR(E14),0,IF((YEAR(D14)+6)&gt;YEAR(E14),1,(12-MONTH(E14)+1)/12))) + (R14)*(IF((YEAR(D14)+6)&lt;YEAR(E14),0,IF((YEAR(D14)+6)&gt;YEAR(E14),1,(12-MONTH(E14)+1)/12))))-(IF(OR(N14="",N14&lt;=0),0,(O14/N14)*(IF(OR(N14="",N14&lt;=0),0,IF((YEAR(D14)+6)&lt;YEAR(E14),0,IF((YEAR(D14)+6)&gt;=YEAR(E14)+N14,0,IF((YEAR(D14)+6)=YEAR(E14),(12-MONTH(E14)+1)/12,1))))))))*TaxRate,0))-IF(6=0,O14,0))</f>
        <v/>
      </c>
      <c r="Z14" s="29">
        <f>IF(A14="","",((K14)*(IF(M14="",L14,IFERROR(IF(INDEX(Variablen!$I:$AT, MATCH(M14, Variablen!$A:$A, 0), MATCH((YEAR(D14)+7), Variablen!$I$3:$AT$3, 0))="",L14,INDEX(Variablen!$I:$AT, MATCH(M14, Variablen!$A:$A, 0), MATCH((YEAR(D14)+7), Variablen!$I$3:$AT$3, 0))),L14)))*(IF((YEAR(D14)+7)&lt;YEAR(E14),0,IF((YEAR(D14)+7)&gt;YEAR(E14),1,(12-MONTH(E14)+1)/12))) + (Q14)*(IF((YEAR(D14)+7)&lt;YEAR(E14),0,IF((YEAR(D14)+7)&gt;YEAR(E14),1,(12-MONTH(E14)+1)/12))))-((P14)*(IF((YEAR(D14)+7)&lt;YEAR(E14),0,IF((YEAR(D14)+7)&gt;YEAR(E14),1,(12-MONTH(E14)+1)/12))) + (R14)*(IF((YEAR(D14)+7)&lt;YEAR(E14),0,IF((YEAR(D14)+7)&gt;YEAR(E14),1,(12-MONTH(E14)+1)/12))))-(IF((((K14)*(IF(M14="",L14,IFERROR(IF(INDEX(Variablen!$I:$AT, MATCH(M14, Variablen!$A:$A, 0), MATCH((YEAR(D14)+7), Variablen!$I$3:$AT$3, 0))="",L14,INDEX(Variablen!$I:$AT, MATCH(M14, Variablen!$A:$A, 0), MATCH((YEAR(D14)+7), Variablen!$I$3:$AT$3, 0))),L14)))*(IF((YEAR(D14)+7)&lt;YEAR(E14),0,IF((YEAR(D14)+7)&gt;YEAR(E14),1,(12-MONTH(E14)+1)/12))) + (Q14)*(IF((YEAR(D14)+7)&lt;YEAR(E14),0,IF((YEAR(D14)+7)&gt;YEAR(E14),1,(12-MONTH(E14)+1)/12))))-((P14)*(IF((YEAR(D14)+7)&lt;YEAR(E14),0,IF((YEAR(D14)+7)&gt;YEAR(E14),1,(12-MONTH(E14)+1)/12))) + (R14)*(IF((YEAR(D14)+7)&lt;YEAR(E14),0,IF((YEAR(D14)+7)&gt;YEAR(E14),1,(12-MONTH(E14)+1)/12))))-(IF(OR(N14="",N14&lt;=0),0,(O14/N14)*(IF(OR(N14="",N14&lt;=0),0,IF((YEAR(D14)+7)&lt;YEAR(E14),0,IF((YEAR(D14)+7)&gt;=YEAR(E14)+N14,0,IF((YEAR(D14)+7)=YEAR(E14),(12-MONTH(E14)+1)/12,1))))))))&gt;0,(((K14)*(IF(M14="",L14,IFERROR(IF(INDEX(Variablen!$I:$AT, MATCH(M14, Variablen!$A:$A, 0), MATCH((YEAR(D14)+7), Variablen!$I$3:$AT$3, 0))="",L14,INDEX(Variablen!$I:$AT, MATCH(M14, Variablen!$A:$A, 0), MATCH((YEAR(D14)+7), Variablen!$I$3:$AT$3, 0))),L14)))*(IF((YEAR(D14)+7)&lt;YEAR(E14),0,IF((YEAR(D14)+7)&gt;YEAR(E14),1,(12-MONTH(E14)+1)/12))) + (Q14)*(IF((YEAR(D14)+7)&lt;YEAR(E14),0,IF((YEAR(D14)+7)&gt;YEAR(E14),1,(12-MONTH(E14)+1)/12))))-((P14)*(IF((YEAR(D14)+7)&lt;YEAR(E14),0,IF((YEAR(D14)+7)&gt;YEAR(E14),1,(12-MONTH(E14)+1)/12))) + (R14)*(IF((YEAR(D14)+7)&lt;YEAR(E14),0,IF((YEAR(D14)+7)&gt;YEAR(E14),1,(12-MONTH(E14)+1)/12))))-(IF(OR(N14="",N14&lt;=0),0,(O14/N14)*(IF(OR(N14="",N14&lt;=0),0,IF((YEAR(D14)+7)&lt;YEAR(E14),0,IF((YEAR(D14)+7)&gt;=YEAR(E14)+N14,0,IF((YEAR(D14)+7)=YEAR(E14),(12-MONTH(E14)+1)/12,1))))))))*TaxRate,0))-IF(7=0,O14,0))</f>
        <v/>
      </c>
      <c r="AA14" s="29">
        <f>IF(A14="","",((K14)*(IF(M14="",L14,IFERROR(IF(INDEX(Variablen!$I:$AT, MATCH(M14, Variablen!$A:$A, 0), MATCH((YEAR(D14)+8), Variablen!$I$3:$AT$3, 0))="",L14,INDEX(Variablen!$I:$AT, MATCH(M14, Variablen!$A:$A, 0), MATCH((YEAR(D14)+8), Variablen!$I$3:$AT$3, 0))),L14)))*(IF((YEAR(D14)+8)&lt;YEAR(E14),0,IF((YEAR(D14)+8)&gt;YEAR(E14),1,(12-MONTH(E14)+1)/12))) + (Q14)*(IF((YEAR(D14)+8)&lt;YEAR(E14),0,IF((YEAR(D14)+8)&gt;YEAR(E14),1,(12-MONTH(E14)+1)/12))))-((P14)*(IF((YEAR(D14)+8)&lt;YEAR(E14),0,IF((YEAR(D14)+8)&gt;YEAR(E14),1,(12-MONTH(E14)+1)/12))) + (R14)*(IF((YEAR(D14)+8)&lt;YEAR(E14),0,IF((YEAR(D14)+8)&gt;YEAR(E14),1,(12-MONTH(E14)+1)/12))))-(IF((((K14)*(IF(M14="",L14,IFERROR(IF(INDEX(Variablen!$I:$AT, MATCH(M14, Variablen!$A:$A, 0), MATCH((YEAR(D14)+8), Variablen!$I$3:$AT$3, 0))="",L14,INDEX(Variablen!$I:$AT, MATCH(M14, Variablen!$A:$A, 0), MATCH((YEAR(D14)+8), Variablen!$I$3:$AT$3, 0))),L14)))*(IF((YEAR(D14)+8)&lt;YEAR(E14),0,IF((YEAR(D14)+8)&gt;YEAR(E14),1,(12-MONTH(E14)+1)/12))) + (Q14)*(IF((YEAR(D14)+8)&lt;YEAR(E14),0,IF((YEAR(D14)+8)&gt;YEAR(E14),1,(12-MONTH(E14)+1)/12))))-((P14)*(IF((YEAR(D14)+8)&lt;YEAR(E14),0,IF((YEAR(D14)+8)&gt;YEAR(E14),1,(12-MONTH(E14)+1)/12))) + (R14)*(IF((YEAR(D14)+8)&lt;YEAR(E14),0,IF((YEAR(D14)+8)&gt;YEAR(E14),1,(12-MONTH(E14)+1)/12))))-(IF(OR(N14="",N14&lt;=0),0,(O14/N14)*(IF(OR(N14="",N14&lt;=0),0,IF((YEAR(D14)+8)&lt;YEAR(E14),0,IF((YEAR(D14)+8)&gt;=YEAR(E14)+N14,0,IF((YEAR(D14)+8)=YEAR(E14),(12-MONTH(E14)+1)/12,1))))))))&gt;0,(((K14)*(IF(M14="",L14,IFERROR(IF(INDEX(Variablen!$I:$AT, MATCH(M14, Variablen!$A:$A, 0), MATCH((YEAR(D14)+8), Variablen!$I$3:$AT$3, 0))="",L14,INDEX(Variablen!$I:$AT, MATCH(M14, Variablen!$A:$A, 0), MATCH((YEAR(D14)+8), Variablen!$I$3:$AT$3, 0))),L14)))*(IF((YEAR(D14)+8)&lt;YEAR(E14),0,IF((YEAR(D14)+8)&gt;YEAR(E14),1,(12-MONTH(E14)+1)/12))) + (Q14)*(IF((YEAR(D14)+8)&lt;YEAR(E14),0,IF((YEAR(D14)+8)&gt;YEAR(E14),1,(12-MONTH(E14)+1)/12))))-((P14)*(IF((YEAR(D14)+8)&lt;YEAR(E14),0,IF((YEAR(D14)+8)&gt;YEAR(E14),1,(12-MONTH(E14)+1)/12))) + (R14)*(IF((YEAR(D14)+8)&lt;YEAR(E14),0,IF((YEAR(D14)+8)&gt;YEAR(E14),1,(12-MONTH(E14)+1)/12))))-(IF(OR(N14="",N14&lt;=0),0,(O14/N14)*(IF(OR(N14="",N14&lt;=0),0,IF((YEAR(D14)+8)&lt;YEAR(E14),0,IF((YEAR(D14)+8)&gt;=YEAR(E14)+N14,0,IF((YEAR(D14)+8)=YEAR(E14),(12-MONTH(E14)+1)/12,1))))))))*TaxRate,0))-IF(8=0,O14,0))</f>
        <v/>
      </c>
      <c r="AB14" s="29">
        <f>IF(A14="","",((K14)*(IF(M14="",L14,IFERROR(IF(INDEX(Variablen!$I:$AT, MATCH(M14, Variablen!$A:$A, 0), MATCH((YEAR(D14)+9), Variablen!$I$3:$AT$3, 0))="",L14,INDEX(Variablen!$I:$AT, MATCH(M14, Variablen!$A:$A, 0), MATCH((YEAR(D14)+9), Variablen!$I$3:$AT$3, 0))),L14)))*(IF((YEAR(D14)+9)&lt;YEAR(E14),0,IF((YEAR(D14)+9)&gt;YEAR(E14),1,(12-MONTH(E14)+1)/12))) + (Q14)*(IF((YEAR(D14)+9)&lt;YEAR(E14),0,IF((YEAR(D14)+9)&gt;YEAR(E14),1,(12-MONTH(E14)+1)/12))))-((P14)*(IF((YEAR(D14)+9)&lt;YEAR(E14),0,IF((YEAR(D14)+9)&gt;YEAR(E14),1,(12-MONTH(E14)+1)/12))) + (R14)*(IF((YEAR(D14)+9)&lt;YEAR(E14),0,IF((YEAR(D14)+9)&gt;YEAR(E14),1,(12-MONTH(E14)+1)/12))))-(IF((((K14)*(IF(M14="",L14,IFERROR(IF(INDEX(Variablen!$I:$AT, MATCH(M14, Variablen!$A:$A, 0), MATCH((YEAR(D14)+9), Variablen!$I$3:$AT$3, 0))="",L14,INDEX(Variablen!$I:$AT, MATCH(M14, Variablen!$A:$A, 0), MATCH((YEAR(D14)+9), Variablen!$I$3:$AT$3, 0))),L14)))*(IF((YEAR(D14)+9)&lt;YEAR(E14),0,IF((YEAR(D14)+9)&gt;YEAR(E14),1,(12-MONTH(E14)+1)/12))) + (Q14)*(IF((YEAR(D14)+9)&lt;YEAR(E14),0,IF((YEAR(D14)+9)&gt;YEAR(E14),1,(12-MONTH(E14)+1)/12))))-((P14)*(IF((YEAR(D14)+9)&lt;YEAR(E14),0,IF((YEAR(D14)+9)&gt;YEAR(E14),1,(12-MONTH(E14)+1)/12))) + (R14)*(IF((YEAR(D14)+9)&lt;YEAR(E14),0,IF((YEAR(D14)+9)&gt;YEAR(E14),1,(12-MONTH(E14)+1)/12))))-(IF(OR(N14="",N14&lt;=0),0,(O14/N14)*(IF(OR(N14="",N14&lt;=0),0,IF((YEAR(D14)+9)&lt;YEAR(E14),0,IF((YEAR(D14)+9)&gt;=YEAR(E14)+N14,0,IF((YEAR(D14)+9)=YEAR(E14),(12-MONTH(E14)+1)/12,1))))))))&gt;0,(((K14)*(IF(M14="",L14,IFERROR(IF(INDEX(Variablen!$I:$AT, MATCH(M14, Variablen!$A:$A, 0), MATCH((YEAR(D14)+9), Variablen!$I$3:$AT$3, 0))="",L14,INDEX(Variablen!$I:$AT, MATCH(M14, Variablen!$A:$A, 0), MATCH((YEAR(D14)+9), Variablen!$I$3:$AT$3, 0))),L14)))*(IF((YEAR(D14)+9)&lt;YEAR(E14),0,IF((YEAR(D14)+9)&gt;YEAR(E14),1,(12-MONTH(E14)+1)/12))) + (Q14)*(IF((YEAR(D14)+9)&lt;YEAR(E14),0,IF((YEAR(D14)+9)&gt;YEAR(E14),1,(12-MONTH(E14)+1)/12))))-((P14)*(IF((YEAR(D14)+9)&lt;YEAR(E14),0,IF((YEAR(D14)+9)&gt;YEAR(E14),1,(12-MONTH(E14)+1)/12))) + (R14)*(IF((YEAR(D14)+9)&lt;YEAR(E14),0,IF((YEAR(D14)+9)&gt;YEAR(E14),1,(12-MONTH(E14)+1)/12))))-(IF(OR(N14="",N14&lt;=0),0,(O14/N14)*(IF(OR(N14="",N14&lt;=0),0,IF((YEAR(D14)+9)&lt;YEAR(E14),0,IF((YEAR(D14)+9)&gt;=YEAR(E14)+N14,0,IF((YEAR(D14)+9)=YEAR(E14),(12-MONTH(E14)+1)/12,1))))))))*TaxRate,0))-IF(9=0,O14,0))</f>
        <v/>
      </c>
      <c r="AC14" s="29">
        <f>IF(A14="","",((K14)*(IF(M14="",L14,IFERROR(IF(INDEX(Variablen!$I:$AT, MATCH(M14, Variablen!$A:$A, 0), MATCH((YEAR(D14)+10), Variablen!$I$3:$AT$3, 0))="",L14,INDEX(Variablen!$I:$AT, MATCH(M14, Variablen!$A:$A, 0), MATCH((YEAR(D14)+10), Variablen!$I$3:$AT$3, 0))),L14)))*(IF((YEAR(D14)+10)&lt;YEAR(E14),0,IF((YEAR(D14)+10)&gt;YEAR(E14),1,(12-MONTH(E14)+1)/12))) + (Q14)*(IF((YEAR(D14)+10)&lt;YEAR(E14),0,IF((YEAR(D14)+10)&gt;YEAR(E14),1,(12-MONTH(E14)+1)/12))))-((P14)*(IF((YEAR(D14)+10)&lt;YEAR(E14),0,IF((YEAR(D14)+10)&gt;YEAR(E14),1,(12-MONTH(E14)+1)/12))) + (R14)*(IF((YEAR(D14)+10)&lt;YEAR(E14),0,IF((YEAR(D14)+10)&gt;YEAR(E14),1,(12-MONTH(E14)+1)/12))))-(IF((((K14)*(IF(M14="",L14,IFERROR(IF(INDEX(Variablen!$I:$AT, MATCH(M14, Variablen!$A:$A, 0), MATCH((YEAR(D14)+10), Variablen!$I$3:$AT$3, 0))="",L14,INDEX(Variablen!$I:$AT, MATCH(M14, Variablen!$A:$A, 0), MATCH((YEAR(D14)+10), Variablen!$I$3:$AT$3, 0))),L14)))*(IF((YEAR(D14)+10)&lt;YEAR(E14),0,IF((YEAR(D14)+10)&gt;YEAR(E14),1,(12-MONTH(E14)+1)/12))) + (Q14)*(IF((YEAR(D14)+10)&lt;YEAR(E14),0,IF((YEAR(D14)+10)&gt;YEAR(E14),1,(12-MONTH(E14)+1)/12))))-((P14)*(IF((YEAR(D14)+10)&lt;YEAR(E14),0,IF((YEAR(D14)+10)&gt;YEAR(E14),1,(12-MONTH(E14)+1)/12))) + (R14)*(IF((YEAR(D14)+10)&lt;YEAR(E14),0,IF((YEAR(D14)+10)&gt;YEAR(E14),1,(12-MONTH(E14)+1)/12))))-(IF(OR(N14="",N14&lt;=0),0,(O14/N14)*(IF(OR(N14="",N14&lt;=0),0,IF((YEAR(D14)+10)&lt;YEAR(E14),0,IF((YEAR(D14)+10)&gt;=YEAR(E14)+N14,0,IF((YEAR(D14)+10)=YEAR(E14),(12-MONTH(E14)+1)/12,1))))))))&gt;0,(((K14)*(IF(M14="",L14,IFERROR(IF(INDEX(Variablen!$I:$AT, MATCH(M14, Variablen!$A:$A, 0), MATCH((YEAR(D14)+10), Variablen!$I$3:$AT$3, 0))="",L14,INDEX(Variablen!$I:$AT, MATCH(M14, Variablen!$A:$A, 0), MATCH((YEAR(D14)+10), Variablen!$I$3:$AT$3, 0))),L14)))*(IF((YEAR(D14)+10)&lt;YEAR(E14),0,IF((YEAR(D14)+10)&gt;YEAR(E14),1,(12-MONTH(E14)+1)/12))) + (Q14)*(IF((YEAR(D14)+10)&lt;YEAR(E14),0,IF((YEAR(D14)+10)&gt;YEAR(E14),1,(12-MONTH(E14)+1)/12))))-((P14)*(IF((YEAR(D14)+10)&lt;YEAR(E14),0,IF((YEAR(D14)+10)&gt;YEAR(E14),1,(12-MONTH(E14)+1)/12))) + (R14)*(IF((YEAR(D14)+10)&lt;YEAR(E14),0,IF((YEAR(D14)+10)&gt;YEAR(E14),1,(12-MONTH(E14)+1)/12))))-(IF(OR(N14="",N14&lt;=0),0,(O14/N14)*(IF(OR(N14="",N14&lt;=0),0,IF((YEAR(D14)+10)&lt;YEAR(E14),0,IF((YEAR(D14)+10)&gt;=YEAR(E14)+N14,0,IF((YEAR(D14)+10)=YEAR(E14),(12-MONTH(E14)+1)/12,1))))))))*TaxRate,0))-IF(10=0,O14,0))</f>
        <v/>
      </c>
      <c r="AD14" s="29">
        <f>IF(A14="","",((K14)*(IF(M14="",L14,IFERROR(IF(INDEX(Variablen!$I:$AT, MATCH(M14, Variablen!$A:$A, 0), MATCH((YEAR(D14)+11), Variablen!$I$3:$AT$3, 0))="",L14,INDEX(Variablen!$I:$AT, MATCH(M14, Variablen!$A:$A, 0), MATCH((YEAR(D14)+11), Variablen!$I$3:$AT$3, 0))),L14)))*(IF((YEAR(D14)+11)&lt;YEAR(E14),0,IF((YEAR(D14)+11)&gt;YEAR(E14),1,(12-MONTH(E14)+1)/12))) + (Q14)*(IF((YEAR(D14)+11)&lt;YEAR(E14),0,IF((YEAR(D14)+11)&gt;YEAR(E14),1,(12-MONTH(E14)+1)/12))))-((P14)*(IF((YEAR(D14)+11)&lt;YEAR(E14),0,IF((YEAR(D14)+11)&gt;YEAR(E14),1,(12-MONTH(E14)+1)/12))) + (R14)*(IF((YEAR(D14)+11)&lt;YEAR(E14),0,IF((YEAR(D14)+11)&gt;YEAR(E14),1,(12-MONTH(E14)+1)/12))))-(IF((((K14)*(IF(M14="",L14,IFERROR(IF(INDEX(Variablen!$I:$AT, MATCH(M14, Variablen!$A:$A, 0), MATCH((YEAR(D14)+11), Variablen!$I$3:$AT$3, 0))="",L14,INDEX(Variablen!$I:$AT, MATCH(M14, Variablen!$A:$A, 0), MATCH((YEAR(D14)+11), Variablen!$I$3:$AT$3, 0))),L14)))*(IF((YEAR(D14)+11)&lt;YEAR(E14),0,IF((YEAR(D14)+11)&gt;YEAR(E14),1,(12-MONTH(E14)+1)/12))) + (Q14)*(IF((YEAR(D14)+11)&lt;YEAR(E14),0,IF((YEAR(D14)+11)&gt;YEAR(E14),1,(12-MONTH(E14)+1)/12))))-((P14)*(IF((YEAR(D14)+11)&lt;YEAR(E14),0,IF((YEAR(D14)+11)&gt;YEAR(E14),1,(12-MONTH(E14)+1)/12))) + (R14)*(IF((YEAR(D14)+11)&lt;YEAR(E14),0,IF((YEAR(D14)+11)&gt;YEAR(E14),1,(12-MONTH(E14)+1)/12))))-(IF(OR(N14="",N14&lt;=0),0,(O14/N14)*(IF(OR(N14="",N14&lt;=0),0,IF((YEAR(D14)+11)&lt;YEAR(E14),0,IF((YEAR(D14)+11)&gt;=YEAR(E14)+N14,0,IF((YEAR(D14)+11)=YEAR(E14),(12-MONTH(E14)+1)/12,1))))))))&gt;0,(((K14)*(IF(M14="",L14,IFERROR(IF(INDEX(Variablen!$I:$AT, MATCH(M14, Variablen!$A:$A, 0), MATCH((YEAR(D14)+11), Variablen!$I$3:$AT$3, 0))="",L14,INDEX(Variablen!$I:$AT, MATCH(M14, Variablen!$A:$A, 0), MATCH((YEAR(D14)+11), Variablen!$I$3:$AT$3, 0))),L14)))*(IF((YEAR(D14)+11)&lt;YEAR(E14),0,IF((YEAR(D14)+11)&gt;YEAR(E14),1,(12-MONTH(E14)+1)/12))) + (Q14)*(IF((YEAR(D14)+11)&lt;YEAR(E14),0,IF((YEAR(D14)+11)&gt;YEAR(E14),1,(12-MONTH(E14)+1)/12))))-((P14)*(IF((YEAR(D14)+11)&lt;YEAR(E14),0,IF((YEAR(D14)+11)&gt;YEAR(E14),1,(12-MONTH(E14)+1)/12))) + (R14)*(IF((YEAR(D14)+11)&lt;YEAR(E14),0,IF((YEAR(D14)+11)&gt;YEAR(E14),1,(12-MONTH(E14)+1)/12))))-(IF(OR(N14="",N14&lt;=0),0,(O14/N14)*(IF(OR(N14="",N14&lt;=0),0,IF((YEAR(D14)+11)&lt;YEAR(E14),0,IF((YEAR(D14)+11)&gt;=YEAR(E14)+N14,0,IF((YEAR(D14)+11)=YEAR(E14),(12-MONTH(E14)+1)/12,1))))))))*TaxRate,0))-IF(11=0,O14,0))</f>
        <v/>
      </c>
      <c r="AE14" s="29">
        <f>IF(A14="","",((K14)*(IF(M14="",L14,IFERROR(IF(INDEX(Variablen!$I:$AT, MATCH(M14, Variablen!$A:$A, 0), MATCH((YEAR(D14)+12), Variablen!$I$3:$AT$3, 0))="",L14,INDEX(Variablen!$I:$AT, MATCH(M14, Variablen!$A:$A, 0), MATCH((YEAR(D14)+12), Variablen!$I$3:$AT$3, 0))),L14)))*(IF((YEAR(D14)+12)&lt;YEAR(E14),0,IF((YEAR(D14)+12)&gt;YEAR(E14),1,(12-MONTH(E14)+1)/12))) + (Q14)*(IF((YEAR(D14)+12)&lt;YEAR(E14),0,IF((YEAR(D14)+12)&gt;YEAR(E14),1,(12-MONTH(E14)+1)/12))))-((P14)*(IF((YEAR(D14)+12)&lt;YEAR(E14),0,IF((YEAR(D14)+12)&gt;YEAR(E14),1,(12-MONTH(E14)+1)/12))) + (R14)*(IF((YEAR(D14)+12)&lt;YEAR(E14),0,IF((YEAR(D14)+12)&gt;YEAR(E14),1,(12-MONTH(E14)+1)/12))))-(IF((((K14)*(IF(M14="",L14,IFERROR(IF(INDEX(Variablen!$I:$AT, MATCH(M14, Variablen!$A:$A, 0), MATCH((YEAR(D14)+12), Variablen!$I$3:$AT$3, 0))="",L14,INDEX(Variablen!$I:$AT, MATCH(M14, Variablen!$A:$A, 0), MATCH((YEAR(D14)+12), Variablen!$I$3:$AT$3, 0))),L14)))*(IF((YEAR(D14)+12)&lt;YEAR(E14),0,IF((YEAR(D14)+12)&gt;YEAR(E14),1,(12-MONTH(E14)+1)/12))) + (Q14)*(IF((YEAR(D14)+12)&lt;YEAR(E14),0,IF((YEAR(D14)+12)&gt;YEAR(E14),1,(12-MONTH(E14)+1)/12))))-((P14)*(IF((YEAR(D14)+12)&lt;YEAR(E14),0,IF((YEAR(D14)+12)&gt;YEAR(E14),1,(12-MONTH(E14)+1)/12))) + (R14)*(IF((YEAR(D14)+12)&lt;YEAR(E14),0,IF((YEAR(D14)+12)&gt;YEAR(E14),1,(12-MONTH(E14)+1)/12))))-(IF(OR(N14="",N14&lt;=0),0,(O14/N14)*(IF(OR(N14="",N14&lt;=0),0,IF((YEAR(D14)+12)&lt;YEAR(E14),0,IF((YEAR(D14)+12)&gt;=YEAR(E14)+N14,0,IF((YEAR(D14)+12)=YEAR(E14),(12-MONTH(E14)+1)/12,1))))))))&gt;0,(((K14)*(IF(M14="",L14,IFERROR(IF(INDEX(Variablen!$I:$AT, MATCH(M14, Variablen!$A:$A, 0), MATCH((YEAR(D14)+12), Variablen!$I$3:$AT$3, 0))="",L14,INDEX(Variablen!$I:$AT, MATCH(M14, Variablen!$A:$A, 0), MATCH((YEAR(D14)+12), Variablen!$I$3:$AT$3, 0))),L14)))*(IF((YEAR(D14)+12)&lt;YEAR(E14),0,IF((YEAR(D14)+12)&gt;YEAR(E14),1,(12-MONTH(E14)+1)/12))) + (Q14)*(IF((YEAR(D14)+12)&lt;YEAR(E14),0,IF((YEAR(D14)+12)&gt;YEAR(E14),1,(12-MONTH(E14)+1)/12))))-((P14)*(IF((YEAR(D14)+12)&lt;YEAR(E14),0,IF((YEAR(D14)+12)&gt;YEAR(E14),1,(12-MONTH(E14)+1)/12))) + (R14)*(IF((YEAR(D14)+12)&lt;YEAR(E14),0,IF((YEAR(D14)+12)&gt;YEAR(E14),1,(12-MONTH(E14)+1)/12))))-(IF(OR(N14="",N14&lt;=0),0,(O14/N14)*(IF(OR(N14="",N14&lt;=0),0,IF((YEAR(D14)+12)&lt;YEAR(E14),0,IF((YEAR(D14)+12)&gt;=YEAR(E14)+N14,0,IF((YEAR(D14)+12)=YEAR(E14),(12-MONTH(E14)+1)/12,1))))))))*TaxRate,0))-IF(12=0,O14,0))</f>
        <v/>
      </c>
      <c r="AF14" s="29">
        <f>IF(A14="","",((K14)*(IF(M14="",L14,IFERROR(IF(INDEX(Variablen!$I:$AT, MATCH(M14, Variablen!$A:$A, 0), MATCH((YEAR(D14)+13), Variablen!$I$3:$AT$3, 0))="",L14,INDEX(Variablen!$I:$AT, MATCH(M14, Variablen!$A:$A, 0), MATCH((YEAR(D14)+13), Variablen!$I$3:$AT$3, 0))),L14)))*(IF((YEAR(D14)+13)&lt;YEAR(E14),0,IF((YEAR(D14)+13)&gt;YEAR(E14),1,(12-MONTH(E14)+1)/12))) + (Q14)*(IF((YEAR(D14)+13)&lt;YEAR(E14),0,IF((YEAR(D14)+13)&gt;YEAR(E14),1,(12-MONTH(E14)+1)/12))))-((P14)*(IF((YEAR(D14)+13)&lt;YEAR(E14),0,IF((YEAR(D14)+13)&gt;YEAR(E14),1,(12-MONTH(E14)+1)/12))) + (R14)*(IF((YEAR(D14)+13)&lt;YEAR(E14),0,IF((YEAR(D14)+13)&gt;YEAR(E14),1,(12-MONTH(E14)+1)/12))))-(IF((((K14)*(IF(M14="",L14,IFERROR(IF(INDEX(Variablen!$I:$AT, MATCH(M14, Variablen!$A:$A, 0), MATCH((YEAR(D14)+13), Variablen!$I$3:$AT$3, 0))="",L14,INDEX(Variablen!$I:$AT, MATCH(M14, Variablen!$A:$A, 0), MATCH((YEAR(D14)+13), Variablen!$I$3:$AT$3, 0))),L14)))*(IF((YEAR(D14)+13)&lt;YEAR(E14),0,IF((YEAR(D14)+13)&gt;YEAR(E14),1,(12-MONTH(E14)+1)/12))) + (Q14)*(IF((YEAR(D14)+13)&lt;YEAR(E14),0,IF((YEAR(D14)+13)&gt;YEAR(E14),1,(12-MONTH(E14)+1)/12))))-((P14)*(IF((YEAR(D14)+13)&lt;YEAR(E14),0,IF((YEAR(D14)+13)&gt;YEAR(E14),1,(12-MONTH(E14)+1)/12))) + (R14)*(IF((YEAR(D14)+13)&lt;YEAR(E14),0,IF((YEAR(D14)+13)&gt;YEAR(E14),1,(12-MONTH(E14)+1)/12))))-(IF(OR(N14="",N14&lt;=0),0,(O14/N14)*(IF(OR(N14="",N14&lt;=0),0,IF((YEAR(D14)+13)&lt;YEAR(E14),0,IF((YEAR(D14)+13)&gt;=YEAR(E14)+N14,0,IF((YEAR(D14)+13)=YEAR(E14),(12-MONTH(E14)+1)/12,1))))))))&gt;0,(((K14)*(IF(M14="",L14,IFERROR(IF(INDEX(Variablen!$I:$AT, MATCH(M14, Variablen!$A:$A, 0), MATCH((YEAR(D14)+13), Variablen!$I$3:$AT$3, 0))="",L14,INDEX(Variablen!$I:$AT, MATCH(M14, Variablen!$A:$A, 0), MATCH((YEAR(D14)+13), Variablen!$I$3:$AT$3, 0))),L14)))*(IF((YEAR(D14)+13)&lt;YEAR(E14),0,IF((YEAR(D14)+13)&gt;YEAR(E14),1,(12-MONTH(E14)+1)/12))) + (Q14)*(IF((YEAR(D14)+13)&lt;YEAR(E14),0,IF((YEAR(D14)+13)&gt;YEAR(E14),1,(12-MONTH(E14)+1)/12))))-((P14)*(IF((YEAR(D14)+13)&lt;YEAR(E14),0,IF((YEAR(D14)+13)&gt;YEAR(E14),1,(12-MONTH(E14)+1)/12))) + (R14)*(IF((YEAR(D14)+13)&lt;YEAR(E14),0,IF((YEAR(D14)+13)&gt;YEAR(E14),1,(12-MONTH(E14)+1)/12))))-(IF(OR(N14="",N14&lt;=0),0,(O14/N14)*(IF(OR(N14="",N14&lt;=0),0,IF((YEAR(D14)+13)&lt;YEAR(E14),0,IF((YEAR(D14)+13)&gt;=YEAR(E14)+N14,0,IF((YEAR(D14)+13)=YEAR(E14),(12-MONTH(E14)+1)/12,1))))))))*TaxRate,0))-IF(13=0,O14,0))</f>
        <v/>
      </c>
      <c r="AG14" s="29">
        <f>IF(A14="","",((K14)*(IF(M14="",L14,IFERROR(IF(INDEX(Variablen!$I:$AT, MATCH(M14, Variablen!$A:$A, 0), MATCH((YEAR(D14)+14), Variablen!$I$3:$AT$3, 0))="",L14,INDEX(Variablen!$I:$AT, MATCH(M14, Variablen!$A:$A, 0), MATCH((YEAR(D14)+14), Variablen!$I$3:$AT$3, 0))),L14)))*(IF((YEAR(D14)+14)&lt;YEAR(E14),0,IF((YEAR(D14)+14)&gt;YEAR(E14),1,(12-MONTH(E14)+1)/12))) + (Q14)*(IF((YEAR(D14)+14)&lt;YEAR(E14),0,IF((YEAR(D14)+14)&gt;YEAR(E14),1,(12-MONTH(E14)+1)/12))))-((P14)*(IF((YEAR(D14)+14)&lt;YEAR(E14),0,IF((YEAR(D14)+14)&gt;YEAR(E14),1,(12-MONTH(E14)+1)/12))) + (R14)*(IF((YEAR(D14)+14)&lt;YEAR(E14),0,IF((YEAR(D14)+14)&gt;YEAR(E14),1,(12-MONTH(E14)+1)/12))))-(IF((((K14)*(IF(M14="",L14,IFERROR(IF(INDEX(Variablen!$I:$AT, MATCH(M14, Variablen!$A:$A, 0), MATCH((YEAR(D14)+14), Variablen!$I$3:$AT$3, 0))="",L14,INDEX(Variablen!$I:$AT, MATCH(M14, Variablen!$A:$A, 0), MATCH((YEAR(D14)+14), Variablen!$I$3:$AT$3, 0))),L14)))*(IF((YEAR(D14)+14)&lt;YEAR(E14),0,IF((YEAR(D14)+14)&gt;YEAR(E14),1,(12-MONTH(E14)+1)/12))) + (Q14)*(IF((YEAR(D14)+14)&lt;YEAR(E14),0,IF((YEAR(D14)+14)&gt;YEAR(E14),1,(12-MONTH(E14)+1)/12))))-((P14)*(IF((YEAR(D14)+14)&lt;YEAR(E14),0,IF((YEAR(D14)+14)&gt;YEAR(E14),1,(12-MONTH(E14)+1)/12))) + (R14)*(IF((YEAR(D14)+14)&lt;YEAR(E14),0,IF((YEAR(D14)+14)&gt;YEAR(E14),1,(12-MONTH(E14)+1)/12))))-(IF(OR(N14="",N14&lt;=0),0,(O14/N14)*(IF(OR(N14="",N14&lt;=0),0,IF((YEAR(D14)+14)&lt;YEAR(E14),0,IF((YEAR(D14)+14)&gt;=YEAR(E14)+N14,0,IF((YEAR(D14)+14)=YEAR(E14),(12-MONTH(E14)+1)/12,1))))))))&gt;0,(((K14)*(IF(M14="",L14,IFERROR(IF(INDEX(Variablen!$I:$AT, MATCH(M14, Variablen!$A:$A, 0), MATCH((YEAR(D14)+14), Variablen!$I$3:$AT$3, 0))="",L14,INDEX(Variablen!$I:$AT, MATCH(M14, Variablen!$A:$A, 0), MATCH((YEAR(D14)+14), Variablen!$I$3:$AT$3, 0))),L14)))*(IF((YEAR(D14)+14)&lt;YEAR(E14),0,IF((YEAR(D14)+14)&gt;YEAR(E14),1,(12-MONTH(E14)+1)/12))) + (Q14)*(IF((YEAR(D14)+14)&lt;YEAR(E14),0,IF((YEAR(D14)+14)&gt;YEAR(E14),1,(12-MONTH(E14)+1)/12))))-((P14)*(IF((YEAR(D14)+14)&lt;YEAR(E14),0,IF((YEAR(D14)+14)&gt;YEAR(E14),1,(12-MONTH(E14)+1)/12))) + (R14)*(IF((YEAR(D14)+14)&lt;YEAR(E14),0,IF((YEAR(D14)+14)&gt;YEAR(E14),1,(12-MONTH(E14)+1)/12))))-(IF(OR(N14="",N14&lt;=0),0,(O14/N14)*(IF(OR(N14="",N14&lt;=0),0,IF((YEAR(D14)+14)&lt;YEAR(E14),0,IF((YEAR(D14)+14)&gt;=YEAR(E14)+N14,0,IF((YEAR(D14)+14)=YEAR(E14),(12-MONTH(E14)+1)/12,1))))))))*TaxRate,0))-IF(14=0,O14,0))</f>
        <v/>
      </c>
      <c r="AH14" s="29">
        <f>IF(A14="","",((K14)*(IF(M14="",L14,IFERROR(IF(INDEX(Variablen!$I:$AT, MATCH(M14, Variablen!$A:$A, 0), MATCH((YEAR(D14)+15), Variablen!$I$3:$AT$3, 0))="",L14,INDEX(Variablen!$I:$AT, MATCH(M14, Variablen!$A:$A, 0), MATCH((YEAR(D14)+15), Variablen!$I$3:$AT$3, 0))),L14)))*(IF((YEAR(D14)+15)&lt;YEAR(E14),0,IF((YEAR(D14)+15)&gt;YEAR(E14),1,(12-MONTH(E14)+1)/12))) + (Q14)*(IF((YEAR(D14)+15)&lt;YEAR(E14),0,IF((YEAR(D14)+15)&gt;YEAR(E14),1,(12-MONTH(E14)+1)/12))))-((P14)*(IF((YEAR(D14)+15)&lt;YEAR(E14),0,IF((YEAR(D14)+15)&gt;YEAR(E14),1,(12-MONTH(E14)+1)/12))) + (R14)*(IF((YEAR(D14)+15)&lt;YEAR(E14),0,IF((YEAR(D14)+15)&gt;YEAR(E14),1,(12-MONTH(E14)+1)/12))))-(IF((((K14)*(IF(M14="",L14,IFERROR(IF(INDEX(Variablen!$I:$AT, MATCH(M14, Variablen!$A:$A, 0), MATCH((YEAR(D14)+15), Variablen!$I$3:$AT$3, 0))="",L14,INDEX(Variablen!$I:$AT, MATCH(M14, Variablen!$A:$A, 0), MATCH((YEAR(D14)+15), Variablen!$I$3:$AT$3, 0))),L14)))*(IF((YEAR(D14)+15)&lt;YEAR(E14),0,IF((YEAR(D14)+15)&gt;YEAR(E14),1,(12-MONTH(E14)+1)/12))) + (Q14)*(IF((YEAR(D14)+15)&lt;YEAR(E14),0,IF((YEAR(D14)+15)&gt;YEAR(E14),1,(12-MONTH(E14)+1)/12))))-((P14)*(IF((YEAR(D14)+15)&lt;YEAR(E14),0,IF((YEAR(D14)+15)&gt;YEAR(E14),1,(12-MONTH(E14)+1)/12))) + (R14)*(IF((YEAR(D14)+15)&lt;YEAR(E14),0,IF((YEAR(D14)+15)&gt;YEAR(E14),1,(12-MONTH(E14)+1)/12))))-(IF(OR(N14="",N14&lt;=0),0,(O14/N14)*(IF(OR(N14="",N14&lt;=0),0,IF((YEAR(D14)+15)&lt;YEAR(E14),0,IF((YEAR(D14)+15)&gt;=YEAR(E14)+N14,0,IF((YEAR(D14)+15)=YEAR(E14),(12-MONTH(E14)+1)/12,1))))))))&gt;0,(((K14)*(IF(M14="",L14,IFERROR(IF(INDEX(Variablen!$I:$AT, MATCH(M14, Variablen!$A:$A, 0), MATCH((YEAR(D14)+15), Variablen!$I$3:$AT$3, 0))="",L14,INDEX(Variablen!$I:$AT, MATCH(M14, Variablen!$A:$A, 0), MATCH((YEAR(D14)+15), Variablen!$I$3:$AT$3, 0))),L14)))*(IF((YEAR(D14)+15)&lt;YEAR(E14),0,IF((YEAR(D14)+15)&gt;YEAR(E14),1,(12-MONTH(E14)+1)/12))) + (Q14)*(IF((YEAR(D14)+15)&lt;YEAR(E14),0,IF((YEAR(D14)+15)&gt;YEAR(E14),1,(12-MONTH(E14)+1)/12))))-((P14)*(IF((YEAR(D14)+15)&lt;YEAR(E14),0,IF((YEAR(D14)+15)&gt;YEAR(E14),1,(12-MONTH(E14)+1)/12))) + (R14)*(IF((YEAR(D14)+15)&lt;YEAR(E14),0,IF((YEAR(D14)+15)&gt;YEAR(E14),1,(12-MONTH(E14)+1)/12))))-(IF(OR(N14="",N14&lt;=0),0,(O14/N14)*(IF(OR(N14="",N14&lt;=0),0,IF((YEAR(D14)+15)&lt;YEAR(E14),0,IF((YEAR(D14)+15)&gt;=YEAR(E14)+N14,0,IF((YEAR(D14)+15)=YEAR(E14),(12-MONTH(E14)+1)/12,1))))))))*TaxRate,0))-IF(15=0,O14,0))</f>
        <v/>
      </c>
      <c r="AI14" s="29">
        <f>IF(A14="","",((K14)*(IF(M14="",L14,IFERROR(IF(INDEX(Variablen!$I:$AT, MATCH(M14, Variablen!$A:$A, 0), MATCH((YEAR(D14)+16), Variablen!$I$3:$AT$3, 0))="",L14,INDEX(Variablen!$I:$AT, MATCH(M14, Variablen!$A:$A, 0), MATCH((YEAR(D14)+16), Variablen!$I$3:$AT$3, 0))),L14)))*(IF((YEAR(D14)+16)&lt;YEAR(E14),0,IF((YEAR(D14)+16)&gt;YEAR(E14),1,(12-MONTH(E14)+1)/12))) + (Q14)*(IF((YEAR(D14)+16)&lt;YEAR(E14),0,IF((YEAR(D14)+16)&gt;YEAR(E14),1,(12-MONTH(E14)+1)/12))))-((P14)*(IF((YEAR(D14)+16)&lt;YEAR(E14),0,IF((YEAR(D14)+16)&gt;YEAR(E14),1,(12-MONTH(E14)+1)/12))) + (R14)*(IF((YEAR(D14)+16)&lt;YEAR(E14),0,IF((YEAR(D14)+16)&gt;YEAR(E14),1,(12-MONTH(E14)+1)/12))))-(IF((((K14)*(IF(M14="",L14,IFERROR(IF(INDEX(Variablen!$I:$AT, MATCH(M14, Variablen!$A:$A, 0), MATCH((YEAR(D14)+16), Variablen!$I$3:$AT$3, 0))="",L14,INDEX(Variablen!$I:$AT, MATCH(M14, Variablen!$A:$A, 0), MATCH((YEAR(D14)+16), Variablen!$I$3:$AT$3, 0))),L14)))*(IF((YEAR(D14)+16)&lt;YEAR(E14),0,IF((YEAR(D14)+16)&gt;YEAR(E14),1,(12-MONTH(E14)+1)/12))) + (Q14)*(IF((YEAR(D14)+16)&lt;YEAR(E14),0,IF((YEAR(D14)+16)&gt;YEAR(E14),1,(12-MONTH(E14)+1)/12))))-((P14)*(IF((YEAR(D14)+16)&lt;YEAR(E14),0,IF((YEAR(D14)+16)&gt;YEAR(E14),1,(12-MONTH(E14)+1)/12))) + (R14)*(IF((YEAR(D14)+16)&lt;YEAR(E14),0,IF((YEAR(D14)+16)&gt;YEAR(E14),1,(12-MONTH(E14)+1)/12))))-(IF(OR(N14="",N14&lt;=0),0,(O14/N14)*(IF(OR(N14="",N14&lt;=0),0,IF((YEAR(D14)+16)&lt;YEAR(E14),0,IF((YEAR(D14)+16)&gt;=YEAR(E14)+N14,0,IF((YEAR(D14)+16)=YEAR(E14),(12-MONTH(E14)+1)/12,1))))))))&gt;0,(((K14)*(IF(M14="",L14,IFERROR(IF(INDEX(Variablen!$I:$AT, MATCH(M14, Variablen!$A:$A, 0), MATCH((YEAR(D14)+16), Variablen!$I$3:$AT$3, 0))="",L14,INDEX(Variablen!$I:$AT, MATCH(M14, Variablen!$A:$A, 0), MATCH((YEAR(D14)+16), Variablen!$I$3:$AT$3, 0))),L14)))*(IF((YEAR(D14)+16)&lt;YEAR(E14),0,IF((YEAR(D14)+16)&gt;YEAR(E14),1,(12-MONTH(E14)+1)/12))) + (Q14)*(IF((YEAR(D14)+16)&lt;YEAR(E14),0,IF((YEAR(D14)+16)&gt;YEAR(E14),1,(12-MONTH(E14)+1)/12))))-((P14)*(IF((YEAR(D14)+16)&lt;YEAR(E14),0,IF((YEAR(D14)+16)&gt;YEAR(E14),1,(12-MONTH(E14)+1)/12))) + (R14)*(IF((YEAR(D14)+16)&lt;YEAR(E14),0,IF((YEAR(D14)+16)&gt;YEAR(E14),1,(12-MONTH(E14)+1)/12))))-(IF(OR(N14="",N14&lt;=0),0,(O14/N14)*(IF(OR(N14="",N14&lt;=0),0,IF((YEAR(D14)+16)&lt;YEAR(E14),0,IF((YEAR(D14)+16)&gt;=YEAR(E14)+N14,0,IF((YEAR(D14)+16)=YEAR(E14),(12-MONTH(E14)+1)/12,1))))))))*TaxRate,0))-IF(16=0,O14,0))</f>
        <v/>
      </c>
      <c r="AJ14" s="29">
        <f>IF(A14="","",((K14)*(IF(M14="",L14,IFERROR(IF(INDEX(Variablen!$I:$AT, MATCH(M14, Variablen!$A:$A, 0), MATCH((YEAR(D14)+17), Variablen!$I$3:$AT$3, 0))="",L14,INDEX(Variablen!$I:$AT, MATCH(M14, Variablen!$A:$A, 0), MATCH((YEAR(D14)+17), Variablen!$I$3:$AT$3, 0))),L14)))*(IF((YEAR(D14)+17)&lt;YEAR(E14),0,IF((YEAR(D14)+17)&gt;YEAR(E14),1,(12-MONTH(E14)+1)/12))) + (Q14)*(IF((YEAR(D14)+17)&lt;YEAR(E14),0,IF((YEAR(D14)+17)&gt;YEAR(E14),1,(12-MONTH(E14)+1)/12))))-((P14)*(IF((YEAR(D14)+17)&lt;YEAR(E14),0,IF((YEAR(D14)+17)&gt;YEAR(E14),1,(12-MONTH(E14)+1)/12))) + (R14)*(IF((YEAR(D14)+17)&lt;YEAR(E14),0,IF((YEAR(D14)+17)&gt;YEAR(E14),1,(12-MONTH(E14)+1)/12))))-(IF((((K14)*(IF(M14="",L14,IFERROR(IF(INDEX(Variablen!$I:$AT, MATCH(M14, Variablen!$A:$A, 0), MATCH((YEAR(D14)+17), Variablen!$I$3:$AT$3, 0))="",L14,INDEX(Variablen!$I:$AT, MATCH(M14, Variablen!$A:$A, 0), MATCH((YEAR(D14)+17), Variablen!$I$3:$AT$3, 0))),L14)))*(IF((YEAR(D14)+17)&lt;YEAR(E14),0,IF((YEAR(D14)+17)&gt;YEAR(E14),1,(12-MONTH(E14)+1)/12))) + (Q14)*(IF((YEAR(D14)+17)&lt;YEAR(E14),0,IF((YEAR(D14)+17)&gt;YEAR(E14),1,(12-MONTH(E14)+1)/12))))-((P14)*(IF((YEAR(D14)+17)&lt;YEAR(E14),0,IF((YEAR(D14)+17)&gt;YEAR(E14),1,(12-MONTH(E14)+1)/12))) + (R14)*(IF((YEAR(D14)+17)&lt;YEAR(E14),0,IF((YEAR(D14)+17)&gt;YEAR(E14),1,(12-MONTH(E14)+1)/12))))-(IF(OR(N14="",N14&lt;=0),0,(O14/N14)*(IF(OR(N14="",N14&lt;=0),0,IF((YEAR(D14)+17)&lt;YEAR(E14),0,IF((YEAR(D14)+17)&gt;=YEAR(E14)+N14,0,IF((YEAR(D14)+17)=YEAR(E14),(12-MONTH(E14)+1)/12,1))))))))&gt;0,(((K14)*(IF(M14="",L14,IFERROR(IF(INDEX(Variablen!$I:$AT, MATCH(M14, Variablen!$A:$A, 0), MATCH((YEAR(D14)+17), Variablen!$I$3:$AT$3, 0))="",L14,INDEX(Variablen!$I:$AT, MATCH(M14, Variablen!$A:$A, 0), MATCH((YEAR(D14)+17), Variablen!$I$3:$AT$3, 0))),L14)))*(IF((YEAR(D14)+17)&lt;YEAR(E14),0,IF((YEAR(D14)+17)&gt;YEAR(E14),1,(12-MONTH(E14)+1)/12))) + (Q14)*(IF((YEAR(D14)+17)&lt;YEAR(E14),0,IF((YEAR(D14)+17)&gt;YEAR(E14),1,(12-MONTH(E14)+1)/12))))-((P14)*(IF((YEAR(D14)+17)&lt;YEAR(E14),0,IF((YEAR(D14)+17)&gt;YEAR(E14),1,(12-MONTH(E14)+1)/12))) + (R14)*(IF((YEAR(D14)+17)&lt;YEAR(E14),0,IF((YEAR(D14)+17)&gt;YEAR(E14),1,(12-MONTH(E14)+1)/12))))-(IF(OR(N14="",N14&lt;=0),0,(O14/N14)*(IF(OR(N14="",N14&lt;=0),0,IF((YEAR(D14)+17)&lt;YEAR(E14),0,IF((YEAR(D14)+17)&gt;=YEAR(E14)+N14,0,IF((YEAR(D14)+17)=YEAR(E14),(12-MONTH(E14)+1)/12,1))))))))*TaxRate,0))-IF(17=0,O14,0))</f>
        <v/>
      </c>
      <c r="AK14" s="29">
        <f>IF(A14="","",((K14)*(IF(M14="",L14,IFERROR(IF(INDEX(Variablen!$I:$AT, MATCH(M14, Variablen!$A:$A, 0), MATCH((YEAR(D14)+18), Variablen!$I$3:$AT$3, 0))="",L14,INDEX(Variablen!$I:$AT, MATCH(M14, Variablen!$A:$A, 0), MATCH((YEAR(D14)+18), Variablen!$I$3:$AT$3, 0))),L14)))*(IF((YEAR(D14)+18)&lt;YEAR(E14),0,IF((YEAR(D14)+18)&gt;YEAR(E14),1,(12-MONTH(E14)+1)/12))) + (Q14)*(IF((YEAR(D14)+18)&lt;YEAR(E14),0,IF((YEAR(D14)+18)&gt;YEAR(E14),1,(12-MONTH(E14)+1)/12))))-((P14)*(IF((YEAR(D14)+18)&lt;YEAR(E14),0,IF((YEAR(D14)+18)&gt;YEAR(E14),1,(12-MONTH(E14)+1)/12))) + (R14)*(IF((YEAR(D14)+18)&lt;YEAR(E14),0,IF((YEAR(D14)+18)&gt;YEAR(E14),1,(12-MONTH(E14)+1)/12))))-(IF((((K14)*(IF(M14="",L14,IFERROR(IF(INDEX(Variablen!$I:$AT, MATCH(M14, Variablen!$A:$A, 0), MATCH((YEAR(D14)+18), Variablen!$I$3:$AT$3, 0))="",L14,INDEX(Variablen!$I:$AT, MATCH(M14, Variablen!$A:$A, 0), MATCH((YEAR(D14)+18), Variablen!$I$3:$AT$3, 0))),L14)))*(IF((YEAR(D14)+18)&lt;YEAR(E14),0,IF((YEAR(D14)+18)&gt;YEAR(E14),1,(12-MONTH(E14)+1)/12))) + (Q14)*(IF((YEAR(D14)+18)&lt;YEAR(E14),0,IF((YEAR(D14)+18)&gt;YEAR(E14),1,(12-MONTH(E14)+1)/12))))-((P14)*(IF((YEAR(D14)+18)&lt;YEAR(E14),0,IF((YEAR(D14)+18)&gt;YEAR(E14),1,(12-MONTH(E14)+1)/12))) + (R14)*(IF((YEAR(D14)+18)&lt;YEAR(E14),0,IF((YEAR(D14)+18)&gt;YEAR(E14),1,(12-MONTH(E14)+1)/12))))-(IF(OR(N14="",N14&lt;=0),0,(O14/N14)*(IF(OR(N14="",N14&lt;=0),0,IF((YEAR(D14)+18)&lt;YEAR(E14),0,IF((YEAR(D14)+18)&gt;=YEAR(E14)+N14,0,IF((YEAR(D14)+18)=YEAR(E14),(12-MONTH(E14)+1)/12,1))))))))&gt;0,(((K14)*(IF(M14="",L14,IFERROR(IF(INDEX(Variablen!$I:$AT, MATCH(M14, Variablen!$A:$A, 0), MATCH((YEAR(D14)+18), Variablen!$I$3:$AT$3, 0))="",L14,INDEX(Variablen!$I:$AT, MATCH(M14, Variablen!$A:$A, 0), MATCH((YEAR(D14)+18), Variablen!$I$3:$AT$3, 0))),L14)))*(IF((YEAR(D14)+18)&lt;YEAR(E14),0,IF((YEAR(D14)+18)&gt;YEAR(E14),1,(12-MONTH(E14)+1)/12))) + (Q14)*(IF((YEAR(D14)+18)&lt;YEAR(E14),0,IF((YEAR(D14)+18)&gt;YEAR(E14),1,(12-MONTH(E14)+1)/12))))-((P14)*(IF((YEAR(D14)+18)&lt;YEAR(E14),0,IF((YEAR(D14)+18)&gt;YEAR(E14),1,(12-MONTH(E14)+1)/12))) + (R14)*(IF((YEAR(D14)+18)&lt;YEAR(E14),0,IF((YEAR(D14)+18)&gt;YEAR(E14),1,(12-MONTH(E14)+1)/12))))-(IF(OR(N14="",N14&lt;=0),0,(O14/N14)*(IF(OR(N14="",N14&lt;=0),0,IF((YEAR(D14)+18)&lt;YEAR(E14),0,IF((YEAR(D14)+18)&gt;=YEAR(E14)+N14,0,IF((YEAR(D14)+18)=YEAR(E14),(12-MONTH(E14)+1)/12,1))))))))*TaxRate,0))-IF(18=0,O14,0))</f>
        <v/>
      </c>
      <c r="AL14" s="29">
        <f>IF(A14="","",((K14)*(IF(M14="",L14,IFERROR(IF(INDEX(Variablen!$I:$AT, MATCH(M14, Variablen!$A:$A, 0), MATCH((YEAR(D14)+19), Variablen!$I$3:$AT$3, 0))="",L14,INDEX(Variablen!$I:$AT, MATCH(M14, Variablen!$A:$A, 0), MATCH((YEAR(D14)+19), Variablen!$I$3:$AT$3, 0))),L14)))*(IF((YEAR(D14)+19)&lt;YEAR(E14),0,IF((YEAR(D14)+19)&gt;YEAR(E14),1,(12-MONTH(E14)+1)/12))) + (Q14)*(IF((YEAR(D14)+19)&lt;YEAR(E14),0,IF((YEAR(D14)+19)&gt;YEAR(E14),1,(12-MONTH(E14)+1)/12))))-((P14)*(IF((YEAR(D14)+19)&lt;YEAR(E14),0,IF((YEAR(D14)+19)&gt;YEAR(E14),1,(12-MONTH(E14)+1)/12))) + (R14)*(IF((YEAR(D14)+19)&lt;YEAR(E14),0,IF((YEAR(D14)+19)&gt;YEAR(E14),1,(12-MONTH(E14)+1)/12))))-(IF((((K14)*(IF(M14="",L14,IFERROR(IF(INDEX(Variablen!$I:$AT, MATCH(M14, Variablen!$A:$A, 0), MATCH((YEAR(D14)+19), Variablen!$I$3:$AT$3, 0))="",L14,INDEX(Variablen!$I:$AT, MATCH(M14, Variablen!$A:$A, 0), MATCH((YEAR(D14)+19), Variablen!$I$3:$AT$3, 0))),L14)))*(IF((YEAR(D14)+19)&lt;YEAR(E14),0,IF((YEAR(D14)+19)&gt;YEAR(E14),1,(12-MONTH(E14)+1)/12))) + (Q14)*(IF((YEAR(D14)+19)&lt;YEAR(E14),0,IF((YEAR(D14)+19)&gt;YEAR(E14),1,(12-MONTH(E14)+1)/12))))-((P14)*(IF((YEAR(D14)+19)&lt;YEAR(E14),0,IF((YEAR(D14)+19)&gt;YEAR(E14),1,(12-MONTH(E14)+1)/12))) + (R14)*(IF((YEAR(D14)+19)&lt;YEAR(E14),0,IF((YEAR(D14)+19)&gt;YEAR(E14),1,(12-MONTH(E14)+1)/12))))-(IF(OR(N14="",N14&lt;=0),0,(O14/N14)*(IF(OR(N14="",N14&lt;=0),0,IF((YEAR(D14)+19)&lt;YEAR(E14),0,IF((YEAR(D14)+19)&gt;=YEAR(E14)+N14,0,IF((YEAR(D14)+19)=YEAR(E14),(12-MONTH(E14)+1)/12,1))))))))&gt;0,(((K14)*(IF(M14="",L14,IFERROR(IF(INDEX(Variablen!$I:$AT, MATCH(M14, Variablen!$A:$A, 0), MATCH((YEAR(D14)+19), Variablen!$I$3:$AT$3, 0))="",L14,INDEX(Variablen!$I:$AT, MATCH(M14, Variablen!$A:$A, 0), MATCH((YEAR(D14)+19), Variablen!$I$3:$AT$3, 0))),L14)))*(IF((YEAR(D14)+19)&lt;YEAR(E14),0,IF((YEAR(D14)+19)&gt;YEAR(E14),1,(12-MONTH(E14)+1)/12))) + (Q14)*(IF((YEAR(D14)+19)&lt;YEAR(E14),0,IF((YEAR(D14)+19)&gt;YEAR(E14),1,(12-MONTH(E14)+1)/12))))-((P14)*(IF((YEAR(D14)+19)&lt;YEAR(E14),0,IF((YEAR(D14)+19)&gt;YEAR(E14),1,(12-MONTH(E14)+1)/12))) + (R14)*(IF((YEAR(D14)+19)&lt;YEAR(E14),0,IF((YEAR(D14)+19)&gt;YEAR(E14),1,(12-MONTH(E14)+1)/12))))-(IF(OR(N14="",N14&lt;=0),0,(O14/N14)*(IF(OR(N14="",N14&lt;=0),0,IF((YEAR(D14)+19)&lt;YEAR(E14),0,IF((YEAR(D14)+19)&gt;=YEAR(E14)+N14,0,IF((YEAR(D14)+19)=YEAR(E14),(12-MONTH(E14)+1)/12,1))))))))*TaxRate,0))-IF(19=0,O14,0))</f>
        <v/>
      </c>
      <c r="AM14" s="29">
        <f>IF(A14="","",((K14)*(IF(M14="",L14,IFERROR(IF(INDEX(Variablen!$I:$AT, MATCH(M14, Variablen!$A:$A, 0), MATCH((YEAR(D14)+20), Variablen!$I$3:$AT$3, 0))="",L14,INDEX(Variablen!$I:$AT, MATCH(M14, Variablen!$A:$A, 0), MATCH((YEAR(D14)+20), Variablen!$I$3:$AT$3, 0))),L14)))*(IF((YEAR(D14)+20)&lt;YEAR(E14),0,IF((YEAR(D14)+20)&gt;YEAR(E14),1,(12-MONTH(E14)+1)/12))) + (Q14)*(IF((YEAR(D14)+20)&lt;YEAR(E14),0,IF((YEAR(D14)+20)&gt;YEAR(E14),1,(12-MONTH(E14)+1)/12))))-((P14)*(IF((YEAR(D14)+20)&lt;YEAR(E14),0,IF((YEAR(D14)+20)&gt;YEAR(E14),1,(12-MONTH(E14)+1)/12))) + (R14)*(IF((YEAR(D14)+20)&lt;YEAR(E14),0,IF((YEAR(D14)+20)&gt;YEAR(E14),1,(12-MONTH(E14)+1)/12))))-(IF((((K14)*(IF(M14="",L14,IFERROR(IF(INDEX(Variablen!$I:$AT, MATCH(M14, Variablen!$A:$A, 0), MATCH((YEAR(D14)+20), Variablen!$I$3:$AT$3, 0))="",L14,INDEX(Variablen!$I:$AT, MATCH(M14, Variablen!$A:$A, 0), MATCH((YEAR(D14)+20), Variablen!$I$3:$AT$3, 0))),L14)))*(IF((YEAR(D14)+20)&lt;YEAR(E14),0,IF((YEAR(D14)+20)&gt;YEAR(E14),1,(12-MONTH(E14)+1)/12))) + (Q14)*(IF((YEAR(D14)+20)&lt;YEAR(E14),0,IF((YEAR(D14)+20)&gt;YEAR(E14),1,(12-MONTH(E14)+1)/12))))-((P14)*(IF((YEAR(D14)+20)&lt;YEAR(E14),0,IF((YEAR(D14)+20)&gt;YEAR(E14),1,(12-MONTH(E14)+1)/12))) + (R14)*(IF((YEAR(D14)+20)&lt;YEAR(E14),0,IF((YEAR(D14)+20)&gt;YEAR(E14),1,(12-MONTH(E14)+1)/12))))-(IF(OR(N14="",N14&lt;=0),0,(O14/N14)*(IF(OR(N14="",N14&lt;=0),0,IF((YEAR(D14)+20)&lt;YEAR(E14),0,IF((YEAR(D14)+20)&gt;=YEAR(E14)+N14,0,IF((YEAR(D14)+20)=YEAR(E14),(12-MONTH(E14)+1)/12,1))))))))&gt;0,(((K14)*(IF(M14="",L14,IFERROR(IF(INDEX(Variablen!$I:$AT, MATCH(M14, Variablen!$A:$A, 0), MATCH((YEAR(D14)+20), Variablen!$I$3:$AT$3, 0))="",L14,INDEX(Variablen!$I:$AT, MATCH(M14, Variablen!$A:$A, 0), MATCH((YEAR(D14)+20), Variablen!$I$3:$AT$3, 0))),L14)))*(IF((YEAR(D14)+20)&lt;YEAR(E14),0,IF((YEAR(D14)+20)&gt;YEAR(E14),1,(12-MONTH(E14)+1)/12))) + (Q14)*(IF((YEAR(D14)+20)&lt;YEAR(E14),0,IF((YEAR(D14)+20)&gt;YEAR(E14),1,(12-MONTH(E14)+1)/12))))-((P14)*(IF((YEAR(D14)+20)&lt;YEAR(E14),0,IF((YEAR(D14)+20)&gt;YEAR(E14),1,(12-MONTH(E14)+1)/12))) + (R14)*(IF((YEAR(D14)+20)&lt;YEAR(E14),0,IF((YEAR(D14)+20)&gt;YEAR(E14),1,(12-MONTH(E14)+1)/12))))-(IF(OR(N14="",N14&lt;=0),0,(O14/N14)*(IF(OR(N14="",N14&lt;=0),0,IF((YEAR(D14)+20)&lt;YEAR(E14),0,IF((YEAR(D14)+20)&gt;=YEAR(E14)+N14,0,IF((YEAR(D14)+20)=YEAR(E14),(12-MONTH(E14)+1)/12,1))))))))*TaxRate,0))-IF(20=0,O14,0))</f>
        <v/>
      </c>
      <c r="AN14" s="29">
        <f>IF(A14="","",S14)</f>
        <v/>
      </c>
      <c r="AO14" s="29">
        <f>IF(A14="","",AN14+T14)</f>
        <v/>
      </c>
      <c r="AP14" s="29">
        <f>IF(A14="","",AO14+U14)</f>
        <v/>
      </c>
      <c r="AQ14" s="29">
        <f>IF(A14="","",AP14+V14)</f>
        <v/>
      </c>
      <c r="AR14" s="29">
        <f>IF(A14="","",AQ14+W14)</f>
        <v/>
      </c>
      <c r="AS14" s="29">
        <f>IF(A14="","",AR14+X14)</f>
        <v/>
      </c>
      <c r="AT14" s="29">
        <f>IF(A14="","",AS14+Y14)</f>
        <v/>
      </c>
      <c r="AU14" s="29">
        <f>IF(A14="","",AT14+Z14)</f>
        <v/>
      </c>
      <c r="AV14" s="29">
        <f>IF(A14="","",AU14+AA14)</f>
        <v/>
      </c>
      <c r="AW14" s="29">
        <f>IF(A14="","",AV14+AB14)</f>
        <v/>
      </c>
      <c r="AX14" s="29">
        <f>IF(A14="","",AW14+AC14)</f>
        <v/>
      </c>
      <c r="AY14" s="29">
        <f>IF(A14="","",AX14+AD14)</f>
        <v/>
      </c>
      <c r="AZ14" s="29">
        <f>IF(A14="","",AY14+AE14)</f>
        <v/>
      </c>
      <c r="BA14" s="29">
        <f>IF(A14="","",AZ14+AF14)</f>
        <v/>
      </c>
      <c r="BB14" s="29">
        <f>IF(A14="","",BA14+AG14)</f>
        <v/>
      </c>
      <c r="BC14" s="29">
        <f>IF(A14="","",BB14+AH14)</f>
        <v/>
      </c>
      <c r="BD14" s="29">
        <f>IF(A14="","",BC14+AI14)</f>
        <v/>
      </c>
      <c r="BE14" s="29">
        <f>IF(A14="","",BD14+AJ14)</f>
        <v/>
      </c>
      <c r="BF14" s="29">
        <f>IF(A14="","",BE14+AK14)</f>
        <v/>
      </c>
      <c r="BG14" s="29">
        <f>IF(A14="","",BF14+AL14)</f>
        <v/>
      </c>
      <c r="BH14" s="29">
        <f>IF(A14="","",BG14+AM14)</f>
        <v/>
      </c>
      <c r="BI14" s="36">
        <f>IF(A14="","",(K14)*(IF((YEAR(D14)+0)&lt;YEAR(E14),0,IF((YEAR(D14)+0)&gt;YEAR(E14),1,(12-MONTH(E14)+1)/12)))*(1/(1+DiscountRate)^0))</f>
        <v/>
      </c>
      <c r="BJ14" s="36">
        <f>IF(A14="","",(K14)*(IF((YEAR(D14)+1)&lt;YEAR(E14),0,IF((YEAR(D14)+1)&gt;YEAR(E14),1,(12-MONTH(E14)+1)/12)))*(1/(1+DiscountRate)^1))</f>
        <v/>
      </c>
      <c r="BK14" s="36">
        <f>IF(A14="","",(K14)*(IF((YEAR(D14)+2)&lt;YEAR(E14),0,IF((YEAR(D14)+2)&gt;YEAR(E14),1,(12-MONTH(E14)+1)/12)))*(1/(1+DiscountRate)^2))</f>
        <v/>
      </c>
      <c r="BL14" s="36">
        <f>IF(A14="","",(K14)*(IF((YEAR(D14)+3)&lt;YEAR(E14),0,IF((YEAR(D14)+3)&gt;YEAR(E14),1,(12-MONTH(E14)+1)/12)))*(1/(1+DiscountRate)^3))</f>
        <v/>
      </c>
      <c r="BM14" s="36">
        <f>IF(A14="","",(K14)*(IF((YEAR(D14)+4)&lt;YEAR(E14),0,IF((YEAR(D14)+4)&gt;YEAR(E14),1,(12-MONTH(E14)+1)/12)))*(1/(1+DiscountRate)^4))</f>
        <v/>
      </c>
      <c r="BN14" s="36">
        <f>IF(A14="","",(K14)*(IF((YEAR(D14)+5)&lt;YEAR(E14),0,IF((YEAR(D14)+5)&gt;YEAR(E14),1,(12-MONTH(E14)+1)/12)))*(1/(1+DiscountRate)^5))</f>
        <v/>
      </c>
      <c r="BO14" s="36">
        <f>IF(A14="","",(K14)*(IF((YEAR(D14)+6)&lt;YEAR(E14),0,IF((YEAR(D14)+6)&gt;YEAR(E14),1,(12-MONTH(E14)+1)/12)))*(1/(1+DiscountRate)^6))</f>
        <v/>
      </c>
      <c r="BP14" s="36">
        <f>IF(A14="","",(K14)*(IF((YEAR(D14)+7)&lt;YEAR(E14),0,IF((YEAR(D14)+7)&gt;YEAR(E14),1,(12-MONTH(E14)+1)/12)))*(1/(1+DiscountRate)^7))</f>
        <v/>
      </c>
      <c r="BQ14" s="36">
        <f>IF(A14="","",(K14)*(IF((YEAR(D14)+8)&lt;YEAR(E14),0,IF((YEAR(D14)+8)&gt;YEAR(E14),1,(12-MONTH(E14)+1)/12)))*(1/(1+DiscountRate)^8))</f>
        <v/>
      </c>
      <c r="BR14" s="36">
        <f>IF(A14="","",(K14)*(IF((YEAR(D14)+9)&lt;YEAR(E14),0,IF((YEAR(D14)+9)&gt;YEAR(E14),1,(12-MONTH(E14)+1)/12)))*(1/(1+DiscountRate)^9))</f>
        <v/>
      </c>
      <c r="BS14" s="36">
        <f>IF(A14="","",(K14)*(IF((YEAR(D14)+10)&lt;YEAR(E14),0,IF((YEAR(D14)+10)&gt;YEAR(E14),1,(12-MONTH(E14)+1)/12)))*(1/(1+DiscountRate)^10))</f>
        <v/>
      </c>
      <c r="BT14" s="36">
        <f>IF(A14="","",(K14)*(IF((YEAR(D14)+11)&lt;YEAR(E14),0,IF((YEAR(D14)+11)&gt;YEAR(E14),1,(12-MONTH(E14)+1)/12)))*(1/(1+DiscountRate)^11))</f>
        <v/>
      </c>
      <c r="BU14" s="36">
        <f>IF(A14="","",(K14)*(IF((YEAR(D14)+12)&lt;YEAR(E14),0,IF((YEAR(D14)+12)&gt;YEAR(E14),1,(12-MONTH(E14)+1)/12)))*(1/(1+DiscountRate)^12))</f>
        <v/>
      </c>
      <c r="BV14" s="36">
        <f>IF(A14="","",(K14)*(IF((YEAR(D14)+13)&lt;YEAR(E14),0,IF((YEAR(D14)+13)&gt;YEAR(E14),1,(12-MONTH(E14)+1)/12)))*(1/(1+DiscountRate)^13))</f>
        <v/>
      </c>
      <c r="BW14" s="36">
        <f>IF(A14="","",(K14)*(IF((YEAR(D14)+14)&lt;YEAR(E14),0,IF((YEAR(D14)+14)&gt;YEAR(E14),1,(12-MONTH(E14)+1)/12)))*(1/(1+DiscountRate)^14))</f>
        <v/>
      </c>
      <c r="BX14" s="36">
        <f>IF(A14="","",(K14)*(IF((YEAR(D14)+15)&lt;YEAR(E14),0,IF((YEAR(D14)+15)&gt;YEAR(E14),1,(12-MONTH(E14)+1)/12)))*(1/(1+DiscountRate)^15))</f>
        <v/>
      </c>
      <c r="BY14" s="36">
        <f>IF(A14="","",(K14)*(IF((YEAR(D14)+16)&lt;YEAR(E14),0,IF((YEAR(D14)+16)&gt;YEAR(E14),1,(12-MONTH(E14)+1)/12)))*(1/(1+DiscountRate)^16))</f>
        <v/>
      </c>
      <c r="BZ14" s="36">
        <f>IF(A14="","",(K14)*(IF((YEAR(D14)+17)&lt;YEAR(E14),0,IF((YEAR(D14)+17)&gt;YEAR(E14),1,(12-MONTH(E14)+1)/12)))*(1/(1+DiscountRate)^17))</f>
        <v/>
      </c>
      <c r="CA14" s="36">
        <f>IF(A14="","",(K14)*(IF((YEAR(D14)+18)&lt;YEAR(E14),0,IF((YEAR(D14)+18)&gt;YEAR(E14),1,(12-MONTH(E14)+1)/12)))*(1/(1+DiscountRate)^18))</f>
        <v/>
      </c>
      <c r="CB14" s="36">
        <f>IF(A14="","",(K14)*(IF((YEAR(D14)+19)&lt;YEAR(E14),0,IF((YEAR(D14)+19)&gt;YEAR(E14),1,(12-MONTH(E14)+1)/12)))*(1/(1+DiscountRate)^19))</f>
        <v/>
      </c>
      <c r="CC14" s="36">
        <f>IF(A14="","",(K14)*(IF((YEAR(D14)+20)&lt;YEAR(E14),0,IF((YEAR(D14)+20)&gt;YEAR(E14),1,(12-MONTH(E14)+1)/12)))*(1/(1+DiscountRate)^20))</f>
        <v/>
      </c>
      <c r="CD14" s="29">
        <f>IF(A14="","",S14/(1+DiscountRate)^0+T14/(1+DiscountRate)^1+U14/(1+DiscountRate)^2+V14/(1+DiscountRate)^3+W14/(1+DiscountRate)^4+X14/(1+DiscountRate)^5+Y14/(1+DiscountRate)^6+Z14/(1+DiscountRate)^7+AA14/(1+DiscountRate)^8+AB14/(1+DiscountRate)^9+AC14/(1+DiscountRate)^10+AD14/(1+DiscountRate)^11+AE14/(1+DiscountRate)^12+AF14/(1+DiscountRate)^13+AG14/(1+DiscountRate)^14+AH14/(1+DiscountRate)^15+AI14/(1+DiscountRate)^16+AJ14/(1+DiscountRate)^17+AK14/(1+DiscountRate)^18+AL14/(1+DiscountRate)^19+AM14/(1+DiscountRate)^20)</f>
        <v/>
      </c>
      <c r="CE14" s="37">
        <f>IF(A14="","",IFERROR(IRR(OFFSET(S14,0,0,1,MIN(HorizonYears,20)+1)),"n/a"))</f>
        <v/>
      </c>
      <c r="CF14" s="28">
        <f>IF(A14="","",IFERROR(MATCH(TRUE,OFFSET(AN14,0,0,1,MIN(HorizonYears,20)+1)&gt;=0,0)-1,"n/a"))</f>
        <v/>
      </c>
      <c r="CG14" s="36">
        <f>IF(A14="","",SUM(OFFSET(BI14,0,0,1,MIN(HorizonYears,20)+1)))</f>
        <v/>
      </c>
      <c r="CH14" s="36">
        <f>IF(A14="","",IFERROR(-CD14/CG14,"n/a"))</f>
        <v/>
      </c>
    </row>
    <row r="15">
      <c r="A15" s="6">
        <f>Actions!A13</f>
        <v/>
      </c>
      <c r="B15" s="6">
        <f>Actions!B13</f>
        <v/>
      </c>
      <c r="C15" s="6">
        <f>Actions!D13</f>
        <v/>
      </c>
      <c r="D15" s="35">
        <f>Actions!E13</f>
        <v/>
      </c>
      <c r="E15" s="35">
        <f>Actions!F13</f>
        <v/>
      </c>
      <c r="F15" s="6">
        <f>Actions!G13</f>
        <v/>
      </c>
      <c r="G15" s="6">
        <f>Actions!H13</f>
        <v/>
      </c>
      <c r="H15" s="29">
        <f>Actions!I13</f>
        <v/>
      </c>
      <c r="I15" s="6">
        <f>Actions!J13</f>
        <v/>
      </c>
      <c r="J15" s="16">
        <f>Actions!K13</f>
        <v/>
      </c>
      <c r="K15" s="16">
        <f>IF(A15="","",IF(I15="%",H15*J15,J15))</f>
        <v/>
      </c>
      <c r="L15" s="16">
        <f>Actions!L13</f>
        <v/>
      </c>
      <c r="M15" s="6">
        <f>Actions!M13</f>
        <v/>
      </c>
      <c r="N15" s="28">
        <f>Actions!N13</f>
        <v/>
      </c>
      <c r="O15" s="29">
        <f>Actions!T13</f>
        <v/>
      </c>
      <c r="P15" s="29">
        <f>Actions!Y13</f>
        <v/>
      </c>
      <c r="Q15" s="29">
        <f>Actions!Z13</f>
        <v/>
      </c>
      <c r="R15" s="29">
        <f>Actions!AA13</f>
        <v/>
      </c>
      <c r="S15" s="29">
        <f>IF(A15="","",((K15)*(IF(M15="",L15,IFERROR(IF(INDEX(Variablen!$I:$AT, MATCH(M15, Variablen!$A:$A, 0), MATCH((YEAR(D15)+0), Variablen!$I$3:$AT$3, 0))="",L15,INDEX(Variablen!$I:$AT, MATCH(M15, Variablen!$A:$A, 0), MATCH((YEAR(D15)+0), Variablen!$I$3:$AT$3, 0))),L15)))*(IF((YEAR(D15)+0)&lt;YEAR(E15),0,IF((YEAR(D15)+0)&gt;YEAR(E15),1,(12-MONTH(E15)+1)/12))) + (Q15)*(IF((YEAR(D15)+0)&lt;YEAR(E15),0,IF((YEAR(D15)+0)&gt;YEAR(E15),1,(12-MONTH(E15)+1)/12))))-((P15)*(IF((YEAR(D15)+0)&lt;YEAR(E15),0,IF((YEAR(D15)+0)&gt;YEAR(E15),1,(12-MONTH(E15)+1)/12))) + (R15)*(IF((YEAR(D15)+0)&lt;YEAR(E15),0,IF((YEAR(D15)+0)&gt;YEAR(E15),1,(12-MONTH(E15)+1)/12))))-(IF((((K15)*(IF(M15="",L15,IFERROR(IF(INDEX(Variablen!$I:$AT, MATCH(M15, Variablen!$A:$A, 0), MATCH((YEAR(D15)+0), Variablen!$I$3:$AT$3, 0))="",L15,INDEX(Variablen!$I:$AT, MATCH(M15, Variablen!$A:$A, 0), MATCH((YEAR(D15)+0), Variablen!$I$3:$AT$3, 0))),L15)))*(IF((YEAR(D15)+0)&lt;YEAR(E15),0,IF((YEAR(D15)+0)&gt;YEAR(E15),1,(12-MONTH(E15)+1)/12))) + (Q15)*(IF((YEAR(D15)+0)&lt;YEAR(E15),0,IF((YEAR(D15)+0)&gt;YEAR(E15),1,(12-MONTH(E15)+1)/12))))-((P15)*(IF((YEAR(D15)+0)&lt;YEAR(E15),0,IF((YEAR(D15)+0)&gt;YEAR(E15),1,(12-MONTH(E15)+1)/12))) + (R15)*(IF((YEAR(D15)+0)&lt;YEAR(E15),0,IF((YEAR(D15)+0)&gt;YEAR(E15),1,(12-MONTH(E15)+1)/12))))-(IF(OR(N15="",N15&lt;=0),0,(O15/N15)*(IF(OR(N15="",N15&lt;=0),0,IF((YEAR(D15)+0)&lt;YEAR(E15),0,IF((YEAR(D15)+0)&gt;=YEAR(E15)+N15,0,IF((YEAR(D15)+0)=YEAR(E15),(12-MONTH(E15)+1)/12,1))))))))&gt;0,(((K15)*(IF(M15="",L15,IFERROR(IF(INDEX(Variablen!$I:$AT, MATCH(M15, Variablen!$A:$A, 0), MATCH((YEAR(D15)+0), Variablen!$I$3:$AT$3, 0))="",L15,INDEX(Variablen!$I:$AT, MATCH(M15, Variablen!$A:$A, 0), MATCH((YEAR(D15)+0), Variablen!$I$3:$AT$3, 0))),L15)))*(IF((YEAR(D15)+0)&lt;YEAR(E15),0,IF((YEAR(D15)+0)&gt;YEAR(E15),1,(12-MONTH(E15)+1)/12))) + (Q15)*(IF((YEAR(D15)+0)&lt;YEAR(E15),0,IF((YEAR(D15)+0)&gt;YEAR(E15),1,(12-MONTH(E15)+1)/12))))-((P15)*(IF((YEAR(D15)+0)&lt;YEAR(E15),0,IF((YEAR(D15)+0)&gt;YEAR(E15),1,(12-MONTH(E15)+1)/12))) + (R15)*(IF((YEAR(D15)+0)&lt;YEAR(E15),0,IF((YEAR(D15)+0)&gt;YEAR(E15),1,(12-MONTH(E15)+1)/12))))-(IF(OR(N15="",N15&lt;=0),0,(O15/N15)*(IF(OR(N15="",N15&lt;=0),0,IF((YEAR(D15)+0)&lt;YEAR(E15),0,IF((YEAR(D15)+0)&gt;=YEAR(E15)+N15,0,IF((YEAR(D15)+0)=YEAR(E15),(12-MONTH(E15)+1)/12,1))))))))*TaxRate,0))-IF(0=0,O15,0))</f>
        <v/>
      </c>
      <c r="T15" s="29">
        <f>IF(A15="","",((K15)*(IF(M15="",L15,IFERROR(IF(INDEX(Variablen!$I:$AT, MATCH(M15, Variablen!$A:$A, 0), MATCH((YEAR(D15)+1), Variablen!$I$3:$AT$3, 0))="",L15,INDEX(Variablen!$I:$AT, MATCH(M15, Variablen!$A:$A, 0), MATCH((YEAR(D15)+1), Variablen!$I$3:$AT$3, 0))),L15)))*(IF((YEAR(D15)+1)&lt;YEAR(E15),0,IF((YEAR(D15)+1)&gt;YEAR(E15),1,(12-MONTH(E15)+1)/12))) + (Q15)*(IF((YEAR(D15)+1)&lt;YEAR(E15),0,IF((YEAR(D15)+1)&gt;YEAR(E15),1,(12-MONTH(E15)+1)/12))))-((P15)*(IF((YEAR(D15)+1)&lt;YEAR(E15),0,IF((YEAR(D15)+1)&gt;YEAR(E15),1,(12-MONTH(E15)+1)/12))) + (R15)*(IF((YEAR(D15)+1)&lt;YEAR(E15),0,IF((YEAR(D15)+1)&gt;YEAR(E15),1,(12-MONTH(E15)+1)/12))))-(IF((((K15)*(IF(M15="",L15,IFERROR(IF(INDEX(Variablen!$I:$AT, MATCH(M15, Variablen!$A:$A, 0), MATCH((YEAR(D15)+1), Variablen!$I$3:$AT$3, 0))="",L15,INDEX(Variablen!$I:$AT, MATCH(M15, Variablen!$A:$A, 0), MATCH((YEAR(D15)+1), Variablen!$I$3:$AT$3, 0))),L15)))*(IF((YEAR(D15)+1)&lt;YEAR(E15),0,IF((YEAR(D15)+1)&gt;YEAR(E15),1,(12-MONTH(E15)+1)/12))) + (Q15)*(IF((YEAR(D15)+1)&lt;YEAR(E15),0,IF((YEAR(D15)+1)&gt;YEAR(E15),1,(12-MONTH(E15)+1)/12))))-((P15)*(IF((YEAR(D15)+1)&lt;YEAR(E15),0,IF((YEAR(D15)+1)&gt;YEAR(E15),1,(12-MONTH(E15)+1)/12))) + (R15)*(IF((YEAR(D15)+1)&lt;YEAR(E15),0,IF((YEAR(D15)+1)&gt;YEAR(E15),1,(12-MONTH(E15)+1)/12))))-(IF(OR(N15="",N15&lt;=0),0,(O15/N15)*(IF(OR(N15="",N15&lt;=0),0,IF((YEAR(D15)+1)&lt;YEAR(E15),0,IF((YEAR(D15)+1)&gt;=YEAR(E15)+N15,0,IF((YEAR(D15)+1)=YEAR(E15),(12-MONTH(E15)+1)/12,1))))))))&gt;0,(((K15)*(IF(M15="",L15,IFERROR(IF(INDEX(Variablen!$I:$AT, MATCH(M15, Variablen!$A:$A, 0), MATCH((YEAR(D15)+1), Variablen!$I$3:$AT$3, 0))="",L15,INDEX(Variablen!$I:$AT, MATCH(M15, Variablen!$A:$A, 0), MATCH((YEAR(D15)+1), Variablen!$I$3:$AT$3, 0))),L15)))*(IF((YEAR(D15)+1)&lt;YEAR(E15),0,IF((YEAR(D15)+1)&gt;YEAR(E15),1,(12-MONTH(E15)+1)/12))) + (Q15)*(IF((YEAR(D15)+1)&lt;YEAR(E15),0,IF((YEAR(D15)+1)&gt;YEAR(E15),1,(12-MONTH(E15)+1)/12))))-((P15)*(IF((YEAR(D15)+1)&lt;YEAR(E15),0,IF((YEAR(D15)+1)&gt;YEAR(E15),1,(12-MONTH(E15)+1)/12))) + (R15)*(IF((YEAR(D15)+1)&lt;YEAR(E15),0,IF((YEAR(D15)+1)&gt;YEAR(E15),1,(12-MONTH(E15)+1)/12))))-(IF(OR(N15="",N15&lt;=0),0,(O15/N15)*(IF(OR(N15="",N15&lt;=0),0,IF((YEAR(D15)+1)&lt;YEAR(E15),0,IF((YEAR(D15)+1)&gt;=YEAR(E15)+N15,0,IF((YEAR(D15)+1)=YEAR(E15),(12-MONTH(E15)+1)/12,1))))))))*TaxRate,0))-IF(1=0,O15,0))</f>
        <v/>
      </c>
      <c r="U15" s="29">
        <f>IF(A15="","",((K15)*(IF(M15="",L15,IFERROR(IF(INDEX(Variablen!$I:$AT, MATCH(M15, Variablen!$A:$A, 0), MATCH((YEAR(D15)+2), Variablen!$I$3:$AT$3, 0))="",L15,INDEX(Variablen!$I:$AT, MATCH(M15, Variablen!$A:$A, 0), MATCH((YEAR(D15)+2), Variablen!$I$3:$AT$3, 0))),L15)))*(IF((YEAR(D15)+2)&lt;YEAR(E15),0,IF((YEAR(D15)+2)&gt;YEAR(E15),1,(12-MONTH(E15)+1)/12))) + (Q15)*(IF((YEAR(D15)+2)&lt;YEAR(E15),0,IF((YEAR(D15)+2)&gt;YEAR(E15),1,(12-MONTH(E15)+1)/12))))-((P15)*(IF((YEAR(D15)+2)&lt;YEAR(E15),0,IF((YEAR(D15)+2)&gt;YEAR(E15),1,(12-MONTH(E15)+1)/12))) + (R15)*(IF((YEAR(D15)+2)&lt;YEAR(E15),0,IF((YEAR(D15)+2)&gt;YEAR(E15),1,(12-MONTH(E15)+1)/12))))-(IF((((K15)*(IF(M15="",L15,IFERROR(IF(INDEX(Variablen!$I:$AT, MATCH(M15, Variablen!$A:$A, 0), MATCH((YEAR(D15)+2), Variablen!$I$3:$AT$3, 0))="",L15,INDEX(Variablen!$I:$AT, MATCH(M15, Variablen!$A:$A, 0), MATCH((YEAR(D15)+2), Variablen!$I$3:$AT$3, 0))),L15)))*(IF((YEAR(D15)+2)&lt;YEAR(E15),0,IF((YEAR(D15)+2)&gt;YEAR(E15),1,(12-MONTH(E15)+1)/12))) + (Q15)*(IF((YEAR(D15)+2)&lt;YEAR(E15),0,IF((YEAR(D15)+2)&gt;YEAR(E15),1,(12-MONTH(E15)+1)/12))))-((P15)*(IF((YEAR(D15)+2)&lt;YEAR(E15),0,IF((YEAR(D15)+2)&gt;YEAR(E15),1,(12-MONTH(E15)+1)/12))) + (R15)*(IF((YEAR(D15)+2)&lt;YEAR(E15),0,IF((YEAR(D15)+2)&gt;YEAR(E15),1,(12-MONTH(E15)+1)/12))))-(IF(OR(N15="",N15&lt;=0),0,(O15/N15)*(IF(OR(N15="",N15&lt;=0),0,IF((YEAR(D15)+2)&lt;YEAR(E15),0,IF((YEAR(D15)+2)&gt;=YEAR(E15)+N15,0,IF((YEAR(D15)+2)=YEAR(E15),(12-MONTH(E15)+1)/12,1))))))))&gt;0,(((K15)*(IF(M15="",L15,IFERROR(IF(INDEX(Variablen!$I:$AT, MATCH(M15, Variablen!$A:$A, 0), MATCH((YEAR(D15)+2), Variablen!$I$3:$AT$3, 0))="",L15,INDEX(Variablen!$I:$AT, MATCH(M15, Variablen!$A:$A, 0), MATCH((YEAR(D15)+2), Variablen!$I$3:$AT$3, 0))),L15)))*(IF((YEAR(D15)+2)&lt;YEAR(E15),0,IF((YEAR(D15)+2)&gt;YEAR(E15),1,(12-MONTH(E15)+1)/12))) + (Q15)*(IF((YEAR(D15)+2)&lt;YEAR(E15),0,IF((YEAR(D15)+2)&gt;YEAR(E15),1,(12-MONTH(E15)+1)/12))))-((P15)*(IF((YEAR(D15)+2)&lt;YEAR(E15),0,IF((YEAR(D15)+2)&gt;YEAR(E15),1,(12-MONTH(E15)+1)/12))) + (R15)*(IF((YEAR(D15)+2)&lt;YEAR(E15),0,IF((YEAR(D15)+2)&gt;YEAR(E15),1,(12-MONTH(E15)+1)/12))))-(IF(OR(N15="",N15&lt;=0),0,(O15/N15)*(IF(OR(N15="",N15&lt;=0),0,IF((YEAR(D15)+2)&lt;YEAR(E15),0,IF((YEAR(D15)+2)&gt;=YEAR(E15)+N15,0,IF((YEAR(D15)+2)=YEAR(E15),(12-MONTH(E15)+1)/12,1))))))))*TaxRate,0))-IF(2=0,O15,0))</f>
        <v/>
      </c>
      <c r="V15" s="29">
        <f>IF(A15="","",((K15)*(IF(M15="",L15,IFERROR(IF(INDEX(Variablen!$I:$AT, MATCH(M15, Variablen!$A:$A, 0), MATCH((YEAR(D15)+3), Variablen!$I$3:$AT$3, 0))="",L15,INDEX(Variablen!$I:$AT, MATCH(M15, Variablen!$A:$A, 0), MATCH((YEAR(D15)+3), Variablen!$I$3:$AT$3, 0))),L15)))*(IF((YEAR(D15)+3)&lt;YEAR(E15),0,IF((YEAR(D15)+3)&gt;YEAR(E15),1,(12-MONTH(E15)+1)/12))) + (Q15)*(IF((YEAR(D15)+3)&lt;YEAR(E15),0,IF((YEAR(D15)+3)&gt;YEAR(E15),1,(12-MONTH(E15)+1)/12))))-((P15)*(IF((YEAR(D15)+3)&lt;YEAR(E15),0,IF((YEAR(D15)+3)&gt;YEAR(E15),1,(12-MONTH(E15)+1)/12))) + (R15)*(IF((YEAR(D15)+3)&lt;YEAR(E15),0,IF((YEAR(D15)+3)&gt;YEAR(E15),1,(12-MONTH(E15)+1)/12))))-(IF((((K15)*(IF(M15="",L15,IFERROR(IF(INDEX(Variablen!$I:$AT, MATCH(M15, Variablen!$A:$A, 0), MATCH((YEAR(D15)+3), Variablen!$I$3:$AT$3, 0))="",L15,INDEX(Variablen!$I:$AT, MATCH(M15, Variablen!$A:$A, 0), MATCH((YEAR(D15)+3), Variablen!$I$3:$AT$3, 0))),L15)))*(IF((YEAR(D15)+3)&lt;YEAR(E15),0,IF((YEAR(D15)+3)&gt;YEAR(E15),1,(12-MONTH(E15)+1)/12))) + (Q15)*(IF((YEAR(D15)+3)&lt;YEAR(E15),0,IF((YEAR(D15)+3)&gt;YEAR(E15),1,(12-MONTH(E15)+1)/12))))-((P15)*(IF((YEAR(D15)+3)&lt;YEAR(E15),0,IF((YEAR(D15)+3)&gt;YEAR(E15),1,(12-MONTH(E15)+1)/12))) + (R15)*(IF((YEAR(D15)+3)&lt;YEAR(E15),0,IF((YEAR(D15)+3)&gt;YEAR(E15),1,(12-MONTH(E15)+1)/12))))-(IF(OR(N15="",N15&lt;=0),0,(O15/N15)*(IF(OR(N15="",N15&lt;=0),0,IF((YEAR(D15)+3)&lt;YEAR(E15),0,IF((YEAR(D15)+3)&gt;=YEAR(E15)+N15,0,IF((YEAR(D15)+3)=YEAR(E15),(12-MONTH(E15)+1)/12,1))))))))&gt;0,(((K15)*(IF(M15="",L15,IFERROR(IF(INDEX(Variablen!$I:$AT, MATCH(M15, Variablen!$A:$A, 0), MATCH((YEAR(D15)+3), Variablen!$I$3:$AT$3, 0))="",L15,INDEX(Variablen!$I:$AT, MATCH(M15, Variablen!$A:$A, 0), MATCH((YEAR(D15)+3), Variablen!$I$3:$AT$3, 0))),L15)))*(IF((YEAR(D15)+3)&lt;YEAR(E15),0,IF((YEAR(D15)+3)&gt;YEAR(E15),1,(12-MONTH(E15)+1)/12))) + (Q15)*(IF((YEAR(D15)+3)&lt;YEAR(E15),0,IF((YEAR(D15)+3)&gt;YEAR(E15),1,(12-MONTH(E15)+1)/12))))-((P15)*(IF((YEAR(D15)+3)&lt;YEAR(E15),0,IF((YEAR(D15)+3)&gt;YEAR(E15),1,(12-MONTH(E15)+1)/12))) + (R15)*(IF((YEAR(D15)+3)&lt;YEAR(E15),0,IF((YEAR(D15)+3)&gt;YEAR(E15),1,(12-MONTH(E15)+1)/12))))-(IF(OR(N15="",N15&lt;=0),0,(O15/N15)*(IF(OR(N15="",N15&lt;=0),0,IF((YEAR(D15)+3)&lt;YEAR(E15),0,IF((YEAR(D15)+3)&gt;=YEAR(E15)+N15,0,IF((YEAR(D15)+3)=YEAR(E15),(12-MONTH(E15)+1)/12,1))))))))*TaxRate,0))-IF(3=0,O15,0))</f>
        <v/>
      </c>
      <c r="W15" s="29">
        <f>IF(A15="","",((K15)*(IF(M15="",L15,IFERROR(IF(INDEX(Variablen!$I:$AT, MATCH(M15, Variablen!$A:$A, 0), MATCH((YEAR(D15)+4), Variablen!$I$3:$AT$3, 0))="",L15,INDEX(Variablen!$I:$AT, MATCH(M15, Variablen!$A:$A, 0), MATCH((YEAR(D15)+4), Variablen!$I$3:$AT$3, 0))),L15)))*(IF((YEAR(D15)+4)&lt;YEAR(E15),0,IF((YEAR(D15)+4)&gt;YEAR(E15),1,(12-MONTH(E15)+1)/12))) + (Q15)*(IF((YEAR(D15)+4)&lt;YEAR(E15),0,IF((YEAR(D15)+4)&gt;YEAR(E15),1,(12-MONTH(E15)+1)/12))))-((P15)*(IF((YEAR(D15)+4)&lt;YEAR(E15),0,IF((YEAR(D15)+4)&gt;YEAR(E15),1,(12-MONTH(E15)+1)/12))) + (R15)*(IF((YEAR(D15)+4)&lt;YEAR(E15),0,IF((YEAR(D15)+4)&gt;YEAR(E15),1,(12-MONTH(E15)+1)/12))))-(IF((((K15)*(IF(M15="",L15,IFERROR(IF(INDEX(Variablen!$I:$AT, MATCH(M15, Variablen!$A:$A, 0), MATCH((YEAR(D15)+4), Variablen!$I$3:$AT$3, 0))="",L15,INDEX(Variablen!$I:$AT, MATCH(M15, Variablen!$A:$A, 0), MATCH((YEAR(D15)+4), Variablen!$I$3:$AT$3, 0))),L15)))*(IF((YEAR(D15)+4)&lt;YEAR(E15),0,IF((YEAR(D15)+4)&gt;YEAR(E15),1,(12-MONTH(E15)+1)/12))) + (Q15)*(IF((YEAR(D15)+4)&lt;YEAR(E15),0,IF((YEAR(D15)+4)&gt;YEAR(E15),1,(12-MONTH(E15)+1)/12))))-((P15)*(IF((YEAR(D15)+4)&lt;YEAR(E15),0,IF((YEAR(D15)+4)&gt;YEAR(E15),1,(12-MONTH(E15)+1)/12))) + (R15)*(IF((YEAR(D15)+4)&lt;YEAR(E15),0,IF((YEAR(D15)+4)&gt;YEAR(E15),1,(12-MONTH(E15)+1)/12))))-(IF(OR(N15="",N15&lt;=0),0,(O15/N15)*(IF(OR(N15="",N15&lt;=0),0,IF((YEAR(D15)+4)&lt;YEAR(E15),0,IF((YEAR(D15)+4)&gt;=YEAR(E15)+N15,0,IF((YEAR(D15)+4)=YEAR(E15),(12-MONTH(E15)+1)/12,1))))))))&gt;0,(((K15)*(IF(M15="",L15,IFERROR(IF(INDEX(Variablen!$I:$AT, MATCH(M15, Variablen!$A:$A, 0), MATCH((YEAR(D15)+4), Variablen!$I$3:$AT$3, 0))="",L15,INDEX(Variablen!$I:$AT, MATCH(M15, Variablen!$A:$A, 0), MATCH((YEAR(D15)+4), Variablen!$I$3:$AT$3, 0))),L15)))*(IF((YEAR(D15)+4)&lt;YEAR(E15),0,IF((YEAR(D15)+4)&gt;YEAR(E15),1,(12-MONTH(E15)+1)/12))) + (Q15)*(IF((YEAR(D15)+4)&lt;YEAR(E15),0,IF((YEAR(D15)+4)&gt;YEAR(E15),1,(12-MONTH(E15)+1)/12))))-((P15)*(IF((YEAR(D15)+4)&lt;YEAR(E15),0,IF((YEAR(D15)+4)&gt;YEAR(E15),1,(12-MONTH(E15)+1)/12))) + (R15)*(IF((YEAR(D15)+4)&lt;YEAR(E15),0,IF((YEAR(D15)+4)&gt;YEAR(E15),1,(12-MONTH(E15)+1)/12))))-(IF(OR(N15="",N15&lt;=0),0,(O15/N15)*(IF(OR(N15="",N15&lt;=0),0,IF((YEAR(D15)+4)&lt;YEAR(E15),0,IF((YEAR(D15)+4)&gt;=YEAR(E15)+N15,0,IF((YEAR(D15)+4)=YEAR(E15),(12-MONTH(E15)+1)/12,1))))))))*TaxRate,0))-IF(4=0,O15,0))</f>
        <v/>
      </c>
      <c r="X15" s="29">
        <f>IF(A15="","",((K15)*(IF(M15="",L15,IFERROR(IF(INDEX(Variablen!$I:$AT, MATCH(M15, Variablen!$A:$A, 0), MATCH((YEAR(D15)+5), Variablen!$I$3:$AT$3, 0))="",L15,INDEX(Variablen!$I:$AT, MATCH(M15, Variablen!$A:$A, 0), MATCH((YEAR(D15)+5), Variablen!$I$3:$AT$3, 0))),L15)))*(IF((YEAR(D15)+5)&lt;YEAR(E15),0,IF((YEAR(D15)+5)&gt;YEAR(E15),1,(12-MONTH(E15)+1)/12))) + (Q15)*(IF((YEAR(D15)+5)&lt;YEAR(E15),0,IF((YEAR(D15)+5)&gt;YEAR(E15),1,(12-MONTH(E15)+1)/12))))-((P15)*(IF((YEAR(D15)+5)&lt;YEAR(E15),0,IF((YEAR(D15)+5)&gt;YEAR(E15),1,(12-MONTH(E15)+1)/12))) + (R15)*(IF((YEAR(D15)+5)&lt;YEAR(E15),0,IF((YEAR(D15)+5)&gt;YEAR(E15),1,(12-MONTH(E15)+1)/12))))-(IF((((K15)*(IF(M15="",L15,IFERROR(IF(INDEX(Variablen!$I:$AT, MATCH(M15, Variablen!$A:$A, 0), MATCH((YEAR(D15)+5), Variablen!$I$3:$AT$3, 0))="",L15,INDEX(Variablen!$I:$AT, MATCH(M15, Variablen!$A:$A, 0), MATCH((YEAR(D15)+5), Variablen!$I$3:$AT$3, 0))),L15)))*(IF((YEAR(D15)+5)&lt;YEAR(E15),0,IF((YEAR(D15)+5)&gt;YEAR(E15),1,(12-MONTH(E15)+1)/12))) + (Q15)*(IF((YEAR(D15)+5)&lt;YEAR(E15),0,IF((YEAR(D15)+5)&gt;YEAR(E15),1,(12-MONTH(E15)+1)/12))))-((P15)*(IF((YEAR(D15)+5)&lt;YEAR(E15),0,IF((YEAR(D15)+5)&gt;YEAR(E15),1,(12-MONTH(E15)+1)/12))) + (R15)*(IF((YEAR(D15)+5)&lt;YEAR(E15),0,IF((YEAR(D15)+5)&gt;YEAR(E15),1,(12-MONTH(E15)+1)/12))))-(IF(OR(N15="",N15&lt;=0),0,(O15/N15)*(IF(OR(N15="",N15&lt;=0),0,IF((YEAR(D15)+5)&lt;YEAR(E15),0,IF((YEAR(D15)+5)&gt;=YEAR(E15)+N15,0,IF((YEAR(D15)+5)=YEAR(E15),(12-MONTH(E15)+1)/12,1))))))))&gt;0,(((K15)*(IF(M15="",L15,IFERROR(IF(INDEX(Variablen!$I:$AT, MATCH(M15, Variablen!$A:$A, 0), MATCH((YEAR(D15)+5), Variablen!$I$3:$AT$3, 0))="",L15,INDEX(Variablen!$I:$AT, MATCH(M15, Variablen!$A:$A, 0), MATCH((YEAR(D15)+5), Variablen!$I$3:$AT$3, 0))),L15)))*(IF((YEAR(D15)+5)&lt;YEAR(E15),0,IF((YEAR(D15)+5)&gt;YEAR(E15),1,(12-MONTH(E15)+1)/12))) + (Q15)*(IF((YEAR(D15)+5)&lt;YEAR(E15),0,IF((YEAR(D15)+5)&gt;YEAR(E15),1,(12-MONTH(E15)+1)/12))))-((P15)*(IF((YEAR(D15)+5)&lt;YEAR(E15),0,IF((YEAR(D15)+5)&gt;YEAR(E15),1,(12-MONTH(E15)+1)/12))) + (R15)*(IF((YEAR(D15)+5)&lt;YEAR(E15),0,IF((YEAR(D15)+5)&gt;YEAR(E15),1,(12-MONTH(E15)+1)/12))))-(IF(OR(N15="",N15&lt;=0),0,(O15/N15)*(IF(OR(N15="",N15&lt;=0),0,IF((YEAR(D15)+5)&lt;YEAR(E15),0,IF((YEAR(D15)+5)&gt;=YEAR(E15)+N15,0,IF((YEAR(D15)+5)=YEAR(E15),(12-MONTH(E15)+1)/12,1))))))))*TaxRate,0))-IF(5=0,O15,0))</f>
        <v/>
      </c>
      <c r="Y15" s="29">
        <f>IF(A15="","",((K15)*(IF(M15="",L15,IFERROR(IF(INDEX(Variablen!$I:$AT, MATCH(M15, Variablen!$A:$A, 0), MATCH((YEAR(D15)+6), Variablen!$I$3:$AT$3, 0))="",L15,INDEX(Variablen!$I:$AT, MATCH(M15, Variablen!$A:$A, 0), MATCH((YEAR(D15)+6), Variablen!$I$3:$AT$3, 0))),L15)))*(IF((YEAR(D15)+6)&lt;YEAR(E15),0,IF((YEAR(D15)+6)&gt;YEAR(E15),1,(12-MONTH(E15)+1)/12))) + (Q15)*(IF((YEAR(D15)+6)&lt;YEAR(E15),0,IF((YEAR(D15)+6)&gt;YEAR(E15),1,(12-MONTH(E15)+1)/12))))-((P15)*(IF((YEAR(D15)+6)&lt;YEAR(E15),0,IF((YEAR(D15)+6)&gt;YEAR(E15),1,(12-MONTH(E15)+1)/12))) + (R15)*(IF((YEAR(D15)+6)&lt;YEAR(E15),0,IF((YEAR(D15)+6)&gt;YEAR(E15),1,(12-MONTH(E15)+1)/12))))-(IF((((K15)*(IF(M15="",L15,IFERROR(IF(INDEX(Variablen!$I:$AT, MATCH(M15, Variablen!$A:$A, 0), MATCH((YEAR(D15)+6), Variablen!$I$3:$AT$3, 0))="",L15,INDEX(Variablen!$I:$AT, MATCH(M15, Variablen!$A:$A, 0), MATCH((YEAR(D15)+6), Variablen!$I$3:$AT$3, 0))),L15)))*(IF((YEAR(D15)+6)&lt;YEAR(E15),0,IF((YEAR(D15)+6)&gt;YEAR(E15),1,(12-MONTH(E15)+1)/12))) + (Q15)*(IF((YEAR(D15)+6)&lt;YEAR(E15),0,IF((YEAR(D15)+6)&gt;YEAR(E15),1,(12-MONTH(E15)+1)/12))))-((P15)*(IF((YEAR(D15)+6)&lt;YEAR(E15),0,IF((YEAR(D15)+6)&gt;YEAR(E15),1,(12-MONTH(E15)+1)/12))) + (R15)*(IF((YEAR(D15)+6)&lt;YEAR(E15),0,IF((YEAR(D15)+6)&gt;YEAR(E15),1,(12-MONTH(E15)+1)/12))))-(IF(OR(N15="",N15&lt;=0),0,(O15/N15)*(IF(OR(N15="",N15&lt;=0),0,IF((YEAR(D15)+6)&lt;YEAR(E15),0,IF((YEAR(D15)+6)&gt;=YEAR(E15)+N15,0,IF((YEAR(D15)+6)=YEAR(E15),(12-MONTH(E15)+1)/12,1))))))))&gt;0,(((K15)*(IF(M15="",L15,IFERROR(IF(INDEX(Variablen!$I:$AT, MATCH(M15, Variablen!$A:$A, 0), MATCH((YEAR(D15)+6), Variablen!$I$3:$AT$3, 0))="",L15,INDEX(Variablen!$I:$AT, MATCH(M15, Variablen!$A:$A, 0), MATCH((YEAR(D15)+6), Variablen!$I$3:$AT$3, 0))),L15)))*(IF((YEAR(D15)+6)&lt;YEAR(E15),0,IF((YEAR(D15)+6)&gt;YEAR(E15),1,(12-MONTH(E15)+1)/12))) + (Q15)*(IF((YEAR(D15)+6)&lt;YEAR(E15),0,IF((YEAR(D15)+6)&gt;YEAR(E15),1,(12-MONTH(E15)+1)/12))))-((P15)*(IF((YEAR(D15)+6)&lt;YEAR(E15),0,IF((YEAR(D15)+6)&gt;YEAR(E15),1,(12-MONTH(E15)+1)/12))) + (R15)*(IF((YEAR(D15)+6)&lt;YEAR(E15),0,IF((YEAR(D15)+6)&gt;YEAR(E15),1,(12-MONTH(E15)+1)/12))))-(IF(OR(N15="",N15&lt;=0),0,(O15/N15)*(IF(OR(N15="",N15&lt;=0),0,IF((YEAR(D15)+6)&lt;YEAR(E15),0,IF((YEAR(D15)+6)&gt;=YEAR(E15)+N15,0,IF((YEAR(D15)+6)=YEAR(E15),(12-MONTH(E15)+1)/12,1))))))))*TaxRate,0))-IF(6=0,O15,0))</f>
        <v/>
      </c>
      <c r="Z15" s="29">
        <f>IF(A15="","",((K15)*(IF(M15="",L15,IFERROR(IF(INDEX(Variablen!$I:$AT, MATCH(M15, Variablen!$A:$A, 0), MATCH((YEAR(D15)+7), Variablen!$I$3:$AT$3, 0))="",L15,INDEX(Variablen!$I:$AT, MATCH(M15, Variablen!$A:$A, 0), MATCH((YEAR(D15)+7), Variablen!$I$3:$AT$3, 0))),L15)))*(IF((YEAR(D15)+7)&lt;YEAR(E15),0,IF((YEAR(D15)+7)&gt;YEAR(E15),1,(12-MONTH(E15)+1)/12))) + (Q15)*(IF((YEAR(D15)+7)&lt;YEAR(E15),0,IF((YEAR(D15)+7)&gt;YEAR(E15),1,(12-MONTH(E15)+1)/12))))-((P15)*(IF((YEAR(D15)+7)&lt;YEAR(E15),0,IF((YEAR(D15)+7)&gt;YEAR(E15),1,(12-MONTH(E15)+1)/12))) + (R15)*(IF((YEAR(D15)+7)&lt;YEAR(E15),0,IF((YEAR(D15)+7)&gt;YEAR(E15),1,(12-MONTH(E15)+1)/12))))-(IF((((K15)*(IF(M15="",L15,IFERROR(IF(INDEX(Variablen!$I:$AT, MATCH(M15, Variablen!$A:$A, 0), MATCH((YEAR(D15)+7), Variablen!$I$3:$AT$3, 0))="",L15,INDEX(Variablen!$I:$AT, MATCH(M15, Variablen!$A:$A, 0), MATCH((YEAR(D15)+7), Variablen!$I$3:$AT$3, 0))),L15)))*(IF((YEAR(D15)+7)&lt;YEAR(E15),0,IF((YEAR(D15)+7)&gt;YEAR(E15),1,(12-MONTH(E15)+1)/12))) + (Q15)*(IF((YEAR(D15)+7)&lt;YEAR(E15),0,IF((YEAR(D15)+7)&gt;YEAR(E15),1,(12-MONTH(E15)+1)/12))))-((P15)*(IF((YEAR(D15)+7)&lt;YEAR(E15),0,IF((YEAR(D15)+7)&gt;YEAR(E15),1,(12-MONTH(E15)+1)/12))) + (R15)*(IF((YEAR(D15)+7)&lt;YEAR(E15),0,IF((YEAR(D15)+7)&gt;YEAR(E15),1,(12-MONTH(E15)+1)/12))))-(IF(OR(N15="",N15&lt;=0),0,(O15/N15)*(IF(OR(N15="",N15&lt;=0),0,IF((YEAR(D15)+7)&lt;YEAR(E15),0,IF((YEAR(D15)+7)&gt;=YEAR(E15)+N15,0,IF((YEAR(D15)+7)=YEAR(E15),(12-MONTH(E15)+1)/12,1))))))))&gt;0,(((K15)*(IF(M15="",L15,IFERROR(IF(INDEX(Variablen!$I:$AT, MATCH(M15, Variablen!$A:$A, 0), MATCH((YEAR(D15)+7), Variablen!$I$3:$AT$3, 0))="",L15,INDEX(Variablen!$I:$AT, MATCH(M15, Variablen!$A:$A, 0), MATCH((YEAR(D15)+7), Variablen!$I$3:$AT$3, 0))),L15)))*(IF((YEAR(D15)+7)&lt;YEAR(E15),0,IF((YEAR(D15)+7)&gt;YEAR(E15),1,(12-MONTH(E15)+1)/12))) + (Q15)*(IF((YEAR(D15)+7)&lt;YEAR(E15),0,IF((YEAR(D15)+7)&gt;YEAR(E15),1,(12-MONTH(E15)+1)/12))))-((P15)*(IF((YEAR(D15)+7)&lt;YEAR(E15),0,IF((YEAR(D15)+7)&gt;YEAR(E15),1,(12-MONTH(E15)+1)/12))) + (R15)*(IF((YEAR(D15)+7)&lt;YEAR(E15),0,IF((YEAR(D15)+7)&gt;YEAR(E15),1,(12-MONTH(E15)+1)/12))))-(IF(OR(N15="",N15&lt;=0),0,(O15/N15)*(IF(OR(N15="",N15&lt;=0),0,IF((YEAR(D15)+7)&lt;YEAR(E15),0,IF((YEAR(D15)+7)&gt;=YEAR(E15)+N15,0,IF((YEAR(D15)+7)=YEAR(E15),(12-MONTH(E15)+1)/12,1))))))))*TaxRate,0))-IF(7=0,O15,0))</f>
        <v/>
      </c>
      <c r="AA15" s="29">
        <f>IF(A15="","",((K15)*(IF(M15="",L15,IFERROR(IF(INDEX(Variablen!$I:$AT, MATCH(M15, Variablen!$A:$A, 0), MATCH((YEAR(D15)+8), Variablen!$I$3:$AT$3, 0))="",L15,INDEX(Variablen!$I:$AT, MATCH(M15, Variablen!$A:$A, 0), MATCH((YEAR(D15)+8), Variablen!$I$3:$AT$3, 0))),L15)))*(IF((YEAR(D15)+8)&lt;YEAR(E15),0,IF((YEAR(D15)+8)&gt;YEAR(E15),1,(12-MONTH(E15)+1)/12))) + (Q15)*(IF((YEAR(D15)+8)&lt;YEAR(E15),0,IF((YEAR(D15)+8)&gt;YEAR(E15),1,(12-MONTH(E15)+1)/12))))-((P15)*(IF((YEAR(D15)+8)&lt;YEAR(E15),0,IF((YEAR(D15)+8)&gt;YEAR(E15),1,(12-MONTH(E15)+1)/12))) + (R15)*(IF((YEAR(D15)+8)&lt;YEAR(E15),0,IF((YEAR(D15)+8)&gt;YEAR(E15),1,(12-MONTH(E15)+1)/12))))-(IF((((K15)*(IF(M15="",L15,IFERROR(IF(INDEX(Variablen!$I:$AT, MATCH(M15, Variablen!$A:$A, 0), MATCH((YEAR(D15)+8), Variablen!$I$3:$AT$3, 0))="",L15,INDEX(Variablen!$I:$AT, MATCH(M15, Variablen!$A:$A, 0), MATCH((YEAR(D15)+8), Variablen!$I$3:$AT$3, 0))),L15)))*(IF((YEAR(D15)+8)&lt;YEAR(E15),0,IF((YEAR(D15)+8)&gt;YEAR(E15),1,(12-MONTH(E15)+1)/12))) + (Q15)*(IF((YEAR(D15)+8)&lt;YEAR(E15),0,IF((YEAR(D15)+8)&gt;YEAR(E15),1,(12-MONTH(E15)+1)/12))))-((P15)*(IF((YEAR(D15)+8)&lt;YEAR(E15),0,IF((YEAR(D15)+8)&gt;YEAR(E15),1,(12-MONTH(E15)+1)/12))) + (R15)*(IF((YEAR(D15)+8)&lt;YEAR(E15),0,IF((YEAR(D15)+8)&gt;YEAR(E15),1,(12-MONTH(E15)+1)/12))))-(IF(OR(N15="",N15&lt;=0),0,(O15/N15)*(IF(OR(N15="",N15&lt;=0),0,IF((YEAR(D15)+8)&lt;YEAR(E15),0,IF((YEAR(D15)+8)&gt;=YEAR(E15)+N15,0,IF((YEAR(D15)+8)=YEAR(E15),(12-MONTH(E15)+1)/12,1))))))))&gt;0,(((K15)*(IF(M15="",L15,IFERROR(IF(INDEX(Variablen!$I:$AT, MATCH(M15, Variablen!$A:$A, 0), MATCH((YEAR(D15)+8), Variablen!$I$3:$AT$3, 0))="",L15,INDEX(Variablen!$I:$AT, MATCH(M15, Variablen!$A:$A, 0), MATCH((YEAR(D15)+8), Variablen!$I$3:$AT$3, 0))),L15)))*(IF((YEAR(D15)+8)&lt;YEAR(E15),0,IF((YEAR(D15)+8)&gt;YEAR(E15),1,(12-MONTH(E15)+1)/12))) + (Q15)*(IF((YEAR(D15)+8)&lt;YEAR(E15),0,IF((YEAR(D15)+8)&gt;YEAR(E15),1,(12-MONTH(E15)+1)/12))))-((P15)*(IF((YEAR(D15)+8)&lt;YEAR(E15),0,IF((YEAR(D15)+8)&gt;YEAR(E15),1,(12-MONTH(E15)+1)/12))) + (R15)*(IF((YEAR(D15)+8)&lt;YEAR(E15),0,IF((YEAR(D15)+8)&gt;YEAR(E15),1,(12-MONTH(E15)+1)/12))))-(IF(OR(N15="",N15&lt;=0),0,(O15/N15)*(IF(OR(N15="",N15&lt;=0),0,IF((YEAR(D15)+8)&lt;YEAR(E15),0,IF((YEAR(D15)+8)&gt;=YEAR(E15)+N15,0,IF((YEAR(D15)+8)=YEAR(E15),(12-MONTH(E15)+1)/12,1))))))))*TaxRate,0))-IF(8=0,O15,0))</f>
        <v/>
      </c>
      <c r="AB15" s="29">
        <f>IF(A15="","",((K15)*(IF(M15="",L15,IFERROR(IF(INDEX(Variablen!$I:$AT, MATCH(M15, Variablen!$A:$A, 0), MATCH((YEAR(D15)+9), Variablen!$I$3:$AT$3, 0))="",L15,INDEX(Variablen!$I:$AT, MATCH(M15, Variablen!$A:$A, 0), MATCH((YEAR(D15)+9), Variablen!$I$3:$AT$3, 0))),L15)))*(IF((YEAR(D15)+9)&lt;YEAR(E15),0,IF((YEAR(D15)+9)&gt;YEAR(E15),1,(12-MONTH(E15)+1)/12))) + (Q15)*(IF((YEAR(D15)+9)&lt;YEAR(E15),0,IF((YEAR(D15)+9)&gt;YEAR(E15),1,(12-MONTH(E15)+1)/12))))-((P15)*(IF((YEAR(D15)+9)&lt;YEAR(E15),0,IF((YEAR(D15)+9)&gt;YEAR(E15),1,(12-MONTH(E15)+1)/12))) + (R15)*(IF((YEAR(D15)+9)&lt;YEAR(E15),0,IF((YEAR(D15)+9)&gt;YEAR(E15),1,(12-MONTH(E15)+1)/12))))-(IF((((K15)*(IF(M15="",L15,IFERROR(IF(INDEX(Variablen!$I:$AT, MATCH(M15, Variablen!$A:$A, 0), MATCH((YEAR(D15)+9), Variablen!$I$3:$AT$3, 0))="",L15,INDEX(Variablen!$I:$AT, MATCH(M15, Variablen!$A:$A, 0), MATCH((YEAR(D15)+9), Variablen!$I$3:$AT$3, 0))),L15)))*(IF((YEAR(D15)+9)&lt;YEAR(E15),0,IF((YEAR(D15)+9)&gt;YEAR(E15),1,(12-MONTH(E15)+1)/12))) + (Q15)*(IF((YEAR(D15)+9)&lt;YEAR(E15),0,IF((YEAR(D15)+9)&gt;YEAR(E15),1,(12-MONTH(E15)+1)/12))))-((P15)*(IF((YEAR(D15)+9)&lt;YEAR(E15),0,IF((YEAR(D15)+9)&gt;YEAR(E15),1,(12-MONTH(E15)+1)/12))) + (R15)*(IF((YEAR(D15)+9)&lt;YEAR(E15),0,IF((YEAR(D15)+9)&gt;YEAR(E15),1,(12-MONTH(E15)+1)/12))))-(IF(OR(N15="",N15&lt;=0),0,(O15/N15)*(IF(OR(N15="",N15&lt;=0),0,IF((YEAR(D15)+9)&lt;YEAR(E15),0,IF((YEAR(D15)+9)&gt;=YEAR(E15)+N15,0,IF((YEAR(D15)+9)=YEAR(E15),(12-MONTH(E15)+1)/12,1))))))))&gt;0,(((K15)*(IF(M15="",L15,IFERROR(IF(INDEX(Variablen!$I:$AT, MATCH(M15, Variablen!$A:$A, 0), MATCH((YEAR(D15)+9), Variablen!$I$3:$AT$3, 0))="",L15,INDEX(Variablen!$I:$AT, MATCH(M15, Variablen!$A:$A, 0), MATCH((YEAR(D15)+9), Variablen!$I$3:$AT$3, 0))),L15)))*(IF((YEAR(D15)+9)&lt;YEAR(E15),0,IF((YEAR(D15)+9)&gt;YEAR(E15),1,(12-MONTH(E15)+1)/12))) + (Q15)*(IF((YEAR(D15)+9)&lt;YEAR(E15),0,IF((YEAR(D15)+9)&gt;YEAR(E15),1,(12-MONTH(E15)+1)/12))))-((P15)*(IF((YEAR(D15)+9)&lt;YEAR(E15),0,IF((YEAR(D15)+9)&gt;YEAR(E15),1,(12-MONTH(E15)+1)/12))) + (R15)*(IF((YEAR(D15)+9)&lt;YEAR(E15),0,IF((YEAR(D15)+9)&gt;YEAR(E15),1,(12-MONTH(E15)+1)/12))))-(IF(OR(N15="",N15&lt;=0),0,(O15/N15)*(IF(OR(N15="",N15&lt;=0),0,IF((YEAR(D15)+9)&lt;YEAR(E15),0,IF((YEAR(D15)+9)&gt;=YEAR(E15)+N15,0,IF((YEAR(D15)+9)=YEAR(E15),(12-MONTH(E15)+1)/12,1))))))))*TaxRate,0))-IF(9=0,O15,0))</f>
        <v/>
      </c>
      <c r="AC15" s="29">
        <f>IF(A15="","",((K15)*(IF(M15="",L15,IFERROR(IF(INDEX(Variablen!$I:$AT, MATCH(M15, Variablen!$A:$A, 0), MATCH((YEAR(D15)+10), Variablen!$I$3:$AT$3, 0))="",L15,INDEX(Variablen!$I:$AT, MATCH(M15, Variablen!$A:$A, 0), MATCH((YEAR(D15)+10), Variablen!$I$3:$AT$3, 0))),L15)))*(IF((YEAR(D15)+10)&lt;YEAR(E15),0,IF((YEAR(D15)+10)&gt;YEAR(E15),1,(12-MONTH(E15)+1)/12))) + (Q15)*(IF((YEAR(D15)+10)&lt;YEAR(E15),0,IF((YEAR(D15)+10)&gt;YEAR(E15),1,(12-MONTH(E15)+1)/12))))-((P15)*(IF((YEAR(D15)+10)&lt;YEAR(E15),0,IF((YEAR(D15)+10)&gt;YEAR(E15),1,(12-MONTH(E15)+1)/12))) + (R15)*(IF((YEAR(D15)+10)&lt;YEAR(E15),0,IF((YEAR(D15)+10)&gt;YEAR(E15),1,(12-MONTH(E15)+1)/12))))-(IF((((K15)*(IF(M15="",L15,IFERROR(IF(INDEX(Variablen!$I:$AT, MATCH(M15, Variablen!$A:$A, 0), MATCH((YEAR(D15)+10), Variablen!$I$3:$AT$3, 0))="",L15,INDEX(Variablen!$I:$AT, MATCH(M15, Variablen!$A:$A, 0), MATCH((YEAR(D15)+10), Variablen!$I$3:$AT$3, 0))),L15)))*(IF((YEAR(D15)+10)&lt;YEAR(E15),0,IF((YEAR(D15)+10)&gt;YEAR(E15),1,(12-MONTH(E15)+1)/12))) + (Q15)*(IF((YEAR(D15)+10)&lt;YEAR(E15),0,IF((YEAR(D15)+10)&gt;YEAR(E15),1,(12-MONTH(E15)+1)/12))))-((P15)*(IF((YEAR(D15)+10)&lt;YEAR(E15),0,IF((YEAR(D15)+10)&gt;YEAR(E15),1,(12-MONTH(E15)+1)/12))) + (R15)*(IF((YEAR(D15)+10)&lt;YEAR(E15),0,IF((YEAR(D15)+10)&gt;YEAR(E15),1,(12-MONTH(E15)+1)/12))))-(IF(OR(N15="",N15&lt;=0),0,(O15/N15)*(IF(OR(N15="",N15&lt;=0),0,IF((YEAR(D15)+10)&lt;YEAR(E15),0,IF((YEAR(D15)+10)&gt;=YEAR(E15)+N15,0,IF((YEAR(D15)+10)=YEAR(E15),(12-MONTH(E15)+1)/12,1))))))))&gt;0,(((K15)*(IF(M15="",L15,IFERROR(IF(INDEX(Variablen!$I:$AT, MATCH(M15, Variablen!$A:$A, 0), MATCH((YEAR(D15)+10), Variablen!$I$3:$AT$3, 0))="",L15,INDEX(Variablen!$I:$AT, MATCH(M15, Variablen!$A:$A, 0), MATCH((YEAR(D15)+10), Variablen!$I$3:$AT$3, 0))),L15)))*(IF((YEAR(D15)+10)&lt;YEAR(E15),0,IF((YEAR(D15)+10)&gt;YEAR(E15),1,(12-MONTH(E15)+1)/12))) + (Q15)*(IF((YEAR(D15)+10)&lt;YEAR(E15),0,IF((YEAR(D15)+10)&gt;YEAR(E15),1,(12-MONTH(E15)+1)/12))))-((P15)*(IF((YEAR(D15)+10)&lt;YEAR(E15),0,IF((YEAR(D15)+10)&gt;YEAR(E15),1,(12-MONTH(E15)+1)/12))) + (R15)*(IF((YEAR(D15)+10)&lt;YEAR(E15),0,IF((YEAR(D15)+10)&gt;YEAR(E15),1,(12-MONTH(E15)+1)/12))))-(IF(OR(N15="",N15&lt;=0),0,(O15/N15)*(IF(OR(N15="",N15&lt;=0),0,IF((YEAR(D15)+10)&lt;YEAR(E15),0,IF((YEAR(D15)+10)&gt;=YEAR(E15)+N15,0,IF((YEAR(D15)+10)=YEAR(E15),(12-MONTH(E15)+1)/12,1))))))))*TaxRate,0))-IF(10=0,O15,0))</f>
        <v/>
      </c>
      <c r="AD15" s="29">
        <f>IF(A15="","",((K15)*(IF(M15="",L15,IFERROR(IF(INDEX(Variablen!$I:$AT, MATCH(M15, Variablen!$A:$A, 0), MATCH((YEAR(D15)+11), Variablen!$I$3:$AT$3, 0))="",L15,INDEX(Variablen!$I:$AT, MATCH(M15, Variablen!$A:$A, 0), MATCH((YEAR(D15)+11), Variablen!$I$3:$AT$3, 0))),L15)))*(IF((YEAR(D15)+11)&lt;YEAR(E15),0,IF((YEAR(D15)+11)&gt;YEAR(E15),1,(12-MONTH(E15)+1)/12))) + (Q15)*(IF((YEAR(D15)+11)&lt;YEAR(E15),0,IF((YEAR(D15)+11)&gt;YEAR(E15),1,(12-MONTH(E15)+1)/12))))-((P15)*(IF((YEAR(D15)+11)&lt;YEAR(E15),0,IF((YEAR(D15)+11)&gt;YEAR(E15),1,(12-MONTH(E15)+1)/12))) + (R15)*(IF((YEAR(D15)+11)&lt;YEAR(E15),0,IF((YEAR(D15)+11)&gt;YEAR(E15),1,(12-MONTH(E15)+1)/12))))-(IF((((K15)*(IF(M15="",L15,IFERROR(IF(INDEX(Variablen!$I:$AT, MATCH(M15, Variablen!$A:$A, 0), MATCH((YEAR(D15)+11), Variablen!$I$3:$AT$3, 0))="",L15,INDEX(Variablen!$I:$AT, MATCH(M15, Variablen!$A:$A, 0), MATCH((YEAR(D15)+11), Variablen!$I$3:$AT$3, 0))),L15)))*(IF((YEAR(D15)+11)&lt;YEAR(E15),0,IF((YEAR(D15)+11)&gt;YEAR(E15),1,(12-MONTH(E15)+1)/12))) + (Q15)*(IF((YEAR(D15)+11)&lt;YEAR(E15),0,IF((YEAR(D15)+11)&gt;YEAR(E15),1,(12-MONTH(E15)+1)/12))))-((P15)*(IF((YEAR(D15)+11)&lt;YEAR(E15),0,IF((YEAR(D15)+11)&gt;YEAR(E15),1,(12-MONTH(E15)+1)/12))) + (R15)*(IF((YEAR(D15)+11)&lt;YEAR(E15),0,IF((YEAR(D15)+11)&gt;YEAR(E15),1,(12-MONTH(E15)+1)/12))))-(IF(OR(N15="",N15&lt;=0),0,(O15/N15)*(IF(OR(N15="",N15&lt;=0),0,IF((YEAR(D15)+11)&lt;YEAR(E15),0,IF((YEAR(D15)+11)&gt;=YEAR(E15)+N15,0,IF((YEAR(D15)+11)=YEAR(E15),(12-MONTH(E15)+1)/12,1))))))))&gt;0,(((K15)*(IF(M15="",L15,IFERROR(IF(INDEX(Variablen!$I:$AT, MATCH(M15, Variablen!$A:$A, 0), MATCH((YEAR(D15)+11), Variablen!$I$3:$AT$3, 0))="",L15,INDEX(Variablen!$I:$AT, MATCH(M15, Variablen!$A:$A, 0), MATCH((YEAR(D15)+11), Variablen!$I$3:$AT$3, 0))),L15)))*(IF((YEAR(D15)+11)&lt;YEAR(E15),0,IF((YEAR(D15)+11)&gt;YEAR(E15),1,(12-MONTH(E15)+1)/12))) + (Q15)*(IF((YEAR(D15)+11)&lt;YEAR(E15),0,IF((YEAR(D15)+11)&gt;YEAR(E15),1,(12-MONTH(E15)+1)/12))))-((P15)*(IF((YEAR(D15)+11)&lt;YEAR(E15),0,IF((YEAR(D15)+11)&gt;YEAR(E15),1,(12-MONTH(E15)+1)/12))) + (R15)*(IF((YEAR(D15)+11)&lt;YEAR(E15),0,IF((YEAR(D15)+11)&gt;YEAR(E15),1,(12-MONTH(E15)+1)/12))))-(IF(OR(N15="",N15&lt;=0),0,(O15/N15)*(IF(OR(N15="",N15&lt;=0),0,IF((YEAR(D15)+11)&lt;YEAR(E15),0,IF((YEAR(D15)+11)&gt;=YEAR(E15)+N15,0,IF((YEAR(D15)+11)=YEAR(E15),(12-MONTH(E15)+1)/12,1))))))))*TaxRate,0))-IF(11=0,O15,0))</f>
        <v/>
      </c>
      <c r="AE15" s="29">
        <f>IF(A15="","",((K15)*(IF(M15="",L15,IFERROR(IF(INDEX(Variablen!$I:$AT, MATCH(M15, Variablen!$A:$A, 0), MATCH((YEAR(D15)+12), Variablen!$I$3:$AT$3, 0))="",L15,INDEX(Variablen!$I:$AT, MATCH(M15, Variablen!$A:$A, 0), MATCH((YEAR(D15)+12), Variablen!$I$3:$AT$3, 0))),L15)))*(IF((YEAR(D15)+12)&lt;YEAR(E15),0,IF((YEAR(D15)+12)&gt;YEAR(E15),1,(12-MONTH(E15)+1)/12))) + (Q15)*(IF((YEAR(D15)+12)&lt;YEAR(E15),0,IF((YEAR(D15)+12)&gt;YEAR(E15),1,(12-MONTH(E15)+1)/12))))-((P15)*(IF((YEAR(D15)+12)&lt;YEAR(E15),0,IF((YEAR(D15)+12)&gt;YEAR(E15),1,(12-MONTH(E15)+1)/12))) + (R15)*(IF((YEAR(D15)+12)&lt;YEAR(E15),0,IF((YEAR(D15)+12)&gt;YEAR(E15),1,(12-MONTH(E15)+1)/12))))-(IF((((K15)*(IF(M15="",L15,IFERROR(IF(INDEX(Variablen!$I:$AT, MATCH(M15, Variablen!$A:$A, 0), MATCH((YEAR(D15)+12), Variablen!$I$3:$AT$3, 0))="",L15,INDEX(Variablen!$I:$AT, MATCH(M15, Variablen!$A:$A, 0), MATCH((YEAR(D15)+12), Variablen!$I$3:$AT$3, 0))),L15)))*(IF((YEAR(D15)+12)&lt;YEAR(E15),0,IF((YEAR(D15)+12)&gt;YEAR(E15),1,(12-MONTH(E15)+1)/12))) + (Q15)*(IF((YEAR(D15)+12)&lt;YEAR(E15),0,IF((YEAR(D15)+12)&gt;YEAR(E15),1,(12-MONTH(E15)+1)/12))))-((P15)*(IF((YEAR(D15)+12)&lt;YEAR(E15),0,IF((YEAR(D15)+12)&gt;YEAR(E15),1,(12-MONTH(E15)+1)/12))) + (R15)*(IF((YEAR(D15)+12)&lt;YEAR(E15),0,IF((YEAR(D15)+12)&gt;YEAR(E15),1,(12-MONTH(E15)+1)/12))))-(IF(OR(N15="",N15&lt;=0),0,(O15/N15)*(IF(OR(N15="",N15&lt;=0),0,IF((YEAR(D15)+12)&lt;YEAR(E15),0,IF((YEAR(D15)+12)&gt;=YEAR(E15)+N15,0,IF((YEAR(D15)+12)=YEAR(E15),(12-MONTH(E15)+1)/12,1))))))))&gt;0,(((K15)*(IF(M15="",L15,IFERROR(IF(INDEX(Variablen!$I:$AT, MATCH(M15, Variablen!$A:$A, 0), MATCH((YEAR(D15)+12), Variablen!$I$3:$AT$3, 0))="",L15,INDEX(Variablen!$I:$AT, MATCH(M15, Variablen!$A:$A, 0), MATCH((YEAR(D15)+12), Variablen!$I$3:$AT$3, 0))),L15)))*(IF((YEAR(D15)+12)&lt;YEAR(E15),0,IF((YEAR(D15)+12)&gt;YEAR(E15),1,(12-MONTH(E15)+1)/12))) + (Q15)*(IF((YEAR(D15)+12)&lt;YEAR(E15),0,IF((YEAR(D15)+12)&gt;YEAR(E15),1,(12-MONTH(E15)+1)/12))))-((P15)*(IF((YEAR(D15)+12)&lt;YEAR(E15),0,IF((YEAR(D15)+12)&gt;YEAR(E15),1,(12-MONTH(E15)+1)/12))) + (R15)*(IF((YEAR(D15)+12)&lt;YEAR(E15),0,IF((YEAR(D15)+12)&gt;YEAR(E15),1,(12-MONTH(E15)+1)/12))))-(IF(OR(N15="",N15&lt;=0),0,(O15/N15)*(IF(OR(N15="",N15&lt;=0),0,IF((YEAR(D15)+12)&lt;YEAR(E15),0,IF((YEAR(D15)+12)&gt;=YEAR(E15)+N15,0,IF((YEAR(D15)+12)=YEAR(E15),(12-MONTH(E15)+1)/12,1))))))))*TaxRate,0))-IF(12=0,O15,0))</f>
        <v/>
      </c>
      <c r="AF15" s="29">
        <f>IF(A15="","",((K15)*(IF(M15="",L15,IFERROR(IF(INDEX(Variablen!$I:$AT, MATCH(M15, Variablen!$A:$A, 0), MATCH((YEAR(D15)+13), Variablen!$I$3:$AT$3, 0))="",L15,INDEX(Variablen!$I:$AT, MATCH(M15, Variablen!$A:$A, 0), MATCH((YEAR(D15)+13), Variablen!$I$3:$AT$3, 0))),L15)))*(IF((YEAR(D15)+13)&lt;YEAR(E15),0,IF((YEAR(D15)+13)&gt;YEAR(E15),1,(12-MONTH(E15)+1)/12))) + (Q15)*(IF((YEAR(D15)+13)&lt;YEAR(E15),0,IF((YEAR(D15)+13)&gt;YEAR(E15),1,(12-MONTH(E15)+1)/12))))-((P15)*(IF((YEAR(D15)+13)&lt;YEAR(E15),0,IF((YEAR(D15)+13)&gt;YEAR(E15),1,(12-MONTH(E15)+1)/12))) + (R15)*(IF((YEAR(D15)+13)&lt;YEAR(E15),0,IF((YEAR(D15)+13)&gt;YEAR(E15),1,(12-MONTH(E15)+1)/12))))-(IF((((K15)*(IF(M15="",L15,IFERROR(IF(INDEX(Variablen!$I:$AT, MATCH(M15, Variablen!$A:$A, 0), MATCH((YEAR(D15)+13), Variablen!$I$3:$AT$3, 0))="",L15,INDEX(Variablen!$I:$AT, MATCH(M15, Variablen!$A:$A, 0), MATCH((YEAR(D15)+13), Variablen!$I$3:$AT$3, 0))),L15)))*(IF((YEAR(D15)+13)&lt;YEAR(E15),0,IF((YEAR(D15)+13)&gt;YEAR(E15),1,(12-MONTH(E15)+1)/12))) + (Q15)*(IF((YEAR(D15)+13)&lt;YEAR(E15),0,IF((YEAR(D15)+13)&gt;YEAR(E15),1,(12-MONTH(E15)+1)/12))))-((P15)*(IF((YEAR(D15)+13)&lt;YEAR(E15),0,IF((YEAR(D15)+13)&gt;YEAR(E15),1,(12-MONTH(E15)+1)/12))) + (R15)*(IF((YEAR(D15)+13)&lt;YEAR(E15),0,IF((YEAR(D15)+13)&gt;YEAR(E15),1,(12-MONTH(E15)+1)/12))))-(IF(OR(N15="",N15&lt;=0),0,(O15/N15)*(IF(OR(N15="",N15&lt;=0),0,IF((YEAR(D15)+13)&lt;YEAR(E15),0,IF((YEAR(D15)+13)&gt;=YEAR(E15)+N15,0,IF((YEAR(D15)+13)=YEAR(E15),(12-MONTH(E15)+1)/12,1))))))))&gt;0,(((K15)*(IF(M15="",L15,IFERROR(IF(INDEX(Variablen!$I:$AT, MATCH(M15, Variablen!$A:$A, 0), MATCH((YEAR(D15)+13), Variablen!$I$3:$AT$3, 0))="",L15,INDEX(Variablen!$I:$AT, MATCH(M15, Variablen!$A:$A, 0), MATCH((YEAR(D15)+13), Variablen!$I$3:$AT$3, 0))),L15)))*(IF((YEAR(D15)+13)&lt;YEAR(E15),0,IF((YEAR(D15)+13)&gt;YEAR(E15),1,(12-MONTH(E15)+1)/12))) + (Q15)*(IF((YEAR(D15)+13)&lt;YEAR(E15),0,IF((YEAR(D15)+13)&gt;YEAR(E15),1,(12-MONTH(E15)+1)/12))))-((P15)*(IF((YEAR(D15)+13)&lt;YEAR(E15),0,IF((YEAR(D15)+13)&gt;YEAR(E15),1,(12-MONTH(E15)+1)/12))) + (R15)*(IF((YEAR(D15)+13)&lt;YEAR(E15),0,IF((YEAR(D15)+13)&gt;YEAR(E15),1,(12-MONTH(E15)+1)/12))))-(IF(OR(N15="",N15&lt;=0),0,(O15/N15)*(IF(OR(N15="",N15&lt;=0),0,IF((YEAR(D15)+13)&lt;YEAR(E15),0,IF((YEAR(D15)+13)&gt;=YEAR(E15)+N15,0,IF((YEAR(D15)+13)=YEAR(E15),(12-MONTH(E15)+1)/12,1))))))))*TaxRate,0))-IF(13=0,O15,0))</f>
        <v/>
      </c>
      <c r="AG15" s="29">
        <f>IF(A15="","",((K15)*(IF(M15="",L15,IFERROR(IF(INDEX(Variablen!$I:$AT, MATCH(M15, Variablen!$A:$A, 0), MATCH((YEAR(D15)+14), Variablen!$I$3:$AT$3, 0))="",L15,INDEX(Variablen!$I:$AT, MATCH(M15, Variablen!$A:$A, 0), MATCH((YEAR(D15)+14), Variablen!$I$3:$AT$3, 0))),L15)))*(IF((YEAR(D15)+14)&lt;YEAR(E15),0,IF((YEAR(D15)+14)&gt;YEAR(E15),1,(12-MONTH(E15)+1)/12))) + (Q15)*(IF((YEAR(D15)+14)&lt;YEAR(E15),0,IF((YEAR(D15)+14)&gt;YEAR(E15),1,(12-MONTH(E15)+1)/12))))-((P15)*(IF((YEAR(D15)+14)&lt;YEAR(E15),0,IF((YEAR(D15)+14)&gt;YEAR(E15),1,(12-MONTH(E15)+1)/12))) + (R15)*(IF((YEAR(D15)+14)&lt;YEAR(E15),0,IF((YEAR(D15)+14)&gt;YEAR(E15),1,(12-MONTH(E15)+1)/12))))-(IF((((K15)*(IF(M15="",L15,IFERROR(IF(INDEX(Variablen!$I:$AT, MATCH(M15, Variablen!$A:$A, 0), MATCH((YEAR(D15)+14), Variablen!$I$3:$AT$3, 0))="",L15,INDEX(Variablen!$I:$AT, MATCH(M15, Variablen!$A:$A, 0), MATCH((YEAR(D15)+14), Variablen!$I$3:$AT$3, 0))),L15)))*(IF((YEAR(D15)+14)&lt;YEAR(E15),0,IF((YEAR(D15)+14)&gt;YEAR(E15),1,(12-MONTH(E15)+1)/12))) + (Q15)*(IF((YEAR(D15)+14)&lt;YEAR(E15),0,IF((YEAR(D15)+14)&gt;YEAR(E15),1,(12-MONTH(E15)+1)/12))))-((P15)*(IF((YEAR(D15)+14)&lt;YEAR(E15),0,IF((YEAR(D15)+14)&gt;YEAR(E15),1,(12-MONTH(E15)+1)/12))) + (R15)*(IF((YEAR(D15)+14)&lt;YEAR(E15),0,IF((YEAR(D15)+14)&gt;YEAR(E15),1,(12-MONTH(E15)+1)/12))))-(IF(OR(N15="",N15&lt;=0),0,(O15/N15)*(IF(OR(N15="",N15&lt;=0),0,IF((YEAR(D15)+14)&lt;YEAR(E15),0,IF((YEAR(D15)+14)&gt;=YEAR(E15)+N15,0,IF((YEAR(D15)+14)=YEAR(E15),(12-MONTH(E15)+1)/12,1))))))))&gt;0,(((K15)*(IF(M15="",L15,IFERROR(IF(INDEX(Variablen!$I:$AT, MATCH(M15, Variablen!$A:$A, 0), MATCH((YEAR(D15)+14), Variablen!$I$3:$AT$3, 0))="",L15,INDEX(Variablen!$I:$AT, MATCH(M15, Variablen!$A:$A, 0), MATCH((YEAR(D15)+14), Variablen!$I$3:$AT$3, 0))),L15)))*(IF((YEAR(D15)+14)&lt;YEAR(E15),0,IF((YEAR(D15)+14)&gt;YEAR(E15),1,(12-MONTH(E15)+1)/12))) + (Q15)*(IF((YEAR(D15)+14)&lt;YEAR(E15),0,IF((YEAR(D15)+14)&gt;YEAR(E15),1,(12-MONTH(E15)+1)/12))))-((P15)*(IF((YEAR(D15)+14)&lt;YEAR(E15),0,IF((YEAR(D15)+14)&gt;YEAR(E15),1,(12-MONTH(E15)+1)/12))) + (R15)*(IF((YEAR(D15)+14)&lt;YEAR(E15),0,IF((YEAR(D15)+14)&gt;YEAR(E15),1,(12-MONTH(E15)+1)/12))))-(IF(OR(N15="",N15&lt;=0),0,(O15/N15)*(IF(OR(N15="",N15&lt;=0),0,IF((YEAR(D15)+14)&lt;YEAR(E15),0,IF((YEAR(D15)+14)&gt;=YEAR(E15)+N15,0,IF((YEAR(D15)+14)=YEAR(E15),(12-MONTH(E15)+1)/12,1))))))))*TaxRate,0))-IF(14=0,O15,0))</f>
        <v/>
      </c>
      <c r="AH15" s="29">
        <f>IF(A15="","",((K15)*(IF(M15="",L15,IFERROR(IF(INDEX(Variablen!$I:$AT, MATCH(M15, Variablen!$A:$A, 0), MATCH((YEAR(D15)+15), Variablen!$I$3:$AT$3, 0))="",L15,INDEX(Variablen!$I:$AT, MATCH(M15, Variablen!$A:$A, 0), MATCH((YEAR(D15)+15), Variablen!$I$3:$AT$3, 0))),L15)))*(IF((YEAR(D15)+15)&lt;YEAR(E15),0,IF((YEAR(D15)+15)&gt;YEAR(E15),1,(12-MONTH(E15)+1)/12))) + (Q15)*(IF((YEAR(D15)+15)&lt;YEAR(E15),0,IF((YEAR(D15)+15)&gt;YEAR(E15),1,(12-MONTH(E15)+1)/12))))-((P15)*(IF((YEAR(D15)+15)&lt;YEAR(E15),0,IF((YEAR(D15)+15)&gt;YEAR(E15),1,(12-MONTH(E15)+1)/12))) + (R15)*(IF((YEAR(D15)+15)&lt;YEAR(E15),0,IF((YEAR(D15)+15)&gt;YEAR(E15),1,(12-MONTH(E15)+1)/12))))-(IF((((K15)*(IF(M15="",L15,IFERROR(IF(INDEX(Variablen!$I:$AT, MATCH(M15, Variablen!$A:$A, 0), MATCH((YEAR(D15)+15), Variablen!$I$3:$AT$3, 0))="",L15,INDEX(Variablen!$I:$AT, MATCH(M15, Variablen!$A:$A, 0), MATCH((YEAR(D15)+15), Variablen!$I$3:$AT$3, 0))),L15)))*(IF((YEAR(D15)+15)&lt;YEAR(E15),0,IF((YEAR(D15)+15)&gt;YEAR(E15),1,(12-MONTH(E15)+1)/12))) + (Q15)*(IF((YEAR(D15)+15)&lt;YEAR(E15),0,IF((YEAR(D15)+15)&gt;YEAR(E15),1,(12-MONTH(E15)+1)/12))))-((P15)*(IF((YEAR(D15)+15)&lt;YEAR(E15),0,IF((YEAR(D15)+15)&gt;YEAR(E15),1,(12-MONTH(E15)+1)/12))) + (R15)*(IF((YEAR(D15)+15)&lt;YEAR(E15),0,IF((YEAR(D15)+15)&gt;YEAR(E15),1,(12-MONTH(E15)+1)/12))))-(IF(OR(N15="",N15&lt;=0),0,(O15/N15)*(IF(OR(N15="",N15&lt;=0),0,IF((YEAR(D15)+15)&lt;YEAR(E15),0,IF((YEAR(D15)+15)&gt;=YEAR(E15)+N15,0,IF((YEAR(D15)+15)=YEAR(E15),(12-MONTH(E15)+1)/12,1))))))))&gt;0,(((K15)*(IF(M15="",L15,IFERROR(IF(INDEX(Variablen!$I:$AT, MATCH(M15, Variablen!$A:$A, 0), MATCH((YEAR(D15)+15), Variablen!$I$3:$AT$3, 0))="",L15,INDEX(Variablen!$I:$AT, MATCH(M15, Variablen!$A:$A, 0), MATCH((YEAR(D15)+15), Variablen!$I$3:$AT$3, 0))),L15)))*(IF((YEAR(D15)+15)&lt;YEAR(E15),0,IF((YEAR(D15)+15)&gt;YEAR(E15),1,(12-MONTH(E15)+1)/12))) + (Q15)*(IF((YEAR(D15)+15)&lt;YEAR(E15),0,IF((YEAR(D15)+15)&gt;YEAR(E15),1,(12-MONTH(E15)+1)/12))))-((P15)*(IF((YEAR(D15)+15)&lt;YEAR(E15),0,IF((YEAR(D15)+15)&gt;YEAR(E15),1,(12-MONTH(E15)+1)/12))) + (R15)*(IF((YEAR(D15)+15)&lt;YEAR(E15),0,IF((YEAR(D15)+15)&gt;YEAR(E15),1,(12-MONTH(E15)+1)/12))))-(IF(OR(N15="",N15&lt;=0),0,(O15/N15)*(IF(OR(N15="",N15&lt;=0),0,IF((YEAR(D15)+15)&lt;YEAR(E15),0,IF((YEAR(D15)+15)&gt;=YEAR(E15)+N15,0,IF((YEAR(D15)+15)=YEAR(E15),(12-MONTH(E15)+1)/12,1))))))))*TaxRate,0))-IF(15=0,O15,0))</f>
        <v/>
      </c>
      <c r="AI15" s="29">
        <f>IF(A15="","",((K15)*(IF(M15="",L15,IFERROR(IF(INDEX(Variablen!$I:$AT, MATCH(M15, Variablen!$A:$A, 0), MATCH((YEAR(D15)+16), Variablen!$I$3:$AT$3, 0))="",L15,INDEX(Variablen!$I:$AT, MATCH(M15, Variablen!$A:$A, 0), MATCH((YEAR(D15)+16), Variablen!$I$3:$AT$3, 0))),L15)))*(IF((YEAR(D15)+16)&lt;YEAR(E15),0,IF((YEAR(D15)+16)&gt;YEAR(E15),1,(12-MONTH(E15)+1)/12))) + (Q15)*(IF((YEAR(D15)+16)&lt;YEAR(E15),0,IF((YEAR(D15)+16)&gt;YEAR(E15),1,(12-MONTH(E15)+1)/12))))-((P15)*(IF((YEAR(D15)+16)&lt;YEAR(E15),0,IF((YEAR(D15)+16)&gt;YEAR(E15),1,(12-MONTH(E15)+1)/12))) + (R15)*(IF((YEAR(D15)+16)&lt;YEAR(E15),0,IF((YEAR(D15)+16)&gt;YEAR(E15),1,(12-MONTH(E15)+1)/12))))-(IF((((K15)*(IF(M15="",L15,IFERROR(IF(INDEX(Variablen!$I:$AT, MATCH(M15, Variablen!$A:$A, 0), MATCH((YEAR(D15)+16), Variablen!$I$3:$AT$3, 0))="",L15,INDEX(Variablen!$I:$AT, MATCH(M15, Variablen!$A:$A, 0), MATCH((YEAR(D15)+16), Variablen!$I$3:$AT$3, 0))),L15)))*(IF((YEAR(D15)+16)&lt;YEAR(E15),0,IF((YEAR(D15)+16)&gt;YEAR(E15),1,(12-MONTH(E15)+1)/12))) + (Q15)*(IF((YEAR(D15)+16)&lt;YEAR(E15),0,IF((YEAR(D15)+16)&gt;YEAR(E15),1,(12-MONTH(E15)+1)/12))))-((P15)*(IF((YEAR(D15)+16)&lt;YEAR(E15),0,IF((YEAR(D15)+16)&gt;YEAR(E15),1,(12-MONTH(E15)+1)/12))) + (R15)*(IF((YEAR(D15)+16)&lt;YEAR(E15),0,IF((YEAR(D15)+16)&gt;YEAR(E15),1,(12-MONTH(E15)+1)/12))))-(IF(OR(N15="",N15&lt;=0),0,(O15/N15)*(IF(OR(N15="",N15&lt;=0),0,IF((YEAR(D15)+16)&lt;YEAR(E15),0,IF((YEAR(D15)+16)&gt;=YEAR(E15)+N15,0,IF((YEAR(D15)+16)=YEAR(E15),(12-MONTH(E15)+1)/12,1))))))))&gt;0,(((K15)*(IF(M15="",L15,IFERROR(IF(INDEX(Variablen!$I:$AT, MATCH(M15, Variablen!$A:$A, 0), MATCH((YEAR(D15)+16), Variablen!$I$3:$AT$3, 0))="",L15,INDEX(Variablen!$I:$AT, MATCH(M15, Variablen!$A:$A, 0), MATCH((YEAR(D15)+16), Variablen!$I$3:$AT$3, 0))),L15)))*(IF((YEAR(D15)+16)&lt;YEAR(E15),0,IF((YEAR(D15)+16)&gt;YEAR(E15),1,(12-MONTH(E15)+1)/12))) + (Q15)*(IF((YEAR(D15)+16)&lt;YEAR(E15),0,IF((YEAR(D15)+16)&gt;YEAR(E15),1,(12-MONTH(E15)+1)/12))))-((P15)*(IF((YEAR(D15)+16)&lt;YEAR(E15),0,IF((YEAR(D15)+16)&gt;YEAR(E15),1,(12-MONTH(E15)+1)/12))) + (R15)*(IF((YEAR(D15)+16)&lt;YEAR(E15),0,IF((YEAR(D15)+16)&gt;YEAR(E15),1,(12-MONTH(E15)+1)/12))))-(IF(OR(N15="",N15&lt;=0),0,(O15/N15)*(IF(OR(N15="",N15&lt;=0),0,IF((YEAR(D15)+16)&lt;YEAR(E15),0,IF((YEAR(D15)+16)&gt;=YEAR(E15)+N15,0,IF((YEAR(D15)+16)=YEAR(E15),(12-MONTH(E15)+1)/12,1))))))))*TaxRate,0))-IF(16=0,O15,0))</f>
        <v/>
      </c>
      <c r="AJ15" s="29">
        <f>IF(A15="","",((K15)*(IF(M15="",L15,IFERROR(IF(INDEX(Variablen!$I:$AT, MATCH(M15, Variablen!$A:$A, 0), MATCH((YEAR(D15)+17), Variablen!$I$3:$AT$3, 0))="",L15,INDEX(Variablen!$I:$AT, MATCH(M15, Variablen!$A:$A, 0), MATCH((YEAR(D15)+17), Variablen!$I$3:$AT$3, 0))),L15)))*(IF((YEAR(D15)+17)&lt;YEAR(E15),0,IF((YEAR(D15)+17)&gt;YEAR(E15),1,(12-MONTH(E15)+1)/12))) + (Q15)*(IF((YEAR(D15)+17)&lt;YEAR(E15),0,IF((YEAR(D15)+17)&gt;YEAR(E15),1,(12-MONTH(E15)+1)/12))))-((P15)*(IF((YEAR(D15)+17)&lt;YEAR(E15),0,IF((YEAR(D15)+17)&gt;YEAR(E15),1,(12-MONTH(E15)+1)/12))) + (R15)*(IF((YEAR(D15)+17)&lt;YEAR(E15),0,IF((YEAR(D15)+17)&gt;YEAR(E15),1,(12-MONTH(E15)+1)/12))))-(IF((((K15)*(IF(M15="",L15,IFERROR(IF(INDEX(Variablen!$I:$AT, MATCH(M15, Variablen!$A:$A, 0), MATCH((YEAR(D15)+17), Variablen!$I$3:$AT$3, 0))="",L15,INDEX(Variablen!$I:$AT, MATCH(M15, Variablen!$A:$A, 0), MATCH((YEAR(D15)+17), Variablen!$I$3:$AT$3, 0))),L15)))*(IF((YEAR(D15)+17)&lt;YEAR(E15),0,IF((YEAR(D15)+17)&gt;YEAR(E15),1,(12-MONTH(E15)+1)/12))) + (Q15)*(IF((YEAR(D15)+17)&lt;YEAR(E15),0,IF((YEAR(D15)+17)&gt;YEAR(E15),1,(12-MONTH(E15)+1)/12))))-((P15)*(IF((YEAR(D15)+17)&lt;YEAR(E15),0,IF((YEAR(D15)+17)&gt;YEAR(E15),1,(12-MONTH(E15)+1)/12))) + (R15)*(IF((YEAR(D15)+17)&lt;YEAR(E15),0,IF((YEAR(D15)+17)&gt;YEAR(E15),1,(12-MONTH(E15)+1)/12))))-(IF(OR(N15="",N15&lt;=0),0,(O15/N15)*(IF(OR(N15="",N15&lt;=0),0,IF((YEAR(D15)+17)&lt;YEAR(E15),0,IF((YEAR(D15)+17)&gt;=YEAR(E15)+N15,0,IF((YEAR(D15)+17)=YEAR(E15),(12-MONTH(E15)+1)/12,1))))))))&gt;0,(((K15)*(IF(M15="",L15,IFERROR(IF(INDEX(Variablen!$I:$AT, MATCH(M15, Variablen!$A:$A, 0), MATCH((YEAR(D15)+17), Variablen!$I$3:$AT$3, 0))="",L15,INDEX(Variablen!$I:$AT, MATCH(M15, Variablen!$A:$A, 0), MATCH((YEAR(D15)+17), Variablen!$I$3:$AT$3, 0))),L15)))*(IF((YEAR(D15)+17)&lt;YEAR(E15),0,IF((YEAR(D15)+17)&gt;YEAR(E15),1,(12-MONTH(E15)+1)/12))) + (Q15)*(IF((YEAR(D15)+17)&lt;YEAR(E15),0,IF((YEAR(D15)+17)&gt;YEAR(E15),1,(12-MONTH(E15)+1)/12))))-((P15)*(IF((YEAR(D15)+17)&lt;YEAR(E15),0,IF((YEAR(D15)+17)&gt;YEAR(E15),1,(12-MONTH(E15)+1)/12))) + (R15)*(IF((YEAR(D15)+17)&lt;YEAR(E15),0,IF((YEAR(D15)+17)&gt;YEAR(E15),1,(12-MONTH(E15)+1)/12))))-(IF(OR(N15="",N15&lt;=0),0,(O15/N15)*(IF(OR(N15="",N15&lt;=0),0,IF((YEAR(D15)+17)&lt;YEAR(E15),0,IF((YEAR(D15)+17)&gt;=YEAR(E15)+N15,0,IF((YEAR(D15)+17)=YEAR(E15),(12-MONTH(E15)+1)/12,1))))))))*TaxRate,0))-IF(17=0,O15,0))</f>
        <v/>
      </c>
      <c r="AK15" s="29">
        <f>IF(A15="","",((K15)*(IF(M15="",L15,IFERROR(IF(INDEX(Variablen!$I:$AT, MATCH(M15, Variablen!$A:$A, 0), MATCH((YEAR(D15)+18), Variablen!$I$3:$AT$3, 0))="",L15,INDEX(Variablen!$I:$AT, MATCH(M15, Variablen!$A:$A, 0), MATCH((YEAR(D15)+18), Variablen!$I$3:$AT$3, 0))),L15)))*(IF((YEAR(D15)+18)&lt;YEAR(E15),0,IF((YEAR(D15)+18)&gt;YEAR(E15),1,(12-MONTH(E15)+1)/12))) + (Q15)*(IF((YEAR(D15)+18)&lt;YEAR(E15),0,IF((YEAR(D15)+18)&gt;YEAR(E15),1,(12-MONTH(E15)+1)/12))))-((P15)*(IF((YEAR(D15)+18)&lt;YEAR(E15),0,IF((YEAR(D15)+18)&gt;YEAR(E15),1,(12-MONTH(E15)+1)/12))) + (R15)*(IF((YEAR(D15)+18)&lt;YEAR(E15),0,IF((YEAR(D15)+18)&gt;YEAR(E15),1,(12-MONTH(E15)+1)/12))))-(IF((((K15)*(IF(M15="",L15,IFERROR(IF(INDEX(Variablen!$I:$AT, MATCH(M15, Variablen!$A:$A, 0), MATCH((YEAR(D15)+18), Variablen!$I$3:$AT$3, 0))="",L15,INDEX(Variablen!$I:$AT, MATCH(M15, Variablen!$A:$A, 0), MATCH((YEAR(D15)+18), Variablen!$I$3:$AT$3, 0))),L15)))*(IF((YEAR(D15)+18)&lt;YEAR(E15),0,IF((YEAR(D15)+18)&gt;YEAR(E15),1,(12-MONTH(E15)+1)/12))) + (Q15)*(IF((YEAR(D15)+18)&lt;YEAR(E15),0,IF((YEAR(D15)+18)&gt;YEAR(E15),1,(12-MONTH(E15)+1)/12))))-((P15)*(IF((YEAR(D15)+18)&lt;YEAR(E15),0,IF((YEAR(D15)+18)&gt;YEAR(E15),1,(12-MONTH(E15)+1)/12))) + (R15)*(IF((YEAR(D15)+18)&lt;YEAR(E15),0,IF((YEAR(D15)+18)&gt;YEAR(E15),1,(12-MONTH(E15)+1)/12))))-(IF(OR(N15="",N15&lt;=0),0,(O15/N15)*(IF(OR(N15="",N15&lt;=0),0,IF((YEAR(D15)+18)&lt;YEAR(E15),0,IF((YEAR(D15)+18)&gt;=YEAR(E15)+N15,0,IF((YEAR(D15)+18)=YEAR(E15),(12-MONTH(E15)+1)/12,1))))))))&gt;0,(((K15)*(IF(M15="",L15,IFERROR(IF(INDEX(Variablen!$I:$AT, MATCH(M15, Variablen!$A:$A, 0), MATCH((YEAR(D15)+18), Variablen!$I$3:$AT$3, 0))="",L15,INDEX(Variablen!$I:$AT, MATCH(M15, Variablen!$A:$A, 0), MATCH((YEAR(D15)+18), Variablen!$I$3:$AT$3, 0))),L15)))*(IF((YEAR(D15)+18)&lt;YEAR(E15),0,IF((YEAR(D15)+18)&gt;YEAR(E15),1,(12-MONTH(E15)+1)/12))) + (Q15)*(IF((YEAR(D15)+18)&lt;YEAR(E15),0,IF((YEAR(D15)+18)&gt;YEAR(E15),1,(12-MONTH(E15)+1)/12))))-((P15)*(IF((YEAR(D15)+18)&lt;YEAR(E15),0,IF((YEAR(D15)+18)&gt;YEAR(E15),1,(12-MONTH(E15)+1)/12))) + (R15)*(IF((YEAR(D15)+18)&lt;YEAR(E15),0,IF((YEAR(D15)+18)&gt;YEAR(E15),1,(12-MONTH(E15)+1)/12))))-(IF(OR(N15="",N15&lt;=0),0,(O15/N15)*(IF(OR(N15="",N15&lt;=0),0,IF((YEAR(D15)+18)&lt;YEAR(E15),0,IF((YEAR(D15)+18)&gt;=YEAR(E15)+N15,0,IF((YEAR(D15)+18)=YEAR(E15),(12-MONTH(E15)+1)/12,1))))))))*TaxRate,0))-IF(18=0,O15,0))</f>
        <v/>
      </c>
      <c r="AL15" s="29">
        <f>IF(A15="","",((K15)*(IF(M15="",L15,IFERROR(IF(INDEX(Variablen!$I:$AT, MATCH(M15, Variablen!$A:$A, 0), MATCH((YEAR(D15)+19), Variablen!$I$3:$AT$3, 0))="",L15,INDEX(Variablen!$I:$AT, MATCH(M15, Variablen!$A:$A, 0), MATCH((YEAR(D15)+19), Variablen!$I$3:$AT$3, 0))),L15)))*(IF((YEAR(D15)+19)&lt;YEAR(E15),0,IF((YEAR(D15)+19)&gt;YEAR(E15),1,(12-MONTH(E15)+1)/12))) + (Q15)*(IF((YEAR(D15)+19)&lt;YEAR(E15),0,IF((YEAR(D15)+19)&gt;YEAR(E15),1,(12-MONTH(E15)+1)/12))))-((P15)*(IF((YEAR(D15)+19)&lt;YEAR(E15),0,IF((YEAR(D15)+19)&gt;YEAR(E15),1,(12-MONTH(E15)+1)/12))) + (R15)*(IF((YEAR(D15)+19)&lt;YEAR(E15),0,IF((YEAR(D15)+19)&gt;YEAR(E15),1,(12-MONTH(E15)+1)/12))))-(IF((((K15)*(IF(M15="",L15,IFERROR(IF(INDEX(Variablen!$I:$AT, MATCH(M15, Variablen!$A:$A, 0), MATCH((YEAR(D15)+19), Variablen!$I$3:$AT$3, 0))="",L15,INDEX(Variablen!$I:$AT, MATCH(M15, Variablen!$A:$A, 0), MATCH((YEAR(D15)+19), Variablen!$I$3:$AT$3, 0))),L15)))*(IF((YEAR(D15)+19)&lt;YEAR(E15),0,IF((YEAR(D15)+19)&gt;YEAR(E15),1,(12-MONTH(E15)+1)/12))) + (Q15)*(IF((YEAR(D15)+19)&lt;YEAR(E15),0,IF((YEAR(D15)+19)&gt;YEAR(E15),1,(12-MONTH(E15)+1)/12))))-((P15)*(IF((YEAR(D15)+19)&lt;YEAR(E15),0,IF((YEAR(D15)+19)&gt;YEAR(E15),1,(12-MONTH(E15)+1)/12))) + (R15)*(IF((YEAR(D15)+19)&lt;YEAR(E15),0,IF((YEAR(D15)+19)&gt;YEAR(E15),1,(12-MONTH(E15)+1)/12))))-(IF(OR(N15="",N15&lt;=0),0,(O15/N15)*(IF(OR(N15="",N15&lt;=0),0,IF((YEAR(D15)+19)&lt;YEAR(E15),0,IF((YEAR(D15)+19)&gt;=YEAR(E15)+N15,0,IF((YEAR(D15)+19)=YEAR(E15),(12-MONTH(E15)+1)/12,1))))))))&gt;0,(((K15)*(IF(M15="",L15,IFERROR(IF(INDEX(Variablen!$I:$AT, MATCH(M15, Variablen!$A:$A, 0), MATCH((YEAR(D15)+19), Variablen!$I$3:$AT$3, 0))="",L15,INDEX(Variablen!$I:$AT, MATCH(M15, Variablen!$A:$A, 0), MATCH((YEAR(D15)+19), Variablen!$I$3:$AT$3, 0))),L15)))*(IF((YEAR(D15)+19)&lt;YEAR(E15),0,IF((YEAR(D15)+19)&gt;YEAR(E15),1,(12-MONTH(E15)+1)/12))) + (Q15)*(IF((YEAR(D15)+19)&lt;YEAR(E15),0,IF((YEAR(D15)+19)&gt;YEAR(E15),1,(12-MONTH(E15)+1)/12))))-((P15)*(IF((YEAR(D15)+19)&lt;YEAR(E15),0,IF((YEAR(D15)+19)&gt;YEAR(E15),1,(12-MONTH(E15)+1)/12))) + (R15)*(IF((YEAR(D15)+19)&lt;YEAR(E15),0,IF((YEAR(D15)+19)&gt;YEAR(E15),1,(12-MONTH(E15)+1)/12))))-(IF(OR(N15="",N15&lt;=0),0,(O15/N15)*(IF(OR(N15="",N15&lt;=0),0,IF((YEAR(D15)+19)&lt;YEAR(E15),0,IF((YEAR(D15)+19)&gt;=YEAR(E15)+N15,0,IF((YEAR(D15)+19)=YEAR(E15),(12-MONTH(E15)+1)/12,1))))))))*TaxRate,0))-IF(19=0,O15,0))</f>
        <v/>
      </c>
      <c r="AM15" s="29">
        <f>IF(A15="","",((K15)*(IF(M15="",L15,IFERROR(IF(INDEX(Variablen!$I:$AT, MATCH(M15, Variablen!$A:$A, 0), MATCH((YEAR(D15)+20), Variablen!$I$3:$AT$3, 0))="",L15,INDEX(Variablen!$I:$AT, MATCH(M15, Variablen!$A:$A, 0), MATCH((YEAR(D15)+20), Variablen!$I$3:$AT$3, 0))),L15)))*(IF((YEAR(D15)+20)&lt;YEAR(E15),0,IF((YEAR(D15)+20)&gt;YEAR(E15),1,(12-MONTH(E15)+1)/12))) + (Q15)*(IF((YEAR(D15)+20)&lt;YEAR(E15),0,IF((YEAR(D15)+20)&gt;YEAR(E15),1,(12-MONTH(E15)+1)/12))))-((P15)*(IF((YEAR(D15)+20)&lt;YEAR(E15),0,IF((YEAR(D15)+20)&gt;YEAR(E15),1,(12-MONTH(E15)+1)/12))) + (R15)*(IF((YEAR(D15)+20)&lt;YEAR(E15),0,IF((YEAR(D15)+20)&gt;YEAR(E15),1,(12-MONTH(E15)+1)/12))))-(IF((((K15)*(IF(M15="",L15,IFERROR(IF(INDEX(Variablen!$I:$AT, MATCH(M15, Variablen!$A:$A, 0), MATCH((YEAR(D15)+20), Variablen!$I$3:$AT$3, 0))="",L15,INDEX(Variablen!$I:$AT, MATCH(M15, Variablen!$A:$A, 0), MATCH((YEAR(D15)+20), Variablen!$I$3:$AT$3, 0))),L15)))*(IF((YEAR(D15)+20)&lt;YEAR(E15),0,IF((YEAR(D15)+20)&gt;YEAR(E15),1,(12-MONTH(E15)+1)/12))) + (Q15)*(IF((YEAR(D15)+20)&lt;YEAR(E15),0,IF((YEAR(D15)+20)&gt;YEAR(E15),1,(12-MONTH(E15)+1)/12))))-((P15)*(IF((YEAR(D15)+20)&lt;YEAR(E15),0,IF((YEAR(D15)+20)&gt;YEAR(E15),1,(12-MONTH(E15)+1)/12))) + (R15)*(IF((YEAR(D15)+20)&lt;YEAR(E15),0,IF((YEAR(D15)+20)&gt;YEAR(E15),1,(12-MONTH(E15)+1)/12))))-(IF(OR(N15="",N15&lt;=0),0,(O15/N15)*(IF(OR(N15="",N15&lt;=0),0,IF((YEAR(D15)+20)&lt;YEAR(E15),0,IF((YEAR(D15)+20)&gt;=YEAR(E15)+N15,0,IF((YEAR(D15)+20)=YEAR(E15),(12-MONTH(E15)+1)/12,1))))))))&gt;0,(((K15)*(IF(M15="",L15,IFERROR(IF(INDEX(Variablen!$I:$AT, MATCH(M15, Variablen!$A:$A, 0), MATCH((YEAR(D15)+20), Variablen!$I$3:$AT$3, 0))="",L15,INDEX(Variablen!$I:$AT, MATCH(M15, Variablen!$A:$A, 0), MATCH((YEAR(D15)+20), Variablen!$I$3:$AT$3, 0))),L15)))*(IF((YEAR(D15)+20)&lt;YEAR(E15),0,IF((YEAR(D15)+20)&gt;YEAR(E15),1,(12-MONTH(E15)+1)/12))) + (Q15)*(IF((YEAR(D15)+20)&lt;YEAR(E15),0,IF((YEAR(D15)+20)&gt;YEAR(E15),1,(12-MONTH(E15)+1)/12))))-((P15)*(IF((YEAR(D15)+20)&lt;YEAR(E15),0,IF((YEAR(D15)+20)&gt;YEAR(E15),1,(12-MONTH(E15)+1)/12))) + (R15)*(IF((YEAR(D15)+20)&lt;YEAR(E15),0,IF((YEAR(D15)+20)&gt;YEAR(E15),1,(12-MONTH(E15)+1)/12))))-(IF(OR(N15="",N15&lt;=0),0,(O15/N15)*(IF(OR(N15="",N15&lt;=0),0,IF((YEAR(D15)+20)&lt;YEAR(E15),0,IF((YEAR(D15)+20)&gt;=YEAR(E15)+N15,0,IF((YEAR(D15)+20)=YEAR(E15),(12-MONTH(E15)+1)/12,1))))))))*TaxRate,0))-IF(20=0,O15,0))</f>
        <v/>
      </c>
      <c r="AN15" s="29">
        <f>IF(A15="","",S15)</f>
        <v/>
      </c>
      <c r="AO15" s="29">
        <f>IF(A15="","",AN15+T15)</f>
        <v/>
      </c>
      <c r="AP15" s="29">
        <f>IF(A15="","",AO15+U15)</f>
        <v/>
      </c>
      <c r="AQ15" s="29">
        <f>IF(A15="","",AP15+V15)</f>
        <v/>
      </c>
      <c r="AR15" s="29">
        <f>IF(A15="","",AQ15+W15)</f>
        <v/>
      </c>
      <c r="AS15" s="29">
        <f>IF(A15="","",AR15+X15)</f>
        <v/>
      </c>
      <c r="AT15" s="29">
        <f>IF(A15="","",AS15+Y15)</f>
        <v/>
      </c>
      <c r="AU15" s="29">
        <f>IF(A15="","",AT15+Z15)</f>
        <v/>
      </c>
      <c r="AV15" s="29">
        <f>IF(A15="","",AU15+AA15)</f>
        <v/>
      </c>
      <c r="AW15" s="29">
        <f>IF(A15="","",AV15+AB15)</f>
        <v/>
      </c>
      <c r="AX15" s="29">
        <f>IF(A15="","",AW15+AC15)</f>
        <v/>
      </c>
      <c r="AY15" s="29">
        <f>IF(A15="","",AX15+AD15)</f>
        <v/>
      </c>
      <c r="AZ15" s="29">
        <f>IF(A15="","",AY15+AE15)</f>
        <v/>
      </c>
      <c r="BA15" s="29">
        <f>IF(A15="","",AZ15+AF15)</f>
        <v/>
      </c>
      <c r="BB15" s="29">
        <f>IF(A15="","",BA15+AG15)</f>
        <v/>
      </c>
      <c r="BC15" s="29">
        <f>IF(A15="","",BB15+AH15)</f>
        <v/>
      </c>
      <c r="BD15" s="29">
        <f>IF(A15="","",BC15+AI15)</f>
        <v/>
      </c>
      <c r="BE15" s="29">
        <f>IF(A15="","",BD15+AJ15)</f>
        <v/>
      </c>
      <c r="BF15" s="29">
        <f>IF(A15="","",BE15+AK15)</f>
        <v/>
      </c>
      <c r="BG15" s="29">
        <f>IF(A15="","",BF15+AL15)</f>
        <v/>
      </c>
      <c r="BH15" s="29">
        <f>IF(A15="","",BG15+AM15)</f>
        <v/>
      </c>
      <c r="BI15" s="36">
        <f>IF(A15="","",(K15)*(IF((YEAR(D15)+0)&lt;YEAR(E15),0,IF((YEAR(D15)+0)&gt;YEAR(E15),1,(12-MONTH(E15)+1)/12)))*(1/(1+DiscountRate)^0))</f>
        <v/>
      </c>
      <c r="BJ15" s="36">
        <f>IF(A15="","",(K15)*(IF((YEAR(D15)+1)&lt;YEAR(E15),0,IF((YEAR(D15)+1)&gt;YEAR(E15),1,(12-MONTH(E15)+1)/12)))*(1/(1+DiscountRate)^1))</f>
        <v/>
      </c>
      <c r="BK15" s="36">
        <f>IF(A15="","",(K15)*(IF((YEAR(D15)+2)&lt;YEAR(E15),0,IF((YEAR(D15)+2)&gt;YEAR(E15),1,(12-MONTH(E15)+1)/12)))*(1/(1+DiscountRate)^2))</f>
        <v/>
      </c>
      <c r="BL15" s="36">
        <f>IF(A15="","",(K15)*(IF((YEAR(D15)+3)&lt;YEAR(E15),0,IF((YEAR(D15)+3)&gt;YEAR(E15),1,(12-MONTH(E15)+1)/12)))*(1/(1+DiscountRate)^3))</f>
        <v/>
      </c>
      <c r="BM15" s="36">
        <f>IF(A15="","",(K15)*(IF((YEAR(D15)+4)&lt;YEAR(E15),0,IF((YEAR(D15)+4)&gt;YEAR(E15),1,(12-MONTH(E15)+1)/12)))*(1/(1+DiscountRate)^4))</f>
        <v/>
      </c>
      <c r="BN15" s="36">
        <f>IF(A15="","",(K15)*(IF((YEAR(D15)+5)&lt;YEAR(E15),0,IF((YEAR(D15)+5)&gt;YEAR(E15),1,(12-MONTH(E15)+1)/12)))*(1/(1+DiscountRate)^5))</f>
        <v/>
      </c>
      <c r="BO15" s="36">
        <f>IF(A15="","",(K15)*(IF((YEAR(D15)+6)&lt;YEAR(E15),0,IF((YEAR(D15)+6)&gt;YEAR(E15),1,(12-MONTH(E15)+1)/12)))*(1/(1+DiscountRate)^6))</f>
        <v/>
      </c>
      <c r="BP15" s="36">
        <f>IF(A15="","",(K15)*(IF((YEAR(D15)+7)&lt;YEAR(E15),0,IF((YEAR(D15)+7)&gt;YEAR(E15),1,(12-MONTH(E15)+1)/12)))*(1/(1+DiscountRate)^7))</f>
        <v/>
      </c>
      <c r="BQ15" s="36">
        <f>IF(A15="","",(K15)*(IF((YEAR(D15)+8)&lt;YEAR(E15),0,IF((YEAR(D15)+8)&gt;YEAR(E15),1,(12-MONTH(E15)+1)/12)))*(1/(1+DiscountRate)^8))</f>
        <v/>
      </c>
      <c r="BR15" s="36">
        <f>IF(A15="","",(K15)*(IF((YEAR(D15)+9)&lt;YEAR(E15),0,IF((YEAR(D15)+9)&gt;YEAR(E15),1,(12-MONTH(E15)+1)/12)))*(1/(1+DiscountRate)^9))</f>
        <v/>
      </c>
      <c r="BS15" s="36">
        <f>IF(A15="","",(K15)*(IF((YEAR(D15)+10)&lt;YEAR(E15),0,IF((YEAR(D15)+10)&gt;YEAR(E15),1,(12-MONTH(E15)+1)/12)))*(1/(1+DiscountRate)^10))</f>
        <v/>
      </c>
      <c r="BT15" s="36">
        <f>IF(A15="","",(K15)*(IF((YEAR(D15)+11)&lt;YEAR(E15),0,IF((YEAR(D15)+11)&gt;YEAR(E15),1,(12-MONTH(E15)+1)/12)))*(1/(1+DiscountRate)^11))</f>
        <v/>
      </c>
      <c r="BU15" s="36">
        <f>IF(A15="","",(K15)*(IF((YEAR(D15)+12)&lt;YEAR(E15),0,IF((YEAR(D15)+12)&gt;YEAR(E15),1,(12-MONTH(E15)+1)/12)))*(1/(1+DiscountRate)^12))</f>
        <v/>
      </c>
      <c r="BV15" s="36">
        <f>IF(A15="","",(K15)*(IF((YEAR(D15)+13)&lt;YEAR(E15),0,IF((YEAR(D15)+13)&gt;YEAR(E15),1,(12-MONTH(E15)+1)/12)))*(1/(1+DiscountRate)^13))</f>
        <v/>
      </c>
      <c r="BW15" s="36">
        <f>IF(A15="","",(K15)*(IF((YEAR(D15)+14)&lt;YEAR(E15),0,IF((YEAR(D15)+14)&gt;YEAR(E15),1,(12-MONTH(E15)+1)/12)))*(1/(1+DiscountRate)^14))</f>
        <v/>
      </c>
      <c r="BX15" s="36">
        <f>IF(A15="","",(K15)*(IF((YEAR(D15)+15)&lt;YEAR(E15),0,IF((YEAR(D15)+15)&gt;YEAR(E15),1,(12-MONTH(E15)+1)/12)))*(1/(1+DiscountRate)^15))</f>
        <v/>
      </c>
      <c r="BY15" s="36">
        <f>IF(A15="","",(K15)*(IF((YEAR(D15)+16)&lt;YEAR(E15),0,IF((YEAR(D15)+16)&gt;YEAR(E15),1,(12-MONTH(E15)+1)/12)))*(1/(1+DiscountRate)^16))</f>
        <v/>
      </c>
      <c r="BZ15" s="36">
        <f>IF(A15="","",(K15)*(IF((YEAR(D15)+17)&lt;YEAR(E15),0,IF((YEAR(D15)+17)&gt;YEAR(E15),1,(12-MONTH(E15)+1)/12)))*(1/(1+DiscountRate)^17))</f>
        <v/>
      </c>
      <c r="CA15" s="36">
        <f>IF(A15="","",(K15)*(IF((YEAR(D15)+18)&lt;YEAR(E15),0,IF((YEAR(D15)+18)&gt;YEAR(E15),1,(12-MONTH(E15)+1)/12)))*(1/(1+DiscountRate)^18))</f>
        <v/>
      </c>
      <c r="CB15" s="36">
        <f>IF(A15="","",(K15)*(IF((YEAR(D15)+19)&lt;YEAR(E15),0,IF((YEAR(D15)+19)&gt;YEAR(E15),1,(12-MONTH(E15)+1)/12)))*(1/(1+DiscountRate)^19))</f>
        <v/>
      </c>
      <c r="CC15" s="36">
        <f>IF(A15="","",(K15)*(IF((YEAR(D15)+20)&lt;YEAR(E15),0,IF((YEAR(D15)+20)&gt;YEAR(E15),1,(12-MONTH(E15)+1)/12)))*(1/(1+DiscountRate)^20))</f>
        <v/>
      </c>
      <c r="CD15" s="29">
        <f>IF(A15="","",S15/(1+DiscountRate)^0+T15/(1+DiscountRate)^1+U15/(1+DiscountRate)^2+V15/(1+DiscountRate)^3+W15/(1+DiscountRate)^4+X15/(1+DiscountRate)^5+Y15/(1+DiscountRate)^6+Z15/(1+DiscountRate)^7+AA15/(1+DiscountRate)^8+AB15/(1+DiscountRate)^9+AC15/(1+DiscountRate)^10+AD15/(1+DiscountRate)^11+AE15/(1+DiscountRate)^12+AF15/(1+DiscountRate)^13+AG15/(1+DiscountRate)^14+AH15/(1+DiscountRate)^15+AI15/(1+DiscountRate)^16+AJ15/(1+DiscountRate)^17+AK15/(1+DiscountRate)^18+AL15/(1+DiscountRate)^19+AM15/(1+DiscountRate)^20)</f>
        <v/>
      </c>
      <c r="CE15" s="37">
        <f>IF(A15="","",IFERROR(IRR(OFFSET(S15,0,0,1,MIN(HorizonYears,20)+1)),"n/a"))</f>
        <v/>
      </c>
      <c r="CF15" s="28">
        <f>IF(A15="","",IFERROR(MATCH(TRUE,OFFSET(AN15,0,0,1,MIN(HorizonYears,20)+1)&gt;=0,0)-1,"n/a"))</f>
        <v/>
      </c>
      <c r="CG15" s="36">
        <f>IF(A15="","",SUM(OFFSET(BI15,0,0,1,MIN(HorizonYears,20)+1)))</f>
        <v/>
      </c>
      <c r="CH15" s="36">
        <f>IF(A15="","",IFERROR(-CD15/CG15,"n/a"))</f>
        <v/>
      </c>
    </row>
    <row r="16">
      <c r="A16" s="6">
        <f>Actions!A14</f>
        <v/>
      </c>
      <c r="B16" s="6">
        <f>Actions!B14</f>
        <v/>
      </c>
      <c r="C16" s="6">
        <f>Actions!D14</f>
        <v/>
      </c>
      <c r="D16" s="35">
        <f>Actions!E14</f>
        <v/>
      </c>
      <c r="E16" s="35">
        <f>Actions!F14</f>
        <v/>
      </c>
      <c r="F16" s="6">
        <f>Actions!G14</f>
        <v/>
      </c>
      <c r="G16" s="6">
        <f>Actions!H14</f>
        <v/>
      </c>
      <c r="H16" s="29">
        <f>Actions!I14</f>
        <v/>
      </c>
      <c r="I16" s="6">
        <f>Actions!J14</f>
        <v/>
      </c>
      <c r="J16" s="16">
        <f>Actions!K14</f>
        <v/>
      </c>
      <c r="K16" s="16">
        <f>IF(A16="","",IF(I16="%",H16*J16,J16))</f>
        <v/>
      </c>
      <c r="L16" s="16">
        <f>Actions!L14</f>
        <v/>
      </c>
      <c r="M16" s="6">
        <f>Actions!M14</f>
        <v/>
      </c>
      <c r="N16" s="28">
        <f>Actions!N14</f>
        <v/>
      </c>
      <c r="O16" s="29">
        <f>Actions!T14</f>
        <v/>
      </c>
      <c r="P16" s="29">
        <f>Actions!Y14</f>
        <v/>
      </c>
      <c r="Q16" s="29">
        <f>Actions!Z14</f>
        <v/>
      </c>
      <c r="R16" s="29">
        <f>Actions!AA14</f>
        <v/>
      </c>
      <c r="S16" s="29">
        <f>IF(A16="","",((K16)*(IF(M16="",L16,IFERROR(IF(INDEX(Variablen!$I:$AT, MATCH(M16, Variablen!$A:$A, 0), MATCH((YEAR(D16)+0), Variablen!$I$3:$AT$3, 0))="",L16,INDEX(Variablen!$I:$AT, MATCH(M16, Variablen!$A:$A, 0), MATCH((YEAR(D16)+0), Variablen!$I$3:$AT$3, 0))),L16)))*(IF((YEAR(D16)+0)&lt;YEAR(E16),0,IF((YEAR(D16)+0)&gt;YEAR(E16),1,(12-MONTH(E16)+1)/12))) + (Q16)*(IF((YEAR(D16)+0)&lt;YEAR(E16),0,IF((YEAR(D16)+0)&gt;YEAR(E16),1,(12-MONTH(E16)+1)/12))))-((P16)*(IF((YEAR(D16)+0)&lt;YEAR(E16),0,IF((YEAR(D16)+0)&gt;YEAR(E16),1,(12-MONTH(E16)+1)/12))) + (R16)*(IF((YEAR(D16)+0)&lt;YEAR(E16),0,IF((YEAR(D16)+0)&gt;YEAR(E16),1,(12-MONTH(E16)+1)/12))))-(IF((((K16)*(IF(M16="",L16,IFERROR(IF(INDEX(Variablen!$I:$AT, MATCH(M16, Variablen!$A:$A, 0), MATCH((YEAR(D16)+0), Variablen!$I$3:$AT$3, 0))="",L16,INDEX(Variablen!$I:$AT, MATCH(M16, Variablen!$A:$A, 0), MATCH((YEAR(D16)+0), Variablen!$I$3:$AT$3, 0))),L16)))*(IF((YEAR(D16)+0)&lt;YEAR(E16),0,IF((YEAR(D16)+0)&gt;YEAR(E16),1,(12-MONTH(E16)+1)/12))) + (Q16)*(IF((YEAR(D16)+0)&lt;YEAR(E16),0,IF((YEAR(D16)+0)&gt;YEAR(E16),1,(12-MONTH(E16)+1)/12))))-((P16)*(IF((YEAR(D16)+0)&lt;YEAR(E16),0,IF((YEAR(D16)+0)&gt;YEAR(E16),1,(12-MONTH(E16)+1)/12))) + (R16)*(IF((YEAR(D16)+0)&lt;YEAR(E16),0,IF((YEAR(D16)+0)&gt;YEAR(E16),1,(12-MONTH(E16)+1)/12))))-(IF(OR(N16="",N16&lt;=0),0,(O16/N16)*(IF(OR(N16="",N16&lt;=0),0,IF((YEAR(D16)+0)&lt;YEAR(E16),0,IF((YEAR(D16)+0)&gt;=YEAR(E16)+N16,0,IF((YEAR(D16)+0)=YEAR(E16),(12-MONTH(E16)+1)/12,1))))))))&gt;0,(((K16)*(IF(M16="",L16,IFERROR(IF(INDEX(Variablen!$I:$AT, MATCH(M16, Variablen!$A:$A, 0), MATCH((YEAR(D16)+0), Variablen!$I$3:$AT$3, 0))="",L16,INDEX(Variablen!$I:$AT, MATCH(M16, Variablen!$A:$A, 0), MATCH((YEAR(D16)+0), Variablen!$I$3:$AT$3, 0))),L16)))*(IF((YEAR(D16)+0)&lt;YEAR(E16),0,IF((YEAR(D16)+0)&gt;YEAR(E16),1,(12-MONTH(E16)+1)/12))) + (Q16)*(IF((YEAR(D16)+0)&lt;YEAR(E16),0,IF((YEAR(D16)+0)&gt;YEAR(E16),1,(12-MONTH(E16)+1)/12))))-((P16)*(IF((YEAR(D16)+0)&lt;YEAR(E16),0,IF((YEAR(D16)+0)&gt;YEAR(E16),1,(12-MONTH(E16)+1)/12))) + (R16)*(IF((YEAR(D16)+0)&lt;YEAR(E16),0,IF((YEAR(D16)+0)&gt;YEAR(E16),1,(12-MONTH(E16)+1)/12))))-(IF(OR(N16="",N16&lt;=0),0,(O16/N16)*(IF(OR(N16="",N16&lt;=0),0,IF((YEAR(D16)+0)&lt;YEAR(E16),0,IF((YEAR(D16)+0)&gt;=YEAR(E16)+N16,0,IF((YEAR(D16)+0)=YEAR(E16),(12-MONTH(E16)+1)/12,1))))))))*TaxRate,0))-IF(0=0,O16,0))</f>
        <v/>
      </c>
      <c r="T16" s="29">
        <f>IF(A16="","",((K16)*(IF(M16="",L16,IFERROR(IF(INDEX(Variablen!$I:$AT, MATCH(M16, Variablen!$A:$A, 0), MATCH((YEAR(D16)+1), Variablen!$I$3:$AT$3, 0))="",L16,INDEX(Variablen!$I:$AT, MATCH(M16, Variablen!$A:$A, 0), MATCH((YEAR(D16)+1), Variablen!$I$3:$AT$3, 0))),L16)))*(IF((YEAR(D16)+1)&lt;YEAR(E16),0,IF((YEAR(D16)+1)&gt;YEAR(E16),1,(12-MONTH(E16)+1)/12))) + (Q16)*(IF((YEAR(D16)+1)&lt;YEAR(E16),0,IF((YEAR(D16)+1)&gt;YEAR(E16),1,(12-MONTH(E16)+1)/12))))-((P16)*(IF((YEAR(D16)+1)&lt;YEAR(E16),0,IF((YEAR(D16)+1)&gt;YEAR(E16),1,(12-MONTH(E16)+1)/12))) + (R16)*(IF((YEAR(D16)+1)&lt;YEAR(E16),0,IF((YEAR(D16)+1)&gt;YEAR(E16),1,(12-MONTH(E16)+1)/12))))-(IF((((K16)*(IF(M16="",L16,IFERROR(IF(INDEX(Variablen!$I:$AT, MATCH(M16, Variablen!$A:$A, 0), MATCH((YEAR(D16)+1), Variablen!$I$3:$AT$3, 0))="",L16,INDEX(Variablen!$I:$AT, MATCH(M16, Variablen!$A:$A, 0), MATCH((YEAR(D16)+1), Variablen!$I$3:$AT$3, 0))),L16)))*(IF((YEAR(D16)+1)&lt;YEAR(E16),0,IF((YEAR(D16)+1)&gt;YEAR(E16),1,(12-MONTH(E16)+1)/12))) + (Q16)*(IF((YEAR(D16)+1)&lt;YEAR(E16),0,IF((YEAR(D16)+1)&gt;YEAR(E16),1,(12-MONTH(E16)+1)/12))))-((P16)*(IF((YEAR(D16)+1)&lt;YEAR(E16),0,IF((YEAR(D16)+1)&gt;YEAR(E16),1,(12-MONTH(E16)+1)/12))) + (R16)*(IF((YEAR(D16)+1)&lt;YEAR(E16),0,IF((YEAR(D16)+1)&gt;YEAR(E16),1,(12-MONTH(E16)+1)/12))))-(IF(OR(N16="",N16&lt;=0),0,(O16/N16)*(IF(OR(N16="",N16&lt;=0),0,IF((YEAR(D16)+1)&lt;YEAR(E16),0,IF((YEAR(D16)+1)&gt;=YEAR(E16)+N16,0,IF((YEAR(D16)+1)=YEAR(E16),(12-MONTH(E16)+1)/12,1))))))))&gt;0,(((K16)*(IF(M16="",L16,IFERROR(IF(INDEX(Variablen!$I:$AT, MATCH(M16, Variablen!$A:$A, 0), MATCH((YEAR(D16)+1), Variablen!$I$3:$AT$3, 0))="",L16,INDEX(Variablen!$I:$AT, MATCH(M16, Variablen!$A:$A, 0), MATCH((YEAR(D16)+1), Variablen!$I$3:$AT$3, 0))),L16)))*(IF((YEAR(D16)+1)&lt;YEAR(E16),0,IF((YEAR(D16)+1)&gt;YEAR(E16),1,(12-MONTH(E16)+1)/12))) + (Q16)*(IF((YEAR(D16)+1)&lt;YEAR(E16),0,IF((YEAR(D16)+1)&gt;YEAR(E16),1,(12-MONTH(E16)+1)/12))))-((P16)*(IF((YEAR(D16)+1)&lt;YEAR(E16),0,IF((YEAR(D16)+1)&gt;YEAR(E16),1,(12-MONTH(E16)+1)/12))) + (R16)*(IF((YEAR(D16)+1)&lt;YEAR(E16),0,IF((YEAR(D16)+1)&gt;YEAR(E16),1,(12-MONTH(E16)+1)/12))))-(IF(OR(N16="",N16&lt;=0),0,(O16/N16)*(IF(OR(N16="",N16&lt;=0),0,IF((YEAR(D16)+1)&lt;YEAR(E16),0,IF((YEAR(D16)+1)&gt;=YEAR(E16)+N16,0,IF((YEAR(D16)+1)=YEAR(E16),(12-MONTH(E16)+1)/12,1))))))))*TaxRate,0))-IF(1=0,O16,0))</f>
        <v/>
      </c>
      <c r="U16" s="29">
        <f>IF(A16="","",((K16)*(IF(M16="",L16,IFERROR(IF(INDEX(Variablen!$I:$AT, MATCH(M16, Variablen!$A:$A, 0), MATCH((YEAR(D16)+2), Variablen!$I$3:$AT$3, 0))="",L16,INDEX(Variablen!$I:$AT, MATCH(M16, Variablen!$A:$A, 0), MATCH((YEAR(D16)+2), Variablen!$I$3:$AT$3, 0))),L16)))*(IF((YEAR(D16)+2)&lt;YEAR(E16),0,IF((YEAR(D16)+2)&gt;YEAR(E16),1,(12-MONTH(E16)+1)/12))) + (Q16)*(IF((YEAR(D16)+2)&lt;YEAR(E16),0,IF((YEAR(D16)+2)&gt;YEAR(E16),1,(12-MONTH(E16)+1)/12))))-((P16)*(IF((YEAR(D16)+2)&lt;YEAR(E16),0,IF((YEAR(D16)+2)&gt;YEAR(E16),1,(12-MONTH(E16)+1)/12))) + (R16)*(IF((YEAR(D16)+2)&lt;YEAR(E16),0,IF((YEAR(D16)+2)&gt;YEAR(E16),1,(12-MONTH(E16)+1)/12))))-(IF((((K16)*(IF(M16="",L16,IFERROR(IF(INDEX(Variablen!$I:$AT, MATCH(M16, Variablen!$A:$A, 0), MATCH((YEAR(D16)+2), Variablen!$I$3:$AT$3, 0))="",L16,INDEX(Variablen!$I:$AT, MATCH(M16, Variablen!$A:$A, 0), MATCH((YEAR(D16)+2), Variablen!$I$3:$AT$3, 0))),L16)))*(IF((YEAR(D16)+2)&lt;YEAR(E16),0,IF((YEAR(D16)+2)&gt;YEAR(E16),1,(12-MONTH(E16)+1)/12))) + (Q16)*(IF((YEAR(D16)+2)&lt;YEAR(E16),0,IF((YEAR(D16)+2)&gt;YEAR(E16),1,(12-MONTH(E16)+1)/12))))-((P16)*(IF((YEAR(D16)+2)&lt;YEAR(E16),0,IF((YEAR(D16)+2)&gt;YEAR(E16),1,(12-MONTH(E16)+1)/12))) + (R16)*(IF((YEAR(D16)+2)&lt;YEAR(E16),0,IF((YEAR(D16)+2)&gt;YEAR(E16),1,(12-MONTH(E16)+1)/12))))-(IF(OR(N16="",N16&lt;=0),0,(O16/N16)*(IF(OR(N16="",N16&lt;=0),0,IF((YEAR(D16)+2)&lt;YEAR(E16),0,IF((YEAR(D16)+2)&gt;=YEAR(E16)+N16,0,IF((YEAR(D16)+2)=YEAR(E16),(12-MONTH(E16)+1)/12,1))))))))&gt;0,(((K16)*(IF(M16="",L16,IFERROR(IF(INDEX(Variablen!$I:$AT, MATCH(M16, Variablen!$A:$A, 0), MATCH((YEAR(D16)+2), Variablen!$I$3:$AT$3, 0))="",L16,INDEX(Variablen!$I:$AT, MATCH(M16, Variablen!$A:$A, 0), MATCH((YEAR(D16)+2), Variablen!$I$3:$AT$3, 0))),L16)))*(IF((YEAR(D16)+2)&lt;YEAR(E16),0,IF((YEAR(D16)+2)&gt;YEAR(E16),1,(12-MONTH(E16)+1)/12))) + (Q16)*(IF((YEAR(D16)+2)&lt;YEAR(E16),0,IF((YEAR(D16)+2)&gt;YEAR(E16),1,(12-MONTH(E16)+1)/12))))-((P16)*(IF((YEAR(D16)+2)&lt;YEAR(E16),0,IF((YEAR(D16)+2)&gt;YEAR(E16),1,(12-MONTH(E16)+1)/12))) + (R16)*(IF((YEAR(D16)+2)&lt;YEAR(E16),0,IF((YEAR(D16)+2)&gt;YEAR(E16),1,(12-MONTH(E16)+1)/12))))-(IF(OR(N16="",N16&lt;=0),0,(O16/N16)*(IF(OR(N16="",N16&lt;=0),0,IF((YEAR(D16)+2)&lt;YEAR(E16),0,IF((YEAR(D16)+2)&gt;=YEAR(E16)+N16,0,IF((YEAR(D16)+2)=YEAR(E16),(12-MONTH(E16)+1)/12,1))))))))*TaxRate,0))-IF(2=0,O16,0))</f>
        <v/>
      </c>
      <c r="V16" s="29">
        <f>IF(A16="","",((K16)*(IF(M16="",L16,IFERROR(IF(INDEX(Variablen!$I:$AT, MATCH(M16, Variablen!$A:$A, 0), MATCH((YEAR(D16)+3), Variablen!$I$3:$AT$3, 0))="",L16,INDEX(Variablen!$I:$AT, MATCH(M16, Variablen!$A:$A, 0), MATCH((YEAR(D16)+3), Variablen!$I$3:$AT$3, 0))),L16)))*(IF((YEAR(D16)+3)&lt;YEAR(E16),0,IF((YEAR(D16)+3)&gt;YEAR(E16),1,(12-MONTH(E16)+1)/12))) + (Q16)*(IF((YEAR(D16)+3)&lt;YEAR(E16),0,IF((YEAR(D16)+3)&gt;YEAR(E16),1,(12-MONTH(E16)+1)/12))))-((P16)*(IF((YEAR(D16)+3)&lt;YEAR(E16),0,IF((YEAR(D16)+3)&gt;YEAR(E16),1,(12-MONTH(E16)+1)/12))) + (R16)*(IF((YEAR(D16)+3)&lt;YEAR(E16),0,IF((YEAR(D16)+3)&gt;YEAR(E16),1,(12-MONTH(E16)+1)/12))))-(IF((((K16)*(IF(M16="",L16,IFERROR(IF(INDEX(Variablen!$I:$AT, MATCH(M16, Variablen!$A:$A, 0), MATCH((YEAR(D16)+3), Variablen!$I$3:$AT$3, 0))="",L16,INDEX(Variablen!$I:$AT, MATCH(M16, Variablen!$A:$A, 0), MATCH((YEAR(D16)+3), Variablen!$I$3:$AT$3, 0))),L16)))*(IF((YEAR(D16)+3)&lt;YEAR(E16),0,IF((YEAR(D16)+3)&gt;YEAR(E16),1,(12-MONTH(E16)+1)/12))) + (Q16)*(IF((YEAR(D16)+3)&lt;YEAR(E16),0,IF((YEAR(D16)+3)&gt;YEAR(E16),1,(12-MONTH(E16)+1)/12))))-((P16)*(IF((YEAR(D16)+3)&lt;YEAR(E16),0,IF((YEAR(D16)+3)&gt;YEAR(E16),1,(12-MONTH(E16)+1)/12))) + (R16)*(IF((YEAR(D16)+3)&lt;YEAR(E16),0,IF((YEAR(D16)+3)&gt;YEAR(E16),1,(12-MONTH(E16)+1)/12))))-(IF(OR(N16="",N16&lt;=0),0,(O16/N16)*(IF(OR(N16="",N16&lt;=0),0,IF((YEAR(D16)+3)&lt;YEAR(E16),0,IF((YEAR(D16)+3)&gt;=YEAR(E16)+N16,0,IF((YEAR(D16)+3)=YEAR(E16),(12-MONTH(E16)+1)/12,1))))))))&gt;0,(((K16)*(IF(M16="",L16,IFERROR(IF(INDEX(Variablen!$I:$AT, MATCH(M16, Variablen!$A:$A, 0), MATCH((YEAR(D16)+3), Variablen!$I$3:$AT$3, 0))="",L16,INDEX(Variablen!$I:$AT, MATCH(M16, Variablen!$A:$A, 0), MATCH((YEAR(D16)+3), Variablen!$I$3:$AT$3, 0))),L16)))*(IF((YEAR(D16)+3)&lt;YEAR(E16),0,IF((YEAR(D16)+3)&gt;YEAR(E16),1,(12-MONTH(E16)+1)/12))) + (Q16)*(IF((YEAR(D16)+3)&lt;YEAR(E16),0,IF((YEAR(D16)+3)&gt;YEAR(E16),1,(12-MONTH(E16)+1)/12))))-((P16)*(IF((YEAR(D16)+3)&lt;YEAR(E16),0,IF((YEAR(D16)+3)&gt;YEAR(E16),1,(12-MONTH(E16)+1)/12))) + (R16)*(IF((YEAR(D16)+3)&lt;YEAR(E16),0,IF((YEAR(D16)+3)&gt;YEAR(E16),1,(12-MONTH(E16)+1)/12))))-(IF(OR(N16="",N16&lt;=0),0,(O16/N16)*(IF(OR(N16="",N16&lt;=0),0,IF((YEAR(D16)+3)&lt;YEAR(E16),0,IF((YEAR(D16)+3)&gt;=YEAR(E16)+N16,0,IF((YEAR(D16)+3)=YEAR(E16),(12-MONTH(E16)+1)/12,1))))))))*TaxRate,0))-IF(3=0,O16,0))</f>
        <v/>
      </c>
      <c r="W16" s="29">
        <f>IF(A16="","",((K16)*(IF(M16="",L16,IFERROR(IF(INDEX(Variablen!$I:$AT, MATCH(M16, Variablen!$A:$A, 0), MATCH((YEAR(D16)+4), Variablen!$I$3:$AT$3, 0))="",L16,INDEX(Variablen!$I:$AT, MATCH(M16, Variablen!$A:$A, 0), MATCH((YEAR(D16)+4), Variablen!$I$3:$AT$3, 0))),L16)))*(IF((YEAR(D16)+4)&lt;YEAR(E16),0,IF((YEAR(D16)+4)&gt;YEAR(E16),1,(12-MONTH(E16)+1)/12))) + (Q16)*(IF((YEAR(D16)+4)&lt;YEAR(E16),0,IF((YEAR(D16)+4)&gt;YEAR(E16),1,(12-MONTH(E16)+1)/12))))-((P16)*(IF((YEAR(D16)+4)&lt;YEAR(E16),0,IF((YEAR(D16)+4)&gt;YEAR(E16),1,(12-MONTH(E16)+1)/12))) + (R16)*(IF((YEAR(D16)+4)&lt;YEAR(E16),0,IF((YEAR(D16)+4)&gt;YEAR(E16),1,(12-MONTH(E16)+1)/12))))-(IF((((K16)*(IF(M16="",L16,IFERROR(IF(INDEX(Variablen!$I:$AT, MATCH(M16, Variablen!$A:$A, 0), MATCH((YEAR(D16)+4), Variablen!$I$3:$AT$3, 0))="",L16,INDEX(Variablen!$I:$AT, MATCH(M16, Variablen!$A:$A, 0), MATCH((YEAR(D16)+4), Variablen!$I$3:$AT$3, 0))),L16)))*(IF((YEAR(D16)+4)&lt;YEAR(E16),0,IF((YEAR(D16)+4)&gt;YEAR(E16),1,(12-MONTH(E16)+1)/12))) + (Q16)*(IF((YEAR(D16)+4)&lt;YEAR(E16),0,IF((YEAR(D16)+4)&gt;YEAR(E16),1,(12-MONTH(E16)+1)/12))))-((P16)*(IF((YEAR(D16)+4)&lt;YEAR(E16),0,IF((YEAR(D16)+4)&gt;YEAR(E16),1,(12-MONTH(E16)+1)/12))) + (R16)*(IF((YEAR(D16)+4)&lt;YEAR(E16),0,IF((YEAR(D16)+4)&gt;YEAR(E16),1,(12-MONTH(E16)+1)/12))))-(IF(OR(N16="",N16&lt;=0),0,(O16/N16)*(IF(OR(N16="",N16&lt;=0),0,IF((YEAR(D16)+4)&lt;YEAR(E16),0,IF((YEAR(D16)+4)&gt;=YEAR(E16)+N16,0,IF((YEAR(D16)+4)=YEAR(E16),(12-MONTH(E16)+1)/12,1))))))))&gt;0,(((K16)*(IF(M16="",L16,IFERROR(IF(INDEX(Variablen!$I:$AT, MATCH(M16, Variablen!$A:$A, 0), MATCH((YEAR(D16)+4), Variablen!$I$3:$AT$3, 0))="",L16,INDEX(Variablen!$I:$AT, MATCH(M16, Variablen!$A:$A, 0), MATCH((YEAR(D16)+4), Variablen!$I$3:$AT$3, 0))),L16)))*(IF((YEAR(D16)+4)&lt;YEAR(E16),0,IF((YEAR(D16)+4)&gt;YEAR(E16),1,(12-MONTH(E16)+1)/12))) + (Q16)*(IF((YEAR(D16)+4)&lt;YEAR(E16),0,IF((YEAR(D16)+4)&gt;YEAR(E16),1,(12-MONTH(E16)+1)/12))))-((P16)*(IF((YEAR(D16)+4)&lt;YEAR(E16),0,IF((YEAR(D16)+4)&gt;YEAR(E16),1,(12-MONTH(E16)+1)/12))) + (R16)*(IF((YEAR(D16)+4)&lt;YEAR(E16),0,IF((YEAR(D16)+4)&gt;YEAR(E16),1,(12-MONTH(E16)+1)/12))))-(IF(OR(N16="",N16&lt;=0),0,(O16/N16)*(IF(OR(N16="",N16&lt;=0),0,IF((YEAR(D16)+4)&lt;YEAR(E16),0,IF((YEAR(D16)+4)&gt;=YEAR(E16)+N16,0,IF((YEAR(D16)+4)=YEAR(E16),(12-MONTH(E16)+1)/12,1))))))))*TaxRate,0))-IF(4=0,O16,0))</f>
        <v/>
      </c>
      <c r="X16" s="29">
        <f>IF(A16="","",((K16)*(IF(M16="",L16,IFERROR(IF(INDEX(Variablen!$I:$AT, MATCH(M16, Variablen!$A:$A, 0), MATCH((YEAR(D16)+5), Variablen!$I$3:$AT$3, 0))="",L16,INDEX(Variablen!$I:$AT, MATCH(M16, Variablen!$A:$A, 0), MATCH((YEAR(D16)+5), Variablen!$I$3:$AT$3, 0))),L16)))*(IF((YEAR(D16)+5)&lt;YEAR(E16),0,IF((YEAR(D16)+5)&gt;YEAR(E16),1,(12-MONTH(E16)+1)/12))) + (Q16)*(IF((YEAR(D16)+5)&lt;YEAR(E16),0,IF((YEAR(D16)+5)&gt;YEAR(E16),1,(12-MONTH(E16)+1)/12))))-((P16)*(IF((YEAR(D16)+5)&lt;YEAR(E16),0,IF((YEAR(D16)+5)&gt;YEAR(E16),1,(12-MONTH(E16)+1)/12))) + (R16)*(IF((YEAR(D16)+5)&lt;YEAR(E16),0,IF((YEAR(D16)+5)&gt;YEAR(E16),1,(12-MONTH(E16)+1)/12))))-(IF((((K16)*(IF(M16="",L16,IFERROR(IF(INDEX(Variablen!$I:$AT, MATCH(M16, Variablen!$A:$A, 0), MATCH((YEAR(D16)+5), Variablen!$I$3:$AT$3, 0))="",L16,INDEX(Variablen!$I:$AT, MATCH(M16, Variablen!$A:$A, 0), MATCH((YEAR(D16)+5), Variablen!$I$3:$AT$3, 0))),L16)))*(IF((YEAR(D16)+5)&lt;YEAR(E16),0,IF((YEAR(D16)+5)&gt;YEAR(E16),1,(12-MONTH(E16)+1)/12))) + (Q16)*(IF((YEAR(D16)+5)&lt;YEAR(E16),0,IF((YEAR(D16)+5)&gt;YEAR(E16),1,(12-MONTH(E16)+1)/12))))-((P16)*(IF((YEAR(D16)+5)&lt;YEAR(E16),0,IF((YEAR(D16)+5)&gt;YEAR(E16),1,(12-MONTH(E16)+1)/12))) + (R16)*(IF((YEAR(D16)+5)&lt;YEAR(E16),0,IF((YEAR(D16)+5)&gt;YEAR(E16),1,(12-MONTH(E16)+1)/12))))-(IF(OR(N16="",N16&lt;=0),0,(O16/N16)*(IF(OR(N16="",N16&lt;=0),0,IF((YEAR(D16)+5)&lt;YEAR(E16),0,IF((YEAR(D16)+5)&gt;=YEAR(E16)+N16,0,IF((YEAR(D16)+5)=YEAR(E16),(12-MONTH(E16)+1)/12,1))))))))&gt;0,(((K16)*(IF(M16="",L16,IFERROR(IF(INDEX(Variablen!$I:$AT, MATCH(M16, Variablen!$A:$A, 0), MATCH((YEAR(D16)+5), Variablen!$I$3:$AT$3, 0))="",L16,INDEX(Variablen!$I:$AT, MATCH(M16, Variablen!$A:$A, 0), MATCH((YEAR(D16)+5), Variablen!$I$3:$AT$3, 0))),L16)))*(IF((YEAR(D16)+5)&lt;YEAR(E16),0,IF((YEAR(D16)+5)&gt;YEAR(E16),1,(12-MONTH(E16)+1)/12))) + (Q16)*(IF((YEAR(D16)+5)&lt;YEAR(E16),0,IF((YEAR(D16)+5)&gt;YEAR(E16),1,(12-MONTH(E16)+1)/12))))-((P16)*(IF((YEAR(D16)+5)&lt;YEAR(E16),0,IF((YEAR(D16)+5)&gt;YEAR(E16),1,(12-MONTH(E16)+1)/12))) + (R16)*(IF((YEAR(D16)+5)&lt;YEAR(E16),0,IF((YEAR(D16)+5)&gt;YEAR(E16),1,(12-MONTH(E16)+1)/12))))-(IF(OR(N16="",N16&lt;=0),0,(O16/N16)*(IF(OR(N16="",N16&lt;=0),0,IF((YEAR(D16)+5)&lt;YEAR(E16),0,IF((YEAR(D16)+5)&gt;=YEAR(E16)+N16,0,IF((YEAR(D16)+5)=YEAR(E16),(12-MONTH(E16)+1)/12,1))))))))*TaxRate,0))-IF(5=0,O16,0))</f>
        <v/>
      </c>
      <c r="Y16" s="29">
        <f>IF(A16="","",((K16)*(IF(M16="",L16,IFERROR(IF(INDEX(Variablen!$I:$AT, MATCH(M16, Variablen!$A:$A, 0), MATCH((YEAR(D16)+6), Variablen!$I$3:$AT$3, 0))="",L16,INDEX(Variablen!$I:$AT, MATCH(M16, Variablen!$A:$A, 0), MATCH((YEAR(D16)+6), Variablen!$I$3:$AT$3, 0))),L16)))*(IF((YEAR(D16)+6)&lt;YEAR(E16),0,IF((YEAR(D16)+6)&gt;YEAR(E16),1,(12-MONTH(E16)+1)/12))) + (Q16)*(IF((YEAR(D16)+6)&lt;YEAR(E16),0,IF((YEAR(D16)+6)&gt;YEAR(E16),1,(12-MONTH(E16)+1)/12))))-((P16)*(IF((YEAR(D16)+6)&lt;YEAR(E16),0,IF((YEAR(D16)+6)&gt;YEAR(E16),1,(12-MONTH(E16)+1)/12))) + (R16)*(IF((YEAR(D16)+6)&lt;YEAR(E16),0,IF((YEAR(D16)+6)&gt;YEAR(E16),1,(12-MONTH(E16)+1)/12))))-(IF((((K16)*(IF(M16="",L16,IFERROR(IF(INDEX(Variablen!$I:$AT, MATCH(M16, Variablen!$A:$A, 0), MATCH((YEAR(D16)+6), Variablen!$I$3:$AT$3, 0))="",L16,INDEX(Variablen!$I:$AT, MATCH(M16, Variablen!$A:$A, 0), MATCH((YEAR(D16)+6), Variablen!$I$3:$AT$3, 0))),L16)))*(IF((YEAR(D16)+6)&lt;YEAR(E16),0,IF((YEAR(D16)+6)&gt;YEAR(E16),1,(12-MONTH(E16)+1)/12))) + (Q16)*(IF((YEAR(D16)+6)&lt;YEAR(E16),0,IF((YEAR(D16)+6)&gt;YEAR(E16),1,(12-MONTH(E16)+1)/12))))-((P16)*(IF((YEAR(D16)+6)&lt;YEAR(E16),0,IF((YEAR(D16)+6)&gt;YEAR(E16),1,(12-MONTH(E16)+1)/12))) + (R16)*(IF((YEAR(D16)+6)&lt;YEAR(E16),0,IF((YEAR(D16)+6)&gt;YEAR(E16),1,(12-MONTH(E16)+1)/12))))-(IF(OR(N16="",N16&lt;=0),0,(O16/N16)*(IF(OR(N16="",N16&lt;=0),0,IF((YEAR(D16)+6)&lt;YEAR(E16),0,IF((YEAR(D16)+6)&gt;=YEAR(E16)+N16,0,IF((YEAR(D16)+6)=YEAR(E16),(12-MONTH(E16)+1)/12,1))))))))&gt;0,(((K16)*(IF(M16="",L16,IFERROR(IF(INDEX(Variablen!$I:$AT, MATCH(M16, Variablen!$A:$A, 0), MATCH((YEAR(D16)+6), Variablen!$I$3:$AT$3, 0))="",L16,INDEX(Variablen!$I:$AT, MATCH(M16, Variablen!$A:$A, 0), MATCH((YEAR(D16)+6), Variablen!$I$3:$AT$3, 0))),L16)))*(IF((YEAR(D16)+6)&lt;YEAR(E16),0,IF((YEAR(D16)+6)&gt;YEAR(E16),1,(12-MONTH(E16)+1)/12))) + (Q16)*(IF((YEAR(D16)+6)&lt;YEAR(E16),0,IF((YEAR(D16)+6)&gt;YEAR(E16),1,(12-MONTH(E16)+1)/12))))-((P16)*(IF((YEAR(D16)+6)&lt;YEAR(E16),0,IF((YEAR(D16)+6)&gt;YEAR(E16),1,(12-MONTH(E16)+1)/12))) + (R16)*(IF((YEAR(D16)+6)&lt;YEAR(E16),0,IF((YEAR(D16)+6)&gt;YEAR(E16),1,(12-MONTH(E16)+1)/12))))-(IF(OR(N16="",N16&lt;=0),0,(O16/N16)*(IF(OR(N16="",N16&lt;=0),0,IF((YEAR(D16)+6)&lt;YEAR(E16),0,IF((YEAR(D16)+6)&gt;=YEAR(E16)+N16,0,IF((YEAR(D16)+6)=YEAR(E16),(12-MONTH(E16)+1)/12,1))))))))*TaxRate,0))-IF(6=0,O16,0))</f>
        <v/>
      </c>
      <c r="Z16" s="29">
        <f>IF(A16="","",((K16)*(IF(M16="",L16,IFERROR(IF(INDEX(Variablen!$I:$AT, MATCH(M16, Variablen!$A:$A, 0), MATCH((YEAR(D16)+7), Variablen!$I$3:$AT$3, 0))="",L16,INDEX(Variablen!$I:$AT, MATCH(M16, Variablen!$A:$A, 0), MATCH((YEAR(D16)+7), Variablen!$I$3:$AT$3, 0))),L16)))*(IF((YEAR(D16)+7)&lt;YEAR(E16),0,IF((YEAR(D16)+7)&gt;YEAR(E16),1,(12-MONTH(E16)+1)/12))) + (Q16)*(IF((YEAR(D16)+7)&lt;YEAR(E16),0,IF((YEAR(D16)+7)&gt;YEAR(E16),1,(12-MONTH(E16)+1)/12))))-((P16)*(IF((YEAR(D16)+7)&lt;YEAR(E16),0,IF((YEAR(D16)+7)&gt;YEAR(E16),1,(12-MONTH(E16)+1)/12))) + (R16)*(IF((YEAR(D16)+7)&lt;YEAR(E16),0,IF((YEAR(D16)+7)&gt;YEAR(E16),1,(12-MONTH(E16)+1)/12))))-(IF((((K16)*(IF(M16="",L16,IFERROR(IF(INDEX(Variablen!$I:$AT, MATCH(M16, Variablen!$A:$A, 0), MATCH((YEAR(D16)+7), Variablen!$I$3:$AT$3, 0))="",L16,INDEX(Variablen!$I:$AT, MATCH(M16, Variablen!$A:$A, 0), MATCH((YEAR(D16)+7), Variablen!$I$3:$AT$3, 0))),L16)))*(IF((YEAR(D16)+7)&lt;YEAR(E16),0,IF((YEAR(D16)+7)&gt;YEAR(E16),1,(12-MONTH(E16)+1)/12))) + (Q16)*(IF((YEAR(D16)+7)&lt;YEAR(E16),0,IF((YEAR(D16)+7)&gt;YEAR(E16),1,(12-MONTH(E16)+1)/12))))-((P16)*(IF((YEAR(D16)+7)&lt;YEAR(E16),0,IF((YEAR(D16)+7)&gt;YEAR(E16),1,(12-MONTH(E16)+1)/12))) + (R16)*(IF((YEAR(D16)+7)&lt;YEAR(E16),0,IF((YEAR(D16)+7)&gt;YEAR(E16),1,(12-MONTH(E16)+1)/12))))-(IF(OR(N16="",N16&lt;=0),0,(O16/N16)*(IF(OR(N16="",N16&lt;=0),0,IF((YEAR(D16)+7)&lt;YEAR(E16),0,IF((YEAR(D16)+7)&gt;=YEAR(E16)+N16,0,IF((YEAR(D16)+7)=YEAR(E16),(12-MONTH(E16)+1)/12,1))))))))&gt;0,(((K16)*(IF(M16="",L16,IFERROR(IF(INDEX(Variablen!$I:$AT, MATCH(M16, Variablen!$A:$A, 0), MATCH((YEAR(D16)+7), Variablen!$I$3:$AT$3, 0))="",L16,INDEX(Variablen!$I:$AT, MATCH(M16, Variablen!$A:$A, 0), MATCH((YEAR(D16)+7), Variablen!$I$3:$AT$3, 0))),L16)))*(IF((YEAR(D16)+7)&lt;YEAR(E16),0,IF((YEAR(D16)+7)&gt;YEAR(E16),1,(12-MONTH(E16)+1)/12))) + (Q16)*(IF((YEAR(D16)+7)&lt;YEAR(E16),0,IF((YEAR(D16)+7)&gt;YEAR(E16),1,(12-MONTH(E16)+1)/12))))-((P16)*(IF((YEAR(D16)+7)&lt;YEAR(E16),0,IF((YEAR(D16)+7)&gt;YEAR(E16),1,(12-MONTH(E16)+1)/12))) + (R16)*(IF((YEAR(D16)+7)&lt;YEAR(E16),0,IF((YEAR(D16)+7)&gt;YEAR(E16),1,(12-MONTH(E16)+1)/12))))-(IF(OR(N16="",N16&lt;=0),0,(O16/N16)*(IF(OR(N16="",N16&lt;=0),0,IF((YEAR(D16)+7)&lt;YEAR(E16),0,IF((YEAR(D16)+7)&gt;=YEAR(E16)+N16,0,IF((YEAR(D16)+7)=YEAR(E16),(12-MONTH(E16)+1)/12,1))))))))*TaxRate,0))-IF(7=0,O16,0))</f>
        <v/>
      </c>
      <c r="AA16" s="29">
        <f>IF(A16="","",((K16)*(IF(M16="",L16,IFERROR(IF(INDEX(Variablen!$I:$AT, MATCH(M16, Variablen!$A:$A, 0), MATCH((YEAR(D16)+8), Variablen!$I$3:$AT$3, 0))="",L16,INDEX(Variablen!$I:$AT, MATCH(M16, Variablen!$A:$A, 0), MATCH((YEAR(D16)+8), Variablen!$I$3:$AT$3, 0))),L16)))*(IF((YEAR(D16)+8)&lt;YEAR(E16),0,IF((YEAR(D16)+8)&gt;YEAR(E16),1,(12-MONTH(E16)+1)/12))) + (Q16)*(IF((YEAR(D16)+8)&lt;YEAR(E16),0,IF((YEAR(D16)+8)&gt;YEAR(E16),1,(12-MONTH(E16)+1)/12))))-((P16)*(IF((YEAR(D16)+8)&lt;YEAR(E16),0,IF((YEAR(D16)+8)&gt;YEAR(E16),1,(12-MONTH(E16)+1)/12))) + (R16)*(IF((YEAR(D16)+8)&lt;YEAR(E16),0,IF((YEAR(D16)+8)&gt;YEAR(E16),1,(12-MONTH(E16)+1)/12))))-(IF((((K16)*(IF(M16="",L16,IFERROR(IF(INDEX(Variablen!$I:$AT, MATCH(M16, Variablen!$A:$A, 0), MATCH((YEAR(D16)+8), Variablen!$I$3:$AT$3, 0))="",L16,INDEX(Variablen!$I:$AT, MATCH(M16, Variablen!$A:$A, 0), MATCH((YEAR(D16)+8), Variablen!$I$3:$AT$3, 0))),L16)))*(IF((YEAR(D16)+8)&lt;YEAR(E16),0,IF((YEAR(D16)+8)&gt;YEAR(E16),1,(12-MONTH(E16)+1)/12))) + (Q16)*(IF((YEAR(D16)+8)&lt;YEAR(E16),0,IF((YEAR(D16)+8)&gt;YEAR(E16),1,(12-MONTH(E16)+1)/12))))-((P16)*(IF((YEAR(D16)+8)&lt;YEAR(E16),0,IF((YEAR(D16)+8)&gt;YEAR(E16),1,(12-MONTH(E16)+1)/12))) + (R16)*(IF((YEAR(D16)+8)&lt;YEAR(E16),0,IF((YEAR(D16)+8)&gt;YEAR(E16),1,(12-MONTH(E16)+1)/12))))-(IF(OR(N16="",N16&lt;=0),0,(O16/N16)*(IF(OR(N16="",N16&lt;=0),0,IF((YEAR(D16)+8)&lt;YEAR(E16),0,IF((YEAR(D16)+8)&gt;=YEAR(E16)+N16,0,IF((YEAR(D16)+8)=YEAR(E16),(12-MONTH(E16)+1)/12,1))))))))&gt;0,(((K16)*(IF(M16="",L16,IFERROR(IF(INDEX(Variablen!$I:$AT, MATCH(M16, Variablen!$A:$A, 0), MATCH((YEAR(D16)+8), Variablen!$I$3:$AT$3, 0))="",L16,INDEX(Variablen!$I:$AT, MATCH(M16, Variablen!$A:$A, 0), MATCH((YEAR(D16)+8), Variablen!$I$3:$AT$3, 0))),L16)))*(IF((YEAR(D16)+8)&lt;YEAR(E16),0,IF((YEAR(D16)+8)&gt;YEAR(E16),1,(12-MONTH(E16)+1)/12))) + (Q16)*(IF((YEAR(D16)+8)&lt;YEAR(E16),0,IF((YEAR(D16)+8)&gt;YEAR(E16),1,(12-MONTH(E16)+1)/12))))-((P16)*(IF((YEAR(D16)+8)&lt;YEAR(E16),0,IF((YEAR(D16)+8)&gt;YEAR(E16),1,(12-MONTH(E16)+1)/12))) + (R16)*(IF((YEAR(D16)+8)&lt;YEAR(E16),0,IF((YEAR(D16)+8)&gt;YEAR(E16),1,(12-MONTH(E16)+1)/12))))-(IF(OR(N16="",N16&lt;=0),0,(O16/N16)*(IF(OR(N16="",N16&lt;=0),0,IF((YEAR(D16)+8)&lt;YEAR(E16),0,IF((YEAR(D16)+8)&gt;=YEAR(E16)+N16,0,IF((YEAR(D16)+8)=YEAR(E16),(12-MONTH(E16)+1)/12,1))))))))*TaxRate,0))-IF(8=0,O16,0))</f>
        <v/>
      </c>
      <c r="AB16" s="29">
        <f>IF(A16="","",((K16)*(IF(M16="",L16,IFERROR(IF(INDEX(Variablen!$I:$AT, MATCH(M16, Variablen!$A:$A, 0), MATCH((YEAR(D16)+9), Variablen!$I$3:$AT$3, 0))="",L16,INDEX(Variablen!$I:$AT, MATCH(M16, Variablen!$A:$A, 0), MATCH((YEAR(D16)+9), Variablen!$I$3:$AT$3, 0))),L16)))*(IF((YEAR(D16)+9)&lt;YEAR(E16),0,IF((YEAR(D16)+9)&gt;YEAR(E16),1,(12-MONTH(E16)+1)/12))) + (Q16)*(IF((YEAR(D16)+9)&lt;YEAR(E16),0,IF((YEAR(D16)+9)&gt;YEAR(E16),1,(12-MONTH(E16)+1)/12))))-((P16)*(IF((YEAR(D16)+9)&lt;YEAR(E16),0,IF((YEAR(D16)+9)&gt;YEAR(E16),1,(12-MONTH(E16)+1)/12))) + (R16)*(IF((YEAR(D16)+9)&lt;YEAR(E16),0,IF((YEAR(D16)+9)&gt;YEAR(E16),1,(12-MONTH(E16)+1)/12))))-(IF((((K16)*(IF(M16="",L16,IFERROR(IF(INDEX(Variablen!$I:$AT, MATCH(M16, Variablen!$A:$A, 0), MATCH((YEAR(D16)+9), Variablen!$I$3:$AT$3, 0))="",L16,INDEX(Variablen!$I:$AT, MATCH(M16, Variablen!$A:$A, 0), MATCH((YEAR(D16)+9), Variablen!$I$3:$AT$3, 0))),L16)))*(IF((YEAR(D16)+9)&lt;YEAR(E16),0,IF((YEAR(D16)+9)&gt;YEAR(E16),1,(12-MONTH(E16)+1)/12))) + (Q16)*(IF((YEAR(D16)+9)&lt;YEAR(E16),0,IF((YEAR(D16)+9)&gt;YEAR(E16),1,(12-MONTH(E16)+1)/12))))-((P16)*(IF((YEAR(D16)+9)&lt;YEAR(E16),0,IF((YEAR(D16)+9)&gt;YEAR(E16),1,(12-MONTH(E16)+1)/12))) + (R16)*(IF((YEAR(D16)+9)&lt;YEAR(E16),0,IF((YEAR(D16)+9)&gt;YEAR(E16),1,(12-MONTH(E16)+1)/12))))-(IF(OR(N16="",N16&lt;=0),0,(O16/N16)*(IF(OR(N16="",N16&lt;=0),0,IF((YEAR(D16)+9)&lt;YEAR(E16),0,IF((YEAR(D16)+9)&gt;=YEAR(E16)+N16,0,IF((YEAR(D16)+9)=YEAR(E16),(12-MONTH(E16)+1)/12,1))))))))&gt;0,(((K16)*(IF(M16="",L16,IFERROR(IF(INDEX(Variablen!$I:$AT, MATCH(M16, Variablen!$A:$A, 0), MATCH((YEAR(D16)+9), Variablen!$I$3:$AT$3, 0))="",L16,INDEX(Variablen!$I:$AT, MATCH(M16, Variablen!$A:$A, 0), MATCH((YEAR(D16)+9), Variablen!$I$3:$AT$3, 0))),L16)))*(IF((YEAR(D16)+9)&lt;YEAR(E16),0,IF((YEAR(D16)+9)&gt;YEAR(E16),1,(12-MONTH(E16)+1)/12))) + (Q16)*(IF((YEAR(D16)+9)&lt;YEAR(E16),0,IF((YEAR(D16)+9)&gt;YEAR(E16),1,(12-MONTH(E16)+1)/12))))-((P16)*(IF((YEAR(D16)+9)&lt;YEAR(E16),0,IF((YEAR(D16)+9)&gt;YEAR(E16),1,(12-MONTH(E16)+1)/12))) + (R16)*(IF((YEAR(D16)+9)&lt;YEAR(E16),0,IF((YEAR(D16)+9)&gt;YEAR(E16),1,(12-MONTH(E16)+1)/12))))-(IF(OR(N16="",N16&lt;=0),0,(O16/N16)*(IF(OR(N16="",N16&lt;=0),0,IF((YEAR(D16)+9)&lt;YEAR(E16),0,IF((YEAR(D16)+9)&gt;=YEAR(E16)+N16,0,IF((YEAR(D16)+9)=YEAR(E16),(12-MONTH(E16)+1)/12,1))))))))*TaxRate,0))-IF(9=0,O16,0))</f>
        <v/>
      </c>
      <c r="AC16" s="29">
        <f>IF(A16="","",((K16)*(IF(M16="",L16,IFERROR(IF(INDEX(Variablen!$I:$AT, MATCH(M16, Variablen!$A:$A, 0), MATCH((YEAR(D16)+10), Variablen!$I$3:$AT$3, 0))="",L16,INDEX(Variablen!$I:$AT, MATCH(M16, Variablen!$A:$A, 0), MATCH((YEAR(D16)+10), Variablen!$I$3:$AT$3, 0))),L16)))*(IF((YEAR(D16)+10)&lt;YEAR(E16),0,IF((YEAR(D16)+10)&gt;YEAR(E16),1,(12-MONTH(E16)+1)/12))) + (Q16)*(IF((YEAR(D16)+10)&lt;YEAR(E16),0,IF((YEAR(D16)+10)&gt;YEAR(E16),1,(12-MONTH(E16)+1)/12))))-((P16)*(IF((YEAR(D16)+10)&lt;YEAR(E16),0,IF((YEAR(D16)+10)&gt;YEAR(E16),1,(12-MONTH(E16)+1)/12))) + (R16)*(IF((YEAR(D16)+10)&lt;YEAR(E16),0,IF((YEAR(D16)+10)&gt;YEAR(E16),1,(12-MONTH(E16)+1)/12))))-(IF((((K16)*(IF(M16="",L16,IFERROR(IF(INDEX(Variablen!$I:$AT, MATCH(M16, Variablen!$A:$A, 0), MATCH((YEAR(D16)+10), Variablen!$I$3:$AT$3, 0))="",L16,INDEX(Variablen!$I:$AT, MATCH(M16, Variablen!$A:$A, 0), MATCH((YEAR(D16)+10), Variablen!$I$3:$AT$3, 0))),L16)))*(IF((YEAR(D16)+10)&lt;YEAR(E16),0,IF((YEAR(D16)+10)&gt;YEAR(E16),1,(12-MONTH(E16)+1)/12))) + (Q16)*(IF((YEAR(D16)+10)&lt;YEAR(E16),0,IF((YEAR(D16)+10)&gt;YEAR(E16),1,(12-MONTH(E16)+1)/12))))-((P16)*(IF((YEAR(D16)+10)&lt;YEAR(E16),0,IF((YEAR(D16)+10)&gt;YEAR(E16),1,(12-MONTH(E16)+1)/12))) + (R16)*(IF((YEAR(D16)+10)&lt;YEAR(E16),0,IF((YEAR(D16)+10)&gt;YEAR(E16),1,(12-MONTH(E16)+1)/12))))-(IF(OR(N16="",N16&lt;=0),0,(O16/N16)*(IF(OR(N16="",N16&lt;=0),0,IF((YEAR(D16)+10)&lt;YEAR(E16),0,IF((YEAR(D16)+10)&gt;=YEAR(E16)+N16,0,IF((YEAR(D16)+10)=YEAR(E16),(12-MONTH(E16)+1)/12,1))))))))&gt;0,(((K16)*(IF(M16="",L16,IFERROR(IF(INDEX(Variablen!$I:$AT, MATCH(M16, Variablen!$A:$A, 0), MATCH((YEAR(D16)+10), Variablen!$I$3:$AT$3, 0))="",L16,INDEX(Variablen!$I:$AT, MATCH(M16, Variablen!$A:$A, 0), MATCH((YEAR(D16)+10), Variablen!$I$3:$AT$3, 0))),L16)))*(IF((YEAR(D16)+10)&lt;YEAR(E16),0,IF((YEAR(D16)+10)&gt;YEAR(E16),1,(12-MONTH(E16)+1)/12))) + (Q16)*(IF((YEAR(D16)+10)&lt;YEAR(E16),0,IF((YEAR(D16)+10)&gt;YEAR(E16),1,(12-MONTH(E16)+1)/12))))-((P16)*(IF((YEAR(D16)+10)&lt;YEAR(E16),0,IF((YEAR(D16)+10)&gt;YEAR(E16),1,(12-MONTH(E16)+1)/12))) + (R16)*(IF((YEAR(D16)+10)&lt;YEAR(E16),0,IF((YEAR(D16)+10)&gt;YEAR(E16),1,(12-MONTH(E16)+1)/12))))-(IF(OR(N16="",N16&lt;=0),0,(O16/N16)*(IF(OR(N16="",N16&lt;=0),0,IF((YEAR(D16)+10)&lt;YEAR(E16),0,IF((YEAR(D16)+10)&gt;=YEAR(E16)+N16,0,IF((YEAR(D16)+10)=YEAR(E16),(12-MONTH(E16)+1)/12,1))))))))*TaxRate,0))-IF(10=0,O16,0))</f>
        <v/>
      </c>
      <c r="AD16" s="29">
        <f>IF(A16="","",((K16)*(IF(M16="",L16,IFERROR(IF(INDEX(Variablen!$I:$AT, MATCH(M16, Variablen!$A:$A, 0), MATCH((YEAR(D16)+11), Variablen!$I$3:$AT$3, 0))="",L16,INDEX(Variablen!$I:$AT, MATCH(M16, Variablen!$A:$A, 0), MATCH((YEAR(D16)+11), Variablen!$I$3:$AT$3, 0))),L16)))*(IF((YEAR(D16)+11)&lt;YEAR(E16),0,IF((YEAR(D16)+11)&gt;YEAR(E16),1,(12-MONTH(E16)+1)/12))) + (Q16)*(IF((YEAR(D16)+11)&lt;YEAR(E16),0,IF((YEAR(D16)+11)&gt;YEAR(E16),1,(12-MONTH(E16)+1)/12))))-((P16)*(IF((YEAR(D16)+11)&lt;YEAR(E16),0,IF((YEAR(D16)+11)&gt;YEAR(E16),1,(12-MONTH(E16)+1)/12))) + (R16)*(IF((YEAR(D16)+11)&lt;YEAR(E16),0,IF((YEAR(D16)+11)&gt;YEAR(E16),1,(12-MONTH(E16)+1)/12))))-(IF((((K16)*(IF(M16="",L16,IFERROR(IF(INDEX(Variablen!$I:$AT, MATCH(M16, Variablen!$A:$A, 0), MATCH((YEAR(D16)+11), Variablen!$I$3:$AT$3, 0))="",L16,INDEX(Variablen!$I:$AT, MATCH(M16, Variablen!$A:$A, 0), MATCH((YEAR(D16)+11), Variablen!$I$3:$AT$3, 0))),L16)))*(IF((YEAR(D16)+11)&lt;YEAR(E16),0,IF((YEAR(D16)+11)&gt;YEAR(E16),1,(12-MONTH(E16)+1)/12))) + (Q16)*(IF((YEAR(D16)+11)&lt;YEAR(E16),0,IF((YEAR(D16)+11)&gt;YEAR(E16),1,(12-MONTH(E16)+1)/12))))-((P16)*(IF((YEAR(D16)+11)&lt;YEAR(E16),0,IF((YEAR(D16)+11)&gt;YEAR(E16),1,(12-MONTH(E16)+1)/12))) + (R16)*(IF((YEAR(D16)+11)&lt;YEAR(E16),0,IF((YEAR(D16)+11)&gt;YEAR(E16),1,(12-MONTH(E16)+1)/12))))-(IF(OR(N16="",N16&lt;=0),0,(O16/N16)*(IF(OR(N16="",N16&lt;=0),0,IF((YEAR(D16)+11)&lt;YEAR(E16),0,IF((YEAR(D16)+11)&gt;=YEAR(E16)+N16,0,IF((YEAR(D16)+11)=YEAR(E16),(12-MONTH(E16)+1)/12,1))))))))&gt;0,(((K16)*(IF(M16="",L16,IFERROR(IF(INDEX(Variablen!$I:$AT, MATCH(M16, Variablen!$A:$A, 0), MATCH((YEAR(D16)+11), Variablen!$I$3:$AT$3, 0))="",L16,INDEX(Variablen!$I:$AT, MATCH(M16, Variablen!$A:$A, 0), MATCH((YEAR(D16)+11), Variablen!$I$3:$AT$3, 0))),L16)))*(IF((YEAR(D16)+11)&lt;YEAR(E16),0,IF((YEAR(D16)+11)&gt;YEAR(E16),1,(12-MONTH(E16)+1)/12))) + (Q16)*(IF((YEAR(D16)+11)&lt;YEAR(E16),0,IF((YEAR(D16)+11)&gt;YEAR(E16),1,(12-MONTH(E16)+1)/12))))-((P16)*(IF((YEAR(D16)+11)&lt;YEAR(E16),0,IF((YEAR(D16)+11)&gt;YEAR(E16),1,(12-MONTH(E16)+1)/12))) + (R16)*(IF((YEAR(D16)+11)&lt;YEAR(E16),0,IF((YEAR(D16)+11)&gt;YEAR(E16),1,(12-MONTH(E16)+1)/12))))-(IF(OR(N16="",N16&lt;=0),0,(O16/N16)*(IF(OR(N16="",N16&lt;=0),0,IF((YEAR(D16)+11)&lt;YEAR(E16),0,IF((YEAR(D16)+11)&gt;=YEAR(E16)+N16,0,IF((YEAR(D16)+11)=YEAR(E16),(12-MONTH(E16)+1)/12,1))))))))*TaxRate,0))-IF(11=0,O16,0))</f>
        <v/>
      </c>
      <c r="AE16" s="29">
        <f>IF(A16="","",((K16)*(IF(M16="",L16,IFERROR(IF(INDEX(Variablen!$I:$AT, MATCH(M16, Variablen!$A:$A, 0), MATCH((YEAR(D16)+12), Variablen!$I$3:$AT$3, 0))="",L16,INDEX(Variablen!$I:$AT, MATCH(M16, Variablen!$A:$A, 0), MATCH((YEAR(D16)+12), Variablen!$I$3:$AT$3, 0))),L16)))*(IF((YEAR(D16)+12)&lt;YEAR(E16),0,IF((YEAR(D16)+12)&gt;YEAR(E16),1,(12-MONTH(E16)+1)/12))) + (Q16)*(IF((YEAR(D16)+12)&lt;YEAR(E16),0,IF((YEAR(D16)+12)&gt;YEAR(E16),1,(12-MONTH(E16)+1)/12))))-((P16)*(IF((YEAR(D16)+12)&lt;YEAR(E16),0,IF((YEAR(D16)+12)&gt;YEAR(E16),1,(12-MONTH(E16)+1)/12))) + (R16)*(IF((YEAR(D16)+12)&lt;YEAR(E16),0,IF((YEAR(D16)+12)&gt;YEAR(E16),1,(12-MONTH(E16)+1)/12))))-(IF((((K16)*(IF(M16="",L16,IFERROR(IF(INDEX(Variablen!$I:$AT, MATCH(M16, Variablen!$A:$A, 0), MATCH((YEAR(D16)+12), Variablen!$I$3:$AT$3, 0))="",L16,INDEX(Variablen!$I:$AT, MATCH(M16, Variablen!$A:$A, 0), MATCH((YEAR(D16)+12), Variablen!$I$3:$AT$3, 0))),L16)))*(IF((YEAR(D16)+12)&lt;YEAR(E16),0,IF((YEAR(D16)+12)&gt;YEAR(E16),1,(12-MONTH(E16)+1)/12))) + (Q16)*(IF((YEAR(D16)+12)&lt;YEAR(E16),0,IF((YEAR(D16)+12)&gt;YEAR(E16),1,(12-MONTH(E16)+1)/12))))-((P16)*(IF((YEAR(D16)+12)&lt;YEAR(E16),0,IF((YEAR(D16)+12)&gt;YEAR(E16),1,(12-MONTH(E16)+1)/12))) + (R16)*(IF((YEAR(D16)+12)&lt;YEAR(E16),0,IF((YEAR(D16)+12)&gt;YEAR(E16),1,(12-MONTH(E16)+1)/12))))-(IF(OR(N16="",N16&lt;=0),0,(O16/N16)*(IF(OR(N16="",N16&lt;=0),0,IF((YEAR(D16)+12)&lt;YEAR(E16),0,IF((YEAR(D16)+12)&gt;=YEAR(E16)+N16,0,IF((YEAR(D16)+12)=YEAR(E16),(12-MONTH(E16)+1)/12,1))))))))&gt;0,(((K16)*(IF(M16="",L16,IFERROR(IF(INDEX(Variablen!$I:$AT, MATCH(M16, Variablen!$A:$A, 0), MATCH((YEAR(D16)+12), Variablen!$I$3:$AT$3, 0))="",L16,INDEX(Variablen!$I:$AT, MATCH(M16, Variablen!$A:$A, 0), MATCH((YEAR(D16)+12), Variablen!$I$3:$AT$3, 0))),L16)))*(IF((YEAR(D16)+12)&lt;YEAR(E16),0,IF((YEAR(D16)+12)&gt;YEAR(E16),1,(12-MONTH(E16)+1)/12))) + (Q16)*(IF((YEAR(D16)+12)&lt;YEAR(E16),0,IF((YEAR(D16)+12)&gt;YEAR(E16),1,(12-MONTH(E16)+1)/12))))-((P16)*(IF((YEAR(D16)+12)&lt;YEAR(E16),0,IF((YEAR(D16)+12)&gt;YEAR(E16),1,(12-MONTH(E16)+1)/12))) + (R16)*(IF((YEAR(D16)+12)&lt;YEAR(E16),0,IF((YEAR(D16)+12)&gt;YEAR(E16),1,(12-MONTH(E16)+1)/12))))-(IF(OR(N16="",N16&lt;=0),0,(O16/N16)*(IF(OR(N16="",N16&lt;=0),0,IF((YEAR(D16)+12)&lt;YEAR(E16),0,IF((YEAR(D16)+12)&gt;=YEAR(E16)+N16,0,IF((YEAR(D16)+12)=YEAR(E16),(12-MONTH(E16)+1)/12,1))))))))*TaxRate,0))-IF(12=0,O16,0))</f>
        <v/>
      </c>
      <c r="AF16" s="29">
        <f>IF(A16="","",((K16)*(IF(M16="",L16,IFERROR(IF(INDEX(Variablen!$I:$AT, MATCH(M16, Variablen!$A:$A, 0), MATCH((YEAR(D16)+13), Variablen!$I$3:$AT$3, 0))="",L16,INDEX(Variablen!$I:$AT, MATCH(M16, Variablen!$A:$A, 0), MATCH((YEAR(D16)+13), Variablen!$I$3:$AT$3, 0))),L16)))*(IF((YEAR(D16)+13)&lt;YEAR(E16),0,IF((YEAR(D16)+13)&gt;YEAR(E16),1,(12-MONTH(E16)+1)/12))) + (Q16)*(IF((YEAR(D16)+13)&lt;YEAR(E16),0,IF((YEAR(D16)+13)&gt;YEAR(E16),1,(12-MONTH(E16)+1)/12))))-((P16)*(IF((YEAR(D16)+13)&lt;YEAR(E16),0,IF((YEAR(D16)+13)&gt;YEAR(E16),1,(12-MONTH(E16)+1)/12))) + (R16)*(IF((YEAR(D16)+13)&lt;YEAR(E16),0,IF((YEAR(D16)+13)&gt;YEAR(E16),1,(12-MONTH(E16)+1)/12))))-(IF((((K16)*(IF(M16="",L16,IFERROR(IF(INDEX(Variablen!$I:$AT, MATCH(M16, Variablen!$A:$A, 0), MATCH((YEAR(D16)+13), Variablen!$I$3:$AT$3, 0))="",L16,INDEX(Variablen!$I:$AT, MATCH(M16, Variablen!$A:$A, 0), MATCH((YEAR(D16)+13), Variablen!$I$3:$AT$3, 0))),L16)))*(IF((YEAR(D16)+13)&lt;YEAR(E16),0,IF((YEAR(D16)+13)&gt;YEAR(E16),1,(12-MONTH(E16)+1)/12))) + (Q16)*(IF((YEAR(D16)+13)&lt;YEAR(E16),0,IF((YEAR(D16)+13)&gt;YEAR(E16),1,(12-MONTH(E16)+1)/12))))-((P16)*(IF((YEAR(D16)+13)&lt;YEAR(E16),0,IF((YEAR(D16)+13)&gt;YEAR(E16),1,(12-MONTH(E16)+1)/12))) + (R16)*(IF((YEAR(D16)+13)&lt;YEAR(E16),0,IF((YEAR(D16)+13)&gt;YEAR(E16),1,(12-MONTH(E16)+1)/12))))-(IF(OR(N16="",N16&lt;=0),0,(O16/N16)*(IF(OR(N16="",N16&lt;=0),0,IF((YEAR(D16)+13)&lt;YEAR(E16),0,IF((YEAR(D16)+13)&gt;=YEAR(E16)+N16,0,IF((YEAR(D16)+13)=YEAR(E16),(12-MONTH(E16)+1)/12,1))))))))&gt;0,(((K16)*(IF(M16="",L16,IFERROR(IF(INDEX(Variablen!$I:$AT, MATCH(M16, Variablen!$A:$A, 0), MATCH((YEAR(D16)+13), Variablen!$I$3:$AT$3, 0))="",L16,INDEX(Variablen!$I:$AT, MATCH(M16, Variablen!$A:$A, 0), MATCH((YEAR(D16)+13), Variablen!$I$3:$AT$3, 0))),L16)))*(IF((YEAR(D16)+13)&lt;YEAR(E16),0,IF((YEAR(D16)+13)&gt;YEAR(E16),1,(12-MONTH(E16)+1)/12))) + (Q16)*(IF((YEAR(D16)+13)&lt;YEAR(E16),0,IF((YEAR(D16)+13)&gt;YEAR(E16),1,(12-MONTH(E16)+1)/12))))-((P16)*(IF((YEAR(D16)+13)&lt;YEAR(E16),0,IF((YEAR(D16)+13)&gt;YEAR(E16),1,(12-MONTH(E16)+1)/12))) + (R16)*(IF((YEAR(D16)+13)&lt;YEAR(E16),0,IF((YEAR(D16)+13)&gt;YEAR(E16),1,(12-MONTH(E16)+1)/12))))-(IF(OR(N16="",N16&lt;=0),0,(O16/N16)*(IF(OR(N16="",N16&lt;=0),0,IF((YEAR(D16)+13)&lt;YEAR(E16),0,IF((YEAR(D16)+13)&gt;=YEAR(E16)+N16,0,IF((YEAR(D16)+13)=YEAR(E16),(12-MONTH(E16)+1)/12,1))))))))*TaxRate,0))-IF(13=0,O16,0))</f>
        <v/>
      </c>
      <c r="AG16" s="29">
        <f>IF(A16="","",((K16)*(IF(M16="",L16,IFERROR(IF(INDEX(Variablen!$I:$AT, MATCH(M16, Variablen!$A:$A, 0), MATCH((YEAR(D16)+14), Variablen!$I$3:$AT$3, 0))="",L16,INDEX(Variablen!$I:$AT, MATCH(M16, Variablen!$A:$A, 0), MATCH((YEAR(D16)+14), Variablen!$I$3:$AT$3, 0))),L16)))*(IF((YEAR(D16)+14)&lt;YEAR(E16),0,IF((YEAR(D16)+14)&gt;YEAR(E16),1,(12-MONTH(E16)+1)/12))) + (Q16)*(IF((YEAR(D16)+14)&lt;YEAR(E16),0,IF((YEAR(D16)+14)&gt;YEAR(E16),1,(12-MONTH(E16)+1)/12))))-((P16)*(IF((YEAR(D16)+14)&lt;YEAR(E16),0,IF((YEAR(D16)+14)&gt;YEAR(E16),1,(12-MONTH(E16)+1)/12))) + (R16)*(IF((YEAR(D16)+14)&lt;YEAR(E16),0,IF((YEAR(D16)+14)&gt;YEAR(E16),1,(12-MONTH(E16)+1)/12))))-(IF((((K16)*(IF(M16="",L16,IFERROR(IF(INDEX(Variablen!$I:$AT, MATCH(M16, Variablen!$A:$A, 0), MATCH((YEAR(D16)+14), Variablen!$I$3:$AT$3, 0))="",L16,INDEX(Variablen!$I:$AT, MATCH(M16, Variablen!$A:$A, 0), MATCH((YEAR(D16)+14), Variablen!$I$3:$AT$3, 0))),L16)))*(IF((YEAR(D16)+14)&lt;YEAR(E16),0,IF((YEAR(D16)+14)&gt;YEAR(E16),1,(12-MONTH(E16)+1)/12))) + (Q16)*(IF((YEAR(D16)+14)&lt;YEAR(E16),0,IF((YEAR(D16)+14)&gt;YEAR(E16),1,(12-MONTH(E16)+1)/12))))-((P16)*(IF((YEAR(D16)+14)&lt;YEAR(E16),0,IF((YEAR(D16)+14)&gt;YEAR(E16),1,(12-MONTH(E16)+1)/12))) + (R16)*(IF((YEAR(D16)+14)&lt;YEAR(E16),0,IF((YEAR(D16)+14)&gt;YEAR(E16),1,(12-MONTH(E16)+1)/12))))-(IF(OR(N16="",N16&lt;=0),0,(O16/N16)*(IF(OR(N16="",N16&lt;=0),0,IF((YEAR(D16)+14)&lt;YEAR(E16),0,IF((YEAR(D16)+14)&gt;=YEAR(E16)+N16,0,IF((YEAR(D16)+14)=YEAR(E16),(12-MONTH(E16)+1)/12,1))))))))&gt;0,(((K16)*(IF(M16="",L16,IFERROR(IF(INDEX(Variablen!$I:$AT, MATCH(M16, Variablen!$A:$A, 0), MATCH((YEAR(D16)+14), Variablen!$I$3:$AT$3, 0))="",L16,INDEX(Variablen!$I:$AT, MATCH(M16, Variablen!$A:$A, 0), MATCH((YEAR(D16)+14), Variablen!$I$3:$AT$3, 0))),L16)))*(IF((YEAR(D16)+14)&lt;YEAR(E16),0,IF((YEAR(D16)+14)&gt;YEAR(E16),1,(12-MONTH(E16)+1)/12))) + (Q16)*(IF((YEAR(D16)+14)&lt;YEAR(E16),0,IF((YEAR(D16)+14)&gt;YEAR(E16),1,(12-MONTH(E16)+1)/12))))-((P16)*(IF((YEAR(D16)+14)&lt;YEAR(E16),0,IF((YEAR(D16)+14)&gt;YEAR(E16),1,(12-MONTH(E16)+1)/12))) + (R16)*(IF((YEAR(D16)+14)&lt;YEAR(E16),0,IF((YEAR(D16)+14)&gt;YEAR(E16),1,(12-MONTH(E16)+1)/12))))-(IF(OR(N16="",N16&lt;=0),0,(O16/N16)*(IF(OR(N16="",N16&lt;=0),0,IF((YEAR(D16)+14)&lt;YEAR(E16),0,IF((YEAR(D16)+14)&gt;=YEAR(E16)+N16,0,IF((YEAR(D16)+14)=YEAR(E16),(12-MONTH(E16)+1)/12,1))))))))*TaxRate,0))-IF(14=0,O16,0))</f>
        <v/>
      </c>
      <c r="AH16" s="29">
        <f>IF(A16="","",((K16)*(IF(M16="",L16,IFERROR(IF(INDEX(Variablen!$I:$AT, MATCH(M16, Variablen!$A:$A, 0), MATCH((YEAR(D16)+15), Variablen!$I$3:$AT$3, 0))="",L16,INDEX(Variablen!$I:$AT, MATCH(M16, Variablen!$A:$A, 0), MATCH((YEAR(D16)+15), Variablen!$I$3:$AT$3, 0))),L16)))*(IF((YEAR(D16)+15)&lt;YEAR(E16),0,IF((YEAR(D16)+15)&gt;YEAR(E16),1,(12-MONTH(E16)+1)/12))) + (Q16)*(IF((YEAR(D16)+15)&lt;YEAR(E16),0,IF((YEAR(D16)+15)&gt;YEAR(E16),1,(12-MONTH(E16)+1)/12))))-((P16)*(IF((YEAR(D16)+15)&lt;YEAR(E16),0,IF((YEAR(D16)+15)&gt;YEAR(E16),1,(12-MONTH(E16)+1)/12))) + (R16)*(IF((YEAR(D16)+15)&lt;YEAR(E16),0,IF((YEAR(D16)+15)&gt;YEAR(E16),1,(12-MONTH(E16)+1)/12))))-(IF((((K16)*(IF(M16="",L16,IFERROR(IF(INDEX(Variablen!$I:$AT, MATCH(M16, Variablen!$A:$A, 0), MATCH((YEAR(D16)+15), Variablen!$I$3:$AT$3, 0))="",L16,INDEX(Variablen!$I:$AT, MATCH(M16, Variablen!$A:$A, 0), MATCH((YEAR(D16)+15), Variablen!$I$3:$AT$3, 0))),L16)))*(IF((YEAR(D16)+15)&lt;YEAR(E16),0,IF((YEAR(D16)+15)&gt;YEAR(E16),1,(12-MONTH(E16)+1)/12))) + (Q16)*(IF((YEAR(D16)+15)&lt;YEAR(E16),0,IF((YEAR(D16)+15)&gt;YEAR(E16),1,(12-MONTH(E16)+1)/12))))-((P16)*(IF((YEAR(D16)+15)&lt;YEAR(E16),0,IF((YEAR(D16)+15)&gt;YEAR(E16),1,(12-MONTH(E16)+1)/12))) + (R16)*(IF((YEAR(D16)+15)&lt;YEAR(E16),0,IF((YEAR(D16)+15)&gt;YEAR(E16),1,(12-MONTH(E16)+1)/12))))-(IF(OR(N16="",N16&lt;=0),0,(O16/N16)*(IF(OR(N16="",N16&lt;=0),0,IF((YEAR(D16)+15)&lt;YEAR(E16),0,IF((YEAR(D16)+15)&gt;=YEAR(E16)+N16,0,IF((YEAR(D16)+15)=YEAR(E16),(12-MONTH(E16)+1)/12,1))))))))&gt;0,(((K16)*(IF(M16="",L16,IFERROR(IF(INDEX(Variablen!$I:$AT, MATCH(M16, Variablen!$A:$A, 0), MATCH((YEAR(D16)+15), Variablen!$I$3:$AT$3, 0))="",L16,INDEX(Variablen!$I:$AT, MATCH(M16, Variablen!$A:$A, 0), MATCH((YEAR(D16)+15), Variablen!$I$3:$AT$3, 0))),L16)))*(IF((YEAR(D16)+15)&lt;YEAR(E16),0,IF((YEAR(D16)+15)&gt;YEAR(E16),1,(12-MONTH(E16)+1)/12))) + (Q16)*(IF((YEAR(D16)+15)&lt;YEAR(E16),0,IF((YEAR(D16)+15)&gt;YEAR(E16),1,(12-MONTH(E16)+1)/12))))-((P16)*(IF((YEAR(D16)+15)&lt;YEAR(E16),0,IF((YEAR(D16)+15)&gt;YEAR(E16),1,(12-MONTH(E16)+1)/12))) + (R16)*(IF((YEAR(D16)+15)&lt;YEAR(E16),0,IF((YEAR(D16)+15)&gt;YEAR(E16),1,(12-MONTH(E16)+1)/12))))-(IF(OR(N16="",N16&lt;=0),0,(O16/N16)*(IF(OR(N16="",N16&lt;=0),0,IF((YEAR(D16)+15)&lt;YEAR(E16),0,IF((YEAR(D16)+15)&gt;=YEAR(E16)+N16,0,IF((YEAR(D16)+15)=YEAR(E16),(12-MONTH(E16)+1)/12,1))))))))*TaxRate,0))-IF(15=0,O16,0))</f>
        <v/>
      </c>
      <c r="AI16" s="29">
        <f>IF(A16="","",((K16)*(IF(M16="",L16,IFERROR(IF(INDEX(Variablen!$I:$AT, MATCH(M16, Variablen!$A:$A, 0), MATCH((YEAR(D16)+16), Variablen!$I$3:$AT$3, 0))="",L16,INDEX(Variablen!$I:$AT, MATCH(M16, Variablen!$A:$A, 0), MATCH((YEAR(D16)+16), Variablen!$I$3:$AT$3, 0))),L16)))*(IF((YEAR(D16)+16)&lt;YEAR(E16),0,IF((YEAR(D16)+16)&gt;YEAR(E16),1,(12-MONTH(E16)+1)/12))) + (Q16)*(IF((YEAR(D16)+16)&lt;YEAR(E16),0,IF((YEAR(D16)+16)&gt;YEAR(E16),1,(12-MONTH(E16)+1)/12))))-((P16)*(IF((YEAR(D16)+16)&lt;YEAR(E16),0,IF((YEAR(D16)+16)&gt;YEAR(E16),1,(12-MONTH(E16)+1)/12))) + (R16)*(IF((YEAR(D16)+16)&lt;YEAR(E16),0,IF((YEAR(D16)+16)&gt;YEAR(E16),1,(12-MONTH(E16)+1)/12))))-(IF((((K16)*(IF(M16="",L16,IFERROR(IF(INDEX(Variablen!$I:$AT, MATCH(M16, Variablen!$A:$A, 0), MATCH((YEAR(D16)+16), Variablen!$I$3:$AT$3, 0))="",L16,INDEX(Variablen!$I:$AT, MATCH(M16, Variablen!$A:$A, 0), MATCH((YEAR(D16)+16), Variablen!$I$3:$AT$3, 0))),L16)))*(IF((YEAR(D16)+16)&lt;YEAR(E16),0,IF((YEAR(D16)+16)&gt;YEAR(E16),1,(12-MONTH(E16)+1)/12))) + (Q16)*(IF((YEAR(D16)+16)&lt;YEAR(E16),0,IF((YEAR(D16)+16)&gt;YEAR(E16),1,(12-MONTH(E16)+1)/12))))-((P16)*(IF((YEAR(D16)+16)&lt;YEAR(E16),0,IF((YEAR(D16)+16)&gt;YEAR(E16),1,(12-MONTH(E16)+1)/12))) + (R16)*(IF((YEAR(D16)+16)&lt;YEAR(E16),0,IF((YEAR(D16)+16)&gt;YEAR(E16),1,(12-MONTH(E16)+1)/12))))-(IF(OR(N16="",N16&lt;=0),0,(O16/N16)*(IF(OR(N16="",N16&lt;=0),0,IF((YEAR(D16)+16)&lt;YEAR(E16),0,IF((YEAR(D16)+16)&gt;=YEAR(E16)+N16,0,IF((YEAR(D16)+16)=YEAR(E16),(12-MONTH(E16)+1)/12,1))))))))&gt;0,(((K16)*(IF(M16="",L16,IFERROR(IF(INDEX(Variablen!$I:$AT, MATCH(M16, Variablen!$A:$A, 0), MATCH((YEAR(D16)+16), Variablen!$I$3:$AT$3, 0))="",L16,INDEX(Variablen!$I:$AT, MATCH(M16, Variablen!$A:$A, 0), MATCH((YEAR(D16)+16), Variablen!$I$3:$AT$3, 0))),L16)))*(IF((YEAR(D16)+16)&lt;YEAR(E16),0,IF((YEAR(D16)+16)&gt;YEAR(E16),1,(12-MONTH(E16)+1)/12))) + (Q16)*(IF((YEAR(D16)+16)&lt;YEAR(E16),0,IF((YEAR(D16)+16)&gt;YEAR(E16),1,(12-MONTH(E16)+1)/12))))-((P16)*(IF((YEAR(D16)+16)&lt;YEAR(E16),0,IF((YEAR(D16)+16)&gt;YEAR(E16),1,(12-MONTH(E16)+1)/12))) + (R16)*(IF((YEAR(D16)+16)&lt;YEAR(E16),0,IF((YEAR(D16)+16)&gt;YEAR(E16),1,(12-MONTH(E16)+1)/12))))-(IF(OR(N16="",N16&lt;=0),0,(O16/N16)*(IF(OR(N16="",N16&lt;=0),0,IF((YEAR(D16)+16)&lt;YEAR(E16),0,IF((YEAR(D16)+16)&gt;=YEAR(E16)+N16,0,IF((YEAR(D16)+16)=YEAR(E16),(12-MONTH(E16)+1)/12,1))))))))*TaxRate,0))-IF(16=0,O16,0))</f>
        <v/>
      </c>
      <c r="AJ16" s="29">
        <f>IF(A16="","",((K16)*(IF(M16="",L16,IFERROR(IF(INDEX(Variablen!$I:$AT, MATCH(M16, Variablen!$A:$A, 0), MATCH((YEAR(D16)+17), Variablen!$I$3:$AT$3, 0))="",L16,INDEX(Variablen!$I:$AT, MATCH(M16, Variablen!$A:$A, 0), MATCH((YEAR(D16)+17), Variablen!$I$3:$AT$3, 0))),L16)))*(IF((YEAR(D16)+17)&lt;YEAR(E16),0,IF((YEAR(D16)+17)&gt;YEAR(E16),1,(12-MONTH(E16)+1)/12))) + (Q16)*(IF((YEAR(D16)+17)&lt;YEAR(E16),0,IF((YEAR(D16)+17)&gt;YEAR(E16),1,(12-MONTH(E16)+1)/12))))-((P16)*(IF((YEAR(D16)+17)&lt;YEAR(E16),0,IF((YEAR(D16)+17)&gt;YEAR(E16),1,(12-MONTH(E16)+1)/12))) + (R16)*(IF((YEAR(D16)+17)&lt;YEAR(E16),0,IF((YEAR(D16)+17)&gt;YEAR(E16),1,(12-MONTH(E16)+1)/12))))-(IF((((K16)*(IF(M16="",L16,IFERROR(IF(INDEX(Variablen!$I:$AT, MATCH(M16, Variablen!$A:$A, 0), MATCH((YEAR(D16)+17), Variablen!$I$3:$AT$3, 0))="",L16,INDEX(Variablen!$I:$AT, MATCH(M16, Variablen!$A:$A, 0), MATCH((YEAR(D16)+17), Variablen!$I$3:$AT$3, 0))),L16)))*(IF((YEAR(D16)+17)&lt;YEAR(E16),0,IF((YEAR(D16)+17)&gt;YEAR(E16),1,(12-MONTH(E16)+1)/12))) + (Q16)*(IF((YEAR(D16)+17)&lt;YEAR(E16),0,IF((YEAR(D16)+17)&gt;YEAR(E16),1,(12-MONTH(E16)+1)/12))))-((P16)*(IF((YEAR(D16)+17)&lt;YEAR(E16),0,IF((YEAR(D16)+17)&gt;YEAR(E16),1,(12-MONTH(E16)+1)/12))) + (R16)*(IF((YEAR(D16)+17)&lt;YEAR(E16),0,IF((YEAR(D16)+17)&gt;YEAR(E16),1,(12-MONTH(E16)+1)/12))))-(IF(OR(N16="",N16&lt;=0),0,(O16/N16)*(IF(OR(N16="",N16&lt;=0),0,IF((YEAR(D16)+17)&lt;YEAR(E16),0,IF((YEAR(D16)+17)&gt;=YEAR(E16)+N16,0,IF((YEAR(D16)+17)=YEAR(E16),(12-MONTH(E16)+1)/12,1))))))))&gt;0,(((K16)*(IF(M16="",L16,IFERROR(IF(INDEX(Variablen!$I:$AT, MATCH(M16, Variablen!$A:$A, 0), MATCH((YEAR(D16)+17), Variablen!$I$3:$AT$3, 0))="",L16,INDEX(Variablen!$I:$AT, MATCH(M16, Variablen!$A:$A, 0), MATCH((YEAR(D16)+17), Variablen!$I$3:$AT$3, 0))),L16)))*(IF((YEAR(D16)+17)&lt;YEAR(E16),0,IF((YEAR(D16)+17)&gt;YEAR(E16),1,(12-MONTH(E16)+1)/12))) + (Q16)*(IF((YEAR(D16)+17)&lt;YEAR(E16),0,IF((YEAR(D16)+17)&gt;YEAR(E16),1,(12-MONTH(E16)+1)/12))))-((P16)*(IF((YEAR(D16)+17)&lt;YEAR(E16),0,IF((YEAR(D16)+17)&gt;YEAR(E16),1,(12-MONTH(E16)+1)/12))) + (R16)*(IF((YEAR(D16)+17)&lt;YEAR(E16),0,IF((YEAR(D16)+17)&gt;YEAR(E16),1,(12-MONTH(E16)+1)/12))))-(IF(OR(N16="",N16&lt;=0),0,(O16/N16)*(IF(OR(N16="",N16&lt;=0),0,IF((YEAR(D16)+17)&lt;YEAR(E16),0,IF((YEAR(D16)+17)&gt;=YEAR(E16)+N16,0,IF((YEAR(D16)+17)=YEAR(E16),(12-MONTH(E16)+1)/12,1))))))))*TaxRate,0))-IF(17=0,O16,0))</f>
        <v/>
      </c>
      <c r="AK16" s="29">
        <f>IF(A16="","",((K16)*(IF(M16="",L16,IFERROR(IF(INDEX(Variablen!$I:$AT, MATCH(M16, Variablen!$A:$A, 0), MATCH((YEAR(D16)+18), Variablen!$I$3:$AT$3, 0))="",L16,INDEX(Variablen!$I:$AT, MATCH(M16, Variablen!$A:$A, 0), MATCH((YEAR(D16)+18), Variablen!$I$3:$AT$3, 0))),L16)))*(IF((YEAR(D16)+18)&lt;YEAR(E16),0,IF((YEAR(D16)+18)&gt;YEAR(E16),1,(12-MONTH(E16)+1)/12))) + (Q16)*(IF((YEAR(D16)+18)&lt;YEAR(E16),0,IF((YEAR(D16)+18)&gt;YEAR(E16),1,(12-MONTH(E16)+1)/12))))-((P16)*(IF((YEAR(D16)+18)&lt;YEAR(E16),0,IF((YEAR(D16)+18)&gt;YEAR(E16),1,(12-MONTH(E16)+1)/12))) + (R16)*(IF((YEAR(D16)+18)&lt;YEAR(E16),0,IF((YEAR(D16)+18)&gt;YEAR(E16),1,(12-MONTH(E16)+1)/12))))-(IF((((K16)*(IF(M16="",L16,IFERROR(IF(INDEX(Variablen!$I:$AT, MATCH(M16, Variablen!$A:$A, 0), MATCH((YEAR(D16)+18), Variablen!$I$3:$AT$3, 0))="",L16,INDEX(Variablen!$I:$AT, MATCH(M16, Variablen!$A:$A, 0), MATCH((YEAR(D16)+18), Variablen!$I$3:$AT$3, 0))),L16)))*(IF((YEAR(D16)+18)&lt;YEAR(E16),0,IF((YEAR(D16)+18)&gt;YEAR(E16),1,(12-MONTH(E16)+1)/12))) + (Q16)*(IF((YEAR(D16)+18)&lt;YEAR(E16),0,IF((YEAR(D16)+18)&gt;YEAR(E16),1,(12-MONTH(E16)+1)/12))))-((P16)*(IF((YEAR(D16)+18)&lt;YEAR(E16),0,IF((YEAR(D16)+18)&gt;YEAR(E16),1,(12-MONTH(E16)+1)/12))) + (R16)*(IF((YEAR(D16)+18)&lt;YEAR(E16),0,IF((YEAR(D16)+18)&gt;YEAR(E16),1,(12-MONTH(E16)+1)/12))))-(IF(OR(N16="",N16&lt;=0),0,(O16/N16)*(IF(OR(N16="",N16&lt;=0),0,IF((YEAR(D16)+18)&lt;YEAR(E16),0,IF((YEAR(D16)+18)&gt;=YEAR(E16)+N16,0,IF((YEAR(D16)+18)=YEAR(E16),(12-MONTH(E16)+1)/12,1))))))))&gt;0,(((K16)*(IF(M16="",L16,IFERROR(IF(INDEX(Variablen!$I:$AT, MATCH(M16, Variablen!$A:$A, 0), MATCH((YEAR(D16)+18), Variablen!$I$3:$AT$3, 0))="",L16,INDEX(Variablen!$I:$AT, MATCH(M16, Variablen!$A:$A, 0), MATCH((YEAR(D16)+18), Variablen!$I$3:$AT$3, 0))),L16)))*(IF((YEAR(D16)+18)&lt;YEAR(E16),0,IF((YEAR(D16)+18)&gt;YEAR(E16),1,(12-MONTH(E16)+1)/12))) + (Q16)*(IF((YEAR(D16)+18)&lt;YEAR(E16),0,IF((YEAR(D16)+18)&gt;YEAR(E16),1,(12-MONTH(E16)+1)/12))))-((P16)*(IF((YEAR(D16)+18)&lt;YEAR(E16),0,IF((YEAR(D16)+18)&gt;YEAR(E16),1,(12-MONTH(E16)+1)/12))) + (R16)*(IF((YEAR(D16)+18)&lt;YEAR(E16),0,IF((YEAR(D16)+18)&gt;YEAR(E16),1,(12-MONTH(E16)+1)/12))))-(IF(OR(N16="",N16&lt;=0),0,(O16/N16)*(IF(OR(N16="",N16&lt;=0),0,IF((YEAR(D16)+18)&lt;YEAR(E16),0,IF((YEAR(D16)+18)&gt;=YEAR(E16)+N16,0,IF((YEAR(D16)+18)=YEAR(E16),(12-MONTH(E16)+1)/12,1))))))))*TaxRate,0))-IF(18=0,O16,0))</f>
        <v/>
      </c>
      <c r="AL16" s="29">
        <f>IF(A16="","",((K16)*(IF(M16="",L16,IFERROR(IF(INDEX(Variablen!$I:$AT, MATCH(M16, Variablen!$A:$A, 0), MATCH((YEAR(D16)+19), Variablen!$I$3:$AT$3, 0))="",L16,INDEX(Variablen!$I:$AT, MATCH(M16, Variablen!$A:$A, 0), MATCH((YEAR(D16)+19), Variablen!$I$3:$AT$3, 0))),L16)))*(IF((YEAR(D16)+19)&lt;YEAR(E16),0,IF((YEAR(D16)+19)&gt;YEAR(E16),1,(12-MONTH(E16)+1)/12))) + (Q16)*(IF((YEAR(D16)+19)&lt;YEAR(E16),0,IF((YEAR(D16)+19)&gt;YEAR(E16),1,(12-MONTH(E16)+1)/12))))-((P16)*(IF((YEAR(D16)+19)&lt;YEAR(E16),0,IF((YEAR(D16)+19)&gt;YEAR(E16),1,(12-MONTH(E16)+1)/12))) + (R16)*(IF((YEAR(D16)+19)&lt;YEAR(E16),0,IF((YEAR(D16)+19)&gt;YEAR(E16),1,(12-MONTH(E16)+1)/12))))-(IF((((K16)*(IF(M16="",L16,IFERROR(IF(INDEX(Variablen!$I:$AT, MATCH(M16, Variablen!$A:$A, 0), MATCH((YEAR(D16)+19), Variablen!$I$3:$AT$3, 0))="",L16,INDEX(Variablen!$I:$AT, MATCH(M16, Variablen!$A:$A, 0), MATCH((YEAR(D16)+19), Variablen!$I$3:$AT$3, 0))),L16)))*(IF((YEAR(D16)+19)&lt;YEAR(E16),0,IF((YEAR(D16)+19)&gt;YEAR(E16),1,(12-MONTH(E16)+1)/12))) + (Q16)*(IF((YEAR(D16)+19)&lt;YEAR(E16),0,IF((YEAR(D16)+19)&gt;YEAR(E16),1,(12-MONTH(E16)+1)/12))))-((P16)*(IF((YEAR(D16)+19)&lt;YEAR(E16),0,IF((YEAR(D16)+19)&gt;YEAR(E16),1,(12-MONTH(E16)+1)/12))) + (R16)*(IF((YEAR(D16)+19)&lt;YEAR(E16),0,IF((YEAR(D16)+19)&gt;YEAR(E16),1,(12-MONTH(E16)+1)/12))))-(IF(OR(N16="",N16&lt;=0),0,(O16/N16)*(IF(OR(N16="",N16&lt;=0),0,IF((YEAR(D16)+19)&lt;YEAR(E16),0,IF((YEAR(D16)+19)&gt;=YEAR(E16)+N16,0,IF((YEAR(D16)+19)=YEAR(E16),(12-MONTH(E16)+1)/12,1))))))))&gt;0,(((K16)*(IF(M16="",L16,IFERROR(IF(INDEX(Variablen!$I:$AT, MATCH(M16, Variablen!$A:$A, 0), MATCH((YEAR(D16)+19), Variablen!$I$3:$AT$3, 0))="",L16,INDEX(Variablen!$I:$AT, MATCH(M16, Variablen!$A:$A, 0), MATCH((YEAR(D16)+19), Variablen!$I$3:$AT$3, 0))),L16)))*(IF((YEAR(D16)+19)&lt;YEAR(E16),0,IF((YEAR(D16)+19)&gt;YEAR(E16),1,(12-MONTH(E16)+1)/12))) + (Q16)*(IF((YEAR(D16)+19)&lt;YEAR(E16),0,IF((YEAR(D16)+19)&gt;YEAR(E16),1,(12-MONTH(E16)+1)/12))))-((P16)*(IF((YEAR(D16)+19)&lt;YEAR(E16),0,IF((YEAR(D16)+19)&gt;YEAR(E16),1,(12-MONTH(E16)+1)/12))) + (R16)*(IF((YEAR(D16)+19)&lt;YEAR(E16),0,IF((YEAR(D16)+19)&gt;YEAR(E16),1,(12-MONTH(E16)+1)/12))))-(IF(OR(N16="",N16&lt;=0),0,(O16/N16)*(IF(OR(N16="",N16&lt;=0),0,IF((YEAR(D16)+19)&lt;YEAR(E16),0,IF((YEAR(D16)+19)&gt;=YEAR(E16)+N16,0,IF((YEAR(D16)+19)=YEAR(E16),(12-MONTH(E16)+1)/12,1))))))))*TaxRate,0))-IF(19=0,O16,0))</f>
        <v/>
      </c>
      <c r="AM16" s="29">
        <f>IF(A16="","",((K16)*(IF(M16="",L16,IFERROR(IF(INDEX(Variablen!$I:$AT, MATCH(M16, Variablen!$A:$A, 0), MATCH((YEAR(D16)+20), Variablen!$I$3:$AT$3, 0))="",L16,INDEX(Variablen!$I:$AT, MATCH(M16, Variablen!$A:$A, 0), MATCH((YEAR(D16)+20), Variablen!$I$3:$AT$3, 0))),L16)))*(IF((YEAR(D16)+20)&lt;YEAR(E16),0,IF((YEAR(D16)+20)&gt;YEAR(E16),1,(12-MONTH(E16)+1)/12))) + (Q16)*(IF((YEAR(D16)+20)&lt;YEAR(E16),0,IF((YEAR(D16)+20)&gt;YEAR(E16),1,(12-MONTH(E16)+1)/12))))-((P16)*(IF((YEAR(D16)+20)&lt;YEAR(E16),0,IF((YEAR(D16)+20)&gt;YEAR(E16),1,(12-MONTH(E16)+1)/12))) + (R16)*(IF((YEAR(D16)+20)&lt;YEAR(E16),0,IF((YEAR(D16)+20)&gt;YEAR(E16),1,(12-MONTH(E16)+1)/12))))-(IF((((K16)*(IF(M16="",L16,IFERROR(IF(INDEX(Variablen!$I:$AT, MATCH(M16, Variablen!$A:$A, 0), MATCH((YEAR(D16)+20), Variablen!$I$3:$AT$3, 0))="",L16,INDEX(Variablen!$I:$AT, MATCH(M16, Variablen!$A:$A, 0), MATCH((YEAR(D16)+20), Variablen!$I$3:$AT$3, 0))),L16)))*(IF((YEAR(D16)+20)&lt;YEAR(E16),0,IF((YEAR(D16)+20)&gt;YEAR(E16),1,(12-MONTH(E16)+1)/12))) + (Q16)*(IF((YEAR(D16)+20)&lt;YEAR(E16),0,IF((YEAR(D16)+20)&gt;YEAR(E16),1,(12-MONTH(E16)+1)/12))))-((P16)*(IF((YEAR(D16)+20)&lt;YEAR(E16),0,IF((YEAR(D16)+20)&gt;YEAR(E16),1,(12-MONTH(E16)+1)/12))) + (R16)*(IF((YEAR(D16)+20)&lt;YEAR(E16),0,IF((YEAR(D16)+20)&gt;YEAR(E16),1,(12-MONTH(E16)+1)/12))))-(IF(OR(N16="",N16&lt;=0),0,(O16/N16)*(IF(OR(N16="",N16&lt;=0),0,IF((YEAR(D16)+20)&lt;YEAR(E16),0,IF((YEAR(D16)+20)&gt;=YEAR(E16)+N16,0,IF((YEAR(D16)+20)=YEAR(E16),(12-MONTH(E16)+1)/12,1))))))))&gt;0,(((K16)*(IF(M16="",L16,IFERROR(IF(INDEX(Variablen!$I:$AT, MATCH(M16, Variablen!$A:$A, 0), MATCH((YEAR(D16)+20), Variablen!$I$3:$AT$3, 0))="",L16,INDEX(Variablen!$I:$AT, MATCH(M16, Variablen!$A:$A, 0), MATCH((YEAR(D16)+20), Variablen!$I$3:$AT$3, 0))),L16)))*(IF((YEAR(D16)+20)&lt;YEAR(E16),0,IF((YEAR(D16)+20)&gt;YEAR(E16),1,(12-MONTH(E16)+1)/12))) + (Q16)*(IF((YEAR(D16)+20)&lt;YEAR(E16),0,IF((YEAR(D16)+20)&gt;YEAR(E16),1,(12-MONTH(E16)+1)/12))))-((P16)*(IF((YEAR(D16)+20)&lt;YEAR(E16),0,IF((YEAR(D16)+20)&gt;YEAR(E16),1,(12-MONTH(E16)+1)/12))) + (R16)*(IF((YEAR(D16)+20)&lt;YEAR(E16),0,IF((YEAR(D16)+20)&gt;YEAR(E16),1,(12-MONTH(E16)+1)/12))))-(IF(OR(N16="",N16&lt;=0),0,(O16/N16)*(IF(OR(N16="",N16&lt;=0),0,IF((YEAR(D16)+20)&lt;YEAR(E16),0,IF((YEAR(D16)+20)&gt;=YEAR(E16)+N16,0,IF((YEAR(D16)+20)=YEAR(E16),(12-MONTH(E16)+1)/12,1))))))))*TaxRate,0))-IF(20=0,O16,0))</f>
        <v/>
      </c>
      <c r="AN16" s="29">
        <f>IF(A16="","",S16)</f>
        <v/>
      </c>
      <c r="AO16" s="29">
        <f>IF(A16="","",AN16+T16)</f>
        <v/>
      </c>
      <c r="AP16" s="29">
        <f>IF(A16="","",AO16+U16)</f>
        <v/>
      </c>
      <c r="AQ16" s="29">
        <f>IF(A16="","",AP16+V16)</f>
        <v/>
      </c>
      <c r="AR16" s="29">
        <f>IF(A16="","",AQ16+W16)</f>
        <v/>
      </c>
      <c r="AS16" s="29">
        <f>IF(A16="","",AR16+X16)</f>
        <v/>
      </c>
      <c r="AT16" s="29">
        <f>IF(A16="","",AS16+Y16)</f>
        <v/>
      </c>
      <c r="AU16" s="29">
        <f>IF(A16="","",AT16+Z16)</f>
        <v/>
      </c>
      <c r="AV16" s="29">
        <f>IF(A16="","",AU16+AA16)</f>
        <v/>
      </c>
      <c r="AW16" s="29">
        <f>IF(A16="","",AV16+AB16)</f>
        <v/>
      </c>
      <c r="AX16" s="29">
        <f>IF(A16="","",AW16+AC16)</f>
        <v/>
      </c>
      <c r="AY16" s="29">
        <f>IF(A16="","",AX16+AD16)</f>
        <v/>
      </c>
      <c r="AZ16" s="29">
        <f>IF(A16="","",AY16+AE16)</f>
        <v/>
      </c>
      <c r="BA16" s="29">
        <f>IF(A16="","",AZ16+AF16)</f>
        <v/>
      </c>
      <c r="BB16" s="29">
        <f>IF(A16="","",BA16+AG16)</f>
        <v/>
      </c>
      <c r="BC16" s="29">
        <f>IF(A16="","",BB16+AH16)</f>
        <v/>
      </c>
      <c r="BD16" s="29">
        <f>IF(A16="","",BC16+AI16)</f>
        <v/>
      </c>
      <c r="BE16" s="29">
        <f>IF(A16="","",BD16+AJ16)</f>
        <v/>
      </c>
      <c r="BF16" s="29">
        <f>IF(A16="","",BE16+AK16)</f>
        <v/>
      </c>
      <c r="BG16" s="29">
        <f>IF(A16="","",BF16+AL16)</f>
        <v/>
      </c>
      <c r="BH16" s="29">
        <f>IF(A16="","",BG16+AM16)</f>
        <v/>
      </c>
      <c r="BI16" s="36">
        <f>IF(A16="","",(K16)*(IF((YEAR(D16)+0)&lt;YEAR(E16),0,IF((YEAR(D16)+0)&gt;YEAR(E16),1,(12-MONTH(E16)+1)/12)))*(1/(1+DiscountRate)^0))</f>
        <v/>
      </c>
      <c r="BJ16" s="36">
        <f>IF(A16="","",(K16)*(IF((YEAR(D16)+1)&lt;YEAR(E16),0,IF((YEAR(D16)+1)&gt;YEAR(E16),1,(12-MONTH(E16)+1)/12)))*(1/(1+DiscountRate)^1))</f>
        <v/>
      </c>
      <c r="BK16" s="36">
        <f>IF(A16="","",(K16)*(IF((YEAR(D16)+2)&lt;YEAR(E16),0,IF((YEAR(D16)+2)&gt;YEAR(E16),1,(12-MONTH(E16)+1)/12)))*(1/(1+DiscountRate)^2))</f>
        <v/>
      </c>
      <c r="BL16" s="36">
        <f>IF(A16="","",(K16)*(IF((YEAR(D16)+3)&lt;YEAR(E16),0,IF((YEAR(D16)+3)&gt;YEAR(E16),1,(12-MONTH(E16)+1)/12)))*(1/(1+DiscountRate)^3))</f>
        <v/>
      </c>
      <c r="BM16" s="36">
        <f>IF(A16="","",(K16)*(IF((YEAR(D16)+4)&lt;YEAR(E16),0,IF((YEAR(D16)+4)&gt;YEAR(E16),1,(12-MONTH(E16)+1)/12)))*(1/(1+DiscountRate)^4))</f>
        <v/>
      </c>
      <c r="BN16" s="36">
        <f>IF(A16="","",(K16)*(IF((YEAR(D16)+5)&lt;YEAR(E16),0,IF((YEAR(D16)+5)&gt;YEAR(E16),1,(12-MONTH(E16)+1)/12)))*(1/(1+DiscountRate)^5))</f>
        <v/>
      </c>
      <c r="BO16" s="36">
        <f>IF(A16="","",(K16)*(IF((YEAR(D16)+6)&lt;YEAR(E16),0,IF((YEAR(D16)+6)&gt;YEAR(E16),1,(12-MONTH(E16)+1)/12)))*(1/(1+DiscountRate)^6))</f>
        <v/>
      </c>
      <c r="BP16" s="36">
        <f>IF(A16="","",(K16)*(IF((YEAR(D16)+7)&lt;YEAR(E16),0,IF((YEAR(D16)+7)&gt;YEAR(E16),1,(12-MONTH(E16)+1)/12)))*(1/(1+DiscountRate)^7))</f>
        <v/>
      </c>
      <c r="BQ16" s="36">
        <f>IF(A16="","",(K16)*(IF((YEAR(D16)+8)&lt;YEAR(E16),0,IF((YEAR(D16)+8)&gt;YEAR(E16),1,(12-MONTH(E16)+1)/12)))*(1/(1+DiscountRate)^8))</f>
        <v/>
      </c>
      <c r="BR16" s="36">
        <f>IF(A16="","",(K16)*(IF((YEAR(D16)+9)&lt;YEAR(E16),0,IF((YEAR(D16)+9)&gt;YEAR(E16),1,(12-MONTH(E16)+1)/12)))*(1/(1+DiscountRate)^9))</f>
        <v/>
      </c>
      <c r="BS16" s="36">
        <f>IF(A16="","",(K16)*(IF((YEAR(D16)+10)&lt;YEAR(E16),0,IF((YEAR(D16)+10)&gt;YEAR(E16),1,(12-MONTH(E16)+1)/12)))*(1/(1+DiscountRate)^10))</f>
        <v/>
      </c>
      <c r="BT16" s="36">
        <f>IF(A16="","",(K16)*(IF((YEAR(D16)+11)&lt;YEAR(E16),0,IF((YEAR(D16)+11)&gt;YEAR(E16),1,(12-MONTH(E16)+1)/12)))*(1/(1+DiscountRate)^11))</f>
        <v/>
      </c>
      <c r="BU16" s="36">
        <f>IF(A16="","",(K16)*(IF((YEAR(D16)+12)&lt;YEAR(E16),0,IF((YEAR(D16)+12)&gt;YEAR(E16),1,(12-MONTH(E16)+1)/12)))*(1/(1+DiscountRate)^12))</f>
        <v/>
      </c>
      <c r="BV16" s="36">
        <f>IF(A16="","",(K16)*(IF((YEAR(D16)+13)&lt;YEAR(E16),0,IF((YEAR(D16)+13)&gt;YEAR(E16),1,(12-MONTH(E16)+1)/12)))*(1/(1+DiscountRate)^13))</f>
        <v/>
      </c>
      <c r="BW16" s="36">
        <f>IF(A16="","",(K16)*(IF((YEAR(D16)+14)&lt;YEAR(E16),0,IF((YEAR(D16)+14)&gt;YEAR(E16),1,(12-MONTH(E16)+1)/12)))*(1/(1+DiscountRate)^14))</f>
        <v/>
      </c>
      <c r="BX16" s="36">
        <f>IF(A16="","",(K16)*(IF((YEAR(D16)+15)&lt;YEAR(E16),0,IF((YEAR(D16)+15)&gt;YEAR(E16),1,(12-MONTH(E16)+1)/12)))*(1/(1+DiscountRate)^15))</f>
        <v/>
      </c>
      <c r="BY16" s="36">
        <f>IF(A16="","",(K16)*(IF((YEAR(D16)+16)&lt;YEAR(E16),0,IF((YEAR(D16)+16)&gt;YEAR(E16),1,(12-MONTH(E16)+1)/12)))*(1/(1+DiscountRate)^16))</f>
        <v/>
      </c>
      <c r="BZ16" s="36">
        <f>IF(A16="","",(K16)*(IF((YEAR(D16)+17)&lt;YEAR(E16),0,IF((YEAR(D16)+17)&gt;YEAR(E16),1,(12-MONTH(E16)+1)/12)))*(1/(1+DiscountRate)^17))</f>
        <v/>
      </c>
      <c r="CA16" s="36">
        <f>IF(A16="","",(K16)*(IF((YEAR(D16)+18)&lt;YEAR(E16),0,IF((YEAR(D16)+18)&gt;YEAR(E16),1,(12-MONTH(E16)+1)/12)))*(1/(1+DiscountRate)^18))</f>
        <v/>
      </c>
      <c r="CB16" s="36">
        <f>IF(A16="","",(K16)*(IF((YEAR(D16)+19)&lt;YEAR(E16),0,IF((YEAR(D16)+19)&gt;YEAR(E16),1,(12-MONTH(E16)+1)/12)))*(1/(1+DiscountRate)^19))</f>
        <v/>
      </c>
      <c r="CC16" s="36">
        <f>IF(A16="","",(K16)*(IF((YEAR(D16)+20)&lt;YEAR(E16),0,IF((YEAR(D16)+20)&gt;YEAR(E16),1,(12-MONTH(E16)+1)/12)))*(1/(1+DiscountRate)^20))</f>
        <v/>
      </c>
      <c r="CD16" s="29">
        <f>IF(A16="","",S16/(1+DiscountRate)^0+T16/(1+DiscountRate)^1+U16/(1+DiscountRate)^2+V16/(1+DiscountRate)^3+W16/(1+DiscountRate)^4+X16/(1+DiscountRate)^5+Y16/(1+DiscountRate)^6+Z16/(1+DiscountRate)^7+AA16/(1+DiscountRate)^8+AB16/(1+DiscountRate)^9+AC16/(1+DiscountRate)^10+AD16/(1+DiscountRate)^11+AE16/(1+DiscountRate)^12+AF16/(1+DiscountRate)^13+AG16/(1+DiscountRate)^14+AH16/(1+DiscountRate)^15+AI16/(1+DiscountRate)^16+AJ16/(1+DiscountRate)^17+AK16/(1+DiscountRate)^18+AL16/(1+DiscountRate)^19+AM16/(1+DiscountRate)^20)</f>
        <v/>
      </c>
      <c r="CE16" s="37">
        <f>IF(A16="","",IFERROR(IRR(OFFSET(S16,0,0,1,MIN(HorizonYears,20)+1)),"n/a"))</f>
        <v/>
      </c>
      <c r="CF16" s="28">
        <f>IF(A16="","",IFERROR(MATCH(TRUE,OFFSET(AN16,0,0,1,MIN(HorizonYears,20)+1)&gt;=0,0)-1,"n/a"))</f>
        <v/>
      </c>
      <c r="CG16" s="36">
        <f>IF(A16="","",SUM(OFFSET(BI16,0,0,1,MIN(HorizonYears,20)+1)))</f>
        <v/>
      </c>
      <c r="CH16" s="36">
        <f>IF(A16="","",IFERROR(-CD16/CG16,"n/a"))</f>
        <v/>
      </c>
    </row>
    <row r="17">
      <c r="A17" s="6">
        <f>Actions!A15</f>
        <v/>
      </c>
      <c r="B17" s="6">
        <f>Actions!B15</f>
        <v/>
      </c>
      <c r="C17" s="6">
        <f>Actions!D15</f>
        <v/>
      </c>
      <c r="D17" s="35">
        <f>Actions!E15</f>
        <v/>
      </c>
      <c r="E17" s="35">
        <f>Actions!F15</f>
        <v/>
      </c>
      <c r="F17" s="6">
        <f>Actions!G15</f>
        <v/>
      </c>
      <c r="G17" s="6">
        <f>Actions!H15</f>
        <v/>
      </c>
      <c r="H17" s="29">
        <f>Actions!I15</f>
        <v/>
      </c>
      <c r="I17" s="6">
        <f>Actions!J15</f>
        <v/>
      </c>
      <c r="J17" s="16">
        <f>Actions!K15</f>
        <v/>
      </c>
      <c r="K17" s="16">
        <f>IF(A17="","",IF(I17="%",H17*J17,J17))</f>
        <v/>
      </c>
      <c r="L17" s="16">
        <f>Actions!L15</f>
        <v/>
      </c>
      <c r="M17" s="6">
        <f>Actions!M15</f>
        <v/>
      </c>
      <c r="N17" s="28">
        <f>Actions!N15</f>
        <v/>
      </c>
      <c r="O17" s="29">
        <f>Actions!T15</f>
        <v/>
      </c>
      <c r="P17" s="29">
        <f>Actions!Y15</f>
        <v/>
      </c>
      <c r="Q17" s="29">
        <f>Actions!Z15</f>
        <v/>
      </c>
      <c r="R17" s="29">
        <f>Actions!AA15</f>
        <v/>
      </c>
      <c r="S17" s="29">
        <f>IF(A17="","",((K17)*(IF(M17="",L17,IFERROR(IF(INDEX(Variablen!$I:$AT, MATCH(M17, Variablen!$A:$A, 0), MATCH((YEAR(D17)+0), Variablen!$I$3:$AT$3, 0))="",L17,INDEX(Variablen!$I:$AT, MATCH(M17, Variablen!$A:$A, 0), MATCH((YEAR(D17)+0), Variablen!$I$3:$AT$3, 0))),L17)))*(IF((YEAR(D17)+0)&lt;YEAR(E17),0,IF((YEAR(D17)+0)&gt;YEAR(E17),1,(12-MONTH(E17)+1)/12))) + (Q17)*(IF((YEAR(D17)+0)&lt;YEAR(E17),0,IF((YEAR(D17)+0)&gt;YEAR(E17),1,(12-MONTH(E17)+1)/12))))-((P17)*(IF((YEAR(D17)+0)&lt;YEAR(E17),0,IF((YEAR(D17)+0)&gt;YEAR(E17),1,(12-MONTH(E17)+1)/12))) + (R17)*(IF((YEAR(D17)+0)&lt;YEAR(E17),0,IF((YEAR(D17)+0)&gt;YEAR(E17),1,(12-MONTH(E17)+1)/12))))-(IF((((K17)*(IF(M17="",L17,IFERROR(IF(INDEX(Variablen!$I:$AT, MATCH(M17, Variablen!$A:$A, 0), MATCH((YEAR(D17)+0), Variablen!$I$3:$AT$3, 0))="",L17,INDEX(Variablen!$I:$AT, MATCH(M17, Variablen!$A:$A, 0), MATCH((YEAR(D17)+0), Variablen!$I$3:$AT$3, 0))),L17)))*(IF((YEAR(D17)+0)&lt;YEAR(E17),0,IF((YEAR(D17)+0)&gt;YEAR(E17),1,(12-MONTH(E17)+1)/12))) + (Q17)*(IF((YEAR(D17)+0)&lt;YEAR(E17),0,IF((YEAR(D17)+0)&gt;YEAR(E17),1,(12-MONTH(E17)+1)/12))))-((P17)*(IF((YEAR(D17)+0)&lt;YEAR(E17),0,IF((YEAR(D17)+0)&gt;YEAR(E17),1,(12-MONTH(E17)+1)/12))) + (R17)*(IF((YEAR(D17)+0)&lt;YEAR(E17),0,IF((YEAR(D17)+0)&gt;YEAR(E17),1,(12-MONTH(E17)+1)/12))))-(IF(OR(N17="",N17&lt;=0),0,(O17/N17)*(IF(OR(N17="",N17&lt;=0),0,IF((YEAR(D17)+0)&lt;YEAR(E17),0,IF((YEAR(D17)+0)&gt;=YEAR(E17)+N17,0,IF((YEAR(D17)+0)=YEAR(E17),(12-MONTH(E17)+1)/12,1))))))))&gt;0,(((K17)*(IF(M17="",L17,IFERROR(IF(INDEX(Variablen!$I:$AT, MATCH(M17, Variablen!$A:$A, 0), MATCH((YEAR(D17)+0), Variablen!$I$3:$AT$3, 0))="",L17,INDEX(Variablen!$I:$AT, MATCH(M17, Variablen!$A:$A, 0), MATCH((YEAR(D17)+0), Variablen!$I$3:$AT$3, 0))),L17)))*(IF((YEAR(D17)+0)&lt;YEAR(E17),0,IF((YEAR(D17)+0)&gt;YEAR(E17),1,(12-MONTH(E17)+1)/12))) + (Q17)*(IF((YEAR(D17)+0)&lt;YEAR(E17),0,IF((YEAR(D17)+0)&gt;YEAR(E17),1,(12-MONTH(E17)+1)/12))))-((P17)*(IF((YEAR(D17)+0)&lt;YEAR(E17),0,IF((YEAR(D17)+0)&gt;YEAR(E17),1,(12-MONTH(E17)+1)/12))) + (R17)*(IF((YEAR(D17)+0)&lt;YEAR(E17),0,IF((YEAR(D17)+0)&gt;YEAR(E17),1,(12-MONTH(E17)+1)/12))))-(IF(OR(N17="",N17&lt;=0),0,(O17/N17)*(IF(OR(N17="",N17&lt;=0),0,IF((YEAR(D17)+0)&lt;YEAR(E17),0,IF((YEAR(D17)+0)&gt;=YEAR(E17)+N17,0,IF((YEAR(D17)+0)=YEAR(E17),(12-MONTH(E17)+1)/12,1))))))))*TaxRate,0))-IF(0=0,O17,0))</f>
        <v/>
      </c>
      <c r="T17" s="29">
        <f>IF(A17="","",((K17)*(IF(M17="",L17,IFERROR(IF(INDEX(Variablen!$I:$AT, MATCH(M17, Variablen!$A:$A, 0), MATCH((YEAR(D17)+1), Variablen!$I$3:$AT$3, 0))="",L17,INDEX(Variablen!$I:$AT, MATCH(M17, Variablen!$A:$A, 0), MATCH((YEAR(D17)+1), Variablen!$I$3:$AT$3, 0))),L17)))*(IF((YEAR(D17)+1)&lt;YEAR(E17),0,IF((YEAR(D17)+1)&gt;YEAR(E17),1,(12-MONTH(E17)+1)/12))) + (Q17)*(IF((YEAR(D17)+1)&lt;YEAR(E17),0,IF((YEAR(D17)+1)&gt;YEAR(E17),1,(12-MONTH(E17)+1)/12))))-((P17)*(IF((YEAR(D17)+1)&lt;YEAR(E17),0,IF((YEAR(D17)+1)&gt;YEAR(E17),1,(12-MONTH(E17)+1)/12))) + (R17)*(IF((YEAR(D17)+1)&lt;YEAR(E17),0,IF((YEAR(D17)+1)&gt;YEAR(E17),1,(12-MONTH(E17)+1)/12))))-(IF((((K17)*(IF(M17="",L17,IFERROR(IF(INDEX(Variablen!$I:$AT, MATCH(M17, Variablen!$A:$A, 0), MATCH((YEAR(D17)+1), Variablen!$I$3:$AT$3, 0))="",L17,INDEX(Variablen!$I:$AT, MATCH(M17, Variablen!$A:$A, 0), MATCH((YEAR(D17)+1), Variablen!$I$3:$AT$3, 0))),L17)))*(IF((YEAR(D17)+1)&lt;YEAR(E17),0,IF((YEAR(D17)+1)&gt;YEAR(E17),1,(12-MONTH(E17)+1)/12))) + (Q17)*(IF((YEAR(D17)+1)&lt;YEAR(E17),0,IF((YEAR(D17)+1)&gt;YEAR(E17),1,(12-MONTH(E17)+1)/12))))-((P17)*(IF((YEAR(D17)+1)&lt;YEAR(E17),0,IF((YEAR(D17)+1)&gt;YEAR(E17),1,(12-MONTH(E17)+1)/12))) + (R17)*(IF((YEAR(D17)+1)&lt;YEAR(E17),0,IF((YEAR(D17)+1)&gt;YEAR(E17),1,(12-MONTH(E17)+1)/12))))-(IF(OR(N17="",N17&lt;=0),0,(O17/N17)*(IF(OR(N17="",N17&lt;=0),0,IF((YEAR(D17)+1)&lt;YEAR(E17),0,IF((YEAR(D17)+1)&gt;=YEAR(E17)+N17,0,IF((YEAR(D17)+1)=YEAR(E17),(12-MONTH(E17)+1)/12,1))))))))&gt;0,(((K17)*(IF(M17="",L17,IFERROR(IF(INDEX(Variablen!$I:$AT, MATCH(M17, Variablen!$A:$A, 0), MATCH((YEAR(D17)+1), Variablen!$I$3:$AT$3, 0))="",L17,INDEX(Variablen!$I:$AT, MATCH(M17, Variablen!$A:$A, 0), MATCH((YEAR(D17)+1), Variablen!$I$3:$AT$3, 0))),L17)))*(IF((YEAR(D17)+1)&lt;YEAR(E17),0,IF((YEAR(D17)+1)&gt;YEAR(E17),1,(12-MONTH(E17)+1)/12))) + (Q17)*(IF((YEAR(D17)+1)&lt;YEAR(E17),0,IF((YEAR(D17)+1)&gt;YEAR(E17),1,(12-MONTH(E17)+1)/12))))-((P17)*(IF((YEAR(D17)+1)&lt;YEAR(E17),0,IF((YEAR(D17)+1)&gt;YEAR(E17),1,(12-MONTH(E17)+1)/12))) + (R17)*(IF((YEAR(D17)+1)&lt;YEAR(E17),0,IF((YEAR(D17)+1)&gt;YEAR(E17),1,(12-MONTH(E17)+1)/12))))-(IF(OR(N17="",N17&lt;=0),0,(O17/N17)*(IF(OR(N17="",N17&lt;=0),0,IF((YEAR(D17)+1)&lt;YEAR(E17),0,IF((YEAR(D17)+1)&gt;=YEAR(E17)+N17,0,IF((YEAR(D17)+1)=YEAR(E17),(12-MONTH(E17)+1)/12,1))))))))*TaxRate,0))-IF(1=0,O17,0))</f>
        <v/>
      </c>
      <c r="U17" s="29">
        <f>IF(A17="","",((K17)*(IF(M17="",L17,IFERROR(IF(INDEX(Variablen!$I:$AT, MATCH(M17, Variablen!$A:$A, 0), MATCH((YEAR(D17)+2), Variablen!$I$3:$AT$3, 0))="",L17,INDEX(Variablen!$I:$AT, MATCH(M17, Variablen!$A:$A, 0), MATCH((YEAR(D17)+2), Variablen!$I$3:$AT$3, 0))),L17)))*(IF((YEAR(D17)+2)&lt;YEAR(E17),0,IF((YEAR(D17)+2)&gt;YEAR(E17),1,(12-MONTH(E17)+1)/12))) + (Q17)*(IF((YEAR(D17)+2)&lt;YEAR(E17),0,IF((YEAR(D17)+2)&gt;YEAR(E17),1,(12-MONTH(E17)+1)/12))))-((P17)*(IF((YEAR(D17)+2)&lt;YEAR(E17),0,IF((YEAR(D17)+2)&gt;YEAR(E17),1,(12-MONTH(E17)+1)/12))) + (R17)*(IF((YEAR(D17)+2)&lt;YEAR(E17),0,IF((YEAR(D17)+2)&gt;YEAR(E17),1,(12-MONTH(E17)+1)/12))))-(IF((((K17)*(IF(M17="",L17,IFERROR(IF(INDEX(Variablen!$I:$AT, MATCH(M17, Variablen!$A:$A, 0), MATCH((YEAR(D17)+2), Variablen!$I$3:$AT$3, 0))="",L17,INDEX(Variablen!$I:$AT, MATCH(M17, Variablen!$A:$A, 0), MATCH((YEAR(D17)+2), Variablen!$I$3:$AT$3, 0))),L17)))*(IF((YEAR(D17)+2)&lt;YEAR(E17),0,IF((YEAR(D17)+2)&gt;YEAR(E17),1,(12-MONTH(E17)+1)/12))) + (Q17)*(IF((YEAR(D17)+2)&lt;YEAR(E17),0,IF((YEAR(D17)+2)&gt;YEAR(E17),1,(12-MONTH(E17)+1)/12))))-((P17)*(IF((YEAR(D17)+2)&lt;YEAR(E17),0,IF((YEAR(D17)+2)&gt;YEAR(E17),1,(12-MONTH(E17)+1)/12))) + (R17)*(IF((YEAR(D17)+2)&lt;YEAR(E17),0,IF((YEAR(D17)+2)&gt;YEAR(E17),1,(12-MONTH(E17)+1)/12))))-(IF(OR(N17="",N17&lt;=0),0,(O17/N17)*(IF(OR(N17="",N17&lt;=0),0,IF((YEAR(D17)+2)&lt;YEAR(E17),0,IF((YEAR(D17)+2)&gt;=YEAR(E17)+N17,0,IF((YEAR(D17)+2)=YEAR(E17),(12-MONTH(E17)+1)/12,1))))))))&gt;0,(((K17)*(IF(M17="",L17,IFERROR(IF(INDEX(Variablen!$I:$AT, MATCH(M17, Variablen!$A:$A, 0), MATCH((YEAR(D17)+2), Variablen!$I$3:$AT$3, 0))="",L17,INDEX(Variablen!$I:$AT, MATCH(M17, Variablen!$A:$A, 0), MATCH((YEAR(D17)+2), Variablen!$I$3:$AT$3, 0))),L17)))*(IF((YEAR(D17)+2)&lt;YEAR(E17),0,IF((YEAR(D17)+2)&gt;YEAR(E17),1,(12-MONTH(E17)+1)/12))) + (Q17)*(IF((YEAR(D17)+2)&lt;YEAR(E17),0,IF((YEAR(D17)+2)&gt;YEAR(E17),1,(12-MONTH(E17)+1)/12))))-((P17)*(IF((YEAR(D17)+2)&lt;YEAR(E17),0,IF((YEAR(D17)+2)&gt;YEAR(E17),1,(12-MONTH(E17)+1)/12))) + (R17)*(IF((YEAR(D17)+2)&lt;YEAR(E17),0,IF((YEAR(D17)+2)&gt;YEAR(E17),1,(12-MONTH(E17)+1)/12))))-(IF(OR(N17="",N17&lt;=0),0,(O17/N17)*(IF(OR(N17="",N17&lt;=0),0,IF((YEAR(D17)+2)&lt;YEAR(E17),0,IF((YEAR(D17)+2)&gt;=YEAR(E17)+N17,0,IF((YEAR(D17)+2)=YEAR(E17),(12-MONTH(E17)+1)/12,1))))))))*TaxRate,0))-IF(2=0,O17,0))</f>
        <v/>
      </c>
      <c r="V17" s="29">
        <f>IF(A17="","",((K17)*(IF(M17="",L17,IFERROR(IF(INDEX(Variablen!$I:$AT, MATCH(M17, Variablen!$A:$A, 0), MATCH((YEAR(D17)+3), Variablen!$I$3:$AT$3, 0))="",L17,INDEX(Variablen!$I:$AT, MATCH(M17, Variablen!$A:$A, 0), MATCH((YEAR(D17)+3), Variablen!$I$3:$AT$3, 0))),L17)))*(IF((YEAR(D17)+3)&lt;YEAR(E17),0,IF((YEAR(D17)+3)&gt;YEAR(E17),1,(12-MONTH(E17)+1)/12))) + (Q17)*(IF((YEAR(D17)+3)&lt;YEAR(E17),0,IF((YEAR(D17)+3)&gt;YEAR(E17),1,(12-MONTH(E17)+1)/12))))-((P17)*(IF((YEAR(D17)+3)&lt;YEAR(E17),0,IF((YEAR(D17)+3)&gt;YEAR(E17),1,(12-MONTH(E17)+1)/12))) + (R17)*(IF((YEAR(D17)+3)&lt;YEAR(E17),0,IF((YEAR(D17)+3)&gt;YEAR(E17),1,(12-MONTH(E17)+1)/12))))-(IF((((K17)*(IF(M17="",L17,IFERROR(IF(INDEX(Variablen!$I:$AT, MATCH(M17, Variablen!$A:$A, 0), MATCH((YEAR(D17)+3), Variablen!$I$3:$AT$3, 0))="",L17,INDEX(Variablen!$I:$AT, MATCH(M17, Variablen!$A:$A, 0), MATCH((YEAR(D17)+3), Variablen!$I$3:$AT$3, 0))),L17)))*(IF((YEAR(D17)+3)&lt;YEAR(E17),0,IF((YEAR(D17)+3)&gt;YEAR(E17),1,(12-MONTH(E17)+1)/12))) + (Q17)*(IF((YEAR(D17)+3)&lt;YEAR(E17),0,IF((YEAR(D17)+3)&gt;YEAR(E17),1,(12-MONTH(E17)+1)/12))))-((P17)*(IF((YEAR(D17)+3)&lt;YEAR(E17),0,IF((YEAR(D17)+3)&gt;YEAR(E17),1,(12-MONTH(E17)+1)/12))) + (R17)*(IF((YEAR(D17)+3)&lt;YEAR(E17),0,IF((YEAR(D17)+3)&gt;YEAR(E17),1,(12-MONTH(E17)+1)/12))))-(IF(OR(N17="",N17&lt;=0),0,(O17/N17)*(IF(OR(N17="",N17&lt;=0),0,IF((YEAR(D17)+3)&lt;YEAR(E17),0,IF((YEAR(D17)+3)&gt;=YEAR(E17)+N17,0,IF((YEAR(D17)+3)=YEAR(E17),(12-MONTH(E17)+1)/12,1))))))))&gt;0,(((K17)*(IF(M17="",L17,IFERROR(IF(INDEX(Variablen!$I:$AT, MATCH(M17, Variablen!$A:$A, 0), MATCH((YEAR(D17)+3), Variablen!$I$3:$AT$3, 0))="",L17,INDEX(Variablen!$I:$AT, MATCH(M17, Variablen!$A:$A, 0), MATCH((YEAR(D17)+3), Variablen!$I$3:$AT$3, 0))),L17)))*(IF((YEAR(D17)+3)&lt;YEAR(E17),0,IF((YEAR(D17)+3)&gt;YEAR(E17),1,(12-MONTH(E17)+1)/12))) + (Q17)*(IF((YEAR(D17)+3)&lt;YEAR(E17),0,IF((YEAR(D17)+3)&gt;YEAR(E17),1,(12-MONTH(E17)+1)/12))))-((P17)*(IF((YEAR(D17)+3)&lt;YEAR(E17),0,IF((YEAR(D17)+3)&gt;YEAR(E17),1,(12-MONTH(E17)+1)/12))) + (R17)*(IF((YEAR(D17)+3)&lt;YEAR(E17),0,IF((YEAR(D17)+3)&gt;YEAR(E17),1,(12-MONTH(E17)+1)/12))))-(IF(OR(N17="",N17&lt;=0),0,(O17/N17)*(IF(OR(N17="",N17&lt;=0),0,IF((YEAR(D17)+3)&lt;YEAR(E17),0,IF((YEAR(D17)+3)&gt;=YEAR(E17)+N17,0,IF((YEAR(D17)+3)=YEAR(E17),(12-MONTH(E17)+1)/12,1))))))))*TaxRate,0))-IF(3=0,O17,0))</f>
        <v/>
      </c>
      <c r="W17" s="29">
        <f>IF(A17="","",((K17)*(IF(M17="",L17,IFERROR(IF(INDEX(Variablen!$I:$AT, MATCH(M17, Variablen!$A:$A, 0), MATCH((YEAR(D17)+4), Variablen!$I$3:$AT$3, 0))="",L17,INDEX(Variablen!$I:$AT, MATCH(M17, Variablen!$A:$A, 0), MATCH((YEAR(D17)+4), Variablen!$I$3:$AT$3, 0))),L17)))*(IF((YEAR(D17)+4)&lt;YEAR(E17),0,IF((YEAR(D17)+4)&gt;YEAR(E17),1,(12-MONTH(E17)+1)/12))) + (Q17)*(IF((YEAR(D17)+4)&lt;YEAR(E17),0,IF((YEAR(D17)+4)&gt;YEAR(E17),1,(12-MONTH(E17)+1)/12))))-((P17)*(IF((YEAR(D17)+4)&lt;YEAR(E17),0,IF((YEAR(D17)+4)&gt;YEAR(E17),1,(12-MONTH(E17)+1)/12))) + (R17)*(IF((YEAR(D17)+4)&lt;YEAR(E17),0,IF((YEAR(D17)+4)&gt;YEAR(E17),1,(12-MONTH(E17)+1)/12))))-(IF((((K17)*(IF(M17="",L17,IFERROR(IF(INDEX(Variablen!$I:$AT, MATCH(M17, Variablen!$A:$A, 0), MATCH((YEAR(D17)+4), Variablen!$I$3:$AT$3, 0))="",L17,INDEX(Variablen!$I:$AT, MATCH(M17, Variablen!$A:$A, 0), MATCH((YEAR(D17)+4), Variablen!$I$3:$AT$3, 0))),L17)))*(IF((YEAR(D17)+4)&lt;YEAR(E17),0,IF((YEAR(D17)+4)&gt;YEAR(E17),1,(12-MONTH(E17)+1)/12))) + (Q17)*(IF((YEAR(D17)+4)&lt;YEAR(E17),0,IF((YEAR(D17)+4)&gt;YEAR(E17),1,(12-MONTH(E17)+1)/12))))-((P17)*(IF((YEAR(D17)+4)&lt;YEAR(E17),0,IF((YEAR(D17)+4)&gt;YEAR(E17),1,(12-MONTH(E17)+1)/12))) + (R17)*(IF((YEAR(D17)+4)&lt;YEAR(E17),0,IF((YEAR(D17)+4)&gt;YEAR(E17),1,(12-MONTH(E17)+1)/12))))-(IF(OR(N17="",N17&lt;=0),0,(O17/N17)*(IF(OR(N17="",N17&lt;=0),0,IF((YEAR(D17)+4)&lt;YEAR(E17),0,IF((YEAR(D17)+4)&gt;=YEAR(E17)+N17,0,IF((YEAR(D17)+4)=YEAR(E17),(12-MONTH(E17)+1)/12,1))))))))&gt;0,(((K17)*(IF(M17="",L17,IFERROR(IF(INDEX(Variablen!$I:$AT, MATCH(M17, Variablen!$A:$A, 0), MATCH((YEAR(D17)+4), Variablen!$I$3:$AT$3, 0))="",L17,INDEX(Variablen!$I:$AT, MATCH(M17, Variablen!$A:$A, 0), MATCH((YEAR(D17)+4), Variablen!$I$3:$AT$3, 0))),L17)))*(IF((YEAR(D17)+4)&lt;YEAR(E17),0,IF((YEAR(D17)+4)&gt;YEAR(E17),1,(12-MONTH(E17)+1)/12))) + (Q17)*(IF((YEAR(D17)+4)&lt;YEAR(E17),0,IF((YEAR(D17)+4)&gt;YEAR(E17),1,(12-MONTH(E17)+1)/12))))-((P17)*(IF((YEAR(D17)+4)&lt;YEAR(E17),0,IF((YEAR(D17)+4)&gt;YEAR(E17),1,(12-MONTH(E17)+1)/12))) + (R17)*(IF((YEAR(D17)+4)&lt;YEAR(E17),0,IF((YEAR(D17)+4)&gt;YEAR(E17),1,(12-MONTH(E17)+1)/12))))-(IF(OR(N17="",N17&lt;=0),0,(O17/N17)*(IF(OR(N17="",N17&lt;=0),0,IF((YEAR(D17)+4)&lt;YEAR(E17),0,IF((YEAR(D17)+4)&gt;=YEAR(E17)+N17,0,IF((YEAR(D17)+4)=YEAR(E17),(12-MONTH(E17)+1)/12,1))))))))*TaxRate,0))-IF(4=0,O17,0))</f>
        <v/>
      </c>
      <c r="X17" s="29">
        <f>IF(A17="","",((K17)*(IF(M17="",L17,IFERROR(IF(INDEX(Variablen!$I:$AT, MATCH(M17, Variablen!$A:$A, 0), MATCH((YEAR(D17)+5), Variablen!$I$3:$AT$3, 0))="",L17,INDEX(Variablen!$I:$AT, MATCH(M17, Variablen!$A:$A, 0), MATCH((YEAR(D17)+5), Variablen!$I$3:$AT$3, 0))),L17)))*(IF((YEAR(D17)+5)&lt;YEAR(E17),0,IF((YEAR(D17)+5)&gt;YEAR(E17),1,(12-MONTH(E17)+1)/12))) + (Q17)*(IF((YEAR(D17)+5)&lt;YEAR(E17),0,IF((YEAR(D17)+5)&gt;YEAR(E17),1,(12-MONTH(E17)+1)/12))))-((P17)*(IF((YEAR(D17)+5)&lt;YEAR(E17),0,IF((YEAR(D17)+5)&gt;YEAR(E17),1,(12-MONTH(E17)+1)/12))) + (R17)*(IF((YEAR(D17)+5)&lt;YEAR(E17),0,IF((YEAR(D17)+5)&gt;YEAR(E17),1,(12-MONTH(E17)+1)/12))))-(IF((((K17)*(IF(M17="",L17,IFERROR(IF(INDEX(Variablen!$I:$AT, MATCH(M17, Variablen!$A:$A, 0), MATCH((YEAR(D17)+5), Variablen!$I$3:$AT$3, 0))="",L17,INDEX(Variablen!$I:$AT, MATCH(M17, Variablen!$A:$A, 0), MATCH((YEAR(D17)+5), Variablen!$I$3:$AT$3, 0))),L17)))*(IF((YEAR(D17)+5)&lt;YEAR(E17),0,IF((YEAR(D17)+5)&gt;YEAR(E17),1,(12-MONTH(E17)+1)/12))) + (Q17)*(IF((YEAR(D17)+5)&lt;YEAR(E17),0,IF((YEAR(D17)+5)&gt;YEAR(E17),1,(12-MONTH(E17)+1)/12))))-((P17)*(IF((YEAR(D17)+5)&lt;YEAR(E17),0,IF((YEAR(D17)+5)&gt;YEAR(E17),1,(12-MONTH(E17)+1)/12))) + (R17)*(IF((YEAR(D17)+5)&lt;YEAR(E17),0,IF((YEAR(D17)+5)&gt;YEAR(E17),1,(12-MONTH(E17)+1)/12))))-(IF(OR(N17="",N17&lt;=0),0,(O17/N17)*(IF(OR(N17="",N17&lt;=0),0,IF((YEAR(D17)+5)&lt;YEAR(E17),0,IF((YEAR(D17)+5)&gt;=YEAR(E17)+N17,0,IF((YEAR(D17)+5)=YEAR(E17),(12-MONTH(E17)+1)/12,1))))))))&gt;0,(((K17)*(IF(M17="",L17,IFERROR(IF(INDEX(Variablen!$I:$AT, MATCH(M17, Variablen!$A:$A, 0), MATCH((YEAR(D17)+5), Variablen!$I$3:$AT$3, 0))="",L17,INDEX(Variablen!$I:$AT, MATCH(M17, Variablen!$A:$A, 0), MATCH((YEAR(D17)+5), Variablen!$I$3:$AT$3, 0))),L17)))*(IF((YEAR(D17)+5)&lt;YEAR(E17),0,IF((YEAR(D17)+5)&gt;YEAR(E17),1,(12-MONTH(E17)+1)/12))) + (Q17)*(IF((YEAR(D17)+5)&lt;YEAR(E17),0,IF((YEAR(D17)+5)&gt;YEAR(E17),1,(12-MONTH(E17)+1)/12))))-((P17)*(IF((YEAR(D17)+5)&lt;YEAR(E17),0,IF((YEAR(D17)+5)&gt;YEAR(E17),1,(12-MONTH(E17)+1)/12))) + (R17)*(IF((YEAR(D17)+5)&lt;YEAR(E17),0,IF((YEAR(D17)+5)&gt;YEAR(E17),1,(12-MONTH(E17)+1)/12))))-(IF(OR(N17="",N17&lt;=0),0,(O17/N17)*(IF(OR(N17="",N17&lt;=0),0,IF((YEAR(D17)+5)&lt;YEAR(E17),0,IF((YEAR(D17)+5)&gt;=YEAR(E17)+N17,0,IF((YEAR(D17)+5)=YEAR(E17),(12-MONTH(E17)+1)/12,1))))))))*TaxRate,0))-IF(5=0,O17,0))</f>
        <v/>
      </c>
      <c r="Y17" s="29">
        <f>IF(A17="","",((K17)*(IF(M17="",L17,IFERROR(IF(INDEX(Variablen!$I:$AT, MATCH(M17, Variablen!$A:$A, 0), MATCH((YEAR(D17)+6), Variablen!$I$3:$AT$3, 0))="",L17,INDEX(Variablen!$I:$AT, MATCH(M17, Variablen!$A:$A, 0), MATCH((YEAR(D17)+6), Variablen!$I$3:$AT$3, 0))),L17)))*(IF((YEAR(D17)+6)&lt;YEAR(E17),0,IF((YEAR(D17)+6)&gt;YEAR(E17),1,(12-MONTH(E17)+1)/12))) + (Q17)*(IF((YEAR(D17)+6)&lt;YEAR(E17),0,IF((YEAR(D17)+6)&gt;YEAR(E17),1,(12-MONTH(E17)+1)/12))))-((P17)*(IF((YEAR(D17)+6)&lt;YEAR(E17),0,IF((YEAR(D17)+6)&gt;YEAR(E17),1,(12-MONTH(E17)+1)/12))) + (R17)*(IF((YEAR(D17)+6)&lt;YEAR(E17),0,IF((YEAR(D17)+6)&gt;YEAR(E17),1,(12-MONTH(E17)+1)/12))))-(IF((((K17)*(IF(M17="",L17,IFERROR(IF(INDEX(Variablen!$I:$AT, MATCH(M17, Variablen!$A:$A, 0), MATCH((YEAR(D17)+6), Variablen!$I$3:$AT$3, 0))="",L17,INDEX(Variablen!$I:$AT, MATCH(M17, Variablen!$A:$A, 0), MATCH((YEAR(D17)+6), Variablen!$I$3:$AT$3, 0))),L17)))*(IF((YEAR(D17)+6)&lt;YEAR(E17),0,IF((YEAR(D17)+6)&gt;YEAR(E17),1,(12-MONTH(E17)+1)/12))) + (Q17)*(IF((YEAR(D17)+6)&lt;YEAR(E17),0,IF((YEAR(D17)+6)&gt;YEAR(E17),1,(12-MONTH(E17)+1)/12))))-((P17)*(IF((YEAR(D17)+6)&lt;YEAR(E17),0,IF((YEAR(D17)+6)&gt;YEAR(E17),1,(12-MONTH(E17)+1)/12))) + (R17)*(IF((YEAR(D17)+6)&lt;YEAR(E17),0,IF((YEAR(D17)+6)&gt;YEAR(E17),1,(12-MONTH(E17)+1)/12))))-(IF(OR(N17="",N17&lt;=0),0,(O17/N17)*(IF(OR(N17="",N17&lt;=0),0,IF((YEAR(D17)+6)&lt;YEAR(E17),0,IF((YEAR(D17)+6)&gt;=YEAR(E17)+N17,0,IF((YEAR(D17)+6)=YEAR(E17),(12-MONTH(E17)+1)/12,1))))))))&gt;0,(((K17)*(IF(M17="",L17,IFERROR(IF(INDEX(Variablen!$I:$AT, MATCH(M17, Variablen!$A:$A, 0), MATCH((YEAR(D17)+6), Variablen!$I$3:$AT$3, 0))="",L17,INDEX(Variablen!$I:$AT, MATCH(M17, Variablen!$A:$A, 0), MATCH((YEAR(D17)+6), Variablen!$I$3:$AT$3, 0))),L17)))*(IF((YEAR(D17)+6)&lt;YEAR(E17),0,IF((YEAR(D17)+6)&gt;YEAR(E17),1,(12-MONTH(E17)+1)/12))) + (Q17)*(IF((YEAR(D17)+6)&lt;YEAR(E17),0,IF((YEAR(D17)+6)&gt;YEAR(E17),1,(12-MONTH(E17)+1)/12))))-((P17)*(IF((YEAR(D17)+6)&lt;YEAR(E17),0,IF((YEAR(D17)+6)&gt;YEAR(E17),1,(12-MONTH(E17)+1)/12))) + (R17)*(IF((YEAR(D17)+6)&lt;YEAR(E17),0,IF((YEAR(D17)+6)&gt;YEAR(E17),1,(12-MONTH(E17)+1)/12))))-(IF(OR(N17="",N17&lt;=0),0,(O17/N17)*(IF(OR(N17="",N17&lt;=0),0,IF((YEAR(D17)+6)&lt;YEAR(E17),0,IF((YEAR(D17)+6)&gt;=YEAR(E17)+N17,0,IF((YEAR(D17)+6)=YEAR(E17),(12-MONTH(E17)+1)/12,1))))))))*TaxRate,0))-IF(6=0,O17,0))</f>
        <v/>
      </c>
      <c r="Z17" s="29">
        <f>IF(A17="","",((K17)*(IF(M17="",L17,IFERROR(IF(INDEX(Variablen!$I:$AT, MATCH(M17, Variablen!$A:$A, 0), MATCH((YEAR(D17)+7), Variablen!$I$3:$AT$3, 0))="",L17,INDEX(Variablen!$I:$AT, MATCH(M17, Variablen!$A:$A, 0), MATCH((YEAR(D17)+7), Variablen!$I$3:$AT$3, 0))),L17)))*(IF((YEAR(D17)+7)&lt;YEAR(E17),0,IF((YEAR(D17)+7)&gt;YEAR(E17),1,(12-MONTH(E17)+1)/12))) + (Q17)*(IF((YEAR(D17)+7)&lt;YEAR(E17),0,IF((YEAR(D17)+7)&gt;YEAR(E17),1,(12-MONTH(E17)+1)/12))))-((P17)*(IF((YEAR(D17)+7)&lt;YEAR(E17),0,IF((YEAR(D17)+7)&gt;YEAR(E17),1,(12-MONTH(E17)+1)/12))) + (R17)*(IF((YEAR(D17)+7)&lt;YEAR(E17),0,IF((YEAR(D17)+7)&gt;YEAR(E17),1,(12-MONTH(E17)+1)/12))))-(IF((((K17)*(IF(M17="",L17,IFERROR(IF(INDEX(Variablen!$I:$AT, MATCH(M17, Variablen!$A:$A, 0), MATCH((YEAR(D17)+7), Variablen!$I$3:$AT$3, 0))="",L17,INDEX(Variablen!$I:$AT, MATCH(M17, Variablen!$A:$A, 0), MATCH((YEAR(D17)+7), Variablen!$I$3:$AT$3, 0))),L17)))*(IF((YEAR(D17)+7)&lt;YEAR(E17),0,IF((YEAR(D17)+7)&gt;YEAR(E17),1,(12-MONTH(E17)+1)/12))) + (Q17)*(IF((YEAR(D17)+7)&lt;YEAR(E17),0,IF((YEAR(D17)+7)&gt;YEAR(E17),1,(12-MONTH(E17)+1)/12))))-((P17)*(IF((YEAR(D17)+7)&lt;YEAR(E17),0,IF((YEAR(D17)+7)&gt;YEAR(E17),1,(12-MONTH(E17)+1)/12))) + (R17)*(IF((YEAR(D17)+7)&lt;YEAR(E17),0,IF((YEAR(D17)+7)&gt;YEAR(E17),1,(12-MONTH(E17)+1)/12))))-(IF(OR(N17="",N17&lt;=0),0,(O17/N17)*(IF(OR(N17="",N17&lt;=0),0,IF((YEAR(D17)+7)&lt;YEAR(E17),0,IF((YEAR(D17)+7)&gt;=YEAR(E17)+N17,0,IF((YEAR(D17)+7)=YEAR(E17),(12-MONTH(E17)+1)/12,1))))))))&gt;0,(((K17)*(IF(M17="",L17,IFERROR(IF(INDEX(Variablen!$I:$AT, MATCH(M17, Variablen!$A:$A, 0), MATCH((YEAR(D17)+7), Variablen!$I$3:$AT$3, 0))="",L17,INDEX(Variablen!$I:$AT, MATCH(M17, Variablen!$A:$A, 0), MATCH((YEAR(D17)+7), Variablen!$I$3:$AT$3, 0))),L17)))*(IF((YEAR(D17)+7)&lt;YEAR(E17),0,IF((YEAR(D17)+7)&gt;YEAR(E17),1,(12-MONTH(E17)+1)/12))) + (Q17)*(IF((YEAR(D17)+7)&lt;YEAR(E17),0,IF((YEAR(D17)+7)&gt;YEAR(E17),1,(12-MONTH(E17)+1)/12))))-((P17)*(IF((YEAR(D17)+7)&lt;YEAR(E17),0,IF((YEAR(D17)+7)&gt;YEAR(E17),1,(12-MONTH(E17)+1)/12))) + (R17)*(IF((YEAR(D17)+7)&lt;YEAR(E17),0,IF((YEAR(D17)+7)&gt;YEAR(E17),1,(12-MONTH(E17)+1)/12))))-(IF(OR(N17="",N17&lt;=0),0,(O17/N17)*(IF(OR(N17="",N17&lt;=0),0,IF((YEAR(D17)+7)&lt;YEAR(E17),0,IF((YEAR(D17)+7)&gt;=YEAR(E17)+N17,0,IF((YEAR(D17)+7)=YEAR(E17),(12-MONTH(E17)+1)/12,1))))))))*TaxRate,0))-IF(7=0,O17,0))</f>
        <v/>
      </c>
      <c r="AA17" s="29">
        <f>IF(A17="","",((K17)*(IF(M17="",L17,IFERROR(IF(INDEX(Variablen!$I:$AT, MATCH(M17, Variablen!$A:$A, 0), MATCH((YEAR(D17)+8), Variablen!$I$3:$AT$3, 0))="",L17,INDEX(Variablen!$I:$AT, MATCH(M17, Variablen!$A:$A, 0), MATCH((YEAR(D17)+8), Variablen!$I$3:$AT$3, 0))),L17)))*(IF((YEAR(D17)+8)&lt;YEAR(E17),0,IF((YEAR(D17)+8)&gt;YEAR(E17),1,(12-MONTH(E17)+1)/12))) + (Q17)*(IF((YEAR(D17)+8)&lt;YEAR(E17),0,IF((YEAR(D17)+8)&gt;YEAR(E17),1,(12-MONTH(E17)+1)/12))))-((P17)*(IF((YEAR(D17)+8)&lt;YEAR(E17),0,IF((YEAR(D17)+8)&gt;YEAR(E17),1,(12-MONTH(E17)+1)/12))) + (R17)*(IF((YEAR(D17)+8)&lt;YEAR(E17),0,IF((YEAR(D17)+8)&gt;YEAR(E17),1,(12-MONTH(E17)+1)/12))))-(IF((((K17)*(IF(M17="",L17,IFERROR(IF(INDEX(Variablen!$I:$AT, MATCH(M17, Variablen!$A:$A, 0), MATCH((YEAR(D17)+8), Variablen!$I$3:$AT$3, 0))="",L17,INDEX(Variablen!$I:$AT, MATCH(M17, Variablen!$A:$A, 0), MATCH((YEAR(D17)+8), Variablen!$I$3:$AT$3, 0))),L17)))*(IF((YEAR(D17)+8)&lt;YEAR(E17),0,IF((YEAR(D17)+8)&gt;YEAR(E17),1,(12-MONTH(E17)+1)/12))) + (Q17)*(IF((YEAR(D17)+8)&lt;YEAR(E17),0,IF((YEAR(D17)+8)&gt;YEAR(E17),1,(12-MONTH(E17)+1)/12))))-((P17)*(IF((YEAR(D17)+8)&lt;YEAR(E17),0,IF((YEAR(D17)+8)&gt;YEAR(E17),1,(12-MONTH(E17)+1)/12))) + (R17)*(IF((YEAR(D17)+8)&lt;YEAR(E17),0,IF((YEAR(D17)+8)&gt;YEAR(E17),1,(12-MONTH(E17)+1)/12))))-(IF(OR(N17="",N17&lt;=0),0,(O17/N17)*(IF(OR(N17="",N17&lt;=0),0,IF((YEAR(D17)+8)&lt;YEAR(E17),0,IF((YEAR(D17)+8)&gt;=YEAR(E17)+N17,0,IF((YEAR(D17)+8)=YEAR(E17),(12-MONTH(E17)+1)/12,1))))))))&gt;0,(((K17)*(IF(M17="",L17,IFERROR(IF(INDEX(Variablen!$I:$AT, MATCH(M17, Variablen!$A:$A, 0), MATCH((YEAR(D17)+8), Variablen!$I$3:$AT$3, 0))="",L17,INDEX(Variablen!$I:$AT, MATCH(M17, Variablen!$A:$A, 0), MATCH((YEAR(D17)+8), Variablen!$I$3:$AT$3, 0))),L17)))*(IF((YEAR(D17)+8)&lt;YEAR(E17),0,IF((YEAR(D17)+8)&gt;YEAR(E17),1,(12-MONTH(E17)+1)/12))) + (Q17)*(IF((YEAR(D17)+8)&lt;YEAR(E17),0,IF((YEAR(D17)+8)&gt;YEAR(E17),1,(12-MONTH(E17)+1)/12))))-((P17)*(IF((YEAR(D17)+8)&lt;YEAR(E17),0,IF((YEAR(D17)+8)&gt;YEAR(E17),1,(12-MONTH(E17)+1)/12))) + (R17)*(IF((YEAR(D17)+8)&lt;YEAR(E17),0,IF((YEAR(D17)+8)&gt;YEAR(E17),1,(12-MONTH(E17)+1)/12))))-(IF(OR(N17="",N17&lt;=0),0,(O17/N17)*(IF(OR(N17="",N17&lt;=0),0,IF((YEAR(D17)+8)&lt;YEAR(E17),0,IF((YEAR(D17)+8)&gt;=YEAR(E17)+N17,0,IF((YEAR(D17)+8)=YEAR(E17),(12-MONTH(E17)+1)/12,1))))))))*TaxRate,0))-IF(8=0,O17,0))</f>
        <v/>
      </c>
      <c r="AB17" s="29">
        <f>IF(A17="","",((K17)*(IF(M17="",L17,IFERROR(IF(INDEX(Variablen!$I:$AT, MATCH(M17, Variablen!$A:$A, 0), MATCH((YEAR(D17)+9), Variablen!$I$3:$AT$3, 0))="",L17,INDEX(Variablen!$I:$AT, MATCH(M17, Variablen!$A:$A, 0), MATCH((YEAR(D17)+9), Variablen!$I$3:$AT$3, 0))),L17)))*(IF((YEAR(D17)+9)&lt;YEAR(E17),0,IF((YEAR(D17)+9)&gt;YEAR(E17),1,(12-MONTH(E17)+1)/12))) + (Q17)*(IF((YEAR(D17)+9)&lt;YEAR(E17),0,IF((YEAR(D17)+9)&gt;YEAR(E17),1,(12-MONTH(E17)+1)/12))))-((P17)*(IF((YEAR(D17)+9)&lt;YEAR(E17),0,IF((YEAR(D17)+9)&gt;YEAR(E17),1,(12-MONTH(E17)+1)/12))) + (R17)*(IF((YEAR(D17)+9)&lt;YEAR(E17),0,IF((YEAR(D17)+9)&gt;YEAR(E17),1,(12-MONTH(E17)+1)/12))))-(IF((((K17)*(IF(M17="",L17,IFERROR(IF(INDEX(Variablen!$I:$AT, MATCH(M17, Variablen!$A:$A, 0), MATCH((YEAR(D17)+9), Variablen!$I$3:$AT$3, 0))="",L17,INDEX(Variablen!$I:$AT, MATCH(M17, Variablen!$A:$A, 0), MATCH((YEAR(D17)+9), Variablen!$I$3:$AT$3, 0))),L17)))*(IF((YEAR(D17)+9)&lt;YEAR(E17),0,IF((YEAR(D17)+9)&gt;YEAR(E17),1,(12-MONTH(E17)+1)/12))) + (Q17)*(IF((YEAR(D17)+9)&lt;YEAR(E17),0,IF((YEAR(D17)+9)&gt;YEAR(E17),1,(12-MONTH(E17)+1)/12))))-((P17)*(IF((YEAR(D17)+9)&lt;YEAR(E17),0,IF((YEAR(D17)+9)&gt;YEAR(E17),1,(12-MONTH(E17)+1)/12))) + (R17)*(IF((YEAR(D17)+9)&lt;YEAR(E17),0,IF((YEAR(D17)+9)&gt;YEAR(E17),1,(12-MONTH(E17)+1)/12))))-(IF(OR(N17="",N17&lt;=0),0,(O17/N17)*(IF(OR(N17="",N17&lt;=0),0,IF((YEAR(D17)+9)&lt;YEAR(E17),0,IF((YEAR(D17)+9)&gt;=YEAR(E17)+N17,0,IF((YEAR(D17)+9)=YEAR(E17),(12-MONTH(E17)+1)/12,1))))))))&gt;0,(((K17)*(IF(M17="",L17,IFERROR(IF(INDEX(Variablen!$I:$AT, MATCH(M17, Variablen!$A:$A, 0), MATCH((YEAR(D17)+9), Variablen!$I$3:$AT$3, 0))="",L17,INDEX(Variablen!$I:$AT, MATCH(M17, Variablen!$A:$A, 0), MATCH((YEAR(D17)+9), Variablen!$I$3:$AT$3, 0))),L17)))*(IF((YEAR(D17)+9)&lt;YEAR(E17),0,IF((YEAR(D17)+9)&gt;YEAR(E17),1,(12-MONTH(E17)+1)/12))) + (Q17)*(IF((YEAR(D17)+9)&lt;YEAR(E17),0,IF((YEAR(D17)+9)&gt;YEAR(E17),1,(12-MONTH(E17)+1)/12))))-((P17)*(IF((YEAR(D17)+9)&lt;YEAR(E17),0,IF((YEAR(D17)+9)&gt;YEAR(E17),1,(12-MONTH(E17)+1)/12))) + (R17)*(IF((YEAR(D17)+9)&lt;YEAR(E17),0,IF((YEAR(D17)+9)&gt;YEAR(E17),1,(12-MONTH(E17)+1)/12))))-(IF(OR(N17="",N17&lt;=0),0,(O17/N17)*(IF(OR(N17="",N17&lt;=0),0,IF((YEAR(D17)+9)&lt;YEAR(E17),0,IF((YEAR(D17)+9)&gt;=YEAR(E17)+N17,0,IF((YEAR(D17)+9)=YEAR(E17),(12-MONTH(E17)+1)/12,1))))))))*TaxRate,0))-IF(9=0,O17,0))</f>
        <v/>
      </c>
      <c r="AC17" s="29">
        <f>IF(A17="","",((K17)*(IF(M17="",L17,IFERROR(IF(INDEX(Variablen!$I:$AT, MATCH(M17, Variablen!$A:$A, 0), MATCH((YEAR(D17)+10), Variablen!$I$3:$AT$3, 0))="",L17,INDEX(Variablen!$I:$AT, MATCH(M17, Variablen!$A:$A, 0), MATCH((YEAR(D17)+10), Variablen!$I$3:$AT$3, 0))),L17)))*(IF((YEAR(D17)+10)&lt;YEAR(E17),0,IF((YEAR(D17)+10)&gt;YEAR(E17),1,(12-MONTH(E17)+1)/12))) + (Q17)*(IF((YEAR(D17)+10)&lt;YEAR(E17),0,IF((YEAR(D17)+10)&gt;YEAR(E17),1,(12-MONTH(E17)+1)/12))))-((P17)*(IF((YEAR(D17)+10)&lt;YEAR(E17),0,IF((YEAR(D17)+10)&gt;YEAR(E17),1,(12-MONTH(E17)+1)/12))) + (R17)*(IF((YEAR(D17)+10)&lt;YEAR(E17),0,IF((YEAR(D17)+10)&gt;YEAR(E17),1,(12-MONTH(E17)+1)/12))))-(IF((((K17)*(IF(M17="",L17,IFERROR(IF(INDEX(Variablen!$I:$AT, MATCH(M17, Variablen!$A:$A, 0), MATCH((YEAR(D17)+10), Variablen!$I$3:$AT$3, 0))="",L17,INDEX(Variablen!$I:$AT, MATCH(M17, Variablen!$A:$A, 0), MATCH((YEAR(D17)+10), Variablen!$I$3:$AT$3, 0))),L17)))*(IF((YEAR(D17)+10)&lt;YEAR(E17),0,IF((YEAR(D17)+10)&gt;YEAR(E17),1,(12-MONTH(E17)+1)/12))) + (Q17)*(IF((YEAR(D17)+10)&lt;YEAR(E17),0,IF((YEAR(D17)+10)&gt;YEAR(E17),1,(12-MONTH(E17)+1)/12))))-((P17)*(IF((YEAR(D17)+10)&lt;YEAR(E17),0,IF((YEAR(D17)+10)&gt;YEAR(E17),1,(12-MONTH(E17)+1)/12))) + (R17)*(IF((YEAR(D17)+10)&lt;YEAR(E17),0,IF((YEAR(D17)+10)&gt;YEAR(E17),1,(12-MONTH(E17)+1)/12))))-(IF(OR(N17="",N17&lt;=0),0,(O17/N17)*(IF(OR(N17="",N17&lt;=0),0,IF((YEAR(D17)+10)&lt;YEAR(E17),0,IF((YEAR(D17)+10)&gt;=YEAR(E17)+N17,0,IF((YEAR(D17)+10)=YEAR(E17),(12-MONTH(E17)+1)/12,1))))))))&gt;0,(((K17)*(IF(M17="",L17,IFERROR(IF(INDEX(Variablen!$I:$AT, MATCH(M17, Variablen!$A:$A, 0), MATCH((YEAR(D17)+10), Variablen!$I$3:$AT$3, 0))="",L17,INDEX(Variablen!$I:$AT, MATCH(M17, Variablen!$A:$A, 0), MATCH((YEAR(D17)+10), Variablen!$I$3:$AT$3, 0))),L17)))*(IF((YEAR(D17)+10)&lt;YEAR(E17),0,IF((YEAR(D17)+10)&gt;YEAR(E17),1,(12-MONTH(E17)+1)/12))) + (Q17)*(IF((YEAR(D17)+10)&lt;YEAR(E17),0,IF((YEAR(D17)+10)&gt;YEAR(E17),1,(12-MONTH(E17)+1)/12))))-((P17)*(IF((YEAR(D17)+10)&lt;YEAR(E17),0,IF((YEAR(D17)+10)&gt;YEAR(E17),1,(12-MONTH(E17)+1)/12))) + (R17)*(IF((YEAR(D17)+10)&lt;YEAR(E17),0,IF((YEAR(D17)+10)&gt;YEAR(E17),1,(12-MONTH(E17)+1)/12))))-(IF(OR(N17="",N17&lt;=0),0,(O17/N17)*(IF(OR(N17="",N17&lt;=0),0,IF((YEAR(D17)+10)&lt;YEAR(E17),0,IF((YEAR(D17)+10)&gt;=YEAR(E17)+N17,0,IF((YEAR(D17)+10)=YEAR(E17),(12-MONTH(E17)+1)/12,1))))))))*TaxRate,0))-IF(10=0,O17,0))</f>
        <v/>
      </c>
      <c r="AD17" s="29">
        <f>IF(A17="","",((K17)*(IF(M17="",L17,IFERROR(IF(INDEX(Variablen!$I:$AT, MATCH(M17, Variablen!$A:$A, 0), MATCH((YEAR(D17)+11), Variablen!$I$3:$AT$3, 0))="",L17,INDEX(Variablen!$I:$AT, MATCH(M17, Variablen!$A:$A, 0), MATCH((YEAR(D17)+11), Variablen!$I$3:$AT$3, 0))),L17)))*(IF((YEAR(D17)+11)&lt;YEAR(E17),0,IF((YEAR(D17)+11)&gt;YEAR(E17),1,(12-MONTH(E17)+1)/12))) + (Q17)*(IF((YEAR(D17)+11)&lt;YEAR(E17),0,IF((YEAR(D17)+11)&gt;YEAR(E17),1,(12-MONTH(E17)+1)/12))))-((P17)*(IF((YEAR(D17)+11)&lt;YEAR(E17),0,IF((YEAR(D17)+11)&gt;YEAR(E17),1,(12-MONTH(E17)+1)/12))) + (R17)*(IF((YEAR(D17)+11)&lt;YEAR(E17),0,IF((YEAR(D17)+11)&gt;YEAR(E17),1,(12-MONTH(E17)+1)/12))))-(IF((((K17)*(IF(M17="",L17,IFERROR(IF(INDEX(Variablen!$I:$AT, MATCH(M17, Variablen!$A:$A, 0), MATCH((YEAR(D17)+11), Variablen!$I$3:$AT$3, 0))="",L17,INDEX(Variablen!$I:$AT, MATCH(M17, Variablen!$A:$A, 0), MATCH((YEAR(D17)+11), Variablen!$I$3:$AT$3, 0))),L17)))*(IF((YEAR(D17)+11)&lt;YEAR(E17),0,IF((YEAR(D17)+11)&gt;YEAR(E17),1,(12-MONTH(E17)+1)/12))) + (Q17)*(IF((YEAR(D17)+11)&lt;YEAR(E17),0,IF((YEAR(D17)+11)&gt;YEAR(E17),1,(12-MONTH(E17)+1)/12))))-((P17)*(IF((YEAR(D17)+11)&lt;YEAR(E17),0,IF((YEAR(D17)+11)&gt;YEAR(E17),1,(12-MONTH(E17)+1)/12))) + (R17)*(IF((YEAR(D17)+11)&lt;YEAR(E17),0,IF((YEAR(D17)+11)&gt;YEAR(E17),1,(12-MONTH(E17)+1)/12))))-(IF(OR(N17="",N17&lt;=0),0,(O17/N17)*(IF(OR(N17="",N17&lt;=0),0,IF((YEAR(D17)+11)&lt;YEAR(E17),0,IF((YEAR(D17)+11)&gt;=YEAR(E17)+N17,0,IF((YEAR(D17)+11)=YEAR(E17),(12-MONTH(E17)+1)/12,1))))))))&gt;0,(((K17)*(IF(M17="",L17,IFERROR(IF(INDEX(Variablen!$I:$AT, MATCH(M17, Variablen!$A:$A, 0), MATCH((YEAR(D17)+11), Variablen!$I$3:$AT$3, 0))="",L17,INDEX(Variablen!$I:$AT, MATCH(M17, Variablen!$A:$A, 0), MATCH((YEAR(D17)+11), Variablen!$I$3:$AT$3, 0))),L17)))*(IF((YEAR(D17)+11)&lt;YEAR(E17),0,IF((YEAR(D17)+11)&gt;YEAR(E17),1,(12-MONTH(E17)+1)/12))) + (Q17)*(IF((YEAR(D17)+11)&lt;YEAR(E17),0,IF((YEAR(D17)+11)&gt;YEAR(E17),1,(12-MONTH(E17)+1)/12))))-((P17)*(IF((YEAR(D17)+11)&lt;YEAR(E17),0,IF((YEAR(D17)+11)&gt;YEAR(E17),1,(12-MONTH(E17)+1)/12))) + (R17)*(IF((YEAR(D17)+11)&lt;YEAR(E17),0,IF((YEAR(D17)+11)&gt;YEAR(E17),1,(12-MONTH(E17)+1)/12))))-(IF(OR(N17="",N17&lt;=0),0,(O17/N17)*(IF(OR(N17="",N17&lt;=0),0,IF((YEAR(D17)+11)&lt;YEAR(E17),0,IF((YEAR(D17)+11)&gt;=YEAR(E17)+N17,0,IF((YEAR(D17)+11)=YEAR(E17),(12-MONTH(E17)+1)/12,1))))))))*TaxRate,0))-IF(11=0,O17,0))</f>
        <v/>
      </c>
      <c r="AE17" s="29">
        <f>IF(A17="","",((K17)*(IF(M17="",L17,IFERROR(IF(INDEX(Variablen!$I:$AT, MATCH(M17, Variablen!$A:$A, 0), MATCH((YEAR(D17)+12), Variablen!$I$3:$AT$3, 0))="",L17,INDEX(Variablen!$I:$AT, MATCH(M17, Variablen!$A:$A, 0), MATCH((YEAR(D17)+12), Variablen!$I$3:$AT$3, 0))),L17)))*(IF((YEAR(D17)+12)&lt;YEAR(E17),0,IF((YEAR(D17)+12)&gt;YEAR(E17),1,(12-MONTH(E17)+1)/12))) + (Q17)*(IF((YEAR(D17)+12)&lt;YEAR(E17),0,IF((YEAR(D17)+12)&gt;YEAR(E17),1,(12-MONTH(E17)+1)/12))))-((P17)*(IF((YEAR(D17)+12)&lt;YEAR(E17),0,IF((YEAR(D17)+12)&gt;YEAR(E17),1,(12-MONTH(E17)+1)/12))) + (R17)*(IF((YEAR(D17)+12)&lt;YEAR(E17),0,IF((YEAR(D17)+12)&gt;YEAR(E17),1,(12-MONTH(E17)+1)/12))))-(IF((((K17)*(IF(M17="",L17,IFERROR(IF(INDEX(Variablen!$I:$AT, MATCH(M17, Variablen!$A:$A, 0), MATCH((YEAR(D17)+12), Variablen!$I$3:$AT$3, 0))="",L17,INDEX(Variablen!$I:$AT, MATCH(M17, Variablen!$A:$A, 0), MATCH((YEAR(D17)+12), Variablen!$I$3:$AT$3, 0))),L17)))*(IF((YEAR(D17)+12)&lt;YEAR(E17),0,IF((YEAR(D17)+12)&gt;YEAR(E17),1,(12-MONTH(E17)+1)/12))) + (Q17)*(IF((YEAR(D17)+12)&lt;YEAR(E17),0,IF((YEAR(D17)+12)&gt;YEAR(E17),1,(12-MONTH(E17)+1)/12))))-((P17)*(IF((YEAR(D17)+12)&lt;YEAR(E17),0,IF((YEAR(D17)+12)&gt;YEAR(E17),1,(12-MONTH(E17)+1)/12))) + (R17)*(IF((YEAR(D17)+12)&lt;YEAR(E17),0,IF((YEAR(D17)+12)&gt;YEAR(E17),1,(12-MONTH(E17)+1)/12))))-(IF(OR(N17="",N17&lt;=0),0,(O17/N17)*(IF(OR(N17="",N17&lt;=0),0,IF((YEAR(D17)+12)&lt;YEAR(E17),0,IF((YEAR(D17)+12)&gt;=YEAR(E17)+N17,0,IF((YEAR(D17)+12)=YEAR(E17),(12-MONTH(E17)+1)/12,1))))))))&gt;0,(((K17)*(IF(M17="",L17,IFERROR(IF(INDEX(Variablen!$I:$AT, MATCH(M17, Variablen!$A:$A, 0), MATCH((YEAR(D17)+12), Variablen!$I$3:$AT$3, 0))="",L17,INDEX(Variablen!$I:$AT, MATCH(M17, Variablen!$A:$A, 0), MATCH((YEAR(D17)+12), Variablen!$I$3:$AT$3, 0))),L17)))*(IF((YEAR(D17)+12)&lt;YEAR(E17),0,IF((YEAR(D17)+12)&gt;YEAR(E17),1,(12-MONTH(E17)+1)/12))) + (Q17)*(IF((YEAR(D17)+12)&lt;YEAR(E17),0,IF((YEAR(D17)+12)&gt;YEAR(E17),1,(12-MONTH(E17)+1)/12))))-((P17)*(IF((YEAR(D17)+12)&lt;YEAR(E17),0,IF((YEAR(D17)+12)&gt;YEAR(E17),1,(12-MONTH(E17)+1)/12))) + (R17)*(IF((YEAR(D17)+12)&lt;YEAR(E17),0,IF((YEAR(D17)+12)&gt;YEAR(E17),1,(12-MONTH(E17)+1)/12))))-(IF(OR(N17="",N17&lt;=0),0,(O17/N17)*(IF(OR(N17="",N17&lt;=0),0,IF((YEAR(D17)+12)&lt;YEAR(E17),0,IF((YEAR(D17)+12)&gt;=YEAR(E17)+N17,0,IF((YEAR(D17)+12)=YEAR(E17),(12-MONTH(E17)+1)/12,1))))))))*TaxRate,0))-IF(12=0,O17,0))</f>
        <v/>
      </c>
      <c r="AF17" s="29">
        <f>IF(A17="","",((K17)*(IF(M17="",L17,IFERROR(IF(INDEX(Variablen!$I:$AT, MATCH(M17, Variablen!$A:$A, 0), MATCH((YEAR(D17)+13), Variablen!$I$3:$AT$3, 0))="",L17,INDEX(Variablen!$I:$AT, MATCH(M17, Variablen!$A:$A, 0), MATCH((YEAR(D17)+13), Variablen!$I$3:$AT$3, 0))),L17)))*(IF((YEAR(D17)+13)&lt;YEAR(E17),0,IF((YEAR(D17)+13)&gt;YEAR(E17),1,(12-MONTH(E17)+1)/12))) + (Q17)*(IF((YEAR(D17)+13)&lt;YEAR(E17),0,IF((YEAR(D17)+13)&gt;YEAR(E17),1,(12-MONTH(E17)+1)/12))))-((P17)*(IF((YEAR(D17)+13)&lt;YEAR(E17),0,IF((YEAR(D17)+13)&gt;YEAR(E17),1,(12-MONTH(E17)+1)/12))) + (R17)*(IF((YEAR(D17)+13)&lt;YEAR(E17),0,IF((YEAR(D17)+13)&gt;YEAR(E17),1,(12-MONTH(E17)+1)/12))))-(IF((((K17)*(IF(M17="",L17,IFERROR(IF(INDEX(Variablen!$I:$AT, MATCH(M17, Variablen!$A:$A, 0), MATCH((YEAR(D17)+13), Variablen!$I$3:$AT$3, 0))="",L17,INDEX(Variablen!$I:$AT, MATCH(M17, Variablen!$A:$A, 0), MATCH((YEAR(D17)+13), Variablen!$I$3:$AT$3, 0))),L17)))*(IF((YEAR(D17)+13)&lt;YEAR(E17),0,IF((YEAR(D17)+13)&gt;YEAR(E17),1,(12-MONTH(E17)+1)/12))) + (Q17)*(IF((YEAR(D17)+13)&lt;YEAR(E17),0,IF((YEAR(D17)+13)&gt;YEAR(E17),1,(12-MONTH(E17)+1)/12))))-((P17)*(IF((YEAR(D17)+13)&lt;YEAR(E17),0,IF((YEAR(D17)+13)&gt;YEAR(E17),1,(12-MONTH(E17)+1)/12))) + (R17)*(IF((YEAR(D17)+13)&lt;YEAR(E17),0,IF((YEAR(D17)+13)&gt;YEAR(E17),1,(12-MONTH(E17)+1)/12))))-(IF(OR(N17="",N17&lt;=0),0,(O17/N17)*(IF(OR(N17="",N17&lt;=0),0,IF((YEAR(D17)+13)&lt;YEAR(E17),0,IF((YEAR(D17)+13)&gt;=YEAR(E17)+N17,0,IF((YEAR(D17)+13)=YEAR(E17),(12-MONTH(E17)+1)/12,1))))))))&gt;0,(((K17)*(IF(M17="",L17,IFERROR(IF(INDEX(Variablen!$I:$AT, MATCH(M17, Variablen!$A:$A, 0), MATCH((YEAR(D17)+13), Variablen!$I$3:$AT$3, 0))="",L17,INDEX(Variablen!$I:$AT, MATCH(M17, Variablen!$A:$A, 0), MATCH((YEAR(D17)+13), Variablen!$I$3:$AT$3, 0))),L17)))*(IF((YEAR(D17)+13)&lt;YEAR(E17),0,IF((YEAR(D17)+13)&gt;YEAR(E17),1,(12-MONTH(E17)+1)/12))) + (Q17)*(IF((YEAR(D17)+13)&lt;YEAR(E17),0,IF((YEAR(D17)+13)&gt;YEAR(E17),1,(12-MONTH(E17)+1)/12))))-((P17)*(IF((YEAR(D17)+13)&lt;YEAR(E17),0,IF((YEAR(D17)+13)&gt;YEAR(E17),1,(12-MONTH(E17)+1)/12))) + (R17)*(IF((YEAR(D17)+13)&lt;YEAR(E17),0,IF((YEAR(D17)+13)&gt;YEAR(E17),1,(12-MONTH(E17)+1)/12))))-(IF(OR(N17="",N17&lt;=0),0,(O17/N17)*(IF(OR(N17="",N17&lt;=0),0,IF((YEAR(D17)+13)&lt;YEAR(E17),0,IF((YEAR(D17)+13)&gt;=YEAR(E17)+N17,0,IF((YEAR(D17)+13)=YEAR(E17),(12-MONTH(E17)+1)/12,1))))))))*TaxRate,0))-IF(13=0,O17,0))</f>
        <v/>
      </c>
      <c r="AG17" s="29">
        <f>IF(A17="","",((K17)*(IF(M17="",L17,IFERROR(IF(INDEX(Variablen!$I:$AT, MATCH(M17, Variablen!$A:$A, 0), MATCH((YEAR(D17)+14), Variablen!$I$3:$AT$3, 0))="",L17,INDEX(Variablen!$I:$AT, MATCH(M17, Variablen!$A:$A, 0), MATCH((YEAR(D17)+14), Variablen!$I$3:$AT$3, 0))),L17)))*(IF((YEAR(D17)+14)&lt;YEAR(E17),0,IF((YEAR(D17)+14)&gt;YEAR(E17),1,(12-MONTH(E17)+1)/12))) + (Q17)*(IF((YEAR(D17)+14)&lt;YEAR(E17),0,IF((YEAR(D17)+14)&gt;YEAR(E17),1,(12-MONTH(E17)+1)/12))))-((P17)*(IF((YEAR(D17)+14)&lt;YEAR(E17),0,IF((YEAR(D17)+14)&gt;YEAR(E17),1,(12-MONTH(E17)+1)/12))) + (R17)*(IF((YEAR(D17)+14)&lt;YEAR(E17),0,IF((YEAR(D17)+14)&gt;YEAR(E17),1,(12-MONTH(E17)+1)/12))))-(IF((((K17)*(IF(M17="",L17,IFERROR(IF(INDEX(Variablen!$I:$AT, MATCH(M17, Variablen!$A:$A, 0), MATCH((YEAR(D17)+14), Variablen!$I$3:$AT$3, 0))="",L17,INDEX(Variablen!$I:$AT, MATCH(M17, Variablen!$A:$A, 0), MATCH((YEAR(D17)+14), Variablen!$I$3:$AT$3, 0))),L17)))*(IF((YEAR(D17)+14)&lt;YEAR(E17),0,IF((YEAR(D17)+14)&gt;YEAR(E17),1,(12-MONTH(E17)+1)/12))) + (Q17)*(IF((YEAR(D17)+14)&lt;YEAR(E17),0,IF((YEAR(D17)+14)&gt;YEAR(E17),1,(12-MONTH(E17)+1)/12))))-((P17)*(IF((YEAR(D17)+14)&lt;YEAR(E17),0,IF((YEAR(D17)+14)&gt;YEAR(E17),1,(12-MONTH(E17)+1)/12))) + (R17)*(IF((YEAR(D17)+14)&lt;YEAR(E17),0,IF((YEAR(D17)+14)&gt;YEAR(E17),1,(12-MONTH(E17)+1)/12))))-(IF(OR(N17="",N17&lt;=0),0,(O17/N17)*(IF(OR(N17="",N17&lt;=0),0,IF((YEAR(D17)+14)&lt;YEAR(E17),0,IF((YEAR(D17)+14)&gt;=YEAR(E17)+N17,0,IF((YEAR(D17)+14)=YEAR(E17),(12-MONTH(E17)+1)/12,1))))))))&gt;0,(((K17)*(IF(M17="",L17,IFERROR(IF(INDEX(Variablen!$I:$AT, MATCH(M17, Variablen!$A:$A, 0), MATCH((YEAR(D17)+14), Variablen!$I$3:$AT$3, 0))="",L17,INDEX(Variablen!$I:$AT, MATCH(M17, Variablen!$A:$A, 0), MATCH((YEAR(D17)+14), Variablen!$I$3:$AT$3, 0))),L17)))*(IF((YEAR(D17)+14)&lt;YEAR(E17),0,IF((YEAR(D17)+14)&gt;YEAR(E17),1,(12-MONTH(E17)+1)/12))) + (Q17)*(IF((YEAR(D17)+14)&lt;YEAR(E17),0,IF((YEAR(D17)+14)&gt;YEAR(E17),1,(12-MONTH(E17)+1)/12))))-((P17)*(IF((YEAR(D17)+14)&lt;YEAR(E17),0,IF((YEAR(D17)+14)&gt;YEAR(E17),1,(12-MONTH(E17)+1)/12))) + (R17)*(IF((YEAR(D17)+14)&lt;YEAR(E17),0,IF((YEAR(D17)+14)&gt;YEAR(E17),1,(12-MONTH(E17)+1)/12))))-(IF(OR(N17="",N17&lt;=0),0,(O17/N17)*(IF(OR(N17="",N17&lt;=0),0,IF((YEAR(D17)+14)&lt;YEAR(E17),0,IF((YEAR(D17)+14)&gt;=YEAR(E17)+N17,0,IF((YEAR(D17)+14)=YEAR(E17),(12-MONTH(E17)+1)/12,1))))))))*TaxRate,0))-IF(14=0,O17,0))</f>
        <v/>
      </c>
      <c r="AH17" s="29">
        <f>IF(A17="","",((K17)*(IF(M17="",L17,IFERROR(IF(INDEX(Variablen!$I:$AT, MATCH(M17, Variablen!$A:$A, 0), MATCH((YEAR(D17)+15), Variablen!$I$3:$AT$3, 0))="",L17,INDEX(Variablen!$I:$AT, MATCH(M17, Variablen!$A:$A, 0), MATCH((YEAR(D17)+15), Variablen!$I$3:$AT$3, 0))),L17)))*(IF((YEAR(D17)+15)&lt;YEAR(E17),0,IF((YEAR(D17)+15)&gt;YEAR(E17),1,(12-MONTH(E17)+1)/12))) + (Q17)*(IF((YEAR(D17)+15)&lt;YEAR(E17),0,IF((YEAR(D17)+15)&gt;YEAR(E17),1,(12-MONTH(E17)+1)/12))))-((P17)*(IF((YEAR(D17)+15)&lt;YEAR(E17),0,IF((YEAR(D17)+15)&gt;YEAR(E17),1,(12-MONTH(E17)+1)/12))) + (R17)*(IF((YEAR(D17)+15)&lt;YEAR(E17),0,IF((YEAR(D17)+15)&gt;YEAR(E17),1,(12-MONTH(E17)+1)/12))))-(IF((((K17)*(IF(M17="",L17,IFERROR(IF(INDEX(Variablen!$I:$AT, MATCH(M17, Variablen!$A:$A, 0), MATCH((YEAR(D17)+15), Variablen!$I$3:$AT$3, 0))="",L17,INDEX(Variablen!$I:$AT, MATCH(M17, Variablen!$A:$A, 0), MATCH((YEAR(D17)+15), Variablen!$I$3:$AT$3, 0))),L17)))*(IF((YEAR(D17)+15)&lt;YEAR(E17),0,IF((YEAR(D17)+15)&gt;YEAR(E17),1,(12-MONTH(E17)+1)/12))) + (Q17)*(IF((YEAR(D17)+15)&lt;YEAR(E17),0,IF((YEAR(D17)+15)&gt;YEAR(E17),1,(12-MONTH(E17)+1)/12))))-((P17)*(IF((YEAR(D17)+15)&lt;YEAR(E17),0,IF((YEAR(D17)+15)&gt;YEAR(E17),1,(12-MONTH(E17)+1)/12))) + (R17)*(IF((YEAR(D17)+15)&lt;YEAR(E17),0,IF((YEAR(D17)+15)&gt;YEAR(E17),1,(12-MONTH(E17)+1)/12))))-(IF(OR(N17="",N17&lt;=0),0,(O17/N17)*(IF(OR(N17="",N17&lt;=0),0,IF((YEAR(D17)+15)&lt;YEAR(E17),0,IF((YEAR(D17)+15)&gt;=YEAR(E17)+N17,0,IF((YEAR(D17)+15)=YEAR(E17),(12-MONTH(E17)+1)/12,1))))))))&gt;0,(((K17)*(IF(M17="",L17,IFERROR(IF(INDEX(Variablen!$I:$AT, MATCH(M17, Variablen!$A:$A, 0), MATCH((YEAR(D17)+15), Variablen!$I$3:$AT$3, 0))="",L17,INDEX(Variablen!$I:$AT, MATCH(M17, Variablen!$A:$A, 0), MATCH((YEAR(D17)+15), Variablen!$I$3:$AT$3, 0))),L17)))*(IF((YEAR(D17)+15)&lt;YEAR(E17),0,IF((YEAR(D17)+15)&gt;YEAR(E17),1,(12-MONTH(E17)+1)/12))) + (Q17)*(IF((YEAR(D17)+15)&lt;YEAR(E17),0,IF((YEAR(D17)+15)&gt;YEAR(E17),1,(12-MONTH(E17)+1)/12))))-((P17)*(IF((YEAR(D17)+15)&lt;YEAR(E17),0,IF((YEAR(D17)+15)&gt;YEAR(E17),1,(12-MONTH(E17)+1)/12))) + (R17)*(IF((YEAR(D17)+15)&lt;YEAR(E17),0,IF((YEAR(D17)+15)&gt;YEAR(E17),1,(12-MONTH(E17)+1)/12))))-(IF(OR(N17="",N17&lt;=0),0,(O17/N17)*(IF(OR(N17="",N17&lt;=0),0,IF((YEAR(D17)+15)&lt;YEAR(E17),0,IF((YEAR(D17)+15)&gt;=YEAR(E17)+N17,0,IF((YEAR(D17)+15)=YEAR(E17),(12-MONTH(E17)+1)/12,1))))))))*TaxRate,0))-IF(15=0,O17,0))</f>
        <v/>
      </c>
      <c r="AI17" s="29">
        <f>IF(A17="","",((K17)*(IF(M17="",L17,IFERROR(IF(INDEX(Variablen!$I:$AT, MATCH(M17, Variablen!$A:$A, 0), MATCH((YEAR(D17)+16), Variablen!$I$3:$AT$3, 0))="",L17,INDEX(Variablen!$I:$AT, MATCH(M17, Variablen!$A:$A, 0), MATCH((YEAR(D17)+16), Variablen!$I$3:$AT$3, 0))),L17)))*(IF((YEAR(D17)+16)&lt;YEAR(E17),0,IF((YEAR(D17)+16)&gt;YEAR(E17),1,(12-MONTH(E17)+1)/12))) + (Q17)*(IF((YEAR(D17)+16)&lt;YEAR(E17),0,IF((YEAR(D17)+16)&gt;YEAR(E17),1,(12-MONTH(E17)+1)/12))))-((P17)*(IF((YEAR(D17)+16)&lt;YEAR(E17),0,IF((YEAR(D17)+16)&gt;YEAR(E17),1,(12-MONTH(E17)+1)/12))) + (R17)*(IF((YEAR(D17)+16)&lt;YEAR(E17),0,IF((YEAR(D17)+16)&gt;YEAR(E17),1,(12-MONTH(E17)+1)/12))))-(IF((((K17)*(IF(M17="",L17,IFERROR(IF(INDEX(Variablen!$I:$AT, MATCH(M17, Variablen!$A:$A, 0), MATCH((YEAR(D17)+16), Variablen!$I$3:$AT$3, 0))="",L17,INDEX(Variablen!$I:$AT, MATCH(M17, Variablen!$A:$A, 0), MATCH((YEAR(D17)+16), Variablen!$I$3:$AT$3, 0))),L17)))*(IF((YEAR(D17)+16)&lt;YEAR(E17),0,IF((YEAR(D17)+16)&gt;YEAR(E17),1,(12-MONTH(E17)+1)/12))) + (Q17)*(IF((YEAR(D17)+16)&lt;YEAR(E17),0,IF((YEAR(D17)+16)&gt;YEAR(E17),1,(12-MONTH(E17)+1)/12))))-((P17)*(IF((YEAR(D17)+16)&lt;YEAR(E17),0,IF((YEAR(D17)+16)&gt;YEAR(E17),1,(12-MONTH(E17)+1)/12))) + (R17)*(IF((YEAR(D17)+16)&lt;YEAR(E17),0,IF((YEAR(D17)+16)&gt;YEAR(E17),1,(12-MONTH(E17)+1)/12))))-(IF(OR(N17="",N17&lt;=0),0,(O17/N17)*(IF(OR(N17="",N17&lt;=0),0,IF((YEAR(D17)+16)&lt;YEAR(E17),0,IF((YEAR(D17)+16)&gt;=YEAR(E17)+N17,0,IF((YEAR(D17)+16)=YEAR(E17),(12-MONTH(E17)+1)/12,1))))))))&gt;0,(((K17)*(IF(M17="",L17,IFERROR(IF(INDEX(Variablen!$I:$AT, MATCH(M17, Variablen!$A:$A, 0), MATCH((YEAR(D17)+16), Variablen!$I$3:$AT$3, 0))="",L17,INDEX(Variablen!$I:$AT, MATCH(M17, Variablen!$A:$A, 0), MATCH((YEAR(D17)+16), Variablen!$I$3:$AT$3, 0))),L17)))*(IF((YEAR(D17)+16)&lt;YEAR(E17),0,IF((YEAR(D17)+16)&gt;YEAR(E17),1,(12-MONTH(E17)+1)/12))) + (Q17)*(IF((YEAR(D17)+16)&lt;YEAR(E17),0,IF((YEAR(D17)+16)&gt;YEAR(E17),1,(12-MONTH(E17)+1)/12))))-((P17)*(IF((YEAR(D17)+16)&lt;YEAR(E17),0,IF((YEAR(D17)+16)&gt;YEAR(E17),1,(12-MONTH(E17)+1)/12))) + (R17)*(IF((YEAR(D17)+16)&lt;YEAR(E17),0,IF((YEAR(D17)+16)&gt;YEAR(E17),1,(12-MONTH(E17)+1)/12))))-(IF(OR(N17="",N17&lt;=0),0,(O17/N17)*(IF(OR(N17="",N17&lt;=0),0,IF((YEAR(D17)+16)&lt;YEAR(E17),0,IF((YEAR(D17)+16)&gt;=YEAR(E17)+N17,0,IF((YEAR(D17)+16)=YEAR(E17),(12-MONTH(E17)+1)/12,1))))))))*TaxRate,0))-IF(16=0,O17,0))</f>
        <v/>
      </c>
      <c r="AJ17" s="29">
        <f>IF(A17="","",((K17)*(IF(M17="",L17,IFERROR(IF(INDEX(Variablen!$I:$AT, MATCH(M17, Variablen!$A:$A, 0), MATCH((YEAR(D17)+17), Variablen!$I$3:$AT$3, 0))="",L17,INDEX(Variablen!$I:$AT, MATCH(M17, Variablen!$A:$A, 0), MATCH((YEAR(D17)+17), Variablen!$I$3:$AT$3, 0))),L17)))*(IF((YEAR(D17)+17)&lt;YEAR(E17),0,IF((YEAR(D17)+17)&gt;YEAR(E17),1,(12-MONTH(E17)+1)/12))) + (Q17)*(IF((YEAR(D17)+17)&lt;YEAR(E17),0,IF((YEAR(D17)+17)&gt;YEAR(E17),1,(12-MONTH(E17)+1)/12))))-((P17)*(IF((YEAR(D17)+17)&lt;YEAR(E17),0,IF((YEAR(D17)+17)&gt;YEAR(E17),1,(12-MONTH(E17)+1)/12))) + (R17)*(IF((YEAR(D17)+17)&lt;YEAR(E17),0,IF((YEAR(D17)+17)&gt;YEAR(E17),1,(12-MONTH(E17)+1)/12))))-(IF((((K17)*(IF(M17="",L17,IFERROR(IF(INDEX(Variablen!$I:$AT, MATCH(M17, Variablen!$A:$A, 0), MATCH((YEAR(D17)+17), Variablen!$I$3:$AT$3, 0))="",L17,INDEX(Variablen!$I:$AT, MATCH(M17, Variablen!$A:$A, 0), MATCH((YEAR(D17)+17), Variablen!$I$3:$AT$3, 0))),L17)))*(IF((YEAR(D17)+17)&lt;YEAR(E17),0,IF((YEAR(D17)+17)&gt;YEAR(E17),1,(12-MONTH(E17)+1)/12))) + (Q17)*(IF((YEAR(D17)+17)&lt;YEAR(E17),0,IF((YEAR(D17)+17)&gt;YEAR(E17),1,(12-MONTH(E17)+1)/12))))-((P17)*(IF((YEAR(D17)+17)&lt;YEAR(E17),0,IF((YEAR(D17)+17)&gt;YEAR(E17),1,(12-MONTH(E17)+1)/12))) + (R17)*(IF((YEAR(D17)+17)&lt;YEAR(E17),0,IF((YEAR(D17)+17)&gt;YEAR(E17),1,(12-MONTH(E17)+1)/12))))-(IF(OR(N17="",N17&lt;=0),0,(O17/N17)*(IF(OR(N17="",N17&lt;=0),0,IF((YEAR(D17)+17)&lt;YEAR(E17),0,IF((YEAR(D17)+17)&gt;=YEAR(E17)+N17,0,IF((YEAR(D17)+17)=YEAR(E17),(12-MONTH(E17)+1)/12,1))))))))&gt;0,(((K17)*(IF(M17="",L17,IFERROR(IF(INDEX(Variablen!$I:$AT, MATCH(M17, Variablen!$A:$A, 0), MATCH((YEAR(D17)+17), Variablen!$I$3:$AT$3, 0))="",L17,INDEX(Variablen!$I:$AT, MATCH(M17, Variablen!$A:$A, 0), MATCH((YEAR(D17)+17), Variablen!$I$3:$AT$3, 0))),L17)))*(IF((YEAR(D17)+17)&lt;YEAR(E17),0,IF((YEAR(D17)+17)&gt;YEAR(E17),1,(12-MONTH(E17)+1)/12))) + (Q17)*(IF((YEAR(D17)+17)&lt;YEAR(E17),0,IF((YEAR(D17)+17)&gt;YEAR(E17),1,(12-MONTH(E17)+1)/12))))-((P17)*(IF((YEAR(D17)+17)&lt;YEAR(E17),0,IF((YEAR(D17)+17)&gt;YEAR(E17),1,(12-MONTH(E17)+1)/12))) + (R17)*(IF((YEAR(D17)+17)&lt;YEAR(E17),0,IF((YEAR(D17)+17)&gt;YEAR(E17),1,(12-MONTH(E17)+1)/12))))-(IF(OR(N17="",N17&lt;=0),0,(O17/N17)*(IF(OR(N17="",N17&lt;=0),0,IF((YEAR(D17)+17)&lt;YEAR(E17),0,IF((YEAR(D17)+17)&gt;=YEAR(E17)+N17,0,IF((YEAR(D17)+17)=YEAR(E17),(12-MONTH(E17)+1)/12,1))))))))*TaxRate,0))-IF(17=0,O17,0))</f>
        <v/>
      </c>
      <c r="AK17" s="29">
        <f>IF(A17="","",((K17)*(IF(M17="",L17,IFERROR(IF(INDEX(Variablen!$I:$AT, MATCH(M17, Variablen!$A:$A, 0), MATCH((YEAR(D17)+18), Variablen!$I$3:$AT$3, 0))="",L17,INDEX(Variablen!$I:$AT, MATCH(M17, Variablen!$A:$A, 0), MATCH((YEAR(D17)+18), Variablen!$I$3:$AT$3, 0))),L17)))*(IF((YEAR(D17)+18)&lt;YEAR(E17),0,IF((YEAR(D17)+18)&gt;YEAR(E17),1,(12-MONTH(E17)+1)/12))) + (Q17)*(IF((YEAR(D17)+18)&lt;YEAR(E17),0,IF((YEAR(D17)+18)&gt;YEAR(E17),1,(12-MONTH(E17)+1)/12))))-((P17)*(IF((YEAR(D17)+18)&lt;YEAR(E17),0,IF((YEAR(D17)+18)&gt;YEAR(E17),1,(12-MONTH(E17)+1)/12))) + (R17)*(IF((YEAR(D17)+18)&lt;YEAR(E17),0,IF((YEAR(D17)+18)&gt;YEAR(E17),1,(12-MONTH(E17)+1)/12))))-(IF((((K17)*(IF(M17="",L17,IFERROR(IF(INDEX(Variablen!$I:$AT, MATCH(M17, Variablen!$A:$A, 0), MATCH((YEAR(D17)+18), Variablen!$I$3:$AT$3, 0))="",L17,INDEX(Variablen!$I:$AT, MATCH(M17, Variablen!$A:$A, 0), MATCH((YEAR(D17)+18), Variablen!$I$3:$AT$3, 0))),L17)))*(IF((YEAR(D17)+18)&lt;YEAR(E17),0,IF((YEAR(D17)+18)&gt;YEAR(E17),1,(12-MONTH(E17)+1)/12))) + (Q17)*(IF((YEAR(D17)+18)&lt;YEAR(E17),0,IF((YEAR(D17)+18)&gt;YEAR(E17),1,(12-MONTH(E17)+1)/12))))-((P17)*(IF((YEAR(D17)+18)&lt;YEAR(E17),0,IF((YEAR(D17)+18)&gt;YEAR(E17),1,(12-MONTH(E17)+1)/12))) + (R17)*(IF((YEAR(D17)+18)&lt;YEAR(E17),0,IF((YEAR(D17)+18)&gt;YEAR(E17),1,(12-MONTH(E17)+1)/12))))-(IF(OR(N17="",N17&lt;=0),0,(O17/N17)*(IF(OR(N17="",N17&lt;=0),0,IF((YEAR(D17)+18)&lt;YEAR(E17),0,IF((YEAR(D17)+18)&gt;=YEAR(E17)+N17,0,IF((YEAR(D17)+18)=YEAR(E17),(12-MONTH(E17)+1)/12,1))))))))&gt;0,(((K17)*(IF(M17="",L17,IFERROR(IF(INDEX(Variablen!$I:$AT, MATCH(M17, Variablen!$A:$A, 0), MATCH((YEAR(D17)+18), Variablen!$I$3:$AT$3, 0))="",L17,INDEX(Variablen!$I:$AT, MATCH(M17, Variablen!$A:$A, 0), MATCH((YEAR(D17)+18), Variablen!$I$3:$AT$3, 0))),L17)))*(IF((YEAR(D17)+18)&lt;YEAR(E17),0,IF((YEAR(D17)+18)&gt;YEAR(E17),1,(12-MONTH(E17)+1)/12))) + (Q17)*(IF((YEAR(D17)+18)&lt;YEAR(E17),0,IF((YEAR(D17)+18)&gt;YEAR(E17),1,(12-MONTH(E17)+1)/12))))-((P17)*(IF((YEAR(D17)+18)&lt;YEAR(E17),0,IF((YEAR(D17)+18)&gt;YEAR(E17),1,(12-MONTH(E17)+1)/12))) + (R17)*(IF((YEAR(D17)+18)&lt;YEAR(E17),0,IF((YEAR(D17)+18)&gt;YEAR(E17),1,(12-MONTH(E17)+1)/12))))-(IF(OR(N17="",N17&lt;=0),0,(O17/N17)*(IF(OR(N17="",N17&lt;=0),0,IF((YEAR(D17)+18)&lt;YEAR(E17),0,IF((YEAR(D17)+18)&gt;=YEAR(E17)+N17,0,IF((YEAR(D17)+18)=YEAR(E17),(12-MONTH(E17)+1)/12,1))))))))*TaxRate,0))-IF(18=0,O17,0))</f>
        <v/>
      </c>
      <c r="AL17" s="29">
        <f>IF(A17="","",((K17)*(IF(M17="",L17,IFERROR(IF(INDEX(Variablen!$I:$AT, MATCH(M17, Variablen!$A:$A, 0), MATCH((YEAR(D17)+19), Variablen!$I$3:$AT$3, 0))="",L17,INDEX(Variablen!$I:$AT, MATCH(M17, Variablen!$A:$A, 0), MATCH((YEAR(D17)+19), Variablen!$I$3:$AT$3, 0))),L17)))*(IF((YEAR(D17)+19)&lt;YEAR(E17),0,IF((YEAR(D17)+19)&gt;YEAR(E17),1,(12-MONTH(E17)+1)/12))) + (Q17)*(IF((YEAR(D17)+19)&lt;YEAR(E17),0,IF((YEAR(D17)+19)&gt;YEAR(E17),1,(12-MONTH(E17)+1)/12))))-((P17)*(IF((YEAR(D17)+19)&lt;YEAR(E17),0,IF((YEAR(D17)+19)&gt;YEAR(E17),1,(12-MONTH(E17)+1)/12))) + (R17)*(IF((YEAR(D17)+19)&lt;YEAR(E17),0,IF((YEAR(D17)+19)&gt;YEAR(E17),1,(12-MONTH(E17)+1)/12))))-(IF((((K17)*(IF(M17="",L17,IFERROR(IF(INDEX(Variablen!$I:$AT, MATCH(M17, Variablen!$A:$A, 0), MATCH((YEAR(D17)+19), Variablen!$I$3:$AT$3, 0))="",L17,INDEX(Variablen!$I:$AT, MATCH(M17, Variablen!$A:$A, 0), MATCH((YEAR(D17)+19), Variablen!$I$3:$AT$3, 0))),L17)))*(IF((YEAR(D17)+19)&lt;YEAR(E17),0,IF((YEAR(D17)+19)&gt;YEAR(E17),1,(12-MONTH(E17)+1)/12))) + (Q17)*(IF((YEAR(D17)+19)&lt;YEAR(E17),0,IF((YEAR(D17)+19)&gt;YEAR(E17),1,(12-MONTH(E17)+1)/12))))-((P17)*(IF((YEAR(D17)+19)&lt;YEAR(E17),0,IF((YEAR(D17)+19)&gt;YEAR(E17),1,(12-MONTH(E17)+1)/12))) + (R17)*(IF((YEAR(D17)+19)&lt;YEAR(E17),0,IF((YEAR(D17)+19)&gt;YEAR(E17),1,(12-MONTH(E17)+1)/12))))-(IF(OR(N17="",N17&lt;=0),0,(O17/N17)*(IF(OR(N17="",N17&lt;=0),0,IF((YEAR(D17)+19)&lt;YEAR(E17),0,IF((YEAR(D17)+19)&gt;=YEAR(E17)+N17,0,IF((YEAR(D17)+19)=YEAR(E17),(12-MONTH(E17)+1)/12,1))))))))&gt;0,(((K17)*(IF(M17="",L17,IFERROR(IF(INDEX(Variablen!$I:$AT, MATCH(M17, Variablen!$A:$A, 0), MATCH((YEAR(D17)+19), Variablen!$I$3:$AT$3, 0))="",L17,INDEX(Variablen!$I:$AT, MATCH(M17, Variablen!$A:$A, 0), MATCH((YEAR(D17)+19), Variablen!$I$3:$AT$3, 0))),L17)))*(IF((YEAR(D17)+19)&lt;YEAR(E17),0,IF((YEAR(D17)+19)&gt;YEAR(E17),1,(12-MONTH(E17)+1)/12))) + (Q17)*(IF((YEAR(D17)+19)&lt;YEAR(E17),0,IF((YEAR(D17)+19)&gt;YEAR(E17),1,(12-MONTH(E17)+1)/12))))-((P17)*(IF((YEAR(D17)+19)&lt;YEAR(E17),0,IF((YEAR(D17)+19)&gt;YEAR(E17),1,(12-MONTH(E17)+1)/12))) + (R17)*(IF((YEAR(D17)+19)&lt;YEAR(E17),0,IF((YEAR(D17)+19)&gt;YEAR(E17),1,(12-MONTH(E17)+1)/12))))-(IF(OR(N17="",N17&lt;=0),0,(O17/N17)*(IF(OR(N17="",N17&lt;=0),0,IF((YEAR(D17)+19)&lt;YEAR(E17),0,IF((YEAR(D17)+19)&gt;=YEAR(E17)+N17,0,IF((YEAR(D17)+19)=YEAR(E17),(12-MONTH(E17)+1)/12,1))))))))*TaxRate,0))-IF(19=0,O17,0))</f>
        <v/>
      </c>
      <c r="AM17" s="29">
        <f>IF(A17="","",((K17)*(IF(M17="",L17,IFERROR(IF(INDEX(Variablen!$I:$AT, MATCH(M17, Variablen!$A:$A, 0), MATCH((YEAR(D17)+20), Variablen!$I$3:$AT$3, 0))="",L17,INDEX(Variablen!$I:$AT, MATCH(M17, Variablen!$A:$A, 0), MATCH((YEAR(D17)+20), Variablen!$I$3:$AT$3, 0))),L17)))*(IF((YEAR(D17)+20)&lt;YEAR(E17),0,IF((YEAR(D17)+20)&gt;YEAR(E17),1,(12-MONTH(E17)+1)/12))) + (Q17)*(IF((YEAR(D17)+20)&lt;YEAR(E17),0,IF((YEAR(D17)+20)&gt;YEAR(E17),1,(12-MONTH(E17)+1)/12))))-((P17)*(IF((YEAR(D17)+20)&lt;YEAR(E17),0,IF((YEAR(D17)+20)&gt;YEAR(E17),1,(12-MONTH(E17)+1)/12))) + (R17)*(IF((YEAR(D17)+20)&lt;YEAR(E17),0,IF((YEAR(D17)+20)&gt;YEAR(E17),1,(12-MONTH(E17)+1)/12))))-(IF((((K17)*(IF(M17="",L17,IFERROR(IF(INDEX(Variablen!$I:$AT, MATCH(M17, Variablen!$A:$A, 0), MATCH((YEAR(D17)+20), Variablen!$I$3:$AT$3, 0))="",L17,INDEX(Variablen!$I:$AT, MATCH(M17, Variablen!$A:$A, 0), MATCH((YEAR(D17)+20), Variablen!$I$3:$AT$3, 0))),L17)))*(IF((YEAR(D17)+20)&lt;YEAR(E17),0,IF((YEAR(D17)+20)&gt;YEAR(E17),1,(12-MONTH(E17)+1)/12))) + (Q17)*(IF((YEAR(D17)+20)&lt;YEAR(E17),0,IF((YEAR(D17)+20)&gt;YEAR(E17),1,(12-MONTH(E17)+1)/12))))-((P17)*(IF((YEAR(D17)+20)&lt;YEAR(E17),0,IF((YEAR(D17)+20)&gt;YEAR(E17),1,(12-MONTH(E17)+1)/12))) + (R17)*(IF((YEAR(D17)+20)&lt;YEAR(E17),0,IF((YEAR(D17)+20)&gt;YEAR(E17),1,(12-MONTH(E17)+1)/12))))-(IF(OR(N17="",N17&lt;=0),0,(O17/N17)*(IF(OR(N17="",N17&lt;=0),0,IF((YEAR(D17)+20)&lt;YEAR(E17),0,IF((YEAR(D17)+20)&gt;=YEAR(E17)+N17,0,IF((YEAR(D17)+20)=YEAR(E17),(12-MONTH(E17)+1)/12,1))))))))&gt;0,(((K17)*(IF(M17="",L17,IFERROR(IF(INDEX(Variablen!$I:$AT, MATCH(M17, Variablen!$A:$A, 0), MATCH((YEAR(D17)+20), Variablen!$I$3:$AT$3, 0))="",L17,INDEX(Variablen!$I:$AT, MATCH(M17, Variablen!$A:$A, 0), MATCH((YEAR(D17)+20), Variablen!$I$3:$AT$3, 0))),L17)))*(IF((YEAR(D17)+20)&lt;YEAR(E17),0,IF((YEAR(D17)+20)&gt;YEAR(E17),1,(12-MONTH(E17)+1)/12))) + (Q17)*(IF((YEAR(D17)+20)&lt;YEAR(E17),0,IF((YEAR(D17)+20)&gt;YEAR(E17),1,(12-MONTH(E17)+1)/12))))-((P17)*(IF((YEAR(D17)+20)&lt;YEAR(E17),0,IF((YEAR(D17)+20)&gt;YEAR(E17),1,(12-MONTH(E17)+1)/12))) + (R17)*(IF((YEAR(D17)+20)&lt;YEAR(E17),0,IF((YEAR(D17)+20)&gt;YEAR(E17),1,(12-MONTH(E17)+1)/12))))-(IF(OR(N17="",N17&lt;=0),0,(O17/N17)*(IF(OR(N17="",N17&lt;=0),0,IF((YEAR(D17)+20)&lt;YEAR(E17),0,IF((YEAR(D17)+20)&gt;=YEAR(E17)+N17,0,IF((YEAR(D17)+20)=YEAR(E17),(12-MONTH(E17)+1)/12,1))))))))*TaxRate,0))-IF(20=0,O17,0))</f>
        <v/>
      </c>
      <c r="AN17" s="29">
        <f>IF(A17="","",S17)</f>
        <v/>
      </c>
      <c r="AO17" s="29">
        <f>IF(A17="","",AN17+T17)</f>
        <v/>
      </c>
      <c r="AP17" s="29">
        <f>IF(A17="","",AO17+U17)</f>
        <v/>
      </c>
      <c r="AQ17" s="29">
        <f>IF(A17="","",AP17+V17)</f>
        <v/>
      </c>
      <c r="AR17" s="29">
        <f>IF(A17="","",AQ17+W17)</f>
        <v/>
      </c>
      <c r="AS17" s="29">
        <f>IF(A17="","",AR17+X17)</f>
        <v/>
      </c>
      <c r="AT17" s="29">
        <f>IF(A17="","",AS17+Y17)</f>
        <v/>
      </c>
      <c r="AU17" s="29">
        <f>IF(A17="","",AT17+Z17)</f>
        <v/>
      </c>
      <c r="AV17" s="29">
        <f>IF(A17="","",AU17+AA17)</f>
        <v/>
      </c>
      <c r="AW17" s="29">
        <f>IF(A17="","",AV17+AB17)</f>
        <v/>
      </c>
      <c r="AX17" s="29">
        <f>IF(A17="","",AW17+AC17)</f>
        <v/>
      </c>
      <c r="AY17" s="29">
        <f>IF(A17="","",AX17+AD17)</f>
        <v/>
      </c>
      <c r="AZ17" s="29">
        <f>IF(A17="","",AY17+AE17)</f>
        <v/>
      </c>
      <c r="BA17" s="29">
        <f>IF(A17="","",AZ17+AF17)</f>
        <v/>
      </c>
      <c r="BB17" s="29">
        <f>IF(A17="","",BA17+AG17)</f>
        <v/>
      </c>
      <c r="BC17" s="29">
        <f>IF(A17="","",BB17+AH17)</f>
        <v/>
      </c>
      <c r="BD17" s="29">
        <f>IF(A17="","",BC17+AI17)</f>
        <v/>
      </c>
      <c r="BE17" s="29">
        <f>IF(A17="","",BD17+AJ17)</f>
        <v/>
      </c>
      <c r="BF17" s="29">
        <f>IF(A17="","",BE17+AK17)</f>
        <v/>
      </c>
      <c r="BG17" s="29">
        <f>IF(A17="","",BF17+AL17)</f>
        <v/>
      </c>
      <c r="BH17" s="29">
        <f>IF(A17="","",BG17+AM17)</f>
        <v/>
      </c>
      <c r="BI17" s="36">
        <f>IF(A17="","",(K17)*(IF((YEAR(D17)+0)&lt;YEAR(E17),0,IF((YEAR(D17)+0)&gt;YEAR(E17),1,(12-MONTH(E17)+1)/12)))*(1/(1+DiscountRate)^0))</f>
        <v/>
      </c>
      <c r="BJ17" s="36">
        <f>IF(A17="","",(K17)*(IF((YEAR(D17)+1)&lt;YEAR(E17),0,IF((YEAR(D17)+1)&gt;YEAR(E17),1,(12-MONTH(E17)+1)/12)))*(1/(1+DiscountRate)^1))</f>
        <v/>
      </c>
      <c r="BK17" s="36">
        <f>IF(A17="","",(K17)*(IF((YEAR(D17)+2)&lt;YEAR(E17),0,IF((YEAR(D17)+2)&gt;YEAR(E17),1,(12-MONTH(E17)+1)/12)))*(1/(1+DiscountRate)^2))</f>
        <v/>
      </c>
      <c r="BL17" s="36">
        <f>IF(A17="","",(K17)*(IF((YEAR(D17)+3)&lt;YEAR(E17),0,IF((YEAR(D17)+3)&gt;YEAR(E17),1,(12-MONTH(E17)+1)/12)))*(1/(1+DiscountRate)^3))</f>
        <v/>
      </c>
      <c r="BM17" s="36">
        <f>IF(A17="","",(K17)*(IF((YEAR(D17)+4)&lt;YEAR(E17),0,IF((YEAR(D17)+4)&gt;YEAR(E17),1,(12-MONTH(E17)+1)/12)))*(1/(1+DiscountRate)^4))</f>
        <v/>
      </c>
      <c r="BN17" s="36">
        <f>IF(A17="","",(K17)*(IF((YEAR(D17)+5)&lt;YEAR(E17),0,IF((YEAR(D17)+5)&gt;YEAR(E17),1,(12-MONTH(E17)+1)/12)))*(1/(1+DiscountRate)^5))</f>
        <v/>
      </c>
      <c r="BO17" s="36">
        <f>IF(A17="","",(K17)*(IF((YEAR(D17)+6)&lt;YEAR(E17),0,IF((YEAR(D17)+6)&gt;YEAR(E17),1,(12-MONTH(E17)+1)/12)))*(1/(1+DiscountRate)^6))</f>
        <v/>
      </c>
      <c r="BP17" s="36">
        <f>IF(A17="","",(K17)*(IF((YEAR(D17)+7)&lt;YEAR(E17),0,IF((YEAR(D17)+7)&gt;YEAR(E17),1,(12-MONTH(E17)+1)/12)))*(1/(1+DiscountRate)^7))</f>
        <v/>
      </c>
      <c r="BQ17" s="36">
        <f>IF(A17="","",(K17)*(IF((YEAR(D17)+8)&lt;YEAR(E17),0,IF((YEAR(D17)+8)&gt;YEAR(E17),1,(12-MONTH(E17)+1)/12)))*(1/(1+DiscountRate)^8))</f>
        <v/>
      </c>
      <c r="BR17" s="36">
        <f>IF(A17="","",(K17)*(IF((YEAR(D17)+9)&lt;YEAR(E17),0,IF((YEAR(D17)+9)&gt;YEAR(E17),1,(12-MONTH(E17)+1)/12)))*(1/(1+DiscountRate)^9))</f>
        <v/>
      </c>
      <c r="BS17" s="36">
        <f>IF(A17="","",(K17)*(IF((YEAR(D17)+10)&lt;YEAR(E17),0,IF((YEAR(D17)+10)&gt;YEAR(E17),1,(12-MONTH(E17)+1)/12)))*(1/(1+DiscountRate)^10))</f>
        <v/>
      </c>
      <c r="BT17" s="36">
        <f>IF(A17="","",(K17)*(IF((YEAR(D17)+11)&lt;YEAR(E17),0,IF((YEAR(D17)+11)&gt;YEAR(E17),1,(12-MONTH(E17)+1)/12)))*(1/(1+DiscountRate)^11))</f>
        <v/>
      </c>
      <c r="BU17" s="36">
        <f>IF(A17="","",(K17)*(IF((YEAR(D17)+12)&lt;YEAR(E17),0,IF((YEAR(D17)+12)&gt;YEAR(E17),1,(12-MONTH(E17)+1)/12)))*(1/(1+DiscountRate)^12))</f>
        <v/>
      </c>
      <c r="BV17" s="36">
        <f>IF(A17="","",(K17)*(IF((YEAR(D17)+13)&lt;YEAR(E17),0,IF((YEAR(D17)+13)&gt;YEAR(E17),1,(12-MONTH(E17)+1)/12)))*(1/(1+DiscountRate)^13))</f>
        <v/>
      </c>
      <c r="BW17" s="36">
        <f>IF(A17="","",(K17)*(IF((YEAR(D17)+14)&lt;YEAR(E17),0,IF((YEAR(D17)+14)&gt;YEAR(E17),1,(12-MONTH(E17)+1)/12)))*(1/(1+DiscountRate)^14))</f>
        <v/>
      </c>
      <c r="BX17" s="36">
        <f>IF(A17="","",(K17)*(IF((YEAR(D17)+15)&lt;YEAR(E17),0,IF((YEAR(D17)+15)&gt;YEAR(E17),1,(12-MONTH(E17)+1)/12)))*(1/(1+DiscountRate)^15))</f>
        <v/>
      </c>
      <c r="BY17" s="36">
        <f>IF(A17="","",(K17)*(IF((YEAR(D17)+16)&lt;YEAR(E17),0,IF((YEAR(D17)+16)&gt;YEAR(E17),1,(12-MONTH(E17)+1)/12)))*(1/(1+DiscountRate)^16))</f>
        <v/>
      </c>
      <c r="BZ17" s="36">
        <f>IF(A17="","",(K17)*(IF((YEAR(D17)+17)&lt;YEAR(E17),0,IF((YEAR(D17)+17)&gt;YEAR(E17),1,(12-MONTH(E17)+1)/12)))*(1/(1+DiscountRate)^17))</f>
        <v/>
      </c>
      <c r="CA17" s="36">
        <f>IF(A17="","",(K17)*(IF((YEAR(D17)+18)&lt;YEAR(E17),0,IF((YEAR(D17)+18)&gt;YEAR(E17),1,(12-MONTH(E17)+1)/12)))*(1/(1+DiscountRate)^18))</f>
        <v/>
      </c>
      <c r="CB17" s="36">
        <f>IF(A17="","",(K17)*(IF((YEAR(D17)+19)&lt;YEAR(E17),0,IF((YEAR(D17)+19)&gt;YEAR(E17),1,(12-MONTH(E17)+1)/12)))*(1/(1+DiscountRate)^19))</f>
        <v/>
      </c>
      <c r="CC17" s="36">
        <f>IF(A17="","",(K17)*(IF((YEAR(D17)+20)&lt;YEAR(E17),0,IF((YEAR(D17)+20)&gt;YEAR(E17),1,(12-MONTH(E17)+1)/12)))*(1/(1+DiscountRate)^20))</f>
        <v/>
      </c>
      <c r="CD17" s="29">
        <f>IF(A17="","",S17/(1+DiscountRate)^0+T17/(1+DiscountRate)^1+U17/(1+DiscountRate)^2+V17/(1+DiscountRate)^3+W17/(1+DiscountRate)^4+X17/(1+DiscountRate)^5+Y17/(1+DiscountRate)^6+Z17/(1+DiscountRate)^7+AA17/(1+DiscountRate)^8+AB17/(1+DiscountRate)^9+AC17/(1+DiscountRate)^10+AD17/(1+DiscountRate)^11+AE17/(1+DiscountRate)^12+AF17/(1+DiscountRate)^13+AG17/(1+DiscountRate)^14+AH17/(1+DiscountRate)^15+AI17/(1+DiscountRate)^16+AJ17/(1+DiscountRate)^17+AK17/(1+DiscountRate)^18+AL17/(1+DiscountRate)^19+AM17/(1+DiscountRate)^20)</f>
        <v/>
      </c>
      <c r="CE17" s="37">
        <f>IF(A17="","",IFERROR(IRR(OFFSET(S17,0,0,1,MIN(HorizonYears,20)+1)),"n/a"))</f>
        <v/>
      </c>
      <c r="CF17" s="28">
        <f>IF(A17="","",IFERROR(MATCH(TRUE,OFFSET(AN17,0,0,1,MIN(HorizonYears,20)+1)&gt;=0,0)-1,"n/a"))</f>
        <v/>
      </c>
      <c r="CG17" s="36">
        <f>IF(A17="","",SUM(OFFSET(BI17,0,0,1,MIN(HorizonYears,20)+1)))</f>
        <v/>
      </c>
      <c r="CH17" s="36">
        <f>IF(A17="","",IFERROR(-CD17/CG17,"n/a"))</f>
        <v/>
      </c>
    </row>
    <row r="18">
      <c r="A18" s="6">
        <f>Actions!A16</f>
        <v/>
      </c>
      <c r="B18" s="6">
        <f>Actions!B16</f>
        <v/>
      </c>
      <c r="C18" s="6">
        <f>Actions!D16</f>
        <v/>
      </c>
      <c r="D18" s="35">
        <f>Actions!E16</f>
        <v/>
      </c>
      <c r="E18" s="35">
        <f>Actions!F16</f>
        <v/>
      </c>
      <c r="F18" s="6">
        <f>Actions!G16</f>
        <v/>
      </c>
      <c r="G18" s="6">
        <f>Actions!H16</f>
        <v/>
      </c>
      <c r="H18" s="29">
        <f>Actions!I16</f>
        <v/>
      </c>
      <c r="I18" s="6">
        <f>Actions!J16</f>
        <v/>
      </c>
      <c r="J18" s="16">
        <f>Actions!K16</f>
        <v/>
      </c>
      <c r="K18" s="16">
        <f>IF(A18="","",IF(I18="%",H18*J18,J18))</f>
        <v/>
      </c>
      <c r="L18" s="16">
        <f>Actions!L16</f>
        <v/>
      </c>
      <c r="M18" s="6">
        <f>Actions!M16</f>
        <v/>
      </c>
      <c r="N18" s="28">
        <f>Actions!N16</f>
        <v/>
      </c>
      <c r="O18" s="29">
        <f>Actions!T16</f>
        <v/>
      </c>
      <c r="P18" s="29">
        <f>Actions!Y16</f>
        <v/>
      </c>
      <c r="Q18" s="29">
        <f>Actions!Z16</f>
        <v/>
      </c>
      <c r="R18" s="29">
        <f>Actions!AA16</f>
        <v/>
      </c>
      <c r="S18" s="29">
        <f>IF(A18="","",((K18)*(IF(M18="",L18,IFERROR(IF(INDEX(Variablen!$I:$AT, MATCH(M18, Variablen!$A:$A, 0), MATCH((YEAR(D18)+0), Variablen!$I$3:$AT$3, 0))="",L18,INDEX(Variablen!$I:$AT, MATCH(M18, Variablen!$A:$A, 0), MATCH((YEAR(D18)+0), Variablen!$I$3:$AT$3, 0))),L18)))*(IF((YEAR(D18)+0)&lt;YEAR(E18),0,IF((YEAR(D18)+0)&gt;YEAR(E18),1,(12-MONTH(E18)+1)/12))) + (Q18)*(IF((YEAR(D18)+0)&lt;YEAR(E18),0,IF((YEAR(D18)+0)&gt;YEAR(E18),1,(12-MONTH(E18)+1)/12))))-((P18)*(IF((YEAR(D18)+0)&lt;YEAR(E18),0,IF((YEAR(D18)+0)&gt;YEAR(E18),1,(12-MONTH(E18)+1)/12))) + (R18)*(IF((YEAR(D18)+0)&lt;YEAR(E18),0,IF((YEAR(D18)+0)&gt;YEAR(E18),1,(12-MONTH(E18)+1)/12))))-(IF((((K18)*(IF(M18="",L18,IFERROR(IF(INDEX(Variablen!$I:$AT, MATCH(M18, Variablen!$A:$A, 0), MATCH((YEAR(D18)+0), Variablen!$I$3:$AT$3, 0))="",L18,INDEX(Variablen!$I:$AT, MATCH(M18, Variablen!$A:$A, 0), MATCH((YEAR(D18)+0), Variablen!$I$3:$AT$3, 0))),L18)))*(IF((YEAR(D18)+0)&lt;YEAR(E18),0,IF((YEAR(D18)+0)&gt;YEAR(E18),1,(12-MONTH(E18)+1)/12))) + (Q18)*(IF((YEAR(D18)+0)&lt;YEAR(E18),0,IF((YEAR(D18)+0)&gt;YEAR(E18),1,(12-MONTH(E18)+1)/12))))-((P18)*(IF((YEAR(D18)+0)&lt;YEAR(E18),0,IF((YEAR(D18)+0)&gt;YEAR(E18),1,(12-MONTH(E18)+1)/12))) + (R18)*(IF((YEAR(D18)+0)&lt;YEAR(E18),0,IF((YEAR(D18)+0)&gt;YEAR(E18),1,(12-MONTH(E18)+1)/12))))-(IF(OR(N18="",N18&lt;=0),0,(O18/N18)*(IF(OR(N18="",N18&lt;=0),0,IF((YEAR(D18)+0)&lt;YEAR(E18),0,IF((YEAR(D18)+0)&gt;=YEAR(E18)+N18,0,IF((YEAR(D18)+0)=YEAR(E18),(12-MONTH(E18)+1)/12,1))))))))&gt;0,(((K18)*(IF(M18="",L18,IFERROR(IF(INDEX(Variablen!$I:$AT, MATCH(M18, Variablen!$A:$A, 0), MATCH((YEAR(D18)+0), Variablen!$I$3:$AT$3, 0))="",L18,INDEX(Variablen!$I:$AT, MATCH(M18, Variablen!$A:$A, 0), MATCH((YEAR(D18)+0), Variablen!$I$3:$AT$3, 0))),L18)))*(IF((YEAR(D18)+0)&lt;YEAR(E18),0,IF((YEAR(D18)+0)&gt;YEAR(E18),1,(12-MONTH(E18)+1)/12))) + (Q18)*(IF((YEAR(D18)+0)&lt;YEAR(E18),0,IF((YEAR(D18)+0)&gt;YEAR(E18),1,(12-MONTH(E18)+1)/12))))-((P18)*(IF((YEAR(D18)+0)&lt;YEAR(E18),0,IF((YEAR(D18)+0)&gt;YEAR(E18),1,(12-MONTH(E18)+1)/12))) + (R18)*(IF((YEAR(D18)+0)&lt;YEAR(E18),0,IF((YEAR(D18)+0)&gt;YEAR(E18),1,(12-MONTH(E18)+1)/12))))-(IF(OR(N18="",N18&lt;=0),0,(O18/N18)*(IF(OR(N18="",N18&lt;=0),0,IF((YEAR(D18)+0)&lt;YEAR(E18),0,IF((YEAR(D18)+0)&gt;=YEAR(E18)+N18,0,IF((YEAR(D18)+0)=YEAR(E18),(12-MONTH(E18)+1)/12,1))))))))*TaxRate,0))-IF(0=0,O18,0))</f>
        <v/>
      </c>
      <c r="T18" s="29">
        <f>IF(A18="","",((K18)*(IF(M18="",L18,IFERROR(IF(INDEX(Variablen!$I:$AT, MATCH(M18, Variablen!$A:$A, 0), MATCH((YEAR(D18)+1), Variablen!$I$3:$AT$3, 0))="",L18,INDEX(Variablen!$I:$AT, MATCH(M18, Variablen!$A:$A, 0), MATCH((YEAR(D18)+1), Variablen!$I$3:$AT$3, 0))),L18)))*(IF((YEAR(D18)+1)&lt;YEAR(E18),0,IF((YEAR(D18)+1)&gt;YEAR(E18),1,(12-MONTH(E18)+1)/12))) + (Q18)*(IF((YEAR(D18)+1)&lt;YEAR(E18),0,IF((YEAR(D18)+1)&gt;YEAR(E18),1,(12-MONTH(E18)+1)/12))))-((P18)*(IF((YEAR(D18)+1)&lt;YEAR(E18),0,IF((YEAR(D18)+1)&gt;YEAR(E18),1,(12-MONTH(E18)+1)/12))) + (R18)*(IF((YEAR(D18)+1)&lt;YEAR(E18),0,IF((YEAR(D18)+1)&gt;YEAR(E18),1,(12-MONTH(E18)+1)/12))))-(IF((((K18)*(IF(M18="",L18,IFERROR(IF(INDEX(Variablen!$I:$AT, MATCH(M18, Variablen!$A:$A, 0), MATCH((YEAR(D18)+1), Variablen!$I$3:$AT$3, 0))="",L18,INDEX(Variablen!$I:$AT, MATCH(M18, Variablen!$A:$A, 0), MATCH((YEAR(D18)+1), Variablen!$I$3:$AT$3, 0))),L18)))*(IF((YEAR(D18)+1)&lt;YEAR(E18),0,IF((YEAR(D18)+1)&gt;YEAR(E18),1,(12-MONTH(E18)+1)/12))) + (Q18)*(IF((YEAR(D18)+1)&lt;YEAR(E18),0,IF((YEAR(D18)+1)&gt;YEAR(E18),1,(12-MONTH(E18)+1)/12))))-((P18)*(IF((YEAR(D18)+1)&lt;YEAR(E18),0,IF((YEAR(D18)+1)&gt;YEAR(E18),1,(12-MONTH(E18)+1)/12))) + (R18)*(IF((YEAR(D18)+1)&lt;YEAR(E18),0,IF((YEAR(D18)+1)&gt;YEAR(E18),1,(12-MONTH(E18)+1)/12))))-(IF(OR(N18="",N18&lt;=0),0,(O18/N18)*(IF(OR(N18="",N18&lt;=0),0,IF((YEAR(D18)+1)&lt;YEAR(E18),0,IF((YEAR(D18)+1)&gt;=YEAR(E18)+N18,0,IF((YEAR(D18)+1)=YEAR(E18),(12-MONTH(E18)+1)/12,1))))))))&gt;0,(((K18)*(IF(M18="",L18,IFERROR(IF(INDEX(Variablen!$I:$AT, MATCH(M18, Variablen!$A:$A, 0), MATCH((YEAR(D18)+1), Variablen!$I$3:$AT$3, 0))="",L18,INDEX(Variablen!$I:$AT, MATCH(M18, Variablen!$A:$A, 0), MATCH((YEAR(D18)+1), Variablen!$I$3:$AT$3, 0))),L18)))*(IF((YEAR(D18)+1)&lt;YEAR(E18),0,IF((YEAR(D18)+1)&gt;YEAR(E18),1,(12-MONTH(E18)+1)/12))) + (Q18)*(IF((YEAR(D18)+1)&lt;YEAR(E18),0,IF((YEAR(D18)+1)&gt;YEAR(E18),1,(12-MONTH(E18)+1)/12))))-((P18)*(IF((YEAR(D18)+1)&lt;YEAR(E18),0,IF((YEAR(D18)+1)&gt;YEAR(E18),1,(12-MONTH(E18)+1)/12))) + (R18)*(IF((YEAR(D18)+1)&lt;YEAR(E18),0,IF((YEAR(D18)+1)&gt;YEAR(E18),1,(12-MONTH(E18)+1)/12))))-(IF(OR(N18="",N18&lt;=0),0,(O18/N18)*(IF(OR(N18="",N18&lt;=0),0,IF((YEAR(D18)+1)&lt;YEAR(E18),0,IF((YEAR(D18)+1)&gt;=YEAR(E18)+N18,0,IF((YEAR(D18)+1)=YEAR(E18),(12-MONTH(E18)+1)/12,1))))))))*TaxRate,0))-IF(1=0,O18,0))</f>
        <v/>
      </c>
      <c r="U18" s="29">
        <f>IF(A18="","",((K18)*(IF(M18="",L18,IFERROR(IF(INDEX(Variablen!$I:$AT, MATCH(M18, Variablen!$A:$A, 0), MATCH((YEAR(D18)+2), Variablen!$I$3:$AT$3, 0))="",L18,INDEX(Variablen!$I:$AT, MATCH(M18, Variablen!$A:$A, 0), MATCH((YEAR(D18)+2), Variablen!$I$3:$AT$3, 0))),L18)))*(IF((YEAR(D18)+2)&lt;YEAR(E18),0,IF((YEAR(D18)+2)&gt;YEAR(E18),1,(12-MONTH(E18)+1)/12))) + (Q18)*(IF((YEAR(D18)+2)&lt;YEAR(E18),0,IF((YEAR(D18)+2)&gt;YEAR(E18),1,(12-MONTH(E18)+1)/12))))-((P18)*(IF((YEAR(D18)+2)&lt;YEAR(E18),0,IF((YEAR(D18)+2)&gt;YEAR(E18),1,(12-MONTH(E18)+1)/12))) + (R18)*(IF((YEAR(D18)+2)&lt;YEAR(E18),0,IF((YEAR(D18)+2)&gt;YEAR(E18),1,(12-MONTH(E18)+1)/12))))-(IF((((K18)*(IF(M18="",L18,IFERROR(IF(INDEX(Variablen!$I:$AT, MATCH(M18, Variablen!$A:$A, 0), MATCH((YEAR(D18)+2), Variablen!$I$3:$AT$3, 0))="",L18,INDEX(Variablen!$I:$AT, MATCH(M18, Variablen!$A:$A, 0), MATCH((YEAR(D18)+2), Variablen!$I$3:$AT$3, 0))),L18)))*(IF((YEAR(D18)+2)&lt;YEAR(E18),0,IF((YEAR(D18)+2)&gt;YEAR(E18),1,(12-MONTH(E18)+1)/12))) + (Q18)*(IF((YEAR(D18)+2)&lt;YEAR(E18),0,IF((YEAR(D18)+2)&gt;YEAR(E18),1,(12-MONTH(E18)+1)/12))))-((P18)*(IF((YEAR(D18)+2)&lt;YEAR(E18),0,IF((YEAR(D18)+2)&gt;YEAR(E18),1,(12-MONTH(E18)+1)/12))) + (R18)*(IF((YEAR(D18)+2)&lt;YEAR(E18),0,IF((YEAR(D18)+2)&gt;YEAR(E18),1,(12-MONTH(E18)+1)/12))))-(IF(OR(N18="",N18&lt;=0),0,(O18/N18)*(IF(OR(N18="",N18&lt;=0),0,IF((YEAR(D18)+2)&lt;YEAR(E18),0,IF((YEAR(D18)+2)&gt;=YEAR(E18)+N18,0,IF((YEAR(D18)+2)=YEAR(E18),(12-MONTH(E18)+1)/12,1))))))))&gt;0,(((K18)*(IF(M18="",L18,IFERROR(IF(INDEX(Variablen!$I:$AT, MATCH(M18, Variablen!$A:$A, 0), MATCH((YEAR(D18)+2), Variablen!$I$3:$AT$3, 0))="",L18,INDEX(Variablen!$I:$AT, MATCH(M18, Variablen!$A:$A, 0), MATCH((YEAR(D18)+2), Variablen!$I$3:$AT$3, 0))),L18)))*(IF((YEAR(D18)+2)&lt;YEAR(E18),0,IF((YEAR(D18)+2)&gt;YEAR(E18),1,(12-MONTH(E18)+1)/12))) + (Q18)*(IF((YEAR(D18)+2)&lt;YEAR(E18),0,IF((YEAR(D18)+2)&gt;YEAR(E18),1,(12-MONTH(E18)+1)/12))))-((P18)*(IF((YEAR(D18)+2)&lt;YEAR(E18),0,IF((YEAR(D18)+2)&gt;YEAR(E18),1,(12-MONTH(E18)+1)/12))) + (R18)*(IF((YEAR(D18)+2)&lt;YEAR(E18),0,IF((YEAR(D18)+2)&gt;YEAR(E18),1,(12-MONTH(E18)+1)/12))))-(IF(OR(N18="",N18&lt;=0),0,(O18/N18)*(IF(OR(N18="",N18&lt;=0),0,IF((YEAR(D18)+2)&lt;YEAR(E18),0,IF((YEAR(D18)+2)&gt;=YEAR(E18)+N18,0,IF((YEAR(D18)+2)=YEAR(E18),(12-MONTH(E18)+1)/12,1))))))))*TaxRate,0))-IF(2=0,O18,0))</f>
        <v/>
      </c>
      <c r="V18" s="29">
        <f>IF(A18="","",((K18)*(IF(M18="",L18,IFERROR(IF(INDEX(Variablen!$I:$AT, MATCH(M18, Variablen!$A:$A, 0), MATCH((YEAR(D18)+3), Variablen!$I$3:$AT$3, 0))="",L18,INDEX(Variablen!$I:$AT, MATCH(M18, Variablen!$A:$A, 0), MATCH((YEAR(D18)+3), Variablen!$I$3:$AT$3, 0))),L18)))*(IF((YEAR(D18)+3)&lt;YEAR(E18),0,IF((YEAR(D18)+3)&gt;YEAR(E18),1,(12-MONTH(E18)+1)/12))) + (Q18)*(IF((YEAR(D18)+3)&lt;YEAR(E18),0,IF((YEAR(D18)+3)&gt;YEAR(E18),1,(12-MONTH(E18)+1)/12))))-((P18)*(IF((YEAR(D18)+3)&lt;YEAR(E18),0,IF((YEAR(D18)+3)&gt;YEAR(E18),1,(12-MONTH(E18)+1)/12))) + (R18)*(IF((YEAR(D18)+3)&lt;YEAR(E18),0,IF((YEAR(D18)+3)&gt;YEAR(E18),1,(12-MONTH(E18)+1)/12))))-(IF((((K18)*(IF(M18="",L18,IFERROR(IF(INDEX(Variablen!$I:$AT, MATCH(M18, Variablen!$A:$A, 0), MATCH((YEAR(D18)+3), Variablen!$I$3:$AT$3, 0))="",L18,INDEX(Variablen!$I:$AT, MATCH(M18, Variablen!$A:$A, 0), MATCH((YEAR(D18)+3), Variablen!$I$3:$AT$3, 0))),L18)))*(IF((YEAR(D18)+3)&lt;YEAR(E18),0,IF((YEAR(D18)+3)&gt;YEAR(E18),1,(12-MONTH(E18)+1)/12))) + (Q18)*(IF((YEAR(D18)+3)&lt;YEAR(E18),0,IF((YEAR(D18)+3)&gt;YEAR(E18),1,(12-MONTH(E18)+1)/12))))-((P18)*(IF((YEAR(D18)+3)&lt;YEAR(E18),0,IF((YEAR(D18)+3)&gt;YEAR(E18),1,(12-MONTH(E18)+1)/12))) + (R18)*(IF((YEAR(D18)+3)&lt;YEAR(E18),0,IF((YEAR(D18)+3)&gt;YEAR(E18),1,(12-MONTH(E18)+1)/12))))-(IF(OR(N18="",N18&lt;=0),0,(O18/N18)*(IF(OR(N18="",N18&lt;=0),0,IF((YEAR(D18)+3)&lt;YEAR(E18),0,IF((YEAR(D18)+3)&gt;=YEAR(E18)+N18,0,IF((YEAR(D18)+3)=YEAR(E18),(12-MONTH(E18)+1)/12,1))))))))&gt;0,(((K18)*(IF(M18="",L18,IFERROR(IF(INDEX(Variablen!$I:$AT, MATCH(M18, Variablen!$A:$A, 0), MATCH((YEAR(D18)+3), Variablen!$I$3:$AT$3, 0))="",L18,INDEX(Variablen!$I:$AT, MATCH(M18, Variablen!$A:$A, 0), MATCH((YEAR(D18)+3), Variablen!$I$3:$AT$3, 0))),L18)))*(IF((YEAR(D18)+3)&lt;YEAR(E18),0,IF((YEAR(D18)+3)&gt;YEAR(E18),1,(12-MONTH(E18)+1)/12))) + (Q18)*(IF((YEAR(D18)+3)&lt;YEAR(E18),0,IF((YEAR(D18)+3)&gt;YEAR(E18),1,(12-MONTH(E18)+1)/12))))-((P18)*(IF((YEAR(D18)+3)&lt;YEAR(E18),0,IF((YEAR(D18)+3)&gt;YEAR(E18),1,(12-MONTH(E18)+1)/12))) + (R18)*(IF((YEAR(D18)+3)&lt;YEAR(E18),0,IF((YEAR(D18)+3)&gt;YEAR(E18),1,(12-MONTH(E18)+1)/12))))-(IF(OR(N18="",N18&lt;=0),0,(O18/N18)*(IF(OR(N18="",N18&lt;=0),0,IF((YEAR(D18)+3)&lt;YEAR(E18),0,IF((YEAR(D18)+3)&gt;=YEAR(E18)+N18,0,IF((YEAR(D18)+3)=YEAR(E18),(12-MONTH(E18)+1)/12,1))))))))*TaxRate,0))-IF(3=0,O18,0))</f>
        <v/>
      </c>
      <c r="W18" s="29">
        <f>IF(A18="","",((K18)*(IF(M18="",L18,IFERROR(IF(INDEX(Variablen!$I:$AT, MATCH(M18, Variablen!$A:$A, 0), MATCH((YEAR(D18)+4), Variablen!$I$3:$AT$3, 0))="",L18,INDEX(Variablen!$I:$AT, MATCH(M18, Variablen!$A:$A, 0), MATCH((YEAR(D18)+4), Variablen!$I$3:$AT$3, 0))),L18)))*(IF((YEAR(D18)+4)&lt;YEAR(E18),0,IF((YEAR(D18)+4)&gt;YEAR(E18),1,(12-MONTH(E18)+1)/12))) + (Q18)*(IF((YEAR(D18)+4)&lt;YEAR(E18),0,IF((YEAR(D18)+4)&gt;YEAR(E18),1,(12-MONTH(E18)+1)/12))))-((P18)*(IF((YEAR(D18)+4)&lt;YEAR(E18),0,IF((YEAR(D18)+4)&gt;YEAR(E18),1,(12-MONTH(E18)+1)/12))) + (R18)*(IF((YEAR(D18)+4)&lt;YEAR(E18),0,IF((YEAR(D18)+4)&gt;YEAR(E18),1,(12-MONTH(E18)+1)/12))))-(IF((((K18)*(IF(M18="",L18,IFERROR(IF(INDEX(Variablen!$I:$AT, MATCH(M18, Variablen!$A:$A, 0), MATCH((YEAR(D18)+4), Variablen!$I$3:$AT$3, 0))="",L18,INDEX(Variablen!$I:$AT, MATCH(M18, Variablen!$A:$A, 0), MATCH((YEAR(D18)+4), Variablen!$I$3:$AT$3, 0))),L18)))*(IF((YEAR(D18)+4)&lt;YEAR(E18),0,IF((YEAR(D18)+4)&gt;YEAR(E18),1,(12-MONTH(E18)+1)/12))) + (Q18)*(IF((YEAR(D18)+4)&lt;YEAR(E18),0,IF((YEAR(D18)+4)&gt;YEAR(E18),1,(12-MONTH(E18)+1)/12))))-((P18)*(IF((YEAR(D18)+4)&lt;YEAR(E18),0,IF((YEAR(D18)+4)&gt;YEAR(E18),1,(12-MONTH(E18)+1)/12))) + (R18)*(IF((YEAR(D18)+4)&lt;YEAR(E18),0,IF((YEAR(D18)+4)&gt;YEAR(E18),1,(12-MONTH(E18)+1)/12))))-(IF(OR(N18="",N18&lt;=0),0,(O18/N18)*(IF(OR(N18="",N18&lt;=0),0,IF((YEAR(D18)+4)&lt;YEAR(E18),0,IF((YEAR(D18)+4)&gt;=YEAR(E18)+N18,0,IF((YEAR(D18)+4)=YEAR(E18),(12-MONTH(E18)+1)/12,1))))))))&gt;0,(((K18)*(IF(M18="",L18,IFERROR(IF(INDEX(Variablen!$I:$AT, MATCH(M18, Variablen!$A:$A, 0), MATCH((YEAR(D18)+4), Variablen!$I$3:$AT$3, 0))="",L18,INDEX(Variablen!$I:$AT, MATCH(M18, Variablen!$A:$A, 0), MATCH((YEAR(D18)+4), Variablen!$I$3:$AT$3, 0))),L18)))*(IF((YEAR(D18)+4)&lt;YEAR(E18),0,IF((YEAR(D18)+4)&gt;YEAR(E18),1,(12-MONTH(E18)+1)/12))) + (Q18)*(IF((YEAR(D18)+4)&lt;YEAR(E18),0,IF((YEAR(D18)+4)&gt;YEAR(E18),1,(12-MONTH(E18)+1)/12))))-((P18)*(IF((YEAR(D18)+4)&lt;YEAR(E18),0,IF((YEAR(D18)+4)&gt;YEAR(E18),1,(12-MONTH(E18)+1)/12))) + (R18)*(IF((YEAR(D18)+4)&lt;YEAR(E18),0,IF((YEAR(D18)+4)&gt;YEAR(E18),1,(12-MONTH(E18)+1)/12))))-(IF(OR(N18="",N18&lt;=0),0,(O18/N18)*(IF(OR(N18="",N18&lt;=0),0,IF((YEAR(D18)+4)&lt;YEAR(E18),0,IF((YEAR(D18)+4)&gt;=YEAR(E18)+N18,0,IF((YEAR(D18)+4)=YEAR(E18),(12-MONTH(E18)+1)/12,1))))))))*TaxRate,0))-IF(4=0,O18,0))</f>
        <v/>
      </c>
      <c r="X18" s="29">
        <f>IF(A18="","",((K18)*(IF(M18="",L18,IFERROR(IF(INDEX(Variablen!$I:$AT, MATCH(M18, Variablen!$A:$A, 0), MATCH((YEAR(D18)+5), Variablen!$I$3:$AT$3, 0))="",L18,INDEX(Variablen!$I:$AT, MATCH(M18, Variablen!$A:$A, 0), MATCH((YEAR(D18)+5), Variablen!$I$3:$AT$3, 0))),L18)))*(IF((YEAR(D18)+5)&lt;YEAR(E18),0,IF((YEAR(D18)+5)&gt;YEAR(E18),1,(12-MONTH(E18)+1)/12))) + (Q18)*(IF((YEAR(D18)+5)&lt;YEAR(E18),0,IF((YEAR(D18)+5)&gt;YEAR(E18),1,(12-MONTH(E18)+1)/12))))-((P18)*(IF((YEAR(D18)+5)&lt;YEAR(E18),0,IF((YEAR(D18)+5)&gt;YEAR(E18),1,(12-MONTH(E18)+1)/12))) + (R18)*(IF((YEAR(D18)+5)&lt;YEAR(E18),0,IF((YEAR(D18)+5)&gt;YEAR(E18),1,(12-MONTH(E18)+1)/12))))-(IF((((K18)*(IF(M18="",L18,IFERROR(IF(INDEX(Variablen!$I:$AT, MATCH(M18, Variablen!$A:$A, 0), MATCH((YEAR(D18)+5), Variablen!$I$3:$AT$3, 0))="",L18,INDEX(Variablen!$I:$AT, MATCH(M18, Variablen!$A:$A, 0), MATCH((YEAR(D18)+5), Variablen!$I$3:$AT$3, 0))),L18)))*(IF((YEAR(D18)+5)&lt;YEAR(E18),0,IF((YEAR(D18)+5)&gt;YEAR(E18),1,(12-MONTH(E18)+1)/12))) + (Q18)*(IF((YEAR(D18)+5)&lt;YEAR(E18),0,IF((YEAR(D18)+5)&gt;YEAR(E18),1,(12-MONTH(E18)+1)/12))))-((P18)*(IF((YEAR(D18)+5)&lt;YEAR(E18),0,IF((YEAR(D18)+5)&gt;YEAR(E18),1,(12-MONTH(E18)+1)/12))) + (R18)*(IF((YEAR(D18)+5)&lt;YEAR(E18),0,IF((YEAR(D18)+5)&gt;YEAR(E18),1,(12-MONTH(E18)+1)/12))))-(IF(OR(N18="",N18&lt;=0),0,(O18/N18)*(IF(OR(N18="",N18&lt;=0),0,IF((YEAR(D18)+5)&lt;YEAR(E18),0,IF((YEAR(D18)+5)&gt;=YEAR(E18)+N18,0,IF((YEAR(D18)+5)=YEAR(E18),(12-MONTH(E18)+1)/12,1))))))))&gt;0,(((K18)*(IF(M18="",L18,IFERROR(IF(INDEX(Variablen!$I:$AT, MATCH(M18, Variablen!$A:$A, 0), MATCH((YEAR(D18)+5), Variablen!$I$3:$AT$3, 0))="",L18,INDEX(Variablen!$I:$AT, MATCH(M18, Variablen!$A:$A, 0), MATCH((YEAR(D18)+5), Variablen!$I$3:$AT$3, 0))),L18)))*(IF((YEAR(D18)+5)&lt;YEAR(E18),0,IF((YEAR(D18)+5)&gt;YEAR(E18),1,(12-MONTH(E18)+1)/12))) + (Q18)*(IF((YEAR(D18)+5)&lt;YEAR(E18),0,IF((YEAR(D18)+5)&gt;YEAR(E18),1,(12-MONTH(E18)+1)/12))))-((P18)*(IF((YEAR(D18)+5)&lt;YEAR(E18),0,IF((YEAR(D18)+5)&gt;YEAR(E18),1,(12-MONTH(E18)+1)/12))) + (R18)*(IF((YEAR(D18)+5)&lt;YEAR(E18),0,IF((YEAR(D18)+5)&gt;YEAR(E18),1,(12-MONTH(E18)+1)/12))))-(IF(OR(N18="",N18&lt;=0),0,(O18/N18)*(IF(OR(N18="",N18&lt;=0),0,IF((YEAR(D18)+5)&lt;YEAR(E18),0,IF((YEAR(D18)+5)&gt;=YEAR(E18)+N18,0,IF((YEAR(D18)+5)=YEAR(E18),(12-MONTH(E18)+1)/12,1))))))))*TaxRate,0))-IF(5=0,O18,0))</f>
        <v/>
      </c>
      <c r="Y18" s="29">
        <f>IF(A18="","",((K18)*(IF(M18="",L18,IFERROR(IF(INDEX(Variablen!$I:$AT, MATCH(M18, Variablen!$A:$A, 0), MATCH((YEAR(D18)+6), Variablen!$I$3:$AT$3, 0))="",L18,INDEX(Variablen!$I:$AT, MATCH(M18, Variablen!$A:$A, 0), MATCH((YEAR(D18)+6), Variablen!$I$3:$AT$3, 0))),L18)))*(IF((YEAR(D18)+6)&lt;YEAR(E18),0,IF((YEAR(D18)+6)&gt;YEAR(E18),1,(12-MONTH(E18)+1)/12))) + (Q18)*(IF((YEAR(D18)+6)&lt;YEAR(E18),0,IF((YEAR(D18)+6)&gt;YEAR(E18),1,(12-MONTH(E18)+1)/12))))-((P18)*(IF((YEAR(D18)+6)&lt;YEAR(E18),0,IF((YEAR(D18)+6)&gt;YEAR(E18),1,(12-MONTH(E18)+1)/12))) + (R18)*(IF((YEAR(D18)+6)&lt;YEAR(E18),0,IF((YEAR(D18)+6)&gt;YEAR(E18),1,(12-MONTH(E18)+1)/12))))-(IF((((K18)*(IF(M18="",L18,IFERROR(IF(INDEX(Variablen!$I:$AT, MATCH(M18, Variablen!$A:$A, 0), MATCH((YEAR(D18)+6), Variablen!$I$3:$AT$3, 0))="",L18,INDEX(Variablen!$I:$AT, MATCH(M18, Variablen!$A:$A, 0), MATCH((YEAR(D18)+6), Variablen!$I$3:$AT$3, 0))),L18)))*(IF((YEAR(D18)+6)&lt;YEAR(E18),0,IF((YEAR(D18)+6)&gt;YEAR(E18),1,(12-MONTH(E18)+1)/12))) + (Q18)*(IF((YEAR(D18)+6)&lt;YEAR(E18),0,IF((YEAR(D18)+6)&gt;YEAR(E18),1,(12-MONTH(E18)+1)/12))))-((P18)*(IF((YEAR(D18)+6)&lt;YEAR(E18),0,IF((YEAR(D18)+6)&gt;YEAR(E18),1,(12-MONTH(E18)+1)/12))) + (R18)*(IF((YEAR(D18)+6)&lt;YEAR(E18),0,IF((YEAR(D18)+6)&gt;YEAR(E18),1,(12-MONTH(E18)+1)/12))))-(IF(OR(N18="",N18&lt;=0),0,(O18/N18)*(IF(OR(N18="",N18&lt;=0),0,IF((YEAR(D18)+6)&lt;YEAR(E18),0,IF((YEAR(D18)+6)&gt;=YEAR(E18)+N18,0,IF((YEAR(D18)+6)=YEAR(E18),(12-MONTH(E18)+1)/12,1))))))))&gt;0,(((K18)*(IF(M18="",L18,IFERROR(IF(INDEX(Variablen!$I:$AT, MATCH(M18, Variablen!$A:$A, 0), MATCH((YEAR(D18)+6), Variablen!$I$3:$AT$3, 0))="",L18,INDEX(Variablen!$I:$AT, MATCH(M18, Variablen!$A:$A, 0), MATCH((YEAR(D18)+6), Variablen!$I$3:$AT$3, 0))),L18)))*(IF((YEAR(D18)+6)&lt;YEAR(E18),0,IF((YEAR(D18)+6)&gt;YEAR(E18),1,(12-MONTH(E18)+1)/12))) + (Q18)*(IF((YEAR(D18)+6)&lt;YEAR(E18),0,IF((YEAR(D18)+6)&gt;YEAR(E18),1,(12-MONTH(E18)+1)/12))))-((P18)*(IF((YEAR(D18)+6)&lt;YEAR(E18),0,IF((YEAR(D18)+6)&gt;YEAR(E18),1,(12-MONTH(E18)+1)/12))) + (R18)*(IF((YEAR(D18)+6)&lt;YEAR(E18),0,IF((YEAR(D18)+6)&gt;YEAR(E18),1,(12-MONTH(E18)+1)/12))))-(IF(OR(N18="",N18&lt;=0),0,(O18/N18)*(IF(OR(N18="",N18&lt;=0),0,IF((YEAR(D18)+6)&lt;YEAR(E18),0,IF((YEAR(D18)+6)&gt;=YEAR(E18)+N18,0,IF((YEAR(D18)+6)=YEAR(E18),(12-MONTH(E18)+1)/12,1))))))))*TaxRate,0))-IF(6=0,O18,0))</f>
        <v/>
      </c>
      <c r="Z18" s="29">
        <f>IF(A18="","",((K18)*(IF(M18="",L18,IFERROR(IF(INDEX(Variablen!$I:$AT, MATCH(M18, Variablen!$A:$A, 0), MATCH((YEAR(D18)+7), Variablen!$I$3:$AT$3, 0))="",L18,INDEX(Variablen!$I:$AT, MATCH(M18, Variablen!$A:$A, 0), MATCH((YEAR(D18)+7), Variablen!$I$3:$AT$3, 0))),L18)))*(IF((YEAR(D18)+7)&lt;YEAR(E18),0,IF((YEAR(D18)+7)&gt;YEAR(E18),1,(12-MONTH(E18)+1)/12))) + (Q18)*(IF((YEAR(D18)+7)&lt;YEAR(E18),0,IF((YEAR(D18)+7)&gt;YEAR(E18),1,(12-MONTH(E18)+1)/12))))-((P18)*(IF((YEAR(D18)+7)&lt;YEAR(E18),0,IF((YEAR(D18)+7)&gt;YEAR(E18),1,(12-MONTH(E18)+1)/12))) + (R18)*(IF((YEAR(D18)+7)&lt;YEAR(E18),0,IF((YEAR(D18)+7)&gt;YEAR(E18),1,(12-MONTH(E18)+1)/12))))-(IF((((K18)*(IF(M18="",L18,IFERROR(IF(INDEX(Variablen!$I:$AT, MATCH(M18, Variablen!$A:$A, 0), MATCH((YEAR(D18)+7), Variablen!$I$3:$AT$3, 0))="",L18,INDEX(Variablen!$I:$AT, MATCH(M18, Variablen!$A:$A, 0), MATCH((YEAR(D18)+7), Variablen!$I$3:$AT$3, 0))),L18)))*(IF((YEAR(D18)+7)&lt;YEAR(E18),0,IF((YEAR(D18)+7)&gt;YEAR(E18),1,(12-MONTH(E18)+1)/12))) + (Q18)*(IF((YEAR(D18)+7)&lt;YEAR(E18),0,IF((YEAR(D18)+7)&gt;YEAR(E18),1,(12-MONTH(E18)+1)/12))))-((P18)*(IF((YEAR(D18)+7)&lt;YEAR(E18),0,IF((YEAR(D18)+7)&gt;YEAR(E18),1,(12-MONTH(E18)+1)/12))) + (R18)*(IF((YEAR(D18)+7)&lt;YEAR(E18),0,IF((YEAR(D18)+7)&gt;YEAR(E18),1,(12-MONTH(E18)+1)/12))))-(IF(OR(N18="",N18&lt;=0),0,(O18/N18)*(IF(OR(N18="",N18&lt;=0),0,IF((YEAR(D18)+7)&lt;YEAR(E18),0,IF((YEAR(D18)+7)&gt;=YEAR(E18)+N18,0,IF((YEAR(D18)+7)=YEAR(E18),(12-MONTH(E18)+1)/12,1))))))))&gt;0,(((K18)*(IF(M18="",L18,IFERROR(IF(INDEX(Variablen!$I:$AT, MATCH(M18, Variablen!$A:$A, 0), MATCH((YEAR(D18)+7), Variablen!$I$3:$AT$3, 0))="",L18,INDEX(Variablen!$I:$AT, MATCH(M18, Variablen!$A:$A, 0), MATCH((YEAR(D18)+7), Variablen!$I$3:$AT$3, 0))),L18)))*(IF((YEAR(D18)+7)&lt;YEAR(E18),0,IF((YEAR(D18)+7)&gt;YEAR(E18),1,(12-MONTH(E18)+1)/12))) + (Q18)*(IF((YEAR(D18)+7)&lt;YEAR(E18),0,IF((YEAR(D18)+7)&gt;YEAR(E18),1,(12-MONTH(E18)+1)/12))))-((P18)*(IF((YEAR(D18)+7)&lt;YEAR(E18),0,IF((YEAR(D18)+7)&gt;YEAR(E18),1,(12-MONTH(E18)+1)/12))) + (R18)*(IF((YEAR(D18)+7)&lt;YEAR(E18),0,IF((YEAR(D18)+7)&gt;YEAR(E18),1,(12-MONTH(E18)+1)/12))))-(IF(OR(N18="",N18&lt;=0),0,(O18/N18)*(IF(OR(N18="",N18&lt;=0),0,IF((YEAR(D18)+7)&lt;YEAR(E18),0,IF((YEAR(D18)+7)&gt;=YEAR(E18)+N18,0,IF((YEAR(D18)+7)=YEAR(E18),(12-MONTH(E18)+1)/12,1))))))))*TaxRate,0))-IF(7=0,O18,0))</f>
        <v/>
      </c>
      <c r="AA18" s="29">
        <f>IF(A18="","",((K18)*(IF(M18="",L18,IFERROR(IF(INDEX(Variablen!$I:$AT, MATCH(M18, Variablen!$A:$A, 0), MATCH((YEAR(D18)+8), Variablen!$I$3:$AT$3, 0))="",L18,INDEX(Variablen!$I:$AT, MATCH(M18, Variablen!$A:$A, 0), MATCH((YEAR(D18)+8), Variablen!$I$3:$AT$3, 0))),L18)))*(IF((YEAR(D18)+8)&lt;YEAR(E18),0,IF((YEAR(D18)+8)&gt;YEAR(E18),1,(12-MONTH(E18)+1)/12))) + (Q18)*(IF((YEAR(D18)+8)&lt;YEAR(E18),0,IF((YEAR(D18)+8)&gt;YEAR(E18),1,(12-MONTH(E18)+1)/12))))-((P18)*(IF((YEAR(D18)+8)&lt;YEAR(E18),0,IF((YEAR(D18)+8)&gt;YEAR(E18),1,(12-MONTH(E18)+1)/12))) + (R18)*(IF((YEAR(D18)+8)&lt;YEAR(E18),0,IF((YEAR(D18)+8)&gt;YEAR(E18),1,(12-MONTH(E18)+1)/12))))-(IF((((K18)*(IF(M18="",L18,IFERROR(IF(INDEX(Variablen!$I:$AT, MATCH(M18, Variablen!$A:$A, 0), MATCH((YEAR(D18)+8), Variablen!$I$3:$AT$3, 0))="",L18,INDEX(Variablen!$I:$AT, MATCH(M18, Variablen!$A:$A, 0), MATCH((YEAR(D18)+8), Variablen!$I$3:$AT$3, 0))),L18)))*(IF((YEAR(D18)+8)&lt;YEAR(E18),0,IF((YEAR(D18)+8)&gt;YEAR(E18),1,(12-MONTH(E18)+1)/12))) + (Q18)*(IF((YEAR(D18)+8)&lt;YEAR(E18),0,IF((YEAR(D18)+8)&gt;YEAR(E18),1,(12-MONTH(E18)+1)/12))))-((P18)*(IF((YEAR(D18)+8)&lt;YEAR(E18),0,IF((YEAR(D18)+8)&gt;YEAR(E18),1,(12-MONTH(E18)+1)/12))) + (R18)*(IF((YEAR(D18)+8)&lt;YEAR(E18),0,IF((YEAR(D18)+8)&gt;YEAR(E18),1,(12-MONTH(E18)+1)/12))))-(IF(OR(N18="",N18&lt;=0),0,(O18/N18)*(IF(OR(N18="",N18&lt;=0),0,IF((YEAR(D18)+8)&lt;YEAR(E18),0,IF((YEAR(D18)+8)&gt;=YEAR(E18)+N18,0,IF((YEAR(D18)+8)=YEAR(E18),(12-MONTH(E18)+1)/12,1))))))))&gt;0,(((K18)*(IF(M18="",L18,IFERROR(IF(INDEX(Variablen!$I:$AT, MATCH(M18, Variablen!$A:$A, 0), MATCH((YEAR(D18)+8), Variablen!$I$3:$AT$3, 0))="",L18,INDEX(Variablen!$I:$AT, MATCH(M18, Variablen!$A:$A, 0), MATCH((YEAR(D18)+8), Variablen!$I$3:$AT$3, 0))),L18)))*(IF((YEAR(D18)+8)&lt;YEAR(E18),0,IF((YEAR(D18)+8)&gt;YEAR(E18),1,(12-MONTH(E18)+1)/12))) + (Q18)*(IF((YEAR(D18)+8)&lt;YEAR(E18),0,IF((YEAR(D18)+8)&gt;YEAR(E18),1,(12-MONTH(E18)+1)/12))))-((P18)*(IF((YEAR(D18)+8)&lt;YEAR(E18),0,IF((YEAR(D18)+8)&gt;YEAR(E18),1,(12-MONTH(E18)+1)/12))) + (R18)*(IF((YEAR(D18)+8)&lt;YEAR(E18),0,IF((YEAR(D18)+8)&gt;YEAR(E18),1,(12-MONTH(E18)+1)/12))))-(IF(OR(N18="",N18&lt;=0),0,(O18/N18)*(IF(OR(N18="",N18&lt;=0),0,IF((YEAR(D18)+8)&lt;YEAR(E18),0,IF((YEAR(D18)+8)&gt;=YEAR(E18)+N18,0,IF((YEAR(D18)+8)=YEAR(E18),(12-MONTH(E18)+1)/12,1))))))))*TaxRate,0))-IF(8=0,O18,0))</f>
        <v/>
      </c>
      <c r="AB18" s="29">
        <f>IF(A18="","",((K18)*(IF(M18="",L18,IFERROR(IF(INDEX(Variablen!$I:$AT, MATCH(M18, Variablen!$A:$A, 0), MATCH((YEAR(D18)+9), Variablen!$I$3:$AT$3, 0))="",L18,INDEX(Variablen!$I:$AT, MATCH(M18, Variablen!$A:$A, 0), MATCH((YEAR(D18)+9), Variablen!$I$3:$AT$3, 0))),L18)))*(IF((YEAR(D18)+9)&lt;YEAR(E18),0,IF((YEAR(D18)+9)&gt;YEAR(E18),1,(12-MONTH(E18)+1)/12))) + (Q18)*(IF((YEAR(D18)+9)&lt;YEAR(E18),0,IF((YEAR(D18)+9)&gt;YEAR(E18),1,(12-MONTH(E18)+1)/12))))-((P18)*(IF((YEAR(D18)+9)&lt;YEAR(E18),0,IF((YEAR(D18)+9)&gt;YEAR(E18),1,(12-MONTH(E18)+1)/12))) + (R18)*(IF((YEAR(D18)+9)&lt;YEAR(E18),0,IF((YEAR(D18)+9)&gt;YEAR(E18),1,(12-MONTH(E18)+1)/12))))-(IF((((K18)*(IF(M18="",L18,IFERROR(IF(INDEX(Variablen!$I:$AT, MATCH(M18, Variablen!$A:$A, 0), MATCH((YEAR(D18)+9), Variablen!$I$3:$AT$3, 0))="",L18,INDEX(Variablen!$I:$AT, MATCH(M18, Variablen!$A:$A, 0), MATCH((YEAR(D18)+9), Variablen!$I$3:$AT$3, 0))),L18)))*(IF((YEAR(D18)+9)&lt;YEAR(E18),0,IF((YEAR(D18)+9)&gt;YEAR(E18),1,(12-MONTH(E18)+1)/12))) + (Q18)*(IF((YEAR(D18)+9)&lt;YEAR(E18),0,IF((YEAR(D18)+9)&gt;YEAR(E18),1,(12-MONTH(E18)+1)/12))))-((P18)*(IF((YEAR(D18)+9)&lt;YEAR(E18),0,IF((YEAR(D18)+9)&gt;YEAR(E18),1,(12-MONTH(E18)+1)/12))) + (R18)*(IF((YEAR(D18)+9)&lt;YEAR(E18),0,IF((YEAR(D18)+9)&gt;YEAR(E18),1,(12-MONTH(E18)+1)/12))))-(IF(OR(N18="",N18&lt;=0),0,(O18/N18)*(IF(OR(N18="",N18&lt;=0),0,IF((YEAR(D18)+9)&lt;YEAR(E18),0,IF((YEAR(D18)+9)&gt;=YEAR(E18)+N18,0,IF((YEAR(D18)+9)=YEAR(E18),(12-MONTH(E18)+1)/12,1))))))))&gt;0,(((K18)*(IF(M18="",L18,IFERROR(IF(INDEX(Variablen!$I:$AT, MATCH(M18, Variablen!$A:$A, 0), MATCH((YEAR(D18)+9), Variablen!$I$3:$AT$3, 0))="",L18,INDEX(Variablen!$I:$AT, MATCH(M18, Variablen!$A:$A, 0), MATCH((YEAR(D18)+9), Variablen!$I$3:$AT$3, 0))),L18)))*(IF((YEAR(D18)+9)&lt;YEAR(E18),0,IF((YEAR(D18)+9)&gt;YEAR(E18),1,(12-MONTH(E18)+1)/12))) + (Q18)*(IF((YEAR(D18)+9)&lt;YEAR(E18),0,IF((YEAR(D18)+9)&gt;YEAR(E18),1,(12-MONTH(E18)+1)/12))))-((P18)*(IF((YEAR(D18)+9)&lt;YEAR(E18),0,IF((YEAR(D18)+9)&gt;YEAR(E18),1,(12-MONTH(E18)+1)/12))) + (R18)*(IF((YEAR(D18)+9)&lt;YEAR(E18),0,IF((YEAR(D18)+9)&gt;YEAR(E18),1,(12-MONTH(E18)+1)/12))))-(IF(OR(N18="",N18&lt;=0),0,(O18/N18)*(IF(OR(N18="",N18&lt;=0),0,IF((YEAR(D18)+9)&lt;YEAR(E18),0,IF((YEAR(D18)+9)&gt;=YEAR(E18)+N18,0,IF((YEAR(D18)+9)=YEAR(E18),(12-MONTH(E18)+1)/12,1))))))))*TaxRate,0))-IF(9=0,O18,0))</f>
        <v/>
      </c>
      <c r="AC18" s="29">
        <f>IF(A18="","",((K18)*(IF(M18="",L18,IFERROR(IF(INDEX(Variablen!$I:$AT, MATCH(M18, Variablen!$A:$A, 0), MATCH((YEAR(D18)+10), Variablen!$I$3:$AT$3, 0))="",L18,INDEX(Variablen!$I:$AT, MATCH(M18, Variablen!$A:$A, 0), MATCH((YEAR(D18)+10), Variablen!$I$3:$AT$3, 0))),L18)))*(IF((YEAR(D18)+10)&lt;YEAR(E18),0,IF((YEAR(D18)+10)&gt;YEAR(E18),1,(12-MONTH(E18)+1)/12))) + (Q18)*(IF((YEAR(D18)+10)&lt;YEAR(E18),0,IF((YEAR(D18)+10)&gt;YEAR(E18),1,(12-MONTH(E18)+1)/12))))-((P18)*(IF((YEAR(D18)+10)&lt;YEAR(E18),0,IF((YEAR(D18)+10)&gt;YEAR(E18),1,(12-MONTH(E18)+1)/12))) + (R18)*(IF((YEAR(D18)+10)&lt;YEAR(E18),0,IF((YEAR(D18)+10)&gt;YEAR(E18),1,(12-MONTH(E18)+1)/12))))-(IF((((K18)*(IF(M18="",L18,IFERROR(IF(INDEX(Variablen!$I:$AT, MATCH(M18, Variablen!$A:$A, 0), MATCH((YEAR(D18)+10), Variablen!$I$3:$AT$3, 0))="",L18,INDEX(Variablen!$I:$AT, MATCH(M18, Variablen!$A:$A, 0), MATCH((YEAR(D18)+10), Variablen!$I$3:$AT$3, 0))),L18)))*(IF((YEAR(D18)+10)&lt;YEAR(E18),0,IF((YEAR(D18)+10)&gt;YEAR(E18),1,(12-MONTH(E18)+1)/12))) + (Q18)*(IF((YEAR(D18)+10)&lt;YEAR(E18),0,IF((YEAR(D18)+10)&gt;YEAR(E18),1,(12-MONTH(E18)+1)/12))))-((P18)*(IF((YEAR(D18)+10)&lt;YEAR(E18),0,IF((YEAR(D18)+10)&gt;YEAR(E18),1,(12-MONTH(E18)+1)/12))) + (R18)*(IF((YEAR(D18)+10)&lt;YEAR(E18),0,IF((YEAR(D18)+10)&gt;YEAR(E18),1,(12-MONTH(E18)+1)/12))))-(IF(OR(N18="",N18&lt;=0),0,(O18/N18)*(IF(OR(N18="",N18&lt;=0),0,IF((YEAR(D18)+10)&lt;YEAR(E18),0,IF((YEAR(D18)+10)&gt;=YEAR(E18)+N18,0,IF((YEAR(D18)+10)=YEAR(E18),(12-MONTH(E18)+1)/12,1))))))))&gt;0,(((K18)*(IF(M18="",L18,IFERROR(IF(INDEX(Variablen!$I:$AT, MATCH(M18, Variablen!$A:$A, 0), MATCH((YEAR(D18)+10), Variablen!$I$3:$AT$3, 0))="",L18,INDEX(Variablen!$I:$AT, MATCH(M18, Variablen!$A:$A, 0), MATCH((YEAR(D18)+10), Variablen!$I$3:$AT$3, 0))),L18)))*(IF((YEAR(D18)+10)&lt;YEAR(E18),0,IF((YEAR(D18)+10)&gt;YEAR(E18),1,(12-MONTH(E18)+1)/12))) + (Q18)*(IF((YEAR(D18)+10)&lt;YEAR(E18),0,IF((YEAR(D18)+10)&gt;YEAR(E18),1,(12-MONTH(E18)+1)/12))))-((P18)*(IF((YEAR(D18)+10)&lt;YEAR(E18),0,IF((YEAR(D18)+10)&gt;YEAR(E18),1,(12-MONTH(E18)+1)/12))) + (R18)*(IF((YEAR(D18)+10)&lt;YEAR(E18),0,IF((YEAR(D18)+10)&gt;YEAR(E18),1,(12-MONTH(E18)+1)/12))))-(IF(OR(N18="",N18&lt;=0),0,(O18/N18)*(IF(OR(N18="",N18&lt;=0),0,IF((YEAR(D18)+10)&lt;YEAR(E18),0,IF((YEAR(D18)+10)&gt;=YEAR(E18)+N18,0,IF((YEAR(D18)+10)=YEAR(E18),(12-MONTH(E18)+1)/12,1))))))))*TaxRate,0))-IF(10=0,O18,0))</f>
        <v/>
      </c>
      <c r="AD18" s="29">
        <f>IF(A18="","",((K18)*(IF(M18="",L18,IFERROR(IF(INDEX(Variablen!$I:$AT, MATCH(M18, Variablen!$A:$A, 0), MATCH((YEAR(D18)+11), Variablen!$I$3:$AT$3, 0))="",L18,INDEX(Variablen!$I:$AT, MATCH(M18, Variablen!$A:$A, 0), MATCH((YEAR(D18)+11), Variablen!$I$3:$AT$3, 0))),L18)))*(IF((YEAR(D18)+11)&lt;YEAR(E18),0,IF((YEAR(D18)+11)&gt;YEAR(E18),1,(12-MONTH(E18)+1)/12))) + (Q18)*(IF((YEAR(D18)+11)&lt;YEAR(E18),0,IF((YEAR(D18)+11)&gt;YEAR(E18),1,(12-MONTH(E18)+1)/12))))-((P18)*(IF((YEAR(D18)+11)&lt;YEAR(E18),0,IF((YEAR(D18)+11)&gt;YEAR(E18),1,(12-MONTH(E18)+1)/12))) + (R18)*(IF((YEAR(D18)+11)&lt;YEAR(E18),0,IF((YEAR(D18)+11)&gt;YEAR(E18),1,(12-MONTH(E18)+1)/12))))-(IF((((K18)*(IF(M18="",L18,IFERROR(IF(INDEX(Variablen!$I:$AT, MATCH(M18, Variablen!$A:$A, 0), MATCH((YEAR(D18)+11), Variablen!$I$3:$AT$3, 0))="",L18,INDEX(Variablen!$I:$AT, MATCH(M18, Variablen!$A:$A, 0), MATCH((YEAR(D18)+11), Variablen!$I$3:$AT$3, 0))),L18)))*(IF((YEAR(D18)+11)&lt;YEAR(E18),0,IF((YEAR(D18)+11)&gt;YEAR(E18),1,(12-MONTH(E18)+1)/12))) + (Q18)*(IF((YEAR(D18)+11)&lt;YEAR(E18),0,IF((YEAR(D18)+11)&gt;YEAR(E18),1,(12-MONTH(E18)+1)/12))))-((P18)*(IF((YEAR(D18)+11)&lt;YEAR(E18),0,IF((YEAR(D18)+11)&gt;YEAR(E18),1,(12-MONTH(E18)+1)/12))) + (R18)*(IF((YEAR(D18)+11)&lt;YEAR(E18),0,IF((YEAR(D18)+11)&gt;YEAR(E18),1,(12-MONTH(E18)+1)/12))))-(IF(OR(N18="",N18&lt;=0),0,(O18/N18)*(IF(OR(N18="",N18&lt;=0),0,IF((YEAR(D18)+11)&lt;YEAR(E18),0,IF((YEAR(D18)+11)&gt;=YEAR(E18)+N18,0,IF((YEAR(D18)+11)=YEAR(E18),(12-MONTH(E18)+1)/12,1))))))))&gt;0,(((K18)*(IF(M18="",L18,IFERROR(IF(INDEX(Variablen!$I:$AT, MATCH(M18, Variablen!$A:$A, 0), MATCH((YEAR(D18)+11), Variablen!$I$3:$AT$3, 0))="",L18,INDEX(Variablen!$I:$AT, MATCH(M18, Variablen!$A:$A, 0), MATCH((YEAR(D18)+11), Variablen!$I$3:$AT$3, 0))),L18)))*(IF((YEAR(D18)+11)&lt;YEAR(E18),0,IF((YEAR(D18)+11)&gt;YEAR(E18),1,(12-MONTH(E18)+1)/12))) + (Q18)*(IF((YEAR(D18)+11)&lt;YEAR(E18),0,IF((YEAR(D18)+11)&gt;YEAR(E18),1,(12-MONTH(E18)+1)/12))))-((P18)*(IF((YEAR(D18)+11)&lt;YEAR(E18),0,IF((YEAR(D18)+11)&gt;YEAR(E18),1,(12-MONTH(E18)+1)/12))) + (R18)*(IF((YEAR(D18)+11)&lt;YEAR(E18),0,IF((YEAR(D18)+11)&gt;YEAR(E18),1,(12-MONTH(E18)+1)/12))))-(IF(OR(N18="",N18&lt;=0),0,(O18/N18)*(IF(OR(N18="",N18&lt;=0),0,IF((YEAR(D18)+11)&lt;YEAR(E18),0,IF((YEAR(D18)+11)&gt;=YEAR(E18)+N18,0,IF((YEAR(D18)+11)=YEAR(E18),(12-MONTH(E18)+1)/12,1))))))))*TaxRate,0))-IF(11=0,O18,0))</f>
        <v/>
      </c>
      <c r="AE18" s="29">
        <f>IF(A18="","",((K18)*(IF(M18="",L18,IFERROR(IF(INDEX(Variablen!$I:$AT, MATCH(M18, Variablen!$A:$A, 0), MATCH((YEAR(D18)+12), Variablen!$I$3:$AT$3, 0))="",L18,INDEX(Variablen!$I:$AT, MATCH(M18, Variablen!$A:$A, 0), MATCH((YEAR(D18)+12), Variablen!$I$3:$AT$3, 0))),L18)))*(IF((YEAR(D18)+12)&lt;YEAR(E18),0,IF((YEAR(D18)+12)&gt;YEAR(E18),1,(12-MONTH(E18)+1)/12))) + (Q18)*(IF((YEAR(D18)+12)&lt;YEAR(E18),0,IF((YEAR(D18)+12)&gt;YEAR(E18),1,(12-MONTH(E18)+1)/12))))-((P18)*(IF((YEAR(D18)+12)&lt;YEAR(E18),0,IF((YEAR(D18)+12)&gt;YEAR(E18),1,(12-MONTH(E18)+1)/12))) + (R18)*(IF((YEAR(D18)+12)&lt;YEAR(E18),0,IF((YEAR(D18)+12)&gt;YEAR(E18),1,(12-MONTH(E18)+1)/12))))-(IF((((K18)*(IF(M18="",L18,IFERROR(IF(INDEX(Variablen!$I:$AT, MATCH(M18, Variablen!$A:$A, 0), MATCH((YEAR(D18)+12), Variablen!$I$3:$AT$3, 0))="",L18,INDEX(Variablen!$I:$AT, MATCH(M18, Variablen!$A:$A, 0), MATCH((YEAR(D18)+12), Variablen!$I$3:$AT$3, 0))),L18)))*(IF((YEAR(D18)+12)&lt;YEAR(E18),0,IF((YEAR(D18)+12)&gt;YEAR(E18),1,(12-MONTH(E18)+1)/12))) + (Q18)*(IF((YEAR(D18)+12)&lt;YEAR(E18),0,IF((YEAR(D18)+12)&gt;YEAR(E18),1,(12-MONTH(E18)+1)/12))))-((P18)*(IF((YEAR(D18)+12)&lt;YEAR(E18),0,IF((YEAR(D18)+12)&gt;YEAR(E18),1,(12-MONTH(E18)+1)/12))) + (R18)*(IF((YEAR(D18)+12)&lt;YEAR(E18),0,IF((YEAR(D18)+12)&gt;YEAR(E18),1,(12-MONTH(E18)+1)/12))))-(IF(OR(N18="",N18&lt;=0),0,(O18/N18)*(IF(OR(N18="",N18&lt;=0),0,IF((YEAR(D18)+12)&lt;YEAR(E18),0,IF((YEAR(D18)+12)&gt;=YEAR(E18)+N18,0,IF((YEAR(D18)+12)=YEAR(E18),(12-MONTH(E18)+1)/12,1))))))))&gt;0,(((K18)*(IF(M18="",L18,IFERROR(IF(INDEX(Variablen!$I:$AT, MATCH(M18, Variablen!$A:$A, 0), MATCH((YEAR(D18)+12), Variablen!$I$3:$AT$3, 0))="",L18,INDEX(Variablen!$I:$AT, MATCH(M18, Variablen!$A:$A, 0), MATCH((YEAR(D18)+12), Variablen!$I$3:$AT$3, 0))),L18)))*(IF((YEAR(D18)+12)&lt;YEAR(E18),0,IF((YEAR(D18)+12)&gt;YEAR(E18),1,(12-MONTH(E18)+1)/12))) + (Q18)*(IF((YEAR(D18)+12)&lt;YEAR(E18),0,IF((YEAR(D18)+12)&gt;YEAR(E18),1,(12-MONTH(E18)+1)/12))))-((P18)*(IF((YEAR(D18)+12)&lt;YEAR(E18),0,IF((YEAR(D18)+12)&gt;YEAR(E18),1,(12-MONTH(E18)+1)/12))) + (R18)*(IF((YEAR(D18)+12)&lt;YEAR(E18),0,IF((YEAR(D18)+12)&gt;YEAR(E18),1,(12-MONTH(E18)+1)/12))))-(IF(OR(N18="",N18&lt;=0),0,(O18/N18)*(IF(OR(N18="",N18&lt;=0),0,IF((YEAR(D18)+12)&lt;YEAR(E18),0,IF((YEAR(D18)+12)&gt;=YEAR(E18)+N18,0,IF((YEAR(D18)+12)=YEAR(E18),(12-MONTH(E18)+1)/12,1))))))))*TaxRate,0))-IF(12=0,O18,0))</f>
        <v/>
      </c>
      <c r="AF18" s="29">
        <f>IF(A18="","",((K18)*(IF(M18="",L18,IFERROR(IF(INDEX(Variablen!$I:$AT, MATCH(M18, Variablen!$A:$A, 0), MATCH((YEAR(D18)+13), Variablen!$I$3:$AT$3, 0))="",L18,INDEX(Variablen!$I:$AT, MATCH(M18, Variablen!$A:$A, 0), MATCH((YEAR(D18)+13), Variablen!$I$3:$AT$3, 0))),L18)))*(IF((YEAR(D18)+13)&lt;YEAR(E18),0,IF((YEAR(D18)+13)&gt;YEAR(E18),1,(12-MONTH(E18)+1)/12))) + (Q18)*(IF((YEAR(D18)+13)&lt;YEAR(E18),0,IF((YEAR(D18)+13)&gt;YEAR(E18),1,(12-MONTH(E18)+1)/12))))-((P18)*(IF((YEAR(D18)+13)&lt;YEAR(E18),0,IF((YEAR(D18)+13)&gt;YEAR(E18),1,(12-MONTH(E18)+1)/12))) + (R18)*(IF((YEAR(D18)+13)&lt;YEAR(E18),0,IF((YEAR(D18)+13)&gt;YEAR(E18),1,(12-MONTH(E18)+1)/12))))-(IF((((K18)*(IF(M18="",L18,IFERROR(IF(INDEX(Variablen!$I:$AT, MATCH(M18, Variablen!$A:$A, 0), MATCH((YEAR(D18)+13), Variablen!$I$3:$AT$3, 0))="",L18,INDEX(Variablen!$I:$AT, MATCH(M18, Variablen!$A:$A, 0), MATCH((YEAR(D18)+13), Variablen!$I$3:$AT$3, 0))),L18)))*(IF((YEAR(D18)+13)&lt;YEAR(E18),0,IF((YEAR(D18)+13)&gt;YEAR(E18),1,(12-MONTH(E18)+1)/12))) + (Q18)*(IF((YEAR(D18)+13)&lt;YEAR(E18),0,IF((YEAR(D18)+13)&gt;YEAR(E18),1,(12-MONTH(E18)+1)/12))))-((P18)*(IF((YEAR(D18)+13)&lt;YEAR(E18),0,IF((YEAR(D18)+13)&gt;YEAR(E18),1,(12-MONTH(E18)+1)/12))) + (R18)*(IF((YEAR(D18)+13)&lt;YEAR(E18),0,IF((YEAR(D18)+13)&gt;YEAR(E18),1,(12-MONTH(E18)+1)/12))))-(IF(OR(N18="",N18&lt;=0),0,(O18/N18)*(IF(OR(N18="",N18&lt;=0),0,IF((YEAR(D18)+13)&lt;YEAR(E18),0,IF((YEAR(D18)+13)&gt;=YEAR(E18)+N18,0,IF((YEAR(D18)+13)=YEAR(E18),(12-MONTH(E18)+1)/12,1))))))))&gt;0,(((K18)*(IF(M18="",L18,IFERROR(IF(INDEX(Variablen!$I:$AT, MATCH(M18, Variablen!$A:$A, 0), MATCH((YEAR(D18)+13), Variablen!$I$3:$AT$3, 0))="",L18,INDEX(Variablen!$I:$AT, MATCH(M18, Variablen!$A:$A, 0), MATCH((YEAR(D18)+13), Variablen!$I$3:$AT$3, 0))),L18)))*(IF((YEAR(D18)+13)&lt;YEAR(E18),0,IF((YEAR(D18)+13)&gt;YEAR(E18),1,(12-MONTH(E18)+1)/12))) + (Q18)*(IF((YEAR(D18)+13)&lt;YEAR(E18),0,IF((YEAR(D18)+13)&gt;YEAR(E18),1,(12-MONTH(E18)+1)/12))))-((P18)*(IF((YEAR(D18)+13)&lt;YEAR(E18),0,IF((YEAR(D18)+13)&gt;YEAR(E18),1,(12-MONTH(E18)+1)/12))) + (R18)*(IF((YEAR(D18)+13)&lt;YEAR(E18),0,IF((YEAR(D18)+13)&gt;YEAR(E18),1,(12-MONTH(E18)+1)/12))))-(IF(OR(N18="",N18&lt;=0),0,(O18/N18)*(IF(OR(N18="",N18&lt;=0),0,IF((YEAR(D18)+13)&lt;YEAR(E18),0,IF((YEAR(D18)+13)&gt;=YEAR(E18)+N18,0,IF((YEAR(D18)+13)=YEAR(E18),(12-MONTH(E18)+1)/12,1))))))))*TaxRate,0))-IF(13=0,O18,0))</f>
        <v/>
      </c>
      <c r="AG18" s="29">
        <f>IF(A18="","",((K18)*(IF(M18="",L18,IFERROR(IF(INDEX(Variablen!$I:$AT, MATCH(M18, Variablen!$A:$A, 0), MATCH((YEAR(D18)+14), Variablen!$I$3:$AT$3, 0))="",L18,INDEX(Variablen!$I:$AT, MATCH(M18, Variablen!$A:$A, 0), MATCH((YEAR(D18)+14), Variablen!$I$3:$AT$3, 0))),L18)))*(IF((YEAR(D18)+14)&lt;YEAR(E18),0,IF((YEAR(D18)+14)&gt;YEAR(E18),1,(12-MONTH(E18)+1)/12))) + (Q18)*(IF((YEAR(D18)+14)&lt;YEAR(E18),0,IF((YEAR(D18)+14)&gt;YEAR(E18),1,(12-MONTH(E18)+1)/12))))-((P18)*(IF((YEAR(D18)+14)&lt;YEAR(E18),0,IF((YEAR(D18)+14)&gt;YEAR(E18),1,(12-MONTH(E18)+1)/12))) + (R18)*(IF((YEAR(D18)+14)&lt;YEAR(E18),0,IF((YEAR(D18)+14)&gt;YEAR(E18),1,(12-MONTH(E18)+1)/12))))-(IF((((K18)*(IF(M18="",L18,IFERROR(IF(INDEX(Variablen!$I:$AT, MATCH(M18, Variablen!$A:$A, 0), MATCH((YEAR(D18)+14), Variablen!$I$3:$AT$3, 0))="",L18,INDEX(Variablen!$I:$AT, MATCH(M18, Variablen!$A:$A, 0), MATCH((YEAR(D18)+14), Variablen!$I$3:$AT$3, 0))),L18)))*(IF((YEAR(D18)+14)&lt;YEAR(E18),0,IF((YEAR(D18)+14)&gt;YEAR(E18),1,(12-MONTH(E18)+1)/12))) + (Q18)*(IF((YEAR(D18)+14)&lt;YEAR(E18),0,IF((YEAR(D18)+14)&gt;YEAR(E18),1,(12-MONTH(E18)+1)/12))))-((P18)*(IF((YEAR(D18)+14)&lt;YEAR(E18),0,IF((YEAR(D18)+14)&gt;YEAR(E18),1,(12-MONTH(E18)+1)/12))) + (R18)*(IF((YEAR(D18)+14)&lt;YEAR(E18),0,IF((YEAR(D18)+14)&gt;YEAR(E18),1,(12-MONTH(E18)+1)/12))))-(IF(OR(N18="",N18&lt;=0),0,(O18/N18)*(IF(OR(N18="",N18&lt;=0),0,IF((YEAR(D18)+14)&lt;YEAR(E18),0,IF((YEAR(D18)+14)&gt;=YEAR(E18)+N18,0,IF((YEAR(D18)+14)=YEAR(E18),(12-MONTH(E18)+1)/12,1))))))))&gt;0,(((K18)*(IF(M18="",L18,IFERROR(IF(INDEX(Variablen!$I:$AT, MATCH(M18, Variablen!$A:$A, 0), MATCH((YEAR(D18)+14), Variablen!$I$3:$AT$3, 0))="",L18,INDEX(Variablen!$I:$AT, MATCH(M18, Variablen!$A:$A, 0), MATCH((YEAR(D18)+14), Variablen!$I$3:$AT$3, 0))),L18)))*(IF((YEAR(D18)+14)&lt;YEAR(E18),0,IF((YEAR(D18)+14)&gt;YEAR(E18),1,(12-MONTH(E18)+1)/12))) + (Q18)*(IF((YEAR(D18)+14)&lt;YEAR(E18),0,IF((YEAR(D18)+14)&gt;YEAR(E18),1,(12-MONTH(E18)+1)/12))))-((P18)*(IF((YEAR(D18)+14)&lt;YEAR(E18),0,IF((YEAR(D18)+14)&gt;YEAR(E18),1,(12-MONTH(E18)+1)/12))) + (R18)*(IF((YEAR(D18)+14)&lt;YEAR(E18),0,IF((YEAR(D18)+14)&gt;YEAR(E18),1,(12-MONTH(E18)+1)/12))))-(IF(OR(N18="",N18&lt;=0),0,(O18/N18)*(IF(OR(N18="",N18&lt;=0),0,IF((YEAR(D18)+14)&lt;YEAR(E18),0,IF((YEAR(D18)+14)&gt;=YEAR(E18)+N18,0,IF((YEAR(D18)+14)=YEAR(E18),(12-MONTH(E18)+1)/12,1))))))))*TaxRate,0))-IF(14=0,O18,0))</f>
        <v/>
      </c>
      <c r="AH18" s="29">
        <f>IF(A18="","",((K18)*(IF(M18="",L18,IFERROR(IF(INDEX(Variablen!$I:$AT, MATCH(M18, Variablen!$A:$A, 0), MATCH((YEAR(D18)+15), Variablen!$I$3:$AT$3, 0))="",L18,INDEX(Variablen!$I:$AT, MATCH(M18, Variablen!$A:$A, 0), MATCH((YEAR(D18)+15), Variablen!$I$3:$AT$3, 0))),L18)))*(IF((YEAR(D18)+15)&lt;YEAR(E18),0,IF((YEAR(D18)+15)&gt;YEAR(E18),1,(12-MONTH(E18)+1)/12))) + (Q18)*(IF((YEAR(D18)+15)&lt;YEAR(E18),0,IF((YEAR(D18)+15)&gt;YEAR(E18),1,(12-MONTH(E18)+1)/12))))-((P18)*(IF((YEAR(D18)+15)&lt;YEAR(E18),0,IF((YEAR(D18)+15)&gt;YEAR(E18),1,(12-MONTH(E18)+1)/12))) + (R18)*(IF((YEAR(D18)+15)&lt;YEAR(E18),0,IF((YEAR(D18)+15)&gt;YEAR(E18),1,(12-MONTH(E18)+1)/12))))-(IF((((K18)*(IF(M18="",L18,IFERROR(IF(INDEX(Variablen!$I:$AT, MATCH(M18, Variablen!$A:$A, 0), MATCH((YEAR(D18)+15), Variablen!$I$3:$AT$3, 0))="",L18,INDEX(Variablen!$I:$AT, MATCH(M18, Variablen!$A:$A, 0), MATCH((YEAR(D18)+15), Variablen!$I$3:$AT$3, 0))),L18)))*(IF((YEAR(D18)+15)&lt;YEAR(E18),0,IF((YEAR(D18)+15)&gt;YEAR(E18),1,(12-MONTH(E18)+1)/12))) + (Q18)*(IF((YEAR(D18)+15)&lt;YEAR(E18),0,IF((YEAR(D18)+15)&gt;YEAR(E18),1,(12-MONTH(E18)+1)/12))))-((P18)*(IF((YEAR(D18)+15)&lt;YEAR(E18),0,IF((YEAR(D18)+15)&gt;YEAR(E18),1,(12-MONTH(E18)+1)/12))) + (R18)*(IF((YEAR(D18)+15)&lt;YEAR(E18),0,IF((YEAR(D18)+15)&gt;YEAR(E18),1,(12-MONTH(E18)+1)/12))))-(IF(OR(N18="",N18&lt;=0),0,(O18/N18)*(IF(OR(N18="",N18&lt;=0),0,IF((YEAR(D18)+15)&lt;YEAR(E18),0,IF((YEAR(D18)+15)&gt;=YEAR(E18)+N18,0,IF((YEAR(D18)+15)=YEAR(E18),(12-MONTH(E18)+1)/12,1))))))))&gt;0,(((K18)*(IF(M18="",L18,IFERROR(IF(INDEX(Variablen!$I:$AT, MATCH(M18, Variablen!$A:$A, 0), MATCH((YEAR(D18)+15), Variablen!$I$3:$AT$3, 0))="",L18,INDEX(Variablen!$I:$AT, MATCH(M18, Variablen!$A:$A, 0), MATCH((YEAR(D18)+15), Variablen!$I$3:$AT$3, 0))),L18)))*(IF((YEAR(D18)+15)&lt;YEAR(E18),0,IF((YEAR(D18)+15)&gt;YEAR(E18),1,(12-MONTH(E18)+1)/12))) + (Q18)*(IF((YEAR(D18)+15)&lt;YEAR(E18),0,IF((YEAR(D18)+15)&gt;YEAR(E18),1,(12-MONTH(E18)+1)/12))))-((P18)*(IF((YEAR(D18)+15)&lt;YEAR(E18),0,IF((YEAR(D18)+15)&gt;YEAR(E18),1,(12-MONTH(E18)+1)/12))) + (R18)*(IF((YEAR(D18)+15)&lt;YEAR(E18),0,IF((YEAR(D18)+15)&gt;YEAR(E18),1,(12-MONTH(E18)+1)/12))))-(IF(OR(N18="",N18&lt;=0),0,(O18/N18)*(IF(OR(N18="",N18&lt;=0),0,IF((YEAR(D18)+15)&lt;YEAR(E18),0,IF((YEAR(D18)+15)&gt;=YEAR(E18)+N18,0,IF((YEAR(D18)+15)=YEAR(E18),(12-MONTH(E18)+1)/12,1))))))))*TaxRate,0))-IF(15=0,O18,0))</f>
        <v/>
      </c>
      <c r="AI18" s="29">
        <f>IF(A18="","",((K18)*(IF(M18="",L18,IFERROR(IF(INDEX(Variablen!$I:$AT, MATCH(M18, Variablen!$A:$A, 0), MATCH((YEAR(D18)+16), Variablen!$I$3:$AT$3, 0))="",L18,INDEX(Variablen!$I:$AT, MATCH(M18, Variablen!$A:$A, 0), MATCH((YEAR(D18)+16), Variablen!$I$3:$AT$3, 0))),L18)))*(IF((YEAR(D18)+16)&lt;YEAR(E18),0,IF((YEAR(D18)+16)&gt;YEAR(E18),1,(12-MONTH(E18)+1)/12))) + (Q18)*(IF((YEAR(D18)+16)&lt;YEAR(E18),0,IF((YEAR(D18)+16)&gt;YEAR(E18),1,(12-MONTH(E18)+1)/12))))-((P18)*(IF((YEAR(D18)+16)&lt;YEAR(E18),0,IF((YEAR(D18)+16)&gt;YEAR(E18),1,(12-MONTH(E18)+1)/12))) + (R18)*(IF((YEAR(D18)+16)&lt;YEAR(E18),0,IF((YEAR(D18)+16)&gt;YEAR(E18),1,(12-MONTH(E18)+1)/12))))-(IF((((K18)*(IF(M18="",L18,IFERROR(IF(INDEX(Variablen!$I:$AT, MATCH(M18, Variablen!$A:$A, 0), MATCH((YEAR(D18)+16), Variablen!$I$3:$AT$3, 0))="",L18,INDEX(Variablen!$I:$AT, MATCH(M18, Variablen!$A:$A, 0), MATCH((YEAR(D18)+16), Variablen!$I$3:$AT$3, 0))),L18)))*(IF((YEAR(D18)+16)&lt;YEAR(E18),0,IF((YEAR(D18)+16)&gt;YEAR(E18),1,(12-MONTH(E18)+1)/12))) + (Q18)*(IF((YEAR(D18)+16)&lt;YEAR(E18),0,IF((YEAR(D18)+16)&gt;YEAR(E18),1,(12-MONTH(E18)+1)/12))))-((P18)*(IF((YEAR(D18)+16)&lt;YEAR(E18),0,IF((YEAR(D18)+16)&gt;YEAR(E18),1,(12-MONTH(E18)+1)/12))) + (R18)*(IF((YEAR(D18)+16)&lt;YEAR(E18),0,IF((YEAR(D18)+16)&gt;YEAR(E18),1,(12-MONTH(E18)+1)/12))))-(IF(OR(N18="",N18&lt;=0),0,(O18/N18)*(IF(OR(N18="",N18&lt;=0),0,IF((YEAR(D18)+16)&lt;YEAR(E18),0,IF((YEAR(D18)+16)&gt;=YEAR(E18)+N18,0,IF((YEAR(D18)+16)=YEAR(E18),(12-MONTH(E18)+1)/12,1))))))))&gt;0,(((K18)*(IF(M18="",L18,IFERROR(IF(INDEX(Variablen!$I:$AT, MATCH(M18, Variablen!$A:$A, 0), MATCH((YEAR(D18)+16), Variablen!$I$3:$AT$3, 0))="",L18,INDEX(Variablen!$I:$AT, MATCH(M18, Variablen!$A:$A, 0), MATCH((YEAR(D18)+16), Variablen!$I$3:$AT$3, 0))),L18)))*(IF((YEAR(D18)+16)&lt;YEAR(E18),0,IF((YEAR(D18)+16)&gt;YEAR(E18),1,(12-MONTH(E18)+1)/12))) + (Q18)*(IF((YEAR(D18)+16)&lt;YEAR(E18),0,IF((YEAR(D18)+16)&gt;YEAR(E18),1,(12-MONTH(E18)+1)/12))))-((P18)*(IF((YEAR(D18)+16)&lt;YEAR(E18),0,IF((YEAR(D18)+16)&gt;YEAR(E18),1,(12-MONTH(E18)+1)/12))) + (R18)*(IF((YEAR(D18)+16)&lt;YEAR(E18),0,IF((YEAR(D18)+16)&gt;YEAR(E18),1,(12-MONTH(E18)+1)/12))))-(IF(OR(N18="",N18&lt;=0),0,(O18/N18)*(IF(OR(N18="",N18&lt;=0),0,IF((YEAR(D18)+16)&lt;YEAR(E18),0,IF((YEAR(D18)+16)&gt;=YEAR(E18)+N18,0,IF((YEAR(D18)+16)=YEAR(E18),(12-MONTH(E18)+1)/12,1))))))))*TaxRate,0))-IF(16=0,O18,0))</f>
        <v/>
      </c>
      <c r="AJ18" s="29">
        <f>IF(A18="","",((K18)*(IF(M18="",L18,IFERROR(IF(INDEX(Variablen!$I:$AT, MATCH(M18, Variablen!$A:$A, 0), MATCH((YEAR(D18)+17), Variablen!$I$3:$AT$3, 0))="",L18,INDEX(Variablen!$I:$AT, MATCH(M18, Variablen!$A:$A, 0), MATCH((YEAR(D18)+17), Variablen!$I$3:$AT$3, 0))),L18)))*(IF((YEAR(D18)+17)&lt;YEAR(E18),0,IF((YEAR(D18)+17)&gt;YEAR(E18),1,(12-MONTH(E18)+1)/12))) + (Q18)*(IF((YEAR(D18)+17)&lt;YEAR(E18),0,IF((YEAR(D18)+17)&gt;YEAR(E18),1,(12-MONTH(E18)+1)/12))))-((P18)*(IF((YEAR(D18)+17)&lt;YEAR(E18),0,IF((YEAR(D18)+17)&gt;YEAR(E18),1,(12-MONTH(E18)+1)/12))) + (R18)*(IF((YEAR(D18)+17)&lt;YEAR(E18),0,IF((YEAR(D18)+17)&gt;YEAR(E18),1,(12-MONTH(E18)+1)/12))))-(IF((((K18)*(IF(M18="",L18,IFERROR(IF(INDEX(Variablen!$I:$AT, MATCH(M18, Variablen!$A:$A, 0), MATCH((YEAR(D18)+17), Variablen!$I$3:$AT$3, 0))="",L18,INDEX(Variablen!$I:$AT, MATCH(M18, Variablen!$A:$A, 0), MATCH((YEAR(D18)+17), Variablen!$I$3:$AT$3, 0))),L18)))*(IF((YEAR(D18)+17)&lt;YEAR(E18),0,IF((YEAR(D18)+17)&gt;YEAR(E18),1,(12-MONTH(E18)+1)/12))) + (Q18)*(IF((YEAR(D18)+17)&lt;YEAR(E18),0,IF((YEAR(D18)+17)&gt;YEAR(E18),1,(12-MONTH(E18)+1)/12))))-((P18)*(IF((YEAR(D18)+17)&lt;YEAR(E18),0,IF((YEAR(D18)+17)&gt;YEAR(E18),1,(12-MONTH(E18)+1)/12))) + (R18)*(IF((YEAR(D18)+17)&lt;YEAR(E18),0,IF((YEAR(D18)+17)&gt;YEAR(E18),1,(12-MONTH(E18)+1)/12))))-(IF(OR(N18="",N18&lt;=0),0,(O18/N18)*(IF(OR(N18="",N18&lt;=0),0,IF((YEAR(D18)+17)&lt;YEAR(E18),0,IF((YEAR(D18)+17)&gt;=YEAR(E18)+N18,0,IF((YEAR(D18)+17)=YEAR(E18),(12-MONTH(E18)+1)/12,1))))))))&gt;0,(((K18)*(IF(M18="",L18,IFERROR(IF(INDEX(Variablen!$I:$AT, MATCH(M18, Variablen!$A:$A, 0), MATCH((YEAR(D18)+17), Variablen!$I$3:$AT$3, 0))="",L18,INDEX(Variablen!$I:$AT, MATCH(M18, Variablen!$A:$A, 0), MATCH((YEAR(D18)+17), Variablen!$I$3:$AT$3, 0))),L18)))*(IF((YEAR(D18)+17)&lt;YEAR(E18),0,IF((YEAR(D18)+17)&gt;YEAR(E18),1,(12-MONTH(E18)+1)/12))) + (Q18)*(IF((YEAR(D18)+17)&lt;YEAR(E18),0,IF((YEAR(D18)+17)&gt;YEAR(E18),1,(12-MONTH(E18)+1)/12))))-((P18)*(IF((YEAR(D18)+17)&lt;YEAR(E18),0,IF((YEAR(D18)+17)&gt;YEAR(E18),1,(12-MONTH(E18)+1)/12))) + (R18)*(IF((YEAR(D18)+17)&lt;YEAR(E18),0,IF((YEAR(D18)+17)&gt;YEAR(E18),1,(12-MONTH(E18)+1)/12))))-(IF(OR(N18="",N18&lt;=0),0,(O18/N18)*(IF(OR(N18="",N18&lt;=0),0,IF((YEAR(D18)+17)&lt;YEAR(E18),0,IF((YEAR(D18)+17)&gt;=YEAR(E18)+N18,0,IF((YEAR(D18)+17)=YEAR(E18),(12-MONTH(E18)+1)/12,1))))))))*TaxRate,0))-IF(17=0,O18,0))</f>
        <v/>
      </c>
      <c r="AK18" s="29">
        <f>IF(A18="","",((K18)*(IF(M18="",L18,IFERROR(IF(INDEX(Variablen!$I:$AT, MATCH(M18, Variablen!$A:$A, 0), MATCH((YEAR(D18)+18), Variablen!$I$3:$AT$3, 0))="",L18,INDEX(Variablen!$I:$AT, MATCH(M18, Variablen!$A:$A, 0), MATCH((YEAR(D18)+18), Variablen!$I$3:$AT$3, 0))),L18)))*(IF((YEAR(D18)+18)&lt;YEAR(E18),0,IF((YEAR(D18)+18)&gt;YEAR(E18),1,(12-MONTH(E18)+1)/12))) + (Q18)*(IF((YEAR(D18)+18)&lt;YEAR(E18),0,IF((YEAR(D18)+18)&gt;YEAR(E18),1,(12-MONTH(E18)+1)/12))))-((P18)*(IF((YEAR(D18)+18)&lt;YEAR(E18),0,IF((YEAR(D18)+18)&gt;YEAR(E18),1,(12-MONTH(E18)+1)/12))) + (R18)*(IF((YEAR(D18)+18)&lt;YEAR(E18),0,IF((YEAR(D18)+18)&gt;YEAR(E18),1,(12-MONTH(E18)+1)/12))))-(IF((((K18)*(IF(M18="",L18,IFERROR(IF(INDEX(Variablen!$I:$AT, MATCH(M18, Variablen!$A:$A, 0), MATCH((YEAR(D18)+18), Variablen!$I$3:$AT$3, 0))="",L18,INDEX(Variablen!$I:$AT, MATCH(M18, Variablen!$A:$A, 0), MATCH((YEAR(D18)+18), Variablen!$I$3:$AT$3, 0))),L18)))*(IF((YEAR(D18)+18)&lt;YEAR(E18),0,IF((YEAR(D18)+18)&gt;YEAR(E18),1,(12-MONTH(E18)+1)/12))) + (Q18)*(IF((YEAR(D18)+18)&lt;YEAR(E18),0,IF((YEAR(D18)+18)&gt;YEAR(E18),1,(12-MONTH(E18)+1)/12))))-((P18)*(IF((YEAR(D18)+18)&lt;YEAR(E18),0,IF((YEAR(D18)+18)&gt;YEAR(E18),1,(12-MONTH(E18)+1)/12))) + (R18)*(IF((YEAR(D18)+18)&lt;YEAR(E18),0,IF((YEAR(D18)+18)&gt;YEAR(E18),1,(12-MONTH(E18)+1)/12))))-(IF(OR(N18="",N18&lt;=0),0,(O18/N18)*(IF(OR(N18="",N18&lt;=0),0,IF((YEAR(D18)+18)&lt;YEAR(E18),0,IF((YEAR(D18)+18)&gt;=YEAR(E18)+N18,0,IF((YEAR(D18)+18)=YEAR(E18),(12-MONTH(E18)+1)/12,1))))))))&gt;0,(((K18)*(IF(M18="",L18,IFERROR(IF(INDEX(Variablen!$I:$AT, MATCH(M18, Variablen!$A:$A, 0), MATCH((YEAR(D18)+18), Variablen!$I$3:$AT$3, 0))="",L18,INDEX(Variablen!$I:$AT, MATCH(M18, Variablen!$A:$A, 0), MATCH((YEAR(D18)+18), Variablen!$I$3:$AT$3, 0))),L18)))*(IF((YEAR(D18)+18)&lt;YEAR(E18),0,IF((YEAR(D18)+18)&gt;YEAR(E18),1,(12-MONTH(E18)+1)/12))) + (Q18)*(IF((YEAR(D18)+18)&lt;YEAR(E18),0,IF((YEAR(D18)+18)&gt;YEAR(E18),1,(12-MONTH(E18)+1)/12))))-((P18)*(IF((YEAR(D18)+18)&lt;YEAR(E18),0,IF((YEAR(D18)+18)&gt;YEAR(E18),1,(12-MONTH(E18)+1)/12))) + (R18)*(IF((YEAR(D18)+18)&lt;YEAR(E18),0,IF((YEAR(D18)+18)&gt;YEAR(E18),1,(12-MONTH(E18)+1)/12))))-(IF(OR(N18="",N18&lt;=0),0,(O18/N18)*(IF(OR(N18="",N18&lt;=0),0,IF((YEAR(D18)+18)&lt;YEAR(E18),0,IF((YEAR(D18)+18)&gt;=YEAR(E18)+N18,0,IF((YEAR(D18)+18)=YEAR(E18),(12-MONTH(E18)+1)/12,1))))))))*TaxRate,0))-IF(18=0,O18,0))</f>
        <v/>
      </c>
      <c r="AL18" s="29">
        <f>IF(A18="","",((K18)*(IF(M18="",L18,IFERROR(IF(INDEX(Variablen!$I:$AT, MATCH(M18, Variablen!$A:$A, 0), MATCH((YEAR(D18)+19), Variablen!$I$3:$AT$3, 0))="",L18,INDEX(Variablen!$I:$AT, MATCH(M18, Variablen!$A:$A, 0), MATCH((YEAR(D18)+19), Variablen!$I$3:$AT$3, 0))),L18)))*(IF((YEAR(D18)+19)&lt;YEAR(E18),0,IF((YEAR(D18)+19)&gt;YEAR(E18),1,(12-MONTH(E18)+1)/12))) + (Q18)*(IF((YEAR(D18)+19)&lt;YEAR(E18),0,IF((YEAR(D18)+19)&gt;YEAR(E18),1,(12-MONTH(E18)+1)/12))))-((P18)*(IF((YEAR(D18)+19)&lt;YEAR(E18),0,IF((YEAR(D18)+19)&gt;YEAR(E18),1,(12-MONTH(E18)+1)/12))) + (R18)*(IF((YEAR(D18)+19)&lt;YEAR(E18),0,IF((YEAR(D18)+19)&gt;YEAR(E18),1,(12-MONTH(E18)+1)/12))))-(IF((((K18)*(IF(M18="",L18,IFERROR(IF(INDEX(Variablen!$I:$AT, MATCH(M18, Variablen!$A:$A, 0), MATCH((YEAR(D18)+19), Variablen!$I$3:$AT$3, 0))="",L18,INDEX(Variablen!$I:$AT, MATCH(M18, Variablen!$A:$A, 0), MATCH((YEAR(D18)+19), Variablen!$I$3:$AT$3, 0))),L18)))*(IF((YEAR(D18)+19)&lt;YEAR(E18),0,IF((YEAR(D18)+19)&gt;YEAR(E18),1,(12-MONTH(E18)+1)/12))) + (Q18)*(IF((YEAR(D18)+19)&lt;YEAR(E18),0,IF((YEAR(D18)+19)&gt;YEAR(E18),1,(12-MONTH(E18)+1)/12))))-((P18)*(IF((YEAR(D18)+19)&lt;YEAR(E18),0,IF((YEAR(D18)+19)&gt;YEAR(E18),1,(12-MONTH(E18)+1)/12))) + (R18)*(IF((YEAR(D18)+19)&lt;YEAR(E18),0,IF((YEAR(D18)+19)&gt;YEAR(E18),1,(12-MONTH(E18)+1)/12))))-(IF(OR(N18="",N18&lt;=0),0,(O18/N18)*(IF(OR(N18="",N18&lt;=0),0,IF((YEAR(D18)+19)&lt;YEAR(E18),0,IF((YEAR(D18)+19)&gt;=YEAR(E18)+N18,0,IF((YEAR(D18)+19)=YEAR(E18),(12-MONTH(E18)+1)/12,1))))))))&gt;0,(((K18)*(IF(M18="",L18,IFERROR(IF(INDEX(Variablen!$I:$AT, MATCH(M18, Variablen!$A:$A, 0), MATCH((YEAR(D18)+19), Variablen!$I$3:$AT$3, 0))="",L18,INDEX(Variablen!$I:$AT, MATCH(M18, Variablen!$A:$A, 0), MATCH((YEAR(D18)+19), Variablen!$I$3:$AT$3, 0))),L18)))*(IF((YEAR(D18)+19)&lt;YEAR(E18),0,IF((YEAR(D18)+19)&gt;YEAR(E18),1,(12-MONTH(E18)+1)/12))) + (Q18)*(IF((YEAR(D18)+19)&lt;YEAR(E18),0,IF((YEAR(D18)+19)&gt;YEAR(E18),1,(12-MONTH(E18)+1)/12))))-((P18)*(IF((YEAR(D18)+19)&lt;YEAR(E18),0,IF((YEAR(D18)+19)&gt;YEAR(E18),1,(12-MONTH(E18)+1)/12))) + (R18)*(IF((YEAR(D18)+19)&lt;YEAR(E18),0,IF((YEAR(D18)+19)&gt;YEAR(E18),1,(12-MONTH(E18)+1)/12))))-(IF(OR(N18="",N18&lt;=0),0,(O18/N18)*(IF(OR(N18="",N18&lt;=0),0,IF((YEAR(D18)+19)&lt;YEAR(E18),0,IF((YEAR(D18)+19)&gt;=YEAR(E18)+N18,0,IF((YEAR(D18)+19)=YEAR(E18),(12-MONTH(E18)+1)/12,1))))))))*TaxRate,0))-IF(19=0,O18,0))</f>
        <v/>
      </c>
      <c r="AM18" s="29">
        <f>IF(A18="","",((K18)*(IF(M18="",L18,IFERROR(IF(INDEX(Variablen!$I:$AT, MATCH(M18, Variablen!$A:$A, 0), MATCH((YEAR(D18)+20), Variablen!$I$3:$AT$3, 0))="",L18,INDEX(Variablen!$I:$AT, MATCH(M18, Variablen!$A:$A, 0), MATCH((YEAR(D18)+20), Variablen!$I$3:$AT$3, 0))),L18)))*(IF((YEAR(D18)+20)&lt;YEAR(E18),0,IF((YEAR(D18)+20)&gt;YEAR(E18),1,(12-MONTH(E18)+1)/12))) + (Q18)*(IF((YEAR(D18)+20)&lt;YEAR(E18),0,IF((YEAR(D18)+20)&gt;YEAR(E18),1,(12-MONTH(E18)+1)/12))))-((P18)*(IF((YEAR(D18)+20)&lt;YEAR(E18),0,IF((YEAR(D18)+20)&gt;YEAR(E18),1,(12-MONTH(E18)+1)/12))) + (R18)*(IF((YEAR(D18)+20)&lt;YEAR(E18),0,IF((YEAR(D18)+20)&gt;YEAR(E18),1,(12-MONTH(E18)+1)/12))))-(IF((((K18)*(IF(M18="",L18,IFERROR(IF(INDEX(Variablen!$I:$AT, MATCH(M18, Variablen!$A:$A, 0), MATCH((YEAR(D18)+20), Variablen!$I$3:$AT$3, 0))="",L18,INDEX(Variablen!$I:$AT, MATCH(M18, Variablen!$A:$A, 0), MATCH((YEAR(D18)+20), Variablen!$I$3:$AT$3, 0))),L18)))*(IF((YEAR(D18)+20)&lt;YEAR(E18),0,IF((YEAR(D18)+20)&gt;YEAR(E18),1,(12-MONTH(E18)+1)/12))) + (Q18)*(IF((YEAR(D18)+20)&lt;YEAR(E18),0,IF((YEAR(D18)+20)&gt;YEAR(E18),1,(12-MONTH(E18)+1)/12))))-((P18)*(IF((YEAR(D18)+20)&lt;YEAR(E18),0,IF((YEAR(D18)+20)&gt;YEAR(E18),1,(12-MONTH(E18)+1)/12))) + (R18)*(IF((YEAR(D18)+20)&lt;YEAR(E18),0,IF((YEAR(D18)+20)&gt;YEAR(E18),1,(12-MONTH(E18)+1)/12))))-(IF(OR(N18="",N18&lt;=0),0,(O18/N18)*(IF(OR(N18="",N18&lt;=0),0,IF((YEAR(D18)+20)&lt;YEAR(E18),0,IF((YEAR(D18)+20)&gt;=YEAR(E18)+N18,0,IF((YEAR(D18)+20)=YEAR(E18),(12-MONTH(E18)+1)/12,1))))))))&gt;0,(((K18)*(IF(M18="",L18,IFERROR(IF(INDEX(Variablen!$I:$AT, MATCH(M18, Variablen!$A:$A, 0), MATCH((YEAR(D18)+20), Variablen!$I$3:$AT$3, 0))="",L18,INDEX(Variablen!$I:$AT, MATCH(M18, Variablen!$A:$A, 0), MATCH((YEAR(D18)+20), Variablen!$I$3:$AT$3, 0))),L18)))*(IF((YEAR(D18)+20)&lt;YEAR(E18),0,IF((YEAR(D18)+20)&gt;YEAR(E18),1,(12-MONTH(E18)+1)/12))) + (Q18)*(IF((YEAR(D18)+20)&lt;YEAR(E18),0,IF((YEAR(D18)+20)&gt;YEAR(E18),1,(12-MONTH(E18)+1)/12))))-((P18)*(IF((YEAR(D18)+20)&lt;YEAR(E18),0,IF((YEAR(D18)+20)&gt;YEAR(E18),1,(12-MONTH(E18)+1)/12))) + (R18)*(IF((YEAR(D18)+20)&lt;YEAR(E18),0,IF((YEAR(D18)+20)&gt;YEAR(E18),1,(12-MONTH(E18)+1)/12))))-(IF(OR(N18="",N18&lt;=0),0,(O18/N18)*(IF(OR(N18="",N18&lt;=0),0,IF((YEAR(D18)+20)&lt;YEAR(E18),0,IF((YEAR(D18)+20)&gt;=YEAR(E18)+N18,0,IF((YEAR(D18)+20)=YEAR(E18),(12-MONTH(E18)+1)/12,1))))))))*TaxRate,0))-IF(20=0,O18,0))</f>
        <v/>
      </c>
      <c r="AN18" s="29">
        <f>IF(A18="","",S18)</f>
        <v/>
      </c>
      <c r="AO18" s="29">
        <f>IF(A18="","",AN18+T18)</f>
        <v/>
      </c>
      <c r="AP18" s="29">
        <f>IF(A18="","",AO18+U18)</f>
        <v/>
      </c>
      <c r="AQ18" s="29">
        <f>IF(A18="","",AP18+V18)</f>
        <v/>
      </c>
      <c r="AR18" s="29">
        <f>IF(A18="","",AQ18+W18)</f>
        <v/>
      </c>
      <c r="AS18" s="29">
        <f>IF(A18="","",AR18+X18)</f>
        <v/>
      </c>
      <c r="AT18" s="29">
        <f>IF(A18="","",AS18+Y18)</f>
        <v/>
      </c>
      <c r="AU18" s="29">
        <f>IF(A18="","",AT18+Z18)</f>
        <v/>
      </c>
      <c r="AV18" s="29">
        <f>IF(A18="","",AU18+AA18)</f>
        <v/>
      </c>
      <c r="AW18" s="29">
        <f>IF(A18="","",AV18+AB18)</f>
        <v/>
      </c>
      <c r="AX18" s="29">
        <f>IF(A18="","",AW18+AC18)</f>
        <v/>
      </c>
      <c r="AY18" s="29">
        <f>IF(A18="","",AX18+AD18)</f>
        <v/>
      </c>
      <c r="AZ18" s="29">
        <f>IF(A18="","",AY18+AE18)</f>
        <v/>
      </c>
      <c r="BA18" s="29">
        <f>IF(A18="","",AZ18+AF18)</f>
        <v/>
      </c>
      <c r="BB18" s="29">
        <f>IF(A18="","",BA18+AG18)</f>
        <v/>
      </c>
      <c r="BC18" s="29">
        <f>IF(A18="","",BB18+AH18)</f>
        <v/>
      </c>
      <c r="BD18" s="29">
        <f>IF(A18="","",BC18+AI18)</f>
        <v/>
      </c>
      <c r="BE18" s="29">
        <f>IF(A18="","",BD18+AJ18)</f>
        <v/>
      </c>
      <c r="BF18" s="29">
        <f>IF(A18="","",BE18+AK18)</f>
        <v/>
      </c>
      <c r="BG18" s="29">
        <f>IF(A18="","",BF18+AL18)</f>
        <v/>
      </c>
      <c r="BH18" s="29">
        <f>IF(A18="","",BG18+AM18)</f>
        <v/>
      </c>
      <c r="BI18" s="36">
        <f>IF(A18="","",(K18)*(IF((YEAR(D18)+0)&lt;YEAR(E18),0,IF((YEAR(D18)+0)&gt;YEAR(E18),1,(12-MONTH(E18)+1)/12)))*(1/(1+DiscountRate)^0))</f>
        <v/>
      </c>
      <c r="BJ18" s="36">
        <f>IF(A18="","",(K18)*(IF((YEAR(D18)+1)&lt;YEAR(E18),0,IF((YEAR(D18)+1)&gt;YEAR(E18),1,(12-MONTH(E18)+1)/12)))*(1/(1+DiscountRate)^1))</f>
        <v/>
      </c>
      <c r="BK18" s="36">
        <f>IF(A18="","",(K18)*(IF((YEAR(D18)+2)&lt;YEAR(E18),0,IF((YEAR(D18)+2)&gt;YEAR(E18),1,(12-MONTH(E18)+1)/12)))*(1/(1+DiscountRate)^2))</f>
        <v/>
      </c>
      <c r="BL18" s="36">
        <f>IF(A18="","",(K18)*(IF((YEAR(D18)+3)&lt;YEAR(E18),0,IF((YEAR(D18)+3)&gt;YEAR(E18),1,(12-MONTH(E18)+1)/12)))*(1/(1+DiscountRate)^3))</f>
        <v/>
      </c>
      <c r="BM18" s="36">
        <f>IF(A18="","",(K18)*(IF((YEAR(D18)+4)&lt;YEAR(E18),0,IF((YEAR(D18)+4)&gt;YEAR(E18),1,(12-MONTH(E18)+1)/12)))*(1/(1+DiscountRate)^4))</f>
        <v/>
      </c>
      <c r="BN18" s="36">
        <f>IF(A18="","",(K18)*(IF((YEAR(D18)+5)&lt;YEAR(E18),0,IF((YEAR(D18)+5)&gt;YEAR(E18),1,(12-MONTH(E18)+1)/12)))*(1/(1+DiscountRate)^5))</f>
        <v/>
      </c>
      <c r="BO18" s="36">
        <f>IF(A18="","",(K18)*(IF((YEAR(D18)+6)&lt;YEAR(E18),0,IF((YEAR(D18)+6)&gt;YEAR(E18),1,(12-MONTH(E18)+1)/12)))*(1/(1+DiscountRate)^6))</f>
        <v/>
      </c>
      <c r="BP18" s="36">
        <f>IF(A18="","",(K18)*(IF((YEAR(D18)+7)&lt;YEAR(E18),0,IF((YEAR(D18)+7)&gt;YEAR(E18),1,(12-MONTH(E18)+1)/12)))*(1/(1+DiscountRate)^7))</f>
        <v/>
      </c>
      <c r="BQ18" s="36">
        <f>IF(A18="","",(K18)*(IF((YEAR(D18)+8)&lt;YEAR(E18),0,IF((YEAR(D18)+8)&gt;YEAR(E18),1,(12-MONTH(E18)+1)/12)))*(1/(1+DiscountRate)^8))</f>
        <v/>
      </c>
      <c r="BR18" s="36">
        <f>IF(A18="","",(K18)*(IF((YEAR(D18)+9)&lt;YEAR(E18),0,IF((YEAR(D18)+9)&gt;YEAR(E18),1,(12-MONTH(E18)+1)/12)))*(1/(1+DiscountRate)^9))</f>
        <v/>
      </c>
      <c r="BS18" s="36">
        <f>IF(A18="","",(K18)*(IF((YEAR(D18)+10)&lt;YEAR(E18),0,IF((YEAR(D18)+10)&gt;YEAR(E18),1,(12-MONTH(E18)+1)/12)))*(1/(1+DiscountRate)^10))</f>
        <v/>
      </c>
      <c r="BT18" s="36">
        <f>IF(A18="","",(K18)*(IF((YEAR(D18)+11)&lt;YEAR(E18),0,IF((YEAR(D18)+11)&gt;YEAR(E18),1,(12-MONTH(E18)+1)/12)))*(1/(1+DiscountRate)^11))</f>
        <v/>
      </c>
      <c r="BU18" s="36">
        <f>IF(A18="","",(K18)*(IF((YEAR(D18)+12)&lt;YEAR(E18),0,IF((YEAR(D18)+12)&gt;YEAR(E18),1,(12-MONTH(E18)+1)/12)))*(1/(1+DiscountRate)^12))</f>
        <v/>
      </c>
      <c r="BV18" s="36">
        <f>IF(A18="","",(K18)*(IF((YEAR(D18)+13)&lt;YEAR(E18),0,IF((YEAR(D18)+13)&gt;YEAR(E18),1,(12-MONTH(E18)+1)/12)))*(1/(1+DiscountRate)^13))</f>
        <v/>
      </c>
      <c r="BW18" s="36">
        <f>IF(A18="","",(K18)*(IF((YEAR(D18)+14)&lt;YEAR(E18),0,IF((YEAR(D18)+14)&gt;YEAR(E18),1,(12-MONTH(E18)+1)/12)))*(1/(1+DiscountRate)^14))</f>
        <v/>
      </c>
      <c r="BX18" s="36">
        <f>IF(A18="","",(K18)*(IF((YEAR(D18)+15)&lt;YEAR(E18),0,IF((YEAR(D18)+15)&gt;YEAR(E18),1,(12-MONTH(E18)+1)/12)))*(1/(1+DiscountRate)^15))</f>
        <v/>
      </c>
      <c r="BY18" s="36">
        <f>IF(A18="","",(K18)*(IF((YEAR(D18)+16)&lt;YEAR(E18),0,IF((YEAR(D18)+16)&gt;YEAR(E18),1,(12-MONTH(E18)+1)/12)))*(1/(1+DiscountRate)^16))</f>
        <v/>
      </c>
      <c r="BZ18" s="36">
        <f>IF(A18="","",(K18)*(IF((YEAR(D18)+17)&lt;YEAR(E18),0,IF((YEAR(D18)+17)&gt;YEAR(E18),1,(12-MONTH(E18)+1)/12)))*(1/(1+DiscountRate)^17))</f>
        <v/>
      </c>
      <c r="CA18" s="36">
        <f>IF(A18="","",(K18)*(IF((YEAR(D18)+18)&lt;YEAR(E18),0,IF((YEAR(D18)+18)&gt;YEAR(E18),1,(12-MONTH(E18)+1)/12)))*(1/(1+DiscountRate)^18))</f>
        <v/>
      </c>
      <c r="CB18" s="36">
        <f>IF(A18="","",(K18)*(IF((YEAR(D18)+19)&lt;YEAR(E18),0,IF((YEAR(D18)+19)&gt;YEAR(E18),1,(12-MONTH(E18)+1)/12)))*(1/(1+DiscountRate)^19))</f>
        <v/>
      </c>
      <c r="CC18" s="36">
        <f>IF(A18="","",(K18)*(IF((YEAR(D18)+20)&lt;YEAR(E18),0,IF((YEAR(D18)+20)&gt;YEAR(E18),1,(12-MONTH(E18)+1)/12)))*(1/(1+DiscountRate)^20))</f>
        <v/>
      </c>
      <c r="CD18" s="29">
        <f>IF(A18="","",S18/(1+DiscountRate)^0+T18/(1+DiscountRate)^1+U18/(1+DiscountRate)^2+V18/(1+DiscountRate)^3+W18/(1+DiscountRate)^4+X18/(1+DiscountRate)^5+Y18/(1+DiscountRate)^6+Z18/(1+DiscountRate)^7+AA18/(1+DiscountRate)^8+AB18/(1+DiscountRate)^9+AC18/(1+DiscountRate)^10+AD18/(1+DiscountRate)^11+AE18/(1+DiscountRate)^12+AF18/(1+DiscountRate)^13+AG18/(1+DiscountRate)^14+AH18/(1+DiscountRate)^15+AI18/(1+DiscountRate)^16+AJ18/(1+DiscountRate)^17+AK18/(1+DiscountRate)^18+AL18/(1+DiscountRate)^19+AM18/(1+DiscountRate)^20)</f>
        <v/>
      </c>
      <c r="CE18" s="37">
        <f>IF(A18="","",IFERROR(IRR(OFFSET(S18,0,0,1,MIN(HorizonYears,20)+1)),"n/a"))</f>
        <v/>
      </c>
      <c r="CF18" s="28">
        <f>IF(A18="","",IFERROR(MATCH(TRUE,OFFSET(AN18,0,0,1,MIN(HorizonYears,20)+1)&gt;=0,0)-1,"n/a"))</f>
        <v/>
      </c>
      <c r="CG18" s="36">
        <f>IF(A18="","",SUM(OFFSET(BI18,0,0,1,MIN(HorizonYears,20)+1)))</f>
        <v/>
      </c>
      <c r="CH18" s="36">
        <f>IF(A18="","",IFERROR(-CD18/CG18,"n/a"))</f>
        <v/>
      </c>
    </row>
    <row r="19">
      <c r="A19" s="6">
        <f>Actions!A17</f>
        <v/>
      </c>
      <c r="B19" s="6">
        <f>Actions!B17</f>
        <v/>
      </c>
      <c r="C19" s="6">
        <f>Actions!D17</f>
        <v/>
      </c>
      <c r="D19" s="35">
        <f>Actions!E17</f>
        <v/>
      </c>
      <c r="E19" s="35">
        <f>Actions!F17</f>
        <v/>
      </c>
      <c r="F19" s="6">
        <f>Actions!G17</f>
        <v/>
      </c>
      <c r="G19" s="6">
        <f>Actions!H17</f>
        <v/>
      </c>
      <c r="H19" s="29">
        <f>Actions!I17</f>
        <v/>
      </c>
      <c r="I19" s="6">
        <f>Actions!J17</f>
        <v/>
      </c>
      <c r="J19" s="16">
        <f>Actions!K17</f>
        <v/>
      </c>
      <c r="K19" s="16">
        <f>IF(A19="","",IF(I19="%",H19*J19,J19))</f>
        <v/>
      </c>
      <c r="L19" s="16">
        <f>Actions!L17</f>
        <v/>
      </c>
      <c r="M19" s="6">
        <f>Actions!M17</f>
        <v/>
      </c>
      <c r="N19" s="28">
        <f>Actions!N17</f>
        <v/>
      </c>
      <c r="O19" s="29">
        <f>Actions!T17</f>
        <v/>
      </c>
      <c r="P19" s="29">
        <f>Actions!Y17</f>
        <v/>
      </c>
      <c r="Q19" s="29">
        <f>Actions!Z17</f>
        <v/>
      </c>
      <c r="R19" s="29">
        <f>Actions!AA17</f>
        <v/>
      </c>
      <c r="S19" s="29">
        <f>IF(A19="","",((K19)*(IF(M19="",L19,IFERROR(IF(INDEX(Variablen!$I:$AT, MATCH(M19, Variablen!$A:$A, 0), MATCH((YEAR(D19)+0), Variablen!$I$3:$AT$3, 0))="",L19,INDEX(Variablen!$I:$AT, MATCH(M19, Variablen!$A:$A, 0), MATCH((YEAR(D19)+0), Variablen!$I$3:$AT$3, 0))),L19)))*(IF((YEAR(D19)+0)&lt;YEAR(E19),0,IF((YEAR(D19)+0)&gt;YEAR(E19),1,(12-MONTH(E19)+1)/12))) + (Q19)*(IF((YEAR(D19)+0)&lt;YEAR(E19),0,IF((YEAR(D19)+0)&gt;YEAR(E19),1,(12-MONTH(E19)+1)/12))))-((P19)*(IF((YEAR(D19)+0)&lt;YEAR(E19),0,IF((YEAR(D19)+0)&gt;YEAR(E19),1,(12-MONTH(E19)+1)/12))) + (R19)*(IF((YEAR(D19)+0)&lt;YEAR(E19),0,IF((YEAR(D19)+0)&gt;YEAR(E19),1,(12-MONTH(E19)+1)/12))))-(IF((((K19)*(IF(M19="",L19,IFERROR(IF(INDEX(Variablen!$I:$AT, MATCH(M19, Variablen!$A:$A, 0), MATCH((YEAR(D19)+0), Variablen!$I$3:$AT$3, 0))="",L19,INDEX(Variablen!$I:$AT, MATCH(M19, Variablen!$A:$A, 0), MATCH((YEAR(D19)+0), Variablen!$I$3:$AT$3, 0))),L19)))*(IF((YEAR(D19)+0)&lt;YEAR(E19),0,IF((YEAR(D19)+0)&gt;YEAR(E19),1,(12-MONTH(E19)+1)/12))) + (Q19)*(IF((YEAR(D19)+0)&lt;YEAR(E19),0,IF((YEAR(D19)+0)&gt;YEAR(E19),1,(12-MONTH(E19)+1)/12))))-((P19)*(IF((YEAR(D19)+0)&lt;YEAR(E19),0,IF((YEAR(D19)+0)&gt;YEAR(E19),1,(12-MONTH(E19)+1)/12))) + (R19)*(IF((YEAR(D19)+0)&lt;YEAR(E19),0,IF((YEAR(D19)+0)&gt;YEAR(E19),1,(12-MONTH(E19)+1)/12))))-(IF(OR(N19="",N19&lt;=0),0,(O19/N19)*(IF(OR(N19="",N19&lt;=0),0,IF((YEAR(D19)+0)&lt;YEAR(E19),0,IF((YEAR(D19)+0)&gt;=YEAR(E19)+N19,0,IF((YEAR(D19)+0)=YEAR(E19),(12-MONTH(E19)+1)/12,1))))))))&gt;0,(((K19)*(IF(M19="",L19,IFERROR(IF(INDEX(Variablen!$I:$AT, MATCH(M19, Variablen!$A:$A, 0), MATCH((YEAR(D19)+0), Variablen!$I$3:$AT$3, 0))="",L19,INDEX(Variablen!$I:$AT, MATCH(M19, Variablen!$A:$A, 0), MATCH((YEAR(D19)+0), Variablen!$I$3:$AT$3, 0))),L19)))*(IF((YEAR(D19)+0)&lt;YEAR(E19),0,IF((YEAR(D19)+0)&gt;YEAR(E19),1,(12-MONTH(E19)+1)/12))) + (Q19)*(IF((YEAR(D19)+0)&lt;YEAR(E19),0,IF((YEAR(D19)+0)&gt;YEAR(E19),1,(12-MONTH(E19)+1)/12))))-((P19)*(IF((YEAR(D19)+0)&lt;YEAR(E19),0,IF((YEAR(D19)+0)&gt;YEAR(E19),1,(12-MONTH(E19)+1)/12))) + (R19)*(IF((YEAR(D19)+0)&lt;YEAR(E19),0,IF((YEAR(D19)+0)&gt;YEAR(E19),1,(12-MONTH(E19)+1)/12))))-(IF(OR(N19="",N19&lt;=0),0,(O19/N19)*(IF(OR(N19="",N19&lt;=0),0,IF((YEAR(D19)+0)&lt;YEAR(E19),0,IF((YEAR(D19)+0)&gt;=YEAR(E19)+N19,0,IF((YEAR(D19)+0)=YEAR(E19),(12-MONTH(E19)+1)/12,1))))))))*TaxRate,0))-IF(0=0,O19,0))</f>
        <v/>
      </c>
      <c r="T19" s="29">
        <f>IF(A19="","",((K19)*(IF(M19="",L19,IFERROR(IF(INDEX(Variablen!$I:$AT, MATCH(M19, Variablen!$A:$A, 0), MATCH((YEAR(D19)+1), Variablen!$I$3:$AT$3, 0))="",L19,INDEX(Variablen!$I:$AT, MATCH(M19, Variablen!$A:$A, 0), MATCH((YEAR(D19)+1), Variablen!$I$3:$AT$3, 0))),L19)))*(IF((YEAR(D19)+1)&lt;YEAR(E19),0,IF((YEAR(D19)+1)&gt;YEAR(E19),1,(12-MONTH(E19)+1)/12))) + (Q19)*(IF((YEAR(D19)+1)&lt;YEAR(E19),0,IF((YEAR(D19)+1)&gt;YEAR(E19),1,(12-MONTH(E19)+1)/12))))-((P19)*(IF((YEAR(D19)+1)&lt;YEAR(E19),0,IF((YEAR(D19)+1)&gt;YEAR(E19),1,(12-MONTH(E19)+1)/12))) + (R19)*(IF((YEAR(D19)+1)&lt;YEAR(E19),0,IF((YEAR(D19)+1)&gt;YEAR(E19),1,(12-MONTH(E19)+1)/12))))-(IF((((K19)*(IF(M19="",L19,IFERROR(IF(INDEX(Variablen!$I:$AT, MATCH(M19, Variablen!$A:$A, 0), MATCH((YEAR(D19)+1), Variablen!$I$3:$AT$3, 0))="",L19,INDEX(Variablen!$I:$AT, MATCH(M19, Variablen!$A:$A, 0), MATCH((YEAR(D19)+1), Variablen!$I$3:$AT$3, 0))),L19)))*(IF((YEAR(D19)+1)&lt;YEAR(E19),0,IF((YEAR(D19)+1)&gt;YEAR(E19),1,(12-MONTH(E19)+1)/12))) + (Q19)*(IF((YEAR(D19)+1)&lt;YEAR(E19),0,IF((YEAR(D19)+1)&gt;YEAR(E19),1,(12-MONTH(E19)+1)/12))))-((P19)*(IF((YEAR(D19)+1)&lt;YEAR(E19),0,IF((YEAR(D19)+1)&gt;YEAR(E19),1,(12-MONTH(E19)+1)/12))) + (R19)*(IF((YEAR(D19)+1)&lt;YEAR(E19),0,IF((YEAR(D19)+1)&gt;YEAR(E19),1,(12-MONTH(E19)+1)/12))))-(IF(OR(N19="",N19&lt;=0),0,(O19/N19)*(IF(OR(N19="",N19&lt;=0),0,IF((YEAR(D19)+1)&lt;YEAR(E19),0,IF((YEAR(D19)+1)&gt;=YEAR(E19)+N19,0,IF((YEAR(D19)+1)=YEAR(E19),(12-MONTH(E19)+1)/12,1))))))))&gt;0,(((K19)*(IF(M19="",L19,IFERROR(IF(INDEX(Variablen!$I:$AT, MATCH(M19, Variablen!$A:$A, 0), MATCH((YEAR(D19)+1), Variablen!$I$3:$AT$3, 0))="",L19,INDEX(Variablen!$I:$AT, MATCH(M19, Variablen!$A:$A, 0), MATCH((YEAR(D19)+1), Variablen!$I$3:$AT$3, 0))),L19)))*(IF((YEAR(D19)+1)&lt;YEAR(E19),0,IF((YEAR(D19)+1)&gt;YEAR(E19),1,(12-MONTH(E19)+1)/12))) + (Q19)*(IF((YEAR(D19)+1)&lt;YEAR(E19),0,IF((YEAR(D19)+1)&gt;YEAR(E19),1,(12-MONTH(E19)+1)/12))))-((P19)*(IF((YEAR(D19)+1)&lt;YEAR(E19),0,IF((YEAR(D19)+1)&gt;YEAR(E19),1,(12-MONTH(E19)+1)/12))) + (R19)*(IF((YEAR(D19)+1)&lt;YEAR(E19),0,IF((YEAR(D19)+1)&gt;YEAR(E19),1,(12-MONTH(E19)+1)/12))))-(IF(OR(N19="",N19&lt;=0),0,(O19/N19)*(IF(OR(N19="",N19&lt;=0),0,IF((YEAR(D19)+1)&lt;YEAR(E19),0,IF((YEAR(D19)+1)&gt;=YEAR(E19)+N19,0,IF((YEAR(D19)+1)=YEAR(E19),(12-MONTH(E19)+1)/12,1))))))))*TaxRate,0))-IF(1=0,O19,0))</f>
        <v/>
      </c>
      <c r="U19" s="29">
        <f>IF(A19="","",((K19)*(IF(M19="",L19,IFERROR(IF(INDEX(Variablen!$I:$AT, MATCH(M19, Variablen!$A:$A, 0), MATCH((YEAR(D19)+2), Variablen!$I$3:$AT$3, 0))="",L19,INDEX(Variablen!$I:$AT, MATCH(M19, Variablen!$A:$A, 0), MATCH((YEAR(D19)+2), Variablen!$I$3:$AT$3, 0))),L19)))*(IF((YEAR(D19)+2)&lt;YEAR(E19),0,IF((YEAR(D19)+2)&gt;YEAR(E19),1,(12-MONTH(E19)+1)/12))) + (Q19)*(IF((YEAR(D19)+2)&lt;YEAR(E19),0,IF((YEAR(D19)+2)&gt;YEAR(E19),1,(12-MONTH(E19)+1)/12))))-((P19)*(IF((YEAR(D19)+2)&lt;YEAR(E19),0,IF((YEAR(D19)+2)&gt;YEAR(E19),1,(12-MONTH(E19)+1)/12))) + (R19)*(IF((YEAR(D19)+2)&lt;YEAR(E19),0,IF((YEAR(D19)+2)&gt;YEAR(E19),1,(12-MONTH(E19)+1)/12))))-(IF((((K19)*(IF(M19="",L19,IFERROR(IF(INDEX(Variablen!$I:$AT, MATCH(M19, Variablen!$A:$A, 0), MATCH((YEAR(D19)+2), Variablen!$I$3:$AT$3, 0))="",L19,INDEX(Variablen!$I:$AT, MATCH(M19, Variablen!$A:$A, 0), MATCH((YEAR(D19)+2), Variablen!$I$3:$AT$3, 0))),L19)))*(IF((YEAR(D19)+2)&lt;YEAR(E19),0,IF((YEAR(D19)+2)&gt;YEAR(E19),1,(12-MONTH(E19)+1)/12))) + (Q19)*(IF((YEAR(D19)+2)&lt;YEAR(E19),0,IF((YEAR(D19)+2)&gt;YEAR(E19),1,(12-MONTH(E19)+1)/12))))-((P19)*(IF((YEAR(D19)+2)&lt;YEAR(E19),0,IF((YEAR(D19)+2)&gt;YEAR(E19),1,(12-MONTH(E19)+1)/12))) + (R19)*(IF((YEAR(D19)+2)&lt;YEAR(E19),0,IF((YEAR(D19)+2)&gt;YEAR(E19),1,(12-MONTH(E19)+1)/12))))-(IF(OR(N19="",N19&lt;=0),0,(O19/N19)*(IF(OR(N19="",N19&lt;=0),0,IF((YEAR(D19)+2)&lt;YEAR(E19),0,IF((YEAR(D19)+2)&gt;=YEAR(E19)+N19,0,IF((YEAR(D19)+2)=YEAR(E19),(12-MONTH(E19)+1)/12,1))))))))&gt;0,(((K19)*(IF(M19="",L19,IFERROR(IF(INDEX(Variablen!$I:$AT, MATCH(M19, Variablen!$A:$A, 0), MATCH((YEAR(D19)+2), Variablen!$I$3:$AT$3, 0))="",L19,INDEX(Variablen!$I:$AT, MATCH(M19, Variablen!$A:$A, 0), MATCH((YEAR(D19)+2), Variablen!$I$3:$AT$3, 0))),L19)))*(IF((YEAR(D19)+2)&lt;YEAR(E19),0,IF((YEAR(D19)+2)&gt;YEAR(E19),1,(12-MONTH(E19)+1)/12))) + (Q19)*(IF((YEAR(D19)+2)&lt;YEAR(E19),0,IF((YEAR(D19)+2)&gt;YEAR(E19),1,(12-MONTH(E19)+1)/12))))-((P19)*(IF((YEAR(D19)+2)&lt;YEAR(E19),0,IF((YEAR(D19)+2)&gt;YEAR(E19),1,(12-MONTH(E19)+1)/12))) + (R19)*(IF((YEAR(D19)+2)&lt;YEAR(E19),0,IF((YEAR(D19)+2)&gt;YEAR(E19),1,(12-MONTH(E19)+1)/12))))-(IF(OR(N19="",N19&lt;=0),0,(O19/N19)*(IF(OR(N19="",N19&lt;=0),0,IF((YEAR(D19)+2)&lt;YEAR(E19),0,IF((YEAR(D19)+2)&gt;=YEAR(E19)+N19,0,IF((YEAR(D19)+2)=YEAR(E19),(12-MONTH(E19)+1)/12,1))))))))*TaxRate,0))-IF(2=0,O19,0))</f>
        <v/>
      </c>
      <c r="V19" s="29">
        <f>IF(A19="","",((K19)*(IF(M19="",L19,IFERROR(IF(INDEX(Variablen!$I:$AT, MATCH(M19, Variablen!$A:$A, 0), MATCH((YEAR(D19)+3), Variablen!$I$3:$AT$3, 0))="",L19,INDEX(Variablen!$I:$AT, MATCH(M19, Variablen!$A:$A, 0), MATCH((YEAR(D19)+3), Variablen!$I$3:$AT$3, 0))),L19)))*(IF((YEAR(D19)+3)&lt;YEAR(E19),0,IF((YEAR(D19)+3)&gt;YEAR(E19),1,(12-MONTH(E19)+1)/12))) + (Q19)*(IF((YEAR(D19)+3)&lt;YEAR(E19),0,IF((YEAR(D19)+3)&gt;YEAR(E19),1,(12-MONTH(E19)+1)/12))))-((P19)*(IF((YEAR(D19)+3)&lt;YEAR(E19),0,IF((YEAR(D19)+3)&gt;YEAR(E19),1,(12-MONTH(E19)+1)/12))) + (R19)*(IF((YEAR(D19)+3)&lt;YEAR(E19),0,IF((YEAR(D19)+3)&gt;YEAR(E19),1,(12-MONTH(E19)+1)/12))))-(IF((((K19)*(IF(M19="",L19,IFERROR(IF(INDEX(Variablen!$I:$AT, MATCH(M19, Variablen!$A:$A, 0), MATCH((YEAR(D19)+3), Variablen!$I$3:$AT$3, 0))="",L19,INDEX(Variablen!$I:$AT, MATCH(M19, Variablen!$A:$A, 0), MATCH((YEAR(D19)+3), Variablen!$I$3:$AT$3, 0))),L19)))*(IF((YEAR(D19)+3)&lt;YEAR(E19),0,IF((YEAR(D19)+3)&gt;YEAR(E19),1,(12-MONTH(E19)+1)/12))) + (Q19)*(IF((YEAR(D19)+3)&lt;YEAR(E19),0,IF((YEAR(D19)+3)&gt;YEAR(E19),1,(12-MONTH(E19)+1)/12))))-((P19)*(IF((YEAR(D19)+3)&lt;YEAR(E19),0,IF((YEAR(D19)+3)&gt;YEAR(E19),1,(12-MONTH(E19)+1)/12))) + (R19)*(IF((YEAR(D19)+3)&lt;YEAR(E19),0,IF((YEAR(D19)+3)&gt;YEAR(E19),1,(12-MONTH(E19)+1)/12))))-(IF(OR(N19="",N19&lt;=0),0,(O19/N19)*(IF(OR(N19="",N19&lt;=0),0,IF((YEAR(D19)+3)&lt;YEAR(E19),0,IF((YEAR(D19)+3)&gt;=YEAR(E19)+N19,0,IF((YEAR(D19)+3)=YEAR(E19),(12-MONTH(E19)+1)/12,1))))))))&gt;0,(((K19)*(IF(M19="",L19,IFERROR(IF(INDEX(Variablen!$I:$AT, MATCH(M19, Variablen!$A:$A, 0), MATCH((YEAR(D19)+3), Variablen!$I$3:$AT$3, 0))="",L19,INDEX(Variablen!$I:$AT, MATCH(M19, Variablen!$A:$A, 0), MATCH((YEAR(D19)+3), Variablen!$I$3:$AT$3, 0))),L19)))*(IF((YEAR(D19)+3)&lt;YEAR(E19),0,IF((YEAR(D19)+3)&gt;YEAR(E19),1,(12-MONTH(E19)+1)/12))) + (Q19)*(IF((YEAR(D19)+3)&lt;YEAR(E19),0,IF((YEAR(D19)+3)&gt;YEAR(E19),1,(12-MONTH(E19)+1)/12))))-((P19)*(IF((YEAR(D19)+3)&lt;YEAR(E19),0,IF((YEAR(D19)+3)&gt;YEAR(E19),1,(12-MONTH(E19)+1)/12))) + (R19)*(IF((YEAR(D19)+3)&lt;YEAR(E19),0,IF((YEAR(D19)+3)&gt;YEAR(E19),1,(12-MONTH(E19)+1)/12))))-(IF(OR(N19="",N19&lt;=0),0,(O19/N19)*(IF(OR(N19="",N19&lt;=0),0,IF((YEAR(D19)+3)&lt;YEAR(E19),0,IF((YEAR(D19)+3)&gt;=YEAR(E19)+N19,0,IF((YEAR(D19)+3)=YEAR(E19),(12-MONTH(E19)+1)/12,1))))))))*TaxRate,0))-IF(3=0,O19,0))</f>
        <v/>
      </c>
      <c r="W19" s="29">
        <f>IF(A19="","",((K19)*(IF(M19="",L19,IFERROR(IF(INDEX(Variablen!$I:$AT, MATCH(M19, Variablen!$A:$A, 0), MATCH((YEAR(D19)+4), Variablen!$I$3:$AT$3, 0))="",L19,INDEX(Variablen!$I:$AT, MATCH(M19, Variablen!$A:$A, 0), MATCH((YEAR(D19)+4), Variablen!$I$3:$AT$3, 0))),L19)))*(IF((YEAR(D19)+4)&lt;YEAR(E19),0,IF((YEAR(D19)+4)&gt;YEAR(E19),1,(12-MONTH(E19)+1)/12))) + (Q19)*(IF((YEAR(D19)+4)&lt;YEAR(E19),0,IF((YEAR(D19)+4)&gt;YEAR(E19),1,(12-MONTH(E19)+1)/12))))-((P19)*(IF((YEAR(D19)+4)&lt;YEAR(E19),0,IF((YEAR(D19)+4)&gt;YEAR(E19),1,(12-MONTH(E19)+1)/12))) + (R19)*(IF((YEAR(D19)+4)&lt;YEAR(E19),0,IF((YEAR(D19)+4)&gt;YEAR(E19),1,(12-MONTH(E19)+1)/12))))-(IF((((K19)*(IF(M19="",L19,IFERROR(IF(INDEX(Variablen!$I:$AT, MATCH(M19, Variablen!$A:$A, 0), MATCH((YEAR(D19)+4), Variablen!$I$3:$AT$3, 0))="",L19,INDEX(Variablen!$I:$AT, MATCH(M19, Variablen!$A:$A, 0), MATCH((YEAR(D19)+4), Variablen!$I$3:$AT$3, 0))),L19)))*(IF((YEAR(D19)+4)&lt;YEAR(E19),0,IF((YEAR(D19)+4)&gt;YEAR(E19),1,(12-MONTH(E19)+1)/12))) + (Q19)*(IF((YEAR(D19)+4)&lt;YEAR(E19),0,IF((YEAR(D19)+4)&gt;YEAR(E19),1,(12-MONTH(E19)+1)/12))))-((P19)*(IF((YEAR(D19)+4)&lt;YEAR(E19),0,IF((YEAR(D19)+4)&gt;YEAR(E19),1,(12-MONTH(E19)+1)/12))) + (R19)*(IF((YEAR(D19)+4)&lt;YEAR(E19),0,IF((YEAR(D19)+4)&gt;YEAR(E19),1,(12-MONTH(E19)+1)/12))))-(IF(OR(N19="",N19&lt;=0),0,(O19/N19)*(IF(OR(N19="",N19&lt;=0),0,IF((YEAR(D19)+4)&lt;YEAR(E19),0,IF((YEAR(D19)+4)&gt;=YEAR(E19)+N19,0,IF((YEAR(D19)+4)=YEAR(E19),(12-MONTH(E19)+1)/12,1))))))))&gt;0,(((K19)*(IF(M19="",L19,IFERROR(IF(INDEX(Variablen!$I:$AT, MATCH(M19, Variablen!$A:$A, 0), MATCH((YEAR(D19)+4), Variablen!$I$3:$AT$3, 0))="",L19,INDEX(Variablen!$I:$AT, MATCH(M19, Variablen!$A:$A, 0), MATCH((YEAR(D19)+4), Variablen!$I$3:$AT$3, 0))),L19)))*(IF((YEAR(D19)+4)&lt;YEAR(E19),0,IF((YEAR(D19)+4)&gt;YEAR(E19),1,(12-MONTH(E19)+1)/12))) + (Q19)*(IF((YEAR(D19)+4)&lt;YEAR(E19),0,IF((YEAR(D19)+4)&gt;YEAR(E19),1,(12-MONTH(E19)+1)/12))))-((P19)*(IF((YEAR(D19)+4)&lt;YEAR(E19),0,IF((YEAR(D19)+4)&gt;YEAR(E19),1,(12-MONTH(E19)+1)/12))) + (R19)*(IF((YEAR(D19)+4)&lt;YEAR(E19),0,IF((YEAR(D19)+4)&gt;YEAR(E19),1,(12-MONTH(E19)+1)/12))))-(IF(OR(N19="",N19&lt;=0),0,(O19/N19)*(IF(OR(N19="",N19&lt;=0),0,IF((YEAR(D19)+4)&lt;YEAR(E19),0,IF((YEAR(D19)+4)&gt;=YEAR(E19)+N19,0,IF((YEAR(D19)+4)=YEAR(E19),(12-MONTH(E19)+1)/12,1))))))))*TaxRate,0))-IF(4=0,O19,0))</f>
        <v/>
      </c>
      <c r="X19" s="29">
        <f>IF(A19="","",((K19)*(IF(M19="",L19,IFERROR(IF(INDEX(Variablen!$I:$AT, MATCH(M19, Variablen!$A:$A, 0), MATCH((YEAR(D19)+5), Variablen!$I$3:$AT$3, 0))="",L19,INDEX(Variablen!$I:$AT, MATCH(M19, Variablen!$A:$A, 0), MATCH((YEAR(D19)+5), Variablen!$I$3:$AT$3, 0))),L19)))*(IF((YEAR(D19)+5)&lt;YEAR(E19),0,IF((YEAR(D19)+5)&gt;YEAR(E19),1,(12-MONTH(E19)+1)/12))) + (Q19)*(IF((YEAR(D19)+5)&lt;YEAR(E19),0,IF((YEAR(D19)+5)&gt;YEAR(E19),1,(12-MONTH(E19)+1)/12))))-((P19)*(IF((YEAR(D19)+5)&lt;YEAR(E19),0,IF((YEAR(D19)+5)&gt;YEAR(E19),1,(12-MONTH(E19)+1)/12))) + (R19)*(IF((YEAR(D19)+5)&lt;YEAR(E19),0,IF((YEAR(D19)+5)&gt;YEAR(E19),1,(12-MONTH(E19)+1)/12))))-(IF((((K19)*(IF(M19="",L19,IFERROR(IF(INDEX(Variablen!$I:$AT, MATCH(M19, Variablen!$A:$A, 0), MATCH((YEAR(D19)+5), Variablen!$I$3:$AT$3, 0))="",L19,INDEX(Variablen!$I:$AT, MATCH(M19, Variablen!$A:$A, 0), MATCH((YEAR(D19)+5), Variablen!$I$3:$AT$3, 0))),L19)))*(IF((YEAR(D19)+5)&lt;YEAR(E19),0,IF((YEAR(D19)+5)&gt;YEAR(E19),1,(12-MONTH(E19)+1)/12))) + (Q19)*(IF((YEAR(D19)+5)&lt;YEAR(E19),0,IF((YEAR(D19)+5)&gt;YEAR(E19),1,(12-MONTH(E19)+1)/12))))-((P19)*(IF((YEAR(D19)+5)&lt;YEAR(E19),0,IF((YEAR(D19)+5)&gt;YEAR(E19),1,(12-MONTH(E19)+1)/12))) + (R19)*(IF((YEAR(D19)+5)&lt;YEAR(E19),0,IF((YEAR(D19)+5)&gt;YEAR(E19),1,(12-MONTH(E19)+1)/12))))-(IF(OR(N19="",N19&lt;=0),0,(O19/N19)*(IF(OR(N19="",N19&lt;=0),0,IF((YEAR(D19)+5)&lt;YEAR(E19),0,IF((YEAR(D19)+5)&gt;=YEAR(E19)+N19,0,IF((YEAR(D19)+5)=YEAR(E19),(12-MONTH(E19)+1)/12,1))))))))&gt;0,(((K19)*(IF(M19="",L19,IFERROR(IF(INDEX(Variablen!$I:$AT, MATCH(M19, Variablen!$A:$A, 0), MATCH((YEAR(D19)+5), Variablen!$I$3:$AT$3, 0))="",L19,INDEX(Variablen!$I:$AT, MATCH(M19, Variablen!$A:$A, 0), MATCH((YEAR(D19)+5), Variablen!$I$3:$AT$3, 0))),L19)))*(IF((YEAR(D19)+5)&lt;YEAR(E19),0,IF((YEAR(D19)+5)&gt;YEAR(E19),1,(12-MONTH(E19)+1)/12))) + (Q19)*(IF((YEAR(D19)+5)&lt;YEAR(E19),0,IF((YEAR(D19)+5)&gt;YEAR(E19),1,(12-MONTH(E19)+1)/12))))-((P19)*(IF((YEAR(D19)+5)&lt;YEAR(E19),0,IF((YEAR(D19)+5)&gt;YEAR(E19),1,(12-MONTH(E19)+1)/12))) + (R19)*(IF((YEAR(D19)+5)&lt;YEAR(E19),0,IF((YEAR(D19)+5)&gt;YEAR(E19),1,(12-MONTH(E19)+1)/12))))-(IF(OR(N19="",N19&lt;=0),0,(O19/N19)*(IF(OR(N19="",N19&lt;=0),0,IF((YEAR(D19)+5)&lt;YEAR(E19),0,IF((YEAR(D19)+5)&gt;=YEAR(E19)+N19,0,IF((YEAR(D19)+5)=YEAR(E19),(12-MONTH(E19)+1)/12,1))))))))*TaxRate,0))-IF(5=0,O19,0))</f>
        <v/>
      </c>
      <c r="Y19" s="29">
        <f>IF(A19="","",((K19)*(IF(M19="",L19,IFERROR(IF(INDEX(Variablen!$I:$AT, MATCH(M19, Variablen!$A:$A, 0), MATCH((YEAR(D19)+6), Variablen!$I$3:$AT$3, 0))="",L19,INDEX(Variablen!$I:$AT, MATCH(M19, Variablen!$A:$A, 0), MATCH((YEAR(D19)+6), Variablen!$I$3:$AT$3, 0))),L19)))*(IF((YEAR(D19)+6)&lt;YEAR(E19),0,IF((YEAR(D19)+6)&gt;YEAR(E19),1,(12-MONTH(E19)+1)/12))) + (Q19)*(IF((YEAR(D19)+6)&lt;YEAR(E19),0,IF((YEAR(D19)+6)&gt;YEAR(E19),1,(12-MONTH(E19)+1)/12))))-((P19)*(IF((YEAR(D19)+6)&lt;YEAR(E19),0,IF((YEAR(D19)+6)&gt;YEAR(E19),1,(12-MONTH(E19)+1)/12))) + (R19)*(IF((YEAR(D19)+6)&lt;YEAR(E19),0,IF((YEAR(D19)+6)&gt;YEAR(E19),1,(12-MONTH(E19)+1)/12))))-(IF((((K19)*(IF(M19="",L19,IFERROR(IF(INDEX(Variablen!$I:$AT, MATCH(M19, Variablen!$A:$A, 0), MATCH((YEAR(D19)+6), Variablen!$I$3:$AT$3, 0))="",L19,INDEX(Variablen!$I:$AT, MATCH(M19, Variablen!$A:$A, 0), MATCH((YEAR(D19)+6), Variablen!$I$3:$AT$3, 0))),L19)))*(IF((YEAR(D19)+6)&lt;YEAR(E19),0,IF((YEAR(D19)+6)&gt;YEAR(E19),1,(12-MONTH(E19)+1)/12))) + (Q19)*(IF((YEAR(D19)+6)&lt;YEAR(E19),0,IF((YEAR(D19)+6)&gt;YEAR(E19),1,(12-MONTH(E19)+1)/12))))-((P19)*(IF((YEAR(D19)+6)&lt;YEAR(E19),0,IF((YEAR(D19)+6)&gt;YEAR(E19),1,(12-MONTH(E19)+1)/12))) + (R19)*(IF((YEAR(D19)+6)&lt;YEAR(E19),0,IF((YEAR(D19)+6)&gt;YEAR(E19),1,(12-MONTH(E19)+1)/12))))-(IF(OR(N19="",N19&lt;=0),0,(O19/N19)*(IF(OR(N19="",N19&lt;=0),0,IF((YEAR(D19)+6)&lt;YEAR(E19),0,IF((YEAR(D19)+6)&gt;=YEAR(E19)+N19,0,IF((YEAR(D19)+6)=YEAR(E19),(12-MONTH(E19)+1)/12,1))))))))&gt;0,(((K19)*(IF(M19="",L19,IFERROR(IF(INDEX(Variablen!$I:$AT, MATCH(M19, Variablen!$A:$A, 0), MATCH((YEAR(D19)+6), Variablen!$I$3:$AT$3, 0))="",L19,INDEX(Variablen!$I:$AT, MATCH(M19, Variablen!$A:$A, 0), MATCH((YEAR(D19)+6), Variablen!$I$3:$AT$3, 0))),L19)))*(IF((YEAR(D19)+6)&lt;YEAR(E19),0,IF((YEAR(D19)+6)&gt;YEAR(E19),1,(12-MONTH(E19)+1)/12))) + (Q19)*(IF((YEAR(D19)+6)&lt;YEAR(E19),0,IF((YEAR(D19)+6)&gt;YEAR(E19),1,(12-MONTH(E19)+1)/12))))-((P19)*(IF((YEAR(D19)+6)&lt;YEAR(E19),0,IF((YEAR(D19)+6)&gt;YEAR(E19),1,(12-MONTH(E19)+1)/12))) + (R19)*(IF((YEAR(D19)+6)&lt;YEAR(E19),0,IF((YEAR(D19)+6)&gt;YEAR(E19),1,(12-MONTH(E19)+1)/12))))-(IF(OR(N19="",N19&lt;=0),0,(O19/N19)*(IF(OR(N19="",N19&lt;=0),0,IF((YEAR(D19)+6)&lt;YEAR(E19),0,IF((YEAR(D19)+6)&gt;=YEAR(E19)+N19,0,IF((YEAR(D19)+6)=YEAR(E19),(12-MONTH(E19)+1)/12,1))))))))*TaxRate,0))-IF(6=0,O19,0))</f>
        <v/>
      </c>
      <c r="Z19" s="29">
        <f>IF(A19="","",((K19)*(IF(M19="",L19,IFERROR(IF(INDEX(Variablen!$I:$AT, MATCH(M19, Variablen!$A:$A, 0), MATCH((YEAR(D19)+7), Variablen!$I$3:$AT$3, 0))="",L19,INDEX(Variablen!$I:$AT, MATCH(M19, Variablen!$A:$A, 0), MATCH((YEAR(D19)+7), Variablen!$I$3:$AT$3, 0))),L19)))*(IF((YEAR(D19)+7)&lt;YEAR(E19),0,IF((YEAR(D19)+7)&gt;YEAR(E19),1,(12-MONTH(E19)+1)/12))) + (Q19)*(IF((YEAR(D19)+7)&lt;YEAR(E19),0,IF((YEAR(D19)+7)&gt;YEAR(E19),1,(12-MONTH(E19)+1)/12))))-((P19)*(IF((YEAR(D19)+7)&lt;YEAR(E19),0,IF((YEAR(D19)+7)&gt;YEAR(E19),1,(12-MONTH(E19)+1)/12))) + (R19)*(IF((YEAR(D19)+7)&lt;YEAR(E19),0,IF((YEAR(D19)+7)&gt;YEAR(E19),1,(12-MONTH(E19)+1)/12))))-(IF((((K19)*(IF(M19="",L19,IFERROR(IF(INDEX(Variablen!$I:$AT, MATCH(M19, Variablen!$A:$A, 0), MATCH((YEAR(D19)+7), Variablen!$I$3:$AT$3, 0))="",L19,INDEX(Variablen!$I:$AT, MATCH(M19, Variablen!$A:$A, 0), MATCH((YEAR(D19)+7), Variablen!$I$3:$AT$3, 0))),L19)))*(IF((YEAR(D19)+7)&lt;YEAR(E19),0,IF((YEAR(D19)+7)&gt;YEAR(E19),1,(12-MONTH(E19)+1)/12))) + (Q19)*(IF((YEAR(D19)+7)&lt;YEAR(E19),0,IF((YEAR(D19)+7)&gt;YEAR(E19),1,(12-MONTH(E19)+1)/12))))-((P19)*(IF((YEAR(D19)+7)&lt;YEAR(E19),0,IF((YEAR(D19)+7)&gt;YEAR(E19),1,(12-MONTH(E19)+1)/12))) + (R19)*(IF((YEAR(D19)+7)&lt;YEAR(E19),0,IF((YEAR(D19)+7)&gt;YEAR(E19),1,(12-MONTH(E19)+1)/12))))-(IF(OR(N19="",N19&lt;=0),0,(O19/N19)*(IF(OR(N19="",N19&lt;=0),0,IF((YEAR(D19)+7)&lt;YEAR(E19),0,IF((YEAR(D19)+7)&gt;=YEAR(E19)+N19,0,IF((YEAR(D19)+7)=YEAR(E19),(12-MONTH(E19)+1)/12,1))))))))&gt;0,(((K19)*(IF(M19="",L19,IFERROR(IF(INDEX(Variablen!$I:$AT, MATCH(M19, Variablen!$A:$A, 0), MATCH((YEAR(D19)+7), Variablen!$I$3:$AT$3, 0))="",L19,INDEX(Variablen!$I:$AT, MATCH(M19, Variablen!$A:$A, 0), MATCH((YEAR(D19)+7), Variablen!$I$3:$AT$3, 0))),L19)))*(IF((YEAR(D19)+7)&lt;YEAR(E19),0,IF((YEAR(D19)+7)&gt;YEAR(E19),1,(12-MONTH(E19)+1)/12))) + (Q19)*(IF((YEAR(D19)+7)&lt;YEAR(E19),0,IF((YEAR(D19)+7)&gt;YEAR(E19),1,(12-MONTH(E19)+1)/12))))-((P19)*(IF((YEAR(D19)+7)&lt;YEAR(E19),0,IF((YEAR(D19)+7)&gt;YEAR(E19),1,(12-MONTH(E19)+1)/12))) + (R19)*(IF((YEAR(D19)+7)&lt;YEAR(E19),0,IF((YEAR(D19)+7)&gt;YEAR(E19),1,(12-MONTH(E19)+1)/12))))-(IF(OR(N19="",N19&lt;=0),0,(O19/N19)*(IF(OR(N19="",N19&lt;=0),0,IF((YEAR(D19)+7)&lt;YEAR(E19),0,IF((YEAR(D19)+7)&gt;=YEAR(E19)+N19,0,IF((YEAR(D19)+7)=YEAR(E19),(12-MONTH(E19)+1)/12,1))))))))*TaxRate,0))-IF(7=0,O19,0))</f>
        <v/>
      </c>
      <c r="AA19" s="29">
        <f>IF(A19="","",((K19)*(IF(M19="",L19,IFERROR(IF(INDEX(Variablen!$I:$AT, MATCH(M19, Variablen!$A:$A, 0), MATCH((YEAR(D19)+8), Variablen!$I$3:$AT$3, 0))="",L19,INDEX(Variablen!$I:$AT, MATCH(M19, Variablen!$A:$A, 0), MATCH((YEAR(D19)+8), Variablen!$I$3:$AT$3, 0))),L19)))*(IF((YEAR(D19)+8)&lt;YEAR(E19),0,IF((YEAR(D19)+8)&gt;YEAR(E19),1,(12-MONTH(E19)+1)/12))) + (Q19)*(IF((YEAR(D19)+8)&lt;YEAR(E19),0,IF((YEAR(D19)+8)&gt;YEAR(E19),1,(12-MONTH(E19)+1)/12))))-((P19)*(IF((YEAR(D19)+8)&lt;YEAR(E19),0,IF((YEAR(D19)+8)&gt;YEAR(E19),1,(12-MONTH(E19)+1)/12))) + (R19)*(IF((YEAR(D19)+8)&lt;YEAR(E19),0,IF((YEAR(D19)+8)&gt;YEAR(E19),1,(12-MONTH(E19)+1)/12))))-(IF((((K19)*(IF(M19="",L19,IFERROR(IF(INDEX(Variablen!$I:$AT, MATCH(M19, Variablen!$A:$A, 0), MATCH((YEAR(D19)+8), Variablen!$I$3:$AT$3, 0))="",L19,INDEX(Variablen!$I:$AT, MATCH(M19, Variablen!$A:$A, 0), MATCH((YEAR(D19)+8), Variablen!$I$3:$AT$3, 0))),L19)))*(IF((YEAR(D19)+8)&lt;YEAR(E19),0,IF((YEAR(D19)+8)&gt;YEAR(E19),1,(12-MONTH(E19)+1)/12))) + (Q19)*(IF((YEAR(D19)+8)&lt;YEAR(E19),0,IF((YEAR(D19)+8)&gt;YEAR(E19),1,(12-MONTH(E19)+1)/12))))-((P19)*(IF((YEAR(D19)+8)&lt;YEAR(E19),0,IF((YEAR(D19)+8)&gt;YEAR(E19),1,(12-MONTH(E19)+1)/12))) + (R19)*(IF((YEAR(D19)+8)&lt;YEAR(E19),0,IF((YEAR(D19)+8)&gt;YEAR(E19),1,(12-MONTH(E19)+1)/12))))-(IF(OR(N19="",N19&lt;=0),0,(O19/N19)*(IF(OR(N19="",N19&lt;=0),0,IF((YEAR(D19)+8)&lt;YEAR(E19),0,IF((YEAR(D19)+8)&gt;=YEAR(E19)+N19,0,IF((YEAR(D19)+8)=YEAR(E19),(12-MONTH(E19)+1)/12,1))))))))&gt;0,(((K19)*(IF(M19="",L19,IFERROR(IF(INDEX(Variablen!$I:$AT, MATCH(M19, Variablen!$A:$A, 0), MATCH((YEAR(D19)+8), Variablen!$I$3:$AT$3, 0))="",L19,INDEX(Variablen!$I:$AT, MATCH(M19, Variablen!$A:$A, 0), MATCH((YEAR(D19)+8), Variablen!$I$3:$AT$3, 0))),L19)))*(IF((YEAR(D19)+8)&lt;YEAR(E19),0,IF((YEAR(D19)+8)&gt;YEAR(E19),1,(12-MONTH(E19)+1)/12))) + (Q19)*(IF((YEAR(D19)+8)&lt;YEAR(E19),0,IF((YEAR(D19)+8)&gt;YEAR(E19),1,(12-MONTH(E19)+1)/12))))-((P19)*(IF((YEAR(D19)+8)&lt;YEAR(E19),0,IF((YEAR(D19)+8)&gt;YEAR(E19),1,(12-MONTH(E19)+1)/12))) + (R19)*(IF((YEAR(D19)+8)&lt;YEAR(E19),0,IF((YEAR(D19)+8)&gt;YEAR(E19),1,(12-MONTH(E19)+1)/12))))-(IF(OR(N19="",N19&lt;=0),0,(O19/N19)*(IF(OR(N19="",N19&lt;=0),0,IF((YEAR(D19)+8)&lt;YEAR(E19),0,IF((YEAR(D19)+8)&gt;=YEAR(E19)+N19,0,IF((YEAR(D19)+8)=YEAR(E19),(12-MONTH(E19)+1)/12,1))))))))*TaxRate,0))-IF(8=0,O19,0))</f>
        <v/>
      </c>
      <c r="AB19" s="29">
        <f>IF(A19="","",((K19)*(IF(M19="",L19,IFERROR(IF(INDEX(Variablen!$I:$AT, MATCH(M19, Variablen!$A:$A, 0), MATCH((YEAR(D19)+9), Variablen!$I$3:$AT$3, 0))="",L19,INDEX(Variablen!$I:$AT, MATCH(M19, Variablen!$A:$A, 0), MATCH((YEAR(D19)+9), Variablen!$I$3:$AT$3, 0))),L19)))*(IF((YEAR(D19)+9)&lt;YEAR(E19),0,IF((YEAR(D19)+9)&gt;YEAR(E19),1,(12-MONTH(E19)+1)/12))) + (Q19)*(IF((YEAR(D19)+9)&lt;YEAR(E19),0,IF((YEAR(D19)+9)&gt;YEAR(E19),1,(12-MONTH(E19)+1)/12))))-((P19)*(IF((YEAR(D19)+9)&lt;YEAR(E19),0,IF((YEAR(D19)+9)&gt;YEAR(E19),1,(12-MONTH(E19)+1)/12))) + (R19)*(IF((YEAR(D19)+9)&lt;YEAR(E19),0,IF((YEAR(D19)+9)&gt;YEAR(E19),1,(12-MONTH(E19)+1)/12))))-(IF((((K19)*(IF(M19="",L19,IFERROR(IF(INDEX(Variablen!$I:$AT, MATCH(M19, Variablen!$A:$A, 0), MATCH((YEAR(D19)+9), Variablen!$I$3:$AT$3, 0))="",L19,INDEX(Variablen!$I:$AT, MATCH(M19, Variablen!$A:$A, 0), MATCH((YEAR(D19)+9), Variablen!$I$3:$AT$3, 0))),L19)))*(IF((YEAR(D19)+9)&lt;YEAR(E19),0,IF((YEAR(D19)+9)&gt;YEAR(E19),1,(12-MONTH(E19)+1)/12))) + (Q19)*(IF((YEAR(D19)+9)&lt;YEAR(E19),0,IF((YEAR(D19)+9)&gt;YEAR(E19),1,(12-MONTH(E19)+1)/12))))-((P19)*(IF((YEAR(D19)+9)&lt;YEAR(E19),0,IF((YEAR(D19)+9)&gt;YEAR(E19),1,(12-MONTH(E19)+1)/12))) + (R19)*(IF((YEAR(D19)+9)&lt;YEAR(E19),0,IF((YEAR(D19)+9)&gt;YEAR(E19),1,(12-MONTH(E19)+1)/12))))-(IF(OR(N19="",N19&lt;=0),0,(O19/N19)*(IF(OR(N19="",N19&lt;=0),0,IF((YEAR(D19)+9)&lt;YEAR(E19),0,IF((YEAR(D19)+9)&gt;=YEAR(E19)+N19,0,IF((YEAR(D19)+9)=YEAR(E19),(12-MONTH(E19)+1)/12,1))))))))&gt;0,(((K19)*(IF(M19="",L19,IFERROR(IF(INDEX(Variablen!$I:$AT, MATCH(M19, Variablen!$A:$A, 0), MATCH((YEAR(D19)+9), Variablen!$I$3:$AT$3, 0))="",L19,INDEX(Variablen!$I:$AT, MATCH(M19, Variablen!$A:$A, 0), MATCH((YEAR(D19)+9), Variablen!$I$3:$AT$3, 0))),L19)))*(IF((YEAR(D19)+9)&lt;YEAR(E19),0,IF((YEAR(D19)+9)&gt;YEAR(E19),1,(12-MONTH(E19)+1)/12))) + (Q19)*(IF((YEAR(D19)+9)&lt;YEAR(E19),0,IF((YEAR(D19)+9)&gt;YEAR(E19),1,(12-MONTH(E19)+1)/12))))-((P19)*(IF((YEAR(D19)+9)&lt;YEAR(E19),0,IF((YEAR(D19)+9)&gt;YEAR(E19),1,(12-MONTH(E19)+1)/12))) + (R19)*(IF((YEAR(D19)+9)&lt;YEAR(E19),0,IF((YEAR(D19)+9)&gt;YEAR(E19),1,(12-MONTH(E19)+1)/12))))-(IF(OR(N19="",N19&lt;=0),0,(O19/N19)*(IF(OR(N19="",N19&lt;=0),0,IF((YEAR(D19)+9)&lt;YEAR(E19),0,IF((YEAR(D19)+9)&gt;=YEAR(E19)+N19,0,IF((YEAR(D19)+9)=YEAR(E19),(12-MONTH(E19)+1)/12,1))))))))*TaxRate,0))-IF(9=0,O19,0))</f>
        <v/>
      </c>
      <c r="AC19" s="29">
        <f>IF(A19="","",((K19)*(IF(M19="",L19,IFERROR(IF(INDEX(Variablen!$I:$AT, MATCH(M19, Variablen!$A:$A, 0), MATCH((YEAR(D19)+10), Variablen!$I$3:$AT$3, 0))="",L19,INDEX(Variablen!$I:$AT, MATCH(M19, Variablen!$A:$A, 0), MATCH((YEAR(D19)+10), Variablen!$I$3:$AT$3, 0))),L19)))*(IF((YEAR(D19)+10)&lt;YEAR(E19),0,IF((YEAR(D19)+10)&gt;YEAR(E19),1,(12-MONTH(E19)+1)/12))) + (Q19)*(IF((YEAR(D19)+10)&lt;YEAR(E19),0,IF((YEAR(D19)+10)&gt;YEAR(E19),1,(12-MONTH(E19)+1)/12))))-((P19)*(IF((YEAR(D19)+10)&lt;YEAR(E19),0,IF((YEAR(D19)+10)&gt;YEAR(E19),1,(12-MONTH(E19)+1)/12))) + (R19)*(IF((YEAR(D19)+10)&lt;YEAR(E19),0,IF((YEAR(D19)+10)&gt;YEAR(E19),1,(12-MONTH(E19)+1)/12))))-(IF((((K19)*(IF(M19="",L19,IFERROR(IF(INDEX(Variablen!$I:$AT, MATCH(M19, Variablen!$A:$A, 0), MATCH((YEAR(D19)+10), Variablen!$I$3:$AT$3, 0))="",L19,INDEX(Variablen!$I:$AT, MATCH(M19, Variablen!$A:$A, 0), MATCH((YEAR(D19)+10), Variablen!$I$3:$AT$3, 0))),L19)))*(IF((YEAR(D19)+10)&lt;YEAR(E19),0,IF((YEAR(D19)+10)&gt;YEAR(E19),1,(12-MONTH(E19)+1)/12))) + (Q19)*(IF((YEAR(D19)+10)&lt;YEAR(E19),0,IF((YEAR(D19)+10)&gt;YEAR(E19),1,(12-MONTH(E19)+1)/12))))-((P19)*(IF((YEAR(D19)+10)&lt;YEAR(E19),0,IF((YEAR(D19)+10)&gt;YEAR(E19),1,(12-MONTH(E19)+1)/12))) + (R19)*(IF((YEAR(D19)+10)&lt;YEAR(E19),0,IF((YEAR(D19)+10)&gt;YEAR(E19),1,(12-MONTH(E19)+1)/12))))-(IF(OR(N19="",N19&lt;=0),0,(O19/N19)*(IF(OR(N19="",N19&lt;=0),0,IF((YEAR(D19)+10)&lt;YEAR(E19),0,IF((YEAR(D19)+10)&gt;=YEAR(E19)+N19,0,IF((YEAR(D19)+10)=YEAR(E19),(12-MONTH(E19)+1)/12,1))))))))&gt;0,(((K19)*(IF(M19="",L19,IFERROR(IF(INDEX(Variablen!$I:$AT, MATCH(M19, Variablen!$A:$A, 0), MATCH((YEAR(D19)+10), Variablen!$I$3:$AT$3, 0))="",L19,INDEX(Variablen!$I:$AT, MATCH(M19, Variablen!$A:$A, 0), MATCH((YEAR(D19)+10), Variablen!$I$3:$AT$3, 0))),L19)))*(IF((YEAR(D19)+10)&lt;YEAR(E19),0,IF((YEAR(D19)+10)&gt;YEAR(E19),1,(12-MONTH(E19)+1)/12))) + (Q19)*(IF((YEAR(D19)+10)&lt;YEAR(E19),0,IF((YEAR(D19)+10)&gt;YEAR(E19),1,(12-MONTH(E19)+1)/12))))-((P19)*(IF((YEAR(D19)+10)&lt;YEAR(E19),0,IF((YEAR(D19)+10)&gt;YEAR(E19),1,(12-MONTH(E19)+1)/12))) + (R19)*(IF((YEAR(D19)+10)&lt;YEAR(E19),0,IF((YEAR(D19)+10)&gt;YEAR(E19),1,(12-MONTH(E19)+1)/12))))-(IF(OR(N19="",N19&lt;=0),0,(O19/N19)*(IF(OR(N19="",N19&lt;=0),0,IF((YEAR(D19)+10)&lt;YEAR(E19),0,IF((YEAR(D19)+10)&gt;=YEAR(E19)+N19,0,IF((YEAR(D19)+10)=YEAR(E19),(12-MONTH(E19)+1)/12,1))))))))*TaxRate,0))-IF(10=0,O19,0))</f>
        <v/>
      </c>
      <c r="AD19" s="29">
        <f>IF(A19="","",((K19)*(IF(M19="",L19,IFERROR(IF(INDEX(Variablen!$I:$AT, MATCH(M19, Variablen!$A:$A, 0), MATCH((YEAR(D19)+11), Variablen!$I$3:$AT$3, 0))="",L19,INDEX(Variablen!$I:$AT, MATCH(M19, Variablen!$A:$A, 0), MATCH((YEAR(D19)+11), Variablen!$I$3:$AT$3, 0))),L19)))*(IF((YEAR(D19)+11)&lt;YEAR(E19),0,IF((YEAR(D19)+11)&gt;YEAR(E19),1,(12-MONTH(E19)+1)/12))) + (Q19)*(IF((YEAR(D19)+11)&lt;YEAR(E19),0,IF((YEAR(D19)+11)&gt;YEAR(E19),1,(12-MONTH(E19)+1)/12))))-((P19)*(IF((YEAR(D19)+11)&lt;YEAR(E19),0,IF((YEAR(D19)+11)&gt;YEAR(E19),1,(12-MONTH(E19)+1)/12))) + (R19)*(IF((YEAR(D19)+11)&lt;YEAR(E19),0,IF((YEAR(D19)+11)&gt;YEAR(E19),1,(12-MONTH(E19)+1)/12))))-(IF((((K19)*(IF(M19="",L19,IFERROR(IF(INDEX(Variablen!$I:$AT, MATCH(M19, Variablen!$A:$A, 0), MATCH((YEAR(D19)+11), Variablen!$I$3:$AT$3, 0))="",L19,INDEX(Variablen!$I:$AT, MATCH(M19, Variablen!$A:$A, 0), MATCH((YEAR(D19)+11), Variablen!$I$3:$AT$3, 0))),L19)))*(IF((YEAR(D19)+11)&lt;YEAR(E19),0,IF((YEAR(D19)+11)&gt;YEAR(E19),1,(12-MONTH(E19)+1)/12))) + (Q19)*(IF((YEAR(D19)+11)&lt;YEAR(E19),0,IF((YEAR(D19)+11)&gt;YEAR(E19),1,(12-MONTH(E19)+1)/12))))-((P19)*(IF((YEAR(D19)+11)&lt;YEAR(E19),0,IF((YEAR(D19)+11)&gt;YEAR(E19),1,(12-MONTH(E19)+1)/12))) + (R19)*(IF((YEAR(D19)+11)&lt;YEAR(E19),0,IF((YEAR(D19)+11)&gt;YEAR(E19),1,(12-MONTH(E19)+1)/12))))-(IF(OR(N19="",N19&lt;=0),0,(O19/N19)*(IF(OR(N19="",N19&lt;=0),0,IF((YEAR(D19)+11)&lt;YEAR(E19),0,IF((YEAR(D19)+11)&gt;=YEAR(E19)+N19,0,IF((YEAR(D19)+11)=YEAR(E19),(12-MONTH(E19)+1)/12,1))))))))&gt;0,(((K19)*(IF(M19="",L19,IFERROR(IF(INDEX(Variablen!$I:$AT, MATCH(M19, Variablen!$A:$A, 0), MATCH((YEAR(D19)+11), Variablen!$I$3:$AT$3, 0))="",L19,INDEX(Variablen!$I:$AT, MATCH(M19, Variablen!$A:$A, 0), MATCH((YEAR(D19)+11), Variablen!$I$3:$AT$3, 0))),L19)))*(IF((YEAR(D19)+11)&lt;YEAR(E19),0,IF((YEAR(D19)+11)&gt;YEAR(E19),1,(12-MONTH(E19)+1)/12))) + (Q19)*(IF((YEAR(D19)+11)&lt;YEAR(E19),0,IF((YEAR(D19)+11)&gt;YEAR(E19),1,(12-MONTH(E19)+1)/12))))-((P19)*(IF((YEAR(D19)+11)&lt;YEAR(E19),0,IF((YEAR(D19)+11)&gt;YEAR(E19),1,(12-MONTH(E19)+1)/12))) + (R19)*(IF((YEAR(D19)+11)&lt;YEAR(E19),0,IF((YEAR(D19)+11)&gt;YEAR(E19),1,(12-MONTH(E19)+1)/12))))-(IF(OR(N19="",N19&lt;=0),0,(O19/N19)*(IF(OR(N19="",N19&lt;=0),0,IF((YEAR(D19)+11)&lt;YEAR(E19),0,IF((YEAR(D19)+11)&gt;=YEAR(E19)+N19,0,IF((YEAR(D19)+11)=YEAR(E19),(12-MONTH(E19)+1)/12,1))))))))*TaxRate,0))-IF(11=0,O19,0))</f>
        <v/>
      </c>
      <c r="AE19" s="29">
        <f>IF(A19="","",((K19)*(IF(M19="",L19,IFERROR(IF(INDEX(Variablen!$I:$AT, MATCH(M19, Variablen!$A:$A, 0), MATCH((YEAR(D19)+12), Variablen!$I$3:$AT$3, 0))="",L19,INDEX(Variablen!$I:$AT, MATCH(M19, Variablen!$A:$A, 0), MATCH((YEAR(D19)+12), Variablen!$I$3:$AT$3, 0))),L19)))*(IF((YEAR(D19)+12)&lt;YEAR(E19),0,IF((YEAR(D19)+12)&gt;YEAR(E19),1,(12-MONTH(E19)+1)/12))) + (Q19)*(IF((YEAR(D19)+12)&lt;YEAR(E19),0,IF((YEAR(D19)+12)&gt;YEAR(E19),1,(12-MONTH(E19)+1)/12))))-((P19)*(IF((YEAR(D19)+12)&lt;YEAR(E19),0,IF((YEAR(D19)+12)&gt;YEAR(E19),1,(12-MONTH(E19)+1)/12))) + (R19)*(IF((YEAR(D19)+12)&lt;YEAR(E19),0,IF((YEAR(D19)+12)&gt;YEAR(E19),1,(12-MONTH(E19)+1)/12))))-(IF((((K19)*(IF(M19="",L19,IFERROR(IF(INDEX(Variablen!$I:$AT, MATCH(M19, Variablen!$A:$A, 0), MATCH((YEAR(D19)+12), Variablen!$I$3:$AT$3, 0))="",L19,INDEX(Variablen!$I:$AT, MATCH(M19, Variablen!$A:$A, 0), MATCH((YEAR(D19)+12), Variablen!$I$3:$AT$3, 0))),L19)))*(IF((YEAR(D19)+12)&lt;YEAR(E19),0,IF((YEAR(D19)+12)&gt;YEAR(E19),1,(12-MONTH(E19)+1)/12))) + (Q19)*(IF((YEAR(D19)+12)&lt;YEAR(E19),0,IF((YEAR(D19)+12)&gt;YEAR(E19),1,(12-MONTH(E19)+1)/12))))-((P19)*(IF((YEAR(D19)+12)&lt;YEAR(E19),0,IF((YEAR(D19)+12)&gt;YEAR(E19),1,(12-MONTH(E19)+1)/12))) + (R19)*(IF((YEAR(D19)+12)&lt;YEAR(E19),0,IF((YEAR(D19)+12)&gt;YEAR(E19),1,(12-MONTH(E19)+1)/12))))-(IF(OR(N19="",N19&lt;=0),0,(O19/N19)*(IF(OR(N19="",N19&lt;=0),0,IF((YEAR(D19)+12)&lt;YEAR(E19),0,IF((YEAR(D19)+12)&gt;=YEAR(E19)+N19,0,IF((YEAR(D19)+12)=YEAR(E19),(12-MONTH(E19)+1)/12,1))))))))&gt;0,(((K19)*(IF(M19="",L19,IFERROR(IF(INDEX(Variablen!$I:$AT, MATCH(M19, Variablen!$A:$A, 0), MATCH((YEAR(D19)+12), Variablen!$I$3:$AT$3, 0))="",L19,INDEX(Variablen!$I:$AT, MATCH(M19, Variablen!$A:$A, 0), MATCH((YEAR(D19)+12), Variablen!$I$3:$AT$3, 0))),L19)))*(IF((YEAR(D19)+12)&lt;YEAR(E19),0,IF((YEAR(D19)+12)&gt;YEAR(E19),1,(12-MONTH(E19)+1)/12))) + (Q19)*(IF((YEAR(D19)+12)&lt;YEAR(E19),0,IF((YEAR(D19)+12)&gt;YEAR(E19),1,(12-MONTH(E19)+1)/12))))-((P19)*(IF((YEAR(D19)+12)&lt;YEAR(E19),0,IF((YEAR(D19)+12)&gt;YEAR(E19),1,(12-MONTH(E19)+1)/12))) + (R19)*(IF((YEAR(D19)+12)&lt;YEAR(E19),0,IF((YEAR(D19)+12)&gt;YEAR(E19),1,(12-MONTH(E19)+1)/12))))-(IF(OR(N19="",N19&lt;=0),0,(O19/N19)*(IF(OR(N19="",N19&lt;=0),0,IF((YEAR(D19)+12)&lt;YEAR(E19),0,IF((YEAR(D19)+12)&gt;=YEAR(E19)+N19,0,IF((YEAR(D19)+12)=YEAR(E19),(12-MONTH(E19)+1)/12,1))))))))*TaxRate,0))-IF(12=0,O19,0))</f>
        <v/>
      </c>
      <c r="AF19" s="29">
        <f>IF(A19="","",((K19)*(IF(M19="",L19,IFERROR(IF(INDEX(Variablen!$I:$AT, MATCH(M19, Variablen!$A:$A, 0), MATCH((YEAR(D19)+13), Variablen!$I$3:$AT$3, 0))="",L19,INDEX(Variablen!$I:$AT, MATCH(M19, Variablen!$A:$A, 0), MATCH((YEAR(D19)+13), Variablen!$I$3:$AT$3, 0))),L19)))*(IF((YEAR(D19)+13)&lt;YEAR(E19),0,IF((YEAR(D19)+13)&gt;YEAR(E19),1,(12-MONTH(E19)+1)/12))) + (Q19)*(IF((YEAR(D19)+13)&lt;YEAR(E19),0,IF((YEAR(D19)+13)&gt;YEAR(E19),1,(12-MONTH(E19)+1)/12))))-((P19)*(IF((YEAR(D19)+13)&lt;YEAR(E19),0,IF((YEAR(D19)+13)&gt;YEAR(E19),1,(12-MONTH(E19)+1)/12))) + (R19)*(IF((YEAR(D19)+13)&lt;YEAR(E19),0,IF((YEAR(D19)+13)&gt;YEAR(E19),1,(12-MONTH(E19)+1)/12))))-(IF((((K19)*(IF(M19="",L19,IFERROR(IF(INDEX(Variablen!$I:$AT, MATCH(M19, Variablen!$A:$A, 0), MATCH((YEAR(D19)+13), Variablen!$I$3:$AT$3, 0))="",L19,INDEX(Variablen!$I:$AT, MATCH(M19, Variablen!$A:$A, 0), MATCH((YEAR(D19)+13), Variablen!$I$3:$AT$3, 0))),L19)))*(IF((YEAR(D19)+13)&lt;YEAR(E19),0,IF((YEAR(D19)+13)&gt;YEAR(E19),1,(12-MONTH(E19)+1)/12))) + (Q19)*(IF((YEAR(D19)+13)&lt;YEAR(E19),0,IF((YEAR(D19)+13)&gt;YEAR(E19),1,(12-MONTH(E19)+1)/12))))-((P19)*(IF((YEAR(D19)+13)&lt;YEAR(E19),0,IF((YEAR(D19)+13)&gt;YEAR(E19),1,(12-MONTH(E19)+1)/12))) + (R19)*(IF((YEAR(D19)+13)&lt;YEAR(E19),0,IF((YEAR(D19)+13)&gt;YEAR(E19),1,(12-MONTH(E19)+1)/12))))-(IF(OR(N19="",N19&lt;=0),0,(O19/N19)*(IF(OR(N19="",N19&lt;=0),0,IF((YEAR(D19)+13)&lt;YEAR(E19),0,IF((YEAR(D19)+13)&gt;=YEAR(E19)+N19,0,IF((YEAR(D19)+13)=YEAR(E19),(12-MONTH(E19)+1)/12,1))))))))&gt;0,(((K19)*(IF(M19="",L19,IFERROR(IF(INDEX(Variablen!$I:$AT, MATCH(M19, Variablen!$A:$A, 0), MATCH((YEAR(D19)+13), Variablen!$I$3:$AT$3, 0))="",L19,INDEX(Variablen!$I:$AT, MATCH(M19, Variablen!$A:$A, 0), MATCH((YEAR(D19)+13), Variablen!$I$3:$AT$3, 0))),L19)))*(IF((YEAR(D19)+13)&lt;YEAR(E19),0,IF((YEAR(D19)+13)&gt;YEAR(E19),1,(12-MONTH(E19)+1)/12))) + (Q19)*(IF((YEAR(D19)+13)&lt;YEAR(E19),0,IF((YEAR(D19)+13)&gt;YEAR(E19),1,(12-MONTH(E19)+1)/12))))-((P19)*(IF((YEAR(D19)+13)&lt;YEAR(E19),0,IF((YEAR(D19)+13)&gt;YEAR(E19),1,(12-MONTH(E19)+1)/12))) + (R19)*(IF((YEAR(D19)+13)&lt;YEAR(E19),0,IF((YEAR(D19)+13)&gt;YEAR(E19),1,(12-MONTH(E19)+1)/12))))-(IF(OR(N19="",N19&lt;=0),0,(O19/N19)*(IF(OR(N19="",N19&lt;=0),0,IF((YEAR(D19)+13)&lt;YEAR(E19),0,IF((YEAR(D19)+13)&gt;=YEAR(E19)+N19,0,IF((YEAR(D19)+13)=YEAR(E19),(12-MONTH(E19)+1)/12,1))))))))*TaxRate,0))-IF(13=0,O19,0))</f>
        <v/>
      </c>
      <c r="AG19" s="29">
        <f>IF(A19="","",((K19)*(IF(M19="",L19,IFERROR(IF(INDEX(Variablen!$I:$AT, MATCH(M19, Variablen!$A:$A, 0), MATCH((YEAR(D19)+14), Variablen!$I$3:$AT$3, 0))="",L19,INDEX(Variablen!$I:$AT, MATCH(M19, Variablen!$A:$A, 0), MATCH((YEAR(D19)+14), Variablen!$I$3:$AT$3, 0))),L19)))*(IF((YEAR(D19)+14)&lt;YEAR(E19),0,IF((YEAR(D19)+14)&gt;YEAR(E19),1,(12-MONTH(E19)+1)/12))) + (Q19)*(IF((YEAR(D19)+14)&lt;YEAR(E19),0,IF((YEAR(D19)+14)&gt;YEAR(E19),1,(12-MONTH(E19)+1)/12))))-((P19)*(IF((YEAR(D19)+14)&lt;YEAR(E19),0,IF((YEAR(D19)+14)&gt;YEAR(E19),1,(12-MONTH(E19)+1)/12))) + (R19)*(IF((YEAR(D19)+14)&lt;YEAR(E19),0,IF((YEAR(D19)+14)&gt;YEAR(E19),1,(12-MONTH(E19)+1)/12))))-(IF((((K19)*(IF(M19="",L19,IFERROR(IF(INDEX(Variablen!$I:$AT, MATCH(M19, Variablen!$A:$A, 0), MATCH((YEAR(D19)+14), Variablen!$I$3:$AT$3, 0))="",L19,INDEX(Variablen!$I:$AT, MATCH(M19, Variablen!$A:$A, 0), MATCH((YEAR(D19)+14), Variablen!$I$3:$AT$3, 0))),L19)))*(IF((YEAR(D19)+14)&lt;YEAR(E19),0,IF((YEAR(D19)+14)&gt;YEAR(E19),1,(12-MONTH(E19)+1)/12))) + (Q19)*(IF((YEAR(D19)+14)&lt;YEAR(E19),0,IF((YEAR(D19)+14)&gt;YEAR(E19),1,(12-MONTH(E19)+1)/12))))-((P19)*(IF((YEAR(D19)+14)&lt;YEAR(E19),0,IF((YEAR(D19)+14)&gt;YEAR(E19),1,(12-MONTH(E19)+1)/12))) + (R19)*(IF((YEAR(D19)+14)&lt;YEAR(E19),0,IF((YEAR(D19)+14)&gt;YEAR(E19),1,(12-MONTH(E19)+1)/12))))-(IF(OR(N19="",N19&lt;=0),0,(O19/N19)*(IF(OR(N19="",N19&lt;=0),0,IF((YEAR(D19)+14)&lt;YEAR(E19),0,IF((YEAR(D19)+14)&gt;=YEAR(E19)+N19,0,IF((YEAR(D19)+14)=YEAR(E19),(12-MONTH(E19)+1)/12,1))))))))&gt;0,(((K19)*(IF(M19="",L19,IFERROR(IF(INDEX(Variablen!$I:$AT, MATCH(M19, Variablen!$A:$A, 0), MATCH((YEAR(D19)+14), Variablen!$I$3:$AT$3, 0))="",L19,INDEX(Variablen!$I:$AT, MATCH(M19, Variablen!$A:$A, 0), MATCH((YEAR(D19)+14), Variablen!$I$3:$AT$3, 0))),L19)))*(IF((YEAR(D19)+14)&lt;YEAR(E19),0,IF((YEAR(D19)+14)&gt;YEAR(E19),1,(12-MONTH(E19)+1)/12))) + (Q19)*(IF((YEAR(D19)+14)&lt;YEAR(E19),0,IF((YEAR(D19)+14)&gt;YEAR(E19),1,(12-MONTH(E19)+1)/12))))-((P19)*(IF((YEAR(D19)+14)&lt;YEAR(E19),0,IF((YEAR(D19)+14)&gt;YEAR(E19),1,(12-MONTH(E19)+1)/12))) + (R19)*(IF((YEAR(D19)+14)&lt;YEAR(E19),0,IF((YEAR(D19)+14)&gt;YEAR(E19),1,(12-MONTH(E19)+1)/12))))-(IF(OR(N19="",N19&lt;=0),0,(O19/N19)*(IF(OR(N19="",N19&lt;=0),0,IF((YEAR(D19)+14)&lt;YEAR(E19),0,IF((YEAR(D19)+14)&gt;=YEAR(E19)+N19,0,IF((YEAR(D19)+14)=YEAR(E19),(12-MONTH(E19)+1)/12,1))))))))*TaxRate,0))-IF(14=0,O19,0))</f>
        <v/>
      </c>
      <c r="AH19" s="29">
        <f>IF(A19="","",((K19)*(IF(M19="",L19,IFERROR(IF(INDEX(Variablen!$I:$AT, MATCH(M19, Variablen!$A:$A, 0), MATCH((YEAR(D19)+15), Variablen!$I$3:$AT$3, 0))="",L19,INDEX(Variablen!$I:$AT, MATCH(M19, Variablen!$A:$A, 0), MATCH((YEAR(D19)+15), Variablen!$I$3:$AT$3, 0))),L19)))*(IF((YEAR(D19)+15)&lt;YEAR(E19),0,IF((YEAR(D19)+15)&gt;YEAR(E19),1,(12-MONTH(E19)+1)/12))) + (Q19)*(IF((YEAR(D19)+15)&lt;YEAR(E19),0,IF((YEAR(D19)+15)&gt;YEAR(E19),1,(12-MONTH(E19)+1)/12))))-((P19)*(IF((YEAR(D19)+15)&lt;YEAR(E19),0,IF((YEAR(D19)+15)&gt;YEAR(E19),1,(12-MONTH(E19)+1)/12))) + (R19)*(IF((YEAR(D19)+15)&lt;YEAR(E19),0,IF((YEAR(D19)+15)&gt;YEAR(E19),1,(12-MONTH(E19)+1)/12))))-(IF((((K19)*(IF(M19="",L19,IFERROR(IF(INDEX(Variablen!$I:$AT, MATCH(M19, Variablen!$A:$A, 0), MATCH((YEAR(D19)+15), Variablen!$I$3:$AT$3, 0))="",L19,INDEX(Variablen!$I:$AT, MATCH(M19, Variablen!$A:$A, 0), MATCH((YEAR(D19)+15), Variablen!$I$3:$AT$3, 0))),L19)))*(IF((YEAR(D19)+15)&lt;YEAR(E19),0,IF((YEAR(D19)+15)&gt;YEAR(E19),1,(12-MONTH(E19)+1)/12))) + (Q19)*(IF((YEAR(D19)+15)&lt;YEAR(E19),0,IF((YEAR(D19)+15)&gt;YEAR(E19),1,(12-MONTH(E19)+1)/12))))-((P19)*(IF((YEAR(D19)+15)&lt;YEAR(E19),0,IF((YEAR(D19)+15)&gt;YEAR(E19),1,(12-MONTH(E19)+1)/12))) + (R19)*(IF((YEAR(D19)+15)&lt;YEAR(E19),0,IF((YEAR(D19)+15)&gt;YEAR(E19),1,(12-MONTH(E19)+1)/12))))-(IF(OR(N19="",N19&lt;=0),0,(O19/N19)*(IF(OR(N19="",N19&lt;=0),0,IF((YEAR(D19)+15)&lt;YEAR(E19),0,IF((YEAR(D19)+15)&gt;=YEAR(E19)+N19,0,IF((YEAR(D19)+15)=YEAR(E19),(12-MONTH(E19)+1)/12,1))))))))&gt;0,(((K19)*(IF(M19="",L19,IFERROR(IF(INDEX(Variablen!$I:$AT, MATCH(M19, Variablen!$A:$A, 0), MATCH((YEAR(D19)+15), Variablen!$I$3:$AT$3, 0))="",L19,INDEX(Variablen!$I:$AT, MATCH(M19, Variablen!$A:$A, 0), MATCH((YEAR(D19)+15), Variablen!$I$3:$AT$3, 0))),L19)))*(IF((YEAR(D19)+15)&lt;YEAR(E19),0,IF((YEAR(D19)+15)&gt;YEAR(E19),1,(12-MONTH(E19)+1)/12))) + (Q19)*(IF((YEAR(D19)+15)&lt;YEAR(E19),0,IF((YEAR(D19)+15)&gt;YEAR(E19),1,(12-MONTH(E19)+1)/12))))-((P19)*(IF((YEAR(D19)+15)&lt;YEAR(E19),0,IF((YEAR(D19)+15)&gt;YEAR(E19),1,(12-MONTH(E19)+1)/12))) + (R19)*(IF((YEAR(D19)+15)&lt;YEAR(E19),0,IF((YEAR(D19)+15)&gt;YEAR(E19),1,(12-MONTH(E19)+1)/12))))-(IF(OR(N19="",N19&lt;=0),0,(O19/N19)*(IF(OR(N19="",N19&lt;=0),0,IF((YEAR(D19)+15)&lt;YEAR(E19),0,IF((YEAR(D19)+15)&gt;=YEAR(E19)+N19,0,IF((YEAR(D19)+15)=YEAR(E19),(12-MONTH(E19)+1)/12,1))))))))*TaxRate,0))-IF(15=0,O19,0))</f>
        <v/>
      </c>
      <c r="AI19" s="29">
        <f>IF(A19="","",((K19)*(IF(M19="",L19,IFERROR(IF(INDEX(Variablen!$I:$AT, MATCH(M19, Variablen!$A:$A, 0), MATCH((YEAR(D19)+16), Variablen!$I$3:$AT$3, 0))="",L19,INDEX(Variablen!$I:$AT, MATCH(M19, Variablen!$A:$A, 0), MATCH((YEAR(D19)+16), Variablen!$I$3:$AT$3, 0))),L19)))*(IF((YEAR(D19)+16)&lt;YEAR(E19),0,IF((YEAR(D19)+16)&gt;YEAR(E19),1,(12-MONTH(E19)+1)/12))) + (Q19)*(IF((YEAR(D19)+16)&lt;YEAR(E19),0,IF((YEAR(D19)+16)&gt;YEAR(E19),1,(12-MONTH(E19)+1)/12))))-((P19)*(IF((YEAR(D19)+16)&lt;YEAR(E19),0,IF((YEAR(D19)+16)&gt;YEAR(E19),1,(12-MONTH(E19)+1)/12))) + (R19)*(IF((YEAR(D19)+16)&lt;YEAR(E19),0,IF((YEAR(D19)+16)&gt;YEAR(E19),1,(12-MONTH(E19)+1)/12))))-(IF((((K19)*(IF(M19="",L19,IFERROR(IF(INDEX(Variablen!$I:$AT, MATCH(M19, Variablen!$A:$A, 0), MATCH((YEAR(D19)+16), Variablen!$I$3:$AT$3, 0))="",L19,INDEX(Variablen!$I:$AT, MATCH(M19, Variablen!$A:$A, 0), MATCH((YEAR(D19)+16), Variablen!$I$3:$AT$3, 0))),L19)))*(IF((YEAR(D19)+16)&lt;YEAR(E19),0,IF((YEAR(D19)+16)&gt;YEAR(E19),1,(12-MONTH(E19)+1)/12))) + (Q19)*(IF((YEAR(D19)+16)&lt;YEAR(E19),0,IF((YEAR(D19)+16)&gt;YEAR(E19),1,(12-MONTH(E19)+1)/12))))-((P19)*(IF((YEAR(D19)+16)&lt;YEAR(E19),0,IF((YEAR(D19)+16)&gt;YEAR(E19),1,(12-MONTH(E19)+1)/12))) + (R19)*(IF((YEAR(D19)+16)&lt;YEAR(E19),0,IF((YEAR(D19)+16)&gt;YEAR(E19),1,(12-MONTH(E19)+1)/12))))-(IF(OR(N19="",N19&lt;=0),0,(O19/N19)*(IF(OR(N19="",N19&lt;=0),0,IF((YEAR(D19)+16)&lt;YEAR(E19),0,IF((YEAR(D19)+16)&gt;=YEAR(E19)+N19,0,IF((YEAR(D19)+16)=YEAR(E19),(12-MONTH(E19)+1)/12,1))))))))&gt;0,(((K19)*(IF(M19="",L19,IFERROR(IF(INDEX(Variablen!$I:$AT, MATCH(M19, Variablen!$A:$A, 0), MATCH((YEAR(D19)+16), Variablen!$I$3:$AT$3, 0))="",L19,INDEX(Variablen!$I:$AT, MATCH(M19, Variablen!$A:$A, 0), MATCH((YEAR(D19)+16), Variablen!$I$3:$AT$3, 0))),L19)))*(IF((YEAR(D19)+16)&lt;YEAR(E19),0,IF((YEAR(D19)+16)&gt;YEAR(E19),1,(12-MONTH(E19)+1)/12))) + (Q19)*(IF((YEAR(D19)+16)&lt;YEAR(E19),0,IF((YEAR(D19)+16)&gt;YEAR(E19),1,(12-MONTH(E19)+1)/12))))-((P19)*(IF((YEAR(D19)+16)&lt;YEAR(E19),0,IF((YEAR(D19)+16)&gt;YEAR(E19),1,(12-MONTH(E19)+1)/12))) + (R19)*(IF((YEAR(D19)+16)&lt;YEAR(E19),0,IF((YEAR(D19)+16)&gt;YEAR(E19),1,(12-MONTH(E19)+1)/12))))-(IF(OR(N19="",N19&lt;=0),0,(O19/N19)*(IF(OR(N19="",N19&lt;=0),0,IF((YEAR(D19)+16)&lt;YEAR(E19),0,IF((YEAR(D19)+16)&gt;=YEAR(E19)+N19,0,IF((YEAR(D19)+16)=YEAR(E19),(12-MONTH(E19)+1)/12,1))))))))*TaxRate,0))-IF(16=0,O19,0))</f>
        <v/>
      </c>
      <c r="AJ19" s="29">
        <f>IF(A19="","",((K19)*(IF(M19="",L19,IFERROR(IF(INDEX(Variablen!$I:$AT, MATCH(M19, Variablen!$A:$A, 0), MATCH((YEAR(D19)+17), Variablen!$I$3:$AT$3, 0))="",L19,INDEX(Variablen!$I:$AT, MATCH(M19, Variablen!$A:$A, 0), MATCH((YEAR(D19)+17), Variablen!$I$3:$AT$3, 0))),L19)))*(IF((YEAR(D19)+17)&lt;YEAR(E19),0,IF((YEAR(D19)+17)&gt;YEAR(E19),1,(12-MONTH(E19)+1)/12))) + (Q19)*(IF((YEAR(D19)+17)&lt;YEAR(E19),0,IF((YEAR(D19)+17)&gt;YEAR(E19),1,(12-MONTH(E19)+1)/12))))-((P19)*(IF((YEAR(D19)+17)&lt;YEAR(E19),0,IF((YEAR(D19)+17)&gt;YEAR(E19),1,(12-MONTH(E19)+1)/12))) + (R19)*(IF((YEAR(D19)+17)&lt;YEAR(E19),0,IF((YEAR(D19)+17)&gt;YEAR(E19),1,(12-MONTH(E19)+1)/12))))-(IF((((K19)*(IF(M19="",L19,IFERROR(IF(INDEX(Variablen!$I:$AT, MATCH(M19, Variablen!$A:$A, 0), MATCH((YEAR(D19)+17), Variablen!$I$3:$AT$3, 0))="",L19,INDEX(Variablen!$I:$AT, MATCH(M19, Variablen!$A:$A, 0), MATCH((YEAR(D19)+17), Variablen!$I$3:$AT$3, 0))),L19)))*(IF((YEAR(D19)+17)&lt;YEAR(E19),0,IF((YEAR(D19)+17)&gt;YEAR(E19),1,(12-MONTH(E19)+1)/12))) + (Q19)*(IF((YEAR(D19)+17)&lt;YEAR(E19),0,IF((YEAR(D19)+17)&gt;YEAR(E19),1,(12-MONTH(E19)+1)/12))))-((P19)*(IF((YEAR(D19)+17)&lt;YEAR(E19),0,IF((YEAR(D19)+17)&gt;YEAR(E19),1,(12-MONTH(E19)+1)/12))) + (R19)*(IF((YEAR(D19)+17)&lt;YEAR(E19),0,IF((YEAR(D19)+17)&gt;YEAR(E19),1,(12-MONTH(E19)+1)/12))))-(IF(OR(N19="",N19&lt;=0),0,(O19/N19)*(IF(OR(N19="",N19&lt;=0),0,IF((YEAR(D19)+17)&lt;YEAR(E19),0,IF((YEAR(D19)+17)&gt;=YEAR(E19)+N19,0,IF((YEAR(D19)+17)=YEAR(E19),(12-MONTH(E19)+1)/12,1))))))))&gt;0,(((K19)*(IF(M19="",L19,IFERROR(IF(INDEX(Variablen!$I:$AT, MATCH(M19, Variablen!$A:$A, 0), MATCH((YEAR(D19)+17), Variablen!$I$3:$AT$3, 0))="",L19,INDEX(Variablen!$I:$AT, MATCH(M19, Variablen!$A:$A, 0), MATCH((YEAR(D19)+17), Variablen!$I$3:$AT$3, 0))),L19)))*(IF((YEAR(D19)+17)&lt;YEAR(E19),0,IF((YEAR(D19)+17)&gt;YEAR(E19),1,(12-MONTH(E19)+1)/12))) + (Q19)*(IF((YEAR(D19)+17)&lt;YEAR(E19),0,IF((YEAR(D19)+17)&gt;YEAR(E19),1,(12-MONTH(E19)+1)/12))))-((P19)*(IF((YEAR(D19)+17)&lt;YEAR(E19),0,IF((YEAR(D19)+17)&gt;YEAR(E19),1,(12-MONTH(E19)+1)/12))) + (R19)*(IF((YEAR(D19)+17)&lt;YEAR(E19),0,IF((YEAR(D19)+17)&gt;YEAR(E19),1,(12-MONTH(E19)+1)/12))))-(IF(OR(N19="",N19&lt;=0),0,(O19/N19)*(IF(OR(N19="",N19&lt;=0),0,IF((YEAR(D19)+17)&lt;YEAR(E19),0,IF((YEAR(D19)+17)&gt;=YEAR(E19)+N19,0,IF((YEAR(D19)+17)=YEAR(E19),(12-MONTH(E19)+1)/12,1))))))))*TaxRate,0))-IF(17=0,O19,0))</f>
        <v/>
      </c>
      <c r="AK19" s="29">
        <f>IF(A19="","",((K19)*(IF(M19="",L19,IFERROR(IF(INDEX(Variablen!$I:$AT, MATCH(M19, Variablen!$A:$A, 0), MATCH((YEAR(D19)+18), Variablen!$I$3:$AT$3, 0))="",L19,INDEX(Variablen!$I:$AT, MATCH(M19, Variablen!$A:$A, 0), MATCH((YEAR(D19)+18), Variablen!$I$3:$AT$3, 0))),L19)))*(IF((YEAR(D19)+18)&lt;YEAR(E19),0,IF((YEAR(D19)+18)&gt;YEAR(E19),1,(12-MONTH(E19)+1)/12))) + (Q19)*(IF((YEAR(D19)+18)&lt;YEAR(E19),0,IF((YEAR(D19)+18)&gt;YEAR(E19),1,(12-MONTH(E19)+1)/12))))-((P19)*(IF((YEAR(D19)+18)&lt;YEAR(E19),0,IF((YEAR(D19)+18)&gt;YEAR(E19),1,(12-MONTH(E19)+1)/12))) + (R19)*(IF((YEAR(D19)+18)&lt;YEAR(E19),0,IF((YEAR(D19)+18)&gt;YEAR(E19),1,(12-MONTH(E19)+1)/12))))-(IF((((K19)*(IF(M19="",L19,IFERROR(IF(INDEX(Variablen!$I:$AT, MATCH(M19, Variablen!$A:$A, 0), MATCH((YEAR(D19)+18), Variablen!$I$3:$AT$3, 0))="",L19,INDEX(Variablen!$I:$AT, MATCH(M19, Variablen!$A:$A, 0), MATCH((YEAR(D19)+18), Variablen!$I$3:$AT$3, 0))),L19)))*(IF((YEAR(D19)+18)&lt;YEAR(E19),0,IF((YEAR(D19)+18)&gt;YEAR(E19),1,(12-MONTH(E19)+1)/12))) + (Q19)*(IF((YEAR(D19)+18)&lt;YEAR(E19),0,IF((YEAR(D19)+18)&gt;YEAR(E19),1,(12-MONTH(E19)+1)/12))))-((P19)*(IF((YEAR(D19)+18)&lt;YEAR(E19),0,IF((YEAR(D19)+18)&gt;YEAR(E19),1,(12-MONTH(E19)+1)/12))) + (R19)*(IF((YEAR(D19)+18)&lt;YEAR(E19),0,IF((YEAR(D19)+18)&gt;YEAR(E19),1,(12-MONTH(E19)+1)/12))))-(IF(OR(N19="",N19&lt;=0),0,(O19/N19)*(IF(OR(N19="",N19&lt;=0),0,IF((YEAR(D19)+18)&lt;YEAR(E19),0,IF((YEAR(D19)+18)&gt;=YEAR(E19)+N19,0,IF((YEAR(D19)+18)=YEAR(E19),(12-MONTH(E19)+1)/12,1))))))))&gt;0,(((K19)*(IF(M19="",L19,IFERROR(IF(INDEX(Variablen!$I:$AT, MATCH(M19, Variablen!$A:$A, 0), MATCH((YEAR(D19)+18), Variablen!$I$3:$AT$3, 0))="",L19,INDEX(Variablen!$I:$AT, MATCH(M19, Variablen!$A:$A, 0), MATCH((YEAR(D19)+18), Variablen!$I$3:$AT$3, 0))),L19)))*(IF((YEAR(D19)+18)&lt;YEAR(E19),0,IF((YEAR(D19)+18)&gt;YEAR(E19),1,(12-MONTH(E19)+1)/12))) + (Q19)*(IF((YEAR(D19)+18)&lt;YEAR(E19),0,IF((YEAR(D19)+18)&gt;YEAR(E19),1,(12-MONTH(E19)+1)/12))))-((P19)*(IF((YEAR(D19)+18)&lt;YEAR(E19),0,IF((YEAR(D19)+18)&gt;YEAR(E19),1,(12-MONTH(E19)+1)/12))) + (R19)*(IF((YEAR(D19)+18)&lt;YEAR(E19),0,IF((YEAR(D19)+18)&gt;YEAR(E19),1,(12-MONTH(E19)+1)/12))))-(IF(OR(N19="",N19&lt;=0),0,(O19/N19)*(IF(OR(N19="",N19&lt;=0),0,IF((YEAR(D19)+18)&lt;YEAR(E19),0,IF((YEAR(D19)+18)&gt;=YEAR(E19)+N19,0,IF((YEAR(D19)+18)=YEAR(E19),(12-MONTH(E19)+1)/12,1))))))))*TaxRate,0))-IF(18=0,O19,0))</f>
        <v/>
      </c>
      <c r="AL19" s="29">
        <f>IF(A19="","",((K19)*(IF(M19="",L19,IFERROR(IF(INDEX(Variablen!$I:$AT, MATCH(M19, Variablen!$A:$A, 0), MATCH((YEAR(D19)+19), Variablen!$I$3:$AT$3, 0))="",L19,INDEX(Variablen!$I:$AT, MATCH(M19, Variablen!$A:$A, 0), MATCH((YEAR(D19)+19), Variablen!$I$3:$AT$3, 0))),L19)))*(IF((YEAR(D19)+19)&lt;YEAR(E19),0,IF((YEAR(D19)+19)&gt;YEAR(E19),1,(12-MONTH(E19)+1)/12))) + (Q19)*(IF((YEAR(D19)+19)&lt;YEAR(E19),0,IF((YEAR(D19)+19)&gt;YEAR(E19),1,(12-MONTH(E19)+1)/12))))-((P19)*(IF((YEAR(D19)+19)&lt;YEAR(E19),0,IF((YEAR(D19)+19)&gt;YEAR(E19),1,(12-MONTH(E19)+1)/12))) + (R19)*(IF((YEAR(D19)+19)&lt;YEAR(E19),0,IF((YEAR(D19)+19)&gt;YEAR(E19),1,(12-MONTH(E19)+1)/12))))-(IF((((K19)*(IF(M19="",L19,IFERROR(IF(INDEX(Variablen!$I:$AT, MATCH(M19, Variablen!$A:$A, 0), MATCH((YEAR(D19)+19), Variablen!$I$3:$AT$3, 0))="",L19,INDEX(Variablen!$I:$AT, MATCH(M19, Variablen!$A:$A, 0), MATCH((YEAR(D19)+19), Variablen!$I$3:$AT$3, 0))),L19)))*(IF((YEAR(D19)+19)&lt;YEAR(E19),0,IF((YEAR(D19)+19)&gt;YEAR(E19),1,(12-MONTH(E19)+1)/12))) + (Q19)*(IF((YEAR(D19)+19)&lt;YEAR(E19),0,IF((YEAR(D19)+19)&gt;YEAR(E19),1,(12-MONTH(E19)+1)/12))))-((P19)*(IF((YEAR(D19)+19)&lt;YEAR(E19),0,IF((YEAR(D19)+19)&gt;YEAR(E19),1,(12-MONTH(E19)+1)/12))) + (R19)*(IF((YEAR(D19)+19)&lt;YEAR(E19),0,IF((YEAR(D19)+19)&gt;YEAR(E19),1,(12-MONTH(E19)+1)/12))))-(IF(OR(N19="",N19&lt;=0),0,(O19/N19)*(IF(OR(N19="",N19&lt;=0),0,IF((YEAR(D19)+19)&lt;YEAR(E19),0,IF((YEAR(D19)+19)&gt;=YEAR(E19)+N19,0,IF((YEAR(D19)+19)=YEAR(E19),(12-MONTH(E19)+1)/12,1))))))))&gt;0,(((K19)*(IF(M19="",L19,IFERROR(IF(INDEX(Variablen!$I:$AT, MATCH(M19, Variablen!$A:$A, 0), MATCH((YEAR(D19)+19), Variablen!$I$3:$AT$3, 0))="",L19,INDEX(Variablen!$I:$AT, MATCH(M19, Variablen!$A:$A, 0), MATCH((YEAR(D19)+19), Variablen!$I$3:$AT$3, 0))),L19)))*(IF((YEAR(D19)+19)&lt;YEAR(E19),0,IF((YEAR(D19)+19)&gt;YEAR(E19),1,(12-MONTH(E19)+1)/12))) + (Q19)*(IF((YEAR(D19)+19)&lt;YEAR(E19),0,IF((YEAR(D19)+19)&gt;YEAR(E19),1,(12-MONTH(E19)+1)/12))))-((P19)*(IF((YEAR(D19)+19)&lt;YEAR(E19),0,IF((YEAR(D19)+19)&gt;YEAR(E19),1,(12-MONTH(E19)+1)/12))) + (R19)*(IF((YEAR(D19)+19)&lt;YEAR(E19),0,IF((YEAR(D19)+19)&gt;YEAR(E19),1,(12-MONTH(E19)+1)/12))))-(IF(OR(N19="",N19&lt;=0),0,(O19/N19)*(IF(OR(N19="",N19&lt;=0),0,IF((YEAR(D19)+19)&lt;YEAR(E19),0,IF((YEAR(D19)+19)&gt;=YEAR(E19)+N19,0,IF((YEAR(D19)+19)=YEAR(E19),(12-MONTH(E19)+1)/12,1))))))))*TaxRate,0))-IF(19=0,O19,0))</f>
        <v/>
      </c>
      <c r="AM19" s="29">
        <f>IF(A19="","",((K19)*(IF(M19="",L19,IFERROR(IF(INDEX(Variablen!$I:$AT, MATCH(M19, Variablen!$A:$A, 0), MATCH((YEAR(D19)+20), Variablen!$I$3:$AT$3, 0))="",L19,INDEX(Variablen!$I:$AT, MATCH(M19, Variablen!$A:$A, 0), MATCH((YEAR(D19)+20), Variablen!$I$3:$AT$3, 0))),L19)))*(IF((YEAR(D19)+20)&lt;YEAR(E19),0,IF((YEAR(D19)+20)&gt;YEAR(E19),1,(12-MONTH(E19)+1)/12))) + (Q19)*(IF((YEAR(D19)+20)&lt;YEAR(E19),0,IF((YEAR(D19)+20)&gt;YEAR(E19),1,(12-MONTH(E19)+1)/12))))-((P19)*(IF((YEAR(D19)+20)&lt;YEAR(E19),0,IF((YEAR(D19)+20)&gt;YEAR(E19),1,(12-MONTH(E19)+1)/12))) + (R19)*(IF((YEAR(D19)+20)&lt;YEAR(E19),0,IF((YEAR(D19)+20)&gt;YEAR(E19),1,(12-MONTH(E19)+1)/12))))-(IF((((K19)*(IF(M19="",L19,IFERROR(IF(INDEX(Variablen!$I:$AT, MATCH(M19, Variablen!$A:$A, 0), MATCH((YEAR(D19)+20), Variablen!$I$3:$AT$3, 0))="",L19,INDEX(Variablen!$I:$AT, MATCH(M19, Variablen!$A:$A, 0), MATCH((YEAR(D19)+20), Variablen!$I$3:$AT$3, 0))),L19)))*(IF((YEAR(D19)+20)&lt;YEAR(E19),0,IF((YEAR(D19)+20)&gt;YEAR(E19),1,(12-MONTH(E19)+1)/12))) + (Q19)*(IF((YEAR(D19)+20)&lt;YEAR(E19),0,IF((YEAR(D19)+20)&gt;YEAR(E19),1,(12-MONTH(E19)+1)/12))))-((P19)*(IF((YEAR(D19)+20)&lt;YEAR(E19),0,IF((YEAR(D19)+20)&gt;YEAR(E19),1,(12-MONTH(E19)+1)/12))) + (R19)*(IF((YEAR(D19)+20)&lt;YEAR(E19),0,IF((YEAR(D19)+20)&gt;YEAR(E19),1,(12-MONTH(E19)+1)/12))))-(IF(OR(N19="",N19&lt;=0),0,(O19/N19)*(IF(OR(N19="",N19&lt;=0),0,IF((YEAR(D19)+20)&lt;YEAR(E19),0,IF((YEAR(D19)+20)&gt;=YEAR(E19)+N19,0,IF((YEAR(D19)+20)=YEAR(E19),(12-MONTH(E19)+1)/12,1))))))))&gt;0,(((K19)*(IF(M19="",L19,IFERROR(IF(INDEX(Variablen!$I:$AT, MATCH(M19, Variablen!$A:$A, 0), MATCH((YEAR(D19)+20), Variablen!$I$3:$AT$3, 0))="",L19,INDEX(Variablen!$I:$AT, MATCH(M19, Variablen!$A:$A, 0), MATCH((YEAR(D19)+20), Variablen!$I$3:$AT$3, 0))),L19)))*(IF((YEAR(D19)+20)&lt;YEAR(E19),0,IF((YEAR(D19)+20)&gt;YEAR(E19),1,(12-MONTH(E19)+1)/12))) + (Q19)*(IF((YEAR(D19)+20)&lt;YEAR(E19),0,IF((YEAR(D19)+20)&gt;YEAR(E19),1,(12-MONTH(E19)+1)/12))))-((P19)*(IF((YEAR(D19)+20)&lt;YEAR(E19),0,IF((YEAR(D19)+20)&gt;YEAR(E19),1,(12-MONTH(E19)+1)/12))) + (R19)*(IF((YEAR(D19)+20)&lt;YEAR(E19),0,IF((YEAR(D19)+20)&gt;YEAR(E19),1,(12-MONTH(E19)+1)/12))))-(IF(OR(N19="",N19&lt;=0),0,(O19/N19)*(IF(OR(N19="",N19&lt;=0),0,IF((YEAR(D19)+20)&lt;YEAR(E19),0,IF((YEAR(D19)+20)&gt;=YEAR(E19)+N19,0,IF((YEAR(D19)+20)=YEAR(E19),(12-MONTH(E19)+1)/12,1))))))))*TaxRate,0))-IF(20=0,O19,0))</f>
        <v/>
      </c>
      <c r="AN19" s="29">
        <f>IF(A19="","",S19)</f>
        <v/>
      </c>
      <c r="AO19" s="29">
        <f>IF(A19="","",AN19+T19)</f>
        <v/>
      </c>
      <c r="AP19" s="29">
        <f>IF(A19="","",AO19+U19)</f>
        <v/>
      </c>
      <c r="AQ19" s="29">
        <f>IF(A19="","",AP19+V19)</f>
        <v/>
      </c>
      <c r="AR19" s="29">
        <f>IF(A19="","",AQ19+W19)</f>
        <v/>
      </c>
      <c r="AS19" s="29">
        <f>IF(A19="","",AR19+X19)</f>
        <v/>
      </c>
      <c r="AT19" s="29">
        <f>IF(A19="","",AS19+Y19)</f>
        <v/>
      </c>
      <c r="AU19" s="29">
        <f>IF(A19="","",AT19+Z19)</f>
        <v/>
      </c>
      <c r="AV19" s="29">
        <f>IF(A19="","",AU19+AA19)</f>
        <v/>
      </c>
      <c r="AW19" s="29">
        <f>IF(A19="","",AV19+AB19)</f>
        <v/>
      </c>
      <c r="AX19" s="29">
        <f>IF(A19="","",AW19+AC19)</f>
        <v/>
      </c>
      <c r="AY19" s="29">
        <f>IF(A19="","",AX19+AD19)</f>
        <v/>
      </c>
      <c r="AZ19" s="29">
        <f>IF(A19="","",AY19+AE19)</f>
        <v/>
      </c>
      <c r="BA19" s="29">
        <f>IF(A19="","",AZ19+AF19)</f>
        <v/>
      </c>
      <c r="BB19" s="29">
        <f>IF(A19="","",BA19+AG19)</f>
        <v/>
      </c>
      <c r="BC19" s="29">
        <f>IF(A19="","",BB19+AH19)</f>
        <v/>
      </c>
      <c r="BD19" s="29">
        <f>IF(A19="","",BC19+AI19)</f>
        <v/>
      </c>
      <c r="BE19" s="29">
        <f>IF(A19="","",BD19+AJ19)</f>
        <v/>
      </c>
      <c r="BF19" s="29">
        <f>IF(A19="","",BE19+AK19)</f>
        <v/>
      </c>
      <c r="BG19" s="29">
        <f>IF(A19="","",BF19+AL19)</f>
        <v/>
      </c>
      <c r="BH19" s="29">
        <f>IF(A19="","",BG19+AM19)</f>
        <v/>
      </c>
      <c r="BI19" s="36">
        <f>IF(A19="","",(K19)*(IF((YEAR(D19)+0)&lt;YEAR(E19),0,IF((YEAR(D19)+0)&gt;YEAR(E19),1,(12-MONTH(E19)+1)/12)))*(1/(1+DiscountRate)^0))</f>
        <v/>
      </c>
      <c r="BJ19" s="36">
        <f>IF(A19="","",(K19)*(IF((YEAR(D19)+1)&lt;YEAR(E19),0,IF((YEAR(D19)+1)&gt;YEAR(E19),1,(12-MONTH(E19)+1)/12)))*(1/(1+DiscountRate)^1))</f>
        <v/>
      </c>
      <c r="BK19" s="36">
        <f>IF(A19="","",(K19)*(IF((YEAR(D19)+2)&lt;YEAR(E19),0,IF((YEAR(D19)+2)&gt;YEAR(E19),1,(12-MONTH(E19)+1)/12)))*(1/(1+DiscountRate)^2))</f>
        <v/>
      </c>
      <c r="BL19" s="36">
        <f>IF(A19="","",(K19)*(IF((YEAR(D19)+3)&lt;YEAR(E19),0,IF((YEAR(D19)+3)&gt;YEAR(E19),1,(12-MONTH(E19)+1)/12)))*(1/(1+DiscountRate)^3))</f>
        <v/>
      </c>
      <c r="BM19" s="36">
        <f>IF(A19="","",(K19)*(IF((YEAR(D19)+4)&lt;YEAR(E19),0,IF((YEAR(D19)+4)&gt;YEAR(E19),1,(12-MONTH(E19)+1)/12)))*(1/(1+DiscountRate)^4))</f>
        <v/>
      </c>
      <c r="BN19" s="36">
        <f>IF(A19="","",(K19)*(IF((YEAR(D19)+5)&lt;YEAR(E19),0,IF((YEAR(D19)+5)&gt;YEAR(E19),1,(12-MONTH(E19)+1)/12)))*(1/(1+DiscountRate)^5))</f>
        <v/>
      </c>
      <c r="BO19" s="36">
        <f>IF(A19="","",(K19)*(IF((YEAR(D19)+6)&lt;YEAR(E19),0,IF((YEAR(D19)+6)&gt;YEAR(E19),1,(12-MONTH(E19)+1)/12)))*(1/(1+DiscountRate)^6))</f>
        <v/>
      </c>
      <c r="BP19" s="36">
        <f>IF(A19="","",(K19)*(IF((YEAR(D19)+7)&lt;YEAR(E19),0,IF((YEAR(D19)+7)&gt;YEAR(E19),1,(12-MONTH(E19)+1)/12)))*(1/(1+DiscountRate)^7))</f>
        <v/>
      </c>
      <c r="BQ19" s="36">
        <f>IF(A19="","",(K19)*(IF((YEAR(D19)+8)&lt;YEAR(E19),0,IF((YEAR(D19)+8)&gt;YEAR(E19),1,(12-MONTH(E19)+1)/12)))*(1/(1+DiscountRate)^8))</f>
        <v/>
      </c>
      <c r="BR19" s="36">
        <f>IF(A19="","",(K19)*(IF((YEAR(D19)+9)&lt;YEAR(E19),0,IF((YEAR(D19)+9)&gt;YEAR(E19),1,(12-MONTH(E19)+1)/12)))*(1/(1+DiscountRate)^9))</f>
        <v/>
      </c>
      <c r="BS19" s="36">
        <f>IF(A19="","",(K19)*(IF((YEAR(D19)+10)&lt;YEAR(E19),0,IF((YEAR(D19)+10)&gt;YEAR(E19),1,(12-MONTH(E19)+1)/12)))*(1/(1+DiscountRate)^10))</f>
        <v/>
      </c>
      <c r="BT19" s="36">
        <f>IF(A19="","",(K19)*(IF((YEAR(D19)+11)&lt;YEAR(E19),0,IF((YEAR(D19)+11)&gt;YEAR(E19),1,(12-MONTH(E19)+1)/12)))*(1/(1+DiscountRate)^11))</f>
        <v/>
      </c>
      <c r="BU19" s="36">
        <f>IF(A19="","",(K19)*(IF((YEAR(D19)+12)&lt;YEAR(E19),0,IF((YEAR(D19)+12)&gt;YEAR(E19),1,(12-MONTH(E19)+1)/12)))*(1/(1+DiscountRate)^12))</f>
        <v/>
      </c>
      <c r="BV19" s="36">
        <f>IF(A19="","",(K19)*(IF((YEAR(D19)+13)&lt;YEAR(E19),0,IF((YEAR(D19)+13)&gt;YEAR(E19),1,(12-MONTH(E19)+1)/12)))*(1/(1+DiscountRate)^13))</f>
        <v/>
      </c>
      <c r="BW19" s="36">
        <f>IF(A19="","",(K19)*(IF((YEAR(D19)+14)&lt;YEAR(E19),0,IF((YEAR(D19)+14)&gt;YEAR(E19),1,(12-MONTH(E19)+1)/12)))*(1/(1+DiscountRate)^14))</f>
        <v/>
      </c>
      <c r="BX19" s="36">
        <f>IF(A19="","",(K19)*(IF((YEAR(D19)+15)&lt;YEAR(E19),0,IF((YEAR(D19)+15)&gt;YEAR(E19),1,(12-MONTH(E19)+1)/12)))*(1/(1+DiscountRate)^15))</f>
        <v/>
      </c>
      <c r="BY19" s="36">
        <f>IF(A19="","",(K19)*(IF((YEAR(D19)+16)&lt;YEAR(E19),0,IF((YEAR(D19)+16)&gt;YEAR(E19),1,(12-MONTH(E19)+1)/12)))*(1/(1+DiscountRate)^16))</f>
        <v/>
      </c>
      <c r="BZ19" s="36">
        <f>IF(A19="","",(K19)*(IF((YEAR(D19)+17)&lt;YEAR(E19),0,IF((YEAR(D19)+17)&gt;YEAR(E19),1,(12-MONTH(E19)+1)/12)))*(1/(1+DiscountRate)^17))</f>
        <v/>
      </c>
      <c r="CA19" s="36">
        <f>IF(A19="","",(K19)*(IF((YEAR(D19)+18)&lt;YEAR(E19),0,IF((YEAR(D19)+18)&gt;YEAR(E19),1,(12-MONTH(E19)+1)/12)))*(1/(1+DiscountRate)^18))</f>
        <v/>
      </c>
      <c r="CB19" s="36">
        <f>IF(A19="","",(K19)*(IF((YEAR(D19)+19)&lt;YEAR(E19),0,IF((YEAR(D19)+19)&gt;YEAR(E19),1,(12-MONTH(E19)+1)/12)))*(1/(1+DiscountRate)^19))</f>
        <v/>
      </c>
      <c r="CC19" s="36">
        <f>IF(A19="","",(K19)*(IF((YEAR(D19)+20)&lt;YEAR(E19),0,IF((YEAR(D19)+20)&gt;YEAR(E19),1,(12-MONTH(E19)+1)/12)))*(1/(1+DiscountRate)^20))</f>
        <v/>
      </c>
      <c r="CD19" s="29">
        <f>IF(A19="","",S19/(1+DiscountRate)^0+T19/(1+DiscountRate)^1+U19/(1+DiscountRate)^2+V19/(1+DiscountRate)^3+W19/(1+DiscountRate)^4+X19/(1+DiscountRate)^5+Y19/(1+DiscountRate)^6+Z19/(1+DiscountRate)^7+AA19/(1+DiscountRate)^8+AB19/(1+DiscountRate)^9+AC19/(1+DiscountRate)^10+AD19/(1+DiscountRate)^11+AE19/(1+DiscountRate)^12+AF19/(1+DiscountRate)^13+AG19/(1+DiscountRate)^14+AH19/(1+DiscountRate)^15+AI19/(1+DiscountRate)^16+AJ19/(1+DiscountRate)^17+AK19/(1+DiscountRate)^18+AL19/(1+DiscountRate)^19+AM19/(1+DiscountRate)^20)</f>
        <v/>
      </c>
      <c r="CE19" s="37">
        <f>IF(A19="","",IFERROR(IRR(OFFSET(S19,0,0,1,MIN(HorizonYears,20)+1)),"n/a"))</f>
        <v/>
      </c>
      <c r="CF19" s="28">
        <f>IF(A19="","",IFERROR(MATCH(TRUE,OFFSET(AN19,0,0,1,MIN(HorizonYears,20)+1)&gt;=0,0)-1,"n/a"))</f>
        <v/>
      </c>
      <c r="CG19" s="36">
        <f>IF(A19="","",SUM(OFFSET(BI19,0,0,1,MIN(HorizonYears,20)+1)))</f>
        <v/>
      </c>
      <c r="CH19" s="36">
        <f>IF(A19="","",IFERROR(-CD19/CG19,"n/a"))</f>
        <v/>
      </c>
    </row>
    <row r="20">
      <c r="A20" s="6">
        <f>Actions!A18</f>
        <v/>
      </c>
      <c r="B20" s="6">
        <f>Actions!B18</f>
        <v/>
      </c>
      <c r="C20" s="6">
        <f>Actions!D18</f>
        <v/>
      </c>
      <c r="D20" s="35">
        <f>Actions!E18</f>
        <v/>
      </c>
      <c r="E20" s="35">
        <f>Actions!F18</f>
        <v/>
      </c>
      <c r="F20" s="6">
        <f>Actions!G18</f>
        <v/>
      </c>
      <c r="G20" s="6">
        <f>Actions!H18</f>
        <v/>
      </c>
      <c r="H20" s="29">
        <f>Actions!I18</f>
        <v/>
      </c>
      <c r="I20" s="6">
        <f>Actions!J18</f>
        <v/>
      </c>
      <c r="J20" s="16">
        <f>Actions!K18</f>
        <v/>
      </c>
      <c r="K20" s="16">
        <f>IF(A20="","",IF(I20="%",H20*J20,J20))</f>
        <v/>
      </c>
      <c r="L20" s="16">
        <f>Actions!L18</f>
        <v/>
      </c>
      <c r="M20" s="6">
        <f>Actions!M18</f>
        <v/>
      </c>
      <c r="N20" s="28">
        <f>Actions!N18</f>
        <v/>
      </c>
      <c r="O20" s="29">
        <f>Actions!T18</f>
        <v/>
      </c>
      <c r="P20" s="29">
        <f>Actions!Y18</f>
        <v/>
      </c>
      <c r="Q20" s="29">
        <f>Actions!Z18</f>
        <v/>
      </c>
      <c r="R20" s="29">
        <f>Actions!AA18</f>
        <v/>
      </c>
      <c r="S20" s="29">
        <f>IF(A20="","",((K20)*(IF(M20="",L20,IFERROR(IF(INDEX(Variablen!$I:$AT, MATCH(M20, Variablen!$A:$A, 0), MATCH((YEAR(D20)+0), Variablen!$I$3:$AT$3, 0))="",L20,INDEX(Variablen!$I:$AT, MATCH(M20, Variablen!$A:$A, 0), MATCH((YEAR(D20)+0), Variablen!$I$3:$AT$3, 0))),L20)))*(IF((YEAR(D20)+0)&lt;YEAR(E20),0,IF((YEAR(D20)+0)&gt;YEAR(E20),1,(12-MONTH(E20)+1)/12))) + (Q20)*(IF((YEAR(D20)+0)&lt;YEAR(E20),0,IF((YEAR(D20)+0)&gt;YEAR(E20),1,(12-MONTH(E20)+1)/12))))-((P20)*(IF((YEAR(D20)+0)&lt;YEAR(E20),0,IF((YEAR(D20)+0)&gt;YEAR(E20),1,(12-MONTH(E20)+1)/12))) + (R20)*(IF((YEAR(D20)+0)&lt;YEAR(E20),0,IF((YEAR(D20)+0)&gt;YEAR(E20),1,(12-MONTH(E20)+1)/12))))-(IF((((K20)*(IF(M20="",L20,IFERROR(IF(INDEX(Variablen!$I:$AT, MATCH(M20, Variablen!$A:$A, 0), MATCH((YEAR(D20)+0), Variablen!$I$3:$AT$3, 0))="",L20,INDEX(Variablen!$I:$AT, MATCH(M20, Variablen!$A:$A, 0), MATCH((YEAR(D20)+0), Variablen!$I$3:$AT$3, 0))),L20)))*(IF((YEAR(D20)+0)&lt;YEAR(E20),0,IF((YEAR(D20)+0)&gt;YEAR(E20),1,(12-MONTH(E20)+1)/12))) + (Q20)*(IF((YEAR(D20)+0)&lt;YEAR(E20),0,IF((YEAR(D20)+0)&gt;YEAR(E20),1,(12-MONTH(E20)+1)/12))))-((P20)*(IF((YEAR(D20)+0)&lt;YEAR(E20),0,IF((YEAR(D20)+0)&gt;YEAR(E20),1,(12-MONTH(E20)+1)/12))) + (R20)*(IF((YEAR(D20)+0)&lt;YEAR(E20),0,IF((YEAR(D20)+0)&gt;YEAR(E20),1,(12-MONTH(E20)+1)/12))))-(IF(OR(N20="",N20&lt;=0),0,(O20/N20)*(IF(OR(N20="",N20&lt;=0),0,IF((YEAR(D20)+0)&lt;YEAR(E20),0,IF((YEAR(D20)+0)&gt;=YEAR(E20)+N20,0,IF((YEAR(D20)+0)=YEAR(E20),(12-MONTH(E20)+1)/12,1))))))))&gt;0,(((K20)*(IF(M20="",L20,IFERROR(IF(INDEX(Variablen!$I:$AT, MATCH(M20, Variablen!$A:$A, 0), MATCH((YEAR(D20)+0), Variablen!$I$3:$AT$3, 0))="",L20,INDEX(Variablen!$I:$AT, MATCH(M20, Variablen!$A:$A, 0), MATCH((YEAR(D20)+0), Variablen!$I$3:$AT$3, 0))),L20)))*(IF((YEAR(D20)+0)&lt;YEAR(E20),0,IF((YEAR(D20)+0)&gt;YEAR(E20),1,(12-MONTH(E20)+1)/12))) + (Q20)*(IF((YEAR(D20)+0)&lt;YEAR(E20),0,IF((YEAR(D20)+0)&gt;YEAR(E20),1,(12-MONTH(E20)+1)/12))))-((P20)*(IF((YEAR(D20)+0)&lt;YEAR(E20),0,IF((YEAR(D20)+0)&gt;YEAR(E20),1,(12-MONTH(E20)+1)/12))) + (R20)*(IF((YEAR(D20)+0)&lt;YEAR(E20),0,IF((YEAR(D20)+0)&gt;YEAR(E20),1,(12-MONTH(E20)+1)/12))))-(IF(OR(N20="",N20&lt;=0),0,(O20/N20)*(IF(OR(N20="",N20&lt;=0),0,IF((YEAR(D20)+0)&lt;YEAR(E20),0,IF((YEAR(D20)+0)&gt;=YEAR(E20)+N20,0,IF((YEAR(D20)+0)=YEAR(E20),(12-MONTH(E20)+1)/12,1))))))))*TaxRate,0))-IF(0=0,O20,0))</f>
        <v/>
      </c>
      <c r="T20" s="29">
        <f>IF(A20="","",((K20)*(IF(M20="",L20,IFERROR(IF(INDEX(Variablen!$I:$AT, MATCH(M20, Variablen!$A:$A, 0), MATCH((YEAR(D20)+1), Variablen!$I$3:$AT$3, 0))="",L20,INDEX(Variablen!$I:$AT, MATCH(M20, Variablen!$A:$A, 0), MATCH((YEAR(D20)+1), Variablen!$I$3:$AT$3, 0))),L20)))*(IF((YEAR(D20)+1)&lt;YEAR(E20),0,IF((YEAR(D20)+1)&gt;YEAR(E20),1,(12-MONTH(E20)+1)/12))) + (Q20)*(IF((YEAR(D20)+1)&lt;YEAR(E20),0,IF((YEAR(D20)+1)&gt;YEAR(E20),1,(12-MONTH(E20)+1)/12))))-((P20)*(IF((YEAR(D20)+1)&lt;YEAR(E20),0,IF((YEAR(D20)+1)&gt;YEAR(E20),1,(12-MONTH(E20)+1)/12))) + (R20)*(IF((YEAR(D20)+1)&lt;YEAR(E20),0,IF((YEAR(D20)+1)&gt;YEAR(E20),1,(12-MONTH(E20)+1)/12))))-(IF((((K20)*(IF(M20="",L20,IFERROR(IF(INDEX(Variablen!$I:$AT, MATCH(M20, Variablen!$A:$A, 0), MATCH((YEAR(D20)+1), Variablen!$I$3:$AT$3, 0))="",L20,INDEX(Variablen!$I:$AT, MATCH(M20, Variablen!$A:$A, 0), MATCH((YEAR(D20)+1), Variablen!$I$3:$AT$3, 0))),L20)))*(IF((YEAR(D20)+1)&lt;YEAR(E20),0,IF((YEAR(D20)+1)&gt;YEAR(E20),1,(12-MONTH(E20)+1)/12))) + (Q20)*(IF((YEAR(D20)+1)&lt;YEAR(E20),0,IF((YEAR(D20)+1)&gt;YEAR(E20),1,(12-MONTH(E20)+1)/12))))-((P20)*(IF((YEAR(D20)+1)&lt;YEAR(E20),0,IF((YEAR(D20)+1)&gt;YEAR(E20),1,(12-MONTH(E20)+1)/12))) + (R20)*(IF((YEAR(D20)+1)&lt;YEAR(E20),0,IF((YEAR(D20)+1)&gt;YEAR(E20),1,(12-MONTH(E20)+1)/12))))-(IF(OR(N20="",N20&lt;=0),0,(O20/N20)*(IF(OR(N20="",N20&lt;=0),0,IF((YEAR(D20)+1)&lt;YEAR(E20),0,IF((YEAR(D20)+1)&gt;=YEAR(E20)+N20,0,IF((YEAR(D20)+1)=YEAR(E20),(12-MONTH(E20)+1)/12,1))))))))&gt;0,(((K20)*(IF(M20="",L20,IFERROR(IF(INDEX(Variablen!$I:$AT, MATCH(M20, Variablen!$A:$A, 0), MATCH((YEAR(D20)+1), Variablen!$I$3:$AT$3, 0))="",L20,INDEX(Variablen!$I:$AT, MATCH(M20, Variablen!$A:$A, 0), MATCH((YEAR(D20)+1), Variablen!$I$3:$AT$3, 0))),L20)))*(IF((YEAR(D20)+1)&lt;YEAR(E20),0,IF((YEAR(D20)+1)&gt;YEAR(E20),1,(12-MONTH(E20)+1)/12))) + (Q20)*(IF((YEAR(D20)+1)&lt;YEAR(E20),0,IF((YEAR(D20)+1)&gt;YEAR(E20),1,(12-MONTH(E20)+1)/12))))-((P20)*(IF((YEAR(D20)+1)&lt;YEAR(E20),0,IF((YEAR(D20)+1)&gt;YEAR(E20),1,(12-MONTH(E20)+1)/12))) + (R20)*(IF((YEAR(D20)+1)&lt;YEAR(E20),0,IF((YEAR(D20)+1)&gt;YEAR(E20),1,(12-MONTH(E20)+1)/12))))-(IF(OR(N20="",N20&lt;=0),0,(O20/N20)*(IF(OR(N20="",N20&lt;=0),0,IF((YEAR(D20)+1)&lt;YEAR(E20),0,IF((YEAR(D20)+1)&gt;=YEAR(E20)+N20,0,IF((YEAR(D20)+1)=YEAR(E20),(12-MONTH(E20)+1)/12,1))))))))*TaxRate,0))-IF(1=0,O20,0))</f>
        <v/>
      </c>
      <c r="U20" s="29">
        <f>IF(A20="","",((K20)*(IF(M20="",L20,IFERROR(IF(INDEX(Variablen!$I:$AT, MATCH(M20, Variablen!$A:$A, 0), MATCH((YEAR(D20)+2), Variablen!$I$3:$AT$3, 0))="",L20,INDEX(Variablen!$I:$AT, MATCH(M20, Variablen!$A:$A, 0), MATCH((YEAR(D20)+2), Variablen!$I$3:$AT$3, 0))),L20)))*(IF((YEAR(D20)+2)&lt;YEAR(E20),0,IF((YEAR(D20)+2)&gt;YEAR(E20),1,(12-MONTH(E20)+1)/12))) + (Q20)*(IF((YEAR(D20)+2)&lt;YEAR(E20),0,IF((YEAR(D20)+2)&gt;YEAR(E20),1,(12-MONTH(E20)+1)/12))))-((P20)*(IF((YEAR(D20)+2)&lt;YEAR(E20),0,IF((YEAR(D20)+2)&gt;YEAR(E20),1,(12-MONTH(E20)+1)/12))) + (R20)*(IF((YEAR(D20)+2)&lt;YEAR(E20),0,IF((YEAR(D20)+2)&gt;YEAR(E20),1,(12-MONTH(E20)+1)/12))))-(IF((((K20)*(IF(M20="",L20,IFERROR(IF(INDEX(Variablen!$I:$AT, MATCH(M20, Variablen!$A:$A, 0), MATCH((YEAR(D20)+2), Variablen!$I$3:$AT$3, 0))="",L20,INDEX(Variablen!$I:$AT, MATCH(M20, Variablen!$A:$A, 0), MATCH((YEAR(D20)+2), Variablen!$I$3:$AT$3, 0))),L20)))*(IF((YEAR(D20)+2)&lt;YEAR(E20),0,IF((YEAR(D20)+2)&gt;YEAR(E20),1,(12-MONTH(E20)+1)/12))) + (Q20)*(IF((YEAR(D20)+2)&lt;YEAR(E20),0,IF((YEAR(D20)+2)&gt;YEAR(E20),1,(12-MONTH(E20)+1)/12))))-((P20)*(IF((YEAR(D20)+2)&lt;YEAR(E20),0,IF((YEAR(D20)+2)&gt;YEAR(E20),1,(12-MONTH(E20)+1)/12))) + (R20)*(IF((YEAR(D20)+2)&lt;YEAR(E20),0,IF((YEAR(D20)+2)&gt;YEAR(E20),1,(12-MONTH(E20)+1)/12))))-(IF(OR(N20="",N20&lt;=0),0,(O20/N20)*(IF(OR(N20="",N20&lt;=0),0,IF((YEAR(D20)+2)&lt;YEAR(E20),0,IF((YEAR(D20)+2)&gt;=YEAR(E20)+N20,0,IF((YEAR(D20)+2)=YEAR(E20),(12-MONTH(E20)+1)/12,1))))))))&gt;0,(((K20)*(IF(M20="",L20,IFERROR(IF(INDEX(Variablen!$I:$AT, MATCH(M20, Variablen!$A:$A, 0), MATCH((YEAR(D20)+2), Variablen!$I$3:$AT$3, 0))="",L20,INDEX(Variablen!$I:$AT, MATCH(M20, Variablen!$A:$A, 0), MATCH((YEAR(D20)+2), Variablen!$I$3:$AT$3, 0))),L20)))*(IF((YEAR(D20)+2)&lt;YEAR(E20),0,IF((YEAR(D20)+2)&gt;YEAR(E20),1,(12-MONTH(E20)+1)/12))) + (Q20)*(IF((YEAR(D20)+2)&lt;YEAR(E20),0,IF((YEAR(D20)+2)&gt;YEAR(E20),1,(12-MONTH(E20)+1)/12))))-((P20)*(IF((YEAR(D20)+2)&lt;YEAR(E20),0,IF((YEAR(D20)+2)&gt;YEAR(E20),1,(12-MONTH(E20)+1)/12))) + (R20)*(IF((YEAR(D20)+2)&lt;YEAR(E20),0,IF((YEAR(D20)+2)&gt;YEAR(E20),1,(12-MONTH(E20)+1)/12))))-(IF(OR(N20="",N20&lt;=0),0,(O20/N20)*(IF(OR(N20="",N20&lt;=0),0,IF((YEAR(D20)+2)&lt;YEAR(E20),0,IF((YEAR(D20)+2)&gt;=YEAR(E20)+N20,0,IF((YEAR(D20)+2)=YEAR(E20),(12-MONTH(E20)+1)/12,1))))))))*TaxRate,0))-IF(2=0,O20,0))</f>
        <v/>
      </c>
      <c r="V20" s="29">
        <f>IF(A20="","",((K20)*(IF(M20="",L20,IFERROR(IF(INDEX(Variablen!$I:$AT, MATCH(M20, Variablen!$A:$A, 0), MATCH((YEAR(D20)+3), Variablen!$I$3:$AT$3, 0))="",L20,INDEX(Variablen!$I:$AT, MATCH(M20, Variablen!$A:$A, 0), MATCH((YEAR(D20)+3), Variablen!$I$3:$AT$3, 0))),L20)))*(IF((YEAR(D20)+3)&lt;YEAR(E20),0,IF((YEAR(D20)+3)&gt;YEAR(E20),1,(12-MONTH(E20)+1)/12))) + (Q20)*(IF((YEAR(D20)+3)&lt;YEAR(E20),0,IF((YEAR(D20)+3)&gt;YEAR(E20),1,(12-MONTH(E20)+1)/12))))-((P20)*(IF((YEAR(D20)+3)&lt;YEAR(E20),0,IF((YEAR(D20)+3)&gt;YEAR(E20),1,(12-MONTH(E20)+1)/12))) + (R20)*(IF((YEAR(D20)+3)&lt;YEAR(E20),0,IF((YEAR(D20)+3)&gt;YEAR(E20),1,(12-MONTH(E20)+1)/12))))-(IF((((K20)*(IF(M20="",L20,IFERROR(IF(INDEX(Variablen!$I:$AT, MATCH(M20, Variablen!$A:$A, 0), MATCH((YEAR(D20)+3), Variablen!$I$3:$AT$3, 0))="",L20,INDEX(Variablen!$I:$AT, MATCH(M20, Variablen!$A:$A, 0), MATCH((YEAR(D20)+3), Variablen!$I$3:$AT$3, 0))),L20)))*(IF((YEAR(D20)+3)&lt;YEAR(E20),0,IF((YEAR(D20)+3)&gt;YEAR(E20),1,(12-MONTH(E20)+1)/12))) + (Q20)*(IF((YEAR(D20)+3)&lt;YEAR(E20),0,IF((YEAR(D20)+3)&gt;YEAR(E20),1,(12-MONTH(E20)+1)/12))))-((P20)*(IF((YEAR(D20)+3)&lt;YEAR(E20),0,IF((YEAR(D20)+3)&gt;YEAR(E20),1,(12-MONTH(E20)+1)/12))) + (R20)*(IF((YEAR(D20)+3)&lt;YEAR(E20),0,IF((YEAR(D20)+3)&gt;YEAR(E20),1,(12-MONTH(E20)+1)/12))))-(IF(OR(N20="",N20&lt;=0),0,(O20/N20)*(IF(OR(N20="",N20&lt;=0),0,IF((YEAR(D20)+3)&lt;YEAR(E20),0,IF((YEAR(D20)+3)&gt;=YEAR(E20)+N20,0,IF((YEAR(D20)+3)=YEAR(E20),(12-MONTH(E20)+1)/12,1))))))))&gt;0,(((K20)*(IF(M20="",L20,IFERROR(IF(INDEX(Variablen!$I:$AT, MATCH(M20, Variablen!$A:$A, 0), MATCH((YEAR(D20)+3), Variablen!$I$3:$AT$3, 0))="",L20,INDEX(Variablen!$I:$AT, MATCH(M20, Variablen!$A:$A, 0), MATCH((YEAR(D20)+3), Variablen!$I$3:$AT$3, 0))),L20)))*(IF((YEAR(D20)+3)&lt;YEAR(E20),0,IF((YEAR(D20)+3)&gt;YEAR(E20),1,(12-MONTH(E20)+1)/12))) + (Q20)*(IF((YEAR(D20)+3)&lt;YEAR(E20),0,IF((YEAR(D20)+3)&gt;YEAR(E20),1,(12-MONTH(E20)+1)/12))))-((P20)*(IF((YEAR(D20)+3)&lt;YEAR(E20),0,IF((YEAR(D20)+3)&gt;YEAR(E20),1,(12-MONTH(E20)+1)/12))) + (R20)*(IF((YEAR(D20)+3)&lt;YEAR(E20),0,IF((YEAR(D20)+3)&gt;YEAR(E20),1,(12-MONTH(E20)+1)/12))))-(IF(OR(N20="",N20&lt;=0),0,(O20/N20)*(IF(OR(N20="",N20&lt;=0),0,IF((YEAR(D20)+3)&lt;YEAR(E20),0,IF((YEAR(D20)+3)&gt;=YEAR(E20)+N20,0,IF((YEAR(D20)+3)=YEAR(E20),(12-MONTH(E20)+1)/12,1))))))))*TaxRate,0))-IF(3=0,O20,0))</f>
        <v/>
      </c>
      <c r="W20" s="29">
        <f>IF(A20="","",((K20)*(IF(M20="",L20,IFERROR(IF(INDEX(Variablen!$I:$AT, MATCH(M20, Variablen!$A:$A, 0), MATCH((YEAR(D20)+4), Variablen!$I$3:$AT$3, 0))="",L20,INDEX(Variablen!$I:$AT, MATCH(M20, Variablen!$A:$A, 0), MATCH((YEAR(D20)+4), Variablen!$I$3:$AT$3, 0))),L20)))*(IF((YEAR(D20)+4)&lt;YEAR(E20),0,IF((YEAR(D20)+4)&gt;YEAR(E20),1,(12-MONTH(E20)+1)/12))) + (Q20)*(IF((YEAR(D20)+4)&lt;YEAR(E20),0,IF((YEAR(D20)+4)&gt;YEAR(E20),1,(12-MONTH(E20)+1)/12))))-((P20)*(IF((YEAR(D20)+4)&lt;YEAR(E20),0,IF((YEAR(D20)+4)&gt;YEAR(E20),1,(12-MONTH(E20)+1)/12))) + (R20)*(IF((YEAR(D20)+4)&lt;YEAR(E20),0,IF((YEAR(D20)+4)&gt;YEAR(E20),1,(12-MONTH(E20)+1)/12))))-(IF((((K20)*(IF(M20="",L20,IFERROR(IF(INDEX(Variablen!$I:$AT, MATCH(M20, Variablen!$A:$A, 0), MATCH((YEAR(D20)+4), Variablen!$I$3:$AT$3, 0))="",L20,INDEX(Variablen!$I:$AT, MATCH(M20, Variablen!$A:$A, 0), MATCH((YEAR(D20)+4), Variablen!$I$3:$AT$3, 0))),L20)))*(IF((YEAR(D20)+4)&lt;YEAR(E20),0,IF((YEAR(D20)+4)&gt;YEAR(E20),1,(12-MONTH(E20)+1)/12))) + (Q20)*(IF((YEAR(D20)+4)&lt;YEAR(E20),0,IF((YEAR(D20)+4)&gt;YEAR(E20),1,(12-MONTH(E20)+1)/12))))-((P20)*(IF((YEAR(D20)+4)&lt;YEAR(E20),0,IF((YEAR(D20)+4)&gt;YEAR(E20),1,(12-MONTH(E20)+1)/12))) + (R20)*(IF((YEAR(D20)+4)&lt;YEAR(E20),0,IF((YEAR(D20)+4)&gt;YEAR(E20),1,(12-MONTH(E20)+1)/12))))-(IF(OR(N20="",N20&lt;=0),0,(O20/N20)*(IF(OR(N20="",N20&lt;=0),0,IF((YEAR(D20)+4)&lt;YEAR(E20),0,IF((YEAR(D20)+4)&gt;=YEAR(E20)+N20,0,IF((YEAR(D20)+4)=YEAR(E20),(12-MONTH(E20)+1)/12,1))))))))&gt;0,(((K20)*(IF(M20="",L20,IFERROR(IF(INDEX(Variablen!$I:$AT, MATCH(M20, Variablen!$A:$A, 0), MATCH((YEAR(D20)+4), Variablen!$I$3:$AT$3, 0))="",L20,INDEX(Variablen!$I:$AT, MATCH(M20, Variablen!$A:$A, 0), MATCH((YEAR(D20)+4), Variablen!$I$3:$AT$3, 0))),L20)))*(IF((YEAR(D20)+4)&lt;YEAR(E20),0,IF((YEAR(D20)+4)&gt;YEAR(E20),1,(12-MONTH(E20)+1)/12))) + (Q20)*(IF((YEAR(D20)+4)&lt;YEAR(E20),0,IF((YEAR(D20)+4)&gt;YEAR(E20),1,(12-MONTH(E20)+1)/12))))-((P20)*(IF((YEAR(D20)+4)&lt;YEAR(E20),0,IF((YEAR(D20)+4)&gt;YEAR(E20),1,(12-MONTH(E20)+1)/12))) + (R20)*(IF((YEAR(D20)+4)&lt;YEAR(E20),0,IF((YEAR(D20)+4)&gt;YEAR(E20),1,(12-MONTH(E20)+1)/12))))-(IF(OR(N20="",N20&lt;=0),0,(O20/N20)*(IF(OR(N20="",N20&lt;=0),0,IF((YEAR(D20)+4)&lt;YEAR(E20),0,IF((YEAR(D20)+4)&gt;=YEAR(E20)+N20,0,IF((YEAR(D20)+4)=YEAR(E20),(12-MONTH(E20)+1)/12,1))))))))*TaxRate,0))-IF(4=0,O20,0))</f>
        <v/>
      </c>
      <c r="X20" s="29">
        <f>IF(A20="","",((K20)*(IF(M20="",L20,IFERROR(IF(INDEX(Variablen!$I:$AT, MATCH(M20, Variablen!$A:$A, 0), MATCH((YEAR(D20)+5), Variablen!$I$3:$AT$3, 0))="",L20,INDEX(Variablen!$I:$AT, MATCH(M20, Variablen!$A:$A, 0), MATCH((YEAR(D20)+5), Variablen!$I$3:$AT$3, 0))),L20)))*(IF((YEAR(D20)+5)&lt;YEAR(E20),0,IF((YEAR(D20)+5)&gt;YEAR(E20),1,(12-MONTH(E20)+1)/12))) + (Q20)*(IF((YEAR(D20)+5)&lt;YEAR(E20),0,IF((YEAR(D20)+5)&gt;YEAR(E20),1,(12-MONTH(E20)+1)/12))))-((P20)*(IF((YEAR(D20)+5)&lt;YEAR(E20),0,IF((YEAR(D20)+5)&gt;YEAR(E20),1,(12-MONTH(E20)+1)/12))) + (R20)*(IF((YEAR(D20)+5)&lt;YEAR(E20),0,IF((YEAR(D20)+5)&gt;YEAR(E20),1,(12-MONTH(E20)+1)/12))))-(IF((((K20)*(IF(M20="",L20,IFERROR(IF(INDEX(Variablen!$I:$AT, MATCH(M20, Variablen!$A:$A, 0), MATCH((YEAR(D20)+5), Variablen!$I$3:$AT$3, 0))="",L20,INDEX(Variablen!$I:$AT, MATCH(M20, Variablen!$A:$A, 0), MATCH((YEAR(D20)+5), Variablen!$I$3:$AT$3, 0))),L20)))*(IF((YEAR(D20)+5)&lt;YEAR(E20),0,IF((YEAR(D20)+5)&gt;YEAR(E20),1,(12-MONTH(E20)+1)/12))) + (Q20)*(IF((YEAR(D20)+5)&lt;YEAR(E20),0,IF((YEAR(D20)+5)&gt;YEAR(E20),1,(12-MONTH(E20)+1)/12))))-((P20)*(IF((YEAR(D20)+5)&lt;YEAR(E20),0,IF((YEAR(D20)+5)&gt;YEAR(E20),1,(12-MONTH(E20)+1)/12))) + (R20)*(IF((YEAR(D20)+5)&lt;YEAR(E20),0,IF((YEAR(D20)+5)&gt;YEAR(E20),1,(12-MONTH(E20)+1)/12))))-(IF(OR(N20="",N20&lt;=0),0,(O20/N20)*(IF(OR(N20="",N20&lt;=0),0,IF((YEAR(D20)+5)&lt;YEAR(E20),0,IF((YEAR(D20)+5)&gt;=YEAR(E20)+N20,0,IF((YEAR(D20)+5)=YEAR(E20),(12-MONTH(E20)+1)/12,1))))))))&gt;0,(((K20)*(IF(M20="",L20,IFERROR(IF(INDEX(Variablen!$I:$AT, MATCH(M20, Variablen!$A:$A, 0), MATCH((YEAR(D20)+5), Variablen!$I$3:$AT$3, 0))="",L20,INDEX(Variablen!$I:$AT, MATCH(M20, Variablen!$A:$A, 0), MATCH((YEAR(D20)+5), Variablen!$I$3:$AT$3, 0))),L20)))*(IF((YEAR(D20)+5)&lt;YEAR(E20),0,IF((YEAR(D20)+5)&gt;YEAR(E20),1,(12-MONTH(E20)+1)/12))) + (Q20)*(IF((YEAR(D20)+5)&lt;YEAR(E20),0,IF((YEAR(D20)+5)&gt;YEAR(E20),1,(12-MONTH(E20)+1)/12))))-((P20)*(IF((YEAR(D20)+5)&lt;YEAR(E20),0,IF((YEAR(D20)+5)&gt;YEAR(E20),1,(12-MONTH(E20)+1)/12))) + (R20)*(IF((YEAR(D20)+5)&lt;YEAR(E20),0,IF((YEAR(D20)+5)&gt;YEAR(E20),1,(12-MONTH(E20)+1)/12))))-(IF(OR(N20="",N20&lt;=0),0,(O20/N20)*(IF(OR(N20="",N20&lt;=0),0,IF((YEAR(D20)+5)&lt;YEAR(E20),0,IF((YEAR(D20)+5)&gt;=YEAR(E20)+N20,0,IF((YEAR(D20)+5)=YEAR(E20),(12-MONTH(E20)+1)/12,1))))))))*TaxRate,0))-IF(5=0,O20,0))</f>
        <v/>
      </c>
      <c r="Y20" s="29">
        <f>IF(A20="","",((K20)*(IF(M20="",L20,IFERROR(IF(INDEX(Variablen!$I:$AT, MATCH(M20, Variablen!$A:$A, 0), MATCH((YEAR(D20)+6), Variablen!$I$3:$AT$3, 0))="",L20,INDEX(Variablen!$I:$AT, MATCH(M20, Variablen!$A:$A, 0), MATCH((YEAR(D20)+6), Variablen!$I$3:$AT$3, 0))),L20)))*(IF((YEAR(D20)+6)&lt;YEAR(E20),0,IF((YEAR(D20)+6)&gt;YEAR(E20),1,(12-MONTH(E20)+1)/12))) + (Q20)*(IF((YEAR(D20)+6)&lt;YEAR(E20),0,IF((YEAR(D20)+6)&gt;YEAR(E20),1,(12-MONTH(E20)+1)/12))))-((P20)*(IF((YEAR(D20)+6)&lt;YEAR(E20),0,IF((YEAR(D20)+6)&gt;YEAR(E20),1,(12-MONTH(E20)+1)/12))) + (R20)*(IF((YEAR(D20)+6)&lt;YEAR(E20),0,IF((YEAR(D20)+6)&gt;YEAR(E20),1,(12-MONTH(E20)+1)/12))))-(IF((((K20)*(IF(M20="",L20,IFERROR(IF(INDEX(Variablen!$I:$AT, MATCH(M20, Variablen!$A:$A, 0), MATCH((YEAR(D20)+6), Variablen!$I$3:$AT$3, 0))="",L20,INDEX(Variablen!$I:$AT, MATCH(M20, Variablen!$A:$A, 0), MATCH((YEAR(D20)+6), Variablen!$I$3:$AT$3, 0))),L20)))*(IF((YEAR(D20)+6)&lt;YEAR(E20),0,IF((YEAR(D20)+6)&gt;YEAR(E20),1,(12-MONTH(E20)+1)/12))) + (Q20)*(IF((YEAR(D20)+6)&lt;YEAR(E20),0,IF((YEAR(D20)+6)&gt;YEAR(E20),1,(12-MONTH(E20)+1)/12))))-((P20)*(IF((YEAR(D20)+6)&lt;YEAR(E20),0,IF((YEAR(D20)+6)&gt;YEAR(E20),1,(12-MONTH(E20)+1)/12))) + (R20)*(IF((YEAR(D20)+6)&lt;YEAR(E20),0,IF((YEAR(D20)+6)&gt;YEAR(E20),1,(12-MONTH(E20)+1)/12))))-(IF(OR(N20="",N20&lt;=0),0,(O20/N20)*(IF(OR(N20="",N20&lt;=0),0,IF((YEAR(D20)+6)&lt;YEAR(E20),0,IF((YEAR(D20)+6)&gt;=YEAR(E20)+N20,0,IF((YEAR(D20)+6)=YEAR(E20),(12-MONTH(E20)+1)/12,1))))))))&gt;0,(((K20)*(IF(M20="",L20,IFERROR(IF(INDEX(Variablen!$I:$AT, MATCH(M20, Variablen!$A:$A, 0), MATCH((YEAR(D20)+6), Variablen!$I$3:$AT$3, 0))="",L20,INDEX(Variablen!$I:$AT, MATCH(M20, Variablen!$A:$A, 0), MATCH((YEAR(D20)+6), Variablen!$I$3:$AT$3, 0))),L20)))*(IF((YEAR(D20)+6)&lt;YEAR(E20),0,IF((YEAR(D20)+6)&gt;YEAR(E20),1,(12-MONTH(E20)+1)/12))) + (Q20)*(IF((YEAR(D20)+6)&lt;YEAR(E20),0,IF((YEAR(D20)+6)&gt;YEAR(E20),1,(12-MONTH(E20)+1)/12))))-((P20)*(IF((YEAR(D20)+6)&lt;YEAR(E20),0,IF((YEAR(D20)+6)&gt;YEAR(E20),1,(12-MONTH(E20)+1)/12))) + (R20)*(IF((YEAR(D20)+6)&lt;YEAR(E20),0,IF((YEAR(D20)+6)&gt;YEAR(E20),1,(12-MONTH(E20)+1)/12))))-(IF(OR(N20="",N20&lt;=0),0,(O20/N20)*(IF(OR(N20="",N20&lt;=0),0,IF((YEAR(D20)+6)&lt;YEAR(E20),0,IF((YEAR(D20)+6)&gt;=YEAR(E20)+N20,0,IF((YEAR(D20)+6)=YEAR(E20),(12-MONTH(E20)+1)/12,1))))))))*TaxRate,0))-IF(6=0,O20,0))</f>
        <v/>
      </c>
      <c r="Z20" s="29">
        <f>IF(A20="","",((K20)*(IF(M20="",L20,IFERROR(IF(INDEX(Variablen!$I:$AT, MATCH(M20, Variablen!$A:$A, 0), MATCH((YEAR(D20)+7), Variablen!$I$3:$AT$3, 0))="",L20,INDEX(Variablen!$I:$AT, MATCH(M20, Variablen!$A:$A, 0), MATCH((YEAR(D20)+7), Variablen!$I$3:$AT$3, 0))),L20)))*(IF((YEAR(D20)+7)&lt;YEAR(E20),0,IF((YEAR(D20)+7)&gt;YEAR(E20),1,(12-MONTH(E20)+1)/12))) + (Q20)*(IF((YEAR(D20)+7)&lt;YEAR(E20),0,IF((YEAR(D20)+7)&gt;YEAR(E20),1,(12-MONTH(E20)+1)/12))))-((P20)*(IF((YEAR(D20)+7)&lt;YEAR(E20),0,IF((YEAR(D20)+7)&gt;YEAR(E20),1,(12-MONTH(E20)+1)/12))) + (R20)*(IF((YEAR(D20)+7)&lt;YEAR(E20),0,IF((YEAR(D20)+7)&gt;YEAR(E20),1,(12-MONTH(E20)+1)/12))))-(IF((((K20)*(IF(M20="",L20,IFERROR(IF(INDEX(Variablen!$I:$AT, MATCH(M20, Variablen!$A:$A, 0), MATCH((YEAR(D20)+7), Variablen!$I$3:$AT$3, 0))="",L20,INDEX(Variablen!$I:$AT, MATCH(M20, Variablen!$A:$A, 0), MATCH((YEAR(D20)+7), Variablen!$I$3:$AT$3, 0))),L20)))*(IF((YEAR(D20)+7)&lt;YEAR(E20),0,IF((YEAR(D20)+7)&gt;YEAR(E20),1,(12-MONTH(E20)+1)/12))) + (Q20)*(IF((YEAR(D20)+7)&lt;YEAR(E20),0,IF((YEAR(D20)+7)&gt;YEAR(E20),1,(12-MONTH(E20)+1)/12))))-((P20)*(IF((YEAR(D20)+7)&lt;YEAR(E20),0,IF((YEAR(D20)+7)&gt;YEAR(E20),1,(12-MONTH(E20)+1)/12))) + (R20)*(IF((YEAR(D20)+7)&lt;YEAR(E20),0,IF((YEAR(D20)+7)&gt;YEAR(E20),1,(12-MONTH(E20)+1)/12))))-(IF(OR(N20="",N20&lt;=0),0,(O20/N20)*(IF(OR(N20="",N20&lt;=0),0,IF((YEAR(D20)+7)&lt;YEAR(E20),0,IF((YEAR(D20)+7)&gt;=YEAR(E20)+N20,0,IF((YEAR(D20)+7)=YEAR(E20),(12-MONTH(E20)+1)/12,1))))))))&gt;0,(((K20)*(IF(M20="",L20,IFERROR(IF(INDEX(Variablen!$I:$AT, MATCH(M20, Variablen!$A:$A, 0), MATCH((YEAR(D20)+7), Variablen!$I$3:$AT$3, 0))="",L20,INDEX(Variablen!$I:$AT, MATCH(M20, Variablen!$A:$A, 0), MATCH((YEAR(D20)+7), Variablen!$I$3:$AT$3, 0))),L20)))*(IF((YEAR(D20)+7)&lt;YEAR(E20),0,IF((YEAR(D20)+7)&gt;YEAR(E20),1,(12-MONTH(E20)+1)/12))) + (Q20)*(IF((YEAR(D20)+7)&lt;YEAR(E20),0,IF((YEAR(D20)+7)&gt;YEAR(E20),1,(12-MONTH(E20)+1)/12))))-((P20)*(IF((YEAR(D20)+7)&lt;YEAR(E20),0,IF((YEAR(D20)+7)&gt;YEAR(E20),1,(12-MONTH(E20)+1)/12))) + (R20)*(IF((YEAR(D20)+7)&lt;YEAR(E20),0,IF((YEAR(D20)+7)&gt;YEAR(E20),1,(12-MONTH(E20)+1)/12))))-(IF(OR(N20="",N20&lt;=0),0,(O20/N20)*(IF(OR(N20="",N20&lt;=0),0,IF((YEAR(D20)+7)&lt;YEAR(E20),0,IF((YEAR(D20)+7)&gt;=YEAR(E20)+N20,0,IF((YEAR(D20)+7)=YEAR(E20),(12-MONTH(E20)+1)/12,1))))))))*TaxRate,0))-IF(7=0,O20,0))</f>
        <v/>
      </c>
      <c r="AA20" s="29">
        <f>IF(A20="","",((K20)*(IF(M20="",L20,IFERROR(IF(INDEX(Variablen!$I:$AT, MATCH(M20, Variablen!$A:$A, 0), MATCH((YEAR(D20)+8), Variablen!$I$3:$AT$3, 0))="",L20,INDEX(Variablen!$I:$AT, MATCH(M20, Variablen!$A:$A, 0), MATCH((YEAR(D20)+8), Variablen!$I$3:$AT$3, 0))),L20)))*(IF((YEAR(D20)+8)&lt;YEAR(E20),0,IF((YEAR(D20)+8)&gt;YEAR(E20),1,(12-MONTH(E20)+1)/12))) + (Q20)*(IF((YEAR(D20)+8)&lt;YEAR(E20),0,IF((YEAR(D20)+8)&gt;YEAR(E20),1,(12-MONTH(E20)+1)/12))))-((P20)*(IF((YEAR(D20)+8)&lt;YEAR(E20),0,IF((YEAR(D20)+8)&gt;YEAR(E20),1,(12-MONTH(E20)+1)/12))) + (R20)*(IF((YEAR(D20)+8)&lt;YEAR(E20),0,IF((YEAR(D20)+8)&gt;YEAR(E20),1,(12-MONTH(E20)+1)/12))))-(IF((((K20)*(IF(M20="",L20,IFERROR(IF(INDEX(Variablen!$I:$AT, MATCH(M20, Variablen!$A:$A, 0), MATCH((YEAR(D20)+8), Variablen!$I$3:$AT$3, 0))="",L20,INDEX(Variablen!$I:$AT, MATCH(M20, Variablen!$A:$A, 0), MATCH((YEAR(D20)+8), Variablen!$I$3:$AT$3, 0))),L20)))*(IF((YEAR(D20)+8)&lt;YEAR(E20),0,IF((YEAR(D20)+8)&gt;YEAR(E20),1,(12-MONTH(E20)+1)/12))) + (Q20)*(IF((YEAR(D20)+8)&lt;YEAR(E20),0,IF((YEAR(D20)+8)&gt;YEAR(E20),1,(12-MONTH(E20)+1)/12))))-((P20)*(IF((YEAR(D20)+8)&lt;YEAR(E20),0,IF((YEAR(D20)+8)&gt;YEAR(E20),1,(12-MONTH(E20)+1)/12))) + (R20)*(IF((YEAR(D20)+8)&lt;YEAR(E20),0,IF((YEAR(D20)+8)&gt;YEAR(E20),1,(12-MONTH(E20)+1)/12))))-(IF(OR(N20="",N20&lt;=0),0,(O20/N20)*(IF(OR(N20="",N20&lt;=0),0,IF((YEAR(D20)+8)&lt;YEAR(E20),0,IF((YEAR(D20)+8)&gt;=YEAR(E20)+N20,0,IF((YEAR(D20)+8)=YEAR(E20),(12-MONTH(E20)+1)/12,1))))))))&gt;0,(((K20)*(IF(M20="",L20,IFERROR(IF(INDEX(Variablen!$I:$AT, MATCH(M20, Variablen!$A:$A, 0), MATCH((YEAR(D20)+8), Variablen!$I$3:$AT$3, 0))="",L20,INDEX(Variablen!$I:$AT, MATCH(M20, Variablen!$A:$A, 0), MATCH((YEAR(D20)+8), Variablen!$I$3:$AT$3, 0))),L20)))*(IF((YEAR(D20)+8)&lt;YEAR(E20),0,IF((YEAR(D20)+8)&gt;YEAR(E20),1,(12-MONTH(E20)+1)/12))) + (Q20)*(IF((YEAR(D20)+8)&lt;YEAR(E20),0,IF((YEAR(D20)+8)&gt;YEAR(E20),1,(12-MONTH(E20)+1)/12))))-((P20)*(IF((YEAR(D20)+8)&lt;YEAR(E20),0,IF((YEAR(D20)+8)&gt;YEAR(E20),1,(12-MONTH(E20)+1)/12))) + (R20)*(IF((YEAR(D20)+8)&lt;YEAR(E20),0,IF((YEAR(D20)+8)&gt;YEAR(E20),1,(12-MONTH(E20)+1)/12))))-(IF(OR(N20="",N20&lt;=0),0,(O20/N20)*(IF(OR(N20="",N20&lt;=0),0,IF((YEAR(D20)+8)&lt;YEAR(E20),0,IF((YEAR(D20)+8)&gt;=YEAR(E20)+N20,0,IF((YEAR(D20)+8)=YEAR(E20),(12-MONTH(E20)+1)/12,1))))))))*TaxRate,0))-IF(8=0,O20,0))</f>
        <v/>
      </c>
      <c r="AB20" s="29">
        <f>IF(A20="","",((K20)*(IF(M20="",L20,IFERROR(IF(INDEX(Variablen!$I:$AT, MATCH(M20, Variablen!$A:$A, 0), MATCH((YEAR(D20)+9), Variablen!$I$3:$AT$3, 0))="",L20,INDEX(Variablen!$I:$AT, MATCH(M20, Variablen!$A:$A, 0), MATCH((YEAR(D20)+9), Variablen!$I$3:$AT$3, 0))),L20)))*(IF((YEAR(D20)+9)&lt;YEAR(E20),0,IF((YEAR(D20)+9)&gt;YEAR(E20),1,(12-MONTH(E20)+1)/12))) + (Q20)*(IF((YEAR(D20)+9)&lt;YEAR(E20),0,IF((YEAR(D20)+9)&gt;YEAR(E20),1,(12-MONTH(E20)+1)/12))))-((P20)*(IF((YEAR(D20)+9)&lt;YEAR(E20),0,IF((YEAR(D20)+9)&gt;YEAR(E20),1,(12-MONTH(E20)+1)/12))) + (R20)*(IF((YEAR(D20)+9)&lt;YEAR(E20),0,IF((YEAR(D20)+9)&gt;YEAR(E20),1,(12-MONTH(E20)+1)/12))))-(IF((((K20)*(IF(M20="",L20,IFERROR(IF(INDEX(Variablen!$I:$AT, MATCH(M20, Variablen!$A:$A, 0), MATCH((YEAR(D20)+9), Variablen!$I$3:$AT$3, 0))="",L20,INDEX(Variablen!$I:$AT, MATCH(M20, Variablen!$A:$A, 0), MATCH((YEAR(D20)+9), Variablen!$I$3:$AT$3, 0))),L20)))*(IF((YEAR(D20)+9)&lt;YEAR(E20),0,IF((YEAR(D20)+9)&gt;YEAR(E20),1,(12-MONTH(E20)+1)/12))) + (Q20)*(IF((YEAR(D20)+9)&lt;YEAR(E20),0,IF((YEAR(D20)+9)&gt;YEAR(E20),1,(12-MONTH(E20)+1)/12))))-((P20)*(IF((YEAR(D20)+9)&lt;YEAR(E20),0,IF((YEAR(D20)+9)&gt;YEAR(E20),1,(12-MONTH(E20)+1)/12))) + (R20)*(IF((YEAR(D20)+9)&lt;YEAR(E20),0,IF((YEAR(D20)+9)&gt;YEAR(E20),1,(12-MONTH(E20)+1)/12))))-(IF(OR(N20="",N20&lt;=0),0,(O20/N20)*(IF(OR(N20="",N20&lt;=0),0,IF((YEAR(D20)+9)&lt;YEAR(E20),0,IF((YEAR(D20)+9)&gt;=YEAR(E20)+N20,0,IF((YEAR(D20)+9)=YEAR(E20),(12-MONTH(E20)+1)/12,1))))))))&gt;0,(((K20)*(IF(M20="",L20,IFERROR(IF(INDEX(Variablen!$I:$AT, MATCH(M20, Variablen!$A:$A, 0), MATCH((YEAR(D20)+9), Variablen!$I$3:$AT$3, 0))="",L20,INDEX(Variablen!$I:$AT, MATCH(M20, Variablen!$A:$A, 0), MATCH((YEAR(D20)+9), Variablen!$I$3:$AT$3, 0))),L20)))*(IF((YEAR(D20)+9)&lt;YEAR(E20),0,IF((YEAR(D20)+9)&gt;YEAR(E20),1,(12-MONTH(E20)+1)/12))) + (Q20)*(IF((YEAR(D20)+9)&lt;YEAR(E20),0,IF((YEAR(D20)+9)&gt;YEAR(E20),1,(12-MONTH(E20)+1)/12))))-((P20)*(IF((YEAR(D20)+9)&lt;YEAR(E20),0,IF((YEAR(D20)+9)&gt;YEAR(E20),1,(12-MONTH(E20)+1)/12))) + (R20)*(IF((YEAR(D20)+9)&lt;YEAR(E20),0,IF((YEAR(D20)+9)&gt;YEAR(E20),1,(12-MONTH(E20)+1)/12))))-(IF(OR(N20="",N20&lt;=0),0,(O20/N20)*(IF(OR(N20="",N20&lt;=0),0,IF((YEAR(D20)+9)&lt;YEAR(E20),0,IF((YEAR(D20)+9)&gt;=YEAR(E20)+N20,0,IF((YEAR(D20)+9)=YEAR(E20),(12-MONTH(E20)+1)/12,1))))))))*TaxRate,0))-IF(9=0,O20,0))</f>
        <v/>
      </c>
      <c r="AC20" s="29">
        <f>IF(A20="","",((K20)*(IF(M20="",L20,IFERROR(IF(INDEX(Variablen!$I:$AT, MATCH(M20, Variablen!$A:$A, 0), MATCH((YEAR(D20)+10), Variablen!$I$3:$AT$3, 0))="",L20,INDEX(Variablen!$I:$AT, MATCH(M20, Variablen!$A:$A, 0), MATCH((YEAR(D20)+10), Variablen!$I$3:$AT$3, 0))),L20)))*(IF((YEAR(D20)+10)&lt;YEAR(E20),0,IF((YEAR(D20)+10)&gt;YEAR(E20),1,(12-MONTH(E20)+1)/12))) + (Q20)*(IF((YEAR(D20)+10)&lt;YEAR(E20),0,IF((YEAR(D20)+10)&gt;YEAR(E20),1,(12-MONTH(E20)+1)/12))))-((P20)*(IF((YEAR(D20)+10)&lt;YEAR(E20),0,IF((YEAR(D20)+10)&gt;YEAR(E20),1,(12-MONTH(E20)+1)/12))) + (R20)*(IF((YEAR(D20)+10)&lt;YEAR(E20),0,IF((YEAR(D20)+10)&gt;YEAR(E20),1,(12-MONTH(E20)+1)/12))))-(IF((((K20)*(IF(M20="",L20,IFERROR(IF(INDEX(Variablen!$I:$AT, MATCH(M20, Variablen!$A:$A, 0), MATCH((YEAR(D20)+10), Variablen!$I$3:$AT$3, 0))="",L20,INDEX(Variablen!$I:$AT, MATCH(M20, Variablen!$A:$A, 0), MATCH((YEAR(D20)+10), Variablen!$I$3:$AT$3, 0))),L20)))*(IF((YEAR(D20)+10)&lt;YEAR(E20),0,IF((YEAR(D20)+10)&gt;YEAR(E20),1,(12-MONTH(E20)+1)/12))) + (Q20)*(IF((YEAR(D20)+10)&lt;YEAR(E20),0,IF((YEAR(D20)+10)&gt;YEAR(E20),1,(12-MONTH(E20)+1)/12))))-((P20)*(IF((YEAR(D20)+10)&lt;YEAR(E20),0,IF((YEAR(D20)+10)&gt;YEAR(E20),1,(12-MONTH(E20)+1)/12))) + (R20)*(IF((YEAR(D20)+10)&lt;YEAR(E20),0,IF((YEAR(D20)+10)&gt;YEAR(E20),1,(12-MONTH(E20)+1)/12))))-(IF(OR(N20="",N20&lt;=0),0,(O20/N20)*(IF(OR(N20="",N20&lt;=0),0,IF((YEAR(D20)+10)&lt;YEAR(E20),0,IF((YEAR(D20)+10)&gt;=YEAR(E20)+N20,0,IF((YEAR(D20)+10)=YEAR(E20),(12-MONTH(E20)+1)/12,1))))))))&gt;0,(((K20)*(IF(M20="",L20,IFERROR(IF(INDEX(Variablen!$I:$AT, MATCH(M20, Variablen!$A:$A, 0), MATCH((YEAR(D20)+10), Variablen!$I$3:$AT$3, 0))="",L20,INDEX(Variablen!$I:$AT, MATCH(M20, Variablen!$A:$A, 0), MATCH((YEAR(D20)+10), Variablen!$I$3:$AT$3, 0))),L20)))*(IF((YEAR(D20)+10)&lt;YEAR(E20),0,IF((YEAR(D20)+10)&gt;YEAR(E20),1,(12-MONTH(E20)+1)/12))) + (Q20)*(IF((YEAR(D20)+10)&lt;YEAR(E20),0,IF((YEAR(D20)+10)&gt;YEAR(E20),1,(12-MONTH(E20)+1)/12))))-((P20)*(IF((YEAR(D20)+10)&lt;YEAR(E20),0,IF((YEAR(D20)+10)&gt;YEAR(E20),1,(12-MONTH(E20)+1)/12))) + (R20)*(IF((YEAR(D20)+10)&lt;YEAR(E20),0,IF((YEAR(D20)+10)&gt;YEAR(E20),1,(12-MONTH(E20)+1)/12))))-(IF(OR(N20="",N20&lt;=0),0,(O20/N20)*(IF(OR(N20="",N20&lt;=0),0,IF((YEAR(D20)+10)&lt;YEAR(E20),0,IF((YEAR(D20)+10)&gt;=YEAR(E20)+N20,0,IF((YEAR(D20)+10)=YEAR(E20),(12-MONTH(E20)+1)/12,1))))))))*TaxRate,0))-IF(10=0,O20,0))</f>
        <v/>
      </c>
      <c r="AD20" s="29">
        <f>IF(A20="","",((K20)*(IF(M20="",L20,IFERROR(IF(INDEX(Variablen!$I:$AT, MATCH(M20, Variablen!$A:$A, 0), MATCH((YEAR(D20)+11), Variablen!$I$3:$AT$3, 0))="",L20,INDEX(Variablen!$I:$AT, MATCH(M20, Variablen!$A:$A, 0), MATCH((YEAR(D20)+11), Variablen!$I$3:$AT$3, 0))),L20)))*(IF((YEAR(D20)+11)&lt;YEAR(E20),0,IF((YEAR(D20)+11)&gt;YEAR(E20),1,(12-MONTH(E20)+1)/12))) + (Q20)*(IF((YEAR(D20)+11)&lt;YEAR(E20),0,IF((YEAR(D20)+11)&gt;YEAR(E20),1,(12-MONTH(E20)+1)/12))))-((P20)*(IF((YEAR(D20)+11)&lt;YEAR(E20),0,IF((YEAR(D20)+11)&gt;YEAR(E20),1,(12-MONTH(E20)+1)/12))) + (R20)*(IF((YEAR(D20)+11)&lt;YEAR(E20),0,IF((YEAR(D20)+11)&gt;YEAR(E20),1,(12-MONTH(E20)+1)/12))))-(IF((((K20)*(IF(M20="",L20,IFERROR(IF(INDEX(Variablen!$I:$AT, MATCH(M20, Variablen!$A:$A, 0), MATCH((YEAR(D20)+11), Variablen!$I$3:$AT$3, 0))="",L20,INDEX(Variablen!$I:$AT, MATCH(M20, Variablen!$A:$A, 0), MATCH((YEAR(D20)+11), Variablen!$I$3:$AT$3, 0))),L20)))*(IF((YEAR(D20)+11)&lt;YEAR(E20),0,IF((YEAR(D20)+11)&gt;YEAR(E20),1,(12-MONTH(E20)+1)/12))) + (Q20)*(IF((YEAR(D20)+11)&lt;YEAR(E20),0,IF((YEAR(D20)+11)&gt;YEAR(E20),1,(12-MONTH(E20)+1)/12))))-((P20)*(IF((YEAR(D20)+11)&lt;YEAR(E20),0,IF((YEAR(D20)+11)&gt;YEAR(E20),1,(12-MONTH(E20)+1)/12))) + (R20)*(IF((YEAR(D20)+11)&lt;YEAR(E20),0,IF((YEAR(D20)+11)&gt;YEAR(E20),1,(12-MONTH(E20)+1)/12))))-(IF(OR(N20="",N20&lt;=0),0,(O20/N20)*(IF(OR(N20="",N20&lt;=0),0,IF((YEAR(D20)+11)&lt;YEAR(E20),0,IF((YEAR(D20)+11)&gt;=YEAR(E20)+N20,0,IF((YEAR(D20)+11)=YEAR(E20),(12-MONTH(E20)+1)/12,1))))))))&gt;0,(((K20)*(IF(M20="",L20,IFERROR(IF(INDEX(Variablen!$I:$AT, MATCH(M20, Variablen!$A:$A, 0), MATCH((YEAR(D20)+11), Variablen!$I$3:$AT$3, 0))="",L20,INDEX(Variablen!$I:$AT, MATCH(M20, Variablen!$A:$A, 0), MATCH((YEAR(D20)+11), Variablen!$I$3:$AT$3, 0))),L20)))*(IF((YEAR(D20)+11)&lt;YEAR(E20),0,IF((YEAR(D20)+11)&gt;YEAR(E20),1,(12-MONTH(E20)+1)/12))) + (Q20)*(IF((YEAR(D20)+11)&lt;YEAR(E20),0,IF((YEAR(D20)+11)&gt;YEAR(E20),1,(12-MONTH(E20)+1)/12))))-((P20)*(IF((YEAR(D20)+11)&lt;YEAR(E20),0,IF((YEAR(D20)+11)&gt;YEAR(E20),1,(12-MONTH(E20)+1)/12))) + (R20)*(IF((YEAR(D20)+11)&lt;YEAR(E20),0,IF((YEAR(D20)+11)&gt;YEAR(E20),1,(12-MONTH(E20)+1)/12))))-(IF(OR(N20="",N20&lt;=0),0,(O20/N20)*(IF(OR(N20="",N20&lt;=0),0,IF((YEAR(D20)+11)&lt;YEAR(E20),0,IF((YEAR(D20)+11)&gt;=YEAR(E20)+N20,0,IF((YEAR(D20)+11)=YEAR(E20),(12-MONTH(E20)+1)/12,1))))))))*TaxRate,0))-IF(11=0,O20,0))</f>
        <v/>
      </c>
      <c r="AE20" s="29">
        <f>IF(A20="","",((K20)*(IF(M20="",L20,IFERROR(IF(INDEX(Variablen!$I:$AT, MATCH(M20, Variablen!$A:$A, 0), MATCH((YEAR(D20)+12), Variablen!$I$3:$AT$3, 0))="",L20,INDEX(Variablen!$I:$AT, MATCH(M20, Variablen!$A:$A, 0), MATCH((YEAR(D20)+12), Variablen!$I$3:$AT$3, 0))),L20)))*(IF((YEAR(D20)+12)&lt;YEAR(E20),0,IF((YEAR(D20)+12)&gt;YEAR(E20),1,(12-MONTH(E20)+1)/12))) + (Q20)*(IF((YEAR(D20)+12)&lt;YEAR(E20),0,IF((YEAR(D20)+12)&gt;YEAR(E20),1,(12-MONTH(E20)+1)/12))))-((P20)*(IF((YEAR(D20)+12)&lt;YEAR(E20),0,IF((YEAR(D20)+12)&gt;YEAR(E20),1,(12-MONTH(E20)+1)/12))) + (R20)*(IF((YEAR(D20)+12)&lt;YEAR(E20),0,IF((YEAR(D20)+12)&gt;YEAR(E20),1,(12-MONTH(E20)+1)/12))))-(IF((((K20)*(IF(M20="",L20,IFERROR(IF(INDEX(Variablen!$I:$AT, MATCH(M20, Variablen!$A:$A, 0), MATCH((YEAR(D20)+12), Variablen!$I$3:$AT$3, 0))="",L20,INDEX(Variablen!$I:$AT, MATCH(M20, Variablen!$A:$A, 0), MATCH((YEAR(D20)+12), Variablen!$I$3:$AT$3, 0))),L20)))*(IF((YEAR(D20)+12)&lt;YEAR(E20),0,IF((YEAR(D20)+12)&gt;YEAR(E20),1,(12-MONTH(E20)+1)/12))) + (Q20)*(IF((YEAR(D20)+12)&lt;YEAR(E20),0,IF((YEAR(D20)+12)&gt;YEAR(E20),1,(12-MONTH(E20)+1)/12))))-((P20)*(IF((YEAR(D20)+12)&lt;YEAR(E20),0,IF((YEAR(D20)+12)&gt;YEAR(E20),1,(12-MONTH(E20)+1)/12))) + (R20)*(IF((YEAR(D20)+12)&lt;YEAR(E20),0,IF((YEAR(D20)+12)&gt;YEAR(E20),1,(12-MONTH(E20)+1)/12))))-(IF(OR(N20="",N20&lt;=0),0,(O20/N20)*(IF(OR(N20="",N20&lt;=0),0,IF((YEAR(D20)+12)&lt;YEAR(E20),0,IF((YEAR(D20)+12)&gt;=YEAR(E20)+N20,0,IF((YEAR(D20)+12)=YEAR(E20),(12-MONTH(E20)+1)/12,1))))))))&gt;0,(((K20)*(IF(M20="",L20,IFERROR(IF(INDEX(Variablen!$I:$AT, MATCH(M20, Variablen!$A:$A, 0), MATCH((YEAR(D20)+12), Variablen!$I$3:$AT$3, 0))="",L20,INDEX(Variablen!$I:$AT, MATCH(M20, Variablen!$A:$A, 0), MATCH((YEAR(D20)+12), Variablen!$I$3:$AT$3, 0))),L20)))*(IF((YEAR(D20)+12)&lt;YEAR(E20),0,IF((YEAR(D20)+12)&gt;YEAR(E20),1,(12-MONTH(E20)+1)/12))) + (Q20)*(IF((YEAR(D20)+12)&lt;YEAR(E20),0,IF((YEAR(D20)+12)&gt;YEAR(E20),1,(12-MONTH(E20)+1)/12))))-((P20)*(IF((YEAR(D20)+12)&lt;YEAR(E20),0,IF((YEAR(D20)+12)&gt;YEAR(E20),1,(12-MONTH(E20)+1)/12))) + (R20)*(IF((YEAR(D20)+12)&lt;YEAR(E20),0,IF((YEAR(D20)+12)&gt;YEAR(E20),1,(12-MONTH(E20)+1)/12))))-(IF(OR(N20="",N20&lt;=0),0,(O20/N20)*(IF(OR(N20="",N20&lt;=0),0,IF((YEAR(D20)+12)&lt;YEAR(E20),0,IF((YEAR(D20)+12)&gt;=YEAR(E20)+N20,0,IF((YEAR(D20)+12)=YEAR(E20),(12-MONTH(E20)+1)/12,1))))))))*TaxRate,0))-IF(12=0,O20,0))</f>
        <v/>
      </c>
      <c r="AF20" s="29">
        <f>IF(A20="","",((K20)*(IF(M20="",L20,IFERROR(IF(INDEX(Variablen!$I:$AT, MATCH(M20, Variablen!$A:$A, 0), MATCH((YEAR(D20)+13), Variablen!$I$3:$AT$3, 0))="",L20,INDEX(Variablen!$I:$AT, MATCH(M20, Variablen!$A:$A, 0), MATCH((YEAR(D20)+13), Variablen!$I$3:$AT$3, 0))),L20)))*(IF((YEAR(D20)+13)&lt;YEAR(E20),0,IF((YEAR(D20)+13)&gt;YEAR(E20),1,(12-MONTH(E20)+1)/12))) + (Q20)*(IF((YEAR(D20)+13)&lt;YEAR(E20),0,IF((YEAR(D20)+13)&gt;YEAR(E20),1,(12-MONTH(E20)+1)/12))))-((P20)*(IF((YEAR(D20)+13)&lt;YEAR(E20),0,IF((YEAR(D20)+13)&gt;YEAR(E20),1,(12-MONTH(E20)+1)/12))) + (R20)*(IF((YEAR(D20)+13)&lt;YEAR(E20),0,IF((YEAR(D20)+13)&gt;YEAR(E20),1,(12-MONTH(E20)+1)/12))))-(IF((((K20)*(IF(M20="",L20,IFERROR(IF(INDEX(Variablen!$I:$AT, MATCH(M20, Variablen!$A:$A, 0), MATCH((YEAR(D20)+13), Variablen!$I$3:$AT$3, 0))="",L20,INDEX(Variablen!$I:$AT, MATCH(M20, Variablen!$A:$A, 0), MATCH((YEAR(D20)+13), Variablen!$I$3:$AT$3, 0))),L20)))*(IF((YEAR(D20)+13)&lt;YEAR(E20),0,IF((YEAR(D20)+13)&gt;YEAR(E20),1,(12-MONTH(E20)+1)/12))) + (Q20)*(IF((YEAR(D20)+13)&lt;YEAR(E20),0,IF((YEAR(D20)+13)&gt;YEAR(E20),1,(12-MONTH(E20)+1)/12))))-((P20)*(IF((YEAR(D20)+13)&lt;YEAR(E20),0,IF((YEAR(D20)+13)&gt;YEAR(E20),1,(12-MONTH(E20)+1)/12))) + (R20)*(IF((YEAR(D20)+13)&lt;YEAR(E20),0,IF((YEAR(D20)+13)&gt;YEAR(E20),1,(12-MONTH(E20)+1)/12))))-(IF(OR(N20="",N20&lt;=0),0,(O20/N20)*(IF(OR(N20="",N20&lt;=0),0,IF((YEAR(D20)+13)&lt;YEAR(E20),0,IF((YEAR(D20)+13)&gt;=YEAR(E20)+N20,0,IF((YEAR(D20)+13)=YEAR(E20),(12-MONTH(E20)+1)/12,1))))))))&gt;0,(((K20)*(IF(M20="",L20,IFERROR(IF(INDEX(Variablen!$I:$AT, MATCH(M20, Variablen!$A:$A, 0), MATCH((YEAR(D20)+13), Variablen!$I$3:$AT$3, 0))="",L20,INDEX(Variablen!$I:$AT, MATCH(M20, Variablen!$A:$A, 0), MATCH((YEAR(D20)+13), Variablen!$I$3:$AT$3, 0))),L20)))*(IF((YEAR(D20)+13)&lt;YEAR(E20),0,IF((YEAR(D20)+13)&gt;YEAR(E20),1,(12-MONTH(E20)+1)/12))) + (Q20)*(IF((YEAR(D20)+13)&lt;YEAR(E20),0,IF((YEAR(D20)+13)&gt;YEAR(E20),1,(12-MONTH(E20)+1)/12))))-((P20)*(IF((YEAR(D20)+13)&lt;YEAR(E20),0,IF((YEAR(D20)+13)&gt;YEAR(E20),1,(12-MONTH(E20)+1)/12))) + (R20)*(IF((YEAR(D20)+13)&lt;YEAR(E20),0,IF((YEAR(D20)+13)&gt;YEAR(E20),1,(12-MONTH(E20)+1)/12))))-(IF(OR(N20="",N20&lt;=0),0,(O20/N20)*(IF(OR(N20="",N20&lt;=0),0,IF((YEAR(D20)+13)&lt;YEAR(E20),0,IF((YEAR(D20)+13)&gt;=YEAR(E20)+N20,0,IF((YEAR(D20)+13)=YEAR(E20),(12-MONTH(E20)+1)/12,1))))))))*TaxRate,0))-IF(13=0,O20,0))</f>
        <v/>
      </c>
      <c r="AG20" s="29">
        <f>IF(A20="","",((K20)*(IF(M20="",L20,IFERROR(IF(INDEX(Variablen!$I:$AT, MATCH(M20, Variablen!$A:$A, 0), MATCH((YEAR(D20)+14), Variablen!$I$3:$AT$3, 0))="",L20,INDEX(Variablen!$I:$AT, MATCH(M20, Variablen!$A:$A, 0), MATCH((YEAR(D20)+14), Variablen!$I$3:$AT$3, 0))),L20)))*(IF((YEAR(D20)+14)&lt;YEAR(E20),0,IF((YEAR(D20)+14)&gt;YEAR(E20),1,(12-MONTH(E20)+1)/12))) + (Q20)*(IF((YEAR(D20)+14)&lt;YEAR(E20),0,IF((YEAR(D20)+14)&gt;YEAR(E20),1,(12-MONTH(E20)+1)/12))))-((P20)*(IF((YEAR(D20)+14)&lt;YEAR(E20),0,IF((YEAR(D20)+14)&gt;YEAR(E20),1,(12-MONTH(E20)+1)/12))) + (R20)*(IF((YEAR(D20)+14)&lt;YEAR(E20),0,IF((YEAR(D20)+14)&gt;YEAR(E20),1,(12-MONTH(E20)+1)/12))))-(IF((((K20)*(IF(M20="",L20,IFERROR(IF(INDEX(Variablen!$I:$AT, MATCH(M20, Variablen!$A:$A, 0), MATCH((YEAR(D20)+14), Variablen!$I$3:$AT$3, 0))="",L20,INDEX(Variablen!$I:$AT, MATCH(M20, Variablen!$A:$A, 0), MATCH((YEAR(D20)+14), Variablen!$I$3:$AT$3, 0))),L20)))*(IF((YEAR(D20)+14)&lt;YEAR(E20),0,IF((YEAR(D20)+14)&gt;YEAR(E20),1,(12-MONTH(E20)+1)/12))) + (Q20)*(IF((YEAR(D20)+14)&lt;YEAR(E20),0,IF((YEAR(D20)+14)&gt;YEAR(E20),1,(12-MONTH(E20)+1)/12))))-((P20)*(IF((YEAR(D20)+14)&lt;YEAR(E20),0,IF((YEAR(D20)+14)&gt;YEAR(E20),1,(12-MONTH(E20)+1)/12))) + (R20)*(IF((YEAR(D20)+14)&lt;YEAR(E20),0,IF((YEAR(D20)+14)&gt;YEAR(E20),1,(12-MONTH(E20)+1)/12))))-(IF(OR(N20="",N20&lt;=0),0,(O20/N20)*(IF(OR(N20="",N20&lt;=0),0,IF((YEAR(D20)+14)&lt;YEAR(E20),0,IF((YEAR(D20)+14)&gt;=YEAR(E20)+N20,0,IF((YEAR(D20)+14)=YEAR(E20),(12-MONTH(E20)+1)/12,1))))))))&gt;0,(((K20)*(IF(M20="",L20,IFERROR(IF(INDEX(Variablen!$I:$AT, MATCH(M20, Variablen!$A:$A, 0), MATCH((YEAR(D20)+14), Variablen!$I$3:$AT$3, 0))="",L20,INDEX(Variablen!$I:$AT, MATCH(M20, Variablen!$A:$A, 0), MATCH((YEAR(D20)+14), Variablen!$I$3:$AT$3, 0))),L20)))*(IF((YEAR(D20)+14)&lt;YEAR(E20),0,IF((YEAR(D20)+14)&gt;YEAR(E20),1,(12-MONTH(E20)+1)/12))) + (Q20)*(IF((YEAR(D20)+14)&lt;YEAR(E20),0,IF((YEAR(D20)+14)&gt;YEAR(E20),1,(12-MONTH(E20)+1)/12))))-((P20)*(IF((YEAR(D20)+14)&lt;YEAR(E20),0,IF((YEAR(D20)+14)&gt;YEAR(E20),1,(12-MONTH(E20)+1)/12))) + (R20)*(IF((YEAR(D20)+14)&lt;YEAR(E20),0,IF((YEAR(D20)+14)&gt;YEAR(E20),1,(12-MONTH(E20)+1)/12))))-(IF(OR(N20="",N20&lt;=0),0,(O20/N20)*(IF(OR(N20="",N20&lt;=0),0,IF((YEAR(D20)+14)&lt;YEAR(E20),0,IF((YEAR(D20)+14)&gt;=YEAR(E20)+N20,0,IF((YEAR(D20)+14)=YEAR(E20),(12-MONTH(E20)+1)/12,1))))))))*TaxRate,0))-IF(14=0,O20,0))</f>
        <v/>
      </c>
      <c r="AH20" s="29">
        <f>IF(A20="","",((K20)*(IF(M20="",L20,IFERROR(IF(INDEX(Variablen!$I:$AT, MATCH(M20, Variablen!$A:$A, 0), MATCH((YEAR(D20)+15), Variablen!$I$3:$AT$3, 0))="",L20,INDEX(Variablen!$I:$AT, MATCH(M20, Variablen!$A:$A, 0), MATCH((YEAR(D20)+15), Variablen!$I$3:$AT$3, 0))),L20)))*(IF((YEAR(D20)+15)&lt;YEAR(E20),0,IF((YEAR(D20)+15)&gt;YEAR(E20),1,(12-MONTH(E20)+1)/12))) + (Q20)*(IF((YEAR(D20)+15)&lt;YEAR(E20),0,IF((YEAR(D20)+15)&gt;YEAR(E20),1,(12-MONTH(E20)+1)/12))))-((P20)*(IF((YEAR(D20)+15)&lt;YEAR(E20),0,IF((YEAR(D20)+15)&gt;YEAR(E20),1,(12-MONTH(E20)+1)/12))) + (R20)*(IF((YEAR(D20)+15)&lt;YEAR(E20),0,IF((YEAR(D20)+15)&gt;YEAR(E20),1,(12-MONTH(E20)+1)/12))))-(IF((((K20)*(IF(M20="",L20,IFERROR(IF(INDEX(Variablen!$I:$AT, MATCH(M20, Variablen!$A:$A, 0), MATCH((YEAR(D20)+15), Variablen!$I$3:$AT$3, 0))="",L20,INDEX(Variablen!$I:$AT, MATCH(M20, Variablen!$A:$A, 0), MATCH((YEAR(D20)+15), Variablen!$I$3:$AT$3, 0))),L20)))*(IF((YEAR(D20)+15)&lt;YEAR(E20),0,IF((YEAR(D20)+15)&gt;YEAR(E20),1,(12-MONTH(E20)+1)/12))) + (Q20)*(IF((YEAR(D20)+15)&lt;YEAR(E20),0,IF((YEAR(D20)+15)&gt;YEAR(E20),1,(12-MONTH(E20)+1)/12))))-((P20)*(IF((YEAR(D20)+15)&lt;YEAR(E20),0,IF((YEAR(D20)+15)&gt;YEAR(E20),1,(12-MONTH(E20)+1)/12))) + (R20)*(IF((YEAR(D20)+15)&lt;YEAR(E20),0,IF((YEAR(D20)+15)&gt;YEAR(E20),1,(12-MONTH(E20)+1)/12))))-(IF(OR(N20="",N20&lt;=0),0,(O20/N20)*(IF(OR(N20="",N20&lt;=0),0,IF((YEAR(D20)+15)&lt;YEAR(E20),0,IF((YEAR(D20)+15)&gt;=YEAR(E20)+N20,0,IF((YEAR(D20)+15)=YEAR(E20),(12-MONTH(E20)+1)/12,1))))))))&gt;0,(((K20)*(IF(M20="",L20,IFERROR(IF(INDEX(Variablen!$I:$AT, MATCH(M20, Variablen!$A:$A, 0), MATCH((YEAR(D20)+15), Variablen!$I$3:$AT$3, 0))="",L20,INDEX(Variablen!$I:$AT, MATCH(M20, Variablen!$A:$A, 0), MATCH((YEAR(D20)+15), Variablen!$I$3:$AT$3, 0))),L20)))*(IF((YEAR(D20)+15)&lt;YEAR(E20),0,IF((YEAR(D20)+15)&gt;YEAR(E20),1,(12-MONTH(E20)+1)/12))) + (Q20)*(IF((YEAR(D20)+15)&lt;YEAR(E20),0,IF((YEAR(D20)+15)&gt;YEAR(E20),1,(12-MONTH(E20)+1)/12))))-((P20)*(IF((YEAR(D20)+15)&lt;YEAR(E20),0,IF((YEAR(D20)+15)&gt;YEAR(E20),1,(12-MONTH(E20)+1)/12))) + (R20)*(IF((YEAR(D20)+15)&lt;YEAR(E20),0,IF((YEAR(D20)+15)&gt;YEAR(E20),1,(12-MONTH(E20)+1)/12))))-(IF(OR(N20="",N20&lt;=0),0,(O20/N20)*(IF(OR(N20="",N20&lt;=0),0,IF((YEAR(D20)+15)&lt;YEAR(E20),0,IF((YEAR(D20)+15)&gt;=YEAR(E20)+N20,0,IF((YEAR(D20)+15)=YEAR(E20),(12-MONTH(E20)+1)/12,1))))))))*TaxRate,0))-IF(15=0,O20,0))</f>
        <v/>
      </c>
      <c r="AI20" s="29">
        <f>IF(A20="","",((K20)*(IF(M20="",L20,IFERROR(IF(INDEX(Variablen!$I:$AT, MATCH(M20, Variablen!$A:$A, 0), MATCH((YEAR(D20)+16), Variablen!$I$3:$AT$3, 0))="",L20,INDEX(Variablen!$I:$AT, MATCH(M20, Variablen!$A:$A, 0), MATCH((YEAR(D20)+16), Variablen!$I$3:$AT$3, 0))),L20)))*(IF((YEAR(D20)+16)&lt;YEAR(E20),0,IF((YEAR(D20)+16)&gt;YEAR(E20),1,(12-MONTH(E20)+1)/12))) + (Q20)*(IF((YEAR(D20)+16)&lt;YEAR(E20),0,IF((YEAR(D20)+16)&gt;YEAR(E20),1,(12-MONTH(E20)+1)/12))))-((P20)*(IF((YEAR(D20)+16)&lt;YEAR(E20),0,IF((YEAR(D20)+16)&gt;YEAR(E20),1,(12-MONTH(E20)+1)/12))) + (R20)*(IF((YEAR(D20)+16)&lt;YEAR(E20),0,IF((YEAR(D20)+16)&gt;YEAR(E20),1,(12-MONTH(E20)+1)/12))))-(IF((((K20)*(IF(M20="",L20,IFERROR(IF(INDEX(Variablen!$I:$AT, MATCH(M20, Variablen!$A:$A, 0), MATCH((YEAR(D20)+16), Variablen!$I$3:$AT$3, 0))="",L20,INDEX(Variablen!$I:$AT, MATCH(M20, Variablen!$A:$A, 0), MATCH((YEAR(D20)+16), Variablen!$I$3:$AT$3, 0))),L20)))*(IF((YEAR(D20)+16)&lt;YEAR(E20),0,IF((YEAR(D20)+16)&gt;YEAR(E20),1,(12-MONTH(E20)+1)/12))) + (Q20)*(IF((YEAR(D20)+16)&lt;YEAR(E20),0,IF((YEAR(D20)+16)&gt;YEAR(E20),1,(12-MONTH(E20)+1)/12))))-((P20)*(IF((YEAR(D20)+16)&lt;YEAR(E20),0,IF((YEAR(D20)+16)&gt;YEAR(E20),1,(12-MONTH(E20)+1)/12))) + (R20)*(IF((YEAR(D20)+16)&lt;YEAR(E20),0,IF((YEAR(D20)+16)&gt;YEAR(E20),1,(12-MONTH(E20)+1)/12))))-(IF(OR(N20="",N20&lt;=0),0,(O20/N20)*(IF(OR(N20="",N20&lt;=0),0,IF((YEAR(D20)+16)&lt;YEAR(E20),0,IF((YEAR(D20)+16)&gt;=YEAR(E20)+N20,0,IF((YEAR(D20)+16)=YEAR(E20),(12-MONTH(E20)+1)/12,1))))))))&gt;0,(((K20)*(IF(M20="",L20,IFERROR(IF(INDEX(Variablen!$I:$AT, MATCH(M20, Variablen!$A:$A, 0), MATCH((YEAR(D20)+16), Variablen!$I$3:$AT$3, 0))="",L20,INDEX(Variablen!$I:$AT, MATCH(M20, Variablen!$A:$A, 0), MATCH((YEAR(D20)+16), Variablen!$I$3:$AT$3, 0))),L20)))*(IF((YEAR(D20)+16)&lt;YEAR(E20),0,IF((YEAR(D20)+16)&gt;YEAR(E20),1,(12-MONTH(E20)+1)/12))) + (Q20)*(IF((YEAR(D20)+16)&lt;YEAR(E20),0,IF((YEAR(D20)+16)&gt;YEAR(E20),1,(12-MONTH(E20)+1)/12))))-((P20)*(IF((YEAR(D20)+16)&lt;YEAR(E20),0,IF((YEAR(D20)+16)&gt;YEAR(E20),1,(12-MONTH(E20)+1)/12))) + (R20)*(IF((YEAR(D20)+16)&lt;YEAR(E20),0,IF((YEAR(D20)+16)&gt;YEAR(E20),1,(12-MONTH(E20)+1)/12))))-(IF(OR(N20="",N20&lt;=0),0,(O20/N20)*(IF(OR(N20="",N20&lt;=0),0,IF((YEAR(D20)+16)&lt;YEAR(E20),0,IF((YEAR(D20)+16)&gt;=YEAR(E20)+N20,0,IF((YEAR(D20)+16)=YEAR(E20),(12-MONTH(E20)+1)/12,1))))))))*TaxRate,0))-IF(16=0,O20,0))</f>
        <v/>
      </c>
      <c r="AJ20" s="29">
        <f>IF(A20="","",((K20)*(IF(M20="",L20,IFERROR(IF(INDEX(Variablen!$I:$AT, MATCH(M20, Variablen!$A:$A, 0), MATCH((YEAR(D20)+17), Variablen!$I$3:$AT$3, 0))="",L20,INDEX(Variablen!$I:$AT, MATCH(M20, Variablen!$A:$A, 0), MATCH((YEAR(D20)+17), Variablen!$I$3:$AT$3, 0))),L20)))*(IF((YEAR(D20)+17)&lt;YEAR(E20),0,IF((YEAR(D20)+17)&gt;YEAR(E20),1,(12-MONTH(E20)+1)/12))) + (Q20)*(IF((YEAR(D20)+17)&lt;YEAR(E20),0,IF((YEAR(D20)+17)&gt;YEAR(E20),1,(12-MONTH(E20)+1)/12))))-((P20)*(IF((YEAR(D20)+17)&lt;YEAR(E20),0,IF((YEAR(D20)+17)&gt;YEAR(E20),1,(12-MONTH(E20)+1)/12))) + (R20)*(IF((YEAR(D20)+17)&lt;YEAR(E20),0,IF((YEAR(D20)+17)&gt;YEAR(E20),1,(12-MONTH(E20)+1)/12))))-(IF((((K20)*(IF(M20="",L20,IFERROR(IF(INDEX(Variablen!$I:$AT, MATCH(M20, Variablen!$A:$A, 0), MATCH((YEAR(D20)+17), Variablen!$I$3:$AT$3, 0))="",L20,INDEX(Variablen!$I:$AT, MATCH(M20, Variablen!$A:$A, 0), MATCH((YEAR(D20)+17), Variablen!$I$3:$AT$3, 0))),L20)))*(IF((YEAR(D20)+17)&lt;YEAR(E20),0,IF((YEAR(D20)+17)&gt;YEAR(E20),1,(12-MONTH(E20)+1)/12))) + (Q20)*(IF((YEAR(D20)+17)&lt;YEAR(E20),0,IF((YEAR(D20)+17)&gt;YEAR(E20),1,(12-MONTH(E20)+1)/12))))-((P20)*(IF((YEAR(D20)+17)&lt;YEAR(E20),0,IF((YEAR(D20)+17)&gt;YEAR(E20),1,(12-MONTH(E20)+1)/12))) + (R20)*(IF((YEAR(D20)+17)&lt;YEAR(E20),0,IF((YEAR(D20)+17)&gt;YEAR(E20),1,(12-MONTH(E20)+1)/12))))-(IF(OR(N20="",N20&lt;=0),0,(O20/N20)*(IF(OR(N20="",N20&lt;=0),0,IF((YEAR(D20)+17)&lt;YEAR(E20),0,IF((YEAR(D20)+17)&gt;=YEAR(E20)+N20,0,IF((YEAR(D20)+17)=YEAR(E20),(12-MONTH(E20)+1)/12,1))))))))&gt;0,(((K20)*(IF(M20="",L20,IFERROR(IF(INDEX(Variablen!$I:$AT, MATCH(M20, Variablen!$A:$A, 0), MATCH((YEAR(D20)+17), Variablen!$I$3:$AT$3, 0))="",L20,INDEX(Variablen!$I:$AT, MATCH(M20, Variablen!$A:$A, 0), MATCH((YEAR(D20)+17), Variablen!$I$3:$AT$3, 0))),L20)))*(IF((YEAR(D20)+17)&lt;YEAR(E20),0,IF((YEAR(D20)+17)&gt;YEAR(E20),1,(12-MONTH(E20)+1)/12))) + (Q20)*(IF((YEAR(D20)+17)&lt;YEAR(E20),0,IF((YEAR(D20)+17)&gt;YEAR(E20),1,(12-MONTH(E20)+1)/12))))-((P20)*(IF((YEAR(D20)+17)&lt;YEAR(E20),0,IF((YEAR(D20)+17)&gt;YEAR(E20),1,(12-MONTH(E20)+1)/12))) + (R20)*(IF((YEAR(D20)+17)&lt;YEAR(E20),0,IF((YEAR(D20)+17)&gt;YEAR(E20),1,(12-MONTH(E20)+1)/12))))-(IF(OR(N20="",N20&lt;=0),0,(O20/N20)*(IF(OR(N20="",N20&lt;=0),0,IF((YEAR(D20)+17)&lt;YEAR(E20),0,IF((YEAR(D20)+17)&gt;=YEAR(E20)+N20,0,IF((YEAR(D20)+17)=YEAR(E20),(12-MONTH(E20)+1)/12,1))))))))*TaxRate,0))-IF(17=0,O20,0))</f>
        <v/>
      </c>
      <c r="AK20" s="29">
        <f>IF(A20="","",((K20)*(IF(M20="",L20,IFERROR(IF(INDEX(Variablen!$I:$AT, MATCH(M20, Variablen!$A:$A, 0), MATCH((YEAR(D20)+18), Variablen!$I$3:$AT$3, 0))="",L20,INDEX(Variablen!$I:$AT, MATCH(M20, Variablen!$A:$A, 0), MATCH((YEAR(D20)+18), Variablen!$I$3:$AT$3, 0))),L20)))*(IF((YEAR(D20)+18)&lt;YEAR(E20),0,IF((YEAR(D20)+18)&gt;YEAR(E20),1,(12-MONTH(E20)+1)/12))) + (Q20)*(IF((YEAR(D20)+18)&lt;YEAR(E20),0,IF((YEAR(D20)+18)&gt;YEAR(E20),1,(12-MONTH(E20)+1)/12))))-((P20)*(IF((YEAR(D20)+18)&lt;YEAR(E20),0,IF((YEAR(D20)+18)&gt;YEAR(E20),1,(12-MONTH(E20)+1)/12))) + (R20)*(IF((YEAR(D20)+18)&lt;YEAR(E20),0,IF((YEAR(D20)+18)&gt;YEAR(E20),1,(12-MONTH(E20)+1)/12))))-(IF((((K20)*(IF(M20="",L20,IFERROR(IF(INDEX(Variablen!$I:$AT, MATCH(M20, Variablen!$A:$A, 0), MATCH((YEAR(D20)+18), Variablen!$I$3:$AT$3, 0))="",L20,INDEX(Variablen!$I:$AT, MATCH(M20, Variablen!$A:$A, 0), MATCH((YEAR(D20)+18), Variablen!$I$3:$AT$3, 0))),L20)))*(IF((YEAR(D20)+18)&lt;YEAR(E20),0,IF((YEAR(D20)+18)&gt;YEAR(E20),1,(12-MONTH(E20)+1)/12))) + (Q20)*(IF((YEAR(D20)+18)&lt;YEAR(E20),0,IF((YEAR(D20)+18)&gt;YEAR(E20),1,(12-MONTH(E20)+1)/12))))-((P20)*(IF((YEAR(D20)+18)&lt;YEAR(E20),0,IF((YEAR(D20)+18)&gt;YEAR(E20),1,(12-MONTH(E20)+1)/12))) + (R20)*(IF((YEAR(D20)+18)&lt;YEAR(E20),0,IF((YEAR(D20)+18)&gt;YEAR(E20),1,(12-MONTH(E20)+1)/12))))-(IF(OR(N20="",N20&lt;=0),0,(O20/N20)*(IF(OR(N20="",N20&lt;=0),0,IF((YEAR(D20)+18)&lt;YEAR(E20),0,IF((YEAR(D20)+18)&gt;=YEAR(E20)+N20,0,IF((YEAR(D20)+18)=YEAR(E20),(12-MONTH(E20)+1)/12,1))))))))&gt;0,(((K20)*(IF(M20="",L20,IFERROR(IF(INDEX(Variablen!$I:$AT, MATCH(M20, Variablen!$A:$A, 0), MATCH((YEAR(D20)+18), Variablen!$I$3:$AT$3, 0))="",L20,INDEX(Variablen!$I:$AT, MATCH(M20, Variablen!$A:$A, 0), MATCH((YEAR(D20)+18), Variablen!$I$3:$AT$3, 0))),L20)))*(IF((YEAR(D20)+18)&lt;YEAR(E20),0,IF((YEAR(D20)+18)&gt;YEAR(E20),1,(12-MONTH(E20)+1)/12))) + (Q20)*(IF((YEAR(D20)+18)&lt;YEAR(E20),0,IF((YEAR(D20)+18)&gt;YEAR(E20),1,(12-MONTH(E20)+1)/12))))-((P20)*(IF((YEAR(D20)+18)&lt;YEAR(E20),0,IF((YEAR(D20)+18)&gt;YEAR(E20),1,(12-MONTH(E20)+1)/12))) + (R20)*(IF((YEAR(D20)+18)&lt;YEAR(E20),0,IF((YEAR(D20)+18)&gt;YEAR(E20),1,(12-MONTH(E20)+1)/12))))-(IF(OR(N20="",N20&lt;=0),0,(O20/N20)*(IF(OR(N20="",N20&lt;=0),0,IF((YEAR(D20)+18)&lt;YEAR(E20),0,IF((YEAR(D20)+18)&gt;=YEAR(E20)+N20,0,IF((YEAR(D20)+18)=YEAR(E20),(12-MONTH(E20)+1)/12,1))))))))*TaxRate,0))-IF(18=0,O20,0))</f>
        <v/>
      </c>
      <c r="AL20" s="29">
        <f>IF(A20="","",((K20)*(IF(M20="",L20,IFERROR(IF(INDEX(Variablen!$I:$AT, MATCH(M20, Variablen!$A:$A, 0), MATCH((YEAR(D20)+19), Variablen!$I$3:$AT$3, 0))="",L20,INDEX(Variablen!$I:$AT, MATCH(M20, Variablen!$A:$A, 0), MATCH((YEAR(D20)+19), Variablen!$I$3:$AT$3, 0))),L20)))*(IF((YEAR(D20)+19)&lt;YEAR(E20),0,IF((YEAR(D20)+19)&gt;YEAR(E20),1,(12-MONTH(E20)+1)/12))) + (Q20)*(IF((YEAR(D20)+19)&lt;YEAR(E20),0,IF((YEAR(D20)+19)&gt;YEAR(E20),1,(12-MONTH(E20)+1)/12))))-((P20)*(IF((YEAR(D20)+19)&lt;YEAR(E20),0,IF((YEAR(D20)+19)&gt;YEAR(E20),1,(12-MONTH(E20)+1)/12))) + (R20)*(IF((YEAR(D20)+19)&lt;YEAR(E20),0,IF((YEAR(D20)+19)&gt;YEAR(E20),1,(12-MONTH(E20)+1)/12))))-(IF((((K20)*(IF(M20="",L20,IFERROR(IF(INDEX(Variablen!$I:$AT, MATCH(M20, Variablen!$A:$A, 0), MATCH((YEAR(D20)+19), Variablen!$I$3:$AT$3, 0))="",L20,INDEX(Variablen!$I:$AT, MATCH(M20, Variablen!$A:$A, 0), MATCH((YEAR(D20)+19), Variablen!$I$3:$AT$3, 0))),L20)))*(IF((YEAR(D20)+19)&lt;YEAR(E20),0,IF((YEAR(D20)+19)&gt;YEAR(E20),1,(12-MONTH(E20)+1)/12))) + (Q20)*(IF((YEAR(D20)+19)&lt;YEAR(E20),0,IF((YEAR(D20)+19)&gt;YEAR(E20),1,(12-MONTH(E20)+1)/12))))-((P20)*(IF((YEAR(D20)+19)&lt;YEAR(E20),0,IF((YEAR(D20)+19)&gt;YEAR(E20),1,(12-MONTH(E20)+1)/12))) + (R20)*(IF((YEAR(D20)+19)&lt;YEAR(E20),0,IF((YEAR(D20)+19)&gt;YEAR(E20),1,(12-MONTH(E20)+1)/12))))-(IF(OR(N20="",N20&lt;=0),0,(O20/N20)*(IF(OR(N20="",N20&lt;=0),0,IF((YEAR(D20)+19)&lt;YEAR(E20),0,IF((YEAR(D20)+19)&gt;=YEAR(E20)+N20,0,IF((YEAR(D20)+19)=YEAR(E20),(12-MONTH(E20)+1)/12,1))))))))&gt;0,(((K20)*(IF(M20="",L20,IFERROR(IF(INDEX(Variablen!$I:$AT, MATCH(M20, Variablen!$A:$A, 0), MATCH((YEAR(D20)+19), Variablen!$I$3:$AT$3, 0))="",L20,INDEX(Variablen!$I:$AT, MATCH(M20, Variablen!$A:$A, 0), MATCH((YEAR(D20)+19), Variablen!$I$3:$AT$3, 0))),L20)))*(IF((YEAR(D20)+19)&lt;YEAR(E20),0,IF((YEAR(D20)+19)&gt;YEAR(E20),1,(12-MONTH(E20)+1)/12))) + (Q20)*(IF((YEAR(D20)+19)&lt;YEAR(E20),0,IF((YEAR(D20)+19)&gt;YEAR(E20),1,(12-MONTH(E20)+1)/12))))-((P20)*(IF((YEAR(D20)+19)&lt;YEAR(E20),0,IF((YEAR(D20)+19)&gt;YEAR(E20),1,(12-MONTH(E20)+1)/12))) + (R20)*(IF((YEAR(D20)+19)&lt;YEAR(E20),0,IF((YEAR(D20)+19)&gt;YEAR(E20),1,(12-MONTH(E20)+1)/12))))-(IF(OR(N20="",N20&lt;=0),0,(O20/N20)*(IF(OR(N20="",N20&lt;=0),0,IF((YEAR(D20)+19)&lt;YEAR(E20),0,IF((YEAR(D20)+19)&gt;=YEAR(E20)+N20,0,IF((YEAR(D20)+19)=YEAR(E20),(12-MONTH(E20)+1)/12,1))))))))*TaxRate,0))-IF(19=0,O20,0))</f>
        <v/>
      </c>
      <c r="AM20" s="29">
        <f>IF(A20="","",((K20)*(IF(M20="",L20,IFERROR(IF(INDEX(Variablen!$I:$AT, MATCH(M20, Variablen!$A:$A, 0), MATCH((YEAR(D20)+20), Variablen!$I$3:$AT$3, 0))="",L20,INDEX(Variablen!$I:$AT, MATCH(M20, Variablen!$A:$A, 0), MATCH((YEAR(D20)+20), Variablen!$I$3:$AT$3, 0))),L20)))*(IF((YEAR(D20)+20)&lt;YEAR(E20),0,IF((YEAR(D20)+20)&gt;YEAR(E20),1,(12-MONTH(E20)+1)/12))) + (Q20)*(IF((YEAR(D20)+20)&lt;YEAR(E20),0,IF((YEAR(D20)+20)&gt;YEAR(E20),1,(12-MONTH(E20)+1)/12))))-((P20)*(IF((YEAR(D20)+20)&lt;YEAR(E20),0,IF((YEAR(D20)+20)&gt;YEAR(E20),1,(12-MONTH(E20)+1)/12))) + (R20)*(IF((YEAR(D20)+20)&lt;YEAR(E20),0,IF((YEAR(D20)+20)&gt;YEAR(E20),1,(12-MONTH(E20)+1)/12))))-(IF((((K20)*(IF(M20="",L20,IFERROR(IF(INDEX(Variablen!$I:$AT, MATCH(M20, Variablen!$A:$A, 0), MATCH((YEAR(D20)+20), Variablen!$I$3:$AT$3, 0))="",L20,INDEX(Variablen!$I:$AT, MATCH(M20, Variablen!$A:$A, 0), MATCH((YEAR(D20)+20), Variablen!$I$3:$AT$3, 0))),L20)))*(IF((YEAR(D20)+20)&lt;YEAR(E20),0,IF((YEAR(D20)+20)&gt;YEAR(E20),1,(12-MONTH(E20)+1)/12))) + (Q20)*(IF((YEAR(D20)+20)&lt;YEAR(E20),0,IF((YEAR(D20)+20)&gt;YEAR(E20),1,(12-MONTH(E20)+1)/12))))-((P20)*(IF((YEAR(D20)+20)&lt;YEAR(E20),0,IF((YEAR(D20)+20)&gt;YEAR(E20),1,(12-MONTH(E20)+1)/12))) + (R20)*(IF((YEAR(D20)+20)&lt;YEAR(E20),0,IF((YEAR(D20)+20)&gt;YEAR(E20),1,(12-MONTH(E20)+1)/12))))-(IF(OR(N20="",N20&lt;=0),0,(O20/N20)*(IF(OR(N20="",N20&lt;=0),0,IF((YEAR(D20)+20)&lt;YEAR(E20),0,IF((YEAR(D20)+20)&gt;=YEAR(E20)+N20,0,IF((YEAR(D20)+20)=YEAR(E20),(12-MONTH(E20)+1)/12,1))))))))&gt;0,(((K20)*(IF(M20="",L20,IFERROR(IF(INDEX(Variablen!$I:$AT, MATCH(M20, Variablen!$A:$A, 0), MATCH((YEAR(D20)+20), Variablen!$I$3:$AT$3, 0))="",L20,INDEX(Variablen!$I:$AT, MATCH(M20, Variablen!$A:$A, 0), MATCH((YEAR(D20)+20), Variablen!$I$3:$AT$3, 0))),L20)))*(IF((YEAR(D20)+20)&lt;YEAR(E20),0,IF((YEAR(D20)+20)&gt;YEAR(E20),1,(12-MONTH(E20)+1)/12))) + (Q20)*(IF((YEAR(D20)+20)&lt;YEAR(E20),0,IF((YEAR(D20)+20)&gt;YEAR(E20),1,(12-MONTH(E20)+1)/12))))-((P20)*(IF((YEAR(D20)+20)&lt;YEAR(E20),0,IF((YEAR(D20)+20)&gt;YEAR(E20),1,(12-MONTH(E20)+1)/12))) + (R20)*(IF((YEAR(D20)+20)&lt;YEAR(E20),0,IF((YEAR(D20)+20)&gt;YEAR(E20),1,(12-MONTH(E20)+1)/12))))-(IF(OR(N20="",N20&lt;=0),0,(O20/N20)*(IF(OR(N20="",N20&lt;=0),0,IF((YEAR(D20)+20)&lt;YEAR(E20),0,IF((YEAR(D20)+20)&gt;=YEAR(E20)+N20,0,IF((YEAR(D20)+20)=YEAR(E20),(12-MONTH(E20)+1)/12,1))))))))*TaxRate,0))-IF(20=0,O20,0))</f>
        <v/>
      </c>
      <c r="AN20" s="29">
        <f>IF(A20="","",S20)</f>
        <v/>
      </c>
      <c r="AO20" s="29">
        <f>IF(A20="","",AN20+T20)</f>
        <v/>
      </c>
      <c r="AP20" s="29">
        <f>IF(A20="","",AO20+U20)</f>
        <v/>
      </c>
      <c r="AQ20" s="29">
        <f>IF(A20="","",AP20+V20)</f>
        <v/>
      </c>
      <c r="AR20" s="29">
        <f>IF(A20="","",AQ20+W20)</f>
        <v/>
      </c>
      <c r="AS20" s="29">
        <f>IF(A20="","",AR20+X20)</f>
        <v/>
      </c>
      <c r="AT20" s="29">
        <f>IF(A20="","",AS20+Y20)</f>
        <v/>
      </c>
      <c r="AU20" s="29">
        <f>IF(A20="","",AT20+Z20)</f>
        <v/>
      </c>
      <c r="AV20" s="29">
        <f>IF(A20="","",AU20+AA20)</f>
        <v/>
      </c>
      <c r="AW20" s="29">
        <f>IF(A20="","",AV20+AB20)</f>
        <v/>
      </c>
      <c r="AX20" s="29">
        <f>IF(A20="","",AW20+AC20)</f>
        <v/>
      </c>
      <c r="AY20" s="29">
        <f>IF(A20="","",AX20+AD20)</f>
        <v/>
      </c>
      <c r="AZ20" s="29">
        <f>IF(A20="","",AY20+AE20)</f>
        <v/>
      </c>
      <c r="BA20" s="29">
        <f>IF(A20="","",AZ20+AF20)</f>
        <v/>
      </c>
      <c r="BB20" s="29">
        <f>IF(A20="","",BA20+AG20)</f>
        <v/>
      </c>
      <c r="BC20" s="29">
        <f>IF(A20="","",BB20+AH20)</f>
        <v/>
      </c>
      <c r="BD20" s="29">
        <f>IF(A20="","",BC20+AI20)</f>
        <v/>
      </c>
      <c r="BE20" s="29">
        <f>IF(A20="","",BD20+AJ20)</f>
        <v/>
      </c>
      <c r="BF20" s="29">
        <f>IF(A20="","",BE20+AK20)</f>
        <v/>
      </c>
      <c r="BG20" s="29">
        <f>IF(A20="","",BF20+AL20)</f>
        <v/>
      </c>
      <c r="BH20" s="29">
        <f>IF(A20="","",BG20+AM20)</f>
        <v/>
      </c>
      <c r="BI20" s="36">
        <f>IF(A20="","",(K20)*(IF((YEAR(D20)+0)&lt;YEAR(E20),0,IF((YEAR(D20)+0)&gt;YEAR(E20),1,(12-MONTH(E20)+1)/12)))*(1/(1+DiscountRate)^0))</f>
        <v/>
      </c>
      <c r="BJ20" s="36">
        <f>IF(A20="","",(K20)*(IF((YEAR(D20)+1)&lt;YEAR(E20),0,IF((YEAR(D20)+1)&gt;YEAR(E20),1,(12-MONTH(E20)+1)/12)))*(1/(1+DiscountRate)^1))</f>
        <v/>
      </c>
      <c r="BK20" s="36">
        <f>IF(A20="","",(K20)*(IF((YEAR(D20)+2)&lt;YEAR(E20),0,IF((YEAR(D20)+2)&gt;YEAR(E20),1,(12-MONTH(E20)+1)/12)))*(1/(1+DiscountRate)^2))</f>
        <v/>
      </c>
      <c r="BL20" s="36">
        <f>IF(A20="","",(K20)*(IF((YEAR(D20)+3)&lt;YEAR(E20),0,IF((YEAR(D20)+3)&gt;YEAR(E20),1,(12-MONTH(E20)+1)/12)))*(1/(1+DiscountRate)^3))</f>
        <v/>
      </c>
      <c r="BM20" s="36">
        <f>IF(A20="","",(K20)*(IF((YEAR(D20)+4)&lt;YEAR(E20),0,IF((YEAR(D20)+4)&gt;YEAR(E20),1,(12-MONTH(E20)+1)/12)))*(1/(1+DiscountRate)^4))</f>
        <v/>
      </c>
      <c r="BN20" s="36">
        <f>IF(A20="","",(K20)*(IF((YEAR(D20)+5)&lt;YEAR(E20),0,IF((YEAR(D20)+5)&gt;YEAR(E20),1,(12-MONTH(E20)+1)/12)))*(1/(1+DiscountRate)^5))</f>
        <v/>
      </c>
      <c r="BO20" s="36">
        <f>IF(A20="","",(K20)*(IF((YEAR(D20)+6)&lt;YEAR(E20),0,IF((YEAR(D20)+6)&gt;YEAR(E20),1,(12-MONTH(E20)+1)/12)))*(1/(1+DiscountRate)^6))</f>
        <v/>
      </c>
      <c r="BP20" s="36">
        <f>IF(A20="","",(K20)*(IF((YEAR(D20)+7)&lt;YEAR(E20),0,IF((YEAR(D20)+7)&gt;YEAR(E20),1,(12-MONTH(E20)+1)/12)))*(1/(1+DiscountRate)^7))</f>
        <v/>
      </c>
      <c r="BQ20" s="36">
        <f>IF(A20="","",(K20)*(IF((YEAR(D20)+8)&lt;YEAR(E20),0,IF((YEAR(D20)+8)&gt;YEAR(E20),1,(12-MONTH(E20)+1)/12)))*(1/(1+DiscountRate)^8))</f>
        <v/>
      </c>
      <c r="BR20" s="36">
        <f>IF(A20="","",(K20)*(IF((YEAR(D20)+9)&lt;YEAR(E20),0,IF((YEAR(D20)+9)&gt;YEAR(E20),1,(12-MONTH(E20)+1)/12)))*(1/(1+DiscountRate)^9))</f>
        <v/>
      </c>
      <c r="BS20" s="36">
        <f>IF(A20="","",(K20)*(IF((YEAR(D20)+10)&lt;YEAR(E20),0,IF((YEAR(D20)+10)&gt;YEAR(E20),1,(12-MONTH(E20)+1)/12)))*(1/(1+DiscountRate)^10))</f>
        <v/>
      </c>
      <c r="BT20" s="36">
        <f>IF(A20="","",(K20)*(IF((YEAR(D20)+11)&lt;YEAR(E20),0,IF((YEAR(D20)+11)&gt;YEAR(E20),1,(12-MONTH(E20)+1)/12)))*(1/(1+DiscountRate)^11))</f>
        <v/>
      </c>
      <c r="BU20" s="36">
        <f>IF(A20="","",(K20)*(IF((YEAR(D20)+12)&lt;YEAR(E20),0,IF((YEAR(D20)+12)&gt;YEAR(E20),1,(12-MONTH(E20)+1)/12)))*(1/(1+DiscountRate)^12))</f>
        <v/>
      </c>
      <c r="BV20" s="36">
        <f>IF(A20="","",(K20)*(IF((YEAR(D20)+13)&lt;YEAR(E20),0,IF((YEAR(D20)+13)&gt;YEAR(E20),1,(12-MONTH(E20)+1)/12)))*(1/(1+DiscountRate)^13))</f>
        <v/>
      </c>
      <c r="BW20" s="36">
        <f>IF(A20="","",(K20)*(IF((YEAR(D20)+14)&lt;YEAR(E20),0,IF((YEAR(D20)+14)&gt;YEAR(E20),1,(12-MONTH(E20)+1)/12)))*(1/(1+DiscountRate)^14))</f>
        <v/>
      </c>
      <c r="BX20" s="36">
        <f>IF(A20="","",(K20)*(IF((YEAR(D20)+15)&lt;YEAR(E20),0,IF((YEAR(D20)+15)&gt;YEAR(E20),1,(12-MONTH(E20)+1)/12)))*(1/(1+DiscountRate)^15))</f>
        <v/>
      </c>
      <c r="BY20" s="36">
        <f>IF(A20="","",(K20)*(IF((YEAR(D20)+16)&lt;YEAR(E20),0,IF((YEAR(D20)+16)&gt;YEAR(E20),1,(12-MONTH(E20)+1)/12)))*(1/(1+DiscountRate)^16))</f>
        <v/>
      </c>
      <c r="BZ20" s="36">
        <f>IF(A20="","",(K20)*(IF((YEAR(D20)+17)&lt;YEAR(E20),0,IF((YEAR(D20)+17)&gt;YEAR(E20),1,(12-MONTH(E20)+1)/12)))*(1/(1+DiscountRate)^17))</f>
        <v/>
      </c>
      <c r="CA20" s="36">
        <f>IF(A20="","",(K20)*(IF((YEAR(D20)+18)&lt;YEAR(E20),0,IF((YEAR(D20)+18)&gt;YEAR(E20),1,(12-MONTH(E20)+1)/12)))*(1/(1+DiscountRate)^18))</f>
        <v/>
      </c>
      <c r="CB20" s="36">
        <f>IF(A20="","",(K20)*(IF((YEAR(D20)+19)&lt;YEAR(E20),0,IF((YEAR(D20)+19)&gt;YEAR(E20),1,(12-MONTH(E20)+1)/12)))*(1/(1+DiscountRate)^19))</f>
        <v/>
      </c>
      <c r="CC20" s="36">
        <f>IF(A20="","",(K20)*(IF((YEAR(D20)+20)&lt;YEAR(E20),0,IF((YEAR(D20)+20)&gt;YEAR(E20),1,(12-MONTH(E20)+1)/12)))*(1/(1+DiscountRate)^20))</f>
        <v/>
      </c>
      <c r="CD20" s="29">
        <f>IF(A20="","",S20/(1+DiscountRate)^0+T20/(1+DiscountRate)^1+U20/(1+DiscountRate)^2+V20/(1+DiscountRate)^3+W20/(1+DiscountRate)^4+X20/(1+DiscountRate)^5+Y20/(1+DiscountRate)^6+Z20/(1+DiscountRate)^7+AA20/(1+DiscountRate)^8+AB20/(1+DiscountRate)^9+AC20/(1+DiscountRate)^10+AD20/(1+DiscountRate)^11+AE20/(1+DiscountRate)^12+AF20/(1+DiscountRate)^13+AG20/(1+DiscountRate)^14+AH20/(1+DiscountRate)^15+AI20/(1+DiscountRate)^16+AJ20/(1+DiscountRate)^17+AK20/(1+DiscountRate)^18+AL20/(1+DiscountRate)^19+AM20/(1+DiscountRate)^20)</f>
        <v/>
      </c>
      <c r="CE20" s="37">
        <f>IF(A20="","",IFERROR(IRR(OFFSET(S20,0,0,1,MIN(HorizonYears,20)+1)),"n/a"))</f>
        <v/>
      </c>
      <c r="CF20" s="28">
        <f>IF(A20="","",IFERROR(MATCH(TRUE,OFFSET(AN20,0,0,1,MIN(HorizonYears,20)+1)&gt;=0,0)-1,"n/a"))</f>
        <v/>
      </c>
      <c r="CG20" s="36">
        <f>IF(A20="","",SUM(OFFSET(BI20,0,0,1,MIN(HorizonYears,20)+1)))</f>
        <v/>
      </c>
      <c r="CH20" s="36">
        <f>IF(A20="","",IFERROR(-CD20/CG20,"n/a"))</f>
        <v/>
      </c>
    </row>
    <row r="21">
      <c r="A21" s="6">
        <f>Actions!A19</f>
        <v/>
      </c>
      <c r="B21" s="6">
        <f>Actions!B19</f>
        <v/>
      </c>
      <c r="C21" s="6">
        <f>Actions!D19</f>
        <v/>
      </c>
      <c r="D21" s="35">
        <f>Actions!E19</f>
        <v/>
      </c>
      <c r="E21" s="35">
        <f>Actions!F19</f>
        <v/>
      </c>
      <c r="F21" s="6">
        <f>Actions!G19</f>
        <v/>
      </c>
      <c r="G21" s="6">
        <f>Actions!H19</f>
        <v/>
      </c>
      <c r="H21" s="29">
        <f>Actions!I19</f>
        <v/>
      </c>
      <c r="I21" s="6">
        <f>Actions!J19</f>
        <v/>
      </c>
      <c r="J21" s="16">
        <f>Actions!K19</f>
        <v/>
      </c>
      <c r="K21" s="16">
        <f>IF(A21="","",IF(I21="%",H21*J21,J21))</f>
        <v/>
      </c>
      <c r="L21" s="16">
        <f>Actions!L19</f>
        <v/>
      </c>
      <c r="M21" s="6">
        <f>Actions!M19</f>
        <v/>
      </c>
      <c r="N21" s="28">
        <f>Actions!N19</f>
        <v/>
      </c>
      <c r="O21" s="29">
        <f>Actions!T19</f>
        <v/>
      </c>
      <c r="P21" s="29">
        <f>Actions!Y19</f>
        <v/>
      </c>
      <c r="Q21" s="29">
        <f>Actions!Z19</f>
        <v/>
      </c>
      <c r="R21" s="29">
        <f>Actions!AA19</f>
        <v/>
      </c>
      <c r="S21" s="29">
        <f>IF(A21="","",((K21)*(IF(M21="",L21,IFERROR(IF(INDEX(Variablen!$I:$AT, MATCH(M21, Variablen!$A:$A, 0), MATCH((YEAR(D21)+0), Variablen!$I$3:$AT$3, 0))="",L21,INDEX(Variablen!$I:$AT, MATCH(M21, Variablen!$A:$A, 0), MATCH((YEAR(D21)+0), Variablen!$I$3:$AT$3, 0))),L21)))*(IF((YEAR(D21)+0)&lt;YEAR(E21),0,IF((YEAR(D21)+0)&gt;YEAR(E21),1,(12-MONTH(E21)+1)/12))) + (Q21)*(IF((YEAR(D21)+0)&lt;YEAR(E21),0,IF((YEAR(D21)+0)&gt;YEAR(E21),1,(12-MONTH(E21)+1)/12))))-((P21)*(IF((YEAR(D21)+0)&lt;YEAR(E21),0,IF((YEAR(D21)+0)&gt;YEAR(E21),1,(12-MONTH(E21)+1)/12))) + (R21)*(IF((YEAR(D21)+0)&lt;YEAR(E21),0,IF((YEAR(D21)+0)&gt;YEAR(E21),1,(12-MONTH(E21)+1)/12))))-(IF((((K21)*(IF(M21="",L21,IFERROR(IF(INDEX(Variablen!$I:$AT, MATCH(M21, Variablen!$A:$A, 0), MATCH((YEAR(D21)+0), Variablen!$I$3:$AT$3, 0))="",L21,INDEX(Variablen!$I:$AT, MATCH(M21, Variablen!$A:$A, 0), MATCH((YEAR(D21)+0), Variablen!$I$3:$AT$3, 0))),L21)))*(IF((YEAR(D21)+0)&lt;YEAR(E21),0,IF((YEAR(D21)+0)&gt;YEAR(E21),1,(12-MONTH(E21)+1)/12))) + (Q21)*(IF((YEAR(D21)+0)&lt;YEAR(E21),0,IF((YEAR(D21)+0)&gt;YEAR(E21),1,(12-MONTH(E21)+1)/12))))-((P21)*(IF((YEAR(D21)+0)&lt;YEAR(E21),0,IF((YEAR(D21)+0)&gt;YEAR(E21),1,(12-MONTH(E21)+1)/12))) + (R21)*(IF((YEAR(D21)+0)&lt;YEAR(E21),0,IF((YEAR(D21)+0)&gt;YEAR(E21),1,(12-MONTH(E21)+1)/12))))-(IF(OR(N21="",N21&lt;=0),0,(O21/N21)*(IF(OR(N21="",N21&lt;=0),0,IF((YEAR(D21)+0)&lt;YEAR(E21),0,IF((YEAR(D21)+0)&gt;=YEAR(E21)+N21,0,IF((YEAR(D21)+0)=YEAR(E21),(12-MONTH(E21)+1)/12,1))))))))&gt;0,(((K21)*(IF(M21="",L21,IFERROR(IF(INDEX(Variablen!$I:$AT, MATCH(M21, Variablen!$A:$A, 0), MATCH((YEAR(D21)+0), Variablen!$I$3:$AT$3, 0))="",L21,INDEX(Variablen!$I:$AT, MATCH(M21, Variablen!$A:$A, 0), MATCH((YEAR(D21)+0), Variablen!$I$3:$AT$3, 0))),L21)))*(IF((YEAR(D21)+0)&lt;YEAR(E21),0,IF((YEAR(D21)+0)&gt;YEAR(E21),1,(12-MONTH(E21)+1)/12))) + (Q21)*(IF((YEAR(D21)+0)&lt;YEAR(E21),0,IF((YEAR(D21)+0)&gt;YEAR(E21),1,(12-MONTH(E21)+1)/12))))-((P21)*(IF((YEAR(D21)+0)&lt;YEAR(E21),0,IF((YEAR(D21)+0)&gt;YEAR(E21),1,(12-MONTH(E21)+1)/12))) + (R21)*(IF((YEAR(D21)+0)&lt;YEAR(E21),0,IF((YEAR(D21)+0)&gt;YEAR(E21),1,(12-MONTH(E21)+1)/12))))-(IF(OR(N21="",N21&lt;=0),0,(O21/N21)*(IF(OR(N21="",N21&lt;=0),0,IF((YEAR(D21)+0)&lt;YEAR(E21),0,IF((YEAR(D21)+0)&gt;=YEAR(E21)+N21,0,IF((YEAR(D21)+0)=YEAR(E21),(12-MONTH(E21)+1)/12,1))))))))*TaxRate,0))-IF(0=0,O21,0))</f>
        <v/>
      </c>
      <c r="T21" s="29">
        <f>IF(A21="","",((K21)*(IF(M21="",L21,IFERROR(IF(INDEX(Variablen!$I:$AT, MATCH(M21, Variablen!$A:$A, 0), MATCH((YEAR(D21)+1), Variablen!$I$3:$AT$3, 0))="",L21,INDEX(Variablen!$I:$AT, MATCH(M21, Variablen!$A:$A, 0), MATCH((YEAR(D21)+1), Variablen!$I$3:$AT$3, 0))),L21)))*(IF((YEAR(D21)+1)&lt;YEAR(E21),0,IF((YEAR(D21)+1)&gt;YEAR(E21),1,(12-MONTH(E21)+1)/12))) + (Q21)*(IF((YEAR(D21)+1)&lt;YEAR(E21),0,IF((YEAR(D21)+1)&gt;YEAR(E21),1,(12-MONTH(E21)+1)/12))))-((P21)*(IF((YEAR(D21)+1)&lt;YEAR(E21),0,IF((YEAR(D21)+1)&gt;YEAR(E21),1,(12-MONTH(E21)+1)/12))) + (R21)*(IF((YEAR(D21)+1)&lt;YEAR(E21),0,IF((YEAR(D21)+1)&gt;YEAR(E21),1,(12-MONTH(E21)+1)/12))))-(IF((((K21)*(IF(M21="",L21,IFERROR(IF(INDEX(Variablen!$I:$AT, MATCH(M21, Variablen!$A:$A, 0), MATCH((YEAR(D21)+1), Variablen!$I$3:$AT$3, 0))="",L21,INDEX(Variablen!$I:$AT, MATCH(M21, Variablen!$A:$A, 0), MATCH((YEAR(D21)+1), Variablen!$I$3:$AT$3, 0))),L21)))*(IF((YEAR(D21)+1)&lt;YEAR(E21),0,IF((YEAR(D21)+1)&gt;YEAR(E21),1,(12-MONTH(E21)+1)/12))) + (Q21)*(IF((YEAR(D21)+1)&lt;YEAR(E21),0,IF((YEAR(D21)+1)&gt;YEAR(E21),1,(12-MONTH(E21)+1)/12))))-((P21)*(IF((YEAR(D21)+1)&lt;YEAR(E21),0,IF((YEAR(D21)+1)&gt;YEAR(E21),1,(12-MONTH(E21)+1)/12))) + (R21)*(IF((YEAR(D21)+1)&lt;YEAR(E21),0,IF((YEAR(D21)+1)&gt;YEAR(E21),1,(12-MONTH(E21)+1)/12))))-(IF(OR(N21="",N21&lt;=0),0,(O21/N21)*(IF(OR(N21="",N21&lt;=0),0,IF((YEAR(D21)+1)&lt;YEAR(E21),0,IF((YEAR(D21)+1)&gt;=YEAR(E21)+N21,0,IF((YEAR(D21)+1)=YEAR(E21),(12-MONTH(E21)+1)/12,1))))))))&gt;0,(((K21)*(IF(M21="",L21,IFERROR(IF(INDEX(Variablen!$I:$AT, MATCH(M21, Variablen!$A:$A, 0), MATCH((YEAR(D21)+1), Variablen!$I$3:$AT$3, 0))="",L21,INDEX(Variablen!$I:$AT, MATCH(M21, Variablen!$A:$A, 0), MATCH((YEAR(D21)+1), Variablen!$I$3:$AT$3, 0))),L21)))*(IF((YEAR(D21)+1)&lt;YEAR(E21),0,IF((YEAR(D21)+1)&gt;YEAR(E21),1,(12-MONTH(E21)+1)/12))) + (Q21)*(IF((YEAR(D21)+1)&lt;YEAR(E21),0,IF((YEAR(D21)+1)&gt;YEAR(E21),1,(12-MONTH(E21)+1)/12))))-((P21)*(IF((YEAR(D21)+1)&lt;YEAR(E21),0,IF((YEAR(D21)+1)&gt;YEAR(E21),1,(12-MONTH(E21)+1)/12))) + (R21)*(IF((YEAR(D21)+1)&lt;YEAR(E21),0,IF((YEAR(D21)+1)&gt;YEAR(E21),1,(12-MONTH(E21)+1)/12))))-(IF(OR(N21="",N21&lt;=0),0,(O21/N21)*(IF(OR(N21="",N21&lt;=0),0,IF((YEAR(D21)+1)&lt;YEAR(E21),0,IF((YEAR(D21)+1)&gt;=YEAR(E21)+N21,0,IF((YEAR(D21)+1)=YEAR(E21),(12-MONTH(E21)+1)/12,1))))))))*TaxRate,0))-IF(1=0,O21,0))</f>
        <v/>
      </c>
      <c r="U21" s="29">
        <f>IF(A21="","",((K21)*(IF(M21="",L21,IFERROR(IF(INDEX(Variablen!$I:$AT, MATCH(M21, Variablen!$A:$A, 0), MATCH((YEAR(D21)+2), Variablen!$I$3:$AT$3, 0))="",L21,INDEX(Variablen!$I:$AT, MATCH(M21, Variablen!$A:$A, 0), MATCH((YEAR(D21)+2), Variablen!$I$3:$AT$3, 0))),L21)))*(IF((YEAR(D21)+2)&lt;YEAR(E21),0,IF((YEAR(D21)+2)&gt;YEAR(E21),1,(12-MONTH(E21)+1)/12))) + (Q21)*(IF((YEAR(D21)+2)&lt;YEAR(E21),0,IF((YEAR(D21)+2)&gt;YEAR(E21),1,(12-MONTH(E21)+1)/12))))-((P21)*(IF((YEAR(D21)+2)&lt;YEAR(E21),0,IF((YEAR(D21)+2)&gt;YEAR(E21),1,(12-MONTH(E21)+1)/12))) + (R21)*(IF((YEAR(D21)+2)&lt;YEAR(E21),0,IF((YEAR(D21)+2)&gt;YEAR(E21),1,(12-MONTH(E21)+1)/12))))-(IF((((K21)*(IF(M21="",L21,IFERROR(IF(INDEX(Variablen!$I:$AT, MATCH(M21, Variablen!$A:$A, 0), MATCH((YEAR(D21)+2), Variablen!$I$3:$AT$3, 0))="",L21,INDEX(Variablen!$I:$AT, MATCH(M21, Variablen!$A:$A, 0), MATCH((YEAR(D21)+2), Variablen!$I$3:$AT$3, 0))),L21)))*(IF((YEAR(D21)+2)&lt;YEAR(E21),0,IF((YEAR(D21)+2)&gt;YEAR(E21),1,(12-MONTH(E21)+1)/12))) + (Q21)*(IF((YEAR(D21)+2)&lt;YEAR(E21),0,IF((YEAR(D21)+2)&gt;YEAR(E21),1,(12-MONTH(E21)+1)/12))))-((P21)*(IF((YEAR(D21)+2)&lt;YEAR(E21),0,IF((YEAR(D21)+2)&gt;YEAR(E21),1,(12-MONTH(E21)+1)/12))) + (R21)*(IF((YEAR(D21)+2)&lt;YEAR(E21),0,IF((YEAR(D21)+2)&gt;YEAR(E21),1,(12-MONTH(E21)+1)/12))))-(IF(OR(N21="",N21&lt;=0),0,(O21/N21)*(IF(OR(N21="",N21&lt;=0),0,IF((YEAR(D21)+2)&lt;YEAR(E21),0,IF((YEAR(D21)+2)&gt;=YEAR(E21)+N21,0,IF((YEAR(D21)+2)=YEAR(E21),(12-MONTH(E21)+1)/12,1))))))))&gt;0,(((K21)*(IF(M21="",L21,IFERROR(IF(INDEX(Variablen!$I:$AT, MATCH(M21, Variablen!$A:$A, 0), MATCH((YEAR(D21)+2), Variablen!$I$3:$AT$3, 0))="",L21,INDEX(Variablen!$I:$AT, MATCH(M21, Variablen!$A:$A, 0), MATCH((YEAR(D21)+2), Variablen!$I$3:$AT$3, 0))),L21)))*(IF((YEAR(D21)+2)&lt;YEAR(E21),0,IF((YEAR(D21)+2)&gt;YEAR(E21),1,(12-MONTH(E21)+1)/12))) + (Q21)*(IF((YEAR(D21)+2)&lt;YEAR(E21),0,IF((YEAR(D21)+2)&gt;YEAR(E21),1,(12-MONTH(E21)+1)/12))))-((P21)*(IF((YEAR(D21)+2)&lt;YEAR(E21),0,IF((YEAR(D21)+2)&gt;YEAR(E21),1,(12-MONTH(E21)+1)/12))) + (R21)*(IF((YEAR(D21)+2)&lt;YEAR(E21),0,IF((YEAR(D21)+2)&gt;YEAR(E21),1,(12-MONTH(E21)+1)/12))))-(IF(OR(N21="",N21&lt;=0),0,(O21/N21)*(IF(OR(N21="",N21&lt;=0),0,IF((YEAR(D21)+2)&lt;YEAR(E21),0,IF((YEAR(D21)+2)&gt;=YEAR(E21)+N21,0,IF((YEAR(D21)+2)=YEAR(E21),(12-MONTH(E21)+1)/12,1))))))))*TaxRate,0))-IF(2=0,O21,0))</f>
        <v/>
      </c>
      <c r="V21" s="29">
        <f>IF(A21="","",((K21)*(IF(M21="",L21,IFERROR(IF(INDEX(Variablen!$I:$AT, MATCH(M21, Variablen!$A:$A, 0), MATCH((YEAR(D21)+3), Variablen!$I$3:$AT$3, 0))="",L21,INDEX(Variablen!$I:$AT, MATCH(M21, Variablen!$A:$A, 0), MATCH((YEAR(D21)+3), Variablen!$I$3:$AT$3, 0))),L21)))*(IF((YEAR(D21)+3)&lt;YEAR(E21),0,IF((YEAR(D21)+3)&gt;YEAR(E21),1,(12-MONTH(E21)+1)/12))) + (Q21)*(IF((YEAR(D21)+3)&lt;YEAR(E21),0,IF((YEAR(D21)+3)&gt;YEAR(E21),1,(12-MONTH(E21)+1)/12))))-((P21)*(IF((YEAR(D21)+3)&lt;YEAR(E21),0,IF((YEAR(D21)+3)&gt;YEAR(E21),1,(12-MONTH(E21)+1)/12))) + (R21)*(IF((YEAR(D21)+3)&lt;YEAR(E21),0,IF((YEAR(D21)+3)&gt;YEAR(E21),1,(12-MONTH(E21)+1)/12))))-(IF((((K21)*(IF(M21="",L21,IFERROR(IF(INDEX(Variablen!$I:$AT, MATCH(M21, Variablen!$A:$A, 0), MATCH((YEAR(D21)+3), Variablen!$I$3:$AT$3, 0))="",L21,INDEX(Variablen!$I:$AT, MATCH(M21, Variablen!$A:$A, 0), MATCH((YEAR(D21)+3), Variablen!$I$3:$AT$3, 0))),L21)))*(IF((YEAR(D21)+3)&lt;YEAR(E21),0,IF((YEAR(D21)+3)&gt;YEAR(E21),1,(12-MONTH(E21)+1)/12))) + (Q21)*(IF((YEAR(D21)+3)&lt;YEAR(E21),0,IF((YEAR(D21)+3)&gt;YEAR(E21),1,(12-MONTH(E21)+1)/12))))-((P21)*(IF((YEAR(D21)+3)&lt;YEAR(E21),0,IF((YEAR(D21)+3)&gt;YEAR(E21),1,(12-MONTH(E21)+1)/12))) + (R21)*(IF((YEAR(D21)+3)&lt;YEAR(E21),0,IF((YEAR(D21)+3)&gt;YEAR(E21),1,(12-MONTH(E21)+1)/12))))-(IF(OR(N21="",N21&lt;=0),0,(O21/N21)*(IF(OR(N21="",N21&lt;=0),0,IF((YEAR(D21)+3)&lt;YEAR(E21),0,IF((YEAR(D21)+3)&gt;=YEAR(E21)+N21,0,IF((YEAR(D21)+3)=YEAR(E21),(12-MONTH(E21)+1)/12,1))))))))&gt;0,(((K21)*(IF(M21="",L21,IFERROR(IF(INDEX(Variablen!$I:$AT, MATCH(M21, Variablen!$A:$A, 0), MATCH((YEAR(D21)+3), Variablen!$I$3:$AT$3, 0))="",L21,INDEX(Variablen!$I:$AT, MATCH(M21, Variablen!$A:$A, 0), MATCH((YEAR(D21)+3), Variablen!$I$3:$AT$3, 0))),L21)))*(IF((YEAR(D21)+3)&lt;YEAR(E21),0,IF((YEAR(D21)+3)&gt;YEAR(E21),1,(12-MONTH(E21)+1)/12))) + (Q21)*(IF((YEAR(D21)+3)&lt;YEAR(E21),0,IF((YEAR(D21)+3)&gt;YEAR(E21),1,(12-MONTH(E21)+1)/12))))-((P21)*(IF((YEAR(D21)+3)&lt;YEAR(E21),0,IF((YEAR(D21)+3)&gt;YEAR(E21),1,(12-MONTH(E21)+1)/12))) + (R21)*(IF((YEAR(D21)+3)&lt;YEAR(E21),0,IF((YEAR(D21)+3)&gt;YEAR(E21),1,(12-MONTH(E21)+1)/12))))-(IF(OR(N21="",N21&lt;=0),0,(O21/N21)*(IF(OR(N21="",N21&lt;=0),0,IF((YEAR(D21)+3)&lt;YEAR(E21),0,IF((YEAR(D21)+3)&gt;=YEAR(E21)+N21,0,IF((YEAR(D21)+3)=YEAR(E21),(12-MONTH(E21)+1)/12,1))))))))*TaxRate,0))-IF(3=0,O21,0))</f>
        <v/>
      </c>
      <c r="W21" s="29">
        <f>IF(A21="","",((K21)*(IF(M21="",L21,IFERROR(IF(INDEX(Variablen!$I:$AT, MATCH(M21, Variablen!$A:$A, 0), MATCH((YEAR(D21)+4), Variablen!$I$3:$AT$3, 0))="",L21,INDEX(Variablen!$I:$AT, MATCH(M21, Variablen!$A:$A, 0), MATCH((YEAR(D21)+4), Variablen!$I$3:$AT$3, 0))),L21)))*(IF((YEAR(D21)+4)&lt;YEAR(E21),0,IF((YEAR(D21)+4)&gt;YEAR(E21),1,(12-MONTH(E21)+1)/12))) + (Q21)*(IF((YEAR(D21)+4)&lt;YEAR(E21),0,IF((YEAR(D21)+4)&gt;YEAR(E21),1,(12-MONTH(E21)+1)/12))))-((P21)*(IF((YEAR(D21)+4)&lt;YEAR(E21),0,IF((YEAR(D21)+4)&gt;YEAR(E21),1,(12-MONTH(E21)+1)/12))) + (R21)*(IF((YEAR(D21)+4)&lt;YEAR(E21),0,IF((YEAR(D21)+4)&gt;YEAR(E21),1,(12-MONTH(E21)+1)/12))))-(IF((((K21)*(IF(M21="",L21,IFERROR(IF(INDEX(Variablen!$I:$AT, MATCH(M21, Variablen!$A:$A, 0), MATCH((YEAR(D21)+4), Variablen!$I$3:$AT$3, 0))="",L21,INDEX(Variablen!$I:$AT, MATCH(M21, Variablen!$A:$A, 0), MATCH((YEAR(D21)+4), Variablen!$I$3:$AT$3, 0))),L21)))*(IF((YEAR(D21)+4)&lt;YEAR(E21),0,IF((YEAR(D21)+4)&gt;YEAR(E21),1,(12-MONTH(E21)+1)/12))) + (Q21)*(IF((YEAR(D21)+4)&lt;YEAR(E21),0,IF((YEAR(D21)+4)&gt;YEAR(E21),1,(12-MONTH(E21)+1)/12))))-((P21)*(IF((YEAR(D21)+4)&lt;YEAR(E21),0,IF((YEAR(D21)+4)&gt;YEAR(E21),1,(12-MONTH(E21)+1)/12))) + (R21)*(IF((YEAR(D21)+4)&lt;YEAR(E21),0,IF((YEAR(D21)+4)&gt;YEAR(E21),1,(12-MONTH(E21)+1)/12))))-(IF(OR(N21="",N21&lt;=0),0,(O21/N21)*(IF(OR(N21="",N21&lt;=0),0,IF((YEAR(D21)+4)&lt;YEAR(E21),0,IF((YEAR(D21)+4)&gt;=YEAR(E21)+N21,0,IF((YEAR(D21)+4)=YEAR(E21),(12-MONTH(E21)+1)/12,1))))))))&gt;0,(((K21)*(IF(M21="",L21,IFERROR(IF(INDEX(Variablen!$I:$AT, MATCH(M21, Variablen!$A:$A, 0), MATCH((YEAR(D21)+4), Variablen!$I$3:$AT$3, 0))="",L21,INDEX(Variablen!$I:$AT, MATCH(M21, Variablen!$A:$A, 0), MATCH((YEAR(D21)+4), Variablen!$I$3:$AT$3, 0))),L21)))*(IF((YEAR(D21)+4)&lt;YEAR(E21),0,IF((YEAR(D21)+4)&gt;YEAR(E21),1,(12-MONTH(E21)+1)/12))) + (Q21)*(IF((YEAR(D21)+4)&lt;YEAR(E21),0,IF((YEAR(D21)+4)&gt;YEAR(E21),1,(12-MONTH(E21)+1)/12))))-((P21)*(IF((YEAR(D21)+4)&lt;YEAR(E21),0,IF((YEAR(D21)+4)&gt;YEAR(E21),1,(12-MONTH(E21)+1)/12))) + (R21)*(IF((YEAR(D21)+4)&lt;YEAR(E21),0,IF((YEAR(D21)+4)&gt;YEAR(E21),1,(12-MONTH(E21)+1)/12))))-(IF(OR(N21="",N21&lt;=0),0,(O21/N21)*(IF(OR(N21="",N21&lt;=0),0,IF((YEAR(D21)+4)&lt;YEAR(E21),0,IF((YEAR(D21)+4)&gt;=YEAR(E21)+N21,0,IF((YEAR(D21)+4)=YEAR(E21),(12-MONTH(E21)+1)/12,1))))))))*TaxRate,0))-IF(4=0,O21,0))</f>
        <v/>
      </c>
      <c r="X21" s="29">
        <f>IF(A21="","",((K21)*(IF(M21="",L21,IFERROR(IF(INDEX(Variablen!$I:$AT, MATCH(M21, Variablen!$A:$A, 0), MATCH((YEAR(D21)+5), Variablen!$I$3:$AT$3, 0))="",L21,INDEX(Variablen!$I:$AT, MATCH(M21, Variablen!$A:$A, 0), MATCH((YEAR(D21)+5), Variablen!$I$3:$AT$3, 0))),L21)))*(IF((YEAR(D21)+5)&lt;YEAR(E21),0,IF((YEAR(D21)+5)&gt;YEAR(E21),1,(12-MONTH(E21)+1)/12))) + (Q21)*(IF((YEAR(D21)+5)&lt;YEAR(E21),0,IF((YEAR(D21)+5)&gt;YEAR(E21),1,(12-MONTH(E21)+1)/12))))-((P21)*(IF((YEAR(D21)+5)&lt;YEAR(E21),0,IF((YEAR(D21)+5)&gt;YEAR(E21),1,(12-MONTH(E21)+1)/12))) + (R21)*(IF((YEAR(D21)+5)&lt;YEAR(E21),0,IF((YEAR(D21)+5)&gt;YEAR(E21),1,(12-MONTH(E21)+1)/12))))-(IF((((K21)*(IF(M21="",L21,IFERROR(IF(INDEX(Variablen!$I:$AT, MATCH(M21, Variablen!$A:$A, 0), MATCH((YEAR(D21)+5), Variablen!$I$3:$AT$3, 0))="",L21,INDEX(Variablen!$I:$AT, MATCH(M21, Variablen!$A:$A, 0), MATCH((YEAR(D21)+5), Variablen!$I$3:$AT$3, 0))),L21)))*(IF((YEAR(D21)+5)&lt;YEAR(E21),0,IF((YEAR(D21)+5)&gt;YEAR(E21),1,(12-MONTH(E21)+1)/12))) + (Q21)*(IF((YEAR(D21)+5)&lt;YEAR(E21),0,IF((YEAR(D21)+5)&gt;YEAR(E21),1,(12-MONTH(E21)+1)/12))))-((P21)*(IF((YEAR(D21)+5)&lt;YEAR(E21),0,IF((YEAR(D21)+5)&gt;YEAR(E21),1,(12-MONTH(E21)+1)/12))) + (R21)*(IF((YEAR(D21)+5)&lt;YEAR(E21),0,IF((YEAR(D21)+5)&gt;YEAR(E21),1,(12-MONTH(E21)+1)/12))))-(IF(OR(N21="",N21&lt;=0),0,(O21/N21)*(IF(OR(N21="",N21&lt;=0),0,IF((YEAR(D21)+5)&lt;YEAR(E21),0,IF((YEAR(D21)+5)&gt;=YEAR(E21)+N21,0,IF((YEAR(D21)+5)=YEAR(E21),(12-MONTH(E21)+1)/12,1))))))))&gt;0,(((K21)*(IF(M21="",L21,IFERROR(IF(INDEX(Variablen!$I:$AT, MATCH(M21, Variablen!$A:$A, 0), MATCH((YEAR(D21)+5), Variablen!$I$3:$AT$3, 0))="",L21,INDEX(Variablen!$I:$AT, MATCH(M21, Variablen!$A:$A, 0), MATCH((YEAR(D21)+5), Variablen!$I$3:$AT$3, 0))),L21)))*(IF((YEAR(D21)+5)&lt;YEAR(E21),0,IF((YEAR(D21)+5)&gt;YEAR(E21),1,(12-MONTH(E21)+1)/12))) + (Q21)*(IF((YEAR(D21)+5)&lt;YEAR(E21),0,IF((YEAR(D21)+5)&gt;YEAR(E21),1,(12-MONTH(E21)+1)/12))))-((P21)*(IF((YEAR(D21)+5)&lt;YEAR(E21),0,IF((YEAR(D21)+5)&gt;YEAR(E21),1,(12-MONTH(E21)+1)/12))) + (R21)*(IF((YEAR(D21)+5)&lt;YEAR(E21),0,IF((YEAR(D21)+5)&gt;YEAR(E21),1,(12-MONTH(E21)+1)/12))))-(IF(OR(N21="",N21&lt;=0),0,(O21/N21)*(IF(OR(N21="",N21&lt;=0),0,IF((YEAR(D21)+5)&lt;YEAR(E21),0,IF((YEAR(D21)+5)&gt;=YEAR(E21)+N21,0,IF((YEAR(D21)+5)=YEAR(E21),(12-MONTH(E21)+1)/12,1))))))))*TaxRate,0))-IF(5=0,O21,0))</f>
        <v/>
      </c>
      <c r="Y21" s="29">
        <f>IF(A21="","",((K21)*(IF(M21="",L21,IFERROR(IF(INDEX(Variablen!$I:$AT, MATCH(M21, Variablen!$A:$A, 0), MATCH((YEAR(D21)+6), Variablen!$I$3:$AT$3, 0))="",L21,INDEX(Variablen!$I:$AT, MATCH(M21, Variablen!$A:$A, 0), MATCH((YEAR(D21)+6), Variablen!$I$3:$AT$3, 0))),L21)))*(IF((YEAR(D21)+6)&lt;YEAR(E21),0,IF((YEAR(D21)+6)&gt;YEAR(E21),1,(12-MONTH(E21)+1)/12))) + (Q21)*(IF((YEAR(D21)+6)&lt;YEAR(E21),0,IF((YEAR(D21)+6)&gt;YEAR(E21),1,(12-MONTH(E21)+1)/12))))-((P21)*(IF((YEAR(D21)+6)&lt;YEAR(E21),0,IF((YEAR(D21)+6)&gt;YEAR(E21),1,(12-MONTH(E21)+1)/12))) + (R21)*(IF((YEAR(D21)+6)&lt;YEAR(E21),0,IF((YEAR(D21)+6)&gt;YEAR(E21),1,(12-MONTH(E21)+1)/12))))-(IF((((K21)*(IF(M21="",L21,IFERROR(IF(INDEX(Variablen!$I:$AT, MATCH(M21, Variablen!$A:$A, 0), MATCH((YEAR(D21)+6), Variablen!$I$3:$AT$3, 0))="",L21,INDEX(Variablen!$I:$AT, MATCH(M21, Variablen!$A:$A, 0), MATCH((YEAR(D21)+6), Variablen!$I$3:$AT$3, 0))),L21)))*(IF((YEAR(D21)+6)&lt;YEAR(E21),0,IF((YEAR(D21)+6)&gt;YEAR(E21),1,(12-MONTH(E21)+1)/12))) + (Q21)*(IF((YEAR(D21)+6)&lt;YEAR(E21),0,IF((YEAR(D21)+6)&gt;YEAR(E21),1,(12-MONTH(E21)+1)/12))))-((P21)*(IF((YEAR(D21)+6)&lt;YEAR(E21),0,IF((YEAR(D21)+6)&gt;YEAR(E21),1,(12-MONTH(E21)+1)/12))) + (R21)*(IF((YEAR(D21)+6)&lt;YEAR(E21),0,IF((YEAR(D21)+6)&gt;YEAR(E21),1,(12-MONTH(E21)+1)/12))))-(IF(OR(N21="",N21&lt;=0),0,(O21/N21)*(IF(OR(N21="",N21&lt;=0),0,IF((YEAR(D21)+6)&lt;YEAR(E21),0,IF((YEAR(D21)+6)&gt;=YEAR(E21)+N21,0,IF((YEAR(D21)+6)=YEAR(E21),(12-MONTH(E21)+1)/12,1))))))))&gt;0,(((K21)*(IF(M21="",L21,IFERROR(IF(INDEX(Variablen!$I:$AT, MATCH(M21, Variablen!$A:$A, 0), MATCH((YEAR(D21)+6), Variablen!$I$3:$AT$3, 0))="",L21,INDEX(Variablen!$I:$AT, MATCH(M21, Variablen!$A:$A, 0), MATCH((YEAR(D21)+6), Variablen!$I$3:$AT$3, 0))),L21)))*(IF((YEAR(D21)+6)&lt;YEAR(E21),0,IF((YEAR(D21)+6)&gt;YEAR(E21),1,(12-MONTH(E21)+1)/12))) + (Q21)*(IF((YEAR(D21)+6)&lt;YEAR(E21),0,IF((YEAR(D21)+6)&gt;YEAR(E21),1,(12-MONTH(E21)+1)/12))))-((P21)*(IF((YEAR(D21)+6)&lt;YEAR(E21),0,IF((YEAR(D21)+6)&gt;YEAR(E21),1,(12-MONTH(E21)+1)/12))) + (R21)*(IF((YEAR(D21)+6)&lt;YEAR(E21),0,IF((YEAR(D21)+6)&gt;YEAR(E21),1,(12-MONTH(E21)+1)/12))))-(IF(OR(N21="",N21&lt;=0),0,(O21/N21)*(IF(OR(N21="",N21&lt;=0),0,IF((YEAR(D21)+6)&lt;YEAR(E21),0,IF((YEAR(D21)+6)&gt;=YEAR(E21)+N21,0,IF((YEAR(D21)+6)=YEAR(E21),(12-MONTH(E21)+1)/12,1))))))))*TaxRate,0))-IF(6=0,O21,0))</f>
        <v/>
      </c>
      <c r="Z21" s="29">
        <f>IF(A21="","",((K21)*(IF(M21="",L21,IFERROR(IF(INDEX(Variablen!$I:$AT, MATCH(M21, Variablen!$A:$A, 0), MATCH((YEAR(D21)+7), Variablen!$I$3:$AT$3, 0))="",L21,INDEX(Variablen!$I:$AT, MATCH(M21, Variablen!$A:$A, 0), MATCH((YEAR(D21)+7), Variablen!$I$3:$AT$3, 0))),L21)))*(IF((YEAR(D21)+7)&lt;YEAR(E21),0,IF((YEAR(D21)+7)&gt;YEAR(E21),1,(12-MONTH(E21)+1)/12))) + (Q21)*(IF((YEAR(D21)+7)&lt;YEAR(E21),0,IF((YEAR(D21)+7)&gt;YEAR(E21),1,(12-MONTH(E21)+1)/12))))-((P21)*(IF((YEAR(D21)+7)&lt;YEAR(E21),0,IF((YEAR(D21)+7)&gt;YEAR(E21),1,(12-MONTH(E21)+1)/12))) + (R21)*(IF((YEAR(D21)+7)&lt;YEAR(E21),0,IF((YEAR(D21)+7)&gt;YEAR(E21),1,(12-MONTH(E21)+1)/12))))-(IF((((K21)*(IF(M21="",L21,IFERROR(IF(INDEX(Variablen!$I:$AT, MATCH(M21, Variablen!$A:$A, 0), MATCH((YEAR(D21)+7), Variablen!$I$3:$AT$3, 0))="",L21,INDEX(Variablen!$I:$AT, MATCH(M21, Variablen!$A:$A, 0), MATCH((YEAR(D21)+7), Variablen!$I$3:$AT$3, 0))),L21)))*(IF((YEAR(D21)+7)&lt;YEAR(E21),0,IF((YEAR(D21)+7)&gt;YEAR(E21),1,(12-MONTH(E21)+1)/12))) + (Q21)*(IF((YEAR(D21)+7)&lt;YEAR(E21),0,IF((YEAR(D21)+7)&gt;YEAR(E21),1,(12-MONTH(E21)+1)/12))))-((P21)*(IF((YEAR(D21)+7)&lt;YEAR(E21),0,IF((YEAR(D21)+7)&gt;YEAR(E21),1,(12-MONTH(E21)+1)/12))) + (R21)*(IF((YEAR(D21)+7)&lt;YEAR(E21),0,IF((YEAR(D21)+7)&gt;YEAR(E21),1,(12-MONTH(E21)+1)/12))))-(IF(OR(N21="",N21&lt;=0),0,(O21/N21)*(IF(OR(N21="",N21&lt;=0),0,IF((YEAR(D21)+7)&lt;YEAR(E21),0,IF((YEAR(D21)+7)&gt;=YEAR(E21)+N21,0,IF((YEAR(D21)+7)=YEAR(E21),(12-MONTH(E21)+1)/12,1))))))))&gt;0,(((K21)*(IF(M21="",L21,IFERROR(IF(INDEX(Variablen!$I:$AT, MATCH(M21, Variablen!$A:$A, 0), MATCH((YEAR(D21)+7), Variablen!$I$3:$AT$3, 0))="",L21,INDEX(Variablen!$I:$AT, MATCH(M21, Variablen!$A:$A, 0), MATCH((YEAR(D21)+7), Variablen!$I$3:$AT$3, 0))),L21)))*(IF((YEAR(D21)+7)&lt;YEAR(E21),0,IF((YEAR(D21)+7)&gt;YEAR(E21),1,(12-MONTH(E21)+1)/12))) + (Q21)*(IF((YEAR(D21)+7)&lt;YEAR(E21),0,IF((YEAR(D21)+7)&gt;YEAR(E21),1,(12-MONTH(E21)+1)/12))))-((P21)*(IF((YEAR(D21)+7)&lt;YEAR(E21),0,IF((YEAR(D21)+7)&gt;YEAR(E21),1,(12-MONTH(E21)+1)/12))) + (R21)*(IF((YEAR(D21)+7)&lt;YEAR(E21),0,IF((YEAR(D21)+7)&gt;YEAR(E21),1,(12-MONTH(E21)+1)/12))))-(IF(OR(N21="",N21&lt;=0),0,(O21/N21)*(IF(OR(N21="",N21&lt;=0),0,IF((YEAR(D21)+7)&lt;YEAR(E21),0,IF((YEAR(D21)+7)&gt;=YEAR(E21)+N21,0,IF((YEAR(D21)+7)=YEAR(E21),(12-MONTH(E21)+1)/12,1))))))))*TaxRate,0))-IF(7=0,O21,0))</f>
        <v/>
      </c>
      <c r="AA21" s="29">
        <f>IF(A21="","",((K21)*(IF(M21="",L21,IFERROR(IF(INDEX(Variablen!$I:$AT, MATCH(M21, Variablen!$A:$A, 0), MATCH((YEAR(D21)+8), Variablen!$I$3:$AT$3, 0))="",L21,INDEX(Variablen!$I:$AT, MATCH(M21, Variablen!$A:$A, 0), MATCH((YEAR(D21)+8), Variablen!$I$3:$AT$3, 0))),L21)))*(IF((YEAR(D21)+8)&lt;YEAR(E21),0,IF((YEAR(D21)+8)&gt;YEAR(E21),1,(12-MONTH(E21)+1)/12))) + (Q21)*(IF((YEAR(D21)+8)&lt;YEAR(E21),0,IF((YEAR(D21)+8)&gt;YEAR(E21),1,(12-MONTH(E21)+1)/12))))-((P21)*(IF((YEAR(D21)+8)&lt;YEAR(E21),0,IF((YEAR(D21)+8)&gt;YEAR(E21),1,(12-MONTH(E21)+1)/12))) + (R21)*(IF((YEAR(D21)+8)&lt;YEAR(E21),0,IF((YEAR(D21)+8)&gt;YEAR(E21),1,(12-MONTH(E21)+1)/12))))-(IF((((K21)*(IF(M21="",L21,IFERROR(IF(INDEX(Variablen!$I:$AT, MATCH(M21, Variablen!$A:$A, 0), MATCH((YEAR(D21)+8), Variablen!$I$3:$AT$3, 0))="",L21,INDEX(Variablen!$I:$AT, MATCH(M21, Variablen!$A:$A, 0), MATCH((YEAR(D21)+8), Variablen!$I$3:$AT$3, 0))),L21)))*(IF((YEAR(D21)+8)&lt;YEAR(E21),0,IF((YEAR(D21)+8)&gt;YEAR(E21),1,(12-MONTH(E21)+1)/12))) + (Q21)*(IF((YEAR(D21)+8)&lt;YEAR(E21),0,IF((YEAR(D21)+8)&gt;YEAR(E21),1,(12-MONTH(E21)+1)/12))))-((P21)*(IF((YEAR(D21)+8)&lt;YEAR(E21),0,IF((YEAR(D21)+8)&gt;YEAR(E21),1,(12-MONTH(E21)+1)/12))) + (R21)*(IF((YEAR(D21)+8)&lt;YEAR(E21),0,IF((YEAR(D21)+8)&gt;YEAR(E21),1,(12-MONTH(E21)+1)/12))))-(IF(OR(N21="",N21&lt;=0),0,(O21/N21)*(IF(OR(N21="",N21&lt;=0),0,IF((YEAR(D21)+8)&lt;YEAR(E21),0,IF((YEAR(D21)+8)&gt;=YEAR(E21)+N21,0,IF((YEAR(D21)+8)=YEAR(E21),(12-MONTH(E21)+1)/12,1))))))))&gt;0,(((K21)*(IF(M21="",L21,IFERROR(IF(INDEX(Variablen!$I:$AT, MATCH(M21, Variablen!$A:$A, 0), MATCH((YEAR(D21)+8), Variablen!$I$3:$AT$3, 0))="",L21,INDEX(Variablen!$I:$AT, MATCH(M21, Variablen!$A:$A, 0), MATCH((YEAR(D21)+8), Variablen!$I$3:$AT$3, 0))),L21)))*(IF((YEAR(D21)+8)&lt;YEAR(E21),0,IF((YEAR(D21)+8)&gt;YEAR(E21),1,(12-MONTH(E21)+1)/12))) + (Q21)*(IF((YEAR(D21)+8)&lt;YEAR(E21),0,IF((YEAR(D21)+8)&gt;YEAR(E21),1,(12-MONTH(E21)+1)/12))))-((P21)*(IF((YEAR(D21)+8)&lt;YEAR(E21),0,IF((YEAR(D21)+8)&gt;YEAR(E21),1,(12-MONTH(E21)+1)/12))) + (R21)*(IF((YEAR(D21)+8)&lt;YEAR(E21),0,IF((YEAR(D21)+8)&gt;YEAR(E21),1,(12-MONTH(E21)+1)/12))))-(IF(OR(N21="",N21&lt;=0),0,(O21/N21)*(IF(OR(N21="",N21&lt;=0),0,IF((YEAR(D21)+8)&lt;YEAR(E21),0,IF((YEAR(D21)+8)&gt;=YEAR(E21)+N21,0,IF((YEAR(D21)+8)=YEAR(E21),(12-MONTH(E21)+1)/12,1))))))))*TaxRate,0))-IF(8=0,O21,0))</f>
        <v/>
      </c>
      <c r="AB21" s="29">
        <f>IF(A21="","",((K21)*(IF(M21="",L21,IFERROR(IF(INDEX(Variablen!$I:$AT, MATCH(M21, Variablen!$A:$A, 0), MATCH((YEAR(D21)+9), Variablen!$I$3:$AT$3, 0))="",L21,INDEX(Variablen!$I:$AT, MATCH(M21, Variablen!$A:$A, 0), MATCH((YEAR(D21)+9), Variablen!$I$3:$AT$3, 0))),L21)))*(IF((YEAR(D21)+9)&lt;YEAR(E21),0,IF((YEAR(D21)+9)&gt;YEAR(E21),1,(12-MONTH(E21)+1)/12))) + (Q21)*(IF((YEAR(D21)+9)&lt;YEAR(E21),0,IF((YEAR(D21)+9)&gt;YEAR(E21),1,(12-MONTH(E21)+1)/12))))-((P21)*(IF((YEAR(D21)+9)&lt;YEAR(E21),0,IF((YEAR(D21)+9)&gt;YEAR(E21),1,(12-MONTH(E21)+1)/12))) + (R21)*(IF((YEAR(D21)+9)&lt;YEAR(E21),0,IF((YEAR(D21)+9)&gt;YEAR(E21),1,(12-MONTH(E21)+1)/12))))-(IF((((K21)*(IF(M21="",L21,IFERROR(IF(INDEX(Variablen!$I:$AT, MATCH(M21, Variablen!$A:$A, 0), MATCH((YEAR(D21)+9), Variablen!$I$3:$AT$3, 0))="",L21,INDEX(Variablen!$I:$AT, MATCH(M21, Variablen!$A:$A, 0), MATCH((YEAR(D21)+9), Variablen!$I$3:$AT$3, 0))),L21)))*(IF((YEAR(D21)+9)&lt;YEAR(E21),0,IF((YEAR(D21)+9)&gt;YEAR(E21),1,(12-MONTH(E21)+1)/12))) + (Q21)*(IF((YEAR(D21)+9)&lt;YEAR(E21),0,IF((YEAR(D21)+9)&gt;YEAR(E21),1,(12-MONTH(E21)+1)/12))))-((P21)*(IF((YEAR(D21)+9)&lt;YEAR(E21),0,IF((YEAR(D21)+9)&gt;YEAR(E21),1,(12-MONTH(E21)+1)/12))) + (R21)*(IF((YEAR(D21)+9)&lt;YEAR(E21),0,IF((YEAR(D21)+9)&gt;YEAR(E21),1,(12-MONTH(E21)+1)/12))))-(IF(OR(N21="",N21&lt;=0),0,(O21/N21)*(IF(OR(N21="",N21&lt;=0),0,IF((YEAR(D21)+9)&lt;YEAR(E21),0,IF((YEAR(D21)+9)&gt;=YEAR(E21)+N21,0,IF((YEAR(D21)+9)=YEAR(E21),(12-MONTH(E21)+1)/12,1))))))))&gt;0,(((K21)*(IF(M21="",L21,IFERROR(IF(INDEX(Variablen!$I:$AT, MATCH(M21, Variablen!$A:$A, 0), MATCH((YEAR(D21)+9), Variablen!$I$3:$AT$3, 0))="",L21,INDEX(Variablen!$I:$AT, MATCH(M21, Variablen!$A:$A, 0), MATCH((YEAR(D21)+9), Variablen!$I$3:$AT$3, 0))),L21)))*(IF((YEAR(D21)+9)&lt;YEAR(E21),0,IF((YEAR(D21)+9)&gt;YEAR(E21),1,(12-MONTH(E21)+1)/12))) + (Q21)*(IF((YEAR(D21)+9)&lt;YEAR(E21),0,IF((YEAR(D21)+9)&gt;YEAR(E21),1,(12-MONTH(E21)+1)/12))))-((P21)*(IF((YEAR(D21)+9)&lt;YEAR(E21),0,IF((YEAR(D21)+9)&gt;YEAR(E21),1,(12-MONTH(E21)+1)/12))) + (R21)*(IF((YEAR(D21)+9)&lt;YEAR(E21),0,IF((YEAR(D21)+9)&gt;YEAR(E21),1,(12-MONTH(E21)+1)/12))))-(IF(OR(N21="",N21&lt;=0),0,(O21/N21)*(IF(OR(N21="",N21&lt;=0),0,IF((YEAR(D21)+9)&lt;YEAR(E21),0,IF((YEAR(D21)+9)&gt;=YEAR(E21)+N21,0,IF((YEAR(D21)+9)=YEAR(E21),(12-MONTH(E21)+1)/12,1))))))))*TaxRate,0))-IF(9=0,O21,0))</f>
        <v/>
      </c>
      <c r="AC21" s="29">
        <f>IF(A21="","",((K21)*(IF(M21="",L21,IFERROR(IF(INDEX(Variablen!$I:$AT, MATCH(M21, Variablen!$A:$A, 0), MATCH((YEAR(D21)+10), Variablen!$I$3:$AT$3, 0))="",L21,INDEX(Variablen!$I:$AT, MATCH(M21, Variablen!$A:$A, 0), MATCH((YEAR(D21)+10), Variablen!$I$3:$AT$3, 0))),L21)))*(IF((YEAR(D21)+10)&lt;YEAR(E21),0,IF((YEAR(D21)+10)&gt;YEAR(E21),1,(12-MONTH(E21)+1)/12))) + (Q21)*(IF((YEAR(D21)+10)&lt;YEAR(E21),0,IF((YEAR(D21)+10)&gt;YEAR(E21),1,(12-MONTH(E21)+1)/12))))-((P21)*(IF((YEAR(D21)+10)&lt;YEAR(E21),0,IF((YEAR(D21)+10)&gt;YEAR(E21),1,(12-MONTH(E21)+1)/12))) + (R21)*(IF((YEAR(D21)+10)&lt;YEAR(E21),0,IF((YEAR(D21)+10)&gt;YEAR(E21),1,(12-MONTH(E21)+1)/12))))-(IF((((K21)*(IF(M21="",L21,IFERROR(IF(INDEX(Variablen!$I:$AT, MATCH(M21, Variablen!$A:$A, 0), MATCH((YEAR(D21)+10), Variablen!$I$3:$AT$3, 0))="",L21,INDEX(Variablen!$I:$AT, MATCH(M21, Variablen!$A:$A, 0), MATCH((YEAR(D21)+10), Variablen!$I$3:$AT$3, 0))),L21)))*(IF((YEAR(D21)+10)&lt;YEAR(E21),0,IF((YEAR(D21)+10)&gt;YEAR(E21),1,(12-MONTH(E21)+1)/12))) + (Q21)*(IF((YEAR(D21)+10)&lt;YEAR(E21),0,IF((YEAR(D21)+10)&gt;YEAR(E21),1,(12-MONTH(E21)+1)/12))))-((P21)*(IF((YEAR(D21)+10)&lt;YEAR(E21),0,IF((YEAR(D21)+10)&gt;YEAR(E21),1,(12-MONTH(E21)+1)/12))) + (R21)*(IF((YEAR(D21)+10)&lt;YEAR(E21),0,IF((YEAR(D21)+10)&gt;YEAR(E21),1,(12-MONTH(E21)+1)/12))))-(IF(OR(N21="",N21&lt;=0),0,(O21/N21)*(IF(OR(N21="",N21&lt;=0),0,IF((YEAR(D21)+10)&lt;YEAR(E21),0,IF((YEAR(D21)+10)&gt;=YEAR(E21)+N21,0,IF((YEAR(D21)+10)=YEAR(E21),(12-MONTH(E21)+1)/12,1))))))))&gt;0,(((K21)*(IF(M21="",L21,IFERROR(IF(INDEX(Variablen!$I:$AT, MATCH(M21, Variablen!$A:$A, 0), MATCH((YEAR(D21)+10), Variablen!$I$3:$AT$3, 0))="",L21,INDEX(Variablen!$I:$AT, MATCH(M21, Variablen!$A:$A, 0), MATCH((YEAR(D21)+10), Variablen!$I$3:$AT$3, 0))),L21)))*(IF((YEAR(D21)+10)&lt;YEAR(E21),0,IF((YEAR(D21)+10)&gt;YEAR(E21),1,(12-MONTH(E21)+1)/12))) + (Q21)*(IF((YEAR(D21)+10)&lt;YEAR(E21),0,IF((YEAR(D21)+10)&gt;YEAR(E21),1,(12-MONTH(E21)+1)/12))))-((P21)*(IF((YEAR(D21)+10)&lt;YEAR(E21),0,IF((YEAR(D21)+10)&gt;YEAR(E21),1,(12-MONTH(E21)+1)/12))) + (R21)*(IF((YEAR(D21)+10)&lt;YEAR(E21),0,IF((YEAR(D21)+10)&gt;YEAR(E21),1,(12-MONTH(E21)+1)/12))))-(IF(OR(N21="",N21&lt;=0),0,(O21/N21)*(IF(OR(N21="",N21&lt;=0),0,IF((YEAR(D21)+10)&lt;YEAR(E21),0,IF((YEAR(D21)+10)&gt;=YEAR(E21)+N21,0,IF((YEAR(D21)+10)=YEAR(E21),(12-MONTH(E21)+1)/12,1))))))))*TaxRate,0))-IF(10=0,O21,0))</f>
        <v/>
      </c>
      <c r="AD21" s="29">
        <f>IF(A21="","",((K21)*(IF(M21="",L21,IFERROR(IF(INDEX(Variablen!$I:$AT, MATCH(M21, Variablen!$A:$A, 0), MATCH((YEAR(D21)+11), Variablen!$I$3:$AT$3, 0))="",L21,INDEX(Variablen!$I:$AT, MATCH(M21, Variablen!$A:$A, 0), MATCH((YEAR(D21)+11), Variablen!$I$3:$AT$3, 0))),L21)))*(IF((YEAR(D21)+11)&lt;YEAR(E21),0,IF((YEAR(D21)+11)&gt;YEAR(E21),1,(12-MONTH(E21)+1)/12))) + (Q21)*(IF((YEAR(D21)+11)&lt;YEAR(E21),0,IF((YEAR(D21)+11)&gt;YEAR(E21),1,(12-MONTH(E21)+1)/12))))-((P21)*(IF((YEAR(D21)+11)&lt;YEAR(E21),0,IF((YEAR(D21)+11)&gt;YEAR(E21),1,(12-MONTH(E21)+1)/12))) + (R21)*(IF((YEAR(D21)+11)&lt;YEAR(E21),0,IF((YEAR(D21)+11)&gt;YEAR(E21),1,(12-MONTH(E21)+1)/12))))-(IF((((K21)*(IF(M21="",L21,IFERROR(IF(INDEX(Variablen!$I:$AT, MATCH(M21, Variablen!$A:$A, 0), MATCH((YEAR(D21)+11), Variablen!$I$3:$AT$3, 0))="",L21,INDEX(Variablen!$I:$AT, MATCH(M21, Variablen!$A:$A, 0), MATCH((YEAR(D21)+11), Variablen!$I$3:$AT$3, 0))),L21)))*(IF((YEAR(D21)+11)&lt;YEAR(E21),0,IF((YEAR(D21)+11)&gt;YEAR(E21),1,(12-MONTH(E21)+1)/12))) + (Q21)*(IF((YEAR(D21)+11)&lt;YEAR(E21),0,IF((YEAR(D21)+11)&gt;YEAR(E21),1,(12-MONTH(E21)+1)/12))))-((P21)*(IF((YEAR(D21)+11)&lt;YEAR(E21),0,IF((YEAR(D21)+11)&gt;YEAR(E21),1,(12-MONTH(E21)+1)/12))) + (R21)*(IF((YEAR(D21)+11)&lt;YEAR(E21),0,IF((YEAR(D21)+11)&gt;YEAR(E21),1,(12-MONTH(E21)+1)/12))))-(IF(OR(N21="",N21&lt;=0),0,(O21/N21)*(IF(OR(N21="",N21&lt;=0),0,IF((YEAR(D21)+11)&lt;YEAR(E21),0,IF((YEAR(D21)+11)&gt;=YEAR(E21)+N21,0,IF((YEAR(D21)+11)=YEAR(E21),(12-MONTH(E21)+1)/12,1))))))))&gt;0,(((K21)*(IF(M21="",L21,IFERROR(IF(INDEX(Variablen!$I:$AT, MATCH(M21, Variablen!$A:$A, 0), MATCH((YEAR(D21)+11), Variablen!$I$3:$AT$3, 0))="",L21,INDEX(Variablen!$I:$AT, MATCH(M21, Variablen!$A:$A, 0), MATCH((YEAR(D21)+11), Variablen!$I$3:$AT$3, 0))),L21)))*(IF((YEAR(D21)+11)&lt;YEAR(E21),0,IF((YEAR(D21)+11)&gt;YEAR(E21),1,(12-MONTH(E21)+1)/12))) + (Q21)*(IF((YEAR(D21)+11)&lt;YEAR(E21),0,IF((YEAR(D21)+11)&gt;YEAR(E21),1,(12-MONTH(E21)+1)/12))))-((P21)*(IF((YEAR(D21)+11)&lt;YEAR(E21),0,IF((YEAR(D21)+11)&gt;YEAR(E21),1,(12-MONTH(E21)+1)/12))) + (R21)*(IF((YEAR(D21)+11)&lt;YEAR(E21),0,IF((YEAR(D21)+11)&gt;YEAR(E21),1,(12-MONTH(E21)+1)/12))))-(IF(OR(N21="",N21&lt;=0),0,(O21/N21)*(IF(OR(N21="",N21&lt;=0),0,IF((YEAR(D21)+11)&lt;YEAR(E21),0,IF((YEAR(D21)+11)&gt;=YEAR(E21)+N21,0,IF((YEAR(D21)+11)=YEAR(E21),(12-MONTH(E21)+1)/12,1))))))))*TaxRate,0))-IF(11=0,O21,0))</f>
        <v/>
      </c>
      <c r="AE21" s="29">
        <f>IF(A21="","",((K21)*(IF(M21="",L21,IFERROR(IF(INDEX(Variablen!$I:$AT, MATCH(M21, Variablen!$A:$A, 0), MATCH((YEAR(D21)+12), Variablen!$I$3:$AT$3, 0))="",L21,INDEX(Variablen!$I:$AT, MATCH(M21, Variablen!$A:$A, 0), MATCH((YEAR(D21)+12), Variablen!$I$3:$AT$3, 0))),L21)))*(IF((YEAR(D21)+12)&lt;YEAR(E21),0,IF((YEAR(D21)+12)&gt;YEAR(E21),1,(12-MONTH(E21)+1)/12))) + (Q21)*(IF((YEAR(D21)+12)&lt;YEAR(E21),0,IF((YEAR(D21)+12)&gt;YEAR(E21),1,(12-MONTH(E21)+1)/12))))-((P21)*(IF((YEAR(D21)+12)&lt;YEAR(E21),0,IF((YEAR(D21)+12)&gt;YEAR(E21),1,(12-MONTH(E21)+1)/12))) + (R21)*(IF((YEAR(D21)+12)&lt;YEAR(E21),0,IF((YEAR(D21)+12)&gt;YEAR(E21),1,(12-MONTH(E21)+1)/12))))-(IF((((K21)*(IF(M21="",L21,IFERROR(IF(INDEX(Variablen!$I:$AT, MATCH(M21, Variablen!$A:$A, 0), MATCH((YEAR(D21)+12), Variablen!$I$3:$AT$3, 0))="",L21,INDEX(Variablen!$I:$AT, MATCH(M21, Variablen!$A:$A, 0), MATCH((YEAR(D21)+12), Variablen!$I$3:$AT$3, 0))),L21)))*(IF((YEAR(D21)+12)&lt;YEAR(E21),0,IF((YEAR(D21)+12)&gt;YEAR(E21),1,(12-MONTH(E21)+1)/12))) + (Q21)*(IF((YEAR(D21)+12)&lt;YEAR(E21),0,IF((YEAR(D21)+12)&gt;YEAR(E21),1,(12-MONTH(E21)+1)/12))))-((P21)*(IF((YEAR(D21)+12)&lt;YEAR(E21),0,IF((YEAR(D21)+12)&gt;YEAR(E21),1,(12-MONTH(E21)+1)/12))) + (R21)*(IF((YEAR(D21)+12)&lt;YEAR(E21),0,IF((YEAR(D21)+12)&gt;YEAR(E21),1,(12-MONTH(E21)+1)/12))))-(IF(OR(N21="",N21&lt;=0),0,(O21/N21)*(IF(OR(N21="",N21&lt;=0),0,IF((YEAR(D21)+12)&lt;YEAR(E21),0,IF((YEAR(D21)+12)&gt;=YEAR(E21)+N21,0,IF((YEAR(D21)+12)=YEAR(E21),(12-MONTH(E21)+1)/12,1))))))))&gt;0,(((K21)*(IF(M21="",L21,IFERROR(IF(INDEX(Variablen!$I:$AT, MATCH(M21, Variablen!$A:$A, 0), MATCH((YEAR(D21)+12), Variablen!$I$3:$AT$3, 0))="",L21,INDEX(Variablen!$I:$AT, MATCH(M21, Variablen!$A:$A, 0), MATCH((YEAR(D21)+12), Variablen!$I$3:$AT$3, 0))),L21)))*(IF((YEAR(D21)+12)&lt;YEAR(E21),0,IF((YEAR(D21)+12)&gt;YEAR(E21),1,(12-MONTH(E21)+1)/12))) + (Q21)*(IF((YEAR(D21)+12)&lt;YEAR(E21),0,IF((YEAR(D21)+12)&gt;YEAR(E21),1,(12-MONTH(E21)+1)/12))))-((P21)*(IF((YEAR(D21)+12)&lt;YEAR(E21),0,IF((YEAR(D21)+12)&gt;YEAR(E21),1,(12-MONTH(E21)+1)/12))) + (R21)*(IF((YEAR(D21)+12)&lt;YEAR(E21),0,IF((YEAR(D21)+12)&gt;YEAR(E21),1,(12-MONTH(E21)+1)/12))))-(IF(OR(N21="",N21&lt;=0),0,(O21/N21)*(IF(OR(N21="",N21&lt;=0),0,IF((YEAR(D21)+12)&lt;YEAR(E21),0,IF((YEAR(D21)+12)&gt;=YEAR(E21)+N21,0,IF((YEAR(D21)+12)=YEAR(E21),(12-MONTH(E21)+1)/12,1))))))))*TaxRate,0))-IF(12=0,O21,0))</f>
        <v/>
      </c>
      <c r="AF21" s="29">
        <f>IF(A21="","",((K21)*(IF(M21="",L21,IFERROR(IF(INDEX(Variablen!$I:$AT, MATCH(M21, Variablen!$A:$A, 0), MATCH((YEAR(D21)+13), Variablen!$I$3:$AT$3, 0))="",L21,INDEX(Variablen!$I:$AT, MATCH(M21, Variablen!$A:$A, 0), MATCH((YEAR(D21)+13), Variablen!$I$3:$AT$3, 0))),L21)))*(IF((YEAR(D21)+13)&lt;YEAR(E21),0,IF((YEAR(D21)+13)&gt;YEAR(E21),1,(12-MONTH(E21)+1)/12))) + (Q21)*(IF((YEAR(D21)+13)&lt;YEAR(E21),0,IF((YEAR(D21)+13)&gt;YEAR(E21),1,(12-MONTH(E21)+1)/12))))-((P21)*(IF((YEAR(D21)+13)&lt;YEAR(E21),0,IF((YEAR(D21)+13)&gt;YEAR(E21),1,(12-MONTH(E21)+1)/12))) + (R21)*(IF((YEAR(D21)+13)&lt;YEAR(E21),0,IF((YEAR(D21)+13)&gt;YEAR(E21),1,(12-MONTH(E21)+1)/12))))-(IF((((K21)*(IF(M21="",L21,IFERROR(IF(INDEX(Variablen!$I:$AT, MATCH(M21, Variablen!$A:$A, 0), MATCH((YEAR(D21)+13), Variablen!$I$3:$AT$3, 0))="",L21,INDEX(Variablen!$I:$AT, MATCH(M21, Variablen!$A:$A, 0), MATCH((YEAR(D21)+13), Variablen!$I$3:$AT$3, 0))),L21)))*(IF((YEAR(D21)+13)&lt;YEAR(E21),0,IF((YEAR(D21)+13)&gt;YEAR(E21),1,(12-MONTH(E21)+1)/12))) + (Q21)*(IF((YEAR(D21)+13)&lt;YEAR(E21),0,IF((YEAR(D21)+13)&gt;YEAR(E21),1,(12-MONTH(E21)+1)/12))))-((P21)*(IF((YEAR(D21)+13)&lt;YEAR(E21),0,IF((YEAR(D21)+13)&gt;YEAR(E21),1,(12-MONTH(E21)+1)/12))) + (R21)*(IF((YEAR(D21)+13)&lt;YEAR(E21),0,IF((YEAR(D21)+13)&gt;YEAR(E21),1,(12-MONTH(E21)+1)/12))))-(IF(OR(N21="",N21&lt;=0),0,(O21/N21)*(IF(OR(N21="",N21&lt;=0),0,IF((YEAR(D21)+13)&lt;YEAR(E21),0,IF((YEAR(D21)+13)&gt;=YEAR(E21)+N21,0,IF((YEAR(D21)+13)=YEAR(E21),(12-MONTH(E21)+1)/12,1))))))))&gt;0,(((K21)*(IF(M21="",L21,IFERROR(IF(INDEX(Variablen!$I:$AT, MATCH(M21, Variablen!$A:$A, 0), MATCH((YEAR(D21)+13), Variablen!$I$3:$AT$3, 0))="",L21,INDEX(Variablen!$I:$AT, MATCH(M21, Variablen!$A:$A, 0), MATCH((YEAR(D21)+13), Variablen!$I$3:$AT$3, 0))),L21)))*(IF((YEAR(D21)+13)&lt;YEAR(E21),0,IF((YEAR(D21)+13)&gt;YEAR(E21),1,(12-MONTH(E21)+1)/12))) + (Q21)*(IF((YEAR(D21)+13)&lt;YEAR(E21),0,IF((YEAR(D21)+13)&gt;YEAR(E21),1,(12-MONTH(E21)+1)/12))))-((P21)*(IF((YEAR(D21)+13)&lt;YEAR(E21),0,IF((YEAR(D21)+13)&gt;YEAR(E21),1,(12-MONTH(E21)+1)/12))) + (R21)*(IF((YEAR(D21)+13)&lt;YEAR(E21),0,IF((YEAR(D21)+13)&gt;YEAR(E21),1,(12-MONTH(E21)+1)/12))))-(IF(OR(N21="",N21&lt;=0),0,(O21/N21)*(IF(OR(N21="",N21&lt;=0),0,IF((YEAR(D21)+13)&lt;YEAR(E21),0,IF((YEAR(D21)+13)&gt;=YEAR(E21)+N21,0,IF((YEAR(D21)+13)=YEAR(E21),(12-MONTH(E21)+1)/12,1))))))))*TaxRate,0))-IF(13=0,O21,0))</f>
        <v/>
      </c>
      <c r="AG21" s="29">
        <f>IF(A21="","",((K21)*(IF(M21="",L21,IFERROR(IF(INDEX(Variablen!$I:$AT, MATCH(M21, Variablen!$A:$A, 0), MATCH((YEAR(D21)+14), Variablen!$I$3:$AT$3, 0))="",L21,INDEX(Variablen!$I:$AT, MATCH(M21, Variablen!$A:$A, 0), MATCH((YEAR(D21)+14), Variablen!$I$3:$AT$3, 0))),L21)))*(IF((YEAR(D21)+14)&lt;YEAR(E21),0,IF((YEAR(D21)+14)&gt;YEAR(E21),1,(12-MONTH(E21)+1)/12))) + (Q21)*(IF((YEAR(D21)+14)&lt;YEAR(E21),0,IF((YEAR(D21)+14)&gt;YEAR(E21),1,(12-MONTH(E21)+1)/12))))-((P21)*(IF((YEAR(D21)+14)&lt;YEAR(E21),0,IF((YEAR(D21)+14)&gt;YEAR(E21),1,(12-MONTH(E21)+1)/12))) + (R21)*(IF((YEAR(D21)+14)&lt;YEAR(E21),0,IF((YEAR(D21)+14)&gt;YEAR(E21),1,(12-MONTH(E21)+1)/12))))-(IF((((K21)*(IF(M21="",L21,IFERROR(IF(INDEX(Variablen!$I:$AT, MATCH(M21, Variablen!$A:$A, 0), MATCH((YEAR(D21)+14), Variablen!$I$3:$AT$3, 0))="",L21,INDEX(Variablen!$I:$AT, MATCH(M21, Variablen!$A:$A, 0), MATCH((YEAR(D21)+14), Variablen!$I$3:$AT$3, 0))),L21)))*(IF((YEAR(D21)+14)&lt;YEAR(E21),0,IF((YEAR(D21)+14)&gt;YEAR(E21),1,(12-MONTH(E21)+1)/12))) + (Q21)*(IF((YEAR(D21)+14)&lt;YEAR(E21),0,IF((YEAR(D21)+14)&gt;YEAR(E21),1,(12-MONTH(E21)+1)/12))))-((P21)*(IF((YEAR(D21)+14)&lt;YEAR(E21),0,IF((YEAR(D21)+14)&gt;YEAR(E21),1,(12-MONTH(E21)+1)/12))) + (R21)*(IF((YEAR(D21)+14)&lt;YEAR(E21),0,IF((YEAR(D21)+14)&gt;YEAR(E21),1,(12-MONTH(E21)+1)/12))))-(IF(OR(N21="",N21&lt;=0),0,(O21/N21)*(IF(OR(N21="",N21&lt;=0),0,IF((YEAR(D21)+14)&lt;YEAR(E21),0,IF((YEAR(D21)+14)&gt;=YEAR(E21)+N21,0,IF((YEAR(D21)+14)=YEAR(E21),(12-MONTH(E21)+1)/12,1))))))))&gt;0,(((K21)*(IF(M21="",L21,IFERROR(IF(INDEX(Variablen!$I:$AT, MATCH(M21, Variablen!$A:$A, 0), MATCH((YEAR(D21)+14), Variablen!$I$3:$AT$3, 0))="",L21,INDEX(Variablen!$I:$AT, MATCH(M21, Variablen!$A:$A, 0), MATCH((YEAR(D21)+14), Variablen!$I$3:$AT$3, 0))),L21)))*(IF((YEAR(D21)+14)&lt;YEAR(E21),0,IF((YEAR(D21)+14)&gt;YEAR(E21),1,(12-MONTH(E21)+1)/12))) + (Q21)*(IF((YEAR(D21)+14)&lt;YEAR(E21),0,IF((YEAR(D21)+14)&gt;YEAR(E21),1,(12-MONTH(E21)+1)/12))))-((P21)*(IF((YEAR(D21)+14)&lt;YEAR(E21),0,IF((YEAR(D21)+14)&gt;YEAR(E21),1,(12-MONTH(E21)+1)/12))) + (R21)*(IF((YEAR(D21)+14)&lt;YEAR(E21),0,IF((YEAR(D21)+14)&gt;YEAR(E21),1,(12-MONTH(E21)+1)/12))))-(IF(OR(N21="",N21&lt;=0),0,(O21/N21)*(IF(OR(N21="",N21&lt;=0),0,IF((YEAR(D21)+14)&lt;YEAR(E21),0,IF((YEAR(D21)+14)&gt;=YEAR(E21)+N21,0,IF((YEAR(D21)+14)=YEAR(E21),(12-MONTH(E21)+1)/12,1))))))))*TaxRate,0))-IF(14=0,O21,0))</f>
        <v/>
      </c>
      <c r="AH21" s="29">
        <f>IF(A21="","",((K21)*(IF(M21="",L21,IFERROR(IF(INDEX(Variablen!$I:$AT, MATCH(M21, Variablen!$A:$A, 0), MATCH((YEAR(D21)+15), Variablen!$I$3:$AT$3, 0))="",L21,INDEX(Variablen!$I:$AT, MATCH(M21, Variablen!$A:$A, 0), MATCH((YEAR(D21)+15), Variablen!$I$3:$AT$3, 0))),L21)))*(IF((YEAR(D21)+15)&lt;YEAR(E21),0,IF((YEAR(D21)+15)&gt;YEAR(E21),1,(12-MONTH(E21)+1)/12))) + (Q21)*(IF((YEAR(D21)+15)&lt;YEAR(E21),0,IF((YEAR(D21)+15)&gt;YEAR(E21),1,(12-MONTH(E21)+1)/12))))-((P21)*(IF((YEAR(D21)+15)&lt;YEAR(E21),0,IF((YEAR(D21)+15)&gt;YEAR(E21),1,(12-MONTH(E21)+1)/12))) + (R21)*(IF((YEAR(D21)+15)&lt;YEAR(E21),0,IF((YEAR(D21)+15)&gt;YEAR(E21),1,(12-MONTH(E21)+1)/12))))-(IF((((K21)*(IF(M21="",L21,IFERROR(IF(INDEX(Variablen!$I:$AT, MATCH(M21, Variablen!$A:$A, 0), MATCH((YEAR(D21)+15), Variablen!$I$3:$AT$3, 0))="",L21,INDEX(Variablen!$I:$AT, MATCH(M21, Variablen!$A:$A, 0), MATCH((YEAR(D21)+15), Variablen!$I$3:$AT$3, 0))),L21)))*(IF((YEAR(D21)+15)&lt;YEAR(E21),0,IF((YEAR(D21)+15)&gt;YEAR(E21),1,(12-MONTH(E21)+1)/12))) + (Q21)*(IF((YEAR(D21)+15)&lt;YEAR(E21),0,IF((YEAR(D21)+15)&gt;YEAR(E21),1,(12-MONTH(E21)+1)/12))))-((P21)*(IF((YEAR(D21)+15)&lt;YEAR(E21),0,IF((YEAR(D21)+15)&gt;YEAR(E21),1,(12-MONTH(E21)+1)/12))) + (R21)*(IF((YEAR(D21)+15)&lt;YEAR(E21),0,IF((YEAR(D21)+15)&gt;YEAR(E21),1,(12-MONTH(E21)+1)/12))))-(IF(OR(N21="",N21&lt;=0),0,(O21/N21)*(IF(OR(N21="",N21&lt;=0),0,IF((YEAR(D21)+15)&lt;YEAR(E21),0,IF((YEAR(D21)+15)&gt;=YEAR(E21)+N21,0,IF((YEAR(D21)+15)=YEAR(E21),(12-MONTH(E21)+1)/12,1))))))))&gt;0,(((K21)*(IF(M21="",L21,IFERROR(IF(INDEX(Variablen!$I:$AT, MATCH(M21, Variablen!$A:$A, 0), MATCH((YEAR(D21)+15), Variablen!$I$3:$AT$3, 0))="",L21,INDEX(Variablen!$I:$AT, MATCH(M21, Variablen!$A:$A, 0), MATCH((YEAR(D21)+15), Variablen!$I$3:$AT$3, 0))),L21)))*(IF((YEAR(D21)+15)&lt;YEAR(E21),0,IF((YEAR(D21)+15)&gt;YEAR(E21),1,(12-MONTH(E21)+1)/12))) + (Q21)*(IF((YEAR(D21)+15)&lt;YEAR(E21),0,IF((YEAR(D21)+15)&gt;YEAR(E21),1,(12-MONTH(E21)+1)/12))))-((P21)*(IF((YEAR(D21)+15)&lt;YEAR(E21),0,IF((YEAR(D21)+15)&gt;YEAR(E21),1,(12-MONTH(E21)+1)/12))) + (R21)*(IF((YEAR(D21)+15)&lt;YEAR(E21),0,IF((YEAR(D21)+15)&gt;YEAR(E21),1,(12-MONTH(E21)+1)/12))))-(IF(OR(N21="",N21&lt;=0),0,(O21/N21)*(IF(OR(N21="",N21&lt;=0),0,IF((YEAR(D21)+15)&lt;YEAR(E21),0,IF((YEAR(D21)+15)&gt;=YEAR(E21)+N21,0,IF((YEAR(D21)+15)=YEAR(E21),(12-MONTH(E21)+1)/12,1))))))))*TaxRate,0))-IF(15=0,O21,0))</f>
        <v/>
      </c>
      <c r="AI21" s="29">
        <f>IF(A21="","",((K21)*(IF(M21="",L21,IFERROR(IF(INDEX(Variablen!$I:$AT, MATCH(M21, Variablen!$A:$A, 0), MATCH((YEAR(D21)+16), Variablen!$I$3:$AT$3, 0))="",L21,INDEX(Variablen!$I:$AT, MATCH(M21, Variablen!$A:$A, 0), MATCH((YEAR(D21)+16), Variablen!$I$3:$AT$3, 0))),L21)))*(IF((YEAR(D21)+16)&lt;YEAR(E21),0,IF((YEAR(D21)+16)&gt;YEAR(E21),1,(12-MONTH(E21)+1)/12))) + (Q21)*(IF((YEAR(D21)+16)&lt;YEAR(E21),0,IF((YEAR(D21)+16)&gt;YEAR(E21),1,(12-MONTH(E21)+1)/12))))-((P21)*(IF((YEAR(D21)+16)&lt;YEAR(E21),0,IF((YEAR(D21)+16)&gt;YEAR(E21),1,(12-MONTH(E21)+1)/12))) + (R21)*(IF((YEAR(D21)+16)&lt;YEAR(E21),0,IF((YEAR(D21)+16)&gt;YEAR(E21),1,(12-MONTH(E21)+1)/12))))-(IF((((K21)*(IF(M21="",L21,IFERROR(IF(INDEX(Variablen!$I:$AT, MATCH(M21, Variablen!$A:$A, 0), MATCH((YEAR(D21)+16), Variablen!$I$3:$AT$3, 0))="",L21,INDEX(Variablen!$I:$AT, MATCH(M21, Variablen!$A:$A, 0), MATCH((YEAR(D21)+16), Variablen!$I$3:$AT$3, 0))),L21)))*(IF((YEAR(D21)+16)&lt;YEAR(E21),0,IF((YEAR(D21)+16)&gt;YEAR(E21),1,(12-MONTH(E21)+1)/12))) + (Q21)*(IF((YEAR(D21)+16)&lt;YEAR(E21),0,IF((YEAR(D21)+16)&gt;YEAR(E21),1,(12-MONTH(E21)+1)/12))))-((P21)*(IF((YEAR(D21)+16)&lt;YEAR(E21),0,IF((YEAR(D21)+16)&gt;YEAR(E21),1,(12-MONTH(E21)+1)/12))) + (R21)*(IF((YEAR(D21)+16)&lt;YEAR(E21),0,IF((YEAR(D21)+16)&gt;YEAR(E21),1,(12-MONTH(E21)+1)/12))))-(IF(OR(N21="",N21&lt;=0),0,(O21/N21)*(IF(OR(N21="",N21&lt;=0),0,IF((YEAR(D21)+16)&lt;YEAR(E21),0,IF((YEAR(D21)+16)&gt;=YEAR(E21)+N21,0,IF((YEAR(D21)+16)=YEAR(E21),(12-MONTH(E21)+1)/12,1))))))))&gt;0,(((K21)*(IF(M21="",L21,IFERROR(IF(INDEX(Variablen!$I:$AT, MATCH(M21, Variablen!$A:$A, 0), MATCH((YEAR(D21)+16), Variablen!$I$3:$AT$3, 0))="",L21,INDEX(Variablen!$I:$AT, MATCH(M21, Variablen!$A:$A, 0), MATCH((YEAR(D21)+16), Variablen!$I$3:$AT$3, 0))),L21)))*(IF((YEAR(D21)+16)&lt;YEAR(E21),0,IF((YEAR(D21)+16)&gt;YEAR(E21),1,(12-MONTH(E21)+1)/12))) + (Q21)*(IF((YEAR(D21)+16)&lt;YEAR(E21),0,IF((YEAR(D21)+16)&gt;YEAR(E21),1,(12-MONTH(E21)+1)/12))))-((P21)*(IF((YEAR(D21)+16)&lt;YEAR(E21),0,IF((YEAR(D21)+16)&gt;YEAR(E21),1,(12-MONTH(E21)+1)/12))) + (R21)*(IF((YEAR(D21)+16)&lt;YEAR(E21),0,IF((YEAR(D21)+16)&gt;YEAR(E21),1,(12-MONTH(E21)+1)/12))))-(IF(OR(N21="",N21&lt;=0),0,(O21/N21)*(IF(OR(N21="",N21&lt;=0),0,IF((YEAR(D21)+16)&lt;YEAR(E21),0,IF((YEAR(D21)+16)&gt;=YEAR(E21)+N21,0,IF((YEAR(D21)+16)=YEAR(E21),(12-MONTH(E21)+1)/12,1))))))))*TaxRate,0))-IF(16=0,O21,0))</f>
        <v/>
      </c>
      <c r="AJ21" s="29">
        <f>IF(A21="","",((K21)*(IF(M21="",L21,IFERROR(IF(INDEX(Variablen!$I:$AT, MATCH(M21, Variablen!$A:$A, 0), MATCH((YEAR(D21)+17), Variablen!$I$3:$AT$3, 0))="",L21,INDEX(Variablen!$I:$AT, MATCH(M21, Variablen!$A:$A, 0), MATCH((YEAR(D21)+17), Variablen!$I$3:$AT$3, 0))),L21)))*(IF((YEAR(D21)+17)&lt;YEAR(E21),0,IF((YEAR(D21)+17)&gt;YEAR(E21),1,(12-MONTH(E21)+1)/12))) + (Q21)*(IF((YEAR(D21)+17)&lt;YEAR(E21),0,IF((YEAR(D21)+17)&gt;YEAR(E21),1,(12-MONTH(E21)+1)/12))))-((P21)*(IF((YEAR(D21)+17)&lt;YEAR(E21),0,IF((YEAR(D21)+17)&gt;YEAR(E21),1,(12-MONTH(E21)+1)/12))) + (R21)*(IF((YEAR(D21)+17)&lt;YEAR(E21),0,IF((YEAR(D21)+17)&gt;YEAR(E21),1,(12-MONTH(E21)+1)/12))))-(IF((((K21)*(IF(M21="",L21,IFERROR(IF(INDEX(Variablen!$I:$AT, MATCH(M21, Variablen!$A:$A, 0), MATCH((YEAR(D21)+17), Variablen!$I$3:$AT$3, 0))="",L21,INDEX(Variablen!$I:$AT, MATCH(M21, Variablen!$A:$A, 0), MATCH((YEAR(D21)+17), Variablen!$I$3:$AT$3, 0))),L21)))*(IF((YEAR(D21)+17)&lt;YEAR(E21),0,IF((YEAR(D21)+17)&gt;YEAR(E21),1,(12-MONTH(E21)+1)/12))) + (Q21)*(IF((YEAR(D21)+17)&lt;YEAR(E21),0,IF((YEAR(D21)+17)&gt;YEAR(E21),1,(12-MONTH(E21)+1)/12))))-((P21)*(IF((YEAR(D21)+17)&lt;YEAR(E21),0,IF((YEAR(D21)+17)&gt;YEAR(E21),1,(12-MONTH(E21)+1)/12))) + (R21)*(IF((YEAR(D21)+17)&lt;YEAR(E21),0,IF((YEAR(D21)+17)&gt;YEAR(E21),1,(12-MONTH(E21)+1)/12))))-(IF(OR(N21="",N21&lt;=0),0,(O21/N21)*(IF(OR(N21="",N21&lt;=0),0,IF((YEAR(D21)+17)&lt;YEAR(E21),0,IF((YEAR(D21)+17)&gt;=YEAR(E21)+N21,0,IF((YEAR(D21)+17)=YEAR(E21),(12-MONTH(E21)+1)/12,1))))))))&gt;0,(((K21)*(IF(M21="",L21,IFERROR(IF(INDEX(Variablen!$I:$AT, MATCH(M21, Variablen!$A:$A, 0), MATCH((YEAR(D21)+17), Variablen!$I$3:$AT$3, 0))="",L21,INDEX(Variablen!$I:$AT, MATCH(M21, Variablen!$A:$A, 0), MATCH((YEAR(D21)+17), Variablen!$I$3:$AT$3, 0))),L21)))*(IF((YEAR(D21)+17)&lt;YEAR(E21),0,IF((YEAR(D21)+17)&gt;YEAR(E21),1,(12-MONTH(E21)+1)/12))) + (Q21)*(IF((YEAR(D21)+17)&lt;YEAR(E21),0,IF((YEAR(D21)+17)&gt;YEAR(E21),1,(12-MONTH(E21)+1)/12))))-((P21)*(IF((YEAR(D21)+17)&lt;YEAR(E21),0,IF((YEAR(D21)+17)&gt;YEAR(E21),1,(12-MONTH(E21)+1)/12))) + (R21)*(IF((YEAR(D21)+17)&lt;YEAR(E21),0,IF((YEAR(D21)+17)&gt;YEAR(E21),1,(12-MONTH(E21)+1)/12))))-(IF(OR(N21="",N21&lt;=0),0,(O21/N21)*(IF(OR(N21="",N21&lt;=0),0,IF((YEAR(D21)+17)&lt;YEAR(E21),0,IF((YEAR(D21)+17)&gt;=YEAR(E21)+N21,0,IF((YEAR(D21)+17)=YEAR(E21),(12-MONTH(E21)+1)/12,1))))))))*TaxRate,0))-IF(17=0,O21,0))</f>
        <v/>
      </c>
      <c r="AK21" s="29">
        <f>IF(A21="","",((K21)*(IF(M21="",L21,IFERROR(IF(INDEX(Variablen!$I:$AT, MATCH(M21, Variablen!$A:$A, 0), MATCH((YEAR(D21)+18), Variablen!$I$3:$AT$3, 0))="",L21,INDEX(Variablen!$I:$AT, MATCH(M21, Variablen!$A:$A, 0), MATCH((YEAR(D21)+18), Variablen!$I$3:$AT$3, 0))),L21)))*(IF((YEAR(D21)+18)&lt;YEAR(E21),0,IF((YEAR(D21)+18)&gt;YEAR(E21),1,(12-MONTH(E21)+1)/12))) + (Q21)*(IF((YEAR(D21)+18)&lt;YEAR(E21),0,IF((YEAR(D21)+18)&gt;YEAR(E21),1,(12-MONTH(E21)+1)/12))))-((P21)*(IF((YEAR(D21)+18)&lt;YEAR(E21),0,IF((YEAR(D21)+18)&gt;YEAR(E21),1,(12-MONTH(E21)+1)/12))) + (R21)*(IF((YEAR(D21)+18)&lt;YEAR(E21),0,IF((YEAR(D21)+18)&gt;YEAR(E21),1,(12-MONTH(E21)+1)/12))))-(IF((((K21)*(IF(M21="",L21,IFERROR(IF(INDEX(Variablen!$I:$AT, MATCH(M21, Variablen!$A:$A, 0), MATCH((YEAR(D21)+18), Variablen!$I$3:$AT$3, 0))="",L21,INDEX(Variablen!$I:$AT, MATCH(M21, Variablen!$A:$A, 0), MATCH((YEAR(D21)+18), Variablen!$I$3:$AT$3, 0))),L21)))*(IF((YEAR(D21)+18)&lt;YEAR(E21),0,IF((YEAR(D21)+18)&gt;YEAR(E21),1,(12-MONTH(E21)+1)/12))) + (Q21)*(IF((YEAR(D21)+18)&lt;YEAR(E21),0,IF((YEAR(D21)+18)&gt;YEAR(E21),1,(12-MONTH(E21)+1)/12))))-((P21)*(IF((YEAR(D21)+18)&lt;YEAR(E21),0,IF((YEAR(D21)+18)&gt;YEAR(E21),1,(12-MONTH(E21)+1)/12))) + (R21)*(IF((YEAR(D21)+18)&lt;YEAR(E21),0,IF((YEAR(D21)+18)&gt;YEAR(E21),1,(12-MONTH(E21)+1)/12))))-(IF(OR(N21="",N21&lt;=0),0,(O21/N21)*(IF(OR(N21="",N21&lt;=0),0,IF((YEAR(D21)+18)&lt;YEAR(E21),0,IF((YEAR(D21)+18)&gt;=YEAR(E21)+N21,0,IF((YEAR(D21)+18)=YEAR(E21),(12-MONTH(E21)+1)/12,1))))))))&gt;0,(((K21)*(IF(M21="",L21,IFERROR(IF(INDEX(Variablen!$I:$AT, MATCH(M21, Variablen!$A:$A, 0), MATCH((YEAR(D21)+18), Variablen!$I$3:$AT$3, 0))="",L21,INDEX(Variablen!$I:$AT, MATCH(M21, Variablen!$A:$A, 0), MATCH((YEAR(D21)+18), Variablen!$I$3:$AT$3, 0))),L21)))*(IF((YEAR(D21)+18)&lt;YEAR(E21),0,IF((YEAR(D21)+18)&gt;YEAR(E21),1,(12-MONTH(E21)+1)/12))) + (Q21)*(IF((YEAR(D21)+18)&lt;YEAR(E21),0,IF((YEAR(D21)+18)&gt;YEAR(E21),1,(12-MONTH(E21)+1)/12))))-((P21)*(IF((YEAR(D21)+18)&lt;YEAR(E21),0,IF((YEAR(D21)+18)&gt;YEAR(E21),1,(12-MONTH(E21)+1)/12))) + (R21)*(IF((YEAR(D21)+18)&lt;YEAR(E21),0,IF((YEAR(D21)+18)&gt;YEAR(E21),1,(12-MONTH(E21)+1)/12))))-(IF(OR(N21="",N21&lt;=0),0,(O21/N21)*(IF(OR(N21="",N21&lt;=0),0,IF((YEAR(D21)+18)&lt;YEAR(E21),0,IF((YEAR(D21)+18)&gt;=YEAR(E21)+N21,0,IF((YEAR(D21)+18)=YEAR(E21),(12-MONTH(E21)+1)/12,1))))))))*TaxRate,0))-IF(18=0,O21,0))</f>
        <v/>
      </c>
      <c r="AL21" s="29">
        <f>IF(A21="","",((K21)*(IF(M21="",L21,IFERROR(IF(INDEX(Variablen!$I:$AT, MATCH(M21, Variablen!$A:$A, 0), MATCH((YEAR(D21)+19), Variablen!$I$3:$AT$3, 0))="",L21,INDEX(Variablen!$I:$AT, MATCH(M21, Variablen!$A:$A, 0), MATCH((YEAR(D21)+19), Variablen!$I$3:$AT$3, 0))),L21)))*(IF((YEAR(D21)+19)&lt;YEAR(E21),0,IF((YEAR(D21)+19)&gt;YEAR(E21),1,(12-MONTH(E21)+1)/12))) + (Q21)*(IF((YEAR(D21)+19)&lt;YEAR(E21),0,IF((YEAR(D21)+19)&gt;YEAR(E21),1,(12-MONTH(E21)+1)/12))))-((P21)*(IF((YEAR(D21)+19)&lt;YEAR(E21),0,IF((YEAR(D21)+19)&gt;YEAR(E21),1,(12-MONTH(E21)+1)/12))) + (R21)*(IF((YEAR(D21)+19)&lt;YEAR(E21),0,IF((YEAR(D21)+19)&gt;YEAR(E21),1,(12-MONTH(E21)+1)/12))))-(IF((((K21)*(IF(M21="",L21,IFERROR(IF(INDEX(Variablen!$I:$AT, MATCH(M21, Variablen!$A:$A, 0), MATCH((YEAR(D21)+19), Variablen!$I$3:$AT$3, 0))="",L21,INDEX(Variablen!$I:$AT, MATCH(M21, Variablen!$A:$A, 0), MATCH((YEAR(D21)+19), Variablen!$I$3:$AT$3, 0))),L21)))*(IF((YEAR(D21)+19)&lt;YEAR(E21),0,IF((YEAR(D21)+19)&gt;YEAR(E21),1,(12-MONTH(E21)+1)/12))) + (Q21)*(IF((YEAR(D21)+19)&lt;YEAR(E21),0,IF((YEAR(D21)+19)&gt;YEAR(E21),1,(12-MONTH(E21)+1)/12))))-((P21)*(IF((YEAR(D21)+19)&lt;YEAR(E21),0,IF((YEAR(D21)+19)&gt;YEAR(E21),1,(12-MONTH(E21)+1)/12))) + (R21)*(IF((YEAR(D21)+19)&lt;YEAR(E21),0,IF((YEAR(D21)+19)&gt;YEAR(E21),1,(12-MONTH(E21)+1)/12))))-(IF(OR(N21="",N21&lt;=0),0,(O21/N21)*(IF(OR(N21="",N21&lt;=0),0,IF((YEAR(D21)+19)&lt;YEAR(E21),0,IF((YEAR(D21)+19)&gt;=YEAR(E21)+N21,0,IF((YEAR(D21)+19)=YEAR(E21),(12-MONTH(E21)+1)/12,1))))))))&gt;0,(((K21)*(IF(M21="",L21,IFERROR(IF(INDEX(Variablen!$I:$AT, MATCH(M21, Variablen!$A:$A, 0), MATCH((YEAR(D21)+19), Variablen!$I$3:$AT$3, 0))="",L21,INDEX(Variablen!$I:$AT, MATCH(M21, Variablen!$A:$A, 0), MATCH((YEAR(D21)+19), Variablen!$I$3:$AT$3, 0))),L21)))*(IF((YEAR(D21)+19)&lt;YEAR(E21),0,IF((YEAR(D21)+19)&gt;YEAR(E21),1,(12-MONTH(E21)+1)/12))) + (Q21)*(IF((YEAR(D21)+19)&lt;YEAR(E21),0,IF((YEAR(D21)+19)&gt;YEAR(E21),1,(12-MONTH(E21)+1)/12))))-((P21)*(IF((YEAR(D21)+19)&lt;YEAR(E21),0,IF((YEAR(D21)+19)&gt;YEAR(E21),1,(12-MONTH(E21)+1)/12))) + (R21)*(IF((YEAR(D21)+19)&lt;YEAR(E21),0,IF((YEAR(D21)+19)&gt;YEAR(E21),1,(12-MONTH(E21)+1)/12))))-(IF(OR(N21="",N21&lt;=0),0,(O21/N21)*(IF(OR(N21="",N21&lt;=0),0,IF((YEAR(D21)+19)&lt;YEAR(E21),0,IF((YEAR(D21)+19)&gt;=YEAR(E21)+N21,0,IF((YEAR(D21)+19)=YEAR(E21),(12-MONTH(E21)+1)/12,1))))))))*TaxRate,0))-IF(19=0,O21,0))</f>
        <v/>
      </c>
      <c r="AM21" s="29">
        <f>IF(A21="","",((K21)*(IF(M21="",L21,IFERROR(IF(INDEX(Variablen!$I:$AT, MATCH(M21, Variablen!$A:$A, 0), MATCH((YEAR(D21)+20), Variablen!$I$3:$AT$3, 0))="",L21,INDEX(Variablen!$I:$AT, MATCH(M21, Variablen!$A:$A, 0), MATCH((YEAR(D21)+20), Variablen!$I$3:$AT$3, 0))),L21)))*(IF((YEAR(D21)+20)&lt;YEAR(E21),0,IF((YEAR(D21)+20)&gt;YEAR(E21),1,(12-MONTH(E21)+1)/12))) + (Q21)*(IF((YEAR(D21)+20)&lt;YEAR(E21),0,IF((YEAR(D21)+20)&gt;YEAR(E21),1,(12-MONTH(E21)+1)/12))))-((P21)*(IF((YEAR(D21)+20)&lt;YEAR(E21),0,IF((YEAR(D21)+20)&gt;YEAR(E21),1,(12-MONTH(E21)+1)/12))) + (R21)*(IF((YEAR(D21)+20)&lt;YEAR(E21),0,IF((YEAR(D21)+20)&gt;YEAR(E21),1,(12-MONTH(E21)+1)/12))))-(IF((((K21)*(IF(M21="",L21,IFERROR(IF(INDEX(Variablen!$I:$AT, MATCH(M21, Variablen!$A:$A, 0), MATCH((YEAR(D21)+20), Variablen!$I$3:$AT$3, 0))="",L21,INDEX(Variablen!$I:$AT, MATCH(M21, Variablen!$A:$A, 0), MATCH((YEAR(D21)+20), Variablen!$I$3:$AT$3, 0))),L21)))*(IF((YEAR(D21)+20)&lt;YEAR(E21),0,IF((YEAR(D21)+20)&gt;YEAR(E21),1,(12-MONTH(E21)+1)/12))) + (Q21)*(IF((YEAR(D21)+20)&lt;YEAR(E21),0,IF((YEAR(D21)+20)&gt;YEAR(E21),1,(12-MONTH(E21)+1)/12))))-((P21)*(IF((YEAR(D21)+20)&lt;YEAR(E21),0,IF((YEAR(D21)+20)&gt;YEAR(E21),1,(12-MONTH(E21)+1)/12))) + (R21)*(IF((YEAR(D21)+20)&lt;YEAR(E21),0,IF((YEAR(D21)+20)&gt;YEAR(E21),1,(12-MONTH(E21)+1)/12))))-(IF(OR(N21="",N21&lt;=0),0,(O21/N21)*(IF(OR(N21="",N21&lt;=0),0,IF((YEAR(D21)+20)&lt;YEAR(E21),0,IF((YEAR(D21)+20)&gt;=YEAR(E21)+N21,0,IF((YEAR(D21)+20)=YEAR(E21),(12-MONTH(E21)+1)/12,1))))))))&gt;0,(((K21)*(IF(M21="",L21,IFERROR(IF(INDEX(Variablen!$I:$AT, MATCH(M21, Variablen!$A:$A, 0), MATCH((YEAR(D21)+20), Variablen!$I$3:$AT$3, 0))="",L21,INDEX(Variablen!$I:$AT, MATCH(M21, Variablen!$A:$A, 0), MATCH((YEAR(D21)+20), Variablen!$I$3:$AT$3, 0))),L21)))*(IF((YEAR(D21)+20)&lt;YEAR(E21),0,IF((YEAR(D21)+20)&gt;YEAR(E21),1,(12-MONTH(E21)+1)/12))) + (Q21)*(IF((YEAR(D21)+20)&lt;YEAR(E21),0,IF((YEAR(D21)+20)&gt;YEAR(E21),1,(12-MONTH(E21)+1)/12))))-((P21)*(IF((YEAR(D21)+20)&lt;YEAR(E21),0,IF((YEAR(D21)+20)&gt;YEAR(E21),1,(12-MONTH(E21)+1)/12))) + (R21)*(IF((YEAR(D21)+20)&lt;YEAR(E21),0,IF((YEAR(D21)+20)&gt;YEAR(E21),1,(12-MONTH(E21)+1)/12))))-(IF(OR(N21="",N21&lt;=0),0,(O21/N21)*(IF(OR(N21="",N21&lt;=0),0,IF((YEAR(D21)+20)&lt;YEAR(E21),0,IF((YEAR(D21)+20)&gt;=YEAR(E21)+N21,0,IF((YEAR(D21)+20)=YEAR(E21),(12-MONTH(E21)+1)/12,1))))))))*TaxRate,0))-IF(20=0,O21,0))</f>
        <v/>
      </c>
      <c r="AN21" s="29">
        <f>IF(A21="","",S21)</f>
        <v/>
      </c>
      <c r="AO21" s="29">
        <f>IF(A21="","",AN21+T21)</f>
        <v/>
      </c>
      <c r="AP21" s="29">
        <f>IF(A21="","",AO21+U21)</f>
        <v/>
      </c>
      <c r="AQ21" s="29">
        <f>IF(A21="","",AP21+V21)</f>
        <v/>
      </c>
      <c r="AR21" s="29">
        <f>IF(A21="","",AQ21+W21)</f>
        <v/>
      </c>
      <c r="AS21" s="29">
        <f>IF(A21="","",AR21+X21)</f>
        <v/>
      </c>
      <c r="AT21" s="29">
        <f>IF(A21="","",AS21+Y21)</f>
        <v/>
      </c>
      <c r="AU21" s="29">
        <f>IF(A21="","",AT21+Z21)</f>
        <v/>
      </c>
      <c r="AV21" s="29">
        <f>IF(A21="","",AU21+AA21)</f>
        <v/>
      </c>
      <c r="AW21" s="29">
        <f>IF(A21="","",AV21+AB21)</f>
        <v/>
      </c>
      <c r="AX21" s="29">
        <f>IF(A21="","",AW21+AC21)</f>
        <v/>
      </c>
      <c r="AY21" s="29">
        <f>IF(A21="","",AX21+AD21)</f>
        <v/>
      </c>
      <c r="AZ21" s="29">
        <f>IF(A21="","",AY21+AE21)</f>
        <v/>
      </c>
      <c r="BA21" s="29">
        <f>IF(A21="","",AZ21+AF21)</f>
        <v/>
      </c>
      <c r="BB21" s="29">
        <f>IF(A21="","",BA21+AG21)</f>
        <v/>
      </c>
      <c r="BC21" s="29">
        <f>IF(A21="","",BB21+AH21)</f>
        <v/>
      </c>
      <c r="BD21" s="29">
        <f>IF(A21="","",BC21+AI21)</f>
        <v/>
      </c>
      <c r="BE21" s="29">
        <f>IF(A21="","",BD21+AJ21)</f>
        <v/>
      </c>
      <c r="BF21" s="29">
        <f>IF(A21="","",BE21+AK21)</f>
        <v/>
      </c>
      <c r="BG21" s="29">
        <f>IF(A21="","",BF21+AL21)</f>
        <v/>
      </c>
      <c r="BH21" s="29">
        <f>IF(A21="","",BG21+AM21)</f>
        <v/>
      </c>
      <c r="BI21" s="36">
        <f>IF(A21="","",(K21)*(IF((YEAR(D21)+0)&lt;YEAR(E21),0,IF((YEAR(D21)+0)&gt;YEAR(E21),1,(12-MONTH(E21)+1)/12)))*(1/(1+DiscountRate)^0))</f>
        <v/>
      </c>
      <c r="BJ21" s="36">
        <f>IF(A21="","",(K21)*(IF((YEAR(D21)+1)&lt;YEAR(E21),0,IF((YEAR(D21)+1)&gt;YEAR(E21),1,(12-MONTH(E21)+1)/12)))*(1/(1+DiscountRate)^1))</f>
        <v/>
      </c>
      <c r="BK21" s="36">
        <f>IF(A21="","",(K21)*(IF((YEAR(D21)+2)&lt;YEAR(E21),0,IF((YEAR(D21)+2)&gt;YEAR(E21),1,(12-MONTH(E21)+1)/12)))*(1/(1+DiscountRate)^2))</f>
        <v/>
      </c>
      <c r="BL21" s="36">
        <f>IF(A21="","",(K21)*(IF((YEAR(D21)+3)&lt;YEAR(E21),0,IF((YEAR(D21)+3)&gt;YEAR(E21),1,(12-MONTH(E21)+1)/12)))*(1/(1+DiscountRate)^3))</f>
        <v/>
      </c>
      <c r="BM21" s="36">
        <f>IF(A21="","",(K21)*(IF((YEAR(D21)+4)&lt;YEAR(E21),0,IF((YEAR(D21)+4)&gt;YEAR(E21),1,(12-MONTH(E21)+1)/12)))*(1/(1+DiscountRate)^4))</f>
        <v/>
      </c>
      <c r="BN21" s="36">
        <f>IF(A21="","",(K21)*(IF((YEAR(D21)+5)&lt;YEAR(E21),0,IF((YEAR(D21)+5)&gt;YEAR(E21),1,(12-MONTH(E21)+1)/12)))*(1/(1+DiscountRate)^5))</f>
        <v/>
      </c>
      <c r="BO21" s="36">
        <f>IF(A21="","",(K21)*(IF((YEAR(D21)+6)&lt;YEAR(E21),0,IF((YEAR(D21)+6)&gt;YEAR(E21),1,(12-MONTH(E21)+1)/12)))*(1/(1+DiscountRate)^6))</f>
        <v/>
      </c>
      <c r="BP21" s="36">
        <f>IF(A21="","",(K21)*(IF((YEAR(D21)+7)&lt;YEAR(E21),0,IF((YEAR(D21)+7)&gt;YEAR(E21),1,(12-MONTH(E21)+1)/12)))*(1/(1+DiscountRate)^7))</f>
        <v/>
      </c>
      <c r="BQ21" s="36">
        <f>IF(A21="","",(K21)*(IF((YEAR(D21)+8)&lt;YEAR(E21),0,IF((YEAR(D21)+8)&gt;YEAR(E21),1,(12-MONTH(E21)+1)/12)))*(1/(1+DiscountRate)^8))</f>
        <v/>
      </c>
      <c r="BR21" s="36">
        <f>IF(A21="","",(K21)*(IF((YEAR(D21)+9)&lt;YEAR(E21),0,IF((YEAR(D21)+9)&gt;YEAR(E21),1,(12-MONTH(E21)+1)/12)))*(1/(1+DiscountRate)^9))</f>
        <v/>
      </c>
      <c r="BS21" s="36">
        <f>IF(A21="","",(K21)*(IF((YEAR(D21)+10)&lt;YEAR(E21),0,IF((YEAR(D21)+10)&gt;YEAR(E21),1,(12-MONTH(E21)+1)/12)))*(1/(1+DiscountRate)^10))</f>
        <v/>
      </c>
      <c r="BT21" s="36">
        <f>IF(A21="","",(K21)*(IF((YEAR(D21)+11)&lt;YEAR(E21),0,IF((YEAR(D21)+11)&gt;YEAR(E21),1,(12-MONTH(E21)+1)/12)))*(1/(1+DiscountRate)^11))</f>
        <v/>
      </c>
      <c r="BU21" s="36">
        <f>IF(A21="","",(K21)*(IF((YEAR(D21)+12)&lt;YEAR(E21),0,IF((YEAR(D21)+12)&gt;YEAR(E21),1,(12-MONTH(E21)+1)/12)))*(1/(1+DiscountRate)^12))</f>
        <v/>
      </c>
      <c r="BV21" s="36">
        <f>IF(A21="","",(K21)*(IF((YEAR(D21)+13)&lt;YEAR(E21),0,IF((YEAR(D21)+13)&gt;YEAR(E21),1,(12-MONTH(E21)+1)/12)))*(1/(1+DiscountRate)^13))</f>
        <v/>
      </c>
      <c r="BW21" s="36">
        <f>IF(A21="","",(K21)*(IF((YEAR(D21)+14)&lt;YEAR(E21),0,IF((YEAR(D21)+14)&gt;YEAR(E21),1,(12-MONTH(E21)+1)/12)))*(1/(1+DiscountRate)^14))</f>
        <v/>
      </c>
      <c r="BX21" s="36">
        <f>IF(A21="","",(K21)*(IF((YEAR(D21)+15)&lt;YEAR(E21),0,IF((YEAR(D21)+15)&gt;YEAR(E21),1,(12-MONTH(E21)+1)/12)))*(1/(1+DiscountRate)^15))</f>
        <v/>
      </c>
      <c r="BY21" s="36">
        <f>IF(A21="","",(K21)*(IF((YEAR(D21)+16)&lt;YEAR(E21),0,IF((YEAR(D21)+16)&gt;YEAR(E21),1,(12-MONTH(E21)+1)/12)))*(1/(1+DiscountRate)^16))</f>
        <v/>
      </c>
      <c r="BZ21" s="36">
        <f>IF(A21="","",(K21)*(IF((YEAR(D21)+17)&lt;YEAR(E21),0,IF((YEAR(D21)+17)&gt;YEAR(E21),1,(12-MONTH(E21)+1)/12)))*(1/(1+DiscountRate)^17))</f>
        <v/>
      </c>
      <c r="CA21" s="36">
        <f>IF(A21="","",(K21)*(IF((YEAR(D21)+18)&lt;YEAR(E21),0,IF((YEAR(D21)+18)&gt;YEAR(E21),1,(12-MONTH(E21)+1)/12)))*(1/(1+DiscountRate)^18))</f>
        <v/>
      </c>
      <c r="CB21" s="36">
        <f>IF(A21="","",(K21)*(IF((YEAR(D21)+19)&lt;YEAR(E21),0,IF((YEAR(D21)+19)&gt;YEAR(E21),1,(12-MONTH(E21)+1)/12)))*(1/(1+DiscountRate)^19))</f>
        <v/>
      </c>
      <c r="CC21" s="36">
        <f>IF(A21="","",(K21)*(IF((YEAR(D21)+20)&lt;YEAR(E21),0,IF((YEAR(D21)+20)&gt;YEAR(E21),1,(12-MONTH(E21)+1)/12)))*(1/(1+DiscountRate)^20))</f>
        <v/>
      </c>
      <c r="CD21" s="29">
        <f>IF(A21="","",S21/(1+DiscountRate)^0+T21/(1+DiscountRate)^1+U21/(1+DiscountRate)^2+V21/(1+DiscountRate)^3+W21/(1+DiscountRate)^4+X21/(1+DiscountRate)^5+Y21/(1+DiscountRate)^6+Z21/(1+DiscountRate)^7+AA21/(1+DiscountRate)^8+AB21/(1+DiscountRate)^9+AC21/(1+DiscountRate)^10+AD21/(1+DiscountRate)^11+AE21/(1+DiscountRate)^12+AF21/(1+DiscountRate)^13+AG21/(1+DiscountRate)^14+AH21/(1+DiscountRate)^15+AI21/(1+DiscountRate)^16+AJ21/(1+DiscountRate)^17+AK21/(1+DiscountRate)^18+AL21/(1+DiscountRate)^19+AM21/(1+DiscountRate)^20)</f>
        <v/>
      </c>
      <c r="CE21" s="37">
        <f>IF(A21="","",IFERROR(IRR(OFFSET(S21,0,0,1,MIN(HorizonYears,20)+1)),"n/a"))</f>
        <v/>
      </c>
      <c r="CF21" s="28">
        <f>IF(A21="","",IFERROR(MATCH(TRUE,OFFSET(AN21,0,0,1,MIN(HorizonYears,20)+1)&gt;=0,0)-1,"n/a"))</f>
        <v/>
      </c>
      <c r="CG21" s="36">
        <f>IF(A21="","",SUM(OFFSET(BI21,0,0,1,MIN(HorizonYears,20)+1)))</f>
        <v/>
      </c>
      <c r="CH21" s="36">
        <f>IF(A21="","",IFERROR(-CD21/CG21,"n/a"))</f>
        <v/>
      </c>
    </row>
    <row r="22">
      <c r="A22" s="6">
        <f>Actions!A20</f>
        <v/>
      </c>
      <c r="B22" s="6">
        <f>Actions!B20</f>
        <v/>
      </c>
      <c r="C22" s="6">
        <f>Actions!D20</f>
        <v/>
      </c>
      <c r="D22" s="35">
        <f>Actions!E20</f>
        <v/>
      </c>
      <c r="E22" s="35">
        <f>Actions!F20</f>
        <v/>
      </c>
      <c r="F22" s="6">
        <f>Actions!G20</f>
        <v/>
      </c>
      <c r="G22" s="6">
        <f>Actions!H20</f>
        <v/>
      </c>
      <c r="H22" s="29">
        <f>Actions!I20</f>
        <v/>
      </c>
      <c r="I22" s="6">
        <f>Actions!J20</f>
        <v/>
      </c>
      <c r="J22" s="16">
        <f>Actions!K20</f>
        <v/>
      </c>
      <c r="K22" s="16">
        <f>IF(A22="","",IF(I22="%",H22*J22,J22))</f>
        <v/>
      </c>
      <c r="L22" s="16">
        <f>Actions!L20</f>
        <v/>
      </c>
      <c r="M22" s="6">
        <f>Actions!M20</f>
        <v/>
      </c>
      <c r="N22" s="28">
        <f>Actions!N20</f>
        <v/>
      </c>
      <c r="O22" s="29">
        <f>Actions!T20</f>
        <v/>
      </c>
      <c r="P22" s="29">
        <f>Actions!Y20</f>
        <v/>
      </c>
      <c r="Q22" s="29">
        <f>Actions!Z20</f>
        <v/>
      </c>
      <c r="R22" s="29">
        <f>Actions!AA20</f>
        <v/>
      </c>
      <c r="S22" s="29">
        <f>IF(A22="","",((K22)*(IF(M22="",L22,IFERROR(IF(INDEX(Variablen!$I:$AT, MATCH(M22, Variablen!$A:$A, 0), MATCH((YEAR(D22)+0), Variablen!$I$3:$AT$3, 0))="",L22,INDEX(Variablen!$I:$AT, MATCH(M22, Variablen!$A:$A, 0), MATCH((YEAR(D22)+0), Variablen!$I$3:$AT$3, 0))),L22)))*(IF((YEAR(D22)+0)&lt;YEAR(E22),0,IF((YEAR(D22)+0)&gt;YEAR(E22),1,(12-MONTH(E22)+1)/12))) + (Q22)*(IF((YEAR(D22)+0)&lt;YEAR(E22),0,IF((YEAR(D22)+0)&gt;YEAR(E22),1,(12-MONTH(E22)+1)/12))))-((P22)*(IF((YEAR(D22)+0)&lt;YEAR(E22),0,IF((YEAR(D22)+0)&gt;YEAR(E22),1,(12-MONTH(E22)+1)/12))) + (R22)*(IF((YEAR(D22)+0)&lt;YEAR(E22),0,IF((YEAR(D22)+0)&gt;YEAR(E22),1,(12-MONTH(E22)+1)/12))))-(IF((((K22)*(IF(M22="",L22,IFERROR(IF(INDEX(Variablen!$I:$AT, MATCH(M22, Variablen!$A:$A, 0), MATCH((YEAR(D22)+0), Variablen!$I$3:$AT$3, 0))="",L22,INDEX(Variablen!$I:$AT, MATCH(M22, Variablen!$A:$A, 0), MATCH((YEAR(D22)+0), Variablen!$I$3:$AT$3, 0))),L22)))*(IF((YEAR(D22)+0)&lt;YEAR(E22),0,IF((YEAR(D22)+0)&gt;YEAR(E22),1,(12-MONTH(E22)+1)/12))) + (Q22)*(IF((YEAR(D22)+0)&lt;YEAR(E22),0,IF((YEAR(D22)+0)&gt;YEAR(E22),1,(12-MONTH(E22)+1)/12))))-((P22)*(IF((YEAR(D22)+0)&lt;YEAR(E22),0,IF((YEAR(D22)+0)&gt;YEAR(E22),1,(12-MONTH(E22)+1)/12))) + (R22)*(IF((YEAR(D22)+0)&lt;YEAR(E22),0,IF((YEAR(D22)+0)&gt;YEAR(E22),1,(12-MONTH(E22)+1)/12))))-(IF(OR(N22="",N22&lt;=0),0,(O22/N22)*(IF(OR(N22="",N22&lt;=0),0,IF((YEAR(D22)+0)&lt;YEAR(E22),0,IF((YEAR(D22)+0)&gt;=YEAR(E22)+N22,0,IF((YEAR(D22)+0)=YEAR(E22),(12-MONTH(E22)+1)/12,1))))))))&gt;0,(((K22)*(IF(M22="",L22,IFERROR(IF(INDEX(Variablen!$I:$AT, MATCH(M22, Variablen!$A:$A, 0), MATCH((YEAR(D22)+0), Variablen!$I$3:$AT$3, 0))="",L22,INDEX(Variablen!$I:$AT, MATCH(M22, Variablen!$A:$A, 0), MATCH((YEAR(D22)+0), Variablen!$I$3:$AT$3, 0))),L22)))*(IF((YEAR(D22)+0)&lt;YEAR(E22),0,IF((YEAR(D22)+0)&gt;YEAR(E22),1,(12-MONTH(E22)+1)/12))) + (Q22)*(IF((YEAR(D22)+0)&lt;YEAR(E22),0,IF((YEAR(D22)+0)&gt;YEAR(E22),1,(12-MONTH(E22)+1)/12))))-((P22)*(IF((YEAR(D22)+0)&lt;YEAR(E22),0,IF((YEAR(D22)+0)&gt;YEAR(E22),1,(12-MONTH(E22)+1)/12))) + (R22)*(IF((YEAR(D22)+0)&lt;YEAR(E22),0,IF((YEAR(D22)+0)&gt;YEAR(E22),1,(12-MONTH(E22)+1)/12))))-(IF(OR(N22="",N22&lt;=0),0,(O22/N22)*(IF(OR(N22="",N22&lt;=0),0,IF((YEAR(D22)+0)&lt;YEAR(E22),0,IF((YEAR(D22)+0)&gt;=YEAR(E22)+N22,0,IF((YEAR(D22)+0)=YEAR(E22),(12-MONTH(E22)+1)/12,1))))))))*TaxRate,0))-IF(0=0,O22,0))</f>
        <v/>
      </c>
      <c r="T22" s="29">
        <f>IF(A22="","",((K22)*(IF(M22="",L22,IFERROR(IF(INDEX(Variablen!$I:$AT, MATCH(M22, Variablen!$A:$A, 0), MATCH((YEAR(D22)+1), Variablen!$I$3:$AT$3, 0))="",L22,INDEX(Variablen!$I:$AT, MATCH(M22, Variablen!$A:$A, 0), MATCH((YEAR(D22)+1), Variablen!$I$3:$AT$3, 0))),L22)))*(IF((YEAR(D22)+1)&lt;YEAR(E22),0,IF((YEAR(D22)+1)&gt;YEAR(E22),1,(12-MONTH(E22)+1)/12))) + (Q22)*(IF((YEAR(D22)+1)&lt;YEAR(E22),0,IF((YEAR(D22)+1)&gt;YEAR(E22),1,(12-MONTH(E22)+1)/12))))-((P22)*(IF((YEAR(D22)+1)&lt;YEAR(E22),0,IF((YEAR(D22)+1)&gt;YEAR(E22),1,(12-MONTH(E22)+1)/12))) + (R22)*(IF((YEAR(D22)+1)&lt;YEAR(E22),0,IF((YEAR(D22)+1)&gt;YEAR(E22),1,(12-MONTH(E22)+1)/12))))-(IF((((K22)*(IF(M22="",L22,IFERROR(IF(INDEX(Variablen!$I:$AT, MATCH(M22, Variablen!$A:$A, 0), MATCH((YEAR(D22)+1), Variablen!$I$3:$AT$3, 0))="",L22,INDEX(Variablen!$I:$AT, MATCH(M22, Variablen!$A:$A, 0), MATCH((YEAR(D22)+1), Variablen!$I$3:$AT$3, 0))),L22)))*(IF((YEAR(D22)+1)&lt;YEAR(E22),0,IF((YEAR(D22)+1)&gt;YEAR(E22),1,(12-MONTH(E22)+1)/12))) + (Q22)*(IF((YEAR(D22)+1)&lt;YEAR(E22),0,IF((YEAR(D22)+1)&gt;YEAR(E22),1,(12-MONTH(E22)+1)/12))))-((P22)*(IF((YEAR(D22)+1)&lt;YEAR(E22),0,IF((YEAR(D22)+1)&gt;YEAR(E22),1,(12-MONTH(E22)+1)/12))) + (R22)*(IF((YEAR(D22)+1)&lt;YEAR(E22),0,IF((YEAR(D22)+1)&gt;YEAR(E22),1,(12-MONTH(E22)+1)/12))))-(IF(OR(N22="",N22&lt;=0),0,(O22/N22)*(IF(OR(N22="",N22&lt;=0),0,IF((YEAR(D22)+1)&lt;YEAR(E22),0,IF((YEAR(D22)+1)&gt;=YEAR(E22)+N22,0,IF((YEAR(D22)+1)=YEAR(E22),(12-MONTH(E22)+1)/12,1))))))))&gt;0,(((K22)*(IF(M22="",L22,IFERROR(IF(INDEX(Variablen!$I:$AT, MATCH(M22, Variablen!$A:$A, 0), MATCH((YEAR(D22)+1), Variablen!$I$3:$AT$3, 0))="",L22,INDEX(Variablen!$I:$AT, MATCH(M22, Variablen!$A:$A, 0), MATCH((YEAR(D22)+1), Variablen!$I$3:$AT$3, 0))),L22)))*(IF((YEAR(D22)+1)&lt;YEAR(E22),0,IF((YEAR(D22)+1)&gt;YEAR(E22),1,(12-MONTH(E22)+1)/12))) + (Q22)*(IF((YEAR(D22)+1)&lt;YEAR(E22),0,IF((YEAR(D22)+1)&gt;YEAR(E22),1,(12-MONTH(E22)+1)/12))))-((P22)*(IF((YEAR(D22)+1)&lt;YEAR(E22),0,IF((YEAR(D22)+1)&gt;YEAR(E22),1,(12-MONTH(E22)+1)/12))) + (R22)*(IF((YEAR(D22)+1)&lt;YEAR(E22),0,IF((YEAR(D22)+1)&gt;YEAR(E22),1,(12-MONTH(E22)+1)/12))))-(IF(OR(N22="",N22&lt;=0),0,(O22/N22)*(IF(OR(N22="",N22&lt;=0),0,IF((YEAR(D22)+1)&lt;YEAR(E22),0,IF((YEAR(D22)+1)&gt;=YEAR(E22)+N22,0,IF((YEAR(D22)+1)=YEAR(E22),(12-MONTH(E22)+1)/12,1))))))))*TaxRate,0))-IF(1=0,O22,0))</f>
        <v/>
      </c>
      <c r="U22" s="29">
        <f>IF(A22="","",((K22)*(IF(M22="",L22,IFERROR(IF(INDEX(Variablen!$I:$AT, MATCH(M22, Variablen!$A:$A, 0), MATCH((YEAR(D22)+2), Variablen!$I$3:$AT$3, 0))="",L22,INDEX(Variablen!$I:$AT, MATCH(M22, Variablen!$A:$A, 0), MATCH((YEAR(D22)+2), Variablen!$I$3:$AT$3, 0))),L22)))*(IF((YEAR(D22)+2)&lt;YEAR(E22),0,IF((YEAR(D22)+2)&gt;YEAR(E22),1,(12-MONTH(E22)+1)/12))) + (Q22)*(IF((YEAR(D22)+2)&lt;YEAR(E22),0,IF((YEAR(D22)+2)&gt;YEAR(E22),1,(12-MONTH(E22)+1)/12))))-((P22)*(IF((YEAR(D22)+2)&lt;YEAR(E22),0,IF((YEAR(D22)+2)&gt;YEAR(E22),1,(12-MONTH(E22)+1)/12))) + (R22)*(IF((YEAR(D22)+2)&lt;YEAR(E22),0,IF((YEAR(D22)+2)&gt;YEAR(E22),1,(12-MONTH(E22)+1)/12))))-(IF((((K22)*(IF(M22="",L22,IFERROR(IF(INDEX(Variablen!$I:$AT, MATCH(M22, Variablen!$A:$A, 0), MATCH((YEAR(D22)+2), Variablen!$I$3:$AT$3, 0))="",L22,INDEX(Variablen!$I:$AT, MATCH(M22, Variablen!$A:$A, 0), MATCH((YEAR(D22)+2), Variablen!$I$3:$AT$3, 0))),L22)))*(IF((YEAR(D22)+2)&lt;YEAR(E22),0,IF((YEAR(D22)+2)&gt;YEAR(E22),1,(12-MONTH(E22)+1)/12))) + (Q22)*(IF((YEAR(D22)+2)&lt;YEAR(E22),0,IF((YEAR(D22)+2)&gt;YEAR(E22),1,(12-MONTH(E22)+1)/12))))-((P22)*(IF((YEAR(D22)+2)&lt;YEAR(E22),0,IF((YEAR(D22)+2)&gt;YEAR(E22),1,(12-MONTH(E22)+1)/12))) + (R22)*(IF((YEAR(D22)+2)&lt;YEAR(E22),0,IF((YEAR(D22)+2)&gt;YEAR(E22),1,(12-MONTH(E22)+1)/12))))-(IF(OR(N22="",N22&lt;=0),0,(O22/N22)*(IF(OR(N22="",N22&lt;=0),0,IF((YEAR(D22)+2)&lt;YEAR(E22),0,IF((YEAR(D22)+2)&gt;=YEAR(E22)+N22,0,IF((YEAR(D22)+2)=YEAR(E22),(12-MONTH(E22)+1)/12,1))))))))&gt;0,(((K22)*(IF(M22="",L22,IFERROR(IF(INDEX(Variablen!$I:$AT, MATCH(M22, Variablen!$A:$A, 0), MATCH((YEAR(D22)+2), Variablen!$I$3:$AT$3, 0))="",L22,INDEX(Variablen!$I:$AT, MATCH(M22, Variablen!$A:$A, 0), MATCH((YEAR(D22)+2), Variablen!$I$3:$AT$3, 0))),L22)))*(IF((YEAR(D22)+2)&lt;YEAR(E22),0,IF((YEAR(D22)+2)&gt;YEAR(E22),1,(12-MONTH(E22)+1)/12))) + (Q22)*(IF((YEAR(D22)+2)&lt;YEAR(E22),0,IF((YEAR(D22)+2)&gt;YEAR(E22),1,(12-MONTH(E22)+1)/12))))-((P22)*(IF((YEAR(D22)+2)&lt;YEAR(E22),0,IF((YEAR(D22)+2)&gt;YEAR(E22),1,(12-MONTH(E22)+1)/12))) + (R22)*(IF((YEAR(D22)+2)&lt;YEAR(E22),0,IF((YEAR(D22)+2)&gt;YEAR(E22),1,(12-MONTH(E22)+1)/12))))-(IF(OR(N22="",N22&lt;=0),0,(O22/N22)*(IF(OR(N22="",N22&lt;=0),0,IF((YEAR(D22)+2)&lt;YEAR(E22),0,IF((YEAR(D22)+2)&gt;=YEAR(E22)+N22,0,IF((YEAR(D22)+2)=YEAR(E22),(12-MONTH(E22)+1)/12,1))))))))*TaxRate,0))-IF(2=0,O22,0))</f>
        <v/>
      </c>
      <c r="V22" s="29">
        <f>IF(A22="","",((K22)*(IF(M22="",L22,IFERROR(IF(INDEX(Variablen!$I:$AT, MATCH(M22, Variablen!$A:$A, 0), MATCH((YEAR(D22)+3), Variablen!$I$3:$AT$3, 0))="",L22,INDEX(Variablen!$I:$AT, MATCH(M22, Variablen!$A:$A, 0), MATCH((YEAR(D22)+3), Variablen!$I$3:$AT$3, 0))),L22)))*(IF((YEAR(D22)+3)&lt;YEAR(E22),0,IF((YEAR(D22)+3)&gt;YEAR(E22),1,(12-MONTH(E22)+1)/12))) + (Q22)*(IF((YEAR(D22)+3)&lt;YEAR(E22),0,IF((YEAR(D22)+3)&gt;YEAR(E22),1,(12-MONTH(E22)+1)/12))))-((P22)*(IF((YEAR(D22)+3)&lt;YEAR(E22),0,IF((YEAR(D22)+3)&gt;YEAR(E22),1,(12-MONTH(E22)+1)/12))) + (R22)*(IF((YEAR(D22)+3)&lt;YEAR(E22),0,IF((YEAR(D22)+3)&gt;YEAR(E22),1,(12-MONTH(E22)+1)/12))))-(IF((((K22)*(IF(M22="",L22,IFERROR(IF(INDEX(Variablen!$I:$AT, MATCH(M22, Variablen!$A:$A, 0), MATCH((YEAR(D22)+3), Variablen!$I$3:$AT$3, 0))="",L22,INDEX(Variablen!$I:$AT, MATCH(M22, Variablen!$A:$A, 0), MATCH((YEAR(D22)+3), Variablen!$I$3:$AT$3, 0))),L22)))*(IF((YEAR(D22)+3)&lt;YEAR(E22),0,IF((YEAR(D22)+3)&gt;YEAR(E22),1,(12-MONTH(E22)+1)/12))) + (Q22)*(IF((YEAR(D22)+3)&lt;YEAR(E22),0,IF((YEAR(D22)+3)&gt;YEAR(E22),1,(12-MONTH(E22)+1)/12))))-((P22)*(IF((YEAR(D22)+3)&lt;YEAR(E22),0,IF((YEAR(D22)+3)&gt;YEAR(E22),1,(12-MONTH(E22)+1)/12))) + (R22)*(IF((YEAR(D22)+3)&lt;YEAR(E22),0,IF((YEAR(D22)+3)&gt;YEAR(E22),1,(12-MONTH(E22)+1)/12))))-(IF(OR(N22="",N22&lt;=0),0,(O22/N22)*(IF(OR(N22="",N22&lt;=0),0,IF((YEAR(D22)+3)&lt;YEAR(E22),0,IF((YEAR(D22)+3)&gt;=YEAR(E22)+N22,0,IF((YEAR(D22)+3)=YEAR(E22),(12-MONTH(E22)+1)/12,1))))))))&gt;0,(((K22)*(IF(M22="",L22,IFERROR(IF(INDEX(Variablen!$I:$AT, MATCH(M22, Variablen!$A:$A, 0), MATCH((YEAR(D22)+3), Variablen!$I$3:$AT$3, 0))="",L22,INDEX(Variablen!$I:$AT, MATCH(M22, Variablen!$A:$A, 0), MATCH((YEAR(D22)+3), Variablen!$I$3:$AT$3, 0))),L22)))*(IF((YEAR(D22)+3)&lt;YEAR(E22),0,IF((YEAR(D22)+3)&gt;YEAR(E22),1,(12-MONTH(E22)+1)/12))) + (Q22)*(IF((YEAR(D22)+3)&lt;YEAR(E22),0,IF((YEAR(D22)+3)&gt;YEAR(E22),1,(12-MONTH(E22)+1)/12))))-((P22)*(IF((YEAR(D22)+3)&lt;YEAR(E22),0,IF((YEAR(D22)+3)&gt;YEAR(E22),1,(12-MONTH(E22)+1)/12))) + (R22)*(IF((YEAR(D22)+3)&lt;YEAR(E22),0,IF((YEAR(D22)+3)&gt;YEAR(E22),1,(12-MONTH(E22)+1)/12))))-(IF(OR(N22="",N22&lt;=0),0,(O22/N22)*(IF(OR(N22="",N22&lt;=0),0,IF((YEAR(D22)+3)&lt;YEAR(E22),0,IF((YEAR(D22)+3)&gt;=YEAR(E22)+N22,0,IF((YEAR(D22)+3)=YEAR(E22),(12-MONTH(E22)+1)/12,1))))))))*TaxRate,0))-IF(3=0,O22,0))</f>
        <v/>
      </c>
      <c r="W22" s="29">
        <f>IF(A22="","",((K22)*(IF(M22="",L22,IFERROR(IF(INDEX(Variablen!$I:$AT, MATCH(M22, Variablen!$A:$A, 0), MATCH((YEAR(D22)+4), Variablen!$I$3:$AT$3, 0))="",L22,INDEX(Variablen!$I:$AT, MATCH(M22, Variablen!$A:$A, 0), MATCH((YEAR(D22)+4), Variablen!$I$3:$AT$3, 0))),L22)))*(IF((YEAR(D22)+4)&lt;YEAR(E22),0,IF((YEAR(D22)+4)&gt;YEAR(E22),1,(12-MONTH(E22)+1)/12))) + (Q22)*(IF((YEAR(D22)+4)&lt;YEAR(E22),0,IF((YEAR(D22)+4)&gt;YEAR(E22),1,(12-MONTH(E22)+1)/12))))-((P22)*(IF((YEAR(D22)+4)&lt;YEAR(E22),0,IF((YEAR(D22)+4)&gt;YEAR(E22),1,(12-MONTH(E22)+1)/12))) + (R22)*(IF((YEAR(D22)+4)&lt;YEAR(E22),0,IF((YEAR(D22)+4)&gt;YEAR(E22),1,(12-MONTH(E22)+1)/12))))-(IF((((K22)*(IF(M22="",L22,IFERROR(IF(INDEX(Variablen!$I:$AT, MATCH(M22, Variablen!$A:$A, 0), MATCH((YEAR(D22)+4), Variablen!$I$3:$AT$3, 0))="",L22,INDEX(Variablen!$I:$AT, MATCH(M22, Variablen!$A:$A, 0), MATCH((YEAR(D22)+4), Variablen!$I$3:$AT$3, 0))),L22)))*(IF((YEAR(D22)+4)&lt;YEAR(E22),0,IF((YEAR(D22)+4)&gt;YEAR(E22),1,(12-MONTH(E22)+1)/12))) + (Q22)*(IF((YEAR(D22)+4)&lt;YEAR(E22),0,IF((YEAR(D22)+4)&gt;YEAR(E22),1,(12-MONTH(E22)+1)/12))))-((P22)*(IF((YEAR(D22)+4)&lt;YEAR(E22),0,IF((YEAR(D22)+4)&gt;YEAR(E22),1,(12-MONTH(E22)+1)/12))) + (R22)*(IF((YEAR(D22)+4)&lt;YEAR(E22),0,IF((YEAR(D22)+4)&gt;YEAR(E22),1,(12-MONTH(E22)+1)/12))))-(IF(OR(N22="",N22&lt;=0),0,(O22/N22)*(IF(OR(N22="",N22&lt;=0),0,IF((YEAR(D22)+4)&lt;YEAR(E22),0,IF((YEAR(D22)+4)&gt;=YEAR(E22)+N22,0,IF((YEAR(D22)+4)=YEAR(E22),(12-MONTH(E22)+1)/12,1))))))))&gt;0,(((K22)*(IF(M22="",L22,IFERROR(IF(INDEX(Variablen!$I:$AT, MATCH(M22, Variablen!$A:$A, 0), MATCH((YEAR(D22)+4), Variablen!$I$3:$AT$3, 0))="",L22,INDEX(Variablen!$I:$AT, MATCH(M22, Variablen!$A:$A, 0), MATCH((YEAR(D22)+4), Variablen!$I$3:$AT$3, 0))),L22)))*(IF((YEAR(D22)+4)&lt;YEAR(E22),0,IF((YEAR(D22)+4)&gt;YEAR(E22),1,(12-MONTH(E22)+1)/12))) + (Q22)*(IF((YEAR(D22)+4)&lt;YEAR(E22),0,IF((YEAR(D22)+4)&gt;YEAR(E22),1,(12-MONTH(E22)+1)/12))))-((P22)*(IF((YEAR(D22)+4)&lt;YEAR(E22),0,IF((YEAR(D22)+4)&gt;YEAR(E22),1,(12-MONTH(E22)+1)/12))) + (R22)*(IF((YEAR(D22)+4)&lt;YEAR(E22),0,IF((YEAR(D22)+4)&gt;YEAR(E22),1,(12-MONTH(E22)+1)/12))))-(IF(OR(N22="",N22&lt;=0),0,(O22/N22)*(IF(OR(N22="",N22&lt;=0),0,IF((YEAR(D22)+4)&lt;YEAR(E22),0,IF((YEAR(D22)+4)&gt;=YEAR(E22)+N22,0,IF((YEAR(D22)+4)=YEAR(E22),(12-MONTH(E22)+1)/12,1))))))))*TaxRate,0))-IF(4=0,O22,0))</f>
        <v/>
      </c>
      <c r="X22" s="29">
        <f>IF(A22="","",((K22)*(IF(M22="",L22,IFERROR(IF(INDEX(Variablen!$I:$AT, MATCH(M22, Variablen!$A:$A, 0), MATCH((YEAR(D22)+5), Variablen!$I$3:$AT$3, 0))="",L22,INDEX(Variablen!$I:$AT, MATCH(M22, Variablen!$A:$A, 0), MATCH((YEAR(D22)+5), Variablen!$I$3:$AT$3, 0))),L22)))*(IF((YEAR(D22)+5)&lt;YEAR(E22),0,IF((YEAR(D22)+5)&gt;YEAR(E22),1,(12-MONTH(E22)+1)/12))) + (Q22)*(IF((YEAR(D22)+5)&lt;YEAR(E22),0,IF((YEAR(D22)+5)&gt;YEAR(E22),1,(12-MONTH(E22)+1)/12))))-((P22)*(IF((YEAR(D22)+5)&lt;YEAR(E22),0,IF((YEAR(D22)+5)&gt;YEAR(E22),1,(12-MONTH(E22)+1)/12))) + (R22)*(IF((YEAR(D22)+5)&lt;YEAR(E22),0,IF((YEAR(D22)+5)&gt;YEAR(E22),1,(12-MONTH(E22)+1)/12))))-(IF((((K22)*(IF(M22="",L22,IFERROR(IF(INDEX(Variablen!$I:$AT, MATCH(M22, Variablen!$A:$A, 0), MATCH((YEAR(D22)+5), Variablen!$I$3:$AT$3, 0))="",L22,INDEX(Variablen!$I:$AT, MATCH(M22, Variablen!$A:$A, 0), MATCH((YEAR(D22)+5), Variablen!$I$3:$AT$3, 0))),L22)))*(IF((YEAR(D22)+5)&lt;YEAR(E22),0,IF((YEAR(D22)+5)&gt;YEAR(E22),1,(12-MONTH(E22)+1)/12))) + (Q22)*(IF((YEAR(D22)+5)&lt;YEAR(E22),0,IF((YEAR(D22)+5)&gt;YEAR(E22),1,(12-MONTH(E22)+1)/12))))-((P22)*(IF((YEAR(D22)+5)&lt;YEAR(E22),0,IF((YEAR(D22)+5)&gt;YEAR(E22),1,(12-MONTH(E22)+1)/12))) + (R22)*(IF((YEAR(D22)+5)&lt;YEAR(E22),0,IF((YEAR(D22)+5)&gt;YEAR(E22),1,(12-MONTH(E22)+1)/12))))-(IF(OR(N22="",N22&lt;=0),0,(O22/N22)*(IF(OR(N22="",N22&lt;=0),0,IF((YEAR(D22)+5)&lt;YEAR(E22),0,IF((YEAR(D22)+5)&gt;=YEAR(E22)+N22,0,IF((YEAR(D22)+5)=YEAR(E22),(12-MONTH(E22)+1)/12,1))))))))&gt;0,(((K22)*(IF(M22="",L22,IFERROR(IF(INDEX(Variablen!$I:$AT, MATCH(M22, Variablen!$A:$A, 0), MATCH((YEAR(D22)+5), Variablen!$I$3:$AT$3, 0))="",L22,INDEX(Variablen!$I:$AT, MATCH(M22, Variablen!$A:$A, 0), MATCH((YEAR(D22)+5), Variablen!$I$3:$AT$3, 0))),L22)))*(IF((YEAR(D22)+5)&lt;YEAR(E22),0,IF((YEAR(D22)+5)&gt;YEAR(E22),1,(12-MONTH(E22)+1)/12))) + (Q22)*(IF((YEAR(D22)+5)&lt;YEAR(E22),0,IF((YEAR(D22)+5)&gt;YEAR(E22),1,(12-MONTH(E22)+1)/12))))-((P22)*(IF((YEAR(D22)+5)&lt;YEAR(E22),0,IF((YEAR(D22)+5)&gt;YEAR(E22),1,(12-MONTH(E22)+1)/12))) + (R22)*(IF((YEAR(D22)+5)&lt;YEAR(E22),0,IF((YEAR(D22)+5)&gt;YEAR(E22),1,(12-MONTH(E22)+1)/12))))-(IF(OR(N22="",N22&lt;=0),0,(O22/N22)*(IF(OR(N22="",N22&lt;=0),0,IF((YEAR(D22)+5)&lt;YEAR(E22),0,IF((YEAR(D22)+5)&gt;=YEAR(E22)+N22,0,IF((YEAR(D22)+5)=YEAR(E22),(12-MONTH(E22)+1)/12,1))))))))*TaxRate,0))-IF(5=0,O22,0))</f>
        <v/>
      </c>
      <c r="Y22" s="29">
        <f>IF(A22="","",((K22)*(IF(M22="",L22,IFERROR(IF(INDEX(Variablen!$I:$AT, MATCH(M22, Variablen!$A:$A, 0), MATCH((YEAR(D22)+6), Variablen!$I$3:$AT$3, 0))="",L22,INDEX(Variablen!$I:$AT, MATCH(M22, Variablen!$A:$A, 0), MATCH((YEAR(D22)+6), Variablen!$I$3:$AT$3, 0))),L22)))*(IF((YEAR(D22)+6)&lt;YEAR(E22),0,IF((YEAR(D22)+6)&gt;YEAR(E22),1,(12-MONTH(E22)+1)/12))) + (Q22)*(IF((YEAR(D22)+6)&lt;YEAR(E22),0,IF((YEAR(D22)+6)&gt;YEAR(E22),1,(12-MONTH(E22)+1)/12))))-((P22)*(IF((YEAR(D22)+6)&lt;YEAR(E22),0,IF((YEAR(D22)+6)&gt;YEAR(E22),1,(12-MONTH(E22)+1)/12))) + (R22)*(IF((YEAR(D22)+6)&lt;YEAR(E22),0,IF((YEAR(D22)+6)&gt;YEAR(E22),1,(12-MONTH(E22)+1)/12))))-(IF((((K22)*(IF(M22="",L22,IFERROR(IF(INDEX(Variablen!$I:$AT, MATCH(M22, Variablen!$A:$A, 0), MATCH((YEAR(D22)+6), Variablen!$I$3:$AT$3, 0))="",L22,INDEX(Variablen!$I:$AT, MATCH(M22, Variablen!$A:$A, 0), MATCH((YEAR(D22)+6), Variablen!$I$3:$AT$3, 0))),L22)))*(IF((YEAR(D22)+6)&lt;YEAR(E22),0,IF((YEAR(D22)+6)&gt;YEAR(E22),1,(12-MONTH(E22)+1)/12))) + (Q22)*(IF((YEAR(D22)+6)&lt;YEAR(E22),0,IF((YEAR(D22)+6)&gt;YEAR(E22),1,(12-MONTH(E22)+1)/12))))-((P22)*(IF((YEAR(D22)+6)&lt;YEAR(E22),0,IF((YEAR(D22)+6)&gt;YEAR(E22),1,(12-MONTH(E22)+1)/12))) + (R22)*(IF((YEAR(D22)+6)&lt;YEAR(E22),0,IF((YEAR(D22)+6)&gt;YEAR(E22),1,(12-MONTH(E22)+1)/12))))-(IF(OR(N22="",N22&lt;=0),0,(O22/N22)*(IF(OR(N22="",N22&lt;=0),0,IF((YEAR(D22)+6)&lt;YEAR(E22),0,IF((YEAR(D22)+6)&gt;=YEAR(E22)+N22,0,IF((YEAR(D22)+6)=YEAR(E22),(12-MONTH(E22)+1)/12,1))))))))&gt;0,(((K22)*(IF(M22="",L22,IFERROR(IF(INDEX(Variablen!$I:$AT, MATCH(M22, Variablen!$A:$A, 0), MATCH((YEAR(D22)+6), Variablen!$I$3:$AT$3, 0))="",L22,INDEX(Variablen!$I:$AT, MATCH(M22, Variablen!$A:$A, 0), MATCH((YEAR(D22)+6), Variablen!$I$3:$AT$3, 0))),L22)))*(IF((YEAR(D22)+6)&lt;YEAR(E22),0,IF((YEAR(D22)+6)&gt;YEAR(E22),1,(12-MONTH(E22)+1)/12))) + (Q22)*(IF((YEAR(D22)+6)&lt;YEAR(E22),0,IF((YEAR(D22)+6)&gt;YEAR(E22),1,(12-MONTH(E22)+1)/12))))-((P22)*(IF((YEAR(D22)+6)&lt;YEAR(E22),0,IF((YEAR(D22)+6)&gt;YEAR(E22),1,(12-MONTH(E22)+1)/12))) + (R22)*(IF((YEAR(D22)+6)&lt;YEAR(E22),0,IF((YEAR(D22)+6)&gt;YEAR(E22),1,(12-MONTH(E22)+1)/12))))-(IF(OR(N22="",N22&lt;=0),0,(O22/N22)*(IF(OR(N22="",N22&lt;=0),0,IF((YEAR(D22)+6)&lt;YEAR(E22),0,IF((YEAR(D22)+6)&gt;=YEAR(E22)+N22,0,IF((YEAR(D22)+6)=YEAR(E22),(12-MONTH(E22)+1)/12,1))))))))*TaxRate,0))-IF(6=0,O22,0))</f>
        <v/>
      </c>
      <c r="Z22" s="29">
        <f>IF(A22="","",((K22)*(IF(M22="",L22,IFERROR(IF(INDEX(Variablen!$I:$AT, MATCH(M22, Variablen!$A:$A, 0), MATCH((YEAR(D22)+7), Variablen!$I$3:$AT$3, 0))="",L22,INDEX(Variablen!$I:$AT, MATCH(M22, Variablen!$A:$A, 0), MATCH((YEAR(D22)+7), Variablen!$I$3:$AT$3, 0))),L22)))*(IF((YEAR(D22)+7)&lt;YEAR(E22),0,IF((YEAR(D22)+7)&gt;YEAR(E22),1,(12-MONTH(E22)+1)/12))) + (Q22)*(IF((YEAR(D22)+7)&lt;YEAR(E22),0,IF((YEAR(D22)+7)&gt;YEAR(E22),1,(12-MONTH(E22)+1)/12))))-((P22)*(IF((YEAR(D22)+7)&lt;YEAR(E22),0,IF((YEAR(D22)+7)&gt;YEAR(E22),1,(12-MONTH(E22)+1)/12))) + (R22)*(IF((YEAR(D22)+7)&lt;YEAR(E22),0,IF((YEAR(D22)+7)&gt;YEAR(E22),1,(12-MONTH(E22)+1)/12))))-(IF((((K22)*(IF(M22="",L22,IFERROR(IF(INDEX(Variablen!$I:$AT, MATCH(M22, Variablen!$A:$A, 0), MATCH((YEAR(D22)+7), Variablen!$I$3:$AT$3, 0))="",L22,INDEX(Variablen!$I:$AT, MATCH(M22, Variablen!$A:$A, 0), MATCH((YEAR(D22)+7), Variablen!$I$3:$AT$3, 0))),L22)))*(IF((YEAR(D22)+7)&lt;YEAR(E22),0,IF((YEAR(D22)+7)&gt;YEAR(E22),1,(12-MONTH(E22)+1)/12))) + (Q22)*(IF((YEAR(D22)+7)&lt;YEAR(E22),0,IF((YEAR(D22)+7)&gt;YEAR(E22),1,(12-MONTH(E22)+1)/12))))-((P22)*(IF((YEAR(D22)+7)&lt;YEAR(E22),0,IF((YEAR(D22)+7)&gt;YEAR(E22),1,(12-MONTH(E22)+1)/12))) + (R22)*(IF((YEAR(D22)+7)&lt;YEAR(E22),0,IF((YEAR(D22)+7)&gt;YEAR(E22),1,(12-MONTH(E22)+1)/12))))-(IF(OR(N22="",N22&lt;=0),0,(O22/N22)*(IF(OR(N22="",N22&lt;=0),0,IF((YEAR(D22)+7)&lt;YEAR(E22),0,IF((YEAR(D22)+7)&gt;=YEAR(E22)+N22,0,IF((YEAR(D22)+7)=YEAR(E22),(12-MONTH(E22)+1)/12,1))))))))&gt;0,(((K22)*(IF(M22="",L22,IFERROR(IF(INDEX(Variablen!$I:$AT, MATCH(M22, Variablen!$A:$A, 0), MATCH((YEAR(D22)+7), Variablen!$I$3:$AT$3, 0))="",L22,INDEX(Variablen!$I:$AT, MATCH(M22, Variablen!$A:$A, 0), MATCH((YEAR(D22)+7), Variablen!$I$3:$AT$3, 0))),L22)))*(IF((YEAR(D22)+7)&lt;YEAR(E22),0,IF((YEAR(D22)+7)&gt;YEAR(E22),1,(12-MONTH(E22)+1)/12))) + (Q22)*(IF((YEAR(D22)+7)&lt;YEAR(E22),0,IF((YEAR(D22)+7)&gt;YEAR(E22),1,(12-MONTH(E22)+1)/12))))-((P22)*(IF((YEAR(D22)+7)&lt;YEAR(E22),0,IF((YEAR(D22)+7)&gt;YEAR(E22),1,(12-MONTH(E22)+1)/12))) + (R22)*(IF((YEAR(D22)+7)&lt;YEAR(E22),0,IF((YEAR(D22)+7)&gt;YEAR(E22),1,(12-MONTH(E22)+1)/12))))-(IF(OR(N22="",N22&lt;=0),0,(O22/N22)*(IF(OR(N22="",N22&lt;=0),0,IF((YEAR(D22)+7)&lt;YEAR(E22),0,IF((YEAR(D22)+7)&gt;=YEAR(E22)+N22,0,IF((YEAR(D22)+7)=YEAR(E22),(12-MONTH(E22)+1)/12,1))))))))*TaxRate,0))-IF(7=0,O22,0))</f>
        <v/>
      </c>
      <c r="AA22" s="29">
        <f>IF(A22="","",((K22)*(IF(M22="",L22,IFERROR(IF(INDEX(Variablen!$I:$AT, MATCH(M22, Variablen!$A:$A, 0), MATCH((YEAR(D22)+8), Variablen!$I$3:$AT$3, 0))="",L22,INDEX(Variablen!$I:$AT, MATCH(M22, Variablen!$A:$A, 0), MATCH((YEAR(D22)+8), Variablen!$I$3:$AT$3, 0))),L22)))*(IF((YEAR(D22)+8)&lt;YEAR(E22),0,IF((YEAR(D22)+8)&gt;YEAR(E22),1,(12-MONTH(E22)+1)/12))) + (Q22)*(IF((YEAR(D22)+8)&lt;YEAR(E22),0,IF((YEAR(D22)+8)&gt;YEAR(E22),1,(12-MONTH(E22)+1)/12))))-((P22)*(IF((YEAR(D22)+8)&lt;YEAR(E22),0,IF((YEAR(D22)+8)&gt;YEAR(E22),1,(12-MONTH(E22)+1)/12))) + (R22)*(IF((YEAR(D22)+8)&lt;YEAR(E22),0,IF((YEAR(D22)+8)&gt;YEAR(E22),1,(12-MONTH(E22)+1)/12))))-(IF((((K22)*(IF(M22="",L22,IFERROR(IF(INDEX(Variablen!$I:$AT, MATCH(M22, Variablen!$A:$A, 0), MATCH((YEAR(D22)+8), Variablen!$I$3:$AT$3, 0))="",L22,INDEX(Variablen!$I:$AT, MATCH(M22, Variablen!$A:$A, 0), MATCH((YEAR(D22)+8), Variablen!$I$3:$AT$3, 0))),L22)))*(IF((YEAR(D22)+8)&lt;YEAR(E22),0,IF((YEAR(D22)+8)&gt;YEAR(E22),1,(12-MONTH(E22)+1)/12))) + (Q22)*(IF((YEAR(D22)+8)&lt;YEAR(E22),0,IF((YEAR(D22)+8)&gt;YEAR(E22),1,(12-MONTH(E22)+1)/12))))-((P22)*(IF((YEAR(D22)+8)&lt;YEAR(E22),0,IF((YEAR(D22)+8)&gt;YEAR(E22),1,(12-MONTH(E22)+1)/12))) + (R22)*(IF((YEAR(D22)+8)&lt;YEAR(E22),0,IF((YEAR(D22)+8)&gt;YEAR(E22),1,(12-MONTH(E22)+1)/12))))-(IF(OR(N22="",N22&lt;=0),0,(O22/N22)*(IF(OR(N22="",N22&lt;=0),0,IF((YEAR(D22)+8)&lt;YEAR(E22),0,IF((YEAR(D22)+8)&gt;=YEAR(E22)+N22,0,IF((YEAR(D22)+8)=YEAR(E22),(12-MONTH(E22)+1)/12,1))))))))&gt;0,(((K22)*(IF(M22="",L22,IFERROR(IF(INDEX(Variablen!$I:$AT, MATCH(M22, Variablen!$A:$A, 0), MATCH((YEAR(D22)+8), Variablen!$I$3:$AT$3, 0))="",L22,INDEX(Variablen!$I:$AT, MATCH(M22, Variablen!$A:$A, 0), MATCH((YEAR(D22)+8), Variablen!$I$3:$AT$3, 0))),L22)))*(IF((YEAR(D22)+8)&lt;YEAR(E22),0,IF((YEAR(D22)+8)&gt;YEAR(E22),1,(12-MONTH(E22)+1)/12))) + (Q22)*(IF((YEAR(D22)+8)&lt;YEAR(E22),0,IF((YEAR(D22)+8)&gt;YEAR(E22),1,(12-MONTH(E22)+1)/12))))-((P22)*(IF((YEAR(D22)+8)&lt;YEAR(E22),0,IF((YEAR(D22)+8)&gt;YEAR(E22),1,(12-MONTH(E22)+1)/12))) + (R22)*(IF((YEAR(D22)+8)&lt;YEAR(E22),0,IF((YEAR(D22)+8)&gt;YEAR(E22),1,(12-MONTH(E22)+1)/12))))-(IF(OR(N22="",N22&lt;=0),0,(O22/N22)*(IF(OR(N22="",N22&lt;=0),0,IF((YEAR(D22)+8)&lt;YEAR(E22),0,IF((YEAR(D22)+8)&gt;=YEAR(E22)+N22,0,IF((YEAR(D22)+8)=YEAR(E22),(12-MONTH(E22)+1)/12,1))))))))*TaxRate,0))-IF(8=0,O22,0))</f>
        <v/>
      </c>
      <c r="AB22" s="29">
        <f>IF(A22="","",((K22)*(IF(M22="",L22,IFERROR(IF(INDEX(Variablen!$I:$AT, MATCH(M22, Variablen!$A:$A, 0), MATCH((YEAR(D22)+9), Variablen!$I$3:$AT$3, 0))="",L22,INDEX(Variablen!$I:$AT, MATCH(M22, Variablen!$A:$A, 0), MATCH((YEAR(D22)+9), Variablen!$I$3:$AT$3, 0))),L22)))*(IF((YEAR(D22)+9)&lt;YEAR(E22),0,IF((YEAR(D22)+9)&gt;YEAR(E22),1,(12-MONTH(E22)+1)/12))) + (Q22)*(IF((YEAR(D22)+9)&lt;YEAR(E22),0,IF((YEAR(D22)+9)&gt;YEAR(E22),1,(12-MONTH(E22)+1)/12))))-((P22)*(IF((YEAR(D22)+9)&lt;YEAR(E22),0,IF((YEAR(D22)+9)&gt;YEAR(E22),1,(12-MONTH(E22)+1)/12))) + (R22)*(IF((YEAR(D22)+9)&lt;YEAR(E22),0,IF((YEAR(D22)+9)&gt;YEAR(E22),1,(12-MONTH(E22)+1)/12))))-(IF((((K22)*(IF(M22="",L22,IFERROR(IF(INDEX(Variablen!$I:$AT, MATCH(M22, Variablen!$A:$A, 0), MATCH((YEAR(D22)+9), Variablen!$I$3:$AT$3, 0))="",L22,INDEX(Variablen!$I:$AT, MATCH(M22, Variablen!$A:$A, 0), MATCH((YEAR(D22)+9), Variablen!$I$3:$AT$3, 0))),L22)))*(IF((YEAR(D22)+9)&lt;YEAR(E22),0,IF((YEAR(D22)+9)&gt;YEAR(E22),1,(12-MONTH(E22)+1)/12))) + (Q22)*(IF((YEAR(D22)+9)&lt;YEAR(E22),0,IF((YEAR(D22)+9)&gt;YEAR(E22),1,(12-MONTH(E22)+1)/12))))-((P22)*(IF((YEAR(D22)+9)&lt;YEAR(E22),0,IF((YEAR(D22)+9)&gt;YEAR(E22),1,(12-MONTH(E22)+1)/12))) + (R22)*(IF((YEAR(D22)+9)&lt;YEAR(E22),0,IF((YEAR(D22)+9)&gt;YEAR(E22),1,(12-MONTH(E22)+1)/12))))-(IF(OR(N22="",N22&lt;=0),0,(O22/N22)*(IF(OR(N22="",N22&lt;=0),0,IF((YEAR(D22)+9)&lt;YEAR(E22),0,IF((YEAR(D22)+9)&gt;=YEAR(E22)+N22,0,IF((YEAR(D22)+9)=YEAR(E22),(12-MONTH(E22)+1)/12,1))))))))&gt;0,(((K22)*(IF(M22="",L22,IFERROR(IF(INDEX(Variablen!$I:$AT, MATCH(M22, Variablen!$A:$A, 0), MATCH((YEAR(D22)+9), Variablen!$I$3:$AT$3, 0))="",L22,INDEX(Variablen!$I:$AT, MATCH(M22, Variablen!$A:$A, 0), MATCH((YEAR(D22)+9), Variablen!$I$3:$AT$3, 0))),L22)))*(IF((YEAR(D22)+9)&lt;YEAR(E22),0,IF((YEAR(D22)+9)&gt;YEAR(E22),1,(12-MONTH(E22)+1)/12))) + (Q22)*(IF((YEAR(D22)+9)&lt;YEAR(E22),0,IF((YEAR(D22)+9)&gt;YEAR(E22),1,(12-MONTH(E22)+1)/12))))-((P22)*(IF((YEAR(D22)+9)&lt;YEAR(E22),0,IF((YEAR(D22)+9)&gt;YEAR(E22),1,(12-MONTH(E22)+1)/12))) + (R22)*(IF((YEAR(D22)+9)&lt;YEAR(E22),0,IF((YEAR(D22)+9)&gt;YEAR(E22),1,(12-MONTH(E22)+1)/12))))-(IF(OR(N22="",N22&lt;=0),0,(O22/N22)*(IF(OR(N22="",N22&lt;=0),0,IF((YEAR(D22)+9)&lt;YEAR(E22),0,IF((YEAR(D22)+9)&gt;=YEAR(E22)+N22,0,IF((YEAR(D22)+9)=YEAR(E22),(12-MONTH(E22)+1)/12,1))))))))*TaxRate,0))-IF(9=0,O22,0))</f>
        <v/>
      </c>
      <c r="AC22" s="29">
        <f>IF(A22="","",((K22)*(IF(M22="",L22,IFERROR(IF(INDEX(Variablen!$I:$AT, MATCH(M22, Variablen!$A:$A, 0), MATCH((YEAR(D22)+10), Variablen!$I$3:$AT$3, 0))="",L22,INDEX(Variablen!$I:$AT, MATCH(M22, Variablen!$A:$A, 0), MATCH((YEAR(D22)+10), Variablen!$I$3:$AT$3, 0))),L22)))*(IF((YEAR(D22)+10)&lt;YEAR(E22),0,IF((YEAR(D22)+10)&gt;YEAR(E22),1,(12-MONTH(E22)+1)/12))) + (Q22)*(IF((YEAR(D22)+10)&lt;YEAR(E22),0,IF((YEAR(D22)+10)&gt;YEAR(E22),1,(12-MONTH(E22)+1)/12))))-((P22)*(IF((YEAR(D22)+10)&lt;YEAR(E22),0,IF((YEAR(D22)+10)&gt;YEAR(E22),1,(12-MONTH(E22)+1)/12))) + (R22)*(IF((YEAR(D22)+10)&lt;YEAR(E22),0,IF((YEAR(D22)+10)&gt;YEAR(E22),1,(12-MONTH(E22)+1)/12))))-(IF((((K22)*(IF(M22="",L22,IFERROR(IF(INDEX(Variablen!$I:$AT, MATCH(M22, Variablen!$A:$A, 0), MATCH((YEAR(D22)+10), Variablen!$I$3:$AT$3, 0))="",L22,INDEX(Variablen!$I:$AT, MATCH(M22, Variablen!$A:$A, 0), MATCH((YEAR(D22)+10), Variablen!$I$3:$AT$3, 0))),L22)))*(IF((YEAR(D22)+10)&lt;YEAR(E22),0,IF((YEAR(D22)+10)&gt;YEAR(E22),1,(12-MONTH(E22)+1)/12))) + (Q22)*(IF((YEAR(D22)+10)&lt;YEAR(E22),0,IF((YEAR(D22)+10)&gt;YEAR(E22),1,(12-MONTH(E22)+1)/12))))-((P22)*(IF((YEAR(D22)+10)&lt;YEAR(E22),0,IF((YEAR(D22)+10)&gt;YEAR(E22),1,(12-MONTH(E22)+1)/12))) + (R22)*(IF((YEAR(D22)+10)&lt;YEAR(E22),0,IF((YEAR(D22)+10)&gt;YEAR(E22),1,(12-MONTH(E22)+1)/12))))-(IF(OR(N22="",N22&lt;=0),0,(O22/N22)*(IF(OR(N22="",N22&lt;=0),0,IF((YEAR(D22)+10)&lt;YEAR(E22),0,IF((YEAR(D22)+10)&gt;=YEAR(E22)+N22,0,IF((YEAR(D22)+10)=YEAR(E22),(12-MONTH(E22)+1)/12,1))))))))&gt;0,(((K22)*(IF(M22="",L22,IFERROR(IF(INDEX(Variablen!$I:$AT, MATCH(M22, Variablen!$A:$A, 0), MATCH((YEAR(D22)+10), Variablen!$I$3:$AT$3, 0))="",L22,INDEX(Variablen!$I:$AT, MATCH(M22, Variablen!$A:$A, 0), MATCH((YEAR(D22)+10), Variablen!$I$3:$AT$3, 0))),L22)))*(IF((YEAR(D22)+10)&lt;YEAR(E22),0,IF((YEAR(D22)+10)&gt;YEAR(E22),1,(12-MONTH(E22)+1)/12))) + (Q22)*(IF((YEAR(D22)+10)&lt;YEAR(E22),0,IF((YEAR(D22)+10)&gt;YEAR(E22),1,(12-MONTH(E22)+1)/12))))-((P22)*(IF((YEAR(D22)+10)&lt;YEAR(E22),0,IF((YEAR(D22)+10)&gt;YEAR(E22),1,(12-MONTH(E22)+1)/12))) + (R22)*(IF((YEAR(D22)+10)&lt;YEAR(E22),0,IF((YEAR(D22)+10)&gt;YEAR(E22),1,(12-MONTH(E22)+1)/12))))-(IF(OR(N22="",N22&lt;=0),0,(O22/N22)*(IF(OR(N22="",N22&lt;=0),0,IF((YEAR(D22)+10)&lt;YEAR(E22),0,IF((YEAR(D22)+10)&gt;=YEAR(E22)+N22,0,IF((YEAR(D22)+10)=YEAR(E22),(12-MONTH(E22)+1)/12,1))))))))*TaxRate,0))-IF(10=0,O22,0))</f>
        <v/>
      </c>
      <c r="AD22" s="29">
        <f>IF(A22="","",((K22)*(IF(M22="",L22,IFERROR(IF(INDEX(Variablen!$I:$AT, MATCH(M22, Variablen!$A:$A, 0), MATCH((YEAR(D22)+11), Variablen!$I$3:$AT$3, 0))="",L22,INDEX(Variablen!$I:$AT, MATCH(M22, Variablen!$A:$A, 0), MATCH((YEAR(D22)+11), Variablen!$I$3:$AT$3, 0))),L22)))*(IF((YEAR(D22)+11)&lt;YEAR(E22),0,IF((YEAR(D22)+11)&gt;YEAR(E22),1,(12-MONTH(E22)+1)/12))) + (Q22)*(IF((YEAR(D22)+11)&lt;YEAR(E22),0,IF((YEAR(D22)+11)&gt;YEAR(E22),1,(12-MONTH(E22)+1)/12))))-((P22)*(IF((YEAR(D22)+11)&lt;YEAR(E22),0,IF((YEAR(D22)+11)&gt;YEAR(E22),1,(12-MONTH(E22)+1)/12))) + (R22)*(IF((YEAR(D22)+11)&lt;YEAR(E22),0,IF((YEAR(D22)+11)&gt;YEAR(E22),1,(12-MONTH(E22)+1)/12))))-(IF((((K22)*(IF(M22="",L22,IFERROR(IF(INDEX(Variablen!$I:$AT, MATCH(M22, Variablen!$A:$A, 0), MATCH((YEAR(D22)+11), Variablen!$I$3:$AT$3, 0))="",L22,INDEX(Variablen!$I:$AT, MATCH(M22, Variablen!$A:$A, 0), MATCH((YEAR(D22)+11), Variablen!$I$3:$AT$3, 0))),L22)))*(IF((YEAR(D22)+11)&lt;YEAR(E22),0,IF((YEAR(D22)+11)&gt;YEAR(E22),1,(12-MONTH(E22)+1)/12))) + (Q22)*(IF((YEAR(D22)+11)&lt;YEAR(E22),0,IF((YEAR(D22)+11)&gt;YEAR(E22),1,(12-MONTH(E22)+1)/12))))-((P22)*(IF((YEAR(D22)+11)&lt;YEAR(E22),0,IF((YEAR(D22)+11)&gt;YEAR(E22),1,(12-MONTH(E22)+1)/12))) + (R22)*(IF((YEAR(D22)+11)&lt;YEAR(E22),0,IF((YEAR(D22)+11)&gt;YEAR(E22),1,(12-MONTH(E22)+1)/12))))-(IF(OR(N22="",N22&lt;=0),0,(O22/N22)*(IF(OR(N22="",N22&lt;=0),0,IF((YEAR(D22)+11)&lt;YEAR(E22),0,IF((YEAR(D22)+11)&gt;=YEAR(E22)+N22,0,IF((YEAR(D22)+11)=YEAR(E22),(12-MONTH(E22)+1)/12,1))))))))&gt;0,(((K22)*(IF(M22="",L22,IFERROR(IF(INDEX(Variablen!$I:$AT, MATCH(M22, Variablen!$A:$A, 0), MATCH((YEAR(D22)+11), Variablen!$I$3:$AT$3, 0))="",L22,INDEX(Variablen!$I:$AT, MATCH(M22, Variablen!$A:$A, 0), MATCH((YEAR(D22)+11), Variablen!$I$3:$AT$3, 0))),L22)))*(IF((YEAR(D22)+11)&lt;YEAR(E22),0,IF((YEAR(D22)+11)&gt;YEAR(E22),1,(12-MONTH(E22)+1)/12))) + (Q22)*(IF((YEAR(D22)+11)&lt;YEAR(E22),0,IF((YEAR(D22)+11)&gt;YEAR(E22),1,(12-MONTH(E22)+1)/12))))-((P22)*(IF((YEAR(D22)+11)&lt;YEAR(E22),0,IF((YEAR(D22)+11)&gt;YEAR(E22),1,(12-MONTH(E22)+1)/12))) + (R22)*(IF((YEAR(D22)+11)&lt;YEAR(E22),0,IF((YEAR(D22)+11)&gt;YEAR(E22),1,(12-MONTH(E22)+1)/12))))-(IF(OR(N22="",N22&lt;=0),0,(O22/N22)*(IF(OR(N22="",N22&lt;=0),0,IF((YEAR(D22)+11)&lt;YEAR(E22),0,IF((YEAR(D22)+11)&gt;=YEAR(E22)+N22,0,IF((YEAR(D22)+11)=YEAR(E22),(12-MONTH(E22)+1)/12,1))))))))*TaxRate,0))-IF(11=0,O22,0))</f>
        <v/>
      </c>
      <c r="AE22" s="29">
        <f>IF(A22="","",((K22)*(IF(M22="",L22,IFERROR(IF(INDEX(Variablen!$I:$AT, MATCH(M22, Variablen!$A:$A, 0), MATCH((YEAR(D22)+12), Variablen!$I$3:$AT$3, 0))="",L22,INDEX(Variablen!$I:$AT, MATCH(M22, Variablen!$A:$A, 0), MATCH((YEAR(D22)+12), Variablen!$I$3:$AT$3, 0))),L22)))*(IF((YEAR(D22)+12)&lt;YEAR(E22),0,IF((YEAR(D22)+12)&gt;YEAR(E22),1,(12-MONTH(E22)+1)/12))) + (Q22)*(IF((YEAR(D22)+12)&lt;YEAR(E22),0,IF((YEAR(D22)+12)&gt;YEAR(E22),1,(12-MONTH(E22)+1)/12))))-((P22)*(IF((YEAR(D22)+12)&lt;YEAR(E22),0,IF((YEAR(D22)+12)&gt;YEAR(E22),1,(12-MONTH(E22)+1)/12))) + (R22)*(IF((YEAR(D22)+12)&lt;YEAR(E22),0,IF((YEAR(D22)+12)&gt;YEAR(E22),1,(12-MONTH(E22)+1)/12))))-(IF((((K22)*(IF(M22="",L22,IFERROR(IF(INDEX(Variablen!$I:$AT, MATCH(M22, Variablen!$A:$A, 0), MATCH((YEAR(D22)+12), Variablen!$I$3:$AT$3, 0))="",L22,INDEX(Variablen!$I:$AT, MATCH(M22, Variablen!$A:$A, 0), MATCH((YEAR(D22)+12), Variablen!$I$3:$AT$3, 0))),L22)))*(IF((YEAR(D22)+12)&lt;YEAR(E22),0,IF((YEAR(D22)+12)&gt;YEAR(E22),1,(12-MONTH(E22)+1)/12))) + (Q22)*(IF((YEAR(D22)+12)&lt;YEAR(E22),0,IF((YEAR(D22)+12)&gt;YEAR(E22),1,(12-MONTH(E22)+1)/12))))-((P22)*(IF((YEAR(D22)+12)&lt;YEAR(E22),0,IF((YEAR(D22)+12)&gt;YEAR(E22),1,(12-MONTH(E22)+1)/12))) + (R22)*(IF((YEAR(D22)+12)&lt;YEAR(E22),0,IF((YEAR(D22)+12)&gt;YEAR(E22),1,(12-MONTH(E22)+1)/12))))-(IF(OR(N22="",N22&lt;=0),0,(O22/N22)*(IF(OR(N22="",N22&lt;=0),0,IF((YEAR(D22)+12)&lt;YEAR(E22),0,IF((YEAR(D22)+12)&gt;=YEAR(E22)+N22,0,IF((YEAR(D22)+12)=YEAR(E22),(12-MONTH(E22)+1)/12,1))))))))&gt;0,(((K22)*(IF(M22="",L22,IFERROR(IF(INDEX(Variablen!$I:$AT, MATCH(M22, Variablen!$A:$A, 0), MATCH((YEAR(D22)+12), Variablen!$I$3:$AT$3, 0))="",L22,INDEX(Variablen!$I:$AT, MATCH(M22, Variablen!$A:$A, 0), MATCH((YEAR(D22)+12), Variablen!$I$3:$AT$3, 0))),L22)))*(IF((YEAR(D22)+12)&lt;YEAR(E22),0,IF((YEAR(D22)+12)&gt;YEAR(E22),1,(12-MONTH(E22)+1)/12))) + (Q22)*(IF((YEAR(D22)+12)&lt;YEAR(E22),0,IF((YEAR(D22)+12)&gt;YEAR(E22),1,(12-MONTH(E22)+1)/12))))-((P22)*(IF((YEAR(D22)+12)&lt;YEAR(E22),0,IF((YEAR(D22)+12)&gt;YEAR(E22),1,(12-MONTH(E22)+1)/12))) + (R22)*(IF((YEAR(D22)+12)&lt;YEAR(E22),0,IF((YEAR(D22)+12)&gt;YEAR(E22),1,(12-MONTH(E22)+1)/12))))-(IF(OR(N22="",N22&lt;=0),0,(O22/N22)*(IF(OR(N22="",N22&lt;=0),0,IF((YEAR(D22)+12)&lt;YEAR(E22),0,IF((YEAR(D22)+12)&gt;=YEAR(E22)+N22,0,IF((YEAR(D22)+12)=YEAR(E22),(12-MONTH(E22)+1)/12,1))))))))*TaxRate,0))-IF(12=0,O22,0))</f>
        <v/>
      </c>
      <c r="AF22" s="29">
        <f>IF(A22="","",((K22)*(IF(M22="",L22,IFERROR(IF(INDEX(Variablen!$I:$AT, MATCH(M22, Variablen!$A:$A, 0), MATCH((YEAR(D22)+13), Variablen!$I$3:$AT$3, 0))="",L22,INDEX(Variablen!$I:$AT, MATCH(M22, Variablen!$A:$A, 0), MATCH((YEAR(D22)+13), Variablen!$I$3:$AT$3, 0))),L22)))*(IF((YEAR(D22)+13)&lt;YEAR(E22),0,IF((YEAR(D22)+13)&gt;YEAR(E22),1,(12-MONTH(E22)+1)/12))) + (Q22)*(IF((YEAR(D22)+13)&lt;YEAR(E22),0,IF((YEAR(D22)+13)&gt;YEAR(E22),1,(12-MONTH(E22)+1)/12))))-((P22)*(IF((YEAR(D22)+13)&lt;YEAR(E22),0,IF((YEAR(D22)+13)&gt;YEAR(E22),1,(12-MONTH(E22)+1)/12))) + (R22)*(IF((YEAR(D22)+13)&lt;YEAR(E22),0,IF((YEAR(D22)+13)&gt;YEAR(E22),1,(12-MONTH(E22)+1)/12))))-(IF((((K22)*(IF(M22="",L22,IFERROR(IF(INDEX(Variablen!$I:$AT, MATCH(M22, Variablen!$A:$A, 0), MATCH((YEAR(D22)+13), Variablen!$I$3:$AT$3, 0))="",L22,INDEX(Variablen!$I:$AT, MATCH(M22, Variablen!$A:$A, 0), MATCH((YEAR(D22)+13), Variablen!$I$3:$AT$3, 0))),L22)))*(IF((YEAR(D22)+13)&lt;YEAR(E22),0,IF((YEAR(D22)+13)&gt;YEAR(E22),1,(12-MONTH(E22)+1)/12))) + (Q22)*(IF((YEAR(D22)+13)&lt;YEAR(E22),0,IF((YEAR(D22)+13)&gt;YEAR(E22),1,(12-MONTH(E22)+1)/12))))-((P22)*(IF((YEAR(D22)+13)&lt;YEAR(E22),0,IF((YEAR(D22)+13)&gt;YEAR(E22),1,(12-MONTH(E22)+1)/12))) + (R22)*(IF((YEAR(D22)+13)&lt;YEAR(E22),0,IF((YEAR(D22)+13)&gt;YEAR(E22),1,(12-MONTH(E22)+1)/12))))-(IF(OR(N22="",N22&lt;=0),0,(O22/N22)*(IF(OR(N22="",N22&lt;=0),0,IF((YEAR(D22)+13)&lt;YEAR(E22),0,IF((YEAR(D22)+13)&gt;=YEAR(E22)+N22,0,IF((YEAR(D22)+13)=YEAR(E22),(12-MONTH(E22)+1)/12,1))))))))&gt;0,(((K22)*(IF(M22="",L22,IFERROR(IF(INDEX(Variablen!$I:$AT, MATCH(M22, Variablen!$A:$A, 0), MATCH((YEAR(D22)+13), Variablen!$I$3:$AT$3, 0))="",L22,INDEX(Variablen!$I:$AT, MATCH(M22, Variablen!$A:$A, 0), MATCH((YEAR(D22)+13), Variablen!$I$3:$AT$3, 0))),L22)))*(IF((YEAR(D22)+13)&lt;YEAR(E22),0,IF((YEAR(D22)+13)&gt;YEAR(E22),1,(12-MONTH(E22)+1)/12))) + (Q22)*(IF((YEAR(D22)+13)&lt;YEAR(E22),0,IF((YEAR(D22)+13)&gt;YEAR(E22),1,(12-MONTH(E22)+1)/12))))-((P22)*(IF((YEAR(D22)+13)&lt;YEAR(E22),0,IF((YEAR(D22)+13)&gt;YEAR(E22),1,(12-MONTH(E22)+1)/12))) + (R22)*(IF((YEAR(D22)+13)&lt;YEAR(E22),0,IF((YEAR(D22)+13)&gt;YEAR(E22),1,(12-MONTH(E22)+1)/12))))-(IF(OR(N22="",N22&lt;=0),0,(O22/N22)*(IF(OR(N22="",N22&lt;=0),0,IF((YEAR(D22)+13)&lt;YEAR(E22),0,IF((YEAR(D22)+13)&gt;=YEAR(E22)+N22,0,IF((YEAR(D22)+13)=YEAR(E22),(12-MONTH(E22)+1)/12,1))))))))*TaxRate,0))-IF(13=0,O22,0))</f>
        <v/>
      </c>
      <c r="AG22" s="29">
        <f>IF(A22="","",((K22)*(IF(M22="",L22,IFERROR(IF(INDEX(Variablen!$I:$AT, MATCH(M22, Variablen!$A:$A, 0), MATCH((YEAR(D22)+14), Variablen!$I$3:$AT$3, 0))="",L22,INDEX(Variablen!$I:$AT, MATCH(M22, Variablen!$A:$A, 0), MATCH((YEAR(D22)+14), Variablen!$I$3:$AT$3, 0))),L22)))*(IF((YEAR(D22)+14)&lt;YEAR(E22),0,IF((YEAR(D22)+14)&gt;YEAR(E22),1,(12-MONTH(E22)+1)/12))) + (Q22)*(IF((YEAR(D22)+14)&lt;YEAR(E22),0,IF((YEAR(D22)+14)&gt;YEAR(E22),1,(12-MONTH(E22)+1)/12))))-((P22)*(IF((YEAR(D22)+14)&lt;YEAR(E22),0,IF((YEAR(D22)+14)&gt;YEAR(E22),1,(12-MONTH(E22)+1)/12))) + (R22)*(IF((YEAR(D22)+14)&lt;YEAR(E22),0,IF((YEAR(D22)+14)&gt;YEAR(E22),1,(12-MONTH(E22)+1)/12))))-(IF((((K22)*(IF(M22="",L22,IFERROR(IF(INDEX(Variablen!$I:$AT, MATCH(M22, Variablen!$A:$A, 0), MATCH((YEAR(D22)+14), Variablen!$I$3:$AT$3, 0))="",L22,INDEX(Variablen!$I:$AT, MATCH(M22, Variablen!$A:$A, 0), MATCH((YEAR(D22)+14), Variablen!$I$3:$AT$3, 0))),L22)))*(IF((YEAR(D22)+14)&lt;YEAR(E22),0,IF((YEAR(D22)+14)&gt;YEAR(E22),1,(12-MONTH(E22)+1)/12))) + (Q22)*(IF((YEAR(D22)+14)&lt;YEAR(E22),0,IF((YEAR(D22)+14)&gt;YEAR(E22),1,(12-MONTH(E22)+1)/12))))-((P22)*(IF((YEAR(D22)+14)&lt;YEAR(E22),0,IF((YEAR(D22)+14)&gt;YEAR(E22),1,(12-MONTH(E22)+1)/12))) + (R22)*(IF((YEAR(D22)+14)&lt;YEAR(E22),0,IF((YEAR(D22)+14)&gt;YEAR(E22),1,(12-MONTH(E22)+1)/12))))-(IF(OR(N22="",N22&lt;=0),0,(O22/N22)*(IF(OR(N22="",N22&lt;=0),0,IF((YEAR(D22)+14)&lt;YEAR(E22),0,IF((YEAR(D22)+14)&gt;=YEAR(E22)+N22,0,IF((YEAR(D22)+14)=YEAR(E22),(12-MONTH(E22)+1)/12,1))))))))&gt;0,(((K22)*(IF(M22="",L22,IFERROR(IF(INDEX(Variablen!$I:$AT, MATCH(M22, Variablen!$A:$A, 0), MATCH((YEAR(D22)+14), Variablen!$I$3:$AT$3, 0))="",L22,INDEX(Variablen!$I:$AT, MATCH(M22, Variablen!$A:$A, 0), MATCH((YEAR(D22)+14), Variablen!$I$3:$AT$3, 0))),L22)))*(IF((YEAR(D22)+14)&lt;YEAR(E22),0,IF((YEAR(D22)+14)&gt;YEAR(E22),1,(12-MONTH(E22)+1)/12))) + (Q22)*(IF((YEAR(D22)+14)&lt;YEAR(E22),0,IF((YEAR(D22)+14)&gt;YEAR(E22),1,(12-MONTH(E22)+1)/12))))-((P22)*(IF((YEAR(D22)+14)&lt;YEAR(E22),0,IF((YEAR(D22)+14)&gt;YEAR(E22),1,(12-MONTH(E22)+1)/12))) + (R22)*(IF((YEAR(D22)+14)&lt;YEAR(E22),0,IF((YEAR(D22)+14)&gt;YEAR(E22),1,(12-MONTH(E22)+1)/12))))-(IF(OR(N22="",N22&lt;=0),0,(O22/N22)*(IF(OR(N22="",N22&lt;=0),0,IF((YEAR(D22)+14)&lt;YEAR(E22),0,IF((YEAR(D22)+14)&gt;=YEAR(E22)+N22,0,IF((YEAR(D22)+14)=YEAR(E22),(12-MONTH(E22)+1)/12,1))))))))*TaxRate,0))-IF(14=0,O22,0))</f>
        <v/>
      </c>
      <c r="AH22" s="29">
        <f>IF(A22="","",((K22)*(IF(M22="",L22,IFERROR(IF(INDEX(Variablen!$I:$AT, MATCH(M22, Variablen!$A:$A, 0), MATCH((YEAR(D22)+15), Variablen!$I$3:$AT$3, 0))="",L22,INDEX(Variablen!$I:$AT, MATCH(M22, Variablen!$A:$A, 0), MATCH((YEAR(D22)+15), Variablen!$I$3:$AT$3, 0))),L22)))*(IF((YEAR(D22)+15)&lt;YEAR(E22),0,IF((YEAR(D22)+15)&gt;YEAR(E22),1,(12-MONTH(E22)+1)/12))) + (Q22)*(IF((YEAR(D22)+15)&lt;YEAR(E22),0,IF((YEAR(D22)+15)&gt;YEAR(E22),1,(12-MONTH(E22)+1)/12))))-((P22)*(IF((YEAR(D22)+15)&lt;YEAR(E22),0,IF((YEAR(D22)+15)&gt;YEAR(E22),1,(12-MONTH(E22)+1)/12))) + (R22)*(IF((YEAR(D22)+15)&lt;YEAR(E22),0,IF((YEAR(D22)+15)&gt;YEAR(E22),1,(12-MONTH(E22)+1)/12))))-(IF((((K22)*(IF(M22="",L22,IFERROR(IF(INDEX(Variablen!$I:$AT, MATCH(M22, Variablen!$A:$A, 0), MATCH((YEAR(D22)+15), Variablen!$I$3:$AT$3, 0))="",L22,INDEX(Variablen!$I:$AT, MATCH(M22, Variablen!$A:$A, 0), MATCH((YEAR(D22)+15), Variablen!$I$3:$AT$3, 0))),L22)))*(IF((YEAR(D22)+15)&lt;YEAR(E22),0,IF((YEAR(D22)+15)&gt;YEAR(E22),1,(12-MONTH(E22)+1)/12))) + (Q22)*(IF((YEAR(D22)+15)&lt;YEAR(E22),0,IF((YEAR(D22)+15)&gt;YEAR(E22),1,(12-MONTH(E22)+1)/12))))-((P22)*(IF((YEAR(D22)+15)&lt;YEAR(E22),0,IF((YEAR(D22)+15)&gt;YEAR(E22),1,(12-MONTH(E22)+1)/12))) + (R22)*(IF((YEAR(D22)+15)&lt;YEAR(E22),0,IF((YEAR(D22)+15)&gt;YEAR(E22),1,(12-MONTH(E22)+1)/12))))-(IF(OR(N22="",N22&lt;=0),0,(O22/N22)*(IF(OR(N22="",N22&lt;=0),0,IF((YEAR(D22)+15)&lt;YEAR(E22),0,IF((YEAR(D22)+15)&gt;=YEAR(E22)+N22,0,IF((YEAR(D22)+15)=YEAR(E22),(12-MONTH(E22)+1)/12,1))))))))&gt;0,(((K22)*(IF(M22="",L22,IFERROR(IF(INDEX(Variablen!$I:$AT, MATCH(M22, Variablen!$A:$A, 0), MATCH((YEAR(D22)+15), Variablen!$I$3:$AT$3, 0))="",L22,INDEX(Variablen!$I:$AT, MATCH(M22, Variablen!$A:$A, 0), MATCH((YEAR(D22)+15), Variablen!$I$3:$AT$3, 0))),L22)))*(IF((YEAR(D22)+15)&lt;YEAR(E22),0,IF((YEAR(D22)+15)&gt;YEAR(E22),1,(12-MONTH(E22)+1)/12))) + (Q22)*(IF((YEAR(D22)+15)&lt;YEAR(E22),0,IF((YEAR(D22)+15)&gt;YEAR(E22),1,(12-MONTH(E22)+1)/12))))-((P22)*(IF((YEAR(D22)+15)&lt;YEAR(E22),0,IF((YEAR(D22)+15)&gt;YEAR(E22),1,(12-MONTH(E22)+1)/12))) + (R22)*(IF((YEAR(D22)+15)&lt;YEAR(E22),0,IF((YEAR(D22)+15)&gt;YEAR(E22),1,(12-MONTH(E22)+1)/12))))-(IF(OR(N22="",N22&lt;=0),0,(O22/N22)*(IF(OR(N22="",N22&lt;=0),0,IF((YEAR(D22)+15)&lt;YEAR(E22),0,IF((YEAR(D22)+15)&gt;=YEAR(E22)+N22,0,IF((YEAR(D22)+15)=YEAR(E22),(12-MONTH(E22)+1)/12,1))))))))*TaxRate,0))-IF(15=0,O22,0))</f>
        <v/>
      </c>
      <c r="AI22" s="29">
        <f>IF(A22="","",((K22)*(IF(M22="",L22,IFERROR(IF(INDEX(Variablen!$I:$AT, MATCH(M22, Variablen!$A:$A, 0), MATCH((YEAR(D22)+16), Variablen!$I$3:$AT$3, 0))="",L22,INDEX(Variablen!$I:$AT, MATCH(M22, Variablen!$A:$A, 0), MATCH((YEAR(D22)+16), Variablen!$I$3:$AT$3, 0))),L22)))*(IF((YEAR(D22)+16)&lt;YEAR(E22),0,IF((YEAR(D22)+16)&gt;YEAR(E22),1,(12-MONTH(E22)+1)/12))) + (Q22)*(IF((YEAR(D22)+16)&lt;YEAR(E22),0,IF((YEAR(D22)+16)&gt;YEAR(E22),1,(12-MONTH(E22)+1)/12))))-((P22)*(IF((YEAR(D22)+16)&lt;YEAR(E22),0,IF((YEAR(D22)+16)&gt;YEAR(E22),1,(12-MONTH(E22)+1)/12))) + (R22)*(IF((YEAR(D22)+16)&lt;YEAR(E22),0,IF((YEAR(D22)+16)&gt;YEAR(E22),1,(12-MONTH(E22)+1)/12))))-(IF((((K22)*(IF(M22="",L22,IFERROR(IF(INDEX(Variablen!$I:$AT, MATCH(M22, Variablen!$A:$A, 0), MATCH((YEAR(D22)+16), Variablen!$I$3:$AT$3, 0))="",L22,INDEX(Variablen!$I:$AT, MATCH(M22, Variablen!$A:$A, 0), MATCH((YEAR(D22)+16), Variablen!$I$3:$AT$3, 0))),L22)))*(IF((YEAR(D22)+16)&lt;YEAR(E22),0,IF((YEAR(D22)+16)&gt;YEAR(E22),1,(12-MONTH(E22)+1)/12))) + (Q22)*(IF((YEAR(D22)+16)&lt;YEAR(E22),0,IF((YEAR(D22)+16)&gt;YEAR(E22),1,(12-MONTH(E22)+1)/12))))-((P22)*(IF((YEAR(D22)+16)&lt;YEAR(E22),0,IF((YEAR(D22)+16)&gt;YEAR(E22),1,(12-MONTH(E22)+1)/12))) + (R22)*(IF((YEAR(D22)+16)&lt;YEAR(E22),0,IF((YEAR(D22)+16)&gt;YEAR(E22),1,(12-MONTH(E22)+1)/12))))-(IF(OR(N22="",N22&lt;=0),0,(O22/N22)*(IF(OR(N22="",N22&lt;=0),0,IF((YEAR(D22)+16)&lt;YEAR(E22),0,IF((YEAR(D22)+16)&gt;=YEAR(E22)+N22,0,IF((YEAR(D22)+16)=YEAR(E22),(12-MONTH(E22)+1)/12,1))))))))&gt;0,(((K22)*(IF(M22="",L22,IFERROR(IF(INDEX(Variablen!$I:$AT, MATCH(M22, Variablen!$A:$A, 0), MATCH((YEAR(D22)+16), Variablen!$I$3:$AT$3, 0))="",L22,INDEX(Variablen!$I:$AT, MATCH(M22, Variablen!$A:$A, 0), MATCH((YEAR(D22)+16), Variablen!$I$3:$AT$3, 0))),L22)))*(IF((YEAR(D22)+16)&lt;YEAR(E22),0,IF((YEAR(D22)+16)&gt;YEAR(E22),1,(12-MONTH(E22)+1)/12))) + (Q22)*(IF((YEAR(D22)+16)&lt;YEAR(E22),0,IF((YEAR(D22)+16)&gt;YEAR(E22),1,(12-MONTH(E22)+1)/12))))-((P22)*(IF((YEAR(D22)+16)&lt;YEAR(E22),0,IF((YEAR(D22)+16)&gt;YEAR(E22),1,(12-MONTH(E22)+1)/12))) + (R22)*(IF((YEAR(D22)+16)&lt;YEAR(E22),0,IF((YEAR(D22)+16)&gt;YEAR(E22),1,(12-MONTH(E22)+1)/12))))-(IF(OR(N22="",N22&lt;=0),0,(O22/N22)*(IF(OR(N22="",N22&lt;=0),0,IF((YEAR(D22)+16)&lt;YEAR(E22),0,IF((YEAR(D22)+16)&gt;=YEAR(E22)+N22,0,IF((YEAR(D22)+16)=YEAR(E22),(12-MONTH(E22)+1)/12,1))))))))*TaxRate,0))-IF(16=0,O22,0))</f>
        <v/>
      </c>
      <c r="AJ22" s="29">
        <f>IF(A22="","",((K22)*(IF(M22="",L22,IFERROR(IF(INDEX(Variablen!$I:$AT, MATCH(M22, Variablen!$A:$A, 0), MATCH((YEAR(D22)+17), Variablen!$I$3:$AT$3, 0))="",L22,INDEX(Variablen!$I:$AT, MATCH(M22, Variablen!$A:$A, 0), MATCH((YEAR(D22)+17), Variablen!$I$3:$AT$3, 0))),L22)))*(IF((YEAR(D22)+17)&lt;YEAR(E22),0,IF((YEAR(D22)+17)&gt;YEAR(E22),1,(12-MONTH(E22)+1)/12))) + (Q22)*(IF((YEAR(D22)+17)&lt;YEAR(E22),0,IF((YEAR(D22)+17)&gt;YEAR(E22),1,(12-MONTH(E22)+1)/12))))-((P22)*(IF((YEAR(D22)+17)&lt;YEAR(E22),0,IF((YEAR(D22)+17)&gt;YEAR(E22),1,(12-MONTH(E22)+1)/12))) + (R22)*(IF((YEAR(D22)+17)&lt;YEAR(E22),0,IF((YEAR(D22)+17)&gt;YEAR(E22),1,(12-MONTH(E22)+1)/12))))-(IF((((K22)*(IF(M22="",L22,IFERROR(IF(INDEX(Variablen!$I:$AT, MATCH(M22, Variablen!$A:$A, 0), MATCH((YEAR(D22)+17), Variablen!$I$3:$AT$3, 0))="",L22,INDEX(Variablen!$I:$AT, MATCH(M22, Variablen!$A:$A, 0), MATCH((YEAR(D22)+17), Variablen!$I$3:$AT$3, 0))),L22)))*(IF((YEAR(D22)+17)&lt;YEAR(E22),0,IF((YEAR(D22)+17)&gt;YEAR(E22),1,(12-MONTH(E22)+1)/12))) + (Q22)*(IF((YEAR(D22)+17)&lt;YEAR(E22),0,IF((YEAR(D22)+17)&gt;YEAR(E22),1,(12-MONTH(E22)+1)/12))))-((P22)*(IF((YEAR(D22)+17)&lt;YEAR(E22),0,IF((YEAR(D22)+17)&gt;YEAR(E22),1,(12-MONTH(E22)+1)/12))) + (R22)*(IF((YEAR(D22)+17)&lt;YEAR(E22),0,IF((YEAR(D22)+17)&gt;YEAR(E22),1,(12-MONTH(E22)+1)/12))))-(IF(OR(N22="",N22&lt;=0),0,(O22/N22)*(IF(OR(N22="",N22&lt;=0),0,IF((YEAR(D22)+17)&lt;YEAR(E22),0,IF((YEAR(D22)+17)&gt;=YEAR(E22)+N22,0,IF((YEAR(D22)+17)=YEAR(E22),(12-MONTH(E22)+1)/12,1))))))))&gt;0,(((K22)*(IF(M22="",L22,IFERROR(IF(INDEX(Variablen!$I:$AT, MATCH(M22, Variablen!$A:$A, 0), MATCH((YEAR(D22)+17), Variablen!$I$3:$AT$3, 0))="",L22,INDEX(Variablen!$I:$AT, MATCH(M22, Variablen!$A:$A, 0), MATCH((YEAR(D22)+17), Variablen!$I$3:$AT$3, 0))),L22)))*(IF((YEAR(D22)+17)&lt;YEAR(E22),0,IF((YEAR(D22)+17)&gt;YEAR(E22),1,(12-MONTH(E22)+1)/12))) + (Q22)*(IF((YEAR(D22)+17)&lt;YEAR(E22),0,IF((YEAR(D22)+17)&gt;YEAR(E22),1,(12-MONTH(E22)+1)/12))))-((P22)*(IF((YEAR(D22)+17)&lt;YEAR(E22),0,IF((YEAR(D22)+17)&gt;YEAR(E22),1,(12-MONTH(E22)+1)/12))) + (R22)*(IF((YEAR(D22)+17)&lt;YEAR(E22),0,IF((YEAR(D22)+17)&gt;YEAR(E22),1,(12-MONTH(E22)+1)/12))))-(IF(OR(N22="",N22&lt;=0),0,(O22/N22)*(IF(OR(N22="",N22&lt;=0),0,IF((YEAR(D22)+17)&lt;YEAR(E22),0,IF((YEAR(D22)+17)&gt;=YEAR(E22)+N22,0,IF((YEAR(D22)+17)=YEAR(E22),(12-MONTH(E22)+1)/12,1))))))))*TaxRate,0))-IF(17=0,O22,0))</f>
        <v/>
      </c>
      <c r="AK22" s="29">
        <f>IF(A22="","",((K22)*(IF(M22="",L22,IFERROR(IF(INDEX(Variablen!$I:$AT, MATCH(M22, Variablen!$A:$A, 0), MATCH((YEAR(D22)+18), Variablen!$I$3:$AT$3, 0))="",L22,INDEX(Variablen!$I:$AT, MATCH(M22, Variablen!$A:$A, 0), MATCH((YEAR(D22)+18), Variablen!$I$3:$AT$3, 0))),L22)))*(IF((YEAR(D22)+18)&lt;YEAR(E22),0,IF((YEAR(D22)+18)&gt;YEAR(E22),1,(12-MONTH(E22)+1)/12))) + (Q22)*(IF((YEAR(D22)+18)&lt;YEAR(E22),0,IF((YEAR(D22)+18)&gt;YEAR(E22),1,(12-MONTH(E22)+1)/12))))-((P22)*(IF((YEAR(D22)+18)&lt;YEAR(E22),0,IF((YEAR(D22)+18)&gt;YEAR(E22),1,(12-MONTH(E22)+1)/12))) + (R22)*(IF((YEAR(D22)+18)&lt;YEAR(E22),0,IF((YEAR(D22)+18)&gt;YEAR(E22),1,(12-MONTH(E22)+1)/12))))-(IF((((K22)*(IF(M22="",L22,IFERROR(IF(INDEX(Variablen!$I:$AT, MATCH(M22, Variablen!$A:$A, 0), MATCH((YEAR(D22)+18), Variablen!$I$3:$AT$3, 0))="",L22,INDEX(Variablen!$I:$AT, MATCH(M22, Variablen!$A:$A, 0), MATCH((YEAR(D22)+18), Variablen!$I$3:$AT$3, 0))),L22)))*(IF((YEAR(D22)+18)&lt;YEAR(E22),0,IF((YEAR(D22)+18)&gt;YEAR(E22),1,(12-MONTH(E22)+1)/12))) + (Q22)*(IF((YEAR(D22)+18)&lt;YEAR(E22),0,IF((YEAR(D22)+18)&gt;YEAR(E22),1,(12-MONTH(E22)+1)/12))))-((P22)*(IF((YEAR(D22)+18)&lt;YEAR(E22),0,IF((YEAR(D22)+18)&gt;YEAR(E22),1,(12-MONTH(E22)+1)/12))) + (R22)*(IF((YEAR(D22)+18)&lt;YEAR(E22),0,IF((YEAR(D22)+18)&gt;YEAR(E22),1,(12-MONTH(E22)+1)/12))))-(IF(OR(N22="",N22&lt;=0),0,(O22/N22)*(IF(OR(N22="",N22&lt;=0),0,IF((YEAR(D22)+18)&lt;YEAR(E22),0,IF((YEAR(D22)+18)&gt;=YEAR(E22)+N22,0,IF((YEAR(D22)+18)=YEAR(E22),(12-MONTH(E22)+1)/12,1))))))))&gt;0,(((K22)*(IF(M22="",L22,IFERROR(IF(INDEX(Variablen!$I:$AT, MATCH(M22, Variablen!$A:$A, 0), MATCH((YEAR(D22)+18), Variablen!$I$3:$AT$3, 0))="",L22,INDEX(Variablen!$I:$AT, MATCH(M22, Variablen!$A:$A, 0), MATCH((YEAR(D22)+18), Variablen!$I$3:$AT$3, 0))),L22)))*(IF((YEAR(D22)+18)&lt;YEAR(E22),0,IF((YEAR(D22)+18)&gt;YEAR(E22),1,(12-MONTH(E22)+1)/12))) + (Q22)*(IF((YEAR(D22)+18)&lt;YEAR(E22),0,IF((YEAR(D22)+18)&gt;YEAR(E22),1,(12-MONTH(E22)+1)/12))))-((P22)*(IF((YEAR(D22)+18)&lt;YEAR(E22),0,IF((YEAR(D22)+18)&gt;YEAR(E22),1,(12-MONTH(E22)+1)/12))) + (R22)*(IF((YEAR(D22)+18)&lt;YEAR(E22),0,IF((YEAR(D22)+18)&gt;YEAR(E22),1,(12-MONTH(E22)+1)/12))))-(IF(OR(N22="",N22&lt;=0),0,(O22/N22)*(IF(OR(N22="",N22&lt;=0),0,IF((YEAR(D22)+18)&lt;YEAR(E22),0,IF((YEAR(D22)+18)&gt;=YEAR(E22)+N22,0,IF((YEAR(D22)+18)=YEAR(E22),(12-MONTH(E22)+1)/12,1))))))))*TaxRate,0))-IF(18=0,O22,0))</f>
        <v/>
      </c>
      <c r="AL22" s="29">
        <f>IF(A22="","",((K22)*(IF(M22="",L22,IFERROR(IF(INDEX(Variablen!$I:$AT, MATCH(M22, Variablen!$A:$A, 0), MATCH((YEAR(D22)+19), Variablen!$I$3:$AT$3, 0))="",L22,INDEX(Variablen!$I:$AT, MATCH(M22, Variablen!$A:$A, 0), MATCH((YEAR(D22)+19), Variablen!$I$3:$AT$3, 0))),L22)))*(IF((YEAR(D22)+19)&lt;YEAR(E22),0,IF((YEAR(D22)+19)&gt;YEAR(E22),1,(12-MONTH(E22)+1)/12))) + (Q22)*(IF((YEAR(D22)+19)&lt;YEAR(E22),0,IF((YEAR(D22)+19)&gt;YEAR(E22),1,(12-MONTH(E22)+1)/12))))-((P22)*(IF((YEAR(D22)+19)&lt;YEAR(E22),0,IF((YEAR(D22)+19)&gt;YEAR(E22),1,(12-MONTH(E22)+1)/12))) + (R22)*(IF((YEAR(D22)+19)&lt;YEAR(E22),0,IF((YEAR(D22)+19)&gt;YEAR(E22),1,(12-MONTH(E22)+1)/12))))-(IF((((K22)*(IF(M22="",L22,IFERROR(IF(INDEX(Variablen!$I:$AT, MATCH(M22, Variablen!$A:$A, 0), MATCH((YEAR(D22)+19), Variablen!$I$3:$AT$3, 0))="",L22,INDEX(Variablen!$I:$AT, MATCH(M22, Variablen!$A:$A, 0), MATCH((YEAR(D22)+19), Variablen!$I$3:$AT$3, 0))),L22)))*(IF((YEAR(D22)+19)&lt;YEAR(E22),0,IF((YEAR(D22)+19)&gt;YEAR(E22),1,(12-MONTH(E22)+1)/12))) + (Q22)*(IF((YEAR(D22)+19)&lt;YEAR(E22),0,IF((YEAR(D22)+19)&gt;YEAR(E22),1,(12-MONTH(E22)+1)/12))))-((P22)*(IF((YEAR(D22)+19)&lt;YEAR(E22),0,IF((YEAR(D22)+19)&gt;YEAR(E22),1,(12-MONTH(E22)+1)/12))) + (R22)*(IF((YEAR(D22)+19)&lt;YEAR(E22),0,IF((YEAR(D22)+19)&gt;YEAR(E22),1,(12-MONTH(E22)+1)/12))))-(IF(OR(N22="",N22&lt;=0),0,(O22/N22)*(IF(OR(N22="",N22&lt;=0),0,IF((YEAR(D22)+19)&lt;YEAR(E22),0,IF((YEAR(D22)+19)&gt;=YEAR(E22)+N22,0,IF((YEAR(D22)+19)=YEAR(E22),(12-MONTH(E22)+1)/12,1))))))))&gt;0,(((K22)*(IF(M22="",L22,IFERROR(IF(INDEX(Variablen!$I:$AT, MATCH(M22, Variablen!$A:$A, 0), MATCH((YEAR(D22)+19), Variablen!$I$3:$AT$3, 0))="",L22,INDEX(Variablen!$I:$AT, MATCH(M22, Variablen!$A:$A, 0), MATCH((YEAR(D22)+19), Variablen!$I$3:$AT$3, 0))),L22)))*(IF((YEAR(D22)+19)&lt;YEAR(E22),0,IF((YEAR(D22)+19)&gt;YEAR(E22),1,(12-MONTH(E22)+1)/12))) + (Q22)*(IF((YEAR(D22)+19)&lt;YEAR(E22),0,IF((YEAR(D22)+19)&gt;YEAR(E22),1,(12-MONTH(E22)+1)/12))))-((P22)*(IF((YEAR(D22)+19)&lt;YEAR(E22),0,IF((YEAR(D22)+19)&gt;YEAR(E22),1,(12-MONTH(E22)+1)/12))) + (R22)*(IF((YEAR(D22)+19)&lt;YEAR(E22),0,IF((YEAR(D22)+19)&gt;YEAR(E22),1,(12-MONTH(E22)+1)/12))))-(IF(OR(N22="",N22&lt;=0),0,(O22/N22)*(IF(OR(N22="",N22&lt;=0),0,IF((YEAR(D22)+19)&lt;YEAR(E22),0,IF((YEAR(D22)+19)&gt;=YEAR(E22)+N22,0,IF((YEAR(D22)+19)=YEAR(E22),(12-MONTH(E22)+1)/12,1))))))))*TaxRate,0))-IF(19=0,O22,0))</f>
        <v/>
      </c>
      <c r="AM22" s="29">
        <f>IF(A22="","",((K22)*(IF(M22="",L22,IFERROR(IF(INDEX(Variablen!$I:$AT, MATCH(M22, Variablen!$A:$A, 0), MATCH((YEAR(D22)+20), Variablen!$I$3:$AT$3, 0))="",L22,INDEX(Variablen!$I:$AT, MATCH(M22, Variablen!$A:$A, 0), MATCH((YEAR(D22)+20), Variablen!$I$3:$AT$3, 0))),L22)))*(IF((YEAR(D22)+20)&lt;YEAR(E22),0,IF((YEAR(D22)+20)&gt;YEAR(E22),1,(12-MONTH(E22)+1)/12))) + (Q22)*(IF((YEAR(D22)+20)&lt;YEAR(E22),0,IF((YEAR(D22)+20)&gt;YEAR(E22),1,(12-MONTH(E22)+1)/12))))-((P22)*(IF((YEAR(D22)+20)&lt;YEAR(E22),0,IF((YEAR(D22)+20)&gt;YEAR(E22),1,(12-MONTH(E22)+1)/12))) + (R22)*(IF((YEAR(D22)+20)&lt;YEAR(E22),0,IF((YEAR(D22)+20)&gt;YEAR(E22),1,(12-MONTH(E22)+1)/12))))-(IF((((K22)*(IF(M22="",L22,IFERROR(IF(INDEX(Variablen!$I:$AT, MATCH(M22, Variablen!$A:$A, 0), MATCH((YEAR(D22)+20), Variablen!$I$3:$AT$3, 0))="",L22,INDEX(Variablen!$I:$AT, MATCH(M22, Variablen!$A:$A, 0), MATCH((YEAR(D22)+20), Variablen!$I$3:$AT$3, 0))),L22)))*(IF((YEAR(D22)+20)&lt;YEAR(E22),0,IF((YEAR(D22)+20)&gt;YEAR(E22),1,(12-MONTH(E22)+1)/12))) + (Q22)*(IF((YEAR(D22)+20)&lt;YEAR(E22),0,IF((YEAR(D22)+20)&gt;YEAR(E22),1,(12-MONTH(E22)+1)/12))))-((P22)*(IF((YEAR(D22)+20)&lt;YEAR(E22),0,IF((YEAR(D22)+20)&gt;YEAR(E22),1,(12-MONTH(E22)+1)/12))) + (R22)*(IF((YEAR(D22)+20)&lt;YEAR(E22),0,IF((YEAR(D22)+20)&gt;YEAR(E22),1,(12-MONTH(E22)+1)/12))))-(IF(OR(N22="",N22&lt;=0),0,(O22/N22)*(IF(OR(N22="",N22&lt;=0),0,IF((YEAR(D22)+20)&lt;YEAR(E22),0,IF((YEAR(D22)+20)&gt;=YEAR(E22)+N22,0,IF((YEAR(D22)+20)=YEAR(E22),(12-MONTH(E22)+1)/12,1))))))))&gt;0,(((K22)*(IF(M22="",L22,IFERROR(IF(INDEX(Variablen!$I:$AT, MATCH(M22, Variablen!$A:$A, 0), MATCH((YEAR(D22)+20), Variablen!$I$3:$AT$3, 0))="",L22,INDEX(Variablen!$I:$AT, MATCH(M22, Variablen!$A:$A, 0), MATCH((YEAR(D22)+20), Variablen!$I$3:$AT$3, 0))),L22)))*(IF((YEAR(D22)+20)&lt;YEAR(E22),0,IF((YEAR(D22)+20)&gt;YEAR(E22),1,(12-MONTH(E22)+1)/12))) + (Q22)*(IF((YEAR(D22)+20)&lt;YEAR(E22),0,IF((YEAR(D22)+20)&gt;YEAR(E22),1,(12-MONTH(E22)+1)/12))))-((P22)*(IF((YEAR(D22)+20)&lt;YEAR(E22),0,IF((YEAR(D22)+20)&gt;YEAR(E22),1,(12-MONTH(E22)+1)/12))) + (R22)*(IF((YEAR(D22)+20)&lt;YEAR(E22),0,IF((YEAR(D22)+20)&gt;YEAR(E22),1,(12-MONTH(E22)+1)/12))))-(IF(OR(N22="",N22&lt;=0),0,(O22/N22)*(IF(OR(N22="",N22&lt;=0),0,IF((YEAR(D22)+20)&lt;YEAR(E22),0,IF((YEAR(D22)+20)&gt;=YEAR(E22)+N22,0,IF((YEAR(D22)+20)=YEAR(E22),(12-MONTH(E22)+1)/12,1))))))))*TaxRate,0))-IF(20=0,O22,0))</f>
        <v/>
      </c>
      <c r="AN22" s="29">
        <f>IF(A22="","",S22)</f>
        <v/>
      </c>
      <c r="AO22" s="29">
        <f>IF(A22="","",AN22+T22)</f>
        <v/>
      </c>
      <c r="AP22" s="29">
        <f>IF(A22="","",AO22+U22)</f>
        <v/>
      </c>
      <c r="AQ22" s="29">
        <f>IF(A22="","",AP22+V22)</f>
        <v/>
      </c>
      <c r="AR22" s="29">
        <f>IF(A22="","",AQ22+W22)</f>
        <v/>
      </c>
      <c r="AS22" s="29">
        <f>IF(A22="","",AR22+X22)</f>
        <v/>
      </c>
      <c r="AT22" s="29">
        <f>IF(A22="","",AS22+Y22)</f>
        <v/>
      </c>
      <c r="AU22" s="29">
        <f>IF(A22="","",AT22+Z22)</f>
        <v/>
      </c>
      <c r="AV22" s="29">
        <f>IF(A22="","",AU22+AA22)</f>
        <v/>
      </c>
      <c r="AW22" s="29">
        <f>IF(A22="","",AV22+AB22)</f>
        <v/>
      </c>
      <c r="AX22" s="29">
        <f>IF(A22="","",AW22+AC22)</f>
        <v/>
      </c>
      <c r="AY22" s="29">
        <f>IF(A22="","",AX22+AD22)</f>
        <v/>
      </c>
      <c r="AZ22" s="29">
        <f>IF(A22="","",AY22+AE22)</f>
        <v/>
      </c>
      <c r="BA22" s="29">
        <f>IF(A22="","",AZ22+AF22)</f>
        <v/>
      </c>
      <c r="BB22" s="29">
        <f>IF(A22="","",BA22+AG22)</f>
        <v/>
      </c>
      <c r="BC22" s="29">
        <f>IF(A22="","",BB22+AH22)</f>
        <v/>
      </c>
      <c r="BD22" s="29">
        <f>IF(A22="","",BC22+AI22)</f>
        <v/>
      </c>
      <c r="BE22" s="29">
        <f>IF(A22="","",BD22+AJ22)</f>
        <v/>
      </c>
      <c r="BF22" s="29">
        <f>IF(A22="","",BE22+AK22)</f>
        <v/>
      </c>
      <c r="BG22" s="29">
        <f>IF(A22="","",BF22+AL22)</f>
        <v/>
      </c>
      <c r="BH22" s="29">
        <f>IF(A22="","",BG22+AM22)</f>
        <v/>
      </c>
      <c r="BI22" s="36">
        <f>IF(A22="","",(K22)*(IF((YEAR(D22)+0)&lt;YEAR(E22),0,IF((YEAR(D22)+0)&gt;YEAR(E22),1,(12-MONTH(E22)+1)/12)))*(1/(1+DiscountRate)^0))</f>
        <v/>
      </c>
      <c r="BJ22" s="36">
        <f>IF(A22="","",(K22)*(IF((YEAR(D22)+1)&lt;YEAR(E22),0,IF((YEAR(D22)+1)&gt;YEAR(E22),1,(12-MONTH(E22)+1)/12)))*(1/(1+DiscountRate)^1))</f>
        <v/>
      </c>
      <c r="BK22" s="36">
        <f>IF(A22="","",(K22)*(IF((YEAR(D22)+2)&lt;YEAR(E22),0,IF((YEAR(D22)+2)&gt;YEAR(E22),1,(12-MONTH(E22)+1)/12)))*(1/(1+DiscountRate)^2))</f>
        <v/>
      </c>
      <c r="BL22" s="36">
        <f>IF(A22="","",(K22)*(IF((YEAR(D22)+3)&lt;YEAR(E22),0,IF((YEAR(D22)+3)&gt;YEAR(E22),1,(12-MONTH(E22)+1)/12)))*(1/(1+DiscountRate)^3))</f>
        <v/>
      </c>
      <c r="BM22" s="36">
        <f>IF(A22="","",(K22)*(IF((YEAR(D22)+4)&lt;YEAR(E22),0,IF((YEAR(D22)+4)&gt;YEAR(E22),1,(12-MONTH(E22)+1)/12)))*(1/(1+DiscountRate)^4))</f>
        <v/>
      </c>
      <c r="BN22" s="36">
        <f>IF(A22="","",(K22)*(IF((YEAR(D22)+5)&lt;YEAR(E22),0,IF((YEAR(D22)+5)&gt;YEAR(E22),1,(12-MONTH(E22)+1)/12)))*(1/(1+DiscountRate)^5))</f>
        <v/>
      </c>
      <c r="BO22" s="36">
        <f>IF(A22="","",(K22)*(IF((YEAR(D22)+6)&lt;YEAR(E22),0,IF((YEAR(D22)+6)&gt;YEAR(E22),1,(12-MONTH(E22)+1)/12)))*(1/(1+DiscountRate)^6))</f>
        <v/>
      </c>
      <c r="BP22" s="36">
        <f>IF(A22="","",(K22)*(IF((YEAR(D22)+7)&lt;YEAR(E22),0,IF((YEAR(D22)+7)&gt;YEAR(E22),1,(12-MONTH(E22)+1)/12)))*(1/(1+DiscountRate)^7))</f>
        <v/>
      </c>
      <c r="BQ22" s="36">
        <f>IF(A22="","",(K22)*(IF((YEAR(D22)+8)&lt;YEAR(E22),0,IF((YEAR(D22)+8)&gt;YEAR(E22),1,(12-MONTH(E22)+1)/12)))*(1/(1+DiscountRate)^8))</f>
        <v/>
      </c>
      <c r="BR22" s="36">
        <f>IF(A22="","",(K22)*(IF((YEAR(D22)+9)&lt;YEAR(E22),0,IF((YEAR(D22)+9)&gt;YEAR(E22),1,(12-MONTH(E22)+1)/12)))*(1/(1+DiscountRate)^9))</f>
        <v/>
      </c>
      <c r="BS22" s="36">
        <f>IF(A22="","",(K22)*(IF((YEAR(D22)+10)&lt;YEAR(E22),0,IF((YEAR(D22)+10)&gt;YEAR(E22),1,(12-MONTH(E22)+1)/12)))*(1/(1+DiscountRate)^10))</f>
        <v/>
      </c>
      <c r="BT22" s="36">
        <f>IF(A22="","",(K22)*(IF((YEAR(D22)+11)&lt;YEAR(E22),0,IF((YEAR(D22)+11)&gt;YEAR(E22),1,(12-MONTH(E22)+1)/12)))*(1/(1+DiscountRate)^11))</f>
        <v/>
      </c>
      <c r="BU22" s="36">
        <f>IF(A22="","",(K22)*(IF((YEAR(D22)+12)&lt;YEAR(E22),0,IF((YEAR(D22)+12)&gt;YEAR(E22),1,(12-MONTH(E22)+1)/12)))*(1/(1+DiscountRate)^12))</f>
        <v/>
      </c>
      <c r="BV22" s="36">
        <f>IF(A22="","",(K22)*(IF((YEAR(D22)+13)&lt;YEAR(E22),0,IF((YEAR(D22)+13)&gt;YEAR(E22),1,(12-MONTH(E22)+1)/12)))*(1/(1+DiscountRate)^13))</f>
        <v/>
      </c>
      <c r="BW22" s="36">
        <f>IF(A22="","",(K22)*(IF((YEAR(D22)+14)&lt;YEAR(E22),0,IF((YEAR(D22)+14)&gt;YEAR(E22),1,(12-MONTH(E22)+1)/12)))*(1/(1+DiscountRate)^14))</f>
        <v/>
      </c>
      <c r="BX22" s="36">
        <f>IF(A22="","",(K22)*(IF((YEAR(D22)+15)&lt;YEAR(E22),0,IF((YEAR(D22)+15)&gt;YEAR(E22),1,(12-MONTH(E22)+1)/12)))*(1/(1+DiscountRate)^15))</f>
        <v/>
      </c>
      <c r="BY22" s="36">
        <f>IF(A22="","",(K22)*(IF((YEAR(D22)+16)&lt;YEAR(E22),0,IF((YEAR(D22)+16)&gt;YEAR(E22),1,(12-MONTH(E22)+1)/12)))*(1/(1+DiscountRate)^16))</f>
        <v/>
      </c>
      <c r="BZ22" s="36">
        <f>IF(A22="","",(K22)*(IF((YEAR(D22)+17)&lt;YEAR(E22),0,IF((YEAR(D22)+17)&gt;YEAR(E22),1,(12-MONTH(E22)+1)/12)))*(1/(1+DiscountRate)^17))</f>
        <v/>
      </c>
      <c r="CA22" s="36">
        <f>IF(A22="","",(K22)*(IF((YEAR(D22)+18)&lt;YEAR(E22),0,IF((YEAR(D22)+18)&gt;YEAR(E22),1,(12-MONTH(E22)+1)/12)))*(1/(1+DiscountRate)^18))</f>
        <v/>
      </c>
      <c r="CB22" s="36">
        <f>IF(A22="","",(K22)*(IF((YEAR(D22)+19)&lt;YEAR(E22),0,IF((YEAR(D22)+19)&gt;YEAR(E22),1,(12-MONTH(E22)+1)/12)))*(1/(1+DiscountRate)^19))</f>
        <v/>
      </c>
      <c r="CC22" s="36">
        <f>IF(A22="","",(K22)*(IF((YEAR(D22)+20)&lt;YEAR(E22),0,IF((YEAR(D22)+20)&gt;YEAR(E22),1,(12-MONTH(E22)+1)/12)))*(1/(1+DiscountRate)^20))</f>
        <v/>
      </c>
      <c r="CD22" s="29">
        <f>IF(A22="","",S22/(1+DiscountRate)^0+T22/(1+DiscountRate)^1+U22/(1+DiscountRate)^2+V22/(1+DiscountRate)^3+W22/(1+DiscountRate)^4+X22/(1+DiscountRate)^5+Y22/(1+DiscountRate)^6+Z22/(1+DiscountRate)^7+AA22/(1+DiscountRate)^8+AB22/(1+DiscountRate)^9+AC22/(1+DiscountRate)^10+AD22/(1+DiscountRate)^11+AE22/(1+DiscountRate)^12+AF22/(1+DiscountRate)^13+AG22/(1+DiscountRate)^14+AH22/(1+DiscountRate)^15+AI22/(1+DiscountRate)^16+AJ22/(1+DiscountRate)^17+AK22/(1+DiscountRate)^18+AL22/(1+DiscountRate)^19+AM22/(1+DiscountRate)^20)</f>
        <v/>
      </c>
      <c r="CE22" s="37">
        <f>IF(A22="","",IFERROR(IRR(OFFSET(S22,0,0,1,MIN(HorizonYears,20)+1)),"n/a"))</f>
        <v/>
      </c>
      <c r="CF22" s="28">
        <f>IF(A22="","",IFERROR(MATCH(TRUE,OFFSET(AN22,0,0,1,MIN(HorizonYears,20)+1)&gt;=0,0)-1,"n/a"))</f>
        <v/>
      </c>
      <c r="CG22" s="36">
        <f>IF(A22="","",SUM(OFFSET(BI22,0,0,1,MIN(HorizonYears,20)+1)))</f>
        <v/>
      </c>
      <c r="CH22" s="36">
        <f>IF(A22="","",IFERROR(-CD22/CG22,"n/a"))</f>
        <v/>
      </c>
    </row>
    <row r="23">
      <c r="A23" s="6">
        <f>Actions!A21</f>
        <v/>
      </c>
      <c r="B23" s="6">
        <f>Actions!B21</f>
        <v/>
      </c>
      <c r="C23" s="6">
        <f>Actions!D21</f>
        <v/>
      </c>
      <c r="D23" s="35">
        <f>Actions!E21</f>
        <v/>
      </c>
      <c r="E23" s="35">
        <f>Actions!F21</f>
        <v/>
      </c>
      <c r="F23" s="6">
        <f>Actions!G21</f>
        <v/>
      </c>
      <c r="G23" s="6">
        <f>Actions!H21</f>
        <v/>
      </c>
      <c r="H23" s="29">
        <f>Actions!I21</f>
        <v/>
      </c>
      <c r="I23" s="6">
        <f>Actions!J21</f>
        <v/>
      </c>
      <c r="J23" s="16">
        <f>Actions!K21</f>
        <v/>
      </c>
      <c r="K23" s="16">
        <f>IF(A23="","",IF(I23="%",H23*J23,J23))</f>
        <v/>
      </c>
      <c r="L23" s="16">
        <f>Actions!L21</f>
        <v/>
      </c>
      <c r="M23" s="6">
        <f>Actions!M21</f>
        <v/>
      </c>
      <c r="N23" s="28">
        <f>Actions!N21</f>
        <v/>
      </c>
      <c r="O23" s="29">
        <f>Actions!T21</f>
        <v/>
      </c>
      <c r="P23" s="29">
        <f>Actions!Y21</f>
        <v/>
      </c>
      <c r="Q23" s="29">
        <f>Actions!Z21</f>
        <v/>
      </c>
      <c r="R23" s="29">
        <f>Actions!AA21</f>
        <v/>
      </c>
      <c r="S23" s="29">
        <f>IF(A23="","",((K23)*(IF(M23="",L23,IFERROR(IF(INDEX(Variablen!$I:$AT, MATCH(M23, Variablen!$A:$A, 0), MATCH((YEAR(D23)+0), Variablen!$I$3:$AT$3, 0))="",L23,INDEX(Variablen!$I:$AT, MATCH(M23, Variablen!$A:$A, 0), MATCH((YEAR(D23)+0), Variablen!$I$3:$AT$3, 0))),L23)))*(IF((YEAR(D23)+0)&lt;YEAR(E23),0,IF((YEAR(D23)+0)&gt;YEAR(E23),1,(12-MONTH(E23)+1)/12))) + (Q23)*(IF((YEAR(D23)+0)&lt;YEAR(E23),0,IF((YEAR(D23)+0)&gt;YEAR(E23),1,(12-MONTH(E23)+1)/12))))-((P23)*(IF((YEAR(D23)+0)&lt;YEAR(E23),0,IF((YEAR(D23)+0)&gt;YEAR(E23),1,(12-MONTH(E23)+1)/12))) + (R23)*(IF((YEAR(D23)+0)&lt;YEAR(E23),0,IF((YEAR(D23)+0)&gt;YEAR(E23),1,(12-MONTH(E23)+1)/12))))-(IF((((K23)*(IF(M23="",L23,IFERROR(IF(INDEX(Variablen!$I:$AT, MATCH(M23, Variablen!$A:$A, 0), MATCH((YEAR(D23)+0), Variablen!$I$3:$AT$3, 0))="",L23,INDEX(Variablen!$I:$AT, MATCH(M23, Variablen!$A:$A, 0), MATCH((YEAR(D23)+0), Variablen!$I$3:$AT$3, 0))),L23)))*(IF((YEAR(D23)+0)&lt;YEAR(E23),0,IF((YEAR(D23)+0)&gt;YEAR(E23),1,(12-MONTH(E23)+1)/12))) + (Q23)*(IF((YEAR(D23)+0)&lt;YEAR(E23),0,IF((YEAR(D23)+0)&gt;YEAR(E23),1,(12-MONTH(E23)+1)/12))))-((P23)*(IF((YEAR(D23)+0)&lt;YEAR(E23),0,IF((YEAR(D23)+0)&gt;YEAR(E23),1,(12-MONTH(E23)+1)/12))) + (R23)*(IF((YEAR(D23)+0)&lt;YEAR(E23),0,IF((YEAR(D23)+0)&gt;YEAR(E23),1,(12-MONTH(E23)+1)/12))))-(IF(OR(N23="",N23&lt;=0),0,(O23/N23)*(IF(OR(N23="",N23&lt;=0),0,IF((YEAR(D23)+0)&lt;YEAR(E23),0,IF((YEAR(D23)+0)&gt;=YEAR(E23)+N23,0,IF((YEAR(D23)+0)=YEAR(E23),(12-MONTH(E23)+1)/12,1))))))))&gt;0,(((K23)*(IF(M23="",L23,IFERROR(IF(INDEX(Variablen!$I:$AT, MATCH(M23, Variablen!$A:$A, 0), MATCH((YEAR(D23)+0), Variablen!$I$3:$AT$3, 0))="",L23,INDEX(Variablen!$I:$AT, MATCH(M23, Variablen!$A:$A, 0), MATCH((YEAR(D23)+0), Variablen!$I$3:$AT$3, 0))),L23)))*(IF((YEAR(D23)+0)&lt;YEAR(E23),0,IF((YEAR(D23)+0)&gt;YEAR(E23),1,(12-MONTH(E23)+1)/12))) + (Q23)*(IF((YEAR(D23)+0)&lt;YEAR(E23),0,IF((YEAR(D23)+0)&gt;YEAR(E23),1,(12-MONTH(E23)+1)/12))))-((P23)*(IF((YEAR(D23)+0)&lt;YEAR(E23),0,IF((YEAR(D23)+0)&gt;YEAR(E23),1,(12-MONTH(E23)+1)/12))) + (R23)*(IF((YEAR(D23)+0)&lt;YEAR(E23),0,IF((YEAR(D23)+0)&gt;YEAR(E23),1,(12-MONTH(E23)+1)/12))))-(IF(OR(N23="",N23&lt;=0),0,(O23/N23)*(IF(OR(N23="",N23&lt;=0),0,IF((YEAR(D23)+0)&lt;YEAR(E23),0,IF((YEAR(D23)+0)&gt;=YEAR(E23)+N23,0,IF((YEAR(D23)+0)=YEAR(E23),(12-MONTH(E23)+1)/12,1))))))))*TaxRate,0))-IF(0=0,O23,0))</f>
        <v/>
      </c>
      <c r="T23" s="29">
        <f>IF(A23="","",((K23)*(IF(M23="",L23,IFERROR(IF(INDEX(Variablen!$I:$AT, MATCH(M23, Variablen!$A:$A, 0), MATCH((YEAR(D23)+1), Variablen!$I$3:$AT$3, 0))="",L23,INDEX(Variablen!$I:$AT, MATCH(M23, Variablen!$A:$A, 0), MATCH((YEAR(D23)+1), Variablen!$I$3:$AT$3, 0))),L23)))*(IF((YEAR(D23)+1)&lt;YEAR(E23),0,IF((YEAR(D23)+1)&gt;YEAR(E23),1,(12-MONTH(E23)+1)/12))) + (Q23)*(IF((YEAR(D23)+1)&lt;YEAR(E23),0,IF((YEAR(D23)+1)&gt;YEAR(E23),1,(12-MONTH(E23)+1)/12))))-((P23)*(IF((YEAR(D23)+1)&lt;YEAR(E23),0,IF((YEAR(D23)+1)&gt;YEAR(E23),1,(12-MONTH(E23)+1)/12))) + (R23)*(IF((YEAR(D23)+1)&lt;YEAR(E23),0,IF((YEAR(D23)+1)&gt;YEAR(E23),1,(12-MONTH(E23)+1)/12))))-(IF((((K23)*(IF(M23="",L23,IFERROR(IF(INDEX(Variablen!$I:$AT, MATCH(M23, Variablen!$A:$A, 0), MATCH((YEAR(D23)+1), Variablen!$I$3:$AT$3, 0))="",L23,INDEX(Variablen!$I:$AT, MATCH(M23, Variablen!$A:$A, 0), MATCH((YEAR(D23)+1), Variablen!$I$3:$AT$3, 0))),L23)))*(IF((YEAR(D23)+1)&lt;YEAR(E23),0,IF((YEAR(D23)+1)&gt;YEAR(E23),1,(12-MONTH(E23)+1)/12))) + (Q23)*(IF((YEAR(D23)+1)&lt;YEAR(E23),0,IF((YEAR(D23)+1)&gt;YEAR(E23),1,(12-MONTH(E23)+1)/12))))-((P23)*(IF((YEAR(D23)+1)&lt;YEAR(E23),0,IF((YEAR(D23)+1)&gt;YEAR(E23),1,(12-MONTH(E23)+1)/12))) + (R23)*(IF((YEAR(D23)+1)&lt;YEAR(E23),0,IF((YEAR(D23)+1)&gt;YEAR(E23),1,(12-MONTH(E23)+1)/12))))-(IF(OR(N23="",N23&lt;=0),0,(O23/N23)*(IF(OR(N23="",N23&lt;=0),0,IF((YEAR(D23)+1)&lt;YEAR(E23),0,IF((YEAR(D23)+1)&gt;=YEAR(E23)+N23,0,IF((YEAR(D23)+1)=YEAR(E23),(12-MONTH(E23)+1)/12,1))))))))&gt;0,(((K23)*(IF(M23="",L23,IFERROR(IF(INDEX(Variablen!$I:$AT, MATCH(M23, Variablen!$A:$A, 0), MATCH((YEAR(D23)+1), Variablen!$I$3:$AT$3, 0))="",L23,INDEX(Variablen!$I:$AT, MATCH(M23, Variablen!$A:$A, 0), MATCH((YEAR(D23)+1), Variablen!$I$3:$AT$3, 0))),L23)))*(IF((YEAR(D23)+1)&lt;YEAR(E23),0,IF((YEAR(D23)+1)&gt;YEAR(E23),1,(12-MONTH(E23)+1)/12))) + (Q23)*(IF((YEAR(D23)+1)&lt;YEAR(E23),0,IF((YEAR(D23)+1)&gt;YEAR(E23),1,(12-MONTH(E23)+1)/12))))-((P23)*(IF((YEAR(D23)+1)&lt;YEAR(E23),0,IF((YEAR(D23)+1)&gt;YEAR(E23),1,(12-MONTH(E23)+1)/12))) + (R23)*(IF((YEAR(D23)+1)&lt;YEAR(E23),0,IF((YEAR(D23)+1)&gt;YEAR(E23),1,(12-MONTH(E23)+1)/12))))-(IF(OR(N23="",N23&lt;=0),0,(O23/N23)*(IF(OR(N23="",N23&lt;=0),0,IF((YEAR(D23)+1)&lt;YEAR(E23),0,IF((YEAR(D23)+1)&gt;=YEAR(E23)+N23,0,IF((YEAR(D23)+1)=YEAR(E23),(12-MONTH(E23)+1)/12,1))))))))*TaxRate,0))-IF(1=0,O23,0))</f>
        <v/>
      </c>
      <c r="U23" s="29">
        <f>IF(A23="","",((K23)*(IF(M23="",L23,IFERROR(IF(INDEX(Variablen!$I:$AT, MATCH(M23, Variablen!$A:$A, 0), MATCH((YEAR(D23)+2), Variablen!$I$3:$AT$3, 0))="",L23,INDEX(Variablen!$I:$AT, MATCH(M23, Variablen!$A:$A, 0), MATCH((YEAR(D23)+2), Variablen!$I$3:$AT$3, 0))),L23)))*(IF((YEAR(D23)+2)&lt;YEAR(E23),0,IF((YEAR(D23)+2)&gt;YEAR(E23),1,(12-MONTH(E23)+1)/12))) + (Q23)*(IF((YEAR(D23)+2)&lt;YEAR(E23),0,IF((YEAR(D23)+2)&gt;YEAR(E23),1,(12-MONTH(E23)+1)/12))))-((P23)*(IF((YEAR(D23)+2)&lt;YEAR(E23),0,IF((YEAR(D23)+2)&gt;YEAR(E23),1,(12-MONTH(E23)+1)/12))) + (R23)*(IF((YEAR(D23)+2)&lt;YEAR(E23),0,IF((YEAR(D23)+2)&gt;YEAR(E23),1,(12-MONTH(E23)+1)/12))))-(IF((((K23)*(IF(M23="",L23,IFERROR(IF(INDEX(Variablen!$I:$AT, MATCH(M23, Variablen!$A:$A, 0), MATCH((YEAR(D23)+2), Variablen!$I$3:$AT$3, 0))="",L23,INDEX(Variablen!$I:$AT, MATCH(M23, Variablen!$A:$A, 0), MATCH((YEAR(D23)+2), Variablen!$I$3:$AT$3, 0))),L23)))*(IF((YEAR(D23)+2)&lt;YEAR(E23),0,IF((YEAR(D23)+2)&gt;YEAR(E23),1,(12-MONTH(E23)+1)/12))) + (Q23)*(IF((YEAR(D23)+2)&lt;YEAR(E23),0,IF((YEAR(D23)+2)&gt;YEAR(E23),1,(12-MONTH(E23)+1)/12))))-((P23)*(IF((YEAR(D23)+2)&lt;YEAR(E23),0,IF((YEAR(D23)+2)&gt;YEAR(E23),1,(12-MONTH(E23)+1)/12))) + (R23)*(IF((YEAR(D23)+2)&lt;YEAR(E23),0,IF((YEAR(D23)+2)&gt;YEAR(E23),1,(12-MONTH(E23)+1)/12))))-(IF(OR(N23="",N23&lt;=0),0,(O23/N23)*(IF(OR(N23="",N23&lt;=0),0,IF((YEAR(D23)+2)&lt;YEAR(E23),0,IF((YEAR(D23)+2)&gt;=YEAR(E23)+N23,0,IF((YEAR(D23)+2)=YEAR(E23),(12-MONTH(E23)+1)/12,1))))))))&gt;0,(((K23)*(IF(M23="",L23,IFERROR(IF(INDEX(Variablen!$I:$AT, MATCH(M23, Variablen!$A:$A, 0), MATCH((YEAR(D23)+2), Variablen!$I$3:$AT$3, 0))="",L23,INDEX(Variablen!$I:$AT, MATCH(M23, Variablen!$A:$A, 0), MATCH((YEAR(D23)+2), Variablen!$I$3:$AT$3, 0))),L23)))*(IF((YEAR(D23)+2)&lt;YEAR(E23),0,IF((YEAR(D23)+2)&gt;YEAR(E23),1,(12-MONTH(E23)+1)/12))) + (Q23)*(IF((YEAR(D23)+2)&lt;YEAR(E23),0,IF((YEAR(D23)+2)&gt;YEAR(E23),1,(12-MONTH(E23)+1)/12))))-((P23)*(IF((YEAR(D23)+2)&lt;YEAR(E23),0,IF((YEAR(D23)+2)&gt;YEAR(E23),1,(12-MONTH(E23)+1)/12))) + (R23)*(IF((YEAR(D23)+2)&lt;YEAR(E23),0,IF((YEAR(D23)+2)&gt;YEAR(E23),1,(12-MONTH(E23)+1)/12))))-(IF(OR(N23="",N23&lt;=0),0,(O23/N23)*(IF(OR(N23="",N23&lt;=0),0,IF((YEAR(D23)+2)&lt;YEAR(E23),0,IF((YEAR(D23)+2)&gt;=YEAR(E23)+N23,0,IF((YEAR(D23)+2)=YEAR(E23),(12-MONTH(E23)+1)/12,1))))))))*TaxRate,0))-IF(2=0,O23,0))</f>
        <v/>
      </c>
      <c r="V23" s="29">
        <f>IF(A23="","",((K23)*(IF(M23="",L23,IFERROR(IF(INDEX(Variablen!$I:$AT, MATCH(M23, Variablen!$A:$A, 0), MATCH((YEAR(D23)+3), Variablen!$I$3:$AT$3, 0))="",L23,INDEX(Variablen!$I:$AT, MATCH(M23, Variablen!$A:$A, 0), MATCH((YEAR(D23)+3), Variablen!$I$3:$AT$3, 0))),L23)))*(IF((YEAR(D23)+3)&lt;YEAR(E23),0,IF((YEAR(D23)+3)&gt;YEAR(E23),1,(12-MONTH(E23)+1)/12))) + (Q23)*(IF((YEAR(D23)+3)&lt;YEAR(E23),0,IF((YEAR(D23)+3)&gt;YEAR(E23),1,(12-MONTH(E23)+1)/12))))-((P23)*(IF((YEAR(D23)+3)&lt;YEAR(E23),0,IF((YEAR(D23)+3)&gt;YEAR(E23),1,(12-MONTH(E23)+1)/12))) + (R23)*(IF((YEAR(D23)+3)&lt;YEAR(E23),0,IF((YEAR(D23)+3)&gt;YEAR(E23),1,(12-MONTH(E23)+1)/12))))-(IF((((K23)*(IF(M23="",L23,IFERROR(IF(INDEX(Variablen!$I:$AT, MATCH(M23, Variablen!$A:$A, 0), MATCH((YEAR(D23)+3), Variablen!$I$3:$AT$3, 0))="",L23,INDEX(Variablen!$I:$AT, MATCH(M23, Variablen!$A:$A, 0), MATCH((YEAR(D23)+3), Variablen!$I$3:$AT$3, 0))),L23)))*(IF((YEAR(D23)+3)&lt;YEAR(E23),0,IF((YEAR(D23)+3)&gt;YEAR(E23),1,(12-MONTH(E23)+1)/12))) + (Q23)*(IF((YEAR(D23)+3)&lt;YEAR(E23),0,IF((YEAR(D23)+3)&gt;YEAR(E23),1,(12-MONTH(E23)+1)/12))))-((P23)*(IF((YEAR(D23)+3)&lt;YEAR(E23),0,IF((YEAR(D23)+3)&gt;YEAR(E23),1,(12-MONTH(E23)+1)/12))) + (R23)*(IF((YEAR(D23)+3)&lt;YEAR(E23),0,IF((YEAR(D23)+3)&gt;YEAR(E23),1,(12-MONTH(E23)+1)/12))))-(IF(OR(N23="",N23&lt;=0),0,(O23/N23)*(IF(OR(N23="",N23&lt;=0),0,IF((YEAR(D23)+3)&lt;YEAR(E23),0,IF((YEAR(D23)+3)&gt;=YEAR(E23)+N23,0,IF((YEAR(D23)+3)=YEAR(E23),(12-MONTH(E23)+1)/12,1))))))))&gt;0,(((K23)*(IF(M23="",L23,IFERROR(IF(INDEX(Variablen!$I:$AT, MATCH(M23, Variablen!$A:$A, 0), MATCH((YEAR(D23)+3), Variablen!$I$3:$AT$3, 0))="",L23,INDEX(Variablen!$I:$AT, MATCH(M23, Variablen!$A:$A, 0), MATCH((YEAR(D23)+3), Variablen!$I$3:$AT$3, 0))),L23)))*(IF((YEAR(D23)+3)&lt;YEAR(E23),0,IF((YEAR(D23)+3)&gt;YEAR(E23),1,(12-MONTH(E23)+1)/12))) + (Q23)*(IF((YEAR(D23)+3)&lt;YEAR(E23),0,IF((YEAR(D23)+3)&gt;YEAR(E23),1,(12-MONTH(E23)+1)/12))))-((P23)*(IF((YEAR(D23)+3)&lt;YEAR(E23),0,IF((YEAR(D23)+3)&gt;YEAR(E23),1,(12-MONTH(E23)+1)/12))) + (R23)*(IF((YEAR(D23)+3)&lt;YEAR(E23),0,IF((YEAR(D23)+3)&gt;YEAR(E23),1,(12-MONTH(E23)+1)/12))))-(IF(OR(N23="",N23&lt;=0),0,(O23/N23)*(IF(OR(N23="",N23&lt;=0),0,IF((YEAR(D23)+3)&lt;YEAR(E23),0,IF((YEAR(D23)+3)&gt;=YEAR(E23)+N23,0,IF((YEAR(D23)+3)=YEAR(E23),(12-MONTH(E23)+1)/12,1))))))))*TaxRate,0))-IF(3=0,O23,0))</f>
        <v/>
      </c>
      <c r="W23" s="29">
        <f>IF(A23="","",((K23)*(IF(M23="",L23,IFERROR(IF(INDEX(Variablen!$I:$AT, MATCH(M23, Variablen!$A:$A, 0), MATCH((YEAR(D23)+4), Variablen!$I$3:$AT$3, 0))="",L23,INDEX(Variablen!$I:$AT, MATCH(M23, Variablen!$A:$A, 0), MATCH((YEAR(D23)+4), Variablen!$I$3:$AT$3, 0))),L23)))*(IF((YEAR(D23)+4)&lt;YEAR(E23),0,IF((YEAR(D23)+4)&gt;YEAR(E23),1,(12-MONTH(E23)+1)/12))) + (Q23)*(IF((YEAR(D23)+4)&lt;YEAR(E23),0,IF((YEAR(D23)+4)&gt;YEAR(E23),1,(12-MONTH(E23)+1)/12))))-((P23)*(IF((YEAR(D23)+4)&lt;YEAR(E23),0,IF((YEAR(D23)+4)&gt;YEAR(E23),1,(12-MONTH(E23)+1)/12))) + (R23)*(IF((YEAR(D23)+4)&lt;YEAR(E23),0,IF((YEAR(D23)+4)&gt;YEAR(E23),1,(12-MONTH(E23)+1)/12))))-(IF((((K23)*(IF(M23="",L23,IFERROR(IF(INDEX(Variablen!$I:$AT, MATCH(M23, Variablen!$A:$A, 0), MATCH((YEAR(D23)+4), Variablen!$I$3:$AT$3, 0))="",L23,INDEX(Variablen!$I:$AT, MATCH(M23, Variablen!$A:$A, 0), MATCH((YEAR(D23)+4), Variablen!$I$3:$AT$3, 0))),L23)))*(IF((YEAR(D23)+4)&lt;YEAR(E23),0,IF((YEAR(D23)+4)&gt;YEAR(E23),1,(12-MONTH(E23)+1)/12))) + (Q23)*(IF((YEAR(D23)+4)&lt;YEAR(E23),0,IF((YEAR(D23)+4)&gt;YEAR(E23),1,(12-MONTH(E23)+1)/12))))-((P23)*(IF((YEAR(D23)+4)&lt;YEAR(E23),0,IF((YEAR(D23)+4)&gt;YEAR(E23),1,(12-MONTH(E23)+1)/12))) + (R23)*(IF((YEAR(D23)+4)&lt;YEAR(E23),0,IF((YEAR(D23)+4)&gt;YEAR(E23),1,(12-MONTH(E23)+1)/12))))-(IF(OR(N23="",N23&lt;=0),0,(O23/N23)*(IF(OR(N23="",N23&lt;=0),0,IF((YEAR(D23)+4)&lt;YEAR(E23),0,IF((YEAR(D23)+4)&gt;=YEAR(E23)+N23,0,IF((YEAR(D23)+4)=YEAR(E23),(12-MONTH(E23)+1)/12,1))))))))&gt;0,(((K23)*(IF(M23="",L23,IFERROR(IF(INDEX(Variablen!$I:$AT, MATCH(M23, Variablen!$A:$A, 0), MATCH((YEAR(D23)+4), Variablen!$I$3:$AT$3, 0))="",L23,INDEX(Variablen!$I:$AT, MATCH(M23, Variablen!$A:$A, 0), MATCH((YEAR(D23)+4), Variablen!$I$3:$AT$3, 0))),L23)))*(IF((YEAR(D23)+4)&lt;YEAR(E23),0,IF((YEAR(D23)+4)&gt;YEAR(E23),1,(12-MONTH(E23)+1)/12))) + (Q23)*(IF((YEAR(D23)+4)&lt;YEAR(E23),0,IF((YEAR(D23)+4)&gt;YEAR(E23),1,(12-MONTH(E23)+1)/12))))-((P23)*(IF((YEAR(D23)+4)&lt;YEAR(E23),0,IF((YEAR(D23)+4)&gt;YEAR(E23),1,(12-MONTH(E23)+1)/12))) + (R23)*(IF((YEAR(D23)+4)&lt;YEAR(E23),0,IF((YEAR(D23)+4)&gt;YEAR(E23),1,(12-MONTH(E23)+1)/12))))-(IF(OR(N23="",N23&lt;=0),0,(O23/N23)*(IF(OR(N23="",N23&lt;=0),0,IF((YEAR(D23)+4)&lt;YEAR(E23),0,IF((YEAR(D23)+4)&gt;=YEAR(E23)+N23,0,IF((YEAR(D23)+4)=YEAR(E23),(12-MONTH(E23)+1)/12,1))))))))*TaxRate,0))-IF(4=0,O23,0))</f>
        <v/>
      </c>
      <c r="X23" s="29">
        <f>IF(A23="","",((K23)*(IF(M23="",L23,IFERROR(IF(INDEX(Variablen!$I:$AT, MATCH(M23, Variablen!$A:$A, 0), MATCH((YEAR(D23)+5), Variablen!$I$3:$AT$3, 0))="",L23,INDEX(Variablen!$I:$AT, MATCH(M23, Variablen!$A:$A, 0), MATCH((YEAR(D23)+5), Variablen!$I$3:$AT$3, 0))),L23)))*(IF((YEAR(D23)+5)&lt;YEAR(E23),0,IF((YEAR(D23)+5)&gt;YEAR(E23),1,(12-MONTH(E23)+1)/12))) + (Q23)*(IF((YEAR(D23)+5)&lt;YEAR(E23),0,IF((YEAR(D23)+5)&gt;YEAR(E23),1,(12-MONTH(E23)+1)/12))))-((P23)*(IF((YEAR(D23)+5)&lt;YEAR(E23),0,IF((YEAR(D23)+5)&gt;YEAR(E23),1,(12-MONTH(E23)+1)/12))) + (R23)*(IF((YEAR(D23)+5)&lt;YEAR(E23),0,IF((YEAR(D23)+5)&gt;YEAR(E23),1,(12-MONTH(E23)+1)/12))))-(IF((((K23)*(IF(M23="",L23,IFERROR(IF(INDEX(Variablen!$I:$AT, MATCH(M23, Variablen!$A:$A, 0), MATCH((YEAR(D23)+5), Variablen!$I$3:$AT$3, 0))="",L23,INDEX(Variablen!$I:$AT, MATCH(M23, Variablen!$A:$A, 0), MATCH((YEAR(D23)+5), Variablen!$I$3:$AT$3, 0))),L23)))*(IF((YEAR(D23)+5)&lt;YEAR(E23),0,IF((YEAR(D23)+5)&gt;YEAR(E23),1,(12-MONTH(E23)+1)/12))) + (Q23)*(IF((YEAR(D23)+5)&lt;YEAR(E23),0,IF((YEAR(D23)+5)&gt;YEAR(E23),1,(12-MONTH(E23)+1)/12))))-((P23)*(IF((YEAR(D23)+5)&lt;YEAR(E23),0,IF((YEAR(D23)+5)&gt;YEAR(E23),1,(12-MONTH(E23)+1)/12))) + (R23)*(IF((YEAR(D23)+5)&lt;YEAR(E23),0,IF((YEAR(D23)+5)&gt;YEAR(E23),1,(12-MONTH(E23)+1)/12))))-(IF(OR(N23="",N23&lt;=0),0,(O23/N23)*(IF(OR(N23="",N23&lt;=0),0,IF((YEAR(D23)+5)&lt;YEAR(E23),0,IF((YEAR(D23)+5)&gt;=YEAR(E23)+N23,0,IF((YEAR(D23)+5)=YEAR(E23),(12-MONTH(E23)+1)/12,1))))))))&gt;0,(((K23)*(IF(M23="",L23,IFERROR(IF(INDEX(Variablen!$I:$AT, MATCH(M23, Variablen!$A:$A, 0), MATCH((YEAR(D23)+5), Variablen!$I$3:$AT$3, 0))="",L23,INDEX(Variablen!$I:$AT, MATCH(M23, Variablen!$A:$A, 0), MATCH((YEAR(D23)+5), Variablen!$I$3:$AT$3, 0))),L23)))*(IF((YEAR(D23)+5)&lt;YEAR(E23),0,IF((YEAR(D23)+5)&gt;YEAR(E23),1,(12-MONTH(E23)+1)/12))) + (Q23)*(IF((YEAR(D23)+5)&lt;YEAR(E23),0,IF((YEAR(D23)+5)&gt;YEAR(E23),1,(12-MONTH(E23)+1)/12))))-((P23)*(IF((YEAR(D23)+5)&lt;YEAR(E23),0,IF((YEAR(D23)+5)&gt;YEAR(E23),1,(12-MONTH(E23)+1)/12))) + (R23)*(IF((YEAR(D23)+5)&lt;YEAR(E23),0,IF((YEAR(D23)+5)&gt;YEAR(E23),1,(12-MONTH(E23)+1)/12))))-(IF(OR(N23="",N23&lt;=0),0,(O23/N23)*(IF(OR(N23="",N23&lt;=0),0,IF((YEAR(D23)+5)&lt;YEAR(E23),0,IF((YEAR(D23)+5)&gt;=YEAR(E23)+N23,0,IF((YEAR(D23)+5)=YEAR(E23),(12-MONTH(E23)+1)/12,1))))))))*TaxRate,0))-IF(5=0,O23,0))</f>
        <v/>
      </c>
      <c r="Y23" s="29">
        <f>IF(A23="","",((K23)*(IF(M23="",L23,IFERROR(IF(INDEX(Variablen!$I:$AT, MATCH(M23, Variablen!$A:$A, 0), MATCH((YEAR(D23)+6), Variablen!$I$3:$AT$3, 0))="",L23,INDEX(Variablen!$I:$AT, MATCH(M23, Variablen!$A:$A, 0), MATCH((YEAR(D23)+6), Variablen!$I$3:$AT$3, 0))),L23)))*(IF((YEAR(D23)+6)&lt;YEAR(E23),0,IF((YEAR(D23)+6)&gt;YEAR(E23),1,(12-MONTH(E23)+1)/12))) + (Q23)*(IF((YEAR(D23)+6)&lt;YEAR(E23),0,IF((YEAR(D23)+6)&gt;YEAR(E23),1,(12-MONTH(E23)+1)/12))))-((P23)*(IF((YEAR(D23)+6)&lt;YEAR(E23),0,IF((YEAR(D23)+6)&gt;YEAR(E23),1,(12-MONTH(E23)+1)/12))) + (R23)*(IF((YEAR(D23)+6)&lt;YEAR(E23),0,IF((YEAR(D23)+6)&gt;YEAR(E23),1,(12-MONTH(E23)+1)/12))))-(IF((((K23)*(IF(M23="",L23,IFERROR(IF(INDEX(Variablen!$I:$AT, MATCH(M23, Variablen!$A:$A, 0), MATCH((YEAR(D23)+6), Variablen!$I$3:$AT$3, 0))="",L23,INDEX(Variablen!$I:$AT, MATCH(M23, Variablen!$A:$A, 0), MATCH((YEAR(D23)+6), Variablen!$I$3:$AT$3, 0))),L23)))*(IF((YEAR(D23)+6)&lt;YEAR(E23),0,IF((YEAR(D23)+6)&gt;YEAR(E23),1,(12-MONTH(E23)+1)/12))) + (Q23)*(IF((YEAR(D23)+6)&lt;YEAR(E23),0,IF((YEAR(D23)+6)&gt;YEAR(E23),1,(12-MONTH(E23)+1)/12))))-((P23)*(IF((YEAR(D23)+6)&lt;YEAR(E23),0,IF((YEAR(D23)+6)&gt;YEAR(E23),1,(12-MONTH(E23)+1)/12))) + (R23)*(IF((YEAR(D23)+6)&lt;YEAR(E23),0,IF((YEAR(D23)+6)&gt;YEAR(E23),1,(12-MONTH(E23)+1)/12))))-(IF(OR(N23="",N23&lt;=0),0,(O23/N23)*(IF(OR(N23="",N23&lt;=0),0,IF((YEAR(D23)+6)&lt;YEAR(E23),0,IF((YEAR(D23)+6)&gt;=YEAR(E23)+N23,0,IF((YEAR(D23)+6)=YEAR(E23),(12-MONTH(E23)+1)/12,1))))))))&gt;0,(((K23)*(IF(M23="",L23,IFERROR(IF(INDEX(Variablen!$I:$AT, MATCH(M23, Variablen!$A:$A, 0), MATCH((YEAR(D23)+6), Variablen!$I$3:$AT$3, 0))="",L23,INDEX(Variablen!$I:$AT, MATCH(M23, Variablen!$A:$A, 0), MATCH((YEAR(D23)+6), Variablen!$I$3:$AT$3, 0))),L23)))*(IF((YEAR(D23)+6)&lt;YEAR(E23),0,IF((YEAR(D23)+6)&gt;YEAR(E23),1,(12-MONTH(E23)+1)/12))) + (Q23)*(IF((YEAR(D23)+6)&lt;YEAR(E23),0,IF((YEAR(D23)+6)&gt;YEAR(E23),1,(12-MONTH(E23)+1)/12))))-((P23)*(IF((YEAR(D23)+6)&lt;YEAR(E23),0,IF((YEAR(D23)+6)&gt;YEAR(E23),1,(12-MONTH(E23)+1)/12))) + (R23)*(IF((YEAR(D23)+6)&lt;YEAR(E23),0,IF((YEAR(D23)+6)&gt;YEAR(E23),1,(12-MONTH(E23)+1)/12))))-(IF(OR(N23="",N23&lt;=0),0,(O23/N23)*(IF(OR(N23="",N23&lt;=0),0,IF((YEAR(D23)+6)&lt;YEAR(E23),0,IF((YEAR(D23)+6)&gt;=YEAR(E23)+N23,0,IF((YEAR(D23)+6)=YEAR(E23),(12-MONTH(E23)+1)/12,1))))))))*TaxRate,0))-IF(6=0,O23,0))</f>
        <v/>
      </c>
      <c r="Z23" s="29">
        <f>IF(A23="","",((K23)*(IF(M23="",L23,IFERROR(IF(INDEX(Variablen!$I:$AT, MATCH(M23, Variablen!$A:$A, 0), MATCH((YEAR(D23)+7), Variablen!$I$3:$AT$3, 0))="",L23,INDEX(Variablen!$I:$AT, MATCH(M23, Variablen!$A:$A, 0), MATCH((YEAR(D23)+7), Variablen!$I$3:$AT$3, 0))),L23)))*(IF((YEAR(D23)+7)&lt;YEAR(E23),0,IF((YEAR(D23)+7)&gt;YEAR(E23),1,(12-MONTH(E23)+1)/12))) + (Q23)*(IF((YEAR(D23)+7)&lt;YEAR(E23),0,IF((YEAR(D23)+7)&gt;YEAR(E23),1,(12-MONTH(E23)+1)/12))))-((P23)*(IF((YEAR(D23)+7)&lt;YEAR(E23),0,IF((YEAR(D23)+7)&gt;YEAR(E23),1,(12-MONTH(E23)+1)/12))) + (R23)*(IF((YEAR(D23)+7)&lt;YEAR(E23),0,IF((YEAR(D23)+7)&gt;YEAR(E23),1,(12-MONTH(E23)+1)/12))))-(IF((((K23)*(IF(M23="",L23,IFERROR(IF(INDEX(Variablen!$I:$AT, MATCH(M23, Variablen!$A:$A, 0), MATCH((YEAR(D23)+7), Variablen!$I$3:$AT$3, 0))="",L23,INDEX(Variablen!$I:$AT, MATCH(M23, Variablen!$A:$A, 0), MATCH((YEAR(D23)+7), Variablen!$I$3:$AT$3, 0))),L23)))*(IF((YEAR(D23)+7)&lt;YEAR(E23),0,IF((YEAR(D23)+7)&gt;YEAR(E23),1,(12-MONTH(E23)+1)/12))) + (Q23)*(IF((YEAR(D23)+7)&lt;YEAR(E23),0,IF((YEAR(D23)+7)&gt;YEAR(E23),1,(12-MONTH(E23)+1)/12))))-((P23)*(IF((YEAR(D23)+7)&lt;YEAR(E23),0,IF((YEAR(D23)+7)&gt;YEAR(E23),1,(12-MONTH(E23)+1)/12))) + (R23)*(IF((YEAR(D23)+7)&lt;YEAR(E23),0,IF((YEAR(D23)+7)&gt;YEAR(E23),1,(12-MONTH(E23)+1)/12))))-(IF(OR(N23="",N23&lt;=0),0,(O23/N23)*(IF(OR(N23="",N23&lt;=0),0,IF((YEAR(D23)+7)&lt;YEAR(E23),0,IF((YEAR(D23)+7)&gt;=YEAR(E23)+N23,0,IF((YEAR(D23)+7)=YEAR(E23),(12-MONTH(E23)+1)/12,1))))))))&gt;0,(((K23)*(IF(M23="",L23,IFERROR(IF(INDEX(Variablen!$I:$AT, MATCH(M23, Variablen!$A:$A, 0), MATCH((YEAR(D23)+7), Variablen!$I$3:$AT$3, 0))="",L23,INDEX(Variablen!$I:$AT, MATCH(M23, Variablen!$A:$A, 0), MATCH((YEAR(D23)+7), Variablen!$I$3:$AT$3, 0))),L23)))*(IF((YEAR(D23)+7)&lt;YEAR(E23),0,IF((YEAR(D23)+7)&gt;YEAR(E23),1,(12-MONTH(E23)+1)/12))) + (Q23)*(IF((YEAR(D23)+7)&lt;YEAR(E23),0,IF((YEAR(D23)+7)&gt;YEAR(E23),1,(12-MONTH(E23)+1)/12))))-((P23)*(IF((YEAR(D23)+7)&lt;YEAR(E23),0,IF((YEAR(D23)+7)&gt;YEAR(E23),1,(12-MONTH(E23)+1)/12))) + (R23)*(IF((YEAR(D23)+7)&lt;YEAR(E23),0,IF((YEAR(D23)+7)&gt;YEAR(E23),1,(12-MONTH(E23)+1)/12))))-(IF(OR(N23="",N23&lt;=0),0,(O23/N23)*(IF(OR(N23="",N23&lt;=0),0,IF((YEAR(D23)+7)&lt;YEAR(E23),0,IF((YEAR(D23)+7)&gt;=YEAR(E23)+N23,0,IF((YEAR(D23)+7)=YEAR(E23),(12-MONTH(E23)+1)/12,1))))))))*TaxRate,0))-IF(7=0,O23,0))</f>
        <v/>
      </c>
      <c r="AA23" s="29">
        <f>IF(A23="","",((K23)*(IF(M23="",L23,IFERROR(IF(INDEX(Variablen!$I:$AT, MATCH(M23, Variablen!$A:$A, 0), MATCH((YEAR(D23)+8), Variablen!$I$3:$AT$3, 0))="",L23,INDEX(Variablen!$I:$AT, MATCH(M23, Variablen!$A:$A, 0), MATCH((YEAR(D23)+8), Variablen!$I$3:$AT$3, 0))),L23)))*(IF((YEAR(D23)+8)&lt;YEAR(E23),0,IF((YEAR(D23)+8)&gt;YEAR(E23),1,(12-MONTH(E23)+1)/12))) + (Q23)*(IF((YEAR(D23)+8)&lt;YEAR(E23),0,IF((YEAR(D23)+8)&gt;YEAR(E23),1,(12-MONTH(E23)+1)/12))))-((P23)*(IF((YEAR(D23)+8)&lt;YEAR(E23),0,IF((YEAR(D23)+8)&gt;YEAR(E23),1,(12-MONTH(E23)+1)/12))) + (R23)*(IF((YEAR(D23)+8)&lt;YEAR(E23),0,IF((YEAR(D23)+8)&gt;YEAR(E23),1,(12-MONTH(E23)+1)/12))))-(IF((((K23)*(IF(M23="",L23,IFERROR(IF(INDEX(Variablen!$I:$AT, MATCH(M23, Variablen!$A:$A, 0), MATCH((YEAR(D23)+8), Variablen!$I$3:$AT$3, 0))="",L23,INDEX(Variablen!$I:$AT, MATCH(M23, Variablen!$A:$A, 0), MATCH((YEAR(D23)+8), Variablen!$I$3:$AT$3, 0))),L23)))*(IF((YEAR(D23)+8)&lt;YEAR(E23),0,IF((YEAR(D23)+8)&gt;YEAR(E23),1,(12-MONTH(E23)+1)/12))) + (Q23)*(IF((YEAR(D23)+8)&lt;YEAR(E23),0,IF((YEAR(D23)+8)&gt;YEAR(E23),1,(12-MONTH(E23)+1)/12))))-((P23)*(IF((YEAR(D23)+8)&lt;YEAR(E23),0,IF((YEAR(D23)+8)&gt;YEAR(E23),1,(12-MONTH(E23)+1)/12))) + (R23)*(IF((YEAR(D23)+8)&lt;YEAR(E23),0,IF((YEAR(D23)+8)&gt;YEAR(E23),1,(12-MONTH(E23)+1)/12))))-(IF(OR(N23="",N23&lt;=0),0,(O23/N23)*(IF(OR(N23="",N23&lt;=0),0,IF((YEAR(D23)+8)&lt;YEAR(E23),0,IF((YEAR(D23)+8)&gt;=YEAR(E23)+N23,0,IF((YEAR(D23)+8)=YEAR(E23),(12-MONTH(E23)+1)/12,1))))))))&gt;0,(((K23)*(IF(M23="",L23,IFERROR(IF(INDEX(Variablen!$I:$AT, MATCH(M23, Variablen!$A:$A, 0), MATCH((YEAR(D23)+8), Variablen!$I$3:$AT$3, 0))="",L23,INDEX(Variablen!$I:$AT, MATCH(M23, Variablen!$A:$A, 0), MATCH((YEAR(D23)+8), Variablen!$I$3:$AT$3, 0))),L23)))*(IF((YEAR(D23)+8)&lt;YEAR(E23),0,IF((YEAR(D23)+8)&gt;YEAR(E23),1,(12-MONTH(E23)+1)/12))) + (Q23)*(IF((YEAR(D23)+8)&lt;YEAR(E23),0,IF((YEAR(D23)+8)&gt;YEAR(E23),1,(12-MONTH(E23)+1)/12))))-((P23)*(IF((YEAR(D23)+8)&lt;YEAR(E23),0,IF((YEAR(D23)+8)&gt;YEAR(E23),1,(12-MONTH(E23)+1)/12))) + (R23)*(IF((YEAR(D23)+8)&lt;YEAR(E23),0,IF((YEAR(D23)+8)&gt;YEAR(E23),1,(12-MONTH(E23)+1)/12))))-(IF(OR(N23="",N23&lt;=0),0,(O23/N23)*(IF(OR(N23="",N23&lt;=0),0,IF((YEAR(D23)+8)&lt;YEAR(E23),0,IF((YEAR(D23)+8)&gt;=YEAR(E23)+N23,0,IF((YEAR(D23)+8)=YEAR(E23),(12-MONTH(E23)+1)/12,1))))))))*TaxRate,0))-IF(8=0,O23,0))</f>
        <v/>
      </c>
      <c r="AB23" s="29">
        <f>IF(A23="","",((K23)*(IF(M23="",L23,IFERROR(IF(INDEX(Variablen!$I:$AT, MATCH(M23, Variablen!$A:$A, 0), MATCH((YEAR(D23)+9), Variablen!$I$3:$AT$3, 0))="",L23,INDEX(Variablen!$I:$AT, MATCH(M23, Variablen!$A:$A, 0), MATCH((YEAR(D23)+9), Variablen!$I$3:$AT$3, 0))),L23)))*(IF((YEAR(D23)+9)&lt;YEAR(E23),0,IF((YEAR(D23)+9)&gt;YEAR(E23),1,(12-MONTH(E23)+1)/12))) + (Q23)*(IF((YEAR(D23)+9)&lt;YEAR(E23),0,IF((YEAR(D23)+9)&gt;YEAR(E23),1,(12-MONTH(E23)+1)/12))))-((P23)*(IF((YEAR(D23)+9)&lt;YEAR(E23),0,IF((YEAR(D23)+9)&gt;YEAR(E23),1,(12-MONTH(E23)+1)/12))) + (R23)*(IF((YEAR(D23)+9)&lt;YEAR(E23),0,IF((YEAR(D23)+9)&gt;YEAR(E23),1,(12-MONTH(E23)+1)/12))))-(IF((((K23)*(IF(M23="",L23,IFERROR(IF(INDEX(Variablen!$I:$AT, MATCH(M23, Variablen!$A:$A, 0), MATCH((YEAR(D23)+9), Variablen!$I$3:$AT$3, 0))="",L23,INDEX(Variablen!$I:$AT, MATCH(M23, Variablen!$A:$A, 0), MATCH((YEAR(D23)+9), Variablen!$I$3:$AT$3, 0))),L23)))*(IF((YEAR(D23)+9)&lt;YEAR(E23),0,IF((YEAR(D23)+9)&gt;YEAR(E23),1,(12-MONTH(E23)+1)/12))) + (Q23)*(IF((YEAR(D23)+9)&lt;YEAR(E23),0,IF((YEAR(D23)+9)&gt;YEAR(E23),1,(12-MONTH(E23)+1)/12))))-((P23)*(IF((YEAR(D23)+9)&lt;YEAR(E23),0,IF((YEAR(D23)+9)&gt;YEAR(E23),1,(12-MONTH(E23)+1)/12))) + (R23)*(IF((YEAR(D23)+9)&lt;YEAR(E23),0,IF((YEAR(D23)+9)&gt;YEAR(E23),1,(12-MONTH(E23)+1)/12))))-(IF(OR(N23="",N23&lt;=0),0,(O23/N23)*(IF(OR(N23="",N23&lt;=0),0,IF((YEAR(D23)+9)&lt;YEAR(E23),0,IF((YEAR(D23)+9)&gt;=YEAR(E23)+N23,0,IF((YEAR(D23)+9)=YEAR(E23),(12-MONTH(E23)+1)/12,1))))))))&gt;0,(((K23)*(IF(M23="",L23,IFERROR(IF(INDEX(Variablen!$I:$AT, MATCH(M23, Variablen!$A:$A, 0), MATCH((YEAR(D23)+9), Variablen!$I$3:$AT$3, 0))="",L23,INDEX(Variablen!$I:$AT, MATCH(M23, Variablen!$A:$A, 0), MATCH((YEAR(D23)+9), Variablen!$I$3:$AT$3, 0))),L23)))*(IF((YEAR(D23)+9)&lt;YEAR(E23),0,IF((YEAR(D23)+9)&gt;YEAR(E23),1,(12-MONTH(E23)+1)/12))) + (Q23)*(IF((YEAR(D23)+9)&lt;YEAR(E23),0,IF((YEAR(D23)+9)&gt;YEAR(E23),1,(12-MONTH(E23)+1)/12))))-((P23)*(IF((YEAR(D23)+9)&lt;YEAR(E23),0,IF((YEAR(D23)+9)&gt;YEAR(E23),1,(12-MONTH(E23)+1)/12))) + (R23)*(IF((YEAR(D23)+9)&lt;YEAR(E23),0,IF((YEAR(D23)+9)&gt;YEAR(E23),1,(12-MONTH(E23)+1)/12))))-(IF(OR(N23="",N23&lt;=0),0,(O23/N23)*(IF(OR(N23="",N23&lt;=0),0,IF((YEAR(D23)+9)&lt;YEAR(E23),0,IF((YEAR(D23)+9)&gt;=YEAR(E23)+N23,0,IF((YEAR(D23)+9)=YEAR(E23),(12-MONTH(E23)+1)/12,1))))))))*TaxRate,0))-IF(9=0,O23,0))</f>
        <v/>
      </c>
      <c r="AC23" s="29">
        <f>IF(A23="","",((K23)*(IF(M23="",L23,IFERROR(IF(INDEX(Variablen!$I:$AT, MATCH(M23, Variablen!$A:$A, 0), MATCH((YEAR(D23)+10), Variablen!$I$3:$AT$3, 0))="",L23,INDEX(Variablen!$I:$AT, MATCH(M23, Variablen!$A:$A, 0), MATCH((YEAR(D23)+10), Variablen!$I$3:$AT$3, 0))),L23)))*(IF((YEAR(D23)+10)&lt;YEAR(E23),0,IF((YEAR(D23)+10)&gt;YEAR(E23),1,(12-MONTH(E23)+1)/12))) + (Q23)*(IF((YEAR(D23)+10)&lt;YEAR(E23),0,IF((YEAR(D23)+10)&gt;YEAR(E23),1,(12-MONTH(E23)+1)/12))))-((P23)*(IF((YEAR(D23)+10)&lt;YEAR(E23),0,IF((YEAR(D23)+10)&gt;YEAR(E23),1,(12-MONTH(E23)+1)/12))) + (R23)*(IF((YEAR(D23)+10)&lt;YEAR(E23),0,IF((YEAR(D23)+10)&gt;YEAR(E23),1,(12-MONTH(E23)+1)/12))))-(IF((((K23)*(IF(M23="",L23,IFERROR(IF(INDEX(Variablen!$I:$AT, MATCH(M23, Variablen!$A:$A, 0), MATCH((YEAR(D23)+10), Variablen!$I$3:$AT$3, 0))="",L23,INDEX(Variablen!$I:$AT, MATCH(M23, Variablen!$A:$A, 0), MATCH((YEAR(D23)+10), Variablen!$I$3:$AT$3, 0))),L23)))*(IF((YEAR(D23)+10)&lt;YEAR(E23),0,IF((YEAR(D23)+10)&gt;YEAR(E23),1,(12-MONTH(E23)+1)/12))) + (Q23)*(IF((YEAR(D23)+10)&lt;YEAR(E23),0,IF((YEAR(D23)+10)&gt;YEAR(E23),1,(12-MONTH(E23)+1)/12))))-((P23)*(IF((YEAR(D23)+10)&lt;YEAR(E23),0,IF((YEAR(D23)+10)&gt;YEAR(E23),1,(12-MONTH(E23)+1)/12))) + (R23)*(IF((YEAR(D23)+10)&lt;YEAR(E23),0,IF((YEAR(D23)+10)&gt;YEAR(E23),1,(12-MONTH(E23)+1)/12))))-(IF(OR(N23="",N23&lt;=0),0,(O23/N23)*(IF(OR(N23="",N23&lt;=0),0,IF((YEAR(D23)+10)&lt;YEAR(E23),0,IF((YEAR(D23)+10)&gt;=YEAR(E23)+N23,0,IF((YEAR(D23)+10)=YEAR(E23),(12-MONTH(E23)+1)/12,1))))))))&gt;0,(((K23)*(IF(M23="",L23,IFERROR(IF(INDEX(Variablen!$I:$AT, MATCH(M23, Variablen!$A:$A, 0), MATCH((YEAR(D23)+10), Variablen!$I$3:$AT$3, 0))="",L23,INDEX(Variablen!$I:$AT, MATCH(M23, Variablen!$A:$A, 0), MATCH((YEAR(D23)+10), Variablen!$I$3:$AT$3, 0))),L23)))*(IF((YEAR(D23)+10)&lt;YEAR(E23),0,IF((YEAR(D23)+10)&gt;YEAR(E23),1,(12-MONTH(E23)+1)/12))) + (Q23)*(IF((YEAR(D23)+10)&lt;YEAR(E23),0,IF((YEAR(D23)+10)&gt;YEAR(E23),1,(12-MONTH(E23)+1)/12))))-((P23)*(IF((YEAR(D23)+10)&lt;YEAR(E23),0,IF((YEAR(D23)+10)&gt;YEAR(E23),1,(12-MONTH(E23)+1)/12))) + (R23)*(IF((YEAR(D23)+10)&lt;YEAR(E23),0,IF((YEAR(D23)+10)&gt;YEAR(E23),1,(12-MONTH(E23)+1)/12))))-(IF(OR(N23="",N23&lt;=0),0,(O23/N23)*(IF(OR(N23="",N23&lt;=0),0,IF((YEAR(D23)+10)&lt;YEAR(E23),0,IF((YEAR(D23)+10)&gt;=YEAR(E23)+N23,0,IF((YEAR(D23)+10)=YEAR(E23),(12-MONTH(E23)+1)/12,1))))))))*TaxRate,0))-IF(10=0,O23,0))</f>
        <v/>
      </c>
      <c r="AD23" s="29">
        <f>IF(A23="","",((K23)*(IF(M23="",L23,IFERROR(IF(INDEX(Variablen!$I:$AT, MATCH(M23, Variablen!$A:$A, 0), MATCH((YEAR(D23)+11), Variablen!$I$3:$AT$3, 0))="",L23,INDEX(Variablen!$I:$AT, MATCH(M23, Variablen!$A:$A, 0), MATCH((YEAR(D23)+11), Variablen!$I$3:$AT$3, 0))),L23)))*(IF((YEAR(D23)+11)&lt;YEAR(E23),0,IF((YEAR(D23)+11)&gt;YEAR(E23),1,(12-MONTH(E23)+1)/12))) + (Q23)*(IF((YEAR(D23)+11)&lt;YEAR(E23),0,IF((YEAR(D23)+11)&gt;YEAR(E23),1,(12-MONTH(E23)+1)/12))))-((P23)*(IF((YEAR(D23)+11)&lt;YEAR(E23),0,IF((YEAR(D23)+11)&gt;YEAR(E23),1,(12-MONTH(E23)+1)/12))) + (R23)*(IF((YEAR(D23)+11)&lt;YEAR(E23),0,IF((YEAR(D23)+11)&gt;YEAR(E23),1,(12-MONTH(E23)+1)/12))))-(IF((((K23)*(IF(M23="",L23,IFERROR(IF(INDEX(Variablen!$I:$AT, MATCH(M23, Variablen!$A:$A, 0), MATCH((YEAR(D23)+11), Variablen!$I$3:$AT$3, 0))="",L23,INDEX(Variablen!$I:$AT, MATCH(M23, Variablen!$A:$A, 0), MATCH((YEAR(D23)+11), Variablen!$I$3:$AT$3, 0))),L23)))*(IF((YEAR(D23)+11)&lt;YEAR(E23),0,IF((YEAR(D23)+11)&gt;YEAR(E23),1,(12-MONTH(E23)+1)/12))) + (Q23)*(IF((YEAR(D23)+11)&lt;YEAR(E23),0,IF((YEAR(D23)+11)&gt;YEAR(E23),1,(12-MONTH(E23)+1)/12))))-((P23)*(IF((YEAR(D23)+11)&lt;YEAR(E23),0,IF((YEAR(D23)+11)&gt;YEAR(E23),1,(12-MONTH(E23)+1)/12))) + (R23)*(IF((YEAR(D23)+11)&lt;YEAR(E23),0,IF((YEAR(D23)+11)&gt;YEAR(E23),1,(12-MONTH(E23)+1)/12))))-(IF(OR(N23="",N23&lt;=0),0,(O23/N23)*(IF(OR(N23="",N23&lt;=0),0,IF((YEAR(D23)+11)&lt;YEAR(E23),0,IF((YEAR(D23)+11)&gt;=YEAR(E23)+N23,0,IF((YEAR(D23)+11)=YEAR(E23),(12-MONTH(E23)+1)/12,1))))))))&gt;0,(((K23)*(IF(M23="",L23,IFERROR(IF(INDEX(Variablen!$I:$AT, MATCH(M23, Variablen!$A:$A, 0), MATCH((YEAR(D23)+11), Variablen!$I$3:$AT$3, 0))="",L23,INDEX(Variablen!$I:$AT, MATCH(M23, Variablen!$A:$A, 0), MATCH((YEAR(D23)+11), Variablen!$I$3:$AT$3, 0))),L23)))*(IF((YEAR(D23)+11)&lt;YEAR(E23),0,IF((YEAR(D23)+11)&gt;YEAR(E23),1,(12-MONTH(E23)+1)/12))) + (Q23)*(IF((YEAR(D23)+11)&lt;YEAR(E23),0,IF((YEAR(D23)+11)&gt;YEAR(E23),1,(12-MONTH(E23)+1)/12))))-((P23)*(IF((YEAR(D23)+11)&lt;YEAR(E23),0,IF((YEAR(D23)+11)&gt;YEAR(E23),1,(12-MONTH(E23)+1)/12))) + (R23)*(IF((YEAR(D23)+11)&lt;YEAR(E23),0,IF((YEAR(D23)+11)&gt;YEAR(E23),1,(12-MONTH(E23)+1)/12))))-(IF(OR(N23="",N23&lt;=0),0,(O23/N23)*(IF(OR(N23="",N23&lt;=0),0,IF((YEAR(D23)+11)&lt;YEAR(E23),0,IF((YEAR(D23)+11)&gt;=YEAR(E23)+N23,0,IF((YEAR(D23)+11)=YEAR(E23),(12-MONTH(E23)+1)/12,1))))))))*TaxRate,0))-IF(11=0,O23,0))</f>
        <v/>
      </c>
      <c r="AE23" s="29">
        <f>IF(A23="","",((K23)*(IF(M23="",L23,IFERROR(IF(INDEX(Variablen!$I:$AT, MATCH(M23, Variablen!$A:$A, 0), MATCH((YEAR(D23)+12), Variablen!$I$3:$AT$3, 0))="",L23,INDEX(Variablen!$I:$AT, MATCH(M23, Variablen!$A:$A, 0), MATCH((YEAR(D23)+12), Variablen!$I$3:$AT$3, 0))),L23)))*(IF((YEAR(D23)+12)&lt;YEAR(E23),0,IF((YEAR(D23)+12)&gt;YEAR(E23),1,(12-MONTH(E23)+1)/12))) + (Q23)*(IF((YEAR(D23)+12)&lt;YEAR(E23),0,IF((YEAR(D23)+12)&gt;YEAR(E23),1,(12-MONTH(E23)+1)/12))))-((P23)*(IF((YEAR(D23)+12)&lt;YEAR(E23),0,IF((YEAR(D23)+12)&gt;YEAR(E23),1,(12-MONTH(E23)+1)/12))) + (R23)*(IF((YEAR(D23)+12)&lt;YEAR(E23),0,IF((YEAR(D23)+12)&gt;YEAR(E23),1,(12-MONTH(E23)+1)/12))))-(IF((((K23)*(IF(M23="",L23,IFERROR(IF(INDEX(Variablen!$I:$AT, MATCH(M23, Variablen!$A:$A, 0), MATCH((YEAR(D23)+12), Variablen!$I$3:$AT$3, 0))="",L23,INDEX(Variablen!$I:$AT, MATCH(M23, Variablen!$A:$A, 0), MATCH((YEAR(D23)+12), Variablen!$I$3:$AT$3, 0))),L23)))*(IF((YEAR(D23)+12)&lt;YEAR(E23),0,IF((YEAR(D23)+12)&gt;YEAR(E23),1,(12-MONTH(E23)+1)/12))) + (Q23)*(IF((YEAR(D23)+12)&lt;YEAR(E23),0,IF((YEAR(D23)+12)&gt;YEAR(E23),1,(12-MONTH(E23)+1)/12))))-((P23)*(IF((YEAR(D23)+12)&lt;YEAR(E23),0,IF((YEAR(D23)+12)&gt;YEAR(E23),1,(12-MONTH(E23)+1)/12))) + (R23)*(IF((YEAR(D23)+12)&lt;YEAR(E23),0,IF((YEAR(D23)+12)&gt;YEAR(E23),1,(12-MONTH(E23)+1)/12))))-(IF(OR(N23="",N23&lt;=0),0,(O23/N23)*(IF(OR(N23="",N23&lt;=0),0,IF((YEAR(D23)+12)&lt;YEAR(E23),0,IF((YEAR(D23)+12)&gt;=YEAR(E23)+N23,0,IF((YEAR(D23)+12)=YEAR(E23),(12-MONTH(E23)+1)/12,1))))))))&gt;0,(((K23)*(IF(M23="",L23,IFERROR(IF(INDEX(Variablen!$I:$AT, MATCH(M23, Variablen!$A:$A, 0), MATCH((YEAR(D23)+12), Variablen!$I$3:$AT$3, 0))="",L23,INDEX(Variablen!$I:$AT, MATCH(M23, Variablen!$A:$A, 0), MATCH((YEAR(D23)+12), Variablen!$I$3:$AT$3, 0))),L23)))*(IF((YEAR(D23)+12)&lt;YEAR(E23),0,IF((YEAR(D23)+12)&gt;YEAR(E23),1,(12-MONTH(E23)+1)/12))) + (Q23)*(IF((YEAR(D23)+12)&lt;YEAR(E23),0,IF((YEAR(D23)+12)&gt;YEAR(E23),1,(12-MONTH(E23)+1)/12))))-((P23)*(IF((YEAR(D23)+12)&lt;YEAR(E23),0,IF((YEAR(D23)+12)&gt;YEAR(E23),1,(12-MONTH(E23)+1)/12))) + (R23)*(IF((YEAR(D23)+12)&lt;YEAR(E23),0,IF((YEAR(D23)+12)&gt;YEAR(E23),1,(12-MONTH(E23)+1)/12))))-(IF(OR(N23="",N23&lt;=0),0,(O23/N23)*(IF(OR(N23="",N23&lt;=0),0,IF((YEAR(D23)+12)&lt;YEAR(E23),0,IF((YEAR(D23)+12)&gt;=YEAR(E23)+N23,0,IF((YEAR(D23)+12)=YEAR(E23),(12-MONTH(E23)+1)/12,1))))))))*TaxRate,0))-IF(12=0,O23,0))</f>
        <v/>
      </c>
      <c r="AF23" s="29">
        <f>IF(A23="","",((K23)*(IF(M23="",L23,IFERROR(IF(INDEX(Variablen!$I:$AT, MATCH(M23, Variablen!$A:$A, 0), MATCH((YEAR(D23)+13), Variablen!$I$3:$AT$3, 0))="",L23,INDEX(Variablen!$I:$AT, MATCH(M23, Variablen!$A:$A, 0), MATCH((YEAR(D23)+13), Variablen!$I$3:$AT$3, 0))),L23)))*(IF((YEAR(D23)+13)&lt;YEAR(E23),0,IF((YEAR(D23)+13)&gt;YEAR(E23),1,(12-MONTH(E23)+1)/12))) + (Q23)*(IF((YEAR(D23)+13)&lt;YEAR(E23),0,IF((YEAR(D23)+13)&gt;YEAR(E23),1,(12-MONTH(E23)+1)/12))))-((P23)*(IF((YEAR(D23)+13)&lt;YEAR(E23),0,IF((YEAR(D23)+13)&gt;YEAR(E23),1,(12-MONTH(E23)+1)/12))) + (R23)*(IF((YEAR(D23)+13)&lt;YEAR(E23),0,IF((YEAR(D23)+13)&gt;YEAR(E23),1,(12-MONTH(E23)+1)/12))))-(IF((((K23)*(IF(M23="",L23,IFERROR(IF(INDEX(Variablen!$I:$AT, MATCH(M23, Variablen!$A:$A, 0), MATCH((YEAR(D23)+13), Variablen!$I$3:$AT$3, 0))="",L23,INDEX(Variablen!$I:$AT, MATCH(M23, Variablen!$A:$A, 0), MATCH((YEAR(D23)+13), Variablen!$I$3:$AT$3, 0))),L23)))*(IF((YEAR(D23)+13)&lt;YEAR(E23),0,IF((YEAR(D23)+13)&gt;YEAR(E23),1,(12-MONTH(E23)+1)/12))) + (Q23)*(IF((YEAR(D23)+13)&lt;YEAR(E23),0,IF((YEAR(D23)+13)&gt;YEAR(E23),1,(12-MONTH(E23)+1)/12))))-((P23)*(IF((YEAR(D23)+13)&lt;YEAR(E23),0,IF((YEAR(D23)+13)&gt;YEAR(E23),1,(12-MONTH(E23)+1)/12))) + (R23)*(IF((YEAR(D23)+13)&lt;YEAR(E23),0,IF((YEAR(D23)+13)&gt;YEAR(E23),1,(12-MONTH(E23)+1)/12))))-(IF(OR(N23="",N23&lt;=0),0,(O23/N23)*(IF(OR(N23="",N23&lt;=0),0,IF((YEAR(D23)+13)&lt;YEAR(E23),0,IF((YEAR(D23)+13)&gt;=YEAR(E23)+N23,0,IF((YEAR(D23)+13)=YEAR(E23),(12-MONTH(E23)+1)/12,1))))))))&gt;0,(((K23)*(IF(M23="",L23,IFERROR(IF(INDEX(Variablen!$I:$AT, MATCH(M23, Variablen!$A:$A, 0), MATCH((YEAR(D23)+13), Variablen!$I$3:$AT$3, 0))="",L23,INDEX(Variablen!$I:$AT, MATCH(M23, Variablen!$A:$A, 0), MATCH((YEAR(D23)+13), Variablen!$I$3:$AT$3, 0))),L23)))*(IF((YEAR(D23)+13)&lt;YEAR(E23),0,IF((YEAR(D23)+13)&gt;YEAR(E23),1,(12-MONTH(E23)+1)/12))) + (Q23)*(IF((YEAR(D23)+13)&lt;YEAR(E23),0,IF((YEAR(D23)+13)&gt;YEAR(E23),1,(12-MONTH(E23)+1)/12))))-((P23)*(IF((YEAR(D23)+13)&lt;YEAR(E23),0,IF((YEAR(D23)+13)&gt;YEAR(E23),1,(12-MONTH(E23)+1)/12))) + (R23)*(IF((YEAR(D23)+13)&lt;YEAR(E23),0,IF((YEAR(D23)+13)&gt;YEAR(E23),1,(12-MONTH(E23)+1)/12))))-(IF(OR(N23="",N23&lt;=0),0,(O23/N23)*(IF(OR(N23="",N23&lt;=0),0,IF((YEAR(D23)+13)&lt;YEAR(E23),0,IF((YEAR(D23)+13)&gt;=YEAR(E23)+N23,0,IF((YEAR(D23)+13)=YEAR(E23),(12-MONTH(E23)+1)/12,1))))))))*TaxRate,0))-IF(13=0,O23,0))</f>
        <v/>
      </c>
      <c r="AG23" s="29">
        <f>IF(A23="","",((K23)*(IF(M23="",L23,IFERROR(IF(INDEX(Variablen!$I:$AT, MATCH(M23, Variablen!$A:$A, 0), MATCH((YEAR(D23)+14), Variablen!$I$3:$AT$3, 0))="",L23,INDEX(Variablen!$I:$AT, MATCH(M23, Variablen!$A:$A, 0), MATCH((YEAR(D23)+14), Variablen!$I$3:$AT$3, 0))),L23)))*(IF((YEAR(D23)+14)&lt;YEAR(E23),0,IF((YEAR(D23)+14)&gt;YEAR(E23),1,(12-MONTH(E23)+1)/12))) + (Q23)*(IF((YEAR(D23)+14)&lt;YEAR(E23),0,IF((YEAR(D23)+14)&gt;YEAR(E23),1,(12-MONTH(E23)+1)/12))))-((P23)*(IF((YEAR(D23)+14)&lt;YEAR(E23),0,IF((YEAR(D23)+14)&gt;YEAR(E23),1,(12-MONTH(E23)+1)/12))) + (R23)*(IF((YEAR(D23)+14)&lt;YEAR(E23),0,IF((YEAR(D23)+14)&gt;YEAR(E23),1,(12-MONTH(E23)+1)/12))))-(IF((((K23)*(IF(M23="",L23,IFERROR(IF(INDEX(Variablen!$I:$AT, MATCH(M23, Variablen!$A:$A, 0), MATCH((YEAR(D23)+14), Variablen!$I$3:$AT$3, 0))="",L23,INDEX(Variablen!$I:$AT, MATCH(M23, Variablen!$A:$A, 0), MATCH((YEAR(D23)+14), Variablen!$I$3:$AT$3, 0))),L23)))*(IF((YEAR(D23)+14)&lt;YEAR(E23),0,IF((YEAR(D23)+14)&gt;YEAR(E23),1,(12-MONTH(E23)+1)/12))) + (Q23)*(IF((YEAR(D23)+14)&lt;YEAR(E23),0,IF((YEAR(D23)+14)&gt;YEAR(E23),1,(12-MONTH(E23)+1)/12))))-((P23)*(IF((YEAR(D23)+14)&lt;YEAR(E23),0,IF((YEAR(D23)+14)&gt;YEAR(E23),1,(12-MONTH(E23)+1)/12))) + (R23)*(IF((YEAR(D23)+14)&lt;YEAR(E23),0,IF((YEAR(D23)+14)&gt;YEAR(E23),1,(12-MONTH(E23)+1)/12))))-(IF(OR(N23="",N23&lt;=0),0,(O23/N23)*(IF(OR(N23="",N23&lt;=0),0,IF((YEAR(D23)+14)&lt;YEAR(E23),0,IF((YEAR(D23)+14)&gt;=YEAR(E23)+N23,0,IF((YEAR(D23)+14)=YEAR(E23),(12-MONTH(E23)+1)/12,1))))))))&gt;0,(((K23)*(IF(M23="",L23,IFERROR(IF(INDEX(Variablen!$I:$AT, MATCH(M23, Variablen!$A:$A, 0), MATCH((YEAR(D23)+14), Variablen!$I$3:$AT$3, 0))="",L23,INDEX(Variablen!$I:$AT, MATCH(M23, Variablen!$A:$A, 0), MATCH((YEAR(D23)+14), Variablen!$I$3:$AT$3, 0))),L23)))*(IF((YEAR(D23)+14)&lt;YEAR(E23),0,IF((YEAR(D23)+14)&gt;YEAR(E23),1,(12-MONTH(E23)+1)/12))) + (Q23)*(IF((YEAR(D23)+14)&lt;YEAR(E23),0,IF((YEAR(D23)+14)&gt;YEAR(E23),1,(12-MONTH(E23)+1)/12))))-((P23)*(IF((YEAR(D23)+14)&lt;YEAR(E23),0,IF((YEAR(D23)+14)&gt;YEAR(E23),1,(12-MONTH(E23)+1)/12))) + (R23)*(IF((YEAR(D23)+14)&lt;YEAR(E23),0,IF((YEAR(D23)+14)&gt;YEAR(E23),1,(12-MONTH(E23)+1)/12))))-(IF(OR(N23="",N23&lt;=0),0,(O23/N23)*(IF(OR(N23="",N23&lt;=0),0,IF((YEAR(D23)+14)&lt;YEAR(E23),0,IF((YEAR(D23)+14)&gt;=YEAR(E23)+N23,0,IF((YEAR(D23)+14)=YEAR(E23),(12-MONTH(E23)+1)/12,1))))))))*TaxRate,0))-IF(14=0,O23,0))</f>
        <v/>
      </c>
      <c r="AH23" s="29">
        <f>IF(A23="","",((K23)*(IF(M23="",L23,IFERROR(IF(INDEX(Variablen!$I:$AT, MATCH(M23, Variablen!$A:$A, 0), MATCH((YEAR(D23)+15), Variablen!$I$3:$AT$3, 0))="",L23,INDEX(Variablen!$I:$AT, MATCH(M23, Variablen!$A:$A, 0), MATCH((YEAR(D23)+15), Variablen!$I$3:$AT$3, 0))),L23)))*(IF((YEAR(D23)+15)&lt;YEAR(E23),0,IF((YEAR(D23)+15)&gt;YEAR(E23),1,(12-MONTH(E23)+1)/12))) + (Q23)*(IF((YEAR(D23)+15)&lt;YEAR(E23),0,IF((YEAR(D23)+15)&gt;YEAR(E23),1,(12-MONTH(E23)+1)/12))))-((P23)*(IF((YEAR(D23)+15)&lt;YEAR(E23),0,IF((YEAR(D23)+15)&gt;YEAR(E23),1,(12-MONTH(E23)+1)/12))) + (R23)*(IF((YEAR(D23)+15)&lt;YEAR(E23),0,IF((YEAR(D23)+15)&gt;YEAR(E23),1,(12-MONTH(E23)+1)/12))))-(IF((((K23)*(IF(M23="",L23,IFERROR(IF(INDEX(Variablen!$I:$AT, MATCH(M23, Variablen!$A:$A, 0), MATCH((YEAR(D23)+15), Variablen!$I$3:$AT$3, 0))="",L23,INDEX(Variablen!$I:$AT, MATCH(M23, Variablen!$A:$A, 0), MATCH((YEAR(D23)+15), Variablen!$I$3:$AT$3, 0))),L23)))*(IF((YEAR(D23)+15)&lt;YEAR(E23),0,IF((YEAR(D23)+15)&gt;YEAR(E23),1,(12-MONTH(E23)+1)/12))) + (Q23)*(IF((YEAR(D23)+15)&lt;YEAR(E23),0,IF((YEAR(D23)+15)&gt;YEAR(E23),1,(12-MONTH(E23)+1)/12))))-((P23)*(IF((YEAR(D23)+15)&lt;YEAR(E23),0,IF((YEAR(D23)+15)&gt;YEAR(E23),1,(12-MONTH(E23)+1)/12))) + (R23)*(IF((YEAR(D23)+15)&lt;YEAR(E23),0,IF((YEAR(D23)+15)&gt;YEAR(E23),1,(12-MONTH(E23)+1)/12))))-(IF(OR(N23="",N23&lt;=0),0,(O23/N23)*(IF(OR(N23="",N23&lt;=0),0,IF((YEAR(D23)+15)&lt;YEAR(E23),0,IF((YEAR(D23)+15)&gt;=YEAR(E23)+N23,0,IF((YEAR(D23)+15)=YEAR(E23),(12-MONTH(E23)+1)/12,1))))))))&gt;0,(((K23)*(IF(M23="",L23,IFERROR(IF(INDEX(Variablen!$I:$AT, MATCH(M23, Variablen!$A:$A, 0), MATCH((YEAR(D23)+15), Variablen!$I$3:$AT$3, 0))="",L23,INDEX(Variablen!$I:$AT, MATCH(M23, Variablen!$A:$A, 0), MATCH((YEAR(D23)+15), Variablen!$I$3:$AT$3, 0))),L23)))*(IF((YEAR(D23)+15)&lt;YEAR(E23),0,IF((YEAR(D23)+15)&gt;YEAR(E23),1,(12-MONTH(E23)+1)/12))) + (Q23)*(IF((YEAR(D23)+15)&lt;YEAR(E23),0,IF((YEAR(D23)+15)&gt;YEAR(E23),1,(12-MONTH(E23)+1)/12))))-((P23)*(IF((YEAR(D23)+15)&lt;YEAR(E23),0,IF((YEAR(D23)+15)&gt;YEAR(E23),1,(12-MONTH(E23)+1)/12))) + (R23)*(IF((YEAR(D23)+15)&lt;YEAR(E23),0,IF((YEAR(D23)+15)&gt;YEAR(E23),1,(12-MONTH(E23)+1)/12))))-(IF(OR(N23="",N23&lt;=0),0,(O23/N23)*(IF(OR(N23="",N23&lt;=0),0,IF((YEAR(D23)+15)&lt;YEAR(E23),0,IF((YEAR(D23)+15)&gt;=YEAR(E23)+N23,0,IF((YEAR(D23)+15)=YEAR(E23),(12-MONTH(E23)+1)/12,1))))))))*TaxRate,0))-IF(15=0,O23,0))</f>
        <v/>
      </c>
      <c r="AI23" s="29">
        <f>IF(A23="","",((K23)*(IF(M23="",L23,IFERROR(IF(INDEX(Variablen!$I:$AT, MATCH(M23, Variablen!$A:$A, 0), MATCH((YEAR(D23)+16), Variablen!$I$3:$AT$3, 0))="",L23,INDEX(Variablen!$I:$AT, MATCH(M23, Variablen!$A:$A, 0), MATCH((YEAR(D23)+16), Variablen!$I$3:$AT$3, 0))),L23)))*(IF((YEAR(D23)+16)&lt;YEAR(E23),0,IF((YEAR(D23)+16)&gt;YEAR(E23),1,(12-MONTH(E23)+1)/12))) + (Q23)*(IF((YEAR(D23)+16)&lt;YEAR(E23),0,IF((YEAR(D23)+16)&gt;YEAR(E23),1,(12-MONTH(E23)+1)/12))))-((P23)*(IF((YEAR(D23)+16)&lt;YEAR(E23),0,IF((YEAR(D23)+16)&gt;YEAR(E23),1,(12-MONTH(E23)+1)/12))) + (R23)*(IF((YEAR(D23)+16)&lt;YEAR(E23),0,IF((YEAR(D23)+16)&gt;YEAR(E23),1,(12-MONTH(E23)+1)/12))))-(IF((((K23)*(IF(M23="",L23,IFERROR(IF(INDEX(Variablen!$I:$AT, MATCH(M23, Variablen!$A:$A, 0), MATCH((YEAR(D23)+16), Variablen!$I$3:$AT$3, 0))="",L23,INDEX(Variablen!$I:$AT, MATCH(M23, Variablen!$A:$A, 0), MATCH((YEAR(D23)+16), Variablen!$I$3:$AT$3, 0))),L23)))*(IF((YEAR(D23)+16)&lt;YEAR(E23),0,IF((YEAR(D23)+16)&gt;YEAR(E23),1,(12-MONTH(E23)+1)/12))) + (Q23)*(IF((YEAR(D23)+16)&lt;YEAR(E23),0,IF((YEAR(D23)+16)&gt;YEAR(E23),1,(12-MONTH(E23)+1)/12))))-((P23)*(IF((YEAR(D23)+16)&lt;YEAR(E23),0,IF((YEAR(D23)+16)&gt;YEAR(E23),1,(12-MONTH(E23)+1)/12))) + (R23)*(IF((YEAR(D23)+16)&lt;YEAR(E23),0,IF((YEAR(D23)+16)&gt;YEAR(E23),1,(12-MONTH(E23)+1)/12))))-(IF(OR(N23="",N23&lt;=0),0,(O23/N23)*(IF(OR(N23="",N23&lt;=0),0,IF((YEAR(D23)+16)&lt;YEAR(E23),0,IF((YEAR(D23)+16)&gt;=YEAR(E23)+N23,0,IF((YEAR(D23)+16)=YEAR(E23),(12-MONTH(E23)+1)/12,1))))))))&gt;0,(((K23)*(IF(M23="",L23,IFERROR(IF(INDEX(Variablen!$I:$AT, MATCH(M23, Variablen!$A:$A, 0), MATCH((YEAR(D23)+16), Variablen!$I$3:$AT$3, 0))="",L23,INDEX(Variablen!$I:$AT, MATCH(M23, Variablen!$A:$A, 0), MATCH((YEAR(D23)+16), Variablen!$I$3:$AT$3, 0))),L23)))*(IF((YEAR(D23)+16)&lt;YEAR(E23),0,IF((YEAR(D23)+16)&gt;YEAR(E23),1,(12-MONTH(E23)+1)/12))) + (Q23)*(IF((YEAR(D23)+16)&lt;YEAR(E23),0,IF((YEAR(D23)+16)&gt;YEAR(E23),1,(12-MONTH(E23)+1)/12))))-((P23)*(IF((YEAR(D23)+16)&lt;YEAR(E23),0,IF((YEAR(D23)+16)&gt;YEAR(E23),1,(12-MONTH(E23)+1)/12))) + (R23)*(IF((YEAR(D23)+16)&lt;YEAR(E23),0,IF((YEAR(D23)+16)&gt;YEAR(E23),1,(12-MONTH(E23)+1)/12))))-(IF(OR(N23="",N23&lt;=0),0,(O23/N23)*(IF(OR(N23="",N23&lt;=0),0,IF((YEAR(D23)+16)&lt;YEAR(E23),0,IF((YEAR(D23)+16)&gt;=YEAR(E23)+N23,0,IF((YEAR(D23)+16)=YEAR(E23),(12-MONTH(E23)+1)/12,1))))))))*TaxRate,0))-IF(16=0,O23,0))</f>
        <v/>
      </c>
      <c r="AJ23" s="29">
        <f>IF(A23="","",((K23)*(IF(M23="",L23,IFERROR(IF(INDEX(Variablen!$I:$AT, MATCH(M23, Variablen!$A:$A, 0), MATCH((YEAR(D23)+17), Variablen!$I$3:$AT$3, 0))="",L23,INDEX(Variablen!$I:$AT, MATCH(M23, Variablen!$A:$A, 0), MATCH((YEAR(D23)+17), Variablen!$I$3:$AT$3, 0))),L23)))*(IF((YEAR(D23)+17)&lt;YEAR(E23),0,IF((YEAR(D23)+17)&gt;YEAR(E23),1,(12-MONTH(E23)+1)/12))) + (Q23)*(IF((YEAR(D23)+17)&lt;YEAR(E23),0,IF((YEAR(D23)+17)&gt;YEAR(E23),1,(12-MONTH(E23)+1)/12))))-((P23)*(IF((YEAR(D23)+17)&lt;YEAR(E23),0,IF((YEAR(D23)+17)&gt;YEAR(E23),1,(12-MONTH(E23)+1)/12))) + (R23)*(IF((YEAR(D23)+17)&lt;YEAR(E23),0,IF((YEAR(D23)+17)&gt;YEAR(E23),1,(12-MONTH(E23)+1)/12))))-(IF((((K23)*(IF(M23="",L23,IFERROR(IF(INDEX(Variablen!$I:$AT, MATCH(M23, Variablen!$A:$A, 0), MATCH((YEAR(D23)+17), Variablen!$I$3:$AT$3, 0))="",L23,INDEX(Variablen!$I:$AT, MATCH(M23, Variablen!$A:$A, 0), MATCH((YEAR(D23)+17), Variablen!$I$3:$AT$3, 0))),L23)))*(IF((YEAR(D23)+17)&lt;YEAR(E23),0,IF((YEAR(D23)+17)&gt;YEAR(E23),1,(12-MONTH(E23)+1)/12))) + (Q23)*(IF((YEAR(D23)+17)&lt;YEAR(E23),0,IF((YEAR(D23)+17)&gt;YEAR(E23),1,(12-MONTH(E23)+1)/12))))-((P23)*(IF((YEAR(D23)+17)&lt;YEAR(E23),0,IF((YEAR(D23)+17)&gt;YEAR(E23),1,(12-MONTH(E23)+1)/12))) + (R23)*(IF((YEAR(D23)+17)&lt;YEAR(E23),0,IF((YEAR(D23)+17)&gt;YEAR(E23),1,(12-MONTH(E23)+1)/12))))-(IF(OR(N23="",N23&lt;=0),0,(O23/N23)*(IF(OR(N23="",N23&lt;=0),0,IF((YEAR(D23)+17)&lt;YEAR(E23),0,IF((YEAR(D23)+17)&gt;=YEAR(E23)+N23,0,IF((YEAR(D23)+17)=YEAR(E23),(12-MONTH(E23)+1)/12,1))))))))&gt;0,(((K23)*(IF(M23="",L23,IFERROR(IF(INDEX(Variablen!$I:$AT, MATCH(M23, Variablen!$A:$A, 0), MATCH((YEAR(D23)+17), Variablen!$I$3:$AT$3, 0))="",L23,INDEX(Variablen!$I:$AT, MATCH(M23, Variablen!$A:$A, 0), MATCH((YEAR(D23)+17), Variablen!$I$3:$AT$3, 0))),L23)))*(IF((YEAR(D23)+17)&lt;YEAR(E23),0,IF((YEAR(D23)+17)&gt;YEAR(E23),1,(12-MONTH(E23)+1)/12))) + (Q23)*(IF((YEAR(D23)+17)&lt;YEAR(E23),0,IF((YEAR(D23)+17)&gt;YEAR(E23),1,(12-MONTH(E23)+1)/12))))-((P23)*(IF((YEAR(D23)+17)&lt;YEAR(E23),0,IF((YEAR(D23)+17)&gt;YEAR(E23),1,(12-MONTH(E23)+1)/12))) + (R23)*(IF((YEAR(D23)+17)&lt;YEAR(E23),0,IF((YEAR(D23)+17)&gt;YEAR(E23),1,(12-MONTH(E23)+1)/12))))-(IF(OR(N23="",N23&lt;=0),0,(O23/N23)*(IF(OR(N23="",N23&lt;=0),0,IF((YEAR(D23)+17)&lt;YEAR(E23),0,IF((YEAR(D23)+17)&gt;=YEAR(E23)+N23,0,IF((YEAR(D23)+17)=YEAR(E23),(12-MONTH(E23)+1)/12,1))))))))*TaxRate,0))-IF(17=0,O23,0))</f>
        <v/>
      </c>
      <c r="AK23" s="29">
        <f>IF(A23="","",((K23)*(IF(M23="",L23,IFERROR(IF(INDEX(Variablen!$I:$AT, MATCH(M23, Variablen!$A:$A, 0), MATCH((YEAR(D23)+18), Variablen!$I$3:$AT$3, 0))="",L23,INDEX(Variablen!$I:$AT, MATCH(M23, Variablen!$A:$A, 0), MATCH((YEAR(D23)+18), Variablen!$I$3:$AT$3, 0))),L23)))*(IF((YEAR(D23)+18)&lt;YEAR(E23),0,IF((YEAR(D23)+18)&gt;YEAR(E23),1,(12-MONTH(E23)+1)/12))) + (Q23)*(IF((YEAR(D23)+18)&lt;YEAR(E23),0,IF((YEAR(D23)+18)&gt;YEAR(E23),1,(12-MONTH(E23)+1)/12))))-((P23)*(IF((YEAR(D23)+18)&lt;YEAR(E23),0,IF((YEAR(D23)+18)&gt;YEAR(E23),1,(12-MONTH(E23)+1)/12))) + (R23)*(IF((YEAR(D23)+18)&lt;YEAR(E23),0,IF((YEAR(D23)+18)&gt;YEAR(E23),1,(12-MONTH(E23)+1)/12))))-(IF((((K23)*(IF(M23="",L23,IFERROR(IF(INDEX(Variablen!$I:$AT, MATCH(M23, Variablen!$A:$A, 0), MATCH((YEAR(D23)+18), Variablen!$I$3:$AT$3, 0))="",L23,INDEX(Variablen!$I:$AT, MATCH(M23, Variablen!$A:$A, 0), MATCH((YEAR(D23)+18), Variablen!$I$3:$AT$3, 0))),L23)))*(IF((YEAR(D23)+18)&lt;YEAR(E23),0,IF((YEAR(D23)+18)&gt;YEAR(E23),1,(12-MONTH(E23)+1)/12))) + (Q23)*(IF((YEAR(D23)+18)&lt;YEAR(E23),0,IF((YEAR(D23)+18)&gt;YEAR(E23),1,(12-MONTH(E23)+1)/12))))-((P23)*(IF((YEAR(D23)+18)&lt;YEAR(E23),0,IF((YEAR(D23)+18)&gt;YEAR(E23),1,(12-MONTH(E23)+1)/12))) + (R23)*(IF((YEAR(D23)+18)&lt;YEAR(E23),0,IF((YEAR(D23)+18)&gt;YEAR(E23),1,(12-MONTH(E23)+1)/12))))-(IF(OR(N23="",N23&lt;=0),0,(O23/N23)*(IF(OR(N23="",N23&lt;=0),0,IF((YEAR(D23)+18)&lt;YEAR(E23),0,IF((YEAR(D23)+18)&gt;=YEAR(E23)+N23,0,IF((YEAR(D23)+18)=YEAR(E23),(12-MONTH(E23)+1)/12,1))))))))&gt;0,(((K23)*(IF(M23="",L23,IFERROR(IF(INDEX(Variablen!$I:$AT, MATCH(M23, Variablen!$A:$A, 0), MATCH((YEAR(D23)+18), Variablen!$I$3:$AT$3, 0))="",L23,INDEX(Variablen!$I:$AT, MATCH(M23, Variablen!$A:$A, 0), MATCH((YEAR(D23)+18), Variablen!$I$3:$AT$3, 0))),L23)))*(IF((YEAR(D23)+18)&lt;YEAR(E23),0,IF((YEAR(D23)+18)&gt;YEAR(E23),1,(12-MONTH(E23)+1)/12))) + (Q23)*(IF((YEAR(D23)+18)&lt;YEAR(E23),0,IF((YEAR(D23)+18)&gt;YEAR(E23),1,(12-MONTH(E23)+1)/12))))-((P23)*(IF((YEAR(D23)+18)&lt;YEAR(E23),0,IF((YEAR(D23)+18)&gt;YEAR(E23),1,(12-MONTH(E23)+1)/12))) + (R23)*(IF((YEAR(D23)+18)&lt;YEAR(E23),0,IF((YEAR(D23)+18)&gt;YEAR(E23),1,(12-MONTH(E23)+1)/12))))-(IF(OR(N23="",N23&lt;=0),0,(O23/N23)*(IF(OR(N23="",N23&lt;=0),0,IF((YEAR(D23)+18)&lt;YEAR(E23),0,IF((YEAR(D23)+18)&gt;=YEAR(E23)+N23,0,IF((YEAR(D23)+18)=YEAR(E23),(12-MONTH(E23)+1)/12,1))))))))*TaxRate,0))-IF(18=0,O23,0))</f>
        <v/>
      </c>
      <c r="AL23" s="29">
        <f>IF(A23="","",((K23)*(IF(M23="",L23,IFERROR(IF(INDEX(Variablen!$I:$AT, MATCH(M23, Variablen!$A:$A, 0), MATCH((YEAR(D23)+19), Variablen!$I$3:$AT$3, 0))="",L23,INDEX(Variablen!$I:$AT, MATCH(M23, Variablen!$A:$A, 0), MATCH((YEAR(D23)+19), Variablen!$I$3:$AT$3, 0))),L23)))*(IF((YEAR(D23)+19)&lt;YEAR(E23),0,IF((YEAR(D23)+19)&gt;YEAR(E23),1,(12-MONTH(E23)+1)/12))) + (Q23)*(IF((YEAR(D23)+19)&lt;YEAR(E23),0,IF((YEAR(D23)+19)&gt;YEAR(E23),1,(12-MONTH(E23)+1)/12))))-((P23)*(IF((YEAR(D23)+19)&lt;YEAR(E23),0,IF((YEAR(D23)+19)&gt;YEAR(E23),1,(12-MONTH(E23)+1)/12))) + (R23)*(IF((YEAR(D23)+19)&lt;YEAR(E23),0,IF((YEAR(D23)+19)&gt;YEAR(E23),1,(12-MONTH(E23)+1)/12))))-(IF((((K23)*(IF(M23="",L23,IFERROR(IF(INDEX(Variablen!$I:$AT, MATCH(M23, Variablen!$A:$A, 0), MATCH((YEAR(D23)+19), Variablen!$I$3:$AT$3, 0))="",L23,INDEX(Variablen!$I:$AT, MATCH(M23, Variablen!$A:$A, 0), MATCH((YEAR(D23)+19), Variablen!$I$3:$AT$3, 0))),L23)))*(IF((YEAR(D23)+19)&lt;YEAR(E23),0,IF((YEAR(D23)+19)&gt;YEAR(E23),1,(12-MONTH(E23)+1)/12))) + (Q23)*(IF((YEAR(D23)+19)&lt;YEAR(E23),0,IF((YEAR(D23)+19)&gt;YEAR(E23),1,(12-MONTH(E23)+1)/12))))-((P23)*(IF((YEAR(D23)+19)&lt;YEAR(E23),0,IF((YEAR(D23)+19)&gt;YEAR(E23),1,(12-MONTH(E23)+1)/12))) + (R23)*(IF((YEAR(D23)+19)&lt;YEAR(E23),0,IF((YEAR(D23)+19)&gt;YEAR(E23),1,(12-MONTH(E23)+1)/12))))-(IF(OR(N23="",N23&lt;=0),0,(O23/N23)*(IF(OR(N23="",N23&lt;=0),0,IF((YEAR(D23)+19)&lt;YEAR(E23),0,IF((YEAR(D23)+19)&gt;=YEAR(E23)+N23,0,IF((YEAR(D23)+19)=YEAR(E23),(12-MONTH(E23)+1)/12,1))))))))&gt;0,(((K23)*(IF(M23="",L23,IFERROR(IF(INDEX(Variablen!$I:$AT, MATCH(M23, Variablen!$A:$A, 0), MATCH((YEAR(D23)+19), Variablen!$I$3:$AT$3, 0))="",L23,INDEX(Variablen!$I:$AT, MATCH(M23, Variablen!$A:$A, 0), MATCH((YEAR(D23)+19), Variablen!$I$3:$AT$3, 0))),L23)))*(IF((YEAR(D23)+19)&lt;YEAR(E23),0,IF((YEAR(D23)+19)&gt;YEAR(E23),1,(12-MONTH(E23)+1)/12))) + (Q23)*(IF((YEAR(D23)+19)&lt;YEAR(E23),0,IF((YEAR(D23)+19)&gt;YEAR(E23),1,(12-MONTH(E23)+1)/12))))-((P23)*(IF((YEAR(D23)+19)&lt;YEAR(E23),0,IF((YEAR(D23)+19)&gt;YEAR(E23),1,(12-MONTH(E23)+1)/12))) + (R23)*(IF((YEAR(D23)+19)&lt;YEAR(E23),0,IF((YEAR(D23)+19)&gt;YEAR(E23),1,(12-MONTH(E23)+1)/12))))-(IF(OR(N23="",N23&lt;=0),0,(O23/N23)*(IF(OR(N23="",N23&lt;=0),0,IF((YEAR(D23)+19)&lt;YEAR(E23),0,IF((YEAR(D23)+19)&gt;=YEAR(E23)+N23,0,IF((YEAR(D23)+19)=YEAR(E23),(12-MONTH(E23)+1)/12,1))))))))*TaxRate,0))-IF(19=0,O23,0))</f>
        <v/>
      </c>
      <c r="AM23" s="29">
        <f>IF(A23="","",((K23)*(IF(M23="",L23,IFERROR(IF(INDEX(Variablen!$I:$AT, MATCH(M23, Variablen!$A:$A, 0), MATCH((YEAR(D23)+20), Variablen!$I$3:$AT$3, 0))="",L23,INDEX(Variablen!$I:$AT, MATCH(M23, Variablen!$A:$A, 0), MATCH((YEAR(D23)+20), Variablen!$I$3:$AT$3, 0))),L23)))*(IF((YEAR(D23)+20)&lt;YEAR(E23),0,IF((YEAR(D23)+20)&gt;YEAR(E23),1,(12-MONTH(E23)+1)/12))) + (Q23)*(IF((YEAR(D23)+20)&lt;YEAR(E23),0,IF((YEAR(D23)+20)&gt;YEAR(E23),1,(12-MONTH(E23)+1)/12))))-((P23)*(IF((YEAR(D23)+20)&lt;YEAR(E23),0,IF((YEAR(D23)+20)&gt;YEAR(E23),1,(12-MONTH(E23)+1)/12))) + (R23)*(IF((YEAR(D23)+20)&lt;YEAR(E23),0,IF((YEAR(D23)+20)&gt;YEAR(E23),1,(12-MONTH(E23)+1)/12))))-(IF((((K23)*(IF(M23="",L23,IFERROR(IF(INDEX(Variablen!$I:$AT, MATCH(M23, Variablen!$A:$A, 0), MATCH((YEAR(D23)+20), Variablen!$I$3:$AT$3, 0))="",L23,INDEX(Variablen!$I:$AT, MATCH(M23, Variablen!$A:$A, 0), MATCH((YEAR(D23)+20), Variablen!$I$3:$AT$3, 0))),L23)))*(IF((YEAR(D23)+20)&lt;YEAR(E23),0,IF((YEAR(D23)+20)&gt;YEAR(E23),1,(12-MONTH(E23)+1)/12))) + (Q23)*(IF((YEAR(D23)+20)&lt;YEAR(E23),0,IF((YEAR(D23)+20)&gt;YEAR(E23),1,(12-MONTH(E23)+1)/12))))-((P23)*(IF((YEAR(D23)+20)&lt;YEAR(E23),0,IF((YEAR(D23)+20)&gt;YEAR(E23),1,(12-MONTH(E23)+1)/12))) + (R23)*(IF((YEAR(D23)+20)&lt;YEAR(E23),0,IF((YEAR(D23)+20)&gt;YEAR(E23),1,(12-MONTH(E23)+1)/12))))-(IF(OR(N23="",N23&lt;=0),0,(O23/N23)*(IF(OR(N23="",N23&lt;=0),0,IF((YEAR(D23)+20)&lt;YEAR(E23),0,IF((YEAR(D23)+20)&gt;=YEAR(E23)+N23,0,IF((YEAR(D23)+20)=YEAR(E23),(12-MONTH(E23)+1)/12,1))))))))&gt;0,(((K23)*(IF(M23="",L23,IFERROR(IF(INDEX(Variablen!$I:$AT, MATCH(M23, Variablen!$A:$A, 0), MATCH((YEAR(D23)+20), Variablen!$I$3:$AT$3, 0))="",L23,INDEX(Variablen!$I:$AT, MATCH(M23, Variablen!$A:$A, 0), MATCH((YEAR(D23)+20), Variablen!$I$3:$AT$3, 0))),L23)))*(IF((YEAR(D23)+20)&lt;YEAR(E23),0,IF((YEAR(D23)+20)&gt;YEAR(E23),1,(12-MONTH(E23)+1)/12))) + (Q23)*(IF((YEAR(D23)+20)&lt;YEAR(E23),0,IF((YEAR(D23)+20)&gt;YEAR(E23),1,(12-MONTH(E23)+1)/12))))-((P23)*(IF((YEAR(D23)+20)&lt;YEAR(E23),0,IF((YEAR(D23)+20)&gt;YEAR(E23),1,(12-MONTH(E23)+1)/12))) + (R23)*(IF((YEAR(D23)+20)&lt;YEAR(E23),0,IF((YEAR(D23)+20)&gt;YEAR(E23),1,(12-MONTH(E23)+1)/12))))-(IF(OR(N23="",N23&lt;=0),0,(O23/N23)*(IF(OR(N23="",N23&lt;=0),0,IF((YEAR(D23)+20)&lt;YEAR(E23),0,IF((YEAR(D23)+20)&gt;=YEAR(E23)+N23,0,IF((YEAR(D23)+20)=YEAR(E23),(12-MONTH(E23)+1)/12,1))))))))*TaxRate,0))-IF(20=0,O23,0))</f>
        <v/>
      </c>
      <c r="AN23" s="29">
        <f>IF(A23="","",S23)</f>
        <v/>
      </c>
      <c r="AO23" s="29">
        <f>IF(A23="","",AN23+T23)</f>
        <v/>
      </c>
      <c r="AP23" s="29">
        <f>IF(A23="","",AO23+U23)</f>
        <v/>
      </c>
      <c r="AQ23" s="29">
        <f>IF(A23="","",AP23+V23)</f>
        <v/>
      </c>
      <c r="AR23" s="29">
        <f>IF(A23="","",AQ23+W23)</f>
        <v/>
      </c>
      <c r="AS23" s="29">
        <f>IF(A23="","",AR23+X23)</f>
        <v/>
      </c>
      <c r="AT23" s="29">
        <f>IF(A23="","",AS23+Y23)</f>
        <v/>
      </c>
      <c r="AU23" s="29">
        <f>IF(A23="","",AT23+Z23)</f>
        <v/>
      </c>
      <c r="AV23" s="29">
        <f>IF(A23="","",AU23+AA23)</f>
        <v/>
      </c>
      <c r="AW23" s="29">
        <f>IF(A23="","",AV23+AB23)</f>
        <v/>
      </c>
      <c r="AX23" s="29">
        <f>IF(A23="","",AW23+AC23)</f>
        <v/>
      </c>
      <c r="AY23" s="29">
        <f>IF(A23="","",AX23+AD23)</f>
        <v/>
      </c>
      <c r="AZ23" s="29">
        <f>IF(A23="","",AY23+AE23)</f>
        <v/>
      </c>
      <c r="BA23" s="29">
        <f>IF(A23="","",AZ23+AF23)</f>
        <v/>
      </c>
      <c r="BB23" s="29">
        <f>IF(A23="","",BA23+AG23)</f>
        <v/>
      </c>
      <c r="BC23" s="29">
        <f>IF(A23="","",BB23+AH23)</f>
        <v/>
      </c>
      <c r="BD23" s="29">
        <f>IF(A23="","",BC23+AI23)</f>
        <v/>
      </c>
      <c r="BE23" s="29">
        <f>IF(A23="","",BD23+AJ23)</f>
        <v/>
      </c>
      <c r="BF23" s="29">
        <f>IF(A23="","",BE23+AK23)</f>
        <v/>
      </c>
      <c r="BG23" s="29">
        <f>IF(A23="","",BF23+AL23)</f>
        <v/>
      </c>
      <c r="BH23" s="29">
        <f>IF(A23="","",BG23+AM23)</f>
        <v/>
      </c>
      <c r="BI23" s="36">
        <f>IF(A23="","",(K23)*(IF((YEAR(D23)+0)&lt;YEAR(E23),0,IF((YEAR(D23)+0)&gt;YEAR(E23),1,(12-MONTH(E23)+1)/12)))*(1/(1+DiscountRate)^0))</f>
        <v/>
      </c>
      <c r="BJ23" s="36">
        <f>IF(A23="","",(K23)*(IF((YEAR(D23)+1)&lt;YEAR(E23),0,IF((YEAR(D23)+1)&gt;YEAR(E23),1,(12-MONTH(E23)+1)/12)))*(1/(1+DiscountRate)^1))</f>
        <v/>
      </c>
      <c r="BK23" s="36">
        <f>IF(A23="","",(K23)*(IF((YEAR(D23)+2)&lt;YEAR(E23),0,IF((YEAR(D23)+2)&gt;YEAR(E23),1,(12-MONTH(E23)+1)/12)))*(1/(1+DiscountRate)^2))</f>
        <v/>
      </c>
      <c r="BL23" s="36">
        <f>IF(A23="","",(K23)*(IF((YEAR(D23)+3)&lt;YEAR(E23),0,IF((YEAR(D23)+3)&gt;YEAR(E23),1,(12-MONTH(E23)+1)/12)))*(1/(1+DiscountRate)^3))</f>
        <v/>
      </c>
      <c r="BM23" s="36">
        <f>IF(A23="","",(K23)*(IF((YEAR(D23)+4)&lt;YEAR(E23),0,IF((YEAR(D23)+4)&gt;YEAR(E23),1,(12-MONTH(E23)+1)/12)))*(1/(1+DiscountRate)^4))</f>
        <v/>
      </c>
      <c r="BN23" s="36">
        <f>IF(A23="","",(K23)*(IF((YEAR(D23)+5)&lt;YEAR(E23),0,IF((YEAR(D23)+5)&gt;YEAR(E23),1,(12-MONTH(E23)+1)/12)))*(1/(1+DiscountRate)^5))</f>
        <v/>
      </c>
      <c r="BO23" s="36">
        <f>IF(A23="","",(K23)*(IF((YEAR(D23)+6)&lt;YEAR(E23),0,IF((YEAR(D23)+6)&gt;YEAR(E23),1,(12-MONTH(E23)+1)/12)))*(1/(1+DiscountRate)^6))</f>
        <v/>
      </c>
      <c r="BP23" s="36">
        <f>IF(A23="","",(K23)*(IF((YEAR(D23)+7)&lt;YEAR(E23),0,IF((YEAR(D23)+7)&gt;YEAR(E23),1,(12-MONTH(E23)+1)/12)))*(1/(1+DiscountRate)^7))</f>
        <v/>
      </c>
      <c r="BQ23" s="36">
        <f>IF(A23="","",(K23)*(IF((YEAR(D23)+8)&lt;YEAR(E23),0,IF((YEAR(D23)+8)&gt;YEAR(E23),1,(12-MONTH(E23)+1)/12)))*(1/(1+DiscountRate)^8))</f>
        <v/>
      </c>
      <c r="BR23" s="36">
        <f>IF(A23="","",(K23)*(IF((YEAR(D23)+9)&lt;YEAR(E23),0,IF((YEAR(D23)+9)&gt;YEAR(E23),1,(12-MONTH(E23)+1)/12)))*(1/(1+DiscountRate)^9))</f>
        <v/>
      </c>
      <c r="BS23" s="36">
        <f>IF(A23="","",(K23)*(IF((YEAR(D23)+10)&lt;YEAR(E23),0,IF((YEAR(D23)+10)&gt;YEAR(E23),1,(12-MONTH(E23)+1)/12)))*(1/(1+DiscountRate)^10))</f>
        <v/>
      </c>
      <c r="BT23" s="36">
        <f>IF(A23="","",(K23)*(IF((YEAR(D23)+11)&lt;YEAR(E23),0,IF((YEAR(D23)+11)&gt;YEAR(E23),1,(12-MONTH(E23)+1)/12)))*(1/(1+DiscountRate)^11))</f>
        <v/>
      </c>
      <c r="BU23" s="36">
        <f>IF(A23="","",(K23)*(IF((YEAR(D23)+12)&lt;YEAR(E23),0,IF((YEAR(D23)+12)&gt;YEAR(E23),1,(12-MONTH(E23)+1)/12)))*(1/(1+DiscountRate)^12))</f>
        <v/>
      </c>
      <c r="BV23" s="36">
        <f>IF(A23="","",(K23)*(IF((YEAR(D23)+13)&lt;YEAR(E23),0,IF((YEAR(D23)+13)&gt;YEAR(E23),1,(12-MONTH(E23)+1)/12)))*(1/(1+DiscountRate)^13))</f>
        <v/>
      </c>
      <c r="BW23" s="36">
        <f>IF(A23="","",(K23)*(IF((YEAR(D23)+14)&lt;YEAR(E23),0,IF((YEAR(D23)+14)&gt;YEAR(E23),1,(12-MONTH(E23)+1)/12)))*(1/(1+DiscountRate)^14))</f>
        <v/>
      </c>
      <c r="BX23" s="36">
        <f>IF(A23="","",(K23)*(IF((YEAR(D23)+15)&lt;YEAR(E23),0,IF((YEAR(D23)+15)&gt;YEAR(E23),1,(12-MONTH(E23)+1)/12)))*(1/(1+DiscountRate)^15))</f>
        <v/>
      </c>
      <c r="BY23" s="36">
        <f>IF(A23="","",(K23)*(IF((YEAR(D23)+16)&lt;YEAR(E23),0,IF((YEAR(D23)+16)&gt;YEAR(E23),1,(12-MONTH(E23)+1)/12)))*(1/(1+DiscountRate)^16))</f>
        <v/>
      </c>
      <c r="BZ23" s="36">
        <f>IF(A23="","",(K23)*(IF((YEAR(D23)+17)&lt;YEAR(E23),0,IF((YEAR(D23)+17)&gt;YEAR(E23),1,(12-MONTH(E23)+1)/12)))*(1/(1+DiscountRate)^17))</f>
        <v/>
      </c>
      <c r="CA23" s="36">
        <f>IF(A23="","",(K23)*(IF((YEAR(D23)+18)&lt;YEAR(E23),0,IF((YEAR(D23)+18)&gt;YEAR(E23),1,(12-MONTH(E23)+1)/12)))*(1/(1+DiscountRate)^18))</f>
        <v/>
      </c>
      <c r="CB23" s="36">
        <f>IF(A23="","",(K23)*(IF((YEAR(D23)+19)&lt;YEAR(E23),0,IF((YEAR(D23)+19)&gt;YEAR(E23),1,(12-MONTH(E23)+1)/12)))*(1/(1+DiscountRate)^19))</f>
        <v/>
      </c>
      <c r="CC23" s="36">
        <f>IF(A23="","",(K23)*(IF((YEAR(D23)+20)&lt;YEAR(E23),0,IF((YEAR(D23)+20)&gt;YEAR(E23),1,(12-MONTH(E23)+1)/12)))*(1/(1+DiscountRate)^20))</f>
        <v/>
      </c>
      <c r="CD23" s="29">
        <f>IF(A23="","",S23/(1+DiscountRate)^0+T23/(1+DiscountRate)^1+U23/(1+DiscountRate)^2+V23/(1+DiscountRate)^3+W23/(1+DiscountRate)^4+X23/(1+DiscountRate)^5+Y23/(1+DiscountRate)^6+Z23/(1+DiscountRate)^7+AA23/(1+DiscountRate)^8+AB23/(1+DiscountRate)^9+AC23/(1+DiscountRate)^10+AD23/(1+DiscountRate)^11+AE23/(1+DiscountRate)^12+AF23/(1+DiscountRate)^13+AG23/(1+DiscountRate)^14+AH23/(1+DiscountRate)^15+AI23/(1+DiscountRate)^16+AJ23/(1+DiscountRate)^17+AK23/(1+DiscountRate)^18+AL23/(1+DiscountRate)^19+AM23/(1+DiscountRate)^20)</f>
        <v/>
      </c>
      <c r="CE23" s="37">
        <f>IF(A23="","",IFERROR(IRR(OFFSET(S23,0,0,1,MIN(HorizonYears,20)+1)),"n/a"))</f>
        <v/>
      </c>
      <c r="CF23" s="28">
        <f>IF(A23="","",IFERROR(MATCH(TRUE,OFFSET(AN23,0,0,1,MIN(HorizonYears,20)+1)&gt;=0,0)-1,"n/a"))</f>
        <v/>
      </c>
      <c r="CG23" s="36">
        <f>IF(A23="","",SUM(OFFSET(BI23,0,0,1,MIN(HorizonYears,20)+1)))</f>
        <v/>
      </c>
      <c r="CH23" s="36">
        <f>IF(A23="","",IFERROR(-CD23/CG23,"n/a"))</f>
        <v/>
      </c>
    </row>
    <row r="24">
      <c r="A24" s="6">
        <f>Actions!A22</f>
        <v/>
      </c>
      <c r="B24" s="6">
        <f>Actions!B22</f>
        <v/>
      </c>
      <c r="C24" s="6">
        <f>Actions!D22</f>
        <v/>
      </c>
      <c r="D24" s="35">
        <f>Actions!E22</f>
        <v/>
      </c>
      <c r="E24" s="35">
        <f>Actions!F22</f>
        <v/>
      </c>
      <c r="F24" s="6">
        <f>Actions!G22</f>
        <v/>
      </c>
      <c r="G24" s="6">
        <f>Actions!H22</f>
        <v/>
      </c>
      <c r="H24" s="29">
        <f>Actions!I22</f>
        <v/>
      </c>
      <c r="I24" s="6">
        <f>Actions!J22</f>
        <v/>
      </c>
      <c r="J24" s="16">
        <f>Actions!K22</f>
        <v/>
      </c>
      <c r="K24" s="16">
        <f>IF(A24="","",IF(I24="%",H24*J24,J24))</f>
        <v/>
      </c>
      <c r="L24" s="16">
        <f>Actions!L22</f>
        <v/>
      </c>
      <c r="M24" s="6">
        <f>Actions!M22</f>
        <v/>
      </c>
      <c r="N24" s="28">
        <f>Actions!N22</f>
        <v/>
      </c>
      <c r="O24" s="29">
        <f>Actions!T22</f>
        <v/>
      </c>
      <c r="P24" s="29">
        <f>Actions!Y22</f>
        <v/>
      </c>
      <c r="Q24" s="29">
        <f>Actions!Z22</f>
        <v/>
      </c>
      <c r="R24" s="29">
        <f>Actions!AA22</f>
        <v/>
      </c>
      <c r="S24" s="29">
        <f>IF(A24="","",((K24)*(IF(M24="",L24,IFERROR(IF(INDEX(Variablen!$I:$AT, MATCH(M24, Variablen!$A:$A, 0), MATCH((YEAR(D24)+0), Variablen!$I$3:$AT$3, 0))="",L24,INDEX(Variablen!$I:$AT, MATCH(M24, Variablen!$A:$A, 0), MATCH((YEAR(D24)+0), Variablen!$I$3:$AT$3, 0))),L24)))*(IF((YEAR(D24)+0)&lt;YEAR(E24),0,IF((YEAR(D24)+0)&gt;YEAR(E24),1,(12-MONTH(E24)+1)/12))) + (Q24)*(IF((YEAR(D24)+0)&lt;YEAR(E24),0,IF((YEAR(D24)+0)&gt;YEAR(E24),1,(12-MONTH(E24)+1)/12))))-((P24)*(IF((YEAR(D24)+0)&lt;YEAR(E24),0,IF((YEAR(D24)+0)&gt;YEAR(E24),1,(12-MONTH(E24)+1)/12))) + (R24)*(IF((YEAR(D24)+0)&lt;YEAR(E24),0,IF((YEAR(D24)+0)&gt;YEAR(E24),1,(12-MONTH(E24)+1)/12))))-(IF((((K24)*(IF(M24="",L24,IFERROR(IF(INDEX(Variablen!$I:$AT, MATCH(M24, Variablen!$A:$A, 0), MATCH((YEAR(D24)+0), Variablen!$I$3:$AT$3, 0))="",L24,INDEX(Variablen!$I:$AT, MATCH(M24, Variablen!$A:$A, 0), MATCH((YEAR(D24)+0), Variablen!$I$3:$AT$3, 0))),L24)))*(IF((YEAR(D24)+0)&lt;YEAR(E24),0,IF((YEAR(D24)+0)&gt;YEAR(E24),1,(12-MONTH(E24)+1)/12))) + (Q24)*(IF((YEAR(D24)+0)&lt;YEAR(E24),0,IF((YEAR(D24)+0)&gt;YEAR(E24),1,(12-MONTH(E24)+1)/12))))-((P24)*(IF((YEAR(D24)+0)&lt;YEAR(E24),0,IF((YEAR(D24)+0)&gt;YEAR(E24),1,(12-MONTH(E24)+1)/12))) + (R24)*(IF((YEAR(D24)+0)&lt;YEAR(E24),0,IF((YEAR(D24)+0)&gt;YEAR(E24),1,(12-MONTH(E24)+1)/12))))-(IF(OR(N24="",N24&lt;=0),0,(O24/N24)*(IF(OR(N24="",N24&lt;=0),0,IF((YEAR(D24)+0)&lt;YEAR(E24),0,IF((YEAR(D24)+0)&gt;=YEAR(E24)+N24,0,IF((YEAR(D24)+0)=YEAR(E24),(12-MONTH(E24)+1)/12,1))))))))&gt;0,(((K24)*(IF(M24="",L24,IFERROR(IF(INDEX(Variablen!$I:$AT, MATCH(M24, Variablen!$A:$A, 0), MATCH((YEAR(D24)+0), Variablen!$I$3:$AT$3, 0))="",L24,INDEX(Variablen!$I:$AT, MATCH(M24, Variablen!$A:$A, 0), MATCH((YEAR(D24)+0), Variablen!$I$3:$AT$3, 0))),L24)))*(IF((YEAR(D24)+0)&lt;YEAR(E24),0,IF((YEAR(D24)+0)&gt;YEAR(E24),1,(12-MONTH(E24)+1)/12))) + (Q24)*(IF((YEAR(D24)+0)&lt;YEAR(E24),0,IF((YEAR(D24)+0)&gt;YEAR(E24),1,(12-MONTH(E24)+1)/12))))-((P24)*(IF((YEAR(D24)+0)&lt;YEAR(E24),0,IF((YEAR(D24)+0)&gt;YEAR(E24),1,(12-MONTH(E24)+1)/12))) + (R24)*(IF((YEAR(D24)+0)&lt;YEAR(E24),0,IF((YEAR(D24)+0)&gt;YEAR(E24),1,(12-MONTH(E24)+1)/12))))-(IF(OR(N24="",N24&lt;=0),0,(O24/N24)*(IF(OR(N24="",N24&lt;=0),0,IF((YEAR(D24)+0)&lt;YEAR(E24),0,IF((YEAR(D24)+0)&gt;=YEAR(E24)+N24,0,IF((YEAR(D24)+0)=YEAR(E24),(12-MONTH(E24)+1)/12,1))))))))*TaxRate,0))-IF(0=0,O24,0))</f>
        <v/>
      </c>
      <c r="T24" s="29">
        <f>IF(A24="","",((K24)*(IF(M24="",L24,IFERROR(IF(INDEX(Variablen!$I:$AT, MATCH(M24, Variablen!$A:$A, 0), MATCH((YEAR(D24)+1), Variablen!$I$3:$AT$3, 0))="",L24,INDEX(Variablen!$I:$AT, MATCH(M24, Variablen!$A:$A, 0), MATCH((YEAR(D24)+1), Variablen!$I$3:$AT$3, 0))),L24)))*(IF((YEAR(D24)+1)&lt;YEAR(E24),0,IF((YEAR(D24)+1)&gt;YEAR(E24),1,(12-MONTH(E24)+1)/12))) + (Q24)*(IF((YEAR(D24)+1)&lt;YEAR(E24),0,IF((YEAR(D24)+1)&gt;YEAR(E24),1,(12-MONTH(E24)+1)/12))))-((P24)*(IF((YEAR(D24)+1)&lt;YEAR(E24),0,IF((YEAR(D24)+1)&gt;YEAR(E24),1,(12-MONTH(E24)+1)/12))) + (R24)*(IF((YEAR(D24)+1)&lt;YEAR(E24),0,IF((YEAR(D24)+1)&gt;YEAR(E24),1,(12-MONTH(E24)+1)/12))))-(IF((((K24)*(IF(M24="",L24,IFERROR(IF(INDEX(Variablen!$I:$AT, MATCH(M24, Variablen!$A:$A, 0), MATCH((YEAR(D24)+1), Variablen!$I$3:$AT$3, 0))="",L24,INDEX(Variablen!$I:$AT, MATCH(M24, Variablen!$A:$A, 0), MATCH((YEAR(D24)+1), Variablen!$I$3:$AT$3, 0))),L24)))*(IF((YEAR(D24)+1)&lt;YEAR(E24),0,IF((YEAR(D24)+1)&gt;YEAR(E24),1,(12-MONTH(E24)+1)/12))) + (Q24)*(IF((YEAR(D24)+1)&lt;YEAR(E24),0,IF((YEAR(D24)+1)&gt;YEAR(E24),1,(12-MONTH(E24)+1)/12))))-((P24)*(IF((YEAR(D24)+1)&lt;YEAR(E24),0,IF((YEAR(D24)+1)&gt;YEAR(E24),1,(12-MONTH(E24)+1)/12))) + (R24)*(IF((YEAR(D24)+1)&lt;YEAR(E24),0,IF((YEAR(D24)+1)&gt;YEAR(E24),1,(12-MONTH(E24)+1)/12))))-(IF(OR(N24="",N24&lt;=0),0,(O24/N24)*(IF(OR(N24="",N24&lt;=0),0,IF((YEAR(D24)+1)&lt;YEAR(E24),0,IF((YEAR(D24)+1)&gt;=YEAR(E24)+N24,0,IF((YEAR(D24)+1)=YEAR(E24),(12-MONTH(E24)+1)/12,1))))))))&gt;0,(((K24)*(IF(M24="",L24,IFERROR(IF(INDEX(Variablen!$I:$AT, MATCH(M24, Variablen!$A:$A, 0), MATCH((YEAR(D24)+1), Variablen!$I$3:$AT$3, 0))="",L24,INDEX(Variablen!$I:$AT, MATCH(M24, Variablen!$A:$A, 0), MATCH((YEAR(D24)+1), Variablen!$I$3:$AT$3, 0))),L24)))*(IF((YEAR(D24)+1)&lt;YEAR(E24),0,IF((YEAR(D24)+1)&gt;YEAR(E24),1,(12-MONTH(E24)+1)/12))) + (Q24)*(IF((YEAR(D24)+1)&lt;YEAR(E24),0,IF((YEAR(D24)+1)&gt;YEAR(E24),1,(12-MONTH(E24)+1)/12))))-((P24)*(IF((YEAR(D24)+1)&lt;YEAR(E24),0,IF((YEAR(D24)+1)&gt;YEAR(E24),1,(12-MONTH(E24)+1)/12))) + (R24)*(IF((YEAR(D24)+1)&lt;YEAR(E24),0,IF((YEAR(D24)+1)&gt;YEAR(E24),1,(12-MONTH(E24)+1)/12))))-(IF(OR(N24="",N24&lt;=0),0,(O24/N24)*(IF(OR(N24="",N24&lt;=0),0,IF((YEAR(D24)+1)&lt;YEAR(E24),0,IF((YEAR(D24)+1)&gt;=YEAR(E24)+N24,0,IF((YEAR(D24)+1)=YEAR(E24),(12-MONTH(E24)+1)/12,1))))))))*TaxRate,0))-IF(1=0,O24,0))</f>
        <v/>
      </c>
      <c r="U24" s="29">
        <f>IF(A24="","",((K24)*(IF(M24="",L24,IFERROR(IF(INDEX(Variablen!$I:$AT, MATCH(M24, Variablen!$A:$A, 0), MATCH((YEAR(D24)+2), Variablen!$I$3:$AT$3, 0))="",L24,INDEX(Variablen!$I:$AT, MATCH(M24, Variablen!$A:$A, 0), MATCH((YEAR(D24)+2), Variablen!$I$3:$AT$3, 0))),L24)))*(IF((YEAR(D24)+2)&lt;YEAR(E24),0,IF((YEAR(D24)+2)&gt;YEAR(E24),1,(12-MONTH(E24)+1)/12))) + (Q24)*(IF((YEAR(D24)+2)&lt;YEAR(E24),0,IF((YEAR(D24)+2)&gt;YEAR(E24),1,(12-MONTH(E24)+1)/12))))-((P24)*(IF((YEAR(D24)+2)&lt;YEAR(E24),0,IF((YEAR(D24)+2)&gt;YEAR(E24),1,(12-MONTH(E24)+1)/12))) + (R24)*(IF((YEAR(D24)+2)&lt;YEAR(E24),0,IF((YEAR(D24)+2)&gt;YEAR(E24),1,(12-MONTH(E24)+1)/12))))-(IF((((K24)*(IF(M24="",L24,IFERROR(IF(INDEX(Variablen!$I:$AT, MATCH(M24, Variablen!$A:$A, 0), MATCH((YEAR(D24)+2), Variablen!$I$3:$AT$3, 0))="",L24,INDEX(Variablen!$I:$AT, MATCH(M24, Variablen!$A:$A, 0), MATCH((YEAR(D24)+2), Variablen!$I$3:$AT$3, 0))),L24)))*(IF((YEAR(D24)+2)&lt;YEAR(E24),0,IF((YEAR(D24)+2)&gt;YEAR(E24),1,(12-MONTH(E24)+1)/12))) + (Q24)*(IF((YEAR(D24)+2)&lt;YEAR(E24),0,IF((YEAR(D24)+2)&gt;YEAR(E24),1,(12-MONTH(E24)+1)/12))))-((P24)*(IF((YEAR(D24)+2)&lt;YEAR(E24),0,IF((YEAR(D24)+2)&gt;YEAR(E24),1,(12-MONTH(E24)+1)/12))) + (R24)*(IF((YEAR(D24)+2)&lt;YEAR(E24),0,IF((YEAR(D24)+2)&gt;YEAR(E24),1,(12-MONTH(E24)+1)/12))))-(IF(OR(N24="",N24&lt;=0),0,(O24/N24)*(IF(OR(N24="",N24&lt;=0),0,IF((YEAR(D24)+2)&lt;YEAR(E24),0,IF((YEAR(D24)+2)&gt;=YEAR(E24)+N24,0,IF((YEAR(D24)+2)=YEAR(E24),(12-MONTH(E24)+1)/12,1))))))))&gt;0,(((K24)*(IF(M24="",L24,IFERROR(IF(INDEX(Variablen!$I:$AT, MATCH(M24, Variablen!$A:$A, 0), MATCH((YEAR(D24)+2), Variablen!$I$3:$AT$3, 0))="",L24,INDEX(Variablen!$I:$AT, MATCH(M24, Variablen!$A:$A, 0), MATCH((YEAR(D24)+2), Variablen!$I$3:$AT$3, 0))),L24)))*(IF((YEAR(D24)+2)&lt;YEAR(E24),0,IF((YEAR(D24)+2)&gt;YEAR(E24),1,(12-MONTH(E24)+1)/12))) + (Q24)*(IF((YEAR(D24)+2)&lt;YEAR(E24),0,IF((YEAR(D24)+2)&gt;YEAR(E24),1,(12-MONTH(E24)+1)/12))))-((P24)*(IF((YEAR(D24)+2)&lt;YEAR(E24),0,IF((YEAR(D24)+2)&gt;YEAR(E24),1,(12-MONTH(E24)+1)/12))) + (R24)*(IF((YEAR(D24)+2)&lt;YEAR(E24),0,IF((YEAR(D24)+2)&gt;YEAR(E24),1,(12-MONTH(E24)+1)/12))))-(IF(OR(N24="",N24&lt;=0),0,(O24/N24)*(IF(OR(N24="",N24&lt;=0),0,IF((YEAR(D24)+2)&lt;YEAR(E24),0,IF((YEAR(D24)+2)&gt;=YEAR(E24)+N24,0,IF((YEAR(D24)+2)=YEAR(E24),(12-MONTH(E24)+1)/12,1))))))))*TaxRate,0))-IF(2=0,O24,0))</f>
        <v/>
      </c>
      <c r="V24" s="29">
        <f>IF(A24="","",((K24)*(IF(M24="",L24,IFERROR(IF(INDEX(Variablen!$I:$AT, MATCH(M24, Variablen!$A:$A, 0), MATCH((YEAR(D24)+3), Variablen!$I$3:$AT$3, 0))="",L24,INDEX(Variablen!$I:$AT, MATCH(M24, Variablen!$A:$A, 0), MATCH((YEAR(D24)+3), Variablen!$I$3:$AT$3, 0))),L24)))*(IF((YEAR(D24)+3)&lt;YEAR(E24),0,IF((YEAR(D24)+3)&gt;YEAR(E24),1,(12-MONTH(E24)+1)/12))) + (Q24)*(IF((YEAR(D24)+3)&lt;YEAR(E24),0,IF((YEAR(D24)+3)&gt;YEAR(E24),1,(12-MONTH(E24)+1)/12))))-((P24)*(IF((YEAR(D24)+3)&lt;YEAR(E24),0,IF((YEAR(D24)+3)&gt;YEAR(E24),1,(12-MONTH(E24)+1)/12))) + (R24)*(IF((YEAR(D24)+3)&lt;YEAR(E24),0,IF((YEAR(D24)+3)&gt;YEAR(E24),1,(12-MONTH(E24)+1)/12))))-(IF((((K24)*(IF(M24="",L24,IFERROR(IF(INDEX(Variablen!$I:$AT, MATCH(M24, Variablen!$A:$A, 0), MATCH((YEAR(D24)+3), Variablen!$I$3:$AT$3, 0))="",L24,INDEX(Variablen!$I:$AT, MATCH(M24, Variablen!$A:$A, 0), MATCH((YEAR(D24)+3), Variablen!$I$3:$AT$3, 0))),L24)))*(IF((YEAR(D24)+3)&lt;YEAR(E24),0,IF((YEAR(D24)+3)&gt;YEAR(E24),1,(12-MONTH(E24)+1)/12))) + (Q24)*(IF((YEAR(D24)+3)&lt;YEAR(E24),0,IF((YEAR(D24)+3)&gt;YEAR(E24),1,(12-MONTH(E24)+1)/12))))-((P24)*(IF((YEAR(D24)+3)&lt;YEAR(E24),0,IF((YEAR(D24)+3)&gt;YEAR(E24),1,(12-MONTH(E24)+1)/12))) + (R24)*(IF((YEAR(D24)+3)&lt;YEAR(E24),0,IF((YEAR(D24)+3)&gt;YEAR(E24),1,(12-MONTH(E24)+1)/12))))-(IF(OR(N24="",N24&lt;=0),0,(O24/N24)*(IF(OR(N24="",N24&lt;=0),0,IF((YEAR(D24)+3)&lt;YEAR(E24),0,IF((YEAR(D24)+3)&gt;=YEAR(E24)+N24,0,IF((YEAR(D24)+3)=YEAR(E24),(12-MONTH(E24)+1)/12,1))))))))&gt;0,(((K24)*(IF(M24="",L24,IFERROR(IF(INDEX(Variablen!$I:$AT, MATCH(M24, Variablen!$A:$A, 0), MATCH((YEAR(D24)+3), Variablen!$I$3:$AT$3, 0))="",L24,INDEX(Variablen!$I:$AT, MATCH(M24, Variablen!$A:$A, 0), MATCH((YEAR(D24)+3), Variablen!$I$3:$AT$3, 0))),L24)))*(IF((YEAR(D24)+3)&lt;YEAR(E24),0,IF((YEAR(D24)+3)&gt;YEAR(E24),1,(12-MONTH(E24)+1)/12))) + (Q24)*(IF((YEAR(D24)+3)&lt;YEAR(E24),0,IF((YEAR(D24)+3)&gt;YEAR(E24),1,(12-MONTH(E24)+1)/12))))-((P24)*(IF((YEAR(D24)+3)&lt;YEAR(E24),0,IF((YEAR(D24)+3)&gt;YEAR(E24),1,(12-MONTH(E24)+1)/12))) + (R24)*(IF((YEAR(D24)+3)&lt;YEAR(E24),0,IF((YEAR(D24)+3)&gt;YEAR(E24),1,(12-MONTH(E24)+1)/12))))-(IF(OR(N24="",N24&lt;=0),0,(O24/N24)*(IF(OR(N24="",N24&lt;=0),0,IF((YEAR(D24)+3)&lt;YEAR(E24),0,IF((YEAR(D24)+3)&gt;=YEAR(E24)+N24,0,IF((YEAR(D24)+3)=YEAR(E24),(12-MONTH(E24)+1)/12,1))))))))*TaxRate,0))-IF(3=0,O24,0))</f>
        <v/>
      </c>
      <c r="W24" s="29">
        <f>IF(A24="","",((K24)*(IF(M24="",L24,IFERROR(IF(INDEX(Variablen!$I:$AT, MATCH(M24, Variablen!$A:$A, 0), MATCH((YEAR(D24)+4), Variablen!$I$3:$AT$3, 0))="",L24,INDEX(Variablen!$I:$AT, MATCH(M24, Variablen!$A:$A, 0), MATCH((YEAR(D24)+4), Variablen!$I$3:$AT$3, 0))),L24)))*(IF((YEAR(D24)+4)&lt;YEAR(E24),0,IF((YEAR(D24)+4)&gt;YEAR(E24),1,(12-MONTH(E24)+1)/12))) + (Q24)*(IF((YEAR(D24)+4)&lt;YEAR(E24),0,IF((YEAR(D24)+4)&gt;YEAR(E24),1,(12-MONTH(E24)+1)/12))))-((P24)*(IF((YEAR(D24)+4)&lt;YEAR(E24),0,IF((YEAR(D24)+4)&gt;YEAR(E24),1,(12-MONTH(E24)+1)/12))) + (R24)*(IF((YEAR(D24)+4)&lt;YEAR(E24),0,IF((YEAR(D24)+4)&gt;YEAR(E24),1,(12-MONTH(E24)+1)/12))))-(IF((((K24)*(IF(M24="",L24,IFERROR(IF(INDEX(Variablen!$I:$AT, MATCH(M24, Variablen!$A:$A, 0), MATCH((YEAR(D24)+4), Variablen!$I$3:$AT$3, 0))="",L24,INDEX(Variablen!$I:$AT, MATCH(M24, Variablen!$A:$A, 0), MATCH((YEAR(D24)+4), Variablen!$I$3:$AT$3, 0))),L24)))*(IF((YEAR(D24)+4)&lt;YEAR(E24),0,IF((YEAR(D24)+4)&gt;YEAR(E24),1,(12-MONTH(E24)+1)/12))) + (Q24)*(IF((YEAR(D24)+4)&lt;YEAR(E24),0,IF((YEAR(D24)+4)&gt;YEAR(E24),1,(12-MONTH(E24)+1)/12))))-((P24)*(IF((YEAR(D24)+4)&lt;YEAR(E24),0,IF((YEAR(D24)+4)&gt;YEAR(E24),1,(12-MONTH(E24)+1)/12))) + (R24)*(IF((YEAR(D24)+4)&lt;YEAR(E24),0,IF((YEAR(D24)+4)&gt;YEAR(E24),1,(12-MONTH(E24)+1)/12))))-(IF(OR(N24="",N24&lt;=0),0,(O24/N24)*(IF(OR(N24="",N24&lt;=0),0,IF((YEAR(D24)+4)&lt;YEAR(E24),0,IF((YEAR(D24)+4)&gt;=YEAR(E24)+N24,0,IF((YEAR(D24)+4)=YEAR(E24),(12-MONTH(E24)+1)/12,1))))))))&gt;0,(((K24)*(IF(M24="",L24,IFERROR(IF(INDEX(Variablen!$I:$AT, MATCH(M24, Variablen!$A:$A, 0), MATCH((YEAR(D24)+4), Variablen!$I$3:$AT$3, 0))="",L24,INDEX(Variablen!$I:$AT, MATCH(M24, Variablen!$A:$A, 0), MATCH((YEAR(D24)+4), Variablen!$I$3:$AT$3, 0))),L24)))*(IF((YEAR(D24)+4)&lt;YEAR(E24),0,IF((YEAR(D24)+4)&gt;YEAR(E24),1,(12-MONTH(E24)+1)/12))) + (Q24)*(IF((YEAR(D24)+4)&lt;YEAR(E24),0,IF((YEAR(D24)+4)&gt;YEAR(E24),1,(12-MONTH(E24)+1)/12))))-((P24)*(IF((YEAR(D24)+4)&lt;YEAR(E24),0,IF((YEAR(D24)+4)&gt;YEAR(E24),1,(12-MONTH(E24)+1)/12))) + (R24)*(IF((YEAR(D24)+4)&lt;YEAR(E24),0,IF((YEAR(D24)+4)&gt;YEAR(E24),1,(12-MONTH(E24)+1)/12))))-(IF(OR(N24="",N24&lt;=0),0,(O24/N24)*(IF(OR(N24="",N24&lt;=0),0,IF((YEAR(D24)+4)&lt;YEAR(E24),0,IF((YEAR(D24)+4)&gt;=YEAR(E24)+N24,0,IF((YEAR(D24)+4)=YEAR(E24),(12-MONTH(E24)+1)/12,1))))))))*TaxRate,0))-IF(4=0,O24,0))</f>
        <v/>
      </c>
      <c r="X24" s="29">
        <f>IF(A24="","",((K24)*(IF(M24="",L24,IFERROR(IF(INDEX(Variablen!$I:$AT, MATCH(M24, Variablen!$A:$A, 0), MATCH((YEAR(D24)+5), Variablen!$I$3:$AT$3, 0))="",L24,INDEX(Variablen!$I:$AT, MATCH(M24, Variablen!$A:$A, 0), MATCH((YEAR(D24)+5), Variablen!$I$3:$AT$3, 0))),L24)))*(IF((YEAR(D24)+5)&lt;YEAR(E24),0,IF((YEAR(D24)+5)&gt;YEAR(E24),1,(12-MONTH(E24)+1)/12))) + (Q24)*(IF((YEAR(D24)+5)&lt;YEAR(E24),0,IF((YEAR(D24)+5)&gt;YEAR(E24),1,(12-MONTH(E24)+1)/12))))-((P24)*(IF((YEAR(D24)+5)&lt;YEAR(E24),0,IF((YEAR(D24)+5)&gt;YEAR(E24),1,(12-MONTH(E24)+1)/12))) + (R24)*(IF((YEAR(D24)+5)&lt;YEAR(E24),0,IF((YEAR(D24)+5)&gt;YEAR(E24),1,(12-MONTH(E24)+1)/12))))-(IF((((K24)*(IF(M24="",L24,IFERROR(IF(INDEX(Variablen!$I:$AT, MATCH(M24, Variablen!$A:$A, 0), MATCH((YEAR(D24)+5), Variablen!$I$3:$AT$3, 0))="",L24,INDEX(Variablen!$I:$AT, MATCH(M24, Variablen!$A:$A, 0), MATCH((YEAR(D24)+5), Variablen!$I$3:$AT$3, 0))),L24)))*(IF((YEAR(D24)+5)&lt;YEAR(E24),0,IF((YEAR(D24)+5)&gt;YEAR(E24),1,(12-MONTH(E24)+1)/12))) + (Q24)*(IF((YEAR(D24)+5)&lt;YEAR(E24),0,IF((YEAR(D24)+5)&gt;YEAR(E24),1,(12-MONTH(E24)+1)/12))))-((P24)*(IF((YEAR(D24)+5)&lt;YEAR(E24),0,IF((YEAR(D24)+5)&gt;YEAR(E24),1,(12-MONTH(E24)+1)/12))) + (R24)*(IF((YEAR(D24)+5)&lt;YEAR(E24),0,IF((YEAR(D24)+5)&gt;YEAR(E24),1,(12-MONTH(E24)+1)/12))))-(IF(OR(N24="",N24&lt;=0),0,(O24/N24)*(IF(OR(N24="",N24&lt;=0),0,IF((YEAR(D24)+5)&lt;YEAR(E24),0,IF((YEAR(D24)+5)&gt;=YEAR(E24)+N24,0,IF((YEAR(D24)+5)=YEAR(E24),(12-MONTH(E24)+1)/12,1))))))))&gt;0,(((K24)*(IF(M24="",L24,IFERROR(IF(INDEX(Variablen!$I:$AT, MATCH(M24, Variablen!$A:$A, 0), MATCH((YEAR(D24)+5), Variablen!$I$3:$AT$3, 0))="",L24,INDEX(Variablen!$I:$AT, MATCH(M24, Variablen!$A:$A, 0), MATCH((YEAR(D24)+5), Variablen!$I$3:$AT$3, 0))),L24)))*(IF((YEAR(D24)+5)&lt;YEAR(E24),0,IF((YEAR(D24)+5)&gt;YEAR(E24),1,(12-MONTH(E24)+1)/12))) + (Q24)*(IF((YEAR(D24)+5)&lt;YEAR(E24),0,IF((YEAR(D24)+5)&gt;YEAR(E24),1,(12-MONTH(E24)+1)/12))))-((P24)*(IF((YEAR(D24)+5)&lt;YEAR(E24),0,IF((YEAR(D24)+5)&gt;YEAR(E24),1,(12-MONTH(E24)+1)/12))) + (R24)*(IF((YEAR(D24)+5)&lt;YEAR(E24),0,IF((YEAR(D24)+5)&gt;YEAR(E24),1,(12-MONTH(E24)+1)/12))))-(IF(OR(N24="",N24&lt;=0),0,(O24/N24)*(IF(OR(N24="",N24&lt;=0),0,IF((YEAR(D24)+5)&lt;YEAR(E24),0,IF((YEAR(D24)+5)&gt;=YEAR(E24)+N24,0,IF((YEAR(D24)+5)=YEAR(E24),(12-MONTH(E24)+1)/12,1))))))))*TaxRate,0))-IF(5=0,O24,0))</f>
        <v/>
      </c>
      <c r="Y24" s="29">
        <f>IF(A24="","",((K24)*(IF(M24="",L24,IFERROR(IF(INDEX(Variablen!$I:$AT, MATCH(M24, Variablen!$A:$A, 0), MATCH((YEAR(D24)+6), Variablen!$I$3:$AT$3, 0))="",L24,INDEX(Variablen!$I:$AT, MATCH(M24, Variablen!$A:$A, 0), MATCH((YEAR(D24)+6), Variablen!$I$3:$AT$3, 0))),L24)))*(IF((YEAR(D24)+6)&lt;YEAR(E24),0,IF((YEAR(D24)+6)&gt;YEAR(E24),1,(12-MONTH(E24)+1)/12))) + (Q24)*(IF((YEAR(D24)+6)&lt;YEAR(E24),0,IF((YEAR(D24)+6)&gt;YEAR(E24),1,(12-MONTH(E24)+1)/12))))-((P24)*(IF((YEAR(D24)+6)&lt;YEAR(E24),0,IF((YEAR(D24)+6)&gt;YEAR(E24),1,(12-MONTH(E24)+1)/12))) + (R24)*(IF((YEAR(D24)+6)&lt;YEAR(E24),0,IF((YEAR(D24)+6)&gt;YEAR(E24),1,(12-MONTH(E24)+1)/12))))-(IF((((K24)*(IF(M24="",L24,IFERROR(IF(INDEX(Variablen!$I:$AT, MATCH(M24, Variablen!$A:$A, 0), MATCH((YEAR(D24)+6), Variablen!$I$3:$AT$3, 0))="",L24,INDEX(Variablen!$I:$AT, MATCH(M24, Variablen!$A:$A, 0), MATCH((YEAR(D24)+6), Variablen!$I$3:$AT$3, 0))),L24)))*(IF((YEAR(D24)+6)&lt;YEAR(E24),0,IF((YEAR(D24)+6)&gt;YEAR(E24),1,(12-MONTH(E24)+1)/12))) + (Q24)*(IF((YEAR(D24)+6)&lt;YEAR(E24),0,IF((YEAR(D24)+6)&gt;YEAR(E24),1,(12-MONTH(E24)+1)/12))))-((P24)*(IF((YEAR(D24)+6)&lt;YEAR(E24),0,IF((YEAR(D24)+6)&gt;YEAR(E24),1,(12-MONTH(E24)+1)/12))) + (R24)*(IF((YEAR(D24)+6)&lt;YEAR(E24),0,IF((YEAR(D24)+6)&gt;YEAR(E24),1,(12-MONTH(E24)+1)/12))))-(IF(OR(N24="",N24&lt;=0),0,(O24/N24)*(IF(OR(N24="",N24&lt;=0),0,IF((YEAR(D24)+6)&lt;YEAR(E24),0,IF((YEAR(D24)+6)&gt;=YEAR(E24)+N24,0,IF((YEAR(D24)+6)=YEAR(E24),(12-MONTH(E24)+1)/12,1))))))))&gt;0,(((K24)*(IF(M24="",L24,IFERROR(IF(INDEX(Variablen!$I:$AT, MATCH(M24, Variablen!$A:$A, 0), MATCH((YEAR(D24)+6), Variablen!$I$3:$AT$3, 0))="",L24,INDEX(Variablen!$I:$AT, MATCH(M24, Variablen!$A:$A, 0), MATCH((YEAR(D24)+6), Variablen!$I$3:$AT$3, 0))),L24)))*(IF((YEAR(D24)+6)&lt;YEAR(E24),0,IF((YEAR(D24)+6)&gt;YEAR(E24),1,(12-MONTH(E24)+1)/12))) + (Q24)*(IF((YEAR(D24)+6)&lt;YEAR(E24),0,IF((YEAR(D24)+6)&gt;YEAR(E24),1,(12-MONTH(E24)+1)/12))))-((P24)*(IF((YEAR(D24)+6)&lt;YEAR(E24),0,IF((YEAR(D24)+6)&gt;YEAR(E24),1,(12-MONTH(E24)+1)/12))) + (R24)*(IF((YEAR(D24)+6)&lt;YEAR(E24),0,IF((YEAR(D24)+6)&gt;YEAR(E24),1,(12-MONTH(E24)+1)/12))))-(IF(OR(N24="",N24&lt;=0),0,(O24/N24)*(IF(OR(N24="",N24&lt;=0),0,IF((YEAR(D24)+6)&lt;YEAR(E24),0,IF((YEAR(D24)+6)&gt;=YEAR(E24)+N24,0,IF((YEAR(D24)+6)=YEAR(E24),(12-MONTH(E24)+1)/12,1))))))))*TaxRate,0))-IF(6=0,O24,0))</f>
        <v/>
      </c>
      <c r="Z24" s="29">
        <f>IF(A24="","",((K24)*(IF(M24="",L24,IFERROR(IF(INDEX(Variablen!$I:$AT, MATCH(M24, Variablen!$A:$A, 0), MATCH((YEAR(D24)+7), Variablen!$I$3:$AT$3, 0))="",L24,INDEX(Variablen!$I:$AT, MATCH(M24, Variablen!$A:$A, 0), MATCH((YEAR(D24)+7), Variablen!$I$3:$AT$3, 0))),L24)))*(IF((YEAR(D24)+7)&lt;YEAR(E24),0,IF((YEAR(D24)+7)&gt;YEAR(E24),1,(12-MONTH(E24)+1)/12))) + (Q24)*(IF((YEAR(D24)+7)&lt;YEAR(E24),0,IF((YEAR(D24)+7)&gt;YEAR(E24),1,(12-MONTH(E24)+1)/12))))-((P24)*(IF((YEAR(D24)+7)&lt;YEAR(E24),0,IF((YEAR(D24)+7)&gt;YEAR(E24),1,(12-MONTH(E24)+1)/12))) + (R24)*(IF((YEAR(D24)+7)&lt;YEAR(E24),0,IF((YEAR(D24)+7)&gt;YEAR(E24),1,(12-MONTH(E24)+1)/12))))-(IF((((K24)*(IF(M24="",L24,IFERROR(IF(INDEX(Variablen!$I:$AT, MATCH(M24, Variablen!$A:$A, 0), MATCH((YEAR(D24)+7), Variablen!$I$3:$AT$3, 0))="",L24,INDEX(Variablen!$I:$AT, MATCH(M24, Variablen!$A:$A, 0), MATCH((YEAR(D24)+7), Variablen!$I$3:$AT$3, 0))),L24)))*(IF((YEAR(D24)+7)&lt;YEAR(E24),0,IF((YEAR(D24)+7)&gt;YEAR(E24),1,(12-MONTH(E24)+1)/12))) + (Q24)*(IF((YEAR(D24)+7)&lt;YEAR(E24),0,IF((YEAR(D24)+7)&gt;YEAR(E24),1,(12-MONTH(E24)+1)/12))))-((P24)*(IF((YEAR(D24)+7)&lt;YEAR(E24),0,IF((YEAR(D24)+7)&gt;YEAR(E24),1,(12-MONTH(E24)+1)/12))) + (R24)*(IF((YEAR(D24)+7)&lt;YEAR(E24),0,IF((YEAR(D24)+7)&gt;YEAR(E24),1,(12-MONTH(E24)+1)/12))))-(IF(OR(N24="",N24&lt;=0),0,(O24/N24)*(IF(OR(N24="",N24&lt;=0),0,IF((YEAR(D24)+7)&lt;YEAR(E24),0,IF((YEAR(D24)+7)&gt;=YEAR(E24)+N24,0,IF((YEAR(D24)+7)=YEAR(E24),(12-MONTH(E24)+1)/12,1))))))))&gt;0,(((K24)*(IF(M24="",L24,IFERROR(IF(INDEX(Variablen!$I:$AT, MATCH(M24, Variablen!$A:$A, 0), MATCH((YEAR(D24)+7), Variablen!$I$3:$AT$3, 0))="",L24,INDEX(Variablen!$I:$AT, MATCH(M24, Variablen!$A:$A, 0), MATCH((YEAR(D24)+7), Variablen!$I$3:$AT$3, 0))),L24)))*(IF((YEAR(D24)+7)&lt;YEAR(E24),0,IF((YEAR(D24)+7)&gt;YEAR(E24),1,(12-MONTH(E24)+1)/12))) + (Q24)*(IF((YEAR(D24)+7)&lt;YEAR(E24),0,IF((YEAR(D24)+7)&gt;YEAR(E24),1,(12-MONTH(E24)+1)/12))))-((P24)*(IF((YEAR(D24)+7)&lt;YEAR(E24),0,IF((YEAR(D24)+7)&gt;YEAR(E24),1,(12-MONTH(E24)+1)/12))) + (R24)*(IF((YEAR(D24)+7)&lt;YEAR(E24),0,IF((YEAR(D24)+7)&gt;YEAR(E24),1,(12-MONTH(E24)+1)/12))))-(IF(OR(N24="",N24&lt;=0),0,(O24/N24)*(IF(OR(N24="",N24&lt;=0),0,IF((YEAR(D24)+7)&lt;YEAR(E24),0,IF((YEAR(D24)+7)&gt;=YEAR(E24)+N24,0,IF((YEAR(D24)+7)=YEAR(E24),(12-MONTH(E24)+1)/12,1))))))))*TaxRate,0))-IF(7=0,O24,0))</f>
        <v/>
      </c>
      <c r="AA24" s="29">
        <f>IF(A24="","",((K24)*(IF(M24="",L24,IFERROR(IF(INDEX(Variablen!$I:$AT, MATCH(M24, Variablen!$A:$A, 0), MATCH((YEAR(D24)+8), Variablen!$I$3:$AT$3, 0))="",L24,INDEX(Variablen!$I:$AT, MATCH(M24, Variablen!$A:$A, 0), MATCH((YEAR(D24)+8), Variablen!$I$3:$AT$3, 0))),L24)))*(IF((YEAR(D24)+8)&lt;YEAR(E24),0,IF((YEAR(D24)+8)&gt;YEAR(E24),1,(12-MONTH(E24)+1)/12))) + (Q24)*(IF((YEAR(D24)+8)&lt;YEAR(E24),0,IF((YEAR(D24)+8)&gt;YEAR(E24),1,(12-MONTH(E24)+1)/12))))-((P24)*(IF((YEAR(D24)+8)&lt;YEAR(E24),0,IF((YEAR(D24)+8)&gt;YEAR(E24),1,(12-MONTH(E24)+1)/12))) + (R24)*(IF((YEAR(D24)+8)&lt;YEAR(E24),0,IF((YEAR(D24)+8)&gt;YEAR(E24),1,(12-MONTH(E24)+1)/12))))-(IF((((K24)*(IF(M24="",L24,IFERROR(IF(INDEX(Variablen!$I:$AT, MATCH(M24, Variablen!$A:$A, 0), MATCH((YEAR(D24)+8), Variablen!$I$3:$AT$3, 0))="",L24,INDEX(Variablen!$I:$AT, MATCH(M24, Variablen!$A:$A, 0), MATCH((YEAR(D24)+8), Variablen!$I$3:$AT$3, 0))),L24)))*(IF((YEAR(D24)+8)&lt;YEAR(E24),0,IF((YEAR(D24)+8)&gt;YEAR(E24),1,(12-MONTH(E24)+1)/12))) + (Q24)*(IF((YEAR(D24)+8)&lt;YEAR(E24),0,IF((YEAR(D24)+8)&gt;YEAR(E24),1,(12-MONTH(E24)+1)/12))))-((P24)*(IF((YEAR(D24)+8)&lt;YEAR(E24),0,IF((YEAR(D24)+8)&gt;YEAR(E24),1,(12-MONTH(E24)+1)/12))) + (R24)*(IF((YEAR(D24)+8)&lt;YEAR(E24),0,IF((YEAR(D24)+8)&gt;YEAR(E24),1,(12-MONTH(E24)+1)/12))))-(IF(OR(N24="",N24&lt;=0),0,(O24/N24)*(IF(OR(N24="",N24&lt;=0),0,IF((YEAR(D24)+8)&lt;YEAR(E24),0,IF((YEAR(D24)+8)&gt;=YEAR(E24)+N24,0,IF((YEAR(D24)+8)=YEAR(E24),(12-MONTH(E24)+1)/12,1))))))))&gt;0,(((K24)*(IF(M24="",L24,IFERROR(IF(INDEX(Variablen!$I:$AT, MATCH(M24, Variablen!$A:$A, 0), MATCH((YEAR(D24)+8), Variablen!$I$3:$AT$3, 0))="",L24,INDEX(Variablen!$I:$AT, MATCH(M24, Variablen!$A:$A, 0), MATCH((YEAR(D24)+8), Variablen!$I$3:$AT$3, 0))),L24)))*(IF((YEAR(D24)+8)&lt;YEAR(E24),0,IF((YEAR(D24)+8)&gt;YEAR(E24),1,(12-MONTH(E24)+1)/12))) + (Q24)*(IF((YEAR(D24)+8)&lt;YEAR(E24),0,IF((YEAR(D24)+8)&gt;YEAR(E24),1,(12-MONTH(E24)+1)/12))))-((P24)*(IF((YEAR(D24)+8)&lt;YEAR(E24),0,IF((YEAR(D24)+8)&gt;YEAR(E24),1,(12-MONTH(E24)+1)/12))) + (R24)*(IF((YEAR(D24)+8)&lt;YEAR(E24),0,IF((YEAR(D24)+8)&gt;YEAR(E24),1,(12-MONTH(E24)+1)/12))))-(IF(OR(N24="",N24&lt;=0),0,(O24/N24)*(IF(OR(N24="",N24&lt;=0),0,IF((YEAR(D24)+8)&lt;YEAR(E24),0,IF((YEAR(D24)+8)&gt;=YEAR(E24)+N24,0,IF((YEAR(D24)+8)=YEAR(E24),(12-MONTH(E24)+1)/12,1))))))))*TaxRate,0))-IF(8=0,O24,0))</f>
        <v/>
      </c>
      <c r="AB24" s="29">
        <f>IF(A24="","",((K24)*(IF(M24="",L24,IFERROR(IF(INDEX(Variablen!$I:$AT, MATCH(M24, Variablen!$A:$A, 0), MATCH((YEAR(D24)+9), Variablen!$I$3:$AT$3, 0))="",L24,INDEX(Variablen!$I:$AT, MATCH(M24, Variablen!$A:$A, 0), MATCH((YEAR(D24)+9), Variablen!$I$3:$AT$3, 0))),L24)))*(IF((YEAR(D24)+9)&lt;YEAR(E24),0,IF((YEAR(D24)+9)&gt;YEAR(E24),1,(12-MONTH(E24)+1)/12))) + (Q24)*(IF((YEAR(D24)+9)&lt;YEAR(E24),0,IF((YEAR(D24)+9)&gt;YEAR(E24),1,(12-MONTH(E24)+1)/12))))-((P24)*(IF((YEAR(D24)+9)&lt;YEAR(E24),0,IF((YEAR(D24)+9)&gt;YEAR(E24),1,(12-MONTH(E24)+1)/12))) + (R24)*(IF((YEAR(D24)+9)&lt;YEAR(E24),0,IF((YEAR(D24)+9)&gt;YEAR(E24),1,(12-MONTH(E24)+1)/12))))-(IF((((K24)*(IF(M24="",L24,IFERROR(IF(INDEX(Variablen!$I:$AT, MATCH(M24, Variablen!$A:$A, 0), MATCH((YEAR(D24)+9), Variablen!$I$3:$AT$3, 0))="",L24,INDEX(Variablen!$I:$AT, MATCH(M24, Variablen!$A:$A, 0), MATCH((YEAR(D24)+9), Variablen!$I$3:$AT$3, 0))),L24)))*(IF((YEAR(D24)+9)&lt;YEAR(E24),0,IF((YEAR(D24)+9)&gt;YEAR(E24),1,(12-MONTH(E24)+1)/12))) + (Q24)*(IF((YEAR(D24)+9)&lt;YEAR(E24),0,IF((YEAR(D24)+9)&gt;YEAR(E24),1,(12-MONTH(E24)+1)/12))))-((P24)*(IF((YEAR(D24)+9)&lt;YEAR(E24),0,IF((YEAR(D24)+9)&gt;YEAR(E24),1,(12-MONTH(E24)+1)/12))) + (R24)*(IF((YEAR(D24)+9)&lt;YEAR(E24),0,IF((YEAR(D24)+9)&gt;YEAR(E24),1,(12-MONTH(E24)+1)/12))))-(IF(OR(N24="",N24&lt;=0),0,(O24/N24)*(IF(OR(N24="",N24&lt;=0),0,IF((YEAR(D24)+9)&lt;YEAR(E24),0,IF((YEAR(D24)+9)&gt;=YEAR(E24)+N24,0,IF((YEAR(D24)+9)=YEAR(E24),(12-MONTH(E24)+1)/12,1))))))))&gt;0,(((K24)*(IF(M24="",L24,IFERROR(IF(INDEX(Variablen!$I:$AT, MATCH(M24, Variablen!$A:$A, 0), MATCH((YEAR(D24)+9), Variablen!$I$3:$AT$3, 0))="",L24,INDEX(Variablen!$I:$AT, MATCH(M24, Variablen!$A:$A, 0), MATCH((YEAR(D24)+9), Variablen!$I$3:$AT$3, 0))),L24)))*(IF((YEAR(D24)+9)&lt;YEAR(E24),0,IF((YEAR(D24)+9)&gt;YEAR(E24),1,(12-MONTH(E24)+1)/12))) + (Q24)*(IF((YEAR(D24)+9)&lt;YEAR(E24),0,IF((YEAR(D24)+9)&gt;YEAR(E24),1,(12-MONTH(E24)+1)/12))))-((P24)*(IF((YEAR(D24)+9)&lt;YEAR(E24),0,IF((YEAR(D24)+9)&gt;YEAR(E24),1,(12-MONTH(E24)+1)/12))) + (R24)*(IF((YEAR(D24)+9)&lt;YEAR(E24),0,IF((YEAR(D24)+9)&gt;YEAR(E24),1,(12-MONTH(E24)+1)/12))))-(IF(OR(N24="",N24&lt;=0),0,(O24/N24)*(IF(OR(N24="",N24&lt;=0),0,IF((YEAR(D24)+9)&lt;YEAR(E24),0,IF((YEAR(D24)+9)&gt;=YEAR(E24)+N24,0,IF((YEAR(D24)+9)=YEAR(E24),(12-MONTH(E24)+1)/12,1))))))))*TaxRate,0))-IF(9=0,O24,0))</f>
        <v/>
      </c>
      <c r="AC24" s="29">
        <f>IF(A24="","",((K24)*(IF(M24="",L24,IFERROR(IF(INDEX(Variablen!$I:$AT, MATCH(M24, Variablen!$A:$A, 0), MATCH((YEAR(D24)+10), Variablen!$I$3:$AT$3, 0))="",L24,INDEX(Variablen!$I:$AT, MATCH(M24, Variablen!$A:$A, 0), MATCH((YEAR(D24)+10), Variablen!$I$3:$AT$3, 0))),L24)))*(IF((YEAR(D24)+10)&lt;YEAR(E24),0,IF((YEAR(D24)+10)&gt;YEAR(E24),1,(12-MONTH(E24)+1)/12))) + (Q24)*(IF((YEAR(D24)+10)&lt;YEAR(E24),0,IF((YEAR(D24)+10)&gt;YEAR(E24),1,(12-MONTH(E24)+1)/12))))-((P24)*(IF((YEAR(D24)+10)&lt;YEAR(E24),0,IF((YEAR(D24)+10)&gt;YEAR(E24),1,(12-MONTH(E24)+1)/12))) + (R24)*(IF((YEAR(D24)+10)&lt;YEAR(E24),0,IF((YEAR(D24)+10)&gt;YEAR(E24),1,(12-MONTH(E24)+1)/12))))-(IF((((K24)*(IF(M24="",L24,IFERROR(IF(INDEX(Variablen!$I:$AT, MATCH(M24, Variablen!$A:$A, 0), MATCH((YEAR(D24)+10), Variablen!$I$3:$AT$3, 0))="",L24,INDEX(Variablen!$I:$AT, MATCH(M24, Variablen!$A:$A, 0), MATCH((YEAR(D24)+10), Variablen!$I$3:$AT$3, 0))),L24)))*(IF((YEAR(D24)+10)&lt;YEAR(E24),0,IF((YEAR(D24)+10)&gt;YEAR(E24),1,(12-MONTH(E24)+1)/12))) + (Q24)*(IF((YEAR(D24)+10)&lt;YEAR(E24),0,IF((YEAR(D24)+10)&gt;YEAR(E24),1,(12-MONTH(E24)+1)/12))))-((P24)*(IF((YEAR(D24)+10)&lt;YEAR(E24),0,IF((YEAR(D24)+10)&gt;YEAR(E24),1,(12-MONTH(E24)+1)/12))) + (R24)*(IF((YEAR(D24)+10)&lt;YEAR(E24),0,IF((YEAR(D24)+10)&gt;YEAR(E24),1,(12-MONTH(E24)+1)/12))))-(IF(OR(N24="",N24&lt;=0),0,(O24/N24)*(IF(OR(N24="",N24&lt;=0),0,IF((YEAR(D24)+10)&lt;YEAR(E24),0,IF((YEAR(D24)+10)&gt;=YEAR(E24)+N24,0,IF((YEAR(D24)+10)=YEAR(E24),(12-MONTH(E24)+1)/12,1))))))))&gt;0,(((K24)*(IF(M24="",L24,IFERROR(IF(INDEX(Variablen!$I:$AT, MATCH(M24, Variablen!$A:$A, 0), MATCH((YEAR(D24)+10), Variablen!$I$3:$AT$3, 0))="",L24,INDEX(Variablen!$I:$AT, MATCH(M24, Variablen!$A:$A, 0), MATCH((YEAR(D24)+10), Variablen!$I$3:$AT$3, 0))),L24)))*(IF((YEAR(D24)+10)&lt;YEAR(E24),0,IF((YEAR(D24)+10)&gt;YEAR(E24),1,(12-MONTH(E24)+1)/12))) + (Q24)*(IF((YEAR(D24)+10)&lt;YEAR(E24),0,IF((YEAR(D24)+10)&gt;YEAR(E24),1,(12-MONTH(E24)+1)/12))))-((P24)*(IF((YEAR(D24)+10)&lt;YEAR(E24),0,IF((YEAR(D24)+10)&gt;YEAR(E24),1,(12-MONTH(E24)+1)/12))) + (R24)*(IF((YEAR(D24)+10)&lt;YEAR(E24),0,IF((YEAR(D24)+10)&gt;YEAR(E24),1,(12-MONTH(E24)+1)/12))))-(IF(OR(N24="",N24&lt;=0),0,(O24/N24)*(IF(OR(N24="",N24&lt;=0),0,IF((YEAR(D24)+10)&lt;YEAR(E24),0,IF((YEAR(D24)+10)&gt;=YEAR(E24)+N24,0,IF((YEAR(D24)+10)=YEAR(E24),(12-MONTH(E24)+1)/12,1))))))))*TaxRate,0))-IF(10=0,O24,0))</f>
        <v/>
      </c>
      <c r="AD24" s="29">
        <f>IF(A24="","",((K24)*(IF(M24="",L24,IFERROR(IF(INDEX(Variablen!$I:$AT, MATCH(M24, Variablen!$A:$A, 0), MATCH((YEAR(D24)+11), Variablen!$I$3:$AT$3, 0))="",L24,INDEX(Variablen!$I:$AT, MATCH(M24, Variablen!$A:$A, 0), MATCH((YEAR(D24)+11), Variablen!$I$3:$AT$3, 0))),L24)))*(IF((YEAR(D24)+11)&lt;YEAR(E24),0,IF((YEAR(D24)+11)&gt;YEAR(E24),1,(12-MONTH(E24)+1)/12))) + (Q24)*(IF((YEAR(D24)+11)&lt;YEAR(E24),0,IF((YEAR(D24)+11)&gt;YEAR(E24),1,(12-MONTH(E24)+1)/12))))-((P24)*(IF((YEAR(D24)+11)&lt;YEAR(E24),0,IF((YEAR(D24)+11)&gt;YEAR(E24),1,(12-MONTH(E24)+1)/12))) + (R24)*(IF((YEAR(D24)+11)&lt;YEAR(E24),0,IF((YEAR(D24)+11)&gt;YEAR(E24),1,(12-MONTH(E24)+1)/12))))-(IF((((K24)*(IF(M24="",L24,IFERROR(IF(INDEX(Variablen!$I:$AT, MATCH(M24, Variablen!$A:$A, 0), MATCH((YEAR(D24)+11), Variablen!$I$3:$AT$3, 0))="",L24,INDEX(Variablen!$I:$AT, MATCH(M24, Variablen!$A:$A, 0), MATCH((YEAR(D24)+11), Variablen!$I$3:$AT$3, 0))),L24)))*(IF((YEAR(D24)+11)&lt;YEAR(E24),0,IF((YEAR(D24)+11)&gt;YEAR(E24),1,(12-MONTH(E24)+1)/12))) + (Q24)*(IF((YEAR(D24)+11)&lt;YEAR(E24),0,IF((YEAR(D24)+11)&gt;YEAR(E24),1,(12-MONTH(E24)+1)/12))))-((P24)*(IF((YEAR(D24)+11)&lt;YEAR(E24),0,IF((YEAR(D24)+11)&gt;YEAR(E24),1,(12-MONTH(E24)+1)/12))) + (R24)*(IF((YEAR(D24)+11)&lt;YEAR(E24),0,IF((YEAR(D24)+11)&gt;YEAR(E24),1,(12-MONTH(E24)+1)/12))))-(IF(OR(N24="",N24&lt;=0),0,(O24/N24)*(IF(OR(N24="",N24&lt;=0),0,IF((YEAR(D24)+11)&lt;YEAR(E24),0,IF((YEAR(D24)+11)&gt;=YEAR(E24)+N24,0,IF((YEAR(D24)+11)=YEAR(E24),(12-MONTH(E24)+1)/12,1))))))))&gt;0,(((K24)*(IF(M24="",L24,IFERROR(IF(INDEX(Variablen!$I:$AT, MATCH(M24, Variablen!$A:$A, 0), MATCH((YEAR(D24)+11), Variablen!$I$3:$AT$3, 0))="",L24,INDEX(Variablen!$I:$AT, MATCH(M24, Variablen!$A:$A, 0), MATCH((YEAR(D24)+11), Variablen!$I$3:$AT$3, 0))),L24)))*(IF((YEAR(D24)+11)&lt;YEAR(E24),0,IF((YEAR(D24)+11)&gt;YEAR(E24),1,(12-MONTH(E24)+1)/12))) + (Q24)*(IF((YEAR(D24)+11)&lt;YEAR(E24),0,IF((YEAR(D24)+11)&gt;YEAR(E24),1,(12-MONTH(E24)+1)/12))))-((P24)*(IF((YEAR(D24)+11)&lt;YEAR(E24),0,IF((YEAR(D24)+11)&gt;YEAR(E24),1,(12-MONTH(E24)+1)/12))) + (R24)*(IF((YEAR(D24)+11)&lt;YEAR(E24),0,IF((YEAR(D24)+11)&gt;YEAR(E24),1,(12-MONTH(E24)+1)/12))))-(IF(OR(N24="",N24&lt;=0),0,(O24/N24)*(IF(OR(N24="",N24&lt;=0),0,IF((YEAR(D24)+11)&lt;YEAR(E24),0,IF((YEAR(D24)+11)&gt;=YEAR(E24)+N24,0,IF((YEAR(D24)+11)=YEAR(E24),(12-MONTH(E24)+1)/12,1))))))))*TaxRate,0))-IF(11=0,O24,0))</f>
        <v/>
      </c>
      <c r="AE24" s="29">
        <f>IF(A24="","",((K24)*(IF(M24="",L24,IFERROR(IF(INDEX(Variablen!$I:$AT, MATCH(M24, Variablen!$A:$A, 0), MATCH((YEAR(D24)+12), Variablen!$I$3:$AT$3, 0))="",L24,INDEX(Variablen!$I:$AT, MATCH(M24, Variablen!$A:$A, 0), MATCH((YEAR(D24)+12), Variablen!$I$3:$AT$3, 0))),L24)))*(IF((YEAR(D24)+12)&lt;YEAR(E24),0,IF((YEAR(D24)+12)&gt;YEAR(E24),1,(12-MONTH(E24)+1)/12))) + (Q24)*(IF((YEAR(D24)+12)&lt;YEAR(E24),0,IF((YEAR(D24)+12)&gt;YEAR(E24),1,(12-MONTH(E24)+1)/12))))-((P24)*(IF((YEAR(D24)+12)&lt;YEAR(E24),0,IF((YEAR(D24)+12)&gt;YEAR(E24),1,(12-MONTH(E24)+1)/12))) + (R24)*(IF((YEAR(D24)+12)&lt;YEAR(E24),0,IF((YEAR(D24)+12)&gt;YEAR(E24),1,(12-MONTH(E24)+1)/12))))-(IF((((K24)*(IF(M24="",L24,IFERROR(IF(INDEX(Variablen!$I:$AT, MATCH(M24, Variablen!$A:$A, 0), MATCH((YEAR(D24)+12), Variablen!$I$3:$AT$3, 0))="",L24,INDEX(Variablen!$I:$AT, MATCH(M24, Variablen!$A:$A, 0), MATCH((YEAR(D24)+12), Variablen!$I$3:$AT$3, 0))),L24)))*(IF((YEAR(D24)+12)&lt;YEAR(E24),0,IF((YEAR(D24)+12)&gt;YEAR(E24),1,(12-MONTH(E24)+1)/12))) + (Q24)*(IF((YEAR(D24)+12)&lt;YEAR(E24),0,IF((YEAR(D24)+12)&gt;YEAR(E24),1,(12-MONTH(E24)+1)/12))))-((P24)*(IF((YEAR(D24)+12)&lt;YEAR(E24),0,IF((YEAR(D24)+12)&gt;YEAR(E24),1,(12-MONTH(E24)+1)/12))) + (R24)*(IF((YEAR(D24)+12)&lt;YEAR(E24),0,IF((YEAR(D24)+12)&gt;YEAR(E24),1,(12-MONTH(E24)+1)/12))))-(IF(OR(N24="",N24&lt;=0),0,(O24/N24)*(IF(OR(N24="",N24&lt;=0),0,IF((YEAR(D24)+12)&lt;YEAR(E24),0,IF((YEAR(D24)+12)&gt;=YEAR(E24)+N24,0,IF((YEAR(D24)+12)=YEAR(E24),(12-MONTH(E24)+1)/12,1))))))))&gt;0,(((K24)*(IF(M24="",L24,IFERROR(IF(INDEX(Variablen!$I:$AT, MATCH(M24, Variablen!$A:$A, 0), MATCH((YEAR(D24)+12), Variablen!$I$3:$AT$3, 0))="",L24,INDEX(Variablen!$I:$AT, MATCH(M24, Variablen!$A:$A, 0), MATCH((YEAR(D24)+12), Variablen!$I$3:$AT$3, 0))),L24)))*(IF((YEAR(D24)+12)&lt;YEAR(E24),0,IF((YEAR(D24)+12)&gt;YEAR(E24),1,(12-MONTH(E24)+1)/12))) + (Q24)*(IF((YEAR(D24)+12)&lt;YEAR(E24),0,IF((YEAR(D24)+12)&gt;YEAR(E24),1,(12-MONTH(E24)+1)/12))))-((P24)*(IF((YEAR(D24)+12)&lt;YEAR(E24),0,IF((YEAR(D24)+12)&gt;YEAR(E24),1,(12-MONTH(E24)+1)/12))) + (R24)*(IF((YEAR(D24)+12)&lt;YEAR(E24),0,IF((YEAR(D24)+12)&gt;YEAR(E24),1,(12-MONTH(E24)+1)/12))))-(IF(OR(N24="",N24&lt;=0),0,(O24/N24)*(IF(OR(N24="",N24&lt;=0),0,IF((YEAR(D24)+12)&lt;YEAR(E24),0,IF((YEAR(D24)+12)&gt;=YEAR(E24)+N24,0,IF((YEAR(D24)+12)=YEAR(E24),(12-MONTH(E24)+1)/12,1))))))))*TaxRate,0))-IF(12=0,O24,0))</f>
        <v/>
      </c>
      <c r="AF24" s="29">
        <f>IF(A24="","",((K24)*(IF(M24="",L24,IFERROR(IF(INDEX(Variablen!$I:$AT, MATCH(M24, Variablen!$A:$A, 0), MATCH((YEAR(D24)+13), Variablen!$I$3:$AT$3, 0))="",L24,INDEX(Variablen!$I:$AT, MATCH(M24, Variablen!$A:$A, 0), MATCH((YEAR(D24)+13), Variablen!$I$3:$AT$3, 0))),L24)))*(IF((YEAR(D24)+13)&lt;YEAR(E24),0,IF((YEAR(D24)+13)&gt;YEAR(E24),1,(12-MONTH(E24)+1)/12))) + (Q24)*(IF((YEAR(D24)+13)&lt;YEAR(E24),0,IF((YEAR(D24)+13)&gt;YEAR(E24),1,(12-MONTH(E24)+1)/12))))-((P24)*(IF((YEAR(D24)+13)&lt;YEAR(E24),0,IF((YEAR(D24)+13)&gt;YEAR(E24),1,(12-MONTH(E24)+1)/12))) + (R24)*(IF((YEAR(D24)+13)&lt;YEAR(E24),0,IF((YEAR(D24)+13)&gt;YEAR(E24),1,(12-MONTH(E24)+1)/12))))-(IF((((K24)*(IF(M24="",L24,IFERROR(IF(INDEX(Variablen!$I:$AT, MATCH(M24, Variablen!$A:$A, 0), MATCH((YEAR(D24)+13), Variablen!$I$3:$AT$3, 0))="",L24,INDEX(Variablen!$I:$AT, MATCH(M24, Variablen!$A:$A, 0), MATCH((YEAR(D24)+13), Variablen!$I$3:$AT$3, 0))),L24)))*(IF((YEAR(D24)+13)&lt;YEAR(E24),0,IF((YEAR(D24)+13)&gt;YEAR(E24),1,(12-MONTH(E24)+1)/12))) + (Q24)*(IF((YEAR(D24)+13)&lt;YEAR(E24),0,IF((YEAR(D24)+13)&gt;YEAR(E24),1,(12-MONTH(E24)+1)/12))))-((P24)*(IF((YEAR(D24)+13)&lt;YEAR(E24),0,IF((YEAR(D24)+13)&gt;YEAR(E24),1,(12-MONTH(E24)+1)/12))) + (R24)*(IF((YEAR(D24)+13)&lt;YEAR(E24),0,IF((YEAR(D24)+13)&gt;YEAR(E24),1,(12-MONTH(E24)+1)/12))))-(IF(OR(N24="",N24&lt;=0),0,(O24/N24)*(IF(OR(N24="",N24&lt;=0),0,IF((YEAR(D24)+13)&lt;YEAR(E24),0,IF((YEAR(D24)+13)&gt;=YEAR(E24)+N24,0,IF((YEAR(D24)+13)=YEAR(E24),(12-MONTH(E24)+1)/12,1))))))))&gt;0,(((K24)*(IF(M24="",L24,IFERROR(IF(INDEX(Variablen!$I:$AT, MATCH(M24, Variablen!$A:$A, 0), MATCH((YEAR(D24)+13), Variablen!$I$3:$AT$3, 0))="",L24,INDEX(Variablen!$I:$AT, MATCH(M24, Variablen!$A:$A, 0), MATCH((YEAR(D24)+13), Variablen!$I$3:$AT$3, 0))),L24)))*(IF((YEAR(D24)+13)&lt;YEAR(E24),0,IF((YEAR(D24)+13)&gt;YEAR(E24),1,(12-MONTH(E24)+1)/12))) + (Q24)*(IF((YEAR(D24)+13)&lt;YEAR(E24),0,IF((YEAR(D24)+13)&gt;YEAR(E24),1,(12-MONTH(E24)+1)/12))))-((P24)*(IF((YEAR(D24)+13)&lt;YEAR(E24),0,IF((YEAR(D24)+13)&gt;YEAR(E24),1,(12-MONTH(E24)+1)/12))) + (R24)*(IF((YEAR(D24)+13)&lt;YEAR(E24),0,IF((YEAR(D24)+13)&gt;YEAR(E24),1,(12-MONTH(E24)+1)/12))))-(IF(OR(N24="",N24&lt;=0),0,(O24/N24)*(IF(OR(N24="",N24&lt;=0),0,IF((YEAR(D24)+13)&lt;YEAR(E24),0,IF((YEAR(D24)+13)&gt;=YEAR(E24)+N24,0,IF((YEAR(D24)+13)=YEAR(E24),(12-MONTH(E24)+1)/12,1))))))))*TaxRate,0))-IF(13=0,O24,0))</f>
        <v/>
      </c>
      <c r="AG24" s="29">
        <f>IF(A24="","",((K24)*(IF(M24="",L24,IFERROR(IF(INDEX(Variablen!$I:$AT, MATCH(M24, Variablen!$A:$A, 0), MATCH((YEAR(D24)+14), Variablen!$I$3:$AT$3, 0))="",L24,INDEX(Variablen!$I:$AT, MATCH(M24, Variablen!$A:$A, 0), MATCH((YEAR(D24)+14), Variablen!$I$3:$AT$3, 0))),L24)))*(IF((YEAR(D24)+14)&lt;YEAR(E24),0,IF((YEAR(D24)+14)&gt;YEAR(E24),1,(12-MONTH(E24)+1)/12))) + (Q24)*(IF((YEAR(D24)+14)&lt;YEAR(E24),0,IF((YEAR(D24)+14)&gt;YEAR(E24),1,(12-MONTH(E24)+1)/12))))-((P24)*(IF((YEAR(D24)+14)&lt;YEAR(E24),0,IF((YEAR(D24)+14)&gt;YEAR(E24),1,(12-MONTH(E24)+1)/12))) + (R24)*(IF((YEAR(D24)+14)&lt;YEAR(E24),0,IF((YEAR(D24)+14)&gt;YEAR(E24),1,(12-MONTH(E24)+1)/12))))-(IF((((K24)*(IF(M24="",L24,IFERROR(IF(INDEX(Variablen!$I:$AT, MATCH(M24, Variablen!$A:$A, 0), MATCH((YEAR(D24)+14), Variablen!$I$3:$AT$3, 0))="",L24,INDEX(Variablen!$I:$AT, MATCH(M24, Variablen!$A:$A, 0), MATCH((YEAR(D24)+14), Variablen!$I$3:$AT$3, 0))),L24)))*(IF((YEAR(D24)+14)&lt;YEAR(E24),0,IF((YEAR(D24)+14)&gt;YEAR(E24),1,(12-MONTH(E24)+1)/12))) + (Q24)*(IF((YEAR(D24)+14)&lt;YEAR(E24),0,IF((YEAR(D24)+14)&gt;YEAR(E24),1,(12-MONTH(E24)+1)/12))))-((P24)*(IF((YEAR(D24)+14)&lt;YEAR(E24),0,IF((YEAR(D24)+14)&gt;YEAR(E24),1,(12-MONTH(E24)+1)/12))) + (R24)*(IF((YEAR(D24)+14)&lt;YEAR(E24),0,IF((YEAR(D24)+14)&gt;YEAR(E24),1,(12-MONTH(E24)+1)/12))))-(IF(OR(N24="",N24&lt;=0),0,(O24/N24)*(IF(OR(N24="",N24&lt;=0),0,IF((YEAR(D24)+14)&lt;YEAR(E24),0,IF((YEAR(D24)+14)&gt;=YEAR(E24)+N24,0,IF((YEAR(D24)+14)=YEAR(E24),(12-MONTH(E24)+1)/12,1))))))))&gt;0,(((K24)*(IF(M24="",L24,IFERROR(IF(INDEX(Variablen!$I:$AT, MATCH(M24, Variablen!$A:$A, 0), MATCH((YEAR(D24)+14), Variablen!$I$3:$AT$3, 0))="",L24,INDEX(Variablen!$I:$AT, MATCH(M24, Variablen!$A:$A, 0), MATCH((YEAR(D24)+14), Variablen!$I$3:$AT$3, 0))),L24)))*(IF((YEAR(D24)+14)&lt;YEAR(E24),0,IF((YEAR(D24)+14)&gt;YEAR(E24),1,(12-MONTH(E24)+1)/12))) + (Q24)*(IF((YEAR(D24)+14)&lt;YEAR(E24),0,IF((YEAR(D24)+14)&gt;YEAR(E24),1,(12-MONTH(E24)+1)/12))))-((P24)*(IF((YEAR(D24)+14)&lt;YEAR(E24),0,IF((YEAR(D24)+14)&gt;YEAR(E24),1,(12-MONTH(E24)+1)/12))) + (R24)*(IF((YEAR(D24)+14)&lt;YEAR(E24),0,IF((YEAR(D24)+14)&gt;YEAR(E24),1,(12-MONTH(E24)+1)/12))))-(IF(OR(N24="",N24&lt;=0),0,(O24/N24)*(IF(OR(N24="",N24&lt;=0),0,IF((YEAR(D24)+14)&lt;YEAR(E24),0,IF((YEAR(D24)+14)&gt;=YEAR(E24)+N24,0,IF((YEAR(D24)+14)=YEAR(E24),(12-MONTH(E24)+1)/12,1))))))))*TaxRate,0))-IF(14=0,O24,0))</f>
        <v/>
      </c>
      <c r="AH24" s="29">
        <f>IF(A24="","",((K24)*(IF(M24="",L24,IFERROR(IF(INDEX(Variablen!$I:$AT, MATCH(M24, Variablen!$A:$A, 0), MATCH((YEAR(D24)+15), Variablen!$I$3:$AT$3, 0))="",L24,INDEX(Variablen!$I:$AT, MATCH(M24, Variablen!$A:$A, 0), MATCH((YEAR(D24)+15), Variablen!$I$3:$AT$3, 0))),L24)))*(IF((YEAR(D24)+15)&lt;YEAR(E24),0,IF((YEAR(D24)+15)&gt;YEAR(E24),1,(12-MONTH(E24)+1)/12))) + (Q24)*(IF((YEAR(D24)+15)&lt;YEAR(E24),0,IF((YEAR(D24)+15)&gt;YEAR(E24),1,(12-MONTH(E24)+1)/12))))-((P24)*(IF((YEAR(D24)+15)&lt;YEAR(E24),0,IF((YEAR(D24)+15)&gt;YEAR(E24),1,(12-MONTH(E24)+1)/12))) + (R24)*(IF((YEAR(D24)+15)&lt;YEAR(E24),0,IF((YEAR(D24)+15)&gt;YEAR(E24),1,(12-MONTH(E24)+1)/12))))-(IF((((K24)*(IF(M24="",L24,IFERROR(IF(INDEX(Variablen!$I:$AT, MATCH(M24, Variablen!$A:$A, 0), MATCH((YEAR(D24)+15), Variablen!$I$3:$AT$3, 0))="",L24,INDEX(Variablen!$I:$AT, MATCH(M24, Variablen!$A:$A, 0), MATCH((YEAR(D24)+15), Variablen!$I$3:$AT$3, 0))),L24)))*(IF((YEAR(D24)+15)&lt;YEAR(E24),0,IF((YEAR(D24)+15)&gt;YEAR(E24),1,(12-MONTH(E24)+1)/12))) + (Q24)*(IF((YEAR(D24)+15)&lt;YEAR(E24),0,IF((YEAR(D24)+15)&gt;YEAR(E24),1,(12-MONTH(E24)+1)/12))))-((P24)*(IF((YEAR(D24)+15)&lt;YEAR(E24),0,IF((YEAR(D24)+15)&gt;YEAR(E24),1,(12-MONTH(E24)+1)/12))) + (R24)*(IF((YEAR(D24)+15)&lt;YEAR(E24),0,IF((YEAR(D24)+15)&gt;YEAR(E24),1,(12-MONTH(E24)+1)/12))))-(IF(OR(N24="",N24&lt;=0),0,(O24/N24)*(IF(OR(N24="",N24&lt;=0),0,IF((YEAR(D24)+15)&lt;YEAR(E24),0,IF((YEAR(D24)+15)&gt;=YEAR(E24)+N24,0,IF((YEAR(D24)+15)=YEAR(E24),(12-MONTH(E24)+1)/12,1))))))))&gt;0,(((K24)*(IF(M24="",L24,IFERROR(IF(INDEX(Variablen!$I:$AT, MATCH(M24, Variablen!$A:$A, 0), MATCH((YEAR(D24)+15), Variablen!$I$3:$AT$3, 0))="",L24,INDEX(Variablen!$I:$AT, MATCH(M24, Variablen!$A:$A, 0), MATCH((YEAR(D24)+15), Variablen!$I$3:$AT$3, 0))),L24)))*(IF((YEAR(D24)+15)&lt;YEAR(E24),0,IF((YEAR(D24)+15)&gt;YEAR(E24),1,(12-MONTH(E24)+1)/12))) + (Q24)*(IF((YEAR(D24)+15)&lt;YEAR(E24),0,IF((YEAR(D24)+15)&gt;YEAR(E24),1,(12-MONTH(E24)+1)/12))))-((P24)*(IF((YEAR(D24)+15)&lt;YEAR(E24),0,IF((YEAR(D24)+15)&gt;YEAR(E24),1,(12-MONTH(E24)+1)/12))) + (R24)*(IF((YEAR(D24)+15)&lt;YEAR(E24),0,IF((YEAR(D24)+15)&gt;YEAR(E24),1,(12-MONTH(E24)+1)/12))))-(IF(OR(N24="",N24&lt;=0),0,(O24/N24)*(IF(OR(N24="",N24&lt;=0),0,IF((YEAR(D24)+15)&lt;YEAR(E24),0,IF((YEAR(D24)+15)&gt;=YEAR(E24)+N24,0,IF((YEAR(D24)+15)=YEAR(E24),(12-MONTH(E24)+1)/12,1))))))))*TaxRate,0))-IF(15=0,O24,0))</f>
        <v/>
      </c>
      <c r="AI24" s="29">
        <f>IF(A24="","",((K24)*(IF(M24="",L24,IFERROR(IF(INDEX(Variablen!$I:$AT, MATCH(M24, Variablen!$A:$A, 0), MATCH((YEAR(D24)+16), Variablen!$I$3:$AT$3, 0))="",L24,INDEX(Variablen!$I:$AT, MATCH(M24, Variablen!$A:$A, 0), MATCH((YEAR(D24)+16), Variablen!$I$3:$AT$3, 0))),L24)))*(IF((YEAR(D24)+16)&lt;YEAR(E24),0,IF((YEAR(D24)+16)&gt;YEAR(E24),1,(12-MONTH(E24)+1)/12))) + (Q24)*(IF((YEAR(D24)+16)&lt;YEAR(E24),0,IF((YEAR(D24)+16)&gt;YEAR(E24),1,(12-MONTH(E24)+1)/12))))-((P24)*(IF((YEAR(D24)+16)&lt;YEAR(E24),0,IF((YEAR(D24)+16)&gt;YEAR(E24),1,(12-MONTH(E24)+1)/12))) + (R24)*(IF((YEAR(D24)+16)&lt;YEAR(E24),0,IF((YEAR(D24)+16)&gt;YEAR(E24),1,(12-MONTH(E24)+1)/12))))-(IF((((K24)*(IF(M24="",L24,IFERROR(IF(INDEX(Variablen!$I:$AT, MATCH(M24, Variablen!$A:$A, 0), MATCH((YEAR(D24)+16), Variablen!$I$3:$AT$3, 0))="",L24,INDEX(Variablen!$I:$AT, MATCH(M24, Variablen!$A:$A, 0), MATCH((YEAR(D24)+16), Variablen!$I$3:$AT$3, 0))),L24)))*(IF((YEAR(D24)+16)&lt;YEAR(E24),0,IF((YEAR(D24)+16)&gt;YEAR(E24),1,(12-MONTH(E24)+1)/12))) + (Q24)*(IF((YEAR(D24)+16)&lt;YEAR(E24),0,IF((YEAR(D24)+16)&gt;YEAR(E24),1,(12-MONTH(E24)+1)/12))))-((P24)*(IF((YEAR(D24)+16)&lt;YEAR(E24),0,IF((YEAR(D24)+16)&gt;YEAR(E24),1,(12-MONTH(E24)+1)/12))) + (R24)*(IF((YEAR(D24)+16)&lt;YEAR(E24),0,IF((YEAR(D24)+16)&gt;YEAR(E24),1,(12-MONTH(E24)+1)/12))))-(IF(OR(N24="",N24&lt;=0),0,(O24/N24)*(IF(OR(N24="",N24&lt;=0),0,IF((YEAR(D24)+16)&lt;YEAR(E24),0,IF((YEAR(D24)+16)&gt;=YEAR(E24)+N24,0,IF((YEAR(D24)+16)=YEAR(E24),(12-MONTH(E24)+1)/12,1))))))))&gt;0,(((K24)*(IF(M24="",L24,IFERROR(IF(INDEX(Variablen!$I:$AT, MATCH(M24, Variablen!$A:$A, 0), MATCH((YEAR(D24)+16), Variablen!$I$3:$AT$3, 0))="",L24,INDEX(Variablen!$I:$AT, MATCH(M24, Variablen!$A:$A, 0), MATCH((YEAR(D24)+16), Variablen!$I$3:$AT$3, 0))),L24)))*(IF((YEAR(D24)+16)&lt;YEAR(E24),0,IF((YEAR(D24)+16)&gt;YEAR(E24),1,(12-MONTH(E24)+1)/12))) + (Q24)*(IF((YEAR(D24)+16)&lt;YEAR(E24),0,IF((YEAR(D24)+16)&gt;YEAR(E24),1,(12-MONTH(E24)+1)/12))))-((P24)*(IF((YEAR(D24)+16)&lt;YEAR(E24),0,IF((YEAR(D24)+16)&gt;YEAR(E24),1,(12-MONTH(E24)+1)/12))) + (R24)*(IF((YEAR(D24)+16)&lt;YEAR(E24),0,IF((YEAR(D24)+16)&gt;YEAR(E24),1,(12-MONTH(E24)+1)/12))))-(IF(OR(N24="",N24&lt;=0),0,(O24/N24)*(IF(OR(N24="",N24&lt;=0),0,IF((YEAR(D24)+16)&lt;YEAR(E24),0,IF((YEAR(D24)+16)&gt;=YEAR(E24)+N24,0,IF((YEAR(D24)+16)=YEAR(E24),(12-MONTH(E24)+1)/12,1))))))))*TaxRate,0))-IF(16=0,O24,0))</f>
        <v/>
      </c>
      <c r="AJ24" s="29">
        <f>IF(A24="","",((K24)*(IF(M24="",L24,IFERROR(IF(INDEX(Variablen!$I:$AT, MATCH(M24, Variablen!$A:$A, 0), MATCH((YEAR(D24)+17), Variablen!$I$3:$AT$3, 0))="",L24,INDEX(Variablen!$I:$AT, MATCH(M24, Variablen!$A:$A, 0), MATCH((YEAR(D24)+17), Variablen!$I$3:$AT$3, 0))),L24)))*(IF((YEAR(D24)+17)&lt;YEAR(E24),0,IF((YEAR(D24)+17)&gt;YEAR(E24),1,(12-MONTH(E24)+1)/12))) + (Q24)*(IF((YEAR(D24)+17)&lt;YEAR(E24),0,IF((YEAR(D24)+17)&gt;YEAR(E24),1,(12-MONTH(E24)+1)/12))))-((P24)*(IF((YEAR(D24)+17)&lt;YEAR(E24),0,IF((YEAR(D24)+17)&gt;YEAR(E24),1,(12-MONTH(E24)+1)/12))) + (R24)*(IF((YEAR(D24)+17)&lt;YEAR(E24),0,IF((YEAR(D24)+17)&gt;YEAR(E24),1,(12-MONTH(E24)+1)/12))))-(IF((((K24)*(IF(M24="",L24,IFERROR(IF(INDEX(Variablen!$I:$AT, MATCH(M24, Variablen!$A:$A, 0), MATCH((YEAR(D24)+17), Variablen!$I$3:$AT$3, 0))="",L24,INDEX(Variablen!$I:$AT, MATCH(M24, Variablen!$A:$A, 0), MATCH((YEAR(D24)+17), Variablen!$I$3:$AT$3, 0))),L24)))*(IF((YEAR(D24)+17)&lt;YEAR(E24),0,IF((YEAR(D24)+17)&gt;YEAR(E24),1,(12-MONTH(E24)+1)/12))) + (Q24)*(IF((YEAR(D24)+17)&lt;YEAR(E24),0,IF((YEAR(D24)+17)&gt;YEAR(E24),1,(12-MONTH(E24)+1)/12))))-((P24)*(IF((YEAR(D24)+17)&lt;YEAR(E24),0,IF((YEAR(D24)+17)&gt;YEAR(E24),1,(12-MONTH(E24)+1)/12))) + (R24)*(IF((YEAR(D24)+17)&lt;YEAR(E24),0,IF((YEAR(D24)+17)&gt;YEAR(E24),1,(12-MONTH(E24)+1)/12))))-(IF(OR(N24="",N24&lt;=0),0,(O24/N24)*(IF(OR(N24="",N24&lt;=0),0,IF((YEAR(D24)+17)&lt;YEAR(E24),0,IF((YEAR(D24)+17)&gt;=YEAR(E24)+N24,0,IF((YEAR(D24)+17)=YEAR(E24),(12-MONTH(E24)+1)/12,1))))))))&gt;0,(((K24)*(IF(M24="",L24,IFERROR(IF(INDEX(Variablen!$I:$AT, MATCH(M24, Variablen!$A:$A, 0), MATCH((YEAR(D24)+17), Variablen!$I$3:$AT$3, 0))="",L24,INDEX(Variablen!$I:$AT, MATCH(M24, Variablen!$A:$A, 0), MATCH((YEAR(D24)+17), Variablen!$I$3:$AT$3, 0))),L24)))*(IF((YEAR(D24)+17)&lt;YEAR(E24),0,IF((YEAR(D24)+17)&gt;YEAR(E24),1,(12-MONTH(E24)+1)/12))) + (Q24)*(IF((YEAR(D24)+17)&lt;YEAR(E24),0,IF((YEAR(D24)+17)&gt;YEAR(E24),1,(12-MONTH(E24)+1)/12))))-((P24)*(IF((YEAR(D24)+17)&lt;YEAR(E24),0,IF((YEAR(D24)+17)&gt;YEAR(E24),1,(12-MONTH(E24)+1)/12))) + (R24)*(IF((YEAR(D24)+17)&lt;YEAR(E24),0,IF((YEAR(D24)+17)&gt;YEAR(E24),1,(12-MONTH(E24)+1)/12))))-(IF(OR(N24="",N24&lt;=0),0,(O24/N24)*(IF(OR(N24="",N24&lt;=0),0,IF((YEAR(D24)+17)&lt;YEAR(E24),0,IF((YEAR(D24)+17)&gt;=YEAR(E24)+N24,0,IF((YEAR(D24)+17)=YEAR(E24),(12-MONTH(E24)+1)/12,1))))))))*TaxRate,0))-IF(17=0,O24,0))</f>
        <v/>
      </c>
      <c r="AK24" s="29">
        <f>IF(A24="","",((K24)*(IF(M24="",L24,IFERROR(IF(INDEX(Variablen!$I:$AT, MATCH(M24, Variablen!$A:$A, 0), MATCH((YEAR(D24)+18), Variablen!$I$3:$AT$3, 0))="",L24,INDEX(Variablen!$I:$AT, MATCH(M24, Variablen!$A:$A, 0), MATCH((YEAR(D24)+18), Variablen!$I$3:$AT$3, 0))),L24)))*(IF((YEAR(D24)+18)&lt;YEAR(E24),0,IF((YEAR(D24)+18)&gt;YEAR(E24),1,(12-MONTH(E24)+1)/12))) + (Q24)*(IF((YEAR(D24)+18)&lt;YEAR(E24),0,IF((YEAR(D24)+18)&gt;YEAR(E24),1,(12-MONTH(E24)+1)/12))))-((P24)*(IF((YEAR(D24)+18)&lt;YEAR(E24),0,IF((YEAR(D24)+18)&gt;YEAR(E24),1,(12-MONTH(E24)+1)/12))) + (R24)*(IF((YEAR(D24)+18)&lt;YEAR(E24),0,IF((YEAR(D24)+18)&gt;YEAR(E24),1,(12-MONTH(E24)+1)/12))))-(IF((((K24)*(IF(M24="",L24,IFERROR(IF(INDEX(Variablen!$I:$AT, MATCH(M24, Variablen!$A:$A, 0), MATCH((YEAR(D24)+18), Variablen!$I$3:$AT$3, 0))="",L24,INDEX(Variablen!$I:$AT, MATCH(M24, Variablen!$A:$A, 0), MATCH((YEAR(D24)+18), Variablen!$I$3:$AT$3, 0))),L24)))*(IF((YEAR(D24)+18)&lt;YEAR(E24),0,IF((YEAR(D24)+18)&gt;YEAR(E24),1,(12-MONTH(E24)+1)/12))) + (Q24)*(IF((YEAR(D24)+18)&lt;YEAR(E24),0,IF((YEAR(D24)+18)&gt;YEAR(E24),1,(12-MONTH(E24)+1)/12))))-((P24)*(IF((YEAR(D24)+18)&lt;YEAR(E24),0,IF((YEAR(D24)+18)&gt;YEAR(E24),1,(12-MONTH(E24)+1)/12))) + (R24)*(IF((YEAR(D24)+18)&lt;YEAR(E24),0,IF((YEAR(D24)+18)&gt;YEAR(E24),1,(12-MONTH(E24)+1)/12))))-(IF(OR(N24="",N24&lt;=0),0,(O24/N24)*(IF(OR(N24="",N24&lt;=0),0,IF((YEAR(D24)+18)&lt;YEAR(E24),0,IF((YEAR(D24)+18)&gt;=YEAR(E24)+N24,0,IF((YEAR(D24)+18)=YEAR(E24),(12-MONTH(E24)+1)/12,1))))))))&gt;0,(((K24)*(IF(M24="",L24,IFERROR(IF(INDEX(Variablen!$I:$AT, MATCH(M24, Variablen!$A:$A, 0), MATCH((YEAR(D24)+18), Variablen!$I$3:$AT$3, 0))="",L24,INDEX(Variablen!$I:$AT, MATCH(M24, Variablen!$A:$A, 0), MATCH((YEAR(D24)+18), Variablen!$I$3:$AT$3, 0))),L24)))*(IF((YEAR(D24)+18)&lt;YEAR(E24),0,IF((YEAR(D24)+18)&gt;YEAR(E24),1,(12-MONTH(E24)+1)/12))) + (Q24)*(IF((YEAR(D24)+18)&lt;YEAR(E24),0,IF((YEAR(D24)+18)&gt;YEAR(E24),1,(12-MONTH(E24)+1)/12))))-((P24)*(IF((YEAR(D24)+18)&lt;YEAR(E24),0,IF((YEAR(D24)+18)&gt;YEAR(E24),1,(12-MONTH(E24)+1)/12))) + (R24)*(IF((YEAR(D24)+18)&lt;YEAR(E24),0,IF((YEAR(D24)+18)&gt;YEAR(E24),1,(12-MONTH(E24)+1)/12))))-(IF(OR(N24="",N24&lt;=0),0,(O24/N24)*(IF(OR(N24="",N24&lt;=0),0,IF((YEAR(D24)+18)&lt;YEAR(E24),0,IF((YEAR(D24)+18)&gt;=YEAR(E24)+N24,0,IF((YEAR(D24)+18)=YEAR(E24),(12-MONTH(E24)+1)/12,1))))))))*TaxRate,0))-IF(18=0,O24,0))</f>
        <v/>
      </c>
      <c r="AL24" s="29">
        <f>IF(A24="","",((K24)*(IF(M24="",L24,IFERROR(IF(INDEX(Variablen!$I:$AT, MATCH(M24, Variablen!$A:$A, 0), MATCH((YEAR(D24)+19), Variablen!$I$3:$AT$3, 0))="",L24,INDEX(Variablen!$I:$AT, MATCH(M24, Variablen!$A:$A, 0), MATCH((YEAR(D24)+19), Variablen!$I$3:$AT$3, 0))),L24)))*(IF((YEAR(D24)+19)&lt;YEAR(E24),0,IF((YEAR(D24)+19)&gt;YEAR(E24),1,(12-MONTH(E24)+1)/12))) + (Q24)*(IF((YEAR(D24)+19)&lt;YEAR(E24),0,IF((YEAR(D24)+19)&gt;YEAR(E24),1,(12-MONTH(E24)+1)/12))))-((P24)*(IF((YEAR(D24)+19)&lt;YEAR(E24),0,IF((YEAR(D24)+19)&gt;YEAR(E24),1,(12-MONTH(E24)+1)/12))) + (R24)*(IF((YEAR(D24)+19)&lt;YEAR(E24),0,IF((YEAR(D24)+19)&gt;YEAR(E24),1,(12-MONTH(E24)+1)/12))))-(IF((((K24)*(IF(M24="",L24,IFERROR(IF(INDEX(Variablen!$I:$AT, MATCH(M24, Variablen!$A:$A, 0), MATCH((YEAR(D24)+19), Variablen!$I$3:$AT$3, 0))="",L24,INDEX(Variablen!$I:$AT, MATCH(M24, Variablen!$A:$A, 0), MATCH((YEAR(D24)+19), Variablen!$I$3:$AT$3, 0))),L24)))*(IF((YEAR(D24)+19)&lt;YEAR(E24),0,IF((YEAR(D24)+19)&gt;YEAR(E24),1,(12-MONTH(E24)+1)/12))) + (Q24)*(IF((YEAR(D24)+19)&lt;YEAR(E24),0,IF((YEAR(D24)+19)&gt;YEAR(E24),1,(12-MONTH(E24)+1)/12))))-((P24)*(IF((YEAR(D24)+19)&lt;YEAR(E24),0,IF((YEAR(D24)+19)&gt;YEAR(E24),1,(12-MONTH(E24)+1)/12))) + (R24)*(IF((YEAR(D24)+19)&lt;YEAR(E24),0,IF((YEAR(D24)+19)&gt;YEAR(E24),1,(12-MONTH(E24)+1)/12))))-(IF(OR(N24="",N24&lt;=0),0,(O24/N24)*(IF(OR(N24="",N24&lt;=0),0,IF((YEAR(D24)+19)&lt;YEAR(E24),0,IF((YEAR(D24)+19)&gt;=YEAR(E24)+N24,0,IF((YEAR(D24)+19)=YEAR(E24),(12-MONTH(E24)+1)/12,1))))))))&gt;0,(((K24)*(IF(M24="",L24,IFERROR(IF(INDEX(Variablen!$I:$AT, MATCH(M24, Variablen!$A:$A, 0), MATCH((YEAR(D24)+19), Variablen!$I$3:$AT$3, 0))="",L24,INDEX(Variablen!$I:$AT, MATCH(M24, Variablen!$A:$A, 0), MATCH((YEAR(D24)+19), Variablen!$I$3:$AT$3, 0))),L24)))*(IF((YEAR(D24)+19)&lt;YEAR(E24),0,IF((YEAR(D24)+19)&gt;YEAR(E24),1,(12-MONTH(E24)+1)/12))) + (Q24)*(IF((YEAR(D24)+19)&lt;YEAR(E24),0,IF((YEAR(D24)+19)&gt;YEAR(E24),1,(12-MONTH(E24)+1)/12))))-((P24)*(IF((YEAR(D24)+19)&lt;YEAR(E24),0,IF((YEAR(D24)+19)&gt;YEAR(E24),1,(12-MONTH(E24)+1)/12))) + (R24)*(IF((YEAR(D24)+19)&lt;YEAR(E24),0,IF((YEAR(D24)+19)&gt;YEAR(E24),1,(12-MONTH(E24)+1)/12))))-(IF(OR(N24="",N24&lt;=0),0,(O24/N24)*(IF(OR(N24="",N24&lt;=0),0,IF((YEAR(D24)+19)&lt;YEAR(E24),0,IF((YEAR(D24)+19)&gt;=YEAR(E24)+N24,0,IF((YEAR(D24)+19)=YEAR(E24),(12-MONTH(E24)+1)/12,1))))))))*TaxRate,0))-IF(19=0,O24,0))</f>
        <v/>
      </c>
      <c r="AM24" s="29">
        <f>IF(A24="","",((K24)*(IF(M24="",L24,IFERROR(IF(INDEX(Variablen!$I:$AT, MATCH(M24, Variablen!$A:$A, 0), MATCH((YEAR(D24)+20), Variablen!$I$3:$AT$3, 0))="",L24,INDEX(Variablen!$I:$AT, MATCH(M24, Variablen!$A:$A, 0), MATCH((YEAR(D24)+20), Variablen!$I$3:$AT$3, 0))),L24)))*(IF((YEAR(D24)+20)&lt;YEAR(E24),0,IF((YEAR(D24)+20)&gt;YEAR(E24),1,(12-MONTH(E24)+1)/12))) + (Q24)*(IF((YEAR(D24)+20)&lt;YEAR(E24),0,IF((YEAR(D24)+20)&gt;YEAR(E24),1,(12-MONTH(E24)+1)/12))))-((P24)*(IF((YEAR(D24)+20)&lt;YEAR(E24),0,IF((YEAR(D24)+20)&gt;YEAR(E24),1,(12-MONTH(E24)+1)/12))) + (R24)*(IF((YEAR(D24)+20)&lt;YEAR(E24),0,IF((YEAR(D24)+20)&gt;YEAR(E24),1,(12-MONTH(E24)+1)/12))))-(IF((((K24)*(IF(M24="",L24,IFERROR(IF(INDEX(Variablen!$I:$AT, MATCH(M24, Variablen!$A:$A, 0), MATCH((YEAR(D24)+20), Variablen!$I$3:$AT$3, 0))="",L24,INDEX(Variablen!$I:$AT, MATCH(M24, Variablen!$A:$A, 0), MATCH((YEAR(D24)+20), Variablen!$I$3:$AT$3, 0))),L24)))*(IF((YEAR(D24)+20)&lt;YEAR(E24),0,IF((YEAR(D24)+20)&gt;YEAR(E24),1,(12-MONTH(E24)+1)/12))) + (Q24)*(IF((YEAR(D24)+20)&lt;YEAR(E24),0,IF((YEAR(D24)+20)&gt;YEAR(E24),1,(12-MONTH(E24)+1)/12))))-((P24)*(IF((YEAR(D24)+20)&lt;YEAR(E24),0,IF((YEAR(D24)+20)&gt;YEAR(E24),1,(12-MONTH(E24)+1)/12))) + (R24)*(IF((YEAR(D24)+20)&lt;YEAR(E24),0,IF((YEAR(D24)+20)&gt;YEAR(E24),1,(12-MONTH(E24)+1)/12))))-(IF(OR(N24="",N24&lt;=0),0,(O24/N24)*(IF(OR(N24="",N24&lt;=0),0,IF((YEAR(D24)+20)&lt;YEAR(E24),0,IF((YEAR(D24)+20)&gt;=YEAR(E24)+N24,0,IF((YEAR(D24)+20)=YEAR(E24),(12-MONTH(E24)+1)/12,1))))))))&gt;0,(((K24)*(IF(M24="",L24,IFERROR(IF(INDEX(Variablen!$I:$AT, MATCH(M24, Variablen!$A:$A, 0), MATCH((YEAR(D24)+20), Variablen!$I$3:$AT$3, 0))="",L24,INDEX(Variablen!$I:$AT, MATCH(M24, Variablen!$A:$A, 0), MATCH((YEAR(D24)+20), Variablen!$I$3:$AT$3, 0))),L24)))*(IF((YEAR(D24)+20)&lt;YEAR(E24),0,IF((YEAR(D24)+20)&gt;YEAR(E24),1,(12-MONTH(E24)+1)/12))) + (Q24)*(IF((YEAR(D24)+20)&lt;YEAR(E24),0,IF((YEAR(D24)+20)&gt;YEAR(E24),1,(12-MONTH(E24)+1)/12))))-((P24)*(IF((YEAR(D24)+20)&lt;YEAR(E24),0,IF((YEAR(D24)+20)&gt;YEAR(E24),1,(12-MONTH(E24)+1)/12))) + (R24)*(IF((YEAR(D24)+20)&lt;YEAR(E24),0,IF((YEAR(D24)+20)&gt;YEAR(E24),1,(12-MONTH(E24)+1)/12))))-(IF(OR(N24="",N24&lt;=0),0,(O24/N24)*(IF(OR(N24="",N24&lt;=0),0,IF((YEAR(D24)+20)&lt;YEAR(E24),0,IF((YEAR(D24)+20)&gt;=YEAR(E24)+N24,0,IF((YEAR(D24)+20)=YEAR(E24),(12-MONTH(E24)+1)/12,1))))))))*TaxRate,0))-IF(20=0,O24,0))</f>
        <v/>
      </c>
      <c r="AN24" s="29">
        <f>IF(A24="","",S24)</f>
        <v/>
      </c>
      <c r="AO24" s="29">
        <f>IF(A24="","",AN24+T24)</f>
        <v/>
      </c>
      <c r="AP24" s="29">
        <f>IF(A24="","",AO24+U24)</f>
        <v/>
      </c>
      <c r="AQ24" s="29">
        <f>IF(A24="","",AP24+V24)</f>
        <v/>
      </c>
      <c r="AR24" s="29">
        <f>IF(A24="","",AQ24+W24)</f>
        <v/>
      </c>
      <c r="AS24" s="29">
        <f>IF(A24="","",AR24+X24)</f>
        <v/>
      </c>
      <c r="AT24" s="29">
        <f>IF(A24="","",AS24+Y24)</f>
        <v/>
      </c>
      <c r="AU24" s="29">
        <f>IF(A24="","",AT24+Z24)</f>
        <v/>
      </c>
      <c r="AV24" s="29">
        <f>IF(A24="","",AU24+AA24)</f>
        <v/>
      </c>
      <c r="AW24" s="29">
        <f>IF(A24="","",AV24+AB24)</f>
        <v/>
      </c>
      <c r="AX24" s="29">
        <f>IF(A24="","",AW24+AC24)</f>
        <v/>
      </c>
      <c r="AY24" s="29">
        <f>IF(A24="","",AX24+AD24)</f>
        <v/>
      </c>
      <c r="AZ24" s="29">
        <f>IF(A24="","",AY24+AE24)</f>
        <v/>
      </c>
      <c r="BA24" s="29">
        <f>IF(A24="","",AZ24+AF24)</f>
        <v/>
      </c>
      <c r="BB24" s="29">
        <f>IF(A24="","",BA24+AG24)</f>
        <v/>
      </c>
      <c r="BC24" s="29">
        <f>IF(A24="","",BB24+AH24)</f>
        <v/>
      </c>
      <c r="BD24" s="29">
        <f>IF(A24="","",BC24+AI24)</f>
        <v/>
      </c>
      <c r="BE24" s="29">
        <f>IF(A24="","",BD24+AJ24)</f>
        <v/>
      </c>
      <c r="BF24" s="29">
        <f>IF(A24="","",BE24+AK24)</f>
        <v/>
      </c>
      <c r="BG24" s="29">
        <f>IF(A24="","",BF24+AL24)</f>
        <v/>
      </c>
      <c r="BH24" s="29">
        <f>IF(A24="","",BG24+AM24)</f>
        <v/>
      </c>
      <c r="BI24" s="36">
        <f>IF(A24="","",(K24)*(IF((YEAR(D24)+0)&lt;YEAR(E24),0,IF((YEAR(D24)+0)&gt;YEAR(E24),1,(12-MONTH(E24)+1)/12)))*(1/(1+DiscountRate)^0))</f>
        <v/>
      </c>
      <c r="BJ24" s="36">
        <f>IF(A24="","",(K24)*(IF((YEAR(D24)+1)&lt;YEAR(E24),0,IF((YEAR(D24)+1)&gt;YEAR(E24),1,(12-MONTH(E24)+1)/12)))*(1/(1+DiscountRate)^1))</f>
        <v/>
      </c>
      <c r="BK24" s="36">
        <f>IF(A24="","",(K24)*(IF((YEAR(D24)+2)&lt;YEAR(E24),0,IF((YEAR(D24)+2)&gt;YEAR(E24),1,(12-MONTH(E24)+1)/12)))*(1/(1+DiscountRate)^2))</f>
        <v/>
      </c>
      <c r="BL24" s="36">
        <f>IF(A24="","",(K24)*(IF((YEAR(D24)+3)&lt;YEAR(E24),0,IF((YEAR(D24)+3)&gt;YEAR(E24),1,(12-MONTH(E24)+1)/12)))*(1/(1+DiscountRate)^3))</f>
        <v/>
      </c>
      <c r="BM24" s="36">
        <f>IF(A24="","",(K24)*(IF((YEAR(D24)+4)&lt;YEAR(E24),0,IF((YEAR(D24)+4)&gt;YEAR(E24),1,(12-MONTH(E24)+1)/12)))*(1/(1+DiscountRate)^4))</f>
        <v/>
      </c>
      <c r="BN24" s="36">
        <f>IF(A24="","",(K24)*(IF((YEAR(D24)+5)&lt;YEAR(E24),0,IF((YEAR(D24)+5)&gt;YEAR(E24),1,(12-MONTH(E24)+1)/12)))*(1/(1+DiscountRate)^5))</f>
        <v/>
      </c>
      <c r="BO24" s="36">
        <f>IF(A24="","",(K24)*(IF((YEAR(D24)+6)&lt;YEAR(E24),0,IF((YEAR(D24)+6)&gt;YEAR(E24),1,(12-MONTH(E24)+1)/12)))*(1/(1+DiscountRate)^6))</f>
        <v/>
      </c>
      <c r="BP24" s="36">
        <f>IF(A24="","",(K24)*(IF((YEAR(D24)+7)&lt;YEAR(E24),0,IF((YEAR(D24)+7)&gt;YEAR(E24),1,(12-MONTH(E24)+1)/12)))*(1/(1+DiscountRate)^7))</f>
        <v/>
      </c>
      <c r="BQ24" s="36">
        <f>IF(A24="","",(K24)*(IF((YEAR(D24)+8)&lt;YEAR(E24),0,IF((YEAR(D24)+8)&gt;YEAR(E24),1,(12-MONTH(E24)+1)/12)))*(1/(1+DiscountRate)^8))</f>
        <v/>
      </c>
      <c r="BR24" s="36">
        <f>IF(A24="","",(K24)*(IF((YEAR(D24)+9)&lt;YEAR(E24),0,IF((YEAR(D24)+9)&gt;YEAR(E24),1,(12-MONTH(E24)+1)/12)))*(1/(1+DiscountRate)^9))</f>
        <v/>
      </c>
      <c r="BS24" s="36">
        <f>IF(A24="","",(K24)*(IF((YEAR(D24)+10)&lt;YEAR(E24),0,IF((YEAR(D24)+10)&gt;YEAR(E24),1,(12-MONTH(E24)+1)/12)))*(1/(1+DiscountRate)^10))</f>
        <v/>
      </c>
      <c r="BT24" s="36">
        <f>IF(A24="","",(K24)*(IF((YEAR(D24)+11)&lt;YEAR(E24),0,IF((YEAR(D24)+11)&gt;YEAR(E24),1,(12-MONTH(E24)+1)/12)))*(1/(1+DiscountRate)^11))</f>
        <v/>
      </c>
      <c r="BU24" s="36">
        <f>IF(A24="","",(K24)*(IF((YEAR(D24)+12)&lt;YEAR(E24),0,IF((YEAR(D24)+12)&gt;YEAR(E24),1,(12-MONTH(E24)+1)/12)))*(1/(1+DiscountRate)^12))</f>
        <v/>
      </c>
      <c r="BV24" s="36">
        <f>IF(A24="","",(K24)*(IF((YEAR(D24)+13)&lt;YEAR(E24),0,IF((YEAR(D24)+13)&gt;YEAR(E24),1,(12-MONTH(E24)+1)/12)))*(1/(1+DiscountRate)^13))</f>
        <v/>
      </c>
      <c r="BW24" s="36">
        <f>IF(A24="","",(K24)*(IF((YEAR(D24)+14)&lt;YEAR(E24),0,IF((YEAR(D24)+14)&gt;YEAR(E24),1,(12-MONTH(E24)+1)/12)))*(1/(1+DiscountRate)^14))</f>
        <v/>
      </c>
      <c r="BX24" s="36">
        <f>IF(A24="","",(K24)*(IF((YEAR(D24)+15)&lt;YEAR(E24),0,IF((YEAR(D24)+15)&gt;YEAR(E24),1,(12-MONTH(E24)+1)/12)))*(1/(1+DiscountRate)^15))</f>
        <v/>
      </c>
      <c r="BY24" s="36">
        <f>IF(A24="","",(K24)*(IF((YEAR(D24)+16)&lt;YEAR(E24),0,IF((YEAR(D24)+16)&gt;YEAR(E24),1,(12-MONTH(E24)+1)/12)))*(1/(1+DiscountRate)^16))</f>
        <v/>
      </c>
      <c r="BZ24" s="36">
        <f>IF(A24="","",(K24)*(IF((YEAR(D24)+17)&lt;YEAR(E24),0,IF((YEAR(D24)+17)&gt;YEAR(E24),1,(12-MONTH(E24)+1)/12)))*(1/(1+DiscountRate)^17))</f>
        <v/>
      </c>
      <c r="CA24" s="36">
        <f>IF(A24="","",(K24)*(IF((YEAR(D24)+18)&lt;YEAR(E24),0,IF((YEAR(D24)+18)&gt;YEAR(E24),1,(12-MONTH(E24)+1)/12)))*(1/(1+DiscountRate)^18))</f>
        <v/>
      </c>
      <c r="CB24" s="36">
        <f>IF(A24="","",(K24)*(IF((YEAR(D24)+19)&lt;YEAR(E24),0,IF((YEAR(D24)+19)&gt;YEAR(E24),1,(12-MONTH(E24)+1)/12)))*(1/(1+DiscountRate)^19))</f>
        <v/>
      </c>
      <c r="CC24" s="36">
        <f>IF(A24="","",(K24)*(IF((YEAR(D24)+20)&lt;YEAR(E24),0,IF((YEAR(D24)+20)&gt;YEAR(E24),1,(12-MONTH(E24)+1)/12)))*(1/(1+DiscountRate)^20))</f>
        <v/>
      </c>
      <c r="CD24" s="29">
        <f>IF(A24="","",S24/(1+DiscountRate)^0+T24/(1+DiscountRate)^1+U24/(1+DiscountRate)^2+V24/(1+DiscountRate)^3+W24/(1+DiscountRate)^4+X24/(1+DiscountRate)^5+Y24/(1+DiscountRate)^6+Z24/(1+DiscountRate)^7+AA24/(1+DiscountRate)^8+AB24/(1+DiscountRate)^9+AC24/(1+DiscountRate)^10+AD24/(1+DiscountRate)^11+AE24/(1+DiscountRate)^12+AF24/(1+DiscountRate)^13+AG24/(1+DiscountRate)^14+AH24/(1+DiscountRate)^15+AI24/(1+DiscountRate)^16+AJ24/(1+DiscountRate)^17+AK24/(1+DiscountRate)^18+AL24/(1+DiscountRate)^19+AM24/(1+DiscountRate)^20)</f>
        <v/>
      </c>
      <c r="CE24" s="37">
        <f>IF(A24="","",IFERROR(IRR(OFFSET(S24,0,0,1,MIN(HorizonYears,20)+1)),"n/a"))</f>
        <v/>
      </c>
      <c r="CF24" s="28">
        <f>IF(A24="","",IFERROR(MATCH(TRUE,OFFSET(AN24,0,0,1,MIN(HorizonYears,20)+1)&gt;=0,0)-1,"n/a"))</f>
        <v/>
      </c>
      <c r="CG24" s="36">
        <f>IF(A24="","",SUM(OFFSET(BI24,0,0,1,MIN(HorizonYears,20)+1)))</f>
        <v/>
      </c>
      <c r="CH24" s="36">
        <f>IF(A24="","",IFERROR(-CD24/CG24,"n/a"))</f>
        <v/>
      </c>
    </row>
    <row r="25">
      <c r="A25" s="6">
        <f>Actions!A23</f>
        <v/>
      </c>
      <c r="B25" s="6">
        <f>Actions!B23</f>
        <v/>
      </c>
      <c r="C25" s="6">
        <f>Actions!D23</f>
        <v/>
      </c>
      <c r="D25" s="35">
        <f>Actions!E23</f>
        <v/>
      </c>
      <c r="E25" s="35">
        <f>Actions!F23</f>
        <v/>
      </c>
      <c r="F25" s="6">
        <f>Actions!G23</f>
        <v/>
      </c>
      <c r="G25" s="6">
        <f>Actions!H23</f>
        <v/>
      </c>
      <c r="H25" s="29">
        <f>Actions!I23</f>
        <v/>
      </c>
      <c r="I25" s="6">
        <f>Actions!J23</f>
        <v/>
      </c>
      <c r="J25" s="16">
        <f>Actions!K23</f>
        <v/>
      </c>
      <c r="K25" s="16">
        <f>IF(A25="","",IF(I25="%",H25*J25,J25))</f>
        <v/>
      </c>
      <c r="L25" s="16">
        <f>Actions!L23</f>
        <v/>
      </c>
      <c r="M25" s="6">
        <f>Actions!M23</f>
        <v/>
      </c>
      <c r="N25" s="28">
        <f>Actions!N23</f>
        <v/>
      </c>
      <c r="O25" s="29">
        <f>Actions!T23</f>
        <v/>
      </c>
      <c r="P25" s="29">
        <f>Actions!Y23</f>
        <v/>
      </c>
      <c r="Q25" s="29">
        <f>Actions!Z23</f>
        <v/>
      </c>
      <c r="R25" s="29">
        <f>Actions!AA23</f>
        <v/>
      </c>
      <c r="S25" s="29">
        <f>IF(A25="","",((K25)*(IF(M25="",L25,IFERROR(IF(INDEX(Variablen!$I:$AT, MATCH(M25, Variablen!$A:$A, 0), MATCH((YEAR(D25)+0), Variablen!$I$3:$AT$3, 0))="",L25,INDEX(Variablen!$I:$AT, MATCH(M25, Variablen!$A:$A, 0), MATCH((YEAR(D25)+0), Variablen!$I$3:$AT$3, 0))),L25)))*(IF((YEAR(D25)+0)&lt;YEAR(E25),0,IF((YEAR(D25)+0)&gt;YEAR(E25),1,(12-MONTH(E25)+1)/12))) + (Q25)*(IF((YEAR(D25)+0)&lt;YEAR(E25),0,IF((YEAR(D25)+0)&gt;YEAR(E25),1,(12-MONTH(E25)+1)/12))))-((P25)*(IF((YEAR(D25)+0)&lt;YEAR(E25),0,IF((YEAR(D25)+0)&gt;YEAR(E25),1,(12-MONTH(E25)+1)/12))) + (R25)*(IF((YEAR(D25)+0)&lt;YEAR(E25),0,IF((YEAR(D25)+0)&gt;YEAR(E25),1,(12-MONTH(E25)+1)/12))))-(IF((((K25)*(IF(M25="",L25,IFERROR(IF(INDEX(Variablen!$I:$AT, MATCH(M25, Variablen!$A:$A, 0), MATCH((YEAR(D25)+0), Variablen!$I$3:$AT$3, 0))="",L25,INDEX(Variablen!$I:$AT, MATCH(M25, Variablen!$A:$A, 0), MATCH((YEAR(D25)+0), Variablen!$I$3:$AT$3, 0))),L25)))*(IF((YEAR(D25)+0)&lt;YEAR(E25),0,IF((YEAR(D25)+0)&gt;YEAR(E25),1,(12-MONTH(E25)+1)/12))) + (Q25)*(IF((YEAR(D25)+0)&lt;YEAR(E25),0,IF((YEAR(D25)+0)&gt;YEAR(E25),1,(12-MONTH(E25)+1)/12))))-((P25)*(IF((YEAR(D25)+0)&lt;YEAR(E25),0,IF((YEAR(D25)+0)&gt;YEAR(E25),1,(12-MONTH(E25)+1)/12))) + (R25)*(IF((YEAR(D25)+0)&lt;YEAR(E25),0,IF((YEAR(D25)+0)&gt;YEAR(E25),1,(12-MONTH(E25)+1)/12))))-(IF(OR(N25="",N25&lt;=0),0,(O25/N25)*(IF(OR(N25="",N25&lt;=0),0,IF((YEAR(D25)+0)&lt;YEAR(E25),0,IF((YEAR(D25)+0)&gt;=YEAR(E25)+N25,0,IF((YEAR(D25)+0)=YEAR(E25),(12-MONTH(E25)+1)/12,1))))))))&gt;0,(((K25)*(IF(M25="",L25,IFERROR(IF(INDEX(Variablen!$I:$AT, MATCH(M25, Variablen!$A:$A, 0), MATCH((YEAR(D25)+0), Variablen!$I$3:$AT$3, 0))="",L25,INDEX(Variablen!$I:$AT, MATCH(M25, Variablen!$A:$A, 0), MATCH((YEAR(D25)+0), Variablen!$I$3:$AT$3, 0))),L25)))*(IF((YEAR(D25)+0)&lt;YEAR(E25),0,IF((YEAR(D25)+0)&gt;YEAR(E25),1,(12-MONTH(E25)+1)/12))) + (Q25)*(IF((YEAR(D25)+0)&lt;YEAR(E25),0,IF((YEAR(D25)+0)&gt;YEAR(E25),1,(12-MONTH(E25)+1)/12))))-((P25)*(IF((YEAR(D25)+0)&lt;YEAR(E25),0,IF((YEAR(D25)+0)&gt;YEAR(E25),1,(12-MONTH(E25)+1)/12))) + (R25)*(IF((YEAR(D25)+0)&lt;YEAR(E25),0,IF((YEAR(D25)+0)&gt;YEAR(E25),1,(12-MONTH(E25)+1)/12))))-(IF(OR(N25="",N25&lt;=0),0,(O25/N25)*(IF(OR(N25="",N25&lt;=0),0,IF((YEAR(D25)+0)&lt;YEAR(E25),0,IF((YEAR(D25)+0)&gt;=YEAR(E25)+N25,0,IF((YEAR(D25)+0)=YEAR(E25),(12-MONTH(E25)+1)/12,1))))))))*TaxRate,0))-IF(0=0,O25,0))</f>
        <v/>
      </c>
      <c r="T25" s="29">
        <f>IF(A25="","",((K25)*(IF(M25="",L25,IFERROR(IF(INDEX(Variablen!$I:$AT, MATCH(M25, Variablen!$A:$A, 0), MATCH((YEAR(D25)+1), Variablen!$I$3:$AT$3, 0))="",L25,INDEX(Variablen!$I:$AT, MATCH(M25, Variablen!$A:$A, 0), MATCH((YEAR(D25)+1), Variablen!$I$3:$AT$3, 0))),L25)))*(IF((YEAR(D25)+1)&lt;YEAR(E25),0,IF((YEAR(D25)+1)&gt;YEAR(E25),1,(12-MONTH(E25)+1)/12))) + (Q25)*(IF((YEAR(D25)+1)&lt;YEAR(E25),0,IF((YEAR(D25)+1)&gt;YEAR(E25),1,(12-MONTH(E25)+1)/12))))-((P25)*(IF((YEAR(D25)+1)&lt;YEAR(E25),0,IF((YEAR(D25)+1)&gt;YEAR(E25),1,(12-MONTH(E25)+1)/12))) + (R25)*(IF((YEAR(D25)+1)&lt;YEAR(E25),0,IF((YEAR(D25)+1)&gt;YEAR(E25),1,(12-MONTH(E25)+1)/12))))-(IF((((K25)*(IF(M25="",L25,IFERROR(IF(INDEX(Variablen!$I:$AT, MATCH(M25, Variablen!$A:$A, 0), MATCH((YEAR(D25)+1), Variablen!$I$3:$AT$3, 0))="",L25,INDEX(Variablen!$I:$AT, MATCH(M25, Variablen!$A:$A, 0), MATCH((YEAR(D25)+1), Variablen!$I$3:$AT$3, 0))),L25)))*(IF((YEAR(D25)+1)&lt;YEAR(E25),0,IF((YEAR(D25)+1)&gt;YEAR(E25),1,(12-MONTH(E25)+1)/12))) + (Q25)*(IF((YEAR(D25)+1)&lt;YEAR(E25),0,IF((YEAR(D25)+1)&gt;YEAR(E25),1,(12-MONTH(E25)+1)/12))))-((P25)*(IF((YEAR(D25)+1)&lt;YEAR(E25),0,IF((YEAR(D25)+1)&gt;YEAR(E25),1,(12-MONTH(E25)+1)/12))) + (R25)*(IF((YEAR(D25)+1)&lt;YEAR(E25),0,IF((YEAR(D25)+1)&gt;YEAR(E25),1,(12-MONTH(E25)+1)/12))))-(IF(OR(N25="",N25&lt;=0),0,(O25/N25)*(IF(OR(N25="",N25&lt;=0),0,IF((YEAR(D25)+1)&lt;YEAR(E25),0,IF((YEAR(D25)+1)&gt;=YEAR(E25)+N25,0,IF((YEAR(D25)+1)=YEAR(E25),(12-MONTH(E25)+1)/12,1))))))))&gt;0,(((K25)*(IF(M25="",L25,IFERROR(IF(INDEX(Variablen!$I:$AT, MATCH(M25, Variablen!$A:$A, 0), MATCH((YEAR(D25)+1), Variablen!$I$3:$AT$3, 0))="",L25,INDEX(Variablen!$I:$AT, MATCH(M25, Variablen!$A:$A, 0), MATCH((YEAR(D25)+1), Variablen!$I$3:$AT$3, 0))),L25)))*(IF((YEAR(D25)+1)&lt;YEAR(E25),0,IF((YEAR(D25)+1)&gt;YEAR(E25),1,(12-MONTH(E25)+1)/12))) + (Q25)*(IF((YEAR(D25)+1)&lt;YEAR(E25),0,IF((YEAR(D25)+1)&gt;YEAR(E25),1,(12-MONTH(E25)+1)/12))))-((P25)*(IF((YEAR(D25)+1)&lt;YEAR(E25),0,IF((YEAR(D25)+1)&gt;YEAR(E25),1,(12-MONTH(E25)+1)/12))) + (R25)*(IF((YEAR(D25)+1)&lt;YEAR(E25),0,IF((YEAR(D25)+1)&gt;YEAR(E25),1,(12-MONTH(E25)+1)/12))))-(IF(OR(N25="",N25&lt;=0),0,(O25/N25)*(IF(OR(N25="",N25&lt;=0),0,IF((YEAR(D25)+1)&lt;YEAR(E25),0,IF((YEAR(D25)+1)&gt;=YEAR(E25)+N25,0,IF((YEAR(D25)+1)=YEAR(E25),(12-MONTH(E25)+1)/12,1))))))))*TaxRate,0))-IF(1=0,O25,0))</f>
        <v/>
      </c>
      <c r="U25" s="29">
        <f>IF(A25="","",((K25)*(IF(M25="",L25,IFERROR(IF(INDEX(Variablen!$I:$AT, MATCH(M25, Variablen!$A:$A, 0), MATCH((YEAR(D25)+2), Variablen!$I$3:$AT$3, 0))="",L25,INDEX(Variablen!$I:$AT, MATCH(M25, Variablen!$A:$A, 0), MATCH((YEAR(D25)+2), Variablen!$I$3:$AT$3, 0))),L25)))*(IF((YEAR(D25)+2)&lt;YEAR(E25),0,IF((YEAR(D25)+2)&gt;YEAR(E25),1,(12-MONTH(E25)+1)/12))) + (Q25)*(IF((YEAR(D25)+2)&lt;YEAR(E25),0,IF((YEAR(D25)+2)&gt;YEAR(E25),1,(12-MONTH(E25)+1)/12))))-((P25)*(IF((YEAR(D25)+2)&lt;YEAR(E25),0,IF((YEAR(D25)+2)&gt;YEAR(E25),1,(12-MONTH(E25)+1)/12))) + (R25)*(IF((YEAR(D25)+2)&lt;YEAR(E25),0,IF((YEAR(D25)+2)&gt;YEAR(E25),1,(12-MONTH(E25)+1)/12))))-(IF((((K25)*(IF(M25="",L25,IFERROR(IF(INDEX(Variablen!$I:$AT, MATCH(M25, Variablen!$A:$A, 0), MATCH((YEAR(D25)+2), Variablen!$I$3:$AT$3, 0))="",L25,INDEX(Variablen!$I:$AT, MATCH(M25, Variablen!$A:$A, 0), MATCH((YEAR(D25)+2), Variablen!$I$3:$AT$3, 0))),L25)))*(IF((YEAR(D25)+2)&lt;YEAR(E25),0,IF((YEAR(D25)+2)&gt;YEAR(E25),1,(12-MONTH(E25)+1)/12))) + (Q25)*(IF((YEAR(D25)+2)&lt;YEAR(E25),0,IF((YEAR(D25)+2)&gt;YEAR(E25),1,(12-MONTH(E25)+1)/12))))-((P25)*(IF((YEAR(D25)+2)&lt;YEAR(E25),0,IF((YEAR(D25)+2)&gt;YEAR(E25),1,(12-MONTH(E25)+1)/12))) + (R25)*(IF((YEAR(D25)+2)&lt;YEAR(E25),0,IF((YEAR(D25)+2)&gt;YEAR(E25),1,(12-MONTH(E25)+1)/12))))-(IF(OR(N25="",N25&lt;=0),0,(O25/N25)*(IF(OR(N25="",N25&lt;=0),0,IF((YEAR(D25)+2)&lt;YEAR(E25),0,IF((YEAR(D25)+2)&gt;=YEAR(E25)+N25,0,IF((YEAR(D25)+2)=YEAR(E25),(12-MONTH(E25)+1)/12,1))))))))&gt;0,(((K25)*(IF(M25="",L25,IFERROR(IF(INDEX(Variablen!$I:$AT, MATCH(M25, Variablen!$A:$A, 0), MATCH((YEAR(D25)+2), Variablen!$I$3:$AT$3, 0))="",L25,INDEX(Variablen!$I:$AT, MATCH(M25, Variablen!$A:$A, 0), MATCH((YEAR(D25)+2), Variablen!$I$3:$AT$3, 0))),L25)))*(IF((YEAR(D25)+2)&lt;YEAR(E25),0,IF((YEAR(D25)+2)&gt;YEAR(E25),1,(12-MONTH(E25)+1)/12))) + (Q25)*(IF((YEAR(D25)+2)&lt;YEAR(E25),0,IF((YEAR(D25)+2)&gt;YEAR(E25),1,(12-MONTH(E25)+1)/12))))-((P25)*(IF((YEAR(D25)+2)&lt;YEAR(E25),0,IF((YEAR(D25)+2)&gt;YEAR(E25),1,(12-MONTH(E25)+1)/12))) + (R25)*(IF((YEAR(D25)+2)&lt;YEAR(E25),0,IF((YEAR(D25)+2)&gt;YEAR(E25),1,(12-MONTH(E25)+1)/12))))-(IF(OR(N25="",N25&lt;=0),0,(O25/N25)*(IF(OR(N25="",N25&lt;=0),0,IF((YEAR(D25)+2)&lt;YEAR(E25),0,IF((YEAR(D25)+2)&gt;=YEAR(E25)+N25,0,IF((YEAR(D25)+2)=YEAR(E25),(12-MONTH(E25)+1)/12,1))))))))*TaxRate,0))-IF(2=0,O25,0))</f>
        <v/>
      </c>
      <c r="V25" s="29">
        <f>IF(A25="","",((K25)*(IF(M25="",L25,IFERROR(IF(INDEX(Variablen!$I:$AT, MATCH(M25, Variablen!$A:$A, 0), MATCH((YEAR(D25)+3), Variablen!$I$3:$AT$3, 0))="",L25,INDEX(Variablen!$I:$AT, MATCH(M25, Variablen!$A:$A, 0), MATCH((YEAR(D25)+3), Variablen!$I$3:$AT$3, 0))),L25)))*(IF((YEAR(D25)+3)&lt;YEAR(E25),0,IF((YEAR(D25)+3)&gt;YEAR(E25),1,(12-MONTH(E25)+1)/12))) + (Q25)*(IF((YEAR(D25)+3)&lt;YEAR(E25),0,IF((YEAR(D25)+3)&gt;YEAR(E25),1,(12-MONTH(E25)+1)/12))))-((P25)*(IF((YEAR(D25)+3)&lt;YEAR(E25),0,IF((YEAR(D25)+3)&gt;YEAR(E25),1,(12-MONTH(E25)+1)/12))) + (R25)*(IF((YEAR(D25)+3)&lt;YEAR(E25),0,IF((YEAR(D25)+3)&gt;YEAR(E25),1,(12-MONTH(E25)+1)/12))))-(IF((((K25)*(IF(M25="",L25,IFERROR(IF(INDEX(Variablen!$I:$AT, MATCH(M25, Variablen!$A:$A, 0), MATCH((YEAR(D25)+3), Variablen!$I$3:$AT$3, 0))="",L25,INDEX(Variablen!$I:$AT, MATCH(M25, Variablen!$A:$A, 0), MATCH((YEAR(D25)+3), Variablen!$I$3:$AT$3, 0))),L25)))*(IF((YEAR(D25)+3)&lt;YEAR(E25),0,IF((YEAR(D25)+3)&gt;YEAR(E25),1,(12-MONTH(E25)+1)/12))) + (Q25)*(IF((YEAR(D25)+3)&lt;YEAR(E25),0,IF((YEAR(D25)+3)&gt;YEAR(E25),1,(12-MONTH(E25)+1)/12))))-((P25)*(IF((YEAR(D25)+3)&lt;YEAR(E25),0,IF((YEAR(D25)+3)&gt;YEAR(E25),1,(12-MONTH(E25)+1)/12))) + (R25)*(IF((YEAR(D25)+3)&lt;YEAR(E25),0,IF((YEAR(D25)+3)&gt;YEAR(E25),1,(12-MONTH(E25)+1)/12))))-(IF(OR(N25="",N25&lt;=0),0,(O25/N25)*(IF(OR(N25="",N25&lt;=0),0,IF((YEAR(D25)+3)&lt;YEAR(E25),0,IF((YEAR(D25)+3)&gt;=YEAR(E25)+N25,0,IF((YEAR(D25)+3)=YEAR(E25),(12-MONTH(E25)+1)/12,1))))))))&gt;0,(((K25)*(IF(M25="",L25,IFERROR(IF(INDEX(Variablen!$I:$AT, MATCH(M25, Variablen!$A:$A, 0), MATCH((YEAR(D25)+3), Variablen!$I$3:$AT$3, 0))="",L25,INDEX(Variablen!$I:$AT, MATCH(M25, Variablen!$A:$A, 0), MATCH((YEAR(D25)+3), Variablen!$I$3:$AT$3, 0))),L25)))*(IF((YEAR(D25)+3)&lt;YEAR(E25),0,IF((YEAR(D25)+3)&gt;YEAR(E25),1,(12-MONTH(E25)+1)/12))) + (Q25)*(IF((YEAR(D25)+3)&lt;YEAR(E25),0,IF((YEAR(D25)+3)&gt;YEAR(E25),1,(12-MONTH(E25)+1)/12))))-((P25)*(IF((YEAR(D25)+3)&lt;YEAR(E25),0,IF((YEAR(D25)+3)&gt;YEAR(E25),1,(12-MONTH(E25)+1)/12))) + (R25)*(IF((YEAR(D25)+3)&lt;YEAR(E25),0,IF((YEAR(D25)+3)&gt;YEAR(E25),1,(12-MONTH(E25)+1)/12))))-(IF(OR(N25="",N25&lt;=0),0,(O25/N25)*(IF(OR(N25="",N25&lt;=0),0,IF((YEAR(D25)+3)&lt;YEAR(E25),0,IF((YEAR(D25)+3)&gt;=YEAR(E25)+N25,0,IF((YEAR(D25)+3)=YEAR(E25),(12-MONTH(E25)+1)/12,1))))))))*TaxRate,0))-IF(3=0,O25,0))</f>
        <v/>
      </c>
      <c r="W25" s="29">
        <f>IF(A25="","",((K25)*(IF(M25="",L25,IFERROR(IF(INDEX(Variablen!$I:$AT, MATCH(M25, Variablen!$A:$A, 0), MATCH((YEAR(D25)+4), Variablen!$I$3:$AT$3, 0))="",L25,INDEX(Variablen!$I:$AT, MATCH(M25, Variablen!$A:$A, 0), MATCH((YEAR(D25)+4), Variablen!$I$3:$AT$3, 0))),L25)))*(IF((YEAR(D25)+4)&lt;YEAR(E25),0,IF((YEAR(D25)+4)&gt;YEAR(E25),1,(12-MONTH(E25)+1)/12))) + (Q25)*(IF((YEAR(D25)+4)&lt;YEAR(E25),0,IF((YEAR(D25)+4)&gt;YEAR(E25),1,(12-MONTH(E25)+1)/12))))-((P25)*(IF((YEAR(D25)+4)&lt;YEAR(E25),0,IF((YEAR(D25)+4)&gt;YEAR(E25),1,(12-MONTH(E25)+1)/12))) + (R25)*(IF((YEAR(D25)+4)&lt;YEAR(E25),0,IF((YEAR(D25)+4)&gt;YEAR(E25),1,(12-MONTH(E25)+1)/12))))-(IF((((K25)*(IF(M25="",L25,IFERROR(IF(INDEX(Variablen!$I:$AT, MATCH(M25, Variablen!$A:$A, 0), MATCH((YEAR(D25)+4), Variablen!$I$3:$AT$3, 0))="",L25,INDEX(Variablen!$I:$AT, MATCH(M25, Variablen!$A:$A, 0), MATCH((YEAR(D25)+4), Variablen!$I$3:$AT$3, 0))),L25)))*(IF((YEAR(D25)+4)&lt;YEAR(E25),0,IF((YEAR(D25)+4)&gt;YEAR(E25),1,(12-MONTH(E25)+1)/12))) + (Q25)*(IF((YEAR(D25)+4)&lt;YEAR(E25),0,IF((YEAR(D25)+4)&gt;YEAR(E25),1,(12-MONTH(E25)+1)/12))))-((P25)*(IF((YEAR(D25)+4)&lt;YEAR(E25),0,IF((YEAR(D25)+4)&gt;YEAR(E25),1,(12-MONTH(E25)+1)/12))) + (R25)*(IF((YEAR(D25)+4)&lt;YEAR(E25),0,IF((YEAR(D25)+4)&gt;YEAR(E25),1,(12-MONTH(E25)+1)/12))))-(IF(OR(N25="",N25&lt;=0),0,(O25/N25)*(IF(OR(N25="",N25&lt;=0),0,IF((YEAR(D25)+4)&lt;YEAR(E25),0,IF((YEAR(D25)+4)&gt;=YEAR(E25)+N25,0,IF((YEAR(D25)+4)=YEAR(E25),(12-MONTH(E25)+1)/12,1))))))))&gt;0,(((K25)*(IF(M25="",L25,IFERROR(IF(INDEX(Variablen!$I:$AT, MATCH(M25, Variablen!$A:$A, 0), MATCH((YEAR(D25)+4), Variablen!$I$3:$AT$3, 0))="",L25,INDEX(Variablen!$I:$AT, MATCH(M25, Variablen!$A:$A, 0), MATCH((YEAR(D25)+4), Variablen!$I$3:$AT$3, 0))),L25)))*(IF((YEAR(D25)+4)&lt;YEAR(E25),0,IF((YEAR(D25)+4)&gt;YEAR(E25),1,(12-MONTH(E25)+1)/12))) + (Q25)*(IF((YEAR(D25)+4)&lt;YEAR(E25),0,IF((YEAR(D25)+4)&gt;YEAR(E25),1,(12-MONTH(E25)+1)/12))))-((P25)*(IF((YEAR(D25)+4)&lt;YEAR(E25),0,IF((YEAR(D25)+4)&gt;YEAR(E25),1,(12-MONTH(E25)+1)/12))) + (R25)*(IF((YEAR(D25)+4)&lt;YEAR(E25),0,IF((YEAR(D25)+4)&gt;YEAR(E25),1,(12-MONTH(E25)+1)/12))))-(IF(OR(N25="",N25&lt;=0),0,(O25/N25)*(IF(OR(N25="",N25&lt;=0),0,IF((YEAR(D25)+4)&lt;YEAR(E25),0,IF((YEAR(D25)+4)&gt;=YEAR(E25)+N25,0,IF((YEAR(D25)+4)=YEAR(E25),(12-MONTH(E25)+1)/12,1))))))))*TaxRate,0))-IF(4=0,O25,0))</f>
        <v/>
      </c>
      <c r="X25" s="29">
        <f>IF(A25="","",((K25)*(IF(M25="",L25,IFERROR(IF(INDEX(Variablen!$I:$AT, MATCH(M25, Variablen!$A:$A, 0), MATCH((YEAR(D25)+5), Variablen!$I$3:$AT$3, 0))="",L25,INDEX(Variablen!$I:$AT, MATCH(M25, Variablen!$A:$A, 0), MATCH((YEAR(D25)+5), Variablen!$I$3:$AT$3, 0))),L25)))*(IF((YEAR(D25)+5)&lt;YEAR(E25),0,IF((YEAR(D25)+5)&gt;YEAR(E25),1,(12-MONTH(E25)+1)/12))) + (Q25)*(IF((YEAR(D25)+5)&lt;YEAR(E25),0,IF((YEAR(D25)+5)&gt;YEAR(E25),1,(12-MONTH(E25)+1)/12))))-((P25)*(IF((YEAR(D25)+5)&lt;YEAR(E25),0,IF((YEAR(D25)+5)&gt;YEAR(E25),1,(12-MONTH(E25)+1)/12))) + (R25)*(IF((YEAR(D25)+5)&lt;YEAR(E25),0,IF((YEAR(D25)+5)&gt;YEAR(E25),1,(12-MONTH(E25)+1)/12))))-(IF((((K25)*(IF(M25="",L25,IFERROR(IF(INDEX(Variablen!$I:$AT, MATCH(M25, Variablen!$A:$A, 0), MATCH((YEAR(D25)+5), Variablen!$I$3:$AT$3, 0))="",L25,INDEX(Variablen!$I:$AT, MATCH(M25, Variablen!$A:$A, 0), MATCH((YEAR(D25)+5), Variablen!$I$3:$AT$3, 0))),L25)))*(IF((YEAR(D25)+5)&lt;YEAR(E25),0,IF((YEAR(D25)+5)&gt;YEAR(E25),1,(12-MONTH(E25)+1)/12))) + (Q25)*(IF((YEAR(D25)+5)&lt;YEAR(E25),0,IF((YEAR(D25)+5)&gt;YEAR(E25),1,(12-MONTH(E25)+1)/12))))-((P25)*(IF((YEAR(D25)+5)&lt;YEAR(E25),0,IF((YEAR(D25)+5)&gt;YEAR(E25),1,(12-MONTH(E25)+1)/12))) + (R25)*(IF((YEAR(D25)+5)&lt;YEAR(E25),0,IF((YEAR(D25)+5)&gt;YEAR(E25),1,(12-MONTH(E25)+1)/12))))-(IF(OR(N25="",N25&lt;=0),0,(O25/N25)*(IF(OR(N25="",N25&lt;=0),0,IF((YEAR(D25)+5)&lt;YEAR(E25),0,IF((YEAR(D25)+5)&gt;=YEAR(E25)+N25,0,IF((YEAR(D25)+5)=YEAR(E25),(12-MONTH(E25)+1)/12,1))))))))&gt;0,(((K25)*(IF(M25="",L25,IFERROR(IF(INDEX(Variablen!$I:$AT, MATCH(M25, Variablen!$A:$A, 0), MATCH((YEAR(D25)+5), Variablen!$I$3:$AT$3, 0))="",L25,INDEX(Variablen!$I:$AT, MATCH(M25, Variablen!$A:$A, 0), MATCH((YEAR(D25)+5), Variablen!$I$3:$AT$3, 0))),L25)))*(IF((YEAR(D25)+5)&lt;YEAR(E25),0,IF((YEAR(D25)+5)&gt;YEAR(E25),1,(12-MONTH(E25)+1)/12))) + (Q25)*(IF((YEAR(D25)+5)&lt;YEAR(E25),0,IF((YEAR(D25)+5)&gt;YEAR(E25),1,(12-MONTH(E25)+1)/12))))-((P25)*(IF((YEAR(D25)+5)&lt;YEAR(E25),0,IF((YEAR(D25)+5)&gt;YEAR(E25),1,(12-MONTH(E25)+1)/12))) + (R25)*(IF((YEAR(D25)+5)&lt;YEAR(E25),0,IF((YEAR(D25)+5)&gt;YEAR(E25),1,(12-MONTH(E25)+1)/12))))-(IF(OR(N25="",N25&lt;=0),0,(O25/N25)*(IF(OR(N25="",N25&lt;=0),0,IF((YEAR(D25)+5)&lt;YEAR(E25),0,IF((YEAR(D25)+5)&gt;=YEAR(E25)+N25,0,IF((YEAR(D25)+5)=YEAR(E25),(12-MONTH(E25)+1)/12,1))))))))*TaxRate,0))-IF(5=0,O25,0))</f>
        <v/>
      </c>
      <c r="Y25" s="29">
        <f>IF(A25="","",((K25)*(IF(M25="",L25,IFERROR(IF(INDEX(Variablen!$I:$AT, MATCH(M25, Variablen!$A:$A, 0), MATCH((YEAR(D25)+6), Variablen!$I$3:$AT$3, 0))="",L25,INDEX(Variablen!$I:$AT, MATCH(M25, Variablen!$A:$A, 0), MATCH((YEAR(D25)+6), Variablen!$I$3:$AT$3, 0))),L25)))*(IF((YEAR(D25)+6)&lt;YEAR(E25),0,IF((YEAR(D25)+6)&gt;YEAR(E25),1,(12-MONTH(E25)+1)/12))) + (Q25)*(IF((YEAR(D25)+6)&lt;YEAR(E25),0,IF((YEAR(D25)+6)&gt;YEAR(E25),1,(12-MONTH(E25)+1)/12))))-((P25)*(IF((YEAR(D25)+6)&lt;YEAR(E25),0,IF((YEAR(D25)+6)&gt;YEAR(E25),1,(12-MONTH(E25)+1)/12))) + (R25)*(IF((YEAR(D25)+6)&lt;YEAR(E25),0,IF((YEAR(D25)+6)&gt;YEAR(E25),1,(12-MONTH(E25)+1)/12))))-(IF((((K25)*(IF(M25="",L25,IFERROR(IF(INDEX(Variablen!$I:$AT, MATCH(M25, Variablen!$A:$A, 0), MATCH((YEAR(D25)+6), Variablen!$I$3:$AT$3, 0))="",L25,INDEX(Variablen!$I:$AT, MATCH(M25, Variablen!$A:$A, 0), MATCH((YEAR(D25)+6), Variablen!$I$3:$AT$3, 0))),L25)))*(IF((YEAR(D25)+6)&lt;YEAR(E25),0,IF((YEAR(D25)+6)&gt;YEAR(E25),1,(12-MONTH(E25)+1)/12))) + (Q25)*(IF((YEAR(D25)+6)&lt;YEAR(E25),0,IF((YEAR(D25)+6)&gt;YEAR(E25),1,(12-MONTH(E25)+1)/12))))-((P25)*(IF((YEAR(D25)+6)&lt;YEAR(E25),0,IF((YEAR(D25)+6)&gt;YEAR(E25),1,(12-MONTH(E25)+1)/12))) + (R25)*(IF((YEAR(D25)+6)&lt;YEAR(E25),0,IF((YEAR(D25)+6)&gt;YEAR(E25),1,(12-MONTH(E25)+1)/12))))-(IF(OR(N25="",N25&lt;=0),0,(O25/N25)*(IF(OR(N25="",N25&lt;=0),0,IF((YEAR(D25)+6)&lt;YEAR(E25),0,IF((YEAR(D25)+6)&gt;=YEAR(E25)+N25,0,IF((YEAR(D25)+6)=YEAR(E25),(12-MONTH(E25)+1)/12,1))))))))&gt;0,(((K25)*(IF(M25="",L25,IFERROR(IF(INDEX(Variablen!$I:$AT, MATCH(M25, Variablen!$A:$A, 0), MATCH((YEAR(D25)+6), Variablen!$I$3:$AT$3, 0))="",L25,INDEX(Variablen!$I:$AT, MATCH(M25, Variablen!$A:$A, 0), MATCH((YEAR(D25)+6), Variablen!$I$3:$AT$3, 0))),L25)))*(IF((YEAR(D25)+6)&lt;YEAR(E25),0,IF((YEAR(D25)+6)&gt;YEAR(E25),1,(12-MONTH(E25)+1)/12))) + (Q25)*(IF((YEAR(D25)+6)&lt;YEAR(E25),0,IF((YEAR(D25)+6)&gt;YEAR(E25),1,(12-MONTH(E25)+1)/12))))-((P25)*(IF((YEAR(D25)+6)&lt;YEAR(E25),0,IF((YEAR(D25)+6)&gt;YEAR(E25),1,(12-MONTH(E25)+1)/12))) + (R25)*(IF((YEAR(D25)+6)&lt;YEAR(E25),0,IF((YEAR(D25)+6)&gt;YEAR(E25),1,(12-MONTH(E25)+1)/12))))-(IF(OR(N25="",N25&lt;=0),0,(O25/N25)*(IF(OR(N25="",N25&lt;=0),0,IF((YEAR(D25)+6)&lt;YEAR(E25),0,IF((YEAR(D25)+6)&gt;=YEAR(E25)+N25,0,IF((YEAR(D25)+6)=YEAR(E25),(12-MONTH(E25)+1)/12,1))))))))*TaxRate,0))-IF(6=0,O25,0))</f>
        <v/>
      </c>
      <c r="Z25" s="29">
        <f>IF(A25="","",((K25)*(IF(M25="",L25,IFERROR(IF(INDEX(Variablen!$I:$AT, MATCH(M25, Variablen!$A:$A, 0), MATCH((YEAR(D25)+7), Variablen!$I$3:$AT$3, 0))="",L25,INDEX(Variablen!$I:$AT, MATCH(M25, Variablen!$A:$A, 0), MATCH((YEAR(D25)+7), Variablen!$I$3:$AT$3, 0))),L25)))*(IF((YEAR(D25)+7)&lt;YEAR(E25),0,IF((YEAR(D25)+7)&gt;YEAR(E25),1,(12-MONTH(E25)+1)/12))) + (Q25)*(IF((YEAR(D25)+7)&lt;YEAR(E25),0,IF((YEAR(D25)+7)&gt;YEAR(E25),1,(12-MONTH(E25)+1)/12))))-((P25)*(IF((YEAR(D25)+7)&lt;YEAR(E25),0,IF((YEAR(D25)+7)&gt;YEAR(E25),1,(12-MONTH(E25)+1)/12))) + (R25)*(IF((YEAR(D25)+7)&lt;YEAR(E25),0,IF((YEAR(D25)+7)&gt;YEAR(E25),1,(12-MONTH(E25)+1)/12))))-(IF((((K25)*(IF(M25="",L25,IFERROR(IF(INDEX(Variablen!$I:$AT, MATCH(M25, Variablen!$A:$A, 0), MATCH((YEAR(D25)+7), Variablen!$I$3:$AT$3, 0))="",L25,INDEX(Variablen!$I:$AT, MATCH(M25, Variablen!$A:$A, 0), MATCH((YEAR(D25)+7), Variablen!$I$3:$AT$3, 0))),L25)))*(IF((YEAR(D25)+7)&lt;YEAR(E25),0,IF((YEAR(D25)+7)&gt;YEAR(E25),1,(12-MONTH(E25)+1)/12))) + (Q25)*(IF((YEAR(D25)+7)&lt;YEAR(E25),0,IF((YEAR(D25)+7)&gt;YEAR(E25),1,(12-MONTH(E25)+1)/12))))-((P25)*(IF((YEAR(D25)+7)&lt;YEAR(E25),0,IF((YEAR(D25)+7)&gt;YEAR(E25),1,(12-MONTH(E25)+1)/12))) + (R25)*(IF((YEAR(D25)+7)&lt;YEAR(E25),0,IF((YEAR(D25)+7)&gt;YEAR(E25),1,(12-MONTH(E25)+1)/12))))-(IF(OR(N25="",N25&lt;=0),0,(O25/N25)*(IF(OR(N25="",N25&lt;=0),0,IF((YEAR(D25)+7)&lt;YEAR(E25),0,IF((YEAR(D25)+7)&gt;=YEAR(E25)+N25,0,IF((YEAR(D25)+7)=YEAR(E25),(12-MONTH(E25)+1)/12,1))))))))&gt;0,(((K25)*(IF(M25="",L25,IFERROR(IF(INDEX(Variablen!$I:$AT, MATCH(M25, Variablen!$A:$A, 0), MATCH((YEAR(D25)+7), Variablen!$I$3:$AT$3, 0))="",L25,INDEX(Variablen!$I:$AT, MATCH(M25, Variablen!$A:$A, 0), MATCH((YEAR(D25)+7), Variablen!$I$3:$AT$3, 0))),L25)))*(IF((YEAR(D25)+7)&lt;YEAR(E25),0,IF((YEAR(D25)+7)&gt;YEAR(E25),1,(12-MONTH(E25)+1)/12))) + (Q25)*(IF((YEAR(D25)+7)&lt;YEAR(E25),0,IF((YEAR(D25)+7)&gt;YEAR(E25),1,(12-MONTH(E25)+1)/12))))-((P25)*(IF((YEAR(D25)+7)&lt;YEAR(E25),0,IF((YEAR(D25)+7)&gt;YEAR(E25),1,(12-MONTH(E25)+1)/12))) + (R25)*(IF((YEAR(D25)+7)&lt;YEAR(E25),0,IF((YEAR(D25)+7)&gt;YEAR(E25),1,(12-MONTH(E25)+1)/12))))-(IF(OR(N25="",N25&lt;=0),0,(O25/N25)*(IF(OR(N25="",N25&lt;=0),0,IF((YEAR(D25)+7)&lt;YEAR(E25),0,IF((YEAR(D25)+7)&gt;=YEAR(E25)+N25,0,IF((YEAR(D25)+7)=YEAR(E25),(12-MONTH(E25)+1)/12,1))))))))*TaxRate,0))-IF(7=0,O25,0))</f>
        <v/>
      </c>
      <c r="AA25" s="29">
        <f>IF(A25="","",((K25)*(IF(M25="",L25,IFERROR(IF(INDEX(Variablen!$I:$AT, MATCH(M25, Variablen!$A:$A, 0), MATCH((YEAR(D25)+8), Variablen!$I$3:$AT$3, 0))="",L25,INDEX(Variablen!$I:$AT, MATCH(M25, Variablen!$A:$A, 0), MATCH((YEAR(D25)+8), Variablen!$I$3:$AT$3, 0))),L25)))*(IF((YEAR(D25)+8)&lt;YEAR(E25),0,IF((YEAR(D25)+8)&gt;YEAR(E25),1,(12-MONTH(E25)+1)/12))) + (Q25)*(IF((YEAR(D25)+8)&lt;YEAR(E25),0,IF((YEAR(D25)+8)&gt;YEAR(E25),1,(12-MONTH(E25)+1)/12))))-((P25)*(IF((YEAR(D25)+8)&lt;YEAR(E25),0,IF((YEAR(D25)+8)&gt;YEAR(E25),1,(12-MONTH(E25)+1)/12))) + (R25)*(IF((YEAR(D25)+8)&lt;YEAR(E25),0,IF((YEAR(D25)+8)&gt;YEAR(E25),1,(12-MONTH(E25)+1)/12))))-(IF((((K25)*(IF(M25="",L25,IFERROR(IF(INDEX(Variablen!$I:$AT, MATCH(M25, Variablen!$A:$A, 0), MATCH((YEAR(D25)+8), Variablen!$I$3:$AT$3, 0))="",L25,INDEX(Variablen!$I:$AT, MATCH(M25, Variablen!$A:$A, 0), MATCH((YEAR(D25)+8), Variablen!$I$3:$AT$3, 0))),L25)))*(IF((YEAR(D25)+8)&lt;YEAR(E25),0,IF((YEAR(D25)+8)&gt;YEAR(E25),1,(12-MONTH(E25)+1)/12))) + (Q25)*(IF((YEAR(D25)+8)&lt;YEAR(E25),0,IF((YEAR(D25)+8)&gt;YEAR(E25),1,(12-MONTH(E25)+1)/12))))-((P25)*(IF((YEAR(D25)+8)&lt;YEAR(E25),0,IF((YEAR(D25)+8)&gt;YEAR(E25),1,(12-MONTH(E25)+1)/12))) + (R25)*(IF((YEAR(D25)+8)&lt;YEAR(E25),0,IF((YEAR(D25)+8)&gt;YEAR(E25),1,(12-MONTH(E25)+1)/12))))-(IF(OR(N25="",N25&lt;=0),0,(O25/N25)*(IF(OR(N25="",N25&lt;=0),0,IF((YEAR(D25)+8)&lt;YEAR(E25),0,IF((YEAR(D25)+8)&gt;=YEAR(E25)+N25,0,IF((YEAR(D25)+8)=YEAR(E25),(12-MONTH(E25)+1)/12,1))))))))&gt;0,(((K25)*(IF(M25="",L25,IFERROR(IF(INDEX(Variablen!$I:$AT, MATCH(M25, Variablen!$A:$A, 0), MATCH((YEAR(D25)+8), Variablen!$I$3:$AT$3, 0))="",L25,INDEX(Variablen!$I:$AT, MATCH(M25, Variablen!$A:$A, 0), MATCH((YEAR(D25)+8), Variablen!$I$3:$AT$3, 0))),L25)))*(IF((YEAR(D25)+8)&lt;YEAR(E25),0,IF((YEAR(D25)+8)&gt;YEAR(E25),1,(12-MONTH(E25)+1)/12))) + (Q25)*(IF((YEAR(D25)+8)&lt;YEAR(E25),0,IF((YEAR(D25)+8)&gt;YEAR(E25),1,(12-MONTH(E25)+1)/12))))-((P25)*(IF((YEAR(D25)+8)&lt;YEAR(E25),0,IF((YEAR(D25)+8)&gt;YEAR(E25),1,(12-MONTH(E25)+1)/12))) + (R25)*(IF((YEAR(D25)+8)&lt;YEAR(E25),0,IF((YEAR(D25)+8)&gt;YEAR(E25),1,(12-MONTH(E25)+1)/12))))-(IF(OR(N25="",N25&lt;=0),0,(O25/N25)*(IF(OR(N25="",N25&lt;=0),0,IF((YEAR(D25)+8)&lt;YEAR(E25),0,IF((YEAR(D25)+8)&gt;=YEAR(E25)+N25,0,IF((YEAR(D25)+8)=YEAR(E25),(12-MONTH(E25)+1)/12,1))))))))*TaxRate,0))-IF(8=0,O25,0))</f>
        <v/>
      </c>
      <c r="AB25" s="29">
        <f>IF(A25="","",((K25)*(IF(M25="",L25,IFERROR(IF(INDEX(Variablen!$I:$AT, MATCH(M25, Variablen!$A:$A, 0), MATCH((YEAR(D25)+9), Variablen!$I$3:$AT$3, 0))="",L25,INDEX(Variablen!$I:$AT, MATCH(M25, Variablen!$A:$A, 0), MATCH((YEAR(D25)+9), Variablen!$I$3:$AT$3, 0))),L25)))*(IF((YEAR(D25)+9)&lt;YEAR(E25),0,IF((YEAR(D25)+9)&gt;YEAR(E25),1,(12-MONTH(E25)+1)/12))) + (Q25)*(IF((YEAR(D25)+9)&lt;YEAR(E25),0,IF((YEAR(D25)+9)&gt;YEAR(E25),1,(12-MONTH(E25)+1)/12))))-((P25)*(IF((YEAR(D25)+9)&lt;YEAR(E25),0,IF((YEAR(D25)+9)&gt;YEAR(E25),1,(12-MONTH(E25)+1)/12))) + (R25)*(IF((YEAR(D25)+9)&lt;YEAR(E25),0,IF((YEAR(D25)+9)&gt;YEAR(E25),1,(12-MONTH(E25)+1)/12))))-(IF((((K25)*(IF(M25="",L25,IFERROR(IF(INDEX(Variablen!$I:$AT, MATCH(M25, Variablen!$A:$A, 0), MATCH((YEAR(D25)+9), Variablen!$I$3:$AT$3, 0))="",L25,INDEX(Variablen!$I:$AT, MATCH(M25, Variablen!$A:$A, 0), MATCH((YEAR(D25)+9), Variablen!$I$3:$AT$3, 0))),L25)))*(IF((YEAR(D25)+9)&lt;YEAR(E25),0,IF((YEAR(D25)+9)&gt;YEAR(E25),1,(12-MONTH(E25)+1)/12))) + (Q25)*(IF((YEAR(D25)+9)&lt;YEAR(E25),0,IF((YEAR(D25)+9)&gt;YEAR(E25),1,(12-MONTH(E25)+1)/12))))-((P25)*(IF((YEAR(D25)+9)&lt;YEAR(E25),0,IF((YEAR(D25)+9)&gt;YEAR(E25),1,(12-MONTH(E25)+1)/12))) + (R25)*(IF((YEAR(D25)+9)&lt;YEAR(E25),0,IF((YEAR(D25)+9)&gt;YEAR(E25),1,(12-MONTH(E25)+1)/12))))-(IF(OR(N25="",N25&lt;=0),0,(O25/N25)*(IF(OR(N25="",N25&lt;=0),0,IF((YEAR(D25)+9)&lt;YEAR(E25),0,IF((YEAR(D25)+9)&gt;=YEAR(E25)+N25,0,IF((YEAR(D25)+9)=YEAR(E25),(12-MONTH(E25)+1)/12,1))))))))&gt;0,(((K25)*(IF(M25="",L25,IFERROR(IF(INDEX(Variablen!$I:$AT, MATCH(M25, Variablen!$A:$A, 0), MATCH((YEAR(D25)+9), Variablen!$I$3:$AT$3, 0))="",L25,INDEX(Variablen!$I:$AT, MATCH(M25, Variablen!$A:$A, 0), MATCH((YEAR(D25)+9), Variablen!$I$3:$AT$3, 0))),L25)))*(IF((YEAR(D25)+9)&lt;YEAR(E25),0,IF((YEAR(D25)+9)&gt;YEAR(E25),1,(12-MONTH(E25)+1)/12))) + (Q25)*(IF((YEAR(D25)+9)&lt;YEAR(E25),0,IF((YEAR(D25)+9)&gt;YEAR(E25),1,(12-MONTH(E25)+1)/12))))-((P25)*(IF((YEAR(D25)+9)&lt;YEAR(E25),0,IF((YEAR(D25)+9)&gt;YEAR(E25),1,(12-MONTH(E25)+1)/12))) + (R25)*(IF((YEAR(D25)+9)&lt;YEAR(E25),0,IF((YEAR(D25)+9)&gt;YEAR(E25),1,(12-MONTH(E25)+1)/12))))-(IF(OR(N25="",N25&lt;=0),0,(O25/N25)*(IF(OR(N25="",N25&lt;=0),0,IF((YEAR(D25)+9)&lt;YEAR(E25),0,IF((YEAR(D25)+9)&gt;=YEAR(E25)+N25,0,IF((YEAR(D25)+9)=YEAR(E25),(12-MONTH(E25)+1)/12,1))))))))*TaxRate,0))-IF(9=0,O25,0))</f>
        <v/>
      </c>
      <c r="AC25" s="29">
        <f>IF(A25="","",((K25)*(IF(M25="",L25,IFERROR(IF(INDEX(Variablen!$I:$AT, MATCH(M25, Variablen!$A:$A, 0), MATCH((YEAR(D25)+10), Variablen!$I$3:$AT$3, 0))="",L25,INDEX(Variablen!$I:$AT, MATCH(M25, Variablen!$A:$A, 0), MATCH((YEAR(D25)+10), Variablen!$I$3:$AT$3, 0))),L25)))*(IF((YEAR(D25)+10)&lt;YEAR(E25),0,IF((YEAR(D25)+10)&gt;YEAR(E25),1,(12-MONTH(E25)+1)/12))) + (Q25)*(IF((YEAR(D25)+10)&lt;YEAR(E25),0,IF((YEAR(D25)+10)&gt;YEAR(E25),1,(12-MONTH(E25)+1)/12))))-((P25)*(IF((YEAR(D25)+10)&lt;YEAR(E25),0,IF((YEAR(D25)+10)&gt;YEAR(E25),1,(12-MONTH(E25)+1)/12))) + (R25)*(IF((YEAR(D25)+10)&lt;YEAR(E25),0,IF((YEAR(D25)+10)&gt;YEAR(E25),1,(12-MONTH(E25)+1)/12))))-(IF((((K25)*(IF(M25="",L25,IFERROR(IF(INDEX(Variablen!$I:$AT, MATCH(M25, Variablen!$A:$A, 0), MATCH((YEAR(D25)+10), Variablen!$I$3:$AT$3, 0))="",L25,INDEX(Variablen!$I:$AT, MATCH(M25, Variablen!$A:$A, 0), MATCH((YEAR(D25)+10), Variablen!$I$3:$AT$3, 0))),L25)))*(IF((YEAR(D25)+10)&lt;YEAR(E25),0,IF((YEAR(D25)+10)&gt;YEAR(E25),1,(12-MONTH(E25)+1)/12))) + (Q25)*(IF((YEAR(D25)+10)&lt;YEAR(E25),0,IF((YEAR(D25)+10)&gt;YEAR(E25),1,(12-MONTH(E25)+1)/12))))-((P25)*(IF((YEAR(D25)+10)&lt;YEAR(E25),0,IF((YEAR(D25)+10)&gt;YEAR(E25),1,(12-MONTH(E25)+1)/12))) + (R25)*(IF((YEAR(D25)+10)&lt;YEAR(E25),0,IF((YEAR(D25)+10)&gt;YEAR(E25),1,(12-MONTH(E25)+1)/12))))-(IF(OR(N25="",N25&lt;=0),0,(O25/N25)*(IF(OR(N25="",N25&lt;=0),0,IF((YEAR(D25)+10)&lt;YEAR(E25),0,IF((YEAR(D25)+10)&gt;=YEAR(E25)+N25,0,IF((YEAR(D25)+10)=YEAR(E25),(12-MONTH(E25)+1)/12,1))))))))&gt;0,(((K25)*(IF(M25="",L25,IFERROR(IF(INDEX(Variablen!$I:$AT, MATCH(M25, Variablen!$A:$A, 0), MATCH((YEAR(D25)+10), Variablen!$I$3:$AT$3, 0))="",L25,INDEX(Variablen!$I:$AT, MATCH(M25, Variablen!$A:$A, 0), MATCH((YEAR(D25)+10), Variablen!$I$3:$AT$3, 0))),L25)))*(IF((YEAR(D25)+10)&lt;YEAR(E25),0,IF((YEAR(D25)+10)&gt;YEAR(E25),1,(12-MONTH(E25)+1)/12))) + (Q25)*(IF((YEAR(D25)+10)&lt;YEAR(E25),0,IF((YEAR(D25)+10)&gt;YEAR(E25),1,(12-MONTH(E25)+1)/12))))-((P25)*(IF((YEAR(D25)+10)&lt;YEAR(E25),0,IF((YEAR(D25)+10)&gt;YEAR(E25),1,(12-MONTH(E25)+1)/12))) + (R25)*(IF((YEAR(D25)+10)&lt;YEAR(E25),0,IF((YEAR(D25)+10)&gt;YEAR(E25),1,(12-MONTH(E25)+1)/12))))-(IF(OR(N25="",N25&lt;=0),0,(O25/N25)*(IF(OR(N25="",N25&lt;=0),0,IF((YEAR(D25)+10)&lt;YEAR(E25),0,IF((YEAR(D25)+10)&gt;=YEAR(E25)+N25,0,IF((YEAR(D25)+10)=YEAR(E25),(12-MONTH(E25)+1)/12,1))))))))*TaxRate,0))-IF(10=0,O25,0))</f>
        <v/>
      </c>
      <c r="AD25" s="29">
        <f>IF(A25="","",((K25)*(IF(M25="",L25,IFERROR(IF(INDEX(Variablen!$I:$AT, MATCH(M25, Variablen!$A:$A, 0), MATCH((YEAR(D25)+11), Variablen!$I$3:$AT$3, 0))="",L25,INDEX(Variablen!$I:$AT, MATCH(M25, Variablen!$A:$A, 0), MATCH((YEAR(D25)+11), Variablen!$I$3:$AT$3, 0))),L25)))*(IF((YEAR(D25)+11)&lt;YEAR(E25),0,IF((YEAR(D25)+11)&gt;YEAR(E25),1,(12-MONTH(E25)+1)/12))) + (Q25)*(IF((YEAR(D25)+11)&lt;YEAR(E25),0,IF((YEAR(D25)+11)&gt;YEAR(E25),1,(12-MONTH(E25)+1)/12))))-((P25)*(IF((YEAR(D25)+11)&lt;YEAR(E25),0,IF((YEAR(D25)+11)&gt;YEAR(E25),1,(12-MONTH(E25)+1)/12))) + (R25)*(IF((YEAR(D25)+11)&lt;YEAR(E25),0,IF((YEAR(D25)+11)&gt;YEAR(E25),1,(12-MONTH(E25)+1)/12))))-(IF((((K25)*(IF(M25="",L25,IFERROR(IF(INDEX(Variablen!$I:$AT, MATCH(M25, Variablen!$A:$A, 0), MATCH((YEAR(D25)+11), Variablen!$I$3:$AT$3, 0))="",L25,INDEX(Variablen!$I:$AT, MATCH(M25, Variablen!$A:$A, 0), MATCH((YEAR(D25)+11), Variablen!$I$3:$AT$3, 0))),L25)))*(IF((YEAR(D25)+11)&lt;YEAR(E25),0,IF((YEAR(D25)+11)&gt;YEAR(E25),1,(12-MONTH(E25)+1)/12))) + (Q25)*(IF((YEAR(D25)+11)&lt;YEAR(E25),0,IF((YEAR(D25)+11)&gt;YEAR(E25),1,(12-MONTH(E25)+1)/12))))-((P25)*(IF((YEAR(D25)+11)&lt;YEAR(E25),0,IF((YEAR(D25)+11)&gt;YEAR(E25),1,(12-MONTH(E25)+1)/12))) + (R25)*(IF((YEAR(D25)+11)&lt;YEAR(E25),0,IF((YEAR(D25)+11)&gt;YEAR(E25),1,(12-MONTH(E25)+1)/12))))-(IF(OR(N25="",N25&lt;=0),0,(O25/N25)*(IF(OR(N25="",N25&lt;=0),0,IF((YEAR(D25)+11)&lt;YEAR(E25),0,IF((YEAR(D25)+11)&gt;=YEAR(E25)+N25,0,IF((YEAR(D25)+11)=YEAR(E25),(12-MONTH(E25)+1)/12,1))))))))&gt;0,(((K25)*(IF(M25="",L25,IFERROR(IF(INDEX(Variablen!$I:$AT, MATCH(M25, Variablen!$A:$A, 0), MATCH((YEAR(D25)+11), Variablen!$I$3:$AT$3, 0))="",L25,INDEX(Variablen!$I:$AT, MATCH(M25, Variablen!$A:$A, 0), MATCH((YEAR(D25)+11), Variablen!$I$3:$AT$3, 0))),L25)))*(IF((YEAR(D25)+11)&lt;YEAR(E25),0,IF((YEAR(D25)+11)&gt;YEAR(E25),1,(12-MONTH(E25)+1)/12))) + (Q25)*(IF((YEAR(D25)+11)&lt;YEAR(E25),0,IF((YEAR(D25)+11)&gt;YEAR(E25),1,(12-MONTH(E25)+1)/12))))-((P25)*(IF((YEAR(D25)+11)&lt;YEAR(E25),0,IF((YEAR(D25)+11)&gt;YEAR(E25),1,(12-MONTH(E25)+1)/12))) + (R25)*(IF((YEAR(D25)+11)&lt;YEAR(E25),0,IF((YEAR(D25)+11)&gt;YEAR(E25),1,(12-MONTH(E25)+1)/12))))-(IF(OR(N25="",N25&lt;=0),0,(O25/N25)*(IF(OR(N25="",N25&lt;=0),0,IF((YEAR(D25)+11)&lt;YEAR(E25),0,IF((YEAR(D25)+11)&gt;=YEAR(E25)+N25,0,IF((YEAR(D25)+11)=YEAR(E25),(12-MONTH(E25)+1)/12,1))))))))*TaxRate,0))-IF(11=0,O25,0))</f>
        <v/>
      </c>
      <c r="AE25" s="29">
        <f>IF(A25="","",((K25)*(IF(M25="",L25,IFERROR(IF(INDEX(Variablen!$I:$AT, MATCH(M25, Variablen!$A:$A, 0), MATCH((YEAR(D25)+12), Variablen!$I$3:$AT$3, 0))="",L25,INDEX(Variablen!$I:$AT, MATCH(M25, Variablen!$A:$A, 0), MATCH((YEAR(D25)+12), Variablen!$I$3:$AT$3, 0))),L25)))*(IF((YEAR(D25)+12)&lt;YEAR(E25),0,IF((YEAR(D25)+12)&gt;YEAR(E25),1,(12-MONTH(E25)+1)/12))) + (Q25)*(IF((YEAR(D25)+12)&lt;YEAR(E25),0,IF((YEAR(D25)+12)&gt;YEAR(E25),1,(12-MONTH(E25)+1)/12))))-((P25)*(IF((YEAR(D25)+12)&lt;YEAR(E25),0,IF((YEAR(D25)+12)&gt;YEAR(E25),1,(12-MONTH(E25)+1)/12))) + (R25)*(IF((YEAR(D25)+12)&lt;YEAR(E25),0,IF((YEAR(D25)+12)&gt;YEAR(E25),1,(12-MONTH(E25)+1)/12))))-(IF((((K25)*(IF(M25="",L25,IFERROR(IF(INDEX(Variablen!$I:$AT, MATCH(M25, Variablen!$A:$A, 0), MATCH((YEAR(D25)+12), Variablen!$I$3:$AT$3, 0))="",L25,INDEX(Variablen!$I:$AT, MATCH(M25, Variablen!$A:$A, 0), MATCH((YEAR(D25)+12), Variablen!$I$3:$AT$3, 0))),L25)))*(IF((YEAR(D25)+12)&lt;YEAR(E25),0,IF((YEAR(D25)+12)&gt;YEAR(E25),1,(12-MONTH(E25)+1)/12))) + (Q25)*(IF((YEAR(D25)+12)&lt;YEAR(E25),0,IF((YEAR(D25)+12)&gt;YEAR(E25),1,(12-MONTH(E25)+1)/12))))-((P25)*(IF((YEAR(D25)+12)&lt;YEAR(E25),0,IF((YEAR(D25)+12)&gt;YEAR(E25),1,(12-MONTH(E25)+1)/12))) + (R25)*(IF((YEAR(D25)+12)&lt;YEAR(E25),0,IF((YEAR(D25)+12)&gt;YEAR(E25),1,(12-MONTH(E25)+1)/12))))-(IF(OR(N25="",N25&lt;=0),0,(O25/N25)*(IF(OR(N25="",N25&lt;=0),0,IF((YEAR(D25)+12)&lt;YEAR(E25),0,IF((YEAR(D25)+12)&gt;=YEAR(E25)+N25,0,IF((YEAR(D25)+12)=YEAR(E25),(12-MONTH(E25)+1)/12,1))))))))&gt;0,(((K25)*(IF(M25="",L25,IFERROR(IF(INDEX(Variablen!$I:$AT, MATCH(M25, Variablen!$A:$A, 0), MATCH((YEAR(D25)+12), Variablen!$I$3:$AT$3, 0))="",L25,INDEX(Variablen!$I:$AT, MATCH(M25, Variablen!$A:$A, 0), MATCH((YEAR(D25)+12), Variablen!$I$3:$AT$3, 0))),L25)))*(IF((YEAR(D25)+12)&lt;YEAR(E25),0,IF((YEAR(D25)+12)&gt;YEAR(E25),1,(12-MONTH(E25)+1)/12))) + (Q25)*(IF((YEAR(D25)+12)&lt;YEAR(E25),0,IF((YEAR(D25)+12)&gt;YEAR(E25),1,(12-MONTH(E25)+1)/12))))-((P25)*(IF((YEAR(D25)+12)&lt;YEAR(E25),0,IF((YEAR(D25)+12)&gt;YEAR(E25),1,(12-MONTH(E25)+1)/12))) + (R25)*(IF((YEAR(D25)+12)&lt;YEAR(E25),0,IF((YEAR(D25)+12)&gt;YEAR(E25),1,(12-MONTH(E25)+1)/12))))-(IF(OR(N25="",N25&lt;=0),0,(O25/N25)*(IF(OR(N25="",N25&lt;=0),0,IF((YEAR(D25)+12)&lt;YEAR(E25),0,IF((YEAR(D25)+12)&gt;=YEAR(E25)+N25,0,IF((YEAR(D25)+12)=YEAR(E25),(12-MONTH(E25)+1)/12,1))))))))*TaxRate,0))-IF(12=0,O25,0))</f>
        <v/>
      </c>
      <c r="AF25" s="29">
        <f>IF(A25="","",((K25)*(IF(M25="",L25,IFERROR(IF(INDEX(Variablen!$I:$AT, MATCH(M25, Variablen!$A:$A, 0), MATCH((YEAR(D25)+13), Variablen!$I$3:$AT$3, 0))="",L25,INDEX(Variablen!$I:$AT, MATCH(M25, Variablen!$A:$A, 0), MATCH((YEAR(D25)+13), Variablen!$I$3:$AT$3, 0))),L25)))*(IF((YEAR(D25)+13)&lt;YEAR(E25),0,IF((YEAR(D25)+13)&gt;YEAR(E25),1,(12-MONTH(E25)+1)/12))) + (Q25)*(IF((YEAR(D25)+13)&lt;YEAR(E25),0,IF((YEAR(D25)+13)&gt;YEAR(E25),1,(12-MONTH(E25)+1)/12))))-((P25)*(IF((YEAR(D25)+13)&lt;YEAR(E25),0,IF((YEAR(D25)+13)&gt;YEAR(E25),1,(12-MONTH(E25)+1)/12))) + (R25)*(IF((YEAR(D25)+13)&lt;YEAR(E25),0,IF((YEAR(D25)+13)&gt;YEAR(E25),1,(12-MONTH(E25)+1)/12))))-(IF((((K25)*(IF(M25="",L25,IFERROR(IF(INDEX(Variablen!$I:$AT, MATCH(M25, Variablen!$A:$A, 0), MATCH((YEAR(D25)+13), Variablen!$I$3:$AT$3, 0))="",L25,INDEX(Variablen!$I:$AT, MATCH(M25, Variablen!$A:$A, 0), MATCH((YEAR(D25)+13), Variablen!$I$3:$AT$3, 0))),L25)))*(IF((YEAR(D25)+13)&lt;YEAR(E25),0,IF((YEAR(D25)+13)&gt;YEAR(E25),1,(12-MONTH(E25)+1)/12))) + (Q25)*(IF((YEAR(D25)+13)&lt;YEAR(E25),0,IF((YEAR(D25)+13)&gt;YEAR(E25),1,(12-MONTH(E25)+1)/12))))-((P25)*(IF((YEAR(D25)+13)&lt;YEAR(E25),0,IF((YEAR(D25)+13)&gt;YEAR(E25),1,(12-MONTH(E25)+1)/12))) + (R25)*(IF((YEAR(D25)+13)&lt;YEAR(E25),0,IF((YEAR(D25)+13)&gt;YEAR(E25),1,(12-MONTH(E25)+1)/12))))-(IF(OR(N25="",N25&lt;=0),0,(O25/N25)*(IF(OR(N25="",N25&lt;=0),0,IF((YEAR(D25)+13)&lt;YEAR(E25),0,IF((YEAR(D25)+13)&gt;=YEAR(E25)+N25,0,IF((YEAR(D25)+13)=YEAR(E25),(12-MONTH(E25)+1)/12,1))))))))&gt;0,(((K25)*(IF(M25="",L25,IFERROR(IF(INDEX(Variablen!$I:$AT, MATCH(M25, Variablen!$A:$A, 0), MATCH((YEAR(D25)+13), Variablen!$I$3:$AT$3, 0))="",L25,INDEX(Variablen!$I:$AT, MATCH(M25, Variablen!$A:$A, 0), MATCH((YEAR(D25)+13), Variablen!$I$3:$AT$3, 0))),L25)))*(IF((YEAR(D25)+13)&lt;YEAR(E25),0,IF((YEAR(D25)+13)&gt;YEAR(E25),1,(12-MONTH(E25)+1)/12))) + (Q25)*(IF((YEAR(D25)+13)&lt;YEAR(E25),0,IF((YEAR(D25)+13)&gt;YEAR(E25),1,(12-MONTH(E25)+1)/12))))-((P25)*(IF((YEAR(D25)+13)&lt;YEAR(E25),0,IF((YEAR(D25)+13)&gt;YEAR(E25),1,(12-MONTH(E25)+1)/12))) + (R25)*(IF((YEAR(D25)+13)&lt;YEAR(E25),0,IF((YEAR(D25)+13)&gt;YEAR(E25),1,(12-MONTH(E25)+1)/12))))-(IF(OR(N25="",N25&lt;=0),0,(O25/N25)*(IF(OR(N25="",N25&lt;=0),0,IF((YEAR(D25)+13)&lt;YEAR(E25),0,IF((YEAR(D25)+13)&gt;=YEAR(E25)+N25,0,IF((YEAR(D25)+13)=YEAR(E25),(12-MONTH(E25)+1)/12,1))))))))*TaxRate,0))-IF(13=0,O25,0))</f>
        <v/>
      </c>
      <c r="AG25" s="29">
        <f>IF(A25="","",((K25)*(IF(M25="",L25,IFERROR(IF(INDEX(Variablen!$I:$AT, MATCH(M25, Variablen!$A:$A, 0), MATCH((YEAR(D25)+14), Variablen!$I$3:$AT$3, 0))="",L25,INDEX(Variablen!$I:$AT, MATCH(M25, Variablen!$A:$A, 0), MATCH((YEAR(D25)+14), Variablen!$I$3:$AT$3, 0))),L25)))*(IF((YEAR(D25)+14)&lt;YEAR(E25),0,IF((YEAR(D25)+14)&gt;YEAR(E25),1,(12-MONTH(E25)+1)/12))) + (Q25)*(IF((YEAR(D25)+14)&lt;YEAR(E25),0,IF((YEAR(D25)+14)&gt;YEAR(E25),1,(12-MONTH(E25)+1)/12))))-((P25)*(IF((YEAR(D25)+14)&lt;YEAR(E25),0,IF((YEAR(D25)+14)&gt;YEAR(E25),1,(12-MONTH(E25)+1)/12))) + (R25)*(IF((YEAR(D25)+14)&lt;YEAR(E25),0,IF((YEAR(D25)+14)&gt;YEAR(E25),1,(12-MONTH(E25)+1)/12))))-(IF((((K25)*(IF(M25="",L25,IFERROR(IF(INDEX(Variablen!$I:$AT, MATCH(M25, Variablen!$A:$A, 0), MATCH((YEAR(D25)+14), Variablen!$I$3:$AT$3, 0))="",L25,INDEX(Variablen!$I:$AT, MATCH(M25, Variablen!$A:$A, 0), MATCH((YEAR(D25)+14), Variablen!$I$3:$AT$3, 0))),L25)))*(IF((YEAR(D25)+14)&lt;YEAR(E25),0,IF((YEAR(D25)+14)&gt;YEAR(E25),1,(12-MONTH(E25)+1)/12))) + (Q25)*(IF((YEAR(D25)+14)&lt;YEAR(E25),0,IF((YEAR(D25)+14)&gt;YEAR(E25),1,(12-MONTH(E25)+1)/12))))-((P25)*(IF((YEAR(D25)+14)&lt;YEAR(E25),0,IF((YEAR(D25)+14)&gt;YEAR(E25),1,(12-MONTH(E25)+1)/12))) + (R25)*(IF((YEAR(D25)+14)&lt;YEAR(E25),0,IF((YEAR(D25)+14)&gt;YEAR(E25),1,(12-MONTH(E25)+1)/12))))-(IF(OR(N25="",N25&lt;=0),0,(O25/N25)*(IF(OR(N25="",N25&lt;=0),0,IF((YEAR(D25)+14)&lt;YEAR(E25),0,IF((YEAR(D25)+14)&gt;=YEAR(E25)+N25,0,IF((YEAR(D25)+14)=YEAR(E25),(12-MONTH(E25)+1)/12,1))))))))&gt;0,(((K25)*(IF(M25="",L25,IFERROR(IF(INDEX(Variablen!$I:$AT, MATCH(M25, Variablen!$A:$A, 0), MATCH((YEAR(D25)+14), Variablen!$I$3:$AT$3, 0))="",L25,INDEX(Variablen!$I:$AT, MATCH(M25, Variablen!$A:$A, 0), MATCH((YEAR(D25)+14), Variablen!$I$3:$AT$3, 0))),L25)))*(IF((YEAR(D25)+14)&lt;YEAR(E25),0,IF((YEAR(D25)+14)&gt;YEAR(E25),1,(12-MONTH(E25)+1)/12))) + (Q25)*(IF((YEAR(D25)+14)&lt;YEAR(E25),0,IF((YEAR(D25)+14)&gt;YEAR(E25),1,(12-MONTH(E25)+1)/12))))-((P25)*(IF((YEAR(D25)+14)&lt;YEAR(E25),0,IF((YEAR(D25)+14)&gt;YEAR(E25),1,(12-MONTH(E25)+1)/12))) + (R25)*(IF((YEAR(D25)+14)&lt;YEAR(E25),0,IF((YEAR(D25)+14)&gt;YEAR(E25),1,(12-MONTH(E25)+1)/12))))-(IF(OR(N25="",N25&lt;=0),0,(O25/N25)*(IF(OR(N25="",N25&lt;=0),0,IF((YEAR(D25)+14)&lt;YEAR(E25),0,IF((YEAR(D25)+14)&gt;=YEAR(E25)+N25,0,IF((YEAR(D25)+14)=YEAR(E25),(12-MONTH(E25)+1)/12,1))))))))*TaxRate,0))-IF(14=0,O25,0))</f>
        <v/>
      </c>
      <c r="AH25" s="29">
        <f>IF(A25="","",((K25)*(IF(M25="",L25,IFERROR(IF(INDEX(Variablen!$I:$AT, MATCH(M25, Variablen!$A:$A, 0), MATCH((YEAR(D25)+15), Variablen!$I$3:$AT$3, 0))="",L25,INDEX(Variablen!$I:$AT, MATCH(M25, Variablen!$A:$A, 0), MATCH((YEAR(D25)+15), Variablen!$I$3:$AT$3, 0))),L25)))*(IF((YEAR(D25)+15)&lt;YEAR(E25),0,IF((YEAR(D25)+15)&gt;YEAR(E25),1,(12-MONTH(E25)+1)/12))) + (Q25)*(IF((YEAR(D25)+15)&lt;YEAR(E25),0,IF((YEAR(D25)+15)&gt;YEAR(E25),1,(12-MONTH(E25)+1)/12))))-((P25)*(IF((YEAR(D25)+15)&lt;YEAR(E25),0,IF((YEAR(D25)+15)&gt;YEAR(E25),1,(12-MONTH(E25)+1)/12))) + (R25)*(IF((YEAR(D25)+15)&lt;YEAR(E25),0,IF((YEAR(D25)+15)&gt;YEAR(E25),1,(12-MONTH(E25)+1)/12))))-(IF((((K25)*(IF(M25="",L25,IFERROR(IF(INDEX(Variablen!$I:$AT, MATCH(M25, Variablen!$A:$A, 0), MATCH((YEAR(D25)+15), Variablen!$I$3:$AT$3, 0))="",L25,INDEX(Variablen!$I:$AT, MATCH(M25, Variablen!$A:$A, 0), MATCH((YEAR(D25)+15), Variablen!$I$3:$AT$3, 0))),L25)))*(IF((YEAR(D25)+15)&lt;YEAR(E25),0,IF((YEAR(D25)+15)&gt;YEAR(E25),1,(12-MONTH(E25)+1)/12))) + (Q25)*(IF((YEAR(D25)+15)&lt;YEAR(E25),0,IF((YEAR(D25)+15)&gt;YEAR(E25),1,(12-MONTH(E25)+1)/12))))-((P25)*(IF((YEAR(D25)+15)&lt;YEAR(E25),0,IF((YEAR(D25)+15)&gt;YEAR(E25),1,(12-MONTH(E25)+1)/12))) + (R25)*(IF((YEAR(D25)+15)&lt;YEAR(E25),0,IF((YEAR(D25)+15)&gt;YEAR(E25),1,(12-MONTH(E25)+1)/12))))-(IF(OR(N25="",N25&lt;=0),0,(O25/N25)*(IF(OR(N25="",N25&lt;=0),0,IF((YEAR(D25)+15)&lt;YEAR(E25),0,IF((YEAR(D25)+15)&gt;=YEAR(E25)+N25,0,IF((YEAR(D25)+15)=YEAR(E25),(12-MONTH(E25)+1)/12,1))))))))&gt;0,(((K25)*(IF(M25="",L25,IFERROR(IF(INDEX(Variablen!$I:$AT, MATCH(M25, Variablen!$A:$A, 0), MATCH((YEAR(D25)+15), Variablen!$I$3:$AT$3, 0))="",L25,INDEX(Variablen!$I:$AT, MATCH(M25, Variablen!$A:$A, 0), MATCH((YEAR(D25)+15), Variablen!$I$3:$AT$3, 0))),L25)))*(IF((YEAR(D25)+15)&lt;YEAR(E25),0,IF((YEAR(D25)+15)&gt;YEAR(E25),1,(12-MONTH(E25)+1)/12))) + (Q25)*(IF((YEAR(D25)+15)&lt;YEAR(E25),0,IF((YEAR(D25)+15)&gt;YEAR(E25),1,(12-MONTH(E25)+1)/12))))-((P25)*(IF((YEAR(D25)+15)&lt;YEAR(E25),0,IF((YEAR(D25)+15)&gt;YEAR(E25),1,(12-MONTH(E25)+1)/12))) + (R25)*(IF((YEAR(D25)+15)&lt;YEAR(E25),0,IF((YEAR(D25)+15)&gt;YEAR(E25),1,(12-MONTH(E25)+1)/12))))-(IF(OR(N25="",N25&lt;=0),0,(O25/N25)*(IF(OR(N25="",N25&lt;=0),0,IF((YEAR(D25)+15)&lt;YEAR(E25),0,IF((YEAR(D25)+15)&gt;=YEAR(E25)+N25,0,IF((YEAR(D25)+15)=YEAR(E25),(12-MONTH(E25)+1)/12,1))))))))*TaxRate,0))-IF(15=0,O25,0))</f>
        <v/>
      </c>
      <c r="AI25" s="29">
        <f>IF(A25="","",((K25)*(IF(M25="",L25,IFERROR(IF(INDEX(Variablen!$I:$AT, MATCH(M25, Variablen!$A:$A, 0), MATCH((YEAR(D25)+16), Variablen!$I$3:$AT$3, 0))="",L25,INDEX(Variablen!$I:$AT, MATCH(M25, Variablen!$A:$A, 0), MATCH((YEAR(D25)+16), Variablen!$I$3:$AT$3, 0))),L25)))*(IF((YEAR(D25)+16)&lt;YEAR(E25),0,IF((YEAR(D25)+16)&gt;YEAR(E25),1,(12-MONTH(E25)+1)/12))) + (Q25)*(IF((YEAR(D25)+16)&lt;YEAR(E25),0,IF((YEAR(D25)+16)&gt;YEAR(E25),1,(12-MONTH(E25)+1)/12))))-((P25)*(IF((YEAR(D25)+16)&lt;YEAR(E25),0,IF((YEAR(D25)+16)&gt;YEAR(E25),1,(12-MONTH(E25)+1)/12))) + (R25)*(IF((YEAR(D25)+16)&lt;YEAR(E25),0,IF((YEAR(D25)+16)&gt;YEAR(E25),1,(12-MONTH(E25)+1)/12))))-(IF((((K25)*(IF(M25="",L25,IFERROR(IF(INDEX(Variablen!$I:$AT, MATCH(M25, Variablen!$A:$A, 0), MATCH((YEAR(D25)+16), Variablen!$I$3:$AT$3, 0))="",L25,INDEX(Variablen!$I:$AT, MATCH(M25, Variablen!$A:$A, 0), MATCH((YEAR(D25)+16), Variablen!$I$3:$AT$3, 0))),L25)))*(IF((YEAR(D25)+16)&lt;YEAR(E25),0,IF((YEAR(D25)+16)&gt;YEAR(E25),1,(12-MONTH(E25)+1)/12))) + (Q25)*(IF((YEAR(D25)+16)&lt;YEAR(E25),0,IF((YEAR(D25)+16)&gt;YEAR(E25),1,(12-MONTH(E25)+1)/12))))-((P25)*(IF((YEAR(D25)+16)&lt;YEAR(E25),0,IF((YEAR(D25)+16)&gt;YEAR(E25),1,(12-MONTH(E25)+1)/12))) + (R25)*(IF((YEAR(D25)+16)&lt;YEAR(E25),0,IF((YEAR(D25)+16)&gt;YEAR(E25),1,(12-MONTH(E25)+1)/12))))-(IF(OR(N25="",N25&lt;=0),0,(O25/N25)*(IF(OR(N25="",N25&lt;=0),0,IF((YEAR(D25)+16)&lt;YEAR(E25),0,IF((YEAR(D25)+16)&gt;=YEAR(E25)+N25,0,IF((YEAR(D25)+16)=YEAR(E25),(12-MONTH(E25)+1)/12,1))))))))&gt;0,(((K25)*(IF(M25="",L25,IFERROR(IF(INDEX(Variablen!$I:$AT, MATCH(M25, Variablen!$A:$A, 0), MATCH((YEAR(D25)+16), Variablen!$I$3:$AT$3, 0))="",L25,INDEX(Variablen!$I:$AT, MATCH(M25, Variablen!$A:$A, 0), MATCH((YEAR(D25)+16), Variablen!$I$3:$AT$3, 0))),L25)))*(IF((YEAR(D25)+16)&lt;YEAR(E25),0,IF((YEAR(D25)+16)&gt;YEAR(E25),1,(12-MONTH(E25)+1)/12))) + (Q25)*(IF((YEAR(D25)+16)&lt;YEAR(E25),0,IF((YEAR(D25)+16)&gt;YEAR(E25),1,(12-MONTH(E25)+1)/12))))-((P25)*(IF((YEAR(D25)+16)&lt;YEAR(E25),0,IF((YEAR(D25)+16)&gt;YEAR(E25),1,(12-MONTH(E25)+1)/12))) + (R25)*(IF((YEAR(D25)+16)&lt;YEAR(E25),0,IF((YEAR(D25)+16)&gt;YEAR(E25),1,(12-MONTH(E25)+1)/12))))-(IF(OR(N25="",N25&lt;=0),0,(O25/N25)*(IF(OR(N25="",N25&lt;=0),0,IF((YEAR(D25)+16)&lt;YEAR(E25),0,IF((YEAR(D25)+16)&gt;=YEAR(E25)+N25,0,IF((YEAR(D25)+16)=YEAR(E25),(12-MONTH(E25)+1)/12,1))))))))*TaxRate,0))-IF(16=0,O25,0))</f>
        <v/>
      </c>
      <c r="AJ25" s="29">
        <f>IF(A25="","",((K25)*(IF(M25="",L25,IFERROR(IF(INDEX(Variablen!$I:$AT, MATCH(M25, Variablen!$A:$A, 0), MATCH((YEAR(D25)+17), Variablen!$I$3:$AT$3, 0))="",L25,INDEX(Variablen!$I:$AT, MATCH(M25, Variablen!$A:$A, 0), MATCH((YEAR(D25)+17), Variablen!$I$3:$AT$3, 0))),L25)))*(IF((YEAR(D25)+17)&lt;YEAR(E25),0,IF((YEAR(D25)+17)&gt;YEAR(E25),1,(12-MONTH(E25)+1)/12))) + (Q25)*(IF((YEAR(D25)+17)&lt;YEAR(E25),0,IF((YEAR(D25)+17)&gt;YEAR(E25),1,(12-MONTH(E25)+1)/12))))-((P25)*(IF((YEAR(D25)+17)&lt;YEAR(E25),0,IF((YEAR(D25)+17)&gt;YEAR(E25),1,(12-MONTH(E25)+1)/12))) + (R25)*(IF((YEAR(D25)+17)&lt;YEAR(E25),0,IF((YEAR(D25)+17)&gt;YEAR(E25),1,(12-MONTH(E25)+1)/12))))-(IF((((K25)*(IF(M25="",L25,IFERROR(IF(INDEX(Variablen!$I:$AT, MATCH(M25, Variablen!$A:$A, 0), MATCH((YEAR(D25)+17), Variablen!$I$3:$AT$3, 0))="",L25,INDEX(Variablen!$I:$AT, MATCH(M25, Variablen!$A:$A, 0), MATCH((YEAR(D25)+17), Variablen!$I$3:$AT$3, 0))),L25)))*(IF((YEAR(D25)+17)&lt;YEAR(E25),0,IF((YEAR(D25)+17)&gt;YEAR(E25),1,(12-MONTH(E25)+1)/12))) + (Q25)*(IF((YEAR(D25)+17)&lt;YEAR(E25),0,IF((YEAR(D25)+17)&gt;YEAR(E25),1,(12-MONTH(E25)+1)/12))))-((P25)*(IF((YEAR(D25)+17)&lt;YEAR(E25),0,IF((YEAR(D25)+17)&gt;YEAR(E25),1,(12-MONTH(E25)+1)/12))) + (R25)*(IF((YEAR(D25)+17)&lt;YEAR(E25),0,IF((YEAR(D25)+17)&gt;YEAR(E25),1,(12-MONTH(E25)+1)/12))))-(IF(OR(N25="",N25&lt;=0),0,(O25/N25)*(IF(OR(N25="",N25&lt;=0),0,IF((YEAR(D25)+17)&lt;YEAR(E25),0,IF((YEAR(D25)+17)&gt;=YEAR(E25)+N25,0,IF((YEAR(D25)+17)=YEAR(E25),(12-MONTH(E25)+1)/12,1))))))))&gt;0,(((K25)*(IF(M25="",L25,IFERROR(IF(INDEX(Variablen!$I:$AT, MATCH(M25, Variablen!$A:$A, 0), MATCH((YEAR(D25)+17), Variablen!$I$3:$AT$3, 0))="",L25,INDEX(Variablen!$I:$AT, MATCH(M25, Variablen!$A:$A, 0), MATCH((YEAR(D25)+17), Variablen!$I$3:$AT$3, 0))),L25)))*(IF((YEAR(D25)+17)&lt;YEAR(E25),0,IF((YEAR(D25)+17)&gt;YEAR(E25),1,(12-MONTH(E25)+1)/12))) + (Q25)*(IF((YEAR(D25)+17)&lt;YEAR(E25),0,IF((YEAR(D25)+17)&gt;YEAR(E25),1,(12-MONTH(E25)+1)/12))))-((P25)*(IF((YEAR(D25)+17)&lt;YEAR(E25),0,IF((YEAR(D25)+17)&gt;YEAR(E25),1,(12-MONTH(E25)+1)/12))) + (R25)*(IF((YEAR(D25)+17)&lt;YEAR(E25),0,IF((YEAR(D25)+17)&gt;YEAR(E25),1,(12-MONTH(E25)+1)/12))))-(IF(OR(N25="",N25&lt;=0),0,(O25/N25)*(IF(OR(N25="",N25&lt;=0),0,IF((YEAR(D25)+17)&lt;YEAR(E25),0,IF((YEAR(D25)+17)&gt;=YEAR(E25)+N25,0,IF((YEAR(D25)+17)=YEAR(E25),(12-MONTH(E25)+1)/12,1))))))))*TaxRate,0))-IF(17=0,O25,0))</f>
        <v/>
      </c>
      <c r="AK25" s="29">
        <f>IF(A25="","",((K25)*(IF(M25="",L25,IFERROR(IF(INDEX(Variablen!$I:$AT, MATCH(M25, Variablen!$A:$A, 0), MATCH((YEAR(D25)+18), Variablen!$I$3:$AT$3, 0))="",L25,INDEX(Variablen!$I:$AT, MATCH(M25, Variablen!$A:$A, 0), MATCH((YEAR(D25)+18), Variablen!$I$3:$AT$3, 0))),L25)))*(IF((YEAR(D25)+18)&lt;YEAR(E25),0,IF((YEAR(D25)+18)&gt;YEAR(E25),1,(12-MONTH(E25)+1)/12))) + (Q25)*(IF((YEAR(D25)+18)&lt;YEAR(E25),0,IF((YEAR(D25)+18)&gt;YEAR(E25),1,(12-MONTH(E25)+1)/12))))-((P25)*(IF((YEAR(D25)+18)&lt;YEAR(E25),0,IF((YEAR(D25)+18)&gt;YEAR(E25),1,(12-MONTH(E25)+1)/12))) + (R25)*(IF((YEAR(D25)+18)&lt;YEAR(E25),0,IF((YEAR(D25)+18)&gt;YEAR(E25),1,(12-MONTH(E25)+1)/12))))-(IF((((K25)*(IF(M25="",L25,IFERROR(IF(INDEX(Variablen!$I:$AT, MATCH(M25, Variablen!$A:$A, 0), MATCH((YEAR(D25)+18), Variablen!$I$3:$AT$3, 0))="",L25,INDEX(Variablen!$I:$AT, MATCH(M25, Variablen!$A:$A, 0), MATCH((YEAR(D25)+18), Variablen!$I$3:$AT$3, 0))),L25)))*(IF((YEAR(D25)+18)&lt;YEAR(E25),0,IF((YEAR(D25)+18)&gt;YEAR(E25),1,(12-MONTH(E25)+1)/12))) + (Q25)*(IF((YEAR(D25)+18)&lt;YEAR(E25),0,IF((YEAR(D25)+18)&gt;YEAR(E25),1,(12-MONTH(E25)+1)/12))))-((P25)*(IF((YEAR(D25)+18)&lt;YEAR(E25),0,IF((YEAR(D25)+18)&gt;YEAR(E25),1,(12-MONTH(E25)+1)/12))) + (R25)*(IF((YEAR(D25)+18)&lt;YEAR(E25),0,IF((YEAR(D25)+18)&gt;YEAR(E25),1,(12-MONTH(E25)+1)/12))))-(IF(OR(N25="",N25&lt;=0),0,(O25/N25)*(IF(OR(N25="",N25&lt;=0),0,IF((YEAR(D25)+18)&lt;YEAR(E25),0,IF((YEAR(D25)+18)&gt;=YEAR(E25)+N25,0,IF((YEAR(D25)+18)=YEAR(E25),(12-MONTH(E25)+1)/12,1))))))))&gt;0,(((K25)*(IF(M25="",L25,IFERROR(IF(INDEX(Variablen!$I:$AT, MATCH(M25, Variablen!$A:$A, 0), MATCH((YEAR(D25)+18), Variablen!$I$3:$AT$3, 0))="",L25,INDEX(Variablen!$I:$AT, MATCH(M25, Variablen!$A:$A, 0), MATCH((YEAR(D25)+18), Variablen!$I$3:$AT$3, 0))),L25)))*(IF((YEAR(D25)+18)&lt;YEAR(E25),0,IF((YEAR(D25)+18)&gt;YEAR(E25),1,(12-MONTH(E25)+1)/12))) + (Q25)*(IF((YEAR(D25)+18)&lt;YEAR(E25),0,IF((YEAR(D25)+18)&gt;YEAR(E25),1,(12-MONTH(E25)+1)/12))))-((P25)*(IF((YEAR(D25)+18)&lt;YEAR(E25),0,IF((YEAR(D25)+18)&gt;YEAR(E25),1,(12-MONTH(E25)+1)/12))) + (R25)*(IF((YEAR(D25)+18)&lt;YEAR(E25),0,IF((YEAR(D25)+18)&gt;YEAR(E25),1,(12-MONTH(E25)+1)/12))))-(IF(OR(N25="",N25&lt;=0),0,(O25/N25)*(IF(OR(N25="",N25&lt;=0),0,IF((YEAR(D25)+18)&lt;YEAR(E25),0,IF((YEAR(D25)+18)&gt;=YEAR(E25)+N25,0,IF((YEAR(D25)+18)=YEAR(E25),(12-MONTH(E25)+1)/12,1))))))))*TaxRate,0))-IF(18=0,O25,0))</f>
        <v/>
      </c>
      <c r="AL25" s="29">
        <f>IF(A25="","",((K25)*(IF(M25="",L25,IFERROR(IF(INDEX(Variablen!$I:$AT, MATCH(M25, Variablen!$A:$A, 0), MATCH((YEAR(D25)+19), Variablen!$I$3:$AT$3, 0))="",L25,INDEX(Variablen!$I:$AT, MATCH(M25, Variablen!$A:$A, 0), MATCH((YEAR(D25)+19), Variablen!$I$3:$AT$3, 0))),L25)))*(IF((YEAR(D25)+19)&lt;YEAR(E25),0,IF((YEAR(D25)+19)&gt;YEAR(E25),1,(12-MONTH(E25)+1)/12))) + (Q25)*(IF((YEAR(D25)+19)&lt;YEAR(E25),0,IF((YEAR(D25)+19)&gt;YEAR(E25),1,(12-MONTH(E25)+1)/12))))-((P25)*(IF((YEAR(D25)+19)&lt;YEAR(E25),0,IF((YEAR(D25)+19)&gt;YEAR(E25),1,(12-MONTH(E25)+1)/12))) + (R25)*(IF((YEAR(D25)+19)&lt;YEAR(E25),0,IF((YEAR(D25)+19)&gt;YEAR(E25),1,(12-MONTH(E25)+1)/12))))-(IF((((K25)*(IF(M25="",L25,IFERROR(IF(INDEX(Variablen!$I:$AT, MATCH(M25, Variablen!$A:$A, 0), MATCH((YEAR(D25)+19), Variablen!$I$3:$AT$3, 0))="",L25,INDEX(Variablen!$I:$AT, MATCH(M25, Variablen!$A:$A, 0), MATCH((YEAR(D25)+19), Variablen!$I$3:$AT$3, 0))),L25)))*(IF((YEAR(D25)+19)&lt;YEAR(E25),0,IF((YEAR(D25)+19)&gt;YEAR(E25),1,(12-MONTH(E25)+1)/12))) + (Q25)*(IF((YEAR(D25)+19)&lt;YEAR(E25),0,IF((YEAR(D25)+19)&gt;YEAR(E25),1,(12-MONTH(E25)+1)/12))))-((P25)*(IF((YEAR(D25)+19)&lt;YEAR(E25),0,IF((YEAR(D25)+19)&gt;YEAR(E25),1,(12-MONTH(E25)+1)/12))) + (R25)*(IF((YEAR(D25)+19)&lt;YEAR(E25),0,IF((YEAR(D25)+19)&gt;YEAR(E25),1,(12-MONTH(E25)+1)/12))))-(IF(OR(N25="",N25&lt;=0),0,(O25/N25)*(IF(OR(N25="",N25&lt;=0),0,IF((YEAR(D25)+19)&lt;YEAR(E25),0,IF((YEAR(D25)+19)&gt;=YEAR(E25)+N25,0,IF((YEAR(D25)+19)=YEAR(E25),(12-MONTH(E25)+1)/12,1))))))))&gt;0,(((K25)*(IF(M25="",L25,IFERROR(IF(INDEX(Variablen!$I:$AT, MATCH(M25, Variablen!$A:$A, 0), MATCH((YEAR(D25)+19), Variablen!$I$3:$AT$3, 0))="",L25,INDEX(Variablen!$I:$AT, MATCH(M25, Variablen!$A:$A, 0), MATCH((YEAR(D25)+19), Variablen!$I$3:$AT$3, 0))),L25)))*(IF((YEAR(D25)+19)&lt;YEAR(E25),0,IF((YEAR(D25)+19)&gt;YEAR(E25),1,(12-MONTH(E25)+1)/12))) + (Q25)*(IF((YEAR(D25)+19)&lt;YEAR(E25),0,IF((YEAR(D25)+19)&gt;YEAR(E25),1,(12-MONTH(E25)+1)/12))))-((P25)*(IF((YEAR(D25)+19)&lt;YEAR(E25),0,IF((YEAR(D25)+19)&gt;YEAR(E25),1,(12-MONTH(E25)+1)/12))) + (R25)*(IF((YEAR(D25)+19)&lt;YEAR(E25),0,IF((YEAR(D25)+19)&gt;YEAR(E25),1,(12-MONTH(E25)+1)/12))))-(IF(OR(N25="",N25&lt;=0),0,(O25/N25)*(IF(OR(N25="",N25&lt;=0),0,IF((YEAR(D25)+19)&lt;YEAR(E25),0,IF((YEAR(D25)+19)&gt;=YEAR(E25)+N25,0,IF((YEAR(D25)+19)=YEAR(E25),(12-MONTH(E25)+1)/12,1))))))))*TaxRate,0))-IF(19=0,O25,0))</f>
        <v/>
      </c>
      <c r="AM25" s="29">
        <f>IF(A25="","",((K25)*(IF(M25="",L25,IFERROR(IF(INDEX(Variablen!$I:$AT, MATCH(M25, Variablen!$A:$A, 0), MATCH((YEAR(D25)+20), Variablen!$I$3:$AT$3, 0))="",L25,INDEX(Variablen!$I:$AT, MATCH(M25, Variablen!$A:$A, 0), MATCH((YEAR(D25)+20), Variablen!$I$3:$AT$3, 0))),L25)))*(IF((YEAR(D25)+20)&lt;YEAR(E25),0,IF((YEAR(D25)+20)&gt;YEAR(E25),1,(12-MONTH(E25)+1)/12))) + (Q25)*(IF((YEAR(D25)+20)&lt;YEAR(E25),0,IF((YEAR(D25)+20)&gt;YEAR(E25),1,(12-MONTH(E25)+1)/12))))-((P25)*(IF((YEAR(D25)+20)&lt;YEAR(E25),0,IF((YEAR(D25)+20)&gt;YEAR(E25),1,(12-MONTH(E25)+1)/12))) + (R25)*(IF((YEAR(D25)+20)&lt;YEAR(E25),0,IF((YEAR(D25)+20)&gt;YEAR(E25),1,(12-MONTH(E25)+1)/12))))-(IF((((K25)*(IF(M25="",L25,IFERROR(IF(INDEX(Variablen!$I:$AT, MATCH(M25, Variablen!$A:$A, 0), MATCH((YEAR(D25)+20), Variablen!$I$3:$AT$3, 0))="",L25,INDEX(Variablen!$I:$AT, MATCH(M25, Variablen!$A:$A, 0), MATCH((YEAR(D25)+20), Variablen!$I$3:$AT$3, 0))),L25)))*(IF((YEAR(D25)+20)&lt;YEAR(E25),0,IF((YEAR(D25)+20)&gt;YEAR(E25),1,(12-MONTH(E25)+1)/12))) + (Q25)*(IF((YEAR(D25)+20)&lt;YEAR(E25),0,IF((YEAR(D25)+20)&gt;YEAR(E25),1,(12-MONTH(E25)+1)/12))))-((P25)*(IF((YEAR(D25)+20)&lt;YEAR(E25),0,IF((YEAR(D25)+20)&gt;YEAR(E25),1,(12-MONTH(E25)+1)/12))) + (R25)*(IF((YEAR(D25)+20)&lt;YEAR(E25),0,IF((YEAR(D25)+20)&gt;YEAR(E25),1,(12-MONTH(E25)+1)/12))))-(IF(OR(N25="",N25&lt;=0),0,(O25/N25)*(IF(OR(N25="",N25&lt;=0),0,IF((YEAR(D25)+20)&lt;YEAR(E25),0,IF((YEAR(D25)+20)&gt;=YEAR(E25)+N25,0,IF((YEAR(D25)+20)=YEAR(E25),(12-MONTH(E25)+1)/12,1))))))))&gt;0,(((K25)*(IF(M25="",L25,IFERROR(IF(INDEX(Variablen!$I:$AT, MATCH(M25, Variablen!$A:$A, 0), MATCH((YEAR(D25)+20), Variablen!$I$3:$AT$3, 0))="",L25,INDEX(Variablen!$I:$AT, MATCH(M25, Variablen!$A:$A, 0), MATCH((YEAR(D25)+20), Variablen!$I$3:$AT$3, 0))),L25)))*(IF((YEAR(D25)+20)&lt;YEAR(E25),0,IF((YEAR(D25)+20)&gt;YEAR(E25),1,(12-MONTH(E25)+1)/12))) + (Q25)*(IF((YEAR(D25)+20)&lt;YEAR(E25),0,IF((YEAR(D25)+20)&gt;YEAR(E25),1,(12-MONTH(E25)+1)/12))))-((P25)*(IF((YEAR(D25)+20)&lt;YEAR(E25),0,IF((YEAR(D25)+20)&gt;YEAR(E25),1,(12-MONTH(E25)+1)/12))) + (R25)*(IF((YEAR(D25)+20)&lt;YEAR(E25),0,IF((YEAR(D25)+20)&gt;YEAR(E25),1,(12-MONTH(E25)+1)/12))))-(IF(OR(N25="",N25&lt;=0),0,(O25/N25)*(IF(OR(N25="",N25&lt;=0),0,IF((YEAR(D25)+20)&lt;YEAR(E25),0,IF((YEAR(D25)+20)&gt;=YEAR(E25)+N25,0,IF((YEAR(D25)+20)=YEAR(E25),(12-MONTH(E25)+1)/12,1))))))))*TaxRate,0))-IF(20=0,O25,0))</f>
        <v/>
      </c>
      <c r="AN25" s="29">
        <f>IF(A25="","",S25)</f>
        <v/>
      </c>
      <c r="AO25" s="29">
        <f>IF(A25="","",AN25+T25)</f>
        <v/>
      </c>
      <c r="AP25" s="29">
        <f>IF(A25="","",AO25+U25)</f>
        <v/>
      </c>
      <c r="AQ25" s="29">
        <f>IF(A25="","",AP25+V25)</f>
        <v/>
      </c>
      <c r="AR25" s="29">
        <f>IF(A25="","",AQ25+W25)</f>
        <v/>
      </c>
      <c r="AS25" s="29">
        <f>IF(A25="","",AR25+X25)</f>
        <v/>
      </c>
      <c r="AT25" s="29">
        <f>IF(A25="","",AS25+Y25)</f>
        <v/>
      </c>
      <c r="AU25" s="29">
        <f>IF(A25="","",AT25+Z25)</f>
        <v/>
      </c>
      <c r="AV25" s="29">
        <f>IF(A25="","",AU25+AA25)</f>
        <v/>
      </c>
      <c r="AW25" s="29">
        <f>IF(A25="","",AV25+AB25)</f>
        <v/>
      </c>
      <c r="AX25" s="29">
        <f>IF(A25="","",AW25+AC25)</f>
        <v/>
      </c>
      <c r="AY25" s="29">
        <f>IF(A25="","",AX25+AD25)</f>
        <v/>
      </c>
      <c r="AZ25" s="29">
        <f>IF(A25="","",AY25+AE25)</f>
        <v/>
      </c>
      <c r="BA25" s="29">
        <f>IF(A25="","",AZ25+AF25)</f>
        <v/>
      </c>
      <c r="BB25" s="29">
        <f>IF(A25="","",BA25+AG25)</f>
        <v/>
      </c>
      <c r="BC25" s="29">
        <f>IF(A25="","",BB25+AH25)</f>
        <v/>
      </c>
      <c r="BD25" s="29">
        <f>IF(A25="","",BC25+AI25)</f>
        <v/>
      </c>
      <c r="BE25" s="29">
        <f>IF(A25="","",BD25+AJ25)</f>
        <v/>
      </c>
      <c r="BF25" s="29">
        <f>IF(A25="","",BE25+AK25)</f>
        <v/>
      </c>
      <c r="BG25" s="29">
        <f>IF(A25="","",BF25+AL25)</f>
        <v/>
      </c>
      <c r="BH25" s="29">
        <f>IF(A25="","",BG25+AM25)</f>
        <v/>
      </c>
      <c r="BI25" s="36">
        <f>IF(A25="","",(K25)*(IF((YEAR(D25)+0)&lt;YEAR(E25),0,IF((YEAR(D25)+0)&gt;YEAR(E25),1,(12-MONTH(E25)+1)/12)))*(1/(1+DiscountRate)^0))</f>
        <v/>
      </c>
      <c r="BJ25" s="36">
        <f>IF(A25="","",(K25)*(IF((YEAR(D25)+1)&lt;YEAR(E25),0,IF((YEAR(D25)+1)&gt;YEAR(E25),1,(12-MONTH(E25)+1)/12)))*(1/(1+DiscountRate)^1))</f>
        <v/>
      </c>
      <c r="BK25" s="36">
        <f>IF(A25="","",(K25)*(IF((YEAR(D25)+2)&lt;YEAR(E25),0,IF((YEAR(D25)+2)&gt;YEAR(E25),1,(12-MONTH(E25)+1)/12)))*(1/(1+DiscountRate)^2))</f>
        <v/>
      </c>
      <c r="BL25" s="36">
        <f>IF(A25="","",(K25)*(IF((YEAR(D25)+3)&lt;YEAR(E25),0,IF((YEAR(D25)+3)&gt;YEAR(E25),1,(12-MONTH(E25)+1)/12)))*(1/(1+DiscountRate)^3))</f>
        <v/>
      </c>
      <c r="BM25" s="36">
        <f>IF(A25="","",(K25)*(IF((YEAR(D25)+4)&lt;YEAR(E25),0,IF((YEAR(D25)+4)&gt;YEAR(E25),1,(12-MONTH(E25)+1)/12)))*(1/(1+DiscountRate)^4))</f>
        <v/>
      </c>
      <c r="BN25" s="36">
        <f>IF(A25="","",(K25)*(IF((YEAR(D25)+5)&lt;YEAR(E25),0,IF((YEAR(D25)+5)&gt;YEAR(E25),1,(12-MONTH(E25)+1)/12)))*(1/(1+DiscountRate)^5))</f>
        <v/>
      </c>
      <c r="BO25" s="36">
        <f>IF(A25="","",(K25)*(IF((YEAR(D25)+6)&lt;YEAR(E25),0,IF((YEAR(D25)+6)&gt;YEAR(E25),1,(12-MONTH(E25)+1)/12)))*(1/(1+DiscountRate)^6))</f>
        <v/>
      </c>
      <c r="BP25" s="36">
        <f>IF(A25="","",(K25)*(IF((YEAR(D25)+7)&lt;YEAR(E25),0,IF((YEAR(D25)+7)&gt;YEAR(E25),1,(12-MONTH(E25)+1)/12)))*(1/(1+DiscountRate)^7))</f>
        <v/>
      </c>
      <c r="BQ25" s="36">
        <f>IF(A25="","",(K25)*(IF((YEAR(D25)+8)&lt;YEAR(E25),0,IF((YEAR(D25)+8)&gt;YEAR(E25),1,(12-MONTH(E25)+1)/12)))*(1/(1+DiscountRate)^8))</f>
        <v/>
      </c>
      <c r="BR25" s="36">
        <f>IF(A25="","",(K25)*(IF((YEAR(D25)+9)&lt;YEAR(E25),0,IF((YEAR(D25)+9)&gt;YEAR(E25),1,(12-MONTH(E25)+1)/12)))*(1/(1+DiscountRate)^9))</f>
        <v/>
      </c>
      <c r="BS25" s="36">
        <f>IF(A25="","",(K25)*(IF((YEAR(D25)+10)&lt;YEAR(E25),0,IF((YEAR(D25)+10)&gt;YEAR(E25),1,(12-MONTH(E25)+1)/12)))*(1/(1+DiscountRate)^10))</f>
        <v/>
      </c>
      <c r="BT25" s="36">
        <f>IF(A25="","",(K25)*(IF((YEAR(D25)+11)&lt;YEAR(E25),0,IF((YEAR(D25)+11)&gt;YEAR(E25),1,(12-MONTH(E25)+1)/12)))*(1/(1+DiscountRate)^11))</f>
        <v/>
      </c>
      <c r="BU25" s="36">
        <f>IF(A25="","",(K25)*(IF((YEAR(D25)+12)&lt;YEAR(E25),0,IF((YEAR(D25)+12)&gt;YEAR(E25),1,(12-MONTH(E25)+1)/12)))*(1/(1+DiscountRate)^12))</f>
        <v/>
      </c>
      <c r="BV25" s="36">
        <f>IF(A25="","",(K25)*(IF((YEAR(D25)+13)&lt;YEAR(E25),0,IF((YEAR(D25)+13)&gt;YEAR(E25),1,(12-MONTH(E25)+1)/12)))*(1/(1+DiscountRate)^13))</f>
        <v/>
      </c>
      <c r="BW25" s="36">
        <f>IF(A25="","",(K25)*(IF((YEAR(D25)+14)&lt;YEAR(E25),0,IF((YEAR(D25)+14)&gt;YEAR(E25),1,(12-MONTH(E25)+1)/12)))*(1/(1+DiscountRate)^14))</f>
        <v/>
      </c>
      <c r="BX25" s="36">
        <f>IF(A25="","",(K25)*(IF((YEAR(D25)+15)&lt;YEAR(E25),0,IF((YEAR(D25)+15)&gt;YEAR(E25),1,(12-MONTH(E25)+1)/12)))*(1/(1+DiscountRate)^15))</f>
        <v/>
      </c>
      <c r="BY25" s="36">
        <f>IF(A25="","",(K25)*(IF((YEAR(D25)+16)&lt;YEAR(E25),0,IF((YEAR(D25)+16)&gt;YEAR(E25),1,(12-MONTH(E25)+1)/12)))*(1/(1+DiscountRate)^16))</f>
        <v/>
      </c>
      <c r="BZ25" s="36">
        <f>IF(A25="","",(K25)*(IF((YEAR(D25)+17)&lt;YEAR(E25),0,IF((YEAR(D25)+17)&gt;YEAR(E25),1,(12-MONTH(E25)+1)/12)))*(1/(1+DiscountRate)^17))</f>
        <v/>
      </c>
      <c r="CA25" s="36">
        <f>IF(A25="","",(K25)*(IF((YEAR(D25)+18)&lt;YEAR(E25),0,IF((YEAR(D25)+18)&gt;YEAR(E25),1,(12-MONTH(E25)+1)/12)))*(1/(1+DiscountRate)^18))</f>
        <v/>
      </c>
      <c r="CB25" s="36">
        <f>IF(A25="","",(K25)*(IF((YEAR(D25)+19)&lt;YEAR(E25),0,IF((YEAR(D25)+19)&gt;YEAR(E25),1,(12-MONTH(E25)+1)/12)))*(1/(1+DiscountRate)^19))</f>
        <v/>
      </c>
      <c r="CC25" s="36">
        <f>IF(A25="","",(K25)*(IF((YEAR(D25)+20)&lt;YEAR(E25),0,IF((YEAR(D25)+20)&gt;YEAR(E25),1,(12-MONTH(E25)+1)/12)))*(1/(1+DiscountRate)^20))</f>
        <v/>
      </c>
      <c r="CD25" s="29">
        <f>IF(A25="","",S25/(1+DiscountRate)^0+T25/(1+DiscountRate)^1+U25/(1+DiscountRate)^2+V25/(1+DiscountRate)^3+W25/(1+DiscountRate)^4+X25/(1+DiscountRate)^5+Y25/(1+DiscountRate)^6+Z25/(1+DiscountRate)^7+AA25/(1+DiscountRate)^8+AB25/(1+DiscountRate)^9+AC25/(1+DiscountRate)^10+AD25/(1+DiscountRate)^11+AE25/(1+DiscountRate)^12+AF25/(1+DiscountRate)^13+AG25/(1+DiscountRate)^14+AH25/(1+DiscountRate)^15+AI25/(1+DiscountRate)^16+AJ25/(1+DiscountRate)^17+AK25/(1+DiscountRate)^18+AL25/(1+DiscountRate)^19+AM25/(1+DiscountRate)^20)</f>
        <v/>
      </c>
      <c r="CE25" s="37">
        <f>IF(A25="","",IFERROR(IRR(OFFSET(S25,0,0,1,MIN(HorizonYears,20)+1)),"n/a"))</f>
        <v/>
      </c>
      <c r="CF25" s="28">
        <f>IF(A25="","",IFERROR(MATCH(TRUE,OFFSET(AN25,0,0,1,MIN(HorizonYears,20)+1)&gt;=0,0)-1,"n/a"))</f>
        <v/>
      </c>
      <c r="CG25" s="36">
        <f>IF(A25="","",SUM(OFFSET(BI25,0,0,1,MIN(HorizonYears,20)+1)))</f>
        <v/>
      </c>
      <c r="CH25" s="36">
        <f>IF(A25="","",IFERROR(-CD25/CG25,"n/a"))</f>
        <v/>
      </c>
    </row>
    <row r="26">
      <c r="A26" s="6">
        <f>Actions!A24</f>
        <v/>
      </c>
      <c r="B26" s="6">
        <f>Actions!B24</f>
        <v/>
      </c>
      <c r="C26" s="6">
        <f>Actions!D24</f>
        <v/>
      </c>
      <c r="D26" s="35">
        <f>Actions!E24</f>
        <v/>
      </c>
      <c r="E26" s="35">
        <f>Actions!F24</f>
        <v/>
      </c>
      <c r="F26" s="6">
        <f>Actions!G24</f>
        <v/>
      </c>
      <c r="G26" s="6">
        <f>Actions!H24</f>
        <v/>
      </c>
      <c r="H26" s="29">
        <f>Actions!I24</f>
        <v/>
      </c>
      <c r="I26" s="6">
        <f>Actions!J24</f>
        <v/>
      </c>
      <c r="J26" s="16">
        <f>Actions!K24</f>
        <v/>
      </c>
      <c r="K26" s="16">
        <f>IF(A26="","",IF(I26="%",H26*J26,J26))</f>
        <v/>
      </c>
      <c r="L26" s="16">
        <f>Actions!L24</f>
        <v/>
      </c>
      <c r="M26" s="6">
        <f>Actions!M24</f>
        <v/>
      </c>
      <c r="N26" s="28">
        <f>Actions!N24</f>
        <v/>
      </c>
      <c r="O26" s="29">
        <f>Actions!T24</f>
        <v/>
      </c>
      <c r="P26" s="29">
        <f>Actions!Y24</f>
        <v/>
      </c>
      <c r="Q26" s="29">
        <f>Actions!Z24</f>
        <v/>
      </c>
      <c r="R26" s="29">
        <f>Actions!AA24</f>
        <v/>
      </c>
      <c r="S26" s="29">
        <f>IF(A26="","",((K26)*(IF(M26="",L26,IFERROR(IF(INDEX(Variablen!$I:$AT, MATCH(M26, Variablen!$A:$A, 0), MATCH((YEAR(D26)+0), Variablen!$I$3:$AT$3, 0))="",L26,INDEX(Variablen!$I:$AT, MATCH(M26, Variablen!$A:$A, 0), MATCH((YEAR(D26)+0), Variablen!$I$3:$AT$3, 0))),L26)))*(IF((YEAR(D26)+0)&lt;YEAR(E26),0,IF((YEAR(D26)+0)&gt;YEAR(E26),1,(12-MONTH(E26)+1)/12))) + (Q26)*(IF((YEAR(D26)+0)&lt;YEAR(E26),0,IF((YEAR(D26)+0)&gt;YEAR(E26),1,(12-MONTH(E26)+1)/12))))-((P26)*(IF((YEAR(D26)+0)&lt;YEAR(E26),0,IF((YEAR(D26)+0)&gt;YEAR(E26),1,(12-MONTH(E26)+1)/12))) + (R26)*(IF((YEAR(D26)+0)&lt;YEAR(E26),0,IF((YEAR(D26)+0)&gt;YEAR(E26),1,(12-MONTH(E26)+1)/12))))-(IF((((K26)*(IF(M26="",L26,IFERROR(IF(INDEX(Variablen!$I:$AT, MATCH(M26, Variablen!$A:$A, 0), MATCH((YEAR(D26)+0), Variablen!$I$3:$AT$3, 0))="",L26,INDEX(Variablen!$I:$AT, MATCH(M26, Variablen!$A:$A, 0), MATCH((YEAR(D26)+0), Variablen!$I$3:$AT$3, 0))),L26)))*(IF((YEAR(D26)+0)&lt;YEAR(E26),0,IF((YEAR(D26)+0)&gt;YEAR(E26),1,(12-MONTH(E26)+1)/12))) + (Q26)*(IF((YEAR(D26)+0)&lt;YEAR(E26),0,IF((YEAR(D26)+0)&gt;YEAR(E26),1,(12-MONTH(E26)+1)/12))))-((P26)*(IF((YEAR(D26)+0)&lt;YEAR(E26),0,IF((YEAR(D26)+0)&gt;YEAR(E26),1,(12-MONTH(E26)+1)/12))) + (R26)*(IF((YEAR(D26)+0)&lt;YEAR(E26),0,IF((YEAR(D26)+0)&gt;YEAR(E26),1,(12-MONTH(E26)+1)/12))))-(IF(OR(N26="",N26&lt;=0),0,(O26/N26)*(IF(OR(N26="",N26&lt;=0),0,IF((YEAR(D26)+0)&lt;YEAR(E26),0,IF((YEAR(D26)+0)&gt;=YEAR(E26)+N26,0,IF((YEAR(D26)+0)=YEAR(E26),(12-MONTH(E26)+1)/12,1))))))))&gt;0,(((K26)*(IF(M26="",L26,IFERROR(IF(INDEX(Variablen!$I:$AT, MATCH(M26, Variablen!$A:$A, 0), MATCH((YEAR(D26)+0), Variablen!$I$3:$AT$3, 0))="",L26,INDEX(Variablen!$I:$AT, MATCH(M26, Variablen!$A:$A, 0), MATCH((YEAR(D26)+0), Variablen!$I$3:$AT$3, 0))),L26)))*(IF((YEAR(D26)+0)&lt;YEAR(E26),0,IF((YEAR(D26)+0)&gt;YEAR(E26),1,(12-MONTH(E26)+1)/12))) + (Q26)*(IF((YEAR(D26)+0)&lt;YEAR(E26),0,IF((YEAR(D26)+0)&gt;YEAR(E26),1,(12-MONTH(E26)+1)/12))))-((P26)*(IF((YEAR(D26)+0)&lt;YEAR(E26),0,IF((YEAR(D26)+0)&gt;YEAR(E26),1,(12-MONTH(E26)+1)/12))) + (R26)*(IF((YEAR(D26)+0)&lt;YEAR(E26),0,IF((YEAR(D26)+0)&gt;YEAR(E26),1,(12-MONTH(E26)+1)/12))))-(IF(OR(N26="",N26&lt;=0),0,(O26/N26)*(IF(OR(N26="",N26&lt;=0),0,IF((YEAR(D26)+0)&lt;YEAR(E26),0,IF((YEAR(D26)+0)&gt;=YEAR(E26)+N26,0,IF((YEAR(D26)+0)=YEAR(E26),(12-MONTH(E26)+1)/12,1))))))))*TaxRate,0))-IF(0=0,O26,0))</f>
        <v/>
      </c>
      <c r="T26" s="29">
        <f>IF(A26="","",((K26)*(IF(M26="",L26,IFERROR(IF(INDEX(Variablen!$I:$AT, MATCH(M26, Variablen!$A:$A, 0), MATCH((YEAR(D26)+1), Variablen!$I$3:$AT$3, 0))="",L26,INDEX(Variablen!$I:$AT, MATCH(M26, Variablen!$A:$A, 0), MATCH((YEAR(D26)+1), Variablen!$I$3:$AT$3, 0))),L26)))*(IF((YEAR(D26)+1)&lt;YEAR(E26),0,IF((YEAR(D26)+1)&gt;YEAR(E26),1,(12-MONTH(E26)+1)/12))) + (Q26)*(IF((YEAR(D26)+1)&lt;YEAR(E26),0,IF((YEAR(D26)+1)&gt;YEAR(E26),1,(12-MONTH(E26)+1)/12))))-((P26)*(IF((YEAR(D26)+1)&lt;YEAR(E26),0,IF((YEAR(D26)+1)&gt;YEAR(E26),1,(12-MONTH(E26)+1)/12))) + (R26)*(IF((YEAR(D26)+1)&lt;YEAR(E26),0,IF((YEAR(D26)+1)&gt;YEAR(E26),1,(12-MONTH(E26)+1)/12))))-(IF((((K26)*(IF(M26="",L26,IFERROR(IF(INDEX(Variablen!$I:$AT, MATCH(M26, Variablen!$A:$A, 0), MATCH((YEAR(D26)+1), Variablen!$I$3:$AT$3, 0))="",L26,INDEX(Variablen!$I:$AT, MATCH(M26, Variablen!$A:$A, 0), MATCH((YEAR(D26)+1), Variablen!$I$3:$AT$3, 0))),L26)))*(IF((YEAR(D26)+1)&lt;YEAR(E26),0,IF((YEAR(D26)+1)&gt;YEAR(E26),1,(12-MONTH(E26)+1)/12))) + (Q26)*(IF((YEAR(D26)+1)&lt;YEAR(E26),0,IF((YEAR(D26)+1)&gt;YEAR(E26),1,(12-MONTH(E26)+1)/12))))-((P26)*(IF((YEAR(D26)+1)&lt;YEAR(E26),0,IF((YEAR(D26)+1)&gt;YEAR(E26),1,(12-MONTH(E26)+1)/12))) + (R26)*(IF((YEAR(D26)+1)&lt;YEAR(E26),0,IF((YEAR(D26)+1)&gt;YEAR(E26),1,(12-MONTH(E26)+1)/12))))-(IF(OR(N26="",N26&lt;=0),0,(O26/N26)*(IF(OR(N26="",N26&lt;=0),0,IF((YEAR(D26)+1)&lt;YEAR(E26),0,IF((YEAR(D26)+1)&gt;=YEAR(E26)+N26,0,IF((YEAR(D26)+1)=YEAR(E26),(12-MONTH(E26)+1)/12,1))))))))&gt;0,(((K26)*(IF(M26="",L26,IFERROR(IF(INDEX(Variablen!$I:$AT, MATCH(M26, Variablen!$A:$A, 0), MATCH((YEAR(D26)+1), Variablen!$I$3:$AT$3, 0))="",L26,INDEX(Variablen!$I:$AT, MATCH(M26, Variablen!$A:$A, 0), MATCH((YEAR(D26)+1), Variablen!$I$3:$AT$3, 0))),L26)))*(IF((YEAR(D26)+1)&lt;YEAR(E26),0,IF((YEAR(D26)+1)&gt;YEAR(E26),1,(12-MONTH(E26)+1)/12))) + (Q26)*(IF((YEAR(D26)+1)&lt;YEAR(E26),0,IF((YEAR(D26)+1)&gt;YEAR(E26),1,(12-MONTH(E26)+1)/12))))-((P26)*(IF((YEAR(D26)+1)&lt;YEAR(E26),0,IF((YEAR(D26)+1)&gt;YEAR(E26),1,(12-MONTH(E26)+1)/12))) + (R26)*(IF((YEAR(D26)+1)&lt;YEAR(E26),0,IF((YEAR(D26)+1)&gt;YEAR(E26),1,(12-MONTH(E26)+1)/12))))-(IF(OR(N26="",N26&lt;=0),0,(O26/N26)*(IF(OR(N26="",N26&lt;=0),0,IF((YEAR(D26)+1)&lt;YEAR(E26),0,IF((YEAR(D26)+1)&gt;=YEAR(E26)+N26,0,IF((YEAR(D26)+1)=YEAR(E26),(12-MONTH(E26)+1)/12,1))))))))*TaxRate,0))-IF(1=0,O26,0))</f>
        <v/>
      </c>
      <c r="U26" s="29">
        <f>IF(A26="","",((K26)*(IF(M26="",L26,IFERROR(IF(INDEX(Variablen!$I:$AT, MATCH(M26, Variablen!$A:$A, 0), MATCH((YEAR(D26)+2), Variablen!$I$3:$AT$3, 0))="",L26,INDEX(Variablen!$I:$AT, MATCH(M26, Variablen!$A:$A, 0), MATCH((YEAR(D26)+2), Variablen!$I$3:$AT$3, 0))),L26)))*(IF((YEAR(D26)+2)&lt;YEAR(E26),0,IF((YEAR(D26)+2)&gt;YEAR(E26),1,(12-MONTH(E26)+1)/12))) + (Q26)*(IF((YEAR(D26)+2)&lt;YEAR(E26),0,IF((YEAR(D26)+2)&gt;YEAR(E26),1,(12-MONTH(E26)+1)/12))))-((P26)*(IF((YEAR(D26)+2)&lt;YEAR(E26),0,IF((YEAR(D26)+2)&gt;YEAR(E26),1,(12-MONTH(E26)+1)/12))) + (R26)*(IF((YEAR(D26)+2)&lt;YEAR(E26),0,IF((YEAR(D26)+2)&gt;YEAR(E26),1,(12-MONTH(E26)+1)/12))))-(IF((((K26)*(IF(M26="",L26,IFERROR(IF(INDEX(Variablen!$I:$AT, MATCH(M26, Variablen!$A:$A, 0), MATCH((YEAR(D26)+2), Variablen!$I$3:$AT$3, 0))="",L26,INDEX(Variablen!$I:$AT, MATCH(M26, Variablen!$A:$A, 0), MATCH((YEAR(D26)+2), Variablen!$I$3:$AT$3, 0))),L26)))*(IF((YEAR(D26)+2)&lt;YEAR(E26),0,IF((YEAR(D26)+2)&gt;YEAR(E26),1,(12-MONTH(E26)+1)/12))) + (Q26)*(IF((YEAR(D26)+2)&lt;YEAR(E26),0,IF((YEAR(D26)+2)&gt;YEAR(E26),1,(12-MONTH(E26)+1)/12))))-((P26)*(IF((YEAR(D26)+2)&lt;YEAR(E26),0,IF((YEAR(D26)+2)&gt;YEAR(E26),1,(12-MONTH(E26)+1)/12))) + (R26)*(IF((YEAR(D26)+2)&lt;YEAR(E26),0,IF((YEAR(D26)+2)&gt;YEAR(E26),1,(12-MONTH(E26)+1)/12))))-(IF(OR(N26="",N26&lt;=0),0,(O26/N26)*(IF(OR(N26="",N26&lt;=0),0,IF((YEAR(D26)+2)&lt;YEAR(E26),0,IF((YEAR(D26)+2)&gt;=YEAR(E26)+N26,0,IF((YEAR(D26)+2)=YEAR(E26),(12-MONTH(E26)+1)/12,1))))))))&gt;0,(((K26)*(IF(M26="",L26,IFERROR(IF(INDEX(Variablen!$I:$AT, MATCH(M26, Variablen!$A:$A, 0), MATCH((YEAR(D26)+2), Variablen!$I$3:$AT$3, 0))="",L26,INDEX(Variablen!$I:$AT, MATCH(M26, Variablen!$A:$A, 0), MATCH((YEAR(D26)+2), Variablen!$I$3:$AT$3, 0))),L26)))*(IF((YEAR(D26)+2)&lt;YEAR(E26),0,IF((YEAR(D26)+2)&gt;YEAR(E26),1,(12-MONTH(E26)+1)/12))) + (Q26)*(IF((YEAR(D26)+2)&lt;YEAR(E26),0,IF((YEAR(D26)+2)&gt;YEAR(E26),1,(12-MONTH(E26)+1)/12))))-((P26)*(IF((YEAR(D26)+2)&lt;YEAR(E26),0,IF((YEAR(D26)+2)&gt;YEAR(E26),1,(12-MONTH(E26)+1)/12))) + (R26)*(IF((YEAR(D26)+2)&lt;YEAR(E26),0,IF((YEAR(D26)+2)&gt;YEAR(E26),1,(12-MONTH(E26)+1)/12))))-(IF(OR(N26="",N26&lt;=0),0,(O26/N26)*(IF(OR(N26="",N26&lt;=0),0,IF((YEAR(D26)+2)&lt;YEAR(E26),0,IF((YEAR(D26)+2)&gt;=YEAR(E26)+N26,0,IF((YEAR(D26)+2)=YEAR(E26),(12-MONTH(E26)+1)/12,1))))))))*TaxRate,0))-IF(2=0,O26,0))</f>
        <v/>
      </c>
      <c r="V26" s="29">
        <f>IF(A26="","",((K26)*(IF(M26="",L26,IFERROR(IF(INDEX(Variablen!$I:$AT, MATCH(M26, Variablen!$A:$A, 0), MATCH((YEAR(D26)+3), Variablen!$I$3:$AT$3, 0))="",L26,INDEX(Variablen!$I:$AT, MATCH(M26, Variablen!$A:$A, 0), MATCH((YEAR(D26)+3), Variablen!$I$3:$AT$3, 0))),L26)))*(IF((YEAR(D26)+3)&lt;YEAR(E26),0,IF((YEAR(D26)+3)&gt;YEAR(E26),1,(12-MONTH(E26)+1)/12))) + (Q26)*(IF((YEAR(D26)+3)&lt;YEAR(E26),0,IF((YEAR(D26)+3)&gt;YEAR(E26),1,(12-MONTH(E26)+1)/12))))-((P26)*(IF((YEAR(D26)+3)&lt;YEAR(E26),0,IF((YEAR(D26)+3)&gt;YEAR(E26),1,(12-MONTH(E26)+1)/12))) + (R26)*(IF((YEAR(D26)+3)&lt;YEAR(E26),0,IF((YEAR(D26)+3)&gt;YEAR(E26),1,(12-MONTH(E26)+1)/12))))-(IF((((K26)*(IF(M26="",L26,IFERROR(IF(INDEX(Variablen!$I:$AT, MATCH(M26, Variablen!$A:$A, 0), MATCH((YEAR(D26)+3), Variablen!$I$3:$AT$3, 0))="",L26,INDEX(Variablen!$I:$AT, MATCH(M26, Variablen!$A:$A, 0), MATCH((YEAR(D26)+3), Variablen!$I$3:$AT$3, 0))),L26)))*(IF((YEAR(D26)+3)&lt;YEAR(E26),0,IF((YEAR(D26)+3)&gt;YEAR(E26),1,(12-MONTH(E26)+1)/12))) + (Q26)*(IF((YEAR(D26)+3)&lt;YEAR(E26),0,IF((YEAR(D26)+3)&gt;YEAR(E26),1,(12-MONTH(E26)+1)/12))))-((P26)*(IF((YEAR(D26)+3)&lt;YEAR(E26),0,IF((YEAR(D26)+3)&gt;YEAR(E26),1,(12-MONTH(E26)+1)/12))) + (R26)*(IF((YEAR(D26)+3)&lt;YEAR(E26),0,IF((YEAR(D26)+3)&gt;YEAR(E26),1,(12-MONTH(E26)+1)/12))))-(IF(OR(N26="",N26&lt;=0),0,(O26/N26)*(IF(OR(N26="",N26&lt;=0),0,IF((YEAR(D26)+3)&lt;YEAR(E26),0,IF((YEAR(D26)+3)&gt;=YEAR(E26)+N26,0,IF((YEAR(D26)+3)=YEAR(E26),(12-MONTH(E26)+1)/12,1))))))))&gt;0,(((K26)*(IF(M26="",L26,IFERROR(IF(INDEX(Variablen!$I:$AT, MATCH(M26, Variablen!$A:$A, 0), MATCH((YEAR(D26)+3), Variablen!$I$3:$AT$3, 0))="",L26,INDEX(Variablen!$I:$AT, MATCH(M26, Variablen!$A:$A, 0), MATCH((YEAR(D26)+3), Variablen!$I$3:$AT$3, 0))),L26)))*(IF((YEAR(D26)+3)&lt;YEAR(E26),0,IF((YEAR(D26)+3)&gt;YEAR(E26),1,(12-MONTH(E26)+1)/12))) + (Q26)*(IF((YEAR(D26)+3)&lt;YEAR(E26),0,IF((YEAR(D26)+3)&gt;YEAR(E26),1,(12-MONTH(E26)+1)/12))))-((P26)*(IF((YEAR(D26)+3)&lt;YEAR(E26),0,IF((YEAR(D26)+3)&gt;YEAR(E26),1,(12-MONTH(E26)+1)/12))) + (R26)*(IF((YEAR(D26)+3)&lt;YEAR(E26),0,IF((YEAR(D26)+3)&gt;YEAR(E26),1,(12-MONTH(E26)+1)/12))))-(IF(OR(N26="",N26&lt;=0),0,(O26/N26)*(IF(OR(N26="",N26&lt;=0),0,IF((YEAR(D26)+3)&lt;YEAR(E26),0,IF((YEAR(D26)+3)&gt;=YEAR(E26)+N26,0,IF((YEAR(D26)+3)=YEAR(E26),(12-MONTH(E26)+1)/12,1))))))))*TaxRate,0))-IF(3=0,O26,0))</f>
        <v/>
      </c>
      <c r="W26" s="29">
        <f>IF(A26="","",((K26)*(IF(M26="",L26,IFERROR(IF(INDEX(Variablen!$I:$AT, MATCH(M26, Variablen!$A:$A, 0), MATCH((YEAR(D26)+4), Variablen!$I$3:$AT$3, 0))="",L26,INDEX(Variablen!$I:$AT, MATCH(M26, Variablen!$A:$A, 0), MATCH((YEAR(D26)+4), Variablen!$I$3:$AT$3, 0))),L26)))*(IF((YEAR(D26)+4)&lt;YEAR(E26),0,IF((YEAR(D26)+4)&gt;YEAR(E26),1,(12-MONTH(E26)+1)/12))) + (Q26)*(IF((YEAR(D26)+4)&lt;YEAR(E26),0,IF((YEAR(D26)+4)&gt;YEAR(E26),1,(12-MONTH(E26)+1)/12))))-((P26)*(IF((YEAR(D26)+4)&lt;YEAR(E26),0,IF((YEAR(D26)+4)&gt;YEAR(E26),1,(12-MONTH(E26)+1)/12))) + (R26)*(IF((YEAR(D26)+4)&lt;YEAR(E26),0,IF((YEAR(D26)+4)&gt;YEAR(E26),1,(12-MONTH(E26)+1)/12))))-(IF((((K26)*(IF(M26="",L26,IFERROR(IF(INDEX(Variablen!$I:$AT, MATCH(M26, Variablen!$A:$A, 0), MATCH((YEAR(D26)+4), Variablen!$I$3:$AT$3, 0))="",L26,INDEX(Variablen!$I:$AT, MATCH(M26, Variablen!$A:$A, 0), MATCH((YEAR(D26)+4), Variablen!$I$3:$AT$3, 0))),L26)))*(IF((YEAR(D26)+4)&lt;YEAR(E26),0,IF((YEAR(D26)+4)&gt;YEAR(E26),1,(12-MONTH(E26)+1)/12))) + (Q26)*(IF((YEAR(D26)+4)&lt;YEAR(E26),0,IF((YEAR(D26)+4)&gt;YEAR(E26),1,(12-MONTH(E26)+1)/12))))-((P26)*(IF((YEAR(D26)+4)&lt;YEAR(E26),0,IF((YEAR(D26)+4)&gt;YEAR(E26),1,(12-MONTH(E26)+1)/12))) + (R26)*(IF((YEAR(D26)+4)&lt;YEAR(E26),0,IF((YEAR(D26)+4)&gt;YEAR(E26),1,(12-MONTH(E26)+1)/12))))-(IF(OR(N26="",N26&lt;=0),0,(O26/N26)*(IF(OR(N26="",N26&lt;=0),0,IF((YEAR(D26)+4)&lt;YEAR(E26),0,IF((YEAR(D26)+4)&gt;=YEAR(E26)+N26,0,IF((YEAR(D26)+4)=YEAR(E26),(12-MONTH(E26)+1)/12,1))))))))&gt;0,(((K26)*(IF(M26="",L26,IFERROR(IF(INDEX(Variablen!$I:$AT, MATCH(M26, Variablen!$A:$A, 0), MATCH((YEAR(D26)+4), Variablen!$I$3:$AT$3, 0))="",L26,INDEX(Variablen!$I:$AT, MATCH(M26, Variablen!$A:$A, 0), MATCH((YEAR(D26)+4), Variablen!$I$3:$AT$3, 0))),L26)))*(IF((YEAR(D26)+4)&lt;YEAR(E26),0,IF((YEAR(D26)+4)&gt;YEAR(E26),1,(12-MONTH(E26)+1)/12))) + (Q26)*(IF((YEAR(D26)+4)&lt;YEAR(E26),0,IF((YEAR(D26)+4)&gt;YEAR(E26),1,(12-MONTH(E26)+1)/12))))-((P26)*(IF((YEAR(D26)+4)&lt;YEAR(E26),0,IF((YEAR(D26)+4)&gt;YEAR(E26),1,(12-MONTH(E26)+1)/12))) + (R26)*(IF((YEAR(D26)+4)&lt;YEAR(E26),0,IF((YEAR(D26)+4)&gt;YEAR(E26),1,(12-MONTH(E26)+1)/12))))-(IF(OR(N26="",N26&lt;=0),0,(O26/N26)*(IF(OR(N26="",N26&lt;=0),0,IF((YEAR(D26)+4)&lt;YEAR(E26),0,IF((YEAR(D26)+4)&gt;=YEAR(E26)+N26,0,IF((YEAR(D26)+4)=YEAR(E26),(12-MONTH(E26)+1)/12,1))))))))*TaxRate,0))-IF(4=0,O26,0))</f>
        <v/>
      </c>
      <c r="X26" s="29">
        <f>IF(A26="","",((K26)*(IF(M26="",L26,IFERROR(IF(INDEX(Variablen!$I:$AT, MATCH(M26, Variablen!$A:$A, 0), MATCH((YEAR(D26)+5), Variablen!$I$3:$AT$3, 0))="",L26,INDEX(Variablen!$I:$AT, MATCH(M26, Variablen!$A:$A, 0), MATCH((YEAR(D26)+5), Variablen!$I$3:$AT$3, 0))),L26)))*(IF((YEAR(D26)+5)&lt;YEAR(E26),0,IF((YEAR(D26)+5)&gt;YEAR(E26),1,(12-MONTH(E26)+1)/12))) + (Q26)*(IF((YEAR(D26)+5)&lt;YEAR(E26),0,IF((YEAR(D26)+5)&gt;YEAR(E26),1,(12-MONTH(E26)+1)/12))))-((P26)*(IF((YEAR(D26)+5)&lt;YEAR(E26),0,IF((YEAR(D26)+5)&gt;YEAR(E26),1,(12-MONTH(E26)+1)/12))) + (R26)*(IF((YEAR(D26)+5)&lt;YEAR(E26),0,IF((YEAR(D26)+5)&gt;YEAR(E26),1,(12-MONTH(E26)+1)/12))))-(IF((((K26)*(IF(M26="",L26,IFERROR(IF(INDEX(Variablen!$I:$AT, MATCH(M26, Variablen!$A:$A, 0), MATCH((YEAR(D26)+5), Variablen!$I$3:$AT$3, 0))="",L26,INDEX(Variablen!$I:$AT, MATCH(M26, Variablen!$A:$A, 0), MATCH((YEAR(D26)+5), Variablen!$I$3:$AT$3, 0))),L26)))*(IF((YEAR(D26)+5)&lt;YEAR(E26),0,IF((YEAR(D26)+5)&gt;YEAR(E26),1,(12-MONTH(E26)+1)/12))) + (Q26)*(IF((YEAR(D26)+5)&lt;YEAR(E26),0,IF((YEAR(D26)+5)&gt;YEAR(E26),1,(12-MONTH(E26)+1)/12))))-((P26)*(IF((YEAR(D26)+5)&lt;YEAR(E26),0,IF((YEAR(D26)+5)&gt;YEAR(E26),1,(12-MONTH(E26)+1)/12))) + (R26)*(IF((YEAR(D26)+5)&lt;YEAR(E26),0,IF((YEAR(D26)+5)&gt;YEAR(E26),1,(12-MONTH(E26)+1)/12))))-(IF(OR(N26="",N26&lt;=0),0,(O26/N26)*(IF(OR(N26="",N26&lt;=0),0,IF((YEAR(D26)+5)&lt;YEAR(E26),0,IF((YEAR(D26)+5)&gt;=YEAR(E26)+N26,0,IF((YEAR(D26)+5)=YEAR(E26),(12-MONTH(E26)+1)/12,1))))))))&gt;0,(((K26)*(IF(M26="",L26,IFERROR(IF(INDEX(Variablen!$I:$AT, MATCH(M26, Variablen!$A:$A, 0), MATCH((YEAR(D26)+5), Variablen!$I$3:$AT$3, 0))="",L26,INDEX(Variablen!$I:$AT, MATCH(M26, Variablen!$A:$A, 0), MATCH((YEAR(D26)+5), Variablen!$I$3:$AT$3, 0))),L26)))*(IF((YEAR(D26)+5)&lt;YEAR(E26),0,IF((YEAR(D26)+5)&gt;YEAR(E26),1,(12-MONTH(E26)+1)/12))) + (Q26)*(IF((YEAR(D26)+5)&lt;YEAR(E26),0,IF((YEAR(D26)+5)&gt;YEAR(E26),1,(12-MONTH(E26)+1)/12))))-((P26)*(IF((YEAR(D26)+5)&lt;YEAR(E26),0,IF((YEAR(D26)+5)&gt;YEAR(E26),1,(12-MONTH(E26)+1)/12))) + (R26)*(IF((YEAR(D26)+5)&lt;YEAR(E26),0,IF((YEAR(D26)+5)&gt;YEAR(E26),1,(12-MONTH(E26)+1)/12))))-(IF(OR(N26="",N26&lt;=0),0,(O26/N26)*(IF(OR(N26="",N26&lt;=0),0,IF((YEAR(D26)+5)&lt;YEAR(E26),0,IF((YEAR(D26)+5)&gt;=YEAR(E26)+N26,0,IF((YEAR(D26)+5)=YEAR(E26),(12-MONTH(E26)+1)/12,1))))))))*TaxRate,0))-IF(5=0,O26,0))</f>
        <v/>
      </c>
      <c r="Y26" s="29">
        <f>IF(A26="","",((K26)*(IF(M26="",L26,IFERROR(IF(INDEX(Variablen!$I:$AT, MATCH(M26, Variablen!$A:$A, 0), MATCH((YEAR(D26)+6), Variablen!$I$3:$AT$3, 0))="",L26,INDEX(Variablen!$I:$AT, MATCH(M26, Variablen!$A:$A, 0), MATCH((YEAR(D26)+6), Variablen!$I$3:$AT$3, 0))),L26)))*(IF((YEAR(D26)+6)&lt;YEAR(E26),0,IF((YEAR(D26)+6)&gt;YEAR(E26),1,(12-MONTH(E26)+1)/12))) + (Q26)*(IF((YEAR(D26)+6)&lt;YEAR(E26),0,IF((YEAR(D26)+6)&gt;YEAR(E26),1,(12-MONTH(E26)+1)/12))))-((P26)*(IF((YEAR(D26)+6)&lt;YEAR(E26),0,IF((YEAR(D26)+6)&gt;YEAR(E26),1,(12-MONTH(E26)+1)/12))) + (R26)*(IF((YEAR(D26)+6)&lt;YEAR(E26),0,IF((YEAR(D26)+6)&gt;YEAR(E26),1,(12-MONTH(E26)+1)/12))))-(IF((((K26)*(IF(M26="",L26,IFERROR(IF(INDEX(Variablen!$I:$AT, MATCH(M26, Variablen!$A:$A, 0), MATCH((YEAR(D26)+6), Variablen!$I$3:$AT$3, 0))="",L26,INDEX(Variablen!$I:$AT, MATCH(M26, Variablen!$A:$A, 0), MATCH((YEAR(D26)+6), Variablen!$I$3:$AT$3, 0))),L26)))*(IF((YEAR(D26)+6)&lt;YEAR(E26),0,IF((YEAR(D26)+6)&gt;YEAR(E26),1,(12-MONTH(E26)+1)/12))) + (Q26)*(IF((YEAR(D26)+6)&lt;YEAR(E26),0,IF((YEAR(D26)+6)&gt;YEAR(E26),1,(12-MONTH(E26)+1)/12))))-((P26)*(IF((YEAR(D26)+6)&lt;YEAR(E26),0,IF((YEAR(D26)+6)&gt;YEAR(E26),1,(12-MONTH(E26)+1)/12))) + (R26)*(IF((YEAR(D26)+6)&lt;YEAR(E26),0,IF((YEAR(D26)+6)&gt;YEAR(E26),1,(12-MONTH(E26)+1)/12))))-(IF(OR(N26="",N26&lt;=0),0,(O26/N26)*(IF(OR(N26="",N26&lt;=0),0,IF((YEAR(D26)+6)&lt;YEAR(E26),0,IF((YEAR(D26)+6)&gt;=YEAR(E26)+N26,0,IF((YEAR(D26)+6)=YEAR(E26),(12-MONTH(E26)+1)/12,1))))))))&gt;0,(((K26)*(IF(M26="",L26,IFERROR(IF(INDEX(Variablen!$I:$AT, MATCH(M26, Variablen!$A:$A, 0), MATCH((YEAR(D26)+6), Variablen!$I$3:$AT$3, 0))="",L26,INDEX(Variablen!$I:$AT, MATCH(M26, Variablen!$A:$A, 0), MATCH((YEAR(D26)+6), Variablen!$I$3:$AT$3, 0))),L26)))*(IF((YEAR(D26)+6)&lt;YEAR(E26),0,IF((YEAR(D26)+6)&gt;YEAR(E26),1,(12-MONTH(E26)+1)/12))) + (Q26)*(IF((YEAR(D26)+6)&lt;YEAR(E26),0,IF((YEAR(D26)+6)&gt;YEAR(E26),1,(12-MONTH(E26)+1)/12))))-((P26)*(IF((YEAR(D26)+6)&lt;YEAR(E26),0,IF((YEAR(D26)+6)&gt;YEAR(E26),1,(12-MONTH(E26)+1)/12))) + (R26)*(IF((YEAR(D26)+6)&lt;YEAR(E26),0,IF((YEAR(D26)+6)&gt;YEAR(E26),1,(12-MONTH(E26)+1)/12))))-(IF(OR(N26="",N26&lt;=0),0,(O26/N26)*(IF(OR(N26="",N26&lt;=0),0,IF((YEAR(D26)+6)&lt;YEAR(E26),0,IF((YEAR(D26)+6)&gt;=YEAR(E26)+N26,0,IF((YEAR(D26)+6)=YEAR(E26),(12-MONTH(E26)+1)/12,1))))))))*TaxRate,0))-IF(6=0,O26,0))</f>
        <v/>
      </c>
      <c r="Z26" s="29">
        <f>IF(A26="","",((K26)*(IF(M26="",L26,IFERROR(IF(INDEX(Variablen!$I:$AT, MATCH(M26, Variablen!$A:$A, 0), MATCH((YEAR(D26)+7), Variablen!$I$3:$AT$3, 0))="",L26,INDEX(Variablen!$I:$AT, MATCH(M26, Variablen!$A:$A, 0), MATCH((YEAR(D26)+7), Variablen!$I$3:$AT$3, 0))),L26)))*(IF((YEAR(D26)+7)&lt;YEAR(E26),0,IF((YEAR(D26)+7)&gt;YEAR(E26),1,(12-MONTH(E26)+1)/12))) + (Q26)*(IF((YEAR(D26)+7)&lt;YEAR(E26),0,IF((YEAR(D26)+7)&gt;YEAR(E26),1,(12-MONTH(E26)+1)/12))))-((P26)*(IF((YEAR(D26)+7)&lt;YEAR(E26),0,IF((YEAR(D26)+7)&gt;YEAR(E26),1,(12-MONTH(E26)+1)/12))) + (R26)*(IF((YEAR(D26)+7)&lt;YEAR(E26),0,IF((YEAR(D26)+7)&gt;YEAR(E26),1,(12-MONTH(E26)+1)/12))))-(IF((((K26)*(IF(M26="",L26,IFERROR(IF(INDEX(Variablen!$I:$AT, MATCH(M26, Variablen!$A:$A, 0), MATCH((YEAR(D26)+7), Variablen!$I$3:$AT$3, 0))="",L26,INDEX(Variablen!$I:$AT, MATCH(M26, Variablen!$A:$A, 0), MATCH((YEAR(D26)+7), Variablen!$I$3:$AT$3, 0))),L26)))*(IF((YEAR(D26)+7)&lt;YEAR(E26),0,IF((YEAR(D26)+7)&gt;YEAR(E26),1,(12-MONTH(E26)+1)/12))) + (Q26)*(IF((YEAR(D26)+7)&lt;YEAR(E26),0,IF((YEAR(D26)+7)&gt;YEAR(E26),1,(12-MONTH(E26)+1)/12))))-((P26)*(IF((YEAR(D26)+7)&lt;YEAR(E26),0,IF((YEAR(D26)+7)&gt;YEAR(E26),1,(12-MONTH(E26)+1)/12))) + (R26)*(IF((YEAR(D26)+7)&lt;YEAR(E26),0,IF((YEAR(D26)+7)&gt;YEAR(E26),1,(12-MONTH(E26)+1)/12))))-(IF(OR(N26="",N26&lt;=0),0,(O26/N26)*(IF(OR(N26="",N26&lt;=0),0,IF((YEAR(D26)+7)&lt;YEAR(E26),0,IF((YEAR(D26)+7)&gt;=YEAR(E26)+N26,0,IF((YEAR(D26)+7)=YEAR(E26),(12-MONTH(E26)+1)/12,1))))))))&gt;0,(((K26)*(IF(M26="",L26,IFERROR(IF(INDEX(Variablen!$I:$AT, MATCH(M26, Variablen!$A:$A, 0), MATCH((YEAR(D26)+7), Variablen!$I$3:$AT$3, 0))="",L26,INDEX(Variablen!$I:$AT, MATCH(M26, Variablen!$A:$A, 0), MATCH((YEAR(D26)+7), Variablen!$I$3:$AT$3, 0))),L26)))*(IF((YEAR(D26)+7)&lt;YEAR(E26),0,IF((YEAR(D26)+7)&gt;YEAR(E26),1,(12-MONTH(E26)+1)/12))) + (Q26)*(IF((YEAR(D26)+7)&lt;YEAR(E26),0,IF((YEAR(D26)+7)&gt;YEAR(E26),1,(12-MONTH(E26)+1)/12))))-((P26)*(IF((YEAR(D26)+7)&lt;YEAR(E26),0,IF((YEAR(D26)+7)&gt;YEAR(E26),1,(12-MONTH(E26)+1)/12))) + (R26)*(IF((YEAR(D26)+7)&lt;YEAR(E26),0,IF((YEAR(D26)+7)&gt;YEAR(E26),1,(12-MONTH(E26)+1)/12))))-(IF(OR(N26="",N26&lt;=0),0,(O26/N26)*(IF(OR(N26="",N26&lt;=0),0,IF((YEAR(D26)+7)&lt;YEAR(E26),0,IF((YEAR(D26)+7)&gt;=YEAR(E26)+N26,0,IF((YEAR(D26)+7)=YEAR(E26),(12-MONTH(E26)+1)/12,1))))))))*TaxRate,0))-IF(7=0,O26,0))</f>
        <v/>
      </c>
      <c r="AA26" s="29">
        <f>IF(A26="","",((K26)*(IF(M26="",L26,IFERROR(IF(INDEX(Variablen!$I:$AT, MATCH(M26, Variablen!$A:$A, 0), MATCH((YEAR(D26)+8), Variablen!$I$3:$AT$3, 0))="",L26,INDEX(Variablen!$I:$AT, MATCH(M26, Variablen!$A:$A, 0), MATCH((YEAR(D26)+8), Variablen!$I$3:$AT$3, 0))),L26)))*(IF((YEAR(D26)+8)&lt;YEAR(E26),0,IF((YEAR(D26)+8)&gt;YEAR(E26),1,(12-MONTH(E26)+1)/12))) + (Q26)*(IF((YEAR(D26)+8)&lt;YEAR(E26),0,IF((YEAR(D26)+8)&gt;YEAR(E26),1,(12-MONTH(E26)+1)/12))))-((P26)*(IF((YEAR(D26)+8)&lt;YEAR(E26),0,IF((YEAR(D26)+8)&gt;YEAR(E26),1,(12-MONTH(E26)+1)/12))) + (R26)*(IF((YEAR(D26)+8)&lt;YEAR(E26),0,IF((YEAR(D26)+8)&gt;YEAR(E26),1,(12-MONTH(E26)+1)/12))))-(IF((((K26)*(IF(M26="",L26,IFERROR(IF(INDEX(Variablen!$I:$AT, MATCH(M26, Variablen!$A:$A, 0), MATCH((YEAR(D26)+8), Variablen!$I$3:$AT$3, 0))="",L26,INDEX(Variablen!$I:$AT, MATCH(M26, Variablen!$A:$A, 0), MATCH((YEAR(D26)+8), Variablen!$I$3:$AT$3, 0))),L26)))*(IF((YEAR(D26)+8)&lt;YEAR(E26),0,IF((YEAR(D26)+8)&gt;YEAR(E26),1,(12-MONTH(E26)+1)/12))) + (Q26)*(IF((YEAR(D26)+8)&lt;YEAR(E26),0,IF((YEAR(D26)+8)&gt;YEAR(E26),1,(12-MONTH(E26)+1)/12))))-((P26)*(IF((YEAR(D26)+8)&lt;YEAR(E26),0,IF((YEAR(D26)+8)&gt;YEAR(E26),1,(12-MONTH(E26)+1)/12))) + (R26)*(IF((YEAR(D26)+8)&lt;YEAR(E26),0,IF((YEAR(D26)+8)&gt;YEAR(E26),1,(12-MONTH(E26)+1)/12))))-(IF(OR(N26="",N26&lt;=0),0,(O26/N26)*(IF(OR(N26="",N26&lt;=0),0,IF((YEAR(D26)+8)&lt;YEAR(E26),0,IF((YEAR(D26)+8)&gt;=YEAR(E26)+N26,0,IF((YEAR(D26)+8)=YEAR(E26),(12-MONTH(E26)+1)/12,1))))))))&gt;0,(((K26)*(IF(M26="",L26,IFERROR(IF(INDEX(Variablen!$I:$AT, MATCH(M26, Variablen!$A:$A, 0), MATCH((YEAR(D26)+8), Variablen!$I$3:$AT$3, 0))="",L26,INDEX(Variablen!$I:$AT, MATCH(M26, Variablen!$A:$A, 0), MATCH((YEAR(D26)+8), Variablen!$I$3:$AT$3, 0))),L26)))*(IF((YEAR(D26)+8)&lt;YEAR(E26),0,IF((YEAR(D26)+8)&gt;YEAR(E26),1,(12-MONTH(E26)+1)/12))) + (Q26)*(IF((YEAR(D26)+8)&lt;YEAR(E26),0,IF((YEAR(D26)+8)&gt;YEAR(E26),1,(12-MONTH(E26)+1)/12))))-((P26)*(IF((YEAR(D26)+8)&lt;YEAR(E26),0,IF((YEAR(D26)+8)&gt;YEAR(E26),1,(12-MONTH(E26)+1)/12))) + (R26)*(IF((YEAR(D26)+8)&lt;YEAR(E26),0,IF((YEAR(D26)+8)&gt;YEAR(E26),1,(12-MONTH(E26)+1)/12))))-(IF(OR(N26="",N26&lt;=0),0,(O26/N26)*(IF(OR(N26="",N26&lt;=0),0,IF((YEAR(D26)+8)&lt;YEAR(E26),0,IF((YEAR(D26)+8)&gt;=YEAR(E26)+N26,0,IF((YEAR(D26)+8)=YEAR(E26),(12-MONTH(E26)+1)/12,1))))))))*TaxRate,0))-IF(8=0,O26,0))</f>
        <v/>
      </c>
      <c r="AB26" s="29">
        <f>IF(A26="","",((K26)*(IF(M26="",L26,IFERROR(IF(INDEX(Variablen!$I:$AT, MATCH(M26, Variablen!$A:$A, 0), MATCH((YEAR(D26)+9), Variablen!$I$3:$AT$3, 0))="",L26,INDEX(Variablen!$I:$AT, MATCH(M26, Variablen!$A:$A, 0), MATCH((YEAR(D26)+9), Variablen!$I$3:$AT$3, 0))),L26)))*(IF((YEAR(D26)+9)&lt;YEAR(E26),0,IF((YEAR(D26)+9)&gt;YEAR(E26),1,(12-MONTH(E26)+1)/12))) + (Q26)*(IF((YEAR(D26)+9)&lt;YEAR(E26),0,IF((YEAR(D26)+9)&gt;YEAR(E26),1,(12-MONTH(E26)+1)/12))))-((P26)*(IF((YEAR(D26)+9)&lt;YEAR(E26),0,IF((YEAR(D26)+9)&gt;YEAR(E26),1,(12-MONTH(E26)+1)/12))) + (R26)*(IF((YEAR(D26)+9)&lt;YEAR(E26),0,IF((YEAR(D26)+9)&gt;YEAR(E26),1,(12-MONTH(E26)+1)/12))))-(IF((((K26)*(IF(M26="",L26,IFERROR(IF(INDEX(Variablen!$I:$AT, MATCH(M26, Variablen!$A:$A, 0), MATCH((YEAR(D26)+9), Variablen!$I$3:$AT$3, 0))="",L26,INDEX(Variablen!$I:$AT, MATCH(M26, Variablen!$A:$A, 0), MATCH((YEAR(D26)+9), Variablen!$I$3:$AT$3, 0))),L26)))*(IF((YEAR(D26)+9)&lt;YEAR(E26),0,IF((YEAR(D26)+9)&gt;YEAR(E26),1,(12-MONTH(E26)+1)/12))) + (Q26)*(IF((YEAR(D26)+9)&lt;YEAR(E26),0,IF((YEAR(D26)+9)&gt;YEAR(E26),1,(12-MONTH(E26)+1)/12))))-((P26)*(IF((YEAR(D26)+9)&lt;YEAR(E26),0,IF((YEAR(D26)+9)&gt;YEAR(E26),1,(12-MONTH(E26)+1)/12))) + (R26)*(IF((YEAR(D26)+9)&lt;YEAR(E26),0,IF((YEAR(D26)+9)&gt;YEAR(E26),1,(12-MONTH(E26)+1)/12))))-(IF(OR(N26="",N26&lt;=0),0,(O26/N26)*(IF(OR(N26="",N26&lt;=0),0,IF((YEAR(D26)+9)&lt;YEAR(E26),0,IF((YEAR(D26)+9)&gt;=YEAR(E26)+N26,0,IF((YEAR(D26)+9)=YEAR(E26),(12-MONTH(E26)+1)/12,1))))))))&gt;0,(((K26)*(IF(M26="",L26,IFERROR(IF(INDEX(Variablen!$I:$AT, MATCH(M26, Variablen!$A:$A, 0), MATCH((YEAR(D26)+9), Variablen!$I$3:$AT$3, 0))="",L26,INDEX(Variablen!$I:$AT, MATCH(M26, Variablen!$A:$A, 0), MATCH((YEAR(D26)+9), Variablen!$I$3:$AT$3, 0))),L26)))*(IF((YEAR(D26)+9)&lt;YEAR(E26),0,IF((YEAR(D26)+9)&gt;YEAR(E26),1,(12-MONTH(E26)+1)/12))) + (Q26)*(IF((YEAR(D26)+9)&lt;YEAR(E26),0,IF((YEAR(D26)+9)&gt;YEAR(E26),1,(12-MONTH(E26)+1)/12))))-((P26)*(IF((YEAR(D26)+9)&lt;YEAR(E26),0,IF((YEAR(D26)+9)&gt;YEAR(E26),1,(12-MONTH(E26)+1)/12))) + (R26)*(IF((YEAR(D26)+9)&lt;YEAR(E26),0,IF((YEAR(D26)+9)&gt;YEAR(E26),1,(12-MONTH(E26)+1)/12))))-(IF(OR(N26="",N26&lt;=0),0,(O26/N26)*(IF(OR(N26="",N26&lt;=0),0,IF((YEAR(D26)+9)&lt;YEAR(E26),0,IF((YEAR(D26)+9)&gt;=YEAR(E26)+N26,0,IF((YEAR(D26)+9)=YEAR(E26),(12-MONTH(E26)+1)/12,1))))))))*TaxRate,0))-IF(9=0,O26,0))</f>
        <v/>
      </c>
      <c r="AC26" s="29">
        <f>IF(A26="","",((K26)*(IF(M26="",L26,IFERROR(IF(INDEX(Variablen!$I:$AT, MATCH(M26, Variablen!$A:$A, 0), MATCH((YEAR(D26)+10), Variablen!$I$3:$AT$3, 0))="",L26,INDEX(Variablen!$I:$AT, MATCH(M26, Variablen!$A:$A, 0), MATCH((YEAR(D26)+10), Variablen!$I$3:$AT$3, 0))),L26)))*(IF((YEAR(D26)+10)&lt;YEAR(E26),0,IF((YEAR(D26)+10)&gt;YEAR(E26),1,(12-MONTH(E26)+1)/12))) + (Q26)*(IF((YEAR(D26)+10)&lt;YEAR(E26),0,IF((YEAR(D26)+10)&gt;YEAR(E26),1,(12-MONTH(E26)+1)/12))))-((P26)*(IF((YEAR(D26)+10)&lt;YEAR(E26),0,IF((YEAR(D26)+10)&gt;YEAR(E26),1,(12-MONTH(E26)+1)/12))) + (R26)*(IF((YEAR(D26)+10)&lt;YEAR(E26),0,IF((YEAR(D26)+10)&gt;YEAR(E26),1,(12-MONTH(E26)+1)/12))))-(IF((((K26)*(IF(M26="",L26,IFERROR(IF(INDEX(Variablen!$I:$AT, MATCH(M26, Variablen!$A:$A, 0), MATCH((YEAR(D26)+10), Variablen!$I$3:$AT$3, 0))="",L26,INDEX(Variablen!$I:$AT, MATCH(M26, Variablen!$A:$A, 0), MATCH((YEAR(D26)+10), Variablen!$I$3:$AT$3, 0))),L26)))*(IF((YEAR(D26)+10)&lt;YEAR(E26),0,IF((YEAR(D26)+10)&gt;YEAR(E26),1,(12-MONTH(E26)+1)/12))) + (Q26)*(IF((YEAR(D26)+10)&lt;YEAR(E26),0,IF((YEAR(D26)+10)&gt;YEAR(E26),1,(12-MONTH(E26)+1)/12))))-((P26)*(IF((YEAR(D26)+10)&lt;YEAR(E26),0,IF((YEAR(D26)+10)&gt;YEAR(E26),1,(12-MONTH(E26)+1)/12))) + (R26)*(IF((YEAR(D26)+10)&lt;YEAR(E26),0,IF((YEAR(D26)+10)&gt;YEAR(E26),1,(12-MONTH(E26)+1)/12))))-(IF(OR(N26="",N26&lt;=0),0,(O26/N26)*(IF(OR(N26="",N26&lt;=0),0,IF((YEAR(D26)+10)&lt;YEAR(E26),0,IF((YEAR(D26)+10)&gt;=YEAR(E26)+N26,0,IF((YEAR(D26)+10)=YEAR(E26),(12-MONTH(E26)+1)/12,1))))))))&gt;0,(((K26)*(IF(M26="",L26,IFERROR(IF(INDEX(Variablen!$I:$AT, MATCH(M26, Variablen!$A:$A, 0), MATCH((YEAR(D26)+10), Variablen!$I$3:$AT$3, 0))="",L26,INDEX(Variablen!$I:$AT, MATCH(M26, Variablen!$A:$A, 0), MATCH((YEAR(D26)+10), Variablen!$I$3:$AT$3, 0))),L26)))*(IF((YEAR(D26)+10)&lt;YEAR(E26),0,IF((YEAR(D26)+10)&gt;YEAR(E26),1,(12-MONTH(E26)+1)/12))) + (Q26)*(IF((YEAR(D26)+10)&lt;YEAR(E26),0,IF((YEAR(D26)+10)&gt;YEAR(E26),1,(12-MONTH(E26)+1)/12))))-((P26)*(IF((YEAR(D26)+10)&lt;YEAR(E26),0,IF((YEAR(D26)+10)&gt;YEAR(E26),1,(12-MONTH(E26)+1)/12))) + (R26)*(IF((YEAR(D26)+10)&lt;YEAR(E26),0,IF((YEAR(D26)+10)&gt;YEAR(E26),1,(12-MONTH(E26)+1)/12))))-(IF(OR(N26="",N26&lt;=0),0,(O26/N26)*(IF(OR(N26="",N26&lt;=0),0,IF((YEAR(D26)+10)&lt;YEAR(E26),0,IF((YEAR(D26)+10)&gt;=YEAR(E26)+N26,0,IF((YEAR(D26)+10)=YEAR(E26),(12-MONTH(E26)+1)/12,1))))))))*TaxRate,0))-IF(10=0,O26,0))</f>
        <v/>
      </c>
      <c r="AD26" s="29">
        <f>IF(A26="","",((K26)*(IF(M26="",L26,IFERROR(IF(INDEX(Variablen!$I:$AT, MATCH(M26, Variablen!$A:$A, 0), MATCH((YEAR(D26)+11), Variablen!$I$3:$AT$3, 0))="",L26,INDEX(Variablen!$I:$AT, MATCH(M26, Variablen!$A:$A, 0), MATCH((YEAR(D26)+11), Variablen!$I$3:$AT$3, 0))),L26)))*(IF((YEAR(D26)+11)&lt;YEAR(E26),0,IF((YEAR(D26)+11)&gt;YEAR(E26),1,(12-MONTH(E26)+1)/12))) + (Q26)*(IF((YEAR(D26)+11)&lt;YEAR(E26),0,IF((YEAR(D26)+11)&gt;YEAR(E26),1,(12-MONTH(E26)+1)/12))))-((P26)*(IF((YEAR(D26)+11)&lt;YEAR(E26),0,IF((YEAR(D26)+11)&gt;YEAR(E26),1,(12-MONTH(E26)+1)/12))) + (R26)*(IF((YEAR(D26)+11)&lt;YEAR(E26),0,IF((YEAR(D26)+11)&gt;YEAR(E26),1,(12-MONTH(E26)+1)/12))))-(IF((((K26)*(IF(M26="",L26,IFERROR(IF(INDEX(Variablen!$I:$AT, MATCH(M26, Variablen!$A:$A, 0), MATCH((YEAR(D26)+11), Variablen!$I$3:$AT$3, 0))="",L26,INDEX(Variablen!$I:$AT, MATCH(M26, Variablen!$A:$A, 0), MATCH((YEAR(D26)+11), Variablen!$I$3:$AT$3, 0))),L26)))*(IF((YEAR(D26)+11)&lt;YEAR(E26),0,IF((YEAR(D26)+11)&gt;YEAR(E26),1,(12-MONTH(E26)+1)/12))) + (Q26)*(IF((YEAR(D26)+11)&lt;YEAR(E26),0,IF((YEAR(D26)+11)&gt;YEAR(E26),1,(12-MONTH(E26)+1)/12))))-((P26)*(IF((YEAR(D26)+11)&lt;YEAR(E26),0,IF((YEAR(D26)+11)&gt;YEAR(E26),1,(12-MONTH(E26)+1)/12))) + (R26)*(IF((YEAR(D26)+11)&lt;YEAR(E26),0,IF((YEAR(D26)+11)&gt;YEAR(E26),1,(12-MONTH(E26)+1)/12))))-(IF(OR(N26="",N26&lt;=0),0,(O26/N26)*(IF(OR(N26="",N26&lt;=0),0,IF((YEAR(D26)+11)&lt;YEAR(E26),0,IF((YEAR(D26)+11)&gt;=YEAR(E26)+N26,0,IF((YEAR(D26)+11)=YEAR(E26),(12-MONTH(E26)+1)/12,1))))))))&gt;0,(((K26)*(IF(M26="",L26,IFERROR(IF(INDEX(Variablen!$I:$AT, MATCH(M26, Variablen!$A:$A, 0), MATCH((YEAR(D26)+11), Variablen!$I$3:$AT$3, 0))="",L26,INDEX(Variablen!$I:$AT, MATCH(M26, Variablen!$A:$A, 0), MATCH((YEAR(D26)+11), Variablen!$I$3:$AT$3, 0))),L26)))*(IF((YEAR(D26)+11)&lt;YEAR(E26),0,IF((YEAR(D26)+11)&gt;YEAR(E26),1,(12-MONTH(E26)+1)/12))) + (Q26)*(IF((YEAR(D26)+11)&lt;YEAR(E26),0,IF((YEAR(D26)+11)&gt;YEAR(E26),1,(12-MONTH(E26)+1)/12))))-((P26)*(IF((YEAR(D26)+11)&lt;YEAR(E26),0,IF((YEAR(D26)+11)&gt;YEAR(E26),1,(12-MONTH(E26)+1)/12))) + (R26)*(IF((YEAR(D26)+11)&lt;YEAR(E26),0,IF((YEAR(D26)+11)&gt;YEAR(E26),1,(12-MONTH(E26)+1)/12))))-(IF(OR(N26="",N26&lt;=0),0,(O26/N26)*(IF(OR(N26="",N26&lt;=0),0,IF((YEAR(D26)+11)&lt;YEAR(E26),0,IF((YEAR(D26)+11)&gt;=YEAR(E26)+N26,0,IF((YEAR(D26)+11)=YEAR(E26),(12-MONTH(E26)+1)/12,1))))))))*TaxRate,0))-IF(11=0,O26,0))</f>
        <v/>
      </c>
      <c r="AE26" s="29">
        <f>IF(A26="","",((K26)*(IF(M26="",L26,IFERROR(IF(INDEX(Variablen!$I:$AT, MATCH(M26, Variablen!$A:$A, 0), MATCH((YEAR(D26)+12), Variablen!$I$3:$AT$3, 0))="",L26,INDEX(Variablen!$I:$AT, MATCH(M26, Variablen!$A:$A, 0), MATCH((YEAR(D26)+12), Variablen!$I$3:$AT$3, 0))),L26)))*(IF((YEAR(D26)+12)&lt;YEAR(E26),0,IF((YEAR(D26)+12)&gt;YEAR(E26),1,(12-MONTH(E26)+1)/12))) + (Q26)*(IF((YEAR(D26)+12)&lt;YEAR(E26),0,IF((YEAR(D26)+12)&gt;YEAR(E26),1,(12-MONTH(E26)+1)/12))))-((P26)*(IF((YEAR(D26)+12)&lt;YEAR(E26),0,IF((YEAR(D26)+12)&gt;YEAR(E26),1,(12-MONTH(E26)+1)/12))) + (R26)*(IF((YEAR(D26)+12)&lt;YEAR(E26),0,IF((YEAR(D26)+12)&gt;YEAR(E26),1,(12-MONTH(E26)+1)/12))))-(IF((((K26)*(IF(M26="",L26,IFERROR(IF(INDEX(Variablen!$I:$AT, MATCH(M26, Variablen!$A:$A, 0), MATCH((YEAR(D26)+12), Variablen!$I$3:$AT$3, 0))="",L26,INDEX(Variablen!$I:$AT, MATCH(M26, Variablen!$A:$A, 0), MATCH((YEAR(D26)+12), Variablen!$I$3:$AT$3, 0))),L26)))*(IF((YEAR(D26)+12)&lt;YEAR(E26),0,IF((YEAR(D26)+12)&gt;YEAR(E26),1,(12-MONTH(E26)+1)/12))) + (Q26)*(IF((YEAR(D26)+12)&lt;YEAR(E26),0,IF((YEAR(D26)+12)&gt;YEAR(E26),1,(12-MONTH(E26)+1)/12))))-((P26)*(IF((YEAR(D26)+12)&lt;YEAR(E26),0,IF((YEAR(D26)+12)&gt;YEAR(E26),1,(12-MONTH(E26)+1)/12))) + (R26)*(IF((YEAR(D26)+12)&lt;YEAR(E26),0,IF((YEAR(D26)+12)&gt;YEAR(E26),1,(12-MONTH(E26)+1)/12))))-(IF(OR(N26="",N26&lt;=0),0,(O26/N26)*(IF(OR(N26="",N26&lt;=0),0,IF((YEAR(D26)+12)&lt;YEAR(E26),0,IF((YEAR(D26)+12)&gt;=YEAR(E26)+N26,0,IF((YEAR(D26)+12)=YEAR(E26),(12-MONTH(E26)+1)/12,1))))))))&gt;0,(((K26)*(IF(M26="",L26,IFERROR(IF(INDEX(Variablen!$I:$AT, MATCH(M26, Variablen!$A:$A, 0), MATCH((YEAR(D26)+12), Variablen!$I$3:$AT$3, 0))="",L26,INDEX(Variablen!$I:$AT, MATCH(M26, Variablen!$A:$A, 0), MATCH((YEAR(D26)+12), Variablen!$I$3:$AT$3, 0))),L26)))*(IF((YEAR(D26)+12)&lt;YEAR(E26),0,IF((YEAR(D26)+12)&gt;YEAR(E26),1,(12-MONTH(E26)+1)/12))) + (Q26)*(IF((YEAR(D26)+12)&lt;YEAR(E26),0,IF((YEAR(D26)+12)&gt;YEAR(E26),1,(12-MONTH(E26)+1)/12))))-((P26)*(IF((YEAR(D26)+12)&lt;YEAR(E26),0,IF((YEAR(D26)+12)&gt;YEAR(E26),1,(12-MONTH(E26)+1)/12))) + (R26)*(IF((YEAR(D26)+12)&lt;YEAR(E26),0,IF((YEAR(D26)+12)&gt;YEAR(E26),1,(12-MONTH(E26)+1)/12))))-(IF(OR(N26="",N26&lt;=0),0,(O26/N26)*(IF(OR(N26="",N26&lt;=0),0,IF((YEAR(D26)+12)&lt;YEAR(E26),0,IF((YEAR(D26)+12)&gt;=YEAR(E26)+N26,0,IF((YEAR(D26)+12)=YEAR(E26),(12-MONTH(E26)+1)/12,1))))))))*TaxRate,0))-IF(12=0,O26,0))</f>
        <v/>
      </c>
      <c r="AF26" s="29">
        <f>IF(A26="","",((K26)*(IF(M26="",L26,IFERROR(IF(INDEX(Variablen!$I:$AT, MATCH(M26, Variablen!$A:$A, 0), MATCH((YEAR(D26)+13), Variablen!$I$3:$AT$3, 0))="",L26,INDEX(Variablen!$I:$AT, MATCH(M26, Variablen!$A:$A, 0), MATCH((YEAR(D26)+13), Variablen!$I$3:$AT$3, 0))),L26)))*(IF((YEAR(D26)+13)&lt;YEAR(E26),0,IF((YEAR(D26)+13)&gt;YEAR(E26),1,(12-MONTH(E26)+1)/12))) + (Q26)*(IF((YEAR(D26)+13)&lt;YEAR(E26),0,IF((YEAR(D26)+13)&gt;YEAR(E26),1,(12-MONTH(E26)+1)/12))))-((P26)*(IF((YEAR(D26)+13)&lt;YEAR(E26),0,IF((YEAR(D26)+13)&gt;YEAR(E26),1,(12-MONTH(E26)+1)/12))) + (R26)*(IF((YEAR(D26)+13)&lt;YEAR(E26),0,IF((YEAR(D26)+13)&gt;YEAR(E26),1,(12-MONTH(E26)+1)/12))))-(IF((((K26)*(IF(M26="",L26,IFERROR(IF(INDEX(Variablen!$I:$AT, MATCH(M26, Variablen!$A:$A, 0), MATCH((YEAR(D26)+13), Variablen!$I$3:$AT$3, 0))="",L26,INDEX(Variablen!$I:$AT, MATCH(M26, Variablen!$A:$A, 0), MATCH((YEAR(D26)+13), Variablen!$I$3:$AT$3, 0))),L26)))*(IF((YEAR(D26)+13)&lt;YEAR(E26),0,IF((YEAR(D26)+13)&gt;YEAR(E26),1,(12-MONTH(E26)+1)/12))) + (Q26)*(IF((YEAR(D26)+13)&lt;YEAR(E26),0,IF((YEAR(D26)+13)&gt;YEAR(E26),1,(12-MONTH(E26)+1)/12))))-((P26)*(IF((YEAR(D26)+13)&lt;YEAR(E26),0,IF((YEAR(D26)+13)&gt;YEAR(E26),1,(12-MONTH(E26)+1)/12))) + (R26)*(IF((YEAR(D26)+13)&lt;YEAR(E26),0,IF((YEAR(D26)+13)&gt;YEAR(E26),1,(12-MONTH(E26)+1)/12))))-(IF(OR(N26="",N26&lt;=0),0,(O26/N26)*(IF(OR(N26="",N26&lt;=0),0,IF((YEAR(D26)+13)&lt;YEAR(E26),0,IF((YEAR(D26)+13)&gt;=YEAR(E26)+N26,0,IF((YEAR(D26)+13)=YEAR(E26),(12-MONTH(E26)+1)/12,1))))))))&gt;0,(((K26)*(IF(M26="",L26,IFERROR(IF(INDEX(Variablen!$I:$AT, MATCH(M26, Variablen!$A:$A, 0), MATCH((YEAR(D26)+13), Variablen!$I$3:$AT$3, 0))="",L26,INDEX(Variablen!$I:$AT, MATCH(M26, Variablen!$A:$A, 0), MATCH((YEAR(D26)+13), Variablen!$I$3:$AT$3, 0))),L26)))*(IF((YEAR(D26)+13)&lt;YEAR(E26),0,IF((YEAR(D26)+13)&gt;YEAR(E26),1,(12-MONTH(E26)+1)/12))) + (Q26)*(IF((YEAR(D26)+13)&lt;YEAR(E26),0,IF((YEAR(D26)+13)&gt;YEAR(E26),1,(12-MONTH(E26)+1)/12))))-((P26)*(IF((YEAR(D26)+13)&lt;YEAR(E26),0,IF((YEAR(D26)+13)&gt;YEAR(E26),1,(12-MONTH(E26)+1)/12))) + (R26)*(IF((YEAR(D26)+13)&lt;YEAR(E26),0,IF((YEAR(D26)+13)&gt;YEAR(E26),1,(12-MONTH(E26)+1)/12))))-(IF(OR(N26="",N26&lt;=0),0,(O26/N26)*(IF(OR(N26="",N26&lt;=0),0,IF((YEAR(D26)+13)&lt;YEAR(E26),0,IF((YEAR(D26)+13)&gt;=YEAR(E26)+N26,0,IF((YEAR(D26)+13)=YEAR(E26),(12-MONTH(E26)+1)/12,1))))))))*TaxRate,0))-IF(13=0,O26,0))</f>
        <v/>
      </c>
      <c r="AG26" s="29">
        <f>IF(A26="","",((K26)*(IF(M26="",L26,IFERROR(IF(INDEX(Variablen!$I:$AT, MATCH(M26, Variablen!$A:$A, 0), MATCH((YEAR(D26)+14), Variablen!$I$3:$AT$3, 0))="",L26,INDEX(Variablen!$I:$AT, MATCH(M26, Variablen!$A:$A, 0), MATCH((YEAR(D26)+14), Variablen!$I$3:$AT$3, 0))),L26)))*(IF((YEAR(D26)+14)&lt;YEAR(E26),0,IF((YEAR(D26)+14)&gt;YEAR(E26),1,(12-MONTH(E26)+1)/12))) + (Q26)*(IF((YEAR(D26)+14)&lt;YEAR(E26),0,IF((YEAR(D26)+14)&gt;YEAR(E26),1,(12-MONTH(E26)+1)/12))))-((P26)*(IF((YEAR(D26)+14)&lt;YEAR(E26),0,IF((YEAR(D26)+14)&gt;YEAR(E26),1,(12-MONTH(E26)+1)/12))) + (R26)*(IF((YEAR(D26)+14)&lt;YEAR(E26),0,IF((YEAR(D26)+14)&gt;YEAR(E26),1,(12-MONTH(E26)+1)/12))))-(IF((((K26)*(IF(M26="",L26,IFERROR(IF(INDEX(Variablen!$I:$AT, MATCH(M26, Variablen!$A:$A, 0), MATCH((YEAR(D26)+14), Variablen!$I$3:$AT$3, 0))="",L26,INDEX(Variablen!$I:$AT, MATCH(M26, Variablen!$A:$A, 0), MATCH((YEAR(D26)+14), Variablen!$I$3:$AT$3, 0))),L26)))*(IF((YEAR(D26)+14)&lt;YEAR(E26),0,IF((YEAR(D26)+14)&gt;YEAR(E26),1,(12-MONTH(E26)+1)/12))) + (Q26)*(IF((YEAR(D26)+14)&lt;YEAR(E26),0,IF((YEAR(D26)+14)&gt;YEAR(E26),1,(12-MONTH(E26)+1)/12))))-((P26)*(IF((YEAR(D26)+14)&lt;YEAR(E26),0,IF((YEAR(D26)+14)&gt;YEAR(E26),1,(12-MONTH(E26)+1)/12))) + (R26)*(IF((YEAR(D26)+14)&lt;YEAR(E26),0,IF((YEAR(D26)+14)&gt;YEAR(E26),1,(12-MONTH(E26)+1)/12))))-(IF(OR(N26="",N26&lt;=0),0,(O26/N26)*(IF(OR(N26="",N26&lt;=0),0,IF((YEAR(D26)+14)&lt;YEAR(E26),0,IF((YEAR(D26)+14)&gt;=YEAR(E26)+N26,0,IF((YEAR(D26)+14)=YEAR(E26),(12-MONTH(E26)+1)/12,1))))))))&gt;0,(((K26)*(IF(M26="",L26,IFERROR(IF(INDEX(Variablen!$I:$AT, MATCH(M26, Variablen!$A:$A, 0), MATCH((YEAR(D26)+14), Variablen!$I$3:$AT$3, 0))="",L26,INDEX(Variablen!$I:$AT, MATCH(M26, Variablen!$A:$A, 0), MATCH((YEAR(D26)+14), Variablen!$I$3:$AT$3, 0))),L26)))*(IF((YEAR(D26)+14)&lt;YEAR(E26),0,IF((YEAR(D26)+14)&gt;YEAR(E26),1,(12-MONTH(E26)+1)/12))) + (Q26)*(IF((YEAR(D26)+14)&lt;YEAR(E26),0,IF((YEAR(D26)+14)&gt;YEAR(E26),1,(12-MONTH(E26)+1)/12))))-((P26)*(IF((YEAR(D26)+14)&lt;YEAR(E26),0,IF((YEAR(D26)+14)&gt;YEAR(E26),1,(12-MONTH(E26)+1)/12))) + (R26)*(IF((YEAR(D26)+14)&lt;YEAR(E26),0,IF((YEAR(D26)+14)&gt;YEAR(E26),1,(12-MONTH(E26)+1)/12))))-(IF(OR(N26="",N26&lt;=0),0,(O26/N26)*(IF(OR(N26="",N26&lt;=0),0,IF((YEAR(D26)+14)&lt;YEAR(E26),0,IF((YEAR(D26)+14)&gt;=YEAR(E26)+N26,0,IF((YEAR(D26)+14)=YEAR(E26),(12-MONTH(E26)+1)/12,1))))))))*TaxRate,0))-IF(14=0,O26,0))</f>
        <v/>
      </c>
      <c r="AH26" s="29">
        <f>IF(A26="","",((K26)*(IF(M26="",L26,IFERROR(IF(INDEX(Variablen!$I:$AT, MATCH(M26, Variablen!$A:$A, 0), MATCH((YEAR(D26)+15), Variablen!$I$3:$AT$3, 0))="",L26,INDEX(Variablen!$I:$AT, MATCH(M26, Variablen!$A:$A, 0), MATCH((YEAR(D26)+15), Variablen!$I$3:$AT$3, 0))),L26)))*(IF((YEAR(D26)+15)&lt;YEAR(E26),0,IF((YEAR(D26)+15)&gt;YEAR(E26),1,(12-MONTH(E26)+1)/12))) + (Q26)*(IF((YEAR(D26)+15)&lt;YEAR(E26),0,IF((YEAR(D26)+15)&gt;YEAR(E26),1,(12-MONTH(E26)+1)/12))))-((P26)*(IF((YEAR(D26)+15)&lt;YEAR(E26),0,IF((YEAR(D26)+15)&gt;YEAR(E26),1,(12-MONTH(E26)+1)/12))) + (R26)*(IF((YEAR(D26)+15)&lt;YEAR(E26),0,IF((YEAR(D26)+15)&gt;YEAR(E26),1,(12-MONTH(E26)+1)/12))))-(IF((((K26)*(IF(M26="",L26,IFERROR(IF(INDEX(Variablen!$I:$AT, MATCH(M26, Variablen!$A:$A, 0), MATCH((YEAR(D26)+15), Variablen!$I$3:$AT$3, 0))="",L26,INDEX(Variablen!$I:$AT, MATCH(M26, Variablen!$A:$A, 0), MATCH((YEAR(D26)+15), Variablen!$I$3:$AT$3, 0))),L26)))*(IF((YEAR(D26)+15)&lt;YEAR(E26),0,IF((YEAR(D26)+15)&gt;YEAR(E26),1,(12-MONTH(E26)+1)/12))) + (Q26)*(IF((YEAR(D26)+15)&lt;YEAR(E26),0,IF((YEAR(D26)+15)&gt;YEAR(E26),1,(12-MONTH(E26)+1)/12))))-((P26)*(IF((YEAR(D26)+15)&lt;YEAR(E26),0,IF((YEAR(D26)+15)&gt;YEAR(E26),1,(12-MONTH(E26)+1)/12))) + (R26)*(IF((YEAR(D26)+15)&lt;YEAR(E26),0,IF((YEAR(D26)+15)&gt;YEAR(E26),1,(12-MONTH(E26)+1)/12))))-(IF(OR(N26="",N26&lt;=0),0,(O26/N26)*(IF(OR(N26="",N26&lt;=0),0,IF((YEAR(D26)+15)&lt;YEAR(E26),0,IF((YEAR(D26)+15)&gt;=YEAR(E26)+N26,0,IF((YEAR(D26)+15)=YEAR(E26),(12-MONTH(E26)+1)/12,1))))))))&gt;0,(((K26)*(IF(M26="",L26,IFERROR(IF(INDEX(Variablen!$I:$AT, MATCH(M26, Variablen!$A:$A, 0), MATCH((YEAR(D26)+15), Variablen!$I$3:$AT$3, 0))="",L26,INDEX(Variablen!$I:$AT, MATCH(M26, Variablen!$A:$A, 0), MATCH((YEAR(D26)+15), Variablen!$I$3:$AT$3, 0))),L26)))*(IF((YEAR(D26)+15)&lt;YEAR(E26),0,IF((YEAR(D26)+15)&gt;YEAR(E26),1,(12-MONTH(E26)+1)/12))) + (Q26)*(IF((YEAR(D26)+15)&lt;YEAR(E26),0,IF((YEAR(D26)+15)&gt;YEAR(E26),1,(12-MONTH(E26)+1)/12))))-((P26)*(IF((YEAR(D26)+15)&lt;YEAR(E26),0,IF((YEAR(D26)+15)&gt;YEAR(E26),1,(12-MONTH(E26)+1)/12))) + (R26)*(IF((YEAR(D26)+15)&lt;YEAR(E26),0,IF((YEAR(D26)+15)&gt;YEAR(E26),1,(12-MONTH(E26)+1)/12))))-(IF(OR(N26="",N26&lt;=0),0,(O26/N26)*(IF(OR(N26="",N26&lt;=0),0,IF((YEAR(D26)+15)&lt;YEAR(E26),0,IF((YEAR(D26)+15)&gt;=YEAR(E26)+N26,0,IF((YEAR(D26)+15)=YEAR(E26),(12-MONTH(E26)+1)/12,1))))))))*TaxRate,0))-IF(15=0,O26,0))</f>
        <v/>
      </c>
      <c r="AI26" s="29">
        <f>IF(A26="","",((K26)*(IF(M26="",L26,IFERROR(IF(INDEX(Variablen!$I:$AT, MATCH(M26, Variablen!$A:$A, 0), MATCH((YEAR(D26)+16), Variablen!$I$3:$AT$3, 0))="",L26,INDEX(Variablen!$I:$AT, MATCH(M26, Variablen!$A:$A, 0), MATCH((YEAR(D26)+16), Variablen!$I$3:$AT$3, 0))),L26)))*(IF((YEAR(D26)+16)&lt;YEAR(E26),0,IF((YEAR(D26)+16)&gt;YEAR(E26),1,(12-MONTH(E26)+1)/12))) + (Q26)*(IF((YEAR(D26)+16)&lt;YEAR(E26),0,IF((YEAR(D26)+16)&gt;YEAR(E26),1,(12-MONTH(E26)+1)/12))))-((P26)*(IF((YEAR(D26)+16)&lt;YEAR(E26),0,IF((YEAR(D26)+16)&gt;YEAR(E26),1,(12-MONTH(E26)+1)/12))) + (R26)*(IF((YEAR(D26)+16)&lt;YEAR(E26),0,IF((YEAR(D26)+16)&gt;YEAR(E26),1,(12-MONTH(E26)+1)/12))))-(IF((((K26)*(IF(M26="",L26,IFERROR(IF(INDEX(Variablen!$I:$AT, MATCH(M26, Variablen!$A:$A, 0), MATCH((YEAR(D26)+16), Variablen!$I$3:$AT$3, 0))="",L26,INDEX(Variablen!$I:$AT, MATCH(M26, Variablen!$A:$A, 0), MATCH((YEAR(D26)+16), Variablen!$I$3:$AT$3, 0))),L26)))*(IF((YEAR(D26)+16)&lt;YEAR(E26),0,IF((YEAR(D26)+16)&gt;YEAR(E26),1,(12-MONTH(E26)+1)/12))) + (Q26)*(IF((YEAR(D26)+16)&lt;YEAR(E26),0,IF((YEAR(D26)+16)&gt;YEAR(E26),1,(12-MONTH(E26)+1)/12))))-((P26)*(IF((YEAR(D26)+16)&lt;YEAR(E26),0,IF((YEAR(D26)+16)&gt;YEAR(E26),1,(12-MONTH(E26)+1)/12))) + (R26)*(IF((YEAR(D26)+16)&lt;YEAR(E26),0,IF((YEAR(D26)+16)&gt;YEAR(E26),1,(12-MONTH(E26)+1)/12))))-(IF(OR(N26="",N26&lt;=0),0,(O26/N26)*(IF(OR(N26="",N26&lt;=0),0,IF((YEAR(D26)+16)&lt;YEAR(E26),0,IF((YEAR(D26)+16)&gt;=YEAR(E26)+N26,0,IF((YEAR(D26)+16)=YEAR(E26),(12-MONTH(E26)+1)/12,1))))))))&gt;0,(((K26)*(IF(M26="",L26,IFERROR(IF(INDEX(Variablen!$I:$AT, MATCH(M26, Variablen!$A:$A, 0), MATCH((YEAR(D26)+16), Variablen!$I$3:$AT$3, 0))="",L26,INDEX(Variablen!$I:$AT, MATCH(M26, Variablen!$A:$A, 0), MATCH((YEAR(D26)+16), Variablen!$I$3:$AT$3, 0))),L26)))*(IF((YEAR(D26)+16)&lt;YEAR(E26),0,IF((YEAR(D26)+16)&gt;YEAR(E26),1,(12-MONTH(E26)+1)/12))) + (Q26)*(IF((YEAR(D26)+16)&lt;YEAR(E26),0,IF((YEAR(D26)+16)&gt;YEAR(E26),1,(12-MONTH(E26)+1)/12))))-((P26)*(IF((YEAR(D26)+16)&lt;YEAR(E26),0,IF((YEAR(D26)+16)&gt;YEAR(E26),1,(12-MONTH(E26)+1)/12))) + (R26)*(IF((YEAR(D26)+16)&lt;YEAR(E26),0,IF((YEAR(D26)+16)&gt;YEAR(E26),1,(12-MONTH(E26)+1)/12))))-(IF(OR(N26="",N26&lt;=0),0,(O26/N26)*(IF(OR(N26="",N26&lt;=0),0,IF((YEAR(D26)+16)&lt;YEAR(E26),0,IF((YEAR(D26)+16)&gt;=YEAR(E26)+N26,0,IF((YEAR(D26)+16)=YEAR(E26),(12-MONTH(E26)+1)/12,1))))))))*TaxRate,0))-IF(16=0,O26,0))</f>
        <v/>
      </c>
      <c r="AJ26" s="29">
        <f>IF(A26="","",((K26)*(IF(M26="",L26,IFERROR(IF(INDEX(Variablen!$I:$AT, MATCH(M26, Variablen!$A:$A, 0), MATCH((YEAR(D26)+17), Variablen!$I$3:$AT$3, 0))="",L26,INDEX(Variablen!$I:$AT, MATCH(M26, Variablen!$A:$A, 0), MATCH((YEAR(D26)+17), Variablen!$I$3:$AT$3, 0))),L26)))*(IF((YEAR(D26)+17)&lt;YEAR(E26),0,IF((YEAR(D26)+17)&gt;YEAR(E26),1,(12-MONTH(E26)+1)/12))) + (Q26)*(IF((YEAR(D26)+17)&lt;YEAR(E26),0,IF((YEAR(D26)+17)&gt;YEAR(E26),1,(12-MONTH(E26)+1)/12))))-((P26)*(IF((YEAR(D26)+17)&lt;YEAR(E26),0,IF((YEAR(D26)+17)&gt;YEAR(E26),1,(12-MONTH(E26)+1)/12))) + (R26)*(IF((YEAR(D26)+17)&lt;YEAR(E26),0,IF((YEAR(D26)+17)&gt;YEAR(E26),1,(12-MONTH(E26)+1)/12))))-(IF((((K26)*(IF(M26="",L26,IFERROR(IF(INDEX(Variablen!$I:$AT, MATCH(M26, Variablen!$A:$A, 0), MATCH((YEAR(D26)+17), Variablen!$I$3:$AT$3, 0))="",L26,INDEX(Variablen!$I:$AT, MATCH(M26, Variablen!$A:$A, 0), MATCH((YEAR(D26)+17), Variablen!$I$3:$AT$3, 0))),L26)))*(IF((YEAR(D26)+17)&lt;YEAR(E26),0,IF((YEAR(D26)+17)&gt;YEAR(E26),1,(12-MONTH(E26)+1)/12))) + (Q26)*(IF((YEAR(D26)+17)&lt;YEAR(E26),0,IF((YEAR(D26)+17)&gt;YEAR(E26),1,(12-MONTH(E26)+1)/12))))-((P26)*(IF((YEAR(D26)+17)&lt;YEAR(E26),0,IF((YEAR(D26)+17)&gt;YEAR(E26),1,(12-MONTH(E26)+1)/12))) + (R26)*(IF((YEAR(D26)+17)&lt;YEAR(E26),0,IF((YEAR(D26)+17)&gt;YEAR(E26),1,(12-MONTH(E26)+1)/12))))-(IF(OR(N26="",N26&lt;=0),0,(O26/N26)*(IF(OR(N26="",N26&lt;=0),0,IF((YEAR(D26)+17)&lt;YEAR(E26),0,IF((YEAR(D26)+17)&gt;=YEAR(E26)+N26,0,IF((YEAR(D26)+17)=YEAR(E26),(12-MONTH(E26)+1)/12,1))))))))&gt;0,(((K26)*(IF(M26="",L26,IFERROR(IF(INDEX(Variablen!$I:$AT, MATCH(M26, Variablen!$A:$A, 0), MATCH((YEAR(D26)+17), Variablen!$I$3:$AT$3, 0))="",L26,INDEX(Variablen!$I:$AT, MATCH(M26, Variablen!$A:$A, 0), MATCH((YEAR(D26)+17), Variablen!$I$3:$AT$3, 0))),L26)))*(IF((YEAR(D26)+17)&lt;YEAR(E26),0,IF((YEAR(D26)+17)&gt;YEAR(E26),1,(12-MONTH(E26)+1)/12))) + (Q26)*(IF((YEAR(D26)+17)&lt;YEAR(E26),0,IF((YEAR(D26)+17)&gt;YEAR(E26),1,(12-MONTH(E26)+1)/12))))-((P26)*(IF((YEAR(D26)+17)&lt;YEAR(E26),0,IF((YEAR(D26)+17)&gt;YEAR(E26),1,(12-MONTH(E26)+1)/12))) + (R26)*(IF((YEAR(D26)+17)&lt;YEAR(E26),0,IF((YEAR(D26)+17)&gt;YEAR(E26),1,(12-MONTH(E26)+1)/12))))-(IF(OR(N26="",N26&lt;=0),0,(O26/N26)*(IF(OR(N26="",N26&lt;=0),0,IF((YEAR(D26)+17)&lt;YEAR(E26),0,IF((YEAR(D26)+17)&gt;=YEAR(E26)+N26,0,IF((YEAR(D26)+17)=YEAR(E26),(12-MONTH(E26)+1)/12,1))))))))*TaxRate,0))-IF(17=0,O26,0))</f>
        <v/>
      </c>
      <c r="AK26" s="29">
        <f>IF(A26="","",((K26)*(IF(M26="",L26,IFERROR(IF(INDEX(Variablen!$I:$AT, MATCH(M26, Variablen!$A:$A, 0), MATCH((YEAR(D26)+18), Variablen!$I$3:$AT$3, 0))="",L26,INDEX(Variablen!$I:$AT, MATCH(M26, Variablen!$A:$A, 0), MATCH((YEAR(D26)+18), Variablen!$I$3:$AT$3, 0))),L26)))*(IF((YEAR(D26)+18)&lt;YEAR(E26),0,IF((YEAR(D26)+18)&gt;YEAR(E26),1,(12-MONTH(E26)+1)/12))) + (Q26)*(IF((YEAR(D26)+18)&lt;YEAR(E26),0,IF((YEAR(D26)+18)&gt;YEAR(E26),1,(12-MONTH(E26)+1)/12))))-((P26)*(IF((YEAR(D26)+18)&lt;YEAR(E26),0,IF((YEAR(D26)+18)&gt;YEAR(E26),1,(12-MONTH(E26)+1)/12))) + (R26)*(IF((YEAR(D26)+18)&lt;YEAR(E26),0,IF((YEAR(D26)+18)&gt;YEAR(E26),1,(12-MONTH(E26)+1)/12))))-(IF((((K26)*(IF(M26="",L26,IFERROR(IF(INDEX(Variablen!$I:$AT, MATCH(M26, Variablen!$A:$A, 0), MATCH((YEAR(D26)+18), Variablen!$I$3:$AT$3, 0))="",L26,INDEX(Variablen!$I:$AT, MATCH(M26, Variablen!$A:$A, 0), MATCH((YEAR(D26)+18), Variablen!$I$3:$AT$3, 0))),L26)))*(IF((YEAR(D26)+18)&lt;YEAR(E26),0,IF((YEAR(D26)+18)&gt;YEAR(E26),1,(12-MONTH(E26)+1)/12))) + (Q26)*(IF((YEAR(D26)+18)&lt;YEAR(E26),0,IF((YEAR(D26)+18)&gt;YEAR(E26),1,(12-MONTH(E26)+1)/12))))-((P26)*(IF((YEAR(D26)+18)&lt;YEAR(E26),0,IF((YEAR(D26)+18)&gt;YEAR(E26),1,(12-MONTH(E26)+1)/12))) + (R26)*(IF((YEAR(D26)+18)&lt;YEAR(E26),0,IF((YEAR(D26)+18)&gt;YEAR(E26),1,(12-MONTH(E26)+1)/12))))-(IF(OR(N26="",N26&lt;=0),0,(O26/N26)*(IF(OR(N26="",N26&lt;=0),0,IF((YEAR(D26)+18)&lt;YEAR(E26),0,IF((YEAR(D26)+18)&gt;=YEAR(E26)+N26,0,IF((YEAR(D26)+18)=YEAR(E26),(12-MONTH(E26)+1)/12,1))))))))&gt;0,(((K26)*(IF(M26="",L26,IFERROR(IF(INDEX(Variablen!$I:$AT, MATCH(M26, Variablen!$A:$A, 0), MATCH((YEAR(D26)+18), Variablen!$I$3:$AT$3, 0))="",L26,INDEX(Variablen!$I:$AT, MATCH(M26, Variablen!$A:$A, 0), MATCH((YEAR(D26)+18), Variablen!$I$3:$AT$3, 0))),L26)))*(IF((YEAR(D26)+18)&lt;YEAR(E26),0,IF((YEAR(D26)+18)&gt;YEAR(E26),1,(12-MONTH(E26)+1)/12))) + (Q26)*(IF((YEAR(D26)+18)&lt;YEAR(E26),0,IF((YEAR(D26)+18)&gt;YEAR(E26),1,(12-MONTH(E26)+1)/12))))-((P26)*(IF((YEAR(D26)+18)&lt;YEAR(E26),0,IF((YEAR(D26)+18)&gt;YEAR(E26),1,(12-MONTH(E26)+1)/12))) + (R26)*(IF((YEAR(D26)+18)&lt;YEAR(E26),0,IF((YEAR(D26)+18)&gt;YEAR(E26),1,(12-MONTH(E26)+1)/12))))-(IF(OR(N26="",N26&lt;=0),0,(O26/N26)*(IF(OR(N26="",N26&lt;=0),0,IF((YEAR(D26)+18)&lt;YEAR(E26),0,IF((YEAR(D26)+18)&gt;=YEAR(E26)+N26,0,IF((YEAR(D26)+18)=YEAR(E26),(12-MONTH(E26)+1)/12,1))))))))*TaxRate,0))-IF(18=0,O26,0))</f>
        <v/>
      </c>
      <c r="AL26" s="29">
        <f>IF(A26="","",((K26)*(IF(M26="",L26,IFERROR(IF(INDEX(Variablen!$I:$AT, MATCH(M26, Variablen!$A:$A, 0), MATCH((YEAR(D26)+19), Variablen!$I$3:$AT$3, 0))="",L26,INDEX(Variablen!$I:$AT, MATCH(M26, Variablen!$A:$A, 0), MATCH((YEAR(D26)+19), Variablen!$I$3:$AT$3, 0))),L26)))*(IF((YEAR(D26)+19)&lt;YEAR(E26),0,IF((YEAR(D26)+19)&gt;YEAR(E26),1,(12-MONTH(E26)+1)/12))) + (Q26)*(IF((YEAR(D26)+19)&lt;YEAR(E26),0,IF((YEAR(D26)+19)&gt;YEAR(E26),1,(12-MONTH(E26)+1)/12))))-((P26)*(IF((YEAR(D26)+19)&lt;YEAR(E26),0,IF((YEAR(D26)+19)&gt;YEAR(E26),1,(12-MONTH(E26)+1)/12))) + (R26)*(IF((YEAR(D26)+19)&lt;YEAR(E26),0,IF((YEAR(D26)+19)&gt;YEAR(E26),1,(12-MONTH(E26)+1)/12))))-(IF((((K26)*(IF(M26="",L26,IFERROR(IF(INDEX(Variablen!$I:$AT, MATCH(M26, Variablen!$A:$A, 0), MATCH((YEAR(D26)+19), Variablen!$I$3:$AT$3, 0))="",L26,INDEX(Variablen!$I:$AT, MATCH(M26, Variablen!$A:$A, 0), MATCH((YEAR(D26)+19), Variablen!$I$3:$AT$3, 0))),L26)))*(IF((YEAR(D26)+19)&lt;YEAR(E26),0,IF((YEAR(D26)+19)&gt;YEAR(E26),1,(12-MONTH(E26)+1)/12))) + (Q26)*(IF((YEAR(D26)+19)&lt;YEAR(E26),0,IF((YEAR(D26)+19)&gt;YEAR(E26),1,(12-MONTH(E26)+1)/12))))-((P26)*(IF((YEAR(D26)+19)&lt;YEAR(E26),0,IF((YEAR(D26)+19)&gt;YEAR(E26),1,(12-MONTH(E26)+1)/12))) + (R26)*(IF((YEAR(D26)+19)&lt;YEAR(E26),0,IF((YEAR(D26)+19)&gt;YEAR(E26),1,(12-MONTH(E26)+1)/12))))-(IF(OR(N26="",N26&lt;=0),0,(O26/N26)*(IF(OR(N26="",N26&lt;=0),0,IF((YEAR(D26)+19)&lt;YEAR(E26),0,IF((YEAR(D26)+19)&gt;=YEAR(E26)+N26,0,IF((YEAR(D26)+19)=YEAR(E26),(12-MONTH(E26)+1)/12,1))))))))&gt;0,(((K26)*(IF(M26="",L26,IFERROR(IF(INDEX(Variablen!$I:$AT, MATCH(M26, Variablen!$A:$A, 0), MATCH((YEAR(D26)+19), Variablen!$I$3:$AT$3, 0))="",L26,INDEX(Variablen!$I:$AT, MATCH(M26, Variablen!$A:$A, 0), MATCH((YEAR(D26)+19), Variablen!$I$3:$AT$3, 0))),L26)))*(IF((YEAR(D26)+19)&lt;YEAR(E26),0,IF((YEAR(D26)+19)&gt;YEAR(E26),1,(12-MONTH(E26)+1)/12))) + (Q26)*(IF((YEAR(D26)+19)&lt;YEAR(E26),0,IF((YEAR(D26)+19)&gt;YEAR(E26),1,(12-MONTH(E26)+1)/12))))-((P26)*(IF((YEAR(D26)+19)&lt;YEAR(E26),0,IF((YEAR(D26)+19)&gt;YEAR(E26),1,(12-MONTH(E26)+1)/12))) + (R26)*(IF((YEAR(D26)+19)&lt;YEAR(E26),0,IF((YEAR(D26)+19)&gt;YEAR(E26),1,(12-MONTH(E26)+1)/12))))-(IF(OR(N26="",N26&lt;=0),0,(O26/N26)*(IF(OR(N26="",N26&lt;=0),0,IF((YEAR(D26)+19)&lt;YEAR(E26),0,IF((YEAR(D26)+19)&gt;=YEAR(E26)+N26,0,IF((YEAR(D26)+19)=YEAR(E26),(12-MONTH(E26)+1)/12,1))))))))*TaxRate,0))-IF(19=0,O26,0))</f>
        <v/>
      </c>
      <c r="AM26" s="29">
        <f>IF(A26="","",((K26)*(IF(M26="",L26,IFERROR(IF(INDEX(Variablen!$I:$AT, MATCH(M26, Variablen!$A:$A, 0), MATCH((YEAR(D26)+20), Variablen!$I$3:$AT$3, 0))="",L26,INDEX(Variablen!$I:$AT, MATCH(M26, Variablen!$A:$A, 0), MATCH((YEAR(D26)+20), Variablen!$I$3:$AT$3, 0))),L26)))*(IF((YEAR(D26)+20)&lt;YEAR(E26),0,IF((YEAR(D26)+20)&gt;YEAR(E26),1,(12-MONTH(E26)+1)/12))) + (Q26)*(IF((YEAR(D26)+20)&lt;YEAR(E26),0,IF((YEAR(D26)+20)&gt;YEAR(E26),1,(12-MONTH(E26)+1)/12))))-((P26)*(IF((YEAR(D26)+20)&lt;YEAR(E26),0,IF((YEAR(D26)+20)&gt;YEAR(E26),1,(12-MONTH(E26)+1)/12))) + (R26)*(IF((YEAR(D26)+20)&lt;YEAR(E26),0,IF((YEAR(D26)+20)&gt;YEAR(E26),1,(12-MONTH(E26)+1)/12))))-(IF((((K26)*(IF(M26="",L26,IFERROR(IF(INDEX(Variablen!$I:$AT, MATCH(M26, Variablen!$A:$A, 0), MATCH((YEAR(D26)+20), Variablen!$I$3:$AT$3, 0))="",L26,INDEX(Variablen!$I:$AT, MATCH(M26, Variablen!$A:$A, 0), MATCH((YEAR(D26)+20), Variablen!$I$3:$AT$3, 0))),L26)))*(IF((YEAR(D26)+20)&lt;YEAR(E26),0,IF((YEAR(D26)+20)&gt;YEAR(E26),1,(12-MONTH(E26)+1)/12))) + (Q26)*(IF((YEAR(D26)+20)&lt;YEAR(E26),0,IF((YEAR(D26)+20)&gt;YEAR(E26),1,(12-MONTH(E26)+1)/12))))-((P26)*(IF((YEAR(D26)+20)&lt;YEAR(E26),0,IF((YEAR(D26)+20)&gt;YEAR(E26),1,(12-MONTH(E26)+1)/12))) + (R26)*(IF((YEAR(D26)+20)&lt;YEAR(E26),0,IF((YEAR(D26)+20)&gt;YEAR(E26),1,(12-MONTH(E26)+1)/12))))-(IF(OR(N26="",N26&lt;=0),0,(O26/N26)*(IF(OR(N26="",N26&lt;=0),0,IF((YEAR(D26)+20)&lt;YEAR(E26),0,IF((YEAR(D26)+20)&gt;=YEAR(E26)+N26,0,IF((YEAR(D26)+20)=YEAR(E26),(12-MONTH(E26)+1)/12,1))))))))&gt;0,(((K26)*(IF(M26="",L26,IFERROR(IF(INDEX(Variablen!$I:$AT, MATCH(M26, Variablen!$A:$A, 0), MATCH((YEAR(D26)+20), Variablen!$I$3:$AT$3, 0))="",L26,INDEX(Variablen!$I:$AT, MATCH(M26, Variablen!$A:$A, 0), MATCH((YEAR(D26)+20), Variablen!$I$3:$AT$3, 0))),L26)))*(IF((YEAR(D26)+20)&lt;YEAR(E26),0,IF((YEAR(D26)+20)&gt;YEAR(E26),1,(12-MONTH(E26)+1)/12))) + (Q26)*(IF((YEAR(D26)+20)&lt;YEAR(E26),0,IF((YEAR(D26)+20)&gt;YEAR(E26),1,(12-MONTH(E26)+1)/12))))-((P26)*(IF((YEAR(D26)+20)&lt;YEAR(E26),0,IF((YEAR(D26)+20)&gt;YEAR(E26),1,(12-MONTH(E26)+1)/12))) + (R26)*(IF((YEAR(D26)+20)&lt;YEAR(E26),0,IF((YEAR(D26)+20)&gt;YEAR(E26),1,(12-MONTH(E26)+1)/12))))-(IF(OR(N26="",N26&lt;=0),0,(O26/N26)*(IF(OR(N26="",N26&lt;=0),0,IF((YEAR(D26)+20)&lt;YEAR(E26),0,IF((YEAR(D26)+20)&gt;=YEAR(E26)+N26,0,IF((YEAR(D26)+20)=YEAR(E26),(12-MONTH(E26)+1)/12,1))))))))*TaxRate,0))-IF(20=0,O26,0))</f>
        <v/>
      </c>
      <c r="AN26" s="29">
        <f>IF(A26="","",S26)</f>
        <v/>
      </c>
      <c r="AO26" s="29">
        <f>IF(A26="","",AN26+T26)</f>
        <v/>
      </c>
      <c r="AP26" s="29">
        <f>IF(A26="","",AO26+U26)</f>
        <v/>
      </c>
      <c r="AQ26" s="29">
        <f>IF(A26="","",AP26+V26)</f>
        <v/>
      </c>
      <c r="AR26" s="29">
        <f>IF(A26="","",AQ26+W26)</f>
        <v/>
      </c>
      <c r="AS26" s="29">
        <f>IF(A26="","",AR26+X26)</f>
        <v/>
      </c>
      <c r="AT26" s="29">
        <f>IF(A26="","",AS26+Y26)</f>
        <v/>
      </c>
      <c r="AU26" s="29">
        <f>IF(A26="","",AT26+Z26)</f>
        <v/>
      </c>
      <c r="AV26" s="29">
        <f>IF(A26="","",AU26+AA26)</f>
        <v/>
      </c>
      <c r="AW26" s="29">
        <f>IF(A26="","",AV26+AB26)</f>
        <v/>
      </c>
      <c r="AX26" s="29">
        <f>IF(A26="","",AW26+AC26)</f>
        <v/>
      </c>
      <c r="AY26" s="29">
        <f>IF(A26="","",AX26+AD26)</f>
        <v/>
      </c>
      <c r="AZ26" s="29">
        <f>IF(A26="","",AY26+AE26)</f>
        <v/>
      </c>
      <c r="BA26" s="29">
        <f>IF(A26="","",AZ26+AF26)</f>
        <v/>
      </c>
      <c r="BB26" s="29">
        <f>IF(A26="","",BA26+AG26)</f>
        <v/>
      </c>
      <c r="BC26" s="29">
        <f>IF(A26="","",BB26+AH26)</f>
        <v/>
      </c>
      <c r="BD26" s="29">
        <f>IF(A26="","",BC26+AI26)</f>
        <v/>
      </c>
      <c r="BE26" s="29">
        <f>IF(A26="","",BD26+AJ26)</f>
        <v/>
      </c>
      <c r="BF26" s="29">
        <f>IF(A26="","",BE26+AK26)</f>
        <v/>
      </c>
      <c r="BG26" s="29">
        <f>IF(A26="","",BF26+AL26)</f>
        <v/>
      </c>
      <c r="BH26" s="29">
        <f>IF(A26="","",BG26+AM26)</f>
        <v/>
      </c>
      <c r="BI26" s="36">
        <f>IF(A26="","",(K26)*(IF((YEAR(D26)+0)&lt;YEAR(E26),0,IF((YEAR(D26)+0)&gt;YEAR(E26),1,(12-MONTH(E26)+1)/12)))*(1/(1+DiscountRate)^0))</f>
        <v/>
      </c>
      <c r="BJ26" s="36">
        <f>IF(A26="","",(K26)*(IF((YEAR(D26)+1)&lt;YEAR(E26),0,IF((YEAR(D26)+1)&gt;YEAR(E26),1,(12-MONTH(E26)+1)/12)))*(1/(1+DiscountRate)^1))</f>
        <v/>
      </c>
      <c r="BK26" s="36">
        <f>IF(A26="","",(K26)*(IF((YEAR(D26)+2)&lt;YEAR(E26),0,IF((YEAR(D26)+2)&gt;YEAR(E26),1,(12-MONTH(E26)+1)/12)))*(1/(1+DiscountRate)^2))</f>
        <v/>
      </c>
      <c r="BL26" s="36">
        <f>IF(A26="","",(K26)*(IF((YEAR(D26)+3)&lt;YEAR(E26),0,IF((YEAR(D26)+3)&gt;YEAR(E26),1,(12-MONTH(E26)+1)/12)))*(1/(1+DiscountRate)^3))</f>
        <v/>
      </c>
      <c r="BM26" s="36">
        <f>IF(A26="","",(K26)*(IF((YEAR(D26)+4)&lt;YEAR(E26),0,IF((YEAR(D26)+4)&gt;YEAR(E26),1,(12-MONTH(E26)+1)/12)))*(1/(1+DiscountRate)^4))</f>
        <v/>
      </c>
      <c r="BN26" s="36">
        <f>IF(A26="","",(K26)*(IF((YEAR(D26)+5)&lt;YEAR(E26),0,IF((YEAR(D26)+5)&gt;YEAR(E26),1,(12-MONTH(E26)+1)/12)))*(1/(1+DiscountRate)^5))</f>
        <v/>
      </c>
      <c r="BO26" s="36">
        <f>IF(A26="","",(K26)*(IF((YEAR(D26)+6)&lt;YEAR(E26),0,IF((YEAR(D26)+6)&gt;YEAR(E26),1,(12-MONTH(E26)+1)/12)))*(1/(1+DiscountRate)^6))</f>
        <v/>
      </c>
      <c r="BP26" s="36">
        <f>IF(A26="","",(K26)*(IF((YEAR(D26)+7)&lt;YEAR(E26),0,IF((YEAR(D26)+7)&gt;YEAR(E26),1,(12-MONTH(E26)+1)/12)))*(1/(1+DiscountRate)^7))</f>
        <v/>
      </c>
      <c r="BQ26" s="36">
        <f>IF(A26="","",(K26)*(IF((YEAR(D26)+8)&lt;YEAR(E26),0,IF((YEAR(D26)+8)&gt;YEAR(E26),1,(12-MONTH(E26)+1)/12)))*(1/(1+DiscountRate)^8))</f>
        <v/>
      </c>
      <c r="BR26" s="36">
        <f>IF(A26="","",(K26)*(IF((YEAR(D26)+9)&lt;YEAR(E26),0,IF((YEAR(D26)+9)&gt;YEAR(E26),1,(12-MONTH(E26)+1)/12)))*(1/(1+DiscountRate)^9))</f>
        <v/>
      </c>
      <c r="BS26" s="36">
        <f>IF(A26="","",(K26)*(IF((YEAR(D26)+10)&lt;YEAR(E26),0,IF((YEAR(D26)+10)&gt;YEAR(E26),1,(12-MONTH(E26)+1)/12)))*(1/(1+DiscountRate)^10))</f>
        <v/>
      </c>
      <c r="BT26" s="36">
        <f>IF(A26="","",(K26)*(IF((YEAR(D26)+11)&lt;YEAR(E26),0,IF((YEAR(D26)+11)&gt;YEAR(E26),1,(12-MONTH(E26)+1)/12)))*(1/(1+DiscountRate)^11))</f>
        <v/>
      </c>
      <c r="BU26" s="36">
        <f>IF(A26="","",(K26)*(IF((YEAR(D26)+12)&lt;YEAR(E26),0,IF((YEAR(D26)+12)&gt;YEAR(E26),1,(12-MONTH(E26)+1)/12)))*(1/(1+DiscountRate)^12))</f>
        <v/>
      </c>
      <c r="BV26" s="36">
        <f>IF(A26="","",(K26)*(IF((YEAR(D26)+13)&lt;YEAR(E26),0,IF((YEAR(D26)+13)&gt;YEAR(E26),1,(12-MONTH(E26)+1)/12)))*(1/(1+DiscountRate)^13))</f>
        <v/>
      </c>
      <c r="BW26" s="36">
        <f>IF(A26="","",(K26)*(IF((YEAR(D26)+14)&lt;YEAR(E26),0,IF((YEAR(D26)+14)&gt;YEAR(E26),1,(12-MONTH(E26)+1)/12)))*(1/(1+DiscountRate)^14))</f>
        <v/>
      </c>
      <c r="BX26" s="36">
        <f>IF(A26="","",(K26)*(IF((YEAR(D26)+15)&lt;YEAR(E26),0,IF((YEAR(D26)+15)&gt;YEAR(E26),1,(12-MONTH(E26)+1)/12)))*(1/(1+DiscountRate)^15))</f>
        <v/>
      </c>
      <c r="BY26" s="36">
        <f>IF(A26="","",(K26)*(IF((YEAR(D26)+16)&lt;YEAR(E26),0,IF((YEAR(D26)+16)&gt;YEAR(E26),1,(12-MONTH(E26)+1)/12)))*(1/(1+DiscountRate)^16))</f>
        <v/>
      </c>
      <c r="BZ26" s="36">
        <f>IF(A26="","",(K26)*(IF((YEAR(D26)+17)&lt;YEAR(E26),0,IF((YEAR(D26)+17)&gt;YEAR(E26),1,(12-MONTH(E26)+1)/12)))*(1/(1+DiscountRate)^17))</f>
        <v/>
      </c>
      <c r="CA26" s="36">
        <f>IF(A26="","",(K26)*(IF((YEAR(D26)+18)&lt;YEAR(E26),0,IF((YEAR(D26)+18)&gt;YEAR(E26),1,(12-MONTH(E26)+1)/12)))*(1/(1+DiscountRate)^18))</f>
        <v/>
      </c>
      <c r="CB26" s="36">
        <f>IF(A26="","",(K26)*(IF((YEAR(D26)+19)&lt;YEAR(E26),0,IF((YEAR(D26)+19)&gt;YEAR(E26),1,(12-MONTH(E26)+1)/12)))*(1/(1+DiscountRate)^19))</f>
        <v/>
      </c>
      <c r="CC26" s="36">
        <f>IF(A26="","",(K26)*(IF((YEAR(D26)+20)&lt;YEAR(E26),0,IF((YEAR(D26)+20)&gt;YEAR(E26),1,(12-MONTH(E26)+1)/12)))*(1/(1+DiscountRate)^20))</f>
        <v/>
      </c>
      <c r="CD26" s="29">
        <f>IF(A26="","",S26/(1+DiscountRate)^0+T26/(1+DiscountRate)^1+U26/(1+DiscountRate)^2+V26/(1+DiscountRate)^3+W26/(1+DiscountRate)^4+X26/(1+DiscountRate)^5+Y26/(1+DiscountRate)^6+Z26/(1+DiscountRate)^7+AA26/(1+DiscountRate)^8+AB26/(1+DiscountRate)^9+AC26/(1+DiscountRate)^10+AD26/(1+DiscountRate)^11+AE26/(1+DiscountRate)^12+AF26/(1+DiscountRate)^13+AG26/(1+DiscountRate)^14+AH26/(1+DiscountRate)^15+AI26/(1+DiscountRate)^16+AJ26/(1+DiscountRate)^17+AK26/(1+DiscountRate)^18+AL26/(1+DiscountRate)^19+AM26/(1+DiscountRate)^20)</f>
        <v/>
      </c>
      <c r="CE26" s="37">
        <f>IF(A26="","",IFERROR(IRR(OFFSET(S26,0,0,1,MIN(HorizonYears,20)+1)),"n/a"))</f>
        <v/>
      </c>
      <c r="CF26" s="28">
        <f>IF(A26="","",IFERROR(MATCH(TRUE,OFFSET(AN26,0,0,1,MIN(HorizonYears,20)+1)&gt;=0,0)-1,"n/a"))</f>
        <v/>
      </c>
      <c r="CG26" s="36">
        <f>IF(A26="","",SUM(OFFSET(BI26,0,0,1,MIN(HorizonYears,20)+1)))</f>
        <v/>
      </c>
      <c r="CH26" s="36">
        <f>IF(A26="","",IFERROR(-CD26/CG26,"n/a"))</f>
        <v/>
      </c>
    </row>
    <row r="27">
      <c r="A27" s="6">
        <f>Actions!A25</f>
        <v/>
      </c>
      <c r="B27" s="6">
        <f>Actions!B25</f>
        <v/>
      </c>
      <c r="C27" s="6">
        <f>Actions!D25</f>
        <v/>
      </c>
      <c r="D27" s="35">
        <f>Actions!E25</f>
        <v/>
      </c>
      <c r="E27" s="35">
        <f>Actions!F25</f>
        <v/>
      </c>
      <c r="F27" s="6">
        <f>Actions!G25</f>
        <v/>
      </c>
      <c r="G27" s="6">
        <f>Actions!H25</f>
        <v/>
      </c>
      <c r="H27" s="29">
        <f>Actions!I25</f>
        <v/>
      </c>
      <c r="I27" s="6">
        <f>Actions!J25</f>
        <v/>
      </c>
      <c r="J27" s="16">
        <f>Actions!K25</f>
        <v/>
      </c>
      <c r="K27" s="16">
        <f>IF(A27="","",IF(I27="%",H27*J27,J27))</f>
        <v/>
      </c>
      <c r="L27" s="16">
        <f>Actions!L25</f>
        <v/>
      </c>
      <c r="M27" s="6">
        <f>Actions!M25</f>
        <v/>
      </c>
      <c r="N27" s="28">
        <f>Actions!N25</f>
        <v/>
      </c>
      <c r="O27" s="29">
        <f>Actions!T25</f>
        <v/>
      </c>
      <c r="P27" s="29">
        <f>Actions!Y25</f>
        <v/>
      </c>
      <c r="Q27" s="29">
        <f>Actions!Z25</f>
        <v/>
      </c>
      <c r="R27" s="29">
        <f>Actions!AA25</f>
        <v/>
      </c>
      <c r="S27" s="29">
        <f>IF(A27="","",((K27)*(IF(M27="",L27,IFERROR(IF(INDEX(Variablen!$I:$AT, MATCH(M27, Variablen!$A:$A, 0), MATCH((YEAR(D27)+0), Variablen!$I$3:$AT$3, 0))="",L27,INDEX(Variablen!$I:$AT, MATCH(M27, Variablen!$A:$A, 0), MATCH((YEAR(D27)+0), Variablen!$I$3:$AT$3, 0))),L27)))*(IF((YEAR(D27)+0)&lt;YEAR(E27),0,IF((YEAR(D27)+0)&gt;YEAR(E27),1,(12-MONTH(E27)+1)/12))) + (Q27)*(IF((YEAR(D27)+0)&lt;YEAR(E27),0,IF((YEAR(D27)+0)&gt;YEAR(E27),1,(12-MONTH(E27)+1)/12))))-((P27)*(IF((YEAR(D27)+0)&lt;YEAR(E27),0,IF((YEAR(D27)+0)&gt;YEAR(E27),1,(12-MONTH(E27)+1)/12))) + (R27)*(IF((YEAR(D27)+0)&lt;YEAR(E27),0,IF((YEAR(D27)+0)&gt;YEAR(E27),1,(12-MONTH(E27)+1)/12))))-(IF((((K27)*(IF(M27="",L27,IFERROR(IF(INDEX(Variablen!$I:$AT, MATCH(M27, Variablen!$A:$A, 0), MATCH((YEAR(D27)+0), Variablen!$I$3:$AT$3, 0))="",L27,INDEX(Variablen!$I:$AT, MATCH(M27, Variablen!$A:$A, 0), MATCH((YEAR(D27)+0), Variablen!$I$3:$AT$3, 0))),L27)))*(IF((YEAR(D27)+0)&lt;YEAR(E27),0,IF((YEAR(D27)+0)&gt;YEAR(E27),1,(12-MONTH(E27)+1)/12))) + (Q27)*(IF((YEAR(D27)+0)&lt;YEAR(E27),0,IF((YEAR(D27)+0)&gt;YEAR(E27),1,(12-MONTH(E27)+1)/12))))-((P27)*(IF((YEAR(D27)+0)&lt;YEAR(E27),0,IF((YEAR(D27)+0)&gt;YEAR(E27),1,(12-MONTH(E27)+1)/12))) + (R27)*(IF((YEAR(D27)+0)&lt;YEAR(E27),0,IF((YEAR(D27)+0)&gt;YEAR(E27),1,(12-MONTH(E27)+1)/12))))-(IF(OR(N27="",N27&lt;=0),0,(O27/N27)*(IF(OR(N27="",N27&lt;=0),0,IF((YEAR(D27)+0)&lt;YEAR(E27),0,IF((YEAR(D27)+0)&gt;=YEAR(E27)+N27,0,IF((YEAR(D27)+0)=YEAR(E27),(12-MONTH(E27)+1)/12,1))))))))&gt;0,(((K27)*(IF(M27="",L27,IFERROR(IF(INDEX(Variablen!$I:$AT, MATCH(M27, Variablen!$A:$A, 0), MATCH((YEAR(D27)+0), Variablen!$I$3:$AT$3, 0))="",L27,INDEX(Variablen!$I:$AT, MATCH(M27, Variablen!$A:$A, 0), MATCH((YEAR(D27)+0), Variablen!$I$3:$AT$3, 0))),L27)))*(IF((YEAR(D27)+0)&lt;YEAR(E27),0,IF((YEAR(D27)+0)&gt;YEAR(E27),1,(12-MONTH(E27)+1)/12))) + (Q27)*(IF((YEAR(D27)+0)&lt;YEAR(E27),0,IF((YEAR(D27)+0)&gt;YEAR(E27),1,(12-MONTH(E27)+1)/12))))-((P27)*(IF((YEAR(D27)+0)&lt;YEAR(E27),0,IF((YEAR(D27)+0)&gt;YEAR(E27),1,(12-MONTH(E27)+1)/12))) + (R27)*(IF((YEAR(D27)+0)&lt;YEAR(E27),0,IF((YEAR(D27)+0)&gt;YEAR(E27),1,(12-MONTH(E27)+1)/12))))-(IF(OR(N27="",N27&lt;=0),0,(O27/N27)*(IF(OR(N27="",N27&lt;=0),0,IF((YEAR(D27)+0)&lt;YEAR(E27),0,IF((YEAR(D27)+0)&gt;=YEAR(E27)+N27,0,IF((YEAR(D27)+0)=YEAR(E27),(12-MONTH(E27)+1)/12,1))))))))*TaxRate,0))-IF(0=0,O27,0))</f>
        <v/>
      </c>
      <c r="T27" s="29">
        <f>IF(A27="","",((K27)*(IF(M27="",L27,IFERROR(IF(INDEX(Variablen!$I:$AT, MATCH(M27, Variablen!$A:$A, 0), MATCH((YEAR(D27)+1), Variablen!$I$3:$AT$3, 0))="",L27,INDEX(Variablen!$I:$AT, MATCH(M27, Variablen!$A:$A, 0), MATCH((YEAR(D27)+1), Variablen!$I$3:$AT$3, 0))),L27)))*(IF((YEAR(D27)+1)&lt;YEAR(E27),0,IF((YEAR(D27)+1)&gt;YEAR(E27),1,(12-MONTH(E27)+1)/12))) + (Q27)*(IF((YEAR(D27)+1)&lt;YEAR(E27),0,IF((YEAR(D27)+1)&gt;YEAR(E27),1,(12-MONTH(E27)+1)/12))))-((P27)*(IF((YEAR(D27)+1)&lt;YEAR(E27),0,IF((YEAR(D27)+1)&gt;YEAR(E27),1,(12-MONTH(E27)+1)/12))) + (R27)*(IF((YEAR(D27)+1)&lt;YEAR(E27),0,IF((YEAR(D27)+1)&gt;YEAR(E27),1,(12-MONTH(E27)+1)/12))))-(IF((((K27)*(IF(M27="",L27,IFERROR(IF(INDEX(Variablen!$I:$AT, MATCH(M27, Variablen!$A:$A, 0), MATCH((YEAR(D27)+1), Variablen!$I$3:$AT$3, 0))="",L27,INDEX(Variablen!$I:$AT, MATCH(M27, Variablen!$A:$A, 0), MATCH((YEAR(D27)+1), Variablen!$I$3:$AT$3, 0))),L27)))*(IF((YEAR(D27)+1)&lt;YEAR(E27),0,IF((YEAR(D27)+1)&gt;YEAR(E27),1,(12-MONTH(E27)+1)/12))) + (Q27)*(IF((YEAR(D27)+1)&lt;YEAR(E27),0,IF((YEAR(D27)+1)&gt;YEAR(E27),1,(12-MONTH(E27)+1)/12))))-((P27)*(IF((YEAR(D27)+1)&lt;YEAR(E27),0,IF((YEAR(D27)+1)&gt;YEAR(E27),1,(12-MONTH(E27)+1)/12))) + (R27)*(IF((YEAR(D27)+1)&lt;YEAR(E27),0,IF((YEAR(D27)+1)&gt;YEAR(E27),1,(12-MONTH(E27)+1)/12))))-(IF(OR(N27="",N27&lt;=0),0,(O27/N27)*(IF(OR(N27="",N27&lt;=0),0,IF((YEAR(D27)+1)&lt;YEAR(E27),0,IF((YEAR(D27)+1)&gt;=YEAR(E27)+N27,0,IF((YEAR(D27)+1)=YEAR(E27),(12-MONTH(E27)+1)/12,1))))))))&gt;0,(((K27)*(IF(M27="",L27,IFERROR(IF(INDEX(Variablen!$I:$AT, MATCH(M27, Variablen!$A:$A, 0), MATCH((YEAR(D27)+1), Variablen!$I$3:$AT$3, 0))="",L27,INDEX(Variablen!$I:$AT, MATCH(M27, Variablen!$A:$A, 0), MATCH((YEAR(D27)+1), Variablen!$I$3:$AT$3, 0))),L27)))*(IF((YEAR(D27)+1)&lt;YEAR(E27),0,IF((YEAR(D27)+1)&gt;YEAR(E27),1,(12-MONTH(E27)+1)/12))) + (Q27)*(IF((YEAR(D27)+1)&lt;YEAR(E27),0,IF((YEAR(D27)+1)&gt;YEAR(E27),1,(12-MONTH(E27)+1)/12))))-((P27)*(IF((YEAR(D27)+1)&lt;YEAR(E27),0,IF((YEAR(D27)+1)&gt;YEAR(E27),1,(12-MONTH(E27)+1)/12))) + (R27)*(IF((YEAR(D27)+1)&lt;YEAR(E27),0,IF((YEAR(D27)+1)&gt;YEAR(E27),1,(12-MONTH(E27)+1)/12))))-(IF(OR(N27="",N27&lt;=0),0,(O27/N27)*(IF(OR(N27="",N27&lt;=0),0,IF((YEAR(D27)+1)&lt;YEAR(E27),0,IF((YEAR(D27)+1)&gt;=YEAR(E27)+N27,0,IF((YEAR(D27)+1)=YEAR(E27),(12-MONTH(E27)+1)/12,1))))))))*TaxRate,0))-IF(1=0,O27,0))</f>
        <v/>
      </c>
      <c r="U27" s="29">
        <f>IF(A27="","",((K27)*(IF(M27="",L27,IFERROR(IF(INDEX(Variablen!$I:$AT, MATCH(M27, Variablen!$A:$A, 0), MATCH((YEAR(D27)+2), Variablen!$I$3:$AT$3, 0))="",L27,INDEX(Variablen!$I:$AT, MATCH(M27, Variablen!$A:$A, 0), MATCH((YEAR(D27)+2), Variablen!$I$3:$AT$3, 0))),L27)))*(IF((YEAR(D27)+2)&lt;YEAR(E27),0,IF((YEAR(D27)+2)&gt;YEAR(E27),1,(12-MONTH(E27)+1)/12))) + (Q27)*(IF((YEAR(D27)+2)&lt;YEAR(E27),0,IF((YEAR(D27)+2)&gt;YEAR(E27),1,(12-MONTH(E27)+1)/12))))-((P27)*(IF((YEAR(D27)+2)&lt;YEAR(E27),0,IF((YEAR(D27)+2)&gt;YEAR(E27),1,(12-MONTH(E27)+1)/12))) + (R27)*(IF((YEAR(D27)+2)&lt;YEAR(E27),0,IF((YEAR(D27)+2)&gt;YEAR(E27),1,(12-MONTH(E27)+1)/12))))-(IF((((K27)*(IF(M27="",L27,IFERROR(IF(INDEX(Variablen!$I:$AT, MATCH(M27, Variablen!$A:$A, 0), MATCH((YEAR(D27)+2), Variablen!$I$3:$AT$3, 0))="",L27,INDEX(Variablen!$I:$AT, MATCH(M27, Variablen!$A:$A, 0), MATCH((YEAR(D27)+2), Variablen!$I$3:$AT$3, 0))),L27)))*(IF((YEAR(D27)+2)&lt;YEAR(E27),0,IF((YEAR(D27)+2)&gt;YEAR(E27),1,(12-MONTH(E27)+1)/12))) + (Q27)*(IF((YEAR(D27)+2)&lt;YEAR(E27),0,IF((YEAR(D27)+2)&gt;YEAR(E27),1,(12-MONTH(E27)+1)/12))))-((P27)*(IF((YEAR(D27)+2)&lt;YEAR(E27),0,IF((YEAR(D27)+2)&gt;YEAR(E27),1,(12-MONTH(E27)+1)/12))) + (R27)*(IF((YEAR(D27)+2)&lt;YEAR(E27),0,IF((YEAR(D27)+2)&gt;YEAR(E27),1,(12-MONTH(E27)+1)/12))))-(IF(OR(N27="",N27&lt;=0),0,(O27/N27)*(IF(OR(N27="",N27&lt;=0),0,IF((YEAR(D27)+2)&lt;YEAR(E27),0,IF((YEAR(D27)+2)&gt;=YEAR(E27)+N27,0,IF((YEAR(D27)+2)=YEAR(E27),(12-MONTH(E27)+1)/12,1))))))))&gt;0,(((K27)*(IF(M27="",L27,IFERROR(IF(INDEX(Variablen!$I:$AT, MATCH(M27, Variablen!$A:$A, 0), MATCH((YEAR(D27)+2), Variablen!$I$3:$AT$3, 0))="",L27,INDEX(Variablen!$I:$AT, MATCH(M27, Variablen!$A:$A, 0), MATCH((YEAR(D27)+2), Variablen!$I$3:$AT$3, 0))),L27)))*(IF((YEAR(D27)+2)&lt;YEAR(E27),0,IF((YEAR(D27)+2)&gt;YEAR(E27),1,(12-MONTH(E27)+1)/12))) + (Q27)*(IF((YEAR(D27)+2)&lt;YEAR(E27),0,IF((YEAR(D27)+2)&gt;YEAR(E27),1,(12-MONTH(E27)+1)/12))))-((P27)*(IF((YEAR(D27)+2)&lt;YEAR(E27),0,IF((YEAR(D27)+2)&gt;YEAR(E27),1,(12-MONTH(E27)+1)/12))) + (R27)*(IF((YEAR(D27)+2)&lt;YEAR(E27),0,IF((YEAR(D27)+2)&gt;YEAR(E27),1,(12-MONTH(E27)+1)/12))))-(IF(OR(N27="",N27&lt;=0),0,(O27/N27)*(IF(OR(N27="",N27&lt;=0),0,IF((YEAR(D27)+2)&lt;YEAR(E27),0,IF((YEAR(D27)+2)&gt;=YEAR(E27)+N27,0,IF((YEAR(D27)+2)=YEAR(E27),(12-MONTH(E27)+1)/12,1))))))))*TaxRate,0))-IF(2=0,O27,0))</f>
        <v/>
      </c>
      <c r="V27" s="29">
        <f>IF(A27="","",((K27)*(IF(M27="",L27,IFERROR(IF(INDEX(Variablen!$I:$AT, MATCH(M27, Variablen!$A:$A, 0), MATCH((YEAR(D27)+3), Variablen!$I$3:$AT$3, 0))="",L27,INDEX(Variablen!$I:$AT, MATCH(M27, Variablen!$A:$A, 0), MATCH((YEAR(D27)+3), Variablen!$I$3:$AT$3, 0))),L27)))*(IF((YEAR(D27)+3)&lt;YEAR(E27),0,IF((YEAR(D27)+3)&gt;YEAR(E27),1,(12-MONTH(E27)+1)/12))) + (Q27)*(IF((YEAR(D27)+3)&lt;YEAR(E27),0,IF((YEAR(D27)+3)&gt;YEAR(E27),1,(12-MONTH(E27)+1)/12))))-((P27)*(IF((YEAR(D27)+3)&lt;YEAR(E27),0,IF((YEAR(D27)+3)&gt;YEAR(E27),1,(12-MONTH(E27)+1)/12))) + (R27)*(IF((YEAR(D27)+3)&lt;YEAR(E27),0,IF((YEAR(D27)+3)&gt;YEAR(E27),1,(12-MONTH(E27)+1)/12))))-(IF((((K27)*(IF(M27="",L27,IFERROR(IF(INDEX(Variablen!$I:$AT, MATCH(M27, Variablen!$A:$A, 0), MATCH((YEAR(D27)+3), Variablen!$I$3:$AT$3, 0))="",L27,INDEX(Variablen!$I:$AT, MATCH(M27, Variablen!$A:$A, 0), MATCH((YEAR(D27)+3), Variablen!$I$3:$AT$3, 0))),L27)))*(IF((YEAR(D27)+3)&lt;YEAR(E27),0,IF((YEAR(D27)+3)&gt;YEAR(E27),1,(12-MONTH(E27)+1)/12))) + (Q27)*(IF((YEAR(D27)+3)&lt;YEAR(E27),0,IF((YEAR(D27)+3)&gt;YEAR(E27),1,(12-MONTH(E27)+1)/12))))-((P27)*(IF((YEAR(D27)+3)&lt;YEAR(E27),0,IF((YEAR(D27)+3)&gt;YEAR(E27),1,(12-MONTH(E27)+1)/12))) + (R27)*(IF((YEAR(D27)+3)&lt;YEAR(E27),0,IF((YEAR(D27)+3)&gt;YEAR(E27),1,(12-MONTH(E27)+1)/12))))-(IF(OR(N27="",N27&lt;=0),0,(O27/N27)*(IF(OR(N27="",N27&lt;=0),0,IF((YEAR(D27)+3)&lt;YEAR(E27),0,IF((YEAR(D27)+3)&gt;=YEAR(E27)+N27,0,IF((YEAR(D27)+3)=YEAR(E27),(12-MONTH(E27)+1)/12,1))))))))&gt;0,(((K27)*(IF(M27="",L27,IFERROR(IF(INDEX(Variablen!$I:$AT, MATCH(M27, Variablen!$A:$A, 0), MATCH((YEAR(D27)+3), Variablen!$I$3:$AT$3, 0))="",L27,INDEX(Variablen!$I:$AT, MATCH(M27, Variablen!$A:$A, 0), MATCH((YEAR(D27)+3), Variablen!$I$3:$AT$3, 0))),L27)))*(IF((YEAR(D27)+3)&lt;YEAR(E27),0,IF((YEAR(D27)+3)&gt;YEAR(E27),1,(12-MONTH(E27)+1)/12))) + (Q27)*(IF((YEAR(D27)+3)&lt;YEAR(E27),0,IF((YEAR(D27)+3)&gt;YEAR(E27),1,(12-MONTH(E27)+1)/12))))-((P27)*(IF((YEAR(D27)+3)&lt;YEAR(E27),0,IF((YEAR(D27)+3)&gt;YEAR(E27),1,(12-MONTH(E27)+1)/12))) + (R27)*(IF((YEAR(D27)+3)&lt;YEAR(E27),0,IF((YEAR(D27)+3)&gt;YEAR(E27),1,(12-MONTH(E27)+1)/12))))-(IF(OR(N27="",N27&lt;=0),0,(O27/N27)*(IF(OR(N27="",N27&lt;=0),0,IF((YEAR(D27)+3)&lt;YEAR(E27),0,IF((YEAR(D27)+3)&gt;=YEAR(E27)+N27,0,IF((YEAR(D27)+3)=YEAR(E27),(12-MONTH(E27)+1)/12,1))))))))*TaxRate,0))-IF(3=0,O27,0))</f>
        <v/>
      </c>
      <c r="W27" s="29">
        <f>IF(A27="","",((K27)*(IF(M27="",L27,IFERROR(IF(INDEX(Variablen!$I:$AT, MATCH(M27, Variablen!$A:$A, 0), MATCH((YEAR(D27)+4), Variablen!$I$3:$AT$3, 0))="",L27,INDEX(Variablen!$I:$AT, MATCH(M27, Variablen!$A:$A, 0), MATCH((YEAR(D27)+4), Variablen!$I$3:$AT$3, 0))),L27)))*(IF((YEAR(D27)+4)&lt;YEAR(E27),0,IF((YEAR(D27)+4)&gt;YEAR(E27),1,(12-MONTH(E27)+1)/12))) + (Q27)*(IF((YEAR(D27)+4)&lt;YEAR(E27),0,IF((YEAR(D27)+4)&gt;YEAR(E27),1,(12-MONTH(E27)+1)/12))))-((P27)*(IF((YEAR(D27)+4)&lt;YEAR(E27),0,IF((YEAR(D27)+4)&gt;YEAR(E27),1,(12-MONTH(E27)+1)/12))) + (R27)*(IF((YEAR(D27)+4)&lt;YEAR(E27),0,IF((YEAR(D27)+4)&gt;YEAR(E27),1,(12-MONTH(E27)+1)/12))))-(IF((((K27)*(IF(M27="",L27,IFERROR(IF(INDEX(Variablen!$I:$AT, MATCH(M27, Variablen!$A:$A, 0), MATCH((YEAR(D27)+4), Variablen!$I$3:$AT$3, 0))="",L27,INDEX(Variablen!$I:$AT, MATCH(M27, Variablen!$A:$A, 0), MATCH((YEAR(D27)+4), Variablen!$I$3:$AT$3, 0))),L27)))*(IF((YEAR(D27)+4)&lt;YEAR(E27),0,IF((YEAR(D27)+4)&gt;YEAR(E27),1,(12-MONTH(E27)+1)/12))) + (Q27)*(IF((YEAR(D27)+4)&lt;YEAR(E27),0,IF((YEAR(D27)+4)&gt;YEAR(E27),1,(12-MONTH(E27)+1)/12))))-((P27)*(IF((YEAR(D27)+4)&lt;YEAR(E27),0,IF((YEAR(D27)+4)&gt;YEAR(E27),1,(12-MONTH(E27)+1)/12))) + (R27)*(IF((YEAR(D27)+4)&lt;YEAR(E27),0,IF((YEAR(D27)+4)&gt;YEAR(E27),1,(12-MONTH(E27)+1)/12))))-(IF(OR(N27="",N27&lt;=0),0,(O27/N27)*(IF(OR(N27="",N27&lt;=0),0,IF((YEAR(D27)+4)&lt;YEAR(E27),0,IF((YEAR(D27)+4)&gt;=YEAR(E27)+N27,0,IF((YEAR(D27)+4)=YEAR(E27),(12-MONTH(E27)+1)/12,1))))))))&gt;0,(((K27)*(IF(M27="",L27,IFERROR(IF(INDEX(Variablen!$I:$AT, MATCH(M27, Variablen!$A:$A, 0), MATCH((YEAR(D27)+4), Variablen!$I$3:$AT$3, 0))="",L27,INDEX(Variablen!$I:$AT, MATCH(M27, Variablen!$A:$A, 0), MATCH((YEAR(D27)+4), Variablen!$I$3:$AT$3, 0))),L27)))*(IF((YEAR(D27)+4)&lt;YEAR(E27),0,IF((YEAR(D27)+4)&gt;YEAR(E27),1,(12-MONTH(E27)+1)/12))) + (Q27)*(IF((YEAR(D27)+4)&lt;YEAR(E27),0,IF((YEAR(D27)+4)&gt;YEAR(E27),1,(12-MONTH(E27)+1)/12))))-((P27)*(IF((YEAR(D27)+4)&lt;YEAR(E27),0,IF((YEAR(D27)+4)&gt;YEAR(E27),1,(12-MONTH(E27)+1)/12))) + (R27)*(IF((YEAR(D27)+4)&lt;YEAR(E27),0,IF((YEAR(D27)+4)&gt;YEAR(E27),1,(12-MONTH(E27)+1)/12))))-(IF(OR(N27="",N27&lt;=0),0,(O27/N27)*(IF(OR(N27="",N27&lt;=0),0,IF((YEAR(D27)+4)&lt;YEAR(E27),0,IF((YEAR(D27)+4)&gt;=YEAR(E27)+N27,0,IF((YEAR(D27)+4)=YEAR(E27),(12-MONTH(E27)+1)/12,1))))))))*TaxRate,0))-IF(4=0,O27,0))</f>
        <v/>
      </c>
      <c r="X27" s="29">
        <f>IF(A27="","",((K27)*(IF(M27="",L27,IFERROR(IF(INDEX(Variablen!$I:$AT, MATCH(M27, Variablen!$A:$A, 0), MATCH((YEAR(D27)+5), Variablen!$I$3:$AT$3, 0))="",L27,INDEX(Variablen!$I:$AT, MATCH(M27, Variablen!$A:$A, 0), MATCH((YEAR(D27)+5), Variablen!$I$3:$AT$3, 0))),L27)))*(IF((YEAR(D27)+5)&lt;YEAR(E27),0,IF((YEAR(D27)+5)&gt;YEAR(E27),1,(12-MONTH(E27)+1)/12))) + (Q27)*(IF((YEAR(D27)+5)&lt;YEAR(E27),0,IF((YEAR(D27)+5)&gt;YEAR(E27),1,(12-MONTH(E27)+1)/12))))-((P27)*(IF((YEAR(D27)+5)&lt;YEAR(E27),0,IF((YEAR(D27)+5)&gt;YEAR(E27),1,(12-MONTH(E27)+1)/12))) + (R27)*(IF((YEAR(D27)+5)&lt;YEAR(E27),0,IF((YEAR(D27)+5)&gt;YEAR(E27),1,(12-MONTH(E27)+1)/12))))-(IF((((K27)*(IF(M27="",L27,IFERROR(IF(INDEX(Variablen!$I:$AT, MATCH(M27, Variablen!$A:$A, 0), MATCH((YEAR(D27)+5), Variablen!$I$3:$AT$3, 0))="",L27,INDEX(Variablen!$I:$AT, MATCH(M27, Variablen!$A:$A, 0), MATCH((YEAR(D27)+5), Variablen!$I$3:$AT$3, 0))),L27)))*(IF((YEAR(D27)+5)&lt;YEAR(E27),0,IF((YEAR(D27)+5)&gt;YEAR(E27),1,(12-MONTH(E27)+1)/12))) + (Q27)*(IF((YEAR(D27)+5)&lt;YEAR(E27),0,IF((YEAR(D27)+5)&gt;YEAR(E27),1,(12-MONTH(E27)+1)/12))))-((P27)*(IF((YEAR(D27)+5)&lt;YEAR(E27),0,IF((YEAR(D27)+5)&gt;YEAR(E27),1,(12-MONTH(E27)+1)/12))) + (R27)*(IF((YEAR(D27)+5)&lt;YEAR(E27),0,IF((YEAR(D27)+5)&gt;YEAR(E27),1,(12-MONTH(E27)+1)/12))))-(IF(OR(N27="",N27&lt;=0),0,(O27/N27)*(IF(OR(N27="",N27&lt;=0),0,IF((YEAR(D27)+5)&lt;YEAR(E27),0,IF((YEAR(D27)+5)&gt;=YEAR(E27)+N27,0,IF((YEAR(D27)+5)=YEAR(E27),(12-MONTH(E27)+1)/12,1))))))))&gt;0,(((K27)*(IF(M27="",L27,IFERROR(IF(INDEX(Variablen!$I:$AT, MATCH(M27, Variablen!$A:$A, 0), MATCH((YEAR(D27)+5), Variablen!$I$3:$AT$3, 0))="",L27,INDEX(Variablen!$I:$AT, MATCH(M27, Variablen!$A:$A, 0), MATCH((YEAR(D27)+5), Variablen!$I$3:$AT$3, 0))),L27)))*(IF((YEAR(D27)+5)&lt;YEAR(E27),0,IF((YEAR(D27)+5)&gt;YEAR(E27),1,(12-MONTH(E27)+1)/12))) + (Q27)*(IF((YEAR(D27)+5)&lt;YEAR(E27),0,IF((YEAR(D27)+5)&gt;YEAR(E27),1,(12-MONTH(E27)+1)/12))))-((P27)*(IF((YEAR(D27)+5)&lt;YEAR(E27),0,IF((YEAR(D27)+5)&gt;YEAR(E27),1,(12-MONTH(E27)+1)/12))) + (R27)*(IF((YEAR(D27)+5)&lt;YEAR(E27),0,IF((YEAR(D27)+5)&gt;YEAR(E27),1,(12-MONTH(E27)+1)/12))))-(IF(OR(N27="",N27&lt;=0),0,(O27/N27)*(IF(OR(N27="",N27&lt;=0),0,IF((YEAR(D27)+5)&lt;YEAR(E27),0,IF((YEAR(D27)+5)&gt;=YEAR(E27)+N27,0,IF((YEAR(D27)+5)=YEAR(E27),(12-MONTH(E27)+1)/12,1))))))))*TaxRate,0))-IF(5=0,O27,0))</f>
        <v/>
      </c>
      <c r="Y27" s="29">
        <f>IF(A27="","",((K27)*(IF(M27="",L27,IFERROR(IF(INDEX(Variablen!$I:$AT, MATCH(M27, Variablen!$A:$A, 0), MATCH((YEAR(D27)+6), Variablen!$I$3:$AT$3, 0))="",L27,INDEX(Variablen!$I:$AT, MATCH(M27, Variablen!$A:$A, 0), MATCH((YEAR(D27)+6), Variablen!$I$3:$AT$3, 0))),L27)))*(IF((YEAR(D27)+6)&lt;YEAR(E27),0,IF((YEAR(D27)+6)&gt;YEAR(E27),1,(12-MONTH(E27)+1)/12))) + (Q27)*(IF((YEAR(D27)+6)&lt;YEAR(E27),0,IF((YEAR(D27)+6)&gt;YEAR(E27),1,(12-MONTH(E27)+1)/12))))-((P27)*(IF((YEAR(D27)+6)&lt;YEAR(E27),0,IF((YEAR(D27)+6)&gt;YEAR(E27),1,(12-MONTH(E27)+1)/12))) + (R27)*(IF((YEAR(D27)+6)&lt;YEAR(E27),0,IF((YEAR(D27)+6)&gt;YEAR(E27),1,(12-MONTH(E27)+1)/12))))-(IF((((K27)*(IF(M27="",L27,IFERROR(IF(INDEX(Variablen!$I:$AT, MATCH(M27, Variablen!$A:$A, 0), MATCH((YEAR(D27)+6), Variablen!$I$3:$AT$3, 0))="",L27,INDEX(Variablen!$I:$AT, MATCH(M27, Variablen!$A:$A, 0), MATCH((YEAR(D27)+6), Variablen!$I$3:$AT$3, 0))),L27)))*(IF((YEAR(D27)+6)&lt;YEAR(E27),0,IF((YEAR(D27)+6)&gt;YEAR(E27),1,(12-MONTH(E27)+1)/12))) + (Q27)*(IF((YEAR(D27)+6)&lt;YEAR(E27),0,IF((YEAR(D27)+6)&gt;YEAR(E27),1,(12-MONTH(E27)+1)/12))))-((P27)*(IF((YEAR(D27)+6)&lt;YEAR(E27),0,IF((YEAR(D27)+6)&gt;YEAR(E27),1,(12-MONTH(E27)+1)/12))) + (R27)*(IF((YEAR(D27)+6)&lt;YEAR(E27),0,IF((YEAR(D27)+6)&gt;YEAR(E27),1,(12-MONTH(E27)+1)/12))))-(IF(OR(N27="",N27&lt;=0),0,(O27/N27)*(IF(OR(N27="",N27&lt;=0),0,IF((YEAR(D27)+6)&lt;YEAR(E27),0,IF((YEAR(D27)+6)&gt;=YEAR(E27)+N27,0,IF((YEAR(D27)+6)=YEAR(E27),(12-MONTH(E27)+1)/12,1))))))))&gt;0,(((K27)*(IF(M27="",L27,IFERROR(IF(INDEX(Variablen!$I:$AT, MATCH(M27, Variablen!$A:$A, 0), MATCH((YEAR(D27)+6), Variablen!$I$3:$AT$3, 0))="",L27,INDEX(Variablen!$I:$AT, MATCH(M27, Variablen!$A:$A, 0), MATCH((YEAR(D27)+6), Variablen!$I$3:$AT$3, 0))),L27)))*(IF((YEAR(D27)+6)&lt;YEAR(E27),0,IF((YEAR(D27)+6)&gt;YEAR(E27),1,(12-MONTH(E27)+1)/12))) + (Q27)*(IF((YEAR(D27)+6)&lt;YEAR(E27),0,IF((YEAR(D27)+6)&gt;YEAR(E27),1,(12-MONTH(E27)+1)/12))))-((P27)*(IF((YEAR(D27)+6)&lt;YEAR(E27),0,IF((YEAR(D27)+6)&gt;YEAR(E27),1,(12-MONTH(E27)+1)/12))) + (R27)*(IF((YEAR(D27)+6)&lt;YEAR(E27),0,IF((YEAR(D27)+6)&gt;YEAR(E27),1,(12-MONTH(E27)+1)/12))))-(IF(OR(N27="",N27&lt;=0),0,(O27/N27)*(IF(OR(N27="",N27&lt;=0),0,IF((YEAR(D27)+6)&lt;YEAR(E27),0,IF((YEAR(D27)+6)&gt;=YEAR(E27)+N27,0,IF((YEAR(D27)+6)=YEAR(E27),(12-MONTH(E27)+1)/12,1))))))))*TaxRate,0))-IF(6=0,O27,0))</f>
        <v/>
      </c>
      <c r="Z27" s="29">
        <f>IF(A27="","",((K27)*(IF(M27="",L27,IFERROR(IF(INDEX(Variablen!$I:$AT, MATCH(M27, Variablen!$A:$A, 0), MATCH((YEAR(D27)+7), Variablen!$I$3:$AT$3, 0))="",L27,INDEX(Variablen!$I:$AT, MATCH(M27, Variablen!$A:$A, 0), MATCH((YEAR(D27)+7), Variablen!$I$3:$AT$3, 0))),L27)))*(IF((YEAR(D27)+7)&lt;YEAR(E27),0,IF((YEAR(D27)+7)&gt;YEAR(E27),1,(12-MONTH(E27)+1)/12))) + (Q27)*(IF((YEAR(D27)+7)&lt;YEAR(E27),0,IF((YEAR(D27)+7)&gt;YEAR(E27),1,(12-MONTH(E27)+1)/12))))-((P27)*(IF((YEAR(D27)+7)&lt;YEAR(E27),0,IF((YEAR(D27)+7)&gt;YEAR(E27),1,(12-MONTH(E27)+1)/12))) + (R27)*(IF((YEAR(D27)+7)&lt;YEAR(E27),0,IF((YEAR(D27)+7)&gt;YEAR(E27),1,(12-MONTH(E27)+1)/12))))-(IF((((K27)*(IF(M27="",L27,IFERROR(IF(INDEX(Variablen!$I:$AT, MATCH(M27, Variablen!$A:$A, 0), MATCH((YEAR(D27)+7), Variablen!$I$3:$AT$3, 0))="",L27,INDEX(Variablen!$I:$AT, MATCH(M27, Variablen!$A:$A, 0), MATCH((YEAR(D27)+7), Variablen!$I$3:$AT$3, 0))),L27)))*(IF((YEAR(D27)+7)&lt;YEAR(E27),0,IF((YEAR(D27)+7)&gt;YEAR(E27),1,(12-MONTH(E27)+1)/12))) + (Q27)*(IF((YEAR(D27)+7)&lt;YEAR(E27),0,IF((YEAR(D27)+7)&gt;YEAR(E27),1,(12-MONTH(E27)+1)/12))))-((P27)*(IF((YEAR(D27)+7)&lt;YEAR(E27),0,IF((YEAR(D27)+7)&gt;YEAR(E27),1,(12-MONTH(E27)+1)/12))) + (R27)*(IF((YEAR(D27)+7)&lt;YEAR(E27),0,IF((YEAR(D27)+7)&gt;YEAR(E27),1,(12-MONTH(E27)+1)/12))))-(IF(OR(N27="",N27&lt;=0),0,(O27/N27)*(IF(OR(N27="",N27&lt;=0),0,IF((YEAR(D27)+7)&lt;YEAR(E27),0,IF((YEAR(D27)+7)&gt;=YEAR(E27)+N27,0,IF((YEAR(D27)+7)=YEAR(E27),(12-MONTH(E27)+1)/12,1))))))))&gt;0,(((K27)*(IF(M27="",L27,IFERROR(IF(INDEX(Variablen!$I:$AT, MATCH(M27, Variablen!$A:$A, 0), MATCH((YEAR(D27)+7), Variablen!$I$3:$AT$3, 0))="",L27,INDEX(Variablen!$I:$AT, MATCH(M27, Variablen!$A:$A, 0), MATCH((YEAR(D27)+7), Variablen!$I$3:$AT$3, 0))),L27)))*(IF((YEAR(D27)+7)&lt;YEAR(E27),0,IF((YEAR(D27)+7)&gt;YEAR(E27),1,(12-MONTH(E27)+1)/12))) + (Q27)*(IF((YEAR(D27)+7)&lt;YEAR(E27),0,IF((YEAR(D27)+7)&gt;YEAR(E27),1,(12-MONTH(E27)+1)/12))))-((P27)*(IF((YEAR(D27)+7)&lt;YEAR(E27),0,IF((YEAR(D27)+7)&gt;YEAR(E27),1,(12-MONTH(E27)+1)/12))) + (R27)*(IF((YEAR(D27)+7)&lt;YEAR(E27),0,IF((YEAR(D27)+7)&gt;YEAR(E27),1,(12-MONTH(E27)+1)/12))))-(IF(OR(N27="",N27&lt;=0),0,(O27/N27)*(IF(OR(N27="",N27&lt;=0),0,IF((YEAR(D27)+7)&lt;YEAR(E27),0,IF((YEAR(D27)+7)&gt;=YEAR(E27)+N27,0,IF((YEAR(D27)+7)=YEAR(E27),(12-MONTH(E27)+1)/12,1))))))))*TaxRate,0))-IF(7=0,O27,0))</f>
        <v/>
      </c>
      <c r="AA27" s="29">
        <f>IF(A27="","",((K27)*(IF(M27="",L27,IFERROR(IF(INDEX(Variablen!$I:$AT, MATCH(M27, Variablen!$A:$A, 0), MATCH((YEAR(D27)+8), Variablen!$I$3:$AT$3, 0))="",L27,INDEX(Variablen!$I:$AT, MATCH(M27, Variablen!$A:$A, 0), MATCH((YEAR(D27)+8), Variablen!$I$3:$AT$3, 0))),L27)))*(IF((YEAR(D27)+8)&lt;YEAR(E27),0,IF((YEAR(D27)+8)&gt;YEAR(E27),1,(12-MONTH(E27)+1)/12))) + (Q27)*(IF((YEAR(D27)+8)&lt;YEAR(E27),0,IF((YEAR(D27)+8)&gt;YEAR(E27),1,(12-MONTH(E27)+1)/12))))-((P27)*(IF((YEAR(D27)+8)&lt;YEAR(E27),0,IF((YEAR(D27)+8)&gt;YEAR(E27),1,(12-MONTH(E27)+1)/12))) + (R27)*(IF((YEAR(D27)+8)&lt;YEAR(E27),0,IF((YEAR(D27)+8)&gt;YEAR(E27),1,(12-MONTH(E27)+1)/12))))-(IF((((K27)*(IF(M27="",L27,IFERROR(IF(INDEX(Variablen!$I:$AT, MATCH(M27, Variablen!$A:$A, 0), MATCH((YEAR(D27)+8), Variablen!$I$3:$AT$3, 0))="",L27,INDEX(Variablen!$I:$AT, MATCH(M27, Variablen!$A:$A, 0), MATCH((YEAR(D27)+8), Variablen!$I$3:$AT$3, 0))),L27)))*(IF((YEAR(D27)+8)&lt;YEAR(E27),0,IF((YEAR(D27)+8)&gt;YEAR(E27),1,(12-MONTH(E27)+1)/12))) + (Q27)*(IF((YEAR(D27)+8)&lt;YEAR(E27),0,IF((YEAR(D27)+8)&gt;YEAR(E27),1,(12-MONTH(E27)+1)/12))))-((P27)*(IF((YEAR(D27)+8)&lt;YEAR(E27),0,IF((YEAR(D27)+8)&gt;YEAR(E27),1,(12-MONTH(E27)+1)/12))) + (R27)*(IF((YEAR(D27)+8)&lt;YEAR(E27),0,IF((YEAR(D27)+8)&gt;YEAR(E27),1,(12-MONTH(E27)+1)/12))))-(IF(OR(N27="",N27&lt;=0),0,(O27/N27)*(IF(OR(N27="",N27&lt;=0),0,IF((YEAR(D27)+8)&lt;YEAR(E27),0,IF((YEAR(D27)+8)&gt;=YEAR(E27)+N27,0,IF((YEAR(D27)+8)=YEAR(E27),(12-MONTH(E27)+1)/12,1))))))))&gt;0,(((K27)*(IF(M27="",L27,IFERROR(IF(INDEX(Variablen!$I:$AT, MATCH(M27, Variablen!$A:$A, 0), MATCH((YEAR(D27)+8), Variablen!$I$3:$AT$3, 0))="",L27,INDEX(Variablen!$I:$AT, MATCH(M27, Variablen!$A:$A, 0), MATCH((YEAR(D27)+8), Variablen!$I$3:$AT$3, 0))),L27)))*(IF((YEAR(D27)+8)&lt;YEAR(E27),0,IF((YEAR(D27)+8)&gt;YEAR(E27),1,(12-MONTH(E27)+1)/12))) + (Q27)*(IF((YEAR(D27)+8)&lt;YEAR(E27),0,IF((YEAR(D27)+8)&gt;YEAR(E27),1,(12-MONTH(E27)+1)/12))))-((P27)*(IF((YEAR(D27)+8)&lt;YEAR(E27),0,IF((YEAR(D27)+8)&gt;YEAR(E27),1,(12-MONTH(E27)+1)/12))) + (R27)*(IF((YEAR(D27)+8)&lt;YEAR(E27),0,IF((YEAR(D27)+8)&gt;YEAR(E27),1,(12-MONTH(E27)+1)/12))))-(IF(OR(N27="",N27&lt;=0),0,(O27/N27)*(IF(OR(N27="",N27&lt;=0),0,IF((YEAR(D27)+8)&lt;YEAR(E27),0,IF((YEAR(D27)+8)&gt;=YEAR(E27)+N27,0,IF((YEAR(D27)+8)=YEAR(E27),(12-MONTH(E27)+1)/12,1))))))))*TaxRate,0))-IF(8=0,O27,0))</f>
        <v/>
      </c>
      <c r="AB27" s="29">
        <f>IF(A27="","",((K27)*(IF(M27="",L27,IFERROR(IF(INDEX(Variablen!$I:$AT, MATCH(M27, Variablen!$A:$A, 0), MATCH((YEAR(D27)+9), Variablen!$I$3:$AT$3, 0))="",L27,INDEX(Variablen!$I:$AT, MATCH(M27, Variablen!$A:$A, 0), MATCH((YEAR(D27)+9), Variablen!$I$3:$AT$3, 0))),L27)))*(IF((YEAR(D27)+9)&lt;YEAR(E27),0,IF((YEAR(D27)+9)&gt;YEAR(E27),1,(12-MONTH(E27)+1)/12))) + (Q27)*(IF((YEAR(D27)+9)&lt;YEAR(E27),0,IF((YEAR(D27)+9)&gt;YEAR(E27),1,(12-MONTH(E27)+1)/12))))-((P27)*(IF((YEAR(D27)+9)&lt;YEAR(E27),0,IF((YEAR(D27)+9)&gt;YEAR(E27),1,(12-MONTH(E27)+1)/12))) + (R27)*(IF((YEAR(D27)+9)&lt;YEAR(E27),0,IF((YEAR(D27)+9)&gt;YEAR(E27),1,(12-MONTH(E27)+1)/12))))-(IF((((K27)*(IF(M27="",L27,IFERROR(IF(INDEX(Variablen!$I:$AT, MATCH(M27, Variablen!$A:$A, 0), MATCH((YEAR(D27)+9), Variablen!$I$3:$AT$3, 0))="",L27,INDEX(Variablen!$I:$AT, MATCH(M27, Variablen!$A:$A, 0), MATCH((YEAR(D27)+9), Variablen!$I$3:$AT$3, 0))),L27)))*(IF((YEAR(D27)+9)&lt;YEAR(E27),0,IF((YEAR(D27)+9)&gt;YEAR(E27),1,(12-MONTH(E27)+1)/12))) + (Q27)*(IF((YEAR(D27)+9)&lt;YEAR(E27),0,IF((YEAR(D27)+9)&gt;YEAR(E27),1,(12-MONTH(E27)+1)/12))))-((P27)*(IF((YEAR(D27)+9)&lt;YEAR(E27),0,IF((YEAR(D27)+9)&gt;YEAR(E27),1,(12-MONTH(E27)+1)/12))) + (R27)*(IF((YEAR(D27)+9)&lt;YEAR(E27),0,IF((YEAR(D27)+9)&gt;YEAR(E27),1,(12-MONTH(E27)+1)/12))))-(IF(OR(N27="",N27&lt;=0),0,(O27/N27)*(IF(OR(N27="",N27&lt;=0),0,IF((YEAR(D27)+9)&lt;YEAR(E27),0,IF((YEAR(D27)+9)&gt;=YEAR(E27)+N27,0,IF((YEAR(D27)+9)=YEAR(E27),(12-MONTH(E27)+1)/12,1))))))))&gt;0,(((K27)*(IF(M27="",L27,IFERROR(IF(INDEX(Variablen!$I:$AT, MATCH(M27, Variablen!$A:$A, 0), MATCH((YEAR(D27)+9), Variablen!$I$3:$AT$3, 0))="",L27,INDEX(Variablen!$I:$AT, MATCH(M27, Variablen!$A:$A, 0), MATCH((YEAR(D27)+9), Variablen!$I$3:$AT$3, 0))),L27)))*(IF((YEAR(D27)+9)&lt;YEAR(E27),0,IF((YEAR(D27)+9)&gt;YEAR(E27),1,(12-MONTH(E27)+1)/12))) + (Q27)*(IF((YEAR(D27)+9)&lt;YEAR(E27),0,IF((YEAR(D27)+9)&gt;YEAR(E27),1,(12-MONTH(E27)+1)/12))))-((P27)*(IF((YEAR(D27)+9)&lt;YEAR(E27),0,IF((YEAR(D27)+9)&gt;YEAR(E27),1,(12-MONTH(E27)+1)/12))) + (R27)*(IF((YEAR(D27)+9)&lt;YEAR(E27),0,IF((YEAR(D27)+9)&gt;YEAR(E27),1,(12-MONTH(E27)+1)/12))))-(IF(OR(N27="",N27&lt;=0),0,(O27/N27)*(IF(OR(N27="",N27&lt;=0),0,IF((YEAR(D27)+9)&lt;YEAR(E27),0,IF((YEAR(D27)+9)&gt;=YEAR(E27)+N27,0,IF((YEAR(D27)+9)=YEAR(E27),(12-MONTH(E27)+1)/12,1))))))))*TaxRate,0))-IF(9=0,O27,0))</f>
        <v/>
      </c>
      <c r="AC27" s="29">
        <f>IF(A27="","",((K27)*(IF(M27="",L27,IFERROR(IF(INDEX(Variablen!$I:$AT, MATCH(M27, Variablen!$A:$A, 0), MATCH((YEAR(D27)+10), Variablen!$I$3:$AT$3, 0))="",L27,INDEX(Variablen!$I:$AT, MATCH(M27, Variablen!$A:$A, 0), MATCH((YEAR(D27)+10), Variablen!$I$3:$AT$3, 0))),L27)))*(IF((YEAR(D27)+10)&lt;YEAR(E27),0,IF((YEAR(D27)+10)&gt;YEAR(E27),1,(12-MONTH(E27)+1)/12))) + (Q27)*(IF((YEAR(D27)+10)&lt;YEAR(E27),0,IF((YEAR(D27)+10)&gt;YEAR(E27),1,(12-MONTH(E27)+1)/12))))-((P27)*(IF((YEAR(D27)+10)&lt;YEAR(E27),0,IF((YEAR(D27)+10)&gt;YEAR(E27),1,(12-MONTH(E27)+1)/12))) + (R27)*(IF((YEAR(D27)+10)&lt;YEAR(E27),0,IF((YEAR(D27)+10)&gt;YEAR(E27),1,(12-MONTH(E27)+1)/12))))-(IF((((K27)*(IF(M27="",L27,IFERROR(IF(INDEX(Variablen!$I:$AT, MATCH(M27, Variablen!$A:$A, 0), MATCH((YEAR(D27)+10), Variablen!$I$3:$AT$3, 0))="",L27,INDEX(Variablen!$I:$AT, MATCH(M27, Variablen!$A:$A, 0), MATCH((YEAR(D27)+10), Variablen!$I$3:$AT$3, 0))),L27)))*(IF((YEAR(D27)+10)&lt;YEAR(E27),0,IF((YEAR(D27)+10)&gt;YEAR(E27),1,(12-MONTH(E27)+1)/12))) + (Q27)*(IF((YEAR(D27)+10)&lt;YEAR(E27),0,IF((YEAR(D27)+10)&gt;YEAR(E27),1,(12-MONTH(E27)+1)/12))))-((P27)*(IF((YEAR(D27)+10)&lt;YEAR(E27),0,IF((YEAR(D27)+10)&gt;YEAR(E27),1,(12-MONTH(E27)+1)/12))) + (R27)*(IF((YEAR(D27)+10)&lt;YEAR(E27),0,IF((YEAR(D27)+10)&gt;YEAR(E27),1,(12-MONTH(E27)+1)/12))))-(IF(OR(N27="",N27&lt;=0),0,(O27/N27)*(IF(OR(N27="",N27&lt;=0),0,IF((YEAR(D27)+10)&lt;YEAR(E27),0,IF((YEAR(D27)+10)&gt;=YEAR(E27)+N27,0,IF((YEAR(D27)+10)=YEAR(E27),(12-MONTH(E27)+1)/12,1))))))))&gt;0,(((K27)*(IF(M27="",L27,IFERROR(IF(INDEX(Variablen!$I:$AT, MATCH(M27, Variablen!$A:$A, 0), MATCH((YEAR(D27)+10), Variablen!$I$3:$AT$3, 0))="",L27,INDEX(Variablen!$I:$AT, MATCH(M27, Variablen!$A:$A, 0), MATCH((YEAR(D27)+10), Variablen!$I$3:$AT$3, 0))),L27)))*(IF((YEAR(D27)+10)&lt;YEAR(E27),0,IF((YEAR(D27)+10)&gt;YEAR(E27),1,(12-MONTH(E27)+1)/12))) + (Q27)*(IF((YEAR(D27)+10)&lt;YEAR(E27),0,IF((YEAR(D27)+10)&gt;YEAR(E27),1,(12-MONTH(E27)+1)/12))))-((P27)*(IF((YEAR(D27)+10)&lt;YEAR(E27),0,IF((YEAR(D27)+10)&gt;YEAR(E27),1,(12-MONTH(E27)+1)/12))) + (R27)*(IF((YEAR(D27)+10)&lt;YEAR(E27),0,IF((YEAR(D27)+10)&gt;YEAR(E27),1,(12-MONTH(E27)+1)/12))))-(IF(OR(N27="",N27&lt;=0),0,(O27/N27)*(IF(OR(N27="",N27&lt;=0),0,IF((YEAR(D27)+10)&lt;YEAR(E27),0,IF((YEAR(D27)+10)&gt;=YEAR(E27)+N27,0,IF((YEAR(D27)+10)=YEAR(E27),(12-MONTH(E27)+1)/12,1))))))))*TaxRate,0))-IF(10=0,O27,0))</f>
        <v/>
      </c>
      <c r="AD27" s="29">
        <f>IF(A27="","",((K27)*(IF(M27="",L27,IFERROR(IF(INDEX(Variablen!$I:$AT, MATCH(M27, Variablen!$A:$A, 0), MATCH((YEAR(D27)+11), Variablen!$I$3:$AT$3, 0))="",L27,INDEX(Variablen!$I:$AT, MATCH(M27, Variablen!$A:$A, 0), MATCH((YEAR(D27)+11), Variablen!$I$3:$AT$3, 0))),L27)))*(IF((YEAR(D27)+11)&lt;YEAR(E27),0,IF((YEAR(D27)+11)&gt;YEAR(E27),1,(12-MONTH(E27)+1)/12))) + (Q27)*(IF((YEAR(D27)+11)&lt;YEAR(E27),0,IF((YEAR(D27)+11)&gt;YEAR(E27),1,(12-MONTH(E27)+1)/12))))-((P27)*(IF((YEAR(D27)+11)&lt;YEAR(E27),0,IF((YEAR(D27)+11)&gt;YEAR(E27),1,(12-MONTH(E27)+1)/12))) + (R27)*(IF((YEAR(D27)+11)&lt;YEAR(E27),0,IF((YEAR(D27)+11)&gt;YEAR(E27),1,(12-MONTH(E27)+1)/12))))-(IF((((K27)*(IF(M27="",L27,IFERROR(IF(INDEX(Variablen!$I:$AT, MATCH(M27, Variablen!$A:$A, 0), MATCH((YEAR(D27)+11), Variablen!$I$3:$AT$3, 0))="",L27,INDEX(Variablen!$I:$AT, MATCH(M27, Variablen!$A:$A, 0), MATCH((YEAR(D27)+11), Variablen!$I$3:$AT$3, 0))),L27)))*(IF((YEAR(D27)+11)&lt;YEAR(E27),0,IF((YEAR(D27)+11)&gt;YEAR(E27),1,(12-MONTH(E27)+1)/12))) + (Q27)*(IF((YEAR(D27)+11)&lt;YEAR(E27),0,IF((YEAR(D27)+11)&gt;YEAR(E27),1,(12-MONTH(E27)+1)/12))))-((P27)*(IF((YEAR(D27)+11)&lt;YEAR(E27),0,IF((YEAR(D27)+11)&gt;YEAR(E27),1,(12-MONTH(E27)+1)/12))) + (R27)*(IF((YEAR(D27)+11)&lt;YEAR(E27),0,IF((YEAR(D27)+11)&gt;YEAR(E27),1,(12-MONTH(E27)+1)/12))))-(IF(OR(N27="",N27&lt;=0),0,(O27/N27)*(IF(OR(N27="",N27&lt;=0),0,IF((YEAR(D27)+11)&lt;YEAR(E27),0,IF((YEAR(D27)+11)&gt;=YEAR(E27)+N27,0,IF((YEAR(D27)+11)=YEAR(E27),(12-MONTH(E27)+1)/12,1))))))))&gt;0,(((K27)*(IF(M27="",L27,IFERROR(IF(INDEX(Variablen!$I:$AT, MATCH(M27, Variablen!$A:$A, 0), MATCH((YEAR(D27)+11), Variablen!$I$3:$AT$3, 0))="",L27,INDEX(Variablen!$I:$AT, MATCH(M27, Variablen!$A:$A, 0), MATCH((YEAR(D27)+11), Variablen!$I$3:$AT$3, 0))),L27)))*(IF((YEAR(D27)+11)&lt;YEAR(E27),0,IF((YEAR(D27)+11)&gt;YEAR(E27),1,(12-MONTH(E27)+1)/12))) + (Q27)*(IF((YEAR(D27)+11)&lt;YEAR(E27),0,IF((YEAR(D27)+11)&gt;YEAR(E27),1,(12-MONTH(E27)+1)/12))))-((P27)*(IF((YEAR(D27)+11)&lt;YEAR(E27),0,IF((YEAR(D27)+11)&gt;YEAR(E27),1,(12-MONTH(E27)+1)/12))) + (R27)*(IF((YEAR(D27)+11)&lt;YEAR(E27),0,IF((YEAR(D27)+11)&gt;YEAR(E27),1,(12-MONTH(E27)+1)/12))))-(IF(OR(N27="",N27&lt;=0),0,(O27/N27)*(IF(OR(N27="",N27&lt;=0),0,IF((YEAR(D27)+11)&lt;YEAR(E27),0,IF((YEAR(D27)+11)&gt;=YEAR(E27)+N27,0,IF((YEAR(D27)+11)=YEAR(E27),(12-MONTH(E27)+1)/12,1))))))))*TaxRate,0))-IF(11=0,O27,0))</f>
        <v/>
      </c>
      <c r="AE27" s="29">
        <f>IF(A27="","",((K27)*(IF(M27="",L27,IFERROR(IF(INDEX(Variablen!$I:$AT, MATCH(M27, Variablen!$A:$A, 0), MATCH((YEAR(D27)+12), Variablen!$I$3:$AT$3, 0))="",L27,INDEX(Variablen!$I:$AT, MATCH(M27, Variablen!$A:$A, 0), MATCH((YEAR(D27)+12), Variablen!$I$3:$AT$3, 0))),L27)))*(IF((YEAR(D27)+12)&lt;YEAR(E27),0,IF((YEAR(D27)+12)&gt;YEAR(E27),1,(12-MONTH(E27)+1)/12))) + (Q27)*(IF((YEAR(D27)+12)&lt;YEAR(E27),0,IF((YEAR(D27)+12)&gt;YEAR(E27),1,(12-MONTH(E27)+1)/12))))-((P27)*(IF((YEAR(D27)+12)&lt;YEAR(E27),0,IF((YEAR(D27)+12)&gt;YEAR(E27),1,(12-MONTH(E27)+1)/12))) + (R27)*(IF((YEAR(D27)+12)&lt;YEAR(E27),0,IF((YEAR(D27)+12)&gt;YEAR(E27),1,(12-MONTH(E27)+1)/12))))-(IF((((K27)*(IF(M27="",L27,IFERROR(IF(INDEX(Variablen!$I:$AT, MATCH(M27, Variablen!$A:$A, 0), MATCH((YEAR(D27)+12), Variablen!$I$3:$AT$3, 0))="",L27,INDEX(Variablen!$I:$AT, MATCH(M27, Variablen!$A:$A, 0), MATCH((YEAR(D27)+12), Variablen!$I$3:$AT$3, 0))),L27)))*(IF((YEAR(D27)+12)&lt;YEAR(E27),0,IF((YEAR(D27)+12)&gt;YEAR(E27),1,(12-MONTH(E27)+1)/12))) + (Q27)*(IF((YEAR(D27)+12)&lt;YEAR(E27),0,IF((YEAR(D27)+12)&gt;YEAR(E27),1,(12-MONTH(E27)+1)/12))))-((P27)*(IF((YEAR(D27)+12)&lt;YEAR(E27),0,IF((YEAR(D27)+12)&gt;YEAR(E27),1,(12-MONTH(E27)+1)/12))) + (R27)*(IF((YEAR(D27)+12)&lt;YEAR(E27),0,IF((YEAR(D27)+12)&gt;YEAR(E27),1,(12-MONTH(E27)+1)/12))))-(IF(OR(N27="",N27&lt;=0),0,(O27/N27)*(IF(OR(N27="",N27&lt;=0),0,IF((YEAR(D27)+12)&lt;YEAR(E27),0,IF((YEAR(D27)+12)&gt;=YEAR(E27)+N27,0,IF((YEAR(D27)+12)=YEAR(E27),(12-MONTH(E27)+1)/12,1))))))))&gt;0,(((K27)*(IF(M27="",L27,IFERROR(IF(INDEX(Variablen!$I:$AT, MATCH(M27, Variablen!$A:$A, 0), MATCH((YEAR(D27)+12), Variablen!$I$3:$AT$3, 0))="",L27,INDEX(Variablen!$I:$AT, MATCH(M27, Variablen!$A:$A, 0), MATCH((YEAR(D27)+12), Variablen!$I$3:$AT$3, 0))),L27)))*(IF((YEAR(D27)+12)&lt;YEAR(E27),0,IF((YEAR(D27)+12)&gt;YEAR(E27),1,(12-MONTH(E27)+1)/12))) + (Q27)*(IF((YEAR(D27)+12)&lt;YEAR(E27),0,IF((YEAR(D27)+12)&gt;YEAR(E27),1,(12-MONTH(E27)+1)/12))))-((P27)*(IF((YEAR(D27)+12)&lt;YEAR(E27),0,IF((YEAR(D27)+12)&gt;YEAR(E27),1,(12-MONTH(E27)+1)/12))) + (R27)*(IF((YEAR(D27)+12)&lt;YEAR(E27),0,IF((YEAR(D27)+12)&gt;YEAR(E27),1,(12-MONTH(E27)+1)/12))))-(IF(OR(N27="",N27&lt;=0),0,(O27/N27)*(IF(OR(N27="",N27&lt;=0),0,IF((YEAR(D27)+12)&lt;YEAR(E27),0,IF((YEAR(D27)+12)&gt;=YEAR(E27)+N27,0,IF((YEAR(D27)+12)=YEAR(E27),(12-MONTH(E27)+1)/12,1))))))))*TaxRate,0))-IF(12=0,O27,0))</f>
        <v/>
      </c>
      <c r="AF27" s="29">
        <f>IF(A27="","",((K27)*(IF(M27="",L27,IFERROR(IF(INDEX(Variablen!$I:$AT, MATCH(M27, Variablen!$A:$A, 0), MATCH((YEAR(D27)+13), Variablen!$I$3:$AT$3, 0))="",L27,INDEX(Variablen!$I:$AT, MATCH(M27, Variablen!$A:$A, 0), MATCH((YEAR(D27)+13), Variablen!$I$3:$AT$3, 0))),L27)))*(IF((YEAR(D27)+13)&lt;YEAR(E27),0,IF((YEAR(D27)+13)&gt;YEAR(E27),1,(12-MONTH(E27)+1)/12))) + (Q27)*(IF((YEAR(D27)+13)&lt;YEAR(E27),0,IF((YEAR(D27)+13)&gt;YEAR(E27),1,(12-MONTH(E27)+1)/12))))-((P27)*(IF((YEAR(D27)+13)&lt;YEAR(E27),0,IF((YEAR(D27)+13)&gt;YEAR(E27),1,(12-MONTH(E27)+1)/12))) + (R27)*(IF((YEAR(D27)+13)&lt;YEAR(E27),0,IF((YEAR(D27)+13)&gt;YEAR(E27),1,(12-MONTH(E27)+1)/12))))-(IF((((K27)*(IF(M27="",L27,IFERROR(IF(INDEX(Variablen!$I:$AT, MATCH(M27, Variablen!$A:$A, 0), MATCH((YEAR(D27)+13), Variablen!$I$3:$AT$3, 0))="",L27,INDEX(Variablen!$I:$AT, MATCH(M27, Variablen!$A:$A, 0), MATCH((YEAR(D27)+13), Variablen!$I$3:$AT$3, 0))),L27)))*(IF((YEAR(D27)+13)&lt;YEAR(E27),0,IF((YEAR(D27)+13)&gt;YEAR(E27),1,(12-MONTH(E27)+1)/12))) + (Q27)*(IF((YEAR(D27)+13)&lt;YEAR(E27),0,IF((YEAR(D27)+13)&gt;YEAR(E27),1,(12-MONTH(E27)+1)/12))))-((P27)*(IF((YEAR(D27)+13)&lt;YEAR(E27),0,IF((YEAR(D27)+13)&gt;YEAR(E27),1,(12-MONTH(E27)+1)/12))) + (R27)*(IF((YEAR(D27)+13)&lt;YEAR(E27),0,IF((YEAR(D27)+13)&gt;YEAR(E27),1,(12-MONTH(E27)+1)/12))))-(IF(OR(N27="",N27&lt;=0),0,(O27/N27)*(IF(OR(N27="",N27&lt;=0),0,IF((YEAR(D27)+13)&lt;YEAR(E27),0,IF((YEAR(D27)+13)&gt;=YEAR(E27)+N27,0,IF((YEAR(D27)+13)=YEAR(E27),(12-MONTH(E27)+1)/12,1))))))))&gt;0,(((K27)*(IF(M27="",L27,IFERROR(IF(INDEX(Variablen!$I:$AT, MATCH(M27, Variablen!$A:$A, 0), MATCH((YEAR(D27)+13), Variablen!$I$3:$AT$3, 0))="",L27,INDEX(Variablen!$I:$AT, MATCH(M27, Variablen!$A:$A, 0), MATCH((YEAR(D27)+13), Variablen!$I$3:$AT$3, 0))),L27)))*(IF((YEAR(D27)+13)&lt;YEAR(E27),0,IF((YEAR(D27)+13)&gt;YEAR(E27),1,(12-MONTH(E27)+1)/12))) + (Q27)*(IF((YEAR(D27)+13)&lt;YEAR(E27),0,IF((YEAR(D27)+13)&gt;YEAR(E27),1,(12-MONTH(E27)+1)/12))))-((P27)*(IF((YEAR(D27)+13)&lt;YEAR(E27),0,IF((YEAR(D27)+13)&gt;YEAR(E27),1,(12-MONTH(E27)+1)/12))) + (R27)*(IF((YEAR(D27)+13)&lt;YEAR(E27),0,IF((YEAR(D27)+13)&gt;YEAR(E27),1,(12-MONTH(E27)+1)/12))))-(IF(OR(N27="",N27&lt;=0),0,(O27/N27)*(IF(OR(N27="",N27&lt;=0),0,IF((YEAR(D27)+13)&lt;YEAR(E27),0,IF((YEAR(D27)+13)&gt;=YEAR(E27)+N27,0,IF((YEAR(D27)+13)=YEAR(E27),(12-MONTH(E27)+1)/12,1))))))))*TaxRate,0))-IF(13=0,O27,0))</f>
        <v/>
      </c>
      <c r="AG27" s="29">
        <f>IF(A27="","",((K27)*(IF(M27="",L27,IFERROR(IF(INDEX(Variablen!$I:$AT, MATCH(M27, Variablen!$A:$A, 0), MATCH((YEAR(D27)+14), Variablen!$I$3:$AT$3, 0))="",L27,INDEX(Variablen!$I:$AT, MATCH(M27, Variablen!$A:$A, 0), MATCH((YEAR(D27)+14), Variablen!$I$3:$AT$3, 0))),L27)))*(IF((YEAR(D27)+14)&lt;YEAR(E27),0,IF((YEAR(D27)+14)&gt;YEAR(E27),1,(12-MONTH(E27)+1)/12))) + (Q27)*(IF((YEAR(D27)+14)&lt;YEAR(E27),0,IF((YEAR(D27)+14)&gt;YEAR(E27),1,(12-MONTH(E27)+1)/12))))-((P27)*(IF((YEAR(D27)+14)&lt;YEAR(E27),0,IF((YEAR(D27)+14)&gt;YEAR(E27),1,(12-MONTH(E27)+1)/12))) + (R27)*(IF((YEAR(D27)+14)&lt;YEAR(E27),0,IF((YEAR(D27)+14)&gt;YEAR(E27),1,(12-MONTH(E27)+1)/12))))-(IF((((K27)*(IF(M27="",L27,IFERROR(IF(INDEX(Variablen!$I:$AT, MATCH(M27, Variablen!$A:$A, 0), MATCH((YEAR(D27)+14), Variablen!$I$3:$AT$3, 0))="",L27,INDEX(Variablen!$I:$AT, MATCH(M27, Variablen!$A:$A, 0), MATCH((YEAR(D27)+14), Variablen!$I$3:$AT$3, 0))),L27)))*(IF((YEAR(D27)+14)&lt;YEAR(E27),0,IF((YEAR(D27)+14)&gt;YEAR(E27),1,(12-MONTH(E27)+1)/12))) + (Q27)*(IF((YEAR(D27)+14)&lt;YEAR(E27),0,IF((YEAR(D27)+14)&gt;YEAR(E27),1,(12-MONTH(E27)+1)/12))))-((P27)*(IF((YEAR(D27)+14)&lt;YEAR(E27),0,IF((YEAR(D27)+14)&gt;YEAR(E27),1,(12-MONTH(E27)+1)/12))) + (R27)*(IF((YEAR(D27)+14)&lt;YEAR(E27),0,IF((YEAR(D27)+14)&gt;YEAR(E27),1,(12-MONTH(E27)+1)/12))))-(IF(OR(N27="",N27&lt;=0),0,(O27/N27)*(IF(OR(N27="",N27&lt;=0),0,IF((YEAR(D27)+14)&lt;YEAR(E27),0,IF((YEAR(D27)+14)&gt;=YEAR(E27)+N27,0,IF((YEAR(D27)+14)=YEAR(E27),(12-MONTH(E27)+1)/12,1))))))))&gt;0,(((K27)*(IF(M27="",L27,IFERROR(IF(INDEX(Variablen!$I:$AT, MATCH(M27, Variablen!$A:$A, 0), MATCH((YEAR(D27)+14), Variablen!$I$3:$AT$3, 0))="",L27,INDEX(Variablen!$I:$AT, MATCH(M27, Variablen!$A:$A, 0), MATCH((YEAR(D27)+14), Variablen!$I$3:$AT$3, 0))),L27)))*(IF((YEAR(D27)+14)&lt;YEAR(E27),0,IF((YEAR(D27)+14)&gt;YEAR(E27),1,(12-MONTH(E27)+1)/12))) + (Q27)*(IF((YEAR(D27)+14)&lt;YEAR(E27),0,IF((YEAR(D27)+14)&gt;YEAR(E27),1,(12-MONTH(E27)+1)/12))))-((P27)*(IF((YEAR(D27)+14)&lt;YEAR(E27),0,IF((YEAR(D27)+14)&gt;YEAR(E27),1,(12-MONTH(E27)+1)/12))) + (R27)*(IF((YEAR(D27)+14)&lt;YEAR(E27),0,IF((YEAR(D27)+14)&gt;YEAR(E27),1,(12-MONTH(E27)+1)/12))))-(IF(OR(N27="",N27&lt;=0),0,(O27/N27)*(IF(OR(N27="",N27&lt;=0),0,IF((YEAR(D27)+14)&lt;YEAR(E27),0,IF((YEAR(D27)+14)&gt;=YEAR(E27)+N27,0,IF((YEAR(D27)+14)=YEAR(E27),(12-MONTH(E27)+1)/12,1))))))))*TaxRate,0))-IF(14=0,O27,0))</f>
        <v/>
      </c>
      <c r="AH27" s="29">
        <f>IF(A27="","",((K27)*(IF(M27="",L27,IFERROR(IF(INDEX(Variablen!$I:$AT, MATCH(M27, Variablen!$A:$A, 0), MATCH((YEAR(D27)+15), Variablen!$I$3:$AT$3, 0))="",L27,INDEX(Variablen!$I:$AT, MATCH(M27, Variablen!$A:$A, 0), MATCH((YEAR(D27)+15), Variablen!$I$3:$AT$3, 0))),L27)))*(IF((YEAR(D27)+15)&lt;YEAR(E27),0,IF((YEAR(D27)+15)&gt;YEAR(E27),1,(12-MONTH(E27)+1)/12))) + (Q27)*(IF((YEAR(D27)+15)&lt;YEAR(E27),0,IF((YEAR(D27)+15)&gt;YEAR(E27),1,(12-MONTH(E27)+1)/12))))-((P27)*(IF((YEAR(D27)+15)&lt;YEAR(E27),0,IF((YEAR(D27)+15)&gt;YEAR(E27),1,(12-MONTH(E27)+1)/12))) + (R27)*(IF((YEAR(D27)+15)&lt;YEAR(E27),0,IF((YEAR(D27)+15)&gt;YEAR(E27),1,(12-MONTH(E27)+1)/12))))-(IF((((K27)*(IF(M27="",L27,IFERROR(IF(INDEX(Variablen!$I:$AT, MATCH(M27, Variablen!$A:$A, 0), MATCH((YEAR(D27)+15), Variablen!$I$3:$AT$3, 0))="",L27,INDEX(Variablen!$I:$AT, MATCH(M27, Variablen!$A:$A, 0), MATCH((YEAR(D27)+15), Variablen!$I$3:$AT$3, 0))),L27)))*(IF((YEAR(D27)+15)&lt;YEAR(E27),0,IF((YEAR(D27)+15)&gt;YEAR(E27),1,(12-MONTH(E27)+1)/12))) + (Q27)*(IF((YEAR(D27)+15)&lt;YEAR(E27),0,IF((YEAR(D27)+15)&gt;YEAR(E27),1,(12-MONTH(E27)+1)/12))))-((P27)*(IF((YEAR(D27)+15)&lt;YEAR(E27),0,IF((YEAR(D27)+15)&gt;YEAR(E27),1,(12-MONTH(E27)+1)/12))) + (R27)*(IF((YEAR(D27)+15)&lt;YEAR(E27),0,IF((YEAR(D27)+15)&gt;YEAR(E27),1,(12-MONTH(E27)+1)/12))))-(IF(OR(N27="",N27&lt;=0),0,(O27/N27)*(IF(OR(N27="",N27&lt;=0),0,IF((YEAR(D27)+15)&lt;YEAR(E27),0,IF((YEAR(D27)+15)&gt;=YEAR(E27)+N27,0,IF((YEAR(D27)+15)=YEAR(E27),(12-MONTH(E27)+1)/12,1))))))))&gt;0,(((K27)*(IF(M27="",L27,IFERROR(IF(INDEX(Variablen!$I:$AT, MATCH(M27, Variablen!$A:$A, 0), MATCH((YEAR(D27)+15), Variablen!$I$3:$AT$3, 0))="",L27,INDEX(Variablen!$I:$AT, MATCH(M27, Variablen!$A:$A, 0), MATCH((YEAR(D27)+15), Variablen!$I$3:$AT$3, 0))),L27)))*(IF((YEAR(D27)+15)&lt;YEAR(E27),0,IF((YEAR(D27)+15)&gt;YEAR(E27),1,(12-MONTH(E27)+1)/12))) + (Q27)*(IF((YEAR(D27)+15)&lt;YEAR(E27),0,IF((YEAR(D27)+15)&gt;YEAR(E27),1,(12-MONTH(E27)+1)/12))))-((P27)*(IF((YEAR(D27)+15)&lt;YEAR(E27),0,IF((YEAR(D27)+15)&gt;YEAR(E27),1,(12-MONTH(E27)+1)/12))) + (R27)*(IF((YEAR(D27)+15)&lt;YEAR(E27),0,IF((YEAR(D27)+15)&gt;YEAR(E27),1,(12-MONTH(E27)+1)/12))))-(IF(OR(N27="",N27&lt;=0),0,(O27/N27)*(IF(OR(N27="",N27&lt;=0),0,IF((YEAR(D27)+15)&lt;YEAR(E27),0,IF((YEAR(D27)+15)&gt;=YEAR(E27)+N27,0,IF((YEAR(D27)+15)=YEAR(E27),(12-MONTH(E27)+1)/12,1))))))))*TaxRate,0))-IF(15=0,O27,0))</f>
        <v/>
      </c>
      <c r="AI27" s="29">
        <f>IF(A27="","",((K27)*(IF(M27="",L27,IFERROR(IF(INDEX(Variablen!$I:$AT, MATCH(M27, Variablen!$A:$A, 0), MATCH((YEAR(D27)+16), Variablen!$I$3:$AT$3, 0))="",L27,INDEX(Variablen!$I:$AT, MATCH(M27, Variablen!$A:$A, 0), MATCH((YEAR(D27)+16), Variablen!$I$3:$AT$3, 0))),L27)))*(IF((YEAR(D27)+16)&lt;YEAR(E27),0,IF((YEAR(D27)+16)&gt;YEAR(E27),1,(12-MONTH(E27)+1)/12))) + (Q27)*(IF((YEAR(D27)+16)&lt;YEAR(E27),0,IF((YEAR(D27)+16)&gt;YEAR(E27),1,(12-MONTH(E27)+1)/12))))-((P27)*(IF((YEAR(D27)+16)&lt;YEAR(E27),0,IF((YEAR(D27)+16)&gt;YEAR(E27),1,(12-MONTH(E27)+1)/12))) + (R27)*(IF((YEAR(D27)+16)&lt;YEAR(E27),0,IF((YEAR(D27)+16)&gt;YEAR(E27),1,(12-MONTH(E27)+1)/12))))-(IF((((K27)*(IF(M27="",L27,IFERROR(IF(INDEX(Variablen!$I:$AT, MATCH(M27, Variablen!$A:$A, 0), MATCH((YEAR(D27)+16), Variablen!$I$3:$AT$3, 0))="",L27,INDEX(Variablen!$I:$AT, MATCH(M27, Variablen!$A:$A, 0), MATCH((YEAR(D27)+16), Variablen!$I$3:$AT$3, 0))),L27)))*(IF((YEAR(D27)+16)&lt;YEAR(E27),0,IF((YEAR(D27)+16)&gt;YEAR(E27),1,(12-MONTH(E27)+1)/12))) + (Q27)*(IF((YEAR(D27)+16)&lt;YEAR(E27),0,IF((YEAR(D27)+16)&gt;YEAR(E27),1,(12-MONTH(E27)+1)/12))))-((P27)*(IF((YEAR(D27)+16)&lt;YEAR(E27),0,IF((YEAR(D27)+16)&gt;YEAR(E27),1,(12-MONTH(E27)+1)/12))) + (R27)*(IF((YEAR(D27)+16)&lt;YEAR(E27),0,IF((YEAR(D27)+16)&gt;YEAR(E27),1,(12-MONTH(E27)+1)/12))))-(IF(OR(N27="",N27&lt;=0),0,(O27/N27)*(IF(OR(N27="",N27&lt;=0),0,IF((YEAR(D27)+16)&lt;YEAR(E27),0,IF((YEAR(D27)+16)&gt;=YEAR(E27)+N27,0,IF((YEAR(D27)+16)=YEAR(E27),(12-MONTH(E27)+1)/12,1))))))))&gt;0,(((K27)*(IF(M27="",L27,IFERROR(IF(INDEX(Variablen!$I:$AT, MATCH(M27, Variablen!$A:$A, 0), MATCH((YEAR(D27)+16), Variablen!$I$3:$AT$3, 0))="",L27,INDEX(Variablen!$I:$AT, MATCH(M27, Variablen!$A:$A, 0), MATCH((YEAR(D27)+16), Variablen!$I$3:$AT$3, 0))),L27)))*(IF((YEAR(D27)+16)&lt;YEAR(E27),0,IF((YEAR(D27)+16)&gt;YEAR(E27),1,(12-MONTH(E27)+1)/12))) + (Q27)*(IF((YEAR(D27)+16)&lt;YEAR(E27),0,IF((YEAR(D27)+16)&gt;YEAR(E27),1,(12-MONTH(E27)+1)/12))))-((P27)*(IF((YEAR(D27)+16)&lt;YEAR(E27),0,IF((YEAR(D27)+16)&gt;YEAR(E27),1,(12-MONTH(E27)+1)/12))) + (R27)*(IF((YEAR(D27)+16)&lt;YEAR(E27),0,IF((YEAR(D27)+16)&gt;YEAR(E27),1,(12-MONTH(E27)+1)/12))))-(IF(OR(N27="",N27&lt;=0),0,(O27/N27)*(IF(OR(N27="",N27&lt;=0),0,IF((YEAR(D27)+16)&lt;YEAR(E27),0,IF((YEAR(D27)+16)&gt;=YEAR(E27)+N27,0,IF((YEAR(D27)+16)=YEAR(E27),(12-MONTH(E27)+1)/12,1))))))))*TaxRate,0))-IF(16=0,O27,0))</f>
        <v/>
      </c>
      <c r="AJ27" s="29">
        <f>IF(A27="","",((K27)*(IF(M27="",L27,IFERROR(IF(INDEX(Variablen!$I:$AT, MATCH(M27, Variablen!$A:$A, 0), MATCH((YEAR(D27)+17), Variablen!$I$3:$AT$3, 0))="",L27,INDEX(Variablen!$I:$AT, MATCH(M27, Variablen!$A:$A, 0), MATCH((YEAR(D27)+17), Variablen!$I$3:$AT$3, 0))),L27)))*(IF((YEAR(D27)+17)&lt;YEAR(E27),0,IF((YEAR(D27)+17)&gt;YEAR(E27),1,(12-MONTH(E27)+1)/12))) + (Q27)*(IF((YEAR(D27)+17)&lt;YEAR(E27),0,IF((YEAR(D27)+17)&gt;YEAR(E27),1,(12-MONTH(E27)+1)/12))))-((P27)*(IF((YEAR(D27)+17)&lt;YEAR(E27),0,IF((YEAR(D27)+17)&gt;YEAR(E27),1,(12-MONTH(E27)+1)/12))) + (R27)*(IF((YEAR(D27)+17)&lt;YEAR(E27),0,IF((YEAR(D27)+17)&gt;YEAR(E27),1,(12-MONTH(E27)+1)/12))))-(IF((((K27)*(IF(M27="",L27,IFERROR(IF(INDEX(Variablen!$I:$AT, MATCH(M27, Variablen!$A:$A, 0), MATCH((YEAR(D27)+17), Variablen!$I$3:$AT$3, 0))="",L27,INDEX(Variablen!$I:$AT, MATCH(M27, Variablen!$A:$A, 0), MATCH((YEAR(D27)+17), Variablen!$I$3:$AT$3, 0))),L27)))*(IF((YEAR(D27)+17)&lt;YEAR(E27),0,IF((YEAR(D27)+17)&gt;YEAR(E27),1,(12-MONTH(E27)+1)/12))) + (Q27)*(IF((YEAR(D27)+17)&lt;YEAR(E27),0,IF((YEAR(D27)+17)&gt;YEAR(E27),1,(12-MONTH(E27)+1)/12))))-((P27)*(IF((YEAR(D27)+17)&lt;YEAR(E27),0,IF((YEAR(D27)+17)&gt;YEAR(E27),1,(12-MONTH(E27)+1)/12))) + (R27)*(IF((YEAR(D27)+17)&lt;YEAR(E27),0,IF((YEAR(D27)+17)&gt;YEAR(E27),1,(12-MONTH(E27)+1)/12))))-(IF(OR(N27="",N27&lt;=0),0,(O27/N27)*(IF(OR(N27="",N27&lt;=0),0,IF((YEAR(D27)+17)&lt;YEAR(E27),0,IF((YEAR(D27)+17)&gt;=YEAR(E27)+N27,0,IF((YEAR(D27)+17)=YEAR(E27),(12-MONTH(E27)+1)/12,1))))))))&gt;0,(((K27)*(IF(M27="",L27,IFERROR(IF(INDEX(Variablen!$I:$AT, MATCH(M27, Variablen!$A:$A, 0), MATCH((YEAR(D27)+17), Variablen!$I$3:$AT$3, 0))="",L27,INDEX(Variablen!$I:$AT, MATCH(M27, Variablen!$A:$A, 0), MATCH((YEAR(D27)+17), Variablen!$I$3:$AT$3, 0))),L27)))*(IF((YEAR(D27)+17)&lt;YEAR(E27),0,IF((YEAR(D27)+17)&gt;YEAR(E27),1,(12-MONTH(E27)+1)/12))) + (Q27)*(IF((YEAR(D27)+17)&lt;YEAR(E27),0,IF((YEAR(D27)+17)&gt;YEAR(E27),1,(12-MONTH(E27)+1)/12))))-((P27)*(IF((YEAR(D27)+17)&lt;YEAR(E27),0,IF((YEAR(D27)+17)&gt;YEAR(E27),1,(12-MONTH(E27)+1)/12))) + (R27)*(IF((YEAR(D27)+17)&lt;YEAR(E27),0,IF((YEAR(D27)+17)&gt;YEAR(E27),1,(12-MONTH(E27)+1)/12))))-(IF(OR(N27="",N27&lt;=0),0,(O27/N27)*(IF(OR(N27="",N27&lt;=0),0,IF((YEAR(D27)+17)&lt;YEAR(E27),0,IF((YEAR(D27)+17)&gt;=YEAR(E27)+N27,0,IF((YEAR(D27)+17)=YEAR(E27),(12-MONTH(E27)+1)/12,1))))))))*TaxRate,0))-IF(17=0,O27,0))</f>
        <v/>
      </c>
      <c r="AK27" s="29">
        <f>IF(A27="","",((K27)*(IF(M27="",L27,IFERROR(IF(INDEX(Variablen!$I:$AT, MATCH(M27, Variablen!$A:$A, 0), MATCH((YEAR(D27)+18), Variablen!$I$3:$AT$3, 0))="",L27,INDEX(Variablen!$I:$AT, MATCH(M27, Variablen!$A:$A, 0), MATCH((YEAR(D27)+18), Variablen!$I$3:$AT$3, 0))),L27)))*(IF((YEAR(D27)+18)&lt;YEAR(E27),0,IF((YEAR(D27)+18)&gt;YEAR(E27),1,(12-MONTH(E27)+1)/12))) + (Q27)*(IF((YEAR(D27)+18)&lt;YEAR(E27),0,IF((YEAR(D27)+18)&gt;YEAR(E27),1,(12-MONTH(E27)+1)/12))))-((P27)*(IF((YEAR(D27)+18)&lt;YEAR(E27),0,IF((YEAR(D27)+18)&gt;YEAR(E27),1,(12-MONTH(E27)+1)/12))) + (R27)*(IF((YEAR(D27)+18)&lt;YEAR(E27),0,IF((YEAR(D27)+18)&gt;YEAR(E27),1,(12-MONTH(E27)+1)/12))))-(IF((((K27)*(IF(M27="",L27,IFERROR(IF(INDEX(Variablen!$I:$AT, MATCH(M27, Variablen!$A:$A, 0), MATCH((YEAR(D27)+18), Variablen!$I$3:$AT$3, 0))="",L27,INDEX(Variablen!$I:$AT, MATCH(M27, Variablen!$A:$A, 0), MATCH((YEAR(D27)+18), Variablen!$I$3:$AT$3, 0))),L27)))*(IF((YEAR(D27)+18)&lt;YEAR(E27),0,IF((YEAR(D27)+18)&gt;YEAR(E27),1,(12-MONTH(E27)+1)/12))) + (Q27)*(IF((YEAR(D27)+18)&lt;YEAR(E27),0,IF((YEAR(D27)+18)&gt;YEAR(E27),1,(12-MONTH(E27)+1)/12))))-((P27)*(IF((YEAR(D27)+18)&lt;YEAR(E27),0,IF((YEAR(D27)+18)&gt;YEAR(E27),1,(12-MONTH(E27)+1)/12))) + (R27)*(IF((YEAR(D27)+18)&lt;YEAR(E27),0,IF((YEAR(D27)+18)&gt;YEAR(E27),1,(12-MONTH(E27)+1)/12))))-(IF(OR(N27="",N27&lt;=0),0,(O27/N27)*(IF(OR(N27="",N27&lt;=0),0,IF((YEAR(D27)+18)&lt;YEAR(E27),0,IF((YEAR(D27)+18)&gt;=YEAR(E27)+N27,0,IF((YEAR(D27)+18)=YEAR(E27),(12-MONTH(E27)+1)/12,1))))))))&gt;0,(((K27)*(IF(M27="",L27,IFERROR(IF(INDEX(Variablen!$I:$AT, MATCH(M27, Variablen!$A:$A, 0), MATCH((YEAR(D27)+18), Variablen!$I$3:$AT$3, 0))="",L27,INDEX(Variablen!$I:$AT, MATCH(M27, Variablen!$A:$A, 0), MATCH((YEAR(D27)+18), Variablen!$I$3:$AT$3, 0))),L27)))*(IF((YEAR(D27)+18)&lt;YEAR(E27),0,IF((YEAR(D27)+18)&gt;YEAR(E27),1,(12-MONTH(E27)+1)/12))) + (Q27)*(IF((YEAR(D27)+18)&lt;YEAR(E27),0,IF((YEAR(D27)+18)&gt;YEAR(E27),1,(12-MONTH(E27)+1)/12))))-((P27)*(IF((YEAR(D27)+18)&lt;YEAR(E27),0,IF((YEAR(D27)+18)&gt;YEAR(E27),1,(12-MONTH(E27)+1)/12))) + (R27)*(IF((YEAR(D27)+18)&lt;YEAR(E27),0,IF((YEAR(D27)+18)&gt;YEAR(E27),1,(12-MONTH(E27)+1)/12))))-(IF(OR(N27="",N27&lt;=0),0,(O27/N27)*(IF(OR(N27="",N27&lt;=0),0,IF((YEAR(D27)+18)&lt;YEAR(E27),0,IF((YEAR(D27)+18)&gt;=YEAR(E27)+N27,0,IF((YEAR(D27)+18)=YEAR(E27),(12-MONTH(E27)+1)/12,1))))))))*TaxRate,0))-IF(18=0,O27,0))</f>
        <v/>
      </c>
      <c r="AL27" s="29">
        <f>IF(A27="","",((K27)*(IF(M27="",L27,IFERROR(IF(INDEX(Variablen!$I:$AT, MATCH(M27, Variablen!$A:$A, 0), MATCH((YEAR(D27)+19), Variablen!$I$3:$AT$3, 0))="",L27,INDEX(Variablen!$I:$AT, MATCH(M27, Variablen!$A:$A, 0), MATCH((YEAR(D27)+19), Variablen!$I$3:$AT$3, 0))),L27)))*(IF((YEAR(D27)+19)&lt;YEAR(E27),0,IF((YEAR(D27)+19)&gt;YEAR(E27),1,(12-MONTH(E27)+1)/12))) + (Q27)*(IF((YEAR(D27)+19)&lt;YEAR(E27),0,IF((YEAR(D27)+19)&gt;YEAR(E27),1,(12-MONTH(E27)+1)/12))))-((P27)*(IF((YEAR(D27)+19)&lt;YEAR(E27),0,IF((YEAR(D27)+19)&gt;YEAR(E27),1,(12-MONTH(E27)+1)/12))) + (R27)*(IF((YEAR(D27)+19)&lt;YEAR(E27),0,IF((YEAR(D27)+19)&gt;YEAR(E27),1,(12-MONTH(E27)+1)/12))))-(IF((((K27)*(IF(M27="",L27,IFERROR(IF(INDEX(Variablen!$I:$AT, MATCH(M27, Variablen!$A:$A, 0), MATCH((YEAR(D27)+19), Variablen!$I$3:$AT$3, 0))="",L27,INDEX(Variablen!$I:$AT, MATCH(M27, Variablen!$A:$A, 0), MATCH((YEAR(D27)+19), Variablen!$I$3:$AT$3, 0))),L27)))*(IF((YEAR(D27)+19)&lt;YEAR(E27),0,IF((YEAR(D27)+19)&gt;YEAR(E27),1,(12-MONTH(E27)+1)/12))) + (Q27)*(IF((YEAR(D27)+19)&lt;YEAR(E27),0,IF((YEAR(D27)+19)&gt;YEAR(E27),1,(12-MONTH(E27)+1)/12))))-((P27)*(IF((YEAR(D27)+19)&lt;YEAR(E27),0,IF((YEAR(D27)+19)&gt;YEAR(E27),1,(12-MONTH(E27)+1)/12))) + (R27)*(IF((YEAR(D27)+19)&lt;YEAR(E27),0,IF((YEAR(D27)+19)&gt;YEAR(E27),1,(12-MONTH(E27)+1)/12))))-(IF(OR(N27="",N27&lt;=0),0,(O27/N27)*(IF(OR(N27="",N27&lt;=0),0,IF((YEAR(D27)+19)&lt;YEAR(E27),0,IF((YEAR(D27)+19)&gt;=YEAR(E27)+N27,0,IF((YEAR(D27)+19)=YEAR(E27),(12-MONTH(E27)+1)/12,1))))))))&gt;0,(((K27)*(IF(M27="",L27,IFERROR(IF(INDEX(Variablen!$I:$AT, MATCH(M27, Variablen!$A:$A, 0), MATCH((YEAR(D27)+19), Variablen!$I$3:$AT$3, 0))="",L27,INDEX(Variablen!$I:$AT, MATCH(M27, Variablen!$A:$A, 0), MATCH((YEAR(D27)+19), Variablen!$I$3:$AT$3, 0))),L27)))*(IF((YEAR(D27)+19)&lt;YEAR(E27),0,IF((YEAR(D27)+19)&gt;YEAR(E27),1,(12-MONTH(E27)+1)/12))) + (Q27)*(IF((YEAR(D27)+19)&lt;YEAR(E27),0,IF((YEAR(D27)+19)&gt;YEAR(E27),1,(12-MONTH(E27)+1)/12))))-((P27)*(IF((YEAR(D27)+19)&lt;YEAR(E27),0,IF((YEAR(D27)+19)&gt;YEAR(E27),1,(12-MONTH(E27)+1)/12))) + (R27)*(IF((YEAR(D27)+19)&lt;YEAR(E27),0,IF((YEAR(D27)+19)&gt;YEAR(E27),1,(12-MONTH(E27)+1)/12))))-(IF(OR(N27="",N27&lt;=0),0,(O27/N27)*(IF(OR(N27="",N27&lt;=0),0,IF((YEAR(D27)+19)&lt;YEAR(E27),0,IF((YEAR(D27)+19)&gt;=YEAR(E27)+N27,0,IF((YEAR(D27)+19)=YEAR(E27),(12-MONTH(E27)+1)/12,1))))))))*TaxRate,0))-IF(19=0,O27,0))</f>
        <v/>
      </c>
      <c r="AM27" s="29">
        <f>IF(A27="","",((K27)*(IF(M27="",L27,IFERROR(IF(INDEX(Variablen!$I:$AT, MATCH(M27, Variablen!$A:$A, 0), MATCH((YEAR(D27)+20), Variablen!$I$3:$AT$3, 0))="",L27,INDEX(Variablen!$I:$AT, MATCH(M27, Variablen!$A:$A, 0), MATCH((YEAR(D27)+20), Variablen!$I$3:$AT$3, 0))),L27)))*(IF((YEAR(D27)+20)&lt;YEAR(E27),0,IF((YEAR(D27)+20)&gt;YEAR(E27),1,(12-MONTH(E27)+1)/12))) + (Q27)*(IF((YEAR(D27)+20)&lt;YEAR(E27),0,IF((YEAR(D27)+20)&gt;YEAR(E27),1,(12-MONTH(E27)+1)/12))))-((P27)*(IF((YEAR(D27)+20)&lt;YEAR(E27),0,IF((YEAR(D27)+20)&gt;YEAR(E27),1,(12-MONTH(E27)+1)/12))) + (R27)*(IF((YEAR(D27)+20)&lt;YEAR(E27),0,IF((YEAR(D27)+20)&gt;YEAR(E27),1,(12-MONTH(E27)+1)/12))))-(IF((((K27)*(IF(M27="",L27,IFERROR(IF(INDEX(Variablen!$I:$AT, MATCH(M27, Variablen!$A:$A, 0), MATCH((YEAR(D27)+20), Variablen!$I$3:$AT$3, 0))="",L27,INDEX(Variablen!$I:$AT, MATCH(M27, Variablen!$A:$A, 0), MATCH((YEAR(D27)+20), Variablen!$I$3:$AT$3, 0))),L27)))*(IF((YEAR(D27)+20)&lt;YEAR(E27),0,IF((YEAR(D27)+20)&gt;YEAR(E27),1,(12-MONTH(E27)+1)/12))) + (Q27)*(IF((YEAR(D27)+20)&lt;YEAR(E27),0,IF((YEAR(D27)+20)&gt;YEAR(E27),1,(12-MONTH(E27)+1)/12))))-((P27)*(IF((YEAR(D27)+20)&lt;YEAR(E27),0,IF((YEAR(D27)+20)&gt;YEAR(E27),1,(12-MONTH(E27)+1)/12))) + (R27)*(IF((YEAR(D27)+20)&lt;YEAR(E27),0,IF((YEAR(D27)+20)&gt;YEAR(E27),1,(12-MONTH(E27)+1)/12))))-(IF(OR(N27="",N27&lt;=0),0,(O27/N27)*(IF(OR(N27="",N27&lt;=0),0,IF((YEAR(D27)+20)&lt;YEAR(E27),0,IF((YEAR(D27)+20)&gt;=YEAR(E27)+N27,0,IF((YEAR(D27)+20)=YEAR(E27),(12-MONTH(E27)+1)/12,1))))))))&gt;0,(((K27)*(IF(M27="",L27,IFERROR(IF(INDEX(Variablen!$I:$AT, MATCH(M27, Variablen!$A:$A, 0), MATCH((YEAR(D27)+20), Variablen!$I$3:$AT$3, 0))="",L27,INDEX(Variablen!$I:$AT, MATCH(M27, Variablen!$A:$A, 0), MATCH((YEAR(D27)+20), Variablen!$I$3:$AT$3, 0))),L27)))*(IF((YEAR(D27)+20)&lt;YEAR(E27),0,IF((YEAR(D27)+20)&gt;YEAR(E27),1,(12-MONTH(E27)+1)/12))) + (Q27)*(IF((YEAR(D27)+20)&lt;YEAR(E27),0,IF((YEAR(D27)+20)&gt;YEAR(E27),1,(12-MONTH(E27)+1)/12))))-((P27)*(IF((YEAR(D27)+20)&lt;YEAR(E27),0,IF((YEAR(D27)+20)&gt;YEAR(E27),1,(12-MONTH(E27)+1)/12))) + (R27)*(IF((YEAR(D27)+20)&lt;YEAR(E27),0,IF((YEAR(D27)+20)&gt;YEAR(E27),1,(12-MONTH(E27)+1)/12))))-(IF(OR(N27="",N27&lt;=0),0,(O27/N27)*(IF(OR(N27="",N27&lt;=0),0,IF((YEAR(D27)+20)&lt;YEAR(E27),0,IF((YEAR(D27)+20)&gt;=YEAR(E27)+N27,0,IF((YEAR(D27)+20)=YEAR(E27),(12-MONTH(E27)+1)/12,1))))))))*TaxRate,0))-IF(20=0,O27,0))</f>
        <v/>
      </c>
      <c r="AN27" s="29">
        <f>IF(A27="","",S27)</f>
        <v/>
      </c>
      <c r="AO27" s="29">
        <f>IF(A27="","",AN27+T27)</f>
        <v/>
      </c>
      <c r="AP27" s="29">
        <f>IF(A27="","",AO27+U27)</f>
        <v/>
      </c>
      <c r="AQ27" s="29">
        <f>IF(A27="","",AP27+V27)</f>
        <v/>
      </c>
      <c r="AR27" s="29">
        <f>IF(A27="","",AQ27+W27)</f>
        <v/>
      </c>
      <c r="AS27" s="29">
        <f>IF(A27="","",AR27+X27)</f>
        <v/>
      </c>
      <c r="AT27" s="29">
        <f>IF(A27="","",AS27+Y27)</f>
        <v/>
      </c>
      <c r="AU27" s="29">
        <f>IF(A27="","",AT27+Z27)</f>
        <v/>
      </c>
      <c r="AV27" s="29">
        <f>IF(A27="","",AU27+AA27)</f>
        <v/>
      </c>
      <c r="AW27" s="29">
        <f>IF(A27="","",AV27+AB27)</f>
        <v/>
      </c>
      <c r="AX27" s="29">
        <f>IF(A27="","",AW27+AC27)</f>
        <v/>
      </c>
      <c r="AY27" s="29">
        <f>IF(A27="","",AX27+AD27)</f>
        <v/>
      </c>
      <c r="AZ27" s="29">
        <f>IF(A27="","",AY27+AE27)</f>
        <v/>
      </c>
      <c r="BA27" s="29">
        <f>IF(A27="","",AZ27+AF27)</f>
        <v/>
      </c>
      <c r="BB27" s="29">
        <f>IF(A27="","",BA27+AG27)</f>
        <v/>
      </c>
      <c r="BC27" s="29">
        <f>IF(A27="","",BB27+AH27)</f>
        <v/>
      </c>
      <c r="BD27" s="29">
        <f>IF(A27="","",BC27+AI27)</f>
        <v/>
      </c>
      <c r="BE27" s="29">
        <f>IF(A27="","",BD27+AJ27)</f>
        <v/>
      </c>
      <c r="BF27" s="29">
        <f>IF(A27="","",BE27+AK27)</f>
        <v/>
      </c>
      <c r="BG27" s="29">
        <f>IF(A27="","",BF27+AL27)</f>
        <v/>
      </c>
      <c r="BH27" s="29">
        <f>IF(A27="","",BG27+AM27)</f>
        <v/>
      </c>
      <c r="BI27" s="36">
        <f>IF(A27="","",(K27)*(IF((YEAR(D27)+0)&lt;YEAR(E27),0,IF((YEAR(D27)+0)&gt;YEAR(E27),1,(12-MONTH(E27)+1)/12)))*(1/(1+DiscountRate)^0))</f>
        <v/>
      </c>
      <c r="BJ27" s="36">
        <f>IF(A27="","",(K27)*(IF((YEAR(D27)+1)&lt;YEAR(E27),0,IF((YEAR(D27)+1)&gt;YEAR(E27),1,(12-MONTH(E27)+1)/12)))*(1/(1+DiscountRate)^1))</f>
        <v/>
      </c>
      <c r="BK27" s="36">
        <f>IF(A27="","",(K27)*(IF((YEAR(D27)+2)&lt;YEAR(E27),0,IF((YEAR(D27)+2)&gt;YEAR(E27),1,(12-MONTH(E27)+1)/12)))*(1/(1+DiscountRate)^2))</f>
        <v/>
      </c>
      <c r="BL27" s="36">
        <f>IF(A27="","",(K27)*(IF((YEAR(D27)+3)&lt;YEAR(E27),0,IF((YEAR(D27)+3)&gt;YEAR(E27),1,(12-MONTH(E27)+1)/12)))*(1/(1+DiscountRate)^3))</f>
        <v/>
      </c>
      <c r="BM27" s="36">
        <f>IF(A27="","",(K27)*(IF((YEAR(D27)+4)&lt;YEAR(E27),0,IF((YEAR(D27)+4)&gt;YEAR(E27),1,(12-MONTH(E27)+1)/12)))*(1/(1+DiscountRate)^4))</f>
        <v/>
      </c>
      <c r="BN27" s="36">
        <f>IF(A27="","",(K27)*(IF((YEAR(D27)+5)&lt;YEAR(E27),0,IF((YEAR(D27)+5)&gt;YEAR(E27),1,(12-MONTH(E27)+1)/12)))*(1/(1+DiscountRate)^5))</f>
        <v/>
      </c>
      <c r="BO27" s="36">
        <f>IF(A27="","",(K27)*(IF((YEAR(D27)+6)&lt;YEAR(E27),0,IF((YEAR(D27)+6)&gt;YEAR(E27),1,(12-MONTH(E27)+1)/12)))*(1/(1+DiscountRate)^6))</f>
        <v/>
      </c>
      <c r="BP27" s="36">
        <f>IF(A27="","",(K27)*(IF((YEAR(D27)+7)&lt;YEAR(E27),0,IF((YEAR(D27)+7)&gt;YEAR(E27),1,(12-MONTH(E27)+1)/12)))*(1/(1+DiscountRate)^7))</f>
        <v/>
      </c>
      <c r="BQ27" s="36">
        <f>IF(A27="","",(K27)*(IF((YEAR(D27)+8)&lt;YEAR(E27),0,IF((YEAR(D27)+8)&gt;YEAR(E27),1,(12-MONTH(E27)+1)/12)))*(1/(1+DiscountRate)^8))</f>
        <v/>
      </c>
      <c r="BR27" s="36">
        <f>IF(A27="","",(K27)*(IF((YEAR(D27)+9)&lt;YEAR(E27),0,IF((YEAR(D27)+9)&gt;YEAR(E27),1,(12-MONTH(E27)+1)/12)))*(1/(1+DiscountRate)^9))</f>
        <v/>
      </c>
      <c r="BS27" s="36">
        <f>IF(A27="","",(K27)*(IF((YEAR(D27)+10)&lt;YEAR(E27),0,IF((YEAR(D27)+10)&gt;YEAR(E27),1,(12-MONTH(E27)+1)/12)))*(1/(1+DiscountRate)^10))</f>
        <v/>
      </c>
      <c r="BT27" s="36">
        <f>IF(A27="","",(K27)*(IF((YEAR(D27)+11)&lt;YEAR(E27),0,IF((YEAR(D27)+11)&gt;YEAR(E27),1,(12-MONTH(E27)+1)/12)))*(1/(1+DiscountRate)^11))</f>
        <v/>
      </c>
      <c r="BU27" s="36">
        <f>IF(A27="","",(K27)*(IF((YEAR(D27)+12)&lt;YEAR(E27),0,IF((YEAR(D27)+12)&gt;YEAR(E27),1,(12-MONTH(E27)+1)/12)))*(1/(1+DiscountRate)^12))</f>
        <v/>
      </c>
      <c r="BV27" s="36">
        <f>IF(A27="","",(K27)*(IF((YEAR(D27)+13)&lt;YEAR(E27),0,IF((YEAR(D27)+13)&gt;YEAR(E27),1,(12-MONTH(E27)+1)/12)))*(1/(1+DiscountRate)^13))</f>
        <v/>
      </c>
      <c r="BW27" s="36">
        <f>IF(A27="","",(K27)*(IF((YEAR(D27)+14)&lt;YEAR(E27),0,IF((YEAR(D27)+14)&gt;YEAR(E27),1,(12-MONTH(E27)+1)/12)))*(1/(1+DiscountRate)^14))</f>
        <v/>
      </c>
      <c r="BX27" s="36">
        <f>IF(A27="","",(K27)*(IF((YEAR(D27)+15)&lt;YEAR(E27),0,IF((YEAR(D27)+15)&gt;YEAR(E27),1,(12-MONTH(E27)+1)/12)))*(1/(1+DiscountRate)^15))</f>
        <v/>
      </c>
      <c r="BY27" s="36">
        <f>IF(A27="","",(K27)*(IF((YEAR(D27)+16)&lt;YEAR(E27),0,IF((YEAR(D27)+16)&gt;YEAR(E27),1,(12-MONTH(E27)+1)/12)))*(1/(1+DiscountRate)^16))</f>
        <v/>
      </c>
      <c r="BZ27" s="36">
        <f>IF(A27="","",(K27)*(IF((YEAR(D27)+17)&lt;YEAR(E27),0,IF((YEAR(D27)+17)&gt;YEAR(E27),1,(12-MONTH(E27)+1)/12)))*(1/(1+DiscountRate)^17))</f>
        <v/>
      </c>
      <c r="CA27" s="36">
        <f>IF(A27="","",(K27)*(IF((YEAR(D27)+18)&lt;YEAR(E27),0,IF((YEAR(D27)+18)&gt;YEAR(E27),1,(12-MONTH(E27)+1)/12)))*(1/(1+DiscountRate)^18))</f>
        <v/>
      </c>
      <c r="CB27" s="36">
        <f>IF(A27="","",(K27)*(IF((YEAR(D27)+19)&lt;YEAR(E27),0,IF((YEAR(D27)+19)&gt;YEAR(E27),1,(12-MONTH(E27)+1)/12)))*(1/(1+DiscountRate)^19))</f>
        <v/>
      </c>
      <c r="CC27" s="36">
        <f>IF(A27="","",(K27)*(IF((YEAR(D27)+20)&lt;YEAR(E27),0,IF((YEAR(D27)+20)&gt;YEAR(E27),1,(12-MONTH(E27)+1)/12)))*(1/(1+DiscountRate)^20))</f>
        <v/>
      </c>
      <c r="CD27" s="29">
        <f>IF(A27="","",S27/(1+DiscountRate)^0+T27/(1+DiscountRate)^1+U27/(1+DiscountRate)^2+V27/(1+DiscountRate)^3+W27/(1+DiscountRate)^4+X27/(1+DiscountRate)^5+Y27/(1+DiscountRate)^6+Z27/(1+DiscountRate)^7+AA27/(1+DiscountRate)^8+AB27/(1+DiscountRate)^9+AC27/(1+DiscountRate)^10+AD27/(1+DiscountRate)^11+AE27/(1+DiscountRate)^12+AF27/(1+DiscountRate)^13+AG27/(1+DiscountRate)^14+AH27/(1+DiscountRate)^15+AI27/(1+DiscountRate)^16+AJ27/(1+DiscountRate)^17+AK27/(1+DiscountRate)^18+AL27/(1+DiscountRate)^19+AM27/(1+DiscountRate)^20)</f>
        <v/>
      </c>
      <c r="CE27" s="37">
        <f>IF(A27="","",IFERROR(IRR(OFFSET(S27,0,0,1,MIN(HorizonYears,20)+1)),"n/a"))</f>
        <v/>
      </c>
      <c r="CF27" s="28">
        <f>IF(A27="","",IFERROR(MATCH(TRUE,OFFSET(AN27,0,0,1,MIN(HorizonYears,20)+1)&gt;=0,0)-1,"n/a"))</f>
        <v/>
      </c>
      <c r="CG27" s="36">
        <f>IF(A27="","",SUM(OFFSET(BI27,0,0,1,MIN(HorizonYears,20)+1)))</f>
        <v/>
      </c>
      <c r="CH27" s="36">
        <f>IF(A27="","",IFERROR(-CD27/CG27,"n/a"))</f>
        <v/>
      </c>
    </row>
    <row r="28">
      <c r="A28" s="6">
        <f>Actions!A26</f>
        <v/>
      </c>
      <c r="B28" s="6">
        <f>Actions!B26</f>
        <v/>
      </c>
      <c r="C28" s="6">
        <f>Actions!D26</f>
        <v/>
      </c>
      <c r="D28" s="35">
        <f>Actions!E26</f>
        <v/>
      </c>
      <c r="E28" s="35">
        <f>Actions!F26</f>
        <v/>
      </c>
      <c r="F28" s="6">
        <f>Actions!G26</f>
        <v/>
      </c>
      <c r="G28" s="6">
        <f>Actions!H26</f>
        <v/>
      </c>
      <c r="H28" s="29">
        <f>Actions!I26</f>
        <v/>
      </c>
      <c r="I28" s="6">
        <f>Actions!J26</f>
        <v/>
      </c>
      <c r="J28" s="16">
        <f>Actions!K26</f>
        <v/>
      </c>
      <c r="K28" s="16">
        <f>IF(A28="","",IF(I28="%",H28*J28,J28))</f>
        <v/>
      </c>
      <c r="L28" s="16">
        <f>Actions!L26</f>
        <v/>
      </c>
      <c r="M28" s="6">
        <f>Actions!M26</f>
        <v/>
      </c>
      <c r="N28" s="28">
        <f>Actions!N26</f>
        <v/>
      </c>
      <c r="O28" s="29">
        <f>Actions!T26</f>
        <v/>
      </c>
      <c r="P28" s="29">
        <f>Actions!Y26</f>
        <v/>
      </c>
      <c r="Q28" s="29">
        <f>Actions!Z26</f>
        <v/>
      </c>
      <c r="R28" s="29">
        <f>Actions!AA26</f>
        <v/>
      </c>
      <c r="S28" s="29">
        <f>IF(A28="","",((K28)*(IF(M28="",L28,IFERROR(IF(INDEX(Variablen!$I:$AT, MATCH(M28, Variablen!$A:$A, 0), MATCH((YEAR(D28)+0), Variablen!$I$3:$AT$3, 0))="",L28,INDEX(Variablen!$I:$AT, MATCH(M28, Variablen!$A:$A, 0), MATCH((YEAR(D28)+0), Variablen!$I$3:$AT$3, 0))),L28)))*(IF((YEAR(D28)+0)&lt;YEAR(E28),0,IF((YEAR(D28)+0)&gt;YEAR(E28),1,(12-MONTH(E28)+1)/12))) + (Q28)*(IF((YEAR(D28)+0)&lt;YEAR(E28),0,IF((YEAR(D28)+0)&gt;YEAR(E28),1,(12-MONTH(E28)+1)/12))))-((P28)*(IF((YEAR(D28)+0)&lt;YEAR(E28),0,IF((YEAR(D28)+0)&gt;YEAR(E28),1,(12-MONTH(E28)+1)/12))) + (R28)*(IF((YEAR(D28)+0)&lt;YEAR(E28),0,IF((YEAR(D28)+0)&gt;YEAR(E28),1,(12-MONTH(E28)+1)/12))))-(IF((((K28)*(IF(M28="",L28,IFERROR(IF(INDEX(Variablen!$I:$AT, MATCH(M28, Variablen!$A:$A, 0), MATCH((YEAR(D28)+0), Variablen!$I$3:$AT$3, 0))="",L28,INDEX(Variablen!$I:$AT, MATCH(M28, Variablen!$A:$A, 0), MATCH((YEAR(D28)+0), Variablen!$I$3:$AT$3, 0))),L28)))*(IF((YEAR(D28)+0)&lt;YEAR(E28),0,IF((YEAR(D28)+0)&gt;YEAR(E28),1,(12-MONTH(E28)+1)/12))) + (Q28)*(IF((YEAR(D28)+0)&lt;YEAR(E28),0,IF((YEAR(D28)+0)&gt;YEAR(E28),1,(12-MONTH(E28)+1)/12))))-((P28)*(IF((YEAR(D28)+0)&lt;YEAR(E28),0,IF((YEAR(D28)+0)&gt;YEAR(E28),1,(12-MONTH(E28)+1)/12))) + (R28)*(IF((YEAR(D28)+0)&lt;YEAR(E28),0,IF((YEAR(D28)+0)&gt;YEAR(E28),1,(12-MONTH(E28)+1)/12))))-(IF(OR(N28="",N28&lt;=0),0,(O28/N28)*(IF(OR(N28="",N28&lt;=0),0,IF((YEAR(D28)+0)&lt;YEAR(E28),0,IF((YEAR(D28)+0)&gt;=YEAR(E28)+N28,0,IF((YEAR(D28)+0)=YEAR(E28),(12-MONTH(E28)+1)/12,1))))))))&gt;0,(((K28)*(IF(M28="",L28,IFERROR(IF(INDEX(Variablen!$I:$AT, MATCH(M28, Variablen!$A:$A, 0), MATCH((YEAR(D28)+0), Variablen!$I$3:$AT$3, 0))="",L28,INDEX(Variablen!$I:$AT, MATCH(M28, Variablen!$A:$A, 0), MATCH((YEAR(D28)+0), Variablen!$I$3:$AT$3, 0))),L28)))*(IF((YEAR(D28)+0)&lt;YEAR(E28),0,IF((YEAR(D28)+0)&gt;YEAR(E28),1,(12-MONTH(E28)+1)/12))) + (Q28)*(IF((YEAR(D28)+0)&lt;YEAR(E28),0,IF((YEAR(D28)+0)&gt;YEAR(E28),1,(12-MONTH(E28)+1)/12))))-((P28)*(IF((YEAR(D28)+0)&lt;YEAR(E28),0,IF((YEAR(D28)+0)&gt;YEAR(E28),1,(12-MONTH(E28)+1)/12))) + (R28)*(IF((YEAR(D28)+0)&lt;YEAR(E28),0,IF((YEAR(D28)+0)&gt;YEAR(E28),1,(12-MONTH(E28)+1)/12))))-(IF(OR(N28="",N28&lt;=0),0,(O28/N28)*(IF(OR(N28="",N28&lt;=0),0,IF((YEAR(D28)+0)&lt;YEAR(E28),0,IF((YEAR(D28)+0)&gt;=YEAR(E28)+N28,0,IF((YEAR(D28)+0)=YEAR(E28),(12-MONTH(E28)+1)/12,1))))))))*TaxRate,0))-IF(0=0,O28,0))</f>
        <v/>
      </c>
      <c r="T28" s="29">
        <f>IF(A28="","",((K28)*(IF(M28="",L28,IFERROR(IF(INDEX(Variablen!$I:$AT, MATCH(M28, Variablen!$A:$A, 0), MATCH((YEAR(D28)+1), Variablen!$I$3:$AT$3, 0))="",L28,INDEX(Variablen!$I:$AT, MATCH(M28, Variablen!$A:$A, 0), MATCH((YEAR(D28)+1), Variablen!$I$3:$AT$3, 0))),L28)))*(IF((YEAR(D28)+1)&lt;YEAR(E28),0,IF((YEAR(D28)+1)&gt;YEAR(E28),1,(12-MONTH(E28)+1)/12))) + (Q28)*(IF((YEAR(D28)+1)&lt;YEAR(E28),0,IF((YEAR(D28)+1)&gt;YEAR(E28),1,(12-MONTH(E28)+1)/12))))-((P28)*(IF((YEAR(D28)+1)&lt;YEAR(E28),0,IF((YEAR(D28)+1)&gt;YEAR(E28),1,(12-MONTH(E28)+1)/12))) + (R28)*(IF((YEAR(D28)+1)&lt;YEAR(E28),0,IF((YEAR(D28)+1)&gt;YEAR(E28),1,(12-MONTH(E28)+1)/12))))-(IF((((K28)*(IF(M28="",L28,IFERROR(IF(INDEX(Variablen!$I:$AT, MATCH(M28, Variablen!$A:$A, 0), MATCH((YEAR(D28)+1), Variablen!$I$3:$AT$3, 0))="",L28,INDEX(Variablen!$I:$AT, MATCH(M28, Variablen!$A:$A, 0), MATCH((YEAR(D28)+1), Variablen!$I$3:$AT$3, 0))),L28)))*(IF((YEAR(D28)+1)&lt;YEAR(E28),0,IF((YEAR(D28)+1)&gt;YEAR(E28),1,(12-MONTH(E28)+1)/12))) + (Q28)*(IF((YEAR(D28)+1)&lt;YEAR(E28),0,IF((YEAR(D28)+1)&gt;YEAR(E28),1,(12-MONTH(E28)+1)/12))))-((P28)*(IF((YEAR(D28)+1)&lt;YEAR(E28),0,IF((YEAR(D28)+1)&gt;YEAR(E28),1,(12-MONTH(E28)+1)/12))) + (R28)*(IF((YEAR(D28)+1)&lt;YEAR(E28),0,IF((YEAR(D28)+1)&gt;YEAR(E28),1,(12-MONTH(E28)+1)/12))))-(IF(OR(N28="",N28&lt;=0),0,(O28/N28)*(IF(OR(N28="",N28&lt;=0),0,IF((YEAR(D28)+1)&lt;YEAR(E28),0,IF((YEAR(D28)+1)&gt;=YEAR(E28)+N28,0,IF((YEAR(D28)+1)=YEAR(E28),(12-MONTH(E28)+1)/12,1))))))))&gt;0,(((K28)*(IF(M28="",L28,IFERROR(IF(INDEX(Variablen!$I:$AT, MATCH(M28, Variablen!$A:$A, 0), MATCH((YEAR(D28)+1), Variablen!$I$3:$AT$3, 0))="",L28,INDEX(Variablen!$I:$AT, MATCH(M28, Variablen!$A:$A, 0), MATCH((YEAR(D28)+1), Variablen!$I$3:$AT$3, 0))),L28)))*(IF((YEAR(D28)+1)&lt;YEAR(E28),0,IF((YEAR(D28)+1)&gt;YEAR(E28),1,(12-MONTH(E28)+1)/12))) + (Q28)*(IF((YEAR(D28)+1)&lt;YEAR(E28),0,IF((YEAR(D28)+1)&gt;YEAR(E28),1,(12-MONTH(E28)+1)/12))))-((P28)*(IF((YEAR(D28)+1)&lt;YEAR(E28),0,IF((YEAR(D28)+1)&gt;YEAR(E28),1,(12-MONTH(E28)+1)/12))) + (R28)*(IF((YEAR(D28)+1)&lt;YEAR(E28),0,IF((YEAR(D28)+1)&gt;YEAR(E28),1,(12-MONTH(E28)+1)/12))))-(IF(OR(N28="",N28&lt;=0),0,(O28/N28)*(IF(OR(N28="",N28&lt;=0),0,IF((YEAR(D28)+1)&lt;YEAR(E28),0,IF((YEAR(D28)+1)&gt;=YEAR(E28)+N28,0,IF((YEAR(D28)+1)=YEAR(E28),(12-MONTH(E28)+1)/12,1))))))))*TaxRate,0))-IF(1=0,O28,0))</f>
        <v/>
      </c>
      <c r="U28" s="29">
        <f>IF(A28="","",((K28)*(IF(M28="",L28,IFERROR(IF(INDEX(Variablen!$I:$AT, MATCH(M28, Variablen!$A:$A, 0), MATCH((YEAR(D28)+2), Variablen!$I$3:$AT$3, 0))="",L28,INDEX(Variablen!$I:$AT, MATCH(M28, Variablen!$A:$A, 0), MATCH((YEAR(D28)+2), Variablen!$I$3:$AT$3, 0))),L28)))*(IF((YEAR(D28)+2)&lt;YEAR(E28),0,IF((YEAR(D28)+2)&gt;YEAR(E28),1,(12-MONTH(E28)+1)/12))) + (Q28)*(IF((YEAR(D28)+2)&lt;YEAR(E28),0,IF((YEAR(D28)+2)&gt;YEAR(E28),1,(12-MONTH(E28)+1)/12))))-((P28)*(IF((YEAR(D28)+2)&lt;YEAR(E28),0,IF((YEAR(D28)+2)&gt;YEAR(E28),1,(12-MONTH(E28)+1)/12))) + (R28)*(IF((YEAR(D28)+2)&lt;YEAR(E28),0,IF((YEAR(D28)+2)&gt;YEAR(E28),1,(12-MONTH(E28)+1)/12))))-(IF((((K28)*(IF(M28="",L28,IFERROR(IF(INDEX(Variablen!$I:$AT, MATCH(M28, Variablen!$A:$A, 0), MATCH((YEAR(D28)+2), Variablen!$I$3:$AT$3, 0))="",L28,INDEX(Variablen!$I:$AT, MATCH(M28, Variablen!$A:$A, 0), MATCH((YEAR(D28)+2), Variablen!$I$3:$AT$3, 0))),L28)))*(IF((YEAR(D28)+2)&lt;YEAR(E28),0,IF((YEAR(D28)+2)&gt;YEAR(E28),1,(12-MONTH(E28)+1)/12))) + (Q28)*(IF((YEAR(D28)+2)&lt;YEAR(E28),0,IF((YEAR(D28)+2)&gt;YEAR(E28),1,(12-MONTH(E28)+1)/12))))-((P28)*(IF((YEAR(D28)+2)&lt;YEAR(E28),0,IF((YEAR(D28)+2)&gt;YEAR(E28),1,(12-MONTH(E28)+1)/12))) + (R28)*(IF((YEAR(D28)+2)&lt;YEAR(E28),0,IF((YEAR(D28)+2)&gt;YEAR(E28),1,(12-MONTH(E28)+1)/12))))-(IF(OR(N28="",N28&lt;=0),0,(O28/N28)*(IF(OR(N28="",N28&lt;=0),0,IF((YEAR(D28)+2)&lt;YEAR(E28),0,IF((YEAR(D28)+2)&gt;=YEAR(E28)+N28,0,IF((YEAR(D28)+2)=YEAR(E28),(12-MONTH(E28)+1)/12,1))))))))&gt;0,(((K28)*(IF(M28="",L28,IFERROR(IF(INDEX(Variablen!$I:$AT, MATCH(M28, Variablen!$A:$A, 0), MATCH((YEAR(D28)+2), Variablen!$I$3:$AT$3, 0))="",L28,INDEX(Variablen!$I:$AT, MATCH(M28, Variablen!$A:$A, 0), MATCH((YEAR(D28)+2), Variablen!$I$3:$AT$3, 0))),L28)))*(IF((YEAR(D28)+2)&lt;YEAR(E28),0,IF((YEAR(D28)+2)&gt;YEAR(E28),1,(12-MONTH(E28)+1)/12))) + (Q28)*(IF((YEAR(D28)+2)&lt;YEAR(E28),0,IF((YEAR(D28)+2)&gt;YEAR(E28),1,(12-MONTH(E28)+1)/12))))-((P28)*(IF((YEAR(D28)+2)&lt;YEAR(E28),0,IF((YEAR(D28)+2)&gt;YEAR(E28),1,(12-MONTH(E28)+1)/12))) + (R28)*(IF((YEAR(D28)+2)&lt;YEAR(E28),0,IF((YEAR(D28)+2)&gt;YEAR(E28),1,(12-MONTH(E28)+1)/12))))-(IF(OR(N28="",N28&lt;=0),0,(O28/N28)*(IF(OR(N28="",N28&lt;=0),0,IF((YEAR(D28)+2)&lt;YEAR(E28),0,IF((YEAR(D28)+2)&gt;=YEAR(E28)+N28,0,IF((YEAR(D28)+2)=YEAR(E28),(12-MONTH(E28)+1)/12,1))))))))*TaxRate,0))-IF(2=0,O28,0))</f>
        <v/>
      </c>
      <c r="V28" s="29">
        <f>IF(A28="","",((K28)*(IF(M28="",L28,IFERROR(IF(INDEX(Variablen!$I:$AT, MATCH(M28, Variablen!$A:$A, 0), MATCH((YEAR(D28)+3), Variablen!$I$3:$AT$3, 0))="",L28,INDEX(Variablen!$I:$AT, MATCH(M28, Variablen!$A:$A, 0), MATCH((YEAR(D28)+3), Variablen!$I$3:$AT$3, 0))),L28)))*(IF((YEAR(D28)+3)&lt;YEAR(E28),0,IF((YEAR(D28)+3)&gt;YEAR(E28),1,(12-MONTH(E28)+1)/12))) + (Q28)*(IF((YEAR(D28)+3)&lt;YEAR(E28),0,IF((YEAR(D28)+3)&gt;YEAR(E28),1,(12-MONTH(E28)+1)/12))))-((P28)*(IF((YEAR(D28)+3)&lt;YEAR(E28),0,IF((YEAR(D28)+3)&gt;YEAR(E28),1,(12-MONTH(E28)+1)/12))) + (R28)*(IF((YEAR(D28)+3)&lt;YEAR(E28),0,IF((YEAR(D28)+3)&gt;YEAR(E28),1,(12-MONTH(E28)+1)/12))))-(IF((((K28)*(IF(M28="",L28,IFERROR(IF(INDEX(Variablen!$I:$AT, MATCH(M28, Variablen!$A:$A, 0), MATCH((YEAR(D28)+3), Variablen!$I$3:$AT$3, 0))="",L28,INDEX(Variablen!$I:$AT, MATCH(M28, Variablen!$A:$A, 0), MATCH((YEAR(D28)+3), Variablen!$I$3:$AT$3, 0))),L28)))*(IF((YEAR(D28)+3)&lt;YEAR(E28),0,IF((YEAR(D28)+3)&gt;YEAR(E28),1,(12-MONTH(E28)+1)/12))) + (Q28)*(IF((YEAR(D28)+3)&lt;YEAR(E28),0,IF((YEAR(D28)+3)&gt;YEAR(E28),1,(12-MONTH(E28)+1)/12))))-((P28)*(IF((YEAR(D28)+3)&lt;YEAR(E28),0,IF((YEAR(D28)+3)&gt;YEAR(E28),1,(12-MONTH(E28)+1)/12))) + (R28)*(IF((YEAR(D28)+3)&lt;YEAR(E28),0,IF((YEAR(D28)+3)&gt;YEAR(E28),1,(12-MONTH(E28)+1)/12))))-(IF(OR(N28="",N28&lt;=0),0,(O28/N28)*(IF(OR(N28="",N28&lt;=0),0,IF((YEAR(D28)+3)&lt;YEAR(E28),0,IF((YEAR(D28)+3)&gt;=YEAR(E28)+N28,0,IF((YEAR(D28)+3)=YEAR(E28),(12-MONTH(E28)+1)/12,1))))))))&gt;0,(((K28)*(IF(M28="",L28,IFERROR(IF(INDEX(Variablen!$I:$AT, MATCH(M28, Variablen!$A:$A, 0), MATCH((YEAR(D28)+3), Variablen!$I$3:$AT$3, 0))="",L28,INDEX(Variablen!$I:$AT, MATCH(M28, Variablen!$A:$A, 0), MATCH((YEAR(D28)+3), Variablen!$I$3:$AT$3, 0))),L28)))*(IF((YEAR(D28)+3)&lt;YEAR(E28),0,IF((YEAR(D28)+3)&gt;YEAR(E28),1,(12-MONTH(E28)+1)/12))) + (Q28)*(IF((YEAR(D28)+3)&lt;YEAR(E28),0,IF((YEAR(D28)+3)&gt;YEAR(E28),1,(12-MONTH(E28)+1)/12))))-((P28)*(IF((YEAR(D28)+3)&lt;YEAR(E28),0,IF((YEAR(D28)+3)&gt;YEAR(E28),1,(12-MONTH(E28)+1)/12))) + (R28)*(IF((YEAR(D28)+3)&lt;YEAR(E28),0,IF((YEAR(D28)+3)&gt;YEAR(E28),1,(12-MONTH(E28)+1)/12))))-(IF(OR(N28="",N28&lt;=0),0,(O28/N28)*(IF(OR(N28="",N28&lt;=0),0,IF((YEAR(D28)+3)&lt;YEAR(E28),0,IF((YEAR(D28)+3)&gt;=YEAR(E28)+N28,0,IF((YEAR(D28)+3)=YEAR(E28),(12-MONTH(E28)+1)/12,1))))))))*TaxRate,0))-IF(3=0,O28,0))</f>
        <v/>
      </c>
      <c r="W28" s="29">
        <f>IF(A28="","",((K28)*(IF(M28="",L28,IFERROR(IF(INDEX(Variablen!$I:$AT, MATCH(M28, Variablen!$A:$A, 0), MATCH((YEAR(D28)+4), Variablen!$I$3:$AT$3, 0))="",L28,INDEX(Variablen!$I:$AT, MATCH(M28, Variablen!$A:$A, 0), MATCH((YEAR(D28)+4), Variablen!$I$3:$AT$3, 0))),L28)))*(IF((YEAR(D28)+4)&lt;YEAR(E28),0,IF((YEAR(D28)+4)&gt;YEAR(E28),1,(12-MONTH(E28)+1)/12))) + (Q28)*(IF((YEAR(D28)+4)&lt;YEAR(E28),0,IF((YEAR(D28)+4)&gt;YEAR(E28),1,(12-MONTH(E28)+1)/12))))-((P28)*(IF((YEAR(D28)+4)&lt;YEAR(E28),0,IF((YEAR(D28)+4)&gt;YEAR(E28),1,(12-MONTH(E28)+1)/12))) + (R28)*(IF((YEAR(D28)+4)&lt;YEAR(E28),0,IF((YEAR(D28)+4)&gt;YEAR(E28),1,(12-MONTH(E28)+1)/12))))-(IF((((K28)*(IF(M28="",L28,IFERROR(IF(INDEX(Variablen!$I:$AT, MATCH(M28, Variablen!$A:$A, 0), MATCH((YEAR(D28)+4), Variablen!$I$3:$AT$3, 0))="",L28,INDEX(Variablen!$I:$AT, MATCH(M28, Variablen!$A:$A, 0), MATCH((YEAR(D28)+4), Variablen!$I$3:$AT$3, 0))),L28)))*(IF((YEAR(D28)+4)&lt;YEAR(E28),0,IF((YEAR(D28)+4)&gt;YEAR(E28),1,(12-MONTH(E28)+1)/12))) + (Q28)*(IF((YEAR(D28)+4)&lt;YEAR(E28),0,IF((YEAR(D28)+4)&gt;YEAR(E28),1,(12-MONTH(E28)+1)/12))))-((P28)*(IF((YEAR(D28)+4)&lt;YEAR(E28),0,IF((YEAR(D28)+4)&gt;YEAR(E28),1,(12-MONTH(E28)+1)/12))) + (R28)*(IF((YEAR(D28)+4)&lt;YEAR(E28),0,IF((YEAR(D28)+4)&gt;YEAR(E28),1,(12-MONTH(E28)+1)/12))))-(IF(OR(N28="",N28&lt;=0),0,(O28/N28)*(IF(OR(N28="",N28&lt;=0),0,IF((YEAR(D28)+4)&lt;YEAR(E28),0,IF((YEAR(D28)+4)&gt;=YEAR(E28)+N28,0,IF((YEAR(D28)+4)=YEAR(E28),(12-MONTH(E28)+1)/12,1))))))))&gt;0,(((K28)*(IF(M28="",L28,IFERROR(IF(INDEX(Variablen!$I:$AT, MATCH(M28, Variablen!$A:$A, 0), MATCH((YEAR(D28)+4), Variablen!$I$3:$AT$3, 0))="",L28,INDEX(Variablen!$I:$AT, MATCH(M28, Variablen!$A:$A, 0), MATCH((YEAR(D28)+4), Variablen!$I$3:$AT$3, 0))),L28)))*(IF((YEAR(D28)+4)&lt;YEAR(E28),0,IF((YEAR(D28)+4)&gt;YEAR(E28),1,(12-MONTH(E28)+1)/12))) + (Q28)*(IF((YEAR(D28)+4)&lt;YEAR(E28),0,IF((YEAR(D28)+4)&gt;YEAR(E28),1,(12-MONTH(E28)+1)/12))))-((P28)*(IF((YEAR(D28)+4)&lt;YEAR(E28),0,IF((YEAR(D28)+4)&gt;YEAR(E28),1,(12-MONTH(E28)+1)/12))) + (R28)*(IF((YEAR(D28)+4)&lt;YEAR(E28),0,IF((YEAR(D28)+4)&gt;YEAR(E28),1,(12-MONTH(E28)+1)/12))))-(IF(OR(N28="",N28&lt;=0),0,(O28/N28)*(IF(OR(N28="",N28&lt;=0),0,IF((YEAR(D28)+4)&lt;YEAR(E28),0,IF((YEAR(D28)+4)&gt;=YEAR(E28)+N28,0,IF((YEAR(D28)+4)=YEAR(E28),(12-MONTH(E28)+1)/12,1))))))))*TaxRate,0))-IF(4=0,O28,0))</f>
        <v/>
      </c>
      <c r="X28" s="29">
        <f>IF(A28="","",((K28)*(IF(M28="",L28,IFERROR(IF(INDEX(Variablen!$I:$AT, MATCH(M28, Variablen!$A:$A, 0), MATCH((YEAR(D28)+5), Variablen!$I$3:$AT$3, 0))="",L28,INDEX(Variablen!$I:$AT, MATCH(M28, Variablen!$A:$A, 0), MATCH((YEAR(D28)+5), Variablen!$I$3:$AT$3, 0))),L28)))*(IF((YEAR(D28)+5)&lt;YEAR(E28),0,IF((YEAR(D28)+5)&gt;YEAR(E28),1,(12-MONTH(E28)+1)/12))) + (Q28)*(IF((YEAR(D28)+5)&lt;YEAR(E28),0,IF((YEAR(D28)+5)&gt;YEAR(E28),1,(12-MONTH(E28)+1)/12))))-((P28)*(IF((YEAR(D28)+5)&lt;YEAR(E28),0,IF((YEAR(D28)+5)&gt;YEAR(E28),1,(12-MONTH(E28)+1)/12))) + (R28)*(IF((YEAR(D28)+5)&lt;YEAR(E28),0,IF((YEAR(D28)+5)&gt;YEAR(E28),1,(12-MONTH(E28)+1)/12))))-(IF((((K28)*(IF(M28="",L28,IFERROR(IF(INDEX(Variablen!$I:$AT, MATCH(M28, Variablen!$A:$A, 0), MATCH((YEAR(D28)+5), Variablen!$I$3:$AT$3, 0))="",L28,INDEX(Variablen!$I:$AT, MATCH(M28, Variablen!$A:$A, 0), MATCH((YEAR(D28)+5), Variablen!$I$3:$AT$3, 0))),L28)))*(IF((YEAR(D28)+5)&lt;YEAR(E28),0,IF((YEAR(D28)+5)&gt;YEAR(E28),1,(12-MONTH(E28)+1)/12))) + (Q28)*(IF((YEAR(D28)+5)&lt;YEAR(E28),0,IF((YEAR(D28)+5)&gt;YEAR(E28),1,(12-MONTH(E28)+1)/12))))-((P28)*(IF((YEAR(D28)+5)&lt;YEAR(E28),0,IF((YEAR(D28)+5)&gt;YEAR(E28),1,(12-MONTH(E28)+1)/12))) + (R28)*(IF((YEAR(D28)+5)&lt;YEAR(E28),0,IF((YEAR(D28)+5)&gt;YEAR(E28),1,(12-MONTH(E28)+1)/12))))-(IF(OR(N28="",N28&lt;=0),0,(O28/N28)*(IF(OR(N28="",N28&lt;=0),0,IF((YEAR(D28)+5)&lt;YEAR(E28),0,IF((YEAR(D28)+5)&gt;=YEAR(E28)+N28,0,IF((YEAR(D28)+5)=YEAR(E28),(12-MONTH(E28)+1)/12,1))))))))&gt;0,(((K28)*(IF(M28="",L28,IFERROR(IF(INDEX(Variablen!$I:$AT, MATCH(M28, Variablen!$A:$A, 0), MATCH((YEAR(D28)+5), Variablen!$I$3:$AT$3, 0))="",L28,INDEX(Variablen!$I:$AT, MATCH(M28, Variablen!$A:$A, 0), MATCH((YEAR(D28)+5), Variablen!$I$3:$AT$3, 0))),L28)))*(IF((YEAR(D28)+5)&lt;YEAR(E28),0,IF((YEAR(D28)+5)&gt;YEAR(E28),1,(12-MONTH(E28)+1)/12))) + (Q28)*(IF((YEAR(D28)+5)&lt;YEAR(E28),0,IF((YEAR(D28)+5)&gt;YEAR(E28),1,(12-MONTH(E28)+1)/12))))-((P28)*(IF((YEAR(D28)+5)&lt;YEAR(E28),0,IF((YEAR(D28)+5)&gt;YEAR(E28),1,(12-MONTH(E28)+1)/12))) + (R28)*(IF((YEAR(D28)+5)&lt;YEAR(E28),0,IF((YEAR(D28)+5)&gt;YEAR(E28),1,(12-MONTH(E28)+1)/12))))-(IF(OR(N28="",N28&lt;=0),0,(O28/N28)*(IF(OR(N28="",N28&lt;=0),0,IF((YEAR(D28)+5)&lt;YEAR(E28),0,IF((YEAR(D28)+5)&gt;=YEAR(E28)+N28,0,IF((YEAR(D28)+5)=YEAR(E28),(12-MONTH(E28)+1)/12,1))))))))*TaxRate,0))-IF(5=0,O28,0))</f>
        <v/>
      </c>
      <c r="Y28" s="29">
        <f>IF(A28="","",((K28)*(IF(M28="",L28,IFERROR(IF(INDEX(Variablen!$I:$AT, MATCH(M28, Variablen!$A:$A, 0), MATCH((YEAR(D28)+6), Variablen!$I$3:$AT$3, 0))="",L28,INDEX(Variablen!$I:$AT, MATCH(M28, Variablen!$A:$A, 0), MATCH((YEAR(D28)+6), Variablen!$I$3:$AT$3, 0))),L28)))*(IF((YEAR(D28)+6)&lt;YEAR(E28),0,IF((YEAR(D28)+6)&gt;YEAR(E28),1,(12-MONTH(E28)+1)/12))) + (Q28)*(IF((YEAR(D28)+6)&lt;YEAR(E28),0,IF((YEAR(D28)+6)&gt;YEAR(E28),1,(12-MONTH(E28)+1)/12))))-((P28)*(IF((YEAR(D28)+6)&lt;YEAR(E28),0,IF((YEAR(D28)+6)&gt;YEAR(E28),1,(12-MONTH(E28)+1)/12))) + (R28)*(IF((YEAR(D28)+6)&lt;YEAR(E28),0,IF((YEAR(D28)+6)&gt;YEAR(E28),1,(12-MONTH(E28)+1)/12))))-(IF((((K28)*(IF(M28="",L28,IFERROR(IF(INDEX(Variablen!$I:$AT, MATCH(M28, Variablen!$A:$A, 0), MATCH((YEAR(D28)+6), Variablen!$I$3:$AT$3, 0))="",L28,INDEX(Variablen!$I:$AT, MATCH(M28, Variablen!$A:$A, 0), MATCH((YEAR(D28)+6), Variablen!$I$3:$AT$3, 0))),L28)))*(IF((YEAR(D28)+6)&lt;YEAR(E28),0,IF((YEAR(D28)+6)&gt;YEAR(E28),1,(12-MONTH(E28)+1)/12))) + (Q28)*(IF((YEAR(D28)+6)&lt;YEAR(E28),0,IF((YEAR(D28)+6)&gt;YEAR(E28),1,(12-MONTH(E28)+1)/12))))-((P28)*(IF((YEAR(D28)+6)&lt;YEAR(E28),0,IF((YEAR(D28)+6)&gt;YEAR(E28),1,(12-MONTH(E28)+1)/12))) + (R28)*(IF((YEAR(D28)+6)&lt;YEAR(E28),0,IF((YEAR(D28)+6)&gt;YEAR(E28),1,(12-MONTH(E28)+1)/12))))-(IF(OR(N28="",N28&lt;=0),0,(O28/N28)*(IF(OR(N28="",N28&lt;=0),0,IF((YEAR(D28)+6)&lt;YEAR(E28),0,IF((YEAR(D28)+6)&gt;=YEAR(E28)+N28,0,IF((YEAR(D28)+6)=YEAR(E28),(12-MONTH(E28)+1)/12,1))))))))&gt;0,(((K28)*(IF(M28="",L28,IFERROR(IF(INDEX(Variablen!$I:$AT, MATCH(M28, Variablen!$A:$A, 0), MATCH((YEAR(D28)+6), Variablen!$I$3:$AT$3, 0))="",L28,INDEX(Variablen!$I:$AT, MATCH(M28, Variablen!$A:$A, 0), MATCH((YEAR(D28)+6), Variablen!$I$3:$AT$3, 0))),L28)))*(IF((YEAR(D28)+6)&lt;YEAR(E28),0,IF((YEAR(D28)+6)&gt;YEAR(E28),1,(12-MONTH(E28)+1)/12))) + (Q28)*(IF((YEAR(D28)+6)&lt;YEAR(E28),0,IF((YEAR(D28)+6)&gt;YEAR(E28),1,(12-MONTH(E28)+1)/12))))-((P28)*(IF((YEAR(D28)+6)&lt;YEAR(E28),0,IF((YEAR(D28)+6)&gt;YEAR(E28),1,(12-MONTH(E28)+1)/12))) + (R28)*(IF((YEAR(D28)+6)&lt;YEAR(E28),0,IF((YEAR(D28)+6)&gt;YEAR(E28),1,(12-MONTH(E28)+1)/12))))-(IF(OR(N28="",N28&lt;=0),0,(O28/N28)*(IF(OR(N28="",N28&lt;=0),0,IF((YEAR(D28)+6)&lt;YEAR(E28),0,IF((YEAR(D28)+6)&gt;=YEAR(E28)+N28,0,IF((YEAR(D28)+6)=YEAR(E28),(12-MONTH(E28)+1)/12,1))))))))*TaxRate,0))-IF(6=0,O28,0))</f>
        <v/>
      </c>
      <c r="Z28" s="29">
        <f>IF(A28="","",((K28)*(IF(M28="",L28,IFERROR(IF(INDEX(Variablen!$I:$AT, MATCH(M28, Variablen!$A:$A, 0), MATCH((YEAR(D28)+7), Variablen!$I$3:$AT$3, 0))="",L28,INDEX(Variablen!$I:$AT, MATCH(M28, Variablen!$A:$A, 0), MATCH((YEAR(D28)+7), Variablen!$I$3:$AT$3, 0))),L28)))*(IF((YEAR(D28)+7)&lt;YEAR(E28),0,IF((YEAR(D28)+7)&gt;YEAR(E28),1,(12-MONTH(E28)+1)/12))) + (Q28)*(IF((YEAR(D28)+7)&lt;YEAR(E28),0,IF((YEAR(D28)+7)&gt;YEAR(E28),1,(12-MONTH(E28)+1)/12))))-((P28)*(IF((YEAR(D28)+7)&lt;YEAR(E28),0,IF((YEAR(D28)+7)&gt;YEAR(E28),1,(12-MONTH(E28)+1)/12))) + (R28)*(IF((YEAR(D28)+7)&lt;YEAR(E28),0,IF((YEAR(D28)+7)&gt;YEAR(E28),1,(12-MONTH(E28)+1)/12))))-(IF((((K28)*(IF(M28="",L28,IFERROR(IF(INDEX(Variablen!$I:$AT, MATCH(M28, Variablen!$A:$A, 0), MATCH((YEAR(D28)+7), Variablen!$I$3:$AT$3, 0))="",L28,INDEX(Variablen!$I:$AT, MATCH(M28, Variablen!$A:$A, 0), MATCH((YEAR(D28)+7), Variablen!$I$3:$AT$3, 0))),L28)))*(IF((YEAR(D28)+7)&lt;YEAR(E28),0,IF((YEAR(D28)+7)&gt;YEAR(E28),1,(12-MONTH(E28)+1)/12))) + (Q28)*(IF((YEAR(D28)+7)&lt;YEAR(E28),0,IF((YEAR(D28)+7)&gt;YEAR(E28),1,(12-MONTH(E28)+1)/12))))-((P28)*(IF((YEAR(D28)+7)&lt;YEAR(E28),0,IF((YEAR(D28)+7)&gt;YEAR(E28),1,(12-MONTH(E28)+1)/12))) + (R28)*(IF((YEAR(D28)+7)&lt;YEAR(E28),0,IF((YEAR(D28)+7)&gt;YEAR(E28),1,(12-MONTH(E28)+1)/12))))-(IF(OR(N28="",N28&lt;=0),0,(O28/N28)*(IF(OR(N28="",N28&lt;=0),0,IF((YEAR(D28)+7)&lt;YEAR(E28),0,IF((YEAR(D28)+7)&gt;=YEAR(E28)+N28,0,IF((YEAR(D28)+7)=YEAR(E28),(12-MONTH(E28)+1)/12,1))))))))&gt;0,(((K28)*(IF(M28="",L28,IFERROR(IF(INDEX(Variablen!$I:$AT, MATCH(M28, Variablen!$A:$A, 0), MATCH((YEAR(D28)+7), Variablen!$I$3:$AT$3, 0))="",L28,INDEX(Variablen!$I:$AT, MATCH(M28, Variablen!$A:$A, 0), MATCH((YEAR(D28)+7), Variablen!$I$3:$AT$3, 0))),L28)))*(IF((YEAR(D28)+7)&lt;YEAR(E28),0,IF((YEAR(D28)+7)&gt;YEAR(E28),1,(12-MONTH(E28)+1)/12))) + (Q28)*(IF((YEAR(D28)+7)&lt;YEAR(E28),0,IF((YEAR(D28)+7)&gt;YEAR(E28),1,(12-MONTH(E28)+1)/12))))-((P28)*(IF((YEAR(D28)+7)&lt;YEAR(E28),0,IF((YEAR(D28)+7)&gt;YEAR(E28),1,(12-MONTH(E28)+1)/12))) + (R28)*(IF((YEAR(D28)+7)&lt;YEAR(E28),0,IF((YEAR(D28)+7)&gt;YEAR(E28),1,(12-MONTH(E28)+1)/12))))-(IF(OR(N28="",N28&lt;=0),0,(O28/N28)*(IF(OR(N28="",N28&lt;=0),0,IF((YEAR(D28)+7)&lt;YEAR(E28),0,IF((YEAR(D28)+7)&gt;=YEAR(E28)+N28,0,IF((YEAR(D28)+7)=YEAR(E28),(12-MONTH(E28)+1)/12,1))))))))*TaxRate,0))-IF(7=0,O28,0))</f>
        <v/>
      </c>
      <c r="AA28" s="29">
        <f>IF(A28="","",((K28)*(IF(M28="",L28,IFERROR(IF(INDEX(Variablen!$I:$AT, MATCH(M28, Variablen!$A:$A, 0), MATCH((YEAR(D28)+8), Variablen!$I$3:$AT$3, 0))="",L28,INDEX(Variablen!$I:$AT, MATCH(M28, Variablen!$A:$A, 0), MATCH((YEAR(D28)+8), Variablen!$I$3:$AT$3, 0))),L28)))*(IF((YEAR(D28)+8)&lt;YEAR(E28),0,IF((YEAR(D28)+8)&gt;YEAR(E28),1,(12-MONTH(E28)+1)/12))) + (Q28)*(IF((YEAR(D28)+8)&lt;YEAR(E28),0,IF((YEAR(D28)+8)&gt;YEAR(E28),1,(12-MONTH(E28)+1)/12))))-((P28)*(IF((YEAR(D28)+8)&lt;YEAR(E28),0,IF((YEAR(D28)+8)&gt;YEAR(E28),1,(12-MONTH(E28)+1)/12))) + (R28)*(IF((YEAR(D28)+8)&lt;YEAR(E28),0,IF((YEAR(D28)+8)&gt;YEAR(E28),1,(12-MONTH(E28)+1)/12))))-(IF((((K28)*(IF(M28="",L28,IFERROR(IF(INDEX(Variablen!$I:$AT, MATCH(M28, Variablen!$A:$A, 0), MATCH((YEAR(D28)+8), Variablen!$I$3:$AT$3, 0))="",L28,INDEX(Variablen!$I:$AT, MATCH(M28, Variablen!$A:$A, 0), MATCH((YEAR(D28)+8), Variablen!$I$3:$AT$3, 0))),L28)))*(IF((YEAR(D28)+8)&lt;YEAR(E28),0,IF((YEAR(D28)+8)&gt;YEAR(E28),1,(12-MONTH(E28)+1)/12))) + (Q28)*(IF((YEAR(D28)+8)&lt;YEAR(E28),0,IF((YEAR(D28)+8)&gt;YEAR(E28),1,(12-MONTH(E28)+1)/12))))-((P28)*(IF((YEAR(D28)+8)&lt;YEAR(E28),0,IF((YEAR(D28)+8)&gt;YEAR(E28),1,(12-MONTH(E28)+1)/12))) + (R28)*(IF((YEAR(D28)+8)&lt;YEAR(E28),0,IF((YEAR(D28)+8)&gt;YEAR(E28),1,(12-MONTH(E28)+1)/12))))-(IF(OR(N28="",N28&lt;=0),0,(O28/N28)*(IF(OR(N28="",N28&lt;=0),0,IF((YEAR(D28)+8)&lt;YEAR(E28),0,IF((YEAR(D28)+8)&gt;=YEAR(E28)+N28,0,IF((YEAR(D28)+8)=YEAR(E28),(12-MONTH(E28)+1)/12,1))))))))&gt;0,(((K28)*(IF(M28="",L28,IFERROR(IF(INDEX(Variablen!$I:$AT, MATCH(M28, Variablen!$A:$A, 0), MATCH((YEAR(D28)+8), Variablen!$I$3:$AT$3, 0))="",L28,INDEX(Variablen!$I:$AT, MATCH(M28, Variablen!$A:$A, 0), MATCH((YEAR(D28)+8), Variablen!$I$3:$AT$3, 0))),L28)))*(IF((YEAR(D28)+8)&lt;YEAR(E28),0,IF((YEAR(D28)+8)&gt;YEAR(E28),1,(12-MONTH(E28)+1)/12))) + (Q28)*(IF((YEAR(D28)+8)&lt;YEAR(E28),0,IF((YEAR(D28)+8)&gt;YEAR(E28),1,(12-MONTH(E28)+1)/12))))-((P28)*(IF((YEAR(D28)+8)&lt;YEAR(E28),0,IF((YEAR(D28)+8)&gt;YEAR(E28),1,(12-MONTH(E28)+1)/12))) + (R28)*(IF((YEAR(D28)+8)&lt;YEAR(E28),0,IF((YEAR(D28)+8)&gt;YEAR(E28),1,(12-MONTH(E28)+1)/12))))-(IF(OR(N28="",N28&lt;=0),0,(O28/N28)*(IF(OR(N28="",N28&lt;=0),0,IF((YEAR(D28)+8)&lt;YEAR(E28),0,IF((YEAR(D28)+8)&gt;=YEAR(E28)+N28,0,IF((YEAR(D28)+8)=YEAR(E28),(12-MONTH(E28)+1)/12,1))))))))*TaxRate,0))-IF(8=0,O28,0))</f>
        <v/>
      </c>
      <c r="AB28" s="29">
        <f>IF(A28="","",((K28)*(IF(M28="",L28,IFERROR(IF(INDEX(Variablen!$I:$AT, MATCH(M28, Variablen!$A:$A, 0), MATCH((YEAR(D28)+9), Variablen!$I$3:$AT$3, 0))="",L28,INDEX(Variablen!$I:$AT, MATCH(M28, Variablen!$A:$A, 0), MATCH((YEAR(D28)+9), Variablen!$I$3:$AT$3, 0))),L28)))*(IF((YEAR(D28)+9)&lt;YEAR(E28),0,IF((YEAR(D28)+9)&gt;YEAR(E28),1,(12-MONTH(E28)+1)/12))) + (Q28)*(IF((YEAR(D28)+9)&lt;YEAR(E28),0,IF((YEAR(D28)+9)&gt;YEAR(E28),1,(12-MONTH(E28)+1)/12))))-((P28)*(IF((YEAR(D28)+9)&lt;YEAR(E28),0,IF((YEAR(D28)+9)&gt;YEAR(E28),1,(12-MONTH(E28)+1)/12))) + (R28)*(IF((YEAR(D28)+9)&lt;YEAR(E28),0,IF((YEAR(D28)+9)&gt;YEAR(E28),1,(12-MONTH(E28)+1)/12))))-(IF((((K28)*(IF(M28="",L28,IFERROR(IF(INDEX(Variablen!$I:$AT, MATCH(M28, Variablen!$A:$A, 0), MATCH((YEAR(D28)+9), Variablen!$I$3:$AT$3, 0))="",L28,INDEX(Variablen!$I:$AT, MATCH(M28, Variablen!$A:$A, 0), MATCH((YEAR(D28)+9), Variablen!$I$3:$AT$3, 0))),L28)))*(IF((YEAR(D28)+9)&lt;YEAR(E28),0,IF((YEAR(D28)+9)&gt;YEAR(E28),1,(12-MONTH(E28)+1)/12))) + (Q28)*(IF((YEAR(D28)+9)&lt;YEAR(E28),0,IF((YEAR(D28)+9)&gt;YEAR(E28),1,(12-MONTH(E28)+1)/12))))-((P28)*(IF((YEAR(D28)+9)&lt;YEAR(E28),0,IF((YEAR(D28)+9)&gt;YEAR(E28),1,(12-MONTH(E28)+1)/12))) + (R28)*(IF((YEAR(D28)+9)&lt;YEAR(E28),0,IF((YEAR(D28)+9)&gt;YEAR(E28),1,(12-MONTH(E28)+1)/12))))-(IF(OR(N28="",N28&lt;=0),0,(O28/N28)*(IF(OR(N28="",N28&lt;=0),0,IF((YEAR(D28)+9)&lt;YEAR(E28),0,IF((YEAR(D28)+9)&gt;=YEAR(E28)+N28,0,IF((YEAR(D28)+9)=YEAR(E28),(12-MONTH(E28)+1)/12,1))))))))&gt;0,(((K28)*(IF(M28="",L28,IFERROR(IF(INDEX(Variablen!$I:$AT, MATCH(M28, Variablen!$A:$A, 0), MATCH((YEAR(D28)+9), Variablen!$I$3:$AT$3, 0))="",L28,INDEX(Variablen!$I:$AT, MATCH(M28, Variablen!$A:$A, 0), MATCH((YEAR(D28)+9), Variablen!$I$3:$AT$3, 0))),L28)))*(IF((YEAR(D28)+9)&lt;YEAR(E28),0,IF((YEAR(D28)+9)&gt;YEAR(E28),1,(12-MONTH(E28)+1)/12))) + (Q28)*(IF((YEAR(D28)+9)&lt;YEAR(E28),0,IF((YEAR(D28)+9)&gt;YEAR(E28),1,(12-MONTH(E28)+1)/12))))-((P28)*(IF((YEAR(D28)+9)&lt;YEAR(E28),0,IF((YEAR(D28)+9)&gt;YEAR(E28),1,(12-MONTH(E28)+1)/12))) + (R28)*(IF((YEAR(D28)+9)&lt;YEAR(E28),0,IF((YEAR(D28)+9)&gt;YEAR(E28),1,(12-MONTH(E28)+1)/12))))-(IF(OR(N28="",N28&lt;=0),0,(O28/N28)*(IF(OR(N28="",N28&lt;=0),0,IF((YEAR(D28)+9)&lt;YEAR(E28),0,IF((YEAR(D28)+9)&gt;=YEAR(E28)+N28,0,IF((YEAR(D28)+9)=YEAR(E28),(12-MONTH(E28)+1)/12,1))))))))*TaxRate,0))-IF(9=0,O28,0))</f>
        <v/>
      </c>
      <c r="AC28" s="29">
        <f>IF(A28="","",((K28)*(IF(M28="",L28,IFERROR(IF(INDEX(Variablen!$I:$AT, MATCH(M28, Variablen!$A:$A, 0), MATCH((YEAR(D28)+10), Variablen!$I$3:$AT$3, 0))="",L28,INDEX(Variablen!$I:$AT, MATCH(M28, Variablen!$A:$A, 0), MATCH((YEAR(D28)+10), Variablen!$I$3:$AT$3, 0))),L28)))*(IF((YEAR(D28)+10)&lt;YEAR(E28),0,IF((YEAR(D28)+10)&gt;YEAR(E28),1,(12-MONTH(E28)+1)/12))) + (Q28)*(IF((YEAR(D28)+10)&lt;YEAR(E28),0,IF((YEAR(D28)+10)&gt;YEAR(E28),1,(12-MONTH(E28)+1)/12))))-((P28)*(IF((YEAR(D28)+10)&lt;YEAR(E28),0,IF((YEAR(D28)+10)&gt;YEAR(E28),1,(12-MONTH(E28)+1)/12))) + (R28)*(IF((YEAR(D28)+10)&lt;YEAR(E28),0,IF((YEAR(D28)+10)&gt;YEAR(E28),1,(12-MONTH(E28)+1)/12))))-(IF((((K28)*(IF(M28="",L28,IFERROR(IF(INDEX(Variablen!$I:$AT, MATCH(M28, Variablen!$A:$A, 0), MATCH((YEAR(D28)+10), Variablen!$I$3:$AT$3, 0))="",L28,INDEX(Variablen!$I:$AT, MATCH(M28, Variablen!$A:$A, 0), MATCH((YEAR(D28)+10), Variablen!$I$3:$AT$3, 0))),L28)))*(IF((YEAR(D28)+10)&lt;YEAR(E28),0,IF((YEAR(D28)+10)&gt;YEAR(E28),1,(12-MONTH(E28)+1)/12))) + (Q28)*(IF((YEAR(D28)+10)&lt;YEAR(E28),0,IF((YEAR(D28)+10)&gt;YEAR(E28),1,(12-MONTH(E28)+1)/12))))-((P28)*(IF((YEAR(D28)+10)&lt;YEAR(E28),0,IF((YEAR(D28)+10)&gt;YEAR(E28),1,(12-MONTH(E28)+1)/12))) + (R28)*(IF((YEAR(D28)+10)&lt;YEAR(E28),0,IF((YEAR(D28)+10)&gt;YEAR(E28),1,(12-MONTH(E28)+1)/12))))-(IF(OR(N28="",N28&lt;=0),0,(O28/N28)*(IF(OR(N28="",N28&lt;=0),0,IF((YEAR(D28)+10)&lt;YEAR(E28),0,IF((YEAR(D28)+10)&gt;=YEAR(E28)+N28,0,IF((YEAR(D28)+10)=YEAR(E28),(12-MONTH(E28)+1)/12,1))))))))&gt;0,(((K28)*(IF(M28="",L28,IFERROR(IF(INDEX(Variablen!$I:$AT, MATCH(M28, Variablen!$A:$A, 0), MATCH((YEAR(D28)+10), Variablen!$I$3:$AT$3, 0))="",L28,INDEX(Variablen!$I:$AT, MATCH(M28, Variablen!$A:$A, 0), MATCH((YEAR(D28)+10), Variablen!$I$3:$AT$3, 0))),L28)))*(IF((YEAR(D28)+10)&lt;YEAR(E28),0,IF((YEAR(D28)+10)&gt;YEAR(E28),1,(12-MONTH(E28)+1)/12))) + (Q28)*(IF((YEAR(D28)+10)&lt;YEAR(E28),0,IF((YEAR(D28)+10)&gt;YEAR(E28),1,(12-MONTH(E28)+1)/12))))-((P28)*(IF((YEAR(D28)+10)&lt;YEAR(E28),0,IF((YEAR(D28)+10)&gt;YEAR(E28),1,(12-MONTH(E28)+1)/12))) + (R28)*(IF((YEAR(D28)+10)&lt;YEAR(E28),0,IF((YEAR(D28)+10)&gt;YEAR(E28),1,(12-MONTH(E28)+1)/12))))-(IF(OR(N28="",N28&lt;=0),0,(O28/N28)*(IF(OR(N28="",N28&lt;=0),0,IF((YEAR(D28)+10)&lt;YEAR(E28),0,IF((YEAR(D28)+10)&gt;=YEAR(E28)+N28,0,IF((YEAR(D28)+10)=YEAR(E28),(12-MONTH(E28)+1)/12,1))))))))*TaxRate,0))-IF(10=0,O28,0))</f>
        <v/>
      </c>
      <c r="AD28" s="29">
        <f>IF(A28="","",((K28)*(IF(M28="",L28,IFERROR(IF(INDEX(Variablen!$I:$AT, MATCH(M28, Variablen!$A:$A, 0), MATCH((YEAR(D28)+11), Variablen!$I$3:$AT$3, 0))="",L28,INDEX(Variablen!$I:$AT, MATCH(M28, Variablen!$A:$A, 0), MATCH((YEAR(D28)+11), Variablen!$I$3:$AT$3, 0))),L28)))*(IF((YEAR(D28)+11)&lt;YEAR(E28),0,IF((YEAR(D28)+11)&gt;YEAR(E28),1,(12-MONTH(E28)+1)/12))) + (Q28)*(IF((YEAR(D28)+11)&lt;YEAR(E28),0,IF((YEAR(D28)+11)&gt;YEAR(E28),1,(12-MONTH(E28)+1)/12))))-((P28)*(IF((YEAR(D28)+11)&lt;YEAR(E28),0,IF((YEAR(D28)+11)&gt;YEAR(E28),1,(12-MONTH(E28)+1)/12))) + (R28)*(IF((YEAR(D28)+11)&lt;YEAR(E28),0,IF((YEAR(D28)+11)&gt;YEAR(E28),1,(12-MONTH(E28)+1)/12))))-(IF((((K28)*(IF(M28="",L28,IFERROR(IF(INDEX(Variablen!$I:$AT, MATCH(M28, Variablen!$A:$A, 0), MATCH((YEAR(D28)+11), Variablen!$I$3:$AT$3, 0))="",L28,INDEX(Variablen!$I:$AT, MATCH(M28, Variablen!$A:$A, 0), MATCH((YEAR(D28)+11), Variablen!$I$3:$AT$3, 0))),L28)))*(IF((YEAR(D28)+11)&lt;YEAR(E28),0,IF((YEAR(D28)+11)&gt;YEAR(E28),1,(12-MONTH(E28)+1)/12))) + (Q28)*(IF((YEAR(D28)+11)&lt;YEAR(E28),0,IF((YEAR(D28)+11)&gt;YEAR(E28),1,(12-MONTH(E28)+1)/12))))-((P28)*(IF((YEAR(D28)+11)&lt;YEAR(E28),0,IF((YEAR(D28)+11)&gt;YEAR(E28),1,(12-MONTH(E28)+1)/12))) + (R28)*(IF((YEAR(D28)+11)&lt;YEAR(E28),0,IF((YEAR(D28)+11)&gt;YEAR(E28),1,(12-MONTH(E28)+1)/12))))-(IF(OR(N28="",N28&lt;=0),0,(O28/N28)*(IF(OR(N28="",N28&lt;=0),0,IF((YEAR(D28)+11)&lt;YEAR(E28),0,IF((YEAR(D28)+11)&gt;=YEAR(E28)+N28,0,IF((YEAR(D28)+11)=YEAR(E28),(12-MONTH(E28)+1)/12,1))))))))&gt;0,(((K28)*(IF(M28="",L28,IFERROR(IF(INDEX(Variablen!$I:$AT, MATCH(M28, Variablen!$A:$A, 0), MATCH((YEAR(D28)+11), Variablen!$I$3:$AT$3, 0))="",L28,INDEX(Variablen!$I:$AT, MATCH(M28, Variablen!$A:$A, 0), MATCH((YEAR(D28)+11), Variablen!$I$3:$AT$3, 0))),L28)))*(IF((YEAR(D28)+11)&lt;YEAR(E28),0,IF((YEAR(D28)+11)&gt;YEAR(E28),1,(12-MONTH(E28)+1)/12))) + (Q28)*(IF((YEAR(D28)+11)&lt;YEAR(E28),0,IF((YEAR(D28)+11)&gt;YEAR(E28),1,(12-MONTH(E28)+1)/12))))-((P28)*(IF((YEAR(D28)+11)&lt;YEAR(E28),0,IF((YEAR(D28)+11)&gt;YEAR(E28),1,(12-MONTH(E28)+1)/12))) + (R28)*(IF((YEAR(D28)+11)&lt;YEAR(E28),0,IF((YEAR(D28)+11)&gt;YEAR(E28),1,(12-MONTH(E28)+1)/12))))-(IF(OR(N28="",N28&lt;=0),0,(O28/N28)*(IF(OR(N28="",N28&lt;=0),0,IF((YEAR(D28)+11)&lt;YEAR(E28),0,IF((YEAR(D28)+11)&gt;=YEAR(E28)+N28,0,IF((YEAR(D28)+11)=YEAR(E28),(12-MONTH(E28)+1)/12,1))))))))*TaxRate,0))-IF(11=0,O28,0))</f>
        <v/>
      </c>
      <c r="AE28" s="29">
        <f>IF(A28="","",((K28)*(IF(M28="",L28,IFERROR(IF(INDEX(Variablen!$I:$AT, MATCH(M28, Variablen!$A:$A, 0), MATCH((YEAR(D28)+12), Variablen!$I$3:$AT$3, 0))="",L28,INDEX(Variablen!$I:$AT, MATCH(M28, Variablen!$A:$A, 0), MATCH((YEAR(D28)+12), Variablen!$I$3:$AT$3, 0))),L28)))*(IF((YEAR(D28)+12)&lt;YEAR(E28),0,IF((YEAR(D28)+12)&gt;YEAR(E28),1,(12-MONTH(E28)+1)/12))) + (Q28)*(IF((YEAR(D28)+12)&lt;YEAR(E28),0,IF((YEAR(D28)+12)&gt;YEAR(E28),1,(12-MONTH(E28)+1)/12))))-((P28)*(IF((YEAR(D28)+12)&lt;YEAR(E28),0,IF((YEAR(D28)+12)&gt;YEAR(E28),1,(12-MONTH(E28)+1)/12))) + (R28)*(IF((YEAR(D28)+12)&lt;YEAR(E28),0,IF((YEAR(D28)+12)&gt;YEAR(E28),1,(12-MONTH(E28)+1)/12))))-(IF((((K28)*(IF(M28="",L28,IFERROR(IF(INDEX(Variablen!$I:$AT, MATCH(M28, Variablen!$A:$A, 0), MATCH((YEAR(D28)+12), Variablen!$I$3:$AT$3, 0))="",L28,INDEX(Variablen!$I:$AT, MATCH(M28, Variablen!$A:$A, 0), MATCH((YEAR(D28)+12), Variablen!$I$3:$AT$3, 0))),L28)))*(IF((YEAR(D28)+12)&lt;YEAR(E28),0,IF((YEAR(D28)+12)&gt;YEAR(E28),1,(12-MONTH(E28)+1)/12))) + (Q28)*(IF((YEAR(D28)+12)&lt;YEAR(E28),0,IF((YEAR(D28)+12)&gt;YEAR(E28),1,(12-MONTH(E28)+1)/12))))-((P28)*(IF((YEAR(D28)+12)&lt;YEAR(E28),0,IF((YEAR(D28)+12)&gt;YEAR(E28),1,(12-MONTH(E28)+1)/12))) + (R28)*(IF((YEAR(D28)+12)&lt;YEAR(E28),0,IF((YEAR(D28)+12)&gt;YEAR(E28),1,(12-MONTH(E28)+1)/12))))-(IF(OR(N28="",N28&lt;=0),0,(O28/N28)*(IF(OR(N28="",N28&lt;=0),0,IF((YEAR(D28)+12)&lt;YEAR(E28),0,IF((YEAR(D28)+12)&gt;=YEAR(E28)+N28,0,IF((YEAR(D28)+12)=YEAR(E28),(12-MONTH(E28)+1)/12,1))))))))&gt;0,(((K28)*(IF(M28="",L28,IFERROR(IF(INDEX(Variablen!$I:$AT, MATCH(M28, Variablen!$A:$A, 0), MATCH((YEAR(D28)+12), Variablen!$I$3:$AT$3, 0))="",L28,INDEX(Variablen!$I:$AT, MATCH(M28, Variablen!$A:$A, 0), MATCH((YEAR(D28)+12), Variablen!$I$3:$AT$3, 0))),L28)))*(IF((YEAR(D28)+12)&lt;YEAR(E28),0,IF((YEAR(D28)+12)&gt;YEAR(E28),1,(12-MONTH(E28)+1)/12))) + (Q28)*(IF((YEAR(D28)+12)&lt;YEAR(E28),0,IF((YEAR(D28)+12)&gt;YEAR(E28),1,(12-MONTH(E28)+1)/12))))-((P28)*(IF((YEAR(D28)+12)&lt;YEAR(E28),0,IF((YEAR(D28)+12)&gt;YEAR(E28),1,(12-MONTH(E28)+1)/12))) + (R28)*(IF((YEAR(D28)+12)&lt;YEAR(E28),0,IF((YEAR(D28)+12)&gt;YEAR(E28),1,(12-MONTH(E28)+1)/12))))-(IF(OR(N28="",N28&lt;=0),0,(O28/N28)*(IF(OR(N28="",N28&lt;=0),0,IF((YEAR(D28)+12)&lt;YEAR(E28),0,IF((YEAR(D28)+12)&gt;=YEAR(E28)+N28,0,IF((YEAR(D28)+12)=YEAR(E28),(12-MONTH(E28)+1)/12,1))))))))*TaxRate,0))-IF(12=0,O28,0))</f>
        <v/>
      </c>
      <c r="AF28" s="29">
        <f>IF(A28="","",((K28)*(IF(M28="",L28,IFERROR(IF(INDEX(Variablen!$I:$AT, MATCH(M28, Variablen!$A:$A, 0), MATCH((YEAR(D28)+13), Variablen!$I$3:$AT$3, 0))="",L28,INDEX(Variablen!$I:$AT, MATCH(M28, Variablen!$A:$A, 0), MATCH((YEAR(D28)+13), Variablen!$I$3:$AT$3, 0))),L28)))*(IF((YEAR(D28)+13)&lt;YEAR(E28),0,IF((YEAR(D28)+13)&gt;YEAR(E28),1,(12-MONTH(E28)+1)/12))) + (Q28)*(IF((YEAR(D28)+13)&lt;YEAR(E28),0,IF((YEAR(D28)+13)&gt;YEAR(E28),1,(12-MONTH(E28)+1)/12))))-((P28)*(IF((YEAR(D28)+13)&lt;YEAR(E28),0,IF((YEAR(D28)+13)&gt;YEAR(E28),1,(12-MONTH(E28)+1)/12))) + (R28)*(IF((YEAR(D28)+13)&lt;YEAR(E28),0,IF((YEAR(D28)+13)&gt;YEAR(E28),1,(12-MONTH(E28)+1)/12))))-(IF((((K28)*(IF(M28="",L28,IFERROR(IF(INDEX(Variablen!$I:$AT, MATCH(M28, Variablen!$A:$A, 0), MATCH((YEAR(D28)+13), Variablen!$I$3:$AT$3, 0))="",L28,INDEX(Variablen!$I:$AT, MATCH(M28, Variablen!$A:$A, 0), MATCH((YEAR(D28)+13), Variablen!$I$3:$AT$3, 0))),L28)))*(IF((YEAR(D28)+13)&lt;YEAR(E28),0,IF((YEAR(D28)+13)&gt;YEAR(E28),1,(12-MONTH(E28)+1)/12))) + (Q28)*(IF((YEAR(D28)+13)&lt;YEAR(E28),0,IF((YEAR(D28)+13)&gt;YEAR(E28),1,(12-MONTH(E28)+1)/12))))-((P28)*(IF((YEAR(D28)+13)&lt;YEAR(E28),0,IF((YEAR(D28)+13)&gt;YEAR(E28),1,(12-MONTH(E28)+1)/12))) + (R28)*(IF((YEAR(D28)+13)&lt;YEAR(E28),0,IF((YEAR(D28)+13)&gt;YEAR(E28),1,(12-MONTH(E28)+1)/12))))-(IF(OR(N28="",N28&lt;=0),0,(O28/N28)*(IF(OR(N28="",N28&lt;=0),0,IF((YEAR(D28)+13)&lt;YEAR(E28),0,IF((YEAR(D28)+13)&gt;=YEAR(E28)+N28,0,IF((YEAR(D28)+13)=YEAR(E28),(12-MONTH(E28)+1)/12,1))))))))&gt;0,(((K28)*(IF(M28="",L28,IFERROR(IF(INDEX(Variablen!$I:$AT, MATCH(M28, Variablen!$A:$A, 0), MATCH((YEAR(D28)+13), Variablen!$I$3:$AT$3, 0))="",L28,INDEX(Variablen!$I:$AT, MATCH(M28, Variablen!$A:$A, 0), MATCH((YEAR(D28)+13), Variablen!$I$3:$AT$3, 0))),L28)))*(IF((YEAR(D28)+13)&lt;YEAR(E28),0,IF((YEAR(D28)+13)&gt;YEAR(E28),1,(12-MONTH(E28)+1)/12))) + (Q28)*(IF((YEAR(D28)+13)&lt;YEAR(E28),0,IF((YEAR(D28)+13)&gt;YEAR(E28),1,(12-MONTH(E28)+1)/12))))-((P28)*(IF((YEAR(D28)+13)&lt;YEAR(E28),0,IF((YEAR(D28)+13)&gt;YEAR(E28),1,(12-MONTH(E28)+1)/12))) + (R28)*(IF((YEAR(D28)+13)&lt;YEAR(E28),0,IF((YEAR(D28)+13)&gt;YEAR(E28),1,(12-MONTH(E28)+1)/12))))-(IF(OR(N28="",N28&lt;=0),0,(O28/N28)*(IF(OR(N28="",N28&lt;=0),0,IF((YEAR(D28)+13)&lt;YEAR(E28),0,IF((YEAR(D28)+13)&gt;=YEAR(E28)+N28,0,IF((YEAR(D28)+13)=YEAR(E28),(12-MONTH(E28)+1)/12,1))))))))*TaxRate,0))-IF(13=0,O28,0))</f>
        <v/>
      </c>
      <c r="AG28" s="29">
        <f>IF(A28="","",((K28)*(IF(M28="",L28,IFERROR(IF(INDEX(Variablen!$I:$AT, MATCH(M28, Variablen!$A:$A, 0), MATCH((YEAR(D28)+14), Variablen!$I$3:$AT$3, 0))="",L28,INDEX(Variablen!$I:$AT, MATCH(M28, Variablen!$A:$A, 0), MATCH((YEAR(D28)+14), Variablen!$I$3:$AT$3, 0))),L28)))*(IF((YEAR(D28)+14)&lt;YEAR(E28),0,IF((YEAR(D28)+14)&gt;YEAR(E28),1,(12-MONTH(E28)+1)/12))) + (Q28)*(IF((YEAR(D28)+14)&lt;YEAR(E28),0,IF((YEAR(D28)+14)&gt;YEAR(E28),1,(12-MONTH(E28)+1)/12))))-((P28)*(IF((YEAR(D28)+14)&lt;YEAR(E28),0,IF((YEAR(D28)+14)&gt;YEAR(E28),1,(12-MONTH(E28)+1)/12))) + (R28)*(IF((YEAR(D28)+14)&lt;YEAR(E28),0,IF((YEAR(D28)+14)&gt;YEAR(E28),1,(12-MONTH(E28)+1)/12))))-(IF((((K28)*(IF(M28="",L28,IFERROR(IF(INDEX(Variablen!$I:$AT, MATCH(M28, Variablen!$A:$A, 0), MATCH((YEAR(D28)+14), Variablen!$I$3:$AT$3, 0))="",L28,INDEX(Variablen!$I:$AT, MATCH(M28, Variablen!$A:$A, 0), MATCH((YEAR(D28)+14), Variablen!$I$3:$AT$3, 0))),L28)))*(IF((YEAR(D28)+14)&lt;YEAR(E28),0,IF((YEAR(D28)+14)&gt;YEAR(E28),1,(12-MONTH(E28)+1)/12))) + (Q28)*(IF((YEAR(D28)+14)&lt;YEAR(E28),0,IF((YEAR(D28)+14)&gt;YEAR(E28),1,(12-MONTH(E28)+1)/12))))-((P28)*(IF((YEAR(D28)+14)&lt;YEAR(E28),0,IF((YEAR(D28)+14)&gt;YEAR(E28),1,(12-MONTH(E28)+1)/12))) + (R28)*(IF((YEAR(D28)+14)&lt;YEAR(E28),0,IF((YEAR(D28)+14)&gt;YEAR(E28),1,(12-MONTH(E28)+1)/12))))-(IF(OR(N28="",N28&lt;=0),0,(O28/N28)*(IF(OR(N28="",N28&lt;=0),0,IF((YEAR(D28)+14)&lt;YEAR(E28),0,IF((YEAR(D28)+14)&gt;=YEAR(E28)+N28,0,IF((YEAR(D28)+14)=YEAR(E28),(12-MONTH(E28)+1)/12,1))))))))&gt;0,(((K28)*(IF(M28="",L28,IFERROR(IF(INDEX(Variablen!$I:$AT, MATCH(M28, Variablen!$A:$A, 0), MATCH((YEAR(D28)+14), Variablen!$I$3:$AT$3, 0))="",L28,INDEX(Variablen!$I:$AT, MATCH(M28, Variablen!$A:$A, 0), MATCH((YEAR(D28)+14), Variablen!$I$3:$AT$3, 0))),L28)))*(IF((YEAR(D28)+14)&lt;YEAR(E28),0,IF((YEAR(D28)+14)&gt;YEAR(E28),1,(12-MONTH(E28)+1)/12))) + (Q28)*(IF((YEAR(D28)+14)&lt;YEAR(E28),0,IF((YEAR(D28)+14)&gt;YEAR(E28),1,(12-MONTH(E28)+1)/12))))-((P28)*(IF((YEAR(D28)+14)&lt;YEAR(E28),0,IF((YEAR(D28)+14)&gt;YEAR(E28),1,(12-MONTH(E28)+1)/12))) + (R28)*(IF((YEAR(D28)+14)&lt;YEAR(E28),0,IF((YEAR(D28)+14)&gt;YEAR(E28),1,(12-MONTH(E28)+1)/12))))-(IF(OR(N28="",N28&lt;=0),0,(O28/N28)*(IF(OR(N28="",N28&lt;=0),0,IF((YEAR(D28)+14)&lt;YEAR(E28),0,IF((YEAR(D28)+14)&gt;=YEAR(E28)+N28,0,IF((YEAR(D28)+14)=YEAR(E28),(12-MONTH(E28)+1)/12,1))))))))*TaxRate,0))-IF(14=0,O28,0))</f>
        <v/>
      </c>
      <c r="AH28" s="29">
        <f>IF(A28="","",((K28)*(IF(M28="",L28,IFERROR(IF(INDEX(Variablen!$I:$AT, MATCH(M28, Variablen!$A:$A, 0), MATCH((YEAR(D28)+15), Variablen!$I$3:$AT$3, 0))="",L28,INDEX(Variablen!$I:$AT, MATCH(M28, Variablen!$A:$A, 0), MATCH((YEAR(D28)+15), Variablen!$I$3:$AT$3, 0))),L28)))*(IF((YEAR(D28)+15)&lt;YEAR(E28),0,IF((YEAR(D28)+15)&gt;YEAR(E28),1,(12-MONTH(E28)+1)/12))) + (Q28)*(IF((YEAR(D28)+15)&lt;YEAR(E28),0,IF((YEAR(D28)+15)&gt;YEAR(E28),1,(12-MONTH(E28)+1)/12))))-((P28)*(IF((YEAR(D28)+15)&lt;YEAR(E28),0,IF((YEAR(D28)+15)&gt;YEAR(E28),1,(12-MONTH(E28)+1)/12))) + (R28)*(IF((YEAR(D28)+15)&lt;YEAR(E28),0,IF((YEAR(D28)+15)&gt;YEAR(E28),1,(12-MONTH(E28)+1)/12))))-(IF((((K28)*(IF(M28="",L28,IFERROR(IF(INDEX(Variablen!$I:$AT, MATCH(M28, Variablen!$A:$A, 0), MATCH((YEAR(D28)+15), Variablen!$I$3:$AT$3, 0))="",L28,INDEX(Variablen!$I:$AT, MATCH(M28, Variablen!$A:$A, 0), MATCH((YEAR(D28)+15), Variablen!$I$3:$AT$3, 0))),L28)))*(IF((YEAR(D28)+15)&lt;YEAR(E28),0,IF((YEAR(D28)+15)&gt;YEAR(E28),1,(12-MONTH(E28)+1)/12))) + (Q28)*(IF((YEAR(D28)+15)&lt;YEAR(E28),0,IF((YEAR(D28)+15)&gt;YEAR(E28),1,(12-MONTH(E28)+1)/12))))-((P28)*(IF((YEAR(D28)+15)&lt;YEAR(E28),0,IF((YEAR(D28)+15)&gt;YEAR(E28),1,(12-MONTH(E28)+1)/12))) + (R28)*(IF((YEAR(D28)+15)&lt;YEAR(E28),0,IF((YEAR(D28)+15)&gt;YEAR(E28),1,(12-MONTH(E28)+1)/12))))-(IF(OR(N28="",N28&lt;=0),0,(O28/N28)*(IF(OR(N28="",N28&lt;=0),0,IF((YEAR(D28)+15)&lt;YEAR(E28),0,IF((YEAR(D28)+15)&gt;=YEAR(E28)+N28,0,IF((YEAR(D28)+15)=YEAR(E28),(12-MONTH(E28)+1)/12,1))))))))&gt;0,(((K28)*(IF(M28="",L28,IFERROR(IF(INDEX(Variablen!$I:$AT, MATCH(M28, Variablen!$A:$A, 0), MATCH((YEAR(D28)+15), Variablen!$I$3:$AT$3, 0))="",L28,INDEX(Variablen!$I:$AT, MATCH(M28, Variablen!$A:$A, 0), MATCH((YEAR(D28)+15), Variablen!$I$3:$AT$3, 0))),L28)))*(IF((YEAR(D28)+15)&lt;YEAR(E28),0,IF((YEAR(D28)+15)&gt;YEAR(E28),1,(12-MONTH(E28)+1)/12))) + (Q28)*(IF((YEAR(D28)+15)&lt;YEAR(E28),0,IF((YEAR(D28)+15)&gt;YEAR(E28),1,(12-MONTH(E28)+1)/12))))-((P28)*(IF((YEAR(D28)+15)&lt;YEAR(E28),0,IF((YEAR(D28)+15)&gt;YEAR(E28),1,(12-MONTH(E28)+1)/12))) + (R28)*(IF((YEAR(D28)+15)&lt;YEAR(E28),0,IF((YEAR(D28)+15)&gt;YEAR(E28),1,(12-MONTH(E28)+1)/12))))-(IF(OR(N28="",N28&lt;=0),0,(O28/N28)*(IF(OR(N28="",N28&lt;=0),0,IF((YEAR(D28)+15)&lt;YEAR(E28),0,IF((YEAR(D28)+15)&gt;=YEAR(E28)+N28,0,IF((YEAR(D28)+15)=YEAR(E28),(12-MONTH(E28)+1)/12,1))))))))*TaxRate,0))-IF(15=0,O28,0))</f>
        <v/>
      </c>
      <c r="AI28" s="29">
        <f>IF(A28="","",((K28)*(IF(M28="",L28,IFERROR(IF(INDEX(Variablen!$I:$AT, MATCH(M28, Variablen!$A:$A, 0), MATCH((YEAR(D28)+16), Variablen!$I$3:$AT$3, 0))="",L28,INDEX(Variablen!$I:$AT, MATCH(M28, Variablen!$A:$A, 0), MATCH((YEAR(D28)+16), Variablen!$I$3:$AT$3, 0))),L28)))*(IF((YEAR(D28)+16)&lt;YEAR(E28),0,IF((YEAR(D28)+16)&gt;YEAR(E28),1,(12-MONTH(E28)+1)/12))) + (Q28)*(IF((YEAR(D28)+16)&lt;YEAR(E28),0,IF((YEAR(D28)+16)&gt;YEAR(E28),1,(12-MONTH(E28)+1)/12))))-((P28)*(IF((YEAR(D28)+16)&lt;YEAR(E28),0,IF((YEAR(D28)+16)&gt;YEAR(E28),1,(12-MONTH(E28)+1)/12))) + (R28)*(IF((YEAR(D28)+16)&lt;YEAR(E28),0,IF((YEAR(D28)+16)&gt;YEAR(E28),1,(12-MONTH(E28)+1)/12))))-(IF((((K28)*(IF(M28="",L28,IFERROR(IF(INDEX(Variablen!$I:$AT, MATCH(M28, Variablen!$A:$A, 0), MATCH((YEAR(D28)+16), Variablen!$I$3:$AT$3, 0))="",L28,INDEX(Variablen!$I:$AT, MATCH(M28, Variablen!$A:$A, 0), MATCH((YEAR(D28)+16), Variablen!$I$3:$AT$3, 0))),L28)))*(IF((YEAR(D28)+16)&lt;YEAR(E28),0,IF((YEAR(D28)+16)&gt;YEAR(E28),1,(12-MONTH(E28)+1)/12))) + (Q28)*(IF((YEAR(D28)+16)&lt;YEAR(E28),0,IF((YEAR(D28)+16)&gt;YEAR(E28),1,(12-MONTH(E28)+1)/12))))-((P28)*(IF((YEAR(D28)+16)&lt;YEAR(E28),0,IF((YEAR(D28)+16)&gt;YEAR(E28),1,(12-MONTH(E28)+1)/12))) + (R28)*(IF((YEAR(D28)+16)&lt;YEAR(E28),0,IF((YEAR(D28)+16)&gt;YEAR(E28),1,(12-MONTH(E28)+1)/12))))-(IF(OR(N28="",N28&lt;=0),0,(O28/N28)*(IF(OR(N28="",N28&lt;=0),0,IF((YEAR(D28)+16)&lt;YEAR(E28),0,IF((YEAR(D28)+16)&gt;=YEAR(E28)+N28,0,IF((YEAR(D28)+16)=YEAR(E28),(12-MONTH(E28)+1)/12,1))))))))&gt;0,(((K28)*(IF(M28="",L28,IFERROR(IF(INDEX(Variablen!$I:$AT, MATCH(M28, Variablen!$A:$A, 0), MATCH((YEAR(D28)+16), Variablen!$I$3:$AT$3, 0))="",L28,INDEX(Variablen!$I:$AT, MATCH(M28, Variablen!$A:$A, 0), MATCH((YEAR(D28)+16), Variablen!$I$3:$AT$3, 0))),L28)))*(IF((YEAR(D28)+16)&lt;YEAR(E28),0,IF((YEAR(D28)+16)&gt;YEAR(E28),1,(12-MONTH(E28)+1)/12))) + (Q28)*(IF((YEAR(D28)+16)&lt;YEAR(E28),0,IF((YEAR(D28)+16)&gt;YEAR(E28),1,(12-MONTH(E28)+1)/12))))-((P28)*(IF((YEAR(D28)+16)&lt;YEAR(E28),0,IF((YEAR(D28)+16)&gt;YEAR(E28),1,(12-MONTH(E28)+1)/12))) + (R28)*(IF((YEAR(D28)+16)&lt;YEAR(E28),0,IF((YEAR(D28)+16)&gt;YEAR(E28),1,(12-MONTH(E28)+1)/12))))-(IF(OR(N28="",N28&lt;=0),0,(O28/N28)*(IF(OR(N28="",N28&lt;=0),0,IF((YEAR(D28)+16)&lt;YEAR(E28),0,IF((YEAR(D28)+16)&gt;=YEAR(E28)+N28,0,IF((YEAR(D28)+16)=YEAR(E28),(12-MONTH(E28)+1)/12,1))))))))*TaxRate,0))-IF(16=0,O28,0))</f>
        <v/>
      </c>
      <c r="AJ28" s="29">
        <f>IF(A28="","",((K28)*(IF(M28="",L28,IFERROR(IF(INDEX(Variablen!$I:$AT, MATCH(M28, Variablen!$A:$A, 0), MATCH((YEAR(D28)+17), Variablen!$I$3:$AT$3, 0))="",L28,INDEX(Variablen!$I:$AT, MATCH(M28, Variablen!$A:$A, 0), MATCH((YEAR(D28)+17), Variablen!$I$3:$AT$3, 0))),L28)))*(IF((YEAR(D28)+17)&lt;YEAR(E28),0,IF((YEAR(D28)+17)&gt;YEAR(E28),1,(12-MONTH(E28)+1)/12))) + (Q28)*(IF((YEAR(D28)+17)&lt;YEAR(E28),0,IF((YEAR(D28)+17)&gt;YEAR(E28),1,(12-MONTH(E28)+1)/12))))-((P28)*(IF((YEAR(D28)+17)&lt;YEAR(E28),0,IF((YEAR(D28)+17)&gt;YEAR(E28),1,(12-MONTH(E28)+1)/12))) + (R28)*(IF((YEAR(D28)+17)&lt;YEAR(E28),0,IF((YEAR(D28)+17)&gt;YEAR(E28),1,(12-MONTH(E28)+1)/12))))-(IF((((K28)*(IF(M28="",L28,IFERROR(IF(INDEX(Variablen!$I:$AT, MATCH(M28, Variablen!$A:$A, 0), MATCH((YEAR(D28)+17), Variablen!$I$3:$AT$3, 0))="",L28,INDEX(Variablen!$I:$AT, MATCH(M28, Variablen!$A:$A, 0), MATCH((YEAR(D28)+17), Variablen!$I$3:$AT$3, 0))),L28)))*(IF((YEAR(D28)+17)&lt;YEAR(E28),0,IF((YEAR(D28)+17)&gt;YEAR(E28),1,(12-MONTH(E28)+1)/12))) + (Q28)*(IF((YEAR(D28)+17)&lt;YEAR(E28),0,IF((YEAR(D28)+17)&gt;YEAR(E28),1,(12-MONTH(E28)+1)/12))))-((P28)*(IF((YEAR(D28)+17)&lt;YEAR(E28),0,IF((YEAR(D28)+17)&gt;YEAR(E28),1,(12-MONTH(E28)+1)/12))) + (R28)*(IF((YEAR(D28)+17)&lt;YEAR(E28),0,IF((YEAR(D28)+17)&gt;YEAR(E28),1,(12-MONTH(E28)+1)/12))))-(IF(OR(N28="",N28&lt;=0),0,(O28/N28)*(IF(OR(N28="",N28&lt;=0),0,IF((YEAR(D28)+17)&lt;YEAR(E28),0,IF((YEAR(D28)+17)&gt;=YEAR(E28)+N28,0,IF((YEAR(D28)+17)=YEAR(E28),(12-MONTH(E28)+1)/12,1))))))))&gt;0,(((K28)*(IF(M28="",L28,IFERROR(IF(INDEX(Variablen!$I:$AT, MATCH(M28, Variablen!$A:$A, 0), MATCH((YEAR(D28)+17), Variablen!$I$3:$AT$3, 0))="",L28,INDEX(Variablen!$I:$AT, MATCH(M28, Variablen!$A:$A, 0), MATCH((YEAR(D28)+17), Variablen!$I$3:$AT$3, 0))),L28)))*(IF((YEAR(D28)+17)&lt;YEAR(E28),0,IF((YEAR(D28)+17)&gt;YEAR(E28),1,(12-MONTH(E28)+1)/12))) + (Q28)*(IF((YEAR(D28)+17)&lt;YEAR(E28),0,IF((YEAR(D28)+17)&gt;YEAR(E28),1,(12-MONTH(E28)+1)/12))))-((P28)*(IF((YEAR(D28)+17)&lt;YEAR(E28),0,IF((YEAR(D28)+17)&gt;YEAR(E28),1,(12-MONTH(E28)+1)/12))) + (R28)*(IF((YEAR(D28)+17)&lt;YEAR(E28),0,IF((YEAR(D28)+17)&gt;YEAR(E28),1,(12-MONTH(E28)+1)/12))))-(IF(OR(N28="",N28&lt;=0),0,(O28/N28)*(IF(OR(N28="",N28&lt;=0),0,IF((YEAR(D28)+17)&lt;YEAR(E28),0,IF((YEAR(D28)+17)&gt;=YEAR(E28)+N28,0,IF((YEAR(D28)+17)=YEAR(E28),(12-MONTH(E28)+1)/12,1))))))))*TaxRate,0))-IF(17=0,O28,0))</f>
        <v/>
      </c>
      <c r="AK28" s="29">
        <f>IF(A28="","",((K28)*(IF(M28="",L28,IFERROR(IF(INDEX(Variablen!$I:$AT, MATCH(M28, Variablen!$A:$A, 0), MATCH((YEAR(D28)+18), Variablen!$I$3:$AT$3, 0))="",L28,INDEX(Variablen!$I:$AT, MATCH(M28, Variablen!$A:$A, 0), MATCH((YEAR(D28)+18), Variablen!$I$3:$AT$3, 0))),L28)))*(IF((YEAR(D28)+18)&lt;YEAR(E28),0,IF((YEAR(D28)+18)&gt;YEAR(E28),1,(12-MONTH(E28)+1)/12))) + (Q28)*(IF((YEAR(D28)+18)&lt;YEAR(E28),0,IF((YEAR(D28)+18)&gt;YEAR(E28),1,(12-MONTH(E28)+1)/12))))-((P28)*(IF((YEAR(D28)+18)&lt;YEAR(E28),0,IF((YEAR(D28)+18)&gt;YEAR(E28),1,(12-MONTH(E28)+1)/12))) + (R28)*(IF((YEAR(D28)+18)&lt;YEAR(E28),0,IF((YEAR(D28)+18)&gt;YEAR(E28),1,(12-MONTH(E28)+1)/12))))-(IF((((K28)*(IF(M28="",L28,IFERROR(IF(INDEX(Variablen!$I:$AT, MATCH(M28, Variablen!$A:$A, 0), MATCH((YEAR(D28)+18), Variablen!$I$3:$AT$3, 0))="",L28,INDEX(Variablen!$I:$AT, MATCH(M28, Variablen!$A:$A, 0), MATCH((YEAR(D28)+18), Variablen!$I$3:$AT$3, 0))),L28)))*(IF((YEAR(D28)+18)&lt;YEAR(E28),0,IF((YEAR(D28)+18)&gt;YEAR(E28),1,(12-MONTH(E28)+1)/12))) + (Q28)*(IF((YEAR(D28)+18)&lt;YEAR(E28),0,IF((YEAR(D28)+18)&gt;YEAR(E28),1,(12-MONTH(E28)+1)/12))))-((P28)*(IF((YEAR(D28)+18)&lt;YEAR(E28),0,IF((YEAR(D28)+18)&gt;YEAR(E28),1,(12-MONTH(E28)+1)/12))) + (R28)*(IF((YEAR(D28)+18)&lt;YEAR(E28),0,IF((YEAR(D28)+18)&gt;YEAR(E28),1,(12-MONTH(E28)+1)/12))))-(IF(OR(N28="",N28&lt;=0),0,(O28/N28)*(IF(OR(N28="",N28&lt;=0),0,IF((YEAR(D28)+18)&lt;YEAR(E28),0,IF((YEAR(D28)+18)&gt;=YEAR(E28)+N28,0,IF((YEAR(D28)+18)=YEAR(E28),(12-MONTH(E28)+1)/12,1))))))))&gt;0,(((K28)*(IF(M28="",L28,IFERROR(IF(INDEX(Variablen!$I:$AT, MATCH(M28, Variablen!$A:$A, 0), MATCH((YEAR(D28)+18), Variablen!$I$3:$AT$3, 0))="",L28,INDEX(Variablen!$I:$AT, MATCH(M28, Variablen!$A:$A, 0), MATCH((YEAR(D28)+18), Variablen!$I$3:$AT$3, 0))),L28)))*(IF((YEAR(D28)+18)&lt;YEAR(E28),0,IF((YEAR(D28)+18)&gt;YEAR(E28),1,(12-MONTH(E28)+1)/12))) + (Q28)*(IF((YEAR(D28)+18)&lt;YEAR(E28),0,IF((YEAR(D28)+18)&gt;YEAR(E28),1,(12-MONTH(E28)+1)/12))))-((P28)*(IF((YEAR(D28)+18)&lt;YEAR(E28),0,IF((YEAR(D28)+18)&gt;YEAR(E28),1,(12-MONTH(E28)+1)/12))) + (R28)*(IF((YEAR(D28)+18)&lt;YEAR(E28),0,IF((YEAR(D28)+18)&gt;YEAR(E28),1,(12-MONTH(E28)+1)/12))))-(IF(OR(N28="",N28&lt;=0),0,(O28/N28)*(IF(OR(N28="",N28&lt;=0),0,IF((YEAR(D28)+18)&lt;YEAR(E28),0,IF((YEAR(D28)+18)&gt;=YEAR(E28)+N28,0,IF((YEAR(D28)+18)=YEAR(E28),(12-MONTH(E28)+1)/12,1))))))))*TaxRate,0))-IF(18=0,O28,0))</f>
        <v/>
      </c>
      <c r="AL28" s="29">
        <f>IF(A28="","",((K28)*(IF(M28="",L28,IFERROR(IF(INDEX(Variablen!$I:$AT, MATCH(M28, Variablen!$A:$A, 0), MATCH((YEAR(D28)+19), Variablen!$I$3:$AT$3, 0))="",L28,INDEX(Variablen!$I:$AT, MATCH(M28, Variablen!$A:$A, 0), MATCH((YEAR(D28)+19), Variablen!$I$3:$AT$3, 0))),L28)))*(IF((YEAR(D28)+19)&lt;YEAR(E28),0,IF((YEAR(D28)+19)&gt;YEAR(E28),1,(12-MONTH(E28)+1)/12))) + (Q28)*(IF((YEAR(D28)+19)&lt;YEAR(E28),0,IF((YEAR(D28)+19)&gt;YEAR(E28),1,(12-MONTH(E28)+1)/12))))-((P28)*(IF((YEAR(D28)+19)&lt;YEAR(E28),0,IF((YEAR(D28)+19)&gt;YEAR(E28),1,(12-MONTH(E28)+1)/12))) + (R28)*(IF((YEAR(D28)+19)&lt;YEAR(E28),0,IF((YEAR(D28)+19)&gt;YEAR(E28),1,(12-MONTH(E28)+1)/12))))-(IF((((K28)*(IF(M28="",L28,IFERROR(IF(INDEX(Variablen!$I:$AT, MATCH(M28, Variablen!$A:$A, 0), MATCH((YEAR(D28)+19), Variablen!$I$3:$AT$3, 0))="",L28,INDEX(Variablen!$I:$AT, MATCH(M28, Variablen!$A:$A, 0), MATCH((YEAR(D28)+19), Variablen!$I$3:$AT$3, 0))),L28)))*(IF((YEAR(D28)+19)&lt;YEAR(E28),0,IF((YEAR(D28)+19)&gt;YEAR(E28),1,(12-MONTH(E28)+1)/12))) + (Q28)*(IF((YEAR(D28)+19)&lt;YEAR(E28),0,IF((YEAR(D28)+19)&gt;YEAR(E28),1,(12-MONTH(E28)+1)/12))))-((P28)*(IF((YEAR(D28)+19)&lt;YEAR(E28),0,IF((YEAR(D28)+19)&gt;YEAR(E28),1,(12-MONTH(E28)+1)/12))) + (R28)*(IF((YEAR(D28)+19)&lt;YEAR(E28),0,IF((YEAR(D28)+19)&gt;YEAR(E28),1,(12-MONTH(E28)+1)/12))))-(IF(OR(N28="",N28&lt;=0),0,(O28/N28)*(IF(OR(N28="",N28&lt;=0),0,IF((YEAR(D28)+19)&lt;YEAR(E28),0,IF((YEAR(D28)+19)&gt;=YEAR(E28)+N28,0,IF((YEAR(D28)+19)=YEAR(E28),(12-MONTH(E28)+1)/12,1))))))))&gt;0,(((K28)*(IF(M28="",L28,IFERROR(IF(INDEX(Variablen!$I:$AT, MATCH(M28, Variablen!$A:$A, 0), MATCH((YEAR(D28)+19), Variablen!$I$3:$AT$3, 0))="",L28,INDEX(Variablen!$I:$AT, MATCH(M28, Variablen!$A:$A, 0), MATCH((YEAR(D28)+19), Variablen!$I$3:$AT$3, 0))),L28)))*(IF((YEAR(D28)+19)&lt;YEAR(E28),0,IF((YEAR(D28)+19)&gt;YEAR(E28),1,(12-MONTH(E28)+1)/12))) + (Q28)*(IF((YEAR(D28)+19)&lt;YEAR(E28),0,IF((YEAR(D28)+19)&gt;YEAR(E28),1,(12-MONTH(E28)+1)/12))))-((P28)*(IF((YEAR(D28)+19)&lt;YEAR(E28),0,IF((YEAR(D28)+19)&gt;YEAR(E28),1,(12-MONTH(E28)+1)/12))) + (R28)*(IF((YEAR(D28)+19)&lt;YEAR(E28),0,IF((YEAR(D28)+19)&gt;YEAR(E28),1,(12-MONTH(E28)+1)/12))))-(IF(OR(N28="",N28&lt;=0),0,(O28/N28)*(IF(OR(N28="",N28&lt;=0),0,IF((YEAR(D28)+19)&lt;YEAR(E28),0,IF((YEAR(D28)+19)&gt;=YEAR(E28)+N28,0,IF((YEAR(D28)+19)=YEAR(E28),(12-MONTH(E28)+1)/12,1))))))))*TaxRate,0))-IF(19=0,O28,0))</f>
        <v/>
      </c>
      <c r="AM28" s="29">
        <f>IF(A28="","",((K28)*(IF(M28="",L28,IFERROR(IF(INDEX(Variablen!$I:$AT, MATCH(M28, Variablen!$A:$A, 0), MATCH((YEAR(D28)+20), Variablen!$I$3:$AT$3, 0))="",L28,INDEX(Variablen!$I:$AT, MATCH(M28, Variablen!$A:$A, 0), MATCH((YEAR(D28)+20), Variablen!$I$3:$AT$3, 0))),L28)))*(IF((YEAR(D28)+20)&lt;YEAR(E28),0,IF((YEAR(D28)+20)&gt;YEAR(E28),1,(12-MONTH(E28)+1)/12))) + (Q28)*(IF((YEAR(D28)+20)&lt;YEAR(E28),0,IF((YEAR(D28)+20)&gt;YEAR(E28),1,(12-MONTH(E28)+1)/12))))-((P28)*(IF((YEAR(D28)+20)&lt;YEAR(E28),0,IF((YEAR(D28)+20)&gt;YEAR(E28),1,(12-MONTH(E28)+1)/12))) + (R28)*(IF((YEAR(D28)+20)&lt;YEAR(E28),0,IF((YEAR(D28)+20)&gt;YEAR(E28),1,(12-MONTH(E28)+1)/12))))-(IF((((K28)*(IF(M28="",L28,IFERROR(IF(INDEX(Variablen!$I:$AT, MATCH(M28, Variablen!$A:$A, 0), MATCH((YEAR(D28)+20), Variablen!$I$3:$AT$3, 0))="",L28,INDEX(Variablen!$I:$AT, MATCH(M28, Variablen!$A:$A, 0), MATCH((YEAR(D28)+20), Variablen!$I$3:$AT$3, 0))),L28)))*(IF((YEAR(D28)+20)&lt;YEAR(E28),0,IF((YEAR(D28)+20)&gt;YEAR(E28),1,(12-MONTH(E28)+1)/12))) + (Q28)*(IF((YEAR(D28)+20)&lt;YEAR(E28),0,IF((YEAR(D28)+20)&gt;YEAR(E28),1,(12-MONTH(E28)+1)/12))))-((P28)*(IF((YEAR(D28)+20)&lt;YEAR(E28),0,IF((YEAR(D28)+20)&gt;YEAR(E28),1,(12-MONTH(E28)+1)/12))) + (R28)*(IF((YEAR(D28)+20)&lt;YEAR(E28),0,IF((YEAR(D28)+20)&gt;YEAR(E28),1,(12-MONTH(E28)+1)/12))))-(IF(OR(N28="",N28&lt;=0),0,(O28/N28)*(IF(OR(N28="",N28&lt;=0),0,IF((YEAR(D28)+20)&lt;YEAR(E28),0,IF((YEAR(D28)+20)&gt;=YEAR(E28)+N28,0,IF((YEAR(D28)+20)=YEAR(E28),(12-MONTH(E28)+1)/12,1))))))))&gt;0,(((K28)*(IF(M28="",L28,IFERROR(IF(INDEX(Variablen!$I:$AT, MATCH(M28, Variablen!$A:$A, 0), MATCH((YEAR(D28)+20), Variablen!$I$3:$AT$3, 0))="",L28,INDEX(Variablen!$I:$AT, MATCH(M28, Variablen!$A:$A, 0), MATCH((YEAR(D28)+20), Variablen!$I$3:$AT$3, 0))),L28)))*(IF((YEAR(D28)+20)&lt;YEAR(E28),0,IF((YEAR(D28)+20)&gt;YEAR(E28),1,(12-MONTH(E28)+1)/12))) + (Q28)*(IF((YEAR(D28)+20)&lt;YEAR(E28),0,IF((YEAR(D28)+20)&gt;YEAR(E28),1,(12-MONTH(E28)+1)/12))))-((P28)*(IF((YEAR(D28)+20)&lt;YEAR(E28),0,IF((YEAR(D28)+20)&gt;YEAR(E28),1,(12-MONTH(E28)+1)/12))) + (R28)*(IF((YEAR(D28)+20)&lt;YEAR(E28),0,IF((YEAR(D28)+20)&gt;YEAR(E28),1,(12-MONTH(E28)+1)/12))))-(IF(OR(N28="",N28&lt;=0),0,(O28/N28)*(IF(OR(N28="",N28&lt;=0),0,IF((YEAR(D28)+20)&lt;YEAR(E28),0,IF((YEAR(D28)+20)&gt;=YEAR(E28)+N28,0,IF((YEAR(D28)+20)=YEAR(E28),(12-MONTH(E28)+1)/12,1))))))))*TaxRate,0))-IF(20=0,O28,0))</f>
        <v/>
      </c>
      <c r="AN28" s="29">
        <f>IF(A28="","",S28)</f>
        <v/>
      </c>
      <c r="AO28" s="29">
        <f>IF(A28="","",AN28+T28)</f>
        <v/>
      </c>
      <c r="AP28" s="29">
        <f>IF(A28="","",AO28+U28)</f>
        <v/>
      </c>
      <c r="AQ28" s="29">
        <f>IF(A28="","",AP28+V28)</f>
        <v/>
      </c>
      <c r="AR28" s="29">
        <f>IF(A28="","",AQ28+W28)</f>
        <v/>
      </c>
      <c r="AS28" s="29">
        <f>IF(A28="","",AR28+X28)</f>
        <v/>
      </c>
      <c r="AT28" s="29">
        <f>IF(A28="","",AS28+Y28)</f>
        <v/>
      </c>
      <c r="AU28" s="29">
        <f>IF(A28="","",AT28+Z28)</f>
        <v/>
      </c>
      <c r="AV28" s="29">
        <f>IF(A28="","",AU28+AA28)</f>
        <v/>
      </c>
      <c r="AW28" s="29">
        <f>IF(A28="","",AV28+AB28)</f>
        <v/>
      </c>
      <c r="AX28" s="29">
        <f>IF(A28="","",AW28+AC28)</f>
        <v/>
      </c>
      <c r="AY28" s="29">
        <f>IF(A28="","",AX28+AD28)</f>
        <v/>
      </c>
      <c r="AZ28" s="29">
        <f>IF(A28="","",AY28+AE28)</f>
        <v/>
      </c>
      <c r="BA28" s="29">
        <f>IF(A28="","",AZ28+AF28)</f>
        <v/>
      </c>
      <c r="BB28" s="29">
        <f>IF(A28="","",BA28+AG28)</f>
        <v/>
      </c>
      <c r="BC28" s="29">
        <f>IF(A28="","",BB28+AH28)</f>
        <v/>
      </c>
      <c r="BD28" s="29">
        <f>IF(A28="","",BC28+AI28)</f>
        <v/>
      </c>
      <c r="BE28" s="29">
        <f>IF(A28="","",BD28+AJ28)</f>
        <v/>
      </c>
      <c r="BF28" s="29">
        <f>IF(A28="","",BE28+AK28)</f>
        <v/>
      </c>
      <c r="BG28" s="29">
        <f>IF(A28="","",BF28+AL28)</f>
        <v/>
      </c>
      <c r="BH28" s="29">
        <f>IF(A28="","",BG28+AM28)</f>
        <v/>
      </c>
      <c r="BI28" s="36">
        <f>IF(A28="","",(K28)*(IF((YEAR(D28)+0)&lt;YEAR(E28),0,IF((YEAR(D28)+0)&gt;YEAR(E28),1,(12-MONTH(E28)+1)/12)))*(1/(1+DiscountRate)^0))</f>
        <v/>
      </c>
      <c r="BJ28" s="36">
        <f>IF(A28="","",(K28)*(IF((YEAR(D28)+1)&lt;YEAR(E28),0,IF((YEAR(D28)+1)&gt;YEAR(E28),1,(12-MONTH(E28)+1)/12)))*(1/(1+DiscountRate)^1))</f>
        <v/>
      </c>
      <c r="BK28" s="36">
        <f>IF(A28="","",(K28)*(IF((YEAR(D28)+2)&lt;YEAR(E28),0,IF((YEAR(D28)+2)&gt;YEAR(E28),1,(12-MONTH(E28)+1)/12)))*(1/(1+DiscountRate)^2))</f>
        <v/>
      </c>
      <c r="BL28" s="36">
        <f>IF(A28="","",(K28)*(IF((YEAR(D28)+3)&lt;YEAR(E28),0,IF((YEAR(D28)+3)&gt;YEAR(E28),1,(12-MONTH(E28)+1)/12)))*(1/(1+DiscountRate)^3))</f>
        <v/>
      </c>
      <c r="BM28" s="36">
        <f>IF(A28="","",(K28)*(IF((YEAR(D28)+4)&lt;YEAR(E28),0,IF((YEAR(D28)+4)&gt;YEAR(E28),1,(12-MONTH(E28)+1)/12)))*(1/(1+DiscountRate)^4))</f>
        <v/>
      </c>
      <c r="BN28" s="36">
        <f>IF(A28="","",(K28)*(IF((YEAR(D28)+5)&lt;YEAR(E28),0,IF((YEAR(D28)+5)&gt;YEAR(E28),1,(12-MONTH(E28)+1)/12)))*(1/(1+DiscountRate)^5))</f>
        <v/>
      </c>
      <c r="BO28" s="36">
        <f>IF(A28="","",(K28)*(IF((YEAR(D28)+6)&lt;YEAR(E28),0,IF((YEAR(D28)+6)&gt;YEAR(E28),1,(12-MONTH(E28)+1)/12)))*(1/(1+DiscountRate)^6))</f>
        <v/>
      </c>
      <c r="BP28" s="36">
        <f>IF(A28="","",(K28)*(IF((YEAR(D28)+7)&lt;YEAR(E28),0,IF((YEAR(D28)+7)&gt;YEAR(E28),1,(12-MONTH(E28)+1)/12)))*(1/(1+DiscountRate)^7))</f>
        <v/>
      </c>
      <c r="BQ28" s="36">
        <f>IF(A28="","",(K28)*(IF((YEAR(D28)+8)&lt;YEAR(E28),0,IF((YEAR(D28)+8)&gt;YEAR(E28),1,(12-MONTH(E28)+1)/12)))*(1/(1+DiscountRate)^8))</f>
        <v/>
      </c>
      <c r="BR28" s="36">
        <f>IF(A28="","",(K28)*(IF((YEAR(D28)+9)&lt;YEAR(E28),0,IF((YEAR(D28)+9)&gt;YEAR(E28),1,(12-MONTH(E28)+1)/12)))*(1/(1+DiscountRate)^9))</f>
        <v/>
      </c>
      <c r="BS28" s="36">
        <f>IF(A28="","",(K28)*(IF((YEAR(D28)+10)&lt;YEAR(E28),0,IF((YEAR(D28)+10)&gt;YEAR(E28),1,(12-MONTH(E28)+1)/12)))*(1/(1+DiscountRate)^10))</f>
        <v/>
      </c>
      <c r="BT28" s="36">
        <f>IF(A28="","",(K28)*(IF((YEAR(D28)+11)&lt;YEAR(E28),0,IF((YEAR(D28)+11)&gt;YEAR(E28),1,(12-MONTH(E28)+1)/12)))*(1/(1+DiscountRate)^11))</f>
        <v/>
      </c>
      <c r="BU28" s="36">
        <f>IF(A28="","",(K28)*(IF((YEAR(D28)+12)&lt;YEAR(E28),0,IF((YEAR(D28)+12)&gt;YEAR(E28),1,(12-MONTH(E28)+1)/12)))*(1/(1+DiscountRate)^12))</f>
        <v/>
      </c>
      <c r="BV28" s="36">
        <f>IF(A28="","",(K28)*(IF((YEAR(D28)+13)&lt;YEAR(E28),0,IF((YEAR(D28)+13)&gt;YEAR(E28),1,(12-MONTH(E28)+1)/12)))*(1/(1+DiscountRate)^13))</f>
        <v/>
      </c>
      <c r="BW28" s="36">
        <f>IF(A28="","",(K28)*(IF((YEAR(D28)+14)&lt;YEAR(E28),0,IF((YEAR(D28)+14)&gt;YEAR(E28),1,(12-MONTH(E28)+1)/12)))*(1/(1+DiscountRate)^14))</f>
        <v/>
      </c>
      <c r="BX28" s="36">
        <f>IF(A28="","",(K28)*(IF((YEAR(D28)+15)&lt;YEAR(E28),0,IF((YEAR(D28)+15)&gt;YEAR(E28),1,(12-MONTH(E28)+1)/12)))*(1/(1+DiscountRate)^15))</f>
        <v/>
      </c>
      <c r="BY28" s="36">
        <f>IF(A28="","",(K28)*(IF((YEAR(D28)+16)&lt;YEAR(E28),0,IF((YEAR(D28)+16)&gt;YEAR(E28),1,(12-MONTH(E28)+1)/12)))*(1/(1+DiscountRate)^16))</f>
        <v/>
      </c>
      <c r="BZ28" s="36">
        <f>IF(A28="","",(K28)*(IF((YEAR(D28)+17)&lt;YEAR(E28),0,IF((YEAR(D28)+17)&gt;YEAR(E28),1,(12-MONTH(E28)+1)/12)))*(1/(1+DiscountRate)^17))</f>
        <v/>
      </c>
      <c r="CA28" s="36">
        <f>IF(A28="","",(K28)*(IF((YEAR(D28)+18)&lt;YEAR(E28),0,IF((YEAR(D28)+18)&gt;YEAR(E28),1,(12-MONTH(E28)+1)/12)))*(1/(1+DiscountRate)^18))</f>
        <v/>
      </c>
      <c r="CB28" s="36">
        <f>IF(A28="","",(K28)*(IF((YEAR(D28)+19)&lt;YEAR(E28),0,IF((YEAR(D28)+19)&gt;YEAR(E28),1,(12-MONTH(E28)+1)/12)))*(1/(1+DiscountRate)^19))</f>
        <v/>
      </c>
      <c r="CC28" s="36">
        <f>IF(A28="","",(K28)*(IF((YEAR(D28)+20)&lt;YEAR(E28),0,IF((YEAR(D28)+20)&gt;YEAR(E28),1,(12-MONTH(E28)+1)/12)))*(1/(1+DiscountRate)^20))</f>
        <v/>
      </c>
      <c r="CD28" s="29">
        <f>IF(A28="","",S28/(1+DiscountRate)^0+T28/(1+DiscountRate)^1+U28/(1+DiscountRate)^2+V28/(1+DiscountRate)^3+W28/(1+DiscountRate)^4+X28/(1+DiscountRate)^5+Y28/(1+DiscountRate)^6+Z28/(1+DiscountRate)^7+AA28/(1+DiscountRate)^8+AB28/(1+DiscountRate)^9+AC28/(1+DiscountRate)^10+AD28/(1+DiscountRate)^11+AE28/(1+DiscountRate)^12+AF28/(1+DiscountRate)^13+AG28/(1+DiscountRate)^14+AH28/(1+DiscountRate)^15+AI28/(1+DiscountRate)^16+AJ28/(1+DiscountRate)^17+AK28/(1+DiscountRate)^18+AL28/(1+DiscountRate)^19+AM28/(1+DiscountRate)^20)</f>
        <v/>
      </c>
      <c r="CE28" s="37">
        <f>IF(A28="","",IFERROR(IRR(OFFSET(S28,0,0,1,MIN(HorizonYears,20)+1)),"n/a"))</f>
        <v/>
      </c>
      <c r="CF28" s="28">
        <f>IF(A28="","",IFERROR(MATCH(TRUE,OFFSET(AN28,0,0,1,MIN(HorizonYears,20)+1)&gt;=0,0)-1,"n/a"))</f>
        <v/>
      </c>
      <c r="CG28" s="36">
        <f>IF(A28="","",SUM(OFFSET(BI28,0,0,1,MIN(HorizonYears,20)+1)))</f>
        <v/>
      </c>
      <c r="CH28" s="36">
        <f>IF(A28="","",IFERROR(-CD28/CG28,"n/a"))</f>
        <v/>
      </c>
    </row>
    <row r="29">
      <c r="A29" s="6">
        <f>Actions!A27</f>
        <v/>
      </c>
      <c r="B29" s="6">
        <f>Actions!B27</f>
        <v/>
      </c>
      <c r="C29" s="6">
        <f>Actions!D27</f>
        <v/>
      </c>
      <c r="D29" s="35">
        <f>Actions!E27</f>
        <v/>
      </c>
      <c r="E29" s="35">
        <f>Actions!F27</f>
        <v/>
      </c>
      <c r="F29" s="6">
        <f>Actions!G27</f>
        <v/>
      </c>
      <c r="G29" s="6">
        <f>Actions!H27</f>
        <v/>
      </c>
      <c r="H29" s="29">
        <f>Actions!I27</f>
        <v/>
      </c>
      <c r="I29" s="6">
        <f>Actions!J27</f>
        <v/>
      </c>
      <c r="J29" s="16">
        <f>Actions!K27</f>
        <v/>
      </c>
      <c r="K29" s="16">
        <f>IF(A29="","",IF(I29="%",H29*J29,J29))</f>
        <v/>
      </c>
      <c r="L29" s="16">
        <f>Actions!L27</f>
        <v/>
      </c>
      <c r="M29" s="6">
        <f>Actions!M27</f>
        <v/>
      </c>
      <c r="N29" s="28">
        <f>Actions!N27</f>
        <v/>
      </c>
      <c r="O29" s="29">
        <f>Actions!T27</f>
        <v/>
      </c>
      <c r="P29" s="29">
        <f>Actions!Y27</f>
        <v/>
      </c>
      <c r="Q29" s="29">
        <f>Actions!Z27</f>
        <v/>
      </c>
      <c r="R29" s="29">
        <f>Actions!AA27</f>
        <v/>
      </c>
      <c r="S29" s="29">
        <f>IF(A29="","",((K29)*(IF(M29="",L29,IFERROR(IF(INDEX(Variablen!$I:$AT, MATCH(M29, Variablen!$A:$A, 0), MATCH((YEAR(D29)+0), Variablen!$I$3:$AT$3, 0))="",L29,INDEX(Variablen!$I:$AT, MATCH(M29, Variablen!$A:$A, 0), MATCH((YEAR(D29)+0), Variablen!$I$3:$AT$3, 0))),L29)))*(IF((YEAR(D29)+0)&lt;YEAR(E29),0,IF((YEAR(D29)+0)&gt;YEAR(E29),1,(12-MONTH(E29)+1)/12))) + (Q29)*(IF((YEAR(D29)+0)&lt;YEAR(E29),0,IF((YEAR(D29)+0)&gt;YEAR(E29),1,(12-MONTH(E29)+1)/12))))-((P29)*(IF((YEAR(D29)+0)&lt;YEAR(E29),0,IF((YEAR(D29)+0)&gt;YEAR(E29),1,(12-MONTH(E29)+1)/12))) + (R29)*(IF((YEAR(D29)+0)&lt;YEAR(E29),0,IF((YEAR(D29)+0)&gt;YEAR(E29),1,(12-MONTH(E29)+1)/12))))-(IF((((K29)*(IF(M29="",L29,IFERROR(IF(INDEX(Variablen!$I:$AT, MATCH(M29, Variablen!$A:$A, 0), MATCH((YEAR(D29)+0), Variablen!$I$3:$AT$3, 0))="",L29,INDEX(Variablen!$I:$AT, MATCH(M29, Variablen!$A:$A, 0), MATCH((YEAR(D29)+0), Variablen!$I$3:$AT$3, 0))),L29)))*(IF((YEAR(D29)+0)&lt;YEAR(E29),0,IF((YEAR(D29)+0)&gt;YEAR(E29),1,(12-MONTH(E29)+1)/12))) + (Q29)*(IF((YEAR(D29)+0)&lt;YEAR(E29),0,IF((YEAR(D29)+0)&gt;YEAR(E29),1,(12-MONTH(E29)+1)/12))))-((P29)*(IF((YEAR(D29)+0)&lt;YEAR(E29),0,IF((YEAR(D29)+0)&gt;YEAR(E29),1,(12-MONTH(E29)+1)/12))) + (R29)*(IF((YEAR(D29)+0)&lt;YEAR(E29),0,IF((YEAR(D29)+0)&gt;YEAR(E29),1,(12-MONTH(E29)+1)/12))))-(IF(OR(N29="",N29&lt;=0),0,(O29/N29)*(IF(OR(N29="",N29&lt;=0),0,IF((YEAR(D29)+0)&lt;YEAR(E29),0,IF((YEAR(D29)+0)&gt;=YEAR(E29)+N29,0,IF((YEAR(D29)+0)=YEAR(E29),(12-MONTH(E29)+1)/12,1))))))))&gt;0,(((K29)*(IF(M29="",L29,IFERROR(IF(INDEX(Variablen!$I:$AT, MATCH(M29, Variablen!$A:$A, 0), MATCH((YEAR(D29)+0), Variablen!$I$3:$AT$3, 0))="",L29,INDEX(Variablen!$I:$AT, MATCH(M29, Variablen!$A:$A, 0), MATCH((YEAR(D29)+0), Variablen!$I$3:$AT$3, 0))),L29)))*(IF((YEAR(D29)+0)&lt;YEAR(E29),0,IF((YEAR(D29)+0)&gt;YEAR(E29),1,(12-MONTH(E29)+1)/12))) + (Q29)*(IF((YEAR(D29)+0)&lt;YEAR(E29),0,IF((YEAR(D29)+0)&gt;YEAR(E29),1,(12-MONTH(E29)+1)/12))))-((P29)*(IF((YEAR(D29)+0)&lt;YEAR(E29),0,IF((YEAR(D29)+0)&gt;YEAR(E29),1,(12-MONTH(E29)+1)/12))) + (R29)*(IF((YEAR(D29)+0)&lt;YEAR(E29),0,IF((YEAR(D29)+0)&gt;YEAR(E29),1,(12-MONTH(E29)+1)/12))))-(IF(OR(N29="",N29&lt;=0),0,(O29/N29)*(IF(OR(N29="",N29&lt;=0),0,IF((YEAR(D29)+0)&lt;YEAR(E29),0,IF((YEAR(D29)+0)&gt;=YEAR(E29)+N29,0,IF((YEAR(D29)+0)=YEAR(E29),(12-MONTH(E29)+1)/12,1))))))))*TaxRate,0))-IF(0=0,O29,0))</f>
        <v/>
      </c>
      <c r="T29" s="29">
        <f>IF(A29="","",((K29)*(IF(M29="",L29,IFERROR(IF(INDEX(Variablen!$I:$AT, MATCH(M29, Variablen!$A:$A, 0), MATCH((YEAR(D29)+1), Variablen!$I$3:$AT$3, 0))="",L29,INDEX(Variablen!$I:$AT, MATCH(M29, Variablen!$A:$A, 0), MATCH((YEAR(D29)+1), Variablen!$I$3:$AT$3, 0))),L29)))*(IF((YEAR(D29)+1)&lt;YEAR(E29),0,IF((YEAR(D29)+1)&gt;YEAR(E29),1,(12-MONTH(E29)+1)/12))) + (Q29)*(IF((YEAR(D29)+1)&lt;YEAR(E29),0,IF((YEAR(D29)+1)&gt;YEAR(E29),1,(12-MONTH(E29)+1)/12))))-((P29)*(IF((YEAR(D29)+1)&lt;YEAR(E29),0,IF((YEAR(D29)+1)&gt;YEAR(E29),1,(12-MONTH(E29)+1)/12))) + (R29)*(IF((YEAR(D29)+1)&lt;YEAR(E29),0,IF((YEAR(D29)+1)&gt;YEAR(E29),1,(12-MONTH(E29)+1)/12))))-(IF((((K29)*(IF(M29="",L29,IFERROR(IF(INDEX(Variablen!$I:$AT, MATCH(M29, Variablen!$A:$A, 0), MATCH((YEAR(D29)+1), Variablen!$I$3:$AT$3, 0))="",L29,INDEX(Variablen!$I:$AT, MATCH(M29, Variablen!$A:$A, 0), MATCH((YEAR(D29)+1), Variablen!$I$3:$AT$3, 0))),L29)))*(IF((YEAR(D29)+1)&lt;YEAR(E29),0,IF((YEAR(D29)+1)&gt;YEAR(E29),1,(12-MONTH(E29)+1)/12))) + (Q29)*(IF((YEAR(D29)+1)&lt;YEAR(E29),0,IF((YEAR(D29)+1)&gt;YEAR(E29),1,(12-MONTH(E29)+1)/12))))-((P29)*(IF((YEAR(D29)+1)&lt;YEAR(E29),0,IF((YEAR(D29)+1)&gt;YEAR(E29),1,(12-MONTH(E29)+1)/12))) + (R29)*(IF((YEAR(D29)+1)&lt;YEAR(E29),0,IF((YEAR(D29)+1)&gt;YEAR(E29),1,(12-MONTH(E29)+1)/12))))-(IF(OR(N29="",N29&lt;=0),0,(O29/N29)*(IF(OR(N29="",N29&lt;=0),0,IF((YEAR(D29)+1)&lt;YEAR(E29),0,IF((YEAR(D29)+1)&gt;=YEAR(E29)+N29,0,IF((YEAR(D29)+1)=YEAR(E29),(12-MONTH(E29)+1)/12,1))))))))&gt;0,(((K29)*(IF(M29="",L29,IFERROR(IF(INDEX(Variablen!$I:$AT, MATCH(M29, Variablen!$A:$A, 0), MATCH((YEAR(D29)+1), Variablen!$I$3:$AT$3, 0))="",L29,INDEX(Variablen!$I:$AT, MATCH(M29, Variablen!$A:$A, 0), MATCH((YEAR(D29)+1), Variablen!$I$3:$AT$3, 0))),L29)))*(IF((YEAR(D29)+1)&lt;YEAR(E29),0,IF((YEAR(D29)+1)&gt;YEAR(E29),1,(12-MONTH(E29)+1)/12))) + (Q29)*(IF((YEAR(D29)+1)&lt;YEAR(E29),0,IF((YEAR(D29)+1)&gt;YEAR(E29),1,(12-MONTH(E29)+1)/12))))-((P29)*(IF((YEAR(D29)+1)&lt;YEAR(E29),0,IF((YEAR(D29)+1)&gt;YEAR(E29),1,(12-MONTH(E29)+1)/12))) + (R29)*(IF((YEAR(D29)+1)&lt;YEAR(E29),0,IF((YEAR(D29)+1)&gt;YEAR(E29),1,(12-MONTH(E29)+1)/12))))-(IF(OR(N29="",N29&lt;=0),0,(O29/N29)*(IF(OR(N29="",N29&lt;=0),0,IF((YEAR(D29)+1)&lt;YEAR(E29),0,IF((YEAR(D29)+1)&gt;=YEAR(E29)+N29,0,IF((YEAR(D29)+1)=YEAR(E29),(12-MONTH(E29)+1)/12,1))))))))*TaxRate,0))-IF(1=0,O29,0))</f>
        <v/>
      </c>
      <c r="U29" s="29">
        <f>IF(A29="","",((K29)*(IF(M29="",L29,IFERROR(IF(INDEX(Variablen!$I:$AT, MATCH(M29, Variablen!$A:$A, 0), MATCH((YEAR(D29)+2), Variablen!$I$3:$AT$3, 0))="",L29,INDEX(Variablen!$I:$AT, MATCH(M29, Variablen!$A:$A, 0), MATCH((YEAR(D29)+2), Variablen!$I$3:$AT$3, 0))),L29)))*(IF((YEAR(D29)+2)&lt;YEAR(E29),0,IF((YEAR(D29)+2)&gt;YEAR(E29),1,(12-MONTH(E29)+1)/12))) + (Q29)*(IF((YEAR(D29)+2)&lt;YEAR(E29),0,IF((YEAR(D29)+2)&gt;YEAR(E29),1,(12-MONTH(E29)+1)/12))))-((P29)*(IF((YEAR(D29)+2)&lt;YEAR(E29),0,IF((YEAR(D29)+2)&gt;YEAR(E29),1,(12-MONTH(E29)+1)/12))) + (R29)*(IF((YEAR(D29)+2)&lt;YEAR(E29),0,IF((YEAR(D29)+2)&gt;YEAR(E29),1,(12-MONTH(E29)+1)/12))))-(IF((((K29)*(IF(M29="",L29,IFERROR(IF(INDEX(Variablen!$I:$AT, MATCH(M29, Variablen!$A:$A, 0), MATCH((YEAR(D29)+2), Variablen!$I$3:$AT$3, 0))="",L29,INDEX(Variablen!$I:$AT, MATCH(M29, Variablen!$A:$A, 0), MATCH((YEAR(D29)+2), Variablen!$I$3:$AT$3, 0))),L29)))*(IF((YEAR(D29)+2)&lt;YEAR(E29),0,IF((YEAR(D29)+2)&gt;YEAR(E29),1,(12-MONTH(E29)+1)/12))) + (Q29)*(IF((YEAR(D29)+2)&lt;YEAR(E29),0,IF((YEAR(D29)+2)&gt;YEAR(E29),1,(12-MONTH(E29)+1)/12))))-((P29)*(IF((YEAR(D29)+2)&lt;YEAR(E29),0,IF((YEAR(D29)+2)&gt;YEAR(E29),1,(12-MONTH(E29)+1)/12))) + (R29)*(IF((YEAR(D29)+2)&lt;YEAR(E29),0,IF((YEAR(D29)+2)&gt;YEAR(E29),1,(12-MONTH(E29)+1)/12))))-(IF(OR(N29="",N29&lt;=0),0,(O29/N29)*(IF(OR(N29="",N29&lt;=0),0,IF((YEAR(D29)+2)&lt;YEAR(E29),0,IF((YEAR(D29)+2)&gt;=YEAR(E29)+N29,0,IF((YEAR(D29)+2)=YEAR(E29),(12-MONTH(E29)+1)/12,1))))))))&gt;0,(((K29)*(IF(M29="",L29,IFERROR(IF(INDEX(Variablen!$I:$AT, MATCH(M29, Variablen!$A:$A, 0), MATCH((YEAR(D29)+2), Variablen!$I$3:$AT$3, 0))="",L29,INDEX(Variablen!$I:$AT, MATCH(M29, Variablen!$A:$A, 0), MATCH((YEAR(D29)+2), Variablen!$I$3:$AT$3, 0))),L29)))*(IF((YEAR(D29)+2)&lt;YEAR(E29),0,IF((YEAR(D29)+2)&gt;YEAR(E29),1,(12-MONTH(E29)+1)/12))) + (Q29)*(IF((YEAR(D29)+2)&lt;YEAR(E29),0,IF((YEAR(D29)+2)&gt;YEAR(E29),1,(12-MONTH(E29)+1)/12))))-((P29)*(IF((YEAR(D29)+2)&lt;YEAR(E29),0,IF((YEAR(D29)+2)&gt;YEAR(E29),1,(12-MONTH(E29)+1)/12))) + (R29)*(IF((YEAR(D29)+2)&lt;YEAR(E29),0,IF((YEAR(D29)+2)&gt;YEAR(E29),1,(12-MONTH(E29)+1)/12))))-(IF(OR(N29="",N29&lt;=0),0,(O29/N29)*(IF(OR(N29="",N29&lt;=0),0,IF((YEAR(D29)+2)&lt;YEAR(E29),0,IF((YEAR(D29)+2)&gt;=YEAR(E29)+N29,0,IF((YEAR(D29)+2)=YEAR(E29),(12-MONTH(E29)+1)/12,1))))))))*TaxRate,0))-IF(2=0,O29,0))</f>
        <v/>
      </c>
      <c r="V29" s="29">
        <f>IF(A29="","",((K29)*(IF(M29="",L29,IFERROR(IF(INDEX(Variablen!$I:$AT, MATCH(M29, Variablen!$A:$A, 0), MATCH((YEAR(D29)+3), Variablen!$I$3:$AT$3, 0))="",L29,INDEX(Variablen!$I:$AT, MATCH(M29, Variablen!$A:$A, 0), MATCH((YEAR(D29)+3), Variablen!$I$3:$AT$3, 0))),L29)))*(IF((YEAR(D29)+3)&lt;YEAR(E29),0,IF((YEAR(D29)+3)&gt;YEAR(E29),1,(12-MONTH(E29)+1)/12))) + (Q29)*(IF((YEAR(D29)+3)&lt;YEAR(E29),0,IF((YEAR(D29)+3)&gt;YEAR(E29),1,(12-MONTH(E29)+1)/12))))-((P29)*(IF((YEAR(D29)+3)&lt;YEAR(E29),0,IF((YEAR(D29)+3)&gt;YEAR(E29),1,(12-MONTH(E29)+1)/12))) + (R29)*(IF((YEAR(D29)+3)&lt;YEAR(E29),0,IF((YEAR(D29)+3)&gt;YEAR(E29),1,(12-MONTH(E29)+1)/12))))-(IF((((K29)*(IF(M29="",L29,IFERROR(IF(INDEX(Variablen!$I:$AT, MATCH(M29, Variablen!$A:$A, 0), MATCH((YEAR(D29)+3), Variablen!$I$3:$AT$3, 0))="",L29,INDEX(Variablen!$I:$AT, MATCH(M29, Variablen!$A:$A, 0), MATCH((YEAR(D29)+3), Variablen!$I$3:$AT$3, 0))),L29)))*(IF((YEAR(D29)+3)&lt;YEAR(E29),0,IF((YEAR(D29)+3)&gt;YEAR(E29),1,(12-MONTH(E29)+1)/12))) + (Q29)*(IF((YEAR(D29)+3)&lt;YEAR(E29),0,IF((YEAR(D29)+3)&gt;YEAR(E29),1,(12-MONTH(E29)+1)/12))))-((P29)*(IF((YEAR(D29)+3)&lt;YEAR(E29),0,IF((YEAR(D29)+3)&gt;YEAR(E29),1,(12-MONTH(E29)+1)/12))) + (R29)*(IF((YEAR(D29)+3)&lt;YEAR(E29),0,IF((YEAR(D29)+3)&gt;YEAR(E29),1,(12-MONTH(E29)+1)/12))))-(IF(OR(N29="",N29&lt;=0),0,(O29/N29)*(IF(OR(N29="",N29&lt;=0),0,IF((YEAR(D29)+3)&lt;YEAR(E29),0,IF((YEAR(D29)+3)&gt;=YEAR(E29)+N29,0,IF((YEAR(D29)+3)=YEAR(E29),(12-MONTH(E29)+1)/12,1))))))))&gt;0,(((K29)*(IF(M29="",L29,IFERROR(IF(INDEX(Variablen!$I:$AT, MATCH(M29, Variablen!$A:$A, 0), MATCH((YEAR(D29)+3), Variablen!$I$3:$AT$3, 0))="",L29,INDEX(Variablen!$I:$AT, MATCH(M29, Variablen!$A:$A, 0), MATCH((YEAR(D29)+3), Variablen!$I$3:$AT$3, 0))),L29)))*(IF((YEAR(D29)+3)&lt;YEAR(E29),0,IF((YEAR(D29)+3)&gt;YEAR(E29),1,(12-MONTH(E29)+1)/12))) + (Q29)*(IF((YEAR(D29)+3)&lt;YEAR(E29),0,IF((YEAR(D29)+3)&gt;YEAR(E29),1,(12-MONTH(E29)+1)/12))))-((P29)*(IF((YEAR(D29)+3)&lt;YEAR(E29),0,IF((YEAR(D29)+3)&gt;YEAR(E29),1,(12-MONTH(E29)+1)/12))) + (R29)*(IF((YEAR(D29)+3)&lt;YEAR(E29),0,IF((YEAR(D29)+3)&gt;YEAR(E29),1,(12-MONTH(E29)+1)/12))))-(IF(OR(N29="",N29&lt;=0),0,(O29/N29)*(IF(OR(N29="",N29&lt;=0),0,IF((YEAR(D29)+3)&lt;YEAR(E29),0,IF((YEAR(D29)+3)&gt;=YEAR(E29)+N29,0,IF((YEAR(D29)+3)=YEAR(E29),(12-MONTH(E29)+1)/12,1))))))))*TaxRate,0))-IF(3=0,O29,0))</f>
        <v/>
      </c>
      <c r="W29" s="29">
        <f>IF(A29="","",((K29)*(IF(M29="",L29,IFERROR(IF(INDEX(Variablen!$I:$AT, MATCH(M29, Variablen!$A:$A, 0), MATCH((YEAR(D29)+4), Variablen!$I$3:$AT$3, 0))="",L29,INDEX(Variablen!$I:$AT, MATCH(M29, Variablen!$A:$A, 0), MATCH((YEAR(D29)+4), Variablen!$I$3:$AT$3, 0))),L29)))*(IF((YEAR(D29)+4)&lt;YEAR(E29),0,IF((YEAR(D29)+4)&gt;YEAR(E29),1,(12-MONTH(E29)+1)/12))) + (Q29)*(IF((YEAR(D29)+4)&lt;YEAR(E29),0,IF((YEAR(D29)+4)&gt;YEAR(E29),1,(12-MONTH(E29)+1)/12))))-((P29)*(IF((YEAR(D29)+4)&lt;YEAR(E29),0,IF((YEAR(D29)+4)&gt;YEAR(E29),1,(12-MONTH(E29)+1)/12))) + (R29)*(IF((YEAR(D29)+4)&lt;YEAR(E29),0,IF((YEAR(D29)+4)&gt;YEAR(E29),1,(12-MONTH(E29)+1)/12))))-(IF((((K29)*(IF(M29="",L29,IFERROR(IF(INDEX(Variablen!$I:$AT, MATCH(M29, Variablen!$A:$A, 0), MATCH((YEAR(D29)+4), Variablen!$I$3:$AT$3, 0))="",L29,INDEX(Variablen!$I:$AT, MATCH(M29, Variablen!$A:$A, 0), MATCH((YEAR(D29)+4), Variablen!$I$3:$AT$3, 0))),L29)))*(IF((YEAR(D29)+4)&lt;YEAR(E29),0,IF((YEAR(D29)+4)&gt;YEAR(E29),1,(12-MONTH(E29)+1)/12))) + (Q29)*(IF((YEAR(D29)+4)&lt;YEAR(E29),0,IF((YEAR(D29)+4)&gt;YEAR(E29),1,(12-MONTH(E29)+1)/12))))-((P29)*(IF((YEAR(D29)+4)&lt;YEAR(E29),0,IF((YEAR(D29)+4)&gt;YEAR(E29),1,(12-MONTH(E29)+1)/12))) + (R29)*(IF((YEAR(D29)+4)&lt;YEAR(E29),0,IF((YEAR(D29)+4)&gt;YEAR(E29),1,(12-MONTH(E29)+1)/12))))-(IF(OR(N29="",N29&lt;=0),0,(O29/N29)*(IF(OR(N29="",N29&lt;=0),0,IF((YEAR(D29)+4)&lt;YEAR(E29),0,IF((YEAR(D29)+4)&gt;=YEAR(E29)+N29,0,IF((YEAR(D29)+4)=YEAR(E29),(12-MONTH(E29)+1)/12,1))))))))&gt;0,(((K29)*(IF(M29="",L29,IFERROR(IF(INDEX(Variablen!$I:$AT, MATCH(M29, Variablen!$A:$A, 0), MATCH((YEAR(D29)+4), Variablen!$I$3:$AT$3, 0))="",L29,INDEX(Variablen!$I:$AT, MATCH(M29, Variablen!$A:$A, 0), MATCH((YEAR(D29)+4), Variablen!$I$3:$AT$3, 0))),L29)))*(IF((YEAR(D29)+4)&lt;YEAR(E29),0,IF((YEAR(D29)+4)&gt;YEAR(E29),1,(12-MONTH(E29)+1)/12))) + (Q29)*(IF((YEAR(D29)+4)&lt;YEAR(E29),0,IF((YEAR(D29)+4)&gt;YEAR(E29),1,(12-MONTH(E29)+1)/12))))-((P29)*(IF((YEAR(D29)+4)&lt;YEAR(E29),0,IF((YEAR(D29)+4)&gt;YEAR(E29),1,(12-MONTH(E29)+1)/12))) + (R29)*(IF((YEAR(D29)+4)&lt;YEAR(E29),0,IF((YEAR(D29)+4)&gt;YEAR(E29),1,(12-MONTH(E29)+1)/12))))-(IF(OR(N29="",N29&lt;=0),0,(O29/N29)*(IF(OR(N29="",N29&lt;=0),0,IF((YEAR(D29)+4)&lt;YEAR(E29),0,IF((YEAR(D29)+4)&gt;=YEAR(E29)+N29,0,IF((YEAR(D29)+4)=YEAR(E29),(12-MONTH(E29)+1)/12,1))))))))*TaxRate,0))-IF(4=0,O29,0))</f>
        <v/>
      </c>
      <c r="X29" s="29">
        <f>IF(A29="","",((K29)*(IF(M29="",L29,IFERROR(IF(INDEX(Variablen!$I:$AT, MATCH(M29, Variablen!$A:$A, 0), MATCH((YEAR(D29)+5), Variablen!$I$3:$AT$3, 0))="",L29,INDEX(Variablen!$I:$AT, MATCH(M29, Variablen!$A:$A, 0), MATCH((YEAR(D29)+5), Variablen!$I$3:$AT$3, 0))),L29)))*(IF((YEAR(D29)+5)&lt;YEAR(E29),0,IF((YEAR(D29)+5)&gt;YEAR(E29),1,(12-MONTH(E29)+1)/12))) + (Q29)*(IF((YEAR(D29)+5)&lt;YEAR(E29),0,IF((YEAR(D29)+5)&gt;YEAR(E29),1,(12-MONTH(E29)+1)/12))))-((P29)*(IF((YEAR(D29)+5)&lt;YEAR(E29),0,IF((YEAR(D29)+5)&gt;YEAR(E29),1,(12-MONTH(E29)+1)/12))) + (R29)*(IF((YEAR(D29)+5)&lt;YEAR(E29),0,IF((YEAR(D29)+5)&gt;YEAR(E29),1,(12-MONTH(E29)+1)/12))))-(IF((((K29)*(IF(M29="",L29,IFERROR(IF(INDEX(Variablen!$I:$AT, MATCH(M29, Variablen!$A:$A, 0), MATCH((YEAR(D29)+5), Variablen!$I$3:$AT$3, 0))="",L29,INDEX(Variablen!$I:$AT, MATCH(M29, Variablen!$A:$A, 0), MATCH((YEAR(D29)+5), Variablen!$I$3:$AT$3, 0))),L29)))*(IF((YEAR(D29)+5)&lt;YEAR(E29),0,IF((YEAR(D29)+5)&gt;YEAR(E29),1,(12-MONTH(E29)+1)/12))) + (Q29)*(IF((YEAR(D29)+5)&lt;YEAR(E29),0,IF((YEAR(D29)+5)&gt;YEAR(E29),1,(12-MONTH(E29)+1)/12))))-((P29)*(IF((YEAR(D29)+5)&lt;YEAR(E29),0,IF((YEAR(D29)+5)&gt;YEAR(E29),1,(12-MONTH(E29)+1)/12))) + (R29)*(IF((YEAR(D29)+5)&lt;YEAR(E29),0,IF((YEAR(D29)+5)&gt;YEAR(E29),1,(12-MONTH(E29)+1)/12))))-(IF(OR(N29="",N29&lt;=0),0,(O29/N29)*(IF(OR(N29="",N29&lt;=0),0,IF((YEAR(D29)+5)&lt;YEAR(E29),0,IF((YEAR(D29)+5)&gt;=YEAR(E29)+N29,0,IF((YEAR(D29)+5)=YEAR(E29),(12-MONTH(E29)+1)/12,1))))))))&gt;0,(((K29)*(IF(M29="",L29,IFERROR(IF(INDEX(Variablen!$I:$AT, MATCH(M29, Variablen!$A:$A, 0), MATCH((YEAR(D29)+5), Variablen!$I$3:$AT$3, 0))="",L29,INDEX(Variablen!$I:$AT, MATCH(M29, Variablen!$A:$A, 0), MATCH((YEAR(D29)+5), Variablen!$I$3:$AT$3, 0))),L29)))*(IF((YEAR(D29)+5)&lt;YEAR(E29),0,IF((YEAR(D29)+5)&gt;YEAR(E29),1,(12-MONTH(E29)+1)/12))) + (Q29)*(IF((YEAR(D29)+5)&lt;YEAR(E29),0,IF((YEAR(D29)+5)&gt;YEAR(E29),1,(12-MONTH(E29)+1)/12))))-((P29)*(IF((YEAR(D29)+5)&lt;YEAR(E29),0,IF((YEAR(D29)+5)&gt;YEAR(E29),1,(12-MONTH(E29)+1)/12))) + (R29)*(IF((YEAR(D29)+5)&lt;YEAR(E29),0,IF((YEAR(D29)+5)&gt;YEAR(E29),1,(12-MONTH(E29)+1)/12))))-(IF(OR(N29="",N29&lt;=0),0,(O29/N29)*(IF(OR(N29="",N29&lt;=0),0,IF((YEAR(D29)+5)&lt;YEAR(E29),0,IF((YEAR(D29)+5)&gt;=YEAR(E29)+N29,0,IF((YEAR(D29)+5)=YEAR(E29),(12-MONTH(E29)+1)/12,1))))))))*TaxRate,0))-IF(5=0,O29,0))</f>
        <v/>
      </c>
      <c r="Y29" s="29">
        <f>IF(A29="","",((K29)*(IF(M29="",L29,IFERROR(IF(INDEX(Variablen!$I:$AT, MATCH(M29, Variablen!$A:$A, 0), MATCH((YEAR(D29)+6), Variablen!$I$3:$AT$3, 0))="",L29,INDEX(Variablen!$I:$AT, MATCH(M29, Variablen!$A:$A, 0), MATCH((YEAR(D29)+6), Variablen!$I$3:$AT$3, 0))),L29)))*(IF((YEAR(D29)+6)&lt;YEAR(E29),0,IF((YEAR(D29)+6)&gt;YEAR(E29),1,(12-MONTH(E29)+1)/12))) + (Q29)*(IF((YEAR(D29)+6)&lt;YEAR(E29),0,IF((YEAR(D29)+6)&gt;YEAR(E29),1,(12-MONTH(E29)+1)/12))))-((P29)*(IF((YEAR(D29)+6)&lt;YEAR(E29),0,IF((YEAR(D29)+6)&gt;YEAR(E29),1,(12-MONTH(E29)+1)/12))) + (R29)*(IF((YEAR(D29)+6)&lt;YEAR(E29),0,IF((YEAR(D29)+6)&gt;YEAR(E29),1,(12-MONTH(E29)+1)/12))))-(IF((((K29)*(IF(M29="",L29,IFERROR(IF(INDEX(Variablen!$I:$AT, MATCH(M29, Variablen!$A:$A, 0), MATCH((YEAR(D29)+6), Variablen!$I$3:$AT$3, 0))="",L29,INDEX(Variablen!$I:$AT, MATCH(M29, Variablen!$A:$A, 0), MATCH((YEAR(D29)+6), Variablen!$I$3:$AT$3, 0))),L29)))*(IF((YEAR(D29)+6)&lt;YEAR(E29),0,IF((YEAR(D29)+6)&gt;YEAR(E29),1,(12-MONTH(E29)+1)/12))) + (Q29)*(IF((YEAR(D29)+6)&lt;YEAR(E29),0,IF((YEAR(D29)+6)&gt;YEAR(E29),1,(12-MONTH(E29)+1)/12))))-((P29)*(IF((YEAR(D29)+6)&lt;YEAR(E29),0,IF((YEAR(D29)+6)&gt;YEAR(E29),1,(12-MONTH(E29)+1)/12))) + (R29)*(IF((YEAR(D29)+6)&lt;YEAR(E29),0,IF((YEAR(D29)+6)&gt;YEAR(E29),1,(12-MONTH(E29)+1)/12))))-(IF(OR(N29="",N29&lt;=0),0,(O29/N29)*(IF(OR(N29="",N29&lt;=0),0,IF((YEAR(D29)+6)&lt;YEAR(E29),0,IF((YEAR(D29)+6)&gt;=YEAR(E29)+N29,0,IF((YEAR(D29)+6)=YEAR(E29),(12-MONTH(E29)+1)/12,1))))))))&gt;0,(((K29)*(IF(M29="",L29,IFERROR(IF(INDEX(Variablen!$I:$AT, MATCH(M29, Variablen!$A:$A, 0), MATCH((YEAR(D29)+6), Variablen!$I$3:$AT$3, 0))="",L29,INDEX(Variablen!$I:$AT, MATCH(M29, Variablen!$A:$A, 0), MATCH((YEAR(D29)+6), Variablen!$I$3:$AT$3, 0))),L29)))*(IF((YEAR(D29)+6)&lt;YEAR(E29),0,IF((YEAR(D29)+6)&gt;YEAR(E29),1,(12-MONTH(E29)+1)/12))) + (Q29)*(IF((YEAR(D29)+6)&lt;YEAR(E29),0,IF((YEAR(D29)+6)&gt;YEAR(E29),1,(12-MONTH(E29)+1)/12))))-((P29)*(IF((YEAR(D29)+6)&lt;YEAR(E29),0,IF((YEAR(D29)+6)&gt;YEAR(E29),1,(12-MONTH(E29)+1)/12))) + (R29)*(IF((YEAR(D29)+6)&lt;YEAR(E29),0,IF((YEAR(D29)+6)&gt;YEAR(E29),1,(12-MONTH(E29)+1)/12))))-(IF(OR(N29="",N29&lt;=0),0,(O29/N29)*(IF(OR(N29="",N29&lt;=0),0,IF((YEAR(D29)+6)&lt;YEAR(E29),0,IF((YEAR(D29)+6)&gt;=YEAR(E29)+N29,0,IF((YEAR(D29)+6)=YEAR(E29),(12-MONTH(E29)+1)/12,1))))))))*TaxRate,0))-IF(6=0,O29,0))</f>
        <v/>
      </c>
      <c r="Z29" s="29">
        <f>IF(A29="","",((K29)*(IF(M29="",L29,IFERROR(IF(INDEX(Variablen!$I:$AT, MATCH(M29, Variablen!$A:$A, 0), MATCH((YEAR(D29)+7), Variablen!$I$3:$AT$3, 0))="",L29,INDEX(Variablen!$I:$AT, MATCH(M29, Variablen!$A:$A, 0), MATCH((YEAR(D29)+7), Variablen!$I$3:$AT$3, 0))),L29)))*(IF((YEAR(D29)+7)&lt;YEAR(E29),0,IF((YEAR(D29)+7)&gt;YEAR(E29),1,(12-MONTH(E29)+1)/12))) + (Q29)*(IF((YEAR(D29)+7)&lt;YEAR(E29),0,IF((YEAR(D29)+7)&gt;YEAR(E29),1,(12-MONTH(E29)+1)/12))))-((P29)*(IF((YEAR(D29)+7)&lt;YEAR(E29),0,IF((YEAR(D29)+7)&gt;YEAR(E29),1,(12-MONTH(E29)+1)/12))) + (R29)*(IF((YEAR(D29)+7)&lt;YEAR(E29),0,IF((YEAR(D29)+7)&gt;YEAR(E29),1,(12-MONTH(E29)+1)/12))))-(IF((((K29)*(IF(M29="",L29,IFERROR(IF(INDEX(Variablen!$I:$AT, MATCH(M29, Variablen!$A:$A, 0), MATCH((YEAR(D29)+7), Variablen!$I$3:$AT$3, 0))="",L29,INDEX(Variablen!$I:$AT, MATCH(M29, Variablen!$A:$A, 0), MATCH((YEAR(D29)+7), Variablen!$I$3:$AT$3, 0))),L29)))*(IF((YEAR(D29)+7)&lt;YEAR(E29),0,IF((YEAR(D29)+7)&gt;YEAR(E29),1,(12-MONTH(E29)+1)/12))) + (Q29)*(IF((YEAR(D29)+7)&lt;YEAR(E29),0,IF((YEAR(D29)+7)&gt;YEAR(E29),1,(12-MONTH(E29)+1)/12))))-((P29)*(IF((YEAR(D29)+7)&lt;YEAR(E29),0,IF((YEAR(D29)+7)&gt;YEAR(E29),1,(12-MONTH(E29)+1)/12))) + (R29)*(IF((YEAR(D29)+7)&lt;YEAR(E29),0,IF((YEAR(D29)+7)&gt;YEAR(E29),1,(12-MONTH(E29)+1)/12))))-(IF(OR(N29="",N29&lt;=0),0,(O29/N29)*(IF(OR(N29="",N29&lt;=0),0,IF((YEAR(D29)+7)&lt;YEAR(E29),0,IF((YEAR(D29)+7)&gt;=YEAR(E29)+N29,0,IF((YEAR(D29)+7)=YEAR(E29),(12-MONTH(E29)+1)/12,1))))))))&gt;0,(((K29)*(IF(M29="",L29,IFERROR(IF(INDEX(Variablen!$I:$AT, MATCH(M29, Variablen!$A:$A, 0), MATCH((YEAR(D29)+7), Variablen!$I$3:$AT$3, 0))="",L29,INDEX(Variablen!$I:$AT, MATCH(M29, Variablen!$A:$A, 0), MATCH((YEAR(D29)+7), Variablen!$I$3:$AT$3, 0))),L29)))*(IF((YEAR(D29)+7)&lt;YEAR(E29),0,IF((YEAR(D29)+7)&gt;YEAR(E29),1,(12-MONTH(E29)+1)/12))) + (Q29)*(IF((YEAR(D29)+7)&lt;YEAR(E29),0,IF((YEAR(D29)+7)&gt;YEAR(E29),1,(12-MONTH(E29)+1)/12))))-((P29)*(IF((YEAR(D29)+7)&lt;YEAR(E29),0,IF((YEAR(D29)+7)&gt;YEAR(E29),1,(12-MONTH(E29)+1)/12))) + (R29)*(IF((YEAR(D29)+7)&lt;YEAR(E29),0,IF((YEAR(D29)+7)&gt;YEAR(E29),1,(12-MONTH(E29)+1)/12))))-(IF(OR(N29="",N29&lt;=0),0,(O29/N29)*(IF(OR(N29="",N29&lt;=0),0,IF((YEAR(D29)+7)&lt;YEAR(E29),0,IF((YEAR(D29)+7)&gt;=YEAR(E29)+N29,0,IF((YEAR(D29)+7)=YEAR(E29),(12-MONTH(E29)+1)/12,1))))))))*TaxRate,0))-IF(7=0,O29,0))</f>
        <v/>
      </c>
      <c r="AA29" s="29">
        <f>IF(A29="","",((K29)*(IF(M29="",L29,IFERROR(IF(INDEX(Variablen!$I:$AT, MATCH(M29, Variablen!$A:$A, 0), MATCH((YEAR(D29)+8), Variablen!$I$3:$AT$3, 0))="",L29,INDEX(Variablen!$I:$AT, MATCH(M29, Variablen!$A:$A, 0), MATCH((YEAR(D29)+8), Variablen!$I$3:$AT$3, 0))),L29)))*(IF((YEAR(D29)+8)&lt;YEAR(E29),0,IF((YEAR(D29)+8)&gt;YEAR(E29),1,(12-MONTH(E29)+1)/12))) + (Q29)*(IF((YEAR(D29)+8)&lt;YEAR(E29),0,IF((YEAR(D29)+8)&gt;YEAR(E29),1,(12-MONTH(E29)+1)/12))))-((P29)*(IF((YEAR(D29)+8)&lt;YEAR(E29),0,IF((YEAR(D29)+8)&gt;YEAR(E29),1,(12-MONTH(E29)+1)/12))) + (R29)*(IF((YEAR(D29)+8)&lt;YEAR(E29),0,IF((YEAR(D29)+8)&gt;YEAR(E29),1,(12-MONTH(E29)+1)/12))))-(IF((((K29)*(IF(M29="",L29,IFERROR(IF(INDEX(Variablen!$I:$AT, MATCH(M29, Variablen!$A:$A, 0), MATCH((YEAR(D29)+8), Variablen!$I$3:$AT$3, 0))="",L29,INDEX(Variablen!$I:$AT, MATCH(M29, Variablen!$A:$A, 0), MATCH((YEAR(D29)+8), Variablen!$I$3:$AT$3, 0))),L29)))*(IF((YEAR(D29)+8)&lt;YEAR(E29),0,IF((YEAR(D29)+8)&gt;YEAR(E29),1,(12-MONTH(E29)+1)/12))) + (Q29)*(IF((YEAR(D29)+8)&lt;YEAR(E29),0,IF((YEAR(D29)+8)&gt;YEAR(E29),1,(12-MONTH(E29)+1)/12))))-((P29)*(IF((YEAR(D29)+8)&lt;YEAR(E29),0,IF((YEAR(D29)+8)&gt;YEAR(E29),1,(12-MONTH(E29)+1)/12))) + (R29)*(IF((YEAR(D29)+8)&lt;YEAR(E29),0,IF((YEAR(D29)+8)&gt;YEAR(E29),1,(12-MONTH(E29)+1)/12))))-(IF(OR(N29="",N29&lt;=0),0,(O29/N29)*(IF(OR(N29="",N29&lt;=0),0,IF((YEAR(D29)+8)&lt;YEAR(E29),0,IF((YEAR(D29)+8)&gt;=YEAR(E29)+N29,0,IF((YEAR(D29)+8)=YEAR(E29),(12-MONTH(E29)+1)/12,1))))))))&gt;0,(((K29)*(IF(M29="",L29,IFERROR(IF(INDEX(Variablen!$I:$AT, MATCH(M29, Variablen!$A:$A, 0), MATCH((YEAR(D29)+8), Variablen!$I$3:$AT$3, 0))="",L29,INDEX(Variablen!$I:$AT, MATCH(M29, Variablen!$A:$A, 0), MATCH((YEAR(D29)+8), Variablen!$I$3:$AT$3, 0))),L29)))*(IF((YEAR(D29)+8)&lt;YEAR(E29),0,IF((YEAR(D29)+8)&gt;YEAR(E29),1,(12-MONTH(E29)+1)/12))) + (Q29)*(IF((YEAR(D29)+8)&lt;YEAR(E29),0,IF((YEAR(D29)+8)&gt;YEAR(E29),1,(12-MONTH(E29)+1)/12))))-((P29)*(IF((YEAR(D29)+8)&lt;YEAR(E29),0,IF((YEAR(D29)+8)&gt;YEAR(E29),1,(12-MONTH(E29)+1)/12))) + (R29)*(IF((YEAR(D29)+8)&lt;YEAR(E29),0,IF((YEAR(D29)+8)&gt;YEAR(E29),1,(12-MONTH(E29)+1)/12))))-(IF(OR(N29="",N29&lt;=0),0,(O29/N29)*(IF(OR(N29="",N29&lt;=0),0,IF((YEAR(D29)+8)&lt;YEAR(E29),0,IF((YEAR(D29)+8)&gt;=YEAR(E29)+N29,0,IF((YEAR(D29)+8)=YEAR(E29),(12-MONTH(E29)+1)/12,1))))))))*TaxRate,0))-IF(8=0,O29,0))</f>
        <v/>
      </c>
      <c r="AB29" s="29">
        <f>IF(A29="","",((K29)*(IF(M29="",L29,IFERROR(IF(INDEX(Variablen!$I:$AT, MATCH(M29, Variablen!$A:$A, 0), MATCH((YEAR(D29)+9), Variablen!$I$3:$AT$3, 0))="",L29,INDEX(Variablen!$I:$AT, MATCH(M29, Variablen!$A:$A, 0), MATCH((YEAR(D29)+9), Variablen!$I$3:$AT$3, 0))),L29)))*(IF((YEAR(D29)+9)&lt;YEAR(E29),0,IF((YEAR(D29)+9)&gt;YEAR(E29),1,(12-MONTH(E29)+1)/12))) + (Q29)*(IF((YEAR(D29)+9)&lt;YEAR(E29),0,IF((YEAR(D29)+9)&gt;YEAR(E29),1,(12-MONTH(E29)+1)/12))))-((P29)*(IF((YEAR(D29)+9)&lt;YEAR(E29),0,IF((YEAR(D29)+9)&gt;YEAR(E29),1,(12-MONTH(E29)+1)/12))) + (R29)*(IF((YEAR(D29)+9)&lt;YEAR(E29),0,IF((YEAR(D29)+9)&gt;YEAR(E29),1,(12-MONTH(E29)+1)/12))))-(IF((((K29)*(IF(M29="",L29,IFERROR(IF(INDEX(Variablen!$I:$AT, MATCH(M29, Variablen!$A:$A, 0), MATCH((YEAR(D29)+9), Variablen!$I$3:$AT$3, 0))="",L29,INDEX(Variablen!$I:$AT, MATCH(M29, Variablen!$A:$A, 0), MATCH((YEAR(D29)+9), Variablen!$I$3:$AT$3, 0))),L29)))*(IF((YEAR(D29)+9)&lt;YEAR(E29),0,IF((YEAR(D29)+9)&gt;YEAR(E29),1,(12-MONTH(E29)+1)/12))) + (Q29)*(IF((YEAR(D29)+9)&lt;YEAR(E29),0,IF((YEAR(D29)+9)&gt;YEAR(E29),1,(12-MONTH(E29)+1)/12))))-((P29)*(IF((YEAR(D29)+9)&lt;YEAR(E29),0,IF((YEAR(D29)+9)&gt;YEAR(E29),1,(12-MONTH(E29)+1)/12))) + (R29)*(IF((YEAR(D29)+9)&lt;YEAR(E29),0,IF((YEAR(D29)+9)&gt;YEAR(E29),1,(12-MONTH(E29)+1)/12))))-(IF(OR(N29="",N29&lt;=0),0,(O29/N29)*(IF(OR(N29="",N29&lt;=0),0,IF((YEAR(D29)+9)&lt;YEAR(E29),0,IF((YEAR(D29)+9)&gt;=YEAR(E29)+N29,0,IF((YEAR(D29)+9)=YEAR(E29),(12-MONTH(E29)+1)/12,1))))))))&gt;0,(((K29)*(IF(M29="",L29,IFERROR(IF(INDEX(Variablen!$I:$AT, MATCH(M29, Variablen!$A:$A, 0), MATCH((YEAR(D29)+9), Variablen!$I$3:$AT$3, 0))="",L29,INDEX(Variablen!$I:$AT, MATCH(M29, Variablen!$A:$A, 0), MATCH((YEAR(D29)+9), Variablen!$I$3:$AT$3, 0))),L29)))*(IF((YEAR(D29)+9)&lt;YEAR(E29),0,IF((YEAR(D29)+9)&gt;YEAR(E29),1,(12-MONTH(E29)+1)/12))) + (Q29)*(IF((YEAR(D29)+9)&lt;YEAR(E29),0,IF((YEAR(D29)+9)&gt;YEAR(E29),1,(12-MONTH(E29)+1)/12))))-((P29)*(IF((YEAR(D29)+9)&lt;YEAR(E29),0,IF((YEAR(D29)+9)&gt;YEAR(E29),1,(12-MONTH(E29)+1)/12))) + (R29)*(IF((YEAR(D29)+9)&lt;YEAR(E29),0,IF((YEAR(D29)+9)&gt;YEAR(E29),1,(12-MONTH(E29)+1)/12))))-(IF(OR(N29="",N29&lt;=0),0,(O29/N29)*(IF(OR(N29="",N29&lt;=0),0,IF((YEAR(D29)+9)&lt;YEAR(E29),0,IF((YEAR(D29)+9)&gt;=YEAR(E29)+N29,0,IF((YEAR(D29)+9)=YEAR(E29),(12-MONTH(E29)+1)/12,1))))))))*TaxRate,0))-IF(9=0,O29,0))</f>
        <v/>
      </c>
      <c r="AC29" s="29">
        <f>IF(A29="","",((K29)*(IF(M29="",L29,IFERROR(IF(INDEX(Variablen!$I:$AT, MATCH(M29, Variablen!$A:$A, 0), MATCH((YEAR(D29)+10), Variablen!$I$3:$AT$3, 0))="",L29,INDEX(Variablen!$I:$AT, MATCH(M29, Variablen!$A:$A, 0), MATCH((YEAR(D29)+10), Variablen!$I$3:$AT$3, 0))),L29)))*(IF((YEAR(D29)+10)&lt;YEAR(E29),0,IF((YEAR(D29)+10)&gt;YEAR(E29),1,(12-MONTH(E29)+1)/12))) + (Q29)*(IF((YEAR(D29)+10)&lt;YEAR(E29),0,IF((YEAR(D29)+10)&gt;YEAR(E29),1,(12-MONTH(E29)+1)/12))))-((P29)*(IF((YEAR(D29)+10)&lt;YEAR(E29),0,IF((YEAR(D29)+10)&gt;YEAR(E29),1,(12-MONTH(E29)+1)/12))) + (R29)*(IF((YEAR(D29)+10)&lt;YEAR(E29),0,IF((YEAR(D29)+10)&gt;YEAR(E29),1,(12-MONTH(E29)+1)/12))))-(IF((((K29)*(IF(M29="",L29,IFERROR(IF(INDEX(Variablen!$I:$AT, MATCH(M29, Variablen!$A:$A, 0), MATCH((YEAR(D29)+10), Variablen!$I$3:$AT$3, 0))="",L29,INDEX(Variablen!$I:$AT, MATCH(M29, Variablen!$A:$A, 0), MATCH((YEAR(D29)+10), Variablen!$I$3:$AT$3, 0))),L29)))*(IF((YEAR(D29)+10)&lt;YEAR(E29),0,IF((YEAR(D29)+10)&gt;YEAR(E29),1,(12-MONTH(E29)+1)/12))) + (Q29)*(IF((YEAR(D29)+10)&lt;YEAR(E29),0,IF((YEAR(D29)+10)&gt;YEAR(E29),1,(12-MONTH(E29)+1)/12))))-((P29)*(IF((YEAR(D29)+10)&lt;YEAR(E29),0,IF((YEAR(D29)+10)&gt;YEAR(E29),1,(12-MONTH(E29)+1)/12))) + (R29)*(IF((YEAR(D29)+10)&lt;YEAR(E29),0,IF((YEAR(D29)+10)&gt;YEAR(E29),1,(12-MONTH(E29)+1)/12))))-(IF(OR(N29="",N29&lt;=0),0,(O29/N29)*(IF(OR(N29="",N29&lt;=0),0,IF((YEAR(D29)+10)&lt;YEAR(E29),0,IF((YEAR(D29)+10)&gt;=YEAR(E29)+N29,0,IF((YEAR(D29)+10)=YEAR(E29),(12-MONTH(E29)+1)/12,1))))))))&gt;0,(((K29)*(IF(M29="",L29,IFERROR(IF(INDEX(Variablen!$I:$AT, MATCH(M29, Variablen!$A:$A, 0), MATCH((YEAR(D29)+10), Variablen!$I$3:$AT$3, 0))="",L29,INDEX(Variablen!$I:$AT, MATCH(M29, Variablen!$A:$A, 0), MATCH((YEAR(D29)+10), Variablen!$I$3:$AT$3, 0))),L29)))*(IF((YEAR(D29)+10)&lt;YEAR(E29),0,IF((YEAR(D29)+10)&gt;YEAR(E29),1,(12-MONTH(E29)+1)/12))) + (Q29)*(IF((YEAR(D29)+10)&lt;YEAR(E29),0,IF((YEAR(D29)+10)&gt;YEAR(E29),1,(12-MONTH(E29)+1)/12))))-((P29)*(IF((YEAR(D29)+10)&lt;YEAR(E29),0,IF((YEAR(D29)+10)&gt;YEAR(E29),1,(12-MONTH(E29)+1)/12))) + (R29)*(IF((YEAR(D29)+10)&lt;YEAR(E29),0,IF((YEAR(D29)+10)&gt;YEAR(E29),1,(12-MONTH(E29)+1)/12))))-(IF(OR(N29="",N29&lt;=0),0,(O29/N29)*(IF(OR(N29="",N29&lt;=0),0,IF((YEAR(D29)+10)&lt;YEAR(E29),0,IF((YEAR(D29)+10)&gt;=YEAR(E29)+N29,0,IF((YEAR(D29)+10)=YEAR(E29),(12-MONTH(E29)+1)/12,1))))))))*TaxRate,0))-IF(10=0,O29,0))</f>
        <v/>
      </c>
      <c r="AD29" s="29">
        <f>IF(A29="","",((K29)*(IF(M29="",L29,IFERROR(IF(INDEX(Variablen!$I:$AT, MATCH(M29, Variablen!$A:$A, 0), MATCH((YEAR(D29)+11), Variablen!$I$3:$AT$3, 0))="",L29,INDEX(Variablen!$I:$AT, MATCH(M29, Variablen!$A:$A, 0), MATCH((YEAR(D29)+11), Variablen!$I$3:$AT$3, 0))),L29)))*(IF((YEAR(D29)+11)&lt;YEAR(E29),0,IF((YEAR(D29)+11)&gt;YEAR(E29),1,(12-MONTH(E29)+1)/12))) + (Q29)*(IF((YEAR(D29)+11)&lt;YEAR(E29),0,IF((YEAR(D29)+11)&gt;YEAR(E29),1,(12-MONTH(E29)+1)/12))))-((P29)*(IF((YEAR(D29)+11)&lt;YEAR(E29),0,IF((YEAR(D29)+11)&gt;YEAR(E29),1,(12-MONTH(E29)+1)/12))) + (R29)*(IF((YEAR(D29)+11)&lt;YEAR(E29),0,IF((YEAR(D29)+11)&gt;YEAR(E29),1,(12-MONTH(E29)+1)/12))))-(IF((((K29)*(IF(M29="",L29,IFERROR(IF(INDEX(Variablen!$I:$AT, MATCH(M29, Variablen!$A:$A, 0), MATCH((YEAR(D29)+11), Variablen!$I$3:$AT$3, 0))="",L29,INDEX(Variablen!$I:$AT, MATCH(M29, Variablen!$A:$A, 0), MATCH((YEAR(D29)+11), Variablen!$I$3:$AT$3, 0))),L29)))*(IF((YEAR(D29)+11)&lt;YEAR(E29),0,IF((YEAR(D29)+11)&gt;YEAR(E29),1,(12-MONTH(E29)+1)/12))) + (Q29)*(IF((YEAR(D29)+11)&lt;YEAR(E29),0,IF((YEAR(D29)+11)&gt;YEAR(E29),1,(12-MONTH(E29)+1)/12))))-((P29)*(IF((YEAR(D29)+11)&lt;YEAR(E29),0,IF((YEAR(D29)+11)&gt;YEAR(E29),1,(12-MONTH(E29)+1)/12))) + (R29)*(IF((YEAR(D29)+11)&lt;YEAR(E29),0,IF((YEAR(D29)+11)&gt;YEAR(E29),1,(12-MONTH(E29)+1)/12))))-(IF(OR(N29="",N29&lt;=0),0,(O29/N29)*(IF(OR(N29="",N29&lt;=0),0,IF((YEAR(D29)+11)&lt;YEAR(E29),0,IF((YEAR(D29)+11)&gt;=YEAR(E29)+N29,0,IF((YEAR(D29)+11)=YEAR(E29),(12-MONTH(E29)+1)/12,1))))))))&gt;0,(((K29)*(IF(M29="",L29,IFERROR(IF(INDEX(Variablen!$I:$AT, MATCH(M29, Variablen!$A:$A, 0), MATCH((YEAR(D29)+11), Variablen!$I$3:$AT$3, 0))="",L29,INDEX(Variablen!$I:$AT, MATCH(M29, Variablen!$A:$A, 0), MATCH((YEAR(D29)+11), Variablen!$I$3:$AT$3, 0))),L29)))*(IF((YEAR(D29)+11)&lt;YEAR(E29),0,IF((YEAR(D29)+11)&gt;YEAR(E29),1,(12-MONTH(E29)+1)/12))) + (Q29)*(IF((YEAR(D29)+11)&lt;YEAR(E29),0,IF((YEAR(D29)+11)&gt;YEAR(E29),1,(12-MONTH(E29)+1)/12))))-((P29)*(IF((YEAR(D29)+11)&lt;YEAR(E29),0,IF((YEAR(D29)+11)&gt;YEAR(E29),1,(12-MONTH(E29)+1)/12))) + (R29)*(IF((YEAR(D29)+11)&lt;YEAR(E29),0,IF((YEAR(D29)+11)&gt;YEAR(E29),1,(12-MONTH(E29)+1)/12))))-(IF(OR(N29="",N29&lt;=0),0,(O29/N29)*(IF(OR(N29="",N29&lt;=0),0,IF((YEAR(D29)+11)&lt;YEAR(E29),0,IF((YEAR(D29)+11)&gt;=YEAR(E29)+N29,0,IF((YEAR(D29)+11)=YEAR(E29),(12-MONTH(E29)+1)/12,1))))))))*TaxRate,0))-IF(11=0,O29,0))</f>
        <v/>
      </c>
      <c r="AE29" s="29">
        <f>IF(A29="","",((K29)*(IF(M29="",L29,IFERROR(IF(INDEX(Variablen!$I:$AT, MATCH(M29, Variablen!$A:$A, 0), MATCH((YEAR(D29)+12), Variablen!$I$3:$AT$3, 0))="",L29,INDEX(Variablen!$I:$AT, MATCH(M29, Variablen!$A:$A, 0), MATCH((YEAR(D29)+12), Variablen!$I$3:$AT$3, 0))),L29)))*(IF((YEAR(D29)+12)&lt;YEAR(E29),0,IF((YEAR(D29)+12)&gt;YEAR(E29),1,(12-MONTH(E29)+1)/12))) + (Q29)*(IF((YEAR(D29)+12)&lt;YEAR(E29),0,IF((YEAR(D29)+12)&gt;YEAR(E29),1,(12-MONTH(E29)+1)/12))))-((P29)*(IF((YEAR(D29)+12)&lt;YEAR(E29),0,IF((YEAR(D29)+12)&gt;YEAR(E29),1,(12-MONTH(E29)+1)/12))) + (R29)*(IF((YEAR(D29)+12)&lt;YEAR(E29),0,IF((YEAR(D29)+12)&gt;YEAR(E29),1,(12-MONTH(E29)+1)/12))))-(IF((((K29)*(IF(M29="",L29,IFERROR(IF(INDEX(Variablen!$I:$AT, MATCH(M29, Variablen!$A:$A, 0), MATCH((YEAR(D29)+12), Variablen!$I$3:$AT$3, 0))="",L29,INDEX(Variablen!$I:$AT, MATCH(M29, Variablen!$A:$A, 0), MATCH((YEAR(D29)+12), Variablen!$I$3:$AT$3, 0))),L29)))*(IF((YEAR(D29)+12)&lt;YEAR(E29),0,IF((YEAR(D29)+12)&gt;YEAR(E29),1,(12-MONTH(E29)+1)/12))) + (Q29)*(IF((YEAR(D29)+12)&lt;YEAR(E29),0,IF((YEAR(D29)+12)&gt;YEAR(E29),1,(12-MONTH(E29)+1)/12))))-((P29)*(IF((YEAR(D29)+12)&lt;YEAR(E29),0,IF((YEAR(D29)+12)&gt;YEAR(E29),1,(12-MONTH(E29)+1)/12))) + (R29)*(IF((YEAR(D29)+12)&lt;YEAR(E29),0,IF((YEAR(D29)+12)&gt;YEAR(E29),1,(12-MONTH(E29)+1)/12))))-(IF(OR(N29="",N29&lt;=0),0,(O29/N29)*(IF(OR(N29="",N29&lt;=0),0,IF((YEAR(D29)+12)&lt;YEAR(E29),0,IF((YEAR(D29)+12)&gt;=YEAR(E29)+N29,0,IF((YEAR(D29)+12)=YEAR(E29),(12-MONTH(E29)+1)/12,1))))))))&gt;0,(((K29)*(IF(M29="",L29,IFERROR(IF(INDEX(Variablen!$I:$AT, MATCH(M29, Variablen!$A:$A, 0), MATCH((YEAR(D29)+12), Variablen!$I$3:$AT$3, 0))="",L29,INDEX(Variablen!$I:$AT, MATCH(M29, Variablen!$A:$A, 0), MATCH((YEAR(D29)+12), Variablen!$I$3:$AT$3, 0))),L29)))*(IF((YEAR(D29)+12)&lt;YEAR(E29),0,IF((YEAR(D29)+12)&gt;YEAR(E29),1,(12-MONTH(E29)+1)/12))) + (Q29)*(IF((YEAR(D29)+12)&lt;YEAR(E29),0,IF((YEAR(D29)+12)&gt;YEAR(E29),1,(12-MONTH(E29)+1)/12))))-((P29)*(IF((YEAR(D29)+12)&lt;YEAR(E29),0,IF((YEAR(D29)+12)&gt;YEAR(E29),1,(12-MONTH(E29)+1)/12))) + (R29)*(IF((YEAR(D29)+12)&lt;YEAR(E29),0,IF((YEAR(D29)+12)&gt;YEAR(E29),1,(12-MONTH(E29)+1)/12))))-(IF(OR(N29="",N29&lt;=0),0,(O29/N29)*(IF(OR(N29="",N29&lt;=0),0,IF((YEAR(D29)+12)&lt;YEAR(E29),0,IF((YEAR(D29)+12)&gt;=YEAR(E29)+N29,0,IF((YEAR(D29)+12)=YEAR(E29),(12-MONTH(E29)+1)/12,1))))))))*TaxRate,0))-IF(12=0,O29,0))</f>
        <v/>
      </c>
      <c r="AF29" s="29">
        <f>IF(A29="","",((K29)*(IF(M29="",L29,IFERROR(IF(INDEX(Variablen!$I:$AT, MATCH(M29, Variablen!$A:$A, 0), MATCH((YEAR(D29)+13), Variablen!$I$3:$AT$3, 0))="",L29,INDEX(Variablen!$I:$AT, MATCH(M29, Variablen!$A:$A, 0), MATCH((YEAR(D29)+13), Variablen!$I$3:$AT$3, 0))),L29)))*(IF((YEAR(D29)+13)&lt;YEAR(E29),0,IF((YEAR(D29)+13)&gt;YEAR(E29),1,(12-MONTH(E29)+1)/12))) + (Q29)*(IF((YEAR(D29)+13)&lt;YEAR(E29),0,IF((YEAR(D29)+13)&gt;YEAR(E29),1,(12-MONTH(E29)+1)/12))))-((P29)*(IF((YEAR(D29)+13)&lt;YEAR(E29),0,IF((YEAR(D29)+13)&gt;YEAR(E29),1,(12-MONTH(E29)+1)/12))) + (R29)*(IF((YEAR(D29)+13)&lt;YEAR(E29),0,IF((YEAR(D29)+13)&gt;YEAR(E29),1,(12-MONTH(E29)+1)/12))))-(IF((((K29)*(IF(M29="",L29,IFERROR(IF(INDEX(Variablen!$I:$AT, MATCH(M29, Variablen!$A:$A, 0), MATCH((YEAR(D29)+13), Variablen!$I$3:$AT$3, 0))="",L29,INDEX(Variablen!$I:$AT, MATCH(M29, Variablen!$A:$A, 0), MATCH((YEAR(D29)+13), Variablen!$I$3:$AT$3, 0))),L29)))*(IF((YEAR(D29)+13)&lt;YEAR(E29),0,IF((YEAR(D29)+13)&gt;YEAR(E29),1,(12-MONTH(E29)+1)/12))) + (Q29)*(IF((YEAR(D29)+13)&lt;YEAR(E29),0,IF((YEAR(D29)+13)&gt;YEAR(E29),1,(12-MONTH(E29)+1)/12))))-((P29)*(IF((YEAR(D29)+13)&lt;YEAR(E29),0,IF((YEAR(D29)+13)&gt;YEAR(E29),1,(12-MONTH(E29)+1)/12))) + (R29)*(IF((YEAR(D29)+13)&lt;YEAR(E29),0,IF((YEAR(D29)+13)&gt;YEAR(E29),1,(12-MONTH(E29)+1)/12))))-(IF(OR(N29="",N29&lt;=0),0,(O29/N29)*(IF(OR(N29="",N29&lt;=0),0,IF((YEAR(D29)+13)&lt;YEAR(E29),0,IF((YEAR(D29)+13)&gt;=YEAR(E29)+N29,0,IF((YEAR(D29)+13)=YEAR(E29),(12-MONTH(E29)+1)/12,1))))))))&gt;0,(((K29)*(IF(M29="",L29,IFERROR(IF(INDEX(Variablen!$I:$AT, MATCH(M29, Variablen!$A:$A, 0), MATCH((YEAR(D29)+13), Variablen!$I$3:$AT$3, 0))="",L29,INDEX(Variablen!$I:$AT, MATCH(M29, Variablen!$A:$A, 0), MATCH((YEAR(D29)+13), Variablen!$I$3:$AT$3, 0))),L29)))*(IF((YEAR(D29)+13)&lt;YEAR(E29),0,IF((YEAR(D29)+13)&gt;YEAR(E29),1,(12-MONTH(E29)+1)/12))) + (Q29)*(IF((YEAR(D29)+13)&lt;YEAR(E29),0,IF((YEAR(D29)+13)&gt;YEAR(E29),1,(12-MONTH(E29)+1)/12))))-((P29)*(IF((YEAR(D29)+13)&lt;YEAR(E29),0,IF((YEAR(D29)+13)&gt;YEAR(E29),1,(12-MONTH(E29)+1)/12))) + (R29)*(IF((YEAR(D29)+13)&lt;YEAR(E29),0,IF((YEAR(D29)+13)&gt;YEAR(E29),1,(12-MONTH(E29)+1)/12))))-(IF(OR(N29="",N29&lt;=0),0,(O29/N29)*(IF(OR(N29="",N29&lt;=0),0,IF((YEAR(D29)+13)&lt;YEAR(E29),0,IF((YEAR(D29)+13)&gt;=YEAR(E29)+N29,0,IF((YEAR(D29)+13)=YEAR(E29),(12-MONTH(E29)+1)/12,1))))))))*TaxRate,0))-IF(13=0,O29,0))</f>
        <v/>
      </c>
      <c r="AG29" s="29">
        <f>IF(A29="","",((K29)*(IF(M29="",L29,IFERROR(IF(INDEX(Variablen!$I:$AT, MATCH(M29, Variablen!$A:$A, 0), MATCH((YEAR(D29)+14), Variablen!$I$3:$AT$3, 0))="",L29,INDEX(Variablen!$I:$AT, MATCH(M29, Variablen!$A:$A, 0), MATCH((YEAR(D29)+14), Variablen!$I$3:$AT$3, 0))),L29)))*(IF((YEAR(D29)+14)&lt;YEAR(E29),0,IF((YEAR(D29)+14)&gt;YEAR(E29),1,(12-MONTH(E29)+1)/12))) + (Q29)*(IF((YEAR(D29)+14)&lt;YEAR(E29),0,IF((YEAR(D29)+14)&gt;YEAR(E29),1,(12-MONTH(E29)+1)/12))))-((P29)*(IF((YEAR(D29)+14)&lt;YEAR(E29),0,IF((YEAR(D29)+14)&gt;YEAR(E29),1,(12-MONTH(E29)+1)/12))) + (R29)*(IF((YEAR(D29)+14)&lt;YEAR(E29),0,IF((YEAR(D29)+14)&gt;YEAR(E29),1,(12-MONTH(E29)+1)/12))))-(IF((((K29)*(IF(M29="",L29,IFERROR(IF(INDEX(Variablen!$I:$AT, MATCH(M29, Variablen!$A:$A, 0), MATCH((YEAR(D29)+14), Variablen!$I$3:$AT$3, 0))="",L29,INDEX(Variablen!$I:$AT, MATCH(M29, Variablen!$A:$A, 0), MATCH((YEAR(D29)+14), Variablen!$I$3:$AT$3, 0))),L29)))*(IF((YEAR(D29)+14)&lt;YEAR(E29),0,IF((YEAR(D29)+14)&gt;YEAR(E29),1,(12-MONTH(E29)+1)/12))) + (Q29)*(IF((YEAR(D29)+14)&lt;YEAR(E29),0,IF((YEAR(D29)+14)&gt;YEAR(E29),1,(12-MONTH(E29)+1)/12))))-((P29)*(IF((YEAR(D29)+14)&lt;YEAR(E29),0,IF((YEAR(D29)+14)&gt;YEAR(E29),1,(12-MONTH(E29)+1)/12))) + (R29)*(IF((YEAR(D29)+14)&lt;YEAR(E29),0,IF((YEAR(D29)+14)&gt;YEAR(E29),1,(12-MONTH(E29)+1)/12))))-(IF(OR(N29="",N29&lt;=0),0,(O29/N29)*(IF(OR(N29="",N29&lt;=0),0,IF((YEAR(D29)+14)&lt;YEAR(E29),0,IF((YEAR(D29)+14)&gt;=YEAR(E29)+N29,0,IF((YEAR(D29)+14)=YEAR(E29),(12-MONTH(E29)+1)/12,1))))))))&gt;0,(((K29)*(IF(M29="",L29,IFERROR(IF(INDEX(Variablen!$I:$AT, MATCH(M29, Variablen!$A:$A, 0), MATCH((YEAR(D29)+14), Variablen!$I$3:$AT$3, 0))="",L29,INDEX(Variablen!$I:$AT, MATCH(M29, Variablen!$A:$A, 0), MATCH((YEAR(D29)+14), Variablen!$I$3:$AT$3, 0))),L29)))*(IF((YEAR(D29)+14)&lt;YEAR(E29),0,IF((YEAR(D29)+14)&gt;YEAR(E29),1,(12-MONTH(E29)+1)/12))) + (Q29)*(IF((YEAR(D29)+14)&lt;YEAR(E29),0,IF((YEAR(D29)+14)&gt;YEAR(E29),1,(12-MONTH(E29)+1)/12))))-((P29)*(IF((YEAR(D29)+14)&lt;YEAR(E29),0,IF((YEAR(D29)+14)&gt;YEAR(E29),1,(12-MONTH(E29)+1)/12))) + (R29)*(IF((YEAR(D29)+14)&lt;YEAR(E29),0,IF((YEAR(D29)+14)&gt;YEAR(E29),1,(12-MONTH(E29)+1)/12))))-(IF(OR(N29="",N29&lt;=0),0,(O29/N29)*(IF(OR(N29="",N29&lt;=0),0,IF((YEAR(D29)+14)&lt;YEAR(E29),0,IF((YEAR(D29)+14)&gt;=YEAR(E29)+N29,0,IF((YEAR(D29)+14)=YEAR(E29),(12-MONTH(E29)+1)/12,1))))))))*TaxRate,0))-IF(14=0,O29,0))</f>
        <v/>
      </c>
      <c r="AH29" s="29">
        <f>IF(A29="","",((K29)*(IF(M29="",L29,IFERROR(IF(INDEX(Variablen!$I:$AT, MATCH(M29, Variablen!$A:$A, 0), MATCH((YEAR(D29)+15), Variablen!$I$3:$AT$3, 0))="",L29,INDEX(Variablen!$I:$AT, MATCH(M29, Variablen!$A:$A, 0), MATCH((YEAR(D29)+15), Variablen!$I$3:$AT$3, 0))),L29)))*(IF((YEAR(D29)+15)&lt;YEAR(E29),0,IF((YEAR(D29)+15)&gt;YEAR(E29),1,(12-MONTH(E29)+1)/12))) + (Q29)*(IF((YEAR(D29)+15)&lt;YEAR(E29),0,IF((YEAR(D29)+15)&gt;YEAR(E29),1,(12-MONTH(E29)+1)/12))))-((P29)*(IF((YEAR(D29)+15)&lt;YEAR(E29),0,IF((YEAR(D29)+15)&gt;YEAR(E29),1,(12-MONTH(E29)+1)/12))) + (R29)*(IF((YEAR(D29)+15)&lt;YEAR(E29),0,IF((YEAR(D29)+15)&gt;YEAR(E29),1,(12-MONTH(E29)+1)/12))))-(IF((((K29)*(IF(M29="",L29,IFERROR(IF(INDEX(Variablen!$I:$AT, MATCH(M29, Variablen!$A:$A, 0), MATCH((YEAR(D29)+15), Variablen!$I$3:$AT$3, 0))="",L29,INDEX(Variablen!$I:$AT, MATCH(M29, Variablen!$A:$A, 0), MATCH((YEAR(D29)+15), Variablen!$I$3:$AT$3, 0))),L29)))*(IF((YEAR(D29)+15)&lt;YEAR(E29),0,IF((YEAR(D29)+15)&gt;YEAR(E29),1,(12-MONTH(E29)+1)/12))) + (Q29)*(IF((YEAR(D29)+15)&lt;YEAR(E29),0,IF((YEAR(D29)+15)&gt;YEAR(E29),1,(12-MONTH(E29)+1)/12))))-((P29)*(IF((YEAR(D29)+15)&lt;YEAR(E29),0,IF((YEAR(D29)+15)&gt;YEAR(E29),1,(12-MONTH(E29)+1)/12))) + (R29)*(IF((YEAR(D29)+15)&lt;YEAR(E29),0,IF((YEAR(D29)+15)&gt;YEAR(E29),1,(12-MONTH(E29)+1)/12))))-(IF(OR(N29="",N29&lt;=0),0,(O29/N29)*(IF(OR(N29="",N29&lt;=0),0,IF((YEAR(D29)+15)&lt;YEAR(E29),0,IF((YEAR(D29)+15)&gt;=YEAR(E29)+N29,0,IF((YEAR(D29)+15)=YEAR(E29),(12-MONTH(E29)+1)/12,1))))))))&gt;0,(((K29)*(IF(M29="",L29,IFERROR(IF(INDEX(Variablen!$I:$AT, MATCH(M29, Variablen!$A:$A, 0), MATCH((YEAR(D29)+15), Variablen!$I$3:$AT$3, 0))="",L29,INDEX(Variablen!$I:$AT, MATCH(M29, Variablen!$A:$A, 0), MATCH((YEAR(D29)+15), Variablen!$I$3:$AT$3, 0))),L29)))*(IF((YEAR(D29)+15)&lt;YEAR(E29),0,IF((YEAR(D29)+15)&gt;YEAR(E29),1,(12-MONTH(E29)+1)/12))) + (Q29)*(IF((YEAR(D29)+15)&lt;YEAR(E29),0,IF((YEAR(D29)+15)&gt;YEAR(E29),1,(12-MONTH(E29)+1)/12))))-((P29)*(IF((YEAR(D29)+15)&lt;YEAR(E29),0,IF((YEAR(D29)+15)&gt;YEAR(E29),1,(12-MONTH(E29)+1)/12))) + (R29)*(IF((YEAR(D29)+15)&lt;YEAR(E29),0,IF((YEAR(D29)+15)&gt;YEAR(E29),1,(12-MONTH(E29)+1)/12))))-(IF(OR(N29="",N29&lt;=0),0,(O29/N29)*(IF(OR(N29="",N29&lt;=0),0,IF((YEAR(D29)+15)&lt;YEAR(E29),0,IF((YEAR(D29)+15)&gt;=YEAR(E29)+N29,0,IF((YEAR(D29)+15)=YEAR(E29),(12-MONTH(E29)+1)/12,1))))))))*TaxRate,0))-IF(15=0,O29,0))</f>
        <v/>
      </c>
      <c r="AI29" s="29">
        <f>IF(A29="","",((K29)*(IF(M29="",L29,IFERROR(IF(INDEX(Variablen!$I:$AT, MATCH(M29, Variablen!$A:$A, 0), MATCH((YEAR(D29)+16), Variablen!$I$3:$AT$3, 0))="",L29,INDEX(Variablen!$I:$AT, MATCH(M29, Variablen!$A:$A, 0), MATCH((YEAR(D29)+16), Variablen!$I$3:$AT$3, 0))),L29)))*(IF((YEAR(D29)+16)&lt;YEAR(E29),0,IF((YEAR(D29)+16)&gt;YEAR(E29),1,(12-MONTH(E29)+1)/12))) + (Q29)*(IF((YEAR(D29)+16)&lt;YEAR(E29),0,IF((YEAR(D29)+16)&gt;YEAR(E29),1,(12-MONTH(E29)+1)/12))))-((P29)*(IF((YEAR(D29)+16)&lt;YEAR(E29),0,IF((YEAR(D29)+16)&gt;YEAR(E29),1,(12-MONTH(E29)+1)/12))) + (R29)*(IF((YEAR(D29)+16)&lt;YEAR(E29),0,IF((YEAR(D29)+16)&gt;YEAR(E29),1,(12-MONTH(E29)+1)/12))))-(IF((((K29)*(IF(M29="",L29,IFERROR(IF(INDEX(Variablen!$I:$AT, MATCH(M29, Variablen!$A:$A, 0), MATCH((YEAR(D29)+16), Variablen!$I$3:$AT$3, 0))="",L29,INDEX(Variablen!$I:$AT, MATCH(M29, Variablen!$A:$A, 0), MATCH((YEAR(D29)+16), Variablen!$I$3:$AT$3, 0))),L29)))*(IF((YEAR(D29)+16)&lt;YEAR(E29),0,IF((YEAR(D29)+16)&gt;YEAR(E29),1,(12-MONTH(E29)+1)/12))) + (Q29)*(IF((YEAR(D29)+16)&lt;YEAR(E29),0,IF((YEAR(D29)+16)&gt;YEAR(E29),1,(12-MONTH(E29)+1)/12))))-((P29)*(IF((YEAR(D29)+16)&lt;YEAR(E29),0,IF((YEAR(D29)+16)&gt;YEAR(E29),1,(12-MONTH(E29)+1)/12))) + (R29)*(IF((YEAR(D29)+16)&lt;YEAR(E29),0,IF((YEAR(D29)+16)&gt;YEAR(E29),1,(12-MONTH(E29)+1)/12))))-(IF(OR(N29="",N29&lt;=0),0,(O29/N29)*(IF(OR(N29="",N29&lt;=0),0,IF((YEAR(D29)+16)&lt;YEAR(E29),0,IF((YEAR(D29)+16)&gt;=YEAR(E29)+N29,0,IF((YEAR(D29)+16)=YEAR(E29),(12-MONTH(E29)+1)/12,1))))))))&gt;0,(((K29)*(IF(M29="",L29,IFERROR(IF(INDEX(Variablen!$I:$AT, MATCH(M29, Variablen!$A:$A, 0), MATCH((YEAR(D29)+16), Variablen!$I$3:$AT$3, 0))="",L29,INDEX(Variablen!$I:$AT, MATCH(M29, Variablen!$A:$A, 0), MATCH((YEAR(D29)+16), Variablen!$I$3:$AT$3, 0))),L29)))*(IF((YEAR(D29)+16)&lt;YEAR(E29),0,IF((YEAR(D29)+16)&gt;YEAR(E29),1,(12-MONTH(E29)+1)/12))) + (Q29)*(IF((YEAR(D29)+16)&lt;YEAR(E29),0,IF((YEAR(D29)+16)&gt;YEAR(E29),1,(12-MONTH(E29)+1)/12))))-((P29)*(IF((YEAR(D29)+16)&lt;YEAR(E29),0,IF((YEAR(D29)+16)&gt;YEAR(E29),1,(12-MONTH(E29)+1)/12))) + (R29)*(IF((YEAR(D29)+16)&lt;YEAR(E29),0,IF((YEAR(D29)+16)&gt;YEAR(E29),1,(12-MONTH(E29)+1)/12))))-(IF(OR(N29="",N29&lt;=0),0,(O29/N29)*(IF(OR(N29="",N29&lt;=0),0,IF((YEAR(D29)+16)&lt;YEAR(E29),0,IF((YEAR(D29)+16)&gt;=YEAR(E29)+N29,0,IF((YEAR(D29)+16)=YEAR(E29),(12-MONTH(E29)+1)/12,1))))))))*TaxRate,0))-IF(16=0,O29,0))</f>
        <v/>
      </c>
      <c r="AJ29" s="29">
        <f>IF(A29="","",((K29)*(IF(M29="",L29,IFERROR(IF(INDEX(Variablen!$I:$AT, MATCH(M29, Variablen!$A:$A, 0), MATCH((YEAR(D29)+17), Variablen!$I$3:$AT$3, 0))="",L29,INDEX(Variablen!$I:$AT, MATCH(M29, Variablen!$A:$A, 0), MATCH((YEAR(D29)+17), Variablen!$I$3:$AT$3, 0))),L29)))*(IF((YEAR(D29)+17)&lt;YEAR(E29),0,IF((YEAR(D29)+17)&gt;YEAR(E29),1,(12-MONTH(E29)+1)/12))) + (Q29)*(IF((YEAR(D29)+17)&lt;YEAR(E29),0,IF((YEAR(D29)+17)&gt;YEAR(E29),1,(12-MONTH(E29)+1)/12))))-((P29)*(IF((YEAR(D29)+17)&lt;YEAR(E29),0,IF((YEAR(D29)+17)&gt;YEAR(E29),1,(12-MONTH(E29)+1)/12))) + (R29)*(IF((YEAR(D29)+17)&lt;YEAR(E29),0,IF((YEAR(D29)+17)&gt;YEAR(E29),1,(12-MONTH(E29)+1)/12))))-(IF((((K29)*(IF(M29="",L29,IFERROR(IF(INDEX(Variablen!$I:$AT, MATCH(M29, Variablen!$A:$A, 0), MATCH((YEAR(D29)+17), Variablen!$I$3:$AT$3, 0))="",L29,INDEX(Variablen!$I:$AT, MATCH(M29, Variablen!$A:$A, 0), MATCH((YEAR(D29)+17), Variablen!$I$3:$AT$3, 0))),L29)))*(IF((YEAR(D29)+17)&lt;YEAR(E29),0,IF((YEAR(D29)+17)&gt;YEAR(E29),1,(12-MONTH(E29)+1)/12))) + (Q29)*(IF((YEAR(D29)+17)&lt;YEAR(E29),0,IF((YEAR(D29)+17)&gt;YEAR(E29),1,(12-MONTH(E29)+1)/12))))-((P29)*(IF((YEAR(D29)+17)&lt;YEAR(E29),0,IF((YEAR(D29)+17)&gt;YEAR(E29),1,(12-MONTH(E29)+1)/12))) + (R29)*(IF((YEAR(D29)+17)&lt;YEAR(E29),0,IF((YEAR(D29)+17)&gt;YEAR(E29),1,(12-MONTH(E29)+1)/12))))-(IF(OR(N29="",N29&lt;=0),0,(O29/N29)*(IF(OR(N29="",N29&lt;=0),0,IF((YEAR(D29)+17)&lt;YEAR(E29),0,IF((YEAR(D29)+17)&gt;=YEAR(E29)+N29,0,IF((YEAR(D29)+17)=YEAR(E29),(12-MONTH(E29)+1)/12,1))))))))&gt;0,(((K29)*(IF(M29="",L29,IFERROR(IF(INDEX(Variablen!$I:$AT, MATCH(M29, Variablen!$A:$A, 0), MATCH((YEAR(D29)+17), Variablen!$I$3:$AT$3, 0))="",L29,INDEX(Variablen!$I:$AT, MATCH(M29, Variablen!$A:$A, 0), MATCH((YEAR(D29)+17), Variablen!$I$3:$AT$3, 0))),L29)))*(IF((YEAR(D29)+17)&lt;YEAR(E29),0,IF((YEAR(D29)+17)&gt;YEAR(E29),1,(12-MONTH(E29)+1)/12))) + (Q29)*(IF((YEAR(D29)+17)&lt;YEAR(E29),0,IF((YEAR(D29)+17)&gt;YEAR(E29),1,(12-MONTH(E29)+1)/12))))-((P29)*(IF((YEAR(D29)+17)&lt;YEAR(E29),0,IF((YEAR(D29)+17)&gt;YEAR(E29),1,(12-MONTH(E29)+1)/12))) + (R29)*(IF((YEAR(D29)+17)&lt;YEAR(E29),0,IF((YEAR(D29)+17)&gt;YEAR(E29),1,(12-MONTH(E29)+1)/12))))-(IF(OR(N29="",N29&lt;=0),0,(O29/N29)*(IF(OR(N29="",N29&lt;=0),0,IF((YEAR(D29)+17)&lt;YEAR(E29),0,IF((YEAR(D29)+17)&gt;=YEAR(E29)+N29,0,IF((YEAR(D29)+17)=YEAR(E29),(12-MONTH(E29)+1)/12,1))))))))*TaxRate,0))-IF(17=0,O29,0))</f>
        <v/>
      </c>
      <c r="AK29" s="29">
        <f>IF(A29="","",((K29)*(IF(M29="",L29,IFERROR(IF(INDEX(Variablen!$I:$AT, MATCH(M29, Variablen!$A:$A, 0), MATCH((YEAR(D29)+18), Variablen!$I$3:$AT$3, 0))="",L29,INDEX(Variablen!$I:$AT, MATCH(M29, Variablen!$A:$A, 0), MATCH((YEAR(D29)+18), Variablen!$I$3:$AT$3, 0))),L29)))*(IF((YEAR(D29)+18)&lt;YEAR(E29),0,IF((YEAR(D29)+18)&gt;YEAR(E29),1,(12-MONTH(E29)+1)/12))) + (Q29)*(IF((YEAR(D29)+18)&lt;YEAR(E29),0,IF((YEAR(D29)+18)&gt;YEAR(E29),1,(12-MONTH(E29)+1)/12))))-((P29)*(IF((YEAR(D29)+18)&lt;YEAR(E29),0,IF((YEAR(D29)+18)&gt;YEAR(E29),1,(12-MONTH(E29)+1)/12))) + (R29)*(IF((YEAR(D29)+18)&lt;YEAR(E29),0,IF((YEAR(D29)+18)&gt;YEAR(E29),1,(12-MONTH(E29)+1)/12))))-(IF((((K29)*(IF(M29="",L29,IFERROR(IF(INDEX(Variablen!$I:$AT, MATCH(M29, Variablen!$A:$A, 0), MATCH((YEAR(D29)+18), Variablen!$I$3:$AT$3, 0))="",L29,INDEX(Variablen!$I:$AT, MATCH(M29, Variablen!$A:$A, 0), MATCH((YEAR(D29)+18), Variablen!$I$3:$AT$3, 0))),L29)))*(IF((YEAR(D29)+18)&lt;YEAR(E29),0,IF((YEAR(D29)+18)&gt;YEAR(E29),1,(12-MONTH(E29)+1)/12))) + (Q29)*(IF((YEAR(D29)+18)&lt;YEAR(E29),0,IF((YEAR(D29)+18)&gt;YEAR(E29),1,(12-MONTH(E29)+1)/12))))-((P29)*(IF((YEAR(D29)+18)&lt;YEAR(E29),0,IF((YEAR(D29)+18)&gt;YEAR(E29),1,(12-MONTH(E29)+1)/12))) + (R29)*(IF((YEAR(D29)+18)&lt;YEAR(E29),0,IF((YEAR(D29)+18)&gt;YEAR(E29),1,(12-MONTH(E29)+1)/12))))-(IF(OR(N29="",N29&lt;=0),0,(O29/N29)*(IF(OR(N29="",N29&lt;=0),0,IF((YEAR(D29)+18)&lt;YEAR(E29),0,IF((YEAR(D29)+18)&gt;=YEAR(E29)+N29,0,IF((YEAR(D29)+18)=YEAR(E29),(12-MONTH(E29)+1)/12,1))))))))&gt;0,(((K29)*(IF(M29="",L29,IFERROR(IF(INDEX(Variablen!$I:$AT, MATCH(M29, Variablen!$A:$A, 0), MATCH((YEAR(D29)+18), Variablen!$I$3:$AT$3, 0))="",L29,INDEX(Variablen!$I:$AT, MATCH(M29, Variablen!$A:$A, 0), MATCH((YEAR(D29)+18), Variablen!$I$3:$AT$3, 0))),L29)))*(IF((YEAR(D29)+18)&lt;YEAR(E29),0,IF((YEAR(D29)+18)&gt;YEAR(E29),1,(12-MONTH(E29)+1)/12))) + (Q29)*(IF((YEAR(D29)+18)&lt;YEAR(E29),0,IF((YEAR(D29)+18)&gt;YEAR(E29),1,(12-MONTH(E29)+1)/12))))-((P29)*(IF((YEAR(D29)+18)&lt;YEAR(E29),0,IF((YEAR(D29)+18)&gt;YEAR(E29),1,(12-MONTH(E29)+1)/12))) + (R29)*(IF((YEAR(D29)+18)&lt;YEAR(E29),0,IF((YEAR(D29)+18)&gt;YEAR(E29),1,(12-MONTH(E29)+1)/12))))-(IF(OR(N29="",N29&lt;=0),0,(O29/N29)*(IF(OR(N29="",N29&lt;=0),0,IF((YEAR(D29)+18)&lt;YEAR(E29),0,IF((YEAR(D29)+18)&gt;=YEAR(E29)+N29,0,IF((YEAR(D29)+18)=YEAR(E29),(12-MONTH(E29)+1)/12,1))))))))*TaxRate,0))-IF(18=0,O29,0))</f>
        <v/>
      </c>
      <c r="AL29" s="29">
        <f>IF(A29="","",((K29)*(IF(M29="",L29,IFERROR(IF(INDEX(Variablen!$I:$AT, MATCH(M29, Variablen!$A:$A, 0), MATCH((YEAR(D29)+19), Variablen!$I$3:$AT$3, 0))="",L29,INDEX(Variablen!$I:$AT, MATCH(M29, Variablen!$A:$A, 0), MATCH((YEAR(D29)+19), Variablen!$I$3:$AT$3, 0))),L29)))*(IF((YEAR(D29)+19)&lt;YEAR(E29),0,IF((YEAR(D29)+19)&gt;YEAR(E29),1,(12-MONTH(E29)+1)/12))) + (Q29)*(IF((YEAR(D29)+19)&lt;YEAR(E29),0,IF((YEAR(D29)+19)&gt;YEAR(E29),1,(12-MONTH(E29)+1)/12))))-((P29)*(IF((YEAR(D29)+19)&lt;YEAR(E29),0,IF((YEAR(D29)+19)&gt;YEAR(E29),1,(12-MONTH(E29)+1)/12))) + (R29)*(IF((YEAR(D29)+19)&lt;YEAR(E29),0,IF((YEAR(D29)+19)&gt;YEAR(E29),1,(12-MONTH(E29)+1)/12))))-(IF((((K29)*(IF(M29="",L29,IFERROR(IF(INDEX(Variablen!$I:$AT, MATCH(M29, Variablen!$A:$A, 0), MATCH((YEAR(D29)+19), Variablen!$I$3:$AT$3, 0))="",L29,INDEX(Variablen!$I:$AT, MATCH(M29, Variablen!$A:$A, 0), MATCH((YEAR(D29)+19), Variablen!$I$3:$AT$3, 0))),L29)))*(IF((YEAR(D29)+19)&lt;YEAR(E29),0,IF((YEAR(D29)+19)&gt;YEAR(E29),1,(12-MONTH(E29)+1)/12))) + (Q29)*(IF((YEAR(D29)+19)&lt;YEAR(E29),0,IF((YEAR(D29)+19)&gt;YEAR(E29),1,(12-MONTH(E29)+1)/12))))-((P29)*(IF((YEAR(D29)+19)&lt;YEAR(E29),0,IF((YEAR(D29)+19)&gt;YEAR(E29),1,(12-MONTH(E29)+1)/12))) + (R29)*(IF((YEAR(D29)+19)&lt;YEAR(E29),0,IF((YEAR(D29)+19)&gt;YEAR(E29),1,(12-MONTH(E29)+1)/12))))-(IF(OR(N29="",N29&lt;=0),0,(O29/N29)*(IF(OR(N29="",N29&lt;=0),0,IF((YEAR(D29)+19)&lt;YEAR(E29),0,IF((YEAR(D29)+19)&gt;=YEAR(E29)+N29,0,IF((YEAR(D29)+19)=YEAR(E29),(12-MONTH(E29)+1)/12,1))))))))&gt;0,(((K29)*(IF(M29="",L29,IFERROR(IF(INDEX(Variablen!$I:$AT, MATCH(M29, Variablen!$A:$A, 0), MATCH((YEAR(D29)+19), Variablen!$I$3:$AT$3, 0))="",L29,INDEX(Variablen!$I:$AT, MATCH(M29, Variablen!$A:$A, 0), MATCH((YEAR(D29)+19), Variablen!$I$3:$AT$3, 0))),L29)))*(IF((YEAR(D29)+19)&lt;YEAR(E29),0,IF((YEAR(D29)+19)&gt;YEAR(E29),1,(12-MONTH(E29)+1)/12))) + (Q29)*(IF((YEAR(D29)+19)&lt;YEAR(E29),0,IF((YEAR(D29)+19)&gt;YEAR(E29),1,(12-MONTH(E29)+1)/12))))-((P29)*(IF((YEAR(D29)+19)&lt;YEAR(E29),0,IF((YEAR(D29)+19)&gt;YEAR(E29),1,(12-MONTH(E29)+1)/12))) + (R29)*(IF((YEAR(D29)+19)&lt;YEAR(E29),0,IF((YEAR(D29)+19)&gt;YEAR(E29),1,(12-MONTH(E29)+1)/12))))-(IF(OR(N29="",N29&lt;=0),0,(O29/N29)*(IF(OR(N29="",N29&lt;=0),0,IF((YEAR(D29)+19)&lt;YEAR(E29),0,IF((YEAR(D29)+19)&gt;=YEAR(E29)+N29,0,IF((YEAR(D29)+19)=YEAR(E29),(12-MONTH(E29)+1)/12,1))))))))*TaxRate,0))-IF(19=0,O29,0))</f>
        <v/>
      </c>
      <c r="AM29" s="29">
        <f>IF(A29="","",((K29)*(IF(M29="",L29,IFERROR(IF(INDEX(Variablen!$I:$AT, MATCH(M29, Variablen!$A:$A, 0), MATCH((YEAR(D29)+20), Variablen!$I$3:$AT$3, 0))="",L29,INDEX(Variablen!$I:$AT, MATCH(M29, Variablen!$A:$A, 0), MATCH((YEAR(D29)+20), Variablen!$I$3:$AT$3, 0))),L29)))*(IF((YEAR(D29)+20)&lt;YEAR(E29),0,IF((YEAR(D29)+20)&gt;YEAR(E29),1,(12-MONTH(E29)+1)/12))) + (Q29)*(IF((YEAR(D29)+20)&lt;YEAR(E29),0,IF((YEAR(D29)+20)&gt;YEAR(E29),1,(12-MONTH(E29)+1)/12))))-((P29)*(IF((YEAR(D29)+20)&lt;YEAR(E29),0,IF((YEAR(D29)+20)&gt;YEAR(E29),1,(12-MONTH(E29)+1)/12))) + (R29)*(IF((YEAR(D29)+20)&lt;YEAR(E29),0,IF((YEAR(D29)+20)&gt;YEAR(E29),1,(12-MONTH(E29)+1)/12))))-(IF((((K29)*(IF(M29="",L29,IFERROR(IF(INDEX(Variablen!$I:$AT, MATCH(M29, Variablen!$A:$A, 0), MATCH((YEAR(D29)+20), Variablen!$I$3:$AT$3, 0))="",L29,INDEX(Variablen!$I:$AT, MATCH(M29, Variablen!$A:$A, 0), MATCH((YEAR(D29)+20), Variablen!$I$3:$AT$3, 0))),L29)))*(IF((YEAR(D29)+20)&lt;YEAR(E29),0,IF((YEAR(D29)+20)&gt;YEAR(E29),1,(12-MONTH(E29)+1)/12))) + (Q29)*(IF((YEAR(D29)+20)&lt;YEAR(E29),0,IF((YEAR(D29)+20)&gt;YEAR(E29),1,(12-MONTH(E29)+1)/12))))-((P29)*(IF((YEAR(D29)+20)&lt;YEAR(E29),0,IF((YEAR(D29)+20)&gt;YEAR(E29),1,(12-MONTH(E29)+1)/12))) + (R29)*(IF((YEAR(D29)+20)&lt;YEAR(E29),0,IF((YEAR(D29)+20)&gt;YEAR(E29),1,(12-MONTH(E29)+1)/12))))-(IF(OR(N29="",N29&lt;=0),0,(O29/N29)*(IF(OR(N29="",N29&lt;=0),0,IF((YEAR(D29)+20)&lt;YEAR(E29),0,IF((YEAR(D29)+20)&gt;=YEAR(E29)+N29,0,IF((YEAR(D29)+20)=YEAR(E29),(12-MONTH(E29)+1)/12,1))))))))&gt;0,(((K29)*(IF(M29="",L29,IFERROR(IF(INDEX(Variablen!$I:$AT, MATCH(M29, Variablen!$A:$A, 0), MATCH((YEAR(D29)+20), Variablen!$I$3:$AT$3, 0))="",L29,INDEX(Variablen!$I:$AT, MATCH(M29, Variablen!$A:$A, 0), MATCH((YEAR(D29)+20), Variablen!$I$3:$AT$3, 0))),L29)))*(IF((YEAR(D29)+20)&lt;YEAR(E29),0,IF((YEAR(D29)+20)&gt;YEAR(E29),1,(12-MONTH(E29)+1)/12))) + (Q29)*(IF((YEAR(D29)+20)&lt;YEAR(E29),0,IF((YEAR(D29)+20)&gt;YEAR(E29),1,(12-MONTH(E29)+1)/12))))-((P29)*(IF((YEAR(D29)+20)&lt;YEAR(E29),0,IF((YEAR(D29)+20)&gt;YEAR(E29),1,(12-MONTH(E29)+1)/12))) + (R29)*(IF((YEAR(D29)+20)&lt;YEAR(E29),0,IF((YEAR(D29)+20)&gt;YEAR(E29),1,(12-MONTH(E29)+1)/12))))-(IF(OR(N29="",N29&lt;=0),0,(O29/N29)*(IF(OR(N29="",N29&lt;=0),0,IF((YEAR(D29)+20)&lt;YEAR(E29),0,IF((YEAR(D29)+20)&gt;=YEAR(E29)+N29,0,IF((YEAR(D29)+20)=YEAR(E29),(12-MONTH(E29)+1)/12,1))))))))*TaxRate,0))-IF(20=0,O29,0))</f>
        <v/>
      </c>
      <c r="AN29" s="29">
        <f>IF(A29="","",S29)</f>
        <v/>
      </c>
      <c r="AO29" s="29">
        <f>IF(A29="","",AN29+T29)</f>
        <v/>
      </c>
      <c r="AP29" s="29">
        <f>IF(A29="","",AO29+U29)</f>
        <v/>
      </c>
      <c r="AQ29" s="29">
        <f>IF(A29="","",AP29+V29)</f>
        <v/>
      </c>
      <c r="AR29" s="29">
        <f>IF(A29="","",AQ29+W29)</f>
        <v/>
      </c>
      <c r="AS29" s="29">
        <f>IF(A29="","",AR29+X29)</f>
        <v/>
      </c>
      <c r="AT29" s="29">
        <f>IF(A29="","",AS29+Y29)</f>
        <v/>
      </c>
      <c r="AU29" s="29">
        <f>IF(A29="","",AT29+Z29)</f>
        <v/>
      </c>
      <c r="AV29" s="29">
        <f>IF(A29="","",AU29+AA29)</f>
        <v/>
      </c>
      <c r="AW29" s="29">
        <f>IF(A29="","",AV29+AB29)</f>
        <v/>
      </c>
      <c r="AX29" s="29">
        <f>IF(A29="","",AW29+AC29)</f>
        <v/>
      </c>
      <c r="AY29" s="29">
        <f>IF(A29="","",AX29+AD29)</f>
        <v/>
      </c>
      <c r="AZ29" s="29">
        <f>IF(A29="","",AY29+AE29)</f>
        <v/>
      </c>
      <c r="BA29" s="29">
        <f>IF(A29="","",AZ29+AF29)</f>
        <v/>
      </c>
      <c r="BB29" s="29">
        <f>IF(A29="","",BA29+AG29)</f>
        <v/>
      </c>
      <c r="BC29" s="29">
        <f>IF(A29="","",BB29+AH29)</f>
        <v/>
      </c>
      <c r="BD29" s="29">
        <f>IF(A29="","",BC29+AI29)</f>
        <v/>
      </c>
      <c r="BE29" s="29">
        <f>IF(A29="","",BD29+AJ29)</f>
        <v/>
      </c>
      <c r="BF29" s="29">
        <f>IF(A29="","",BE29+AK29)</f>
        <v/>
      </c>
      <c r="BG29" s="29">
        <f>IF(A29="","",BF29+AL29)</f>
        <v/>
      </c>
      <c r="BH29" s="29">
        <f>IF(A29="","",BG29+AM29)</f>
        <v/>
      </c>
      <c r="BI29" s="36">
        <f>IF(A29="","",(K29)*(IF((YEAR(D29)+0)&lt;YEAR(E29),0,IF((YEAR(D29)+0)&gt;YEAR(E29),1,(12-MONTH(E29)+1)/12)))*(1/(1+DiscountRate)^0))</f>
        <v/>
      </c>
      <c r="BJ29" s="36">
        <f>IF(A29="","",(K29)*(IF((YEAR(D29)+1)&lt;YEAR(E29),0,IF((YEAR(D29)+1)&gt;YEAR(E29),1,(12-MONTH(E29)+1)/12)))*(1/(1+DiscountRate)^1))</f>
        <v/>
      </c>
      <c r="BK29" s="36">
        <f>IF(A29="","",(K29)*(IF((YEAR(D29)+2)&lt;YEAR(E29),0,IF((YEAR(D29)+2)&gt;YEAR(E29),1,(12-MONTH(E29)+1)/12)))*(1/(1+DiscountRate)^2))</f>
        <v/>
      </c>
      <c r="BL29" s="36">
        <f>IF(A29="","",(K29)*(IF((YEAR(D29)+3)&lt;YEAR(E29),0,IF((YEAR(D29)+3)&gt;YEAR(E29),1,(12-MONTH(E29)+1)/12)))*(1/(1+DiscountRate)^3))</f>
        <v/>
      </c>
      <c r="BM29" s="36">
        <f>IF(A29="","",(K29)*(IF((YEAR(D29)+4)&lt;YEAR(E29),0,IF((YEAR(D29)+4)&gt;YEAR(E29),1,(12-MONTH(E29)+1)/12)))*(1/(1+DiscountRate)^4))</f>
        <v/>
      </c>
      <c r="BN29" s="36">
        <f>IF(A29="","",(K29)*(IF((YEAR(D29)+5)&lt;YEAR(E29),0,IF((YEAR(D29)+5)&gt;YEAR(E29),1,(12-MONTH(E29)+1)/12)))*(1/(1+DiscountRate)^5))</f>
        <v/>
      </c>
      <c r="BO29" s="36">
        <f>IF(A29="","",(K29)*(IF((YEAR(D29)+6)&lt;YEAR(E29),0,IF((YEAR(D29)+6)&gt;YEAR(E29),1,(12-MONTH(E29)+1)/12)))*(1/(1+DiscountRate)^6))</f>
        <v/>
      </c>
      <c r="BP29" s="36">
        <f>IF(A29="","",(K29)*(IF((YEAR(D29)+7)&lt;YEAR(E29),0,IF((YEAR(D29)+7)&gt;YEAR(E29),1,(12-MONTH(E29)+1)/12)))*(1/(1+DiscountRate)^7))</f>
        <v/>
      </c>
      <c r="BQ29" s="36">
        <f>IF(A29="","",(K29)*(IF((YEAR(D29)+8)&lt;YEAR(E29),0,IF((YEAR(D29)+8)&gt;YEAR(E29),1,(12-MONTH(E29)+1)/12)))*(1/(1+DiscountRate)^8))</f>
        <v/>
      </c>
      <c r="BR29" s="36">
        <f>IF(A29="","",(K29)*(IF((YEAR(D29)+9)&lt;YEAR(E29),0,IF((YEAR(D29)+9)&gt;YEAR(E29),1,(12-MONTH(E29)+1)/12)))*(1/(1+DiscountRate)^9))</f>
        <v/>
      </c>
      <c r="BS29" s="36">
        <f>IF(A29="","",(K29)*(IF((YEAR(D29)+10)&lt;YEAR(E29),0,IF((YEAR(D29)+10)&gt;YEAR(E29),1,(12-MONTH(E29)+1)/12)))*(1/(1+DiscountRate)^10))</f>
        <v/>
      </c>
      <c r="BT29" s="36">
        <f>IF(A29="","",(K29)*(IF((YEAR(D29)+11)&lt;YEAR(E29),0,IF((YEAR(D29)+11)&gt;YEAR(E29),1,(12-MONTH(E29)+1)/12)))*(1/(1+DiscountRate)^11))</f>
        <v/>
      </c>
      <c r="BU29" s="36">
        <f>IF(A29="","",(K29)*(IF((YEAR(D29)+12)&lt;YEAR(E29),0,IF((YEAR(D29)+12)&gt;YEAR(E29),1,(12-MONTH(E29)+1)/12)))*(1/(1+DiscountRate)^12))</f>
        <v/>
      </c>
      <c r="BV29" s="36">
        <f>IF(A29="","",(K29)*(IF((YEAR(D29)+13)&lt;YEAR(E29),0,IF((YEAR(D29)+13)&gt;YEAR(E29),1,(12-MONTH(E29)+1)/12)))*(1/(1+DiscountRate)^13))</f>
        <v/>
      </c>
      <c r="BW29" s="36">
        <f>IF(A29="","",(K29)*(IF((YEAR(D29)+14)&lt;YEAR(E29),0,IF((YEAR(D29)+14)&gt;YEAR(E29),1,(12-MONTH(E29)+1)/12)))*(1/(1+DiscountRate)^14))</f>
        <v/>
      </c>
      <c r="BX29" s="36">
        <f>IF(A29="","",(K29)*(IF((YEAR(D29)+15)&lt;YEAR(E29),0,IF((YEAR(D29)+15)&gt;YEAR(E29),1,(12-MONTH(E29)+1)/12)))*(1/(1+DiscountRate)^15))</f>
        <v/>
      </c>
      <c r="BY29" s="36">
        <f>IF(A29="","",(K29)*(IF((YEAR(D29)+16)&lt;YEAR(E29),0,IF((YEAR(D29)+16)&gt;YEAR(E29),1,(12-MONTH(E29)+1)/12)))*(1/(1+DiscountRate)^16))</f>
        <v/>
      </c>
      <c r="BZ29" s="36">
        <f>IF(A29="","",(K29)*(IF((YEAR(D29)+17)&lt;YEAR(E29),0,IF((YEAR(D29)+17)&gt;YEAR(E29),1,(12-MONTH(E29)+1)/12)))*(1/(1+DiscountRate)^17))</f>
        <v/>
      </c>
      <c r="CA29" s="36">
        <f>IF(A29="","",(K29)*(IF((YEAR(D29)+18)&lt;YEAR(E29),0,IF((YEAR(D29)+18)&gt;YEAR(E29),1,(12-MONTH(E29)+1)/12)))*(1/(1+DiscountRate)^18))</f>
        <v/>
      </c>
      <c r="CB29" s="36">
        <f>IF(A29="","",(K29)*(IF((YEAR(D29)+19)&lt;YEAR(E29),0,IF((YEAR(D29)+19)&gt;YEAR(E29),1,(12-MONTH(E29)+1)/12)))*(1/(1+DiscountRate)^19))</f>
        <v/>
      </c>
      <c r="CC29" s="36">
        <f>IF(A29="","",(K29)*(IF((YEAR(D29)+20)&lt;YEAR(E29),0,IF((YEAR(D29)+20)&gt;YEAR(E29),1,(12-MONTH(E29)+1)/12)))*(1/(1+DiscountRate)^20))</f>
        <v/>
      </c>
      <c r="CD29" s="29">
        <f>IF(A29="","",S29/(1+DiscountRate)^0+T29/(1+DiscountRate)^1+U29/(1+DiscountRate)^2+V29/(1+DiscountRate)^3+W29/(1+DiscountRate)^4+X29/(1+DiscountRate)^5+Y29/(1+DiscountRate)^6+Z29/(1+DiscountRate)^7+AA29/(1+DiscountRate)^8+AB29/(1+DiscountRate)^9+AC29/(1+DiscountRate)^10+AD29/(1+DiscountRate)^11+AE29/(1+DiscountRate)^12+AF29/(1+DiscountRate)^13+AG29/(1+DiscountRate)^14+AH29/(1+DiscountRate)^15+AI29/(1+DiscountRate)^16+AJ29/(1+DiscountRate)^17+AK29/(1+DiscountRate)^18+AL29/(1+DiscountRate)^19+AM29/(1+DiscountRate)^20)</f>
        <v/>
      </c>
      <c r="CE29" s="37">
        <f>IF(A29="","",IFERROR(IRR(OFFSET(S29,0,0,1,MIN(HorizonYears,20)+1)),"n/a"))</f>
        <v/>
      </c>
      <c r="CF29" s="28">
        <f>IF(A29="","",IFERROR(MATCH(TRUE,OFFSET(AN29,0,0,1,MIN(HorizonYears,20)+1)&gt;=0,0)-1,"n/a"))</f>
        <v/>
      </c>
      <c r="CG29" s="36">
        <f>IF(A29="","",SUM(OFFSET(BI29,0,0,1,MIN(HorizonYears,20)+1)))</f>
        <v/>
      </c>
      <c r="CH29" s="36">
        <f>IF(A29="","",IFERROR(-CD29/CG29,"n/a"))</f>
        <v/>
      </c>
    </row>
    <row r="30">
      <c r="A30" s="6">
        <f>Actions!A28</f>
        <v/>
      </c>
      <c r="B30" s="6">
        <f>Actions!B28</f>
        <v/>
      </c>
      <c r="C30" s="6">
        <f>Actions!D28</f>
        <v/>
      </c>
      <c r="D30" s="35">
        <f>Actions!E28</f>
        <v/>
      </c>
      <c r="E30" s="35">
        <f>Actions!F28</f>
        <v/>
      </c>
      <c r="F30" s="6">
        <f>Actions!G28</f>
        <v/>
      </c>
      <c r="G30" s="6">
        <f>Actions!H28</f>
        <v/>
      </c>
      <c r="H30" s="29">
        <f>Actions!I28</f>
        <v/>
      </c>
      <c r="I30" s="6">
        <f>Actions!J28</f>
        <v/>
      </c>
      <c r="J30" s="16">
        <f>Actions!K28</f>
        <v/>
      </c>
      <c r="K30" s="16">
        <f>IF(A30="","",IF(I30="%",H30*J30,J30))</f>
        <v/>
      </c>
      <c r="L30" s="16">
        <f>Actions!L28</f>
        <v/>
      </c>
      <c r="M30" s="6">
        <f>Actions!M28</f>
        <v/>
      </c>
      <c r="N30" s="28">
        <f>Actions!N28</f>
        <v/>
      </c>
      <c r="O30" s="29">
        <f>Actions!T28</f>
        <v/>
      </c>
      <c r="P30" s="29">
        <f>Actions!Y28</f>
        <v/>
      </c>
      <c r="Q30" s="29">
        <f>Actions!Z28</f>
        <v/>
      </c>
      <c r="R30" s="29">
        <f>Actions!AA28</f>
        <v/>
      </c>
      <c r="S30" s="29">
        <f>IF(A30="","",((K30)*(IF(M30="",L30,IFERROR(IF(INDEX(Variablen!$I:$AT, MATCH(M30, Variablen!$A:$A, 0), MATCH((YEAR(D30)+0), Variablen!$I$3:$AT$3, 0))="",L30,INDEX(Variablen!$I:$AT, MATCH(M30, Variablen!$A:$A, 0), MATCH((YEAR(D30)+0), Variablen!$I$3:$AT$3, 0))),L30)))*(IF((YEAR(D30)+0)&lt;YEAR(E30),0,IF((YEAR(D30)+0)&gt;YEAR(E30),1,(12-MONTH(E30)+1)/12))) + (Q30)*(IF((YEAR(D30)+0)&lt;YEAR(E30),0,IF((YEAR(D30)+0)&gt;YEAR(E30),1,(12-MONTH(E30)+1)/12))))-((P30)*(IF((YEAR(D30)+0)&lt;YEAR(E30),0,IF((YEAR(D30)+0)&gt;YEAR(E30),1,(12-MONTH(E30)+1)/12))) + (R30)*(IF((YEAR(D30)+0)&lt;YEAR(E30),0,IF((YEAR(D30)+0)&gt;YEAR(E30),1,(12-MONTH(E30)+1)/12))))-(IF((((K30)*(IF(M30="",L30,IFERROR(IF(INDEX(Variablen!$I:$AT, MATCH(M30, Variablen!$A:$A, 0), MATCH((YEAR(D30)+0), Variablen!$I$3:$AT$3, 0))="",L30,INDEX(Variablen!$I:$AT, MATCH(M30, Variablen!$A:$A, 0), MATCH((YEAR(D30)+0), Variablen!$I$3:$AT$3, 0))),L30)))*(IF((YEAR(D30)+0)&lt;YEAR(E30),0,IF((YEAR(D30)+0)&gt;YEAR(E30),1,(12-MONTH(E30)+1)/12))) + (Q30)*(IF((YEAR(D30)+0)&lt;YEAR(E30),0,IF((YEAR(D30)+0)&gt;YEAR(E30),1,(12-MONTH(E30)+1)/12))))-((P30)*(IF((YEAR(D30)+0)&lt;YEAR(E30),0,IF((YEAR(D30)+0)&gt;YEAR(E30),1,(12-MONTH(E30)+1)/12))) + (R30)*(IF((YEAR(D30)+0)&lt;YEAR(E30),0,IF((YEAR(D30)+0)&gt;YEAR(E30),1,(12-MONTH(E30)+1)/12))))-(IF(OR(N30="",N30&lt;=0),0,(O30/N30)*(IF(OR(N30="",N30&lt;=0),0,IF((YEAR(D30)+0)&lt;YEAR(E30),0,IF((YEAR(D30)+0)&gt;=YEAR(E30)+N30,0,IF((YEAR(D30)+0)=YEAR(E30),(12-MONTH(E30)+1)/12,1))))))))&gt;0,(((K30)*(IF(M30="",L30,IFERROR(IF(INDEX(Variablen!$I:$AT, MATCH(M30, Variablen!$A:$A, 0), MATCH((YEAR(D30)+0), Variablen!$I$3:$AT$3, 0))="",L30,INDEX(Variablen!$I:$AT, MATCH(M30, Variablen!$A:$A, 0), MATCH((YEAR(D30)+0), Variablen!$I$3:$AT$3, 0))),L30)))*(IF((YEAR(D30)+0)&lt;YEAR(E30),0,IF((YEAR(D30)+0)&gt;YEAR(E30),1,(12-MONTH(E30)+1)/12))) + (Q30)*(IF((YEAR(D30)+0)&lt;YEAR(E30),0,IF((YEAR(D30)+0)&gt;YEAR(E30),1,(12-MONTH(E30)+1)/12))))-((P30)*(IF((YEAR(D30)+0)&lt;YEAR(E30),0,IF((YEAR(D30)+0)&gt;YEAR(E30),1,(12-MONTH(E30)+1)/12))) + (R30)*(IF((YEAR(D30)+0)&lt;YEAR(E30),0,IF((YEAR(D30)+0)&gt;YEAR(E30),1,(12-MONTH(E30)+1)/12))))-(IF(OR(N30="",N30&lt;=0),0,(O30/N30)*(IF(OR(N30="",N30&lt;=0),0,IF((YEAR(D30)+0)&lt;YEAR(E30),0,IF((YEAR(D30)+0)&gt;=YEAR(E30)+N30,0,IF((YEAR(D30)+0)=YEAR(E30),(12-MONTH(E30)+1)/12,1))))))))*TaxRate,0))-IF(0=0,O30,0))</f>
        <v/>
      </c>
      <c r="T30" s="29">
        <f>IF(A30="","",((K30)*(IF(M30="",L30,IFERROR(IF(INDEX(Variablen!$I:$AT, MATCH(M30, Variablen!$A:$A, 0), MATCH((YEAR(D30)+1), Variablen!$I$3:$AT$3, 0))="",L30,INDEX(Variablen!$I:$AT, MATCH(M30, Variablen!$A:$A, 0), MATCH((YEAR(D30)+1), Variablen!$I$3:$AT$3, 0))),L30)))*(IF((YEAR(D30)+1)&lt;YEAR(E30),0,IF((YEAR(D30)+1)&gt;YEAR(E30),1,(12-MONTH(E30)+1)/12))) + (Q30)*(IF((YEAR(D30)+1)&lt;YEAR(E30),0,IF((YEAR(D30)+1)&gt;YEAR(E30),1,(12-MONTH(E30)+1)/12))))-((P30)*(IF((YEAR(D30)+1)&lt;YEAR(E30),0,IF((YEAR(D30)+1)&gt;YEAR(E30),1,(12-MONTH(E30)+1)/12))) + (R30)*(IF((YEAR(D30)+1)&lt;YEAR(E30),0,IF((YEAR(D30)+1)&gt;YEAR(E30),1,(12-MONTH(E30)+1)/12))))-(IF((((K30)*(IF(M30="",L30,IFERROR(IF(INDEX(Variablen!$I:$AT, MATCH(M30, Variablen!$A:$A, 0), MATCH((YEAR(D30)+1), Variablen!$I$3:$AT$3, 0))="",L30,INDEX(Variablen!$I:$AT, MATCH(M30, Variablen!$A:$A, 0), MATCH((YEAR(D30)+1), Variablen!$I$3:$AT$3, 0))),L30)))*(IF((YEAR(D30)+1)&lt;YEAR(E30),0,IF((YEAR(D30)+1)&gt;YEAR(E30),1,(12-MONTH(E30)+1)/12))) + (Q30)*(IF((YEAR(D30)+1)&lt;YEAR(E30),0,IF((YEAR(D30)+1)&gt;YEAR(E30),1,(12-MONTH(E30)+1)/12))))-((P30)*(IF((YEAR(D30)+1)&lt;YEAR(E30),0,IF((YEAR(D30)+1)&gt;YEAR(E30),1,(12-MONTH(E30)+1)/12))) + (R30)*(IF((YEAR(D30)+1)&lt;YEAR(E30),0,IF((YEAR(D30)+1)&gt;YEAR(E30),1,(12-MONTH(E30)+1)/12))))-(IF(OR(N30="",N30&lt;=0),0,(O30/N30)*(IF(OR(N30="",N30&lt;=0),0,IF((YEAR(D30)+1)&lt;YEAR(E30),0,IF((YEAR(D30)+1)&gt;=YEAR(E30)+N30,0,IF((YEAR(D30)+1)=YEAR(E30),(12-MONTH(E30)+1)/12,1))))))))&gt;0,(((K30)*(IF(M30="",L30,IFERROR(IF(INDEX(Variablen!$I:$AT, MATCH(M30, Variablen!$A:$A, 0), MATCH((YEAR(D30)+1), Variablen!$I$3:$AT$3, 0))="",L30,INDEX(Variablen!$I:$AT, MATCH(M30, Variablen!$A:$A, 0), MATCH((YEAR(D30)+1), Variablen!$I$3:$AT$3, 0))),L30)))*(IF((YEAR(D30)+1)&lt;YEAR(E30),0,IF((YEAR(D30)+1)&gt;YEAR(E30),1,(12-MONTH(E30)+1)/12))) + (Q30)*(IF((YEAR(D30)+1)&lt;YEAR(E30),0,IF((YEAR(D30)+1)&gt;YEAR(E30),1,(12-MONTH(E30)+1)/12))))-((P30)*(IF((YEAR(D30)+1)&lt;YEAR(E30),0,IF((YEAR(D30)+1)&gt;YEAR(E30),1,(12-MONTH(E30)+1)/12))) + (R30)*(IF((YEAR(D30)+1)&lt;YEAR(E30),0,IF((YEAR(D30)+1)&gt;YEAR(E30),1,(12-MONTH(E30)+1)/12))))-(IF(OR(N30="",N30&lt;=0),0,(O30/N30)*(IF(OR(N30="",N30&lt;=0),0,IF((YEAR(D30)+1)&lt;YEAR(E30),0,IF((YEAR(D30)+1)&gt;=YEAR(E30)+N30,0,IF((YEAR(D30)+1)=YEAR(E30),(12-MONTH(E30)+1)/12,1))))))))*TaxRate,0))-IF(1=0,O30,0))</f>
        <v/>
      </c>
      <c r="U30" s="29">
        <f>IF(A30="","",((K30)*(IF(M30="",L30,IFERROR(IF(INDEX(Variablen!$I:$AT, MATCH(M30, Variablen!$A:$A, 0), MATCH((YEAR(D30)+2), Variablen!$I$3:$AT$3, 0))="",L30,INDEX(Variablen!$I:$AT, MATCH(M30, Variablen!$A:$A, 0), MATCH((YEAR(D30)+2), Variablen!$I$3:$AT$3, 0))),L30)))*(IF((YEAR(D30)+2)&lt;YEAR(E30),0,IF((YEAR(D30)+2)&gt;YEAR(E30),1,(12-MONTH(E30)+1)/12))) + (Q30)*(IF((YEAR(D30)+2)&lt;YEAR(E30),0,IF((YEAR(D30)+2)&gt;YEAR(E30),1,(12-MONTH(E30)+1)/12))))-((P30)*(IF((YEAR(D30)+2)&lt;YEAR(E30),0,IF((YEAR(D30)+2)&gt;YEAR(E30),1,(12-MONTH(E30)+1)/12))) + (R30)*(IF((YEAR(D30)+2)&lt;YEAR(E30),0,IF((YEAR(D30)+2)&gt;YEAR(E30),1,(12-MONTH(E30)+1)/12))))-(IF((((K30)*(IF(M30="",L30,IFERROR(IF(INDEX(Variablen!$I:$AT, MATCH(M30, Variablen!$A:$A, 0), MATCH((YEAR(D30)+2), Variablen!$I$3:$AT$3, 0))="",L30,INDEX(Variablen!$I:$AT, MATCH(M30, Variablen!$A:$A, 0), MATCH((YEAR(D30)+2), Variablen!$I$3:$AT$3, 0))),L30)))*(IF((YEAR(D30)+2)&lt;YEAR(E30),0,IF((YEAR(D30)+2)&gt;YEAR(E30),1,(12-MONTH(E30)+1)/12))) + (Q30)*(IF((YEAR(D30)+2)&lt;YEAR(E30),0,IF((YEAR(D30)+2)&gt;YEAR(E30),1,(12-MONTH(E30)+1)/12))))-((P30)*(IF((YEAR(D30)+2)&lt;YEAR(E30),0,IF((YEAR(D30)+2)&gt;YEAR(E30),1,(12-MONTH(E30)+1)/12))) + (R30)*(IF((YEAR(D30)+2)&lt;YEAR(E30),0,IF((YEAR(D30)+2)&gt;YEAR(E30),1,(12-MONTH(E30)+1)/12))))-(IF(OR(N30="",N30&lt;=0),0,(O30/N30)*(IF(OR(N30="",N30&lt;=0),0,IF((YEAR(D30)+2)&lt;YEAR(E30),0,IF((YEAR(D30)+2)&gt;=YEAR(E30)+N30,0,IF((YEAR(D30)+2)=YEAR(E30),(12-MONTH(E30)+1)/12,1))))))))&gt;0,(((K30)*(IF(M30="",L30,IFERROR(IF(INDEX(Variablen!$I:$AT, MATCH(M30, Variablen!$A:$A, 0), MATCH((YEAR(D30)+2), Variablen!$I$3:$AT$3, 0))="",L30,INDEX(Variablen!$I:$AT, MATCH(M30, Variablen!$A:$A, 0), MATCH((YEAR(D30)+2), Variablen!$I$3:$AT$3, 0))),L30)))*(IF((YEAR(D30)+2)&lt;YEAR(E30),0,IF((YEAR(D30)+2)&gt;YEAR(E30),1,(12-MONTH(E30)+1)/12))) + (Q30)*(IF((YEAR(D30)+2)&lt;YEAR(E30),0,IF((YEAR(D30)+2)&gt;YEAR(E30),1,(12-MONTH(E30)+1)/12))))-((P30)*(IF((YEAR(D30)+2)&lt;YEAR(E30),0,IF((YEAR(D30)+2)&gt;YEAR(E30),1,(12-MONTH(E30)+1)/12))) + (R30)*(IF((YEAR(D30)+2)&lt;YEAR(E30),0,IF((YEAR(D30)+2)&gt;YEAR(E30),1,(12-MONTH(E30)+1)/12))))-(IF(OR(N30="",N30&lt;=0),0,(O30/N30)*(IF(OR(N30="",N30&lt;=0),0,IF((YEAR(D30)+2)&lt;YEAR(E30),0,IF((YEAR(D30)+2)&gt;=YEAR(E30)+N30,0,IF((YEAR(D30)+2)=YEAR(E30),(12-MONTH(E30)+1)/12,1))))))))*TaxRate,0))-IF(2=0,O30,0))</f>
        <v/>
      </c>
      <c r="V30" s="29">
        <f>IF(A30="","",((K30)*(IF(M30="",L30,IFERROR(IF(INDEX(Variablen!$I:$AT, MATCH(M30, Variablen!$A:$A, 0), MATCH((YEAR(D30)+3), Variablen!$I$3:$AT$3, 0))="",L30,INDEX(Variablen!$I:$AT, MATCH(M30, Variablen!$A:$A, 0), MATCH((YEAR(D30)+3), Variablen!$I$3:$AT$3, 0))),L30)))*(IF((YEAR(D30)+3)&lt;YEAR(E30),0,IF((YEAR(D30)+3)&gt;YEAR(E30),1,(12-MONTH(E30)+1)/12))) + (Q30)*(IF((YEAR(D30)+3)&lt;YEAR(E30),0,IF((YEAR(D30)+3)&gt;YEAR(E30),1,(12-MONTH(E30)+1)/12))))-((P30)*(IF((YEAR(D30)+3)&lt;YEAR(E30),0,IF((YEAR(D30)+3)&gt;YEAR(E30),1,(12-MONTH(E30)+1)/12))) + (R30)*(IF((YEAR(D30)+3)&lt;YEAR(E30),0,IF((YEAR(D30)+3)&gt;YEAR(E30),1,(12-MONTH(E30)+1)/12))))-(IF((((K30)*(IF(M30="",L30,IFERROR(IF(INDEX(Variablen!$I:$AT, MATCH(M30, Variablen!$A:$A, 0), MATCH((YEAR(D30)+3), Variablen!$I$3:$AT$3, 0))="",L30,INDEX(Variablen!$I:$AT, MATCH(M30, Variablen!$A:$A, 0), MATCH((YEAR(D30)+3), Variablen!$I$3:$AT$3, 0))),L30)))*(IF((YEAR(D30)+3)&lt;YEAR(E30),0,IF((YEAR(D30)+3)&gt;YEAR(E30),1,(12-MONTH(E30)+1)/12))) + (Q30)*(IF((YEAR(D30)+3)&lt;YEAR(E30),0,IF((YEAR(D30)+3)&gt;YEAR(E30),1,(12-MONTH(E30)+1)/12))))-((P30)*(IF((YEAR(D30)+3)&lt;YEAR(E30),0,IF((YEAR(D30)+3)&gt;YEAR(E30),1,(12-MONTH(E30)+1)/12))) + (R30)*(IF((YEAR(D30)+3)&lt;YEAR(E30),0,IF((YEAR(D30)+3)&gt;YEAR(E30),1,(12-MONTH(E30)+1)/12))))-(IF(OR(N30="",N30&lt;=0),0,(O30/N30)*(IF(OR(N30="",N30&lt;=0),0,IF((YEAR(D30)+3)&lt;YEAR(E30),0,IF((YEAR(D30)+3)&gt;=YEAR(E30)+N30,0,IF((YEAR(D30)+3)=YEAR(E30),(12-MONTH(E30)+1)/12,1))))))))&gt;0,(((K30)*(IF(M30="",L30,IFERROR(IF(INDEX(Variablen!$I:$AT, MATCH(M30, Variablen!$A:$A, 0), MATCH((YEAR(D30)+3), Variablen!$I$3:$AT$3, 0))="",L30,INDEX(Variablen!$I:$AT, MATCH(M30, Variablen!$A:$A, 0), MATCH((YEAR(D30)+3), Variablen!$I$3:$AT$3, 0))),L30)))*(IF((YEAR(D30)+3)&lt;YEAR(E30),0,IF((YEAR(D30)+3)&gt;YEAR(E30),1,(12-MONTH(E30)+1)/12))) + (Q30)*(IF((YEAR(D30)+3)&lt;YEAR(E30),0,IF((YEAR(D30)+3)&gt;YEAR(E30),1,(12-MONTH(E30)+1)/12))))-((P30)*(IF((YEAR(D30)+3)&lt;YEAR(E30),0,IF((YEAR(D30)+3)&gt;YEAR(E30),1,(12-MONTH(E30)+1)/12))) + (R30)*(IF((YEAR(D30)+3)&lt;YEAR(E30),0,IF((YEAR(D30)+3)&gt;YEAR(E30),1,(12-MONTH(E30)+1)/12))))-(IF(OR(N30="",N30&lt;=0),0,(O30/N30)*(IF(OR(N30="",N30&lt;=0),0,IF((YEAR(D30)+3)&lt;YEAR(E30),0,IF((YEAR(D30)+3)&gt;=YEAR(E30)+N30,0,IF((YEAR(D30)+3)=YEAR(E30),(12-MONTH(E30)+1)/12,1))))))))*TaxRate,0))-IF(3=0,O30,0))</f>
        <v/>
      </c>
      <c r="W30" s="29">
        <f>IF(A30="","",((K30)*(IF(M30="",L30,IFERROR(IF(INDEX(Variablen!$I:$AT, MATCH(M30, Variablen!$A:$A, 0), MATCH((YEAR(D30)+4), Variablen!$I$3:$AT$3, 0))="",L30,INDEX(Variablen!$I:$AT, MATCH(M30, Variablen!$A:$A, 0), MATCH((YEAR(D30)+4), Variablen!$I$3:$AT$3, 0))),L30)))*(IF((YEAR(D30)+4)&lt;YEAR(E30),0,IF((YEAR(D30)+4)&gt;YEAR(E30),1,(12-MONTH(E30)+1)/12))) + (Q30)*(IF((YEAR(D30)+4)&lt;YEAR(E30),0,IF((YEAR(D30)+4)&gt;YEAR(E30),1,(12-MONTH(E30)+1)/12))))-((P30)*(IF((YEAR(D30)+4)&lt;YEAR(E30),0,IF((YEAR(D30)+4)&gt;YEAR(E30),1,(12-MONTH(E30)+1)/12))) + (R30)*(IF((YEAR(D30)+4)&lt;YEAR(E30),0,IF((YEAR(D30)+4)&gt;YEAR(E30),1,(12-MONTH(E30)+1)/12))))-(IF((((K30)*(IF(M30="",L30,IFERROR(IF(INDEX(Variablen!$I:$AT, MATCH(M30, Variablen!$A:$A, 0), MATCH((YEAR(D30)+4), Variablen!$I$3:$AT$3, 0))="",L30,INDEX(Variablen!$I:$AT, MATCH(M30, Variablen!$A:$A, 0), MATCH((YEAR(D30)+4), Variablen!$I$3:$AT$3, 0))),L30)))*(IF((YEAR(D30)+4)&lt;YEAR(E30),0,IF((YEAR(D30)+4)&gt;YEAR(E30),1,(12-MONTH(E30)+1)/12))) + (Q30)*(IF((YEAR(D30)+4)&lt;YEAR(E30),0,IF((YEAR(D30)+4)&gt;YEAR(E30),1,(12-MONTH(E30)+1)/12))))-((P30)*(IF((YEAR(D30)+4)&lt;YEAR(E30),0,IF((YEAR(D30)+4)&gt;YEAR(E30),1,(12-MONTH(E30)+1)/12))) + (R30)*(IF((YEAR(D30)+4)&lt;YEAR(E30),0,IF((YEAR(D30)+4)&gt;YEAR(E30),1,(12-MONTH(E30)+1)/12))))-(IF(OR(N30="",N30&lt;=0),0,(O30/N30)*(IF(OR(N30="",N30&lt;=0),0,IF((YEAR(D30)+4)&lt;YEAR(E30),0,IF((YEAR(D30)+4)&gt;=YEAR(E30)+N30,0,IF((YEAR(D30)+4)=YEAR(E30),(12-MONTH(E30)+1)/12,1))))))))&gt;0,(((K30)*(IF(M30="",L30,IFERROR(IF(INDEX(Variablen!$I:$AT, MATCH(M30, Variablen!$A:$A, 0), MATCH((YEAR(D30)+4), Variablen!$I$3:$AT$3, 0))="",L30,INDEX(Variablen!$I:$AT, MATCH(M30, Variablen!$A:$A, 0), MATCH((YEAR(D30)+4), Variablen!$I$3:$AT$3, 0))),L30)))*(IF((YEAR(D30)+4)&lt;YEAR(E30),0,IF((YEAR(D30)+4)&gt;YEAR(E30),1,(12-MONTH(E30)+1)/12))) + (Q30)*(IF((YEAR(D30)+4)&lt;YEAR(E30),0,IF((YEAR(D30)+4)&gt;YEAR(E30),1,(12-MONTH(E30)+1)/12))))-((P30)*(IF((YEAR(D30)+4)&lt;YEAR(E30),0,IF((YEAR(D30)+4)&gt;YEAR(E30),1,(12-MONTH(E30)+1)/12))) + (R30)*(IF((YEAR(D30)+4)&lt;YEAR(E30),0,IF((YEAR(D30)+4)&gt;YEAR(E30),1,(12-MONTH(E30)+1)/12))))-(IF(OR(N30="",N30&lt;=0),0,(O30/N30)*(IF(OR(N30="",N30&lt;=0),0,IF((YEAR(D30)+4)&lt;YEAR(E30),0,IF((YEAR(D30)+4)&gt;=YEAR(E30)+N30,0,IF((YEAR(D30)+4)=YEAR(E30),(12-MONTH(E30)+1)/12,1))))))))*TaxRate,0))-IF(4=0,O30,0))</f>
        <v/>
      </c>
      <c r="X30" s="29">
        <f>IF(A30="","",((K30)*(IF(M30="",L30,IFERROR(IF(INDEX(Variablen!$I:$AT, MATCH(M30, Variablen!$A:$A, 0), MATCH((YEAR(D30)+5), Variablen!$I$3:$AT$3, 0))="",L30,INDEX(Variablen!$I:$AT, MATCH(M30, Variablen!$A:$A, 0), MATCH((YEAR(D30)+5), Variablen!$I$3:$AT$3, 0))),L30)))*(IF((YEAR(D30)+5)&lt;YEAR(E30),0,IF((YEAR(D30)+5)&gt;YEAR(E30),1,(12-MONTH(E30)+1)/12))) + (Q30)*(IF((YEAR(D30)+5)&lt;YEAR(E30),0,IF((YEAR(D30)+5)&gt;YEAR(E30),1,(12-MONTH(E30)+1)/12))))-((P30)*(IF((YEAR(D30)+5)&lt;YEAR(E30),0,IF((YEAR(D30)+5)&gt;YEAR(E30),1,(12-MONTH(E30)+1)/12))) + (R30)*(IF((YEAR(D30)+5)&lt;YEAR(E30),0,IF((YEAR(D30)+5)&gt;YEAR(E30),1,(12-MONTH(E30)+1)/12))))-(IF((((K30)*(IF(M30="",L30,IFERROR(IF(INDEX(Variablen!$I:$AT, MATCH(M30, Variablen!$A:$A, 0), MATCH((YEAR(D30)+5), Variablen!$I$3:$AT$3, 0))="",L30,INDEX(Variablen!$I:$AT, MATCH(M30, Variablen!$A:$A, 0), MATCH((YEAR(D30)+5), Variablen!$I$3:$AT$3, 0))),L30)))*(IF((YEAR(D30)+5)&lt;YEAR(E30),0,IF((YEAR(D30)+5)&gt;YEAR(E30),1,(12-MONTH(E30)+1)/12))) + (Q30)*(IF((YEAR(D30)+5)&lt;YEAR(E30),0,IF((YEAR(D30)+5)&gt;YEAR(E30),1,(12-MONTH(E30)+1)/12))))-((P30)*(IF((YEAR(D30)+5)&lt;YEAR(E30),0,IF((YEAR(D30)+5)&gt;YEAR(E30),1,(12-MONTH(E30)+1)/12))) + (R30)*(IF((YEAR(D30)+5)&lt;YEAR(E30),0,IF((YEAR(D30)+5)&gt;YEAR(E30),1,(12-MONTH(E30)+1)/12))))-(IF(OR(N30="",N30&lt;=0),0,(O30/N30)*(IF(OR(N30="",N30&lt;=0),0,IF((YEAR(D30)+5)&lt;YEAR(E30),0,IF((YEAR(D30)+5)&gt;=YEAR(E30)+N30,0,IF((YEAR(D30)+5)=YEAR(E30),(12-MONTH(E30)+1)/12,1))))))))&gt;0,(((K30)*(IF(M30="",L30,IFERROR(IF(INDEX(Variablen!$I:$AT, MATCH(M30, Variablen!$A:$A, 0), MATCH((YEAR(D30)+5), Variablen!$I$3:$AT$3, 0))="",L30,INDEX(Variablen!$I:$AT, MATCH(M30, Variablen!$A:$A, 0), MATCH((YEAR(D30)+5), Variablen!$I$3:$AT$3, 0))),L30)))*(IF((YEAR(D30)+5)&lt;YEAR(E30),0,IF((YEAR(D30)+5)&gt;YEAR(E30),1,(12-MONTH(E30)+1)/12))) + (Q30)*(IF((YEAR(D30)+5)&lt;YEAR(E30),0,IF((YEAR(D30)+5)&gt;YEAR(E30),1,(12-MONTH(E30)+1)/12))))-((P30)*(IF((YEAR(D30)+5)&lt;YEAR(E30),0,IF((YEAR(D30)+5)&gt;YEAR(E30),1,(12-MONTH(E30)+1)/12))) + (R30)*(IF((YEAR(D30)+5)&lt;YEAR(E30),0,IF((YEAR(D30)+5)&gt;YEAR(E30),1,(12-MONTH(E30)+1)/12))))-(IF(OR(N30="",N30&lt;=0),0,(O30/N30)*(IF(OR(N30="",N30&lt;=0),0,IF((YEAR(D30)+5)&lt;YEAR(E30),0,IF((YEAR(D30)+5)&gt;=YEAR(E30)+N30,0,IF((YEAR(D30)+5)=YEAR(E30),(12-MONTH(E30)+1)/12,1))))))))*TaxRate,0))-IF(5=0,O30,0))</f>
        <v/>
      </c>
      <c r="Y30" s="29">
        <f>IF(A30="","",((K30)*(IF(M30="",L30,IFERROR(IF(INDEX(Variablen!$I:$AT, MATCH(M30, Variablen!$A:$A, 0), MATCH((YEAR(D30)+6), Variablen!$I$3:$AT$3, 0))="",L30,INDEX(Variablen!$I:$AT, MATCH(M30, Variablen!$A:$A, 0), MATCH((YEAR(D30)+6), Variablen!$I$3:$AT$3, 0))),L30)))*(IF((YEAR(D30)+6)&lt;YEAR(E30),0,IF((YEAR(D30)+6)&gt;YEAR(E30),1,(12-MONTH(E30)+1)/12))) + (Q30)*(IF((YEAR(D30)+6)&lt;YEAR(E30),0,IF((YEAR(D30)+6)&gt;YEAR(E30),1,(12-MONTH(E30)+1)/12))))-((P30)*(IF((YEAR(D30)+6)&lt;YEAR(E30),0,IF((YEAR(D30)+6)&gt;YEAR(E30),1,(12-MONTH(E30)+1)/12))) + (R30)*(IF((YEAR(D30)+6)&lt;YEAR(E30),0,IF((YEAR(D30)+6)&gt;YEAR(E30),1,(12-MONTH(E30)+1)/12))))-(IF((((K30)*(IF(M30="",L30,IFERROR(IF(INDEX(Variablen!$I:$AT, MATCH(M30, Variablen!$A:$A, 0), MATCH((YEAR(D30)+6), Variablen!$I$3:$AT$3, 0))="",L30,INDEX(Variablen!$I:$AT, MATCH(M30, Variablen!$A:$A, 0), MATCH((YEAR(D30)+6), Variablen!$I$3:$AT$3, 0))),L30)))*(IF((YEAR(D30)+6)&lt;YEAR(E30),0,IF((YEAR(D30)+6)&gt;YEAR(E30),1,(12-MONTH(E30)+1)/12))) + (Q30)*(IF((YEAR(D30)+6)&lt;YEAR(E30),0,IF((YEAR(D30)+6)&gt;YEAR(E30),1,(12-MONTH(E30)+1)/12))))-((P30)*(IF((YEAR(D30)+6)&lt;YEAR(E30),0,IF((YEAR(D30)+6)&gt;YEAR(E30),1,(12-MONTH(E30)+1)/12))) + (R30)*(IF((YEAR(D30)+6)&lt;YEAR(E30),0,IF((YEAR(D30)+6)&gt;YEAR(E30),1,(12-MONTH(E30)+1)/12))))-(IF(OR(N30="",N30&lt;=0),0,(O30/N30)*(IF(OR(N30="",N30&lt;=0),0,IF((YEAR(D30)+6)&lt;YEAR(E30),0,IF((YEAR(D30)+6)&gt;=YEAR(E30)+N30,0,IF((YEAR(D30)+6)=YEAR(E30),(12-MONTH(E30)+1)/12,1))))))))&gt;0,(((K30)*(IF(M30="",L30,IFERROR(IF(INDEX(Variablen!$I:$AT, MATCH(M30, Variablen!$A:$A, 0), MATCH((YEAR(D30)+6), Variablen!$I$3:$AT$3, 0))="",L30,INDEX(Variablen!$I:$AT, MATCH(M30, Variablen!$A:$A, 0), MATCH((YEAR(D30)+6), Variablen!$I$3:$AT$3, 0))),L30)))*(IF((YEAR(D30)+6)&lt;YEAR(E30),0,IF((YEAR(D30)+6)&gt;YEAR(E30),1,(12-MONTH(E30)+1)/12))) + (Q30)*(IF((YEAR(D30)+6)&lt;YEAR(E30),0,IF((YEAR(D30)+6)&gt;YEAR(E30),1,(12-MONTH(E30)+1)/12))))-((P30)*(IF((YEAR(D30)+6)&lt;YEAR(E30),0,IF((YEAR(D30)+6)&gt;YEAR(E30),1,(12-MONTH(E30)+1)/12))) + (R30)*(IF((YEAR(D30)+6)&lt;YEAR(E30),0,IF((YEAR(D30)+6)&gt;YEAR(E30),1,(12-MONTH(E30)+1)/12))))-(IF(OR(N30="",N30&lt;=0),0,(O30/N30)*(IF(OR(N30="",N30&lt;=0),0,IF((YEAR(D30)+6)&lt;YEAR(E30),0,IF((YEAR(D30)+6)&gt;=YEAR(E30)+N30,0,IF((YEAR(D30)+6)=YEAR(E30),(12-MONTH(E30)+1)/12,1))))))))*TaxRate,0))-IF(6=0,O30,0))</f>
        <v/>
      </c>
      <c r="Z30" s="29">
        <f>IF(A30="","",((K30)*(IF(M30="",L30,IFERROR(IF(INDEX(Variablen!$I:$AT, MATCH(M30, Variablen!$A:$A, 0), MATCH((YEAR(D30)+7), Variablen!$I$3:$AT$3, 0))="",L30,INDEX(Variablen!$I:$AT, MATCH(M30, Variablen!$A:$A, 0), MATCH((YEAR(D30)+7), Variablen!$I$3:$AT$3, 0))),L30)))*(IF((YEAR(D30)+7)&lt;YEAR(E30),0,IF((YEAR(D30)+7)&gt;YEAR(E30),1,(12-MONTH(E30)+1)/12))) + (Q30)*(IF((YEAR(D30)+7)&lt;YEAR(E30),0,IF((YEAR(D30)+7)&gt;YEAR(E30),1,(12-MONTH(E30)+1)/12))))-((P30)*(IF((YEAR(D30)+7)&lt;YEAR(E30),0,IF((YEAR(D30)+7)&gt;YEAR(E30),1,(12-MONTH(E30)+1)/12))) + (R30)*(IF((YEAR(D30)+7)&lt;YEAR(E30),0,IF((YEAR(D30)+7)&gt;YEAR(E30),1,(12-MONTH(E30)+1)/12))))-(IF((((K30)*(IF(M30="",L30,IFERROR(IF(INDEX(Variablen!$I:$AT, MATCH(M30, Variablen!$A:$A, 0), MATCH((YEAR(D30)+7), Variablen!$I$3:$AT$3, 0))="",L30,INDEX(Variablen!$I:$AT, MATCH(M30, Variablen!$A:$A, 0), MATCH((YEAR(D30)+7), Variablen!$I$3:$AT$3, 0))),L30)))*(IF((YEAR(D30)+7)&lt;YEAR(E30),0,IF((YEAR(D30)+7)&gt;YEAR(E30),1,(12-MONTH(E30)+1)/12))) + (Q30)*(IF((YEAR(D30)+7)&lt;YEAR(E30),0,IF((YEAR(D30)+7)&gt;YEAR(E30),1,(12-MONTH(E30)+1)/12))))-((P30)*(IF((YEAR(D30)+7)&lt;YEAR(E30),0,IF((YEAR(D30)+7)&gt;YEAR(E30),1,(12-MONTH(E30)+1)/12))) + (R30)*(IF((YEAR(D30)+7)&lt;YEAR(E30),0,IF((YEAR(D30)+7)&gt;YEAR(E30),1,(12-MONTH(E30)+1)/12))))-(IF(OR(N30="",N30&lt;=0),0,(O30/N30)*(IF(OR(N30="",N30&lt;=0),0,IF((YEAR(D30)+7)&lt;YEAR(E30),0,IF((YEAR(D30)+7)&gt;=YEAR(E30)+N30,0,IF((YEAR(D30)+7)=YEAR(E30),(12-MONTH(E30)+1)/12,1))))))))&gt;0,(((K30)*(IF(M30="",L30,IFERROR(IF(INDEX(Variablen!$I:$AT, MATCH(M30, Variablen!$A:$A, 0), MATCH((YEAR(D30)+7), Variablen!$I$3:$AT$3, 0))="",L30,INDEX(Variablen!$I:$AT, MATCH(M30, Variablen!$A:$A, 0), MATCH((YEAR(D30)+7), Variablen!$I$3:$AT$3, 0))),L30)))*(IF((YEAR(D30)+7)&lt;YEAR(E30),0,IF((YEAR(D30)+7)&gt;YEAR(E30),1,(12-MONTH(E30)+1)/12))) + (Q30)*(IF((YEAR(D30)+7)&lt;YEAR(E30),0,IF((YEAR(D30)+7)&gt;YEAR(E30),1,(12-MONTH(E30)+1)/12))))-((P30)*(IF((YEAR(D30)+7)&lt;YEAR(E30),0,IF((YEAR(D30)+7)&gt;YEAR(E30),1,(12-MONTH(E30)+1)/12))) + (R30)*(IF((YEAR(D30)+7)&lt;YEAR(E30),0,IF((YEAR(D30)+7)&gt;YEAR(E30),1,(12-MONTH(E30)+1)/12))))-(IF(OR(N30="",N30&lt;=0),0,(O30/N30)*(IF(OR(N30="",N30&lt;=0),0,IF((YEAR(D30)+7)&lt;YEAR(E30),0,IF((YEAR(D30)+7)&gt;=YEAR(E30)+N30,0,IF((YEAR(D30)+7)=YEAR(E30),(12-MONTH(E30)+1)/12,1))))))))*TaxRate,0))-IF(7=0,O30,0))</f>
        <v/>
      </c>
      <c r="AA30" s="29">
        <f>IF(A30="","",((K30)*(IF(M30="",L30,IFERROR(IF(INDEX(Variablen!$I:$AT, MATCH(M30, Variablen!$A:$A, 0), MATCH((YEAR(D30)+8), Variablen!$I$3:$AT$3, 0))="",L30,INDEX(Variablen!$I:$AT, MATCH(M30, Variablen!$A:$A, 0), MATCH((YEAR(D30)+8), Variablen!$I$3:$AT$3, 0))),L30)))*(IF((YEAR(D30)+8)&lt;YEAR(E30),0,IF((YEAR(D30)+8)&gt;YEAR(E30),1,(12-MONTH(E30)+1)/12))) + (Q30)*(IF((YEAR(D30)+8)&lt;YEAR(E30),0,IF((YEAR(D30)+8)&gt;YEAR(E30),1,(12-MONTH(E30)+1)/12))))-((P30)*(IF((YEAR(D30)+8)&lt;YEAR(E30),0,IF((YEAR(D30)+8)&gt;YEAR(E30),1,(12-MONTH(E30)+1)/12))) + (R30)*(IF((YEAR(D30)+8)&lt;YEAR(E30),0,IF((YEAR(D30)+8)&gt;YEAR(E30),1,(12-MONTH(E30)+1)/12))))-(IF((((K30)*(IF(M30="",L30,IFERROR(IF(INDEX(Variablen!$I:$AT, MATCH(M30, Variablen!$A:$A, 0), MATCH((YEAR(D30)+8), Variablen!$I$3:$AT$3, 0))="",L30,INDEX(Variablen!$I:$AT, MATCH(M30, Variablen!$A:$A, 0), MATCH((YEAR(D30)+8), Variablen!$I$3:$AT$3, 0))),L30)))*(IF((YEAR(D30)+8)&lt;YEAR(E30),0,IF((YEAR(D30)+8)&gt;YEAR(E30),1,(12-MONTH(E30)+1)/12))) + (Q30)*(IF((YEAR(D30)+8)&lt;YEAR(E30),0,IF((YEAR(D30)+8)&gt;YEAR(E30),1,(12-MONTH(E30)+1)/12))))-((P30)*(IF((YEAR(D30)+8)&lt;YEAR(E30),0,IF((YEAR(D30)+8)&gt;YEAR(E30),1,(12-MONTH(E30)+1)/12))) + (R30)*(IF((YEAR(D30)+8)&lt;YEAR(E30),0,IF((YEAR(D30)+8)&gt;YEAR(E30),1,(12-MONTH(E30)+1)/12))))-(IF(OR(N30="",N30&lt;=0),0,(O30/N30)*(IF(OR(N30="",N30&lt;=0),0,IF((YEAR(D30)+8)&lt;YEAR(E30),0,IF((YEAR(D30)+8)&gt;=YEAR(E30)+N30,0,IF((YEAR(D30)+8)=YEAR(E30),(12-MONTH(E30)+1)/12,1))))))))&gt;0,(((K30)*(IF(M30="",L30,IFERROR(IF(INDEX(Variablen!$I:$AT, MATCH(M30, Variablen!$A:$A, 0), MATCH((YEAR(D30)+8), Variablen!$I$3:$AT$3, 0))="",L30,INDEX(Variablen!$I:$AT, MATCH(M30, Variablen!$A:$A, 0), MATCH((YEAR(D30)+8), Variablen!$I$3:$AT$3, 0))),L30)))*(IF((YEAR(D30)+8)&lt;YEAR(E30),0,IF((YEAR(D30)+8)&gt;YEAR(E30),1,(12-MONTH(E30)+1)/12))) + (Q30)*(IF((YEAR(D30)+8)&lt;YEAR(E30),0,IF((YEAR(D30)+8)&gt;YEAR(E30),1,(12-MONTH(E30)+1)/12))))-((P30)*(IF((YEAR(D30)+8)&lt;YEAR(E30),0,IF((YEAR(D30)+8)&gt;YEAR(E30),1,(12-MONTH(E30)+1)/12))) + (R30)*(IF((YEAR(D30)+8)&lt;YEAR(E30),0,IF((YEAR(D30)+8)&gt;YEAR(E30),1,(12-MONTH(E30)+1)/12))))-(IF(OR(N30="",N30&lt;=0),0,(O30/N30)*(IF(OR(N30="",N30&lt;=0),0,IF((YEAR(D30)+8)&lt;YEAR(E30),0,IF((YEAR(D30)+8)&gt;=YEAR(E30)+N30,0,IF((YEAR(D30)+8)=YEAR(E30),(12-MONTH(E30)+1)/12,1))))))))*TaxRate,0))-IF(8=0,O30,0))</f>
        <v/>
      </c>
      <c r="AB30" s="29">
        <f>IF(A30="","",((K30)*(IF(M30="",L30,IFERROR(IF(INDEX(Variablen!$I:$AT, MATCH(M30, Variablen!$A:$A, 0), MATCH((YEAR(D30)+9), Variablen!$I$3:$AT$3, 0))="",L30,INDEX(Variablen!$I:$AT, MATCH(M30, Variablen!$A:$A, 0), MATCH((YEAR(D30)+9), Variablen!$I$3:$AT$3, 0))),L30)))*(IF((YEAR(D30)+9)&lt;YEAR(E30),0,IF((YEAR(D30)+9)&gt;YEAR(E30),1,(12-MONTH(E30)+1)/12))) + (Q30)*(IF((YEAR(D30)+9)&lt;YEAR(E30),0,IF((YEAR(D30)+9)&gt;YEAR(E30),1,(12-MONTH(E30)+1)/12))))-((P30)*(IF((YEAR(D30)+9)&lt;YEAR(E30),0,IF((YEAR(D30)+9)&gt;YEAR(E30),1,(12-MONTH(E30)+1)/12))) + (R30)*(IF((YEAR(D30)+9)&lt;YEAR(E30),0,IF((YEAR(D30)+9)&gt;YEAR(E30),1,(12-MONTH(E30)+1)/12))))-(IF((((K30)*(IF(M30="",L30,IFERROR(IF(INDEX(Variablen!$I:$AT, MATCH(M30, Variablen!$A:$A, 0), MATCH((YEAR(D30)+9), Variablen!$I$3:$AT$3, 0))="",L30,INDEX(Variablen!$I:$AT, MATCH(M30, Variablen!$A:$A, 0), MATCH((YEAR(D30)+9), Variablen!$I$3:$AT$3, 0))),L30)))*(IF((YEAR(D30)+9)&lt;YEAR(E30),0,IF((YEAR(D30)+9)&gt;YEAR(E30),1,(12-MONTH(E30)+1)/12))) + (Q30)*(IF((YEAR(D30)+9)&lt;YEAR(E30),0,IF((YEAR(D30)+9)&gt;YEAR(E30),1,(12-MONTH(E30)+1)/12))))-((P30)*(IF((YEAR(D30)+9)&lt;YEAR(E30),0,IF((YEAR(D30)+9)&gt;YEAR(E30),1,(12-MONTH(E30)+1)/12))) + (R30)*(IF((YEAR(D30)+9)&lt;YEAR(E30),0,IF((YEAR(D30)+9)&gt;YEAR(E30),1,(12-MONTH(E30)+1)/12))))-(IF(OR(N30="",N30&lt;=0),0,(O30/N30)*(IF(OR(N30="",N30&lt;=0),0,IF((YEAR(D30)+9)&lt;YEAR(E30),0,IF((YEAR(D30)+9)&gt;=YEAR(E30)+N30,0,IF((YEAR(D30)+9)=YEAR(E30),(12-MONTH(E30)+1)/12,1))))))))&gt;0,(((K30)*(IF(M30="",L30,IFERROR(IF(INDEX(Variablen!$I:$AT, MATCH(M30, Variablen!$A:$A, 0), MATCH((YEAR(D30)+9), Variablen!$I$3:$AT$3, 0))="",L30,INDEX(Variablen!$I:$AT, MATCH(M30, Variablen!$A:$A, 0), MATCH((YEAR(D30)+9), Variablen!$I$3:$AT$3, 0))),L30)))*(IF((YEAR(D30)+9)&lt;YEAR(E30),0,IF((YEAR(D30)+9)&gt;YEAR(E30),1,(12-MONTH(E30)+1)/12))) + (Q30)*(IF((YEAR(D30)+9)&lt;YEAR(E30),0,IF((YEAR(D30)+9)&gt;YEAR(E30),1,(12-MONTH(E30)+1)/12))))-((P30)*(IF((YEAR(D30)+9)&lt;YEAR(E30),0,IF((YEAR(D30)+9)&gt;YEAR(E30),1,(12-MONTH(E30)+1)/12))) + (R30)*(IF((YEAR(D30)+9)&lt;YEAR(E30),0,IF((YEAR(D30)+9)&gt;YEAR(E30),1,(12-MONTH(E30)+1)/12))))-(IF(OR(N30="",N30&lt;=0),0,(O30/N30)*(IF(OR(N30="",N30&lt;=0),0,IF((YEAR(D30)+9)&lt;YEAR(E30),0,IF((YEAR(D30)+9)&gt;=YEAR(E30)+N30,0,IF((YEAR(D30)+9)=YEAR(E30),(12-MONTH(E30)+1)/12,1))))))))*TaxRate,0))-IF(9=0,O30,0))</f>
        <v/>
      </c>
      <c r="AC30" s="29">
        <f>IF(A30="","",((K30)*(IF(M30="",L30,IFERROR(IF(INDEX(Variablen!$I:$AT, MATCH(M30, Variablen!$A:$A, 0), MATCH((YEAR(D30)+10), Variablen!$I$3:$AT$3, 0))="",L30,INDEX(Variablen!$I:$AT, MATCH(M30, Variablen!$A:$A, 0), MATCH((YEAR(D30)+10), Variablen!$I$3:$AT$3, 0))),L30)))*(IF((YEAR(D30)+10)&lt;YEAR(E30),0,IF((YEAR(D30)+10)&gt;YEAR(E30),1,(12-MONTH(E30)+1)/12))) + (Q30)*(IF((YEAR(D30)+10)&lt;YEAR(E30),0,IF((YEAR(D30)+10)&gt;YEAR(E30),1,(12-MONTH(E30)+1)/12))))-((P30)*(IF((YEAR(D30)+10)&lt;YEAR(E30),0,IF((YEAR(D30)+10)&gt;YEAR(E30),1,(12-MONTH(E30)+1)/12))) + (R30)*(IF((YEAR(D30)+10)&lt;YEAR(E30),0,IF((YEAR(D30)+10)&gt;YEAR(E30),1,(12-MONTH(E30)+1)/12))))-(IF((((K30)*(IF(M30="",L30,IFERROR(IF(INDEX(Variablen!$I:$AT, MATCH(M30, Variablen!$A:$A, 0), MATCH((YEAR(D30)+10), Variablen!$I$3:$AT$3, 0))="",L30,INDEX(Variablen!$I:$AT, MATCH(M30, Variablen!$A:$A, 0), MATCH((YEAR(D30)+10), Variablen!$I$3:$AT$3, 0))),L30)))*(IF((YEAR(D30)+10)&lt;YEAR(E30),0,IF((YEAR(D30)+10)&gt;YEAR(E30),1,(12-MONTH(E30)+1)/12))) + (Q30)*(IF((YEAR(D30)+10)&lt;YEAR(E30),0,IF((YEAR(D30)+10)&gt;YEAR(E30),1,(12-MONTH(E30)+1)/12))))-((P30)*(IF((YEAR(D30)+10)&lt;YEAR(E30),0,IF((YEAR(D30)+10)&gt;YEAR(E30),1,(12-MONTH(E30)+1)/12))) + (R30)*(IF((YEAR(D30)+10)&lt;YEAR(E30),0,IF((YEAR(D30)+10)&gt;YEAR(E30),1,(12-MONTH(E30)+1)/12))))-(IF(OR(N30="",N30&lt;=0),0,(O30/N30)*(IF(OR(N30="",N30&lt;=0),0,IF((YEAR(D30)+10)&lt;YEAR(E30),0,IF((YEAR(D30)+10)&gt;=YEAR(E30)+N30,0,IF((YEAR(D30)+10)=YEAR(E30),(12-MONTH(E30)+1)/12,1))))))))&gt;0,(((K30)*(IF(M30="",L30,IFERROR(IF(INDEX(Variablen!$I:$AT, MATCH(M30, Variablen!$A:$A, 0), MATCH((YEAR(D30)+10), Variablen!$I$3:$AT$3, 0))="",L30,INDEX(Variablen!$I:$AT, MATCH(M30, Variablen!$A:$A, 0), MATCH((YEAR(D30)+10), Variablen!$I$3:$AT$3, 0))),L30)))*(IF((YEAR(D30)+10)&lt;YEAR(E30),0,IF((YEAR(D30)+10)&gt;YEAR(E30),1,(12-MONTH(E30)+1)/12))) + (Q30)*(IF((YEAR(D30)+10)&lt;YEAR(E30),0,IF((YEAR(D30)+10)&gt;YEAR(E30),1,(12-MONTH(E30)+1)/12))))-((P30)*(IF((YEAR(D30)+10)&lt;YEAR(E30),0,IF((YEAR(D30)+10)&gt;YEAR(E30),1,(12-MONTH(E30)+1)/12))) + (R30)*(IF((YEAR(D30)+10)&lt;YEAR(E30),0,IF((YEAR(D30)+10)&gt;YEAR(E30),1,(12-MONTH(E30)+1)/12))))-(IF(OR(N30="",N30&lt;=0),0,(O30/N30)*(IF(OR(N30="",N30&lt;=0),0,IF((YEAR(D30)+10)&lt;YEAR(E30),0,IF((YEAR(D30)+10)&gt;=YEAR(E30)+N30,0,IF((YEAR(D30)+10)=YEAR(E30),(12-MONTH(E30)+1)/12,1))))))))*TaxRate,0))-IF(10=0,O30,0))</f>
        <v/>
      </c>
      <c r="AD30" s="29">
        <f>IF(A30="","",((K30)*(IF(M30="",L30,IFERROR(IF(INDEX(Variablen!$I:$AT, MATCH(M30, Variablen!$A:$A, 0), MATCH((YEAR(D30)+11), Variablen!$I$3:$AT$3, 0))="",L30,INDEX(Variablen!$I:$AT, MATCH(M30, Variablen!$A:$A, 0), MATCH((YEAR(D30)+11), Variablen!$I$3:$AT$3, 0))),L30)))*(IF((YEAR(D30)+11)&lt;YEAR(E30),0,IF((YEAR(D30)+11)&gt;YEAR(E30),1,(12-MONTH(E30)+1)/12))) + (Q30)*(IF((YEAR(D30)+11)&lt;YEAR(E30),0,IF((YEAR(D30)+11)&gt;YEAR(E30),1,(12-MONTH(E30)+1)/12))))-((P30)*(IF((YEAR(D30)+11)&lt;YEAR(E30),0,IF((YEAR(D30)+11)&gt;YEAR(E30),1,(12-MONTH(E30)+1)/12))) + (R30)*(IF((YEAR(D30)+11)&lt;YEAR(E30),0,IF((YEAR(D30)+11)&gt;YEAR(E30),1,(12-MONTH(E30)+1)/12))))-(IF((((K30)*(IF(M30="",L30,IFERROR(IF(INDEX(Variablen!$I:$AT, MATCH(M30, Variablen!$A:$A, 0), MATCH((YEAR(D30)+11), Variablen!$I$3:$AT$3, 0))="",L30,INDEX(Variablen!$I:$AT, MATCH(M30, Variablen!$A:$A, 0), MATCH((YEAR(D30)+11), Variablen!$I$3:$AT$3, 0))),L30)))*(IF((YEAR(D30)+11)&lt;YEAR(E30),0,IF((YEAR(D30)+11)&gt;YEAR(E30),1,(12-MONTH(E30)+1)/12))) + (Q30)*(IF((YEAR(D30)+11)&lt;YEAR(E30),0,IF((YEAR(D30)+11)&gt;YEAR(E30),1,(12-MONTH(E30)+1)/12))))-((P30)*(IF((YEAR(D30)+11)&lt;YEAR(E30),0,IF((YEAR(D30)+11)&gt;YEAR(E30),1,(12-MONTH(E30)+1)/12))) + (R30)*(IF((YEAR(D30)+11)&lt;YEAR(E30),0,IF((YEAR(D30)+11)&gt;YEAR(E30),1,(12-MONTH(E30)+1)/12))))-(IF(OR(N30="",N30&lt;=0),0,(O30/N30)*(IF(OR(N30="",N30&lt;=0),0,IF((YEAR(D30)+11)&lt;YEAR(E30),0,IF((YEAR(D30)+11)&gt;=YEAR(E30)+N30,0,IF((YEAR(D30)+11)=YEAR(E30),(12-MONTH(E30)+1)/12,1))))))))&gt;0,(((K30)*(IF(M30="",L30,IFERROR(IF(INDEX(Variablen!$I:$AT, MATCH(M30, Variablen!$A:$A, 0), MATCH((YEAR(D30)+11), Variablen!$I$3:$AT$3, 0))="",L30,INDEX(Variablen!$I:$AT, MATCH(M30, Variablen!$A:$A, 0), MATCH((YEAR(D30)+11), Variablen!$I$3:$AT$3, 0))),L30)))*(IF((YEAR(D30)+11)&lt;YEAR(E30),0,IF((YEAR(D30)+11)&gt;YEAR(E30),1,(12-MONTH(E30)+1)/12))) + (Q30)*(IF((YEAR(D30)+11)&lt;YEAR(E30),0,IF((YEAR(D30)+11)&gt;YEAR(E30),1,(12-MONTH(E30)+1)/12))))-((P30)*(IF((YEAR(D30)+11)&lt;YEAR(E30),0,IF((YEAR(D30)+11)&gt;YEAR(E30),1,(12-MONTH(E30)+1)/12))) + (R30)*(IF((YEAR(D30)+11)&lt;YEAR(E30),0,IF((YEAR(D30)+11)&gt;YEAR(E30),1,(12-MONTH(E30)+1)/12))))-(IF(OR(N30="",N30&lt;=0),0,(O30/N30)*(IF(OR(N30="",N30&lt;=0),0,IF((YEAR(D30)+11)&lt;YEAR(E30),0,IF((YEAR(D30)+11)&gt;=YEAR(E30)+N30,0,IF((YEAR(D30)+11)=YEAR(E30),(12-MONTH(E30)+1)/12,1))))))))*TaxRate,0))-IF(11=0,O30,0))</f>
        <v/>
      </c>
      <c r="AE30" s="29">
        <f>IF(A30="","",((K30)*(IF(M30="",L30,IFERROR(IF(INDEX(Variablen!$I:$AT, MATCH(M30, Variablen!$A:$A, 0), MATCH((YEAR(D30)+12), Variablen!$I$3:$AT$3, 0))="",L30,INDEX(Variablen!$I:$AT, MATCH(M30, Variablen!$A:$A, 0), MATCH((YEAR(D30)+12), Variablen!$I$3:$AT$3, 0))),L30)))*(IF((YEAR(D30)+12)&lt;YEAR(E30),0,IF((YEAR(D30)+12)&gt;YEAR(E30),1,(12-MONTH(E30)+1)/12))) + (Q30)*(IF((YEAR(D30)+12)&lt;YEAR(E30),0,IF((YEAR(D30)+12)&gt;YEAR(E30),1,(12-MONTH(E30)+1)/12))))-((P30)*(IF((YEAR(D30)+12)&lt;YEAR(E30),0,IF((YEAR(D30)+12)&gt;YEAR(E30),1,(12-MONTH(E30)+1)/12))) + (R30)*(IF((YEAR(D30)+12)&lt;YEAR(E30),0,IF((YEAR(D30)+12)&gt;YEAR(E30),1,(12-MONTH(E30)+1)/12))))-(IF((((K30)*(IF(M30="",L30,IFERROR(IF(INDEX(Variablen!$I:$AT, MATCH(M30, Variablen!$A:$A, 0), MATCH((YEAR(D30)+12), Variablen!$I$3:$AT$3, 0))="",L30,INDEX(Variablen!$I:$AT, MATCH(M30, Variablen!$A:$A, 0), MATCH((YEAR(D30)+12), Variablen!$I$3:$AT$3, 0))),L30)))*(IF((YEAR(D30)+12)&lt;YEAR(E30),0,IF((YEAR(D30)+12)&gt;YEAR(E30),1,(12-MONTH(E30)+1)/12))) + (Q30)*(IF((YEAR(D30)+12)&lt;YEAR(E30),0,IF((YEAR(D30)+12)&gt;YEAR(E30),1,(12-MONTH(E30)+1)/12))))-((P30)*(IF((YEAR(D30)+12)&lt;YEAR(E30),0,IF((YEAR(D30)+12)&gt;YEAR(E30),1,(12-MONTH(E30)+1)/12))) + (R30)*(IF((YEAR(D30)+12)&lt;YEAR(E30),0,IF((YEAR(D30)+12)&gt;YEAR(E30),1,(12-MONTH(E30)+1)/12))))-(IF(OR(N30="",N30&lt;=0),0,(O30/N30)*(IF(OR(N30="",N30&lt;=0),0,IF((YEAR(D30)+12)&lt;YEAR(E30),0,IF((YEAR(D30)+12)&gt;=YEAR(E30)+N30,0,IF((YEAR(D30)+12)=YEAR(E30),(12-MONTH(E30)+1)/12,1))))))))&gt;0,(((K30)*(IF(M30="",L30,IFERROR(IF(INDEX(Variablen!$I:$AT, MATCH(M30, Variablen!$A:$A, 0), MATCH((YEAR(D30)+12), Variablen!$I$3:$AT$3, 0))="",L30,INDEX(Variablen!$I:$AT, MATCH(M30, Variablen!$A:$A, 0), MATCH((YEAR(D30)+12), Variablen!$I$3:$AT$3, 0))),L30)))*(IF((YEAR(D30)+12)&lt;YEAR(E30),0,IF((YEAR(D30)+12)&gt;YEAR(E30),1,(12-MONTH(E30)+1)/12))) + (Q30)*(IF((YEAR(D30)+12)&lt;YEAR(E30),0,IF((YEAR(D30)+12)&gt;YEAR(E30),1,(12-MONTH(E30)+1)/12))))-((P30)*(IF((YEAR(D30)+12)&lt;YEAR(E30),0,IF((YEAR(D30)+12)&gt;YEAR(E30),1,(12-MONTH(E30)+1)/12))) + (R30)*(IF((YEAR(D30)+12)&lt;YEAR(E30),0,IF((YEAR(D30)+12)&gt;YEAR(E30),1,(12-MONTH(E30)+1)/12))))-(IF(OR(N30="",N30&lt;=0),0,(O30/N30)*(IF(OR(N30="",N30&lt;=0),0,IF((YEAR(D30)+12)&lt;YEAR(E30),0,IF((YEAR(D30)+12)&gt;=YEAR(E30)+N30,0,IF((YEAR(D30)+12)=YEAR(E30),(12-MONTH(E30)+1)/12,1))))))))*TaxRate,0))-IF(12=0,O30,0))</f>
        <v/>
      </c>
      <c r="AF30" s="29">
        <f>IF(A30="","",((K30)*(IF(M30="",L30,IFERROR(IF(INDEX(Variablen!$I:$AT, MATCH(M30, Variablen!$A:$A, 0), MATCH((YEAR(D30)+13), Variablen!$I$3:$AT$3, 0))="",L30,INDEX(Variablen!$I:$AT, MATCH(M30, Variablen!$A:$A, 0), MATCH((YEAR(D30)+13), Variablen!$I$3:$AT$3, 0))),L30)))*(IF((YEAR(D30)+13)&lt;YEAR(E30),0,IF((YEAR(D30)+13)&gt;YEAR(E30),1,(12-MONTH(E30)+1)/12))) + (Q30)*(IF((YEAR(D30)+13)&lt;YEAR(E30),0,IF((YEAR(D30)+13)&gt;YEAR(E30),1,(12-MONTH(E30)+1)/12))))-((P30)*(IF((YEAR(D30)+13)&lt;YEAR(E30),0,IF((YEAR(D30)+13)&gt;YEAR(E30),1,(12-MONTH(E30)+1)/12))) + (R30)*(IF((YEAR(D30)+13)&lt;YEAR(E30),0,IF((YEAR(D30)+13)&gt;YEAR(E30),1,(12-MONTH(E30)+1)/12))))-(IF((((K30)*(IF(M30="",L30,IFERROR(IF(INDEX(Variablen!$I:$AT, MATCH(M30, Variablen!$A:$A, 0), MATCH((YEAR(D30)+13), Variablen!$I$3:$AT$3, 0))="",L30,INDEX(Variablen!$I:$AT, MATCH(M30, Variablen!$A:$A, 0), MATCH((YEAR(D30)+13), Variablen!$I$3:$AT$3, 0))),L30)))*(IF((YEAR(D30)+13)&lt;YEAR(E30),0,IF((YEAR(D30)+13)&gt;YEAR(E30),1,(12-MONTH(E30)+1)/12))) + (Q30)*(IF((YEAR(D30)+13)&lt;YEAR(E30),0,IF((YEAR(D30)+13)&gt;YEAR(E30),1,(12-MONTH(E30)+1)/12))))-((P30)*(IF((YEAR(D30)+13)&lt;YEAR(E30),0,IF((YEAR(D30)+13)&gt;YEAR(E30),1,(12-MONTH(E30)+1)/12))) + (R30)*(IF((YEAR(D30)+13)&lt;YEAR(E30),0,IF((YEAR(D30)+13)&gt;YEAR(E30),1,(12-MONTH(E30)+1)/12))))-(IF(OR(N30="",N30&lt;=0),0,(O30/N30)*(IF(OR(N30="",N30&lt;=0),0,IF((YEAR(D30)+13)&lt;YEAR(E30),0,IF((YEAR(D30)+13)&gt;=YEAR(E30)+N30,0,IF((YEAR(D30)+13)=YEAR(E30),(12-MONTH(E30)+1)/12,1))))))))&gt;0,(((K30)*(IF(M30="",L30,IFERROR(IF(INDEX(Variablen!$I:$AT, MATCH(M30, Variablen!$A:$A, 0), MATCH((YEAR(D30)+13), Variablen!$I$3:$AT$3, 0))="",L30,INDEX(Variablen!$I:$AT, MATCH(M30, Variablen!$A:$A, 0), MATCH((YEAR(D30)+13), Variablen!$I$3:$AT$3, 0))),L30)))*(IF((YEAR(D30)+13)&lt;YEAR(E30),0,IF((YEAR(D30)+13)&gt;YEAR(E30),1,(12-MONTH(E30)+1)/12))) + (Q30)*(IF((YEAR(D30)+13)&lt;YEAR(E30),0,IF((YEAR(D30)+13)&gt;YEAR(E30),1,(12-MONTH(E30)+1)/12))))-((P30)*(IF((YEAR(D30)+13)&lt;YEAR(E30),0,IF((YEAR(D30)+13)&gt;YEAR(E30),1,(12-MONTH(E30)+1)/12))) + (R30)*(IF((YEAR(D30)+13)&lt;YEAR(E30),0,IF((YEAR(D30)+13)&gt;YEAR(E30),1,(12-MONTH(E30)+1)/12))))-(IF(OR(N30="",N30&lt;=0),0,(O30/N30)*(IF(OR(N30="",N30&lt;=0),0,IF((YEAR(D30)+13)&lt;YEAR(E30),0,IF((YEAR(D30)+13)&gt;=YEAR(E30)+N30,0,IF((YEAR(D30)+13)=YEAR(E30),(12-MONTH(E30)+1)/12,1))))))))*TaxRate,0))-IF(13=0,O30,0))</f>
        <v/>
      </c>
      <c r="AG30" s="29">
        <f>IF(A30="","",((K30)*(IF(M30="",L30,IFERROR(IF(INDEX(Variablen!$I:$AT, MATCH(M30, Variablen!$A:$A, 0), MATCH((YEAR(D30)+14), Variablen!$I$3:$AT$3, 0))="",L30,INDEX(Variablen!$I:$AT, MATCH(M30, Variablen!$A:$A, 0), MATCH((YEAR(D30)+14), Variablen!$I$3:$AT$3, 0))),L30)))*(IF((YEAR(D30)+14)&lt;YEAR(E30),0,IF((YEAR(D30)+14)&gt;YEAR(E30),1,(12-MONTH(E30)+1)/12))) + (Q30)*(IF((YEAR(D30)+14)&lt;YEAR(E30),0,IF((YEAR(D30)+14)&gt;YEAR(E30),1,(12-MONTH(E30)+1)/12))))-((P30)*(IF((YEAR(D30)+14)&lt;YEAR(E30),0,IF((YEAR(D30)+14)&gt;YEAR(E30),1,(12-MONTH(E30)+1)/12))) + (R30)*(IF((YEAR(D30)+14)&lt;YEAR(E30),0,IF((YEAR(D30)+14)&gt;YEAR(E30),1,(12-MONTH(E30)+1)/12))))-(IF((((K30)*(IF(M30="",L30,IFERROR(IF(INDEX(Variablen!$I:$AT, MATCH(M30, Variablen!$A:$A, 0), MATCH((YEAR(D30)+14), Variablen!$I$3:$AT$3, 0))="",L30,INDEX(Variablen!$I:$AT, MATCH(M30, Variablen!$A:$A, 0), MATCH((YEAR(D30)+14), Variablen!$I$3:$AT$3, 0))),L30)))*(IF((YEAR(D30)+14)&lt;YEAR(E30),0,IF((YEAR(D30)+14)&gt;YEAR(E30),1,(12-MONTH(E30)+1)/12))) + (Q30)*(IF((YEAR(D30)+14)&lt;YEAR(E30),0,IF((YEAR(D30)+14)&gt;YEAR(E30),1,(12-MONTH(E30)+1)/12))))-((P30)*(IF((YEAR(D30)+14)&lt;YEAR(E30),0,IF((YEAR(D30)+14)&gt;YEAR(E30),1,(12-MONTH(E30)+1)/12))) + (R30)*(IF((YEAR(D30)+14)&lt;YEAR(E30),0,IF((YEAR(D30)+14)&gt;YEAR(E30),1,(12-MONTH(E30)+1)/12))))-(IF(OR(N30="",N30&lt;=0),0,(O30/N30)*(IF(OR(N30="",N30&lt;=0),0,IF((YEAR(D30)+14)&lt;YEAR(E30),0,IF((YEAR(D30)+14)&gt;=YEAR(E30)+N30,0,IF((YEAR(D30)+14)=YEAR(E30),(12-MONTH(E30)+1)/12,1))))))))&gt;0,(((K30)*(IF(M30="",L30,IFERROR(IF(INDEX(Variablen!$I:$AT, MATCH(M30, Variablen!$A:$A, 0), MATCH((YEAR(D30)+14), Variablen!$I$3:$AT$3, 0))="",L30,INDEX(Variablen!$I:$AT, MATCH(M30, Variablen!$A:$A, 0), MATCH((YEAR(D30)+14), Variablen!$I$3:$AT$3, 0))),L30)))*(IF((YEAR(D30)+14)&lt;YEAR(E30),0,IF((YEAR(D30)+14)&gt;YEAR(E30),1,(12-MONTH(E30)+1)/12))) + (Q30)*(IF((YEAR(D30)+14)&lt;YEAR(E30),0,IF((YEAR(D30)+14)&gt;YEAR(E30),1,(12-MONTH(E30)+1)/12))))-((P30)*(IF((YEAR(D30)+14)&lt;YEAR(E30),0,IF((YEAR(D30)+14)&gt;YEAR(E30),1,(12-MONTH(E30)+1)/12))) + (R30)*(IF((YEAR(D30)+14)&lt;YEAR(E30),0,IF((YEAR(D30)+14)&gt;YEAR(E30),1,(12-MONTH(E30)+1)/12))))-(IF(OR(N30="",N30&lt;=0),0,(O30/N30)*(IF(OR(N30="",N30&lt;=0),0,IF((YEAR(D30)+14)&lt;YEAR(E30),0,IF((YEAR(D30)+14)&gt;=YEAR(E30)+N30,0,IF((YEAR(D30)+14)=YEAR(E30),(12-MONTH(E30)+1)/12,1))))))))*TaxRate,0))-IF(14=0,O30,0))</f>
        <v/>
      </c>
      <c r="AH30" s="29">
        <f>IF(A30="","",((K30)*(IF(M30="",L30,IFERROR(IF(INDEX(Variablen!$I:$AT, MATCH(M30, Variablen!$A:$A, 0), MATCH((YEAR(D30)+15), Variablen!$I$3:$AT$3, 0))="",L30,INDEX(Variablen!$I:$AT, MATCH(M30, Variablen!$A:$A, 0), MATCH((YEAR(D30)+15), Variablen!$I$3:$AT$3, 0))),L30)))*(IF((YEAR(D30)+15)&lt;YEAR(E30),0,IF((YEAR(D30)+15)&gt;YEAR(E30),1,(12-MONTH(E30)+1)/12))) + (Q30)*(IF((YEAR(D30)+15)&lt;YEAR(E30),0,IF((YEAR(D30)+15)&gt;YEAR(E30),1,(12-MONTH(E30)+1)/12))))-((P30)*(IF((YEAR(D30)+15)&lt;YEAR(E30),0,IF((YEAR(D30)+15)&gt;YEAR(E30),1,(12-MONTH(E30)+1)/12))) + (R30)*(IF((YEAR(D30)+15)&lt;YEAR(E30),0,IF((YEAR(D30)+15)&gt;YEAR(E30),1,(12-MONTH(E30)+1)/12))))-(IF((((K30)*(IF(M30="",L30,IFERROR(IF(INDEX(Variablen!$I:$AT, MATCH(M30, Variablen!$A:$A, 0), MATCH((YEAR(D30)+15), Variablen!$I$3:$AT$3, 0))="",L30,INDEX(Variablen!$I:$AT, MATCH(M30, Variablen!$A:$A, 0), MATCH((YEAR(D30)+15), Variablen!$I$3:$AT$3, 0))),L30)))*(IF((YEAR(D30)+15)&lt;YEAR(E30),0,IF((YEAR(D30)+15)&gt;YEAR(E30),1,(12-MONTH(E30)+1)/12))) + (Q30)*(IF((YEAR(D30)+15)&lt;YEAR(E30),0,IF((YEAR(D30)+15)&gt;YEAR(E30),1,(12-MONTH(E30)+1)/12))))-((P30)*(IF((YEAR(D30)+15)&lt;YEAR(E30),0,IF((YEAR(D30)+15)&gt;YEAR(E30),1,(12-MONTH(E30)+1)/12))) + (R30)*(IF((YEAR(D30)+15)&lt;YEAR(E30),0,IF((YEAR(D30)+15)&gt;YEAR(E30),1,(12-MONTH(E30)+1)/12))))-(IF(OR(N30="",N30&lt;=0),0,(O30/N30)*(IF(OR(N30="",N30&lt;=0),0,IF((YEAR(D30)+15)&lt;YEAR(E30),0,IF((YEAR(D30)+15)&gt;=YEAR(E30)+N30,0,IF((YEAR(D30)+15)=YEAR(E30),(12-MONTH(E30)+1)/12,1))))))))&gt;0,(((K30)*(IF(M30="",L30,IFERROR(IF(INDEX(Variablen!$I:$AT, MATCH(M30, Variablen!$A:$A, 0), MATCH((YEAR(D30)+15), Variablen!$I$3:$AT$3, 0))="",L30,INDEX(Variablen!$I:$AT, MATCH(M30, Variablen!$A:$A, 0), MATCH((YEAR(D30)+15), Variablen!$I$3:$AT$3, 0))),L30)))*(IF((YEAR(D30)+15)&lt;YEAR(E30),0,IF((YEAR(D30)+15)&gt;YEAR(E30),1,(12-MONTH(E30)+1)/12))) + (Q30)*(IF((YEAR(D30)+15)&lt;YEAR(E30),0,IF((YEAR(D30)+15)&gt;YEAR(E30),1,(12-MONTH(E30)+1)/12))))-((P30)*(IF((YEAR(D30)+15)&lt;YEAR(E30),0,IF((YEAR(D30)+15)&gt;YEAR(E30),1,(12-MONTH(E30)+1)/12))) + (R30)*(IF((YEAR(D30)+15)&lt;YEAR(E30),0,IF((YEAR(D30)+15)&gt;YEAR(E30),1,(12-MONTH(E30)+1)/12))))-(IF(OR(N30="",N30&lt;=0),0,(O30/N30)*(IF(OR(N30="",N30&lt;=0),0,IF((YEAR(D30)+15)&lt;YEAR(E30),0,IF((YEAR(D30)+15)&gt;=YEAR(E30)+N30,0,IF((YEAR(D30)+15)=YEAR(E30),(12-MONTH(E30)+1)/12,1))))))))*TaxRate,0))-IF(15=0,O30,0))</f>
        <v/>
      </c>
      <c r="AI30" s="29">
        <f>IF(A30="","",((K30)*(IF(M30="",L30,IFERROR(IF(INDEX(Variablen!$I:$AT, MATCH(M30, Variablen!$A:$A, 0), MATCH((YEAR(D30)+16), Variablen!$I$3:$AT$3, 0))="",L30,INDEX(Variablen!$I:$AT, MATCH(M30, Variablen!$A:$A, 0), MATCH((YEAR(D30)+16), Variablen!$I$3:$AT$3, 0))),L30)))*(IF((YEAR(D30)+16)&lt;YEAR(E30),0,IF((YEAR(D30)+16)&gt;YEAR(E30),1,(12-MONTH(E30)+1)/12))) + (Q30)*(IF((YEAR(D30)+16)&lt;YEAR(E30),0,IF((YEAR(D30)+16)&gt;YEAR(E30),1,(12-MONTH(E30)+1)/12))))-((P30)*(IF((YEAR(D30)+16)&lt;YEAR(E30),0,IF((YEAR(D30)+16)&gt;YEAR(E30),1,(12-MONTH(E30)+1)/12))) + (R30)*(IF((YEAR(D30)+16)&lt;YEAR(E30),0,IF((YEAR(D30)+16)&gt;YEAR(E30),1,(12-MONTH(E30)+1)/12))))-(IF((((K30)*(IF(M30="",L30,IFERROR(IF(INDEX(Variablen!$I:$AT, MATCH(M30, Variablen!$A:$A, 0), MATCH((YEAR(D30)+16), Variablen!$I$3:$AT$3, 0))="",L30,INDEX(Variablen!$I:$AT, MATCH(M30, Variablen!$A:$A, 0), MATCH((YEAR(D30)+16), Variablen!$I$3:$AT$3, 0))),L30)))*(IF((YEAR(D30)+16)&lt;YEAR(E30),0,IF((YEAR(D30)+16)&gt;YEAR(E30),1,(12-MONTH(E30)+1)/12))) + (Q30)*(IF((YEAR(D30)+16)&lt;YEAR(E30),0,IF((YEAR(D30)+16)&gt;YEAR(E30),1,(12-MONTH(E30)+1)/12))))-((P30)*(IF((YEAR(D30)+16)&lt;YEAR(E30),0,IF((YEAR(D30)+16)&gt;YEAR(E30),1,(12-MONTH(E30)+1)/12))) + (R30)*(IF((YEAR(D30)+16)&lt;YEAR(E30),0,IF((YEAR(D30)+16)&gt;YEAR(E30),1,(12-MONTH(E30)+1)/12))))-(IF(OR(N30="",N30&lt;=0),0,(O30/N30)*(IF(OR(N30="",N30&lt;=0),0,IF((YEAR(D30)+16)&lt;YEAR(E30),0,IF((YEAR(D30)+16)&gt;=YEAR(E30)+N30,0,IF((YEAR(D30)+16)=YEAR(E30),(12-MONTH(E30)+1)/12,1))))))))&gt;0,(((K30)*(IF(M30="",L30,IFERROR(IF(INDEX(Variablen!$I:$AT, MATCH(M30, Variablen!$A:$A, 0), MATCH((YEAR(D30)+16), Variablen!$I$3:$AT$3, 0))="",L30,INDEX(Variablen!$I:$AT, MATCH(M30, Variablen!$A:$A, 0), MATCH((YEAR(D30)+16), Variablen!$I$3:$AT$3, 0))),L30)))*(IF((YEAR(D30)+16)&lt;YEAR(E30),0,IF((YEAR(D30)+16)&gt;YEAR(E30),1,(12-MONTH(E30)+1)/12))) + (Q30)*(IF((YEAR(D30)+16)&lt;YEAR(E30),0,IF((YEAR(D30)+16)&gt;YEAR(E30),1,(12-MONTH(E30)+1)/12))))-((P30)*(IF((YEAR(D30)+16)&lt;YEAR(E30),0,IF((YEAR(D30)+16)&gt;YEAR(E30),1,(12-MONTH(E30)+1)/12))) + (R30)*(IF((YEAR(D30)+16)&lt;YEAR(E30),0,IF((YEAR(D30)+16)&gt;YEAR(E30),1,(12-MONTH(E30)+1)/12))))-(IF(OR(N30="",N30&lt;=0),0,(O30/N30)*(IF(OR(N30="",N30&lt;=0),0,IF((YEAR(D30)+16)&lt;YEAR(E30),0,IF((YEAR(D30)+16)&gt;=YEAR(E30)+N30,0,IF((YEAR(D30)+16)=YEAR(E30),(12-MONTH(E30)+1)/12,1))))))))*TaxRate,0))-IF(16=0,O30,0))</f>
        <v/>
      </c>
      <c r="AJ30" s="29">
        <f>IF(A30="","",((K30)*(IF(M30="",L30,IFERROR(IF(INDEX(Variablen!$I:$AT, MATCH(M30, Variablen!$A:$A, 0), MATCH((YEAR(D30)+17), Variablen!$I$3:$AT$3, 0))="",L30,INDEX(Variablen!$I:$AT, MATCH(M30, Variablen!$A:$A, 0), MATCH((YEAR(D30)+17), Variablen!$I$3:$AT$3, 0))),L30)))*(IF((YEAR(D30)+17)&lt;YEAR(E30),0,IF((YEAR(D30)+17)&gt;YEAR(E30),1,(12-MONTH(E30)+1)/12))) + (Q30)*(IF((YEAR(D30)+17)&lt;YEAR(E30),0,IF((YEAR(D30)+17)&gt;YEAR(E30),1,(12-MONTH(E30)+1)/12))))-((P30)*(IF((YEAR(D30)+17)&lt;YEAR(E30),0,IF((YEAR(D30)+17)&gt;YEAR(E30),1,(12-MONTH(E30)+1)/12))) + (R30)*(IF((YEAR(D30)+17)&lt;YEAR(E30),0,IF((YEAR(D30)+17)&gt;YEAR(E30),1,(12-MONTH(E30)+1)/12))))-(IF((((K30)*(IF(M30="",L30,IFERROR(IF(INDEX(Variablen!$I:$AT, MATCH(M30, Variablen!$A:$A, 0), MATCH((YEAR(D30)+17), Variablen!$I$3:$AT$3, 0))="",L30,INDEX(Variablen!$I:$AT, MATCH(M30, Variablen!$A:$A, 0), MATCH((YEAR(D30)+17), Variablen!$I$3:$AT$3, 0))),L30)))*(IF((YEAR(D30)+17)&lt;YEAR(E30),0,IF((YEAR(D30)+17)&gt;YEAR(E30),1,(12-MONTH(E30)+1)/12))) + (Q30)*(IF((YEAR(D30)+17)&lt;YEAR(E30),0,IF((YEAR(D30)+17)&gt;YEAR(E30),1,(12-MONTH(E30)+1)/12))))-((P30)*(IF((YEAR(D30)+17)&lt;YEAR(E30),0,IF((YEAR(D30)+17)&gt;YEAR(E30),1,(12-MONTH(E30)+1)/12))) + (R30)*(IF((YEAR(D30)+17)&lt;YEAR(E30),0,IF((YEAR(D30)+17)&gt;YEAR(E30),1,(12-MONTH(E30)+1)/12))))-(IF(OR(N30="",N30&lt;=0),0,(O30/N30)*(IF(OR(N30="",N30&lt;=0),0,IF((YEAR(D30)+17)&lt;YEAR(E30),0,IF((YEAR(D30)+17)&gt;=YEAR(E30)+N30,0,IF((YEAR(D30)+17)=YEAR(E30),(12-MONTH(E30)+1)/12,1))))))))&gt;0,(((K30)*(IF(M30="",L30,IFERROR(IF(INDEX(Variablen!$I:$AT, MATCH(M30, Variablen!$A:$A, 0), MATCH((YEAR(D30)+17), Variablen!$I$3:$AT$3, 0))="",L30,INDEX(Variablen!$I:$AT, MATCH(M30, Variablen!$A:$A, 0), MATCH((YEAR(D30)+17), Variablen!$I$3:$AT$3, 0))),L30)))*(IF((YEAR(D30)+17)&lt;YEAR(E30),0,IF((YEAR(D30)+17)&gt;YEAR(E30),1,(12-MONTH(E30)+1)/12))) + (Q30)*(IF((YEAR(D30)+17)&lt;YEAR(E30),0,IF((YEAR(D30)+17)&gt;YEAR(E30),1,(12-MONTH(E30)+1)/12))))-((P30)*(IF((YEAR(D30)+17)&lt;YEAR(E30),0,IF((YEAR(D30)+17)&gt;YEAR(E30),1,(12-MONTH(E30)+1)/12))) + (R30)*(IF((YEAR(D30)+17)&lt;YEAR(E30),0,IF((YEAR(D30)+17)&gt;YEAR(E30),1,(12-MONTH(E30)+1)/12))))-(IF(OR(N30="",N30&lt;=0),0,(O30/N30)*(IF(OR(N30="",N30&lt;=0),0,IF((YEAR(D30)+17)&lt;YEAR(E30),0,IF((YEAR(D30)+17)&gt;=YEAR(E30)+N30,0,IF((YEAR(D30)+17)=YEAR(E30),(12-MONTH(E30)+1)/12,1))))))))*TaxRate,0))-IF(17=0,O30,0))</f>
        <v/>
      </c>
      <c r="AK30" s="29">
        <f>IF(A30="","",((K30)*(IF(M30="",L30,IFERROR(IF(INDEX(Variablen!$I:$AT, MATCH(M30, Variablen!$A:$A, 0), MATCH((YEAR(D30)+18), Variablen!$I$3:$AT$3, 0))="",L30,INDEX(Variablen!$I:$AT, MATCH(M30, Variablen!$A:$A, 0), MATCH((YEAR(D30)+18), Variablen!$I$3:$AT$3, 0))),L30)))*(IF((YEAR(D30)+18)&lt;YEAR(E30),0,IF((YEAR(D30)+18)&gt;YEAR(E30),1,(12-MONTH(E30)+1)/12))) + (Q30)*(IF((YEAR(D30)+18)&lt;YEAR(E30),0,IF((YEAR(D30)+18)&gt;YEAR(E30),1,(12-MONTH(E30)+1)/12))))-((P30)*(IF((YEAR(D30)+18)&lt;YEAR(E30),0,IF((YEAR(D30)+18)&gt;YEAR(E30),1,(12-MONTH(E30)+1)/12))) + (R30)*(IF((YEAR(D30)+18)&lt;YEAR(E30),0,IF((YEAR(D30)+18)&gt;YEAR(E30),1,(12-MONTH(E30)+1)/12))))-(IF((((K30)*(IF(M30="",L30,IFERROR(IF(INDEX(Variablen!$I:$AT, MATCH(M30, Variablen!$A:$A, 0), MATCH((YEAR(D30)+18), Variablen!$I$3:$AT$3, 0))="",L30,INDEX(Variablen!$I:$AT, MATCH(M30, Variablen!$A:$A, 0), MATCH((YEAR(D30)+18), Variablen!$I$3:$AT$3, 0))),L30)))*(IF((YEAR(D30)+18)&lt;YEAR(E30),0,IF((YEAR(D30)+18)&gt;YEAR(E30),1,(12-MONTH(E30)+1)/12))) + (Q30)*(IF((YEAR(D30)+18)&lt;YEAR(E30),0,IF((YEAR(D30)+18)&gt;YEAR(E30),1,(12-MONTH(E30)+1)/12))))-((P30)*(IF((YEAR(D30)+18)&lt;YEAR(E30),0,IF((YEAR(D30)+18)&gt;YEAR(E30),1,(12-MONTH(E30)+1)/12))) + (R30)*(IF((YEAR(D30)+18)&lt;YEAR(E30),0,IF((YEAR(D30)+18)&gt;YEAR(E30),1,(12-MONTH(E30)+1)/12))))-(IF(OR(N30="",N30&lt;=0),0,(O30/N30)*(IF(OR(N30="",N30&lt;=0),0,IF((YEAR(D30)+18)&lt;YEAR(E30),0,IF((YEAR(D30)+18)&gt;=YEAR(E30)+N30,0,IF((YEAR(D30)+18)=YEAR(E30),(12-MONTH(E30)+1)/12,1))))))))&gt;0,(((K30)*(IF(M30="",L30,IFERROR(IF(INDEX(Variablen!$I:$AT, MATCH(M30, Variablen!$A:$A, 0), MATCH((YEAR(D30)+18), Variablen!$I$3:$AT$3, 0))="",L30,INDEX(Variablen!$I:$AT, MATCH(M30, Variablen!$A:$A, 0), MATCH((YEAR(D30)+18), Variablen!$I$3:$AT$3, 0))),L30)))*(IF((YEAR(D30)+18)&lt;YEAR(E30),0,IF((YEAR(D30)+18)&gt;YEAR(E30),1,(12-MONTH(E30)+1)/12))) + (Q30)*(IF((YEAR(D30)+18)&lt;YEAR(E30),0,IF((YEAR(D30)+18)&gt;YEAR(E30),1,(12-MONTH(E30)+1)/12))))-((P30)*(IF((YEAR(D30)+18)&lt;YEAR(E30),0,IF((YEAR(D30)+18)&gt;YEAR(E30),1,(12-MONTH(E30)+1)/12))) + (R30)*(IF((YEAR(D30)+18)&lt;YEAR(E30),0,IF((YEAR(D30)+18)&gt;YEAR(E30),1,(12-MONTH(E30)+1)/12))))-(IF(OR(N30="",N30&lt;=0),0,(O30/N30)*(IF(OR(N30="",N30&lt;=0),0,IF((YEAR(D30)+18)&lt;YEAR(E30),0,IF((YEAR(D30)+18)&gt;=YEAR(E30)+N30,0,IF((YEAR(D30)+18)=YEAR(E30),(12-MONTH(E30)+1)/12,1))))))))*TaxRate,0))-IF(18=0,O30,0))</f>
        <v/>
      </c>
      <c r="AL30" s="29">
        <f>IF(A30="","",((K30)*(IF(M30="",L30,IFERROR(IF(INDEX(Variablen!$I:$AT, MATCH(M30, Variablen!$A:$A, 0), MATCH((YEAR(D30)+19), Variablen!$I$3:$AT$3, 0))="",L30,INDEX(Variablen!$I:$AT, MATCH(M30, Variablen!$A:$A, 0), MATCH((YEAR(D30)+19), Variablen!$I$3:$AT$3, 0))),L30)))*(IF((YEAR(D30)+19)&lt;YEAR(E30),0,IF((YEAR(D30)+19)&gt;YEAR(E30),1,(12-MONTH(E30)+1)/12))) + (Q30)*(IF((YEAR(D30)+19)&lt;YEAR(E30),0,IF((YEAR(D30)+19)&gt;YEAR(E30),1,(12-MONTH(E30)+1)/12))))-((P30)*(IF((YEAR(D30)+19)&lt;YEAR(E30),0,IF((YEAR(D30)+19)&gt;YEAR(E30),1,(12-MONTH(E30)+1)/12))) + (R30)*(IF((YEAR(D30)+19)&lt;YEAR(E30),0,IF((YEAR(D30)+19)&gt;YEAR(E30),1,(12-MONTH(E30)+1)/12))))-(IF((((K30)*(IF(M30="",L30,IFERROR(IF(INDEX(Variablen!$I:$AT, MATCH(M30, Variablen!$A:$A, 0), MATCH((YEAR(D30)+19), Variablen!$I$3:$AT$3, 0))="",L30,INDEX(Variablen!$I:$AT, MATCH(M30, Variablen!$A:$A, 0), MATCH((YEAR(D30)+19), Variablen!$I$3:$AT$3, 0))),L30)))*(IF((YEAR(D30)+19)&lt;YEAR(E30),0,IF((YEAR(D30)+19)&gt;YEAR(E30),1,(12-MONTH(E30)+1)/12))) + (Q30)*(IF((YEAR(D30)+19)&lt;YEAR(E30),0,IF((YEAR(D30)+19)&gt;YEAR(E30),1,(12-MONTH(E30)+1)/12))))-((P30)*(IF((YEAR(D30)+19)&lt;YEAR(E30),0,IF((YEAR(D30)+19)&gt;YEAR(E30),1,(12-MONTH(E30)+1)/12))) + (R30)*(IF((YEAR(D30)+19)&lt;YEAR(E30),0,IF((YEAR(D30)+19)&gt;YEAR(E30),1,(12-MONTH(E30)+1)/12))))-(IF(OR(N30="",N30&lt;=0),0,(O30/N30)*(IF(OR(N30="",N30&lt;=0),0,IF((YEAR(D30)+19)&lt;YEAR(E30),0,IF((YEAR(D30)+19)&gt;=YEAR(E30)+N30,0,IF((YEAR(D30)+19)=YEAR(E30),(12-MONTH(E30)+1)/12,1))))))))&gt;0,(((K30)*(IF(M30="",L30,IFERROR(IF(INDEX(Variablen!$I:$AT, MATCH(M30, Variablen!$A:$A, 0), MATCH((YEAR(D30)+19), Variablen!$I$3:$AT$3, 0))="",L30,INDEX(Variablen!$I:$AT, MATCH(M30, Variablen!$A:$A, 0), MATCH((YEAR(D30)+19), Variablen!$I$3:$AT$3, 0))),L30)))*(IF((YEAR(D30)+19)&lt;YEAR(E30),0,IF((YEAR(D30)+19)&gt;YEAR(E30),1,(12-MONTH(E30)+1)/12))) + (Q30)*(IF((YEAR(D30)+19)&lt;YEAR(E30),0,IF((YEAR(D30)+19)&gt;YEAR(E30),1,(12-MONTH(E30)+1)/12))))-((P30)*(IF((YEAR(D30)+19)&lt;YEAR(E30),0,IF((YEAR(D30)+19)&gt;YEAR(E30),1,(12-MONTH(E30)+1)/12))) + (R30)*(IF((YEAR(D30)+19)&lt;YEAR(E30),0,IF((YEAR(D30)+19)&gt;YEAR(E30),1,(12-MONTH(E30)+1)/12))))-(IF(OR(N30="",N30&lt;=0),0,(O30/N30)*(IF(OR(N30="",N30&lt;=0),0,IF((YEAR(D30)+19)&lt;YEAR(E30),0,IF((YEAR(D30)+19)&gt;=YEAR(E30)+N30,0,IF((YEAR(D30)+19)=YEAR(E30),(12-MONTH(E30)+1)/12,1))))))))*TaxRate,0))-IF(19=0,O30,0))</f>
        <v/>
      </c>
      <c r="AM30" s="29">
        <f>IF(A30="","",((K30)*(IF(M30="",L30,IFERROR(IF(INDEX(Variablen!$I:$AT, MATCH(M30, Variablen!$A:$A, 0), MATCH((YEAR(D30)+20), Variablen!$I$3:$AT$3, 0))="",L30,INDEX(Variablen!$I:$AT, MATCH(M30, Variablen!$A:$A, 0), MATCH((YEAR(D30)+20), Variablen!$I$3:$AT$3, 0))),L30)))*(IF((YEAR(D30)+20)&lt;YEAR(E30),0,IF((YEAR(D30)+20)&gt;YEAR(E30),1,(12-MONTH(E30)+1)/12))) + (Q30)*(IF((YEAR(D30)+20)&lt;YEAR(E30),0,IF((YEAR(D30)+20)&gt;YEAR(E30),1,(12-MONTH(E30)+1)/12))))-((P30)*(IF((YEAR(D30)+20)&lt;YEAR(E30),0,IF((YEAR(D30)+20)&gt;YEAR(E30),1,(12-MONTH(E30)+1)/12))) + (R30)*(IF((YEAR(D30)+20)&lt;YEAR(E30),0,IF((YEAR(D30)+20)&gt;YEAR(E30),1,(12-MONTH(E30)+1)/12))))-(IF((((K30)*(IF(M30="",L30,IFERROR(IF(INDEX(Variablen!$I:$AT, MATCH(M30, Variablen!$A:$A, 0), MATCH((YEAR(D30)+20), Variablen!$I$3:$AT$3, 0))="",L30,INDEX(Variablen!$I:$AT, MATCH(M30, Variablen!$A:$A, 0), MATCH((YEAR(D30)+20), Variablen!$I$3:$AT$3, 0))),L30)))*(IF((YEAR(D30)+20)&lt;YEAR(E30),0,IF((YEAR(D30)+20)&gt;YEAR(E30),1,(12-MONTH(E30)+1)/12))) + (Q30)*(IF((YEAR(D30)+20)&lt;YEAR(E30),0,IF((YEAR(D30)+20)&gt;YEAR(E30),1,(12-MONTH(E30)+1)/12))))-((P30)*(IF((YEAR(D30)+20)&lt;YEAR(E30),0,IF((YEAR(D30)+20)&gt;YEAR(E30),1,(12-MONTH(E30)+1)/12))) + (R30)*(IF((YEAR(D30)+20)&lt;YEAR(E30),0,IF((YEAR(D30)+20)&gt;YEAR(E30),1,(12-MONTH(E30)+1)/12))))-(IF(OR(N30="",N30&lt;=0),0,(O30/N30)*(IF(OR(N30="",N30&lt;=0),0,IF((YEAR(D30)+20)&lt;YEAR(E30),0,IF((YEAR(D30)+20)&gt;=YEAR(E30)+N30,0,IF((YEAR(D30)+20)=YEAR(E30),(12-MONTH(E30)+1)/12,1))))))))&gt;0,(((K30)*(IF(M30="",L30,IFERROR(IF(INDEX(Variablen!$I:$AT, MATCH(M30, Variablen!$A:$A, 0), MATCH((YEAR(D30)+20), Variablen!$I$3:$AT$3, 0))="",L30,INDEX(Variablen!$I:$AT, MATCH(M30, Variablen!$A:$A, 0), MATCH((YEAR(D30)+20), Variablen!$I$3:$AT$3, 0))),L30)))*(IF((YEAR(D30)+20)&lt;YEAR(E30),0,IF((YEAR(D30)+20)&gt;YEAR(E30),1,(12-MONTH(E30)+1)/12))) + (Q30)*(IF((YEAR(D30)+20)&lt;YEAR(E30),0,IF((YEAR(D30)+20)&gt;YEAR(E30),1,(12-MONTH(E30)+1)/12))))-((P30)*(IF((YEAR(D30)+20)&lt;YEAR(E30),0,IF((YEAR(D30)+20)&gt;YEAR(E30),1,(12-MONTH(E30)+1)/12))) + (R30)*(IF((YEAR(D30)+20)&lt;YEAR(E30),0,IF((YEAR(D30)+20)&gt;YEAR(E30),1,(12-MONTH(E30)+1)/12))))-(IF(OR(N30="",N30&lt;=0),0,(O30/N30)*(IF(OR(N30="",N30&lt;=0),0,IF((YEAR(D30)+20)&lt;YEAR(E30),0,IF((YEAR(D30)+20)&gt;=YEAR(E30)+N30,0,IF((YEAR(D30)+20)=YEAR(E30),(12-MONTH(E30)+1)/12,1))))))))*TaxRate,0))-IF(20=0,O30,0))</f>
        <v/>
      </c>
      <c r="AN30" s="29">
        <f>IF(A30="","",S30)</f>
        <v/>
      </c>
      <c r="AO30" s="29">
        <f>IF(A30="","",AN30+T30)</f>
        <v/>
      </c>
      <c r="AP30" s="29">
        <f>IF(A30="","",AO30+U30)</f>
        <v/>
      </c>
      <c r="AQ30" s="29">
        <f>IF(A30="","",AP30+V30)</f>
        <v/>
      </c>
      <c r="AR30" s="29">
        <f>IF(A30="","",AQ30+W30)</f>
        <v/>
      </c>
      <c r="AS30" s="29">
        <f>IF(A30="","",AR30+X30)</f>
        <v/>
      </c>
      <c r="AT30" s="29">
        <f>IF(A30="","",AS30+Y30)</f>
        <v/>
      </c>
      <c r="AU30" s="29">
        <f>IF(A30="","",AT30+Z30)</f>
        <v/>
      </c>
      <c r="AV30" s="29">
        <f>IF(A30="","",AU30+AA30)</f>
        <v/>
      </c>
      <c r="AW30" s="29">
        <f>IF(A30="","",AV30+AB30)</f>
        <v/>
      </c>
      <c r="AX30" s="29">
        <f>IF(A30="","",AW30+AC30)</f>
        <v/>
      </c>
      <c r="AY30" s="29">
        <f>IF(A30="","",AX30+AD30)</f>
        <v/>
      </c>
      <c r="AZ30" s="29">
        <f>IF(A30="","",AY30+AE30)</f>
        <v/>
      </c>
      <c r="BA30" s="29">
        <f>IF(A30="","",AZ30+AF30)</f>
        <v/>
      </c>
      <c r="BB30" s="29">
        <f>IF(A30="","",BA30+AG30)</f>
        <v/>
      </c>
      <c r="BC30" s="29">
        <f>IF(A30="","",BB30+AH30)</f>
        <v/>
      </c>
      <c r="BD30" s="29">
        <f>IF(A30="","",BC30+AI30)</f>
        <v/>
      </c>
      <c r="BE30" s="29">
        <f>IF(A30="","",BD30+AJ30)</f>
        <v/>
      </c>
      <c r="BF30" s="29">
        <f>IF(A30="","",BE30+AK30)</f>
        <v/>
      </c>
      <c r="BG30" s="29">
        <f>IF(A30="","",BF30+AL30)</f>
        <v/>
      </c>
      <c r="BH30" s="29">
        <f>IF(A30="","",BG30+AM30)</f>
        <v/>
      </c>
      <c r="BI30" s="36">
        <f>IF(A30="","",(K30)*(IF((YEAR(D30)+0)&lt;YEAR(E30),0,IF((YEAR(D30)+0)&gt;YEAR(E30),1,(12-MONTH(E30)+1)/12)))*(1/(1+DiscountRate)^0))</f>
        <v/>
      </c>
      <c r="BJ30" s="36">
        <f>IF(A30="","",(K30)*(IF((YEAR(D30)+1)&lt;YEAR(E30),0,IF((YEAR(D30)+1)&gt;YEAR(E30),1,(12-MONTH(E30)+1)/12)))*(1/(1+DiscountRate)^1))</f>
        <v/>
      </c>
      <c r="BK30" s="36">
        <f>IF(A30="","",(K30)*(IF((YEAR(D30)+2)&lt;YEAR(E30),0,IF((YEAR(D30)+2)&gt;YEAR(E30),1,(12-MONTH(E30)+1)/12)))*(1/(1+DiscountRate)^2))</f>
        <v/>
      </c>
      <c r="BL30" s="36">
        <f>IF(A30="","",(K30)*(IF((YEAR(D30)+3)&lt;YEAR(E30),0,IF((YEAR(D30)+3)&gt;YEAR(E30),1,(12-MONTH(E30)+1)/12)))*(1/(1+DiscountRate)^3))</f>
        <v/>
      </c>
      <c r="BM30" s="36">
        <f>IF(A30="","",(K30)*(IF((YEAR(D30)+4)&lt;YEAR(E30),0,IF((YEAR(D30)+4)&gt;YEAR(E30),1,(12-MONTH(E30)+1)/12)))*(1/(1+DiscountRate)^4))</f>
        <v/>
      </c>
      <c r="BN30" s="36">
        <f>IF(A30="","",(K30)*(IF((YEAR(D30)+5)&lt;YEAR(E30),0,IF((YEAR(D30)+5)&gt;YEAR(E30),1,(12-MONTH(E30)+1)/12)))*(1/(1+DiscountRate)^5))</f>
        <v/>
      </c>
      <c r="BO30" s="36">
        <f>IF(A30="","",(K30)*(IF((YEAR(D30)+6)&lt;YEAR(E30),0,IF((YEAR(D30)+6)&gt;YEAR(E30),1,(12-MONTH(E30)+1)/12)))*(1/(1+DiscountRate)^6))</f>
        <v/>
      </c>
      <c r="BP30" s="36">
        <f>IF(A30="","",(K30)*(IF((YEAR(D30)+7)&lt;YEAR(E30),0,IF((YEAR(D30)+7)&gt;YEAR(E30),1,(12-MONTH(E30)+1)/12)))*(1/(1+DiscountRate)^7))</f>
        <v/>
      </c>
      <c r="BQ30" s="36">
        <f>IF(A30="","",(K30)*(IF((YEAR(D30)+8)&lt;YEAR(E30),0,IF((YEAR(D30)+8)&gt;YEAR(E30),1,(12-MONTH(E30)+1)/12)))*(1/(1+DiscountRate)^8))</f>
        <v/>
      </c>
      <c r="BR30" s="36">
        <f>IF(A30="","",(K30)*(IF((YEAR(D30)+9)&lt;YEAR(E30),0,IF((YEAR(D30)+9)&gt;YEAR(E30),1,(12-MONTH(E30)+1)/12)))*(1/(1+DiscountRate)^9))</f>
        <v/>
      </c>
      <c r="BS30" s="36">
        <f>IF(A30="","",(K30)*(IF((YEAR(D30)+10)&lt;YEAR(E30),0,IF((YEAR(D30)+10)&gt;YEAR(E30),1,(12-MONTH(E30)+1)/12)))*(1/(1+DiscountRate)^10))</f>
        <v/>
      </c>
      <c r="BT30" s="36">
        <f>IF(A30="","",(K30)*(IF((YEAR(D30)+11)&lt;YEAR(E30),0,IF((YEAR(D30)+11)&gt;YEAR(E30),1,(12-MONTH(E30)+1)/12)))*(1/(1+DiscountRate)^11))</f>
        <v/>
      </c>
      <c r="BU30" s="36">
        <f>IF(A30="","",(K30)*(IF((YEAR(D30)+12)&lt;YEAR(E30),0,IF((YEAR(D30)+12)&gt;YEAR(E30),1,(12-MONTH(E30)+1)/12)))*(1/(1+DiscountRate)^12))</f>
        <v/>
      </c>
      <c r="BV30" s="36">
        <f>IF(A30="","",(K30)*(IF((YEAR(D30)+13)&lt;YEAR(E30),0,IF((YEAR(D30)+13)&gt;YEAR(E30),1,(12-MONTH(E30)+1)/12)))*(1/(1+DiscountRate)^13))</f>
        <v/>
      </c>
      <c r="BW30" s="36">
        <f>IF(A30="","",(K30)*(IF((YEAR(D30)+14)&lt;YEAR(E30),0,IF((YEAR(D30)+14)&gt;YEAR(E30),1,(12-MONTH(E30)+1)/12)))*(1/(1+DiscountRate)^14))</f>
        <v/>
      </c>
      <c r="BX30" s="36">
        <f>IF(A30="","",(K30)*(IF((YEAR(D30)+15)&lt;YEAR(E30),0,IF((YEAR(D30)+15)&gt;YEAR(E30),1,(12-MONTH(E30)+1)/12)))*(1/(1+DiscountRate)^15))</f>
        <v/>
      </c>
      <c r="BY30" s="36">
        <f>IF(A30="","",(K30)*(IF((YEAR(D30)+16)&lt;YEAR(E30),0,IF((YEAR(D30)+16)&gt;YEAR(E30),1,(12-MONTH(E30)+1)/12)))*(1/(1+DiscountRate)^16))</f>
        <v/>
      </c>
      <c r="BZ30" s="36">
        <f>IF(A30="","",(K30)*(IF((YEAR(D30)+17)&lt;YEAR(E30),0,IF((YEAR(D30)+17)&gt;YEAR(E30),1,(12-MONTH(E30)+1)/12)))*(1/(1+DiscountRate)^17))</f>
        <v/>
      </c>
      <c r="CA30" s="36">
        <f>IF(A30="","",(K30)*(IF((YEAR(D30)+18)&lt;YEAR(E30),0,IF((YEAR(D30)+18)&gt;YEAR(E30),1,(12-MONTH(E30)+1)/12)))*(1/(1+DiscountRate)^18))</f>
        <v/>
      </c>
      <c r="CB30" s="36">
        <f>IF(A30="","",(K30)*(IF((YEAR(D30)+19)&lt;YEAR(E30),0,IF((YEAR(D30)+19)&gt;YEAR(E30),1,(12-MONTH(E30)+1)/12)))*(1/(1+DiscountRate)^19))</f>
        <v/>
      </c>
      <c r="CC30" s="36">
        <f>IF(A30="","",(K30)*(IF((YEAR(D30)+20)&lt;YEAR(E30),0,IF((YEAR(D30)+20)&gt;YEAR(E30),1,(12-MONTH(E30)+1)/12)))*(1/(1+DiscountRate)^20))</f>
        <v/>
      </c>
      <c r="CD30" s="29">
        <f>IF(A30="","",S30/(1+DiscountRate)^0+T30/(1+DiscountRate)^1+U30/(1+DiscountRate)^2+V30/(1+DiscountRate)^3+W30/(1+DiscountRate)^4+X30/(1+DiscountRate)^5+Y30/(1+DiscountRate)^6+Z30/(1+DiscountRate)^7+AA30/(1+DiscountRate)^8+AB30/(1+DiscountRate)^9+AC30/(1+DiscountRate)^10+AD30/(1+DiscountRate)^11+AE30/(1+DiscountRate)^12+AF30/(1+DiscountRate)^13+AG30/(1+DiscountRate)^14+AH30/(1+DiscountRate)^15+AI30/(1+DiscountRate)^16+AJ30/(1+DiscountRate)^17+AK30/(1+DiscountRate)^18+AL30/(1+DiscountRate)^19+AM30/(1+DiscountRate)^20)</f>
        <v/>
      </c>
      <c r="CE30" s="37">
        <f>IF(A30="","",IFERROR(IRR(OFFSET(S30,0,0,1,MIN(HorizonYears,20)+1)),"n/a"))</f>
        <v/>
      </c>
      <c r="CF30" s="28">
        <f>IF(A30="","",IFERROR(MATCH(TRUE,OFFSET(AN30,0,0,1,MIN(HorizonYears,20)+1)&gt;=0,0)-1,"n/a"))</f>
        <v/>
      </c>
      <c r="CG30" s="36">
        <f>IF(A30="","",SUM(OFFSET(BI30,0,0,1,MIN(HorizonYears,20)+1)))</f>
        <v/>
      </c>
      <c r="CH30" s="36">
        <f>IF(A30="","",IFERROR(-CD30/CG30,"n/a"))</f>
        <v/>
      </c>
    </row>
    <row r="31">
      <c r="A31" s="6">
        <f>Actions!A29</f>
        <v/>
      </c>
      <c r="B31" s="6">
        <f>Actions!B29</f>
        <v/>
      </c>
      <c r="C31" s="6">
        <f>Actions!D29</f>
        <v/>
      </c>
      <c r="D31" s="35">
        <f>Actions!E29</f>
        <v/>
      </c>
      <c r="E31" s="35">
        <f>Actions!F29</f>
        <v/>
      </c>
      <c r="F31" s="6">
        <f>Actions!G29</f>
        <v/>
      </c>
      <c r="G31" s="6">
        <f>Actions!H29</f>
        <v/>
      </c>
      <c r="H31" s="29">
        <f>Actions!I29</f>
        <v/>
      </c>
      <c r="I31" s="6">
        <f>Actions!J29</f>
        <v/>
      </c>
      <c r="J31" s="16">
        <f>Actions!K29</f>
        <v/>
      </c>
      <c r="K31" s="16">
        <f>IF(A31="","",IF(I31="%",H31*J31,J31))</f>
        <v/>
      </c>
      <c r="L31" s="16">
        <f>Actions!L29</f>
        <v/>
      </c>
      <c r="M31" s="6">
        <f>Actions!M29</f>
        <v/>
      </c>
      <c r="N31" s="28">
        <f>Actions!N29</f>
        <v/>
      </c>
      <c r="O31" s="29">
        <f>Actions!T29</f>
        <v/>
      </c>
      <c r="P31" s="29">
        <f>Actions!Y29</f>
        <v/>
      </c>
      <c r="Q31" s="29">
        <f>Actions!Z29</f>
        <v/>
      </c>
      <c r="R31" s="29">
        <f>Actions!AA29</f>
        <v/>
      </c>
      <c r="S31" s="29">
        <f>IF(A31="","",((K31)*(IF(M31="",L31,IFERROR(IF(INDEX(Variablen!$I:$AT, MATCH(M31, Variablen!$A:$A, 0), MATCH((YEAR(D31)+0), Variablen!$I$3:$AT$3, 0))="",L31,INDEX(Variablen!$I:$AT, MATCH(M31, Variablen!$A:$A, 0), MATCH((YEAR(D31)+0), Variablen!$I$3:$AT$3, 0))),L31)))*(IF((YEAR(D31)+0)&lt;YEAR(E31),0,IF((YEAR(D31)+0)&gt;YEAR(E31),1,(12-MONTH(E31)+1)/12))) + (Q31)*(IF((YEAR(D31)+0)&lt;YEAR(E31),0,IF((YEAR(D31)+0)&gt;YEAR(E31),1,(12-MONTH(E31)+1)/12))))-((P31)*(IF((YEAR(D31)+0)&lt;YEAR(E31),0,IF((YEAR(D31)+0)&gt;YEAR(E31),1,(12-MONTH(E31)+1)/12))) + (R31)*(IF((YEAR(D31)+0)&lt;YEAR(E31),0,IF((YEAR(D31)+0)&gt;YEAR(E31),1,(12-MONTH(E31)+1)/12))))-(IF((((K31)*(IF(M31="",L31,IFERROR(IF(INDEX(Variablen!$I:$AT, MATCH(M31, Variablen!$A:$A, 0), MATCH((YEAR(D31)+0), Variablen!$I$3:$AT$3, 0))="",L31,INDEX(Variablen!$I:$AT, MATCH(M31, Variablen!$A:$A, 0), MATCH((YEAR(D31)+0), Variablen!$I$3:$AT$3, 0))),L31)))*(IF((YEAR(D31)+0)&lt;YEAR(E31),0,IF((YEAR(D31)+0)&gt;YEAR(E31),1,(12-MONTH(E31)+1)/12))) + (Q31)*(IF((YEAR(D31)+0)&lt;YEAR(E31),0,IF((YEAR(D31)+0)&gt;YEAR(E31),1,(12-MONTH(E31)+1)/12))))-((P31)*(IF((YEAR(D31)+0)&lt;YEAR(E31),0,IF((YEAR(D31)+0)&gt;YEAR(E31),1,(12-MONTH(E31)+1)/12))) + (R31)*(IF((YEAR(D31)+0)&lt;YEAR(E31),0,IF((YEAR(D31)+0)&gt;YEAR(E31),1,(12-MONTH(E31)+1)/12))))-(IF(OR(N31="",N31&lt;=0),0,(O31/N31)*(IF(OR(N31="",N31&lt;=0),0,IF((YEAR(D31)+0)&lt;YEAR(E31),0,IF((YEAR(D31)+0)&gt;=YEAR(E31)+N31,0,IF((YEAR(D31)+0)=YEAR(E31),(12-MONTH(E31)+1)/12,1))))))))&gt;0,(((K31)*(IF(M31="",L31,IFERROR(IF(INDEX(Variablen!$I:$AT, MATCH(M31, Variablen!$A:$A, 0), MATCH((YEAR(D31)+0), Variablen!$I$3:$AT$3, 0))="",L31,INDEX(Variablen!$I:$AT, MATCH(M31, Variablen!$A:$A, 0), MATCH((YEAR(D31)+0), Variablen!$I$3:$AT$3, 0))),L31)))*(IF((YEAR(D31)+0)&lt;YEAR(E31),0,IF((YEAR(D31)+0)&gt;YEAR(E31),1,(12-MONTH(E31)+1)/12))) + (Q31)*(IF((YEAR(D31)+0)&lt;YEAR(E31),0,IF((YEAR(D31)+0)&gt;YEAR(E31),1,(12-MONTH(E31)+1)/12))))-((P31)*(IF((YEAR(D31)+0)&lt;YEAR(E31),0,IF((YEAR(D31)+0)&gt;YEAR(E31),1,(12-MONTH(E31)+1)/12))) + (R31)*(IF((YEAR(D31)+0)&lt;YEAR(E31),0,IF((YEAR(D31)+0)&gt;YEAR(E31),1,(12-MONTH(E31)+1)/12))))-(IF(OR(N31="",N31&lt;=0),0,(O31/N31)*(IF(OR(N31="",N31&lt;=0),0,IF((YEAR(D31)+0)&lt;YEAR(E31),0,IF((YEAR(D31)+0)&gt;=YEAR(E31)+N31,0,IF((YEAR(D31)+0)=YEAR(E31),(12-MONTH(E31)+1)/12,1))))))))*TaxRate,0))-IF(0=0,O31,0))</f>
        <v/>
      </c>
      <c r="T31" s="29">
        <f>IF(A31="","",((K31)*(IF(M31="",L31,IFERROR(IF(INDEX(Variablen!$I:$AT, MATCH(M31, Variablen!$A:$A, 0), MATCH((YEAR(D31)+1), Variablen!$I$3:$AT$3, 0))="",L31,INDEX(Variablen!$I:$AT, MATCH(M31, Variablen!$A:$A, 0), MATCH((YEAR(D31)+1), Variablen!$I$3:$AT$3, 0))),L31)))*(IF((YEAR(D31)+1)&lt;YEAR(E31),0,IF((YEAR(D31)+1)&gt;YEAR(E31),1,(12-MONTH(E31)+1)/12))) + (Q31)*(IF((YEAR(D31)+1)&lt;YEAR(E31),0,IF((YEAR(D31)+1)&gt;YEAR(E31),1,(12-MONTH(E31)+1)/12))))-((P31)*(IF((YEAR(D31)+1)&lt;YEAR(E31),0,IF((YEAR(D31)+1)&gt;YEAR(E31),1,(12-MONTH(E31)+1)/12))) + (R31)*(IF((YEAR(D31)+1)&lt;YEAR(E31),0,IF((YEAR(D31)+1)&gt;YEAR(E31),1,(12-MONTH(E31)+1)/12))))-(IF((((K31)*(IF(M31="",L31,IFERROR(IF(INDEX(Variablen!$I:$AT, MATCH(M31, Variablen!$A:$A, 0), MATCH((YEAR(D31)+1), Variablen!$I$3:$AT$3, 0))="",L31,INDEX(Variablen!$I:$AT, MATCH(M31, Variablen!$A:$A, 0), MATCH((YEAR(D31)+1), Variablen!$I$3:$AT$3, 0))),L31)))*(IF((YEAR(D31)+1)&lt;YEAR(E31),0,IF((YEAR(D31)+1)&gt;YEAR(E31),1,(12-MONTH(E31)+1)/12))) + (Q31)*(IF((YEAR(D31)+1)&lt;YEAR(E31),0,IF((YEAR(D31)+1)&gt;YEAR(E31),1,(12-MONTH(E31)+1)/12))))-((P31)*(IF((YEAR(D31)+1)&lt;YEAR(E31),0,IF((YEAR(D31)+1)&gt;YEAR(E31),1,(12-MONTH(E31)+1)/12))) + (R31)*(IF((YEAR(D31)+1)&lt;YEAR(E31),0,IF((YEAR(D31)+1)&gt;YEAR(E31),1,(12-MONTH(E31)+1)/12))))-(IF(OR(N31="",N31&lt;=0),0,(O31/N31)*(IF(OR(N31="",N31&lt;=0),0,IF((YEAR(D31)+1)&lt;YEAR(E31),0,IF((YEAR(D31)+1)&gt;=YEAR(E31)+N31,0,IF((YEAR(D31)+1)=YEAR(E31),(12-MONTH(E31)+1)/12,1))))))))&gt;0,(((K31)*(IF(M31="",L31,IFERROR(IF(INDEX(Variablen!$I:$AT, MATCH(M31, Variablen!$A:$A, 0), MATCH((YEAR(D31)+1), Variablen!$I$3:$AT$3, 0))="",L31,INDEX(Variablen!$I:$AT, MATCH(M31, Variablen!$A:$A, 0), MATCH((YEAR(D31)+1), Variablen!$I$3:$AT$3, 0))),L31)))*(IF((YEAR(D31)+1)&lt;YEAR(E31),0,IF((YEAR(D31)+1)&gt;YEAR(E31),1,(12-MONTH(E31)+1)/12))) + (Q31)*(IF((YEAR(D31)+1)&lt;YEAR(E31),0,IF((YEAR(D31)+1)&gt;YEAR(E31),1,(12-MONTH(E31)+1)/12))))-((P31)*(IF((YEAR(D31)+1)&lt;YEAR(E31),0,IF((YEAR(D31)+1)&gt;YEAR(E31),1,(12-MONTH(E31)+1)/12))) + (R31)*(IF((YEAR(D31)+1)&lt;YEAR(E31),0,IF((YEAR(D31)+1)&gt;YEAR(E31),1,(12-MONTH(E31)+1)/12))))-(IF(OR(N31="",N31&lt;=0),0,(O31/N31)*(IF(OR(N31="",N31&lt;=0),0,IF((YEAR(D31)+1)&lt;YEAR(E31),0,IF((YEAR(D31)+1)&gt;=YEAR(E31)+N31,0,IF((YEAR(D31)+1)=YEAR(E31),(12-MONTH(E31)+1)/12,1))))))))*TaxRate,0))-IF(1=0,O31,0))</f>
        <v/>
      </c>
      <c r="U31" s="29">
        <f>IF(A31="","",((K31)*(IF(M31="",L31,IFERROR(IF(INDEX(Variablen!$I:$AT, MATCH(M31, Variablen!$A:$A, 0), MATCH((YEAR(D31)+2), Variablen!$I$3:$AT$3, 0))="",L31,INDEX(Variablen!$I:$AT, MATCH(M31, Variablen!$A:$A, 0), MATCH((YEAR(D31)+2), Variablen!$I$3:$AT$3, 0))),L31)))*(IF((YEAR(D31)+2)&lt;YEAR(E31),0,IF((YEAR(D31)+2)&gt;YEAR(E31),1,(12-MONTH(E31)+1)/12))) + (Q31)*(IF((YEAR(D31)+2)&lt;YEAR(E31),0,IF((YEAR(D31)+2)&gt;YEAR(E31),1,(12-MONTH(E31)+1)/12))))-((P31)*(IF((YEAR(D31)+2)&lt;YEAR(E31),0,IF((YEAR(D31)+2)&gt;YEAR(E31),1,(12-MONTH(E31)+1)/12))) + (R31)*(IF((YEAR(D31)+2)&lt;YEAR(E31),0,IF((YEAR(D31)+2)&gt;YEAR(E31),1,(12-MONTH(E31)+1)/12))))-(IF((((K31)*(IF(M31="",L31,IFERROR(IF(INDEX(Variablen!$I:$AT, MATCH(M31, Variablen!$A:$A, 0), MATCH((YEAR(D31)+2), Variablen!$I$3:$AT$3, 0))="",L31,INDEX(Variablen!$I:$AT, MATCH(M31, Variablen!$A:$A, 0), MATCH((YEAR(D31)+2), Variablen!$I$3:$AT$3, 0))),L31)))*(IF((YEAR(D31)+2)&lt;YEAR(E31),0,IF((YEAR(D31)+2)&gt;YEAR(E31),1,(12-MONTH(E31)+1)/12))) + (Q31)*(IF((YEAR(D31)+2)&lt;YEAR(E31),0,IF((YEAR(D31)+2)&gt;YEAR(E31),1,(12-MONTH(E31)+1)/12))))-((P31)*(IF((YEAR(D31)+2)&lt;YEAR(E31),0,IF((YEAR(D31)+2)&gt;YEAR(E31),1,(12-MONTH(E31)+1)/12))) + (R31)*(IF((YEAR(D31)+2)&lt;YEAR(E31),0,IF((YEAR(D31)+2)&gt;YEAR(E31),1,(12-MONTH(E31)+1)/12))))-(IF(OR(N31="",N31&lt;=0),0,(O31/N31)*(IF(OR(N31="",N31&lt;=0),0,IF((YEAR(D31)+2)&lt;YEAR(E31),0,IF((YEAR(D31)+2)&gt;=YEAR(E31)+N31,0,IF((YEAR(D31)+2)=YEAR(E31),(12-MONTH(E31)+1)/12,1))))))))&gt;0,(((K31)*(IF(M31="",L31,IFERROR(IF(INDEX(Variablen!$I:$AT, MATCH(M31, Variablen!$A:$A, 0), MATCH((YEAR(D31)+2), Variablen!$I$3:$AT$3, 0))="",L31,INDEX(Variablen!$I:$AT, MATCH(M31, Variablen!$A:$A, 0), MATCH((YEAR(D31)+2), Variablen!$I$3:$AT$3, 0))),L31)))*(IF((YEAR(D31)+2)&lt;YEAR(E31),0,IF((YEAR(D31)+2)&gt;YEAR(E31),1,(12-MONTH(E31)+1)/12))) + (Q31)*(IF((YEAR(D31)+2)&lt;YEAR(E31),0,IF((YEAR(D31)+2)&gt;YEAR(E31),1,(12-MONTH(E31)+1)/12))))-((P31)*(IF((YEAR(D31)+2)&lt;YEAR(E31),0,IF((YEAR(D31)+2)&gt;YEAR(E31),1,(12-MONTH(E31)+1)/12))) + (R31)*(IF((YEAR(D31)+2)&lt;YEAR(E31),0,IF((YEAR(D31)+2)&gt;YEAR(E31),1,(12-MONTH(E31)+1)/12))))-(IF(OR(N31="",N31&lt;=0),0,(O31/N31)*(IF(OR(N31="",N31&lt;=0),0,IF((YEAR(D31)+2)&lt;YEAR(E31),0,IF((YEAR(D31)+2)&gt;=YEAR(E31)+N31,0,IF((YEAR(D31)+2)=YEAR(E31),(12-MONTH(E31)+1)/12,1))))))))*TaxRate,0))-IF(2=0,O31,0))</f>
        <v/>
      </c>
      <c r="V31" s="29">
        <f>IF(A31="","",((K31)*(IF(M31="",L31,IFERROR(IF(INDEX(Variablen!$I:$AT, MATCH(M31, Variablen!$A:$A, 0), MATCH((YEAR(D31)+3), Variablen!$I$3:$AT$3, 0))="",L31,INDEX(Variablen!$I:$AT, MATCH(M31, Variablen!$A:$A, 0), MATCH((YEAR(D31)+3), Variablen!$I$3:$AT$3, 0))),L31)))*(IF((YEAR(D31)+3)&lt;YEAR(E31),0,IF((YEAR(D31)+3)&gt;YEAR(E31),1,(12-MONTH(E31)+1)/12))) + (Q31)*(IF((YEAR(D31)+3)&lt;YEAR(E31),0,IF((YEAR(D31)+3)&gt;YEAR(E31),1,(12-MONTH(E31)+1)/12))))-((P31)*(IF((YEAR(D31)+3)&lt;YEAR(E31),0,IF((YEAR(D31)+3)&gt;YEAR(E31),1,(12-MONTH(E31)+1)/12))) + (R31)*(IF((YEAR(D31)+3)&lt;YEAR(E31),0,IF((YEAR(D31)+3)&gt;YEAR(E31),1,(12-MONTH(E31)+1)/12))))-(IF((((K31)*(IF(M31="",L31,IFERROR(IF(INDEX(Variablen!$I:$AT, MATCH(M31, Variablen!$A:$A, 0), MATCH((YEAR(D31)+3), Variablen!$I$3:$AT$3, 0))="",L31,INDEX(Variablen!$I:$AT, MATCH(M31, Variablen!$A:$A, 0), MATCH((YEAR(D31)+3), Variablen!$I$3:$AT$3, 0))),L31)))*(IF((YEAR(D31)+3)&lt;YEAR(E31),0,IF((YEAR(D31)+3)&gt;YEAR(E31),1,(12-MONTH(E31)+1)/12))) + (Q31)*(IF((YEAR(D31)+3)&lt;YEAR(E31),0,IF((YEAR(D31)+3)&gt;YEAR(E31),1,(12-MONTH(E31)+1)/12))))-((P31)*(IF((YEAR(D31)+3)&lt;YEAR(E31),0,IF((YEAR(D31)+3)&gt;YEAR(E31),1,(12-MONTH(E31)+1)/12))) + (R31)*(IF((YEAR(D31)+3)&lt;YEAR(E31),0,IF((YEAR(D31)+3)&gt;YEAR(E31),1,(12-MONTH(E31)+1)/12))))-(IF(OR(N31="",N31&lt;=0),0,(O31/N31)*(IF(OR(N31="",N31&lt;=0),0,IF((YEAR(D31)+3)&lt;YEAR(E31),0,IF((YEAR(D31)+3)&gt;=YEAR(E31)+N31,0,IF((YEAR(D31)+3)=YEAR(E31),(12-MONTH(E31)+1)/12,1))))))))&gt;0,(((K31)*(IF(M31="",L31,IFERROR(IF(INDEX(Variablen!$I:$AT, MATCH(M31, Variablen!$A:$A, 0), MATCH((YEAR(D31)+3), Variablen!$I$3:$AT$3, 0))="",L31,INDEX(Variablen!$I:$AT, MATCH(M31, Variablen!$A:$A, 0), MATCH((YEAR(D31)+3), Variablen!$I$3:$AT$3, 0))),L31)))*(IF((YEAR(D31)+3)&lt;YEAR(E31),0,IF((YEAR(D31)+3)&gt;YEAR(E31),1,(12-MONTH(E31)+1)/12))) + (Q31)*(IF((YEAR(D31)+3)&lt;YEAR(E31),0,IF((YEAR(D31)+3)&gt;YEAR(E31),1,(12-MONTH(E31)+1)/12))))-((P31)*(IF((YEAR(D31)+3)&lt;YEAR(E31),0,IF((YEAR(D31)+3)&gt;YEAR(E31),1,(12-MONTH(E31)+1)/12))) + (R31)*(IF((YEAR(D31)+3)&lt;YEAR(E31),0,IF((YEAR(D31)+3)&gt;YEAR(E31),1,(12-MONTH(E31)+1)/12))))-(IF(OR(N31="",N31&lt;=0),0,(O31/N31)*(IF(OR(N31="",N31&lt;=0),0,IF((YEAR(D31)+3)&lt;YEAR(E31),0,IF((YEAR(D31)+3)&gt;=YEAR(E31)+N31,0,IF((YEAR(D31)+3)=YEAR(E31),(12-MONTH(E31)+1)/12,1))))))))*TaxRate,0))-IF(3=0,O31,0))</f>
        <v/>
      </c>
      <c r="W31" s="29">
        <f>IF(A31="","",((K31)*(IF(M31="",L31,IFERROR(IF(INDEX(Variablen!$I:$AT, MATCH(M31, Variablen!$A:$A, 0), MATCH((YEAR(D31)+4), Variablen!$I$3:$AT$3, 0))="",L31,INDEX(Variablen!$I:$AT, MATCH(M31, Variablen!$A:$A, 0), MATCH((YEAR(D31)+4), Variablen!$I$3:$AT$3, 0))),L31)))*(IF((YEAR(D31)+4)&lt;YEAR(E31),0,IF((YEAR(D31)+4)&gt;YEAR(E31),1,(12-MONTH(E31)+1)/12))) + (Q31)*(IF((YEAR(D31)+4)&lt;YEAR(E31),0,IF((YEAR(D31)+4)&gt;YEAR(E31),1,(12-MONTH(E31)+1)/12))))-((P31)*(IF((YEAR(D31)+4)&lt;YEAR(E31),0,IF((YEAR(D31)+4)&gt;YEAR(E31),1,(12-MONTH(E31)+1)/12))) + (R31)*(IF((YEAR(D31)+4)&lt;YEAR(E31),0,IF((YEAR(D31)+4)&gt;YEAR(E31),1,(12-MONTH(E31)+1)/12))))-(IF((((K31)*(IF(M31="",L31,IFERROR(IF(INDEX(Variablen!$I:$AT, MATCH(M31, Variablen!$A:$A, 0), MATCH((YEAR(D31)+4), Variablen!$I$3:$AT$3, 0))="",L31,INDEX(Variablen!$I:$AT, MATCH(M31, Variablen!$A:$A, 0), MATCH((YEAR(D31)+4), Variablen!$I$3:$AT$3, 0))),L31)))*(IF((YEAR(D31)+4)&lt;YEAR(E31),0,IF((YEAR(D31)+4)&gt;YEAR(E31),1,(12-MONTH(E31)+1)/12))) + (Q31)*(IF((YEAR(D31)+4)&lt;YEAR(E31),0,IF((YEAR(D31)+4)&gt;YEAR(E31),1,(12-MONTH(E31)+1)/12))))-((P31)*(IF((YEAR(D31)+4)&lt;YEAR(E31),0,IF((YEAR(D31)+4)&gt;YEAR(E31),1,(12-MONTH(E31)+1)/12))) + (R31)*(IF((YEAR(D31)+4)&lt;YEAR(E31),0,IF((YEAR(D31)+4)&gt;YEAR(E31),1,(12-MONTH(E31)+1)/12))))-(IF(OR(N31="",N31&lt;=0),0,(O31/N31)*(IF(OR(N31="",N31&lt;=0),0,IF((YEAR(D31)+4)&lt;YEAR(E31),0,IF((YEAR(D31)+4)&gt;=YEAR(E31)+N31,0,IF((YEAR(D31)+4)=YEAR(E31),(12-MONTH(E31)+1)/12,1))))))))&gt;0,(((K31)*(IF(M31="",L31,IFERROR(IF(INDEX(Variablen!$I:$AT, MATCH(M31, Variablen!$A:$A, 0), MATCH((YEAR(D31)+4), Variablen!$I$3:$AT$3, 0))="",L31,INDEX(Variablen!$I:$AT, MATCH(M31, Variablen!$A:$A, 0), MATCH((YEAR(D31)+4), Variablen!$I$3:$AT$3, 0))),L31)))*(IF((YEAR(D31)+4)&lt;YEAR(E31),0,IF((YEAR(D31)+4)&gt;YEAR(E31),1,(12-MONTH(E31)+1)/12))) + (Q31)*(IF((YEAR(D31)+4)&lt;YEAR(E31),0,IF((YEAR(D31)+4)&gt;YEAR(E31),1,(12-MONTH(E31)+1)/12))))-((P31)*(IF((YEAR(D31)+4)&lt;YEAR(E31),0,IF((YEAR(D31)+4)&gt;YEAR(E31),1,(12-MONTH(E31)+1)/12))) + (R31)*(IF((YEAR(D31)+4)&lt;YEAR(E31),0,IF((YEAR(D31)+4)&gt;YEAR(E31),1,(12-MONTH(E31)+1)/12))))-(IF(OR(N31="",N31&lt;=0),0,(O31/N31)*(IF(OR(N31="",N31&lt;=0),0,IF((YEAR(D31)+4)&lt;YEAR(E31),0,IF((YEAR(D31)+4)&gt;=YEAR(E31)+N31,0,IF((YEAR(D31)+4)=YEAR(E31),(12-MONTH(E31)+1)/12,1))))))))*TaxRate,0))-IF(4=0,O31,0))</f>
        <v/>
      </c>
      <c r="X31" s="29">
        <f>IF(A31="","",((K31)*(IF(M31="",L31,IFERROR(IF(INDEX(Variablen!$I:$AT, MATCH(M31, Variablen!$A:$A, 0), MATCH((YEAR(D31)+5), Variablen!$I$3:$AT$3, 0))="",L31,INDEX(Variablen!$I:$AT, MATCH(M31, Variablen!$A:$A, 0), MATCH((YEAR(D31)+5), Variablen!$I$3:$AT$3, 0))),L31)))*(IF((YEAR(D31)+5)&lt;YEAR(E31),0,IF((YEAR(D31)+5)&gt;YEAR(E31),1,(12-MONTH(E31)+1)/12))) + (Q31)*(IF((YEAR(D31)+5)&lt;YEAR(E31),0,IF((YEAR(D31)+5)&gt;YEAR(E31),1,(12-MONTH(E31)+1)/12))))-((P31)*(IF((YEAR(D31)+5)&lt;YEAR(E31),0,IF((YEAR(D31)+5)&gt;YEAR(E31),1,(12-MONTH(E31)+1)/12))) + (R31)*(IF((YEAR(D31)+5)&lt;YEAR(E31),0,IF((YEAR(D31)+5)&gt;YEAR(E31),1,(12-MONTH(E31)+1)/12))))-(IF((((K31)*(IF(M31="",L31,IFERROR(IF(INDEX(Variablen!$I:$AT, MATCH(M31, Variablen!$A:$A, 0), MATCH((YEAR(D31)+5), Variablen!$I$3:$AT$3, 0))="",L31,INDEX(Variablen!$I:$AT, MATCH(M31, Variablen!$A:$A, 0), MATCH((YEAR(D31)+5), Variablen!$I$3:$AT$3, 0))),L31)))*(IF((YEAR(D31)+5)&lt;YEAR(E31),0,IF((YEAR(D31)+5)&gt;YEAR(E31),1,(12-MONTH(E31)+1)/12))) + (Q31)*(IF((YEAR(D31)+5)&lt;YEAR(E31),0,IF((YEAR(D31)+5)&gt;YEAR(E31),1,(12-MONTH(E31)+1)/12))))-((P31)*(IF((YEAR(D31)+5)&lt;YEAR(E31),0,IF((YEAR(D31)+5)&gt;YEAR(E31),1,(12-MONTH(E31)+1)/12))) + (R31)*(IF((YEAR(D31)+5)&lt;YEAR(E31),0,IF((YEAR(D31)+5)&gt;YEAR(E31),1,(12-MONTH(E31)+1)/12))))-(IF(OR(N31="",N31&lt;=0),0,(O31/N31)*(IF(OR(N31="",N31&lt;=0),0,IF((YEAR(D31)+5)&lt;YEAR(E31),0,IF((YEAR(D31)+5)&gt;=YEAR(E31)+N31,0,IF((YEAR(D31)+5)=YEAR(E31),(12-MONTH(E31)+1)/12,1))))))))&gt;0,(((K31)*(IF(M31="",L31,IFERROR(IF(INDEX(Variablen!$I:$AT, MATCH(M31, Variablen!$A:$A, 0), MATCH((YEAR(D31)+5), Variablen!$I$3:$AT$3, 0))="",L31,INDEX(Variablen!$I:$AT, MATCH(M31, Variablen!$A:$A, 0), MATCH((YEAR(D31)+5), Variablen!$I$3:$AT$3, 0))),L31)))*(IF((YEAR(D31)+5)&lt;YEAR(E31),0,IF((YEAR(D31)+5)&gt;YEAR(E31),1,(12-MONTH(E31)+1)/12))) + (Q31)*(IF((YEAR(D31)+5)&lt;YEAR(E31),0,IF((YEAR(D31)+5)&gt;YEAR(E31),1,(12-MONTH(E31)+1)/12))))-((P31)*(IF((YEAR(D31)+5)&lt;YEAR(E31),0,IF((YEAR(D31)+5)&gt;YEAR(E31),1,(12-MONTH(E31)+1)/12))) + (R31)*(IF((YEAR(D31)+5)&lt;YEAR(E31),0,IF((YEAR(D31)+5)&gt;YEAR(E31),1,(12-MONTH(E31)+1)/12))))-(IF(OR(N31="",N31&lt;=0),0,(O31/N31)*(IF(OR(N31="",N31&lt;=0),0,IF((YEAR(D31)+5)&lt;YEAR(E31),0,IF((YEAR(D31)+5)&gt;=YEAR(E31)+N31,0,IF((YEAR(D31)+5)=YEAR(E31),(12-MONTH(E31)+1)/12,1))))))))*TaxRate,0))-IF(5=0,O31,0))</f>
        <v/>
      </c>
      <c r="Y31" s="29">
        <f>IF(A31="","",((K31)*(IF(M31="",L31,IFERROR(IF(INDEX(Variablen!$I:$AT, MATCH(M31, Variablen!$A:$A, 0), MATCH((YEAR(D31)+6), Variablen!$I$3:$AT$3, 0))="",L31,INDEX(Variablen!$I:$AT, MATCH(M31, Variablen!$A:$A, 0), MATCH((YEAR(D31)+6), Variablen!$I$3:$AT$3, 0))),L31)))*(IF((YEAR(D31)+6)&lt;YEAR(E31),0,IF((YEAR(D31)+6)&gt;YEAR(E31),1,(12-MONTH(E31)+1)/12))) + (Q31)*(IF((YEAR(D31)+6)&lt;YEAR(E31),0,IF((YEAR(D31)+6)&gt;YEAR(E31),1,(12-MONTH(E31)+1)/12))))-((P31)*(IF((YEAR(D31)+6)&lt;YEAR(E31),0,IF((YEAR(D31)+6)&gt;YEAR(E31),1,(12-MONTH(E31)+1)/12))) + (R31)*(IF((YEAR(D31)+6)&lt;YEAR(E31),0,IF((YEAR(D31)+6)&gt;YEAR(E31),1,(12-MONTH(E31)+1)/12))))-(IF((((K31)*(IF(M31="",L31,IFERROR(IF(INDEX(Variablen!$I:$AT, MATCH(M31, Variablen!$A:$A, 0), MATCH((YEAR(D31)+6), Variablen!$I$3:$AT$3, 0))="",L31,INDEX(Variablen!$I:$AT, MATCH(M31, Variablen!$A:$A, 0), MATCH((YEAR(D31)+6), Variablen!$I$3:$AT$3, 0))),L31)))*(IF((YEAR(D31)+6)&lt;YEAR(E31),0,IF((YEAR(D31)+6)&gt;YEAR(E31),1,(12-MONTH(E31)+1)/12))) + (Q31)*(IF((YEAR(D31)+6)&lt;YEAR(E31),0,IF((YEAR(D31)+6)&gt;YEAR(E31),1,(12-MONTH(E31)+1)/12))))-((P31)*(IF((YEAR(D31)+6)&lt;YEAR(E31),0,IF((YEAR(D31)+6)&gt;YEAR(E31),1,(12-MONTH(E31)+1)/12))) + (R31)*(IF((YEAR(D31)+6)&lt;YEAR(E31),0,IF((YEAR(D31)+6)&gt;YEAR(E31),1,(12-MONTH(E31)+1)/12))))-(IF(OR(N31="",N31&lt;=0),0,(O31/N31)*(IF(OR(N31="",N31&lt;=0),0,IF((YEAR(D31)+6)&lt;YEAR(E31),0,IF((YEAR(D31)+6)&gt;=YEAR(E31)+N31,0,IF((YEAR(D31)+6)=YEAR(E31),(12-MONTH(E31)+1)/12,1))))))))&gt;0,(((K31)*(IF(M31="",L31,IFERROR(IF(INDEX(Variablen!$I:$AT, MATCH(M31, Variablen!$A:$A, 0), MATCH((YEAR(D31)+6), Variablen!$I$3:$AT$3, 0))="",L31,INDEX(Variablen!$I:$AT, MATCH(M31, Variablen!$A:$A, 0), MATCH((YEAR(D31)+6), Variablen!$I$3:$AT$3, 0))),L31)))*(IF((YEAR(D31)+6)&lt;YEAR(E31),0,IF((YEAR(D31)+6)&gt;YEAR(E31),1,(12-MONTH(E31)+1)/12))) + (Q31)*(IF((YEAR(D31)+6)&lt;YEAR(E31),0,IF((YEAR(D31)+6)&gt;YEAR(E31),1,(12-MONTH(E31)+1)/12))))-((P31)*(IF((YEAR(D31)+6)&lt;YEAR(E31),0,IF((YEAR(D31)+6)&gt;YEAR(E31),1,(12-MONTH(E31)+1)/12))) + (R31)*(IF((YEAR(D31)+6)&lt;YEAR(E31),0,IF((YEAR(D31)+6)&gt;YEAR(E31),1,(12-MONTH(E31)+1)/12))))-(IF(OR(N31="",N31&lt;=0),0,(O31/N31)*(IF(OR(N31="",N31&lt;=0),0,IF((YEAR(D31)+6)&lt;YEAR(E31),0,IF((YEAR(D31)+6)&gt;=YEAR(E31)+N31,0,IF((YEAR(D31)+6)=YEAR(E31),(12-MONTH(E31)+1)/12,1))))))))*TaxRate,0))-IF(6=0,O31,0))</f>
        <v/>
      </c>
      <c r="Z31" s="29">
        <f>IF(A31="","",((K31)*(IF(M31="",L31,IFERROR(IF(INDEX(Variablen!$I:$AT, MATCH(M31, Variablen!$A:$A, 0), MATCH((YEAR(D31)+7), Variablen!$I$3:$AT$3, 0))="",L31,INDEX(Variablen!$I:$AT, MATCH(M31, Variablen!$A:$A, 0), MATCH((YEAR(D31)+7), Variablen!$I$3:$AT$3, 0))),L31)))*(IF((YEAR(D31)+7)&lt;YEAR(E31),0,IF((YEAR(D31)+7)&gt;YEAR(E31),1,(12-MONTH(E31)+1)/12))) + (Q31)*(IF((YEAR(D31)+7)&lt;YEAR(E31),0,IF((YEAR(D31)+7)&gt;YEAR(E31),1,(12-MONTH(E31)+1)/12))))-((P31)*(IF((YEAR(D31)+7)&lt;YEAR(E31),0,IF((YEAR(D31)+7)&gt;YEAR(E31),1,(12-MONTH(E31)+1)/12))) + (R31)*(IF((YEAR(D31)+7)&lt;YEAR(E31),0,IF((YEAR(D31)+7)&gt;YEAR(E31),1,(12-MONTH(E31)+1)/12))))-(IF((((K31)*(IF(M31="",L31,IFERROR(IF(INDEX(Variablen!$I:$AT, MATCH(M31, Variablen!$A:$A, 0), MATCH((YEAR(D31)+7), Variablen!$I$3:$AT$3, 0))="",L31,INDEX(Variablen!$I:$AT, MATCH(M31, Variablen!$A:$A, 0), MATCH((YEAR(D31)+7), Variablen!$I$3:$AT$3, 0))),L31)))*(IF((YEAR(D31)+7)&lt;YEAR(E31),0,IF((YEAR(D31)+7)&gt;YEAR(E31),1,(12-MONTH(E31)+1)/12))) + (Q31)*(IF((YEAR(D31)+7)&lt;YEAR(E31),0,IF((YEAR(D31)+7)&gt;YEAR(E31),1,(12-MONTH(E31)+1)/12))))-((P31)*(IF((YEAR(D31)+7)&lt;YEAR(E31),0,IF((YEAR(D31)+7)&gt;YEAR(E31),1,(12-MONTH(E31)+1)/12))) + (R31)*(IF((YEAR(D31)+7)&lt;YEAR(E31),0,IF((YEAR(D31)+7)&gt;YEAR(E31),1,(12-MONTH(E31)+1)/12))))-(IF(OR(N31="",N31&lt;=0),0,(O31/N31)*(IF(OR(N31="",N31&lt;=0),0,IF((YEAR(D31)+7)&lt;YEAR(E31),0,IF((YEAR(D31)+7)&gt;=YEAR(E31)+N31,0,IF((YEAR(D31)+7)=YEAR(E31),(12-MONTH(E31)+1)/12,1))))))))&gt;0,(((K31)*(IF(M31="",L31,IFERROR(IF(INDEX(Variablen!$I:$AT, MATCH(M31, Variablen!$A:$A, 0), MATCH((YEAR(D31)+7), Variablen!$I$3:$AT$3, 0))="",L31,INDEX(Variablen!$I:$AT, MATCH(M31, Variablen!$A:$A, 0), MATCH((YEAR(D31)+7), Variablen!$I$3:$AT$3, 0))),L31)))*(IF((YEAR(D31)+7)&lt;YEAR(E31),0,IF((YEAR(D31)+7)&gt;YEAR(E31),1,(12-MONTH(E31)+1)/12))) + (Q31)*(IF((YEAR(D31)+7)&lt;YEAR(E31),0,IF((YEAR(D31)+7)&gt;YEAR(E31),1,(12-MONTH(E31)+1)/12))))-((P31)*(IF((YEAR(D31)+7)&lt;YEAR(E31),0,IF((YEAR(D31)+7)&gt;YEAR(E31),1,(12-MONTH(E31)+1)/12))) + (R31)*(IF((YEAR(D31)+7)&lt;YEAR(E31),0,IF((YEAR(D31)+7)&gt;YEAR(E31),1,(12-MONTH(E31)+1)/12))))-(IF(OR(N31="",N31&lt;=0),0,(O31/N31)*(IF(OR(N31="",N31&lt;=0),0,IF((YEAR(D31)+7)&lt;YEAR(E31),0,IF((YEAR(D31)+7)&gt;=YEAR(E31)+N31,0,IF((YEAR(D31)+7)=YEAR(E31),(12-MONTH(E31)+1)/12,1))))))))*TaxRate,0))-IF(7=0,O31,0))</f>
        <v/>
      </c>
      <c r="AA31" s="29">
        <f>IF(A31="","",((K31)*(IF(M31="",L31,IFERROR(IF(INDEX(Variablen!$I:$AT, MATCH(M31, Variablen!$A:$A, 0), MATCH((YEAR(D31)+8), Variablen!$I$3:$AT$3, 0))="",L31,INDEX(Variablen!$I:$AT, MATCH(M31, Variablen!$A:$A, 0), MATCH((YEAR(D31)+8), Variablen!$I$3:$AT$3, 0))),L31)))*(IF((YEAR(D31)+8)&lt;YEAR(E31),0,IF((YEAR(D31)+8)&gt;YEAR(E31),1,(12-MONTH(E31)+1)/12))) + (Q31)*(IF((YEAR(D31)+8)&lt;YEAR(E31),0,IF((YEAR(D31)+8)&gt;YEAR(E31),1,(12-MONTH(E31)+1)/12))))-((P31)*(IF((YEAR(D31)+8)&lt;YEAR(E31),0,IF((YEAR(D31)+8)&gt;YEAR(E31),1,(12-MONTH(E31)+1)/12))) + (R31)*(IF((YEAR(D31)+8)&lt;YEAR(E31),0,IF((YEAR(D31)+8)&gt;YEAR(E31),1,(12-MONTH(E31)+1)/12))))-(IF((((K31)*(IF(M31="",L31,IFERROR(IF(INDEX(Variablen!$I:$AT, MATCH(M31, Variablen!$A:$A, 0), MATCH((YEAR(D31)+8), Variablen!$I$3:$AT$3, 0))="",L31,INDEX(Variablen!$I:$AT, MATCH(M31, Variablen!$A:$A, 0), MATCH((YEAR(D31)+8), Variablen!$I$3:$AT$3, 0))),L31)))*(IF((YEAR(D31)+8)&lt;YEAR(E31),0,IF((YEAR(D31)+8)&gt;YEAR(E31),1,(12-MONTH(E31)+1)/12))) + (Q31)*(IF((YEAR(D31)+8)&lt;YEAR(E31),0,IF((YEAR(D31)+8)&gt;YEAR(E31),1,(12-MONTH(E31)+1)/12))))-((P31)*(IF((YEAR(D31)+8)&lt;YEAR(E31),0,IF((YEAR(D31)+8)&gt;YEAR(E31),1,(12-MONTH(E31)+1)/12))) + (R31)*(IF((YEAR(D31)+8)&lt;YEAR(E31),0,IF((YEAR(D31)+8)&gt;YEAR(E31),1,(12-MONTH(E31)+1)/12))))-(IF(OR(N31="",N31&lt;=0),0,(O31/N31)*(IF(OR(N31="",N31&lt;=0),0,IF((YEAR(D31)+8)&lt;YEAR(E31),0,IF((YEAR(D31)+8)&gt;=YEAR(E31)+N31,0,IF((YEAR(D31)+8)=YEAR(E31),(12-MONTH(E31)+1)/12,1))))))))&gt;0,(((K31)*(IF(M31="",L31,IFERROR(IF(INDEX(Variablen!$I:$AT, MATCH(M31, Variablen!$A:$A, 0), MATCH((YEAR(D31)+8), Variablen!$I$3:$AT$3, 0))="",L31,INDEX(Variablen!$I:$AT, MATCH(M31, Variablen!$A:$A, 0), MATCH((YEAR(D31)+8), Variablen!$I$3:$AT$3, 0))),L31)))*(IF((YEAR(D31)+8)&lt;YEAR(E31),0,IF((YEAR(D31)+8)&gt;YEAR(E31),1,(12-MONTH(E31)+1)/12))) + (Q31)*(IF((YEAR(D31)+8)&lt;YEAR(E31),0,IF((YEAR(D31)+8)&gt;YEAR(E31),1,(12-MONTH(E31)+1)/12))))-((P31)*(IF((YEAR(D31)+8)&lt;YEAR(E31),0,IF((YEAR(D31)+8)&gt;YEAR(E31),1,(12-MONTH(E31)+1)/12))) + (R31)*(IF((YEAR(D31)+8)&lt;YEAR(E31),0,IF((YEAR(D31)+8)&gt;YEAR(E31),1,(12-MONTH(E31)+1)/12))))-(IF(OR(N31="",N31&lt;=0),0,(O31/N31)*(IF(OR(N31="",N31&lt;=0),0,IF((YEAR(D31)+8)&lt;YEAR(E31),0,IF((YEAR(D31)+8)&gt;=YEAR(E31)+N31,0,IF((YEAR(D31)+8)=YEAR(E31),(12-MONTH(E31)+1)/12,1))))))))*TaxRate,0))-IF(8=0,O31,0))</f>
        <v/>
      </c>
      <c r="AB31" s="29">
        <f>IF(A31="","",((K31)*(IF(M31="",L31,IFERROR(IF(INDEX(Variablen!$I:$AT, MATCH(M31, Variablen!$A:$A, 0), MATCH((YEAR(D31)+9), Variablen!$I$3:$AT$3, 0))="",L31,INDEX(Variablen!$I:$AT, MATCH(M31, Variablen!$A:$A, 0), MATCH((YEAR(D31)+9), Variablen!$I$3:$AT$3, 0))),L31)))*(IF((YEAR(D31)+9)&lt;YEAR(E31),0,IF((YEAR(D31)+9)&gt;YEAR(E31),1,(12-MONTH(E31)+1)/12))) + (Q31)*(IF((YEAR(D31)+9)&lt;YEAR(E31),0,IF((YEAR(D31)+9)&gt;YEAR(E31),1,(12-MONTH(E31)+1)/12))))-((P31)*(IF((YEAR(D31)+9)&lt;YEAR(E31),0,IF((YEAR(D31)+9)&gt;YEAR(E31),1,(12-MONTH(E31)+1)/12))) + (R31)*(IF((YEAR(D31)+9)&lt;YEAR(E31),0,IF((YEAR(D31)+9)&gt;YEAR(E31),1,(12-MONTH(E31)+1)/12))))-(IF((((K31)*(IF(M31="",L31,IFERROR(IF(INDEX(Variablen!$I:$AT, MATCH(M31, Variablen!$A:$A, 0), MATCH((YEAR(D31)+9), Variablen!$I$3:$AT$3, 0))="",L31,INDEX(Variablen!$I:$AT, MATCH(M31, Variablen!$A:$A, 0), MATCH((YEAR(D31)+9), Variablen!$I$3:$AT$3, 0))),L31)))*(IF((YEAR(D31)+9)&lt;YEAR(E31),0,IF((YEAR(D31)+9)&gt;YEAR(E31),1,(12-MONTH(E31)+1)/12))) + (Q31)*(IF((YEAR(D31)+9)&lt;YEAR(E31),0,IF((YEAR(D31)+9)&gt;YEAR(E31),1,(12-MONTH(E31)+1)/12))))-((P31)*(IF((YEAR(D31)+9)&lt;YEAR(E31),0,IF((YEAR(D31)+9)&gt;YEAR(E31),1,(12-MONTH(E31)+1)/12))) + (R31)*(IF((YEAR(D31)+9)&lt;YEAR(E31),0,IF((YEAR(D31)+9)&gt;YEAR(E31),1,(12-MONTH(E31)+1)/12))))-(IF(OR(N31="",N31&lt;=0),0,(O31/N31)*(IF(OR(N31="",N31&lt;=0),0,IF((YEAR(D31)+9)&lt;YEAR(E31),0,IF((YEAR(D31)+9)&gt;=YEAR(E31)+N31,0,IF((YEAR(D31)+9)=YEAR(E31),(12-MONTH(E31)+1)/12,1))))))))&gt;0,(((K31)*(IF(M31="",L31,IFERROR(IF(INDEX(Variablen!$I:$AT, MATCH(M31, Variablen!$A:$A, 0), MATCH((YEAR(D31)+9), Variablen!$I$3:$AT$3, 0))="",L31,INDEX(Variablen!$I:$AT, MATCH(M31, Variablen!$A:$A, 0), MATCH((YEAR(D31)+9), Variablen!$I$3:$AT$3, 0))),L31)))*(IF((YEAR(D31)+9)&lt;YEAR(E31),0,IF((YEAR(D31)+9)&gt;YEAR(E31),1,(12-MONTH(E31)+1)/12))) + (Q31)*(IF((YEAR(D31)+9)&lt;YEAR(E31),0,IF((YEAR(D31)+9)&gt;YEAR(E31),1,(12-MONTH(E31)+1)/12))))-((P31)*(IF((YEAR(D31)+9)&lt;YEAR(E31),0,IF((YEAR(D31)+9)&gt;YEAR(E31),1,(12-MONTH(E31)+1)/12))) + (R31)*(IF((YEAR(D31)+9)&lt;YEAR(E31),0,IF((YEAR(D31)+9)&gt;YEAR(E31),1,(12-MONTH(E31)+1)/12))))-(IF(OR(N31="",N31&lt;=0),0,(O31/N31)*(IF(OR(N31="",N31&lt;=0),0,IF((YEAR(D31)+9)&lt;YEAR(E31),0,IF((YEAR(D31)+9)&gt;=YEAR(E31)+N31,0,IF((YEAR(D31)+9)=YEAR(E31),(12-MONTH(E31)+1)/12,1))))))))*TaxRate,0))-IF(9=0,O31,0))</f>
        <v/>
      </c>
      <c r="AC31" s="29">
        <f>IF(A31="","",((K31)*(IF(M31="",L31,IFERROR(IF(INDEX(Variablen!$I:$AT, MATCH(M31, Variablen!$A:$A, 0), MATCH((YEAR(D31)+10), Variablen!$I$3:$AT$3, 0))="",L31,INDEX(Variablen!$I:$AT, MATCH(M31, Variablen!$A:$A, 0), MATCH((YEAR(D31)+10), Variablen!$I$3:$AT$3, 0))),L31)))*(IF((YEAR(D31)+10)&lt;YEAR(E31),0,IF((YEAR(D31)+10)&gt;YEAR(E31),1,(12-MONTH(E31)+1)/12))) + (Q31)*(IF((YEAR(D31)+10)&lt;YEAR(E31),0,IF((YEAR(D31)+10)&gt;YEAR(E31),1,(12-MONTH(E31)+1)/12))))-((P31)*(IF((YEAR(D31)+10)&lt;YEAR(E31),0,IF((YEAR(D31)+10)&gt;YEAR(E31),1,(12-MONTH(E31)+1)/12))) + (R31)*(IF((YEAR(D31)+10)&lt;YEAR(E31),0,IF((YEAR(D31)+10)&gt;YEAR(E31),1,(12-MONTH(E31)+1)/12))))-(IF((((K31)*(IF(M31="",L31,IFERROR(IF(INDEX(Variablen!$I:$AT, MATCH(M31, Variablen!$A:$A, 0), MATCH((YEAR(D31)+10), Variablen!$I$3:$AT$3, 0))="",L31,INDEX(Variablen!$I:$AT, MATCH(M31, Variablen!$A:$A, 0), MATCH((YEAR(D31)+10), Variablen!$I$3:$AT$3, 0))),L31)))*(IF((YEAR(D31)+10)&lt;YEAR(E31),0,IF((YEAR(D31)+10)&gt;YEAR(E31),1,(12-MONTH(E31)+1)/12))) + (Q31)*(IF((YEAR(D31)+10)&lt;YEAR(E31),0,IF((YEAR(D31)+10)&gt;YEAR(E31),1,(12-MONTH(E31)+1)/12))))-((P31)*(IF((YEAR(D31)+10)&lt;YEAR(E31),0,IF((YEAR(D31)+10)&gt;YEAR(E31),1,(12-MONTH(E31)+1)/12))) + (R31)*(IF((YEAR(D31)+10)&lt;YEAR(E31),0,IF((YEAR(D31)+10)&gt;YEAR(E31),1,(12-MONTH(E31)+1)/12))))-(IF(OR(N31="",N31&lt;=0),0,(O31/N31)*(IF(OR(N31="",N31&lt;=0),0,IF((YEAR(D31)+10)&lt;YEAR(E31),0,IF((YEAR(D31)+10)&gt;=YEAR(E31)+N31,0,IF((YEAR(D31)+10)=YEAR(E31),(12-MONTH(E31)+1)/12,1))))))))&gt;0,(((K31)*(IF(M31="",L31,IFERROR(IF(INDEX(Variablen!$I:$AT, MATCH(M31, Variablen!$A:$A, 0), MATCH((YEAR(D31)+10), Variablen!$I$3:$AT$3, 0))="",L31,INDEX(Variablen!$I:$AT, MATCH(M31, Variablen!$A:$A, 0), MATCH((YEAR(D31)+10), Variablen!$I$3:$AT$3, 0))),L31)))*(IF((YEAR(D31)+10)&lt;YEAR(E31),0,IF((YEAR(D31)+10)&gt;YEAR(E31),1,(12-MONTH(E31)+1)/12))) + (Q31)*(IF((YEAR(D31)+10)&lt;YEAR(E31),0,IF((YEAR(D31)+10)&gt;YEAR(E31),1,(12-MONTH(E31)+1)/12))))-((P31)*(IF((YEAR(D31)+10)&lt;YEAR(E31),0,IF((YEAR(D31)+10)&gt;YEAR(E31),1,(12-MONTH(E31)+1)/12))) + (R31)*(IF((YEAR(D31)+10)&lt;YEAR(E31),0,IF((YEAR(D31)+10)&gt;YEAR(E31),1,(12-MONTH(E31)+1)/12))))-(IF(OR(N31="",N31&lt;=0),0,(O31/N31)*(IF(OR(N31="",N31&lt;=0),0,IF((YEAR(D31)+10)&lt;YEAR(E31),0,IF((YEAR(D31)+10)&gt;=YEAR(E31)+N31,0,IF((YEAR(D31)+10)=YEAR(E31),(12-MONTH(E31)+1)/12,1))))))))*TaxRate,0))-IF(10=0,O31,0))</f>
        <v/>
      </c>
      <c r="AD31" s="29">
        <f>IF(A31="","",((K31)*(IF(M31="",L31,IFERROR(IF(INDEX(Variablen!$I:$AT, MATCH(M31, Variablen!$A:$A, 0), MATCH((YEAR(D31)+11), Variablen!$I$3:$AT$3, 0))="",L31,INDEX(Variablen!$I:$AT, MATCH(M31, Variablen!$A:$A, 0), MATCH((YEAR(D31)+11), Variablen!$I$3:$AT$3, 0))),L31)))*(IF((YEAR(D31)+11)&lt;YEAR(E31),0,IF((YEAR(D31)+11)&gt;YEAR(E31),1,(12-MONTH(E31)+1)/12))) + (Q31)*(IF((YEAR(D31)+11)&lt;YEAR(E31),0,IF((YEAR(D31)+11)&gt;YEAR(E31),1,(12-MONTH(E31)+1)/12))))-((P31)*(IF((YEAR(D31)+11)&lt;YEAR(E31),0,IF((YEAR(D31)+11)&gt;YEAR(E31),1,(12-MONTH(E31)+1)/12))) + (R31)*(IF((YEAR(D31)+11)&lt;YEAR(E31),0,IF((YEAR(D31)+11)&gt;YEAR(E31),1,(12-MONTH(E31)+1)/12))))-(IF((((K31)*(IF(M31="",L31,IFERROR(IF(INDEX(Variablen!$I:$AT, MATCH(M31, Variablen!$A:$A, 0), MATCH((YEAR(D31)+11), Variablen!$I$3:$AT$3, 0))="",L31,INDEX(Variablen!$I:$AT, MATCH(M31, Variablen!$A:$A, 0), MATCH((YEAR(D31)+11), Variablen!$I$3:$AT$3, 0))),L31)))*(IF((YEAR(D31)+11)&lt;YEAR(E31),0,IF((YEAR(D31)+11)&gt;YEAR(E31),1,(12-MONTH(E31)+1)/12))) + (Q31)*(IF((YEAR(D31)+11)&lt;YEAR(E31),0,IF((YEAR(D31)+11)&gt;YEAR(E31),1,(12-MONTH(E31)+1)/12))))-((P31)*(IF((YEAR(D31)+11)&lt;YEAR(E31),0,IF((YEAR(D31)+11)&gt;YEAR(E31),1,(12-MONTH(E31)+1)/12))) + (R31)*(IF((YEAR(D31)+11)&lt;YEAR(E31),0,IF((YEAR(D31)+11)&gt;YEAR(E31),1,(12-MONTH(E31)+1)/12))))-(IF(OR(N31="",N31&lt;=0),0,(O31/N31)*(IF(OR(N31="",N31&lt;=0),0,IF((YEAR(D31)+11)&lt;YEAR(E31),0,IF((YEAR(D31)+11)&gt;=YEAR(E31)+N31,0,IF((YEAR(D31)+11)=YEAR(E31),(12-MONTH(E31)+1)/12,1))))))))&gt;0,(((K31)*(IF(M31="",L31,IFERROR(IF(INDEX(Variablen!$I:$AT, MATCH(M31, Variablen!$A:$A, 0), MATCH((YEAR(D31)+11), Variablen!$I$3:$AT$3, 0))="",L31,INDEX(Variablen!$I:$AT, MATCH(M31, Variablen!$A:$A, 0), MATCH((YEAR(D31)+11), Variablen!$I$3:$AT$3, 0))),L31)))*(IF((YEAR(D31)+11)&lt;YEAR(E31),0,IF((YEAR(D31)+11)&gt;YEAR(E31),1,(12-MONTH(E31)+1)/12))) + (Q31)*(IF((YEAR(D31)+11)&lt;YEAR(E31),0,IF((YEAR(D31)+11)&gt;YEAR(E31),1,(12-MONTH(E31)+1)/12))))-((P31)*(IF((YEAR(D31)+11)&lt;YEAR(E31),0,IF((YEAR(D31)+11)&gt;YEAR(E31),1,(12-MONTH(E31)+1)/12))) + (R31)*(IF((YEAR(D31)+11)&lt;YEAR(E31),0,IF((YEAR(D31)+11)&gt;YEAR(E31),1,(12-MONTH(E31)+1)/12))))-(IF(OR(N31="",N31&lt;=0),0,(O31/N31)*(IF(OR(N31="",N31&lt;=0),0,IF((YEAR(D31)+11)&lt;YEAR(E31),0,IF((YEAR(D31)+11)&gt;=YEAR(E31)+N31,0,IF((YEAR(D31)+11)=YEAR(E31),(12-MONTH(E31)+1)/12,1))))))))*TaxRate,0))-IF(11=0,O31,0))</f>
        <v/>
      </c>
      <c r="AE31" s="29">
        <f>IF(A31="","",((K31)*(IF(M31="",L31,IFERROR(IF(INDEX(Variablen!$I:$AT, MATCH(M31, Variablen!$A:$A, 0), MATCH((YEAR(D31)+12), Variablen!$I$3:$AT$3, 0))="",L31,INDEX(Variablen!$I:$AT, MATCH(M31, Variablen!$A:$A, 0), MATCH((YEAR(D31)+12), Variablen!$I$3:$AT$3, 0))),L31)))*(IF((YEAR(D31)+12)&lt;YEAR(E31),0,IF((YEAR(D31)+12)&gt;YEAR(E31),1,(12-MONTH(E31)+1)/12))) + (Q31)*(IF((YEAR(D31)+12)&lt;YEAR(E31),0,IF((YEAR(D31)+12)&gt;YEAR(E31),1,(12-MONTH(E31)+1)/12))))-((P31)*(IF((YEAR(D31)+12)&lt;YEAR(E31),0,IF((YEAR(D31)+12)&gt;YEAR(E31),1,(12-MONTH(E31)+1)/12))) + (R31)*(IF((YEAR(D31)+12)&lt;YEAR(E31),0,IF((YEAR(D31)+12)&gt;YEAR(E31),1,(12-MONTH(E31)+1)/12))))-(IF((((K31)*(IF(M31="",L31,IFERROR(IF(INDEX(Variablen!$I:$AT, MATCH(M31, Variablen!$A:$A, 0), MATCH((YEAR(D31)+12), Variablen!$I$3:$AT$3, 0))="",L31,INDEX(Variablen!$I:$AT, MATCH(M31, Variablen!$A:$A, 0), MATCH((YEAR(D31)+12), Variablen!$I$3:$AT$3, 0))),L31)))*(IF((YEAR(D31)+12)&lt;YEAR(E31),0,IF((YEAR(D31)+12)&gt;YEAR(E31),1,(12-MONTH(E31)+1)/12))) + (Q31)*(IF((YEAR(D31)+12)&lt;YEAR(E31),0,IF((YEAR(D31)+12)&gt;YEAR(E31),1,(12-MONTH(E31)+1)/12))))-((P31)*(IF((YEAR(D31)+12)&lt;YEAR(E31),0,IF((YEAR(D31)+12)&gt;YEAR(E31),1,(12-MONTH(E31)+1)/12))) + (R31)*(IF((YEAR(D31)+12)&lt;YEAR(E31),0,IF((YEAR(D31)+12)&gt;YEAR(E31),1,(12-MONTH(E31)+1)/12))))-(IF(OR(N31="",N31&lt;=0),0,(O31/N31)*(IF(OR(N31="",N31&lt;=0),0,IF((YEAR(D31)+12)&lt;YEAR(E31),0,IF((YEAR(D31)+12)&gt;=YEAR(E31)+N31,0,IF((YEAR(D31)+12)=YEAR(E31),(12-MONTH(E31)+1)/12,1))))))))&gt;0,(((K31)*(IF(M31="",L31,IFERROR(IF(INDEX(Variablen!$I:$AT, MATCH(M31, Variablen!$A:$A, 0), MATCH((YEAR(D31)+12), Variablen!$I$3:$AT$3, 0))="",L31,INDEX(Variablen!$I:$AT, MATCH(M31, Variablen!$A:$A, 0), MATCH((YEAR(D31)+12), Variablen!$I$3:$AT$3, 0))),L31)))*(IF((YEAR(D31)+12)&lt;YEAR(E31),0,IF((YEAR(D31)+12)&gt;YEAR(E31),1,(12-MONTH(E31)+1)/12))) + (Q31)*(IF((YEAR(D31)+12)&lt;YEAR(E31),0,IF((YEAR(D31)+12)&gt;YEAR(E31),1,(12-MONTH(E31)+1)/12))))-((P31)*(IF((YEAR(D31)+12)&lt;YEAR(E31),0,IF((YEAR(D31)+12)&gt;YEAR(E31),1,(12-MONTH(E31)+1)/12))) + (R31)*(IF((YEAR(D31)+12)&lt;YEAR(E31),0,IF((YEAR(D31)+12)&gt;YEAR(E31),1,(12-MONTH(E31)+1)/12))))-(IF(OR(N31="",N31&lt;=0),0,(O31/N31)*(IF(OR(N31="",N31&lt;=0),0,IF((YEAR(D31)+12)&lt;YEAR(E31),0,IF((YEAR(D31)+12)&gt;=YEAR(E31)+N31,0,IF((YEAR(D31)+12)=YEAR(E31),(12-MONTH(E31)+1)/12,1))))))))*TaxRate,0))-IF(12=0,O31,0))</f>
        <v/>
      </c>
      <c r="AF31" s="29">
        <f>IF(A31="","",((K31)*(IF(M31="",L31,IFERROR(IF(INDEX(Variablen!$I:$AT, MATCH(M31, Variablen!$A:$A, 0), MATCH((YEAR(D31)+13), Variablen!$I$3:$AT$3, 0))="",L31,INDEX(Variablen!$I:$AT, MATCH(M31, Variablen!$A:$A, 0), MATCH((YEAR(D31)+13), Variablen!$I$3:$AT$3, 0))),L31)))*(IF((YEAR(D31)+13)&lt;YEAR(E31),0,IF((YEAR(D31)+13)&gt;YEAR(E31),1,(12-MONTH(E31)+1)/12))) + (Q31)*(IF((YEAR(D31)+13)&lt;YEAR(E31),0,IF((YEAR(D31)+13)&gt;YEAR(E31),1,(12-MONTH(E31)+1)/12))))-((P31)*(IF((YEAR(D31)+13)&lt;YEAR(E31),0,IF((YEAR(D31)+13)&gt;YEAR(E31),1,(12-MONTH(E31)+1)/12))) + (R31)*(IF((YEAR(D31)+13)&lt;YEAR(E31),0,IF((YEAR(D31)+13)&gt;YEAR(E31),1,(12-MONTH(E31)+1)/12))))-(IF((((K31)*(IF(M31="",L31,IFERROR(IF(INDEX(Variablen!$I:$AT, MATCH(M31, Variablen!$A:$A, 0), MATCH((YEAR(D31)+13), Variablen!$I$3:$AT$3, 0))="",L31,INDEX(Variablen!$I:$AT, MATCH(M31, Variablen!$A:$A, 0), MATCH((YEAR(D31)+13), Variablen!$I$3:$AT$3, 0))),L31)))*(IF((YEAR(D31)+13)&lt;YEAR(E31),0,IF((YEAR(D31)+13)&gt;YEAR(E31),1,(12-MONTH(E31)+1)/12))) + (Q31)*(IF((YEAR(D31)+13)&lt;YEAR(E31),0,IF((YEAR(D31)+13)&gt;YEAR(E31),1,(12-MONTH(E31)+1)/12))))-((P31)*(IF((YEAR(D31)+13)&lt;YEAR(E31),0,IF((YEAR(D31)+13)&gt;YEAR(E31),1,(12-MONTH(E31)+1)/12))) + (R31)*(IF((YEAR(D31)+13)&lt;YEAR(E31),0,IF((YEAR(D31)+13)&gt;YEAR(E31),1,(12-MONTH(E31)+1)/12))))-(IF(OR(N31="",N31&lt;=0),0,(O31/N31)*(IF(OR(N31="",N31&lt;=0),0,IF((YEAR(D31)+13)&lt;YEAR(E31),0,IF((YEAR(D31)+13)&gt;=YEAR(E31)+N31,0,IF((YEAR(D31)+13)=YEAR(E31),(12-MONTH(E31)+1)/12,1))))))))&gt;0,(((K31)*(IF(M31="",L31,IFERROR(IF(INDEX(Variablen!$I:$AT, MATCH(M31, Variablen!$A:$A, 0), MATCH((YEAR(D31)+13), Variablen!$I$3:$AT$3, 0))="",L31,INDEX(Variablen!$I:$AT, MATCH(M31, Variablen!$A:$A, 0), MATCH((YEAR(D31)+13), Variablen!$I$3:$AT$3, 0))),L31)))*(IF((YEAR(D31)+13)&lt;YEAR(E31),0,IF((YEAR(D31)+13)&gt;YEAR(E31),1,(12-MONTH(E31)+1)/12))) + (Q31)*(IF((YEAR(D31)+13)&lt;YEAR(E31),0,IF((YEAR(D31)+13)&gt;YEAR(E31),1,(12-MONTH(E31)+1)/12))))-((P31)*(IF((YEAR(D31)+13)&lt;YEAR(E31),0,IF((YEAR(D31)+13)&gt;YEAR(E31),1,(12-MONTH(E31)+1)/12))) + (R31)*(IF((YEAR(D31)+13)&lt;YEAR(E31),0,IF((YEAR(D31)+13)&gt;YEAR(E31),1,(12-MONTH(E31)+1)/12))))-(IF(OR(N31="",N31&lt;=0),0,(O31/N31)*(IF(OR(N31="",N31&lt;=0),0,IF((YEAR(D31)+13)&lt;YEAR(E31),0,IF((YEAR(D31)+13)&gt;=YEAR(E31)+N31,0,IF((YEAR(D31)+13)=YEAR(E31),(12-MONTH(E31)+1)/12,1))))))))*TaxRate,0))-IF(13=0,O31,0))</f>
        <v/>
      </c>
      <c r="AG31" s="29">
        <f>IF(A31="","",((K31)*(IF(M31="",L31,IFERROR(IF(INDEX(Variablen!$I:$AT, MATCH(M31, Variablen!$A:$A, 0), MATCH((YEAR(D31)+14), Variablen!$I$3:$AT$3, 0))="",L31,INDEX(Variablen!$I:$AT, MATCH(M31, Variablen!$A:$A, 0), MATCH((YEAR(D31)+14), Variablen!$I$3:$AT$3, 0))),L31)))*(IF((YEAR(D31)+14)&lt;YEAR(E31),0,IF((YEAR(D31)+14)&gt;YEAR(E31),1,(12-MONTH(E31)+1)/12))) + (Q31)*(IF((YEAR(D31)+14)&lt;YEAR(E31),0,IF((YEAR(D31)+14)&gt;YEAR(E31),1,(12-MONTH(E31)+1)/12))))-((P31)*(IF((YEAR(D31)+14)&lt;YEAR(E31),0,IF((YEAR(D31)+14)&gt;YEAR(E31),1,(12-MONTH(E31)+1)/12))) + (R31)*(IF((YEAR(D31)+14)&lt;YEAR(E31),0,IF((YEAR(D31)+14)&gt;YEAR(E31),1,(12-MONTH(E31)+1)/12))))-(IF((((K31)*(IF(M31="",L31,IFERROR(IF(INDEX(Variablen!$I:$AT, MATCH(M31, Variablen!$A:$A, 0), MATCH((YEAR(D31)+14), Variablen!$I$3:$AT$3, 0))="",L31,INDEX(Variablen!$I:$AT, MATCH(M31, Variablen!$A:$A, 0), MATCH((YEAR(D31)+14), Variablen!$I$3:$AT$3, 0))),L31)))*(IF((YEAR(D31)+14)&lt;YEAR(E31),0,IF((YEAR(D31)+14)&gt;YEAR(E31),1,(12-MONTH(E31)+1)/12))) + (Q31)*(IF((YEAR(D31)+14)&lt;YEAR(E31),0,IF((YEAR(D31)+14)&gt;YEAR(E31),1,(12-MONTH(E31)+1)/12))))-((P31)*(IF((YEAR(D31)+14)&lt;YEAR(E31),0,IF((YEAR(D31)+14)&gt;YEAR(E31),1,(12-MONTH(E31)+1)/12))) + (R31)*(IF((YEAR(D31)+14)&lt;YEAR(E31),0,IF((YEAR(D31)+14)&gt;YEAR(E31),1,(12-MONTH(E31)+1)/12))))-(IF(OR(N31="",N31&lt;=0),0,(O31/N31)*(IF(OR(N31="",N31&lt;=0),0,IF((YEAR(D31)+14)&lt;YEAR(E31),0,IF((YEAR(D31)+14)&gt;=YEAR(E31)+N31,0,IF((YEAR(D31)+14)=YEAR(E31),(12-MONTH(E31)+1)/12,1))))))))&gt;0,(((K31)*(IF(M31="",L31,IFERROR(IF(INDEX(Variablen!$I:$AT, MATCH(M31, Variablen!$A:$A, 0), MATCH((YEAR(D31)+14), Variablen!$I$3:$AT$3, 0))="",L31,INDEX(Variablen!$I:$AT, MATCH(M31, Variablen!$A:$A, 0), MATCH((YEAR(D31)+14), Variablen!$I$3:$AT$3, 0))),L31)))*(IF((YEAR(D31)+14)&lt;YEAR(E31),0,IF((YEAR(D31)+14)&gt;YEAR(E31),1,(12-MONTH(E31)+1)/12))) + (Q31)*(IF((YEAR(D31)+14)&lt;YEAR(E31),0,IF((YEAR(D31)+14)&gt;YEAR(E31),1,(12-MONTH(E31)+1)/12))))-((P31)*(IF((YEAR(D31)+14)&lt;YEAR(E31),0,IF((YEAR(D31)+14)&gt;YEAR(E31),1,(12-MONTH(E31)+1)/12))) + (R31)*(IF((YEAR(D31)+14)&lt;YEAR(E31),0,IF((YEAR(D31)+14)&gt;YEAR(E31),1,(12-MONTH(E31)+1)/12))))-(IF(OR(N31="",N31&lt;=0),0,(O31/N31)*(IF(OR(N31="",N31&lt;=0),0,IF((YEAR(D31)+14)&lt;YEAR(E31),0,IF((YEAR(D31)+14)&gt;=YEAR(E31)+N31,0,IF((YEAR(D31)+14)=YEAR(E31),(12-MONTH(E31)+1)/12,1))))))))*TaxRate,0))-IF(14=0,O31,0))</f>
        <v/>
      </c>
      <c r="AH31" s="29">
        <f>IF(A31="","",((K31)*(IF(M31="",L31,IFERROR(IF(INDEX(Variablen!$I:$AT, MATCH(M31, Variablen!$A:$A, 0), MATCH((YEAR(D31)+15), Variablen!$I$3:$AT$3, 0))="",L31,INDEX(Variablen!$I:$AT, MATCH(M31, Variablen!$A:$A, 0), MATCH((YEAR(D31)+15), Variablen!$I$3:$AT$3, 0))),L31)))*(IF((YEAR(D31)+15)&lt;YEAR(E31),0,IF((YEAR(D31)+15)&gt;YEAR(E31),1,(12-MONTH(E31)+1)/12))) + (Q31)*(IF((YEAR(D31)+15)&lt;YEAR(E31),0,IF((YEAR(D31)+15)&gt;YEAR(E31),1,(12-MONTH(E31)+1)/12))))-((P31)*(IF((YEAR(D31)+15)&lt;YEAR(E31),0,IF((YEAR(D31)+15)&gt;YEAR(E31),1,(12-MONTH(E31)+1)/12))) + (R31)*(IF((YEAR(D31)+15)&lt;YEAR(E31),0,IF((YEAR(D31)+15)&gt;YEAR(E31),1,(12-MONTH(E31)+1)/12))))-(IF((((K31)*(IF(M31="",L31,IFERROR(IF(INDEX(Variablen!$I:$AT, MATCH(M31, Variablen!$A:$A, 0), MATCH((YEAR(D31)+15), Variablen!$I$3:$AT$3, 0))="",L31,INDEX(Variablen!$I:$AT, MATCH(M31, Variablen!$A:$A, 0), MATCH((YEAR(D31)+15), Variablen!$I$3:$AT$3, 0))),L31)))*(IF((YEAR(D31)+15)&lt;YEAR(E31),0,IF((YEAR(D31)+15)&gt;YEAR(E31),1,(12-MONTH(E31)+1)/12))) + (Q31)*(IF((YEAR(D31)+15)&lt;YEAR(E31),0,IF((YEAR(D31)+15)&gt;YEAR(E31),1,(12-MONTH(E31)+1)/12))))-((P31)*(IF((YEAR(D31)+15)&lt;YEAR(E31),0,IF((YEAR(D31)+15)&gt;YEAR(E31),1,(12-MONTH(E31)+1)/12))) + (R31)*(IF((YEAR(D31)+15)&lt;YEAR(E31),0,IF((YEAR(D31)+15)&gt;YEAR(E31),1,(12-MONTH(E31)+1)/12))))-(IF(OR(N31="",N31&lt;=0),0,(O31/N31)*(IF(OR(N31="",N31&lt;=0),0,IF((YEAR(D31)+15)&lt;YEAR(E31),0,IF((YEAR(D31)+15)&gt;=YEAR(E31)+N31,0,IF((YEAR(D31)+15)=YEAR(E31),(12-MONTH(E31)+1)/12,1))))))))&gt;0,(((K31)*(IF(M31="",L31,IFERROR(IF(INDEX(Variablen!$I:$AT, MATCH(M31, Variablen!$A:$A, 0), MATCH((YEAR(D31)+15), Variablen!$I$3:$AT$3, 0))="",L31,INDEX(Variablen!$I:$AT, MATCH(M31, Variablen!$A:$A, 0), MATCH((YEAR(D31)+15), Variablen!$I$3:$AT$3, 0))),L31)))*(IF((YEAR(D31)+15)&lt;YEAR(E31),0,IF((YEAR(D31)+15)&gt;YEAR(E31),1,(12-MONTH(E31)+1)/12))) + (Q31)*(IF((YEAR(D31)+15)&lt;YEAR(E31),0,IF((YEAR(D31)+15)&gt;YEAR(E31),1,(12-MONTH(E31)+1)/12))))-((P31)*(IF((YEAR(D31)+15)&lt;YEAR(E31),0,IF((YEAR(D31)+15)&gt;YEAR(E31),1,(12-MONTH(E31)+1)/12))) + (R31)*(IF((YEAR(D31)+15)&lt;YEAR(E31),0,IF((YEAR(D31)+15)&gt;YEAR(E31),1,(12-MONTH(E31)+1)/12))))-(IF(OR(N31="",N31&lt;=0),0,(O31/N31)*(IF(OR(N31="",N31&lt;=0),0,IF((YEAR(D31)+15)&lt;YEAR(E31),0,IF((YEAR(D31)+15)&gt;=YEAR(E31)+N31,0,IF((YEAR(D31)+15)=YEAR(E31),(12-MONTH(E31)+1)/12,1))))))))*TaxRate,0))-IF(15=0,O31,0))</f>
        <v/>
      </c>
      <c r="AI31" s="29">
        <f>IF(A31="","",((K31)*(IF(M31="",L31,IFERROR(IF(INDEX(Variablen!$I:$AT, MATCH(M31, Variablen!$A:$A, 0), MATCH((YEAR(D31)+16), Variablen!$I$3:$AT$3, 0))="",L31,INDEX(Variablen!$I:$AT, MATCH(M31, Variablen!$A:$A, 0), MATCH((YEAR(D31)+16), Variablen!$I$3:$AT$3, 0))),L31)))*(IF((YEAR(D31)+16)&lt;YEAR(E31),0,IF((YEAR(D31)+16)&gt;YEAR(E31),1,(12-MONTH(E31)+1)/12))) + (Q31)*(IF((YEAR(D31)+16)&lt;YEAR(E31),0,IF((YEAR(D31)+16)&gt;YEAR(E31),1,(12-MONTH(E31)+1)/12))))-((P31)*(IF((YEAR(D31)+16)&lt;YEAR(E31),0,IF((YEAR(D31)+16)&gt;YEAR(E31),1,(12-MONTH(E31)+1)/12))) + (R31)*(IF((YEAR(D31)+16)&lt;YEAR(E31),0,IF((YEAR(D31)+16)&gt;YEAR(E31),1,(12-MONTH(E31)+1)/12))))-(IF((((K31)*(IF(M31="",L31,IFERROR(IF(INDEX(Variablen!$I:$AT, MATCH(M31, Variablen!$A:$A, 0), MATCH((YEAR(D31)+16), Variablen!$I$3:$AT$3, 0))="",L31,INDEX(Variablen!$I:$AT, MATCH(M31, Variablen!$A:$A, 0), MATCH((YEAR(D31)+16), Variablen!$I$3:$AT$3, 0))),L31)))*(IF((YEAR(D31)+16)&lt;YEAR(E31),0,IF((YEAR(D31)+16)&gt;YEAR(E31),1,(12-MONTH(E31)+1)/12))) + (Q31)*(IF((YEAR(D31)+16)&lt;YEAR(E31),0,IF((YEAR(D31)+16)&gt;YEAR(E31),1,(12-MONTH(E31)+1)/12))))-((P31)*(IF((YEAR(D31)+16)&lt;YEAR(E31),0,IF((YEAR(D31)+16)&gt;YEAR(E31),1,(12-MONTH(E31)+1)/12))) + (R31)*(IF((YEAR(D31)+16)&lt;YEAR(E31),0,IF((YEAR(D31)+16)&gt;YEAR(E31),1,(12-MONTH(E31)+1)/12))))-(IF(OR(N31="",N31&lt;=0),0,(O31/N31)*(IF(OR(N31="",N31&lt;=0),0,IF((YEAR(D31)+16)&lt;YEAR(E31),0,IF((YEAR(D31)+16)&gt;=YEAR(E31)+N31,0,IF((YEAR(D31)+16)=YEAR(E31),(12-MONTH(E31)+1)/12,1))))))))&gt;0,(((K31)*(IF(M31="",L31,IFERROR(IF(INDEX(Variablen!$I:$AT, MATCH(M31, Variablen!$A:$A, 0), MATCH((YEAR(D31)+16), Variablen!$I$3:$AT$3, 0))="",L31,INDEX(Variablen!$I:$AT, MATCH(M31, Variablen!$A:$A, 0), MATCH((YEAR(D31)+16), Variablen!$I$3:$AT$3, 0))),L31)))*(IF((YEAR(D31)+16)&lt;YEAR(E31),0,IF((YEAR(D31)+16)&gt;YEAR(E31),1,(12-MONTH(E31)+1)/12))) + (Q31)*(IF((YEAR(D31)+16)&lt;YEAR(E31),0,IF((YEAR(D31)+16)&gt;YEAR(E31),1,(12-MONTH(E31)+1)/12))))-((P31)*(IF((YEAR(D31)+16)&lt;YEAR(E31),0,IF((YEAR(D31)+16)&gt;YEAR(E31),1,(12-MONTH(E31)+1)/12))) + (R31)*(IF((YEAR(D31)+16)&lt;YEAR(E31),0,IF((YEAR(D31)+16)&gt;YEAR(E31),1,(12-MONTH(E31)+1)/12))))-(IF(OR(N31="",N31&lt;=0),0,(O31/N31)*(IF(OR(N31="",N31&lt;=0),0,IF((YEAR(D31)+16)&lt;YEAR(E31),0,IF((YEAR(D31)+16)&gt;=YEAR(E31)+N31,0,IF((YEAR(D31)+16)=YEAR(E31),(12-MONTH(E31)+1)/12,1))))))))*TaxRate,0))-IF(16=0,O31,0))</f>
        <v/>
      </c>
      <c r="AJ31" s="29">
        <f>IF(A31="","",((K31)*(IF(M31="",L31,IFERROR(IF(INDEX(Variablen!$I:$AT, MATCH(M31, Variablen!$A:$A, 0), MATCH((YEAR(D31)+17), Variablen!$I$3:$AT$3, 0))="",L31,INDEX(Variablen!$I:$AT, MATCH(M31, Variablen!$A:$A, 0), MATCH((YEAR(D31)+17), Variablen!$I$3:$AT$3, 0))),L31)))*(IF((YEAR(D31)+17)&lt;YEAR(E31),0,IF((YEAR(D31)+17)&gt;YEAR(E31),1,(12-MONTH(E31)+1)/12))) + (Q31)*(IF((YEAR(D31)+17)&lt;YEAR(E31),0,IF((YEAR(D31)+17)&gt;YEAR(E31),1,(12-MONTH(E31)+1)/12))))-((P31)*(IF((YEAR(D31)+17)&lt;YEAR(E31),0,IF((YEAR(D31)+17)&gt;YEAR(E31),1,(12-MONTH(E31)+1)/12))) + (R31)*(IF((YEAR(D31)+17)&lt;YEAR(E31),0,IF((YEAR(D31)+17)&gt;YEAR(E31),1,(12-MONTH(E31)+1)/12))))-(IF((((K31)*(IF(M31="",L31,IFERROR(IF(INDEX(Variablen!$I:$AT, MATCH(M31, Variablen!$A:$A, 0), MATCH((YEAR(D31)+17), Variablen!$I$3:$AT$3, 0))="",L31,INDEX(Variablen!$I:$AT, MATCH(M31, Variablen!$A:$A, 0), MATCH((YEAR(D31)+17), Variablen!$I$3:$AT$3, 0))),L31)))*(IF((YEAR(D31)+17)&lt;YEAR(E31),0,IF((YEAR(D31)+17)&gt;YEAR(E31),1,(12-MONTH(E31)+1)/12))) + (Q31)*(IF((YEAR(D31)+17)&lt;YEAR(E31),0,IF((YEAR(D31)+17)&gt;YEAR(E31),1,(12-MONTH(E31)+1)/12))))-((P31)*(IF((YEAR(D31)+17)&lt;YEAR(E31),0,IF((YEAR(D31)+17)&gt;YEAR(E31),1,(12-MONTH(E31)+1)/12))) + (R31)*(IF((YEAR(D31)+17)&lt;YEAR(E31),0,IF((YEAR(D31)+17)&gt;YEAR(E31),1,(12-MONTH(E31)+1)/12))))-(IF(OR(N31="",N31&lt;=0),0,(O31/N31)*(IF(OR(N31="",N31&lt;=0),0,IF((YEAR(D31)+17)&lt;YEAR(E31),0,IF((YEAR(D31)+17)&gt;=YEAR(E31)+N31,0,IF((YEAR(D31)+17)=YEAR(E31),(12-MONTH(E31)+1)/12,1))))))))&gt;0,(((K31)*(IF(M31="",L31,IFERROR(IF(INDEX(Variablen!$I:$AT, MATCH(M31, Variablen!$A:$A, 0), MATCH((YEAR(D31)+17), Variablen!$I$3:$AT$3, 0))="",L31,INDEX(Variablen!$I:$AT, MATCH(M31, Variablen!$A:$A, 0), MATCH((YEAR(D31)+17), Variablen!$I$3:$AT$3, 0))),L31)))*(IF((YEAR(D31)+17)&lt;YEAR(E31),0,IF((YEAR(D31)+17)&gt;YEAR(E31),1,(12-MONTH(E31)+1)/12))) + (Q31)*(IF((YEAR(D31)+17)&lt;YEAR(E31),0,IF((YEAR(D31)+17)&gt;YEAR(E31),1,(12-MONTH(E31)+1)/12))))-((P31)*(IF((YEAR(D31)+17)&lt;YEAR(E31),0,IF((YEAR(D31)+17)&gt;YEAR(E31),1,(12-MONTH(E31)+1)/12))) + (R31)*(IF((YEAR(D31)+17)&lt;YEAR(E31),0,IF((YEAR(D31)+17)&gt;YEAR(E31),1,(12-MONTH(E31)+1)/12))))-(IF(OR(N31="",N31&lt;=0),0,(O31/N31)*(IF(OR(N31="",N31&lt;=0),0,IF((YEAR(D31)+17)&lt;YEAR(E31),0,IF((YEAR(D31)+17)&gt;=YEAR(E31)+N31,0,IF((YEAR(D31)+17)=YEAR(E31),(12-MONTH(E31)+1)/12,1))))))))*TaxRate,0))-IF(17=0,O31,0))</f>
        <v/>
      </c>
      <c r="AK31" s="29">
        <f>IF(A31="","",((K31)*(IF(M31="",L31,IFERROR(IF(INDEX(Variablen!$I:$AT, MATCH(M31, Variablen!$A:$A, 0), MATCH((YEAR(D31)+18), Variablen!$I$3:$AT$3, 0))="",L31,INDEX(Variablen!$I:$AT, MATCH(M31, Variablen!$A:$A, 0), MATCH((YEAR(D31)+18), Variablen!$I$3:$AT$3, 0))),L31)))*(IF((YEAR(D31)+18)&lt;YEAR(E31),0,IF((YEAR(D31)+18)&gt;YEAR(E31),1,(12-MONTH(E31)+1)/12))) + (Q31)*(IF((YEAR(D31)+18)&lt;YEAR(E31),0,IF((YEAR(D31)+18)&gt;YEAR(E31),1,(12-MONTH(E31)+1)/12))))-((P31)*(IF((YEAR(D31)+18)&lt;YEAR(E31),0,IF((YEAR(D31)+18)&gt;YEAR(E31),1,(12-MONTH(E31)+1)/12))) + (R31)*(IF((YEAR(D31)+18)&lt;YEAR(E31),0,IF((YEAR(D31)+18)&gt;YEAR(E31),1,(12-MONTH(E31)+1)/12))))-(IF((((K31)*(IF(M31="",L31,IFERROR(IF(INDEX(Variablen!$I:$AT, MATCH(M31, Variablen!$A:$A, 0), MATCH((YEAR(D31)+18), Variablen!$I$3:$AT$3, 0))="",L31,INDEX(Variablen!$I:$AT, MATCH(M31, Variablen!$A:$A, 0), MATCH((YEAR(D31)+18), Variablen!$I$3:$AT$3, 0))),L31)))*(IF((YEAR(D31)+18)&lt;YEAR(E31),0,IF((YEAR(D31)+18)&gt;YEAR(E31),1,(12-MONTH(E31)+1)/12))) + (Q31)*(IF((YEAR(D31)+18)&lt;YEAR(E31),0,IF((YEAR(D31)+18)&gt;YEAR(E31),1,(12-MONTH(E31)+1)/12))))-((P31)*(IF((YEAR(D31)+18)&lt;YEAR(E31),0,IF((YEAR(D31)+18)&gt;YEAR(E31),1,(12-MONTH(E31)+1)/12))) + (R31)*(IF((YEAR(D31)+18)&lt;YEAR(E31),0,IF((YEAR(D31)+18)&gt;YEAR(E31),1,(12-MONTH(E31)+1)/12))))-(IF(OR(N31="",N31&lt;=0),0,(O31/N31)*(IF(OR(N31="",N31&lt;=0),0,IF((YEAR(D31)+18)&lt;YEAR(E31),0,IF((YEAR(D31)+18)&gt;=YEAR(E31)+N31,0,IF((YEAR(D31)+18)=YEAR(E31),(12-MONTH(E31)+1)/12,1))))))))&gt;0,(((K31)*(IF(M31="",L31,IFERROR(IF(INDEX(Variablen!$I:$AT, MATCH(M31, Variablen!$A:$A, 0), MATCH((YEAR(D31)+18), Variablen!$I$3:$AT$3, 0))="",L31,INDEX(Variablen!$I:$AT, MATCH(M31, Variablen!$A:$A, 0), MATCH((YEAR(D31)+18), Variablen!$I$3:$AT$3, 0))),L31)))*(IF((YEAR(D31)+18)&lt;YEAR(E31),0,IF((YEAR(D31)+18)&gt;YEAR(E31),1,(12-MONTH(E31)+1)/12))) + (Q31)*(IF((YEAR(D31)+18)&lt;YEAR(E31),0,IF((YEAR(D31)+18)&gt;YEAR(E31),1,(12-MONTH(E31)+1)/12))))-((P31)*(IF((YEAR(D31)+18)&lt;YEAR(E31),0,IF((YEAR(D31)+18)&gt;YEAR(E31),1,(12-MONTH(E31)+1)/12))) + (R31)*(IF((YEAR(D31)+18)&lt;YEAR(E31),0,IF((YEAR(D31)+18)&gt;YEAR(E31),1,(12-MONTH(E31)+1)/12))))-(IF(OR(N31="",N31&lt;=0),0,(O31/N31)*(IF(OR(N31="",N31&lt;=0),0,IF((YEAR(D31)+18)&lt;YEAR(E31),0,IF((YEAR(D31)+18)&gt;=YEAR(E31)+N31,0,IF((YEAR(D31)+18)=YEAR(E31),(12-MONTH(E31)+1)/12,1))))))))*TaxRate,0))-IF(18=0,O31,0))</f>
        <v/>
      </c>
      <c r="AL31" s="29">
        <f>IF(A31="","",((K31)*(IF(M31="",L31,IFERROR(IF(INDEX(Variablen!$I:$AT, MATCH(M31, Variablen!$A:$A, 0), MATCH((YEAR(D31)+19), Variablen!$I$3:$AT$3, 0))="",L31,INDEX(Variablen!$I:$AT, MATCH(M31, Variablen!$A:$A, 0), MATCH((YEAR(D31)+19), Variablen!$I$3:$AT$3, 0))),L31)))*(IF((YEAR(D31)+19)&lt;YEAR(E31),0,IF((YEAR(D31)+19)&gt;YEAR(E31),1,(12-MONTH(E31)+1)/12))) + (Q31)*(IF((YEAR(D31)+19)&lt;YEAR(E31),0,IF((YEAR(D31)+19)&gt;YEAR(E31),1,(12-MONTH(E31)+1)/12))))-((P31)*(IF((YEAR(D31)+19)&lt;YEAR(E31),0,IF((YEAR(D31)+19)&gt;YEAR(E31),1,(12-MONTH(E31)+1)/12))) + (R31)*(IF((YEAR(D31)+19)&lt;YEAR(E31),0,IF((YEAR(D31)+19)&gt;YEAR(E31),1,(12-MONTH(E31)+1)/12))))-(IF((((K31)*(IF(M31="",L31,IFERROR(IF(INDEX(Variablen!$I:$AT, MATCH(M31, Variablen!$A:$A, 0), MATCH((YEAR(D31)+19), Variablen!$I$3:$AT$3, 0))="",L31,INDEX(Variablen!$I:$AT, MATCH(M31, Variablen!$A:$A, 0), MATCH((YEAR(D31)+19), Variablen!$I$3:$AT$3, 0))),L31)))*(IF((YEAR(D31)+19)&lt;YEAR(E31),0,IF((YEAR(D31)+19)&gt;YEAR(E31),1,(12-MONTH(E31)+1)/12))) + (Q31)*(IF((YEAR(D31)+19)&lt;YEAR(E31),0,IF((YEAR(D31)+19)&gt;YEAR(E31),1,(12-MONTH(E31)+1)/12))))-((P31)*(IF((YEAR(D31)+19)&lt;YEAR(E31),0,IF((YEAR(D31)+19)&gt;YEAR(E31),1,(12-MONTH(E31)+1)/12))) + (R31)*(IF((YEAR(D31)+19)&lt;YEAR(E31),0,IF((YEAR(D31)+19)&gt;YEAR(E31),1,(12-MONTH(E31)+1)/12))))-(IF(OR(N31="",N31&lt;=0),0,(O31/N31)*(IF(OR(N31="",N31&lt;=0),0,IF((YEAR(D31)+19)&lt;YEAR(E31),0,IF((YEAR(D31)+19)&gt;=YEAR(E31)+N31,0,IF((YEAR(D31)+19)=YEAR(E31),(12-MONTH(E31)+1)/12,1))))))))&gt;0,(((K31)*(IF(M31="",L31,IFERROR(IF(INDEX(Variablen!$I:$AT, MATCH(M31, Variablen!$A:$A, 0), MATCH((YEAR(D31)+19), Variablen!$I$3:$AT$3, 0))="",L31,INDEX(Variablen!$I:$AT, MATCH(M31, Variablen!$A:$A, 0), MATCH((YEAR(D31)+19), Variablen!$I$3:$AT$3, 0))),L31)))*(IF((YEAR(D31)+19)&lt;YEAR(E31),0,IF((YEAR(D31)+19)&gt;YEAR(E31),1,(12-MONTH(E31)+1)/12))) + (Q31)*(IF((YEAR(D31)+19)&lt;YEAR(E31),0,IF((YEAR(D31)+19)&gt;YEAR(E31),1,(12-MONTH(E31)+1)/12))))-((P31)*(IF((YEAR(D31)+19)&lt;YEAR(E31),0,IF((YEAR(D31)+19)&gt;YEAR(E31),1,(12-MONTH(E31)+1)/12))) + (R31)*(IF((YEAR(D31)+19)&lt;YEAR(E31),0,IF((YEAR(D31)+19)&gt;YEAR(E31),1,(12-MONTH(E31)+1)/12))))-(IF(OR(N31="",N31&lt;=0),0,(O31/N31)*(IF(OR(N31="",N31&lt;=0),0,IF((YEAR(D31)+19)&lt;YEAR(E31),0,IF((YEAR(D31)+19)&gt;=YEAR(E31)+N31,0,IF((YEAR(D31)+19)=YEAR(E31),(12-MONTH(E31)+1)/12,1))))))))*TaxRate,0))-IF(19=0,O31,0))</f>
        <v/>
      </c>
      <c r="AM31" s="29">
        <f>IF(A31="","",((K31)*(IF(M31="",L31,IFERROR(IF(INDEX(Variablen!$I:$AT, MATCH(M31, Variablen!$A:$A, 0), MATCH((YEAR(D31)+20), Variablen!$I$3:$AT$3, 0))="",L31,INDEX(Variablen!$I:$AT, MATCH(M31, Variablen!$A:$A, 0), MATCH((YEAR(D31)+20), Variablen!$I$3:$AT$3, 0))),L31)))*(IF((YEAR(D31)+20)&lt;YEAR(E31),0,IF((YEAR(D31)+20)&gt;YEAR(E31),1,(12-MONTH(E31)+1)/12))) + (Q31)*(IF((YEAR(D31)+20)&lt;YEAR(E31),0,IF((YEAR(D31)+20)&gt;YEAR(E31),1,(12-MONTH(E31)+1)/12))))-((P31)*(IF((YEAR(D31)+20)&lt;YEAR(E31),0,IF((YEAR(D31)+20)&gt;YEAR(E31),1,(12-MONTH(E31)+1)/12))) + (R31)*(IF((YEAR(D31)+20)&lt;YEAR(E31),0,IF((YEAR(D31)+20)&gt;YEAR(E31),1,(12-MONTH(E31)+1)/12))))-(IF((((K31)*(IF(M31="",L31,IFERROR(IF(INDEX(Variablen!$I:$AT, MATCH(M31, Variablen!$A:$A, 0), MATCH((YEAR(D31)+20), Variablen!$I$3:$AT$3, 0))="",L31,INDEX(Variablen!$I:$AT, MATCH(M31, Variablen!$A:$A, 0), MATCH((YEAR(D31)+20), Variablen!$I$3:$AT$3, 0))),L31)))*(IF((YEAR(D31)+20)&lt;YEAR(E31),0,IF((YEAR(D31)+20)&gt;YEAR(E31),1,(12-MONTH(E31)+1)/12))) + (Q31)*(IF((YEAR(D31)+20)&lt;YEAR(E31),0,IF((YEAR(D31)+20)&gt;YEAR(E31),1,(12-MONTH(E31)+1)/12))))-((P31)*(IF((YEAR(D31)+20)&lt;YEAR(E31),0,IF((YEAR(D31)+20)&gt;YEAR(E31),1,(12-MONTH(E31)+1)/12))) + (R31)*(IF((YEAR(D31)+20)&lt;YEAR(E31),0,IF((YEAR(D31)+20)&gt;YEAR(E31),1,(12-MONTH(E31)+1)/12))))-(IF(OR(N31="",N31&lt;=0),0,(O31/N31)*(IF(OR(N31="",N31&lt;=0),0,IF((YEAR(D31)+20)&lt;YEAR(E31),0,IF((YEAR(D31)+20)&gt;=YEAR(E31)+N31,0,IF((YEAR(D31)+20)=YEAR(E31),(12-MONTH(E31)+1)/12,1))))))))&gt;0,(((K31)*(IF(M31="",L31,IFERROR(IF(INDEX(Variablen!$I:$AT, MATCH(M31, Variablen!$A:$A, 0), MATCH((YEAR(D31)+20), Variablen!$I$3:$AT$3, 0))="",L31,INDEX(Variablen!$I:$AT, MATCH(M31, Variablen!$A:$A, 0), MATCH((YEAR(D31)+20), Variablen!$I$3:$AT$3, 0))),L31)))*(IF((YEAR(D31)+20)&lt;YEAR(E31),0,IF((YEAR(D31)+20)&gt;YEAR(E31),1,(12-MONTH(E31)+1)/12))) + (Q31)*(IF((YEAR(D31)+20)&lt;YEAR(E31),0,IF((YEAR(D31)+20)&gt;YEAR(E31),1,(12-MONTH(E31)+1)/12))))-((P31)*(IF((YEAR(D31)+20)&lt;YEAR(E31),0,IF((YEAR(D31)+20)&gt;YEAR(E31),1,(12-MONTH(E31)+1)/12))) + (R31)*(IF((YEAR(D31)+20)&lt;YEAR(E31),0,IF((YEAR(D31)+20)&gt;YEAR(E31),1,(12-MONTH(E31)+1)/12))))-(IF(OR(N31="",N31&lt;=0),0,(O31/N31)*(IF(OR(N31="",N31&lt;=0),0,IF((YEAR(D31)+20)&lt;YEAR(E31),0,IF((YEAR(D31)+20)&gt;=YEAR(E31)+N31,0,IF((YEAR(D31)+20)=YEAR(E31),(12-MONTH(E31)+1)/12,1))))))))*TaxRate,0))-IF(20=0,O31,0))</f>
        <v/>
      </c>
      <c r="AN31" s="29">
        <f>IF(A31="","",S31)</f>
        <v/>
      </c>
      <c r="AO31" s="29">
        <f>IF(A31="","",AN31+T31)</f>
        <v/>
      </c>
      <c r="AP31" s="29">
        <f>IF(A31="","",AO31+U31)</f>
        <v/>
      </c>
      <c r="AQ31" s="29">
        <f>IF(A31="","",AP31+V31)</f>
        <v/>
      </c>
      <c r="AR31" s="29">
        <f>IF(A31="","",AQ31+W31)</f>
        <v/>
      </c>
      <c r="AS31" s="29">
        <f>IF(A31="","",AR31+X31)</f>
        <v/>
      </c>
      <c r="AT31" s="29">
        <f>IF(A31="","",AS31+Y31)</f>
        <v/>
      </c>
      <c r="AU31" s="29">
        <f>IF(A31="","",AT31+Z31)</f>
        <v/>
      </c>
      <c r="AV31" s="29">
        <f>IF(A31="","",AU31+AA31)</f>
        <v/>
      </c>
      <c r="AW31" s="29">
        <f>IF(A31="","",AV31+AB31)</f>
        <v/>
      </c>
      <c r="AX31" s="29">
        <f>IF(A31="","",AW31+AC31)</f>
        <v/>
      </c>
      <c r="AY31" s="29">
        <f>IF(A31="","",AX31+AD31)</f>
        <v/>
      </c>
      <c r="AZ31" s="29">
        <f>IF(A31="","",AY31+AE31)</f>
        <v/>
      </c>
      <c r="BA31" s="29">
        <f>IF(A31="","",AZ31+AF31)</f>
        <v/>
      </c>
      <c r="BB31" s="29">
        <f>IF(A31="","",BA31+AG31)</f>
        <v/>
      </c>
      <c r="BC31" s="29">
        <f>IF(A31="","",BB31+AH31)</f>
        <v/>
      </c>
      <c r="BD31" s="29">
        <f>IF(A31="","",BC31+AI31)</f>
        <v/>
      </c>
      <c r="BE31" s="29">
        <f>IF(A31="","",BD31+AJ31)</f>
        <v/>
      </c>
      <c r="BF31" s="29">
        <f>IF(A31="","",BE31+AK31)</f>
        <v/>
      </c>
      <c r="BG31" s="29">
        <f>IF(A31="","",BF31+AL31)</f>
        <v/>
      </c>
      <c r="BH31" s="29">
        <f>IF(A31="","",BG31+AM31)</f>
        <v/>
      </c>
      <c r="BI31" s="36">
        <f>IF(A31="","",(K31)*(IF((YEAR(D31)+0)&lt;YEAR(E31),0,IF((YEAR(D31)+0)&gt;YEAR(E31),1,(12-MONTH(E31)+1)/12)))*(1/(1+DiscountRate)^0))</f>
        <v/>
      </c>
      <c r="BJ31" s="36">
        <f>IF(A31="","",(K31)*(IF((YEAR(D31)+1)&lt;YEAR(E31),0,IF((YEAR(D31)+1)&gt;YEAR(E31),1,(12-MONTH(E31)+1)/12)))*(1/(1+DiscountRate)^1))</f>
        <v/>
      </c>
      <c r="BK31" s="36">
        <f>IF(A31="","",(K31)*(IF((YEAR(D31)+2)&lt;YEAR(E31),0,IF((YEAR(D31)+2)&gt;YEAR(E31),1,(12-MONTH(E31)+1)/12)))*(1/(1+DiscountRate)^2))</f>
        <v/>
      </c>
      <c r="BL31" s="36">
        <f>IF(A31="","",(K31)*(IF((YEAR(D31)+3)&lt;YEAR(E31),0,IF((YEAR(D31)+3)&gt;YEAR(E31),1,(12-MONTH(E31)+1)/12)))*(1/(1+DiscountRate)^3))</f>
        <v/>
      </c>
      <c r="BM31" s="36">
        <f>IF(A31="","",(K31)*(IF((YEAR(D31)+4)&lt;YEAR(E31),0,IF((YEAR(D31)+4)&gt;YEAR(E31),1,(12-MONTH(E31)+1)/12)))*(1/(1+DiscountRate)^4))</f>
        <v/>
      </c>
      <c r="BN31" s="36">
        <f>IF(A31="","",(K31)*(IF((YEAR(D31)+5)&lt;YEAR(E31),0,IF((YEAR(D31)+5)&gt;YEAR(E31),1,(12-MONTH(E31)+1)/12)))*(1/(1+DiscountRate)^5))</f>
        <v/>
      </c>
      <c r="BO31" s="36">
        <f>IF(A31="","",(K31)*(IF((YEAR(D31)+6)&lt;YEAR(E31),0,IF((YEAR(D31)+6)&gt;YEAR(E31),1,(12-MONTH(E31)+1)/12)))*(1/(1+DiscountRate)^6))</f>
        <v/>
      </c>
      <c r="BP31" s="36">
        <f>IF(A31="","",(K31)*(IF((YEAR(D31)+7)&lt;YEAR(E31),0,IF((YEAR(D31)+7)&gt;YEAR(E31),1,(12-MONTH(E31)+1)/12)))*(1/(1+DiscountRate)^7))</f>
        <v/>
      </c>
      <c r="BQ31" s="36">
        <f>IF(A31="","",(K31)*(IF((YEAR(D31)+8)&lt;YEAR(E31),0,IF((YEAR(D31)+8)&gt;YEAR(E31),1,(12-MONTH(E31)+1)/12)))*(1/(1+DiscountRate)^8))</f>
        <v/>
      </c>
      <c r="BR31" s="36">
        <f>IF(A31="","",(K31)*(IF((YEAR(D31)+9)&lt;YEAR(E31),0,IF((YEAR(D31)+9)&gt;YEAR(E31),1,(12-MONTH(E31)+1)/12)))*(1/(1+DiscountRate)^9))</f>
        <v/>
      </c>
      <c r="BS31" s="36">
        <f>IF(A31="","",(K31)*(IF((YEAR(D31)+10)&lt;YEAR(E31),0,IF((YEAR(D31)+10)&gt;YEAR(E31),1,(12-MONTH(E31)+1)/12)))*(1/(1+DiscountRate)^10))</f>
        <v/>
      </c>
      <c r="BT31" s="36">
        <f>IF(A31="","",(K31)*(IF((YEAR(D31)+11)&lt;YEAR(E31),0,IF((YEAR(D31)+11)&gt;YEAR(E31),1,(12-MONTH(E31)+1)/12)))*(1/(1+DiscountRate)^11))</f>
        <v/>
      </c>
      <c r="BU31" s="36">
        <f>IF(A31="","",(K31)*(IF((YEAR(D31)+12)&lt;YEAR(E31),0,IF((YEAR(D31)+12)&gt;YEAR(E31),1,(12-MONTH(E31)+1)/12)))*(1/(1+DiscountRate)^12))</f>
        <v/>
      </c>
      <c r="BV31" s="36">
        <f>IF(A31="","",(K31)*(IF((YEAR(D31)+13)&lt;YEAR(E31),0,IF((YEAR(D31)+13)&gt;YEAR(E31),1,(12-MONTH(E31)+1)/12)))*(1/(1+DiscountRate)^13))</f>
        <v/>
      </c>
      <c r="BW31" s="36">
        <f>IF(A31="","",(K31)*(IF((YEAR(D31)+14)&lt;YEAR(E31),0,IF((YEAR(D31)+14)&gt;YEAR(E31),1,(12-MONTH(E31)+1)/12)))*(1/(1+DiscountRate)^14))</f>
        <v/>
      </c>
      <c r="BX31" s="36">
        <f>IF(A31="","",(K31)*(IF((YEAR(D31)+15)&lt;YEAR(E31),0,IF((YEAR(D31)+15)&gt;YEAR(E31),1,(12-MONTH(E31)+1)/12)))*(1/(1+DiscountRate)^15))</f>
        <v/>
      </c>
      <c r="BY31" s="36">
        <f>IF(A31="","",(K31)*(IF((YEAR(D31)+16)&lt;YEAR(E31),0,IF((YEAR(D31)+16)&gt;YEAR(E31),1,(12-MONTH(E31)+1)/12)))*(1/(1+DiscountRate)^16))</f>
        <v/>
      </c>
      <c r="BZ31" s="36">
        <f>IF(A31="","",(K31)*(IF((YEAR(D31)+17)&lt;YEAR(E31),0,IF((YEAR(D31)+17)&gt;YEAR(E31),1,(12-MONTH(E31)+1)/12)))*(1/(1+DiscountRate)^17))</f>
        <v/>
      </c>
      <c r="CA31" s="36">
        <f>IF(A31="","",(K31)*(IF((YEAR(D31)+18)&lt;YEAR(E31),0,IF((YEAR(D31)+18)&gt;YEAR(E31),1,(12-MONTH(E31)+1)/12)))*(1/(1+DiscountRate)^18))</f>
        <v/>
      </c>
      <c r="CB31" s="36">
        <f>IF(A31="","",(K31)*(IF((YEAR(D31)+19)&lt;YEAR(E31),0,IF((YEAR(D31)+19)&gt;YEAR(E31),1,(12-MONTH(E31)+1)/12)))*(1/(1+DiscountRate)^19))</f>
        <v/>
      </c>
      <c r="CC31" s="36">
        <f>IF(A31="","",(K31)*(IF((YEAR(D31)+20)&lt;YEAR(E31),0,IF((YEAR(D31)+20)&gt;YEAR(E31),1,(12-MONTH(E31)+1)/12)))*(1/(1+DiscountRate)^20))</f>
        <v/>
      </c>
      <c r="CD31" s="29">
        <f>IF(A31="","",S31/(1+DiscountRate)^0+T31/(1+DiscountRate)^1+U31/(1+DiscountRate)^2+V31/(1+DiscountRate)^3+W31/(1+DiscountRate)^4+X31/(1+DiscountRate)^5+Y31/(1+DiscountRate)^6+Z31/(1+DiscountRate)^7+AA31/(1+DiscountRate)^8+AB31/(1+DiscountRate)^9+AC31/(1+DiscountRate)^10+AD31/(1+DiscountRate)^11+AE31/(1+DiscountRate)^12+AF31/(1+DiscountRate)^13+AG31/(1+DiscountRate)^14+AH31/(1+DiscountRate)^15+AI31/(1+DiscountRate)^16+AJ31/(1+DiscountRate)^17+AK31/(1+DiscountRate)^18+AL31/(1+DiscountRate)^19+AM31/(1+DiscountRate)^20)</f>
        <v/>
      </c>
      <c r="CE31" s="37">
        <f>IF(A31="","",IFERROR(IRR(OFFSET(S31,0,0,1,MIN(HorizonYears,20)+1)),"n/a"))</f>
        <v/>
      </c>
      <c r="CF31" s="28">
        <f>IF(A31="","",IFERROR(MATCH(TRUE,OFFSET(AN31,0,0,1,MIN(HorizonYears,20)+1)&gt;=0,0)-1,"n/a"))</f>
        <v/>
      </c>
      <c r="CG31" s="36">
        <f>IF(A31="","",SUM(OFFSET(BI31,0,0,1,MIN(HorizonYears,20)+1)))</f>
        <v/>
      </c>
      <c r="CH31" s="36">
        <f>IF(A31="","",IFERROR(-CD31/CG31,"n/a"))</f>
        <v/>
      </c>
    </row>
    <row r="32">
      <c r="A32" s="6">
        <f>Actions!A30</f>
        <v/>
      </c>
      <c r="B32" s="6">
        <f>Actions!B30</f>
        <v/>
      </c>
      <c r="C32" s="6">
        <f>Actions!D30</f>
        <v/>
      </c>
      <c r="D32" s="35">
        <f>Actions!E30</f>
        <v/>
      </c>
      <c r="E32" s="35">
        <f>Actions!F30</f>
        <v/>
      </c>
      <c r="F32" s="6">
        <f>Actions!G30</f>
        <v/>
      </c>
      <c r="G32" s="6">
        <f>Actions!H30</f>
        <v/>
      </c>
      <c r="H32" s="29">
        <f>Actions!I30</f>
        <v/>
      </c>
      <c r="I32" s="6">
        <f>Actions!J30</f>
        <v/>
      </c>
      <c r="J32" s="16">
        <f>Actions!K30</f>
        <v/>
      </c>
      <c r="K32" s="16">
        <f>IF(A32="","",IF(I32="%",H32*J32,J32))</f>
        <v/>
      </c>
      <c r="L32" s="16">
        <f>Actions!L30</f>
        <v/>
      </c>
      <c r="M32" s="6">
        <f>Actions!M30</f>
        <v/>
      </c>
      <c r="N32" s="28">
        <f>Actions!N30</f>
        <v/>
      </c>
      <c r="O32" s="29">
        <f>Actions!T30</f>
        <v/>
      </c>
      <c r="P32" s="29">
        <f>Actions!Y30</f>
        <v/>
      </c>
      <c r="Q32" s="29">
        <f>Actions!Z30</f>
        <v/>
      </c>
      <c r="R32" s="29">
        <f>Actions!AA30</f>
        <v/>
      </c>
      <c r="S32" s="29">
        <f>IF(A32="","",((K32)*(IF(M32="",L32,IFERROR(IF(INDEX(Variablen!$I:$AT, MATCH(M32, Variablen!$A:$A, 0), MATCH((YEAR(D32)+0), Variablen!$I$3:$AT$3, 0))="",L32,INDEX(Variablen!$I:$AT, MATCH(M32, Variablen!$A:$A, 0), MATCH((YEAR(D32)+0), Variablen!$I$3:$AT$3, 0))),L32)))*(IF((YEAR(D32)+0)&lt;YEAR(E32),0,IF((YEAR(D32)+0)&gt;YEAR(E32),1,(12-MONTH(E32)+1)/12))) + (Q32)*(IF((YEAR(D32)+0)&lt;YEAR(E32),0,IF((YEAR(D32)+0)&gt;YEAR(E32),1,(12-MONTH(E32)+1)/12))))-((P32)*(IF((YEAR(D32)+0)&lt;YEAR(E32),0,IF((YEAR(D32)+0)&gt;YEAR(E32),1,(12-MONTH(E32)+1)/12))) + (R32)*(IF((YEAR(D32)+0)&lt;YEAR(E32),0,IF((YEAR(D32)+0)&gt;YEAR(E32),1,(12-MONTH(E32)+1)/12))))-(IF((((K32)*(IF(M32="",L32,IFERROR(IF(INDEX(Variablen!$I:$AT, MATCH(M32, Variablen!$A:$A, 0), MATCH((YEAR(D32)+0), Variablen!$I$3:$AT$3, 0))="",L32,INDEX(Variablen!$I:$AT, MATCH(M32, Variablen!$A:$A, 0), MATCH((YEAR(D32)+0), Variablen!$I$3:$AT$3, 0))),L32)))*(IF((YEAR(D32)+0)&lt;YEAR(E32),0,IF((YEAR(D32)+0)&gt;YEAR(E32),1,(12-MONTH(E32)+1)/12))) + (Q32)*(IF((YEAR(D32)+0)&lt;YEAR(E32),0,IF((YEAR(D32)+0)&gt;YEAR(E32),1,(12-MONTH(E32)+1)/12))))-((P32)*(IF((YEAR(D32)+0)&lt;YEAR(E32),0,IF((YEAR(D32)+0)&gt;YEAR(E32),1,(12-MONTH(E32)+1)/12))) + (R32)*(IF((YEAR(D32)+0)&lt;YEAR(E32),0,IF((YEAR(D32)+0)&gt;YEAR(E32),1,(12-MONTH(E32)+1)/12))))-(IF(OR(N32="",N32&lt;=0),0,(O32/N32)*(IF(OR(N32="",N32&lt;=0),0,IF((YEAR(D32)+0)&lt;YEAR(E32),0,IF((YEAR(D32)+0)&gt;=YEAR(E32)+N32,0,IF((YEAR(D32)+0)=YEAR(E32),(12-MONTH(E32)+1)/12,1))))))))&gt;0,(((K32)*(IF(M32="",L32,IFERROR(IF(INDEX(Variablen!$I:$AT, MATCH(M32, Variablen!$A:$A, 0), MATCH((YEAR(D32)+0), Variablen!$I$3:$AT$3, 0))="",L32,INDEX(Variablen!$I:$AT, MATCH(M32, Variablen!$A:$A, 0), MATCH((YEAR(D32)+0), Variablen!$I$3:$AT$3, 0))),L32)))*(IF((YEAR(D32)+0)&lt;YEAR(E32),0,IF((YEAR(D32)+0)&gt;YEAR(E32),1,(12-MONTH(E32)+1)/12))) + (Q32)*(IF((YEAR(D32)+0)&lt;YEAR(E32),0,IF((YEAR(D32)+0)&gt;YEAR(E32),1,(12-MONTH(E32)+1)/12))))-((P32)*(IF((YEAR(D32)+0)&lt;YEAR(E32),0,IF((YEAR(D32)+0)&gt;YEAR(E32),1,(12-MONTH(E32)+1)/12))) + (R32)*(IF((YEAR(D32)+0)&lt;YEAR(E32),0,IF((YEAR(D32)+0)&gt;YEAR(E32),1,(12-MONTH(E32)+1)/12))))-(IF(OR(N32="",N32&lt;=0),0,(O32/N32)*(IF(OR(N32="",N32&lt;=0),0,IF((YEAR(D32)+0)&lt;YEAR(E32),0,IF((YEAR(D32)+0)&gt;=YEAR(E32)+N32,0,IF((YEAR(D32)+0)=YEAR(E32),(12-MONTH(E32)+1)/12,1))))))))*TaxRate,0))-IF(0=0,O32,0))</f>
        <v/>
      </c>
      <c r="T32" s="29">
        <f>IF(A32="","",((K32)*(IF(M32="",L32,IFERROR(IF(INDEX(Variablen!$I:$AT, MATCH(M32, Variablen!$A:$A, 0), MATCH((YEAR(D32)+1), Variablen!$I$3:$AT$3, 0))="",L32,INDEX(Variablen!$I:$AT, MATCH(M32, Variablen!$A:$A, 0), MATCH((YEAR(D32)+1), Variablen!$I$3:$AT$3, 0))),L32)))*(IF((YEAR(D32)+1)&lt;YEAR(E32),0,IF((YEAR(D32)+1)&gt;YEAR(E32),1,(12-MONTH(E32)+1)/12))) + (Q32)*(IF((YEAR(D32)+1)&lt;YEAR(E32),0,IF((YEAR(D32)+1)&gt;YEAR(E32),1,(12-MONTH(E32)+1)/12))))-((P32)*(IF((YEAR(D32)+1)&lt;YEAR(E32),0,IF((YEAR(D32)+1)&gt;YEAR(E32),1,(12-MONTH(E32)+1)/12))) + (R32)*(IF((YEAR(D32)+1)&lt;YEAR(E32),0,IF((YEAR(D32)+1)&gt;YEAR(E32),1,(12-MONTH(E32)+1)/12))))-(IF((((K32)*(IF(M32="",L32,IFERROR(IF(INDEX(Variablen!$I:$AT, MATCH(M32, Variablen!$A:$A, 0), MATCH((YEAR(D32)+1), Variablen!$I$3:$AT$3, 0))="",L32,INDEX(Variablen!$I:$AT, MATCH(M32, Variablen!$A:$A, 0), MATCH((YEAR(D32)+1), Variablen!$I$3:$AT$3, 0))),L32)))*(IF((YEAR(D32)+1)&lt;YEAR(E32),0,IF((YEAR(D32)+1)&gt;YEAR(E32),1,(12-MONTH(E32)+1)/12))) + (Q32)*(IF((YEAR(D32)+1)&lt;YEAR(E32),0,IF((YEAR(D32)+1)&gt;YEAR(E32),1,(12-MONTH(E32)+1)/12))))-((P32)*(IF((YEAR(D32)+1)&lt;YEAR(E32),0,IF((YEAR(D32)+1)&gt;YEAR(E32),1,(12-MONTH(E32)+1)/12))) + (R32)*(IF((YEAR(D32)+1)&lt;YEAR(E32),0,IF((YEAR(D32)+1)&gt;YEAR(E32),1,(12-MONTH(E32)+1)/12))))-(IF(OR(N32="",N32&lt;=0),0,(O32/N32)*(IF(OR(N32="",N32&lt;=0),0,IF((YEAR(D32)+1)&lt;YEAR(E32),0,IF((YEAR(D32)+1)&gt;=YEAR(E32)+N32,0,IF((YEAR(D32)+1)=YEAR(E32),(12-MONTH(E32)+1)/12,1))))))))&gt;0,(((K32)*(IF(M32="",L32,IFERROR(IF(INDEX(Variablen!$I:$AT, MATCH(M32, Variablen!$A:$A, 0), MATCH((YEAR(D32)+1), Variablen!$I$3:$AT$3, 0))="",L32,INDEX(Variablen!$I:$AT, MATCH(M32, Variablen!$A:$A, 0), MATCH((YEAR(D32)+1), Variablen!$I$3:$AT$3, 0))),L32)))*(IF((YEAR(D32)+1)&lt;YEAR(E32),0,IF((YEAR(D32)+1)&gt;YEAR(E32),1,(12-MONTH(E32)+1)/12))) + (Q32)*(IF((YEAR(D32)+1)&lt;YEAR(E32),0,IF((YEAR(D32)+1)&gt;YEAR(E32),1,(12-MONTH(E32)+1)/12))))-((P32)*(IF((YEAR(D32)+1)&lt;YEAR(E32),0,IF((YEAR(D32)+1)&gt;YEAR(E32),1,(12-MONTH(E32)+1)/12))) + (R32)*(IF((YEAR(D32)+1)&lt;YEAR(E32),0,IF((YEAR(D32)+1)&gt;YEAR(E32),1,(12-MONTH(E32)+1)/12))))-(IF(OR(N32="",N32&lt;=0),0,(O32/N32)*(IF(OR(N32="",N32&lt;=0),0,IF((YEAR(D32)+1)&lt;YEAR(E32),0,IF((YEAR(D32)+1)&gt;=YEAR(E32)+N32,0,IF((YEAR(D32)+1)=YEAR(E32),(12-MONTH(E32)+1)/12,1))))))))*TaxRate,0))-IF(1=0,O32,0))</f>
        <v/>
      </c>
      <c r="U32" s="29">
        <f>IF(A32="","",((K32)*(IF(M32="",L32,IFERROR(IF(INDEX(Variablen!$I:$AT, MATCH(M32, Variablen!$A:$A, 0), MATCH((YEAR(D32)+2), Variablen!$I$3:$AT$3, 0))="",L32,INDEX(Variablen!$I:$AT, MATCH(M32, Variablen!$A:$A, 0), MATCH((YEAR(D32)+2), Variablen!$I$3:$AT$3, 0))),L32)))*(IF((YEAR(D32)+2)&lt;YEAR(E32),0,IF((YEAR(D32)+2)&gt;YEAR(E32),1,(12-MONTH(E32)+1)/12))) + (Q32)*(IF((YEAR(D32)+2)&lt;YEAR(E32),0,IF((YEAR(D32)+2)&gt;YEAR(E32),1,(12-MONTH(E32)+1)/12))))-((P32)*(IF((YEAR(D32)+2)&lt;YEAR(E32),0,IF((YEAR(D32)+2)&gt;YEAR(E32),1,(12-MONTH(E32)+1)/12))) + (R32)*(IF((YEAR(D32)+2)&lt;YEAR(E32),0,IF((YEAR(D32)+2)&gt;YEAR(E32),1,(12-MONTH(E32)+1)/12))))-(IF((((K32)*(IF(M32="",L32,IFERROR(IF(INDEX(Variablen!$I:$AT, MATCH(M32, Variablen!$A:$A, 0), MATCH((YEAR(D32)+2), Variablen!$I$3:$AT$3, 0))="",L32,INDEX(Variablen!$I:$AT, MATCH(M32, Variablen!$A:$A, 0), MATCH((YEAR(D32)+2), Variablen!$I$3:$AT$3, 0))),L32)))*(IF((YEAR(D32)+2)&lt;YEAR(E32),0,IF((YEAR(D32)+2)&gt;YEAR(E32),1,(12-MONTH(E32)+1)/12))) + (Q32)*(IF((YEAR(D32)+2)&lt;YEAR(E32),0,IF((YEAR(D32)+2)&gt;YEAR(E32),1,(12-MONTH(E32)+1)/12))))-((P32)*(IF((YEAR(D32)+2)&lt;YEAR(E32),0,IF((YEAR(D32)+2)&gt;YEAR(E32),1,(12-MONTH(E32)+1)/12))) + (R32)*(IF((YEAR(D32)+2)&lt;YEAR(E32),0,IF((YEAR(D32)+2)&gt;YEAR(E32),1,(12-MONTH(E32)+1)/12))))-(IF(OR(N32="",N32&lt;=0),0,(O32/N32)*(IF(OR(N32="",N32&lt;=0),0,IF((YEAR(D32)+2)&lt;YEAR(E32),0,IF((YEAR(D32)+2)&gt;=YEAR(E32)+N32,0,IF((YEAR(D32)+2)=YEAR(E32),(12-MONTH(E32)+1)/12,1))))))))&gt;0,(((K32)*(IF(M32="",L32,IFERROR(IF(INDEX(Variablen!$I:$AT, MATCH(M32, Variablen!$A:$A, 0), MATCH((YEAR(D32)+2), Variablen!$I$3:$AT$3, 0))="",L32,INDEX(Variablen!$I:$AT, MATCH(M32, Variablen!$A:$A, 0), MATCH((YEAR(D32)+2), Variablen!$I$3:$AT$3, 0))),L32)))*(IF((YEAR(D32)+2)&lt;YEAR(E32),0,IF((YEAR(D32)+2)&gt;YEAR(E32),1,(12-MONTH(E32)+1)/12))) + (Q32)*(IF((YEAR(D32)+2)&lt;YEAR(E32),0,IF((YEAR(D32)+2)&gt;YEAR(E32),1,(12-MONTH(E32)+1)/12))))-((P32)*(IF((YEAR(D32)+2)&lt;YEAR(E32),0,IF((YEAR(D32)+2)&gt;YEAR(E32),1,(12-MONTH(E32)+1)/12))) + (R32)*(IF((YEAR(D32)+2)&lt;YEAR(E32),0,IF((YEAR(D32)+2)&gt;YEAR(E32),1,(12-MONTH(E32)+1)/12))))-(IF(OR(N32="",N32&lt;=0),0,(O32/N32)*(IF(OR(N32="",N32&lt;=0),0,IF((YEAR(D32)+2)&lt;YEAR(E32),0,IF((YEAR(D32)+2)&gt;=YEAR(E32)+N32,0,IF((YEAR(D32)+2)=YEAR(E32),(12-MONTH(E32)+1)/12,1))))))))*TaxRate,0))-IF(2=0,O32,0))</f>
        <v/>
      </c>
      <c r="V32" s="29">
        <f>IF(A32="","",((K32)*(IF(M32="",L32,IFERROR(IF(INDEX(Variablen!$I:$AT, MATCH(M32, Variablen!$A:$A, 0), MATCH((YEAR(D32)+3), Variablen!$I$3:$AT$3, 0))="",L32,INDEX(Variablen!$I:$AT, MATCH(M32, Variablen!$A:$A, 0), MATCH((YEAR(D32)+3), Variablen!$I$3:$AT$3, 0))),L32)))*(IF((YEAR(D32)+3)&lt;YEAR(E32),0,IF((YEAR(D32)+3)&gt;YEAR(E32),1,(12-MONTH(E32)+1)/12))) + (Q32)*(IF((YEAR(D32)+3)&lt;YEAR(E32),0,IF((YEAR(D32)+3)&gt;YEAR(E32),1,(12-MONTH(E32)+1)/12))))-((P32)*(IF((YEAR(D32)+3)&lt;YEAR(E32),0,IF((YEAR(D32)+3)&gt;YEAR(E32),1,(12-MONTH(E32)+1)/12))) + (R32)*(IF((YEAR(D32)+3)&lt;YEAR(E32),0,IF((YEAR(D32)+3)&gt;YEAR(E32),1,(12-MONTH(E32)+1)/12))))-(IF((((K32)*(IF(M32="",L32,IFERROR(IF(INDEX(Variablen!$I:$AT, MATCH(M32, Variablen!$A:$A, 0), MATCH((YEAR(D32)+3), Variablen!$I$3:$AT$3, 0))="",L32,INDEX(Variablen!$I:$AT, MATCH(M32, Variablen!$A:$A, 0), MATCH((YEAR(D32)+3), Variablen!$I$3:$AT$3, 0))),L32)))*(IF((YEAR(D32)+3)&lt;YEAR(E32),0,IF((YEAR(D32)+3)&gt;YEAR(E32),1,(12-MONTH(E32)+1)/12))) + (Q32)*(IF((YEAR(D32)+3)&lt;YEAR(E32),0,IF((YEAR(D32)+3)&gt;YEAR(E32),1,(12-MONTH(E32)+1)/12))))-((P32)*(IF((YEAR(D32)+3)&lt;YEAR(E32),0,IF((YEAR(D32)+3)&gt;YEAR(E32),1,(12-MONTH(E32)+1)/12))) + (R32)*(IF((YEAR(D32)+3)&lt;YEAR(E32),0,IF((YEAR(D32)+3)&gt;YEAR(E32),1,(12-MONTH(E32)+1)/12))))-(IF(OR(N32="",N32&lt;=0),0,(O32/N32)*(IF(OR(N32="",N32&lt;=0),0,IF((YEAR(D32)+3)&lt;YEAR(E32),0,IF((YEAR(D32)+3)&gt;=YEAR(E32)+N32,0,IF((YEAR(D32)+3)=YEAR(E32),(12-MONTH(E32)+1)/12,1))))))))&gt;0,(((K32)*(IF(M32="",L32,IFERROR(IF(INDEX(Variablen!$I:$AT, MATCH(M32, Variablen!$A:$A, 0), MATCH((YEAR(D32)+3), Variablen!$I$3:$AT$3, 0))="",L32,INDEX(Variablen!$I:$AT, MATCH(M32, Variablen!$A:$A, 0), MATCH((YEAR(D32)+3), Variablen!$I$3:$AT$3, 0))),L32)))*(IF((YEAR(D32)+3)&lt;YEAR(E32),0,IF((YEAR(D32)+3)&gt;YEAR(E32),1,(12-MONTH(E32)+1)/12))) + (Q32)*(IF((YEAR(D32)+3)&lt;YEAR(E32),0,IF((YEAR(D32)+3)&gt;YEAR(E32),1,(12-MONTH(E32)+1)/12))))-((P32)*(IF((YEAR(D32)+3)&lt;YEAR(E32),0,IF((YEAR(D32)+3)&gt;YEAR(E32),1,(12-MONTH(E32)+1)/12))) + (R32)*(IF((YEAR(D32)+3)&lt;YEAR(E32),0,IF((YEAR(D32)+3)&gt;YEAR(E32),1,(12-MONTH(E32)+1)/12))))-(IF(OR(N32="",N32&lt;=0),0,(O32/N32)*(IF(OR(N32="",N32&lt;=0),0,IF((YEAR(D32)+3)&lt;YEAR(E32),0,IF((YEAR(D32)+3)&gt;=YEAR(E32)+N32,0,IF((YEAR(D32)+3)=YEAR(E32),(12-MONTH(E32)+1)/12,1))))))))*TaxRate,0))-IF(3=0,O32,0))</f>
        <v/>
      </c>
      <c r="W32" s="29">
        <f>IF(A32="","",((K32)*(IF(M32="",L32,IFERROR(IF(INDEX(Variablen!$I:$AT, MATCH(M32, Variablen!$A:$A, 0), MATCH((YEAR(D32)+4), Variablen!$I$3:$AT$3, 0))="",L32,INDEX(Variablen!$I:$AT, MATCH(M32, Variablen!$A:$A, 0), MATCH((YEAR(D32)+4), Variablen!$I$3:$AT$3, 0))),L32)))*(IF((YEAR(D32)+4)&lt;YEAR(E32),0,IF((YEAR(D32)+4)&gt;YEAR(E32),1,(12-MONTH(E32)+1)/12))) + (Q32)*(IF((YEAR(D32)+4)&lt;YEAR(E32),0,IF((YEAR(D32)+4)&gt;YEAR(E32),1,(12-MONTH(E32)+1)/12))))-((P32)*(IF((YEAR(D32)+4)&lt;YEAR(E32),0,IF((YEAR(D32)+4)&gt;YEAR(E32),1,(12-MONTH(E32)+1)/12))) + (R32)*(IF((YEAR(D32)+4)&lt;YEAR(E32),0,IF((YEAR(D32)+4)&gt;YEAR(E32),1,(12-MONTH(E32)+1)/12))))-(IF((((K32)*(IF(M32="",L32,IFERROR(IF(INDEX(Variablen!$I:$AT, MATCH(M32, Variablen!$A:$A, 0), MATCH((YEAR(D32)+4), Variablen!$I$3:$AT$3, 0))="",L32,INDEX(Variablen!$I:$AT, MATCH(M32, Variablen!$A:$A, 0), MATCH((YEAR(D32)+4), Variablen!$I$3:$AT$3, 0))),L32)))*(IF((YEAR(D32)+4)&lt;YEAR(E32),0,IF((YEAR(D32)+4)&gt;YEAR(E32),1,(12-MONTH(E32)+1)/12))) + (Q32)*(IF((YEAR(D32)+4)&lt;YEAR(E32),0,IF((YEAR(D32)+4)&gt;YEAR(E32),1,(12-MONTH(E32)+1)/12))))-((P32)*(IF((YEAR(D32)+4)&lt;YEAR(E32),0,IF((YEAR(D32)+4)&gt;YEAR(E32),1,(12-MONTH(E32)+1)/12))) + (R32)*(IF((YEAR(D32)+4)&lt;YEAR(E32),0,IF((YEAR(D32)+4)&gt;YEAR(E32),1,(12-MONTH(E32)+1)/12))))-(IF(OR(N32="",N32&lt;=0),0,(O32/N32)*(IF(OR(N32="",N32&lt;=0),0,IF((YEAR(D32)+4)&lt;YEAR(E32),0,IF((YEAR(D32)+4)&gt;=YEAR(E32)+N32,0,IF((YEAR(D32)+4)=YEAR(E32),(12-MONTH(E32)+1)/12,1))))))))&gt;0,(((K32)*(IF(M32="",L32,IFERROR(IF(INDEX(Variablen!$I:$AT, MATCH(M32, Variablen!$A:$A, 0), MATCH((YEAR(D32)+4), Variablen!$I$3:$AT$3, 0))="",L32,INDEX(Variablen!$I:$AT, MATCH(M32, Variablen!$A:$A, 0), MATCH((YEAR(D32)+4), Variablen!$I$3:$AT$3, 0))),L32)))*(IF((YEAR(D32)+4)&lt;YEAR(E32),0,IF((YEAR(D32)+4)&gt;YEAR(E32),1,(12-MONTH(E32)+1)/12))) + (Q32)*(IF((YEAR(D32)+4)&lt;YEAR(E32),0,IF((YEAR(D32)+4)&gt;YEAR(E32),1,(12-MONTH(E32)+1)/12))))-((P32)*(IF((YEAR(D32)+4)&lt;YEAR(E32),0,IF((YEAR(D32)+4)&gt;YEAR(E32),1,(12-MONTH(E32)+1)/12))) + (R32)*(IF((YEAR(D32)+4)&lt;YEAR(E32),0,IF((YEAR(D32)+4)&gt;YEAR(E32),1,(12-MONTH(E32)+1)/12))))-(IF(OR(N32="",N32&lt;=0),0,(O32/N32)*(IF(OR(N32="",N32&lt;=0),0,IF((YEAR(D32)+4)&lt;YEAR(E32),0,IF((YEAR(D32)+4)&gt;=YEAR(E32)+N32,0,IF((YEAR(D32)+4)=YEAR(E32),(12-MONTH(E32)+1)/12,1))))))))*TaxRate,0))-IF(4=0,O32,0))</f>
        <v/>
      </c>
      <c r="X32" s="29">
        <f>IF(A32="","",((K32)*(IF(M32="",L32,IFERROR(IF(INDEX(Variablen!$I:$AT, MATCH(M32, Variablen!$A:$A, 0), MATCH((YEAR(D32)+5), Variablen!$I$3:$AT$3, 0))="",L32,INDEX(Variablen!$I:$AT, MATCH(M32, Variablen!$A:$A, 0), MATCH((YEAR(D32)+5), Variablen!$I$3:$AT$3, 0))),L32)))*(IF((YEAR(D32)+5)&lt;YEAR(E32),0,IF((YEAR(D32)+5)&gt;YEAR(E32),1,(12-MONTH(E32)+1)/12))) + (Q32)*(IF((YEAR(D32)+5)&lt;YEAR(E32),0,IF((YEAR(D32)+5)&gt;YEAR(E32),1,(12-MONTH(E32)+1)/12))))-((P32)*(IF((YEAR(D32)+5)&lt;YEAR(E32),0,IF((YEAR(D32)+5)&gt;YEAR(E32),1,(12-MONTH(E32)+1)/12))) + (R32)*(IF((YEAR(D32)+5)&lt;YEAR(E32),0,IF((YEAR(D32)+5)&gt;YEAR(E32),1,(12-MONTH(E32)+1)/12))))-(IF((((K32)*(IF(M32="",L32,IFERROR(IF(INDEX(Variablen!$I:$AT, MATCH(M32, Variablen!$A:$A, 0), MATCH((YEAR(D32)+5), Variablen!$I$3:$AT$3, 0))="",L32,INDEX(Variablen!$I:$AT, MATCH(M32, Variablen!$A:$A, 0), MATCH((YEAR(D32)+5), Variablen!$I$3:$AT$3, 0))),L32)))*(IF((YEAR(D32)+5)&lt;YEAR(E32),0,IF((YEAR(D32)+5)&gt;YEAR(E32),1,(12-MONTH(E32)+1)/12))) + (Q32)*(IF((YEAR(D32)+5)&lt;YEAR(E32),0,IF((YEAR(D32)+5)&gt;YEAR(E32),1,(12-MONTH(E32)+1)/12))))-((P32)*(IF((YEAR(D32)+5)&lt;YEAR(E32),0,IF((YEAR(D32)+5)&gt;YEAR(E32),1,(12-MONTH(E32)+1)/12))) + (R32)*(IF((YEAR(D32)+5)&lt;YEAR(E32),0,IF((YEAR(D32)+5)&gt;YEAR(E32),1,(12-MONTH(E32)+1)/12))))-(IF(OR(N32="",N32&lt;=0),0,(O32/N32)*(IF(OR(N32="",N32&lt;=0),0,IF((YEAR(D32)+5)&lt;YEAR(E32),0,IF((YEAR(D32)+5)&gt;=YEAR(E32)+N32,0,IF((YEAR(D32)+5)=YEAR(E32),(12-MONTH(E32)+1)/12,1))))))))&gt;0,(((K32)*(IF(M32="",L32,IFERROR(IF(INDEX(Variablen!$I:$AT, MATCH(M32, Variablen!$A:$A, 0), MATCH((YEAR(D32)+5), Variablen!$I$3:$AT$3, 0))="",L32,INDEX(Variablen!$I:$AT, MATCH(M32, Variablen!$A:$A, 0), MATCH((YEAR(D32)+5), Variablen!$I$3:$AT$3, 0))),L32)))*(IF((YEAR(D32)+5)&lt;YEAR(E32),0,IF((YEAR(D32)+5)&gt;YEAR(E32),1,(12-MONTH(E32)+1)/12))) + (Q32)*(IF((YEAR(D32)+5)&lt;YEAR(E32),0,IF((YEAR(D32)+5)&gt;YEAR(E32),1,(12-MONTH(E32)+1)/12))))-((P32)*(IF((YEAR(D32)+5)&lt;YEAR(E32),0,IF((YEAR(D32)+5)&gt;YEAR(E32),1,(12-MONTH(E32)+1)/12))) + (R32)*(IF((YEAR(D32)+5)&lt;YEAR(E32),0,IF((YEAR(D32)+5)&gt;YEAR(E32),1,(12-MONTH(E32)+1)/12))))-(IF(OR(N32="",N32&lt;=0),0,(O32/N32)*(IF(OR(N32="",N32&lt;=0),0,IF((YEAR(D32)+5)&lt;YEAR(E32),0,IF((YEAR(D32)+5)&gt;=YEAR(E32)+N32,0,IF((YEAR(D32)+5)=YEAR(E32),(12-MONTH(E32)+1)/12,1))))))))*TaxRate,0))-IF(5=0,O32,0))</f>
        <v/>
      </c>
      <c r="Y32" s="29">
        <f>IF(A32="","",((K32)*(IF(M32="",L32,IFERROR(IF(INDEX(Variablen!$I:$AT, MATCH(M32, Variablen!$A:$A, 0), MATCH((YEAR(D32)+6), Variablen!$I$3:$AT$3, 0))="",L32,INDEX(Variablen!$I:$AT, MATCH(M32, Variablen!$A:$A, 0), MATCH((YEAR(D32)+6), Variablen!$I$3:$AT$3, 0))),L32)))*(IF((YEAR(D32)+6)&lt;YEAR(E32),0,IF((YEAR(D32)+6)&gt;YEAR(E32),1,(12-MONTH(E32)+1)/12))) + (Q32)*(IF((YEAR(D32)+6)&lt;YEAR(E32),0,IF((YEAR(D32)+6)&gt;YEAR(E32),1,(12-MONTH(E32)+1)/12))))-((P32)*(IF((YEAR(D32)+6)&lt;YEAR(E32),0,IF((YEAR(D32)+6)&gt;YEAR(E32),1,(12-MONTH(E32)+1)/12))) + (R32)*(IF((YEAR(D32)+6)&lt;YEAR(E32),0,IF((YEAR(D32)+6)&gt;YEAR(E32),1,(12-MONTH(E32)+1)/12))))-(IF((((K32)*(IF(M32="",L32,IFERROR(IF(INDEX(Variablen!$I:$AT, MATCH(M32, Variablen!$A:$A, 0), MATCH((YEAR(D32)+6), Variablen!$I$3:$AT$3, 0))="",L32,INDEX(Variablen!$I:$AT, MATCH(M32, Variablen!$A:$A, 0), MATCH((YEAR(D32)+6), Variablen!$I$3:$AT$3, 0))),L32)))*(IF((YEAR(D32)+6)&lt;YEAR(E32),0,IF((YEAR(D32)+6)&gt;YEAR(E32),1,(12-MONTH(E32)+1)/12))) + (Q32)*(IF((YEAR(D32)+6)&lt;YEAR(E32),0,IF((YEAR(D32)+6)&gt;YEAR(E32),1,(12-MONTH(E32)+1)/12))))-((P32)*(IF((YEAR(D32)+6)&lt;YEAR(E32),0,IF((YEAR(D32)+6)&gt;YEAR(E32),1,(12-MONTH(E32)+1)/12))) + (R32)*(IF((YEAR(D32)+6)&lt;YEAR(E32),0,IF((YEAR(D32)+6)&gt;YEAR(E32),1,(12-MONTH(E32)+1)/12))))-(IF(OR(N32="",N32&lt;=0),0,(O32/N32)*(IF(OR(N32="",N32&lt;=0),0,IF((YEAR(D32)+6)&lt;YEAR(E32),0,IF((YEAR(D32)+6)&gt;=YEAR(E32)+N32,0,IF((YEAR(D32)+6)=YEAR(E32),(12-MONTH(E32)+1)/12,1))))))))&gt;0,(((K32)*(IF(M32="",L32,IFERROR(IF(INDEX(Variablen!$I:$AT, MATCH(M32, Variablen!$A:$A, 0), MATCH((YEAR(D32)+6), Variablen!$I$3:$AT$3, 0))="",L32,INDEX(Variablen!$I:$AT, MATCH(M32, Variablen!$A:$A, 0), MATCH((YEAR(D32)+6), Variablen!$I$3:$AT$3, 0))),L32)))*(IF((YEAR(D32)+6)&lt;YEAR(E32),0,IF((YEAR(D32)+6)&gt;YEAR(E32),1,(12-MONTH(E32)+1)/12))) + (Q32)*(IF((YEAR(D32)+6)&lt;YEAR(E32),0,IF((YEAR(D32)+6)&gt;YEAR(E32),1,(12-MONTH(E32)+1)/12))))-((P32)*(IF((YEAR(D32)+6)&lt;YEAR(E32),0,IF((YEAR(D32)+6)&gt;YEAR(E32),1,(12-MONTH(E32)+1)/12))) + (R32)*(IF((YEAR(D32)+6)&lt;YEAR(E32),0,IF((YEAR(D32)+6)&gt;YEAR(E32),1,(12-MONTH(E32)+1)/12))))-(IF(OR(N32="",N32&lt;=0),0,(O32/N32)*(IF(OR(N32="",N32&lt;=0),0,IF((YEAR(D32)+6)&lt;YEAR(E32),0,IF((YEAR(D32)+6)&gt;=YEAR(E32)+N32,0,IF((YEAR(D32)+6)=YEAR(E32),(12-MONTH(E32)+1)/12,1))))))))*TaxRate,0))-IF(6=0,O32,0))</f>
        <v/>
      </c>
      <c r="Z32" s="29">
        <f>IF(A32="","",((K32)*(IF(M32="",L32,IFERROR(IF(INDEX(Variablen!$I:$AT, MATCH(M32, Variablen!$A:$A, 0), MATCH((YEAR(D32)+7), Variablen!$I$3:$AT$3, 0))="",L32,INDEX(Variablen!$I:$AT, MATCH(M32, Variablen!$A:$A, 0), MATCH((YEAR(D32)+7), Variablen!$I$3:$AT$3, 0))),L32)))*(IF((YEAR(D32)+7)&lt;YEAR(E32),0,IF((YEAR(D32)+7)&gt;YEAR(E32),1,(12-MONTH(E32)+1)/12))) + (Q32)*(IF((YEAR(D32)+7)&lt;YEAR(E32),0,IF((YEAR(D32)+7)&gt;YEAR(E32),1,(12-MONTH(E32)+1)/12))))-((P32)*(IF((YEAR(D32)+7)&lt;YEAR(E32),0,IF((YEAR(D32)+7)&gt;YEAR(E32),1,(12-MONTH(E32)+1)/12))) + (R32)*(IF((YEAR(D32)+7)&lt;YEAR(E32),0,IF((YEAR(D32)+7)&gt;YEAR(E32),1,(12-MONTH(E32)+1)/12))))-(IF((((K32)*(IF(M32="",L32,IFERROR(IF(INDEX(Variablen!$I:$AT, MATCH(M32, Variablen!$A:$A, 0), MATCH((YEAR(D32)+7), Variablen!$I$3:$AT$3, 0))="",L32,INDEX(Variablen!$I:$AT, MATCH(M32, Variablen!$A:$A, 0), MATCH((YEAR(D32)+7), Variablen!$I$3:$AT$3, 0))),L32)))*(IF((YEAR(D32)+7)&lt;YEAR(E32),0,IF((YEAR(D32)+7)&gt;YEAR(E32),1,(12-MONTH(E32)+1)/12))) + (Q32)*(IF((YEAR(D32)+7)&lt;YEAR(E32),0,IF((YEAR(D32)+7)&gt;YEAR(E32),1,(12-MONTH(E32)+1)/12))))-((P32)*(IF((YEAR(D32)+7)&lt;YEAR(E32),0,IF((YEAR(D32)+7)&gt;YEAR(E32),1,(12-MONTH(E32)+1)/12))) + (R32)*(IF((YEAR(D32)+7)&lt;YEAR(E32),0,IF((YEAR(D32)+7)&gt;YEAR(E32),1,(12-MONTH(E32)+1)/12))))-(IF(OR(N32="",N32&lt;=0),0,(O32/N32)*(IF(OR(N32="",N32&lt;=0),0,IF((YEAR(D32)+7)&lt;YEAR(E32),0,IF((YEAR(D32)+7)&gt;=YEAR(E32)+N32,0,IF((YEAR(D32)+7)=YEAR(E32),(12-MONTH(E32)+1)/12,1))))))))&gt;0,(((K32)*(IF(M32="",L32,IFERROR(IF(INDEX(Variablen!$I:$AT, MATCH(M32, Variablen!$A:$A, 0), MATCH((YEAR(D32)+7), Variablen!$I$3:$AT$3, 0))="",L32,INDEX(Variablen!$I:$AT, MATCH(M32, Variablen!$A:$A, 0), MATCH((YEAR(D32)+7), Variablen!$I$3:$AT$3, 0))),L32)))*(IF((YEAR(D32)+7)&lt;YEAR(E32),0,IF((YEAR(D32)+7)&gt;YEAR(E32),1,(12-MONTH(E32)+1)/12))) + (Q32)*(IF((YEAR(D32)+7)&lt;YEAR(E32),0,IF((YEAR(D32)+7)&gt;YEAR(E32),1,(12-MONTH(E32)+1)/12))))-((P32)*(IF((YEAR(D32)+7)&lt;YEAR(E32),0,IF((YEAR(D32)+7)&gt;YEAR(E32),1,(12-MONTH(E32)+1)/12))) + (R32)*(IF((YEAR(D32)+7)&lt;YEAR(E32),0,IF((YEAR(D32)+7)&gt;YEAR(E32),1,(12-MONTH(E32)+1)/12))))-(IF(OR(N32="",N32&lt;=0),0,(O32/N32)*(IF(OR(N32="",N32&lt;=0),0,IF((YEAR(D32)+7)&lt;YEAR(E32),0,IF((YEAR(D32)+7)&gt;=YEAR(E32)+N32,0,IF((YEAR(D32)+7)=YEAR(E32),(12-MONTH(E32)+1)/12,1))))))))*TaxRate,0))-IF(7=0,O32,0))</f>
        <v/>
      </c>
      <c r="AA32" s="29">
        <f>IF(A32="","",((K32)*(IF(M32="",L32,IFERROR(IF(INDEX(Variablen!$I:$AT, MATCH(M32, Variablen!$A:$A, 0), MATCH((YEAR(D32)+8), Variablen!$I$3:$AT$3, 0))="",L32,INDEX(Variablen!$I:$AT, MATCH(M32, Variablen!$A:$A, 0), MATCH((YEAR(D32)+8), Variablen!$I$3:$AT$3, 0))),L32)))*(IF((YEAR(D32)+8)&lt;YEAR(E32),0,IF((YEAR(D32)+8)&gt;YEAR(E32),1,(12-MONTH(E32)+1)/12))) + (Q32)*(IF((YEAR(D32)+8)&lt;YEAR(E32),0,IF((YEAR(D32)+8)&gt;YEAR(E32),1,(12-MONTH(E32)+1)/12))))-((P32)*(IF((YEAR(D32)+8)&lt;YEAR(E32),0,IF((YEAR(D32)+8)&gt;YEAR(E32),1,(12-MONTH(E32)+1)/12))) + (R32)*(IF((YEAR(D32)+8)&lt;YEAR(E32),0,IF((YEAR(D32)+8)&gt;YEAR(E32),1,(12-MONTH(E32)+1)/12))))-(IF((((K32)*(IF(M32="",L32,IFERROR(IF(INDEX(Variablen!$I:$AT, MATCH(M32, Variablen!$A:$A, 0), MATCH((YEAR(D32)+8), Variablen!$I$3:$AT$3, 0))="",L32,INDEX(Variablen!$I:$AT, MATCH(M32, Variablen!$A:$A, 0), MATCH((YEAR(D32)+8), Variablen!$I$3:$AT$3, 0))),L32)))*(IF((YEAR(D32)+8)&lt;YEAR(E32),0,IF((YEAR(D32)+8)&gt;YEAR(E32),1,(12-MONTH(E32)+1)/12))) + (Q32)*(IF((YEAR(D32)+8)&lt;YEAR(E32),0,IF((YEAR(D32)+8)&gt;YEAR(E32),1,(12-MONTH(E32)+1)/12))))-((P32)*(IF((YEAR(D32)+8)&lt;YEAR(E32),0,IF((YEAR(D32)+8)&gt;YEAR(E32),1,(12-MONTH(E32)+1)/12))) + (R32)*(IF((YEAR(D32)+8)&lt;YEAR(E32),0,IF((YEAR(D32)+8)&gt;YEAR(E32),1,(12-MONTH(E32)+1)/12))))-(IF(OR(N32="",N32&lt;=0),0,(O32/N32)*(IF(OR(N32="",N32&lt;=0),0,IF((YEAR(D32)+8)&lt;YEAR(E32),0,IF((YEAR(D32)+8)&gt;=YEAR(E32)+N32,0,IF((YEAR(D32)+8)=YEAR(E32),(12-MONTH(E32)+1)/12,1))))))))&gt;0,(((K32)*(IF(M32="",L32,IFERROR(IF(INDEX(Variablen!$I:$AT, MATCH(M32, Variablen!$A:$A, 0), MATCH((YEAR(D32)+8), Variablen!$I$3:$AT$3, 0))="",L32,INDEX(Variablen!$I:$AT, MATCH(M32, Variablen!$A:$A, 0), MATCH((YEAR(D32)+8), Variablen!$I$3:$AT$3, 0))),L32)))*(IF((YEAR(D32)+8)&lt;YEAR(E32),0,IF((YEAR(D32)+8)&gt;YEAR(E32),1,(12-MONTH(E32)+1)/12))) + (Q32)*(IF((YEAR(D32)+8)&lt;YEAR(E32),0,IF((YEAR(D32)+8)&gt;YEAR(E32),1,(12-MONTH(E32)+1)/12))))-((P32)*(IF((YEAR(D32)+8)&lt;YEAR(E32),0,IF((YEAR(D32)+8)&gt;YEAR(E32),1,(12-MONTH(E32)+1)/12))) + (R32)*(IF((YEAR(D32)+8)&lt;YEAR(E32),0,IF((YEAR(D32)+8)&gt;YEAR(E32),1,(12-MONTH(E32)+1)/12))))-(IF(OR(N32="",N32&lt;=0),0,(O32/N32)*(IF(OR(N32="",N32&lt;=0),0,IF((YEAR(D32)+8)&lt;YEAR(E32),0,IF((YEAR(D32)+8)&gt;=YEAR(E32)+N32,0,IF((YEAR(D32)+8)=YEAR(E32),(12-MONTH(E32)+1)/12,1))))))))*TaxRate,0))-IF(8=0,O32,0))</f>
        <v/>
      </c>
      <c r="AB32" s="29">
        <f>IF(A32="","",((K32)*(IF(M32="",L32,IFERROR(IF(INDEX(Variablen!$I:$AT, MATCH(M32, Variablen!$A:$A, 0), MATCH((YEAR(D32)+9), Variablen!$I$3:$AT$3, 0))="",L32,INDEX(Variablen!$I:$AT, MATCH(M32, Variablen!$A:$A, 0), MATCH((YEAR(D32)+9), Variablen!$I$3:$AT$3, 0))),L32)))*(IF((YEAR(D32)+9)&lt;YEAR(E32),0,IF((YEAR(D32)+9)&gt;YEAR(E32),1,(12-MONTH(E32)+1)/12))) + (Q32)*(IF((YEAR(D32)+9)&lt;YEAR(E32),0,IF((YEAR(D32)+9)&gt;YEAR(E32),1,(12-MONTH(E32)+1)/12))))-((P32)*(IF((YEAR(D32)+9)&lt;YEAR(E32),0,IF((YEAR(D32)+9)&gt;YEAR(E32),1,(12-MONTH(E32)+1)/12))) + (R32)*(IF((YEAR(D32)+9)&lt;YEAR(E32),0,IF((YEAR(D32)+9)&gt;YEAR(E32),1,(12-MONTH(E32)+1)/12))))-(IF((((K32)*(IF(M32="",L32,IFERROR(IF(INDEX(Variablen!$I:$AT, MATCH(M32, Variablen!$A:$A, 0), MATCH((YEAR(D32)+9), Variablen!$I$3:$AT$3, 0))="",L32,INDEX(Variablen!$I:$AT, MATCH(M32, Variablen!$A:$A, 0), MATCH((YEAR(D32)+9), Variablen!$I$3:$AT$3, 0))),L32)))*(IF((YEAR(D32)+9)&lt;YEAR(E32),0,IF((YEAR(D32)+9)&gt;YEAR(E32),1,(12-MONTH(E32)+1)/12))) + (Q32)*(IF((YEAR(D32)+9)&lt;YEAR(E32),0,IF((YEAR(D32)+9)&gt;YEAR(E32),1,(12-MONTH(E32)+1)/12))))-((P32)*(IF((YEAR(D32)+9)&lt;YEAR(E32),0,IF((YEAR(D32)+9)&gt;YEAR(E32),1,(12-MONTH(E32)+1)/12))) + (R32)*(IF((YEAR(D32)+9)&lt;YEAR(E32),0,IF((YEAR(D32)+9)&gt;YEAR(E32),1,(12-MONTH(E32)+1)/12))))-(IF(OR(N32="",N32&lt;=0),0,(O32/N32)*(IF(OR(N32="",N32&lt;=0),0,IF((YEAR(D32)+9)&lt;YEAR(E32),0,IF((YEAR(D32)+9)&gt;=YEAR(E32)+N32,0,IF((YEAR(D32)+9)=YEAR(E32),(12-MONTH(E32)+1)/12,1))))))))&gt;0,(((K32)*(IF(M32="",L32,IFERROR(IF(INDEX(Variablen!$I:$AT, MATCH(M32, Variablen!$A:$A, 0), MATCH((YEAR(D32)+9), Variablen!$I$3:$AT$3, 0))="",L32,INDEX(Variablen!$I:$AT, MATCH(M32, Variablen!$A:$A, 0), MATCH((YEAR(D32)+9), Variablen!$I$3:$AT$3, 0))),L32)))*(IF((YEAR(D32)+9)&lt;YEAR(E32),0,IF((YEAR(D32)+9)&gt;YEAR(E32),1,(12-MONTH(E32)+1)/12))) + (Q32)*(IF((YEAR(D32)+9)&lt;YEAR(E32),0,IF((YEAR(D32)+9)&gt;YEAR(E32),1,(12-MONTH(E32)+1)/12))))-((P32)*(IF((YEAR(D32)+9)&lt;YEAR(E32),0,IF((YEAR(D32)+9)&gt;YEAR(E32),1,(12-MONTH(E32)+1)/12))) + (R32)*(IF((YEAR(D32)+9)&lt;YEAR(E32),0,IF((YEAR(D32)+9)&gt;YEAR(E32),1,(12-MONTH(E32)+1)/12))))-(IF(OR(N32="",N32&lt;=0),0,(O32/N32)*(IF(OR(N32="",N32&lt;=0),0,IF((YEAR(D32)+9)&lt;YEAR(E32),0,IF((YEAR(D32)+9)&gt;=YEAR(E32)+N32,0,IF((YEAR(D32)+9)=YEAR(E32),(12-MONTH(E32)+1)/12,1))))))))*TaxRate,0))-IF(9=0,O32,0))</f>
        <v/>
      </c>
      <c r="AC32" s="29">
        <f>IF(A32="","",((K32)*(IF(M32="",L32,IFERROR(IF(INDEX(Variablen!$I:$AT, MATCH(M32, Variablen!$A:$A, 0), MATCH((YEAR(D32)+10), Variablen!$I$3:$AT$3, 0))="",L32,INDEX(Variablen!$I:$AT, MATCH(M32, Variablen!$A:$A, 0), MATCH((YEAR(D32)+10), Variablen!$I$3:$AT$3, 0))),L32)))*(IF((YEAR(D32)+10)&lt;YEAR(E32),0,IF((YEAR(D32)+10)&gt;YEAR(E32),1,(12-MONTH(E32)+1)/12))) + (Q32)*(IF((YEAR(D32)+10)&lt;YEAR(E32),0,IF((YEAR(D32)+10)&gt;YEAR(E32),1,(12-MONTH(E32)+1)/12))))-((P32)*(IF((YEAR(D32)+10)&lt;YEAR(E32),0,IF((YEAR(D32)+10)&gt;YEAR(E32),1,(12-MONTH(E32)+1)/12))) + (R32)*(IF((YEAR(D32)+10)&lt;YEAR(E32),0,IF((YEAR(D32)+10)&gt;YEAR(E32),1,(12-MONTH(E32)+1)/12))))-(IF((((K32)*(IF(M32="",L32,IFERROR(IF(INDEX(Variablen!$I:$AT, MATCH(M32, Variablen!$A:$A, 0), MATCH((YEAR(D32)+10), Variablen!$I$3:$AT$3, 0))="",L32,INDEX(Variablen!$I:$AT, MATCH(M32, Variablen!$A:$A, 0), MATCH((YEAR(D32)+10), Variablen!$I$3:$AT$3, 0))),L32)))*(IF((YEAR(D32)+10)&lt;YEAR(E32),0,IF((YEAR(D32)+10)&gt;YEAR(E32),1,(12-MONTH(E32)+1)/12))) + (Q32)*(IF((YEAR(D32)+10)&lt;YEAR(E32),0,IF((YEAR(D32)+10)&gt;YEAR(E32),1,(12-MONTH(E32)+1)/12))))-((P32)*(IF((YEAR(D32)+10)&lt;YEAR(E32),0,IF((YEAR(D32)+10)&gt;YEAR(E32),1,(12-MONTH(E32)+1)/12))) + (R32)*(IF((YEAR(D32)+10)&lt;YEAR(E32),0,IF((YEAR(D32)+10)&gt;YEAR(E32),1,(12-MONTH(E32)+1)/12))))-(IF(OR(N32="",N32&lt;=0),0,(O32/N32)*(IF(OR(N32="",N32&lt;=0),0,IF((YEAR(D32)+10)&lt;YEAR(E32),0,IF((YEAR(D32)+10)&gt;=YEAR(E32)+N32,0,IF((YEAR(D32)+10)=YEAR(E32),(12-MONTH(E32)+1)/12,1))))))))&gt;0,(((K32)*(IF(M32="",L32,IFERROR(IF(INDEX(Variablen!$I:$AT, MATCH(M32, Variablen!$A:$A, 0), MATCH((YEAR(D32)+10), Variablen!$I$3:$AT$3, 0))="",L32,INDEX(Variablen!$I:$AT, MATCH(M32, Variablen!$A:$A, 0), MATCH((YEAR(D32)+10), Variablen!$I$3:$AT$3, 0))),L32)))*(IF((YEAR(D32)+10)&lt;YEAR(E32),0,IF((YEAR(D32)+10)&gt;YEAR(E32),1,(12-MONTH(E32)+1)/12))) + (Q32)*(IF((YEAR(D32)+10)&lt;YEAR(E32),0,IF((YEAR(D32)+10)&gt;YEAR(E32),1,(12-MONTH(E32)+1)/12))))-((P32)*(IF((YEAR(D32)+10)&lt;YEAR(E32),0,IF((YEAR(D32)+10)&gt;YEAR(E32),1,(12-MONTH(E32)+1)/12))) + (R32)*(IF((YEAR(D32)+10)&lt;YEAR(E32),0,IF((YEAR(D32)+10)&gt;YEAR(E32),1,(12-MONTH(E32)+1)/12))))-(IF(OR(N32="",N32&lt;=0),0,(O32/N32)*(IF(OR(N32="",N32&lt;=0),0,IF((YEAR(D32)+10)&lt;YEAR(E32),0,IF((YEAR(D32)+10)&gt;=YEAR(E32)+N32,0,IF((YEAR(D32)+10)=YEAR(E32),(12-MONTH(E32)+1)/12,1))))))))*TaxRate,0))-IF(10=0,O32,0))</f>
        <v/>
      </c>
      <c r="AD32" s="29">
        <f>IF(A32="","",((K32)*(IF(M32="",L32,IFERROR(IF(INDEX(Variablen!$I:$AT, MATCH(M32, Variablen!$A:$A, 0), MATCH((YEAR(D32)+11), Variablen!$I$3:$AT$3, 0))="",L32,INDEX(Variablen!$I:$AT, MATCH(M32, Variablen!$A:$A, 0), MATCH((YEAR(D32)+11), Variablen!$I$3:$AT$3, 0))),L32)))*(IF((YEAR(D32)+11)&lt;YEAR(E32),0,IF((YEAR(D32)+11)&gt;YEAR(E32),1,(12-MONTH(E32)+1)/12))) + (Q32)*(IF((YEAR(D32)+11)&lt;YEAR(E32),0,IF((YEAR(D32)+11)&gt;YEAR(E32),1,(12-MONTH(E32)+1)/12))))-((P32)*(IF((YEAR(D32)+11)&lt;YEAR(E32),0,IF((YEAR(D32)+11)&gt;YEAR(E32),1,(12-MONTH(E32)+1)/12))) + (R32)*(IF((YEAR(D32)+11)&lt;YEAR(E32),0,IF((YEAR(D32)+11)&gt;YEAR(E32),1,(12-MONTH(E32)+1)/12))))-(IF((((K32)*(IF(M32="",L32,IFERROR(IF(INDEX(Variablen!$I:$AT, MATCH(M32, Variablen!$A:$A, 0), MATCH((YEAR(D32)+11), Variablen!$I$3:$AT$3, 0))="",L32,INDEX(Variablen!$I:$AT, MATCH(M32, Variablen!$A:$A, 0), MATCH((YEAR(D32)+11), Variablen!$I$3:$AT$3, 0))),L32)))*(IF((YEAR(D32)+11)&lt;YEAR(E32),0,IF((YEAR(D32)+11)&gt;YEAR(E32),1,(12-MONTH(E32)+1)/12))) + (Q32)*(IF((YEAR(D32)+11)&lt;YEAR(E32),0,IF((YEAR(D32)+11)&gt;YEAR(E32),1,(12-MONTH(E32)+1)/12))))-((P32)*(IF((YEAR(D32)+11)&lt;YEAR(E32),0,IF((YEAR(D32)+11)&gt;YEAR(E32),1,(12-MONTH(E32)+1)/12))) + (R32)*(IF((YEAR(D32)+11)&lt;YEAR(E32),0,IF((YEAR(D32)+11)&gt;YEAR(E32),1,(12-MONTH(E32)+1)/12))))-(IF(OR(N32="",N32&lt;=0),0,(O32/N32)*(IF(OR(N32="",N32&lt;=0),0,IF((YEAR(D32)+11)&lt;YEAR(E32),0,IF((YEAR(D32)+11)&gt;=YEAR(E32)+N32,0,IF((YEAR(D32)+11)=YEAR(E32),(12-MONTH(E32)+1)/12,1))))))))&gt;0,(((K32)*(IF(M32="",L32,IFERROR(IF(INDEX(Variablen!$I:$AT, MATCH(M32, Variablen!$A:$A, 0), MATCH((YEAR(D32)+11), Variablen!$I$3:$AT$3, 0))="",L32,INDEX(Variablen!$I:$AT, MATCH(M32, Variablen!$A:$A, 0), MATCH((YEAR(D32)+11), Variablen!$I$3:$AT$3, 0))),L32)))*(IF((YEAR(D32)+11)&lt;YEAR(E32),0,IF((YEAR(D32)+11)&gt;YEAR(E32),1,(12-MONTH(E32)+1)/12))) + (Q32)*(IF((YEAR(D32)+11)&lt;YEAR(E32),0,IF((YEAR(D32)+11)&gt;YEAR(E32),1,(12-MONTH(E32)+1)/12))))-((P32)*(IF((YEAR(D32)+11)&lt;YEAR(E32),0,IF((YEAR(D32)+11)&gt;YEAR(E32),1,(12-MONTH(E32)+1)/12))) + (R32)*(IF((YEAR(D32)+11)&lt;YEAR(E32),0,IF((YEAR(D32)+11)&gt;YEAR(E32),1,(12-MONTH(E32)+1)/12))))-(IF(OR(N32="",N32&lt;=0),0,(O32/N32)*(IF(OR(N32="",N32&lt;=0),0,IF((YEAR(D32)+11)&lt;YEAR(E32),0,IF((YEAR(D32)+11)&gt;=YEAR(E32)+N32,0,IF((YEAR(D32)+11)=YEAR(E32),(12-MONTH(E32)+1)/12,1))))))))*TaxRate,0))-IF(11=0,O32,0))</f>
        <v/>
      </c>
      <c r="AE32" s="29">
        <f>IF(A32="","",((K32)*(IF(M32="",L32,IFERROR(IF(INDEX(Variablen!$I:$AT, MATCH(M32, Variablen!$A:$A, 0), MATCH((YEAR(D32)+12), Variablen!$I$3:$AT$3, 0))="",L32,INDEX(Variablen!$I:$AT, MATCH(M32, Variablen!$A:$A, 0), MATCH((YEAR(D32)+12), Variablen!$I$3:$AT$3, 0))),L32)))*(IF((YEAR(D32)+12)&lt;YEAR(E32),0,IF((YEAR(D32)+12)&gt;YEAR(E32),1,(12-MONTH(E32)+1)/12))) + (Q32)*(IF((YEAR(D32)+12)&lt;YEAR(E32),0,IF((YEAR(D32)+12)&gt;YEAR(E32),1,(12-MONTH(E32)+1)/12))))-((P32)*(IF((YEAR(D32)+12)&lt;YEAR(E32),0,IF((YEAR(D32)+12)&gt;YEAR(E32),1,(12-MONTH(E32)+1)/12))) + (R32)*(IF((YEAR(D32)+12)&lt;YEAR(E32),0,IF((YEAR(D32)+12)&gt;YEAR(E32),1,(12-MONTH(E32)+1)/12))))-(IF((((K32)*(IF(M32="",L32,IFERROR(IF(INDEX(Variablen!$I:$AT, MATCH(M32, Variablen!$A:$A, 0), MATCH((YEAR(D32)+12), Variablen!$I$3:$AT$3, 0))="",L32,INDEX(Variablen!$I:$AT, MATCH(M32, Variablen!$A:$A, 0), MATCH((YEAR(D32)+12), Variablen!$I$3:$AT$3, 0))),L32)))*(IF((YEAR(D32)+12)&lt;YEAR(E32),0,IF((YEAR(D32)+12)&gt;YEAR(E32),1,(12-MONTH(E32)+1)/12))) + (Q32)*(IF((YEAR(D32)+12)&lt;YEAR(E32),0,IF((YEAR(D32)+12)&gt;YEAR(E32),1,(12-MONTH(E32)+1)/12))))-((P32)*(IF((YEAR(D32)+12)&lt;YEAR(E32),0,IF((YEAR(D32)+12)&gt;YEAR(E32),1,(12-MONTH(E32)+1)/12))) + (R32)*(IF((YEAR(D32)+12)&lt;YEAR(E32),0,IF((YEAR(D32)+12)&gt;YEAR(E32),1,(12-MONTH(E32)+1)/12))))-(IF(OR(N32="",N32&lt;=0),0,(O32/N32)*(IF(OR(N32="",N32&lt;=0),0,IF((YEAR(D32)+12)&lt;YEAR(E32),0,IF((YEAR(D32)+12)&gt;=YEAR(E32)+N32,0,IF((YEAR(D32)+12)=YEAR(E32),(12-MONTH(E32)+1)/12,1))))))))&gt;0,(((K32)*(IF(M32="",L32,IFERROR(IF(INDEX(Variablen!$I:$AT, MATCH(M32, Variablen!$A:$A, 0), MATCH((YEAR(D32)+12), Variablen!$I$3:$AT$3, 0))="",L32,INDEX(Variablen!$I:$AT, MATCH(M32, Variablen!$A:$A, 0), MATCH((YEAR(D32)+12), Variablen!$I$3:$AT$3, 0))),L32)))*(IF((YEAR(D32)+12)&lt;YEAR(E32),0,IF((YEAR(D32)+12)&gt;YEAR(E32),1,(12-MONTH(E32)+1)/12))) + (Q32)*(IF((YEAR(D32)+12)&lt;YEAR(E32),0,IF((YEAR(D32)+12)&gt;YEAR(E32),1,(12-MONTH(E32)+1)/12))))-((P32)*(IF((YEAR(D32)+12)&lt;YEAR(E32),0,IF((YEAR(D32)+12)&gt;YEAR(E32),1,(12-MONTH(E32)+1)/12))) + (R32)*(IF((YEAR(D32)+12)&lt;YEAR(E32),0,IF((YEAR(D32)+12)&gt;YEAR(E32),1,(12-MONTH(E32)+1)/12))))-(IF(OR(N32="",N32&lt;=0),0,(O32/N32)*(IF(OR(N32="",N32&lt;=0),0,IF((YEAR(D32)+12)&lt;YEAR(E32),0,IF((YEAR(D32)+12)&gt;=YEAR(E32)+N32,0,IF((YEAR(D32)+12)=YEAR(E32),(12-MONTH(E32)+1)/12,1))))))))*TaxRate,0))-IF(12=0,O32,0))</f>
        <v/>
      </c>
      <c r="AF32" s="29">
        <f>IF(A32="","",((K32)*(IF(M32="",L32,IFERROR(IF(INDEX(Variablen!$I:$AT, MATCH(M32, Variablen!$A:$A, 0), MATCH((YEAR(D32)+13), Variablen!$I$3:$AT$3, 0))="",L32,INDEX(Variablen!$I:$AT, MATCH(M32, Variablen!$A:$A, 0), MATCH((YEAR(D32)+13), Variablen!$I$3:$AT$3, 0))),L32)))*(IF((YEAR(D32)+13)&lt;YEAR(E32),0,IF((YEAR(D32)+13)&gt;YEAR(E32),1,(12-MONTH(E32)+1)/12))) + (Q32)*(IF((YEAR(D32)+13)&lt;YEAR(E32),0,IF((YEAR(D32)+13)&gt;YEAR(E32),1,(12-MONTH(E32)+1)/12))))-((P32)*(IF((YEAR(D32)+13)&lt;YEAR(E32),0,IF((YEAR(D32)+13)&gt;YEAR(E32),1,(12-MONTH(E32)+1)/12))) + (R32)*(IF((YEAR(D32)+13)&lt;YEAR(E32),0,IF((YEAR(D32)+13)&gt;YEAR(E32),1,(12-MONTH(E32)+1)/12))))-(IF((((K32)*(IF(M32="",L32,IFERROR(IF(INDEX(Variablen!$I:$AT, MATCH(M32, Variablen!$A:$A, 0), MATCH((YEAR(D32)+13), Variablen!$I$3:$AT$3, 0))="",L32,INDEX(Variablen!$I:$AT, MATCH(M32, Variablen!$A:$A, 0), MATCH((YEAR(D32)+13), Variablen!$I$3:$AT$3, 0))),L32)))*(IF((YEAR(D32)+13)&lt;YEAR(E32),0,IF((YEAR(D32)+13)&gt;YEAR(E32),1,(12-MONTH(E32)+1)/12))) + (Q32)*(IF((YEAR(D32)+13)&lt;YEAR(E32),0,IF((YEAR(D32)+13)&gt;YEAR(E32),1,(12-MONTH(E32)+1)/12))))-((P32)*(IF((YEAR(D32)+13)&lt;YEAR(E32),0,IF((YEAR(D32)+13)&gt;YEAR(E32),1,(12-MONTH(E32)+1)/12))) + (R32)*(IF((YEAR(D32)+13)&lt;YEAR(E32),0,IF((YEAR(D32)+13)&gt;YEAR(E32),1,(12-MONTH(E32)+1)/12))))-(IF(OR(N32="",N32&lt;=0),0,(O32/N32)*(IF(OR(N32="",N32&lt;=0),0,IF((YEAR(D32)+13)&lt;YEAR(E32),0,IF((YEAR(D32)+13)&gt;=YEAR(E32)+N32,0,IF((YEAR(D32)+13)=YEAR(E32),(12-MONTH(E32)+1)/12,1))))))))&gt;0,(((K32)*(IF(M32="",L32,IFERROR(IF(INDEX(Variablen!$I:$AT, MATCH(M32, Variablen!$A:$A, 0), MATCH((YEAR(D32)+13), Variablen!$I$3:$AT$3, 0))="",L32,INDEX(Variablen!$I:$AT, MATCH(M32, Variablen!$A:$A, 0), MATCH((YEAR(D32)+13), Variablen!$I$3:$AT$3, 0))),L32)))*(IF((YEAR(D32)+13)&lt;YEAR(E32),0,IF((YEAR(D32)+13)&gt;YEAR(E32),1,(12-MONTH(E32)+1)/12))) + (Q32)*(IF((YEAR(D32)+13)&lt;YEAR(E32),0,IF((YEAR(D32)+13)&gt;YEAR(E32),1,(12-MONTH(E32)+1)/12))))-((P32)*(IF((YEAR(D32)+13)&lt;YEAR(E32),0,IF((YEAR(D32)+13)&gt;YEAR(E32),1,(12-MONTH(E32)+1)/12))) + (R32)*(IF((YEAR(D32)+13)&lt;YEAR(E32),0,IF((YEAR(D32)+13)&gt;YEAR(E32),1,(12-MONTH(E32)+1)/12))))-(IF(OR(N32="",N32&lt;=0),0,(O32/N32)*(IF(OR(N32="",N32&lt;=0),0,IF((YEAR(D32)+13)&lt;YEAR(E32),0,IF((YEAR(D32)+13)&gt;=YEAR(E32)+N32,0,IF((YEAR(D32)+13)=YEAR(E32),(12-MONTH(E32)+1)/12,1))))))))*TaxRate,0))-IF(13=0,O32,0))</f>
        <v/>
      </c>
      <c r="AG32" s="29">
        <f>IF(A32="","",((K32)*(IF(M32="",L32,IFERROR(IF(INDEX(Variablen!$I:$AT, MATCH(M32, Variablen!$A:$A, 0), MATCH((YEAR(D32)+14), Variablen!$I$3:$AT$3, 0))="",L32,INDEX(Variablen!$I:$AT, MATCH(M32, Variablen!$A:$A, 0), MATCH((YEAR(D32)+14), Variablen!$I$3:$AT$3, 0))),L32)))*(IF((YEAR(D32)+14)&lt;YEAR(E32),0,IF((YEAR(D32)+14)&gt;YEAR(E32),1,(12-MONTH(E32)+1)/12))) + (Q32)*(IF((YEAR(D32)+14)&lt;YEAR(E32),0,IF((YEAR(D32)+14)&gt;YEAR(E32),1,(12-MONTH(E32)+1)/12))))-((P32)*(IF((YEAR(D32)+14)&lt;YEAR(E32),0,IF((YEAR(D32)+14)&gt;YEAR(E32),1,(12-MONTH(E32)+1)/12))) + (R32)*(IF((YEAR(D32)+14)&lt;YEAR(E32),0,IF((YEAR(D32)+14)&gt;YEAR(E32),1,(12-MONTH(E32)+1)/12))))-(IF((((K32)*(IF(M32="",L32,IFERROR(IF(INDEX(Variablen!$I:$AT, MATCH(M32, Variablen!$A:$A, 0), MATCH((YEAR(D32)+14), Variablen!$I$3:$AT$3, 0))="",L32,INDEX(Variablen!$I:$AT, MATCH(M32, Variablen!$A:$A, 0), MATCH((YEAR(D32)+14), Variablen!$I$3:$AT$3, 0))),L32)))*(IF((YEAR(D32)+14)&lt;YEAR(E32),0,IF((YEAR(D32)+14)&gt;YEAR(E32),1,(12-MONTH(E32)+1)/12))) + (Q32)*(IF((YEAR(D32)+14)&lt;YEAR(E32),0,IF((YEAR(D32)+14)&gt;YEAR(E32),1,(12-MONTH(E32)+1)/12))))-((P32)*(IF((YEAR(D32)+14)&lt;YEAR(E32),0,IF((YEAR(D32)+14)&gt;YEAR(E32),1,(12-MONTH(E32)+1)/12))) + (R32)*(IF((YEAR(D32)+14)&lt;YEAR(E32),0,IF((YEAR(D32)+14)&gt;YEAR(E32),1,(12-MONTH(E32)+1)/12))))-(IF(OR(N32="",N32&lt;=0),0,(O32/N32)*(IF(OR(N32="",N32&lt;=0),0,IF((YEAR(D32)+14)&lt;YEAR(E32),0,IF((YEAR(D32)+14)&gt;=YEAR(E32)+N32,0,IF((YEAR(D32)+14)=YEAR(E32),(12-MONTH(E32)+1)/12,1))))))))&gt;0,(((K32)*(IF(M32="",L32,IFERROR(IF(INDEX(Variablen!$I:$AT, MATCH(M32, Variablen!$A:$A, 0), MATCH((YEAR(D32)+14), Variablen!$I$3:$AT$3, 0))="",L32,INDEX(Variablen!$I:$AT, MATCH(M32, Variablen!$A:$A, 0), MATCH((YEAR(D32)+14), Variablen!$I$3:$AT$3, 0))),L32)))*(IF((YEAR(D32)+14)&lt;YEAR(E32),0,IF((YEAR(D32)+14)&gt;YEAR(E32),1,(12-MONTH(E32)+1)/12))) + (Q32)*(IF((YEAR(D32)+14)&lt;YEAR(E32),0,IF((YEAR(D32)+14)&gt;YEAR(E32),1,(12-MONTH(E32)+1)/12))))-((P32)*(IF((YEAR(D32)+14)&lt;YEAR(E32),0,IF((YEAR(D32)+14)&gt;YEAR(E32),1,(12-MONTH(E32)+1)/12))) + (R32)*(IF((YEAR(D32)+14)&lt;YEAR(E32),0,IF((YEAR(D32)+14)&gt;YEAR(E32),1,(12-MONTH(E32)+1)/12))))-(IF(OR(N32="",N32&lt;=0),0,(O32/N32)*(IF(OR(N32="",N32&lt;=0),0,IF((YEAR(D32)+14)&lt;YEAR(E32),0,IF((YEAR(D32)+14)&gt;=YEAR(E32)+N32,0,IF((YEAR(D32)+14)=YEAR(E32),(12-MONTH(E32)+1)/12,1))))))))*TaxRate,0))-IF(14=0,O32,0))</f>
        <v/>
      </c>
      <c r="AH32" s="29">
        <f>IF(A32="","",((K32)*(IF(M32="",L32,IFERROR(IF(INDEX(Variablen!$I:$AT, MATCH(M32, Variablen!$A:$A, 0), MATCH((YEAR(D32)+15), Variablen!$I$3:$AT$3, 0))="",L32,INDEX(Variablen!$I:$AT, MATCH(M32, Variablen!$A:$A, 0), MATCH((YEAR(D32)+15), Variablen!$I$3:$AT$3, 0))),L32)))*(IF((YEAR(D32)+15)&lt;YEAR(E32),0,IF((YEAR(D32)+15)&gt;YEAR(E32),1,(12-MONTH(E32)+1)/12))) + (Q32)*(IF((YEAR(D32)+15)&lt;YEAR(E32),0,IF((YEAR(D32)+15)&gt;YEAR(E32),1,(12-MONTH(E32)+1)/12))))-((P32)*(IF((YEAR(D32)+15)&lt;YEAR(E32),0,IF((YEAR(D32)+15)&gt;YEAR(E32),1,(12-MONTH(E32)+1)/12))) + (R32)*(IF((YEAR(D32)+15)&lt;YEAR(E32),0,IF((YEAR(D32)+15)&gt;YEAR(E32),1,(12-MONTH(E32)+1)/12))))-(IF((((K32)*(IF(M32="",L32,IFERROR(IF(INDEX(Variablen!$I:$AT, MATCH(M32, Variablen!$A:$A, 0), MATCH((YEAR(D32)+15), Variablen!$I$3:$AT$3, 0))="",L32,INDEX(Variablen!$I:$AT, MATCH(M32, Variablen!$A:$A, 0), MATCH((YEAR(D32)+15), Variablen!$I$3:$AT$3, 0))),L32)))*(IF((YEAR(D32)+15)&lt;YEAR(E32),0,IF((YEAR(D32)+15)&gt;YEAR(E32),1,(12-MONTH(E32)+1)/12))) + (Q32)*(IF((YEAR(D32)+15)&lt;YEAR(E32),0,IF((YEAR(D32)+15)&gt;YEAR(E32),1,(12-MONTH(E32)+1)/12))))-((P32)*(IF((YEAR(D32)+15)&lt;YEAR(E32),0,IF((YEAR(D32)+15)&gt;YEAR(E32),1,(12-MONTH(E32)+1)/12))) + (R32)*(IF((YEAR(D32)+15)&lt;YEAR(E32),0,IF((YEAR(D32)+15)&gt;YEAR(E32),1,(12-MONTH(E32)+1)/12))))-(IF(OR(N32="",N32&lt;=0),0,(O32/N32)*(IF(OR(N32="",N32&lt;=0),0,IF((YEAR(D32)+15)&lt;YEAR(E32),0,IF((YEAR(D32)+15)&gt;=YEAR(E32)+N32,0,IF((YEAR(D32)+15)=YEAR(E32),(12-MONTH(E32)+1)/12,1))))))))&gt;0,(((K32)*(IF(M32="",L32,IFERROR(IF(INDEX(Variablen!$I:$AT, MATCH(M32, Variablen!$A:$A, 0), MATCH((YEAR(D32)+15), Variablen!$I$3:$AT$3, 0))="",L32,INDEX(Variablen!$I:$AT, MATCH(M32, Variablen!$A:$A, 0), MATCH((YEAR(D32)+15), Variablen!$I$3:$AT$3, 0))),L32)))*(IF((YEAR(D32)+15)&lt;YEAR(E32),0,IF((YEAR(D32)+15)&gt;YEAR(E32),1,(12-MONTH(E32)+1)/12))) + (Q32)*(IF((YEAR(D32)+15)&lt;YEAR(E32),0,IF((YEAR(D32)+15)&gt;YEAR(E32),1,(12-MONTH(E32)+1)/12))))-((P32)*(IF((YEAR(D32)+15)&lt;YEAR(E32),0,IF((YEAR(D32)+15)&gt;YEAR(E32),1,(12-MONTH(E32)+1)/12))) + (R32)*(IF((YEAR(D32)+15)&lt;YEAR(E32),0,IF((YEAR(D32)+15)&gt;YEAR(E32),1,(12-MONTH(E32)+1)/12))))-(IF(OR(N32="",N32&lt;=0),0,(O32/N32)*(IF(OR(N32="",N32&lt;=0),0,IF((YEAR(D32)+15)&lt;YEAR(E32),0,IF((YEAR(D32)+15)&gt;=YEAR(E32)+N32,0,IF((YEAR(D32)+15)=YEAR(E32),(12-MONTH(E32)+1)/12,1))))))))*TaxRate,0))-IF(15=0,O32,0))</f>
        <v/>
      </c>
      <c r="AI32" s="29">
        <f>IF(A32="","",((K32)*(IF(M32="",L32,IFERROR(IF(INDEX(Variablen!$I:$AT, MATCH(M32, Variablen!$A:$A, 0), MATCH((YEAR(D32)+16), Variablen!$I$3:$AT$3, 0))="",L32,INDEX(Variablen!$I:$AT, MATCH(M32, Variablen!$A:$A, 0), MATCH((YEAR(D32)+16), Variablen!$I$3:$AT$3, 0))),L32)))*(IF((YEAR(D32)+16)&lt;YEAR(E32),0,IF((YEAR(D32)+16)&gt;YEAR(E32),1,(12-MONTH(E32)+1)/12))) + (Q32)*(IF((YEAR(D32)+16)&lt;YEAR(E32),0,IF((YEAR(D32)+16)&gt;YEAR(E32),1,(12-MONTH(E32)+1)/12))))-((P32)*(IF((YEAR(D32)+16)&lt;YEAR(E32),0,IF((YEAR(D32)+16)&gt;YEAR(E32),1,(12-MONTH(E32)+1)/12))) + (R32)*(IF((YEAR(D32)+16)&lt;YEAR(E32),0,IF((YEAR(D32)+16)&gt;YEAR(E32),1,(12-MONTH(E32)+1)/12))))-(IF((((K32)*(IF(M32="",L32,IFERROR(IF(INDEX(Variablen!$I:$AT, MATCH(M32, Variablen!$A:$A, 0), MATCH((YEAR(D32)+16), Variablen!$I$3:$AT$3, 0))="",L32,INDEX(Variablen!$I:$AT, MATCH(M32, Variablen!$A:$A, 0), MATCH((YEAR(D32)+16), Variablen!$I$3:$AT$3, 0))),L32)))*(IF((YEAR(D32)+16)&lt;YEAR(E32),0,IF((YEAR(D32)+16)&gt;YEAR(E32),1,(12-MONTH(E32)+1)/12))) + (Q32)*(IF((YEAR(D32)+16)&lt;YEAR(E32),0,IF((YEAR(D32)+16)&gt;YEAR(E32),1,(12-MONTH(E32)+1)/12))))-((P32)*(IF((YEAR(D32)+16)&lt;YEAR(E32),0,IF((YEAR(D32)+16)&gt;YEAR(E32),1,(12-MONTH(E32)+1)/12))) + (R32)*(IF((YEAR(D32)+16)&lt;YEAR(E32),0,IF((YEAR(D32)+16)&gt;YEAR(E32),1,(12-MONTH(E32)+1)/12))))-(IF(OR(N32="",N32&lt;=0),0,(O32/N32)*(IF(OR(N32="",N32&lt;=0),0,IF((YEAR(D32)+16)&lt;YEAR(E32),0,IF((YEAR(D32)+16)&gt;=YEAR(E32)+N32,0,IF((YEAR(D32)+16)=YEAR(E32),(12-MONTH(E32)+1)/12,1))))))))&gt;0,(((K32)*(IF(M32="",L32,IFERROR(IF(INDEX(Variablen!$I:$AT, MATCH(M32, Variablen!$A:$A, 0), MATCH((YEAR(D32)+16), Variablen!$I$3:$AT$3, 0))="",L32,INDEX(Variablen!$I:$AT, MATCH(M32, Variablen!$A:$A, 0), MATCH((YEAR(D32)+16), Variablen!$I$3:$AT$3, 0))),L32)))*(IF((YEAR(D32)+16)&lt;YEAR(E32),0,IF((YEAR(D32)+16)&gt;YEAR(E32),1,(12-MONTH(E32)+1)/12))) + (Q32)*(IF((YEAR(D32)+16)&lt;YEAR(E32),0,IF((YEAR(D32)+16)&gt;YEAR(E32),1,(12-MONTH(E32)+1)/12))))-((P32)*(IF((YEAR(D32)+16)&lt;YEAR(E32),0,IF((YEAR(D32)+16)&gt;YEAR(E32),1,(12-MONTH(E32)+1)/12))) + (R32)*(IF((YEAR(D32)+16)&lt;YEAR(E32),0,IF((YEAR(D32)+16)&gt;YEAR(E32),1,(12-MONTH(E32)+1)/12))))-(IF(OR(N32="",N32&lt;=0),0,(O32/N32)*(IF(OR(N32="",N32&lt;=0),0,IF((YEAR(D32)+16)&lt;YEAR(E32),0,IF((YEAR(D32)+16)&gt;=YEAR(E32)+N32,0,IF((YEAR(D32)+16)=YEAR(E32),(12-MONTH(E32)+1)/12,1))))))))*TaxRate,0))-IF(16=0,O32,0))</f>
        <v/>
      </c>
      <c r="AJ32" s="29">
        <f>IF(A32="","",((K32)*(IF(M32="",L32,IFERROR(IF(INDEX(Variablen!$I:$AT, MATCH(M32, Variablen!$A:$A, 0), MATCH((YEAR(D32)+17), Variablen!$I$3:$AT$3, 0))="",L32,INDEX(Variablen!$I:$AT, MATCH(M32, Variablen!$A:$A, 0), MATCH((YEAR(D32)+17), Variablen!$I$3:$AT$3, 0))),L32)))*(IF((YEAR(D32)+17)&lt;YEAR(E32),0,IF((YEAR(D32)+17)&gt;YEAR(E32),1,(12-MONTH(E32)+1)/12))) + (Q32)*(IF((YEAR(D32)+17)&lt;YEAR(E32),0,IF((YEAR(D32)+17)&gt;YEAR(E32),1,(12-MONTH(E32)+1)/12))))-((P32)*(IF((YEAR(D32)+17)&lt;YEAR(E32),0,IF((YEAR(D32)+17)&gt;YEAR(E32),1,(12-MONTH(E32)+1)/12))) + (R32)*(IF((YEAR(D32)+17)&lt;YEAR(E32),0,IF((YEAR(D32)+17)&gt;YEAR(E32),1,(12-MONTH(E32)+1)/12))))-(IF((((K32)*(IF(M32="",L32,IFERROR(IF(INDEX(Variablen!$I:$AT, MATCH(M32, Variablen!$A:$A, 0), MATCH((YEAR(D32)+17), Variablen!$I$3:$AT$3, 0))="",L32,INDEX(Variablen!$I:$AT, MATCH(M32, Variablen!$A:$A, 0), MATCH((YEAR(D32)+17), Variablen!$I$3:$AT$3, 0))),L32)))*(IF((YEAR(D32)+17)&lt;YEAR(E32),0,IF((YEAR(D32)+17)&gt;YEAR(E32),1,(12-MONTH(E32)+1)/12))) + (Q32)*(IF((YEAR(D32)+17)&lt;YEAR(E32),0,IF((YEAR(D32)+17)&gt;YEAR(E32),1,(12-MONTH(E32)+1)/12))))-((P32)*(IF((YEAR(D32)+17)&lt;YEAR(E32),0,IF((YEAR(D32)+17)&gt;YEAR(E32),1,(12-MONTH(E32)+1)/12))) + (R32)*(IF((YEAR(D32)+17)&lt;YEAR(E32),0,IF((YEAR(D32)+17)&gt;YEAR(E32),1,(12-MONTH(E32)+1)/12))))-(IF(OR(N32="",N32&lt;=0),0,(O32/N32)*(IF(OR(N32="",N32&lt;=0),0,IF((YEAR(D32)+17)&lt;YEAR(E32),0,IF((YEAR(D32)+17)&gt;=YEAR(E32)+N32,0,IF((YEAR(D32)+17)=YEAR(E32),(12-MONTH(E32)+1)/12,1))))))))&gt;0,(((K32)*(IF(M32="",L32,IFERROR(IF(INDEX(Variablen!$I:$AT, MATCH(M32, Variablen!$A:$A, 0), MATCH((YEAR(D32)+17), Variablen!$I$3:$AT$3, 0))="",L32,INDEX(Variablen!$I:$AT, MATCH(M32, Variablen!$A:$A, 0), MATCH((YEAR(D32)+17), Variablen!$I$3:$AT$3, 0))),L32)))*(IF((YEAR(D32)+17)&lt;YEAR(E32),0,IF((YEAR(D32)+17)&gt;YEAR(E32),1,(12-MONTH(E32)+1)/12))) + (Q32)*(IF((YEAR(D32)+17)&lt;YEAR(E32),0,IF((YEAR(D32)+17)&gt;YEAR(E32),1,(12-MONTH(E32)+1)/12))))-((P32)*(IF((YEAR(D32)+17)&lt;YEAR(E32),0,IF((YEAR(D32)+17)&gt;YEAR(E32),1,(12-MONTH(E32)+1)/12))) + (R32)*(IF((YEAR(D32)+17)&lt;YEAR(E32),0,IF((YEAR(D32)+17)&gt;YEAR(E32),1,(12-MONTH(E32)+1)/12))))-(IF(OR(N32="",N32&lt;=0),0,(O32/N32)*(IF(OR(N32="",N32&lt;=0),0,IF((YEAR(D32)+17)&lt;YEAR(E32),0,IF((YEAR(D32)+17)&gt;=YEAR(E32)+N32,0,IF((YEAR(D32)+17)=YEAR(E32),(12-MONTH(E32)+1)/12,1))))))))*TaxRate,0))-IF(17=0,O32,0))</f>
        <v/>
      </c>
      <c r="AK32" s="29">
        <f>IF(A32="","",((K32)*(IF(M32="",L32,IFERROR(IF(INDEX(Variablen!$I:$AT, MATCH(M32, Variablen!$A:$A, 0), MATCH((YEAR(D32)+18), Variablen!$I$3:$AT$3, 0))="",L32,INDEX(Variablen!$I:$AT, MATCH(M32, Variablen!$A:$A, 0), MATCH((YEAR(D32)+18), Variablen!$I$3:$AT$3, 0))),L32)))*(IF((YEAR(D32)+18)&lt;YEAR(E32),0,IF((YEAR(D32)+18)&gt;YEAR(E32),1,(12-MONTH(E32)+1)/12))) + (Q32)*(IF((YEAR(D32)+18)&lt;YEAR(E32),0,IF((YEAR(D32)+18)&gt;YEAR(E32),1,(12-MONTH(E32)+1)/12))))-((P32)*(IF((YEAR(D32)+18)&lt;YEAR(E32),0,IF((YEAR(D32)+18)&gt;YEAR(E32),1,(12-MONTH(E32)+1)/12))) + (R32)*(IF((YEAR(D32)+18)&lt;YEAR(E32),0,IF((YEAR(D32)+18)&gt;YEAR(E32),1,(12-MONTH(E32)+1)/12))))-(IF((((K32)*(IF(M32="",L32,IFERROR(IF(INDEX(Variablen!$I:$AT, MATCH(M32, Variablen!$A:$A, 0), MATCH((YEAR(D32)+18), Variablen!$I$3:$AT$3, 0))="",L32,INDEX(Variablen!$I:$AT, MATCH(M32, Variablen!$A:$A, 0), MATCH((YEAR(D32)+18), Variablen!$I$3:$AT$3, 0))),L32)))*(IF((YEAR(D32)+18)&lt;YEAR(E32),0,IF((YEAR(D32)+18)&gt;YEAR(E32),1,(12-MONTH(E32)+1)/12))) + (Q32)*(IF((YEAR(D32)+18)&lt;YEAR(E32),0,IF((YEAR(D32)+18)&gt;YEAR(E32),1,(12-MONTH(E32)+1)/12))))-((P32)*(IF((YEAR(D32)+18)&lt;YEAR(E32),0,IF((YEAR(D32)+18)&gt;YEAR(E32),1,(12-MONTH(E32)+1)/12))) + (R32)*(IF((YEAR(D32)+18)&lt;YEAR(E32),0,IF((YEAR(D32)+18)&gt;YEAR(E32),1,(12-MONTH(E32)+1)/12))))-(IF(OR(N32="",N32&lt;=0),0,(O32/N32)*(IF(OR(N32="",N32&lt;=0),0,IF((YEAR(D32)+18)&lt;YEAR(E32),0,IF((YEAR(D32)+18)&gt;=YEAR(E32)+N32,0,IF((YEAR(D32)+18)=YEAR(E32),(12-MONTH(E32)+1)/12,1))))))))&gt;0,(((K32)*(IF(M32="",L32,IFERROR(IF(INDEX(Variablen!$I:$AT, MATCH(M32, Variablen!$A:$A, 0), MATCH((YEAR(D32)+18), Variablen!$I$3:$AT$3, 0))="",L32,INDEX(Variablen!$I:$AT, MATCH(M32, Variablen!$A:$A, 0), MATCH((YEAR(D32)+18), Variablen!$I$3:$AT$3, 0))),L32)))*(IF((YEAR(D32)+18)&lt;YEAR(E32),0,IF((YEAR(D32)+18)&gt;YEAR(E32),1,(12-MONTH(E32)+1)/12))) + (Q32)*(IF((YEAR(D32)+18)&lt;YEAR(E32),0,IF((YEAR(D32)+18)&gt;YEAR(E32),1,(12-MONTH(E32)+1)/12))))-((P32)*(IF((YEAR(D32)+18)&lt;YEAR(E32),0,IF((YEAR(D32)+18)&gt;YEAR(E32),1,(12-MONTH(E32)+1)/12))) + (R32)*(IF((YEAR(D32)+18)&lt;YEAR(E32),0,IF((YEAR(D32)+18)&gt;YEAR(E32),1,(12-MONTH(E32)+1)/12))))-(IF(OR(N32="",N32&lt;=0),0,(O32/N32)*(IF(OR(N32="",N32&lt;=0),0,IF((YEAR(D32)+18)&lt;YEAR(E32),0,IF((YEAR(D32)+18)&gt;=YEAR(E32)+N32,0,IF((YEAR(D32)+18)=YEAR(E32),(12-MONTH(E32)+1)/12,1))))))))*TaxRate,0))-IF(18=0,O32,0))</f>
        <v/>
      </c>
      <c r="AL32" s="29">
        <f>IF(A32="","",((K32)*(IF(M32="",L32,IFERROR(IF(INDEX(Variablen!$I:$AT, MATCH(M32, Variablen!$A:$A, 0), MATCH((YEAR(D32)+19), Variablen!$I$3:$AT$3, 0))="",L32,INDEX(Variablen!$I:$AT, MATCH(M32, Variablen!$A:$A, 0), MATCH((YEAR(D32)+19), Variablen!$I$3:$AT$3, 0))),L32)))*(IF((YEAR(D32)+19)&lt;YEAR(E32),0,IF((YEAR(D32)+19)&gt;YEAR(E32),1,(12-MONTH(E32)+1)/12))) + (Q32)*(IF((YEAR(D32)+19)&lt;YEAR(E32),0,IF((YEAR(D32)+19)&gt;YEAR(E32),1,(12-MONTH(E32)+1)/12))))-((P32)*(IF((YEAR(D32)+19)&lt;YEAR(E32),0,IF((YEAR(D32)+19)&gt;YEAR(E32),1,(12-MONTH(E32)+1)/12))) + (R32)*(IF((YEAR(D32)+19)&lt;YEAR(E32),0,IF((YEAR(D32)+19)&gt;YEAR(E32),1,(12-MONTH(E32)+1)/12))))-(IF((((K32)*(IF(M32="",L32,IFERROR(IF(INDEX(Variablen!$I:$AT, MATCH(M32, Variablen!$A:$A, 0), MATCH((YEAR(D32)+19), Variablen!$I$3:$AT$3, 0))="",L32,INDEX(Variablen!$I:$AT, MATCH(M32, Variablen!$A:$A, 0), MATCH((YEAR(D32)+19), Variablen!$I$3:$AT$3, 0))),L32)))*(IF((YEAR(D32)+19)&lt;YEAR(E32),0,IF((YEAR(D32)+19)&gt;YEAR(E32),1,(12-MONTH(E32)+1)/12))) + (Q32)*(IF((YEAR(D32)+19)&lt;YEAR(E32),0,IF((YEAR(D32)+19)&gt;YEAR(E32),1,(12-MONTH(E32)+1)/12))))-((P32)*(IF((YEAR(D32)+19)&lt;YEAR(E32),0,IF((YEAR(D32)+19)&gt;YEAR(E32),1,(12-MONTH(E32)+1)/12))) + (R32)*(IF((YEAR(D32)+19)&lt;YEAR(E32),0,IF((YEAR(D32)+19)&gt;YEAR(E32),1,(12-MONTH(E32)+1)/12))))-(IF(OR(N32="",N32&lt;=0),0,(O32/N32)*(IF(OR(N32="",N32&lt;=0),0,IF((YEAR(D32)+19)&lt;YEAR(E32),0,IF((YEAR(D32)+19)&gt;=YEAR(E32)+N32,0,IF((YEAR(D32)+19)=YEAR(E32),(12-MONTH(E32)+1)/12,1))))))))&gt;0,(((K32)*(IF(M32="",L32,IFERROR(IF(INDEX(Variablen!$I:$AT, MATCH(M32, Variablen!$A:$A, 0), MATCH((YEAR(D32)+19), Variablen!$I$3:$AT$3, 0))="",L32,INDEX(Variablen!$I:$AT, MATCH(M32, Variablen!$A:$A, 0), MATCH((YEAR(D32)+19), Variablen!$I$3:$AT$3, 0))),L32)))*(IF((YEAR(D32)+19)&lt;YEAR(E32),0,IF((YEAR(D32)+19)&gt;YEAR(E32),1,(12-MONTH(E32)+1)/12))) + (Q32)*(IF((YEAR(D32)+19)&lt;YEAR(E32),0,IF((YEAR(D32)+19)&gt;YEAR(E32),1,(12-MONTH(E32)+1)/12))))-((P32)*(IF((YEAR(D32)+19)&lt;YEAR(E32),0,IF((YEAR(D32)+19)&gt;YEAR(E32),1,(12-MONTH(E32)+1)/12))) + (R32)*(IF((YEAR(D32)+19)&lt;YEAR(E32),0,IF((YEAR(D32)+19)&gt;YEAR(E32),1,(12-MONTH(E32)+1)/12))))-(IF(OR(N32="",N32&lt;=0),0,(O32/N32)*(IF(OR(N32="",N32&lt;=0),0,IF((YEAR(D32)+19)&lt;YEAR(E32),0,IF((YEAR(D32)+19)&gt;=YEAR(E32)+N32,0,IF((YEAR(D32)+19)=YEAR(E32),(12-MONTH(E32)+1)/12,1))))))))*TaxRate,0))-IF(19=0,O32,0))</f>
        <v/>
      </c>
      <c r="AM32" s="29">
        <f>IF(A32="","",((K32)*(IF(M32="",L32,IFERROR(IF(INDEX(Variablen!$I:$AT, MATCH(M32, Variablen!$A:$A, 0), MATCH((YEAR(D32)+20), Variablen!$I$3:$AT$3, 0))="",L32,INDEX(Variablen!$I:$AT, MATCH(M32, Variablen!$A:$A, 0), MATCH((YEAR(D32)+20), Variablen!$I$3:$AT$3, 0))),L32)))*(IF((YEAR(D32)+20)&lt;YEAR(E32),0,IF((YEAR(D32)+20)&gt;YEAR(E32),1,(12-MONTH(E32)+1)/12))) + (Q32)*(IF((YEAR(D32)+20)&lt;YEAR(E32),0,IF((YEAR(D32)+20)&gt;YEAR(E32),1,(12-MONTH(E32)+1)/12))))-((P32)*(IF((YEAR(D32)+20)&lt;YEAR(E32),0,IF((YEAR(D32)+20)&gt;YEAR(E32),1,(12-MONTH(E32)+1)/12))) + (R32)*(IF((YEAR(D32)+20)&lt;YEAR(E32),0,IF((YEAR(D32)+20)&gt;YEAR(E32),1,(12-MONTH(E32)+1)/12))))-(IF((((K32)*(IF(M32="",L32,IFERROR(IF(INDEX(Variablen!$I:$AT, MATCH(M32, Variablen!$A:$A, 0), MATCH((YEAR(D32)+20), Variablen!$I$3:$AT$3, 0))="",L32,INDEX(Variablen!$I:$AT, MATCH(M32, Variablen!$A:$A, 0), MATCH((YEAR(D32)+20), Variablen!$I$3:$AT$3, 0))),L32)))*(IF((YEAR(D32)+20)&lt;YEAR(E32),0,IF((YEAR(D32)+20)&gt;YEAR(E32),1,(12-MONTH(E32)+1)/12))) + (Q32)*(IF((YEAR(D32)+20)&lt;YEAR(E32),0,IF((YEAR(D32)+20)&gt;YEAR(E32),1,(12-MONTH(E32)+1)/12))))-((P32)*(IF((YEAR(D32)+20)&lt;YEAR(E32),0,IF((YEAR(D32)+20)&gt;YEAR(E32),1,(12-MONTH(E32)+1)/12))) + (R32)*(IF((YEAR(D32)+20)&lt;YEAR(E32),0,IF((YEAR(D32)+20)&gt;YEAR(E32),1,(12-MONTH(E32)+1)/12))))-(IF(OR(N32="",N32&lt;=0),0,(O32/N32)*(IF(OR(N32="",N32&lt;=0),0,IF((YEAR(D32)+20)&lt;YEAR(E32),0,IF((YEAR(D32)+20)&gt;=YEAR(E32)+N32,0,IF((YEAR(D32)+20)=YEAR(E32),(12-MONTH(E32)+1)/12,1))))))))&gt;0,(((K32)*(IF(M32="",L32,IFERROR(IF(INDEX(Variablen!$I:$AT, MATCH(M32, Variablen!$A:$A, 0), MATCH((YEAR(D32)+20), Variablen!$I$3:$AT$3, 0))="",L32,INDEX(Variablen!$I:$AT, MATCH(M32, Variablen!$A:$A, 0), MATCH((YEAR(D32)+20), Variablen!$I$3:$AT$3, 0))),L32)))*(IF((YEAR(D32)+20)&lt;YEAR(E32),0,IF((YEAR(D32)+20)&gt;YEAR(E32),1,(12-MONTH(E32)+1)/12))) + (Q32)*(IF((YEAR(D32)+20)&lt;YEAR(E32),0,IF((YEAR(D32)+20)&gt;YEAR(E32),1,(12-MONTH(E32)+1)/12))))-((P32)*(IF((YEAR(D32)+20)&lt;YEAR(E32),0,IF((YEAR(D32)+20)&gt;YEAR(E32),1,(12-MONTH(E32)+1)/12))) + (R32)*(IF((YEAR(D32)+20)&lt;YEAR(E32),0,IF((YEAR(D32)+20)&gt;YEAR(E32),1,(12-MONTH(E32)+1)/12))))-(IF(OR(N32="",N32&lt;=0),0,(O32/N32)*(IF(OR(N32="",N32&lt;=0),0,IF((YEAR(D32)+20)&lt;YEAR(E32),0,IF((YEAR(D32)+20)&gt;=YEAR(E32)+N32,0,IF((YEAR(D32)+20)=YEAR(E32),(12-MONTH(E32)+1)/12,1))))))))*TaxRate,0))-IF(20=0,O32,0))</f>
        <v/>
      </c>
      <c r="AN32" s="29">
        <f>IF(A32="","",S32)</f>
        <v/>
      </c>
      <c r="AO32" s="29">
        <f>IF(A32="","",AN32+T32)</f>
        <v/>
      </c>
      <c r="AP32" s="29">
        <f>IF(A32="","",AO32+U32)</f>
        <v/>
      </c>
      <c r="AQ32" s="29">
        <f>IF(A32="","",AP32+V32)</f>
        <v/>
      </c>
      <c r="AR32" s="29">
        <f>IF(A32="","",AQ32+W32)</f>
        <v/>
      </c>
      <c r="AS32" s="29">
        <f>IF(A32="","",AR32+X32)</f>
        <v/>
      </c>
      <c r="AT32" s="29">
        <f>IF(A32="","",AS32+Y32)</f>
        <v/>
      </c>
      <c r="AU32" s="29">
        <f>IF(A32="","",AT32+Z32)</f>
        <v/>
      </c>
      <c r="AV32" s="29">
        <f>IF(A32="","",AU32+AA32)</f>
        <v/>
      </c>
      <c r="AW32" s="29">
        <f>IF(A32="","",AV32+AB32)</f>
        <v/>
      </c>
      <c r="AX32" s="29">
        <f>IF(A32="","",AW32+AC32)</f>
        <v/>
      </c>
      <c r="AY32" s="29">
        <f>IF(A32="","",AX32+AD32)</f>
        <v/>
      </c>
      <c r="AZ32" s="29">
        <f>IF(A32="","",AY32+AE32)</f>
        <v/>
      </c>
      <c r="BA32" s="29">
        <f>IF(A32="","",AZ32+AF32)</f>
        <v/>
      </c>
      <c r="BB32" s="29">
        <f>IF(A32="","",BA32+AG32)</f>
        <v/>
      </c>
      <c r="BC32" s="29">
        <f>IF(A32="","",BB32+AH32)</f>
        <v/>
      </c>
      <c r="BD32" s="29">
        <f>IF(A32="","",BC32+AI32)</f>
        <v/>
      </c>
      <c r="BE32" s="29">
        <f>IF(A32="","",BD32+AJ32)</f>
        <v/>
      </c>
      <c r="BF32" s="29">
        <f>IF(A32="","",BE32+AK32)</f>
        <v/>
      </c>
      <c r="BG32" s="29">
        <f>IF(A32="","",BF32+AL32)</f>
        <v/>
      </c>
      <c r="BH32" s="29">
        <f>IF(A32="","",BG32+AM32)</f>
        <v/>
      </c>
      <c r="BI32" s="36">
        <f>IF(A32="","",(K32)*(IF((YEAR(D32)+0)&lt;YEAR(E32),0,IF((YEAR(D32)+0)&gt;YEAR(E32),1,(12-MONTH(E32)+1)/12)))*(1/(1+DiscountRate)^0))</f>
        <v/>
      </c>
      <c r="BJ32" s="36">
        <f>IF(A32="","",(K32)*(IF((YEAR(D32)+1)&lt;YEAR(E32),0,IF((YEAR(D32)+1)&gt;YEAR(E32),1,(12-MONTH(E32)+1)/12)))*(1/(1+DiscountRate)^1))</f>
        <v/>
      </c>
      <c r="BK32" s="36">
        <f>IF(A32="","",(K32)*(IF((YEAR(D32)+2)&lt;YEAR(E32),0,IF((YEAR(D32)+2)&gt;YEAR(E32),1,(12-MONTH(E32)+1)/12)))*(1/(1+DiscountRate)^2))</f>
        <v/>
      </c>
      <c r="BL32" s="36">
        <f>IF(A32="","",(K32)*(IF((YEAR(D32)+3)&lt;YEAR(E32),0,IF((YEAR(D32)+3)&gt;YEAR(E32),1,(12-MONTH(E32)+1)/12)))*(1/(1+DiscountRate)^3))</f>
        <v/>
      </c>
      <c r="BM32" s="36">
        <f>IF(A32="","",(K32)*(IF((YEAR(D32)+4)&lt;YEAR(E32),0,IF((YEAR(D32)+4)&gt;YEAR(E32),1,(12-MONTH(E32)+1)/12)))*(1/(1+DiscountRate)^4))</f>
        <v/>
      </c>
      <c r="BN32" s="36">
        <f>IF(A32="","",(K32)*(IF((YEAR(D32)+5)&lt;YEAR(E32),0,IF((YEAR(D32)+5)&gt;YEAR(E32),1,(12-MONTH(E32)+1)/12)))*(1/(1+DiscountRate)^5))</f>
        <v/>
      </c>
      <c r="BO32" s="36">
        <f>IF(A32="","",(K32)*(IF((YEAR(D32)+6)&lt;YEAR(E32),0,IF((YEAR(D32)+6)&gt;YEAR(E32),1,(12-MONTH(E32)+1)/12)))*(1/(1+DiscountRate)^6))</f>
        <v/>
      </c>
      <c r="BP32" s="36">
        <f>IF(A32="","",(K32)*(IF((YEAR(D32)+7)&lt;YEAR(E32),0,IF((YEAR(D32)+7)&gt;YEAR(E32),1,(12-MONTH(E32)+1)/12)))*(1/(1+DiscountRate)^7))</f>
        <v/>
      </c>
      <c r="BQ32" s="36">
        <f>IF(A32="","",(K32)*(IF((YEAR(D32)+8)&lt;YEAR(E32),0,IF((YEAR(D32)+8)&gt;YEAR(E32),1,(12-MONTH(E32)+1)/12)))*(1/(1+DiscountRate)^8))</f>
        <v/>
      </c>
      <c r="BR32" s="36">
        <f>IF(A32="","",(K32)*(IF((YEAR(D32)+9)&lt;YEAR(E32),0,IF((YEAR(D32)+9)&gt;YEAR(E32),1,(12-MONTH(E32)+1)/12)))*(1/(1+DiscountRate)^9))</f>
        <v/>
      </c>
      <c r="BS32" s="36">
        <f>IF(A32="","",(K32)*(IF((YEAR(D32)+10)&lt;YEAR(E32),0,IF((YEAR(D32)+10)&gt;YEAR(E32),1,(12-MONTH(E32)+1)/12)))*(1/(1+DiscountRate)^10))</f>
        <v/>
      </c>
      <c r="BT32" s="36">
        <f>IF(A32="","",(K32)*(IF((YEAR(D32)+11)&lt;YEAR(E32),0,IF((YEAR(D32)+11)&gt;YEAR(E32),1,(12-MONTH(E32)+1)/12)))*(1/(1+DiscountRate)^11))</f>
        <v/>
      </c>
      <c r="BU32" s="36">
        <f>IF(A32="","",(K32)*(IF((YEAR(D32)+12)&lt;YEAR(E32),0,IF((YEAR(D32)+12)&gt;YEAR(E32),1,(12-MONTH(E32)+1)/12)))*(1/(1+DiscountRate)^12))</f>
        <v/>
      </c>
      <c r="BV32" s="36">
        <f>IF(A32="","",(K32)*(IF((YEAR(D32)+13)&lt;YEAR(E32),0,IF((YEAR(D32)+13)&gt;YEAR(E32),1,(12-MONTH(E32)+1)/12)))*(1/(1+DiscountRate)^13))</f>
        <v/>
      </c>
      <c r="BW32" s="36">
        <f>IF(A32="","",(K32)*(IF((YEAR(D32)+14)&lt;YEAR(E32),0,IF((YEAR(D32)+14)&gt;YEAR(E32),1,(12-MONTH(E32)+1)/12)))*(1/(1+DiscountRate)^14))</f>
        <v/>
      </c>
      <c r="BX32" s="36">
        <f>IF(A32="","",(K32)*(IF((YEAR(D32)+15)&lt;YEAR(E32),0,IF((YEAR(D32)+15)&gt;YEAR(E32),1,(12-MONTH(E32)+1)/12)))*(1/(1+DiscountRate)^15))</f>
        <v/>
      </c>
      <c r="BY32" s="36">
        <f>IF(A32="","",(K32)*(IF((YEAR(D32)+16)&lt;YEAR(E32),0,IF((YEAR(D32)+16)&gt;YEAR(E32),1,(12-MONTH(E32)+1)/12)))*(1/(1+DiscountRate)^16))</f>
        <v/>
      </c>
      <c r="BZ32" s="36">
        <f>IF(A32="","",(K32)*(IF((YEAR(D32)+17)&lt;YEAR(E32),0,IF((YEAR(D32)+17)&gt;YEAR(E32),1,(12-MONTH(E32)+1)/12)))*(1/(1+DiscountRate)^17))</f>
        <v/>
      </c>
      <c r="CA32" s="36">
        <f>IF(A32="","",(K32)*(IF((YEAR(D32)+18)&lt;YEAR(E32),0,IF((YEAR(D32)+18)&gt;YEAR(E32),1,(12-MONTH(E32)+1)/12)))*(1/(1+DiscountRate)^18))</f>
        <v/>
      </c>
      <c r="CB32" s="36">
        <f>IF(A32="","",(K32)*(IF((YEAR(D32)+19)&lt;YEAR(E32),0,IF((YEAR(D32)+19)&gt;YEAR(E32),1,(12-MONTH(E32)+1)/12)))*(1/(1+DiscountRate)^19))</f>
        <v/>
      </c>
      <c r="CC32" s="36">
        <f>IF(A32="","",(K32)*(IF((YEAR(D32)+20)&lt;YEAR(E32),0,IF((YEAR(D32)+20)&gt;YEAR(E32),1,(12-MONTH(E32)+1)/12)))*(1/(1+DiscountRate)^20))</f>
        <v/>
      </c>
      <c r="CD32" s="29">
        <f>IF(A32="","",S32/(1+DiscountRate)^0+T32/(1+DiscountRate)^1+U32/(1+DiscountRate)^2+V32/(1+DiscountRate)^3+W32/(1+DiscountRate)^4+X32/(1+DiscountRate)^5+Y32/(1+DiscountRate)^6+Z32/(1+DiscountRate)^7+AA32/(1+DiscountRate)^8+AB32/(1+DiscountRate)^9+AC32/(1+DiscountRate)^10+AD32/(1+DiscountRate)^11+AE32/(1+DiscountRate)^12+AF32/(1+DiscountRate)^13+AG32/(1+DiscountRate)^14+AH32/(1+DiscountRate)^15+AI32/(1+DiscountRate)^16+AJ32/(1+DiscountRate)^17+AK32/(1+DiscountRate)^18+AL32/(1+DiscountRate)^19+AM32/(1+DiscountRate)^20)</f>
        <v/>
      </c>
      <c r="CE32" s="37">
        <f>IF(A32="","",IFERROR(IRR(OFFSET(S32,0,0,1,MIN(HorizonYears,20)+1)),"n/a"))</f>
        <v/>
      </c>
      <c r="CF32" s="28">
        <f>IF(A32="","",IFERROR(MATCH(TRUE,OFFSET(AN32,0,0,1,MIN(HorizonYears,20)+1)&gt;=0,0)-1,"n/a"))</f>
        <v/>
      </c>
      <c r="CG32" s="36">
        <f>IF(A32="","",SUM(OFFSET(BI32,0,0,1,MIN(HorizonYears,20)+1)))</f>
        <v/>
      </c>
      <c r="CH32" s="36">
        <f>IF(A32="","",IFERROR(-CD32/CG32,"n/a"))</f>
        <v/>
      </c>
    </row>
    <row r="33">
      <c r="A33" s="6">
        <f>Actions!A31</f>
        <v/>
      </c>
      <c r="B33" s="6">
        <f>Actions!B31</f>
        <v/>
      </c>
      <c r="C33" s="6">
        <f>Actions!D31</f>
        <v/>
      </c>
      <c r="D33" s="35">
        <f>Actions!E31</f>
        <v/>
      </c>
      <c r="E33" s="35">
        <f>Actions!F31</f>
        <v/>
      </c>
      <c r="F33" s="6">
        <f>Actions!G31</f>
        <v/>
      </c>
      <c r="G33" s="6">
        <f>Actions!H31</f>
        <v/>
      </c>
      <c r="H33" s="29">
        <f>Actions!I31</f>
        <v/>
      </c>
      <c r="I33" s="6">
        <f>Actions!J31</f>
        <v/>
      </c>
      <c r="J33" s="16">
        <f>Actions!K31</f>
        <v/>
      </c>
      <c r="K33" s="16">
        <f>IF(A33="","",IF(I33="%",H33*J33,J33))</f>
        <v/>
      </c>
      <c r="L33" s="16">
        <f>Actions!L31</f>
        <v/>
      </c>
      <c r="M33" s="6">
        <f>Actions!M31</f>
        <v/>
      </c>
      <c r="N33" s="28">
        <f>Actions!N31</f>
        <v/>
      </c>
      <c r="O33" s="29">
        <f>Actions!T31</f>
        <v/>
      </c>
      <c r="P33" s="29">
        <f>Actions!Y31</f>
        <v/>
      </c>
      <c r="Q33" s="29">
        <f>Actions!Z31</f>
        <v/>
      </c>
      <c r="R33" s="29">
        <f>Actions!AA31</f>
        <v/>
      </c>
      <c r="S33" s="29">
        <f>IF(A33="","",((K33)*(IF(M33="",L33,IFERROR(IF(INDEX(Variablen!$I:$AT, MATCH(M33, Variablen!$A:$A, 0), MATCH((YEAR(D33)+0), Variablen!$I$3:$AT$3, 0))="",L33,INDEX(Variablen!$I:$AT, MATCH(M33, Variablen!$A:$A, 0), MATCH((YEAR(D33)+0), Variablen!$I$3:$AT$3, 0))),L33)))*(IF((YEAR(D33)+0)&lt;YEAR(E33),0,IF((YEAR(D33)+0)&gt;YEAR(E33),1,(12-MONTH(E33)+1)/12))) + (Q33)*(IF((YEAR(D33)+0)&lt;YEAR(E33),0,IF((YEAR(D33)+0)&gt;YEAR(E33),1,(12-MONTH(E33)+1)/12))))-((P33)*(IF((YEAR(D33)+0)&lt;YEAR(E33),0,IF((YEAR(D33)+0)&gt;YEAR(E33),1,(12-MONTH(E33)+1)/12))) + (R33)*(IF((YEAR(D33)+0)&lt;YEAR(E33),0,IF((YEAR(D33)+0)&gt;YEAR(E33),1,(12-MONTH(E33)+1)/12))))-(IF((((K33)*(IF(M33="",L33,IFERROR(IF(INDEX(Variablen!$I:$AT, MATCH(M33, Variablen!$A:$A, 0), MATCH((YEAR(D33)+0), Variablen!$I$3:$AT$3, 0))="",L33,INDEX(Variablen!$I:$AT, MATCH(M33, Variablen!$A:$A, 0), MATCH((YEAR(D33)+0), Variablen!$I$3:$AT$3, 0))),L33)))*(IF((YEAR(D33)+0)&lt;YEAR(E33),0,IF((YEAR(D33)+0)&gt;YEAR(E33),1,(12-MONTH(E33)+1)/12))) + (Q33)*(IF((YEAR(D33)+0)&lt;YEAR(E33),0,IF((YEAR(D33)+0)&gt;YEAR(E33),1,(12-MONTH(E33)+1)/12))))-((P33)*(IF((YEAR(D33)+0)&lt;YEAR(E33),0,IF((YEAR(D33)+0)&gt;YEAR(E33),1,(12-MONTH(E33)+1)/12))) + (R33)*(IF((YEAR(D33)+0)&lt;YEAR(E33),0,IF((YEAR(D33)+0)&gt;YEAR(E33),1,(12-MONTH(E33)+1)/12))))-(IF(OR(N33="",N33&lt;=0),0,(O33/N33)*(IF(OR(N33="",N33&lt;=0),0,IF((YEAR(D33)+0)&lt;YEAR(E33),0,IF((YEAR(D33)+0)&gt;=YEAR(E33)+N33,0,IF((YEAR(D33)+0)=YEAR(E33),(12-MONTH(E33)+1)/12,1))))))))&gt;0,(((K33)*(IF(M33="",L33,IFERROR(IF(INDEX(Variablen!$I:$AT, MATCH(M33, Variablen!$A:$A, 0), MATCH((YEAR(D33)+0), Variablen!$I$3:$AT$3, 0))="",L33,INDEX(Variablen!$I:$AT, MATCH(M33, Variablen!$A:$A, 0), MATCH((YEAR(D33)+0), Variablen!$I$3:$AT$3, 0))),L33)))*(IF((YEAR(D33)+0)&lt;YEAR(E33),0,IF((YEAR(D33)+0)&gt;YEAR(E33),1,(12-MONTH(E33)+1)/12))) + (Q33)*(IF((YEAR(D33)+0)&lt;YEAR(E33),0,IF((YEAR(D33)+0)&gt;YEAR(E33),1,(12-MONTH(E33)+1)/12))))-((P33)*(IF((YEAR(D33)+0)&lt;YEAR(E33),0,IF((YEAR(D33)+0)&gt;YEAR(E33),1,(12-MONTH(E33)+1)/12))) + (R33)*(IF((YEAR(D33)+0)&lt;YEAR(E33),0,IF((YEAR(D33)+0)&gt;YEAR(E33),1,(12-MONTH(E33)+1)/12))))-(IF(OR(N33="",N33&lt;=0),0,(O33/N33)*(IF(OR(N33="",N33&lt;=0),0,IF((YEAR(D33)+0)&lt;YEAR(E33),0,IF((YEAR(D33)+0)&gt;=YEAR(E33)+N33,0,IF((YEAR(D33)+0)=YEAR(E33),(12-MONTH(E33)+1)/12,1))))))))*TaxRate,0))-IF(0=0,O33,0))</f>
        <v/>
      </c>
      <c r="T33" s="29">
        <f>IF(A33="","",((K33)*(IF(M33="",L33,IFERROR(IF(INDEX(Variablen!$I:$AT, MATCH(M33, Variablen!$A:$A, 0), MATCH((YEAR(D33)+1), Variablen!$I$3:$AT$3, 0))="",L33,INDEX(Variablen!$I:$AT, MATCH(M33, Variablen!$A:$A, 0), MATCH((YEAR(D33)+1), Variablen!$I$3:$AT$3, 0))),L33)))*(IF((YEAR(D33)+1)&lt;YEAR(E33),0,IF((YEAR(D33)+1)&gt;YEAR(E33),1,(12-MONTH(E33)+1)/12))) + (Q33)*(IF((YEAR(D33)+1)&lt;YEAR(E33),0,IF((YEAR(D33)+1)&gt;YEAR(E33),1,(12-MONTH(E33)+1)/12))))-((P33)*(IF((YEAR(D33)+1)&lt;YEAR(E33),0,IF((YEAR(D33)+1)&gt;YEAR(E33),1,(12-MONTH(E33)+1)/12))) + (R33)*(IF((YEAR(D33)+1)&lt;YEAR(E33),0,IF((YEAR(D33)+1)&gt;YEAR(E33),1,(12-MONTH(E33)+1)/12))))-(IF((((K33)*(IF(M33="",L33,IFERROR(IF(INDEX(Variablen!$I:$AT, MATCH(M33, Variablen!$A:$A, 0), MATCH((YEAR(D33)+1), Variablen!$I$3:$AT$3, 0))="",L33,INDEX(Variablen!$I:$AT, MATCH(M33, Variablen!$A:$A, 0), MATCH((YEAR(D33)+1), Variablen!$I$3:$AT$3, 0))),L33)))*(IF((YEAR(D33)+1)&lt;YEAR(E33),0,IF((YEAR(D33)+1)&gt;YEAR(E33),1,(12-MONTH(E33)+1)/12))) + (Q33)*(IF((YEAR(D33)+1)&lt;YEAR(E33),0,IF((YEAR(D33)+1)&gt;YEAR(E33),1,(12-MONTH(E33)+1)/12))))-((P33)*(IF((YEAR(D33)+1)&lt;YEAR(E33),0,IF((YEAR(D33)+1)&gt;YEAR(E33),1,(12-MONTH(E33)+1)/12))) + (R33)*(IF((YEAR(D33)+1)&lt;YEAR(E33),0,IF((YEAR(D33)+1)&gt;YEAR(E33),1,(12-MONTH(E33)+1)/12))))-(IF(OR(N33="",N33&lt;=0),0,(O33/N33)*(IF(OR(N33="",N33&lt;=0),0,IF((YEAR(D33)+1)&lt;YEAR(E33),0,IF((YEAR(D33)+1)&gt;=YEAR(E33)+N33,0,IF((YEAR(D33)+1)=YEAR(E33),(12-MONTH(E33)+1)/12,1))))))))&gt;0,(((K33)*(IF(M33="",L33,IFERROR(IF(INDEX(Variablen!$I:$AT, MATCH(M33, Variablen!$A:$A, 0), MATCH((YEAR(D33)+1), Variablen!$I$3:$AT$3, 0))="",L33,INDEX(Variablen!$I:$AT, MATCH(M33, Variablen!$A:$A, 0), MATCH((YEAR(D33)+1), Variablen!$I$3:$AT$3, 0))),L33)))*(IF((YEAR(D33)+1)&lt;YEAR(E33),0,IF((YEAR(D33)+1)&gt;YEAR(E33),1,(12-MONTH(E33)+1)/12))) + (Q33)*(IF((YEAR(D33)+1)&lt;YEAR(E33),0,IF((YEAR(D33)+1)&gt;YEAR(E33),1,(12-MONTH(E33)+1)/12))))-((P33)*(IF((YEAR(D33)+1)&lt;YEAR(E33),0,IF((YEAR(D33)+1)&gt;YEAR(E33),1,(12-MONTH(E33)+1)/12))) + (R33)*(IF((YEAR(D33)+1)&lt;YEAR(E33),0,IF((YEAR(D33)+1)&gt;YEAR(E33),1,(12-MONTH(E33)+1)/12))))-(IF(OR(N33="",N33&lt;=0),0,(O33/N33)*(IF(OR(N33="",N33&lt;=0),0,IF((YEAR(D33)+1)&lt;YEAR(E33),0,IF((YEAR(D33)+1)&gt;=YEAR(E33)+N33,0,IF((YEAR(D33)+1)=YEAR(E33),(12-MONTH(E33)+1)/12,1))))))))*TaxRate,0))-IF(1=0,O33,0))</f>
        <v/>
      </c>
      <c r="U33" s="29">
        <f>IF(A33="","",((K33)*(IF(M33="",L33,IFERROR(IF(INDEX(Variablen!$I:$AT, MATCH(M33, Variablen!$A:$A, 0), MATCH((YEAR(D33)+2), Variablen!$I$3:$AT$3, 0))="",L33,INDEX(Variablen!$I:$AT, MATCH(M33, Variablen!$A:$A, 0), MATCH((YEAR(D33)+2), Variablen!$I$3:$AT$3, 0))),L33)))*(IF((YEAR(D33)+2)&lt;YEAR(E33),0,IF((YEAR(D33)+2)&gt;YEAR(E33),1,(12-MONTH(E33)+1)/12))) + (Q33)*(IF((YEAR(D33)+2)&lt;YEAR(E33),0,IF((YEAR(D33)+2)&gt;YEAR(E33),1,(12-MONTH(E33)+1)/12))))-((P33)*(IF((YEAR(D33)+2)&lt;YEAR(E33),0,IF((YEAR(D33)+2)&gt;YEAR(E33),1,(12-MONTH(E33)+1)/12))) + (R33)*(IF((YEAR(D33)+2)&lt;YEAR(E33),0,IF((YEAR(D33)+2)&gt;YEAR(E33),1,(12-MONTH(E33)+1)/12))))-(IF((((K33)*(IF(M33="",L33,IFERROR(IF(INDEX(Variablen!$I:$AT, MATCH(M33, Variablen!$A:$A, 0), MATCH((YEAR(D33)+2), Variablen!$I$3:$AT$3, 0))="",L33,INDEX(Variablen!$I:$AT, MATCH(M33, Variablen!$A:$A, 0), MATCH((YEAR(D33)+2), Variablen!$I$3:$AT$3, 0))),L33)))*(IF((YEAR(D33)+2)&lt;YEAR(E33),0,IF((YEAR(D33)+2)&gt;YEAR(E33),1,(12-MONTH(E33)+1)/12))) + (Q33)*(IF((YEAR(D33)+2)&lt;YEAR(E33),0,IF((YEAR(D33)+2)&gt;YEAR(E33),1,(12-MONTH(E33)+1)/12))))-((P33)*(IF((YEAR(D33)+2)&lt;YEAR(E33),0,IF((YEAR(D33)+2)&gt;YEAR(E33),1,(12-MONTH(E33)+1)/12))) + (R33)*(IF((YEAR(D33)+2)&lt;YEAR(E33),0,IF((YEAR(D33)+2)&gt;YEAR(E33),1,(12-MONTH(E33)+1)/12))))-(IF(OR(N33="",N33&lt;=0),0,(O33/N33)*(IF(OR(N33="",N33&lt;=0),0,IF((YEAR(D33)+2)&lt;YEAR(E33),0,IF((YEAR(D33)+2)&gt;=YEAR(E33)+N33,0,IF((YEAR(D33)+2)=YEAR(E33),(12-MONTH(E33)+1)/12,1))))))))&gt;0,(((K33)*(IF(M33="",L33,IFERROR(IF(INDEX(Variablen!$I:$AT, MATCH(M33, Variablen!$A:$A, 0), MATCH((YEAR(D33)+2), Variablen!$I$3:$AT$3, 0))="",L33,INDEX(Variablen!$I:$AT, MATCH(M33, Variablen!$A:$A, 0), MATCH((YEAR(D33)+2), Variablen!$I$3:$AT$3, 0))),L33)))*(IF((YEAR(D33)+2)&lt;YEAR(E33),0,IF((YEAR(D33)+2)&gt;YEAR(E33),1,(12-MONTH(E33)+1)/12))) + (Q33)*(IF((YEAR(D33)+2)&lt;YEAR(E33),0,IF((YEAR(D33)+2)&gt;YEAR(E33),1,(12-MONTH(E33)+1)/12))))-((P33)*(IF((YEAR(D33)+2)&lt;YEAR(E33),0,IF((YEAR(D33)+2)&gt;YEAR(E33),1,(12-MONTH(E33)+1)/12))) + (R33)*(IF((YEAR(D33)+2)&lt;YEAR(E33),0,IF((YEAR(D33)+2)&gt;YEAR(E33),1,(12-MONTH(E33)+1)/12))))-(IF(OR(N33="",N33&lt;=0),0,(O33/N33)*(IF(OR(N33="",N33&lt;=0),0,IF((YEAR(D33)+2)&lt;YEAR(E33),0,IF((YEAR(D33)+2)&gt;=YEAR(E33)+N33,0,IF((YEAR(D33)+2)=YEAR(E33),(12-MONTH(E33)+1)/12,1))))))))*TaxRate,0))-IF(2=0,O33,0))</f>
        <v/>
      </c>
      <c r="V33" s="29">
        <f>IF(A33="","",((K33)*(IF(M33="",L33,IFERROR(IF(INDEX(Variablen!$I:$AT, MATCH(M33, Variablen!$A:$A, 0), MATCH((YEAR(D33)+3), Variablen!$I$3:$AT$3, 0))="",L33,INDEX(Variablen!$I:$AT, MATCH(M33, Variablen!$A:$A, 0), MATCH((YEAR(D33)+3), Variablen!$I$3:$AT$3, 0))),L33)))*(IF((YEAR(D33)+3)&lt;YEAR(E33),0,IF((YEAR(D33)+3)&gt;YEAR(E33),1,(12-MONTH(E33)+1)/12))) + (Q33)*(IF((YEAR(D33)+3)&lt;YEAR(E33),0,IF((YEAR(D33)+3)&gt;YEAR(E33),1,(12-MONTH(E33)+1)/12))))-((P33)*(IF((YEAR(D33)+3)&lt;YEAR(E33),0,IF((YEAR(D33)+3)&gt;YEAR(E33),1,(12-MONTH(E33)+1)/12))) + (R33)*(IF((YEAR(D33)+3)&lt;YEAR(E33),0,IF((YEAR(D33)+3)&gt;YEAR(E33),1,(12-MONTH(E33)+1)/12))))-(IF((((K33)*(IF(M33="",L33,IFERROR(IF(INDEX(Variablen!$I:$AT, MATCH(M33, Variablen!$A:$A, 0), MATCH((YEAR(D33)+3), Variablen!$I$3:$AT$3, 0))="",L33,INDEX(Variablen!$I:$AT, MATCH(M33, Variablen!$A:$A, 0), MATCH((YEAR(D33)+3), Variablen!$I$3:$AT$3, 0))),L33)))*(IF((YEAR(D33)+3)&lt;YEAR(E33),0,IF((YEAR(D33)+3)&gt;YEAR(E33),1,(12-MONTH(E33)+1)/12))) + (Q33)*(IF((YEAR(D33)+3)&lt;YEAR(E33),0,IF((YEAR(D33)+3)&gt;YEAR(E33),1,(12-MONTH(E33)+1)/12))))-((P33)*(IF((YEAR(D33)+3)&lt;YEAR(E33),0,IF((YEAR(D33)+3)&gt;YEAR(E33),1,(12-MONTH(E33)+1)/12))) + (R33)*(IF((YEAR(D33)+3)&lt;YEAR(E33),0,IF((YEAR(D33)+3)&gt;YEAR(E33),1,(12-MONTH(E33)+1)/12))))-(IF(OR(N33="",N33&lt;=0),0,(O33/N33)*(IF(OR(N33="",N33&lt;=0),0,IF((YEAR(D33)+3)&lt;YEAR(E33),0,IF((YEAR(D33)+3)&gt;=YEAR(E33)+N33,0,IF((YEAR(D33)+3)=YEAR(E33),(12-MONTH(E33)+1)/12,1))))))))&gt;0,(((K33)*(IF(M33="",L33,IFERROR(IF(INDEX(Variablen!$I:$AT, MATCH(M33, Variablen!$A:$A, 0), MATCH((YEAR(D33)+3), Variablen!$I$3:$AT$3, 0))="",L33,INDEX(Variablen!$I:$AT, MATCH(M33, Variablen!$A:$A, 0), MATCH((YEAR(D33)+3), Variablen!$I$3:$AT$3, 0))),L33)))*(IF((YEAR(D33)+3)&lt;YEAR(E33),0,IF((YEAR(D33)+3)&gt;YEAR(E33),1,(12-MONTH(E33)+1)/12))) + (Q33)*(IF((YEAR(D33)+3)&lt;YEAR(E33),0,IF((YEAR(D33)+3)&gt;YEAR(E33),1,(12-MONTH(E33)+1)/12))))-((P33)*(IF((YEAR(D33)+3)&lt;YEAR(E33),0,IF((YEAR(D33)+3)&gt;YEAR(E33),1,(12-MONTH(E33)+1)/12))) + (R33)*(IF((YEAR(D33)+3)&lt;YEAR(E33),0,IF((YEAR(D33)+3)&gt;YEAR(E33),1,(12-MONTH(E33)+1)/12))))-(IF(OR(N33="",N33&lt;=0),0,(O33/N33)*(IF(OR(N33="",N33&lt;=0),0,IF((YEAR(D33)+3)&lt;YEAR(E33),0,IF((YEAR(D33)+3)&gt;=YEAR(E33)+N33,0,IF((YEAR(D33)+3)=YEAR(E33),(12-MONTH(E33)+1)/12,1))))))))*TaxRate,0))-IF(3=0,O33,0))</f>
        <v/>
      </c>
      <c r="W33" s="29">
        <f>IF(A33="","",((K33)*(IF(M33="",L33,IFERROR(IF(INDEX(Variablen!$I:$AT, MATCH(M33, Variablen!$A:$A, 0), MATCH((YEAR(D33)+4), Variablen!$I$3:$AT$3, 0))="",L33,INDEX(Variablen!$I:$AT, MATCH(M33, Variablen!$A:$A, 0), MATCH((YEAR(D33)+4), Variablen!$I$3:$AT$3, 0))),L33)))*(IF((YEAR(D33)+4)&lt;YEAR(E33),0,IF((YEAR(D33)+4)&gt;YEAR(E33),1,(12-MONTH(E33)+1)/12))) + (Q33)*(IF((YEAR(D33)+4)&lt;YEAR(E33),0,IF((YEAR(D33)+4)&gt;YEAR(E33),1,(12-MONTH(E33)+1)/12))))-((P33)*(IF((YEAR(D33)+4)&lt;YEAR(E33),0,IF((YEAR(D33)+4)&gt;YEAR(E33),1,(12-MONTH(E33)+1)/12))) + (R33)*(IF((YEAR(D33)+4)&lt;YEAR(E33),0,IF((YEAR(D33)+4)&gt;YEAR(E33),1,(12-MONTH(E33)+1)/12))))-(IF((((K33)*(IF(M33="",L33,IFERROR(IF(INDEX(Variablen!$I:$AT, MATCH(M33, Variablen!$A:$A, 0), MATCH((YEAR(D33)+4), Variablen!$I$3:$AT$3, 0))="",L33,INDEX(Variablen!$I:$AT, MATCH(M33, Variablen!$A:$A, 0), MATCH((YEAR(D33)+4), Variablen!$I$3:$AT$3, 0))),L33)))*(IF((YEAR(D33)+4)&lt;YEAR(E33),0,IF((YEAR(D33)+4)&gt;YEAR(E33),1,(12-MONTH(E33)+1)/12))) + (Q33)*(IF((YEAR(D33)+4)&lt;YEAR(E33),0,IF((YEAR(D33)+4)&gt;YEAR(E33),1,(12-MONTH(E33)+1)/12))))-((P33)*(IF((YEAR(D33)+4)&lt;YEAR(E33),0,IF((YEAR(D33)+4)&gt;YEAR(E33),1,(12-MONTH(E33)+1)/12))) + (R33)*(IF((YEAR(D33)+4)&lt;YEAR(E33),0,IF((YEAR(D33)+4)&gt;YEAR(E33),1,(12-MONTH(E33)+1)/12))))-(IF(OR(N33="",N33&lt;=0),0,(O33/N33)*(IF(OR(N33="",N33&lt;=0),0,IF((YEAR(D33)+4)&lt;YEAR(E33),0,IF((YEAR(D33)+4)&gt;=YEAR(E33)+N33,0,IF((YEAR(D33)+4)=YEAR(E33),(12-MONTH(E33)+1)/12,1))))))))&gt;0,(((K33)*(IF(M33="",L33,IFERROR(IF(INDEX(Variablen!$I:$AT, MATCH(M33, Variablen!$A:$A, 0), MATCH((YEAR(D33)+4), Variablen!$I$3:$AT$3, 0))="",L33,INDEX(Variablen!$I:$AT, MATCH(M33, Variablen!$A:$A, 0), MATCH((YEAR(D33)+4), Variablen!$I$3:$AT$3, 0))),L33)))*(IF((YEAR(D33)+4)&lt;YEAR(E33),0,IF((YEAR(D33)+4)&gt;YEAR(E33),1,(12-MONTH(E33)+1)/12))) + (Q33)*(IF((YEAR(D33)+4)&lt;YEAR(E33),0,IF((YEAR(D33)+4)&gt;YEAR(E33),1,(12-MONTH(E33)+1)/12))))-((P33)*(IF((YEAR(D33)+4)&lt;YEAR(E33),0,IF((YEAR(D33)+4)&gt;YEAR(E33),1,(12-MONTH(E33)+1)/12))) + (R33)*(IF((YEAR(D33)+4)&lt;YEAR(E33),0,IF((YEAR(D33)+4)&gt;YEAR(E33),1,(12-MONTH(E33)+1)/12))))-(IF(OR(N33="",N33&lt;=0),0,(O33/N33)*(IF(OR(N33="",N33&lt;=0),0,IF((YEAR(D33)+4)&lt;YEAR(E33),0,IF((YEAR(D33)+4)&gt;=YEAR(E33)+N33,0,IF((YEAR(D33)+4)=YEAR(E33),(12-MONTH(E33)+1)/12,1))))))))*TaxRate,0))-IF(4=0,O33,0))</f>
        <v/>
      </c>
      <c r="X33" s="29">
        <f>IF(A33="","",((K33)*(IF(M33="",L33,IFERROR(IF(INDEX(Variablen!$I:$AT, MATCH(M33, Variablen!$A:$A, 0), MATCH((YEAR(D33)+5), Variablen!$I$3:$AT$3, 0))="",L33,INDEX(Variablen!$I:$AT, MATCH(M33, Variablen!$A:$A, 0), MATCH((YEAR(D33)+5), Variablen!$I$3:$AT$3, 0))),L33)))*(IF((YEAR(D33)+5)&lt;YEAR(E33),0,IF((YEAR(D33)+5)&gt;YEAR(E33),1,(12-MONTH(E33)+1)/12))) + (Q33)*(IF((YEAR(D33)+5)&lt;YEAR(E33),0,IF((YEAR(D33)+5)&gt;YEAR(E33),1,(12-MONTH(E33)+1)/12))))-((P33)*(IF((YEAR(D33)+5)&lt;YEAR(E33),0,IF((YEAR(D33)+5)&gt;YEAR(E33),1,(12-MONTH(E33)+1)/12))) + (R33)*(IF((YEAR(D33)+5)&lt;YEAR(E33),0,IF((YEAR(D33)+5)&gt;YEAR(E33),1,(12-MONTH(E33)+1)/12))))-(IF((((K33)*(IF(M33="",L33,IFERROR(IF(INDEX(Variablen!$I:$AT, MATCH(M33, Variablen!$A:$A, 0), MATCH((YEAR(D33)+5), Variablen!$I$3:$AT$3, 0))="",L33,INDEX(Variablen!$I:$AT, MATCH(M33, Variablen!$A:$A, 0), MATCH((YEAR(D33)+5), Variablen!$I$3:$AT$3, 0))),L33)))*(IF((YEAR(D33)+5)&lt;YEAR(E33),0,IF((YEAR(D33)+5)&gt;YEAR(E33),1,(12-MONTH(E33)+1)/12))) + (Q33)*(IF((YEAR(D33)+5)&lt;YEAR(E33),0,IF((YEAR(D33)+5)&gt;YEAR(E33),1,(12-MONTH(E33)+1)/12))))-((P33)*(IF((YEAR(D33)+5)&lt;YEAR(E33),0,IF((YEAR(D33)+5)&gt;YEAR(E33),1,(12-MONTH(E33)+1)/12))) + (R33)*(IF((YEAR(D33)+5)&lt;YEAR(E33),0,IF((YEAR(D33)+5)&gt;YEAR(E33),1,(12-MONTH(E33)+1)/12))))-(IF(OR(N33="",N33&lt;=0),0,(O33/N33)*(IF(OR(N33="",N33&lt;=0),0,IF((YEAR(D33)+5)&lt;YEAR(E33),0,IF((YEAR(D33)+5)&gt;=YEAR(E33)+N33,0,IF((YEAR(D33)+5)=YEAR(E33),(12-MONTH(E33)+1)/12,1))))))))&gt;0,(((K33)*(IF(M33="",L33,IFERROR(IF(INDEX(Variablen!$I:$AT, MATCH(M33, Variablen!$A:$A, 0), MATCH((YEAR(D33)+5), Variablen!$I$3:$AT$3, 0))="",L33,INDEX(Variablen!$I:$AT, MATCH(M33, Variablen!$A:$A, 0), MATCH((YEAR(D33)+5), Variablen!$I$3:$AT$3, 0))),L33)))*(IF((YEAR(D33)+5)&lt;YEAR(E33),0,IF((YEAR(D33)+5)&gt;YEAR(E33),1,(12-MONTH(E33)+1)/12))) + (Q33)*(IF((YEAR(D33)+5)&lt;YEAR(E33),0,IF((YEAR(D33)+5)&gt;YEAR(E33),1,(12-MONTH(E33)+1)/12))))-((P33)*(IF((YEAR(D33)+5)&lt;YEAR(E33),0,IF((YEAR(D33)+5)&gt;YEAR(E33),1,(12-MONTH(E33)+1)/12))) + (R33)*(IF((YEAR(D33)+5)&lt;YEAR(E33),0,IF((YEAR(D33)+5)&gt;YEAR(E33),1,(12-MONTH(E33)+1)/12))))-(IF(OR(N33="",N33&lt;=0),0,(O33/N33)*(IF(OR(N33="",N33&lt;=0),0,IF((YEAR(D33)+5)&lt;YEAR(E33),0,IF((YEAR(D33)+5)&gt;=YEAR(E33)+N33,0,IF((YEAR(D33)+5)=YEAR(E33),(12-MONTH(E33)+1)/12,1))))))))*TaxRate,0))-IF(5=0,O33,0))</f>
        <v/>
      </c>
      <c r="Y33" s="29">
        <f>IF(A33="","",((K33)*(IF(M33="",L33,IFERROR(IF(INDEX(Variablen!$I:$AT, MATCH(M33, Variablen!$A:$A, 0), MATCH((YEAR(D33)+6), Variablen!$I$3:$AT$3, 0))="",L33,INDEX(Variablen!$I:$AT, MATCH(M33, Variablen!$A:$A, 0), MATCH((YEAR(D33)+6), Variablen!$I$3:$AT$3, 0))),L33)))*(IF((YEAR(D33)+6)&lt;YEAR(E33),0,IF((YEAR(D33)+6)&gt;YEAR(E33),1,(12-MONTH(E33)+1)/12))) + (Q33)*(IF((YEAR(D33)+6)&lt;YEAR(E33),0,IF((YEAR(D33)+6)&gt;YEAR(E33),1,(12-MONTH(E33)+1)/12))))-((P33)*(IF((YEAR(D33)+6)&lt;YEAR(E33),0,IF((YEAR(D33)+6)&gt;YEAR(E33),1,(12-MONTH(E33)+1)/12))) + (R33)*(IF((YEAR(D33)+6)&lt;YEAR(E33),0,IF((YEAR(D33)+6)&gt;YEAR(E33),1,(12-MONTH(E33)+1)/12))))-(IF((((K33)*(IF(M33="",L33,IFERROR(IF(INDEX(Variablen!$I:$AT, MATCH(M33, Variablen!$A:$A, 0), MATCH((YEAR(D33)+6), Variablen!$I$3:$AT$3, 0))="",L33,INDEX(Variablen!$I:$AT, MATCH(M33, Variablen!$A:$A, 0), MATCH((YEAR(D33)+6), Variablen!$I$3:$AT$3, 0))),L33)))*(IF((YEAR(D33)+6)&lt;YEAR(E33),0,IF((YEAR(D33)+6)&gt;YEAR(E33),1,(12-MONTH(E33)+1)/12))) + (Q33)*(IF((YEAR(D33)+6)&lt;YEAR(E33),0,IF((YEAR(D33)+6)&gt;YEAR(E33),1,(12-MONTH(E33)+1)/12))))-((P33)*(IF((YEAR(D33)+6)&lt;YEAR(E33),0,IF((YEAR(D33)+6)&gt;YEAR(E33),1,(12-MONTH(E33)+1)/12))) + (R33)*(IF((YEAR(D33)+6)&lt;YEAR(E33),0,IF((YEAR(D33)+6)&gt;YEAR(E33),1,(12-MONTH(E33)+1)/12))))-(IF(OR(N33="",N33&lt;=0),0,(O33/N33)*(IF(OR(N33="",N33&lt;=0),0,IF((YEAR(D33)+6)&lt;YEAR(E33),0,IF((YEAR(D33)+6)&gt;=YEAR(E33)+N33,0,IF((YEAR(D33)+6)=YEAR(E33),(12-MONTH(E33)+1)/12,1))))))))&gt;0,(((K33)*(IF(M33="",L33,IFERROR(IF(INDEX(Variablen!$I:$AT, MATCH(M33, Variablen!$A:$A, 0), MATCH((YEAR(D33)+6), Variablen!$I$3:$AT$3, 0))="",L33,INDEX(Variablen!$I:$AT, MATCH(M33, Variablen!$A:$A, 0), MATCH((YEAR(D33)+6), Variablen!$I$3:$AT$3, 0))),L33)))*(IF((YEAR(D33)+6)&lt;YEAR(E33),0,IF((YEAR(D33)+6)&gt;YEAR(E33),1,(12-MONTH(E33)+1)/12))) + (Q33)*(IF((YEAR(D33)+6)&lt;YEAR(E33),0,IF((YEAR(D33)+6)&gt;YEAR(E33),1,(12-MONTH(E33)+1)/12))))-((P33)*(IF((YEAR(D33)+6)&lt;YEAR(E33),0,IF((YEAR(D33)+6)&gt;YEAR(E33),1,(12-MONTH(E33)+1)/12))) + (R33)*(IF((YEAR(D33)+6)&lt;YEAR(E33),0,IF((YEAR(D33)+6)&gt;YEAR(E33),1,(12-MONTH(E33)+1)/12))))-(IF(OR(N33="",N33&lt;=0),0,(O33/N33)*(IF(OR(N33="",N33&lt;=0),0,IF((YEAR(D33)+6)&lt;YEAR(E33),0,IF((YEAR(D33)+6)&gt;=YEAR(E33)+N33,0,IF((YEAR(D33)+6)=YEAR(E33),(12-MONTH(E33)+1)/12,1))))))))*TaxRate,0))-IF(6=0,O33,0))</f>
        <v/>
      </c>
      <c r="Z33" s="29">
        <f>IF(A33="","",((K33)*(IF(M33="",L33,IFERROR(IF(INDEX(Variablen!$I:$AT, MATCH(M33, Variablen!$A:$A, 0), MATCH((YEAR(D33)+7), Variablen!$I$3:$AT$3, 0))="",L33,INDEX(Variablen!$I:$AT, MATCH(M33, Variablen!$A:$A, 0), MATCH((YEAR(D33)+7), Variablen!$I$3:$AT$3, 0))),L33)))*(IF((YEAR(D33)+7)&lt;YEAR(E33),0,IF((YEAR(D33)+7)&gt;YEAR(E33),1,(12-MONTH(E33)+1)/12))) + (Q33)*(IF((YEAR(D33)+7)&lt;YEAR(E33),0,IF((YEAR(D33)+7)&gt;YEAR(E33),1,(12-MONTH(E33)+1)/12))))-((P33)*(IF((YEAR(D33)+7)&lt;YEAR(E33),0,IF((YEAR(D33)+7)&gt;YEAR(E33),1,(12-MONTH(E33)+1)/12))) + (R33)*(IF((YEAR(D33)+7)&lt;YEAR(E33),0,IF((YEAR(D33)+7)&gt;YEAR(E33),1,(12-MONTH(E33)+1)/12))))-(IF((((K33)*(IF(M33="",L33,IFERROR(IF(INDEX(Variablen!$I:$AT, MATCH(M33, Variablen!$A:$A, 0), MATCH((YEAR(D33)+7), Variablen!$I$3:$AT$3, 0))="",L33,INDEX(Variablen!$I:$AT, MATCH(M33, Variablen!$A:$A, 0), MATCH((YEAR(D33)+7), Variablen!$I$3:$AT$3, 0))),L33)))*(IF((YEAR(D33)+7)&lt;YEAR(E33),0,IF((YEAR(D33)+7)&gt;YEAR(E33),1,(12-MONTH(E33)+1)/12))) + (Q33)*(IF((YEAR(D33)+7)&lt;YEAR(E33),0,IF((YEAR(D33)+7)&gt;YEAR(E33),1,(12-MONTH(E33)+1)/12))))-((P33)*(IF((YEAR(D33)+7)&lt;YEAR(E33),0,IF((YEAR(D33)+7)&gt;YEAR(E33),1,(12-MONTH(E33)+1)/12))) + (R33)*(IF((YEAR(D33)+7)&lt;YEAR(E33),0,IF((YEAR(D33)+7)&gt;YEAR(E33),1,(12-MONTH(E33)+1)/12))))-(IF(OR(N33="",N33&lt;=0),0,(O33/N33)*(IF(OR(N33="",N33&lt;=0),0,IF((YEAR(D33)+7)&lt;YEAR(E33),0,IF((YEAR(D33)+7)&gt;=YEAR(E33)+N33,0,IF((YEAR(D33)+7)=YEAR(E33),(12-MONTH(E33)+1)/12,1))))))))&gt;0,(((K33)*(IF(M33="",L33,IFERROR(IF(INDEX(Variablen!$I:$AT, MATCH(M33, Variablen!$A:$A, 0), MATCH((YEAR(D33)+7), Variablen!$I$3:$AT$3, 0))="",L33,INDEX(Variablen!$I:$AT, MATCH(M33, Variablen!$A:$A, 0), MATCH((YEAR(D33)+7), Variablen!$I$3:$AT$3, 0))),L33)))*(IF((YEAR(D33)+7)&lt;YEAR(E33),0,IF((YEAR(D33)+7)&gt;YEAR(E33),1,(12-MONTH(E33)+1)/12))) + (Q33)*(IF((YEAR(D33)+7)&lt;YEAR(E33),0,IF((YEAR(D33)+7)&gt;YEAR(E33),1,(12-MONTH(E33)+1)/12))))-((P33)*(IF((YEAR(D33)+7)&lt;YEAR(E33),0,IF((YEAR(D33)+7)&gt;YEAR(E33),1,(12-MONTH(E33)+1)/12))) + (R33)*(IF((YEAR(D33)+7)&lt;YEAR(E33),0,IF((YEAR(D33)+7)&gt;YEAR(E33),1,(12-MONTH(E33)+1)/12))))-(IF(OR(N33="",N33&lt;=0),0,(O33/N33)*(IF(OR(N33="",N33&lt;=0),0,IF((YEAR(D33)+7)&lt;YEAR(E33),0,IF((YEAR(D33)+7)&gt;=YEAR(E33)+N33,0,IF((YEAR(D33)+7)=YEAR(E33),(12-MONTH(E33)+1)/12,1))))))))*TaxRate,0))-IF(7=0,O33,0))</f>
        <v/>
      </c>
      <c r="AA33" s="29">
        <f>IF(A33="","",((K33)*(IF(M33="",L33,IFERROR(IF(INDEX(Variablen!$I:$AT, MATCH(M33, Variablen!$A:$A, 0), MATCH((YEAR(D33)+8), Variablen!$I$3:$AT$3, 0))="",L33,INDEX(Variablen!$I:$AT, MATCH(M33, Variablen!$A:$A, 0), MATCH((YEAR(D33)+8), Variablen!$I$3:$AT$3, 0))),L33)))*(IF((YEAR(D33)+8)&lt;YEAR(E33),0,IF((YEAR(D33)+8)&gt;YEAR(E33),1,(12-MONTH(E33)+1)/12))) + (Q33)*(IF((YEAR(D33)+8)&lt;YEAR(E33),0,IF((YEAR(D33)+8)&gt;YEAR(E33),1,(12-MONTH(E33)+1)/12))))-((P33)*(IF((YEAR(D33)+8)&lt;YEAR(E33),0,IF((YEAR(D33)+8)&gt;YEAR(E33),1,(12-MONTH(E33)+1)/12))) + (R33)*(IF((YEAR(D33)+8)&lt;YEAR(E33),0,IF((YEAR(D33)+8)&gt;YEAR(E33),1,(12-MONTH(E33)+1)/12))))-(IF((((K33)*(IF(M33="",L33,IFERROR(IF(INDEX(Variablen!$I:$AT, MATCH(M33, Variablen!$A:$A, 0), MATCH((YEAR(D33)+8), Variablen!$I$3:$AT$3, 0))="",L33,INDEX(Variablen!$I:$AT, MATCH(M33, Variablen!$A:$A, 0), MATCH((YEAR(D33)+8), Variablen!$I$3:$AT$3, 0))),L33)))*(IF((YEAR(D33)+8)&lt;YEAR(E33),0,IF((YEAR(D33)+8)&gt;YEAR(E33),1,(12-MONTH(E33)+1)/12))) + (Q33)*(IF((YEAR(D33)+8)&lt;YEAR(E33),0,IF((YEAR(D33)+8)&gt;YEAR(E33),1,(12-MONTH(E33)+1)/12))))-((P33)*(IF((YEAR(D33)+8)&lt;YEAR(E33),0,IF((YEAR(D33)+8)&gt;YEAR(E33),1,(12-MONTH(E33)+1)/12))) + (R33)*(IF((YEAR(D33)+8)&lt;YEAR(E33),0,IF((YEAR(D33)+8)&gt;YEAR(E33),1,(12-MONTH(E33)+1)/12))))-(IF(OR(N33="",N33&lt;=0),0,(O33/N33)*(IF(OR(N33="",N33&lt;=0),0,IF((YEAR(D33)+8)&lt;YEAR(E33),0,IF((YEAR(D33)+8)&gt;=YEAR(E33)+N33,0,IF((YEAR(D33)+8)=YEAR(E33),(12-MONTH(E33)+1)/12,1))))))))&gt;0,(((K33)*(IF(M33="",L33,IFERROR(IF(INDEX(Variablen!$I:$AT, MATCH(M33, Variablen!$A:$A, 0), MATCH((YEAR(D33)+8), Variablen!$I$3:$AT$3, 0))="",L33,INDEX(Variablen!$I:$AT, MATCH(M33, Variablen!$A:$A, 0), MATCH((YEAR(D33)+8), Variablen!$I$3:$AT$3, 0))),L33)))*(IF((YEAR(D33)+8)&lt;YEAR(E33),0,IF((YEAR(D33)+8)&gt;YEAR(E33),1,(12-MONTH(E33)+1)/12))) + (Q33)*(IF((YEAR(D33)+8)&lt;YEAR(E33),0,IF((YEAR(D33)+8)&gt;YEAR(E33),1,(12-MONTH(E33)+1)/12))))-((P33)*(IF((YEAR(D33)+8)&lt;YEAR(E33),0,IF((YEAR(D33)+8)&gt;YEAR(E33),1,(12-MONTH(E33)+1)/12))) + (R33)*(IF((YEAR(D33)+8)&lt;YEAR(E33),0,IF((YEAR(D33)+8)&gt;YEAR(E33),1,(12-MONTH(E33)+1)/12))))-(IF(OR(N33="",N33&lt;=0),0,(O33/N33)*(IF(OR(N33="",N33&lt;=0),0,IF((YEAR(D33)+8)&lt;YEAR(E33),0,IF((YEAR(D33)+8)&gt;=YEAR(E33)+N33,0,IF((YEAR(D33)+8)=YEAR(E33),(12-MONTH(E33)+1)/12,1))))))))*TaxRate,0))-IF(8=0,O33,0))</f>
        <v/>
      </c>
      <c r="AB33" s="29">
        <f>IF(A33="","",((K33)*(IF(M33="",L33,IFERROR(IF(INDEX(Variablen!$I:$AT, MATCH(M33, Variablen!$A:$A, 0), MATCH((YEAR(D33)+9), Variablen!$I$3:$AT$3, 0))="",L33,INDEX(Variablen!$I:$AT, MATCH(M33, Variablen!$A:$A, 0), MATCH((YEAR(D33)+9), Variablen!$I$3:$AT$3, 0))),L33)))*(IF((YEAR(D33)+9)&lt;YEAR(E33),0,IF((YEAR(D33)+9)&gt;YEAR(E33),1,(12-MONTH(E33)+1)/12))) + (Q33)*(IF((YEAR(D33)+9)&lt;YEAR(E33),0,IF((YEAR(D33)+9)&gt;YEAR(E33),1,(12-MONTH(E33)+1)/12))))-((P33)*(IF((YEAR(D33)+9)&lt;YEAR(E33),0,IF((YEAR(D33)+9)&gt;YEAR(E33),1,(12-MONTH(E33)+1)/12))) + (R33)*(IF((YEAR(D33)+9)&lt;YEAR(E33),0,IF((YEAR(D33)+9)&gt;YEAR(E33),1,(12-MONTH(E33)+1)/12))))-(IF((((K33)*(IF(M33="",L33,IFERROR(IF(INDEX(Variablen!$I:$AT, MATCH(M33, Variablen!$A:$A, 0), MATCH((YEAR(D33)+9), Variablen!$I$3:$AT$3, 0))="",L33,INDEX(Variablen!$I:$AT, MATCH(M33, Variablen!$A:$A, 0), MATCH((YEAR(D33)+9), Variablen!$I$3:$AT$3, 0))),L33)))*(IF((YEAR(D33)+9)&lt;YEAR(E33),0,IF((YEAR(D33)+9)&gt;YEAR(E33),1,(12-MONTH(E33)+1)/12))) + (Q33)*(IF((YEAR(D33)+9)&lt;YEAR(E33),0,IF((YEAR(D33)+9)&gt;YEAR(E33),1,(12-MONTH(E33)+1)/12))))-((P33)*(IF((YEAR(D33)+9)&lt;YEAR(E33),0,IF((YEAR(D33)+9)&gt;YEAR(E33),1,(12-MONTH(E33)+1)/12))) + (R33)*(IF((YEAR(D33)+9)&lt;YEAR(E33),0,IF((YEAR(D33)+9)&gt;YEAR(E33),1,(12-MONTH(E33)+1)/12))))-(IF(OR(N33="",N33&lt;=0),0,(O33/N33)*(IF(OR(N33="",N33&lt;=0),0,IF((YEAR(D33)+9)&lt;YEAR(E33),0,IF((YEAR(D33)+9)&gt;=YEAR(E33)+N33,0,IF((YEAR(D33)+9)=YEAR(E33),(12-MONTH(E33)+1)/12,1))))))))&gt;0,(((K33)*(IF(M33="",L33,IFERROR(IF(INDEX(Variablen!$I:$AT, MATCH(M33, Variablen!$A:$A, 0), MATCH((YEAR(D33)+9), Variablen!$I$3:$AT$3, 0))="",L33,INDEX(Variablen!$I:$AT, MATCH(M33, Variablen!$A:$A, 0), MATCH((YEAR(D33)+9), Variablen!$I$3:$AT$3, 0))),L33)))*(IF((YEAR(D33)+9)&lt;YEAR(E33),0,IF((YEAR(D33)+9)&gt;YEAR(E33),1,(12-MONTH(E33)+1)/12))) + (Q33)*(IF((YEAR(D33)+9)&lt;YEAR(E33),0,IF((YEAR(D33)+9)&gt;YEAR(E33),1,(12-MONTH(E33)+1)/12))))-((P33)*(IF((YEAR(D33)+9)&lt;YEAR(E33),0,IF((YEAR(D33)+9)&gt;YEAR(E33),1,(12-MONTH(E33)+1)/12))) + (R33)*(IF((YEAR(D33)+9)&lt;YEAR(E33),0,IF((YEAR(D33)+9)&gt;YEAR(E33),1,(12-MONTH(E33)+1)/12))))-(IF(OR(N33="",N33&lt;=0),0,(O33/N33)*(IF(OR(N33="",N33&lt;=0),0,IF((YEAR(D33)+9)&lt;YEAR(E33),0,IF((YEAR(D33)+9)&gt;=YEAR(E33)+N33,0,IF((YEAR(D33)+9)=YEAR(E33),(12-MONTH(E33)+1)/12,1))))))))*TaxRate,0))-IF(9=0,O33,0))</f>
        <v/>
      </c>
      <c r="AC33" s="29">
        <f>IF(A33="","",((K33)*(IF(M33="",L33,IFERROR(IF(INDEX(Variablen!$I:$AT, MATCH(M33, Variablen!$A:$A, 0), MATCH((YEAR(D33)+10), Variablen!$I$3:$AT$3, 0))="",L33,INDEX(Variablen!$I:$AT, MATCH(M33, Variablen!$A:$A, 0), MATCH((YEAR(D33)+10), Variablen!$I$3:$AT$3, 0))),L33)))*(IF((YEAR(D33)+10)&lt;YEAR(E33),0,IF((YEAR(D33)+10)&gt;YEAR(E33),1,(12-MONTH(E33)+1)/12))) + (Q33)*(IF((YEAR(D33)+10)&lt;YEAR(E33),0,IF((YEAR(D33)+10)&gt;YEAR(E33),1,(12-MONTH(E33)+1)/12))))-((P33)*(IF((YEAR(D33)+10)&lt;YEAR(E33),0,IF((YEAR(D33)+10)&gt;YEAR(E33),1,(12-MONTH(E33)+1)/12))) + (R33)*(IF((YEAR(D33)+10)&lt;YEAR(E33),0,IF((YEAR(D33)+10)&gt;YEAR(E33),1,(12-MONTH(E33)+1)/12))))-(IF((((K33)*(IF(M33="",L33,IFERROR(IF(INDEX(Variablen!$I:$AT, MATCH(M33, Variablen!$A:$A, 0), MATCH((YEAR(D33)+10), Variablen!$I$3:$AT$3, 0))="",L33,INDEX(Variablen!$I:$AT, MATCH(M33, Variablen!$A:$A, 0), MATCH((YEAR(D33)+10), Variablen!$I$3:$AT$3, 0))),L33)))*(IF((YEAR(D33)+10)&lt;YEAR(E33),0,IF((YEAR(D33)+10)&gt;YEAR(E33),1,(12-MONTH(E33)+1)/12))) + (Q33)*(IF((YEAR(D33)+10)&lt;YEAR(E33),0,IF((YEAR(D33)+10)&gt;YEAR(E33),1,(12-MONTH(E33)+1)/12))))-((P33)*(IF((YEAR(D33)+10)&lt;YEAR(E33),0,IF((YEAR(D33)+10)&gt;YEAR(E33),1,(12-MONTH(E33)+1)/12))) + (R33)*(IF((YEAR(D33)+10)&lt;YEAR(E33),0,IF((YEAR(D33)+10)&gt;YEAR(E33),1,(12-MONTH(E33)+1)/12))))-(IF(OR(N33="",N33&lt;=0),0,(O33/N33)*(IF(OR(N33="",N33&lt;=0),0,IF((YEAR(D33)+10)&lt;YEAR(E33),0,IF((YEAR(D33)+10)&gt;=YEAR(E33)+N33,0,IF((YEAR(D33)+10)=YEAR(E33),(12-MONTH(E33)+1)/12,1))))))))&gt;0,(((K33)*(IF(M33="",L33,IFERROR(IF(INDEX(Variablen!$I:$AT, MATCH(M33, Variablen!$A:$A, 0), MATCH((YEAR(D33)+10), Variablen!$I$3:$AT$3, 0))="",L33,INDEX(Variablen!$I:$AT, MATCH(M33, Variablen!$A:$A, 0), MATCH((YEAR(D33)+10), Variablen!$I$3:$AT$3, 0))),L33)))*(IF((YEAR(D33)+10)&lt;YEAR(E33),0,IF((YEAR(D33)+10)&gt;YEAR(E33),1,(12-MONTH(E33)+1)/12))) + (Q33)*(IF((YEAR(D33)+10)&lt;YEAR(E33),0,IF((YEAR(D33)+10)&gt;YEAR(E33),1,(12-MONTH(E33)+1)/12))))-((P33)*(IF((YEAR(D33)+10)&lt;YEAR(E33),0,IF((YEAR(D33)+10)&gt;YEAR(E33),1,(12-MONTH(E33)+1)/12))) + (R33)*(IF((YEAR(D33)+10)&lt;YEAR(E33),0,IF((YEAR(D33)+10)&gt;YEAR(E33),1,(12-MONTH(E33)+1)/12))))-(IF(OR(N33="",N33&lt;=0),0,(O33/N33)*(IF(OR(N33="",N33&lt;=0),0,IF((YEAR(D33)+10)&lt;YEAR(E33),0,IF((YEAR(D33)+10)&gt;=YEAR(E33)+N33,0,IF((YEAR(D33)+10)=YEAR(E33),(12-MONTH(E33)+1)/12,1))))))))*TaxRate,0))-IF(10=0,O33,0))</f>
        <v/>
      </c>
      <c r="AD33" s="29">
        <f>IF(A33="","",((K33)*(IF(M33="",L33,IFERROR(IF(INDEX(Variablen!$I:$AT, MATCH(M33, Variablen!$A:$A, 0), MATCH((YEAR(D33)+11), Variablen!$I$3:$AT$3, 0))="",L33,INDEX(Variablen!$I:$AT, MATCH(M33, Variablen!$A:$A, 0), MATCH((YEAR(D33)+11), Variablen!$I$3:$AT$3, 0))),L33)))*(IF((YEAR(D33)+11)&lt;YEAR(E33),0,IF((YEAR(D33)+11)&gt;YEAR(E33),1,(12-MONTH(E33)+1)/12))) + (Q33)*(IF((YEAR(D33)+11)&lt;YEAR(E33),0,IF((YEAR(D33)+11)&gt;YEAR(E33),1,(12-MONTH(E33)+1)/12))))-((P33)*(IF((YEAR(D33)+11)&lt;YEAR(E33),0,IF((YEAR(D33)+11)&gt;YEAR(E33),1,(12-MONTH(E33)+1)/12))) + (R33)*(IF((YEAR(D33)+11)&lt;YEAR(E33),0,IF((YEAR(D33)+11)&gt;YEAR(E33),1,(12-MONTH(E33)+1)/12))))-(IF((((K33)*(IF(M33="",L33,IFERROR(IF(INDEX(Variablen!$I:$AT, MATCH(M33, Variablen!$A:$A, 0), MATCH((YEAR(D33)+11), Variablen!$I$3:$AT$3, 0))="",L33,INDEX(Variablen!$I:$AT, MATCH(M33, Variablen!$A:$A, 0), MATCH((YEAR(D33)+11), Variablen!$I$3:$AT$3, 0))),L33)))*(IF((YEAR(D33)+11)&lt;YEAR(E33),0,IF((YEAR(D33)+11)&gt;YEAR(E33),1,(12-MONTH(E33)+1)/12))) + (Q33)*(IF((YEAR(D33)+11)&lt;YEAR(E33),0,IF((YEAR(D33)+11)&gt;YEAR(E33),1,(12-MONTH(E33)+1)/12))))-((P33)*(IF((YEAR(D33)+11)&lt;YEAR(E33),0,IF((YEAR(D33)+11)&gt;YEAR(E33),1,(12-MONTH(E33)+1)/12))) + (R33)*(IF((YEAR(D33)+11)&lt;YEAR(E33),0,IF((YEAR(D33)+11)&gt;YEAR(E33),1,(12-MONTH(E33)+1)/12))))-(IF(OR(N33="",N33&lt;=0),0,(O33/N33)*(IF(OR(N33="",N33&lt;=0),0,IF((YEAR(D33)+11)&lt;YEAR(E33),0,IF((YEAR(D33)+11)&gt;=YEAR(E33)+N33,0,IF((YEAR(D33)+11)=YEAR(E33),(12-MONTH(E33)+1)/12,1))))))))&gt;0,(((K33)*(IF(M33="",L33,IFERROR(IF(INDEX(Variablen!$I:$AT, MATCH(M33, Variablen!$A:$A, 0), MATCH((YEAR(D33)+11), Variablen!$I$3:$AT$3, 0))="",L33,INDEX(Variablen!$I:$AT, MATCH(M33, Variablen!$A:$A, 0), MATCH((YEAR(D33)+11), Variablen!$I$3:$AT$3, 0))),L33)))*(IF((YEAR(D33)+11)&lt;YEAR(E33),0,IF((YEAR(D33)+11)&gt;YEAR(E33),1,(12-MONTH(E33)+1)/12))) + (Q33)*(IF((YEAR(D33)+11)&lt;YEAR(E33),0,IF((YEAR(D33)+11)&gt;YEAR(E33),1,(12-MONTH(E33)+1)/12))))-((P33)*(IF((YEAR(D33)+11)&lt;YEAR(E33),0,IF((YEAR(D33)+11)&gt;YEAR(E33),1,(12-MONTH(E33)+1)/12))) + (R33)*(IF((YEAR(D33)+11)&lt;YEAR(E33),0,IF((YEAR(D33)+11)&gt;YEAR(E33),1,(12-MONTH(E33)+1)/12))))-(IF(OR(N33="",N33&lt;=0),0,(O33/N33)*(IF(OR(N33="",N33&lt;=0),0,IF((YEAR(D33)+11)&lt;YEAR(E33),0,IF((YEAR(D33)+11)&gt;=YEAR(E33)+N33,0,IF((YEAR(D33)+11)=YEAR(E33),(12-MONTH(E33)+1)/12,1))))))))*TaxRate,0))-IF(11=0,O33,0))</f>
        <v/>
      </c>
      <c r="AE33" s="29">
        <f>IF(A33="","",((K33)*(IF(M33="",L33,IFERROR(IF(INDEX(Variablen!$I:$AT, MATCH(M33, Variablen!$A:$A, 0), MATCH((YEAR(D33)+12), Variablen!$I$3:$AT$3, 0))="",L33,INDEX(Variablen!$I:$AT, MATCH(M33, Variablen!$A:$A, 0), MATCH((YEAR(D33)+12), Variablen!$I$3:$AT$3, 0))),L33)))*(IF((YEAR(D33)+12)&lt;YEAR(E33),0,IF((YEAR(D33)+12)&gt;YEAR(E33),1,(12-MONTH(E33)+1)/12))) + (Q33)*(IF((YEAR(D33)+12)&lt;YEAR(E33),0,IF((YEAR(D33)+12)&gt;YEAR(E33),1,(12-MONTH(E33)+1)/12))))-((P33)*(IF((YEAR(D33)+12)&lt;YEAR(E33),0,IF((YEAR(D33)+12)&gt;YEAR(E33),1,(12-MONTH(E33)+1)/12))) + (R33)*(IF((YEAR(D33)+12)&lt;YEAR(E33),0,IF((YEAR(D33)+12)&gt;YEAR(E33),1,(12-MONTH(E33)+1)/12))))-(IF((((K33)*(IF(M33="",L33,IFERROR(IF(INDEX(Variablen!$I:$AT, MATCH(M33, Variablen!$A:$A, 0), MATCH((YEAR(D33)+12), Variablen!$I$3:$AT$3, 0))="",L33,INDEX(Variablen!$I:$AT, MATCH(M33, Variablen!$A:$A, 0), MATCH((YEAR(D33)+12), Variablen!$I$3:$AT$3, 0))),L33)))*(IF((YEAR(D33)+12)&lt;YEAR(E33),0,IF((YEAR(D33)+12)&gt;YEAR(E33),1,(12-MONTH(E33)+1)/12))) + (Q33)*(IF((YEAR(D33)+12)&lt;YEAR(E33),0,IF((YEAR(D33)+12)&gt;YEAR(E33),1,(12-MONTH(E33)+1)/12))))-((P33)*(IF((YEAR(D33)+12)&lt;YEAR(E33),0,IF((YEAR(D33)+12)&gt;YEAR(E33),1,(12-MONTH(E33)+1)/12))) + (R33)*(IF((YEAR(D33)+12)&lt;YEAR(E33),0,IF((YEAR(D33)+12)&gt;YEAR(E33),1,(12-MONTH(E33)+1)/12))))-(IF(OR(N33="",N33&lt;=0),0,(O33/N33)*(IF(OR(N33="",N33&lt;=0),0,IF((YEAR(D33)+12)&lt;YEAR(E33),0,IF((YEAR(D33)+12)&gt;=YEAR(E33)+N33,0,IF((YEAR(D33)+12)=YEAR(E33),(12-MONTH(E33)+1)/12,1))))))))&gt;0,(((K33)*(IF(M33="",L33,IFERROR(IF(INDEX(Variablen!$I:$AT, MATCH(M33, Variablen!$A:$A, 0), MATCH((YEAR(D33)+12), Variablen!$I$3:$AT$3, 0))="",L33,INDEX(Variablen!$I:$AT, MATCH(M33, Variablen!$A:$A, 0), MATCH((YEAR(D33)+12), Variablen!$I$3:$AT$3, 0))),L33)))*(IF((YEAR(D33)+12)&lt;YEAR(E33),0,IF((YEAR(D33)+12)&gt;YEAR(E33),1,(12-MONTH(E33)+1)/12))) + (Q33)*(IF((YEAR(D33)+12)&lt;YEAR(E33),0,IF((YEAR(D33)+12)&gt;YEAR(E33),1,(12-MONTH(E33)+1)/12))))-((P33)*(IF((YEAR(D33)+12)&lt;YEAR(E33),0,IF((YEAR(D33)+12)&gt;YEAR(E33),1,(12-MONTH(E33)+1)/12))) + (R33)*(IF((YEAR(D33)+12)&lt;YEAR(E33),0,IF((YEAR(D33)+12)&gt;YEAR(E33),1,(12-MONTH(E33)+1)/12))))-(IF(OR(N33="",N33&lt;=0),0,(O33/N33)*(IF(OR(N33="",N33&lt;=0),0,IF((YEAR(D33)+12)&lt;YEAR(E33),0,IF((YEAR(D33)+12)&gt;=YEAR(E33)+N33,0,IF((YEAR(D33)+12)=YEAR(E33),(12-MONTH(E33)+1)/12,1))))))))*TaxRate,0))-IF(12=0,O33,0))</f>
        <v/>
      </c>
      <c r="AF33" s="29">
        <f>IF(A33="","",((K33)*(IF(M33="",L33,IFERROR(IF(INDEX(Variablen!$I:$AT, MATCH(M33, Variablen!$A:$A, 0), MATCH((YEAR(D33)+13), Variablen!$I$3:$AT$3, 0))="",L33,INDEX(Variablen!$I:$AT, MATCH(M33, Variablen!$A:$A, 0), MATCH((YEAR(D33)+13), Variablen!$I$3:$AT$3, 0))),L33)))*(IF((YEAR(D33)+13)&lt;YEAR(E33),0,IF((YEAR(D33)+13)&gt;YEAR(E33),1,(12-MONTH(E33)+1)/12))) + (Q33)*(IF((YEAR(D33)+13)&lt;YEAR(E33),0,IF((YEAR(D33)+13)&gt;YEAR(E33),1,(12-MONTH(E33)+1)/12))))-((P33)*(IF((YEAR(D33)+13)&lt;YEAR(E33),0,IF((YEAR(D33)+13)&gt;YEAR(E33),1,(12-MONTH(E33)+1)/12))) + (R33)*(IF((YEAR(D33)+13)&lt;YEAR(E33),0,IF((YEAR(D33)+13)&gt;YEAR(E33),1,(12-MONTH(E33)+1)/12))))-(IF((((K33)*(IF(M33="",L33,IFERROR(IF(INDEX(Variablen!$I:$AT, MATCH(M33, Variablen!$A:$A, 0), MATCH((YEAR(D33)+13), Variablen!$I$3:$AT$3, 0))="",L33,INDEX(Variablen!$I:$AT, MATCH(M33, Variablen!$A:$A, 0), MATCH((YEAR(D33)+13), Variablen!$I$3:$AT$3, 0))),L33)))*(IF((YEAR(D33)+13)&lt;YEAR(E33),0,IF((YEAR(D33)+13)&gt;YEAR(E33),1,(12-MONTH(E33)+1)/12))) + (Q33)*(IF((YEAR(D33)+13)&lt;YEAR(E33),0,IF((YEAR(D33)+13)&gt;YEAR(E33),1,(12-MONTH(E33)+1)/12))))-((P33)*(IF((YEAR(D33)+13)&lt;YEAR(E33),0,IF((YEAR(D33)+13)&gt;YEAR(E33),1,(12-MONTH(E33)+1)/12))) + (R33)*(IF((YEAR(D33)+13)&lt;YEAR(E33),0,IF((YEAR(D33)+13)&gt;YEAR(E33),1,(12-MONTH(E33)+1)/12))))-(IF(OR(N33="",N33&lt;=0),0,(O33/N33)*(IF(OR(N33="",N33&lt;=0),0,IF((YEAR(D33)+13)&lt;YEAR(E33),0,IF((YEAR(D33)+13)&gt;=YEAR(E33)+N33,0,IF((YEAR(D33)+13)=YEAR(E33),(12-MONTH(E33)+1)/12,1))))))))&gt;0,(((K33)*(IF(M33="",L33,IFERROR(IF(INDEX(Variablen!$I:$AT, MATCH(M33, Variablen!$A:$A, 0), MATCH((YEAR(D33)+13), Variablen!$I$3:$AT$3, 0))="",L33,INDEX(Variablen!$I:$AT, MATCH(M33, Variablen!$A:$A, 0), MATCH((YEAR(D33)+13), Variablen!$I$3:$AT$3, 0))),L33)))*(IF((YEAR(D33)+13)&lt;YEAR(E33),0,IF((YEAR(D33)+13)&gt;YEAR(E33),1,(12-MONTH(E33)+1)/12))) + (Q33)*(IF((YEAR(D33)+13)&lt;YEAR(E33),0,IF((YEAR(D33)+13)&gt;YEAR(E33),1,(12-MONTH(E33)+1)/12))))-((P33)*(IF((YEAR(D33)+13)&lt;YEAR(E33),0,IF((YEAR(D33)+13)&gt;YEAR(E33),1,(12-MONTH(E33)+1)/12))) + (R33)*(IF((YEAR(D33)+13)&lt;YEAR(E33),0,IF((YEAR(D33)+13)&gt;YEAR(E33),1,(12-MONTH(E33)+1)/12))))-(IF(OR(N33="",N33&lt;=0),0,(O33/N33)*(IF(OR(N33="",N33&lt;=0),0,IF((YEAR(D33)+13)&lt;YEAR(E33),0,IF((YEAR(D33)+13)&gt;=YEAR(E33)+N33,0,IF((YEAR(D33)+13)=YEAR(E33),(12-MONTH(E33)+1)/12,1))))))))*TaxRate,0))-IF(13=0,O33,0))</f>
        <v/>
      </c>
      <c r="AG33" s="29">
        <f>IF(A33="","",((K33)*(IF(M33="",L33,IFERROR(IF(INDEX(Variablen!$I:$AT, MATCH(M33, Variablen!$A:$A, 0), MATCH((YEAR(D33)+14), Variablen!$I$3:$AT$3, 0))="",L33,INDEX(Variablen!$I:$AT, MATCH(M33, Variablen!$A:$A, 0), MATCH((YEAR(D33)+14), Variablen!$I$3:$AT$3, 0))),L33)))*(IF((YEAR(D33)+14)&lt;YEAR(E33),0,IF((YEAR(D33)+14)&gt;YEAR(E33),1,(12-MONTH(E33)+1)/12))) + (Q33)*(IF((YEAR(D33)+14)&lt;YEAR(E33),0,IF((YEAR(D33)+14)&gt;YEAR(E33),1,(12-MONTH(E33)+1)/12))))-((P33)*(IF((YEAR(D33)+14)&lt;YEAR(E33),0,IF((YEAR(D33)+14)&gt;YEAR(E33),1,(12-MONTH(E33)+1)/12))) + (R33)*(IF((YEAR(D33)+14)&lt;YEAR(E33),0,IF((YEAR(D33)+14)&gt;YEAR(E33),1,(12-MONTH(E33)+1)/12))))-(IF((((K33)*(IF(M33="",L33,IFERROR(IF(INDEX(Variablen!$I:$AT, MATCH(M33, Variablen!$A:$A, 0), MATCH((YEAR(D33)+14), Variablen!$I$3:$AT$3, 0))="",L33,INDEX(Variablen!$I:$AT, MATCH(M33, Variablen!$A:$A, 0), MATCH((YEAR(D33)+14), Variablen!$I$3:$AT$3, 0))),L33)))*(IF((YEAR(D33)+14)&lt;YEAR(E33),0,IF((YEAR(D33)+14)&gt;YEAR(E33),1,(12-MONTH(E33)+1)/12))) + (Q33)*(IF((YEAR(D33)+14)&lt;YEAR(E33),0,IF((YEAR(D33)+14)&gt;YEAR(E33),1,(12-MONTH(E33)+1)/12))))-((P33)*(IF((YEAR(D33)+14)&lt;YEAR(E33),0,IF((YEAR(D33)+14)&gt;YEAR(E33),1,(12-MONTH(E33)+1)/12))) + (R33)*(IF((YEAR(D33)+14)&lt;YEAR(E33),0,IF((YEAR(D33)+14)&gt;YEAR(E33),1,(12-MONTH(E33)+1)/12))))-(IF(OR(N33="",N33&lt;=0),0,(O33/N33)*(IF(OR(N33="",N33&lt;=0),0,IF((YEAR(D33)+14)&lt;YEAR(E33),0,IF((YEAR(D33)+14)&gt;=YEAR(E33)+N33,0,IF((YEAR(D33)+14)=YEAR(E33),(12-MONTH(E33)+1)/12,1))))))))&gt;0,(((K33)*(IF(M33="",L33,IFERROR(IF(INDEX(Variablen!$I:$AT, MATCH(M33, Variablen!$A:$A, 0), MATCH((YEAR(D33)+14), Variablen!$I$3:$AT$3, 0))="",L33,INDEX(Variablen!$I:$AT, MATCH(M33, Variablen!$A:$A, 0), MATCH((YEAR(D33)+14), Variablen!$I$3:$AT$3, 0))),L33)))*(IF((YEAR(D33)+14)&lt;YEAR(E33),0,IF((YEAR(D33)+14)&gt;YEAR(E33),1,(12-MONTH(E33)+1)/12))) + (Q33)*(IF((YEAR(D33)+14)&lt;YEAR(E33),0,IF((YEAR(D33)+14)&gt;YEAR(E33),1,(12-MONTH(E33)+1)/12))))-((P33)*(IF((YEAR(D33)+14)&lt;YEAR(E33),0,IF((YEAR(D33)+14)&gt;YEAR(E33),1,(12-MONTH(E33)+1)/12))) + (R33)*(IF((YEAR(D33)+14)&lt;YEAR(E33),0,IF((YEAR(D33)+14)&gt;YEAR(E33),1,(12-MONTH(E33)+1)/12))))-(IF(OR(N33="",N33&lt;=0),0,(O33/N33)*(IF(OR(N33="",N33&lt;=0),0,IF((YEAR(D33)+14)&lt;YEAR(E33),0,IF((YEAR(D33)+14)&gt;=YEAR(E33)+N33,0,IF((YEAR(D33)+14)=YEAR(E33),(12-MONTH(E33)+1)/12,1))))))))*TaxRate,0))-IF(14=0,O33,0))</f>
        <v/>
      </c>
      <c r="AH33" s="29">
        <f>IF(A33="","",((K33)*(IF(M33="",L33,IFERROR(IF(INDEX(Variablen!$I:$AT, MATCH(M33, Variablen!$A:$A, 0), MATCH((YEAR(D33)+15), Variablen!$I$3:$AT$3, 0))="",L33,INDEX(Variablen!$I:$AT, MATCH(M33, Variablen!$A:$A, 0), MATCH((YEAR(D33)+15), Variablen!$I$3:$AT$3, 0))),L33)))*(IF((YEAR(D33)+15)&lt;YEAR(E33),0,IF((YEAR(D33)+15)&gt;YEAR(E33),1,(12-MONTH(E33)+1)/12))) + (Q33)*(IF((YEAR(D33)+15)&lt;YEAR(E33),0,IF((YEAR(D33)+15)&gt;YEAR(E33),1,(12-MONTH(E33)+1)/12))))-((P33)*(IF((YEAR(D33)+15)&lt;YEAR(E33),0,IF((YEAR(D33)+15)&gt;YEAR(E33),1,(12-MONTH(E33)+1)/12))) + (R33)*(IF((YEAR(D33)+15)&lt;YEAR(E33),0,IF((YEAR(D33)+15)&gt;YEAR(E33),1,(12-MONTH(E33)+1)/12))))-(IF((((K33)*(IF(M33="",L33,IFERROR(IF(INDEX(Variablen!$I:$AT, MATCH(M33, Variablen!$A:$A, 0), MATCH((YEAR(D33)+15), Variablen!$I$3:$AT$3, 0))="",L33,INDEX(Variablen!$I:$AT, MATCH(M33, Variablen!$A:$A, 0), MATCH((YEAR(D33)+15), Variablen!$I$3:$AT$3, 0))),L33)))*(IF((YEAR(D33)+15)&lt;YEAR(E33),0,IF((YEAR(D33)+15)&gt;YEAR(E33),1,(12-MONTH(E33)+1)/12))) + (Q33)*(IF((YEAR(D33)+15)&lt;YEAR(E33),0,IF((YEAR(D33)+15)&gt;YEAR(E33),1,(12-MONTH(E33)+1)/12))))-((P33)*(IF((YEAR(D33)+15)&lt;YEAR(E33),0,IF((YEAR(D33)+15)&gt;YEAR(E33),1,(12-MONTH(E33)+1)/12))) + (R33)*(IF((YEAR(D33)+15)&lt;YEAR(E33),0,IF((YEAR(D33)+15)&gt;YEAR(E33),1,(12-MONTH(E33)+1)/12))))-(IF(OR(N33="",N33&lt;=0),0,(O33/N33)*(IF(OR(N33="",N33&lt;=0),0,IF((YEAR(D33)+15)&lt;YEAR(E33),0,IF((YEAR(D33)+15)&gt;=YEAR(E33)+N33,0,IF((YEAR(D33)+15)=YEAR(E33),(12-MONTH(E33)+1)/12,1))))))))&gt;0,(((K33)*(IF(M33="",L33,IFERROR(IF(INDEX(Variablen!$I:$AT, MATCH(M33, Variablen!$A:$A, 0), MATCH((YEAR(D33)+15), Variablen!$I$3:$AT$3, 0))="",L33,INDEX(Variablen!$I:$AT, MATCH(M33, Variablen!$A:$A, 0), MATCH((YEAR(D33)+15), Variablen!$I$3:$AT$3, 0))),L33)))*(IF((YEAR(D33)+15)&lt;YEAR(E33),0,IF((YEAR(D33)+15)&gt;YEAR(E33),1,(12-MONTH(E33)+1)/12))) + (Q33)*(IF((YEAR(D33)+15)&lt;YEAR(E33),0,IF((YEAR(D33)+15)&gt;YEAR(E33),1,(12-MONTH(E33)+1)/12))))-((P33)*(IF((YEAR(D33)+15)&lt;YEAR(E33),0,IF((YEAR(D33)+15)&gt;YEAR(E33),1,(12-MONTH(E33)+1)/12))) + (R33)*(IF((YEAR(D33)+15)&lt;YEAR(E33),0,IF((YEAR(D33)+15)&gt;YEAR(E33),1,(12-MONTH(E33)+1)/12))))-(IF(OR(N33="",N33&lt;=0),0,(O33/N33)*(IF(OR(N33="",N33&lt;=0),0,IF((YEAR(D33)+15)&lt;YEAR(E33),0,IF((YEAR(D33)+15)&gt;=YEAR(E33)+N33,0,IF((YEAR(D33)+15)=YEAR(E33),(12-MONTH(E33)+1)/12,1))))))))*TaxRate,0))-IF(15=0,O33,0))</f>
        <v/>
      </c>
      <c r="AI33" s="29">
        <f>IF(A33="","",((K33)*(IF(M33="",L33,IFERROR(IF(INDEX(Variablen!$I:$AT, MATCH(M33, Variablen!$A:$A, 0), MATCH((YEAR(D33)+16), Variablen!$I$3:$AT$3, 0))="",L33,INDEX(Variablen!$I:$AT, MATCH(M33, Variablen!$A:$A, 0), MATCH((YEAR(D33)+16), Variablen!$I$3:$AT$3, 0))),L33)))*(IF((YEAR(D33)+16)&lt;YEAR(E33),0,IF((YEAR(D33)+16)&gt;YEAR(E33),1,(12-MONTH(E33)+1)/12))) + (Q33)*(IF((YEAR(D33)+16)&lt;YEAR(E33),0,IF((YEAR(D33)+16)&gt;YEAR(E33),1,(12-MONTH(E33)+1)/12))))-((P33)*(IF((YEAR(D33)+16)&lt;YEAR(E33),0,IF((YEAR(D33)+16)&gt;YEAR(E33),1,(12-MONTH(E33)+1)/12))) + (R33)*(IF((YEAR(D33)+16)&lt;YEAR(E33),0,IF((YEAR(D33)+16)&gt;YEAR(E33),1,(12-MONTH(E33)+1)/12))))-(IF((((K33)*(IF(M33="",L33,IFERROR(IF(INDEX(Variablen!$I:$AT, MATCH(M33, Variablen!$A:$A, 0), MATCH((YEAR(D33)+16), Variablen!$I$3:$AT$3, 0))="",L33,INDEX(Variablen!$I:$AT, MATCH(M33, Variablen!$A:$A, 0), MATCH((YEAR(D33)+16), Variablen!$I$3:$AT$3, 0))),L33)))*(IF((YEAR(D33)+16)&lt;YEAR(E33),0,IF((YEAR(D33)+16)&gt;YEAR(E33),1,(12-MONTH(E33)+1)/12))) + (Q33)*(IF((YEAR(D33)+16)&lt;YEAR(E33),0,IF((YEAR(D33)+16)&gt;YEAR(E33),1,(12-MONTH(E33)+1)/12))))-((P33)*(IF((YEAR(D33)+16)&lt;YEAR(E33),0,IF((YEAR(D33)+16)&gt;YEAR(E33),1,(12-MONTH(E33)+1)/12))) + (R33)*(IF((YEAR(D33)+16)&lt;YEAR(E33),0,IF((YEAR(D33)+16)&gt;YEAR(E33),1,(12-MONTH(E33)+1)/12))))-(IF(OR(N33="",N33&lt;=0),0,(O33/N33)*(IF(OR(N33="",N33&lt;=0),0,IF((YEAR(D33)+16)&lt;YEAR(E33),0,IF((YEAR(D33)+16)&gt;=YEAR(E33)+N33,0,IF((YEAR(D33)+16)=YEAR(E33),(12-MONTH(E33)+1)/12,1))))))))&gt;0,(((K33)*(IF(M33="",L33,IFERROR(IF(INDEX(Variablen!$I:$AT, MATCH(M33, Variablen!$A:$A, 0), MATCH((YEAR(D33)+16), Variablen!$I$3:$AT$3, 0))="",L33,INDEX(Variablen!$I:$AT, MATCH(M33, Variablen!$A:$A, 0), MATCH((YEAR(D33)+16), Variablen!$I$3:$AT$3, 0))),L33)))*(IF((YEAR(D33)+16)&lt;YEAR(E33),0,IF((YEAR(D33)+16)&gt;YEAR(E33),1,(12-MONTH(E33)+1)/12))) + (Q33)*(IF((YEAR(D33)+16)&lt;YEAR(E33),0,IF((YEAR(D33)+16)&gt;YEAR(E33),1,(12-MONTH(E33)+1)/12))))-((P33)*(IF((YEAR(D33)+16)&lt;YEAR(E33),0,IF((YEAR(D33)+16)&gt;YEAR(E33),1,(12-MONTH(E33)+1)/12))) + (R33)*(IF((YEAR(D33)+16)&lt;YEAR(E33),0,IF((YEAR(D33)+16)&gt;YEAR(E33),1,(12-MONTH(E33)+1)/12))))-(IF(OR(N33="",N33&lt;=0),0,(O33/N33)*(IF(OR(N33="",N33&lt;=0),0,IF((YEAR(D33)+16)&lt;YEAR(E33),0,IF((YEAR(D33)+16)&gt;=YEAR(E33)+N33,0,IF((YEAR(D33)+16)=YEAR(E33),(12-MONTH(E33)+1)/12,1))))))))*TaxRate,0))-IF(16=0,O33,0))</f>
        <v/>
      </c>
      <c r="AJ33" s="29">
        <f>IF(A33="","",((K33)*(IF(M33="",L33,IFERROR(IF(INDEX(Variablen!$I:$AT, MATCH(M33, Variablen!$A:$A, 0), MATCH((YEAR(D33)+17), Variablen!$I$3:$AT$3, 0))="",L33,INDEX(Variablen!$I:$AT, MATCH(M33, Variablen!$A:$A, 0), MATCH((YEAR(D33)+17), Variablen!$I$3:$AT$3, 0))),L33)))*(IF((YEAR(D33)+17)&lt;YEAR(E33),0,IF((YEAR(D33)+17)&gt;YEAR(E33),1,(12-MONTH(E33)+1)/12))) + (Q33)*(IF((YEAR(D33)+17)&lt;YEAR(E33),0,IF((YEAR(D33)+17)&gt;YEAR(E33),1,(12-MONTH(E33)+1)/12))))-((P33)*(IF((YEAR(D33)+17)&lt;YEAR(E33),0,IF((YEAR(D33)+17)&gt;YEAR(E33),1,(12-MONTH(E33)+1)/12))) + (R33)*(IF((YEAR(D33)+17)&lt;YEAR(E33),0,IF((YEAR(D33)+17)&gt;YEAR(E33),1,(12-MONTH(E33)+1)/12))))-(IF((((K33)*(IF(M33="",L33,IFERROR(IF(INDEX(Variablen!$I:$AT, MATCH(M33, Variablen!$A:$A, 0), MATCH((YEAR(D33)+17), Variablen!$I$3:$AT$3, 0))="",L33,INDEX(Variablen!$I:$AT, MATCH(M33, Variablen!$A:$A, 0), MATCH((YEAR(D33)+17), Variablen!$I$3:$AT$3, 0))),L33)))*(IF((YEAR(D33)+17)&lt;YEAR(E33),0,IF((YEAR(D33)+17)&gt;YEAR(E33),1,(12-MONTH(E33)+1)/12))) + (Q33)*(IF((YEAR(D33)+17)&lt;YEAR(E33),0,IF((YEAR(D33)+17)&gt;YEAR(E33),1,(12-MONTH(E33)+1)/12))))-((P33)*(IF((YEAR(D33)+17)&lt;YEAR(E33),0,IF((YEAR(D33)+17)&gt;YEAR(E33),1,(12-MONTH(E33)+1)/12))) + (R33)*(IF((YEAR(D33)+17)&lt;YEAR(E33),0,IF((YEAR(D33)+17)&gt;YEAR(E33),1,(12-MONTH(E33)+1)/12))))-(IF(OR(N33="",N33&lt;=0),0,(O33/N33)*(IF(OR(N33="",N33&lt;=0),0,IF((YEAR(D33)+17)&lt;YEAR(E33),0,IF((YEAR(D33)+17)&gt;=YEAR(E33)+N33,0,IF((YEAR(D33)+17)=YEAR(E33),(12-MONTH(E33)+1)/12,1))))))))&gt;0,(((K33)*(IF(M33="",L33,IFERROR(IF(INDEX(Variablen!$I:$AT, MATCH(M33, Variablen!$A:$A, 0), MATCH((YEAR(D33)+17), Variablen!$I$3:$AT$3, 0))="",L33,INDEX(Variablen!$I:$AT, MATCH(M33, Variablen!$A:$A, 0), MATCH((YEAR(D33)+17), Variablen!$I$3:$AT$3, 0))),L33)))*(IF((YEAR(D33)+17)&lt;YEAR(E33),0,IF((YEAR(D33)+17)&gt;YEAR(E33),1,(12-MONTH(E33)+1)/12))) + (Q33)*(IF((YEAR(D33)+17)&lt;YEAR(E33),0,IF((YEAR(D33)+17)&gt;YEAR(E33),1,(12-MONTH(E33)+1)/12))))-((P33)*(IF((YEAR(D33)+17)&lt;YEAR(E33),0,IF((YEAR(D33)+17)&gt;YEAR(E33),1,(12-MONTH(E33)+1)/12))) + (R33)*(IF((YEAR(D33)+17)&lt;YEAR(E33),0,IF((YEAR(D33)+17)&gt;YEAR(E33),1,(12-MONTH(E33)+1)/12))))-(IF(OR(N33="",N33&lt;=0),0,(O33/N33)*(IF(OR(N33="",N33&lt;=0),0,IF((YEAR(D33)+17)&lt;YEAR(E33),0,IF((YEAR(D33)+17)&gt;=YEAR(E33)+N33,0,IF((YEAR(D33)+17)=YEAR(E33),(12-MONTH(E33)+1)/12,1))))))))*TaxRate,0))-IF(17=0,O33,0))</f>
        <v/>
      </c>
      <c r="AK33" s="29">
        <f>IF(A33="","",((K33)*(IF(M33="",L33,IFERROR(IF(INDEX(Variablen!$I:$AT, MATCH(M33, Variablen!$A:$A, 0), MATCH((YEAR(D33)+18), Variablen!$I$3:$AT$3, 0))="",L33,INDEX(Variablen!$I:$AT, MATCH(M33, Variablen!$A:$A, 0), MATCH((YEAR(D33)+18), Variablen!$I$3:$AT$3, 0))),L33)))*(IF((YEAR(D33)+18)&lt;YEAR(E33),0,IF((YEAR(D33)+18)&gt;YEAR(E33),1,(12-MONTH(E33)+1)/12))) + (Q33)*(IF((YEAR(D33)+18)&lt;YEAR(E33),0,IF((YEAR(D33)+18)&gt;YEAR(E33),1,(12-MONTH(E33)+1)/12))))-((P33)*(IF((YEAR(D33)+18)&lt;YEAR(E33),0,IF((YEAR(D33)+18)&gt;YEAR(E33),1,(12-MONTH(E33)+1)/12))) + (R33)*(IF((YEAR(D33)+18)&lt;YEAR(E33),0,IF((YEAR(D33)+18)&gt;YEAR(E33),1,(12-MONTH(E33)+1)/12))))-(IF((((K33)*(IF(M33="",L33,IFERROR(IF(INDEX(Variablen!$I:$AT, MATCH(M33, Variablen!$A:$A, 0), MATCH((YEAR(D33)+18), Variablen!$I$3:$AT$3, 0))="",L33,INDEX(Variablen!$I:$AT, MATCH(M33, Variablen!$A:$A, 0), MATCH((YEAR(D33)+18), Variablen!$I$3:$AT$3, 0))),L33)))*(IF((YEAR(D33)+18)&lt;YEAR(E33),0,IF((YEAR(D33)+18)&gt;YEAR(E33),1,(12-MONTH(E33)+1)/12))) + (Q33)*(IF((YEAR(D33)+18)&lt;YEAR(E33),0,IF((YEAR(D33)+18)&gt;YEAR(E33),1,(12-MONTH(E33)+1)/12))))-((P33)*(IF((YEAR(D33)+18)&lt;YEAR(E33),0,IF((YEAR(D33)+18)&gt;YEAR(E33),1,(12-MONTH(E33)+1)/12))) + (R33)*(IF((YEAR(D33)+18)&lt;YEAR(E33),0,IF((YEAR(D33)+18)&gt;YEAR(E33),1,(12-MONTH(E33)+1)/12))))-(IF(OR(N33="",N33&lt;=0),0,(O33/N33)*(IF(OR(N33="",N33&lt;=0),0,IF((YEAR(D33)+18)&lt;YEAR(E33),0,IF((YEAR(D33)+18)&gt;=YEAR(E33)+N33,0,IF((YEAR(D33)+18)=YEAR(E33),(12-MONTH(E33)+1)/12,1))))))))&gt;0,(((K33)*(IF(M33="",L33,IFERROR(IF(INDEX(Variablen!$I:$AT, MATCH(M33, Variablen!$A:$A, 0), MATCH((YEAR(D33)+18), Variablen!$I$3:$AT$3, 0))="",L33,INDEX(Variablen!$I:$AT, MATCH(M33, Variablen!$A:$A, 0), MATCH((YEAR(D33)+18), Variablen!$I$3:$AT$3, 0))),L33)))*(IF((YEAR(D33)+18)&lt;YEAR(E33),0,IF((YEAR(D33)+18)&gt;YEAR(E33),1,(12-MONTH(E33)+1)/12))) + (Q33)*(IF((YEAR(D33)+18)&lt;YEAR(E33),0,IF((YEAR(D33)+18)&gt;YEAR(E33),1,(12-MONTH(E33)+1)/12))))-((P33)*(IF((YEAR(D33)+18)&lt;YEAR(E33),0,IF((YEAR(D33)+18)&gt;YEAR(E33),1,(12-MONTH(E33)+1)/12))) + (R33)*(IF((YEAR(D33)+18)&lt;YEAR(E33),0,IF((YEAR(D33)+18)&gt;YEAR(E33),1,(12-MONTH(E33)+1)/12))))-(IF(OR(N33="",N33&lt;=0),0,(O33/N33)*(IF(OR(N33="",N33&lt;=0),0,IF((YEAR(D33)+18)&lt;YEAR(E33),0,IF((YEAR(D33)+18)&gt;=YEAR(E33)+N33,0,IF((YEAR(D33)+18)=YEAR(E33),(12-MONTH(E33)+1)/12,1))))))))*TaxRate,0))-IF(18=0,O33,0))</f>
        <v/>
      </c>
      <c r="AL33" s="29">
        <f>IF(A33="","",((K33)*(IF(M33="",L33,IFERROR(IF(INDEX(Variablen!$I:$AT, MATCH(M33, Variablen!$A:$A, 0), MATCH((YEAR(D33)+19), Variablen!$I$3:$AT$3, 0))="",L33,INDEX(Variablen!$I:$AT, MATCH(M33, Variablen!$A:$A, 0), MATCH((YEAR(D33)+19), Variablen!$I$3:$AT$3, 0))),L33)))*(IF((YEAR(D33)+19)&lt;YEAR(E33),0,IF((YEAR(D33)+19)&gt;YEAR(E33),1,(12-MONTH(E33)+1)/12))) + (Q33)*(IF((YEAR(D33)+19)&lt;YEAR(E33),0,IF((YEAR(D33)+19)&gt;YEAR(E33),1,(12-MONTH(E33)+1)/12))))-((P33)*(IF((YEAR(D33)+19)&lt;YEAR(E33),0,IF((YEAR(D33)+19)&gt;YEAR(E33),1,(12-MONTH(E33)+1)/12))) + (R33)*(IF((YEAR(D33)+19)&lt;YEAR(E33),0,IF((YEAR(D33)+19)&gt;YEAR(E33),1,(12-MONTH(E33)+1)/12))))-(IF((((K33)*(IF(M33="",L33,IFERROR(IF(INDEX(Variablen!$I:$AT, MATCH(M33, Variablen!$A:$A, 0), MATCH((YEAR(D33)+19), Variablen!$I$3:$AT$3, 0))="",L33,INDEX(Variablen!$I:$AT, MATCH(M33, Variablen!$A:$A, 0), MATCH((YEAR(D33)+19), Variablen!$I$3:$AT$3, 0))),L33)))*(IF((YEAR(D33)+19)&lt;YEAR(E33),0,IF((YEAR(D33)+19)&gt;YEAR(E33),1,(12-MONTH(E33)+1)/12))) + (Q33)*(IF((YEAR(D33)+19)&lt;YEAR(E33),0,IF((YEAR(D33)+19)&gt;YEAR(E33),1,(12-MONTH(E33)+1)/12))))-((P33)*(IF((YEAR(D33)+19)&lt;YEAR(E33),0,IF((YEAR(D33)+19)&gt;YEAR(E33),1,(12-MONTH(E33)+1)/12))) + (R33)*(IF((YEAR(D33)+19)&lt;YEAR(E33),0,IF((YEAR(D33)+19)&gt;YEAR(E33),1,(12-MONTH(E33)+1)/12))))-(IF(OR(N33="",N33&lt;=0),0,(O33/N33)*(IF(OR(N33="",N33&lt;=0),0,IF((YEAR(D33)+19)&lt;YEAR(E33),0,IF((YEAR(D33)+19)&gt;=YEAR(E33)+N33,0,IF((YEAR(D33)+19)=YEAR(E33),(12-MONTH(E33)+1)/12,1))))))))&gt;0,(((K33)*(IF(M33="",L33,IFERROR(IF(INDEX(Variablen!$I:$AT, MATCH(M33, Variablen!$A:$A, 0), MATCH((YEAR(D33)+19), Variablen!$I$3:$AT$3, 0))="",L33,INDEX(Variablen!$I:$AT, MATCH(M33, Variablen!$A:$A, 0), MATCH((YEAR(D33)+19), Variablen!$I$3:$AT$3, 0))),L33)))*(IF((YEAR(D33)+19)&lt;YEAR(E33),0,IF((YEAR(D33)+19)&gt;YEAR(E33),1,(12-MONTH(E33)+1)/12))) + (Q33)*(IF((YEAR(D33)+19)&lt;YEAR(E33),0,IF((YEAR(D33)+19)&gt;YEAR(E33),1,(12-MONTH(E33)+1)/12))))-((P33)*(IF((YEAR(D33)+19)&lt;YEAR(E33),0,IF((YEAR(D33)+19)&gt;YEAR(E33),1,(12-MONTH(E33)+1)/12))) + (R33)*(IF((YEAR(D33)+19)&lt;YEAR(E33),0,IF((YEAR(D33)+19)&gt;YEAR(E33),1,(12-MONTH(E33)+1)/12))))-(IF(OR(N33="",N33&lt;=0),0,(O33/N33)*(IF(OR(N33="",N33&lt;=0),0,IF((YEAR(D33)+19)&lt;YEAR(E33),0,IF((YEAR(D33)+19)&gt;=YEAR(E33)+N33,0,IF((YEAR(D33)+19)=YEAR(E33),(12-MONTH(E33)+1)/12,1))))))))*TaxRate,0))-IF(19=0,O33,0))</f>
        <v/>
      </c>
      <c r="AM33" s="29">
        <f>IF(A33="","",((K33)*(IF(M33="",L33,IFERROR(IF(INDEX(Variablen!$I:$AT, MATCH(M33, Variablen!$A:$A, 0), MATCH((YEAR(D33)+20), Variablen!$I$3:$AT$3, 0))="",L33,INDEX(Variablen!$I:$AT, MATCH(M33, Variablen!$A:$A, 0), MATCH((YEAR(D33)+20), Variablen!$I$3:$AT$3, 0))),L33)))*(IF((YEAR(D33)+20)&lt;YEAR(E33),0,IF((YEAR(D33)+20)&gt;YEAR(E33),1,(12-MONTH(E33)+1)/12))) + (Q33)*(IF((YEAR(D33)+20)&lt;YEAR(E33),0,IF((YEAR(D33)+20)&gt;YEAR(E33),1,(12-MONTH(E33)+1)/12))))-((P33)*(IF((YEAR(D33)+20)&lt;YEAR(E33),0,IF((YEAR(D33)+20)&gt;YEAR(E33),1,(12-MONTH(E33)+1)/12))) + (R33)*(IF((YEAR(D33)+20)&lt;YEAR(E33),0,IF((YEAR(D33)+20)&gt;YEAR(E33),1,(12-MONTH(E33)+1)/12))))-(IF((((K33)*(IF(M33="",L33,IFERROR(IF(INDEX(Variablen!$I:$AT, MATCH(M33, Variablen!$A:$A, 0), MATCH((YEAR(D33)+20), Variablen!$I$3:$AT$3, 0))="",L33,INDEX(Variablen!$I:$AT, MATCH(M33, Variablen!$A:$A, 0), MATCH((YEAR(D33)+20), Variablen!$I$3:$AT$3, 0))),L33)))*(IF((YEAR(D33)+20)&lt;YEAR(E33),0,IF((YEAR(D33)+20)&gt;YEAR(E33),1,(12-MONTH(E33)+1)/12))) + (Q33)*(IF((YEAR(D33)+20)&lt;YEAR(E33),0,IF((YEAR(D33)+20)&gt;YEAR(E33),1,(12-MONTH(E33)+1)/12))))-((P33)*(IF((YEAR(D33)+20)&lt;YEAR(E33),0,IF((YEAR(D33)+20)&gt;YEAR(E33),1,(12-MONTH(E33)+1)/12))) + (R33)*(IF((YEAR(D33)+20)&lt;YEAR(E33),0,IF((YEAR(D33)+20)&gt;YEAR(E33),1,(12-MONTH(E33)+1)/12))))-(IF(OR(N33="",N33&lt;=0),0,(O33/N33)*(IF(OR(N33="",N33&lt;=0),0,IF((YEAR(D33)+20)&lt;YEAR(E33),0,IF((YEAR(D33)+20)&gt;=YEAR(E33)+N33,0,IF((YEAR(D33)+20)=YEAR(E33),(12-MONTH(E33)+1)/12,1))))))))&gt;0,(((K33)*(IF(M33="",L33,IFERROR(IF(INDEX(Variablen!$I:$AT, MATCH(M33, Variablen!$A:$A, 0), MATCH((YEAR(D33)+20), Variablen!$I$3:$AT$3, 0))="",L33,INDEX(Variablen!$I:$AT, MATCH(M33, Variablen!$A:$A, 0), MATCH((YEAR(D33)+20), Variablen!$I$3:$AT$3, 0))),L33)))*(IF((YEAR(D33)+20)&lt;YEAR(E33),0,IF((YEAR(D33)+20)&gt;YEAR(E33),1,(12-MONTH(E33)+1)/12))) + (Q33)*(IF((YEAR(D33)+20)&lt;YEAR(E33),0,IF((YEAR(D33)+20)&gt;YEAR(E33),1,(12-MONTH(E33)+1)/12))))-((P33)*(IF((YEAR(D33)+20)&lt;YEAR(E33),0,IF((YEAR(D33)+20)&gt;YEAR(E33),1,(12-MONTH(E33)+1)/12))) + (R33)*(IF((YEAR(D33)+20)&lt;YEAR(E33),0,IF((YEAR(D33)+20)&gt;YEAR(E33),1,(12-MONTH(E33)+1)/12))))-(IF(OR(N33="",N33&lt;=0),0,(O33/N33)*(IF(OR(N33="",N33&lt;=0),0,IF((YEAR(D33)+20)&lt;YEAR(E33),0,IF((YEAR(D33)+20)&gt;=YEAR(E33)+N33,0,IF((YEAR(D33)+20)=YEAR(E33),(12-MONTH(E33)+1)/12,1))))))))*TaxRate,0))-IF(20=0,O33,0))</f>
        <v/>
      </c>
      <c r="AN33" s="29">
        <f>IF(A33="","",S33)</f>
        <v/>
      </c>
      <c r="AO33" s="29">
        <f>IF(A33="","",AN33+T33)</f>
        <v/>
      </c>
      <c r="AP33" s="29">
        <f>IF(A33="","",AO33+U33)</f>
        <v/>
      </c>
      <c r="AQ33" s="29">
        <f>IF(A33="","",AP33+V33)</f>
        <v/>
      </c>
      <c r="AR33" s="29">
        <f>IF(A33="","",AQ33+W33)</f>
        <v/>
      </c>
      <c r="AS33" s="29">
        <f>IF(A33="","",AR33+X33)</f>
        <v/>
      </c>
      <c r="AT33" s="29">
        <f>IF(A33="","",AS33+Y33)</f>
        <v/>
      </c>
      <c r="AU33" s="29">
        <f>IF(A33="","",AT33+Z33)</f>
        <v/>
      </c>
      <c r="AV33" s="29">
        <f>IF(A33="","",AU33+AA33)</f>
        <v/>
      </c>
      <c r="AW33" s="29">
        <f>IF(A33="","",AV33+AB33)</f>
        <v/>
      </c>
      <c r="AX33" s="29">
        <f>IF(A33="","",AW33+AC33)</f>
        <v/>
      </c>
      <c r="AY33" s="29">
        <f>IF(A33="","",AX33+AD33)</f>
        <v/>
      </c>
      <c r="AZ33" s="29">
        <f>IF(A33="","",AY33+AE33)</f>
        <v/>
      </c>
      <c r="BA33" s="29">
        <f>IF(A33="","",AZ33+AF33)</f>
        <v/>
      </c>
      <c r="BB33" s="29">
        <f>IF(A33="","",BA33+AG33)</f>
        <v/>
      </c>
      <c r="BC33" s="29">
        <f>IF(A33="","",BB33+AH33)</f>
        <v/>
      </c>
      <c r="BD33" s="29">
        <f>IF(A33="","",BC33+AI33)</f>
        <v/>
      </c>
      <c r="BE33" s="29">
        <f>IF(A33="","",BD33+AJ33)</f>
        <v/>
      </c>
      <c r="BF33" s="29">
        <f>IF(A33="","",BE33+AK33)</f>
        <v/>
      </c>
      <c r="BG33" s="29">
        <f>IF(A33="","",BF33+AL33)</f>
        <v/>
      </c>
      <c r="BH33" s="29">
        <f>IF(A33="","",BG33+AM33)</f>
        <v/>
      </c>
      <c r="BI33" s="36">
        <f>IF(A33="","",(K33)*(IF((YEAR(D33)+0)&lt;YEAR(E33),0,IF((YEAR(D33)+0)&gt;YEAR(E33),1,(12-MONTH(E33)+1)/12)))*(1/(1+DiscountRate)^0))</f>
        <v/>
      </c>
      <c r="BJ33" s="36">
        <f>IF(A33="","",(K33)*(IF((YEAR(D33)+1)&lt;YEAR(E33),0,IF((YEAR(D33)+1)&gt;YEAR(E33),1,(12-MONTH(E33)+1)/12)))*(1/(1+DiscountRate)^1))</f>
        <v/>
      </c>
      <c r="BK33" s="36">
        <f>IF(A33="","",(K33)*(IF((YEAR(D33)+2)&lt;YEAR(E33),0,IF((YEAR(D33)+2)&gt;YEAR(E33),1,(12-MONTH(E33)+1)/12)))*(1/(1+DiscountRate)^2))</f>
        <v/>
      </c>
      <c r="BL33" s="36">
        <f>IF(A33="","",(K33)*(IF((YEAR(D33)+3)&lt;YEAR(E33),0,IF((YEAR(D33)+3)&gt;YEAR(E33),1,(12-MONTH(E33)+1)/12)))*(1/(1+DiscountRate)^3))</f>
        <v/>
      </c>
      <c r="BM33" s="36">
        <f>IF(A33="","",(K33)*(IF((YEAR(D33)+4)&lt;YEAR(E33),0,IF((YEAR(D33)+4)&gt;YEAR(E33),1,(12-MONTH(E33)+1)/12)))*(1/(1+DiscountRate)^4))</f>
        <v/>
      </c>
      <c r="BN33" s="36">
        <f>IF(A33="","",(K33)*(IF((YEAR(D33)+5)&lt;YEAR(E33),0,IF((YEAR(D33)+5)&gt;YEAR(E33),1,(12-MONTH(E33)+1)/12)))*(1/(1+DiscountRate)^5))</f>
        <v/>
      </c>
      <c r="BO33" s="36">
        <f>IF(A33="","",(K33)*(IF((YEAR(D33)+6)&lt;YEAR(E33),0,IF((YEAR(D33)+6)&gt;YEAR(E33),1,(12-MONTH(E33)+1)/12)))*(1/(1+DiscountRate)^6))</f>
        <v/>
      </c>
      <c r="BP33" s="36">
        <f>IF(A33="","",(K33)*(IF((YEAR(D33)+7)&lt;YEAR(E33),0,IF((YEAR(D33)+7)&gt;YEAR(E33),1,(12-MONTH(E33)+1)/12)))*(1/(1+DiscountRate)^7))</f>
        <v/>
      </c>
      <c r="BQ33" s="36">
        <f>IF(A33="","",(K33)*(IF((YEAR(D33)+8)&lt;YEAR(E33),0,IF((YEAR(D33)+8)&gt;YEAR(E33),1,(12-MONTH(E33)+1)/12)))*(1/(1+DiscountRate)^8))</f>
        <v/>
      </c>
      <c r="BR33" s="36">
        <f>IF(A33="","",(K33)*(IF((YEAR(D33)+9)&lt;YEAR(E33),0,IF((YEAR(D33)+9)&gt;YEAR(E33),1,(12-MONTH(E33)+1)/12)))*(1/(1+DiscountRate)^9))</f>
        <v/>
      </c>
      <c r="BS33" s="36">
        <f>IF(A33="","",(K33)*(IF((YEAR(D33)+10)&lt;YEAR(E33),0,IF((YEAR(D33)+10)&gt;YEAR(E33),1,(12-MONTH(E33)+1)/12)))*(1/(1+DiscountRate)^10))</f>
        <v/>
      </c>
      <c r="BT33" s="36">
        <f>IF(A33="","",(K33)*(IF((YEAR(D33)+11)&lt;YEAR(E33),0,IF((YEAR(D33)+11)&gt;YEAR(E33),1,(12-MONTH(E33)+1)/12)))*(1/(1+DiscountRate)^11))</f>
        <v/>
      </c>
      <c r="BU33" s="36">
        <f>IF(A33="","",(K33)*(IF((YEAR(D33)+12)&lt;YEAR(E33),0,IF((YEAR(D33)+12)&gt;YEAR(E33),1,(12-MONTH(E33)+1)/12)))*(1/(1+DiscountRate)^12))</f>
        <v/>
      </c>
      <c r="BV33" s="36">
        <f>IF(A33="","",(K33)*(IF((YEAR(D33)+13)&lt;YEAR(E33),0,IF((YEAR(D33)+13)&gt;YEAR(E33),1,(12-MONTH(E33)+1)/12)))*(1/(1+DiscountRate)^13))</f>
        <v/>
      </c>
      <c r="BW33" s="36">
        <f>IF(A33="","",(K33)*(IF((YEAR(D33)+14)&lt;YEAR(E33),0,IF((YEAR(D33)+14)&gt;YEAR(E33),1,(12-MONTH(E33)+1)/12)))*(1/(1+DiscountRate)^14))</f>
        <v/>
      </c>
      <c r="BX33" s="36">
        <f>IF(A33="","",(K33)*(IF((YEAR(D33)+15)&lt;YEAR(E33),0,IF((YEAR(D33)+15)&gt;YEAR(E33),1,(12-MONTH(E33)+1)/12)))*(1/(1+DiscountRate)^15))</f>
        <v/>
      </c>
      <c r="BY33" s="36">
        <f>IF(A33="","",(K33)*(IF((YEAR(D33)+16)&lt;YEAR(E33),0,IF((YEAR(D33)+16)&gt;YEAR(E33),1,(12-MONTH(E33)+1)/12)))*(1/(1+DiscountRate)^16))</f>
        <v/>
      </c>
      <c r="BZ33" s="36">
        <f>IF(A33="","",(K33)*(IF((YEAR(D33)+17)&lt;YEAR(E33),0,IF((YEAR(D33)+17)&gt;YEAR(E33),1,(12-MONTH(E33)+1)/12)))*(1/(1+DiscountRate)^17))</f>
        <v/>
      </c>
      <c r="CA33" s="36">
        <f>IF(A33="","",(K33)*(IF((YEAR(D33)+18)&lt;YEAR(E33),0,IF((YEAR(D33)+18)&gt;YEAR(E33),1,(12-MONTH(E33)+1)/12)))*(1/(1+DiscountRate)^18))</f>
        <v/>
      </c>
      <c r="CB33" s="36">
        <f>IF(A33="","",(K33)*(IF((YEAR(D33)+19)&lt;YEAR(E33),0,IF((YEAR(D33)+19)&gt;YEAR(E33),1,(12-MONTH(E33)+1)/12)))*(1/(1+DiscountRate)^19))</f>
        <v/>
      </c>
      <c r="CC33" s="36">
        <f>IF(A33="","",(K33)*(IF((YEAR(D33)+20)&lt;YEAR(E33),0,IF((YEAR(D33)+20)&gt;YEAR(E33),1,(12-MONTH(E33)+1)/12)))*(1/(1+DiscountRate)^20))</f>
        <v/>
      </c>
      <c r="CD33" s="29">
        <f>IF(A33="","",S33/(1+DiscountRate)^0+T33/(1+DiscountRate)^1+U33/(1+DiscountRate)^2+V33/(1+DiscountRate)^3+W33/(1+DiscountRate)^4+X33/(1+DiscountRate)^5+Y33/(1+DiscountRate)^6+Z33/(1+DiscountRate)^7+AA33/(1+DiscountRate)^8+AB33/(1+DiscountRate)^9+AC33/(1+DiscountRate)^10+AD33/(1+DiscountRate)^11+AE33/(1+DiscountRate)^12+AF33/(1+DiscountRate)^13+AG33/(1+DiscountRate)^14+AH33/(1+DiscountRate)^15+AI33/(1+DiscountRate)^16+AJ33/(1+DiscountRate)^17+AK33/(1+DiscountRate)^18+AL33/(1+DiscountRate)^19+AM33/(1+DiscountRate)^20)</f>
        <v/>
      </c>
      <c r="CE33" s="37">
        <f>IF(A33="","",IFERROR(IRR(OFFSET(S33,0,0,1,MIN(HorizonYears,20)+1)),"n/a"))</f>
        <v/>
      </c>
      <c r="CF33" s="28">
        <f>IF(A33="","",IFERROR(MATCH(TRUE,OFFSET(AN33,0,0,1,MIN(HorizonYears,20)+1)&gt;=0,0)-1,"n/a"))</f>
        <v/>
      </c>
      <c r="CG33" s="36">
        <f>IF(A33="","",SUM(OFFSET(BI33,0,0,1,MIN(HorizonYears,20)+1)))</f>
        <v/>
      </c>
      <c r="CH33" s="36">
        <f>IF(A33="","",IFERROR(-CD33/CG33,"n/a"))</f>
        <v/>
      </c>
    </row>
    <row r="34">
      <c r="A34" s="6">
        <f>Actions!A32</f>
        <v/>
      </c>
      <c r="B34" s="6">
        <f>Actions!B32</f>
        <v/>
      </c>
      <c r="C34" s="6">
        <f>Actions!D32</f>
        <v/>
      </c>
      <c r="D34" s="35">
        <f>Actions!E32</f>
        <v/>
      </c>
      <c r="E34" s="35">
        <f>Actions!F32</f>
        <v/>
      </c>
      <c r="F34" s="6">
        <f>Actions!G32</f>
        <v/>
      </c>
      <c r="G34" s="6">
        <f>Actions!H32</f>
        <v/>
      </c>
      <c r="H34" s="29">
        <f>Actions!I32</f>
        <v/>
      </c>
      <c r="I34" s="6">
        <f>Actions!J32</f>
        <v/>
      </c>
      <c r="J34" s="16">
        <f>Actions!K32</f>
        <v/>
      </c>
      <c r="K34" s="16">
        <f>IF(A34="","",IF(I34="%",H34*J34,J34))</f>
        <v/>
      </c>
      <c r="L34" s="16">
        <f>Actions!L32</f>
        <v/>
      </c>
      <c r="M34" s="6">
        <f>Actions!M32</f>
        <v/>
      </c>
      <c r="N34" s="28">
        <f>Actions!N32</f>
        <v/>
      </c>
      <c r="O34" s="29">
        <f>Actions!T32</f>
        <v/>
      </c>
      <c r="P34" s="29">
        <f>Actions!Y32</f>
        <v/>
      </c>
      <c r="Q34" s="29">
        <f>Actions!Z32</f>
        <v/>
      </c>
      <c r="R34" s="29">
        <f>Actions!AA32</f>
        <v/>
      </c>
      <c r="S34" s="29">
        <f>IF(A34="","",((K34)*(IF(M34="",L34,IFERROR(IF(INDEX(Variablen!$I:$AT, MATCH(M34, Variablen!$A:$A, 0), MATCH((YEAR(D34)+0), Variablen!$I$3:$AT$3, 0))="",L34,INDEX(Variablen!$I:$AT, MATCH(M34, Variablen!$A:$A, 0), MATCH((YEAR(D34)+0), Variablen!$I$3:$AT$3, 0))),L34)))*(IF((YEAR(D34)+0)&lt;YEAR(E34),0,IF((YEAR(D34)+0)&gt;YEAR(E34),1,(12-MONTH(E34)+1)/12))) + (Q34)*(IF((YEAR(D34)+0)&lt;YEAR(E34),0,IF((YEAR(D34)+0)&gt;YEAR(E34),1,(12-MONTH(E34)+1)/12))))-((P34)*(IF((YEAR(D34)+0)&lt;YEAR(E34),0,IF((YEAR(D34)+0)&gt;YEAR(E34),1,(12-MONTH(E34)+1)/12))) + (R34)*(IF((YEAR(D34)+0)&lt;YEAR(E34),0,IF((YEAR(D34)+0)&gt;YEAR(E34),1,(12-MONTH(E34)+1)/12))))-(IF((((K34)*(IF(M34="",L34,IFERROR(IF(INDEX(Variablen!$I:$AT, MATCH(M34, Variablen!$A:$A, 0), MATCH((YEAR(D34)+0), Variablen!$I$3:$AT$3, 0))="",L34,INDEX(Variablen!$I:$AT, MATCH(M34, Variablen!$A:$A, 0), MATCH((YEAR(D34)+0), Variablen!$I$3:$AT$3, 0))),L34)))*(IF((YEAR(D34)+0)&lt;YEAR(E34),0,IF((YEAR(D34)+0)&gt;YEAR(E34),1,(12-MONTH(E34)+1)/12))) + (Q34)*(IF((YEAR(D34)+0)&lt;YEAR(E34),0,IF((YEAR(D34)+0)&gt;YEAR(E34),1,(12-MONTH(E34)+1)/12))))-((P34)*(IF((YEAR(D34)+0)&lt;YEAR(E34),0,IF((YEAR(D34)+0)&gt;YEAR(E34),1,(12-MONTH(E34)+1)/12))) + (R34)*(IF((YEAR(D34)+0)&lt;YEAR(E34),0,IF((YEAR(D34)+0)&gt;YEAR(E34),1,(12-MONTH(E34)+1)/12))))-(IF(OR(N34="",N34&lt;=0),0,(O34/N34)*(IF(OR(N34="",N34&lt;=0),0,IF((YEAR(D34)+0)&lt;YEAR(E34),0,IF((YEAR(D34)+0)&gt;=YEAR(E34)+N34,0,IF((YEAR(D34)+0)=YEAR(E34),(12-MONTH(E34)+1)/12,1))))))))&gt;0,(((K34)*(IF(M34="",L34,IFERROR(IF(INDEX(Variablen!$I:$AT, MATCH(M34, Variablen!$A:$A, 0), MATCH((YEAR(D34)+0), Variablen!$I$3:$AT$3, 0))="",L34,INDEX(Variablen!$I:$AT, MATCH(M34, Variablen!$A:$A, 0), MATCH((YEAR(D34)+0), Variablen!$I$3:$AT$3, 0))),L34)))*(IF((YEAR(D34)+0)&lt;YEAR(E34),0,IF((YEAR(D34)+0)&gt;YEAR(E34),1,(12-MONTH(E34)+1)/12))) + (Q34)*(IF((YEAR(D34)+0)&lt;YEAR(E34),0,IF((YEAR(D34)+0)&gt;YEAR(E34),1,(12-MONTH(E34)+1)/12))))-((P34)*(IF((YEAR(D34)+0)&lt;YEAR(E34),0,IF((YEAR(D34)+0)&gt;YEAR(E34),1,(12-MONTH(E34)+1)/12))) + (R34)*(IF((YEAR(D34)+0)&lt;YEAR(E34),0,IF((YEAR(D34)+0)&gt;YEAR(E34),1,(12-MONTH(E34)+1)/12))))-(IF(OR(N34="",N34&lt;=0),0,(O34/N34)*(IF(OR(N34="",N34&lt;=0),0,IF((YEAR(D34)+0)&lt;YEAR(E34),0,IF((YEAR(D34)+0)&gt;=YEAR(E34)+N34,0,IF((YEAR(D34)+0)=YEAR(E34),(12-MONTH(E34)+1)/12,1))))))))*TaxRate,0))-IF(0=0,O34,0))</f>
        <v/>
      </c>
      <c r="T34" s="29">
        <f>IF(A34="","",((K34)*(IF(M34="",L34,IFERROR(IF(INDEX(Variablen!$I:$AT, MATCH(M34, Variablen!$A:$A, 0), MATCH((YEAR(D34)+1), Variablen!$I$3:$AT$3, 0))="",L34,INDEX(Variablen!$I:$AT, MATCH(M34, Variablen!$A:$A, 0), MATCH((YEAR(D34)+1), Variablen!$I$3:$AT$3, 0))),L34)))*(IF((YEAR(D34)+1)&lt;YEAR(E34),0,IF((YEAR(D34)+1)&gt;YEAR(E34),1,(12-MONTH(E34)+1)/12))) + (Q34)*(IF((YEAR(D34)+1)&lt;YEAR(E34),0,IF((YEAR(D34)+1)&gt;YEAR(E34),1,(12-MONTH(E34)+1)/12))))-((P34)*(IF((YEAR(D34)+1)&lt;YEAR(E34),0,IF((YEAR(D34)+1)&gt;YEAR(E34),1,(12-MONTH(E34)+1)/12))) + (R34)*(IF((YEAR(D34)+1)&lt;YEAR(E34),0,IF((YEAR(D34)+1)&gt;YEAR(E34),1,(12-MONTH(E34)+1)/12))))-(IF((((K34)*(IF(M34="",L34,IFERROR(IF(INDEX(Variablen!$I:$AT, MATCH(M34, Variablen!$A:$A, 0), MATCH((YEAR(D34)+1), Variablen!$I$3:$AT$3, 0))="",L34,INDEX(Variablen!$I:$AT, MATCH(M34, Variablen!$A:$A, 0), MATCH((YEAR(D34)+1), Variablen!$I$3:$AT$3, 0))),L34)))*(IF((YEAR(D34)+1)&lt;YEAR(E34),0,IF((YEAR(D34)+1)&gt;YEAR(E34),1,(12-MONTH(E34)+1)/12))) + (Q34)*(IF((YEAR(D34)+1)&lt;YEAR(E34),0,IF((YEAR(D34)+1)&gt;YEAR(E34),1,(12-MONTH(E34)+1)/12))))-((P34)*(IF((YEAR(D34)+1)&lt;YEAR(E34),0,IF((YEAR(D34)+1)&gt;YEAR(E34),1,(12-MONTH(E34)+1)/12))) + (R34)*(IF((YEAR(D34)+1)&lt;YEAR(E34),0,IF((YEAR(D34)+1)&gt;YEAR(E34),1,(12-MONTH(E34)+1)/12))))-(IF(OR(N34="",N34&lt;=0),0,(O34/N34)*(IF(OR(N34="",N34&lt;=0),0,IF((YEAR(D34)+1)&lt;YEAR(E34),0,IF((YEAR(D34)+1)&gt;=YEAR(E34)+N34,0,IF((YEAR(D34)+1)=YEAR(E34),(12-MONTH(E34)+1)/12,1))))))))&gt;0,(((K34)*(IF(M34="",L34,IFERROR(IF(INDEX(Variablen!$I:$AT, MATCH(M34, Variablen!$A:$A, 0), MATCH((YEAR(D34)+1), Variablen!$I$3:$AT$3, 0))="",L34,INDEX(Variablen!$I:$AT, MATCH(M34, Variablen!$A:$A, 0), MATCH((YEAR(D34)+1), Variablen!$I$3:$AT$3, 0))),L34)))*(IF((YEAR(D34)+1)&lt;YEAR(E34),0,IF((YEAR(D34)+1)&gt;YEAR(E34),1,(12-MONTH(E34)+1)/12))) + (Q34)*(IF((YEAR(D34)+1)&lt;YEAR(E34),0,IF((YEAR(D34)+1)&gt;YEAR(E34),1,(12-MONTH(E34)+1)/12))))-((P34)*(IF((YEAR(D34)+1)&lt;YEAR(E34),0,IF((YEAR(D34)+1)&gt;YEAR(E34),1,(12-MONTH(E34)+1)/12))) + (R34)*(IF((YEAR(D34)+1)&lt;YEAR(E34),0,IF((YEAR(D34)+1)&gt;YEAR(E34),1,(12-MONTH(E34)+1)/12))))-(IF(OR(N34="",N34&lt;=0),0,(O34/N34)*(IF(OR(N34="",N34&lt;=0),0,IF((YEAR(D34)+1)&lt;YEAR(E34),0,IF((YEAR(D34)+1)&gt;=YEAR(E34)+N34,0,IF((YEAR(D34)+1)=YEAR(E34),(12-MONTH(E34)+1)/12,1))))))))*TaxRate,0))-IF(1=0,O34,0))</f>
        <v/>
      </c>
      <c r="U34" s="29">
        <f>IF(A34="","",((K34)*(IF(M34="",L34,IFERROR(IF(INDEX(Variablen!$I:$AT, MATCH(M34, Variablen!$A:$A, 0), MATCH((YEAR(D34)+2), Variablen!$I$3:$AT$3, 0))="",L34,INDEX(Variablen!$I:$AT, MATCH(M34, Variablen!$A:$A, 0), MATCH((YEAR(D34)+2), Variablen!$I$3:$AT$3, 0))),L34)))*(IF((YEAR(D34)+2)&lt;YEAR(E34),0,IF((YEAR(D34)+2)&gt;YEAR(E34),1,(12-MONTH(E34)+1)/12))) + (Q34)*(IF((YEAR(D34)+2)&lt;YEAR(E34),0,IF((YEAR(D34)+2)&gt;YEAR(E34),1,(12-MONTH(E34)+1)/12))))-((P34)*(IF((YEAR(D34)+2)&lt;YEAR(E34),0,IF((YEAR(D34)+2)&gt;YEAR(E34),1,(12-MONTH(E34)+1)/12))) + (R34)*(IF((YEAR(D34)+2)&lt;YEAR(E34),0,IF((YEAR(D34)+2)&gt;YEAR(E34),1,(12-MONTH(E34)+1)/12))))-(IF((((K34)*(IF(M34="",L34,IFERROR(IF(INDEX(Variablen!$I:$AT, MATCH(M34, Variablen!$A:$A, 0), MATCH((YEAR(D34)+2), Variablen!$I$3:$AT$3, 0))="",L34,INDEX(Variablen!$I:$AT, MATCH(M34, Variablen!$A:$A, 0), MATCH((YEAR(D34)+2), Variablen!$I$3:$AT$3, 0))),L34)))*(IF((YEAR(D34)+2)&lt;YEAR(E34),0,IF((YEAR(D34)+2)&gt;YEAR(E34),1,(12-MONTH(E34)+1)/12))) + (Q34)*(IF((YEAR(D34)+2)&lt;YEAR(E34),0,IF((YEAR(D34)+2)&gt;YEAR(E34),1,(12-MONTH(E34)+1)/12))))-((P34)*(IF((YEAR(D34)+2)&lt;YEAR(E34),0,IF((YEAR(D34)+2)&gt;YEAR(E34),1,(12-MONTH(E34)+1)/12))) + (R34)*(IF((YEAR(D34)+2)&lt;YEAR(E34),0,IF((YEAR(D34)+2)&gt;YEAR(E34),1,(12-MONTH(E34)+1)/12))))-(IF(OR(N34="",N34&lt;=0),0,(O34/N34)*(IF(OR(N34="",N34&lt;=0),0,IF((YEAR(D34)+2)&lt;YEAR(E34),0,IF((YEAR(D34)+2)&gt;=YEAR(E34)+N34,0,IF((YEAR(D34)+2)=YEAR(E34),(12-MONTH(E34)+1)/12,1))))))))&gt;0,(((K34)*(IF(M34="",L34,IFERROR(IF(INDEX(Variablen!$I:$AT, MATCH(M34, Variablen!$A:$A, 0), MATCH((YEAR(D34)+2), Variablen!$I$3:$AT$3, 0))="",L34,INDEX(Variablen!$I:$AT, MATCH(M34, Variablen!$A:$A, 0), MATCH((YEAR(D34)+2), Variablen!$I$3:$AT$3, 0))),L34)))*(IF((YEAR(D34)+2)&lt;YEAR(E34),0,IF((YEAR(D34)+2)&gt;YEAR(E34),1,(12-MONTH(E34)+1)/12))) + (Q34)*(IF((YEAR(D34)+2)&lt;YEAR(E34),0,IF((YEAR(D34)+2)&gt;YEAR(E34),1,(12-MONTH(E34)+1)/12))))-((P34)*(IF((YEAR(D34)+2)&lt;YEAR(E34),0,IF((YEAR(D34)+2)&gt;YEAR(E34),1,(12-MONTH(E34)+1)/12))) + (R34)*(IF((YEAR(D34)+2)&lt;YEAR(E34),0,IF((YEAR(D34)+2)&gt;YEAR(E34),1,(12-MONTH(E34)+1)/12))))-(IF(OR(N34="",N34&lt;=0),0,(O34/N34)*(IF(OR(N34="",N34&lt;=0),0,IF((YEAR(D34)+2)&lt;YEAR(E34),0,IF((YEAR(D34)+2)&gt;=YEAR(E34)+N34,0,IF((YEAR(D34)+2)=YEAR(E34),(12-MONTH(E34)+1)/12,1))))))))*TaxRate,0))-IF(2=0,O34,0))</f>
        <v/>
      </c>
      <c r="V34" s="29">
        <f>IF(A34="","",((K34)*(IF(M34="",L34,IFERROR(IF(INDEX(Variablen!$I:$AT, MATCH(M34, Variablen!$A:$A, 0), MATCH((YEAR(D34)+3), Variablen!$I$3:$AT$3, 0))="",L34,INDEX(Variablen!$I:$AT, MATCH(M34, Variablen!$A:$A, 0), MATCH((YEAR(D34)+3), Variablen!$I$3:$AT$3, 0))),L34)))*(IF((YEAR(D34)+3)&lt;YEAR(E34),0,IF((YEAR(D34)+3)&gt;YEAR(E34),1,(12-MONTH(E34)+1)/12))) + (Q34)*(IF((YEAR(D34)+3)&lt;YEAR(E34),0,IF((YEAR(D34)+3)&gt;YEAR(E34),1,(12-MONTH(E34)+1)/12))))-((P34)*(IF((YEAR(D34)+3)&lt;YEAR(E34),0,IF((YEAR(D34)+3)&gt;YEAR(E34),1,(12-MONTH(E34)+1)/12))) + (R34)*(IF((YEAR(D34)+3)&lt;YEAR(E34),0,IF((YEAR(D34)+3)&gt;YEAR(E34),1,(12-MONTH(E34)+1)/12))))-(IF((((K34)*(IF(M34="",L34,IFERROR(IF(INDEX(Variablen!$I:$AT, MATCH(M34, Variablen!$A:$A, 0), MATCH((YEAR(D34)+3), Variablen!$I$3:$AT$3, 0))="",L34,INDEX(Variablen!$I:$AT, MATCH(M34, Variablen!$A:$A, 0), MATCH((YEAR(D34)+3), Variablen!$I$3:$AT$3, 0))),L34)))*(IF((YEAR(D34)+3)&lt;YEAR(E34),0,IF((YEAR(D34)+3)&gt;YEAR(E34),1,(12-MONTH(E34)+1)/12))) + (Q34)*(IF((YEAR(D34)+3)&lt;YEAR(E34),0,IF((YEAR(D34)+3)&gt;YEAR(E34),1,(12-MONTH(E34)+1)/12))))-((P34)*(IF((YEAR(D34)+3)&lt;YEAR(E34),0,IF((YEAR(D34)+3)&gt;YEAR(E34),1,(12-MONTH(E34)+1)/12))) + (R34)*(IF((YEAR(D34)+3)&lt;YEAR(E34),0,IF((YEAR(D34)+3)&gt;YEAR(E34),1,(12-MONTH(E34)+1)/12))))-(IF(OR(N34="",N34&lt;=0),0,(O34/N34)*(IF(OR(N34="",N34&lt;=0),0,IF((YEAR(D34)+3)&lt;YEAR(E34),0,IF((YEAR(D34)+3)&gt;=YEAR(E34)+N34,0,IF((YEAR(D34)+3)=YEAR(E34),(12-MONTH(E34)+1)/12,1))))))))&gt;0,(((K34)*(IF(M34="",L34,IFERROR(IF(INDEX(Variablen!$I:$AT, MATCH(M34, Variablen!$A:$A, 0), MATCH((YEAR(D34)+3), Variablen!$I$3:$AT$3, 0))="",L34,INDEX(Variablen!$I:$AT, MATCH(M34, Variablen!$A:$A, 0), MATCH((YEAR(D34)+3), Variablen!$I$3:$AT$3, 0))),L34)))*(IF((YEAR(D34)+3)&lt;YEAR(E34),0,IF((YEAR(D34)+3)&gt;YEAR(E34),1,(12-MONTH(E34)+1)/12))) + (Q34)*(IF((YEAR(D34)+3)&lt;YEAR(E34),0,IF((YEAR(D34)+3)&gt;YEAR(E34),1,(12-MONTH(E34)+1)/12))))-((P34)*(IF((YEAR(D34)+3)&lt;YEAR(E34),0,IF((YEAR(D34)+3)&gt;YEAR(E34),1,(12-MONTH(E34)+1)/12))) + (R34)*(IF((YEAR(D34)+3)&lt;YEAR(E34),0,IF((YEAR(D34)+3)&gt;YEAR(E34),1,(12-MONTH(E34)+1)/12))))-(IF(OR(N34="",N34&lt;=0),0,(O34/N34)*(IF(OR(N34="",N34&lt;=0),0,IF((YEAR(D34)+3)&lt;YEAR(E34),0,IF((YEAR(D34)+3)&gt;=YEAR(E34)+N34,0,IF((YEAR(D34)+3)=YEAR(E34),(12-MONTH(E34)+1)/12,1))))))))*TaxRate,0))-IF(3=0,O34,0))</f>
        <v/>
      </c>
      <c r="W34" s="29">
        <f>IF(A34="","",((K34)*(IF(M34="",L34,IFERROR(IF(INDEX(Variablen!$I:$AT, MATCH(M34, Variablen!$A:$A, 0), MATCH((YEAR(D34)+4), Variablen!$I$3:$AT$3, 0))="",L34,INDEX(Variablen!$I:$AT, MATCH(M34, Variablen!$A:$A, 0), MATCH((YEAR(D34)+4), Variablen!$I$3:$AT$3, 0))),L34)))*(IF((YEAR(D34)+4)&lt;YEAR(E34),0,IF((YEAR(D34)+4)&gt;YEAR(E34),1,(12-MONTH(E34)+1)/12))) + (Q34)*(IF((YEAR(D34)+4)&lt;YEAR(E34),0,IF((YEAR(D34)+4)&gt;YEAR(E34),1,(12-MONTH(E34)+1)/12))))-((P34)*(IF((YEAR(D34)+4)&lt;YEAR(E34),0,IF((YEAR(D34)+4)&gt;YEAR(E34),1,(12-MONTH(E34)+1)/12))) + (R34)*(IF((YEAR(D34)+4)&lt;YEAR(E34),0,IF((YEAR(D34)+4)&gt;YEAR(E34),1,(12-MONTH(E34)+1)/12))))-(IF((((K34)*(IF(M34="",L34,IFERROR(IF(INDEX(Variablen!$I:$AT, MATCH(M34, Variablen!$A:$A, 0), MATCH((YEAR(D34)+4), Variablen!$I$3:$AT$3, 0))="",L34,INDEX(Variablen!$I:$AT, MATCH(M34, Variablen!$A:$A, 0), MATCH((YEAR(D34)+4), Variablen!$I$3:$AT$3, 0))),L34)))*(IF((YEAR(D34)+4)&lt;YEAR(E34),0,IF((YEAR(D34)+4)&gt;YEAR(E34),1,(12-MONTH(E34)+1)/12))) + (Q34)*(IF((YEAR(D34)+4)&lt;YEAR(E34),0,IF((YEAR(D34)+4)&gt;YEAR(E34),1,(12-MONTH(E34)+1)/12))))-((P34)*(IF((YEAR(D34)+4)&lt;YEAR(E34),0,IF((YEAR(D34)+4)&gt;YEAR(E34),1,(12-MONTH(E34)+1)/12))) + (R34)*(IF((YEAR(D34)+4)&lt;YEAR(E34),0,IF((YEAR(D34)+4)&gt;YEAR(E34),1,(12-MONTH(E34)+1)/12))))-(IF(OR(N34="",N34&lt;=0),0,(O34/N34)*(IF(OR(N34="",N34&lt;=0),0,IF((YEAR(D34)+4)&lt;YEAR(E34),0,IF((YEAR(D34)+4)&gt;=YEAR(E34)+N34,0,IF((YEAR(D34)+4)=YEAR(E34),(12-MONTH(E34)+1)/12,1))))))))&gt;0,(((K34)*(IF(M34="",L34,IFERROR(IF(INDEX(Variablen!$I:$AT, MATCH(M34, Variablen!$A:$A, 0), MATCH((YEAR(D34)+4), Variablen!$I$3:$AT$3, 0))="",L34,INDEX(Variablen!$I:$AT, MATCH(M34, Variablen!$A:$A, 0), MATCH((YEAR(D34)+4), Variablen!$I$3:$AT$3, 0))),L34)))*(IF((YEAR(D34)+4)&lt;YEAR(E34),0,IF((YEAR(D34)+4)&gt;YEAR(E34),1,(12-MONTH(E34)+1)/12))) + (Q34)*(IF((YEAR(D34)+4)&lt;YEAR(E34),0,IF((YEAR(D34)+4)&gt;YEAR(E34),1,(12-MONTH(E34)+1)/12))))-((P34)*(IF((YEAR(D34)+4)&lt;YEAR(E34),0,IF((YEAR(D34)+4)&gt;YEAR(E34),1,(12-MONTH(E34)+1)/12))) + (R34)*(IF((YEAR(D34)+4)&lt;YEAR(E34),0,IF((YEAR(D34)+4)&gt;YEAR(E34),1,(12-MONTH(E34)+1)/12))))-(IF(OR(N34="",N34&lt;=0),0,(O34/N34)*(IF(OR(N34="",N34&lt;=0),0,IF((YEAR(D34)+4)&lt;YEAR(E34),0,IF((YEAR(D34)+4)&gt;=YEAR(E34)+N34,0,IF((YEAR(D34)+4)=YEAR(E34),(12-MONTH(E34)+1)/12,1))))))))*TaxRate,0))-IF(4=0,O34,0))</f>
        <v/>
      </c>
      <c r="X34" s="29">
        <f>IF(A34="","",((K34)*(IF(M34="",L34,IFERROR(IF(INDEX(Variablen!$I:$AT, MATCH(M34, Variablen!$A:$A, 0), MATCH((YEAR(D34)+5), Variablen!$I$3:$AT$3, 0))="",L34,INDEX(Variablen!$I:$AT, MATCH(M34, Variablen!$A:$A, 0), MATCH((YEAR(D34)+5), Variablen!$I$3:$AT$3, 0))),L34)))*(IF((YEAR(D34)+5)&lt;YEAR(E34),0,IF((YEAR(D34)+5)&gt;YEAR(E34),1,(12-MONTH(E34)+1)/12))) + (Q34)*(IF((YEAR(D34)+5)&lt;YEAR(E34),0,IF((YEAR(D34)+5)&gt;YEAR(E34),1,(12-MONTH(E34)+1)/12))))-((P34)*(IF((YEAR(D34)+5)&lt;YEAR(E34),0,IF((YEAR(D34)+5)&gt;YEAR(E34),1,(12-MONTH(E34)+1)/12))) + (R34)*(IF((YEAR(D34)+5)&lt;YEAR(E34),0,IF((YEAR(D34)+5)&gt;YEAR(E34),1,(12-MONTH(E34)+1)/12))))-(IF((((K34)*(IF(M34="",L34,IFERROR(IF(INDEX(Variablen!$I:$AT, MATCH(M34, Variablen!$A:$A, 0), MATCH((YEAR(D34)+5), Variablen!$I$3:$AT$3, 0))="",L34,INDEX(Variablen!$I:$AT, MATCH(M34, Variablen!$A:$A, 0), MATCH((YEAR(D34)+5), Variablen!$I$3:$AT$3, 0))),L34)))*(IF((YEAR(D34)+5)&lt;YEAR(E34),0,IF((YEAR(D34)+5)&gt;YEAR(E34),1,(12-MONTH(E34)+1)/12))) + (Q34)*(IF((YEAR(D34)+5)&lt;YEAR(E34),0,IF((YEAR(D34)+5)&gt;YEAR(E34),1,(12-MONTH(E34)+1)/12))))-((P34)*(IF((YEAR(D34)+5)&lt;YEAR(E34),0,IF((YEAR(D34)+5)&gt;YEAR(E34),1,(12-MONTH(E34)+1)/12))) + (R34)*(IF((YEAR(D34)+5)&lt;YEAR(E34),0,IF((YEAR(D34)+5)&gt;YEAR(E34),1,(12-MONTH(E34)+1)/12))))-(IF(OR(N34="",N34&lt;=0),0,(O34/N34)*(IF(OR(N34="",N34&lt;=0),0,IF((YEAR(D34)+5)&lt;YEAR(E34),0,IF((YEAR(D34)+5)&gt;=YEAR(E34)+N34,0,IF((YEAR(D34)+5)=YEAR(E34),(12-MONTH(E34)+1)/12,1))))))))&gt;0,(((K34)*(IF(M34="",L34,IFERROR(IF(INDEX(Variablen!$I:$AT, MATCH(M34, Variablen!$A:$A, 0), MATCH((YEAR(D34)+5), Variablen!$I$3:$AT$3, 0))="",L34,INDEX(Variablen!$I:$AT, MATCH(M34, Variablen!$A:$A, 0), MATCH((YEAR(D34)+5), Variablen!$I$3:$AT$3, 0))),L34)))*(IF((YEAR(D34)+5)&lt;YEAR(E34),0,IF((YEAR(D34)+5)&gt;YEAR(E34),1,(12-MONTH(E34)+1)/12))) + (Q34)*(IF((YEAR(D34)+5)&lt;YEAR(E34),0,IF((YEAR(D34)+5)&gt;YEAR(E34),1,(12-MONTH(E34)+1)/12))))-((P34)*(IF((YEAR(D34)+5)&lt;YEAR(E34),0,IF((YEAR(D34)+5)&gt;YEAR(E34),1,(12-MONTH(E34)+1)/12))) + (R34)*(IF((YEAR(D34)+5)&lt;YEAR(E34),0,IF((YEAR(D34)+5)&gt;YEAR(E34),1,(12-MONTH(E34)+1)/12))))-(IF(OR(N34="",N34&lt;=0),0,(O34/N34)*(IF(OR(N34="",N34&lt;=0),0,IF((YEAR(D34)+5)&lt;YEAR(E34),0,IF((YEAR(D34)+5)&gt;=YEAR(E34)+N34,0,IF((YEAR(D34)+5)=YEAR(E34),(12-MONTH(E34)+1)/12,1))))))))*TaxRate,0))-IF(5=0,O34,0))</f>
        <v/>
      </c>
      <c r="Y34" s="29">
        <f>IF(A34="","",((K34)*(IF(M34="",L34,IFERROR(IF(INDEX(Variablen!$I:$AT, MATCH(M34, Variablen!$A:$A, 0), MATCH((YEAR(D34)+6), Variablen!$I$3:$AT$3, 0))="",L34,INDEX(Variablen!$I:$AT, MATCH(M34, Variablen!$A:$A, 0), MATCH((YEAR(D34)+6), Variablen!$I$3:$AT$3, 0))),L34)))*(IF((YEAR(D34)+6)&lt;YEAR(E34),0,IF((YEAR(D34)+6)&gt;YEAR(E34),1,(12-MONTH(E34)+1)/12))) + (Q34)*(IF((YEAR(D34)+6)&lt;YEAR(E34),0,IF((YEAR(D34)+6)&gt;YEAR(E34),1,(12-MONTH(E34)+1)/12))))-((P34)*(IF((YEAR(D34)+6)&lt;YEAR(E34),0,IF((YEAR(D34)+6)&gt;YEAR(E34),1,(12-MONTH(E34)+1)/12))) + (R34)*(IF((YEAR(D34)+6)&lt;YEAR(E34),0,IF((YEAR(D34)+6)&gt;YEAR(E34),1,(12-MONTH(E34)+1)/12))))-(IF((((K34)*(IF(M34="",L34,IFERROR(IF(INDEX(Variablen!$I:$AT, MATCH(M34, Variablen!$A:$A, 0), MATCH((YEAR(D34)+6), Variablen!$I$3:$AT$3, 0))="",L34,INDEX(Variablen!$I:$AT, MATCH(M34, Variablen!$A:$A, 0), MATCH((YEAR(D34)+6), Variablen!$I$3:$AT$3, 0))),L34)))*(IF((YEAR(D34)+6)&lt;YEAR(E34),0,IF((YEAR(D34)+6)&gt;YEAR(E34),1,(12-MONTH(E34)+1)/12))) + (Q34)*(IF((YEAR(D34)+6)&lt;YEAR(E34),0,IF((YEAR(D34)+6)&gt;YEAR(E34),1,(12-MONTH(E34)+1)/12))))-((P34)*(IF((YEAR(D34)+6)&lt;YEAR(E34),0,IF((YEAR(D34)+6)&gt;YEAR(E34),1,(12-MONTH(E34)+1)/12))) + (R34)*(IF((YEAR(D34)+6)&lt;YEAR(E34),0,IF((YEAR(D34)+6)&gt;YEAR(E34),1,(12-MONTH(E34)+1)/12))))-(IF(OR(N34="",N34&lt;=0),0,(O34/N34)*(IF(OR(N34="",N34&lt;=0),0,IF((YEAR(D34)+6)&lt;YEAR(E34),0,IF((YEAR(D34)+6)&gt;=YEAR(E34)+N34,0,IF((YEAR(D34)+6)=YEAR(E34),(12-MONTH(E34)+1)/12,1))))))))&gt;0,(((K34)*(IF(M34="",L34,IFERROR(IF(INDEX(Variablen!$I:$AT, MATCH(M34, Variablen!$A:$A, 0), MATCH((YEAR(D34)+6), Variablen!$I$3:$AT$3, 0))="",L34,INDEX(Variablen!$I:$AT, MATCH(M34, Variablen!$A:$A, 0), MATCH((YEAR(D34)+6), Variablen!$I$3:$AT$3, 0))),L34)))*(IF((YEAR(D34)+6)&lt;YEAR(E34),0,IF((YEAR(D34)+6)&gt;YEAR(E34),1,(12-MONTH(E34)+1)/12))) + (Q34)*(IF((YEAR(D34)+6)&lt;YEAR(E34),0,IF((YEAR(D34)+6)&gt;YEAR(E34),1,(12-MONTH(E34)+1)/12))))-((P34)*(IF((YEAR(D34)+6)&lt;YEAR(E34),0,IF((YEAR(D34)+6)&gt;YEAR(E34),1,(12-MONTH(E34)+1)/12))) + (R34)*(IF((YEAR(D34)+6)&lt;YEAR(E34),0,IF((YEAR(D34)+6)&gt;YEAR(E34),1,(12-MONTH(E34)+1)/12))))-(IF(OR(N34="",N34&lt;=0),0,(O34/N34)*(IF(OR(N34="",N34&lt;=0),0,IF((YEAR(D34)+6)&lt;YEAR(E34),0,IF((YEAR(D34)+6)&gt;=YEAR(E34)+N34,0,IF((YEAR(D34)+6)=YEAR(E34),(12-MONTH(E34)+1)/12,1))))))))*TaxRate,0))-IF(6=0,O34,0))</f>
        <v/>
      </c>
      <c r="Z34" s="29">
        <f>IF(A34="","",((K34)*(IF(M34="",L34,IFERROR(IF(INDEX(Variablen!$I:$AT, MATCH(M34, Variablen!$A:$A, 0), MATCH((YEAR(D34)+7), Variablen!$I$3:$AT$3, 0))="",L34,INDEX(Variablen!$I:$AT, MATCH(M34, Variablen!$A:$A, 0), MATCH((YEAR(D34)+7), Variablen!$I$3:$AT$3, 0))),L34)))*(IF((YEAR(D34)+7)&lt;YEAR(E34),0,IF((YEAR(D34)+7)&gt;YEAR(E34),1,(12-MONTH(E34)+1)/12))) + (Q34)*(IF((YEAR(D34)+7)&lt;YEAR(E34),0,IF((YEAR(D34)+7)&gt;YEAR(E34),1,(12-MONTH(E34)+1)/12))))-((P34)*(IF((YEAR(D34)+7)&lt;YEAR(E34),0,IF((YEAR(D34)+7)&gt;YEAR(E34),1,(12-MONTH(E34)+1)/12))) + (R34)*(IF((YEAR(D34)+7)&lt;YEAR(E34),0,IF((YEAR(D34)+7)&gt;YEAR(E34),1,(12-MONTH(E34)+1)/12))))-(IF((((K34)*(IF(M34="",L34,IFERROR(IF(INDEX(Variablen!$I:$AT, MATCH(M34, Variablen!$A:$A, 0), MATCH((YEAR(D34)+7), Variablen!$I$3:$AT$3, 0))="",L34,INDEX(Variablen!$I:$AT, MATCH(M34, Variablen!$A:$A, 0), MATCH((YEAR(D34)+7), Variablen!$I$3:$AT$3, 0))),L34)))*(IF((YEAR(D34)+7)&lt;YEAR(E34),0,IF((YEAR(D34)+7)&gt;YEAR(E34),1,(12-MONTH(E34)+1)/12))) + (Q34)*(IF((YEAR(D34)+7)&lt;YEAR(E34),0,IF((YEAR(D34)+7)&gt;YEAR(E34),1,(12-MONTH(E34)+1)/12))))-((P34)*(IF((YEAR(D34)+7)&lt;YEAR(E34),0,IF((YEAR(D34)+7)&gt;YEAR(E34),1,(12-MONTH(E34)+1)/12))) + (R34)*(IF((YEAR(D34)+7)&lt;YEAR(E34),0,IF((YEAR(D34)+7)&gt;YEAR(E34),1,(12-MONTH(E34)+1)/12))))-(IF(OR(N34="",N34&lt;=0),0,(O34/N34)*(IF(OR(N34="",N34&lt;=0),0,IF((YEAR(D34)+7)&lt;YEAR(E34),0,IF((YEAR(D34)+7)&gt;=YEAR(E34)+N34,0,IF((YEAR(D34)+7)=YEAR(E34),(12-MONTH(E34)+1)/12,1))))))))&gt;0,(((K34)*(IF(M34="",L34,IFERROR(IF(INDEX(Variablen!$I:$AT, MATCH(M34, Variablen!$A:$A, 0), MATCH((YEAR(D34)+7), Variablen!$I$3:$AT$3, 0))="",L34,INDEX(Variablen!$I:$AT, MATCH(M34, Variablen!$A:$A, 0), MATCH((YEAR(D34)+7), Variablen!$I$3:$AT$3, 0))),L34)))*(IF((YEAR(D34)+7)&lt;YEAR(E34),0,IF((YEAR(D34)+7)&gt;YEAR(E34),1,(12-MONTH(E34)+1)/12))) + (Q34)*(IF((YEAR(D34)+7)&lt;YEAR(E34),0,IF((YEAR(D34)+7)&gt;YEAR(E34),1,(12-MONTH(E34)+1)/12))))-((P34)*(IF((YEAR(D34)+7)&lt;YEAR(E34),0,IF((YEAR(D34)+7)&gt;YEAR(E34),1,(12-MONTH(E34)+1)/12))) + (R34)*(IF((YEAR(D34)+7)&lt;YEAR(E34),0,IF((YEAR(D34)+7)&gt;YEAR(E34),1,(12-MONTH(E34)+1)/12))))-(IF(OR(N34="",N34&lt;=0),0,(O34/N34)*(IF(OR(N34="",N34&lt;=0),0,IF((YEAR(D34)+7)&lt;YEAR(E34),0,IF((YEAR(D34)+7)&gt;=YEAR(E34)+N34,0,IF((YEAR(D34)+7)=YEAR(E34),(12-MONTH(E34)+1)/12,1))))))))*TaxRate,0))-IF(7=0,O34,0))</f>
        <v/>
      </c>
      <c r="AA34" s="29">
        <f>IF(A34="","",((K34)*(IF(M34="",L34,IFERROR(IF(INDEX(Variablen!$I:$AT, MATCH(M34, Variablen!$A:$A, 0), MATCH((YEAR(D34)+8), Variablen!$I$3:$AT$3, 0))="",L34,INDEX(Variablen!$I:$AT, MATCH(M34, Variablen!$A:$A, 0), MATCH((YEAR(D34)+8), Variablen!$I$3:$AT$3, 0))),L34)))*(IF((YEAR(D34)+8)&lt;YEAR(E34),0,IF((YEAR(D34)+8)&gt;YEAR(E34),1,(12-MONTH(E34)+1)/12))) + (Q34)*(IF((YEAR(D34)+8)&lt;YEAR(E34),0,IF((YEAR(D34)+8)&gt;YEAR(E34),1,(12-MONTH(E34)+1)/12))))-((P34)*(IF((YEAR(D34)+8)&lt;YEAR(E34),0,IF((YEAR(D34)+8)&gt;YEAR(E34),1,(12-MONTH(E34)+1)/12))) + (R34)*(IF((YEAR(D34)+8)&lt;YEAR(E34),0,IF((YEAR(D34)+8)&gt;YEAR(E34),1,(12-MONTH(E34)+1)/12))))-(IF((((K34)*(IF(M34="",L34,IFERROR(IF(INDEX(Variablen!$I:$AT, MATCH(M34, Variablen!$A:$A, 0), MATCH((YEAR(D34)+8), Variablen!$I$3:$AT$3, 0))="",L34,INDEX(Variablen!$I:$AT, MATCH(M34, Variablen!$A:$A, 0), MATCH((YEAR(D34)+8), Variablen!$I$3:$AT$3, 0))),L34)))*(IF((YEAR(D34)+8)&lt;YEAR(E34),0,IF((YEAR(D34)+8)&gt;YEAR(E34),1,(12-MONTH(E34)+1)/12))) + (Q34)*(IF((YEAR(D34)+8)&lt;YEAR(E34),0,IF((YEAR(D34)+8)&gt;YEAR(E34),1,(12-MONTH(E34)+1)/12))))-((P34)*(IF((YEAR(D34)+8)&lt;YEAR(E34),0,IF((YEAR(D34)+8)&gt;YEAR(E34),1,(12-MONTH(E34)+1)/12))) + (R34)*(IF((YEAR(D34)+8)&lt;YEAR(E34),0,IF((YEAR(D34)+8)&gt;YEAR(E34),1,(12-MONTH(E34)+1)/12))))-(IF(OR(N34="",N34&lt;=0),0,(O34/N34)*(IF(OR(N34="",N34&lt;=0),0,IF((YEAR(D34)+8)&lt;YEAR(E34),0,IF((YEAR(D34)+8)&gt;=YEAR(E34)+N34,0,IF((YEAR(D34)+8)=YEAR(E34),(12-MONTH(E34)+1)/12,1))))))))&gt;0,(((K34)*(IF(M34="",L34,IFERROR(IF(INDEX(Variablen!$I:$AT, MATCH(M34, Variablen!$A:$A, 0), MATCH((YEAR(D34)+8), Variablen!$I$3:$AT$3, 0))="",L34,INDEX(Variablen!$I:$AT, MATCH(M34, Variablen!$A:$A, 0), MATCH((YEAR(D34)+8), Variablen!$I$3:$AT$3, 0))),L34)))*(IF((YEAR(D34)+8)&lt;YEAR(E34),0,IF((YEAR(D34)+8)&gt;YEAR(E34),1,(12-MONTH(E34)+1)/12))) + (Q34)*(IF((YEAR(D34)+8)&lt;YEAR(E34),0,IF((YEAR(D34)+8)&gt;YEAR(E34),1,(12-MONTH(E34)+1)/12))))-((P34)*(IF((YEAR(D34)+8)&lt;YEAR(E34),0,IF((YEAR(D34)+8)&gt;YEAR(E34),1,(12-MONTH(E34)+1)/12))) + (R34)*(IF((YEAR(D34)+8)&lt;YEAR(E34),0,IF((YEAR(D34)+8)&gt;YEAR(E34),1,(12-MONTH(E34)+1)/12))))-(IF(OR(N34="",N34&lt;=0),0,(O34/N34)*(IF(OR(N34="",N34&lt;=0),0,IF((YEAR(D34)+8)&lt;YEAR(E34),0,IF((YEAR(D34)+8)&gt;=YEAR(E34)+N34,0,IF((YEAR(D34)+8)=YEAR(E34),(12-MONTH(E34)+1)/12,1))))))))*TaxRate,0))-IF(8=0,O34,0))</f>
        <v/>
      </c>
      <c r="AB34" s="29">
        <f>IF(A34="","",((K34)*(IF(M34="",L34,IFERROR(IF(INDEX(Variablen!$I:$AT, MATCH(M34, Variablen!$A:$A, 0), MATCH((YEAR(D34)+9), Variablen!$I$3:$AT$3, 0))="",L34,INDEX(Variablen!$I:$AT, MATCH(M34, Variablen!$A:$A, 0), MATCH((YEAR(D34)+9), Variablen!$I$3:$AT$3, 0))),L34)))*(IF((YEAR(D34)+9)&lt;YEAR(E34),0,IF((YEAR(D34)+9)&gt;YEAR(E34),1,(12-MONTH(E34)+1)/12))) + (Q34)*(IF((YEAR(D34)+9)&lt;YEAR(E34),0,IF((YEAR(D34)+9)&gt;YEAR(E34),1,(12-MONTH(E34)+1)/12))))-((P34)*(IF((YEAR(D34)+9)&lt;YEAR(E34),0,IF((YEAR(D34)+9)&gt;YEAR(E34),1,(12-MONTH(E34)+1)/12))) + (R34)*(IF((YEAR(D34)+9)&lt;YEAR(E34),0,IF((YEAR(D34)+9)&gt;YEAR(E34),1,(12-MONTH(E34)+1)/12))))-(IF((((K34)*(IF(M34="",L34,IFERROR(IF(INDEX(Variablen!$I:$AT, MATCH(M34, Variablen!$A:$A, 0), MATCH((YEAR(D34)+9), Variablen!$I$3:$AT$3, 0))="",L34,INDEX(Variablen!$I:$AT, MATCH(M34, Variablen!$A:$A, 0), MATCH((YEAR(D34)+9), Variablen!$I$3:$AT$3, 0))),L34)))*(IF((YEAR(D34)+9)&lt;YEAR(E34),0,IF((YEAR(D34)+9)&gt;YEAR(E34),1,(12-MONTH(E34)+1)/12))) + (Q34)*(IF((YEAR(D34)+9)&lt;YEAR(E34),0,IF((YEAR(D34)+9)&gt;YEAR(E34),1,(12-MONTH(E34)+1)/12))))-((P34)*(IF((YEAR(D34)+9)&lt;YEAR(E34),0,IF((YEAR(D34)+9)&gt;YEAR(E34),1,(12-MONTH(E34)+1)/12))) + (R34)*(IF((YEAR(D34)+9)&lt;YEAR(E34),0,IF((YEAR(D34)+9)&gt;YEAR(E34),1,(12-MONTH(E34)+1)/12))))-(IF(OR(N34="",N34&lt;=0),0,(O34/N34)*(IF(OR(N34="",N34&lt;=0),0,IF((YEAR(D34)+9)&lt;YEAR(E34),0,IF((YEAR(D34)+9)&gt;=YEAR(E34)+N34,0,IF((YEAR(D34)+9)=YEAR(E34),(12-MONTH(E34)+1)/12,1))))))))&gt;0,(((K34)*(IF(M34="",L34,IFERROR(IF(INDEX(Variablen!$I:$AT, MATCH(M34, Variablen!$A:$A, 0), MATCH((YEAR(D34)+9), Variablen!$I$3:$AT$3, 0))="",L34,INDEX(Variablen!$I:$AT, MATCH(M34, Variablen!$A:$A, 0), MATCH((YEAR(D34)+9), Variablen!$I$3:$AT$3, 0))),L34)))*(IF((YEAR(D34)+9)&lt;YEAR(E34),0,IF((YEAR(D34)+9)&gt;YEAR(E34),1,(12-MONTH(E34)+1)/12))) + (Q34)*(IF((YEAR(D34)+9)&lt;YEAR(E34),0,IF((YEAR(D34)+9)&gt;YEAR(E34),1,(12-MONTH(E34)+1)/12))))-((P34)*(IF((YEAR(D34)+9)&lt;YEAR(E34),0,IF((YEAR(D34)+9)&gt;YEAR(E34),1,(12-MONTH(E34)+1)/12))) + (R34)*(IF((YEAR(D34)+9)&lt;YEAR(E34),0,IF((YEAR(D34)+9)&gt;YEAR(E34),1,(12-MONTH(E34)+1)/12))))-(IF(OR(N34="",N34&lt;=0),0,(O34/N34)*(IF(OR(N34="",N34&lt;=0),0,IF((YEAR(D34)+9)&lt;YEAR(E34),0,IF((YEAR(D34)+9)&gt;=YEAR(E34)+N34,0,IF((YEAR(D34)+9)=YEAR(E34),(12-MONTH(E34)+1)/12,1))))))))*TaxRate,0))-IF(9=0,O34,0))</f>
        <v/>
      </c>
      <c r="AC34" s="29">
        <f>IF(A34="","",((K34)*(IF(M34="",L34,IFERROR(IF(INDEX(Variablen!$I:$AT, MATCH(M34, Variablen!$A:$A, 0), MATCH((YEAR(D34)+10), Variablen!$I$3:$AT$3, 0))="",L34,INDEX(Variablen!$I:$AT, MATCH(M34, Variablen!$A:$A, 0), MATCH((YEAR(D34)+10), Variablen!$I$3:$AT$3, 0))),L34)))*(IF((YEAR(D34)+10)&lt;YEAR(E34),0,IF((YEAR(D34)+10)&gt;YEAR(E34),1,(12-MONTH(E34)+1)/12))) + (Q34)*(IF((YEAR(D34)+10)&lt;YEAR(E34),0,IF((YEAR(D34)+10)&gt;YEAR(E34),1,(12-MONTH(E34)+1)/12))))-((P34)*(IF((YEAR(D34)+10)&lt;YEAR(E34),0,IF((YEAR(D34)+10)&gt;YEAR(E34),1,(12-MONTH(E34)+1)/12))) + (R34)*(IF((YEAR(D34)+10)&lt;YEAR(E34),0,IF((YEAR(D34)+10)&gt;YEAR(E34),1,(12-MONTH(E34)+1)/12))))-(IF((((K34)*(IF(M34="",L34,IFERROR(IF(INDEX(Variablen!$I:$AT, MATCH(M34, Variablen!$A:$A, 0), MATCH((YEAR(D34)+10), Variablen!$I$3:$AT$3, 0))="",L34,INDEX(Variablen!$I:$AT, MATCH(M34, Variablen!$A:$A, 0), MATCH((YEAR(D34)+10), Variablen!$I$3:$AT$3, 0))),L34)))*(IF((YEAR(D34)+10)&lt;YEAR(E34),0,IF((YEAR(D34)+10)&gt;YEAR(E34),1,(12-MONTH(E34)+1)/12))) + (Q34)*(IF((YEAR(D34)+10)&lt;YEAR(E34),0,IF((YEAR(D34)+10)&gt;YEAR(E34),1,(12-MONTH(E34)+1)/12))))-((P34)*(IF((YEAR(D34)+10)&lt;YEAR(E34),0,IF((YEAR(D34)+10)&gt;YEAR(E34),1,(12-MONTH(E34)+1)/12))) + (R34)*(IF((YEAR(D34)+10)&lt;YEAR(E34),0,IF((YEAR(D34)+10)&gt;YEAR(E34),1,(12-MONTH(E34)+1)/12))))-(IF(OR(N34="",N34&lt;=0),0,(O34/N34)*(IF(OR(N34="",N34&lt;=0),0,IF((YEAR(D34)+10)&lt;YEAR(E34),0,IF((YEAR(D34)+10)&gt;=YEAR(E34)+N34,0,IF((YEAR(D34)+10)=YEAR(E34),(12-MONTH(E34)+1)/12,1))))))))&gt;0,(((K34)*(IF(M34="",L34,IFERROR(IF(INDEX(Variablen!$I:$AT, MATCH(M34, Variablen!$A:$A, 0), MATCH((YEAR(D34)+10), Variablen!$I$3:$AT$3, 0))="",L34,INDEX(Variablen!$I:$AT, MATCH(M34, Variablen!$A:$A, 0), MATCH((YEAR(D34)+10), Variablen!$I$3:$AT$3, 0))),L34)))*(IF((YEAR(D34)+10)&lt;YEAR(E34),0,IF((YEAR(D34)+10)&gt;YEAR(E34),1,(12-MONTH(E34)+1)/12))) + (Q34)*(IF((YEAR(D34)+10)&lt;YEAR(E34),0,IF((YEAR(D34)+10)&gt;YEAR(E34),1,(12-MONTH(E34)+1)/12))))-((P34)*(IF((YEAR(D34)+10)&lt;YEAR(E34),0,IF((YEAR(D34)+10)&gt;YEAR(E34),1,(12-MONTH(E34)+1)/12))) + (R34)*(IF((YEAR(D34)+10)&lt;YEAR(E34),0,IF((YEAR(D34)+10)&gt;YEAR(E34),1,(12-MONTH(E34)+1)/12))))-(IF(OR(N34="",N34&lt;=0),0,(O34/N34)*(IF(OR(N34="",N34&lt;=0),0,IF((YEAR(D34)+10)&lt;YEAR(E34),0,IF((YEAR(D34)+10)&gt;=YEAR(E34)+N34,0,IF((YEAR(D34)+10)=YEAR(E34),(12-MONTH(E34)+1)/12,1))))))))*TaxRate,0))-IF(10=0,O34,0))</f>
        <v/>
      </c>
      <c r="AD34" s="29">
        <f>IF(A34="","",((K34)*(IF(M34="",L34,IFERROR(IF(INDEX(Variablen!$I:$AT, MATCH(M34, Variablen!$A:$A, 0), MATCH((YEAR(D34)+11), Variablen!$I$3:$AT$3, 0))="",L34,INDEX(Variablen!$I:$AT, MATCH(M34, Variablen!$A:$A, 0), MATCH((YEAR(D34)+11), Variablen!$I$3:$AT$3, 0))),L34)))*(IF((YEAR(D34)+11)&lt;YEAR(E34),0,IF((YEAR(D34)+11)&gt;YEAR(E34),1,(12-MONTH(E34)+1)/12))) + (Q34)*(IF((YEAR(D34)+11)&lt;YEAR(E34),0,IF((YEAR(D34)+11)&gt;YEAR(E34),1,(12-MONTH(E34)+1)/12))))-((P34)*(IF((YEAR(D34)+11)&lt;YEAR(E34),0,IF((YEAR(D34)+11)&gt;YEAR(E34),1,(12-MONTH(E34)+1)/12))) + (R34)*(IF((YEAR(D34)+11)&lt;YEAR(E34),0,IF((YEAR(D34)+11)&gt;YEAR(E34),1,(12-MONTH(E34)+1)/12))))-(IF((((K34)*(IF(M34="",L34,IFERROR(IF(INDEX(Variablen!$I:$AT, MATCH(M34, Variablen!$A:$A, 0), MATCH((YEAR(D34)+11), Variablen!$I$3:$AT$3, 0))="",L34,INDEX(Variablen!$I:$AT, MATCH(M34, Variablen!$A:$A, 0), MATCH((YEAR(D34)+11), Variablen!$I$3:$AT$3, 0))),L34)))*(IF((YEAR(D34)+11)&lt;YEAR(E34),0,IF((YEAR(D34)+11)&gt;YEAR(E34),1,(12-MONTH(E34)+1)/12))) + (Q34)*(IF((YEAR(D34)+11)&lt;YEAR(E34),0,IF((YEAR(D34)+11)&gt;YEAR(E34),1,(12-MONTH(E34)+1)/12))))-((P34)*(IF((YEAR(D34)+11)&lt;YEAR(E34),0,IF((YEAR(D34)+11)&gt;YEAR(E34),1,(12-MONTH(E34)+1)/12))) + (R34)*(IF((YEAR(D34)+11)&lt;YEAR(E34),0,IF((YEAR(D34)+11)&gt;YEAR(E34),1,(12-MONTH(E34)+1)/12))))-(IF(OR(N34="",N34&lt;=0),0,(O34/N34)*(IF(OR(N34="",N34&lt;=0),0,IF((YEAR(D34)+11)&lt;YEAR(E34),0,IF((YEAR(D34)+11)&gt;=YEAR(E34)+N34,0,IF((YEAR(D34)+11)=YEAR(E34),(12-MONTH(E34)+1)/12,1))))))))&gt;0,(((K34)*(IF(M34="",L34,IFERROR(IF(INDEX(Variablen!$I:$AT, MATCH(M34, Variablen!$A:$A, 0), MATCH((YEAR(D34)+11), Variablen!$I$3:$AT$3, 0))="",L34,INDEX(Variablen!$I:$AT, MATCH(M34, Variablen!$A:$A, 0), MATCH((YEAR(D34)+11), Variablen!$I$3:$AT$3, 0))),L34)))*(IF((YEAR(D34)+11)&lt;YEAR(E34),0,IF((YEAR(D34)+11)&gt;YEAR(E34),1,(12-MONTH(E34)+1)/12))) + (Q34)*(IF((YEAR(D34)+11)&lt;YEAR(E34),0,IF((YEAR(D34)+11)&gt;YEAR(E34),1,(12-MONTH(E34)+1)/12))))-((P34)*(IF((YEAR(D34)+11)&lt;YEAR(E34),0,IF((YEAR(D34)+11)&gt;YEAR(E34),1,(12-MONTH(E34)+1)/12))) + (R34)*(IF((YEAR(D34)+11)&lt;YEAR(E34),0,IF((YEAR(D34)+11)&gt;YEAR(E34),1,(12-MONTH(E34)+1)/12))))-(IF(OR(N34="",N34&lt;=0),0,(O34/N34)*(IF(OR(N34="",N34&lt;=0),0,IF((YEAR(D34)+11)&lt;YEAR(E34),0,IF((YEAR(D34)+11)&gt;=YEAR(E34)+N34,0,IF((YEAR(D34)+11)=YEAR(E34),(12-MONTH(E34)+1)/12,1))))))))*TaxRate,0))-IF(11=0,O34,0))</f>
        <v/>
      </c>
      <c r="AE34" s="29">
        <f>IF(A34="","",((K34)*(IF(M34="",L34,IFERROR(IF(INDEX(Variablen!$I:$AT, MATCH(M34, Variablen!$A:$A, 0), MATCH((YEAR(D34)+12), Variablen!$I$3:$AT$3, 0))="",L34,INDEX(Variablen!$I:$AT, MATCH(M34, Variablen!$A:$A, 0), MATCH((YEAR(D34)+12), Variablen!$I$3:$AT$3, 0))),L34)))*(IF((YEAR(D34)+12)&lt;YEAR(E34),0,IF((YEAR(D34)+12)&gt;YEAR(E34),1,(12-MONTH(E34)+1)/12))) + (Q34)*(IF((YEAR(D34)+12)&lt;YEAR(E34),0,IF((YEAR(D34)+12)&gt;YEAR(E34),1,(12-MONTH(E34)+1)/12))))-((P34)*(IF((YEAR(D34)+12)&lt;YEAR(E34),0,IF((YEAR(D34)+12)&gt;YEAR(E34),1,(12-MONTH(E34)+1)/12))) + (R34)*(IF((YEAR(D34)+12)&lt;YEAR(E34),0,IF((YEAR(D34)+12)&gt;YEAR(E34),1,(12-MONTH(E34)+1)/12))))-(IF((((K34)*(IF(M34="",L34,IFERROR(IF(INDEX(Variablen!$I:$AT, MATCH(M34, Variablen!$A:$A, 0), MATCH((YEAR(D34)+12), Variablen!$I$3:$AT$3, 0))="",L34,INDEX(Variablen!$I:$AT, MATCH(M34, Variablen!$A:$A, 0), MATCH((YEAR(D34)+12), Variablen!$I$3:$AT$3, 0))),L34)))*(IF((YEAR(D34)+12)&lt;YEAR(E34),0,IF((YEAR(D34)+12)&gt;YEAR(E34),1,(12-MONTH(E34)+1)/12))) + (Q34)*(IF((YEAR(D34)+12)&lt;YEAR(E34),0,IF((YEAR(D34)+12)&gt;YEAR(E34),1,(12-MONTH(E34)+1)/12))))-((P34)*(IF((YEAR(D34)+12)&lt;YEAR(E34),0,IF((YEAR(D34)+12)&gt;YEAR(E34),1,(12-MONTH(E34)+1)/12))) + (R34)*(IF((YEAR(D34)+12)&lt;YEAR(E34),0,IF((YEAR(D34)+12)&gt;YEAR(E34),1,(12-MONTH(E34)+1)/12))))-(IF(OR(N34="",N34&lt;=0),0,(O34/N34)*(IF(OR(N34="",N34&lt;=0),0,IF((YEAR(D34)+12)&lt;YEAR(E34),0,IF((YEAR(D34)+12)&gt;=YEAR(E34)+N34,0,IF((YEAR(D34)+12)=YEAR(E34),(12-MONTH(E34)+1)/12,1))))))))&gt;0,(((K34)*(IF(M34="",L34,IFERROR(IF(INDEX(Variablen!$I:$AT, MATCH(M34, Variablen!$A:$A, 0), MATCH((YEAR(D34)+12), Variablen!$I$3:$AT$3, 0))="",L34,INDEX(Variablen!$I:$AT, MATCH(M34, Variablen!$A:$A, 0), MATCH((YEAR(D34)+12), Variablen!$I$3:$AT$3, 0))),L34)))*(IF((YEAR(D34)+12)&lt;YEAR(E34),0,IF((YEAR(D34)+12)&gt;YEAR(E34),1,(12-MONTH(E34)+1)/12))) + (Q34)*(IF((YEAR(D34)+12)&lt;YEAR(E34),0,IF((YEAR(D34)+12)&gt;YEAR(E34),1,(12-MONTH(E34)+1)/12))))-((P34)*(IF((YEAR(D34)+12)&lt;YEAR(E34),0,IF((YEAR(D34)+12)&gt;YEAR(E34),1,(12-MONTH(E34)+1)/12))) + (R34)*(IF((YEAR(D34)+12)&lt;YEAR(E34),0,IF((YEAR(D34)+12)&gt;YEAR(E34),1,(12-MONTH(E34)+1)/12))))-(IF(OR(N34="",N34&lt;=0),0,(O34/N34)*(IF(OR(N34="",N34&lt;=0),0,IF((YEAR(D34)+12)&lt;YEAR(E34),0,IF((YEAR(D34)+12)&gt;=YEAR(E34)+N34,0,IF((YEAR(D34)+12)=YEAR(E34),(12-MONTH(E34)+1)/12,1))))))))*TaxRate,0))-IF(12=0,O34,0))</f>
        <v/>
      </c>
      <c r="AF34" s="29">
        <f>IF(A34="","",((K34)*(IF(M34="",L34,IFERROR(IF(INDEX(Variablen!$I:$AT, MATCH(M34, Variablen!$A:$A, 0), MATCH((YEAR(D34)+13), Variablen!$I$3:$AT$3, 0))="",L34,INDEX(Variablen!$I:$AT, MATCH(M34, Variablen!$A:$A, 0), MATCH((YEAR(D34)+13), Variablen!$I$3:$AT$3, 0))),L34)))*(IF((YEAR(D34)+13)&lt;YEAR(E34),0,IF((YEAR(D34)+13)&gt;YEAR(E34),1,(12-MONTH(E34)+1)/12))) + (Q34)*(IF((YEAR(D34)+13)&lt;YEAR(E34),0,IF((YEAR(D34)+13)&gt;YEAR(E34),1,(12-MONTH(E34)+1)/12))))-((P34)*(IF((YEAR(D34)+13)&lt;YEAR(E34),0,IF((YEAR(D34)+13)&gt;YEAR(E34),1,(12-MONTH(E34)+1)/12))) + (R34)*(IF((YEAR(D34)+13)&lt;YEAR(E34),0,IF((YEAR(D34)+13)&gt;YEAR(E34),1,(12-MONTH(E34)+1)/12))))-(IF((((K34)*(IF(M34="",L34,IFERROR(IF(INDEX(Variablen!$I:$AT, MATCH(M34, Variablen!$A:$A, 0), MATCH((YEAR(D34)+13), Variablen!$I$3:$AT$3, 0))="",L34,INDEX(Variablen!$I:$AT, MATCH(M34, Variablen!$A:$A, 0), MATCH((YEAR(D34)+13), Variablen!$I$3:$AT$3, 0))),L34)))*(IF((YEAR(D34)+13)&lt;YEAR(E34),0,IF((YEAR(D34)+13)&gt;YEAR(E34),1,(12-MONTH(E34)+1)/12))) + (Q34)*(IF((YEAR(D34)+13)&lt;YEAR(E34),0,IF((YEAR(D34)+13)&gt;YEAR(E34),1,(12-MONTH(E34)+1)/12))))-((P34)*(IF((YEAR(D34)+13)&lt;YEAR(E34),0,IF((YEAR(D34)+13)&gt;YEAR(E34),1,(12-MONTH(E34)+1)/12))) + (R34)*(IF((YEAR(D34)+13)&lt;YEAR(E34),0,IF((YEAR(D34)+13)&gt;YEAR(E34),1,(12-MONTH(E34)+1)/12))))-(IF(OR(N34="",N34&lt;=0),0,(O34/N34)*(IF(OR(N34="",N34&lt;=0),0,IF((YEAR(D34)+13)&lt;YEAR(E34),0,IF((YEAR(D34)+13)&gt;=YEAR(E34)+N34,0,IF((YEAR(D34)+13)=YEAR(E34),(12-MONTH(E34)+1)/12,1))))))))&gt;0,(((K34)*(IF(M34="",L34,IFERROR(IF(INDEX(Variablen!$I:$AT, MATCH(M34, Variablen!$A:$A, 0), MATCH((YEAR(D34)+13), Variablen!$I$3:$AT$3, 0))="",L34,INDEX(Variablen!$I:$AT, MATCH(M34, Variablen!$A:$A, 0), MATCH((YEAR(D34)+13), Variablen!$I$3:$AT$3, 0))),L34)))*(IF((YEAR(D34)+13)&lt;YEAR(E34),0,IF((YEAR(D34)+13)&gt;YEAR(E34),1,(12-MONTH(E34)+1)/12))) + (Q34)*(IF((YEAR(D34)+13)&lt;YEAR(E34),0,IF((YEAR(D34)+13)&gt;YEAR(E34),1,(12-MONTH(E34)+1)/12))))-((P34)*(IF((YEAR(D34)+13)&lt;YEAR(E34),0,IF((YEAR(D34)+13)&gt;YEAR(E34),1,(12-MONTH(E34)+1)/12))) + (R34)*(IF((YEAR(D34)+13)&lt;YEAR(E34),0,IF((YEAR(D34)+13)&gt;YEAR(E34),1,(12-MONTH(E34)+1)/12))))-(IF(OR(N34="",N34&lt;=0),0,(O34/N34)*(IF(OR(N34="",N34&lt;=0),0,IF((YEAR(D34)+13)&lt;YEAR(E34),0,IF((YEAR(D34)+13)&gt;=YEAR(E34)+N34,0,IF((YEAR(D34)+13)=YEAR(E34),(12-MONTH(E34)+1)/12,1))))))))*TaxRate,0))-IF(13=0,O34,0))</f>
        <v/>
      </c>
      <c r="AG34" s="29">
        <f>IF(A34="","",((K34)*(IF(M34="",L34,IFERROR(IF(INDEX(Variablen!$I:$AT, MATCH(M34, Variablen!$A:$A, 0), MATCH((YEAR(D34)+14), Variablen!$I$3:$AT$3, 0))="",L34,INDEX(Variablen!$I:$AT, MATCH(M34, Variablen!$A:$A, 0), MATCH((YEAR(D34)+14), Variablen!$I$3:$AT$3, 0))),L34)))*(IF((YEAR(D34)+14)&lt;YEAR(E34),0,IF((YEAR(D34)+14)&gt;YEAR(E34),1,(12-MONTH(E34)+1)/12))) + (Q34)*(IF((YEAR(D34)+14)&lt;YEAR(E34),0,IF((YEAR(D34)+14)&gt;YEAR(E34),1,(12-MONTH(E34)+1)/12))))-((P34)*(IF((YEAR(D34)+14)&lt;YEAR(E34),0,IF((YEAR(D34)+14)&gt;YEAR(E34),1,(12-MONTH(E34)+1)/12))) + (R34)*(IF((YEAR(D34)+14)&lt;YEAR(E34),0,IF((YEAR(D34)+14)&gt;YEAR(E34),1,(12-MONTH(E34)+1)/12))))-(IF((((K34)*(IF(M34="",L34,IFERROR(IF(INDEX(Variablen!$I:$AT, MATCH(M34, Variablen!$A:$A, 0), MATCH((YEAR(D34)+14), Variablen!$I$3:$AT$3, 0))="",L34,INDEX(Variablen!$I:$AT, MATCH(M34, Variablen!$A:$A, 0), MATCH((YEAR(D34)+14), Variablen!$I$3:$AT$3, 0))),L34)))*(IF((YEAR(D34)+14)&lt;YEAR(E34),0,IF((YEAR(D34)+14)&gt;YEAR(E34),1,(12-MONTH(E34)+1)/12))) + (Q34)*(IF((YEAR(D34)+14)&lt;YEAR(E34),0,IF((YEAR(D34)+14)&gt;YEAR(E34),1,(12-MONTH(E34)+1)/12))))-((P34)*(IF((YEAR(D34)+14)&lt;YEAR(E34),0,IF((YEAR(D34)+14)&gt;YEAR(E34),1,(12-MONTH(E34)+1)/12))) + (R34)*(IF((YEAR(D34)+14)&lt;YEAR(E34),0,IF((YEAR(D34)+14)&gt;YEAR(E34),1,(12-MONTH(E34)+1)/12))))-(IF(OR(N34="",N34&lt;=0),0,(O34/N34)*(IF(OR(N34="",N34&lt;=0),0,IF((YEAR(D34)+14)&lt;YEAR(E34),0,IF((YEAR(D34)+14)&gt;=YEAR(E34)+N34,0,IF((YEAR(D34)+14)=YEAR(E34),(12-MONTH(E34)+1)/12,1))))))))&gt;0,(((K34)*(IF(M34="",L34,IFERROR(IF(INDEX(Variablen!$I:$AT, MATCH(M34, Variablen!$A:$A, 0), MATCH((YEAR(D34)+14), Variablen!$I$3:$AT$3, 0))="",L34,INDEX(Variablen!$I:$AT, MATCH(M34, Variablen!$A:$A, 0), MATCH((YEAR(D34)+14), Variablen!$I$3:$AT$3, 0))),L34)))*(IF((YEAR(D34)+14)&lt;YEAR(E34),0,IF((YEAR(D34)+14)&gt;YEAR(E34),1,(12-MONTH(E34)+1)/12))) + (Q34)*(IF((YEAR(D34)+14)&lt;YEAR(E34),0,IF((YEAR(D34)+14)&gt;YEAR(E34),1,(12-MONTH(E34)+1)/12))))-((P34)*(IF((YEAR(D34)+14)&lt;YEAR(E34),0,IF((YEAR(D34)+14)&gt;YEAR(E34),1,(12-MONTH(E34)+1)/12))) + (R34)*(IF((YEAR(D34)+14)&lt;YEAR(E34),0,IF((YEAR(D34)+14)&gt;YEAR(E34),1,(12-MONTH(E34)+1)/12))))-(IF(OR(N34="",N34&lt;=0),0,(O34/N34)*(IF(OR(N34="",N34&lt;=0),0,IF((YEAR(D34)+14)&lt;YEAR(E34),0,IF((YEAR(D34)+14)&gt;=YEAR(E34)+N34,0,IF((YEAR(D34)+14)=YEAR(E34),(12-MONTH(E34)+1)/12,1))))))))*TaxRate,0))-IF(14=0,O34,0))</f>
        <v/>
      </c>
      <c r="AH34" s="29">
        <f>IF(A34="","",((K34)*(IF(M34="",L34,IFERROR(IF(INDEX(Variablen!$I:$AT, MATCH(M34, Variablen!$A:$A, 0), MATCH((YEAR(D34)+15), Variablen!$I$3:$AT$3, 0))="",L34,INDEX(Variablen!$I:$AT, MATCH(M34, Variablen!$A:$A, 0), MATCH((YEAR(D34)+15), Variablen!$I$3:$AT$3, 0))),L34)))*(IF((YEAR(D34)+15)&lt;YEAR(E34),0,IF((YEAR(D34)+15)&gt;YEAR(E34),1,(12-MONTH(E34)+1)/12))) + (Q34)*(IF((YEAR(D34)+15)&lt;YEAR(E34),0,IF((YEAR(D34)+15)&gt;YEAR(E34),1,(12-MONTH(E34)+1)/12))))-((P34)*(IF((YEAR(D34)+15)&lt;YEAR(E34),0,IF((YEAR(D34)+15)&gt;YEAR(E34),1,(12-MONTH(E34)+1)/12))) + (R34)*(IF((YEAR(D34)+15)&lt;YEAR(E34),0,IF((YEAR(D34)+15)&gt;YEAR(E34),1,(12-MONTH(E34)+1)/12))))-(IF((((K34)*(IF(M34="",L34,IFERROR(IF(INDEX(Variablen!$I:$AT, MATCH(M34, Variablen!$A:$A, 0), MATCH((YEAR(D34)+15), Variablen!$I$3:$AT$3, 0))="",L34,INDEX(Variablen!$I:$AT, MATCH(M34, Variablen!$A:$A, 0), MATCH((YEAR(D34)+15), Variablen!$I$3:$AT$3, 0))),L34)))*(IF((YEAR(D34)+15)&lt;YEAR(E34),0,IF((YEAR(D34)+15)&gt;YEAR(E34),1,(12-MONTH(E34)+1)/12))) + (Q34)*(IF((YEAR(D34)+15)&lt;YEAR(E34),0,IF((YEAR(D34)+15)&gt;YEAR(E34),1,(12-MONTH(E34)+1)/12))))-((P34)*(IF((YEAR(D34)+15)&lt;YEAR(E34),0,IF((YEAR(D34)+15)&gt;YEAR(E34),1,(12-MONTH(E34)+1)/12))) + (R34)*(IF((YEAR(D34)+15)&lt;YEAR(E34),0,IF((YEAR(D34)+15)&gt;YEAR(E34),1,(12-MONTH(E34)+1)/12))))-(IF(OR(N34="",N34&lt;=0),0,(O34/N34)*(IF(OR(N34="",N34&lt;=0),0,IF((YEAR(D34)+15)&lt;YEAR(E34),0,IF((YEAR(D34)+15)&gt;=YEAR(E34)+N34,0,IF((YEAR(D34)+15)=YEAR(E34),(12-MONTH(E34)+1)/12,1))))))))&gt;0,(((K34)*(IF(M34="",L34,IFERROR(IF(INDEX(Variablen!$I:$AT, MATCH(M34, Variablen!$A:$A, 0), MATCH((YEAR(D34)+15), Variablen!$I$3:$AT$3, 0))="",L34,INDEX(Variablen!$I:$AT, MATCH(M34, Variablen!$A:$A, 0), MATCH((YEAR(D34)+15), Variablen!$I$3:$AT$3, 0))),L34)))*(IF((YEAR(D34)+15)&lt;YEAR(E34),0,IF((YEAR(D34)+15)&gt;YEAR(E34),1,(12-MONTH(E34)+1)/12))) + (Q34)*(IF((YEAR(D34)+15)&lt;YEAR(E34),0,IF((YEAR(D34)+15)&gt;YEAR(E34),1,(12-MONTH(E34)+1)/12))))-((P34)*(IF((YEAR(D34)+15)&lt;YEAR(E34),0,IF((YEAR(D34)+15)&gt;YEAR(E34),1,(12-MONTH(E34)+1)/12))) + (R34)*(IF((YEAR(D34)+15)&lt;YEAR(E34),0,IF((YEAR(D34)+15)&gt;YEAR(E34),1,(12-MONTH(E34)+1)/12))))-(IF(OR(N34="",N34&lt;=0),0,(O34/N34)*(IF(OR(N34="",N34&lt;=0),0,IF((YEAR(D34)+15)&lt;YEAR(E34),0,IF((YEAR(D34)+15)&gt;=YEAR(E34)+N34,0,IF((YEAR(D34)+15)=YEAR(E34),(12-MONTH(E34)+1)/12,1))))))))*TaxRate,0))-IF(15=0,O34,0))</f>
        <v/>
      </c>
      <c r="AI34" s="29">
        <f>IF(A34="","",((K34)*(IF(M34="",L34,IFERROR(IF(INDEX(Variablen!$I:$AT, MATCH(M34, Variablen!$A:$A, 0), MATCH((YEAR(D34)+16), Variablen!$I$3:$AT$3, 0))="",L34,INDEX(Variablen!$I:$AT, MATCH(M34, Variablen!$A:$A, 0), MATCH((YEAR(D34)+16), Variablen!$I$3:$AT$3, 0))),L34)))*(IF((YEAR(D34)+16)&lt;YEAR(E34),0,IF((YEAR(D34)+16)&gt;YEAR(E34),1,(12-MONTH(E34)+1)/12))) + (Q34)*(IF((YEAR(D34)+16)&lt;YEAR(E34),0,IF((YEAR(D34)+16)&gt;YEAR(E34),1,(12-MONTH(E34)+1)/12))))-((P34)*(IF((YEAR(D34)+16)&lt;YEAR(E34),0,IF((YEAR(D34)+16)&gt;YEAR(E34),1,(12-MONTH(E34)+1)/12))) + (R34)*(IF((YEAR(D34)+16)&lt;YEAR(E34),0,IF((YEAR(D34)+16)&gt;YEAR(E34),1,(12-MONTH(E34)+1)/12))))-(IF((((K34)*(IF(M34="",L34,IFERROR(IF(INDEX(Variablen!$I:$AT, MATCH(M34, Variablen!$A:$A, 0), MATCH((YEAR(D34)+16), Variablen!$I$3:$AT$3, 0))="",L34,INDEX(Variablen!$I:$AT, MATCH(M34, Variablen!$A:$A, 0), MATCH((YEAR(D34)+16), Variablen!$I$3:$AT$3, 0))),L34)))*(IF((YEAR(D34)+16)&lt;YEAR(E34),0,IF((YEAR(D34)+16)&gt;YEAR(E34),1,(12-MONTH(E34)+1)/12))) + (Q34)*(IF((YEAR(D34)+16)&lt;YEAR(E34),0,IF((YEAR(D34)+16)&gt;YEAR(E34),1,(12-MONTH(E34)+1)/12))))-((P34)*(IF((YEAR(D34)+16)&lt;YEAR(E34),0,IF((YEAR(D34)+16)&gt;YEAR(E34),1,(12-MONTH(E34)+1)/12))) + (R34)*(IF((YEAR(D34)+16)&lt;YEAR(E34),0,IF((YEAR(D34)+16)&gt;YEAR(E34),1,(12-MONTH(E34)+1)/12))))-(IF(OR(N34="",N34&lt;=0),0,(O34/N34)*(IF(OR(N34="",N34&lt;=0),0,IF((YEAR(D34)+16)&lt;YEAR(E34),0,IF((YEAR(D34)+16)&gt;=YEAR(E34)+N34,0,IF((YEAR(D34)+16)=YEAR(E34),(12-MONTH(E34)+1)/12,1))))))))&gt;0,(((K34)*(IF(M34="",L34,IFERROR(IF(INDEX(Variablen!$I:$AT, MATCH(M34, Variablen!$A:$A, 0), MATCH((YEAR(D34)+16), Variablen!$I$3:$AT$3, 0))="",L34,INDEX(Variablen!$I:$AT, MATCH(M34, Variablen!$A:$A, 0), MATCH((YEAR(D34)+16), Variablen!$I$3:$AT$3, 0))),L34)))*(IF((YEAR(D34)+16)&lt;YEAR(E34),0,IF((YEAR(D34)+16)&gt;YEAR(E34),1,(12-MONTH(E34)+1)/12))) + (Q34)*(IF((YEAR(D34)+16)&lt;YEAR(E34),0,IF((YEAR(D34)+16)&gt;YEAR(E34),1,(12-MONTH(E34)+1)/12))))-((P34)*(IF((YEAR(D34)+16)&lt;YEAR(E34),0,IF((YEAR(D34)+16)&gt;YEAR(E34),1,(12-MONTH(E34)+1)/12))) + (R34)*(IF((YEAR(D34)+16)&lt;YEAR(E34),0,IF((YEAR(D34)+16)&gt;YEAR(E34),1,(12-MONTH(E34)+1)/12))))-(IF(OR(N34="",N34&lt;=0),0,(O34/N34)*(IF(OR(N34="",N34&lt;=0),0,IF((YEAR(D34)+16)&lt;YEAR(E34),0,IF((YEAR(D34)+16)&gt;=YEAR(E34)+N34,0,IF((YEAR(D34)+16)=YEAR(E34),(12-MONTH(E34)+1)/12,1))))))))*TaxRate,0))-IF(16=0,O34,0))</f>
        <v/>
      </c>
      <c r="AJ34" s="29">
        <f>IF(A34="","",((K34)*(IF(M34="",L34,IFERROR(IF(INDEX(Variablen!$I:$AT, MATCH(M34, Variablen!$A:$A, 0), MATCH((YEAR(D34)+17), Variablen!$I$3:$AT$3, 0))="",L34,INDEX(Variablen!$I:$AT, MATCH(M34, Variablen!$A:$A, 0), MATCH((YEAR(D34)+17), Variablen!$I$3:$AT$3, 0))),L34)))*(IF((YEAR(D34)+17)&lt;YEAR(E34),0,IF((YEAR(D34)+17)&gt;YEAR(E34),1,(12-MONTH(E34)+1)/12))) + (Q34)*(IF((YEAR(D34)+17)&lt;YEAR(E34),0,IF((YEAR(D34)+17)&gt;YEAR(E34),1,(12-MONTH(E34)+1)/12))))-((P34)*(IF((YEAR(D34)+17)&lt;YEAR(E34),0,IF((YEAR(D34)+17)&gt;YEAR(E34),1,(12-MONTH(E34)+1)/12))) + (R34)*(IF((YEAR(D34)+17)&lt;YEAR(E34),0,IF((YEAR(D34)+17)&gt;YEAR(E34),1,(12-MONTH(E34)+1)/12))))-(IF((((K34)*(IF(M34="",L34,IFERROR(IF(INDEX(Variablen!$I:$AT, MATCH(M34, Variablen!$A:$A, 0), MATCH((YEAR(D34)+17), Variablen!$I$3:$AT$3, 0))="",L34,INDEX(Variablen!$I:$AT, MATCH(M34, Variablen!$A:$A, 0), MATCH((YEAR(D34)+17), Variablen!$I$3:$AT$3, 0))),L34)))*(IF((YEAR(D34)+17)&lt;YEAR(E34),0,IF((YEAR(D34)+17)&gt;YEAR(E34),1,(12-MONTH(E34)+1)/12))) + (Q34)*(IF((YEAR(D34)+17)&lt;YEAR(E34),0,IF((YEAR(D34)+17)&gt;YEAR(E34),1,(12-MONTH(E34)+1)/12))))-((P34)*(IF((YEAR(D34)+17)&lt;YEAR(E34),0,IF((YEAR(D34)+17)&gt;YEAR(E34),1,(12-MONTH(E34)+1)/12))) + (R34)*(IF((YEAR(D34)+17)&lt;YEAR(E34),0,IF((YEAR(D34)+17)&gt;YEAR(E34),1,(12-MONTH(E34)+1)/12))))-(IF(OR(N34="",N34&lt;=0),0,(O34/N34)*(IF(OR(N34="",N34&lt;=0),0,IF((YEAR(D34)+17)&lt;YEAR(E34),0,IF((YEAR(D34)+17)&gt;=YEAR(E34)+N34,0,IF((YEAR(D34)+17)=YEAR(E34),(12-MONTH(E34)+1)/12,1))))))))&gt;0,(((K34)*(IF(M34="",L34,IFERROR(IF(INDEX(Variablen!$I:$AT, MATCH(M34, Variablen!$A:$A, 0), MATCH((YEAR(D34)+17), Variablen!$I$3:$AT$3, 0))="",L34,INDEX(Variablen!$I:$AT, MATCH(M34, Variablen!$A:$A, 0), MATCH((YEAR(D34)+17), Variablen!$I$3:$AT$3, 0))),L34)))*(IF((YEAR(D34)+17)&lt;YEAR(E34),0,IF((YEAR(D34)+17)&gt;YEAR(E34),1,(12-MONTH(E34)+1)/12))) + (Q34)*(IF((YEAR(D34)+17)&lt;YEAR(E34),0,IF((YEAR(D34)+17)&gt;YEAR(E34),1,(12-MONTH(E34)+1)/12))))-((P34)*(IF((YEAR(D34)+17)&lt;YEAR(E34),0,IF((YEAR(D34)+17)&gt;YEAR(E34),1,(12-MONTH(E34)+1)/12))) + (R34)*(IF((YEAR(D34)+17)&lt;YEAR(E34),0,IF((YEAR(D34)+17)&gt;YEAR(E34),1,(12-MONTH(E34)+1)/12))))-(IF(OR(N34="",N34&lt;=0),0,(O34/N34)*(IF(OR(N34="",N34&lt;=0),0,IF((YEAR(D34)+17)&lt;YEAR(E34),0,IF((YEAR(D34)+17)&gt;=YEAR(E34)+N34,0,IF((YEAR(D34)+17)=YEAR(E34),(12-MONTH(E34)+1)/12,1))))))))*TaxRate,0))-IF(17=0,O34,0))</f>
        <v/>
      </c>
      <c r="AK34" s="29">
        <f>IF(A34="","",((K34)*(IF(M34="",L34,IFERROR(IF(INDEX(Variablen!$I:$AT, MATCH(M34, Variablen!$A:$A, 0), MATCH((YEAR(D34)+18), Variablen!$I$3:$AT$3, 0))="",L34,INDEX(Variablen!$I:$AT, MATCH(M34, Variablen!$A:$A, 0), MATCH((YEAR(D34)+18), Variablen!$I$3:$AT$3, 0))),L34)))*(IF((YEAR(D34)+18)&lt;YEAR(E34),0,IF((YEAR(D34)+18)&gt;YEAR(E34),1,(12-MONTH(E34)+1)/12))) + (Q34)*(IF((YEAR(D34)+18)&lt;YEAR(E34),0,IF((YEAR(D34)+18)&gt;YEAR(E34),1,(12-MONTH(E34)+1)/12))))-((P34)*(IF((YEAR(D34)+18)&lt;YEAR(E34),0,IF((YEAR(D34)+18)&gt;YEAR(E34),1,(12-MONTH(E34)+1)/12))) + (R34)*(IF((YEAR(D34)+18)&lt;YEAR(E34),0,IF((YEAR(D34)+18)&gt;YEAR(E34),1,(12-MONTH(E34)+1)/12))))-(IF((((K34)*(IF(M34="",L34,IFERROR(IF(INDEX(Variablen!$I:$AT, MATCH(M34, Variablen!$A:$A, 0), MATCH((YEAR(D34)+18), Variablen!$I$3:$AT$3, 0))="",L34,INDEX(Variablen!$I:$AT, MATCH(M34, Variablen!$A:$A, 0), MATCH((YEAR(D34)+18), Variablen!$I$3:$AT$3, 0))),L34)))*(IF((YEAR(D34)+18)&lt;YEAR(E34),0,IF((YEAR(D34)+18)&gt;YEAR(E34),1,(12-MONTH(E34)+1)/12))) + (Q34)*(IF((YEAR(D34)+18)&lt;YEAR(E34),0,IF((YEAR(D34)+18)&gt;YEAR(E34),1,(12-MONTH(E34)+1)/12))))-((P34)*(IF((YEAR(D34)+18)&lt;YEAR(E34),0,IF((YEAR(D34)+18)&gt;YEAR(E34),1,(12-MONTH(E34)+1)/12))) + (R34)*(IF((YEAR(D34)+18)&lt;YEAR(E34),0,IF((YEAR(D34)+18)&gt;YEAR(E34),1,(12-MONTH(E34)+1)/12))))-(IF(OR(N34="",N34&lt;=0),0,(O34/N34)*(IF(OR(N34="",N34&lt;=0),0,IF((YEAR(D34)+18)&lt;YEAR(E34),0,IF((YEAR(D34)+18)&gt;=YEAR(E34)+N34,0,IF((YEAR(D34)+18)=YEAR(E34),(12-MONTH(E34)+1)/12,1))))))))&gt;0,(((K34)*(IF(M34="",L34,IFERROR(IF(INDEX(Variablen!$I:$AT, MATCH(M34, Variablen!$A:$A, 0), MATCH((YEAR(D34)+18), Variablen!$I$3:$AT$3, 0))="",L34,INDEX(Variablen!$I:$AT, MATCH(M34, Variablen!$A:$A, 0), MATCH((YEAR(D34)+18), Variablen!$I$3:$AT$3, 0))),L34)))*(IF((YEAR(D34)+18)&lt;YEAR(E34),0,IF((YEAR(D34)+18)&gt;YEAR(E34),1,(12-MONTH(E34)+1)/12))) + (Q34)*(IF((YEAR(D34)+18)&lt;YEAR(E34),0,IF((YEAR(D34)+18)&gt;YEAR(E34),1,(12-MONTH(E34)+1)/12))))-((P34)*(IF((YEAR(D34)+18)&lt;YEAR(E34),0,IF((YEAR(D34)+18)&gt;YEAR(E34),1,(12-MONTH(E34)+1)/12))) + (R34)*(IF((YEAR(D34)+18)&lt;YEAR(E34),0,IF((YEAR(D34)+18)&gt;YEAR(E34),1,(12-MONTH(E34)+1)/12))))-(IF(OR(N34="",N34&lt;=0),0,(O34/N34)*(IF(OR(N34="",N34&lt;=0),0,IF((YEAR(D34)+18)&lt;YEAR(E34),0,IF((YEAR(D34)+18)&gt;=YEAR(E34)+N34,0,IF((YEAR(D34)+18)=YEAR(E34),(12-MONTH(E34)+1)/12,1))))))))*TaxRate,0))-IF(18=0,O34,0))</f>
        <v/>
      </c>
      <c r="AL34" s="29">
        <f>IF(A34="","",((K34)*(IF(M34="",L34,IFERROR(IF(INDEX(Variablen!$I:$AT, MATCH(M34, Variablen!$A:$A, 0), MATCH((YEAR(D34)+19), Variablen!$I$3:$AT$3, 0))="",L34,INDEX(Variablen!$I:$AT, MATCH(M34, Variablen!$A:$A, 0), MATCH((YEAR(D34)+19), Variablen!$I$3:$AT$3, 0))),L34)))*(IF((YEAR(D34)+19)&lt;YEAR(E34),0,IF((YEAR(D34)+19)&gt;YEAR(E34),1,(12-MONTH(E34)+1)/12))) + (Q34)*(IF((YEAR(D34)+19)&lt;YEAR(E34),0,IF((YEAR(D34)+19)&gt;YEAR(E34),1,(12-MONTH(E34)+1)/12))))-((P34)*(IF((YEAR(D34)+19)&lt;YEAR(E34),0,IF((YEAR(D34)+19)&gt;YEAR(E34),1,(12-MONTH(E34)+1)/12))) + (R34)*(IF((YEAR(D34)+19)&lt;YEAR(E34),0,IF((YEAR(D34)+19)&gt;YEAR(E34),1,(12-MONTH(E34)+1)/12))))-(IF((((K34)*(IF(M34="",L34,IFERROR(IF(INDEX(Variablen!$I:$AT, MATCH(M34, Variablen!$A:$A, 0), MATCH((YEAR(D34)+19), Variablen!$I$3:$AT$3, 0))="",L34,INDEX(Variablen!$I:$AT, MATCH(M34, Variablen!$A:$A, 0), MATCH((YEAR(D34)+19), Variablen!$I$3:$AT$3, 0))),L34)))*(IF((YEAR(D34)+19)&lt;YEAR(E34),0,IF((YEAR(D34)+19)&gt;YEAR(E34),1,(12-MONTH(E34)+1)/12))) + (Q34)*(IF((YEAR(D34)+19)&lt;YEAR(E34),0,IF((YEAR(D34)+19)&gt;YEAR(E34),1,(12-MONTH(E34)+1)/12))))-((P34)*(IF((YEAR(D34)+19)&lt;YEAR(E34),0,IF((YEAR(D34)+19)&gt;YEAR(E34),1,(12-MONTH(E34)+1)/12))) + (R34)*(IF((YEAR(D34)+19)&lt;YEAR(E34),0,IF((YEAR(D34)+19)&gt;YEAR(E34),1,(12-MONTH(E34)+1)/12))))-(IF(OR(N34="",N34&lt;=0),0,(O34/N34)*(IF(OR(N34="",N34&lt;=0),0,IF((YEAR(D34)+19)&lt;YEAR(E34),0,IF((YEAR(D34)+19)&gt;=YEAR(E34)+N34,0,IF((YEAR(D34)+19)=YEAR(E34),(12-MONTH(E34)+1)/12,1))))))))&gt;0,(((K34)*(IF(M34="",L34,IFERROR(IF(INDEX(Variablen!$I:$AT, MATCH(M34, Variablen!$A:$A, 0), MATCH((YEAR(D34)+19), Variablen!$I$3:$AT$3, 0))="",L34,INDEX(Variablen!$I:$AT, MATCH(M34, Variablen!$A:$A, 0), MATCH((YEAR(D34)+19), Variablen!$I$3:$AT$3, 0))),L34)))*(IF((YEAR(D34)+19)&lt;YEAR(E34),0,IF((YEAR(D34)+19)&gt;YEAR(E34),1,(12-MONTH(E34)+1)/12))) + (Q34)*(IF((YEAR(D34)+19)&lt;YEAR(E34),0,IF((YEAR(D34)+19)&gt;YEAR(E34),1,(12-MONTH(E34)+1)/12))))-((P34)*(IF((YEAR(D34)+19)&lt;YEAR(E34),0,IF((YEAR(D34)+19)&gt;YEAR(E34),1,(12-MONTH(E34)+1)/12))) + (R34)*(IF((YEAR(D34)+19)&lt;YEAR(E34),0,IF((YEAR(D34)+19)&gt;YEAR(E34),1,(12-MONTH(E34)+1)/12))))-(IF(OR(N34="",N34&lt;=0),0,(O34/N34)*(IF(OR(N34="",N34&lt;=0),0,IF((YEAR(D34)+19)&lt;YEAR(E34),0,IF((YEAR(D34)+19)&gt;=YEAR(E34)+N34,0,IF((YEAR(D34)+19)=YEAR(E34),(12-MONTH(E34)+1)/12,1))))))))*TaxRate,0))-IF(19=0,O34,0))</f>
        <v/>
      </c>
      <c r="AM34" s="29">
        <f>IF(A34="","",((K34)*(IF(M34="",L34,IFERROR(IF(INDEX(Variablen!$I:$AT, MATCH(M34, Variablen!$A:$A, 0), MATCH((YEAR(D34)+20), Variablen!$I$3:$AT$3, 0))="",L34,INDEX(Variablen!$I:$AT, MATCH(M34, Variablen!$A:$A, 0), MATCH((YEAR(D34)+20), Variablen!$I$3:$AT$3, 0))),L34)))*(IF((YEAR(D34)+20)&lt;YEAR(E34),0,IF((YEAR(D34)+20)&gt;YEAR(E34),1,(12-MONTH(E34)+1)/12))) + (Q34)*(IF((YEAR(D34)+20)&lt;YEAR(E34),0,IF((YEAR(D34)+20)&gt;YEAR(E34),1,(12-MONTH(E34)+1)/12))))-((P34)*(IF((YEAR(D34)+20)&lt;YEAR(E34),0,IF((YEAR(D34)+20)&gt;YEAR(E34),1,(12-MONTH(E34)+1)/12))) + (R34)*(IF((YEAR(D34)+20)&lt;YEAR(E34),0,IF((YEAR(D34)+20)&gt;YEAR(E34),1,(12-MONTH(E34)+1)/12))))-(IF((((K34)*(IF(M34="",L34,IFERROR(IF(INDEX(Variablen!$I:$AT, MATCH(M34, Variablen!$A:$A, 0), MATCH((YEAR(D34)+20), Variablen!$I$3:$AT$3, 0))="",L34,INDEX(Variablen!$I:$AT, MATCH(M34, Variablen!$A:$A, 0), MATCH((YEAR(D34)+20), Variablen!$I$3:$AT$3, 0))),L34)))*(IF((YEAR(D34)+20)&lt;YEAR(E34),0,IF((YEAR(D34)+20)&gt;YEAR(E34),1,(12-MONTH(E34)+1)/12))) + (Q34)*(IF((YEAR(D34)+20)&lt;YEAR(E34),0,IF((YEAR(D34)+20)&gt;YEAR(E34),1,(12-MONTH(E34)+1)/12))))-((P34)*(IF((YEAR(D34)+20)&lt;YEAR(E34),0,IF((YEAR(D34)+20)&gt;YEAR(E34),1,(12-MONTH(E34)+1)/12))) + (R34)*(IF((YEAR(D34)+20)&lt;YEAR(E34),0,IF((YEAR(D34)+20)&gt;YEAR(E34),1,(12-MONTH(E34)+1)/12))))-(IF(OR(N34="",N34&lt;=0),0,(O34/N34)*(IF(OR(N34="",N34&lt;=0),0,IF((YEAR(D34)+20)&lt;YEAR(E34),0,IF((YEAR(D34)+20)&gt;=YEAR(E34)+N34,0,IF((YEAR(D34)+20)=YEAR(E34),(12-MONTH(E34)+1)/12,1))))))))&gt;0,(((K34)*(IF(M34="",L34,IFERROR(IF(INDEX(Variablen!$I:$AT, MATCH(M34, Variablen!$A:$A, 0), MATCH((YEAR(D34)+20), Variablen!$I$3:$AT$3, 0))="",L34,INDEX(Variablen!$I:$AT, MATCH(M34, Variablen!$A:$A, 0), MATCH((YEAR(D34)+20), Variablen!$I$3:$AT$3, 0))),L34)))*(IF((YEAR(D34)+20)&lt;YEAR(E34),0,IF((YEAR(D34)+20)&gt;YEAR(E34),1,(12-MONTH(E34)+1)/12))) + (Q34)*(IF((YEAR(D34)+20)&lt;YEAR(E34),0,IF((YEAR(D34)+20)&gt;YEAR(E34),1,(12-MONTH(E34)+1)/12))))-((P34)*(IF((YEAR(D34)+20)&lt;YEAR(E34),0,IF((YEAR(D34)+20)&gt;YEAR(E34),1,(12-MONTH(E34)+1)/12))) + (R34)*(IF((YEAR(D34)+20)&lt;YEAR(E34),0,IF((YEAR(D34)+20)&gt;YEAR(E34),1,(12-MONTH(E34)+1)/12))))-(IF(OR(N34="",N34&lt;=0),0,(O34/N34)*(IF(OR(N34="",N34&lt;=0),0,IF((YEAR(D34)+20)&lt;YEAR(E34),0,IF((YEAR(D34)+20)&gt;=YEAR(E34)+N34,0,IF((YEAR(D34)+20)=YEAR(E34),(12-MONTH(E34)+1)/12,1))))))))*TaxRate,0))-IF(20=0,O34,0))</f>
        <v/>
      </c>
      <c r="AN34" s="29">
        <f>IF(A34="","",S34)</f>
        <v/>
      </c>
      <c r="AO34" s="29">
        <f>IF(A34="","",AN34+T34)</f>
        <v/>
      </c>
      <c r="AP34" s="29">
        <f>IF(A34="","",AO34+U34)</f>
        <v/>
      </c>
      <c r="AQ34" s="29">
        <f>IF(A34="","",AP34+V34)</f>
        <v/>
      </c>
      <c r="AR34" s="29">
        <f>IF(A34="","",AQ34+W34)</f>
        <v/>
      </c>
      <c r="AS34" s="29">
        <f>IF(A34="","",AR34+X34)</f>
        <v/>
      </c>
      <c r="AT34" s="29">
        <f>IF(A34="","",AS34+Y34)</f>
        <v/>
      </c>
      <c r="AU34" s="29">
        <f>IF(A34="","",AT34+Z34)</f>
        <v/>
      </c>
      <c r="AV34" s="29">
        <f>IF(A34="","",AU34+AA34)</f>
        <v/>
      </c>
      <c r="AW34" s="29">
        <f>IF(A34="","",AV34+AB34)</f>
        <v/>
      </c>
      <c r="AX34" s="29">
        <f>IF(A34="","",AW34+AC34)</f>
        <v/>
      </c>
      <c r="AY34" s="29">
        <f>IF(A34="","",AX34+AD34)</f>
        <v/>
      </c>
      <c r="AZ34" s="29">
        <f>IF(A34="","",AY34+AE34)</f>
        <v/>
      </c>
      <c r="BA34" s="29">
        <f>IF(A34="","",AZ34+AF34)</f>
        <v/>
      </c>
      <c r="BB34" s="29">
        <f>IF(A34="","",BA34+AG34)</f>
        <v/>
      </c>
      <c r="BC34" s="29">
        <f>IF(A34="","",BB34+AH34)</f>
        <v/>
      </c>
      <c r="BD34" s="29">
        <f>IF(A34="","",BC34+AI34)</f>
        <v/>
      </c>
      <c r="BE34" s="29">
        <f>IF(A34="","",BD34+AJ34)</f>
        <v/>
      </c>
      <c r="BF34" s="29">
        <f>IF(A34="","",BE34+AK34)</f>
        <v/>
      </c>
      <c r="BG34" s="29">
        <f>IF(A34="","",BF34+AL34)</f>
        <v/>
      </c>
      <c r="BH34" s="29">
        <f>IF(A34="","",BG34+AM34)</f>
        <v/>
      </c>
      <c r="BI34" s="36">
        <f>IF(A34="","",(K34)*(IF((YEAR(D34)+0)&lt;YEAR(E34),0,IF((YEAR(D34)+0)&gt;YEAR(E34),1,(12-MONTH(E34)+1)/12)))*(1/(1+DiscountRate)^0))</f>
        <v/>
      </c>
      <c r="BJ34" s="36">
        <f>IF(A34="","",(K34)*(IF((YEAR(D34)+1)&lt;YEAR(E34),0,IF((YEAR(D34)+1)&gt;YEAR(E34),1,(12-MONTH(E34)+1)/12)))*(1/(1+DiscountRate)^1))</f>
        <v/>
      </c>
      <c r="BK34" s="36">
        <f>IF(A34="","",(K34)*(IF((YEAR(D34)+2)&lt;YEAR(E34),0,IF((YEAR(D34)+2)&gt;YEAR(E34),1,(12-MONTH(E34)+1)/12)))*(1/(1+DiscountRate)^2))</f>
        <v/>
      </c>
      <c r="BL34" s="36">
        <f>IF(A34="","",(K34)*(IF((YEAR(D34)+3)&lt;YEAR(E34),0,IF((YEAR(D34)+3)&gt;YEAR(E34),1,(12-MONTH(E34)+1)/12)))*(1/(1+DiscountRate)^3))</f>
        <v/>
      </c>
      <c r="BM34" s="36">
        <f>IF(A34="","",(K34)*(IF((YEAR(D34)+4)&lt;YEAR(E34),0,IF((YEAR(D34)+4)&gt;YEAR(E34),1,(12-MONTH(E34)+1)/12)))*(1/(1+DiscountRate)^4))</f>
        <v/>
      </c>
      <c r="BN34" s="36">
        <f>IF(A34="","",(K34)*(IF((YEAR(D34)+5)&lt;YEAR(E34),0,IF((YEAR(D34)+5)&gt;YEAR(E34),1,(12-MONTH(E34)+1)/12)))*(1/(1+DiscountRate)^5))</f>
        <v/>
      </c>
      <c r="BO34" s="36">
        <f>IF(A34="","",(K34)*(IF((YEAR(D34)+6)&lt;YEAR(E34),0,IF((YEAR(D34)+6)&gt;YEAR(E34),1,(12-MONTH(E34)+1)/12)))*(1/(1+DiscountRate)^6))</f>
        <v/>
      </c>
      <c r="BP34" s="36">
        <f>IF(A34="","",(K34)*(IF((YEAR(D34)+7)&lt;YEAR(E34),0,IF((YEAR(D34)+7)&gt;YEAR(E34),1,(12-MONTH(E34)+1)/12)))*(1/(1+DiscountRate)^7))</f>
        <v/>
      </c>
      <c r="BQ34" s="36">
        <f>IF(A34="","",(K34)*(IF((YEAR(D34)+8)&lt;YEAR(E34),0,IF((YEAR(D34)+8)&gt;YEAR(E34),1,(12-MONTH(E34)+1)/12)))*(1/(1+DiscountRate)^8))</f>
        <v/>
      </c>
      <c r="BR34" s="36">
        <f>IF(A34="","",(K34)*(IF((YEAR(D34)+9)&lt;YEAR(E34),0,IF((YEAR(D34)+9)&gt;YEAR(E34),1,(12-MONTH(E34)+1)/12)))*(1/(1+DiscountRate)^9))</f>
        <v/>
      </c>
      <c r="BS34" s="36">
        <f>IF(A34="","",(K34)*(IF((YEAR(D34)+10)&lt;YEAR(E34),0,IF((YEAR(D34)+10)&gt;YEAR(E34),1,(12-MONTH(E34)+1)/12)))*(1/(1+DiscountRate)^10))</f>
        <v/>
      </c>
      <c r="BT34" s="36">
        <f>IF(A34="","",(K34)*(IF((YEAR(D34)+11)&lt;YEAR(E34),0,IF((YEAR(D34)+11)&gt;YEAR(E34),1,(12-MONTH(E34)+1)/12)))*(1/(1+DiscountRate)^11))</f>
        <v/>
      </c>
      <c r="BU34" s="36">
        <f>IF(A34="","",(K34)*(IF((YEAR(D34)+12)&lt;YEAR(E34),0,IF((YEAR(D34)+12)&gt;YEAR(E34),1,(12-MONTH(E34)+1)/12)))*(1/(1+DiscountRate)^12))</f>
        <v/>
      </c>
      <c r="BV34" s="36">
        <f>IF(A34="","",(K34)*(IF((YEAR(D34)+13)&lt;YEAR(E34),0,IF((YEAR(D34)+13)&gt;YEAR(E34),1,(12-MONTH(E34)+1)/12)))*(1/(1+DiscountRate)^13))</f>
        <v/>
      </c>
      <c r="BW34" s="36">
        <f>IF(A34="","",(K34)*(IF((YEAR(D34)+14)&lt;YEAR(E34),0,IF((YEAR(D34)+14)&gt;YEAR(E34),1,(12-MONTH(E34)+1)/12)))*(1/(1+DiscountRate)^14))</f>
        <v/>
      </c>
      <c r="BX34" s="36">
        <f>IF(A34="","",(K34)*(IF((YEAR(D34)+15)&lt;YEAR(E34),0,IF((YEAR(D34)+15)&gt;YEAR(E34),1,(12-MONTH(E34)+1)/12)))*(1/(1+DiscountRate)^15))</f>
        <v/>
      </c>
      <c r="BY34" s="36">
        <f>IF(A34="","",(K34)*(IF((YEAR(D34)+16)&lt;YEAR(E34),0,IF((YEAR(D34)+16)&gt;YEAR(E34),1,(12-MONTH(E34)+1)/12)))*(1/(1+DiscountRate)^16))</f>
        <v/>
      </c>
      <c r="BZ34" s="36">
        <f>IF(A34="","",(K34)*(IF((YEAR(D34)+17)&lt;YEAR(E34),0,IF((YEAR(D34)+17)&gt;YEAR(E34),1,(12-MONTH(E34)+1)/12)))*(1/(1+DiscountRate)^17))</f>
        <v/>
      </c>
      <c r="CA34" s="36">
        <f>IF(A34="","",(K34)*(IF((YEAR(D34)+18)&lt;YEAR(E34),0,IF((YEAR(D34)+18)&gt;YEAR(E34),1,(12-MONTH(E34)+1)/12)))*(1/(1+DiscountRate)^18))</f>
        <v/>
      </c>
      <c r="CB34" s="36">
        <f>IF(A34="","",(K34)*(IF((YEAR(D34)+19)&lt;YEAR(E34),0,IF((YEAR(D34)+19)&gt;YEAR(E34),1,(12-MONTH(E34)+1)/12)))*(1/(1+DiscountRate)^19))</f>
        <v/>
      </c>
      <c r="CC34" s="36">
        <f>IF(A34="","",(K34)*(IF((YEAR(D34)+20)&lt;YEAR(E34),0,IF((YEAR(D34)+20)&gt;YEAR(E34),1,(12-MONTH(E34)+1)/12)))*(1/(1+DiscountRate)^20))</f>
        <v/>
      </c>
      <c r="CD34" s="29">
        <f>IF(A34="","",S34/(1+DiscountRate)^0+T34/(1+DiscountRate)^1+U34/(1+DiscountRate)^2+V34/(1+DiscountRate)^3+W34/(1+DiscountRate)^4+X34/(1+DiscountRate)^5+Y34/(1+DiscountRate)^6+Z34/(1+DiscountRate)^7+AA34/(1+DiscountRate)^8+AB34/(1+DiscountRate)^9+AC34/(1+DiscountRate)^10+AD34/(1+DiscountRate)^11+AE34/(1+DiscountRate)^12+AF34/(1+DiscountRate)^13+AG34/(1+DiscountRate)^14+AH34/(1+DiscountRate)^15+AI34/(1+DiscountRate)^16+AJ34/(1+DiscountRate)^17+AK34/(1+DiscountRate)^18+AL34/(1+DiscountRate)^19+AM34/(1+DiscountRate)^20)</f>
        <v/>
      </c>
      <c r="CE34" s="37">
        <f>IF(A34="","",IFERROR(IRR(OFFSET(S34,0,0,1,MIN(HorizonYears,20)+1)),"n/a"))</f>
        <v/>
      </c>
      <c r="CF34" s="28">
        <f>IF(A34="","",IFERROR(MATCH(TRUE,OFFSET(AN34,0,0,1,MIN(HorizonYears,20)+1)&gt;=0,0)-1,"n/a"))</f>
        <v/>
      </c>
      <c r="CG34" s="36">
        <f>IF(A34="","",SUM(OFFSET(BI34,0,0,1,MIN(HorizonYears,20)+1)))</f>
        <v/>
      </c>
      <c r="CH34" s="36">
        <f>IF(A34="","",IFERROR(-CD34/CG34,"n/a"))</f>
        <v/>
      </c>
    </row>
    <row r="35">
      <c r="A35" s="6">
        <f>Actions!A33</f>
        <v/>
      </c>
      <c r="B35" s="6">
        <f>Actions!B33</f>
        <v/>
      </c>
      <c r="C35" s="6">
        <f>Actions!D33</f>
        <v/>
      </c>
      <c r="D35" s="35">
        <f>Actions!E33</f>
        <v/>
      </c>
      <c r="E35" s="35">
        <f>Actions!F33</f>
        <v/>
      </c>
      <c r="F35" s="6">
        <f>Actions!G33</f>
        <v/>
      </c>
      <c r="G35" s="6">
        <f>Actions!H33</f>
        <v/>
      </c>
      <c r="H35" s="29">
        <f>Actions!I33</f>
        <v/>
      </c>
      <c r="I35" s="6">
        <f>Actions!J33</f>
        <v/>
      </c>
      <c r="J35" s="16">
        <f>Actions!K33</f>
        <v/>
      </c>
      <c r="K35" s="16">
        <f>IF(A35="","",IF(I35="%",H35*J35,J35))</f>
        <v/>
      </c>
      <c r="L35" s="16">
        <f>Actions!L33</f>
        <v/>
      </c>
      <c r="M35" s="6">
        <f>Actions!M33</f>
        <v/>
      </c>
      <c r="N35" s="28">
        <f>Actions!N33</f>
        <v/>
      </c>
      <c r="O35" s="29">
        <f>Actions!T33</f>
        <v/>
      </c>
      <c r="P35" s="29">
        <f>Actions!Y33</f>
        <v/>
      </c>
      <c r="Q35" s="29">
        <f>Actions!Z33</f>
        <v/>
      </c>
      <c r="R35" s="29">
        <f>Actions!AA33</f>
        <v/>
      </c>
      <c r="S35" s="29">
        <f>IF(A35="","",((K35)*(IF(M35="",L35,IFERROR(IF(INDEX(Variablen!$I:$AT, MATCH(M35, Variablen!$A:$A, 0), MATCH((YEAR(D35)+0), Variablen!$I$3:$AT$3, 0))="",L35,INDEX(Variablen!$I:$AT, MATCH(M35, Variablen!$A:$A, 0), MATCH((YEAR(D35)+0), Variablen!$I$3:$AT$3, 0))),L35)))*(IF((YEAR(D35)+0)&lt;YEAR(E35),0,IF((YEAR(D35)+0)&gt;YEAR(E35),1,(12-MONTH(E35)+1)/12))) + (Q35)*(IF((YEAR(D35)+0)&lt;YEAR(E35),0,IF((YEAR(D35)+0)&gt;YEAR(E35),1,(12-MONTH(E35)+1)/12))))-((P35)*(IF((YEAR(D35)+0)&lt;YEAR(E35),0,IF((YEAR(D35)+0)&gt;YEAR(E35),1,(12-MONTH(E35)+1)/12))) + (R35)*(IF((YEAR(D35)+0)&lt;YEAR(E35),0,IF((YEAR(D35)+0)&gt;YEAR(E35),1,(12-MONTH(E35)+1)/12))))-(IF((((K35)*(IF(M35="",L35,IFERROR(IF(INDEX(Variablen!$I:$AT, MATCH(M35, Variablen!$A:$A, 0), MATCH((YEAR(D35)+0), Variablen!$I$3:$AT$3, 0))="",L35,INDEX(Variablen!$I:$AT, MATCH(M35, Variablen!$A:$A, 0), MATCH((YEAR(D35)+0), Variablen!$I$3:$AT$3, 0))),L35)))*(IF((YEAR(D35)+0)&lt;YEAR(E35),0,IF((YEAR(D35)+0)&gt;YEAR(E35),1,(12-MONTH(E35)+1)/12))) + (Q35)*(IF((YEAR(D35)+0)&lt;YEAR(E35),0,IF((YEAR(D35)+0)&gt;YEAR(E35),1,(12-MONTH(E35)+1)/12))))-((P35)*(IF((YEAR(D35)+0)&lt;YEAR(E35),0,IF((YEAR(D35)+0)&gt;YEAR(E35),1,(12-MONTH(E35)+1)/12))) + (R35)*(IF((YEAR(D35)+0)&lt;YEAR(E35),0,IF((YEAR(D35)+0)&gt;YEAR(E35),1,(12-MONTH(E35)+1)/12))))-(IF(OR(N35="",N35&lt;=0),0,(O35/N35)*(IF(OR(N35="",N35&lt;=0),0,IF((YEAR(D35)+0)&lt;YEAR(E35),0,IF((YEAR(D35)+0)&gt;=YEAR(E35)+N35,0,IF((YEAR(D35)+0)=YEAR(E35),(12-MONTH(E35)+1)/12,1))))))))&gt;0,(((K35)*(IF(M35="",L35,IFERROR(IF(INDEX(Variablen!$I:$AT, MATCH(M35, Variablen!$A:$A, 0), MATCH((YEAR(D35)+0), Variablen!$I$3:$AT$3, 0))="",L35,INDEX(Variablen!$I:$AT, MATCH(M35, Variablen!$A:$A, 0), MATCH((YEAR(D35)+0), Variablen!$I$3:$AT$3, 0))),L35)))*(IF((YEAR(D35)+0)&lt;YEAR(E35),0,IF((YEAR(D35)+0)&gt;YEAR(E35),1,(12-MONTH(E35)+1)/12))) + (Q35)*(IF((YEAR(D35)+0)&lt;YEAR(E35),0,IF((YEAR(D35)+0)&gt;YEAR(E35),1,(12-MONTH(E35)+1)/12))))-((P35)*(IF((YEAR(D35)+0)&lt;YEAR(E35),0,IF((YEAR(D35)+0)&gt;YEAR(E35),1,(12-MONTH(E35)+1)/12))) + (R35)*(IF((YEAR(D35)+0)&lt;YEAR(E35),0,IF((YEAR(D35)+0)&gt;YEAR(E35),1,(12-MONTH(E35)+1)/12))))-(IF(OR(N35="",N35&lt;=0),0,(O35/N35)*(IF(OR(N35="",N35&lt;=0),0,IF((YEAR(D35)+0)&lt;YEAR(E35),0,IF((YEAR(D35)+0)&gt;=YEAR(E35)+N35,0,IF((YEAR(D35)+0)=YEAR(E35),(12-MONTH(E35)+1)/12,1))))))))*TaxRate,0))-IF(0=0,O35,0))</f>
        <v/>
      </c>
      <c r="T35" s="29">
        <f>IF(A35="","",((K35)*(IF(M35="",L35,IFERROR(IF(INDEX(Variablen!$I:$AT, MATCH(M35, Variablen!$A:$A, 0), MATCH((YEAR(D35)+1), Variablen!$I$3:$AT$3, 0))="",L35,INDEX(Variablen!$I:$AT, MATCH(M35, Variablen!$A:$A, 0), MATCH((YEAR(D35)+1), Variablen!$I$3:$AT$3, 0))),L35)))*(IF((YEAR(D35)+1)&lt;YEAR(E35),0,IF((YEAR(D35)+1)&gt;YEAR(E35),1,(12-MONTH(E35)+1)/12))) + (Q35)*(IF((YEAR(D35)+1)&lt;YEAR(E35),0,IF((YEAR(D35)+1)&gt;YEAR(E35),1,(12-MONTH(E35)+1)/12))))-((P35)*(IF((YEAR(D35)+1)&lt;YEAR(E35),0,IF((YEAR(D35)+1)&gt;YEAR(E35),1,(12-MONTH(E35)+1)/12))) + (R35)*(IF((YEAR(D35)+1)&lt;YEAR(E35),0,IF((YEAR(D35)+1)&gt;YEAR(E35),1,(12-MONTH(E35)+1)/12))))-(IF((((K35)*(IF(M35="",L35,IFERROR(IF(INDEX(Variablen!$I:$AT, MATCH(M35, Variablen!$A:$A, 0), MATCH((YEAR(D35)+1), Variablen!$I$3:$AT$3, 0))="",L35,INDEX(Variablen!$I:$AT, MATCH(M35, Variablen!$A:$A, 0), MATCH((YEAR(D35)+1), Variablen!$I$3:$AT$3, 0))),L35)))*(IF((YEAR(D35)+1)&lt;YEAR(E35),0,IF((YEAR(D35)+1)&gt;YEAR(E35),1,(12-MONTH(E35)+1)/12))) + (Q35)*(IF((YEAR(D35)+1)&lt;YEAR(E35),0,IF((YEAR(D35)+1)&gt;YEAR(E35),1,(12-MONTH(E35)+1)/12))))-((P35)*(IF((YEAR(D35)+1)&lt;YEAR(E35),0,IF((YEAR(D35)+1)&gt;YEAR(E35),1,(12-MONTH(E35)+1)/12))) + (R35)*(IF((YEAR(D35)+1)&lt;YEAR(E35),0,IF((YEAR(D35)+1)&gt;YEAR(E35),1,(12-MONTH(E35)+1)/12))))-(IF(OR(N35="",N35&lt;=0),0,(O35/N35)*(IF(OR(N35="",N35&lt;=0),0,IF((YEAR(D35)+1)&lt;YEAR(E35),0,IF((YEAR(D35)+1)&gt;=YEAR(E35)+N35,0,IF((YEAR(D35)+1)=YEAR(E35),(12-MONTH(E35)+1)/12,1))))))))&gt;0,(((K35)*(IF(M35="",L35,IFERROR(IF(INDEX(Variablen!$I:$AT, MATCH(M35, Variablen!$A:$A, 0), MATCH((YEAR(D35)+1), Variablen!$I$3:$AT$3, 0))="",L35,INDEX(Variablen!$I:$AT, MATCH(M35, Variablen!$A:$A, 0), MATCH((YEAR(D35)+1), Variablen!$I$3:$AT$3, 0))),L35)))*(IF((YEAR(D35)+1)&lt;YEAR(E35),0,IF((YEAR(D35)+1)&gt;YEAR(E35),1,(12-MONTH(E35)+1)/12))) + (Q35)*(IF((YEAR(D35)+1)&lt;YEAR(E35),0,IF((YEAR(D35)+1)&gt;YEAR(E35),1,(12-MONTH(E35)+1)/12))))-((P35)*(IF((YEAR(D35)+1)&lt;YEAR(E35),0,IF((YEAR(D35)+1)&gt;YEAR(E35),1,(12-MONTH(E35)+1)/12))) + (R35)*(IF((YEAR(D35)+1)&lt;YEAR(E35),0,IF((YEAR(D35)+1)&gt;YEAR(E35),1,(12-MONTH(E35)+1)/12))))-(IF(OR(N35="",N35&lt;=0),0,(O35/N35)*(IF(OR(N35="",N35&lt;=0),0,IF((YEAR(D35)+1)&lt;YEAR(E35),0,IF((YEAR(D35)+1)&gt;=YEAR(E35)+N35,0,IF((YEAR(D35)+1)=YEAR(E35),(12-MONTH(E35)+1)/12,1))))))))*TaxRate,0))-IF(1=0,O35,0))</f>
        <v/>
      </c>
      <c r="U35" s="29">
        <f>IF(A35="","",((K35)*(IF(M35="",L35,IFERROR(IF(INDEX(Variablen!$I:$AT, MATCH(M35, Variablen!$A:$A, 0), MATCH((YEAR(D35)+2), Variablen!$I$3:$AT$3, 0))="",L35,INDEX(Variablen!$I:$AT, MATCH(M35, Variablen!$A:$A, 0), MATCH((YEAR(D35)+2), Variablen!$I$3:$AT$3, 0))),L35)))*(IF((YEAR(D35)+2)&lt;YEAR(E35),0,IF((YEAR(D35)+2)&gt;YEAR(E35),1,(12-MONTH(E35)+1)/12))) + (Q35)*(IF((YEAR(D35)+2)&lt;YEAR(E35),0,IF((YEAR(D35)+2)&gt;YEAR(E35),1,(12-MONTH(E35)+1)/12))))-((P35)*(IF((YEAR(D35)+2)&lt;YEAR(E35),0,IF((YEAR(D35)+2)&gt;YEAR(E35),1,(12-MONTH(E35)+1)/12))) + (R35)*(IF((YEAR(D35)+2)&lt;YEAR(E35),0,IF((YEAR(D35)+2)&gt;YEAR(E35),1,(12-MONTH(E35)+1)/12))))-(IF((((K35)*(IF(M35="",L35,IFERROR(IF(INDEX(Variablen!$I:$AT, MATCH(M35, Variablen!$A:$A, 0), MATCH((YEAR(D35)+2), Variablen!$I$3:$AT$3, 0))="",L35,INDEX(Variablen!$I:$AT, MATCH(M35, Variablen!$A:$A, 0), MATCH((YEAR(D35)+2), Variablen!$I$3:$AT$3, 0))),L35)))*(IF((YEAR(D35)+2)&lt;YEAR(E35),0,IF((YEAR(D35)+2)&gt;YEAR(E35),1,(12-MONTH(E35)+1)/12))) + (Q35)*(IF((YEAR(D35)+2)&lt;YEAR(E35),0,IF((YEAR(D35)+2)&gt;YEAR(E35),1,(12-MONTH(E35)+1)/12))))-((P35)*(IF((YEAR(D35)+2)&lt;YEAR(E35),0,IF((YEAR(D35)+2)&gt;YEAR(E35),1,(12-MONTH(E35)+1)/12))) + (R35)*(IF((YEAR(D35)+2)&lt;YEAR(E35),0,IF((YEAR(D35)+2)&gt;YEAR(E35),1,(12-MONTH(E35)+1)/12))))-(IF(OR(N35="",N35&lt;=0),0,(O35/N35)*(IF(OR(N35="",N35&lt;=0),0,IF((YEAR(D35)+2)&lt;YEAR(E35),0,IF((YEAR(D35)+2)&gt;=YEAR(E35)+N35,0,IF((YEAR(D35)+2)=YEAR(E35),(12-MONTH(E35)+1)/12,1))))))))&gt;0,(((K35)*(IF(M35="",L35,IFERROR(IF(INDEX(Variablen!$I:$AT, MATCH(M35, Variablen!$A:$A, 0), MATCH((YEAR(D35)+2), Variablen!$I$3:$AT$3, 0))="",L35,INDEX(Variablen!$I:$AT, MATCH(M35, Variablen!$A:$A, 0), MATCH((YEAR(D35)+2), Variablen!$I$3:$AT$3, 0))),L35)))*(IF((YEAR(D35)+2)&lt;YEAR(E35),0,IF((YEAR(D35)+2)&gt;YEAR(E35),1,(12-MONTH(E35)+1)/12))) + (Q35)*(IF((YEAR(D35)+2)&lt;YEAR(E35),0,IF((YEAR(D35)+2)&gt;YEAR(E35),1,(12-MONTH(E35)+1)/12))))-((P35)*(IF((YEAR(D35)+2)&lt;YEAR(E35),0,IF((YEAR(D35)+2)&gt;YEAR(E35),1,(12-MONTH(E35)+1)/12))) + (R35)*(IF((YEAR(D35)+2)&lt;YEAR(E35),0,IF((YEAR(D35)+2)&gt;YEAR(E35),1,(12-MONTH(E35)+1)/12))))-(IF(OR(N35="",N35&lt;=0),0,(O35/N35)*(IF(OR(N35="",N35&lt;=0),0,IF((YEAR(D35)+2)&lt;YEAR(E35),0,IF((YEAR(D35)+2)&gt;=YEAR(E35)+N35,0,IF((YEAR(D35)+2)=YEAR(E35),(12-MONTH(E35)+1)/12,1))))))))*TaxRate,0))-IF(2=0,O35,0))</f>
        <v/>
      </c>
      <c r="V35" s="29">
        <f>IF(A35="","",((K35)*(IF(M35="",L35,IFERROR(IF(INDEX(Variablen!$I:$AT, MATCH(M35, Variablen!$A:$A, 0), MATCH((YEAR(D35)+3), Variablen!$I$3:$AT$3, 0))="",L35,INDEX(Variablen!$I:$AT, MATCH(M35, Variablen!$A:$A, 0), MATCH((YEAR(D35)+3), Variablen!$I$3:$AT$3, 0))),L35)))*(IF((YEAR(D35)+3)&lt;YEAR(E35),0,IF((YEAR(D35)+3)&gt;YEAR(E35),1,(12-MONTH(E35)+1)/12))) + (Q35)*(IF((YEAR(D35)+3)&lt;YEAR(E35),0,IF((YEAR(D35)+3)&gt;YEAR(E35),1,(12-MONTH(E35)+1)/12))))-((P35)*(IF((YEAR(D35)+3)&lt;YEAR(E35),0,IF((YEAR(D35)+3)&gt;YEAR(E35),1,(12-MONTH(E35)+1)/12))) + (R35)*(IF((YEAR(D35)+3)&lt;YEAR(E35),0,IF((YEAR(D35)+3)&gt;YEAR(E35),1,(12-MONTH(E35)+1)/12))))-(IF((((K35)*(IF(M35="",L35,IFERROR(IF(INDEX(Variablen!$I:$AT, MATCH(M35, Variablen!$A:$A, 0), MATCH((YEAR(D35)+3), Variablen!$I$3:$AT$3, 0))="",L35,INDEX(Variablen!$I:$AT, MATCH(M35, Variablen!$A:$A, 0), MATCH((YEAR(D35)+3), Variablen!$I$3:$AT$3, 0))),L35)))*(IF((YEAR(D35)+3)&lt;YEAR(E35),0,IF((YEAR(D35)+3)&gt;YEAR(E35),1,(12-MONTH(E35)+1)/12))) + (Q35)*(IF((YEAR(D35)+3)&lt;YEAR(E35),0,IF((YEAR(D35)+3)&gt;YEAR(E35),1,(12-MONTH(E35)+1)/12))))-((P35)*(IF((YEAR(D35)+3)&lt;YEAR(E35),0,IF((YEAR(D35)+3)&gt;YEAR(E35),1,(12-MONTH(E35)+1)/12))) + (R35)*(IF((YEAR(D35)+3)&lt;YEAR(E35),0,IF((YEAR(D35)+3)&gt;YEAR(E35),1,(12-MONTH(E35)+1)/12))))-(IF(OR(N35="",N35&lt;=0),0,(O35/N35)*(IF(OR(N35="",N35&lt;=0),0,IF((YEAR(D35)+3)&lt;YEAR(E35),0,IF((YEAR(D35)+3)&gt;=YEAR(E35)+N35,0,IF((YEAR(D35)+3)=YEAR(E35),(12-MONTH(E35)+1)/12,1))))))))&gt;0,(((K35)*(IF(M35="",L35,IFERROR(IF(INDEX(Variablen!$I:$AT, MATCH(M35, Variablen!$A:$A, 0), MATCH((YEAR(D35)+3), Variablen!$I$3:$AT$3, 0))="",L35,INDEX(Variablen!$I:$AT, MATCH(M35, Variablen!$A:$A, 0), MATCH((YEAR(D35)+3), Variablen!$I$3:$AT$3, 0))),L35)))*(IF((YEAR(D35)+3)&lt;YEAR(E35),0,IF((YEAR(D35)+3)&gt;YEAR(E35),1,(12-MONTH(E35)+1)/12))) + (Q35)*(IF((YEAR(D35)+3)&lt;YEAR(E35),0,IF((YEAR(D35)+3)&gt;YEAR(E35),1,(12-MONTH(E35)+1)/12))))-((P35)*(IF((YEAR(D35)+3)&lt;YEAR(E35),0,IF((YEAR(D35)+3)&gt;YEAR(E35),1,(12-MONTH(E35)+1)/12))) + (R35)*(IF((YEAR(D35)+3)&lt;YEAR(E35),0,IF((YEAR(D35)+3)&gt;YEAR(E35),1,(12-MONTH(E35)+1)/12))))-(IF(OR(N35="",N35&lt;=0),0,(O35/N35)*(IF(OR(N35="",N35&lt;=0),0,IF((YEAR(D35)+3)&lt;YEAR(E35),0,IF((YEAR(D35)+3)&gt;=YEAR(E35)+N35,0,IF((YEAR(D35)+3)=YEAR(E35),(12-MONTH(E35)+1)/12,1))))))))*TaxRate,0))-IF(3=0,O35,0))</f>
        <v/>
      </c>
      <c r="W35" s="29">
        <f>IF(A35="","",((K35)*(IF(M35="",L35,IFERROR(IF(INDEX(Variablen!$I:$AT, MATCH(M35, Variablen!$A:$A, 0), MATCH((YEAR(D35)+4), Variablen!$I$3:$AT$3, 0))="",L35,INDEX(Variablen!$I:$AT, MATCH(M35, Variablen!$A:$A, 0), MATCH((YEAR(D35)+4), Variablen!$I$3:$AT$3, 0))),L35)))*(IF((YEAR(D35)+4)&lt;YEAR(E35),0,IF((YEAR(D35)+4)&gt;YEAR(E35),1,(12-MONTH(E35)+1)/12))) + (Q35)*(IF((YEAR(D35)+4)&lt;YEAR(E35),0,IF((YEAR(D35)+4)&gt;YEAR(E35),1,(12-MONTH(E35)+1)/12))))-((P35)*(IF((YEAR(D35)+4)&lt;YEAR(E35),0,IF((YEAR(D35)+4)&gt;YEAR(E35),1,(12-MONTH(E35)+1)/12))) + (R35)*(IF((YEAR(D35)+4)&lt;YEAR(E35),0,IF((YEAR(D35)+4)&gt;YEAR(E35),1,(12-MONTH(E35)+1)/12))))-(IF((((K35)*(IF(M35="",L35,IFERROR(IF(INDEX(Variablen!$I:$AT, MATCH(M35, Variablen!$A:$A, 0), MATCH((YEAR(D35)+4), Variablen!$I$3:$AT$3, 0))="",L35,INDEX(Variablen!$I:$AT, MATCH(M35, Variablen!$A:$A, 0), MATCH((YEAR(D35)+4), Variablen!$I$3:$AT$3, 0))),L35)))*(IF((YEAR(D35)+4)&lt;YEAR(E35),0,IF((YEAR(D35)+4)&gt;YEAR(E35),1,(12-MONTH(E35)+1)/12))) + (Q35)*(IF((YEAR(D35)+4)&lt;YEAR(E35),0,IF((YEAR(D35)+4)&gt;YEAR(E35),1,(12-MONTH(E35)+1)/12))))-((P35)*(IF((YEAR(D35)+4)&lt;YEAR(E35),0,IF((YEAR(D35)+4)&gt;YEAR(E35),1,(12-MONTH(E35)+1)/12))) + (R35)*(IF((YEAR(D35)+4)&lt;YEAR(E35),0,IF((YEAR(D35)+4)&gt;YEAR(E35),1,(12-MONTH(E35)+1)/12))))-(IF(OR(N35="",N35&lt;=0),0,(O35/N35)*(IF(OR(N35="",N35&lt;=0),0,IF((YEAR(D35)+4)&lt;YEAR(E35),0,IF((YEAR(D35)+4)&gt;=YEAR(E35)+N35,0,IF((YEAR(D35)+4)=YEAR(E35),(12-MONTH(E35)+1)/12,1))))))))&gt;0,(((K35)*(IF(M35="",L35,IFERROR(IF(INDEX(Variablen!$I:$AT, MATCH(M35, Variablen!$A:$A, 0), MATCH((YEAR(D35)+4), Variablen!$I$3:$AT$3, 0))="",L35,INDEX(Variablen!$I:$AT, MATCH(M35, Variablen!$A:$A, 0), MATCH((YEAR(D35)+4), Variablen!$I$3:$AT$3, 0))),L35)))*(IF((YEAR(D35)+4)&lt;YEAR(E35),0,IF((YEAR(D35)+4)&gt;YEAR(E35),1,(12-MONTH(E35)+1)/12))) + (Q35)*(IF((YEAR(D35)+4)&lt;YEAR(E35),0,IF((YEAR(D35)+4)&gt;YEAR(E35),1,(12-MONTH(E35)+1)/12))))-((P35)*(IF((YEAR(D35)+4)&lt;YEAR(E35),0,IF((YEAR(D35)+4)&gt;YEAR(E35),1,(12-MONTH(E35)+1)/12))) + (R35)*(IF((YEAR(D35)+4)&lt;YEAR(E35),0,IF((YEAR(D35)+4)&gt;YEAR(E35),1,(12-MONTH(E35)+1)/12))))-(IF(OR(N35="",N35&lt;=0),0,(O35/N35)*(IF(OR(N35="",N35&lt;=0),0,IF((YEAR(D35)+4)&lt;YEAR(E35),0,IF((YEAR(D35)+4)&gt;=YEAR(E35)+N35,0,IF((YEAR(D35)+4)=YEAR(E35),(12-MONTH(E35)+1)/12,1))))))))*TaxRate,0))-IF(4=0,O35,0))</f>
        <v/>
      </c>
      <c r="X35" s="29">
        <f>IF(A35="","",((K35)*(IF(M35="",L35,IFERROR(IF(INDEX(Variablen!$I:$AT, MATCH(M35, Variablen!$A:$A, 0), MATCH((YEAR(D35)+5), Variablen!$I$3:$AT$3, 0))="",L35,INDEX(Variablen!$I:$AT, MATCH(M35, Variablen!$A:$A, 0), MATCH((YEAR(D35)+5), Variablen!$I$3:$AT$3, 0))),L35)))*(IF((YEAR(D35)+5)&lt;YEAR(E35),0,IF((YEAR(D35)+5)&gt;YEAR(E35),1,(12-MONTH(E35)+1)/12))) + (Q35)*(IF((YEAR(D35)+5)&lt;YEAR(E35),0,IF((YEAR(D35)+5)&gt;YEAR(E35),1,(12-MONTH(E35)+1)/12))))-((P35)*(IF((YEAR(D35)+5)&lt;YEAR(E35),0,IF((YEAR(D35)+5)&gt;YEAR(E35),1,(12-MONTH(E35)+1)/12))) + (R35)*(IF((YEAR(D35)+5)&lt;YEAR(E35),0,IF((YEAR(D35)+5)&gt;YEAR(E35),1,(12-MONTH(E35)+1)/12))))-(IF((((K35)*(IF(M35="",L35,IFERROR(IF(INDEX(Variablen!$I:$AT, MATCH(M35, Variablen!$A:$A, 0), MATCH((YEAR(D35)+5), Variablen!$I$3:$AT$3, 0))="",L35,INDEX(Variablen!$I:$AT, MATCH(M35, Variablen!$A:$A, 0), MATCH((YEAR(D35)+5), Variablen!$I$3:$AT$3, 0))),L35)))*(IF((YEAR(D35)+5)&lt;YEAR(E35),0,IF((YEAR(D35)+5)&gt;YEAR(E35),1,(12-MONTH(E35)+1)/12))) + (Q35)*(IF((YEAR(D35)+5)&lt;YEAR(E35),0,IF((YEAR(D35)+5)&gt;YEAR(E35),1,(12-MONTH(E35)+1)/12))))-((P35)*(IF((YEAR(D35)+5)&lt;YEAR(E35),0,IF((YEAR(D35)+5)&gt;YEAR(E35),1,(12-MONTH(E35)+1)/12))) + (R35)*(IF((YEAR(D35)+5)&lt;YEAR(E35),0,IF((YEAR(D35)+5)&gt;YEAR(E35),1,(12-MONTH(E35)+1)/12))))-(IF(OR(N35="",N35&lt;=0),0,(O35/N35)*(IF(OR(N35="",N35&lt;=0),0,IF((YEAR(D35)+5)&lt;YEAR(E35),0,IF((YEAR(D35)+5)&gt;=YEAR(E35)+N35,0,IF((YEAR(D35)+5)=YEAR(E35),(12-MONTH(E35)+1)/12,1))))))))&gt;0,(((K35)*(IF(M35="",L35,IFERROR(IF(INDEX(Variablen!$I:$AT, MATCH(M35, Variablen!$A:$A, 0), MATCH((YEAR(D35)+5), Variablen!$I$3:$AT$3, 0))="",L35,INDEX(Variablen!$I:$AT, MATCH(M35, Variablen!$A:$A, 0), MATCH((YEAR(D35)+5), Variablen!$I$3:$AT$3, 0))),L35)))*(IF((YEAR(D35)+5)&lt;YEAR(E35),0,IF((YEAR(D35)+5)&gt;YEAR(E35),1,(12-MONTH(E35)+1)/12))) + (Q35)*(IF((YEAR(D35)+5)&lt;YEAR(E35),0,IF((YEAR(D35)+5)&gt;YEAR(E35),1,(12-MONTH(E35)+1)/12))))-((P35)*(IF((YEAR(D35)+5)&lt;YEAR(E35),0,IF((YEAR(D35)+5)&gt;YEAR(E35),1,(12-MONTH(E35)+1)/12))) + (R35)*(IF((YEAR(D35)+5)&lt;YEAR(E35),0,IF((YEAR(D35)+5)&gt;YEAR(E35),1,(12-MONTH(E35)+1)/12))))-(IF(OR(N35="",N35&lt;=0),0,(O35/N35)*(IF(OR(N35="",N35&lt;=0),0,IF((YEAR(D35)+5)&lt;YEAR(E35),0,IF((YEAR(D35)+5)&gt;=YEAR(E35)+N35,0,IF((YEAR(D35)+5)=YEAR(E35),(12-MONTH(E35)+1)/12,1))))))))*TaxRate,0))-IF(5=0,O35,0))</f>
        <v/>
      </c>
      <c r="Y35" s="29">
        <f>IF(A35="","",((K35)*(IF(M35="",L35,IFERROR(IF(INDEX(Variablen!$I:$AT, MATCH(M35, Variablen!$A:$A, 0), MATCH((YEAR(D35)+6), Variablen!$I$3:$AT$3, 0))="",L35,INDEX(Variablen!$I:$AT, MATCH(M35, Variablen!$A:$A, 0), MATCH((YEAR(D35)+6), Variablen!$I$3:$AT$3, 0))),L35)))*(IF((YEAR(D35)+6)&lt;YEAR(E35),0,IF((YEAR(D35)+6)&gt;YEAR(E35),1,(12-MONTH(E35)+1)/12))) + (Q35)*(IF((YEAR(D35)+6)&lt;YEAR(E35),0,IF((YEAR(D35)+6)&gt;YEAR(E35),1,(12-MONTH(E35)+1)/12))))-((P35)*(IF((YEAR(D35)+6)&lt;YEAR(E35),0,IF((YEAR(D35)+6)&gt;YEAR(E35),1,(12-MONTH(E35)+1)/12))) + (R35)*(IF((YEAR(D35)+6)&lt;YEAR(E35),0,IF((YEAR(D35)+6)&gt;YEAR(E35),1,(12-MONTH(E35)+1)/12))))-(IF((((K35)*(IF(M35="",L35,IFERROR(IF(INDEX(Variablen!$I:$AT, MATCH(M35, Variablen!$A:$A, 0), MATCH((YEAR(D35)+6), Variablen!$I$3:$AT$3, 0))="",L35,INDEX(Variablen!$I:$AT, MATCH(M35, Variablen!$A:$A, 0), MATCH((YEAR(D35)+6), Variablen!$I$3:$AT$3, 0))),L35)))*(IF((YEAR(D35)+6)&lt;YEAR(E35),0,IF((YEAR(D35)+6)&gt;YEAR(E35),1,(12-MONTH(E35)+1)/12))) + (Q35)*(IF((YEAR(D35)+6)&lt;YEAR(E35),0,IF((YEAR(D35)+6)&gt;YEAR(E35),1,(12-MONTH(E35)+1)/12))))-((P35)*(IF((YEAR(D35)+6)&lt;YEAR(E35),0,IF((YEAR(D35)+6)&gt;YEAR(E35),1,(12-MONTH(E35)+1)/12))) + (R35)*(IF((YEAR(D35)+6)&lt;YEAR(E35),0,IF((YEAR(D35)+6)&gt;YEAR(E35),1,(12-MONTH(E35)+1)/12))))-(IF(OR(N35="",N35&lt;=0),0,(O35/N35)*(IF(OR(N35="",N35&lt;=0),0,IF((YEAR(D35)+6)&lt;YEAR(E35),0,IF((YEAR(D35)+6)&gt;=YEAR(E35)+N35,0,IF((YEAR(D35)+6)=YEAR(E35),(12-MONTH(E35)+1)/12,1))))))))&gt;0,(((K35)*(IF(M35="",L35,IFERROR(IF(INDEX(Variablen!$I:$AT, MATCH(M35, Variablen!$A:$A, 0), MATCH((YEAR(D35)+6), Variablen!$I$3:$AT$3, 0))="",L35,INDEX(Variablen!$I:$AT, MATCH(M35, Variablen!$A:$A, 0), MATCH((YEAR(D35)+6), Variablen!$I$3:$AT$3, 0))),L35)))*(IF((YEAR(D35)+6)&lt;YEAR(E35),0,IF((YEAR(D35)+6)&gt;YEAR(E35),1,(12-MONTH(E35)+1)/12))) + (Q35)*(IF((YEAR(D35)+6)&lt;YEAR(E35),0,IF((YEAR(D35)+6)&gt;YEAR(E35),1,(12-MONTH(E35)+1)/12))))-((P35)*(IF((YEAR(D35)+6)&lt;YEAR(E35),0,IF((YEAR(D35)+6)&gt;YEAR(E35),1,(12-MONTH(E35)+1)/12))) + (R35)*(IF((YEAR(D35)+6)&lt;YEAR(E35),0,IF((YEAR(D35)+6)&gt;YEAR(E35),1,(12-MONTH(E35)+1)/12))))-(IF(OR(N35="",N35&lt;=0),0,(O35/N35)*(IF(OR(N35="",N35&lt;=0),0,IF((YEAR(D35)+6)&lt;YEAR(E35),0,IF((YEAR(D35)+6)&gt;=YEAR(E35)+N35,0,IF((YEAR(D35)+6)=YEAR(E35),(12-MONTH(E35)+1)/12,1))))))))*TaxRate,0))-IF(6=0,O35,0))</f>
        <v/>
      </c>
      <c r="Z35" s="29">
        <f>IF(A35="","",((K35)*(IF(M35="",L35,IFERROR(IF(INDEX(Variablen!$I:$AT, MATCH(M35, Variablen!$A:$A, 0), MATCH((YEAR(D35)+7), Variablen!$I$3:$AT$3, 0))="",L35,INDEX(Variablen!$I:$AT, MATCH(M35, Variablen!$A:$A, 0), MATCH((YEAR(D35)+7), Variablen!$I$3:$AT$3, 0))),L35)))*(IF((YEAR(D35)+7)&lt;YEAR(E35),0,IF((YEAR(D35)+7)&gt;YEAR(E35),1,(12-MONTH(E35)+1)/12))) + (Q35)*(IF((YEAR(D35)+7)&lt;YEAR(E35),0,IF((YEAR(D35)+7)&gt;YEAR(E35),1,(12-MONTH(E35)+1)/12))))-((P35)*(IF((YEAR(D35)+7)&lt;YEAR(E35),0,IF((YEAR(D35)+7)&gt;YEAR(E35),1,(12-MONTH(E35)+1)/12))) + (R35)*(IF((YEAR(D35)+7)&lt;YEAR(E35),0,IF((YEAR(D35)+7)&gt;YEAR(E35),1,(12-MONTH(E35)+1)/12))))-(IF((((K35)*(IF(M35="",L35,IFERROR(IF(INDEX(Variablen!$I:$AT, MATCH(M35, Variablen!$A:$A, 0), MATCH((YEAR(D35)+7), Variablen!$I$3:$AT$3, 0))="",L35,INDEX(Variablen!$I:$AT, MATCH(M35, Variablen!$A:$A, 0), MATCH((YEAR(D35)+7), Variablen!$I$3:$AT$3, 0))),L35)))*(IF((YEAR(D35)+7)&lt;YEAR(E35),0,IF((YEAR(D35)+7)&gt;YEAR(E35),1,(12-MONTH(E35)+1)/12))) + (Q35)*(IF((YEAR(D35)+7)&lt;YEAR(E35),0,IF((YEAR(D35)+7)&gt;YEAR(E35),1,(12-MONTH(E35)+1)/12))))-((P35)*(IF((YEAR(D35)+7)&lt;YEAR(E35),0,IF((YEAR(D35)+7)&gt;YEAR(E35),1,(12-MONTH(E35)+1)/12))) + (R35)*(IF((YEAR(D35)+7)&lt;YEAR(E35),0,IF((YEAR(D35)+7)&gt;YEAR(E35),1,(12-MONTH(E35)+1)/12))))-(IF(OR(N35="",N35&lt;=0),0,(O35/N35)*(IF(OR(N35="",N35&lt;=0),0,IF((YEAR(D35)+7)&lt;YEAR(E35),0,IF((YEAR(D35)+7)&gt;=YEAR(E35)+N35,0,IF((YEAR(D35)+7)=YEAR(E35),(12-MONTH(E35)+1)/12,1))))))))&gt;0,(((K35)*(IF(M35="",L35,IFERROR(IF(INDEX(Variablen!$I:$AT, MATCH(M35, Variablen!$A:$A, 0), MATCH((YEAR(D35)+7), Variablen!$I$3:$AT$3, 0))="",L35,INDEX(Variablen!$I:$AT, MATCH(M35, Variablen!$A:$A, 0), MATCH((YEAR(D35)+7), Variablen!$I$3:$AT$3, 0))),L35)))*(IF((YEAR(D35)+7)&lt;YEAR(E35),0,IF((YEAR(D35)+7)&gt;YEAR(E35),1,(12-MONTH(E35)+1)/12))) + (Q35)*(IF((YEAR(D35)+7)&lt;YEAR(E35),0,IF((YEAR(D35)+7)&gt;YEAR(E35),1,(12-MONTH(E35)+1)/12))))-((P35)*(IF((YEAR(D35)+7)&lt;YEAR(E35),0,IF((YEAR(D35)+7)&gt;YEAR(E35),1,(12-MONTH(E35)+1)/12))) + (R35)*(IF((YEAR(D35)+7)&lt;YEAR(E35),0,IF((YEAR(D35)+7)&gt;YEAR(E35),1,(12-MONTH(E35)+1)/12))))-(IF(OR(N35="",N35&lt;=0),0,(O35/N35)*(IF(OR(N35="",N35&lt;=0),0,IF((YEAR(D35)+7)&lt;YEAR(E35),0,IF((YEAR(D35)+7)&gt;=YEAR(E35)+N35,0,IF((YEAR(D35)+7)=YEAR(E35),(12-MONTH(E35)+1)/12,1))))))))*TaxRate,0))-IF(7=0,O35,0))</f>
        <v/>
      </c>
      <c r="AA35" s="29">
        <f>IF(A35="","",((K35)*(IF(M35="",L35,IFERROR(IF(INDEX(Variablen!$I:$AT, MATCH(M35, Variablen!$A:$A, 0), MATCH((YEAR(D35)+8), Variablen!$I$3:$AT$3, 0))="",L35,INDEX(Variablen!$I:$AT, MATCH(M35, Variablen!$A:$A, 0), MATCH((YEAR(D35)+8), Variablen!$I$3:$AT$3, 0))),L35)))*(IF((YEAR(D35)+8)&lt;YEAR(E35),0,IF((YEAR(D35)+8)&gt;YEAR(E35),1,(12-MONTH(E35)+1)/12))) + (Q35)*(IF((YEAR(D35)+8)&lt;YEAR(E35),0,IF((YEAR(D35)+8)&gt;YEAR(E35),1,(12-MONTH(E35)+1)/12))))-((P35)*(IF((YEAR(D35)+8)&lt;YEAR(E35),0,IF((YEAR(D35)+8)&gt;YEAR(E35),1,(12-MONTH(E35)+1)/12))) + (R35)*(IF((YEAR(D35)+8)&lt;YEAR(E35),0,IF((YEAR(D35)+8)&gt;YEAR(E35),1,(12-MONTH(E35)+1)/12))))-(IF((((K35)*(IF(M35="",L35,IFERROR(IF(INDEX(Variablen!$I:$AT, MATCH(M35, Variablen!$A:$A, 0), MATCH((YEAR(D35)+8), Variablen!$I$3:$AT$3, 0))="",L35,INDEX(Variablen!$I:$AT, MATCH(M35, Variablen!$A:$A, 0), MATCH((YEAR(D35)+8), Variablen!$I$3:$AT$3, 0))),L35)))*(IF((YEAR(D35)+8)&lt;YEAR(E35),0,IF((YEAR(D35)+8)&gt;YEAR(E35),1,(12-MONTH(E35)+1)/12))) + (Q35)*(IF((YEAR(D35)+8)&lt;YEAR(E35),0,IF((YEAR(D35)+8)&gt;YEAR(E35),1,(12-MONTH(E35)+1)/12))))-((P35)*(IF((YEAR(D35)+8)&lt;YEAR(E35),0,IF((YEAR(D35)+8)&gt;YEAR(E35),1,(12-MONTH(E35)+1)/12))) + (R35)*(IF((YEAR(D35)+8)&lt;YEAR(E35),0,IF((YEAR(D35)+8)&gt;YEAR(E35),1,(12-MONTH(E35)+1)/12))))-(IF(OR(N35="",N35&lt;=0),0,(O35/N35)*(IF(OR(N35="",N35&lt;=0),0,IF((YEAR(D35)+8)&lt;YEAR(E35),0,IF((YEAR(D35)+8)&gt;=YEAR(E35)+N35,0,IF((YEAR(D35)+8)=YEAR(E35),(12-MONTH(E35)+1)/12,1))))))))&gt;0,(((K35)*(IF(M35="",L35,IFERROR(IF(INDEX(Variablen!$I:$AT, MATCH(M35, Variablen!$A:$A, 0), MATCH((YEAR(D35)+8), Variablen!$I$3:$AT$3, 0))="",L35,INDEX(Variablen!$I:$AT, MATCH(M35, Variablen!$A:$A, 0), MATCH((YEAR(D35)+8), Variablen!$I$3:$AT$3, 0))),L35)))*(IF((YEAR(D35)+8)&lt;YEAR(E35),0,IF((YEAR(D35)+8)&gt;YEAR(E35),1,(12-MONTH(E35)+1)/12))) + (Q35)*(IF((YEAR(D35)+8)&lt;YEAR(E35),0,IF((YEAR(D35)+8)&gt;YEAR(E35),1,(12-MONTH(E35)+1)/12))))-((P35)*(IF((YEAR(D35)+8)&lt;YEAR(E35),0,IF((YEAR(D35)+8)&gt;YEAR(E35),1,(12-MONTH(E35)+1)/12))) + (R35)*(IF((YEAR(D35)+8)&lt;YEAR(E35),0,IF((YEAR(D35)+8)&gt;YEAR(E35),1,(12-MONTH(E35)+1)/12))))-(IF(OR(N35="",N35&lt;=0),0,(O35/N35)*(IF(OR(N35="",N35&lt;=0),0,IF((YEAR(D35)+8)&lt;YEAR(E35),0,IF((YEAR(D35)+8)&gt;=YEAR(E35)+N35,0,IF((YEAR(D35)+8)=YEAR(E35),(12-MONTH(E35)+1)/12,1))))))))*TaxRate,0))-IF(8=0,O35,0))</f>
        <v/>
      </c>
      <c r="AB35" s="29">
        <f>IF(A35="","",((K35)*(IF(M35="",L35,IFERROR(IF(INDEX(Variablen!$I:$AT, MATCH(M35, Variablen!$A:$A, 0), MATCH((YEAR(D35)+9), Variablen!$I$3:$AT$3, 0))="",L35,INDEX(Variablen!$I:$AT, MATCH(M35, Variablen!$A:$A, 0), MATCH((YEAR(D35)+9), Variablen!$I$3:$AT$3, 0))),L35)))*(IF((YEAR(D35)+9)&lt;YEAR(E35),0,IF((YEAR(D35)+9)&gt;YEAR(E35),1,(12-MONTH(E35)+1)/12))) + (Q35)*(IF((YEAR(D35)+9)&lt;YEAR(E35),0,IF((YEAR(D35)+9)&gt;YEAR(E35),1,(12-MONTH(E35)+1)/12))))-((P35)*(IF((YEAR(D35)+9)&lt;YEAR(E35),0,IF((YEAR(D35)+9)&gt;YEAR(E35),1,(12-MONTH(E35)+1)/12))) + (R35)*(IF((YEAR(D35)+9)&lt;YEAR(E35),0,IF((YEAR(D35)+9)&gt;YEAR(E35),1,(12-MONTH(E35)+1)/12))))-(IF((((K35)*(IF(M35="",L35,IFERROR(IF(INDEX(Variablen!$I:$AT, MATCH(M35, Variablen!$A:$A, 0), MATCH((YEAR(D35)+9), Variablen!$I$3:$AT$3, 0))="",L35,INDEX(Variablen!$I:$AT, MATCH(M35, Variablen!$A:$A, 0), MATCH((YEAR(D35)+9), Variablen!$I$3:$AT$3, 0))),L35)))*(IF((YEAR(D35)+9)&lt;YEAR(E35),0,IF((YEAR(D35)+9)&gt;YEAR(E35),1,(12-MONTH(E35)+1)/12))) + (Q35)*(IF((YEAR(D35)+9)&lt;YEAR(E35),0,IF((YEAR(D35)+9)&gt;YEAR(E35),1,(12-MONTH(E35)+1)/12))))-((P35)*(IF((YEAR(D35)+9)&lt;YEAR(E35),0,IF((YEAR(D35)+9)&gt;YEAR(E35),1,(12-MONTH(E35)+1)/12))) + (R35)*(IF((YEAR(D35)+9)&lt;YEAR(E35),0,IF((YEAR(D35)+9)&gt;YEAR(E35),1,(12-MONTH(E35)+1)/12))))-(IF(OR(N35="",N35&lt;=0),0,(O35/N35)*(IF(OR(N35="",N35&lt;=0),0,IF((YEAR(D35)+9)&lt;YEAR(E35),0,IF((YEAR(D35)+9)&gt;=YEAR(E35)+N35,0,IF((YEAR(D35)+9)=YEAR(E35),(12-MONTH(E35)+1)/12,1))))))))&gt;0,(((K35)*(IF(M35="",L35,IFERROR(IF(INDEX(Variablen!$I:$AT, MATCH(M35, Variablen!$A:$A, 0), MATCH((YEAR(D35)+9), Variablen!$I$3:$AT$3, 0))="",L35,INDEX(Variablen!$I:$AT, MATCH(M35, Variablen!$A:$A, 0), MATCH((YEAR(D35)+9), Variablen!$I$3:$AT$3, 0))),L35)))*(IF((YEAR(D35)+9)&lt;YEAR(E35),0,IF((YEAR(D35)+9)&gt;YEAR(E35),1,(12-MONTH(E35)+1)/12))) + (Q35)*(IF((YEAR(D35)+9)&lt;YEAR(E35),0,IF((YEAR(D35)+9)&gt;YEAR(E35),1,(12-MONTH(E35)+1)/12))))-((P35)*(IF((YEAR(D35)+9)&lt;YEAR(E35),0,IF((YEAR(D35)+9)&gt;YEAR(E35),1,(12-MONTH(E35)+1)/12))) + (R35)*(IF((YEAR(D35)+9)&lt;YEAR(E35),0,IF((YEAR(D35)+9)&gt;YEAR(E35),1,(12-MONTH(E35)+1)/12))))-(IF(OR(N35="",N35&lt;=0),0,(O35/N35)*(IF(OR(N35="",N35&lt;=0),0,IF((YEAR(D35)+9)&lt;YEAR(E35),0,IF((YEAR(D35)+9)&gt;=YEAR(E35)+N35,0,IF((YEAR(D35)+9)=YEAR(E35),(12-MONTH(E35)+1)/12,1))))))))*TaxRate,0))-IF(9=0,O35,0))</f>
        <v/>
      </c>
      <c r="AC35" s="29">
        <f>IF(A35="","",((K35)*(IF(M35="",L35,IFERROR(IF(INDEX(Variablen!$I:$AT, MATCH(M35, Variablen!$A:$A, 0), MATCH((YEAR(D35)+10), Variablen!$I$3:$AT$3, 0))="",L35,INDEX(Variablen!$I:$AT, MATCH(M35, Variablen!$A:$A, 0), MATCH((YEAR(D35)+10), Variablen!$I$3:$AT$3, 0))),L35)))*(IF((YEAR(D35)+10)&lt;YEAR(E35),0,IF((YEAR(D35)+10)&gt;YEAR(E35),1,(12-MONTH(E35)+1)/12))) + (Q35)*(IF((YEAR(D35)+10)&lt;YEAR(E35),0,IF((YEAR(D35)+10)&gt;YEAR(E35),1,(12-MONTH(E35)+1)/12))))-((P35)*(IF((YEAR(D35)+10)&lt;YEAR(E35),0,IF((YEAR(D35)+10)&gt;YEAR(E35),1,(12-MONTH(E35)+1)/12))) + (R35)*(IF((YEAR(D35)+10)&lt;YEAR(E35),0,IF((YEAR(D35)+10)&gt;YEAR(E35),1,(12-MONTH(E35)+1)/12))))-(IF((((K35)*(IF(M35="",L35,IFERROR(IF(INDEX(Variablen!$I:$AT, MATCH(M35, Variablen!$A:$A, 0), MATCH((YEAR(D35)+10), Variablen!$I$3:$AT$3, 0))="",L35,INDEX(Variablen!$I:$AT, MATCH(M35, Variablen!$A:$A, 0), MATCH((YEAR(D35)+10), Variablen!$I$3:$AT$3, 0))),L35)))*(IF((YEAR(D35)+10)&lt;YEAR(E35),0,IF((YEAR(D35)+10)&gt;YEAR(E35),1,(12-MONTH(E35)+1)/12))) + (Q35)*(IF((YEAR(D35)+10)&lt;YEAR(E35),0,IF((YEAR(D35)+10)&gt;YEAR(E35),1,(12-MONTH(E35)+1)/12))))-((P35)*(IF((YEAR(D35)+10)&lt;YEAR(E35),0,IF((YEAR(D35)+10)&gt;YEAR(E35),1,(12-MONTH(E35)+1)/12))) + (R35)*(IF((YEAR(D35)+10)&lt;YEAR(E35),0,IF((YEAR(D35)+10)&gt;YEAR(E35),1,(12-MONTH(E35)+1)/12))))-(IF(OR(N35="",N35&lt;=0),0,(O35/N35)*(IF(OR(N35="",N35&lt;=0),0,IF((YEAR(D35)+10)&lt;YEAR(E35),0,IF((YEAR(D35)+10)&gt;=YEAR(E35)+N35,0,IF((YEAR(D35)+10)=YEAR(E35),(12-MONTH(E35)+1)/12,1))))))))&gt;0,(((K35)*(IF(M35="",L35,IFERROR(IF(INDEX(Variablen!$I:$AT, MATCH(M35, Variablen!$A:$A, 0), MATCH((YEAR(D35)+10), Variablen!$I$3:$AT$3, 0))="",L35,INDEX(Variablen!$I:$AT, MATCH(M35, Variablen!$A:$A, 0), MATCH((YEAR(D35)+10), Variablen!$I$3:$AT$3, 0))),L35)))*(IF((YEAR(D35)+10)&lt;YEAR(E35),0,IF((YEAR(D35)+10)&gt;YEAR(E35),1,(12-MONTH(E35)+1)/12))) + (Q35)*(IF((YEAR(D35)+10)&lt;YEAR(E35),0,IF((YEAR(D35)+10)&gt;YEAR(E35),1,(12-MONTH(E35)+1)/12))))-((P35)*(IF((YEAR(D35)+10)&lt;YEAR(E35),0,IF((YEAR(D35)+10)&gt;YEAR(E35),1,(12-MONTH(E35)+1)/12))) + (R35)*(IF((YEAR(D35)+10)&lt;YEAR(E35),0,IF((YEAR(D35)+10)&gt;YEAR(E35),1,(12-MONTH(E35)+1)/12))))-(IF(OR(N35="",N35&lt;=0),0,(O35/N35)*(IF(OR(N35="",N35&lt;=0),0,IF((YEAR(D35)+10)&lt;YEAR(E35),0,IF((YEAR(D35)+10)&gt;=YEAR(E35)+N35,0,IF((YEAR(D35)+10)=YEAR(E35),(12-MONTH(E35)+1)/12,1))))))))*TaxRate,0))-IF(10=0,O35,0))</f>
        <v/>
      </c>
      <c r="AD35" s="29">
        <f>IF(A35="","",((K35)*(IF(M35="",L35,IFERROR(IF(INDEX(Variablen!$I:$AT, MATCH(M35, Variablen!$A:$A, 0), MATCH((YEAR(D35)+11), Variablen!$I$3:$AT$3, 0))="",L35,INDEX(Variablen!$I:$AT, MATCH(M35, Variablen!$A:$A, 0), MATCH((YEAR(D35)+11), Variablen!$I$3:$AT$3, 0))),L35)))*(IF((YEAR(D35)+11)&lt;YEAR(E35),0,IF((YEAR(D35)+11)&gt;YEAR(E35),1,(12-MONTH(E35)+1)/12))) + (Q35)*(IF((YEAR(D35)+11)&lt;YEAR(E35),0,IF((YEAR(D35)+11)&gt;YEAR(E35),1,(12-MONTH(E35)+1)/12))))-((P35)*(IF((YEAR(D35)+11)&lt;YEAR(E35),0,IF((YEAR(D35)+11)&gt;YEAR(E35),1,(12-MONTH(E35)+1)/12))) + (R35)*(IF((YEAR(D35)+11)&lt;YEAR(E35),0,IF((YEAR(D35)+11)&gt;YEAR(E35),1,(12-MONTH(E35)+1)/12))))-(IF((((K35)*(IF(M35="",L35,IFERROR(IF(INDEX(Variablen!$I:$AT, MATCH(M35, Variablen!$A:$A, 0), MATCH((YEAR(D35)+11), Variablen!$I$3:$AT$3, 0))="",L35,INDEX(Variablen!$I:$AT, MATCH(M35, Variablen!$A:$A, 0), MATCH((YEAR(D35)+11), Variablen!$I$3:$AT$3, 0))),L35)))*(IF((YEAR(D35)+11)&lt;YEAR(E35),0,IF((YEAR(D35)+11)&gt;YEAR(E35),1,(12-MONTH(E35)+1)/12))) + (Q35)*(IF((YEAR(D35)+11)&lt;YEAR(E35),0,IF((YEAR(D35)+11)&gt;YEAR(E35),1,(12-MONTH(E35)+1)/12))))-((P35)*(IF((YEAR(D35)+11)&lt;YEAR(E35),0,IF((YEAR(D35)+11)&gt;YEAR(E35),1,(12-MONTH(E35)+1)/12))) + (R35)*(IF((YEAR(D35)+11)&lt;YEAR(E35),0,IF((YEAR(D35)+11)&gt;YEAR(E35),1,(12-MONTH(E35)+1)/12))))-(IF(OR(N35="",N35&lt;=0),0,(O35/N35)*(IF(OR(N35="",N35&lt;=0),0,IF((YEAR(D35)+11)&lt;YEAR(E35),0,IF((YEAR(D35)+11)&gt;=YEAR(E35)+N35,0,IF((YEAR(D35)+11)=YEAR(E35),(12-MONTH(E35)+1)/12,1))))))))&gt;0,(((K35)*(IF(M35="",L35,IFERROR(IF(INDEX(Variablen!$I:$AT, MATCH(M35, Variablen!$A:$A, 0), MATCH((YEAR(D35)+11), Variablen!$I$3:$AT$3, 0))="",L35,INDEX(Variablen!$I:$AT, MATCH(M35, Variablen!$A:$A, 0), MATCH((YEAR(D35)+11), Variablen!$I$3:$AT$3, 0))),L35)))*(IF((YEAR(D35)+11)&lt;YEAR(E35),0,IF((YEAR(D35)+11)&gt;YEAR(E35),1,(12-MONTH(E35)+1)/12))) + (Q35)*(IF((YEAR(D35)+11)&lt;YEAR(E35),0,IF((YEAR(D35)+11)&gt;YEAR(E35),1,(12-MONTH(E35)+1)/12))))-((P35)*(IF((YEAR(D35)+11)&lt;YEAR(E35),0,IF((YEAR(D35)+11)&gt;YEAR(E35),1,(12-MONTH(E35)+1)/12))) + (R35)*(IF((YEAR(D35)+11)&lt;YEAR(E35),0,IF((YEAR(D35)+11)&gt;YEAR(E35),1,(12-MONTH(E35)+1)/12))))-(IF(OR(N35="",N35&lt;=0),0,(O35/N35)*(IF(OR(N35="",N35&lt;=0),0,IF((YEAR(D35)+11)&lt;YEAR(E35),0,IF((YEAR(D35)+11)&gt;=YEAR(E35)+N35,0,IF((YEAR(D35)+11)=YEAR(E35),(12-MONTH(E35)+1)/12,1))))))))*TaxRate,0))-IF(11=0,O35,0))</f>
        <v/>
      </c>
      <c r="AE35" s="29">
        <f>IF(A35="","",((K35)*(IF(M35="",L35,IFERROR(IF(INDEX(Variablen!$I:$AT, MATCH(M35, Variablen!$A:$A, 0), MATCH((YEAR(D35)+12), Variablen!$I$3:$AT$3, 0))="",L35,INDEX(Variablen!$I:$AT, MATCH(M35, Variablen!$A:$A, 0), MATCH((YEAR(D35)+12), Variablen!$I$3:$AT$3, 0))),L35)))*(IF((YEAR(D35)+12)&lt;YEAR(E35),0,IF((YEAR(D35)+12)&gt;YEAR(E35),1,(12-MONTH(E35)+1)/12))) + (Q35)*(IF((YEAR(D35)+12)&lt;YEAR(E35),0,IF((YEAR(D35)+12)&gt;YEAR(E35),1,(12-MONTH(E35)+1)/12))))-((P35)*(IF((YEAR(D35)+12)&lt;YEAR(E35),0,IF((YEAR(D35)+12)&gt;YEAR(E35),1,(12-MONTH(E35)+1)/12))) + (R35)*(IF((YEAR(D35)+12)&lt;YEAR(E35),0,IF((YEAR(D35)+12)&gt;YEAR(E35),1,(12-MONTH(E35)+1)/12))))-(IF((((K35)*(IF(M35="",L35,IFERROR(IF(INDEX(Variablen!$I:$AT, MATCH(M35, Variablen!$A:$A, 0), MATCH((YEAR(D35)+12), Variablen!$I$3:$AT$3, 0))="",L35,INDEX(Variablen!$I:$AT, MATCH(M35, Variablen!$A:$A, 0), MATCH((YEAR(D35)+12), Variablen!$I$3:$AT$3, 0))),L35)))*(IF((YEAR(D35)+12)&lt;YEAR(E35),0,IF((YEAR(D35)+12)&gt;YEAR(E35),1,(12-MONTH(E35)+1)/12))) + (Q35)*(IF((YEAR(D35)+12)&lt;YEAR(E35),0,IF((YEAR(D35)+12)&gt;YEAR(E35),1,(12-MONTH(E35)+1)/12))))-((P35)*(IF((YEAR(D35)+12)&lt;YEAR(E35),0,IF((YEAR(D35)+12)&gt;YEAR(E35),1,(12-MONTH(E35)+1)/12))) + (R35)*(IF((YEAR(D35)+12)&lt;YEAR(E35),0,IF((YEAR(D35)+12)&gt;YEAR(E35),1,(12-MONTH(E35)+1)/12))))-(IF(OR(N35="",N35&lt;=0),0,(O35/N35)*(IF(OR(N35="",N35&lt;=0),0,IF((YEAR(D35)+12)&lt;YEAR(E35),0,IF((YEAR(D35)+12)&gt;=YEAR(E35)+N35,0,IF((YEAR(D35)+12)=YEAR(E35),(12-MONTH(E35)+1)/12,1))))))))&gt;0,(((K35)*(IF(M35="",L35,IFERROR(IF(INDEX(Variablen!$I:$AT, MATCH(M35, Variablen!$A:$A, 0), MATCH((YEAR(D35)+12), Variablen!$I$3:$AT$3, 0))="",L35,INDEX(Variablen!$I:$AT, MATCH(M35, Variablen!$A:$A, 0), MATCH((YEAR(D35)+12), Variablen!$I$3:$AT$3, 0))),L35)))*(IF((YEAR(D35)+12)&lt;YEAR(E35),0,IF((YEAR(D35)+12)&gt;YEAR(E35),1,(12-MONTH(E35)+1)/12))) + (Q35)*(IF((YEAR(D35)+12)&lt;YEAR(E35),0,IF((YEAR(D35)+12)&gt;YEAR(E35),1,(12-MONTH(E35)+1)/12))))-((P35)*(IF((YEAR(D35)+12)&lt;YEAR(E35),0,IF((YEAR(D35)+12)&gt;YEAR(E35),1,(12-MONTH(E35)+1)/12))) + (R35)*(IF((YEAR(D35)+12)&lt;YEAR(E35),0,IF((YEAR(D35)+12)&gt;YEAR(E35),1,(12-MONTH(E35)+1)/12))))-(IF(OR(N35="",N35&lt;=0),0,(O35/N35)*(IF(OR(N35="",N35&lt;=0),0,IF((YEAR(D35)+12)&lt;YEAR(E35),0,IF((YEAR(D35)+12)&gt;=YEAR(E35)+N35,0,IF((YEAR(D35)+12)=YEAR(E35),(12-MONTH(E35)+1)/12,1))))))))*TaxRate,0))-IF(12=0,O35,0))</f>
        <v/>
      </c>
      <c r="AF35" s="29">
        <f>IF(A35="","",((K35)*(IF(M35="",L35,IFERROR(IF(INDEX(Variablen!$I:$AT, MATCH(M35, Variablen!$A:$A, 0), MATCH((YEAR(D35)+13), Variablen!$I$3:$AT$3, 0))="",L35,INDEX(Variablen!$I:$AT, MATCH(M35, Variablen!$A:$A, 0), MATCH((YEAR(D35)+13), Variablen!$I$3:$AT$3, 0))),L35)))*(IF((YEAR(D35)+13)&lt;YEAR(E35),0,IF((YEAR(D35)+13)&gt;YEAR(E35),1,(12-MONTH(E35)+1)/12))) + (Q35)*(IF((YEAR(D35)+13)&lt;YEAR(E35),0,IF((YEAR(D35)+13)&gt;YEAR(E35),1,(12-MONTH(E35)+1)/12))))-((P35)*(IF((YEAR(D35)+13)&lt;YEAR(E35),0,IF((YEAR(D35)+13)&gt;YEAR(E35),1,(12-MONTH(E35)+1)/12))) + (R35)*(IF((YEAR(D35)+13)&lt;YEAR(E35),0,IF((YEAR(D35)+13)&gt;YEAR(E35),1,(12-MONTH(E35)+1)/12))))-(IF((((K35)*(IF(M35="",L35,IFERROR(IF(INDEX(Variablen!$I:$AT, MATCH(M35, Variablen!$A:$A, 0), MATCH((YEAR(D35)+13), Variablen!$I$3:$AT$3, 0))="",L35,INDEX(Variablen!$I:$AT, MATCH(M35, Variablen!$A:$A, 0), MATCH((YEAR(D35)+13), Variablen!$I$3:$AT$3, 0))),L35)))*(IF((YEAR(D35)+13)&lt;YEAR(E35),0,IF((YEAR(D35)+13)&gt;YEAR(E35),1,(12-MONTH(E35)+1)/12))) + (Q35)*(IF((YEAR(D35)+13)&lt;YEAR(E35),0,IF((YEAR(D35)+13)&gt;YEAR(E35),1,(12-MONTH(E35)+1)/12))))-((P35)*(IF((YEAR(D35)+13)&lt;YEAR(E35),0,IF((YEAR(D35)+13)&gt;YEAR(E35),1,(12-MONTH(E35)+1)/12))) + (R35)*(IF((YEAR(D35)+13)&lt;YEAR(E35),0,IF((YEAR(D35)+13)&gt;YEAR(E35),1,(12-MONTH(E35)+1)/12))))-(IF(OR(N35="",N35&lt;=0),0,(O35/N35)*(IF(OR(N35="",N35&lt;=0),0,IF((YEAR(D35)+13)&lt;YEAR(E35),0,IF((YEAR(D35)+13)&gt;=YEAR(E35)+N35,0,IF((YEAR(D35)+13)=YEAR(E35),(12-MONTH(E35)+1)/12,1))))))))&gt;0,(((K35)*(IF(M35="",L35,IFERROR(IF(INDEX(Variablen!$I:$AT, MATCH(M35, Variablen!$A:$A, 0), MATCH((YEAR(D35)+13), Variablen!$I$3:$AT$3, 0))="",L35,INDEX(Variablen!$I:$AT, MATCH(M35, Variablen!$A:$A, 0), MATCH((YEAR(D35)+13), Variablen!$I$3:$AT$3, 0))),L35)))*(IF((YEAR(D35)+13)&lt;YEAR(E35),0,IF((YEAR(D35)+13)&gt;YEAR(E35),1,(12-MONTH(E35)+1)/12))) + (Q35)*(IF((YEAR(D35)+13)&lt;YEAR(E35),0,IF((YEAR(D35)+13)&gt;YEAR(E35),1,(12-MONTH(E35)+1)/12))))-((P35)*(IF((YEAR(D35)+13)&lt;YEAR(E35),0,IF((YEAR(D35)+13)&gt;YEAR(E35),1,(12-MONTH(E35)+1)/12))) + (R35)*(IF((YEAR(D35)+13)&lt;YEAR(E35),0,IF((YEAR(D35)+13)&gt;YEAR(E35),1,(12-MONTH(E35)+1)/12))))-(IF(OR(N35="",N35&lt;=0),0,(O35/N35)*(IF(OR(N35="",N35&lt;=0),0,IF((YEAR(D35)+13)&lt;YEAR(E35),0,IF((YEAR(D35)+13)&gt;=YEAR(E35)+N35,0,IF((YEAR(D35)+13)=YEAR(E35),(12-MONTH(E35)+1)/12,1))))))))*TaxRate,0))-IF(13=0,O35,0))</f>
        <v/>
      </c>
      <c r="AG35" s="29">
        <f>IF(A35="","",((K35)*(IF(M35="",L35,IFERROR(IF(INDEX(Variablen!$I:$AT, MATCH(M35, Variablen!$A:$A, 0), MATCH((YEAR(D35)+14), Variablen!$I$3:$AT$3, 0))="",L35,INDEX(Variablen!$I:$AT, MATCH(M35, Variablen!$A:$A, 0), MATCH((YEAR(D35)+14), Variablen!$I$3:$AT$3, 0))),L35)))*(IF((YEAR(D35)+14)&lt;YEAR(E35),0,IF((YEAR(D35)+14)&gt;YEAR(E35),1,(12-MONTH(E35)+1)/12))) + (Q35)*(IF((YEAR(D35)+14)&lt;YEAR(E35),0,IF((YEAR(D35)+14)&gt;YEAR(E35),1,(12-MONTH(E35)+1)/12))))-((P35)*(IF((YEAR(D35)+14)&lt;YEAR(E35),0,IF((YEAR(D35)+14)&gt;YEAR(E35),1,(12-MONTH(E35)+1)/12))) + (R35)*(IF((YEAR(D35)+14)&lt;YEAR(E35),0,IF((YEAR(D35)+14)&gt;YEAR(E35),1,(12-MONTH(E35)+1)/12))))-(IF((((K35)*(IF(M35="",L35,IFERROR(IF(INDEX(Variablen!$I:$AT, MATCH(M35, Variablen!$A:$A, 0), MATCH((YEAR(D35)+14), Variablen!$I$3:$AT$3, 0))="",L35,INDEX(Variablen!$I:$AT, MATCH(M35, Variablen!$A:$A, 0), MATCH((YEAR(D35)+14), Variablen!$I$3:$AT$3, 0))),L35)))*(IF((YEAR(D35)+14)&lt;YEAR(E35),0,IF((YEAR(D35)+14)&gt;YEAR(E35),1,(12-MONTH(E35)+1)/12))) + (Q35)*(IF((YEAR(D35)+14)&lt;YEAR(E35),0,IF((YEAR(D35)+14)&gt;YEAR(E35),1,(12-MONTH(E35)+1)/12))))-((P35)*(IF((YEAR(D35)+14)&lt;YEAR(E35),0,IF((YEAR(D35)+14)&gt;YEAR(E35),1,(12-MONTH(E35)+1)/12))) + (R35)*(IF((YEAR(D35)+14)&lt;YEAR(E35),0,IF((YEAR(D35)+14)&gt;YEAR(E35),1,(12-MONTH(E35)+1)/12))))-(IF(OR(N35="",N35&lt;=0),0,(O35/N35)*(IF(OR(N35="",N35&lt;=0),0,IF((YEAR(D35)+14)&lt;YEAR(E35),0,IF((YEAR(D35)+14)&gt;=YEAR(E35)+N35,0,IF((YEAR(D35)+14)=YEAR(E35),(12-MONTH(E35)+1)/12,1))))))))&gt;0,(((K35)*(IF(M35="",L35,IFERROR(IF(INDEX(Variablen!$I:$AT, MATCH(M35, Variablen!$A:$A, 0), MATCH((YEAR(D35)+14), Variablen!$I$3:$AT$3, 0))="",L35,INDEX(Variablen!$I:$AT, MATCH(M35, Variablen!$A:$A, 0), MATCH((YEAR(D35)+14), Variablen!$I$3:$AT$3, 0))),L35)))*(IF((YEAR(D35)+14)&lt;YEAR(E35),0,IF((YEAR(D35)+14)&gt;YEAR(E35),1,(12-MONTH(E35)+1)/12))) + (Q35)*(IF((YEAR(D35)+14)&lt;YEAR(E35),0,IF((YEAR(D35)+14)&gt;YEAR(E35),1,(12-MONTH(E35)+1)/12))))-((P35)*(IF((YEAR(D35)+14)&lt;YEAR(E35),0,IF((YEAR(D35)+14)&gt;YEAR(E35),1,(12-MONTH(E35)+1)/12))) + (R35)*(IF((YEAR(D35)+14)&lt;YEAR(E35),0,IF((YEAR(D35)+14)&gt;YEAR(E35),1,(12-MONTH(E35)+1)/12))))-(IF(OR(N35="",N35&lt;=0),0,(O35/N35)*(IF(OR(N35="",N35&lt;=0),0,IF((YEAR(D35)+14)&lt;YEAR(E35),0,IF((YEAR(D35)+14)&gt;=YEAR(E35)+N35,0,IF((YEAR(D35)+14)=YEAR(E35),(12-MONTH(E35)+1)/12,1))))))))*TaxRate,0))-IF(14=0,O35,0))</f>
        <v/>
      </c>
      <c r="AH35" s="29">
        <f>IF(A35="","",((K35)*(IF(M35="",L35,IFERROR(IF(INDEX(Variablen!$I:$AT, MATCH(M35, Variablen!$A:$A, 0), MATCH((YEAR(D35)+15), Variablen!$I$3:$AT$3, 0))="",L35,INDEX(Variablen!$I:$AT, MATCH(M35, Variablen!$A:$A, 0), MATCH((YEAR(D35)+15), Variablen!$I$3:$AT$3, 0))),L35)))*(IF((YEAR(D35)+15)&lt;YEAR(E35),0,IF((YEAR(D35)+15)&gt;YEAR(E35),1,(12-MONTH(E35)+1)/12))) + (Q35)*(IF((YEAR(D35)+15)&lt;YEAR(E35),0,IF((YEAR(D35)+15)&gt;YEAR(E35),1,(12-MONTH(E35)+1)/12))))-((P35)*(IF((YEAR(D35)+15)&lt;YEAR(E35),0,IF((YEAR(D35)+15)&gt;YEAR(E35),1,(12-MONTH(E35)+1)/12))) + (R35)*(IF((YEAR(D35)+15)&lt;YEAR(E35),0,IF((YEAR(D35)+15)&gt;YEAR(E35),1,(12-MONTH(E35)+1)/12))))-(IF((((K35)*(IF(M35="",L35,IFERROR(IF(INDEX(Variablen!$I:$AT, MATCH(M35, Variablen!$A:$A, 0), MATCH((YEAR(D35)+15), Variablen!$I$3:$AT$3, 0))="",L35,INDEX(Variablen!$I:$AT, MATCH(M35, Variablen!$A:$A, 0), MATCH((YEAR(D35)+15), Variablen!$I$3:$AT$3, 0))),L35)))*(IF((YEAR(D35)+15)&lt;YEAR(E35),0,IF((YEAR(D35)+15)&gt;YEAR(E35),1,(12-MONTH(E35)+1)/12))) + (Q35)*(IF((YEAR(D35)+15)&lt;YEAR(E35),0,IF((YEAR(D35)+15)&gt;YEAR(E35),1,(12-MONTH(E35)+1)/12))))-((P35)*(IF((YEAR(D35)+15)&lt;YEAR(E35),0,IF((YEAR(D35)+15)&gt;YEAR(E35),1,(12-MONTH(E35)+1)/12))) + (R35)*(IF((YEAR(D35)+15)&lt;YEAR(E35),0,IF((YEAR(D35)+15)&gt;YEAR(E35),1,(12-MONTH(E35)+1)/12))))-(IF(OR(N35="",N35&lt;=0),0,(O35/N35)*(IF(OR(N35="",N35&lt;=0),0,IF((YEAR(D35)+15)&lt;YEAR(E35),0,IF((YEAR(D35)+15)&gt;=YEAR(E35)+N35,0,IF((YEAR(D35)+15)=YEAR(E35),(12-MONTH(E35)+1)/12,1))))))))&gt;0,(((K35)*(IF(M35="",L35,IFERROR(IF(INDEX(Variablen!$I:$AT, MATCH(M35, Variablen!$A:$A, 0), MATCH((YEAR(D35)+15), Variablen!$I$3:$AT$3, 0))="",L35,INDEX(Variablen!$I:$AT, MATCH(M35, Variablen!$A:$A, 0), MATCH((YEAR(D35)+15), Variablen!$I$3:$AT$3, 0))),L35)))*(IF((YEAR(D35)+15)&lt;YEAR(E35),0,IF((YEAR(D35)+15)&gt;YEAR(E35),1,(12-MONTH(E35)+1)/12))) + (Q35)*(IF((YEAR(D35)+15)&lt;YEAR(E35),0,IF((YEAR(D35)+15)&gt;YEAR(E35),1,(12-MONTH(E35)+1)/12))))-((P35)*(IF((YEAR(D35)+15)&lt;YEAR(E35),0,IF((YEAR(D35)+15)&gt;YEAR(E35),1,(12-MONTH(E35)+1)/12))) + (R35)*(IF((YEAR(D35)+15)&lt;YEAR(E35),0,IF((YEAR(D35)+15)&gt;YEAR(E35),1,(12-MONTH(E35)+1)/12))))-(IF(OR(N35="",N35&lt;=0),0,(O35/N35)*(IF(OR(N35="",N35&lt;=0),0,IF((YEAR(D35)+15)&lt;YEAR(E35),0,IF((YEAR(D35)+15)&gt;=YEAR(E35)+N35,0,IF((YEAR(D35)+15)=YEAR(E35),(12-MONTH(E35)+1)/12,1))))))))*TaxRate,0))-IF(15=0,O35,0))</f>
        <v/>
      </c>
      <c r="AI35" s="29">
        <f>IF(A35="","",((K35)*(IF(M35="",L35,IFERROR(IF(INDEX(Variablen!$I:$AT, MATCH(M35, Variablen!$A:$A, 0), MATCH((YEAR(D35)+16), Variablen!$I$3:$AT$3, 0))="",L35,INDEX(Variablen!$I:$AT, MATCH(M35, Variablen!$A:$A, 0), MATCH((YEAR(D35)+16), Variablen!$I$3:$AT$3, 0))),L35)))*(IF((YEAR(D35)+16)&lt;YEAR(E35),0,IF((YEAR(D35)+16)&gt;YEAR(E35),1,(12-MONTH(E35)+1)/12))) + (Q35)*(IF((YEAR(D35)+16)&lt;YEAR(E35),0,IF((YEAR(D35)+16)&gt;YEAR(E35),1,(12-MONTH(E35)+1)/12))))-((P35)*(IF((YEAR(D35)+16)&lt;YEAR(E35),0,IF((YEAR(D35)+16)&gt;YEAR(E35),1,(12-MONTH(E35)+1)/12))) + (R35)*(IF((YEAR(D35)+16)&lt;YEAR(E35),0,IF((YEAR(D35)+16)&gt;YEAR(E35),1,(12-MONTH(E35)+1)/12))))-(IF((((K35)*(IF(M35="",L35,IFERROR(IF(INDEX(Variablen!$I:$AT, MATCH(M35, Variablen!$A:$A, 0), MATCH((YEAR(D35)+16), Variablen!$I$3:$AT$3, 0))="",L35,INDEX(Variablen!$I:$AT, MATCH(M35, Variablen!$A:$A, 0), MATCH((YEAR(D35)+16), Variablen!$I$3:$AT$3, 0))),L35)))*(IF((YEAR(D35)+16)&lt;YEAR(E35),0,IF((YEAR(D35)+16)&gt;YEAR(E35),1,(12-MONTH(E35)+1)/12))) + (Q35)*(IF((YEAR(D35)+16)&lt;YEAR(E35),0,IF((YEAR(D35)+16)&gt;YEAR(E35),1,(12-MONTH(E35)+1)/12))))-((P35)*(IF((YEAR(D35)+16)&lt;YEAR(E35),0,IF((YEAR(D35)+16)&gt;YEAR(E35),1,(12-MONTH(E35)+1)/12))) + (R35)*(IF((YEAR(D35)+16)&lt;YEAR(E35),0,IF((YEAR(D35)+16)&gt;YEAR(E35),1,(12-MONTH(E35)+1)/12))))-(IF(OR(N35="",N35&lt;=0),0,(O35/N35)*(IF(OR(N35="",N35&lt;=0),0,IF((YEAR(D35)+16)&lt;YEAR(E35),0,IF((YEAR(D35)+16)&gt;=YEAR(E35)+N35,0,IF((YEAR(D35)+16)=YEAR(E35),(12-MONTH(E35)+1)/12,1))))))))&gt;0,(((K35)*(IF(M35="",L35,IFERROR(IF(INDEX(Variablen!$I:$AT, MATCH(M35, Variablen!$A:$A, 0), MATCH((YEAR(D35)+16), Variablen!$I$3:$AT$3, 0))="",L35,INDEX(Variablen!$I:$AT, MATCH(M35, Variablen!$A:$A, 0), MATCH((YEAR(D35)+16), Variablen!$I$3:$AT$3, 0))),L35)))*(IF((YEAR(D35)+16)&lt;YEAR(E35),0,IF((YEAR(D35)+16)&gt;YEAR(E35),1,(12-MONTH(E35)+1)/12))) + (Q35)*(IF((YEAR(D35)+16)&lt;YEAR(E35),0,IF((YEAR(D35)+16)&gt;YEAR(E35),1,(12-MONTH(E35)+1)/12))))-((P35)*(IF((YEAR(D35)+16)&lt;YEAR(E35),0,IF((YEAR(D35)+16)&gt;YEAR(E35),1,(12-MONTH(E35)+1)/12))) + (R35)*(IF((YEAR(D35)+16)&lt;YEAR(E35),0,IF((YEAR(D35)+16)&gt;YEAR(E35),1,(12-MONTH(E35)+1)/12))))-(IF(OR(N35="",N35&lt;=0),0,(O35/N35)*(IF(OR(N35="",N35&lt;=0),0,IF((YEAR(D35)+16)&lt;YEAR(E35),0,IF((YEAR(D35)+16)&gt;=YEAR(E35)+N35,0,IF((YEAR(D35)+16)=YEAR(E35),(12-MONTH(E35)+1)/12,1))))))))*TaxRate,0))-IF(16=0,O35,0))</f>
        <v/>
      </c>
      <c r="AJ35" s="29">
        <f>IF(A35="","",((K35)*(IF(M35="",L35,IFERROR(IF(INDEX(Variablen!$I:$AT, MATCH(M35, Variablen!$A:$A, 0), MATCH((YEAR(D35)+17), Variablen!$I$3:$AT$3, 0))="",L35,INDEX(Variablen!$I:$AT, MATCH(M35, Variablen!$A:$A, 0), MATCH((YEAR(D35)+17), Variablen!$I$3:$AT$3, 0))),L35)))*(IF((YEAR(D35)+17)&lt;YEAR(E35),0,IF((YEAR(D35)+17)&gt;YEAR(E35),1,(12-MONTH(E35)+1)/12))) + (Q35)*(IF((YEAR(D35)+17)&lt;YEAR(E35),0,IF((YEAR(D35)+17)&gt;YEAR(E35),1,(12-MONTH(E35)+1)/12))))-((P35)*(IF((YEAR(D35)+17)&lt;YEAR(E35),0,IF((YEAR(D35)+17)&gt;YEAR(E35),1,(12-MONTH(E35)+1)/12))) + (R35)*(IF((YEAR(D35)+17)&lt;YEAR(E35),0,IF((YEAR(D35)+17)&gt;YEAR(E35),1,(12-MONTH(E35)+1)/12))))-(IF((((K35)*(IF(M35="",L35,IFERROR(IF(INDEX(Variablen!$I:$AT, MATCH(M35, Variablen!$A:$A, 0), MATCH((YEAR(D35)+17), Variablen!$I$3:$AT$3, 0))="",L35,INDEX(Variablen!$I:$AT, MATCH(M35, Variablen!$A:$A, 0), MATCH((YEAR(D35)+17), Variablen!$I$3:$AT$3, 0))),L35)))*(IF((YEAR(D35)+17)&lt;YEAR(E35),0,IF((YEAR(D35)+17)&gt;YEAR(E35),1,(12-MONTH(E35)+1)/12))) + (Q35)*(IF((YEAR(D35)+17)&lt;YEAR(E35),0,IF((YEAR(D35)+17)&gt;YEAR(E35),1,(12-MONTH(E35)+1)/12))))-((P35)*(IF((YEAR(D35)+17)&lt;YEAR(E35),0,IF((YEAR(D35)+17)&gt;YEAR(E35),1,(12-MONTH(E35)+1)/12))) + (R35)*(IF((YEAR(D35)+17)&lt;YEAR(E35),0,IF((YEAR(D35)+17)&gt;YEAR(E35),1,(12-MONTH(E35)+1)/12))))-(IF(OR(N35="",N35&lt;=0),0,(O35/N35)*(IF(OR(N35="",N35&lt;=0),0,IF((YEAR(D35)+17)&lt;YEAR(E35),0,IF((YEAR(D35)+17)&gt;=YEAR(E35)+N35,0,IF((YEAR(D35)+17)=YEAR(E35),(12-MONTH(E35)+1)/12,1))))))))&gt;0,(((K35)*(IF(M35="",L35,IFERROR(IF(INDEX(Variablen!$I:$AT, MATCH(M35, Variablen!$A:$A, 0), MATCH((YEAR(D35)+17), Variablen!$I$3:$AT$3, 0))="",L35,INDEX(Variablen!$I:$AT, MATCH(M35, Variablen!$A:$A, 0), MATCH((YEAR(D35)+17), Variablen!$I$3:$AT$3, 0))),L35)))*(IF((YEAR(D35)+17)&lt;YEAR(E35),0,IF((YEAR(D35)+17)&gt;YEAR(E35),1,(12-MONTH(E35)+1)/12))) + (Q35)*(IF((YEAR(D35)+17)&lt;YEAR(E35),0,IF((YEAR(D35)+17)&gt;YEAR(E35),1,(12-MONTH(E35)+1)/12))))-((P35)*(IF((YEAR(D35)+17)&lt;YEAR(E35),0,IF((YEAR(D35)+17)&gt;YEAR(E35),1,(12-MONTH(E35)+1)/12))) + (R35)*(IF((YEAR(D35)+17)&lt;YEAR(E35),0,IF((YEAR(D35)+17)&gt;YEAR(E35),1,(12-MONTH(E35)+1)/12))))-(IF(OR(N35="",N35&lt;=0),0,(O35/N35)*(IF(OR(N35="",N35&lt;=0),0,IF((YEAR(D35)+17)&lt;YEAR(E35),0,IF((YEAR(D35)+17)&gt;=YEAR(E35)+N35,0,IF((YEAR(D35)+17)=YEAR(E35),(12-MONTH(E35)+1)/12,1))))))))*TaxRate,0))-IF(17=0,O35,0))</f>
        <v/>
      </c>
      <c r="AK35" s="29">
        <f>IF(A35="","",((K35)*(IF(M35="",L35,IFERROR(IF(INDEX(Variablen!$I:$AT, MATCH(M35, Variablen!$A:$A, 0), MATCH((YEAR(D35)+18), Variablen!$I$3:$AT$3, 0))="",L35,INDEX(Variablen!$I:$AT, MATCH(M35, Variablen!$A:$A, 0), MATCH((YEAR(D35)+18), Variablen!$I$3:$AT$3, 0))),L35)))*(IF((YEAR(D35)+18)&lt;YEAR(E35),0,IF((YEAR(D35)+18)&gt;YEAR(E35),1,(12-MONTH(E35)+1)/12))) + (Q35)*(IF((YEAR(D35)+18)&lt;YEAR(E35),0,IF((YEAR(D35)+18)&gt;YEAR(E35),1,(12-MONTH(E35)+1)/12))))-((P35)*(IF((YEAR(D35)+18)&lt;YEAR(E35),0,IF((YEAR(D35)+18)&gt;YEAR(E35),1,(12-MONTH(E35)+1)/12))) + (R35)*(IF((YEAR(D35)+18)&lt;YEAR(E35),0,IF((YEAR(D35)+18)&gt;YEAR(E35),1,(12-MONTH(E35)+1)/12))))-(IF((((K35)*(IF(M35="",L35,IFERROR(IF(INDEX(Variablen!$I:$AT, MATCH(M35, Variablen!$A:$A, 0), MATCH((YEAR(D35)+18), Variablen!$I$3:$AT$3, 0))="",L35,INDEX(Variablen!$I:$AT, MATCH(M35, Variablen!$A:$A, 0), MATCH((YEAR(D35)+18), Variablen!$I$3:$AT$3, 0))),L35)))*(IF((YEAR(D35)+18)&lt;YEAR(E35),0,IF((YEAR(D35)+18)&gt;YEAR(E35),1,(12-MONTH(E35)+1)/12))) + (Q35)*(IF((YEAR(D35)+18)&lt;YEAR(E35),0,IF((YEAR(D35)+18)&gt;YEAR(E35),1,(12-MONTH(E35)+1)/12))))-((P35)*(IF((YEAR(D35)+18)&lt;YEAR(E35),0,IF((YEAR(D35)+18)&gt;YEAR(E35),1,(12-MONTH(E35)+1)/12))) + (R35)*(IF((YEAR(D35)+18)&lt;YEAR(E35),0,IF((YEAR(D35)+18)&gt;YEAR(E35),1,(12-MONTH(E35)+1)/12))))-(IF(OR(N35="",N35&lt;=0),0,(O35/N35)*(IF(OR(N35="",N35&lt;=0),0,IF((YEAR(D35)+18)&lt;YEAR(E35),0,IF((YEAR(D35)+18)&gt;=YEAR(E35)+N35,0,IF((YEAR(D35)+18)=YEAR(E35),(12-MONTH(E35)+1)/12,1))))))))&gt;0,(((K35)*(IF(M35="",L35,IFERROR(IF(INDEX(Variablen!$I:$AT, MATCH(M35, Variablen!$A:$A, 0), MATCH((YEAR(D35)+18), Variablen!$I$3:$AT$3, 0))="",L35,INDEX(Variablen!$I:$AT, MATCH(M35, Variablen!$A:$A, 0), MATCH((YEAR(D35)+18), Variablen!$I$3:$AT$3, 0))),L35)))*(IF((YEAR(D35)+18)&lt;YEAR(E35),0,IF((YEAR(D35)+18)&gt;YEAR(E35),1,(12-MONTH(E35)+1)/12))) + (Q35)*(IF((YEAR(D35)+18)&lt;YEAR(E35),0,IF((YEAR(D35)+18)&gt;YEAR(E35),1,(12-MONTH(E35)+1)/12))))-((P35)*(IF((YEAR(D35)+18)&lt;YEAR(E35),0,IF((YEAR(D35)+18)&gt;YEAR(E35),1,(12-MONTH(E35)+1)/12))) + (R35)*(IF((YEAR(D35)+18)&lt;YEAR(E35),0,IF((YEAR(D35)+18)&gt;YEAR(E35),1,(12-MONTH(E35)+1)/12))))-(IF(OR(N35="",N35&lt;=0),0,(O35/N35)*(IF(OR(N35="",N35&lt;=0),0,IF((YEAR(D35)+18)&lt;YEAR(E35),0,IF((YEAR(D35)+18)&gt;=YEAR(E35)+N35,0,IF((YEAR(D35)+18)=YEAR(E35),(12-MONTH(E35)+1)/12,1))))))))*TaxRate,0))-IF(18=0,O35,0))</f>
        <v/>
      </c>
      <c r="AL35" s="29">
        <f>IF(A35="","",((K35)*(IF(M35="",L35,IFERROR(IF(INDEX(Variablen!$I:$AT, MATCH(M35, Variablen!$A:$A, 0), MATCH((YEAR(D35)+19), Variablen!$I$3:$AT$3, 0))="",L35,INDEX(Variablen!$I:$AT, MATCH(M35, Variablen!$A:$A, 0), MATCH((YEAR(D35)+19), Variablen!$I$3:$AT$3, 0))),L35)))*(IF((YEAR(D35)+19)&lt;YEAR(E35),0,IF((YEAR(D35)+19)&gt;YEAR(E35),1,(12-MONTH(E35)+1)/12))) + (Q35)*(IF((YEAR(D35)+19)&lt;YEAR(E35),0,IF((YEAR(D35)+19)&gt;YEAR(E35),1,(12-MONTH(E35)+1)/12))))-((P35)*(IF((YEAR(D35)+19)&lt;YEAR(E35),0,IF((YEAR(D35)+19)&gt;YEAR(E35),1,(12-MONTH(E35)+1)/12))) + (R35)*(IF((YEAR(D35)+19)&lt;YEAR(E35),0,IF((YEAR(D35)+19)&gt;YEAR(E35),1,(12-MONTH(E35)+1)/12))))-(IF((((K35)*(IF(M35="",L35,IFERROR(IF(INDEX(Variablen!$I:$AT, MATCH(M35, Variablen!$A:$A, 0), MATCH((YEAR(D35)+19), Variablen!$I$3:$AT$3, 0))="",L35,INDEX(Variablen!$I:$AT, MATCH(M35, Variablen!$A:$A, 0), MATCH((YEAR(D35)+19), Variablen!$I$3:$AT$3, 0))),L35)))*(IF((YEAR(D35)+19)&lt;YEAR(E35),0,IF((YEAR(D35)+19)&gt;YEAR(E35),1,(12-MONTH(E35)+1)/12))) + (Q35)*(IF((YEAR(D35)+19)&lt;YEAR(E35),0,IF((YEAR(D35)+19)&gt;YEAR(E35),1,(12-MONTH(E35)+1)/12))))-((P35)*(IF((YEAR(D35)+19)&lt;YEAR(E35),0,IF((YEAR(D35)+19)&gt;YEAR(E35),1,(12-MONTH(E35)+1)/12))) + (R35)*(IF((YEAR(D35)+19)&lt;YEAR(E35),0,IF((YEAR(D35)+19)&gt;YEAR(E35),1,(12-MONTH(E35)+1)/12))))-(IF(OR(N35="",N35&lt;=0),0,(O35/N35)*(IF(OR(N35="",N35&lt;=0),0,IF((YEAR(D35)+19)&lt;YEAR(E35),0,IF((YEAR(D35)+19)&gt;=YEAR(E35)+N35,0,IF((YEAR(D35)+19)=YEAR(E35),(12-MONTH(E35)+1)/12,1))))))))&gt;0,(((K35)*(IF(M35="",L35,IFERROR(IF(INDEX(Variablen!$I:$AT, MATCH(M35, Variablen!$A:$A, 0), MATCH((YEAR(D35)+19), Variablen!$I$3:$AT$3, 0))="",L35,INDEX(Variablen!$I:$AT, MATCH(M35, Variablen!$A:$A, 0), MATCH((YEAR(D35)+19), Variablen!$I$3:$AT$3, 0))),L35)))*(IF((YEAR(D35)+19)&lt;YEAR(E35),0,IF((YEAR(D35)+19)&gt;YEAR(E35),1,(12-MONTH(E35)+1)/12))) + (Q35)*(IF((YEAR(D35)+19)&lt;YEAR(E35),0,IF((YEAR(D35)+19)&gt;YEAR(E35),1,(12-MONTH(E35)+1)/12))))-((P35)*(IF((YEAR(D35)+19)&lt;YEAR(E35),0,IF((YEAR(D35)+19)&gt;YEAR(E35),1,(12-MONTH(E35)+1)/12))) + (R35)*(IF((YEAR(D35)+19)&lt;YEAR(E35),0,IF((YEAR(D35)+19)&gt;YEAR(E35),1,(12-MONTH(E35)+1)/12))))-(IF(OR(N35="",N35&lt;=0),0,(O35/N35)*(IF(OR(N35="",N35&lt;=0),0,IF((YEAR(D35)+19)&lt;YEAR(E35),0,IF((YEAR(D35)+19)&gt;=YEAR(E35)+N35,0,IF((YEAR(D35)+19)=YEAR(E35),(12-MONTH(E35)+1)/12,1))))))))*TaxRate,0))-IF(19=0,O35,0))</f>
        <v/>
      </c>
      <c r="AM35" s="29">
        <f>IF(A35="","",((K35)*(IF(M35="",L35,IFERROR(IF(INDEX(Variablen!$I:$AT, MATCH(M35, Variablen!$A:$A, 0), MATCH((YEAR(D35)+20), Variablen!$I$3:$AT$3, 0))="",L35,INDEX(Variablen!$I:$AT, MATCH(M35, Variablen!$A:$A, 0), MATCH((YEAR(D35)+20), Variablen!$I$3:$AT$3, 0))),L35)))*(IF((YEAR(D35)+20)&lt;YEAR(E35),0,IF((YEAR(D35)+20)&gt;YEAR(E35),1,(12-MONTH(E35)+1)/12))) + (Q35)*(IF((YEAR(D35)+20)&lt;YEAR(E35),0,IF((YEAR(D35)+20)&gt;YEAR(E35),1,(12-MONTH(E35)+1)/12))))-((P35)*(IF((YEAR(D35)+20)&lt;YEAR(E35),0,IF((YEAR(D35)+20)&gt;YEAR(E35),1,(12-MONTH(E35)+1)/12))) + (R35)*(IF((YEAR(D35)+20)&lt;YEAR(E35),0,IF((YEAR(D35)+20)&gt;YEAR(E35),1,(12-MONTH(E35)+1)/12))))-(IF((((K35)*(IF(M35="",L35,IFERROR(IF(INDEX(Variablen!$I:$AT, MATCH(M35, Variablen!$A:$A, 0), MATCH((YEAR(D35)+20), Variablen!$I$3:$AT$3, 0))="",L35,INDEX(Variablen!$I:$AT, MATCH(M35, Variablen!$A:$A, 0), MATCH((YEAR(D35)+20), Variablen!$I$3:$AT$3, 0))),L35)))*(IF((YEAR(D35)+20)&lt;YEAR(E35),0,IF((YEAR(D35)+20)&gt;YEAR(E35),1,(12-MONTH(E35)+1)/12))) + (Q35)*(IF((YEAR(D35)+20)&lt;YEAR(E35),0,IF((YEAR(D35)+20)&gt;YEAR(E35),1,(12-MONTH(E35)+1)/12))))-((P35)*(IF((YEAR(D35)+20)&lt;YEAR(E35),0,IF((YEAR(D35)+20)&gt;YEAR(E35),1,(12-MONTH(E35)+1)/12))) + (R35)*(IF((YEAR(D35)+20)&lt;YEAR(E35),0,IF((YEAR(D35)+20)&gt;YEAR(E35),1,(12-MONTH(E35)+1)/12))))-(IF(OR(N35="",N35&lt;=0),0,(O35/N35)*(IF(OR(N35="",N35&lt;=0),0,IF((YEAR(D35)+20)&lt;YEAR(E35),0,IF((YEAR(D35)+20)&gt;=YEAR(E35)+N35,0,IF((YEAR(D35)+20)=YEAR(E35),(12-MONTH(E35)+1)/12,1))))))))&gt;0,(((K35)*(IF(M35="",L35,IFERROR(IF(INDEX(Variablen!$I:$AT, MATCH(M35, Variablen!$A:$A, 0), MATCH((YEAR(D35)+20), Variablen!$I$3:$AT$3, 0))="",L35,INDEX(Variablen!$I:$AT, MATCH(M35, Variablen!$A:$A, 0), MATCH((YEAR(D35)+20), Variablen!$I$3:$AT$3, 0))),L35)))*(IF((YEAR(D35)+20)&lt;YEAR(E35),0,IF((YEAR(D35)+20)&gt;YEAR(E35),1,(12-MONTH(E35)+1)/12))) + (Q35)*(IF((YEAR(D35)+20)&lt;YEAR(E35),0,IF((YEAR(D35)+20)&gt;YEAR(E35),1,(12-MONTH(E35)+1)/12))))-((P35)*(IF((YEAR(D35)+20)&lt;YEAR(E35),0,IF((YEAR(D35)+20)&gt;YEAR(E35),1,(12-MONTH(E35)+1)/12))) + (R35)*(IF((YEAR(D35)+20)&lt;YEAR(E35),0,IF((YEAR(D35)+20)&gt;YEAR(E35),1,(12-MONTH(E35)+1)/12))))-(IF(OR(N35="",N35&lt;=0),0,(O35/N35)*(IF(OR(N35="",N35&lt;=0),0,IF((YEAR(D35)+20)&lt;YEAR(E35),0,IF((YEAR(D35)+20)&gt;=YEAR(E35)+N35,0,IF((YEAR(D35)+20)=YEAR(E35),(12-MONTH(E35)+1)/12,1))))))))*TaxRate,0))-IF(20=0,O35,0))</f>
        <v/>
      </c>
      <c r="AN35" s="29">
        <f>IF(A35="","",S35)</f>
        <v/>
      </c>
      <c r="AO35" s="29">
        <f>IF(A35="","",AN35+T35)</f>
        <v/>
      </c>
      <c r="AP35" s="29">
        <f>IF(A35="","",AO35+U35)</f>
        <v/>
      </c>
      <c r="AQ35" s="29">
        <f>IF(A35="","",AP35+V35)</f>
        <v/>
      </c>
      <c r="AR35" s="29">
        <f>IF(A35="","",AQ35+W35)</f>
        <v/>
      </c>
      <c r="AS35" s="29">
        <f>IF(A35="","",AR35+X35)</f>
        <v/>
      </c>
      <c r="AT35" s="29">
        <f>IF(A35="","",AS35+Y35)</f>
        <v/>
      </c>
      <c r="AU35" s="29">
        <f>IF(A35="","",AT35+Z35)</f>
        <v/>
      </c>
      <c r="AV35" s="29">
        <f>IF(A35="","",AU35+AA35)</f>
        <v/>
      </c>
      <c r="AW35" s="29">
        <f>IF(A35="","",AV35+AB35)</f>
        <v/>
      </c>
      <c r="AX35" s="29">
        <f>IF(A35="","",AW35+AC35)</f>
        <v/>
      </c>
      <c r="AY35" s="29">
        <f>IF(A35="","",AX35+AD35)</f>
        <v/>
      </c>
      <c r="AZ35" s="29">
        <f>IF(A35="","",AY35+AE35)</f>
        <v/>
      </c>
      <c r="BA35" s="29">
        <f>IF(A35="","",AZ35+AF35)</f>
        <v/>
      </c>
      <c r="BB35" s="29">
        <f>IF(A35="","",BA35+AG35)</f>
        <v/>
      </c>
      <c r="BC35" s="29">
        <f>IF(A35="","",BB35+AH35)</f>
        <v/>
      </c>
      <c r="BD35" s="29">
        <f>IF(A35="","",BC35+AI35)</f>
        <v/>
      </c>
      <c r="BE35" s="29">
        <f>IF(A35="","",BD35+AJ35)</f>
        <v/>
      </c>
      <c r="BF35" s="29">
        <f>IF(A35="","",BE35+AK35)</f>
        <v/>
      </c>
      <c r="BG35" s="29">
        <f>IF(A35="","",BF35+AL35)</f>
        <v/>
      </c>
      <c r="BH35" s="29">
        <f>IF(A35="","",BG35+AM35)</f>
        <v/>
      </c>
      <c r="BI35" s="36">
        <f>IF(A35="","",(K35)*(IF((YEAR(D35)+0)&lt;YEAR(E35),0,IF((YEAR(D35)+0)&gt;YEAR(E35),1,(12-MONTH(E35)+1)/12)))*(1/(1+DiscountRate)^0))</f>
        <v/>
      </c>
      <c r="BJ35" s="36">
        <f>IF(A35="","",(K35)*(IF((YEAR(D35)+1)&lt;YEAR(E35),0,IF((YEAR(D35)+1)&gt;YEAR(E35),1,(12-MONTH(E35)+1)/12)))*(1/(1+DiscountRate)^1))</f>
        <v/>
      </c>
      <c r="BK35" s="36">
        <f>IF(A35="","",(K35)*(IF((YEAR(D35)+2)&lt;YEAR(E35),0,IF((YEAR(D35)+2)&gt;YEAR(E35),1,(12-MONTH(E35)+1)/12)))*(1/(1+DiscountRate)^2))</f>
        <v/>
      </c>
      <c r="BL35" s="36">
        <f>IF(A35="","",(K35)*(IF((YEAR(D35)+3)&lt;YEAR(E35),0,IF((YEAR(D35)+3)&gt;YEAR(E35),1,(12-MONTH(E35)+1)/12)))*(1/(1+DiscountRate)^3))</f>
        <v/>
      </c>
      <c r="BM35" s="36">
        <f>IF(A35="","",(K35)*(IF((YEAR(D35)+4)&lt;YEAR(E35),0,IF((YEAR(D35)+4)&gt;YEAR(E35),1,(12-MONTH(E35)+1)/12)))*(1/(1+DiscountRate)^4))</f>
        <v/>
      </c>
      <c r="BN35" s="36">
        <f>IF(A35="","",(K35)*(IF((YEAR(D35)+5)&lt;YEAR(E35),0,IF((YEAR(D35)+5)&gt;YEAR(E35),1,(12-MONTH(E35)+1)/12)))*(1/(1+DiscountRate)^5))</f>
        <v/>
      </c>
      <c r="BO35" s="36">
        <f>IF(A35="","",(K35)*(IF((YEAR(D35)+6)&lt;YEAR(E35),0,IF((YEAR(D35)+6)&gt;YEAR(E35),1,(12-MONTH(E35)+1)/12)))*(1/(1+DiscountRate)^6))</f>
        <v/>
      </c>
      <c r="BP35" s="36">
        <f>IF(A35="","",(K35)*(IF((YEAR(D35)+7)&lt;YEAR(E35),0,IF((YEAR(D35)+7)&gt;YEAR(E35),1,(12-MONTH(E35)+1)/12)))*(1/(1+DiscountRate)^7))</f>
        <v/>
      </c>
      <c r="BQ35" s="36">
        <f>IF(A35="","",(K35)*(IF((YEAR(D35)+8)&lt;YEAR(E35),0,IF((YEAR(D35)+8)&gt;YEAR(E35),1,(12-MONTH(E35)+1)/12)))*(1/(1+DiscountRate)^8))</f>
        <v/>
      </c>
      <c r="BR35" s="36">
        <f>IF(A35="","",(K35)*(IF((YEAR(D35)+9)&lt;YEAR(E35),0,IF((YEAR(D35)+9)&gt;YEAR(E35),1,(12-MONTH(E35)+1)/12)))*(1/(1+DiscountRate)^9))</f>
        <v/>
      </c>
      <c r="BS35" s="36">
        <f>IF(A35="","",(K35)*(IF((YEAR(D35)+10)&lt;YEAR(E35),0,IF((YEAR(D35)+10)&gt;YEAR(E35),1,(12-MONTH(E35)+1)/12)))*(1/(1+DiscountRate)^10))</f>
        <v/>
      </c>
      <c r="BT35" s="36">
        <f>IF(A35="","",(K35)*(IF((YEAR(D35)+11)&lt;YEAR(E35),0,IF((YEAR(D35)+11)&gt;YEAR(E35),1,(12-MONTH(E35)+1)/12)))*(1/(1+DiscountRate)^11))</f>
        <v/>
      </c>
      <c r="BU35" s="36">
        <f>IF(A35="","",(K35)*(IF((YEAR(D35)+12)&lt;YEAR(E35),0,IF((YEAR(D35)+12)&gt;YEAR(E35),1,(12-MONTH(E35)+1)/12)))*(1/(1+DiscountRate)^12))</f>
        <v/>
      </c>
      <c r="BV35" s="36">
        <f>IF(A35="","",(K35)*(IF((YEAR(D35)+13)&lt;YEAR(E35),0,IF((YEAR(D35)+13)&gt;YEAR(E35),1,(12-MONTH(E35)+1)/12)))*(1/(1+DiscountRate)^13))</f>
        <v/>
      </c>
      <c r="BW35" s="36">
        <f>IF(A35="","",(K35)*(IF((YEAR(D35)+14)&lt;YEAR(E35),0,IF((YEAR(D35)+14)&gt;YEAR(E35),1,(12-MONTH(E35)+1)/12)))*(1/(1+DiscountRate)^14))</f>
        <v/>
      </c>
      <c r="BX35" s="36">
        <f>IF(A35="","",(K35)*(IF((YEAR(D35)+15)&lt;YEAR(E35),0,IF((YEAR(D35)+15)&gt;YEAR(E35),1,(12-MONTH(E35)+1)/12)))*(1/(1+DiscountRate)^15))</f>
        <v/>
      </c>
      <c r="BY35" s="36">
        <f>IF(A35="","",(K35)*(IF((YEAR(D35)+16)&lt;YEAR(E35),0,IF((YEAR(D35)+16)&gt;YEAR(E35),1,(12-MONTH(E35)+1)/12)))*(1/(1+DiscountRate)^16))</f>
        <v/>
      </c>
      <c r="BZ35" s="36">
        <f>IF(A35="","",(K35)*(IF((YEAR(D35)+17)&lt;YEAR(E35),0,IF((YEAR(D35)+17)&gt;YEAR(E35),1,(12-MONTH(E35)+1)/12)))*(1/(1+DiscountRate)^17))</f>
        <v/>
      </c>
      <c r="CA35" s="36">
        <f>IF(A35="","",(K35)*(IF((YEAR(D35)+18)&lt;YEAR(E35),0,IF((YEAR(D35)+18)&gt;YEAR(E35),1,(12-MONTH(E35)+1)/12)))*(1/(1+DiscountRate)^18))</f>
        <v/>
      </c>
      <c r="CB35" s="36">
        <f>IF(A35="","",(K35)*(IF((YEAR(D35)+19)&lt;YEAR(E35),0,IF((YEAR(D35)+19)&gt;YEAR(E35),1,(12-MONTH(E35)+1)/12)))*(1/(1+DiscountRate)^19))</f>
        <v/>
      </c>
      <c r="CC35" s="36">
        <f>IF(A35="","",(K35)*(IF((YEAR(D35)+20)&lt;YEAR(E35),0,IF((YEAR(D35)+20)&gt;YEAR(E35),1,(12-MONTH(E35)+1)/12)))*(1/(1+DiscountRate)^20))</f>
        <v/>
      </c>
      <c r="CD35" s="29">
        <f>IF(A35="","",S35/(1+DiscountRate)^0+T35/(1+DiscountRate)^1+U35/(1+DiscountRate)^2+V35/(1+DiscountRate)^3+W35/(1+DiscountRate)^4+X35/(1+DiscountRate)^5+Y35/(1+DiscountRate)^6+Z35/(1+DiscountRate)^7+AA35/(1+DiscountRate)^8+AB35/(1+DiscountRate)^9+AC35/(1+DiscountRate)^10+AD35/(1+DiscountRate)^11+AE35/(1+DiscountRate)^12+AF35/(1+DiscountRate)^13+AG35/(1+DiscountRate)^14+AH35/(1+DiscountRate)^15+AI35/(1+DiscountRate)^16+AJ35/(1+DiscountRate)^17+AK35/(1+DiscountRate)^18+AL35/(1+DiscountRate)^19+AM35/(1+DiscountRate)^20)</f>
        <v/>
      </c>
      <c r="CE35" s="37">
        <f>IF(A35="","",IFERROR(IRR(OFFSET(S35,0,0,1,MIN(HorizonYears,20)+1)),"n/a"))</f>
        <v/>
      </c>
      <c r="CF35" s="28">
        <f>IF(A35="","",IFERROR(MATCH(TRUE,OFFSET(AN35,0,0,1,MIN(HorizonYears,20)+1)&gt;=0,0)-1,"n/a"))</f>
        <v/>
      </c>
      <c r="CG35" s="36">
        <f>IF(A35="","",SUM(OFFSET(BI35,0,0,1,MIN(HorizonYears,20)+1)))</f>
        <v/>
      </c>
      <c r="CH35" s="36">
        <f>IF(A35="","",IFERROR(-CD35/CG35,"n/a"))</f>
        <v/>
      </c>
    </row>
    <row r="36">
      <c r="A36" s="6">
        <f>Actions!A34</f>
        <v/>
      </c>
      <c r="B36" s="6">
        <f>Actions!B34</f>
        <v/>
      </c>
      <c r="C36" s="6">
        <f>Actions!D34</f>
        <v/>
      </c>
      <c r="D36" s="35">
        <f>Actions!E34</f>
        <v/>
      </c>
      <c r="E36" s="35">
        <f>Actions!F34</f>
        <v/>
      </c>
      <c r="F36" s="6">
        <f>Actions!G34</f>
        <v/>
      </c>
      <c r="G36" s="6">
        <f>Actions!H34</f>
        <v/>
      </c>
      <c r="H36" s="29">
        <f>Actions!I34</f>
        <v/>
      </c>
      <c r="I36" s="6">
        <f>Actions!J34</f>
        <v/>
      </c>
      <c r="J36" s="16">
        <f>Actions!K34</f>
        <v/>
      </c>
      <c r="K36" s="16">
        <f>IF(A36="","",IF(I36="%",H36*J36,J36))</f>
        <v/>
      </c>
      <c r="L36" s="16">
        <f>Actions!L34</f>
        <v/>
      </c>
      <c r="M36" s="6">
        <f>Actions!M34</f>
        <v/>
      </c>
      <c r="N36" s="28">
        <f>Actions!N34</f>
        <v/>
      </c>
      <c r="O36" s="29">
        <f>Actions!T34</f>
        <v/>
      </c>
      <c r="P36" s="29">
        <f>Actions!Y34</f>
        <v/>
      </c>
      <c r="Q36" s="29">
        <f>Actions!Z34</f>
        <v/>
      </c>
      <c r="R36" s="29">
        <f>Actions!AA34</f>
        <v/>
      </c>
      <c r="S36" s="29">
        <f>IF(A36="","",((K36)*(IF(M36="",L36,IFERROR(IF(INDEX(Variablen!$I:$AT, MATCH(M36, Variablen!$A:$A, 0), MATCH((YEAR(D36)+0), Variablen!$I$3:$AT$3, 0))="",L36,INDEX(Variablen!$I:$AT, MATCH(M36, Variablen!$A:$A, 0), MATCH((YEAR(D36)+0), Variablen!$I$3:$AT$3, 0))),L36)))*(IF((YEAR(D36)+0)&lt;YEAR(E36),0,IF((YEAR(D36)+0)&gt;YEAR(E36),1,(12-MONTH(E36)+1)/12))) + (Q36)*(IF((YEAR(D36)+0)&lt;YEAR(E36),0,IF((YEAR(D36)+0)&gt;YEAR(E36),1,(12-MONTH(E36)+1)/12))))-((P36)*(IF((YEAR(D36)+0)&lt;YEAR(E36),0,IF((YEAR(D36)+0)&gt;YEAR(E36),1,(12-MONTH(E36)+1)/12))) + (R36)*(IF((YEAR(D36)+0)&lt;YEAR(E36),0,IF((YEAR(D36)+0)&gt;YEAR(E36),1,(12-MONTH(E36)+1)/12))))-(IF((((K36)*(IF(M36="",L36,IFERROR(IF(INDEX(Variablen!$I:$AT, MATCH(M36, Variablen!$A:$A, 0), MATCH((YEAR(D36)+0), Variablen!$I$3:$AT$3, 0))="",L36,INDEX(Variablen!$I:$AT, MATCH(M36, Variablen!$A:$A, 0), MATCH((YEAR(D36)+0), Variablen!$I$3:$AT$3, 0))),L36)))*(IF((YEAR(D36)+0)&lt;YEAR(E36),0,IF((YEAR(D36)+0)&gt;YEAR(E36),1,(12-MONTH(E36)+1)/12))) + (Q36)*(IF((YEAR(D36)+0)&lt;YEAR(E36),0,IF((YEAR(D36)+0)&gt;YEAR(E36),1,(12-MONTH(E36)+1)/12))))-((P36)*(IF((YEAR(D36)+0)&lt;YEAR(E36),0,IF((YEAR(D36)+0)&gt;YEAR(E36),1,(12-MONTH(E36)+1)/12))) + (R36)*(IF((YEAR(D36)+0)&lt;YEAR(E36),0,IF((YEAR(D36)+0)&gt;YEAR(E36),1,(12-MONTH(E36)+1)/12))))-(IF(OR(N36="",N36&lt;=0),0,(O36/N36)*(IF(OR(N36="",N36&lt;=0),0,IF((YEAR(D36)+0)&lt;YEAR(E36),0,IF((YEAR(D36)+0)&gt;=YEAR(E36)+N36,0,IF((YEAR(D36)+0)=YEAR(E36),(12-MONTH(E36)+1)/12,1))))))))&gt;0,(((K36)*(IF(M36="",L36,IFERROR(IF(INDEX(Variablen!$I:$AT, MATCH(M36, Variablen!$A:$A, 0), MATCH((YEAR(D36)+0), Variablen!$I$3:$AT$3, 0))="",L36,INDEX(Variablen!$I:$AT, MATCH(M36, Variablen!$A:$A, 0), MATCH((YEAR(D36)+0), Variablen!$I$3:$AT$3, 0))),L36)))*(IF((YEAR(D36)+0)&lt;YEAR(E36),0,IF((YEAR(D36)+0)&gt;YEAR(E36),1,(12-MONTH(E36)+1)/12))) + (Q36)*(IF((YEAR(D36)+0)&lt;YEAR(E36),0,IF((YEAR(D36)+0)&gt;YEAR(E36),1,(12-MONTH(E36)+1)/12))))-((P36)*(IF((YEAR(D36)+0)&lt;YEAR(E36),0,IF((YEAR(D36)+0)&gt;YEAR(E36),1,(12-MONTH(E36)+1)/12))) + (R36)*(IF((YEAR(D36)+0)&lt;YEAR(E36),0,IF((YEAR(D36)+0)&gt;YEAR(E36),1,(12-MONTH(E36)+1)/12))))-(IF(OR(N36="",N36&lt;=0),0,(O36/N36)*(IF(OR(N36="",N36&lt;=0),0,IF((YEAR(D36)+0)&lt;YEAR(E36),0,IF((YEAR(D36)+0)&gt;=YEAR(E36)+N36,0,IF((YEAR(D36)+0)=YEAR(E36),(12-MONTH(E36)+1)/12,1))))))))*TaxRate,0))-IF(0=0,O36,0))</f>
        <v/>
      </c>
      <c r="T36" s="29">
        <f>IF(A36="","",((K36)*(IF(M36="",L36,IFERROR(IF(INDEX(Variablen!$I:$AT, MATCH(M36, Variablen!$A:$A, 0), MATCH((YEAR(D36)+1), Variablen!$I$3:$AT$3, 0))="",L36,INDEX(Variablen!$I:$AT, MATCH(M36, Variablen!$A:$A, 0), MATCH((YEAR(D36)+1), Variablen!$I$3:$AT$3, 0))),L36)))*(IF((YEAR(D36)+1)&lt;YEAR(E36),0,IF((YEAR(D36)+1)&gt;YEAR(E36),1,(12-MONTH(E36)+1)/12))) + (Q36)*(IF((YEAR(D36)+1)&lt;YEAR(E36),0,IF((YEAR(D36)+1)&gt;YEAR(E36),1,(12-MONTH(E36)+1)/12))))-((P36)*(IF((YEAR(D36)+1)&lt;YEAR(E36),0,IF((YEAR(D36)+1)&gt;YEAR(E36),1,(12-MONTH(E36)+1)/12))) + (R36)*(IF((YEAR(D36)+1)&lt;YEAR(E36),0,IF((YEAR(D36)+1)&gt;YEAR(E36),1,(12-MONTH(E36)+1)/12))))-(IF((((K36)*(IF(M36="",L36,IFERROR(IF(INDEX(Variablen!$I:$AT, MATCH(M36, Variablen!$A:$A, 0), MATCH((YEAR(D36)+1), Variablen!$I$3:$AT$3, 0))="",L36,INDEX(Variablen!$I:$AT, MATCH(M36, Variablen!$A:$A, 0), MATCH((YEAR(D36)+1), Variablen!$I$3:$AT$3, 0))),L36)))*(IF((YEAR(D36)+1)&lt;YEAR(E36),0,IF((YEAR(D36)+1)&gt;YEAR(E36),1,(12-MONTH(E36)+1)/12))) + (Q36)*(IF((YEAR(D36)+1)&lt;YEAR(E36),0,IF((YEAR(D36)+1)&gt;YEAR(E36),1,(12-MONTH(E36)+1)/12))))-((P36)*(IF((YEAR(D36)+1)&lt;YEAR(E36),0,IF((YEAR(D36)+1)&gt;YEAR(E36),1,(12-MONTH(E36)+1)/12))) + (R36)*(IF((YEAR(D36)+1)&lt;YEAR(E36),0,IF((YEAR(D36)+1)&gt;YEAR(E36),1,(12-MONTH(E36)+1)/12))))-(IF(OR(N36="",N36&lt;=0),0,(O36/N36)*(IF(OR(N36="",N36&lt;=0),0,IF((YEAR(D36)+1)&lt;YEAR(E36),0,IF((YEAR(D36)+1)&gt;=YEAR(E36)+N36,0,IF((YEAR(D36)+1)=YEAR(E36),(12-MONTH(E36)+1)/12,1))))))))&gt;0,(((K36)*(IF(M36="",L36,IFERROR(IF(INDEX(Variablen!$I:$AT, MATCH(M36, Variablen!$A:$A, 0), MATCH((YEAR(D36)+1), Variablen!$I$3:$AT$3, 0))="",L36,INDEX(Variablen!$I:$AT, MATCH(M36, Variablen!$A:$A, 0), MATCH((YEAR(D36)+1), Variablen!$I$3:$AT$3, 0))),L36)))*(IF((YEAR(D36)+1)&lt;YEAR(E36),0,IF((YEAR(D36)+1)&gt;YEAR(E36),1,(12-MONTH(E36)+1)/12))) + (Q36)*(IF((YEAR(D36)+1)&lt;YEAR(E36),0,IF((YEAR(D36)+1)&gt;YEAR(E36),1,(12-MONTH(E36)+1)/12))))-((P36)*(IF((YEAR(D36)+1)&lt;YEAR(E36),0,IF((YEAR(D36)+1)&gt;YEAR(E36),1,(12-MONTH(E36)+1)/12))) + (R36)*(IF((YEAR(D36)+1)&lt;YEAR(E36),0,IF((YEAR(D36)+1)&gt;YEAR(E36),1,(12-MONTH(E36)+1)/12))))-(IF(OR(N36="",N36&lt;=0),0,(O36/N36)*(IF(OR(N36="",N36&lt;=0),0,IF((YEAR(D36)+1)&lt;YEAR(E36),0,IF((YEAR(D36)+1)&gt;=YEAR(E36)+N36,0,IF((YEAR(D36)+1)=YEAR(E36),(12-MONTH(E36)+1)/12,1))))))))*TaxRate,0))-IF(1=0,O36,0))</f>
        <v/>
      </c>
      <c r="U36" s="29">
        <f>IF(A36="","",((K36)*(IF(M36="",L36,IFERROR(IF(INDEX(Variablen!$I:$AT, MATCH(M36, Variablen!$A:$A, 0), MATCH((YEAR(D36)+2), Variablen!$I$3:$AT$3, 0))="",L36,INDEX(Variablen!$I:$AT, MATCH(M36, Variablen!$A:$A, 0), MATCH((YEAR(D36)+2), Variablen!$I$3:$AT$3, 0))),L36)))*(IF((YEAR(D36)+2)&lt;YEAR(E36),0,IF((YEAR(D36)+2)&gt;YEAR(E36),1,(12-MONTH(E36)+1)/12))) + (Q36)*(IF((YEAR(D36)+2)&lt;YEAR(E36),0,IF((YEAR(D36)+2)&gt;YEAR(E36),1,(12-MONTH(E36)+1)/12))))-((P36)*(IF((YEAR(D36)+2)&lt;YEAR(E36),0,IF((YEAR(D36)+2)&gt;YEAR(E36),1,(12-MONTH(E36)+1)/12))) + (R36)*(IF((YEAR(D36)+2)&lt;YEAR(E36),0,IF((YEAR(D36)+2)&gt;YEAR(E36),1,(12-MONTH(E36)+1)/12))))-(IF((((K36)*(IF(M36="",L36,IFERROR(IF(INDEX(Variablen!$I:$AT, MATCH(M36, Variablen!$A:$A, 0), MATCH((YEAR(D36)+2), Variablen!$I$3:$AT$3, 0))="",L36,INDEX(Variablen!$I:$AT, MATCH(M36, Variablen!$A:$A, 0), MATCH((YEAR(D36)+2), Variablen!$I$3:$AT$3, 0))),L36)))*(IF((YEAR(D36)+2)&lt;YEAR(E36),0,IF((YEAR(D36)+2)&gt;YEAR(E36),1,(12-MONTH(E36)+1)/12))) + (Q36)*(IF((YEAR(D36)+2)&lt;YEAR(E36),0,IF((YEAR(D36)+2)&gt;YEAR(E36),1,(12-MONTH(E36)+1)/12))))-((P36)*(IF((YEAR(D36)+2)&lt;YEAR(E36),0,IF((YEAR(D36)+2)&gt;YEAR(E36),1,(12-MONTH(E36)+1)/12))) + (R36)*(IF((YEAR(D36)+2)&lt;YEAR(E36),0,IF((YEAR(D36)+2)&gt;YEAR(E36),1,(12-MONTH(E36)+1)/12))))-(IF(OR(N36="",N36&lt;=0),0,(O36/N36)*(IF(OR(N36="",N36&lt;=0),0,IF((YEAR(D36)+2)&lt;YEAR(E36),0,IF((YEAR(D36)+2)&gt;=YEAR(E36)+N36,0,IF((YEAR(D36)+2)=YEAR(E36),(12-MONTH(E36)+1)/12,1))))))))&gt;0,(((K36)*(IF(M36="",L36,IFERROR(IF(INDEX(Variablen!$I:$AT, MATCH(M36, Variablen!$A:$A, 0), MATCH((YEAR(D36)+2), Variablen!$I$3:$AT$3, 0))="",L36,INDEX(Variablen!$I:$AT, MATCH(M36, Variablen!$A:$A, 0), MATCH((YEAR(D36)+2), Variablen!$I$3:$AT$3, 0))),L36)))*(IF((YEAR(D36)+2)&lt;YEAR(E36),0,IF((YEAR(D36)+2)&gt;YEAR(E36),1,(12-MONTH(E36)+1)/12))) + (Q36)*(IF((YEAR(D36)+2)&lt;YEAR(E36),0,IF((YEAR(D36)+2)&gt;YEAR(E36),1,(12-MONTH(E36)+1)/12))))-((P36)*(IF((YEAR(D36)+2)&lt;YEAR(E36),0,IF((YEAR(D36)+2)&gt;YEAR(E36),1,(12-MONTH(E36)+1)/12))) + (R36)*(IF((YEAR(D36)+2)&lt;YEAR(E36),0,IF((YEAR(D36)+2)&gt;YEAR(E36),1,(12-MONTH(E36)+1)/12))))-(IF(OR(N36="",N36&lt;=0),0,(O36/N36)*(IF(OR(N36="",N36&lt;=0),0,IF((YEAR(D36)+2)&lt;YEAR(E36),0,IF((YEAR(D36)+2)&gt;=YEAR(E36)+N36,0,IF((YEAR(D36)+2)=YEAR(E36),(12-MONTH(E36)+1)/12,1))))))))*TaxRate,0))-IF(2=0,O36,0))</f>
        <v/>
      </c>
      <c r="V36" s="29">
        <f>IF(A36="","",((K36)*(IF(M36="",L36,IFERROR(IF(INDEX(Variablen!$I:$AT, MATCH(M36, Variablen!$A:$A, 0), MATCH((YEAR(D36)+3), Variablen!$I$3:$AT$3, 0))="",L36,INDEX(Variablen!$I:$AT, MATCH(M36, Variablen!$A:$A, 0), MATCH((YEAR(D36)+3), Variablen!$I$3:$AT$3, 0))),L36)))*(IF((YEAR(D36)+3)&lt;YEAR(E36),0,IF((YEAR(D36)+3)&gt;YEAR(E36),1,(12-MONTH(E36)+1)/12))) + (Q36)*(IF((YEAR(D36)+3)&lt;YEAR(E36),0,IF((YEAR(D36)+3)&gt;YEAR(E36),1,(12-MONTH(E36)+1)/12))))-((P36)*(IF((YEAR(D36)+3)&lt;YEAR(E36),0,IF((YEAR(D36)+3)&gt;YEAR(E36),1,(12-MONTH(E36)+1)/12))) + (R36)*(IF((YEAR(D36)+3)&lt;YEAR(E36),0,IF((YEAR(D36)+3)&gt;YEAR(E36),1,(12-MONTH(E36)+1)/12))))-(IF((((K36)*(IF(M36="",L36,IFERROR(IF(INDEX(Variablen!$I:$AT, MATCH(M36, Variablen!$A:$A, 0), MATCH((YEAR(D36)+3), Variablen!$I$3:$AT$3, 0))="",L36,INDEX(Variablen!$I:$AT, MATCH(M36, Variablen!$A:$A, 0), MATCH((YEAR(D36)+3), Variablen!$I$3:$AT$3, 0))),L36)))*(IF((YEAR(D36)+3)&lt;YEAR(E36),0,IF((YEAR(D36)+3)&gt;YEAR(E36),1,(12-MONTH(E36)+1)/12))) + (Q36)*(IF((YEAR(D36)+3)&lt;YEAR(E36),0,IF((YEAR(D36)+3)&gt;YEAR(E36),1,(12-MONTH(E36)+1)/12))))-((P36)*(IF((YEAR(D36)+3)&lt;YEAR(E36),0,IF((YEAR(D36)+3)&gt;YEAR(E36),1,(12-MONTH(E36)+1)/12))) + (R36)*(IF((YEAR(D36)+3)&lt;YEAR(E36),0,IF((YEAR(D36)+3)&gt;YEAR(E36),1,(12-MONTH(E36)+1)/12))))-(IF(OR(N36="",N36&lt;=0),0,(O36/N36)*(IF(OR(N36="",N36&lt;=0),0,IF((YEAR(D36)+3)&lt;YEAR(E36),0,IF((YEAR(D36)+3)&gt;=YEAR(E36)+N36,0,IF((YEAR(D36)+3)=YEAR(E36),(12-MONTH(E36)+1)/12,1))))))))&gt;0,(((K36)*(IF(M36="",L36,IFERROR(IF(INDEX(Variablen!$I:$AT, MATCH(M36, Variablen!$A:$A, 0), MATCH((YEAR(D36)+3), Variablen!$I$3:$AT$3, 0))="",L36,INDEX(Variablen!$I:$AT, MATCH(M36, Variablen!$A:$A, 0), MATCH((YEAR(D36)+3), Variablen!$I$3:$AT$3, 0))),L36)))*(IF((YEAR(D36)+3)&lt;YEAR(E36),0,IF((YEAR(D36)+3)&gt;YEAR(E36),1,(12-MONTH(E36)+1)/12))) + (Q36)*(IF((YEAR(D36)+3)&lt;YEAR(E36),0,IF((YEAR(D36)+3)&gt;YEAR(E36),1,(12-MONTH(E36)+1)/12))))-((P36)*(IF((YEAR(D36)+3)&lt;YEAR(E36),0,IF((YEAR(D36)+3)&gt;YEAR(E36),1,(12-MONTH(E36)+1)/12))) + (R36)*(IF((YEAR(D36)+3)&lt;YEAR(E36),0,IF((YEAR(D36)+3)&gt;YEAR(E36),1,(12-MONTH(E36)+1)/12))))-(IF(OR(N36="",N36&lt;=0),0,(O36/N36)*(IF(OR(N36="",N36&lt;=0),0,IF((YEAR(D36)+3)&lt;YEAR(E36),0,IF((YEAR(D36)+3)&gt;=YEAR(E36)+N36,0,IF((YEAR(D36)+3)=YEAR(E36),(12-MONTH(E36)+1)/12,1))))))))*TaxRate,0))-IF(3=0,O36,0))</f>
        <v/>
      </c>
      <c r="W36" s="29">
        <f>IF(A36="","",((K36)*(IF(M36="",L36,IFERROR(IF(INDEX(Variablen!$I:$AT, MATCH(M36, Variablen!$A:$A, 0), MATCH((YEAR(D36)+4), Variablen!$I$3:$AT$3, 0))="",L36,INDEX(Variablen!$I:$AT, MATCH(M36, Variablen!$A:$A, 0), MATCH((YEAR(D36)+4), Variablen!$I$3:$AT$3, 0))),L36)))*(IF((YEAR(D36)+4)&lt;YEAR(E36),0,IF((YEAR(D36)+4)&gt;YEAR(E36),1,(12-MONTH(E36)+1)/12))) + (Q36)*(IF((YEAR(D36)+4)&lt;YEAR(E36),0,IF((YEAR(D36)+4)&gt;YEAR(E36),1,(12-MONTH(E36)+1)/12))))-((P36)*(IF((YEAR(D36)+4)&lt;YEAR(E36),0,IF((YEAR(D36)+4)&gt;YEAR(E36),1,(12-MONTH(E36)+1)/12))) + (R36)*(IF((YEAR(D36)+4)&lt;YEAR(E36),0,IF((YEAR(D36)+4)&gt;YEAR(E36),1,(12-MONTH(E36)+1)/12))))-(IF((((K36)*(IF(M36="",L36,IFERROR(IF(INDEX(Variablen!$I:$AT, MATCH(M36, Variablen!$A:$A, 0), MATCH((YEAR(D36)+4), Variablen!$I$3:$AT$3, 0))="",L36,INDEX(Variablen!$I:$AT, MATCH(M36, Variablen!$A:$A, 0), MATCH((YEAR(D36)+4), Variablen!$I$3:$AT$3, 0))),L36)))*(IF((YEAR(D36)+4)&lt;YEAR(E36),0,IF((YEAR(D36)+4)&gt;YEAR(E36),1,(12-MONTH(E36)+1)/12))) + (Q36)*(IF((YEAR(D36)+4)&lt;YEAR(E36),0,IF((YEAR(D36)+4)&gt;YEAR(E36),1,(12-MONTH(E36)+1)/12))))-((P36)*(IF((YEAR(D36)+4)&lt;YEAR(E36),0,IF((YEAR(D36)+4)&gt;YEAR(E36),1,(12-MONTH(E36)+1)/12))) + (R36)*(IF((YEAR(D36)+4)&lt;YEAR(E36),0,IF((YEAR(D36)+4)&gt;YEAR(E36),1,(12-MONTH(E36)+1)/12))))-(IF(OR(N36="",N36&lt;=0),0,(O36/N36)*(IF(OR(N36="",N36&lt;=0),0,IF((YEAR(D36)+4)&lt;YEAR(E36),0,IF((YEAR(D36)+4)&gt;=YEAR(E36)+N36,0,IF((YEAR(D36)+4)=YEAR(E36),(12-MONTH(E36)+1)/12,1))))))))&gt;0,(((K36)*(IF(M36="",L36,IFERROR(IF(INDEX(Variablen!$I:$AT, MATCH(M36, Variablen!$A:$A, 0), MATCH((YEAR(D36)+4), Variablen!$I$3:$AT$3, 0))="",L36,INDEX(Variablen!$I:$AT, MATCH(M36, Variablen!$A:$A, 0), MATCH((YEAR(D36)+4), Variablen!$I$3:$AT$3, 0))),L36)))*(IF((YEAR(D36)+4)&lt;YEAR(E36),0,IF((YEAR(D36)+4)&gt;YEAR(E36),1,(12-MONTH(E36)+1)/12))) + (Q36)*(IF((YEAR(D36)+4)&lt;YEAR(E36),0,IF((YEAR(D36)+4)&gt;YEAR(E36),1,(12-MONTH(E36)+1)/12))))-((P36)*(IF((YEAR(D36)+4)&lt;YEAR(E36),0,IF((YEAR(D36)+4)&gt;YEAR(E36),1,(12-MONTH(E36)+1)/12))) + (R36)*(IF((YEAR(D36)+4)&lt;YEAR(E36),0,IF((YEAR(D36)+4)&gt;YEAR(E36),1,(12-MONTH(E36)+1)/12))))-(IF(OR(N36="",N36&lt;=0),0,(O36/N36)*(IF(OR(N36="",N36&lt;=0),0,IF((YEAR(D36)+4)&lt;YEAR(E36),0,IF((YEAR(D36)+4)&gt;=YEAR(E36)+N36,0,IF((YEAR(D36)+4)=YEAR(E36),(12-MONTH(E36)+1)/12,1))))))))*TaxRate,0))-IF(4=0,O36,0))</f>
        <v/>
      </c>
      <c r="X36" s="29">
        <f>IF(A36="","",((K36)*(IF(M36="",L36,IFERROR(IF(INDEX(Variablen!$I:$AT, MATCH(M36, Variablen!$A:$A, 0), MATCH((YEAR(D36)+5), Variablen!$I$3:$AT$3, 0))="",L36,INDEX(Variablen!$I:$AT, MATCH(M36, Variablen!$A:$A, 0), MATCH((YEAR(D36)+5), Variablen!$I$3:$AT$3, 0))),L36)))*(IF((YEAR(D36)+5)&lt;YEAR(E36),0,IF((YEAR(D36)+5)&gt;YEAR(E36),1,(12-MONTH(E36)+1)/12))) + (Q36)*(IF((YEAR(D36)+5)&lt;YEAR(E36),0,IF((YEAR(D36)+5)&gt;YEAR(E36),1,(12-MONTH(E36)+1)/12))))-((P36)*(IF((YEAR(D36)+5)&lt;YEAR(E36),0,IF((YEAR(D36)+5)&gt;YEAR(E36),1,(12-MONTH(E36)+1)/12))) + (R36)*(IF((YEAR(D36)+5)&lt;YEAR(E36),0,IF((YEAR(D36)+5)&gt;YEAR(E36),1,(12-MONTH(E36)+1)/12))))-(IF((((K36)*(IF(M36="",L36,IFERROR(IF(INDEX(Variablen!$I:$AT, MATCH(M36, Variablen!$A:$A, 0), MATCH((YEAR(D36)+5), Variablen!$I$3:$AT$3, 0))="",L36,INDEX(Variablen!$I:$AT, MATCH(M36, Variablen!$A:$A, 0), MATCH((YEAR(D36)+5), Variablen!$I$3:$AT$3, 0))),L36)))*(IF((YEAR(D36)+5)&lt;YEAR(E36),0,IF((YEAR(D36)+5)&gt;YEAR(E36),1,(12-MONTH(E36)+1)/12))) + (Q36)*(IF((YEAR(D36)+5)&lt;YEAR(E36),0,IF((YEAR(D36)+5)&gt;YEAR(E36),1,(12-MONTH(E36)+1)/12))))-((P36)*(IF((YEAR(D36)+5)&lt;YEAR(E36),0,IF((YEAR(D36)+5)&gt;YEAR(E36),1,(12-MONTH(E36)+1)/12))) + (R36)*(IF((YEAR(D36)+5)&lt;YEAR(E36),0,IF((YEAR(D36)+5)&gt;YEAR(E36),1,(12-MONTH(E36)+1)/12))))-(IF(OR(N36="",N36&lt;=0),0,(O36/N36)*(IF(OR(N36="",N36&lt;=0),0,IF((YEAR(D36)+5)&lt;YEAR(E36),0,IF((YEAR(D36)+5)&gt;=YEAR(E36)+N36,0,IF((YEAR(D36)+5)=YEAR(E36),(12-MONTH(E36)+1)/12,1))))))))&gt;0,(((K36)*(IF(M36="",L36,IFERROR(IF(INDEX(Variablen!$I:$AT, MATCH(M36, Variablen!$A:$A, 0), MATCH((YEAR(D36)+5), Variablen!$I$3:$AT$3, 0))="",L36,INDEX(Variablen!$I:$AT, MATCH(M36, Variablen!$A:$A, 0), MATCH((YEAR(D36)+5), Variablen!$I$3:$AT$3, 0))),L36)))*(IF((YEAR(D36)+5)&lt;YEAR(E36),0,IF((YEAR(D36)+5)&gt;YEAR(E36),1,(12-MONTH(E36)+1)/12))) + (Q36)*(IF((YEAR(D36)+5)&lt;YEAR(E36),0,IF((YEAR(D36)+5)&gt;YEAR(E36),1,(12-MONTH(E36)+1)/12))))-((P36)*(IF((YEAR(D36)+5)&lt;YEAR(E36),0,IF((YEAR(D36)+5)&gt;YEAR(E36),1,(12-MONTH(E36)+1)/12))) + (R36)*(IF((YEAR(D36)+5)&lt;YEAR(E36),0,IF((YEAR(D36)+5)&gt;YEAR(E36),1,(12-MONTH(E36)+1)/12))))-(IF(OR(N36="",N36&lt;=0),0,(O36/N36)*(IF(OR(N36="",N36&lt;=0),0,IF((YEAR(D36)+5)&lt;YEAR(E36),0,IF((YEAR(D36)+5)&gt;=YEAR(E36)+N36,0,IF((YEAR(D36)+5)=YEAR(E36),(12-MONTH(E36)+1)/12,1))))))))*TaxRate,0))-IF(5=0,O36,0))</f>
        <v/>
      </c>
      <c r="Y36" s="29">
        <f>IF(A36="","",((K36)*(IF(M36="",L36,IFERROR(IF(INDEX(Variablen!$I:$AT, MATCH(M36, Variablen!$A:$A, 0), MATCH((YEAR(D36)+6), Variablen!$I$3:$AT$3, 0))="",L36,INDEX(Variablen!$I:$AT, MATCH(M36, Variablen!$A:$A, 0), MATCH((YEAR(D36)+6), Variablen!$I$3:$AT$3, 0))),L36)))*(IF((YEAR(D36)+6)&lt;YEAR(E36),0,IF((YEAR(D36)+6)&gt;YEAR(E36),1,(12-MONTH(E36)+1)/12))) + (Q36)*(IF((YEAR(D36)+6)&lt;YEAR(E36),0,IF((YEAR(D36)+6)&gt;YEAR(E36),1,(12-MONTH(E36)+1)/12))))-((P36)*(IF((YEAR(D36)+6)&lt;YEAR(E36),0,IF((YEAR(D36)+6)&gt;YEAR(E36),1,(12-MONTH(E36)+1)/12))) + (R36)*(IF((YEAR(D36)+6)&lt;YEAR(E36),0,IF((YEAR(D36)+6)&gt;YEAR(E36),1,(12-MONTH(E36)+1)/12))))-(IF((((K36)*(IF(M36="",L36,IFERROR(IF(INDEX(Variablen!$I:$AT, MATCH(M36, Variablen!$A:$A, 0), MATCH((YEAR(D36)+6), Variablen!$I$3:$AT$3, 0))="",L36,INDEX(Variablen!$I:$AT, MATCH(M36, Variablen!$A:$A, 0), MATCH((YEAR(D36)+6), Variablen!$I$3:$AT$3, 0))),L36)))*(IF((YEAR(D36)+6)&lt;YEAR(E36),0,IF((YEAR(D36)+6)&gt;YEAR(E36),1,(12-MONTH(E36)+1)/12))) + (Q36)*(IF((YEAR(D36)+6)&lt;YEAR(E36),0,IF((YEAR(D36)+6)&gt;YEAR(E36),1,(12-MONTH(E36)+1)/12))))-((P36)*(IF((YEAR(D36)+6)&lt;YEAR(E36),0,IF((YEAR(D36)+6)&gt;YEAR(E36),1,(12-MONTH(E36)+1)/12))) + (R36)*(IF((YEAR(D36)+6)&lt;YEAR(E36),0,IF((YEAR(D36)+6)&gt;YEAR(E36),1,(12-MONTH(E36)+1)/12))))-(IF(OR(N36="",N36&lt;=0),0,(O36/N36)*(IF(OR(N36="",N36&lt;=0),0,IF((YEAR(D36)+6)&lt;YEAR(E36),0,IF((YEAR(D36)+6)&gt;=YEAR(E36)+N36,0,IF((YEAR(D36)+6)=YEAR(E36),(12-MONTH(E36)+1)/12,1))))))))&gt;0,(((K36)*(IF(M36="",L36,IFERROR(IF(INDEX(Variablen!$I:$AT, MATCH(M36, Variablen!$A:$A, 0), MATCH((YEAR(D36)+6), Variablen!$I$3:$AT$3, 0))="",L36,INDEX(Variablen!$I:$AT, MATCH(M36, Variablen!$A:$A, 0), MATCH((YEAR(D36)+6), Variablen!$I$3:$AT$3, 0))),L36)))*(IF((YEAR(D36)+6)&lt;YEAR(E36),0,IF((YEAR(D36)+6)&gt;YEAR(E36),1,(12-MONTH(E36)+1)/12))) + (Q36)*(IF((YEAR(D36)+6)&lt;YEAR(E36),0,IF((YEAR(D36)+6)&gt;YEAR(E36),1,(12-MONTH(E36)+1)/12))))-((P36)*(IF((YEAR(D36)+6)&lt;YEAR(E36),0,IF((YEAR(D36)+6)&gt;YEAR(E36),1,(12-MONTH(E36)+1)/12))) + (R36)*(IF((YEAR(D36)+6)&lt;YEAR(E36),0,IF((YEAR(D36)+6)&gt;YEAR(E36),1,(12-MONTH(E36)+1)/12))))-(IF(OR(N36="",N36&lt;=0),0,(O36/N36)*(IF(OR(N36="",N36&lt;=0),0,IF((YEAR(D36)+6)&lt;YEAR(E36),0,IF((YEAR(D36)+6)&gt;=YEAR(E36)+N36,0,IF((YEAR(D36)+6)=YEAR(E36),(12-MONTH(E36)+1)/12,1))))))))*TaxRate,0))-IF(6=0,O36,0))</f>
        <v/>
      </c>
      <c r="Z36" s="29">
        <f>IF(A36="","",((K36)*(IF(M36="",L36,IFERROR(IF(INDEX(Variablen!$I:$AT, MATCH(M36, Variablen!$A:$A, 0), MATCH((YEAR(D36)+7), Variablen!$I$3:$AT$3, 0))="",L36,INDEX(Variablen!$I:$AT, MATCH(M36, Variablen!$A:$A, 0), MATCH((YEAR(D36)+7), Variablen!$I$3:$AT$3, 0))),L36)))*(IF((YEAR(D36)+7)&lt;YEAR(E36),0,IF((YEAR(D36)+7)&gt;YEAR(E36),1,(12-MONTH(E36)+1)/12))) + (Q36)*(IF((YEAR(D36)+7)&lt;YEAR(E36),0,IF((YEAR(D36)+7)&gt;YEAR(E36),1,(12-MONTH(E36)+1)/12))))-((P36)*(IF((YEAR(D36)+7)&lt;YEAR(E36),0,IF((YEAR(D36)+7)&gt;YEAR(E36),1,(12-MONTH(E36)+1)/12))) + (R36)*(IF((YEAR(D36)+7)&lt;YEAR(E36),0,IF((YEAR(D36)+7)&gt;YEAR(E36),1,(12-MONTH(E36)+1)/12))))-(IF((((K36)*(IF(M36="",L36,IFERROR(IF(INDEX(Variablen!$I:$AT, MATCH(M36, Variablen!$A:$A, 0), MATCH((YEAR(D36)+7), Variablen!$I$3:$AT$3, 0))="",L36,INDEX(Variablen!$I:$AT, MATCH(M36, Variablen!$A:$A, 0), MATCH((YEAR(D36)+7), Variablen!$I$3:$AT$3, 0))),L36)))*(IF((YEAR(D36)+7)&lt;YEAR(E36),0,IF((YEAR(D36)+7)&gt;YEAR(E36),1,(12-MONTH(E36)+1)/12))) + (Q36)*(IF((YEAR(D36)+7)&lt;YEAR(E36),0,IF((YEAR(D36)+7)&gt;YEAR(E36),1,(12-MONTH(E36)+1)/12))))-((P36)*(IF((YEAR(D36)+7)&lt;YEAR(E36),0,IF((YEAR(D36)+7)&gt;YEAR(E36),1,(12-MONTH(E36)+1)/12))) + (R36)*(IF((YEAR(D36)+7)&lt;YEAR(E36),0,IF((YEAR(D36)+7)&gt;YEAR(E36),1,(12-MONTH(E36)+1)/12))))-(IF(OR(N36="",N36&lt;=0),0,(O36/N36)*(IF(OR(N36="",N36&lt;=0),0,IF((YEAR(D36)+7)&lt;YEAR(E36),0,IF((YEAR(D36)+7)&gt;=YEAR(E36)+N36,0,IF((YEAR(D36)+7)=YEAR(E36),(12-MONTH(E36)+1)/12,1))))))))&gt;0,(((K36)*(IF(M36="",L36,IFERROR(IF(INDEX(Variablen!$I:$AT, MATCH(M36, Variablen!$A:$A, 0), MATCH((YEAR(D36)+7), Variablen!$I$3:$AT$3, 0))="",L36,INDEX(Variablen!$I:$AT, MATCH(M36, Variablen!$A:$A, 0), MATCH((YEAR(D36)+7), Variablen!$I$3:$AT$3, 0))),L36)))*(IF((YEAR(D36)+7)&lt;YEAR(E36),0,IF((YEAR(D36)+7)&gt;YEAR(E36),1,(12-MONTH(E36)+1)/12))) + (Q36)*(IF((YEAR(D36)+7)&lt;YEAR(E36),0,IF((YEAR(D36)+7)&gt;YEAR(E36),1,(12-MONTH(E36)+1)/12))))-((P36)*(IF((YEAR(D36)+7)&lt;YEAR(E36),0,IF((YEAR(D36)+7)&gt;YEAR(E36),1,(12-MONTH(E36)+1)/12))) + (R36)*(IF((YEAR(D36)+7)&lt;YEAR(E36),0,IF((YEAR(D36)+7)&gt;YEAR(E36),1,(12-MONTH(E36)+1)/12))))-(IF(OR(N36="",N36&lt;=0),0,(O36/N36)*(IF(OR(N36="",N36&lt;=0),0,IF((YEAR(D36)+7)&lt;YEAR(E36),0,IF((YEAR(D36)+7)&gt;=YEAR(E36)+N36,0,IF((YEAR(D36)+7)=YEAR(E36),(12-MONTH(E36)+1)/12,1))))))))*TaxRate,0))-IF(7=0,O36,0))</f>
        <v/>
      </c>
      <c r="AA36" s="29">
        <f>IF(A36="","",((K36)*(IF(M36="",L36,IFERROR(IF(INDEX(Variablen!$I:$AT, MATCH(M36, Variablen!$A:$A, 0), MATCH((YEAR(D36)+8), Variablen!$I$3:$AT$3, 0))="",L36,INDEX(Variablen!$I:$AT, MATCH(M36, Variablen!$A:$A, 0), MATCH((YEAR(D36)+8), Variablen!$I$3:$AT$3, 0))),L36)))*(IF((YEAR(D36)+8)&lt;YEAR(E36),0,IF((YEAR(D36)+8)&gt;YEAR(E36),1,(12-MONTH(E36)+1)/12))) + (Q36)*(IF((YEAR(D36)+8)&lt;YEAR(E36),0,IF((YEAR(D36)+8)&gt;YEAR(E36),1,(12-MONTH(E36)+1)/12))))-((P36)*(IF((YEAR(D36)+8)&lt;YEAR(E36),0,IF((YEAR(D36)+8)&gt;YEAR(E36),1,(12-MONTH(E36)+1)/12))) + (R36)*(IF((YEAR(D36)+8)&lt;YEAR(E36),0,IF((YEAR(D36)+8)&gt;YEAR(E36),1,(12-MONTH(E36)+1)/12))))-(IF((((K36)*(IF(M36="",L36,IFERROR(IF(INDEX(Variablen!$I:$AT, MATCH(M36, Variablen!$A:$A, 0), MATCH((YEAR(D36)+8), Variablen!$I$3:$AT$3, 0))="",L36,INDEX(Variablen!$I:$AT, MATCH(M36, Variablen!$A:$A, 0), MATCH((YEAR(D36)+8), Variablen!$I$3:$AT$3, 0))),L36)))*(IF((YEAR(D36)+8)&lt;YEAR(E36),0,IF((YEAR(D36)+8)&gt;YEAR(E36),1,(12-MONTH(E36)+1)/12))) + (Q36)*(IF((YEAR(D36)+8)&lt;YEAR(E36),0,IF((YEAR(D36)+8)&gt;YEAR(E36),1,(12-MONTH(E36)+1)/12))))-((P36)*(IF((YEAR(D36)+8)&lt;YEAR(E36),0,IF((YEAR(D36)+8)&gt;YEAR(E36),1,(12-MONTH(E36)+1)/12))) + (R36)*(IF((YEAR(D36)+8)&lt;YEAR(E36),0,IF((YEAR(D36)+8)&gt;YEAR(E36),1,(12-MONTH(E36)+1)/12))))-(IF(OR(N36="",N36&lt;=0),0,(O36/N36)*(IF(OR(N36="",N36&lt;=0),0,IF((YEAR(D36)+8)&lt;YEAR(E36),0,IF((YEAR(D36)+8)&gt;=YEAR(E36)+N36,0,IF((YEAR(D36)+8)=YEAR(E36),(12-MONTH(E36)+1)/12,1))))))))&gt;0,(((K36)*(IF(M36="",L36,IFERROR(IF(INDEX(Variablen!$I:$AT, MATCH(M36, Variablen!$A:$A, 0), MATCH((YEAR(D36)+8), Variablen!$I$3:$AT$3, 0))="",L36,INDEX(Variablen!$I:$AT, MATCH(M36, Variablen!$A:$A, 0), MATCH((YEAR(D36)+8), Variablen!$I$3:$AT$3, 0))),L36)))*(IF((YEAR(D36)+8)&lt;YEAR(E36),0,IF((YEAR(D36)+8)&gt;YEAR(E36),1,(12-MONTH(E36)+1)/12))) + (Q36)*(IF((YEAR(D36)+8)&lt;YEAR(E36),0,IF((YEAR(D36)+8)&gt;YEAR(E36),1,(12-MONTH(E36)+1)/12))))-((P36)*(IF((YEAR(D36)+8)&lt;YEAR(E36),0,IF((YEAR(D36)+8)&gt;YEAR(E36),1,(12-MONTH(E36)+1)/12))) + (R36)*(IF((YEAR(D36)+8)&lt;YEAR(E36),0,IF((YEAR(D36)+8)&gt;YEAR(E36),1,(12-MONTH(E36)+1)/12))))-(IF(OR(N36="",N36&lt;=0),0,(O36/N36)*(IF(OR(N36="",N36&lt;=0),0,IF((YEAR(D36)+8)&lt;YEAR(E36),0,IF((YEAR(D36)+8)&gt;=YEAR(E36)+N36,0,IF((YEAR(D36)+8)=YEAR(E36),(12-MONTH(E36)+1)/12,1))))))))*TaxRate,0))-IF(8=0,O36,0))</f>
        <v/>
      </c>
      <c r="AB36" s="29">
        <f>IF(A36="","",((K36)*(IF(M36="",L36,IFERROR(IF(INDEX(Variablen!$I:$AT, MATCH(M36, Variablen!$A:$A, 0), MATCH((YEAR(D36)+9), Variablen!$I$3:$AT$3, 0))="",L36,INDEX(Variablen!$I:$AT, MATCH(M36, Variablen!$A:$A, 0), MATCH((YEAR(D36)+9), Variablen!$I$3:$AT$3, 0))),L36)))*(IF((YEAR(D36)+9)&lt;YEAR(E36),0,IF((YEAR(D36)+9)&gt;YEAR(E36),1,(12-MONTH(E36)+1)/12))) + (Q36)*(IF((YEAR(D36)+9)&lt;YEAR(E36),0,IF((YEAR(D36)+9)&gt;YEAR(E36),1,(12-MONTH(E36)+1)/12))))-((P36)*(IF((YEAR(D36)+9)&lt;YEAR(E36),0,IF((YEAR(D36)+9)&gt;YEAR(E36),1,(12-MONTH(E36)+1)/12))) + (R36)*(IF((YEAR(D36)+9)&lt;YEAR(E36),0,IF((YEAR(D36)+9)&gt;YEAR(E36),1,(12-MONTH(E36)+1)/12))))-(IF((((K36)*(IF(M36="",L36,IFERROR(IF(INDEX(Variablen!$I:$AT, MATCH(M36, Variablen!$A:$A, 0), MATCH((YEAR(D36)+9), Variablen!$I$3:$AT$3, 0))="",L36,INDEX(Variablen!$I:$AT, MATCH(M36, Variablen!$A:$A, 0), MATCH((YEAR(D36)+9), Variablen!$I$3:$AT$3, 0))),L36)))*(IF((YEAR(D36)+9)&lt;YEAR(E36),0,IF((YEAR(D36)+9)&gt;YEAR(E36),1,(12-MONTH(E36)+1)/12))) + (Q36)*(IF((YEAR(D36)+9)&lt;YEAR(E36),0,IF((YEAR(D36)+9)&gt;YEAR(E36),1,(12-MONTH(E36)+1)/12))))-((P36)*(IF((YEAR(D36)+9)&lt;YEAR(E36),0,IF((YEAR(D36)+9)&gt;YEAR(E36),1,(12-MONTH(E36)+1)/12))) + (R36)*(IF((YEAR(D36)+9)&lt;YEAR(E36),0,IF((YEAR(D36)+9)&gt;YEAR(E36),1,(12-MONTH(E36)+1)/12))))-(IF(OR(N36="",N36&lt;=0),0,(O36/N36)*(IF(OR(N36="",N36&lt;=0),0,IF((YEAR(D36)+9)&lt;YEAR(E36),0,IF((YEAR(D36)+9)&gt;=YEAR(E36)+N36,0,IF((YEAR(D36)+9)=YEAR(E36),(12-MONTH(E36)+1)/12,1))))))))&gt;0,(((K36)*(IF(M36="",L36,IFERROR(IF(INDEX(Variablen!$I:$AT, MATCH(M36, Variablen!$A:$A, 0), MATCH((YEAR(D36)+9), Variablen!$I$3:$AT$3, 0))="",L36,INDEX(Variablen!$I:$AT, MATCH(M36, Variablen!$A:$A, 0), MATCH((YEAR(D36)+9), Variablen!$I$3:$AT$3, 0))),L36)))*(IF((YEAR(D36)+9)&lt;YEAR(E36),0,IF((YEAR(D36)+9)&gt;YEAR(E36),1,(12-MONTH(E36)+1)/12))) + (Q36)*(IF((YEAR(D36)+9)&lt;YEAR(E36),0,IF((YEAR(D36)+9)&gt;YEAR(E36),1,(12-MONTH(E36)+1)/12))))-((P36)*(IF((YEAR(D36)+9)&lt;YEAR(E36),0,IF((YEAR(D36)+9)&gt;YEAR(E36),1,(12-MONTH(E36)+1)/12))) + (R36)*(IF((YEAR(D36)+9)&lt;YEAR(E36),0,IF((YEAR(D36)+9)&gt;YEAR(E36),1,(12-MONTH(E36)+1)/12))))-(IF(OR(N36="",N36&lt;=0),0,(O36/N36)*(IF(OR(N36="",N36&lt;=0),0,IF((YEAR(D36)+9)&lt;YEAR(E36),0,IF((YEAR(D36)+9)&gt;=YEAR(E36)+N36,0,IF((YEAR(D36)+9)=YEAR(E36),(12-MONTH(E36)+1)/12,1))))))))*TaxRate,0))-IF(9=0,O36,0))</f>
        <v/>
      </c>
      <c r="AC36" s="29">
        <f>IF(A36="","",((K36)*(IF(M36="",L36,IFERROR(IF(INDEX(Variablen!$I:$AT, MATCH(M36, Variablen!$A:$A, 0), MATCH((YEAR(D36)+10), Variablen!$I$3:$AT$3, 0))="",L36,INDEX(Variablen!$I:$AT, MATCH(M36, Variablen!$A:$A, 0), MATCH((YEAR(D36)+10), Variablen!$I$3:$AT$3, 0))),L36)))*(IF((YEAR(D36)+10)&lt;YEAR(E36),0,IF((YEAR(D36)+10)&gt;YEAR(E36),1,(12-MONTH(E36)+1)/12))) + (Q36)*(IF((YEAR(D36)+10)&lt;YEAR(E36),0,IF((YEAR(D36)+10)&gt;YEAR(E36),1,(12-MONTH(E36)+1)/12))))-((P36)*(IF((YEAR(D36)+10)&lt;YEAR(E36),0,IF((YEAR(D36)+10)&gt;YEAR(E36),1,(12-MONTH(E36)+1)/12))) + (R36)*(IF((YEAR(D36)+10)&lt;YEAR(E36),0,IF((YEAR(D36)+10)&gt;YEAR(E36),1,(12-MONTH(E36)+1)/12))))-(IF((((K36)*(IF(M36="",L36,IFERROR(IF(INDEX(Variablen!$I:$AT, MATCH(M36, Variablen!$A:$A, 0), MATCH((YEAR(D36)+10), Variablen!$I$3:$AT$3, 0))="",L36,INDEX(Variablen!$I:$AT, MATCH(M36, Variablen!$A:$A, 0), MATCH((YEAR(D36)+10), Variablen!$I$3:$AT$3, 0))),L36)))*(IF((YEAR(D36)+10)&lt;YEAR(E36),0,IF((YEAR(D36)+10)&gt;YEAR(E36),1,(12-MONTH(E36)+1)/12))) + (Q36)*(IF((YEAR(D36)+10)&lt;YEAR(E36),0,IF((YEAR(D36)+10)&gt;YEAR(E36),1,(12-MONTH(E36)+1)/12))))-((P36)*(IF((YEAR(D36)+10)&lt;YEAR(E36),0,IF((YEAR(D36)+10)&gt;YEAR(E36),1,(12-MONTH(E36)+1)/12))) + (R36)*(IF((YEAR(D36)+10)&lt;YEAR(E36),0,IF((YEAR(D36)+10)&gt;YEAR(E36),1,(12-MONTH(E36)+1)/12))))-(IF(OR(N36="",N36&lt;=0),0,(O36/N36)*(IF(OR(N36="",N36&lt;=0),0,IF((YEAR(D36)+10)&lt;YEAR(E36),0,IF((YEAR(D36)+10)&gt;=YEAR(E36)+N36,0,IF((YEAR(D36)+10)=YEAR(E36),(12-MONTH(E36)+1)/12,1))))))))&gt;0,(((K36)*(IF(M36="",L36,IFERROR(IF(INDEX(Variablen!$I:$AT, MATCH(M36, Variablen!$A:$A, 0), MATCH((YEAR(D36)+10), Variablen!$I$3:$AT$3, 0))="",L36,INDEX(Variablen!$I:$AT, MATCH(M36, Variablen!$A:$A, 0), MATCH((YEAR(D36)+10), Variablen!$I$3:$AT$3, 0))),L36)))*(IF((YEAR(D36)+10)&lt;YEAR(E36),0,IF((YEAR(D36)+10)&gt;YEAR(E36),1,(12-MONTH(E36)+1)/12))) + (Q36)*(IF((YEAR(D36)+10)&lt;YEAR(E36),0,IF((YEAR(D36)+10)&gt;YEAR(E36),1,(12-MONTH(E36)+1)/12))))-((P36)*(IF((YEAR(D36)+10)&lt;YEAR(E36),0,IF((YEAR(D36)+10)&gt;YEAR(E36),1,(12-MONTH(E36)+1)/12))) + (R36)*(IF((YEAR(D36)+10)&lt;YEAR(E36),0,IF((YEAR(D36)+10)&gt;YEAR(E36),1,(12-MONTH(E36)+1)/12))))-(IF(OR(N36="",N36&lt;=0),0,(O36/N36)*(IF(OR(N36="",N36&lt;=0),0,IF((YEAR(D36)+10)&lt;YEAR(E36),0,IF((YEAR(D36)+10)&gt;=YEAR(E36)+N36,0,IF((YEAR(D36)+10)=YEAR(E36),(12-MONTH(E36)+1)/12,1))))))))*TaxRate,0))-IF(10=0,O36,0))</f>
        <v/>
      </c>
      <c r="AD36" s="29">
        <f>IF(A36="","",((K36)*(IF(M36="",L36,IFERROR(IF(INDEX(Variablen!$I:$AT, MATCH(M36, Variablen!$A:$A, 0), MATCH((YEAR(D36)+11), Variablen!$I$3:$AT$3, 0))="",L36,INDEX(Variablen!$I:$AT, MATCH(M36, Variablen!$A:$A, 0), MATCH((YEAR(D36)+11), Variablen!$I$3:$AT$3, 0))),L36)))*(IF((YEAR(D36)+11)&lt;YEAR(E36),0,IF((YEAR(D36)+11)&gt;YEAR(E36),1,(12-MONTH(E36)+1)/12))) + (Q36)*(IF((YEAR(D36)+11)&lt;YEAR(E36),0,IF((YEAR(D36)+11)&gt;YEAR(E36),1,(12-MONTH(E36)+1)/12))))-((P36)*(IF((YEAR(D36)+11)&lt;YEAR(E36),0,IF((YEAR(D36)+11)&gt;YEAR(E36),1,(12-MONTH(E36)+1)/12))) + (R36)*(IF((YEAR(D36)+11)&lt;YEAR(E36),0,IF((YEAR(D36)+11)&gt;YEAR(E36),1,(12-MONTH(E36)+1)/12))))-(IF((((K36)*(IF(M36="",L36,IFERROR(IF(INDEX(Variablen!$I:$AT, MATCH(M36, Variablen!$A:$A, 0), MATCH((YEAR(D36)+11), Variablen!$I$3:$AT$3, 0))="",L36,INDEX(Variablen!$I:$AT, MATCH(M36, Variablen!$A:$A, 0), MATCH((YEAR(D36)+11), Variablen!$I$3:$AT$3, 0))),L36)))*(IF((YEAR(D36)+11)&lt;YEAR(E36),0,IF((YEAR(D36)+11)&gt;YEAR(E36),1,(12-MONTH(E36)+1)/12))) + (Q36)*(IF((YEAR(D36)+11)&lt;YEAR(E36),0,IF((YEAR(D36)+11)&gt;YEAR(E36),1,(12-MONTH(E36)+1)/12))))-((P36)*(IF((YEAR(D36)+11)&lt;YEAR(E36),0,IF((YEAR(D36)+11)&gt;YEAR(E36),1,(12-MONTH(E36)+1)/12))) + (R36)*(IF((YEAR(D36)+11)&lt;YEAR(E36),0,IF((YEAR(D36)+11)&gt;YEAR(E36),1,(12-MONTH(E36)+1)/12))))-(IF(OR(N36="",N36&lt;=0),0,(O36/N36)*(IF(OR(N36="",N36&lt;=0),0,IF((YEAR(D36)+11)&lt;YEAR(E36),0,IF((YEAR(D36)+11)&gt;=YEAR(E36)+N36,0,IF((YEAR(D36)+11)=YEAR(E36),(12-MONTH(E36)+1)/12,1))))))))&gt;0,(((K36)*(IF(M36="",L36,IFERROR(IF(INDEX(Variablen!$I:$AT, MATCH(M36, Variablen!$A:$A, 0), MATCH((YEAR(D36)+11), Variablen!$I$3:$AT$3, 0))="",L36,INDEX(Variablen!$I:$AT, MATCH(M36, Variablen!$A:$A, 0), MATCH((YEAR(D36)+11), Variablen!$I$3:$AT$3, 0))),L36)))*(IF((YEAR(D36)+11)&lt;YEAR(E36),0,IF((YEAR(D36)+11)&gt;YEAR(E36),1,(12-MONTH(E36)+1)/12))) + (Q36)*(IF((YEAR(D36)+11)&lt;YEAR(E36),0,IF((YEAR(D36)+11)&gt;YEAR(E36),1,(12-MONTH(E36)+1)/12))))-((P36)*(IF((YEAR(D36)+11)&lt;YEAR(E36),0,IF((YEAR(D36)+11)&gt;YEAR(E36),1,(12-MONTH(E36)+1)/12))) + (R36)*(IF((YEAR(D36)+11)&lt;YEAR(E36),0,IF((YEAR(D36)+11)&gt;YEAR(E36),1,(12-MONTH(E36)+1)/12))))-(IF(OR(N36="",N36&lt;=0),0,(O36/N36)*(IF(OR(N36="",N36&lt;=0),0,IF((YEAR(D36)+11)&lt;YEAR(E36),0,IF((YEAR(D36)+11)&gt;=YEAR(E36)+N36,0,IF((YEAR(D36)+11)=YEAR(E36),(12-MONTH(E36)+1)/12,1))))))))*TaxRate,0))-IF(11=0,O36,0))</f>
        <v/>
      </c>
      <c r="AE36" s="29">
        <f>IF(A36="","",((K36)*(IF(M36="",L36,IFERROR(IF(INDEX(Variablen!$I:$AT, MATCH(M36, Variablen!$A:$A, 0), MATCH((YEAR(D36)+12), Variablen!$I$3:$AT$3, 0))="",L36,INDEX(Variablen!$I:$AT, MATCH(M36, Variablen!$A:$A, 0), MATCH((YEAR(D36)+12), Variablen!$I$3:$AT$3, 0))),L36)))*(IF((YEAR(D36)+12)&lt;YEAR(E36),0,IF((YEAR(D36)+12)&gt;YEAR(E36),1,(12-MONTH(E36)+1)/12))) + (Q36)*(IF((YEAR(D36)+12)&lt;YEAR(E36),0,IF((YEAR(D36)+12)&gt;YEAR(E36),1,(12-MONTH(E36)+1)/12))))-((P36)*(IF((YEAR(D36)+12)&lt;YEAR(E36),0,IF((YEAR(D36)+12)&gt;YEAR(E36),1,(12-MONTH(E36)+1)/12))) + (R36)*(IF((YEAR(D36)+12)&lt;YEAR(E36),0,IF((YEAR(D36)+12)&gt;YEAR(E36),1,(12-MONTH(E36)+1)/12))))-(IF((((K36)*(IF(M36="",L36,IFERROR(IF(INDEX(Variablen!$I:$AT, MATCH(M36, Variablen!$A:$A, 0), MATCH((YEAR(D36)+12), Variablen!$I$3:$AT$3, 0))="",L36,INDEX(Variablen!$I:$AT, MATCH(M36, Variablen!$A:$A, 0), MATCH((YEAR(D36)+12), Variablen!$I$3:$AT$3, 0))),L36)))*(IF((YEAR(D36)+12)&lt;YEAR(E36),0,IF((YEAR(D36)+12)&gt;YEAR(E36),1,(12-MONTH(E36)+1)/12))) + (Q36)*(IF((YEAR(D36)+12)&lt;YEAR(E36),0,IF((YEAR(D36)+12)&gt;YEAR(E36),1,(12-MONTH(E36)+1)/12))))-((P36)*(IF((YEAR(D36)+12)&lt;YEAR(E36),0,IF((YEAR(D36)+12)&gt;YEAR(E36),1,(12-MONTH(E36)+1)/12))) + (R36)*(IF((YEAR(D36)+12)&lt;YEAR(E36),0,IF((YEAR(D36)+12)&gt;YEAR(E36),1,(12-MONTH(E36)+1)/12))))-(IF(OR(N36="",N36&lt;=0),0,(O36/N36)*(IF(OR(N36="",N36&lt;=0),0,IF((YEAR(D36)+12)&lt;YEAR(E36),0,IF((YEAR(D36)+12)&gt;=YEAR(E36)+N36,0,IF((YEAR(D36)+12)=YEAR(E36),(12-MONTH(E36)+1)/12,1))))))))&gt;0,(((K36)*(IF(M36="",L36,IFERROR(IF(INDEX(Variablen!$I:$AT, MATCH(M36, Variablen!$A:$A, 0), MATCH((YEAR(D36)+12), Variablen!$I$3:$AT$3, 0))="",L36,INDEX(Variablen!$I:$AT, MATCH(M36, Variablen!$A:$A, 0), MATCH((YEAR(D36)+12), Variablen!$I$3:$AT$3, 0))),L36)))*(IF((YEAR(D36)+12)&lt;YEAR(E36),0,IF((YEAR(D36)+12)&gt;YEAR(E36),1,(12-MONTH(E36)+1)/12))) + (Q36)*(IF((YEAR(D36)+12)&lt;YEAR(E36),0,IF((YEAR(D36)+12)&gt;YEAR(E36),1,(12-MONTH(E36)+1)/12))))-((P36)*(IF((YEAR(D36)+12)&lt;YEAR(E36),0,IF((YEAR(D36)+12)&gt;YEAR(E36),1,(12-MONTH(E36)+1)/12))) + (R36)*(IF((YEAR(D36)+12)&lt;YEAR(E36),0,IF((YEAR(D36)+12)&gt;YEAR(E36),1,(12-MONTH(E36)+1)/12))))-(IF(OR(N36="",N36&lt;=0),0,(O36/N36)*(IF(OR(N36="",N36&lt;=0),0,IF((YEAR(D36)+12)&lt;YEAR(E36),0,IF((YEAR(D36)+12)&gt;=YEAR(E36)+N36,0,IF((YEAR(D36)+12)=YEAR(E36),(12-MONTH(E36)+1)/12,1))))))))*TaxRate,0))-IF(12=0,O36,0))</f>
        <v/>
      </c>
      <c r="AF36" s="29">
        <f>IF(A36="","",((K36)*(IF(M36="",L36,IFERROR(IF(INDEX(Variablen!$I:$AT, MATCH(M36, Variablen!$A:$A, 0), MATCH((YEAR(D36)+13), Variablen!$I$3:$AT$3, 0))="",L36,INDEX(Variablen!$I:$AT, MATCH(M36, Variablen!$A:$A, 0), MATCH((YEAR(D36)+13), Variablen!$I$3:$AT$3, 0))),L36)))*(IF((YEAR(D36)+13)&lt;YEAR(E36),0,IF((YEAR(D36)+13)&gt;YEAR(E36),1,(12-MONTH(E36)+1)/12))) + (Q36)*(IF((YEAR(D36)+13)&lt;YEAR(E36),0,IF((YEAR(D36)+13)&gt;YEAR(E36),1,(12-MONTH(E36)+1)/12))))-((P36)*(IF((YEAR(D36)+13)&lt;YEAR(E36),0,IF((YEAR(D36)+13)&gt;YEAR(E36),1,(12-MONTH(E36)+1)/12))) + (R36)*(IF((YEAR(D36)+13)&lt;YEAR(E36),0,IF((YEAR(D36)+13)&gt;YEAR(E36),1,(12-MONTH(E36)+1)/12))))-(IF((((K36)*(IF(M36="",L36,IFERROR(IF(INDEX(Variablen!$I:$AT, MATCH(M36, Variablen!$A:$A, 0), MATCH((YEAR(D36)+13), Variablen!$I$3:$AT$3, 0))="",L36,INDEX(Variablen!$I:$AT, MATCH(M36, Variablen!$A:$A, 0), MATCH((YEAR(D36)+13), Variablen!$I$3:$AT$3, 0))),L36)))*(IF((YEAR(D36)+13)&lt;YEAR(E36),0,IF((YEAR(D36)+13)&gt;YEAR(E36),1,(12-MONTH(E36)+1)/12))) + (Q36)*(IF((YEAR(D36)+13)&lt;YEAR(E36),0,IF((YEAR(D36)+13)&gt;YEAR(E36),1,(12-MONTH(E36)+1)/12))))-((P36)*(IF((YEAR(D36)+13)&lt;YEAR(E36),0,IF((YEAR(D36)+13)&gt;YEAR(E36),1,(12-MONTH(E36)+1)/12))) + (R36)*(IF((YEAR(D36)+13)&lt;YEAR(E36),0,IF((YEAR(D36)+13)&gt;YEAR(E36),1,(12-MONTH(E36)+1)/12))))-(IF(OR(N36="",N36&lt;=0),0,(O36/N36)*(IF(OR(N36="",N36&lt;=0),0,IF((YEAR(D36)+13)&lt;YEAR(E36),0,IF((YEAR(D36)+13)&gt;=YEAR(E36)+N36,0,IF((YEAR(D36)+13)=YEAR(E36),(12-MONTH(E36)+1)/12,1))))))))&gt;0,(((K36)*(IF(M36="",L36,IFERROR(IF(INDEX(Variablen!$I:$AT, MATCH(M36, Variablen!$A:$A, 0), MATCH((YEAR(D36)+13), Variablen!$I$3:$AT$3, 0))="",L36,INDEX(Variablen!$I:$AT, MATCH(M36, Variablen!$A:$A, 0), MATCH((YEAR(D36)+13), Variablen!$I$3:$AT$3, 0))),L36)))*(IF((YEAR(D36)+13)&lt;YEAR(E36),0,IF((YEAR(D36)+13)&gt;YEAR(E36),1,(12-MONTH(E36)+1)/12))) + (Q36)*(IF((YEAR(D36)+13)&lt;YEAR(E36),0,IF((YEAR(D36)+13)&gt;YEAR(E36),1,(12-MONTH(E36)+1)/12))))-((P36)*(IF((YEAR(D36)+13)&lt;YEAR(E36),0,IF((YEAR(D36)+13)&gt;YEAR(E36),1,(12-MONTH(E36)+1)/12))) + (R36)*(IF((YEAR(D36)+13)&lt;YEAR(E36),0,IF((YEAR(D36)+13)&gt;YEAR(E36),1,(12-MONTH(E36)+1)/12))))-(IF(OR(N36="",N36&lt;=0),0,(O36/N36)*(IF(OR(N36="",N36&lt;=0),0,IF((YEAR(D36)+13)&lt;YEAR(E36),0,IF((YEAR(D36)+13)&gt;=YEAR(E36)+N36,0,IF((YEAR(D36)+13)=YEAR(E36),(12-MONTH(E36)+1)/12,1))))))))*TaxRate,0))-IF(13=0,O36,0))</f>
        <v/>
      </c>
      <c r="AG36" s="29">
        <f>IF(A36="","",((K36)*(IF(M36="",L36,IFERROR(IF(INDEX(Variablen!$I:$AT, MATCH(M36, Variablen!$A:$A, 0), MATCH((YEAR(D36)+14), Variablen!$I$3:$AT$3, 0))="",L36,INDEX(Variablen!$I:$AT, MATCH(M36, Variablen!$A:$A, 0), MATCH((YEAR(D36)+14), Variablen!$I$3:$AT$3, 0))),L36)))*(IF((YEAR(D36)+14)&lt;YEAR(E36),0,IF((YEAR(D36)+14)&gt;YEAR(E36),1,(12-MONTH(E36)+1)/12))) + (Q36)*(IF((YEAR(D36)+14)&lt;YEAR(E36),0,IF((YEAR(D36)+14)&gt;YEAR(E36),1,(12-MONTH(E36)+1)/12))))-((P36)*(IF((YEAR(D36)+14)&lt;YEAR(E36),0,IF((YEAR(D36)+14)&gt;YEAR(E36),1,(12-MONTH(E36)+1)/12))) + (R36)*(IF((YEAR(D36)+14)&lt;YEAR(E36),0,IF((YEAR(D36)+14)&gt;YEAR(E36),1,(12-MONTH(E36)+1)/12))))-(IF((((K36)*(IF(M36="",L36,IFERROR(IF(INDEX(Variablen!$I:$AT, MATCH(M36, Variablen!$A:$A, 0), MATCH((YEAR(D36)+14), Variablen!$I$3:$AT$3, 0))="",L36,INDEX(Variablen!$I:$AT, MATCH(M36, Variablen!$A:$A, 0), MATCH((YEAR(D36)+14), Variablen!$I$3:$AT$3, 0))),L36)))*(IF((YEAR(D36)+14)&lt;YEAR(E36),0,IF((YEAR(D36)+14)&gt;YEAR(E36),1,(12-MONTH(E36)+1)/12))) + (Q36)*(IF((YEAR(D36)+14)&lt;YEAR(E36),0,IF((YEAR(D36)+14)&gt;YEAR(E36),1,(12-MONTH(E36)+1)/12))))-((P36)*(IF((YEAR(D36)+14)&lt;YEAR(E36),0,IF((YEAR(D36)+14)&gt;YEAR(E36),1,(12-MONTH(E36)+1)/12))) + (R36)*(IF((YEAR(D36)+14)&lt;YEAR(E36),0,IF((YEAR(D36)+14)&gt;YEAR(E36),1,(12-MONTH(E36)+1)/12))))-(IF(OR(N36="",N36&lt;=0),0,(O36/N36)*(IF(OR(N36="",N36&lt;=0),0,IF((YEAR(D36)+14)&lt;YEAR(E36),0,IF((YEAR(D36)+14)&gt;=YEAR(E36)+N36,0,IF((YEAR(D36)+14)=YEAR(E36),(12-MONTH(E36)+1)/12,1))))))))&gt;0,(((K36)*(IF(M36="",L36,IFERROR(IF(INDEX(Variablen!$I:$AT, MATCH(M36, Variablen!$A:$A, 0), MATCH((YEAR(D36)+14), Variablen!$I$3:$AT$3, 0))="",L36,INDEX(Variablen!$I:$AT, MATCH(M36, Variablen!$A:$A, 0), MATCH((YEAR(D36)+14), Variablen!$I$3:$AT$3, 0))),L36)))*(IF((YEAR(D36)+14)&lt;YEAR(E36),0,IF((YEAR(D36)+14)&gt;YEAR(E36),1,(12-MONTH(E36)+1)/12))) + (Q36)*(IF((YEAR(D36)+14)&lt;YEAR(E36),0,IF((YEAR(D36)+14)&gt;YEAR(E36),1,(12-MONTH(E36)+1)/12))))-((P36)*(IF((YEAR(D36)+14)&lt;YEAR(E36),0,IF((YEAR(D36)+14)&gt;YEAR(E36),1,(12-MONTH(E36)+1)/12))) + (R36)*(IF((YEAR(D36)+14)&lt;YEAR(E36),0,IF((YEAR(D36)+14)&gt;YEAR(E36),1,(12-MONTH(E36)+1)/12))))-(IF(OR(N36="",N36&lt;=0),0,(O36/N36)*(IF(OR(N36="",N36&lt;=0),0,IF((YEAR(D36)+14)&lt;YEAR(E36),0,IF((YEAR(D36)+14)&gt;=YEAR(E36)+N36,0,IF((YEAR(D36)+14)=YEAR(E36),(12-MONTH(E36)+1)/12,1))))))))*TaxRate,0))-IF(14=0,O36,0))</f>
        <v/>
      </c>
      <c r="AH36" s="29">
        <f>IF(A36="","",((K36)*(IF(M36="",L36,IFERROR(IF(INDEX(Variablen!$I:$AT, MATCH(M36, Variablen!$A:$A, 0), MATCH((YEAR(D36)+15), Variablen!$I$3:$AT$3, 0))="",L36,INDEX(Variablen!$I:$AT, MATCH(M36, Variablen!$A:$A, 0), MATCH((YEAR(D36)+15), Variablen!$I$3:$AT$3, 0))),L36)))*(IF((YEAR(D36)+15)&lt;YEAR(E36),0,IF((YEAR(D36)+15)&gt;YEAR(E36),1,(12-MONTH(E36)+1)/12))) + (Q36)*(IF((YEAR(D36)+15)&lt;YEAR(E36),0,IF((YEAR(D36)+15)&gt;YEAR(E36),1,(12-MONTH(E36)+1)/12))))-((P36)*(IF((YEAR(D36)+15)&lt;YEAR(E36),0,IF((YEAR(D36)+15)&gt;YEAR(E36),1,(12-MONTH(E36)+1)/12))) + (R36)*(IF((YEAR(D36)+15)&lt;YEAR(E36),0,IF((YEAR(D36)+15)&gt;YEAR(E36),1,(12-MONTH(E36)+1)/12))))-(IF((((K36)*(IF(M36="",L36,IFERROR(IF(INDEX(Variablen!$I:$AT, MATCH(M36, Variablen!$A:$A, 0), MATCH((YEAR(D36)+15), Variablen!$I$3:$AT$3, 0))="",L36,INDEX(Variablen!$I:$AT, MATCH(M36, Variablen!$A:$A, 0), MATCH((YEAR(D36)+15), Variablen!$I$3:$AT$3, 0))),L36)))*(IF((YEAR(D36)+15)&lt;YEAR(E36),0,IF((YEAR(D36)+15)&gt;YEAR(E36),1,(12-MONTH(E36)+1)/12))) + (Q36)*(IF((YEAR(D36)+15)&lt;YEAR(E36),0,IF((YEAR(D36)+15)&gt;YEAR(E36),1,(12-MONTH(E36)+1)/12))))-((P36)*(IF((YEAR(D36)+15)&lt;YEAR(E36),0,IF((YEAR(D36)+15)&gt;YEAR(E36),1,(12-MONTH(E36)+1)/12))) + (R36)*(IF((YEAR(D36)+15)&lt;YEAR(E36),0,IF((YEAR(D36)+15)&gt;YEAR(E36),1,(12-MONTH(E36)+1)/12))))-(IF(OR(N36="",N36&lt;=0),0,(O36/N36)*(IF(OR(N36="",N36&lt;=0),0,IF((YEAR(D36)+15)&lt;YEAR(E36),0,IF((YEAR(D36)+15)&gt;=YEAR(E36)+N36,0,IF((YEAR(D36)+15)=YEAR(E36),(12-MONTH(E36)+1)/12,1))))))))&gt;0,(((K36)*(IF(M36="",L36,IFERROR(IF(INDEX(Variablen!$I:$AT, MATCH(M36, Variablen!$A:$A, 0), MATCH((YEAR(D36)+15), Variablen!$I$3:$AT$3, 0))="",L36,INDEX(Variablen!$I:$AT, MATCH(M36, Variablen!$A:$A, 0), MATCH((YEAR(D36)+15), Variablen!$I$3:$AT$3, 0))),L36)))*(IF((YEAR(D36)+15)&lt;YEAR(E36),0,IF((YEAR(D36)+15)&gt;YEAR(E36),1,(12-MONTH(E36)+1)/12))) + (Q36)*(IF((YEAR(D36)+15)&lt;YEAR(E36),0,IF((YEAR(D36)+15)&gt;YEAR(E36),1,(12-MONTH(E36)+1)/12))))-((P36)*(IF((YEAR(D36)+15)&lt;YEAR(E36),0,IF((YEAR(D36)+15)&gt;YEAR(E36),1,(12-MONTH(E36)+1)/12))) + (R36)*(IF((YEAR(D36)+15)&lt;YEAR(E36),0,IF((YEAR(D36)+15)&gt;YEAR(E36),1,(12-MONTH(E36)+1)/12))))-(IF(OR(N36="",N36&lt;=0),0,(O36/N36)*(IF(OR(N36="",N36&lt;=0),0,IF((YEAR(D36)+15)&lt;YEAR(E36),0,IF((YEAR(D36)+15)&gt;=YEAR(E36)+N36,0,IF((YEAR(D36)+15)=YEAR(E36),(12-MONTH(E36)+1)/12,1))))))))*TaxRate,0))-IF(15=0,O36,0))</f>
        <v/>
      </c>
      <c r="AI36" s="29">
        <f>IF(A36="","",((K36)*(IF(M36="",L36,IFERROR(IF(INDEX(Variablen!$I:$AT, MATCH(M36, Variablen!$A:$A, 0), MATCH((YEAR(D36)+16), Variablen!$I$3:$AT$3, 0))="",L36,INDEX(Variablen!$I:$AT, MATCH(M36, Variablen!$A:$A, 0), MATCH((YEAR(D36)+16), Variablen!$I$3:$AT$3, 0))),L36)))*(IF((YEAR(D36)+16)&lt;YEAR(E36),0,IF((YEAR(D36)+16)&gt;YEAR(E36),1,(12-MONTH(E36)+1)/12))) + (Q36)*(IF((YEAR(D36)+16)&lt;YEAR(E36),0,IF((YEAR(D36)+16)&gt;YEAR(E36),1,(12-MONTH(E36)+1)/12))))-((P36)*(IF((YEAR(D36)+16)&lt;YEAR(E36),0,IF((YEAR(D36)+16)&gt;YEAR(E36),1,(12-MONTH(E36)+1)/12))) + (R36)*(IF((YEAR(D36)+16)&lt;YEAR(E36),0,IF((YEAR(D36)+16)&gt;YEAR(E36),1,(12-MONTH(E36)+1)/12))))-(IF((((K36)*(IF(M36="",L36,IFERROR(IF(INDEX(Variablen!$I:$AT, MATCH(M36, Variablen!$A:$A, 0), MATCH((YEAR(D36)+16), Variablen!$I$3:$AT$3, 0))="",L36,INDEX(Variablen!$I:$AT, MATCH(M36, Variablen!$A:$A, 0), MATCH((YEAR(D36)+16), Variablen!$I$3:$AT$3, 0))),L36)))*(IF((YEAR(D36)+16)&lt;YEAR(E36),0,IF((YEAR(D36)+16)&gt;YEAR(E36),1,(12-MONTH(E36)+1)/12))) + (Q36)*(IF((YEAR(D36)+16)&lt;YEAR(E36),0,IF((YEAR(D36)+16)&gt;YEAR(E36),1,(12-MONTH(E36)+1)/12))))-((P36)*(IF((YEAR(D36)+16)&lt;YEAR(E36),0,IF((YEAR(D36)+16)&gt;YEAR(E36),1,(12-MONTH(E36)+1)/12))) + (R36)*(IF((YEAR(D36)+16)&lt;YEAR(E36),0,IF((YEAR(D36)+16)&gt;YEAR(E36),1,(12-MONTH(E36)+1)/12))))-(IF(OR(N36="",N36&lt;=0),0,(O36/N36)*(IF(OR(N36="",N36&lt;=0),0,IF((YEAR(D36)+16)&lt;YEAR(E36),0,IF((YEAR(D36)+16)&gt;=YEAR(E36)+N36,0,IF((YEAR(D36)+16)=YEAR(E36),(12-MONTH(E36)+1)/12,1))))))))&gt;0,(((K36)*(IF(M36="",L36,IFERROR(IF(INDEX(Variablen!$I:$AT, MATCH(M36, Variablen!$A:$A, 0), MATCH((YEAR(D36)+16), Variablen!$I$3:$AT$3, 0))="",L36,INDEX(Variablen!$I:$AT, MATCH(M36, Variablen!$A:$A, 0), MATCH((YEAR(D36)+16), Variablen!$I$3:$AT$3, 0))),L36)))*(IF((YEAR(D36)+16)&lt;YEAR(E36),0,IF((YEAR(D36)+16)&gt;YEAR(E36),1,(12-MONTH(E36)+1)/12))) + (Q36)*(IF((YEAR(D36)+16)&lt;YEAR(E36),0,IF((YEAR(D36)+16)&gt;YEAR(E36),1,(12-MONTH(E36)+1)/12))))-((P36)*(IF((YEAR(D36)+16)&lt;YEAR(E36),0,IF((YEAR(D36)+16)&gt;YEAR(E36),1,(12-MONTH(E36)+1)/12))) + (R36)*(IF((YEAR(D36)+16)&lt;YEAR(E36),0,IF((YEAR(D36)+16)&gt;YEAR(E36),1,(12-MONTH(E36)+1)/12))))-(IF(OR(N36="",N36&lt;=0),0,(O36/N36)*(IF(OR(N36="",N36&lt;=0),0,IF((YEAR(D36)+16)&lt;YEAR(E36),0,IF((YEAR(D36)+16)&gt;=YEAR(E36)+N36,0,IF((YEAR(D36)+16)=YEAR(E36),(12-MONTH(E36)+1)/12,1))))))))*TaxRate,0))-IF(16=0,O36,0))</f>
        <v/>
      </c>
      <c r="AJ36" s="29">
        <f>IF(A36="","",((K36)*(IF(M36="",L36,IFERROR(IF(INDEX(Variablen!$I:$AT, MATCH(M36, Variablen!$A:$A, 0), MATCH((YEAR(D36)+17), Variablen!$I$3:$AT$3, 0))="",L36,INDEX(Variablen!$I:$AT, MATCH(M36, Variablen!$A:$A, 0), MATCH((YEAR(D36)+17), Variablen!$I$3:$AT$3, 0))),L36)))*(IF((YEAR(D36)+17)&lt;YEAR(E36),0,IF((YEAR(D36)+17)&gt;YEAR(E36),1,(12-MONTH(E36)+1)/12))) + (Q36)*(IF((YEAR(D36)+17)&lt;YEAR(E36),0,IF((YEAR(D36)+17)&gt;YEAR(E36),1,(12-MONTH(E36)+1)/12))))-((P36)*(IF((YEAR(D36)+17)&lt;YEAR(E36),0,IF((YEAR(D36)+17)&gt;YEAR(E36),1,(12-MONTH(E36)+1)/12))) + (R36)*(IF((YEAR(D36)+17)&lt;YEAR(E36),0,IF((YEAR(D36)+17)&gt;YEAR(E36),1,(12-MONTH(E36)+1)/12))))-(IF((((K36)*(IF(M36="",L36,IFERROR(IF(INDEX(Variablen!$I:$AT, MATCH(M36, Variablen!$A:$A, 0), MATCH((YEAR(D36)+17), Variablen!$I$3:$AT$3, 0))="",L36,INDEX(Variablen!$I:$AT, MATCH(M36, Variablen!$A:$A, 0), MATCH((YEAR(D36)+17), Variablen!$I$3:$AT$3, 0))),L36)))*(IF((YEAR(D36)+17)&lt;YEAR(E36),0,IF((YEAR(D36)+17)&gt;YEAR(E36),1,(12-MONTH(E36)+1)/12))) + (Q36)*(IF((YEAR(D36)+17)&lt;YEAR(E36),0,IF((YEAR(D36)+17)&gt;YEAR(E36),1,(12-MONTH(E36)+1)/12))))-((P36)*(IF((YEAR(D36)+17)&lt;YEAR(E36),0,IF((YEAR(D36)+17)&gt;YEAR(E36),1,(12-MONTH(E36)+1)/12))) + (R36)*(IF((YEAR(D36)+17)&lt;YEAR(E36),0,IF((YEAR(D36)+17)&gt;YEAR(E36),1,(12-MONTH(E36)+1)/12))))-(IF(OR(N36="",N36&lt;=0),0,(O36/N36)*(IF(OR(N36="",N36&lt;=0),0,IF((YEAR(D36)+17)&lt;YEAR(E36),0,IF((YEAR(D36)+17)&gt;=YEAR(E36)+N36,0,IF((YEAR(D36)+17)=YEAR(E36),(12-MONTH(E36)+1)/12,1))))))))&gt;0,(((K36)*(IF(M36="",L36,IFERROR(IF(INDEX(Variablen!$I:$AT, MATCH(M36, Variablen!$A:$A, 0), MATCH((YEAR(D36)+17), Variablen!$I$3:$AT$3, 0))="",L36,INDEX(Variablen!$I:$AT, MATCH(M36, Variablen!$A:$A, 0), MATCH((YEAR(D36)+17), Variablen!$I$3:$AT$3, 0))),L36)))*(IF((YEAR(D36)+17)&lt;YEAR(E36),0,IF((YEAR(D36)+17)&gt;YEAR(E36),1,(12-MONTH(E36)+1)/12))) + (Q36)*(IF((YEAR(D36)+17)&lt;YEAR(E36),0,IF((YEAR(D36)+17)&gt;YEAR(E36),1,(12-MONTH(E36)+1)/12))))-((P36)*(IF((YEAR(D36)+17)&lt;YEAR(E36),0,IF((YEAR(D36)+17)&gt;YEAR(E36),1,(12-MONTH(E36)+1)/12))) + (R36)*(IF((YEAR(D36)+17)&lt;YEAR(E36),0,IF((YEAR(D36)+17)&gt;YEAR(E36),1,(12-MONTH(E36)+1)/12))))-(IF(OR(N36="",N36&lt;=0),0,(O36/N36)*(IF(OR(N36="",N36&lt;=0),0,IF((YEAR(D36)+17)&lt;YEAR(E36),0,IF((YEAR(D36)+17)&gt;=YEAR(E36)+N36,0,IF((YEAR(D36)+17)=YEAR(E36),(12-MONTH(E36)+1)/12,1))))))))*TaxRate,0))-IF(17=0,O36,0))</f>
        <v/>
      </c>
      <c r="AK36" s="29">
        <f>IF(A36="","",((K36)*(IF(M36="",L36,IFERROR(IF(INDEX(Variablen!$I:$AT, MATCH(M36, Variablen!$A:$A, 0), MATCH((YEAR(D36)+18), Variablen!$I$3:$AT$3, 0))="",L36,INDEX(Variablen!$I:$AT, MATCH(M36, Variablen!$A:$A, 0), MATCH((YEAR(D36)+18), Variablen!$I$3:$AT$3, 0))),L36)))*(IF((YEAR(D36)+18)&lt;YEAR(E36),0,IF((YEAR(D36)+18)&gt;YEAR(E36),1,(12-MONTH(E36)+1)/12))) + (Q36)*(IF((YEAR(D36)+18)&lt;YEAR(E36),0,IF((YEAR(D36)+18)&gt;YEAR(E36),1,(12-MONTH(E36)+1)/12))))-((P36)*(IF((YEAR(D36)+18)&lt;YEAR(E36),0,IF((YEAR(D36)+18)&gt;YEAR(E36),1,(12-MONTH(E36)+1)/12))) + (R36)*(IF((YEAR(D36)+18)&lt;YEAR(E36),0,IF((YEAR(D36)+18)&gt;YEAR(E36),1,(12-MONTH(E36)+1)/12))))-(IF((((K36)*(IF(M36="",L36,IFERROR(IF(INDEX(Variablen!$I:$AT, MATCH(M36, Variablen!$A:$A, 0), MATCH((YEAR(D36)+18), Variablen!$I$3:$AT$3, 0))="",L36,INDEX(Variablen!$I:$AT, MATCH(M36, Variablen!$A:$A, 0), MATCH((YEAR(D36)+18), Variablen!$I$3:$AT$3, 0))),L36)))*(IF((YEAR(D36)+18)&lt;YEAR(E36),0,IF((YEAR(D36)+18)&gt;YEAR(E36),1,(12-MONTH(E36)+1)/12))) + (Q36)*(IF((YEAR(D36)+18)&lt;YEAR(E36),0,IF((YEAR(D36)+18)&gt;YEAR(E36),1,(12-MONTH(E36)+1)/12))))-((P36)*(IF((YEAR(D36)+18)&lt;YEAR(E36),0,IF((YEAR(D36)+18)&gt;YEAR(E36),1,(12-MONTH(E36)+1)/12))) + (R36)*(IF((YEAR(D36)+18)&lt;YEAR(E36),0,IF((YEAR(D36)+18)&gt;YEAR(E36),1,(12-MONTH(E36)+1)/12))))-(IF(OR(N36="",N36&lt;=0),0,(O36/N36)*(IF(OR(N36="",N36&lt;=0),0,IF((YEAR(D36)+18)&lt;YEAR(E36),0,IF((YEAR(D36)+18)&gt;=YEAR(E36)+N36,0,IF((YEAR(D36)+18)=YEAR(E36),(12-MONTH(E36)+1)/12,1))))))))&gt;0,(((K36)*(IF(M36="",L36,IFERROR(IF(INDEX(Variablen!$I:$AT, MATCH(M36, Variablen!$A:$A, 0), MATCH((YEAR(D36)+18), Variablen!$I$3:$AT$3, 0))="",L36,INDEX(Variablen!$I:$AT, MATCH(M36, Variablen!$A:$A, 0), MATCH((YEAR(D36)+18), Variablen!$I$3:$AT$3, 0))),L36)))*(IF((YEAR(D36)+18)&lt;YEAR(E36),0,IF((YEAR(D36)+18)&gt;YEAR(E36),1,(12-MONTH(E36)+1)/12))) + (Q36)*(IF((YEAR(D36)+18)&lt;YEAR(E36),0,IF((YEAR(D36)+18)&gt;YEAR(E36),1,(12-MONTH(E36)+1)/12))))-((P36)*(IF((YEAR(D36)+18)&lt;YEAR(E36),0,IF((YEAR(D36)+18)&gt;YEAR(E36),1,(12-MONTH(E36)+1)/12))) + (R36)*(IF((YEAR(D36)+18)&lt;YEAR(E36),0,IF((YEAR(D36)+18)&gt;YEAR(E36),1,(12-MONTH(E36)+1)/12))))-(IF(OR(N36="",N36&lt;=0),0,(O36/N36)*(IF(OR(N36="",N36&lt;=0),0,IF((YEAR(D36)+18)&lt;YEAR(E36),0,IF((YEAR(D36)+18)&gt;=YEAR(E36)+N36,0,IF((YEAR(D36)+18)=YEAR(E36),(12-MONTH(E36)+1)/12,1))))))))*TaxRate,0))-IF(18=0,O36,0))</f>
        <v/>
      </c>
      <c r="AL36" s="29">
        <f>IF(A36="","",((K36)*(IF(M36="",L36,IFERROR(IF(INDEX(Variablen!$I:$AT, MATCH(M36, Variablen!$A:$A, 0), MATCH((YEAR(D36)+19), Variablen!$I$3:$AT$3, 0))="",L36,INDEX(Variablen!$I:$AT, MATCH(M36, Variablen!$A:$A, 0), MATCH((YEAR(D36)+19), Variablen!$I$3:$AT$3, 0))),L36)))*(IF((YEAR(D36)+19)&lt;YEAR(E36),0,IF((YEAR(D36)+19)&gt;YEAR(E36),1,(12-MONTH(E36)+1)/12))) + (Q36)*(IF((YEAR(D36)+19)&lt;YEAR(E36),0,IF((YEAR(D36)+19)&gt;YEAR(E36),1,(12-MONTH(E36)+1)/12))))-((P36)*(IF((YEAR(D36)+19)&lt;YEAR(E36),0,IF((YEAR(D36)+19)&gt;YEAR(E36),1,(12-MONTH(E36)+1)/12))) + (R36)*(IF((YEAR(D36)+19)&lt;YEAR(E36),0,IF((YEAR(D36)+19)&gt;YEAR(E36),1,(12-MONTH(E36)+1)/12))))-(IF((((K36)*(IF(M36="",L36,IFERROR(IF(INDEX(Variablen!$I:$AT, MATCH(M36, Variablen!$A:$A, 0), MATCH((YEAR(D36)+19), Variablen!$I$3:$AT$3, 0))="",L36,INDEX(Variablen!$I:$AT, MATCH(M36, Variablen!$A:$A, 0), MATCH((YEAR(D36)+19), Variablen!$I$3:$AT$3, 0))),L36)))*(IF((YEAR(D36)+19)&lt;YEAR(E36),0,IF((YEAR(D36)+19)&gt;YEAR(E36),1,(12-MONTH(E36)+1)/12))) + (Q36)*(IF((YEAR(D36)+19)&lt;YEAR(E36),0,IF((YEAR(D36)+19)&gt;YEAR(E36),1,(12-MONTH(E36)+1)/12))))-((P36)*(IF((YEAR(D36)+19)&lt;YEAR(E36),0,IF((YEAR(D36)+19)&gt;YEAR(E36),1,(12-MONTH(E36)+1)/12))) + (R36)*(IF((YEAR(D36)+19)&lt;YEAR(E36),0,IF((YEAR(D36)+19)&gt;YEAR(E36),1,(12-MONTH(E36)+1)/12))))-(IF(OR(N36="",N36&lt;=0),0,(O36/N36)*(IF(OR(N36="",N36&lt;=0),0,IF((YEAR(D36)+19)&lt;YEAR(E36),0,IF((YEAR(D36)+19)&gt;=YEAR(E36)+N36,0,IF((YEAR(D36)+19)=YEAR(E36),(12-MONTH(E36)+1)/12,1))))))))&gt;0,(((K36)*(IF(M36="",L36,IFERROR(IF(INDEX(Variablen!$I:$AT, MATCH(M36, Variablen!$A:$A, 0), MATCH((YEAR(D36)+19), Variablen!$I$3:$AT$3, 0))="",L36,INDEX(Variablen!$I:$AT, MATCH(M36, Variablen!$A:$A, 0), MATCH((YEAR(D36)+19), Variablen!$I$3:$AT$3, 0))),L36)))*(IF((YEAR(D36)+19)&lt;YEAR(E36),0,IF((YEAR(D36)+19)&gt;YEAR(E36),1,(12-MONTH(E36)+1)/12))) + (Q36)*(IF((YEAR(D36)+19)&lt;YEAR(E36),0,IF((YEAR(D36)+19)&gt;YEAR(E36),1,(12-MONTH(E36)+1)/12))))-((P36)*(IF((YEAR(D36)+19)&lt;YEAR(E36),0,IF((YEAR(D36)+19)&gt;YEAR(E36),1,(12-MONTH(E36)+1)/12))) + (R36)*(IF((YEAR(D36)+19)&lt;YEAR(E36),0,IF((YEAR(D36)+19)&gt;YEAR(E36),1,(12-MONTH(E36)+1)/12))))-(IF(OR(N36="",N36&lt;=0),0,(O36/N36)*(IF(OR(N36="",N36&lt;=0),0,IF((YEAR(D36)+19)&lt;YEAR(E36),0,IF((YEAR(D36)+19)&gt;=YEAR(E36)+N36,0,IF((YEAR(D36)+19)=YEAR(E36),(12-MONTH(E36)+1)/12,1))))))))*TaxRate,0))-IF(19=0,O36,0))</f>
        <v/>
      </c>
      <c r="AM36" s="29">
        <f>IF(A36="","",((K36)*(IF(M36="",L36,IFERROR(IF(INDEX(Variablen!$I:$AT, MATCH(M36, Variablen!$A:$A, 0), MATCH((YEAR(D36)+20), Variablen!$I$3:$AT$3, 0))="",L36,INDEX(Variablen!$I:$AT, MATCH(M36, Variablen!$A:$A, 0), MATCH((YEAR(D36)+20), Variablen!$I$3:$AT$3, 0))),L36)))*(IF((YEAR(D36)+20)&lt;YEAR(E36),0,IF((YEAR(D36)+20)&gt;YEAR(E36),1,(12-MONTH(E36)+1)/12))) + (Q36)*(IF((YEAR(D36)+20)&lt;YEAR(E36),0,IF((YEAR(D36)+20)&gt;YEAR(E36),1,(12-MONTH(E36)+1)/12))))-((P36)*(IF((YEAR(D36)+20)&lt;YEAR(E36),0,IF((YEAR(D36)+20)&gt;YEAR(E36),1,(12-MONTH(E36)+1)/12))) + (R36)*(IF((YEAR(D36)+20)&lt;YEAR(E36),0,IF((YEAR(D36)+20)&gt;YEAR(E36),1,(12-MONTH(E36)+1)/12))))-(IF((((K36)*(IF(M36="",L36,IFERROR(IF(INDEX(Variablen!$I:$AT, MATCH(M36, Variablen!$A:$A, 0), MATCH((YEAR(D36)+20), Variablen!$I$3:$AT$3, 0))="",L36,INDEX(Variablen!$I:$AT, MATCH(M36, Variablen!$A:$A, 0), MATCH((YEAR(D36)+20), Variablen!$I$3:$AT$3, 0))),L36)))*(IF((YEAR(D36)+20)&lt;YEAR(E36),0,IF((YEAR(D36)+20)&gt;YEAR(E36),1,(12-MONTH(E36)+1)/12))) + (Q36)*(IF((YEAR(D36)+20)&lt;YEAR(E36),0,IF((YEAR(D36)+20)&gt;YEAR(E36),1,(12-MONTH(E36)+1)/12))))-((P36)*(IF((YEAR(D36)+20)&lt;YEAR(E36),0,IF((YEAR(D36)+20)&gt;YEAR(E36),1,(12-MONTH(E36)+1)/12))) + (R36)*(IF((YEAR(D36)+20)&lt;YEAR(E36),0,IF((YEAR(D36)+20)&gt;YEAR(E36),1,(12-MONTH(E36)+1)/12))))-(IF(OR(N36="",N36&lt;=0),0,(O36/N36)*(IF(OR(N36="",N36&lt;=0),0,IF((YEAR(D36)+20)&lt;YEAR(E36),0,IF((YEAR(D36)+20)&gt;=YEAR(E36)+N36,0,IF((YEAR(D36)+20)=YEAR(E36),(12-MONTH(E36)+1)/12,1))))))))&gt;0,(((K36)*(IF(M36="",L36,IFERROR(IF(INDEX(Variablen!$I:$AT, MATCH(M36, Variablen!$A:$A, 0), MATCH((YEAR(D36)+20), Variablen!$I$3:$AT$3, 0))="",L36,INDEX(Variablen!$I:$AT, MATCH(M36, Variablen!$A:$A, 0), MATCH((YEAR(D36)+20), Variablen!$I$3:$AT$3, 0))),L36)))*(IF((YEAR(D36)+20)&lt;YEAR(E36),0,IF((YEAR(D36)+20)&gt;YEAR(E36),1,(12-MONTH(E36)+1)/12))) + (Q36)*(IF((YEAR(D36)+20)&lt;YEAR(E36),0,IF((YEAR(D36)+20)&gt;YEAR(E36),1,(12-MONTH(E36)+1)/12))))-((P36)*(IF((YEAR(D36)+20)&lt;YEAR(E36),0,IF((YEAR(D36)+20)&gt;YEAR(E36),1,(12-MONTH(E36)+1)/12))) + (R36)*(IF((YEAR(D36)+20)&lt;YEAR(E36),0,IF((YEAR(D36)+20)&gt;YEAR(E36),1,(12-MONTH(E36)+1)/12))))-(IF(OR(N36="",N36&lt;=0),0,(O36/N36)*(IF(OR(N36="",N36&lt;=0),0,IF((YEAR(D36)+20)&lt;YEAR(E36),0,IF((YEAR(D36)+20)&gt;=YEAR(E36)+N36,0,IF((YEAR(D36)+20)=YEAR(E36),(12-MONTH(E36)+1)/12,1))))))))*TaxRate,0))-IF(20=0,O36,0))</f>
        <v/>
      </c>
      <c r="AN36" s="29">
        <f>IF(A36="","",S36)</f>
        <v/>
      </c>
      <c r="AO36" s="29">
        <f>IF(A36="","",AN36+T36)</f>
        <v/>
      </c>
      <c r="AP36" s="29">
        <f>IF(A36="","",AO36+U36)</f>
        <v/>
      </c>
      <c r="AQ36" s="29">
        <f>IF(A36="","",AP36+V36)</f>
        <v/>
      </c>
      <c r="AR36" s="29">
        <f>IF(A36="","",AQ36+W36)</f>
        <v/>
      </c>
      <c r="AS36" s="29">
        <f>IF(A36="","",AR36+X36)</f>
        <v/>
      </c>
      <c r="AT36" s="29">
        <f>IF(A36="","",AS36+Y36)</f>
        <v/>
      </c>
      <c r="AU36" s="29">
        <f>IF(A36="","",AT36+Z36)</f>
        <v/>
      </c>
      <c r="AV36" s="29">
        <f>IF(A36="","",AU36+AA36)</f>
        <v/>
      </c>
      <c r="AW36" s="29">
        <f>IF(A36="","",AV36+AB36)</f>
        <v/>
      </c>
      <c r="AX36" s="29">
        <f>IF(A36="","",AW36+AC36)</f>
        <v/>
      </c>
      <c r="AY36" s="29">
        <f>IF(A36="","",AX36+AD36)</f>
        <v/>
      </c>
      <c r="AZ36" s="29">
        <f>IF(A36="","",AY36+AE36)</f>
        <v/>
      </c>
      <c r="BA36" s="29">
        <f>IF(A36="","",AZ36+AF36)</f>
        <v/>
      </c>
      <c r="BB36" s="29">
        <f>IF(A36="","",BA36+AG36)</f>
        <v/>
      </c>
      <c r="BC36" s="29">
        <f>IF(A36="","",BB36+AH36)</f>
        <v/>
      </c>
      <c r="BD36" s="29">
        <f>IF(A36="","",BC36+AI36)</f>
        <v/>
      </c>
      <c r="BE36" s="29">
        <f>IF(A36="","",BD36+AJ36)</f>
        <v/>
      </c>
      <c r="BF36" s="29">
        <f>IF(A36="","",BE36+AK36)</f>
        <v/>
      </c>
      <c r="BG36" s="29">
        <f>IF(A36="","",BF36+AL36)</f>
        <v/>
      </c>
      <c r="BH36" s="29">
        <f>IF(A36="","",BG36+AM36)</f>
        <v/>
      </c>
      <c r="BI36" s="36">
        <f>IF(A36="","",(K36)*(IF((YEAR(D36)+0)&lt;YEAR(E36),0,IF((YEAR(D36)+0)&gt;YEAR(E36),1,(12-MONTH(E36)+1)/12)))*(1/(1+DiscountRate)^0))</f>
        <v/>
      </c>
      <c r="BJ36" s="36">
        <f>IF(A36="","",(K36)*(IF((YEAR(D36)+1)&lt;YEAR(E36),0,IF((YEAR(D36)+1)&gt;YEAR(E36),1,(12-MONTH(E36)+1)/12)))*(1/(1+DiscountRate)^1))</f>
        <v/>
      </c>
      <c r="BK36" s="36">
        <f>IF(A36="","",(K36)*(IF((YEAR(D36)+2)&lt;YEAR(E36),0,IF((YEAR(D36)+2)&gt;YEAR(E36),1,(12-MONTH(E36)+1)/12)))*(1/(1+DiscountRate)^2))</f>
        <v/>
      </c>
      <c r="BL36" s="36">
        <f>IF(A36="","",(K36)*(IF((YEAR(D36)+3)&lt;YEAR(E36),0,IF((YEAR(D36)+3)&gt;YEAR(E36),1,(12-MONTH(E36)+1)/12)))*(1/(1+DiscountRate)^3))</f>
        <v/>
      </c>
      <c r="BM36" s="36">
        <f>IF(A36="","",(K36)*(IF((YEAR(D36)+4)&lt;YEAR(E36),0,IF((YEAR(D36)+4)&gt;YEAR(E36),1,(12-MONTH(E36)+1)/12)))*(1/(1+DiscountRate)^4))</f>
        <v/>
      </c>
      <c r="BN36" s="36">
        <f>IF(A36="","",(K36)*(IF((YEAR(D36)+5)&lt;YEAR(E36),0,IF((YEAR(D36)+5)&gt;YEAR(E36),1,(12-MONTH(E36)+1)/12)))*(1/(1+DiscountRate)^5))</f>
        <v/>
      </c>
      <c r="BO36" s="36">
        <f>IF(A36="","",(K36)*(IF((YEAR(D36)+6)&lt;YEAR(E36),0,IF((YEAR(D36)+6)&gt;YEAR(E36),1,(12-MONTH(E36)+1)/12)))*(1/(1+DiscountRate)^6))</f>
        <v/>
      </c>
      <c r="BP36" s="36">
        <f>IF(A36="","",(K36)*(IF((YEAR(D36)+7)&lt;YEAR(E36),0,IF((YEAR(D36)+7)&gt;YEAR(E36),1,(12-MONTH(E36)+1)/12)))*(1/(1+DiscountRate)^7))</f>
        <v/>
      </c>
      <c r="BQ36" s="36">
        <f>IF(A36="","",(K36)*(IF((YEAR(D36)+8)&lt;YEAR(E36),0,IF((YEAR(D36)+8)&gt;YEAR(E36),1,(12-MONTH(E36)+1)/12)))*(1/(1+DiscountRate)^8))</f>
        <v/>
      </c>
      <c r="BR36" s="36">
        <f>IF(A36="","",(K36)*(IF((YEAR(D36)+9)&lt;YEAR(E36),0,IF((YEAR(D36)+9)&gt;YEAR(E36),1,(12-MONTH(E36)+1)/12)))*(1/(1+DiscountRate)^9))</f>
        <v/>
      </c>
      <c r="BS36" s="36">
        <f>IF(A36="","",(K36)*(IF((YEAR(D36)+10)&lt;YEAR(E36),0,IF((YEAR(D36)+10)&gt;YEAR(E36),1,(12-MONTH(E36)+1)/12)))*(1/(1+DiscountRate)^10))</f>
        <v/>
      </c>
      <c r="BT36" s="36">
        <f>IF(A36="","",(K36)*(IF((YEAR(D36)+11)&lt;YEAR(E36),0,IF((YEAR(D36)+11)&gt;YEAR(E36),1,(12-MONTH(E36)+1)/12)))*(1/(1+DiscountRate)^11))</f>
        <v/>
      </c>
      <c r="BU36" s="36">
        <f>IF(A36="","",(K36)*(IF((YEAR(D36)+12)&lt;YEAR(E36),0,IF((YEAR(D36)+12)&gt;YEAR(E36),1,(12-MONTH(E36)+1)/12)))*(1/(1+DiscountRate)^12))</f>
        <v/>
      </c>
      <c r="BV36" s="36">
        <f>IF(A36="","",(K36)*(IF((YEAR(D36)+13)&lt;YEAR(E36),0,IF((YEAR(D36)+13)&gt;YEAR(E36),1,(12-MONTH(E36)+1)/12)))*(1/(1+DiscountRate)^13))</f>
        <v/>
      </c>
      <c r="BW36" s="36">
        <f>IF(A36="","",(K36)*(IF((YEAR(D36)+14)&lt;YEAR(E36),0,IF((YEAR(D36)+14)&gt;YEAR(E36),1,(12-MONTH(E36)+1)/12)))*(1/(1+DiscountRate)^14))</f>
        <v/>
      </c>
      <c r="BX36" s="36">
        <f>IF(A36="","",(K36)*(IF((YEAR(D36)+15)&lt;YEAR(E36),0,IF((YEAR(D36)+15)&gt;YEAR(E36),1,(12-MONTH(E36)+1)/12)))*(1/(1+DiscountRate)^15))</f>
        <v/>
      </c>
      <c r="BY36" s="36">
        <f>IF(A36="","",(K36)*(IF((YEAR(D36)+16)&lt;YEAR(E36),0,IF((YEAR(D36)+16)&gt;YEAR(E36),1,(12-MONTH(E36)+1)/12)))*(1/(1+DiscountRate)^16))</f>
        <v/>
      </c>
      <c r="BZ36" s="36">
        <f>IF(A36="","",(K36)*(IF((YEAR(D36)+17)&lt;YEAR(E36),0,IF((YEAR(D36)+17)&gt;YEAR(E36),1,(12-MONTH(E36)+1)/12)))*(1/(1+DiscountRate)^17))</f>
        <v/>
      </c>
      <c r="CA36" s="36">
        <f>IF(A36="","",(K36)*(IF((YEAR(D36)+18)&lt;YEAR(E36),0,IF((YEAR(D36)+18)&gt;YEAR(E36),1,(12-MONTH(E36)+1)/12)))*(1/(1+DiscountRate)^18))</f>
        <v/>
      </c>
      <c r="CB36" s="36">
        <f>IF(A36="","",(K36)*(IF((YEAR(D36)+19)&lt;YEAR(E36),0,IF((YEAR(D36)+19)&gt;YEAR(E36),1,(12-MONTH(E36)+1)/12)))*(1/(1+DiscountRate)^19))</f>
        <v/>
      </c>
      <c r="CC36" s="36">
        <f>IF(A36="","",(K36)*(IF((YEAR(D36)+20)&lt;YEAR(E36),0,IF((YEAR(D36)+20)&gt;YEAR(E36),1,(12-MONTH(E36)+1)/12)))*(1/(1+DiscountRate)^20))</f>
        <v/>
      </c>
      <c r="CD36" s="29">
        <f>IF(A36="","",S36/(1+DiscountRate)^0+T36/(1+DiscountRate)^1+U36/(1+DiscountRate)^2+V36/(1+DiscountRate)^3+W36/(1+DiscountRate)^4+X36/(1+DiscountRate)^5+Y36/(1+DiscountRate)^6+Z36/(1+DiscountRate)^7+AA36/(1+DiscountRate)^8+AB36/(1+DiscountRate)^9+AC36/(1+DiscountRate)^10+AD36/(1+DiscountRate)^11+AE36/(1+DiscountRate)^12+AF36/(1+DiscountRate)^13+AG36/(1+DiscountRate)^14+AH36/(1+DiscountRate)^15+AI36/(1+DiscountRate)^16+AJ36/(1+DiscountRate)^17+AK36/(1+DiscountRate)^18+AL36/(1+DiscountRate)^19+AM36/(1+DiscountRate)^20)</f>
        <v/>
      </c>
      <c r="CE36" s="37">
        <f>IF(A36="","",IFERROR(IRR(OFFSET(S36,0,0,1,MIN(HorizonYears,20)+1)),"n/a"))</f>
        <v/>
      </c>
      <c r="CF36" s="28">
        <f>IF(A36="","",IFERROR(MATCH(TRUE,OFFSET(AN36,0,0,1,MIN(HorizonYears,20)+1)&gt;=0,0)-1,"n/a"))</f>
        <v/>
      </c>
      <c r="CG36" s="36">
        <f>IF(A36="","",SUM(OFFSET(BI36,0,0,1,MIN(HorizonYears,20)+1)))</f>
        <v/>
      </c>
      <c r="CH36" s="36">
        <f>IF(A36="","",IFERROR(-CD36/CG36,"n/a"))</f>
        <v/>
      </c>
    </row>
    <row r="37">
      <c r="A37" s="6">
        <f>Actions!A35</f>
        <v/>
      </c>
      <c r="B37" s="6">
        <f>Actions!B35</f>
        <v/>
      </c>
      <c r="C37" s="6">
        <f>Actions!D35</f>
        <v/>
      </c>
      <c r="D37" s="35">
        <f>Actions!E35</f>
        <v/>
      </c>
      <c r="E37" s="35">
        <f>Actions!F35</f>
        <v/>
      </c>
      <c r="F37" s="6">
        <f>Actions!G35</f>
        <v/>
      </c>
      <c r="G37" s="6">
        <f>Actions!H35</f>
        <v/>
      </c>
      <c r="H37" s="29">
        <f>Actions!I35</f>
        <v/>
      </c>
      <c r="I37" s="6">
        <f>Actions!J35</f>
        <v/>
      </c>
      <c r="J37" s="16">
        <f>Actions!K35</f>
        <v/>
      </c>
      <c r="K37" s="16">
        <f>IF(A37="","",IF(I37="%",H37*J37,J37))</f>
        <v/>
      </c>
      <c r="L37" s="16">
        <f>Actions!L35</f>
        <v/>
      </c>
      <c r="M37" s="6">
        <f>Actions!M35</f>
        <v/>
      </c>
      <c r="N37" s="28">
        <f>Actions!N35</f>
        <v/>
      </c>
      <c r="O37" s="29">
        <f>Actions!T35</f>
        <v/>
      </c>
      <c r="P37" s="29">
        <f>Actions!Y35</f>
        <v/>
      </c>
      <c r="Q37" s="29">
        <f>Actions!Z35</f>
        <v/>
      </c>
      <c r="R37" s="29">
        <f>Actions!AA35</f>
        <v/>
      </c>
      <c r="S37" s="29">
        <f>IF(A37="","",((K37)*(IF(M37="",L37,IFERROR(IF(INDEX(Variablen!$I:$AT, MATCH(M37, Variablen!$A:$A, 0), MATCH((YEAR(D37)+0), Variablen!$I$3:$AT$3, 0))="",L37,INDEX(Variablen!$I:$AT, MATCH(M37, Variablen!$A:$A, 0), MATCH((YEAR(D37)+0), Variablen!$I$3:$AT$3, 0))),L37)))*(IF((YEAR(D37)+0)&lt;YEAR(E37),0,IF((YEAR(D37)+0)&gt;YEAR(E37),1,(12-MONTH(E37)+1)/12))) + (Q37)*(IF((YEAR(D37)+0)&lt;YEAR(E37),0,IF((YEAR(D37)+0)&gt;YEAR(E37),1,(12-MONTH(E37)+1)/12))))-((P37)*(IF((YEAR(D37)+0)&lt;YEAR(E37),0,IF((YEAR(D37)+0)&gt;YEAR(E37),1,(12-MONTH(E37)+1)/12))) + (R37)*(IF((YEAR(D37)+0)&lt;YEAR(E37),0,IF((YEAR(D37)+0)&gt;YEAR(E37),1,(12-MONTH(E37)+1)/12))))-(IF((((K37)*(IF(M37="",L37,IFERROR(IF(INDEX(Variablen!$I:$AT, MATCH(M37, Variablen!$A:$A, 0), MATCH((YEAR(D37)+0), Variablen!$I$3:$AT$3, 0))="",L37,INDEX(Variablen!$I:$AT, MATCH(M37, Variablen!$A:$A, 0), MATCH((YEAR(D37)+0), Variablen!$I$3:$AT$3, 0))),L37)))*(IF((YEAR(D37)+0)&lt;YEAR(E37),0,IF((YEAR(D37)+0)&gt;YEAR(E37),1,(12-MONTH(E37)+1)/12))) + (Q37)*(IF((YEAR(D37)+0)&lt;YEAR(E37),0,IF((YEAR(D37)+0)&gt;YEAR(E37),1,(12-MONTH(E37)+1)/12))))-((P37)*(IF((YEAR(D37)+0)&lt;YEAR(E37),0,IF((YEAR(D37)+0)&gt;YEAR(E37),1,(12-MONTH(E37)+1)/12))) + (R37)*(IF((YEAR(D37)+0)&lt;YEAR(E37),0,IF((YEAR(D37)+0)&gt;YEAR(E37),1,(12-MONTH(E37)+1)/12))))-(IF(OR(N37="",N37&lt;=0),0,(O37/N37)*(IF(OR(N37="",N37&lt;=0),0,IF((YEAR(D37)+0)&lt;YEAR(E37),0,IF((YEAR(D37)+0)&gt;=YEAR(E37)+N37,0,IF((YEAR(D37)+0)=YEAR(E37),(12-MONTH(E37)+1)/12,1))))))))&gt;0,(((K37)*(IF(M37="",L37,IFERROR(IF(INDEX(Variablen!$I:$AT, MATCH(M37, Variablen!$A:$A, 0), MATCH((YEAR(D37)+0), Variablen!$I$3:$AT$3, 0))="",L37,INDEX(Variablen!$I:$AT, MATCH(M37, Variablen!$A:$A, 0), MATCH((YEAR(D37)+0), Variablen!$I$3:$AT$3, 0))),L37)))*(IF((YEAR(D37)+0)&lt;YEAR(E37),0,IF((YEAR(D37)+0)&gt;YEAR(E37),1,(12-MONTH(E37)+1)/12))) + (Q37)*(IF((YEAR(D37)+0)&lt;YEAR(E37),0,IF((YEAR(D37)+0)&gt;YEAR(E37),1,(12-MONTH(E37)+1)/12))))-((P37)*(IF((YEAR(D37)+0)&lt;YEAR(E37),0,IF((YEAR(D37)+0)&gt;YEAR(E37),1,(12-MONTH(E37)+1)/12))) + (R37)*(IF((YEAR(D37)+0)&lt;YEAR(E37),0,IF((YEAR(D37)+0)&gt;YEAR(E37),1,(12-MONTH(E37)+1)/12))))-(IF(OR(N37="",N37&lt;=0),0,(O37/N37)*(IF(OR(N37="",N37&lt;=0),0,IF((YEAR(D37)+0)&lt;YEAR(E37),0,IF((YEAR(D37)+0)&gt;=YEAR(E37)+N37,0,IF((YEAR(D37)+0)=YEAR(E37),(12-MONTH(E37)+1)/12,1))))))))*TaxRate,0))-IF(0=0,O37,0))</f>
        <v/>
      </c>
      <c r="T37" s="29">
        <f>IF(A37="","",((K37)*(IF(M37="",L37,IFERROR(IF(INDEX(Variablen!$I:$AT, MATCH(M37, Variablen!$A:$A, 0), MATCH((YEAR(D37)+1), Variablen!$I$3:$AT$3, 0))="",L37,INDEX(Variablen!$I:$AT, MATCH(M37, Variablen!$A:$A, 0), MATCH((YEAR(D37)+1), Variablen!$I$3:$AT$3, 0))),L37)))*(IF((YEAR(D37)+1)&lt;YEAR(E37),0,IF((YEAR(D37)+1)&gt;YEAR(E37),1,(12-MONTH(E37)+1)/12))) + (Q37)*(IF((YEAR(D37)+1)&lt;YEAR(E37),0,IF((YEAR(D37)+1)&gt;YEAR(E37),1,(12-MONTH(E37)+1)/12))))-((P37)*(IF((YEAR(D37)+1)&lt;YEAR(E37),0,IF((YEAR(D37)+1)&gt;YEAR(E37),1,(12-MONTH(E37)+1)/12))) + (R37)*(IF((YEAR(D37)+1)&lt;YEAR(E37),0,IF((YEAR(D37)+1)&gt;YEAR(E37),1,(12-MONTH(E37)+1)/12))))-(IF((((K37)*(IF(M37="",L37,IFERROR(IF(INDEX(Variablen!$I:$AT, MATCH(M37, Variablen!$A:$A, 0), MATCH((YEAR(D37)+1), Variablen!$I$3:$AT$3, 0))="",L37,INDEX(Variablen!$I:$AT, MATCH(M37, Variablen!$A:$A, 0), MATCH((YEAR(D37)+1), Variablen!$I$3:$AT$3, 0))),L37)))*(IF((YEAR(D37)+1)&lt;YEAR(E37),0,IF((YEAR(D37)+1)&gt;YEAR(E37),1,(12-MONTH(E37)+1)/12))) + (Q37)*(IF((YEAR(D37)+1)&lt;YEAR(E37),0,IF((YEAR(D37)+1)&gt;YEAR(E37),1,(12-MONTH(E37)+1)/12))))-((P37)*(IF((YEAR(D37)+1)&lt;YEAR(E37),0,IF((YEAR(D37)+1)&gt;YEAR(E37),1,(12-MONTH(E37)+1)/12))) + (R37)*(IF((YEAR(D37)+1)&lt;YEAR(E37),0,IF((YEAR(D37)+1)&gt;YEAR(E37),1,(12-MONTH(E37)+1)/12))))-(IF(OR(N37="",N37&lt;=0),0,(O37/N37)*(IF(OR(N37="",N37&lt;=0),0,IF((YEAR(D37)+1)&lt;YEAR(E37),0,IF((YEAR(D37)+1)&gt;=YEAR(E37)+N37,0,IF((YEAR(D37)+1)=YEAR(E37),(12-MONTH(E37)+1)/12,1))))))))&gt;0,(((K37)*(IF(M37="",L37,IFERROR(IF(INDEX(Variablen!$I:$AT, MATCH(M37, Variablen!$A:$A, 0), MATCH((YEAR(D37)+1), Variablen!$I$3:$AT$3, 0))="",L37,INDEX(Variablen!$I:$AT, MATCH(M37, Variablen!$A:$A, 0), MATCH((YEAR(D37)+1), Variablen!$I$3:$AT$3, 0))),L37)))*(IF((YEAR(D37)+1)&lt;YEAR(E37),0,IF((YEAR(D37)+1)&gt;YEAR(E37),1,(12-MONTH(E37)+1)/12))) + (Q37)*(IF((YEAR(D37)+1)&lt;YEAR(E37),0,IF((YEAR(D37)+1)&gt;YEAR(E37),1,(12-MONTH(E37)+1)/12))))-((P37)*(IF((YEAR(D37)+1)&lt;YEAR(E37),0,IF((YEAR(D37)+1)&gt;YEAR(E37),1,(12-MONTH(E37)+1)/12))) + (R37)*(IF((YEAR(D37)+1)&lt;YEAR(E37),0,IF((YEAR(D37)+1)&gt;YEAR(E37),1,(12-MONTH(E37)+1)/12))))-(IF(OR(N37="",N37&lt;=0),0,(O37/N37)*(IF(OR(N37="",N37&lt;=0),0,IF((YEAR(D37)+1)&lt;YEAR(E37),0,IF((YEAR(D37)+1)&gt;=YEAR(E37)+N37,0,IF((YEAR(D37)+1)=YEAR(E37),(12-MONTH(E37)+1)/12,1))))))))*TaxRate,0))-IF(1=0,O37,0))</f>
        <v/>
      </c>
      <c r="U37" s="29">
        <f>IF(A37="","",((K37)*(IF(M37="",L37,IFERROR(IF(INDEX(Variablen!$I:$AT, MATCH(M37, Variablen!$A:$A, 0), MATCH((YEAR(D37)+2), Variablen!$I$3:$AT$3, 0))="",L37,INDEX(Variablen!$I:$AT, MATCH(M37, Variablen!$A:$A, 0), MATCH((YEAR(D37)+2), Variablen!$I$3:$AT$3, 0))),L37)))*(IF((YEAR(D37)+2)&lt;YEAR(E37),0,IF((YEAR(D37)+2)&gt;YEAR(E37),1,(12-MONTH(E37)+1)/12))) + (Q37)*(IF((YEAR(D37)+2)&lt;YEAR(E37),0,IF((YEAR(D37)+2)&gt;YEAR(E37),1,(12-MONTH(E37)+1)/12))))-((P37)*(IF((YEAR(D37)+2)&lt;YEAR(E37),0,IF((YEAR(D37)+2)&gt;YEAR(E37),1,(12-MONTH(E37)+1)/12))) + (R37)*(IF((YEAR(D37)+2)&lt;YEAR(E37),0,IF((YEAR(D37)+2)&gt;YEAR(E37),1,(12-MONTH(E37)+1)/12))))-(IF((((K37)*(IF(M37="",L37,IFERROR(IF(INDEX(Variablen!$I:$AT, MATCH(M37, Variablen!$A:$A, 0), MATCH((YEAR(D37)+2), Variablen!$I$3:$AT$3, 0))="",L37,INDEX(Variablen!$I:$AT, MATCH(M37, Variablen!$A:$A, 0), MATCH((YEAR(D37)+2), Variablen!$I$3:$AT$3, 0))),L37)))*(IF((YEAR(D37)+2)&lt;YEAR(E37),0,IF((YEAR(D37)+2)&gt;YEAR(E37),1,(12-MONTH(E37)+1)/12))) + (Q37)*(IF((YEAR(D37)+2)&lt;YEAR(E37),0,IF((YEAR(D37)+2)&gt;YEAR(E37),1,(12-MONTH(E37)+1)/12))))-((P37)*(IF((YEAR(D37)+2)&lt;YEAR(E37),0,IF((YEAR(D37)+2)&gt;YEAR(E37),1,(12-MONTH(E37)+1)/12))) + (R37)*(IF((YEAR(D37)+2)&lt;YEAR(E37),0,IF((YEAR(D37)+2)&gt;YEAR(E37),1,(12-MONTH(E37)+1)/12))))-(IF(OR(N37="",N37&lt;=0),0,(O37/N37)*(IF(OR(N37="",N37&lt;=0),0,IF((YEAR(D37)+2)&lt;YEAR(E37),0,IF((YEAR(D37)+2)&gt;=YEAR(E37)+N37,0,IF((YEAR(D37)+2)=YEAR(E37),(12-MONTH(E37)+1)/12,1))))))))&gt;0,(((K37)*(IF(M37="",L37,IFERROR(IF(INDEX(Variablen!$I:$AT, MATCH(M37, Variablen!$A:$A, 0), MATCH((YEAR(D37)+2), Variablen!$I$3:$AT$3, 0))="",L37,INDEX(Variablen!$I:$AT, MATCH(M37, Variablen!$A:$A, 0), MATCH((YEAR(D37)+2), Variablen!$I$3:$AT$3, 0))),L37)))*(IF((YEAR(D37)+2)&lt;YEAR(E37),0,IF((YEAR(D37)+2)&gt;YEAR(E37),1,(12-MONTH(E37)+1)/12))) + (Q37)*(IF((YEAR(D37)+2)&lt;YEAR(E37),0,IF((YEAR(D37)+2)&gt;YEAR(E37),1,(12-MONTH(E37)+1)/12))))-((P37)*(IF((YEAR(D37)+2)&lt;YEAR(E37),0,IF((YEAR(D37)+2)&gt;YEAR(E37),1,(12-MONTH(E37)+1)/12))) + (R37)*(IF((YEAR(D37)+2)&lt;YEAR(E37),0,IF((YEAR(D37)+2)&gt;YEAR(E37),1,(12-MONTH(E37)+1)/12))))-(IF(OR(N37="",N37&lt;=0),0,(O37/N37)*(IF(OR(N37="",N37&lt;=0),0,IF((YEAR(D37)+2)&lt;YEAR(E37),0,IF((YEAR(D37)+2)&gt;=YEAR(E37)+N37,0,IF((YEAR(D37)+2)=YEAR(E37),(12-MONTH(E37)+1)/12,1))))))))*TaxRate,0))-IF(2=0,O37,0))</f>
        <v/>
      </c>
      <c r="V37" s="29">
        <f>IF(A37="","",((K37)*(IF(M37="",L37,IFERROR(IF(INDEX(Variablen!$I:$AT, MATCH(M37, Variablen!$A:$A, 0), MATCH((YEAR(D37)+3), Variablen!$I$3:$AT$3, 0))="",L37,INDEX(Variablen!$I:$AT, MATCH(M37, Variablen!$A:$A, 0), MATCH((YEAR(D37)+3), Variablen!$I$3:$AT$3, 0))),L37)))*(IF((YEAR(D37)+3)&lt;YEAR(E37),0,IF((YEAR(D37)+3)&gt;YEAR(E37),1,(12-MONTH(E37)+1)/12))) + (Q37)*(IF((YEAR(D37)+3)&lt;YEAR(E37),0,IF((YEAR(D37)+3)&gt;YEAR(E37),1,(12-MONTH(E37)+1)/12))))-((P37)*(IF((YEAR(D37)+3)&lt;YEAR(E37),0,IF((YEAR(D37)+3)&gt;YEAR(E37),1,(12-MONTH(E37)+1)/12))) + (R37)*(IF((YEAR(D37)+3)&lt;YEAR(E37),0,IF((YEAR(D37)+3)&gt;YEAR(E37),1,(12-MONTH(E37)+1)/12))))-(IF((((K37)*(IF(M37="",L37,IFERROR(IF(INDEX(Variablen!$I:$AT, MATCH(M37, Variablen!$A:$A, 0), MATCH((YEAR(D37)+3), Variablen!$I$3:$AT$3, 0))="",L37,INDEX(Variablen!$I:$AT, MATCH(M37, Variablen!$A:$A, 0), MATCH((YEAR(D37)+3), Variablen!$I$3:$AT$3, 0))),L37)))*(IF((YEAR(D37)+3)&lt;YEAR(E37),0,IF((YEAR(D37)+3)&gt;YEAR(E37),1,(12-MONTH(E37)+1)/12))) + (Q37)*(IF((YEAR(D37)+3)&lt;YEAR(E37),0,IF((YEAR(D37)+3)&gt;YEAR(E37),1,(12-MONTH(E37)+1)/12))))-((P37)*(IF((YEAR(D37)+3)&lt;YEAR(E37),0,IF((YEAR(D37)+3)&gt;YEAR(E37),1,(12-MONTH(E37)+1)/12))) + (R37)*(IF((YEAR(D37)+3)&lt;YEAR(E37),0,IF((YEAR(D37)+3)&gt;YEAR(E37),1,(12-MONTH(E37)+1)/12))))-(IF(OR(N37="",N37&lt;=0),0,(O37/N37)*(IF(OR(N37="",N37&lt;=0),0,IF((YEAR(D37)+3)&lt;YEAR(E37),0,IF((YEAR(D37)+3)&gt;=YEAR(E37)+N37,0,IF((YEAR(D37)+3)=YEAR(E37),(12-MONTH(E37)+1)/12,1))))))))&gt;0,(((K37)*(IF(M37="",L37,IFERROR(IF(INDEX(Variablen!$I:$AT, MATCH(M37, Variablen!$A:$A, 0), MATCH((YEAR(D37)+3), Variablen!$I$3:$AT$3, 0))="",L37,INDEX(Variablen!$I:$AT, MATCH(M37, Variablen!$A:$A, 0), MATCH((YEAR(D37)+3), Variablen!$I$3:$AT$3, 0))),L37)))*(IF((YEAR(D37)+3)&lt;YEAR(E37),0,IF((YEAR(D37)+3)&gt;YEAR(E37),1,(12-MONTH(E37)+1)/12))) + (Q37)*(IF((YEAR(D37)+3)&lt;YEAR(E37),0,IF((YEAR(D37)+3)&gt;YEAR(E37),1,(12-MONTH(E37)+1)/12))))-((P37)*(IF((YEAR(D37)+3)&lt;YEAR(E37),0,IF((YEAR(D37)+3)&gt;YEAR(E37),1,(12-MONTH(E37)+1)/12))) + (R37)*(IF((YEAR(D37)+3)&lt;YEAR(E37),0,IF((YEAR(D37)+3)&gt;YEAR(E37),1,(12-MONTH(E37)+1)/12))))-(IF(OR(N37="",N37&lt;=0),0,(O37/N37)*(IF(OR(N37="",N37&lt;=0),0,IF((YEAR(D37)+3)&lt;YEAR(E37),0,IF((YEAR(D37)+3)&gt;=YEAR(E37)+N37,0,IF((YEAR(D37)+3)=YEAR(E37),(12-MONTH(E37)+1)/12,1))))))))*TaxRate,0))-IF(3=0,O37,0))</f>
        <v/>
      </c>
      <c r="W37" s="29">
        <f>IF(A37="","",((K37)*(IF(M37="",L37,IFERROR(IF(INDEX(Variablen!$I:$AT, MATCH(M37, Variablen!$A:$A, 0), MATCH((YEAR(D37)+4), Variablen!$I$3:$AT$3, 0))="",L37,INDEX(Variablen!$I:$AT, MATCH(M37, Variablen!$A:$A, 0), MATCH((YEAR(D37)+4), Variablen!$I$3:$AT$3, 0))),L37)))*(IF((YEAR(D37)+4)&lt;YEAR(E37),0,IF((YEAR(D37)+4)&gt;YEAR(E37),1,(12-MONTH(E37)+1)/12))) + (Q37)*(IF((YEAR(D37)+4)&lt;YEAR(E37),0,IF((YEAR(D37)+4)&gt;YEAR(E37),1,(12-MONTH(E37)+1)/12))))-((P37)*(IF((YEAR(D37)+4)&lt;YEAR(E37),0,IF((YEAR(D37)+4)&gt;YEAR(E37),1,(12-MONTH(E37)+1)/12))) + (R37)*(IF((YEAR(D37)+4)&lt;YEAR(E37),0,IF((YEAR(D37)+4)&gt;YEAR(E37),1,(12-MONTH(E37)+1)/12))))-(IF((((K37)*(IF(M37="",L37,IFERROR(IF(INDEX(Variablen!$I:$AT, MATCH(M37, Variablen!$A:$A, 0), MATCH((YEAR(D37)+4), Variablen!$I$3:$AT$3, 0))="",L37,INDEX(Variablen!$I:$AT, MATCH(M37, Variablen!$A:$A, 0), MATCH((YEAR(D37)+4), Variablen!$I$3:$AT$3, 0))),L37)))*(IF((YEAR(D37)+4)&lt;YEAR(E37),0,IF((YEAR(D37)+4)&gt;YEAR(E37),1,(12-MONTH(E37)+1)/12))) + (Q37)*(IF((YEAR(D37)+4)&lt;YEAR(E37),0,IF((YEAR(D37)+4)&gt;YEAR(E37),1,(12-MONTH(E37)+1)/12))))-((P37)*(IF((YEAR(D37)+4)&lt;YEAR(E37),0,IF((YEAR(D37)+4)&gt;YEAR(E37),1,(12-MONTH(E37)+1)/12))) + (R37)*(IF((YEAR(D37)+4)&lt;YEAR(E37),0,IF((YEAR(D37)+4)&gt;YEAR(E37),1,(12-MONTH(E37)+1)/12))))-(IF(OR(N37="",N37&lt;=0),0,(O37/N37)*(IF(OR(N37="",N37&lt;=0),0,IF((YEAR(D37)+4)&lt;YEAR(E37),0,IF((YEAR(D37)+4)&gt;=YEAR(E37)+N37,0,IF((YEAR(D37)+4)=YEAR(E37),(12-MONTH(E37)+1)/12,1))))))))&gt;0,(((K37)*(IF(M37="",L37,IFERROR(IF(INDEX(Variablen!$I:$AT, MATCH(M37, Variablen!$A:$A, 0), MATCH((YEAR(D37)+4), Variablen!$I$3:$AT$3, 0))="",L37,INDEX(Variablen!$I:$AT, MATCH(M37, Variablen!$A:$A, 0), MATCH((YEAR(D37)+4), Variablen!$I$3:$AT$3, 0))),L37)))*(IF((YEAR(D37)+4)&lt;YEAR(E37),0,IF((YEAR(D37)+4)&gt;YEAR(E37),1,(12-MONTH(E37)+1)/12))) + (Q37)*(IF((YEAR(D37)+4)&lt;YEAR(E37),0,IF((YEAR(D37)+4)&gt;YEAR(E37),1,(12-MONTH(E37)+1)/12))))-((P37)*(IF((YEAR(D37)+4)&lt;YEAR(E37),0,IF((YEAR(D37)+4)&gt;YEAR(E37),1,(12-MONTH(E37)+1)/12))) + (R37)*(IF((YEAR(D37)+4)&lt;YEAR(E37),0,IF((YEAR(D37)+4)&gt;YEAR(E37),1,(12-MONTH(E37)+1)/12))))-(IF(OR(N37="",N37&lt;=0),0,(O37/N37)*(IF(OR(N37="",N37&lt;=0),0,IF((YEAR(D37)+4)&lt;YEAR(E37),0,IF((YEAR(D37)+4)&gt;=YEAR(E37)+N37,0,IF((YEAR(D37)+4)=YEAR(E37),(12-MONTH(E37)+1)/12,1))))))))*TaxRate,0))-IF(4=0,O37,0))</f>
        <v/>
      </c>
      <c r="X37" s="29">
        <f>IF(A37="","",((K37)*(IF(M37="",L37,IFERROR(IF(INDEX(Variablen!$I:$AT, MATCH(M37, Variablen!$A:$A, 0), MATCH((YEAR(D37)+5), Variablen!$I$3:$AT$3, 0))="",L37,INDEX(Variablen!$I:$AT, MATCH(M37, Variablen!$A:$A, 0), MATCH((YEAR(D37)+5), Variablen!$I$3:$AT$3, 0))),L37)))*(IF((YEAR(D37)+5)&lt;YEAR(E37),0,IF((YEAR(D37)+5)&gt;YEAR(E37),1,(12-MONTH(E37)+1)/12))) + (Q37)*(IF((YEAR(D37)+5)&lt;YEAR(E37),0,IF((YEAR(D37)+5)&gt;YEAR(E37),1,(12-MONTH(E37)+1)/12))))-((P37)*(IF((YEAR(D37)+5)&lt;YEAR(E37),0,IF((YEAR(D37)+5)&gt;YEAR(E37),1,(12-MONTH(E37)+1)/12))) + (R37)*(IF((YEAR(D37)+5)&lt;YEAR(E37),0,IF((YEAR(D37)+5)&gt;YEAR(E37),1,(12-MONTH(E37)+1)/12))))-(IF((((K37)*(IF(M37="",L37,IFERROR(IF(INDEX(Variablen!$I:$AT, MATCH(M37, Variablen!$A:$A, 0), MATCH((YEAR(D37)+5), Variablen!$I$3:$AT$3, 0))="",L37,INDEX(Variablen!$I:$AT, MATCH(M37, Variablen!$A:$A, 0), MATCH((YEAR(D37)+5), Variablen!$I$3:$AT$3, 0))),L37)))*(IF((YEAR(D37)+5)&lt;YEAR(E37),0,IF((YEAR(D37)+5)&gt;YEAR(E37),1,(12-MONTH(E37)+1)/12))) + (Q37)*(IF((YEAR(D37)+5)&lt;YEAR(E37),0,IF((YEAR(D37)+5)&gt;YEAR(E37),1,(12-MONTH(E37)+1)/12))))-((P37)*(IF((YEAR(D37)+5)&lt;YEAR(E37),0,IF((YEAR(D37)+5)&gt;YEAR(E37),1,(12-MONTH(E37)+1)/12))) + (R37)*(IF((YEAR(D37)+5)&lt;YEAR(E37),0,IF((YEAR(D37)+5)&gt;YEAR(E37),1,(12-MONTH(E37)+1)/12))))-(IF(OR(N37="",N37&lt;=0),0,(O37/N37)*(IF(OR(N37="",N37&lt;=0),0,IF((YEAR(D37)+5)&lt;YEAR(E37),0,IF((YEAR(D37)+5)&gt;=YEAR(E37)+N37,0,IF((YEAR(D37)+5)=YEAR(E37),(12-MONTH(E37)+1)/12,1))))))))&gt;0,(((K37)*(IF(M37="",L37,IFERROR(IF(INDEX(Variablen!$I:$AT, MATCH(M37, Variablen!$A:$A, 0), MATCH((YEAR(D37)+5), Variablen!$I$3:$AT$3, 0))="",L37,INDEX(Variablen!$I:$AT, MATCH(M37, Variablen!$A:$A, 0), MATCH((YEAR(D37)+5), Variablen!$I$3:$AT$3, 0))),L37)))*(IF((YEAR(D37)+5)&lt;YEAR(E37),0,IF((YEAR(D37)+5)&gt;YEAR(E37),1,(12-MONTH(E37)+1)/12))) + (Q37)*(IF((YEAR(D37)+5)&lt;YEAR(E37),0,IF((YEAR(D37)+5)&gt;YEAR(E37),1,(12-MONTH(E37)+1)/12))))-((P37)*(IF((YEAR(D37)+5)&lt;YEAR(E37),0,IF((YEAR(D37)+5)&gt;YEAR(E37),1,(12-MONTH(E37)+1)/12))) + (R37)*(IF((YEAR(D37)+5)&lt;YEAR(E37),0,IF((YEAR(D37)+5)&gt;YEAR(E37),1,(12-MONTH(E37)+1)/12))))-(IF(OR(N37="",N37&lt;=0),0,(O37/N37)*(IF(OR(N37="",N37&lt;=0),0,IF((YEAR(D37)+5)&lt;YEAR(E37),0,IF((YEAR(D37)+5)&gt;=YEAR(E37)+N37,0,IF((YEAR(D37)+5)=YEAR(E37),(12-MONTH(E37)+1)/12,1))))))))*TaxRate,0))-IF(5=0,O37,0))</f>
        <v/>
      </c>
      <c r="Y37" s="29">
        <f>IF(A37="","",((K37)*(IF(M37="",L37,IFERROR(IF(INDEX(Variablen!$I:$AT, MATCH(M37, Variablen!$A:$A, 0), MATCH((YEAR(D37)+6), Variablen!$I$3:$AT$3, 0))="",L37,INDEX(Variablen!$I:$AT, MATCH(M37, Variablen!$A:$A, 0), MATCH((YEAR(D37)+6), Variablen!$I$3:$AT$3, 0))),L37)))*(IF((YEAR(D37)+6)&lt;YEAR(E37),0,IF((YEAR(D37)+6)&gt;YEAR(E37),1,(12-MONTH(E37)+1)/12))) + (Q37)*(IF((YEAR(D37)+6)&lt;YEAR(E37),0,IF((YEAR(D37)+6)&gt;YEAR(E37),1,(12-MONTH(E37)+1)/12))))-((P37)*(IF((YEAR(D37)+6)&lt;YEAR(E37),0,IF((YEAR(D37)+6)&gt;YEAR(E37),1,(12-MONTH(E37)+1)/12))) + (R37)*(IF((YEAR(D37)+6)&lt;YEAR(E37),0,IF((YEAR(D37)+6)&gt;YEAR(E37),1,(12-MONTH(E37)+1)/12))))-(IF((((K37)*(IF(M37="",L37,IFERROR(IF(INDEX(Variablen!$I:$AT, MATCH(M37, Variablen!$A:$A, 0), MATCH((YEAR(D37)+6), Variablen!$I$3:$AT$3, 0))="",L37,INDEX(Variablen!$I:$AT, MATCH(M37, Variablen!$A:$A, 0), MATCH((YEAR(D37)+6), Variablen!$I$3:$AT$3, 0))),L37)))*(IF((YEAR(D37)+6)&lt;YEAR(E37),0,IF((YEAR(D37)+6)&gt;YEAR(E37),1,(12-MONTH(E37)+1)/12))) + (Q37)*(IF((YEAR(D37)+6)&lt;YEAR(E37),0,IF((YEAR(D37)+6)&gt;YEAR(E37),1,(12-MONTH(E37)+1)/12))))-((P37)*(IF((YEAR(D37)+6)&lt;YEAR(E37),0,IF((YEAR(D37)+6)&gt;YEAR(E37),1,(12-MONTH(E37)+1)/12))) + (R37)*(IF((YEAR(D37)+6)&lt;YEAR(E37),0,IF((YEAR(D37)+6)&gt;YEAR(E37),1,(12-MONTH(E37)+1)/12))))-(IF(OR(N37="",N37&lt;=0),0,(O37/N37)*(IF(OR(N37="",N37&lt;=0),0,IF((YEAR(D37)+6)&lt;YEAR(E37),0,IF((YEAR(D37)+6)&gt;=YEAR(E37)+N37,0,IF((YEAR(D37)+6)=YEAR(E37),(12-MONTH(E37)+1)/12,1))))))))&gt;0,(((K37)*(IF(M37="",L37,IFERROR(IF(INDEX(Variablen!$I:$AT, MATCH(M37, Variablen!$A:$A, 0), MATCH((YEAR(D37)+6), Variablen!$I$3:$AT$3, 0))="",L37,INDEX(Variablen!$I:$AT, MATCH(M37, Variablen!$A:$A, 0), MATCH((YEAR(D37)+6), Variablen!$I$3:$AT$3, 0))),L37)))*(IF((YEAR(D37)+6)&lt;YEAR(E37),0,IF((YEAR(D37)+6)&gt;YEAR(E37),1,(12-MONTH(E37)+1)/12))) + (Q37)*(IF((YEAR(D37)+6)&lt;YEAR(E37),0,IF((YEAR(D37)+6)&gt;YEAR(E37),1,(12-MONTH(E37)+1)/12))))-((P37)*(IF((YEAR(D37)+6)&lt;YEAR(E37),0,IF((YEAR(D37)+6)&gt;YEAR(E37),1,(12-MONTH(E37)+1)/12))) + (R37)*(IF((YEAR(D37)+6)&lt;YEAR(E37),0,IF((YEAR(D37)+6)&gt;YEAR(E37),1,(12-MONTH(E37)+1)/12))))-(IF(OR(N37="",N37&lt;=0),0,(O37/N37)*(IF(OR(N37="",N37&lt;=0),0,IF((YEAR(D37)+6)&lt;YEAR(E37),0,IF((YEAR(D37)+6)&gt;=YEAR(E37)+N37,0,IF((YEAR(D37)+6)=YEAR(E37),(12-MONTH(E37)+1)/12,1))))))))*TaxRate,0))-IF(6=0,O37,0))</f>
        <v/>
      </c>
      <c r="Z37" s="29">
        <f>IF(A37="","",((K37)*(IF(M37="",L37,IFERROR(IF(INDEX(Variablen!$I:$AT, MATCH(M37, Variablen!$A:$A, 0), MATCH((YEAR(D37)+7), Variablen!$I$3:$AT$3, 0))="",L37,INDEX(Variablen!$I:$AT, MATCH(M37, Variablen!$A:$A, 0), MATCH((YEAR(D37)+7), Variablen!$I$3:$AT$3, 0))),L37)))*(IF((YEAR(D37)+7)&lt;YEAR(E37),0,IF((YEAR(D37)+7)&gt;YEAR(E37),1,(12-MONTH(E37)+1)/12))) + (Q37)*(IF((YEAR(D37)+7)&lt;YEAR(E37),0,IF((YEAR(D37)+7)&gt;YEAR(E37),1,(12-MONTH(E37)+1)/12))))-((P37)*(IF((YEAR(D37)+7)&lt;YEAR(E37),0,IF((YEAR(D37)+7)&gt;YEAR(E37),1,(12-MONTH(E37)+1)/12))) + (R37)*(IF((YEAR(D37)+7)&lt;YEAR(E37),0,IF((YEAR(D37)+7)&gt;YEAR(E37),1,(12-MONTH(E37)+1)/12))))-(IF((((K37)*(IF(M37="",L37,IFERROR(IF(INDEX(Variablen!$I:$AT, MATCH(M37, Variablen!$A:$A, 0), MATCH((YEAR(D37)+7), Variablen!$I$3:$AT$3, 0))="",L37,INDEX(Variablen!$I:$AT, MATCH(M37, Variablen!$A:$A, 0), MATCH((YEAR(D37)+7), Variablen!$I$3:$AT$3, 0))),L37)))*(IF((YEAR(D37)+7)&lt;YEAR(E37),0,IF((YEAR(D37)+7)&gt;YEAR(E37),1,(12-MONTH(E37)+1)/12))) + (Q37)*(IF((YEAR(D37)+7)&lt;YEAR(E37),0,IF((YEAR(D37)+7)&gt;YEAR(E37),1,(12-MONTH(E37)+1)/12))))-((P37)*(IF((YEAR(D37)+7)&lt;YEAR(E37),0,IF((YEAR(D37)+7)&gt;YEAR(E37),1,(12-MONTH(E37)+1)/12))) + (R37)*(IF((YEAR(D37)+7)&lt;YEAR(E37),0,IF((YEAR(D37)+7)&gt;YEAR(E37),1,(12-MONTH(E37)+1)/12))))-(IF(OR(N37="",N37&lt;=0),0,(O37/N37)*(IF(OR(N37="",N37&lt;=0),0,IF((YEAR(D37)+7)&lt;YEAR(E37),0,IF((YEAR(D37)+7)&gt;=YEAR(E37)+N37,0,IF((YEAR(D37)+7)=YEAR(E37),(12-MONTH(E37)+1)/12,1))))))))&gt;0,(((K37)*(IF(M37="",L37,IFERROR(IF(INDEX(Variablen!$I:$AT, MATCH(M37, Variablen!$A:$A, 0), MATCH((YEAR(D37)+7), Variablen!$I$3:$AT$3, 0))="",L37,INDEX(Variablen!$I:$AT, MATCH(M37, Variablen!$A:$A, 0), MATCH((YEAR(D37)+7), Variablen!$I$3:$AT$3, 0))),L37)))*(IF((YEAR(D37)+7)&lt;YEAR(E37),0,IF((YEAR(D37)+7)&gt;YEAR(E37),1,(12-MONTH(E37)+1)/12))) + (Q37)*(IF((YEAR(D37)+7)&lt;YEAR(E37),0,IF((YEAR(D37)+7)&gt;YEAR(E37),1,(12-MONTH(E37)+1)/12))))-((P37)*(IF((YEAR(D37)+7)&lt;YEAR(E37),0,IF((YEAR(D37)+7)&gt;YEAR(E37),1,(12-MONTH(E37)+1)/12))) + (R37)*(IF((YEAR(D37)+7)&lt;YEAR(E37),0,IF((YEAR(D37)+7)&gt;YEAR(E37),1,(12-MONTH(E37)+1)/12))))-(IF(OR(N37="",N37&lt;=0),0,(O37/N37)*(IF(OR(N37="",N37&lt;=0),0,IF((YEAR(D37)+7)&lt;YEAR(E37),0,IF((YEAR(D37)+7)&gt;=YEAR(E37)+N37,0,IF((YEAR(D37)+7)=YEAR(E37),(12-MONTH(E37)+1)/12,1))))))))*TaxRate,0))-IF(7=0,O37,0))</f>
        <v/>
      </c>
      <c r="AA37" s="29">
        <f>IF(A37="","",((K37)*(IF(M37="",L37,IFERROR(IF(INDEX(Variablen!$I:$AT, MATCH(M37, Variablen!$A:$A, 0), MATCH((YEAR(D37)+8), Variablen!$I$3:$AT$3, 0))="",L37,INDEX(Variablen!$I:$AT, MATCH(M37, Variablen!$A:$A, 0), MATCH((YEAR(D37)+8), Variablen!$I$3:$AT$3, 0))),L37)))*(IF((YEAR(D37)+8)&lt;YEAR(E37),0,IF((YEAR(D37)+8)&gt;YEAR(E37),1,(12-MONTH(E37)+1)/12))) + (Q37)*(IF((YEAR(D37)+8)&lt;YEAR(E37),0,IF((YEAR(D37)+8)&gt;YEAR(E37),1,(12-MONTH(E37)+1)/12))))-((P37)*(IF((YEAR(D37)+8)&lt;YEAR(E37),0,IF((YEAR(D37)+8)&gt;YEAR(E37),1,(12-MONTH(E37)+1)/12))) + (R37)*(IF((YEAR(D37)+8)&lt;YEAR(E37),0,IF((YEAR(D37)+8)&gt;YEAR(E37),1,(12-MONTH(E37)+1)/12))))-(IF((((K37)*(IF(M37="",L37,IFERROR(IF(INDEX(Variablen!$I:$AT, MATCH(M37, Variablen!$A:$A, 0), MATCH((YEAR(D37)+8), Variablen!$I$3:$AT$3, 0))="",L37,INDEX(Variablen!$I:$AT, MATCH(M37, Variablen!$A:$A, 0), MATCH((YEAR(D37)+8), Variablen!$I$3:$AT$3, 0))),L37)))*(IF((YEAR(D37)+8)&lt;YEAR(E37),0,IF((YEAR(D37)+8)&gt;YEAR(E37),1,(12-MONTH(E37)+1)/12))) + (Q37)*(IF((YEAR(D37)+8)&lt;YEAR(E37),0,IF((YEAR(D37)+8)&gt;YEAR(E37),1,(12-MONTH(E37)+1)/12))))-((P37)*(IF((YEAR(D37)+8)&lt;YEAR(E37),0,IF((YEAR(D37)+8)&gt;YEAR(E37),1,(12-MONTH(E37)+1)/12))) + (R37)*(IF((YEAR(D37)+8)&lt;YEAR(E37),0,IF((YEAR(D37)+8)&gt;YEAR(E37),1,(12-MONTH(E37)+1)/12))))-(IF(OR(N37="",N37&lt;=0),0,(O37/N37)*(IF(OR(N37="",N37&lt;=0),0,IF((YEAR(D37)+8)&lt;YEAR(E37),0,IF((YEAR(D37)+8)&gt;=YEAR(E37)+N37,0,IF((YEAR(D37)+8)=YEAR(E37),(12-MONTH(E37)+1)/12,1))))))))&gt;0,(((K37)*(IF(M37="",L37,IFERROR(IF(INDEX(Variablen!$I:$AT, MATCH(M37, Variablen!$A:$A, 0), MATCH((YEAR(D37)+8), Variablen!$I$3:$AT$3, 0))="",L37,INDEX(Variablen!$I:$AT, MATCH(M37, Variablen!$A:$A, 0), MATCH((YEAR(D37)+8), Variablen!$I$3:$AT$3, 0))),L37)))*(IF((YEAR(D37)+8)&lt;YEAR(E37),0,IF((YEAR(D37)+8)&gt;YEAR(E37),1,(12-MONTH(E37)+1)/12))) + (Q37)*(IF((YEAR(D37)+8)&lt;YEAR(E37),0,IF((YEAR(D37)+8)&gt;YEAR(E37),1,(12-MONTH(E37)+1)/12))))-((P37)*(IF((YEAR(D37)+8)&lt;YEAR(E37),0,IF((YEAR(D37)+8)&gt;YEAR(E37),1,(12-MONTH(E37)+1)/12))) + (R37)*(IF((YEAR(D37)+8)&lt;YEAR(E37),0,IF((YEAR(D37)+8)&gt;YEAR(E37),1,(12-MONTH(E37)+1)/12))))-(IF(OR(N37="",N37&lt;=0),0,(O37/N37)*(IF(OR(N37="",N37&lt;=0),0,IF((YEAR(D37)+8)&lt;YEAR(E37),0,IF((YEAR(D37)+8)&gt;=YEAR(E37)+N37,0,IF((YEAR(D37)+8)=YEAR(E37),(12-MONTH(E37)+1)/12,1))))))))*TaxRate,0))-IF(8=0,O37,0))</f>
        <v/>
      </c>
      <c r="AB37" s="29">
        <f>IF(A37="","",((K37)*(IF(M37="",L37,IFERROR(IF(INDEX(Variablen!$I:$AT, MATCH(M37, Variablen!$A:$A, 0), MATCH((YEAR(D37)+9), Variablen!$I$3:$AT$3, 0))="",L37,INDEX(Variablen!$I:$AT, MATCH(M37, Variablen!$A:$A, 0), MATCH((YEAR(D37)+9), Variablen!$I$3:$AT$3, 0))),L37)))*(IF((YEAR(D37)+9)&lt;YEAR(E37),0,IF((YEAR(D37)+9)&gt;YEAR(E37),1,(12-MONTH(E37)+1)/12))) + (Q37)*(IF((YEAR(D37)+9)&lt;YEAR(E37),0,IF((YEAR(D37)+9)&gt;YEAR(E37),1,(12-MONTH(E37)+1)/12))))-((P37)*(IF((YEAR(D37)+9)&lt;YEAR(E37),0,IF((YEAR(D37)+9)&gt;YEAR(E37),1,(12-MONTH(E37)+1)/12))) + (R37)*(IF((YEAR(D37)+9)&lt;YEAR(E37),0,IF((YEAR(D37)+9)&gt;YEAR(E37),1,(12-MONTH(E37)+1)/12))))-(IF((((K37)*(IF(M37="",L37,IFERROR(IF(INDEX(Variablen!$I:$AT, MATCH(M37, Variablen!$A:$A, 0), MATCH((YEAR(D37)+9), Variablen!$I$3:$AT$3, 0))="",L37,INDEX(Variablen!$I:$AT, MATCH(M37, Variablen!$A:$A, 0), MATCH((YEAR(D37)+9), Variablen!$I$3:$AT$3, 0))),L37)))*(IF((YEAR(D37)+9)&lt;YEAR(E37),0,IF((YEAR(D37)+9)&gt;YEAR(E37),1,(12-MONTH(E37)+1)/12))) + (Q37)*(IF((YEAR(D37)+9)&lt;YEAR(E37),0,IF((YEAR(D37)+9)&gt;YEAR(E37),1,(12-MONTH(E37)+1)/12))))-((P37)*(IF((YEAR(D37)+9)&lt;YEAR(E37),0,IF((YEAR(D37)+9)&gt;YEAR(E37),1,(12-MONTH(E37)+1)/12))) + (R37)*(IF((YEAR(D37)+9)&lt;YEAR(E37),0,IF((YEAR(D37)+9)&gt;YEAR(E37),1,(12-MONTH(E37)+1)/12))))-(IF(OR(N37="",N37&lt;=0),0,(O37/N37)*(IF(OR(N37="",N37&lt;=0),0,IF((YEAR(D37)+9)&lt;YEAR(E37),0,IF((YEAR(D37)+9)&gt;=YEAR(E37)+N37,0,IF((YEAR(D37)+9)=YEAR(E37),(12-MONTH(E37)+1)/12,1))))))))&gt;0,(((K37)*(IF(M37="",L37,IFERROR(IF(INDEX(Variablen!$I:$AT, MATCH(M37, Variablen!$A:$A, 0), MATCH((YEAR(D37)+9), Variablen!$I$3:$AT$3, 0))="",L37,INDEX(Variablen!$I:$AT, MATCH(M37, Variablen!$A:$A, 0), MATCH((YEAR(D37)+9), Variablen!$I$3:$AT$3, 0))),L37)))*(IF((YEAR(D37)+9)&lt;YEAR(E37),0,IF((YEAR(D37)+9)&gt;YEAR(E37),1,(12-MONTH(E37)+1)/12))) + (Q37)*(IF((YEAR(D37)+9)&lt;YEAR(E37),0,IF((YEAR(D37)+9)&gt;YEAR(E37),1,(12-MONTH(E37)+1)/12))))-((P37)*(IF((YEAR(D37)+9)&lt;YEAR(E37),0,IF((YEAR(D37)+9)&gt;YEAR(E37),1,(12-MONTH(E37)+1)/12))) + (R37)*(IF((YEAR(D37)+9)&lt;YEAR(E37),0,IF((YEAR(D37)+9)&gt;YEAR(E37),1,(12-MONTH(E37)+1)/12))))-(IF(OR(N37="",N37&lt;=0),0,(O37/N37)*(IF(OR(N37="",N37&lt;=0),0,IF((YEAR(D37)+9)&lt;YEAR(E37),0,IF((YEAR(D37)+9)&gt;=YEAR(E37)+N37,0,IF((YEAR(D37)+9)=YEAR(E37),(12-MONTH(E37)+1)/12,1))))))))*TaxRate,0))-IF(9=0,O37,0))</f>
        <v/>
      </c>
      <c r="AC37" s="29">
        <f>IF(A37="","",((K37)*(IF(M37="",L37,IFERROR(IF(INDEX(Variablen!$I:$AT, MATCH(M37, Variablen!$A:$A, 0), MATCH((YEAR(D37)+10), Variablen!$I$3:$AT$3, 0))="",L37,INDEX(Variablen!$I:$AT, MATCH(M37, Variablen!$A:$A, 0), MATCH((YEAR(D37)+10), Variablen!$I$3:$AT$3, 0))),L37)))*(IF((YEAR(D37)+10)&lt;YEAR(E37),0,IF((YEAR(D37)+10)&gt;YEAR(E37),1,(12-MONTH(E37)+1)/12))) + (Q37)*(IF((YEAR(D37)+10)&lt;YEAR(E37),0,IF((YEAR(D37)+10)&gt;YEAR(E37),1,(12-MONTH(E37)+1)/12))))-((P37)*(IF((YEAR(D37)+10)&lt;YEAR(E37),0,IF((YEAR(D37)+10)&gt;YEAR(E37),1,(12-MONTH(E37)+1)/12))) + (R37)*(IF((YEAR(D37)+10)&lt;YEAR(E37),0,IF((YEAR(D37)+10)&gt;YEAR(E37),1,(12-MONTH(E37)+1)/12))))-(IF((((K37)*(IF(M37="",L37,IFERROR(IF(INDEX(Variablen!$I:$AT, MATCH(M37, Variablen!$A:$A, 0), MATCH((YEAR(D37)+10), Variablen!$I$3:$AT$3, 0))="",L37,INDEX(Variablen!$I:$AT, MATCH(M37, Variablen!$A:$A, 0), MATCH((YEAR(D37)+10), Variablen!$I$3:$AT$3, 0))),L37)))*(IF((YEAR(D37)+10)&lt;YEAR(E37),0,IF((YEAR(D37)+10)&gt;YEAR(E37),1,(12-MONTH(E37)+1)/12))) + (Q37)*(IF((YEAR(D37)+10)&lt;YEAR(E37),0,IF((YEAR(D37)+10)&gt;YEAR(E37),1,(12-MONTH(E37)+1)/12))))-((P37)*(IF((YEAR(D37)+10)&lt;YEAR(E37),0,IF((YEAR(D37)+10)&gt;YEAR(E37),1,(12-MONTH(E37)+1)/12))) + (R37)*(IF((YEAR(D37)+10)&lt;YEAR(E37),0,IF((YEAR(D37)+10)&gt;YEAR(E37),1,(12-MONTH(E37)+1)/12))))-(IF(OR(N37="",N37&lt;=0),0,(O37/N37)*(IF(OR(N37="",N37&lt;=0),0,IF((YEAR(D37)+10)&lt;YEAR(E37),0,IF((YEAR(D37)+10)&gt;=YEAR(E37)+N37,0,IF((YEAR(D37)+10)=YEAR(E37),(12-MONTH(E37)+1)/12,1))))))))&gt;0,(((K37)*(IF(M37="",L37,IFERROR(IF(INDEX(Variablen!$I:$AT, MATCH(M37, Variablen!$A:$A, 0), MATCH((YEAR(D37)+10), Variablen!$I$3:$AT$3, 0))="",L37,INDEX(Variablen!$I:$AT, MATCH(M37, Variablen!$A:$A, 0), MATCH((YEAR(D37)+10), Variablen!$I$3:$AT$3, 0))),L37)))*(IF((YEAR(D37)+10)&lt;YEAR(E37),0,IF((YEAR(D37)+10)&gt;YEAR(E37),1,(12-MONTH(E37)+1)/12))) + (Q37)*(IF((YEAR(D37)+10)&lt;YEAR(E37),0,IF((YEAR(D37)+10)&gt;YEAR(E37),1,(12-MONTH(E37)+1)/12))))-((P37)*(IF((YEAR(D37)+10)&lt;YEAR(E37),0,IF((YEAR(D37)+10)&gt;YEAR(E37),1,(12-MONTH(E37)+1)/12))) + (R37)*(IF((YEAR(D37)+10)&lt;YEAR(E37),0,IF((YEAR(D37)+10)&gt;YEAR(E37),1,(12-MONTH(E37)+1)/12))))-(IF(OR(N37="",N37&lt;=0),0,(O37/N37)*(IF(OR(N37="",N37&lt;=0),0,IF((YEAR(D37)+10)&lt;YEAR(E37),0,IF((YEAR(D37)+10)&gt;=YEAR(E37)+N37,0,IF((YEAR(D37)+10)=YEAR(E37),(12-MONTH(E37)+1)/12,1))))))))*TaxRate,0))-IF(10=0,O37,0))</f>
        <v/>
      </c>
      <c r="AD37" s="29">
        <f>IF(A37="","",((K37)*(IF(M37="",L37,IFERROR(IF(INDEX(Variablen!$I:$AT, MATCH(M37, Variablen!$A:$A, 0), MATCH((YEAR(D37)+11), Variablen!$I$3:$AT$3, 0))="",L37,INDEX(Variablen!$I:$AT, MATCH(M37, Variablen!$A:$A, 0), MATCH((YEAR(D37)+11), Variablen!$I$3:$AT$3, 0))),L37)))*(IF((YEAR(D37)+11)&lt;YEAR(E37),0,IF((YEAR(D37)+11)&gt;YEAR(E37),1,(12-MONTH(E37)+1)/12))) + (Q37)*(IF((YEAR(D37)+11)&lt;YEAR(E37),0,IF((YEAR(D37)+11)&gt;YEAR(E37),1,(12-MONTH(E37)+1)/12))))-((P37)*(IF((YEAR(D37)+11)&lt;YEAR(E37),0,IF((YEAR(D37)+11)&gt;YEAR(E37),1,(12-MONTH(E37)+1)/12))) + (R37)*(IF((YEAR(D37)+11)&lt;YEAR(E37),0,IF((YEAR(D37)+11)&gt;YEAR(E37),1,(12-MONTH(E37)+1)/12))))-(IF((((K37)*(IF(M37="",L37,IFERROR(IF(INDEX(Variablen!$I:$AT, MATCH(M37, Variablen!$A:$A, 0), MATCH((YEAR(D37)+11), Variablen!$I$3:$AT$3, 0))="",L37,INDEX(Variablen!$I:$AT, MATCH(M37, Variablen!$A:$A, 0), MATCH((YEAR(D37)+11), Variablen!$I$3:$AT$3, 0))),L37)))*(IF((YEAR(D37)+11)&lt;YEAR(E37),0,IF((YEAR(D37)+11)&gt;YEAR(E37),1,(12-MONTH(E37)+1)/12))) + (Q37)*(IF((YEAR(D37)+11)&lt;YEAR(E37),0,IF((YEAR(D37)+11)&gt;YEAR(E37),1,(12-MONTH(E37)+1)/12))))-((P37)*(IF((YEAR(D37)+11)&lt;YEAR(E37),0,IF((YEAR(D37)+11)&gt;YEAR(E37),1,(12-MONTH(E37)+1)/12))) + (R37)*(IF((YEAR(D37)+11)&lt;YEAR(E37),0,IF((YEAR(D37)+11)&gt;YEAR(E37),1,(12-MONTH(E37)+1)/12))))-(IF(OR(N37="",N37&lt;=0),0,(O37/N37)*(IF(OR(N37="",N37&lt;=0),0,IF((YEAR(D37)+11)&lt;YEAR(E37),0,IF((YEAR(D37)+11)&gt;=YEAR(E37)+N37,0,IF((YEAR(D37)+11)=YEAR(E37),(12-MONTH(E37)+1)/12,1))))))))&gt;0,(((K37)*(IF(M37="",L37,IFERROR(IF(INDEX(Variablen!$I:$AT, MATCH(M37, Variablen!$A:$A, 0), MATCH((YEAR(D37)+11), Variablen!$I$3:$AT$3, 0))="",L37,INDEX(Variablen!$I:$AT, MATCH(M37, Variablen!$A:$A, 0), MATCH((YEAR(D37)+11), Variablen!$I$3:$AT$3, 0))),L37)))*(IF((YEAR(D37)+11)&lt;YEAR(E37),0,IF((YEAR(D37)+11)&gt;YEAR(E37),1,(12-MONTH(E37)+1)/12))) + (Q37)*(IF((YEAR(D37)+11)&lt;YEAR(E37),0,IF((YEAR(D37)+11)&gt;YEAR(E37),1,(12-MONTH(E37)+1)/12))))-((P37)*(IF((YEAR(D37)+11)&lt;YEAR(E37),0,IF((YEAR(D37)+11)&gt;YEAR(E37),1,(12-MONTH(E37)+1)/12))) + (R37)*(IF((YEAR(D37)+11)&lt;YEAR(E37),0,IF((YEAR(D37)+11)&gt;YEAR(E37),1,(12-MONTH(E37)+1)/12))))-(IF(OR(N37="",N37&lt;=0),0,(O37/N37)*(IF(OR(N37="",N37&lt;=0),0,IF((YEAR(D37)+11)&lt;YEAR(E37),0,IF((YEAR(D37)+11)&gt;=YEAR(E37)+N37,0,IF((YEAR(D37)+11)=YEAR(E37),(12-MONTH(E37)+1)/12,1))))))))*TaxRate,0))-IF(11=0,O37,0))</f>
        <v/>
      </c>
      <c r="AE37" s="29">
        <f>IF(A37="","",((K37)*(IF(M37="",L37,IFERROR(IF(INDEX(Variablen!$I:$AT, MATCH(M37, Variablen!$A:$A, 0), MATCH((YEAR(D37)+12), Variablen!$I$3:$AT$3, 0))="",L37,INDEX(Variablen!$I:$AT, MATCH(M37, Variablen!$A:$A, 0), MATCH((YEAR(D37)+12), Variablen!$I$3:$AT$3, 0))),L37)))*(IF((YEAR(D37)+12)&lt;YEAR(E37),0,IF((YEAR(D37)+12)&gt;YEAR(E37),1,(12-MONTH(E37)+1)/12))) + (Q37)*(IF((YEAR(D37)+12)&lt;YEAR(E37),0,IF((YEAR(D37)+12)&gt;YEAR(E37),1,(12-MONTH(E37)+1)/12))))-((P37)*(IF((YEAR(D37)+12)&lt;YEAR(E37),0,IF((YEAR(D37)+12)&gt;YEAR(E37),1,(12-MONTH(E37)+1)/12))) + (R37)*(IF((YEAR(D37)+12)&lt;YEAR(E37),0,IF((YEAR(D37)+12)&gt;YEAR(E37),1,(12-MONTH(E37)+1)/12))))-(IF((((K37)*(IF(M37="",L37,IFERROR(IF(INDEX(Variablen!$I:$AT, MATCH(M37, Variablen!$A:$A, 0), MATCH((YEAR(D37)+12), Variablen!$I$3:$AT$3, 0))="",L37,INDEX(Variablen!$I:$AT, MATCH(M37, Variablen!$A:$A, 0), MATCH((YEAR(D37)+12), Variablen!$I$3:$AT$3, 0))),L37)))*(IF((YEAR(D37)+12)&lt;YEAR(E37),0,IF((YEAR(D37)+12)&gt;YEAR(E37),1,(12-MONTH(E37)+1)/12))) + (Q37)*(IF((YEAR(D37)+12)&lt;YEAR(E37),0,IF((YEAR(D37)+12)&gt;YEAR(E37),1,(12-MONTH(E37)+1)/12))))-((P37)*(IF((YEAR(D37)+12)&lt;YEAR(E37),0,IF((YEAR(D37)+12)&gt;YEAR(E37),1,(12-MONTH(E37)+1)/12))) + (R37)*(IF((YEAR(D37)+12)&lt;YEAR(E37),0,IF((YEAR(D37)+12)&gt;YEAR(E37),1,(12-MONTH(E37)+1)/12))))-(IF(OR(N37="",N37&lt;=0),0,(O37/N37)*(IF(OR(N37="",N37&lt;=0),0,IF((YEAR(D37)+12)&lt;YEAR(E37),0,IF((YEAR(D37)+12)&gt;=YEAR(E37)+N37,0,IF((YEAR(D37)+12)=YEAR(E37),(12-MONTH(E37)+1)/12,1))))))))&gt;0,(((K37)*(IF(M37="",L37,IFERROR(IF(INDEX(Variablen!$I:$AT, MATCH(M37, Variablen!$A:$A, 0), MATCH((YEAR(D37)+12), Variablen!$I$3:$AT$3, 0))="",L37,INDEX(Variablen!$I:$AT, MATCH(M37, Variablen!$A:$A, 0), MATCH((YEAR(D37)+12), Variablen!$I$3:$AT$3, 0))),L37)))*(IF((YEAR(D37)+12)&lt;YEAR(E37),0,IF((YEAR(D37)+12)&gt;YEAR(E37),1,(12-MONTH(E37)+1)/12))) + (Q37)*(IF((YEAR(D37)+12)&lt;YEAR(E37),0,IF((YEAR(D37)+12)&gt;YEAR(E37),1,(12-MONTH(E37)+1)/12))))-((P37)*(IF((YEAR(D37)+12)&lt;YEAR(E37),0,IF((YEAR(D37)+12)&gt;YEAR(E37),1,(12-MONTH(E37)+1)/12))) + (R37)*(IF((YEAR(D37)+12)&lt;YEAR(E37),0,IF((YEAR(D37)+12)&gt;YEAR(E37),1,(12-MONTH(E37)+1)/12))))-(IF(OR(N37="",N37&lt;=0),0,(O37/N37)*(IF(OR(N37="",N37&lt;=0),0,IF((YEAR(D37)+12)&lt;YEAR(E37),0,IF((YEAR(D37)+12)&gt;=YEAR(E37)+N37,0,IF((YEAR(D37)+12)=YEAR(E37),(12-MONTH(E37)+1)/12,1))))))))*TaxRate,0))-IF(12=0,O37,0))</f>
        <v/>
      </c>
      <c r="AF37" s="29">
        <f>IF(A37="","",((K37)*(IF(M37="",L37,IFERROR(IF(INDEX(Variablen!$I:$AT, MATCH(M37, Variablen!$A:$A, 0), MATCH((YEAR(D37)+13), Variablen!$I$3:$AT$3, 0))="",L37,INDEX(Variablen!$I:$AT, MATCH(M37, Variablen!$A:$A, 0), MATCH((YEAR(D37)+13), Variablen!$I$3:$AT$3, 0))),L37)))*(IF((YEAR(D37)+13)&lt;YEAR(E37),0,IF((YEAR(D37)+13)&gt;YEAR(E37),1,(12-MONTH(E37)+1)/12))) + (Q37)*(IF((YEAR(D37)+13)&lt;YEAR(E37),0,IF((YEAR(D37)+13)&gt;YEAR(E37),1,(12-MONTH(E37)+1)/12))))-((P37)*(IF((YEAR(D37)+13)&lt;YEAR(E37),0,IF((YEAR(D37)+13)&gt;YEAR(E37),1,(12-MONTH(E37)+1)/12))) + (R37)*(IF((YEAR(D37)+13)&lt;YEAR(E37),0,IF((YEAR(D37)+13)&gt;YEAR(E37),1,(12-MONTH(E37)+1)/12))))-(IF((((K37)*(IF(M37="",L37,IFERROR(IF(INDEX(Variablen!$I:$AT, MATCH(M37, Variablen!$A:$A, 0), MATCH((YEAR(D37)+13), Variablen!$I$3:$AT$3, 0))="",L37,INDEX(Variablen!$I:$AT, MATCH(M37, Variablen!$A:$A, 0), MATCH((YEAR(D37)+13), Variablen!$I$3:$AT$3, 0))),L37)))*(IF((YEAR(D37)+13)&lt;YEAR(E37),0,IF((YEAR(D37)+13)&gt;YEAR(E37),1,(12-MONTH(E37)+1)/12))) + (Q37)*(IF((YEAR(D37)+13)&lt;YEAR(E37),0,IF((YEAR(D37)+13)&gt;YEAR(E37),1,(12-MONTH(E37)+1)/12))))-((P37)*(IF((YEAR(D37)+13)&lt;YEAR(E37),0,IF((YEAR(D37)+13)&gt;YEAR(E37),1,(12-MONTH(E37)+1)/12))) + (R37)*(IF((YEAR(D37)+13)&lt;YEAR(E37),0,IF((YEAR(D37)+13)&gt;YEAR(E37),1,(12-MONTH(E37)+1)/12))))-(IF(OR(N37="",N37&lt;=0),0,(O37/N37)*(IF(OR(N37="",N37&lt;=0),0,IF((YEAR(D37)+13)&lt;YEAR(E37),0,IF((YEAR(D37)+13)&gt;=YEAR(E37)+N37,0,IF((YEAR(D37)+13)=YEAR(E37),(12-MONTH(E37)+1)/12,1))))))))&gt;0,(((K37)*(IF(M37="",L37,IFERROR(IF(INDEX(Variablen!$I:$AT, MATCH(M37, Variablen!$A:$A, 0), MATCH((YEAR(D37)+13), Variablen!$I$3:$AT$3, 0))="",L37,INDEX(Variablen!$I:$AT, MATCH(M37, Variablen!$A:$A, 0), MATCH((YEAR(D37)+13), Variablen!$I$3:$AT$3, 0))),L37)))*(IF((YEAR(D37)+13)&lt;YEAR(E37),0,IF((YEAR(D37)+13)&gt;YEAR(E37),1,(12-MONTH(E37)+1)/12))) + (Q37)*(IF((YEAR(D37)+13)&lt;YEAR(E37),0,IF((YEAR(D37)+13)&gt;YEAR(E37),1,(12-MONTH(E37)+1)/12))))-((P37)*(IF((YEAR(D37)+13)&lt;YEAR(E37),0,IF((YEAR(D37)+13)&gt;YEAR(E37),1,(12-MONTH(E37)+1)/12))) + (R37)*(IF((YEAR(D37)+13)&lt;YEAR(E37),0,IF((YEAR(D37)+13)&gt;YEAR(E37),1,(12-MONTH(E37)+1)/12))))-(IF(OR(N37="",N37&lt;=0),0,(O37/N37)*(IF(OR(N37="",N37&lt;=0),0,IF((YEAR(D37)+13)&lt;YEAR(E37),0,IF((YEAR(D37)+13)&gt;=YEAR(E37)+N37,0,IF((YEAR(D37)+13)=YEAR(E37),(12-MONTH(E37)+1)/12,1))))))))*TaxRate,0))-IF(13=0,O37,0))</f>
        <v/>
      </c>
      <c r="AG37" s="29">
        <f>IF(A37="","",((K37)*(IF(M37="",L37,IFERROR(IF(INDEX(Variablen!$I:$AT, MATCH(M37, Variablen!$A:$A, 0), MATCH((YEAR(D37)+14), Variablen!$I$3:$AT$3, 0))="",L37,INDEX(Variablen!$I:$AT, MATCH(M37, Variablen!$A:$A, 0), MATCH((YEAR(D37)+14), Variablen!$I$3:$AT$3, 0))),L37)))*(IF((YEAR(D37)+14)&lt;YEAR(E37),0,IF((YEAR(D37)+14)&gt;YEAR(E37),1,(12-MONTH(E37)+1)/12))) + (Q37)*(IF((YEAR(D37)+14)&lt;YEAR(E37),0,IF((YEAR(D37)+14)&gt;YEAR(E37),1,(12-MONTH(E37)+1)/12))))-((P37)*(IF((YEAR(D37)+14)&lt;YEAR(E37),0,IF((YEAR(D37)+14)&gt;YEAR(E37),1,(12-MONTH(E37)+1)/12))) + (R37)*(IF((YEAR(D37)+14)&lt;YEAR(E37),0,IF((YEAR(D37)+14)&gt;YEAR(E37),1,(12-MONTH(E37)+1)/12))))-(IF((((K37)*(IF(M37="",L37,IFERROR(IF(INDEX(Variablen!$I:$AT, MATCH(M37, Variablen!$A:$A, 0), MATCH((YEAR(D37)+14), Variablen!$I$3:$AT$3, 0))="",L37,INDEX(Variablen!$I:$AT, MATCH(M37, Variablen!$A:$A, 0), MATCH((YEAR(D37)+14), Variablen!$I$3:$AT$3, 0))),L37)))*(IF((YEAR(D37)+14)&lt;YEAR(E37),0,IF((YEAR(D37)+14)&gt;YEAR(E37),1,(12-MONTH(E37)+1)/12))) + (Q37)*(IF((YEAR(D37)+14)&lt;YEAR(E37),0,IF((YEAR(D37)+14)&gt;YEAR(E37),1,(12-MONTH(E37)+1)/12))))-((P37)*(IF((YEAR(D37)+14)&lt;YEAR(E37),0,IF((YEAR(D37)+14)&gt;YEAR(E37),1,(12-MONTH(E37)+1)/12))) + (R37)*(IF((YEAR(D37)+14)&lt;YEAR(E37),0,IF((YEAR(D37)+14)&gt;YEAR(E37),1,(12-MONTH(E37)+1)/12))))-(IF(OR(N37="",N37&lt;=0),0,(O37/N37)*(IF(OR(N37="",N37&lt;=0),0,IF((YEAR(D37)+14)&lt;YEAR(E37),0,IF((YEAR(D37)+14)&gt;=YEAR(E37)+N37,0,IF((YEAR(D37)+14)=YEAR(E37),(12-MONTH(E37)+1)/12,1))))))))&gt;0,(((K37)*(IF(M37="",L37,IFERROR(IF(INDEX(Variablen!$I:$AT, MATCH(M37, Variablen!$A:$A, 0), MATCH((YEAR(D37)+14), Variablen!$I$3:$AT$3, 0))="",L37,INDEX(Variablen!$I:$AT, MATCH(M37, Variablen!$A:$A, 0), MATCH((YEAR(D37)+14), Variablen!$I$3:$AT$3, 0))),L37)))*(IF((YEAR(D37)+14)&lt;YEAR(E37),0,IF((YEAR(D37)+14)&gt;YEAR(E37),1,(12-MONTH(E37)+1)/12))) + (Q37)*(IF((YEAR(D37)+14)&lt;YEAR(E37),0,IF((YEAR(D37)+14)&gt;YEAR(E37),1,(12-MONTH(E37)+1)/12))))-((P37)*(IF((YEAR(D37)+14)&lt;YEAR(E37),0,IF((YEAR(D37)+14)&gt;YEAR(E37),1,(12-MONTH(E37)+1)/12))) + (R37)*(IF((YEAR(D37)+14)&lt;YEAR(E37),0,IF((YEAR(D37)+14)&gt;YEAR(E37),1,(12-MONTH(E37)+1)/12))))-(IF(OR(N37="",N37&lt;=0),0,(O37/N37)*(IF(OR(N37="",N37&lt;=0),0,IF((YEAR(D37)+14)&lt;YEAR(E37),0,IF((YEAR(D37)+14)&gt;=YEAR(E37)+N37,0,IF((YEAR(D37)+14)=YEAR(E37),(12-MONTH(E37)+1)/12,1))))))))*TaxRate,0))-IF(14=0,O37,0))</f>
        <v/>
      </c>
      <c r="AH37" s="29">
        <f>IF(A37="","",((K37)*(IF(M37="",L37,IFERROR(IF(INDEX(Variablen!$I:$AT, MATCH(M37, Variablen!$A:$A, 0), MATCH((YEAR(D37)+15), Variablen!$I$3:$AT$3, 0))="",L37,INDEX(Variablen!$I:$AT, MATCH(M37, Variablen!$A:$A, 0), MATCH((YEAR(D37)+15), Variablen!$I$3:$AT$3, 0))),L37)))*(IF((YEAR(D37)+15)&lt;YEAR(E37),0,IF((YEAR(D37)+15)&gt;YEAR(E37),1,(12-MONTH(E37)+1)/12))) + (Q37)*(IF((YEAR(D37)+15)&lt;YEAR(E37),0,IF((YEAR(D37)+15)&gt;YEAR(E37),1,(12-MONTH(E37)+1)/12))))-((P37)*(IF((YEAR(D37)+15)&lt;YEAR(E37),0,IF((YEAR(D37)+15)&gt;YEAR(E37),1,(12-MONTH(E37)+1)/12))) + (R37)*(IF((YEAR(D37)+15)&lt;YEAR(E37),0,IF((YEAR(D37)+15)&gt;YEAR(E37),1,(12-MONTH(E37)+1)/12))))-(IF((((K37)*(IF(M37="",L37,IFERROR(IF(INDEX(Variablen!$I:$AT, MATCH(M37, Variablen!$A:$A, 0), MATCH((YEAR(D37)+15), Variablen!$I$3:$AT$3, 0))="",L37,INDEX(Variablen!$I:$AT, MATCH(M37, Variablen!$A:$A, 0), MATCH((YEAR(D37)+15), Variablen!$I$3:$AT$3, 0))),L37)))*(IF((YEAR(D37)+15)&lt;YEAR(E37),0,IF((YEAR(D37)+15)&gt;YEAR(E37),1,(12-MONTH(E37)+1)/12))) + (Q37)*(IF((YEAR(D37)+15)&lt;YEAR(E37),0,IF((YEAR(D37)+15)&gt;YEAR(E37),1,(12-MONTH(E37)+1)/12))))-((P37)*(IF((YEAR(D37)+15)&lt;YEAR(E37),0,IF((YEAR(D37)+15)&gt;YEAR(E37),1,(12-MONTH(E37)+1)/12))) + (R37)*(IF((YEAR(D37)+15)&lt;YEAR(E37),0,IF((YEAR(D37)+15)&gt;YEAR(E37),1,(12-MONTH(E37)+1)/12))))-(IF(OR(N37="",N37&lt;=0),0,(O37/N37)*(IF(OR(N37="",N37&lt;=0),0,IF((YEAR(D37)+15)&lt;YEAR(E37),0,IF((YEAR(D37)+15)&gt;=YEAR(E37)+N37,0,IF((YEAR(D37)+15)=YEAR(E37),(12-MONTH(E37)+1)/12,1))))))))&gt;0,(((K37)*(IF(M37="",L37,IFERROR(IF(INDEX(Variablen!$I:$AT, MATCH(M37, Variablen!$A:$A, 0), MATCH((YEAR(D37)+15), Variablen!$I$3:$AT$3, 0))="",L37,INDEX(Variablen!$I:$AT, MATCH(M37, Variablen!$A:$A, 0), MATCH((YEAR(D37)+15), Variablen!$I$3:$AT$3, 0))),L37)))*(IF((YEAR(D37)+15)&lt;YEAR(E37),0,IF((YEAR(D37)+15)&gt;YEAR(E37),1,(12-MONTH(E37)+1)/12))) + (Q37)*(IF((YEAR(D37)+15)&lt;YEAR(E37),0,IF((YEAR(D37)+15)&gt;YEAR(E37),1,(12-MONTH(E37)+1)/12))))-((P37)*(IF((YEAR(D37)+15)&lt;YEAR(E37),0,IF((YEAR(D37)+15)&gt;YEAR(E37),1,(12-MONTH(E37)+1)/12))) + (R37)*(IF((YEAR(D37)+15)&lt;YEAR(E37),0,IF((YEAR(D37)+15)&gt;YEAR(E37),1,(12-MONTH(E37)+1)/12))))-(IF(OR(N37="",N37&lt;=0),0,(O37/N37)*(IF(OR(N37="",N37&lt;=0),0,IF((YEAR(D37)+15)&lt;YEAR(E37),0,IF((YEAR(D37)+15)&gt;=YEAR(E37)+N37,0,IF((YEAR(D37)+15)=YEAR(E37),(12-MONTH(E37)+1)/12,1))))))))*TaxRate,0))-IF(15=0,O37,0))</f>
        <v/>
      </c>
      <c r="AI37" s="29">
        <f>IF(A37="","",((K37)*(IF(M37="",L37,IFERROR(IF(INDEX(Variablen!$I:$AT, MATCH(M37, Variablen!$A:$A, 0), MATCH((YEAR(D37)+16), Variablen!$I$3:$AT$3, 0))="",L37,INDEX(Variablen!$I:$AT, MATCH(M37, Variablen!$A:$A, 0), MATCH((YEAR(D37)+16), Variablen!$I$3:$AT$3, 0))),L37)))*(IF((YEAR(D37)+16)&lt;YEAR(E37),0,IF((YEAR(D37)+16)&gt;YEAR(E37),1,(12-MONTH(E37)+1)/12))) + (Q37)*(IF((YEAR(D37)+16)&lt;YEAR(E37),0,IF((YEAR(D37)+16)&gt;YEAR(E37),1,(12-MONTH(E37)+1)/12))))-((P37)*(IF((YEAR(D37)+16)&lt;YEAR(E37),0,IF((YEAR(D37)+16)&gt;YEAR(E37),1,(12-MONTH(E37)+1)/12))) + (R37)*(IF((YEAR(D37)+16)&lt;YEAR(E37),0,IF((YEAR(D37)+16)&gt;YEAR(E37),1,(12-MONTH(E37)+1)/12))))-(IF((((K37)*(IF(M37="",L37,IFERROR(IF(INDEX(Variablen!$I:$AT, MATCH(M37, Variablen!$A:$A, 0), MATCH((YEAR(D37)+16), Variablen!$I$3:$AT$3, 0))="",L37,INDEX(Variablen!$I:$AT, MATCH(M37, Variablen!$A:$A, 0), MATCH((YEAR(D37)+16), Variablen!$I$3:$AT$3, 0))),L37)))*(IF((YEAR(D37)+16)&lt;YEAR(E37),0,IF((YEAR(D37)+16)&gt;YEAR(E37),1,(12-MONTH(E37)+1)/12))) + (Q37)*(IF((YEAR(D37)+16)&lt;YEAR(E37),0,IF((YEAR(D37)+16)&gt;YEAR(E37),1,(12-MONTH(E37)+1)/12))))-((P37)*(IF((YEAR(D37)+16)&lt;YEAR(E37),0,IF((YEAR(D37)+16)&gt;YEAR(E37),1,(12-MONTH(E37)+1)/12))) + (R37)*(IF((YEAR(D37)+16)&lt;YEAR(E37),0,IF((YEAR(D37)+16)&gt;YEAR(E37),1,(12-MONTH(E37)+1)/12))))-(IF(OR(N37="",N37&lt;=0),0,(O37/N37)*(IF(OR(N37="",N37&lt;=0),0,IF((YEAR(D37)+16)&lt;YEAR(E37),0,IF((YEAR(D37)+16)&gt;=YEAR(E37)+N37,0,IF((YEAR(D37)+16)=YEAR(E37),(12-MONTH(E37)+1)/12,1))))))))&gt;0,(((K37)*(IF(M37="",L37,IFERROR(IF(INDEX(Variablen!$I:$AT, MATCH(M37, Variablen!$A:$A, 0), MATCH((YEAR(D37)+16), Variablen!$I$3:$AT$3, 0))="",L37,INDEX(Variablen!$I:$AT, MATCH(M37, Variablen!$A:$A, 0), MATCH((YEAR(D37)+16), Variablen!$I$3:$AT$3, 0))),L37)))*(IF((YEAR(D37)+16)&lt;YEAR(E37),0,IF((YEAR(D37)+16)&gt;YEAR(E37),1,(12-MONTH(E37)+1)/12))) + (Q37)*(IF((YEAR(D37)+16)&lt;YEAR(E37),0,IF((YEAR(D37)+16)&gt;YEAR(E37),1,(12-MONTH(E37)+1)/12))))-((P37)*(IF((YEAR(D37)+16)&lt;YEAR(E37),0,IF((YEAR(D37)+16)&gt;YEAR(E37),1,(12-MONTH(E37)+1)/12))) + (R37)*(IF((YEAR(D37)+16)&lt;YEAR(E37),0,IF((YEAR(D37)+16)&gt;YEAR(E37),1,(12-MONTH(E37)+1)/12))))-(IF(OR(N37="",N37&lt;=0),0,(O37/N37)*(IF(OR(N37="",N37&lt;=0),0,IF((YEAR(D37)+16)&lt;YEAR(E37),0,IF((YEAR(D37)+16)&gt;=YEAR(E37)+N37,0,IF((YEAR(D37)+16)=YEAR(E37),(12-MONTH(E37)+1)/12,1))))))))*TaxRate,0))-IF(16=0,O37,0))</f>
        <v/>
      </c>
      <c r="AJ37" s="29">
        <f>IF(A37="","",((K37)*(IF(M37="",L37,IFERROR(IF(INDEX(Variablen!$I:$AT, MATCH(M37, Variablen!$A:$A, 0), MATCH((YEAR(D37)+17), Variablen!$I$3:$AT$3, 0))="",L37,INDEX(Variablen!$I:$AT, MATCH(M37, Variablen!$A:$A, 0), MATCH((YEAR(D37)+17), Variablen!$I$3:$AT$3, 0))),L37)))*(IF((YEAR(D37)+17)&lt;YEAR(E37),0,IF((YEAR(D37)+17)&gt;YEAR(E37),1,(12-MONTH(E37)+1)/12))) + (Q37)*(IF((YEAR(D37)+17)&lt;YEAR(E37),0,IF((YEAR(D37)+17)&gt;YEAR(E37),1,(12-MONTH(E37)+1)/12))))-((P37)*(IF((YEAR(D37)+17)&lt;YEAR(E37),0,IF((YEAR(D37)+17)&gt;YEAR(E37),1,(12-MONTH(E37)+1)/12))) + (R37)*(IF((YEAR(D37)+17)&lt;YEAR(E37),0,IF((YEAR(D37)+17)&gt;YEAR(E37),1,(12-MONTH(E37)+1)/12))))-(IF((((K37)*(IF(M37="",L37,IFERROR(IF(INDEX(Variablen!$I:$AT, MATCH(M37, Variablen!$A:$A, 0), MATCH((YEAR(D37)+17), Variablen!$I$3:$AT$3, 0))="",L37,INDEX(Variablen!$I:$AT, MATCH(M37, Variablen!$A:$A, 0), MATCH((YEAR(D37)+17), Variablen!$I$3:$AT$3, 0))),L37)))*(IF((YEAR(D37)+17)&lt;YEAR(E37),0,IF((YEAR(D37)+17)&gt;YEAR(E37),1,(12-MONTH(E37)+1)/12))) + (Q37)*(IF((YEAR(D37)+17)&lt;YEAR(E37),0,IF((YEAR(D37)+17)&gt;YEAR(E37),1,(12-MONTH(E37)+1)/12))))-((P37)*(IF((YEAR(D37)+17)&lt;YEAR(E37),0,IF((YEAR(D37)+17)&gt;YEAR(E37),1,(12-MONTH(E37)+1)/12))) + (R37)*(IF((YEAR(D37)+17)&lt;YEAR(E37),0,IF((YEAR(D37)+17)&gt;YEAR(E37),1,(12-MONTH(E37)+1)/12))))-(IF(OR(N37="",N37&lt;=0),0,(O37/N37)*(IF(OR(N37="",N37&lt;=0),0,IF((YEAR(D37)+17)&lt;YEAR(E37),0,IF((YEAR(D37)+17)&gt;=YEAR(E37)+N37,0,IF((YEAR(D37)+17)=YEAR(E37),(12-MONTH(E37)+1)/12,1))))))))&gt;0,(((K37)*(IF(M37="",L37,IFERROR(IF(INDEX(Variablen!$I:$AT, MATCH(M37, Variablen!$A:$A, 0), MATCH((YEAR(D37)+17), Variablen!$I$3:$AT$3, 0))="",L37,INDEX(Variablen!$I:$AT, MATCH(M37, Variablen!$A:$A, 0), MATCH((YEAR(D37)+17), Variablen!$I$3:$AT$3, 0))),L37)))*(IF((YEAR(D37)+17)&lt;YEAR(E37),0,IF((YEAR(D37)+17)&gt;YEAR(E37),1,(12-MONTH(E37)+1)/12))) + (Q37)*(IF((YEAR(D37)+17)&lt;YEAR(E37),0,IF((YEAR(D37)+17)&gt;YEAR(E37),1,(12-MONTH(E37)+1)/12))))-((P37)*(IF((YEAR(D37)+17)&lt;YEAR(E37),0,IF((YEAR(D37)+17)&gt;YEAR(E37),1,(12-MONTH(E37)+1)/12))) + (R37)*(IF((YEAR(D37)+17)&lt;YEAR(E37),0,IF((YEAR(D37)+17)&gt;YEAR(E37),1,(12-MONTH(E37)+1)/12))))-(IF(OR(N37="",N37&lt;=0),0,(O37/N37)*(IF(OR(N37="",N37&lt;=0),0,IF((YEAR(D37)+17)&lt;YEAR(E37),0,IF((YEAR(D37)+17)&gt;=YEAR(E37)+N37,0,IF((YEAR(D37)+17)=YEAR(E37),(12-MONTH(E37)+1)/12,1))))))))*TaxRate,0))-IF(17=0,O37,0))</f>
        <v/>
      </c>
      <c r="AK37" s="29">
        <f>IF(A37="","",((K37)*(IF(M37="",L37,IFERROR(IF(INDEX(Variablen!$I:$AT, MATCH(M37, Variablen!$A:$A, 0), MATCH((YEAR(D37)+18), Variablen!$I$3:$AT$3, 0))="",L37,INDEX(Variablen!$I:$AT, MATCH(M37, Variablen!$A:$A, 0), MATCH((YEAR(D37)+18), Variablen!$I$3:$AT$3, 0))),L37)))*(IF((YEAR(D37)+18)&lt;YEAR(E37),0,IF((YEAR(D37)+18)&gt;YEAR(E37),1,(12-MONTH(E37)+1)/12))) + (Q37)*(IF((YEAR(D37)+18)&lt;YEAR(E37),0,IF((YEAR(D37)+18)&gt;YEAR(E37),1,(12-MONTH(E37)+1)/12))))-((P37)*(IF((YEAR(D37)+18)&lt;YEAR(E37),0,IF((YEAR(D37)+18)&gt;YEAR(E37),1,(12-MONTH(E37)+1)/12))) + (R37)*(IF((YEAR(D37)+18)&lt;YEAR(E37),0,IF((YEAR(D37)+18)&gt;YEAR(E37),1,(12-MONTH(E37)+1)/12))))-(IF((((K37)*(IF(M37="",L37,IFERROR(IF(INDEX(Variablen!$I:$AT, MATCH(M37, Variablen!$A:$A, 0), MATCH((YEAR(D37)+18), Variablen!$I$3:$AT$3, 0))="",L37,INDEX(Variablen!$I:$AT, MATCH(M37, Variablen!$A:$A, 0), MATCH((YEAR(D37)+18), Variablen!$I$3:$AT$3, 0))),L37)))*(IF((YEAR(D37)+18)&lt;YEAR(E37),0,IF((YEAR(D37)+18)&gt;YEAR(E37),1,(12-MONTH(E37)+1)/12))) + (Q37)*(IF((YEAR(D37)+18)&lt;YEAR(E37),0,IF((YEAR(D37)+18)&gt;YEAR(E37),1,(12-MONTH(E37)+1)/12))))-((P37)*(IF((YEAR(D37)+18)&lt;YEAR(E37),0,IF((YEAR(D37)+18)&gt;YEAR(E37),1,(12-MONTH(E37)+1)/12))) + (R37)*(IF((YEAR(D37)+18)&lt;YEAR(E37),0,IF((YEAR(D37)+18)&gt;YEAR(E37),1,(12-MONTH(E37)+1)/12))))-(IF(OR(N37="",N37&lt;=0),0,(O37/N37)*(IF(OR(N37="",N37&lt;=0),0,IF((YEAR(D37)+18)&lt;YEAR(E37),0,IF((YEAR(D37)+18)&gt;=YEAR(E37)+N37,0,IF((YEAR(D37)+18)=YEAR(E37),(12-MONTH(E37)+1)/12,1))))))))&gt;0,(((K37)*(IF(M37="",L37,IFERROR(IF(INDEX(Variablen!$I:$AT, MATCH(M37, Variablen!$A:$A, 0), MATCH((YEAR(D37)+18), Variablen!$I$3:$AT$3, 0))="",L37,INDEX(Variablen!$I:$AT, MATCH(M37, Variablen!$A:$A, 0), MATCH((YEAR(D37)+18), Variablen!$I$3:$AT$3, 0))),L37)))*(IF((YEAR(D37)+18)&lt;YEAR(E37),0,IF((YEAR(D37)+18)&gt;YEAR(E37),1,(12-MONTH(E37)+1)/12))) + (Q37)*(IF((YEAR(D37)+18)&lt;YEAR(E37),0,IF((YEAR(D37)+18)&gt;YEAR(E37),1,(12-MONTH(E37)+1)/12))))-((P37)*(IF((YEAR(D37)+18)&lt;YEAR(E37),0,IF((YEAR(D37)+18)&gt;YEAR(E37),1,(12-MONTH(E37)+1)/12))) + (R37)*(IF((YEAR(D37)+18)&lt;YEAR(E37),0,IF((YEAR(D37)+18)&gt;YEAR(E37),1,(12-MONTH(E37)+1)/12))))-(IF(OR(N37="",N37&lt;=0),0,(O37/N37)*(IF(OR(N37="",N37&lt;=0),0,IF((YEAR(D37)+18)&lt;YEAR(E37),0,IF((YEAR(D37)+18)&gt;=YEAR(E37)+N37,0,IF((YEAR(D37)+18)=YEAR(E37),(12-MONTH(E37)+1)/12,1))))))))*TaxRate,0))-IF(18=0,O37,0))</f>
        <v/>
      </c>
      <c r="AL37" s="29">
        <f>IF(A37="","",((K37)*(IF(M37="",L37,IFERROR(IF(INDEX(Variablen!$I:$AT, MATCH(M37, Variablen!$A:$A, 0), MATCH((YEAR(D37)+19), Variablen!$I$3:$AT$3, 0))="",L37,INDEX(Variablen!$I:$AT, MATCH(M37, Variablen!$A:$A, 0), MATCH((YEAR(D37)+19), Variablen!$I$3:$AT$3, 0))),L37)))*(IF((YEAR(D37)+19)&lt;YEAR(E37),0,IF((YEAR(D37)+19)&gt;YEAR(E37),1,(12-MONTH(E37)+1)/12))) + (Q37)*(IF((YEAR(D37)+19)&lt;YEAR(E37),0,IF((YEAR(D37)+19)&gt;YEAR(E37),1,(12-MONTH(E37)+1)/12))))-((P37)*(IF((YEAR(D37)+19)&lt;YEAR(E37),0,IF((YEAR(D37)+19)&gt;YEAR(E37),1,(12-MONTH(E37)+1)/12))) + (R37)*(IF((YEAR(D37)+19)&lt;YEAR(E37),0,IF((YEAR(D37)+19)&gt;YEAR(E37),1,(12-MONTH(E37)+1)/12))))-(IF((((K37)*(IF(M37="",L37,IFERROR(IF(INDEX(Variablen!$I:$AT, MATCH(M37, Variablen!$A:$A, 0), MATCH((YEAR(D37)+19), Variablen!$I$3:$AT$3, 0))="",L37,INDEX(Variablen!$I:$AT, MATCH(M37, Variablen!$A:$A, 0), MATCH((YEAR(D37)+19), Variablen!$I$3:$AT$3, 0))),L37)))*(IF((YEAR(D37)+19)&lt;YEAR(E37),0,IF((YEAR(D37)+19)&gt;YEAR(E37),1,(12-MONTH(E37)+1)/12))) + (Q37)*(IF((YEAR(D37)+19)&lt;YEAR(E37),0,IF((YEAR(D37)+19)&gt;YEAR(E37),1,(12-MONTH(E37)+1)/12))))-((P37)*(IF((YEAR(D37)+19)&lt;YEAR(E37),0,IF((YEAR(D37)+19)&gt;YEAR(E37),1,(12-MONTH(E37)+1)/12))) + (R37)*(IF((YEAR(D37)+19)&lt;YEAR(E37),0,IF((YEAR(D37)+19)&gt;YEAR(E37),1,(12-MONTH(E37)+1)/12))))-(IF(OR(N37="",N37&lt;=0),0,(O37/N37)*(IF(OR(N37="",N37&lt;=0),0,IF((YEAR(D37)+19)&lt;YEAR(E37),0,IF((YEAR(D37)+19)&gt;=YEAR(E37)+N37,0,IF((YEAR(D37)+19)=YEAR(E37),(12-MONTH(E37)+1)/12,1))))))))&gt;0,(((K37)*(IF(M37="",L37,IFERROR(IF(INDEX(Variablen!$I:$AT, MATCH(M37, Variablen!$A:$A, 0), MATCH((YEAR(D37)+19), Variablen!$I$3:$AT$3, 0))="",L37,INDEX(Variablen!$I:$AT, MATCH(M37, Variablen!$A:$A, 0), MATCH((YEAR(D37)+19), Variablen!$I$3:$AT$3, 0))),L37)))*(IF((YEAR(D37)+19)&lt;YEAR(E37),0,IF((YEAR(D37)+19)&gt;YEAR(E37),1,(12-MONTH(E37)+1)/12))) + (Q37)*(IF((YEAR(D37)+19)&lt;YEAR(E37),0,IF((YEAR(D37)+19)&gt;YEAR(E37),1,(12-MONTH(E37)+1)/12))))-((P37)*(IF((YEAR(D37)+19)&lt;YEAR(E37),0,IF((YEAR(D37)+19)&gt;YEAR(E37),1,(12-MONTH(E37)+1)/12))) + (R37)*(IF((YEAR(D37)+19)&lt;YEAR(E37),0,IF((YEAR(D37)+19)&gt;YEAR(E37),1,(12-MONTH(E37)+1)/12))))-(IF(OR(N37="",N37&lt;=0),0,(O37/N37)*(IF(OR(N37="",N37&lt;=0),0,IF((YEAR(D37)+19)&lt;YEAR(E37),0,IF((YEAR(D37)+19)&gt;=YEAR(E37)+N37,0,IF((YEAR(D37)+19)=YEAR(E37),(12-MONTH(E37)+1)/12,1))))))))*TaxRate,0))-IF(19=0,O37,0))</f>
        <v/>
      </c>
      <c r="AM37" s="29">
        <f>IF(A37="","",((K37)*(IF(M37="",L37,IFERROR(IF(INDEX(Variablen!$I:$AT, MATCH(M37, Variablen!$A:$A, 0), MATCH((YEAR(D37)+20), Variablen!$I$3:$AT$3, 0))="",L37,INDEX(Variablen!$I:$AT, MATCH(M37, Variablen!$A:$A, 0), MATCH((YEAR(D37)+20), Variablen!$I$3:$AT$3, 0))),L37)))*(IF((YEAR(D37)+20)&lt;YEAR(E37),0,IF((YEAR(D37)+20)&gt;YEAR(E37),1,(12-MONTH(E37)+1)/12))) + (Q37)*(IF((YEAR(D37)+20)&lt;YEAR(E37),0,IF((YEAR(D37)+20)&gt;YEAR(E37),1,(12-MONTH(E37)+1)/12))))-((P37)*(IF((YEAR(D37)+20)&lt;YEAR(E37),0,IF((YEAR(D37)+20)&gt;YEAR(E37),1,(12-MONTH(E37)+1)/12))) + (R37)*(IF((YEAR(D37)+20)&lt;YEAR(E37),0,IF((YEAR(D37)+20)&gt;YEAR(E37),1,(12-MONTH(E37)+1)/12))))-(IF((((K37)*(IF(M37="",L37,IFERROR(IF(INDEX(Variablen!$I:$AT, MATCH(M37, Variablen!$A:$A, 0), MATCH((YEAR(D37)+20), Variablen!$I$3:$AT$3, 0))="",L37,INDEX(Variablen!$I:$AT, MATCH(M37, Variablen!$A:$A, 0), MATCH((YEAR(D37)+20), Variablen!$I$3:$AT$3, 0))),L37)))*(IF((YEAR(D37)+20)&lt;YEAR(E37),0,IF((YEAR(D37)+20)&gt;YEAR(E37),1,(12-MONTH(E37)+1)/12))) + (Q37)*(IF((YEAR(D37)+20)&lt;YEAR(E37),0,IF((YEAR(D37)+20)&gt;YEAR(E37),1,(12-MONTH(E37)+1)/12))))-((P37)*(IF((YEAR(D37)+20)&lt;YEAR(E37),0,IF((YEAR(D37)+20)&gt;YEAR(E37),1,(12-MONTH(E37)+1)/12))) + (R37)*(IF((YEAR(D37)+20)&lt;YEAR(E37),0,IF((YEAR(D37)+20)&gt;YEAR(E37),1,(12-MONTH(E37)+1)/12))))-(IF(OR(N37="",N37&lt;=0),0,(O37/N37)*(IF(OR(N37="",N37&lt;=0),0,IF((YEAR(D37)+20)&lt;YEAR(E37),0,IF((YEAR(D37)+20)&gt;=YEAR(E37)+N37,0,IF((YEAR(D37)+20)=YEAR(E37),(12-MONTH(E37)+1)/12,1))))))))&gt;0,(((K37)*(IF(M37="",L37,IFERROR(IF(INDEX(Variablen!$I:$AT, MATCH(M37, Variablen!$A:$A, 0), MATCH((YEAR(D37)+20), Variablen!$I$3:$AT$3, 0))="",L37,INDEX(Variablen!$I:$AT, MATCH(M37, Variablen!$A:$A, 0), MATCH((YEAR(D37)+20), Variablen!$I$3:$AT$3, 0))),L37)))*(IF((YEAR(D37)+20)&lt;YEAR(E37),0,IF((YEAR(D37)+20)&gt;YEAR(E37),1,(12-MONTH(E37)+1)/12))) + (Q37)*(IF((YEAR(D37)+20)&lt;YEAR(E37),0,IF((YEAR(D37)+20)&gt;YEAR(E37),1,(12-MONTH(E37)+1)/12))))-((P37)*(IF((YEAR(D37)+20)&lt;YEAR(E37),0,IF((YEAR(D37)+20)&gt;YEAR(E37),1,(12-MONTH(E37)+1)/12))) + (R37)*(IF((YEAR(D37)+20)&lt;YEAR(E37),0,IF((YEAR(D37)+20)&gt;YEAR(E37),1,(12-MONTH(E37)+1)/12))))-(IF(OR(N37="",N37&lt;=0),0,(O37/N37)*(IF(OR(N37="",N37&lt;=0),0,IF((YEAR(D37)+20)&lt;YEAR(E37),0,IF((YEAR(D37)+20)&gt;=YEAR(E37)+N37,0,IF((YEAR(D37)+20)=YEAR(E37),(12-MONTH(E37)+1)/12,1))))))))*TaxRate,0))-IF(20=0,O37,0))</f>
        <v/>
      </c>
      <c r="AN37" s="29">
        <f>IF(A37="","",S37)</f>
        <v/>
      </c>
      <c r="AO37" s="29">
        <f>IF(A37="","",AN37+T37)</f>
        <v/>
      </c>
      <c r="AP37" s="29">
        <f>IF(A37="","",AO37+U37)</f>
        <v/>
      </c>
      <c r="AQ37" s="29">
        <f>IF(A37="","",AP37+V37)</f>
        <v/>
      </c>
      <c r="AR37" s="29">
        <f>IF(A37="","",AQ37+W37)</f>
        <v/>
      </c>
      <c r="AS37" s="29">
        <f>IF(A37="","",AR37+X37)</f>
        <v/>
      </c>
      <c r="AT37" s="29">
        <f>IF(A37="","",AS37+Y37)</f>
        <v/>
      </c>
      <c r="AU37" s="29">
        <f>IF(A37="","",AT37+Z37)</f>
        <v/>
      </c>
      <c r="AV37" s="29">
        <f>IF(A37="","",AU37+AA37)</f>
        <v/>
      </c>
      <c r="AW37" s="29">
        <f>IF(A37="","",AV37+AB37)</f>
        <v/>
      </c>
      <c r="AX37" s="29">
        <f>IF(A37="","",AW37+AC37)</f>
        <v/>
      </c>
      <c r="AY37" s="29">
        <f>IF(A37="","",AX37+AD37)</f>
        <v/>
      </c>
      <c r="AZ37" s="29">
        <f>IF(A37="","",AY37+AE37)</f>
        <v/>
      </c>
      <c r="BA37" s="29">
        <f>IF(A37="","",AZ37+AF37)</f>
        <v/>
      </c>
      <c r="BB37" s="29">
        <f>IF(A37="","",BA37+AG37)</f>
        <v/>
      </c>
      <c r="BC37" s="29">
        <f>IF(A37="","",BB37+AH37)</f>
        <v/>
      </c>
      <c r="BD37" s="29">
        <f>IF(A37="","",BC37+AI37)</f>
        <v/>
      </c>
      <c r="BE37" s="29">
        <f>IF(A37="","",BD37+AJ37)</f>
        <v/>
      </c>
      <c r="BF37" s="29">
        <f>IF(A37="","",BE37+AK37)</f>
        <v/>
      </c>
      <c r="BG37" s="29">
        <f>IF(A37="","",BF37+AL37)</f>
        <v/>
      </c>
      <c r="BH37" s="29">
        <f>IF(A37="","",BG37+AM37)</f>
        <v/>
      </c>
      <c r="BI37" s="36">
        <f>IF(A37="","",(K37)*(IF((YEAR(D37)+0)&lt;YEAR(E37),0,IF((YEAR(D37)+0)&gt;YEAR(E37),1,(12-MONTH(E37)+1)/12)))*(1/(1+DiscountRate)^0))</f>
        <v/>
      </c>
      <c r="BJ37" s="36">
        <f>IF(A37="","",(K37)*(IF((YEAR(D37)+1)&lt;YEAR(E37),0,IF((YEAR(D37)+1)&gt;YEAR(E37),1,(12-MONTH(E37)+1)/12)))*(1/(1+DiscountRate)^1))</f>
        <v/>
      </c>
      <c r="BK37" s="36">
        <f>IF(A37="","",(K37)*(IF((YEAR(D37)+2)&lt;YEAR(E37),0,IF((YEAR(D37)+2)&gt;YEAR(E37),1,(12-MONTH(E37)+1)/12)))*(1/(1+DiscountRate)^2))</f>
        <v/>
      </c>
      <c r="BL37" s="36">
        <f>IF(A37="","",(K37)*(IF((YEAR(D37)+3)&lt;YEAR(E37),0,IF((YEAR(D37)+3)&gt;YEAR(E37),1,(12-MONTH(E37)+1)/12)))*(1/(1+DiscountRate)^3))</f>
        <v/>
      </c>
      <c r="BM37" s="36">
        <f>IF(A37="","",(K37)*(IF((YEAR(D37)+4)&lt;YEAR(E37),0,IF((YEAR(D37)+4)&gt;YEAR(E37),1,(12-MONTH(E37)+1)/12)))*(1/(1+DiscountRate)^4))</f>
        <v/>
      </c>
      <c r="BN37" s="36">
        <f>IF(A37="","",(K37)*(IF((YEAR(D37)+5)&lt;YEAR(E37),0,IF((YEAR(D37)+5)&gt;YEAR(E37),1,(12-MONTH(E37)+1)/12)))*(1/(1+DiscountRate)^5))</f>
        <v/>
      </c>
      <c r="BO37" s="36">
        <f>IF(A37="","",(K37)*(IF((YEAR(D37)+6)&lt;YEAR(E37),0,IF((YEAR(D37)+6)&gt;YEAR(E37),1,(12-MONTH(E37)+1)/12)))*(1/(1+DiscountRate)^6))</f>
        <v/>
      </c>
      <c r="BP37" s="36">
        <f>IF(A37="","",(K37)*(IF((YEAR(D37)+7)&lt;YEAR(E37),0,IF((YEAR(D37)+7)&gt;YEAR(E37),1,(12-MONTH(E37)+1)/12)))*(1/(1+DiscountRate)^7))</f>
        <v/>
      </c>
      <c r="BQ37" s="36">
        <f>IF(A37="","",(K37)*(IF((YEAR(D37)+8)&lt;YEAR(E37),0,IF((YEAR(D37)+8)&gt;YEAR(E37),1,(12-MONTH(E37)+1)/12)))*(1/(1+DiscountRate)^8))</f>
        <v/>
      </c>
      <c r="BR37" s="36">
        <f>IF(A37="","",(K37)*(IF((YEAR(D37)+9)&lt;YEAR(E37),0,IF((YEAR(D37)+9)&gt;YEAR(E37),1,(12-MONTH(E37)+1)/12)))*(1/(1+DiscountRate)^9))</f>
        <v/>
      </c>
      <c r="BS37" s="36">
        <f>IF(A37="","",(K37)*(IF((YEAR(D37)+10)&lt;YEAR(E37),0,IF((YEAR(D37)+10)&gt;YEAR(E37),1,(12-MONTH(E37)+1)/12)))*(1/(1+DiscountRate)^10))</f>
        <v/>
      </c>
      <c r="BT37" s="36">
        <f>IF(A37="","",(K37)*(IF((YEAR(D37)+11)&lt;YEAR(E37),0,IF((YEAR(D37)+11)&gt;YEAR(E37),1,(12-MONTH(E37)+1)/12)))*(1/(1+DiscountRate)^11))</f>
        <v/>
      </c>
      <c r="BU37" s="36">
        <f>IF(A37="","",(K37)*(IF((YEAR(D37)+12)&lt;YEAR(E37),0,IF((YEAR(D37)+12)&gt;YEAR(E37),1,(12-MONTH(E37)+1)/12)))*(1/(1+DiscountRate)^12))</f>
        <v/>
      </c>
      <c r="BV37" s="36">
        <f>IF(A37="","",(K37)*(IF((YEAR(D37)+13)&lt;YEAR(E37),0,IF((YEAR(D37)+13)&gt;YEAR(E37),1,(12-MONTH(E37)+1)/12)))*(1/(1+DiscountRate)^13))</f>
        <v/>
      </c>
      <c r="BW37" s="36">
        <f>IF(A37="","",(K37)*(IF((YEAR(D37)+14)&lt;YEAR(E37),0,IF((YEAR(D37)+14)&gt;YEAR(E37),1,(12-MONTH(E37)+1)/12)))*(1/(1+DiscountRate)^14))</f>
        <v/>
      </c>
      <c r="BX37" s="36">
        <f>IF(A37="","",(K37)*(IF((YEAR(D37)+15)&lt;YEAR(E37),0,IF((YEAR(D37)+15)&gt;YEAR(E37),1,(12-MONTH(E37)+1)/12)))*(1/(1+DiscountRate)^15))</f>
        <v/>
      </c>
      <c r="BY37" s="36">
        <f>IF(A37="","",(K37)*(IF((YEAR(D37)+16)&lt;YEAR(E37),0,IF((YEAR(D37)+16)&gt;YEAR(E37),1,(12-MONTH(E37)+1)/12)))*(1/(1+DiscountRate)^16))</f>
        <v/>
      </c>
      <c r="BZ37" s="36">
        <f>IF(A37="","",(K37)*(IF((YEAR(D37)+17)&lt;YEAR(E37),0,IF((YEAR(D37)+17)&gt;YEAR(E37),1,(12-MONTH(E37)+1)/12)))*(1/(1+DiscountRate)^17))</f>
        <v/>
      </c>
      <c r="CA37" s="36">
        <f>IF(A37="","",(K37)*(IF((YEAR(D37)+18)&lt;YEAR(E37),0,IF((YEAR(D37)+18)&gt;YEAR(E37),1,(12-MONTH(E37)+1)/12)))*(1/(1+DiscountRate)^18))</f>
        <v/>
      </c>
      <c r="CB37" s="36">
        <f>IF(A37="","",(K37)*(IF((YEAR(D37)+19)&lt;YEAR(E37),0,IF((YEAR(D37)+19)&gt;YEAR(E37),1,(12-MONTH(E37)+1)/12)))*(1/(1+DiscountRate)^19))</f>
        <v/>
      </c>
      <c r="CC37" s="36">
        <f>IF(A37="","",(K37)*(IF((YEAR(D37)+20)&lt;YEAR(E37),0,IF((YEAR(D37)+20)&gt;YEAR(E37),1,(12-MONTH(E37)+1)/12)))*(1/(1+DiscountRate)^20))</f>
        <v/>
      </c>
      <c r="CD37" s="29">
        <f>IF(A37="","",S37/(1+DiscountRate)^0+T37/(1+DiscountRate)^1+U37/(1+DiscountRate)^2+V37/(1+DiscountRate)^3+W37/(1+DiscountRate)^4+X37/(1+DiscountRate)^5+Y37/(1+DiscountRate)^6+Z37/(1+DiscountRate)^7+AA37/(1+DiscountRate)^8+AB37/(1+DiscountRate)^9+AC37/(1+DiscountRate)^10+AD37/(1+DiscountRate)^11+AE37/(1+DiscountRate)^12+AF37/(1+DiscountRate)^13+AG37/(1+DiscountRate)^14+AH37/(1+DiscountRate)^15+AI37/(1+DiscountRate)^16+AJ37/(1+DiscountRate)^17+AK37/(1+DiscountRate)^18+AL37/(1+DiscountRate)^19+AM37/(1+DiscountRate)^20)</f>
        <v/>
      </c>
      <c r="CE37" s="37">
        <f>IF(A37="","",IFERROR(IRR(OFFSET(S37,0,0,1,MIN(HorizonYears,20)+1)),"n/a"))</f>
        <v/>
      </c>
      <c r="CF37" s="28">
        <f>IF(A37="","",IFERROR(MATCH(TRUE,OFFSET(AN37,0,0,1,MIN(HorizonYears,20)+1)&gt;=0,0)-1,"n/a"))</f>
        <v/>
      </c>
      <c r="CG37" s="36">
        <f>IF(A37="","",SUM(OFFSET(BI37,0,0,1,MIN(HorizonYears,20)+1)))</f>
        <v/>
      </c>
      <c r="CH37" s="36">
        <f>IF(A37="","",IFERROR(-CD37/CG37,"n/a"))</f>
        <v/>
      </c>
    </row>
    <row r="38">
      <c r="A38" s="6">
        <f>Actions!A36</f>
        <v/>
      </c>
      <c r="B38" s="6">
        <f>Actions!B36</f>
        <v/>
      </c>
      <c r="C38" s="6">
        <f>Actions!D36</f>
        <v/>
      </c>
      <c r="D38" s="35">
        <f>Actions!E36</f>
        <v/>
      </c>
      <c r="E38" s="35">
        <f>Actions!F36</f>
        <v/>
      </c>
      <c r="F38" s="6">
        <f>Actions!G36</f>
        <v/>
      </c>
      <c r="G38" s="6">
        <f>Actions!H36</f>
        <v/>
      </c>
      <c r="H38" s="29">
        <f>Actions!I36</f>
        <v/>
      </c>
      <c r="I38" s="6">
        <f>Actions!J36</f>
        <v/>
      </c>
      <c r="J38" s="16">
        <f>Actions!K36</f>
        <v/>
      </c>
      <c r="K38" s="16">
        <f>IF(A38="","",IF(I38="%",H38*J38,J38))</f>
        <v/>
      </c>
      <c r="L38" s="16">
        <f>Actions!L36</f>
        <v/>
      </c>
      <c r="M38" s="6">
        <f>Actions!M36</f>
        <v/>
      </c>
      <c r="N38" s="28">
        <f>Actions!N36</f>
        <v/>
      </c>
      <c r="O38" s="29">
        <f>Actions!T36</f>
        <v/>
      </c>
      <c r="P38" s="29">
        <f>Actions!Y36</f>
        <v/>
      </c>
      <c r="Q38" s="29">
        <f>Actions!Z36</f>
        <v/>
      </c>
      <c r="R38" s="29">
        <f>Actions!AA36</f>
        <v/>
      </c>
      <c r="S38" s="29">
        <f>IF(A38="","",((K38)*(IF(M38="",L38,IFERROR(IF(INDEX(Variablen!$I:$AT, MATCH(M38, Variablen!$A:$A, 0), MATCH((YEAR(D38)+0), Variablen!$I$3:$AT$3, 0))="",L38,INDEX(Variablen!$I:$AT, MATCH(M38, Variablen!$A:$A, 0), MATCH((YEAR(D38)+0), Variablen!$I$3:$AT$3, 0))),L38)))*(IF((YEAR(D38)+0)&lt;YEAR(E38),0,IF((YEAR(D38)+0)&gt;YEAR(E38),1,(12-MONTH(E38)+1)/12))) + (Q38)*(IF((YEAR(D38)+0)&lt;YEAR(E38),0,IF((YEAR(D38)+0)&gt;YEAR(E38),1,(12-MONTH(E38)+1)/12))))-((P38)*(IF((YEAR(D38)+0)&lt;YEAR(E38),0,IF((YEAR(D38)+0)&gt;YEAR(E38),1,(12-MONTH(E38)+1)/12))) + (R38)*(IF((YEAR(D38)+0)&lt;YEAR(E38),0,IF((YEAR(D38)+0)&gt;YEAR(E38),1,(12-MONTH(E38)+1)/12))))-(IF((((K38)*(IF(M38="",L38,IFERROR(IF(INDEX(Variablen!$I:$AT, MATCH(M38, Variablen!$A:$A, 0), MATCH((YEAR(D38)+0), Variablen!$I$3:$AT$3, 0))="",L38,INDEX(Variablen!$I:$AT, MATCH(M38, Variablen!$A:$A, 0), MATCH((YEAR(D38)+0), Variablen!$I$3:$AT$3, 0))),L38)))*(IF((YEAR(D38)+0)&lt;YEAR(E38),0,IF((YEAR(D38)+0)&gt;YEAR(E38),1,(12-MONTH(E38)+1)/12))) + (Q38)*(IF((YEAR(D38)+0)&lt;YEAR(E38),0,IF((YEAR(D38)+0)&gt;YEAR(E38),1,(12-MONTH(E38)+1)/12))))-((P38)*(IF((YEAR(D38)+0)&lt;YEAR(E38),0,IF((YEAR(D38)+0)&gt;YEAR(E38),1,(12-MONTH(E38)+1)/12))) + (R38)*(IF((YEAR(D38)+0)&lt;YEAR(E38),0,IF((YEAR(D38)+0)&gt;YEAR(E38),1,(12-MONTH(E38)+1)/12))))-(IF(OR(N38="",N38&lt;=0),0,(O38/N38)*(IF(OR(N38="",N38&lt;=0),0,IF((YEAR(D38)+0)&lt;YEAR(E38),0,IF((YEAR(D38)+0)&gt;=YEAR(E38)+N38,0,IF((YEAR(D38)+0)=YEAR(E38),(12-MONTH(E38)+1)/12,1))))))))&gt;0,(((K38)*(IF(M38="",L38,IFERROR(IF(INDEX(Variablen!$I:$AT, MATCH(M38, Variablen!$A:$A, 0), MATCH((YEAR(D38)+0), Variablen!$I$3:$AT$3, 0))="",L38,INDEX(Variablen!$I:$AT, MATCH(M38, Variablen!$A:$A, 0), MATCH((YEAR(D38)+0), Variablen!$I$3:$AT$3, 0))),L38)))*(IF((YEAR(D38)+0)&lt;YEAR(E38),0,IF((YEAR(D38)+0)&gt;YEAR(E38),1,(12-MONTH(E38)+1)/12))) + (Q38)*(IF((YEAR(D38)+0)&lt;YEAR(E38),0,IF((YEAR(D38)+0)&gt;YEAR(E38),1,(12-MONTH(E38)+1)/12))))-((P38)*(IF((YEAR(D38)+0)&lt;YEAR(E38),0,IF((YEAR(D38)+0)&gt;YEAR(E38),1,(12-MONTH(E38)+1)/12))) + (R38)*(IF((YEAR(D38)+0)&lt;YEAR(E38),0,IF((YEAR(D38)+0)&gt;YEAR(E38),1,(12-MONTH(E38)+1)/12))))-(IF(OR(N38="",N38&lt;=0),0,(O38/N38)*(IF(OR(N38="",N38&lt;=0),0,IF((YEAR(D38)+0)&lt;YEAR(E38),0,IF((YEAR(D38)+0)&gt;=YEAR(E38)+N38,0,IF((YEAR(D38)+0)=YEAR(E38),(12-MONTH(E38)+1)/12,1))))))))*TaxRate,0))-IF(0=0,O38,0))</f>
        <v/>
      </c>
      <c r="T38" s="29">
        <f>IF(A38="","",((K38)*(IF(M38="",L38,IFERROR(IF(INDEX(Variablen!$I:$AT, MATCH(M38, Variablen!$A:$A, 0), MATCH((YEAR(D38)+1), Variablen!$I$3:$AT$3, 0))="",L38,INDEX(Variablen!$I:$AT, MATCH(M38, Variablen!$A:$A, 0), MATCH((YEAR(D38)+1), Variablen!$I$3:$AT$3, 0))),L38)))*(IF((YEAR(D38)+1)&lt;YEAR(E38),0,IF((YEAR(D38)+1)&gt;YEAR(E38),1,(12-MONTH(E38)+1)/12))) + (Q38)*(IF((YEAR(D38)+1)&lt;YEAR(E38),0,IF((YEAR(D38)+1)&gt;YEAR(E38),1,(12-MONTH(E38)+1)/12))))-((P38)*(IF((YEAR(D38)+1)&lt;YEAR(E38),0,IF((YEAR(D38)+1)&gt;YEAR(E38),1,(12-MONTH(E38)+1)/12))) + (R38)*(IF((YEAR(D38)+1)&lt;YEAR(E38),0,IF((YEAR(D38)+1)&gt;YEAR(E38),1,(12-MONTH(E38)+1)/12))))-(IF((((K38)*(IF(M38="",L38,IFERROR(IF(INDEX(Variablen!$I:$AT, MATCH(M38, Variablen!$A:$A, 0), MATCH((YEAR(D38)+1), Variablen!$I$3:$AT$3, 0))="",L38,INDEX(Variablen!$I:$AT, MATCH(M38, Variablen!$A:$A, 0), MATCH((YEAR(D38)+1), Variablen!$I$3:$AT$3, 0))),L38)))*(IF((YEAR(D38)+1)&lt;YEAR(E38),0,IF((YEAR(D38)+1)&gt;YEAR(E38),1,(12-MONTH(E38)+1)/12))) + (Q38)*(IF((YEAR(D38)+1)&lt;YEAR(E38),0,IF((YEAR(D38)+1)&gt;YEAR(E38),1,(12-MONTH(E38)+1)/12))))-((P38)*(IF((YEAR(D38)+1)&lt;YEAR(E38),0,IF((YEAR(D38)+1)&gt;YEAR(E38),1,(12-MONTH(E38)+1)/12))) + (R38)*(IF((YEAR(D38)+1)&lt;YEAR(E38),0,IF((YEAR(D38)+1)&gt;YEAR(E38),1,(12-MONTH(E38)+1)/12))))-(IF(OR(N38="",N38&lt;=0),0,(O38/N38)*(IF(OR(N38="",N38&lt;=0),0,IF((YEAR(D38)+1)&lt;YEAR(E38),0,IF((YEAR(D38)+1)&gt;=YEAR(E38)+N38,0,IF((YEAR(D38)+1)=YEAR(E38),(12-MONTH(E38)+1)/12,1))))))))&gt;0,(((K38)*(IF(M38="",L38,IFERROR(IF(INDEX(Variablen!$I:$AT, MATCH(M38, Variablen!$A:$A, 0), MATCH((YEAR(D38)+1), Variablen!$I$3:$AT$3, 0))="",L38,INDEX(Variablen!$I:$AT, MATCH(M38, Variablen!$A:$A, 0), MATCH((YEAR(D38)+1), Variablen!$I$3:$AT$3, 0))),L38)))*(IF((YEAR(D38)+1)&lt;YEAR(E38),0,IF((YEAR(D38)+1)&gt;YEAR(E38),1,(12-MONTH(E38)+1)/12))) + (Q38)*(IF((YEAR(D38)+1)&lt;YEAR(E38),0,IF((YEAR(D38)+1)&gt;YEAR(E38),1,(12-MONTH(E38)+1)/12))))-((P38)*(IF((YEAR(D38)+1)&lt;YEAR(E38),0,IF((YEAR(D38)+1)&gt;YEAR(E38),1,(12-MONTH(E38)+1)/12))) + (R38)*(IF((YEAR(D38)+1)&lt;YEAR(E38),0,IF((YEAR(D38)+1)&gt;YEAR(E38),1,(12-MONTH(E38)+1)/12))))-(IF(OR(N38="",N38&lt;=0),0,(O38/N38)*(IF(OR(N38="",N38&lt;=0),0,IF((YEAR(D38)+1)&lt;YEAR(E38),0,IF((YEAR(D38)+1)&gt;=YEAR(E38)+N38,0,IF((YEAR(D38)+1)=YEAR(E38),(12-MONTH(E38)+1)/12,1))))))))*TaxRate,0))-IF(1=0,O38,0))</f>
        <v/>
      </c>
      <c r="U38" s="29">
        <f>IF(A38="","",((K38)*(IF(M38="",L38,IFERROR(IF(INDEX(Variablen!$I:$AT, MATCH(M38, Variablen!$A:$A, 0), MATCH((YEAR(D38)+2), Variablen!$I$3:$AT$3, 0))="",L38,INDEX(Variablen!$I:$AT, MATCH(M38, Variablen!$A:$A, 0), MATCH((YEAR(D38)+2), Variablen!$I$3:$AT$3, 0))),L38)))*(IF((YEAR(D38)+2)&lt;YEAR(E38),0,IF((YEAR(D38)+2)&gt;YEAR(E38),1,(12-MONTH(E38)+1)/12))) + (Q38)*(IF((YEAR(D38)+2)&lt;YEAR(E38),0,IF((YEAR(D38)+2)&gt;YEAR(E38),1,(12-MONTH(E38)+1)/12))))-((P38)*(IF((YEAR(D38)+2)&lt;YEAR(E38),0,IF((YEAR(D38)+2)&gt;YEAR(E38),1,(12-MONTH(E38)+1)/12))) + (R38)*(IF((YEAR(D38)+2)&lt;YEAR(E38),0,IF((YEAR(D38)+2)&gt;YEAR(E38),1,(12-MONTH(E38)+1)/12))))-(IF((((K38)*(IF(M38="",L38,IFERROR(IF(INDEX(Variablen!$I:$AT, MATCH(M38, Variablen!$A:$A, 0), MATCH((YEAR(D38)+2), Variablen!$I$3:$AT$3, 0))="",L38,INDEX(Variablen!$I:$AT, MATCH(M38, Variablen!$A:$A, 0), MATCH((YEAR(D38)+2), Variablen!$I$3:$AT$3, 0))),L38)))*(IF((YEAR(D38)+2)&lt;YEAR(E38),0,IF((YEAR(D38)+2)&gt;YEAR(E38),1,(12-MONTH(E38)+1)/12))) + (Q38)*(IF((YEAR(D38)+2)&lt;YEAR(E38),0,IF((YEAR(D38)+2)&gt;YEAR(E38),1,(12-MONTH(E38)+1)/12))))-((P38)*(IF((YEAR(D38)+2)&lt;YEAR(E38),0,IF((YEAR(D38)+2)&gt;YEAR(E38),1,(12-MONTH(E38)+1)/12))) + (R38)*(IF((YEAR(D38)+2)&lt;YEAR(E38),0,IF((YEAR(D38)+2)&gt;YEAR(E38),1,(12-MONTH(E38)+1)/12))))-(IF(OR(N38="",N38&lt;=0),0,(O38/N38)*(IF(OR(N38="",N38&lt;=0),0,IF((YEAR(D38)+2)&lt;YEAR(E38),0,IF((YEAR(D38)+2)&gt;=YEAR(E38)+N38,0,IF((YEAR(D38)+2)=YEAR(E38),(12-MONTH(E38)+1)/12,1))))))))&gt;0,(((K38)*(IF(M38="",L38,IFERROR(IF(INDEX(Variablen!$I:$AT, MATCH(M38, Variablen!$A:$A, 0), MATCH((YEAR(D38)+2), Variablen!$I$3:$AT$3, 0))="",L38,INDEX(Variablen!$I:$AT, MATCH(M38, Variablen!$A:$A, 0), MATCH((YEAR(D38)+2), Variablen!$I$3:$AT$3, 0))),L38)))*(IF((YEAR(D38)+2)&lt;YEAR(E38),0,IF((YEAR(D38)+2)&gt;YEAR(E38),1,(12-MONTH(E38)+1)/12))) + (Q38)*(IF((YEAR(D38)+2)&lt;YEAR(E38),0,IF((YEAR(D38)+2)&gt;YEAR(E38),1,(12-MONTH(E38)+1)/12))))-((P38)*(IF((YEAR(D38)+2)&lt;YEAR(E38),0,IF((YEAR(D38)+2)&gt;YEAR(E38),1,(12-MONTH(E38)+1)/12))) + (R38)*(IF((YEAR(D38)+2)&lt;YEAR(E38),0,IF((YEAR(D38)+2)&gt;YEAR(E38),1,(12-MONTH(E38)+1)/12))))-(IF(OR(N38="",N38&lt;=0),0,(O38/N38)*(IF(OR(N38="",N38&lt;=0),0,IF((YEAR(D38)+2)&lt;YEAR(E38),0,IF((YEAR(D38)+2)&gt;=YEAR(E38)+N38,0,IF((YEAR(D38)+2)=YEAR(E38),(12-MONTH(E38)+1)/12,1))))))))*TaxRate,0))-IF(2=0,O38,0))</f>
        <v/>
      </c>
      <c r="V38" s="29">
        <f>IF(A38="","",((K38)*(IF(M38="",L38,IFERROR(IF(INDEX(Variablen!$I:$AT, MATCH(M38, Variablen!$A:$A, 0), MATCH((YEAR(D38)+3), Variablen!$I$3:$AT$3, 0))="",L38,INDEX(Variablen!$I:$AT, MATCH(M38, Variablen!$A:$A, 0), MATCH((YEAR(D38)+3), Variablen!$I$3:$AT$3, 0))),L38)))*(IF((YEAR(D38)+3)&lt;YEAR(E38),0,IF((YEAR(D38)+3)&gt;YEAR(E38),1,(12-MONTH(E38)+1)/12))) + (Q38)*(IF((YEAR(D38)+3)&lt;YEAR(E38),0,IF((YEAR(D38)+3)&gt;YEAR(E38),1,(12-MONTH(E38)+1)/12))))-((P38)*(IF((YEAR(D38)+3)&lt;YEAR(E38),0,IF((YEAR(D38)+3)&gt;YEAR(E38),1,(12-MONTH(E38)+1)/12))) + (R38)*(IF((YEAR(D38)+3)&lt;YEAR(E38),0,IF((YEAR(D38)+3)&gt;YEAR(E38),1,(12-MONTH(E38)+1)/12))))-(IF((((K38)*(IF(M38="",L38,IFERROR(IF(INDEX(Variablen!$I:$AT, MATCH(M38, Variablen!$A:$A, 0), MATCH((YEAR(D38)+3), Variablen!$I$3:$AT$3, 0))="",L38,INDEX(Variablen!$I:$AT, MATCH(M38, Variablen!$A:$A, 0), MATCH((YEAR(D38)+3), Variablen!$I$3:$AT$3, 0))),L38)))*(IF((YEAR(D38)+3)&lt;YEAR(E38),0,IF((YEAR(D38)+3)&gt;YEAR(E38),1,(12-MONTH(E38)+1)/12))) + (Q38)*(IF((YEAR(D38)+3)&lt;YEAR(E38),0,IF((YEAR(D38)+3)&gt;YEAR(E38),1,(12-MONTH(E38)+1)/12))))-((P38)*(IF((YEAR(D38)+3)&lt;YEAR(E38),0,IF((YEAR(D38)+3)&gt;YEAR(E38),1,(12-MONTH(E38)+1)/12))) + (R38)*(IF((YEAR(D38)+3)&lt;YEAR(E38),0,IF((YEAR(D38)+3)&gt;YEAR(E38),1,(12-MONTH(E38)+1)/12))))-(IF(OR(N38="",N38&lt;=0),0,(O38/N38)*(IF(OR(N38="",N38&lt;=0),0,IF((YEAR(D38)+3)&lt;YEAR(E38),0,IF((YEAR(D38)+3)&gt;=YEAR(E38)+N38,0,IF((YEAR(D38)+3)=YEAR(E38),(12-MONTH(E38)+1)/12,1))))))))&gt;0,(((K38)*(IF(M38="",L38,IFERROR(IF(INDEX(Variablen!$I:$AT, MATCH(M38, Variablen!$A:$A, 0), MATCH((YEAR(D38)+3), Variablen!$I$3:$AT$3, 0))="",L38,INDEX(Variablen!$I:$AT, MATCH(M38, Variablen!$A:$A, 0), MATCH((YEAR(D38)+3), Variablen!$I$3:$AT$3, 0))),L38)))*(IF((YEAR(D38)+3)&lt;YEAR(E38),0,IF((YEAR(D38)+3)&gt;YEAR(E38),1,(12-MONTH(E38)+1)/12))) + (Q38)*(IF((YEAR(D38)+3)&lt;YEAR(E38),0,IF((YEAR(D38)+3)&gt;YEAR(E38),1,(12-MONTH(E38)+1)/12))))-((P38)*(IF((YEAR(D38)+3)&lt;YEAR(E38),0,IF((YEAR(D38)+3)&gt;YEAR(E38),1,(12-MONTH(E38)+1)/12))) + (R38)*(IF((YEAR(D38)+3)&lt;YEAR(E38),0,IF((YEAR(D38)+3)&gt;YEAR(E38),1,(12-MONTH(E38)+1)/12))))-(IF(OR(N38="",N38&lt;=0),0,(O38/N38)*(IF(OR(N38="",N38&lt;=0),0,IF((YEAR(D38)+3)&lt;YEAR(E38),0,IF((YEAR(D38)+3)&gt;=YEAR(E38)+N38,0,IF((YEAR(D38)+3)=YEAR(E38),(12-MONTH(E38)+1)/12,1))))))))*TaxRate,0))-IF(3=0,O38,0))</f>
        <v/>
      </c>
      <c r="W38" s="29">
        <f>IF(A38="","",((K38)*(IF(M38="",L38,IFERROR(IF(INDEX(Variablen!$I:$AT, MATCH(M38, Variablen!$A:$A, 0), MATCH((YEAR(D38)+4), Variablen!$I$3:$AT$3, 0))="",L38,INDEX(Variablen!$I:$AT, MATCH(M38, Variablen!$A:$A, 0), MATCH((YEAR(D38)+4), Variablen!$I$3:$AT$3, 0))),L38)))*(IF((YEAR(D38)+4)&lt;YEAR(E38),0,IF((YEAR(D38)+4)&gt;YEAR(E38),1,(12-MONTH(E38)+1)/12))) + (Q38)*(IF((YEAR(D38)+4)&lt;YEAR(E38),0,IF((YEAR(D38)+4)&gt;YEAR(E38),1,(12-MONTH(E38)+1)/12))))-((P38)*(IF((YEAR(D38)+4)&lt;YEAR(E38),0,IF((YEAR(D38)+4)&gt;YEAR(E38),1,(12-MONTH(E38)+1)/12))) + (R38)*(IF((YEAR(D38)+4)&lt;YEAR(E38),0,IF((YEAR(D38)+4)&gt;YEAR(E38),1,(12-MONTH(E38)+1)/12))))-(IF((((K38)*(IF(M38="",L38,IFERROR(IF(INDEX(Variablen!$I:$AT, MATCH(M38, Variablen!$A:$A, 0), MATCH((YEAR(D38)+4), Variablen!$I$3:$AT$3, 0))="",L38,INDEX(Variablen!$I:$AT, MATCH(M38, Variablen!$A:$A, 0), MATCH((YEAR(D38)+4), Variablen!$I$3:$AT$3, 0))),L38)))*(IF((YEAR(D38)+4)&lt;YEAR(E38),0,IF((YEAR(D38)+4)&gt;YEAR(E38),1,(12-MONTH(E38)+1)/12))) + (Q38)*(IF((YEAR(D38)+4)&lt;YEAR(E38),0,IF((YEAR(D38)+4)&gt;YEAR(E38),1,(12-MONTH(E38)+1)/12))))-((P38)*(IF((YEAR(D38)+4)&lt;YEAR(E38),0,IF((YEAR(D38)+4)&gt;YEAR(E38),1,(12-MONTH(E38)+1)/12))) + (R38)*(IF((YEAR(D38)+4)&lt;YEAR(E38),0,IF((YEAR(D38)+4)&gt;YEAR(E38),1,(12-MONTH(E38)+1)/12))))-(IF(OR(N38="",N38&lt;=0),0,(O38/N38)*(IF(OR(N38="",N38&lt;=0),0,IF((YEAR(D38)+4)&lt;YEAR(E38),0,IF((YEAR(D38)+4)&gt;=YEAR(E38)+N38,0,IF((YEAR(D38)+4)=YEAR(E38),(12-MONTH(E38)+1)/12,1))))))))&gt;0,(((K38)*(IF(M38="",L38,IFERROR(IF(INDEX(Variablen!$I:$AT, MATCH(M38, Variablen!$A:$A, 0), MATCH((YEAR(D38)+4), Variablen!$I$3:$AT$3, 0))="",L38,INDEX(Variablen!$I:$AT, MATCH(M38, Variablen!$A:$A, 0), MATCH((YEAR(D38)+4), Variablen!$I$3:$AT$3, 0))),L38)))*(IF((YEAR(D38)+4)&lt;YEAR(E38),0,IF((YEAR(D38)+4)&gt;YEAR(E38),1,(12-MONTH(E38)+1)/12))) + (Q38)*(IF((YEAR(D38)+4)&lt;YEAR(E38),0,IF((YEAR(D38)+4)&gt;YEAR(E38),1,(12-MONTH(E38)+1)/12))))-((P38)*(IF((YEAR(D38)+4)&lt;YEAR(E38),0,IF((YEAR(D38)+4)&gt;YEAR(E38),1,(12-MONTH(E38)+1)/12))) + (R38)*(IF((YEAR(D38)+4)&lt;YEAR(E38),0,IF((YEAR(D38)+4)&gt;YEAR(E38),1,(12-MONTH(E38)+1)/12))))-(IF(OR(N38="",N38&lt;=0),0,(O38/N38)*(IF(OR(N38="",N38&lt;=0),0,IF((YEAR(D38)+4)&lt;YEAR(E38),0,IF((YEAR(D38)+4)&gt;=YEAR(E38)+N38,0,IF((YEAR(D38)+4)=YEAR(E38),(12-MONTH(E38)+1)/12,1))))))))*TaxRate,0))-IF(4=0,O38,0))</f>
        <v/>
      </c>
      <c r="X38" s="29">
        <f>IF(A38="","",((K38)*(IF(M38="",L38,IFERROR(IF(INDEX(Variablen!$I:$AT, MATCH(M38, Variablen!$A:$A, 0), MATCH((YEAR(D38)+5), Variablen!$I$3:$AT$3, 0))="",L38,INDEX(Variablen!$I:$AT, MATCH(M38, Variablen!$A:$A, 0), MATCH((YEAR(D38)+5), Variablen!$I$3:$AT$3, 0))),L38)))*(IF((YEAR(D38)+5)&lt;YEAR(E38),0,IF((YEAR(D38)+5)&gt;YEAR(E38),1,(12-MONTH(E38)+1)/12))) + (Q38)*(IF((YEAR(D38)+5)&lt;YEAR(E38),0,IF((YEAR(D38)+5)&gt;YEAR(E38),1,(12-MONTH(E38)+1)/12))))-((P38)*(IF((YEAR(D38)+5)&lt;YEAR(E38),0,IF((YEAR(D38)+5)&gt;YEAR(E38),1,(12-MONTH(E38)+1)/12))) + (R38)*(IF((YEAR(D38)+5)&lt;YEAR(E38),0,IF((YEAR(D38)+5)&gt;YEAR(E38),1,(12-MONTH(E38)+1)/12))))-(IF((((K38)*(IF(M38="",L38,IFERROR(IF(INDEX(Variablen!$I:$AT, MATCH(M38, Variablen!$A:$A, 0), MATCH((YEAR(D38)+5), Variablen!$I$3:$AT$3, 0))="",L38,INDEX(Variablen!$I:$AT, MATCH(M38, Variablen!$A:$A, 0), MATCH((YEAR(D38)+5), Variablen!$I$3:$AT$3, 0))),L38)))*(IF((YEAR(D38)+5)&lt;YEAR(E38),0,IF((YEAR(D38)+5)&gt;YEAR(E38),1,(12-MONTH(E38)+1)/12))) + (Q38)*(IF((YEAR(D38)+5)&lt;YEAR(E38),0,IF((YEAR(D38)+5)&gt;YEAR(E38),1,(12-MONTH(E38)+1)/12))))-((P38)*(IF((YEAR(D38)+5)&lt;YEAR(E38),0,IF((YEAR(D38)+5)&gt;YEAR(E38),1,(12-MONTH(E38)+1)/12))) + (R38)*(IF((YEAR(D38)+5)&lt;YEAR(E38),0,IF((YEAR(D38)+5)&gt;YEAR(E38),1,(12-MONTH(E38)+1)/12))))-(IF(OR(N38="",N38&lt;=0),0,(O38/N38)*(IF(OR(N38="",N38&lt;=0),0,IF((YEAR(D38)+5)&lt;YEAR(E38),0,IF((YEAR(D38)+5)&gt;=YEAR(E38)+N38,0,IF((YEAR(D38)+5)=YEAR(E38),(12-MONTH(E38)+1)/12,1))))))))&gt;0,(((K38)*(IF(M38="",L38,IFERROR(IF(INDEX(Variablen!$I:$AT, MATCH(M38, Variablen!$A:$A, 0), MATCH((YEAR(D38)+5), Variablen!$I$3:$AT$3, 0))="",L38,INDEX(Variablen!$I:$AT, MATCH(M38, Variablen!$A:$A, 0), MATCH((YEAR(D38)+5), Variablen!$I$3:$AT$3, 0))),L38)))*(IF((YEAR(D38)+5)&lt;YEAR(E38),0,IF((YEAR(D38)+5)&gt;YEAR(E38),1,(12-MONTH(E38)+1)/12))) + (Q38)*(IF((YEAR(D38)+5)&lt;YEAR(E38),0,IF((YEAR(D38)+5)&gt;YEAR(E38),1,(12-MONTH(E38)+1)/12))))-((P38)*(IF((YEAR(D38)+5)&lt;YEAR(E38),0,IF((YEAR(D38)+5)&gt;YEAR(E38),1,(12-MONTH(E38)+1)/12))) + (R38)*(IF((YEAR(D38)+5)&lt;YEAR(E38),0,IF((YEAR(D38)+5)&gt;YEAR(E38),1,(12-MONTH(E38)+1)/12))))-(IF(OR(N38="",N38&lt;=0),0,(O38/N38)*(IF(OR(N38="",N38&lt;=0),0,IF((YEAR(D38)+5)&lt;YEAR(E38),0,IF((YEAR(D38)+5)&gt;=YEAR(E38)+N38,0,IF((YEAR(D38)+5)=YEAR(E38),(12-MONTH(E38)+1)/12,1))))))))*TaxRate,0))-IF(5=0,O38,0))</f>
        <v/>
      </c>
      <c r="Y38" s="29">
        <f>IF(A38="","",((K38)*(IF(M38="",L38,IFERROR(IF(INDEX(Variablen!$I:$AT, MATCH(M38, Variablen!$A:$A, 0), MATCH((YEAR(D38)+6), Variablen!$I$3:$AT$3, 0))="",L38,INDEX(Variablen!$I:$AT, MATCH(M38, Variablen!$A:$A, 0), MATCH((YEAR(D38)+6), Variablen!$I$3:$AT$3, 0))),L38)))*(IF((YEAR(D38)+6)&lt;YEAR(E38),0,IF((YEAR(D38)+6)&gt;YEAR(E38),1,(12-MONTH(E38)+1)/12))) + (Q38)*(IF((YEAR(D38)+6)&lt;YEAR(E38),0,IF((YEAR(D38)+6)&gt;YEAR(E38),1,(12-MONTH(E38)+1)/12))))-((P38)*(IF((YEAR(D38)+6)&lt;YEAR(E38),0,IF((YEAR(D38)+6)&gt;YEAR(E38),1,(12-MONTH(E38)+1)/12))) + (R38)*(IF((YEAR(D38)+6)&lt;YEAR(E38),0,IF((YEAR(D38)+6)&gt;YEAR(E38),1,(12-MONTH(E38)+1)/12))))-(IF((((K38)*(IF(M38="",L38,IFERROR(IF(INDEX(Variablen!$I:$AT, MATCH(M38, Variablen!$A:$A, 0), MATCH((YEAR(D38)+6), Variablen!$I$3:$AT$3, 0))="",L38,INDEX(Variablen!$I:$AT, MATCH(M38, Variablen!$A:$A, 0), MATCH((YEAR(D38)+6), Variablen!$I$3:$AT$3, 0))),L38)))*(IF((YEAR(D38)+6)&lt;YEAR(E38),0,IF((YEAR(D38)+6)&gt;YEAR(E38),1,(12-MONTH(E38)+1)/12))) + (Q38)*(IF((YEAR(D38)+6)&lt;YEAR(E38),0,IF((YEAR(D38)+6)&gt;YEAR(E38),1,(12-MONTH(E38)+1)/12))))-((P38)*(IF((YEAR(D38)+6)&lt;YEAR(E38),0,IF((YEAR(D38)+6)&gt;YEAR(E38),1,(12-MONTH(E38)+1)/12))) + (R38)*(IF((YEAR(D38)+6)&lt;YEAR(E38),0,IF((YEAR(D38)+6)&gt;YEAR(E38),1,(12-MONTH(E38)+1)/12))))-(IF(OR(N38="",N38&lt;=0),0,(O38/N38)*(IF(OR(N38="",N38&lt;=0),0,IF((YEAR(D38)+6)&lt;YEAR(E38),0,IF((YEAR(D38)+6)&gt;=YEAR(E38)+N38,0,IF((YEAR(D38)+6)=YEAR(E38),(12-MONTH(E38)+1)/12,1))))))))&gt;0,(((K38)*(IF(M38="",L38,IFERROR(IF(INDEX(Variablen!$I:$AT, MATCH(M38, Variablen!$A:$A, 0), MATCH((YEAR(D38)+6), Variablen!$I$3:$AT$3, 0))="",L38,INDEX(Variablen!$I:$AT, MATCH(M38, Variablen!$A:$A, 0), MATCH((YEAR(D38)+6), Variablen!$I$3:$AT$3, 0))),L38)))*(IF((YEAR(D38)+6)&lt;YEAR(E38),0,IF((YEAR(D38)+6)&gt;YEAR(E38),1,(12-MONTH(E38)+1)/12))) + (Q38)*(IF((YEAR(D38)+6)&lt;YEAR(E38),0,IF((YEAR(D38)+6)&gt;YEAR(E38),1,(12-MONTH(E38)+1)/12))))-((P38)*(IF((YEAR(D38)+6)&lt;YEAR(E38),0,IF((YEAR(D38)+6)&gt;YEAR(E38),1,(12-MONTH(E38)+1)/12))) + (R38)*(IF((YEAR(D38)+6)&lt;YEAR(E38),0,IF((YEAR(D38)+6)&gt;YEAR(E38),1,(12-MONTH(E38)+1)/12))))-(IF(OR(N38="",N38&lt;=0),0,(O38/N38)*(IF(OR(N38="",N38&lt;=0),0,IF((YEAR(D38)+6)&lt;YEAR(E38),0,IF((YEAR(D38)+6)&gt;=YEAR(E38)+N38,0,IF((YEAR(D38)+6)=YEAR(E38),(12-MONTH(E38)+1)/12,1))))))))*TaxRate,0))-IF(6=0,O38,0))</f>
        <v/>
      </c>
      <c r="Z38" s="29">
        <f>IF(A38="","",((K38)*(IF(M38="",L38,IFERROR(IF(INDEX(Variablen!$I:$AT, MATCH(M38, Variablen!$A:$A, 0), MATCH((YEAR(D38)+7), Variablen!$I$3:$AT$3, 0))="",L38,INDEX(Variablen!$I:$AT, MATCH(M38, Variablen!$A:$A, 0), MATCH((YEAR(D38)+7), Variablen!$I$3:$AT$3, 0))),L38)))*(IF((YEAR(D38)+7)&lt;YEAR(E38),0,IF((YEAR(D38)+7)&gt;YEAR(E38),1,(12-MONTH(E38)+1)/12))) + (Q38)*(IF((YEAR(D38)+7)&lt;YEAR(E38),0,IF((YEAR(D38)+7)&gt;YEAR(E38),1,(12-MONTH(E38)+1)/12))))-((P38)*(IF((YEAR(D38)+7)&lt;YEAR(E38),0,IF((YEAR(D38)+7)&gt;YEAR(E38),1,(12-MONTH(E38)+1)/12))) + (R38)*(IF((YEAR(D38)+7)&lt;YEAR(E38),0,IF((YEAR(D38)+7)&gt;YEAR(E38),1,(12-MONTH(E38)+1)/12))))-(IF((((K38)*(IF(M38="",L38,IFERROR(IF(INDEX(Variablen!$I:$AT, MATCH(M38, Variablen!$A:$A, 0), MATCH((YEAR(D38)+7), Variablen!$I$3:$AT$3, 0))="",L38,INDEX(Variablen!$I:$AT, MATCH(M38, Variablen!$A:$A, 0), MATCH((YEAR(D38)+7), Variablen!$I$3:$AT$3, 0))),L38)))*(IF((YEAR(D38)+7)&lt;YEAR(E38),0,IF((YEAR(D38)+7)&gt;YEAR(E38),1,(12-MONTH(E38)+1)/12))) + (Q38)*(IF((YEAR(D38)+7)&lt;YEAR(E38),0,IF((YEAR(D38)+7)&gt;YEAR(E38),1,(12-MONTH(E38)+1)/12))))-((P38)*(IF((YEAR(D38)+7)&lt;YEAR(E38),0,IF((YEAR(D38)+7)&gt;YEAR(E38),1,(12-MONTH(E38)+1)/12))) + (R38)*(IF((YEAR(D38)+7)&lt;YEAR(E38),0,IF((YEAR(D38)+7)&gt;YEAR(E38),1,(12-MONTH(E38)+1)/12))))-(IF(OR(N38="",N38&lt;=0),0,(O38/N38)*(IF(OR(N38="",N38&lt;=0),0,IF((YEAR(D38)+7)&lt;YEAR(E38),0,IF((YEAR(D38)+7)&gt;=YEAR(E38)+N38,0,IF((YEAR(D38)+7)=YEAR(E38),(12-MONTH(E38)+1)/12,1))))))))&gt;0,(((K38)*(IF(M38="",L38,IFERROR(IF(INDEX(Variablen!$I:$AT, MATCH(M38, Variablen!$A:$A, 0), MATCH((YEAR(D38)+7), Variablen!$I$3:$AT$3, 0))="",L38,INDEX(Variablen!$I:$AT, MATCH(M38, Variablen!$A:$A, 0), MATCH((YEAR(D38)+7), Variablen!$I$3:$AT$3, 0))),L38)))*(IF((YEAR(D38)+7)&lt;YEAR(E38),0,IF((YEAR(D38)+7)&gt;YEAR(E38),1,(12-MONTH(E38)+1)/12))) + (Q38)*(IF((YEAR(D38)+7)&lt;YEAR(E38),0,IF((YEAR(D38)+7)&gt;YEAR(E38),1,(12-MONTH(E38)+1)/12))))-((P38)*(IF((YEAR(D38)+7)&lt;YEAR(E38),0,IF((YEAR(D38)+7)&gt;YEAR(E38),1,(12-MONTH(E38)+1)/12))) + (R38)*(IF((YEAR(D38)+7)&lt;YEAR(E38),0,IF((YEAR(D38)+7)&gt;YEAR(E38),1,(12-MONTH(E38)+1)/12))))-(IF(OR(N38="",N38&lt;=0),0,(O38/N38)*(IF(OR(N38="",N38&lt;=0),0,IF((YEAR(D38)+7)&lt;YEAR(E38),0,IF((YEAR(D38)+7)&gt;=YEAR(E38)+N38,0,IF((YEAR(D38)+7)=YEAR(E38),(12-MONTH(E38)+1)/12,1))))))))*TaxRate,0))-IF(7=0,O38,0))</f>
        <v/>
      </c>
      <c r="AA38" s="29">
        <f>IF(A38="","",((K38)*(IF(M38="",L38,IFERROR(IF(INDEX(Variablen!$I:$AT, MATCH(M38, Variablen!$A:$A, 0), MATCH((YEAR(D38)+8), Variablen!$I$3:$AT$3, 0))="",L38,INDEX(Variablen!$I:$AT, MATCH(M38, Variablen!$A:$A, 0), MATCH((YEAR(D38)+8), Variablen!$I$3:$AT$3, 0))),L38)))*(IF((YEAR(D38)+8)&lt;YEAR(E38),0,IF((YEAR(D38)+8)&gt;YEAR(E38),1,(12-MONTH(E38)+1)/12))) + (Q38)*(IF((YEAR(D38)+8)&lt;YEAR(E38),0,IF((YEAR(D38)+8)&gt;YEAR(E38),1,(12-MONTH(E38)+1)/12))))-((P38)*(IF((YEAR(D38)+8)&lt;YEAR(E38),0,IF((YEAR(D38)+8)&gt;YEAR(E38),1,(12-MONTH(E38)+1)/12))) + (R38)*(IF((YEAR(D38)+8)&lt;YEAR(E38),0,IF((YEAR(D38)+8)&gt;YEAR(E38),1,(12-MONTH(E38)+1)/12))))-(IF((((K38)*(IF(M38="",L38,IFERROR(IF(INDEX(Variablen!$I:$AT, MATCH(M38, Variablen!$A:$A, 0), MATCH((YEAR(D38)+8), Variablen!$I$3:$AT$3, 0))="",L38,INDEX(Variablen!$I:$AT, MATCH(M38, Variablen!$A:$A, 0), MATCH((YEAR(D38)+8), Variablen!$I$3:$AT$3, 0))),L38)))*(IF((YEAR(D38)+8)&lt;YEAR(E38),0,IF((YEAR(D38)+8)&gt;YEAR(E38),1,(12-MONTH(E38)+1)/12))) + (Q38)*(IF((YEAR(D38)+8)&lt;YEAR(E38),0,IF((YEAR(D38)+8)&gt;YEAR(E38),1,(12-MONTH(E38)+1)/12))))-((P38)*(IF((YEAR(D38)+8)&lt;YEAR(E38),0,IF((YEAR(D38)+8)&gt;YEAR(E38),1,(12-MONTH(E38)+1)/12))) + (R38)*(IF((YEAR(D38)+8)&lt;YEAR(E38),0,IF((YEAR(D38)+8)&gt;YEAR(E38),1,(12-MONTH(E38)+1)/12))))-(IF(OR(N38="",N38&lt;=0),0,(O38/N38)*(IF(OR(N38="",N38&lt;=0),0,IF((YEAR(D38)+8)&lt;YEAR(E38),0,IF((YEAR(D38)+8)&gt;=YEAR(E38)+N38,0,IF((YEAR(D38)+8)=YEAR(E38),(12-MONTH(E38)+1)/12,1))))))))&gt;0,(((K38)*(IF(M38="",L38,IFERROR(IF(INDEX(Variablen!$I:$AT, MATCH(M38, Variablen!$A:$A, 0), MATCH((YEAR(D38)+8), Variablen!$I$3:$AT$3, 0))="",L38,INDEX(Variablen!$I:$AT, MATCH(M38, Variablen!$A:$A, 0), MATCH((YEAR(D38)+8), Variablen!$I$3:$AT$3, 0))),L38)))*(IF((YEAR(D38)+8)&lt;YEAR(E38),0,IF((YEAR(D38)+8)&gt;YEAR(E38),1,(12-MONTH(E38)+1)/12))) + (Q38)*(IF((YEAR(D38)+8)&lt;YEAR(E38),0,IF((YEAR(D38)+8)&gt;YEAR(E38),1,(12-MONTH(E38)+1)/12))))-((P38)*(IF((YEAR(D38)+8)&lt;YEAR(E38),0,IF((YEAR(D38)+8)&gt;YEAR(E38),1,(12-MONTH(E38)+1)/12))) + (R38)*(IF((YEAR(D38)+8)&lt;YEAR(E38),0,IF((YEAR(D38)+8)&gt;YEAR(E38),1,(12-MONTH(E38)+1)/12))))-(IF(OR(N38="",N38&lt;=0),0,(O38/N38)*(IF(OR(N38="",N38&lt;=0),0,IF((YEAR(D38)+8)&lt;YEAR(E38),0,IF((YEAR(D38)+8)&gt;=YEAR(E38)+N38,0,IF((YEAR(D38)+8)=YEAR(E38),(12-MONTH(E38)+1)/12,1))))))))*TaxRate,0))-IF(8=0,O38,0))</f>
        <v/>
      </c>
      <c r="AB38" s="29">
        <f>IF(A38="","",((K38)*(IF(M38="",L38,IFERROR(IF(INDEX(Variablen!$I:$AT, MATCH(M38, Variablen!$A:$A, 0), MATCH((YEAR(D38)+9), Variablen!$I$3:$AT$3, 0))="",L38,INDEX(Variablen!$I:$AT, MATCH(M38, Variablen!$A:$A, 0), MATCH((YEAR(D38)+9), Variablen!$I$3:$AT$3, 0))),L38)))*(IF((YEAR(D38)+9)&lt;YEAR(E38),0,IF((YEAR(D38)+9)&gt;YEAR(E38),1,(12-MONTH(E38)+1)/12))) + (Q38)*(IF((YEAR(D38)+9)&lt;YEAR(E38),0,IF((YEAR(D38)+9)&gt;YEAR(E38),1,(12-MONTH(E38)+1)/12))))-((P38)*(IF((YEAR(D38)+9)&lt;YEAR(E38),0,IF((YEAR(D38)+9)&gt;YEAR(E38),1,(12-MONTH(E38)+1)/12))) + (R38)*(IF((YEAR(D38)+9)&lt;YEAR(E38),0,IF((YEAR(D38)+9)&gt;YEAR(E38),1,(12-MONTH(E38)+1)/12))))-(IF((((K38)*(IF(M38="",L38,IFERROR(IF(INDEX(Variablen!$I:$AT, MATCH(M38, Variablen!$A:$A, 0), MATCH((YEAR(D38)+9), Variablen!$I$3:$AT$3, 0))="",L38,INDEX(Variablen!$I:$AT, MATCH(M38, Variablen!$A:$A, 0), MATCH((YEAR(D38)+9), Variablen!$I$3:$AT$3, 0))),L38)))*(IF((YEAR(D38)+9)&lt;YEAR(E38),0,IF((YEAR(D38)+9)&gt;YEAR(E38),1,(12-MONTH(E38)+1)/12))) + (Q38)*(IF((YEAR(D38)+9)&lt;YEAR(E38),0,IF((YEAR(D38)+9)&gt;YEAR(E38),1,(12-MONTH(E38)+1)/12))))-((P38)*(IF((YEAR(D38)+9)&lt;YEAR(E38),0,IF((YEAR(D38)+9)&gt;YEAR(E38),1,(12-MONTH(E38)+1)/12))) + (R38)*(IF((YEAR(D38)+9)&lt;YEAR(E38),0,IF((YEAR(D38)+9)&gt;YEAR(E38),1,(12-MONTH(E38)+1)/12))))-(IF(OR(N38="",N38&lt;=0),0,(O38/N38)*(IF(OR(N38="",N38&lt;=0),0,IF((YEAR(D38)+9)&lt;YEAR(E38),0,IF((YEAR(D38)+9)&gt;=YEAR(E38)+N38,0,IF((YEAR(D38)+9)=YEAR(E38),(12-MONTH(E38)+1)/12,1))))))))&gt;0,(((K38)*(IF(M38="",L38,IFERROR(IF(INDEX(Variablen!$I:$AT, MATCH(M38, Variablen!$A:$A, 0), MATCH((YEAR(D38)+9), Variablen!$I$3:$AT$3, 0))="",L38,INDEX(Variablen!$I:$AT, MATCH(M38, Variablen!$A:$A, 0), MATCH((YEAR(D38)+9), Variablen!$I$3:$AT$3, 0))),L38)))*(IF((YEAR(D38)+9)&lt;YEAR(E38),0,IF((YEAR(D38)+9)&gt;YEAR(E38),1,(12-MONTH(E38)+1)/12))) + (Q38)*(IF((YEAR(D38)+9)&lt;YEAR(E38),0,IF((YEAR(D38)+9)&gt;YEAR(E38),1,(12-MONTH(E38)+1)/12))))-((P38)*(IF((YEAR(D38)+9)&lt;YEAR(E38),0,IF((YEAR(D38)+9)&gt;YEAR(E38),1,(12-MONTH(E38)+1)/12))) + (R38)*(IF((YEAR(D38)+9)&lt;YEAR(E38),0,IF((YEAR(D38)+9)&gt;YEAR(E38),1,(12-MONTH(E38)+1)/12))))-(IF(OR(N38="",N38&lt;=0),0,(O38/N38)*(IF(OR(N38="",N38&lt;=0),0,IF((YEAR(D38)+9)&lt;YEAR(E38),0,IF((YEAR(D38)+9)&gt;=YEAR(E38)+N38,0,IF((YEAR(D38)+9)=YEAR(E38),(12-MONTH(E38)+1)/12,1))))))))*TaxRate,0))-IF(9=0,O38,0))</f>
        <v/>
      </c>
      <c r="AC38" s="29">
        <f>IF(A38="","",((K38)*(IF(M38="",L38,IFERROR(IF(INDEX(Variablen!$I:$AT, MATCH(M38, Variablen!$A:$A, 0), MATCH((YEAR(D38)+10), Variablen!$I$3:$AT$3, 0))="",L38,INDEX(Variablen!$I:$AT, MATCH(M38, Variablen!$A:$A, 0), MATCH((YEAR(D38)+10), Variablen!$I$3:$AT$3, 0))),L38)))*(IF((YEAR(D38)+10)&lt;YEAR(E38),0,IF((YEAR(D38)+10)&gt;YEAR(E38),1,(12-MONTH(E38)+1)/12))) + (Q38)*(IF((YEAR(D38)+10)&lt;YEAR(E38),0,IF((YEAR(D38)+10)&gt;YEAR(E38),1,(12-MONTH(E38)+1)/12))))-((P38)*(IF((YEAR(D38)+10)&lt;YEAR(E38),0,IF((YEAR(D38)+10)&gt;YEAR(E38),1,(12-MONTH(E38)+1)/12))) + (R38)*(IF((YEAR(D38)+10)&lt;YEAR(E38),0,IF((YEAR(D38)+10)&gt;YEAR(E38),1,(12-MONTH(E38)+1)/12))))-(IF((((K38)*(IF(M38="",L38,IFERROR(IF(INDEX(Variablen!$I:$AT, MATCH(M38, Variablen!$A:$A, 0), MATCH((YEAR(D38)+10), Variablen!$I$3:$AT$3, 0))="",L38,INDEX(Variablen!$I:$AT, MATCH(M38, Variablen!$A:$A, 0), MATCH((YEAR(D38)+10), Variablen!$I$3:$AT$3, 0))),L38)))*(IF((YEAR(D38)+10)&lt;YEAR(E38),0,IF((YEAR(D38)+10)&gt;YEAR(E38),1,(12-MONTH(E38)+1)/12))) + (Q38)*(IF((YEAR(D38)+10)&lt;YEAR(E38),0,IF((YEAR(D38)+10)&gt;YEAR(E38),1,(12-MONTH(E38)+1)/12))))-((P38)*(IF((YEAR(D38)+10)&lt;YEAR(E38),0,IF((YEAR(D38)+10)&gt;YEAR(E38),1,(12-MONTH(E38)+1)/12))) + (R38)*(IF((YEAR(D38)+10)&lt;YEAR(E38),0,IF((YEAR(D38)+10)&gt;YEAR(E38),1,(12-MONTH(E38)+1)/12))))-(IF(OR(N38="",N38&lt;=0),0,(O38/N38)*(IF(OR(N38="",N38&lt;=0),0,IF((YEAR(D38)+10)&lt;YEAR(E38),0,IF((YEAR(D38)+10)&gt;=YEAR(E38)+N38,0,IF((YEAR(D38)+10)=YEAR(E38),(12-MONTH(E38)+1)/12,1))))))))&gt;0,(((K38)*(IF(M38="",L38,IFERROR(IF(INDEX(Variablen!$I:$AT, MATCH(M38, Variablen!$A:$A, 0), MATCH((YEAR(D38)+10), Variablen!$I$3:$AT$3, 0))="",L38,INDEX(Variablen!$I:$AT, MATCH(M38, Variablen!$A:$A, 0), MATCH((YEAR(D38)+10), Variablen!$I$3:$AT$3, 0))),L38)))*(IF((YEAR(D38)+10)&lt;YEAR(E38),0,IF((YEAR(D38)+10)&gt;YEAR(E38),1,(12-MONTH(E38)+1)/12))) + (Q38)*(IF((YEAR(D38)+10)&lt;YEAR(E38),0,IF((YEAR(D38)+10)&gt;YEAR(E38),1,(12-MONTH(E38)+1)/12))))-((P38)*(IF((YEAR(D38)+10)&lt;YEAR(E38),0,IF((YEAR(D38)+10)&gt;YEAR(E38),1,(12-MONTH(E38)+1)/12))) + (R38)*(IF((YEAR(D38)+10)&lt;YEAR(E38),0,IF((YEAR(D38)+10)&gt;YEAR(E38),1,(12-MONTH(E38)+1)/12))))-(IF(OR(N38="",N38&lt;=0),0,(O38/N38)*(IF(OR(N38="",N38&lt;=0),0,IF((YEAR(D38)+10)&lt;YEAR(E38),0,IF((YEAR(D38)+10)&gt;=YEAR(E38)+N38,0,IF((YEAR(D38)+10)=YEAR(E38),(12-MONTH(E38)+1)/12,1))))))))*TaxRate,0))-IF(10=0,O38,0))</f>
        <v/>
      </c>
      <c r="AD38" s="29">
        <f>IF(A38="","",((K38)*(IF(M38="",L38,IFERROR(IF(INDEX(Variablen!$I:$AT, MATCH(M38, Variablen!$A:$A, 0), MATCH((YEAR(D38)+11), Variablen!$I$3:$AT$3, 0))="",L38,INDEX(Variablen!$I:$AT, MATCH(M38, Variablen!$A:$A, 0), MATCH((YEAR(D38)+11), Variablen!$I$3:$AT$3, 0))),L38)))*(IF((YEAR(D38)+11)&lt;YEAR(E38),0,IF((YEAR(D38)+11)&gt;YEAR(E38),1,(12-MONTH(E38)+1)/12))) + (Q38)*(IF((YEAR(D38)+11)&lt;YEAR(E38),0,IF((YEAR(D38)+11)&gt;YEAR(E38),1,(12-MONTH(E38)+1)/12))))-((P38)*(IF((YEAR(D38)+11)&lt;YEAR(E38),0,IF((YEAR(D38)+11)&gt;YEAR(E38),1,(12-MONTH(E38)+1)/12))) + (R38)*(IF((YEAR(D38)+11)&lt;YEAR(E38),0,IF((YEAR(D38)+11)&gt;YEAR(E38),1,(12-MONTH(E38)+1)/12))))-(IF((((K38)*(IF(M38="",L38,IFERROR(IF(INDEX(Variablen!$I:$AT, MATCH(M38, Variablen!$A:$A, 0), MATCH((YEAR(D38)+11), Variablen!$I$3:$AT$3, 0))="",L38,INDEX(Variablen!$I:$AT, MATCH(M38, Variablen!$A:$A, 0), MATCH((YEAR(D38)+11), Variablen!$I$3:$AT$3, 0))),L38)))*(IF((YEAR(D38)+11)&lt;YEAR(E38),0,IF((YEAR(D38)+11)&gt;YEAR(E38),1,(12-MONTH(E38)+1)/12))) + (Q38)*(IF((YEAR(D38)+11)&lt;YEAR(E38),0,IF((YEAR(D38)+11)&gt;YEAR(E38),1,(12-MONTH(E38)+1)/12))))-((P38)*(IF((YEAR(D38)+11)&lt;YEAR(E38),0,IF((YEAR(D38)+11)&gt;YEAR(E38),1,(12-MONTH(E38)+1)/12))) + (R38)*(IF((YEAR(D38)+11)&lt;YEAR(E38),0,IF((YEAR(D38)+11)&gt;YEAR(E38),1,(12-MONTH(E38)+1)/12))))-(IF(OR(N38="",N38&lt;=0),0,(O38/N38)*(IF(OR(N38="",N38&lt;=0),0,IF((YEAR(D38)+11)&lt;YEAR(E38),0,IF((YEAR(D38)+11)&gt;=YEAR(E38)+N38,0,IF((YEAR(D38)+11)=YEAR(E38),(12-MONTH(E38)+1)/12,1))))))))&gt;0,(((K38)*(IF(M38="",L38,IFERROR(IF(INDEX(Variablen!$I:$AT, MATCH(M38, Variablen!$A:$A, 0), MATCH((YEAR(D38)+11), Variablen!$I$3:$AT$3, 0))="",L38,INDEX(Variablen!$I:$AT, MATCH(M38, Variablen!$A:$A, 0), MATCH((YEAR(D38)+11), Variablen!$I$3:$AT$3, 0))),L38)))*(IF((YEAR(D38)+11)&lt;YEAR(E38),0,IF((YEAR(D38)+11)&gt;YEAR(E38),1,(12-MONTH(E38)+1)/12))) + (Q38)*(IF((YEAR(D38)+11)&lt;YEAR(E38),0,IF((YEAR(D38)+11)&gt;YEAR(E38),1,(12-MONTH(E38)+1)/12))))-((P38)*(IF((YEAR(D38)+11)&lt;YEAR(E38),0,IF((YEAR(D38)+11)&gt;YEAR(E38),1,(12-MONTH(E38)+1)/12))) + (R38)*(IF((YEAR(D38)+11)&lt;YEAR(E38),0,IF((YEAR(D38)+11)&gt;YEAR(E38),1,(12-MONTH(E38)+1)/12))))-(IF(OR(N38="",N38&lt;=0),0,(O38/N38)*(IF(OR(N38="",N38&lt;=0),0,IF((YEAR(D38)+11)&lt;YEAR(E38),0,IF((YEAR(D38)+11)&gt;=YEAR(E38)+N38,0,IF((YEAR(D38)+11)=YEAR(E38),(12-MONTH(E38)+1)/12,1))))))))*TaxRate,0))-IF(11=0,O38,0))</f>
        <v/>
      </c>
      <c r="AE38" s="29">
        <f>IF(A38="","",((K38)*(IF(M38="",L38,IFERROR(IF(INDEX(Variablen!$I:$AT, MATCH(M38, Variablen!$A:$A, 0), MATCH((YEAR(D38)+12), Variablen!$I$3:$AT$3, 0))="",L38,INDEX(Variablen!$I:$AT, MATCH(M38, Variablen!$A:$A, 0), MATCH((YEAR(D38)+12), Variablen!$I$3:$AT$3, 0))),L38)))*(IF((YEAR(D38)+12)&lt;YEAR(E38),0,IF((YEAR(D38)+12)&gt;YEAR(E38),1,(12-MONTH(E38)+1)/12))) + (Q38)*(IF((YEAR(D38)+12)&lt;YEAR(E38),0,IF((YEAR(D38)+12)&gt;YEAR(E38),1,(12-MONTH(E38)+1)/12))))-((P38)*(IF((YEAR(D38)+12)&lt;YEAR(E38),0,IF((YEAR(D38)+12)&gt;YEAR(E38),1,(12-MONTH(E38)+1)/12))) + (R38)*(IF((YEAR(D38)+12)&lt;YEAR(E38),0,IF((YEAR(D38)+12)&gt;YEAR(E38),1,(12-MONTH(E38)+1)/12))))-(IF((((K38)*(IF(M38="",L38,IFERROR(IF(INDEX(Variablen!$I:$AT, MATCH(M38, Variablen!$A:$A, 0), MATCH((YEAR(D38)+12), Variablen!$I$3:$AT$3, 0))="",L38,INDEX(Variablen!$I:$AT, MATCH(M38, Variablen!$A:$A, 0), MATCH((YEAR(D38)+12), Variablen!$I$3:$AT$3, 0))),L38)))*(IF((YEAR(D38)+12)&lt;YEAR(E38),0,IF((YEAR(D38)+12)&gt;YEAR(E38),1,(12-MONTH(E38)+1)/12))) + (Q38)*(IF((YEAR(D38)+12)&lt;YEAR(E38),0,IF((YEAR(D38)+12)&gt;YEAR(E38),1,(12-MONTH(E38)+1)/12))))-((P38)*(IF((YEAR(D38)+12)&lt;YEAR(E38),0,IF((YEAR(D38)+12)&gt;YEAR(E38),1,(12-MONTH(E38)+1)/12))) + (R38)*(IF((YEAR(D38)+12)&lt;YEAR(E38),0,IF((YEAR(D38)+12)&gt;YEAR(E38),1,(12-MONTH(E38)+1)/12))))-(IF(OR(N38="",N38&lt;=0),0,(O38/N38)*(IF(OR(N38="",N38&lt;=0),0,IF((YEAR(D38)+12)&lt;YEAR(E38),0,IF((YEAR(D38)+12)&gt;=YEAR(E38)+N38,0,IF((YEAR(D38)+12)=YEAR(E38),(12-MONTH(E38)+1)/12,1))))))))&gt;0,(((K38)*(IF(M38="",L38,IFERROR(IF(INDEX(Variablen!$I:$AT, MATCH(M38, Variablen!$A:$A, 0), MATCH((YEAR(D38)+12), Variablen!$I$3:$AT$3, 0))="",L38,INDEX(Variablen!$I:$AT, MATCH(M38, Variablen!$A:$A, 0), MATCH((YEAR(D38)+12), Variablen!$I$3:$AT$3, 0))),L38)))*(IF((YEAR(D38)+12)&lt;YEAR(E38),0,IF((YEAR(D38)+12)&gt;YEAR(E38),1,(12-MONTH(E38)+1)/12))) + (Q38)*(IF((YEAR(D38)+12)&lt;YEAR(E38),0,IF((YEAR(D38)+12)&gt;YEAR(E38),1,(12-MONTH(E38)+1)/12))))-((P38)*(IF((YEAR(D38)+12)&lt;YEAR(E38),0,IF((YEAR(D38)+12)&gt;YEAR(E38),1,(12-MONTH(E38)+1)/12))) + (R38)*(IF((YEAR(D38)+12)&lt;YEAR(E38),0,IF((YEAR(D38)+12)&gt;YEAR(E38),1,(12-MONTH(E38)+1)/12))))-(IF(OR(N38="",N38&lt;=0),0,(O38/N38)*(IF(OR(N38="",N38&lt;=0),0,IF((YEAR(D38)+12)&lt;YEAR(E38),0,IF((YEAR(D38)+12)&gt;=YEAR(E38)+N38,0,IF((YEAR(D38)+12)=YEAR(E38),(12-MONTH(E38)+1)/12,1))))))))*TaxRate,0))-IF(12=0,O38,0))</f>
        <v/>
      </c>
      <c r="AF38" s="29">
        <f>IF(A38="","",((K38)*(IF(M38="",L38,IFERROR(IF(INDEX(Variablen!$I:$AT, MATCH(M38, Variablen!$A:$A, 0), MATCH((YEAR(D38)+13), Variablen!$I$3:$AT$3, 0))="",L38,INDEX(Variablen!$I:$AT, MATCH(M38, Variablen!$A:$A, 0), MATCH((YEAR(D38)+13), Variablen!$I$3:$AT$3, 0))),L38)))*(IF((YEAR(D38)+13)&lt;YEAR(E38),0,IF((YEAR(D38)+13)&gt;YEAR(E38),1,(12-MONTH(E38)+1)/12))) + (Q38)*(IF((YEAR(D38)+13)&lt;YEAR(E38),0,IF((YEAR(D38)+13)&gt;YEAR(E38),1,(12-MONTH(E38)+1)/12))))-((P38)*(IF((YEAR(D38)+13)&lt;YEAR(E38),0,IF((YEAR(D38)+13)&gt;YEAR(E38),1,(12-MONTH(E38)+1)/12))) + (R38)*(IF((YEAR(D38)+13)&lt;YEAR(E38),0,IF((YEAR(D38)+13)&gt;YEAR(E38),1,(12-MONTH(E38)+1)/12))))-(IF((((K38)*(IF(M38="",L38,IFERROR(IF(INDEX(Variablen!$I:$AT, MATCH(M38, Variablen!$A:$A, 0), MATCH((YEAR(D38)+13), Variablen!$I$3:$AT$3, 0))="",L38,INDEX(Variablen!$I:$AT, MATCH(M38, Variablen!$A:$A, 0), MATCH((YEAR(D38)+13), Variablen!$I$3:$AT$3, 0))),L38)))*(IF((YEAR(D38)+13)&lt;YEAR(E38),0,IF((YEAR(D38)+13)&gt;YEAR(E38),1,(12-MONTH(E38)+1)/12))) + (Q38)*(IF((YEAR(D38)+13)&lt;YEAR(E38),0,IF((YEAR(D38)+13)&gt;YEAR(E38),1,(12-MONTH(E38)+1)/12))))-((P38)*(IF((YEAR(D38)+13)&lt;YEAR(E38),0,IF((YEAR(D38)+13)&gt;YEAR(E38),1,(12-MONTH(E38)+1)/12))) + (R38)*(IF((YEAR(D38)+13)&lt;YEAR(E38),0,IF((YEAR(D38)+13)&gt;YEAR(E38),1,(12-MONTH(E38)+1)/12))))-(IF(OR(N38="",N38&lt;=0),0,(O38/N38)*(IF(OR(N38="",N38&lt;=0),0,IF((YEAR(D38)+13)&lt;YEAR(E38),0,IF((YEAR(D38)+13)&gt;=YEAR(E38)+N38,0,IF((YEAR(D38)+13)=YEAR(E38),(12-MONTH(E38)+1)/12,1))))))))&gt;0,(((K38)*(IF(M38="",L38,IFERROR(IF(INDEX(Variablen!$I:$AT, MATCH(M38, Variablen!$A:$A, 0), MATCH((YEAR(D38)+13), Variablen!$I$3:$AT$3, 0))="",L38,INDEX(Variablen!$I:$AT, MATCH(M38, Variablen!$A:$A, 0), MATCH((YEAR(D38)+13), Variablen!$I$3:$AT$3, 0))),L38)))*(IF((YEAR(D38)+13)&lt;YEAR(E38),0,IF((YEAR(D38)+13)&gt;YEAR(E38),1,(12-MONTH(E38)+1)/12))) + (Q38)*(IF((YEAR(D38)+13)&lt;YEAR(E38),0,IF((YEAR(D38)+13)&gt;YEAR(E38),1,(12-MONTH(E38)+1)/12))))-((P38)*(IF((YEAR(D38)+13)&lt;YEAR(E38),0,IF((YEAR(D38)+13)&gt;YEAR(E38),1,(12-MONTH(E38)+1)/12))) + (R38)*(IF((YEAR(D38)+13)&lt;YEAR(E38),0,IF((YEAR(D38)+13)&gt;YEAR(E38),1,(12-MONTH(E38)+1)/12))))-(IF(OR(N38="",N38&lt;=0),0,(O38/N38)*(IF(OR(N38="",N38&lt;=0),0,IF((YEAR(D38)+13)&lt;YEAR(E38),0,IF((YEAR(D38)+13)&gt;=YEAR(E38)+N38,0,IF((YEAR(D38)+13)=YEAR(E38),(12-MONTH(E38)+1)/12,1))))))))*TaxRate,0))-IF(13=0,O38,0))</f>
        <v/>
      </c>
      <c r="AG38" s="29">
        <f>IF(A38="","",((K38)*(IF(M38="",L38,IFERROR(IF(INDEX(Variablen!$I:$AT, MATCH(M38, Variablen!$A:$A, 0), MATCH((YEAR(D38)+14), Variablen!$I$3:$AT$3, 0))="",L38,INDEX(Variablen!$I:$AT, MATCH(M38, Variablen!$A:$A, 0), MATCH((YEAR(D38)+14), Variablen!$I$3:$AT$3, 0))),L38)))*(IF((YEAR(D38)+14)&lt;YEAR(E38),0,IF((YEAR(D38)+14)&gt;YEAR(E38),1,(12-MONTH(E38)+1)/12))) + (Q38)*(IF((YEAR(D38)+14)&lt;YEAR(E38),0,IF((YEAR(D38)+14)&gt;YEAR(E38),1,(12-MONTH(E38)+1)/12))))-((P38)*(IF((YEAR(D38)+14)&lt;YEAR(E38),0,IF((YEAR(D38)+14)&gt;YEAR(E38),1,(12-MONTH(E38)+1)/12))) + (R38)*(IF((YEAR(D38)+14)&lt;YEAR(E38),0,IF((YEAR(D38)+14)&gt;YEAR(E38),1,(12-MONTH(E38)+1)/12))))-(IF((((K38)*(IF(M38="",L38,IFERROR(IF(INDEX(Variablen!$I:$AT, MATCH(M38, Variablen!$A:$A, 0), MATCH((YEAR(D38)+14), Variablen!$I$3:$AT$3, 0))="",L38,INDEX(Variablen!$I:$AT, MATCH(M38, Variablen!$A:$A, 0), MATCH((YEAR(D38)+14), Variablen!$I$3:$AT$3, 0))),L38)))*(IF((YEAR(D38)+14)&lt;YEAR(E38),0,IF((YEAR(D38)+14)&gt;YEAR(E38),1,(12-MONTH(E38)+1)/12))) + (Q38)*(IF((YEAR(D38)+14)&lt;YEAR(E38),0,IF((YEAR(D38)+14)&gt;YEAR(E38),1,(12-MONTH(E38)+1)/12))))-((P38)*(IF((YEAR(D38)+14)&lt;YEAR(E38),0,IF((YEAR(D38)+14)&gt;YEAR(E38),1,(12-MONTH(E38)+1)/12))) + (R38)*(IF((YEAR(D38)+14)&lt;YEAR(E38),0,IF((YEAR(D38)+14)&gt;YEAR(E38),1,(12-MONTH(E38)+1)/12))))-(IF(OR(N38="",N38&lt;=0),0,(O38/N38)*(IF(OR(N38="",N38&lt;=0),0,IF((YEAR(D38)+14)&lt;YEAR(E38),0,IF((YEAR(D38)+14)&gt;=YEAR(E38)+N38,0,IF((YEAR(D38)+14)=YEAR(E38),(12-MONTH(E38)+1)/12,1))))))))&gt;0,(((K38)*(IF(M38="",L38,IFERROR(IF(INDEX(Variablen!$I:$AT, MATCH(M38, Variablen!$A:$A, 0), MATCH((YEAR(D38)+14), Variablen!$I$3:$AT$3, 0))="",L38,INDEX(Variablen!$I:$AT, MATCH(M38, Variablen!$A:$A, 0), MATCH((YEAR(D38)+14), Variablen!$I$3:$AT$3, 0))),L38)))*(IF((YEAR(D38)+14)&lt;YEAR(E38),0,IF((YEAR(D38)+14)&gt;YEAR(E38),1,(12-MONTH(E38)+1)/12))) + (Q38)*(IF((YEAR(D38)+14)&lt;YEAR(E38),0,IF((YEAR(D38)+14)&gt;YEAR(E38),1,(12-MONTH(E38)+1)/12))))-((P38)*(IF((YEAR(D38)+14)&lt;YEAR(E38),0,IF((YEAR(D38)+14)&gt;YEAR(E38),1,(12-MONTH(E38)+1)/12))) + (R38)*(IF((YEAR(D38)+14)&lt;YEAR(E38),0,IF((YEAR(D38)+14)&gt;YEAR(E38),1,(12-MONTH(E38)+1)/12))))-(IF(OR(N38="",N38&lt;=0),0,(O38/N38)*(IF(OR(N38="",N38&lt;=0),0,IF((YEAR(D38)+14)&lt;YEAR(E38),0,IF((YEAR(D38)+14)&gt;=YEAR(E38)+N38,0,IF((YEAR(D38)+14)=YEAR(E38),(12-MONTH(E38)+1)/12,1))))))))*TaxRate,0))-IF(14=0,O38,0))</f>
        <v/>
      </c>
      <c r="AH38" s="29">
        <f>IF(A38="","",((K38)*(IF(M38="",L38,IFERROR(IF(INDEX(Variablen!$I:$AT, MATCH(M38, Variablen!$A:$A, 0), MATCH((YEAR(D38)+15), Variablen!$I$3:$AT$3, 0))="",L38,INDEX(Variablen!$I:$AT, MATCH(M38, Variablen!$A:$A, 0), MATCH((YEAR(D38)+15), Variablen!$I$3:$AT$3, 0))),L38)))*(IF((YEAR(D38)+15)&lt;YEAR(E38),0,IF((YEAR(D38)+15)&gt;YEAR(E38),1,(12-MONTH(E38)+1)/12))) + (Q38)*(IF((YEAR(D38)+15)&lt;YEAR(E38),0,IF((YEAR(D38)+15)&gt;YEAR(E38),1,(12-MONTH(E38)+1)/12))))-((P38)*(IF((YEAR(D38)+15)&lt;YEAR(E38),0,IF((YEAR(D38)+15)&gt;YEAR(E38),1,(12-MONTH(E38)+1)/12))) + (R38)*(IF((YEAR(D38)+15)&lt;YEAR(E38),0,IF((YEAR(D38)+15)&gt;YEAR(E38),1,(12-MONTH(E38)+1)/12))))-(IF((((K38)*(IF(M38="",L38,IFERROR(IF(INDEX(Variablen!$I:$AT, MATCH(M38, Variablen!$A:$A, 0), MATCH((YEAR(D38)+15), Variablen!$I$3:$AT$3, 0))="",L38,INDEX(Variablen!$I:$AT, MATCH(M38, Variablen!$A:$A, 0), MATCH((YEAR(D38)+15), Variablen!$I$3:$AT$3, 0))),L38)))*(IF((YEAR(D38)+15)&lt;YEAR(E38),0,IF((YEAR(D38)+15)&gt;YEAR(E38),1,(12-MONTH(E38)+1)/12))) + (Q38)*(IF((YEAR(D38)+15)&lt;YEAR(E38),0,IF((YEAR(D38)+15)&gt;YEAR(E38),1,(12-MONTH(E38)+1)/12))))-((P38)*(IF((YEAR(D38)+15)&lt;YEAR(E38),0,IF((YEAR(D38)+15)&gt;YEAR(E38),1,(12-MONTH(E38)+1)/12))) + (R38)*(IF((YEAR(D38)+15)&lt;YEAR(E38),0,IF((YEAR(D38)+15)&gt;YEAR(E38),1,(12-MONTH(E38)+1)/12))))-(IF(OR(N38="",N38&lt;=0),0,(O38/N38)*(IF(OR(N38="",N38&lt;=0),0,IF((YEAR(D38)+15)&lt;YEAR(E38),0,IF((YEAR(D38)+15)&gt;=YEAR(E38)+N38,0,IF((YEAR(D38)+15)=YEAR(E38),(12-MONTH(E38)+1)/12,1))))))))&gt;0,(((K38)*(IF(M38="",L38,IFERROR(IF(INDEX(Variablen!$I:$AT, MATCH(M38, Variablen!$A:$A, 0), MATCH((YEAR(D38)+15), Variablen!$I$3:$AT$3, 0))="",L38,INDEX(Variablen!$I:$AT, MATCH(M38, Variablen!$A:$A, 0), MATCH((YEAR(D38)+15), Variablen!$I$3:$AT$3, 0))),L38)))*(IF((YEAR(D38)+15)&lt;YEAR(E38),0,IF((YEAR(D38)+15)&gt;YEAR(E38),1,(12-MONTH(E38)+1)/12))) + (Q38)*(IF((YEAR(D38)+15)&lt;YEAR(E38),0,IF((YEAR(D38)+15)&gt;YEAR(E38),1,(12-MONTH(E38)+1)/12))))-((P38)*(IF((YEAR(D38)+15)&lt;YEAR(E38),0,IF((YEAR(D38)+15)&gt;YEAR(E38),1,(12-MONTH(E38)+1)/12))) + (R38)*(IF((YEAR(D38)+15)&lt;YEAR(E38),0,IF((YEAR(D38)+15)&gt;YEAR(E38),1,(12-MONTH(E38)+1)/12))))-(IF(OR(N38="",N38&lt;=0),0,(O38/N38)*(IF(OR(N38="",N38&lt;=0),0,IF((YEAR(D38)+15)&lt;YEAR(E38),0,IF((YEAR(D38)+15)&gt;=YEAR(E38)+N38,0,IF((YEAR(D38)+15)=YEAR(E38),(12-MONTH(E38)+1)/12,1))))))))*TaxRate,0))-IF(15=0,O38,0))</f>
        <v/>
      </c>
      <c r="AI38" s="29">
        <f>IF(A38="","",((K38)*(IF(M38="",L38,IFERROR(IF(INDEX(Variablen!$I:$AT, MATCH(M38, Variablen!$A:$A, 0), MATCH((YEAR(D38)+16), Variablen!$I$3:$AT$3, 0))="",L38,INDEX(Variablen!$I:$AT, MATCH(M38, Variablen!$A:$A, 0), MATCH((YEAR(D38)+16), Variablen!$I$3:$AT$3, 0))),L38)))*(IF((YEAR(D38)+16)&lt;YEAR(E38),0,IF((YEAR(D38)+16)&gt;YEAR(E38),1,(12-MONTH(E38)+1)/12))) + (Q38)*(IF((YEAR(D38)+16)&lt;YEAR(E38),0,IF((YEAR(D38)+16)&gt;YEAR(E38),1,(12-MONTH(E38)+1)/12))))-((P38)*(IF((YEAR(D38)+16)&lt;YEAR(E38),0,IF((YEAR(D38)+16)&gt;YEAR(E38),1,(12-MONTH(E38)+1)/12))) + (R38)*(IF((YEAR(D38)+16)&lt;YEAR(E38),0,IF((YEAR(D38)+16)&gt;YEAR(E38),1,(12-MONTH(E38)+1)/12))))-(IF((((K38)*(IF(M38="",L38,IFERROR(IF(INDEX(Variablen!$I:$AT, MATCH(M38, Variablen!$A:$A, 0), MATCH((YEAR(D38)+16), Variablen!$I$3:$AT$3, 0))="",L38,INDEX(Variablen!$I:$AT, MATCH(M38, Variablen!$A:$A, 0), MATCH((YEAR(D38)+16), Variablen!$I$3:$AT$3, 0))),L38)))*(IF((YEAR(D38)+16)&lt;YEAR(E38),0,IF((YEAR(D38)+16)&gt;YEAR(E38),1,(12-MONTH(E38)+1)/12))) + (Q38)*(IF((YEAR(D38)+16)&lt;YEAR(E38),0,IF((YEAR(D38)+16)&gt;YEAR(E38),1,(12-MONTH(E38)+1)/12))))-((P38)*(IF((YEAR(D38)+16)&lt;YEAR(E38),0,IF((YEAR(D38)+16)&gt;YEAR(E38),1,(12-MONTH(E38)+1)/12))) + (R38)*(IF((YEAR(D38)+16)&lt;YEAR(E38),0,IF((YEAR(D38)+16)&gt;YEAR(E38),1,(12-MONTH(E38)+1)/12))))-(IF(OR(N38="",N38&lt;=0),0,(O38/N38)*(IF(OR(N38="",N38&lt;=0),0,IF((YEAR(D38)+16)&lt;YEAR(E38),0,IF((YEAR(D38)+16)&gt;=YEAR(E38)+N38,0,IF((YEAR(D38)+16)=YEAR(E38),(12-MONTH(E38)+1)/12,1))))))))&gt;0,(((K38)*(IF(M38="",L38,IFERROR(IF(INDEX(Variablen!$I:$AT, MATCH(M38, Variablen!$A:$A, 0), MATCH((YEAR(D38)+16), Variablen!$I$3:$AT$3, 0))="",L38,INDEX(Variablen!$I:$AT, MATCH(M38, Variablen!$A:$A, 0), MATCH((YEAR(D38)+16), Variablen!$I$3:$AT$3, 0))),L38)))*(IF((YEAR(D38)+16)&lt;YEAR(E38),0,IF((YEAR(D38)+16)&gt;YEAR(E38),1,(12-MONTH(E38)+1)/12))) + (Q38)*(IF((YEAR(D38)+16)&lt;YEAR(E38),0,IF((YEAR(D38)+16)&gt;YEAR(E38),1,(12-MONTH(E38)+1)/12))))-((P38)*(IF((YEAR(D38)+16)&lt;YEAR(E38),0,IF((YEAR(D38)+16)&gt;YEAR(E38),1,(12-MONTH(E38)+1)/12))) + (R38)*(IF((YEAR(D38)+16)&lt;YEAR(E38),0,IF((YEAR(D38)+16)&gt;YEAR(E38),1,(12-MONTH(E38)+1)/12))))-(IF(OR(N38="",N38&lt;=0),0,(O38/N38)*(IF(OR(N38="",N38&lt;=0),0,IF((YEAR(D38)+16)&lt;YEAR(E38),0,IF((YEAR(D38)+16)&gt;=YEAR(E38)+N38,0,IF((YEAR(D38)+16)=YEAR(E38),(12-MONTH(E38)+1)/12,1))))))))*TaxRate,0))-IF(16=0,O38,0))</f>
        <v/>
      </c>
      <c r="AJ38" s="29">
        <f>IF(A38="","",((K38)*(IF(M38="",L38,IFERROR(IF(INDEX(Variablen!$I:$AT, MATCH(M38, Variablen!$A:$A, 0), MATCH((YEAR(D38)+17), Variablen!$I$3:$AT$3, 0))="",L38,INDEX(Variablen!$I:$AT, MATCH(M38, Variablen!$A:$A, 0), MATCH((YEAR(D38)+17), Variablen!$I$3:$AT$3, 0))),L38)))*(IF((YEAR(D38)+17)&lt;YEAR(E38),0,IF((YEAR(D38)+17)&gt;YEAR(E38),1,(12-MONTH(E38)+1)/12))) + (Q38)*(IF((YEAR(D38)+17)&lt;YEAR(E38),0,IF((YEAR(D38)+17)&gt;YEAR(E38),1,(12-MONTH(E38)+1)/12))))-((P38)*(IF((YEAR(D38)+17)&lt;YEAR(E38),0,IF((YEAR(D38)+17)&gt;YEAR(E38),1,(12-MONTH(E38)+1)/12))) + (R38)*(IF((YEAR(D38)+17)&lt;YEAR(E38),0,IF((YEAR(D38)+17)&gt;YEAR(E38),1,(12-MONTH(E38)+1)/12))))-(IF((((K38)*(IF(M38="",L38,IFERROR(IF(INDEX(Variablen!$I:$AT, MATCH(M38, Variablen!$A:$A, 0), MATCH((YEAR(D38)+17), Variablen!$I$3:$AT$3, 0))="",L38,INDEX(Variablen!$I:$AT, MATCH(M38, Variablen!$A:$A, 0), MATCH((YEAR(D38)+17), Variablen!$I$3:$AT$3, 0))),L38)))*(IF((YEAR(D38)+17)&lt;YEAR(E38),0,IF((YEAR(D38)+17)&gt;YEAR(E38),1,(12-MONTH(E38)+1)/12))) + (Q38)*(IF((YEAR(D38)+17)&lt;YEAR(E38),0,IF((YEAR(D38)+17)&gt;YEAR(E38),1,(12-MONTH(E38)+1)/12))))-((P38)*(IF((YEAR(D38)+17)&lt;YEAR(E38),0,IF((YEAR(D38)+17)&gt;YEAR(E38),1,(12-MONTH(E38)+1)/12))) + (R38)*(IF((YEAR(D38)+17)&lt;YEAR(E38),0,IF((YEAR(D38)+17)&gt;YEAR(E38),1,(12-MONTH(E38)+1)/12))))-(IF(OR(N38="",N38&lt;=0),0,(O38/N38)*(IF(OR(N38="",N38&lt;=0),0,IF((YEAR(D38)+17)&lt;YEAR(E38),0,IF((YEAR(D38)+17)&gt;=YEAR(E38)+N38,0,IF((YEAR(D38)+17)=YEAR(E38),(12-MONTH(E38)+1)/12,1))))))))&gt;0,(((K38)*(IF(M38="",L38,IFERROR(IF(INDEX(Variablen!$I:$AT, MATCH(M38, Variablen!$A:$A, 0), MATCH((YEAR(D38)+17), Variablen!$I$3:$AT$3, 0))="",L38,INDEX(Variablen!$I:$AT, MATCH(M38, Variablen!$A:$A, 0), MATCH((YEAR(D38)+17), Variablen!$I$3:$AT$3, 0))),L38)))*(IF((YEAR(D38)+17)&lt;YEAR(E38),0,IF((YEAR(D38)+17)&gt;YEAR(E38),1,(12-MONTH(E38)+1)/12))) + (Q38)*(IF((YEAR(D38)+17)&lt;YEAR(E38),0,IF((YEAR(D38)+17)&gt;YEAR(E38),1,(12-MONTH(E38)+1)/12))))-((P38)*(IF((YEAR(D38)+17)&lt;YEAR(E38),0,IF((YEAR(D38)+17)&gt;YEAR(E38),1,(12-MONTH(E38)+1)/12))) + (R38)*(IF((YEAR(D38)+17)&lt;YEAR(E38),0,IF((YEAR(D38)+17)&gt;YEAR(E38),1,(12-MONTH(E38)+1)/12))))-(IF(OR(N38="",N38&lt;=0),0,(O38/N38)*(IF(OR(N38="",N38&lt;=0),0,IF((YEAR(D38)+17)&lt;YEAR(E38),0,IF((YEAR(D38)+17)&gt;=YEAR(E38)+N38,0,IF((YEAR(D38)+17)=YEAR(E38),(12-MONTH(E38)+1)/12,1))))))))*TaxRate,0))-IF(17=0,O38,0))</f>
        <v/>
      </c>
      <c r="AK38" s="29">
        <f>IF(A38="","",((K38)*(IF(M38="",L38,IFERROR(IF(INDEX(Variablen!$I:$AT, MATCH(M38, Variablen!$A:$A, 0), MATCH((YEAR(D38)+18), Variablen!$I$3:$AT$3, 0))="",L38,INDEX(Variablen!$I:$AT, MATCH(M38, Variablen!$A:$A, 0), MATCH((YEAR(D38)+18), Variablen!$I$3:$AT$3, 0))),L38)))*(IF((YEAR(D38)+18)&lt;YEAR(E38),0,IF((YEAR(D38)+18)&gt;YEAR(E38),1,(12-MONTH(E38)+1)/12))) + (Q38)*(IF((YEAR(D38)+18)&lt;YEAR(E38),0,IF((YEAR(D38)+18)&gt;YEAR(E38),1,(12-MONTH(E38)+1)/12))))-((P38)*(IF((YEAR(D38)+18)&lt;YEAR(E38),0,IF((YEAR(D38)+18)&gt;YEAR(E38),1,(12-MONTH(E38)+1)/12))) + (R38)*(IF((YEAR(D38)+18)&lt;YEAR(E38),0,IF((YEAR(D38)+18)&gt;YEAR(E38),1,(12-MONTH(E38)+1)/12))))-(IF((((K38)*(IF(M38="",L38,IFERROR(IF(INDEX(Variablen!$I:$AT, MATCH(M38, Variablen!$A:$A, 0), MATCH((YEAR(D38)+18), Variablen!$I$3:$AT$3, 0))="",L38,INDEX(Variablen!$I:$AT, MATCH(M38, Variablen!$A:$A, 0), MATCH((YEAR(D38)+18), Variablen!$I$3:$AT$3, 0))),L38)))*(IF((YEAR(D38)+18)&lt;YEAR(E38),0,IF((YEAR(D38)+18)&gt;YEAR(E38),1,(12-MONTH(E38)+1)/12))) + (Q38)*(IF((YEAR(D38)+18)&lt;YEAR(E38),0,IF((YEAR(D38)+18)&gt;YEAR(E38),1,(12-MONTH(E38)+1)/12))))-((P38)*(IF((YEAR(D38)+18)&lt;YEAR(E38),0,IF((YEAR(D38)+18)&gt;YEAR(E38),1,(12-MONTH(E38)+1)/12))) + (R38)*(IF((YEAR(D38)+18)&lt;YEAR(E38),0,IF((YEAR(D38)+18)&gt;YEAR(E38),1,(12-MONTH(E38)+1)/12))))-(IF(OR(N38="",N38&lt;=0),0,(O38/N38)*(IF(OR(N38="",N38&lt;=0),0,IF((YEAR(D38)+18)&lt;YEAR(E38),0,IF((YEAR(D38)+18)&gt;=YEAR(E38)+N38,0,IF((YEAR(D38)+18)=YEAR(E38),(12-MONTH(E38)+1)/12,1))))))))&gt;0,(((K38)*(IF(M38="",L38,IFERROR(IF(INDEX(Variablen!$I:$AT, MATCH(M38, Variablen!$A:$A, 0), MATCH((YEAR(D38)+18), Variablen!$I$3:$AT$3, 0))="",L38,INDEX(Variablen!$I:$AT, MATCH(M38, Variablen!$A:$A, 0), MATCH((YEAR(D38)+18), Variablen!$I$3:$AT$3, 0))),L38)))*(IF((YEAR(D38)+18)&lt;YEAR(E38),0,IF((YEAR(D38)+18)&gt;YEAR(E38),1,(12-MONTH(E38)+1)/12))) + (Q38)*(IF((YEAR(D38)+18)&lt;YEAR(E38),0,IF((YEAR(D38)+18)&gt;YEAR(E38),1,(12-MONTH(E38)+1)/12))))-((P38)*(IF((YEAR(D38)+18)&lt;YEAR(E38),0,IF((YEAR(D38)+18)&gt;YEAR(E38),1,(12-MONTH(E38)+1)/12))) + (R38)*(IF((YEAR(D38)+18)&lt;YEAR(E38),0,IF((YEAR(D38)+18)&gt;YEAR(E38),1,(12-MONTH(E38)+1)/12))))-(IF(OR(N38="",N38&lt;=0),0,(O38/N38)*(IF(OR(N38="",N38&lt;=0),0,IF((YEAR(D38)+18)&lt;YEAR(E38),0,IF((YEAR(D38)+18)&gt;=YEAR(E38)+N38,0,IF((YEAR(D38)+18)=YEAR(E38),(12-MONTH(E38)+1)/12,1))))))))*TaxRate,0))-IF(18=0,O38,0))</f>
        <v/>
      </c>
      <c r="AL38" s="29">
        <f>IF(A38="","",((K38)*(IF(M38="",L38,IFERROR(IF(INDEX(Variablen!$I:$AT, MATCH(M38, Variablen!$A:$A, 0), MATCH((YEAR(D38)+19), Variablen!$I$3:$AT$3, 0))="",L38,INDEX(Variablen!$I:$AT, MATCH(M38, Variablen!$A:$A, 0), MATCH((YEAR(D38)+19), Variablen!$I$3:$AT$3, 0))),L38)))*(IF((YEAR(D38)+19)&lt;YEAR(E38),0,IF((YEAR(D38)+19)&gt;YEAR(E38),1,(12-MONTH(E38)+1)/12))) + (Q38)*(IF((YEAR(D38)+19)&lt;YEAR(E38),0,IF((YEAR(D38)+19)&gt;YEAR(E38),1,(12-MONTH(E38)+1)/12))))-((P38)*(IF((YEAR(D38)+19)&lt;YEAR(E38),0,IF((YEAR(D38)+19)&gt;YEAR(E38),1,(12-MONTH(E38)+1)/12))) + (R38)*(IF((YEAR(D38)+19)&lt;YEAR(E38),0,IF((YEAR(D38)+19)&gt;YEAR(E38),1,(12-MONTH(E38)+1)/12))))-(IF((((K38)*(IF(M38="",L38,IFERROR(IF(INDEX(Variablen!$I:$AT, MATCH(M38, Variablen!$A:$A, 0), MATCH((YEAR(D38)+19), Variablen!$I$3:$AT$3, 0))="",L38,INDEX(Variablen!$I:$AT, MATCH(M38, Variablen!$A:$A, 0), MATCH((YEAR(D38)+19), Variablen!$I$3:$AT$3, 0))),L38)))*(IF((YEAR(D38)+19)&lt;YEAR(E38),0,IF((YEAR(D38)+19)&gt;YEAR(E38),1,(12-MONTH(E38)+1)/12))) + (Q38)*(IF((YEAR(D38)+19)&lt;YEAR(E38),0,IF((YEAR(D38)+19)&gt;YEAR(E38),1,(12-MONTH(E38)+1)/12))))-((P38)*(IF((YEAR(D38)+19)&lt;YEAR(E38),0,IF((YEAR(D38)+19)&gt;YEAR(E38),1,(12-MONTH(E38)+1)/12))) + (R38)*(IF((YEAR(D38)+19)&lt;YEAR(E38),0,IF((YEAR(D38)+19)&gt;YEAR(E38),1,(12-MONTH(E38)+1)/12))))-(IF(OR(N38="",N38&lt;=0),0,(O38/N38)*(IF(OR(N38="",N38&lt;=0),0,IF((YEAR(D38)+19)&lt;YEAR(E38),0,IF((YEAR(D38)+19)&gt;=YEAR(E38)+N38,0,IF((YEAR(D38)+19)=YEAR(E38),(12-MONTH(E38)+1)/12,1))))))))&gt;0,(((K38)*(IF(M38="",L38,IFERROR(IF(INDEX(Variablen!$I:$AT, MATCH(M38, Variablen!$A:$A, 0), MATCH((YEAR(D38)+19), Variablen!$I$3:$AT$3, 0))="",L38,INDEX(Variablen!$I:$AT, MATCH(M38, Variablen!$A:$A, 0), MATCH((YEAR(D38)+19), Variablen!$I$3:$AT$3, 0))),L38)))*(IF((YEAR(D38)+19)&lt;YEAR(E38),0,IF((YEAR(D38)+19)&gt;YEAR(E38),1,(12-MONTH(E38)+1)/12))) + (Q38)*(IF((YEAR(D38)+19)&lt;YEAR(E38),0,IF((YEAR(D38)+19)&gt;YEAR(E38),1,(12-MONTH(E38)+1)/12))))-((P38)*(IF((YEAR(D38)+19)&lt;YEAR(E38),0,IF((YEAR(D38)+19)&gt;YEAR(E38),1,(12-MONTH(E38)+1)/12))) + (R38)*(IF((YEAR(D38)+19)&lt;YEAR(E38),0,IF((YEAR(D38)+19)&gt;YEAR(E38),1,(12-MONTH(E38)+1)/12))))-(IF(OR(N38="",N38&lt;=0),0,(O38/N38)*(IF(OR(N38="",N38&lt;=0),0,IF((YEAR(D38)+19)&lt;YEAR(E38),0,IF((YEAR(D38)+19)&gt;=YEAR(E38)+N38,0,IF((YEAR(D38)+19)=YEAR(E38),(12-MONTH(E38)+1)/12,1))))))))*TaxRate,0))-IF(19=0,O38,0))</f>
        <v/>
      </c>
      <c r="AM38" s="29">
        <f>IF(A38="","",((K38)*(IF(M38="",L38,IFERROR(IF(INDEX(Variablen!$I:$AT, MATCH(M38, Variablen!$A:$A, 0), MATCH((YEAR(D38)+20), Variablen!$I$3:$AT$3, 0))="",L38,INDEX(Variablen!$I:$AT, MATCH(M38, Variablen!$A:$A, 0), MATCH((YEAR(D38)+20), Variablen!$I$3:$AT$3, 0))),L38)))*(IF((YEAR(D38)+20)&lt;YEAR(E38),0,IF((YEAR(D38)+20)&gt;YEAR(E38),1,(12-MONTH(E38)+1)/12))) + (Q38)*(IF((YEAR(D38)+20)&lt;YEAR(E38),0,IF((YEAR(D38)+20)&gt;YEAR(E38),1,(12-MONTH(E38)+1)/12))))-((P38)*(IF((YEAR(D38)+20)&lt;YEAR(E38),0,IF((YEAR(D38)+20)&gt;YEAR(E38),1,(12-MONTH(E38)+1)/12))) + (R38)*(IF((YEAR(D38)+20)&lt;YEAR(E38),0,IF((YEAR(D38)+20)&gt;YEAR(E38),1,(12-MONTH(E38)+1)/12))))-(IF((((K38)*(IF(M38="",L38,IFERROR(IF(INDEX(Variablen!$I:$AT, MATCH(M38, Variablen!$A:$A, 0), MATCH((YEAR(D38)+20), Variablen!$I$3:$AT$3, 0))="",L38,INDEX(Variablen!$I:$AT, MATCH(M38, Variablen!$A:$A, 0), MATCH((YEAR(D38)+20), Variablen!$I$3:$AT$3, 0))),L38)))*(IF((YEAR(D38)+20)&lt;YEAR(E38),0,IF((YEAR(D38)+20)&gt;YEAR(E38),1,(12-MONTH(E38)+1)/12))) + (Q38)*(IF((YEAR(D38)+20)&lt;YEAR(E38),0,IF((YEAR(D38)+20)&gt;YEAR(E38),1,(12-MONTH(E38)+1)/12))))-((P38)*(IF((YEAR(D38)+20)&lt;YEAR(E38),0,IF((YEAR(D38)+20)&gt;YEAR(E38),1,(12-MONTH(E38)+1)/12))) + (R38)*(IF((YEAR(D38)+20)&lt;YEAR(E38),0,IF((YEAR(D38)+20)&gt;YEAR(E38),1,(12-MONTH(E38)+1)/12))))-(IF(OR(N38="",N38&lt;=0),0,(O38/N38)*(IF(OR(N38="",N38&lt;=0),0,IF((YEAR(D38)+20)&lt;YEAR(E38),0,IF((YEAR(D38)+20)&gt;=YEAR(E38)+N38,0,IF((YEAR(D38)+20)=YEAR(E38),(12-MONTH(E38)+1)/12,1))))))))&gt;0,(((K38)*(IF(M38="",L38,IFERROR(IF(INDEX(Variablen!$I:$AT, MATCH(M38, Variablen!$A:$A, 0), MATCH((YEAR(D38)+20), Variablen!$I$3:$AT$3, 0))="",L38,INDEX(Variablen!$I:$AT, MATCH(M38, Variablen!$A:$A, 0), MATCH((YEAR(D38)+20), Variablen!$I$3:$AT$3, 0))),L38)))*(IF((YEAR(D38)+20)&lt;YEAR(E38),0,IF((YEAR(D38)+20)&gt;YEAR(E38),1,(12-MONTH(E38)+1)/12))) + (Q38)*(IF((YEAR(D38)+20)&lt;YEAR(E38),0,IF((YEAR(D38)+20)&gt;YEAR(E38),1,(12-MONTH(E38)+1)/12))))-((P38)*(IF((YEAR(D38)+20)&lt;YEAR(E38),0,IF((YEAR(D38)+20)&gt;YEAR(E38),1,(12-MONTH(E38)+1)/12))) + (R38)*(IF((YEAR(D38)+20)&lt;YEAR(E38),0,IF((YEAR(D38)+20)&gt;YEAR(E38),1,(12-MONTH(E38)+1)/12))))-(IF(OR(N38="",N38&lt;=0),0,(O38/N38)*(IF(OR(N38="",N38&lt;=0),0,IF((YEAR(D38)+20)&lt;YEAR(E38),0,IF((YEAR(D38)+20)&gt;=YEAR(E38)+N38,0,IF((YEAR(D38)+20)=YEAR(E38),(12-MONTH(E38)+1)/12,1))))))))*TaxRate,0))-IF(20=0,O38,0))</f>
        <v/>
      </c>
      <c r="AN38" s="29">
        <f>IF(A38="","",S38)</f>
        <v/>
      </c>
      <c r="AO38" s="29">
        <f>IF(A38="","",AN38+T38)</f>
        <v/>
      </c>
      <c r="AP38" s="29">
        <f>IF(A38="","",AO38+U38)</f>
        <v/>
      </c>
      <c r="AQ38" s="29">
        <f>IF(A38="","",AP38+V38)</f>
        <v/>
      </c>
      <c r="AR38" s="29">
        <f>IF(A38="","",AQ38+W38)</f>
        <v/>
      </c>
      <c r="AS38" s="29">
        <f>IF(A38="","",AR38+X38)</f>
        <v/>
      </c>
      <c r="AT38" s="29">
        <f>IF(A38="","",AS38+Y38)</f>
        <v/>
      </c>
      <c r="AU38" s="29">
        <f>IF(A38="","",AT38+Z38)</f>
        <v/>
      </c>
      <c r="AV38" s="29">
        <f>IF(A38="","",AU38+AA38)</f>
        <v/>
      </c>
      <c r="AW38" s="29">
        <f>IF(A38="","",AV38+AB38)</f>
        <v/>
      </c>
      <c r="AX38" s="29">
        <f>IF(A38="","",AW38+AC38)</f>
        <v/>
      </c>
      <c r="AY38" s="29">
        <f>IF(A38="","",AX38+AD38)</f>
        <v/>
      </c>
      <c r="AZ38" s="29">
        <f>IF(A38="","",AY38+AE38)</f>
        <v/>
      </c>
      <c r="BA38" s="29">
        <f>IF(A38="","",AZ38+AF38)</f>
        <v/>
      </c>
      <c r="BB38" s="29">
        <f>IF(A38="","",BA38+AG38)</f>
        <v/>
      </c>
      <c r="BC38" s="29">
        <f>IF(A38="","",BB38+AH38)</f>
        <v/>
      </c>
      <c r="BD38" s="29">
        <f>IF(A38="","",BC38+AI38)</f>
        <v/>
      </c>
      <c r="BE38" s="29">
        <f>IF(A38="","",BD38+AJ38)</f>
        <v/>
      </c>
      <c r="BF38" s="29">
        <f>IF(A38="","",BE38+AK38)</f>
        <v/>
      </c>
      <c r="BG38" s="29">
        <f>IF(A38="","",BF38+AL38)</f>
        <v/>
      </c>
      <c r="BH38" s="29">
        <f>IF(A38="","",BG38+AM38)</f>
        <v/>
      </c>
      <c r="BI38" s="36">
        <f>IF(A38="","",(K38)*(IF((YEAR(D38)+0)&lt;YEAR(E38),0,IF((YEAR(D38)+0)&gt;YEAR(E38),1,(12-MONTH(E38)+1)/12)))*(1/(1+DiscountRate)^0))</f>
        <v/>
      </c>
      <c r="BJ38" s="36">
        <f>IF(A38="","",(K38)*(IF((YEAR(D38)+1)&lt;YEAR(E38),0,IF((YEAR(D38)+1)&gt;YEAR(E38),1,(12-MONTH(E38)+1)/12)))*(1/(1+DiscountRate)^1))</f>
        <v/>
      </c>
      <c r="BK38" s="36">
        <f>IF(A38="","",(K38)*(IF((YEAR(D38)+2)&lt;YEAR(E38),0,IF((YEAR(D38)+2)&gt;YEAR(E38),1,(12-MONTH(E38)+1)/12)))*(1/(1+DiscountRate)^2))</f>
        <v/>
      </c>
      <c r="BL38" s="36">
        <f>IF(A38="","",(K38)*(IF((YEAR(D38)+3)&lt;YEAR(E38),0,IF((YEAR(D38)+3)&gt;YEAR(E38),1,(12-MONTH(E38)+1)/12)))*(1/(1+DiscountRate)^3))</f>
        <v/>
      </c>
      <c r="BM38" s="36">
        <f>IF(A38="","",(K38)*(IF((YEAR(D38)+4)&lt;YEAR(E38),0,IF((YEAR(D38)+4)&gt;YEAR(E38),1,(12-MONTH(E38)+1)/12)))*(1/(1+DiscountRate)^4))</f>
        <v/>
      </c>
      <c r="BN38" s="36">
        <f>IF(A38="","",(K38)*(IF((YEAR(D38)+5)&lt;YEAR(E38),0,IF((YEAR(D38)+5)&gt;YEAR(E38),1,(12-MONTH(E38)+1)/12)))*(1/(1+DiscountRate)^5))</f>
        <v/>
      </c>
      <c r="BO38" s="36">
        <f>IF(A38="","",(K38)*(IF((YEAR(D38)+6)&lt;YEAR(E38),0,IF((YEAR(D38)+6)&gt;YEAR(E38),1,(12-MONTH(E38)+1)/12)))*(1/(1+DiscountRate)^6))</f>
        <v/>
      </c>
      <c r="BP38" s="36">
        <f>IF(A38="","",(K38)*(IF((YEAR(D38)+7)&lt;YEAR(E38),0,IF((YEAR(D38)+7)&gt;YEAR(E38),1,(12-MONTH(E38)+1)/12)))*(1/(1+DiscountRate)^7))</f>
        <v/>
      </c>
      <c r="BQ38" s="36">
        <f>IF(A38="","",(K38)*(IF((YEAR(D38)+8)&lt;YEAR(E38),0,IF((YEAR(D38)+8)&gt;YEAR(E38),1,(12-MONTH(E38)+1)/12)))*(1/(1+DiscountRate)^8))</f>
        <v/>
      </c>
      <c r="BR38" s="36">
        <f>IF(A38="","",(K38)*(IF((YEAR(D38)+9)&lt;YEAR(E38),0,IF((YEAR(D38)+9)&gt;YEAR(E38),1,(12-MONTH(E38)+1)/12)))*(1/(1+DiscountRate)^9))</f>
        <v/>
      </c>
      <c r="BS38" s="36">
        <f>IF(A38="","",(K38)*(IF((YEAR(D38)+10)&lt;YEAR(E38),0,IF((YEAR(D38)+10)&gt;YEAR(E38),1,(12-MONTH(E38)+1)/12)))*(1/(1+DiscountRate)^10))</f>
        <v/>
      </c>
      <c r="BT38" s="36">
        <f>IF(A38="","",(K38)*(IF((YEAR(D38)+11)&lt;YEAR(E38),0,IF((YEAR(D38)+11)&gt;YEAR(E38),1,(12-MONTH(E38)+1)/12)))*(1/(1+DiscountRate)^11))</f>
        <v/>
      </c>
      <c r="BU38" s="36">
        <f>IF(A38="","",(K38)*(IF((YEAR(D38)+12)&lt;YEAR(E38),0,IF((YEAR(D38)+12)&gt;YEAR(E38),1,(12-MONTH(E38)+1)/12)))*(1/(1+DiscountRate)^12))</f>
        <v/>
      </c>
      <c r="BV38" s="36">
        <f>IF(A38="","",(K38)*(IF((YEAR(D38)+13)&lt;YEAR(E38),0,IF((YEAR(D38)+13)&gt;YEAR(E38),1,(12-MONTH(E38)+1)/12)))*(1/(1+DiscountRate)^13))</f>
        <v/>
      </c>
      <c r="BW38" s="36">
        <f>IF(A38="","",(K38)*(IF((YEAR(D38)+14)&lt;YEAR(E38),0,IF((YEAR(D38)+14)&gt;YEAR(E38),1,(12-MONTH(E38)+1)/12)))*(1/(1+DiscountRate)^14))</f>
        <v/>
      </c>
      <c r="BX38" s="36">
        <f>IF(A38="","",(K38)*(IF((YEAR(D38)+15)&lt;YEAR(E38),0,IF((YEAR(D38)+15)&gt;YEAR(E38),1,(12-MONTH(E38)+1)/12)))*(1/(1+DiscountRate)^15))</f>
        <v/>
      </c>
      <c r="BY38" s="36">
        <f>IF(A38="","",(K38)*(IF((YEAR(D38)+16)&lt;YEAR(E38),0,IF((YEAR(D38)+16)&gt;YEAR(E38),1,(12-MONTH(E38)+1)/12)))*(1/(1+DiscountRate)^16))</f>
        <v/>
      </c>
      <c r="BZ38" s="36">
        <f>IF(A38="","",(K38)*(IF((YEAR(D38)+17)&lt;YEAR(E38),0,IF((YEAR(D38)+17)&gt;YEAR(E38),1,(12-MONTH(E38)+1)/12)))*(1/(1+DiscountRate)^17))</f>
        <v/>
      </c>
      <c r="CA38" s="36">
        <f>IF(A38="","",(K38)*(IF((YEAR(D38)+18)&lt;YEAR(E38),0,IF((YEAR(D38)+18)&gt;YEAR(E38),1,(12-MONTH(E38)+1)/12)))*(1/(1+DiscountRate)^18))</f>
        <v/>
      </c>
      <c r="CB38" s="36">
        <f>IF(A38="","",(K38)*(IF((YEAR(D38)+19)&lt;YEAR(E38),0,IF((YEAR(D38)+19)&gt;YEAR(E38),1,(12-MONTH(E38)+1)/12)))*(1/(1+DiscountRate)^19))</f>
        <v/>
      </c>
      <c r="CC38" s="36">
        <f>IF(A38="","",(K38)*(IF((YEAR(D38)+20)&lt;YEAR(E38),0,IF((YEAR(D38)+20)&gt;YEAR(E38),1,(12-MONTH(E38)+1)/12)))*(1/(1+DiscountRate)^20))</f>
        <v/>
      </c>
      <c r="CD38" s="29">
        <f>IF(A38="","",S38/(1+DiscountRate)^0+T38/(1+DiscountRate)^1+U38/(1+DiscountRate)^2+V38/(1+DiscountRate)^3+W38/(1+DiscountRate)^4+X38/(1+DiscountRate)^5+Y38/(1+DiscountRate)^6+Z38/(1+DiscountRate)^7+AA38/(1+DiscountRate)^8+AB38/(1+DiscountRate)^9+AC38/(1+DiscountRate)^10+AD38/(1+DiscountRate)^11+AE38/(1+DiscountRate)^12+AF38/(1+DiscountRate)^13+AG38/(1+DiscountRate)^14+AH38/(1+DiscountRate)^15+AI38/(1+DiscountRate)^16+AJ38/(1+DiscountRate)^17+AK38/(1+DiscountRate)^18+AL38/(1+DiscountRate)^19+AM38/(1+DiscountRate)^20)</f>
        <v/>
      </c>
      <c r="CE38" s="37">
        <f>IF(A38="","",IFERROR(IRR(OFFSET(S38,0,0,1,MIN(HorizonYears,20)+1)),"n/a"))</f>
        <v/>
      </c>
      <c r="CF38" s="28">
        <f>IF(A38="","",IFERROR(MATCH(TRUE,OFFSET(AN38,0,0,1,MIN(HorizonYears,20)+1)&gt;=0,0)-1,"n/a"))</f>
        <v/>
      </c>
      <c r="CG38" s="36">
        <f>IF(A38="","",SUM(OFFSET(BI38,0,0,1,MIN(HorizonYears,20)+1)))</f>
        <v/>
      </c>
      <c r="CH38" s="36">
        <f>IF(A38="","",IFERROR(-CD38/CG38,"n/a"))</f>
        <v/>
      </c>
    </row>
    <row r="39">
      <c r="A39" s="6">
        <f>Actions!A37</f>
        <v/>
      </c>
      <c r="B39" s="6">
        <f>Actions!B37</f>
        <v/>
      </c>
      <c r="C39" s="6">
        <f>Actions!D37</f>
        <v/>
      </c>
      <c r="D39" s="35">
        <f>Actions!E37</f>
        <v/>
      </c>
      <c r="E39" s="35">
        <f>Actions!F37</f>
        <v/>
      </c>
      <c r="F39" s="6">
        <f>Actions!G37</f>
        <v/>
      </c>
      <c r="G39" s="6">
        <f>Actions!H37</f>
        <v/>
      </c>
      <c r="H39" s="29">
        <f>Actions!I37</f>
        <v/>
      </c>
      <c r="I39" s="6">
        <f>Actions!J37</f>
        <v/>
      </c>
      <c r="J39" s="16">
        <f>Actions!K37</f>
        <v/>
      </c>
      <c r="K39" s="16">
        <f>IF(A39="","",IF(I39="%",H39*J39,J39))</f>
        <v/>
      </c>
      <c r="L39" s="16">
        <f>Actions!L37</f>
        <v/>
      </c>
      <c r="M39" s="6">
        <f>Actions!M37</f>
        <v/>
      </c>
      <c r="N39" s="28">
        <f>Actions!N37</f>
        <v/>
      </c>
      <c r="O39" s="29">
        <f>Actions!T37</f>
        <v/>
      </c>
      <c r="P39" s="29">
        <f>Actions!Y37</f>
        <v/>
      </c>
      <c r="Q39" s="29">
        <f>Actions!Z37</f>
        <v/>
      </c>
      <c r="R39" s="29">
        <f>Actions!AA37</f>
        <v/>
      </c>
      <c r="S39" s="29">
        <f>IF(A39="","",((K39)*(IF(M39="",L39,IFERROR(IF(INDEX(Variablen!$I:$AT, MATCH(M39, Variablen!$A:$A, 0), MATCH((YEAR(D39)+0), Variablen!$I$3:$AT$3, 0))="",L39,INDEX(Variablen!$I:$AT, MATCH(M39, Variablen!$A:$A, 0), MATCH((YEAR(D39)+0), Variablen!$I$3:$AT$3, 0))),L39)))*(IF((YEAR(D39)+0)&lt;YEAR(E39),0,IF((YEAR(D39)+0)&gt;YEAR(E39),1,(12-MONTH(E39)+1)/12))) + (Q39)*(IF((YEAR(D39)+0)&lt;YEAR(E39),0,IF((YEAR(D39)+0)&gt;YEAR(E39),1,(12-MONTH(E39)+1)/12))))-((P39)*(IF((YEAR(D39)+0)&lt;YEAR(E39),0,IF((YEAR(D39)+0)&gt;YEAR(E39),1,(12-MONTH(E39)+1)/12))) + (R39)*(IF((YEAR(D39)+0)&lt;YEAR(E39),0,IF((YEAR(D39)+0)&gt;YEAR(E39),1,(12-MONTH(E39)+1)/12))))-(IF((((K39)*(IF(M39="",L39,IFERROR(IF(INDEX(Variablen!$I:$AT, MATCH(M39, Variablen!$A:$A, 0), MATCH((YEAR(D39)+0), Variablen!$I$3:$AT$3, 0))="",L39,INDEX(Variablen!$I:$AT, MATCH(M39, Variablen!$A:$A, 0), MATCH((YEAR(D39)+0), Variablen!$I$3:$AT$3, 0))),L39)))*(IF((YEAR(D39)+0)&lt;YEAR(E39),0,IF((YEAR(D39)+0)&gt;YEAR(E39),1,(12-MONTH(E39)+1)/12))) + (Q39)*(IF((YEAR(D39)+0)&lt;YEAR(E39),0,IF((YEAR(D39)+0)&gt;YEAR(E39),1,(12-MONTH(E39)+1)/12))))-((P39)*(IF((YEAR(D39)+0)&lt;YEAR(E39),0,IF((YEAR(D39)+0)&gt;YEAR(E39),1,(12-MONTH(E39)+1)/12))) + (R39)*(IF((YEAR(D39)+0)&lt;YEAR(E39),0,IF((YEAR(D39)+0)&gt;YEAR(E39),1,(12-MONTH(E39)+1)/12))))-(IF(OR(N39="",N39&lt;=0),0,(O39/N39)*(IF(OR(N39="",N39&lt;=0),0,IF((YEAR(D39)+0)&lt;YEAR(E39),0,IF((YEAR(D39)+0)&gt;=YEAR(E39)+N39,0,IF((YEAR(D39)+0)=YEAR(E39),(12-MONTH(E39)+1)/12,1))))))))&gt;0,(((K39)*(IF(M39="",L39,IFERROR(IF(INDEX(Variablen!$I:$AT, MATCH(M39, Variablen!$A:$A, 0), MATCH((YEAR(D39)+0), Variablen!$I$3:$AT$3, 0))="",L39,INDEX(Variablen!$I:$AT, MATCH(M39, Variablen!$A:$A, 0), MATCH((YEAR(D39)+0), Variablen!$I$3:$AT$3, 0))),L39)))*(IF((YEAR(D39)+0)&lt;YEAR(E39),0,IF((YEAR(D39)+0)&gt;YEAR(E39),1,(12-MONTH(E39)+1)/12))) + (Q39)*(IF((YEAR(D39)+0)&lt;YEAR(E39),0,IF((YEAR(D39)+0)&gt;YEAR(E39),1,(12-MONTH(E39)+1)/12))))-((P39)*(IF((YEAR(D39)+0)&lt;YEAR(E39),0,IF((YEAR(D39)+0)&gt;YEAR(E39),1,(12-MONTH(E39)+1)/12))) + (R39)*(IF((YEAR(D39)+0)&lt;YEAR(E39),0,IF((YEAR(D39)+0)&gt;YEAR(E39),1,(12-MONTH(E39)+1)/12))))-(IF(OR(N39="",N39&lt;=0),0,(O39/N39)*(IF(OR(N39="",N39&lt;=0),0,IF((YEAR(D39)+0)&lt;YEAR(E39),0,IF((YEAR(D39)+0)&gt;=YEAR(E39)+N39,0,IF((YEAR(D39)+0)=YEAR(E39),(12-MONTH(E39)+1)/12,1))))))))*TaxRate,0))-IF(0=0,O39,0))</f>
        <v/>
      </c>
      <c r="T39" s="29">
        <f>IF(A39="","",((K39)*(IF(M39="",L39,IFERROR(IF(INDEX(Variablen!$I:$AT, MATCH(M39, Variablen!$A:$A, 0), MATCH((YEAR(D39)+1), Variablen!$I$3:$AT$3, 0))="",L39,INDEX(Variablen!$I:$AT, MATCH(M39, Variablen!$A:$A, 0), MATCH((YEAR(D39)+1), Variablen!$I$3:$AT$3, 0))),L39)))*(IF((YEAR(D39)+1)&lt;YEAR(E39),0,IF((YEAR(D39)+1)&gt;YEAR(E39),1,(12-MONTH(E39)+1)/12))) + (Q39)*(IF((YEAR(D39)+1)&lt;YEAR(E39),0,IF((YEAR(D39)+1)&gt;YEAR(E39),1,(12-MONTH(E39)+1)/12))))-((P39)*(IF((YEAR(D39)+1)&lt;YEAR(E39),0,IF((YEAR(D39)+1)&gt;YEAR(E39),1,(12-MONTH(E39)+1)/12))) + (R39)*(IF((YEAR(D39)+1)&lt;YEAR(E39),0,IF((YEAR(D39)+1)&gt;YEAR(E39),1,(12-MONTH(E39)+1)/12))))-(IF((((K39)*(IF(M39="",L39,IFERROR(IF(INDEX(Variablen!$I:$AT, MATCH(M39, Variablen!$A:$A, 0), MATCH((YEAR(D39)+1), Variablen!$I$3:$AT$3, 0))="",L39,INDEX(Variablen!$I:$AT, MATCH(M39, Variablen!$A:$A, 0), MATCH((YEAR(D39)+1), Variablen!$I$3:$AT$3, 0))),L39)))*(IF((YEAR(D39)+1)&lt;YEAR(E39),0,IF((YEAR(D39)+1)&gt;YEAR(E39),1,(12-MONTH(E39)+1)/12))) + (Q39)*(IF((YEAR(D39)+1)&lt;YEAR(E39),0,IF((YEAR(D39)+1)&gt;YEAR(E39),1,(12-MONTH(E39)+1)/12))))-((P39)*(IF((YEAR(D39)+1)&lt;YEAR(E39),0,IF((YEAR(D39)+1)&gt;YEAR(E39),1,(12-MONTH(E39)+1)/12))) + (R39)*(IF((YEAR(D39)+1)&lt;YEAR(E39),0,IF((YEAR(D39)+1)&gt;YEAR(E39),1,(12-MONTH(E39)+1)/12))))-(IF(OR(N39="",N39&lt;=0),0,(O39/N39)*(IF(OR(N39="",N39&lt;=0),0,IF((YEAR(D39)+1)&lt;YEAR(E39),0,IF((YEAR(D39)+1)&gt;=YEAR(E39)+N39,0,IF((YEAR(D39)+1)=YEAR(E39),(12-MONTH(E39)+1)/12,1))))))))&gt;0,(((K39)*(IF(M39="",L39,IFERROR(IF(INDEX(Variablen!$I:$AT, MATCH(M39, Variablen!$A:$A, 0), MATCH((YEAR(D39)+1), Variablen!$I$3:$AT$3, 0))="",L39,INDEX(Variablen!$I:$AT, MATCH(M39, Variablen!$A:$A, 0), MATCH((YEAR(D39)+1), Variablen!$I$3:$AT$3, 0))),L39)))*(IF((YEAR(D39)+1)&lt;YEAR(E39),0,IF((YEAR(D39)+1)&gt;YEAR(E39),1,(12-MONTH(E39)+1)/12))) + (Q39)*(IF((YEAR(D39)+1)&lt;YEAR(E39),0,IF((YEAR(D39)+1)&gt;YEAR(E39),1,(12-MONTH(E39)+1)/12))))-((P39)*(IF((YEAR(D39)+1)&lt;YEAR(E39),0,IF((YEAR(D39)+1)&gt;YEAR(E39),1,(12-MONTH(E39)+1)/12))) + (R39)*(IF((YEAR(D39)+1)&lt;YEAR(E39),0,IF((YEAR(D39)+1)&gt;YEAR(E39),1,(12-MONTH(E39)+1)/12))))-(IF(OR(N39="",N39&lt;=0),0,(O39/N39)*(IF(OR(N39="",N39&lt;=0),0,IF((YEAR(D39)+1)&lt;YEAR(E39),0,IF((YEAR(D39)+1)&gt;=YEAR(E39)+N39,0,IF((YEAR(D39)+1)=YEAR(E39),(12-MONTH(E39)+1)/12,1))))))))*TaxRate,0))-IF(1=0,O39,0))</f>
        <v/>
      </c>
      <c r="U39" s="29">
        <f>IF(A39="","",((K39)*(IF(M39="",L39,IFERROR(IF(INDEX(Variablen!$I:$AT, MATCH(M39, Variablen!$A:$A, 0), MATCH((YEAR(D39)+2), Variablen!$I$3:$AT$3, 0))="",L39,INDEX(Variablen!$I:$AT, MATCH(M39, Variablen!$A:$A, 0), MATCH((YEAR(D39)+2), Variablen!$I$3:$AT$3, 0))),L39)))*(IF((YEAR(D39)+2)&lt;YEAR(E39),0,IF((YEAR(D39)+2)&gt;YEAR(E39),1,(12-MONTH(E39)+1)/12))) + (Q39)*(IF((YEAR(D39)+2)&lt;YEAR(E39),0,IF((YEAR(D39)+2)&gt;YEAR(E39),1,(12-MONTH(E39)+1)/12))))-((P39)*(IF((YEAR(D39)+2)&lt;YEAR(E39),0,IF((YEAR(D39)+2)&gt;YEAR(E39),1,(12-MONTH(E39)+1)/12))) + (R39)*(IF((YEAR(D39)+2)&lt;YEAR(E39),0,IF((YEAR(D39)+2)&gt;YEAR(E39),1,(12-MONTH(E39)+1)/12))))-(IF((((K39)*(IF(M39="",L39,IFERROR(IF(INDEX(Variablen!$I:$AT, MATCH(M39, Variablen!$A:$A, 0), MATCH((YEAR(D39)+2), Variablen!$I$3:$AT$3, 0))="",L39,INDEX(Variablen!$I:$AT, MATCH(M39, Variablen!$A:$A, 0), MATCH((YEAR(D39)+2), Variablen!$I$3:$AT$3, 0))),L39)))*(IF((YEAR(D39)+2)&lt;YEAR(E39),0,IF((YEAR(D39)+2)&gt;YEAR(E39),1,(12-MONTH(E39)+1)/12))) + (Q39)*(IF((YEAR(D39)+2)&lt;YEAR(E39),0,IF((YEAR(D39)+2)&gt;YEAR(E39),1,(12-MONTH(E39)+1)/12))))-((P39)*(IF((YEAR(D39)+2)&lt;YEAR(E39),0,IF((YEAR(D39)+2)&gt;YEAR(E39),1,(12-MONTH(E39)+1)/12))) + (R39)*(IF((YEAR(D39)+2)&lt;YEAR(E39),0,IF((YEAR(D39)+2)&gt;YEAR(E39),1,(12-MONTH(E39)+1)/12))))-(IF(OR(N39="",N39&lt;=0),0,(O39/N39)*(IF(OR(N39="",N39&lt;=0),0,IF((YEAR(D39)+2)&lt;YEAR(E39),0,IF((YEAR(D39)+2)&gt;=YEAR(E39)+N39,0,IF((YEAR(D39)+2)=YEAR(E39),(12-MONTH(E39)+1)/12,1))))))))&gt;0,(((K39)*(IF(M39="",L39,IFERROR(IF(INDEX(Variablen!$I:$AT, MATCH(M39, Variablen!$A:$A, 0), MATCH((YEAR(D39)+2), Variablen!$I$3:$AT$3, 0))="",L39,INDEX(Variablen!$I:$AT, MATCH(M39, Variablen!$A:$A, 0), MATCH((YEAR(D39)+2), Variablen!$I$3:$AT$3, 0))),L39)))*(IF((YEAR(D39)+2)&lt;YEAR(E39),0,IF((YEAR(D39)+2)&gt;YEAR(E39),1,(12-MONTH(E39)+1)/12))) + (Q39)*(IF((YEAR(D39)+2)&lt;YEAR(E39),0,IF((YEAR(D39)+2)&gt;YEAR(E39),1,(12-MONTH(E39)+1)/12))))-((P39)*(IF((YEAR(D39)+2)&lt;YEAR(E39),0,IF((YEAR(D39)+2)&gt;YEAR(E39),1,(12-MONTH(E39)+1)/12))) + (R39)*(IF((YEAR(D39)+2)&lt;YEAR(E39),0,IF((YEAR(D39)+2)&gt;YEAR(E39),1,(12-MONTH(E39)+1)/12))))-(IF(OR(N39="",N39&lt;=0),0,(O39/N39)*(IF(OR(N39="",N39&lt;=0),0,IF((YEAR(D39)+2)&lt;YEAR(E39),0,IF((YEAR(D39)+2)&gt;=YEAR(E39)+N39,0,IF((YEAR(D39)+2)=YEAR(E39),(12-MONTH(E39)+1)/12,1))))))))*TaxRate,0))-IF(2=0,O39,0))</f>
        <v/>
      </c>
      <c r="V39" s="29">
        <f>IF(A39="","",((K39)*(IF(M39="",L39,IFERROR(IF(INDEX(Variablen!$I:$AT, MATCH(M39, Variablen!$A:$A, 0), MATCH((YEAR(D39)+3), Variablen!$I$3:$AT$3, 0))="",L39,INDEX(Variablen!$I:$AT, MATCH(M39, Variablen!$A:$A, 0), MATCH((YEAR(D39)+3), Variablen!$I$3:$AT$3, 0))),L39)))*(IF((YEAR(D39)+3)&lt;YEAR(E39),0,IF((YEAR(D39)+3)&gt;YEAR(E39),1,(12-MONTH(E39)+1)/12))) + (Q39)*(IF((YEAR(D39)+3)&lt;YEAR(E39),0,IF((YEAR(D39)+3)&gt;YEAR(E39),1,(12-MONTH(E39)+1)/12))))-((P39)*(IF((YEAR(D39)+3)&lt;YEAR(E39),0,IF((YEAR(D39)+3)&gt;YEAR(E39),1,(12-MONTH(E39)+1)/12))) + (R39)*(IF((YEAR(D39)+3)&lt;YEAR(E39),0,IF((YEAR(D39)+3)&gt;YEAR(E39),1,(12-MONTH(E39)+1)/12))))-(IF((((K39)*(IF(M39="",L39,IFERROR(IF(INDEX(Variablen!$I:$AT, MATCH(M39, Variablen!$A:$A, 0), MATCH((YEAR(D39)+3), Variablen!$I$3:$AT$3, 0))="",L39,INDEX(Variablen!$I:$AT, MATCH(M39, Variablen!$A:$A, 0), MATCH((YEAR(D39)+3), Variablen!$I$3:$AT$3, 0))),L39)))*(IF((YEAR(D39)+3)&lt;YEAR(E39),0,IF((YEAR(D39)+3)&gt;YEAR(E39),1,(12-MONTH(E39)+1)/12))) + (Q39)*(IF((YEAR(D39)+3)&lt;YEAR(E39),0,IF((YEAR(D39)+3)&gt;YEAR(E39),1,(12-MONTH(E39)+1)/12))))-((P39)*(IF((YEAR(D39)+3)&lt;YEAR(E39),0,IF((YEAR(D39)+3)&gt;YEAR(E39),1,(12-MONTH(E39)+1)/12))) + (R39)*(IF((YEAR(D39)+3)&lt;YEAR(E39),0,IF((YEAR(D39)+3)&gt;YEAR(E39),1,(12-MONTH(E39)+1)/12))))-(IF(OR(N39="",N39&lt;=0),0,(O39/N39)*(IF(OR(N39="",N39&lt;=0),0,IF((YEAR(D39)+3)&lt;YEAR(E39),0,IF((YEAR(D39)+3)&gt;=YEAR(E39)+N39,0,IF((YEAR(D39)+3)=YEAR(E39),(12-MONTH(E39)+1)/12,1))))))))&gt;0,(((K39)*(IF(M39="",L39,IFERROR(IF(INDEX(Variablen!$I:$AT, MATCH(M39, Variablen!$A:$A, 0), MATCH((YEAR(D39)+3), Variablen!$I$3:$AT$3, 0))="",L39,INDEX(Variablen!$I:$AT, MATCH(M39, Variablen!$A:$A, 0), MATCH((YEAR(D39)+3), Variablen!$I$3:$AT$3, 0))),L39)))*(IF((YEAR(D39)+3)&lt;YEAR(E39),0,IF((YEAR(D39)+3)&gt;YEAR(E39),1,(12-MONTH(E39)+1)/12))) + (Q39)*(IF((YEAR(D39)+3)&lt;YEAR(E39),0,IF((YEAR(D39)+3)&gt;YEAR(E39),1,(12-MONTH(E39)+1)/12))))-((P39)*(IF((YEAR(D39)+3)&lt;YEAR(E39),0,IF((YEAR(D39)+3)&gt;YEAR(E39),1,(12-MONTH(E39)+1)/12))) + (R39)*(IF((YEAR(D39)+3)&lt;YEAR(E39),0,IF((YEAR(D39)+3)&gt;YEAR(E39),1,(12-MONTH(E39)+1)/12))))-(IF(OR(N39="",N39&lt;=0),0,(O39/N39)*(IF(OR(N39="",N39&lt;=0),0,IF((YEAR(D39)+3)&lt;YEAR(E39),0,IF((YEAR(D39)+3)&gt;=YEAR(E39)+N39,0,IF((YEAR(D39)+3)=YEAR(E39),(12-MONTH(E39)+1)/12,1))))))))*TaxRate,0))-IF(3=0,O39,0))</f>
        <v/>
      </c>
      <c r="W39" s="29">
        <f>IF(A39="","",((K39)*(IF(M39="",L39,IFERROR(IF(INDEX(Variablen!$I:$AT, MATCH(M39, Variablen!$A:$A, 0), MATCH((YEAR(D39)+4), Variablen!$I$3:$AT$3, 0))="",L39,INDEX(Variablen!$I:$AT, MATCH(M39, Variablen!$A:$A, 0), MATCH((YEAR(D39)+4), Variablen!$I$3:$AT$3, 0))),L39)))*(IF((YEAR(D39)+4)&lt;YEAR(E39),0,IF((YEAR(D39)+4)&gt;YEAR(E39),1,(12-MONTH(E39)+1)/12))) + (Q39)*(IF((YEAR(D39)+4)&lt;YEAR(E39),0,IF((YEAR(D39)+4)&gt;YEAR(E39),1,(12-MONTH(E39)+1)/12))))-((P39)*(IF((YEAR(D39)+4)&lt;YEAR(E39),0,IF((YEAR(D39)+4)&gt;YEAR(E39),1,(12-MONTH(E39)+1)/12))) + (R39)*(IF((YEAR(D39)+4)&lt;YEAR(E39),0,IF((YEAR(D39)+4)&gt;YEAR(E39),1,(12-MONTH(E39)+1)/12))))-(IF((((K39)*(IF(M39="",L39,IFERROR(IF(INDEX(Variablen!$I:$AT, MATCH(M39, Variablen!$A:$A, 0), MATCH((YEAR(D39)+4), Variablen!$I$3:$AT$3, 0))="",L39,INDEX(Variablen!$I:$AT, MATCH(M39, Variablen!$A:$A, 0), MATCH((YEAR(D39)+4), Variablen!$I$3:$AT$3, 0))),L39)))*(IF((YEAR(D39)+4)&lt;YEAR(E39),0,IF((YEAR(D39)+4)&gt;YEAR(E39),1,(12-MONTH(E39)+1)/12))) + (Q39)*(IF((YEAR(D39)+4)&lt;YEAR(E39),0,IF((YEAR(D39)+4)&gt;YEAR(E39),1,(12-MONTH(E39)+1)/12))))-((P39)*(IF((YEAR(D39)+4)&lt;YEAR(E39),0,IF((YEAR(D39)+4)&gt;YEAR(E39),1,(12-MONTH(E39)+1)/12))) + (R39)*(IF((YEAR(D39)+4)&lt;YEAR(E39),0,IF((YEAR(D39)+4)&gt;YEAR(E39),1,(12-MONTH(E39)+1)/12))))-(IF(OR(N39="",N39&lt;=0),0,(O39/N39)*(IF(OR(N39="",N39&lt;=0),0,IF((YEAR(D39)+4)&lt;YEAR(E39),0,IF((YEAR(D39)+4)&gt;=YEAR(E39)+N39,0,IF((YEAR(D39)+4)=YEAR(E39),(12-MONTH(E39)+1)/12,1))))))))&gt;0,(((K39)*(IF(M39="",L39,IFERROR(IF(INDEX(Variablen!$I:$AT, MATCH(M39, Variablen!$A:$A, 0), MATCH((YEAR(D39)+4), Variablen!$I$3:$AT$3, 0))="",L39,INDEX(Variablen!$I:$AT, MATCH(M39, Variablen!$A:$A, 0), MATCH((YEAR(D39)+4), Variablen!$I$3:$AT$3, 0))),L39)))*(IF((YEAR(D39)+4)&lt;YEAR(E39),0,IF((YEAR(D39)+4)&gt;YEAR(E39),1,(12-MONTH(E39)+1)/12))) + (Q39)*(IF((YEAR(D39)+4)&lt;YEAR(E39),0,IF((YEAR(D39)+4)&gt;YEAR(E39),1,(12-MONTH(E39)+1)/12))))-((P39)*(IF((YEAR(D39)+4)&lt;YEAR(E39),0,IF((YEAR(D39)+4)&gt;YEAR(E39),1,(12-MONTH(E39)+1)/12))) + (R39)*(IF((YEAR(D39)+4)&lt;YEAR(E39),0,IF((YEAR(D39)+4)&gt;YEAR(E39),1,(12-MONTH(E39)+1)/12))))-(IF(OR(N39="",N39&lt;=0),0,(O39/N39)*(IF(OR(N39="",N39&lt;=0),0,IF((YEAR(D39)+4)&lt;YEAR(E39),0,IF((YEAR(D39)+4)&gt;=YEAR(E39)+N39,0,IF((YEAR(D39)+4)=YEAR(E39),(12-MONTH(E39)+1)/12,1))))))))*TaxRate,0))-IF(4=0,O39,0))</f>
        <v/>
      </c>
      <c r="X39" s="29">
        <f>IF(A39="","",((K39)*(IF(M39="",L39,IFERROR(IF(INDEX(Variablen!$I:$AT, MATCH(M39, Variablen!$A:$A, 0), MATCH((YEAR(D39)+5), Variablen!$I$3:$AT$3, 0))="",L39,INDEX(Variablen!$I:$AT, MATCH(M39, Variablen!$A:$A, 0), MATCH((YEAR(D39)+5), Variablen!$I$3:$AT$3, 0))),L39)))*(IF((YEAR(D39)+5)&lt;YEAR(E39),0,IF((YEAR(D39)+5)&gt;YEAR(E39),1,(12-MONTH(E39)+1)/12))) + (Q39)*(IF((YEAR(D39)+5)&lt;YEAR(E39),0,IF((YEAR(D39)+5)&gt;YEAR(E39),1,(12-MONTH(E39)+1)/12))))-((P39)*(IF((YEAR(D39)+5)&lt;YEAR(E39),0,IF((YEAR(D39)+5)&gt;YEAR(E39),1,(12-MONTH(E39)+1)/12))) + (R39)*(IF((YEAR(D39)+5)&lt;YEAR(E39),0,IF((YEAR(D39)+5)&gt;YEAR(E39),1,(12-MONTH(E39)+1)/12))))-(IF((((K39)*(IF(M39="",L39,IFERROR(IF(INDEX(Variablen!$I:$AT, MATCH(M39, Variablen!$A:$A, 0), MATCH((YEAR(D39)+5), Variablen!$I$3:$AT$3, 0))="",L39,INDEX(Variablen!$I:$AT, MATCH(M39, Variablen!$A:$A, 0), MATCH((YEAR(D39)+5), Variablen!$I$3:$AT$3, 0))),L39)))*(IF((YEAR(D39)+5)&lt;YEAR(E39),0,IF((YEAR(D39)+5)&gt;YEAR(E39),1,(12-MONTH(E39)+1)/12))) + (Q39)*(IF((YEAR(D39)+5)&lt;YEAR(E39),0,IF((YEAR(D39)+5)&gt;YEAR(E39),1,(12-MONTH(E39)+1)/12))))-((P39)*(IF((YEAR(D39)+5)&lt;YEAR(E39),0,IF((YEAR(D39)+5)&gt;YEAR(E39),1,(12-MONTH(E39)+1)/12))) + (R39)*(IF((YEAR(D39)+5)&lt;YEAR(E39),0,IF((YEAR(D39)+5)&gt;YEAR(E39),1,(12-MONTH(E39)+1)/12))))-(IF(OR(N39="",N39&lt;=0),0,(O39/N39)*(IF(OR(N39="",N39&lt;=0),0,IF((YEAR(D39)+5)&lt;YEAR(E39),0,IF((YEAR(D39)+5)&gt;=YEAR(E39)+N39,0,IF((YEAR(D39)+5)=YEAR(E39),(12-MONTH(E39)+1)/12,1))))))))&gt;0,(((K39)*(IF(M39="",L39,IFERROR(IF(INDEX(Variablen!$I:$AT, MATCH(M39, Variablen!$A:$A, 0), MATCH((YEAR(D39)+5), Variablen!$I$3:$AT$3, 0))="",L39,INDEX(Variablen!$I:$AT, MATCH(M39, Variablen!$A:$A, 0), MATCH((YEAR(D39)+5), Variablen!$I$3:$AT$3, 0))),L39)))*(IF((YEAR(D39)+5)&lt;YEAR(E39),0,IF((YEAR(D39)+5)&gt;YEAR(E39),1,(12-MONTH(E39)+1)/12))) + (Q39)*(IF((YEAR(D39)+5)&lt;YEAR(E39),0,IF((YEAR(D39)+5)&gt;YEAR(E39),1,(12-MONTH(E39)+1)/12))))-((P39)*(IF((YEAR(D39)+5)&lt;YEAR(E39),0,IF((YEAR(D39)+5)&gt;YEAR(E39),1,(12-MONTH(E39)+1)/12))) + (R39)*(IF((YEAR(D39)+5)&lt;YEAR(E39),0,IF((YEAR(D39)+5)&gt;YEAR(E39),1,(12-MONTH(E39)+1)/12))))-(IF(OR(N39="",N39&lt;=0),0,(O39/N39)*(IF(OR(N39="",N39&lt;=0),0,IF((YEAR(D39)+5)&lt;YEAR(E39),0,IF((YEAR(D39)+5)&gt;=YEAR(E39)+N39,0,IF((YEAR(D39)+5)=YEAR(E39),(12-MONTH(E39)+1)/12,1))))))))*TaxRate,0))-IF(5=0,O39,0))</f>
        <v/>
      </c>
      <c r="Y39" s="29">
        <f>IF(A39="","",((K39)*(IF(M39="",L39,IFERROR(IF(INDEX(Variablen!$I:$AT, MATCH(M39, Variablen!$A:$A, 0), MATCH((YEAR(D39)+6), Variablen!$I$3:$AT$3, 0))="",L39,INDEX(Variablen!$I:$AT, MATCH(M39, Variablen!$A:$A, 0), MATCH((YEAR(D39)+6), Variablen!$I$3:$AT$3, 0))),L39)))*(IF((YEAR(D39)+6)&lt;YEAR(E39),0,IF((YEAR(D39)+6)&gt;YEAR(E39),1,(12-MONTH(E39)+1)/12))) + (Q39)*(IF((YEAR(D39)+6)&lt;YEAR(E39),0,IF((YEAR(D39)+6)&gt;YEAR(E39),1,(12-MONTH(E39)+1)/12))))-((P39)*(IF((YEAR(D39)+6)&lt;YEAR(E39),0,IF((YEAR(D39)+6)&gt;YEAR(E39),1,(12-MONTH(E39)+1)/12))) + (R39)*(IF((YEAR(D39)+6)&lt;YEAR(E39),0,IF((YEAR(D39)+6)&gt;YEAR(E39),1,(12-MONTH(E39)+1)/12))))-(IF((((K39)*(IF(M39="",L39,IFERROR(IF(INDEX(Variablen!$I:$AT, MATCH(M39, Variablen!$A:$A, 0), MATCH((YEAR(D39)+6), Variablen!$I$3:$AT$3, 0))="",L39,INDEX(Variablen!$I:$AT, MATCH(M39, Variablen!$A:$A, 0), MATCH((YEAR(D39)+6), Variablen!$I$3:$AT$3, 0))),L39)))*(IF((YEAR(D39)+6)&lt;YEAR(E39),0,IF((YEAR(D39)+6)&gt;YEAR(E39),1,(12-MONTH(E39)+1)/12))) + (Q39)*(IF((YEAR(D39)+6)&lt;YEAR(E39),0,IF((YEAR(D39)+6)&gt;YEAR(E39),1,(12-MONTH(E39)+1)/12))))-((P39)*(IF((YEAR(D39)+6)&lt;YEAR(E39),0,IF((YEAR(D39)+6)&gt;YEAR(E39),1,(12-MONTH(E39)+1)/12))) + (R39)*(IF((YEAR(D39)+6)&lt;YEAR(E39),0,IF((YEAR(D39)+6)&gt;YEAR(E39),1,(12-MONTH(E39)+1)/12))))-(IF(OR(N39="",N39&lt;=0),0,(O39/N39)*(IF(OR(N39="",N39&lt;=0),0,IF((YEAR(D39)+6)&lt;YEAR(E39),0,IF((YEAR(D39)+6)&gt;=YEAR(E39)+N39,0,IF((YEAR(D39)+6)=YEAR(E39),(12-MONTH(E39)+1)/12,1))))))))&gt;0,(((K39)*(IF(M39="",L39,IFERROR(IF(INDEX(Variablen!$I:$AT, MATCH(M39, Variablen!$A:$A, 0), MATCH((YEAR(D39)+6), Variablen!$I$3:$AT$3, 0))="",L39,INDEX(Variablen!$I:$AT, MATCH(M39, Variablen!$A:$A, 0), MATCH((YEAR(D39)+6), Variablen!$I$3:$AT$3, 0))),L39)))*(IF((YEAR(D39)+6)&lt;YEAR(E39),0,IF((YEAR(D39)+6)&gt;YEAR(E39),1,(12-MONTH(E39)+1)/12))) + (Q39)*(IF((YEAR(D39)+6)&lt;YEAR(E39),0,IF((YEAR(D39)+6)&gt;YEAR(E39),1,(12-MONTH(E39)+1)/12))))-((P39)*(IF((YEAR(D39)+6)&lt;YEAR(E39),0,IF((YEAR(D39)+6)&gt;YEAR(E39),1,(12-MONTH(E39)+1)/12))) + (R39)*(IF((YEAR(D39)+6)&lt;YEAR(E39),0,IF((YEAR(D39)+6)&gt;YEAR(E39),1,(12-MONTH(E39)+1)/12))))-(IF(OR(N39="",N39&lt;=0),0,(O39/N39)*(IF(OR(N39="",N39&lt;=0),0,IF((YEAR(D39)+6)&lt;YEAR(E39),0,IF((YEAR(D39)+6)&gt;=YEAR(E39)+N39,0,IF((YEAR(D39)+6)=YEAR(E39),(12-MONTH(E39)+1)/12,1))))))))*TaxRate,0))-IF(6=0,O39,0))</f>
        <v/>
      </c>
      <c r="Z39" s="29">
        <f>IF(A39="","",((K39)*(IF(M39="",L39,IFERROR(IF(INDEX(Variablen!$I:$AT, MATCH(M39, Variablen!$A:$A, 0), MATCH((YEAR(D39)+7), Variablen!$I$3:$AT$3, 0))="",L39,INDEX(Variablen!$I:$AT, MATCH(M39, Variablen!$A:$A, 0), MATCH((YEAR(D39)+7), Variablen!$I$3:$AT$3, 0))),L39)))*(IF((YEAR(D39)+7)&lt;YEAR(E39),0,IF((YEAR(D39)+7)&gt;YEAR(E39),1,(12-MONTH(E39)+1)/12))) + (Q39)*(IF((YEAR(D39)+7)&lt;YEAR(E39),0,IF((YEAR(D39)+7)&gt;YEAR(E39),1,(12-MONTH(E39)+1)/12))))-((P39)*(IF((YEAR(D39)+7)&lt;YEAR(E39),0,IF((YEAR(D39)+7)&gt;YEAR(E39),1,(12-MONTH(E39)+1)/12))) + (R39)*(IF((YEAR(D39)+7)&lt;YEAR(E39),0,IF((YEAR(D39)+7)&gt;YEAR(E39),1,(12-MONTH(E39)+1)/12))))-(IF((((K39)*(IF(M39="",L39,IFERROR(IF(INDEX(Variablen!$I:$AT, MATCH(M39, Variablen!$A:$A, 0), MATCH((YEAR(D39)+7), Variablen!$I$3:$AT$3, 0))="",L39,INDEX(Variablen!$I:$AT, MATCH(M39, Variablen!$A:$A, 0), MATCH((YEAR(D39)+7), Variablen!$I$3:$AT$3, 0))),L39)))*(IF((YEAR(D39)+7)&lt;YEAR(E39),0,IF((YEAR(D39)+7)&gt;YEAR(E39),1,(12-MONTH(E39)+1)/12))) + (Q39)*(IF((YEAR(D39)+7)&lt;YEAR(E39),0,IF((YEAR(D39)+7)&gt;YEAR(E39),1,(12-MONTH(E39)+1)/12))))-((P39)*(IF((YEAR(D39)+7)&lt;YEAR(E39),0,IF((YEAR(D39)+7)&gt;YEAR(E39),1,(12-MONTH(E39)+1)/12))) + (R39)*(IF((YEAR(D39)+7)&lt;YEAR(E39),0,IF((YEAR(D39)+7)&gt;YEAR(E39),1,(12-MONTH(E39)+1)/12))))-(IF(OR(N39="",N39&lt;=0),0,(O39/N39)*(IF(OR(N39="",N39&lt;=0),0,IF((YEAR(D39)+7)&lt;YEAR(E39),0,IF((YEAR(D39)+7)&gt;=YEAR(E39)+N39,0,IF((YEAR(D39)+7)=YEAR(E39),(12-MONTH(E39)+1)/12,1))))))))&gt;0,(((K39)*(IF(M39="",L39,IFERROR(IF(INDEX(Variablen!$I:$AT, MATCH(M39, Variablen!$A:$A, 0), MATCH((YEAR(D39)+7), Variablen!$I$3:$AT$3, 0))="",L39,INDEX(Variablen!$I:$AT, MATCH(M39, Variablen!$A:$A, 0), MATCH((YEAR(D39)+7), Variablen!$I$3:$AT$3, 0))),L39)))*(IF((YEAR(D39)+7)&lt;YEAR(E39),0,IF((YEAR(D39)+7)&gt;YEAR(E39),1,(12-MONTH(E39)+1)/12))) + (Q39)*(IF((YEAR(D39)+7)&lt;YEAR(E39),0,IF((YEAR(D39)+7)&gt;YEAR(E39),1,(12-MONTH(E39)+1)/12))))-((P39)*(IF((YEAR(D39)+7)&lt;YEAR(E39),0,IF((YEAR(D39)+7)&gt;YEAR(E39),1,(12-MONTH(E39)+1)/12))) + (R39)*(IF((YEAR(D39)+7)&lt;YEAR(E39),0,IF((YEAR(D39)+7)&gt;YEAR(E39),1,(12-MONTH(E39)+1)/12))))-(IF(OR(N39="",N39&lt;=0),0,(O39/N39)*(IF(OR(N39="",N39&lt;=0),0,IF((YEAR(D39)+7)&lt;YEAR(E39),0,IF((YEAR(D39)+7)&gt;=YEAR(E39)+N39,0,IF((YEAR(D39)+7)=YEAR(E39),(12-MONTH(E39)+1)/12,1))))))))*TaxRate,0))-IF(7=0,O39,0))</f>
        <v/>
      </c>
      <c r="AA39" s="29">
        <f>IF(A39="","",((K39)*(IF(M39="",L39,IFERROR(IF(INDEX(Variablen!$I:$AT, MATCH(M39, Variablen!$A:$A, 0), MATCH((YEAR(D39)+8), Variablen!$I$3:$AT$3, 0))="",L39,INDEX(Variablen!$I:$AT, MATCH(M39, Variablen!$A:$A, 0), MATCH((YEAR(D39)+8), Variablen!$I$3:$AT$3, 0))),L39)))*(IF((YEAR(D39)+8)&lt;YEAR(E39),0,IF((YEAR(D39)+8)&gt;YEAR(E39),1,(12-MONTH(E39)+1)/12))) + (Q39)*(IF((YEAR(D39)+8)&lt;YEAR(E39),0,IF((YEAR(D39)+8)&gt;YEAR(E39),1,(12-MONTH(E39)+1)/12))))-((P39)*(IF((YEAR(D39)+8)&lt;YEAR(E39),0,IF((YEAR(D39)+8)&gt;YEAR(E39),1,(12-MONTH(E39)+1)/12))) + (R39)*(IF((YEAR(D39)+8)&lt;YEAR(E39),0,IF((YEAR(D39)+8)&gt;YEAR(E39),1,(12-MONTH(E39)+1)/12))))-(IF((((K39)*(IF(M39="",L39,IFERROR(IF(INDEX(Variablen!$I:$AT, MATCH(M39, Variablen!$A:$A, 0), MATCH((YEAR(D39)+8), Variablen!$I$3:$AT$3, 0))="",L39,INDEX(Variablen!$I:$AT, MATCH(M39, Variablen!$A:$A, 0), MATCH((YEAR(D39)+8), Variablen!$I$3:$AT$3, 0))),L39)))*(IF((YEAR(D39)+8)&lt;YEAR(E39),0,IF((YEAR(D39)+8)&gt;YEAR(E39),1,(12-MONTH(E39)+1)/12))) + (Q39)*(IF((YEAR(D39)+8)&lt;YEAR(E39),0,IF((YEAR(D39)+8)&gt;YEAR(E39),1,(12-MONTH(E39)+1)/12))))-((P39)*(IF((YEAR(D39)+8)&lt;YEAR(E39),0,IF((YEAR(D39)+8)&gt;YEAR(E39),1,(12-MONTH(E39)+1)/12))) + (R39)*(IF((YEAR(D39)+8)&lt;YEAR(E39),0,IF((YEAR(D39)+8)&gt;YEAR(E39),1,(12-MONTH(E39)+1)/12))))-(IF(OR(N39="",N39&lt;=0),0,(O39/N39)*(IF(OR(N39="",N39&lt;=0),0,IF((YEAR(D39)+8)&lt;YEAR(E39),0,IF((YEAR(D39)+8)&gt;=YEAR(E39)+N39,0,IF((YEAR(D39)+8)=YEAR(E39),(12-MONTH(E39)+1)/12,1))))))))&gt;0,(((K39)*(IF(M39="",L39,IFERROR(IF(INDEX(Variablen!$I:$AT, MATCH(M39, Variablen!$A:$A, 0), MATCH((YEAR(D39)+8), Variablen!$I$3:$AT$3, 0))="",L39,INDEX(Variablen!$I:$AT, MATCH(M39, Variablen!$A:$A, 0), MATCH((YEAR(D39)+8), Variablen!$I$3:$AT$3, 0))),L39)))*(IF((YEAR(D39)+8)&lt;YEAR(E39),0,IF((YEAR(D39)+8)&gt;YEAR(E39),1,(12-MONTH(E39)+1)/12))) + (Q39)*(IF((YEAR(D39)+8)&lt;YEAR(E39),0,IF((YEAR(D39)+8)&gt;YEAR(E39),1,(12-MONTH(E39)+1)/12))))-((P39)*(IF((YEAR(D39)+8)&lt;YEAR(E39),0,IF((YEAR(D39)+8)&gt;YEAR(E39),1,(12-MONTH(E39)+1)/12))) + (R39)*(IF((YEAR(D39)+8)&lt;YEAR(E39),0,IF((YEAR(D39)+8)&gt;YEAR(E39),1,(12-MONTH(E39)+1)/12))))-(IF(OR(N39="",N39&lt;=0),0,(O39/N39)*(IF(OR(N39="",N39&lt;=0),0,IF((YEAR(D39)+8)&lt;YEAR(E39),0,IF((YEAR(D39)+8)&gt;=YEAR(E39)+N39,0,IF((YEAR(D39)+8)=YEAR(E39),(12-MONTH(E39)+1)/12,1))))))))*TaxRate,0))-IF(8=0,O39,0))</f>
        <v/>
      </c>
      <c r="AB39" s="29">
        <f>IF(A39="","",((K39)*(IF(M39="",L39,IFERROR(IF(INDEX(Variablen!$I:$AT, MATCH(M39, Variablen!$A:$A, 0), MATCH((YEAR(D39)+9), Variablen!$I$3:$AT$3, 0))="",L39,INDEX(Variablen!$I:$AT, MATCH(M39, Variablen!$A:$A, 0), MATCH((YEAR(D39)+9), Variablen!$I$3:$AT$3, 0))),L39)))*(IF((YEAR(D39)+9)&lt;YEAR(E39),0,IF((YEAR(D39)+9)&gt;YEAR(E39),1,(12-MONTH(E39)+1)/12))) + (Q39)*(IF((YEAR(D39)+9)&lt;YEAR(E39),0,IF((YEAR(D39)+9)&gt;YEAR(E39),1,(12-MONTH(E39)+1)/12))))-((P39)*(IF((YEAR(D39)+9)&lt;YEAR(E39),0,IF((YEAR(D39)+9)&gt;YEAR(E39),1,(12-MONTH(E39)+1)/12))) + (R39)*(IF((YEAR(D39)+9)&lt;YEAR(E39),0,IF((YEAR(D39)+9)&gt;YEAR(E39),1,(12-MONTH(E39)+1)/12))))-(IF((((K39)*(IF(M39="",L39,IFERROR(IF(INDEX(Variablen!$I:$AT, MATCH(M39, Variablen!$A:$A, 0), MATCH((YEAR(D39)+9), Variablen!$I$3:$AT$3, 0))="",L39,INDEX(Variablen!$I:$AT, MATCH(M39, Variablen!$A:$A, 0), MATCH((YEAR(D39)+9), Variablen!$I$3:$AT$3, 0))),L39)))*(IF((YEAR(D39)+9)&lt;YEAR(E39),0,IF((YEAR(D39)+9)&gt;YEAR(E39),1,(12-MONTH(E39)+1)/12))) + (Q39)*(IF((YEAR(D39)+9)&lt;YEAR(E39),0,IF((YEAR(D39)+9)&gt;YEAR(E39),1,(12-MONTH(E39)+1)/12))))-((P39)*(IF((YEAR(D39)+9)&lt;YEAR(E39),0,IF((YEAR(D39)+9)&gt;YEAR(E39),1,(12-MONTH(E39)+1)/12))) + (R39)*(IF((YEAR(D39)+9)&lt;YEAR(E39),0,IF((YEAR(D39)+9)&gt;YEAR(E39),1,(12-MONTH(E39)+1)/12))))-(IF(OR(N39="",N39&lt;=0),0,(O39/N39)*(IF(OR(N39="",N39&lt;=0),0,IF((YEAR(D39)+9)&lt;YEAR(E39),0,IF((YEAR(D39)+9)&gt;=YEAR(E39)+N39,0,IF((YEAR(D39)+9)=YEAR(E39),(12-MONTH(E39)+1)/12,1))))))))&gt;0,(((K39)*(IF(M39="",L39,IFERROR(IF(INDEX(Variablen!$I:$AT, MATCH(M39, Variablen!$A:$A, 0), MATCH((YEAR(D39)+9), Variablen!$I$3:$AT$3, 0))="",L39,INDEX(Variablen!$I:$AT, MATCH(M39, Variablen!$A:$A, 0), MATCH((YEAR(D39)+9), Variablen!$I$3:$AT$3, 0))),L39)))*(IF((YEAR(D39)+9)&lt;YEAR(E39),0,IF((YEAR(D39)+9)&gt;YEAR(E39),1,(12-MONTH(E39)+1)/12))) + (Q39)*(IF((YEAR(D39)+9)&lt;YEAR(E39),0,IF((YEAR(D39)+9)&gt;YEAR(E39),1,(12-MONTH(E39)+1)/12))))-((P39)*(IF((YEAR(D39)+9)&lt;YEAR(E39),0,IF((YEAR(D39)+9)&gt;YEAR(E39),1,(12-MONTH(E39)+1)/12))) + (R39)*(IF((YEAR(D39)+9)&lt;YEAR(E39),0,IF((YEAR(D39)+9)&gt;YEAR(E39),1,(12-MONTH(E39)+1)/12))))-(IF(OR(N39="",N39&lt;=0),0,(O39/N39)*(IF(OR(N39="",N39&lt;=0),0,IF((YEAR(D39)+9)&lt;YEAR(E39),0,IF((YEAR(D39)+9)&gt;=YEAR(E39)+N39,0,IF((YEAR(D39)+9)=YEAR(E39),(12-MONTH(E39)+1)/12,1))))))))*TaxRate,0))-IF(9=0,O39,0))</f>
        <v/>
      </c>
      <c r="AC39" s="29">
        <f>IF(A39="","",((K39)*(IF(M39="",L39,IFERROR(IF(INDEX(Variablen!$I:$AT, MATCH(M39, Variablen!$A:$A, 0), MATCH((YEAR(D39)+10), Variablen!$I$3:$AT$3, 0))="",L39,INDEX(Variablen!$I:$AT, MATCH(M39, Variablen!$A:$A, 0), MATCH((YEAR(D39)+10), Variablen!$I$3:$AT$3, 0))),L39)))*(IF((YEAR(D39)+10)&lt;YEAR(E39),0,IF((YEAR(D39)+10)&gt;YEAR(E39),1,(12-MONTH(E39)+1)/12))) + (Q39)*(IF((YEAR(D39)+10)&lt;YEAR(E39),0,IF((YEAR(D39)+10)&gt;YEAR(E39),1,(12-MONTH(E39)+1)/12))))-((P39)*(IF((YEAR(D39)+10)&lt;YEAR(E39),0,IF((YEAR(D39)+10)&gt;YEAR(E39),1,(12-MONTH(E39)+1)/12))) + (R39)*(IF((YEAR(D39)+10)&lt;YEAR(E39),0,IF((YEAR(D39)+10)&gt;YEAR(E39),1,(12-MONTH(E39)+1)/12))))-(IF((((K39)*(IF(M39="",L39,IFERROR(IF(INDEX(Variablen!$I:$AT, MATCH(M39, Variablen!$A:$A, 0), MATCH((YEAR(D39)+10), Variablen!$I$3:$AT$3, 0))="",L39,INDEX(Variablen!$I:$AT, MATCH(M39, Variablen!$A:$A, 0), MATCH((YEAR(D39)+10), Variablen!$I$3:$AT$3, 0))),L39)))*(IF((YEAR(D39)+10)&lt;YEAR(E39),0,IF((YEAR(D39)+10)&gt;YEAR(E39),1,(12-MONTH(E39)+1)/12))) + (Q39)*(IF((YEAR(D39)+10)&lt;YEAR(E39),0,IF((YEAR(D39)+10)&gt;YEAR(E39),1,(12-MONTH(E39)+1)/12))))-((P39)*(IF((YEAR(D39)+10)&lt;YEAR(E39),0,IF((YEAR(D39)+10)&gt;YEAR(E39),1,(12-MONTH(E39)+1)/12))) + (R39)*(IF((YEAR(D39)+10)&lt;YEAR(E39),0,IF((YEAR(D39)+10)&gt;YEAR(E39),1,(12-MONTH(E39)+1)/12))))-(IF(OR(N39="",N39&lt;=0),0,(O39/N39)*(IF(OR(N39="",N39&lt;=0),0,IF((YEAR(D39)+10)&lt;YEAR(E39),0,IF((YEAR(D39)+10)&gt;=YEAR(E39)+N39,0,IF((YEAR(D39)+10)=YEAR(E39),(12-MONTH(E39)+1)/12,1))))))))&gt;0,(((K39)*(IF(M39="",L39,IFERROR(IF(INDEX(Variablen!$I:$AT, MATCH(M39, Variablen!$A:$A, 0), MATCH((YEAR(D39)+10), Variablen!$I$3:$AT$3, 0))="",L39,INDEX(Variablen!$I:$AT, MATCH(M39, Variablen!$A:$A, 0), MATCH((YEAR(D39)+10), Variablen!$I$3:$AT$3, 0))),L39)))*(IF((YEAR(D39)+10)&lt;YEAR(E39),0,IF((YEAR(D39)+10)&gt;YEAR(E39),1,(12-MONTH(E39)+1)/12))) + (Q39)*(IF((YEAR(D39)+10)&lt;YEAR(E39),0,IF((YEAR(D39)+10)&gt;YEAR(E39),1,(12-MONTH(E39)+1)/12))))-((P39)*(IF((YEAR(D39)+10)&lt;YEAR(E39),0,IF((YEAR(D39)+10)&gt;YEAR(E39),1,(12-MONTH(E39)+1)/12))) + (R39)*(IF((YEAR(D39)+10)&lt;YEAR(E39),0,IF((YEAR(D39)+10)&gt;YEAR(E39),1,(12-MONTH(E39)+1)/12))))-(IF(OR(N39="",N39&lt;=0),0,(O39/N39)*(IF(OR(N39="",N39&lt;=0),0,IF((YEAR(D39)+10)&lt;YEAR(E39),0,IF((YEAR(D39)+10)&gt;=YEAR(E39)+N39,0,IF((YEAR(D39)+10)=YEAR(E39),(12-MONTH(E39)+1)/12,1))))))))*TaxRate,0))-IF(10=0,O39,0))</f>
        <v/>
      </c>
      <c r="AD39" s="29">
        <f>IF(A39="","",((K39)*(IF(M39="",L39,IFERROR(IF(INDEX(Variablen!$I:$AT, MATCH(M39, Variablen!$A:$A, 0), MATCH((YEAR(D39)+11), Variablen!$I$3:$AT$3, 0))="",L39,INDEX(Variablen!$I:$AT, MATCH(M39, Variablen!$A:$A, 0), MATCH((YEAR(D39)+11), Variablen!$I$3:$AT$3, 0))),L39)))*(IF((YEAR(D39)+11)&lt;YEAR(E39),0,IF((YEAR(D39)+11)&gt;YEAR(E39),1,(12-MONTH(E39)+1)/12))) + (Q39)*(IF((YEAR(D39)+11)&lt;YEAR(E39),0,IF((YEAR(D39)+11)&gt;YEAR(E39),1,(12-MONTH(E39)+1)/12))))-((P39)*(IF((YEAR(D39)+11)&lt;YEAR(E39),0,IF((YEAR(D39)+11)&gt;YEAR(E39),1,(12-MONTH(E39)+1)/12))) + (R39)*(IF((YEAR(D39)+11)&lt;YEAR(E39),0,IF((YEAR(D39)+11)&gt;YEAR(E39),1,(12-MONTH(E39)+1)/12))))-(IF((((K39)*(IF(M39="",L39,IFERROR(IF(INDEX(Variablen!$I:$AT, MATCH(M39, Variablen!$A:$A, 0), MATCH((YEAR(D39)+11), Variablen!$I$3:$AT$3, 0))="",L39,INDEX(Variablen!$I:$AT, MATCH(M39, Variablen!$A:$A, 0), MATCH((YEAR(D39)+11), Variablen!$I$3:$AT$3, 0))),L39)))*(IF((YEAR(D39)+11)&lt;YEAR(E39),0,IF((YEAR(D39)+11)&gt;YEAR(E39),1,(12-MONTH(E39)+1)/12))) + (Q39)*(IF((YEAR(D39)+11)&lt;YEAR(E39),0,IF((YEAR(D39)+11)&gt;YEAR(E39),1,(12-MONTH(E39)+1)/12))))-((P39)*(IF((YEAR(D39)+11)&lt;YEAR(E39),0,IF((YEAR(D39)+11)&gt;YEAR(E39),1,(12-MONTH(E39)+1)/12))) + (R39)*(IF((YEAR(D39)+11)&lt;YEAR(E39),0,IF((YEAR(D39)+11)&gt;YEAR(E39),1,(12-MONTH(E39)+1)/12))))-(IF(OR(N39="",N39&lt;=0),0,(O39/N39)*(IF(OR(N39="",N39&lt;=0),0,IF((YEAR(D39)+11)&lt;YEAR(E39),0,IF((YEAR(D39)+11)&gt;=YEAR(E39)+N39,0,IF((YEAR(D39)+11)=YEAR(E39),(12-MONTH(E39)+1)/12,1))))))))&gt;0,(((K39)*(IF(M39="",L39,IFERROR(IF(INDEX(Variablen!$I:$AT, MATCH(M39, Variablen!$A:$A, 0), MATCH((YEAR(D39)+11), Variablen!$I$3:$AT$3, 0))="",L39,INDEX(Variablen!$I:$AT, MATCH(M39, Variablen!$A:$A, 0), MATCH((YEAR(D39)+11), Variablen!$I$3:$AT$3, 0))),L39)))*(IF((YEAR(D39)+11)&lt;YEAR(E39),0,IF((YEAR(D39)+11)&gt;YEAR(E39),1,(12-MONTH(E39)+1)/12))) + (Q39)*(IF((YEAR(D39)+11)&lt;YEAR(E39),0,IF((YEAR(D39)+11)&gt;YEAR(E39),1,(12-MONTH(E39)+1)/12))))-((P39)*(IF((YEAR(D39)+11)&lt;YEAR(E39),0,IF((YEAR(D39)+11)&gt;YEAR(E39),1,(12-MONTH(E39)+1)/12))) + (R39)*(IF((YEAR(D39)+11)&lt;YEAR(E39),0,IF((YEAR(D39)+11)&gt;YEAR(E39),1,(12-MONTH(E39)+1)/12))))-(IF(OR(N39="",N39&lt;=0),0,(O39/N39)*(IF(OR(N39="",N39&lt;=0),0,IF((YEAR(D39)+11)&lt;YEAR(E39),0,IF((YEAR(D39)+11)&gt;=YEAR(E39)+N39,0,IF((YEAR(D39)+11)=YEAR(E39),(12-MONTH(E39)+1)/12,1))))))))*TaxRate,0))-IF(11=0,O39,0))</f>
        <v/>
      </c>
      <c r="AE39" s="29">
        <f>IF(A39="","",((K39)*(IF(M39="",L39,IFERROR(IF(INDEX(Variablen!$I:$AT, MATCH(M39, Variablen!$A:$A, 0), MATCH((YEAR(D39)+12), Variablen!$I$3:$AT$3, 0))="",L39,INDEX(Variablen!$I:$AT, MATCH(M39, Variablen!$A:$A, 0), MATCH((YEAR(D39)+12), Variablen!$I$3:$AT$3, 0))),L39)))*(IF((YEAR(D39)+12)&lt;YEAR(E39),0,IF((YEAR(D39)+12)&gt;YEAR(E39),1,(12-MONTH(E39)+1)/12))) + (Q39)*(IF((YEAR(D39)+12)&lt;YEAR(E39),0,IF((YEAR(D39)+12)&gt;YEAR(E39),1,(12-MONTH(E39)+1)/12))))-((P39)*(IF((YEAR(D39)+12)&lt;YEAR(E39),0,IF((YEAR(D39)+12)&gt;YEAR(E39),1,(12-MONTH(E39)+1)/12))) + (R39)*(IF((YEAR(D39)+12)&lt;YEAR(E39),0,IF((YEAR(D39)+12)&gt;YEAR(E39),1,(12-MONTH(E39)+1)/12))))-(IF((((K39)*(IF(M39="",L39,IFERROR(IF(INDEX(Variablen!$I:$AT, MATCH(M39, Variablen!$A:$A, 0), MATCH((YEAR(D39)+12), Variablen!$I$3:$AT$3, 0))="",L39,INDEX(Variablen!$I:$AT, MATCH(M39, Variablen!$A:$A, 0), MATCH((YEAR(D39)+12), Variablen!$I$3:$AT$3, 0))),L39)))*(IF((YEAR(D39)+12)&lt;YEAR(E39),0,IF((YEAR(D39)+12)&gt;YEAR(E39),1,(12-MONTH(E39)+1)/12))) + (Q39)*(IF((YEAR(D39)+12)&lt;YEAR(E39),0,IF((YEAR(D39)+12)&gt;YEAR(E39),1,(12-MONTH(E39)+1)/12))))-((P39)*(IF((YEAR(D39)+12)&lt;YEAR(E39),0,IF((YEAR(D39)+12)&gt;YEAR(E39),1,(12-MONTH(E39)+1)/12))) + (R39)*(IF((YEAR(D39)+12)&lt;YEAR(E39),0,IF((YEAR(D39)+12)&gt;YEAR(E39),1,(12-MONTH(E39)+1)/12))))-(IF(OR(N39="",N39&lt;=0),0,(O39/N39)*(IF(OR(N39="",N39&lt;=0),0,IF((YEAR(D39)+12)&lt;YEAR(E39),0,IF((YEAR(D39)+12)&gt;=YEAR(E39)+N39,0,IF((YEAR(D39)+12)=YEAR(E39),(12-MONTH(E39)+1)/12,1))))))))&gt;0,(((K39)*(IF(M39="",L39,IFERROR(IF(INDEX(Variablen!$I:$AT, MATCH(M39, Variablen!$A:$A, 0), MATCH((YEAR(D39)+12), Variablen!$I$3:$AT$3, 0))="",L39,INDEX(Variablen!$I:$AT, MATCH(M39, Variablen!$A:$A, 0), MATCH((YEAR(D39)+12), Variablen!$I$3:$AT$3, 0))),L39)))*(IF((YEAR(D39)+12)&lt;YEAR(E39),0,IF((YEAR(D39)+12)&gt;YEAR(E39),1,(12-MONTH(E39)+1)/12))) + (Q39)*(IF((YEAR(D39)+12)&lt;YEAR(E39),0,IF((YEAR(D39)+12)&gt;YEAR(E39),1,(12-MONTH(E39)+1)/12))))-((P39)*(IF((YEAR(D39)+12)&lt;YEAR(E39),0,IF((YEAR(D39)+12)&gt;YEAR(E39),1,(12-MONTH(E39)+1)/12))) + (R39)*(IF((YEAR(D39)+12)&lt;YEAR(E39),0,IF((YEAR(D39)+12)&gt;YEAR(E39),1,(12-MONTH(E39)+1)/12))))-(IF(OR(N39="",N39&lt;=0),0,(O39/N39)*(IF(OR(N39="",N39&lt;=0),0,IF((YEAR(D39)+12)&lt;YEAR(E39),0,IF((YEAR(D39)+12)&gt;=YEAR(E39)+N39,0,IF((YEAR(D39)+12)=YEAR(E39),(12-MONTH(E39)+1)/12,1))))))))*TaxRate,0))-IF(12=0,O39,0))</f>
        <v/>
      </c>
      <c r="AF39" s="29">
        <f>IF(A39="","",((K39)*(IF(M39="",L39,IFERROR(IF(INDEX(Variablen!$I:$AT, MATCH(M39, Variablen!$A:$A, 0), MATCH((YEAR(D39)+13), Variablen!$I$3:$AT$3, 0))="",L39,INDEX(Variablen!$I:$AT, MATCH(M39, Variablen!$A:$A, 0), MATCH((YEAR(D39)+13), Variablen!$I$3:$AT$3, 0))),L39)))*(IF((YEAR(D39)+13)&lt;YEAR(E39),0,IF((YEAR(D39)+13)&gt;YEAR(E39),1,(12-MONTH(E39)+1)/12))) + (Q39)*(IF((YEAR(D39)+13)&lt;YEAR(E39),0,IF((YEAR(D39)+13)&gt;YEAR(E39),1,(12-MONTH(E39)+1)/12))))-((P39)*(IF((YEAR(D39)+13)&lt;YEAR(E39),0,IF((YEAR(D39)+13)&gt;YEAR(E39),1,(12-MONTH(E39)+1)/12))) + (R39)*(IF((YEAR(D39)+13)&lt;YEAR(E39),0,IF((YEAR(D39)+13)&gt;YEAR(E39),1,(12-MONTH(E39)+1)/12))))-(IF((((K39)*(IF(M39="",L39,IFERROR(IF(INDEX(Variablen!$I:$AT, MATCH(M39, Variablen!$A:$A, 0), MATCH((YEAR(D39)+13), Variablen!$I$3:$AT$3, 0))="",L39,INDEX(Variablen!$I:$AT, MATCH(M39, Variablen!$A:$A, 0), MATCH((YEAR(D39)+13), Variablen!$I$3:$AT$3, 0))),L39)))*(IF((YEAR(D39)+13)&lt;YEAR(E39),0,IF((YEAR(D39)+13)&gt;YEAR(E39),1,(12-MONTH(E39)+1)/12))) + (Q39)*(IF((YEAR(D39)+13)&lt;YEAR(E39),0,IF((YEAR(D39)+13)&gt;YEAR(E39),1,(12-MONTH(E39)+1)/12))))-((P39)*(IF((YEAR(D39)+13)&lt;YEAR(E39),0,IF((YEAR(D39)+13)&gt;YEAR(E39),1,(12-MONTH(E39)+1)/12))) + (R39)*(IF((YEAR(D39)+13)&lt;YEAR(E39),0,IF((YEAR(D39)+13)&gt;YEAR(E39),1,(12-MONTH(E39)+1)/12))))-(IF(OR(N39="",N39&lt;=0),0,(O39/N39)*(IF(OR(N39="",N39&lt;=0),0,IF((YEAR(D39)+13)&lt;YEAR(E39),0,IF((YEAR(D39)+13)&gt;=YEAR(E39)+N39,0,IF((YEAR(D39)+13)=YEAR(E39),(12-MONTH(E39)+1)/12,1))))))))&gt;0,(((K39)*(IF(M39="",L39,IFERROR(IF(INDEX(Variablen!$I:$AT, MATCH(M39, Variablen!$A:$A, 0), MATCH((YEAR(D39)+13), Variablen!$I$3:$AT$3, 0))="",L39,INDEX(Variablen!$I:$AT, MATCH(M39, Variablen!$A:$A, 0), MATCH((YEAR(D39)+13), Variablen!$I$3:$AT$3, 0))),L39)))*(IF((YEAR(D39)+13)&lt;YEAR(E39),0,IF((YEAR(D39)+13)&gt;YEAR(E39),1,(12-MONTH(E39)+1)/12))) + (Q39)*(IF((YEAR(D39)+13)&lt;YEAR(E39),0,IF((YEAR(D39)+13)&gt;YEAR(E39),1,(12-MONTH(E39)+1)/12))))-((P39)*(IF((YEAR(D39)+13)&lt;YEAR(E39),0,IF((YEAR(D39)+13)&gt;YEAR(E39),1,(12-MONTH(E39)+1)/12))) + (R39)*(IF((YEAR(D39)+13)&lt;YEAR(E39),0,IF((YEAR(D39)+13)&gt;YEAR(E39),1,(12-MONTH(E39)+1)/12))))-(IF(OR(N39="",N39&lt;=0),0,(O39/N39)*(IF(OR(N39="",N39&lt;=0),0,IF((YEAR(D39)+13)&lt;YEAR(E39),0,IF((YEAR(D39)+13)&gt;=YEAR(E39)+N39,0,IF((YEAR(D39)+13)=YEAR(E39),(12-MONTH(E39)+1)/12,1))))))))*TaxRate,0))-IF(13=0,O39,0))</f>
        <v/>
      </c>
      <c r="AG39" s="29">
        <f>IF(A39="","",((K39)*(IF(M39="",L39,IFERROR(IF(INDEX(Variablen!$I:$AT, MATCH(M39, Variablen!$A:$A, 0), MATCH((YEAR(D39)+14), Variablen!$I$3:$AT$3, 0))="",L39,INDEX(Variablen!$I:$AT, MATCH(M39, Variablen!$A:$A, 0), MATCH((YEAR(D39)+14), Variablen!$I$3:$AT$3, 0))),L39)))*(IF((YEAR(D39)+14)&lt;YEAR(E39),0,IF((YEAR(D39)+14)&gt;YEAR(E39),1,(12-MONTH(E39)+1)/12))) + (Q39)*(IF((YEAR(D39)+14)&lt;YEAR(E39),0,IF((YEAR(D39)+14)&gt;YEAR(E39),1,(12-MONTH(E39)+1)/12))))-((P39)*(IF((YEAR(D39)+14)&lt;YEAR(E39),0,IF((YEAR(D39)+14)&gt;YEAR(E39),1,(12-MONTH(E39)+1)/12))) + (R39)*(IF((YEAR(D39)+14)&lt;YEAR(E39),0,IF((YEAR(D39)+14)&gt;YEAR(E39),1,(12-MONTH(E39)+1)/12))))-(IF((((K39)*(IF(M39="",L39,IFERROR(IF(INDEX(Variablen!$I:$AT, MATCH(M39, Variablen!$A:$A, 0), MATCH((YEAR(D39)+14), Variablen!$I$3:$AT$3, 0))="",L39,INDEX(Variablen!$I:$AT, MATCH(M39, Variablen!$A:$A, 0), MATCH((YEAR(D39)+14), Variablen!$I$3:$AT$3, 0))),L39)))*(IF((YEAR(D39)+14)&lt;YEAR(E39),0,IF((YEAR(D39)+14)&gt;YEAR(E39),1,(12-MONTH(E39)+1)/12))) + (Q39)*(IF((YEAR(D39)+14)&lt;YEAR(E39),0,IF((YEAR(D39)+14)&gt;YEAR(E39),1,(12-MONTH(E39)+1)/12))))-((P39)*(IF((YEAR(D39)+14)&lt;YEAR(E39),0,IF((YEAR(D39)+14)&gt;YEAR(E39),1,(12-MONTH(E39)+1)/12))) + (R39)*(IF((YEAR(D39)+14)&lt;YEAR(E39),0,IF((YEAR(D39)+14)&gt;YEAR(E39),1,(12-MONTH(E39)+1)/12))))-(IF(OR(N39="",N39&lt;=0),0,(O39/N39)*(IF(OR(N39="",N39&lt;=0),0,IF((YEAR(D39)+14)&lt;YEAR(E39),0,IF((YEAR(D39)+14)&gt;=YEAR(E39)+N39,0,IF((YEAR(D39)+14)=YEAR(E39),(12-MONTH(E39)+1)/12,1))))))))&gt;0,(((K39)*(IF(M39="",L39,IFERROR(IF(INDEX(Variablen!$I:$AT, MATCH(M39, Variablen!$A:$A, 0), MATCH((YEAR(D39)+14), Variablen!$I$3:$AT$3, 0))="",L39,INDEX(Variablen!$I:$AT, MATCH(M39, Variablen!$A:$A, 0), MATCH((YEAR(D39)+14), Variablen!$I$3:$AT$3, 0))),L39)))*(IF((YEAR(D39)+14)&lt;YEAR(E39),0,IF((YEAR(D39)+14)&gt;YEAR(E39),1,(12-MONTH(E39)+1)/12))) + (Q39)*(IF((YEAR(D39)+14)&lt;YEAR(E39),0,IF((YEAR(D39)+14)&gt;YEAR(E39),1,(12-MONTH(E39)+1)/12))))-((P39)*(IF((YEAR(D39)+14)&lt;YEAR(E39),0,IF((YEAR(D39)+14)&gt;YEAR(E39),1,(12-MONTH(E39)+1)/12))) + (R39)*(IF((YEAR(D39)+14)&lt;YEAR(E39),0,IF((YEAR(D39)+14)&gt;YEAR(E39),1,(12-MONTH(E39)+1)/12))))-(IF(OR(N39="",N39&lt;=0),0,(O39/N39)*(IF(OR(N39="",N39&lt;=0),0,IF((YEAR(D39)+14)&lt;YEAR(E39),0,IF((YEAR(D39)+14)&gt;=YEAR(E39)+N39,0,IF((YEAR(D39)+14)=YEAR(E39),(12-MONTH(E39)+1)/12,1))))))))*TaxRate,0))-IF(14=0,O39,0))</f>
        <v/>
      </c>
      <c r="AH39" s="29">
        <f>IF(A39="","",((K39)*(IF(M39="",L39,IFERROR(IF(INDEX(Variablen!$I:$AT, MATCH(M39, Variablen!$A:$A, 0), MATCH((YEAR(D39)+15), Variablen!$I$3:$AT$3, 0))="",L39,INDEX(Variablen!$I:$AT, MATCH(M39, Variablen!$A:$A, 0), MATCH((YEAR(D39)+15), Variablen!$I$3:$AT$3, 0))),L39)))*(IF((YEAR(D39)+15)&lt;YEAR(E39),0,IF((YEAR(D39)+15)&gt;YEAR(E39),1,(12-MONTH(E39)+1)/12))) + (Q39)*(IF((YEAR(D39)+15)&lt;YEAR(E39),0,IF((YEAR(D39)+15)&gt;YEAR(E39),1,(12-MONTH(E39)+1)/12))))-((P39)*(IF((YEAR(D39)+15)&lt;YEAR(E39),0,IF((YEAR(D39)+15)&gt;YEAR(E39),1,(12-MONTH(E39)+1)/12))) + (R39)*(IF((YEAR(D39)+15)&lt;YEAR(E39),0,IF((YEAR(D39)+15)&gt;YEAR(E39),1,(12-MONTH(E39)+1)/12))))-(IF((((K39)*(IF(M39="",L39,IFERROR(IF(INDEX(Variablen!$I:$AT, MATCH(M39, Variablen!$A:$A, 0), MATCH((YEAR(D39)+15), Variablen!$I$3:$AT$3, 0))="",L39,INDEX(Variablen!$I:$AT, MATCH(M39, Variablen!$A:$A, 0), MATCH((YEAR(D39)+15), Variablen!$I$3:$AT$3, 0))),L39)))*(IF((YEAR(D39)+15)&lt;YEAR(E39),0,IF((YEAR(D39)+15)&gt;YEAR(E39),1,(12-MONTH(E39)+1)/12))) + (Q39)*(IF((YEAR(D39)+15)&lt;YEAR(E39),0,IF((YEAR(D39)+15)&gt;YEAR(E39),1,(12-MONTH(E39)+1)/12))))-((P39)*(IF((YEAR(D39)+15)&lt;YEAR(E39),0,IF((YEAR(D39)+15)&gt;YEAR(E39),1,(12-MONTH(E39)+1)/12))) + (R39)*(IF((YEAR(D39)+15)&lt;YEAR(E39),0,IF((YEAR(D39)+15)&gt;YEAR(E39),1,(12-MONTH(E39)+1)/12))))-(IF(OR(N39="",N39&lt;=0),0,(O39/N39)*(IF(OR(N39="",N39&lt;=0),0,IF((YEAR(D39)+15)&lt;YEAR(E39),0,IF((YEAR(D39)+15)&gt;=YEAR(E39)+N39,0,IF((YEAR(D39)+15)=YEAR(E39),(12-MONTH(E39)+1)/12,1))))))))&gt;0,(((K39)*(IF(M39="",L39,IFERROR(IF(INDEX(Variablen!$I:$AT, MATCH(M39, Variablen!$A:$A, 0), MATCH((YEAR(D39)+15), Variablen!$I$3:$AT$3, 0))="",L39,INDEX(Variablen!$I:$AT, MATCH(M39, Variablen!$A:$A, 0), MATCH((YEAR(D39)+15), Variablen!$I$3:$AT$3, 0))),L39)))*(IF((YEAR(D39)+15)&lt;YEAR(E39),0,IF((YEAR(D39)+15)&gt;YEAR(E39),1,(12-MONTH(E39)+1)/12))) + (Q39)*(IF((YEAR(D39)+15)&lt;YEAR(E39),0,IF((YEAR(D39)+15)&gt;YEAR(E39),1,(12-MONTH(E39)+1)/12))))-((P39)*(IF((YEAR(D39)+15)&lt;YEAR(E39),0,IF((YEAR(D39)+15)&gt;YEAR(E39),1,(12-MONTH(E39)+1)/12))) + (R39)*(IF((YEAR(D39)+15)&lt;YEAR(E39),0,IF((YEAR(D39)+15)&gt;YEAR(E39),1,(12-MONTH(E39)+1)/12))))-(IF(OR(N39="",N39&lt;=0),0,(O39/N39)*(IF(OR(N39="",N39&lt;=0),0,IF((YEAR(D39)+15)&lt;YEAR(E39),0,IF((YEAR(D39)+15)&gt;=YEAR(E39)+N39,0,IF((YEAR(D39)+15)=YEAR(E39),(12-MONTH(E39)+1)/12,1))))))))*TaxRate,0))-IF(15=0,O39,0))</f>
        <v/>
      </c>
      <c r="AI39" s="29">
        <f>IF(A39="","",((K39)*(IF(M39="",L39,IFERROR(IF(INDEX(Variablen!$I:$AT, MATCH(M39, Variablen!$A:$A, 0), MATCH((YEAR(D39)+16), Variablen!$I$3:$AT$3, 0))="",L39,INDEX(Variablen!$I:$AT, MATCH(M39, Variablen!$A:$A, 0), MATCH((YEAR(D39)+16), Variablen!$I$3:$AT$3, 0))),L39)))*(IF((YEAR(D39)+16)&lt;YEAR(E39),0,IF((YEAR(D39)+16)&gt;YEAR(E39),1,(12-MONTH(E39)+1)/12))) + (Q39)*(IF((YEAR(D39)+16)&lt;YEAR(E39),0,IF((YEAR(D39)+16)&gt;YEAR(E39),1,(12-MONTH(E39)+1)/12))))-((P39)*(IF((YEAR(D39)+16)&lt;YEAR(E39),0,IF((YEAR(D39)+16)&gt;YEAR(E39),1,(12-MONTH(E39)+1)/12))) + (R39)*(IF((YEAR(D39)+16)&lt;YEAR(E39),0,IF((YEAR(D39)+16)&gt;YEAR(E39),1,(12-MONTH(E39)+1)/12))))-(IF((((K39)*(IF(M39="",L39,IFERROR(IF(INDEX(Variablen!$I:$AT, MATCH(M39, Variablen!$A:$A, 0), MATCH((YEAR(D39)+16), Variablen!$I$3:$AT$3, 0))="",L39,INDEX(Variablen!$I:$AT, MATCH(M39, Variablen!$A:$A, 0), MATCH((YEAR(D39)+16), Variablen!$I$3:$AT$3, 0))),L39)))*(IF((YEAR(D39)+16)&lt;YEAR(E39),0,IF((YEAR(D39)+16)&gt;YEAR(E39),1,(12-MONTH(E39)+1)/12))) + (Q39)*(IF((YEAR(D39)+16)&lt;YEAR(E39),0,IF((YEAR(D39)+16)&gt;YEAR(E39),1,(12-MONTH(E39)+1)/12))))-((P39)*(IF((YEAR(D39)+16)&lt;YEAR(E39),0,IF((YEAR(D39)+16)&gt;YEAR(E39),1,(12-MONTH(E39)+1)/12))) + (R39)*(IF((YEAR(D39)+16)&lt;YEAR(E39),0,IF((YEAR(D39)+16)&gt;YEAR(E39),1,(12-MONTH(E39)+1)/12))))-(IF(OR(N39="",N39&lt;=0),0,(O39/N39)*(IF(OR(N39="",N39&lt;=0),0,IF((YEAR(D39)+16)&lt;YEAR(E39),0,IF((YEAR(D39)+16)&gt;=YEAR(E39)+N39,0,IF((YEAR(D39)+16)=YEAR(E39),(12-MONTH(E39)+1)/12,1))))))))&gt;0,(((K39)*(IF(M39="",L39,IFERROR(IF(INDEX(Variablen!$I:$AT, MATCH(M39, Variablen!$A:$A, 0), MATCH((YEAR(D39)+16), Variablen!$I$3:$AT$3, 0))="",L39,INDEX(Variablen!$I:$AT, MATCH(M39, Variablen!$A:$A, 0), MATCH((YEAR(D39)+16), Variablen!$I$3:$AT$3, 0))),L39)))*(IF((YEAR(D39)+16)&lt;YEAR(E39),0,IF((YEAR(D39)+16)&gt;YEAR(E39),1,(12-MONTH(E39)+1)/12))) + (Q39)*(IF((YEAR(D39)+16)&lt;YEAR(E39),0,IF((YEAR(D39)+16)&gt;YEAR(E39),1,(12-MONTH(E39)+1)/12))))-((P39)*(IF((YEAR(D39)+16)&lt;YEAR(E39),0,IF((YEAR(D39)+16)&gt;YEAR(E39),1,(12-MONTH(E39)+1)/12))) + (R39)*(IF((YEAR(D39)+16)&lt;YEAR(E39),0,IF((YEAR(D39)+16)&gt;YEAR(E39),1,(12-MONTH(E39)+1)/12))))-(IF(OR(N39="",N39&lt;=0),0,(O39/N39)*(IF(OR(N39="",N39&lt;=0),0,IF((YEAR(D39)+16)&lt;YEAR(E39),0,IF((YEAR(D39)+16)&gt;=YEAR(E39)+N39,0,IF((YEAR(D39)+16)=YEAR(E39),(12-MONTH(E39)+1)/12,1))))))))*TaxRate,0))-IF(16=0,O39,0))</f>
        <v/>
      </c>
      <c r="AJ39" s="29">
        <f>IF(A39="","",((K39)*(IF(M39="",L39,IFERROR(IF(INDEX(Variablen!$I:$AT, MATCH(M39, Variablen!$A:$A, 0), MATCH((YEAR(D39)+17), Variablen!$I$3:$AT$3, 0))="",L39,INDEX(Variablen!$I:$AT, MATCH(M39, Variablen!$A:$A, 0), MATCH((YEAR(D39)+17), Variablen!$I$3:$AT$3, 0))),L39)))*(IF((YEAR(D39)+17)&lt;YEAR(E39),0,IF((YEAR(D39)+17)&gt;YEAR(E39),1,(12-MONTH(E39)+1)/12))) + (Q39)*(IF((YEAR(D39)+17)&lt;YEAR(E39),0,IF((YEAR(D39)+17)&gt;YEAR(E39),1,(12-MONTH(E39)+1)/12))))-((P39)*(IF((YEAR(D39)+17)&lt;YEAR(E39),0,IF((YEAR(D39)+17)&gt;YEAR(E39),1,(12-MONTH(E39)+1)/12))) + (R39)*(IF((YEAR(D39)+17)&lt;YEAR(E39),0,IF((YEAR(D39)+17)&gt;YEAR(E39),1,(12-MONTH(E39)+1)/12))))-(IF((((K39)*(IF(M39="",L39,IFERROR(IF(INDEX(Variablen!$I:$AT, MATCH(M39, Variablen!$A:$A, 0), MATCH((YEAR(D39)+17), Variablen!$I$3:$AT$3, 0))="",L39,INDEX(Variablen!$I:$AT, MATCH(M39, Variablen!$A:$A, 0), MATCH((YEAR(D39)+17), Variablen!$I$3:$AT$3, 0))),L39)))*(IF((YEAR(D39)+17)&lt;YEAR(E39),0,IF((YEAR(D39)+17)&gt;YEAR(E39),1,(12-MONTH(E39)+1)/12))) + (Q39)*(IF((YEAR(D39)+17)&lt;YEAR(E39),0,IF((YEAR(D39)+17)&gt;YEAR(E39),1,(12-MONTH(E39)+1)/12))))-((P39)*(IF((YEAR(D39)+17)&lt;YEAR(E39),0,IF((YEAR(D39)+17)&gt;YEAR(E39),1,(12-MONTH(E39)+1)/12))) + (R39)*(IF((YEAR(D39)+17)&lt;YEAR(E39),0,IF((YEAR(D39)+17)&gt;YEAR(E39),1,(12-MONTH(E39)+1)/12))))-(IF(OR(N39="",N39&lt;=0),0,(O39/N39)*(IF(OR(N39="",N39&lt;=0),0,IF((YEAR(D39)+17)&lt;YEAR(E39),0,IF((YEAR(D39)+17)&gt;=YEAR(E39)+N39,0,IF((YEAR(D39)+17)=YEAR(E39),(12-MONTH(E39)+1)/12,1))))))))&gt;0,(((K39)*(IF(M39="",L39,IFERROR(IF(INDEX(Variablen!$I:$AT, MATCH(M39, Variablen!$A:$A, 0), MATCH((YEAR(D39)+17), Variablen!$I$3:$AT$3, 0))="",L39,INDEX(Variablen!$I:$AT, MATCH(M39, Variablen!$A:$A, 0), MATCH((YEAR(D39)+17), Variablen!$I$3:$AT$3, 0))),L39)))*(IF((YEAR(D39)+17)&lt;YEAR(E39),0,IF((YEAR(D39)+17)&gt;YEAR(E39),1,(12-MONTH(E39)+1)/12))) + (Q39)*(IF((YEAR(D39)+17)&lt;YEAR(E39),0,IF((YEAR(D39)+17)&gt;YEAR(E39),1,(12-MONTH(E39)+1)/12))))-((P39)*(IF((YEAR(D39)+17)&lt;YEAR(E39),0,IF((YEAR(D39)+17)&gt;YEAR(E39),1,(12-MONTH(E39)+1)/12))) + (R39)*(IF((YEAR(D39)+17)&lt;YEAR(E39),0,IF((YEAR(D39)+17)&gt;YEAR(E39),1,(12-MONTH(E39)+1)/12))))-(IF(OR(N39="",N39&lt;=0),0,(O39/N39)*(IF(OR(N39="",N39&lt;=0),0,IF((YEAR(D39)+17)&lt;YEAR(E39),0,IF((YEAR(D39)+17)&gt;=YEAR(E39)+N39,0,IF((YEAR(D39)+17)=YEAR(E39),(12-MONTH(E39)+1)/12,1))))))))*TaxRate,0))-IF(17=0,O39,0))</f>
        <v/>
      </c>
      <c r="AK39" s="29">
        <f>IF(A39="","",((K39)*(IF(M39="",L39,IFERROR(IF(INDEX(Variablen!$I:$AT, MATCH(M39, Variablen!$A:$A, 0), MATCH((YEAR(D39)+18), Variablen!$I$3:$AT$3, 0))="",L39,INDEX(Variablen!$I:$AT, MATCH(M39, Variablen!$A:$A, 0), MATCH((YEAR(D39)+18), Variablen!$I$3:$AT$3, 0))),L39)))*(IF((YEAR(D39)+18)&lt;YEAR(E39),0,IF((YEAR(D39)+18)&gt;YEAR(E39),1,(12-MONTH(E39)+1)/12))) + (Q39)*(IF((YEAR(D39)+18)&lt;YEAR(E39),0,IF((YEAR(D39)+18)&gt;YEAR(E39),1,(12-MONTH(E39)+1)/12))))-((P39)*(IF((YEAR(D39)+18)&lt;YEAR(E39),0,IF((YEAR(D39)+18)&gt;YEAR(E39),1,(12-MONTH(E39)+1)/12))) + (R39)*(IF((YEAR(D39)+18)&lt;YEAR(E39),0,IF((YEAR(D39)+18)&gt;YEAR(E39),1,(12-MONTH(E39)+1)/12))))-(IF((((K39)*(IF(M39="",L39,IFERROR(IF(INDEX(Variablen!$I:$AT, MATCH(M39, Variablen!$A:$A, 0), MATCH((YEAR(D39)+18), Variablen!$I$3:$AT$3, 0))="",L39,INDEX(Variablen!$I:$AT, MATCH(M39, Variablen!$A:$A, 0), MATCH((YEAR(D39)+18), Variablen!$I$3:$AT$3, 0))),L39)))*(IF((YEAR(D39)+18)&lt;YEAR(E39),0,IF((YEAR(D39)+18)&gt;YEAR(E39),1,(12-MONTH(E39)+1)/12))) + (Q39)*(IF((YEAR(D39)+18)&lt;YEAR(E39),0,IF((YEAR(D39)+18)&gt;YEAR(E39),1,(12-MONTH(E39)+1)/12))))-((P39)*(IF((YEAR(D39)+18)&lt;YEAR(E39),0,IF((YEAR(D39)+18)&gt;YEAR(E39),1,(12-MONTH(E39)+1)/12))) + (R39)*(IF((YEAR(D39)+18)&lt;YEAR(E39),0,IF((YEAR(D39)+18)&gt;YEAR(E39),1,(12-MONTH(E39)+1)/12))))-(IF(OR(N39="",N39&lt;=0),0,(O39/N39)*(IF(OR(N39="",N39&lt;=0),0,IF((YEAR(D39)+18)&lt;YEAR(E39),0,IF((YEAR(D39)+18)&gt;=YEAR(E39)+N39,0,IF((YEAR(D39)+18)=YEAR(E39),(12-MONTH(E39)+1)/12,1))))))))&gt;0,(((K39)*(IF(M39="",L39,IFERROR(IF(INDEX(Variablen!$I:$AT, MATCH(M39, Variablen!$A:$A, 0), MATCH((YEAR(D39)+18), Variablen!$I$3:$AT$3, 0))="",L39,INDEX(Variablen!$I:$AT, MATCH(M39, Variablen!$A:$A, 0), MATCH((YEAR(D39)+18), Variablen!$I$3:$AT$3, 0))),L39)))*(IF((YEAR(D39)+18)&lt;YEAR(E39),0,IF((YEAR(D39)+18)&gt;YEAR(E39),1,(12-MONTH(E39)+1)/12))) + (Q39)*(IF((YEAR(D39)+18)&lt;YEAR(E39),0,IF((YEAR(D39)+18)&gt;YEAR(E39),1,(12-MONTH(E39)+1)/12))))-((P39)*(IF((YEAR(D39)+18)&lt;YEAR(E39),0,IF((YEAR(D39)+18)&gt;YEAR(E39),1,(12-MONTH(E39)+1)/12))) + (R39)*(IF((YEAR(D39)+18)&lt;YEAR(E39),0,IF((YEAR(D39)+18)&gt;YEAR(E39),1,(12-MONTH(E39)+1)/12))))-(IF(OR(N39="",N39&lt;=0),0,(O39/N39)*(IF(OR(N39="",N39&lt;=0),0,IF((YEAR(D39)+18)&lt;YEAR(E39),0,IF((YEAR(D39)+18)&gt;=YEAR(E39)+N39,0,IF((YEAR(D39)+18)=YEAR(E39),(12-MONTH(E39)+1)/12,1))))))))*TaxRate,0))-IF(18=0,O39,0))</f>
        <v/>
      </c>
      <c r="AL39" s="29">
        <f>IF(A39="","",((K39)*(IF(M39="",L39,IFERROR(IF(INDEX(Variablen!$I:$AT, MATCH(M39, Variablen!$A:$A, 0), MATCH((YEAR(D39)+19), Variablen!$I$3:$AT$3, 0))="",L39,INDEX(Variablen!$I:$AT, MATCH(M39, Variablen!$A:$A, 0), MATCH((YEAR(D39)+19), Variablen!$I$3:$AT$3, 0))),L39)))*(IF((YEAR(D39)+19)&lt;YEAR(E39),0,IF((YEAR(D39)+19)&gt;YEAR(E39),1,(12-MONTH(E39)+1)/12))) + (Q39)*(IF((YEAR(D39)+19)&lt;YEAR(E39),0,IF((YEAR(D39)+19)&gt;YEAR(E39),1,(12-MONTH(E39)+1)/12))))-((P39)*(IF((YEAR(D39)+19)&lt;YEAR(E39),0,IF((YEAR(D39)+19)&gt;YEAR(E39),1,(12-MONTH(E39)+1)/12))) + (R39)*(IF((YEAR(D39)+19)&lt;YEAR(E39),0,IF((YEAR(D39)+19)&gt;YEAR(E39),1,(12-MONTH(E39)+1)/12))))-(IF((((K39)*(IF(M39="",L39,IFERROR(IF(INDEX(Variablen!$I:$AT, MATCH(M39, Variablen!$A:$A, 0), MATCH((YEAR(D39)+19), Variablen!$I$3:$AT$3, 0))="",L39,INDEX(Variablen!$I:$AT, MATCH(M39, Variablen!$A:$A, 0), MATCH((YEAR(D39)+19), Variablen!$I$3:$AT$3, 0))),L39)))*(IF((YEAR(D39)+19)&lt;YEAR(E39),0,IF((YEAR(D39)+19)&gt;YEAR(E39),1,(12-MONTH(E39)+1)/12))) + (Q39)*(IF((YEAR(D39)+19)&lt;YEAR(E39),0,IF((YEAR(D39)+19)&gt;YEAR(E39),1,(12-MONTH(E39)+1)/12))))-((P39)*(IF((YEAR(D39)+19)&lt;YEAR(E39),0,IF((YEAR(D39)+19)&gt;YEAR(E39),1,(12-MONTH(E39)+1)/12))) + (R39)*(IF((YEAR(D39)+19)&lt;YEAR(E39),0,IF((YEAR(D39)+19)&gt;YEAR(E39),1,(12-MONTH(E39)+1)/12))))-(IF(OR(N39="",N39&lt;=0),0,(O39/N39)*(IF(OR(N39="",N39&lt;=0),0,IF((YEAR(D39)+19)&lt;YEAR(E39),0,IF((YEAR(D39)+19)&gt;=YEAR(E39)+N39,0,IF((YEAR(D39)+19)=YEAR(E39),(12-MONTH(E39)+1)/12,1))))))))&gt;0,(((K39)*(IF(M39="",L39,IFERROR(IF(INDEX(Variablen!$I:$AT, MATCH(M39, Variablen!$A:$A, 0), MATCH((YEAR(D39)+19), Variablen!$I$3:$AT$3, 0))="",L39,INDEX(Variablen!$I:$AT, MATCH(M39, Variablen!$A:$A, 0), MATCH((YEAR(D39)+19), Variablen!$I$3:$AT$3, 0))),L39)))*(IF((YEAR(D39)+19)&lt;YEAR(E39),0,IF((YEAR(D39)+19)&gt;YEAR(E39),1,(12-MONTH(E39)+1)/12))) + (Q39)*(IF((YEAR(D39)+19)&lt;YEAR(E39),0,IF((YEAR(D39)+19)&gt;YEAR(E39),1,(12-MONTH(E39)+1)/12))))-((P39)*(IF((YEAR(D39)+19)&lt;YEAR(E39),0,IF((YEAR(D39)+19)&gt;YEAR(E39),1,(12-MONTH(E39)+1)/12))) + (R39)*(IF((YEAR(D39)+19)&lt;YEAR(E39),0,IF((YEAR(D39)+19)&gt;YEAR(E39),1,(12-MONTH(E39)+1)/12))))-(IF(OR(N39="",N39&lt;=0),0,(O39/N39)*(IF(OR(N39="",N39&lt;=0),0,IF((YEAR(D39)+19)&lt;YEAR(E39),0,IF((YEAR(D39)+19)&gt;=YEAR(E39)+N39,0,IF((YEAR(D39)+19)=YEAR(E39),(12-MONTH(E39)+1)/12,1))))))))*TaxRate,0))-IF(19=0,O39,0))</f>
        <v/>
      </c>
      <c r="AM39" s="29">
        <f>IF(A39="","",((K39)*(IF(M39="",L39,IFERROR(IF(INDEX(Variablen!$I:$AT, MATCH(M39, Variablen!$A:$A, 0), MATCH((YEAR(D39)+20), Variablen!$I$3:$AT$3, 0))="",L39,INDEX(Variablen!$I:$AT, MATCH(M39, Variablen!$A:$A, 0), MATCH((YEAR(D39)+20), Variablen!$I$3:$AT$3, 0))),L39)))*(IF((YEAR(D39)+20)&lt;YEAR(E39),0,IF((YEAR(D39)+20)&gt;YEAR(E39),1,(12-MONTH(E39)+1)/12))) + (Q39)*(IF((YEAR(D39)+20)&lt;YEAR(E39),0,IF((YEAR(D39)+20)&gt;YEAR(E39),1,(12-MONTH(E39)+1)/12))))-((P39)*(IF((YEAR(D39)+20)&lt;YEAR(E39),0,IF((YEAR(D39)+20)&gt;YEAR(E39),1,(12-MONTH(E39)+1)/12))) + (R39)*(IF((YEAR(D39)+20)&lt;YEAR(E39),0,IF((YEAR(D39)+20)&gt;YEAR(E39),1,(12-MONTH(E39)+1)/12))))-(IF((((K39)*(IF(M39="",L39,IFERROR(IF(INDEX(Variablen!$I:$AT, MATCH(M39, Variablen!$A:$A, 0), MATCH((YEAR(D39)+20), Variablen!$I$3:$AT$3, 0))="",L39,INDEX(Variablen!$I:$AT, MATCH(M39, Variablen!$A:$A, 0), MATCH((YEAR(D39)+20), Variablen!$I$3:$AT$3, 0))),L39)))*(IF((YEAR(D39)+20)&lt;YEAR(E39),0,IF((YEAR(D39)+20)&gt;YEAR(E39),1,(12-MONTH(E39)+1)/12))) + (Q39)*(IF((YEAR(D39)+20)&lt;YEAR(E39),0,IF((YEAR(D39)+20)&gt;YEAR(E39),1,(12-MONTH(E39)+1)/12))))-((P39)*(IF((YEAR(D39)+20)&lt;YEAR(E39),0,IF((YEAR(D39)+20)&gt;YEAR(E39),1,(12-MONTH(E39)+1)/12))) + (R39)*(IF((YEAR(D39)+20)&lt;YEAR(E39),0,IF((YEAR(D39)+20)&gt;YEAR(E39),1,(12-MONTH(E39)+1)/12))))-(IF(OR(N39="",N39&lt;=0),0,(O39/N39)*(IF(OR(N39="",N39&lt;=0),0,IF((YEAR(D39)+20)&lt;YEAR(E39),0,IF((YEAR(D39)+20)&gt;=YEAR(E39)+N39,0,IF((YEAR(D39)+20)=YEAR(E39),(12-MONTH(E39)+1)/12,1))))))))&gt;0,(((K39)*(IF(M39="",L39,IFERROR(IF(INDEX(Variablen!$I:$AT, MATCH(M39, Variablen!$A:$A, 0), MATCH((YEAR(D39)+20), Variablen!$I$3:$AT$3, 0))="",L39,INDEX(Variablen!$I:$AT, MATCH(M39, Variablen!$A:$A, 0), MATCH((YEAR(D39)+20), Variablen!$I$3:$AT$3, 0))),L39)))*(IF((YEAR(D39)+20)&lt;YEAR(E39),0,IF((YEAR(D39)+20)&gt;YEAR(E39),1,(12-MONTH(E39)+1)/12))) + (Q39)*(IF((YEAR(D39)+20)&lt;YEAR(E39),0,IF((YEAR(D39)+20)&gt;YEAR(E39),1,(12-MONTH(E39)+1)/12))))-((P39)*(IF((YEAR(D39)+20)&lt;YEAR(E39),0,IF((YEAR(D39)+20)&gt;YEAR(E39),1,(12-MONTH(E39)+1)/12))) + (R39)*(IF((YEAR(D39)+20)&lt;YEAR(E39),0,IF((YEAR(D39)+20)&gt;YEAR(E39),1,(12-MONTH(E39)+1)/12))))-(IF(OR(N39="",N39&lt;=0),0,(O39/N39)*(IF(OR(N39="",N39&lt;=0),0,IF((YEAR(D39)+20)&lt;YEAR(E39),0,IF((YEAR(D39)+20)&gt;=YEAR(E39)+N39,0,IF((YEAR(D39)+20)=YEAR(E39),(12-MONTH(E39)+1)/12,1))))))))*TaxRate,0))-IF(20=0,O39,0))</f>
        <v/>
      </c>
      <c r="AN39" s="29">
        <f>IF(A39="","",S39)</f>
        <v/>
      </c>
      <c r="AO39" s="29">
        <f>IF(A39="","",AN39+T39)</f>
        <v/>
      </c>
      <c r="AP39" s="29">
        <f>IF(A39="","",AO39+U39)</f>
        <v/>
      </c>
      <c r="AQ39" s="29">
        <f>IF(A39="","",AP39+V39)</f>
        <v/>
      </c>
      <c r="AR39" s="29">
        <f>IF(A39="","",AQ39+W39)</f>
        <v/>
      </c>
      <c r="AS39" s="29">
        <f>IF(A39="","",AR39+X39)</f>
        <v/>
      </c>
      <c r="AT39" s="29">
        <f>IF(A39="","",AS39+Y39)</f>
        <v/>
      </c>
      <c r="AU39" s="29">
        <f>IF(A39="","",AT39+Z39)</f>
        <v/>
      </c>
      <c r="AV39" s="29">
        <f>IF(A39="","",AU39+AA39)</f>
        <v/>
      </c>
      <c r="AW39" s="29">
        <f>IF(A39="","",AV39+AB39)</f>
        <v/>
      </c>
      <c r="AX39" s="29">
        <f>IF(A39="","",AW39+AC39)</f>
        <v/>
      </c>
      <c r="AY39" s="29">
        <f>IF(A39="","",AX39+AD39)</f>
        <v/>
      </c>
      <c r="AZ39" s="29">
        <f>IF(A39="","",AY39+AE39)</f>
        <v/>
      </c>
      <c r="BA39" s="29">
        <f>IF(A39="","",AZ39+AF39)</f>
        <v/>
      </c>
      <c r="BB39" s="29">
        <f>IF(A39="","",BA39+AG39)</f>
        <v/>
      </c>
      <c r="BC39" s="29">
        <f>IF(A39="","",BB39+AH39)</f>
        <v/>
      </c>
      <c r="BD39" s="29">
        <f>IF(A39="","",BC39+AI39)</f>
        <v/>
      </c>
      <c r="BE39" s="29">
        <f>IF(A39="","",BD39+AJ39)</f>
        <v/>
      </c>
      <c r="BF39" s="29">
        <f>IF(A39="","",BE39+AK39)</f>
        <v/>
      </c>
      <c r="BG39" s="29">
        <f>IF(A39="","",BF39+AL39)</f>
        <v/>
      </c>
      <c r="BH39" s="29">
        <f>IF(A39="","",BG39+AM39)</f>
        <v/>
      </c>
      <c r="BI39" s="36">
        <f>IF(A39="","",(K39)*(IF((YEAR(D39)+0)&lt;YEAR(E39),0,IF((YEAR(D39)+0)&gt;YEAR(E39),1,(12-MONTH(E39)+1)/12)))*(1/(1+DiscountRate)^0))</f>
        <v/>
      </c>
      <c r="BJ39" s="36">
        <f>IF(A39="","",(K39)*(IF((YEAR(D39)+1)&lt;YEAR(E39),0,IF((YEAR(D39)+1)&gt;YEAR(E39),1,(12-MONTH(E39)+1)/12)))*(1/(1+DiscountRate)^1))</f>
        <v/>
      </c>
      <c r="BK39" s="36">
        <f>IF(A39="","",(K39)*(IF((YEAR(D39)+2)&lt;YEAR(E39),0,IF((YEAR(D39)+2)&gt;YEAR(E39),1,(12-MONTH(E39)+1)/12)))*(1/(1+DiscountRate)^2))</f>
        <v/>
      </c>
      <c r="BL39" s="36">
        <f>IF(A39="","",(K39)*(IF((YEAR(D39)+3)&lt;YEAR(E39),0,IF((YEAR(D39)+3)&gt;YEAR(E39),1,(12-MONTH(E39)+1)/12)))*(1/(1+DiscountRate)^3))</f>
        <v/>
      </c>
      <c r="BM39" s="36">
        <f>IF(A39="","",(K39)*(IF((YEAR(D39)+4)&lt;YEAR(E39),0,IF((YEAR(D39)+4)&gt;YEAR(E39),1,(12-MONTH(E39)+1)/12)))*(1/(1+DiscountRate)^4))</f>
        <v/>
      </c>
      <c r="BN39" s="36">
        <f>IF(A39="","",(K39)*(IF((YEAR(D39)+5)&lt;YEAR(E39),0,IF((YEAR(D39)+5)&gt;YEAR(E39),1,(12-MONTH(E39)+1)/12)))*(1/(1+DiscountRate)^5))</f>
        <v/>
      </c>
      <c r="BO39" s="36">
        <f>IF(A39="","",(K39)*(IF((YEAR(D39)+6)&lt;YEAR(E39),0,IF((YEAR(D39)+6)&gt;YEAR(E39),1,(12-MONTH(E39)+1)/12)))*(1/(1+DiscountRate)^6))</f>
        <v/>
      </c>
      <c r="BP39" s="36">
        <f>IF(A39="","",(K39)*(IF((YEAR(D39)+7)&lt;YEAR(E39),0,IF((YEAR(D39)+7)&gt;YEAR(E39),1,(12-MONTH(E39)+1)/12)))*(1/(1+DiscountRate)^7))</f>
        <v/>
      </c>
      <c r="BQ39" s="36">
        <f>IF(A39="","",(K39)*(IF((YEAR(D39)+8)&lt;YEAR(E39),0,IF((YEAR(D39)+8)&gt;YEAR(E39),1,(12-MONTH(E39)+1)/12)))*(1/(1+DiscountRate)^8))</f>
        <v/>
      </c>
      <c r="BR39" s="36">
        <f>IF(A39="","",(K39)*(IF((YEAR(D39)+9)&lt;YEAR(E39),0,IF((YEAR(D39)+9)&gt;YEAR(E39),1,(12-MONTH(E39)+1)/12)))*(1/(1+DiscountRate)^9))</f>
        <v/>
      </c>
      <c r="BS39" s="36">
        <f>IF(A39="","",(K39)*(IF((YEAR(D39)+10)&lt;YEAR(E39),0,IF((YEAR(D39)+10)&gt;YEAR(E39),1,(12-MONTH(E39)+1)/12)))*(1/(1+DiscountRate)^10))</f>
        <v/>
      </c>
      <c r="BT39" s="36">
        <f>IF(A39="","",(K39)*(IF((YEAR(D39)+11)&lt;YEAR(E39),0,IF((YEAR(D39)+11)&gt;YEAR(E39),1,(12-MONTH(E39)+1)/12)))*(1/(1+DiscountRate)^11))</f>
        <v/>
      </c>
      <c r="BU39" s="36">
        <f>IF(A39="","",(K39)*(IF((YEAR(D39)+12)&lt;YEAR(E39),0,IF((YEAR(D39)+12)&gt;YEAR(E39),1,(12-MONTH(E39)+1)/12)))*(1/(1+DiscountRate)^12))</f>
        <v/>
      </c>
      <c r="BV39" s="36">
        <f>IF(A39="","",(K39)*(IF((YEAR(D39)+13)&lt;YEAR(E39),0,IF((YEAR(D39)+13)&gt;YEAR(E39),1,(12-MONTH(E39)+1)/12)))*(1/(1+DiscountRate)^13))</f>
        <v/>
      </c>
      <c r="BW39" s="36">
        <f>IF(A39="","",(K39)*(IF((YEAR(D39)+14)&lt;YEAR(E39),0,IF((YEAR(D39)+14)&gt;YEAR(E39),1,(12-MONTH(E39)+1)/12)))*(1/(1+DiscountRate)^14))</f>
        <v/>
      </c>
      <c r="BX39" s="36">
        <f>IF(A39="","",(K39)*(IF((YEAR(D39)+15)&lt;YEAR(E39),0,IF((YEAR(D39)+15)&gt;YEAR(E39),1,(12-MONTH(E39)+1)/12)))*(1/(1+DiscountRate)^15))</f>
        <v/>
      </c>
      <c r="BY39" s="36">
        <f>IF(A39="","",(K39)*(IF((YEAR(D39)+16)&lt;YEAR(E39),0,IF((YEAR(D39)+16)&gt;YEAR(E39),1,(12-MONTH(E39)+1)/12)))*(1/(1+DiscountRate)^16))</f>
        <v/>
      </c>
      <c r="BZ39" s="36">
        <f>IF(A39="","",(K39)*(IF((YEAR(D39)+17)&lt;YEAR(E39),0,IF((YEAR(D39)+17)&gt;YEAR(E39),1,(12-MONTH(E39)+1)/12)))*(1/(1+DiscountRate)^17))</f>
        <v/>
      </c>
      <c r="CA39" s="36">
        <f>IF(A39="","",(K39)*(IF((YEAR(D39)+18)&lt;YEAR(E39),0,IF((YEAR(D39)+18)&gt;YEAR(E39),1,(12-MONTH(E39)+1)/12)))*(1/(1+DiscountRate)^18))</f>
        <v/>
      </c>
      <c r="CB39" s="36">
        <f>IF(A39="","",(K39)*(IF((YEAR(D39)+19)&lt;YEAR(E39),0,IF((YEAR(D39)+19)&gt;YEAR(E39),1,(12-MONTH(E39)+1)/12)))*(1/(1+DiscountRate)^19))</f>
        <v/>
      </c>
      <c r="CC39" s="36">
        <f>IF(A39="","",(K39)*(IF((YEAR(D39)+20)&lt;YEAR(E39),0,IF((YEAR(D39)+20)&gt;YEAR(E39),1,(12-MONTH(E39)+1)/12)))*(1/(1+DiscountRate)^20))</f>
        <v/>
      </c>
      <c r="CD39" s="29">
        <f>IF(A39="","",S39/(1+DiscountRate)^0+T39/(1+DiscountRate)^1+U39/(1+DiscountRate)^2+V39/(1+DiscountRate)^3+W39/(1+DiscountRate)^4+X39/(1+DiscountRate)^5+Y39/(1+DiscountRate)^6+Z39/(1+DiscountRate)^7+AA39/(1+DiscountRate)^8+AB39/(1+DiscountRate)^9+AC39/(1+DiscountRate)^10+AD39/(1+DiscountRate)^11+AE39/(1+DiscountRate)^12+AF39/(1+DiscountRate)^13+AG39/(1+DiscountRate)^14+AH39/(1+DiscountRate)^15+AI39/(1+DiscountRate)^16+AJ39/(1+DiscountRate)^17+AK39/(1+DiscountRate)^18+AL39/(1+DiscountRate)^19+AM39/(1+DiscountRate)^20)</f>
        <v/>
      </c>
      <c r="CE39" s="37">
        <f>IF(A39="","",IFERROR(IRR(OFFSET(S39,0,0,1,MIN(HorizonYears,20)+1)),"n/a"))</f>
        <v/>
      </c>
      <c r="CF39" s="28">
        <f>IF(A39="","",IFERROR(MATCH(TRUE,OFFSET(AN39,0,0,1,MIN(HorizonYears,20)+1)&gt;=0,0)-1,"n/a"))</f>
        <v/>
      </c>
      <c r="CG39" s="36">
        <f>IF(A39="","",SUM(OFFSET(BI39,0,0,1,MIN(HorizonYears,20)+1)))</f>
        <v/>
      </c>
      <c r="CH39" s="36">
        <f>IF(A39="","",IFERROR(-CD39/CG39,"n/a"))</f>
        <v/>
      </c>
    </row>
    <row r="40">
      <c r="A40" s="6">
        <f>Actions!A38</f>
        <v/>
      </c>
      <c r="B40" s="6">
        <f>Actions!B38</f>
        <v/>
      </c>
      <c r="C40" s="6">
        <f>Actions!D38</f>
        <v/>
      </c>
      <c r="D40" s="35">
        <f>Actions!E38</f>
        <v/>
      </c>
      <c r="E40" s="35">
        <f>Actions!F38</f>
        <v/>
      </c>
      <c r="F40" s="6">
        <f>Actions!G38</f>
        <v/>
      </c>
      <c r="G40" s="6">
        <f>Actions!H38</f>
        <v/>
      </c>
      <c r="H40" s="29">
        <f>Actions!I38</f>
        <v/>
      </c>
      <c r="I40" s="6">
        <f>Actions!J38</f>
        <v/>
      </c>
      <c r="J40" s="16">
        <f>Actions!K38</f>
        <v/>
      </c>
      <c r="K40" s="16">
        <f>IF(A40="","",IF(I40="%",H40*J40,J40))</f>
        <v/>
      </c>
      <c r="L40" s="16">
        <f>Actions!L38</f>
        <v/>
      </c>
      <c r="M40" s="6">
        <f>Actions!M38</f>
        <v/>
      </c>
      <c r="N40" s="28">
        <f>Actions!N38</f>
        <v/>
      </c>
      <c r="O40" s="29">
        <f>Actions!T38</f>
        <v/>
      </c>
      <c r="P40" s="29">
        <f>Actions!Y38</f>
        <v/>
      </c>
      <c r="Q40" s="29">
        <f>Actions!Z38</f>
        <v/>
      </c>
      <c r="R40" s="29">
        <f>Actions!AA38</f>
        <v/>
      </c>
      <c r="S40" s="29">
        <f>IF(A40="","",((K40)*(IF(M40="",L40,IFERROR(IF(INDEX(Variablen!$I:$AT, MATCH(M40, Variablen!$A:$A, 0), MATCH((YEAR(D40)+0), Variablen!$I$3:$AT$3, 0))="",L40,INDEX(Variablen!$I:$AT, MATCH(M40, Variablen!$A:$A, 0), MATCH((YEAR(D40)+0), Variablen!$I$3:$AT$3, 0))),L40)))*(IF((YEAR(D40)+0)&lt;YEAR(E40),0,IF((YEAR(D40)+0)&gt;YEAR(E40),1,(12-MONTH(E40)+1)/12))) + (Q40)*(IF((YEAR(D40)+0)&lt;YEAR(E40),0,IF((YEAR(D40)+0)&gt;YEAR(E40),1,(12-MONTH(E40)+1)/12))))-((P40)*(IF((YEAR(D40)+0)&lt;YEAR(E40),0,IF((YEAR(D40)+0)&gt;YEAR(E40),1,(12-MONTH(E40)+1)/12))) + (R40)*(IF((YEAR(D40)+0)&lt;YEAR(E40),0,IF((YEAR(D40)+0)&gt;YEAR(E40),1,(12-MONTH(E40)+1)/12))))-(IF((((K40)*(IF(M40="",L40,IFERROR(IF(INDEX(Variablen!$I:$AT, MATCH(M40, Variablen!$A:$A, 0), MATCH((YEAR(D40)+0), Variablen!$I$3:$AT$3, 0))="",L40,INDEX(Variablen!$I:$AT, MATCH(M40, Variablen!$A:$A, 0), MATCH((YEAR(D40)+0), Variablen!$I$3:$AT$3, 0))),L40)))*(IF((YEAR(D40)+0)&lt;YEAR(E40),0,IF((YEAR(D40)+0)&gt;YEAR(E40),1,(12-MONTH(E40)+1)/12))) + (Q40)*(IF((YEAR(D40)+0)&lt;YEAR(E40),0,IF((YEAR(D40)+0)&gt;YEAR(E40),1,(12-MONTH(E40)+1)/12))))-((P40)*(IF((YEAR(D40)+0)&lt;YEAR(E40),0,IF((YEAR(D40)+0)&gt;YEAR(E40),1,(12-MONTH(E40)+1)/12))) + (R40)*(IF((YEAR(D40)+0)&lt;YEAR(E40),0,IF((YEAR(D40)+0)&gt;YEAR(E40),1,(12-MONTH(E40)+1)/12))))-(IF(OR(N40="",N40&lt;=0),0,(O40/N40)*(IF(OR(N40="",N40&lt;=0),0,IF((YEAR(D40)+0)&lt;YEAR(E40),0,IF((YEAR(D40)+0)&gt;=YEAR(E40)+N40,0,IF((YEAR(D40)+0)=YEAR(E40),(12-MONTH(E40)+1)/12,1))))))))&gt;0,(((K40)*(IF(M40="",L40,IFERROR(IF(INDEX(Variablen!$I:$AT, MATCH(M40, Variablen!$A:$A, 0), MATCH((YEAR(D40)+0), Variablen!$I$3:$AT$3, 0))="",L40,INDEX(Variablen!$I:$AT, MATCH(M40, Variablen!$A:$A, 0), MATCH((YEAR(D40)+0), Variablen!$I$3:$AT$3, 0))),L40)))*(IF((YEAR(D40)+0)&lt;YEAR(E40),0,IF((YEAR(D40)+0)&gt;YEAR(E40),1,(12-MONTH(E40)+1)/12))) + (Q40)*(IF((YEAR(D40)+0)&lt;YEAR(E40),0,IF((YEAR(D40)+0)&gt;YEAR(E40),1,(12-MONTH(E40)+1)/12))))-((P40)*(IF((YEAR(D40)+0)&lt;YEAR(E40),0,IF((YEAR(D40)+0)&gt;YEAR(E40),1,(12-MONTH(E40)+1)/12))) + (R40)*(IF((YEAR(D40)+0)&lt;YEAR(E40),0,IF((YEAR(D40)+0)&gt;YEAR(E40),1,(12-MONTH(E40)+1)/12))))-(IF(OR(N40="",N40&lt;=0),0,(O40/N40)*(IF(OR(N40="",N40&lt;=0),0,IF((YEAR(D40)+0)&lt;YEAR(E40),0,IF((YEAR(D40)+0)&gt;=YEAR(E40)+N40,0,IF((YEAR(D40)+0)=YEAR(E40),(12-MONTH(E40)+1)/12,1))))))))*TaxRate,0))-IF(0=0,O40,0))</f>
        <v/>
      </c>
      <c r="T40" s="29">
        <f>IF(A40="","",((K40)*(IF(M40="",L40,IFERROR(IF(INDEX(Variablen!$I:$AT, MATCH(M40, Variablen!$A:$A, 0), MATCH((YEAR(D40)+1), Variablen!$I$3:$AT$3, 0))="",L40,INDEX(Variablen!$I:$AT, MATCH(M40, Variablen!$A:$A, 0), MATCH((YEAR(D40)+1), Variablen!$I$3:$AT$3, 0))),L40)))*(IF((YEAR(D40)+1)&lt;YEAR(E40),0,IF((YEAR(D40)+1)&gt;YEAR(E40),1,(12-MONTH(E40)+1)/12))) + (Q40)*(IF((YEAR(D40)+1)&lt;YEAR(E40),0,IF((YEAR(D40)+1)&gt;YEAR(E40),1,(12-MONTH(E40)+1)/12))))-((P40)*(IF((YEAR(D40)+1)&lt;YEAR(E40),0,IF((YEAR(D40)+1)&gt;YEAR(E40),1,(12-MONTH(E40)+1)/12))) + (R40)*(IF((YEAR(D40)+1)&lt;YEAR(E40),0,IF((YEAR(D40)+1)&gt;YEAR(E40),1,(12-MONTH(E40)+1)/12))))-(IF((((K40)*(IF(M40="",L40,IFERROR(IF(INDEX(Variablen!$I:$AT, MATCH(M40, Variablen!$A:$A, 0), MATCH((YEAR(D40)+1), Variablen!$I$3:$AT$3, 0))="",L40,INDEX(Variablen!$I:$AT, MATCH(M40, Variablen!$A:$A, 0), MATCH((YEAR(D40)+1), Variablen!$I$3:$AT$3, 0))),L40)))*(IF((YEAR(D40)+1)&lt;YEAR(E40),0,IF((YEAR(D40)+1)&gt;YEAR(E40),1,(12-MONTH(E40)+1)/12))) + (Q40)*(IF((YEAR(D40)+1)&lt;YEAR(E40),0,IF((YEAR(D40)+1)&gt;YEAR(E40),1,(12-MONTH(E40)+1)/12))))-((P40)*(IF((YEAR(D40)+1)&lt;YEAR(E40),0,IF((YEAR(D40)+1)&gt;YEAR(E40),1,(12-MONTH(E40)+1)/12))) + (R40)*(IF((YEAR(D40)+1)&lt;YEAR(E40),0,IF((YEAR(D40)+1)&gt;YEAR(E40),1,(12-MONTH(E40)+1)/12))))-(IF(OR(N40="",N40&lt;=0),0,(O40/N40)*(IF(OR(N40="",N40&lt;=0),0,IF((YEAR(D40)+1)&lt;YEAR(E40),0,IF((YEAR(D40)+1)&gt;=YEAR(E40)+N40,0,IF((YEAR(D40)+1)=YEAR(E40),(12-MONTH(E40)+1)/12,1))))))))&gt;0,(((K40)*(IF(M40="",L40,IFERROR(IF(INDEX(Variablen!$I:$AT, MATCH(M40, Variablen!$A:$A, 0), MATCH((YEAR(D40)+1), Variablen!$I$3:$AT$3, 0))="",L40,INDEX(Variablen!$I:$AT, MATCH(M40, Variablen!$A:$A, 0), MATCH((YEAR(D40)+1), Variablen!$I$3:$AT$3, 0))),L40)))*(IF((YEAR(D40)+1)&lt;YEAR(E40),0,IF((YEAR(D40)+1)&gt;YEAR(E40),1,(12-MONTH(E40)+1)/12))) + (Q40)*(IF((YEAR(D40)+1)&lt;YEAR(E40),0,IF((YEAR(D40)+1)&gt;YEAR(E40),1,(12-MONTH(E40)+1)/12))))-((P40)*(IF((YEAR(D40)+1)&lt;YEAR(E40),0,IF((YEAR(D40)+1)&gt;YEAR(E40),1,(12-MONTH(E40)+1)/12))) + (R40)*(IF((YEAR(D40)+1)&lt;YEAR(E40),0,IF((YEAR(D40)+1)&gt;YEAR(E40),1,(12-MONTH(E40)+1)/12))))-(IF(OR(N40="",N40&lt;=0),0,(O40/N40)*(IF(OR(N40="",N40&lt;=0),0,IF((YEAR(D40)+1)&lt;YEAR(E40),0,IF((YEAR(D40)+1)&gt;=YEAR(E40)+N40,0,IF((YEAR(D40)+1)=YEAR(E40),(12-MONTH(E40)+1)/12,1))))))))*TaxRate,0))-IF(1=0,O40,0))</f>
        <v/>
      </c>
      <c r="U40" s="29">
        <f>IF(A40="","",((K40)*(IF(M40="",L40,IFERROR(IF(INDEX(Variablen!$I:$AT, MATCH(M40, Variablen!$A:$A, 0), MATCH((YEAR(D40)+2), Variablen!$I$3:$AT$3, 0))="",L40,INDEX(Variablen!$I:$AT, MATCH(M40, Variablen!$A:$A, 0), MATCH((YEAR(D40)+2), Variablen!$I$3:$AT$3, 0))),L40)))*(IF((YEAR(D40)+2)&lt;YEAR(E40),0,IF((YEAR(D40)+2)&gt;YEAR(E40),1,(12-MONTH(E40)+1)/12))) + (Q40)*(IF((YEAR(D40)+2)&lt;YEAR(E40),0,IF((YEAR(D40)+2)&gt;YEAR(E40),1,(12-MONTH(E40)+1)/12))))-((P40)*(IF((YEAR(D40)+2)&lt;YEAR(E40),0,IF((YEAR(D40)+2)&gt;YEAR(E40),1,(12-MONTH(E40)+1)/12))) + (R40)*(IF((YEAR(D40)+2)&lt;YEAR(E40),0,IF((YEAR(D40)+2)&gt;YEAR(E40),1,(12-MONTH(E40)+1)/12))))-(IF((((K40)*(IF(M40="",L40,IFERROR(IF(INDEX(Variablen!$I:$AT, MATCH(M40, Variablen!$A:$A, 0), MATCH((YEAR(D40)+2), Variablen!$I$3:$AT$3, 0))="",L40,INDEX(Variablen!$I:$AT, MATCH(M40, Variablen!$A:$A, 0), MATCH((YEAR(D40)+2), Variablen!$I$3:$AT$3, 0))),L40)))*(IF((YEAR(D40)+2)&lt;YEAR(E40),0,IF((YEAR(D40)+2)&gt;YEAR(E40),1,(12-MONTH(E40)+1)/12))) + (Q40)*(IF((YEAR(D40)+2)&lt;YEAR(E40),0,IF((YEAR(D40)+2)&gt;YEAR(E40),1,(12-MONTH(E40)+1)/12))))-((P40)*(IF((YEAR(D40)+2)&lt;YEAR(E40),0,IF((YEAR(D40)+2)&gt;YEAR(E40),1,(12-MONTH(E40)+1)/12))) + (R40)*(IF((YEAR(D40)+2)&lt;YEAR(E40),0,IF((YEAR(D40)+2)&gt;YEAR(E40),1,(12-MONTH(E40)+1)/12))))-(IF(OR(N40="",N40&lt;=0),0,(O40/N40)*(IF(OR(N40="",N40&lt;=0),0,IF((YEAR(D40)+2)&lt;YEAR(E40),0,IF((YEAR(D40)+2)&gt;=YEAR(E40)+N40,0,IF((YEAR(D40)+2)=YEAR(E40),(12-MONTH(E40)+1)/12,1))))))))&gt;0,(((K40)*(IF(M40="",L40,IFERROR(IF(INDEX(Variablen!$I:$AT, MATCH(M40, Variablen!$A:$A, 0), MATCH((YEAR(D40)+2), Variablen!$I$3:$AT$3, 0))="",L40,INDEX(Variablen!$I:$AT, MATCH(M40, Variablen!$A:$A, 0), MATCH((YEAR(D40)+2), Variablen!$I$3:$AT$3, 0))),L40)))*(IF((YEAR(D40)+2)&lt;YEAR(E40),0,IF((YEAR(D40)+2)&gt;YEAR(E40),1,(12-MONTH(E40)+1)/12))) + (Q40)*(IF((YEAR(D40)+2)&lt;YEAR(E40),0,IF((YEAR(D40)+2)&gt;YEAR(E40),1,(12-MONTH(E40)+1)/12))))-((P40)*(IF((YEAR(D40)+2)&lt;YEAR(E40),0,IF((YEAR(D40)+2)&gt;YEAR(E40),1,(12-MONTH(E40)+1)/12))) + (R40)*(IF((YEAR(D40)+2)&lt;YEAR(E40),0,IF((YEAR(D40)+2)&gt;YEAR(E40),1,(12-MONTH(E40)+1)/12))))-(IF(OR(N40="",N40&lt;=0),0,(O40/N40)*(IF(OR(N40="",N40&lt;=0),0,IF((YEAR(D40)+2)&lt;YEAR(E40),0,IF((YEAR(D40)+2)&gt;=YEAR(E40)+N40,0,IF((YEAR(D40)+2)=YEAR(E40),(12-MONTH(E40)+1)/12,1))))))))*TaxRate,0))-IF(2=0,O40,0))</f>
        <v/>
      </c>
      <c r="V40" s="29">
        <f>IF(A40="","",((K40)*(IF(M40="",L40,IFERROR(IF(INDEX(Variablen!$I:$AT, MATCH(M40, Variablen!$A:$A, 0), MATCH((YEAR(D40)+3), Variablen!$I$3:$AT$3, 0))="",L40,INDEX(Variablen!$I:$AT, MATCH(M40, Variablen!$A:$A, 0), MATCH((YEAR(D40)+3), Variablen!$I$3:$AT$3, 0))),L40)))*(IF((YEAR(D40)+3)&lt;YEAR(E40),0,IF((YEAR(D40)+3)&gt;YEAR(E40),1,(12-MONTH(E40)+1)/12))) + (Q40)*(IF((YEAR(D40)+3)&lt;YEAR(E40),0,IF((YEAR(D40)+3)&gt;YEAR(E40),1,(12-MONTH(E40)+1)/12))))-((P40)*(IF((YEAR(D40)+3)&lt;YEAR(E40),0,IF((YEAR(D40)+3)&gt;YEAR(E40),1,(12-MONTH(E40)+1)/12))) + (R40)*(IF((YEAR(D40)+3)&lt;YEAR(E40),0,IF((YEAR(D40)+3)&gt;YEAR(E40),1,(12-MONTH(E40)+1)/12))))-(IF((((K40)*(IF(M40="",L40,IFERROR(IF(INDEX(Variablen!$I:$AT, MATCH(M40, Variablen!$A:$A, 0), MATCH((YEAR(D40)+3), Variablen!$I$3:$AT$3, 0))="",L40,INDEX(Variablen!$I:$AT, MATCH(M40, Variablen!$A:$A, 0), MATCH((YEAR(D40)+3), Variablen!$I$3:$AT$3, 0))),L40)))*(IF((YEAR(D40)+3)&lt;YEAR(E40),0,IF((YEAR(D40)+3)&gt;YEAR(E40),1,(12-MONTH(E40)+1)/12))) + (Q40)*(IF((YEAR(D40)+3)&lt;YEAR(E40),0,IF((YEAR(D40)+3)&gt;YEAR(E40),1,(12-MONTH(E40)+1)/12))))-((P40)*(IF((YEAR(D40)+3)&lt;YEAR(E40),0,IF((YEAR(D40)+3)&gt;YEAR(E40),1,(12-MONTH(E40)+1)/12))) + (R40)*(IF((YEAR(D40)+3)&lt;YEAR(E40),0,IF((YEAR(D40)+3)&gt;YEAR(E40),1,(12-MONTH(E40)+1)/12))))-(IF(OR(N40="",N40&lt;=0),0,(O40/N40)*(IF(OR(N40="",N40&lt;=0),0,IF((YEAR(D40)+3)&lt;YEAR(E40),0,IF((YEAR(D40)+3)&gt;=YEAR(E40)+N40,0,IF((YEAR(D40)+3)=YEAR(E40),(12-MONTH(E40)+1)/12,1))))))))&gt;0,(((K40)*(IF(M40="",L40,IFERROR(IF(INDEX(Variablen!$I:$AT, MATCH(M40, Variablen!$A:$A, 0), MATCH((YEAR(D40)+3), Variablen!$I$3:$AT$3, 0))="",L40,INDEX(Variablen!$I:$AT, MATCH(M40, Variablen!$A:$A, 0), MATCH((YEAR(D40)+3), Variablen!$I$3:$AT$3, 0))),L40)))*(IF((YEAR(D40)+3)&lt;YEAR(E40),0,IF((YEAR(D40)+3)&gt;YEAR(E40),1,(12-MONTH(E40)+1)/12))) + (Q40)*(IF((YEAR(D40)+3)&lt;YEAR(E40),0,IF((YEAR(D40)+3)&gt;YEAR(E40),1,(12-MONTH(E40)+1)/12))))-((P40)*(IF((YEAR(D40)+3)&lt;YEAR(E40),0,IF((YEAR(D40)+3)&gt;YEAR(E40),1,(12-MONTH(E40)+1)/12))) + (R40)*(IF((YEAR(D40)+3)&lt;YEAR(E40),0,IF((YEAR(D40)+3)&gt;YEAR(E40),1,(12-MONTH(E40)+1)/12))))-(IF(OR(N40="",N40&lt;=0),0,(O40/N40)*(IF(OR(N40="",N40&lt;=0),0,IF((YEAR(D40)+3)&lt;YEAR(E40),0,IF((YEAR(D40)+3)&gt;=YEAR(E40)+N40,0,IF((YEAR(D40)+3)=YEAR(E40),(12-MONTH(E40)+1)/12,1))))))))*TaxRate,0))-IF(3=0,O40,0))</f>
        <v/>
      </c>
      <c r="W40" s="29">
        <f>IF(A40="","",((K40)*(IF(M40="",L40,IFERROR(IF(INDEX(Variablen!$I:$AT, MATCH(M40, Variablen!$A:$A, 0), MATCH((YEAR(D40)+4), Variablen!$I$3:$AT$3, 0))="",L40,INDEX(Variablen!$I:$AT, MATCH(M40, Variablen!$A:$A, 0), MATCH((YEAR(D40)+4), Variablen!$I$3:$AT$3, 0))),L40)))*(IF((YEAR(D40)+4)&lt;YEAR(E40),0,IF((YEAR(D40)+4)&gt;YEAR(E40),1,(12-MONTH(E40)+1)/12))) + (Q40)*(IF((YEAR(D40)+4)&lt;YEAR(E40),0,IF((YEAR(D40)+4)&gt;YEAR(E40),1,(12-MONTH(E40)+1)/12))))-((P40)*(IF((YEAR(D40)+4)&lt;YEAR(E40),0,IF((YEAR(D40)+4)&gt;YEAR(E40),1,(12-MONTH(E40)+1)/12))) + (R40)*(IF((YEAR(D40)+4)&lt;YEAR(E40),0,IF((YEAR(D40)+4)&gt;YEAR(E40),1,(12-MONTH(E40)+1)/12))))-(IF((((K40)*(IF(M40="",L40,IFERROR(IF(INDEX(Variablen!$I:$AT, MATCH(M40, Variablen!$A:$A, 0), MATCH((YEAR(D40)+4), Variablen!$I$3:$AT$3, 0))="",L40,INDEX(Variablen!$I:$AT, MATCH(M40, Variablen!$A:$A, 0), MATCH((YEAR(D40)+4), Variablen!$I$3:$AT$3, 0))),L40)))*(IF((YEAR(D40)+4)&lt;YEAR(E40),0,IF((YEAR(D40)+4)&gt;YEAR(E40),1,(12-MONTH(E40)+1)/12))) + (Q40)*(IF((YEAR(D40)+4)&lt;YEAR(E40),0,IF((YEAR(D40)+4)&gt;YEAR(E40),1,(12-MONTH(E40)+1)/12))))-((P40)*(IF((YEAR(D40)+4)&lt;YEAR(E40),0,IF((YEAR(D40)+4)&gt;YEAR(E40),1,(12-MONTH(E40)+1)/12))) + (R40)*(IF((YEAR(D40)+4)&lt;YEAR(E40),0,IF((YEAR(D40)+4)&gt;YEAR(E40),1,(12-MONTH(E40)+1)/12))))-(IF(OR(N40="",N40&lt;=0),0,(O40/N40)*(IF(OR(N40="",N40&lt;=0),0,IF((YEAR(D40)+4)&lt;YEAR(E40),0,IF((YEAR(D40)+4)&gt;=YEAR(E40)+N40,0,IF((YEAR(D40)+4)=YEAR(E40),(12-MONTH(E40)+1)/12,1))))))))&gt;0,(((K40)*(IF(M40="",L40,IFERROR(IF(INDEX(Variablen!$I:$AT, MATCH(M40, Variablen!$A:$A, 0), MATCH((YEAR(D40)+4), Variablen!$I$3:$AT$3, 0))="",L40,INDEX(Variablen!$I:$AT, MATCH(M40, Variablen!$A:$A, 0), MATCH((YEAR(D40)+4), Variablen!$I$3:$AT$3, 0))),L40)))*(IF((YEAR(D40)+4)&lt;YEAR(E40),0,IF((YEAR(D40)+4)&gt;YEAR(E40),1,(12-MONTH(E40)+1)/12))) + (Q40)*(IF((YEAR(D40)+4)&lt;YEAR(E40),0,IF((YEAR(D40)+4)&gt;YEAR(E40),1,(12-MONTH(E40)+1)/12))))-((P40)*(IF((YEAR(D40)+4)&lt;YEAR(E40),0,IF((YEAR(D40)+4)&gt;YEAR(E40),1,(12-MONTH(E40)+1)/12))) + (R40)*(IF((YEAR(D40)+4)&lt;YEAR(E40),0,IF((YEAR(D40)+4)&gt;YEAR(E40),1,(12-MONTH(E40)+1)/12))))-(IF(OR(N40="",N40&lt;=0),0,(O40/N40)*(IF(OR(N40="",N40&lt;=0),0,IF((YEAR(D40)+4)&lt;YEAR(E40),0,IF((YEAR(D40)+4)&gt;=YEAR(E40)+N40,0,IF((YEAR(D40)+4)=YEAR(E40),(12-MONTH(E40)+1)/12,1))))))))*TaxRate,0))-IF(4=0,O40,0))</f>
        <v/>
      </c>
      <c r="X40" s="29">
        <f>IF(A40="","",((K40)*(IF(M40="",L40,IFERROR(IF(INDEX(Variablen!$I:$AT, MATCH(M40, Variablen!$A:$A, 0), MATCH((YEAR(D40)+5), Variablen!$I$3:$AT$3, 0))="",L40,INDEX(Variablen!$I:$AT, MATCH(M40, Variablen!$A:$A, 0), MATCH((YEAR(D40)+5), Variablen!$I$3:$AT$3, 0))),L40)))*(IF((YEAR(D40)+5)&lt;YEAR(E40),0,IF((YEAR(D40)+5)&gt;YEAR(E40),1,(12-MONTH(E40)+1)/12))) + (Q40)*(IF((YEAR(D40)+5)&lt;YEAR(E40),0,IF((YEAR(D40)+5)&gt;YEAR(E40),1,(12-MONTH(E40)+1)/12))))-((P40)*(IF((YEAR(D40)+5)&lt;YEAR(E40),0,IF((YEAR(D40)+5)&gt;YEAR(E40),1,(12-MONTH(E40)+1)/12))) + (R40)*(IF((YEAR(D40)+5)&lt;YEAR(E40),0,IF((YEAR(D40)+5)&gt;YEAR(E40),1,(12-MONTH(E40)+1)/12))))-(IF((((K40)*(IF(M40="",L40,IFERROR(IF(INDEX(Variablen!$I:$AT, MATCH(M40, Variablen!$A:$A, 0), MATCH((YEAR(D40)+5), Variablen!$I$3:$AT$3, 0))="",L40,INDEX(Variablen!$I:$AT, MATCH(M40, Variablen!$A:$A, 0), MATCH((YEAR(D40)+5), Variablen!$I$3:$AT$3, 0))),L40)))*(IF((YEAR(D40)+5)&lt;YEAR(E40),0,IF((YEAR(D40)+5)&gt;YEAR(E40),1,(12-MONTH(E40)+1)/12))) + (Q40)*(IF((YEAR(D40)+5)&lt;YEAR(E40),0,IF((YEAR(D40)+5)&gt;YEAR(E40),1,(12-MONTH(E40)+1)/12))))-((P40)*(IF((YEAR(D40)+5)&lt;YEAR(E40),0,IF((YEAR(D40)+5)&gt;YEAR(E40),1,(12-MONTH(E40)+1)/12))) + (R40)*(IF((YEAR(D40)+5)&lt;YEAR(E40),0,IF((YEAR(D40)+5)&gt;YEAR(E40),1,(12-MONTH(E40)+1)/12))))-(IF(OR(N40="",N40&lt;=0),0,(O40/N40)*(IF(OR(N40="",N40&lt;=0),0,IF((YEAR(D40)+5)&lt;YEAR(E40),0,IF((YEAR(D40)+5)&gt;=YEAR(E40)+N40,0,IF((YEAR(D40)+5)=YEAR(E40),(12-MONTH(E40)+1)/12,1))))))))&gt;0,(((K40)*(IF(M40="",L40,IFERROR(IF(INDEX(Variablen!$I:$AT, MATCH(M40, Variablen!$A:$A, 0), MATCH((YEAR(D40)+5), Variablen!$I$3:$AT$3, 0))="",L40,INDEX(Variablen!$I:$AT, MATCH(M40, Variablen!$A:$A, 0), MATCH((YEAR(D40)+5), Variablen!$I$3:$AT$3, 0))),L40)))*(IF((YEAR(D40)+5)&lt;YEAR(E40),0,IF((YEAR(D40)+5)&gt;YEAR(E40),1,(12-MONTH(E40)+1)/12))) + (Q40)*(IF((YEAR(D40)+5)&lt;YEAR(E40),0,IF((YEAR(D40)+5)&gt;YEAR(E40),1,(12-MONTH(E40)+1)/12))))-((P40)*(IF((YEAR(D40)+5)&lt;YEAR(E40),0,IF((YEAR(D40)+5)&gt;YEAR(E40),1,(12-MONTH(E40)+1)/12))) + (R40)*(IF((YEAR(D40)+5)&lt;YEAR(E40),0,IF((YEAR(D40)+5)&gt;YEAR(E40),1,(12-MONTH(E40)+1)/12))))-(IF(OR(N40="",N40&lt;=0),0,(O40/N40)*(IF(OR(N40="",N40&lt;=0),0,IF((YEAR(D40)+5)&lt;YEAR(E40),0,IF((YEAR(D40)+5)&gt;=YEAR(E40)+N40,0,IF((YEAR(D40)+5)=YEAR(E40),(12-MONTH(E40)+1)/12,1))))))))*TaxRate,0))-IF(5=0,O40,0))</f>
        <v/>
      </c>
      <c r="Y40" s="29">
        <f>IF(A40="","",((K40)*(IF(M40="",L40,IFERROR(IF(INDEX(Variablen!$I:$AT, MATCH(M40, Variablen!$A:$A, 0), MATCH((YEAR(D40)+6), Variablen!$I$3:$AT$3, 0))="",L40,INDEX(Variablen!$I:$AT, MATCH(M40, Variablen!$A:$A, 0), MATCH((YEAR(D40)+6), Variablen!$I$3:$AT$3, 0))),L40)))*(IF((YEAR(D40)+6)&lt;YEAR(E40),0,IF((YEAR(D40)+6)&gt;YEAR(E40),1,(12-MONTH(E40)+1)/12))) + (Q40)*(IF((YEAR(D40)+6)&lt;YEAR(E40),0,IF((YEAR(D40)+6)&gt;YEAR(E40),1,(12-MONTH(E40)+1)/12))))-((P40)*(IF((YEAR(D40)+6)&lt;YEAR(E40),0,IF((YEAR(D40)+6)&gt;YEAR(E40),1,(12-MONTH(E40)+1)/12))) + (R40)*(IF((YEAR(D40)+6)&lt;YEAR(E40),0,IF((YEAR(D40)+6)&gt;YEAR(E40),1,(12-MONTH(E40)+1)/12))))-(IF((((K40)*(IF(M40="",L40,IFERROR(IF(INDEX(Variablen!$I:$AT, MATCH(M40, Variablen!$A:$A, 0), MATCH((YEAR(D40)+6), Variablen!$I$3:$AT$3, 0))="",L40,INDEX(Variablen!$I:$AT, MATCH(M40, Variablen!$A:$A, 0), MATCH((YEAR(D40)+6), Variablen!$I$3:$AT$3, 0))),L40)))*(IF((YEAR(D40)+6)&lt;YEAR(E40),0,IF((YEAR(D40)+6)&gt;YEAR(E40),1,(12-MONTH(E40)+1)/12))) + (Q40)*(IF((YEAR(D40)+6)&lt;YEAR(E40),0,IF((YEAR(D40)+6)&gt;YEAR(E40),1,(12-MONTH(E40)+1)/12))))-((P40)*(IF((YEAR(D40)+6)&lt;YEAR(E40),0,IF((YEAR(D40)+6)&gt;YEAR(E40),1,(12-MONTH(E40)+1)/12))) + (R40)*(IF((YEAR(D40)+6)&lt;YEAR(E40),0,IF((YEAR(D40)+6)&gt;YEAR(E40),1,(12-MONTH(E40)+1)/12))))-(IF(OR(N40="",N40&lt;=0),0,(O40/N40)*(IF(OR(N40="",N40&lt;=0),0,IF((YEAR(D40)+6)&lt;YEAR(E40),0,IF((YEAR(D40)+6)&gt;=YEAR(E40)+N40,0,IF((YEAR(D40)+6)=YEAR(E40),(12-MONTH(E40)+1)/12,1))))))))&gt;0,(((K40)*(IF(M40="",L40,IFERROR(IF(INDEX(Variablen!$I:$AT, MATCH(M40, Variablen!$A:$A, 0), MATCH((YEAR(D40)+6), Variablen!$I$3:$AT$3, 0))="",L40,INDEX(Variablen!$I:$AT, MATCH(M40, Variablen!$A:$A, 0), MATCH((YEAR(D40)+6), Variablen!$I$3:$AT$3, 0))),L40)))*(IF((YEAR(D40)+6)&lt;YEAR(E40),0,IF((YEAR(D40)+6)&gt;YEAR(E40),1,(12-MONTH(E40)+1)/12))) + (Q40)*(IF((YEAR(D40)+6)&lt;YEAR(E40),0,IF((YEAR(D40)+6)&gt;YEAR(E40),1,(12-MONTH(E40)+1)/12))))-((P40)*(IF((YEAR(D40)+6)&lt;YEAR(E40),0,IF((YEAR(D40)+6)&gt;YEAR(E40),1,(12-MONTH(E40)+1)/12))) + (R40)*(IF((YEAR(D40)+6)&lt;YEAR(E40),0,IF((YEAR(D40)+6)&gt;YEAR(E40),1,(12-MONTH(E40)+1)/12))))-(IF(OR(N40="",N40&lt;=0),0,(O40/N40)*(IF(OR(N40="",N40&lt;=0),0,IF((YEAR(D40)+6)&lt;YEAR(E40),0,IF((YEAR(D40)+6)&gt;=YEAR(E40)+N40,0,IF((YEAR(D40)+6)=YEAR(E40),(12-MONTH(E40)+1)/12,1))))))))*TaxRate,0))-IF(6=0,O40,0))</f>
        <v/>
      </c>
      <c r="Z40" s="29">
        <f>IF(A40="","",((K40)*(IF(M40="",L40,IFERROR(IF(INDEX(Variablen!$I:$AT, MATCH(M40, Variablen!$A:$A, 0), MATCH((YEAR(D40)+7), Variablen!$I$3:$AT$3, 0))="",L40,INDEX(Variablen!$I:$AT, MATCH(M40, Variablen!$A:$A, 0), MATCH((YEAR(D40)+7), Variablen!$I$3:$AT$3, 0))),L40)))*(IF((YEAR(D40)+7)&lt;YEAR(E40),0,IF((YEAR(D40)+7)&gt;YEAR(E40),1,(12-MONTH(E40)+1)/12))) + (Q40)*(IF((YEAR(D40)+7)&lt;YEAR(E40),0,IF((YEAR(D40)+7)&gt;YEAR(E40),1,(12-MONTH(E40)+1)/12))))-((P40)*(IF((YEAR(D40)+7)&lt;YEAR(E40),0,IF((YEAR(D40)+7)&gt;YEAR(E40),1,(12-MONTH(E40)+1)/12))) + (R40)*(IF((YEAR(D40)+7)&lt;YEAR(E40),0,IF((YEAR(D40)+7)&gt;YEAR(E40),1,(12-MONTH(E40)+1)/12))))-(IF((((K40)*(IF(M40="",L40,IFERROR(IF(INDEX(Variablen!$I:$AT, MATCH(M40, Variablen!$A:$A, 0), MATCH((YEAR(D40)+7), Variablen!$I$3:$AT$3, 0))="",L40,INDEX(Variablen!$I:$AT, MATCH(M40, Variablen!$A:$A, 0), MATCH((YEAR(D40)+7), Variablen!$I$3:$AT$3, 0))),L40)))*(IF((YEAR(D40)+7)&lt;YEAR(E40),0,IF((YEAR(D40)+7)&gt;YEAR(E40),1,(12-MONTH(E40)+1)/12))) + (Q40)*(IF((YEAR(D40)+7)&lt;YEAR(E40),0,IF((YEAR(D40)+7)&gt;YEAR(E40),1,(12-MONTH(E40)+1)/12))))-((P40)*(IF((YEAR(D40)+7)&lt;YEAR(E40),0,IF((YEAR(D40)+7)&gt;YEAR(E40),1,(12-MONTH(E40)+1)/12))) + (R40)*(IF((YEAR(D40)+7)&lt;YEAR(E40),0,IF((YEAR(D40)+7)&gt;YEAR(E40),1,(12-MONTH(E40)+1)/12))))-(IF(OR(N40="",N40&lt;=0),0,(O40/N40)*(IF(OR(N40="",N40&lt;=0),0,IF((YEAR(D40)+7)&lt;YEAR(E40),0,IF((YEAR(D40)+7)&gt;=YEAR(E40)+N40,0,IF((YEAR(D40)+7)=YEAR(E40),(12-MONTH(E40)+1)/12,1))))))))&gt;0,(((K40)*(IF(M40="",L40,IFERROR(IF(INDEX(Variablen!$I:$AT, MATCH(M40, Variablen!$A:$A, 0), MATCH((YEAR(D40)+7), Variablen!$I$3:$AT$3, 0))="",L40,INDEX(Variablen!$I:$AT, MATCH(M40, Variablen!$A:$A, 0), MATCH((YEAR(D40)+7), Variablen!$I$3:$AT$3, 0))),L40)))*(IF((YEAR(D40)+7)&lt;YEAR(E40),0,IF((YEAR(D40)+7)&gt;YEAR(E40),1,(12-MONTH(E40)+1)/12))) + (Q40)*(IF((YEAR(D40)+7)&lt;YEAR(E40),0,IF((YEAR(D40)+7)&gt;YEAR(E40),1,(12-MONTH(E40)+1)/12))))-((P40)*(IF((YEAR(D40)+7)&lt;YEAR(E40),0,IF((YEAR(D40)+7)&gt;YEAR(E40),1,(12-MONTH(E40)+1)/12))) + (R40)*(IF((YEAR(D40)+7)&lt;YEAR(E40),0,IF((YEAR(D40)+7)&gt;YEAR(E40),1,(12-MONTH(E40)+1)/12))))-(IF(OR(N40="",N40&lt;=0),0,(O40/N40)*(IF(OR(N40="",N40&lt;=0),0,IF((YEAR(D40)+7)&lt;YEAR(E40),0,IF((YEAR(D40)+7)&gt;=YEAR(E40)+N40,0,IF((YEAR(D40)+7)=YEAR(E40),(12-MONTH(E40)+1)/12,1))))))))*TaxRate,0))-IF(7=0,O40,0))</f>
        <v/>
      </c>
      <c r="AA40" s="29">
        <f>IF(A40="","",((K40)*(IF(M40="",L40,IFERROR(IF(INDEX(Variablen!$I:$AT, MATCH(M40, Variablen!$A:$A, 0), MATCH((YEAR(D40)+8), Variablen!$I$3:$AT$3, 0))="",L40,INDEX(Variablen!$I:$AT, MATCH(M40, Variablen!$A:$A, 0), MATCH((YEAR(D40)+8), Variablen!$I$3:$AT$3, 0))),L40)))*(IF((YEAR(D40)+8)&lt;YEAR(E40),0,IF((YEAR(D40)+8)&gt;YEAR(E40),1,(12-MONTH(E40)+1)/12))) + (Q40)*(IF((YEAR(D40)+8)&lt;YEAR(E40),0,IF((YEAR(D40)+8)&gt;YEAR(E40),1,(12-MONTH(E40)+1)/12))))-((P40)*(IF((YEAR(D40)+8)&lt;YEAR(E40),0,IF((YEAR(D40)+8)&gt;YEAR(E40),1,(12-MONTH(E40)+1)/12))) + (R40)*(IF((YEAR(D40)+8)&lt;YEAR(E40),0,IF((YEAR(D40)+8)&gt;YEAR(E40),1,(12-MONTH(E40)+1)/12))))-(IF((((K40)*(IF(M40="",L40,IFERROR(IF(INDEX(Variablen!$I:$AT, MATCH(M40, Variablen!$A:$A, 0), MATCH((YEAR(D40)+8), Variablen!$I$3:$AT$3, 0))="",L40,INDEX(Variablen!$I:$AT, MATCH(M40, Variablen!$A:$A, 0), MATCH((YEAR(D40)+8), Variablen!$I$3:$AT$3, 0))),L40)))*(IF((YEAR(D40)+8)&lt;YEAR(E40),0,IF((YEAR(D40)+8)&gt;YEAR(E40),1,(12-MONTH(E40)+1)/12))) + (Q40)*(IF((YEAR(D40)+8)&lt;YEAR(E40),0,IF((YEAR(D40)+8)&gt;YEAR(E40),1,(12-MONTH(E40)+1)/12))))-((P40)*(IF((YEAR(D40)+8)&lt;YEAR(E40),0,IF((YEAR(D40)+8)&gt;YEAR(E40),1,(12-MONTH(E40)+1)/12))) + (R40)*(IF((YEAR(D40)+8)&lt;YEAR(E40),0,IF((YEAR(D40)+8)&gt;YEAR(E40),1,(12-MONTH(E40)+1)/12))))-(IF(OR(N40="",N40&lt;=0),0,(O40/N40)*(IF(OR(N40="",N40&lt;=0),0,IF((YEAR(D40)+8)&lt;YEAR(E40),0,IF((YEAR(D40)+8)&gt;=YEAR(E40)+N40,0,IF((YEAR(D40)+8)=YEAR(E40),(12-MONTH(E40)+1)/12,1))))))))&gt;0,(((K40)*(IF(M40="",L40,IFERROR(IF(INDEX(Variablen!$I:$AT, MATCH(M40, Variablen!$A:$A, 0), MATCH((YEAR(D40)+8), Variablen!$I$3:$AT$3, 0))="",L40,INDEX(Variablen!$I:$AT, MATCH(M40, Variablen!$A:$A, 0), MATCH((YEAR(D40)+8), Variablen!$I$3:$AT$3, 0))),L40)))*(IF((YEAR(D40)+8)&lt;YEAR(E40),0,IF((YEAR(D40)+8)&gt;YEAR(E40),1,(12-MONTH(E40)+1)/12))) + (Q40)*(IF((YEAR(D40)+8)&lt;YEAR(E40),0,IF((YEAR(D40)+8)&gt;YEAR(E40),1,(12-MONTH(E40)+1)/12))))-((P40)*(IF((YEAR(D40)+8)&lt;YEAR(E40),0,IF((YEAR(D40)+8)&gt;YEAR(E40),1,(12-MONTH(E40)+1)/12))) + (R40)*(IF((YEAR(D40)+8)&lt;YEAR(E40),0,IF((YEAR(D40)+8)&gt;YEAR(E40),1,(12-MONTH(E40)+1)/12))))-(IF(OR(N40="",N40&lt;=0),0,(O40/N40)*(IF(OR(N40="",N40&lt;=0),0,IF((YEAR(D40)+8)&lt;YEAR(E40),0,IF((YEAR(D40)+8)&gt;=YEAR(E40)+N40,0,IF((YEAR(D40)+8)=YEAR(E40),(12-MONTH(E40)+1)/12,1))))))))*TaxRate,0))-IF(8=0,O40,0))</f>
        <v/>
      </c>
      <c r="AB40" s="29">
        <f>IF(A40="","",((K40)*(IF(M40="",L40,IFERROR(IF(INDEX(Variablen!$I:$AT, MATCH(M40, Variablen!$A:$A, 0), MATCH((YEAR(D40)+9), Variablen!$I$3:$AT$3, 0))="",L40,INDEX(Variablen!$I:$AT, MATCH(M40, Variablen!$A:$A, 0), MATCH((YEAR(D40)+9), Variablen!$I$3:$AT$3, 0))),L40)))*(IF((YEAR(D40)+9)&lt;YEAR(E40),0,IF((YEAR(D40)+9)&gt;YEAR(E40),1,(12-MONTH(E40)+1)/12))) + (Q40)*(IF((YEAR(D40)+9)&lt;YEAR(E40),0,IF((YEAR(D40)+9)&gt;YEAR(E40),1,(12-MONTH(E40)+1)/12))))-((P40)*(IF((YEAR(D40)+9)&lt;YEAR(E40),0,IF((YEAR(D40)+9)&gt;YEAR(E40),1,(12-MONTH(E40)+1)/12))) + (R40)*(IF((YEAR(D40)+9)&lt;YEAR(E40),0,IF((YEAR(D40)+9)&gt;YEAR(E40),1,(12-MONTH(E40)+1)/12))))-(IF((((K40)*(IF(M40="",L40,IFERROR(IF(INDEX(Variablen!$I:$AT, MATCH(M40, Variablen!$A:$A, 0), MATCH((YEAR(D40)+9), Variablen!$I$3:$AT$3, 0))="",L40,INDEX(Variablen!$I:$AT, MATCH(M40, Variablen!$A:$A, 0), MATCH((YEAR(D40)+9), Variablen!$I$3:$AT$3, 0))),L40)))*(IF((YEAR(D40)+9)&lt;YEAR(E40),0,IF((YEAR(D40)+9)&gt;YEAR(E40),1,(12-MONTH(E40)+1)/12))) + (Q40)*(IF((YEAR(D40)+9)&lt;YEAR(E40),0,IF((YEAR(D40)+9)&gt;YEAR(E40),1,(12-MONTH(E40)+1)/12))))-((P40)*(IF((YEAR(D40)+9)&lt;YEAR(E40),0,IF((YEAR(D40)+9)&gt;YEAR(E40),1,(12-MONTH(E40)+1)/12))) + (R40)*(IF((YEAR(D40)+9)&lt;YEAR(E40),0,IF((YEAR(D40)+9)&gt;YEAR(E40),1,(12-MONTH(E40)+1)/12))))-(IF(OR(N40="",N40&lt;=0),0,(O40/N40)*(IF(OR(N40="",N40&lt;=0),0,IF((YEAR(D40)+9)&lt;YEAR(E40),0,IF((YEAR(D40)+9)&gt;=YEAR(E40)+N40,0,IF((YEAR(D40)+9)=YEAR(E40),(12-MONTH(E40)+1)/12,1))))))))&gt;0,(((K40)*(IF(M40="",L40,IFERROR(IF(INDEX(Variablen!$I:$AT, MATCH(M40, Variablen!$A:$A, 0), MATCH((YEAR(D40)+9), Variablen!$I$3:$AT$3, 0))="",L40,INDEX(Variablen!$I:$AT, MATCH(M40, Variablen!$A:$A, 0), MATCH((YEAR(D40)+9), Variablen!$I$3:$AT$3, 0))),L40)))*(IF((YEAR(D40)+9)&lt;YEAR(E40),0,IF((YEAR(D40)+9)&gt;YEAR(E40),1,(12-MONTH(E40)+1)/12))) + (Q40)*(IF((YEAR(D40)+9)&lt;YEAR(E40),0,IF((YEAR(D40)+9)&gt;YEAR(E40),1,(12-MONTH(E40)+1)/12))))-((P40)*(IF((YEAR(D40)+9)&lt;YEAR(E40),0,IF((YEAR(D40)+9)&gt;YEAR(E40),1,(12-MONTH(E40)+1)/12))) + (R40)*(IF((YEAR(D40)+9)&lt;YEAR(E40),0,IF((YEAR(D40)+9)&gt;YEAR(E40),1,(12-MONTH(E40)+1)/12))))-(IF(OR(N40="",N40&lt;=0),0,(O40/N40)*(IF(OR(N40="",N40&lt;=0),0,IF((YEAR(D40)+9)&lt;YEAR(E40),0,IF((YEAR(D40)+9)&gt;=YEAR(E40)+N40,0,IF((YEAR(D40)+9)=YEAR(E40),(12-MONTH(E40)+1)/12,1))))))))*TaxRate,0))-IF(9=0,O40,0))</f>
        <v/>
      </c>
      <c r="AC40" s="29">
        <f>IF(A40="","",((K40)*(IF(M40="",L40,IFERROR(IF(INDEX(Variablen!$I:$AT, MATCH(M40, Variablen!$A:$A, 0), MATCH((YEAR(D40)+10), Variablen!$I$3:$AT$3, 0))="",L40,INDEX(Variablen!$I:$AT, MATCH(M40, Variablen!$A:$A, 0), MATCH((YEAR(D40)+10), Variablen!$I$3:$AT$3, 0))),L40)))*(IF((YEAR(D40)+10)&lt;YEAR(E40),0,IF((YEAR(D40)+10)&gt;YEAR(E40),1,(12-MONTH(E40)+1)/12))) + (Q40)*(IF((YEAR(D40)+10)&lt;YEAR(E40),0,IF((YEAR(D40)+10)&gt;YEAR(E40),1,(12-MONTH(E40)+1)/12))))-((P40)*(IF((YEAR(D40)+10)&lt;YEAR(E40),0,IF((YEAR(D40)+10)&gt;YEAR(E40),1,(12-MONTH(E40)+1)/12))) + (R40)*(IF((YEAR(D40)+10)&lt;YEAR(E40),0,IF((YEAR(D40)+10)&gt;YEAR(E40),1,(12-MONTH(E40)+1)/12))))-(IF((((K40)*(IF(M40="",L40,IFERROR(IF(INDEX(Variablen!$I:$AT, MATCH(M40, Variablen!$A:$A, 0), MATCH((YEAR(D40)+10), Variablen!$I$3:$AT$3, 0))="",L40,INDEX(Variablen!$I:$AT, MATCH(M40, Variablen!$A:$A, 0), MATCH((YEAR(D40)+10), Variablen!$I$3:$AT$3, 0))),L40)))*(IF((YEAR(D40)+10)&lt;YEAR(E40),0,IF((YEAR(D40)+10)&gt;YEAR(E40),1,(12-MONTH(E40)+1)/12))) + (Q40)*(IF((YEAR(D40)+10)&lt;YEAR(E40),0,IF((YEAR(D40)+10)&gt;YEAR(E40),1,(12-MONTH(E40)+1)/12))))-((P40)*(IF((YEAR(D40)+10)&lt;YEAR(E40),0,IF((YEAR(D40)+10)&gt;YEAR(E40),1,(12-MONTH(E40)+1)/12))) + (R40)*(IF((YEAR(D40)+10)&lt;YEAR(E40),0,IF((YEAR(D40)+10)&gt;YEAR(E40),1,(12-MONTH(E40)+1)/12))))-(IF(OR(N40="",N40&lt;=0),0,(O40/N40)*(IF(OR(N40="",N40&lt;=0),0,IF((YEAR(D40)+10)&lt;YEAR(E40),0,IF((YEAR(D40)+10)&gt;=YEAR(E40)+N40,0,IF((YEAR(D40)+10)=YEAR(E40),(12-MONTH(E40)+1)/12,1))))))))&gt;0,(((K40)*(IF(M40="",L40,IFERROR(IF(INDEX(Variablen!$I:$AT, MATCH(M40, Variablen!$A:$A, 0), MATCH((YEAR(D40)+10), Variablen!$I$3:$AT$3, 0))="",L40,INDEX(Variablen!$I:$AT, MATCH(M40, Variablen!$A:$A, 0), MATCH((YEAR(D40)+10), Variablen!$I$3:$AT$3, 0))),L40)))*(IF((YEAR(D40)+10)&lt;YEAR(E40),0,IF((YEAR(D40)+10)&gt;YEAR(E40),1,(12-MONTH(E40)+1)/12))) + (Q40)*(IF((YEAR(D40)+10)&lt;YEAR(E40),0,IF((YEAR(D40)+10)&gt;YEAR(E40),1,(12-MONTH(E40)+1)/12))))-((P40)*(IF((YEAR(D40)+10)&lt;YEAR(E40),0,IF((YEAR(D40)+10)&gt;YEAR(E40),1,(12-MONTH(E40)+1)/12))) + (R40)*(IF((YEAR(D40)+10)&lt;YEAR(E40),0,IF((YEAR(D40)+10)&gt;YEAR(E40),1,(12-MONTH(E40)+1)/12))))-(IF(OR(N40="",N40&lt;=0),0,(O40/N40)*(IF(OR(N40="",N40&lt;=0),0,IF((YEAR(D40)+10)&lt;YEAR(E40),0,IF((YEAR(D40)+10)&gt;=YEAR(E40)+N40,0,IF((YEAR(D40)+10)=YEAR(E40),(12-MONTH(E40)+1)/12,1))))))))*TaxRate,0))-IF(10=0,O40,0))</f>
        <v/>
      </c>
      <c r="AD40" s="29">
        <f>IF(A40="","",((K40)*(IF(M40="",L40,IFERROR(IF(INDEX(Variablen!$I:$AT, MATCH(M40, Variablen!$A:$A, 0), MATCH((YEAR(D40)+11), Variablen!$I$3:$AT$3, 0))="",L40,INDEX(Variablen!$I:$AT, MATCH(M40, Variablen!$A:$A, 0), MATCH((YEAR(D40)+11), Variablen!$I$3:$AT$3, 0))),L40)))*(IF((YEAR(D40)+11)&lt;YEAR(E40),0,IF((YEAR(D40)+11)&gt;YEAR(E40),1,(12-MONTH(E40)+1)/12))) + (Q40)*(IF((YEAR(D40)+11)&lt;YEAR(E40),0,IF((YEAR(D40)+11)&gt;YEAR(E40),1,(12-MONTH(E40)+1)/12))))-((P40)*(IF((YEAR(D40)+11)&lt;YEAR(E40),0,IF((YEAR(D40)+11)&gt;YEAR(E40),1,(12-MONTH(E40)+1)/12))) + (R40)*(IF((YEAR(D40)+11)&lt;YEAR(E40),0,IF((YEAR(D40)+11)&gt;YEAR(E40),1,(12-MONTH(E40)+1)/12))))-(IF((((K40)*(IF(M40="",L40,IFERROR(IF(INDEX(Variablen!$I:$AT, MATCH(M40, Variablen!$A:$A, 0), MATCH((YEAR(D40)+11), Variablen!$I$3:$AT$3, 0))="",L40,INDEX(Variablen!$I:$AT, MATCH(M40, Variablen!$A:$A, 0), MATCH((YEAR(D40)+11), Variablen!$I$3:$AT$3, 0))),L40)))*(IF((YEAR(D40)+11)&lt;YEAR(E40),0,IF((YEAR(D40)+11)&gt;YEAR(E40),1,(12-MONTH(E40)+1)/12))) + (Q40)*(IF((YEAR(D40)+11)&lt;YEAR(E40),0,IF((YEAR(D40)+11)&gt;YEAR(E40),1,(12-MONTH(E40)+1)/12))))-((P40)*(IF((YEAR(D40)+11)&lt;YEAR(E40),0,IF((YEAR(D40)+11)&gt;YEAR(E40),1,(12-MONTH(E40)+1)/12))) + (R40)*(IF((YEAR(D40)+11)&lt;YEAR(E40),0,IF((YEAR(D40)+11)&gt;YEAR(E40),1,(12-MONTH(E40)+1)/12))))-(IF(OR(N40="",N40&lt;=0),0,(O40/N40)*(IF(OR(N40="",N40&lt;=0),0,IF((YEAR(D40)+11)&lt;YEAR(E40),0,IF((YEAR(D40)+11)&gt;=YEAR(E40)+N40,0,IF((YEAR(D40)+11)=YEAR(E40),(12-MONTH(E40)+1)/12,1))))))))&gt;0,(((K40)*(IF(M40="",L40,IFERROR(IF(INDEX(Variablen!$I:$AT, MATCH(M40, Variablen!$A:$A, 0), MATCH((YEAR(D40)+11), Variablen!$I$3:$AT$3, 0))="",L40,INDEX(Variablen!$I:$AT, MATCH(M40, Variablen!$A:$A, 0), MATCH((YEAR(D40)+11), Variablen!$I$3:$AT$3, 0))),L40)))*(IF((YEAR(D40)+11)&lt;YEAR(E40),0,IF((YEAR(D40)+11)&gt;YEAR(E40),1,(12-MONTH(E40)+1)/12))) + (Q40)*(IF((YEAR(D40)+11)&lt;YEAR(E40),0,IF((YEAR(D40)+11)&gt;YEAR(E40),1,(12-MONTH(E40)+1)/12))))-((P40)*(IF((YEAR(D40)+11)&lt;YEAR(E40),0,IF((YEAR(D40)+11)&gt;YEAR(E40),1,(12-MONTH(E40)+1)/12))) + (R40)*(IF((YEAR(D40)+11)&lt;YEAR(E40),0,IF((YEAR(D40)+11)&gt;YEAR(E40),1,(12-MONTH(E40)+1)/12))))-(IF(OR(N40="",N40&lt;=0),0,(O40/N40)*(IF(OR(N40="",N40&lt;=0),0,IF((YEAR(D40)+11)&lt;YEAR(E40),0,IF((YEAR(D40)+11)&gt;=YEAR(E40)+N40,0,IF((YEAR(D40)+11)=YEAR(E40),(12-MONTH(E40)+1)/12,1))))))))*TaxRate,0))-IF(11=0,O40,0))</f>
        <v/>
      </c>
      <c r="AE40" s="29">
        <f>IF(A40="","",((K40)*(IF(M40="",L40,IFERROR(IF(INDEX(Variablen!$I:$AT, MATCH(M40, Variablen!$A:$A, 0), MATCH((YEAR(D40)+12), Variablen!$I$3:$AT$3, 0))="",L40,INDEX(Variablen!$I:$AT, MATCH(M40, Variablen!$A:$A, 0), MATCH((YEAR(D40)+12), Variablen!$I$3:$AT$3, 0))),L40)))*(IF((YEAR(D40)+12)&lt;YEAR(E40),0,IF((YEAR(D40)+12)&gt;YEAR(E40),1,(12-MONTH(E40)+1)/12))) + (Q40)*(IF((YEAR(D40)+12)&lt;YEAR(E40),0,IF((YEAR(D40)+12)&gt;YEAR(E40),1,(12-MONTH(E40)+1)/12))))-((P40)*(IF((YEAR(D40)+12)&lt;YEAR(E40),0,IF((YEAR(D40)+12)&gt;YEAR(E40),1,(12-MONTH(E40)+1)/12))) + (R40)*(IF((YEAR(D40)+12)&lt;YEAR(E40),0,IF((YEAR(D40)+12)&gt;YEAR(E40),1,(12-MONTH(E40)+1)/12))))-(IF((((K40)*(IF(M40="",L40,IFERROR(IF(INDEX(Variablen!$I:$AT, MATCH(M40, Variablen!$A:$A, 0), MATCH((YEAR(D40)+12), Variablen!$I$3:$AT$3, 0))="",L40,INDEX(Variablen!$I:$AT, MATCH(M40, Variablen!$A:$A, 0), MATCH((YEAR(D40)+12), Variablen!$I$3:$AT$3, 0))),L40)))*(IF((YEAR(D40)+12)&lt;YEAR(E40),0,IF((YEAR(D40)+12)&gt;YEAR(E40),1,(12-MONTH(E40)+1)/12))) + (Q40)*(IF((YEAR(D40)+12)&lt;YEAR(E40),0,IF((YEAR(D40)+12)&gt;YEAR(E40),1,(12-MONTH(E40)+1)/12))))-((P40)*(IF((YEAR(D40)+12)&lt;YEAR(E40),0,IF((YEAR(D40)+12)&gt;YEAR(E40),1,(12-MONTH(E40)+1)/12))) + (R40)*(IF((YEAR(D40)+12)&lt;YEAR(E40),0,IF((YEAR(D40)+12)&gt;YEAR(E40),1,(12-MONTH(E40)+1)/12))))-(IF(OR(N40="",N40&lt;=0),0,(O40/N40)*(IF(OR(N40="",N40&lt;=0),0,IF((YEAR(D40)+12)&lt;YEAR(E40),0,IF((YEAR(D40)+12)&gt;=YEAR(E40)+N40,0,IF((YEAR(D40)+12)=YEAR(E40),(12-MONTH(E40)+1)/12,1))))))))&gt;0,(((K40)*(IF(M40="",L40,IFERROR(IF(INDEX(Variablen!$I:$AT, MATCH(M40, Variablen!$A:$A, 0), MATCH((YEAR(D40)+12), Variablen!$I$3:$AT$3, 0))="",L40,INDEX(Variablen!$I:$AT, MATCH(M40, Variablen!$A:$A, 0), MATCH((YEAR(D40)+12), Variablen!$I$3:$AT$3, 0))),L40)))*(IF((YEAR(D40)+12)&lt;YEAR(E40),0,IF((YEAR(D40)+12)&gt;YEAR(E40),1,(12-MONTH(E40)+1)/12))) + (Q40)*(IF((YEAR(D40)+12)&lt;YEAR(E40),0,IF((YEAR(D40)+12)&gt;YEAR(E40),1,(12-MONTH(E40)+1)/12))))-((P40)*(IF((YEAR(D40)+12)&lt;YEAR(E40),0,IF((YEAR(D40)+12)&gt;YEAR(E40),1,(12-MONTH(E40)+1)/12))) + (R40)*(IF((YEAR(D40)+12)&lt;YEAR(E40),0,IF((YEAR(D40)+12)&gt;YEAR(E40),1,(12-MONTH(E40)+1)/12))))-(IF(OR(N40="",N40&lt;=0),0,(O40/N40)*(IF(OR(N40="",N40&lt;=0),0,IF((YEAR(D40)+12)&lt;YEAR(E40),0,IF((YEAR(D40)+12)&gt;=YEAR(E40)+N40,0,IF((YEAR(D40)+12)=YEAR(E40),(12-MONTH(E40)+1)/12,1))))))))*TaxRate,0))-IF(12=0,O40,0))</f>
        <v/>
      </c>
      <c r="AF40" s="29">
        <f>IF(A40="","",((K40)*(IF(M40="",L40,IFERROR(IF(INDEX(Variablen!$I:$AT, MATCH(M40, Variablen!$A:$A, 0), MATCH((YEAR(D40)+13), Variablen!$I$3:$AT$3, 0))="",L40,INDEX(Variablen!$I:$AT, MATCH(M40, Variablen!$A:$A, 0), MATCH((YEAR(D40)+13), Variablen!$I$3:$AT$3, 0))),L40)))*(IF((YEAR(D40)+13)&lt;YEAR(E40),0,IF((YEAR(D40)+13)&gt;YEAR(E40),1,(12-MONTH(E40)+1)/12))) + (Q40)*(IF((YEAR(D40)+13)&lt;YEAR(E40),0,IF((YEAR(D40)+13)&gt;YEAR(E40),1,(12-MONTH(E40)+1)/12))))-((P40)*(IF((YEAR(D40)+13)&lt;YEAR(E40),0,IF((YEAR(D40)+13)&gt;YEAR(E40),1,(12-MONTH(E40)+1)/12))) + (R40)*(IF((YEAR(D40)+13)&lt;YEAR(E40),0,IF((YEAR(D40)+13)&gt;YEAR(E40),1,(12-MONTH(E40)+1)/12))))-(IF((((K40)*(IF(M40="",L40,IFERROR(IF(INDEX(Variablen!$I:$AT, MATCH(M40, Variablen!$A:$A, 0), MATCH((YEAR(D40)+13), Variablen!$I$3:$AT$3, 0))="",L40,INDEX(Variablen!$I:$AT, MATCH(M40, Variablen!$A:$A, 0), MATCH((YEAR(D40)+13), Variablen!$I$3:$AT$3, 0))),L40)))*(IF((YEAR(D40)+13)&lt;YEAR(E40),0,IF((YEAR(D40)+13)&gt;YEAR(E40),1,(12-MONTH(E40)+1)/12))) + (Q40)*(IF((YEAR(D40)+13)&lt;YEAR(E40),0,IF((YEAR(D40)+13)&gt;YEAR(E40),1,(12-MONTH(E40)+1)/12))))-((P40)*(IF((YEAR(D40)+13)&lt;YEAR(E40),0,IF((YEAR(D40)+13)&gt;YEAR(E40),1,(12-MONTH(E40)+1)/12))) + (R40)*(IF((YEAR(D40)+13)&lt;YEAR(E40),0,IF((YEAR(D40)+13)&gt;YEAR(E40),1,(12-MONTH(E40)+1)/12))))-(IF(OR(N40="",N40&lt;=0),0,(O40/N40)*(IF(OR(N40="",N40&lt;=0),0,IF((YEAR(D40)+13)&lt;YEAR(E40),0,IF((YEAR(D40)+13)&gt;=YEAR(E40)+N40,0,IF((YEAR(D40)+13)=YEAR(E40),(12-MONTH(E40)+1)/12,1))))))))&gt;0,(((K40)*(IF(M40="",L40,IFERROR(IF(INDEX(Variablen!$I:$AT, MATCH(M40, Variablen!$A:$A, 0), MATCH((YEAR(D40)+13), Variablen!$I$3:$AT$3, 0))="",L40,INDEX(Variablen!$I:$AT, MATCH(M40, Variablen!$A:$A, 0), MATCH((YEAR(D40)+13), Variablen!$I$3:$AT$3, 0))),L40)))*(IF((YEAR(D40)+13)&lt;YEAR(E40),0,IF((YEAR(D40)+13)&gt;YEAR(E40),1,(12-MONTH(E40)+1)/12))) + (Q40)*(IF((YEAR(D40)+13)&lt;YEAR(E40),0,IF((YEAR(D40)+13)&gt;YEAR(E40),1,(12-MONTH(E40)+1)/12))))-((P40)*(IF((YEAR(D40)+13)&lt;YEAR(E40),0,IF((YEAR(D40)+13)&gt;YEAR(E40),1,(12-MONTH(E40)+1)/12))) + (R40)*(IF((YEAR(D40)+13)&lt;YEAR(E40),0,IF((YEAR(D40)+13)&gt;YEAR(E40),1,(12-MONTH(E40)+1)/12))))-(IF(OR(N40="",N40&lt;=0),0,(O40/N40)*(IF(OR(N40="",N40&lt;=0),0,IF((YEAR(D40)+13)&lt;YEAR(E40),0,IF((YEAR(D40)+13)&gt;=YEAR(E40)+N40,0,IF((YEAR(D40)+13)=YEAR(E40),(12-MONTH(E40)+1)/12,1))))))))*TaxRate,0))-IF(13=0,O40,0))</f>
        <v/>
      </c>
      <c r="AG40" s="29">
        <f>IF(A40="","",((K40)*(IF(M40="",L40,IFERROR(IF(INDEX(Variablen!$I:$AT, MATCH(M40, Variablen!$A:$A, 0), MATCH((YEAR(D40)+14), Variablen!$I$3:$AT$3, 0))="",L40,INDEX(Variablen!$I:$AT, MATCH(M40, Variablen!$A:$A, 0), MATCH((YEAR(D40)+14), Variablen!$I$3:$AT$3, 0))),L40)))*(IF((YEAR(D40)+14)&lt;YEAR(E40),0,IF((YEAR(D40)+14)&gt;YEAR(E40),1,(12-MONTH(E40)+1)/12))) + (Q40)*(IF((YEAR(D40)+14)&lt;YEAR(E40),0,IF((YEAR(D40)+14)&gt;YEAR(E40),1,(12-MONTH(E40)+1)/12))))-((P40)*(IF((YEAR(D40)+14)&lt;YEAR(E40),0,IF((YEAR(D40)+14)&gt;YEAR(E40),1,(12-MONTH(E40)+1)/12))) + (R40)*(IF((YEAR(D40)+14)&lt;YEAR(E40),0,IF((YEAR(D40)+14)&gt;YEAR(E40),1,(12-MONTH(E40)+1)/12))))-(IF((((K40)*(IF(M40="",L40,IFERROR(IF(INDEX(Variablen!$I:$AT, MATCH(M40, Variablen!$A:$A, 0), MATCH((YEAR(D40)+14), Variablen!$I$3:$AT$3, 0))="",L40,INDEX(Variablen!$I:$AT, MATCH(M40, Variablen!$A:$A, 0), MATCH((YEAR(D40)+14), Variablen!$I$3:$AT$3, 0))),L40)))*(IF((YEAR(D40)+14)&lt;YEAR(E40),0,IF((YEAR(D40)+14)&gt;YEAR(E40),1,(12-MONTH(E40)+1)/12))) + (Q40)*(IF((YEAR(D40)+14)&lt;YEAR(E40),0,IF((YEAR(D40)+14)&gt;YEAR(E40),1,(12-MONTH(E40)+1)/12))))-((P40)*(IF((YEAR(D40)+14)&lt;YEAR(E40),0,IF((YEAR(D40)+14)&gt;YEAR(E40),1,(12-MONTH(E40)+1)/12))) + (R40)*(IF((YEAR(D40)+14)&lt;YEAR(E40),0,IF((YEAR(D40)+14)&gt;YEAR(E40),1,(12-MONTH(E40)+1)/12))))-(IF(OR(N40="",N40&lt;=0),0,(O40/N40)*(IF(OR(N40="",N40&lt;=0),0,IF((YEAR(D40)+14)&lt;YEAR(E40),0,IF((YEAR(D40)+14)&gt;=YEAR(E40)+N40,0,IF((YEAR(D40)+14)=YEAR(E40),(12-MONTH(E40)+1)/12,1))))))))&gt;0,(((K40)*(IF(M40="",L40,IFERROR(IF(INDEX(Variablen!$I:$AT, MATCH(M40, Variablen!$A:$A, 0), MATCH((YEAR(D40)+14), Variablen!$I$3:$AT$3, 0))="",L40,INDEX(Variablen!$I:$AT, MATCH(M40, Variablen!$A:$A, 0), MATCH((YEAR(D40)+14), Variablen!$I$3:$AT$3, 0))),L40)))*(IF((YEAR(D40)+14)&lt;YEAR(E40),0,IF((YEAR(D40)+14)&gt;YEAR(E40),1,(12-MONTH(E40)+1)/12))) + (Q40)*(IF((YEAR(D40)+14)&lt;YEAR(E40),0,IF((YEAR(D40)+14)&gt;YEAR(E40),1,(12-MONTH(E40)+1)/12))))-((P40)*(IF((YEAR(D40)+14)&lt;YEAR(E40),0,IF((YEAR(D40)+14)&gt;YEAR(E40),1,(12-MONTH(E40)+1)/12))) + (R40)*(IF((YEAR(D40)+14)&lt;YEAR(E40),0,IF((YEAR(D40)+14)&gt;YEAR(E40),1,(12-MONTH(E40)+1)/12))))-(IF(OR(N40="",N40&lt;=0),0,(O40/N40)*(IF(OR(N40="",N40&lt;=0),0,IF((YEAR(D40)+14)&lt;YEAR(E40),0,IF((YEAR(D40)+14)&gt;=YEAR(E40)+N40,0,IF((YEAR(D40)+14)=YEAR(E40),(12-MONTH(E40)+1)/12,1))))))))*TaxRate,0))-IF(14=0,O40,0))</f>
        <v/>
      </c>
      <c r="AH40" s="29">
        <f>IF(A40="","",((K40)*(IF(M40="",L40,IFERROR(IF(INDEX(Variablen!$I:$AT, MATCH(M40, Variablen!$A:$A, 0), MATCH((YEAR(D40)+15), Variablen!$I$3:$AT$3, 0))="",L40,INDEX(Variablen!$I:$AT, MATCH(M40, Variablen!$A:$A, 0), MATCH((YEAR(D40)+15), Variablen!$I$3:$AT$3, 0))),L40)))*(IF((YEAR(D40)+15)&lt;YEAR(E40),0,IF((YEAR(D40)+15)&gt;YEAR(E40),1,(12-MONTH(E40)+1)/12))) + (Q40)*(IF((YEAR(D40)+15)&lt;YEAR(E40),0,IF((YEAR(D40)+15)&gt;YEAR(E40),1,(12-MONTH(E40)+1)/12))))-((P40)*(IF((YEAR(D40)+15)&lt;YEAR(E40),0,IF((YEAR(D40)+15)&gt;YEAR(E40),1,(12-MONTH(E40)+1)/12))) + (R40)*(IF((YEAR(D40)+15)&lt;YEAR(E40),0,IF((YEAR(D40)+15)&gt;YEAR(E40),1,(12-MONTH(E40)+1)/12))))-(IF((((K40)*(IF(M40="",L40,IFERROR(IF(INDEX(Variablen!$I:$AT, MATCH(M40, Variablen!$A:$A, 0), MATCH((YEAR(D40)+15), Variablen!$I$3:$AT$3, 0))="",L40,INDEX(Variablen!$I:$AT, MATCH(M40, Variablen!$A:$A, 0), MATCH((YEAR(D40)+15), Variablen!$I$3:$AT$3, 0))),L40)))*(IF((YEAR(D40)+15)&lt;YEAR(E40),0,IF((YEAR(D40)+15)&gt;YEAR(E40),1,(12-MONTH(E40)+1)/12))) + (Q40)*(IF((YEAR(D40)+15)&lt;YEAR(E40),0,IF((YEAR(D40)+15)&gt;YEAR(E40),1,(12-MONTH(E40)+1)/12))))-((P40)*(IF((YEAR(D40)+15)&lt;YEAR(E40),0,IF((YEAR(D40)+15)&gt;YEAR(E40),1,(12-MONTH(E40)+1)/12))) + (R40)*(IF((YEAR(D40)+15)&lt;YEAR(E40),0,IF((YEAR(D40)+15)&gt;YEAR(E40),1,(12-MONTH(E40)+1)/12))))-(IF(OR(N40="",N40&lt;=0),0,(O40/N40)*(IF(OR(N40="",N40&lt;=0),0,IF((YEAR(D40)+15)&lt;YEAR(E40),0,IF((YEAR(D40)+15)&gt;=YEAR(E40)+N40,0,IF((YEAR(D40)+15)=YEAR(E40),(12-MONTH(E40)+1)/12,1))))))))&gt;0,(((K40)*(IF(M40="",L40,IFERROR(IF(INDEX(Variablen!$I:$AT, MATCH(M40, Variablen!$A:$A, 0), MATCH((YEAR(D40)+15), Variablen!$I$3:$AT$3, 0))="",L40,INDEX(Variablen!$I:$AT, MATCH(M40, Variablen!$A:$A, 0), MATCH((YEAR(D40)+15), Variablen!$I$3:$AT$3, 0))),L40)))*(IF((YEAR(D40)+15)&lt;YEAR(E40),0,IF((YEAR(D40)+15)&gt;YEAR(E40),1,(12-MONTH(E40)+1)/12))) + (Q40)*(IF((YEAR(D40)+15)&lt;YEAR(E40),0,IF((YEAR(D40)+15)&gt;YEAR(E40),1,(12-MONTH(E40)+1)/12))))-((P40)*(IF((YEAR(D40)+15)&lt;YEAR(E40),0,IF((YEAR(D40)+15)&gt;YEAR(E40),1,(12-MONTH(E40)+1)/12))) + (R40)*(IF((YEAR(D40)+15)&lt;YEAR(E40),0,IF((YEAR(D40)+15)&gt;YEAR(E40),1,(12-MONTH(E40)+1)/12))))-(IF(OR(N40="",N40&lt;=0),0,(O40/N40)*(IF(OR(N40="",N40&lt;=0),0,IF((YEAR(D40)+15)&lt;YEAR(E40),0,IF((YEAR(D40)+15)&gt;=YEAR(E40)+N40,0,IF((YEAR(D40)+15)=YEAR(E40),(12-MONTH(E40)+1)/12,1))))))))*TaxRate,0))-IF(15=0,O40,0))</f>
        <v/>
      </c>
      <c r="AI40" s="29">
        <f>IF(A40="","",((K40)*(IF(M40="",L40,IFERROR(IF(INDEX(Variablen!$I:$AT, MATCH(M40, Variablen!$A:$A, 0), MATCH((YEAR(D40)+16), Variablen!$I$3:$AT$3, 0))="",L40,INDEX(Variablen!$I:$AT, MATCH(M40, Variablen!$A:$A, 0), MATCH((YEAR(D40)+16), Variablen!$I$3:$AT$3, 0))),L40)))*(IF((YEAR(D40)+16)&lt;YEAR(E40),0,IF((YEAR(D40)+16)&gt;YEAR(E40),1,(12-MONTH(E40)+1)/12))) + (Q40)*(IF((YEAR(D40)+16)&lt;YEAR(E40),0,IF((YEAR(D40)+16)&gt;YEAR(E40),1,(12-MONTH(E40)+1)/12))))-((P40)*(IF((YEAR(D40)+16)&lt;YEAR(E40),0,IF((YEAR(D40)+16)&gt;YEAR(E40),1,(12-MONTH(E40)+1)/12))) + (R40)*(IF((YEAR(D40)+16)&lt;YEAR(E40),0,IF((YEAR(D40)+16)&gt;YEAR(E40),1,(12-MONTH(E40)+1)/12))))-(IF((((K40)*(IF(M40="",L40,IFERROR(IF(INDEX(Variablen!$I:$AT, MATCH(M40, Variablen!$A:$A, 0), MATCH((YEAR(D40)+16), Variablen!$I$3:$AT$3, 0))="",L40,INDEX(Variablen!$I:$AT, MATCH(M40, Variablen!$A:$A, 0), MATCH((YEAR(D40)+16), Variablen!$I$3:$AT$3, 0))),L40)))*(IF((YEAR(D40)+16)&lt;YEAR(E40),0,IF((YEAR(D40)+16)&gt;YEAR(E40),1,(12-MONTH(E40)+1)/12))) + (Q40)*(IF((YEAR(D40)+16)&lt;YEAR(E40),0,IF((YEAR(D40)+16)&gt;YEAR(E40),1,(12-MONTH(E40)+1)/12))))-((P40)*(IF((YEAR(D40)+16)&lt;YEAR(E40),0,IF((YEAR(D40)+16)&gt;YEAR(E40),1,(12-MONTH(E40)+1)/12))) + (R40)*(IF((YEAR(D40)+16)&lt;YEAR(E40),0,IF((YEAR(D40)+16)&gt;YEAR(E40),1,(12-MONTH(E40)+1)/12))))-(IF(OR(N40="",N40&lt;=0),0,(O40/N40)*(IF(OR(N40="",N40&lt;=0),0,IF((YEAR(D40)+16)&lt;YEAR(E40),0,IF((YEAR(D40)+16)&gt;=YEAR(E40)+N40,0,IF((YEAR(D40)+16)=YEAR(E40),(12-MONTH(E40)+1)/12,1))))))))&gt;0,(((K40)*(IF(M40="",L40,IFERROR(IF(INDEX(Variablen!$I:$AT, MATCH(M40, Variablen!$A:$A, 0), MATCH((YEAR(D40)+16), Variablen!$I$3:$AT$3, 0))="",L40,INDEX(Variablen!$I:$AT, MATCH(M40, Variablen!$A:$A, 0), MATCH((YEAR(D40)+16), Variablen!$I$3:$AT$3, 0))),L40)))*(IF((YEAR(D40)+16)&lt;YEAR(E40),0,IF((YEAR(D40)+16)&gt;YEAR(E40),1,(12-MONTH(E40)+1)/12))) + (Q40)*(IF((YEAR(D40)+16)&lt;YEAR(E40),0,IF((YEAR(D40)+16)&gt;YEAR(E40),1,(12-MONTH(E40)+1)/12))))-((P40)*(IF((YEAR(D40)+16)&lt;YEAR(E40),0,IF((YEAR(D40)+16)&gt;YEAR(E40),1,(12-MONTH(E40)+1)/12))) + (R40)*(IF((YEAR(D40)+16)&lt;YEAR(E40),0,IF((YEAR(D40)+16)&gt;YEAR(E40),1,(12-MONTH(E40)+1)/12))))-(IF(OR(N40="",N40&lt;=0),0,(O40/N40)*(IF(OR(N40="",N40&lt;=0),0,IF((YEAR(D40)+16)&lt;YEAR(E40),0,IF((YEAR(D40)+16)&gt;=YEAR(E40)+N40,0,IF((YEAR(D40)+16)=YEAR(E40),(12-MONTH(E40)+1)/12,1))))))))*TaxRate,0))-IF(16=0,O40,0))</f>
        <v/>
      </c>
      <c r="AJ40" s="29">
        <f>IF(A40="","",((K40)*(IF(M40="",L40,IFERROR(IF(INDEX(Variablen!$I:$AT, MATCH(M40, Variablen!$A:$A, 0), MATCH((YEAR(D40)+17), Variablen!$I$3:$AT$3, 0))="",L40,INDEX(Variablen!$I:$AT, MATCH(M40, Variablen!$A:$A, 0), MATCH((YEAR(D40)+17), Variablen!$I$3:$AT$3, 0))),L40)))*(IF((YEAR(D40)+17)&lt;YEAR(E40),0,IF((YEAR(D40)+17)&gt;YEAR(E40),1,(12-MONTH(E40)+1)/12))) + (Q40)*(IF((YEAR(D40)+17)&lt;YEAR(E40),0,IF((YEAR(D40)+17)&gt;YEAR(E40),1,(12-MONTH(E40)+1)/12))))-((P40)*(IF((YEAR(D40)+17)&lt;YEAR(E40),0,IF((YEAR(D40)+17)&gt;YEAR(E40),1,(12-MONTH(E40)+1)/12))) + (R40)*(IF((YEAR(D40)+17)&lt;YEAR(E40),0,IF((YEAR(D40)+17)&gt;YEAR(E40),1,(12-MONTH(E40)+1)/12))))-(IF((((K40)*(IF(M40="",L40,IFERROR(IF(INDEX(Variablen!$I:$AT, MATCH(M40, Variablen!$A:$A, 0), MATCH((YEAR(D40)+17), Variablen!$I$3:$AT$3, 0))="",L40,INDEX(Variablen!$I:$AT, MATCH(M40, Variablen!$A:$A, 0), MATCH((YEAR(D40)+17), Variablen!$I$3:$AT$3, 0))),L40)))*(IF((YEAR(D40)+17)&lt;YEAR(E40),0,IF((YEAR(D40)+17)&gt;YEAR(E40),1,(12-MONTH(E40)+1)/12))) + (Q40)*(IF((YEAR(D40)+17)&lt;YEAR(E40),0,IF((YEAR(D40)+17)&gt;YEAR(E40),1,(12-MONTH(E40)+1)/12))))-((P40)*(IF((YEAR(D40)+17)&lt;YEAR(E40),0,IF((YEAR(D40)+17)&gt;YEAR(E40),1,(12-MONTH(E40)+1)/12))) + (R40)*(IF((YEAR(D40)+17)&lt;YEAR(E40),0,IF((YEAR(D40)+17)&gt;YEAR(E40),1,(12-MONTH(E40)+1)/12))))-(IF(OR(N40="",N40&lt;=0),0,(O40/N40)*(IF(OR(N40="",N40&lt;=0),0,IF((YEAR(D40)+17)&lt;YEAR(E40),0,IF((YEAR(D40)+17)&gt;=YEAR(E40)+N40,0,IF((YEAR(D40)+17)=YEAR(E40),(12-MONTH(E40)+1)/12,1))))))))&gt;0,(((K40)*(IF(M40="",L40,IFERROR(IF(INDEX(Variablen!$I:$AT, MATCH(M40, Variablen!$A:$A, 0), MATCH((YEAR(D40)+17), Variablen!$I$3:$AT$3, 0))="",L40,INDEX(Variablen!$I:$AT, MATCH(M40, Variablen!$A:$A, 0), MATCH((YEAR(D40)+17), Variablen!$I$3:$AT$3, 0))),L40)))*(IF((YEAR(D40)+17)&lt;YEAR(E40),0,IF((YEAR(D40)+17)&gt;YEAR(E40),1,(12-MONTH(E40)+1)/12))) + (Q40)*(IF((YEAR(D40)+17)&lt;YEAR(E40),0,IF((YEAR(D40)+17)&gt;YEAR(E40),1,(12-MONTH(E40)+1)/12))))-((P40)*(IF((YEAR(D40)+17)&lt;YEAR(E40),0,IF((YEAR(D40)+17)&gt;YEAR(E40),1,(12-MONTH(E40)+1)/12))) + (R40)*(IF((YEAR(D40)+17)&lt;YEAR(E40),0,IF((YEAR(D40)+17)&gt;YEAR(E40),1,(12-MONTH(E40)+1)/12))))-(IF(OR(N40="",N40&lt;=0),0,(O40/N40)*(IF(OR(N40="",N40&lt;=0),0,IF((YEAR(D40)+17)&lt;YEAR(E40),0,IF((YEAR(D40)+17)&gt;=YEAR(E40)+N40,0,IF((YEAR(D40)+17)=YEAR(E40),(12-MONTH(E40)+1)/12,1))))))))*TaxRate,0))-IF(17=0,O40,0))</f>
        <v/>
      </c>
      <c r="AK40" s="29">
        <f>IF(A40="","",((K40)*(IF(M40="",L40,IFERROR(IF(INDEX(Variablen!$I:$AT, MATCH(M40, Variablen!$A:$A, 0), MATCH((YEAR(D40)+18), Variablen!$I$3:$AT$3, 0))="",L40,INDEX(Variablen!$I:$AT, MATCH(M40, Variablen!$A:$A, 0), MATCH((YEAR(D40)+18), Variablen!$I$3:$AT$3, 0))),L40)))*(IF((YEAR(D40)+18)&lt;YEAR(E40),0,IF((YEAR(D40)+18)&gt;YEAR(E40),1,(12-MONTH(E40)+1)/12))) + (Q40)*(IF((YEAR(D40)+18)&lt;YEAR(E40),0,IF((YEAR(D40)+18)&gt;YEAR(E40),1,(12-MONTH(E40)+1)/12))))-((P40)*(IF((YEAR(D40)+18)&lt;YEAR(E40),0,IF((YEAR(D40)+18)&gt;YEAR(E40),1,(12-MONTH(E40)+1)/12))) + (R40)*(IF((YEAR(D40)+18)&lt;YEAR(E40),0,IF((YEAR(D40)+18)&gt;YEAR(E40),1,(12-MONTH(E40)+1)/12))))-(IF((((K40)*(IF(M40="",L40,IFERROR(IF(INDEX(Variablen!$I:$AT, MATCH(M40, Variablen!$A:$A, 0), MATCH((YEAR(D40)+18), Variablen!$I$3:$AT$3, 0))="",L40,INDEX(Variablen!$I:$AT, MATCH(M40, Variablen!$A:$A, 0), MATCH((YEAR(D40)+18), Variablen!$I$3:$AT$3, 0))),L40)))*(IF((YEAR(D40)+18)&lt;YEAR(E40),0,IF((YEAR(D40)+18)&gt;YEAR(E40),1,(12-MONTH(E40)+1)/12))) + (Q40)*(IF((YEAR(D40)+18)&lt;YEAR(E40),0,IF((YEAR(D40)+18)&gt;YEAR(E40),1,(12-MONTH(E40)+1)/12))))-((P40)*(IF((YEAR(D40)+18)&lt;YEAR(E40),0,IF((YEAR(D40)+18)&gt;YEAR(E40),1,(12-MONTH(E40)+1)/12))) + (R40)*(IF((YEAR(D40)+18)&lt;YEAR(E40),0,IF((YEAR(D40)+18)&gt;YEAR(E40),1,(12-MONTH(E40)+1)/12))))-(IF(OR(N40="",N40&lt;=0),0,(O40/N40)*(IF(OR(N40="",N40&lt;=0),0,IF((YEAR(D40)+18)&lt;YEAR(E40),0,IF((YEAR(D40)+18)&gt;=YEAR(E40)+N40,0,IF((YEAR(D40)+18)=YEAR(E40),(12-MONTH(E40)+1)/12,1))))))))&gt;0,(((K40)*(IF(M40="",L40,IFERROR(IF(INDEX(Variablen!$I:$AT, MATCH(M40, Variablen!$A:$A, 0), MATCH((YEAR(D40)+18), Variablen!$I$3:$AT$3, 0))="",L40,INDEX(Variablen!$I:$AT, MATCH(M40, Variablen!$A:$A, 0), MATCH((YEAR(D40)+18), Variablen!$I$3:$AT$3, 0))),L40)))*(IF((YEAR(D40)+18)&lt;YEAR(E40),0,IF((YEAR(D40)+18)&gt;YEAR(E40),1,(12-MONTH(E40)+1)/12))) + (Q40)*(IF((YEAR(D40)+18)&lt;YEAR(E40),0,IF((YEAR(D40)+18)&gt;YEAR(E40),1,(12-MONTH(E40)+1)/12))))-((P40)*(IF((YEAR(D40)+18)&lt;YEAR(E40),0,IF((YEAR(D40)+18)&gt;YEAR(E40),1,(12-MONTH(E40)+1)/12))) + (R40)*(IF((YEAR(D40)+18)&lt;YEAR(E40),0,IF((YEAR(D40)+18)&gt;YEAR(E40),1,(12-MONTH(E40)+1)/12))))-(IF(OR(N40="",N40&lt;=0),0,(O40/N40)*(IF(OR(N40="",N40&lt;=0),0,IF((YEAR(D40)+18)&lt;YEAR(E40),0,IF((YEAR(D40)+18)&gt;=YEAR(E40)+N40,0,IF((YEAR(D40)+18)=YEAR(E40),(12-MONTH(E40)+1)/12,1))))))))*TaxRate,0))-IF(18=0,O40,0))</f>
        <v/>
      </c>
      <c r="AL40" s="29">
        <f>IF(A40="","",((K40)*(IF(M40="",L40,IFERROR(IF(INDEX(Variablen!$I:$AT, MATCH(M40, Variablen!$A:$A, 0), MATCH((YEAR(D40)+19), Variablen!$I$3:$AT$3, 0))="",L40,INDEX(Variablen!$I:$AT, MATCH(M40, Variablen!$A:$A, 0), MATCH((YEAR(D40)+19), Variablen!$I$3:$AT$3, 0))),L40)))*(IF((YEAR(D40)+19)&lt;YEAR(E40),0,IF((YEAR(D40)+19)&gt;YEAR(E40),1,(12-MONTH(E40)+1)/12))) + (Q40)*(IF((YEAR(D40)+19)&lt;YEAR(E40),0,IF((YEAR(D40)+19)&gt;YEAR(E40),1,(12-MONTH(E40)+1)/12))))-((P40)*(IF((YEAR(D40)+19)&lt;YEAR(E40),0,IF((YEAR(D40)+19)&gt;YEAR(E40),1,(12-MONTH(E40)+1)/12))) + (R40)*(IF((YEAR(D40)+19)&lt;YEAR(E40),0,IF((YEAR(D40)+19)&gt;YEAR(E40),1,(12-MONTH(E40)+1)/12))))-(IF((((K40)*(IF(M40="",L40,IFERROR(IF(INDEX(Variablen!$I:$AT, MATCH(M40, Variablen!$A:$A, 0), MATCH((YEAR(D40)+19), Variablen!$I$3:$AT$3, 0))="",L40,INDEX(Variablen!$I:$AT, MATCH(M40, Variablen!$A:$A, 0), MATCH((YEAR(D40)+19), Variablen!$I$3:$AT$3, 0))),L40)))*(IF((YEAR(D40)+19)&lt;YEAR(E40),0,IF((YEAR(D40)+19)&gt;YEAR(E40),1,(12-MONTH(E40)+1)/12))) + (Q40)*(IF((YEAR(D40)+19)&lt;YEAR(E40),0,IF((YEAR(D40)+19)&gt;YEAR(E40),1,(12-MONTH(E40)+1)/12))))-((P40)*(IF((YEAR(D40)+19)&lt;YEAR(E40),0,IF((YEAR(D40)+19)&gt;YEAR(E40),1,(12-MONTH(E40)+1)/12))) + (R40)*(IF((YEAR(D40)+19)&lt;YEAR(E40),0,IF((YEAR(D40)+19)&gt;YEAR(E40),1,(12-MONTH(E40)+1)/12))))-(IF(OR(N40="",N40&lt;=0),0,(O40/N40)*(IF(OR(N40="",N40&lt;=0),0,IF((YEAR(D40)+19)&lt;YEAR(E40),0,IF((YEAR(D40)+19)&gt;=YEAR(E40)+N40,0,IF((YEAR(D40)+19)=YEAR(E40),(12-MONTH(E40)+1)/12,1))))))))&gt;0,(((K40)*(IF(M40="",L40,IFERROR(IF(INDEX(Variablen!$I:$AT, MATCH(M40, Variablen!$A:$A, 0), MATCH((YEAR(D40)+19), Variablen!$I$3:$AT$3, 0))="",L40,INDEX(Variablen!$I:$AT, MATCH(M40, Variablen!$A:$A, 0), MATCH((YEAR(D40)+19), Variablen!$I$3:$AT$3, 0))),L40)))*(IF((YEAR(D40)+19)&lt;YEAR(E40),0,IF((YEAR(D40)+19)&gt;YEAR(E40),1,(12-MONTH(E40)+1)/12))) + (Q40)*(IF((YEAR(D40)+19)&lt;YEAR(E40),0,IF((YEAR(D40)+19)&gt;YEAR(E40),1,(12-MONTH(E40)+1)/12))))-((P40)*(IF((YEAR(D40)+19)&lt;YEAR(E40),0,IF((YEAR(D40)+19)&gt;YEAR(E40),1,(12-MONTH(E40)+1)/12))) + (R40)*(IF((YEAR(D40)+19)&lt;YEAR(E40),0,IF((YEAR(D40)+19)&gt;YEAR(E40),1,(12-MONTH(E40)+1)/12))))-(IF(OR(N40="",N40&lt;=0),0,(O40/N40)*(IF(OR(N40="",N40&lt;=0),0,IF((YEAR(D40)+19)&lt;YEAR(E40),0,IF((YEAR(D40)+19)&gt;=YEAR(E40)+N40,0,IF((YEAR(D40)+19)=YEAR(E40),(12-MONTH(E40)+1)/12,1))))))))*TaxRate,0))-IF(19=0,O40,0))</f>
        <v/>
      </c>
      <c r="AM40" s="29">
        <f>IF(A40="","",((K40)*(IF(M40="",L40,IFERROR(IF(INDEX(Variablen!$I:$AT, MATCH(M40, Variablen!$A:$A, 0), MATCH((YEAR(D40)+20), Variablen!$I$3:$AT$3, 0))="",L40,INDEX(Variablen!$I:$AT, MATCH(M40, Variablen!$A:$A, 0), MATCH((YEAR(D40)+20), Variablen!$I$3:$AT$3, 0))),L40)))*(IF((YEAR(D40)+20)&lt;YEAR(E40),0,IF((YEAR(D40)+20)&gt;YEAR(E40),1,(12-MONTH(E40)+1)/12))) + (Q40)*(IF((YEAR(D40)+20)&lt;YEAR(E40),0,IF((YEAR(D40)+20)&gt;YEAR(E40),1,(12-MONTH(E40)+1)/12))))-((P40)*(IF((YEAR(D40)+20)&lt;YEAR(E40),0,IF((YEAR(D40)+20)&gt;YEAR(E40),1,(12-MONTH(E40)+1)/12))) + (R40)*(IF((YEAR(D40)+20)&lt;YEAR(E40),0,IF((YEAR(D40)+20)&gt;YEAR(E40),1,(12-MONTH(E40)+1)/12))))-(IF((((K40)*(IF(M40="",L40,IFERROR(IF(INDEX(Variablen!$I:$AT, MATCH(M40, Variablen!$A:$A, 0), MATCH((YEAR(D40)+20), Variablen!$I$3:$AT$3, 0))="",L40,INDEX(Variablen!$I:$AT, MATCH(M40, Variablen!$A:$A, 0), MATCH((YEAR(D40)+20), Variablen!$I$3:$AT$3, 0))),L40)))*(IF((YEAR(D40)+20)&lt;YEAR(E40),0,IF((YEAR(D40)+20)&gt;YEAR(E40),1,(12-MONTH(E40)+1)/12))) + (Q40)*(IF((YEAR(D40)+20)&lt;YEAR(E40),0,IF((YEAR(D40)+20)&gt;YEAR(E40),1,(12-MONTH(E40)+1)/12))))-((P40)*(IF((YEAR(D40)+20)&lt;YEAR(E40),0,IF((YEAR(D40)+20)&gt;YEAR(E40),1,(12-MONTH(E40)+1)/12))) + (R40)*(IF((YEAR(D40)+20)&lt;YEAR(E40),0,IF((YEAR(D40)+20)&gt;YEAR(E40),1,(12-MONTH(E40)+1)/12))))-(IF(OR(N40="",N40&lt;=0),0,(O40/N40)*(IF(OR(N40="",N40&lt;=0),0,IF((YEAR(D40)+20)&lt;YEAR(E40),0,IF((YEAR(D40)+20)&gt;=YEAR(E40)+N40,0,IF((YEAR(D40)+20)=YEAR(E40),(12-MONTH(E40)+1)/12,1))))))))&gt;0,(((K40)*(IF(M40="",L40,IFERROR(IF(INDEX(Variablen!$I:$AT, MATCH(M40, Variablen!$A:$A, 0), MATCH((YEAR(D40)+20), Variablen!$I$3:$AT$3, 0))="",L40,INDEX(Variablen!$I:$AT, MATCH(M40, Variablen!$A:$A, 0), MATCH((YEAR(D40)+20), Variablen!$I$3:$AT$3, 0))),L40)))*(IF((YEAR(D40)+20)&lt;YEAR(E40),0,IF((YEAR(D40)+20)&gt;YEAR(E40),1,(12-MONTH(E40)+1)/12))) + (Q40)*(IF((YEAR(D40)+20)&lt;YEAR(E40),0,IF((YEAR(D40)+20)&gt;YEAR(E40),1,(12-MONTH(E40)+1)/12))))-((P40)*(IF((YEAR(D40)+20)&lt;YEAR(E40),0,IF((YEAR(D40)+20)&gt;YEAR(E40),1,(12-MONTH(E40)+1)/12))) + (R40)*(IF((YEAR(D40)+20)&lt;YEAR(E40),0,IF((YEAR(D40)+20)&gt;YEAR(E40),1,(12-MONTH(E40)+1)/12))))-(IF(OR(N40="",N40&lt;=0),0,(O40/N40)*(IF(OR(N40="",N40&lt;=0),0,IF((YEAR(D40)+20)&lt;YEAR(E40),0,IF((YEAR(D40)+20)&gt;=YEAR(E40)+N40,0,IF((YEAR(D40)+20)=YEAR(E40),(12-MONTH(E40)+1)/12,1))))))))*TaxRate,0))-IF(20=0,O40,0))</f>
        <v/>
      </c>
      <c r="AN40" s="29">
        <f>IF(A40="","",S40)</f>
        <v/>
      </c>
      <c r="AO40" s="29">
        <f>IF(A40="","",AN40+T40)</f>
        <v/>
      </c>
      <c r="AP40" s="29">
        <f>IF(A40="","",AO40+U40)</f>
        <v/>
      </c>
      <c r="AQ40" s="29">
        <f>IF(A40="","",AP40+V40)</f>
        <v/>
      </c>
      <c r="AR40" s="29">
        <f>IF(A40="","",AQ40+W40)</f>
        <v/>
      </c>
      <c r="AS40" s="29">
        <f>IF(A40="","",AR40+X40)</f>
        <v/>
      </c>
      <c r="AT40" s="29">
        <f>IF(A40="","",AS40+Y40)</f>
        <v/>
      </c>
      <c r="AU40" s="29">
        <f>IF(A40="","",AT40+Z40)</f>
        <v/>
      </c>
      <c r="AV40" s="29">
        <f>IF(A40="","",AU40+AA40)</f>
        <v/>
      </c>
      <c r="AW40" s="29">
        <f>IF(A40="","",AV40+AB40)</f>
        <v/>
      </c>
      <c r="AX40" s="29">
        <f>IF(A40="","",AW40+AC40)</f>
        <v/>
      </c>
      <c r="AY40" s="29">
        <f>IF(A40="","",AX40+AD40)</f>
        <v/>
      </c>
      <c r="AZ40" s="29">
        <f>IF(A40="","",AY40+AE40)</f>
        <v/>
      </c>
      <c r="BA40" s="29">
        <f>IF(A40="","",AZ40+AF40)</f>
        <v/>
      </c>
      <c r="BB40" s="29">
        <f>IF(A40="","",BA40+AG40)</f>
        <v/>
      </c>
      <c r="BC40" s="29">
        <f>IF(A40="","",BB40+AH40)</f>
        <v/>
      </c>
      <c r="BD40" s="29">
        <f>IF(A40="","",BC40+AI40)</f>
        <v/>
      </c>
      <c r="BE40" s="29">
        <f>IF(A40="","",BD40+AJ40)</f>
        <v/>
      </c>
      <c r="BF40" s="29">
        <f>IF(A40="","",BE40+AK40)</f>
        <v/>
      </c>
      <c r="BG40" s="29">
        <f>IF(A40="","",BF40+AL40)</f>
        <v/>
      </c>
      <c r="BH40" s="29">
        <f>IF(A40="","",BG40+AM40)</f>
        <v/>
      </c>
      <c r="BI40" s="36">
        <f>IF(A40="","",(K40)*(IF((YEAR(D40)+0)&lt;YEAR(E40),0,IF((YEAR(D40)+0)&gt;YEAR(E40),1,(12-MONTH(E40)+1)/12)))*(1/(1+DiscountRate)^0))</f>
        <v/>
      </c>
      <c r="BJ40" s="36">
        <f>IF(A40="","",(K40)*(IF((YEAR(D40)+1)&lt;YEAR(E40),0,IF((YEAR(D40)+1)&gt;YEAR(E40),1,(12-MONTH(E40)+1)/12)))*(1/(1+DiscountRate)^1))</f>
        <v/>
      </c>
      <c r="BK40" s="36">
        <f>IF(A40="","",(K40)*(IF((YEAR(D40)+2)&lt;YEAR(E40),0,IF((YEAR(D40)+2)&gt;YEAR(E40),1,(12-MONTH(E40)+1)/12)))*(1/(1+DiscountRate)^2))</f>
        <v/>
      </c>
      <c r="BL40" s="36">
        <f>IF(A40="","",(K40)*(IF((YEAR(D40)+3)&lt;YEAR(E40),0,IF((YEAR(D40)+3)&gt;YEAR(E40),1,(12-MONTH(E40)+1)/12)))*(1/(1+DiscountRate)^3))</f>
        <v/>
      </c>
      <c r="BM40" s="36">
        <f>IF(A40="","",(K40)*(IF((YEAR(D40)+4)&lt;YEAR(E40),0,IF((YEAR(D40)+4)&gt;YEAR(E40),1,(12-MONTH(E40)+1)/12)))*(1/(1+DiscountRate)^4))</f>
        <v/>
      </c>
      <c r="BN40" s="36">
        <f>IF(A40="","",(K40)*(IF((YEAR(D40)+5)&lt;YEAR(E40),0,IF((YEAR(D40)+5)&gt;YEAR(E40),1,(12-MONTH(E40)+1)/12)))*(1/(1+DiscountRate)^5))</f>
        <v/>
      </c>
      <c r="BO40" s="36">
        <f>IF(A40="","",(K40)*(IF((YEAR(D40)+6)&lt;YEAR(E40),0,IF((YEAR(D40)+6)&gt;YEAR(E40),1,(12-MONTH(E40)+1)/12)))*(1/(1+DiscountRate)^6))</f>
        <v/>
      </c>
      <c r="BP40" s="36">
        <f>IF(A40="","",(K40)*(IF((YEAR(D40)+7)&lt;YEAR(E40),0,IF((YEAR(D40)+7)&gt;YEAR(E40),1,(12-MONTH(E40)+1)/12)))*(1/(1+DiscountRate)^7))</f>
        <v/>
      </c>
      <c r="BQ40" s="36">
        <f>IF(A40="","",(K40)*(IF((YEAR(D40)+8)&lt;YEAR(E40),0,IF((YEAR(D40)+8)&gt;YEAR(E40),1,(12-MONTH(E40)+1)/12)))*(1/(1+DiscountRate)^8))</f>
        <v/>
      </c>
      <c r="BR40" s="36">
        <f>IF(A40="","",(K40)*(IF((YEAR(D40)+9)&lt;YEAR(E40),0,IF((YEAR(D40)+9)&gt;YEAR(E40),1,(12-MONTH(E40)+1)/12)))*(1/(1+DiscountRate)^9))</f>
        <v/>
      </c>
      <c r="BS40" s="36">
        <f>IF(A40="","",(K40)*(IF((YEAR(D40)+10)&lt;YEAR(E40),0,IF((YEAR(D40)+10)&gt;YEAR(E40),1,(12-MONTH(E40)+1)/12)))*(1/(1+DiscountRate)^10))</f>
        <v/>
      </c>
      <c r="BT40" s="36">
        <f>IF(A40="","",(K40)*(IF((YEAR(D40)+11)&lt;YEAR(E40),0,IF((YEAR(D40)+11)&gt;YEAR(E40),1,(12-MONTH(E40)+1)/12)))*(1/(1+DiscountRate)^11))</f>
        <v/>
      </c>
      <c r="BU40" s="36">
        <f>IF(A40="","",(K40)*(IF((YEAR(D40)+12)&lt;YEAR(E40),0,IF((YEAR(D40)+12)&gt;YEAR(E40),1,(12-MONTH(E40)+1)/12)))*(1/(1+DiscountRate)^12))</f>
        <v/>
      </c>
      <c r="BV40" s="36">
        <f>IF(A40="","",(K40)*(IF((YEAR(D40)+13)&lt;YEAR(E40),0,IF((YEAR(D40)+13)&gt;YEAR(E40),1,(12-MONTH(E40)+1)/12)))*(1/(1+DiscountRate)^13))</f>
        <v/>
      </c>
      <c r="BW40" s="36">
        <f>IF(A40="","",(K40)*(IF((YEAR(D40)+14)&lt;YEAR(E40),0,IF((YEAR(D40)+14)&gt;YEAR(E40),1,(12-MONTH(E40)+1)/12)))*(1/(1+DiscountRate)^14))</f>
        <v/>
      </c>
      <c r="BX40" s="36">
        <f>IF(A40="","",(K40)*(IF((YEAR(D40)+15)&lt;YEAR(E40),0,IF((YEAR(D40)+15)&gt;YEAR(E40),1,(12-MONTH(E40)+1)/12)))*(1/(1+DiscountRate)^15))</f>
        <v/>
      </c>
      <c r="BY40" s="36">
        <f>IF(A40="","",(K40)*(IF((YEAR(D40)+16)&lt;YEAR(E40),0,IF((YEAR(D40)+16)&gt;YEAR(E40),1,(12-MONTH(E40)+1)/12)))*(1/(1+DiscountRate)^16))</f>
        <v/>
      </c>
      <c r="BZ40" s="36">
        <f>IF(A40="","",(K40)*(IF((YEAR(D40)+17)&lt;YEAR(E40),0,IF((YEAR(D40)+17)&gt;YEAR(E40),1,(12-MONTH(E40)+1)/12)))*(1/(1+DiscountRate)^17))</f>
        <v/>
      </c>
      <c r="CA40" s="36">
        <f>IF(A40="","",(K40)*(IF((YEAR(D40)+18)&lt;YEAR(E40),0,IF((YEAR(D40)+18)&gt;YEAR(E40),1,(12-MONTH(E40)+1)/12)))*(1/(1+DiscountRate)^18))</f>
        <v/>
      </c>
      <c r="CB40" s="36">
        <f>IF(A40="","",(K40)*(IF((YEAR(D40)+19)&lt;YEAR(E40),0,IF((YEAR(D40)+19)&gt;YEAR(E40),1,(12-MONTH(E40)+1)/12)))*(1/(1+DiscountRate)^19))</f>
        <v/>
      </c>
      <c r="CC40" s="36">
        <f>IF(A40="","",(K40)*(IF((YEAR(D40)+20)&lt;YEAR(E40),0,IF((YEAR(D40)+20)&gt;YEAR(E40),1,(12-MONTH(E40)+1)/12)))*(1/(1+DiscountRate)^20))</f>
        <v/>
      </c>
      <c r="CD40" s="29">
        <f>IF(A40="","",S40/(1+DiscountRate)^0+T40/(1+DiscountRate)^1+U40/(1+DiscountRate)^2+V40/(1+DiscountRate)^3+W40/(1+DiscountRate)^4+X40/(1+DiscountRate)^5+Y40/(1+DiscountRate)^6+Z40/(1+DiscountRate)^7+AA40/(1+DiscountRate)^8+AB40/(1+DiscountRate)^9+AC40/(1+DiscountRate)^10+AD40/(1+DiscountRate)^11+AE40/(1+DiscountRate)^12+AF40/(1+DiscountRate)^13+AG40/(1+DiscountRate)^14+AH40/(1+DiscountRate)^15+AI40/(1+DiscountRate)^16+AJ40/(1+DiscountRate)^17+AK40/(1+DiscountRate)^18+AL40/(1+DiscountRate)^19+AM40/(1+DiscountRate)^20)</f>
        <v/>
      </c>
      <c r="CE40" s="37">
        <f>IF(A40="","",IFERROR(IRR(OFFSET(S40,0,0,1,MIN(HorizonYears,20)+1)),"n/a"))</f>
        <v/>
      </c>
      <c r="CF40" s="28">
        <f>IF(A40="","",IFERROR(MATCH(TRUE,OFFSET(AN40,0,0,1,MIN(HorizonYears,20)+1)&gt;=0,0)-1,"n/a"))</f>
        <v/>
      </c>
      <c r="CG40" s="36">
        <f>IF(A40="","",SUM(OFFSET(BI40,0,0,1,MIN(HorizonYears,20)+1)))</f>
        <v/>
      </c>
      <c r="CH40" s="36">
        <f>IF(A40="","",IFERROR(-CD40/CG40,"n/a"))</f>
        <v/>
      </c>
    </row>
    <row r="41">
      <c r="A41" s="6">
        <f>Actions!A39</f>
        <v/>
      </c>
      <c r="B41" s="6">
        <f>Actions!B39</f>
        <v/>
      </c>
      <c r="C41" s="6">
        <f>Actions!D39</f>
        <v/>
      </c>
      <c r="D41" s="35">
        <f>Actions!E39</f>
        <v/>
      </c>
      <c r="E41" s="35">
        <f>Actions!F39</f>
        <v/>
      </c>
      <c r="F41" s="6">
        <f>Actions!G39</f>
        <v/>
      </c>
      <c r="G41" s="6">
        <f>Actions!H39</f>
        <v/>
      </c>
      <c r="H41" s="29">
        <f>Actions!I39</f>
        <v/>
      </c>
      <c r="I41" s="6">
        <f>Actions!J39</f>
        <v/>
      </c>
      <c r="J41" s="16">
        <f>Actions!K39</f>
        <v/>
      </c>
      <c r="K41" s="16">
        <f>IF(A41="","",IF(I41="%",H41*J41,J41))</f>
        <v/>
      </c>
      <c r="L41" s="16">
        <f>Actions!L39</f>
        <v/>
      </c>
      <c r="M41" s="6">
        <f>Actions!M39</f>
        <v/>
      </c>
      <c r="N41" s="28">
        <f>Actions!N39</f>
        <v/>
      </c>
      <c r="O41" s="29">
        <f>Actions!T39</f>
        <v/>
      </c>
      <c r="P41" s="29">
        <f>Actions!Y39</f>
        <v/>
      </c>
      <c r="Q41" s="29">
        <f>Actions!Z39</f>
        <v/>
      </c>
      <c r="R41" s="29">
        <f>Actions!AA39</f>
        <v/>
      </c>
      <c r="S41" s="29">
        <f>IF(A41="","",((K41)*(IF(M41="",L41,IFERROR(IF(INDEX(Variablen!$I:$AT, MATCH(M41, Variablen!$A:$A, 0), MATCH((YEAR(D41)+0), Variablen!$I$3:$AT$3, 0))="",L41,INDEX(Variablen!$I:$AT, MATCH(M41, Variablen!$A:$A, 0), MATCH((YEAR(D41)+0), Variablen!$I$3:$AT$3, 0))),L41)))*(IF((YEAR(D41)+0)&lt;YEAR(E41),0,IF((YEAR(D41)+0)&gt;YEAR(E41),1,(12-MONTH(E41)+1)/12))) + (Q41)*(IF((YEAR(D41)+0)&lt;YEAR(E41),0,IF((YEAR(D41)+0)&gt;YEAR(E41),1,(12-MONTH(E41)+1)/12))))-((P41)*(IF((YEAR(D41)+0)&lt;YEAR(E41),0,IF((YEAR(D41)+0)&gt;YEAR(E41),1,(12-MONTH(E41)+1)/12))) + (R41)*(IF((YEAR(D41)+0)&lt;YEAR(E41),0,IF((YEAR(D41)+0)&gt;YEAR(E41),1,(12-MONTH(E41)+1)/12))))-(IF((((K41)*(IF(M41="",L41,IFERROR(IF(INDEX(Variablen!$I:$AT, MATCH(M41, Variablen!$A:$A, 0), MATCH((YEAR(D41)+0), Variablen!$I$3:$AT$3, 0))="",L41,INDEX(Variablen!$I:$AT, MATCH(M41, Variablen!$A:$A, 0), MATCH((YEAR(D41)+0), Variablen!$I$3:$AT$3, 0))),L41)))*(IF((YEAR(D41)+0)&lt;YEAR(E41),0,IF((YEAR(D41)+0)&gt;YEAR(E41),1,(12-MONTH(E41)+1)/12))) + (Q41)*(IF((YEAR(D41)+0)&lt;YEAR(E41),0,IF((YEAR(D41)+0)&gt;YEAR(E41),1,(12-MONTH(E41)+1)/12))))-((P41)*(IF((YEAR(D41)+0)&lt;YEAR(E41),0,IF((YEAR(D41)+0)&gt;YEAR(E41),1,(12-MONTH(E41)+1)/12))) + (R41)*(IF((YEAR(D41)+0)&lt;YEAR(E41),0,IF((YEAR(D41)+0)&gt;YEAR(E41),1,(12-MONTH(E41)+1)/12))))-(IF(OR(N41="",N41&lt;=0),0,(O41/N41)*(IF(OR(N41="",N41&lt;=0),0,IF((YEAR(D41)+0)&lt;YEAR(E41),0,IF((YEAR(D41)+0)&gt;=YEAR(E41)+N41,0,IF((YEAR(D41)+0)=YEAR(E41),(12-MONTH(E41)+1)/12,1))))))))&gt;0,(((K41)*(IF(M41="",L41,IFERROR(IF(INDEX(Variablen!$I:$AT, MATCH(M41, Variablen!$A:$A, 0), MATCH((YEAR(D41)+0), Variablen!$I$3:$AT$3, 0))="",L41,INDEX(Variablen!$I:$AT, MATCH(M41, Variablen!$A:$A, 0), MATCH((YEAR(D41)+0), Variablen!$I$3:$AT$3, 0))),L41)))*(IF((YEAR(D41)+0)&lt;YEAR(E41),0,IF((YEAR(D41)+0)&gt;YEAR(E41),1,(12-MONTH(E41)+1)/12))) + (Q41)*(IF((YEAR(D41)+0)&lt;YEAR(E41),0,IF((YEAR(D41)+0)&gt;YEAR(E41),1,(12-MONTH(E41)+1)/12))))-((P41)*(IF((YEAR(D41)+0)&lt;YEAR(E41),0,IF((YEAR(D41)+0)&gt;YEAR(E41),1,(12-MONTH(E41)+1)/12))) + (R41)*(IF((YEAR(D41)+0)&lt;YEAR(E41),0,IF((YEAR(D41)+0)&gt;YEAR(E41),1,(12-MONTH(E41)+1)/12))))-(IF(OR(N41="",N41&lt;=0),0,(O41/N41)*(IF(OR(N41="",N41&lt;=0),0,IF((YEAR(D41)+0)&lt;YEAR(E41),0,IF((YEAR(D41)+0)&gt;=YEAR(E41)+N41,0,IF((YEAR(D41)+0)=YEAR(E41),(12-MONTH(E41)+1)/12,1))))))))*TaxRate,0))-IF(0=0,O41,0))</f>
        <v/>
      </c>
      <c r="T41" s="29">
        <f>IF(A41="","",((K41)*(IF(M41="",L41,IFERROR(IF(INDEX(Variablen!$I:$AT, MATCH(M41, Variablen!$A:$A, 0), MATCH((YEAR(D41)+1), Variablen!$I$3:$AT$3, 0))="",L41,INDEX(Variablen!$I:$AT, MATCH(M41, Variablen!$A:$A, 0), MATCH((YEAR(D41)+1), Variablen!$I$3:$AT$3, 0))),L41)))*(IF((YEAR(D41)+1)&lt;YEAR(E41),0,IF((YEAR(D41)+1)&gt;YEAR(E41),1,(12-MONTH(E41)+1)/12))) + (Q41)*(IF((YEAR(D41)+1)&lt;YEAR(E41),0,IF((YEAR(D41)+1)&gt;YEAR(E41),1,(12-MONTH(E41)+1)/12))))-((P41)*(IF((YEAR(D41)+1)&lt;YEAR(E41),0,IF((YEAR(D41)+1)&gt;YEAR(E41),1,(12-MONTH(E41)+1)/12))) + (R41)*(IF((YEAR(D41)+1)&lt;YEAR(E41),0,IF((YEAR(D41)+1)&gt;YEAR(E41),1,(12-MONTH(E41)+1)/12))))-(IF((((K41)*(IF(M41="",L41,IFERROR(IF(INDEX(Variablen!$I:$AT, MATCH(M41, Variablen!$A:$A, 0), MATCH((YEAR(D41)+1), Variablen!$I$3:$AT$3, 0))="",L41,INDEX(Variablen!$I:$AT, MATCH(M41, Variablen!$A:$A, 0), MATCH((YEAR(D41)+1), Variablen!$I$3:$AT$3, 0))),L41)))*(IF((YEAR(D41)+1)&lt;YEAR(E41),0,IF((YEAR(D41)+1)&gt;YEAR(E41),1,(12-MONTH(E41)+1)/12))) + (Q41)*(IF((YEAR(D41)+1)&lt;YEAR(E41),0,IF((YEAR(D41)+1)&gt;YEAR(E41),1,(12-MONTH(E41)+1)/12))))-((P41)*(IF((YEAR(D41)+1)&lt;YEAR(E41),0,IF((YEAR(D41)+1)&gt;YEAR(E41),1,(12-MONTH(E41)+1)/12))) + (R41)*(IF((YEAR(D41)+1)&lt;YEAR(E41),0,IF((YEAR(D41)+1)&gt;YEAR(E41),1,(12-MONTH(E41)+1)/12))))-(IF(OR(N41="",N41&lt;=0),0,(O41/N41)*(IF(OR(N41="",N41&lt;=0),0,IF((YEAR(D41)+1)&lt;YEAR(E41),0,IF((YEAR(D41)+1)&gt;=YEAR(E41)+N41,0,IF((YEAR(D41)+1)=YEAR(E41),(12-MONTH(E41)+1)/12,1))))))))&gt;0,(((K41)*(IF(M41="",L41,IFERROR(IF(INDEX(Variablen!$I:$AT, MATCH(M41, Variablen!$A:$A, 0), MATCH((YEAR(D41)+1), Variablen!$I$3:$AT$3, 0))="",L41,INDEX(Variablen!$I:$AT, MATCH(M41, Variablen!$A:$A, 0), MATCH((YEAR(D41)+1), Variablen!$I$3:$AT$3, 0))),L41)))*(IF((YEAR(D41)+1)&lt;YEAR(E41),0,IF((YEAR(D41)+1)&gt;YEAR(E41),1,(12-MONTH(E41)+1)/12))) + (Q41)*(IF((YEAR(D41)+1)&lt;YEAR(E41),0,IF((YEAR(D41)+1)&gt;YEAR(E41),1,(12-MONTH(E41)+1)/12))))-((P41)*(IF((YEAR(D41)+1)&lt;YEAR(E41),0,IF((YEAR(D41)+1)&gt;YEAR(E41),1,(12-MONTH(E41)+1)/12))) + (R41)*(IF((YEAR(D41)+1)&lt;YEAR(E41),0,IF((YEAR(D41)+1)&gt;YEAR(E41),1,(12-MONTH(E41)+1)/12))))-(IF(OR(N41="",N41&lt;=0),0,(O41/N41)*(IF(OR(N41="",N41&lt;=0),0,IF((YEAR(D41)+1)&lt;YEAR(E41),0,IF((YEAR(D41)+1)&gt;=YEAR(E41)+N41,0,IF((YEAR(D41)+1)=YEAR(E41),(12-MONTH(E41)+1)/12,1))))))))*TaxRate,0))-IF(1=0,O41,0))</f>
        <v/>
      </c>
      <c r="U41" s="29">
        <f>IF(A41="","",((K41)*(IF(M41="",L41,IFERROR(IF(INDEX(Variablen!$I:$AT, MATCH(M41, Variablen!$A:$A, 0), MATCH((YEAR(D41)+2), Variablen!$I$3:$AT$3, 0))="",L41,INDEX(Variablen!$I:$AT, MATCH(M41, Variablen!$A:$A, 0), MATCH((YEAR(D41)+2), Variablen!$I$3:$AT$3, 0))),L41)))*(IF((YEAR(D41)+2)&lt;YEAR(E41),0,IF((YEAR(D41)+2)&gt;YEAR(E41),1,(12-MONTH(E41)+1)/12))) + (Q41)*(IF((YEAR(D41)+2)&lt;YEAR(E41),0,IF((YEAR(D41)+2)&gt;YEAR(E41),1,(12-MONTH(E41)+1)/12))))-((P41)*(IF((YEAR(D41)+2)&lt;YEAR(E41),0,IF((YEAR(D41)+2)&gt;YEAR(E41),1,(12-MONTH(E41)+1)/12))) + (R41)*(IF((YEAR(D41)+2)&lt;YEAR(E41),0,IF((YEAR(D41)+2)&gt;YEAR(E41),1,(12-MONTH(E41)+1)/12))))-(IF((((K41)*(IF(M41="",L41,IFERROR(IF(INDEX(Variablen!$I:$AT, MATCH(M41, Variablen!$A:$A, 0), MATCH((YEAR(D41)+2), Variablen!$I$3:$AT$3, 0))="",L41,INDEX(Variablen!$I:$AT, MATCH(M41, Variablen!$A:$A, 0), MATCH((YEAR(D41)+2), Variablen!$I$3:$AT$3, 0))),L41)))*(IF((YEAR(D41)+2)&lt;YEAR(E41),0,IF((YEAR(D41)+2)&gt;YEAR(E41),1,(12-MONTH(E41)+1)/12))) + (Q41)*(IF((YEAR(D41)+2)&lt;YEAR(E41),0,IF((YEAR(D41)+2)&gt;YEAR(E41),1,(12-MONTH(E41)+1)/12))))-((P41)*(IF((YEAR(D41)+2)&lt;YEAR(E41),0,IF((YEAR(D41)+2)&gt;YEAR(E41),1,(12-MONTH(E41)+1)/12))) + (R41)*(IF((YEAR(D41)+2)&lt;YEAR(E41),0,IF((YEAR(D41)+2)&gt;YEAR(E41),1,(12-MONTH(E41)+1)/12))))-(IF(OR(N41="",N41&lt;=0),0,(O41/N41)*(IF(OR(N41="",N41&lt;=0),0,IF((YEAR(D41)+2)&lt;YEAR(E41),0,IF((YEAR(D41)+2)&gt;=YEAR(E41)+N41,0,IF((YEAR(D41)+2)=YEAR(E41),(12-MONTH(E41)+1)/12,1))))))))&gt;0,(((K41)*(IF(M41="",L41,IFERROR(IF(INDEX(Variablen!$I:$AT, MATCH(M41, Variablen!$A:$A, 0), MATCH((YEAR(D41)+2), Variablen!$I$3:$AT$3, 0))="",L41,INDEX(Variablen!$I:$AT, MATCH(M41, Variablen!$A:$A, 0), MATCH((YEAR(D41)+2), Variablen!$I$3:$AT$3, 0))),L41)))*(IF((YEAR(D41)+2)&lt;YEAR(E41),0,IF((YEAR(D41)+2)&gt;YEAR(E41),1,(12-MONTH(E41)+1)/12))) + (Q41)*(IF((YEAR(D41)+2)&lt;YEAR(E41),0,IF((YEAR(D41)+2)&gt;YEAR(E41),1,(12-MONTH(E41)+1)/12))))-((P41)*(IF((YEAR(D41)+2)&lt;YEAR(E41),0,IF((YEAR(D41)+2)&gt;YEAR(E41),1,(12-MONTH(E41)+1)/12))) + (R41)*(IF((YEAR(D41)+2)&lt;YEAR(E41),0,IF((YEAR(D41)+2)&gt;YEAR(E41),1,(12-MONTH(E41)+1)/12))))-(IF(OR(N41="",N41&lt;=0),0,(O41/N41)*(IF(OR(N41="",N41&lt;=0),0,IF((YEAR(D41)+2)&lt;YEAR(E41),0,IF((YEAR(D41)+2)&gt;=YEAR(E41)+N41,0,IF((YEAR(D41)+2)=YEAR(E41),(12-MONTH(E41)+1)/12,1))))))))*TaxRate,0))-IF(2=0,O41,0))</f>
        <v/>
      </c>
      <c r="V41" s="29">
        <f>IF(A41="","",((K41)*(IF(M41="",L41,IFERROR(IF(INDEX(Variablen!$I:$AT, MATCH(M41, Variablen!$A:$A, 0), MATCH((YEAR(D41)+3), Variablen!$I$3:$AT$3, 0))="",L41,INDEX(Variablen!$I:$AT, MATCH(M41, Variablen!$A:$A, 0), MATCH((YEAR(D41)+3), Variablen!$I$3:$AT$3, 0))),L41)))*(IF((YEAR(D41)+3)&lt;YEAR(E41),0,IF((YEAR(D41)+3)&gt;YEAR(E41),1,(12-MONTH(E41)+1)/12))) + (Q41)*(IF((YEAR(D41)+3)&lt;YEAR(E41),0,IF((YEAR(D41)+3)&gt;YEAR(E41),1,(12-MONTH(E41)+1)/12))))-((P41)*(IF((YEAR(D41)+3)&lt;YEAR(E41),0,IF((YEAR(D41)+3)&gt;YEAR(E41),1,(12-MONTH(E41)+1)/12))) + (R41)*(IF((YEAR(D41)+3)&lt;YEAR(E41),0,IF((YEAR(D41)+3)&gt;YEAR(E41),1,(12-MONTH(E41)+1)/12))))-(IF((((K41)*(IF(M41="",L41,IFERROR(IF(INDEX(Variablen!$I:$AT, MATCH(M41, Variablen!$A:$A, 0), MATCH((YEAR(D41)+3), Variablen!$I$3:$AT$3, 0))="",L41,INDEX(Variablen!$I:$AT, MATCH(M41, Variablen!$A:$A, 0), MATCH((YEAR(D41)+3), Variablen!$I$3:$AT$3, 0))),L41)))*(IF((YEAR(D41)+3)&lt;YEAR(E41),0,IF((YEAR(D41)+3)&gt;YEAR(E41),1,(12-MONTH(E41)+1)/12))) + (Q41)*(IF((YEAR(D41)+3)&lt;YEAR(E41),0,IF((YEAR(D41)+3)&gt;YEAR(E41),1,(12-MONTH(E41)+1)/12))))-((P41)*(IF((YEAR(D41)+3)&lt;YEAR(E41),0,IF((YEAR(D41)+3)&gt;YEAR(E41),1,(12-MONTH(E41)+1)/12))) + (R41)*(IF((YEAR(D41)+3)&lt;YEAR(E41),0,IF((YEAR(D41)+3)&gt;YEAR(E41),1,(12-MONTH(E41)+1)/12))))-(IF(OR(N41="",N41&lt;=0),0,(O41/N41)*(IF(OR(N41="",N41&lt;=0),0,IF((YEAR(D41)+3)&lt;YEAR(E41),0,IF((YEAR(D41)+3)&gt;=YEAR(E41)+N41,0,IF((YEAR(D41)+3)=YEAR(E41),(12-MONTH(E41)+1)/12,1))))))))&gt;0,(((K41)*(IF(M41="",L41,IFERROR(IF(INDEX(Variablen!$I:$AT, MATCH(M41, Variablen!$A:$A, 0), MATCH((YEAR(D41)+3), Variablen!$I$3:$AT$3, 0))="",L41,INDEX(Variablen!$I:$AT, MATCH(M41, Variablen!$A:$A, 0), MATCH((YEAR(D41)+3), Variablen!$I$3:$AT$3, 0))),L41)))*(IF((YEAR(D41)+3)&lt;YEAR(E41),0,IF((YEAR(D41)+3)&gt;YEAR(E41),1,(12-MONTH(E41)+1)/12))) + (Q41)*(IF((YEAR(D41)+3)&lt;YEAR(E41),0,IF((YEAR(D41)+3)&gt;YEAR(E41),1,(12-MONTH(E41)+1)/12))))-((P41)*(IF((YEAR(D41)+3)&lt;YEAR(E41),0,IF((YEAR(D41)+3)&gt;YEAR(E41),1,(12-MONTH(E41)+1)/12))) + (R41)*(IF((YEAR(D41)+3)&lt;YEAR(E41),0,IF((YEAR(D41)+3)&gt;YEAR(E41),1,(12-MONTH(E41)+1)/12))))-(IF(OR(N41="",N41&lt;=0),0,(O41/N41)*(IF(OR(N41="",N41&lt;=0),0,IF((YEAR(D41)+3)&lt;YEAR(E41),0,IF((YEAR(D41)+3)&gt;=YEAR(E41)+N41,0,IF((YEAR(D41)+3)=YEAR(E41),(12-MONTH(E41)+1)/12,1))))))))*TaxRate,0))-IF(3=0,O41,0))</f>
        <v/>
      </c>
      <c r="W41" s="29">
        <f>IF(A41="","",((K41)*(IF(M41="",L41,IFERROR(IF(INDEX(Variablen!$I:$AT, MATCH(M41, Variablen!$A:$A, 0), MATCH((YEAR(D41)+4), Variablen!$I$3:$AT$3, 0))="",L41,INDEX(Variablen!$I:$AT, MATCH(M41, Variablen!$A:$A, 0), MATCH((YEAR(D41)+4), Variablen!$I$3:$AT$3, 0))),L41)))*(IF((YEAR(D41)+4)&lt;YEAR(E41),0,IF((YEAR(D41)+4)&gt;YEAR(E41),1,(12-MONTH(E41)+1)/12))) + (Q41)*(IF((YEAR(D41)+4)&lt;YEAR(E41),0,IF((YEAR(D41)+4)&gt;YEAR(E41),1,(12-MONTH(E41)+1)/12))))-((P41)*(IF((YEAR(D41)+4)&lt;YEAR(E41),0,IF((YEAR(D41)+4)&gt;YEAR(E41),1,(12-MONTH(E41)+1)/12))) + (R41)*(IF((YEAR(D41)+4)&lt;YEAR(E41),0,IF((YEAR(D41)+4)&gt;YEAR(E41),1,(12-MONTH(E41)+1)/12))))-(IF((((K41)*(IF(M41="",L41,IFERROR(IF(INDEX(Variablen!$I:$AT, MATCH(M41, Variablen!$A:$A, 0), MATCH((YEAR(D41)+4), Variablen!$I$3:$AT$3, 0))="",L41,INDEX(Variablen!$I:$AT, MATCH(M41, Variablen!$A:$A, 0), MATCH((YEAR(D41)+4), Variablen!$I$3:$AT$3, 0))),L41)))*(IF((YEAR(D41)+4)&lt;YEAR(E41),0,IF((YEAR(D41)+4)&gt;YEAR(E41),1,(12-MONTH(E41)+1)/12))) + (Q41)*(IF((YEAR(D41)+4)&lt;YEAR(E41),0,IF((YEAR(D41)+4)&gt;YEAR(E41),1,(12-MONTH(E41)+1)/12))))-((P41)*(IF((YEAR(D41)+4)&lt;YEAR(E41),0,IF((YEAR(D41)+4)&gt;YEAR(E41),1,(12-MONTH(E41)+1)/12))) + (R41)*(IF((YEAR(D41)+4)&lt;YEAR(E41),0,IF((YEAR(D41)+4)&gt;YEAR(E41),1,(12-MONTH(E41)+1)/12))))-(IF(OR(N41="",N41&lt;=0),0,(O41/N41)*(IF(OR(N41="",N41&lt;=0),0,IF((YEAR(D41)+4)&lt;YEAR(E41),0,IF((YEAR(D41)+4)&gt;=YEAR(E41)+N41,0,IF((YEAR(D41)+4)=YEAR(E41),(12-MONTH(E41)+1)/12,1))))))))&gt;0,(((K41)*(IF(M41="",L41,IFERROR(IF(INDEX(Variablen!$I:$AT, MATCH(M41, Variablen!$A:$A, 0), MATCH((YEAR(D41)+4), Variablen!$I$3:$AT$3, 0))="",L41,INDEX(Variablen!$I:$AT, MATCH(M41, Variablen!$A:$A, 0), MATCH((YEAR(D41)+4), Variablen!$I$3:$AT$3, 0))),L41)))*(IF((YEAR(D41)+4)&lt;YEAR(E41),0,IF((YEAR(D41)+4)&gt;YEAR(E41),1,(12-MONTH(E41)+1)/12))) + (Q41)*(IF((YEAR(D41)+4)&lt;YEAR(E41),0,IF((YEAR(D41)+4)&gt;YEAR(E41),1,(12-MONTH(E41)+1)/12))))-((P41)*(IF((YEAR(D41)+4)&lt;YEAR(E41),0,IF((YEAR(D41)+4)&gt;YEAR(E41),1,(12-MONTH(E41)+1)/12))) + (R41)*(IF((YEAR(D41)+4)&lt;YEAR(E41),0,IF((YEAR(D41)+4)&gt;YEAR(E41),1,(12-MONTH(E41)+1)/12))))-(IF(OR(N41="",N41&lt;=0),0,(O41/N41)*(IF(OR(N41="",N41&lt;=0),0,IF((YEAR(D41)+4)&lt;YEAR(E41),0,IF((YEAR(D41)+4)&gt;=YEAR(E41)+N41,0,IF((YEAR(D41)+4)=YEAR(E41),(12-MONTH(E41)+1)/12,1))))))))*TaxRate,0))-IF(4=0,O41,0))</f>
        <v/>
      </c>
      <c r="X41" s="29">
        <f>IF(A41="","",((K41)*(IF(M41="",L41,IFERROR(IF(INDEX(Variablen!$I:$AT, MATCH(M41, Variablen!$A:$A, 0), MATCH((YEAR(D41)+5), Variablen!$I$3:$AT$3, 0))="",L41,INDEX(Variablen!$I:$AT, MATCH(M41, Variablen!$A:$A, 0), MATCH((YEAR(D41)+5), Variablen!$I$3:$AT$3, 0))),L41)))*(IF((YEAR(D41)+5)&lt;YEAR(E41),0,IF((YEAR(D41)+5)&gt;YEAR(E41),1,(12-MONTH(E41)+1)/12))) + (Q41)*(IF((YEAR(D41)+5)&lt;YEAR(E41),0,IF((YEAR(D41)+5)&gt;YEAR(E41),1,(12-MONTH(E41)+1)/12))))-((P41)*(IF((YEAR(D41)+5)&lt;YEAR(E41),0,IF((YEAR(D41)+5)&gt;YEAR(E41),1,(12-MONTH(E41)+1)/12))) + (R41)*(IF((YEAR(D41)+5)&lt;YEAR(E41),0,IF((YEAR(D41)+5)&gt;YEAR(E41),1,(12-MONTH(E41)+1)/12))))-(IF((((K41)*(IF(M41="",L41,IFERROR(IF(INDEX(Variablen!$I:$AT, MATCH(M41, Variablen!$A:$A, 0), MATCH((YEAR(D41)+5), Variablen!$I$3:$AT$3, 0))="",L41,INDEX(Variablen!$I:$AT, MATCH(M41, Variablen!$A:$A, 0), MATCH((YEAR(D41)+5), Variablen!$I$3:$AT$3, 0))),L41)))*(IF((YEAR(D41)+5)&lt;YEAR(E41),0,IF((YEAR(D41)+5)&gt;YEAR(E41),1,(12-MONTH(E41)+1)/12))) + (Q41)*(IF((YEAR(D41)+5)&lt;YEAR(E41),0,IF((YEAR(D41)+5)&gt;YEAR(E41),1,(12-MONTH(E41)+1)/12))))-((P41)*(IF((YEAR(D41)+5)&lt;YEAR(E41),0,IF((YEAR(D41)+5)&gt;YEAR(E41),1,(12-MONTH(E41)+1)/12))) + (R41)*(IF((YEAR(D41)+5)&lt;YEAR(E41),0,IF((YEAR(D41)+5)&gt;YEAR(E41),1,(12-MONTH(E41)+1)/12))))-(IF(OR(N41="",N41&lt;=0),0,(O41/N41)*(IF(OR(N41="",N41&lt;=0),0,IF((YEAR(D41)+5)&lt;YEAR(E41),0,IF((YEAR(D41)+5)&gt;=YEAR(E41)+N41,0,IF((YEAR(D41)+5)=YEAR(E41),(12-MONTH(E41)+1)/12,1))))))))&gt;0,(((K41)*(IF(M41="",L41,IFERROR(IF(INDEX(Variablen!$I:$AT, MATCH(M41, Variablen!$A:$A, 0), MATCH((YEAR(D41)+5), Variablen!$I$3:$AT$3, 0))="",L41,INDEX(Variablen!$I:$AT, MATCH(M41, Variablen!$A:$A, 0), MATCH((YEAR(D41)+5), Variablen!$I$3:$AT$3, 0))),L41)))*(IF((YEAR(D41)+5)&lt;YEAR(E41),0,IF((YEAR(D41)+5)&gt;YEAR(E41),1,(12-MONTH(E41)+1)/12))) + (Q41)*(IF((YEAR(D41)+5)&lt;YEAR(E41),0,IF((YEAR(D41)+5)&gt;YEAR(E41),1,(12-MONTH(E41)+1)/12))))-((P41)*(IF((YEAR(D41)+5)&lt;YEAR(E41),0,IF((YEAR(D41)+5)&gt;YEAR(E41),1,(12-MONTH(E41)+1)/12))) + (R41)*(IF((YEAR(D41)+5)&lt;YEAR(E41),0,IF((YEAR(D41)+5)&gt;YEAR(E41),1,(12-MONTH(E41)+1)/12))))-(IF(OR(N41="",N41&lt;=0),0,(O41/N41)*(IF(OR(N41="",N41&lt;=0),0,IF((YEAR(D41)+5)&lt;YEAR(E41),0,IF((YEAR(D41)+5)&gt;=YEAR(E41)+N41,0,IF((YEAR(D41)+5)=YEAR(E41),(12-MONTH(E41)+1)/12,1))))))))*TaxRate,0))-IF(5=0,O41,0))</f>
        <v/>
      </c>
      <c r="Y41" s="29">
        <f>IF(A41="","",((K41)*(IF(M41="",L41,IFERROR(IF(INDEX(Variablen!$I:$AT, MATCH(M41, Variablen!$A:$A, 0), MATCH((YEAR(D41)+6), Variablen!$I$3:$AT$3, 0))="",L41,INDEX(Variablen!$I:$AT, MATCH(M41, Variablen!$A:$A, 0), MATCH((YEAR(D41)+6), Variablen!$I$3:$AT$3, 0))),L41)))*(IF((YEAR(D41)+6)&lt;YEAR(E41),0,IF((YEAR(D41)+6)&gt;YEAR(E41),1,(12-MONTH(E41)+1)/12))) + (Q41)*(IF((YEAR(D41)+6)&lt;YEAR(E41),0,IF((YEAR(D41)+6)&gt;YEAR(E41),1,(12-MONTH(E41)+1)/12))))-((P41)*(IF((YEAR(D41)+6)&lt;YEAR(E41),0,IF((YEAR(D41)+6)&gt;YEAR(E41),1,(12-MONTH(E41)+1)/12))) + (R41)*(IF((YEAR(D41)+6)&lt;YEAR(E41),0,IF((YEAR(D41)+6)&gt;YEAR(E41),1,(12-MONTH(E41)+1)/12))))-(IF((((K41)*(IF(M41="",L41,IFERROR(IF(INDEX(Variablen!$I:$AT, MATCH(M41, Variablen!$A:$A, 0), MATCH((YEAR(D41)+6), Variablen!$I$3:$AT$3, 0))="",L41,INDEX(Variablen!$I:$AT, MATCH(M41, Variablen!$A:$A, 0), MATCH((YEAR(D41)+6), Variablen!$I$3:$AT$3, 0))),L41)))*(IF((YEAR(D41)+6)&lt;YEAR(E41),0,IF((YEAR(D41)+6)&gt;YEAR(E41),1,(12-MONTH(E41)+1)/12))) + (Q41)*(IF((YEAR(D41)+6)&lt;YEAR(E41),0,IF((YEAR(D41)+6)&gt;YEAR(E41),1,(12-MONTH(E41)+1)/12))))-((P41)*(IF((YEAR(D41)+6)&lt;YEAR(E41),0,IF((YEAR(D41)+6)&gt;YEAR(E41),1,(12-MONTH(E41)+1)/12))) + (R41)*(IF((YEAR(D41)+6)&lt;YEAR(E41),0,IF((YEAR(D41)+6)&gt;YEAR(E41),1,(12-MONTH(E41)+1)/12))))-(IF(OR(N41="",N41&lt;=0),0,(O41/N41)*(IF(OR(N41="",N41&lt;=0),0,IF((YEAR(D41)+6)&lt;YEAR(E41),0,IF((YEAR(D41)+6)&gt;=YEAR(E41)+N41,0,IF((YEAR(D41)+6)=YEAR(E41),(12-MONTH(E41)+1)/12,1))))))))&gt;0,(((K41)*(IF(M41="",L41,IFERROR(IF(INDEX(Variablen!$I:$AT, MATCH(M41, Variablen!$A:$A, 0), MATCH((YEAR(D41)+6), Variablen!$I$3:$AT$3, 0))="",L41,INDEX(Variablen!$I:$AT, MATCH(M41, Variablen!$A:$A, 0), MATCH((YEAR(D41)+6), Variablen!$I$3:$AT$3, 0))),L41)))*(IF((YEAR(D41)+6)&lt;YEAR(E41),0,IF((YEAR(D41)+6)&gt;YEAR(E41),1,(12-MONTH(E41)+1)/12))) + (Q41)*(IF((YEAR(D41)+6)&lt;YEAR(E41),0,IF((YEAR(D41)+6)&gt;YEAR(E41),1,(12-MONTH(E41)+1)/12))))-((P41)*(IF((YEAR(D41)+6)&lt;YEAR(E41),0,IF((YEAR(D41)+6)&gt;YEAR(E41),1,(12-MONTH(E41)+1)/12))) + (R41)*(IF((YEAR(D41)+6)&lt;YEAR(E41),0,IF((YEAR(D41)+6)&gt;YEAR(E41),1,(12-MONTH(E41)+1)/12))))-(IF(OR(N41="",N41&lt;=0),0,(O41/N41)*(IF(OR(N41="",N41&lt;=0),0,IF((YEAR(D41)+6)&lt;YEAR(E41),0,IF((YEAR(D41)+6)&gt;=YEAR(E41)+N41,0,IF((YEAR(D41)+6)=YEAR(E41),(12-MONTH(E41)+1)/12,1))))))))*TaxRate,0))-IF(6=0,O41,0))</f>
        <v/>
      </c>
      <c r="Z41" s="29">
        <f>IF(A41="","",((K41)*(IF(M41="",L41,IFERROR(IF(INDEX(Variablen!$I:$AT, MATCH(M41, Variablen!$A:$A, 0), MATCH((YEAR(D41)+7), Variablen!$I$3:$AT$3, 0))="",L41,INDEX(Variablen!$I:$AT, MATCH(M41, Variablen!$A:$A, 0), MATCH((YEAR(D41)+7), Variablen!$I$3:$AT$3, 0))),L41)))*(IF((YEAR(D41)+7)&lt;YEAR(E41),0,IF((YEAR(D41)+7)&gt;YEAR(E41),1,(12-MONTH(E41)+1)/12))) + (Q41)*(IF((YEAR(D41)+7)&lt;YEAR(E41),0,IF((YEAR(D41)+7)&gt;YEAR(E41),1,(12-MONTH(E41)+1)/12))))-((P41)*(IF((YEAR(D41)+7)&lt;YEAR(E41),0,IF((YEAR(D41)+7)&gt;YEAR(E41),1,(12-MONTH(E41)+1)/12))) + (R41)*(IF((YEAR(D41)+7)&lt;YEAR(E41),0,IF((YEAR(D41)+7)&gt;YEAR(E41),1,(12-MONTH(E41)+1)/12))))-(IF((((K41)*(IF(M41="",L41,IFERROR(IF(INDEX(Variablen!$I:$AT, MATCH(M41, Variablen!$A:$A, 0), MATCH((YEAR(D41)+7), Variablen!$I$3:$AT$3, 0))="",L41,INDEX(Variablen!$I:$AT, MATCH(M41, Variablen!$A:$A, 0), MATCH((YEAR(D41)+7), Variablen!$I$3:$AT$3, 0))),L41)))*(IF((YEAR(D41)+7)&lt;YEAR(E41),0,IF((YEAR(D41)+7)&gt;YEAR(E41),1,(12-MONTH(E41)+1)/12))) + (Q41)*(IF((YEAR(D41)+7)&lt;YEAR(E41),0,IF((YEAR(D41)+7)&gt;YEAR(E41),1,(12-MONTH(E41)+1)/12))))-((P41)*(IF((YEAR(D41)+7)&lt;YEAR(E41),0,IF((YEAR(D41)+7)&gt;YEAR(E41),1,(12-MONTH(E41)+1)/12))) + (R41)*(IF((YEAR(D41)+7)&lt;YEAR(E41),0,IF((YEAR(D41)+7)&gt;YEAR(E41),1,(12-MONTH(E41)+1)/12))))-(IF(OR(N41="",N41&lt;=0),0,(O41/N41)*(IF(OR(N41="",N41&lt;=0),0,IF((YEAR(D41)+7)&lt;YEAR(E41),0,IF((YEAR(D41)+7)&gt;=YEAR(E41)+N41,0,IF((YEAR(D41)+7)=YEAR(E41),(12-MONTH(E41)+1)/12,1))))))))&gt;0,(((K41)*(IF(M41="",L41,IFERROR(IF(INDEX(Variablen!$I:$AT, MATCH(M41, Variablen!$A:$A, 0), MATCH((YEAR(D41)+7), Variablen!$I$3:$AT$3, 0))="",L41,INDEX(Variablen!$I:$AT, MATCH(M41, Variablen!$A:$A, 0), MATCH((YEAR(D41)+7), Variablen!$I$3:$AT$3, 0))),L41)))*(IF((YEAR(D41)+7)&lt;YEAR(E41),0,IF((YEAR(D41)+7)&gt;YEAR(E41),1,(12-MONTH(E41)+1)/12))) + (Q41)*(IF((YEAR(D41)+7)&lt;YEAR(E41),0,IF((YEAR(D41)+7)&gt;YEAR(E41),1,(12-MONTH(E41)+1)/12))))-((P41)*(IF((YEAR(D41)+7)&lt;YEAR(E41),0,IF((YEAR(D41)+7)&gt;YEAR(E41),1,(12-MONTH(E41)+1)/12))) + (R41)*(IF((YEAR(D41)+7)&lt;YEAR(E41),0,IF((YEAR(D41)+7)&gt;YEAR(E41),1,(12-MONTH(E41)+1)/12))))-(IF(OR(N41="",N41&lt;=0),0,(O41/N41)*(IF(OR(N41="",N41&lt;=0),0,IF((YEAR(D41)+7)&lt;YEAR(E41),0,IF((YEAR(D41)+7)&gt;=YEAR(E41)+N41,0,IF((YEAR(D41)+7)=YEAR(E41),(12-MONTH(E41)+1)/12,1))))))))*TaxRate,0))-IF(7=0,O41,0))</f>
        <v/>
      </c>
      <c r="AA41" s="29">
        <f>IF(A41="","",((K41)*(IF(M41="",L41,IFERROR(IF(INDEX(Variablen!$I:$AT, MATCH(M41, Variablen!$A:$A, 0), MATCH((YEAR(D41)+8), Variablen!$I$3:$AT$3, 0))="",L41,INDEX(Variablen!$I:$AT, MATCH(M41, Variablen!$A:$A, 0), MATCH((YEAR(D41)+8), Variablen!$I$3:$AT$3, 0))),L41)))*(IF((YEAR(D41)+8)&lt;YEAR(E41),0,IF((YEAR(D41)+8)&gt;YEAR(E41),1,(12-MONTH(E41)+1)/12))) + (Q41)*(IF((YEAR(D41)+8)&lt;YEAR(E41),0,IF((YEAR(D41)+8)&gt;YEAR(E41),1,(12-MONTH(E41)+1)/12))))-((P41)*(IF((YEAR(D41)+8)&lt;YEAR(E41),0,IF((YEAR(D41)+8)&gt;YEAR(E41),1,(12-MONTH(E41)+1)/12))) + (R41)*(IF((YEAR(D41)+8)&lt;YEAR(E41),0,IF((YEAR(D41)+8)&gt;YEAR(E41),1,(12-MONTH(E41)+1)/12))))-(IF((((K41)*(IF(M41="",L41,IFERROR(IF(INDEX(Variablen!$I:$AT, MATCH(M41, Variablen!$A:$A, 0), MATCH((YEAR(D41)+8), Variablen!$I$3:$AT$3, 0))="",L41,INDEX(Variablen!$I:$AT, MATCH(M41, Variablen!$A:$A, 0), MATCH((YEAR(D41)+8), Variablen!$I$3:$AT$3, 0))),L41)))*(IF((YEAR(D41)+8)&lt;YEAR(E41),0,IF((YEAR(D41)+8)&gt;YEAR(E41),1,(12-MONTH(E41)+1)/12))) + (Q41)*(IF((YEAR(D41)+8)&lt;YEAR(E41),0,IF((YEAR(D41)+8)&gt;YEAR(E41),1,(12-MONTH(E41)+1)/12))))-((P41)*(IF((YEAR(D41)+8)&lt;YEAR(E41),0,IF((YEAR(D41)+8)&gt;YEAR(E41),1,(12-MONTH(E41)+1)/12))) + (R41)*(IF((YEAR(D41)+8)&lt;YEAR(E41),0,IF((YEAR(D41)+8)&gt;YEAR(E41),1,(12-MONTH(E41)+1)/12))))-(IF(OR(N41="",N41&lt;=0),0,(O41/N41)*(IF(OR(N41="",N41&lt;=0),0,IF((YEAR(D41)+8)&lt;YEAR(E41),0,IF((YEAR(D41)+8)&gt;=YEAR(E41)+N41,0,IF((YEAR(D41)+8)=YEAR(E41),(12-MONTH(E41)+1)/12,1))))))))&gt;0,(((K41)*(IF(M41="",L41,IFERROR(IF(INDEX(Variablen!$I:$AT, MATCH(M41, Variablen!$A:$A, 0), MATCH((YEAR(D41)+8), Variablen!$I$3:$AT$3, 0))="",L41,INDEX(Variablen!$I:$AT, MATCH(M41, Variablen!$A:$A, 0), MATCH((YEAR(D41)+8), Variablen!$I$3:$AT$3, 0))),L41)))*(IF((YEAR(D41)+8)&lt;YEAR(E41),0,IF((YEAR(D41)+8)&gt;YEAR(E41),1,(12-MONTH(E41)+1)/12))) + (Q41)*(IF((YEAR(D41)+8)&lt;YEAR(E41),0,IF((YEAR(D41)+8)&gt;YEAR(E41),1,(12-MONTH(E41)+1)/12))))-((P41)*(IF((YEAR(D41)+8)&lt;YEAR(E41),0,IF((YEAR(D41)+8)&gt;YEAR(E41),1,(12-MONTH(E41)+1)/12))) + (R41)*(IF((YEAR(D41)+8)&lt;YEAR(E41),0,IF((YEAR(D41)+8)&gt;YEAR(E41),1,(12-MONTH(E41)+1)/12))))-(IF(OR(N41="",N41&lt;=0),0,(O41/N41)*(IF(OR(N41="",N41&lt;=0),0,IF((YEAR(D41)+8)&lt;YEAR(E41),0,IF((YEAR(D41)+8)&gt;=YEAR(E41)+N41,0,IF((YEAR(D41)+8)=YEAR(E41),(12-MONTH(E41)+1)/12,1))))))))*TaxRate,0))-IF(8=0,O41,0))</f>
        <v/>
      </c>
      <c r="AB41" s="29">
        <f>IF(A41="","",((K41)*(IF(M41="",L41,IFERROR(IF(INDEX(Variablen!$I:$AT, MATCH(M41, Variablen!$A:$A, 0), MATCH((YEAR(D41)+9), Variablen!$I$3:$AT$3, 0))="",L41,INDEX(Variablen!$I:$AT, MATCH(M41, Variablen!$A:$A, 0), MATCH((YEAR(D41)+9), Variablen!$I$3:$AT$3, 0))),L41)))*(IF((YEAR(D41)+9)&lt;YEAR(E41),0,IF((YEAR(D41)+9)&gt;YEAR(E41),1,(12-MONTH(E41)+1)/12))) + (Q41)*(IF((YEAR(D41)+9)&lt;YEAR(E41),0,IF((YEAR(D41)+9)&gt;YEAR(E41),1,(12-MONTH(E41)+1)/12))))-((P41)*(IF((YEAR(D41)+9)&lt;YEAR(E41),0,IF((YEAR(D41)+9)&gt;YEAR(E41),1,(12-MONTH(E41)+1)/12))) + (R41)*(IF((YEAR(D41)+9)&lt;YEAR(E41),0,IF((YEAR(D41)+9)&gt;YEAR(E41),1,(12-MONTH(E41)+1)/12))))-(IF((((K41)*(IF(M41="",L41,IFERROR(IF(INDEX(Variablen!$I:$AT, MATCH(M41, Variablen!$A:$A, 0), MATCH((YEAR(D41)+9), Variablen!$I$3:$AT$3, 0))="",L41,INDEX(Variablen!$I:$AT, MATCH(M41, Variablen!$A:$A, 0), MATCH((YEAR(D41)+9), Variablen!$I$3:$AT$3, 0))),L41)))*(IF((YEAR(D41)+9)&lt;YEAR(E41),0,IF((YEAR(D41)+9)&gt;YEAR(E41),1,(12-MONTH(E41)+1)/12))) + (Q41)*(IF((YEAR(D41)+9)&lt;YEAR(E41),0,IF((YEAR(D41)+9)&gt;YEAR(E41),1,(12-MONTH(E41)+1)/12))))-((P41)*(IF((YEAR(D41)+9)&lt;YEAR(E41),0,IF((YEAR(D41)+9)&gt;YEAR(E41),1,(12-MONTH(E41)+1)/12))) + (R41)*(IF((YEAR(D41)+9)&lt;YEAR(E41),0,IF((YEAR(D41)+9)&gt;YEAR(E41),1,(12-MONTH(E41)+1)/12))))-(IF(OR(N41="",N41&lt;=0),0,(O41/N41)*(IF(OR(N41="",N41&lt;=0),0,IF((YEAR(D41)+9)&lt;YEAR(E41),0,IF((YEAR(D41)+9)&gt;=YEAR(E41)+N41,0,IF((YEAR(D41)+9)=YEAR(E41),(12-MONTH(E41)+1)/12,1))))))))&gt;0,(((K41)*(IF(M41="",L41,IFERROR(IF(INDEX(Variablen!$I:$AT, MATCH(M41, Variablen!$A:$A, 0), MATCH((YEAR(D41)+9), Variablen!$I$3:$AT$3, 0))="",L41,INDEX(Variablen!$I:$AT, MATCH(M41, Variablen!$A:$A, 0), MATCH((YEAR(D41)+9), Variablen!$I$3:$AT$3, 0))),L41)))*(IF((YEAR(D41)+9)&lt;YEAR(E41),0,IF((YEAR(D41)+9)&gt;YEAR(E41),1,(12-MONTH(E41)+1)/12))) + (Q41)*(IF((YEAR(D41)+9)&lt;YEAR(E41),0,IF((YEAR(D41)+9)&gt;YEAR(E41),1,(12-MONTH(E41)+1)/12))))-((P41)*(IF((YEAR(D41)+9)&lt;YEAR(E41),0,IF((YEAR(D41)+9)&gt;YEAR(E41),1,(12-MONTH(E41)+1)/12))) + (R41)*(IF((YEAR(D41)+9)&lt;YEAR(E41),0,IF((YEAR(D41)+9)&gt;YEAR(E41),1,(12-MONTH(E41)+1)/12))))-(IF(OR(N41="",N41&lt;=0),0,(O41/N41)*(IF(OR(N41="",N41&lt;=0),0,IF((YEAR(D41)+9)&lt;YEAR(E41),0,IF((YEAR(D41)+9)&gt;=YEAR(E41)+N41,0,IF((YEAR(D41)+9)=YEAR(E41),(12-MONTH(E41)+1)/12,1))))))))*TaxRate,0))-IF(9=0,O41,0))</f>
        <v/>
      </c>
      <c r="AC41" s="29">
        <f>IF(A41="","",((K41)*(IF(M41="",L41,IFERROR(IF(INDEX(Variablen!$I:$AT, MATCH(M41, Variablen!$A:$A, 0), MATCH((YEAR(D41)+10), Variablen!$I$3:$AT$3, 0))="",L41,INDEX(Variablen!$I:$AT, MATCH(M41, Variablen!$A:$A, 0), MATCH((YEAR(D41)+10), Variablen!$I$3:$AT$3, 0))),L41)))*(IF((YEAR(D41)+10)&lt;YEAR(E41),0,IF((YEAR(D41)+10)&gt;YEAR(E41),1,(12-MONTH(E41)+1)/12))) + (Q41)*(IF((YEAR(D41)+10)&lt;YEAR(E41),0,IF((YEAR(D41)+10)&gt;YEAR(E41),1,(12-MONTH(E41)+1)/12))))-((P41)*(IF((YEAR(D41)+10)&lt;YEAR(E41),0,IF((YEAR(D41)+10)&gt;YEAR(E41),1,(12-MONTH(E41)+1)/12))) + (R41)*(IF((YEAR(D41)+10)&lt;YEAR(E41),0,IF((YEAR(D41)+10)&gt;YEAR(E41),1,(12-MONTH(E41)+1)/12))))-(IF((((K41)*(IF(M41="",L41,IFERROR(IF(INDEX(Variablen!$I:$AT, MATCH(M41, Variablen!$A:$A, 0), MATCH((YEAR(D41)+10), Variablen!$I$3:$AT$3, 0))="",L41,INDEX(Variablen!$I:$AT, MATCH(M41, Variablen!$A:$A, 0), MATCH((YEAR(D41)+10), Variablen!$I$3:$AT$3, 0))),L41)))*(IF((YEAR(D41)+10)&lt;YEAR(E41),0,IF((YEAR(D41)+10)&gt;YEAR(E41),1,(12-MONTH(E41)+1)/12))) + (Q41)*(IF((YEAR(D41)+10)&lt;YEAR(E41),0,IF((YEAR(D41)+10)&gt;YEAR(E41),1,(12-MONTH(E41)+1)/12))))-((P41)*(IF((YEAR(D41)+10)&lt;YEAR(E41),0,IF((YEAR(D41)+10)&gt;YEAR(E41),1,(12-MONTH(E41)+1)/12))) + (R41)*(IF((YEAR(D41)+10)&lt;YEAR(E41),0,IF((YEAR(D41)+10)&gt;YEAR(E41),1,(12-MONTH(E41)+1)/12))))-(IF(OR(N41="",N41&lt;=0),0,(O41/N41)*(IF(OR(N41="",N41&lt;=0),0,IF((YEAR(D41)+10)&lt;YEAR(E41),0,IF((YEAR(D41)+10)&gt;=YEAR(E41)+N41,0,IF((YEAR(D41)+10)=YEAR(E41),(12-MONTH(E41)+1)/12,1))))))))&gt;0,(((K41)*(IF(M41="",L41,IFERROR(IF(INDEX(Variablen!$I:$AT, MATCH(M41, Variablen!$A:$A, 0), MATCH((YEAR(D41)+10), Variablen!$I$3:$AT$3, 0))="",L41,INDEX(Variablen!$I:$AT, MATCH(M41, Variablen!$A:$A, 0), MATCH((YEAR(D41)+10), Variablen!$I$3:$AT$3, 0))),L41)))*(IF((YEAR(D41)+10)&lt;YEAR(E41),0,IF((YEAR(D41)+10)&gt;YEAR(E41),1,(12-MONTH(E41)+1)/12))) + (Q41)*(IF((YEAR(D41)+10)&lt;YEAR(E41),0,IF((YEAR(D41)+10)&gt;YEAR(E41),1,(12-MONTH(E41)+1)/12))))-((P41)*(IF((YEAR(D41)+10)&lt;YEAR(E41),0,IF((YEAR(D41)+10)&gt;YEAR(E41),1,(12-MONTH(E41)+1)/12))) + (R41)*(IF((YEAR(D41)+10)&lt;YEAR(E41),0,IF((YEAR(D41)+10)&gt;YEAR(E41),1,(12-MONTH(E41)+1)/12))))-(IF(OR(N41="",N41&lt;=0),0,(O41/N41)*(IF(OR(N41="",N41&lt;=0),0,IF((YEAR(D41)+10)&lt;YEAR(E41),0,IF((YEAR(D41)+10)&gt;=YEAR(E41)+N41,0,IF((YEAR(D41)+10)=YEAR(E41),(12-MONTH(E41)+1)/12,1))))))))*TaxRate,0))-IF(10=0,O41,0))</f>
        <v/>
      </c>
      <c r="AD41" s="29">
        <f>IF(A41="","",((K41)*(IF(M41="",L41,IFERROR(IF(INDEX(Variablen!$I:$AT, MATCH(M41, Variablen!$A:$A, 0), MATCH((YEAR(D41)+11), Variablen!$I$3:$AT$3, 0))="",L41,INDEX(Variablen!$I:$AT, MATCH(M41, Variablen!$A:$A, 0), MATCH((YEAR(D41)+11), Variablen!$I$3:$AT$3, 0))),L41)))*(IF((YEAR(D41)+11)&lt;YEAR(E41),0,IF((YEAR(D41)+11)&gt;YEAR(E41),1,(12-MONTH(E41)+1)/12))) + (Q41)*(IF((YEAR(D41)+11)&lt;YEAR(E41),0,IF((YEAR(D41)+11)&gt;YEAR(E41),1,(12-MONTH(E41)+1)/12))))-((P41)*(IF((YEAR(D41)+11)&lt;YEAR(E41),0,IF((YEAR(D41)+11)&gt;YEAR(E41),1,(12-MONTH(E41)+1)/12))) + (R41)*(IF((YEAR(D41)+11)&lt;YEAR(E41),0,IF((YEAR(D41)+11)&gt;YEAR(E41),1,(12-MONTH(E41)+1)/12))))-(IF((((K41)*(IF(M41="",L41,IFERROR(IF(INDEX(Variablen!$I:$AT, MATCH(M41, Variablen!$A:$A, 0), MATCH((YEAR(D41)+11), Variablen!$I$3:$AT$3, 0))="",L41,INDEX(Variablen!$I:$AT, MATCH(M41, Variablen!$A:$A, 0), MATCH((YEAR(D41)+11), Variablen!$I$3:$AT$3, 0))),L41)))*(IF((YEAR(D41)+11)&lt;YEAR(E41),0,IF((YEAR(D41)+11)&gt;YEAR(E41),1,(12-MONTH(E41)+1)/12))) + (Q41)*(IF((YEAR(D41)+11)&lt;YEAR(E41),0,IF((YEAR(D41)+11)&gt;YEAR(E41),1,(12-MONTH(E41)+1)/12))))-((P41)*(IF((YEAR(D41)+11)&lt;YEAR(E41),0,IF((YEAR(D41)+11)&gt;YEAR(E41),1,(12-MONTH(E41)+1)/12))) + (R41)*(IF((YEAR(D41)+11)&lt;YEAR(E41),0,IF((YEAR(D41)+11)&gt;YEAR(E41),1,(12-MONTH(E41)+1)/12))))-(IF(OR(N41="",N41&lt;=0),0,(O41/N41)*(IF(OR(N41="",N41&lt;=0),0,IF((YEAR(D41)+11)&lt;YEAR(E41),0,IF((YEAR(D41)+11)&gt;=YEAR(E41)+N41,0,IF((YEAR(D41)+11)=YEAR(E41),(12-MONTH(E41)+1)/12,1))))))))&gt;0,(((K41)*(IF(M41="",L41,IFERROR(IF(INDEX(Variablen!$I:$AT, MATCH(M41, Variablen!$A:$A, 0), MATCH((YEAR(D41)+11), Variablen!$I$3:$AT$3, 0))="",L41,INDEX(Variablen!$I:$AT, MATCH(M41, Variablen!$A:$A, 0), MATCH((YEAR(D41)+11), Variablen!$I$3:$AT$3, 0))),L41)))*(IF((YEAR(D41)+11)&lt;YEAR(E41),0,IF((YEAR(D41)+11)&gt;YEAR(E41),1,(12-MONTH(E41)+1)/12))) + (Q41)*(IF((YEAR(D41)+11)&lt;YEAR(E41),0,IF((YEAR(D41)+11)&gt;YEAR(E41),1,(12-MONTH(E41)+1)/12))))-((P41)*(IF((YEAR(D41)+11)&lt;YEAR(E41),0,IF((YEAR(D41)+11)&gt;YEAR(E41),1,(12-MONTH(E41)+1)/12))) + (R41)*(IF((YEAR(D41)+11)&lt;YEAR(E41),0,IF((YEAR(D41)+11)&gt;YEAR(E41),1,(12-MONTH(E41)+1)/12))))-(IF(OR(N41="",N41&lt;=0),0,(O41/N41)*(IF(OR(N41="",N41&lt;=0),0,IF((YEAR(D41)+11)&lt;YEAR(E41),0,IF((YEAR(D41)+11)&gt;=YEAR(E41)+N41,0,IF((YEAR(D41)+11)=YEAR(E41),(12-MONTH(E41)+1)/12,1))))))))*TaxRate,0))-IF(11=0,O41,0))</f>
        <v/>
      </c>
      <c r="AE41" s="29">
        <f>IF(A41="","",((K41)*(IF(M41="",L41,IFERROR(IF(INDEX(Variablen!$I:$AT, MATCH(M41, Variablen!$A:$A, 0), MATCH((YEAR(D41)+12), Variablen!$I$3:$AT$3, 0))="",L41,INDEX(Variablen!$I:$AT, MATCH(M41, Variablen!$A:$A, 0), MATCH((YEAR(D41)+12), Variablen!$I$3:$AT$3, 0))),L41)))*(IF((YEAR(D41)+12)&lt;YEAR(E41),0,IF((YEAR(D41)+12)&gt;YEAR(E41),1,(12-MONTH(E41)+1)/12))) + (Q41)*(IF((YEAR(D41)+12)&lt;YEAR(E41),0,IF((YEAR(D41)+12)&gt;YEAR(E41),1,(12-MONTH(E41)+1)/12))))-((P41)*(IF((YEAR(D41)+12)&lt;YEAR(E41),0,IF((YEAR(D41)+12)&gt;YEAR(E41),1,(12-MONTH(E41)+1)/12))) + (R41)*(IF((YEAR(D41)+12)&lt;YEAR(E41),0,IF((YEAR(D41)+12)&gt;YEAR(E41),1,(12-MONTH(E41)+1)/12))))-(IF((((K41)*(IF(M41="",L41,IFERROR(IF(INDEX(Variablen!$I:$AT, MATCH(M41, Variablen!$A:$A, 0), MATCH((YEAR(D41)+12), Variablen!$I$3:$AT$3, 0))="",L41,INDEX(Variablen!$I:$AT, MATCH(M41, Variablen!$A:$A, 0), MATCH((YEAR(D41)+12), Variablen!$I$3:$AT$3, 0))),L41)))*(IF((YEAR(D41)+12)&lt;YEAR(E41),0,IF((YEAR(D41)+12)&gt;YEAR(E41),1,(12-MONTH(E41)+1)/12))) + (Q41)*(IF((YEAR(D41)+12)&lt;YEAR(E41),0,IF((YEAR(D41)+12)&gt;YEAR(E41),1,(12-MONTH(E41)+1)/12))))-((P41)*(IF((YEAR(D41)+12)&lt;YEAR(E41),0,IF((YEAR(D41)+12)&gt;YEAR(E41),1,(12-MONTH(E41)+1)/12))) + (R41)*(IF((YEAR(D41)+12)&lt;YEAR(E41),0,IF((YEAR(D41)+12)&gt;YEAR(E41),1,(12-MONTH(E41)+1)/12))))-(IF(OR(N41="",N41&lt;=0),0,(O41/N41)*(IF(OR(N41="",N41&lt;=0),0,IF((YEAR(D41)+12)&lt;YEAR(E41),0,IF((YEAR(D41)+12)&gt;=YEAR(E41)+N41,0,IF((YEAR(D41)+12)=YEAR(E41),(12-MONTH(E41)+1)/12,1))))))))&gt;0,(((K41)*(IF(M41="",L41,IFERROR(IF(INDEX(Variablen!$I:$AT, MATCH(M41, Variablen!$A:$A, 0), MATCH((YEAR(D41)+12), Variablen!$I$3:$AT$3, 0))="",L41,INDEX(Variablen!$I:$AT, MATCH(M41, Variablen!$A:$A, 0), MATCH((YEAR(D41)+12), Variablen!$I$3:$AT$3, 0))),L41)))*(IF((YEAR(D41)+12)&lt;YEAR(E41),0,IF((YEAR(D41)+12)&gt;YEAR(E41),1,(12-MONTH(E41)+1)/12))) + (Q41)*(IF((YEAR(D41)+12)&lt;YEAR(E41),0,IF((YEAR(D41)+12)&gt;YEAR(E41),1,(12-MONTH(E41)+1)/12))))-((P41)*(IF((YEAR(D41)+12)&lt;YEAR(E41),0,IF((YEAR(D41)+12)&gt;YEAR(E41),1,(12-MONTH(E41)+1)/12))) + (R41)*(IF((YEAR(D41)+12)&lt;YEAR(E41),0,IF((YEAR(D41)+12)&gt;YEAR(E41),1,(12-MONTH(E41)+1)/12))))-(IF(OR(N41="",N41&lt;=0),0,(O41/N41)*(IF(OR(N41="",N41&lt;=0),0,IF((YEAR(D41)+12)&lt;YEAR(E41),0,IF((YEAR(D41)+12)&gt;=YEAR(E41)+N41,0,IF((YEAR(D41)+12)=YEAR(E41),(12-MONTH(E41)+1)/12,1))))))))*TaxRate,0))-IF(12=0,O41,0))</f>
        <v/>
      </c>
      <c r="AF41" s="29">
        <f>IF(A41="","",((K41)*(IF(M41="",L41,IFERROR(IF(INDEX(Variablen!$I:$AT, MATCH(M41, Variablen!$A:$A, 0), MATCH((YEAR(D41)+13), Variablen!$I$3:$AT$3, 0))="",L41,INDEX(Variablen!$I:$AT, MATCH(M41, Variablen!$A:$A, 0), MATCH((YEAR(D41)+13), Variablen!$I$3:$AT$3, 0))),L41)))*(IF((YEAR(D41)+13)&lt;YEAR(E41),0,IF((YEAR(D41)+13)&gt;YEAR(E41),1,(12-MONTH(E41)+1)/12))) + (Q41)*(IF((YEAR(D41)+13)&lt;YEAR(E41),0,IF((YEAR(D41)+13)&gt;YEAR(E41),1,(12-MONTH(E41)+1)/12))))-((P41)*(IF((YEAR(D41)+13)&lt;YEAR(E41),0,IF((YEAR(D41)+13)&gt;YEAR(E41),1,(12-MONTH(E41)+1)/12))) + (R41)*(IF((YEAR(D41)+13)&lt;YEAR(E41),0,IF((YEAR(D41)+13)&gt;YEAR(E41),1,(12-MONTH(E41)+1)/12))))-(IF((((K41)*(IF(M41="",L41,IFERROR(IF(INDEX(Variablen!$I:$AT, MATCH(M41, Variablen!$A:$A, 0), MATCH((YEAR(D41)+13), Variablen!$I$3:$AT$3, 0))="",L41,INDEX(Variablen!$I:$AT, MATCH(M41, Variablen!$A:$A, 0), MATCH((YEAR(D41)+13), Variablen!$I$3:$AT$3, 0))),L41)))*(IF((YEAR(D41)+13)&lt;YEAR(E41),0,IF((YEAR(D41)+13)&gt;YEAR(E41),1,(12-MONTH(E41)+1)/12))) + (Q41)*(IF((YEAR(D41)+13)&lt;YEAR(E41),0,IF((YEAR(D41)+13)&gt;YEAR(E41),1,(12-MONTH(E41)+1)/12))))-((P41)*(IF((YEAR(D41)+13)&lt;YEAR(E41),0,IF((YEAR(D41)+13)&gt;YEAR(E41),1,(12-MONTH(E41)+1)/12))) + (R41)*(IF((YEAR(D41)+13)&lt;YEAR(E41),0,IF((YEAR(D41)+13)&gt;YEAR(E41),1,(12-MONTH(E41)+1)/12))))-(IF(OR(N41="",N41&lt;=0),0,(O41/N41)*(IF(OR(N41="",N41&lt;=0),0,IF((YEAR(D41)+13)&lt;YEAR(E41),0,IF((YEAR(D41)+13)&gt;=YEAR(E41)+N41,0,IF((YEAR(D41)+13)=YEAR(E41),(12-MONTH(E41)+1)/12,1))))))))&gt;0,(((K41)*(IF(M41="",L41,IFERROR(IF(INDEX(Variablen!$I:$AT, MATCH(M41, Variablen!$A:$A, 0), MATCH((YEAR(D41)+13), Variablen!$I$3:$AT$3, 0))="",L41,INDEX(Variablen!$I:$AT, MATCH(M41, Variablen!$A:$A, 0), MATCH((YEAR(D41)+13), Variablen!$I$3:$AT$3, 0))),L41)))*(IF((YEAR(D41)+13)&lt;YEAR(E41),0,IF((YEAR(D41)+13)&gt;YEAR(E41),1,(12-MONTH(E41)+1)/12))) + (Q41)*(IF((YEAR(D41)+13)&lt;YEAR(E41),0,IF((YEAR(D41)+13)&gt;YEAR(E41),1,(12-MONTH(E41)+1)/12))))-((P41)*(IF((YEAR(D41)+13)&lt;YEAR(E41),0,IF((YEAR(D41)+13)&gt;YEAR(E41),1,(12-MONTH(E41)+1)/12))) + (R41)*(IF((YEAR(D41)+13)&lt;YEAR(E41),0,IF((YEAR(D41)+13)&gt;YEAR(E41),1,(12-MONTH(E41)+1)/12))))-(IF(OR(N41="",N41&lt;=0),0,(O41/N41)*(IF(OR(N41="",N41&lt;=0),0,IF((YEAR(D41)+13)&lt;YEAR(E41),0,IF((YEAR(D41)+13)&gt;=YEAR(E41)+N41,0,IF((YEAR(D41)+13)=YEAR(E41),(12-MONTH(E41)+1)/12,1))))))))*TaxRate,0))-IF(13=0,O41,0))</f>
        <v/>
      </c>
      <c r="AG41" s="29">
        <f>IF(A41="","",((K41)*(IF(M41="",L41,IFERROR(IF(INDEX(Variablen!$I:$AT, MATCH(M41, Variablen!$A:$A, 0), MATCH((YEAR(D41)+14), Variablen!$I$3:$AT$3, 0))="",L41,INDEX(Variablen!$I:$AT, MATCH(M41, Variablen!$A:$A, 0), MATCH((YEAR(D41)+14), Variablen!$I$3:$AT$3, 0))),L41)))*(IF((YEAR(D41)+14)&lt;YEAR(E41),0,IF((YEAR(D41)+14)&gt;YEAR(E41),1,(12-MONTH(E41)+1)/12))) + (Q41)*(IF((YEAR(D41)+14)&lt;YEAR(E41),0,IF((YEAR(D41)+14)&gt;YEAR(E41),1,(12-MONTH(E41)+1)/12))))-((P41)*(IF((YEAR(D41)+14)&lt;YEAR(E41),0,IF((YEAR(D41)+14)&gt;YEAR(E41),1,(12-MONTH(E41)+1)/12))) + (R41)*(IF((YEAR(D41)+14)&lt;YEAR(E41),0,IF((YEAR(D41)+14)&gt;YEAR(E41),1,(12-MONTH(E41)+1)/12))))-(IF((((K41)*(IF(M41="",L41,IFERROR(IF(INDEX(Variablen!$I:$AT, MATCH(M41, Variablen!$A:$A, 0), MATCH((YEAR(D41)+14), Variablen!$I$3:$AT$3, 0))="",L41,INDEX(Variablen!$I:$AT, MATCH(M41, Variablen!$A:$A, 0), MATCH((YEAR(D41)+14), Variablen!$I$3:$AT$3, 0))),L41)))*(IF((YEAR(D41)+14)&lt;YEAR(E41),0,IF((YEAR(D41)+14)&gt;YEAR(E41),1,(12-MONTH(E41)+1)/12))) + (Q41)*(IF((YEAR(D41)+14)&lt;YEAR(E41),0,IF((YEAR(D41)+14)&gt;YEAR(E41),1,(12-MONTH(E41)+1)/12))))-((P41)*(IF((YEAR(D41)+14)&lt;YEAR(E41),0,IF((YEAR(D41)+14)&gt;YEAR(E41),1,(12-MONTH(E41)+1)/12))) + (R41)*(IF((YEAR(D41)+14)&lt;YEAR(E41),0,IF((YEAR(D41)+14)&gt;YEAR(E41),1,(12-MONTH(E41)+1)/12))))-(IF(OR(N41="",N41&lt;=0),0,(O41/N41)*(IF(OR(N41="",N41&lt;=0),0,IF((YEAR(D41)+14)&lt;YEAR(E41),0,IF((YEAR(D41)+14)&gt;=YEAR(E41)+N41,0,IF((YEAR(D41)+14)=YEAR(E41),(12-MONTH(E41)+1)/12,1))))))))&gt;0,(((K41)*(IF(M41="",L41,IFERROR(IF(INDEX(Variablen!$I:$AT, MATCH(M41, Variablen!$A:$A, 0), MATCH((YEAR(D41)+14), Variablen!$I$3:$AT$3, 0))="",L41,INDEX(Variablen!$I:$AT, MATCH(M41, Variablen!$A:$A, 0), MATCH((YEAR(D41)+14), Variablen!$I$3:$AT$3, 0))),L41)))*(IF((YEAR(D41)+14)&lt;YEAR(E41),0,IF((YEAR(D41)+14)&gt;YEAR(E41),1,(12-MONTH(E41)+1)/12))) + (Q41)*(IF((YEAR(D41)+14)&lt;YEAR(E41),0,IF((YEAR(D41)+14)&gt;YEAR(E41),1,(12-MONTH(E41)+1)/12))))-((P41)*(IF((YEAR(D41)+14)&lt;YEAR(E41),0,IF((YEAR(D41)+14)&gt;YEAR(E41),1,(12-MONTH(E41)+1)/12))) + (R41)*(IF((YEAR(D41)+14)&lt;YEAR(E41),0,IF((YEAR(D41)+14)&gt;YEAR(E41),1,(12-MONTH(E41)+1)/12))))-(IF(OR(N41="",N41&lt;=0),0,(O41/N41)*(IF(OR(N41="",N41&lt;=0),0,IF((YEAR(D41)+14)&lt;YEAR(E41),0,IF((YEAR(D41)+14)&gt;=YEAR(E41)+N41,0,IF((YEAR(D41)+14)=YEAR(E41),(12-MONTH(E41)+1)/12,1))))))))*TaxRate,0))-IF(14=0,O41,0))</f>
        <v/>
      </c>
      <c r="AH41" s="29">
        <f>IF(A41="","",((K41)*(IF(M41="",L41,IFERROR(IF(INDEX(Variablen!$I:$AT, MATCH(M41, Variablen!$A:$A, 0), MATCH((YEAR(D41)+15), Variablen!$I$3:$AT$3, 0))="",L41,INDEX(Variablen!$I:$AT, MATCH(M41, Variablen!$A:$A, 0), MATCH((YEAR(D41)+15), Variablen!$I$3:$AT$3, 0))),L41)))*(IF((YEAR(D41)+15)&lt;YEAR(E41),0,IF((YEAR(D41)+15)&gt;YEAR(E41),1,(12-MONTH(E41)+1)/12))) + (Q41)*(IF((YEAR(D41)+15)&lt;YEAR(E41),0,IF((YEAR(D41)+15)&gt;YEAR(E41),1,(12-MONTH(E41)+1)/12))))-((P41)*(IF((YEAR(D41)+15)&lt;YEAR(E41),0,IF((YEAR(D41)+15)&gt;YEAR(E41),1,(12-MONTH(E41)+1)/12))) + (R41)*(IF((YEAR(D41)+15)&lt;YEAR(E41),0,IF((YEAR(D41)+15)&gt;YEAR(E41),1,(12-MONTH(E41)+1)/12))))-(IF((((K41)*(IF(M41="",L41,IFERROR(IF(INDEX(Variablen!$I:$AT, MATCH(M41, Variablen!$A:$A, 0), MATCH((YEAR(D41)+15), Variablen!$I$3:$AT$3, 0))="",L41,INDEX(Variablen!$I:$AT, MATCH(M41, Variablen!$A:$A, 0), MATCH((YEAR(D41)+15), Variablen!$I$3:$AT$3, 0))),L41)))*(IF((YEAR(D41)+15)&lt;YEAR(E41),0,IF((YEAR(D41)+15)&gt;YEAR(E41),1,(12-MONTH(E41)+1)/12))) + (Q41)*(IF((YEAR(D41)+15)&lt;YEAR(E41),0,IF((YEAR(D41)+15)&gt;YEAR(E41),1,(12-MONTH(E41)+1)/12))))-((P41)*(IF((YEAR(D41)+15)&lt;YEAR(E41),0,IF((YEAR(D41)+15)&gt;YEAR(E41),1,(12-MONTH(E41)+1)/12))) + (R41)*(IF((YEAR(D41)+15)&lt;YEAR(E41),0,IF((YEAR(D41)+15)&gt;YEAR(E41),1,(12-MONTH(E41)+1)/12))))-(IF(OR(N41="",N41&lt;=0),0,(O41/N41)*(IF(OR(N41="",N41&lt;=0),0,IF((YEAR(D41)+15)&lt;YEAR(E41),0,IF((YEAR(D41)+15)&gt;=YEAR(E41)+N41,0,IF((YEAR(D41)+15)=YEAR(E41),(12-MONTH(E41)+1)/12,1))))))))&gt;0,(((K41)*(IF(M41="",L41,IFERROR(IF(INDEX(Variablen!$I:$AT, MATCH(M41, Variablen!$A:$A, 0), MATCH((YEAR(D41)+15), Variablen!$I$3:$AT$3, 0))="",L41,INDEX(Variablen!$I:$AT, MATCH(M41, Variablen!$A:$A, 0), MATCH((YEAR(D41)+15), Variablen!$I$3:$AT$3, 0))),L41)))*(IF((YEAR(D41)+15)&lt;YEAR(E41),0,IF((YEAR(D41)+15)&gt;YEAR(E41),1,(12-MONTH(E41)+1)/12))) + (Q41)*(IF((YEAR(D41)+15)&lt;YEAR(E41),0,IF((YEAR(D41)+15)&gt;YEAR(E41),1,(12-MONTH(E41)+1)/12))))-((P41)*(IF((YEAR(D41)+15)&lt;YEAR(E41),0,IF((YEAR(D41)+15)&gt;YEAR(E41),1,(12-MONTH(E41)+1)/12))) + (R41)*(IF((YEAR(D41)+15)&lt;YEAR(E41),0,IF((YEAR(D41)+15)&gt;YEAR(E41),1,(12-MONTH(E41)+1)/12))))-(IF(OR(N41="",N41&lt;=0),0,(O41/N41)*(IF(OR(N41="",N41&lt;=0),0,IF((YEAR(D41)+15)&lt;YEAR(E41),0,IF((YEAR(D41)+15)&gt;=YEAR(E41)+N41,0,IF((YEAR(D41)+15)=YEAR(E41),(12-MONTH(E41)+1)/12,1))))))))*TaxRate,0))-IF(15=0,O41,0))</f>
        <v/>
      </c>
      <c r="AI41" s="29">
        <f>IF(A41="","",((K41)*(IF(M41="",L41,IFERROR(IF(INDEX(Variablen!$I:$AT, MATCH(M41, Variablen!$A:$A, 0), MATCH((YEAR(D41)+16), Variablen!$I$3:$AT$3, 0))="",L41,INDEX(Variablen!$I:$AT, MATCH(M41, Variablen!$A:$A, 0), MATCH((YEAR(D41)+16), Variablen!$I$3:$AT$3, 0))),L41)))*(IF((YEAR(D41)+16)&lt;YEAR(E41),0,IF((YEAR(D41)+16)&gt;YEAR(E41),1,(12-MONTH(E41)+1)/12))) + (Q41)*(IF((YEAR(D41)+16)&lt;YEAR(E41),0,IF((YEAR(D41)+16)&gt;YEAR(E41),1,(12-MONTH(E41)+1)/12))))-((P41)*(IF((YEAR(D41)+16)&lt;YEAR(E41),0,IF((YEAR(D41)+16)&gt;YEAR(E41),1,(12-MONTH(E41)+1)/12))) + (R41)*(IF((YEAR(D41)+16)&lt;YEAR(E41),0,IF((YEAR(D41)+16)&gt;YEAR(E41),1,(12-MONTH(E41)+1)/12))))-(IF((((K41)*(IF(M41="",L41,IFERROR(IF(INDEX(Variablen!$I:$AT, MATCH(M41, Variablen!$A:$A, 0), MATCH((YEAR(D41)+16), Variablen!$I$3:$AT$3, 0))="",L41,INDEX(Variablen!$I:$AT, MATCH(M41, Variablen!$A:$A, 0), MATCH((YEAR(D41)+16), Variablen!$I$3:$AT$3, 0))),L41)))*(IF((YEAR(D41)+16)&lt;YEAR(E41),0,IF((YEAR(D41)+16)&gt;YEAR(E41),1,(12-MONTH(E41)+1)/12))) + (Q41)*(IF((YEAR(D41)+16)&lt;YEAR(E41),0,IF((YEAR(D41)+16)&gt;YEAR(E41),1,(12-MONTH(E41)+1)/12))))-((P41)*(IF((YEAR(D41)+16)&lt;YEAR(E41),0,IF((YEAR(D41)+16)&gt;YEAR(E41),1,(12-MONTH(E41)+1)/12))) + (R41)*(IF((YEAR(D41)+16)&lt;YEAR(E41),0,IF((YEAR(D41)+16)&gt;YEAR(E41),1,(12-MONTH(E41)+1)/12))))-(IF(OR(N41="",N41&lt;=0),0,(O41/N41)*(IF(OR(N41="",N41&lt;=0),0,IF((YEAR(D41)+16)&lt;YEAR(E41),0,IF((YEAR(D41)+16)&gt;=YEAR(E41)+N41,0,IF((YEAR(D41)+16)=YEAR(E41),(12-MONTH(E41)+1)/12,1))))))))&gt;0,(((K41)*(IF(M41="",L41,IFERROR(IF(INDEX(Variablen!$I:$AT, MATCH(M41, Variablen!$A:$A, 0), MATCH((YEAR(D41)+16), Variablen!$I$3:$AT$3, 0))="",L41,INDEX(Variablen!$I:$AT, MATCH(M41, Variablen!$A:$A, 0), MATCH((YEAR(D41)+16), Variablen!$I$3:$AT$3, 0))),L41)))*(IF((YEAR(D41)+16)&lt;YEAR(E41),0,IF((YEAR(D41)+16)&gt;YEAR(E41),1,(12-MONTH(E41)+1)/12))) + (Q41)*(IF((YEAR(D41)+16)&lt;YEAR(E41),0,IF((YEAR(D41)+16)&gt;YEAR(E41),1,(12-MONTH(E41)+1)/12))))-((P41)*(IF((YEAR(D41)+16)&lt;YEAR(E41),0,IF((YEAR(D41)+16)&gt;YEAR(E41),1,(12-MONTH(E41)+1)/12))) + (R41)*(IF((YEAR(D41)+16)&lt;YEAR(E41),0,IF((YEAR(D41)+16)&gt;YEAR(E41),1,(12-MONTH(E41)+1)/12))))-(IF(OR(N41="",N41&lt;=0),0,(O41/N41)*(IF(OR(N41="",N41&lt;=0),0,IF((YEAR(D41)+16)&lt;YEAR(E41),0,IF((YEAR(D41)+16)&gt;=YEAR(E41)+N41,0,IF((YEAR(D41)+16)=YEAR(E41),(12-MONTH(E41)+1)/12,1))))))))*TaxRate,0))-IF(16=0,O41,0))</f>
        <v/>
      </c>
      <c r="AJ41" s="29">
        <f>IF(A41="","",((K41)*(IF(M41="",L41,IFERROR(IF(INDEX(Variablen!$I:$AT, MATCH(M41, Variablen!$A:$A, 0), MATCH((YEAR(D41)+17), Variablen!$I$3:$AT$3, 0))="",L41,INDEX(Variablen!$I:$AT, MATCH(M41, Variablen!$A:$A, 0), MATCH((YEAR(D41)+17), Variablen!$I$3:$AT$3, 0))),L41)))*(IF((YEAR(D41)+17)&lt;YEAR(E41),0,IF((YEAR(D41)+17)&gt;YEAR(E41),1,(12-MONTH(E41)+1)/12))) + (Q41)*(IF((YEAR(D41)+17)&lt;YEAR(E41),0,IF((YEAR(D41)+17)&gt;YEAR(E41),1,(12-MONTH(E41)+1)/12))))-((P41)*(IF((YEAR(D41)+17)&lt;YEAR(E41),0,IF((YEAR(D41)+17)&gt;YEAR(E41),1,(12-MONTH(E41)+1)/12))) + (R41)*(IF((YEAR(D41)+17)&lt;YEAR(E41),0,IF((YEAR(D41)+17)&gt;YEAR(E41),1,(12-MONTH(E41)+1)/12))))-(IF((((K41)*(IF(M41="",L41,IFERROR(IF(INDEX(Variablen!$I:$AT, MATCH(M41, Variablen!$A:$A, 0), MATCH((YEAR(D41)+17), Variablen!$I$3:$AT$3, 0))="",L41,INDEX(Variablen!$I:$AT, MATCH(M41, Variablen!$A:$A, 0), MATCH((YEAR(D41)+17), Variablen!$I$3:$AT$3, 0))),L41)))*(IF((YEAR(D41)+17)&lt;YEAR(E41),0,IF((YEAR(D41)+17)&gt;YEAR(E41),1,(12-MONTH(E41)+1)/12))) + (Q41)*(IF((YEAR(D41)+17)&lt;YEAR(E41),0,IF((YEAR(D41)+17)&gt;YEAR(E41),1,(12-MONTH(E41)+1)/12))))-((P41)*(IF((YEAR(D41)+17)&lt;YEAR(E41),0,IF((YEAR(D41)+17)&gt;YEAR(E41),1,(12-MONTH(E41)+1)/12))) + (R41)*(IF((YEAR(D41)+17)&lt;YEAR(E41),0,IF((YEAR(D41)+17)&gt;YEAR(E41),1,(12-MONTH(E41)+1)/12))))-(IF(OR(N41="",N41&lt;=0),0,(O41/N41)*(IF(OR(N41="",N41&lt;=0),0,IF((YEAR(D41)+17)&lt;YEAR(E41),0,IF((YEAR(D41)+17)&gt;=YEAR(E41)+N41,0,IF((YEAR(D41)+17)=YEAR(E41),(12-MONTH(E41)+1)/12,1))))))))&gt;0,(((K41)*(IF(M41="",L41,IFERROR(IF(INDEX(Variablen!$I:$AT, MATCH(M41, Variablen!$A:$A, 0), MATCH((YEAR(D41)+17), Variablen!$I$3:$AT$3, 0))="",L41,INDEX(Variablen!$I:$AT, MATCH(M41, Variablen!$A:$A, 0), MATCH((YEAR(D41)+17), Variablen!$I$3:$AT$3, 0))),L41)))*(IF((YEAR(D41)+17)&lt;YEAR(E41),0,IF((YEAR(D41)+17)&gt;YEAR(E41),1,(12-MONTH(E41)+1)/12))) + (Q41)*(IF((YEAR(D41)+17)&lt;YEAR(E41),0,IF((YEAR(D41)+17)&gt;YEAR(E41),1,(12-MONTH(E41)+1)/12))))-((P41)*(IF((YEAR(D41)+17)&lt;YEAR(E41),0,IF((YEAR(D41)+17)&gt;YEAR(E41),1,(12-MONTH(E41)+1)/12))) + (R41)*(IF((YEAR(D41)+17)&lt;YEAR(E41),0,IF((YEAR(D41)+17)&gt;YEAR(E41),1,(12-MONTH(E41)+1)/12))))-(IF(OR(N41="",N41&lt;=0),0,(O41/N41)*(IF(OR(N41="",N41&lt;=0),0,IF((YEAR(D41)+17)&lt;YEAR(E41),0,IF((YEAR(D41)+17)&gt;=YEAR(E41)+N41,0,IF((YEAR(D41)+17)=YEAR(E41),(12-MONTH(E41)+1)/12,1))))))))*TaxRate,0))-IF(17=0,O41,0))</f>
        <v/>
      </c>
      <c r="AK41" s="29">
        <f>IF(A41="","",((K41)*(IF(M41="",L41,IFERROR(IF(INDEX(Variablen!$I:$AT, MATCH(M41, Variablen!$A:$A, 0), MATCH((YEAR(D41)+18), Variablen!$I$3:$AT$3, 0))="",L41,INDEX(Variablen!$I:$AT, MATCH(M41, Variablen!$A:$A, 0), MATCH((YEAR(D41)+18), Variablen!$I$3:$AT$3, 0))),L41)))*(IF((YEAR(D41)+18)&lt;YEAR(E41),0,IF((YEAR(D41)+18)&gt;YEAR(E41),1,(12-MONTH(E41)+1)/12))) + (Q41)*(IF((YEAR(D41)+18)&lt;YEAR(E41),0,IF((YEAR(D41)+18)&gt;YEAR(E41),1,(12-MONTH(E41)+1)/12))))-((P41)*(IF((YEAR(D41)+18)&lt;YEAR(E41),0,IF((YEAR(D41)+18)&gt;YEAR(E41),1,(12-MONTH(E41)+1)/12))) + (R41)*(IF((YEAR(D41)+18)&lt;YEAR(E41),0,IF((YEAR(D41)+18)&gt;YEAR(E41),1,(12-MONTH(E41)+1)/12))))-(IF((((K41)*(IF(M41="",L41,IFERROR(IF(INDEX(Variablen!$I:$AT, MATCH(M41, Variablen!$A:$A, 0), MATCH((YEAR(D41)+18), Variablen!$I$3:$AT$3, 0))="",L41,INDEX(Variablen!$I:$AT, MATCH(M41, Variablen!$A:$A, 0), MATCH((YEAR(D41)+18), Variablen!$I$3:$AT$3, 0))),L41)))*(IF((YEAR(D41)+18)&lt;YEAR(E41),0,IF((YEAR(D41)+18)&gt;YEAR(E41),1,(12-MONTH(E41)+1)/12))) + (Q41)*(IF((YEAR(D41)+18)&lt;YEAR(E41),0,IF((YEAR(D41)+18)&gt;YEAR(E41),1,(12-MONTH(E41)+1)/12))))-((P41)*(IF((YEAR(D41)+18)&lt;YEAR(E41),0,IF((YEAR(D41)+18)&gt;YEAR(E41),1,(12-MONTH(E41)+1)/12))) + (R41)*(IF((YEAR(D41)+18)&lt;YEAR(E41),0,IF((YEAR(D41)+18)&gt;YEAR(E41),1,(12-MONTH(E41)+1)/12))))-(IF(OR(N41="",N41&lt;=0),0,(O41/N41)*(IF(OR(N41="",N41&lt;=0),0,IF((YEAR(D41)+18)&lt;YEAR(E41),0,IF((YEAR(D41)+18)&gt;=YEAR(E41)+N41,0,IF((YEAR(D41)+18)=YEAR(E41),(12-MONTH(E41)+1)/12,1))))))))&gt;0,(((K41)*(IF(M41="",L41,IFERROR(IF(INDEX(Variablen!$I:$AT, MATCH(M41, Variablen!$A:$A, 0), MATCH((YEAR(D41)+18), Variablen!$I$3:$AT$3, 0))="",L41,INDEX(Variablen!$I:$AT, MATCH(M41, Variablen!$A:$A, 0), MATCH((YEAR(D41)+18), Variablen!$I$3:$AT$3, 0))),L41)))*(IF((YEAR(D41)+18)&lt;YEAR(E41),0,IF((YEAR(D41)+18)&gt;YEAR(E41),1,(12-MONTH(E41)+1)/12))) + (Q41)*(IF((YEAR(D41)+18)&lt;YEAR(E41),0,IF((YEAR(D41)+18)&gt;YEAR(E41),1,(12-MONTH(E41)+1)/12))))-((P41)*(IF((YEAR(D41)+18)&lt;YEAR(E41),0,IF((YEAR(D41)+18)&gt;YEAR(E41),1,(12-MONTH(E41)+1)/12))) + (R41)*(IF((YEAR(D41)+18)&lt;YEAR(E41),0,IF((YEAR(D41)+18)&gt;YEAR(E41),1,(12-MONTH(E41)+1)/12))))-(IF(OR(N41="",N41&lt;=0),0,(O41/N41)*(IF(OR(N41="",N41&lt;=0),0,IF((YEAR(D41)+18)&lt;YEAR(E41),0,IF((YEAR(D41)+18)&gt;=YEAR(E41)+N41,0,IF((YEAR(D41)+18)=YEAR(E41),(12-MONTH(E41)+1)/12,1))))))))*TaxRate,0))-IF(18=0,O41,0))</f>
        <v/>
      </c>
      <c r="AL41" s="29">
        <f>IF(A41="","",((K41)*(IF(M41="",L41,IFERROR(IF(INDEX(Variablen!$I:$AT, MATCH(M41, Variablen!$A:$A, 0), MATCH((YEAR(D41)+19), Variablen!$I$3:$AT$3, 0))="",L41,INDEX(Variablen!$I:$AT, MATCH(M41, Variablen!$A:$A, 0), MATCH((YEAR(D41)+19), Variablen!$I$3:$AT$3, 0))),L41)))*(IF((YEAR(D41)+19)&lt;YEAR(E41),0,IF((YEAR(D41)+19)&gt;YEAR(E41),1,(12-MONTH(E41)+1)/12))) + (Q41)*(IF((YEAR(D41)+19)&lt;YEAR(E41),0,IF((YEAR(D41)+19)&gt;YEAR(E41),1,(12-MONTH(E41)+1)/12))))-((P41)*(IF((YEAR(D41)+19)&lt;YEAR(E41),0,IF((YEAR(D41)+19)&gt;YEAR(E41),1,(12-MONTH(E41)+1)/12))) + (R41)*(IF((YEAR(D41)+19)&lt;YEAR(E41),0,IF((YEAR(D41)+19)&gt;YEAR(E41),1,(12-MONTH(E41)+1)/12))))-(IF((((K41)*(IF(M41="",L41,IFERROR(IF(INDEX(Variablen!$I:$AT, MATCH(M41, Variablen!$A:$A, 0), MATCH((YEAR(D41)+19), Variablen!$I$3:$AT$3, 0))="",L41,INDEX(Variablen!$I:$AT, MATCH(M41, Variablen!$A:$A, 0), MATCH((YEAR(D41)+19), Variablen!$I$3:$AT$3, 0))),L41)))*(IF((YEAR(D41)+19)&lt;YEAR(E41),0,IF((YEAR(D41)+19)&gt;YEAR(E41),1,(12-MONTH(E41)+1)/12))) + (Q41)*(IF((YEAR(D41)+19)&lt;YEAR(E41),0,IF((YEAR(D41)+19)&gt;YEAR(E41),1,(12-MONTH(E41)+1)/12))))-((P41)*(IF((YEAR(D41)+19)&lt;YEAR(E41),0,IF((YEAR(D41)+19)&gt;YEAR(E41),1,(12-MONTH(E41)+1)/12))) + (R41)*(IF((YEAR(D41)+19)&lt;YEAR(E41),0,IF((YEAR(D41)+19)&gt;YEAR(E41),1,(12-MONTH(E41)+1)/12))))-(IF(OR(N41="",N41&lt;=0),0,(O41/N41)*(IF(OR(N41="",N41&lt;=0),0,IF((YEAR(D41)+19)&lt;YEAR(E41),0,IF((YEAR(D41)+19)&gt;=YEAR(E41)+N41,0,IF((YEAR(D41)+19)=YEAR(E41),(12-MONTH(E41)+1)/12,1))))))))&gt;0,(((K41)*(IF(M41="",L41,IFERROR(IF(INDEX(Variablen!$I:$AT, MATCH(M41, Variablen!$A:$A, 0), MATCH((YEAR(D41)+19), Variablen!$I$3:$AT$3, 0))="",L41,INDEX(Variablen!$I:$AT, MATCH(M41, Variablen!$A:$A, 0), MATCH((YEAR(D41)+19), Variablen!$I$3:$AT$3, 0))),L41)))*(IF((YEAR(D41)+19)&lt;YEAR(E41),0,IF((YEAR(D41)+19)&gt;YEAR(E41),1,(12-MONTH(E41)+1)/12))) + (Q41)*(IF((YEAR(D41)+19)&lt;YEAR(E41),0,IF((YEAR(D41)+19)&gt;YEAR(E41),1,(12-MONTH(E41)+1)/12))))-((P41)*(IF((YEAR(D41)+19)&lt;YEAR(E41),0,IF((YEAR(D41)+19)&gt;YEAR(E41),1,(12-MONTH(E41)+1)/12))) + (R41)*(IF((YEAR(D41)+19)&lt;YEAR(E41),0,IF((YEAR(D41)+19)&gt;YEAR(E41),1,(12-MONTH(E41)+1)/12))))-(IF(OR(N41="",N41&lt;=0),0,(O41/N41)*(IF(OR(N41="",N41&lt;=0),0,IF((YEAR(D41)+19)&lt;YEAR(E41),0,IF((YEAR(D41)+19)&gt;=YEAR(E41)+N41,0,IF((YEAR(D41)+19)=YEAR(E41),(12-MONTH(E41)+1)/12,1))))))))*TaxRate,0))-IF(19=0,O41,0))</f>
        <v/>
      </c>
      <c r="AM41" s="29">
        <f>IF(A41="","",((K41)*(IF(M41="",L41,IFERROR(IF(INDEX(Variablen!$I:$AT, MATCH(M41, Variablen!$A:$A, 0), MATCH((YEAR(D41)+20), Variablen!$I$3:$AT$3, 0))="",L41,INDEX(Variablen!$I:$AT, MATCH(M41, Variablen!$A:$A, 0), MATCH((YEAR(D41)+20), Variablen!$I$3:$AT$3, 0))),L41)))*(IF((YEAR(D41)+20)&lt;YEAR(E41),0,IF((YEAR(D41)+20)&gt;YEAR(E41),1,(12-MONTH(E41)+1)/12))) + (Q41)*(IF((YEAR(D41)+20)&lt;YEAR(E41),0,IF((YEAR(D41)+20)&gt;YEAR(E41),1,(12-MONTH(E41)+1)/12))))-((P41)*(IF((YEAR(D41)+20)&lt;YEAR(E41),0,IF((YEAR(D41)+20)&gt;YEAR(E41),1,(12-MONTH(E41)+1)/12))) + (R41)*(IF((YEAR(D41)+20)&lt;YEAR(E41),0,IF((YEAR(D41)+20)&gt;YEAR(E41),1,(12-MONTH(E41)+1)/12))))-(IF((((K41)*(IF(M41="",L41,IFERROR(IF(INDEX(Variablen!$I:$AT, MATCH(M41, Variablen!$A:$A, 0), MATCH((YEAR(D41)+20), Variablen!$I$3:$AT$3, 0))="",L41,INDEX(Variablen!$I:$AT, MATCH(M41, Variablen!$A:$A, 0), MATCH((YEAR(D41)+20), Variablen!$I$3:$AT$3, 0))),L41)))*(IF((YEAR(D41)+20)&lt;YEAR(E41),0,IF((YEAR(D41)+20)&gt;YEAR(E41),1,(12-MONTH(E41)+1)/12))) + (Q41)*(IF((YEAR(D41)+20)&lt;YEAR(E41),0,IF((YEAR(D41)+20)&gt;YEAR(E41),1,(12-MONTH(E41)+1)/12))))-((P41)*(IF((YEAR(D41)+20)&lt;YEAR(E41),0,IF((YEAR(D41)+20)&gt;YEAR(E41),1,(12-MONTH(E41)+1)/12))) + (R41)*(IF((YEAR(D41)+20)&lt;YEAR(E41),0,IF((YEAR(D41)+20)&gt;YEAR(E41),1,(12-MONTH(E41)+1)/12))))-(IF(OR(N41="",N41&lt;=0),0,(O41/N41)*(IF(OR(N41="",N41&lt;=0),0,IF((YEAR(D41)+20)&lt;YEAR(E41),0,IF((YEAR(D41)+20)&gt;=YEAR(E41)+N41,0,IF((YEAR(D41)+20)=YEAR(E41),(12-MONTH(E41)+1)/12,1))))))))&gt;0,(((K41)*(IF(M41="",L41,IFERROR(IF(INDEX(Variablen!$I:$AT, MATCH(M41, Variablen!$A:$A, 0), MATCH((YEAR(D41)+20), Variablen!$I$3:$AT$3, 0))="",L41,INDEX(Variablen!$I:$AT, MATCH(M41, Variablen!$A:$A, 0), MATCH((YEAR(D41)+20), Variablen!$I$3:$AT$3, 0))),L41)))*(IF((YEAR(D41)+20)&lt;YEAR(E41),0,IF((YEAR(D41)+20)&gt;YEAR(E41),1,(12-MONTH(E41)+1)/12))) + (Q41)*(IF((YEAR(D41)+20)&lt;YEAR(E41),0,IF((YEAR(D41)+20)&gt;YEAR(E41),1,(12-MONTH(E41)+1)/12))))-((P41)*(IF((YEAR(D41)+20)&lt;YEAR(E41),0,IF((YEAR(D41)+20)&gt;YEAR(E41),1,(12-MONTH(E41)+1)/12))) + (R41)*(IF((YEAR(D41)+20)&lt;YEAR(E41),0,IF((YEAR(D41)+20)&gt;YEAR(E41),1,(12-MONTH(E41)+1)/12))))-(IF(OR(N41="",N41&lt;=0),0,(O41/N41)*(IF(OR(N41="",N41&lt;=0),0,IF((YEAR(D41)+20)&lt;YEAR(E41),0,IF((YEAR(D41)+20)&gt;=YEAR(E41)+N41,0,IF((YEAR(D41)+20)=YEAR(E41),(12-MONTH(E41)+1)/12,1))))))))*TaxRate,0))-IF(20=0,O41,0))</f>
        <v/>
      </c>
      <c r="AN41" s="29">
        <f>IF(A41="","",S41)</f>
        <v/>
      </c>
      <c r="AO41" s="29">
        <f>IF(A41="","",AN41+T41)</f>
        <v/>
      </c>
      <c r="AP41" s="29">
        <f>IF(A41="","",AO41+U41)</f>
        <v/>
      </c>
      <c r="AQ41" s="29">
        <f>IF(A41="","",AP41+V41)</f>
        <v/>
      </c>
      <c r="AR41" s="29">
        <f>IF(A41="","",AQ41+W41)</f>
        <v/>
      </c>
      <c r="AS41" s="29">
        <f>IF(A41="","",AR41+X41)</f>
        <v/>
      </c>
      <c r="AT41" s="29">
        <f>IF(A41="","",AS41+Y41)</f>
        <v/>
      </c>
      <c r="AU41" s="29">
        <f>IF(A41="","",AT41+Z41)</f>
        <v/>
      </c>
      <c r="AV41" s="29">
        <f>IF(A41="","",AU41+AA41)</f>
        <v/>
      </c>
      <c r="AW41" s="29">
        <f>IF(A41="","",AV41+AB41)</f>
        <v/>
      </c>
      <c r="AX41" s="29">
        <f>IF(A41="","",AW41+AC41)</f>
        <v/>
      </c>
      <c r="AY41" s="29">
        <f>IF(A41="","",AX41+AD41)</f>
        <v/>
      </c>
      <c r="AZ41" s="29">
        <f>IF(A41="","",AY41+AE41)</f>
        <v/>
      </c>
      <c r="BA41" s="29">
        <f>IF(A41="","",AZ41+AF41)</f>
        <v/>
      </c>
      <c r="BB41" s="29">
        <f>IF(A41="","",BA41+AG41)</f>
        <v/>
      </c>
      <c r="BC41" s="29">
        <f>IF(A41="","",BB41+AH41)</f>
        <v/>
      </c>
      <c r="BD41" s="29">
        <f>IF(A41="","",BC41+AI41)</f>
        <v/>
      </c>
      <c r="BE41" s="29">
        <f>IF(A41="","",BD41+AJ41)</f>
        <v/>
      </c>
      <c r="BF41" s="29">
        <f>IF(A41="","",BE41+AK41)</f>
        <v/>
      </c>
      <c r="BG41" s="29">
        <f>IF(A41="","",BF41+AL41)</f>
        <v/>
      </c>
      <c r="BH41" s="29">
        <f>IF(A41="","",BG41+AM41)</f>
        <v/>
      </c>
      <c r="BI41" s="36">
        <f>IF(A41="","",(K41)*(IF((YEAR(D41)+0)&lt;YEAR(E41),0,IF((YEAR(D41)+0)&gt;YEAR(E41),1,(12-MONTH(E41)+1)/12)))*(1/(1+DiscountRate)^0))</f>
        <v/>
      </c>
      <c r="BJ41" s="36">
        <f>IF(A41="","",(K41)*(IF((YEAR(D41)+1)&lt;YEAR(E41),0,IF((YEAR(D41)+1)&gt;YEAR(E41),1,(12-MONTH(E41)+1)/12)))*(1/(1+DiscountRate)^1))</f>
        <v/>
      </c>
      <c r="BK41" s="36">
        <f>IF(A41="","",(K41)*(IF((YEAR(D41)+2)&lt;YEAR(E41),0,IF((YEAR(D41)+2)&gt;YEAR(E41),1,(12-MONTH(E41)+1)/12)))*(1/(1+DiscountRate)^2))</f>
        <v/>
      </c>
      <c r="BL41" s="36">
        <f>IF(A41="","",(K41)*(IF((YEAR(D41)+3)&lt;YEAR(E41),0,IF((YEAR(D41)+3)&gt;YEAR(E41),1,(12-MONTH(E41)+1)/12)))*(1/(1+DiscountRate)^3))</f>
        <v/>
      </c>
      <c r="BM41" s="36">
        <f>IF(A41="","",(K41)*(IF((YEAR(D41)+4)&lt;YEAR(E41),0,IF((YEAR(D41)+4)&gt;YEAR(E41),1,(12-MONTH(E41)+1)/12)))*(1/(1+DiscountRate)^4))</f>
        <v/>
      </c>
      <c r="BN41" s="36">
        <f>IF(A41="","",(K41)*(IF((YEAR(D41)+5)&lt;YEAR(E41),0,IF((YEAR(D41)+5)&gt;YEAR(E41),1,(12-MONTH(E41)+1)/12)))*(1/(1+DiscountRate)^5))</f>
        <v/>
      </c>
      <c r="BO41" s="36">
        <f>IF(A41="","",(K41)*(IF((YEAR(D41)+6)&lt;YEAR(E41),0,IF((YEAR(D41)+6)&gt;YEAR(E41),1,(12-MONTH(E41)+1)/12)))*(1/(1+DiscountRate)^6))</f>
        <v/>
      </c>
      <c r="BP41" s="36">
        <f>IF(A41="","",(K41)*(IF((YEAR(D41)+7)&lt;YEAR(E41),0,IF((YEAR(D41)+7)&gt;YEAR(E41),1,(12-MONTH(E41)+1)/12)))*(1/(1+DiscountRate)^7))</f>
        <v/>
      </c>
      <c r="BQ41" s="36">
        <f>IF(A41="","",(K41)*(IF((YEAR(D41)+8)&lt;YEAR(E41),0,IF((YEAR(D41)+8)&gt;YEAR(E41),1,(12-MONTH(E41)+1)/12)))*(1/(1+DiscountRate)^8))</f>
        <v/>
      </c>
      <c r="BR41" s="36">
        <f>IF(A41="","",(K41)*(IF((YEAR(D41)+9)&lt;YEAR(E41),0,IF((YEAR(D41)+9)&gt;YEAR(E41),1,(12-MONTH(E41)+1)/12)))*(1/(1+DiscountRate)^9))</f>
        <v/>
      </c>
      <c r="BS41" s="36">
        <f>IF(A41="","",(K41)*(IF((YEAR(D41)+10)&lt;YEAR(E41),0,IF((YEAR(D41)+10)&gt;YEAR(E41),1,(12-MONTH(E41)+1)/12)))*(1/(1+DiscountRate)^10))</f>
        <v/>
      </c>
      <c r="BT41" s="36">
        <f>IF(A41="","",(K41)*(IF((YEAR(D41)+11)&lt;YEAR(E41),0,IF((YEAR(D41)+11)&gt;YEAR(E41),1,(12-MONTH(E41)+1)/12)))*(1/(1+DiscountRate)^11))</f>
        <v/>
      </c>
      <c r="BU41" s="36">
        <f>IF(A41="","",(K41)*(IF((YEAR(D41)+12)&lt;YEAR(E41),0,IF((YEAR(D41)+12)&gt;YEAR(E41),1,(12-MONTH(E41)+1)/12)))*(1/(1+DiscountRate)^12))</f>
        <v/>
      </c>
      <c r="BV41" s="36">
        <f>IF(A41="","",(K41)*(IF((YEAR(D41)+13)&lt;YEAR(E41),0,IF((YEAR(D41)+13)&gt;YEAR(E41),1,(12-MONTH(E41)+1)/12)))*(1/(1+DiscountRate)^13))</f>
        <v/>
      </c>
      <c r="BW41" s="36">
        <f>IF(A41="","",(K41)*(IF((YEAR(D41)+14)&lt;YEAR(E41),0,IF((YEAR(D41)+14)&gt;YEAR(E41),1,(12-MONTH(E41)+1)/12)))*(1/(1+DiscountRate)^14))</f>
        <v/>
      </c>
      <c r="BX41" s="36">
        <f>IF(A41="","",(K41)*(IF((YEAR(D41)+15)&lt;YEAR(E41),0,IF((YEAR(D41)+15)&gt;YEAR(E41),1,(12-MONTH(E41)+1)/12)))*(1/(1+DiscountRate)^15))</f>
        <v/>
      </c>
      <c r="BY41" s="36">
        <f>IF(A41="","",(K41)*(IF((YEAR(D41)+16)&lt;YEAR(E41),0,IF((YEAR(D41)+16)&gt;YEAR(E41),1,(12-MONTH(E41)+1)/12)))*(1/(1+DiscountRate)^16))</f>
        <v/>
      </c>
      <c r="BZ41" s="36">
        <f>IF(A41="","",(K41)*(IF((YEAR(D41)+17)&lt;YEAR(E41),0,IF((YEAR(D41)+17)&gt;YEAR(E41),1,(12-MONTH(E41)+1)/12)))*(1/(1+DiscountRate)^17))</f>
        <v/>
      </c>
      <c r="CA41" s="36">
        <f>IF(A41="","",(K41)*(IF((YEAR(D41)+18)&lt;YEAR(E41),0,IF((YEAR(D41)+18)&gt;YEAR(E41),1,(12-MONTH(E41)+1)/12)))*(1/(1+DiscountRate)^18))</f>
        <v/>
      </c>
      <c r="CB41" s="36">
        <f>IF(A41="","",(K41)*(IF((YEAR(D41)+19)&lt;YEAR(E41),0,IF((YEAR(D41)+19)&gt;YEAR(E41),1,(12-MONTH(E41)+1)/12)))*(1/(1+DiscountRate)^19))</f>
        <v/>
      </c>
      <c r="CC41" s="36">
        <f>IF(A41="","",(K41)*(IF((YEAR(D41)+20)&lt;YEAR(E41),0,IF((YEAR(D41)+20)&gt;YEAR(E41),1,(12-MONTH(E41)+1)/12)))*(1/(1+DiscountRate)^20))</f>
        <v/>
      </c>
      <c r="CD41" s="29">
        <f>IF(A41="","",S41/(1+DiscountRate)^0+T41/(1+DiscountRate)^1+U41/(1+DiscountRate)^2+V41/(1+DiscountRate)^3+W41/(1+DiscountRate)^4+X41/(1+DiscountRate)^5+Y41/(1+DiscountRate)^6+Z41/(1+DiscountRate)^7+AA41/(1+DiscountRate)^8+AB41/(1+DiscountRate)^9+AC41/(1+DiscountRate)^10+AD41/(1+DiscountRate)^11+AE41/(1+DiscountRate)^12+AF41/(1+DiscountRate)^13+AG41/(1+DiscountRate)^14+AH41/(1+DiscountRate)^15+AI41/(1+DiscountRate)^16+AJ41/(1+DiscountRate)^17+AK41/(1+DiscountRate)^18+AL41/(1+DiscountRate)^19+AM41/(1+DiscountRate)^20)</f>
        <v/>
      </c>
      <c r="CE41" s="37">
        <f>IF(A41="","",IFERROR(IRR(OFFSET(S41,0,0,1,MIN(HorizonYears,20)+1)),"n/a"))</f>
        <v/>
      </c>
      <c r="CF41" s="28">
        <f>IF(A41="","",IFERROR(MATCH(TRUE,OFFSET(AN41,0,0,1,MIN(HorizonYears,20)+1)&gt;=0,0)-1,"n/a"))</f>
        <v/>
      </c>
      <c r="CG41" s="36">
        <f>IF(A41="","",SUM(OFFSET(BI41,0,0,1,MIN(HorizonYears,20)+1)))</f>
        <v/>
      </c>
      <c r="CH41" s="36">
        <f>IF(A41="","",IFERROR(-CD41/CG41,"n/a"))</f>
        <v/>
      </c>
    </row>
    <row r="42">
      <c r="A42" s="6">
        <f>Actions!A40</f>
        <v/>
      </c>
      <c r="B42" s="6">
        <f>Actions!B40</f>
        <v/>
      </c>
      <c r="C42" s="6">
        <f>Actions!D40</f>
        <v/>
      </c>
      <c r="D42" s="35">
        <f>Actions!E40</f>
        <v/>
      </c>
      <c r="E42" s="35">
        <f>Actions!F40</f>
        <v/>
      </c>
      <c r="F42" s="6">
        <f>Actions!G40</f>
        <v/>
      </c>
      <c r="G42" s="6">
        <f>Actions!H40</f>
        <v/>
      </c>
      <c r="H42" s="29">
        <f>Actions!I40</f>
        <v/>
      </c>
      <c r="I42" s="6">
        <f>Actions!J40</f>
        <v/>
      </c>
      <c r="J42" s="16">
        <f>Actions!K40</f>
        <v/>
      </c>
      <c r="K42" s="16">
        <f>IF(A42="","",IF(I42="%",H42*J42,J42))</f>
        <v/>
      </c>
      <c r="L42" s="16">
        <f>Actions!L40</f>
        <v/>
      </c>
      <c r="M42" s="6">
        <f>Actions!M40</f>
        <v/>
      </c>
      <c r="N42" s="28">
        <f>Actions!N40</f>
        <v/>
      </c>
      <c r="O42" s="29">
        <f>Actions!T40</f>
        <v/>
      </c>
      <c r="P42" s="29">
        <f>Actions!Y40</f>
        <v/>
      </c>
      <c r="Q42" s="29">
        <f>Actions!Z40</f>
        <v/>
      </c>
      <c r="R42" s="29">
        <f>Actions!AA40</f>
        <v/>
      </c>
      <c r="S42" s="29">
        <f>IF(A42="","",((K42)*(IF(M42="",L42,IFERROR(IF(INDEX(Variablen!$I:$AT, MATCH(M42, Variablen!$A:$A, 0), MATCH((YEAR(D42)+0), Variablen!$I$3:$AT$3, 0))="",L42,INDEX(Variablen!$I:$AT, MATCH(M42, Variablen!$A:$A, 0), MATCH((YEAR(D42)+0), Variablen!$I$3:$AT$3, 0))),L42)))*(IF((YEAR(D42)+0)&lt;YEAR(E42),0,IF((YEAR(D42)+0)&gt;YEAR(E42),1,(12-MONTH(E42)+1)/12))) + (Q42)*(IF((YEAR(D42)+0)&lt;YEAR(E42),0,IF((YEAR(D42)+0)&gt;YEAR(E42),1,(12-MONTH(E42)+1)/12))))-((P42)*(IF((YEAR(D42)+0)&lt;YEAR(E42),0,IF((YEAR(D42)+0)&gt;YEAR(E42),1,(12-MONTH(E42)+1)/12))) + (R42)*(IF((YEAR(D42)+0)&lt;YEAR(E42),0,IF((YEAR(D42)+0)&gt;YEAR(E42),1,(12-MONTH(E42)+1)/12))))-(IF((((K42)*(IF(M42="",L42,IFERROR(IF(INDEX(Variablen!$I:$AT, MATCH(M42, Variablen!$A:$A, 0), MATCH((YEAR(D42)+0), Variablen!$I$3:$AT$3, 0))="",L42,INDEX(Variablen!$I:$AT, MATCH(M42, Variablen!$A:$A, 0), MATCH((YEAR(D42)+0), Variablen!$I$3:$AT$3, 0))),L42)))*(IF((YEAR(D42)+0)&lt;YEAR(E42),0,IF((YEAR(D42)+0)&gt;YEAR(E42),1,(12-MONTH(E42)+1)/12))) + (Q42)*(IF((YEAR(D42)+0)&lt;YEAR(E42),0,IF((YEAR(D42)+0)&gt;YEAR(E42),1,(12-MONTH(E42)+1)/12))))-((P42)*(IF((YEAR(D42)+0)&lt;YEAR(E42),0,IF((YEAR(D42)+0)&gt;YEAR(E42),1,(12-MONTH(E42)+1)/12))) + (R42)*(IF((YEAR(D42)+0)&lt;YEAR(E42),0,IF((YEAR(D42)+0)&gt;YEAR(E42),1,(12-MONTH(E42)+1)/12))))-(IF(OR(N42="",N42&lt;=0),0,(O42/N42)*(IF(OR(N42="",N42&lt;=0),0,IF((YEAR(D42)+0)&lt;YEAR(E42),0,IF((YEAR(D42)+0)&gt;=YEAR(E42)+N42,0,IF((YEAR(D42)+0)=YEAR(E42),(12-MONTH(E42)+1)/12,1))))))))&gt;0,(((K42)*(IF(M42="",L42,IFERROR(IF(INDEX(Variablen!$I:$AT, MATCH(M42, Variablen!$A:$A, 0), MATCH((YEAR(D42)+0), Variablen!$I$3:$AT$3, 0))="",L42,INDEX(Variablen!$I:$AT, MATCH(M42, Variablen!$A:$A, 0), MATCH((YEAR(D42)+0), Variablen!$I$3:$AT$3, 0))),L42)))*(IF((YEAR(D42)+0)&lt;YEAR(E42),0,IF((YEAR(D42)+0)&gt;YEAR(E42),1,(12-MONTH(E42)+1)/12))) + (Q42)*(IF((YEAR(D42)+0)&lt;YEAR(E42),0,IF((YEAR(D42)+0)&gt;YEAR(E42),1,(12-MONTH(E42)+1)/12))))-((P42)*(IF((YEAR(D42)+0)&lt;YEAR(E42),0,IF((YEAR(D42)+0)&gt;YEAR(E42),1,(12-MONTH(E42)+1)/12))) + (R42)*(IF((YEAR(D42)+0)&lt;YEAR(E42),0,IF((YEAR(D42)+0)&gt;YEAR(E42),1,(12-MONTH(E42)+1)/12))))-(IF(OR(N42="",N42&lt;=0),0,(O42/N42)*(IF(OR(N42="",N42&lt;=0),0,IF((YEAR(D42)+0)&lt;YEAR(E42),0,IF((YEAR(D42)+0)&gt;=YEAR(E42)+N42,0,IF((YEAR(D42)+0)=YEAR(E42),(12-MONTH(E42)+1)/12,1))))))))*TaxRate,0))-IF(0=0,O42,0))</f>
        <v/>
      </c>
      <c r="T42" s="29">
        <f>IF(A42="","",((K42)*(IF(M42="",L42,IFERROR(IF(INDEX(Variablen!$I:$AT, MATCH(M42, Variablen!$A:$A, 0), MATCH((YEAR(D42)+1), Variablen!$I$3:$AT$3, 0))="",L42,INDEX(Variablen!$I:$AT, MATCH(M42, Variablen!$A:$A, 0), MATCH((YEAR(D42)+1), Variablen!$I$3:$AT$3, 0))),L42)))*(IF((YEAR(D42)+1)&lt;YEAR(E42),0,IF((YEAR(D42)+1)&gt;YEAR(E42),1,(12-MONTH(E42)+1)/12))) + (Q42)*(IF((YEAR(D42)+1)&lt;YEAR(E42),0,IF((YEAR(D42)+1)&gt;YEAR(E42),1,(12-MONTH(E42)+1)/12))))-((P42)*(IF((YEAR(D42)+1)&lt;YEAR(E42),0,IF((YEAR(D42)+1)&gt;YEAR(E42),1,(12-MONTH(E42)+1)/12))) + (R42)*(IF((YEAR(D42)+1)&lt;YEAR(E42),0,IF((YEAR(D42)+1)&gt;YEAR(E42),1,(12-MONTH(E42)+1)/12))))-(IF((((K42)*(IF(M42="",L42,IFERROR(IF(INDEX(Variablen!$I:$AT, MATCH(M42, Variablen!$A:$A, 0), MATCH((YEAR(D42)+1), Variablen!$I$3:$AT$3, 0))="",L42,INDEX(Variablen!$I:$AT, MATCH(M42, Variablen!$A:$A, 0), MATCH((YEAR(D42)+1), Variablen!$I$3:$AT$3, 0))),L42)))*(IF((YEAR(D42)+1)&lt;YEAR(E42),0,IF((YEAR(D42)+1)&gt;YEAR(E42),1,(12-MONTH(E42)+1)/12))) + (Q42)*(IF((YEAR(D42)+1)&lt;YEAR(E42),0,IF((YEAR(D42)+1)&gt;YEAR(E42),1,(12-MONTH(E42)+1)/12))))-((P42)*(IF((YEAR(D42)+1)&lt;YEAR(E42),0,IF((YEAR(D42)+1)&gt;YEAR(E42),1,(12-MONTH(E42)+1)/12))) + (R42)*(IF((YEAR(D42)+1)&lt;YEAR(E42),0,IF((YEAR(D42)+1)&gt;YEAR(E42),1,(12-MONTH(E42)+1)/12))))-(IF(OR(N42="",N42&lt;=0),0,(O42/N42)*(IF(OR(N42="",N42&lt;=0),0,IF((YEAR(D42)+1)&lt;YEAR(E42),0,IF((YEAR(D42)+1)&gt;=YEAR(E42)+N42,0,IF((YEAR(D42)+1)=YEAR(E42),(12-MONTH(E42)+1)/12,1))))))))&gt;0,(((K42)*(IF(M42="",L42,IFERROR(IF(INDEX(Variablen!$I:$AT, MATCH(M42, Variablen!$A:$A, 0), MATCH((YEAR(D42)+1), Variablen!$I$3:$AT$3, 0))="",L42,INDEX(Variablen!$I:$AT, MATCH(M42, Variablen!$A:$A, 0), MATCH((YEAR(D42)+1), Variablen!$I$3:$AT$3, 0))),L42)))*(IF((YEAR(D42)+1)&lt;YEAR(E42),0,IF((YEAR(D42)+1)&gt;YEAR(E42),1,(12-MONTH(E42)+1)/12))) + (Q42)*(IF((YEAR(D42)+1)&lt;YEAR(E42),0,IF((YEAR(D42)+1)&gt;YEAR(E42),1,(12-MONTH(E42)+1)/12))))-((P42)*(IF((YEAR(D42)+1)&lt;YEAR(E42),0,IF((YEAR(D42)+1)&gt;YEAR(E42),1,(12-MONTH(E42)+1)/12))) + (R42)*(IF((YEAR(D42)+1)&lt;YEAR(E42),0,IF((YEAR(D42)+1)&gt;YEAR(E42),1,(12-MONTH(E42)+1)/12))))-(IF(OR(N42="",N42&lt;=0),0,(O42/N42)*(IF(OR(N42="",N42&lt;=0),0,IF((YEAR(D42)+1)&lt;YEAR(E42),0,IF((YEAR(D42)+1)&gt;=YEAR(E42)+N42,0,IF((YEAR(D42)+1)=YEAR(E42),(12-MONTH(E42)+1)/12,1))))))))*TaxRate,0))-IF(1=0,O42,0))</f>
        <v/>
      </c>
      <c r="U42" s="29">
        <f>IF(A42="","",((K42)*(IF(M42="",L42,IFERROR(IF(INDEX(Variablen!$I:$AT, MATCH(M42, Variablen!$A:$A, 0), MATCH((YEAR(D42)+2), Variablen!$I$3:$AT$3, 0))="",L42,INDEX(Variablen!$I:$AT, MATCH(M42, Variablen!$A:$A, 0), MATCH((YEAR(D42)+2), Variablen!$I$3:$AT$3, 0))),L42)))*(IF((YEAR(D42)+2)&lt;YEAR(E42),0,IF((YEAR(D42)+2)&gt;YEAR(E42),1,(12-MONTH(E42)+1)/12))) + (Q42)*(IF((YEAR(D42)+2)&lt;YEAR(E42),0,IF((YEAR(D42)+2)&gt;YEAR(E42),1,(12-MONTH(E42)+1)/12))))-((P42)*(IF((YEAR(D42)+2)&lt;YEAR(E42),0,IF((YEAR(D42)+2)&gt;YEAR(E42),1,(12-MONTH(E42)+1)/12))) + (R42)*(IF((YEAR(D42)+2)&lt;YEAR(E42),0,IF((YEAR(D42)+2)&gt;YEAR(E42),1,(12-MONTH(E42)+1)/12))))-(IF((((K42)*(IF(M42="",L42,IFERROR(IF(INDEX(Variablen!$I:$AT, MATCH(M42, Variablen!$A:$A, 0), MATCH((YEAR(D42)+2), Variablen!$I$3:$AT$3, 0))="",L42,INDEX(Variablen!$I:$AT, MATCH(M42, Variablen!$A:$A, 0), MATCH((YEAR(D42)+2), Variablen!$I$3:$AT$3, 0))),L42)))*(IF((YEAR(D42)+2)&lt;YEAR(E42),0,IF((YEAR(D42)+2)&gt;YEAR(E42),1,(12-MONTH(E42)+1)/12))) + (Q42)*(IF((YEAR(D42)+2)&lt;YEAR(E42),0,IF((YEAR(D42)+2)&gt;YEAR(E42),1,(12-MONTH(E42)+1)/12))))-((P42)*(IF((YEAR(D42)+2)&lt;YEAR(E42),0,IF((YEAR(D42)+2)&gt;YEAR(E42),1,(12-MONTH(E42)+1)/12))) + (R42)*(IF((YEAR(D42)+2)&lt;YEAR(E42),0,IF((YEAR(D42)+2)&gt;YEAR(E42),1,(12-MONTH(E42)+1)/12))))-(IF(OR(N42="",N42&lt;=0),0,(O42/N42)*(IF(OR(N42="",N42&lt;=0),0,IF((YEAR(D42)+2)&lt;YEAR(E42),0,IF((YEAR(D42)+2)&gt;=YEAR(E42)+N42,0,IF((YEAR(D42)+2)=YEAR(E42),(12-MONTH(E42)+1)/12,1))))))))&gt;0,(((K42)*(IF(M42="",L42,IFERROR(IF(INDEX(Variablen!$I:$AT, MATCH(M42, Variablen!$A:$A, 0), MATCH((YEAR(D42)+2), Variablen!$I$3:$AT$3, 0))="",L42,INDEX(Variablen!$I:$AT, MATCH(M42, Variablen!$A:$A, 0), MATCH((YEAR(D42)+2), Variablen!$I$3:$AT$3, 0))),L42)))*(IF((YEAR(D42)+2)&lt;YEAR(E42),0,IF((YEAR(D42)+2)&gt;YEAR(E42),1,(12-MONTH(E42)+1)/12))) + (Q42)*(IF((YEAR(D42)+2)&lt;YEAR(E42),0,IF((YEAR(D42)+2)&gt;YEAR(E42),1,(12-MONTH(E42)+1)/12))))-((P42)*(IF((YEAR(D42)+2)&lt;YEAR(E42),0,IF((YEAR(D42)+2)&gt;YEAR(E42),1,(12-MONTH(E42)+1)/12))) + (R42)*(IF((YEAR(D42)+2)&lt;YEAR(E42),0,IF((YEAR(D42)+2)&gt;YEAR(E42),1,(12-MONTH(E42)+1)/12))))-(IF(OR(N42="",N42&lt;=0),0,(O42/N42)*(IF(OR(N42="",N42&lt;=0),0,IF((YEAR(D42)+2)&lt;YEAR(E42),0,IF((YEAR(D42)+2)&gt;=YEAR(E42)+N42,0,IF((YEAR(D42)+2)=YEAR(E42),(12-MONTH(E42)+1)/12,1))))))))*TaxRate,0))-IF(2=0,O42,0))</f>
        <v/>
      </c>
      <c r="V42" s="29">
        <f>IF(A42="","",((K42)*(IF(M42="",L42,IFERROR(IF(INDEX(Variablen!$I:$AT, MATCH(M42, Variablen!$A:$A, 0), MATCH((YEAR(D42)+3), Variablen!$I$3:$AT$3, 0))="",L42,INDEX(Variablen!$I:$AT, MATCH(M42, Variablen!$A:$A, 0), MATCH((YEAR(D42)+3), Variablen!$I$3:$AT$3, 0))),L42)))*(IF((YEAR(D42)+3)&lt;YEAR(E42),0,IF((YEAR(D42)+3)&gt;YEAR(E42),1,(12-MONTH(E42)+1)/12))) + (Q42)*(IF((YEAR(D42)+3)&lt;YEAR(E42),0,IF((YEAR(D42)+3)&gt;YEAR(E42),1,(12-MONTH(E42)+1)/12))))-((P42)*(IF((YEAR(D42)+3)&lt;YEAR(E42),0,IF((YEAR(D42)+3)&gt;YEAR(E42),1,(12-MONTH(E42)+1)/12))) + (R42)*(IF((YEAR(D42)+3)&lt;YEAR(E42),0,IF((YEAR(D42)+3)&gt;YEAR(E42),1,(12-MONTH(E42)+1)/12))))-(IF((((K42)*(IF(M42="",L42,IFERROR(IF(INDEX(Variablen!$I:$AT, MATCH(M42, Variablen!$A:$A, 0), MATCH((YEAR(D42)+3), Variablen!$I$3:$AT$3, 0))="",L42,INDEX(Variablen!$I:$AT, MATCH(M42, Variablen!$A:$A, 0), MATCH((YEAR(D42)+3), Variablen!$I$3:$AT$3, 0))),L42)))*(IF((YEAR(D42)+3)&lt;YEAR(E42),0,IF((YEAR(D42)+3)&gt;YEAR(E42),1,(12-MONTH(E42)+1)/12))) + (Q42)*(IF((YEAR(D42)+3)&lt;YEAR(E42),0,IF((YEAR(D42)+3)&gt;YEAR(E42),1,(12-MONTH(E42)+1)/12))))-((P42)*(IF((YEAR(D42)+3)&lt;YEAR(E42),0,IF((YEAR(D42)+3)&gt;YEAR(E42),1,(12-MONTH(E42)+1)/12))) + (R42)*(IF((YEAR(D42)+3)&lt;YEAR(E42),0,IF((YEAR(D42)+3)&gt;YEAR(E42),1,(12-MONTH(E42)+1)/12))))-(IF(OR(N42="",N42&lt;=0),0,(O42/N42)*(IF(OR(N42="",N42&lt;=0),0,IF((YEAR(D42)+3)&lt;YEAR(E42),0,IF((YEAR(D42)+3)&gt;=YEAR(E42)+N42,0,IF((YEAR(D42)+3)=YEAR(E42),(12-MONTH(E42)+1)/12,1))))))))&gt;0,(((K42)*(IF(M42="",L42,IFERROR(IF(INDEX(Variablen!$I:$AT, MATCH(M42, Variablen!$A:$A, 0), MATCH((YEAR(D42)+3), Variablen!$I$3:$AT$3, 0))="",L42,INDEX(Variablen!$I:$AT, MATCH(M42, Variablen!$A:$A, 0), MATCH((YEAR(D42)+3), Variablen!$I$3:$AT$3, 0))),L42)))*(IF((YEAR(D42)+3)&lt;YEAR(E42),0,IF((YEAR(D42)+3)&gt;YEAR(E42),1,(12-MONTH(E42)+1)/12))) + (Q42)*(IF((YEAR(D42)+3)&lt;YEAR(E42),0,IF((YEAR(D42)+3)&gt;YEAR(E42),1,(12-MONTH(E42)+1)/12))))-((P42)*(IF((YEAR(D42)+3)&lt;YEAR(E42),0,IF((YEAR(D42)+3)&gt;YEAR(E42),1,(12-MONTH(E42)+1)/12))) + (R42)*(IF((YEAR(D42)+3)&lt;YEAR(E42),0,IF((YEAR(D42)+3)&gt;YEAR(E42),1,(12-MONTH(E42)+1)/12))))-(IF(OR(N42="",N42&lt;=0),0,(O42/N42)*(IF(OR(N42="",N42&lt;=0),0,IF((YEAR(D42)+3)&lt;YEAR(E42),0,IF((YEAR(D42)+3)&gt;=YEAR(E42)+N42,0,IF((YEAR(D42)+3)=YEAR(E42),(12-MONTH(E42)+1)/12,1))))))))*TaxRate,0))-IF(3=0,O42,0))</f>
        <v/>
      </c>
      <c r="W42" s="29">
        <f>IF(A42="","",((K42)*(IF(M42="",L42,IFERROR(IF(INDEX(Variablen!$I:$AT, MATCH(M42, Variablen!$A:$A, 0), MATCH((YEAR(D42)+4), Variablen!$I$3:$AT$3, 0))="",L42,INDEX(Variablen!$I:$AT, MATCH(M42, Variablen!$A:$A, 0), MATCH((YEAR(D42)+4), Variablen!$I$3:$AT$3, 0))),L42)))*(IF((YEAR(D42)+4)&lt;YEAR(E42),0,IF((YEAR(D42)+4)&gt;YEAR(E42),1,(12-MONTH(E42)+1)/12))) + (Q42)*(IF((YEAR(D42)+4)&lt;YEAR(E42),0,IF((YEAR(D42)+4)&gt;YEAR(E42),1,(12-MONTH(E42)+1)/12))))-((P42)*(IF((YEAR(D42)+4)&lt;YEAR(E42),0,IF((YEAR(D42)+4)&gt;YEAR(E42),1,(12-MONTH(E42)+1)/12))) + (R42)*(IF((YEAR(D42)+4)&lt;YEAR(E42),0,IF((YEAR(D42)+4)&gt;YEAR(E42),1,(12-MONTH(E42)+1)/12))))-(IF((((K42)*(IF(M42="",L42,IFERROR(IF(INDEX(Variablen!$I:$AT, MATCH(M42, Variablen!$A:$A, 0), MATCH((YEAR(D42)+4), Variablen!$I$3:$AT$3, 0))="",L42,INDEX(Variablen!$I:$AT, MATCH(M42, Variablen!$A:$A, 0), MATCH((YEAR(D42)+4), Variablen!$I$3:$AT$3, 0))),L42)))*(IF((YEAR(D42)+4)&lt;YEAR(E42),0,IF((YEAR(D42)+4)&gt;YEAR(E42),1,(12-MONTH(E42)+1)/12))) + (Q42)*(IF((YEAR(D42)+4)&lt;YEAR(E42),0,IF((YEAR(D42)+4)&gt;YEAR(E42),1,(12-MONTH(E42)+1)/12))))-((P42)*(IF((YEAR(D42)+4)&lt;YEAR(E42),0,IF((YEAR(D42)+4)&gt;YEAR(E42),1,(12-MONTH(E42)+1)/12))) + (R42)*(IF((YEAR(D42)+4)&lt;YEAR(E42),0,IF((YEAR(D42)+4)&gt;YEAR(E42),1,(12-MONTH(E42)+1)/12))))-(IF(OR(N42="",N42&lt;=0),0,(O42/N42)*(IF(OR(N42="",N42&lt;=0),0,IF((YEAR(D42)+4)&lt;YEAR(E42),0,IF((YEAR(D42)+4)&gt;=YEAR(E42)+N42,0,IF((YEAR(D42)+4)=YEAR(E42),(12-MONTH(E42)+1)/12,1))))))))&gt;0,(((K42)*(IF(M42="",L42,IFERROR(IF(INDEX(Variablen!$I:$AT, MATCH(M42, Variablen!$A:$A, 0), MATCH((YEAR(D42)+4), Variablen!$I$3:$AT$3, 0))="",L42,INDEX(Variablen!$I:$AT, MATCH(M42, Variablen!$A:$A, 0), MATCH((YEAR(D42)+4), Variablen!$I$3:$AT$3, 0))),L42)))*(IF((YEAR(D42)+4)&lt;YEAR(E42),0,IF((YEAR(D42)+4)&gt;YEAR(E42),1,(12-MONTH(E42)+1)/12))) + (Q42)*(IF((YEAR(D42)+4)&lt;YEAR(E42),0,IF((YEAR(D42)+4)&gt;YEAR(E42),1,(12-MONTH(E42)+1)/12))))-((P42)*(IF((YEAR(D42)+4)&lt;YEAR(E42),0,IF((YEAR(D42)+4)&gt;YEAR(E42),1,(12-MONTH(E42)+1)/12))) + (R42)*(IF((YEAR(D42)+4)&lt;YEAR(E42),0,IF((YEAR(D42)+4)&gt;YEAR(E42),1,(12-MONTH(E42)+1)/12))))-(IF(OR(N42="",N42&lt;=0),0,(O42/N42)*(IF(OR(N42="",N42&lt;=0),0,IF((YEAR(D42)+4)&lt;YEAR(E42),0,IF((YEAR(D42)+4)&gt;=YEAR(E42)+N42,0,IF((YEAR(D42)+4)=YEAR(E42),(12-MONTH(E42)+1)/12,1))))))))*TaxRate,0))-IF(4=0,O42,0))</f>
        <v/>
      </c>
      <c r="X42" s="29">
        <f>IF(A42="","",((K42)*(IF(M42="",L42,IFERROR(IF(INDEX(Variablen!$I:$AT, MATCH(M42, Variablen!$A:$A, 0), MATCH((YEAR(D42)+5), Variablen!$I$3:$AT$3, 0))="",L42,INDEX(Variablen!$I:$AT, MATCH(M42, Variablen!$A:$A, 0), MATCH((YEAR(D42)+5), Variablen!$I$3:$AT$3, 0))),L42)))*(IF((YEAR(D42)+5)&lt;YEAR(E42),0,IF((YEAR(D42)+5)&gt;YEAR(E42),1,(12-MONTH(E42)+1)/12))) + (Q42)*(IF((YEAR(D42)+5)&lt;YEAR(E42),0,IF((YEAR(D42)+5)&gt;YEAR(E42),1,(12-MONTH(E42)+1)/12))))-((P42)*(IF((YEAR(D42)+5)&lt;YEAR(E42),0,IF((YEAR(D42)+5)&gt;YEAR(E42),1,(12-MONTH(E42)+1)/12))) + (R42)*(IF((YEAR(D42)+5)&lt;YEAR(E42),0,IF((YEAR(D42)+5)&gt;YEAR(E42),1,(12-MONTH(E42)+1)/12))))-(IF((((K42)*(IF(M42="",L42,IFERROR(IF(INDEX(Variablen!$I:$AT, MATCH(M42, Variablen!$A:$A, 0), MATCH((YEAR(D42)+5), Variablen!$I$3:$AT$3, 0))="",L42,INDEX(Variablen!$I:$AT, MATCH(M42, Variablen!$A:$A, 0), MATCH((YEAR(D42)+5), Variablen!$I$3:$AT$3, 0))),L42)))*(IF((YEAR(D42)+5)&lt;YEAR(E42),0,IF((YEAR(D42)+5)&gt;YEAR(E42),1,(12-MONTH(E42)+1)/12))) + (Q42)*(IF((YEAR(D42)+5)&lt;YEAR(E42),0,IF((YEAR(D42)+5)&gt;YEAR(E42),1,(12-MONTH(E42)+1)/12))))-((P42)*(IF((YEAR(D42)+5)&lt;YEAR(E42),0,IF((YEAR(D42)+5)&gt;YEAR(E42),1,(12-MONTH(E42)+1)/12))) + (R42)*(IF((YEAR(D42)+5)&lt;YEAR(E42),0,IF((YEAR(D42)+5)&gt;YEAR(E42),1,(12-MONTH(E42)+1)/12))))-(IF(OR(N42="",N42&lt;=0),0,(O42/N42)*(IF(OR(N42="",N42&lt;=0),0,IF((YEAR(D42)+5)&lt;YEAR(E42),0,IF((YEAR(D42)+5)&gt;=YEAR(E42)+N42,0,IF((YEAR(D42)+5)=YEAR(E42),(12-MONTH(E42)+1)/12,1))))))))&gt;0,(((K42)*(IF(M42="",L42,IFERROR(IF(INDEX(Variablen!$I:$AT, MATCH(M42, Variablen!$A:$A, 0), MATCH((YEAR(D42)+5), Variablen!$I$3:$AT$3, 0))="",L42,INDEX(Variablen!$I:$AT, MATCH(M42, Variablen!$A:$A, 0), MATCH((YEAR(D42)+5), Variablen!$I$3:$AT$3, 0))),L42)))*(IF((YEAR(D42)+5)&lt;YEAR(E42),0,IF((YEAR(D42)+5)&gt;YEAR(E42),1,(12-MONTH(E42)+1)/12))) + (Q42)*(IF((YEAR(D42)+5)&lt;YEAR(E42),0,IF((YEAR(D42)+5)&gt;YEAR(E42),1,(12-MONTH(E42)+1)/12))))-((P42)*(IF((YEAR(D42)+5)&lt;YEAR(E42),0,IF((YEAR(D42)+5)&gt;YEAR(E42),1,(12-MONTH(E42)+1)/12))) + (R42)*(IF((YEAR(D42)+5)&lt;YEAR(E42),0,IF((YEAR(D42)+5)&gt;YEAR(E42),1,(12-MONTH(E42)+1)/12))))-(IF(OR(N42="",N42&lt;=0),0,(O42/N42)*(IF(OR(N42="",N42&lt;=0),0,IF((YEAR(D42)+5)&lt;YEAR(E42),0,IF((YEAR(D42)+5)&gt;=YEAR(E42)+N42,0,IF((YEAR(D42)+5)=YEAR(E42),(12-MONTH(E42)+1)/12,1))))))))*TaxRate,0))-IF(5=0,O42,0))</f>
        <v/>
      </c>
      <c r="Y42" s="29">
        <f>IF(A42="","",((K42)*(IF(M42="",L42,IFERROR(IF(INDEX(Variablen!$I:$AT, MATCH(M42, Variablen!$A:$A, 0), MATCH((YEAR(D42)+6), Variablen!$I$3:$AT$3, 0))="",L42,INDEX(Variablen!$I:$AT, MATCH(M42, Variablen!$A:$A, 0), MATCH((YEAR(D42)+6), Variablen!$I$3:$AT$3, 0))),L42)))*(IF((YEAR(D42)+6)&lt;YEAR(E42),0,IF((YEAR(D42)+6)&gt;YEAR(E42),1,(12-MONTH(E42)+1)/12))) + (Q42)*(IF((YEAR(D42)+6)&lt;YEAR(E42),0,IF((YEAR(D42)+6)&gt;YEAR(E42),1,(12-MONTH(E42)+1)/12))))-((P42)*(IF((YEAR(D42)+6)&lt;YEAR(E42),0,IF((YEAR(D42)+6)&gt;YEAR(E42),1,(12-MONTH(E42)+1)/12))) + (R42)*(IF((YEAR(D42)+6)&lt;YEAR(E42),0,IF((YEAR(D42)+6)&gt;YEAR(E42),1,(12-MONTH(E42)+1)/12))))-(IF((((K42)*(IF(M42="",L42,IFERROR(IF(INDEX(Variablen!$I:$AT, MATCH(M42, Variablen!$A:$A, 0), MATCH((YEAR(D42)+6), Variablen!$I$3:$AT$3, 0))="",L42,INDEX(Variablen!$I:$AT, MATCH(M42, Variablen!$A:$A, 0), MATCH((YEAR(D42)+6), Variablen!$I$3:$AT$3, 0))),L42)))*(IF((YEAR(D42)+6)&lt;YEAR(E42),0,IF((YEAR(D42)+6)&gt;YEAR(E42),1,(12-MONTH(E42)+1)/12))) + (Q42)*(IF((YEAR(D42)+6)&lt;YEAR(E42),0,IF((YEAR(D42)+6)&gt;YEAR(E42),1,(12-MONTH(E42)+1)/12))))-((P42)*(IF((YEAR(D42)+6)&lt;YEAR(E42),0,IF((YEAR(D42)+6)&gt;YEAR(E42),1,(12-MONTH(E42)+1)/12))) + (R42)*(IF((YEAR(D42)+6)&lt;YEAR(E42),0,IF((YEAR(D42)+6)&gt;YEAR(E42),1,(12-MONTH(E42)+1)/12))))-(IF(OR(N42="",N42&lt;=0),0,(O42/N42)*(IF(OR(N42="",N42&lt;=0),0,IF((YEAR(D42)+6)&lt;YEAR(E42),0,IF((YEAR(D42)+6)&gt;=YEAR(E42)+N42,0,IF((YEAR(D42)+6)=YEAR(E42),(12-MONTH(E42)+1)/12,1))))))))&gt;0,(((K42)*(IF(M42="",L42,IFERROR(IF(INDEX(Variablen!$I:$AT, MATCH(M42, Variablen!$A:$A, 0), MATCH((YEAR(D42)+6), Variablen!$I$3:$AT$3, 0))="",L42,INDEX(Variablen!$I:$AT, MATCH(M42, Variablen!$A:$A, 0), MATCH((YEAR(D42)+6), Variablen!$I$3:$AT$3, 0))),L42)))*(IF((YEAR(D42)+6)&lt;YEAR(E42),0,IF((YEAR(D42)+6)&gt;YEAR(E42),1,(12-MONTH(E42)+1)/12))) + (Q42)*(IF((YEAR(D42)+6)&lt;YEAR(E42),0,IF((YEAR(D42)+6)&gt;YEAR(E42),1,(12-MONTH(E42)+1)/12))))-((P42)*(IF((YEAR(D42)+6)&lt;YEAR(E42),0,IF((YEAR(D42)+6)&gt;YEAR(E42),1,(12-MONTH(E42)+1)/12))) + (R42)*(IF((YEAR(D42)+6)&lt;YEAR(E42),0,IF((YEAR(D42)+6)&gt;YEAR(E42),1,(12-MONTH(E42)+1)/12))))-(IF(OR(N42="",N42&lt;=0),0,(O42/N42)*(IF(OR(N42="",N42&lt;=0),0,IF((YEAR(D42)+6)&lt;YEAR(E42),0,IF((YEAR(D42)+6)&gt;=YEAR(E42)+N42,0,IF((YEAR(D42)+6)=YEAR(E42),(12-MONTH(E42)+1)/12,1))))))))*TaxRate,0))-IF(6=0,O42,0))</f>
        <v/>
      </c>
      <c r="Z42" s="29">
        <f>IF(A42="","",((K42)*(IF(M42="",L42,IFERROR(IF(INDEX(Variablen!$I:$AT, MATCH(M42, Variablen!$A:$A, 0), MATCH((YEAR(D42)+7), Variablen!$I$3:$AT$3, 0))="",L42,INDEX(Variablen!$I:$AT, MATCH(M42, Variablen!$A:$A, 0), MATCH((YEAR(D42)+7), Variablen!$I$3:$AT$3, 0))),L42)))*(IF((YEAR(D42)+7)&lt;YEAR(E42),0,IF((YEAR(D42)+7)&gt;YEAR(E42),1,(12-MONTH(E42)+1)/12))) + (Q42)*(IF((YEAR(D42)+7)&lt;YEAR(E42),0,IF((YEAR(D42)+7)&gt;YEAR(E42),1,(12-MONTH(E42)+1)/12))))-((P42)*(IF((YEAR(D42)+7)&lt;YEAR(E42),0,IF((YEAR(D42)+7)&gt;YEAR(E42),1,(12-MONTH(E42)+1)/12))) + (R42)*(IF((YEAR(D42)+7)&lt;YEAR(E42),0,IF((YEAR(D42)+7)&gt;YEAR(E42),1,(12-MONTH(E42)+1)/12))))-(IF((((K42)*(IF(M42="",L42,IFERROR(IF(INDEX(Variablen!$I:$AT, MATCH(M42, Variablen!$A:$A, 0), MATCH((YEAR(D42)+7), Variablen!$I$3:$AT$3, 0))="",L42,INDEX(Variablen!$I:$AT, MATCH(M42, Variablen!$A:$A, 0), MATCH((YEAR(D42)+7), Variablen!$I$3:$AT$3, 0))),L42)))*(IF((YEAR(D42)+7)&lt;YEAR(E42),0,IF((YEAR(D42)+7)&gt;YEAR(E42),1,(12-MONTH(E42)+1)/12))) + (Q42)*(IF((YEAR(D42)+7)&lt;YEAR(E42),0,IF((YEAR(D42)+7)&gt;YEAR(E42),1,(12-MONTH(E42)+1)/12))))-((P42)*(IF((YEAR(D42)+7)&lt;YEAR(E42),0,IF((YEAR(D42)+7)&gt;YEAR(E42),1,(12-MONTH(E42)+1)/12))) + (R42)*(IF((YEAR(D42)+7)&lt;YEAR(E42),0,IF((YEAR(D42)+7)&gt;YEAR(E42),1,(12-MONTH(E42)+1)/12))))-(IF(OR(N42="",N42&lt;=0),0,(O42/N42)*(IF(OR(N42="",N42&lt;=0),0,IF((YEAR(D42)+7)&lt;YEAR(E42),0,IF((YEAR(D42)+7)&gt;=YEAR(E42)+N42,0,IF((YEAR(D42)+7)=YEAR(E42),(12-MONTH(E42)+1)/12,1))))))))&gt;0,(((K42)*(IF(M42="",L42,IFERROR(IF(INDEX(Variablen!$I:$AT, MATCH(M42, Variablen!$A:$A, 0), MATCH((YEAR(D42)+7), Variablen!$I$3:$AT$3, 0))="",L42,INDEX(Variablen!$I:$AT, MATCH(M42, Variablen!$A:$A, 0), MATCH((YEAR(D42)+7), Variablen!$I$3:$AT$3, 0))),L42)))*(IF((YEAR(D42)+7)&lt;YEAR(E42),0,IF((YEAR(D42)+7)&gt;YEAR(E42),1,(12-MONTH(E42)+1)/12))) + (Q42)*(IF((YEAR(D42)+7)&lt;YEAR(E42),0,IF((YEAR(D42)+7)&gt;YEAR(E42),1,(12-MONTH(E42)+1)/12))))-((P42)*(IF((YEAR(D42)+7)&lt;YEAR(E42),0,IF((YEAR(D42)+7)&gt;YEAR(E42),1,(12-MONTH(E42)+1)/12))) + (R42)*(IF((YEAR(D42)+7)&lt;YEAR(E42),0,IF((YEAR(D42)+7)&gt;YEAR(E42),1,(12-MONTH(E42)+1)/12))))-(IF(OR(N42="",N42&lt;=0),0,(O42/N42)*(IF(OR(N42="",N42&lt;=0),0,IF((YEAR(D42)+7)&lt;YEAR(E42),0,IF((YEAR(D42)+7)&gt;=YEAR(E42)+N42,0,IF((YEAR(D42)+7)=YEAR(E42),(12-MONTH(E42)+1)/12,1))))))))*TaxRate,0))-IF(7=0,O42,0))</f>
        <v/>
      </c>
      <c r="AA42" s="29">
        <f>IF(A42="","",((K42)*(IF(M42="",L42,IFERROR(IF(INDEX(Variablen!$I:$AT, MATCH(M42, Variablen!$A:$A, 0), MATCH((YEAR(D42)+8), Variablen!$I$3:$AT$3, 0))="",L42,INDEX(Variablen!$I:$AT, MATCH(M42, Variablen!$A:$A, 0), MATCH((YEAR(D42)+8), Variablen!$I$3:$AT$3, 0))),L42)))*(IF((YEAR(D42)+8)&lt;YEAR(E42),0,IF((YEAR(D42)+8)&gt;YEAR(E42),1,(12-MONTH(E42)+1)/12))) + (Q42)*(IF((YEAR(D42)+8)&lt;YEAR(E42),0,IF((YEAR(D42)+8)&gt;YEAR(E42),1,(12-MONTH(E42)+1)/12))))-((P42)*(IF((YEAR(D42)+8)&lt;YEAR(E42),0,IF((YEAR(D42)+8)&gt;YEAR(E42),1,(12-MONTH(E42)+1)/12))) + (R42)*(IF((YEAR(D42)+8)&lt;YEAR(E42),0,IF((YEAR(D42)+8)&gt;YEAR(E42),1,(12-MONTH(E42)+1)/12))))-(IF((((K42)*(IF(M42="",L42,IFERROR(IF(INDEX(Variablen!$I:$AT, MATCH(M42, Variablen!$A:$A, 0), MATCH((YEAR(D42)+8), Variablen!$I$3:$AT$3, 0))="",L42,INDEX(Variablen!$I:$AT, MATCH(M42, Variablen!$A:$A, 0), MATCH((YEAR(D42)+8), Variablen!$I$3:$AT$3, 0))),L42)))*(IF((YEAR(D42)+8)&lt;YEAR(E42),0,IF((YEAR(D42)+8)&gt;YEAR(E42),1,(12-MONTH(E42)+1)/12))) + (Q42)*(IF((YEAR(D42)+8)&lt;YEAR(E42),0,IF((YEAR(D42)+8)&gt;YEAR(E42),1,(12-MONTH(E42)+1)/12))))-((P42)*(IF((YEAR(D42)+8)&lt;YEAR(E42),0,IF((YEAR(D42)+8)&gt;YEAR(E42),1,(12-MONTH(E42)+1)/12))) + (R42)*(IF((YEAR(D42)+8)&lt;YEAR(E42),0,IF((YEAR(D42)+8)&gt;YEAR(E42),1,(12-MONTH(E42)+1)/12))))-(IF(OR(N42="",N42&lt;=0),0,(O42/N42)*(IF(OR(N42="",N42&lt;=0),0,IF((YEAR(D42)+8)&lt;YEAR(E42),0,IF((YEAR(D42)+8)&gt;=YEAR(E42)+N42,0,IF((YEAR(D42)+8)=YEAR(E42),(12-MONTH(E42)+1)/12,1))))))))&gt;0,(((K42)*(IF(M42="",L42,IFERROR(IF(INDEX(Variablen!$I:$AT, MATCH(M42, Variablen!$A:$A, 0), MATCH((YEAR(D42)+8), Variablen!$I$3:$AT$3, 0))="",L42,INDEX(Variablen!$I:$AT, MATCH(M42, Variablen!$A:$A, 0), MATCH((YEAR(D42)+8), Variablen!$I$3:$AT$3, 0))),L42)))*(IF((YEAR(D42)+8)&lt;YEAR(E42),0,IF((YEAR(D42)+8)&gt;YEAR(E42),1,(12-MONTH(E42)+1)/12))) + (Q42)*(IF((YEAR(D42)+8)&lt;YEAR(E42),0,IF((YEAR(D42)+8)&gt;YEAR(E42),1,(12-MONTH(E42)+1)/12))))-((P42)*(IF((YEAR(D42)+8)&lt;YEAR(E42),0,IF((YEAR(D42)+8)&gt;YEAR(E42),1,(12-MONTH(E42)+1)/12))) + (R42)*(IF((YEAR(D42)+8)&lt;YEAR(E42),0,IF((YEAR(D42)+8)&gt;YEAR(E42),1,(12-MONTH(E42)+1)/12))))-(IF(OR(N42="",N42&lt;=0),0,(O42/N42)*(IF(OR(N42="",N42&lt;=0),0,IF((YEAR(D42)+8)&lt;YEAR(E42),0,IF((YEAR(D42)+8)&gt;=YEAR(E42)+N42,0,IF((YEAR(D42)+8)=YEAR(E42),(12-MONTH(E42)+1)/12,1))))))))*TaxRate,0))-IF(8=0,O42,0))</f>
        <v/>
      </c>
      <c r="AB42" s="29">
        <f>IF(A42="","",((K42)*(IF(M42="",L42,IFERROR(IF(INDEX(Variablen!$I:$AT, MATCH(M42, Variablen!$A:$A, 0), MATCH((YEAR(D42)+9), Variablen!$I$3:$AT$3, 0))="",L42,INDEX(Variablen!$I:$AT, MATCH(M42, Variablen!$A:$A, 0), MATCH((YEAR(D42)+9), Variablen!$I$3:$AT$3, 0))),L42)))*(IF((YEAR(D42)+9)&lt;YEAR(E42),0,IF((YEAR(D42)+9)&gt;YEAR(E42),1,(12-MONTH(E42)+1)/12))) + (Q42)*(IF((YEAR(D42)+9)&lt;YEAR(E42),0,IF((YEAR(D42)+9)&gt;YEAR(E42),1,(12-MONTH(E42)+1)/12))))-((P42)*(IF((YEAR(D42)+9)&lt;YEAR(E42),0,IF((YEAR(D42)+9)&gt;YEAR(E42),1,(12-MONTH(E42)+1)/12))) + (R42)*(IF((YEAR(D42)+9)&lt;YEAR(E42),0,IF((YEAR(D42)+9)&gt;YEAR(E42),1,(12-MONTH(E42)+1)/12))))-(IF((((K42)*(IF(M42="",L42,IFERROR(IF(INDEX(Variablen!$I:$AT, MATCH(M42, Variablen!$A:$A, 0), MATCH((YEAR(D42)+9), Variablen!$I$3:$AT$3, 0))="",L42,INDEX(Variablen!$I:$AT, MATCH(M42, Variablen!$A:$A, 0), MATCH((YEAR(D42)+9), Variablen!$I$3:$AT$3, 0))),L42)))*(IF((YEAR(D42)+9)&lt;YEAR(E42),0,IF((YEAR(D42)+9)&gt;YEAR(E42),1,(12-MONTH(E42)+1)/12))) + (Q42)*(IF((YEAR(D42)+9)&lt;YEAR(E42),0,IF((YEAR(D42)+9)&gt;YEAR(E42),1,(12-MONTH(E42)+1)/12))))-((P42)*(IF((YEAR(D42)+9)&lt;YEAR(E42),0,IF((YEAR(D42)+9)&gt;YEAR(E42),1,(12-MONTH(E42)+1)/12))) + (R42)*(IF((YEAR(D42)+9)&lt;YEAR(E42),0,IF((YEAR(D42)+9)&gt;YEAR(E42),1,(12-MONTH(E42)+1)/12))))-(IF(OR(N42="",N42&lt;=0),0,(O42/N42)*(IF(OR(N42="",N42&lt;=0),0,IF((YEAR(D42)+9)&lt;YEAR(E42),0,IF((YEAR(D42)+9)&gt;=YEAR(E42)+N42,0,IF((YEAR(D42)+9)=YEAR(E42),(12-MONTH(E42)+1)/12,1))))))))&gt;0,(((K42)*(IF(M42="",L42,IFERROR(IF(INDEX(Variablen!$I:$AT, MATCH(M42, Variablen!$A:$A, 0), MATCH((YEAR(D42)+9), Variablen!$I$3:$AT$3, 0))="",L42,INDEX(Variablen!$I:$AT, MATCH(M42, Variablen!$A:$A, 0), MATCH((YEAR(D42)+9), Variablen!$I$3:$AT$3, 0))),L42)))*(IF((YEAR(D42)+9)&lt;YEAR(E42),0,IF((YEAR(D42)+9)&gt;YEAR(E42),1,(12-MONTH(E42)+1)/12))) + (Q42)*(IF((YEAR(D42)+9)&lt;YEAR(E42),0,IF((YEAR(D42)+9)&gt;YEAR(E42),1,(12-MONTH(E42)+1)/12))))-((P42)*(IF((YEAR(D42)+9)&lt;YEAR(E42),0,IF((YEAR(D42)+9)&gt;YEAR(E42),1,(12-MONTH(E42)+1)/12))) + (R42)*(IF((YEAR(D42)+9)&lt;YEAR(E42),0,IF((YEAR(D42)+9)&gt;YEAR(E42),1,(12-MONTH(E42)+1)/12))))-(IF(OR(N42="",N42&lt;=0),0,(O42/N42)*(IF(OR(N42="",N42&lt;=0),0,IF((YEAR(D42)+9)&lt;YEAR(E42),0,IF((YEAR(D42)+9)&gt;=YEAR(E42)+N42,0,IF((YEAR(D42)+9)=YEAR(E42),(12-MONTH(E42)+1)/12,1))))))))*TaxRate,0))-IF(9=0,O42,0))</f>
        <v/>
      </c>
      <c r="AC42" s="29">
        <f>IF(A42="","",((K42)*(IF(M42="",L42,IFERROR(IF(INDEX(Variablen!$I:$AT, MATCH(M42, Variablen!$A:$A, 0), MATCH((YEAR(D42)+10), Variablen!$I$3:$AT$3, 0))="",L42,INDEX(Variablen!$I:$AT, MATCH(M42, Variablen!$A:$A, 0), MATCH((YEAR(D42)+10), Variablen!$I$3:$AT$3, 0))),L42)))*(IF((YEAR(D42)+10)&lt;YEAR(E42),0,IF((YEAR(D42)+10)&gt;YEAR(E42),1,(12-MONTH(E42)+1)/12))) + (Q42)*(IF((YEAR(D42)+10)&lt;YEAR(E42),0,IF((YEAR(D42)+10)&gt;YEAR(E42),1,(12-MONTH(E42)+1)/12))))-((P42)*(IF((YEAR(D42)+10)&lt;YEAR(E42),0,IF((YEAR(D42)+10)&gt;YEAR(E42),1,(12-MONTH(E42)+1)/12))) + (R42)*(IF((YEAR(D42)+10)&lt;YEAR(E42),0,IF((YEAR(D42)+10)&gt;YEAR(E42),1,(12-MONTH(E42)+1)/12))))-(IF((((K42)*(IF(M42="",L42,IFERROR(IF(INDEX(Variablen!$I:$AT, MATCH(M42, Variablen!$A:$A, 0), MATCH((YEAR(D42)+10), Variablen!$I$3:$AT$3, 0))="",L42,INDEX(Variablen!$I:$AT, MATCH(M42, Variablen!$A:$A, 0), MATCH((YEAR(D42)+10), Variablen!$I$3:$AT$3, 0))),L42)))*(IF((YEAR(D42)+10)&lt;YEAR(E42),0,IF((YEAR(D42)+10)&gt;YEAR(E42),1,(12-MONTH(E42)+1)/12))) + (Q42)*(IF((YEAR(D42)+10)&lt;YEAR(E42),0,IF((YEAR(D42)+10)&gt;YEAR(E42),1,(12-MONTH(E42)+1)/12))))-((P42)*(IF((YEAR(D42)+10)&lt;YEAR(E42),0,IF((YEAR(D42)+10)&gt;YEAR(E42),1,(12-MONTH(E42)+1)/12))) + (R42)*(IF((YEAR(D42)+10)&lt;YEAR(E42),0,IF((YEAR(D42)+10)&gt;YEAR(E42),1,(12-MONTH(E42)+1)/12))))-(IF(OR(N42="",N42&lt;=0),0,(O42/N42)*(IF(OR(N42="",N42&lt;=0),0,IF((YEAR(D42)+10)&lt;YEAR(E42),0,IF((YEAR(D42)+10)&gt;=YEAR(E42)+N42,0,IF((YEAR(D42)+10)=YEAR(E42),(12-MONTH(E42)+1)/12,1))))))))&gt;0,(((K42)*(IF(M42="",L42,IFERROR(IF(INDEX(Variablen!$I:$AT, MATCH(M42, Variablen!$A:$A, 0), MATCH((YEAR(D42)+10), Variablen!$I$3:$AT$3, 0))="",L42,INDEX(Variablen!$I:$AT, MATCH(M42, Variablen!$A:$A, 0), MATCH((YEAR(D42)+10), Variablen!$I$3:$AT$3, 0))),L42)))*(IF((YEAR(D42)+10)&lt;YEAR(E42),0,IF((YEAR(D42)+10)&gt;YEAR(E42),1,(12-MONTH(E42)+1)/12))) + (Q42)*(IF((YEAR(D42)+10)&lt;YEAR(E42),0,IF((YEAR(D42)+10)&gt;YEAR(E42),1,(12-MONTH(E42)+1)/12))))-((P42)*(IF((YEAR(D42)+10)&lt;YEAR(E42),0,IF((YEAR(D42)+10)&gt;YEAR(E42),1,(12-MONTH(E42)+1)/12))) + (R42)*(IF((YEAR(D42)+10)&lt;YEAR(E42),0,IF((YEAR(D42)+10)&gt;YEAR(E42),1,(12-MONTH(E42)+1)/12))))-(IF(OR(N42="",N42&lt;=0),0,(O42/N42)*(IF(OR(N42="",N42&lt;=0),0,IF((YEAR(D42)+10)&lt;YEAR(E42),0,IF((YEAR(D42)+10)&gt;=YEAR(E42)+N42,0,IF((YEAR(D42)+10)=YEAR(E42),(12-MONTH(E42)+1)/12,1))))))))*TaxRate,0))-IF(10=0,O42,0))</f>
        <v/>
      </c>
      <c r="AD42" s="29">
        <f>IF(A42="","",((K42)*(IF(M42="",L42,IFERROR(IF(INDEX(Variablen!$I:$AT, MATCH(M42, Variablen!$A:$A, 0), MATCH((YEAR(D42)+11), Variablen!$I$3:$AT$3, 0))="",L42,INDEX(Variablen!$I:$AT, MATCH(M42, Variablen!$A:$A, 0), MATCH((YEAR(D42)+11), Variablen!$I$3:$AT$3, 0))),L42)))*(IF((YEAR(D42)+11)&lt;YEAR(E42),0,IF((YEAR(D42)+11)&gt;YEAR(E42),1,(12-MONTH(E42)+1)/12))) + (Q42)*(IF((YEAR(D42)+11)&lt;YEAR(E42),0,IF((YEAR(D42)+11)&gt;YEAR(E42),1,(12-MONTH(E42)+1)/12))))-((P42)*(IF((YEAR(D42)+11)&lt;YEAR(E42),0,IF((YEAR(D42)+11)&gt;YEAR(E42),1,(12-MONTH(E42)+1)/12))) + (R42)*(IF((YEAR(D42)+11)&lt;YEAR(E42),0,IF((YEAR(D42)+11)&gt;YEAR(E42),1,(12-MONTH(E42)+1)/12))))-(IF((((K42)*(IF(M42="",L42,IFERROR(IF(INDEX(Variablen!$I:$AT, MATCH(M42, Variablen!$A:$A, 0), MATCH((YEAR(D42)+11), Variablen!$I$3:$AT$3, 0))="",L42,INDEX(Variablen!$I:$AT, MATCH(M42, Variablen!$A:$A, 0), MATCH((YEAR(D42)+11), Variablen!$I$3:$AT$3, 0))),L42)))*(IF((YEAR(D42)+11)&lt;YEAR(E42),0,IF((YEAR(D42)+11)&gt;YEAR(E42),1,(12-MONTH(E42)+1)/12))) + (Q42)*(IF((YEAR(D42)+11)&lt;YEAR(E42),0,IF((YEAR(D42)+11)&gt;YEAR(E42),1,(12-MONTH(E42)+1)/12))))-((P42)*(IF((YEAR(D42)+11)&lt;YEAR(E42),0,IF((YEAR(D42)+11)&gt;YEAR(E42),1,(12-MONTH(E42)+1)/12))) + (R42)*(IF((YEAR(D42)+11)&lt;YEAR(E42),0,IF((YEAR(D42)+11)&gt;YEAR(E42),1,(12-MONTH(E42)+1)/12))))-(IF(OR(N42="",N42&lt;=0),0,(O42/N42)*(IF(OR(N42="",N42&lt;=0),0,IF((YEAR(D42)+11)&lt;YEAR(E42),0,IF((YEAR(D42)+11)&gt;=YEAR(E42)+N42,0,IF((YEAR(D42)+11)=YEAR(E42),(12-MONTH(E42)+1)/12,1))))))))&gt;0,(((K42)*(IF(M42="",L42,IFERROR(IF(INDEX(Variablen!$I:$AT, MATCH(M42, Variablen!$A:$A, 0), MATCH((YEAR(D42)+11), Variablen!$I$3:$AT$3, 0))="",L42,INDEX(Variablen!$I:$AT, MATCH(M42, Variablen!$A:$A, 0), MATCH((YEAR(D42)+11), Variablen!$I$3:$AT$3, 0))),L42)))*(IF((YEAR(D42)+11)&lt;YEAR(E42),0,IF((YEAR(D42)+11)&gt;YEAR(E42),1,(12-MONTH(E42)+1)/12))) + (Q42)*(IF((YEAR(D42)+11)&lt;YEAR(E42),0,IF((YEAR(D42)+11)&gt;YEAR(E42),1,(12-MONTH(E42)+1)/12))))-((P42)*(IF((YEAR(D42)+11)&lt;YEAR(E42),0,IF((YEAR(D42)+11)&gt;YEAR(E42),1,(12-MONTH(E42)+1)/12))) + (R42)*(IF((YEAR(D42)+11)&lt;YEAR(E42),0,IF((YEAR(D42)+11)&gt;YEAR(E42),1,(12-MONTH(E42)+1)/12))))-(IF(OR(N42="",N42&lt;=0),0,(O42/N42)*(IF(OR(N42="",N42&lt;=0),0,IF((YEAR(D42)+11)&lt;YEAR(E42),0,IF((YEAR(D42)+11)&gt;=YEAR(E42)+N42,0,IF((YEAR(D42)+11)=YEAR(E42),(12-MONTH(E42)+1)/12,1))))))))*TaxRate,0))-IF(11=0,O42,0))</f>
        <v/>
      </c>
      <c r="AE42" s="29">
        <f>IF(A42="","",((K42)*(IF(M42="",L42,IFERROR(IF(INDEX(Variablen!$I:$AT, MATCH(M42, Variablen!$A:$A, 0), MATCH((YEAR(D42)+12), Variablen!$I$3:$AT$3, 0))="",L42,INDEX(Variablen!$I:$AT, MATCH(M42, Variablen!$A:$A, 0), MATCH((YEAR(D42)+12), Variablen!$I$3:$AT$3, 0))),L42)))*(IF((YEAR(D42)+12)&lt;YEAR(E42),0,IF((YEAR(D42)+12)&gt;YEAR(E42),1,(12-MONTH(E42)+1)/12))) + (Q42)*(IF((YEAR(D42)+12)&lt;YEAR(E42),0,IF((YEAR(D42)+12)&gt;YEAR(E42),1,(12-MONTH(E42)+1)/12))))-((P42)*(IF((YEAR(D42)+12)&lt;YEAR(E42),0,IF((YEAR(D42)+12)&gt;YEAR(E42),1,(12-MONTH(E42)+1)/12))) + (R42)*(IF((YEAR(D42)+12)&lt;YEAR(E42),0,IF((YEAR(D42)+12)&gt;YEAR(E42),1,(12-MONTH(E42)+1)/12))))-(IF((((K42)*(IF(M42="",L42,IFERROR(IF(INDEX(Variablen!$I:$AT, MATCH(M42, Variablen!$A:$A, 0), MATCH((YEAR(D42)+12), Variablen!$I$3:$AT$3, 0))="",L42,INDEX(Variablen!$I:$AT, MATCH(M42, Variablen!$A:$A, 0), MATCH((YEAR(D42)+12), Variablen!$I$3:$AT$3, 0))),L42)))*(IF((YEAR(D42)+12)&lt;YEAR(E42),0,IF((YEAR(D42)+12)&gt;YEAR(E42),1,(12-MONTH(E42)+1)/12))) + (Q42)*(IF((YEAR(D42)+12)&lt;YEAR(E42),0,IF((YEAR(D42)+12)&gt;YEAR(E42),1,(12-MONTH(E42)+1)/12))))-((P42)*(IF((YEAR(D42)+12)&lt;YEAR(E42),0,IF((YEAR(D42)+12)&gt;YEAR(E42),1,(12-MONTH(E42)+1)/12))) + (R42)*(IF((YEAR(D42)+12)&lt;YEAR(E42),0,IF((YEAR(D42)+12)&gt;YEAR(E42),1,(12-MONTH(E42)+1)/12))))-(IF(OR(N42="",N42&lt;=0),0,(O42/N42)*(IF(OR(N42="",N42&lt;=0),0,IF((YEAR(D42)+12)&lt;YEAR(E42),0,IF((YEAR(D42)+12)&gt;=YEAR(E42)+N42,0,IF((YEAR(D42)+12)=YEAR(E42),(12-MONTH(E42)+1)/12,1))))))))&gt;0,(((K42)*(IF(M42="",L42,IFERROR(IF(INDEX(Variablen!$I:$AT, MATCH(M42, Variablen!$A:$A, 0), MATCH((YEAR(D42)+12), Variablen!$I$3:$AT$3, 0))="",L42,INDEX(Variablen!$I:$AT, MATCH(M42, Variablen!$A:$A, 0), MATCH((YEAR(D42)+12), Variablen!$I$3:$AT$3, 0))),L42)))*(IF((YEAR(D42)+12)&lt;YEAR(E42),0,IF((YEAR(D42)+12)&gt;YEAR(E42),1,(12-MONTH(E42)+1)/12))) + (Q42)*(IF((YEAR(D42)+12)&lt;YEAR(E42),0,IF((YEAR(D42)+12)&gt;YEAR(E42),1,(12-MONTH(E42)+1)/12))))-((P42)*(IF((YEAR(D42)+12)&lt;YEAR(E42),0,IF((YEAR(D42)+12)&gt;YEAR(E42),1,(12-MONTH(E42)+1)/12))) + (R42)*(IF((YEAR(D42)+12)&lt;YEAR(E42),0,IF((YEAR(D42)+12)&gt;YEAR(E42),1,(12-MONTH(E42)+1)/12))))-(IF(OR(N42="",N42&lt;=0),0,(O42/N42)*(IF(OR(N42="",N42&lt;=0),0,IF((YEAR(D42)+12)&lt;YEAR(E42),0,IF((YEAR(D42)+12)&gt;=YEAR(E42)+N42,0,IF((YEAR(D42)+12)=YEAR(E42),(12-MONTH(E42)+1)/12,1))))))))*TaxRate,0))-IF(12=0,O42,0))</f>
        <v/>
      </c>
      <c r="AF42" s="29">
        <f>IF(A42="","",((K42)*(IF(M42="",L42,IFERROR(IF(INDEX(Variablen!$I:$AT, MATCH(M42, Variablen!$A:$A, 0), MATCH((YEAR(D42)+13), Variablen!$I$3:$AT$3, 0))="",L42,INDEX(Variablen!$I:$AT, MATCH(M42, Variablen!$A:$A, 0), MATCH((YEAR(D42)+13), Variablen!$I$3:$AT$3, 0))),L42)))*(IF((YEAR(D42)+13)&lt;YEAR(E42),0,IF((YEAR(D42)+13)&gt;YEAR(E42),1,(12-MONTH(E42)+1)/12))) + (Q42)*(IF((YEAR(D42)+13)&lt;YEAR(E42),0,IF((YEAR(D42)+13)&gt;YEAR(E42),1,(12-MONTH(E42)+1)/12))))-((P42)*(IF((YEAR(D42)+13)&lt;YEAR(E42),0,IF((YEAR(D42)+13)&gt;YEAR(E42),1,(12-MONTH(E42)+1)/12))) + (R42)*(IF((YEAR(D42)+13)&lt;YEAR(E42),0,IF((YEAR(D42)+13)&gt;YEAR(E42),1,(12-MONTH(E42)+1)/12))))-(IF((((K42)*(IF(M42="",L42,IFERROR(IF(INDEX(Variablen!$I:$AT, MATCH(M42, Variablen!$A:$A, 0), MATCH((YEAR(D42)+13), Variablen!$I$3:$AT$3, 0))="",L42,INDEX(Variablen!$I:$AT, MATCH(M42, Variablen!$A:$A, 0), MATCH((YEAR(D42)+13), Variablen!$I$3:$AT$3, 0))),L42)))*(IF((YEAR(D42)+13)&lt;YEAR(E42),0,IF((YEAR(D42)+13)&gt;YEAR(E42),1,(12-MONTH(E42)+1)/12))) + (Q42)*(IF((YEAR(D42)+13)&lt;YEAR(E42),0,IF((YEAR(D42)+13)&gt;YEAR(E42),1,(12-MONTH(E42)+1)/12))))-((P42)*(IF((YEAR(D42)+13)&lt;YEAR(E42),0,IF((YEAR(D42)+13)&gt;YEAR(E42),1,(12-MONTH(E42)+1)/12))) + (R42)*(IF((YEAR(D42)+13)&lt;YEAR(E42),0,IF((YEAR(D42)+13)&gt;YEAR(E42),1,(12-MONTH(E42)+1)/12))))-(IF(OR(N42="",N42&lt;=0),0,(O42/N42)*(IF(OR(N42="",N42&lt;=0),0,IF((YEAR(D42)+13)&lt;YEAR(E42),0,IF((YEAR(D42)+13)&gt;=YEAR(E42)+N42,0,IF((YEAR(D42)+13)=YEAR(E42),(12-MONTH(E42)+1)/12,1))))))))&gt;0,(((K42)*(IF(M42="",L42,IFERROR(IF(INDEX(Variablen!$I:$AT, MATCH(M42, Variablen!$A:$A, 0), MATCH((YEAR(D42)+13), Variablen!$I$3:$AT$3, 0))="",L42,INDEX(Variablen!$I:$AT, MATCH(M42, Variablen!$A:$A, 0), MATCH((YEAR(D42)+13), Variablen!$I$3:$AT$3, 0))),L42)))*(IF((YEAR(D42)+13)&lt;YEAR(E42),0,IF((YEAR(D42)+13)&gt;YEAR(E42),1,(12-MONTH(E42)+1)/12))) + (Q42)*(IF((YEAR(D42)+13)&lt;YEAR(E42),0,IF((YEAR(D42)+13)&gt;YEAR(E42),1,(12-MONTH(E42)+1)/12))))-((P42)*(IF((YEAR(D42)+13)&lt;YEAR(E42),0,IF((YEAR(D42)+13)&gt;YEAR(E42),1,(12-MONTH(E42)+1)/12))) + (R42)*(IF((YEAR(D42)+13)&lt;YEAR(E42),0,IF((YEAR(D42)+13)&gt;YEAR(E42),1,(12-MONTH(E42)+1)/12))))-(IF(OR(N42="",N42&lt;=0),0,(O42/N42)*(IF(OR(N42="",N42&lt;=0),0,IF((YEAR(D42)+13)&lt;YEAR(E42),0,IF((YEAR(D42)+13)&gt;=YEAR(E42)+N42,0,IF((YEAR(D42)+13)=YEAR(E42),(12-MONTH(E42)+1)/12,1))))))))*TaxRate,0))-IF(13=0,O42,0))</f>
        <v/>
      </c>
      <c r="AG42" s="29">
        <f>IF(A42="","",((K42)*(IF(M42="",L42,IFERROR(IF(INDEX(Variablen!$I:$AT, MATCH(M42, Variablen!$A:$A, 0), MATCH((YEAR(D42)+14), Variablen!$I$3:$AT$3, 0))="",L42,INDEX(Variablen!$I:$AT, MATCH(M42, Variablen!$A:$A, 0), MATCH((YEAR(D42)+14), Variablen!$I$3:$AT$3, 0))),L42)))*(IF((YEAR(D42)+14)&lt;YEAR(E42),0,IF((YEAR(D42)+14)&gt;YEAR(E42),1,(12-MONTH(E42)+1)/12))) + (Q42)*(IF((YEAR(D42)+14)&lt;YEAR(E42),0,IF((YEAR(D42)+14)&gt;YEAR(E42),1,(12-MONTH(E42)+1)/12))))-((P42)*(IF((YEAR(D42)+14)&lt;YEAR(E42),0,IF((YEAR(D42)+14)&gt;YEAR(E42),1,(12-MONTH(E42)+1)/12))) + (R42)*(IF((YEAR(D42)+14)&lt;YEAR(E42),0,IF((YEAR(D42)+14)&gt;YEAR(E42),1,(12-MONTH(E42)+1)/12))))-(IF((((K42)*(IF(M42="",L42,IFERROR(IF(INDEX(Variablen!$I:$AT, MATCH(M42, Variablen!$A:$A, 0), MATCH((YEAR(D42)+14), Variablen!$I$3:$AT$3, 0))="",L42,INDEX(Variablen!$I:$AT, MATCH(M42, Variablen!$A:$A, 0), MATCH((YEAR(D42)+14), Variablen!$I$3:$AT$3, 0))),L42)))*(IF((YEAR(D42)+14)&lt;YEAR(E42),0,IF((YEAR(D42)+14)&gt;YEAR(E42),1,(12-MONTH(E42)+1)/12))) + (Q42)*(IF((YEAR(D42)+14)&lt;YEAR(E42),0,IF((YEAR(D42)+14)&gt;YEAR(E42),1,(12-MONTH(E42)+1)/12))))-((P42)*(IF((YEAR(D42)+14)&lt;YEAR(E42),0,IF((YEAR(D42)+14)&gt;YEAR(E42),1,(12-MONTH(E42)+1)/12))) + (R42)*(IF((YEAR(D42)+14)&lt;YEAR(E42),0,IF((YEAR(D42)+14)&gt;YEAR(E42),1,(12-MONTH(E42)+1)/12))))-(IF(OR(N42="",N42&lt;=0),0,(O42/N42)*(IF(OR(N42="",N42&lt;=0),0,IF((YEAR(D42)+14)&lt;YEAR(E42),0,IF((YEAR(D42)+14)&gt;=YEAR(E42)+N42,0,IF((YEAR(D42)+14)=YEAR(E42),(12-MONTH(E42)+1)/12,1))))))))&gt;0,(((K42)*(IF(M42="",L42,IFERROR(IF(INDEX(Variablen!$I:$AT, MATCH(M42, Variablen!$A:$A, 0), MATCH((YEAR(D42)+14), Variablen!$I$3:$AT$3, 0))="",L42,INDEX(Variablen!$I:$AT, MATCH(M42, Variablen!$A:$A, 0), MATCH((YEAR(D42)+14), Variablen!$I$3:$AT$3, 0))),L42)))*(IF((YEAR(D42)+14)&lt;YEAR(E42),0,IF((YEAR(D42)+14)&gt;YEAR(E42),1,(12-MONTH(E42)+1)/12))) + (Q42)*(IF((YEAR(D42)+14)&lt;YEAR(E42),0,IF((YEAR(D42)+14)&gt;YEAR(E42),1,(12-MONTH(E42)+1)/12))))-((P42)*(IF((YEAR(D42)+14)&lt;YEAR(E42),0,IF((YEAR(D42)+14)&gt;YEAR(E42),1,(12-MONTH(E42)+1)/12))) + (R42)*(IF((YEAR(D42)+14)&lt;YEAR(E42),0,IF((YEAR(D42)+14)&gt;YEAR(E42),1,(12-MONTH(E42)+1)/12))))-(IF(OR(N42="",N42&lt;=0),0,(O42/N42)*(IF(OR(N42="",N42&lt;=0),0,IF((YEAR(D42)+14)&lt;YEAR(E42),0,IF((YEAR(D42)+14)&gt;=YEAR(E42)+N42,0,IF((YEAR(D42)+14)=YEAR(E42),(12-MONTH(E42)+1)/12,1))))))))*TaxRate,0))-IF(14=0,O42,0))</f>
        <v/>
      </c>
      <c r="AH42" s="29">
        <f>IF(A42="","",((K42)*(IF(M42="",L42,IFERROR(IF(INDEX(Variablen!$I:$AT, MATCH(M42, Variablen!$A:$A, 0), MATCH((YEAR(D42)+15), Variablen!$I$3:$AT$3, 0))="",L42,INDEX(Variablen!$I:$AT, MATCH(M42, Variablen!$A:$A, 0), MATCH((YEAR(D42)+15), Variablen!$I$3:$AT$3, 0))),L42)))*(IF((YEAR(D42)+15)&lt;YEAR(E42),0,IF((YEAR(D42)+15)&gt;YEAR(E42),1,(12-MONTH(E42)+1)/12))) + (Q42)*(IF((YEAR(D42)+15)&lt;YEAR(E42),0,IF((YEAR(D42)+15)&gt;YEAR(E42),1,(12-MONTH(E42)+1)/12))))-((P42)*(IF((YEAR(D42)+15)&lt;YEAR(E42),0,IF((YEAR(D42)+15)&gt;YEAR(E42),1,(12-MONTH(E42)+1)/12))) + (R42)*(IF((YEAR(D42)+15)&lt;YEAR(E42),0,IF((YEAR(D42)+15)&gt;YEAR(E42),1,(12-MONTH(E42)+1)/12))))-(IF((((K42)*(IF(M42="",L42,IFERROR(IF(INDEX(Variablen!$I:$AT, MATCH(M42, Variablen!$A:$A, 0), MATCH((YEAR(D42)+15), Variablen!$I$3:$AT$3, 0))="",L42,INDEX(Variablen!$I:$AT, MATCH(M42, Variablen!$A:$A, 0), MATCH((YEAR(D42)+15), Variablen!$I$3:$AT$3, 0))),L42)))*(IF((YEAR(D42)+15)&lt;YEAR(E42),0,IF((YEAR(D42)+15)&gt;YEAR(E42),1,(12-MONTH(E42)+1)/12))) + (Q42)*(IF((YEAR(D42)+15)&lt;YEAR(E42),0,IF((YEAR(D42)+15)&gt;YEAR(E42),1,(12-MONTH(E42)+1)/12))))-((P42)*(IF((YEAR(D42)+15)&lt;YEAR(E42),0,IF((YEAR(D42)+15)&gt;YEAR(E42),1,(12-MONTH(E42)+1)/12))) + (R42)*(IF((YEAR(D42)+15)&lt;YEAR(E42),0,IF((YEAR(D42)+15)&gt;YEAR(E42),1,(12-MONTH(E42)+1)/12))))-(IF(OR(N42="",N42&lt;=0),0,(O42/N42)*(IF(OR(N42="",N42&lt;=0),0,IF((YEAR(D42)+15)&lt;YEAR(E42),0,IF((YEAR(D42)+15)&gt;=YEAR(E42)+N42,0,IF((YEAR(D42)+15)=YEAR(E42),(12-MONTH(E42)+1)/12,1))))))))&gt;0,(((K42)*(IF(M42="",L42,IFERROR(IF(INDEX(Variablen!$I:$AT, MATCH(M42, Variablen!$A:$A, 0), MATCH((YEAR(D42)+15), Variablen!$I$3:$AT$3, 0))="",L42,INDEX(Variablen!$I:$AT, MATCH(M42, Variablen!$A:$A, 0), MATCH((YEAR(D42)+15), Variablen!$I$3:$AT$3, 0))),L42)))*(IF((YEAR(D42)+15)&lt;YEAR(E42),0,IF((YEAR(D42)+15)&gt;YEAR(E42),1,(12-MONTH(E42)+1)/12))) + (Q42)*(IF((YEAR(D42)+15)&lt;YEAR(E42),0,IF((YEAR(D42)+15)&gt;YEAR(E42),1,(12-MONTH(E42)+1)/12))))-((P42)*(IF((YEAR(D42)+15)&lt;YEAR(E42),0,IF((YEAR(D42)+15)&gt;YEAR(E42),1,(12-MONTH(E42)+1)/12))) + (R42)*(IF((YEAR(D42)+15)&lt;YEAR(E42),0,IF((YEAR(D42)+15)&gt;YEAR(E42),1,(12-MONTH(E42)+1)/12))))-(IF(OR(N42="",N42&lt;=0),0,(O42/N42)*(IF(OR(N42="",N42&lt;=0),0,IF((YEAR(D42)+15)&lt;YEAR(E42),0,IF((YEAR(D42)+15)&gt;=YEAR(E42)+N42,0,IF((YEAR(D42)+15)=YEAR(E42),(12-MONTH(E42)+1)/12,1))))))))*TaxRate,0))-IF(15=0,O42,0))</f>
        <v/>
      </c>
      <c r="AI42" s="29">
        <f>IF(A42="","",((K42)*(IF(M42="",L42,IFERROR(IF(INDEX(Variablen!$I:$AT, MATCH(M42, Variablen!$A:$A, 0), MATCH((YEAR(D42)+16), Variablen!$I$3:$AT$3, 0))="",L42,INDEX(Variablen!$I:$AT, MATCH(M42, Variablen!$A:$A, 0), MATCH((YEAR(D42)+16), Variablen!$I$3:$AT$3, 0))),L42)))*(IF((YEAR(D42)+16)&lt;YEAR(E42),0,IF((YEAR(D42)+16)&gt;YEAR(E42),1,(12-MONTH(E42)+1)/12))) + (Q42)*(IF((YEAR(D42)+16)&lt;YEAR(E42),0,IF((YEAR(D42)+16)&gt;YEAR(E42),1,(12-MONTH(E42)+1)/12))))-((P42)*(IF((YEAR(D42)+16)&lt;YEAR(E42),0,IF((YEAR(D42)+16)&gt;YEAR(E42),1,(12-MONTH(E42)+1)/12))) + (R42)*(IF((YEAR(D42)+16)&lt;YEAR(E42),0,IF((YEAR(D42)+16)&gt;YEAR(E42),1,(12-MONTH(E42)+1)/12))))-(IF((((K42)*(IF(M42="",L42,IFERROR(IF(INDEX(Variablen!$I:$AT, MATCH(M42, Variablen!$A:$A, 0), MATCH((YEAR(D42)+16), Variablen!$I$3:$AT$3, 0))="",L42,INDEX(Variablen!$I:$AT, MATCH(M42, Variablen!$A:$A, 0), MATCH((YEAR(D42)+16), Variablen!$I$3:$AT$3, 0))),L42)))*(IF((YEAR(D42)+16)&lt;YEAR(E42),0,IF((YEAR(D42)+16)&gt;YEAR(E42),1,(12-MONTH(E42)+1)/12))) + (Q42)*(IF((YEAR(D42)+16)&lt;YEAR(E42),0,IF((YEAR(D42)+16)&gt;YEAR(E42),1,(12-MONTH(E42)+1)/12))))-((P42)*(IF((YEAR(D42)+16)&lt;YEAR(E42),0,IF((YEAR(D42)+16)&gt;YEAR(E42),1,(12-MONTH(E42)+1)/12))) + (R42)*(IF((YEAR(D42)+16)&lt;YEAR(E42),0,IF((YEAR(D42)+16)&gt;YEAR(E42),1,(12-MONTH(E42)+1)/12))))-(IF(OR(N42="",N42&lt;=0),0,(O42/N42)*(IF(OR(N42="",N42&lt;=0),0,IF((YEAR(D42)+16)&lt;YEAR(E42),0,IF((YEAR(D42)+16)&gt;=YEAR(E42)+N42,0,IF((YEAR(D42)+16)=YEAR(E42),(12-MONTH(E42)+1)/12,1))))))))&gt;0,(((K42)*(IF(M42="",L42,IFERROR(IF(INDEX(Variablen!$I:$AT, MATCH(M42, Variablen!$A:$A, 0), MATCH((YEAR(D42)+16), Variablen!$I$3:$AT$3, 0))="",L42,INDEX(Variablen!$I:$AT, MATCH(M42, Variablen!$A:$A, 0), MATCH((YEAR(D42)+16), Variablen!$I$3:$AT$3, 0))),L42)))*(IF((YEAR(D42)+16)&lt;YEAR(E42),0,IF((YEAR(D42)+16)&gt;YEAR(E42),1,(12-MONTH(E42)+1)/12))) + (Q42)*(IF((YEAR(D42)+16)&lt;YEAR(E42),0,IF((YEAR(D42)+16)&gt;YEAR(E42),1,(12-MONTH(E42)+1)/12))))-((P42)*(IF((YEAR(D42)+16)&lt;YEAR(E42),0,IF((YEAR(D42)+16)&gt;YEAR(E42),1,(12-MONTH(E42)+1)/12))) + (R42)*(IF((YEAR(D42)+16)&lt;YEAR(E42),0,IF((YEAR(D42)+16)&gt;YEAR(E42),1,(12-MONTH(E42)+1)/12))))-(IF(OR(N42="",N42&lt;=0),0,(O42/N42)*(IF(OR(N42="",N42&lt;=0),0,IF((YEAR(D42)+16)&lt;YEAR(E42),0,IF((YEAR(D42)+16)&gt;=YEAR(E42)+N42,0,IF((YEAR(D42)+16)=YEAR(E42),(12-MONTH(E42)+1)/12,1))))))))*TaxRate,0))-IF(16=0,O42,0))</f>
        <v/>
      </c>
      <c r="AJ42" s="29">
        <f>IF(A42="","",((K42)*(IF(M42="",L42,IFERROR(IF(INDEX(Variablen!$I:$AT, MATCH(M42, Variablen!$A:$A, 0), MATCH((YEAR(D42)+17), Variablen!$I$3:$AT$3, 0))="",L42,INDEX(Variablen!$I:$AT, MATCH(M42, Variablen!$A:$A, 0), MATCH((YEAR(D42)+17), Variablen!$I$3:$AT$3, 0))),L42)))*(IF((YEAR(D42)+17)&lt;YEAR(E42),0,IF((YEAR(D42)+17)&gt;YEAR(E42),1,(12-MONTH(E42)+1)/12))) + (Q42)*(IF((YEAR(D42)+17)&lt;YEAR(E42),0,IF((YEAR(D42)+17)&gt;YEAR(E42),1,(12-MONTH(E42)+1)/12))))-((P42)*(IF((YEAR(D42)+17)&lt;YEAR(E42),0,IF((YEAR(D42)+17)&gt;YEAR(E42),1,(12-MONTH(E42)+1)/12))) + (R42)*(IF((YEAR(D42)+17)&lt;YEAR(E42),0,IF((YEAR(D42)+17)&gt;YEAR(E42),1,(12-MONTH(E42)+1)/12))))-(IF((((K42)*(IF(M42="",L42,IFERROR(IF(INDEX(Variablen!$I:$AT, MATCH(M42, Variablen!$A:$A, 0), MATCH((YEAR(D42)+17), Variablen!$I$3:$AT$3, 0))="",L42,INDEX(Variablen!$I:$AT, MATCH(M42, Variablen!$A:$A, 0), MATCH((YEAR(D42)+17), Variablen!$I$3:$AT$3, 0))),L42)))*(IF((YEAR(D42)+17)&lt;YEAR(E42),0,IF((YEAR(D42)+17)&gt;YEAR(E42),1,(12-MONTH(E42)+1)/12))) + (Q42)*(IF((YEAR(D42)+17)&lt;YEAR(E42),0,IF((YEAR(D42)+17)&gt;YEAR(E42),1,(12-MONTH(E42)+1)/12))))-((P42)*(IF((YEAR(D42)+17)&lt;YEAR(E42),0,IF((YEAR(D42)+17)&gt;YEAR(E42),1,(12-MONTH(E42)+1)/12))) + (R42)*(IF((YEAR(D42)+17)&lt;YEAR(E42),0,IF((YEAR(D42)+17)&gt;YEAR(E42),1,(12-MONTH(E42)+1)/12))))-(IF(OR(N42="",N42&lt;=0),0,(O42/N42)*(IF(OR(N42="",N42&lt;=0),0,IF((YEAR(D42)+17)&lt;YEAR(E42),0,IF((YEAR(D42)+17)&gt;=YEAR(E42)+N42,0,IF((YEAR(D42)+17)=YEAR(E42),(12-MONTH(E42)+1)/12,1))))))))&gt;0,(((K42)*(IF(M42="",L42,IFERROR(IF(INDEX(Variablen!$I:$AT, MATCH(M42, Variablen!$A:$A, 0), MATCH((YEAR(D42)+17), Variablen!$I$3:$AT$3, 0))="",L42,INDEX(Variablen!$I:$AT, MATCH(M42, Variablen!$A:$A, 0), MATCH((YEAR(D42)+17), Variablen!$I$3:$AT$3, 0))),L42)))*(IF((YEAR(D42)+17)&lt;YEAR(E42),0,IF((YEAR(D42)+17)&gt;YEAR(E42),1,(12-MONTH(E42)+1)/12))) + (Q42)*(IF((YEAR(D42)+17)&lt;YEAR(E42),0,IF((YEAR(D42)+17)&gt;YEAR(E42),1,(12-MONTH(E42)+1)/12))))-((P42)*(IF((YEAR(D42)+17)&lt;YEAR(E42),0,IF((YEAR(D42)+17)&gt;YEAR(E42),1,(12-MONTH(E42)+1)/12))) + (R42)*(IF((YEAR(D42)+17)&lt;YEAR(E42),0,IF((YEAR(D42)+17)&gt;YEAR(E42),1,(12-MONTH(E42)+1)/12))))-(IF(OR(N42="",N42&lt;=0),0,(O42/N42)*(IF(OR(N42="",N42&lt;=0),0,IF((YEAR(D42)+17)&lt;YEAR(E42),0,IF((YEAR(D42)+17)&gt;=YEAR(E42)+N42,0,IF((YEAR(D42)+17)=YEAR(E42),(12-MONTH(E42)+1)/12,1))))))))*TaxRate,0))-IF(17=0,O42,0))</f>
        <v/>
      </c>
      <c r="AK42" s="29">
        <f>IF(A42="","",((K42)*(IF(M42="",L42,IFERROR(IF(INDEX(Variablen!$I:$AT, MATCH(M42, Variablen!$A:$A, 0), MATCH((YEAR(D42)+18), Variablen!$I$3:$AT$3, 0))="",L42,INDEX(Variablen!$I:$AT, MATCH(M42, Variablen!$A:$A, 0), MATCH((YEAR(D42)+18), Variablen!$I$3:$AT$3, 0))),L42)))*(IF((YEAR(D42)+18)&lt;YEAR(E42),0,IF((YEAR(D42)+18)&gt;YEAR(E42),1,(12-MONTH(E42)+1)/12))) + (Q42)*(IF((YEAR(D42)+18)&lt;YEAR(E42),0,IF((YEAR(D42)+18)&gt;YEAR(E42),1,(12-MONTH(E42)+1)/12))))-((P42)*(IF((YEAR(D42)+18)&lt;YEAR(E42),0,IF((YEAR(D42)+18)&gt;YEAR(E42),1,(12-MONTH(E42)+1)/12))) + (R42)*(IF((YEAR(D42)+18)&lt;YEAR(E42),0,IF((YEAR(D42)+18)&gt;YEAR(E42),1,(12-MONTH(E42)+1)/12))))-(IF((((K42)*(IF(M42="",L42,IFERROR(IF(INDEX(Variablen!$I:$AT, MATCH(M42, Variablen!$A:$A, 0), MATCH((YEAR(D42)+18), Variablen!$I$3:$AT$3, 0))="",L42,INDEX(Variablen!$I:$AT, MATCH(M42, Variablen!$A:$A, 0), MATCH((YEAR(D42)+18), Variablen!$I$3:$AT$3, 0))),L42)))*(IF((YEAR(D42)+18)&lt;YEAR(E42),0,IF((YEAR(D42)+18)&gt;YEAR(E42),1,(12-MONTH(E42)+1)/12))) + (Q42)*(IF((YEAR(D42)+18)&lt;YEAR(E42),0,IF((YEAR(D42)+18)&gt;YEAR(E42),1,(12-MONTH(E42)+1)/12))))-((P42)*(IF((YEAR(D42)+18)&lt;YEAR(E42),0,IF((YEAR(D42)+18)&gt;YEAR(E42),1,(12-MONTH(E42)+1)/12))) + (R42)*(IF((YEAR(D42)+18)&lt;YEAR(E42),0,IF((YEAR(D42)+18)&gt;YEAR(E42),1,(12-MONTH(E42)+1)/12))))-(IF(OR(N42="",N42&lt;=0),0,(O42/N42)*(IF(OR(N42="",N42&lt;=0),0,IF((YEAR(D42)+18)&lt;YEAR(E42),0,IF((YEAR(D42)+18)&gt;=YEAR(E42)+N42,0,IF((YEAR(D42)+18)=YEAR(E42),(12-MONTH(E42)+1)/12,1))))))))&gt;0,(((K42)*(IF(M42="",L42,IFERROR(IF(INDEX(Variablen!$I:$AT, MATCH(M42, Variablen!$A:$A, 0), MATCH((YEAR(D42)+18), Variablen!$I$3:$AT$3, 0))="",L42,INDEX(Variablen!$I:$AT, MATCH(M42, Variablen!$A:$A, 0), MATCH((YEAR(D42)+18), Variablen!$I$3:$AT$3, 0))),L42)))*(IF((YEAR(D42)+18)&lt;YEAR(E42),0,IF((YEAR(D42)+18)&gt;YEAR(E42),1,(12-MONTH(E42)+1)/12))) + (Q42)*(IF((YEAR(D42)+18)&lt;YEAR(E42),0,IF((YEAR(D42)+18)&gt;YEAR(E42),1,(12-MONTH(E42)+1)/12))))-((P42)*(IF((YEAR(D42)+18)&lt;YEAR(E42),0,IF((YEAR(D42)+18)&gt;YEAR(E42),1,(12-MONTH(E42)+1)/12))) + (R42)*(IF((YEAR(D42)+18)&lt;YEAR(E42),0,IF((YEAR(D42)+18)&gt;YEAR(E42),1,(12-MONTH(E42)+1)/12))))-(IF(OR(N42="",N42&lt;=0),0,(O42/N42)*(IF(OR(N42="",N42&lt;=0),0,IF((YEAR(D42)+18)&lt;YEAR(E42),0,IF((YEAR(D42)+18)&gt;=YEAR(E42)+N42,0,IF((YEAR(D42)+18)=YEAR(E42),(12-MONTH(E42)+1)/12,1))))))))*TaxRate,0))-IF(18=0,O42,0))</f>
        <v/>
      </c>
      <c r="AL42" s="29">
        <f>IF(A42="","",((K42)*(IF(M42="",L42,IFERROR(IF(INDEX(Variablen!$I:$AT, MATCH(M42, Variablen!$A:$A, 0), MATCH((YEAR(D42)+19), Variablen!$I$3:$AT$3, 0))="",L42,INDEX(Variablen!$I:$AT, MATCH(M42, Variablen!$A:$A, 0), MATCH((YEAR(D42)+19), Variablen!$I$3:$AT$3, 0))),L42)))*(IF((YEAR(D42)+19)&lt;YEAR(E42),0,IF((YEAR(D42)+19)&gt;YEAR(E42),1,(12-MONTH(E42)+1)/12))) + (Q42)*(IF((YEAR(D42)+19)&lt;YEAR(E42),0,IF((YEAR(D42)+19)&gt;YEAR(E42),1,(12-MONTH(E42)+1)/12))))-((P42)*(IF((YEAR(D42)+19)&lt;YEAR(E42),0,IF((YEAR(D42)+19)&gt;YEAR(E42),1,(12-MONTH(E42)+1)/12))) + (R42)*(IF((YEAR(D42)+19)&lt;YEAR(E42),0,IF((YEAR(D42)+19)&gt;YEAR(E42),1,(12-MONTH(E42)+1)/12))))-(IF((((K42)*(IF(M42="",L42,IFERROR(IF(INDEX(Variablen!$I:$AT, MATCH(M42, Variablen!$A:$A, 0), MATCH((YEAR(D42)+19), Variablen!$I$3:$AT$3, 0))="",L42,INDEX(Variablen!$I:$AT, MATCH(M42, Variablen!$A:$A, 0), MATCH((YEAR(D42)+19), Variablen!$I$3:$AT$3, 0))),L42)))*(IF((YEAR(D42)+19)&lt;YEAR(E42),0,IF((YEAR(D42)+19)&gt;YEAR(E42),1,(12-MONTH(E42)+1)/12))) + (Q42)*(IF((YEAR(D42)+19)&lt;YEAR(E42),0,IF((YEAR(D42)+19)&gt;YEAR(E42),1,(12-MONTH(E42)+1)/12))))-((P42)*(IF((YEAR(D42)+19)&lt;YEAR(E42),0,IF((YEAR(D42)+19)&gt;YEAR(E42),1,(12-MONTH(E42)+1)/12))) + (R42)*(IF((YEAR(D42)+19)&lt;YEAR(E42),0,IF((YEAR(D42)+19)&gt;YEAR(E42),1,(12-MONTH(E42)+1)/12))))-(IF(OR(N42="",N42&lt;=0),0,(O42/N42)*(IF(OR(N42="",N42&lt;=0),0,IF((YEAR(D42)+19)&lt;YEAR(E42),0,IF((YEAR(D42)+19)&gt;=YEAR(E42)+N42,0,IF((YEAR(D42)+19)=YEAR(E42),(12-MONTH(E42)+1)/12,1))))))))&gt;0,(((K42)*(IF(M42="",L42,IFERROR(IF(INDEX(Variablen!$I:$AT, MATCH(M42, Variablen!$A:$A, 0), MATCH((YEAR(D42)+19), Variablen!$I$3:$AT$3, 0))="",L42,INDEX(Variablen!$I:$AT, MATCH(M42, Variablen!$A:$A, 0), MATCH((YEAR(D42)+19), Variablen!$I$3:$AT$3, 0))),L42)))*(IF((YEAR(D42)+19)&lt;YEAR(E42),0,IF((YEAR(D42)+19)&gt;YEAR(E42),1,(12-MONTH(E42)+1)/12))) + (Q42)*(IF((YEAR(D42)+19)&lt;YEAR(E42),0,IF((YEAR(D42)+19)&gt;YEAR(E42),1,(12-MONTH(E42)+1)/12))))-((P42)*(IF((YEAR(D42)+19)&lt;YEAR(E42),0,IF((YEAR(D42)+19)&gt;YEAR(E42),1,(12-MONTH(E42)+1)/12))) + (R42)*(IF((YEAR(D42)+19)&lt;YEAR(E42),0,IF((YEAR(D42)+19)&gt;YEAR(E42),1,(12-MONTH(E42)+1)/12))))-(IF(OR(N42="",N42&lt;=0),0,(O42/N42)*(IF(OR(N42="",N42&lt;=0),0,IF((YEAR(D42)+19)&lt;YEAR(E42),0,IF((YEAR(D42)+19)&gt;=YEAR(E42)+N42,0,IF((YEAR(D42)+19)=YEAR(E42),(12-MONTH(E42)+1)/12,1))))))))*TaxRate,0))-IF(19=0,O42,0))</f>
        <v/>
      </c>
      <c r="AM42" s="29">
        <f>IF(A42="","",((K42)*(IF(M42="",L42,IFERROR(IF(INDEX(Variablen!$I:$AT, MATCH(M42, Variablen!$A:$A, 0), MATCH((YEAR(D42)+20), Variablen!$I$3:$AT$3, 0))="",L42,INDEX(Variablen!$I:$AT, MATCH(M42, Variablen!$A:$A, 0), MATCH((YEAR(D42)+20), Variablen!$I$3:$AT$3, 0))),L42)))*(IF((YEAR(D42)+20)&lt;YEAR(E42),0,IF((YEAR(D42)+20)&gt;YEAR(E42),1,(12-MONTH(E42)+1)/12))) + (Q42)*(IF((YEAR(D42)+20)&lt;YEAR(E42),0,IF((YEAR(D42)+20)&gt;YEAR(E42),1,(12-MONTH(E42)+1)/12))))-((P42)*(IF((YEAR(D42)+20)&lt;YEAR(E42),0,IF((YEAR(D42)+20)&gt;YEAR(E42),1,(12-MONTH(E42)+1)/12))) + (R42)*(IF((YEAR(D42)+20)&lt;YEAR(E42),0,IF((YEAR(D42)+20)&gt;YEAR(E42),1,(12-MONTH(E42)+1)/12))))-(IF((((K42)*(IF(M42="",L42,IFERROR(IF(INDEX(Variablen!$I:$AT, MATCH(M42, Variablen!$A:$A, 0), MATCH((YEAR(D42)+20), Variablen!$I$3:$AT$3, 0))="",L42,INDEX(Variablen!$I:$AT, MATCH(M42, Variablen!$A:$A, 0), MATCH((YEAR(D42)+20), Variablen!$I$3:$AT$3, 0))),L42)))*(IF((YEAR(D42)+20)&lt;YEAR(E42),0,IF((YEAR(D42)+20)&gt;YEAR(E42),1,(12-MONTH(E42)+1)/12))) + (Q42)*(IF((YEAR(D42)+20)&lt;YEAR(E42),0,IF((YEAR(D42)+20)&gt;YEAR(E42),1,(12-MONTH(E42)+1)/12))))-((P42)*(IF((YEAR(D42)+20)&lt;YEAR(E42),0,IF((YEAR(D42)+20)&gt;YEAR(E42),1,(12-MONTH(E42)+1)/12))) + (R42)*(IF((YEAR(D42)+20)&lt;YEAR(E42),0,IF((YEAR(D42)+20)&gt;YEAR(E42),1,(12-MONTH(E42)+1)/12))))-(IF(OR(N42="",N42&lt;=0),0,(O42/N42)*(IF(OR(N42="",N42&lt;=0),0,IF((YEAR(D42)+20)&lt;YEAR(E42),0,IF((YEAR(D42)+20)&gt;=YEAR(E42)+N42,0,IF((YEAR(D42)+20)=YEAR(E42),(12-MONTH(E42)+1)/12,1))))))))&gt;0,(((K42)*(IF(M42="",L42,IFERROR(IF(INDEX(Variablen!$I:$AT, MATCH(M42, Variablen!$A:$A, 0), MATCH((YEAR(D42)+20), Variablen!$I$3:$AT$3, 0))="",L42,INDEX(Variablen!$I:$AT, MATCH(M42, Variablen!$A:$A, 0), MATCH((YEAR(D42)+20), Variablen!$I$3:$AT$3, 0))),L42)))*(IF((YEAR(D42)+20)&lt;YEAR(E42),0,IF((YEAR(D42)+20)&gt;YEAR(E42),1,(12-MONTH(E42)+1)/12))) + (Q42)*(IF((YEAR(D42)+20)&lt;YEAR(E42),0,IF((YEAR(D42)+20)&gt;YEAR(E42),1,(12-MONTH(E42)+1)/12))))-((P42)*(IF((YEAR(D42)+20)&lt;YEAR(E42),0,IF((YEAR(D42)+20)&gt;YEAR(E42),1,(12-MONTH(E42)+1)/12))) + (R42)*(IF((YEAR(D42)+20)&lt;YEAR(E42),0,IF((YEAR(D42)+20)&gt;YEAR(E42),1,(12-MONTH(E42)+1)/12))))-(IF(OR(N42="",N42&lt;=0),0,(O42/N42)*(IF(OR(N42="",N42&lt;=0),0,IF((YEAR(D42)+20)&lt;YEAR(E42),0,IF((YEAR(D42)+20)&gt;=YEAR(E42)+N42,0,IF((YEAR(D42)+20)=YEAR(E42),(12-MONTH(E42)+1)/12,1))))))))*TaxRate,0))-IF(20=0,O42,0))</f>
        <v/>
      </c>
      <c r="AN42" s="29">
        <f>IF(A42="","",S42)</f>
        <v/>
      </c>
      <c r="AO42" s="29">
        <f>IF(A42="","",AN42+T42)</f>
        <v/>
      </c>
      <c r="AP42" s="29">
        <f>IF(A42="","",AO42+U42)</f>
        <v/>
      </c>
      <c r="AQ42" s="29">
        <f>IF(A42="","",AP42+V42)</f>
        <v/>
      </c>
      <c r="AR42" s="29">
        <f>IF(A42="","",AQ42+W42)</f>
        <v/>
      </c>
      <c r="AS42" s="29">
        <f>IF(A42="","",AR42+X42)</f>
        <v/>
      </c>
      <c r="AT42" s="29">
        <f>IF(A42="","",AS42+Y42)</f>
        <v/>
      </c>
      <c r="AU42" s="29">
        <f>IF(A42="","",AT42+Z42)</f>
        <v/>
      </c>
      <c r="AV42" s="29">
        <f>IF(A42="","",AU42+AA42)</f>
        <v/>
      </c>
      <c r="AW42" s="29">
        <f>IF(A42="","",AV42+AB42)</f>
        <v/>
      </c>
      <c r="AX42" s="29">
        <f>IF(A42="","",AW42+AC42)</f>
        <v/>
      </c>
      <c r="AY42" s="29">
        <f>IF(A42="","",AX42+AD42)</f>
        <v/>
      </c>
      <c r="AZ42" s="29">
        <f>IF(A42="","",AY42+AE42)</f>
        <v/>
      </c>
      <c r="BA42" s="29">
        <f>IF(A42="","",AZ42+AF42)</f>
        <v/>
      </c>
      <c r="BB42" s="29">
        <f>IF(A42="","",BA42+AG42)</f>
        <v/>
      </c>
      <c r="BC42" s="29">
        <f>IF(A42="","",BB42+AH42)</f>
        <v/>
      </c>
      <c r="BD42" s="29">
        <f>IF(A42="","",BC42+AI42)</f>
        <v/>
      </c>
      <c r="BE42" s="29">
        <f>IF(A42="","",BD42+AJ42)</f>
        <v/>
      </c>
      <c r="BF42" s="29">
        <f>IF(A42="","",BE42+AK42)</f>
        <v/>
      </c>
      <c r="BG42" s="29">
        <f>IF(A42="","",BF42+AL42)</f>
        <v/>
      </c>
      <c r="BH42" s="29">
        <f>IF(A42="","",BG42+AM42)</f>
        <v/>
      </c>
      <c r="BI42" s="36">
        <f>IF(A42="","",(K42)*(IF((YEAR(D42)+0)&lt;YEAR(E42),0,IF((YEAR(D42)+0)&gt;YEAR(E42),1,(12-MONTH(E42)+1)/12)))*(1/(1+DiscountRate)^0))</f>
        <v/>
      </c>
      <c r="BJ42" s="36">
        <f>IF(A42="","",(K42)*(IF((YEAR(D42)+1)&lt;YEAR(E42),0,IF((YEAR(D42)+1)&gt;YEAR(E42),1,(12-MONTH(E42)+1)/12)))*(1/(1+DiscountRate)^1))</f>
        <v/>
      </c>
      <c r="BK42" s="36">
        <f>IF(A42="","",(K42)*(IF((YEAR(D42)+2)&lt;YEAR(E42),0,IF((YEAR(D42)+2)&gt;YEAR(E42),1,(12-MONTH(E42)+1)/12)))*(1/(1+DiscountRate)^2))</f>
        <v/>
      </c>
      <c r="BL42" s="36">
        <f>IF(A42="","",(K42)*(IF((YEAR(D42)+3)&lt;YEAR(E42),0,IF((YEAR(D42)+3)&gt;YEAR(E42),1,(12-MONTH(E42)+1)/12)))*(1/(1+DiscountRate)^3))</f>
        <v/>
      </c>
      <c r="BM42" s="36">
        <f>IF(A42="","",(K42)*(IF((YEAR(D42)+4)&lt;YEAR(E42),0,IF((YEAR(D42)+4)&gt;YEAR(E42),1,(12-MONTH(E42)+1)/12)))*(1/(1+DiscountRate)^4))</f>
        <v/>
      </c>
      <c r="BN42" s="36">
        <f>IF(A42="","",(K42)*(IF((YEAR(D42)+5)&lt;YEAR(E42),0,IF((YEAR(D42)+5)&gt;YEAR(E42),1,(12-MONTH(E42)+1)/12)))*(1/(1+DiscountRate)^5))</f>
        <v/>
      </c>
      <c r="BO42" s="36">
        <f>IF(A42="","",(K42)*(IF((YEAR(D42)+6)&lt;YEAR(E42),0,IF((YEAR(D42)+6)&gt;YEAR(E42),1,(12-MONTH(E42)+1)/12)))*(1/(1+DiscountRate)^6))</f>
        <v/>
      </c>
      <c r="BP42" s="36">
        <f>IF(A42="","",(K42)*(IF((YEAR(D42)+7)&lt;YEAR(E42),0,IF((YEAR(D42)+7)&gt;YEAR(E42),1,(12-MONTH(E42)+1)/12)))*(1/(1+DiscountRate)^7))</f>
        <v/>
      </c>
      <c r="BQ42" s="36">
        <f>IF(A42="","",(K42)*(IF((YEAR(D42)+8)&lt;YEAR(E42),0,IF((YEAR(D42)+8)&gt;YEAR(E42),1,(12-MONTH(E42)+1)/12)))*(1/(1+DiscountRate)^8))</f>
        <v/>
      </c>
      <c r="BR42" s="36">
        <f>IF(A42="","",(K42)*(IF((YEAR(D42)+9)&lt;YEAR(E42),0,IF((YEAR(D42)+9)&gt;YEAR(E42),1,(12-MONTH(E42)+1)/12)))*(1/(1+DiscountRate)^9))</f>
        <v/>
      </c>
      <c r="BS42" s="36">
        <f>IF(A42="","",(K42)*(IF((YEAR(D42)+10)&lt;YEAR(E42),0,IF((YEAR(D42)+10)&gt;YEAR(E42),1,(12-MONTH(E42)+1)/12)))*(1/(1+DiscountRate)^10))</f>
        <v/>
      </c>
      <c r="BT42" s="36">
        <f>IF(A42="","",(K42)*(IF((YEAR(D42)+11)&lt;YEAR(E42),0,IF((YEAR(D42)+11)&gt;YEAR(E42),1,(12-MONTH(E42)+1)/12)))*(1/(1+DiscountRate)^11))</f>
        <v/>
      </c>
      <c r="BU42" s="36">
        <f>IF(A42="","",(K42)*(IF((YEAR(D42)+12)&lt;YEAR(E42),0,IF((YEAR(D42)+12)&gt;YEAR(E42),1,(12-MONTH(E42)+1)/12)))*(1/(1+DiscountRate)^12))</f>
        <v/>
      </c>
      <c r="BV42" s="36">
        <f>IF(A42="","",(K42)*(IF((YEAR(D42)+13)&lt;YEAR(E42),0,IF((YEAR(D42)+13)&gt;YEAR(E42),1,(12-MONTH(E42)+1)/12)))*(1/(1+DiscountRate)^13))</f>
        <v/>
      </c>
      <c r="BW42" s="36">
        <f>IF(A42="","",(K42)*(IF((YEAR(D42)+14)&lt;YEAR(E42),0,IF((YEAR(D42)+14)&gt;YEAR(E42),1,(12-MONTH(E42)+1)/12)))*(1/(1+DiscountRate)^14))</f>
        <v/>
      </c>
      <c r="BX42" s="36">
        <f>IF(A42="","",(K42)*(IF((YEAR(D42)+15)&lt;YEAR(E42),0,IF((YEAR(D42)+15)&gt;YEAR(E42),1,(12-MONTH(E42)+1)/12)))*(1/(1+DiscountRate)^15))</f>
        <v/>
      </c>
      <c r="BY42" s="36">
        <f>IF(A42="","",(K42)*(IF((YEAR(D42)+16)&lt;YEAR(E42),0,IF((YEAR(D42)+16)&gt;YEAR(E42),1,(12-MONTH(E42)+1)/12)))*(1/(1+DiscountRate)^16))</f>
        <v/>
      </c>
      <c r="BZ42" s="36">
        <f>IF(A42="","",(K42)*(IF((YEAR(D42)+17)&lt;YEAR(E42),0,IF((YEAR(D42)+17)&gt;YEAR(E42),1,(12-MONTH(E42)+1)/12)))*(1/(1+DiscountRate)^17))</f>
        <v/>
      </c>
      <c r="CA42" s="36">
        <f>IF(A42="","",(K42)*(IF((YEAR(D42)+18)&lt;YEAR(E42),0,IF((YEAR(D42)+18)&gt;YEAR(E42),1,(12-MONTH(E42)+1)/12)))*(1/(1+DiscountRate)^18))</f>
        <v/>
      </c>
      <c r="CB42" s="36">
        <f>IF(A42="","",(K42)*(IF((YEAR(D42)+19)&lt;YEAR(E42),0,IF((YEAR(D42)+19)&gt;YEAR(E42),1,(12-MONTH(E42)+1)/12)))*(1/(1+DiscountRate)^19))</f>
        <v/>
      </c>
      <c r="CC42" s="36">
        <f>IF(A42="","",(K42)*(IF((YEAR(D42)+20)&lt;YEAR(E42),0,IF((YEAR(D42)+20)&gt;YEAR(E42),1,(12-MONTH(E42)+1)/12)))*(1/(1+DiscountRate)^20))</f>
        <v/>
      </c>
      <c r="CD42" s="29">
        <f>IF(A42="","",S42/(1+DiscountRate)^0+T42/(1+DiscountRate)^1+U42/(1+DiscountRate)^2+V42/(1+DiscountRate)^3+W42/(1+DiscountRate)^4+X42/(1+DiscountRate)^5+Y42/(1+DiscountRate)^6+Z42/(1+DiscountRate)^7+AA42/(1+DiscountRate)^8+AB42/(1+DiscountRate)^9+AC42/(1+DiscountRate)^10+AD42/(1+DiscountRate)^11+AE42/(1+DiscountRate)^12+AF42/(1+DiscountRate)^13+AG42/(1+DiscountRate)^14+AH42/(1+DiscountRate)^15+AI42/(1+DiscountRate)^16+AJ42/(1+DiscountRate)^17+AK42/(1+DiscountRate)^18+AL42/(1+DiscountRate)^19+AM42/(1+DiscountRate)^20)</f>
        <v/>
      </c>
      <c r="CE42" s="37">
        <f>IF(A42="","",IFERROR(IRR(OFFSET(S42,0,0,1,MIN(HorizonYears,20)+1)),"n/a"))</f>
        <v/>
      </c>
      <c r="CF42" s="28">
        <f>IF(A42="","",IFERROR(MATCH(TRUE,OFFSET(AN42,0,0,1,MIN(HorizonYears,20)+1)&gt;=0,0)-1,"n/a"))</f>
        <v/>
      </c>
      <c r="CG42" s="36">
        <f>IF(A42="","",SUM(OFFSET(BI42,0,0,1,MIN(HorizonYears,20)+1)))</f>
        <v/>
      </c>
      <c r="CH42" s="36">
        <f>IF(A42="","",IFERROR(-CD42/CG42,"n/a"))</f>
        <v/>
      </c>
    </row>
    <row r="43">
      <c r="A43" s="6">
        <f>Actions!A41</f>
        <v/>
      </c>
      <c r="B43" s="6">
        <f>Actions!B41</f>
        <v/>
      </c>
      <c r="C43" s="6">
        <f>Actions!D41</f>
        <v/>
      </c>
      <c r="D43" s="35">
        <f>Actions!E41</f>
        <v/>
      </c>
      <c r="E43" s="35">
        <f>Actions!F41</f>
        <v/>
      </c>
      <c r="F43" s="6">
        <f>Actions!G41</f>
        <v/>
      </c>
      <c r="G43" s="6">
        <f>Actions!H41</f>
        <v/>
      </c>
      <c r="H43" s="29">
        <f>Actions!I41</f>
        <v/>
      </c>
      <c r="I43" s="6">
        <f>Actions!J41</f>
        <v/>
      </c>
      <c r="J43" s="16">
        <f>Actions!K41</f>
        <v/>
      </c>
      <c r="K43" s="16">
        <f>IF(A43="","",IF(I43="%",H43*J43,J43))</f>
        <v/>
      </c>
      <c r="L43" s="16">
        <f>Actions!L41</f>
        <v/>
      </c>
      <c r="M43" s="6">
        <f>Actions!M41</f>
        <v/>
      </c>
      <c r="N43" s="28">
        <f>Actions!N41</f>
        <v/>
      </c>
      <c r="O43" s="29">
        <f>Actions!T41</f>
        <v/>
      </c>
      <c r="P43" s="29">
        <f>Actions!Y41</f>
        <v/>
      </c>
      <c r="Q43" s="29">
        <f>Actions!Z41</f>
        <v/>
      </c>
      <c r="R43" s="29">
        <f>Actions!AA41</f>
        <v/>
      </c>
      <c r="S43" s="29">
        <f>IF(A43="","",((K43)*(IF(M43="",L43,IFERROR(IF(INDEX(Variablen!$I:$AT, MATCH(M43, Variablen!$A:$A, 0), MATCH((YEAR(D43)+0), Variablen!$I$3:$AT$3, 0))="",L43,INDEX(Variablen!$I:$AT, MATCH(M43, Variablen!$A:$A, 0), MATCH((YEAR(D43)+0), Variablen!$I$3:$AT$3, 0))),L43)))*(IF((YEAR(D43)+0)&lt;YEAR(E43),0,IF((YEAR(D43)+0)&gt;YEAR(E43),1,(12-MONTH(E43)+1)/12))) + (Q43)*(IF((YEAR(D43)+0)&lt;YEAR(E43),0,IF((YEAR(D43)+0)&gt;YEAR(E43),1,(12-MONTH(E43)+1)/12))))-((P43)*(IF((YEAR(D43)+0)&lt;YEAR(E43),0,IF((YEAR(D43)+0)&gt;YEAR(E43),1,(12-MONTH(E43)+1)/12))) + (R43)*(IF((YEAR(D43)+0)&lt;YEAR(E43),0,IF((YEAR(D43)+0)&gt;YEAR(E43),1,(12-MONTH(E43)+1)/12))))-(IF((((K43)*(IF(M43="",L43,IFERROR(IF(INDEX(Variablen!$I:$AT, MATCH(M43, Variablen!$A:$A, 0), MATCH((YEAR(D43)+0), Variablen!$I$3:$AT$3, 0))="",L43,INDEX(Variablen!$I:$AT, MATCH(M43, Variablen!$A:$A, 0), MATCH((YEAR(D43)+0), Variablen!$I$3:$AT$3, 0))),L43)))*(IF((YEAR(D43)+0)&lt;YEAR(E43),0,IF((YEAR(D43)+0)&gt;YEAR(E43),1,(12-MONTH(E43)+1)/12))) + (Q43)*(IF((YEAR(D43)+0)&lt;YEAR(E43),0,IF((YEAR(D43)+0)&gt;YEAR(E43),1,(12-MONTH(E43)+1)/12))))-((P43)*(IF((YEAR(D43)+0)&lt;YEAR(E43),0,IF((YEAR(D43)+0)&gt;YEAR(E43),1,(12-MONTH(E43)+1)/12))) + (R43)*(IF((YEAR(D43)+0)&lt;YEAR(E43),0,IF((YEAR(D43)+0)&gt;YEAR(E43),1,(12-MONTH(E43)+1)/12))))-(IF(OR(N43="",N43&lt;=0),0,(O43/N43)*(IF(OR(N43="",N43&lt;=0),0,IF((YEAR(D43)+0)&lt;YEAR(E43),0,IF((YEAR(D43)+0)&gt;=YEAR(E43)+N43,0,IF((YEAR(D43)+0)=YEAR(E43),(12-MONTH(E43)+1)/12,1))))))))&gt;0,(((K43)*(IF(M43="",L43,IFERROR(IF(INDEX(Variablen!$I:$AT, MATCH(M43, Variablen!$A:$A, 0), MATCH((YEAR(D43)+0), Variablen!$I$3:$AT$3, 0))="",L43,INDEX(Variablen!$I:$AT, MATCH(M43, Variablen!$A:$A, 0), MATCH((YEAR(D43)+0), Variablen!$I$3:$AT$3, 0))),L43)))*(IF((YEAR(D43)+0)&lt;YEAR(E43),0,IF((YEAR(D43)+0)&gt;YEAR(E43),1,(12-MONTH(E43)+1)/12))) + (Q43)*(IF((YEAR(D43)+0)&lt;YEAR(E43),0,IF((YEAR(D43)+0)&gt;YEAR(E43),1,(12-MONTH(E43)+1)/12))))-((P43)*(IF((YEAR(D43)+0)&lt;YEAR(E43),0,IF((YEAR(D43)+0)&gt;YEAR(E43),1,(12-MONTH(E43)+1)/12))) + (R43)*(IF((YEAR(D43)+0)&lt;YEAR(E43),0,IF((YEAR(D43)+0)&gt;YEAR(E43),1,(12-MONTH(E43)+1)/12))))-(IF(OR(N43="",N43&lt;=0),0,(O43/N43)*(IF(OR(N43="",N43&lt;=0),0,IF((YEAR(D43)+0)&lt;YEAR(E43),0,IF((YEAR(D43)+0)&gt;=YEAR(E43)+N43,0,IF((YEAR(D43)+0)=YEAR(E43),(12-MONTH(E43)+1)/12,1))))))))*TaxRate,0))-IF(0=0,O43,0))</f>
        <v/>
      </c>
      <c r="T43" s="29">
        <f>IF(A43="","",((K43)*(IF(M43="",L43,IFERROR(IF(INDEX(Variablen!$I:$AT, MATCH(M43, Variablen!$A:$A, 0), MATCH((YEAR(D43)+1), Variablen!$I$3:$AT$3, 0))="",L43,INDEX(Variablen!$I:$AT, MATCH(M43, Variablen!$A:$A, 0), MATCH((YEAR(D43)+1), Variablen!$I$3:$AT$3, 0))),L43)))*(IF((YEAR(D43)+1)&lt;YEAR(E43),0,IF((YEAR(D43)+1)&gt;YEAR(E43),1,(12-MONTH(E43)+1)/12))) + (Q43)*(IF((YEAR(D43)+1)&lt;YEAR(E43),0,IF((YEAR(D43)+1)&gt;YEAR(E43),1,(12-MONTH(E43)+1)/12))))-((P43)*(IF((YEAR(D43)+1)&lt;YEAR(E43),0,IF((YEAR(D43)+1)&gt;YEAR(E43),1,(12-MONTH(E43)+1)/12))) + (R43)*(IF((YEAR(D43)+1)&lt;YEAR(E43),0,IF((YEAR(D43)+1)&gt;YEAR(E43),1,(12-MONTH(E43)+1)/12))))-(IF((((K43)*(IF(M43="",L43,IFERROR(IF(INDEX(Variablen!$I:$AT, MATCH(M43, Variablen!$A:$A, 0), MATCH((YEAR(D43)+1), Variablen!$I$3:$AT$3, 0))="",L43,INDEX(Variablen!$I:$AT, MATCH(M43, Variablen!$A:$A, 0), MATCH((YEAR(D43)+1), Variablen!$I$3:$AT$3, 0))),L43)))*(IF((YEAR(D43)+1)&lt;YEAR(E43),0,IF((YEAR(D43)+1)&gt;YEAR(E43),1,(12-MONTH(E43)+1)/12))) + (Q43)*(IF((YEAR(D43)+1)&lt;YEAR(E43),0,IF((YEAR(D43)+1)&gt;YEAR(E43),1,(12-MONTH(E43)+1)/12))))-((P43)*(IF((YEAR(D43)+1)&lt;YEAR(E43),0,IF((YEAR(D43)+1)&gt;YEAR(E43),1,(12-MONTH(E43)+1)/12))) + (R43)*(IF((YEAR(D43)+1)&lt;YEAR(E43),0,IF((YEAR(D43)+1)&gt;YEAR(E43),1,(12-MONTH(E43)+1)/12))))-(IF(OR(N43="",N43&lt;=0),0,(O43/N43)*(IF(OR(N43="",N43&lt;=0),0,IF((YEAR(D43)+1)&lt;YEAR(E43),0,IF((YEAR(D43)+1)&gt;=YEAR(E43)+N43,0,IF((YEAR(D43)+1)=YEAR(E43),(12-MONTH(E43)+1)/12,1))))))))&gt;0,(((K43)*(IF(M43="",L43,IFERROR(IF(INDEX(Variablen!$I:$AT, MATCH(M43, Variablen!$A:$A, 0), MATCH((YEAR(D43)+1), Variablen!$I$3:$AT$3, 0))="",L43,INDEX(Variablen!$I:$AT, MATCH(M43, Variablen!$A:$A, 0), MATCH((YEAR(D43)+1), Variablen!$I$3:$AT$3, 0))),L43)))*(IF((YEAR(D43)+1)&lt;YEAR(E43),0,IF((YEAR(D43)+1)&gt;YEAR(E43),1,(12-MONTH(E43)+1)/12))) + (Q43)*(IF((YEAR(D43)+1)&lt;YEAR(E43),0,IF((YEAR(D43)+1)&gt;YEAR(E43),1,(12-MONTH(E43)+1)/12))))-((P43)*(IF((YEAR(D43)+1)&lt;YEAR(E43),0,IF((YEAR(D43)+1)&gt;YEAR(E43),1,(12-MONTH(E43)+1)/12))) + (R43)*(IF((YEAR(D43)+1)&lt;YEAR(E43),0,IF((YEAR(D43)+1)&gt;YEAR(E43),1,(12-MONTH(E43)+1)/12))))-(IF(OR(N43="",N43&lt;=0),0,(O43/N43)*(IF(OR(N43="",N43&lt;=0),0,IF((YEAR(D43)+1)&lt;YEAR(E43),0,IF((YEAR(D43)+1)&gt;=YEAR(E43)+N43,0,IF((YEAR(D43)+1)=YEAR(E43),(12-MONTH(E43)+1)/12,1))))))))*TaxRate,0))-IF(1=0,O43,0))</f>
        <v/>
      </c>
      <c r="U43" s="29">
        <f>IF(A43="","",((K43)*(IF(M43="",L43,IFERROR(IF(INDEX(Variablen!$I:$AT, MATCH(M43, Variablen!$A:$A, 0), MATCH((YEAR(D43)+2), Variablen!$I$3:$AT$3, 0))="",L43,INDEX(Variablen!$I:$AT, MATCH(M43, Variablen!$A:$A, 0), MATCH((YEAR(D43)+2), Variablen!$I$3:$AT$3, 0))),L43)))*(IF((YEAR(D43)+2)&lt;YEAR(E43),0,IF((YEAR(D43)+2)&gt;YEAR(E43),1,(12-MONTH(E43)+1)/12))) + (Q43)*(IF((YEAR(D43)+2)&lt;YEAR(E43),0,IF((YEAR(D43)+2)&gt;YEAR(E43),1,(12-MONTH(E43)+1)/12))))-((P43)*(IF((YEAR(D43)+2)&lt;YEAR(E43),0,IF((YEAR(D43)+2)&gt;YEAR(E43),1,(12-MONTH(E43)+1)/12))) + (R43)*(IF((YEAR(D43)+2)&lt;YEAR(E43),0,IF((YEAR(D43)+2)&gt;YEAR(E43),1,(12-MONTH(E43)+1)/12))))-(IF((((K43)*(IF(M43="",L43,IFERROR(IF(INDEX(Variablen!$I:$AT, MATCH(M43, Variablen!$A:$A, 0), MATCH((YEAR(D43)+2), Variablen!$I$3:$AT$3, 0))="",L43,INDEX(Variablen!$I:$AT, MATCH(M43, Variablen!$A:$A, 0), MATCH((YEAR(D43)+2), Variablen!$I$3:$AT$3, 0))),L43)))*(IF((YEAR(D43)+2)&lt;YEAR(E43),0,IF((YEAR(D43)+2)&gt;YEAR(E43),1,(12-MONTH(E43)+1)/12))) + (Q43)*(IF((YEAR(D43)+2)&lt;YEAR(E43),0,IF((YEAR(D43)+2)&gt;YEAR(E43),1,(12-MONTH(E43)+1)/12))))-((P43)*(IF((YEAR(D43)+2)&lt;YEAR(E43),0,IF((YEAR(D43)+2)&gt;YEAR(E43),1,(12-MONTH(E43)+1)/12))) + (R43)*(IF((YEAR(D43)+2)&lt;YEAR(E43),0,IF((YEAR(D43)+2)&gt;YEAR(E43),1,(12-MONTH(E43)+1)/12))))-(IF(OR(N43="",N43&lt;=0),0,(O43/N43)*(IF(OR(N43="",N43&lt;=0),0,IF((YEAR(D43)+2)&lt;YEAR(E43),0,IF((YEAR(D43)+2)&gt;=YEAR(E43)+N43,0,IF((YEAR(D43)+2)=YEAR(E43),(12-MONTH(E43)+1)/12,1))))))))&gt;0,(((K43)*(IF(M43="",L43,IFERROR(IF(INDEX(Variablen!$I:$AT, MATCH(M43, Variablen!$A:$A, 0), MATCH((YEAR(D43)+2), Variablen!$I$3:$AT$3, 0))="",L43,INDEX(Variablen!$I:$AT, MATCH(M43, Variablen!$A:$A, 0), MATCH((YEAR(D43)+2), Variablen!$I$3:$AT$3, 0))),L43)))*(IF((YEAR(D43)+2)&lt;YEAR(E43),0,IF((YEAR(D43)+2)&gt;YEAR(E43),1,(12-MONTH(E43)+1)/12))) + (Q43)*(IF((YEAR(D43)+2)&lt;YEAR(E43),0,IF((YEAR(D43)+2)&gt;YEAR(E43),1,(12-MONTH(E43)+1)/12))))-((P43)*(IF((YEAR(D43)+2)&lt;YEAR(E43),0,IF((YEAR(D43)+2)&gt;YEAR(E43),1,(12-MONTH(E43)+1)/12))) + (R43)*(IF((YEAR(D43)+2)&lt;YEAR(E43),0,IF((YEAR(D43)+2)&gt;YEAR(E43),1,(12-MONTH(E43)+1)/12))))-(IF(OR(N43="",N43&lt;=0),0,(O43/N43)*(IF(OR(N43="",N43&lt;=0),0,IF((YEAR(D43)+2)&lt;YEAR(E43),0,IF((YEAR(D43)+2)&gt;=YEAR(E43)+N43,0,IF((YEAR(D43)+2)=YEAR(E43),(12-MONTH(E43)+1)/12,1))))))))*TaxRate,0))-IF(2=0,O43,0))</f>
        <v/>
      </c>
      <c r="V43" s="29">
        <f>IF(A43="","",((K43)*(IF(M43="",L43,IFERROR(IF(INDEX(Variablen!$I:$AT, MATCH(M43, Variablen!$A:$A, 0), MATCH((YEAR(D43)+3), Variablen!$I$3:$AT$3, 0))="",L43,INDEX(Variablen!$I:$AT, MATCH(M43, Variablen!$A:$A, 0), MATCH((YEAR(D43)+3), Variablen!$I$3:$AT$3, 0))),L43)))*(IF((YEAR(D43)+3)&lt;YEAR(E43),0,IF((YEAR(D43)+3)&gt;YEAR(E43),1,(12-MONTH(E43)+1)/12))) + (Q43)*(IF((YEAR(D43)+3)&lt;YEAR(E43),0,IF((YEAR(D43)+3)&gt;YEAR(E43),1,(12-MONTH(E43)+1)/12))))-((P43)*(IF((YEAR(D43)+3)&lt;YEAR(E43),0,IF((YEAR(D43)+3)&gt;YEAR(E43),1,(12-MONTH(E43)+1)/12))) + (R43)*(IF((YEAR(D43)+3)&lt;YEAR(E43),0,IF((YEAR(D43)+3)&gt;YEAR(E43),1,(12-MONTH(E43)+1)/12))))-(IF((((K43)*(IF(M43="",L43,IFERROR(IF(INDEX(Variablen!$I:$AT, MATCH(M43, Variablen!$A:$A, 0), MATCH((YEAR(D43)+3), Variablen!$I$3:$AT$3, 0))="",L43,INDEX(Variablen!$I:$AT, MATCH(M43, Variablen!$A:$A, 0), MATCH((YEAR(D43)+3), Variablen!$I$3:$AT$3, 0))),L43)))*(IF((YEAR(D43)+3)&lt;YEAR(E43),0,IF((YEAR(D43)+3)&gt;YEAR(E43),1,(12-MONTH(E43)+1)/12))) + (Q43)*(IF((YEAR(D43)+3)&lt;YEAR(E43),0,IF((YEAR(D43)+3)&gt;YEAR(E43),1,(12-MONTH(E43)+1)/12))))-((P43)*(IF((YEAR(D43)+3)&lt;YEAR(E43),0,IF((YEAR(D43)+3)&gt;YEAR(E43),1,(12-MONTH(E43)+1)/12))) + (R43)*(IF((YEAR(D43)+3)&lt;YEAR(E43),0,IF((YEAR(D43)+3)&gt;YEAR(E43),1,(12-MONTH(E43)+1)/12))))-(IF(OR(N43="",N43&lt;=0),0,(O43/N43)*(IF(OR(N43="",N43&lt;=0),0,IF((YEAR(D43)+3)&lt;YEAR(E43),0,IF((YEAR(D43)+3)&gt;=YEAR(E43)+N43,0,IF((YEAR(D43)+3)=YEAR(E43),(12-MONTH(E43)+1)/12,1))))))))&gt;0,(((K43)*(IF(M43="",L43,IFERROR(IF(INDEX(Variablen!$I:$AT, MATCH(M43, Variablen!$A:$A, 0), MATCH((YEAR(D43)+3), Variablen!$I$3:$AT$3, 0))="",L43,INDEX(Variablen!$I:$AT, MATCH(M43, Variablen!$A:$A, 0), MATCH((YEAR(D43)+3), Variablen!$I$3:$AT$3, 0))),L43)))*(IF((YEAR(D43)+3)&lt;YEAR(E43),0,IF((YEAR(D43)+3)&gt;YEAR(E43),1,(12-MONTH(E43)+1)/12))) + (Q43)*(IF((YEAR(D43)+3)&lt;YEAR(E43),0,IF((YEAR(D43)+3)&gt;YEAR(E43),1,(12-MONTH(E43)+1)/12))))-((P43)*(IF((YEAR(D43)+3)&lt;YEAR(E43),0,IF((YEAR(D43)+3)&gt;YEAR(E43),1,(12-MONTH(E43)+1)/12))) + (R43)*(IF((YEAR(D43)+3)&lt;YEAR(E43),0,IF((YEAR(D43)+3)&gt;YEAR(E43),1,(12-MONTH(E43)+1)/12))))-(IF(OR(N43="",N43&lt;=0),0,(O43/N43)*(IF(OR(N43="",N43&lt;=0),0,IF((YEAR(D43)+3)&lt;YEAR(E43),0,IF((YEAR(D43)+3)&gt;=YEAR(E43)+N43,0,IF((YEAR(D43)+3)=YEAR(E43),(12-MONTH(E43)+1)/12,1))))))))*TaxRate,0))-IF(3=0,O43,0))</f>
        <v/>
      </c>
      <c r="W43" s="29">
        <f>IF(A43="","",((K43)*(IF(M43="",L43,IFERROR(IF(INDEX(Variablen!$I:$AT, MATCH(M43, Variablen!$A:$A, 0), MATCH((YEAR(D43)+4), Variablen!$I$3:$AT$3, 0))="",L43,INDEX(Variablen!$I:$AT, MATCH(M43, Variablen!$A:$A, 0), MATCH((YEAR(D43)+4), Variablen!$I$3:$AT$3, 0))),L43)))*(IF((YEAR(D43)+4)&lt;YEAR(E43),0,IF((YEAR(D43)+4)&gt;YEAR(E43),1,(12-MONTH(E43)+1)/12))) + (Q43)*(IF((YEAR(D43)+4)&lt;YEAR(E43),0,IF((YEAR(D43)+4)&gt;YEAR(E43),1,(12-MONTH(E43)+1)/12))))-((P43)*(IF((YEAR(D43)+4)&lt;YEAR(E43),0,IF((YEAR(D43)+4)&gt;YEAR(E43),1,(12-MONTH(E43)+1)/12))) + (R43)*(IF((YEAR(D43)+4)&lt;YEAR(E43),0,IF((YEAR(D43)+4)&gt;YEAR(E43),1,(12-MONTH(E43)+1)/12))))-(IF((((K43)*(IF(M43="",L43,IFERROR(IF(INDEX(Variablen!$I:$AT, MATCH(M43, Variablen!$A:$A, 0), MATCH((YEAR(D43)+4), Variablen!$I$3:$AT$3, 0))="",L43,INDEX(Variablen!$I:$AT, MATCH(M43, Variablen!$A:$A, 0), MATCH((YEAR(D43)+4), Variablen!$I$3:$AT$3, 0))),L43)))*(IF((YEAR(D43)+4)&lt;YEAR(E43),0,IF((YEAR(D43)+4)&gt;YEAR(E43),1,(12-MONTH(E43)+1)/12))) + (Q43)*(IF((YEAR(D43)+4)&lt;YEAR(E43),0,IF((YEAR(D43)+4)&gt;YEAR(E43),1,(12-MONTH(E43)+1)/12))))-((P43)*(IF((YEAR(D43)+4)&lt;YEAR(E43),0,IF((YEAR(D43)+4)&gt;YEAR(E43),1,(12-MONTH(E43)+1)/12))) + (R43)*(IF((YEAR(D43)+4)&lt;YEAR(E43),0,IF((YEAR(D43)+4)&gt;YEAR(E43),1,(12-MONTH(E43)+1)/12))))-(IF(OR(N43="",N43&lt;=0),0,(O43/N43)*(IF(OR(N43="",N43&lt;=0),0,IF((YEAR(D43)+4)&lt;YEAR(E43),0,IF((YEAR(D43)+4)&gt;=YEAR(E43)+N43,0,IF((YEAR(D43)+4)=YEAR(E43),(12-MONTH(E43)+1)/12,1))))))))&gt;0,(((K43)*(IF(M43="",L43,IFERROR(IF(INDEX(Variablen!$I:$AT, MATCH(M43, Variablen!$A:$A, 0), MATCH((YEAR(D43)+4), Variablen!$I$3:$AT$3, 0))="",L43,INDEX(Variablen!$I:$AT, MATCH(M43, Variablen!$A:$A, 0), MATCH((YEAR(D43)+4), Variablen!$I$3:$AT$3, 0))),L43)))*(IF((YEAR(D43)+4)&lt;YEAR(E43),0,IF((YEAR(D43)+4)&gt;YEAR(E43),1,(12-MONTH(E43)+1)/12))) + (Q43)*(IF((YEAR(D43)+4)&lt;YEAR(E43),0,IF((YEAR(D43)+4)&gt;YEAR(E43),1,(12-MONTH(E43)+1)/12))))-((P43)*(IF((YEAR(D43)+4)&lt;YEAR(E43),0,IF((YEAR(D43)+4)&gt;YEAR(E43),1,(12-MONTH(E43)+1)/12))) + (R43)*(IF((YEAR(D43)+4)&lt;YEAR(E43),0,IF((YEAR(D43)+4)&gt;YEAR(E43),1,(12-MONTH(E43)+1)/12))))-(IF(OR(N43="",N43&lt;=0),0,(O43/N43)*(IF(OR(N43="",N43&lt;=0),0,IF((YEAR(D43)+4)&lt;YEAR(E43),0,IF((YEAR(D43)+4)&gt;=YEAR(E43)+N43,0,IF((YEAR(D43)+4)=YEAR(E43),(12-MONTH(E43)+1)/12,1))))))))*TaxRate,0))-IF(4=0,O43,0))</f>
        <v/>
      </c>
      <c r="X43" s="29">
        <f>IF(A43="","",((K43)*(IF(M43="",L43,IFERROR(IF(INDEX(Variablen!$I:$AT, MATCH(M43, Variablen!$A:$A, 0), MATCH((YEAR(D43)+5), Variablen!$I$3:$AT$3, 0))="",L43,INDEX(Variablen!$I:$AT, MATCH(M43, Variablen!$A:$A, 0), MATCH((YEAR(D43)+5), Variablen!$I$3:$AT$3, 0))),L43)))*(IF((YEAR(D43)+5)&lt;YEAR(E43),0,IF((YEAR(D43)+5)&gt;YEAR(E43),1,(12-MONTH(E43)+1)/12))) + (Q43)*(IF((YEAR(D43)+5)&lt;YEAR(E43),0,IF((YEAR(D43)+5)&gt;YEAR(E43),1,(12-MONTH(E43)+1)/12))))-((P43)*(IF((YEAR(D43)+5)&lt;YEAR(E43),0,IF((YEAR(D43)+5)&gt;YEAR(E43),1,(12-MONTH(E43)+1)/12))) + (R43)*(IF((YEAR(D43)+5)&lt;YEAR(E43),0,IF((YEAR(D43)+5)&gt;YEAR(E43),1,(12-MONTH(E43)+1)/12))))-(IF((((K43)*(IF(M43="",L43,IFERROR(IF(INDEX(Variablen!$I:$AT, MATCH(M43, Variablen!$A:$A, 0), MATCH((YEAR(D43)+5), Variablen!$I$3:$AT$3, 0))="",L43,INDEX(Variablen!$I:$AT, MATCH(M43, Variablen!$A:$A, 0), MATCH((YEAR(D43)+5), Variablen!$I$3:$AT$3, 0))),L43)))*(IF((YEAR(D43)+5)&lt;YEAR(E43),0,IF((YEAR(D43)+5)&gt;YEAR(E43),1,(12-MONTH(E43)+1)/12))) + (Q43)*(IF((YEAR(D43)+5)&lt;YEAR(E43),0,IF((YEAR(D43)+5)&gt;YEAR(E43),1,(12-MONTH(E43)+1)/12))))-((P43)*(IF((YEAR(D43)+5)&lt;YEAR(E43),0,IF((YEAR(D43)+5)&gt;YEAR(E43),1,(12-MONTH(E43)+1)/12))) + (R43)*(IF((YEAR(D43)+5)&lt;YEAR(E43),0,IF((YEAR(D43)+5)&gt;YEAR(E43),1,(12-MONTH(E43)+1)/12))))-(IF(OR(N43="",N43&lt;=0),0,(O43/N43)*(IF(OR(N43="",N43&lt;=0),0,IF((YEAR(D43)+5)&lt;YEAR(E43),0,IF((YEAR(D43)+5)&gt;=YEAR(E43)+N43,0,IF((YEAR(D43)+5)=YEAR(E43),(12-MONTH(E43)+1)/12,1))))))))&gt;0,(((K43)*(IF(M43="",L43,IFERROR(IF(INDEX(Variablen!$I:$AT, MATCH(M43, Variablen!$A:$A, 0), MATCH((YEAR(D43)+5), Variablen!$I$3:$AT$3, 0))="",L43,INDEX(Variablen!$I:$AT, MATCH(M43, Variablen!$A:$A, 0), MATCH((YEAR(D43)+5), Variablen!$I$3:$AT$3, 0))),L43)))*(IF((YEAR(D43)+5)&lt;YEAR(E43),0,IF((YEAR(D43)+5)&gt;YEAR(E43),1,(12-MONTH(E43)+1)/12))) + (Q43)*(IF((YEAR(D43)+5)&lt;YEAR(E43),0,IF((YEAR(D43)+5)&gt;YEAR(E43),1,(12-MONTH(E43)+1)/12))))-((P43)*(IF((YEAR(D43)+5)&lt;YEAR(E43),0,IF((YEAR(D43)+5)&gt;YEAR(E43),1,(12-MONTH(E43)+1)/12))) + (R43)*(IF((YEAR(D43)+5)&lt;YEAR(E43),0,IF((YEAR(D43)+5)&gt;YEAR(E43),1,(12-MONTH(E43)+1)/12))))-(IF(OR(N43="",N43&lt;=0),0,(O43/N43)*(IF(OR(N43="",N43&lt;=0),0,IF((YEAR(D43)+5)&lt;YEAR(E43),0,IF((YEAR(D43)+5)&gt;=YEAR(E43)+N43,0,IF((YEAR(D43)+5)=YEAR(E43),(12-MONTH(E43)+1)/12,1))))))))*TaxRate,0))-IF(5=0,O43,0))</f>
        <v/>
      </c>
      <c r="Y43" s="29">
        <f>IF(A43="","",((K43)*(IF(M43="",L43,IFERROR(IF(INDEX(Variablen!$I:$AT, MATCH(M43, Variablen!$A:$A, 0), MATCH((YEAR(D43)+6), Variablen!$I$3:$AT$3, 0))="",L43,INDEX(Variablen!$I:$AT, MATCH(M43, Variablen!$A:$A, 0), MATCH((YEAR(D43)+6), Variablen!$I$3:$AT$3, 0))),L43)))*(IF((YEAR(D43)+6)&lt;YEAR(E43),0,IF((YEAR(D43)+6)&gt;YEAR(E43),1,(12-MONTH(E43)+1)/12))) + (Q43)*(IF((YEAR(D43)+6)&lt;YEAR(E43),0,IF((YEAR(D43)+6)&gt;YEAR(E43),1,(12-MONTH(E43)+1)/12))))-((P43)*(IF((YEAR(D43)+6)&lt;YEAR(E43),0,IF((YEAR(D43)+6)&gt;YEAR(E43),1,(12-MONTH(E43)+1)/12))) + (R43)*(IF((YEAR(D43)+6)&lt;YEAR(E43),0,IF((YEAR(D43)+6)&gt;YEAR(E43),1,(12-MONTH(E43)+1)/12))))-(IF((((K43)*(IF(M43="",L43,IFERROR(IF(INDEX(Variablen!$I:$AT, MATCH(M43, Variablen!$A:$A, 0), MATCH((YEAR(D43)+6), Variablen!$I$3:$AT$3, 0))="",L43,INDEX(Variablen!$I:$AT, MATCH(M43, Variablen!$A:$A, 0), MATCH((YEAR(D43)+6), Variablen!$I$3:$AT$3, 0))),L43)))*(IF((YEAR(D43)+6)&lt;YEAR(E43),0,IF((YEAR(D43)+6)&gt;YEAR(E43),1,(12-MONTH(E43)+1)/12))) + (Q43)*(IF((YEAR(D43)+6)&lt;YEAR(E43),0,IF((YEAR(D43)+6)&gt;YEAR(E43),1,(12-MONTH(E43)+1)/12))))-((P43)*(IF((YEAR(D43)+6)&lt;YEAR(E43),0,IF((YEAR(D43)+6)&gt;YEAR(E43),1,(12-MONTH(E43)+1)/12))) + (R43)*(IF((YEAR(D43)+6)&lt;YEAR(E43),0,IF((YEAR(D43)+6)&gt;YEAR(E43),1,(12-MONTH(E43)+1)/12))))-(IF(OR(N43="",N43&lt;=0),0,(O43/N43)*(IF(OR(N43="",N43&lt;=0),0,IF((YEAR(D43)+6)&lt;YEAR(E43),0,IF((YEAR(D43)+6)&gt;=YEAR(E43)+N43,0,IF((YEAR(D43)+6)=YEAR(E43),(12-MONTH(E43)+1)/12,1))))))))&gt;0,(((K43)*(IF(M43="",L43,IFERROR(IF(INDEX(Variablen!$I:$AT, MATCH(M43, Variablen!$A:$A, 0), MATCH((YEAR(D43)+6), Variablen!$I$3:$AT$3, 0))="",L43,INDEX(Variablen!$I:$AT, MATCH(M43, Variablen!$A:$A, 0), MATCH((YEAR(D43)+6), Variablen!$I$3:$AT$3, 0))),L43)))*(IF((YEAR(D43)+6)&lt;YEAR(E43),0,IF((YEAR(D43)+6)&gt;YEAR(E43),1,(12-MONTH(E43)+1)/12))) + (Q43)*(IF((YEAR(D43)+6)&lt;YEAR(E43),0,IF((YEAR(D43)+6)&gt;YEAR(E43),1,(12-MONTH(E43)+1)/12))))-((P43)*(IF((YEAR(D43)+6)&lt;YEAR(E43),0,IF((YEAR(D43)+6)&gt;YEAR(E43),1,(12-MONTH(E43)+1)/12))) + (R43)*(IF((YEAR(D43)+6)&lt;YEAR(E43),0,IF((YEAR(D43)+6)&gt;YEAR(E43),1,(12-MONTH(E43)+1)/12))))-(IF(OR(N43="",N43&lt;=0),0,(O43/N43)*(IF(OR(N43="",N43&lt;=0),0,IF((YEAR(D43)+6)&lt;YEAR(E43),0,IF((YEAR(D43)+6)&gt;=YEAR(E43)+N43,0,IF((YEAR(D43)+6)=YEAR(E43),(12-MONTH(E43)+1)/12,1))))))))*TaxRate,0))-IF(6=0,O43,0))</f>
        <v/>
      </c>
      <c r="Z43" s="29">
        <f>IF(A43="","",((K43)*(IF(M43="",L43,IFERROR(IF(INDEX(Variablen!$I:$AT, MATCH(M43, Variablen!$A:$A, 0), MATCH((YEAR(D43)+7), Variablen!$I$3:$AT$3, 0))="",L43,INDEX(Variablen!$I:$AT, MATCH(M43, Variablen!$A:$A, 0), MATCH((YEAR(D43)+7), Variablen!$I$3:$AT$3, 0))),L43)))*(IF((YEAR(D43)+7)&lt;YEAR(E43),0,IF((YEAR(D43)+7)&gt;YEAR(E43),1,(12-MONTH(E43)+1)/12))) + (Q43)*(IF((YEAR(D43)+7)&lt;YEAR(E43),0,IF((YEAR(D43)+7)&gt;YEAR(E43),1,(12-MONTH(E43)+1)/12))))-((P43)*(IF((YEAR(D43)+7)&lt;YEAR(E43),0,IF((YEAR(D43)+7)&gt;YEAR(E43),1,(12-MONTH(E43)+1)/12))) + (R43)*(IF((YEAR(D43)+7)&lt;YEAR(E43),0,IF((YEAR(D43)+7)&gt;YEAR(E43),1,(12-MONTH(E43)+1)/12))))-(IF((((K43)*(IF(M43="",L43,IFERROR(IF(INDEX(Variablen!$I:$AT, MATCH(M43, Variablen!$A:$A, 0), MATCH((YEAR(D43)+7), Variablen!$I$3:$AT$3, 0))="",L43,INDEX(Variablen!$I:$AT, MATCH(M43, Variablen!$A:$A, 0), MATCH((YEAR(D43)+7), Variablen!$I$3:$AT$3, 0))),L43)))*(IF((YEAR(D43)+7)&lt;YEAR(E43),0,IF((YEAR(D43)+7)&gt;YEAR(E43),1,(12-MONTH(E43)+1)/12))) + (Q43)*(IF((YEAR(D43)+7)&lt;YEAR(E43),0,IF((YEAR(D43)+7)&gt;YEAR(E43),1,(12-MONTH(E43)+1)/12))))-((P43)*(IF((YEAR(D43)+7)&lt;YEAR(E43),0,IF((YEAR(D43)+7)&gt;YEAR(E43),1,(12-MONTH(E43)+1)/12))) + (R43)*(IF((YEAR(D43)+7)&lt;YEAR(E43),0,IF((YEAR(D43)+7)&gt;YEAR(E43),1,(12-MONTH(E43)+1)/12))))-(IF(OR(N43="",N43&lt;=0),0,(O43/N43)*(IF(OR(N43="",N43&lt;=0),0,IF((YEAR(D43)+7)&lt;YEAR(E43),0,IF((YEAR(D43)+7)&gt;=YEAR(E43)+N43,0,IF((YEAR(D43)+7)=YEAR(E43),(12-MONTH(E43)+1)/12,1))))))))&gt;0,(((K43)*(IF(M43="",L43,IFERROR(IF(INDEX(Variablen!$I:$AT, MATCH(M43, Variablen!$A:$A, 0), MATCH((YEAR(D43)+7), Variablen!$I$3:$AT$3, 0))="",L43,INDEX(Variablen!$I:$AT, MATCH(M43, Variablen!$A:$A, 0), MATCH((YEAR(D43)+7), Variablen!$I$3:$AT$3, 0))),L43)))*(IF((YEAR(D43)+7)&lt;YEAR(E43),0,IF((YEAR(D43)+7)&gt;YEAR(E43),1,(12-MONTH(E43)+1)/12))) + (Q43)*(IF((YEAR(D43)+7)&lt;YEAR(E43),0,IF((YEAR(D43)+7)&gt;YEAR(E43),1,(12-MONTH(E43)+1)/12))))-((P43)*(IF((YEAR(D43)+7)&lt;YEAR(E43),0,IF((YEAR(D43)+7)&gt;YEAR(E43),1,(12-MONTH(E43)+1)/12))) + (R43)*(IF((YEAR(D43)+7)&lt;YEAR(E43),0,IF((YEAR(D43)+7)&gt;YEAR(E43),1,(12-MONTH(E43)+1)/12))))-(IF(OR(N43="",N43&lt;=0),0,(O43/N43)*(IF(OR(N43="",N43&lt;=0),0,IF((YEAR(D43)+7)&lt;YEAR(E43),0,IF((YEAR(D43)+7)&gt;=YEAR(E43)+N43,0,IF((YEAR(D43)+7)=YEAR(E43),(12-MONTH(E43)+1)/12,1))))))))*TaxRate,0))-IF(7=0,O43,0))</f>
        <v/>
      </c>
      <c r="AA43" s="29">
        <f>IF(A43="","",((K43)*(IF(M43="",L43,IFERROR(IF(INDEX(Variablen!$I:$AT, MATCH(M43, Variablen!$A:$A, 0), MATCH((YEAR(D43)+8), Variablen!$I$3:$AT$3, 0))="",L43,INDEX(Variablen!$I:$AT, MATCH(M43, Variablen!$A:$A, 0), MATCH((YEAR(D43)+8), Variablen!$I$3:$AT$3, 0))),L43)))*(IF((YEAR(D43)+8)&lt;YEAR(E43),0,IF((YEAR(D43)+8)&gt;YEAR(E43),1,(12-MONTH(E43)+1)/12))) + (Q43)*(IF((YEAR(D43)+8)&lt;YEAR(E43),0,IF((YEAR(D43)+8)&gt;YEAR(E43),1,(12-MONTH(E43)+1)/12))))-((P43)*(IF((YEAR(D43)+8)&lt;YEAR(E43),0,IF((YEAR(D43)+8)&gt;YEAR(E43),1,(12-MONTH(E43)+1)/12))) + (R43)*(IF((YEAR(D43)+8)&lt;YEAR(E43),0,IF((YEAR(D43)+8)&gt;YEAR(E43),1,(12-MONTH(E43)+1)/12))))-(IF((((K43)*(IF(M43="",L43,IFERROR(IF(INDEX(Variablen!$I:$AT, MATCH(M43, Variablen!$A:$A, 0), MATCH((YEAR(D43)+8), Variablen!$I$3:$AT$3, 0))="",L43,INDEX(Variablen!$I:$AT, MATCH(M43, Variablen!$A:$A, 0), MATCH((YEAR(D43)+8), Variablen!$I$3:$AT$3, 0))),L43)))*(IF((YEAR(D43)+8)&lt;YEAR(E43),0,IF((YEAR(D43)+8)&gt;YEAR(E43),1,(12-MONTH(E43)+1)/12))) + (Q43)*(IF((YEAR(D43)+8)&lt;YEAR(E43),0,IF((YEAR(D43)+8)&gt;YEAR(E43),1,(12-MONTH(E43)+1)/12))))-((P43)*(IF((YEAR(D43)+8)&lt;YEAR(E43),0,IF((YEAR(D43)+8)&gt;YEAR(E43),1,(12-MONTH(E43)+1)/12))) + (R43)*(IF((YEAR(D43)+8)&lt;YEAR(E43),0,IF((YEAR(D43)+8)&gt;YEAR(E43),1,(12-MONTH(E43)+1)/12))))-(IF(OR(N43="",N43&lt;=0),0,(O43/N43)*(IF(OR(N43="",N43&lt;=0),0,IF((YEAR(D43)+8)&lt;YEAR(E43),0,IF((YEAR(D43)+8)&gt;=YEAR(E43)+N43,0,IF((YEAR(D43)+8)=YEAR(E43),(12-MONTH(E43)+1)/12,1))))))))&gt;0,(((K43)*(IF(M43="",L43,IFERROR(IF(INDEX(Variablen!$I:$AT, MATCH(M43, Variablen!$A:$A, 0), MATCH((YEAR(D43)+8), Variablen!$I$3:$AT$3, 0))="",L43,INDEX(Variablen!$I:$AT, MATCH(M43, Variablen!$A:$A, 0), MATCH((YEAR(D43)+8), Variablen!$I$3:$AT$3, 0))),L43)))*(IF((YEAR(D43)+8)&lt;YEAR(E43),0,IF((YEAR(D43)+8)&gt;YEAR(E43),1,(12-MONTH(E43)+1)/12))) + (Q43)*(IF((YEAR(D43)+8)&lt;YEAR(E43),0,IF((YEAR(D43)+8)&gt;YEAR(E43),1,(12-MONTH(E43)+1)/12))))-((P43)*(IF((YEAR(D43)+8)&lt;YEAR(E43),0,IF((YEAR(D43)+8)&gt;YEAR(E43),1,(12-MONTH(E43)+1)/12))) + (R43)*(IF((YEAR(D43)+8)&lt;YEAR(E43),0,IF((YEAR(D43)+8)&gt;YEAR(E43),1,(12-MONTH(E43)+1)/12))))-(IF(OR(N43="",N43&lt;=0),0,(O43/N43)*(IF(OR(N43="",N43&lt;=0),0,IF((YEAR(D43)+8)&lt;YEAR(E43),0,IF((YEAR(D43)+8)&gt;=YEAR(E43)+N43,0,IF((YEAR(D43)+8)=YEAR(E43),(12-MONTH(E43)+1)/12,1))))))))*TaxRate,0))-IF(8=0,O43,0))</f>
        <v/>
      </c>
      <c r="AB43" s="29">
        <f>IF(A43="","",((K43)*(IF(M43="",L43,IFERROR(IF(INDEX(Variablen!$I:$AT, MATCH(M43, Variablen!$A:$A, 0), MATCH((YEAR(D43)+9), Variablen!$I$3:$AT$3, 0))="",L43,INDEX(Variablen!$I:$AT, MATCH(M43, Variablen!$A:$A, 0), MATCH((YEAR(D43)+9), Variablen!$I$3:$AT$3, 0))),L43)))*(IF((YEAR(D43)+9)&lt;YEAR(E43),0,IF((YEAR(D43)+9)&gt;YEAR(E43),1,(12-MONTH(E43)+1)/12))) + (Q43)*(IF((YEAR(D43)+9)&lt;YEAR(E43),0,IF((YEAR(D43)+9)&gt;YEAR(E43),1,(12-MONTH(E43)+1)/12))))-((P43)*(IF((YEAR(D43)+9)&lt;YEAR(E43),0,IF((YEAR(D43)+9)&gt;YEAR(E43),1,(12-MONTH(E43)+1)/12))) + (R43)*(IF((YEAR(D43)+9)&lt;YEAR(E43),0,IF((YEAR(D43)+9)&gt;YEAR(E43),1,(12-MONTH(E43)+1)/12))))-(IF((((K43)*(IF(M43="",L43,IFERROR(IF(INDEX(Variablen!$I:$AT, MATCH(M43, Variablen!$A:$A, 0), MATCH((YEAR(D43)+9), Variablen!$I$3:$AT$3, 0))="",L43,INDEX(Variablen!$I:$AT, MATCH(M43, Variablen!$A:$A, 0), MATCH((YEAR(D43)+9), Variablen!$I$3:$AT$3, 0))),L43)))*(IF((YEAR(D43)+9)&lt;YEAR(E43),0,IF((YEAR(D43)+9)&gt;YEAR(E43),1,(12-MONTH(E43)+1)/12))) + (Q43)*(IF((YEAR(D43)+9)&lt;YEAR(E43),0,IF((YEAR(D43)+9)&gt;YEAR(E43),1,(12-MONTH(E43)+1)/12))))-((P43)*(IF((YEAR(D43)+9)&lt;YEAR(E43),0,IF((YEAR(D43)+9)&gt;YEAR(E43),1,(12-MONTH(E43)+1)/12))) + (R43)*(IF((YEAR(D43)+9)&lt;YEAR(E43),0,IF((YEAR(D43)+9)&gt;YEAR(E43),1,(12-MONTH(E43)+1)/12))))-(IF(OR(N43="",N43&lt;=0),0,(O43/N43)*(IF(OR(N43="",N43&lt;=0),0,IF((YEAR(D43)+9)&lt;YEAR(E43),0,IF((YEAR(D43)+9)&gt;=YEAR(E43)+N43,0,IF((YEAR(D43)+9)=YEAR(E43),(12-MONTH(E43)+1)/12,1))))))))&gt;0,(((K43)*(IF(M43="",L43,IFERROR(IF(INDEX(Variablen!$I:$AT, MATCH(M43, Variablen!$A:$A, 0), MATCH((YEAR(D43)+9), Variablen!$I$3:$AT$3, 0))="",L43,INDEX(Variablen!$I:$AT, MATCH(M43, Variablen!$A:$A, 0), MATCH((YEAR(D43)+9), Variablen!$I$3:$AT$3, 0))),L43)))*(IF((YEAR(D43)+9)&lt;YEAR(E43),0,IF((YEAR(D43)+9)&gt;YEAR(E43),1,(12-MONTH(E43)+1)/12))) + (Q43)*(IF((YEAR(D43)+9)&lt;YEAR(E43),0,IF((YEAR(D43)+9)&gt;YEAR(E43),1,(12-MONTH(E43)+1)/12))))-((P43)*(IF((YEAR(D43)+9)&lt;YEAR(E43),0,IF((YEAR(D43)+9)&gt;YEAR(E43),1,(12-MONTH(E43)+1)/12))) + (R43)*(IF((YEAR(D43)+9)&lt;YEAR(E43),0,IF((YEAR(D43)+9)&gt;YEAR(E43),1,(12-MONTH(E43)+1)/12))))-(IF(OR(N43="",N43&lt;=0),0,(O43/N43)*(IF(OR(N43="",N43&lt;=0),0,IF((YEAR(D43)+9)&lt;YEAR(E43),0,IF((YEAR(D43)+9)&gt;=YEAR(E43)+N43,0,IF((YEAR(D43)+9)=YEAR(E43),(12-MONTH(E43)+1)/12,1))))))))*TaxRate,0))-IF(9=0,O43,0))</f>
        <v/>
      </c>
      <c r="AC43" s="29">
        <f>IF(A43="","",((K43)*(IF(M43="",L43,IFERROR(IF(INDEX(Variablen!$I:$AT, MATCH(M43, Variablen!$A:$A, 0), MATCH((YEAR(D43)+10), Variablen!$I$3:$AT$3, 0))="",L43,INDEX(Variablen!$I:$AT, MATCH(M43, Variablen!$A:$A, 0), MATCH((YEAR(D43)+10), Variablen!$I$3:$AT$3, 0))),L43)))*(IF((YEAR(D43)+10)&lt;YEAR(E43),0,IF((YEAR(D43)+10)&gt;YEAR(E43),1,(12-MONTH(E43)+1)/12))) + (Q43)*(IF((YEAR(D43)+10)&lt;YEAR(E43),0,IF((YEAR(D43)+10)&gt;YEAR(E43),1,(12-MONTH(E43)+1)/12))))-((P43)*(IF((YEAR(D43)+10)&lt;YEAR(E43),0,IF((YEAR(D43)+10)&gt;YEAR(E43),1,(12-MONTH(E43)+1)/12))) + (R43)*(IF((YEAR(D43)+10)&lt;YEAR(E43),0,IF((YEAR(D43)+10)&gt;YEAR(E43),1,(12-MONTH(E43)+1)/12))))-(IF((((K43)*(IF(M43="",L43,IFERROR(IF(INDEX(Variablen!$I:$AT, MATCH(M43, Variablen!$A:$A, 0), MATCH((YEAR(D43)+10), Variablen!$I$3:$AT$3, 0))="",L43,INDEX(Variablen!$I:$AT, MATCH(M43, Variablen!$A:$A, 0), MATCH((YEAR(D43)+10), Variablen!$I$3:$AT$3, 0))),L43)))*(IF((YEAR(D43)+10)&lt;YEAR(E43),0,IF((YEAR(D43)+10)&gt;YEAR(E43),1,(12-MONTH(E43)+1)/12))) + (Q43)*(IF((YEAR(D43)+10)&lt;YEAR(E43),0,IF((YEAR(D43)+10)&gt;YEAR(E43),1,(12-MONTH(E43)+1)/12))))-((P43)*(IF((YEAR(D43)+10)&lt;YEAR(E43),0,IF((YEAR(D43)+10)&gt;YEAR(E43),1,(12-MONTH(E43)+1)/12))) + (R43)*(IF((YEAR(D43)+10)&lt;YEAR(E43),0,IF((YEAR(D43)+10)&gt;YEAR(E43),1,(12-MONTH(E43)+1)/12))))-(IF(OR(N43="",N43&lt;=0),0,(O43/N43)*(IF(OR(N43="",N43&lt;=0),0,IF((YEAR(D43)+10)&lt;YEAR(E43),0,IF((YEAR(D43)+10)&gt;=YEAR(E43)+N43,0,IF((YEAR(D43)+10)=YEAR(E43),(12-MONTH(E43)+1)/12,1))))))))&gt;0,(((K43)*(IF(M43="",L43,IFERROR(IF(INDEX(Variablen!$I:$AT, MATCH(M43, Variablen!$A:$A, 0), MATCH((YEAR(D43)+10), Variablen!$I$3:$AT$3, 0))="",L43,INDEX(Variablen!$I:$AT, MATCH(M43, Variablen!$A:$A, 0), MATCH((YEAR(D43)+10), Variablen!$I$3:$AT$3, 0))),L43)))*(IF((YEAR(D43)+10)&lt;YEAR(E43),0,IF((YEAR(D43)+10)&gt;YEAR(E43),1,(12-MONTH(E43)+1)/12))) + (Q43)*(IF((YEAR(D43)+10)&lt;YEAR(E43),0,IF((YEAR(D43)+10)&gt;YEAR(E43),1,(12-MONTH(E43)+1)/12))))-((P43)*(IF((YEAR(D43)+10)&lt;YEAR(E43),0,IF((YEAR(D43)+10)&gt;YEAR(E43),1,(12-MONTH(E43)+1)/12))) + (R43)*(IF((YEAR(D43)+10)&lt;YEAR(E43),0,IF((YEAR(D43)+10)&gt;YEAR(E43),1,(12-MONTH(E43)+1)/12))))-(IF(OR(N43="",N43&lt;=0),0,(O43/N43)*(IF(OR(N43="",N43&lt;=0),0,IF((YEAR(D43)+10)&lt;YEAR(E43),0,IF((YEAR(D43)+10)&gt;=YEAR(E43)+N43,0,IF((YEAR(D43)+10)=YEAR(E43),(12-MONTH(E43)+1)/12,1))))))))*TaxRate,0))-IF(10=0,O43,0))</f>
        <v/>
      </c>
      <c r="AD43" s="29">
        <f>IF(A43="","",((K43)*(IF(M43="",L43,IFERROR(IF(INDEX(Variablen!$I:$AT, MATCH(M43, Variablen!$A:$A, 0), MATCH((YEAR(D43)+11), Variablen!$I$3:$AT$3, 0))="",L43,INDEX(Variablen!$I:$AT, MATCH(M43, Variablen!$A:$A, 0), MATCH((YEAR(D43)+11), Variablen!$I$3:$AT$3, 0))),L43)))*(IF((YEAR(D43)+11)&lt;YEAR(E43),0,IF((YEAR(D43)+11)&gt;YEAR(E43),1,(12-MONTH(E43)+1)/12))) + (Q43)*(IF((YEAR(D43)+11)&lt;YEAR(E43),0,IF((YEAR(D43)+11)&gt;YEAR(E43),1,(12-MONTH(E43)+1)/12))))-((P43)*(IF((YEAR(D43)+11)&lt;YEAR(E43),0,IF((YEAR(D43)+11)&gt;YEAR(E43),1,(12-MONTH(E43)+1)/12))) + (R43)*(IF((YEAR(D43)+11)&lt;YEAR(E43),0,IF((YEAR(D43)+11)&gt;YEAR(E43),1,(12-MONTH(E43)+1)/12))))-(IF((((K43)*(IF(M43="",L43,IFERROR(IF(INDEX(Variablen!$I:$AT, MATCH(M43, Variablen!$A:$A, 0), MATCH((YEAR(D43)+11), Variablen!$I$3:$AT$3, 0))="",L43,INDEX(Variablen!$I:$AT, MATCH(M43, Variablen!$A:$A, 0), MATCH((YEAR(D43)+11), Variablen!$I$3:$AT$3, 0))),L43)))*(IF((YEAR(D43)+11)&lt;YEAR(E43),0,IF((YEAR(D43)+11)&gt;YEAR(E43),1,(12-MONTH(E43)+1)/12))) + (Q43)*(IF((YEAR(D43)+11)&lt;YEAR(E43),0,IF((YEAR(D43)+11)&gt;YEAR(E43),1,(12-MONTH(E43)+1)/12))))-((P43)*(IF((YEAR(D43)+11)&lt;YEAR(E43),0,IF((YEAR(D43)+11)&gt;YEAR(E43),1,(12-MONTH(E43)+1)/12))) + (R43)*(IF((YEAR(D43)+11)&lt;YEAR(E43),0,IF((YEAR(D43)+11)&gt;YEAR(E43),1,(12-MONTH(E43)+1)/12))))-(IF(OR(N43="",N43&lt;=0),0,(O43/N43)*(IF(OR(N43="",N43&lt;=0),0,IF((YEAR(D43)+11)&lt;YEAR(E43),0,IF((YEAR(D43)+11)&gt;=YEAR(E43)+N43,0,IF((YEAR(D43)+11)=YEAR(E43),(12-MONTH(E43)+1)/12,1))))))))&gt;0,(((K43)*(IF(M43="",L43,IFERROR(IF(INDEX(Variablen!$I:$AT, MATCH(M43, Variablen!$A:$A, 0), MATCH((YEAR(D43)+11), Variablen!$I$3:$AT$3, 0))="",L43,INDEX(Variablen!$I:$AT, MATCH(M43, Variablen!$A:$A, 0), MATCH((YEAR(D43)+11), Variablen!$I$3:$AT$3, 0))),L43)))*(IF((YEAR(D43)+11)&lt;YEAR(E43),0,IF((YEAR(D43)+11)&gt;YEAR(E43),1,(12-MONTH(E43)+1)/12))) + (Q43)*(IF((YEAR(D43)+11)&lt;YEAR(E43),0,IF((YEAR(D43)+11)&gt;YEAR(E43),1,(12-MONTH(E43)+1)/12))))-((P43)*(IF((YEAR(D43)+11)&lt;YEAR(E43),0,IF((YEAR(D43)+11)&gt;YEAR(E43),1,(12-MONTH(E43)+1)/12))) + (R43)*(IF((YEAR(D43)+11)&lt;YEAR(E43),0,IF((YEAR(D43)+11)&gt;YEAR(E43),1,(12-MONTH(E43)+1)/12))))-(IF(OR(N43="",N43&lt;=0),0,(O43/N43)*(IF(OR(N43="",N43&lt;=0),0,IF((YEAR(D43)+11)&lt;YEAR(E43),0,IF((YEAR(D43)+11)&gt;=YEAR(E43)+N43,0,IF((YEAR(D43)+11)=YEAR(E43),(12-MONTH(E43)+1)/12,1))))))))*TaxRate,0))-IF(11=0,O43,0))</f>
        <v/>
      </c>
      <c r="AE43" s="29">
        <f>IF(A43="","",((K43)*(IF(M43="",L43,IFERROR(IF(INDEX(Variablen!$I:$AT, MATCH(M43, Variablen!$A:$A, 0), MATCH((YEAR(D43)+12), Variablen!$I$3:$AT$3, 0))="",L43,INDEX(Variablen!$I:$AT, MATCH(M43, Variablen!$A:$A, 0), MATCH((YEAR(D43)+12), Variablen!$I$3:$AT$3, 0))),L43)))*(IF((YEAR(D43)+12)&lt;YEAR(E43),0,IF((YEAR(D43)+12)&gt;YEAR(E43),1,(12-MONTH(E43)+1)/12))) + (Q43)*(IF((YEAR(D43)+12)&lt;YEAR(E43),0,IF((YEAR(D43)+12)&gt;YEAR(E43),1,(12-MONTH(E43)+1)/12))))-((P43)*(IF((YEAR(D43)+12)&lt;YEAR(E43),0,IF((YEAR(D43)+12)&gt;YEAR(E43),1,(12-MONTH(E43)+1)/12))) + (R43)*(IF((YEAR(D43)+12)&lt;YEAR(E43),0,IF((YEAR(D43)+12)&gt;YEAR(E43),1,(12-MONTH(E43)+1)/12))))-(IF((((K43)*(IF(M43="",L43,IFERROR(IF(INDEX(Variablen!$I:$AT, MATCH(M43, Variablen!$A:$A, 0), MATCH((YEAR(D43)+12), Variablen!$I$3:$AT$3, 0))="",L43,INDEX(Variablen!$I:$AT, MATCH(M43, Variablen!$A:$A, 0), MATCH((YEAR(D43)+12), Variablen!$I$3:$AT$3, 0))),L43)))*(IF((YEAR(D43)+12)&lt;YEAR(E43),0,IF((YEAR(D43)+12)&gt;YEAR(E43),1,(12-MONTH(E43)+1)/12))) + (Q43)*(IF((YEAR(D43)+12)&lt;YEAR(E43),0,IF((YEAR(D43)+12)&gt;YEAR(E43),1,(12-MONTH(E43)+1)/12))))-((P43)*(IF((YEAR(D43)+12)&lt;YEAR(E43),0,IF((YEAR(D43)+12)&gt;YEAR(E43),1,(12-MONTH(E43)+1)/12))) + (R43)*(IF((YEAR(D43)+12)&lt;YEAR(E43),0,IF((YEAR(D43)+12)&gt;YEAR(E43),1,(12-MONTH(E43)+1)/12))))-(IF(OR(N43="",N43&lt;=0),0,(O43/N43)*(IF(OR(N43="",N43&lt;=0),0,IF((YEAR(D43)+12)&lt;YEAR(E43),0,IF((YEAR(D43)+12)&gt;=YEAR(E43)+N43,0,IF((YEAR(D43)+12)=YEAR(E43),(12-MONTH(E43)+1)/12,1))))))))&gt;0,(((K43)*(IF(M43="",L43,IFERROR(IF(INDEX(Variablen!$I:$AT, MATCH(M43, Variablen!$A:$A, 0), MATCH((YEAR(D43)+12), Variablen!$I$3:$AT$3, 0))="",L43,INDEX(Variablen!$I:$AT, MATCH(M43, Variablen!$A:$A, 0), MATCH((YEAR(D43)+12), Variablen!$I$3:$AT$3, 0))),L43)))*(IF((YEAR(D43)+12)&lt;YEAR(E43),0,IF((YEAR(D43)+12)&gt;YEAR(E43),1,(12-MONTH(E43)+1)/12))) + (Q43)*(IF((YEAR(D43)+12)&lt;YEAR(E43),0,IF((YEAR(D43)+12)&gt;YEAR(E43),1,(12-MONTH(E43)+1)/12))))-((P43)*(IF((YEAR(D43)+12)&lt;YEAR(E43),0,IF((YEAR(D43)+12)&gt;YEAR(E43),1,(12-MONTH(E43)+1)/12))) + (R43)*(IF((YEAR(D43)+12)&lt;YEAR(E43),0,IF((YEAR(D43)+12)&gt;YEAR(E43),1,(12-MONTH(E43)+1)/12))))-(IF(OR(N43="",N43&lt;=0),0,(O43/N43)*(IF(OR(N43="",N43&lt;=0),0,IF((YEAR(D43)+12)&lt;YEAR(E43),0,IF((YEAR(D43)+12)&gt;=YEAR(E43)+N43,0,IF((YEAR(D43)+12)=YEAR(E43),(12-MONTH(E43)+1)/12,1))))))))*TaxRate,0))-IF(12=0,O43,0))</f>
        <v/>
      </c>
      <c r="AF43" s="29">
        <f>IF(A43="","",((K43)*(IF(M43="",L43,IFERROR(IF(INDEX(Variablen!$I:$AT, MATCH(M43, Variablen!$A:$A, 0), MATCH((YEAR(D43)+13), Variablen!$I$3:$AT$3, 0))="",L43,INDEX(Variablen!$I:$AT, MATCH(M43, Variablen!$A:$A, 0), MATCH((YEAR(D43)+13), Variablen!$I$3:$AT$3, 0))),L43)))*(IF((YEAR(D43)+13)&lt;YEAR(E43),0,IF((YEAR(D43)+13)&gt;YEAR(E43),1,(12-MONTH(E43)+1)/12))) + (Q43)*(IF((YEAR(D43)+13)&lt;YEAR(E43),0,IF((YEAR(D43)+13)&gt;YEAR(E43),1,(12-MONTH(E43)+1)/12))))-((P43)*(IF((YEAR(D43)+13)&lt;YEAR(E43),0,IF((YEAR(D43)+13)&gt;YEAR(E43),1,(12-MONTH(E43)+1)/12))) + (R43)*(IF((YEAR(D43)+13)&lt;YEAR(E43),0,IF((YEAR(D43)+13)&gt;YEAR(E43),1,(12-MONTH(E43)+1)/12))))-(IF((((K43)*(IF(M43="",L43,IFERROR(IF(INDEX(Variablen!$I:$AT, MATCH(M43, Variablen!$A:$A, 0), MATCH((YEAR(D43)+13), Variablen!$I$3:$AT$3, 0))="",L43,INDEX(Variablen!$I:$AT, MATCH(M43, Variablen!$A:$A, 0), MATCH((YEAR(D43)+13), Variablen!$I$3:$AT$3, 0))),L43)))*(IF((YEAR(D43)+13)&lt;YEAR(E43),0,IF((YEAR(D43)+13)&gt;YEAR(E43),1,(12-MONTH(E43)+1)/12))) + (Q43)*(IF((YEAR(D43)+13)&lt;YEAR(E43),0,IF((YEAR(D43)+13)&gt;YEAR(E43),1,(12-MONTH(E43)+1)/12))))-((P43)*(IF((YEAR(D43)+13)&lt;YEAR(E43),0,IF((YEAR(D43)+13)&gt;YEAR(E43),1,(12-MONTH(E43)+1)/12))) + (R43)*(IF((YEAR(D43)+13)&lt;YEAR(E43),0,IF((YEAR(D43)+13)&gt;YEAR(E43),1,(12-MONTH(E43)+1)/12))))-(IF(OR(N43="",N43&lt;=0),0,(O43/N43)*(IF(OR(N43="",N43&lt;=0),0,IF((YEAR(D43)+13)&lt;YEAR(E43),0,IF((YEAR(D43)+13)&gt;=YEAR(E43)+N43,0,IF((YEAR(D43)+13)=YEAR(E43),(12-MONTH(E43)+1)/12,1))))))))&gt;0,(((K43)*(IF(M43="",L43,IFERROR(IF(INDEX(Variablen!$I:$AT, MATCH(M43, Variablen!$A:$A, 0), MATCH((YEAR(D43)+13), Variablen!$I$3:$AT$3, 0))="",L43,INDEX(Variablen!$I:$AT, MATCH(M43, Variablen!$A:$A, 0), MATCH((YEAR(D43)+13), Variablen!$I$3:$AT$3, 0))),L43)))*(IF((YEAR(D43)+13)&lt;YEAR(E43),0,IF((YEAR(D43)+13)&gt;YEAR(E43),1,(12-MONTH(E43)+1)/12))) + (Q43)*(IF((YEAR(D43)+13)&lt;YEAR(E43),0,IF((YEAR(D43)+13)&gt;YEAR(E43),1,(12-MONTH(E43)+1)/12))))-((P43)*(IF((YEAR(D43)+13)&lt;YEAR(E43),0,IF((YEAR(D43)+13)&gt;YEAR(E43),1,(12-MONTH(E43)+1)/12))) + (R43)*(IF((YEAR(D43)+13)&lt;YEAR(E43),0,IF((YEAR(D43)+13)&gt;YEAR(E43),1,(12-MONTH(E43)+1)/12))))-(IF(OR(N43="",N43&lt;=0),0,(O43/N43)*(IF(OR(N43="",N43&lt;=0),0,IF((YEAR(D43)+13)&lt;YEAR(E43),0,IF((YEAR(D43)+13)&gt;=YEAR(E43)+N43,0,IF((YEAR(D43)+13)=YEAR(E43),(12-MONTH(E43)+1)/12,1))))))))*TaxRate,0))-IF(13=0,O43,0))</f>
        <v/>
      </c>
      <c r="AG43" s="29">
        <f>IF(A43="","",((K43)*(IF(M43="",L43,IFERROR(IF(INDEX(Variablen!$I:$AT, MATCH(M43, Variablen!$A:$A, 0), MATCH((YEAR(D43)+14), Variablen!$I$3:$AT$3, 0))="",L43,INDEX(Variablen!$I:$AT, MATCH(M43, Variablen!$A:$A, 0), MATCH((YEAR(D43)+14), Variablen!$I$3:$AT$3, 0))),L43)))*(IF((YEAR(D43)+14)&lt;YEAR(E43),0,IF((YEAR(D43)+14)&gt;YEAR(E43),1,(12-MONTH(E43)+1)/12))) + (Q43)*(IF((YEAR(D43)+14)&lt;YEAR(E43),0,IF((YEAR(D43)+14)&gt;YEAR(E43),1,(12-MONTH(E43)+1)/12))))-((P43)*(IF((YEAR(D43)+14)&lt;YEAR(E43),0,IF((YEAR(D43)+14)&gt;YEAR(E43),1,(12-MONTH(E43)+1)/12))) + (R43)*(IF((YEAR(D43)+14)&lt;YEAR(E43),0,IF((YEAR(D43)+14)&gt;YEAR(E43),1,(12-MONTH(E43)+1)/12))))-(IF((((K43)*(IF(M43="",L43,IFERROR(IF(INDEX(Variablen!$I:$AT, MATCH(M43, Variablen!$A:$A, 0), MATCH((YEAR(D43)+14), Variablen!$I$3:$AT$3, 0))="",L43,INDEX(Variablen!$I:$AT, MATCH(M43, Variablen!$A:$A, 0), MATCH((YEAR(D43)+14), Variablen!$I$3:$AT$3, 0))),L43)))*(IF((YEAR(D43)+14)&lt;YEAR(E43),0,IF((YEAR(D43)+14)&gt;YEAR(E43),1,(12-MONTH(E43)+1)/12))) + (Q43)*(IF((YEAR(D43)+14)&lt;YEAR(E43),0,IF((YEAR(D43)+14)&gt;YEAR(E43),1,(12-MONTH(E43)+1)/12))))-((P43)*(IF((YEAR(D43)+14)&lt;YEAR(E43),0,IF((YEAR(D43)+14)&gt;YEAR(E43),1,(12-MONTH(E43)+1)/12))) + (R43)*(IF((YEAR(D43)+14)&lt;YEAR(E43),0,IF((YEAR(D43)+14)&gt;YEAR(E43),1,(12-MONTH(E43)+1)/12))))-(IF(OR(N43="",N43&lt;=0),0,(O43/N43)*(IF(OR(N43="",N43&lt;=0),0,IF((YEAR(D43)+14)&lt;YEAR(E43),0,IF((YEAR(D43)+14)&gt;=YEAR(E43)+N43,0,IF((YEAR(D43)+14)=YEAR(E43),(12-MONTH(E43)+1)/12,1))))))))&gt;0,(((K43)*(IF(M43="",L43,IFERROR(IF(INDEX(Variablen!$I:$AT, MATCH(M43, Variablen!$A:$A, 0), MATCH((YEAR(D43)+14), Variablen!$I$3:$AT$3, 0))="",L43,INDEX(Variablen!$I:$AT, MATCH(M43, Variablen!$A:$A, 0), MATCH((YEAR(D43)+14), Variablen!$I$3:$AT$3, 0))),L43)))*(IF((YEAR(D43)+14)&lt;YEAR(E43),0,IF((YEAR(D43)+14)&gt;YEAR(E43),1,(12-MONTH(E43)+1)/12))) + (Q43)*(IF((YEAR(D43)+14)&lt;YEAR(E43),0,IF((YEAR(D43)+14)&gt;YEAR(E43),1,(12-MONTH(E43)+1)/12))))-((P43)*(IF((YEAR(D43)+14)&lt;YEAR(E43),0,IF((YEAR(D43)+14)&gt;YEAR(E43),1,(12-MONTH(E43)+1)/12))) + (R43)*(IF((YEAR(D43)+14)&lt;YEAR(E43),0,IF((YEAR(D43)+14)&gt;YEAR(E43),1,(12-MONTH(E43)+1)/12))))-(IF(OR(N43="",N43&lt;=0),0,(O43/N43)*(IF(OR(N43="",N43&lt;=0),0,IF((YEAR(D43)+14)&lt;YEAR(E43),0,IF((YEAR(D43)+14)&gt;=YEAR(E43)+N43,0,IF((YEAR(D43)+14)=YEAR(E43),(12-MONTH(E43)+1)/12,1))))))))*TaxRate,0))-IF(14=0,O43,0))</f>
        <v/>
      </c>
      <c r="AH43" s="29">
        <f>IF(A43="","",((K43)*(IF(M43="",L43,IFERROR(IF(INDEX(Variablen!$I:$AT, MATCH(M43, Variablen!$A:$A, 0), MATCH((YEAR(D43)+15), Variablen!$I$3:$AT$3, 0))="",L43,INDEX(Variablen!$I:$AT, MATCH(M43, Variablen!$A:$A, 0), MATCH((YEAR(D43)+15), Variablen!$I$3:$AT$3, 0))),L43)))*(IF((YEAR(D43)+15)&lt;YEAR(E43),0,IF((YEAR(D43)+15)&gt;YEAR(E43),1,(12-MONTH(E43)+1)/12))) + (Q43)*(IF((YEAR(D43)+15)&lt;YEAR(E43),0,IF((YEAR(D43)+15)&gt;YEAR(E43),1,(12-MONTH(E43)+1)/12))))-((P43)*(IF((YEAR(D43)+15)&lt;YEAR(E43),0,IF((YEAR(D43)+15)&gt;YEAR(E43),1,(12-MONTH(E43)+1)/12))) + (R43)*(IF((YEAR(D43)+15)&lt;YEAR(E43),0,IF((YEAR(D43)+15)&gt;YEAR(E43),1,(12-MONTH(E43)+1)/12))))-(IF((((K43)*(IF(M43="",L43,IFERROR(IF(INDEX(Variablen!$I:$AT, MATCH(M43, Variablen!$A:$A, 0), MATCH((YEAR(D43)+15), Variablen!$I$3:$AT$3, 0))="",L43,INDEX(Variablen!$I:$AT, MATCH(M43, Variablen!$A:$A, 0), MATCH((YEAR(D43)+15), Variablen!$I$3:$AT$3, 0))),L43)))*(IF((YEAR(D43)+15)&lt;YEAR(E43),0,IF((YEAR(D43)+15)&gt;YEAR(E43),1,(12-MONTH(E43)+1)/12))) + (Q43)*(IF((YEAR(D43)+15)&lt;YEAR(E43),0,IF((YEAR(D43)+15)&gt;YEAR(E43),1,(12-MONTH(E43)+1)/12))))-((P43)*(IF((YEAR(D43)+15)&lt;YEAR(E43),0,IF((YEAR(D43)+15)&gt;YEAR(E43),1,(12-MONTH(E43)+1)/12))) + (R43)*(IF((YEAR(D43)+15)&lt;YEAR(E43),0,IF((YEAR(D43)+15)&gt;YEAR(E43),1,(12-MONTH(E43)+1)/12))))-(IF(OR(N43="",N43&lt;=0),0,(O43/N43)*(IF(OR(N43="",N43&lt;=0),0,IF((YEAR(D43)+15)&lt;YEAR(E43),0,IF((YEAR(D43)+15)&gt;=YEAR(E43)+N43,0,IF((YEAR(D43)+15)=YEAR(E43),(12-MONTH(E43)+1)/12,1))))))))&gt;0,(((K43)*(IF(M43="",L43,IFERROR(IF(INDEX(Variablen!$I:$AT, MATCH(M43, Variablen!$A:$A, 0), MATCH((YEAR(D43)+15), Variablen!$I$3:$AT$3, 0))="",L43,INDEX(Variablen!$I:$AT, MATCH(M43, Variablen!$A:$A, 0), MATCH((YEAR(D43)+15), Variablen!$I$3:$AT$3, 0))),L43)))*(IF((YEAR(D43)+15)&lt;YEAR(E43),0,IF((YEAR(D43)+15)&gt;YEAR(E43),1,(12-MONTH(E43)+1)/12))) + (Q43)*(IF((YEAR(D43)+15)&lt;YEAR(E43),0,IF((YEAR(D43)+15)&gt;YEAR(E43),1,(12-MONTH(E43)+1)/12))))-((P43)*(IF((YEAR(D43)+15)&lt;YEAR(E43),0,IF((YEAR(D43)+15)&gt;YEAR(E43),1,(12-MONTH(E43)+1)/12))) + (R43)*(IF((YEAR(D43)+15)&lt;YEAR(E43),0,IF((YEAR(D43)+15)&gt;YEAR(E43),1,(12-MONTH(E43)+1)/12))))-(IF(OR(N43="",N43&lt;=0),0,(O43/N43)*(IF(OR(N43="",N43&lt;=0),0,IF((YEAR(D43)+15)&lt;YEAR(E43),0,IF((YEAR(D43)+15)&gt;=YEAR(E43)+N43,0,IF((YEAR(D43)+15)=YEAR(E43),(12-MONTH(E43)+1)/12,1))))))))*TaxRate,0))-IF(15=0,O43,0))</f>
        <v/>
      </c>
      <c r="AI43" s="29">
        <f>IF(A43="","",((K43)*(IF(M43="",L43,IFERROR(IF(INDEX(Variablen!$I:$AT, MATCH(M43, Variablen!$A:$A, 0), MATCH((YEAR(D43)+16), Variablen!$I$3:$AT$3, 0))="",L43,INDEX(Variablen!$I:$AT, MATCH(M43, Variablen!$A:$A, 0), MATCH((YEAR(D43)+16), Variablen!$I$3:$AT$3, 0))),L43)))*(IF((YEAR(D43)+16)&lt;YEAR(E43),0,IF((YEAR(D43)+16)&gt;YEAR(E43),1,(12-MONTH(E43)+1)/12))) + (Q43)*(IF((YEAR(D43)+16)&lt;YEAR(E43),0,IF((YEAR(D43)+16)&gt;YEAR(E43),1,(12-MONTH(E43)+1)/12))))-((P43)*(IF((YEAR(D43)+16)&lt;YEAR(E43),0,IF((YEAR(D43)+16)&gt;YEAR(E43),1,(12-MONTH(E43)+1)/12))) + (R43)*(IF((YEAR(D43)+16)&lt;YEAR(E43),0,IF((YEAR(D43)+16)&gt;YEAR(E43),1,(12-MONTH(E43)+1)/12))))-(IF((((K43)*(IF(M43="",L43,IFERROR(IF(INDEX(Variablen!$I:$AT, MATCH(M43, Variablen!$A:$A, 0), MATCH((YEAR(D43)+16), Variablen!$I$3:$AT$3, 0))="",L43,INDEX(Variablen!$I:$AT, MATCH(M43, Variablen!$A:$A, 0), MATCH((YEAR(D43)+16), Variablen!$I$3:$AT$3, 0))),L43)))*(IF((YEAR(D43)+16)&lt;YEAR(E43),0,IF((YEAR(D43)+16)&gt;YEAR(E43),1,(12-MONTH(E43)+1)/12))) + (Q43)*(IF((YEAR(D43)+16)&lt;YEAR(E43),0,IF((YEAR(D43)+16)&gt;YEAR(E43),1,(12-MONTH(E43)+1)/12))))-((P43)*(IF((YEAR(D43)+16)&lt;YEAR(E43),0,IF((YEAR(D43)+16)&gt;YEAR(E43),1,(12-MONTH(E43)+1)/12))) + (R43)*(IF((YEAR(D43)+16)&lt;YEAR(E43),0,IF((YEAR(D43)+16)&gt;YEAR(E43),1,(12-MONTH(E43)+1)/12))))-(IF(OR(N43="",N43&lt;=0),0,(O43/N43)*(IF(OR(N43="",N43&lt;=0),0,IF((YEAR(D43)+16)&lt;YEAR(E43),0,IF((YEAR(D43)+16)&gt;=YEAR(E43)+N43,0,IF((YEAR(D43)+16)=YEAR(E43),(12-MONTH(E43)+1)/12,1))))))))&gt;0,(((K43)*(IF(M43="",L43,IFERROR(IF(INDEX(Variablen!$I:$AT, MATCH(M43, Variablen!$A:$A, 0), MATCH((YEAR(D43)+16), Variablen!$I$3:$AT$3, 0))="",L43,INDEX(Variablen!$I:$AT, MATCH(M43, Variablen!$A:$A, 0), MATCH((YEAR(D43)+16), Variablen!$I$3:$AT$3, 0))),L43)))*(IF((YEAR(D43)+16)&lt;YEAR(E43),0,IF((YEAR(D43)+16)&gt;YEAR(E43),1,(12-MONTH(E43)+1)/12))) + (Q43)*(IF((YEAR(D43)+16)&lt;YEAR(E43),0,IF((YEAR(D43)+16)&gt;YEAR(E43),1,(12-MONTH(E43)+1)/12))))-((P43)*(IF((YEAR(D43)+16)&lt;YEAR(E43),0,IF((YEAR(D43)+16)&gt;YEAR(E43),1,(12-MONTH(E43)+1)/12))) + (R43)*(IF((YEAR(D43)+16)&lt;YEAR(E43),0,IF((YEAR(D43)+16)&gt;YEAR(E43),1,(12-MONTH(E43)+1)/12))))-(IF(OR(N43="",N43&lt;=0),0,(O43/N43)*(IF(OR(N43="",N43&lt;=0),0,IF((YEAR(D43)+16)&lt;YEAR(E43),0,IF((YEAR(D43)+16)&gt;=YEAR(E43)+N43,0,IF((YEAR(D43)+16)=YEAR(E43),(12-MONTH(E43)+1)/12,1))))))))*TaxRate,0))-IF(16=0,O43,0))</f>
        <v/>
      </c>
      <c r="AJ43" s="29">
        <f>IF(A43="","",((K43)*(IF(M43="",L43,IFERROR(IF(INDEX(Variablen!$I:$AT, MATCH(M43, Variablen!$A:$A, 0), MATCH((YEAR(D43)+17), Variablen!$I$3:$AT$3, 0))="",L43,INDEX(Variablen!$I:$AT, MATCH(M43, Variablen!$A:$A, 0), MATCH((YEAR(D43)+17), Variablen!$I$3:$AT$3, 0))),L43)))*(IF((YEAR(D43)+17)&lt;YEAR(E43),0,IF((YEAR(D43)+17)&gt;YEAR(E43),1,(12-MONTH(E43)+1)/12))) + (Q43)*(IF((YEAR(D43)+17)&lt;YEAR(E43),0,IF((YEAR(D43)+17)&gt;YEAR(E43),1,(12-MONTH(E43)+1)/12))))-((P43)*(IF((YEAR(D43)+17)&lt;YEAR(E43),0,IF((YEAR(D43)+17)&gt;YEAR(E43),1,(12-MONTH(E43)+1)/12))) + (R43)*(IF((YEAR(D43)+17)&lt;YEAR(E43),0,IF((YEAR(D43)+17)&gt;YEAR(E43),1,(12-MONTH(E43)+1)/12))))-(IF((((K43)*(IF(M43="",L43,IFERROR(IF(INDEX(Variablen!$I:$AT, MATCH(M43, Variablen!$A:$A, 0), MATCH((YEAR(D43)+17), Variablen!$I$3:$AT$3, 0))="",L43,INDEX(Variablen!$I:$AT, MATCH(M43, Variablen!$A:$A, 0), MATCH((YEAR(D43)+17), Variablen!$I$3:$AT$3, 0))),L43)))*(IF((YEAR(D43)+17)&lt;YEAR(E43),0,IF((YEAR(D43)+17)&gt;YEAR(E43),1,(12-MONTH(E43)+1)/12))) + (Q43)*(IF((YEAR(D43)+17)&lt;YEAR(E43),0,IF((YEAR(D43)+17)&gt;YEAR(E43),1,(12-MONTH(E43)+1)/12))))-((P43)*(IF((YEAR(D43)+17)&lt;YEAR(E43),0,IF((YEAR(D43)+17)&gt;YEAR(E43),1,(12-MONTH(E43)+1)/12))) + (R43)*(IF((YEAR(D43)+17)&lt;YEAR(E43),0,IF((YEAR(D43)+17)&gt;YEAR(E43),1,(12-MONTH(E43)+1)/12))))-(IF(OR(N43="",N43&lt;=0),0,(O43/N43)*(IF(OR(N43="",N43&lt;=0),0,IF((YEAR(D43)+17)&lt;YEAR(E43),0,IF((YEAR(D43)+17)&gt;=YEAR(E43)+N43,0,IF((YEAR(D43)+17)=YEAR(E43),(12-MONTH(E43)+1)/12,1))))))))&gt;0,(((K43)*(IF(M43="",L43,IFERROR(IF(INDEX(Variablen!$I:$AT, MATCH(M43, Variablen!$A:$A, 0), MATCH((YEAR(D43)+17), Variablen!$I$3:$AT$3, 0))="",L43,INDEX(Variablen!$I:$AT, MATCH(M43, Variablen!$A:$A, 0), MATCH((YEAR(D43)+17), Variablen!$I$3:$AT$3, 0))),L43)))*(IF((YEAR(D43)+17)&lt;YEAR(E43),0,IF((YEAR(D43)+17)&gt;YEAR(E43),1,(12-MONTH(E43)+1)/12))) + (Q43)*(IF((YEAR(D43)+17)&lt;YEAR(E43),0,IF((YEAR(D43)+17)&gt;YEAR(E43),1,(12-MONTH(E43)+1)/12))))-((P43)*(IF((YEAR(D43)+17)&lt;YEAR(E43),0,IF((YEAR(D43)+17)&gt;YEAR(E43),1,(12-MONTH(E43)+1)/12))) + (R43)*(IF((YEAR(D43)+17)&lt;YEAR(E43),0,IF((YEAR(D43)+17)&gt;YEAR(E43),1,(12-MONTH(E43)+1)/12))))-(IF(OR(N43="",N43&lt;=0),0,(O43/N43)*(IF(OR(N43="",N43&lt;=0),0,IF((YEAR(D43)+17)&lt;YEAR(E43),0,IF((YEAR(D43)+17)&gt;=YEAR(E43)+N43,0,IF((YEAR(D43)+17)=YEAR(E43),(12-MONTH(E43)+1)/12,1))))))))*TaxRate,0))-IF(17=0,O43,0))</f>
        <v/>
      </c>
      <c r="AK43" s="29">
        <f>IF(A43="","",((K43)*(IF(M43="",L43,IFERROR(IF(INDEX(Variablen!$I:$AT, MATCH(M43, Variablen!$A:$A, 0), MATCH((YEAR(D43)+18), Variablen!$I$3:$AT$3, 0))="",L43,INDEX(Variablen!$I:$AT, MATCH(M43, Variablen!$A:$A, 0), MATCH((YEAR(D43)+18), Variablen!$I$3:$AT$3, 0))),L43)))*(IF((YEAR(D43)+18)&lt;YEAR(E43),0,IF((YEAR(D43)+18)&gt;YEAR(E43),1,(12-MONTH(E43)+1)/12))) + (Q43)*(IF((YEAR(D43)+18)&lt;YEAR(E43),0,IF((YEAR(D43)+18)&gt;YEAR(E43),1,(12-MONTH(E43)+1)/12))))-((P43)*(IF((YEAR(D43)+18)&lt;YEAR(E43),0,IF((YEAR(D43)+18)&gt;YEAR(E43),1,(12-MONTH(E43)+1)/12))) + (R43)*(IF((YEAR(D43)+18)&lt;YEAR(E43),0,IF((YEAR(D43)+18)&gt;YEAR(E43),1,(12-MONTH(E43)+1)/12))))-(IF((((K43)*(IF(M43="",L43,IFERROR(IF(INDEX(Variablen!$I:$AT, MATCH(M43, Variablen!$A:$A, 0), MATCH((YEAR(D43)+18), Variablen!$I$3:$AT$3, 0))="",L43,INDEX(Variablen!$I:$AT, MATCH(M43, Variablen!$A:$A, 0), MATCH((YEAR(D43)+18), Variablen!$I$3:$AT$3, 0))),L43)))*(IF((YEAR(D43)+18)&lt;YEAR(E43),0,IF((YEAR(D43)+18)&gt;YEAR(E43),1,(12-MONTH(E43)+1)/12))) + (Q43)*(IF((YEAR(D43)+18)&lt;YEAR(E43),0,IF((YEAR(D43)+18)&gt;YEAR(E43),1,(12-MONTH(E43)+1)/12))))-((P43)*(IF((YEAR(D43)+18)&lt;YEAR(E43),0,IF((YEAR(D43)+18)&gt;YEAR(E43),1,(12-MONTH(E43)+1)/12))) + (R43)*(IF((YEAR(D43)+18)&lt;YEAR(E43),0,IF((YEAR(D43)+18)&gt;YEAR(E43),1,(12-MONTH(E43)+1)/12))))-(IF(OR(N43="",N43&lt;=0),0,(O43/N43)*(IF(OR(N43="",N43&lt;=0),0,IF((YEAR(D43)+18)&lt;YEAR(E43),0,IF((YEAR(D43)+18)&gt;=YEAR(E43)+N43,0,IF((YEAR(D43)+18)=YEAR(E43),(12-MONTH(E43)+1)/12,1))))))))&gt;0,(((K43)*(IF(M43="",L43,IFERROR(IF(INDEX(Variablen!$I:$AT, MATCH(M43, Variablen!$A:$A, 0), MATCH((YEAR(D43)+18), Variablen!$I$3:$AT$3, 0))="",L43,INDEX(Variablen!$I:$AT, MATCH(M43, Variablen!$A:$A, 0), MATCH((YEAR(D43)+18), Variablen!$I$3:$AT$3, 0))),L43)))*(IF((YEAR(D43)+18)&lt;YEAR(E43),0,IF((YEAR(D43)+18)&gt;YEAR(E43),1,(12-MONTH(E43)+1)/12))) + (Q43)*(IF((YEAR(D43)+18)&lt;YEAR(E43),0,IF((YEAR(D43)+18)&gt;YEAR(E43),1,(12-MONTH(E43)+1)/12))))-((P43)*(IF((YEAR(D43)+18)&lt;YEAR(E43),0,IF((YEAR(D43)+18)&gt;YEAR(E43),1,(12-MONTH(E43)+1)/12))) + (R43)*(IF((YEAR(D43)+18)&lt;YEAR(E43),0,IF((YEAR(D43)+18)&gt;YEAR(E43),1,(12-MONTH(E43)+1)/12))))-(IF(OR(N43="",N43&lt;=0),0,(O43/N43)*(IF(OR(N43="",N43&lt;=0),0,IF((YEAR(D43)+18)&lt;YEAR(E43),0,IF((YEAR(D43)+18)&gt;=YEAR(E43)+N43,0,IF((YEAR(D43)+18)=YEAR(E43),(12-MONTH(E43)+1)/12,1))))))))*TaxRate,0))-IF(18=0,O43,0))</f>
        <v/>
      </c>
      <c r="AL43" s="29">
        <f>IF(A43="","",((K43)*(IF(M43="",L43,IFERROR(IF(INDEX(Variablen!$I:$AT, MATCH(M43, Variablen!$A:$A, 0), MATCH((YEAR(D43)+19), Variablen!$I$3:$AT$3, 0))="",L43,INDEX(Variablen!$I:$AT, MATCH(M43, Variablen!$A:$A, 0), MATCH((YEAR(D43)+19), Variablen!$I$3:$AT$3, 0))),L43)))*(IF((YEAR(D43)+19)&lt;YEAR(E43),0,IF((YEAR(D43)+19)&gt;YEAR(E43),1,(12-MONTH(E43)+1)/12))) + (Q43)*(IF((YEAR(D43)+19)&lt;YEAR(E43),0,IF((YEAR(D43)+19)&gt;YEAR(E43),1,(12-MONTH(E43)+1)/12))))-((P43)*(IF((YEAR(D43)+19)&lt;YEAR(E43),0,IF((YEAR(D43)+19)&gt;YEAR(E43),1,(12-MONTH(E43)+1)/12))) + (R43)*(IF((YEAR(D43)+19)&lt;YEAR(E43),0,IF((YEAR(D43)+19)&gt;YEAR(E43),1,(12-MONTH(E43)+1)/12))))-(IF((((K43)*(IF(M43="",L43,IFERROR(IF(INDEX(Variablen!$I:$AT, MATCH(M43, Variablen!$A:$A, 0), MATCH((YEAR(D43)+19), Variablen!$I$3:$AT$3, 0))="",L43,INDEX(Variablen!$I:$AT, MATCH(M43, Variablen!$A:$A, 0), MATCH((YEAR(D43)+19), Variablen!$I$3:$AT$3, 0))),L43)))*(IF((YEAR(D43)+19)&lt;YEAR(E43),0,IF((YEAR(D43)+19)&gt;YEAR(E43),1,(12-MONTH(E43)+1)/12))) + (Q43)*(IF((YEAR(D43)+19)&lt;YEAR(E43),0,IF((YEAR(D43)+19)&gt;YEAR(E43),1,(12-MONTH(E43)+1)/12))))-((P43)*(IF((YEAR(D43)+19)&lt;YEAR(E43),0,IF((YEAR(D43)+19)&gt;YEAR(E43),1,(12-MONTH(E43)+1)/12))) + (R43)*(IF((YEAR(D43)+19)&lt;YEAR(E43),0,IF((YEAR(D43)+19)&gt;YEAR(E43),1,(12-MONTH(E43)+1)/12))))-(IF(OR(N43="",N43&lt;=0),0,(O43/N43)*(IF(OR(N43="",N43&lt;=0),0,IF((YEAR(D43)+19)&lt;YEAR(E43),0,IF((YEAR(D43)+19)&gt;=YEAR(E43)+N43,0,IF((YEAR(D43)+19)=YEAR(E43),(12-MONTH(E43)+1)/12,1))))))))&gt;0,(((K43)*(IF(M43="",L43,IFERROR(IF(INDEX(Variablen!$I:$AT, MATCH(M43, Variablen!$A:$A, 0), MATCH((YEAR(D43)+19), Variablen!$I$3:$AT$3, 0))="",L43,INDEX(Variablen!$I:$AT, MATCH(M43, Variablen!$A:$A, 0), MATCH((YEAR(D43)+19), Variablen!$I$3:$AT$3, 0))),L43)))*(IF((YEAR(D43)+19)&lt;YEAR(E43),0,IF((YEAR(D43)+19)&gt;YEAR(E43),1,(12-MONTH(E43)+1)/12))) + (Q43)*(IF((YEAR(D43)+19)&lt;YEAR(E43),0,IF((YEAR(D43)+19)&gt;YEAR(E43),1,(12-MONTH(E43)+1)/12))))-((P43)*(IF((YEAR(D43)+19)&lt;YEAR(E43),0,IF((YEAR(D43)+19)&gt;YEAR(E43),1,(12-MONTH(E43)+1)/12))) + (R43)*(IF((YEAR(D43)+19)&lt;YEAR(E43),0,IF((YEAR(D43)+19)&gt;YEAR(E43),1,(12-MONTH(E43)+1)/12))))-(IF(OR(N43="",N43&lt;=0),0,(O43/N43)*(IF(OR(N43="",N43&lt;=0),0,IF((YEAR(D43)+19)&lt;YEAR(E43),0,IF((YEAR(D43)+19)&gt;=YEAR(E43)+N43,0,IF((YEAR(D43)+19)=YEAR(E43),(12-MONTH(E43)+1)/12,1))))))))*TaxRate,0))-IF(19=0,O43,0))</f>
        <v/>
      </c>
      <c r="AM43" s="29">
        <f>IF(A43="","",((K43)*(IF(M43="",L43,IFERROR(IF(INDEX(Variablen!$I:$AT, MATCH(M43, Variablen!$A:$A, 0), MATCH((YEAR(D43)+20), Variablen!$I$3:$AT$3, 0))="",L43,INDEX(Variablen!$I:$AT, MATCH(M43, Variablen!$A:$A, 0), MATCH((YEAR(D43)+20), Variablen!$I$3:$AT$3, 0))),L43)))*(IF((YEAR(D43)+20)&lt;YEAR(E43),0,IF((YEAR(D43)+20)&gt;YEAR(E43),1,(12-MONTH(E43)+1)/12))) + (Q43)*(IF((YEAR(D43)+20)&lt;YEAR(E43),0,IF((YEAR(D43)+20)&gt;YEAR(E43),1,(12-MONTH(E43)+1)/12))))-((P43)*(IF((YEAR(D43)+20)&lt;YEAR(E43),0,IF((YEAR(D43)+20)&gt;YEAR(E43),1,(12-MONTH(E43)+1)/12))) + (R43)*(IF((YEAR(D43)+20)&lt;YEAR(E43),0,IF((YEAR(D43)+20)&gt;YEAR(E43),1,(12-MONTH(E43)+1)/12))))-(IF((((K43)*(IF(M43="",L43,IFERROR(IF(INDEX(Variablen!$I:$AT, MATCH(M43, Variablen!$A:$A, 0), MATCH((YEAR(D43)+20), Variablen!$I$3:$AT$3, 0))="",L43,INDEX(Variablen!$I:$AT, MATCH(M43, Variablen!$A:$A, 0), MATCH((YEAR(D43)+20), Variablen!$I$3:$AT$3, 0))),L43)))*(IF((YEAR(D43)+20)&lt;YEAR(E43),0,IF((YEAR(D43)+20)&gt;YEAR(E43),1,(12-MONTH(E43)+1)/12))) + (Q43)*(IF((YEAR(D43)+20)&lt;YEAR(E43),0,IF((YEAR(D43)+20)&gt;YEAR(E43),1,(12-MONTH(E43)+1)/12))))-((P43)*(IF((YEAR(D43)+20)&lt;YEAR(E43),0,IF((YEAR(D43)+20)&gt;YEAR(E43),1,(12-MONTH(E43)+1)/12))) + (R43)*(IF((YEAR(D43)+20)&lt;YEAR(E43),0,IF((YEAR(D43)+20)&gt;YEAR(E43),1,(12-MONTH(E43)+1)/12))))-(IF(OR(N43="",N43&lt;=0),0,(O43/N43)*(IF(OR(N43="",N43&lt;=0),0,IF((YEAR(D43)+20)&lt;YEAR(E43),0,IF((YEAR(D43)+20)&gt;=YEAR(E43)+N43,0,IF((YEAR(D43)+20)=YEAR(E43),(12-MONTH(E43)+1)/12,1))))))))&gt;0,(((K43)*(IF(M43="",L43,IFERROR(IF(INDEX(Variablen!$I:$AT, MATCH(M43, Variablen!$A:$A, 0), MATCH((YEAR(D43)+20), Variablen!$I$3:$AT$3, 0))="",L43,INDEX(Variablen!$I:$AT, MATCH(M43, Variablen!$A:$A, 0), MATCH((YEAR(D43)+20), Variablen!$I$3:$AT$3, 0))),L43)))*(IF((YEAR(D43)+20)&lt;YEAR(E43),0,IF((YEAR(D43)+20)&gt;YEAR(E43),1,(12-MONTH(E43)+1)/12))) + (Q43)*(IF((YEAR(D43)+20)&lt;YEAR(E43),0,IF((YEAR(D43)+20)&gt;YEAR(E43),1,(12-MONTH(E43)+1)/12))))-((P43)*(IF((YEAR(D43)+20)&lt;YEAR(E43),0,IF((YEAR(D43)+20)&gt;YEAR(E43),1,(12-MONTH(E43)+1)/12))) + (R43)*(IF((YEAR(D43)+20)&lt;YEAR(E43),0,IF((YEAR(D43)+20)&gt;YEAR(E43),1,(12-MONTH(E43)+1)/12))))-(IF(OR(N43="",N43&lt;=0),0,(O43/N43)*(IF(OR(N43="",N43&lt;=0),0,IF((YEAR(D43)+20)&lt;YEAR(E43),0,IF((YEAR(D43)+20)&gt;=YEAR(E43)+N43,0,IF((YEAR(D43)+20)=YEAR(E43),(12-MONTH(E43)+1)/12,1))))))))*TaxRate,0))-IF(20=0,O43,0))</f>
        <v/>
      </c>
      <c r="AN43" s="29">
        <f>IF(A43="","",S43)</f>
        <v/>
      </c>
      <c r="AO43" s="29">
        <f>IF(A43="","",AN43+T43)</f>
        <v/>
      </c>
      <c r="AP43" s="29">
        <f>IF(A43="","",AO43+U43)</f>
        <v/>
      </c>
      <c r="AQ43" s="29">
        <f>IF(A43="","",AP43+V43)</f>
        <v/>
      </c>
      <c r="AR43" s="29">
        <f>IF(A43="","",AQ43+W43)</f>
        <v/>
      </c>
      <c r="AS43" s="29">
        <f>IF(A43="","",AR43+X43)</f>
        <v/>
      </c>
      <c r="AT43" s="29">
        <f>IF(A43="","",AS43+Y43)</f>
        <v/>
      </c>
      <c r="AU43" s="29">
        <f>IF(A43="","",AT43+Z43)</f>
        <v/>
      </c>
      <c r="AV43" s="29">
        <f>IF(A43="","",AU43+AA43)</f>
        <v/>
      </c>
      <c r="AW43" s="29">
        <f>IF(A43="","",AV43+AB43)</f>
        <v/>
      </c>
      <c r="AX43" s="29">
        <f>IF(A43="","",AW43+AC43)</f>
        <v/>
      </c>
      <c r="AY43" s="29">
        <f>IF(A43="","",AX43+AD43)</f>
        <v/>
      </c>
      <c r="AZ43" s="29">
        <f>IF(A43="","",AY43+AE43)</f>
        <v/>
      </c>
      <c r="BA43" s="29">
        <f>IF(A43="","",AZ43+AF43)</f>
        <v/>
      </c>
      <c r="BB43" s="29">
        <f>IF(A43="","",BA43+AG43)</f>
        <v/>
      </c>
      <c r="BC43" s="29">
        <f>IF(A43="","",BB43+AH43)</f>
        <v/>
      </c>
      <c r="BD43" s="29">
        <f>IF(A43="","",BC43+AI43)</f>
        <v/>
      </c>
      <c r="BE43" s="29">
        <f>IF(A43="","",BD43+AJ43)</f>
        <v/>
      </c>
      <c r="BF43" s="29">
        <f>IF(A43="","",BE43+AK43)</f>
        <v/>
      </c>
      <c r="BG43" s="29">
        <f>IF(A43="","",BF43+AL43)</f>
        <v/>
      </c>
      <c r="BH43" s="29">
        <f>IF(A43="","",BG43+AM43)</f>
        <v/>
      </c>
      <c r="BI43" s="36">
        <f>IF(A43="","",(K43)*(IF((YEAR(D43)+0)&lt;YEAR(E43),0,IF((YEAR(D43)+0)&gt;YEAR(E43),1,(12-MONTH(E43)+1)/12)))*(1/(1+DiscountRate)^0))</f>
        <v/>
      </c>
      <c r="BJ43" s="36">
        <f>IF(A43="","",(K43)*(IF((YEAR(D43)+1)&lt;YEAR(E43),0,IF((YEAR(D43)+1)&gt;YEAR(E43),1,(12-MONTH(E43)+1)/12)))*(1/(1+DiscountRate)^1))</f>
        <v/>
      </c>
      <c r="BK43" s="36">
        <f>IF(A43="","",(K43)*(IF((YEAR(D43)+2)&lt;YEAR(E43),0,IF((YEAR(D43)+2)&gt;YEAR(E43),1,(12-MONTH(E43)+1)/12)))*(1/(1+DiscountRate)^2))</f>
        <v/>
      </c>
      <c r="BL43" s="36">
        <f>IF(A43="","",(K43)*(IF((YEAR(D43)+3)&lt;YEAR(E43),0,IF((YEAR(D43)+3)&gt;YEAR(E43),1,(12-MONTH(E43)+1)/12)))*(1/(1+DiscountRate)^3))</f>
        <v/>
      </c>
      <c r="BM43" s="36">
        <f>IF(A43="","",(K43)*(IF((YEAR(D43)+4)&lt;YEAR(E43),0,IF((YEAR(D43)+4)&gt;YEAR(E43),1,(12-MONTH(E43)+1)/12)))*(1/(1+DiscountRate)^4))</f>
        <v/>
      </c>
      <c r="BN43" s="36">
        <f>IF(A43="","",(K43)*(IF((YEAR(D43)+5)&lt;YEAR(E43),0,IF((YEAR(D43)+5)&gt;YEAR(E43),1,(12-MONTH(E43)+1)/12)))*(1/(1+DiscountRate)^5))</f>
        <v/>
      </c>
      <c r="BO43" s="36">
        <f>IF(A43="","",(K43)*(IF((YEAR(D43)+6)&lt;YEAR(E43),0,IF((YEAR(D43)+6)&gt;YEAR(E43),1,(12-MONTH(E43)+1)/12)))*(1/(1+DiscountRate)^6))</f>
        <v/>
      </c>
      <c r="BP43" s="36">
        <f>IF(A43="","",(K43)*(IF((YEAR(D43)+7)&lt;YEAR(E43),0,IF((YEAR(D43)+7)&gt;YEAR(E43),1,(12-MONTH(E43)+1)/12)))*(1/(1+DiscountRate)^7))</f>
        <v/>
      </c>
      <c r="BQ43" s="36">
        <f>IF(A43="","",(K43)*(IF((YEAR(D43)+8)&lt;YEAR(E43),0,IF((YEAR(D43)+8)&gt;YEAR(E43),1,(12-MONTH(E43)+1)/12)))*(1/(1+DiscountRate)^8))</f>
        <v/>
      </c>
      <c r="BR43" s="36">
        <f>IF(A43="","",(K43)*(IF((YEAR(D43)+9)&lt;YEAR(E43),0,IF((YEAR(D43)+9)&gt;YEAR(E43),1,(12-MONTH(E43)+1)/12)))*(1/(1+DiscountRate)^9))</f>
        <v/>
      </c>
      <c r="BS43" s="36">
        <f>IF(A43="","",(K43)*(IF((YEAR(D43)+10)&lt;YEAR(E43),0,IF((YEAR(D43)+10)&gt;YEAR(E43),1,(12-MONTH(E43)+1)/12)))*(1/(1+DiscountRate)^10))</f>
        <v/>
      </c>
      <c r="BT43" s="36">
        <f>IF(A43="","",(K43)*(IF((YEAR(D43)+11)&lt;YEAR(E43),0,IF((YEAR(D43)+11)&gt;YEAR(E43),1,(12-MONTH(E43)+1)/12)))*(1/(1+DiscountRate)^11))</f>
        <v/>
      </c>
      <c r="BU43" s="36">
        <f>IF(A43="","",(K43)*(IF((YEAR(D43)+12)&lt;YEAR(E43),0,IF((YEAR(D43)+12)&gt;YEAR(E43),1,(12-MONTH(E43)+1)/12)))*(1/(1+DiscountRate)^12))</f>
        <v/>
      </c>
      <c r="BV43" s="36">
        <f>IF(A43="","",(K43)*(IF((YEAR(D43)+13)&lt;YEAR(E43),0,IF((YEAR(D43)+13)&gt;YEAR(E43),1,(12-MONTH(E43)+1)/12)))*(1/(1+DiscountRate)^13))</f>
        <v/>
      </c>
      <c r="BW43" s="36">
        <f>IF(A43="","",(K43)*(IF((YEAR(D43)+14)&lt;YEAR(E43),0,IF((YEAR(D43)+14)&gt;YEAR(E43),1,(12-MONTH(E43)+1)/12)))*(1/(1+DiscountRate)^14))</f>
        <v/>
      </c>
      <c r="BX43" s="36">
        <f>IF(A43="","",(K43)*(IF((YEAR(D43)+15)&lt;YEAR(E43),0,IF((YEAR(D43)+15)&gt;YEAR(E43),1,(12-MONTH(E43)+1)/12)))*(1/(1+DiscountRate)^15))</f>
        <v/>
      </c>
      <c r="BY43" s="36">
        <f>IF(A43="","",(K43)*(IF((YEAR(D43)+16)&lt;YEAR(E43),0,IF((YEAR(D43)+16)&gt;YEAR(E43),1,(12-MONTH(E43)+1)/12)))*(1/(1+DiscountRate)^16))</f>
        <v/>
      </c>
      <c r="BZ43" s="36">
        <f>IF(A43="","",(K43)*(IF((YEAR(D43)+17)&lt;YEAR(E43),0,IF((YEAR(D43)+17)&gt;YEAR(E43),1,(12-MONTH(E43)+1)/12)))*(1/(1+DiscountRate)^17))</f>
        <v/>
      </c>
      <c r="CA43" s="36">
        <f>IF(A43="","",(K43)*(IF((YEAR(D43)+18)&lt;YEAR(E43),0,IF((YEAR(D43)+18)&gt;YEAR(E43),1,(12-MONTH(E43)+1)/12)))*(1/(1+DiscountRate)^18))</f>
        <v/>
      </c>
      <c r="CB43" s="36">
        <f>IF(A43="","",(K43)*(IF((YEAR(D43)+19)&lt;YEAR(E43),0,IF((YEAR(D43)+19)&gt;YEAR(E43),1,(12-MONTH(E43)+1)/12)))*(1/(1+DiscountRate)^19))</f>
        <v/>
      </c>
      <c r="CC43" s="36">
        <f>IF(A43="","",(K43)*(IF((YEAR(D43)+20)&lt;YEAR(E43),0,IF((YEAR(D43)+20)&gt;YEAR(E43),1,(12-MONTH(E43)+1)/12)))*(1/(1+DiscountRate)^20))</f>
        <v/>
      </c>
      <c r="CD43" s="29">
        <f>IF(A43="","",S43/(1+DiscountRate)^0+T43/(1+DiscountRate)^1+U43/(1+DiscountRate)^2+V43/(1+DiscountRate)^3+W43/(1+DiscountRate)^4+X43/(1+DiscountRate)^5+Y43/(1+DiscountRate)^6+Z43/(1+DiscountRate)^7+AA43/(1+DiscountRate)^8+AB43/(1+DiscountRate)^9+AC43/(1+DiscountRate)^10+AD43/(1+DiscountRate)^11+AE43/(1+DiscountRate)^12+AF43/(1+DiscountRate)^13+AG43/(1+DiscountRate)^14+AH43/(1+DiscountRate)^15+AI43/(1+DiscountRate)^16+AJ43/(1+DiscountRate)^17+AK43/(1+DiscountRate)^18+AL43/(1+DiscountRate)^19+AM43/(1+DiscountRate)^20)</f>
        <v/>
      </c>
      <c r="CE43" s="37">
        <f>IF(A43="","",IFERROR(IRR(OFFSET(S43,0,0,1,MIN(HorizonYears,20)+1)),"n/a"))</f>
        <v/>
      </c>
      <c r="CF43" s="28">
        <f>IF(A43="","",IFERROR(MATCH(TRUE,OFFSET(AN43,0,0,1,MIN(HorizonYears,20)+1)&gt;=0,0)-1,"n/a"))</f>
        <v/>
      </c>
      <c r="CG43" s="36">
        <f>IF(A43="","",SUM(OFFSET(BI43,0,0,1,MIN(HorizonYears,20)+1)))</f>
        <v/>
      </c>
      <c r="CH43" s="36">
        <f>IF(A43="","",IFERROR(-CD43/CG43,"n/a"))</f>
        <v/>
      </c>
    </row>
    <row r="44">
      <c r="A44" s="6">
        <f>Actions!A42</f>
        <v/>
      </c>
      <c r="B44" s="6">
        <f>Actions!B42</f>
        <v/>
      </c>
      <c r="C44" s="6">
        <f>Actions!D42</f>
        <v/>
      </c>
      <c r="D44" s="35">
        <f>Actions!E42</f>
        <v/>
      </c>
      <c r="E44" s="35">
        <f>Actions!F42</f>
        <v/>
      </c>
      <c r="F44" s="6">
        <f>Actions!G42</f>
        <v/>
      </c>
      <c r="G44" s="6">
        <f>Actions!H42</f>
        <v/>
      </c>
      <c r="H44" s="29">
        <f>Actions!I42</f>
        <v/>
      </c>
      <c r="I44" s="6">
        <f>Actions!J42</f>
        <v/>
      </c>
      <c r="J44" s="16">
        <f>Actions!K42</f>
        <v/>
      </c>
      <c r="K44" s="16">
        <f>IF(A44="","",IF(I44="%",H44*J44,J44))</f>
        <v/>
      </c>
      <c r="L44" s="16">
        <f>Actions!L42</f>
        <v/>
      </c>
      <c r="M44" s="6">
        <f>Actions!M42</f>
        <v/>
      </c>
      <c r="N44" s="28">
        <f>Actions!N42</f>
        <v/>
      </c>
      <c r="O44" s="29">
        <f>Actions!T42</f>
        <v/>
      </c>
      <c r="P44" s="29">
        <f>Actions!Y42</f>
        <v/>
      </c>
      <c r="Q44" s="29">
        <f>Actions!Z42</f>
        <v/>
      </c>
      <c r="R44" s="29">
        <f>Actions!AA42</f>
        <v/>
      </c>
      <c r="S44" s="29">
        <f>IF(A44="","",((K44)*(IF(M44="",L44,IFERROR(IF(INDEX(Variablen!$I:$AT, MATCH(M44, Variablen!$A:$A, 0), MATCH((YEAR(D44)+0), Variablen!$I$3:$AT$3, 0))="",L44,INDEX(Variablen!$I:$AT, MATCH(M44, Variablen!$A:$A, 0), MATCH((YEAR(D44)+0), Variablen!$I$3:$AT$3, 0))),L44)))*(IF((YEAR(D44)+0)&lt;YEAR(E44),0,IF((YEAR(D44)+0)&gt;YEAR(E44),1,(12-MONTH(E44)+1)/12))) + (Q44)*(IF((YEAR(D44)+0)&lt;YEAR(E44),0,IF((YEAR(D44)+0)&gt;YEAR(E44),1,(12-MONTH(E44)+1)/12))))-((P44)*(IF((YEAR(D44)+0)&lt;YEAR(E44),0,IF((YEAR(D44)+0)&gt;YEAR(E44),1,(12-MONTH(E44)+1)/12))) + (R44)*(IF((YEAR(D44)+0)&lt;YEAR(E44),0,IF((YEAR(D44)+0)&gt;YEAR(E44),1,(12-MONTH(E44)+1)/12))))-(IF((((K44)*(IF(M44="",L44,IFERROR(IF(INDEX(Variablen!$I:$AT, MATCH(M44, Variablen!$A:$A, 0), MATCH((YEAR(D44)+0), Variablen!$I$3:$AT$3, 0))="",L44,INDEX(Variablen!$I:$AT, MATCH(M44, Variablen!$A:$A, 0), MATCH((YEAR(D44)+0), Variablen!$I$3:$AT$3, 0))),L44)))*(IF((YEAR(D44)+0)&lt;YEAR(E44),0,IF((YEAR(D44)+0)&gt;YEAR(E44),1,(12-MONTH(E44)+1)/12))) + (Q44)*(IF((YEAR(D44)+0)&lt;YEAR(E44),0,IF((YEAR(D44)+0)&gt;YEAR(E44),1,(12-MONTH(E44)+1)/12))))-((P44)*(IF((YEAR(D44)+0)&lt;YEAR(E44),0,IF((YEAR(D44)+0)&gt;YEAR(E44),1,(12-MONTH(E44)+1)/12))) + (R44)*(IF((YEAR(D44)+0)&lt;YEAR(E44),0,IF((YEAR(D44)+0)&gt;YEAR(E44),1,(12-MONTH(E44)+1)/12))))-(IF(OR(N44="",N44&lt;=0),0,(O44/N44)*(IF(OR(N44="",N44&lt;=0),0,IF((YEAR(D44)+0)&lt;YEAR(E44),0,IF((YEAR(D44)+0)&gt;=YEAR(E44)+N44,0,IF((YEAR(D44)+0)=YEAR(E44),(12-MONTH(E44)+1)/12,1))))))))&gt;0,(((K44)*(IF(M44="",L44,IFERROR(IF(INDEX(Variablen!$I:$AT, MATCH(M44, Variablen!$A:$A, 0), MATCH((YEAR(D44)+0), Variablen!$I$3:$AT$3, 0))="",L44,INDEX(Variablen!$I:$AT, MATCH(M44, Variablen!$A:$A, 0), MATCH((YEAR(D44)+0), Variablen!$I$3:$AT$3, 0))),L44)))*(IF((YEAR(D44)+0)&lt;YEAR(E44),0,IF((YEAR(D44)+0)&gt;YEAR(E44),1,(12-MONTH(E44)+1)/12))) + (Q44)*(IF((YEAR(D44)+0)&lt;YEAR(E44),0,IF((YEAR(D44)+0)&gt;YEAR(E44),1,(12-MONTH(E44)+1)/12))))-((P44)*(IF((YEAR(D44)+0)&lt;YEAR(E44),0,IF((YEAR(D44)+0)&gt;YEAR(E44),1,(12-MONTH(E44)+1)/12))) + (R44)*(IF((YEAR(D44)+0)&lt;YEAR(E44),0,IF((YEAR(D44)+0)&gt;YEAR(E44),1,(12-MONTH(E44)+1)/12))))-(IF(OR(N44="",N44&lt;=0),0,(O44/N44)*(IF(OR(N44="",N44&lt;=0),0,IF((YEAR(D44)+0)&lt;YEAR(E44),0,IF((YEAR(D44)+0)&gt;=YEAR(E44)+N44,0,IF((YEAR(D44)+0)=YEAR(E44),(12-MONTH(E44)+1)/12,1))))))))*TaxRate,0))-IF(0=0,O44,0))</f>
        <v/>
      </c>
      <c r="T44" s="29">
        <f>IF(A44="","",((K44)*(IF(M44="",L44,IFERROR(IF(INDEX(Variablen!$I:$AT, MATCH(M44, Variablen!$A:$A, 0), MATCH((YEAR(D44)+1), Variablen!$I$3:$AT$3, 0))="",L44,INDEX(Variablen!$I:$AT, MATCH(M44, Variablen!$A:$A, 0), MATCH((YEAR(D44)+1), Variablen!$I$3:$AT$3, 0))),L44)))*(IF((YEAR(D44)+1)&lt;YEAR(E44),0,IF((YEAR(D44)+1)&gt;YEAR(E44),1,(12-MONTH(E44)+1)/12))) + (Q44)*(IF((YEAR(D44)+1)&lt;YEAR(E44),0,IF((YEAR(D44)+1)&gt;YEAR(E44),1,(12-MONTH(E44)+1)/12))))-((P44)*(IF((YEAR(D44)+1)&lt;YEAR(E44),0,IF((YEAR(D44)+1)&gt;YEAR(E44),1,(12-MONTH(E44)+1)/12))) + (R44)*(IF((YEAR(D44)+1)&lt;YEAR(E44),0,IF((YEAR(D44)+1)&gt;YEAR(E44),1,(12-MONTH(E44)+1)/12))))-(IF((((K44)*(IF(M44="",L44,IFERROR(IF(INDEX(Variablen!$I:$AT, MATCH(M44, Variablen!$A:$A, 0), MATCH((YEAR(D44)+1), Variablen!$I$3:$AT$3, 0))="",L44,INDEX(Variablen!$I:$AT, MATCH(M44, Variablen!$A:$A, 0), MATCH((YEAR(D44)+1), Variablen!$I$3:$AT$3, 0))),L44)))*(IF((YEAR(D44)+1)&lt;YEAR(E44),0,IF((YEAR(D44)+1)&gt;YEAR(E44),1,(12-MONTH(E44)+1)/12))) + (Q44)*(IF((YEAR(D44)+1)&lt;YEAR(E44),0,IF((YEAR(D44)+1)&gt;YEAR(E44),1,(12-MONTH(E44)+1)/12))))-((P44)*(IF((YEAR(D44)+1)&lt;YEAR(E44),0,IF((YEAR(D44)+1)&gt;YEAR(E44),1,(12-MONTH(E44)+1)/12))) + (R44)*(IF((YEAR(D44)+1)&lt;YEAR(E44),0,IF((YEAR(D44)+1)&gt;YEAR(E44),1,(12-MONTH(E44)+1)/12))))-(IF(OR(N44="",N44&lt;=0),0,(O44/N44)*(IF(OR(N44="",N44&lt;=0),0,IF((YEAR(D44)+1)&lt;YEAR(E44),0,IF((YEAR(D44)+1)&gt;=YEAR(E44)+N44,0,IF((YEAR(D44)+1)=YEAR(E44),(12-MONTH(E44)+1)/12,1))))))))&gt;0,(((K44)*(IF(M44="",L44,IFERROR(IF(INDEX(Variablen!$I:$AT, MATCH(M44, Variablen!$A:$A, 0), MATCH((YEAR(D44)+1), Variablen!$I$3:$AT$3, 0))="",L44,INDEX(Variablen!$I:$AT, MATCH(M44, Variablen!$A:$A, 0), MATCH((YEAR(D44)+1), Variablen!$I$3:$AT$3, 0))),L44)))*(IF((YEAR(D44)+1)&lt;YEAR(E44),0,IF((YEAR(D44)+1)&gt;YEAR(E44),1,(12-MONTH(E44)+1)/12))) + (Q44)*(IF((YEAR(D44)+1)&lt;YEAR(E44),0,IF((YEAR(D44)+1)&gt;YEAR(E44),1,(12-MONTH(E44)+1)/12))))-((P44)*(IF((YEAR(D44)+1)&lt;YEAR(E44),0,IF((YEAR(D44)+1)&gt;YEAR(E44),1,(12-MONTH(E44)+1)/12))) + (R44)*(IF((YEAR(D44)+1)&lt;YEAR(E44),0,IF((YEAR(D44)+1)&gt;YEAR(E44),1,(12-MONTH(E44)+1)/12))))-(IF(OR(N44="",N44&lt;=0),0,(O44/N44)*(IF(OR(N44="",N44&lt;=0),0,IF((YEAR(D44)+1)&lt;YEAR(E44),0,IF((YEAR(D44)+1)&gt;=YEAR(E44)+N44,0,IF((YEAR(D44)+1)=YEAR(E44),(12-MONTH(E44)+1)/12,1))))))))*TaxRate,0))-IF(1=0,O44,0))</f>
        <v/>
      </c>
      <c r="U44" s="29">
        <f>IF(A44="","",((K44)*(IF(M44="",L44,IFERROR(IF(INDEX(Variablen!$I:$AT, MATCH(M44, Variablen!$A:$A, 0), MATCH((YEAR(D44)+2), Variablen!$I$3:$AT$3, 0))="",L44,INDEX(Variablen!$I:$AT, MATCH(M44, Variablen!$A:$A, 0), MATCH((YEAR(D44)+2), Variablen!$I$3:$AT$3, 0))),L44)))*(IF((YEAR(D44)+2)&lt;YEAR(E44),0,IF((YEAR(D44)+2)&gt;YEAR(E44),1,(12-MONTH(E44)+1)/12))) + (Q44)*(IF((YEAR(D44)+2)&lt;YEAR(E44),0,IF((YEAR(D44)+2)&gt;YEAR(E44),1,(12-MONTH(E44)+1)/12))))-((P44)*(IF((YEAR(D44)+2)&lt;YEAR(E44),0,IF((YEAR(D44)+2)&gt;YEAR(E44),1,(12-MONTH(E44)+1)/12))) + (R44)*(IF((YEAR(D44)+2)&lt;YEAR(E44),0,IF((YEAR(D44)+2)&gt;YEAR(E44),1,(12-MONTH(E44)+1)/12))))-(IF((((K44)*(IF(M44="",L44,IFERROR(IF(INDEX(Variablen!$I:$AT, MATCH(M44, Variablen!$A:$A, 0), MATCH((YEAR(D44)+2), Variablen!$I$3:$AT$3, 0))="",L44,INDEX(Variablen!$I:$AT, MATCH(M44, Variablen!$A:$A, 0), MATCH((YEAR(D44)+2), Variablen!$I$3:$AT$3, 0))),L44)))*(IF((YEAR(D44)+2)&lt;YEAR(E44),0,IF((YEAR(D44)+2)&gt;YEAR(E44),1,(12-MONTH(E44)+1)/12))) + (Q44)*(IF((YEAR(D44)+2)&lt;YEAR(E44),0,IF((YEAR(D44)+2)&gt;YEAR(E44),1,(12-MONTH(E44)+1)/12))))-((P44)*(IF((YEAR(D44)+2)&lt;YEAR(E44),0,IF((YEAR(D44)+2)&gt;YEAR(E44),1,(12-MONTH(E44)+1)/12))) + (R44)*(IF((YEAR(D44)+2)&lt;YEAR(E44),0,IF((YEAR(D44)+2)&gt;YEAR(E44),1,(12-MONTH(E44)+1)/12))))-(IF(OR(N44="",N44&lt;=0),0,(O44/N44)*(IF(OR(N44="",N44&lt;=0),0,IF((YEAR(D44)+2)&lt;YEAR(E44),0,IF((YEAR(D44)+2)&gt;=YEAR(E44)+N44,0,IF((YEAR(D44)+2)=YEAR(E44),(12-MONTH(E44)+1)/12,1))))))))&gt;0,(((K44)*(IF(M44="",L44,IFERROR(IF(INDEX(Variablen!$I:$AT, MATCH(M44, Variablen!$A:$A, 0), MATCH((YEAR(D44)+2), Variablen!$I$3:$AT$3, 0))="",L44,INDEX(Variablen!$I:$AT, MATCH(M44, Variablen!$A:$A, 0), MATCH((YEAR(D44)+2), Variablen!$I$3:$AT$3, 0))),L44)))*(IF((YEAR(D44)+2)&lt;YEAR(E44),0,IF((YEAR(D44)+2)&gt;YEAR(E44),1,(12-MONTH(E44)+1)/12))) + (Q44)*(IF((YEAR(D44)+2)&lt;YEAR(E44),0,IF((YEAR(D44)+2)&gt;YEAR(E44),1,(12-MONTH(E44)+1)/12))))-((P44)*(IF((YEAR(D44)+2)&lt;YEAR(E44),0,IF((YEAR(D44)+2)&gt;YEAR(E44),1,(12-MONTH(E44)+1)/12))) + (R44)*(IF((YEAR(D44)+2)&lt;YEAR(E44),0,IF((YEAR(D44)+2)&gt;YEAR(E44),1,(12-MONTH(E44)+1)/12))))-(IF(OR(N44="",N44&lt;=0),0,(O44/N44)*(IF(OR(N44="",N44&lt;=0),0,IF((YEAR(D44)+2)&lt;YEAR(E44),0,IF((YEAR(D44)+2)&gt;=YEAR(E44)+N44,0,IF((YEAR(D44)+2)=YEAR(E44),(12-MONTH(E44)+1)/12,1))))))))*TaxRate,0))-IF(2=0,O44,0))</f>
        <v/>
      </c>
      <c r="V44" s="29">
        <f>IF(A44="","",((K44)*(IF(M44="",L44,IFERROR(IF(INDEX(Variablen!$I:$AT, MATCH(M44, Variablen!$A:$A, 0), MATCH((YEAR(D44)+3), Variablen!$I$3:$AT$3, 0))="",L44,INDEX(Variablen!$I:$AT, MATCH(M44, Variablen!$A:$A, 0), MATCH((YEAR(D44)+3), Variablen!$I$3:$AT$3, 0))),L44)))*(IF((YEAR(D44)+3)&lt;YEAR(E44),0,IF((YEAR(D44)+3)&gt;YEAR(E44),1,(12-MONTH(E44)+1)/12))) + (Q44)*(IF((YEAR(D44)+3)&lt;YEAR(E44),0,IF((YEAR(D44)+3)&gt;YEAR(E44),1,(12-MONTH(E44)+1)/12))))-((P44)*(IF((YEAR(D44)+3)&lt;YEAR(E44),0,IF((YEAR(D44)+3)&gt;YEAR(E44),1,(12-MONTH(E44)+1)/12))) + (R44)*(IF((YEAR(D44)+3)&lt;YEAR(E44),0,IF((YEAR(D44)+3)&gt;YEAR(E44),1,(12-MONTH(E44)+1)/12))))-(IF((((K44)*(IF(M44="",L44,IFERROR(IF(INDEX(Variablen!$I:$AT, MATCH(M44, Variablen!$A:$A, 0), MATCH((YEAR(D44)+3), Variablen!$I$3:$AT$3, 0))="",L44,INDEX(Variablen!$I:$AT, MATCH(M44, Variablen!$A:$A, 0), MATCH((YEAR(D44)+3), Variablen!$I$3:$AT$3, 0))),L44)))*(IF((YEAR(D44)+3)&lt;YEAR(E44),0,IF((YEAR(D44)+3)&gt;YEAR(E44),1,(12-MONTH(E44)+1)/12))) + (Q44)*(IF((YEAR(D44)+3)&lt;YEAR(E44),0,IF((YEAR(D44)+3)&gt;YEAR(E44),1,(12-MONTH(E44)+1)/12))))-((P44)*(IF((YEAR(D44)+3)&lt;YEAR(E44),0,IF((YEAR(D44)+3)&gt;YEAR(E44),1,(12-MONTH(E44)+1)/12))) + (R44)*(IF((YEAR(D44)+3)&lt;YEAR(E44),0,IF((YEAR(D44)+3)&gt;YEAR(E44),1,(12-MONTH(E44)+1)/12))))-(IF(OR(N44="",N44&lt;=0),0,(O44/N44)*(IF(OR(N44="",N44&lt;=0),0,IF((YEAR(D44)+3)&lt;YEAR(E44),0,IF((YEAR(D44)+3)&gt;=YEAR(E44)+N44,0,IF((YEAR(D44)+3)=YEAR(E44),(12-MONTH(E44)+1)/12,1))))))))&gt;0,(((K44)*(IF(M44="",L44,IFERROR(IF(INDEX(Variablen!$I:$AT, MATCH(M44, Variablen!$A:$A, 0), MATCH((YEAR(D44)+3), Variablen!$I$3:$AT$3, 0))="",L44,INDEX(Variablen!$I:$AT, MATCH(M44, Variablen!$A:$A, 0), MATCH((YEAR(D44)+3), Variablen!$I$3:$AT$3, 0))),L44)))*(IF((YEAR(D44)+3)&lt;YEAR(E44),0,IF((YEAR(D44)+3)&gt;YEAR(E44),1,(12-MONTH(E44)+1)/12))) + (Q44)*(IF((YEAR(D44)+3)&lt;YEAR(E44),0,IF((YEAR(D44)+3)&gt;YEAR(E44),1,(12-MONTH(E44)+1)/12))))-((P44)*(IF((YEAR(D44)+3)&lt;YEAR(E44),0,IF((YEAR(D44)+3)&gt;YEAR(E44),1,(12-MONTH(E44)+1)/12))) + (R44)*(IF((YEAR(D44)+3)&lt;YEAR(E44),0,IF((YEAR(D44)+3)&gt;YEAR(E44),1,(12-MONTH(E44)+1)/12))))-(IF(OR(N44="",N44&lt;=0),0,(O44/N44)*(IF(OR(N44="",N44&lt;=0),0,IF((YEAR(D44)+3)&lt;YEAR(E44),0,IF((YEAR(D44)+3)&gt;=YEAR(E44)+N44,0,IF((YEAR(D44)+3)=YEAR(E44),(12-MONTH(E44)+1)/12,1))))))))*TaxRate,0))-IF(3=0,O44,0))</f>
        <v/>
      </c>
      <c r="W44" s="29">
        <f>IF(A44="","",((K44)*(IF(M44="",L44,IFERROR(IF(INDEX(Variablen!$I:$AT, MATCH(M44, Variablen!$A:$A, 0), MATCH((YEAR(D44)+4), Variablen!$I$3:$AT$3, 0))="",L44,INDEX(Variablen!$I:$AT, MATCH(M44, Variablen!$A:$A, 0), MATCH((YEAR(D44)+4), Variablen!$I$3:$AT$3, 0))),L44)))*(IF((YEAR(D44)+4)&lt;YEAR(E44),0,IF((YEAR(D44)+4)&gt;YEAR(E44),1,(12-MONTH(E44)+1)/12))) + (Q44)*(IF((YEAR(D44)+4)&lt;YEAR(E44),0,IF((YEAR(D44)+4)&gt;YEAR(E44),1,(12-MONTH(E44)+1)/12))))-((P44)*(IF((YEAR(D44)+4)&lt;YEAR(E44),0,IF((YEAR(D44)+4)&gt;YEAR(E44),1,(12-MONTH(E44)+1)/12))) + (R44)*(IF((YEAR(D44)+4)&lt;YEAR(E44),0,IF((YEAR(D44)+4)&gt;YEAR(E44),1,(12-MONTH(E44)+1)/12))))-(IF((((K44)*(IF(M44="",L44,IFERROR(IF(INDEX(Variablen!$I:$AT, MATCH(M44, Variablen!$A:$A, 0), MATCH((YEAR(D44)+4), Variablen!$I$3:$AT$3, 0))="",L44,INDEX(Variablen!$I:$AT, MATCH(M44, Variablen!$A:$A, 0), MATCH((YEAR(D44)+4), Variablen!$I$3:$AT$3, 0))),L44)))*(IF((YEAR(D44)+4)&lt;YEAR(E44),0,IF((YEAR(D44)+4)&gt;YEAR(E44),1,(12-MONTH(E44)+1)/12))) + (Q44)*(IF((YEAR(D44)+4)&lt;YEAR(E44),0,IF((YEAR(D44)+4)&gt;YEAR(E44),1,(12-MONTH(E44)+1)/12))))-((P44)*(IF((YEAR(D44)+4)&lt;YEAR(E44),0,IF((YEAR(D44)+4)&gt;YEAR(E44),1,(12-MONTH(E44)+1)/12))) + (R44)*(IF((YEAR(D44)+4)&lt;YEAR(E44),0,IF((YEAR(D44)+4)&gt;YEAR(E44),1,(12-MONTH(E44)+1)/12))))-(IF(OR(N44="",N44&lt;=0),0,(O44/N44)*(IF(OR(N44="",N44&lt;=0),0,IF((YEAR(D44)+4)&lt;YEAR(E44),0,IF((YEAR(D44)+4)&gt;=YEAR(E44)+N44,0,IF((YEAR(D44)+4)=YEAR(E44),(12-MONTH(E44)+1)/12,1))))))))&gt;0,(((K44)*(IF(M44="",L44,IFERROR(IF(INDEX(Variablen!$I:$AT, MATCH(M44, Variablen!$A:$A, 0), MATCH((YEAR(D44)+4), Variablen!$I$3:$AT$3, 0))="",L44,INDEX(Variablen!$I:$AT, MATCH(M44, Variablen!$A:$A, 0), MATCH((YEAR(D44)+4), Variablen!$I$3:$AT$3, 0))),L44)))*(IF((YEAR(D44)+4)&lt;YEAR(E44),0,IF((YEAR(D44)+4)&gt;YEAR(E44),1,(12-MONTH(E44)+1)/12))) + (Q44)*(IF((YEAR(D44)+4)&lt;YEAR(E44),0,IF((YEAR(D44)+4)&gt;YEAR(E44),1,(12-MONTH(E44)+1)/12))))-((P44)*(IF((YEAR(D44)+4)&lt;YEAR(E44),0,IF((YEAR(D44)+4)&gt;YEAR(E44),1,(12-MONTH(E44)+1)/12))) + (R44)*(IF((YEAR(D44)+4)&lt;YEAR(E44),0,IF((YEAR(D44)+4)&gt;YEAR(E44),1,(12-MONTH(E44)+1)/12))))-(IF(OR(N44="",N44&lt;=0),0,(O44/N44)*(IF(OR(N44="",N44&lt;=0),0,IF((YEAR(D44)+4)&lt;YEAR(E44),0,IF((YEAR(D44)+4)&gt;=YEAR(E44)+N44,0,IF((YEAR(D44)+4)=YEAR(E44),(12-MONTH(E44)+1)/12,1))))))))*TaxRate,0))-IF(4=0,O44,0))</f>
        <v/>
      </c>
      <c r="X44" s="29">
        <f>IF(A44="","",((K44)*(IF(M44="",L44,IFERROR(IF(INDEX(Variablen!$I:$AT, MATCH(M44, Variablen!$A:$A, 0), MATCH((YEAR(D44)+5), Variablen!$I$3:$AT$3, 0))="",L44,INDEX(Variablen!$I:$AT, MATCH(M44, Variablen!$A:$A, 0), MATCH((YEAR(D44)+5), Variablen!$I$3:$AT$3, 0))),L44)))*(IF((YEAR(D44)+5)&lt;YEAR(E44),0,IF((YEAR(D44)+5)&gt;YEAR(E44),1,(12-MONTH(E44)+1)/12))) + (Q44)*(IF((YEAR(D44)+5)&lt;YEAR(E44),0,IF((YEAR(D44)+5)&gt;YEAR(E44),1,(12-MONTH(E44)+1)/12))))-((P44)*(IF((YEAR(D44)+5)&lt;YEAR(E44),0,IF((YEAR(D44)+5)&gt;YEAR(E44),1,(12-MONTH(E44)+1)/12))) + (R44)*(IF((YEAR(D44)+5)&lt;YEAR(E44),0,IF((YEAR(D44)+5)&gt;YEAR(E44),1,(12-MONTH(E44)+1)/12))))-(IF((((K44)*(IF(M44="",L44,IFERROR(IF(INDEX(Variablen!$I:$AT, MATCH(M44, Variablen!$A:$A, 0), MATCH((YEAR(D44)+5), Variablen!$I$3:$AT$3, 0))="",L44,INDEX(Variablen!$I:$AT, MATCH(M44, Variablen!$A:$A, 0), MATCH((YEAR(D44)+5), Variablen!$I$3:$AT$3, 0))),L44)))*(IF((YEAR(D44)+5)&lt;YEAR(E44),0,IF((YEAR(D44)+5)&gt;YEAR(E44),1,(12-MONTH(E44)+1)/12))) + (Q44)*(IF((YEAR(D44)+5)&lt;YEAR(E44),0,IF((YEAR(D44)+5)&gt;YEAR(E44),1,(12-MONTH(E44)+1)/12))))-((P44)*(IF((YEAR(D44)+5)&lt;YEAR(E44),0,IF((YEAR(D44)+5)&gt;YEAR(E44),1,(12-MONTH(E44)+1)/12))) + (R44)*(IF((YEAR(D44)+5)&lt;YEAR(E44),0,IF((YEAR(D44)+5)&gt;YEAR(E44),1,(12-MONTH(E44)+1)/12))))-(IF(OR(N44="",N44&lt;=0),0,(O44/N44)*(IF(OR(N44="",N44&lt;=0),0,IF((YEAR(D44)+5)&lt;YEAR(E44),0,IF((YEAR(D44)+5)&gt;=YEAR(E44)+N44,0,IF((YEAR(D44)+5)=YEAR(E44),(12-MONTH(E44)+1)/12,1))))))))&gt;0,(((K44)*(IF(M44="",L44,IFERROR(IF(INDEX(Variablen!$I:$AT, MATCH(M44, Variablen!$A:$A, 0), MATCH((YEAR(D44)+5), Variablen!$I$3:$AT$3, 0))="",L44,INDEX(Variablen!$I:$AT, MATCH(M44, Variablen!$A:$A, 0), MATCH((YEAR(D44)+5), Variablen!$I$3:$AT$3, 0))),L44)))*(IF((YEAR(D44)+5)&lt;YEAR(E44),0,IF((YEAR(D44)+5)&gt;YEAR(E44),1,(12-MONTH(E44)+1)/12))) + (Q44)*(IF((YEAR(D44)+5)&lt;YEAR(E44),0,IF((YEAR(D44)+5)&gt;YEAR(E44),1,(12-MONTH(E44)+1)/12))))-((P44)*(IF((YEAR(D44)+5)&lt;YEAR(E44),0,IF((YEAR(D44)+5)&gt;YEAR(E44),1,(12-MONTH(E44)+1)/12))) + (R44)*(IF((YEAR(D44)+5)&lt;YEAR(E44),0,IF((YEAR(D44)+5)&gt;YEAR(E44),1,(12-MONTH(E44)+1)/12))))-(IF(OR(N44="",N44&lt;=0),0,(O44/N44)*(IF(OR(N44="",N44&lt;=0),0,IF((YEAR(D44)+5)&lt;YEAR(E44),0,IF((YEAR(D44)+5)&gt;=YEAR(E44)+N44,0,IF((YEAR(D44)+5)=YEAR(E44),(12-MONTH(E44)+1)/12,1))))))))*TaxRate,0))-IF(5=0,O44,0))</f>
        <v/>
      </c>
      <c r="Y44" s="29">
        <f>IF(A44="","",((K44)*(IF(M44="",L44,IFERROR(IF(INDEX(Variablen!$I:$AT, MATCH(M44, Variablen!$A:$A, 0), MATCH((YEAR(D44)+6), Variablen!$I$3:$AT$3, 0))="",L44,INDEX(Variablen!$I:$AT, MATCH(M44, Variablen!$A:$A, 0), MATCH((YEAR(D44)+6), Variablen!$I$3:$AT$3, 0))),L44)))*(IF((YEAR(D44)+6)&lt;YEAR(E44),0,IF((YEAR(D44)+6)&gt;YEAR(E44),1,(12-MONTH(E44)+1)/12))) + (Q44)*(IF((YEAR(D44)+6)&lt;YEAR(E44),0,IF((YEAR(D44)+6)&gt;YEAR(E44),1,(12-MONTH(E44)+1)/12))))-((P44)*(IF((YEAR(D44)+6)&lt;YEAR(E44),0,IF((YEAR(D44)+6)&gt;YEAR(E44),1,(12-MONTH(E44)+1)/12))) + (R44)*(IF((YEAR(D44)+6)&lt;YEAR(E44),0,IF((YEAR(D44)+6)&gt;YEAR(E44),1,(12-MONTH(E44)+1)/12))))-(IF((((K44)*(IF(M44="",L44,IFERROR(IF(INDEX(Variablen!$I:$AT, MATCH(M44, Variablen!$A:$A, 0), MATCH((YEAR(D44)+6), Variablen!$I$3:$AT$3, 0))="",L44,INDEX(Variablen!$I:$AT, MATCH(M44, Variablen!$A:$A, 0), MATCH((YEAR(D44)+6), Variablen!$I$3:$AT$3, 0))),L44)))*(IF((YEAR(D44)+6)&lt;YEAR(E44),0,IF((YEAR(D44)+6)&gt;YEAR(E44),1,(12-MONTH(E44)+1)/12))) + (Q44)*(IF((YEAR(D44)+6)&lt;YEAR(E44),0,IF((YEAR(D44)+6)&gt;YEAR(E44),1,(12-MONTH(E44)+1)/12))))-((P44)*(IF((YEAR(D44)+6)&lt;YEAR(E44),0,IF((YEAR(D44)+6)&gt;YEAR(E44),1,(12-MONTH(E44)+1)/12))) + (R44)*(IF((YEAR(D44)+6)&lt;YEAR(E44),0,IF((YEAR(D44)+6)&gt;YEAR(E44),1,(12-MONTH(E44)+1)/12))))-(IF(OR(N44="",N44&lt;=0),0,(O44/N44)*(IF(OR(N44="",N44&lt;=0),0,IF((YEAR(D44)+6)&lt;YEAR(E44),0,IF((YEAR(D44)+6)&gt;=YEAR(E44)+N44,0,IF((YEAR(D44)+6)=YEAR(E44),(12-MONTH(E44)+1)/12,1))))))))&gt;0,(((K44)*(IF(M44="",L44,IFERROR(IF(INDEX(Variablen!$I:$AT, MATCH(M44, Variablen!$A:$A, 0), MATCH((YEAR(D44)+6), Variablen!$I$3:$AT$3, 0))="",L44,INDEX(Variablen!$I:$AT, MATCH(M44, Variablen!$A:$A, 0), MATCH((YEAR(D44)+6), Variablen!$I$3:$AT$3, 0))),L44)))*(IF((YEAR(D44)+6)&lt;YEAR(E44),0,IF((YEAR(D44)+6)&gt;YEAR(E44),1,(12-MONTH(E44)+1)/12))) + (Q44)*(IF((YEAR(D44)+6)&lt;YEAR(E44),0,IF((YEAR(D44)+6)&gt;YEAR(E44),1,(12-MONTH(E44)+1)/12))))-((P44)*(IF((YEAR(D44)+6)&lt;YEAR(E44),0,IF((YEAR(D44)+6)&gt;YEAR(E44),1,(12-MONTH(E44)+1)/12))) + (R44)*(IF((YEAR(D44)+6)&lt;YEAR(E44),0,IF((YEAR(D44)+6)&gt;YEAR(E44),1,(12-MONTH(E44)+1)/12))))-(IF(OR(N44="",N44&lt;=0),0,(O44/N44)*(IF(OR(N44="",N44&lt;=0),0,IF((YEAR(D44)+6)&lt;YEAR(E44),0,IF((YEAR(D44)+6)&gt;=YEAR(E44)+N44,0,IF((YEAR(D44)+6)=YEAR(E44),(12-MONTH(E44)+1)/12,1))))))))*TaxRate,0))-IF(6=0,O44,0))</f>
        <v/>
      </c>
      <c r="Z44" s="29">
        <f>IF(A44="","",((K44)*(IF(M44="",L44,IFERROR(IF(INDEX(Variablen!$I:$AT, MATCH(M44, Variablen!$A:$A, 0), MATCH((YEAR(D44)+7), Variablen!$I$3:$AT$3, 0))="",L44,INDEX(Variablen!$I:$AT, MATCH(M44, Variablen!$A:$A, 0), MATCH((YEAR(D44)+7), Variablen!$I$3:$AT$3, 0))),L44)))*(IF((YEAR(D44)+7)&lt;YEAR(E44),0,IF((YEAR(D44)+7)&gt;YEAR(E44),1,(12-MONTH(E44)+1)/12))) + (Q44)*(IF((YEAR(D44)+7)&lt;YEAR(E44),0,IF((YEAR(D44)+7)&gt;YEAR(E44),1,(12-MONTH(E44)+1)/12))))-((P44)*(IF((YEAR(D44)+7)&lt;YEAR(E44),0,IF((YEAR(D44)+7)&gt;YEAR(E44),1,(12-MONTH(E44)+1)/12))) + (R44)*(IF((YEAR(D44)+7)&lt;YEAR(E44),0,IF((YEAR(D44)+7)&gt;YEAR(E44),1,(12-MONTH(E44)+1)/12))))-(IF((((K44)*(IF(M44="",L44,IFERROR(IF(INDEX(Variablen!$I:$AT, MATCH(M44, Variablen!$A:$A, 0), MATCH((YEAR(D44)+7), Variablen!$I$3:$AT$3, 0))="",L44,INDEX(Variablen!$I:$AT, MATCH(M44, Variablen!$A:$A, 0), MATCH((YEAR(D44)+7), Variablen!$I$3:$AT$3, 0))),L44)))*(IF((YEAR(D44)+7)&lt;YEAR(E44),0,IF((YEAR(D44)+7)&gt;YEAR(E44),1,(12-MONTH(E44)+1)/12))) + (Q44)*(IF((YEAR(D44)+7)&lt;YEAR(E44),0,IF((YEAR(D44)+7)&gt;YEAR(E44),1,(12-MONTH(E44)+1)/12))))-((P44)*(IF((YEAR(D44)+7)&lt;YEAR(E44),0,IF((YEAR(D44)+7)&gt;YEAR(E44),1,(12-MONTH(E44)+1)/12))) + (R44)*(IF((YEAR(D44)+7)&lt;YEAR(E44),0,IF((YEAR(D44)+7)&gt;YEAR(E44),1,(12-MONTH(E44)+1)/12))))-(IF(OR(N44="",N44&lt;=0),0,(O44/N44)*(IF(OR(N44="",N44&lt;=0),0,IF((YEAR(D44)+7)&lt;YEAR(E44),0,IF((YEAR(D44)+7)&gt;=YEAR(E44)+N44,0,IF((YEAR(D44)+7)=YEAR(E44),(12-MONTH(E44)+1)/12,1))))))))&gt;0,(((K44)*(IF(M44="",L44,IFERROR(IF(INDEX(Variablen!$I:$AT, MATCH(M44, Variablen!$A:$A, 0), MATCH((YEAR(D44)+7), Variablen!$I$3:$AT$3, 0))="",L44,INDEX(Variablen!$I:$AT, MATCH(M44, Variablen!$A:$A, 0), MATCH((YEAR(D44)+7), Variablen!$I$3:$AT$3, 0))),L44)))*(IF((YEAR(D44)+7)&lt;YEAR(E44),0,IF((YEAR(D44)+7)&gt;YEAR(E44),1,(12-MONTH(E44)+1)/12))) + (Q44)*(IF((YEAR(D44)+7)&lt;YEAR(E44),0,IF((YEAR(D44)+7)&gt;YEAR(E44),1,(12-MONTH(E44)+1)/12))))-((P44)*(IF((YEAR(D44)+7)&lt;YEAR(E44),0,IF((YEAR(D44)+7)&gt;YEAR(E44),1,(12-MONTH(E44)+1)/12))) + (R44)*(IF((YEAR(D44)+7)&lt;YEAR(E44),0,IF((YEAR(D44)+7)&gt;YEAR(E44),1,(12-MONTH(E44)+1)/12))))-(IF(OR(N44="",N44&lt;=0),0,(O44/N44)*(IF(OR(N44="",N44&lt;=0),0,IF((YEAR(D44)+7)&lt;YEAR(E44),0,IF((YEAR(D44)+7)&gt;=YEAR(E44)+N44,0,IF((YEAR(D44)+7)=YEAR(E44),(12-MONTH(E44)+1)/12,1))))))))*TaxRate,0))-IF(7=0,O44,0))</f>
        <v/>
      </c>
      <c r="AA44" s="29">
        <f>IF(A44="","",((K44)*(IF(M44="",L44,IFERROR(IF(INDEX(Variablen!$I:$AT, MATCH(M44, Variablen!$A:$A, 0), MATCH((YEAR(D44)+8), Variablen!$I$3:$AT$3, 0))="",L44,INDEX(Variablen!$I:$AT, MATCH(M44, Variablen!$A:$A, 0), MATCH((YEAR(D44)+8), Variablen!$I$3:$AT$3, 0))),L44)))*(IF((YEAR(D44)+8)&lt;YEAR(E44),0,IF((YEAR(D44)+8)&gt;YEAR(E44),1,(12-MONTH(E44)+1)/12))) + (Q44)*(IF((YEAR(D44)+8)&lt;YEAR(E44),0,IF((YEAR(D44)+8)&gt;YEAR(E44),1,(12-MONTH(E44)+1)/12))))-((P44)*(IF((YEAR(D44)+8)&lt;YEAR(E44),0,IF((YEAR(D44)+8)&gt;YEAR(E44),1,(12-MONTH(E44)+1)/12))) + (R44)*(IF((YEAR(D44)+8)&lt;YEAR(E44),0,IF((YEAR(D44)+8)&gt;YEAR(E44),1,(12-MONTH(E44)+1)/12))))-(IF((((K44)*(IF(M44="",L44,IFERROR(IF(INDEX(Variablen!$I:$AT, MATCH(M44, Variablen!$A:$A, 0), MATCH((YEAR(D44)+8), Variablen!$I$3:$AT$3, 0))="",L44,INDEX(Variablen!$I:$AT, MATCH(M44, Variablen!$A:$A, 0), MATCH((YEAR(D44)+8), Variablen!$I$3:$AT$3, 0))),L44)))*(IF((YEAR(D44)+8)&lt;YEAR(E44),0,IF((YEAR(D44)+8)&gt;YEAR(E44),1,(12-MONTH(E44)+1)/12))) + (Q44)*(IF((YEAR(D44)+8)&lt;YEAR(E44),0,IF((YEAR(D44)+8)&gt;YEAR(E44),1,(12-MONTH(E44)+1)/12))))-((P44)*(IF((YEAR(D44)+8)&lt;YEAR(E44),0,IF((YEAR(D44)+8)&gt;YEAR(E44),1,(12-MONTH(E44)+1)/12))) + (R44)*(IF((YEAR(D44)+8)&lt;YEAR(E44),0,IF((YEAR(D44)+8)&gt;YEAR(E44),1,(12-MONTH(E44)+1)/12))))-(IF(OR(N44="",N44&lt;=0),0,(O44/N44)*(IF(OR(N44="",N44&lt;=0),0,IF((YEAR(D44)+8)&lt;YEAR(E44),0,IF((YEAR(D44)+8)&gt;=YEAR(E44)+N44,0,IF((YEAR(D44)+8)=YEAR(E44),(12-MONTH(E44)+1)/12,1))))))))&gt;0,(((K44)*(IF(M44="",L44,IFERROR(IF(INDEX(Variablen!$I:$AT, MATCH(M44, Variablen!$A:$A, 0), MATCH((YEAR(D44)+8), Variablen!$I$3:$AT$3, 0))="",L44,INDEX(Variablen!$I:$AT, MATCH(M44, Variablen!$A:$A, 0), MATCH((YEAR(D44)+8), Variablen!$I$3:$AT$3, 0))),L44)))*(IF((YEAR(D44)+8)&lt;YEAR(E44),0,IF((YEAR(D44)+8)&gt;YEAR(E44),1,(12-MONTH(E44)+1)/12))) + (Q44)*(IF((YEAR(D44)+8)&lt;YEAR(E44),0,IF((YEAR(D44)+8)&gt;YEAR(E44),1,(12-MONTH(E44)+1)/12))))-((P44)*(IF((YEAR(D44)+8)&lt;YEAR(E44),0,IF((YEAR(D44)+8)&gt;YEAR(E44),1,(12-MONTH(E44)+1)/12))) + (R44)*(IF((YEAR(D44)+8)&lt;YEAR(E44),0,IF((YEAR(D44)+8)&gt;YEAR(E44),1,(12-MONTH(E44)+1)/12))))-(IF(OR(N44="",N44&lt;=0),0,(O44/N44)*(IF(OR(N44="",N44&lt;=0),0,IF((YEAR(D44)+8)&lt;YEAR(E44),0,IF((YEAR(D44)+8)&gt;=YEAR(E44)+N44,0,IF((YEAR(D44)+8)=YEAR(E44),(12-MONTH(E44)+1)/12,1))))))))*TaxRate,0))-IF(8=0,O44,0))</f>
        <v/>
      </c>
      <c r="AB44" s="29">
        <f>IF(A44="","",((K44)*(IF(M44="",L44,IFERROR(IF(INDEX(Variablen!$I:$AT, MATCH(M44, Variablen!$A:$A, 0), MATCH((YEAR(D44)+9), Variablen!$I$3:$AT$3, 0))="",L44,INDEX(Variablen!$I:$AT, MATCH(M44, Variablen!$A:$A, 0), MATCH((YEAR(D44)+9), Variablen!$I$3:$AT$3, 0))),L44)))*(IF((YEAR(D44)+9)&lt;YEAR(E44),0,IF((YEAR(D44)+9)&gt;YEAR(E44),1,(12-MONTH(E44)+1)/12))) + (Q44)*(IF((YEAR(D44)+9)&lt;YEAR(E44),0,IF((YEAR(D44)+9)&gt;YEAR(E44),1,(12-MONTH(E44)+1)/12))))-((P44)*(IF((YEAR(D44)+9)&lt;YEAR(E44),0,IF((YEAR(D44)+9)&gt;YEAR(E44),1,(12-MONTH(E44)+1)/12))) + (R44)*(IF((YEAR(D44)+9)&lt;YEAR(E44),0,IF((YEAR(D44)+9)&gt;YEAR(E44),1,(12-MONTH(E44)+1)/12))))-(IF((((K44)*(IF(M44="",L44,IFERROR(IF(INDEX(Variablen!$I:$AT, MATCH(M44, Variablen!$A:$A, 0), MATCH((YEAR(D44)+9), Variablen!$I$3:$AT$3, 0))="",L44,INDEX(Variablen!$I:$AT, MATCH(M44, Variablen!$A:$A, 0), MATCH((YEAR(D44)+9), Variablen!$I$3:$AT$3, 0))),L44)))*(IF((YEAR(D44)+9)&lt;YEAR(E44),0,IF((YEAR(D44)+9)&gt;YEAR(E44),1,(12-MONTH(E44)+1)/12))) + (Q44)*(IF((YEAR(D44)+9)&lt;YEAR(E44),0,IF((YEAR(D44)+9)&gt;YEAR(E44),1,(12-MONTH(E44)+1)/12))))-((P44)*(IF((YEAR(D44)+9)&lt;YEAR(E44),0,IF((YEAR(D44)+9)&gt;YEAR(E44),1,(12-MONTH(E44)+1)/12))) + (R44)*(IF((YEAR(D44)+9)&lt;YEAR(E44),0,IF((YEAR(D44)+9)&gt;YEAR(E44),1,(12-MONTH(E44)+1)/12))))-(IF(OR(N44="",N44&lt;=0),0,(O44/N44)*(IF(OR(N44="",N44&lt;=0),0,IF((YEAR(D44)+9)&lt;YEAR(E44),0,IF((YEAR(D44)+9)&gt;=YEAR(E44)+N44,0,IF((YEAR(D44)+9)=YEAR(E44),(12-MONTH(E44)+1)/12,1))))))))&gt;0,(((K44)*(IF(M44="",L44,IFERROR(IF(INDEX(Variablen!$I:$AT, MATCH(M44, Variablen!$A:$A, 0), MATCH((YEAR(D44)+9), Variablen!$I$3:$AT$3, 0))="",L44,INDEX(Variablen!$I:$AT, MATCH(M44, Variablen!$A:$A, 0), MATCH((YEAR(D44)+9), Variablen!$I$3:$AT$3, 0))),L44)))*(IF((YEAR(D44)+9)&lt;YEAR(E44),0,IF((YEAR(D44)+9)&gt;YEAR(E44),1,(12-MONTH(E44)+1)/12))) + (Q44)*(IF((YEAR(D44)+9)&lt;YEAR(E44),0,IF((YEAR(D44)+9)&gt;YEAR(E44),1,(12-MONTH(E44)+1)/12))))-((P44)*(IF((YEAR(D44)+9)&lt;YEAR(E44),0,IF((YEAR(D44)+9)&gt;YEAR(E44),1,(12-MONTH(E44)+1)/12))) + (R44)*(IF((YEAR(D44)+9)&lt;YEAR(E44),0,IF((YEAR(D44)+9)&gt;YEAR(E44),1,(12-MONTH(E44)+1)/12))))-(IF(OR(N44="",N44&lt;=0),0,(O44/N44)*(IF(OR(N44="",N44&lt;=0),0,IF((YEAR(D44)+9)&lt;YEAR(E44),0,IF((YEAR(D44)+9)&gt;=YEAR(E44)+N44,0,IF((YEAR(D44)+9)=YEAR(E44),(12-MONTH(E44)+1)/12,1))))))))*TaxRate,0))-IF(9=0,O44,0))</f>
        <v/>
      </c>
      <c r="AC44" s="29">
        <f>IF(A44="","",((K44)*(IF(M44="",L44,IFERROR(IF(INDEX(Variablen!$I:$AT, MATCH(M44, Variablen!$A:$A, 0), MATCH((YEAR(D44)+10), Variablen!$I$3:$AT$3, 0))="",L44,INDEX(Variablen!$I:$AT, MATCH(M44, Variablen!$A:$A, 0), MATCH((YEAR(D44)+10), Variablen!$I$3:$AT$3, 0))),L44)))*(IF((YEAR(D44)+10)&lt;YEAR(E44),0,IF((YEAR(D44)+10)&gt;YEAR(E44),1,(12-MONTH(E44)+1)/12))) + (Q44)*(IF((YEAR(D44)+10)&lt;YEAR(E44),0,IF((YEAR(D44)+10)&gt;YEAR(E44),1,(12-MONTH(E44)+1)/12))))-((P44)*(IF((YEAR(D44)+10)&lt;YEAR(E44),0,IF((YEAR(D44)+10)&gt;YEAR(E44),1,(12-MONTH(E44)+1)/12))) + (R44)*(IF((YEAR(D44)+10)&lt;YEAR(E44),0,IF((YEAR(D44)+10)&gt;YEAR(E44),1,(12-MONTH(E44)+1)/12))))-(IF((((K44)*(IF(M44="",L44,IFERROR(IF(INDEX(Variablen!$I:$AT, MATCH(M44, Variablen!$A:$A, 0), MATCH((YEAR(D44)+10), Variablen!$I$3:$AT$3, 0))="",L44,INDEX(Variablen!$I:$AT, MATCH(M44, Variablen!$A:$A, 0), MATCH((YEAR(D44)+10), Variablen!$I$3:$AT$3, 0))),L44)))*(IF((YEAR(D44)+10)&lt;YEAR(E44),0,IF((YEAR(D44)+10)&gt;YEAR(E44),1,(12-MONTH(E44)+1)/12))) + (Q44)*(IF((YEAR(D44)+10)&lt;YEAR(E44),0,IF((YEAR(D44)+10)&gt;YEAR(E44),1,(12-MONTH(E44)+1)/12))))-((P44)*(IF((YEAR(D44)+10)&lt;YEAR(E44),0,IF((YEAR(D44)+10)&gt;YEAR(E44),1,(12-MONTH(E44)+1)/12))) + (R44)*(IF((YEAR(D44)+10)&lt;YEAR(E44),0,IF((YEAR(D44)+10)&gt;YEAR(E44),1,(12-MONTH(E44)+1)/12))))-(IF(OR(N44="",N44&lt;=0),0,(O44/N44)*(IF(OR(N44="",N44&lt;=0),0,IF((YEAR(D44)+10)&lt;YEAR(E44),0,IF((YEAR(D44)+10)&gt;=YEAR(E44)+N44,0,IF((YEAR(D44)+10)=YEAR(E44),(12-MONTH(E44)+1)/12,1))))))))&gt;0,(((K44)*(IF(M44="",L44,IFERROR(IF(INDEX(Variablen!$I:$AT, MATCH(M44, Variablen!$A:$A, 0), MATCH((YEAR(D44)+10), Variablen!$I$3:$AT$3, 0))="",L44,INDEX(Variablen!$I:$AT, MATCH(M44, Variablen!$A:$A, 0), MATCH((YEAR(D44)+10), Variablen!$I$3:$AT$3, 0))),L44)))*(IF((YEAR(D44)+10)&lt;YEAR(E44),0,IF((YEAR(D44)+10)&gt;YEAR(E44),1,(12-MONTH(E44)+1)/12))) + (Q44)*(IF((YEAR(D44)+10)&lt;YEAR(E44),0,IF((YEAR(D44)+10)&gt;YEAR(E44),1,(12-MONTH(E44)+1)/12))))-((P44)*(IF((YEAR(D44)+10)&lt;YEAR(E44),0,IF((YEAR(D44)+10)&gt;YEAR(E44),1,(12-MONTH(E44)+1)/12))) + (R44)*(IF((YEAR(D44)+10)&lt;YEAR(E44),0,IF((YEAR(D44)+10)&gt;YEAR(E44),1,(12-MONTH(E44)+1)/12))))-(IF(OR(N44="",N44&lt;=0),0,(O44/N44)*(IF(OR(N44="",N44&lt;=0),0,IF((YEAR(D44)+10)&lt;YEAR(E44),0,IF((YEAR(D44)+10)&gt;=YEAR(E44)+N44,0,IF((YEAR(D44)+10)=YEAR(E44),(12-MONTH(E44)+1)/12,1))))))))*TaxRate,0))-IF(10=0,O44,0))</f>
        <v/>
      </c>
      <c r="AD44" s="29">
        <f>IF(A44="","",((K44)*(IF(M44="",L44,IFERROR(IF(INDEX(Variablen!$I:$AT, MATCH(M44, Variablen!$A:$A, 0), MATCH((YEAR(D44)+11), Variablen!$I$3:$AT$3, 0))="",L44,INDEX(Variablen!$I:$AT, MATCH(M44, Variablen!$A:$A, 0), MATCH((YEAR(D44)+11), Variablen!$I$3:$AT$3, 0))),L44)))*(IF((YEAR(D44)+11)&lt;YEAR(E44),0,IF((YEAR(D44)+11)&gt;YEAR(E44),1,(12-MONTH(E44)+1)/12))) + (Q44)*(IF((YEAR(D44)+11)&lt;YEAR(E44),0,IF((YEAR(D44)+11)&gt;YEAR(E44),1,(12-MONTH(E44)+1)/12))))-((P44)*(IF((YEAR(D44)+11)&lt;YEAR(E44),0,IF((YEAR(D44)+11)&gt;YEAR(E44),1,(12-MONTH(E44)+1)/12))) + (R44)*(IF((YEAR(D44)+11)&lt;YEAR(E44),0,IF((YEAR(D44)+11)&gt;YEAR(E44),1,(12-MONTH(E44)+1)/12))))-(IF((((K44)*(IF(M44="",L44,IFERROR(IF(INDEX(Variablen!$I:$AT, MATCH(M44, Variablen!$A:$A, 0), MATCH((YEAR(D44)+11), Variablen!$I$3:$AT$3, 0))="",L44,INDEX(Variablen!$I:$AT, MATCH(M44, Variablen!$A:$A, 0), MATCH((YEAR(D44)+11), Variablen!$I$3:$AT$3, 0))),L44)))*(IF((YEAR(D44)+11)&lt;YEAR(E44),0,IF((YEAR(D44)+11)&gt;YEAR(E44),1,(12-MONTH(E44)+1)/12))) + (Q44)*(IF((YEAR(D44)+11)&lt;YEAR(E44),0,IF((YEAR(D44)+11)&gt;YEAR(E44),1,(12-MONTH(E44)+1)/12))))-((P44)*(IF((YEAR(D44)+11)&lt;YEAR(E44),0,IF((YEAR(D44)+11)&gt;YEAR(E44),1,(12-MONTH(E44)+1)/12))) + (R44)*(IF((YEAR(D44)+11)&lt;YEAR(E44),0,IF((YEAR(D44)+11)&gt;YEAR(E44),1,(12-MONTH(E44)+1)/12))))-(IF(OR(N44="",N44&lt;=0),0,(O44/N44)*(IF(OR(N44="",N44&lt;=0),0,IF((YEAR(D44)+11)&lt;YEAR(E44),0,IF((YEAR(D44)+11)&gt;=YEAR(E44)+N44,0,IF((YEAR(D44)+11)=YEAR(E44),(12-MONTH(E44)+1)/12,1))))))))&gt;0,(((K44)*(IF(M44="",L44,IFERROR(IF(INDEX(Variablen!$I:$AT, MATCH(M44, Variablen!$A:$A, 0), MATCH((YEAR(D44)+11), Variablen!$I$3:$AT$3, 0))="",L44,INDEX(Variablen!$I:$AT, MATCH(M44, Variablen!$A:$A, 0), MATCH((YEAR(D44)+11), Variablen!$I$3:$AT$3, 0))),L44)))*(IF((YEAR(D44)+11)&lt;YEAR(E44),0,IF((YEAR(D44)+11)&gt;YEAR(E44),1,(12-MONTH(E44)+1)/12))) + (Q44)*(IF((YEAR(D44)+11)&lt;YEAR(E44),0,IF((YEAR(D44)+11)&gt;YEAR(E44),1,(12-MONTH(E44)+1)/12))))-((P44)*(IF((YEAR(D44)+11)&lt;YEAR(E44),0,IF((YEAR(D44)+11)&gt;YEAR(E44),1,(12-MONTH(E44)+1)/12))) + (R44)*(IF((YEAR(D44)+11)&lt;YEAR(E44),0,IF((YEAR(D44)+11)&gt;YEAR(E44),1,(12-MONTH(E44)+1)/12))))-(IF(OR(N44="",N44&lt;=0),0,(O44/N44)*(IF(OR(N44="",N44&lt;=0),0,IF((YEAR(D44)+11)&lt;YEAR(E44),0,IF((YEAR(D44)+11)&gt;=YEAR(E44)+N44,0,IF((YEAR(D44)+11)=YEAR(E44),(12-MONTH(E44)+1)/12,1))))))))*TaxRate,0))-IF(11=0,O44,0))</f>
        <v/>
      </c>
      <c r="AE44" s="29">
        <f>IF(A44="","",((K44)*(IF(M44="",L44,IFERROR(IF(INDEX(Variablen!$I:$AT, MATCH(M44, Variablen!$A:$A, 0), MATCH((YEAR(D44)+12), Variablen!$I$3:$AT$3, 0))="",L44,INDEX(Variablen!$I:$AT, MATCH(M44, Variablen!$A:$A, 0), MATCH((YEAR(D44)+12), Variablen!$I$3:$AT$3, 0))),L44)))*(IF((YEAR(D44)+12)&lt;YEAR(E44),0,IF((YEAR(D44)+12)&gt;YEAR(E44),1,(12-MONTH(E44)+1)/12))) + (Q44)*(IF((YEAR(D44)+12)&lt;YEAR(E44),0,IF((YEAR(D44)+12)&gt;YEAR(E44),1,(12-MONTH(E44)+1)/12))))-((P44)*(IF((YEAR(D44)+12)&lt;YEAR(E44),0,IF((YEAR(D44)+12)&gt;YEAR(E44),1,(12-MONTH(E44)+1)/12))) + (R44)*(IF((YEAR(D44)+12)&lt;YEAR(E44),0,IF((YEAR(D44)+12)&gt;YEAR(E44),1,(12-MONTH(E44)+1)/12))))-(IF((((K44)*(IF(M44="",L44,IFERROR(IF(INDEX(Variablen!$I:$AT, MATCH(M44, Variablen!$A:$A, 0), MATCH((YEAR(D44)+12), Variablen!$I$3:$AT$3, 0))="",L44,INDEX(Variablen!$I:$AT, MATCH(M44, Variablen!$A:$A, 0), MATCH((YEAR(D44)+12), Variablen!$I$3:$AT$3, 0))),L44)))*(IF((YEAR(D44)+12)&lt;YEAR(E44),0,IF((YEAR(D44)+12)&gt;YEAR(E44),1,(12-MONTH(E44)+1)/12))) + (Q44)*(IF((YEAR(D44)+12)&lt;YEAR(E44),0,IF((YEAR(D44)+12)&gt;YEAR(E44),1,(12-MONTH(E44)+1)/12))))-((P44)*(IF((YEAR(D44)+12)&lt;YEAR(E44),0,IF((YEAR(D44)+12)&gt;YEAR(E44),1,(12-MONTH(E44)+1)/12))) + (R44)*(IF((YEAR(D44)+12)&lt;YEAR(E44),0,IF((YEAR(D44)+12)&gt;YEAR(E44),1,(12-MONTH(E44)+1)/12))))-(IF(OR(N44="",N44&lt;=0),0,(O44/N44)*(IF(OR(N44="",N44&lt;=0),0,IF((YEAR(D44)+12)&lt;YEAR(E44),0,IF((YEAR(D44)+12)&gt;=YEAR(E44)+N44,0,IF((YEAR(D44)+12)=YEAR(E44),(12-MONTH(E44)+1)/12,1))))))))&gt;0,(((K44)*(IF(M44="",L44,IFERROR(IF(INDEX(Variablen!$I:$AT, MATCH(M44, Variablen!$A:$A, 0), MATCH((YEAR(D44)+12), Variablen!$I$3:$AT$3, 0))="",L44,INDEX(Variablen!$I:$AT, MATCH(M44, Variablen!$A:$A, 0), MATCH((YEAR(D44)+12), Variablen!$I$3:$AT$3, 0))),L44)))*(IF((YEAR(D44)+12)&lt;YEAR(E44),0,IF((YEAR(D44)+12)&gt;YEAR(E44),1,(12-MONTH(E44)+1)/12))) + (Q44)*(IF((YEAR(D44)+12)&lt;YEAR(E44),0,IF((YEAR(D44)+12)&gt;YEAR(E44),1,(12-MONTH(E44)+1)/12))))-((P44)*(IF((YEAR(D44)+12)&lt;YEAR(E44),0,IF((YEAR(D44)+12)&gt;YEAR(E44),1,(12-MONTH(E44)+1)/12))) + (R44)*(IF((YEAR(D44)+12)&lt;YEAR(E44),0,IF((YEAR(D44)+12)&gt;YEAR(E44),1,(12-MONTH(E44)+1)/12))))-(IF(OR(N44="",N44&lt;=0),0,(O44/N44)*(IF(OR(N44="",N44&lt;=0),0,IF((YEAR(D44)+12)&lt;YEAR(E44),0,IF((YEAR(D44)+12)&gt;=YEAR(E44)+N44,0,IF((YEAR(D44)+12)=YEAR(E44),(12-MONTH(E44)+1)/12,1))))))))*TaxRate,0))-IF(12=0,O44,0))</f>
        <v/>
      </c>
      <c r="AF44" s="29">
        <f>IF(A44="","",((K44)*(IF(M44="",L44,IFERROR(IF(INDEX(Variablen!$I:$AT, MATCH(M44, Variablen!$A:$A, 0), MATCH((YEAR(D44)+13), Variablen!$I$3:$AT$3, 0))="",L44,INDEX(Variablen!$I:$AT, MATCH(M44, Variablen!$A:$A, 0), MATCH((YEAR(D44)+13), Variablen!$I$3:$AT$3, 0))),L44)))*(IF((YEAR(D44)+13)&lt;YEAR(E44),0,IF((YEAR(D44)+13)&gt;YEAR(E44),1,(12-MONTH(E44)+1)/12))) + (Q44)*(IF((YEAR(D44)+13)&lt;YEAR(E44),0,IF((YEAR(D44)+13)&gt;YEAR(E44),1,(12-MONTH(E44)+1)/12))))-((P44)*(IF((YEAR(D44)+13)&lt;YEAR(E44),0,IF((YEAR(D44)+13)&gt;YEAR(E44),1,(12-MONTH(E44)+1)/12))) + (R44)*(IF((YEAR(D44)+13)&lt;YEAR(E44),0,IF((YEAR(D44)+13)&gt;YEAR(E44),1,(12-MONTH(E44)+1)/12))))-(IF((((K44)*(IF(M44="",L44,IFERROR(IF(INDEX(Variablen!$I:$AT, MATCH(M44, Variablen!$A:$A, 0), MATCH((YEAR(D44)+13), Variablen!$I$3:$AT$3, 0))="",L44,INDEX(Variablen!$I:$AT, MATCH(M44, Variablen!$A:$A, 0), MATCH((YEAR(D44)+13), Variablen!$I$3:$AT$3, 0))),L44)))*(IF((YEAR(D44)+13)&lt;YEAR(E44),0,IF((YEAR(D44)+13)&gt;YEAR(E44),1,(12-MONTH(E44)+1)/12))) + (Q44)*(IF((YEAR(D44)+13)&lt;YEAR(E44),0,IF((YEAR(D44)+13)&gt;YEAR(E44),1,(12-MONTH(E44)+1)/12))))-((P44)*(IF((YEAR(D44)+13)&lt;YEAR(E44),0,IF((YEAR(D44)+13)&gt;YEAR(E44),1,(12-MONTH(E44)+1)/12))) + (R44)*(IF((YEAR(D44)+13)&lt;YEAR(E44),0,IF((YEAR(D44)+13)&gt;YEAR(E44),1,(12-MONTH(E44)+1)/12))))-(IF(OR(N44="",N44&lt;=0),0,(O44/N44)*(IF(OR(N44="",N44&lt;=0),0,IF((YEAR(D44)+13)&lt;YEAR(E44),0,IF((YEAR(D44)+13)&gt;=YEAR(E44)+N44,0,IF((YEAR(D44)+13)=YEAR(E44),(12-MONTH(E44)+1)/12,1))))))))&gt;0,(((K44)*(IF(M44="",L44,IFERROR(IF(INDEX(Variablen!$I:$AT, MATCH(M44, Variablen!$A:$A, 0), MATCH((YEAR(D44)+13), Variablen!$I$3:$AT$3, 0))="",L44,INDEX(Variablen!$I:$AT, MATCH(M44, Variablen!$A:$A, 0), MATCH((YEAR(D44)+13), Variablen!$I$3:$AT$3, 0))),L44)))*(IF((YEAR(D44)+13)&lt;YEAR(E44),0,IF((YEAR(D44)+13)&gt;YEAR(E44),1,(12-MONTH(E44)+1)/12))) + (Q44)*(IF((YEAR(D44)+13)&lt;YEAR(E44),0,IF((YEAR(D44)+13)&gt;YEAR(E44),1,(12-MONTH(E44)+1)/12))))-((P44)*(IF((YEAR(D44)+13)&lt;YEAR(E44),0,IF((YEAR(D44)+13)&gt;YEAR(E44),1,(12-MONTH(E44)+1)/12))) + (R44)*(IF((YEAR(D44)+13)&lt;YEAR(E44),0,IF((YEAR(D44)+13)&gt;YEAR(E44),1,(12-MONTH(E44)+1)/12))))-(IF(OR(N44="",N44&lt;=0),0,(O44/N44)*(IF(OR(N44="",N44&lt;=0),0,IF((YEAR(D44)+13)&lt;YEAR(E44),0,IF((YEAR(D44)+13)&gt;=YEAR(E44)+N44,0,IF((YEAR(D44)+13)=YEAR(E44),(12-MONTH(E44)+1)/12,1))))))))*TaxRate,0))-IF(13=0,O44,0))</f>
        <v/>
      </c>
      <c r="AG44" s="29">
        <f>IF(A44="","",((K44)*(IF(M44="",L44,IFERROR(IF(INDEX(Variablen!$I:$AT, MATCH(M44, Variablen!$A:$A, 0), MATCH((YEAR(D44)+14), Variablen!$I$3:$AT$3, 0))="",L44,INDEX(Variablen!$I:$AT, MATCH(M44, Variablen!$A:$A, 0), MATCH((YEAR(D44)+14), Variablen!$I$3:$AT$3, 0))),L44)))*(IF((YEAR(D44)+14)&lt;YEAR(E44),0,IF((YEAR(D44)+14)&gt;YEAR(E44),1,(12-MONTH(E44)+1)/12))) + (Q44)*(IF((YEAR(D44)+14)&lt;YEAR(E44),0,IF((YEAR(D44)+14)&gt;YEAR(E44),1,(12-MONTH(E44)+1)/12))))-((P44)*(IF((YEAR(D44)+14)&lt;YEAR(E44),0,IF((YEAR(D44)+14)&gt;YEAR(E44),1,(12-MONTH(E44)+1)/12))) + (R44)*(IF((YEAR(D44)+14)&lt;YEAR(E44),0,IF((YEAR(D44)+14)&gt;YEAR(E44),1,(12-MONTH(E44)+1)/12))))-(IF((((K44)*(IF(M44="",L44,IFERROR(IF(INDEX(Variablen!$I:$AT, MATCH(M44, Variablen!$A:$A, 0), MATCH((YEAR(D44)+14), Variablen!$I$3:$AT$3, 0))="",L44,INDEX(Variablen!$I:$AT, MATCH(M44, Variablen!$A:$A, 0), MATCH((YEAR(D44)+14), Variablen!$I$3:$AT$3, 0))),L44)))*(IF((YEAR(D44)+14)&lt;YEAR(E44),0,IF((YEAR(D44)+14)&gt;YEAR(E44),1,(12-MONTH(E44)+1)/12))) + (Q44)*(IF((YEAR(D44)+14)&lt;YEAR(E44),0,IF((YEAR(D44)+14)&gt;YEAR(E44),1,(12-MONTH(E44)+1)/12))))-((P44)*(IF((YEAR(D44)+14)&lt;YEAR(E44),0,IF((YEAR(D44)+14)&gt;YEAR(E44),1,(12-MONTH(E44)+1)/12))) + (R44)*(IF((YEAR(D44)+14)&lt;YEAR(E44),0,IF((YEAR(D44)+14)&gt;YEAR(E44),1,(12-MONTH(E44)+1)/12))))-(IF(OR(N44="",N44&lt;=0),0,(O44/N44)*(IF(OR(N44="",N44&lt;=0),0,IF((YEAR(D44)+14)&lt;YEAR(E44),0,IF((YEAR(D44)+14)&gt;=YEAR(E44)+N44,0,IF((YEAR(D44)+14)=YEAR(E44),(12-MONTH(E44)+1)/12,1))))))))&gt;0,(((K44)*(IF(M44="",L44,IFERROR(IF(INDEX(Variablen!$I:$AT, MATCH(M44, Variablen!$A:$A, 0), MATCH((YEAR(D44)+14), Variablen!$I$3:$AT$3, 0))="",L44,INDEX(Variablen!$I:$AT, MATCH(M44, Variablen!$A:$A, 0), MATCH((YEAR(D44)+14), Variablen!$I$3:$AT$3, 0))),L44)))*(IF((YEAR(D44)+14)&lt;YEAR(E44),0,IF((YEAR(D44)+14)&gt;YEAR(E44),1,(12-MONTH(E44)+1)/12))) + (Q44)*(IF((YEAR(D44)+14)&lt;YEAR(E44),0,IF((YEAR(D44)+14)&gt;YEAR(E44),1,(12-MONTH(E44)+1)/12))))-((P44)*(IF((YEAR(D44)+14)&lt;YEAR(E44),0,IF((YEAR(D44)+14)&gt;YEAR(E44),1,(12-MONTH(E44)+1)/12))) + (R44)*(IF((YEAR(D44)+14)&lt;YEAR(E44),0,IF((YEAR(D44)+14)&gt;YEAR(E44),1,(12-MONTH(E44)+1)/12))))-(IF(OR(N44="",N44&lt;=0),0,(O44/N44)*(IF(OR(N44="",N44&lt;=0),0,IF((YEAR(D44)+14)&lt;YEAR(E44),0,IF((YEAR(D44)+14)&gt;=YEAR(E44)+N44,0,IF((YEAR(D44)+14)=YEAR(E44),(12-MONTH(E44)+1)/12,1))))))))*TaxRate,0))-IF(14=0,O44,0))</f>
        <v/>
      </c>
      <c r="AH44" s="29">
        <f>IF(A44="","",((K44)*(IF(M44="",L44,IFERROR(IF(INDEX(Variablen!$I:$AT, MATCH(M44, Variablen!$A:$A, 0), MATCH((YEAR(D44)+15), Variablen!$I$3:$AT$3, 0))="",L44,INDEX(Variablen!$I:$AT, MATCH(M44, Variablen!$A:$A, 0), MATCH((YEAR(D44)+15), Variablen!$I$3:$AT$3, 0))),L44)))*(IF((YEAR(D44)+15)&lt;YEAR(E44),0,IF((YEAR(D44)+15)&gt;YEAR(E44),1,(12-MONTH(E44)+1)/12))) + (Q44)*(IF((YEAR(D44)+15)&lt;YEAR(E44),0,IF((YEAR(D44)+15)&gt;YEAR(E44),1,(12-MONTH(E44)+1)/12))))-((P44)*(IF((YEAR(D44)+15)&lt;YEAR(E44),0,IF((YEAR(D44)+15)&gt;YEAR(E44),1,(12-MONTH(E44)+1)/12))) + (R44)*(IF((YEAR(D44)+15)&lt;YEAR(E44),0,IF((YEAR(D44)+15)&gt;YEAR(E44),1,(12-MONTH(E44)+1)/12))))-(IF((((K44)*(IF(M44="",L44,IFERROR(IF(INDEX(Variablen!$I:$AT, MATCH(M44, Variablen!$A:$A, 0), MATCH((YEAR(D44)+15), Variablen!$I$3:$AT$3, 0))="",L44,INDEX(Variablen!$I:$AT, MATCH(M44, Variablen!$A:$A, 0), MATCH((YEAR(D44)+15), Variablen!$I$3:$AT$3, 0))),L44)))*(IF((YEAR(D44)+15)&lt;YEAR(E44),0,IF((YEAR(D44)+15)&gt;YEAR(E44),1,(12-MONTH(E44)+1)/12))) + (Q44)*(IF((YEAR(D44)+15)&lt;YEAR(E44),0,IF((YEAR(D44)+15)&gt;YEAR(E44),1,(12-MONTH(E44)+1)/12))))-((P44)*(IF((YEAR(D44)+15)&lt;YEAR(E44),0,IF((YEAR(D44)+15)&gt;YEAR(E44),1,(12-MONTH(E44)+1)/12))) + (R44)*(IF((YEAR(D44)+15)&lt;YEAR(E44),0,IF((YEAR(D44)+15)&gt;YEAR(E44),1,(12-MONTH(E44)+1)/12))))-(IF(OR(N44="",N44&lt;=0),0,(O44/N44)*(IF(OR(N44="",N44&lt;=0),0,IF((YEAR(D44)+15)&lt;YEAR(E44),0,IF((YEAR(D44)+15)&gt;=YEAR(E44)+N44,0,IF((YEAR(D44)+15)=YEAR(E44),(12-MONTH(E44)+1)/12,1))))))))&gt;0,(((K44)*(IF(M44="",L44,IFERROR(IF(INDEX(Variablen!$I:$AT, MATCH(M44, Variablen!$A:$A, 0), MATCH((YEAR(D44)+15), Variablen!$I$3:$AT$3, 0))="",L44,INDEX(Variablen!$I:$AT, MATCH(M44, Variablen!$A:$A, 0), MATCH((YEAR(D44)+15), Variablen!$I$3:$AT$3, 0))),L44)))*(IF((YEAR(D44)+15)&lt;YEAR(E44),0,IF((YEAR(D44)+15)&gt;YEAR(E44),1,(12-MONTH(E44)+1)/12))) + (Q44)*(IF((YEAR(D44)+15)&lt;YEAR(E44),0,IF((YEAR(D44)+15)&gt;YEAR(E44),1,(12-MONTH(E44)+1)/12))))-((P44)*(IF((YEAR(D44)+15)&lt;YEAR(E44),0,IF((YEAR(D44)+15)&gt;YEAR(E44),1,(12-MONTH(E44)+1)/12))) + (R44)*(IF((YEAR(D44)+15)&lt;YEAR(E44),0,IF((YEAR(D44)+15)&gt;YEAR(E44),1,(12-MONTH(E44)+1)/12))))-(IF(OR(N44="",N44&lt;=0),0,(O44/N44)*(IF(OR(N44="",N44&lt;=0),0,IF((YEAR(D44)+15)&lt;YEAR(E44),0,IF((YEAR(D44)+15)&gt;=YEAR(E44)+N44,0,IF((YEAR(D44)+15)=YEAR(E44),(12-MONTH(E44)+1)/12,1))))))))*TaxRate,0))-IF(15=0,O44,0))</f>
        <v/>
      </c>
      <c r="AI44" s="29">
        <f>IF(A44="","",((K44)*(IF(M44="",L44,IFERROR(IF(INDEX(Variablen!$I:$AT, MATCH(M44, Variablen!$A:$A, 0), MATCH((YEAR(D44)+16), Variablen!$I$3:$AT$3, 0))="",L44,INDEX(Variablen!$I:$AT, MATCH(M44, Variablen!$A:$A, 0), MATCH((YEAR(D44)+16), Variablen!$I$3:$AT$3, 0))),L44)))*(IF((YEAR(D44)+16)&lt;YEAR(E44),0,IF((YEAR(D44)+16)&gt;YEAR(E44),1,(12-MONTH(E44)+1)/12))) + (Q44)*(IF((YEAR(D44)+16)&lt;YEAR(E44),0,IF((YEAR(D44)+16)&gt;YEAR(E44),1,(12-MONTH(E44)+1)/12))))-((P44)*(IF((YEAR(D44)+16)&lt;YEAR(E44),0,IF((YEAR(D44)+16)&gt;YEAR(E44),1,(12-MONTH(E44)+1)/12))) + (R44)*(IF((YEAR(D44)+16)&lt;YEAR(E44),0,IF((YEAR(D44)+16)&gt;YEAR(E44),1,(12-MONTH(E44)+1)/12))))-(IF((((K44)*(IF(M44="",L44,IFERROR(IF(INDEX(Variablen!$I:$AT, MATCH(M44, Variablen!$A:$A, 0), MATCH((YEAR(D44)+16), Variablen!$I$3:$AT$3, 0))="",L44,INDEX(Variablen!$I:$AT, MATCH(M44, Variablen!$A:$A, 0), MATCH((YEAR(D44)+16), Variablen!$I$3:$AT$3, 0))),L44)))*(IF((YEAR(D44)+16)&lt;YEAR(E44),0,IF((YEAR(D44)+16)&gt;YEAR(E44),1,(12-MONTH(E44)+1)/12))) + (Q44)*(IF((YEAR(D44)+16)&lt;YEAR(E44),0,IF((YEAR(D44)+16)&gt;YEAR(E44),1,(12-MONTH(E44)+1)/12))))-((P44)*(IF((YEAR(D44)+16)&lt;YEAR(E44),0,IF((YEAR(D44)+16)&gt;YEAR(E44),1,(12-MONTH(E44)+1)/12))) + (R44)*(IF((YEAR(D44)+16)&lt;YEAR(E44),0,IF((YEAR(D44)+16)&gt;YEAR(E44),1,(12-MONTH(E44)+1)/12))))-(IF(OR(N44="",N44&lt;=0),0,(O44/N44)*(IF(OR(N44="",N44&lt;=0),0,IF((YEAR(D44)+16)&lt;YEAR(E44),0,IF((YEAR(D44)+16)&gt;=YEAR(E44)+N44,0,IF((YEAR(D44)+16)=YEAR(E44),(12-MONTH(E44)+1)/12,1))))))))&gt;0,(((K44)*(IF(M44="",L44,IFERROR(IF(INDEX(Variablen!$I:$AT, MATCH(M44, Variablen!$A:$A, 0), MATCH((YEAR(D44)+16), Variablen!$I$3:$AT$3, 0))="",L44,INDEX(Variablen!$I:$AT, MATCH(M44, Variablen!$A:$A, 0), MATCH((YEAR(D44)+16), Variablen!$I$3:$AT$3, 0))),L44)))*(IF((YEAR(D44)+16)&lt;YEAR(E44),0,IF((YEAR(D44)+16)&gt;YEAR(E44),1,(12-MONTH(E44)+1)/12))) + (Q44)*(IF((YEAR(D44)+16)&lt;YEAR(E44),0,IF((YEAR(D44)+16)&gt;YEAR(E44),1,(12-MONTH(E44)+1)/12))))-((P44)*(IF((YEAR(D44)+16)&lt;YEAR(E44),0,IF((YEAR(D44)+16)&gt;YEAR(E44),1,(12-MONTH(E44)+1)/12))) + (R44)*(IF((YEAR(D44)+16)&lt;YEAR(E44),0,IF((YEAR(D44)+16)&gt;YEAR(E44),1,(12-MONTH(E44)+1)/12))))-(IF(OR(N44="",N44&lt;=0),0,(O44/N44)*(IF(OR(N44="",N44&lt;=0),0,IF((YEAR(D44)+16)&lt;YEAR(E44),0,IF((YEAR(D44)+16)&gt;=YEAR(E44)+N44,0,IF((YEAR(D44)+16)=YEAR(E44),(12-MONTH(E44)+1)/12,1))))))))*TaxRate,0))-IF(16=0,O44,0))</f>
        <v/>
      </c>
      <c r="AJ44" s="29">
        <f>IF(A44="","",((K44)*(IF(M44="",L44,IFERROR(IF(INDEX(Variablen!$I:$AT, MATCH(M44, Variablen!$A:$A, 0), MATCH((YEAR(D44)+17), Variablen!$I$3:$AT$3, 0))="",L44,INDEX(Variablen!$I:$AT, MATCH(M44, Variablen!$A:$A, 0), MATCH((YEAR(D44)+17), Variablen!$I$3:$AT$3, 0))),L44)))*(IF((YEAR(D44)+17)&lt;YEAR(E44),0,IF((YEAR(D44)+17)&gt;YEAR(E44),1,(12-MONTH(E44)+1)/12))) + (Q44)*(IF((YEAR(D44)+17)&lt;YEAR(E44),0,IF((YEAR(D44)+17)&gt;YEAR(E44),1,(12-MONTH(E44)+1)/12))))-((P44)*(IF((YEAR(D44)+17)&lt;YEAR(E44),0,IF((YEAR(D44)+17)&gt;YEAR(E44),1,(12-MONTH(E44)+1)/12))) + (R44)*(IF((YEAR(D44)+17)&lt;YEAR(E44),0,IF((YEAR(D44)+17)&gt;YEAR(E44),1,(12-MONTH(E44)+1)/12))))-(IF((((K44)*(IF(M44="",L44,IFERROR(IF(INDEX(Variablen!$I:$AT, MATCH(M44, Variablen!$A:$A, 0), MATCH((YEAR(D44)+17), Variablen!$I$3:$AT$3, 0))="",L44,INDEX(Variablen!$I:$AT, MATCH(M44, Variablen!$A:$A, 0), MATCH((YEAR(D44)+17), Variablen!$I$3:$AT$3, 0))),L44)))*(IF((YEAR(D44)+17)&lt;YEAR(E44),0,IF((YEAR(D44)+17)&gt;YEAR(E44),1,(12-MONTH(E44)+1)/12))) + (Q44)*(IF((YEAR(D44)+17)&lt;YEAR(E44),0,IF((YEAR(D44)+17)&gt;YEAR(E44),1,(12-MONTH(E44)+1)/12))))-((P44)*(IF((YEAR(D44)+17)&lt;YEAR(E44),0,IF((YEAR(D44)+17)&gt;YEAR(E44),1,(12-MONTH(E44)+1)/12))) + (R44)*(IF((YEAR(D44)+17)&lt;YEAR(E44),0,IF((YEAR(D44)+17)&gt;YEAR(E44),1,(12-MONTH(E44)+1)/12))))-(IF(OR(N44="",N44&lt;=0),0,(O44/N44)*(IF(OR(N44="",N44&lt;=0),0,IF((YEAR(D44)+17)&lt;YEAR(E44),0,IF((YEAR(D44)+17)&gt;=YEAR(E44)+N44,0,IF((YEAR(D44)+17)=YEAR(E44),(12-MONTH(E44)+1)/12,1))))))))&gt;0,(((K44)*(IF(M44="",L44,IFERROR(IF(INDEX(Variablen!$I:$AT, MATCH(M44, Variablen!$A:$A, 0), MATCH((YEAR(D44)+17), Variablen!$I$3:$AT$3, 0))="",L44,INDEX(Variablen!$I:$AT, MATCH(M44, Variablen!$A:$A, 0), MATCH((YEAR(D44)+17), Variablen!$I$3:$AT$3, 0))),L44)))*(IF((YEAR(D44)+17)&lt;YEAR(E44),0,IF((YEAR(D44)+17)&gt;YEAR(E44),1,(12-MONTH(E44)+1)/12))) + (Q44)*(IF((YEAR(D44)+17)&lt;YEAR(E44),0,IF((YEAR(D44)+17)&gt;YEAR(E44),1,(12-MONTH(E44)+1)/12))))-((P44)*(IF((YEAR(D44)+17)&lt;YEAR(E44),0,IF((YEAR(D44)+17)&gt;YEAR(E44),1,(12-MONTH(E44)+1)/12))) + (R44)*(IF((YEAR(D44)+17)&lt;YEAR(E44),0,IF((YEAR(D44)+17)&gt;YEAR(E44),1,(12-MONTH(E44)+1)/12))))-(IF(OR(N44="",N44&lt;=0),0,(O44/N44)*(IF(OR(N44="",N44&lt;=0),0,IF((YEAR(D44)+17)&lt;YEAR(E44),0,IF((YEAR(D44)+17)&gt;=YEAR(E44)+N44,0,IF((YEAR(D44)+17)=YEAR(E44),(12-MONTH(E44)+1)/12,1))))))))*TaxRate,0))-IF(17=0,O44,0))</f>
        <v/>
      </c>
      <c r="AK44" s="29">
        <f>IF(A44="","",((K44)*(IF(M44="",L44,IFERROR(IF(INDEX(Variablen!$I:$AT, MATCH(M44, Variablen!$A:$A, 0), MATCH((YEAR(D44)+18), Variablen!$I$3:$AT$3, 0))="",L44,INDEX(Variablen!$I:$AT, MATCH(M44, Variablen!$A:$A, 0), MATCH((YEAR(D44)+18), Variablen!$I$3:$AT$3, 0))),L44)))*(IF((YEAR(D44)+18)&lt;YEAR(E44),0,IF((YEAR(D44)+18)&gt;YEAR(E44),1,(12-MONTH(E44)+1)/12))) + (Q44)*(IF((YEAR(D44)+18)&lt;YEAR(E44),0,IF((YEAR(D44)+18)&gt;YEAR(E44),1,(12-MONTH(E44)+1)/12))))-((P44)*(IF((YEAR(D44)+18)&lt;YEAR(E44),0,IF((YEAR(D44)+18)&gt;YEAR(E44),1,(12-MONTH(E44)+1)/12))) + (R44)*(IF((YEAR(D44)+18)&lt;YEAR(E44),0,IF((YEAR(D44)+18)&gt;YEAR(E44),1,(12-MONTH(E44)+1)/12))))-(IF((((K44)*(IF(M44="",L44,IFERROR(IF(INDEX(Variablen!$I:$AT, MATCH(M44, Variablen!$A:$A, 0), MATCH((YEAR(D44)+18), Variablen!$I$3:$AT$3, 0))="",L44,INDEX(Variablen!$I:$AT, MATCH(M44, Variablen!$A:$A, 0), MATCH((YEAR(D44)+18), Variablen!$I$3:$AT$3, 0))),L44)))*(IF((YEAR(D44)+18)&lt;YEAR(E44),0,IF((YEAR(D44)+18)&gt;YEAR(E44),1,(12-MONTH(E44)+1)/12))) + (Q44)*(IF((YEAR(D44)+18)&lt;YEAR(E44),0,IF((YEAR(D44)+18)&gt;YEAR(E44),1,(12-MONTH(E44)+1)/12))))-((P44)*(IF((YEAR(D44)+18)&lt;YEAR(E44),0,IF((YEAR(D44)+18)&gt;YEAR(E44),1,(12-MONTH(E44)+1)/12))) + (R44)*(IF((YEAR(D44)+18)&lt;YEAR(E44),0,IF((YEAR(D44)+18)&gt;YEAR(E44),1,(12-MONTH(E44)+1)/12))))-(IF(OR(N44="",N44&lt;=0),0,(O44/N44)*(IF(OR(N44="",N44&lt;=0),0,IF((YEAR(D44)+18)&lt;YEAR(E44),0,IF((YEAR(D44)+18)&gt;=YEAR(E44)+N44,0,IF((YEAR(D44)+18)=YEAR(E44),(12-MONTH(E44)+1)/12,1))))))))&gt;0,(((K44)*(IF(M44="",L44,IFERROR(IF(INDEX(Variablen!$I:$AT, MATCH(M44, Variablen!$A:$A, 0), MATCH((YEAR(D44)+18), Variablen!$I$3:$AT$3, 0))="",L44,INDEX(Variablen!$I:$AT, MATCH(M44, Variablen!$A:$A, 0), MATCH((YEAR(D44)+18), Variablen!$I$3:$AT$3, 0))),L44)))*(IF((YEAR(D44)+18)&lt;YEAR(E44),0,IF((YEAR(D44)+18)&gt;YEAR(E44),1,(12-MONTH(E44)+1)/12))) + (Q44)*(IF((YEAR(D44)+18)&lt;YEAR(E44),0,IF((YEAR(D44)+18)&gt;YEAR(E44),1,(12-MONTH(E44)+1)/12))))-((P44)*(IF((YEAR(D44)+18)&lt;YEAR(E44),0,IF((YEAR(D44)+18)&gt;YEAR(E44),1,(12-MONTH(E44)+1)/12))) + (R44)*(IF((YEAR(D44)+18)&lt;YEAR(E44),0,IF((YEAR(D44)+18)&gt;YEAR(E44),1,(12-MONTH(E44)+1)/12))))-(IF(OR(N44="",N44&lt;=0),0,(O44/N44)*(IF(OR(N44="",N44&lt;=0),0,IF((YEAR(D44)+18)&lt;YEAR(E44),0,IF((YEAR(D44)+18)&gt;=YEAR(E44)+N44,0,IF((YEAR(D44)+18)=YEAR(E44),(12-MONTH(E44)+1)/12,1))))))))*TaxRate,0))-IF(18=0,O44,0))</f>
        <v/>
      </c>
      <c r="AL44" s="29">
        <f>IF(A44="","",((K44)*(IF(M44="",L44,IFERROR(IF(INDEX(Variablen!$I:$AT, MATCH(M44, Variablen!$A:$A, 0), MATCH((YEAR(D44)+19), Variablen!$I$3:$AT$3, 0))="",L44,INDEX(Variablen!$I:$AT, MATCH(M44, Variablen!$A:$A, 0), MATCH((YEAR(D44)+19), Variablen!$I$3:$AT$3, 0))),L44)))*(IF((YEAR(D44)+19)&lt;YEAR(E44),0,IF((YEAR(D44)+19)&gt;YEAR(E44),1,(12-MONTH(E44)+1)/12))) + (Q44)*(IF((YEAR(D44)+19)&lt;YEAR(E44),0,IF((YEAR(D44)+19)&gt;YEAR(E44),1,(12-MONTH(E44)+1)/12))))-((P44)*(IF((YEAR(D44)+19)&lt;YEAR(E44),0,IF((YEAR(D44)+19)&gt;YEAR(E44),1,(12-MONTH(E44)+1)/12))) + (R44)*(IF((YEAR(D44)+19)&lt;YEAR(E44),0,IF((YEAR(D44)+19)&gt;YEAR(E44),1,(12-MONTH(E44)+1)/12))))-(IF((((K44)*(IF(M44="",L44,IFERROR(IF(INDEX(Variablen!$I:$AT, MATCH(M44, Variablen!$A:$A, 0), MATCH((YEAR(D44)+19), Variablen!$I$3:$AT$3, 0))="",L44,INDEX(Variablen!$I:$AT, MATCH(M44, Variablen!$A:$A, 0), MATCH((YEAR(D44)+19), Variablen!$I$3:$AT$3, 0))),L44)))*(IF((YEAR(D44)+19)&lt;YEAR(E44),0,IF((YEAR(D44)+19)&gt;YEAR(E44),1,(12-MONTH(E44)+1)/12))) + (Q44)*(IF((YEAR(D44)+19)&lt;YEAR(E44),0,IF((YEAR(D44)+19)&gt;YEAR(E44),1,(12-MONTH(E44)+1)/12))))-((P44)*(IF((YEAR(D44)+19)&lt;YEAR(E44),0,IF((YEAR(D44)+19)&gt;YEAR(E44),1,(12-MONTH(E44)+1)/12))) + (R44)*(IF((YEAR(D44)+19)&lt;YEAR(E44),0,IF((YEAR(D44)+19)&gt;YEAR(E44),1,(12-MONTH(E44)+1)/12))))-(IF(OR(N44="",N44&lt;=0),0,(O44/N44)*(IF(OR(N44="",N44&lt;=0),0,IF((YEAR(D44)+19)&lt;YEAR(E44),0,IF((YEAR(D44)+19)&gt;=YEAR(E44)+N44,0,IF((YEAR(D44)+19)=YEAR(E44),(12-MONTH(E44)+1)/12,1))))))))&gt;0,(((K44)*(IF(M44="",L44,IFERROR(IF(INDEX(Variablen!$I:$AT, MATCH(M44, Variablen!$A:$A, 0), MATCH((YEAR(D44)+19), Variablen!$I$3:$AT$3, 0))="",L44,INDEX(Variablen!$I:$AT, MATCH(M44, Variablen!$A:$A, 0), MATCH((YEAR(D44)+19), Variablen!$I$3:$AT$3, 0))),L44)))*(IF((YEAR(D44)+19)&lt;YEAR(E44),0,IF((YEAR(D44)+19)&gt;YEAR(E44),1,(12-MONTH(E44)+1)/12))) + (Q44)*(IF((YEAR(D44)+19)&lt;YEAR(E44),0,IF((YEAR(D44)+19)&gt;YEAR(E44),1,(12-MONTH(E44)+1)/12))))-((P44)*(IF((YEAR(D44)+19)&lt;YEAR(E44),0,IF((YEAR(D44)+19)&gt;YEAR(E44),1,(12-MONTH(E44)+1)/12))) + (R44)*(IF((YEAR(D44)+19)&lt;YEAR(E44),0,IF((YEAR(D44)+19)&gt;YEAR(E44),1,(12-MONTH(E44)+1)/12))))-(IF(OR(N44="",N44&lt;=0),0,(O44/N44)*(IF(OR(N44="",N44&lt;=0),0,IF((YEAR(D44)+19)&lt;YEAR(E44),0,IF((YEAR(D44)+19)&gt;=YEAR(E44)+N44,0,IF((YEAR(D44)+19)=YEAR(E44),(12-MONTH(E44)+1)/12,1))))))))*TaxRate,0))-IF(19=0,O44,0))</f>
        <v/>
      </c>
      <c r="AM44" s="29">
        <f>IF(A44="","",((K44)*(IF(M44="",L44,IFERROR(IF(INDEX(Variablen!$I:$AT, MATCH(M44, Variablen!$A:$A, 0), MATCH((YEAR(D44)+20), Variablen!$I$3:$AT$3, 0))="",L44,INDEX(Variablen!$I:$AT, MATCH(M44, Variablen!$A:$A, 0), MATCH((YEAR(D44)+20), Variablen!$I$3:$AT$3, 0))),L44)))*(IF((YEAR(D44)+20)&lt;YEAR(E44),0,IF((YEAR(D44)+20)&gt;YEAR(E44),1,(12-MONTH(E44)+1)/12))) + (Q44)*(IF((YEAR(D44)+20)&lt;YEAR(E44),0,IF((YEAR(D44)+20)&gt;YEAR(E44),1,(12-MONTH(E44)+1)/12))))-((P44)*(IF((YEAR(D44)+20)&lt;YEAR(E44),0,IF((YEAR(D44)+20)&gt;YEAR(E44),1,(12-MONTH(E44)+1)/12))) + (R44)*(IF((YEAR(D44)+20)&lt;YEAR(E44),0,IF((YEAR(D44)+20)&gt;YEAR(E44),1,(12-MONTH(E44)+1)/12))))-(IF((((K44)*(IF(M44="",L44,IFERROR(IF(INDEX(Variablen!$I:$AT, MATCH(M44, Variablen!$A:$A, 0), MATCH((YEAR(D44)+20), Variablen!$I$3:$AT$3, 0))="",L44,INDEX(Variablen!$I:$AT, MATCH(M44, Variablen!$A:$A, 0), MATCH((YEAR(D44)+20), Variablen!$I$3:$AT$3, 0))),L44)))*(IF((YEAR(D44)+20)&lt;YEAR(E44),0,IF((YEAR(D44)+20)&gt;YEAR(E44),1,(12-MONTH(E44)+1)/12))) + (Q44)*(IF((YEAR(D44)+20)&lt;YEAR(E44),0,IF((YEAR(D44)+20)&gt;YEAR(E44),1,(12-MONTH(E44)+1)/12))))-((P44)*(IF((YEAR(D44)+20)&lt;YEAR(E44),0,IF((YEAR(D44)+20)&gt;YEAR(E44),1,(12-MONTH(E44)+1)/12))) + (R44)*(IF((YEAR(D44)+20)&lt;YEAR(E44),0,IF((YEAR(D44)+20)&gt;YEAR(E44),1,(12-MONTH(E44)+1)/12))))-(IF(OR(N44="",N44&lt;=0),0,(O44/N44)*(IF(OR(N44="",N44&lt;=0),0,IF((YEAR(D44)+20)&lt;YEAR(E44),0,IF((YEAR(D44)+20)&gt;=YEAR(E44)+N44,0,IF((YEAR(D44)+20)=YEAR(E44),(12-MONTH(E44)+1)/12,1))))))))&gt;0,(((K44)*(IF(M44="",L44,IFERROR(IF(INDEX(Variablen!$I:$AT, MATCH(M44, Variablen!$A:$A, 0), MATCH((YEAR(D44)+20), Variablen!$I$3:$AT$3, 0))="",L44,INDEX(Variablen!$I:$AT, MATCH(M44, Variablen!$A:$A, 0), MATCH((YEAR(D44)+20), Variablen!$I$3:$AT$3, 0))),L44)))*(IF((YEAR(D44)+20)&lt;YEAR(E44),0,IF((YEAR(D44)+20)&gt;YEAR(E44),1,(12-MONTH(E44)+1)/12))) + (Q44)*(IF((YEAR(D44)+20)&lt;YEAR(E44),0,IF((YEAR(D44)+20)&gt;YEAR(E44),1,(12-MONTH(E44)+1)/12))))-((P44)*(IF((YEAR(D44)+20)&lt;YEAR(E44),0,IF((YEAR(D44)+20)&gt;YEAR(E44),1,(12-MONTH(E44)+1)/12))) + (R44)*(IF((YEAR(D44)+20)&lt;YEAR(E44),0,IF((YEAR(D44)+20)&gt;YEAR(E44),1,(12-MONTH(E44)+1)/12))))-(IF(OR(N44="",N44&lt;=0),0,(O44/N44)*(IF(OR(N44="",N44&lt;=0),0,IF((YEAR(D44)+20)&lt;YEAR(E44),0,IF((YEAR(D44)+20)&gt;=YEAR(E44)+N44,0,IF((YEAR(D44)+20)=YEAR(E44),(12-MONTH(E44)+1)/12,1))))))))*TaxRate,0))-IF(20=0,O44,0))</f>
        <v/>
      </c>
      <c r="AN44" s="29">
        <f>IF(A44="","",S44)</f>
        <v/>
      </c>
      <c r="AO44" s="29">
        <f>IF(A44="","",AN44+T44)</f>
        <v/>
      </c>
      <c r="AP44" s="29">
        <f>IF(A44="","",AO44+U44)</f>
        <v/>
      </c>
      <c r="AQ44" s="29">
        <f>IF(A44="","",AP44+V44)</f>
        <v/>
      </c>
      <c r="AR44" s="29">
        <f>IF(A44="","",AQ44+W44)</f>
        <v/>
      </c>
      <c r="AS44" s="29">
        <f>IF(A44="","",AR44+X44)</f>
        <v/>
      </c>
      <c r="AT44" s="29">
        <f>IF(A44="","",AS44+Y44)</f>
        <v/>
      </c>
      <c r="AU44" s="29">
        <f>IF(A44="","",AT44+Z44)</f>
        <v/>
      </c>
      <c r="AV44" s="29">
        <f>IF(A44="","",AU44+AA44)</f>
        <v/>
      </c>
      <c r="AW44" s="29">
        <f>IF(A44="","",AV44+AB44)</f>
        <v/>
      </c>
      <c r="AX44" s="29">
        <f>IF(A44="","",AW44+AC44)</f>
        <v/>
      </c>
      <c r="AY44" s="29">
        <f>IF(A44="","",AX44+AD44)</f>
        <v/>
      </c>
      <c r="AZ44" s="29">
        <f>IF(A44="","",AY44+AE44)</f>
        <v/>
      </c>
      <c r="BA44" s="29">
        <f>IF(A44="","",AZ44+AF44)</f>
        <v/>
      </c>
      <c r="BB44" s="29">
        <f>IF(A44="","",BA44+AG44)</f>
        <v/>
      </c>
      <c r="BC44" s="29">
        <f>IF(A44="","",BB44+AH44)</f>
        <v/>
      </c>
      <c r="BD44" s="29">
        <f>IF(A44="","",BC44+AI44)</f>
        <v/>
      </c>
      <c r="BE44" s="29">
        <f>IF(A44="","",BD44+AJ44)</f>
        <v/>
      </c>
      <c r="BF44" s="29">
        <f>IF(A44="","",BE44+AK44)</f>
        <v/>
      </c>
      <c r="BG44" s="29">
        <f>IF(A44="","",BF44+AL44)</f>
        <v/>
      </c>
      <c r="BH44" s="29">
        <f>IF(A44="","",BG44+AM44)</f>
        <v/>
      </c>
      <c r="BI44" s="36">
        <f>IF(A44="","",(K44)*(IF((YEAR(D44)+0)&lt;YEAR(E44),0,IF((YEAR(D44)+0)&gt;YEAR(E44),1,(12-MONTH(E44)+1)/12)))*(1/(1+DiscountRate)^0))</f>
        <v/>
      </c>
      <c r="BJ44" s="36">
        <f>IF(A44="","",(K44)*(IF((YEAR(D44)+1)&lt;YEAR(E44),0,IF((YEAR(D44)+1)&gt;YEAR(E44),1,(12-MONTH(E44)+1)/12)))*(1/(1+DiscountRate)^1))</f>
        <v/>
      </c>
      <c r="BK44" s="36">
        <f>IF(A44="","",(K44)*(IF((YEAR(D44)+2)&lt;YEAR(E44),0,IF((YEAR(D44)+2)&gt;YEAR(E44),1,(12-MONTH(E44)+1)/12)))*(1/(1+DiscountRate)^2))</f>
        <v/>
      </c>
      <c r="BL44" s="36">
        <f>IF(A44="","",(K44)*(IF((YEAR(D44)+3)&lt;YEAR(E44),0,IF((YEAR(D44)+3)&gt;YEAR(E44),1,(12-MONTH(E44)+1)/12)))*(1/(1+DiscountRate)^3))</f>
        <v/>
      </c>
      <c r="BM44" s="36">
        <f>IF(A44="","",(K44)*(IF((YEAR(D44)+4)&lt;YEAR(E44),0,IF((YEAR(D44)+4)&gt;YEAR(E44),1,(12-MONTH(E44)+1)/12)))*(1/(1+DiscountRate)^4))</f>
        <v/>
      </c>
      <c r="BN44" s="36">
        <f>IF(A44="","",(K44)*(IF((YEAR(D44)+5)&lt;YEAR(E44),0,IF((YEAR(D44)+5)&gt;YEAR(E44),1,(12-MONTH(E44)+1)/12)))*(1/(1+DiscountRate)^5))</f>
        <v/>
      </c>
      <c r="BO44" s="36">
        <f>IF(A44="","",(K44)*(IF((YEAR(D44)+6)&lt;YEAR(E44),0,IF((YEAR(D44)+6)&gt;YEAR(E44),1,(12-MONTH(E44)+1)/12)))*(1/(1+DiscountRate)^6))</f>
        <v/>
      </c>
      <c r="BP44" s="36">
        <f>IF(A44="","",(K44)*(IF((YEAR(D44)+7)&lt;YEAR(E44),0,IF((YEAR(D44)+7)&gt;YEAR(E44),1,(12-MONTH(E44)+1)/12)))*(1/(1+DiscountRate)^7))</f>
        <v/>
      </c>
      <c r="BQ44" s="36">
        <f>IF(A44="","",(K44)*(IF((YEAR(D44)+8)&lt;YEAR(E44),0,IF((YEAR(D44)+8)&gt;YEAR(E44),1,(12-MONTH(E44)+1)/12)))*(1/(1+DiscountRate)^8))</f>
        <v/>
      </c>
      <c r="BR44" s="36">
        <f>IF(A44="","",(K44)*(IF((YEAR(D44)+9)&lt;YEAR(E44),0,IF((YEAR(D44)+9)&gt;YEAR(E44),1,(12-MONTH(E44)+1)/12)))*(1/(1+DiscountRate)^9))</f>
        <v/>
      </c>
      <c r="BS44" s="36">
        <f>IF(A44="","",(K44)*(IF((YEAR(D44)+10)&lt;YEAR(E44),0,IF((YEAR(D44)+10)&gt;YEAR(E44),1,(12-MONTH(E44)+1)/12)))*(1/(1+DiscountRate)^10))</f>
        <v/>
      </c>
      <c r="BT44" s="36">
        <f>IF(A44="","",(K44)*(IF((YEAR(D44)+11)&lt;YEAR(E44),0,IF((YEAR(D44)+11)&gt;YEAR(E44),1,(12-MONTH(E44)+1)/12)))*(1/(1+DiscountRate)^11))</f>
        <v/>
      </c>
      <c r="BU44" s="36">
        <f>IF(A44="","",(K44)*(IF((YEAR(D44)+12)&lt;YEAR(E44),0,IF((YEAR(D44)+12)&gt;YEAR(E44),1,(12-MONTH(E44)+1)/12)))*(1/(1+DiscountRate)^12))</f>
        <v/>
      </c>
      <c r="BV44" s="36">
        <f>IF(A44="","",(K44)*(IF((YEAR(D44)+13)&lt;YEAR(E44),0,IF((YEAR(D44)+13)&gt;YEAR(E44),1,(12-MONTH(E44)+1)/12)))*(1/(1+DiscountRate)^13))</f>
        <v/>
      </c>
      <c r="BW44" s="36">
        <f>IF(A44="","",(K44)*(IF((YEAR(D44)+14)&lt;YEAR(E44),0,IF((YEAR(D44)+14)&gt;YEAR(E44),1,(12-MONTH(E44)+1)/12)))*(1/(1+DiscountRate)^14))</f>
        <v/>
      </c>
      <c r="BX44" s="36">
        <f>IF(A44="","",(K44)*(IF((YEAR(D44)+15)&lt;YEAR(E44),0,IF((YEAR(D44)+15)&gt;YEAR(E44),1,(12-MONTH(E44)+1)/12)))*(1/(1+DiscountRate)^15))</f>
        <v/>
      </c>
      <c r="BY44" s="36">
        <f>IF(A44="","",(K44)*(IF((YEAR(D44)+16)&lt;YEAR(E44),0,IF((YEAR(D44)+16)&gt;YEAR(E44),1,(12-MONTH(E44)+1)/12)))*(1/(1+DiscountRate)^16))</f>
        <v/>
      </c>
      <c r="BZ44" s="36">
        <f>IF(A44="","",(K44)*(IF((YEAR(D44)+17)&lt;YEAR(E44),0,IF((YEAR(D44)+17)&gt;YEAR(E44),1,(12-MONTH(E44)+1)/12)))*(1/(1+DiscountRate)^17))</f>
        <v/>
      </c>
      <c r="CA44" s="36">
        <f>IF(A44="","",(K44)*(IF((YEAR(D44)+18)&lt;YEAR(E44),0,IF((YEAR(D44)+18)&gt;YEAR(E44),1,(12-MONTH(E44)+1)/12)))*(1/(1+DiscountRate)^18))</f>
        <v/>
      </c>
      <c r="CB44" s="36">
        <f>IF(A44="","",(K44)*(IF((YEAR(D44)+19)&lt;YEAR(E44),0,IF((YEAR(D44)+19)&gt;YEAR(E44),1,(12-MONTH(E44)+1)/12)))*(1/(1+DiscountRate)^19))</f>
        <v/>
      </c>
      <c r="CC44" s="36">
        <f>IF(A44="","",(K44)*(IF((YEAR(D44)+20)&lt;YEAR(E44),0,IF((YEAR(D44)+20)&gt;YEAR(E44),1,(12-MONTH(E44)+1)/12)))*(1/(1+DiscountRate)^20))</f>
        <v/>
      </c>
      <c r="CD44" s="29">
        <f>IF(A44="","",S44/(1+DiscountRate)^0+T44/(1+DiscountRate)^1+U44/(1+DiscountRate)^2+V44/(1+DiscountRate)^3+W44/(1+DiscountRate)^4+X44/(1+DiscountRate)^5+Y44/(1+DiscountRate)^6+Z44/(1+DiscountRate)^7+AA44/(1+DiscountRate)^8+AB44/(1+DiscountRate)^9+AC44/(1+DiscountRate)^10+AD44/(1+DiscountRate)^11+AE44/(1+DiscountRate)^12+AF44/(1+DiscountRate)^13+AG44/(1+DiscountRate)^14+AH44/(1+DiscountRate)^15+AI44/(1+DiscountRate)^16+AJ44/(1+DiscountRate)^17+AK44/(1+DiscountRate)^18+AL44/(1+DiscountRate)^19+AM44/(1+DiscountRate)^20)</f>
        <v/>
      </c>
      <c r="CE44" s="37">
        <f>IF(A44="","",IFERROR(IRR(OFFSET(S44,0,0,1,MIN(HorizonYears,20)+1)),"n/a"))</f>
        <v/>
      </c>
      <c r="CF44" s="28">
        <f>IF(A44="","",IFERROR(MATCH(TRUE,OFFSET(AN44,0,0,1,MIN(HorizonYears,20)+1)&gt;=0,0)-1,"n/a"))</f>
        <v/>
      </c>
      <c r="CG44" s="36">
        <f>IF(A44="","",SUM(OFFSET(BI44,0,0,1,MIN(HorizonYears,20)+1)))</f>
        <v/>
      </c>
      <c r="CH44" s="36">
        <f>IF(A44="","",IFERROR(-CD44/CG44,"n/a"))</f>
        <v/>
      </c>
    </row>
    <row r="45">
      <c r="A45" s="6">
        <f>Actions!A43</f>
        <v/>
      </c>
      <c r="B45" s="6">
        <f>Actions!B43</f>
        <v/>
      </c>
      <c r="C45" s="6">
        <f>Actions!D43</f>
        <v/>
      </c>
      <c r="D45" s="35">
        <f>Actions!E43</f>
        <v/>
      </c>
      <c r="E45" s="35">
        <f>Actions!F43</f>
        <v/>
      </c>
      <c r="F45" s="6">
        <f>Actions!G43</f>
        <v/>
      </c>
      <c r="G45" s="6">
        <f>Actions!H43</f>
        <v/>
      </c>
      <c r="H45" s="29">
        <f>Actions!I43</f>
        <v/>
      </c>
      <c r="I45" s="6">
        <f>Actions!J43</f>
        <v/>
      </c>
      <c r="J45" s="16">
        <f>Actions!K43</f>
        <v/>
      </c>
      <c r="K45" s="16">
        <f>IF(A45="","",IF(I45="%",H45*J45,J45))</f>
        <v/>
      </c>
      <c r="L45" s="16">
        <f>Actions!L43</f>
        <v/>
      </c>
      <c r="M45" s="6">
        <f>Actions!M43</f>
        <v/>
      </c>
      <c r="N45" s="28">
        <f>Actions!N43</f>
        <v/>
      </c>
      <c r="O45" s="29">
        <f>Actions!T43</f>
        <v/>
      </c>
      <c r="P45" s="29">
        <f>Actions!Y43</f>
        <v/>
      </c>
      <c r="Q45" s="29">
        <f>Actions!Z43</f>
        <v/>
      </c>
      <c r="R45" s="29">
        <f>Actions!AA43</f>
        <v/>
      </c>
      <c r="S45" s="29">
        <f>IF(A45="","",((K45)*(IF(M45="",L45,IFERROR(IF(INDEX(Variablen!$I:$AT, MATCH(M45, Variablen!$A:$A, 0), MATCH((YEAR(D45)+0), Variablen!$I$3:$AT$3, 0))="",L45,INDEX(Variablen!$I:$AT, MATCH(M45, Variablen!$A:$A, 0), MATCH((YEAR(D45)+0), Variablen!$I$3:$AT$3, 0))),L45)))*(IF((YEAR(D45)+0)&lt;YEAR(E45),0,IF((YEAR(D45)+0)&gt;YEAR(E45),1,(12-MONTH(E45)+1)/12))) + (Q45)*(IF((YEAR(D45)+0)&lt;YEAR(E45),0,IF((YEAR(D45)+0)&gt;YEAR(E45),1,(12-MONTH(E45)+1)/12))))-((P45)*(IF((YEAR(D45)+0)&lt;YEAR(E45),0,IF((YEAR(D45)+0)&gt;YEAR(E45),1,(12-MONTH(E45)+1)/12))) + (R45)*(IF((YEAR(D45)+0)&lt;YEAR(E45),0,IF((YEAR(D45)+0)&gt;YEAR(E45),1,(12-MONTH(E45)+1)/12))))-(IF((((K45)*(IF(M45="",L45,IFERROR(IF(INDEX(Variablen!$I:$AT, MATCH(M45, Variablen!$A:$A, 0), MATCH((YEAR(D45)+0), Variablen!$I$3:$AT$3, 0))="",L45,INDEX(Variablen!$I:$AT, MATCH(M45, Variablen!$A:$A, 0), MATCH((YEAR(D45)+0), Variablen!$I$3:$AT$3, 0))),L45)))*(IF((YEAR(D45)+0)&lt;YEAR(E45),0,IF((YEAR(D45)+0)&gt;YEAR(E45),1,(12-MONTH(E45)+1)/12))) + (Q45)*(IF((YEAR(D45)+0)&lt;YEAR(E45),0,IF((YEAR(D45)+0)&gt;YEAR(E45),1,(12-MONTH(E45)+1)/12))))-((P45)*(IF((YEAR(D45)+0)&lt;YEAR(E45),0,IF((YEAR(D45)+0)&gt;YEAR(E45),1,(12-MONTH(E45)+1)/12))) + (R45)*(IF((YEAR(D45)+0)&lt;YEAR(E45),0,IF((YEAR(D45)+0)&gt;YEAR(E45),1,(12-MONTH(E45)+1)/12))))-(IF(OR(N45="",N45&lt;=0),0,(O45/N45)*(IF(OR(N45="",N45&lt;=0),0,IF((YEAR(D45)+0)&lt;YEAR(E45),0,IF((YEAR(D45)+0)&gt;=YEAR(E45)+N45,0,IF((YEAR(D45)+0)=YEAR(E45),(12-MONTH(E45)+1)/12,1))))))))&gt;0,(((K45)*(IF(M45="",L45,IFERROR(IF(INDEX(Variablen!$I:$AT, MATCH(M45, Variablen!$A:$A, 0), MATCH((YEAR(D45)+0), Variablen!$I$3:$AT$3, 0))="",L45,INDEX(Variablen!$I:$AT, MATCH(M45, Variablen!$A:$A, 0), MATCH((YEAR(D45)+0), Variablen!$I$3:$AT$3, 0))),L45)))*(IF((YEAR(D45)+0)&lt;YEAR(E45),0,IF((YEAR(D45)+0)&gt;YEAR(E45),1,(12-MONTH(E45)+1)/12))) + (Q45)*(IF((YEAR(D45)+0)&lt;YEAR(E45),0,IF((YEAR(D45)+0)&gt;YEAR(E45),1,(12-MONTH(E45)+1)/12))))-((P45)*(IF((YEAR(D45)+0)&lt;YEAR(E45),0,IF((YEAR(D45)+0)&gt;YEAR(E45),1,(12-MONTH(E45)+1)/12))) + (R45)*(IF((YEAR(D45)+0)&lt;YEAR(E45),0,IF((YEAR(D45)+0)&gt;YEAR(E45),1,(12-MONTH(E45)+1)/12))))-(IF(OR(N45="",N45&lt;=0),0,(O45/N45)*(IF(OR(N45="",N45&lt;=0),0,IF((YEAR(D45)+0)&lt;YEAR(E45),0,IF((YEAR(D45)+0)&gt;=YEAR(E45)+N45,0,IF((YEAR(D45)+0)=YEAR(E45),(12-MONTH(E45)+1)/12,1))))))))*TaxRate,0))-IF(0=0,O45,0))</f>
        <v/>
      </c>
      <c r="T45" s="29">
        <f>IF(A45="","",((K45)*(IF(M45="",L45,IFERROR(IF(INDEX(Variablen!$I:$AT, MATCH(M45, Variablen!$A:$A, 0), MATCH((YEAR(D45)+1), Variablen!$I$3:$AT$3, 0))="",L45,INDEX(Variablen!$I:$AT, MATCH(M45, Variablen!$A:$A, 0), MATCH((YEAR(D45)+1), Variablen!$I$3:$AT$3, 0))),L45)))*(IF((YEAR(D45)+1)&lt;YEAR(E45),0,IF((YEAR(D45)+1)&gt;YEAR(E45),1,(12-MONTH(E45)+1)/12))) + (Q45)*(IF((YEAR(D45)+1)&lt;YEAR(E45),0,IF((YEAR(D45)+1)&gt;YEAR(E45),1,(12-MONTH(E45)+1)/12))))-((P45)*(IF((YEAR(D45)+1)&lt;YEAR(E45),0,IF((YEAR(D45)+1)&gt;YEAR(E45),1,(12-MONTH(E45)+1)/12))) + (R45)*(IF((YEAR(D45)+1)&lt;YEAR(E45),0,IF((YEAR(D45)+1)&gt;YEAR(E45),1,(12-MONTH(E45)+1)/12))))-(IF((((K45)*(IF(M45="",L45,IFERROR(IF(INDEX(Variablen!$I:$AT, MATCH(M45, Variablen!$A:$A, 0), MATCH((YEAR(D45)+1), Variablen!$I$3:$AT$3, 0))="",L45,INDEX(Variablen!$I:$AT, MATCH(M45, Variablen!$A:$A, 0), MATCH((YEAR(D45)+1), Variablen!$I$3:$AT$3, 0))),L45)))*(IF((YEAR(D45)+1)&lt;YEAR(E45),0,IF((YEAR(D45)+1)&gt;YEAR(E45),1,(12-MONTH(E45)+1)/12))) + (Q45)*(IF((YEAR(D45)+1)&lt;YEAR(E45),0,IF((YEAR(D45)+1)&gt;YEAR(E45),1,(12-MONTH(E45)+1)/12))))-((P45)*(IF((YEAR(D45)+1)&lt;YEAR(E45),0,IF((YEAR(D45)+1)&gt;YEAR(E45),1,(12-MONTH(E45)+1)/12))) + (R45)*(IF((YEAR(D45)+1)&lt;YEAR(E45),0,IF((YEAR(D45)+1)&gt;YEAR(E45),1,(12-MONTH(E45)+1)/12))))-(IF(OR(N45="",N45&lt;=0),0,(O45/N45)*(IF(OR(N45="",N45&lt;=0),0,IF((YEAR(D45)+1)&lt;YEAR(E45),0,IF((YEAR(D45)+1)&gt;=YEAR(E45)+N45,0,IF((YEAR(D45)+1)=YEAR(E45),(12-MONTH(E45)+1)/12,1))))))))&gt;0,(((K45)*(IF(M45="",L45,IFERROR(IF(INDEX(Variablen!$I:$AT, MATCH(M45, Variablen!$A:$A, 0), MATCH((YEAR(D45)+1), Variablen!$I$3:$AT$3, 0))="",L45,INDEX(Variablen!$I:$AT, MATCH(M45, Variablen!$A:$A, 0), MATCH((YEAR(D45)+1), Variablen!$I$3:$AT$3, 0))),L45)))*(IF((YEAR(D45)+1)&lt;YEAR(E45),0,IF((YEAR(D45)+1)&gt;YEAR(E45),1,(12-MONTH(E45)+1)/12))) + (Q45)*(IF((YEAR(D45)+1)&lt;YEAR(E45),0,IF((YEAR(D45)+1)&gt;YEAR(E45),1,(12-MONTH(E45)+1)/12))))-((P45)*(IF((YEAR(D45)+1)&lt;YEAR(E45),0,IF((YEAR(D45)+1)&gt;YEAR(E45),1,(12-MONTH(E45)+1)/12))) + (R45)*(IF((YEAR(D45)+1)&lt;YEAR(E45),0,IF((YEAR(D45)+1)&gt;YEAR(E45),1,(12-MONTH(E45)+1)/12))))-(IF(OR(N45="",N45&lt;=0),0,(O45/N45)*(IF(OR(N45="",N45&lt;=0),0,IF((YEAR(D45)+1)&lt;YEAR(E45),0,IF((YEAR(D45)+1)&gt;=YEAR(E45)+N45,0,IF((YEAR(D45)+1)=YEAR(E45),(12-MONTH(E45)+1)/12,1))))))))*TaxRate,0))-IF(1=0,O45,0))</f>
        <v/>
      </c>
      <c r="U45" s="29">
        <f>IF(A45="","",((K45)*(IF(M45="",L45,IFERROR(IF(INDEX(Variablen!$I:$AT, MATCH(M45, Variablen!$A:$A, 0), MATCH((YEAR(D45)+2), Variablen!$I$3:$AT$3, 0))="",L45,INDEX(Variablen!$I:$AT, MATCH(M45, Variablen!$A:$A, 0), MATCH((YEAR(D45)+2), Variablen!$I$3:$AT$3, 0))),L45)))*(IF((YEAR(D45)+2)&lt;YEAR(E45),0,IF((YEAR(D45)+2)&gt;YEAR(E45),1,(12-MONTH(E45)+1)/12))) + (Q45)*(IF((YEAR(D45)+2)&lt;YEAR(E45),0,IF((YEAR(D45)+2)&gt;YEAR(E45),1,(12-MONTH(E45)+1)/12))))-((P45)*(IF((YEAR(D45)+2)&lt;YEAR(E45),0,IF((YEAR(D45)+2)&gt;YEAR(E45),1,(12-MONTH(E45)+1)/12))) + (R45)*(IF((YEAR(D45)+2)&lt;YEAR(E45),0,IF((YEAR(D45)+2)&gt;YEAR(E45),1,(12-MONTH(E45)+1)/12))))-(IF((((K45)*(IF(M45="",L45,IFERROR(IF(INDEX(Variablen!$I:$AT, MATCH(M45, Variablen!$A:$A, 0), MATCH((YEAR(D45)+2), Variablen!$I$3:$AT$3, 0))="",L45,INDEX(Variablen!$I:$AT, MATCH(M45, Variablen!$A:$A, 0), MATCH((YEAR(D45)+2), Variablen!$I$3:$AT$3, 0))),L45)))*(IF((YEAR(D45)+2)&lt;YEAR(E45),0,IF((YEAR(D45)+2)&gt;YEAR(E45),1,(12-MONTH(E45)+1)/12))) + (Q45)*(IF((YEAR(D45)+2)&lt;YEAR(E45),0,IF((YEAR(D45)+2)&gt;YEAR(E45),1,(12-MONTH(E45)+1)/12))))-((P45)*(IF((YEAR(D45)+2)&lt;YEAR(E45),0,IF((YEAR(D45)+2)&gt;YEAR(E45),1,(12-MONTH(E45)+1)/12))) + (R45)*(IF((YEAR(D45)+2)&lt;YEAR(E45),0,IF((YEAR(D45)+2)&gt;YEAR(E45),1,(12-MONTH(E45)+1)/12))))-(IF(OR(N45="",N45&lt;=0),0,(O45/N45)*(IF(OR(N45="",N45&lt;=0),0,IF((YEAR(D45)+2)&lt;YEAR(E45),0,IF((YEAR(D45)+2)&gt;=YEAR(E45)+N45,0,IF((YEAR(D45)+2)=YEAR(E45),(12-MONTH(E45)+1)/12,1))))))))&gt;0,(((K45)*(IF(M45="",L45,IFERROR(IF(INDEX(Variablen!$I:$AT, MATCH(M45, Variablen!$A:$A, 0), MATCH((YEAR(D45)+2), Variablen!$I$3:$AT$3, 0))="",L45,INDEX(Variablen!$I:$AT, MATCH(M45, Variablen!$A:$A, 0), MATCH((YEAR(D45)+2), Variablen!$I$3:$AT$3, 0))),L45)))*(IF((YEAR(D45)+2)&lt;YEAR(E45),0,IF((YEAR(D45)+2)&gt;YEAR(E45),1,(12-MONTH(E45)+1)/12))) + (Q45)*(IF((YEAR(D45)+2)&lt;YEAR(E45),0,IF((YEAR(D45)+2)&gt;YEAR(E45),1,(12-MONTH(E45)+1)/12))))-((P45)*(IF((YEAR(D45)+2)&lt;YEAR(E45),0,IF((YEAR(D45)+2)&gt;YEAR(E45),1,(12-MONTH(E45)+1)/12))) + (R45)*(IF((YEAR(D45)+2)&lt;YEAR(E45),0,IF((YEAR(D45)+2)&gt;YEAR(E45),1,(12-MONTH(E45)+1)/12))))-(IF(OR(N45="",N45&lt;=0),0,(O45/N45)*(IF(OR(N45="",N45&lt;=0),0,IF((YEAR(D45)+2)&lt;YEAR(E45),0,IF((YEAR(D45)+2)&gt;=YEAR(E45)+N45,0,IF((YEAR(D45)+2)=YEAR(E45),(12-MONTH(E45)+1)/12,1))))))))*TaxRate,0))-IF(2=0,O45,0))</f>
        <v/>
      </c>
      <c r="V45" s="29">
        <f>IF(A45="","",((K45)*(IF(M45="",L45,IFERROR(IF(INDEX(Variablen!$I:$AT, MATCH(M45, Variablen!$A:$A, 0), MATCH((YEAR(D45)+3), Variablen!$I$3:$AT$3, 0))="",L45,INDEX(Variablen!$I:$AT, MATCH(M45, Variablen!$A:$A, 0), MATCH((YEAR(D45)+3), Variablen!$I$3:$AT$3, 0))),L45)))*(IF((YEAR(D45)+3)&lt;YEAR(E45),0,IF((YEAR(D45)+3)&gt;YEAR(E45),1,(12-MONTH(E45)+1)/12))) + (Q45)*(IF((YEAR(D45)+3)&lt;YEAR(E45),0,IF((YEAR(D45)+3)&gt;YEAR(E45),1,(12-MONTH(E45)+1)/12))))-((P45)*(IF((YEAR(D45)+3)&lt;YEAR(E45),0,IF((YEAR(D45)+3)&gt;YEAR(E45),1,(12-MONTH(E45)+1)/12))) + (R45)*(IF((YEAR(D45)+3)&lt;YEAR(E45),0,IF((YEAR(D45)+3)&gt;YEAR(E45),1,(12-MONTH(E45)+1)/12))))-(IF((((K45)*(IF(M45="",L45,IFERROR(IF(INDEX(Variablen!$I:$AT, MATCH(M45, Variablen!$A:$A, 0), MATCH((YEAR(D45)+3), Variablen!$I$3:$AT$3, 0))="",L45,INDEX(Variablen!$I:$AT, MATCH(M45, Variablen!$A:$A, 0), MATCH((YEAR(D45)+3), Variablen!$I$3:$AT$3, 0))),L45)))*(IF((YEAR(D45)+3)&lt;YEAR(E45),0,IF((YEAR(D45)+3)&gt;YEAR(E45),1,(12-MONTH(E45)+1)/12))) + (Q45)*(IF((YEAR(D45)+3)&lt;YEAR(E45),0,IF((YEAR(D45)+3)&gt;YEAR(E45),1,(12-MONTH(E45)+1)/12))))-((P45)*(IF((YEAR(D45)+3)&lt;YEAR(E45),0,IF((YEAR(D45)+3)&gt;YEAR(E45),1,(12-MONTH(E45)+1)/12))) + (R45)*(IF((YEAR(D45)+3)&lt;YEAR(E45),0,IF((YEAR(D45)+3)&gt;YEAR(E45),1,(12-MONTH(E45)+1)/12))))-(IF(OR(N45="",N45&lt;=0),0,(O45/N45)*(IF(OR(N45="",N45&lt;=0),0,IF((YEAR(D45)+3)&lt;YEAR(E45),0,IF((YEAR(D45)+3)&gt;=YEAR(E45)+N45,0,IF((YEAR(D45)+3)=YEAR(E45),(12-MONTH(E45)+1)/12,1))))))))&gt;0,(((K45)*(IF(M45="",L45,IFERROR(IF(INDEX(Variablen!$I:$AT, MATCH(M45, Variablen!$A:$A, 0), MATCH((YEAR(D45)+3), Variablen!$I$3:$AT$3, 0))="",L45,INDEX(Variablen!$I:$AT, MATCH(M45, Variablen!$A:$A, 0), MATCH((YEAR(D45)+3), Variablen!$I$3:$AT$3, 0))),L45)))*(IF((YEAR(D45)+3)&lt;YEAR(E45),0,IF((YEAR(D45)+3)&gt;YEAR(E45),1,(12-MONTH(E45)+1)/12))) + (Q45)*(IF((YEAR(D45)+3)&lt;YEAR(E45),0,IF((YEAR(D45)+3)&gt;YEAR(E45),1,(12-MONTH(E45)+1)/12))))-((P45)*(IF((YEAR(D45)+3)&lt;YEAR(E45),0,IF((YEAR(D45)+3)&gt;YEAR(E45),1,(12-MONTH(E45)+1)/12))) + (R45)*(IF((YEAR(D45)+3)&lt;YEAR(E45),0,IF((YEAR(D45)+3)&gt;YEAR(E45),1,(12-MONTH(E45)+1)/12))))-(IF(OR(N45="",N45&lt;=0),0,(O45/N45)*(IF(OR(N45="",N45&lt;=0),0,IF((YEAR(D45)+3)&lt;YEAR(E45),0,IF((YEAR(D45)+3)&gt;=YEAR(E45)+N45,0,IF((YEAR(D45)+3)=YEAR(E45),(12-MONTH(E45)+1)/12,1))))))))*TaxRate,0))-IF(3=0,O45,0))</f>
        <v/>
      </c>
      <c r="W45" s="29">
        <f>IF(A45="","",((K45)*(IF(M45="",L45,IFERROR(IF(INDEX(Variablen!$I:$AT, MATCH(M45, Variablen!$A:$A, 0), MATCH((YEAR(D45)+4), Variablen!$I$3:$AT$3, 0))="",L45,INDEX(Variablen!$I:$AT, MATCH(M45, Variablen!$A:$A, 0), MATCH((YEAR(D45)+4), Variablen!$I$3:$AT$3, 0))),L45)))*(IF((YEAR(D45)+4)&lt;YEAR(E45),0,IF((YEAR(D45)+4)&gt;YEAR(E45),1,(12-MONTH(E45)+1)/12))) + (Q45)*(IF((YEAR(D45)+4)&lt;YEAR(E45),0,IF((YEAR(D45)+4)&gt;YEAR(E45),1,(12-MONTH(E45)+1)/12))))-((P45)*(IF((YEAR(D45)+4)&lt;YEAR(E45),0,IF((YEAR(D45)+4)&gt;YEAR(E45),1,(12-MONTH(E45)+1)/12))) + (R45)*(IF((YEAR(D45)+4)&lt;YEAR(E45),0,IF((YEAR(D45)+4)&gt;YEAR(E45),1,(12-MONTH(E45)+1)/12))))-(IF((((K45)*(IF(M45="",L45,IFERROR(IF(INDEX(Variablen!$I:$AT, MATCH(M45, Variablen!$A:$A, 0), MATCH((YEAR(D45)+4), Variablen!$I$3:$AT$3, 0))="",L45,INDEX(Variablen!$I:$AT, MATCH(M45, Variablen!$A:$A, 0), MATCH((YEAR(D45)+4), Variablen!$I$3:$AT$3, 0))),L45)))*(IF((YEAR(D45)+4)&lt;YEAR(E45),0,IF((YEAR(D45)+4)&gt;YEAR(E45),1,(12-MONTH(E45)+1)/12))) + (Q45)*(IF((YEAR(D45)+4)&lt;YEAR(E45),0,IF((YEAR(D45)+4)&gt;YEAR(E45),1,(12-MONTH(E45)+1)/12))))-((P45)*(IF((YEAR(D45)+4)&lt;YEAR(E45),0,IF((YEAR(D45)+4)&gt;YEAR(E45),1,(12-MONTH(E45)+1)/12))) + (R45)*(IF((YEAR(D45)+4)&lt;YEAR(E45),0,IF((YEAR(D45)+4)&gt;YEAR(E45),1,(12-MONTH(E45)+1)/12))))-(IF(OR(N45="",N45&lt;=0),0,(O45/N45)*(IF(OR(N45="",N45&lt;=0),0,IF((YEAR(D45)+4)&lt;YEAR(E45),0,IF((YEAR(D45)+4)&gt;=YEAR(E45)+N45,0,IF((YEAR(D45)+4)=YEAR(E45),(12-MONTH(E45)+1)/12,1))))))))&gt;0,(((K45)*(IF(M45="",L45,IFERROR(IF(INDEX(Variablen!$I:$AT, MATCH(M45, Variablen!$A:$A, 0), MATCH((YEAR(D45)+4), Variablen!$I$3:$AT$3, 0))="",L45,INDEX(Variablen!$I:$AT, MATCH(M45, Variablen!$A:$A, 0), MATCH((YEAR(D45)+4), Variablen!$I$3:$AT$3, 0))),L45)))*(IF((YEAR(D45)+4)&lt;YEAR(E45),0,IF((YEAR(D45)+4)&gt;YEAR(E45),1,(12-MONTH(E45)+1)/12))) + (Q45)*(IF((YEAR(D45)+4)&lt;YEAR(E45),0,IF((YEAR(D45)+4)&gt;YEAR(E45),1,(12-MONTH(E45)+1)/12))))-((P45)*(IF((YEAR(D45)+4)&lt;YEAR(E45),0,IF((YEAR(D45)+4)&gt;YEAR(E45),1,(12-MONTH(E45)+1)/12))) + (R45)*(IF((YEAR(D45)+4)&lt;YEAR(E45),0,IF((YEAR(D45)+4)&gt;YEAR(E45),1,(12-MONTH(E45)+1)/12))))-(IF(OR(N45="",N45&lt;=0),0,(O45/N45)*(IF(OR(N45="",N45&lt;=0),0,IF((YEAR(D45)+4)&lt;YEAR(E45),0,IF((YEAR(D45)+4)&gt;=YEAR(E45)+N45,0,IF((YEAR(D45)+4)=YEAR(E45),(12-MONTH(E45)+1)/12,1))))))))*TaxRate,0))-IF(4=0,O45,0))</f>
        <v/>
      </c>
      <c r="X45" s="29">
        <f>IF(A45="","",((K45)*(IF(M45="",L45,IFERROR(IF(INDEX(Variablen!$I:$AT, MATCH(M45, Variablen!$A:$A, 0), MATCH((YEAR(D45)+5), Variablen!$I$3:$AT$3, 0))="",L45,INDEX(Variablen!$I:$AT, MATCH(M45, Variablen!$A:$A, 0), MATCH((YEAR(D45)+5), Variablen!$I$3:$AT$3, 0))),L45)))*(IF((YEAR(D45)+5)&lt;YEAR(E45),0,IF((YEAR(D45)+5)&gt;YEAR(E45),1,(12-MONTH(E45)+1)/12))) + (Q45)*(IF((YEAR(D45)+5)&lt;YEAR(E45),0,IF((YEAR(D45)+5)&gt;YEAR(E45),1,(12-MONTH(E45)+1)/12))))-((P45)*(IF((YEAR(D45)+5)&lt;YEAR(E45),0,IF((YEAR(D45)+5)&gt;YEAR(E45),1,(12-MONTH(E45)+1)/12))) + (R45)*(IF((YEAR(D45)+5)&lt;YEAR(E45),0,IF((YEAR(D45)+5)&gt;YEAR(E45),1,(12-MONTH(E45)+1)/12))))-(IF((((K45)*(IF(M45="",L45,IFERROR(IF(INDEX(Variablen!$I:$AT, MATCH(M45, Variablen!$A:$A, 0), MATCH((YEAR(D45)+5), Variablen!$I$3:$AT$3, 0))="",L45,INDEX(Variablen!$I:$AT, MATCH(M45, Variablen!$A:$A, 0), MATCH((YEAR(D45)+5), Variablen!$I$3:$AT$3, 0))),L45)))*(IF((YEAR(D45)+5)&lt;YEAR(E45),0,IF((YEAR(D45)+5)&gt;YEAR(E45),1,(12-MONTH(E45)+1)/12))) + (Q45)*(IF((YEAR(D45)+5)&lt;YEAR(E45),0,IF((YEAR(D45)+5)&gt;YEAR(E45),1,(12-MONTH(E45)+1)/12))))-((P45)*(IF((YEAR(D45)+5)&lt;YEAR(E45),0,IF((YEAR(D45)+5)&gt;YEAR(E45),1,(12-MONTH(E45)+1)/12))) + (R45)*(IF((YEAR(D45)+5)&lt;YEAR(E45),0,IF((YEAR(D45)+5)&gt;YEAR(E45),1,(12-MONTH(E45)+1)/12))))-(IF(OR(N45="",N45&lt;=0),0,(O45/N45)*(IF(OR(N45="",N45&lt;=0),0,IF((YEAR(D45)+5)&lt;YEAR(E45),0,IF((YEAR(D45)+5)&gt;=YEAR(E45)+N45,0,IF((YEAR(D45)+5)=YEAR(E45),(12-MONTH(E45)+1)/12,1))))))))&gt;0,(((K45)*(IF(M45="",L45,IFERROR(IF(INDEX(Variablen!$I:$AT, MATCH(M45, Variablen!$A:$A, 0), MATCH((YEAR(D45)+5), Variablen!$I$3:$AT$3, 0))="",L45,INDEX(Variablen!$I:$AT, MATCH(M45, Variablen!$A:$A, 0), MATCH((YEAR(D45)+5), Variablen!$I$3:$AT$3, 0))),L45)))*(IF((YEAR(D45)+5)&lt;YEAR(E45),0,IF((YEAR(D45)+5)&gt;YEAR(E45),1,(12-MONTH(E45)+1)/12))) + (Q45)*(IF((YEAR(D45)+5)&lt;YEAR(E45),0,IF((YEAR(D45)+5)&gt;YEAR(E45),1,(12-MONTH(E45)+1)/12))))-((P45)*(IF((YEAR(D45)+5)&lt;YEAR(E45),0,IF((YEAR(D45)+5)&gt;YEAR(E45),1,(12-MONTH(E45)+1)/12))) + (R45)*(IF((YEAR(D45)+5)&lt;YEAR(E45),0,IF((YEAR(D45)+5)&gt;YEAR(E45),1,(12-MONTH(E45)+1)/12))))-(IF(OR(N45="",N45&lt;=0),0,(O45/N45)*(IF(OR(N45="",N45&lt;=0),0,IF((YEAR(D45)+5)&lt;YEAR(E45),0,IF((YEAR(D45)+5)&gt;=YEAR(E45)+N45,0,IF((YEAR(D45)+5)=YEAR(E45),(12-MONTH(E45)+1)/12,1))))))))*TaxRate,0))-IF(5=0,O45,0))</f>
        <v/>
      </c>
      <c r="Y45" s="29">
        <f>IF(A45="","",((K45)*(IF(M45="",L45,IFERROR(IF(INDEX(Variablen!$I:$AT, MATCH(M45, Variablen!$A:$A, 0), MATCH((YEAR(D45)+6), Variablen!$I$3:$AT$3, 0))="",L45,INDEX(Variablen!$I:$AT, MATCH(M45, Variablen!$A:$A, 0), MATCH((YEAR(D45)+6), Variablen!$I$3:$AT$3, 0))),L45)))*(IF((YEAR(D45)+6)&lt;YEAR(E45),0,IF((YEAR(D45)+6)&gt;YEAR(E45),1,(12-MONTH(E45)+1)/12))) + (Q45)*(IF((YEAR(D45)+6)&lt;YEAR(E45),0,IF((YEAR(D45)+6)&gt;YEAR(E45),1,(12-MONTH(E45)+1)/12))))-((P45)*(IF((YEAR(D45)+6)&lt;YEAR(E45),0,IF((YEAR(D45)+6)&gt;YEAR(E45),1,(12-MONTH(E45)+1)/12))) + (R45)*(IF((YEAR(D45)+6)&lt;YEAR(E45),0,IF((YEAR(D45)+6)&gt;YEAR(E45),1,(12-MONTH(E45)+1)/12))))-(IF((((K45)*(IF(M45="",L45,IFERROR(IF(INDEX(Variablen!$I:$AT, MATCH(M45, Variablen!$A:$A, 0), MATCH((YEAR(D45)+6), Variablen!$I$3:$AT$3, 0))="",L45,INDEX(Variablen!$I:$AT, MATCH(M45, Variablen!$A:$A, 0), MATCH((YEAR(D45)+6), Variablen!$I$3:$AT$3, 0))),L45)))*(IF((YEAR(D45)+6)&lt;YEAR(E45),0,IF((YEAR(D45)+6)&gt;YEAR(E45),1,(12-MONTH(E45)+1)/12))) + (Q45)*(IF((YEAR(D45)+6)&lt;YEAR(E45),0,IF((YEAR(D45)+6)&gt;YEAR(E45),1,(12-MONTH(E45)+1)/12))))-((P45)*(IF((YEAR(D45)+6)&lt;YEAR(E45),0,IF((YEAR(D45)+6)&gt;YEAR(E45),1,(12-MONTH(E45)+1)/12))) + (R45)*(IF((YEAR(D45)+6)&lt;YEAR(E45),0,IF((YEAR(D45)+6)&gt;YEAR(E45),1,(12-MONTH(E45)+1)/12))))-(IF(OR(N45="",N45&lt;=0),0,(O45/N45)*(IF(OR(N45="",N45&lt;=0),0,IF((YEAR(D45)+6)&lt;YEAR(E45),0,IF((YEAR(D45)+6)&gt;=YEAR(E45)+N45,0,IF((YEAR(D45)+6)=YEAR(E45),(12-MONTH(E45)+1)/12,1))))))))&gt;0,(((K45)*(IF(M45="",L45,IFERROR(IF(INDEX(Variablen!$I:$AT, MATCH(M45, Variablen!$A:$A, 0), MATCH((YEAR(D45)+6), Variablen!$I$3:$AT$3, 0))="",L45,INDEX(Variablen!$I:$AT, MATCH(M45, Variablen!$A:$A, 0), MATCH((YEAR(D45)+6), Variablen!$I$3:$AT$3, 0))),L45)))*(IF((YEAR(D45)+6)&lt;YEAR(E45),0,IF((YEAR(D45)+6)&gt;YEAR(E45),1,(12-MONTH(E45)+1)/12))) + (Q45)*(IF((YEAR(D45)+6)&lt;YEAR(E45),0,IF((YEAR(D45)+6)&gt;YEAR(E45),1,(12-MONTH(E45)+1)/12))))-((P45)*(IF((YEAR(D45)+6)&lt;YEAR(E45),0,IF((YEAR(D45)+6)&gt;YEAR(E45),1,(12-MONTH(E45)+1)/12))) + (R45)*(IF((YEAR(D45)+6)&lt;YEAR(E45),0,IF((YEAR(D45)+6)&gt;YEAR(E45),1,(12-MONTH(E45)+1)/12))))-(IF(OR(N45="",N45&lt;=0),0,(O45/N45)*(IF(OR(N45="",N45&lt;=0),0,IF((YEAR(D45)+6)&lt;YEAR(E45),0,IF((YEAR(D45)+6)&gt;=YEAR(E45)+N45,0,IF((YEAR(D45)+6)=YEAR(E45),(12-MONTH(E45)+1)/12,1))))))))*TaxRate,0))-IF(6=0,O45,0))</f>
        <v/>
      </c>
      <c r="Z45" s="29">
        <f>IF(A45="","",((K45)*(IF(M45="",L45,IFERROR(IF(INDEX(Variablen!$I:$AT, MATCH(M45, Variablen!$A:$A, 0), MATCH((YEAR(D45)+7), Variablen!$I$3:$AT$3, 0))="",L45,INDEX(Variablen!$I:$AT, MATCH(M45, Variablen!$A:$A, 0), MATCH((YEAR(D45)+7), Variablen!$I$3:$AT$3, 0))),L45)))*(IF((YEAR(D45)+7)&lt;YEAR(E45),0,IF((YEAR(D45)+7)&gt;YEAR(E45),1,(12-MONTH(E45)+1)/12))) + (Q45)*(IF((YEAR(D45)+7)&lt;YEAR(E45),0,IF((YEAR(D45)+7)&gt;YEAR(E45),1,(12-MONTH(E45)+1)/12))))-((P45)*(IF((YEAR(D45)+7)&lt;YEAR(E45),0,IF((YEAR(D45)+7)&gt;YEAR(E45),1,(12-MONTH(E45)+1)/12))) + (R45)*(IF((YEAR(D45)+7)&lt;YEAR(E45),0,IF((YEAR(D45)+7)&gt;YEAR(E45),1,(12-MONTH(E45)+1)/12))))-(IF((((K45)*(IF(M45="",L45,IFERROR(IF(INDEX(Variablen!$I:$AT, MATCH(M45, Variablen!$A:$A, 0), MATCH((YEAR(D45)+7), Variablen!$I$3:$AT$3, 0))="",L45,INDEX(Variablen!$I:$AT, MATCH(M45, Variablen!$A:$A, 0), MATCH((YEAR(D45)+7), Variablen!$I$3:$AT$3, 0))),L45)))*(IF((YEAR(D45)+7)&lt;YEAR(E45),0,IF((YEAR(D45)+7)&gt;YEAR(E45),1,(12-MONTH(E45)+1)/12))) + (Q45)*(IF((YEAR(D45)+7)&lt;YEAR(E45),0,IF((YEAR(D45)+7)&gt;YEAR(E45),1,(12-MONTH(E45)+1)/12))))-((P45)*(IF((YEAR(D45)+7)&lt;YEAR(E45),0,IF((YEAR(D45)+7)&gt;YEAR(E45),1,(12-MONTH(E45)+1)/12))) + (R45)*(IF((YEAR(D45)+7)&lt;YEAR(E45),0,IF((YEAR(D45)+7)&gt;YEAR(E45),1,(12-MONTH(E45)+1)/12))))-(IF(OR(N45="",N45&lt;=0),0,(O45/N45)*(IF(OR(N45="",N45&lt;=0),0,IF((YEAR(D45)+7)&lt;YEAR(E45),0,IF((YEAR(D45)+7)&gt;=YEAR(E45)+N45,0,IF((YEAR(D45)+7)=YEAR(E45),(12-MONTH(E45)+1)/12,1))))))))&gt;0,(((K45)*(IF(M45="",L45,IFERROR(IF(INDEX(Variablen!$I:$AT, MATCH(M45, Variablen!$A:$A, 0), MATCH((YEAR(D45)+7), Variablen!$I$3:$AT$3, 0))="",L45,INDEX(Variablen!$I:$AT, MATCH(M45, Variablen!$A:$A, 0), MATCH((YEAR(D45)+7), Variablen!$I$3:$AT$3, 0))),L45)))*(IF((YEAR(D45)+7)&lt;YEAR(E45),0,IF((YEAR(D45)+7)&gt;YEAR(E45),1,(12-MONTH(E45)+1)/12))) + (Q45)*(IF((YEAR(D45)+7)&lt;YEAR(E45),0,IF((YEAR(D45)+7)&gt;YEAR(E45),1,(12-MONTH(E45)+1)/12))))-((P45)*(IF((YEAR(D45)+7)&lt;YEAR(E45),0,IF((YEAR(D45)+7)&gt;YEAR(E45),1,(12-MONTH(E45)+1)/12))) + (R45)*(IF((YEAR(D45)+7)&lt;YEAR(E45),0,IF((YEAR(D45)+7)&gt;YEAR(E45),1,(12-MONTH(E45)+1)/12))))-(IF(OR(N45="",N45&lt;=0),0,(O45/N45)*(IF(OR(N45="",N45&lt;=0),0,IF((YEAR(D45)+7)&lt;YEAR(E45),0,IF((YEAR(D45)+7)&gt;=YEAR(E45)+N45,0,IF((YEAR(D45)+7)=YEAR(E45),(12-MONTH(E45)+1)/12,1))))))))*TaxRate,0))-IF(7=0,O45,0))</f>
        <v/>
      </c>
      <c r="AA45" s="29">
        <f>IF(A45="","",((K45)*(IF(M45="",L45,IFERROR(IF(INDEX(Variablen!$I:$AT, MATCH(M45, Variablen!$A:$A, 0), MATCH((YEAR(D45)+8), Variablen!$I$3:$AT$3, 0))="",L45,INDEX(Variablen!$I:$AT, MATCH(M45, Variablen!$A:$A, 0), MATCH((YEAR(D45)+8), Variablen!$I$3:$AT$3, 0))),L45)))*(IF((YEAR(D45)+8)&lt;YEAR(E45),0,IF((YEAR(D45)+8)&gt;YEAR(E45),1,(12-MONTH(E45)+1)/12))) + (Q45)*(IF((YEAR(D45)+8)&lt;YEAR(E45),0,IF((YEAR(D45)+8)&gt;YEAR(E45),1,(12-MONTH(E45)+1)/12))))-((P45)*(IF((YEAR(D45)+8)&lt;YEAR(E45),0,IF((YEAR(D45)+8)&gt;YEAR(E45),1,(12-MONTH(E45)+1)/12))) + (R45)*(IF((YEAR(D45)+8)&lt;YEAR(E45),0,IF((YEAR(D45)+8)&gt;YEAR(E45),1,(12-MONTH(E45)+1)/12))))-(IF((((K45)*(IF(M45="",L45,IFERROR(IF(INDEX(Variablen!$I:$AT, MATCH(M45, Variablen!$A:$A, 0), MATCH((YEAR(D45)+8), Variablen!$I$3:$AT$3, 0))="",L45,INDEX(Variablen!$I:$AT, MATCH(M45, Variablen!$A:$A, 0), MATCH((YEAR(D45)+8), Variablen!$I$3:$AT$3, 0))),L45)))*(IF((YEAR(D45)+8)&lt;YEAR(E45),0,IF((YEAR(D45)+8)&gt;YEAR(E45),1,(12-MONTH(E45)+1)/12))) + (Q45)*(IF((YEAR(D45)+8)&lt;YEAR(E45),0,IF((YEAR(D45)+8)&gt;YEAR(E45),1,(12-MONTH(E45)+1)/12))))-((P45)*(IF((YEAR(D45)+8)&lt;YEAR(E45),0,IF((YEAR(D45)+8)&gt;YEAR(E45),1,(12-MONTH(E45)+1)/12))) + (R45)*(IF((YEAR(D45)+8)&lt;YEAR(E45),0,IF((YEAR(D45)+8)&gt;YEAR(E45),1,(12-MONTH(E45)+1)/12))))-(IF(OR(N45="",N45&lt;=0),0,(O45/N45)*(IF(OR(N45="",N45&lt;=0),0,IF((YEAR(D45)+8)&lt;YEAR(E45),0,IF((YEAR(D45)+8)&gt;=YEAR(E45)+N45,0,IF((YEAR(D45)+8)=YEAR(E45),(12-MONTH(E45)+1)/12,1))))))))&gt;0,(((K45)*(IF(M45="",L45,IFERROR(IF(INDEX(Variablen!$I:$AT, MATCH(M45, Variablen!$A:$A, 0), MATCH((YEAR(D45)+8), Variablen!$I$3:$AT$3, 0))="",L45,INDEX(Variablen!$I:$AT, MATCH(M45, Variablen!$A:$A, 0), MATCH((YEAR(D45)+8), Variablen!$I$3:$AT$3, 0))),L45)))*(IF((YEAR(D45)+8)&lt;YEAR(E45),0,IF((YEAR(D45)+8)&gt;YEAR(E45),1,(12-MONTH(E45)+1)/12))) + (Q45)*(IF((YEAR(D45)+8)&lt;YEAR(E45),0,IF((YEAR(D45)+8)&gt;YEAR(E45),1,(12-MONTH(E45)+1)/12))))-((P45)*(IF((YEAR(D45)+8)&lt;YEAR(E45),0,IF((YEAR(D45)+8)&gt;YEAR(E45),1,(12-MONTH(E45)+1)/12))) + (R45)*(IF((YEAR(D45)+8)&lt;YEAR(E45),0,IF((YEAR(D45)+8)&gt;YEAR(E45),1,(12-MONTH(E45)+1)/12))))-(IF(OR(N45="",N45&lt;=0),0,(O45/N45)*(IF(OR(N45="",N45&lt;=0),0,IF((YEAR(D45)+8)&lt;YEAR(E45),0,IF((YEAR(D45)+8)&gt;=YEAR(E45)+N45,0,IF((YEAR(D45)+8)=YEAR(E45),(12-MONTH(E45)+1)/12,1))))))))*TaxRate,0))-IF(8=0,O45,0))</f>
        <v/>
      </c>
      <c r="AB45" s="29">
        <f>IF(A45="","",((K45)*(IF(M45="",L45,IFERROR(IF(INDEX(Variablen!$I:$AT, MATCH(M45, Variablen!$A:$A, 0), MATCH((YEAR(D45)+9), Variablen!$I$3:$AT$3, 0))="",L45,INDEX(Variablen!$I:$AT, MATCH(M45, Variablen!$A:$A, 0), MATCH((YEAR(D45)+9), Variablen!$I$3:$AT$3, 0))),L45)))*(IF((YEAR(D45)+9)&lt;YEAR(E45),0,IF((YEAR(D45)+9)&gt;YEAR(E45),1,(12-MONTH(E45)+1)/12))) + (Q45)*(IF((YEAR(D45)+9)&lt;YEAR(E45),0,IF((YEAR(D45)+9)&gt;YEAR(E45),1,(12-MONTH(E45)+1)/12))))-((P45)*(IF((YEAR(D45)+9)&lt;YEAR(E45),0,IF((YEAR(D45)+9)&gt;YEAR(E45),1,(12-MONTH(E45)+1)/12))) + (R45)*(IF((YEAR(D45)+9)&lt;YEAR(E45),0,IF((YEAR(D45)+9)&gt;YEAR(E45),1,(12-MONTH(E45)+1)/12))))-(IF((((K45)*(IF(M45="",L45,IFERROR(IF(INDEX(Variablen!$I:$AT, MATCH(M45, Variablen!$A:$A, 0), MATCH((YEAR(D45)+9), Variablen!$I$3:$AT$3, 0))="",L45,INDEX(Variablen!$I:$AT, MATCH(M45, Variablen!$A:$A, 0), MATCH((YEAR(D45)+9), Variablen!$I$3:$AT$3, 0))),L45)))*(IF((YEAR(D45)+9)&lt;YEAR(E45),0,IF((YEAR(D45)+9)&gt;YEAR(E45),1,(12-MONTH(E45)+1)/12))) + (Q45)*(IF((YEAR(D45)+9)&lt;YEAR(E45),0,IF((YEAR(D45)+9)&gt;YEAR(E45),1,(12-MONTH(E45)+1)/12))))-((P45)*(IF((YEAR(D45)+9)&lt;YEAR(E45),0,IF((YEAR(D45)+9)&gt;YEAR(E45),1,(12-MONTH(E45)+1)/12))) + (R45)*(IF((YEAR(D45)+9)&lt;YEAR(E45),0,IF((YEAR(D45)+9)&gt;YEAR(E45),1,(12-MONTH(E45)+1)/12))))-(IF(OR(N45="",N45&lt;=0),0,(O45/N45)*(IF(OR(N45="",N45&lt;=0),0,IF((YEAR(D45)+9)&lt;YEAR(E45),0,IF((YEAR(D45)+9)&gt;=YEAR(E45)+N45,0,IF((YEAR(D45)+9)=YEAR(E45),(12-MONTH(E45)+1)/12,1))))))))&gt;0,(((K45)*(IF(M45="",L45,IFERROR(IF(INDEX(Variablen!$I:$AT, MATCH(M45, Variablen!$A:$A, 0), MATCH((YEAR(D45)+9), Variablen!$I$3:$AT$3, 0))="",L45,INDEX(Variablen!$I:$AT, MATCH(M45, Variablen!$A:$A, 0), MATCH((YEAR(D45)+9), Variablen!$I$3:$AT$3, 0))),L45)))*(IF((YEAR(D45)+9)&lt;YEAR(E45),0,IF((YEAR(D45)+9)&gt;YEAR(E45),1,(12-MONTH(E45)+1)/12))) + (Q45)*(IF((YEAR(D45)+9)&lt;YEAR(E45),0,IF((YEAR(D45)+9)&gt;YEAR(E45),1,(12-MONTH(E45)+1)/12))))-((P45)*(IF((YEAR(D45)+9)&lt;YEAR(E45),0,IF((YEAR(D45)+9)&gt;YEAR(E45),1,(12-MONTH(E45)+1)/12))) + (R45)*(IF((YEAR(D45)+9)&lt;YEAR(E45),0,IF((YEAR(D45)+9)&gt;YEAR(E45),1,(12-MONTH(E45)+1)/12))))-(IF(OR(N45="",N45&lt;=0),0,(O45/N45)*(IF(OR(N45="",N45&lt;=0),0,IF((YEAR(D45)+9)&lt;YEAR(E45),0,IF((YEAR(D45)+9)&gt;=YEAR(E45)+N45,0,IF((YEAR(D45)+9)=YEAR(E45),(12-MONTH(E45)+1)/12,1))))))))*TaxRate,0))-IF(9=0,O45,0))</f>
        <v/>
      </c>
      <c r="AC45" s="29">
        <f>IF(A45="","",((K45)*(IF(M45="",L45,IFERROR(IF(INDEX(Variablen!$I:$AT, MATCH(M45, Variablen!$A:$A, 0), MATCH((YEAR(D45)+10), Variablen!$I$3:$AT$3, 0))="",L45,INDEX(Variablen!$I:$AT, MATCH(M45, Variablen!$A:$A, 0), MATCH((YEAR(D45)+10), Variablen!$I$3:$AT$3, 0))),L45)))*(IF((YEAR(D45)+10)&lt;YEAR(E45),0,IF((YEAR(D45)+10)&gt;YEAR(E45),1,(12-MONTH(E45)+1)/12))) + (Q45)*(IF((YEAR(D45)+10)&lt;YEAR(E45),0,IF((YEAR(D45)+10)&gt;YEAR(E45),1,(12-MONTH(E45)+1)/12))))-((P45)*(IF((YEAR(D45)+10)&lt;YEAR(E45),0,IF((YEAR(D45)+10)&gt;YEAR(E45),1,(12-MONTH(E45)+1)/12))) + (R45)*(IF((YEAR(D45)+10)&lt;YEAR(E45),0,IF((YEAR(D45)+10)&gt;YEAR(E45),1,(12-MONTH(E45)+1)/12))))-(IF((((K45)*(IF(M45="",L45,IFERROR(IF(INDEX(Variablen!$I:$AT, MATCH(M45, Variablen!$A:$A, 0), MATCH((YEAR(D45)+10), Variablen!$I$3:$AT$3, 0))="",L45,INDEX(Variablen!$I:$AT, MATCH(M45, Variablen!$A:$A, 0), MATCH((YEAR(D45)+10), Variablen!$I$3:$AT$3, 0))),L45)))*(IF((YEAR(D45)+10)&lt;YEAR(E45),0,IF((YEAR(D45)+10)&gt;YEAR(E45),1,(12-MONTH(E45)+1)/12))) + (Q45)*(IF((YEAR(D45)+10)&lt;YEAR(E45),0,IF((YEAR(D45)+10)&gt;YEAR(E45),1,(12-MONTH(E45)+1)/12))))-((P45)*(IF((YEAR(D45)+10)&lt;YEAR(E45),0,IF((YEAR(D45)+10)&gt;YEAR(E45),1,(12-MONTH(E45)+1)/12))) + (R45)*(IF((YEAR(D45)+10)&lt;YEAR(E45),0,IF((YEAR(D45)+10)&gt;YEAR(E45),1,(12-MONTH(E45)+1)/12))))-(IF(OR(N45="",N45&lt;=0),0,(O45/N45)*(IF(OR(N45="",N45&lt;=0),0,IF((YEAR(D45)+10)&lt;YEAR(E45),0,IF((YEAR(D45)+10)&gt;=YEAR(E45)+N45,0,IF((YEAR(D45)+10)=YEAR(E45),(12-MONTH(E45)+1)/12,1))))))))&gt;0,(((K45)*(IF(M45="",L45,IFERROR(IF(INDEX(Variablen!$I:$AT, MATCH(M45, Variablen!$A:$A, 0), MATCH((YEAR(D45)+10), Variablen!$I$3:$AT$3, 0))="",L45,INDEX(Variablen!$I:$AT, MATCH(M45, Variablen!$A:$A, 0), MATCH((YEAR(D45)+10), Variablen!$I$3:$AT$3, 0))),L45)))*(IF((YEAR(D45)+10)&lt;YEAR(E45),0,IF((YEAR(D45)+10)&gt;YEAR(E45),1,(12-MONTH(E45)+1)/12))) + (Q45)*(IF((YEAR(D45)+10)&lt;YEAR(E45),0,IF((YEAR(D45)+10)&gt;YEAR(E45),1,(12-MONTH(E45)+1)/12))))-((P45)*(IF((YEAR(D45)+10)&lt;YEAR(E45),0,IF((YEAR(D45)+10)&gt;YEAR(E45),1,(12-MONTH(E45)+1)/12))) + (R45)*(IF((YEAR(D45)+10)&lt;YEAR(E45),0,IF((YEAR(D45)+10)&gt;YEAR(E45),1,(12-MONTH(E45)+1)/12))))-(IF(OR(N45="",N45&lt;=0),0,(O45/N45)*(IF(OR(N45="",N45&lt;=0),0,IF((YEAR(D45)+10)&lt;YEAR(E45),0,IF((YEAR(D45)+10)&gt;=YEAR(E45)+N45,0,IF((YEAR(D45)+10)=YEAR(E45),(12-MONTH(E45)+1)/12,1))))))))*TaxRate,0))-IF(10=0,O45,0))</f>
        <v/>
      </c>
      <c r="AD45" s="29">
        <f>IF(A45="","",((K45)*(IF(M45="",L45,IFERROR(IF(INDEX(Variablen!$I:$AT, MATCH(M45, Variablen!$A:$A, 0), MATCH((YEAR(D45)+11), Variablen!$I$3:$AT$3, 0))="",L45,INDEX(Variablen!$I:$AT, MATCH(M45, Variablen!$A:$A, 0), MATCH((YEAR(D45)+11), Variablen!$I$3:$AT$3, 0))),L45)))*(IF((YEAR(D45)+11)&lt;YEAR(E45),0,IF((YEAR(D45)+11)&gt;YEAR(E45),1,(12-MONTH(E45)+1)/12))) + (Q45)*(IF((YEAR(D45)+11)&lt;YEAR(E45),0,IF((YEAR(D45)+11)&gt;YEAR(E45),1,(12-MONTH(E45)+1)/12))))-((P45)*(IF((YEAR(D45)+11)&lt;YEAR(E45),0,IF((YEAR(D45)+11)&gt;YEAR(E45),1,(12-MONTH(E45)+1)/12))) + (R45)*(IF((YEAR(D45)+11)&lt;YEAR(E45),0,IF((YEAR(D45)+11)&gt;YEAR(E45),1,(12-MONTH(E45)+1)/12))))-(IF((((K45)*(IF(M45="",L45,IFERROR(IF(INDEX(Variablen!$I:$AT, MATCH(M45, Variablen!$A:$A, 0), MATCH((YEAR(D45)+11), Variablen!$I$3:$AT$3, 0))="",L45,INDEX(Variablen!$I:$AT, MATCH(M45, Variablen!$A:$A, 0), MATCH((YEAR(D45)+11), Variablen!$I$3:$AT$3, 0))),L45)))*(IF((YEAR(D45)+11)&lt;YEAR(E45),0,IF((YEAR(D45)+11)&gt;YEAR(E45),1,(12-MONTH(E45)+1)/12))) + (Q45)*(IF((YEAR(D45)+11)&lt;YEAR(E45),0,IF((YEAR(D45)+11)&gt;YEAR(E45),1,(12-MONTH(E45)+1)/12))))-((P45)*(IF((YEAR(D45)+11)&lt;YEAR(E45),0,IF((YEAR(D45)+11)&gt;YEAR(E45),1,(12-MONTH(E45)+1)/12))) + (R45)*(IF((YEAR(D45)+11)&lt;YEAR(E45),0,IF((YEAR(D45)+11)&gt;YEAR(E45),1,(12-MONTH(E45)+1)/12))))-(IF(OR(N45="",N45&lt;=0),0,(O45/N45)*(IF(OR(N45="",N45&lt;=0),0,IF((YEAR(D45)+11)&lt;YEAR(E45),0,IF((YEAR(D45)+11)&gt;=YEAR(E45)+N45,0,IF((YEAR(D45)+11)=YEAR(E45),(12-MONTH(E45)+1)/12,1))))))))&gt;0,(((K45)*(IF(M45="",L45,IFERROR(IF(INDEX(Variablen!$I:$AT, MATCH(M45, Variablen!$A:$A, 0), MATCH((YEAR(D45)+11), Variablen!$I$3:$AT$3, 0))="",L45,INDEX(Variablen!$I:$AT, MATCH(M45, Variablen!$A:$A, 0), MATCH((YEAR(D45)+11), Variablen!$I$3:$AT$3, 0))),L45)))*(IF((YEAR(D45)+11)&lt;YEAR(E45),0,IF((YEAR(D45)+11)&gt;YEAR(E45),1,(12-MONTH(E45)+1)/12))) + (Q45)*(IF((YEAR(D45)+11)&lt;YEAR(E45),0,IF((YEAR(D45)+11)&gt;YEAR(E45),1,(12-MONTH(E45)+1)/12))))-((P45)*(IF((YEAR(D45)+11)&lt;YEAR(E45),0,IF((YEAR(D45)+11)&gt;YEAR(E45),1,(12-MONTH(E45)+1)/12))) + (R45)*(IF((YEAR(D45)+11)&lt;YEAR(E45),0,IF((YEAR(D45)+11)&gt;YEAR(E45),1,(12-MONTH(E45)+1)/12))))-(IF(OR(N45="",N45&lt;=0),0,(O45/N45)*(IF(OR(N45="",N45&lt;=0),0,IF((YEAR(D45)+11)&lt;YEAR(E45),0,IF((YEAR(D45)+11)&gt;=YEAR(E45)+N45,0,IF((YEAR(D45)+11)=YEAR(E45),(12-MONTH(E45)+1)/12,1))))))))*TaxRate,0))-IF(11=0,O45,0))</f>
        <v/>
      </c>
      <c r="AE45" s="29">
        <f>IF(A45="","",((K45)*(IF(M45="",L45,IFERROR(IF(INDEX(Variablen!$I:$AT, MATCH(M45, Variablen!$A:$A, 0), MATCH((YEAR(D45)+12), Variablen!$I$3:$AT$3, 0))="",L45,INDEX(Variablen!$I:$AT, MATCH(M45, Variablen!$A:$A, 0), MATCH((YEAR(D45)+12), Variablen!$I$3:$AT$3, 0))),L45)))*(IF((YEAR(D45)+12)&lt;YEAR(E45),0,IF((YEAR(D45)+12)&gt;YEAR(E45),1,(12-MONTH(E45)+1)/12))) + (Q45)*(IF((YEAR(D45)+12)&lt;YEAR(E45),0,IF((YEAR(D45)+12)&gt;YEAR(E45),1,(12-MONTH(E45)+1)/12))))-((P45)*(IF((YEAR(D45)+12)&lt;YEAR(E45),0,IF((YEAR(D45)+12)&gt;YEAR(E45),1,(12-MONTH(E45)+1)/12))) + (R45)*(IF((YEAR(D45)+12)&lt;YEAR(E45),0,IF((YEAR(D45)+12)&gt;YEAR(E45),1,(12-MONTH(E45)+1)/12))))-(IF((((K45)*(IF(M45="",L45,IFERROR(IF(INDEX(Variablen!$I:$AT, MATCH(M45, Variablen!$A:$A, 0), MATCH((YEAR(D45)+12), Variablen!$I$3:$AT$3, 0))="",L45,INDEX(Variablen!$I:$AT, MATCH(M45, Variablen!$A:$A, 0), MATCH((YEAR(D45)+12), Variablen!$I$3:$AT$3, 0))),L45)))*(IF((YEAR(D45)+12)&lt;YEAR(E45),0,IF((YEAR(D45)+12)&gt;YEAR(E45),1,(12-MONTH(E45)+1)/12))) + (Q45)*(IF((YEAR(D45)+12)&lt;YEAR(E45),0,IF((YEAR(D45)+12)&gt;YEAR(E45),1,(12-MONTH(E45)+1)/12))))-((P45)*(IF((YEAR(D45)+12)&lt;YEAR(E45),0,IF((YEAR(D45)+12)&gt;YEAR(E45),1,(12-MONTH(E45)+1)/12))) + (R45)*(IF((YEAR(D45)+12)&lt;YEAR(E45),0,IF((YEAR(D45)+12)&gt;YEAR(E45),1,(12-MONTH(E45)+1)/12))))-(IF(OR(N45="",N45&lt;=0),0,(O45/N45)*(IF(OR(N45="",N45&lt;=0),0,IF((YEAR(D45)+12)&lt;YEAR(E45),0,IF((YEAR(D45)+12)&gt;=YEAR(E45)+N45,0,IF((YEAR(D45)+12)=YEAR(E45),(12-MONTH(E45)+1)/12,1))))))))&gt;0,(((K45)*(IF(M45="",L45,IFERROR(IF(INDEX(Variablen!$I:$AT, MATCH(M45, Variablen!$A:$A, 0), MATCH((YEAR(D45)+12), Variablen!$I$3:$AT$3, 0))="",L45,INDEX(Variablen!$I:$AT, MATCH(M45, Variablen!$A:$A, 0), MATCH((YEAR(D45)+12), Variablen!$I$3:$AT$3, 0))),L45)))*(IF((YEAR(D45)+12)&lt;YEAR(E45),0,IF((YEAR(D45)+12)&gt;YEAR(E45),1,(12-MONTH(E45)+1)/12))) + (Q45)*(IF((YEAR(D45)+12)&lt;YEAR(E45),0,IF((YEAR(D45)+12)&gt;YEAR(E45),1,(12-MONTH(E45)+1)/12))))-((P45)*(IF((YEAR(D45)+12)&lt;YEAR(E45),0,IF((YEAR(D45)+12)&gt;YEAR(E45),1,(12-MONTH(E45)+1)/12))) + (R45)*(IF((YEAR(D45)+12)&lt;YEAR(E45),0,IF((YEAR(D45)+12)&gt;YEAR(E45),1,(12-MONTH(E45)+1)/12))))-(IF(OR(N45="",N45&lt;=0),0,(O45/N45)*(IF(OR(N45="",N45&lt;=0),0,IF((YEAR(D45)+12)&lt;YEAR(E45),0,IF((YEAR(D45)+12)&gt;=YEAR(E45)+N45,0,IF((YEAR(D45)+12)=YEAR(E45),(12-MONTH(E45)+1)/12,1))))))))*TaxRate,0))-IF(12=0,O45,0))</f>
        <v/>
      </c>
      <c r="AF45" s="29">
        <f>IF(A45="","",((K45)*(IF(M45="",L45,IFERROR(IF(INDEX(Variablen!$I:$AT, MATCH(M45, Variablen!$A:$A, 0), MATCH((YEAR(D45)+13), Variablen!$I$3:$AT$3, 0))="",L45,INDEX(Variablen!$I:$AT, MATCH(M45, Variablen!$A:$A, 0), MATCH((YEAR(D45)+13), Variablen!$I$3:$AT$3, 0))),L45)))*(IF((YEAR(D45)+13)&lt;YEAR(E45),0,IF((YEAR(D45)+13)&gt;YEAR(E45),1,(12-MONTH(E45)+1)/12))) + (Q45)*(IF((YEAR(D45)+13)&lt;YEAR(E45),0,IF((YEAR(D45)+13)&gt;YEAR(E45),1,(12-MONTH(E45)+1)/12))))-((P45)*(IF((YEAR(D45)+13)&lt;YEAR(E45),0,IF((YEAR(D45)+13)&gt;YEAR(E45),1,(12-MONTH(E45)+1)/12))) + (R45)*(IF((YEAR(D45)+13)&lt;YEAR(E45),0,IF((YEAR(D45)+13)&gt;YEAR(E45),1,(12-MONTH(E45)+1)/12))))-(IF((((K45)*(IF(M45="",L45,IFERROR(IF(INDEX(Variablen!$I:$AT, MATCH(M45, Variablen!$A:$A, 0), MATCH((YEAR(D45)+13), Variablen!$I$3:$AT$3, 0))="",L45,INDEX(Variablen!$I:$AT, MATCH(M45, Variablen!$A:$A, 0), MATCH((YEAR(D45)+13), Variablen!$I$3:$AT$3, 0))),L45)))*(IF((YEAR(D45)+13)&lt;YEAR(E45),0,IF((YEAR(D45)+13)&gt;YEAR(E45),1,(12-MONTH(E45)+1)/12))) + (Q45)*(IF((YEAR(D45)+13)&lt;YEAR(E45),0,IF((YEAR(D45)+13)&gt;YEAR(E45),1,(12-MONTH(E45)+1)/12))))-((P45)*(IF((YEAR(D45)+13)&lt;YEAR(E45),0,IF((YEAR(D45)+13)&gt;YEAR(E45),1,(12-MONTH(E45)+1)/12))) + (R45)*(IF((YEAR(D45)+13)&lt;YEAR(E45),0,IF((YEAR(D45)+13)&gt;YEAR(E45),1,(12-MONTH(E45)+1)/12))))-(IF(OR(N45="",N45&lt;=0),0,(O45/N45)*(IF(OR(N45="",N45&lt;=0),0,IF((YEAR(D45)+13)&lt;YEAR(E45),0,IF((YEAR(D45)+13)&gt;=YEAR(E45)+N45,0,IF((YEAR(D45)+13)=YEAR(E45),(12-MONTH(E45)+1)/12,1))))))))&gt;0,(((K45)*(IF(M45="",L45,IFERROR(IF(INDEX(Variablen!$I:$AT, MATCH(M45, Variablen!$A:$A, 0), MATCH((YEAR(D45)+13), Variablen!$I$3:$AT$3, 0))="",L45,INDEX(Variablen!$I:$AT, MATCH(M45, Variablen!$A:$A, 0), MATCH((YEAR(D45)+13), Variablen!$I$3:$AT$3, 0))),L45)))*(IF((YEAR(D45)+13)&lt;YEAR(E45),0,IF((YEAR(D45)+13)&gt;YEAR(E45),1,(12-MONTH(E45)+1)/12))) + (Q45)*(IF((YEAR(D45)+13)&lt;YEAR(E45),0,IF((YEAR(D45)+13)&gt;YEAR(E45),1,(12-MONTH(E45)+1)/12))))-((P45)*(IF((YEAR(D45)+13)&lt;YEAR(E45),0,IF((YEAR(D45)+13)&gt;YEAR(E45),1,(12-MONTH(E45)+1)/12))) + (R45)*(IF((YEAR(D45)+13)&lt;YEAR(E45),0,IF((YEAR(D45)+13)&gt;YEAR(E45),1,(12-MONTH(E45)+1)/12))))-(IF(OR(N45="",N45&lt;=0),0,(O45/N45)*(IF(OR(N45="",N45&lt;=0),0,IF((YEAR(D45)+13)&lt;YEAR(E45),0,IF((YEAR(D45)+13)&gt;=YEAR(E45)+N45,0,IF((YEAR(D45)+13)=YEAR(E45),(12-MONTH(E45)+1)/12,1))))))))*TaxRate,0))-IF(13=0,O45,0))</f>
        <v/>
      </c>
      <c r="AG45" s="29">
        <f>IF(A45="","",((K45)*(IF(M45="",L45,IFERROR(IF(INDEX(Variablen!$I:$AT, MATCH(M45, Variablen!$A:$A, 0), MATCH((YEAR(D45)+14), Variablen!$I$3:$AT$3, 0))="",L45,INDEX(Variablen!$I:$AT, MATCH(M45, Variablen!$A:$A, 0), MATCH((YEAR(D45)+14), Variablen!$I$3:$AT$3, 0))),L45)))*(IF((YEAR(D45)+14)&lt;YEAR(E45),0,IF((YEAR(D45)+14)&gt;YEAR(E45),1,(12-MONTH(E45)+1)/12))) + (Q45)*(IF((YEAR(D45)+14)&lt;YEAR(E45),0,IF((YEAR(D45)+14)&gt;YEAR(E45),1,(12-MONTH(E45)+1)/12))))-((P45)*(IF((YEAR(D45)+14)&lt;YEAR(E45),0,IF((YEAR(D45)+14)&gt;YEAR(E45),1,(12-MONTH(E45)+1)/12))) + (R45)*(IF((YEAR(D45)+14)&lt;YEAR(E45),0,IF((YEAR(D45)+14)&gt;YEAR(E45),1,(12-MONTH(E45)+1)/12))))-(IF((((K45)*(IF(M45="",L45,IFERROR(IF(INDEX(Variablen!$I:$AT, MATCH(M45, Variablen!$A:$A, 0), MATCH((YEAR(D45)+14), Variablen!$I$3:$AT$3, 0))="",L45,INDEX(Variablen!$I:$AT, MATCH(M45, Variablen!$A:$A, 0), MATCH((YEAR(D45)+14), Variablen!$I$3:$AT$3, 0))),L45)))*(IF((YEAR(D45)+14)&lt;YEAR(E45),0,IF((YEAR(D45)+14)&gt;YEAR(E45),1,(12-MONTH(E45)+1)/12))) + (Q45)*(IF((YEAR(D45)+14)&lt;YEAR(E45),0,IF((YEAR(D45)+14)&gt;YEAR(E45),1,(12-MONTH(E45)+1)/12))))-((P45)*(IF((YEAR(D45)+14)&lt;YEAR(E45),0,IF((YEAR(D45)+14)&gt;YEAR(E45),1,(12-MONTH(E45)+1)/12))) + (R45)*(IF((YEAR(D45)+14)&lt;YEAR(E45),0,IF((YEAR(D45)+14)&gt;YEAR(E45),1,(12-MONTH(E45)+1)/12))))-(IF(OR(N45="",N45&lt;=0),0,(O45/N45)*(IF(OR(N45="",N45&lt;=0),0,IF((YEAR(D45)+14)&lt;YEAR(E45),0,IF((YEAR(D45)+14)&gt;=YEAR(E45)+N45,0,IF((YEAR(D45)+14)=YEAR(E45),(12-MONTH(E45)+1)/12,1))))))))&gt;0,(((K45)*(IF(M45="",L45,IFERROR(IF(INDEX(Variablen!$I:$AT, MATCH(M45, Variablen!$A:$A, 0), MATCH((YEAR(D45)+14), Variablen!$I$3:$AT$3, 0))="",L45,INDEX(Variablen!$I:$AT, MATCH(M45, Variablen!$A:$A, 0), MATCH((YEAR(D45)+14), Variablen!$I$3:$AT$3, 0))),L45)))*(IF((YEAR(D45)+14)&lt;YEAR(E45),0,IF((YEAR(D45)+14)&gt;YEAR(E45),1,(12-MONTH(E45)+1)/12))) + (Q45)*(IF((YEAR(D45)+14)&lt;YEAR(E45),0,IF((YEAR(D45)+14)&gt;YEAR(E45),1,(12-MONTH(E45)+1)/12))))-((P45)*(IF((YEAR(D45)+14)&lt;YEAR(E45),0,IF((YEAR(D45)+14)&gt;YEAR(E45),1,(12-MONTH(E45)+1)/12))) + (R45)*(IF((YEAR(D45)+14)&lt;YEAR(E45),0,IF((YEAR(D45)+14)&gt;YEAR(E45),1,(12-MONTH(E45)+1)/12))))-(IF(OR(N45="",N45&lt;=0),0,(O45/N45)*(IF(OR(N45="",N45&lt;=0),0,IF((YEAR(D45)+14)&lt;YEAR(E45),0,IF((YEAR(D45)+14)&gt;=YEAR(E45)+N45,0,IF((YEAR(D45)+14)=YEAR(E45),(12-MONTH(E45)+1)/12,1))))))))*TaxRate,0))-IF(14=0,O45,0))</f>
        <v/>
      </c>
      <c r="AH45" s="29">
        <f>IF(A45="","",((K45)*(IF(M45="",L45,IFERROR(IF(INDEX(Variablen!$I:$AT, MATCH(M45, Variablen!$A:$A, 0), MATCH((YEAR(D45)+15), Variablen!$I$3:$AT$3, 0))="",L45,INDEX(Variablen!$I:$AT, MATCH(M45, Variablen!$A:$A, 0), MATCH((YEAR(D45)+15), Variablen!$I$3:$AT$3, 0))),L45)))*(IF((YEAR(D45)+15)&lt;YEAR(E45),0,IF((YEAR(D45)+15)&gt;YEAR(E45),1,(12-MONTH(E45)+1)/12))) + (Q45)*(IF((YEAR(D45)+15)&lt;YEAR(E45),0,IF((YEAR(D45)+15)&gt;YEAR(E45),1,(12-MONTH(E45)+1)/12))))-((P45)*(IF((YEAR(D45)+15)&lt;YEAR(E45),0,IF((YEAR(D45)+15)&gt;YEAR(E45),1,(12-MONTH(E45)+1)/12))) + (R45)*(IF((YEAR(D45)+15)&lt;YEAR(E45),0,IF((YEAR(D45)+15)&gt;YEAR(E45),1,(12-MONTH(E45)+1)/12))))-(IF((((K45)*(IF(M45="",L45,IFERROR(IF(INDEX(Variablen!$I:$AT, MATCH(M45, Variablen!$A:$A, 0), MATCH((YEAR(D45)+15), Variablen!$I$3:$AT$3, 0))="",L45,INDEX(Variablen!$I:$AT, MATCH(M45, Variablen!$A:$A, 0), MATCH((YEAR(D45)+15), Variablen!$I$3:$AT$3, 0))),L45)))*(IF((YEAR(D45)+15)&lt;YEAR(E45),0,IF((YEAR(D45)+15)&gt;YEAR(E45),1,(12-MONTH(E45)+1)/12))) + (Q45)*(IF((YEAR(D45)+15)&lt;YEAR(E45),0,IF((YEAR(D45)+15)&gt;YEAR(E45),1,(12-MONTH(E45)+1)/12))))-((P45)*(IF((YEAR(D45)+15)&lt;YEAR(E45),0,IF((YEAR(D45)+15)&gt;YEAR(E45),1,(12-MONTH(E45)+1)/12))) + (R45)*(IF((YEAR(D45)+15)&lt;YEAR(E45),0,IF((YEAR(D45)+15)&gt;YEAR(E45),1,(12-MONTH(E45)+1)/12))))-(IF(OR(N45="",N45&lt;=0),0,(O45/N45)*(IF(OR(N45="",N45&lt;=0),0,IF((YEAR(D45)+15)&lt;YEAR(E45),0,IF((YEAR(D45)+15)&gt;=YEAR(E45)+N45,0,IF((YEAR(D45)+15)=YEAR(E45),(12-MONTH(E45)+1)/12,1))))))))&gt;0,(((K45)*(IF(M45="",L45,IFERROR(IF(INDEX(Variablen!$I:$AT, MATCH(M45, Variablen!$A:$A, 0), MATCH((YEAR(D45)+15), Variablen!$I$3:$AT$3, 0))="",L45,INDEX(Variablen!$I:$AT, MATCH(M45, Variablen!$A:$A, 0), MATCH((YEAR(D45)+15), Variablen!$I$3:$AT$3, 0))),L45)))*(IF((YEAR(D45)+15)&lt;YEAR(E45),0,IF((YEAR(D45)+15)&gt;YEAR(E45),1,(12-MONTH(E45)+1)/12))) + (Q45)*(IF((YEAR(D45)+15)&lt;YEAR(E45),0,IF((YEAR(D45)+15)&gt;YEAR(E45),1,(12-MONTH(E45)+1)/12))))-((P45)*(IF((YEAR(D45)+15)&lt;YEAR(E45),0,IF((YEAR(D45)+15)&gt;YEAR(E45),1,(12-MONTH(E45)+1)/12))) + (R45)*(IF((YEAR(D45)+15)&lt;YEAR(E45),0,IF((YEAR(D45)+15)&gt;YEAR(E45),1,(12-MONTH(E45)+1)/12))))-(IF(OR(N45="",N45&lt;=0),0,(O45/N45)*(IF(OR(N45="",N45&lt;=0),0,IF((YEAR(D45)+15)&lt;YEAR(E45),0,IF((YEAR(D45)+15)&gt;=YEAR(E45)+N45,0,IF((YEAR(D45)+15)=YEAR(E45),(12-MONTH(E45)+1)/12,1))))))))*TaxRate,0))-IF(15=0,O45,0))</f>
        <v/>
      </c>
      <c r="AI45" s="29">
        <f>IF(A45="","",((K45)*(IF(M45="",L45,IFERROR(IF(INDEX(Variablen!$I:$AT, MATCH(M45, Variablen!$A:$A, 0), MATCH((YEAR(D45)+16), Variablen!$I$3:$AT$3, 0))="",L45,INDEX(Variablen!$I:$AT, MATCH(M45, Variablen!$A:$A, 0), MATCH((YEAR(D45)+16), Variablen!$I$3:$AT$3, 0))),L45)))*(IF((YEAR(D45)+16)&lt;YEAR(E45),0,IF((YEAR(D45)+16)&gt;YEAR(E45),1,(12-MONTH(E45)+1)/12))) + (Q45)*(IF((YEAR(D45)+16)&lt;YEAR(E45),0,IF((YEAR(D45)+16)&gt;YEAR(E45),1,(12-MONTH(E45)+1)/12))))-((P45)*(IF((YEAR(D45)+16)&lt;YEAR(E45),0,IF((YEAR(D45)+16)&gt;YEAR(E45),1,(12-MONTH(E45)+1)/12))) + (R45)*(IF((YEAR(D45)+16)&lt;YEAR(E45),0,IF((YEAR(D45)+16)&gt;YEAR(E45),1,(12-MONTH(E45)+1)/12))))-(IF((((K45)*(IF(M45="",L45,IFERROR(IF(INDEX(Variablen!$I:$AT, MATCH(M45, Variablen!$A:$A, 0), MATCH((YEAR(D45)+16), Variablen!$I$3:$AT$3, 0))="",L45,INDEX(Variablen!$I:$AT, MATCH(M45, Variablen!$A:$A, 0), MATCH((YEAR(D45)+16), Variablen!$I$3:$AT$3, 0))),L45)))*(IF((YEAR(D45)+16)&lt;YEAR(E45),0,IF((YEAR(D45)+16)&gt;YEAR(E45),1,(12-MONTH(E45)+1)/12))) + (Q45)*(IF((YEAR(D45)+16)&lt;YEAR(E45),0,IF((YEAR(D45)+16)&gt;YEAR(E45),1,(12-MONTH(E45)+1)/12))))-((P45)*(IF((YEAR(D45)+16)&lt;YEAR(E45),0,IF((YEAR(D45)+16)&gt;YEAR(E45),1,(12-MONTH(E45)+1)/12))) + (R45)*(IF((YEAR(D45)+16)&lt;YEAR(E45),0,IF((YEAR(D45)+16)&gt;YEAR(E45),1,(12-MONTH(E45)+1)/12))))-(IF(OR(N45="",N45&lt;=0),0,(O45/N45)*(IF(OR(N45="",N45&lt;=0),0,IF((YEAR(D45)+16)&lt;YEAR(E45),0,IF((YEAR(D45)+16)&gt;=YEAR(E45)+N45,0,IF((YEAR(D45)+16)=YEAR(E45),(12-MONTH(E45)+1)/12,1))))))))&gt;0,(((K45)*(IF(M45="",L45,IFERROR(IF(INDEX(Variablen!$I:$AT, MATCH(M45, Variablen!$A:$A, 0), MATCH((YEAR(D45)+16), Variablen!$I$3:$AT$3, 0))="",L45,INDEX(Variablen!$I:$AT, MATCH(M45, Variablen!$A:$A, 0), MATCH((YEAR(D45)+16), Variablen!$I$3:$AT$3, 0))),L45)))*(IF((YEAR(D45)+16)&lt;YEAR(E45),0,IF((YEAR(D45)+16)&gt;YEAR(E45),1,(12-MONTH(E45)+1)/12))) + (Q45)*(IF((YEAR(D45)+16)&lt;YEAR(E45),0,IF((YEAR(D45)+16)&gt;YEAR(E45),1,(12-MONTH(E45)+1)/12))))-((P45)*(IF((YEAR(D45)+16)&lt;YEAR(E45),0,IF((YEAR(D45)+16)&gt;YEAR(E45),1,(12-MONTH(E45)+1)/12))) + (R45)*(IF((YEAR(D45)+16)&lt;YEAR(E45),0,IF((YEAR(D45)+16)&gt;YEAR(E45),1,(12-MONTH(E45)+1)/12))))-(IF(OR(N45="",N45&lt;=0),0,(O45/N45)*(IF(OR(N45="",N45&lt;=0),0,IF((YEAR(D45)+16)&lt;YEAR(E45),0,IF((YEAR(D45)+16)&gt;=YEAR(E45)+N45,0,IF((YEAR(D45)+16)=YEAR(E45),(12-MONTH(E45)+1)/12,1))))))))*TaxRate,0))-IF(16=0,O45,0))</f>
        <v/>
      </c>
      <c r="AJ45" s="29">
        <f>IF(A45="","",((K45)*(IF(M45="",L45,IFERROR(IF(INDEX(Variablen!$I:$AT, MATCH(M45, Variablen!$A:$A, 0), MATCH((YEAR(D45)+17), Variablen!$I$3:$AT$3, 0))="",L45,INDEX(Variablen!$I:$AT, MATCH(M45, Variablen!$A:$A, 0), MATCH((YEAR(D45)+17), Variablen!$I$3:$AT$3, 0))),L45)))*(IF((YEAR(D45)+17)&lt;YEAR(E45),0,IF((YEAR(D45)+17)&gt;YEAR(E45),1,(12-MONTH(E45)+1)/12))) + (Q45)*(IF((YEAR(D45)+17)&lt;YEAR(E45),0,IF((YEAR(D45)+17)&gt;YEAR(E45),1,(12-MONTH(E45)+1)/12))))-((P45)*(IF((YEAR(D45)+17)&lt;YEAR(E45),0,IF((YEAR(D45)+17)&gt;YEAR(E45),1,(12-MONTH(E45)+1)/12))) + (R45)*(IF((YEAR(D45)+17)&lt;YEAR(E45),0,IF((YEAR(D45)+17)&gt;YEAR(E45),1,(12-MONTH(E45)+1)/12))))-(IF((((K45)*(IF(M45="",L45,IFERROR(IF(INDEX(Variablen!$I:$AT, MATCH(M45, Variablen!$A:$A, 0), MATCH((YEAR(D45)+17), Variablen!$I$3:$AT$3, 0))="",L45,INDEX(Variablen!$I:$AT, MATCH(M45, Variablen!$A:$A, 0), MATCH((YEAR(D45)+17), Variablen!$I$3:$AT$3, 0))),L45)))*(IF((YEAR(D45)+17)&lt;YEAR(E45),0,IF((YEAR(D45)+17)&gt;YEAR(E45),1,(12-MONTH(E45)+1)/12))) + (Q45)*(IF((YEAR(D45)+17)&lt;YEAR(E45),0,IF((YEAR(D45)+17)&gt;YEAR(E45),1,(12-MONTH(E45)+1)/12))))-((P45)*(IF((YEAR(D45)+17)&lt;YEAR(E45),0,IF((YEAR(D45)+17)&gt;YEAR(E45),1,(12-MONTH(E45)+1)/12))) + (R45)*(IF((YEAR(D45)+17)&lt;YEAR(E45),0,IF((YEAR(D45)+17)&gt;YEAR(E45),1,(12-MONTH(E45)+1)/12))))-(IF(OR(N45="",N45&lt;=0),0,(O45/N45)*(IF(OR(N45="",N45&lt;=0),0,IF((YEAR(D45)+17)&lt;YEAR(E45),0,IF((YEAR(D45)+17)&gt;=YEAR(E45)+N45,0,IF((YEAR(D45)+17)=YEAR(E45),(12-MONTH(E45)+1)/12,1))))))))&gt;0,(((K45)*(IF(M45="",L45,IFERROR(IF(INDEX(Variablen!$I:$AT, MATCH(M45, Variablen!$A:$A, 0), MATCH((YEAR(D45)+17), Variablen!$I$3:$AT$3, 0))="",L45,INDEX(Variablen!$I:$AT, MATCH(M45, Variablen!$A:$A, 0), MATCH((YEAR(D45)+17), Variablen!$I$3:$AT$3, 0))),L45)))*(IF((YEAR(D45)+17)&lt;YEAR(E45),0,IF((YEAR(D45)+17)&gt;YEAR(E45),1,(12-MONTH(E45)+1)/12))) + (Q45)*(IF((YEAR(D45)+17)&lt;YEAR(E45),0,IF((YEAR(D45)+17)&gt;YEAR(E45),1,(12-MONTH(E45)+1)/12))))-((P45)*(IF((YEAR(D45)+17)&lt;YEAR(E45),0,IF((YEAR(D45)+17)&gt;YEAR(E45),1,(12-MONTH(E45)+1)/12))) + (R45)*(IF((YEAR(D45)+17)&lt;YEAR(E45),0,IF((YEAR(D45)+17)&gt;YEAR(E45),1,(12-MONTH(E45)+1)/12))))-(IF(OR(N45="",N45&lt;=0),0,(O45/N45)*(IF(OR(N45="",N45&lt;=0),0,IF((YEAR(D45)+17)&lt;YEAR(E45),0,IF((YEAR(D45)+17)&gt;=YEAR(E45)+N45,0,IF((YEAR(D45)+17)=YEAR(E45),(12-MONTH(E45)+1)/12,1))))))))*TaxRate,0))-IF(17=0,O45,0))</f>
        <v/>
      </c>
      <c r="AK45" s="29">
        <f>IF(A45="","",((K45)*(IF(M45="",L45,IFERROR(IF(INDEX(Variablen!$I:$AT, MATCH(M45, Variablen!$A:$A, 0), MATCH((YEAR(D45)+18), Variablen!$I$3:$AT$3, 0))="",L45,INDEX(Variablen!$I:$AT, MATCH(M45, Variablen!$A:$A, 0), MATCH((YEAR(D45)+18), Variablen!$I$3:$AT$3, 0))),L45)))*(IF((YEAR(D45)+18)&lt;YEAR(E45),0,IF((YEAR(D45)+18)&gt;YEAR(E45),1,(12-MONTH(E45)+1)/12))) + (Q45)*(IF((YEAR(D45)+18)&lt;YEAR(E45),0,IF((YEAR(D45)+18)&gt;YEAR(E45),1,(12-MONTH(E45)+1)/12))))-((P45)*(IF((YEAR(D45)+18)&lt;YEAR(E45),0,IF((YEAR(D45)+18)&gt;YEAR(E45),1,(12-MONTH(E45)+1)/12))) + (R45)*(IF((YEAR(D45)+18)&lt;YEAR(E45),0,IF((YEAR(D45)+18)&gt;YEAR(E45),1,(12-MONTH(E45)+1)/12))))-(IF((((K45)*(IF(M45="",L45,IFERROR(IF(INDEX(Variablen!$I:$AT, MATCH(M45, Variablen!$A:$A, 0), MATCH((YEAR(D45)+18), Variablen!$I$3:$AT$3, 0))="",L45,INDEX(Variablen!$I:$AT, MATCH(M45, Variablen!$A:$A, 0), MATCH((YEAR(D45)+18), Variablen!$I$3:$AT$3, 0))),L45)))*(IF((YEAR(D45)+18)&lt;YEAR(E45),0,IF((YEAR(D45)+18)&gt;YEAR(E45),1,(12-MONTH(E45)+1)/12))) + (Q45)*(IF((YEAR(D45)+18)&lt;YEAR(E45),0,IF((YEAR(D45)+18)&gt;YEAR(E45),1,(12-MONTH(E45)+1)/12))))-((P45)*(IF((YEAR(D45)+18)&lt;YEAR(E45),0,IF((YEAR(D45)+18)&gt;YEAR(E45),1,(12-MONTH(E45)+1)/12))) + (R45)*(IF((YEAR(D45)+18)&lt;YEAR(E45),0,IF((YEAR(D45)+18)&gt;YEAR(E45),1,(12-MONTH(E45)+1)/12))))-(IF(OR(N45="",N45&lt;=0),0,(O45/N45)*(IF(OR(N45="",N45&lt;=0),0,IF((YEAR(D45)+18)&lt;YEAR(E45),0,IF((YEAR(D45)+18)&gt;=YEAR(E45)+N45,0,IF((YEAR(D45)+18)=YEAR(E45),(12-MONTH(E45)+1)/12,1))))))))&gt;0,(((K45)*(IF(M45="",L45,IFERROR(IF(INDEX(Variablen!$I:$AT, MATCH(M45, Variablen!$A:$A, 0), MATCH((YEAR(D45)+18), Variablen!$I$3:$AT$3, 0))="",L45,INDEX(Variablen!$I:$AT, MATCH(M45, Variablen!$A:$A, 0), MATCH((YEAR(D45)+18), Variablen!$I$3:$AT$3, 0))),L45)))*(IF((YEAR(D45)+18)&lt;YEAR(E45),0,IF((YEAR(D45)+18)&gt;YEAR(E45),1,(12-MONTH(E45)+1)/12))) + (Q45)*(IF((YEAR(D45)+18)&lt;YEAR(E45),0,IF((YEAR(D45)+18)&gt;YEAR(E45),1,(12-MONTH(E45)+1)/12))))-((P45)*(IF((YEAR(D45)+18)&lt;YEAR(E45),0,IF((YEAR(D45)+18)&gt;YEAR(E45),1,(12-MONTH(E45)+1)/12))) + (R45)*(IF((YEAR(D45)+18)&lt;YEAR(E45),0,IF((YEAR(D45)+18)&gt;YEAR(E45),1,(12-MONTH(E45)+1)/12))))-(IF(OR(N45="",N45&lt;=0),0,(O45/N45)*(IF(OR(N45="",N45&lt;=0),0,IF((YEAR(D45)+18)&lt;YEAR(E45),0,IF((YEAR(D45)+18)&gt;=YEAR(E45)+N45,0,IF((YEAR(D45)+18)=YEAR(E45),(12-MONTH(E45)+1)/12,1))))))))*TaxRate,0))-IF(18=0,O45,0))</f>
        <v/>
      </c>
      <c r="AL45" s="29">
        <f>IF(A45="","",((K45)*(IF(M45="",L45,IFERROR(IF(INDEX(Variablen!$I:$AT, MATCH(M45, Variablen!$A:$A, 0), MATCH((YEAR(D45)+19), Variablen!$I$3:$AT$3, 0))="",L45,INDEX(Variablen!$I:$AT, MATCH(M45, Variablen!$A:$A, 0), MATCH((YEAR(D45)+19), Variablen!$I$3:$AT$3, 0))),L45)))*(IF((YEAR(D45)+19)&lt;YEAR(E45),0,IF((YEAR(D45)+19)&gt;YEAR(E45),1,(12-MONTH(E45)+1)/12))) + (Q45)*(IF((YEAR(D45)+19)&lt;YEAR(E45),0,IF((YEAR(D45)+19)&gt;YEAR(E45),1,(12-MONTH(E45)+1)/12))))-((P45)*(IF((YEAR(D45)+19)&lt;YEAR(E45),0,IF((YEAR(D45)+19)&gt;YEAR(E45),1,(12-MONTH(E45)+1)/12))) + (R45)*(IF((YEAR(D45)+19)&lt;YEAR(E45),0,IF((YEAR(D45)+19)&gt;YEAR(E45),1,(12-MONTH(E45)+1)/12))))-(IF((((K45)*(IF(M45="",L45,IFERROR(IF(INDEX(Variablen!$I:$AT, MATCH(M45, Variablen!$A:$A, 0), MATCH((YEAR(D45)+19), Variablen!$I$3:$AT$3, 0))="",L45,INDEX(Variablen!$I:$AT, MATCH(M45, Variablen!$A:$A, 0), MATCH((YEAR(D45)+19), Variablen!$I$3:$AT$3, 0))),L45)))*(IF((YEAR(D45)+19)&lt;YEAR(E45),0,IF((YEAR(D45)+19)&gt;YEAR(E45),1,(12-MONTH(E45)+1)/12))) + (Q45)*(IF((YEAR(D45)+19)&lt;YEAR(E45),0,IF((YEAR(D45)+19)&gt;YEAR(E45),1,(12-MONTH(E45)+1)/12))))-((P45)*(IF((YEAR(D45)+19)&lt;YEAR(E45),0,IF((YEAR(D45)+19)&gt;YEAR(E45),1,(12-MONTH(E45)+1)/12))) + (R45)*(IF((YEAR(D45)+19)&lt;YEAR(E45),0,IF((YEAR(D45)+19)&gt;YEAR(E45),1,(12-MONTH(E45)+1)/12))))-(IF(OR(N45="",N45&lt;=0),0,(O45/N45)*(IF(OR(N45="",N45&lt;=0),0,IF((YEAR(D45)+19)&lt;YEAR(E45),0,IF((YEAR(D45)+19)&gt;=YEAR(E45)+N45,0,IF((YEAR(D45)+19)=YEAR(E45),(12-MONTH(E45)+1)/12,1))))))))&gt;0,(((K45)*(IF(M45="",L45,IFERROR(IF(INDEX(Variablen!$I:$AT, MATCH(M45, Variablen!$A:$A, 0), MATCH((YEAR(D45)+19), Variablen!$I$3:$AT$3, 0))="",L45,INDEX(Variablen!$I:$AT, MATCH(M45, Variablen!$A:$A, 0), MATCH((YEAR(D45)+19), Variablen!$I$3:$AT$3, 0))),L45)))*(IF((YEAR(D45)+19)&lt;YEAR(E45),0,IF((YEAR(D45)+19)&gt;YEAR(E45),1,(12-MONTH(E45)+1)/12))) + (Q45)*(IF((YEAR(D45)+19)&lt;YEAR(E45),0,IF((YEAR(D45)+19)&gt;YEAR(E45),1,(12-MONTH(E45)+1)/12))))-((P45)*(IF((YEAR(D45)+19)&lt;YEAR(E45),0,IF((YEAR(D45)+19)&gt;YEAR(E45),1,(12-MONTH(E45)+1)/12))) + (R45)*(IF((YEAR(D45)+19)&lt;YEAR(E45),0,IF((YEAR(D45)+19)&gt;YEAR(E45),1,(12-MONTH(E45)+1)/12))))-(IF(OR(N45="",N45&lt;=0),0,(O45/N45)*(IF(OR(N45="",N45&lt;=0),0,IF((YEAR(D45)+19)&lt;YEAR(E45),0,IF((YEAR(D45)+19)&gt;=YEAR(E45)+N45,0,IF((YEAR(D45)+19)=YEAR(E45),(12-MONTH(E45)+1)/12,1))))))))*TaxRate,0))-IF(19=0,O45,0))</f>
        <v/>
      </c>
      <c r="AM45" s="29">
        <f>IF(A45="","",((K45)*(IF(M45="",L45,IFERROR(IF(INDEX(Variablen!$I:$AT, MATCH(M45, Variablen!$A:$A, 0), MATCH((YEAR(D45)+20), Variablen!$I$3:$AT$3, 0))="",L45,INDEX(Variablen!$I:$AT, MATCH(M45, Variablen!$A:$A, 0), MATCH((YEAR(D45)+20), Variablen!$I$3:$AT$3, 0))),L45)))*(IF((YEAR(D45)+20)&lt;YEAR(E45),0,IF((YEAR(D45)+20)&gt;YEAR(E45),1,(12-MONTH(E45)+1)/12))) + (Q45)*(IF((YEAR(D45)+20)&lt;YEAR(E45),0,IF((YEAR(D45)+20)&gt;YEAR(E45),1,(12-MONTH(E45)+1)/12))))-((P45)*(IF((YEAR(D45)+20)&lt;YEAR(E45),0,IF((YEAR(D45)+20)&gt;YEAR(E45),1,(12-MONTH(E45)+1)/12))) + (R45)*(IF((YEAR(D45)+20)&lt;YEAR(E45),0,IF((YEAR(D45)+20)&gt;YEAR(E45),1,(12-MONTH(E45)+1)/12))))-(IF((((K45)*(IF(M45="",L45,IFERROR(IF(INDEX(Variablen!$I:$AT, MATCH(M45, Variablen!$A:$A, 0), MATCH((YEAR(D45)+20), Variablen!$I$3:$AT$3, 0))="",L45,INDEX(Variablen!$I:$AT, MATCH(M45, Variablen!$A:$A, 0), MATCH((YEAR(D45)+20), Variablen!$I$3:$AT$3, 0))),L45)))*(IF((YEAR(D45)+20)&lt;YEAR(E45),0,IF((YEAR(D45)+20)&gt;YEAR(E45),1,(12-MONTH(E45)+1)/12))) + (Q45)*(IF((YEAR(D45)+20)&lt;YEAR(E45),0,IF((YEAR(D45)+20)&gt;YEAR(E45),1,(12-MONTH(E45)+1)/12))))-((P45)*(IF((YEAR(D45)+20)&lt;YEAR(E45),0,IF((YEAR(D45)+20)&gt;YEAR(E45),1,(12-MONTH(E45)+1)/12))) + (R45)*(IF((YEAR(D45)+20)&lt;YEAR(E45),0,IF((YEAR(D45)+20)&gt;YEAR(E45),1,(12-MONTH(E45)+1)/12))))-(IF(OR(N45="",N45&lt;=0),0,(O45/N45)*(IF(OR(N45="",N45&lt;=0),0,IF((YEAR(D45)+20)&lt;YEAR(E45),0,IF((YEAR(D45)+20)&gt;=YEAR(E45)+N45,0,IF((YEAR(D45)+20)=YEAR(E45),(12-MONTH(E45)+1)/12,1))))))))&gt;0,(((K45)*(IF(M45="",L45,IFERROR(IF(INDEX(Variablen!$I:$AT, MATCH(M45, Variablen!$A:$A, 0), MATCH((YEAR(D45)+20), Variablen!$I$3:$AT$3, 0))="",L45,INDEX(Variablen!$I:$AT, MATCH(M45, Variablen!$A:$A, 0), MATCH((YEAR(D45)+20), Variablen!$I$3:$AT$3, 0))),L45)))*(IF((YEAR(D45)+20)&lt;YEAR(E45),0,IF((YEAR(D45)+20)&gt;YEAR(E45),1,(12-MONTH(E45)+1)/12))) + (Q45)*(IF((YEAR(D45)+20)&lt;YEAR(E45),0,IF((YEAR(D45)+20)&gt;YEAR(E45),1,(12-MONTH(E45)+1)/12))))-((P45)*(IF((YEAR(D45)+20)&lt;YEAR(E45),0,IF((YEAR(D45)+20)&gt;YEAR(E45),1,(12-MONTH(E45)+1)/12))) + (R45)*(IF((YEAR(D45)+20)&lt;YEAR(E45),0,IF((YEAR(D45)+20)&gt;YEAR(E45),1,(12-MONTH(E45)+1)/12))))-(IF(OR(N45="",N45&lt;=0),0,(O45/N45)*(IF(OR(N45="",N45&lt;=0),0,IF((YEAR(D45)+20)&lt;YEAR(E45),0,IF((YEAR(D45)+20)&gt;=YEAR(E45)+N45,0,IF((YEAR(D45)+20)=YEAR(E45),(12-MONTH(E45)+1)/12,1))))))))*TaxRate,0))-IF(20=0,O45,0))</f>
        <v/>
      </c>
      <c r="AN45" s="29">
        <f>IF(A45="","",S45)</f>
        <v/>
      </c>
      <c r="AO45" s="29">
        <f>IF(A45="","",AN45+T45)</f>
        <v/>
      </c>
      <c r="AP45" s="29">
        <f>IF(A45="","",AO45+U45)</f>
        <v/>
      </c>
      <c r="AQ45" s="29">
        <f>IF(A45="","",AP45+V45)</f>
        <v/>
      </c>
      <c r="AR45" s="29">
        <f>IF(A45="","",AQ45+W45)</f>
        <v/>
      </c>
      <c r="AS45" s="29">
        <f>IF(A45="","",AR45+X45)</f>
        <v/>
      </c>
      <c r="AT45" s="29">
        <f>IF(A45="","",AS45+Y45)</f>
        <v/>
      </c>
      <c r="AU45" s="29">
        <f>IF(A45="","",AT45+Z45)</f>
        <v/>
      </c>
      <c r="AV45" s="29">
        <f>IF(A45="","",AU45+AA45)</f>
        <v/>
      </c>
      <c r="AW45" s="29">
        <f>IF(A45="","",AV45+AB45)</f>
        <v/>
      </c>
      <c r="AX45" s="29">
        <f>IF(A45="","",AW45+AC45)</f>
        <v/>
      </c>
      <c r="AY45" s="29">
        <f>IF(A45="","",AX45+AD45)</f>
        <v/>
      </c>
      <c r="AZ45" s="29">
        <f>IF(A45="","",AY45+AE45)</f>
        <v/>
      </c>
      <c r="BA45" s="29">
        <f>IF(A45="","",AZ45+AF45)</f>
        <v/>
      </c>
      <c r="BB45" s="29">
        <f>IF(A45="","",BA45+AG45)</f>
        <v/>
      </c>
      <c r="BC45" s="29">
        <f>IF(A45="","",BB45+AH45)</f>
        <v/>
      </c>
      <c r="BD45" s="29">
        <f>IF(A45="","",BC45+AI45)</f>
        <v/>
      </c>
      <c r="BE45" s="29">
        <f>IF(A45="","",BD45+AJ45)</f>
        <v/>
      </c>
      <c r="BF45" s="29">
        <f>IF(A45="","",BE45+AK45)</f>
        <v/>
      </c>
      <c r="BG45" s="29">
        <f>IF(A45="","",BF45+AL45)</f>
        <v/>
      </c>
      <c r="BH45" s="29">
        <f>IF(A45="","",BG45+AM45)</f>
        <v/>
      </c>
      <c r="BI45" s="36">
        <f>IF(A45="","",(K45)*(IF((YEAR(D45)+0)&lt;YEAR(E45),0,IF((YEAR(D45)+0)&gt;YEAR(E45),1,(12-MONTH(E45)+1)/12)))*(1/(1+DiscountRate)^0))</f>
        <v/>
      </c>
      <c r="BJ45" s="36">
        <f>IF(A45="","",(K45)*(IF((YEAR(D45)+1)&lt;YEAR(E45),0,IF((YEAR(D45)+1)&gt;YEAR(E45),1,(12-MONTH(E45)+1)/12)))*(1/(1+DiscountRate)^1))</f>
        <v/>
      </c>
      <c r="BK45" s="36">
        <f>IF(A45="","",(K45)*(IF((YEAR(D45)+2)&lt;YEAR(E45),0,IF((YEAR(D45)+2)&gt;YEAR(E45),1,(12-MONTH(E45)+1)/12)))*(1/(1+DiscountRate)^2))</f>
        <v/>
      </c>
      <c r="BL45" s="36">
        <f>IF(A45="","",(K45)*(IF((YEAR(D45)+3)&lt;YEAR(E45),0,IF((YEAR(D45)+3)&gt;YEAR(E45),1,(12-MONTH(E45)+1)/12)))*(1/(1+DiscountRate)^3))</f>
        <v/>
      </c>
      <c r="BM45" s="36">
        <f>IF(A45="","",(K45)*(IF((YEAR(D45)+4)&lt;YEAR(E45),0,IF((YEAR(D45)+4)&gt;YEAR(E45),1,(12-MONTH(E45)+1)/12)))*(1/(1+DiscountRate)^4))</f>
        <v/>
      </c>
      <c r="BN45" s="36">
        <f>IF(A45="","",(K45)*(IF((YEAR(D45)+5)&lt;YEAR(E45),0,IF((YEAR(D45)+5)&gt;YEAR(E45),1,(12-MONTH(E45)+1)/12)))*(1/(1+DiscountRate)^5))</f>
        <v/>
      </c>
      <c r="BO45" s="36">
        <f>IF(A45="","",(K45)*(IF((YEAR(D45)+6)&lt;YEAR(E45),0,IF((YEAR(D45)+6)&gt;YEAR(E45),1,(12-MONTH(E45)+1)/12)))*(1/(1+DiscountRate)^6))</f>
        <v/>
      </c>
      <c r="BP45" s="36">
        <f>IF(A45="","",(K45)*(IF((YEAR(D45)+7)&lt;YEAR(E45),0,IF((YEAR(D45)+7)&gt;YEAR(E45),1,(12-MONTH(E45)+1)/12)))*(1/(1+DiscountRate)^7))</f>
        <v/>
      </c>
      <c r="BQ45" s="36">
        <f>IF(A45="","",(K45)*(IF((YEAR(D45)+8)&lt;YEAR(E45),0,IF((YEAR(D45)+8)&gt;YEAR(E45),1,(12-MONTH(E45)+1)/12)))*(1/(1+DiscountRate)^8))</f>
        <v/>
      </c>
      <c r="BR45" s="36">
        <f>IF(A45="","",(K45)*(IF((YEAR(D45)+9)&lt;YEAR(E45),0,IF((YEAR(D45)+9)&gt;YEAR(E45),1,(12-MONTH(E45)+1)/12)))*(1/(1+DiscountRate)^9))</f>
        <v/>
      </c>
      <c r="BS45" s="36">
        <f>IF(A45="","",(K45)*(IF((YEAR(D45)+10)&lt;YEAR(E45),0,IF((YEAR(D45)+10)&gt;YEAR(E45),1,(12-MONTH(E45)+1)/12)))*(1/(1+DiscountRate)^10))</f>
        <v/>
      </c>
      <c r="BT45" s="36">
        <f>IF(A45="","",(K45)*(IF((YEAR(D45)+11)&lt;YEAR(E45),0,IF((YEAR(D45)+11)&gt;YEAR(E45),1,(12-MONTH(E45)+1)/12)))*(1/(1+DiscountRate)^11))</f>
        <v/>
      </c>
      <c r="BU45" s="36">
        <f>IF(A45="","",(K45)*(IF((YEAR(D45)+12)&lt;YEAR(E45),0,IF((YEAR(D45)+12)&gt;YEAR(E45),1,(12-MONTH(E45)+1)/12)))*(1/(1+DiscountRate)^12))</f>
        <v/>
      </c>
      <c r="BV45" s="36">
        <f>IF(A45="","",(K45)*(IF((YEAR(D45)+13)&lt;YEAR(E45),0,IF((YEAR(D45)+13)&gt;YEAR(E45),1,(12-MONTH(E45)+1)/12)))*(1/(1+DiscountRate)^13))</f>
        <v/>
      </c>
      <c r="BW45" s="36">
        <f>IF(A45="","",(K45)*(IF((YEAR(D45)+14)&lt;YEAR(E45),0,IF((YEAR(D45)+14)&gt;YEAR(E45),1,(12-MONTH(E45)+1)/12)))*(1/(1+DiscountRate)^14))</f>
        <v/>
      </c>
      <c r="BX45" s="36">
        <f>IF(A45="","",(K45)*(IF((YEAR(D45)+15)&lt;YEAR(E45),0,IF((YEAR(D45)+15)&gt;YEAR(E45),1,(12-MONTH(E45)+1)/12)))*(1/(1+DiscountRate)^15))</f>
        <v/>
      </c>
      <c r="BY45" s="36">
        <f>IF(A45="","",(K45)*(IF((YEAR(D45)+16)&lt;YEAR(E45),0,IF((YEAR(D45)+16)&gt;YEAR(E45),1,(12-MONTH(E45)+1)/12)))*(1/(1+DiscountRate)^16))</f>
        <v/>
      </c>
      <c r="BZ45" s="36">
        <f>IF(A45="","",(K45)*(IF((YEAR(D45)+17)&lt;YEAR(E45),0,IF((YEAR(D45)+17)&gt;YEAR(E45),1,(12-MONTH(E45)+1)/12)))*(1/(1+DiscountRate)^17))</f>
        <v/>
      </c>
      <c r="CA45" s="36">
        <f>IF(A45="","",(K45)*(IF((YEAR(D45)+18)&lt;YEAR(E45),0,IF((YEAR(D45)+18)&gt;YEAR(E45),1,(12-MONTH(E45)+1)/12)))*(1/(1+DiscountRate)^18))</f>
        <v/>
      </c>
      <c r="CB45" s="36">
        <f>IF(A45="","",(K45)*(IF((YEAR(D45)+19)&lt;YEAR(E45),0,IF((YEAR(D45)+19)&gt;YEAR(E45),1,(12-MONTH(E45)+1)/12)))*(1/(1+DiscountRate)^19))</f>
        <v/>
      </c>
      <c r="CC45" s="36">
        <f>IF(A45="","",(K45)*(IF((YEAR(D45)+20)&lt;YEAR(E45),0,IF((YEAR(D45)+20)&gt;YEAR(E45),1,(12-MONTH(E45)+1)/12)))*(1/(1+DiscountRate)^20))</f>
        <v/>
      </c>
      <c r="CD45" s="29">
        <f>IF(A45="","",S45/(1+DiscountRate)^0+T45/(1+DiscountRate)^1+U45/(1+DiscountRate)^2+V45/(1+DiscountRate)^3+W45/(1+DiscountRate)^4+X45/(1+DiscountRate)^5+Y45/(1+DiscountRate)^6+Z45/(1+DiscountRate)^7+AA45/(1+DiscountRate)^8+AB45/(1+DiscountRate)^9+AC45/(1+DiscountRate)^10+AD45/(1+DiscountRate)^11+AE45/(1+DiscountRate)^12+AF45/(1+DiscountRate)^13+AG45/(1+DiscountRate)^14+AH45/(1+DiscountRate)^15+AI45/(1+DiscountRate)^16+AJ45/(1+DiscountRate)^17+AK45/(1+DiscountRate)^18+AL45/(1+DiscountRate)^19+AM45/(1+DiscountRate)^20)</f>
        <v/>
      </c>
      <c r="CE45" s="37">
        <f>IF(A45="","",IFERROR(IRR(OFFSET(S45,0,0,1,MIN(HorizonYears,20)+1)),"n/a"))</f>
        <v/>
      </c>
      <c r="CF45" s="28">
        <f>IF(A45="","",IFERROR(MATCH(TRUE,OFFSET(AN45,0,0,1,MIN(HorizonYears,20)+1)&gt;=0,0)-1,"n/a"))</f>
        <v/>
      </c>
      <c r="CG45" s="36">
        <f>IF(A45="","",SUM(OFFSET(BI45,0,0,1,MIN(HorizonYears,20)+1)))</f>
        <v/>
      </c>
      <c r="CH45" s="36">
        <f>IF(A45="","",IFERROR(-CD45/CG45,"n/a"))</f>
        <v/>
      </c>
    </row>
    <row r="46">
      <c r="A46" s="6">
        <f>Actions!A44</f>
        <v/>
      </c>
      <c r="B46" s="6">
        <f>Actions!B44</f>
        <v/>
      </c>
      <c r="C46" s="6">
        <f>Actions!D44</f>
        <v/>
      </c>
      <c r="D46" s="35">
        <f>Actions!E44</f>
        <v/>
      </c>
      <c r="E46" s="35">
        <f>Actions!F44</f>
        <v/>
      </c>
      <c r="F46" s="6">
        <f>Actions!G44</f>
        <v/>
      </c>
      <c r="G46" s="6">
        <f>Actions!H44</f>
        <v/>
      </c>
      <c r="H46" s="29">
        <f>Actions!I44</f>
        <v/>
      </c>
      <c r="I46" s="6">
        <f>Actions!J44</f>
        <v/>
      </c>
      <c r="J46" s="16">
        <f>Actions!K44</f>
        <v/>
      </c>
      <c r="K46" s="16">
        <f>IF(A46="","",IF(I46="%",H46*J46,J46))</f>
        <v/>
      </c>
      <c r="L46" s="16">
        <f>Actions!L44</f>
        <v/>
      </c>
      <c r="M46" s="6">
        <f>Actions!M44</f>
        <v/>
      </c>
      <c r="N46" s="28">
        <f>Actions!N44</f>
        <v/>
      </c>
      <c r="O46" s="29">
        <f>Actions!T44</f>
        <v/>
      </c>
      <c r="P46" s="29">
        <f>Actions!Y44</f>
        <v/>
      </c>
      <c r="Q46" s="29">
        <f>Actions!Z44</f>
        <v/>
      </c>
      <c r="R46" s="29">
        <f>Actions!AA44</f>
        <v/>
      </c>
      <c r="S46" s="29">
        <f>IF(A46="","",((K46)*(IF(M46="",L46,IFERROR(IF(INDEX(Variablen!$I:$AT, MATCH(M46, Variablen!$A:$A, 0), MATCH((YEAR(D46)+0), Variablen!$I$3:$AT$3, 0))="",L46,INDEX(Variablen!$I:$AT, MATCH(M46, Variablen!$A:$A, 0), MATCH((YEAR(D46)+0), Variablen!$I$3:$AT$3, 0))),L46)))*(IF((YEAR(D46)+0)&lt;YEAR(E46),0,IF((YEAR(D46)+0)&gt;YEAR(E46),1,(12-MONTH(E46)+1)/12))) + (Q46)*(IF((YEAR(D46)+0)&lt;YEAR(E46),0,IF((YEAR(D46)+0)&gt;YEAR(E46),1,(12-MONTH(E46)+1)/12))))-((P46)*(IF((YEAR(D46)+0)&lt;YEAR(E46),0,IF((YEAR(D46)+0)&gt;YEAR(E46),1,(12-MONTH(E46)+1)/12))) + (R46)*(IF((YEAR(D46)+0)&lt;YEAR(E46),0,IF((YEAR(D46)+0)&gt;YEAR(E46),1,(12-MONTH(E46)+1)/12))))-(IF((((K46)*(IF(M46="",L46,IFERROR(IF(INDEX(Variablen!$I:$AT, MATCH(M46, Variablen!$A:$A, 0), MATCH((YEAR(D46)+0), Variablen!$I$3:$AT$3, 0))="",L46,INDEX(Variablen!$I:$AT, MATCH(M46, Variablen!$A:$A, 0), MATCH((YEAR(D46)+0), Variablen!$I$3:$AT$3, 0))),L46)))*(IF((YEAR(D46)+0)&lt;YEAR(E46),0,IF((YEAR(D46)+0)&gt;YEAR(E46),1,(12-MONTH(E46)+1)/12))) + (Q46)*(IF((YEAR(D46)+0)&lt;YEAR(E46),0,IF((YEAR(D46)+0)&gt;YEAR(E46),1,(12-MONTH(E46)+1)/12))))-((P46)*(IF((YEAR(D46)+0)&lt;YEAR(E46),0,IF((YEAR(D46)+0)&gt;YEAR(E46),1,(12-MONTH(E46)+1)/12))) + (R46)*(IF((YEAR(D46)+0)&lt;YEAR(E46),0,IF((YEAR(D46)+0)&gt;YEAR(E46),1,(12-MONTH(E46)+1)/12))))-(IF(OR(N46="",N46&lt;=0),0,(O46/N46)*(IF(OR(N46="",N46&lt;=0),0,IF((YEAR(D46)+0)&lt;YEAR(E46),0,IF((YEAR(D46)+0)&gt;=YEAR(E46)+N46,0,IF((YEAR(D46)+0)=YEAR(E46),(12-MONTH(E46)+1)/12,1))))))))&gt;0,(((K46)*(IF(M46="",L46,IFERROR(IF(INDEX(Variablen!$I:$AT, MATCH(M46, Variablen!$A:$A, 0), MATCH((YEAR(D46)+0), Variablen!$I$3:$AT$3, 0))="",L46,INDEX(Variablen!$I:$AT, MATCH(M46, Variablen!$A:$A, 0), MATCH((YEAR(D46)+0), Variablen!$I$3:$AT$3, 0))),L46)))*(IF((YEAR(D46)+0)&lt;YEAR(E46),0,IF((YEAR(D46)+0)&gt;YEAR(E46),1,(12-MONTH(E46)+1)/12))) + (Q46)*(IF((YEAR(D46)+0)&lt;YEAR(E46),0,IF((YEAR(D46)+0)&gt;YEAR(E46),1,(12-MONTH(E46)+1)/12))))-((P46)*(IF((YEAR(D46)+0)&lt;YEAR(E46),0,IF((YEAR(D46)+0)&gt;YEAR(E46),1,(12-MONTH(E46)+1)/12))) + (R46)*(IF((YEAR(D46)+0)&lt;YEAR(E46),0,IF((YEAR(D46)+0)&gt;YEAR(E46),1,(12-MONTH(E46)+1)/12))))-(IF(OR(N46="",N46&lt;=0),0,(O46/N46)*(IF(OR(N46="",N46&lt;=0),0,IF((YEAR(D46)+0)&lt;YEAR(E46),0,IF((YEAR(D46)+0)&gt;=YEAR(E46)+N46,0,IF((YEAR(D46)+0)=YEAR(E46),(12-MONTH(E46)+1)/12,1))))))))*TaxRate,0))-IF(0=0,O46,0))</f>
        <v/>
      </c>
      <c r="T46" s="29">
        <f>IF(A46="","",((K46)*(IF(M46="",L46,IFERROR(IF(INDEX(Variablen!$I:$AT, MATCH(M46, Variablen!$A:$A, 0), MATCH((YEAR(D46)+1), Variablen!$I$3:$AT$3, 0))="",L46,INDEX(Variablen!$I:$AT, MATCH(M46, Variablen!$A:$A, 0), MATCH((YEAR(D46)+1), Variablen!$I$3:$AT$3, 0))),L46)))*(IF((YEAR(D46)+1)&lt;YEAR(E46),0,IF((YEAR(D46)+1)&gt;YEAR(E46),1,(12-MONTH(E46)+1)/12))) + (Q46)*(IF((YEAR(D46)+1)&lt;YEAR(E46),0,IF((YEAR(D46)+1)&gt;YEAR(E46),1,(12-MONTH(E46)+1)/12))))-((P46)*(IF((YEAR(D46)+1)&lt;YEAR(E46),0,IF((YEAR(D46)+1)&gt;YEAR(E46),1,(12-MONTH(E46)+1)/12))) + (R46)*(IF((YEAR(D46)+1)&lt;YEAR(E46),0,IF((YEAR(D46)+1)&gt;YEAR(E46),1,(12-MONTH(E46)+1)/12))))-(IF((((K46)*(IF(M46="",L46,IFERROR(IF(INDEX(Variablen!$I:$AT, MATCH(M46, Variablen!$A:$A, 0), MATCH((YEAR(D46)+1), Variablen!$I$3:$AT$3, 0))="",L46,INDEX(Variablen!$I:$AT, MATCH(M46, Variablen!$A:$A, 0), MATCH((YEAR(D46)+1), Variablen!$I$3:$AT$3, 0))),L46)))*(IF((YEAR(D46)+1)&lt;YEAR(E46),0,IF((YEAR(D46)+1)&gt;YEAR(E46),1,(12-MONTH(E46)+1)/12))) + (Q46)*(IF((YEAR(D46)+1)&lt;YEAR(E46),0,IF((YEAR(D46)+1)&gt;YEAR(E46),1,(12-MONTH(E46)+1)/12))))-((P46)*(IF((YEAR(D46)+1)&lt;YEAR(E46),0,IF((YEAR(D46)+1)&gt;YEAR(E46),1,(12-MONTH(E46)+1)/12))) + (R46)*(IF((YEAR(D46)+1)&lt;YEAR(E46),0,IF((YEAR(D46)+1)&gt;YEAR(E46),1,(12-MONTH(E46)+1)/12))))-(IF(OR(N46="",N46&lt;=0),0,(O46/N46)*(IF(OR(N46="",N46&lt;=0),0,IF((YEAR(D46)+1)&lt;YEAR(E46),0,IF((YEAR(D46)+1)&gt;=YEAR(E46)+N46,0,IF((YEAR(D46)+1)=YEAR(E46),(12-MONTH(E46)+1)/12,1))))))))&gt;0,(((K46)*(IF(M46="",L46,IFERROR(IF(INDEX(Variablen!$I:$AT, MATCH(M46, Variablen!$A:$A, 0), MATCH((YEAR(D46)+1), Variablen!$I$3:$AT$3, 0))="",L46,INDEX(Variablen!$I:$AT, MATCH(M46, Variablen!$A:$A, 0), MATCH((YEAR(D46)+1), Variablen!$I$3:$AT$3, 0))),L46)))*(IF((YEAR(D46)+1)&lt;YEAR(E46),0,IF((YEAR(D46)+1)&gt;YEAR(E46),1,(12-MONTH(E46)+1)/12))) + (Q46)*(IF((YEAR(D46)+1)&lt;YEAR(E46),0,IF((YEAR(D46)+1)&gt;YEAR(E46),1,(12-MONTH(E46)+1)/12))))-((P46)*(IF((YEAR(D46)+1)&lt;YEAR(E46),0,IF((YEAR(D46)+1)&gt;YEAR(E46),1,(12-MONTH(E46)+1)/12))) + (R46)*(IF((YEAR(D46)+1)&lt;YEAR(E46),0,IF((YEAR(D46)+1)&gt;YEAR(E46),1,(12-MONTH(E46)+1)/12))))-(IF(OR(N46="",N46&lt;=0),0,(O46/N46)*(IF(OR(N46="",N46&lt;=0),0,IF((YEAR(D46)+1)&lt;YEAR(E46),0,IF((YEAR(D46)+1)&gt;=YEAR(E46)+N46,0,IF((YEAR(D46)+1)=YEAR(E46),(12-MONTH(E46)+1)/12,1))))))))*TaxRate,0))-IF(1=0,O46,0))</f>
        <v/>
      </c>
      <c r="U46" s="29">
        <f>IF(A46="","",((K46)*(IF(M46="",L46,IFERROR(IF(INDEX(Variablen!$I:$AT, MATCH(M46, Variablen!$A:$A, 0), MATCH((YEAR(D46)+2), Variablen!$I$3:$AT$3, 0))="",L46,INDEX(Variablen!$I:$AT, MATCH(M46, Variablen!$A:$A, 0), MATCH((YEAR(D46)+2), Variablen!$I$3:$AT$3, 0))),L46)))*(IF((YEAR(D46)+2)&lt;YEAR(E46),0,IF((YEAR(D46)+2)&gt;YEAR(E46),1,(12-MONTH(E46)+1)/12))) + (Q46)*(IF((YEAR(D46)+2)&lt;YEAR(E46),0,IF((YEAR(D46)+2)&gt;YEAR(E46),1,(12-MONTH(E46)+1)/12))))-((P46)*(IF((YEAR(D46)+2)&lt;YEAR(E46),0,IF((YEAR(D46)+2)&gt;YEAR(E46),1,(12-MONTH(E46)+1)/12))) + (R46)*(IF((YEAR(D46)+2)&lt;YEAR(E46),0,IF((YEAR(D46)+2)&gt;YEAR(E46),1,(12-MONTH(E46)+1)/12))))-(IF((((K46)*(IF(M46="",L46,IFERROR(IF(INDEX(Variablen!$I:$AT, MATCH(M46, Variablen!$A:$A, 0), MATCH((YEAR(D46)+2), Variablen!$I$3:$AT$3, 0))="",L46,INDEX(Variablen!$I:$AT, MATCH(M46, Variablen!$A:$A, 0), MATCH((YEAR(D46)+2), Variablen!$I$3:$AT$3, 0))),L46)))*(IF((YEAR(D46)+2)&lt;YEAR(E46),0,IF((YEAR(D46)+2)&gt;YEAR(E46),1,(12-MONTH(E46)+1)/12))) + (Q46)*(IF((YEAR(D46)+2)&lt;YEAR(E46),0,IF((YEAR(D46)+2)&gt;YEAR(E46),1,(12-MONTH(E46)+1)/12))))-((P46)*(IF((YEAR(D46)+2)&lt;YEAR(E46),0,IF((YEAR(D46)+2)&gt;YEAR(E46),1,(12-MONTH(E46)+1)/12))) + (R46)*(IF((YEAR(D46)+2)&lt;YEAR(E46),0,IF((YEAR(D46)+2)&gt;YEAR(E46),1,(12-MONTH(E46)+1)/12))))-(IF(OR(N46="",N46&lt;=0),0,(O46/N46)*(IF(OR(N46="",N46&lt;=0),0,IF((YEAR(D46)+2)&lt;YEAR(E46),0,IF((YEAR(D46)+2)&gt;=YEAR(E46)+N46,0,IF((YEAR(D46)+2)=YEAR(E46),(12-MONTH(E46)+1)/12,1))))))))&gt;0,(((K46)*(IF(M46="",L46,IFERROR(IF(INDEX(Variablen!$I:$AT, MATCH(M46, Variablen!$A:$A, 0), MATCH((YEAR(D46)+2), Variablen!$I$3:$AT$3, 0))="",L46,INDEX(Variablen!$I:$AT, MATCH(M46, Variablen!$A:$A, 0), MATCH((YEAR(D46)+2), Variablen!$I$3:$AT$3, 0))),L46)))*(IF((YEAR(D46)+2)&lt;YEAR(E46),0,IF((YEAR(D46)+2)&gt;YEAR(E46),1,(12-MONTH(E46)+1)/12))) + (Q46)*(IF((YEAR(D46)+2)&lt;YEAR(E46),0,IF((YEAR(D46)+2)&gt;YEAR(E46),1,(12-MONTH(E46)+1)/12))))-((P46)*(IF((YEAR(D46)+2)&lt;YEAR(E46),0,IF((YEAR(D46)+2)&gt;YEAR(E46),1,(12-MONTH(E46)+1)/12))) + (R46)*(IF((YEAR(D46)+2)&lt;YEAR(E46),0,IF((YEAR(D46)+2)&gt;YEAR(E46),1,(12-MONTH(E46)+1)/12))))-(IF(OR(N46="",N46&lt;=0),0,(O46/N46)*(IF(OR(N46="",N46&lt;=0),0,IF((YEAR(D46)+2)&lt;YEAR(E46),0,IF((YEAR(D46)+2)&gt;=YEAR(E46)+N46,0,IF((YEAR(D46)+2)=YEAR(E46),(12-MONTH(E46)+1)/12,1))))))))*TaxRate,0))-IF(2=0,O46,0))</f>
        <v/>
      </c>
      <c r="V46" s="29">
        <f>IF(A46="","",((K46)*(IF(M46="",L46,IFERROR(IF(INDEX(Variablen!$I:$AT, MATCH(M46, Variablen!$A:$A, 0), MATCH((YEAR(D46)+3), Variablen!$I$3:$AT$3, 0))="",L46,INDEX(Variablen!$I:$AT, MATCH(M46, Variablen!$A:$A, 0), MATCH((YEAR(D46)+3), Variablen!$I$3:$AT$3, 0))),L46)))*(IF((YEAR(D46)+3)&lt;YEAR(E46),0,IF((YEAR(D46)+3)&gt;YEAR(E46),1,(12-MONTH(E46)+1)/12))) + (Q46)*(IF((YEAR(D46)+3)&lt;YEAR(E46),0,IF((YEAR(D46)+3)&gt;YEAR(E46),1,(12-MONTH(E46)+1)/12))))-((P46)*(IF((YEAR(D46)+3)&lt;YEAR(E46),0,IF((YEAR(D46)+3)&gt;YEAR(E46),1,(12-MONTH(E46)+1)/12))) + (R46)*(IF((YEAR(D46)+3)&lt;YEAR(E46),0,IF((YEAR(D46)+3)&gt;YEAR(E46),1,(12-MONTH(E46)+1)/12))))-(IF((((K46)*(IF(M46="",L46,IFERROR(IF(INDEX(Variablen!$I:$AT, MATCH(M46, Variablen!$A:$A, 0), MATCH((YEAR(D46)+3), Variablen!$I$3:$AT$3, 0))="",L46,INDEX(Variablen!$I:$AT, MATCH(M46, Variablen!$A:$A, 0), MATCH((YEAR(D46)+3), Variablen!$I$3:$AT$3, 0))),L46)))*(IF((YEAR(D46)+3)&lt;YEAR(E46),0,IF((YEAR(D46)+3)&gt;YEAR(E46),1,(12-MONTH(E46)+1)/12))) + (Q46)*(IF((YEAR(D46)+3)&lt;YEAR(E46),0,IF((YEAR(D46)+3)&gt;YEAR(E46),1,(12-MONTH(E46)+1)/12))))-((P46)*(IF((YEAR(D46)+3)&lt;YEAR(E46),0,IF((YEAR(D46)+3)&gt;YEAR(E46),1,(12-MONTH(E46)+1)/12))) + (R46)*(IF((YEAR(D46)+3)&lt;YEAR(E46),0,IF((YEAR(D46)+3)&gt;YEAR(E46),1,(12-MONTH(E46)+1)/12))))-(IF(OR(N46="",N46&lt;=0),0,(O46/N46)*(IF(OR(N46="",N46&lt;=0),0,IF((YEAR(D46)+3)&lt;YEAR(E46),0,IF((YEAR(D46)+3)&gt;=YEAR(E46)+N46,0,IF((YEAR(D46)+3)=YEAR(E46),(12-MONTH(E46)+1)/12,1))))))))&gt;0,(((K46)*(IF(M46="",L46,IFERROR(IF(INDEX(Variablen!$I:$AT, MATCH(M46, Variablen!$A:$A, 0), MATCH((YEAR(D46)+3), Variablen!$I$3:$AT$3, 0))="",L46,INDEX(Variablen!$I:$AT, MATCH(M46, Variablen!$A:$A, 0), MATCH((YEAR(D46)+3), Variablen!$I$3:$AT$3, 0))),L46)))*(IF((YEAR(D46)+3)&lt;YEAR(E46),0,IF((YEAR(D46)+3)&gt;YEAR(E46),1,(12-MONTH(E46)+1)/12))) + (Q46)*(IF((YEAR(D46)+3)&lt;YEAR(E46),0,IF((YEAR(D46)+3)&gt;YEAR(E46),1,(12-MONTH(E46)+1)/12))))-((P46)*(IF((YEAR(D46)+3)&lt;YEAR(E46),0,IF((YEAR(D46)+3)&gt;YEAR(E46),1,(12-MONTH(E46)+1)/12))) + (R46)*(IF((YEAR(D46)+3)&lt;YEAR(E46),0,IF((YEAR(D46)+3)&gt;YEAR(E46),1,(12-MONTH(E46)+1)/12))))-(IF(OR(N46="",N46&lt;=0),0,(O46/N46)*(IF(OR(N46="",N46&lt;=0),0,IF((YEAR(D46)+3)&lt;YEAR(E46),0,IF((YEAR(D46)+3)&gt;=YEAR(E46)+N46,0,IF((YEAR(D46)+3)=YEAR(E46),(12-MONTH(E46)+1)/12,1))))))))*TaxRate,0))-IF(3=0,O46,0))</f>
        <v/>
      </c>
      <c r="W46" s="29">
        <f>IF(A46="","",((K46)*(IF(M46="",L46,IFERROR(IF(INDEX(Variablen!$I:$AT, MATCH(M46, Variablen!$A:$A, 0), MATCH((YEAR(D46)+4), Variablen!$I$3:$AT$3, 0))="",L46,INDEX(Variablen!$I:$AT, MATCH(M46, Variablen!$A:$A, 0), MATCH((YEAR(D46)+4), Variablen!$I$3:$AT$3, 0))),L46)))*(IF((YEAR(D46)+4)&lt;YEAR(E46),0,IF((YEAR(D46)+4)&gt;YEAR(E46),1,(12-MONTH(E46)+1)/12))) + (Q46)*(IF((YEAR(D46)+4)&lt;YEAR(E46),0,IF((YEAR(D46)+4)&gt;YEAR(E46),1,(12-MONTH(E46)+1)/12))))-((P46)*(IF((YEAR(D46)+4)&lt;YEAR(E46),0,IF((YEAR(D46)+4)&gt;YEAR(E46),1,(12-MONTH(E46)+1)/12))) + (R46)*(IF((YEAR(D46)+4)&lt;YEAR(E46),0,IF((YEAR(D46)+4)&gt;YEAR(E46),1,(12-MONTH(E46)+1)/12))))-(IF((((K46)*(IF(M46="",L46,IFERROR(IF(INDEX(Variablen!$I:$AT, MATCH(M46, Variablen!$A:$A, 0), MATCH((YEAR(D46)+4), Variablen!$I$3:$AT$3, 0))="",L46,INDEX(Variablen!$I:$AT, MATCH(M46, Variablen!$A:$A, 0), MATCH((YEAR(D46)+4), Variablen!$I$3:$AT$3, 0))),L46)))*(IF((YEAR(D46)+4)&lt;YEAR(E46),0,IF((YEAR(D46)+4)&gt;YEAR(E46),1,(12-MONTH(E46)+1)/12))) + (Q46)*(IF((YEAR(D46)+4)&lt;YEAR(E46),0,IF((YEAR(D46)+4)&gt;YEAR(E46),1,(12-MONTH(E46)+1)/12))))-((P46)*(IF((YEAR(D46)+4)&lt;YEAR(E46),0,IF((YEAR(D46)+4)&gt;YEAR(E46),1,(12-MONTH(E46)+1)/12))) + (R46)*(IF((YEAR(D46)+4)&lt;YEAR(E46),0,IF((YEAR(D46)+4)&gt;YEAR(E46),1,(12-MONTH(E46)+1)/12))))-(IF(OR(N46="",N46&lt;=0),0,(O46/N46)*(IF(OR(N46="",N46&lt;=0),0,IF((YEAR(D46)+4)&lt;YEAR(E46),0,IF((YEAR(D46)+4)&gt;=YEAR(E46)+N46,0,IF((YEAR(D46)+4)=YEAR(E46),(12-MONTH(E46)+1)/12,1))))))))&gt;0,(((K46)*(IF(M46="",L46,IFERROR(IF(INDEX(Variablen!$I:$AT, MATCH(M46, Variablen!$A:$A, 0), MATCH((YEAR(D46)+4), Variablen!$I$3:$AT$3, 0))="",L46,INDEX(Variablen!$I:$AT, MATCH(M46, Variablen!$A:$A, 0), MATCH((YEAR(D46)+4), Variablen!$I$3:$AT$3, 0))),L46)))*(IF((YEAR(D46)+4)&lt;YEAR(E46),0,IF((YEAR(D46)+4)&gt;YEAR(E46),1,(12-MONTH(E46)+1)/12))) + (Q46)*(IF((YEAR(D46)+4)&lt;YEAR(E46),0,IF((YEAR(D46)+4)&gt;YEAR(E46),1,(12-MONTH(E46)+1)/12))))-((P46)*(IF((YEAR(D46)+4)&lt;YEAR(E46),0,IF((YEAR(D46)+4)&gt;YEAR(E46),1,(12-MONTH(E46)+1)/12))) + (R46)*(IF((YEAR(D46)+4)&lt;YEAR(E46),0,IF((YEAR(D46)+4)&gt;YEAR(E46),1,(12-MONTH(E46)+1)/12))))-(IF(OR(N46="",N46&lt;=0),0,(O46/N46)*(IF(OR(N46="",N46&lt;=0),0,IF((YEAR(D46)+4)&lt;YEAR(E46),0,IF((YEAR(D46)+4)&gt;=YEAR(E46)+N46,0,IF((YEAR(D46)+4)=YEAR(E46),(12-MONTH(E46)+1)/12,1))))))))*TaxRate,0))-IF(4=0,O46,0))</f>
        <v/>
      </c>
      <c r="X46" s="29">
        <f>IF(A46="","",((K46)*(IF(M46="",L46,IFERROR(IF(INDEX(Variablen!$I:$AT, MATCH(M46, Variablen!$A:$A, 0), MATCH((YEAR(D46)+5), Variablen!$I$3:$AT$3, 0))="",L46,INDEX(Variablen!$I:$AT, MATCH(M46, Variablen!$A:$A, 0), MATCH((YEAR(D46)+5), Variablen!$I$3:$AT$3, 0))),L46)))*(IF((YEAR(D46)+5)&lt;YEAR(E46),0,IF((YEAR(D46)+5)&gt;YEAR(E46),1,(12-MONTH(E46)+1)/12))) + (Q46)*(IF((YEAR(D46)+5)&lt;YEAR(E46),0,IF((YEAR(D46)+5)&gt;YEAR(E46),1,(12-MONTH(E46)+1)/12))))-((P46)*(IF((YEAR(D46)+5)&lt;YEAR(E46),0,IF((YEAR(D46)+5)&gt;YEAR(E46),1,(12-MONTH(E46)+1)/12))) + (R46)*(IF((YEAR(D46)+5)&lt;YEAR(E46),0,IF((YEAR(D46)+5)&gt;YEAR(E46),1,(12-MONTH(E46)+1)/12))))-(IF((((K46)*(IF(M46="",L46,IFERROR(IF(INDEX(Variablen!$I:$AT, MATCH(M46, Variablen!$A:$A, 0), MATCH((YEAR(D46)+5), Variablen!$I$3:$AT$3, 0))="",L46,INDEX(Variablen!$I:$AT, MATCH(M46, Variablen!$A:$A, 0), MATCH((YEAR(D46)+5), Variablen!$I$3:$AT$3, 0))),L46)))*(IF((YEAR(D46)+5)&lt;YEAR(E46),0,IF((YEAR(D46)+5)&gt;YEAR(E46),1,(12-MONTH(E46)+1)/12))) + (Q46)*(IF((YEAR(D46)+5)&lt;YEAR(E46),0,IF((YEAR(D46)+5)&gt;YEAR(E46),1,(12-MONTH(E46)+1)/12))))-((P46)*(IF((YEAR(D46)+5)&lt;YEAR(E46),0,IF((YEAR(D46)+5)&gt;YEAR(E46),1,(12-MONTH(E46)+1)/12))) + (R46)*(IF((YEAR(D46)+5)&lt;YEAR(E46),0,IF((YEAR(D46)+5)&gt;YEAR(E46),1,(12-MONTH(E46)+1)/12))))-(IF(OR(N46="",N46&lt;=0),0,(O46/N46)*(IF(OR(N46="",N46&lt;=0),0,IF((YEAR(D46)+5)&lt;YEAR(E46),0,IF((YEAR(D46)+5)&gt;=YEAR(E46)+N46,0,IF((YEAR(D46)+5)=YEAR(E46),(12-MONTH(E46)+1)/12,1))))))))&gt;0,(((K46)*(IF(M46="",L46,IFERROR(IF(INDEX(Variablen!$I:$AT, MATCH(M46, Variablen!$A:$A, 0), MATCH((YEAR(D46)+5), Variablen!$I$3:$AT$3, 0))="",L46,INDEX(Variablen!$I:$AT, MATCH(M46, Variablen!$A:$A, 0), MATCH((YEAR(D46)+5), Variablen!$I$3:$AT$3, 0))),L46)))*(IF((YEAR(D46)+5)&lt;YEAR(E46),0,IF((YEAR(D46)+5)&gt;YEAR(E46),1,(12-MONTH(E46)+1)/12))) + (Q46)*(IF((YEAR(D46)+5)&lt;YEAR(E46),0,IF((YEAR(D46)+5)&gt;YEAR(E46),1,(12-MONTH(E46)+1)/12))))-((P46)*(IF((YEAR(D46)+5)&lt;YEAR(E46),0,IF((YEAR(D46)+5)&gt;YEAR(E46),1,(12-MONTH(E46)+1)/12))) + (R46)*(IF((YEAR(D46)+5)&lt;YEAR(E46),0,IF((YEAR(D46)+5)&gt;YEAR(E46),1,(12-MONTH(E46)+1)/12))))-(IF(OR(N46="",N46&lt;=0),0,(O46/N46)*(IF(OR(N46="",N46&lt;=0),0,IF((YEAR(D46)+5)&lt;YEAR(E46),0,IF((YEAR(D46)+5)&gt;=YEAR(E46)+N46,0,IF((YEAR(D46)+5)=YEAR(E46),(12-MONTH(E46)+1)/12,1))))))))*TaxRate,0))-IF(5=0,O46,0))</f>
        <v/>
      </c>
      <c r="Y46" s="29">
        <f>IF(A46="","",((K46)*(IF(M46="",L46,IFERROR(IF(INDEX(Variablen!$I:$AT, MATCH(M46, Variablen!$A:$A, 0), MATCH((YEAR(D46)+6), Variablen!$I$3:$AT$3, 0))="",L46,INDEX(Variablen!$I:$AT, MATCH(M46, Variablen!$A:$A, 0), MATCH((YEAR(D46)+6), Variablen!$I$3:$AT$3, 0))),L46)))*(IF((YEAR(D46)+6)&lt;YEAR(E46),0,IF((YEAR(D46)+6)&gt;YEAR(E46),1,(12-MONTH(E46)+1)/12))) + (Q46)*(IF((YEAR(D46)+6)&lt;YEAR(E46),0,IF((YEAR(D46)+6)&gt;YEAR(E46),1,(12-MONTH(E46)+1)/12))))-((P46)*(IF((YEAR(D46)+6)&lt;YEAR(E46),0,IF((YEAR(D46)+6)&gt;YEAR(E46),1,(12-MONTH(E46)+1)/12))) + (R46)*(IF((YEAR(D46)+6)&lt;YEAR(E46),0,IF((YEAR(D46)+6)&gt;YEAR(E46),1,(12-MONTH(E46)+1)/12))))-(IF((((K46)*(IF(M46="",L46,IFERROR(IF(INDEX(Variablen!$I:$AT, MATCH(M46, Variablen!$A:$A, 0), MATCH((YEAR(D46)+6), Variablen!$I$3:$AT$3, 0))="",L46,INDEX(Variablen!$I:$AT, MATCH(M46, Variablen!$A:$A, 0), MATCH((YEAR(D46)+6), Variablen!$I$3:$AT$3, 0))),L46)))*(IF((YEAR(D46)+6)&lt;YEAR(E46),0,IF((YEAR(D46)+6)&gt;YEAR(E46),1,(12-MONTH(E46)+1)/12))) + (Q46)*(IF((YEAR(D46)+6)&lt;YEAR(E46),0,IF((YEAR(D46)+6)&gt;YEAR(E46),1,(12-MONTH(E46)+1)/12))))-((P46)*(IF((YEAR(D46)+6)&lt;YEAR(E46),0,IF((YEAR(D46)+6)&gt;YEAR(E46),1,(12-MONTH(E46)+1)/12))) + (R46)*(IF((YEAR(D46)+6)&lt;YEAR(E46),0,IF((YEAR(D46)+6)&gt;YEAR(E46),1,(12-MONTH(E46)+1)/12))))-(IF(OR(N46="",N46&lt;=0),0,(O46/N46)*(IF(OR(N46="",N46&lt;=0),0,IF((YEAR(D46)+6)&lt;YEAR(E46),0,IF((YEAR(D46)+6)&gt;=YEAR(E46)+N46,0,IF((YEAR(D46)+6)=YEAR(E46),(12-MONTH(E46)+1)/12,1))))))))&gt;0,(((K46)*(IF(M46="",L46,IFERROR(IF(INDEX(Variablen!$I:$AT, MATCH(M46, Variablen!$A:$A, 0), MATCH((YEAR(D46)+6), Variablen!$I$3:$AT$3, 0))="",L46,INDEX(Variablen!$I:$AT, MATCH(M46, Variablen!$A:$A, 0), MATCH((YEAR(D46)+6), Variablen!$I$3:$AT$3, 0))),L46)))*(IF((YEAR(D46)+6)&lt;YEAR(E46),0,IF((YEAR(D46)+6)&gt;YEAR(E46),1,(12-MONTH(E46)+1)/12))) + (Q46)*(IF((YEAR(D46)+6)&lt;YEAR(E46),0,IF((YEAR(D46)+6)&gt;YEAR(E46),1,(12-MONTH(E46)+1)/12))))-((P46)*(IF((YEAR(D46)+6)&lt;YEAR(E46),0,IF((YEAR(D46)+6)&gt;YEAR(E46),1,(12-MONTH(E46)+1)/12))) + (R46)*(IF((YEAR(D46)+6)&lt;YEAR(E46),0,IF((YEAR(D46)+6)&gt;YEAR(E46),1,(12-MONTH(E46)+1)/12))))-(IF(OR(N46="",N46&lt;=0),0,(O46/N46)*(IF(OR(N46="",N46&lt;=0),0,IF((YEAR(D46)+6)&lt;YEAR(E46),0,IF((YEAR(D46)+6)&gt;=YEAR(E46)+N46,0,IF((YEAR(D46)+6)=YEAR(E46),(12-MONTH(E46)+1)/12,1))))))))*TaxRate,0))-IF(6=0,O46,0))</f>
        <v/>
      </c>
      <c r="Z46" s="29">
        <f>IF(A46="","",((K46)*(IF(M46="",L46,IFERROR(IF(INDEX(Variablen!$I:$AT, MATCH(M46, Variablen!$A:$A, 0), MATCH((YEAR(D46)+7), Variablen!$I$3:$AT$3, 0))="",L46,INDEX(Variablen!$I:$AT, MATCH(M46, Variablen!$A:$A, 0), MATCH((YEAR(D46)+7), Variablen!$I$3:$AT$3, 0))),L46)))*(IF((YEAR(D46)+7)&lt;YEAR(E46),0,IF((YEAR(D46)+7)&gt;YEAR(E46),1,(12-MONTH(E46)+1)/12))) + (Q46)*(IF((YEAR(D46)+7)&lt;YEAR(E46),0,IF((YEAR(D46)+7)&gt;YEAR(E46),1,(12-MONTH(E46)+1)/12))))-((P46)*(IF((YEAR(D46)+7)&lt;YEAR(E46),0,IF((YEAR(D46)+7)&gt;YEAR(E46),1,(12-MONTH(E46)+1)/12))) + (R46)*(IF((YEAR(D46)+7)&lt;YEAR(E46),0,IF((YEAR(D46)+7)&gt;YEAR(E46),1,(12-MONTH(E46)+1)/12))))-(IF((((K46)*(IF(M46="",L46,IFERROR(IF(INDEX(Variablen!$I:$AT, MATCH(M46, Variablen!$A:$A, 0), MATCH((YEAR(D46)+7), Variablen!$I$3:$AT$3, 0))="",L46,INDEX(Variablen!$I:$AT, MATCH(M46, Variablen!$A:$A, 0), MATCH((YEAR(D46)+7), Variablen!$I$3:$AT$3, 0))),L46)))*(IF((YEAR(D46)+7)&lt;YEAR(E46),0,IF((YEAR(D46)+7)&gt;YEAR(E46),1,(12-MONTH(E46)+1)/12))) + (Q46)*(IF((YEAR(D46)+7)&lt;YEAR(E46),0,IF((YEAR(D46)+7)&gt;YEAR(E46),1,(12-MONTH(E46)+1)/12))))-((P46)*(IF((YEAR(D46)+7)&lt;YEAR(E46),0,IF((YEAR(D46)+7)&gt;YEAR(E46),1,(12-MONTH(E46)+1)/12))) + (R46)*(IF((YEAR(D46)+7)&lt;YEAR(E46),0,IF((YEAR(D46)+7)&gt;YEAR(E46),1,(12-MONTH(E46)+1)/12))))-(IF(OR(N46="",N46&lt;=0),0,(O46/N46)*(IF(OR(N46="",N46&lt;=0),0,IF((YEAR(D46)+7)&lt;YEAR(E46),0,IF((YEAR(D46)+7)&gt;=YEAR(E46)+N46,0,IF((YEAR(D46)+7)=YEAR(E46),(12-MONTH(E46)+1)/12,1))))))))&gt;0,(((K46)*(IF(M46="",L46,IFERROR(IF(INDEX(Variablen!$I:$AT, MATCH(M46, Variablen!$A:$A, 0), MATCH((YEAR(D46)+7), Variablen!$I$3:$AT$3, 0))="",L46,INDEX(Variablen!$I:$AT, MATCH(M46, Variablen!$A:$A, 0), MATCH((YEAR(D46)+7), Variablen!$I$3:$AT$3, 0))),L46)))*(IF((YEAR(D46)+7)&lt;YEAR(E46),0,IF((YEAR(D46)+7)&gt;YEAR(E46),1,(12-MONTH(E46)+1)/12))) + (Q46)*(IF((YEAR(D46)+7)&lt;YEAR(E46),0,IF((YEAR(D46)+7)&gt;YEAR(E46),1,(12-MONTH(E46)+1)/12))))-((P46)*(IF((YEAR(D46)+7)&lt;YEAR(E46),0,IF((YEAR(D46)+7)&gt;YEAR(E46),1,(12-MONTH(E46)+1)/12))) + (R46)*(IF((YEAR(D46)+7)&lt;YEAR(E46),0,IF((YEAR(D46)+7)&gt;YEAR(E46),1,(12-MONTH(E46)+1)/12))))-(IF(OR(N46="",N46&lt;=0),0,(O46/N46)*(IF(OR(N46="",N46&lt;=0),0,IF((YEAR(D46)+7)&lt;YEAR(E46),0,IF((YEAR(D46)+7)&gt;=YEAR(E46)+N46,0,IF((YEAR(D46)+7)=YEAR(E46),(12-MONTH(E46)+1)/12,1))))))))*TaxRate,0))-IF(7=0,O46,0))</f>
        <v/>
      </c>
      <c r="AA46" s="29">
        <f>IF(A46="","",((K46)*(IF(M46="",L46,IFERROR(IF(INDEX(Variablen!$I:$AT, MATCH(M46, Variablen!$A:$A, 0), MATCH((YEAR(D46)+8), Variablen!$I$3:$AT$3, 0))="",L46,INDEX(Variablen!$I:$AT, MATCH(M46, Variablen!$A:$A, 0), MATCH((YEAR(D46)+8), Variablen!$I$3:$AT$3, 0))),L46)))*(IF((YEAR(D46)+8)&lt;YEAR(E46),0,IF((YEAR(D46)+8)&gt;YEAR(E46),1,(12-MONTH(E46)+1)/12))) + (Q46)*(IF((YEAR(D46)+8)&lt;YEAR(E46),0,IF((YEAR(D46)+8)&gt;YEAR(E46),1,(12-MONTH(E46)+1)/12))))-((P46)*(IF((YEAR(D46)+8)&lt;YEAR(E46),0,IF((YEAR(D46)+8)&gt;YEAR(E46),1,(12-MONTH(E46)+1)/12))) + (R46)*(IF((YEAR(D46)+8)&lt;YEAR(E46),0,IF((YEAR(D46)+8)&gt;YEAR(E46),1,(12-MONTH(E46)+1)/12))))-(IF((((K46)*(IF(M46="",L46,IFERROR(IF(INDEX(Variablen!$I:$AT, MATCH(M46, Variablen!$A:$A, 0), MATCH((YEAR(D46)+8), Variablen!$I$3:$AT$3, 0))="",L46,INDEX(Variablen!$I:$AT, MATCH(M46, Variablen!$A:$A, 0), MATCH((YEAR(D46)+8), Variablen!$I$3:$AT$3, 0))),L46)))*(IF((YEAR(D46)+8)&lt;YEAR(E46),0,IF((YEAR(D46)+8)&gt;YEAR(E46),1,(12-MONTH(E46)+1)/12))) + (Q46)*(IF((YEAR(D46)+8)&lt;YEAR(E46),0,IF((YEAR(D46)+8)&gt;YEAR(E46),1,(12-MONTH(E46)+1)/12))))-((P46)*(IF((YEAR(D46)+8)&lt;YEAR(E46),0,IF((YEAR(D46)+8)&gt;YEAR(E46),1,(12-MONTH(E46)+1)/12))) + (R46)*(IF((YEAR(D46)+8)&lt;YEAR(E46),0,IF((YEAR(D46)+8)&gt;YEAR(E46),1,(12-MONTH(E46)+1)/12))))-(IF(OR(N46="",N46&lt;=0),0,(O46/N46)*(IF(OR(N46="",N46&lt;=0),0,IF((YEAR(D46)+8)&lt;YEAR(E46),0,IF((YEAR(D46)+8)&gt;=YEAR(E46)+N46,0,IF((YEAR(D46)+8)=YEAR(E46),(12-MONTH(E46)+1)/12,1))))))))&gt;0,(((K46)*(IF(M46="",L46,IFERROR(IF(INDEX(Variablen!$I:$AT, MATCH(M46, Variablen!$A:$A, 0), MATCH((YEAR(D46)+8), Variablen!$I$3:$AT$3, 0))="",L46,INDEX(Variablen!$I:$AT, MATCH(M46, Variablen!$A:$A, 0), MATCH((YEAR(D46)+8), Variablen!$I$3:$AT$3, 0))),L46)))*(IF((YEAR(D46)+8)&lt;YEAR(E46),0,IF((YEAR(D46)+8)&gt;YEAR(E46),1,(12-MONTH(E46)+1)/12))) + (Q46)*(IF((YEAR(D46)+8)&lt;YEAR(E46),0,IF((YEAR(D46)+8)&gt;YEAR(E46),1,(12-MONTH(E46)+1)/12))))-((P46)*(IF((YEAR(D46)+8)&lt;YEAR(E46),0,IF((YEAR(D46)+8)&gt;YEAR(E46),1,(12-MONTH(E46)+1)/12))) + (R46)*(IF((YEAR(D46)+8)&lt;YEAR(E46),0,IF((YEAR(D46)+8)&gt;YEAR(E46),1,(12-MONTH(E46)+1)/12))))-(IF(OR(N46="",N46&lt;=0),0,(O46/N46)*(IF(OR(N46="",N46&lt;=0),0,IF((YEAR(D46)+8)&lt;YEAR(E46),0,IF((YEAR(D46)+8)&gt;=YEAR(E46)+N46,0,IF((YEAR(D46)+8)=YEAR(E46),(12-MONTH(E46)+1)/12,1))))))))*TaxRate,0))-IF(8=0,O46,0))</f>
        <v/>
      </c>
      <c r="AB46" s="29">
        <f>IF(A46="","",((K46)*(IF(M46="",L46,IFERROR(IF(INDEX(Variablen!$I:$AT, MATCH(M46, Variablen!$A:$A, 0), MATCH((YEAR(D46)+9), Variablen!$I$3:$AT$3, 0))="",L46,INDEX(Variablen!$I:$AT, MATCH(M46, Variablen!$A:$A, 0), MATCH((YEAR(D46)+9), Variablen!$I$3:$AT$3, 0))),L46)))*(IF((YEAR(D46)+9)&lt;YEAR(E46),0,IF((YEAR(D46)+9)&gt;YEAR(E46),1,(12-MONTH(E46)+1)/12))) + (Q46)*(IF((YEAR(D46)+9)&lt;YEAR(E46),0,IF((YEAR(D46)+9)&gt;YEAR(E46),1,(12-MONTH(E46)+1)/12))))-((P46)*(IF((YEAR(D46)+9)&lt;YEAR(E46),0,IF((YEAR(D46)+9)&gt;YEAR(E46),1,(12-MONTH(E46)+1)/12))) + (R46)*(IF((YEAR(D46)+9)&lt;YEAR(E46),0,IF((YEAR(D46)+9)&gt;YEAR(E46),1,(12-MONTH(E46)+1)/12))))-(IF((((K46)*(IF(M46="",L46,IFERROR(IF(INDEX(Variablen!$I:$AT, MATCH(M46, Variablen!$A:$A, 0), MATCH((YEAR(D46)+9), Variablen!$I$3:$AT$3, 0))="",L46,INDEX(Variablen!$I:$AT, MATCH(M46, Variablen!$A:$A, 0), MATCH((YEAR(D46)+9), Variablen!$I$3:$AT$3, 0))),L46)))*(IF((YEAR(D46)+9)&lt;YEAR(E46),0,IF((YEAR(D46)+9)&gt;YEAR(E46),1,(12-MONTH(E46)+1)/12))) + (Q46)*(IF((YEAR(D46)+9)&lt;YEAR(E46),0,IF((YEAR(D46)+9)&gt;YEAR(E46),1,(12-MONTH(E46)+1)/12))))-((P46)*(IF((YEAR(D46)+9)&lt;YEAR(E46),0,IF((YEAR(D46)+9)&gt;YEAR(E46),1,(12-MONTH(E46)+1)/12))) + (R46)*(IF((YEAR(D46)+9)&lt;YEAR(E46),0,IF((YEAR(D46)+9)&gt;YEAR(E46),1,(12-MONTH(E46)+1)/12))))-(IF(OR(N46="",N46&lt;=0),0,(O46/N46)*(IF(OR(N46="",N46&lt;=0),0,IF((YEAR(D46)+9)&lt;YEAR(E46),0,IF((YEAR(D46)+9)&gt;=YEAR(E46)+N46,0,IF((YEAR(D46)+9)=YEAR(E46),(12-MONTH(E46)+1)/12,1))))))))&gt;0,(((K46)*(IF(M46="",L46,IFERROR(IF(INDEX(Variablen!$I:$AT, MATCH(M46, Variablen!$A:$A, 0), MATCH((YEAR(D46)+9), Variablen!$I$3:$AT$3, 0))="",L46,INDEX(Variablen!$I:$AT, MATCH(M46, Variablen!$A:$A, 0), MATCH((YEAR(D46)+9), Variablen!$I$3:$AT$3, 0))),L46)))*(IF((YEAR(D46)+9)&lt;YEAR(E46),0,IF((YEAR(D46)+9)&gt;YEAR(E46),1,(12-MONTH(E46)+1)/12))) + (Q46)*(IF((YEAR(D46)+9)&lt;YEAR(E46),0,IF((YEAR(D46)+9)&gt;YEAR(E46),1,(12-MONTH(E46)+1)/12))))-((P46)*(IF((YEAR(D46)+9)&lt;YEAR(E46),0,IF((YEAR(D46)+9)&gt;YEAR(E46),1,(12-MONTH(E46)+1)/12))) + (R46)*(IF((YEAR(D46)+9)&lt;YEAR(E46),0,IF((YEAR(D46)+9)&gt;YEAR(E46),1,(12-MONTH(E46)+1)/12))))-(IF(OR(N46="",N46&lt;=0),0,(O46/N46)*(IF(OR(N46="",N46&lt;=0),0,IF((YEAR(D46)+9)&lt;YEAR(E46),0,IF((YEAR(D46)+9)&gt;=YEAR(E46)+N46,0,IF((YEAR(D46)+9)=YEAR(E46),(12-MONTH(E46)+1)/12,1))))))))*TaxRate,0))-IF(9=0,O46,0))</f>
        <v/>
      </c>
      <c r="AC46" s="29">
        <f>IF(A46="","",((K46)*(IF(M46="",L46,IFERROR(IF(INDEX(Variablen!$I:$AT, MATCH(M46, Variablen!$A:$A, 0), MATCH((YEAR(D46)+10), Variablen!$I$3:$AT$3, 0))="",L46,INDEX(Variablen!$I:$AT, MATCH(M46, Variablen!$A:$A, 0), MATCH((YEAR(D46)+10), Variablen!$I$3:$AT$3, 0))),L46)))*(IF((YEAR(D46)+10)&lt;YEAR(E46),0,IF((YEAR(D46)+10)&gt;YEAR(E46),1,(12-MONTH(E46)+1)/12))) + (Q46)*(IF((YEAR(D46)+10)&lt;YEAR(E46),0,IF((YEAR(D46)+10)&gt;YEAR(E46),1,(12-MONTH(E46)+1)/12))))-((P46)*(IF((YEAR(D46)+10)&lt;YEAR(E46),0,IF((YEAR(D46)+10)&gt;YEAR(E46),1,(12-MONTH(E46)+1)/12))) + (R46)*(IF((YEAR(D46)+10)&lt;YEAR(E46),0,IF((YEAR(D46)+10)&gt;YEAR(E46),1,(12-MONTH(E46)+1)/12))))-(IF((((K46)*(IF(M46="",L46,IFERROR(IF(INDEX(Variablen!$I:$AT, MATCH(M46, Variablen!$A:$A, 0), MATCH((YEAR(D46)+10), Variablen!$I$3:$AT$3, 0))="",L46,INDEX(Variablen!$I:$AT, MATCH(M46, Variablen!$A:$A, 0), MATCH((YEAR(D46)+10), Variablen!$I$3:$AT$3, 0))),L46)))*(IF((YEAR(D46)+10)&lt;YEAR(E46),0,IF((YEAR(D46)+10)&gt;YEAR(E46),1,(12-MONTH(E46)+1)/12))) + (Q46)*(IF((YEAR(D46)+10)&lt;YEAR(E46),0,IF((YEAR(D46)+10)&gt;YEAR(E46),1,(12-MONTH(E46)+1)/12))))-((P46)*(IF((YEAR(D46)+10)&lt;YEAR(E46),0,IF((YEAR(D46)+10)&gt;YEAR(E46),1,(12-MONTH(E46)+1)/12))) + (R46)*(IF((YEAR(D46)+10)&lt;YEAR(E46),0,IF((YEAR(D46)+10)&gt;YEAR(E46),1,(12-MONTH(E46)+1)/12))))-(IF(OR(N46="",N46&lt;=0),0,(O46/N46)*(IF(OR(N46="",N46&lt;=0),0,IF((YEAR(D46)+10)&lt;YEAR(E46),0,IF((YEAR(D46)+10)&gt;=YEAR(E46)+N46,0,IF((YEAR(D46)+10)=YEAR(E46),(12-MONTH(E46)+1)/12,1))))))))&gt;0,(((K46)*(IF(M46="",L46,IFERROR(IF(INDEX(Variablen!$I:$AT, MATCH(M46, Variablen!$A:$A, 0), MATCH((YEAR(D46)+10), Variablen!$I$3:$AT$3, 0))="",L46,INDEX(Variablen!$I:$AT, MATCH(M46, Variablen!$A:$A, 0), MATCH((YEAR(D46)+10), Variablen!$I$3:$AT$3, 0))),L46)))*(IF((YEAR(D46)+10)&lt;YEAR(E46),0,IF((YEAR(D46)+10)&gt;YEAR(E46),1,(12-MONTH(E46)+1)/12))) + (Q46)*(IF((YEAR(D46)+10)&lt;YEAR(E46),0,IF((YEAR(D46)+10)&gt;YEAR(E46),1,(12-MONTH(E46)+1)/12))))-((P46)*(IF((YEAR(D46)+10)&lt;YEAR(E46),0,IF((YEAR(D46)+10)&gt;YEAR(E46),1,(12-MONTH(E46)+1)/12))) + (R46)*(IF((YEAR(D46)+10)&lt;YEAR(E46),0,IF((YEAR(D46)+10)&gt;YEAR(E46),1,(12-MONTH(E46)+1)/12))))-(IF(OR(N46="",N46&lt;=0),0,(O46/N46)*(IF(OR(N46="",N46&lt;=0),0,IF((YEAR(D46)+10)&lt;YEAR(E46),0,IF((YEAR(D46)+10)&gt;=YEAR(E46)+N46,0,IF((YEAR(D46)+10)=YEAR(E46),(12-MONTH(E46)+1)/12,1))))))))*TaxRate,0))-IF(10=0,O46,0))</f>
        <v/>
      </c>
      <c r="AD46" s="29">
        <f>IF(A46="","",((K46)*(IF(M46="",L46,IFERROR(IF(INDEX(Variablen!$I:$AT, MATCH(M46, Variablen!$A:$A, 0), MATCH((YEAR(D46)+11), Variablen!$I$3:$AT$3, 0))="",L46,INDEX(Variablen!$I:$AT, MATCH(M46, Variablen!$A:$A, 0), MATCH((YEAR(D46)+11), Variablen!$I$3:$AT$3, 0))),L46)))*(IF((YEAR(D46)+11)&lt;YEAR(E46),0,IF((YEAR(D46)+11)&gt;YEAR(E46),1,(12-MONTH(E46)+1)/12))) + (Q46)*(IF((YEAR(D46)+11)&lt;YEAR(E46),0,IF((YEAR(D46)+11)&gt;YEAR(E46),1,(12-MONTH(E46)+1)/12))))-((P46)*(IF((YEAR(D46)+11)&lt;YEAR(E46),0,IF((YEAR(D46)+11)&gt;YEAR(E46),1,(12-MONTH(E46)+1)/12))) + (R46)*(IF((YEAR(D46)+11)&lt;YEAR(E46),0,IF((YEAR(D46)+11)&gt;YEAR(E46),1,(12-MONTH(E46)+1)/12))))-(IF((((K46)*(IF(M46="",L46,IFERROR(IF(INDEX(Variablen!$I:$AT, MATCH(M46, Variablen!$A:$A, 0), MATCH((YEAR(D46)+11), Variablen!$I$3:$AT$3, 0))="",L46,INDEX(Variablen!$I:$AT, MATCH(M46, Variablen!$A:$A, 0), MATCH((YEAR(D46)+11), Variablen!$I$3:$AT$3, 0))),L46)))*(IF((YEAR(D46)+11)&lt;YEAR(E46),0,IF((YEAR(D46)+11)&gt;YEAR(E46),1,(12-MONTH(E46)+1)/12))) + (Q46)*(IF((YEAR(D46)+11)&lt;YEAR(E46),0,IF((YEAR(D46)+11)&gt;YEAR(E46),1,(12-MONTH(E46)+1)/12))))-((P46)*(IF((YEAR(D46)+11)&lt;YEAR(E46),0,IF((YEAR(D46)+11)&gt;YEAR(E46),1,(12-MONTH(E46)+1)/12))) + (R46)*(IF((YEAR(D46)+11)&lt;YEAR(E46),0,IF((YEAR(D46)+11)&gt;YEAR(E46),1,(12-MONTH(E46)+1)/12))))-(IF(OR(N46="",N46&lt;=0),0,(O46/N46)*(IF(OR(N46="",N46&lt;=0),0,IF((YEAR(D46)+11)&lt;YEAR(E46),0,IF((YEAR(D46)+11)&gt;=YEAR(E46)+N46,0,IF((YEAR(D46)+11)=YEAR(E46),(12-MONTH(E46)+1)/12,1))))))))&gt;0,(((K46)*(IF(M46="",L46,IFERROR(IF(INDEX(Variablen!$I:$AT, MATCH(M46, Variablen!$A:$A, 0), MATCH((YEAR(D46)+11), Variablen!$I$3:$AT$3, 0))="",L46,INDEX(Variablen!$I:$AT, MATCH(M46, Variablen!$A:$A, 0), MATCH((YEAR(D46)+11), Variablen!$I$3:$AT$3, 0))),L46)))*(IF((YEAR(D46)+11)&lt;YEAR(E46),0,IF((YEAR(D46)+11)&gt;YEAR(E46),1,(12-MONTH(E46)+1)/12))) + (Q46)*(IF((YEAR(D46)+11)&lt;YEAR(E46),0,IF((YEAR(D46)+11)&gt;YEAR(E46),1,(12-MONTH(E46)+1)/12))))-((P46)*(IF((YEAR(D46)+11)&lt;YEAR(E46),0,IF((YEAR(D46)+11)&gt;YEAR(E46),1,(12-MONTH(E46)+1)/12))) + (R46)*(IF((YEAR(D46)+11)&lt;YEAR(E46),0,IF((YEAR(D46)+11)&gt;YEAR(E46),1,(12-MONTH(E46)+1)/12))))-(IF(OR(N46="",N46&lt;=0),0,(O46/N46)*(IF(OR(N46="",N46&lt;=0),0,IF((YEAR(D46)+11)&lt;YEAR(E46),0,IF((YEAR(D46)+11)&gt;=YEAR(E46)+N46,0,IF((YEAR(D46)+11)=YEAR(E46),(12-MONTH(E46)+1)/12,1))))))))*TaxRate,0))-IF(11=0,O46,0))</f>
        <v/>
      </c>
      <c r="AE46" s="29">
        <f>IF(A46="","",((K46)*(IF(M46="",L46,IFERROR(IF(INDEX(Variablen!$I:$AT, MATCH(M46, Variablen!$A:$A, 0), MATCH((YEAR(D46)+12), Variablen!$I$3:$AT$3, 0))="",L46,INDEX(Variablen!$I:$AT, MATCH(M46, Variablen!$A:$A, 0), MATCH((YEAR(D46)+12), Variablen!$I$3:$AT$3, 0))),L46)))*(IF((YEAR(D46)+12)&lt;YEAR(E46),0,IF((YEAR(D46)+12)&gt;YEAR(E46),1,(12-MONTH(E46)+1)/12))) + (Q46)*(IF((YEAR(D46)+12)&lt;YEAR(E46),0,IF((YEAR(D46)+12)&gt;YEAR(E46),1,(12-MONTH(E46)+1)/12))))-((P46)*(IF((YEAR(D46)+12)&lt;YEAR(E46),0,IF((YEAR(D46)+12)&gt;YEAR(E46),1,(12-MONTH(E46)+1)/12))) + (R46)*(IF((YEAR(D46)+12)&lt;YEAR(E46),0,IF((YEAR(D46)+12)&gt;YEAR(E46),1,(12-MONTH(E46)+1)/12))))-(IF((((K46)*(IF(M46="",L46,IFERROR(IF(INDEX(Variablen!$I:$AT, MATCH(M46, Variablen!$A:$A, 0), MATCH((YEAR(D46)+12), Variablen!$I$3:$AT$3, 0))="",L46,INDEX(Variablen!$I:$AT, MATCH(M46, Variablen!$A:$A, 0), MATCH((YEAR(D46)+12), Variablen!$I$3:$AT$3, 0))),L46)))*(IF((YEAR(D46)+12)&lt;YEAR(E46),0,IF((YEAR(D46)+12)&gt;YEAR(E46),1,(12-MONTH(E46)+1)/12))) + (Q46)*(IF((YEAR(D46)+12)&lt;YEAR(E46),0,IF((YEAR(D46)+12)&gt;YEAR(E46),1,(12-MONTH(E46)+1)/12))))-((P46)*(IF((YEAR(D46)+12)&lt;YEAR(E46),0,IF((YEAR(D46)+12)&gt;YEAR(E46),1,(12-MONTH(E46)+1)/12))) + (R46)*(IF((YEAR(D46)+12)&lt;YEAR(E46),0,IF((YEAR(D46)+12)&gt;YEAR(E46),1,(12-MONTH(E46)+1)/12))))-(IF(OR(N46="",N46&lt;=0),0,(O46/N46)*(IF(OR(N46="",N46&lt;=0),0,IF((YEAR(D46)+12)&lt;YEAR(E46),0,IF((YEAR(D46)+12)&gt;=YEAR(E46)+N46,0,IF((YEAR(D46)+12)=YEAR(E46),(12-MONTH(E46)+1)/12,1))))))))&gt;0,(((K46)*(IF(M46="",L46,IFERROR(IF(INDEX(Variablen!$I:$AT, MATCH(M46, Variablen!$A:$A, 0), MATCH((YEAR(D46)+12), Variablen!$I$3:$AT$3, 0))="",L46,INDEX(Variablen!$I:$AT, MATCH(M46, Variablen!$A:$A, 0), MATCH((YEAR(D46)+12), Variablen!$I$3:$AT$3, 0))),L46)))*(IF((YEAR(D46)+12)&lt;YEAR(E46),0,IF((YEAR(D46)+12)&gt;YEAR(E46),1,(12-MONTH(E46)+1)/12))) + (Q46)*(IF((YEAR(D46)+12)&lt;YEAR(E46),0,IF((YEAR(D46)+12)&gt;YEAR(E46),1,(12-MONTH(E46)+1)/12))))-((P46)*(IF((YEAR(D46)+12)&lt;YEAR(E46),0,IF((YEAR(D46)+12)&gt;YEAR(E46),1,(12-MONTH(E46)+1)/12))) + (R46)*(IF((YEAR(D46)+12)&lt;YEAR(E46),0,IF((YEAR(D46)+12)&gt;YEAR(E46),1,(12-MONTH(E46)+1)/12))))-(IF(OR(N46="",N46&lt;=0),0,(O46/N46)*(IF(OR(N46="",N46&lt;=0),0,IF((YEAR(D46)+12)&lt;YEAR(E46),0,IF((YEAR(D46)+12)&gt;=YEAR(E46)+N46,0,IF((YEAR(D46)+12)=YEAR(E46),(12-MONTH(E46)+1)/12,1))))))))*TaxRate,0))-IF(12=0,O46,0))</f>
        <v/>
      </c>
      <c r="AF46" s="29">
        <f>IF(A46="","",((K46)*(IF(M46="",L46,IFERROR(IF(INDEX(Variablen!$I:$AT, MATCH(M46, Variablen!$A:$A, 0), MATCH((YEAR(D46)+13), Variablen!$I$3:$AT$3, 0))="",L46,INDEX(Variablen!$I:$AT, MATCH(M46, Variablen!$A:$A, 0), MATCH((YEAR(D46)+13), Variablen!$I$3:$AT$3, 0))),L46)))*(IF((YEAR(D46)+13)&lt;YEAR(E46),0,IF((YEAR(D46)+13)&gt;YEAR(E46),1,(12-MONTH(E46)+1)/12))) + (Q46)*(IF((YEAR(D46)+13)&lt;YEAR(E46),0,IF((YEAR(D46)+13)&gt;YEAR(E46),1,(12-MONTH(E46)+1)/12))))-((P46)*(IF((YEAR(D46)+13)&lt;YEAR(E46),0,IF((YEAR(D46)+13)&gt;YEAR(E46),1,(12-MONTH(E46)+1)/12))) + (R46)*(IF((YEAR(D46)+13)&lt;YEAR(E46),0,IF((YEAR(D46)+13)&gt;YEAR(E46),1,(12-MONTH(E46)+1)/12))))-(IF((((K46)*(IF(M46="",L46,IFERROR(IF(INDEX(Variablen!$I:$AT, MATCH(M46, Variablen!$A:$A, 0), MATCH((YEAR(D46)+13), Variablen!$I$3:$AT$3, 0))="",L46,INDEX(Variablen!$I:$AT, MATCH(M46, Variablen!$A:$A, 0), MATCH((YEAR(D46)+13), Variablen!$I$3:$AT$3, 0))),L46)))*(IF((YEAR(D46)+13)&lt;YEAR(E46),0,IF((YEAR(D46)+13)&gt;YEAR(E46),1,(12-MONTH(E46)+1)/12))) + (Q46)*(IF((YEAR(D46)+13)&lt;YEAR(E46),0,IF((YEAR(D46)+13)&gt;YEAR(E46),1,(12-MONTH(E46)+1)/12))))-((P46)*(IF((YEAR(D46)+13)&lt;YEAR(E46),0,IF((YEAR(D46)+13)&gt;YEAR(E46),1,(12-MONTH(E46)+1)/12))) + (R46)*(IF((YEAR(D46)+13)&lt;YEAR(E46),0,IF((YEAR(D46)+13)&gt;YEAR(E46),1,(12-MONTH(E46)+1)/12))))-(IF(OR(N46="",N46&lt;=0),0,(O46/N46)*(IF(OR(N46="",N46&lt;=0),0,IF((YEAR(D46)+13)&lt;YEAR(E46),0,IF((YEAR(D46)+13)&gt;=YEAR(E46)+N46,0,IF((YEAR(D46)+13)=YEAR(E46),(12-MONTH(E46)+1)/12,1))))))))&gt;0,(((K46)*(IF(M46="",L46,IFERROR(IF(INDEX(Variablen!$I:$AT, MATCH(M46, Variablen!$A:$A, 0), MATCH((YEAR(D46)+13), Variablen!$I$3:$AT$3, 0))="",L46,INDEX(Variablen!$I:$AT, MATCH(M46, Variablen!$A:$A, 0), MATCH((YEAR(D46)+13), Variablen!$I$3:$AT$3, 0))),L46)))*(IF((YEAR(D46)+13)&lt;YEAR(E46),0,IF((YEAR(D46)+13)&gt;YEAR(E46),1,(12-MONTH(E46)+1)/12))) + (Q46)*(IF((YEAR(D46)+13)&lt;YEAR(E46),0,IF((YEAR(D46)+13)&gt;YEAR(E46),1,(12-MONTH(E46)+1)/12))))-((P46)*(IF((YEAR(D46)+13)&lt;YEAR(E46),0,IF((YEAR(D46)+13)&gt;YEAR(E46),1,(12-MONTH(E46)+1)/12))) + (R46)*(IF((YEAR(D46)+13)&lt;YEAR(E46),0,IF((YEAR(D46)+13)&gt;YEAR(E46),1,(12-MONTH(E46)+1)/12))))-(IF(OR(N46="",N46&lt;=0),0,(O46/N46)*(IF(OR(N46="",N46&lt;=0),0,IF((YEAR(D46)+13)&lt;YEAR(E46),0,IF((YEAR(D46)+13)&gt;=YEAR(E46)+N46,0,IF((YEAR(D46)+13)=YEAR(E46),(12-MONTH(E46)+1)/12,1))))))))*TaxRate,0))-IF(13=0,O46,0))</f>
        <v/>
      </c>
      <c r="AG46" s="29">
        <f>IF(A46="","",((K46)*(IF(M46="",L46,IFERROR(IF(INDEX(Variablen!$I:$AT, MATCH(M46, Variablen!$A:$A, 0), MATCH((YEAR(D46)+14), Variablen!$I$3:$AT$3, 0))="",L46,INDEX(Variablen!$I:$AT, MATCH(M46, Variablen!$A:$A, 0), MATCH((YEAR(D46)+14), Variablen!$I$3:$AT$3, 0))),L46)))*(IF((YEAR(D46)+14)&lt;YEAR(E46),0,IF((YEAR(D46)+14)&gt;YEAR(E46),1,(12-MONTH(E46)+1)/12))) + (Q46)*(IF((YEAR(D46)+14)&lt;YEAR(E46),0,IF((YEAR(D46)+14)&gt;YEAR(E46),1,(12-MONTH(E46)+1)/12))))-((P46)*(IF((YEAR(D46)+14)&lt;YEAR(E46),0,IF((YEAR(D46)+14)&gt;YEAR(E46),1,(12-MONTH(E46)+1)/12))) + (R46)*(IF((YEAR(D46)+14)&lt;YEAR(E46),0,IF((YEAR(D46)+14)&gt;YEAR(E46),1,(12-MONTH(E46)+1)/12))))-(IF((((K46)*(IF(M46="",L46,IFERROR(IF(INDEX(Variablen!$I:$AT, MATCH(M46, Variablen!$A:$A, 0), MATCH((YEAR(D46)+14), Variablen!$I$3:$AT$3, 0))="",L46,INDEX(Variablen!$I:$AT, MATCH(M46, Variablen!$A:$A, 0), MATCH((YEAR(D46)+14), Variablen!$I$3:$AT$3, 0))),L46)))*(IF((YEAR(D46)+14)&lt;YEAR(E46),0,IF((YEAR(D46)+14)&gt;YEAR(E46),1,(12-MONTH(E46)+1)/12))) + (Q46)*(IF((YEAR(D46)+14)&lt;YEAR(E46),0,IF((YEAR(D46)+14)&gt;YEAR(E46),1,(12-MONTH(E46)+1)/12))))-((P46)*(IF((YEAR(D46)+14)&lt;YEAR(E46),0,IF((YEAR(D46)+14)&gt;YEAR(E46),1,(12-MONTH(E46)+1)/12))) + (R46)*(IF((YEAR(D46)+14)&lt;YEAR(E46),0,IF((YEAR(D46)+14)&gt;YEAR(E46),1,(12-MONTH(E46)+1)/12))))-(IF(OR(N46="",N46&lt;=0),0,(O46/N46)*(IF(OR(N46="",N46&lt;=0),0,IF((YEAR(D46)+14)&lt;YEAR(E46),0,IF((YEAR(D46)+14)&gt;=YEAR(E46)+N46,0,IF((YEAR(D46)+14)=YEAR(E46),(12-MONTH(E46)+1)/12,1))))))))&gt;0,(((K46)*(IF(M46="",L46,IFERROR(IF(INDEX(Variablen!$I:$AT, MATCH(M46, Variablen!$A:$A, 0), MATCH((YEAR(D46)+14), Variablen!$I$3:$AT$3, 0))="",L46,INDEX(Variablen!$I:$AT, MATCH(M46, Variablen!$A:$A, 0), MATCH((YEAR(D46)+14), Variablen!$I$3:$AT$3, 0))),L46)))*(IF((YEAR(D46)+14)&lt;YEAR(E46),0,IF((YEAR(D46)+14)&gt;YEAR(E46),1,(12-MONTH(E46)+1)/12))) + (Q46)*(IF((YEAR(D46)+14)&lt;YEAR(E46),0,IF((YEAR(D46)+14)&gt;YEAR(E46),1,(12-MONTH(E46)+1)/12))))-((P46)*(IF((YEAR(D46)+14)&lt;YEAR(E46),0,IF((YEAR(D46)+14)&gt;YEAR(E46),1,(12-MONTH(E46)+1)/12))) + (R46)*(IF((YEAR(D46)+14)&lt;YEAR(E46),0,IF((YEAR(D46)+14)&gt;YEAR(E46),1,(12-MONTH(E46)+1)/12))))-(IF(OR(N46="",N46&lt;=0),0,(O46/N46)*(IF(OR(N46="",N46&lt;=0),0,IF((YEAR(D46)+14)&lt;YEAR(E46),0,IF((YEAR(D46)+14)&gt;=YEAR(E46)+N46,0,IF((YEAR(D46)+14)=YEAR(E46),(12-MONTH(E46)+1)/12,1))))))))*TaxRate,0))-IF(14=0,O46,0))</f>
        <v/>
      </c>
      <c r="AH46" s="29">
        <f>IF(A46="","",((K46)*(IF(M46="",L46,IFERROR(IF(INDEX(Variablen!$I:$AT, MATCH(M46, Variablen!$A:$A, 0), MATCH((YEAR(D46)+15), Variablen!$I$3:$AT$3, 0))="",L46,INDEX(Variablen!$I:$AT, MATCH(M46, Variablen!$A:$A, 0), MATCH((YEAR(D46)+15), Variablen!$I$3:$AT$3, 0))),L46)))*(IF((YEAR(D46)+15)&lt;YEAR(E46),0,IF((YEAR(D46)+15)&gt;YEAR(E46),1,(12-MONTH(E46)+1)/12))) + (Q46)*(IF((YEAR(D46)+15)&lt;YEAR(E46),0,IF((YEAR(D46)+15)&gt;YEAR(E46),1,(12-MONTH(E46)+1)/12))))-((P46)*(IF((YEAR(D46)+15)&lt;YEAR(E46),0,IF((YEAR(D46)+15)&gt;YEAR(E46),1,(12-MONTH(E46)+1)/12))) + (R46)*(IF((YEAR(D46)+15)&lt;YEAR(E46),0,IF((YEAR(D46)+15)&gt;YEAR(E46),1,(12-MONTH(E46)+1)/12))))-(IF((((K46)*(IF(M46="",L46,IFERROR(IF(INDEX(Variablen!$I:$AT, MATCH(M46, Variablen!$A:$A, 0), MATCH((YEAR(D46)+15), Variablen!$I$3:$AT$3, 0))="",L46,INDEX(Variablen!$I:$AT, MATCH(M46, Variablen!$A:$A, 0), MATCH((YEAR(D46)+15), Variablen!$I$3:$AT$3, 0))),L46)))*(IF((YEAR(D46)+15)&lt;YEAR(E46),0,IF((YEAR(D46)+15)&gt;YEAR(E46),1,(12-MONTH(E46)+1)/12))) + (Q46)*(IF((YEAR(D46)+15)&lt;YEAR(E46),0,IF((YEAR(D46)+15)&gt;YEAR(E46),1,(12-MONTH(E46)+1)/12))))-((P46)*(IF((YEAR(D46)+15)&lt;YEAR(E46),0,IF((YEAR(D46)+15)&gt;YEAR(E46),1,(12-MONTH(E46)+1)/12))) + (R46)*(IF((YEAR(D46)+15)&lt;YEAR(E46),0,IF((YEAR(D46)+15)&gt;YEAR(E46),1,(12-MONTH(E46)+1)/12))))-(IF(OR(N46="",N46&lt;=0),0,(O46/N46)*(IF(OR(N46="",N46&lt;=0),0,IF((YEAR(D46)+15)&lt;YEAR(E46),0,IF((YEAR(D46)+15)&gt;=YEAR(E46)+N46,0,IF((YEAR(D46)+15)=YEAR(E46),(12-MONTH(E46)+1)/12,1))))))))&gt;0,(((K46)*(IF(M46="",L46,IFERROR(IF(INDEX(Variablen!$I:$AT, MATCH(M46, Variablen!$A:$A, 0), MATCH((YEAR(D46)+15), Variablen!$I$3:$AT$3, 0))="",L46,INDEX(Variablen!$I:$AT, MATCH(M46, Variablen!$A:$A, 0), MATCH((YEAR(D46)+15), Variablen!$I$3:$AT$3, 0))),L46)))*(IF((YEAR(D46)+15)&lt;YEAR(E46),0,IF((YEAR(D46)+15)&gt;YEAR(E46),1,(12-MONTH(E46)+1)/12))) + (Q46)*(IF((YEAR(D46)+15)&lt;YEAR(E46),0,IF((YEAR(D46)+15)&gt;YEAR(E46),1,(12-MONTH(E46)+1)/12))))-((P46)*(IF((YEAR(D46)+15)&lt;YEAR(E46),0,IF((YEAR(D46)+15)&gt;YEAR(E46),1,(12-MONTH(E46)+1)/12))) + (R46)*(IF((YEAR(D46)+15)&lt;YEAR(E46),0,IF((YEAR(D46)+15)&gt;YEAR(E46),1,(12-MONTH(E46)+1)/12))))-(IF(OR(N46="",N46&lt;=0),0,(O46/N46)*(IF(OR(N46="",N46&lt;=0),0,IF((YEAR(D46)+15)&lt;YEAR(E46),0,IF((YEAR(D46)+15)&gt;=YEAR(E46)+N46,0,IF((YEAR(D46)+15)=YEAR(E46),(12-MONTH(E46)+1)/12,1))))))))*TaxRate,0))-IF(15=0,O46,0))</f>
        <v/>
      </c>
      <c r="AI46" s="29">
        <f>IF(A46="","",((K46)*(IF(M46="",L46,IFERROR(IF(INDEX(Variablen!$I:$AT, MATCH(M46, Variablen!$A:$A, 0), MATCH((YEAR(D46)+16), Variablen!$I$3:$AT$3, 0))="",L46,INDEX(Variablen!$I:$AT, MATCH(M46, Variablen!$A:$A, 0), MATCH((YEAR(D46)+16), Variablen!$I$3:$AT$3, 0))),L46)))*(IF((YEAR(D46)+16)&lt;YEAR(E46),0,IF((YEAR(D46)+16)&gt;YEAR(E46),1,(12-MONTH(E46)+1)/12))) + (Q46)*(IF((YEAR(D46)+16)&lt;YEAR(E46),0,IF((YEAR(D46)+16)&gt;YEAR(E46),1,(12-MONTH(E46)+1)/12))))-((P46)*(IF((YEAR(D46)+16)&lt;YEAR(E46),0,IF((YEAR(D46)+16)&gt;YEAR(E46),1,(12-MONTH(E46)+1)/12))) + (R46)*(IF((YEAR(D46)+16)&lt;YEAR(E46),0,IF((YEAR(D46)+16)&gt;YEAR(E46),1,(12-MONTH(E46)+1)/12))))-(IF((((K46)*(IF(M46="",L46,IFERROR(IF(INDEX(Variablen!$I:$AT, MATCH(M46, Variablen!$A:$A, 0), MATCH((YEAR(D46)+16), Variablen!$I$3:$AT$3, 0))="",L46,INDEX(Variablen!$I:$AT, MATCH(M46, Variablen!$A:$A, 0), MATCH((YEAR(D46)+16), Variablen!$I$3:$AT$3, 0))),L46)))*(IF((YEAR(D46)+16)&lt;YEAR(E46),0,IF((YEAR(D46)+16)&gt;YEAR(E46),1,(12-MONTH(E46)+1)/12))) + (Q46)*(IF((YEAR(D46)+16)&lt;YEAR(E46),0,IF((YEAR(D46)+16)&gt;YEAR(E46),1,(12-MONTH(E46)+1)/12))))-((P46)*(IF((YEAR(D46)+16)&lt;YEAR(E46),0,IF((YEAR(D46)+16)&gt;YEAR(E46),1,(12-MONTH(E46)+1)/12))) + (R46)*(IF((YEAR(D46)+16)&lt;YEAR(E46),0,IF((YEAR(D46)+16)&gt;YEAR(E46),1,(12-MONTH(E46)+1)/12))))-(IF(OR(N46="",N46&lt;=0),0,(O46/N46)*(IF(OR(N46="",N46&lt;=0),0,IF((YEAR(D46)+16)&lt;YEAR(E46),0,IF((YEAR(D46)+16)&gt;=YEAR(E46)+N46,0,IF((YEAR(D46)+16)=YEAR(E46),(12-MONTH(E46)+1)/12,1))))))))&gt;0,(((K46)*(IF(M46="",L46,IFERROR(IF(INDEX(Variablen!$I:$AT, MATCH(M46, Variablen!$A:$A, 0), MATCH((YEAR(D46)+16), Variablen!$I$3:$AT$3, 0))="",L46,INDEX(Variablen!$I:$AT, MATCH(M46, Variablen!$A:$A, 0), MATCH((YEAR(D46)+16), Variablen!$I$3:$AT$3, 0))),L46)))*(IF((YEAR(D46)+16)&lt;YEAR(E46),0,IF((YEAR(D46)+16)&gt;YEAR(E46),1,(12-MONTH(E46)+1)/12))) + (Q46)*(IF((YEAR(D46)+16)&lt;YEAR(E46),0,IF((YEAR(D46)+16)&gt;YEAR(E46),1,(12-MONTH(E46)+1)/12))))-((P46)*(IF((YEAR(D46)+16)&lt;YEAR(E46),0,IF((YEAR(D46)+16)&gt;YEAR(E46),1,(12-MONTH(E46)+1)/12))) + (R46)*(IF((YEAR(D46)+16)&lt;YEAR(E46),0,IF((YEAR(D46)+16)&gt;YEAR(E46),1,(12-MONTH(E46)+1)/12))))-(IF(OR(N46="",N46&lt;=0),0,(O46/N46)*(IF(OR(N46="",N46&lt;=0),0,IF((YEAR(D46)+16)&lt;YEAR(E46),0,IF((YEAR(D46)+16)&gt;=YEAR(E46)+N46,0,IF((YEAR(D46)+16)=YEAR(E46),(12-MONTH(E46)+1)/12,1))))))))*TaxRate,0))-IF(16=0,O46,0))</f>
        <v/>
      </c>
      <c r="AJ46" s="29">
        <f>IF(A46="","",((K46)*(IF(M46="",L46,IFERROR(IF(INDEX(Variablen!$I:$AT, MATCH(M46, Variablen!$A:$A, 0), MATCH((YEAR(D46)+17), Variablen!$I$3:$AT$3, 0))="",L46,INDEX(Variablen!$I:$AT, MATCH(M46, Variablen!$A:$A, 0), MATCH((YEAR(D46)+17), Variablen!$I$3:$AT$3, 0))),L46)))*(IF((YEAR(D46)+17)&lt;YEAR(E46),0,IF((YEAR(D46)+17)&gt;YEAR(E46),1,(12-MONTH(E46)+1)/12))) + (Q46)*(IF((YEAR(D46)+17)&lt;YEAR(E46),0,IF((YEAR(D46)+17)&gt;YEAR(E46),1,(12-MONTH(E46)+1)/12))))-((P46)*(IF((YEAR(D46)+17)&lt;YEAR(E46),0,IF((YEAR(D46)+17)&gt;YEAR(E46),1,(12-MONTH(E46)+1)/12))) + (R46)*(IF((YEAR(D46)+17)&lt;YEAR(E46),0,IF((YEAR(D46)+17)&gt;YEAR(E46),1,(12-MONTH(E46)+1)/12))))-(IF((((K46)*(IF(M46="",L46,IFERROR(IF(INDEX(Variablen!$I:$AT, MATCH(M46, Variablen!$A:$A, 0), MATCH((YEAR(D46)+17), Variablen!$I$3:$AT$3, 0))="",L46,INDEX(Variablen!$I:$AT, MATCH(M46, Variablen!$A:$A, 0), MATCH((YEAR(D46)+17), Variablen!$I$3:$AT$3, 0))),L46)))*(IF((YEAR(D46)+17)&lt;YEAR(E46),0,IF((YEAR(D46)+17)&gt;YEAR(E46),1,(12-MONTH(E46)+1)/12))) + (Q46)*(IF((YEAR(D46)+17)&lt;YEAR(E46),0,IF((YEAR(D46)+17)&gt;YEAR(E46),1,(12-MONTH(E46)+1)/12))))-((P46)*(IF((YEAR(D46)+17)&lt;YEAR(E46),0,IF((YEAR(D46)+17)&gt;YEAR(E46),1,(12-MONTH(E46)+1)/12))) + (R46)*(IF((YEAR(D46)+17)&lt;YEAR(E46),0,IF((YEAR(D46)+17)&gt;YEAR(E46),1,(12-MONTH(E46)+1)/12))))-(IF(OR(N46="",N46&lt;=0),0,(O46/N46)*(IF(OR(N46="",N46&lt;=0),0,IF((YEAR(D46)+17)&lt;YEAR(E46),0,IF((YEAR(D46)+17)&gt;=YEAR(E46)+N46,0,IF((YEAR(D46)+17)=YEAR(E46),(12-MONTH(E46)+1)/12,1))))))))&gt;0,(((K46)*(IF(M46="",L46,IFERROR(IF(INDEX(Variablen!$I:$AT, MATCH(M46, Variablen!$A:$A, 0), MATCH((YEAR(D46)+17), Variablen!$I$3:$AT$3, 0))="",L46,INDEX(Variablen!$I:$AT, MATCH(M46, Variablen!$A:$A, 0), MATCH((YEAR(D46)+17), Variablen!$I$3:$AT$3, 0))),L46)))*(IF((YEAR(D46)+17)&lt;YEAR(E46),0,IF((YEAR(D46)+17)&gt;YEAR(E46),1,(12-MONTH(E46)+1)/12))) + (Q46)*(IF((YEAR(D46)+17)&lt;YEAR(E46),0,IF((YEAR(D46)+17)&gt;YEAR(E46),1,(12-MONTH(E46)+1)/12))))-((P46)*(IF((YEAR(D46)+17)&lt;YEAR(E46),0,IF((YEAR(D46)+17)&gt;YEAR(E46),1,(12-MONTH(E46)+1)/12))) + (R46)*(IF((YEAR(D46)+17)&lt;YEAR(E46),0,IF((YEAR(D46)+17)&gt;YEAR(E46),1,(12-MONTH(E46)+1)/12))))-(IF(OR(N46="",N46&lt;=0),0,(O46/N46)*(IF(OR(N46="",N46&lt;=0),0,IF((YEAR(D46)+17)&lt;YEAR(E46),0,IF((YEAR(D46)+17)&gt;=YEAR(E46)+N46,0,IF((YEAR(D46)+17)=YEAR(E46),(12-MONTH(E46)+1)/12,1))))))))*TaxRate,0))-IF(17=0,O46,0))</f>
        <v/>
      </c>
      <c r="AK46" s="29">
        <f>IF(A46="","",((K46)*(IF(M46="",L46,IFERROR(IF(INDEX(Variablen!$I:$AT, MATCH(M46, Variablen!$A:$A, 0), MATCH((YEAR(D46)+18), Variablen!$I$3:$AT$3, 0))="",L46,INDEX(Variablen!$I:$AT, MATCH(M46, Variablen!$A:$A, 0), MATCH((YEAR(D46)+18), Variablen!$I$3:$AT$3, 0))),L46)))*(IF((YEAR(D46)+18)&lt;YEAR(E46),0,IF((YEAR(D46)+18)&gt;YEAR(E46),1,(12-MONTH(E46)+1)/12))) + (Q46)*(IF((YEAR(D46)+18)&lt;YEAR(E46),0,IF((YEAR(D46)+18)&gt;YEAR(E46),1,(12-MONTH(E46)+1)/12))))-((P46)*(IF((YEAR(D46)+18)&lt;YEAR(E46),0,IF((YEAR(D46)+18)&gt;YEAR(E46),1,(12-MONTH(E46)+1)/12))) + (R46)*(IF((YEAR(D46)+18)&lt;YEAR(E46),0,IF((YEAR(D46)+18)&gt;YEAR(E46),1,(12-MONTH(E46)+1)/12))))-(IF((((K46)*(IF(M46="",L46,IFERROR(IF(INDEX(Variablen!$I:$AT, MATCH(M46, Variablen!$A:$A, 0), MATCH((YEAR(D46)+18), Variablen!$I$3:$AT$3, 0))="",L46,INDEX(Variablen!$I:$AT, MATCH(M46, Variablen!$A:$A, 0), MATCH((YEAR(D46)+18), Variablen!$I$3:$AT$3, 0))),L46)))*(IF((YEAR(D46)+18)&lt;YEAR(E46),0,IF((YEAR(D46)+18)&gt;YEAR(E46),1,(12-MONTH(E46)+1)/12))) + (Q46)*(IF((YEAR(D46)+18)&lt;YEAR(E46),0,IF((YEAR(D46)+18)&gt;YEAR(E46),1,(12-MONTH(E46)+1)/12))))-((P46)*(IF((YEAR(D46)+18)&lt;YEAR(E46),0,IF((YEAR(D46)+18)&gt;YEAR(E46),1,(12-MONTH(E46)+1)/12))) + (R46)*(IF((YEAR(D46)+18)&lt;YEAR(E46),0,IF((YEAR(D46)+18)&gt;YEAR(E46),1,(12-MONTH(E46)+1)/12))))-(IF(OR(N46="",N46&lt;=0),0,(O46/N46)*(IF(OR(N46="",N46&lt;=0),0,IF((YEAR(D46)+18)&lt;YEAR(E46),0,IF((YEAR(D46)+18)&gt;=YEAR(E46)+N46,0,IF((YEAR(D46)+18)=YEAR(E46),(12-MONTH(E46)+1)/12,1))))))))&gt;0,(((K46)*(IF(M46="",L46,IFERROR(IF(INDEX(Variablen!$I:$AT, MATCH(M46, Variablen!$A:$A, 0), MATCH((YEAR(D46)+18), Variablen!$I$3:$AT$3, 0))="",L46,INDEX(Variablen!$I:$AT, MATCH(M46, Variablen!$A:$A, 0), MATCH((YEAR(D46)+18), Variablen!$I$3:$AT$3, 0))),L46)))*(IF((YEAR(D46)+18)&lt;YEAR(E46),0,IF((YEAR(D46)+18)&gt;YEAR(E46),1,(12-MONTH(E46)+1)/12))) + (Q46)*(IF((YEAR(D46)+18)&lt;YEAR(E46),0,IF((YEAR(D46)+18)&gt;YEAR(E46),1,(12-MONTH(E46)+1)/12))))-((P46)*(IF((YEAR(D46)+18)&lt;YEAR(E46),0,IF((YEAR(D46)+18)&gt;YEAR(E46),1,(12-MONTH(E46)+1)/12))) + (R46)*(IF((YEAR(D46)+18)&lt;YEAR(E46),0,IF((YEAR(D46)+18)&gt;YEAR(E46),1,(12-MONTH(E46)+1)/12))))-(IF(OR(N46="",N46&lt;=0),0,(O46/N46)*(IF(OR(N46="",N46&lt;=0),0,IF((YEAR(D46)+18)&lt;YEAR(E46),0,IF((YEAR(D46)+18)&gt;=YEAR(E46)+N46,0,IF((YEAR(D46)+18)=YEAR(E46),(12-MONTH(E46)+1)/12,1))))))))*TaxRate,0))-IF(18=0,O46,0))</f>
        <v/>
      </c>
      <c r="AL46" s="29">
        <f>IF(A46="","",((K46)*(IF(M46="",L46,IFERROR(IF(INDEX(Variablen!$I:$AT, MATCH(M46, Variablen!$A:$A, 0), MATCH((YEAR(D46)+19), Variablen!$I$3:$AT$3, 0))="",L46,INDEX(Variablen!$I:$AT, MATCH(M46, Variablen!$A:$A, 0), MATCH((YEAR(D46)+19), Variablen!$I$3:$AT$3, 0))),L46)))*(IF((YEAR(D46)+19)&lt;YEAR(E46),0,IF((YEAR(D46)+19)&gt;YEAR(E46),1,(12-MONTH(E46)+1)/12))) + (Q46)*(IF((YEAR(D46)+19)&lt;YEAR(E46),0,IF((YEAR(D46)+19)&gt;YEAR(E46),1,(12-MONTH(E46)+1)/12))))-((P46)*(IF((YEAR(D46)+19)&lt;YEAR(E46),0,IF((YEAR(D46)+19)&gt;YEAR(E46),1,(12-MONTH(E46)+1)/12))) + (R46)*(IF((YEAR(D46)+19)&lt;YEAR(E46),0,IF((YEAR(D46)+19)&gt;YEAR(E46),1,(12-MONTH(E46)+1)/12))))-(IF((((K46)*(IF(M46="",L46,IFERROR(IF(INDEX(Variablen!$I:$AT, MATCH(M46, Variablen!$A:$A, 0), MATCH((YEAR(D46)+19), Variablen!$I$3:$AT$3, 0))="",L46,INDEX(Variablen!$I:$AT, MATCH(M46, Variablen!$A:$A, 0), MATCH((YEAR(D46)+19), Variablen!$I$3:$AT$3, 0))),L46)))*(IF((YEAR(D46)+19)&lt;YEAR(E46),0,IF((YEAR(D46)+19)&gt;YEAR(E46),1,(12-MONTH(E46)+1)/12))) + (Q46)*(IF((YEAR(D46)+19)&lt;YEAR(E46),0,IF((YEAR(D46)+19)&gt;YEAR(E46),1,(12-MONTH(E46)+1)/12))))-((P46)*(IF((YEAR(D46)+19)&lt;YEAR(E46),0,IF((YEAR(D46)+19)&gt;YEAR(E46),1,(12-MONTH(E46)+1)/12))) + (R46)*(IF((YEAR(D46)+19)&lt;YEAR(E46),0,IF((YEAR(D46)+19)&gt;YEAR(E46),1,(12-MONTH(E46)+1)/12))))-(IF(OR(N46="",N46&lt;=0),0,(O46/N46)*(IF(OR(N46="",N46&lt;=0),0,IF((YEAR(D46)+19)&lt;YEAR(E46),0,IF((YEAR(D46)+19)&gt;=YEAR(E46)+N46,0,IF((YEAR(D46)+19)=YEAR(E46),(12-MONTH(E46)+1)/12,1))))))))&gt;0,(((K46)*(IF(M46="",L46,IFERROR(IF(INDEX(Variablen!$I:$AT, MATCH(M46, Variablen!$A:$A, 0), MATCH((YEAR(D46)+19), Variablen!$I$3:$AT$3, 0))="",L46,INDEX(Variablen!$I:$AT, MATCH(M46, Variablen!$A:$A, 0), MATCH((YEAR(D46)+19), Variablen!$I$3:$AT$3, 0))),L46)))*(IF((YEAR(D46)+19)&lt;YEAR(E46),0,IF((YEAR(D46)+19)&gt;YEAR(E46),1,(12-MONTH(E46)+1)/12))) + (Q46)*(IF((YEAR(D46)+19)&lt;YEAR(E46),0,IF((YEAR(D46)+19)&gt;YEAR(E46),1,(12-MONTH(E46)+1)/12))))-((P46)*(IF((YEAR(D46)+19)&lt;YEAR(E46),0,IF((YEAR(D46)+19)&gt;YEAR(E46),1,(12-MONTH(E46)+1)/12))) + (R46)*(IF((YEAR(D46)+19)&lt;YEAR(E46),0,IF((YEAR(D46)+19)&gt;YEAR(E46),1,(12-MONTH(E46)+1)/12))))-(IF(OR(N46="",N46&lt;=0),0,(O46/N46)*(IF(OR(N46="",N46&lt;=0),0,IF((YEAR(D46)+19)&lt;YEAR(E46),0,IF((YEAR(D46)+19)&gt;=YEAR(E46)+N46,0,IF((YEAR(D46)+19)=YEAR(E46),(12-MONTH(E46)+1)/12,1))))))))*TaxRate,0))-IF(19=0,O46,0))</f>
        <v/>
      </c>
      <c r="AM46" s="29">
        <f>IF(A46="","",((K46)*(IF(M46="",L46,IFERROR(IF(INDEX(Variablen!$I:$AT, MATCH(M46, Variablen!$A:$A, 0), MATCH((YEAR(D46)+20), Variablen!$I$3:$AT$3, 0))="",L46,INDEX(Variablen!$I:$AT, MATCH(M46, Variablen!$A:$A, 0), MATCH((YEAR(D46)+20), Variablen!$I$3:$AT$3, 0))),L46)))*(IF((YEAR(D46)+20)&lt;YEAR(E46),0,IF((YEAR(D46)+20)&gt;YEAR(E46),1,(12-MONTH(E46)+1)/12))) + (Q46)*(IF((YEAR(D46)+20)&lt;YEAR(E46),0,IF((YEAR(D46)+20)&gt;YEAR(E46),1,(12-MONTH(E46)+1)/12))))-((P46)*(IF((YEAR(D46)+20)&lt;YEAR(E46),0,IF((YEAR(D46)+20)&gt;YEAR(E46),1,(12-MONTH(E46)+1)/12))) + (R46)*(IF((YEAR(D46)+20)&lt;YEAR(E46),0,IF((YEAR(D46)+20)&gt;YEAR(E46),1,(12-MONTH(E46)+1)/12))))-(IF((((K46)*(IF(M46="",L46,IFERROR(IF(INDEX(Variablen!$I:$AT, MATCH(M46, Variablen!$A:$A, 0), MATCH((YEAR(D46)+20), Variablen!$I$3:$AT$3, 0))="",L46,INDEX(Variablen!$I:$AT, MATCH(M46, Variablen!$A:$A, 0), MATCH((YEAR(D46)+20), Variablen!$I$3:$AT$3, 0))),L46)))*(IF((YEAR(D46)+20)&lt;YEAR(E46),0,IF((YEAR(D46)+20)&gt;YEAR(E46),1,(12-MONTH(E46)+1)/12))) + (Q46)*(IF((YEAR(D46)+20)&lt;YEAR(E46),0,IF((YEAR(D46)+20)&gt;YEAR(E46),1,(12-MONTH(E46)+1)/12))))-((P46)*(IF((YEAR(D46)+20)&lt;YEAR(E46),0,IF((YEAR(D46)+20)&gt;YEAR(E46),1,(12-MONTH(E46)+1)/12))) + (R46)*(IF((YEAR(D46)+20)&lt;YEAR(E46),0,IF((YEAR(D46)+20)&gt;YEAR(E46),1,(12-MONTH(E46)+1)/12))))-(IF(OR(N46="",N46&lt;=0),0,(O46/N46)*(IF(OR(N46="",N46&lt;=0),0,IF((YEAR(D46)+20)&lt;YEAR(E46),0,IF((YEAR(D46)+20)&gt;=YEAR(E46)+N46,0,IF((YEAR(D46)+20)=YEAR(E46),(12-MONTH(E46)+1)/12,1))))))))&gt;0,(((K46)*(IF(M46="",L46,IFERROR(IF(INDEX(Variablen!$I:$AT, MATCH(M46, Variablen!$A:$A, 0), MATCH((YEAR(D46)+20), Variablen!$I$3:$AT$3, 0))="",L46,INDEX(Variablen!$I:$AT, MATCH(M46, Variablen!$A:$A, 0), MATCH((YEAR(D46)+20), Variablen!$I$3:$AT$3, 0))),L46)))*(IF((YEAR(D46)+20)&lt;YEAR(E46),0,IF((YEAR(D46)+20)&gt;YEAR(E46),1,(12-MONTH(E46)+1)/12))) + (Q46)*(IF((YEAR(D46)+20)&lt;YEAR(E46),0,IF((YEAR(D46)+20)&gt;YEAR(E46),1,(12-MONTH(E46)+1)/12))))-((P46)*(IF((YEAR(D46)+20)&lt;YEAR(E46),0,IF((YEAR(D46)+20)&gt;YEAR(E46),1,(12-MONTH(E46)+1)/12))) + (R46)*(IF((YEAR(D46)+20)&lt;YEAR(E46),0,IF((YEAR(D46)+20)&gt;YEAR(E46),1,(12-MONTH(E46)+1)/12))))-(IF(OR(N46="",N46&lt;=0),0,(O46/N46)*(IF(OR(N46="",N46&lt;=0),0,IF((YEAR(D46)+20)&lt;YEAR(E46),0,IF((YEAR(D46)+20)&gt;=YEAR(E46)+N46,0,IF((YEAR(D46)+20)=YEAR(E46),(12-MONTH(E46)+1)/12,1))))))))*TaxRate,0))-IF(20=0,O46,0))</f>
        <v/>
      </c>
      <c r="AN46" s="29">
        <f>IF(A46="","",S46)</f>
        <v/>
      </c>
      <c r="AO46" s="29">
        <f>IF(A46="","",AN46+T46)</f>
        <v/>
      </c>
      <c r="AP46" s="29">
        <f>IF(A46="","",AO46+U46)</f>
        <v/>
      </c>
      <c r="AQ46" s="29">
        <f>IF(A46="","",AP46+V46)</f>
        <v/>
      </c>
      <c r="AR46" s="29">
        <f>IF(A46="","",AQ46+W46)</f>
        <v/>
      </c>
      <c r="AS46" s="29">
        <f>IF(A46="","",AR46+X46)</f>
        <v/>
      </c>
      <c r="AT46" s="29">
        <f>IF(A46="","",AS46+Y46)</f>
        <v/>
      </c>
      <c r="AU46" s="29">
        <f>IF(A46="","",AT46+Z46)</f>
        <v/>
      </c>
      <c r="AV46" s="29">
        <f>IF(A46="","",AU46+AA46)</f>
        <v/>
      </c>
      <c r="AW46" s="29">
        <f>IF(A46="","",AV46+AB46)</f>
        <v/>
      </c>
      <c r="AX46" s="29">
        <f>IF(A46="","",AW46+AC46)</f>
        <v/>
      </c>
      <c r="AY46" s="29">
        <f>IF(A46="","",AX46+AD46)</f>
        <v/>
      </c>
      <c r="AZ46" s="29">
        <f>IF(A46="","",AY46+AE46)</f>
        <v/>
      </c>
      <c r="BA46" s="29">
        <f>IF(A46="","",AZ46+AF46)</f>
        <v/>
      </c>
      <c r="BB46" s="29">
        <f>IF(A46="","",BA46+AG46)</f>
        <v/>
      </c>
      <c r="BC46" s="29">
        <f>IF(A46="","",BB46+AH46)</f>
        <v/>
      </c>
      <c r="BD46" s="29">
        <f>IF(A46="","",BC46+AI46)</f>
        <v/>
      </c>
      <c r="BE46" s="29">
        <f>IF(A46="","",BD46+AJ46)</f>
        <v/>
      </c>
      <c r="BF46" s="29">
        <f>IF(A46="","",BE46+AK46)</f>
        <v/>
      </c>
      <c r="BG46" s="29">
        <f>IF(A46="","",BF46+AL46)</f>
        <v/>
      </c>
      <c r="BH46" s="29">
        <f>IF(A46="","",BG46+AM46)</f>
        <v/>
      </c>
      <c r="BI46" s="36">
        <f>IF(A46="","",(K46)*(IF((YEAR(D46)+0)&lt;YEAR(E46),0,IF((YEAR(D46)+0)&gt;YEAR(E46),1,(12-MONTH(E46)+1)/12)))*(1/(1+DiscountRate)^0))</f>
        <v/>
      </c>
      <c r="BJ46" s="36">
        <f>IF(A46="","",(K46)*(IF((YEAR(D46)+1)&lt;YEAR(E46),0,IF((YEAR(D46)+1)&gt;YEAR(E46),1,(12-MONTH(E46)+1)/12)))*(1/(1+DiscountRate)^1))</f>
        <v/>
      </c>
      <c r="BK46" s="36">
        <f>IF(A46="","",(K46)*(IF((YEAR(D46)+2)&lt;YEAR(E46),0,IF((YEAR(D46)+2)&gt;YEAR(E46),1,(12-MONTH(E46)+1)/12)))*(1/(1+DiscountRate)^2))</f>
        <v/>
      </c>
      <c r="BL46" s="36">
        <f>IF(A46="","",(K46)*(IF((YEAR(D46)+3)&lt;YEAR(E46),0,IF((YEAR(D46)+3)&gt;YEAR(E46),1,(12-MONTH(E46)+1)/12)))*(1/(1+DiscountRate)^3))</f>
        <v/>
      </c>
      <c r="BM46" s="36">
        <f>IF(A46="","",(K46)*(IF((YEAR(D46)+4)&lt;YEAR(E46),0,IF((YEAR(D46)+4)&gt;YEAR(E46),1,(12-MONTH(E46)+1)/12)))*(1/(1+DiscountRate)^4))</f>
        <v/>
      </c>
      <c r="BN46" s="36">
        <f>IF(A46="","",(K46)*(IF((YEAR(D46)+5)&lt;YEAR(E46),0,IF((YEAR(D46)+5)&gt;YEAR(E46),1,(12-MONTH(E46)+1)/12)))*(1/(1+DiscountRate)^5))</f>
        <v/>
      </c>
      <c r="BO46" s="36">
        <f>IF(A46="","",(K46)*(IF((YEAR(D46)+6)&lt;YEAR(E46),0,IF((YEAR(D46)+6)&gt;YEAR(E46),1,(12-MONTH(E46)+1)/12)))*(1/(1+DiscountRate)^6))</f>
        <v/>
      </c>
      <c r="BP46" s="36">
        <f>IF(A46="","",(K46)*(IF((YEAR(D46)+7)&lt;YEAR(E46),0,IF((YEAR(D46)+7)&gt;YEAR(E46),1,(12-MONTH(E46)+1)/12)))*(1/(1+DiscountRate)^7))</f>
        <v/>
      </c>
      <c r="BQ46" s="36">
        <f>IF(A46="","",(K46)*(IF((YEAR(D46)+8)&lt;YEAR(E46),0,IF((YEAR(D46)+8)&gt;YEAR(E46),1,(12-MONTH(E46)+1)/12)))*(1/(1+DiscountRate)^8))</f>
        <v/>
      </c>
      <c r="BR46" s="36">
        <f>IF(A46="","",(K46)*(IF((YEAR(D46)+9)&lt;YEAR(E46),0,IF((YEAR(D46)+9)&gt;YEAR(E46),1,(12-MONTH(E46)+1)/12)))*(1/(1+DiscountRate)^9))</f>
        <v/>
      </c>
      <c r="BS46" s="36">
        <f>IF(A46="","",(K46)*(IF((YEAR(D46)+10)&lt;YEAR(E46),0,IF((YEAR(D46)+10)&gt;YEAR(E46),1,(12-MONTH(E46)+1)/12)))*(1/(1+DiscountRate)^10))</f>
        <v/>
      </c>
      <c r="BT46" s="36">
        <f>IF(A46="","",(K46)*(IF((YEAR(D46)+11)&lt;YEAR(E46),0,IF((YEAR(D46)+11)&gt;YEAR(E46),1,(12-MONTH(E46)+1)/12)))*(1/(1+DiscountRate)^11))</f>
        <v/>
      </c>
      <c r="BU46" s="36">
        <f>IF(A46="","",(K46)*(IF((YEAR(D46)+12)&lt;YEAR(E46),0,IF((YEAR(D46)+12)&gt;YEAR(E46),1,(12-MONTH(E46)+1)/12)))*(1/(1+DiscountRate)^12))</f>
        <v/>
      </c>
      <c r="BV46" s="36">
        <f>IF(A46="","",(K46)*(IF((YEAR(D46)+13)&lt;YEAR(E46),0,IF((YEAR(D46)+13)&gt;YEAR(E46),1,(12-MONTH(E46)+1)/12)))*(1/(1+DiscountRate)^13))</f>
        <v/>
      </c>
      <c r="BW46" s="36">
        <f>IF(A46="","",(K46)*(IF((YEAR(D46)+14)&lt;YEAR(E46),0,IF((YEAR(D46)+14)&gt;YEAR(E46),1,(12-MONTH(E46)+1)/12)))*(1/(1+DiscountRate)^14))</f>
        <v/>
      </c>
      <c r="BX46" s="36">
        <f>IF(A46="","",(K46)*(IF((YEAR(D46)+15)&lt;YEAR(E46),0,IF((YEAR(D46)+15)&gt;YEAR(E46),1,(12-MONTH(E46)+1)/12)))*(1/(1+DiscountRate)^15))</f>
        <v/>
      </c>
      <c r="BY46" s="36">
        <f>IF(A46="","",(K46)*(IF((YEAR(D46)+16)&lt;YEAR(E46),0,IF((YEAR(D46)+16)&gt;YEAR(E46),1,(12-MONTH(E46)+1)/12)))*(1/(1+DiscountRate)^16))</f>
        <v/>
      </c>
      <c r="BZ46" s="36">
        <f>IF(A46="","",(K46)*(IF((YEAR(D46)+17)&lt;YEAR(E46),0,IF((YEAR(D46)+17)&gt;YEAR(E46),1,(12-MONTH(E46)+1)/12)))*(1/(1+DiscountRate)^17))</f>
        <v/>
      </c>
      <c r="CA46" s="36">
        <f>IF(A46="","",(K46)*(IF((YEAR(D46)+18)&lt;YEAR(E46),0,IF((YEAR(D46)+18)&gt;YEAR(E46),1,(12-MONTH(E46)+1)/12)))*(1/(1+DiscountRate)^18))</f>
        <v/>
      </c>
      <c r="CB46" s="36">
        <f>IF(A46="","",(K46)*(IF((YEAR(D46)+19)&lt;YEAR(E46),0,IF((YEAR(D46)+19)&gt;YEAR(E46),1,(12-MONTH(E46)+1)/12)))*(1/(1+DiscountRate)^19))</f>
        <v/>
      </c>
      <c r="CC46" s="36">
        <f>IF(A46="","",(K46)*(IF((YEAR(D46)+20)&lt;YEAR(E46),0,IF((YEAR(D46)+20)&gt;YEAR(E46),1,(12-MONTH(E46)+1)/12)))*(1/(1+DiscountRate)^20))</f>
        <v/>
      </c>
      <c r="CD46" s="29">
        <f>IF(A46="","",S46/(1+DiscountRate)^0+T46/(1+DiscountRate)^1+U46/(1+DiscountRate)^2+V46/(1+DiscountRate)^3+W46/(1+DiscountRate)^4+X46/(1+DiscountRate)^5+Y46/(1+DiscountRate)^6+Z46/(1+DiscountRate)^7+AA46/(1+DiscountRate)^8+AB46/(1+DiscountRate)^9+AC46/(1+DiscountRate)^10+AD46/(1+DiscountRate)^11+AE46/(1+DiscountRate)^12+AF46/(1+DiscountRate)^13+AG46/(1+DiscountRate)^14+AH46/(1+DiscountRate)^15+AI46/(1+DiscountRate)^16+AJ46/(1+DiscountRate)^17+AK46/(1+DiscountRate)^18+AL46/(1+DiscountRate)^19+AM46/(1+DiscountRate)^20)</f>
        <v/>
      </c>
      <c r="CE46" s="37">
        <f>IF(A46="","",IFERROR(IRR(OFFSET(S46,0,0,1,MIN(HorizonYears,20)+1)),"n/a"))</f>
        <v/>
      </c>
      <c r="CF46" s="28">
        <f>IF(A46="","",IFERROR(MATCH(TRUE,OFFSET(AN46,0,0,1,MIN(HorizonYears,20)+1)&gt;=0,0)-1,"n/a"))</f>
        <v/>
      </c>
      <c r="CG46" s="36">
        <f>IF(A46="","",SUM(OFFSET(BI46,0,0,1,MIN(HorizonYears,20)+1)))</f>
        <v/>
      </c>
      <c r="CH46" s="36">
        <f>IF(A46="","",IFERROR(-CD46/CG46,"n/a"))</f>
        <v/>
      </c>
    </row>
    <row r="47">
      <c r="A47" s="6">
        <f>Actions!A45</f>
        <v/>
      </c>
      <c r="B47" s="6">
        <f>Actions!B45</f>
        <v/>
      </c>
      <c r="C47" s="6">
        <f>Actions!D45</f>
        <v/>
      </c>
      <c r="D47" s="35">
        <f>Actions!E45</f>
        <v/>
      </c>
      <c r="E47" s="35">
        <f>Actions!F45</f>
        <v/>
      </c>
      <c r="F47" s="6">
        <f>Actions!G45</f>
        <v/>
      </c>
      <c r="G47" s="6">
        <f>Actions!H45</f>
        <v/>
      </c>
      <c r="H47" s="29">
        <f>Actions!I45</f>
        <v/>
      </c>
      <c r="I47" s="6">
        <f>Actions!J45</f>
        <v/>
      </c>
      <c r="J47" s="16">
        <f>Actions!K45</f>
        <v/>
      </c>
      <c r="K47" s="16">
        <f>IF(A47="","",IF(I47="%",H47*J47,J47))</f>
        <v/>
      </c>
      <c r="L47" s="16">
        <f>Actions!L45</f>
        <v/>
      </c>
      <c r="M47" s="6">
        <f>Actions!M45</f>
        <v/>
      </c>
      <c r="N47" s="28">
        <f>Actions!N45</f>
        <v/>
      </c>
      <c r="O47" s="29">
        <f>Actions!T45</f>
        <v/>
      </c>
      <c r="P47" s="29">
        <f>Actions!Y45</f>
        <v/>
      </c>
      <c r="Q47" s="29">
        <f>Actions!Z45</f>
        <v/>
      </c>
      <c r="R47" s="29">
        <f>Actions!AA45</f>
        <v/>
      </c>
      <c r="S47" s="29">
        <f>IF(A47="","",((K47)*(IF(M47="",L47,IFERROR(IF(INDEX(Variablen!$I:$AT, MATCH(M47, Variablen!$A:$A, 0), MATCH((YEAR(D47)+0), Variablen!$I$3:$AT$3, 0))="",L47,INDEX(Variablen!$I:$AT, MATCH(M47, Variablen!$A:$A, 0), MATCH((YEAR(D47)+0), Variablen!$I$3:$AT$3, 0))),L47)))*(IF((YEAR(D47)+0)&lt;YEAR(E47),0,IF((YEAR(D47)+0)&gt;YEAR(E47),1,(12-MONTH(E47)+1)/12))) + (Q47)*(IF((YEAR(D47)+0)&lt;YEAR(E47),0,IF((YEAR(D47)+0)&gt;YEAR(E47),1,(12-MONTH(E47)+1)/12))))-((P47)*(IF((YEAR(D47)+0)&lt;YEAR(E47),0,IF((YEAR(D47)+0)&gt;YEAR(E47),1,(12-MONTH(E47)+1)/12))) + (R47)*(IF((YEAR(D47)+0)&lt;YEAR(E47),0,IF((YEAR(D47)+0)&gt;YEAR(E47),1,(12-MONTH(E47)+1)/12))))-(IF((((K47)*(IF(M47="",L47,IFERROR(IF(INDEX(Variablen!$I:$AT, MATCH(M47, Variablen!$A:$A, 0), MATCH((YEAR(D47)+0), Variablen!$I$3:$AT$3, 0))="",L47,INDEX(Variablen!$I:$AT, MATCH(M47, Variablen!$A:$A, 0), MATCH((YEAR(D47)+0), Variablen!$I$3:$AT$3, 0))),L47)))*(IF((YEAR(D47)+0)&lt;YEAR(E47),0,IF((YEAR(D47)+0)&gt;YEAR(E47),1,(12-MONTH(E47)+1)/12))) + (Q47)*(IF((YEAR(D47)+0)&lt;YEAR(E47),0,IF((YEAR(D47)+0)&gt;YEAR(E47),1,(12-MONTH(E47)+1)/12))))-((P47)*(IF((YEAR(D47)+0)&lt;YEAR(E47),0,IF((YEAR(D47)+0)&gt;YEAR(E47),1,(12-MONTH(E47)+1)/12))) + (R47)*(IF((YEAR(D47)+0)&lt;YEAR(E47),0,IF((YEAR(D47)+0)&gt;YEAR(E47),1,(12-MONTH(E47)+1)/12))))-(IF(OR(N47="",N47&lt;=0),0,(O47/N47)*(IF(OR(N47="",N47&lt;=0),0,IF((YEAR(D47)+0)&lt;YEAR(E47),0,IF((YEAR(D47)+0)&gt;=YEAR(E47)+N47,0,IF((YEAR(D47)+0)=YEAR(E47),(12-MONTH(E47)+1)/12,1))))))))&gt;0,(((K47)*(IF(M47="",L47,IFERROR(IF(INDEX(Variablen!$I:$AT, MATCH(M47, Variablen!$A:$A, 0), MATCH((YEAR(D47)+0), Variablen!$I$3:$AT$3, 0))="",L47,INDEX(Variablen!$I:$AT, MATCH(M47, Variablen!$A:$A, 0), MATCH((YEAR(D47)+0), Variablen!$I$3:$AT$3, 0))),L47)))*(IF((YEAR(D47)+0)&lt;YEAR(E47),0,IF((YEAR(D47)+0)&gt;YEAR(E47),1,(12-MONTH(E47)+1)/12))) + (Q47)*(IF((YEAR(D47)+0)&lt;YEAR(E47),0,IF((YEAR(D47)+0)&gt;YEAR(E47),1,(12-MONTH(E47)+1)/12))))-((P47)*(IF((YEAR(D47)+0)&lt;YEAR(E47),0,IF((YEAR(D47)+0)&gt;YEAR(E47),1,(12-MONTH(E47)+1)/12))) + (R47)*(IF((YEAR(D47)+0)&lt;YEAR(E47),0,IF((YEAR(D47)+0)&gt;YEAR(E47),1,(12-MONTH(E47)+1)/12))))-(IF(OR(N47="",N47&lt;=0),0,(O47/N47)*(IF(OR(N47="",N47&lt;=0),0,IF((YEAR(D47)+0)&lt;YEAR(E47),0,IF((YEAR(D47)+0)&gt;=YEAR(E47)+N47,0,IF((YEAR(D47)+0)=YEAR(E47),(12-MONTH(E47)+1)/12,1))))))))*TaxRate,0))-IF(0=0,O47,0))</f>
        <v/>
      </c>
      <c r="T47" s="29">
        <f>IF(A47="","",((K47)*(IF(M47="",L47,IFERROR(IF(INDEX(Variablen!$I:$AT, MATCH(M47, Variablen!$A:$A, 0), MATCH((YEAR(D47)+1), Variablen!$I$3:$AT$3, 0))="",L47,INDEX(Variablen!$I:$AT, MATCH(M47, Variablen!$A:$A, 0), MATCH((YEAR(D47)+1), Variablen!$I$3:$AT$3, 0))),L47)))*(IF((YEAR(D47)+1)&lt;YEAR(E47),0,IF((YEAR(D47)+1)&gt;YEAR(E47),1,(12-MONTH(E47)+1)/12))) + (Q47)*(IF((YEAR(D47)+1)&lt;YEAR(E47),0,IF((YEAR(D47)+1)&gt;YEAR(E47),1,(12-MONTH(E47)+1)/12))))-((P47)*(IF((YEAR(D47)+1)&lt;YEAR(E47),0,IF((YEAR(D47)+1)&gt;YEAR(E47),1,(12-MONTH(E47)+1)/12))) + (R47)*(IF((YEAR(D47)+1)&lt;YEAR(E47),0,IF((YEAR(D47)+1)&gt;YEAR(E47),1,(12-MONTH(E47)+1)/12))))-(IF((((K47)*(IF(M47="",L47,IFERROR(IF(INDEX(Variablen!$I:$AT, MATCH(M47, Variablen!$A:$A, 0), MATCH((YEAR(D47)+1), Variablen!$I$3:$AT$3, 0))="",L47,INDEX(Variablen!$I:$AT, MATCH(M47, Variablen!$A:$A, 0), MATCH((YEAR(D47)+1), Variablen!$I$3:$AT$3, 0))),L47)))*(IF((YEAR(D47)+1)&lt;YEAR(E47),0,IF((YEAR(D47)+1)&gt;YEAR(E47),1,(12-MONTH(E47)+1)/12))) + (Q47)*(IF((YEAR(D47)+1)&lt;YEAR(E47),0,IF((YEAR(D47)+1)&gt;YEAR(E47),1,(12-MONTH(E47)+1)/12))))-((P47)*(IF((YEAR(D47)+1)&lt;YEAR(E47),0,IF((YEAR(D47)+1)&gt;YEAR(E47),1,(12-MONTH(E47)+1)/12))) + (R47)*(IF((YEAR(D47)+1)&lt;YEAR(E47),0,IF((YEAR(D47)+1)&gt;YEAR(E47),1,(12-MONTH(E47)+1)/12))))-(IF(OR(N47="",N47&lt;=0),0,(O47/N47)*(IF(OR(N47="",N47&lt;=0),0,IF((YEAR(D47)+1)&lt;YEAR(E47),0,IF((YEAR(D47)+1)&gt;=YEAR(E47)+N47,0,IF((YEAR(D47)+1)=YEAR(E47),(12-MONTH(E47)+1)/12,1))))))))&gt;0,(((K47)*(IF(M47="",L47,IFERROR(IF(INDEX(Variablen!$I:$AT, MATCH(M47, Variablen!$A:$A, 0), MATCH((YEAR(D47)+1), Variablen!$I$3:$AT$3, 0))="",L47,INDEX(Variablen!$I:$AT, MATCH(M47, Variablen!$A:$A, 0), MATCH((YEAR(D47)+1), Variablen!$I$3:$AT$3, 0))),L47)))*(IF((YEAR(D47)+1)&lt;YEAR(E47),0,IF((YEAR(D47)+1)&gt;YEAR(E47),1,(12-MONTH(E47)+1)/12))) + (Q47)*(IF((YEAR(D47)+1)&lt;YEAR(E47),0,IF((YEAR(D47)+1)&gt;YEAR(E47),1,(12-MONTH(E47)+1)/12))))-((P47)*(IF((YEAR(D47)+1)&lt;YEAR(E47),0,IF((YEAR(D47)+1)&gt;YEAR(E47),1,(12-MONTH(E47)+1)/12))) + (R47)*(IF((YEAR(D47)+1)&lt;YEAR(E47),0,IF((YEAR(D47)+1)&gt;YEAR(E47),1,(12-MONTH(E47)+1)/12))))-(IF(OR(N47="",N47&lt;=0),0,(O47/N47)*(IF(OR(N47="",N47&lt;=0),0,IF((YEAR(D47)+1)&lt;YEAR(E47),0,IF((YEAR(D47)+1)&gt;=YEAR(E47)+N47,0,IF((YEAR(D47)+1)=YEAR(E47),(12-MONTH(E47)+1)/12,1))))))))*TaxRate,0))-IF(1=0,O47,0))</f>
        <v/>
      </c>
      <c r="U47" s="29">
        <f>IF(A47="","",((K47)*(IF(M47="",L47,IFERROR(IF(INDEX(Variablen!$I:$AT, MATCH(M47, Variablen!$A:$A, 0), MATCH((YEAR(D47)+2), Variablen!$I$3:$AT$3, 0))="",L47,INDEX(Variablen!$I:$AT, MATCH(M47, Variablen!$A:$A, 0), MATCH((YEAR(D47)+2), Variablen!$I$3:$AT$3, 0))),L47)))*(IF((YEAR(D47)+2)&lt;YEAR(E47),0,IF((YEAR(D47)+2)&gt;YEAR(E47),1,(12-MONTH(E47)+1)/12))) + (Q47)*(IF((YEAR(D47)+2)&lt;YEAR(E47),0,IF((YEAR(D47)+2)&gt;YEAR(E47),1,(12-MONTH(E47)+1)/12))))-((P47)*(IF((YEAR(D47)+2)&lt;YEAR(E47),0,IF((YEAR(D47)+2)&gt;YEAR(E47),1,(12-MONTH(E47)+1)/12))) + (R47)*(IF((YEAR(D47)+2)&lt;YEAR(E47),0,IF((YEAR(D47)+2)&gt;YEAR(E47),1,(12-MONTH(E47)+1)/12))))-(IF((((K47)*(IF(M47="",L47,IFERROR(IF(INDEX(Variablen!$I:$AT, MATCH(M47, Variablen!$A:$A, 0), MATCH((YEAR(D47)+2), Variablen!$I$3:$AT$3, 0))="",L47,INDEX(Variablen!$I:$AT, MATCH(M47, Variablen!$A:$A, 0), MATCH((YEAR(D47)+2), Variablen!$I$3:$AT$3, 0))),L47)))*(IF((YEAR(D47)+2)&lt;YEAR(E47),0,IF((YEAR(D47)+2)&gt;YEAR(E47),1,(12-MONTH(E47)+1)/12))) + (Q47)*(IF((YEAR(D47)+2)&lt;YEAR(E47),0,IF((YEAR(D47)+2)&gt;YEAR(E47),1,(12-MONTH(E47)+1)/12))))-((P47)*(IF((YEAR(D47)+2)&lt;YEAR(E47),0,IF((YEAR(D47)+2)&gt;YEAR(E47),1,(12-MONTH(E47)+1)/12))) + (R47)*(IF((YEAR(D47)+2)&lt;YEAR(E47),0,IF((YEAR(D47)+2)&gt;YEAR(E47),1,(12-MONTH(E47)+1)/12))))-(IF(OR(N47="",N47&lt;=0),0,(O47/N47)*(IF(OR(N47="",N47&lt;=0),0,IF((YEAR(D47)+2)&lt;YEAR(E47),0,IF((YEAR(D47)+2)&gt;=YEAR(E47)+N47,0,IF((YEAR(D47)+2)=YEAR(E47),(12-MONTH(E47)+1)/12,1))))))))&gt;0,(((K47)*(IF(M47="",L47,IFERROR(IF(INDEX(Variablen!$I:$AT, MATCH(M47, Variablen!$A:$A, 0), MATCH((YEAR(D47)+2), Variablen!$I$3:$AT$3, 0))="",L47,INDEX(Variablen!$I:$AT, MATCH(M47, Variablen!$A:$A, 0), MATCH((YEAR(D47)+2), Variablen!$I$3:$AT$3, 0))),L47)))*(IF((YEAR(D47)+2)&lt;YEAR(E47),0,IF((YEAR(D47)+2)&gt;YEAR(E47),1,(12-MONTH(E47)+1)/12))) + (Q47)*(IF((YEAR(D47)+2)&lt;YEAR(E47),0,IF((YEAR(D47)+2)&gt;YEAR(E47),1,(12-MONTH(E47)+1)/12))))-((P47)*(IF((YEAR(D47)+2)&lt;YEAR(E47),0,IF((YEAR(D47)+2)&gt;YEAR(E47),1,(12-MONTH(E47)+1)/12))) + (R47)*(IF((YEAR(D47)+2)&lt;YEAR(E47),0,IF((YEAR(D47)+2)&gt;YEAR(E47),1,(12-MONTH(E47)+1)/12))))-(IF(OR(N47="",N47&lt;=0),0,(O47/N47)*(IF(OR(N47="",N47&lt;=0),0,IF((YEAR(D47)+2)&lt;YEAR(E47),0,IF((YEAR(D47)+2)&gt;=YEAR(E47)+N47,0,IF((YEAR(D47)+2)=YEAR(E47),(12-MONTH(E47)+1)/12,1))))))))*TaxRate,0))-IF(2=0,O47,0))</f>
        <v/>
      </c>
      <c r="V47" s="29">
        <f>IF(A47="","",((K47)*(IF(M47="",L47,IFERROR(IF(INDEX(Variablen!$I:$AT, MATCH(M47, Variablen!$A:$A, 0), MATCH((YEAR(D47)+3), Variablen!$I$3:$AT$3, 0))="",L47,INDEX(Variablen!$I:$AT, MATCH(M47, Variablen!$A:$A, 0), MATCH((YEAR(D47)+3), Variablen!$I$3:$AT$3, 0))),L47)))*(IF((YEAR(D47)+3)&lt;YEAR(E47),0,IF((YEAR(D47)+3)&gt;YEAR(E47),1,(12-MONTH(E47)+1)/12))) + (Q47)*(IF((YEAR(D47)+3)&lt;YEAR(E47),0,IF((YEAR(D47)+3)&gt;YEAR(E47),1,(12-MONTH(E47)+1)/12))))-((P47)*(IF((YEAR(D47)+3)&lt;YEAR(E47),0,IF((YEAR(D47)+3)&gt;YEAR(E47),1,(12-MONTH(E47)+1)/12))) + (R47)*(IF((YEAR(D47)+3)&lt;YEAR(E47),0,IF((YEAR(D47)+3)&gt;YEAR(E47),1,(12-MONTH(E47)+1)/12))))-(IF((((K47)*(IF(M47="",L47,IFERROR(IF(INDEX(Variablen!$I:$AT, MATCH(M47, Variablen!$A:$A, 0), MATCH((YEAR(D47)+3), Variablen!$I$3:$AT$3, 0))="",L47,INDEX(Variablen!$I:$AT, MATCH(M47, Variablen!$A:$A, 0), MATCH((YEAR(D47)+3), Variablen!$I$3:$AT$3, 0))),L47)))*(IF((YEAR(D47)+3)&lt;YEAR(E47),0,IF((YEAR(D47)+3)&gt;YEAR(E47),1,(12-MONTH(E47)+1)/12))) + (Q47)*(IF((YEAR(D47)+3)&lt;YEAR(E47),0,IF((YEAR(D47)+3)&gt;YEAR(E47),1,(12-MONTH(E47)+1)/12))))-((P47)*(IF((YEAR(D47)+3)&lt;YEAR(E47),0,IF((YEAR(D47)+3)&gt;YEAR(E47),1,(12-MONTH(E47)+1)/12))) + (R47)*(IF((YEAR(D47)+3)&lt;YEAR(E47),0,IF((YEAR(D47)+3)&gt;YEAR(E47),1,(12-MONTH(E47)+1)/12))))-(IF(OR(N47="",N47&lt;=0),0,(O47/N47)*(IF(OR(N47="",N47&lt;=0),0,IF((YEAR(D47)+3)&lt;YEAR(E47),0,IF((YEAR(D47)+3)&gt;=YEAR(E47)+N47,0,IF((YEAR(D47)+3)=YEAR(E47),(12-MONTH(E47)+1)/12,1))))))))&gt;0,(((K47)*(IF(M47="",L47,IFERROR(IF(INDEX(Variablen!$I:$AT, MATCH(M47, Variablen!$A:$A, 0), MATCH((YEAR(D47)+3), Variablen!$I$3:$AT$3, 0))="",L47,INDEX(Variablen!$I:$AT, MATCH(M47, Variablen!$A:$A, 0), MATCH((YEAR(D47)+3), Variablen!$I$3:$AT$3, 0))),L47)))*(IF((YEAR(D47)+3)&lt;YEAR(E47),0,IF((YEAR(D47)+3)&gt;YEAR(E47),1,(12-MONTH(E47)+1)/12))) + (Q47)*(IF((YEAR(D47)+3)&lt;YEAR(E47),0,IF((YEAR(D47)+3)&gt;YEAR(E47),1,(12-MONTH(E47)+1)/12))))-((P47)*(IF((YEAR(D47)+3)&lt;YEAR(E47),0,IF((YEAR(D47)+3)&gt;YEAR(E47),1,(12-MONTH(E47)+1)/12))) + (R47)*(IF((YEAR(D47)+3)&lt;YEAR(E47),0,IF((YEAR(D47)+3)&gt;YEAR(E47),1,(12-MONTH(E47)+1)/12))))-(IF(OR(N47="",N47&lt;=0),0,(O47/N47)*(IF(OR(N47="",N47&lt;=0),0,IF((YEAR(D47)+3)&lt;YEAR(E47),0,IF((YEAR(D47)+3)&gt;=YEAR(E47)+N47,0,IF((YEAR(D47)+3)=YEAR(E47),(12-MONTH(E47)+1)/12,1))))))))*TaxRate,0))-IF(3=0,O47,0))</f>
        <v/>
      </c>
      <c r="W47" s="29">
        <f>IF(A47="","",((K47)*(IF(M47="",L47,IFERROR(IF(INDEX(Variablen!$I:$AT, MATCH(M47, Variablen!$A:$A, 0), MATCH((YEAR(D47)+4), Variablen!$I$3:$AT$3, 0))="",L47,INDEX(Variablen!$I:$AT, MATCH(M47, Variablen!$A:$A, 0), MATCH((YEAR(D47)+4), Variablen!$I$3:$AT$3, 0))),L47)))*(IF((YEAR(D47)+4)&lt;YEAR(E47),0,IF((YEAR(D47)+4)&gt;YEAR(E47),1,(12-MONTH(E47)+1)/12))) + (Q47)*(IF((YEAR(D47)+4)&lt;YEAR(E47),0,IF((YEAR(D47)+4)&gt;YEAR(E47),1,(12-MONTH(E47)+1)/12))))-((P47)*(IF((YEAR(D47)+4)&lt;YEAR(E47),0,IF((YEAR(D47)+4)&gt;YEAR(E47),1,(12-MONTH(E47)+1)/12))) + (R47)*(IF((YEAR(D47)+4)&lt;YEAR(E47),0,IF((YEAR(D47)+4)&gt;YEAR(E47),1,(12-MONTH(E47)+1)/12))))-(IF((((K47)*(IF(M47="",L47,IFERROR(IF(INDEX(Variablen!$I:$AT, MATCH(M47, Variablen!$A:$A, 0), MATCH((YEAR(D47)+4), Variablen!$I$3:$AT$3, 0))="",L47,INDEX(Variablen!$I:$AT, MATCH(M47, Variablen!$A:$A, 0), MATCH((YEAR(D47)+4), Variablen!$I$3:$AT$3, 0))),L47)))*(IF((YEAR(D47)+4)&lt;YEAR(E47),0,IF((YEAR(D47)+4)&gt;YEAR(E47),1,(12-MONTH(E47)+1)/12))) + (Q47)*(IF((YEAR(D47)+4)&lt;YEAR(E47),0,IF((YEAR(D47)+4)&gt;YEAR(E47),1,(12-MONTH(E47)+1)/12))))-((P47)*(IF((YEAR(D47)+4)&lt;YEAR(E47),0,IF((YEAR(D47)+4)&gt;YEAR(E47),1,(12-MONTH(E47)+1)/12))) + (R47)*(IF((YEAR(D47)+4)&lt;YEAR(E47),0,IF((YEAR(D47)+4)&gt;YEAR(E47),1,(12-MONTH(E47)+1)/12))))-(IF(OR(N47="",N47&lt;=0),0,(O47/N47)*(IF(OR(N47="",N47&lt;=0),0,IF((YEAR(D47)+4)&lt;YEAR(E47),0,IF((YEAR(D47)+4)&gt;=YEAR(E47)+N47,0,IF((YEAR(D47)+4)=YEAR(E47),(12-MONTH(E47)+1)/12,1))))))))&gt;0,(((K47)*(IF(M47="",L47,IFERROR(IF(INDEX(Variablen!$I:$AT, MATCH(M47, Variablen!$A:$A, 0), MATCH((YEAR(D47)+4), Variablen!$I$3:$AT$3, 0))="",L47,INDEX(Variablen!$I:$AT, MATCH(M47, Variablen!$A:$A, 0), MATCH((YEAR(D47)+4), Variablen!$I$3:$AT$3, 0))),L47)))*(IF((YEAR(D47)+4)&lt;YEAR(E47),0,IF((YEAR(D47)+4)&gt;YEAR(E47),1,(12-MONTH(E47)+1)/12))) + (Q47)*(IF((YEAR(D47)+4)&lt;YEAR(E47),0,IF((YEAR(D47)+4)&gt;YEAR(E47),1,(12-MONTH(E47)+1)/12))))-((P47)*(IF((YEAR(D47)+4)&lt;YEAR(E47),0,IF((YEAR(D47)+4)&gt;YEAR(E47),1,(12-MONTH(E47)+1)/12))) + (R47)*(IF((YEAR(D47)+4)&lt;YEAR(E47),0,IF((YEAR(D47)+4)&gt;YEAR(E47),1,(12-MONTH(E47)+1)/12))))-(IF(OR(N47="",N47&lt;=0),0,(O47/N47)*(IF(OR(N47="",N47&lt;=0),0,IF((YEAR(D47)+4)&lt;YEAR(E47),0,IF((YEAR(D47)+4)&gt;=YEAR(E47)+N47,0,IF((YEAR(D47)+4)=YEAR(E47),(12-MONTH(E47)+1)/12,1))))))))*TaxRate,0))-IF(4=0,O47,0))</f>
        <v/>
      </c>
      <c r="X47" s="29">
        <f>IF(A47="","",((K47)*(IF(M47="",L47,IFERROR(IF(INDEX(Variablen!$I:$AT, MATCH(M47, Variablen!$A:$A, 0), MATCH((YEAR(D47)+5), Variablen!$I$3:$AT$3, 0))="",L47,INDEX(Variablen!$I:$AT, MATCH(M47, Variablen!$A:$A, 0), MATCH((YEAR(D47)+5), Variablen!$I$3:$AT$3, 0))),L47)))*(IF((YEAR(D47)+5)&lt;YEAR(E47),0,IF((YEAR(D47)+5)&gt;YEAR(E47),1,(12-MONTH(E47)+1)/12))) + (Q47)*(IF((YEAR(D47)+5)&lt;YEAR(E47),0,IF((YEAR(D47)+5)&gt;YEAR(E47),1,(12-MONTH(E47)+1)/12))))-((P47)*(IF((YEAR(D47)+5)&lt;YEAR(E47),0,IF((YEAR(D47)+5)&gt;YEAR(E47),1,(12-MONTH(E47)+1)/12))) + (R47)*(IF((YEAR(D47)+5)&lt;YEAR(E47),0,IF((YEAR(D47)+5)&gt;YEAR(E47),1,(12-MONTH(E47)+1)/12))))-(IF((((K47)*(IF(M47="",L47,IFERROR(IF(INDEX(Variablen!$I:$AT, MATCH(M47, Variablen!$A:$A, 0), MATCH((YEAR(D47)+5), Variablen!$I$3:$AT$3, 0))="",L47,INDEX(Variablen!$I:$AT, MATCH(M47, Variablen!$A:$A, 0), MATCH((YEAR(D47)+5), Variablen!$I$3:$AT$3, 0))),L47)))*(IF((YEAR(D47)+5)&lt;YEAR(E47),0,IF((YEAR(D47)+5)&gt;YEAR(E47),1,(12-MONTH(E47)+1)/12))) + (Q47)*(IF((YEAR(D47)+5)&lt;YEAR(E47),0,IF((YEAR(D47)+5)&gt;YEAR(E47),1,(12-MONTH(E47)+1)/12))))-((P47)*(IF((YEAR(D47)+5)&lt;YEAR(E47),0,IF((YEAR(D47)+5)&gt;YEAR(E47),1,(12-MONTH(E47)+1)/12))) + (R47)*(IF((YEAR(D47)+5)&lt;YEAR(E47),0,IF((YEAR(D47)+5)&gt;YEAR(E47),1,(12-MONTH(E47)+1)/12))))-(IF(OR(N47="",N47&lt;=0),0,(O47/N47)*(IF(OR(N47="",N47&lt;=0),0,IF((YEAR(D47)+5)&lt;YEAR(E47),0,IF((YEAR(D47)+5)&gt;=YEAR(E47)+N47,0,IF((YEAR(D47)+5)=YEAR(E47),(12-MONTH(E47)+1)/12,1))))))))&gt;0,(((K47)*(IF(M47="",L47,IFERROR(IF(INDEX(Variablen!$I:$AT, MATCH(M47, Variablen!$A:$A, 0), MATCH((YEAR(D47)+5), Variablen!$I$3:$AT$3, 0))="",L47,INDEX(Variablen!$I:$AT, MATCH(M47, Variablen!$A:$A, 0), MATCH((YEAR(D47)+5), Variablen!$I$3:$AT$3, 0))),L47)))*(IF((YEAR(D47)+5)&lt;YEAR(E47),0,IF((YEAR(D47)+5)&gt;YEAR(E47),1,(12-MONTH(E47)+1)/12))) + (Q47)*(IF((YEAR(D47)+5)&lt;YEAR(E47),0,IF((YEAR(D47)+5)&gt;YEAR(E47),1,(12-MONTH(E47)+1)/12))))-((P47)*(IF((YEAR(D47)+5)&lt;YEAR(E47),0,IF((YEAR(D47)+5)&gt;YEAR(E47),1,(12-MONTH(E47)+1)/12))) + (R47)*(IF((YEAR(D47)+5)&lt;YEAR(E47),0,IF((YEAR(D47)+5)&gt;YEAR(E47),1,(12-MONTH(E47)+1)/12))))-(IF(OR(N47="",N47&lt;=0),0,(O47/N47)*(IF(OR(N47="",N47&lt;=0),0,IF((YEAR(D47)+5)&lt;YEAR(E47),0,IF((YEAR(D47)+5)&gt;=YEAR(E47)+N47,0,IF((YEAR(D47)+5)=YEAR(E47),(12-MONTH(E47)+1)/12,1))))))))*TaxRate,0))-IF(5=0,O47,0))</f>
        <v/>
      </c>
      <c r="Y47" s="29">
        <f>IF(A47="","",((K47)*(IF(M47="",L47,IFERROR(IF(INDEX(Variablen!$I:$AT, MATCH(M47, Variablen!$A:$A, 0), MATCH((YEAR(D47)+6), Variablen!$I$3:$AT$3, 0))="",L47,INDEX(Variablen!$I:$AT, MATCH(M47, Variablen!$A:$A, 0), MATCH((YEAR(D47)+6), Variablen!$I$3:$AT$3, 0))),L47)))*(IF((YEAR(D47)+6)&lt;YEAR(E47),0,IF((YEAR(D47)+6)&gt;YEAR(E47),1,(12-MONTH(E47)+1)/12))) + (Q47)*(IF((YEAR(D47)+6)&lt;YEAR(E47),0,IF((YEAR(D47)+6)&gt;YEAR(E47),1,(12-MONTH(E47)+1)/12))))-((P47)*(IF((YEAR(D47)+6)&lt;YEAR(E47),0,IF((YEAR(D47)+6)&gt;YEAR(E47),1,(12-MONTH(E47)+1)/12))) + (R47)*(IF((YEAR(D47)+6)&lt;YEAR(E47),0,IF((YEAR(D47)+6)&gt;YEAR(E47),1,(12-MONTH(E47)+1)/12))))-(IF((((K47)*(IF(M47="",L47,IFERROR(IF(INDEX(Variablen!$I:$AT, MATCH(M47, Variablen!$A:$A, 0), MATCH((YEAR(D47)+6), Variablen!$I$3:$AT$3, 0))="",L47,INDEX(Variablen!$I:$AT, MATCH(M47, Variablen!$A:$A, 0), MATCH((YEAR(D47)+6), Variablen!$I$3:$AT$3, 0))),L47)))*(IF((YEAR(D47)+6)&lt;YEAR(E47),0,IF((YEAR(D47)+6)&gt;YEAR(E47),1,(12-MONTH(E47)+1)/12))) + (Q47)*(IF((YEAR(D47)+6)&lt;YEAR(E47),0,IF((YEAR(D47)+6)&gt;YEAR(E47),1,(12-MONTH(E47)+1)/12))))-((P47)*(IF((YEAR(D47)+6)&lt;YEAR(E47),0,IF((YEAR(D47)+6)&gt;YEAR(E47),1,(12-MONTH(E47)+1)/12))) + (R47)*(IF((YEAR(D47)+6)&lt;YEAR(E47),0,IF((YEAR(D47)+6)&gt;YEAR(E47),1,(12-MONTH(E47)+1)/12))))-(IF(OR(N47="",N47&lt;=0),0,(O47/N47)*(IF(OR(N47="",N47&lt;=0),0,IF((YEAR(D47)+6)&lt;YEAR(E47),0,IF((YEAR(D47)+6)&gt;=YEAR(E47)+N47,0,IF((YEAR(D47)+6)=YEAR(E47),(12-MONTH(E47)+1)/12,1))))))))&gt;0,(((K47)*(IF(M47="",L47,IFERROR(IF(INDEX(Variablen!$I:$AT, MATCH(M47, Variablen!$A:$A, 0), MATCH((YEAR(D47)+6), Variablen!$I$3:$AT$3, 0))="",L47,INDEX(Variablen!$I:$AT, MATCH(M47, Variablen!$A:$A, 0), MATCH((YEAR(D47)+6), Variablen!$I$3:$AT$3, 0))),L47)))*(IF((YEAR(D47)+6)&lt;YEAR(E47),0,IF((YEAR(D47)+6)&gt;YEAR(E47),1,(12-MONTH(E47)+1)/12))) + (Q47)*(IF((YEAR(D47)+6)&lt;YEAR(E47),0,IF((YEAR(D47)+6)&gt;YEAR(E47),1,(12-MONTH(E47)+1)/12))))-((P47)*(IF((YEAR(D47)+6)&lt;YEAR(E47),0,IF((YEAR(D47)+6)&gt;YEAR(E47),1,(12-MONTH(E47)+1)/12))) + (R47)*(IF((YEAR(D47)+6)&lt;YEAR(E47),0,IF((YEAR(D47)+6)&gt;YEAR(E47),1,(12-MONTH(E47)+1)/12))))-(IF(OR(N47="",N47&lt;=0),0,(O47/N47)*(IF(OR(N47="",N47&lt;=0),0,IF((YEAR(D47)+6)&lt;YEAR(E47),0,IF((YEAR(D47)+6)&gt;=YEAR(E47)+N47,0,IF((YEAR(D47)+6)=YEAR(E47),(12-MONTH(E47)+1)/12,1))))))))*TaxRate,0))-IF(6=0,O47,0))</f>
        <v/>
      </c>
      <c r="Z47" s="29">
        <f>IF(A47="","",((K47)*(IF(M47="",L47,IFERROR(IF(INDEX(Variablen!$I:$AT, MATCH(M47, Variablen!$A:$A, 0), MATCH((YEAR(D47)+7), Variablen!$I$3:$AT$3, 0))="",L47,INDEX(Variablen!$I:$AT, MATCH(M47, Variablen!$A:$A, 0), MATCH((YEAR(D47)+7), Variablen!$I$3:$AT$3, 0))),L47)))*(IF((YEAR(D47)+7)&lt;YEAR(E47),0,IF((YEAR(D47)+7)&gt;YEAR(E47),1,(12-MONTH(E47)+1)/12))) + (Q47)*(IF((YEAR(D47)+7)&lt;YEAR(E47),0,IF((YEAR(D47)+7)&gt;YEAR(E47),1,(12-MONTH(E47)+1)/12))))-((P47)*(IF((YEAR(D47)+7)&lt;YEAR(E47),0,IF((YEAR(D47)+7)&gt;YEAR(E47),1,(12-MONTH(E47)+1)/12))) + (R47)*(IF((YEAR(D47)+7)&lt;YEAR(E47),0,IF((YEAR(D47)+7)&gt;YEAR(E47),1,(12-MONTH(E47)+1)/12))))-(IF((((K47)*(IF(M47="",L47,IFERROR(IF(INDEX(Variablen!$I:$AT, MATCH(M47, Variablen!$A:$A, 0), MATCH((YEAR(D47)+7), Variablen!$I$3:$AT$3, 0))="",L47,INDEX(Variablen!$I:$AT, MATCH(M47, Variablen!$A:$A, 0), MATCH((YEAR(D47)+7), Variablen!$I$3:$AT$3, 0))),L47)))*(IF((YEAR(D47)+7)&lt;YEAR(E47),0,IF((YEAR(D47)+7)&gt;YEAR(E47),1,(12-MONTH(E47)+1)/12))) + (Q47)*(IF((YEAR(D47)+7)&lt;YEAR(E47),0,IF((YEAR(D47)+7)&gt;YEAR(E47),1,(12-MONTH(E47)+1)/12))))-((P47)*(IF((YEAR(D47)+7)&lt;YEAR(E47),0,IF((YEAR(D47)+7)&gt;YEAR(E47),1,(12-MONTH(E47)+1)/12))) + (R47)*(IF((YEAR(D47)+7)&lt;YEAR(E47),0,IF((YEAR(D47)+7)&gt;YEAR(E47),1,(12-MONTH(E47)+1)/12))))-(IF(OR(N47="",N47&lt;=0),0,(O47/N47)*(IF(OR(N47="",N47&lt;=0),0,IF((YEAR(D47)+7)&lt;YEAR(E47),0,IF((YEAR(D47)+7)&gt;=YEAR(E47)+N47,0,IF((YEAR(D47)+7)=YEAR(E47),(12-MONTH(E47)+1)/12,1))))))))&gt;0,(((K47)*(IF(M47="",L47,IFERROR(IF(INDEX(Variablen!$I:$AT, MATCH(M47, Variablen!$A:$A, 0), MATCH((YEAR(D47)+7), Variablen!$I$3:$AT$3, 0))="",L47,INDEX(Variablen!$I:$AT, MATCH(M47, Variablen!$A:$A, 0), MATCH((YEAR(D47)+7), Variablen!$I$3:$AT$3, 0))),L47)))*(IF((YEAR(D47)+7)&lt;YEAR(E47),0,IF((YEAR(D47)+7)&gt;YEAR(E47),1,(12-MONTH(E47)+1)/12))) + (Q47)*(IF((YEAR(D47)+7)&lt;YEAR(E47),0,IF((YEAR(D47)+7)&gt;YEAR(E47),1,(12-MONTH(E47)+1)/12))))-((P47)*(IF((YEAR(D47)+7)&lt;YEAR(E47),0,IF((YEAR(D47)+7)&gt;YEAR(E47),1,(12-MONTH(E47)+1)/12))) + (R47)*(IF((YEAR(D47)+7)&lt;YEAR(E47),0,IF((YEAR(D47)+7)&gt;YEAR(E47),1,(12-MONTH(E47)+1)/12))))-(IF(OR(N47="",N47&lt;=0),0,(O47/N47)*(IF(OR(N47="",N47&lt;=0),0,IF((YEAR(D47)+7)&lt;YEAR(E47),0,IF((YEAR(D47)+7)&gt;=YEAR(E47)+N47,0,IF((YEAR(D47)+7)=YEAR(E47),(12-MONTH(E47)+1)/12,1))))))))*TaxRate,0))-IF(7=0,O47,0))</f>
        <v/>
      </c>
      <c r="AA47" s="29">
        <f>IF(A47="","",((K47)*(IF(M47="",L47,IFERROR(IF(INDEX(Variablen!$I:$AT, MATCH(M47, Variablen!$A:$A, 0), MATCH((YEAR(D47)+8), Variablen!$I$3:$AT$3, 0))="",L47,INDEX(Variablen!$I:$AT, MATCH(M47, Variablen!$A:$A, 0), MATCH((YEAR(D47)+8), Variablen!$I$3:$AT$3, 0))),L47)))*(IF((YEAR(D47)+8)&lt;YEAR(E47),0,IF((YEAR(D47)+8)&gt;YEAR(E47),1,(12-MONTH(E47)+1)/12))) + (Q47)*(IF((YEAR(D47)+8)&lt;YEAR(E47),0,IF((YEAR(D47)+8)&gt;YEAR(E47),1,(12-MONTH(E47)+1)/12))))-((P47)*(IF((YEAR(D47)+8)&lt;YEAR(E47),0,IF((YEAR(D47)+8)&gt;YEAR(E47),1,(12-MONTH(E47)+1)/12))) + (R47)*(IF((YEAR(D47)+8)&lt;YEAR(E47),0,IF((YEAR(D47)+8)&gt;YEAR(E47),1,(12-MONTH(E47)+1)/12))))-(IF((((K47)*(IF(M47="",L47,IFERROR(IF(INDEX(Variablen!$I:$AT, MATCH(M47, Variablen!$A:$A, 0), MATCH((YEAR(D47)+8), Variablen!$I$3:$AT$3, 0))="",L47,INDEX(Variablen!$I:$AT, MATCH(M47, Variablen!$A:$A, 0), MATCH((YEAR(D47)+8), Variablen!$I$3:$AT$3, 0))),L47)))*(IF((YEAR(D47)+8)&lt;YEAR(E47),0,IF((YEAR(D47)+8)&gt;YEAR(E47),1,(12-MONTH(E47)+1)/12))) + (Q47)*(IF((YEAR(D47)+8)&lt;YEAR(E47),0,IF((YEAR(D47)+8)&gt;YEAR(E47),1,(12-MONTH(E47)+1)/12))))-((P47)*(IF((YEAR(D47)+8)&lt;YEAR(E47),0,IF((YEAR(D47)+8)&gt;YEAR(E47),1,(12-MONTH(E47)+1)/12))) + (R47)*(IF((YEAR(D47)+8)&lt;YEAR(E47),0,IF((YEAR(D47)+8)&gt;YEAR(E47),1,(12-MONTH(E47)+1)/12))))-(IF(OR(N47="",N47&lt;=0),0,(O47/N47)*(IF(OR(N47="",N47&lt;=0),0,IF((YEAR(D47)+8)&lt;YEAR(E47),0,IF((YEAR(D47)+8)&gt;=YEAR(E47)+N47,0,IF((YEAR(D47)+8)=YEAR(E47),(12-MONTH(E47)+1)/12,1))))))))&gt;0,(((K47)*(IF(M47="",L47,IFERROR(IF(INDEX(Variablen!$I:$AT, MATCH(M47, Variablen!$A:$A, 0), MATCH((YEAR(D47)+8), Variablen!$I$3:$AT$3, 0))="",L47,INDEX(Variablen!$I:$AT, MATCH(M47, Variablen!$A:$A, 0), MATCH((YEAR(D47)+8), Variablen!$I$3:$AT$3, 0))),L47)))*(IF((YEAR(D47)+8)&lt;YEAR(E47),0,IF((YEAR(D47)+8)&gt;YEAR(E47),1,(12-MONTH(E47)+1)/12))) + (Q47)*(IF((YEAR(D47)+8)&lt;YEAR(E47),0,IF((YEAR(D47)+8)&gt;YEAR(E47),1,(12-MONTH(E47)+1)/12))))-((P47)*(IF((YEAR(D47)+8)&lt;YEAR(E47),0,IF((YEAR(D47)+8)&gt;YEAR(E47),1,(12-MONTH(E47)+1)/12))) + (R47)*(IF((YEAR(D47)+8)&lt;YEAR(E47),0,IF((YEAR(D47)+8)&gt;YEAR(E47),1,(12-MONTH(E47)+1)/12))))-(IF(OR(N47="",N47&lt;=0),0,(O47/N47)*(IF(OR(N47="",N47&lt;=0),0,IF((YEAR(D47)+8)&lt;YEAR(E47),0,IF((YEAR(D47)+8)&gt;=YEAR(E47)+N47,0,IF((YEAR(D47)+8)=YEAR(E47),(12-MONTH(E47)+1)/12,1))))))))*TaxRate,0))-IF(8=0,O47,0))</f>
        <v/>
      </c>
      <c r="AB47" s="29">
        <f>IF(A47="","",((K47)*(IF(M47="",L47,IFERROR(IF(INDEX(Variablen!$I:$AT, MATCH(M47, Variablen!$A:$A, 0), MATCH((YEAR(D47)+9), Variablen!$I$3:$AT$3, 0))="",L47,INDEX(Variablen!$I:$AT, MATCH(M47, Variablen!$A:$A, 0), MATCH((YEAR(D47)+9), Variablen!$I$3:$AT$3, 0))),L47)))*(IF((YEAR(D47)+9)&lt;YEAR(E47),0,IF((YEAR(D47)+9)&gt;YEAR(E47),1,(12-MONTH(E47)+1)/12))) + (Q47)*(IF((YEAR(D47)+9)&lt;YEAR(E47),0,IF((YEAR(D47)+9)&gt;YEAR(E47),1,(12-MONTH(E47)+1)/12))))-((P47)*(IF((YEAR(D47)+9)&lt;YEAR(E47),0,IF((YEAR(D47)+9)&gt;YEAR(E47),1,(12-MONTH(E47)+1)/12))) + (R47)*(IF((YEAR(D47)+9)&lt;YEAR(E47),0,IF((YEAR(D47)+9)&gt;YEAR(E47),1,(12-MONTH(E47)+1)/12))))-(IF((((K47)*(IF(M47="",L47,IFERROR(IF(INDEX(Variablen!$I:$AT, MATCH(M47, Variablen!$A:$A, 0), MATCH((YEAR(D47)+9), Variablen!$I$3:$AT$3, 0))="",L47,INDEX(Variablen!$I:$AT, MATCH(M47, Variablen!$A:$A, 0), MATCH((YEAR(D47)+9), Variablen!$I$3:$AT$3, 0))),L47)))*(IF((YEAR(D47)+9)&lt;YEAR(E47),0,IF((YEAR(D47)+9)&gt;YEAR(E47),1,(12-MONTH(E47)+1)/12))) + (Q47)*(IF((YEAR(D47)+9)&lt;YEAR(E47),0,IF((YEAR(D47)+9)&gt;YEAR(E47),1,(12-MONTH(E47)+1)/12))))-((P47)*(IF((YEAR(D47)+9)&lt;YEAR(E47),0,IF((YEAR(D47)+9)&gt;YEAR(E47),1,(12-MONTH(E47)+1)/12))) + (R47)*(IF((YEAR(D47)+9)&lt;YEAR(E47),0,IF((YEAR(D47)+9)&gt;YEAR(E47),1,(12-MONTH(E47)+1)/12))))-(IF(OR(N47="",N47&lt;=0),0,(O47/N47)*(IF(OR(N47="",N47&lt;=0),0,IF((YEAR(D47)+9)&lt;YEAR(E47),0,IF((YEAR(D47)+9)&gt;=YEAR(E47)+N47,0,IF((YEAR(D47)+9)=YEAR(E47),(12-MONTH(E47)+1)/12,1))))))))&gt;0,(((K47)*(IF(M47="",L47,IFERROR(IF(INDEX(Variablen!$I:$AT, MATCH(M47, Variablen!$A:$A, 0), MATCH((YEAR(D47)+9), Variablen!$I$3:$AT$3, 0))="",L47,INDEX(Variablen!$I:$AT, MATCH(M47, Variablen!$A:$A, 0), MATCH((YEAR(D47)+9), Variablen!$I$3:$AT$3, 0))),L47)))*(IF((YEAR(D47)+9)&lt;YEAR(E47),0,IF((YEAR(D47)+9)&gt;YEAR(E47),1,(12-MONTH(E47)+1)/12))) + (Q47)*(IF((YEAR(D47)+9)&lt;YEAR(E47),0,IF((YEAR(D47)+9)&gt;YEAR(E47),1,(12-MONTH(E47)+1)/12))))-((P47)*(IF((YEAR(D47)+9)&lt;YEAR(E47),0,IF((YEAR(D47)+9)&gt;YEAR(E47),1,(12-MONTH(E47)+1)/12))) + (R47)*(IF((YEAR(D47)+9)&lt;YEAR(E47),0,IF((YEAR(D47)+9)&gt;YEAR(E47),1,(12-MONTH(E47)+1)/12))))-(IF(OR(N47="",N47&lt;=0),0,(O47/N47)*(IF(OR(N47="",N47&lt;=0),0,IF((YEAR(D47)+9)&lt;YEAR(E47),0,IF((YEAR(D47)+9)&gt;=YEAR(E47)+N47,0,IF((YEAR(D47)+9)=YEAR(E47),(12-MONTH(E47)+1)/12,1))))))))*TaxRate,0))-IF(9=0,O47,0))</f>
        <v/>
      </c>
      <c r="AC47" s="29">
        <f>IF(A47="","",((K47)*(IF(M47="",L47,IFERROR(IF(INDEX(Variablen!$I:$AT, MATCH(M47, Variablen!$A:$A, 0), MATCH((YEAR(D47)+10), Variablen!$I$3:$AT$3, 0))="",L47,INDEX(Variablen!$I:$AT, MATCH(M47, Variablen!$A:$A, 0), MATCH((YEAR(D47)+10), Variablen!$I$3:$AT$3, 0))),L47)))*(IF((YEAR(D47)+10)&lt;YEAR(E47),0,IF((YEAR(D47)+10)&gt;YEAR(E47),1,(12-MONTH(E47)+1)/12))) + (Q47)*(IF((YEAR(D47)+10)&lt;YEAR(E47),0,IF((YEAR(D47)+10)&gt;YEAR(E47),1,(12-MONTH(E47)+1)/12))))-((P47)*(IF((YEAR(D47)+10)&lt;YEAR(E47),0,IF((YEAR(D47)+10)&gt;YEAR(E47),1,(12-MONTH(E47)+1)/12))) + (R47)*(IF((YEAR(D47)+10)&lt;YEAR(E47),0,IF((YEAR(D47)+10)&gt;YEAR(E47),1,(12-MONTH(E47)+1)/12))))-(IF((((K47)*(IF(M47="",L47,IFERROR(IF(INDEX(Variablen!$I:$AT, MATCH(M47, Variablen!$A:$A, 0), MATCH((YEAR(D47)+10), Variablen!$I$3:$AT$3, 0))="",L47,INDEX(Variablen!$I:$AT, MATCH(M47, Variablen!$A:$A, 0), MATCH((YEAR(D47)+10), Variablen!$I$3:$AT$3, 0))),L47)))*(IF((YEAR(D47)+10)&lt;YEAR(E47),0,IF((YEAR(D47)+10)&gt;YEAR(E47),1,(12-MONTH(E47)+1)/12))) + (Q47)*(IF((YEAR(D47)+10)&lt;YEAR(E47),0,IF((YEAR(D47)+10)&gt;YEAR(E47),1,(12-MONTH(E47)+1)/12))))-((P47)*(IF((YEAR(D47)+10)&lt;YEAR(E47),0,IF((YEAR(D47)+10)&gt;YEAR(E47),1,(12-MONTH(E47)+1)/12))) + (R47)*(IF((YEAR(D47)+10)&lt;YEAR(E47),0,IF((YEAR(D47)+10)&gt;YEAR(E47),1,(12-MONTH(E47)+1)/12))))-(IF(OR(N47="",N47&lt;=0),0,(O47/N47)*(IF(OR(N47="",N47&lt;=0),0,IF((YEAR(D47)+10)&lt;YEAR(E47),0,IF((YEAR(D47)+10)&gt;=YEAR(E47)+N47,0,IF((YEAR(D47)+10)=YEAR(E47),(12-MONTH(E47)+1)/12,1))))))))&gt;0,(((K47)*(IF(M47="",L47,IFERROR(IF(INDEX(Variablen!$I:$AT, MATCH(M47, Variablen!$A:$A, 0), MATCH((YEAR(D47)+10), Variablen!$I$3:$AT$3, 0))="",L47,INDEX(Variablen!$I:$AT, MATCH(M47, Variablen!$A:$A, 0), MATCH((YEAR(D47)+10), Variablen!$I$3:$AT$3, 0))),L47)))*(IF((YEAR(D47)+10)&lt;YEAR(E47),0,IF((YEAR(D47)+10)&gt;YEAR(E47),1,(12-MONTH(E47)+1)/12))) + (Q47)*(IF((YEAR(D47)+10)&lt;YEAR(E47),0,IF((YEAR(D47)+10)&gt;YEAR(E47),1,(12-MONTH(E47)+1)/12))))-((P47)*(IF((YEAR(D47)+10)&lt;YEAR(E47),0,IF((YEAR(D47)+10)&gt;YEAR(E47),1,(12-MONTH(E47)+1)/12))) + (R47)*(IF((YEAR(D47)+10)&lt;YEAR(E47),0,IF((YEAR(D47)+10)&gt;YEAR(E47),1,(12-MONTH(E47)+1)/12))))-(IF(OR(N47="",N47&lt;=0),0,(O47/N47)*(IF(OR(N47="",N47&lt;=0),0,IF((YEAR(D47)+10)&lt;YEAR(E47),0,IF((YEAR(D47)+10)&gt;=YEAR(E47)+N47,0,IF((YEAR(D47)+10)=YEAR(E47),(12-MONTH(E47)+1)/12,1))))))))*TaxRate,0))-IF(10=0,O47,0))</f>
        <v/>
      </c>
      <c r="AD47" s="29">
        <f>IF(A47="","",((K47)*(IF(M47="",L47,IFERROR(IF(INDEX(Variablen!$I:$AT, MATCH(M47, Variablen!$A:$A, 0), MATCH((YEAR(D47)+11), Variablen!$I$3:$AT$3, 0))="",L47,INDEX(Variablen!$I:$AT, MATCH(M47, Variablen!$A:$A, 0), MATCH((YEAR(D47)+11), Variablen!$I$3:$AT$3, 0))),L47)))*(IF((YEAR(D47)+11)&lt;YEAR(E47),0,IF((YEAR(D47)+11)&gt;YEAR(E47),1,(12-MONTH(E47)+1)/12))) + (Q47)*(IF((YEAR(D47)+11)&lt;YEAR(E47),0,IF((YEAR(D47)+11)&gt;YEAR(E47),1,(12-MONTH(E47)+1)/12))))-((P47)*(IF((YEAR(D47)+11)&lt;YEAR(E47),0,IF((YEAR(D47)+11)&gt;YEAR(E47),1,(12-MONTH(E47)+1)/12))) + (R47)*(IF((YEAR(D47)+11)&lt;YEAR(E47),0,IF((YEAR(D47)+11)&gt;YEAR(E47),1,(12-MONTH(E47)+1)/12))))-(IF((((K47)*(IF(M47="",L47,IFERROR(IF(INDEX(Variablen!$I:$AT, MATCH(M47, Variablen!$A:$A, 0), MATCH((YEAR(D47)+11), Variablen!$I$3:$AT$3, 0))="",L47,INDEX(Variablen!$I:$AT, MATCH(M47, Variablen!$A:$A, 0), MATCH((YEAR(D47)+11), Variablen!$I$3:$AT$3, 0))),L47)))*(IF((YEAR(D47)+11)&lt;YEAR(E47),0,IF((YEAR(D47)+11)&gt;YEAR(E47),1,(12-MONTH(E47)+1)/12))) + (Q47)*(IF((YEAR(D47)+11)&lt;YEAR(E47),0,IF((YEAR(D47)+11)&gt;YEAR(E47),1,(12-MONTH(E47)+1)/12))))-((P47)*(IF((YEAR(D47)+11)&lt;YEAR(E47),0,IF((YEAR(D47)+11)&gt;YEAR(E47),1,(12-MONTH(E47)+1)/12))) + (R47)*(IF((YEAR(D47)+11)&lt;YEAR(E47),0,IF((YEAR(D47)+11)&gt;YEAR(E47),1,(12-MONTH(E47)+1)/12))))-(IF(OR(N47="",N47&lt;=0),0,(O47/N47)*(IF(OR(N47="",N47&lt;=0),0,IF((YEAR(D47)+11)&lt;YEAR(E47),0,IF((YEAR(D47)+11)&gt;=YEAR(E47)+N47,0,IF((YEAR(D47)+11)=YEAR(E47),(12-MONTH(E47)+1)/12,1))))))))&gt;0,(((K47)*(IF(M47="",L47,IFERROR(IF(INDEX(Variablen!$I:$AT, MATCH(M47, Variablen!$A:$A, 0), MATCH((YEAR(D47)+11), Variablen!$I$3:$AT$3, 0))="",L47,INDEX(Variablen!$I:$AT, MATCH(M47, Variablen!$A:$A, 0), MATCH((YEAR(D47)+11), Variablen!$I$3:$AT$3, 0))),L47)))*(IF((YEAR(D47)+11)&lt;YEAR(E47),0,IF((YEAR(D47)+11)&gt;YEAR(E47),1,(12-MONTH(E47)+1)/12))) + (Q47)*(IF((YEAR(D47)+11)&lt;YEAR(E47),0,IF((YEAR(D47)+11)&gt;YEAR(E47),1,(12-MONTH(E47)+1)/12))))-((P47)*(IF((YEAR(D47)+11)&lt;YEAR(E47),0,IF((YEAR(D47)+11)&gt;YEAR(E47),1,(12-MONTH(E47)+1)/12))) + (R47)*(IF((YEAR(D47)+11)&lt;YEAR(E47),0,IF((YEAR(D47)+11)&gt;YEAR(E47),1,(12-MONTH(E47)+1)/12))))-(IF(OR(N47="",N47&lt;=0),0,(O47/N47)*(IF(OR(N47="",N47&lt;=0),0,IF((YEAR(D47)+11)&lt;YEAR(E47),0,IF((YEAR(D47)+11)&gt;=YEAR(E47)+N47,0,IF((YEAR(D47)+11)=YEAR(E47),(12-MONTH(E47)+1)/12,1))))))))*TaxRate,0))-IF(11=0,O47,0))</f>
        <v/>
      </c>
      <c r="AE47" s="29">
        <f>IF(A47="","",((K47)*(IF(M47="",L47,IFERROR(IF(INDEX(Variablen!$I:$AT, MATCH(M47, Variablen!$A:$A, 0), MATCH((YEAR(D47)+12), Variablen!$I$3:$AT$3, 0))="",L47,INDEX(Variablen!$I:$AT, MATCH(M47, Variablen!$A:$A, 0), MATCH((YEAR(D47)+12), Variablen!$I$3:$AT$3, 0))),L47)))*(IF((YEAR(D47)+12)&lt;YEAR(E47),0,IF((YEAR(D47)+12)&gt;YEAR(E47),1,(12-MONTH(E47)+1)/12))) + (Q47)*(IF((YEAR(D47)+12)&lt;YEAR(E47),0,IF((YEAR(D47)+12)&gt;YEAR(E47),1,(12-MONTH(E47)+1)/12))))-((P47)*(IF((YEAR(D47)+12)&lt;YEAR(E47),0,IF((YEAR(D47)+12)&gt;YEAR(E47),1,(12-MONTH(E47)+1)/12))) + (R47)*(IF((YEAR(D47)+12)&lt;YEAR(E47),0,IF((YEAR(D47)+12)&gt;YEAR(E47),1,(12-MONTH(E47)+1)/12))))-(IF((((K47)*(IF(M47="",L47,IFERROR(IF(INDEX(Variablen!$I:$AT, MATCH(M47, Variablen!$A:$A, 0), MATCH((YEAR(D47)+12), Variablen!$I$3:$AT$3, 0))="",L47,INDEX(Variablen!$I:$AT, MATCH(M47, Variablen!$A:$A, 0), MATCH((YEAR(D47)+12), Variablen!$I$3:$AT$3, 0))),L47)))*(IF((YEAR(D47)+12)&lt;YEAR(E47),0,IF((YEAR(D47)+12)&gt;YEAR(E47),1,(12-MONTH(E47)+1)/12))) + (Q47)*(IF((YEAR(D47)+12)&lt;YEAR(E47),0,IF((YEAR(D47)+12)&gt;YEAR(E47),1,(12-MONTH(E47)+1)/12))))-((P47)*(IF((YEAR(D47)+12)&lt;YEAR(E47),0,IF((YEAR(D47)+12)&gt;YEAR(E47),1,(12-MONTH(E47)+1)/12))) + (R47)*(IF((YEAR(D47)+12)&lt;YEAR(E47),0,IF((YEAR(D47)+12)&gt;YEAR(E47),1,(12-MONTH(E47)+1)/12))))-(IF(OR(N47="",N47&lt;=0),0,(O47/N47)*(IF(OR(N47="",N47&lt;=0),0,IF((YEAR(D47)+12)&lt;YEAR(E47),0,IF((YEAR(D47)+12)&gt;=YEAR(E47)+N47,0,IF((YEAR(D47)+12)=YEAR(E47),(12-MONTH(E47)+1)/12,1))))))))&gt;0,(((K47)*(IF(M47="",L47,IFERROR(IF(INDEX(Variablen!$I:$AT, MATCH(M47, Variablen!$A:$A, 0), MATCH((YEAR(D47)+12), Variablen!$I$3:$AT$3, 0))="",L47,INDEX(Variablen!$I:$AT, MATCH(M47, Variablen!$A:$A, 0), MATCH((YEAR(D47)+12), Variablen!$I$3:$AT$3, 0))),L47)))*(IF((YEAR(D47)+12)&lt;YEAR(E47),0,IF((YEAR(D47)+12)&gt;YEAR(E47),1,(12-MONTH(E47)+1)/12))) + (Q47)*(IF((YEAR(D47)+12)&lt;YEAR(E47),0,IF((YEAR(D47)+12)&gt;YEAR(E47),1,(12-MONTH(E47)+1)/12))))-((P47)*(IF((YEAR(D47)+12)&lt;YEAR(E47),0,IF((YEAR(D47)+12)&gt;YEAR(E47),1,(12-MONTH(E47)+1)/12))) + (R47)*(IF((YEAR(D47)+12)&lt;YEAR(E47),0,IF((YEAR(D47)+12)&gt;YEAR(E47),1,(12-MONTH(E47)+1)/12))))-(IF(OR(N47="",N47&lt;=0),0,(O47/N47)*(IF(OR(N47="",N47&lt;=0),0,IF((YEAR(D47)+12)&lt;YEAR(E47),0,IF((YEAR(D47)+12)&gt;=YEAR(E47)+N47,0,IF((YEAR(D47)+12)=YEAR(E47),(12-MONTH(E47)+1)/12,1))))))))*TaxRate,0))-IF(12=0,O47,0))</f>
        <v/>
      </c>
      <c r="AF47" s="29">
        <f>IF(A47="","",((K47)*(IF(M47="",L47,IFERROR(IF(INDEX(Variablen!$I:$AT, MATCH(M47, Variablen!$A:$A, 0), MATCH((YEAR(D47)+13), Variablen!$I$3:$AT$3, 0))="",L47,INDEX(Variablen!$I:$AT, MATCH(M47, Variablen!$A:$A, 0), MATCH((YEAR(D47)+13), Variablen!$I$3:$AT$3, 0))),L47)))*(IF((YEAR(D47)+13)&lt;YEAR(E47),0,IF((YEAR(D47)+13)&gt;YEAR(E47),1,(12-MONTH(E47)+1)/12))) + (Q47)*(IF((YEAR(D47)+13)&lt;YEAR(E47),0,IF((YEAR(D47)+13)&gt;YEAR(E47),1,(12-MONTH(E47)+1)/12))))-((P47)*(IF((YEAR(D47)+13)&lt;YEAR(E47),0,IF((YEAR(D47)+13)&gt;YEAR(E47),1,(12-MONTH(E47)+1)/12))) + (R47)*(IF((YEAR(D47)+13)&lt;YEAR(E47),0,IF((YEAR(D47)+13)&gt;YEAR(E47),1,(12-MONTH(E47)+1)/12))))-(IF((((K47)*(IF(M47="",L47,IFERROR(IF(INDEX(Variablen!$I:$AT, MATCH(M47, Variablen!$A:$A, 0), MATCH((YEAR(D47)+13), Variablen!$I$3:$AT$3, 0))="",L47,INDEX(Variablen!$I:$AT, MATCH(M47, Variablen!$A:$A, 0), MATCH((YEAR(D47)+13), Variablen!$I$3:$AT$3, 0))),L47)))*(IF((YEAR(D47)+13)&lt;YEAR(E47),0,IF((YEAR(D47)+13)&gt;YEAR(E47),1,(12-MONTH(E47)+1)/12))) + (Q47)*(IF((YEAR(D47)+13)&lt;YEAR(E47),0,IF((YEAR(D47)+13)&gt;YEAR(E47),1,(12-MONTH(E47)+1)/12))))-((P47)*(IF((YEAR(D47)+13)&lt;YEAR(E47),0,IF((YEAR(D47)+13)&gt;YEAR(E47),1,(12-MONTH(E47)+1)/12))) + (R47)*(IF((YEAR(D47)+13)&lt;YEAR(E47),0,IF((YEAR(D47)+13)&gt;YEAR(E47),1,(12-MONTH(E47)+1)/12))))-(IF(OR(N47="",N47&lt;=0),0,(O47/N47)*(IF(OR(N47="",N47&lt;=0),0,IF((YEAR(D47)+13)&lt;YEAR(E47),0,IF((YEAR(D47)+13)&gt;=YEAR(E47)+N47,0,IF((YEAR(D47)+13)=YEAR(E47),(12-MONTH(E47)+1)/12,1))))))))&gt;0,(((K47)*(IF(M47="",L47,IFERROR(IF(INDEX(Variablen!$I:$AT, MATCH(M47, Variablen!$A:$A, 0), MATCH((YEAR(D47)+13), Variablen!$I$3:$AT$3, 0))="",L47,INDEX(Variablen!$I:$AT, MATCH(M47, Variablen!$A:$A, 0), MATCH((YEAR(D47)+13), Variablen!$I$3:$AT$3, 0))),L47)))*(IF((YEAR(D47)+13)&lt;YEAR(E47),0,IF((YEAR(D47)+13)&gt;YEAR(E47),1,(12-MONTH(E47)+1)/12))) + (Q47)*(IF((YEAR(D47)+13)&lt;YEAR(E47),0,IF((YEAR(D47)+13)&gt;YEAR(E47),1,(12-MONTH(E47)+1)/12))))-((P47)*(IF((YEAR(D47)+13)&lt;YEAR(E47),0,IF((YEAR(D47)+13)&gt;YEAR(E47),1,(12-MONTH(E47)+1)/12))) + (R47)*(IF((YEAR(D47)+13)&lt;YEAR(E47),0,IF((YEAR(D47)+13)&gt;YEAR(E47),1,(12-MONTH(E47)+1)/12))))-(IF(OR(N47="",N47&lt;=0),0,(O47/N47)*(IF(OR(N47="",N47&lt;=0),0,IF((YEAR(D47)+13)&lt;YEAR(E47),0,IF((YEAR(D47)+13)&gt;=YEAR(E47)+N47,0,IF((YEAR(D47)+13)=YEAR(E47),(12-MONTH(E47)+1)/12,1))))))))*TaxRate,0))-IF(13=0,O47,0))</f>
        <v/>
      </c>
      <c r="AG47" s="29">
        <f>IF(A47="","",((K47)*(IF(M47="",L47,IFERROR(IF(INDEX(Variablen!$I:$AT, MATCH(M47, Variablen!$A:$A, 0), MATCH((YEAR(D47)+14), Variablen!$I$3:$AT$3, 0))="",L47,INDEX(Variablen!$I:$AT, MATCH(M47, Variablen!$A:$A, 0), MATCH((YEAR(D47)+14), Variablen!$I$3:$AT$3, 0))),L47)))*(IF((YEAR(D47)+14)&lt;YEAR(E47),0,IF((YEAR(D47)+14)&gt;YEAR(E47),1,(12-MONTH(E47)+1)/12))) + (Q47)*(IF((YEAR(D47)+14)&lt;YEAR(E47),0,IF((YEAR(D47)+14)&gt;YEAR(E47),1,(12-MONTH(E47)+1)/12))))-((P47)*(IF((YEAR(D47)+14)&lt;YEAR(E47),0,IF((YEAR(D47)+14)&gt;YEAR(E47),1,(12-MONTH(E47)+1)/12))) + (R47)*(IF((YEAR(D47)+14)&lt;YEAR(E47),0,IF((YEAR(D47)+14)&gt;YEAR(E47),1,(12-MONTH(E47)+1)/12))))-(IF((((K47)*(IF(M47="",L47,IFERROR(IF(INDEX(Variablen!$I:$AT, MATCH(M47, Variablen!$A:$A, 0), MATCH((YEAR(D47)+14), Variablen!$I$3:$AT$3, 0))="",L47,INDEX(Variablen!$I:$AT, MATCH(M47, Variablen!$A:$A, 0), MATCH((YEAR(D47)+14), Variablen!$I$3:$AT$3, 0))),L47)))*(IF((YEAR(D47)+14)&lt;YEAR(E47),0,IF((YEAR(D47)+14)&gt;YEAR(E47),1,(12-MONTH(E47)+1)/12))) + (Q47)*(IF((YEAR(D47)+14)&lt;YEAR(E47),0,IF((YEAR(D47)+14)&gt;YEAR(E47),1,(12-MONTH(E47)+1)/12))))-((P47)*(IF((YEAR(D47)+14)&lt;YEAR(E47),0,IF((YEAR(D47)+14)&gt;YEAR(E47),1,(12-MONTH(E47)+1)/12))) + (R47)*(IF((YEAR(D47)+14)&lt;YEAR(E47),0,IF((YEAR(D47)+14)&gt;YEAR(E47),1,(12-MONTH(E47)+1)/12))))-(IF(OR(N47="",N47&lt;=0),0,(O47/N47)*(IF(OR(N47="",N47&lt;=0),0,IF((YEAR(D47)+14)&lt;YEAR(E47),0,IF((YEAR(D47)+14)&gt;=YEAR(E47)+N47,0,IF((YEAR(D47)+14)=YEAR(E47),(12-MONTH(E47)+1)/12,1))))))))&gt;0,(((K47)*(IF(M47="",L47,IFERROR(IF(INDEX(Variablen!$I:$AT, MATCH(M47, Variablen!$A:$A, 0), MATCH((YEAR(D47)+14), Variablen!$I$3:$AT$3, 0))="",L47,INDEX(Variablen!$I:$AT, MATCH(M47, Variablen!$A:$A, 0), MATCH((YEAR(D47)+14), Variablen!$I$3:$AT$3, 0))),L47)))*(IF((YEAR(D47)+14)&lt;YEAR(E47),0,IF((YEAR(D47)+14)&gt;YEAR(E47),1,(12-MONTH(E47)+1)/12))) + (Q47)*(IF((YEAR(D47)+14)&lt;YEAR(E47),0,IF((YEAR(D47)+14)&gt;YEAR(E47),1,(12-MONTH(E47)+1)/12))))-((P47)*(IF((YEAR(D47)+14)&lt;YEAR(E47),0,IF((YEAR(D47)+14)&gt;YEAR(E47),1,(12-MONTH(E47)+1)/12))) + (R47)*(IF((YEAR(D47)+14)&lt;YEAR(E47),0,IF((YEAR(D47)+14)&gt;YEAR(E47),1,(12-MONTH(E47)+1)/12))))-(IF(OR(N47="",N47&lt;=0),0,(O47/N47)*(IF(OR(N47="",N47&lt;=0),0,IF((YEAR(D47)+14)&lt;YEAR(E47),0,IF((YEAR(D47)+14)&gt;=YEAR(E47)+N47,0,IF((YEAR(D47)+14)=YEAR(E47),(12-MONTH(E47)+1)/12,1))))))))*TaxRate,0))-IF(14=0,O47,0))</f>
        <v/>
      </c>
      <c r="AH47" s="29">
        <f>IF(A47="","",((K47)*(IF(M47="",L47,IFERROR(IF(INDEX(Variablen!$I:$AT, MATCH(M47, Variablen!$A:$A, 0), MATCH((YEAR(D47)+15), Variablen!$I$3:$AT$3, 0))="",L47,INDEX(Variablen!$I:$AT, MATCH(M47, Variablen!$A:$A, 0), MATCH((YEAR(D47)+15), Variablen!$I$3:$AT$3, 0))),L47)))*(IF((YEAR(D47)+15)&lt;YEAR(E47),0,IF((YEAR(D47)+15)&gt;YEAR(E47),1,(12-MONTH(E47)+1)/12))) + (Q47)*(IF((YEAR(D47)+15)&lt;YEAR(E47),0,IF((YEAR(D47)+15)&gt;YEAR(E47),1,(12-MONTH(E47)+1)/12))))-((P47)*(IF((YEAR(D47)+15)&lt;YEAR(E47),0,IF((YEAR(D47)+15)&gt;YEAR(E47),1,(12-MONTH(E47)+1)/12))) + (R47)*(IF((YEAR(D47)+15)&lt;YEAR(E47),0,IF((YEAR(D47)+15)&gt;YEAR(E47),1,(12-MONTH(E47)+1)/12))))-(IF((((K47)*(IF(M47="",L47,IFERROR(IF(INDEX(Variablen!$I:$AT, MATCH(M47, Variablen!$A:$A, 0), MATCH((YEAR(D47)+15), Variablen!$I$3:$AT$3, 0))="",L47,INDEX(Variablen!$I:$AT, MATCH(M47, Variablen!$A:$A, 0), MATCH((YEAR(D47)+15), Variablen!$I$3:$AT$3, 0))),L47)))*(IF((YEAR(D47)+15)&lt;YEAR(E47),0,IF((YEAR(D47)+15)&gt;YEAR(E47),1,(12-MONTH(E47)+1)/12))) + (Q47)*(IF((YEAR(D47)+15)&lt;YEAR(E47),0,IF((YEAR(D47)+15)&gt;YEAR(E47),1,(12-MONTH(E47)+1)/12))))-((P47)*(IF((YEAR(D47)+15)&lt;YEAR(E47),0,IF((YEAR(D47)+15)&gt;YEAR(E47),1,(12-MONTH(E47)+1)/12))) + (R47)*(IF((YEAR(D47)+15)&lt;YEAR(E47),0,IF((YEAR(D47)+15)&gt;YEAR(E47),1,(12-MONTH(E47)+1)/12))))-(IF(OR(N47="",N47&lt;=0),0,(O47/N47)*(IF(OR(N47="",N47&lt;=0),0,IF((YEAR(D47)+15)&lt;YEAR(E47),0,IF((YEAR(D47)+15)&gt;=YEAR(E47)+N47,0,IF((YEAR(D47)+15)=YEAR(E47),(12-MONTH(E47)+1)/12,1))))))))&gt;0,(((K47)*(IF(M47="",L47,IFERROR(IF(INDEX(Variablen!$I:$AT, MATCH(M47, Variablen!$A:$A, 0), MATCH((YEAR(D47)+15), Variablen!$I$3:$AT$3, 0))="",L47,INDEX(Variablen!$I:$AT, MATCH(M47, Variablen!$A:$A, 0), MATCH((YEAR(D47)+15), Variablen!$I$3:$AT$3, 0))),L47)))*(IF((YEAR(D47)+15)&lt;YEAR(E47),0,IF((YEAR(D47)+15)&gt;YEAR(E47),1,(12-MONTH(E47)+1)/12))) + (Q47)*(IF((YEAR(D47)+15)&lt;YEAR(E47),0,IF((YEAR(D47)+15)&gt;YEAR(E47),1,(12-MONTH(E47)+1)/12))))-((P47)*(IF((YEAR(D47)+15)&lt;YEAR(E47),0,IF((YEAR(D47)+15)&gt;YEAR(E47),1,(12-MONTH(E47)+1)/12))) + (R47)*(IF((YEAR(D47)+15)&lt;YEAR(E47),0,IF((YEAR(D47)+15)&gt;YEAR(E47),1,(12-MONTH(E47)+1)/12))))-(IF(OR(N47="",N47&lt;=0),0,(O47/N47)*(IF(OR(N47="",N47&lt;=0),0,IF((YEAR(D47)+15)&lt;YEAR(E47),0,IF((YEAR(D47)+15)&gt;=YEAR(E47)+N47,0,IF((YEAR(D47)+15)=YEAR(E47),(12-MONTH(E47)+1)/12,1))))))))*TaxRate,0))-IF(15=0,O47,0))</f>
        <v/>
      </c>
      <c r="AI47" s="29">
        <f>IF(A47="","",((K47)*(IF(M47="",L47,IFERROR(IF(INDEX(Variablen!$I:$AT, MATCH(M47, Variablen!$A:$A, 0), MATCH((YEAR(D47)+16), Variablen!$I$3:$AT$3, 0))="",L47,INDEX(Variablen!$I:$AT, MATCH(M47, Variablen!$A:$A, 0), MATCH((YEAR(D47)+16), Variablen!$I$3:$AT$3, 0))),L47)))*(IF((YEAR(D47)+16)&lt;YEAR(E47),0,IF((YEAR(D47)+16)&gt;YEAR(E47),1,(12-MONTH(E47)+1)/12))) + (Q47)*(IF((YEAR(D47)+16)&lt;YEAR(E47),0,IF((YEAR(D47)+16)&gt;YEAR(E47),1,(12-MONTH(E47)+1)/12))))-((P47)*(IF((YEAR(D47)+16)&lt;YEAR(E47),0,IF((YEAR(D47)+16)&gt;YEAR(E47),1,(12-MONTH(E47)+1)/12))) + (R47)*(IF((YEAR(D47)+16)&lt;YEAR(E47),0,IF((YEAR(D47)+16)&gt;YEAR(E47),1,(12-MONTH(E47)+1)/12))))-(IF((((K47)*(IF(M47="",L47,IFERROR(IF(INDEX(Variablen!$I:$AT, MATCH(M47, Variablen!$A:$A, 0), MATCH((YEAR(D47)+16), Variablen!$I$3:$AT$3, 0))="",L47,INDEX(Variablen!$I:$AT, MATCH(M47, Variablen!$A:$A, 0), MATCH((YEAR(D47)+16), Variablen!$I$3:$AT$3, 0))),L47)))*(IF((YEAR(D47)+16)&lt;YEAR(E47),0,IF((YEAR(D47)+16)&gt;YEAR(E47),1,(12-MONTH(E47)+1)/12))) + (Q47)*(IF((YEAR(D47)+16)&lt;YEAR(E47),0,IF((YEAR(D47)+16)&gt;YEAR(E47),1,(12-MONTH(E47)+1)/12))))-((P47)*(IF((YEAR(D47)+16)&lt;YEAR(E47),0,IF((YEAR(D47)+16)&gt;YEAR(E47),1,(12-MONTH(E47)+1)/12))) + (R47)*(IF((YEAR(D47)+16)&lt;YEAR(E47),0,IF((YEAR(D47)+16)&gt;YEAR(E47),1,(12-MONTH(E47)+1)/12))))-(IF(OR(N47="",N47&lt;=0),0,(O47/N47)*(IF(OR(N47="",N47&lt;=0),0,IF((YEAR(D47)+16)&lt;YEAR(E47),0,IF((YEAR(D47)+16)&gt;=YEAR(E47)+N47,0,IF((YEAR(D47)+16)=YEAR(E47),(12-MONTH(E47)+1)/12,1))))))))&gt;0,(((K47)*(IF(M47="",L47,IFERROR(IF(INDEX(Variablen!$I:$AT, MATCH(M47, Variablen!$A:$A, 0), MATCH((YEAR(D47)+16), Variablen!$I$3:$AT$3, 0))="",L47,INDEX(Variablen!$I:$AT, MATCH(M47, Variablen!$A:$A, 0), MATCH((YEAR(D47)+16), Variablen!$I$3:$AT$3, 0))),L47)))*(IF((YEAR(D47)+16)&lt;YEAR(E47),0,IF((YEAR(D47)+16)&gt;YEAR(E47),1,(12-MONTH(E47)+1)/12))) + (Q47)*(IF((YEAR(D47)+16)&lt;YEAR(E47),0,IF((YEAR(D47)+16)&gt;YEAR(E47),1,(12-MONTH(E47)+1)/12))))-((P47)*(IF((YEAR(D47)+16)&lt;YEAR(E47),0,IF((YEAR(D47)+16)&gt;YEAR(E47),1,(12-MONTH(E47)+1)/12))) + (R47)*(IF((YEAR(D47)+16)&lt;YEAR(E47),0,IF((YEAR(D47)+16)&gt;YEAR(E47),1,(12-MONTH(E47)+1)/12))))-(IF(OR(N47="",N47&lt;=0),0,(O47/N47)*(IF(OR(N47="",N47&lt;=0),0,IF((YEAR(D47)+16)&lt;YEAR(E47),0,IF((YEAR(D47)+16)&gt;=YEAR(E47)+N47,0,IF((YEAR(D47)+16)=YEAR(E47),(12-MONTH(E47)+1)/12,1))))))))*TaxRate,0))-IF(16=0,O47,0))</f>
        <v/>
      </c>
      <c r="AJ47" s="29">
        <f>IF(A47="","",((K47)*(IF(M47="",L47,IFERROR(IF(INDEX(Variablen!$I:$AT, MATCH(M47, Variablen!$A:$A, 0), MATCH((YEAR(D47)+17), Variablen!$I$3:$AT$3, 0))="",L47,INDEX(Variablen!$I:$AT, MATCH(M47, Variablen!$A:$A, 0), MATCH((YEAR(D47)+17), Variablen!$I$3:$AT$3, 0))),L47)))*(IF((YEAR(D47)+17)&lt;YEAR(E47),0,IF((YEAR(D47)+17)&gt;YEAR(E47),1,(12-MONTH(E47)+1)/12))) + (Q47)*(IF((YEAR(D47)+17)&lt;YEAR(E47),0,IF((YEAR(D47)+17)&gt;YEAR(E47),1,(12-MONTH(E47)+1)/12))))-((P47)*(IF((YEAR(D47)+17)&lt;YEAR(E47),0,IF((YEAR(D47)+17)&gt;YEAR(E47),1,(12-MONTH(E47)+1)/12))) + (R47)*(IF((YEAR(D47)+17)&lt;YEAR(E47),0,IF((YEAR(D47)+17)&gt;YEAR(E47),1,(12-MONTH(E47)+1)/12))))-(IF((((K47)*(IF(M47="",L47,IFERROR(IF(INDEX(Variablen!$I:$AT, MATCH(M47, Variablen!$A:$A, 0), MATCH((YEAR(D47)+17), Variablen!$I$3:$AT$3, 0))="",L47,INDEX(Variablen!$I:$AT, MATCH(M47, Variablen!$A:$A, 0), MATCH((YEAR(D47)+17), Variablen!$I$3:$AT$3, 0))),L47)))*(IF((YEAR(D47)+17)&lt;YEAR(E47),0,IF((YEAR(D47)+17)&gt;YEAR(E47),1,(12-MONTH(E47)+1)/12))) + (Q47)*(IF((YEAR(D47)+17)&lt;YEAR(E47),0,IF((YEAR(D47)+17)&gt;YEAR(E47),1,(12-MONTH(E47)+1)/12))))-((P47)*(IF((YEAR(D47)+17)&lt;YEAR(E47),0,IF((YEAR(D47)+17)&gt;YEAR(E47),1,(12-MONTH(E47)+1)/12))) + (R47)*(IF((YEAR(D47)+17)&lt;YEAR(E47),0,IF((YEAR(D47)+17)&gt;YEAR(E47),1,(12-MONTH(E47)+1)/12))))-(IF(OR(N47="",N47&lt;=0),0,(O47/N47)*(IF(OR(N47="",N47&lt;=0),0,IF((YEAR(D47)+17)&lt;YEAR(E47),0,IF((YEAR(D47)+17)&gt;=YEAR(E47)+N47,0,IF((YEAR(D47)+17)=YEAR(E47),(12-MONTH(E47)+1)/12,1))))))))&gt;0,(((K47)*(IF(M47="",L47,IFERROR(IF(INDEX(Variablen!$I:$AT, MATCH(M47, Variablen!$A:$A, 0), MATCH((YEAR(D47)+17), Variablen!$I$3:$AT$3, 0))="",L47,INDEX(Variablen!$I:$AT, MATCH(M47, Variablen!$A:$A, 0), MATCH((YEAR(D47)+17), Variablen!$I$3:$AT$3, 0))),L47)))*(IF((YEAR(D47)+17)&lt;YEAR(E47),0,IF((YEAR(D47)+17)&gt;YEAR(E47),1,(12-MONTH(E47)+1)/12))) + (Q47)*(IF((YEAR(D47)+17)&lt;YEAR(E47),0,IF((YEAR(D47)+17)&gt;YEAR(E47),1,(12-MONTH(E47)+1)/12))))-((P47)*(IF((YEAR(D47)+17)&lt;YEAR(E47),0,IF((YEAR(D47)+17)&gt;YEAR(E47),1,(12-MONTH(E47)+1)/12))) + (R47)*(IF((YEAR(D47)+17)&lt;YEAR(E47),0,IF((YEAR(D47)+17)&gt;YEAR(E47),1,(12-MONTH(E47)+1)/12))))-(IF(OR(N47="",N47&lt;=0),0,(O47/N47)*(IF(OR(N47="",N47&lt;=0),0,IF((YEAR(D47)+17)&lt;YEAR(E47),0,IF((YEAR(D47)+17)&gt;=YEAR(E47)+N47,0,IF((YEAR(D47)+17)=YEAR(E47),(12-MONTH(E47)+1)/12,1))))))))*TaxRate,0))-IF(17=0,O47,0))</f>
        <v/>
      </c>
      <c r="AK47" s="29">
        <f>IF(A47="","",((K47)*(IF(M47="",L47,IFERROR(IF(INDEX(Variablen!$I:$AT, MATCH(M47, Variablen!$A:$A, 0), MATCH((YEAR(D47)+18), Variablen!$I$3:$AT$3, 0))="",L47,INDEX(Variablen!$I:$AT, MATCH(M47, Variablen!$A:$A, 0), MATCH((YEAR(D47)+18), Variablen!$I$3:$AT$3, 0))),L47)))*(IF((YEAR(D47)+18)&lt;YEAR(E47),0,IF((YEAR(D47)+18)&gt;YEAR(E47),1,(12-MONTH(E47)+1)/12))) + (Q47)*(IF((YEAR(D47)+18)&lt;YEAR(E47),0,IF((YEAR(D47)+18)&gt;YEAR(E47),1,(12-MONTH(E47)+1)/12))))-((P47)*(IF((YEAR(D47)+18)&lt;YEAR(E47),0,IF((YEAR(D47)+18)&gt;YEAR(E47),1,(12-MONTH(E47)+1)/12))) + (R47)*(IF((YEAR(D47)+18)&lt;YEAR(E47),0,IF((YEAR(D47)+18)&gt;YEAR(E47),1,(12-MONTH(E47)+1)/12))))-(IF((((K47)*(IF(M47="",L47,IFERROR(IF(INDEX(Variablen!$I:$AT, MATCH(M47, Variablen!$A:$A, 0), MATCH((YEAR(D47)+18), Variablen!$I$3:$AT$3, 0))="",L47,INDEX(Variablen!$I:$AT, MATCH(M47, Variablen!$A:$A, 0), MATCH((YEAR(D47)+18), Variablen!$I$3:$AT$3, 0))),L47)))*(IF((YEAR(D47)+18)&lt;YEAR(E47),0,IF((YEAR(D47)+18)&gt;YEAR(E47),1,(12-MONTH(E47)+1)/12))) + (Q47)*(IF((YEAR(D47)+18)&lt;YEAR(E47),0,IF((YEAR(D47)+18)&gt;YEAR(E47),1,(12-MONTH(E47)+1)/12))))-((P47)*(IF((YEAR(D47)+18)&lt;YEAR(E47),0,IF((YEAR(D47)+18)&gt;YEAR(E47),1,(12-MONTH(E47)+1)/12))) + (R47)*(IF((YEAR(D47)+18)&lt;YEAR(E47),0,IF((YEAR(D47)+18)&gt;YEAR(E47),1,(12-MONTH(E47)+1)/12))))-(IF(OR(N47="",N47&lt;=0),0,(O47/N47)*(IF(OR(N47="",N47&lt;=0),0,IF((YEAR(D47)+18)&lt;YEAR(E47),0,IF((YEAR(D47)+18)&gt;=YEAR(E47)+N47,0,IF((YEAR(D47)+18)=YEAR(E47),(12-MONTH(E47)+1)/12,1))))))))&gt;0,(((K47)*(IF(M47="",L47,IFERROR(IF(INDEX(Variablen!$I:$AT, MATCH(M47, Variablen!$A:$A, 0), MATCH((YEAR(D47)+18), Variablen!$I$3:$AT$3, 0))="",L47,INDEX(Variablen!$I:$AT, MATCH(M47, Variablen!$A:$A, 0), MATCH((YEAR(D47)+18), Variablen!$I$3:$AT$3, 0))),L47)))*(IF((YEAR(D47)+18)&lt;YEAR(E47),0,IF((YEAR(D47)+18)&gt;YEAR(E47),1,(12-MONTH(E47)+1)/12))) + (Q47)*(IF((YEAR(D47)+18)&lt;YEAR(E47),0,IF((YEAR(D47)+18)&gt;YEAR(E47),1,(12-MONTH(E47)+1)/12))))-((P47)*(IF((YEAR(D47)+18)&lt;YEAR(E47),0,IF((YEAR(D47)+18)&gt;YEAR(E47),1,(12-MONTH(E47)+1)/12))) + (R47)*(IF((YEAR(D47)+18)&lt;YEAR(E47),0,IF((YEAR(D47)+18)&gt;YEAR(E47),1,(12-MONTH(E47)+1)/12))))-(IF(OR(N47="",N47&lt;=0),0,(O47/N47)*(IF(OR(N47="",N47&lt;=0),0,IF((YEAR(D47)+18)&lt;YEAR(E47),0,IF((YEAR(D47)+18)&gt;=YEAR(E47)+N47,0,IF((YEAR(D47)+18)=YEAR(E47),(12-MONTH(E47)+1)/12,1))))))))*TaxRate,0))-IF(18=0,O47,0))</f>
        <v/>
      </c>
      <c r="AL47" s="29">
        <f>IF(A47="","",((K47)*(IF(M47="",L47,IFERROR(IF(INDEX(Variablen!$I:$AT, MATCH(M47, Variablen!$A:$A, 0), MATCH((YEAR(D47)+19), Variablen!$I$3:$AT$3, 0))="",L47,INDEX(Variablen!$I:$AT, MATCH(M47, Variablen!$A:$A, 0), MATCH((YEAR(D47)+19), Variablen!$I$3:$AT$3, 0))),L47)))*(IF((YEAR(D47)+19)&lt;YEAR(E47),0,IF((YEAR(D47)+19)&gt;YEAR(E47),1,(12-MONTH(E47)+1)/12))) + (Q47)*(IF((YEAR(D47)+19)&lt;YEAR(E47),0,IF((YEAR(D47)+19)&gt;YEAR(E47),1,(12-MONTH(E47)+1)/12))))-((P47)*(IF((YEAR(D47)+19)&lt;YEAR(E47),0,IF((YEAR(D47)+19)&gt;YEAR(E47),1,(12-MONTH(E47)+1)/12))) + (R47)*(IF((YEAR(D47)+19)&lt;YEAR(E47),0,IF((YEAR(D47)+19)&gt;YEAR(E47),1,(12-MONTH(E47)+1)/12))))-(IF((((K47)*(IF(M47="",L47,IFERROR(IF(INDEX(Variablen!$I:$AT, MATCH(M47, Variablen!$A:$A, 0), MATCH((YEAR(D47)+19), Variablen!$I$3:$AT$3, 0))="",L47,INDEX(Variablen!$I:$AT, MATCH(M47, Variablen!$A:$A, 0), MATCH((YEAR(D47)+19), Variablen!$I$3:$AT$3, 0))),L47)))*(IF((YEAR(D47)+19)&lt;YEAR(E47),0,IF((YEAR(D47)+19)&gt;YEAR(E47),1,(12-MONTH(E47)+1)/12))) + (Q47)*(IF((YEAR(D47)+19)&lt;YEAR(E47),0,IF((YEAR(D47)+19)&gt;YEAR(E47),1,(12-MONTH(E47)+1)/12))))-((P47)*(IF((YEAR(D47)+19)&lt;YEAR(E47),0,IF((YEAR(D47)+19)&gt;YEAR(E47),1,(12-MONTH(E47)+1)/12))) + (R47)*(IF((YEAR(D47)+19)&lt;YEAR(E47),0,IF((YEAR(D47)+19)&gt;YEAR(E47),1,(12-MONTH(E47)+1)/12))))-(IF(OR(N47="",N47&lt;=0),0,(O47/N47)*(IF(OR(N47="",N47&lt;=0),0,IF((YEAR(D47)+19)&lt;YEAR(E47),0,IF((YEAR(D47)+19)&gt;=YEAR(E47)+N47,0,IF((YEAR(D47)+19)=YEAR(E47),(12-MONTH(E47)+1)/12,1))))))))&gt;0,(((K47)*(IF(M47="",L47,IFERROR(IF(INDEX(Variablen!$I:$AT, MATCH(M47, Variablen!$A:$A, 0), MATCH((YEAR(D47)+19), Variablen!$I$3:$AT$3, 0))="",L47,INDEX(Variablen!$I:$AT, MATCH(M47, Variablen!$A:$A, 0), MATCH((YEAR(D47)+19), Variablen!$I$3:$AT$3, 0))),L47)))*(IF((YEAR(D47)+19)&lt;YEAR(E47),0,IF((YEAR(D47)+19)&gt;YEAR(E47),1,(12-MONTH(E47)+1)/12))) + (Q47)*(IF((YEAR(D47)+19)&lt;YEAR(E47),0,IF((YEAR(D47)+19)&gt;YEAR(E47),1,(12-MONTH(E47)+1)/12))))-((P47)*(IF((YEAR(D47)+19)&lt;YEAR(E47),0,IF((YEAR(D47)+19)&gt;YEAR(E47),1,(12-MONTH(E47)+1)/12))) + (R47)*(IF((YEAR(D47)+19)&lt;YEAR(E47),0,IF((YEAR(D47)+19)&gt;YEAR(E47),1,(12-MONTH(E47)+1)/12))))-(IF(OR(N47="",N47&lt;=0),0,(O47/N47)*(IF(OR(N47="",N47&lt;=0),0,IF((YEAR(D47)+19)&lt;YEAR(E47),0,IF((YEAR(D47)+19)&gt;=YEAR(E47)+N47,0,IF((YEAR(D47)+19)=YEAR(E47),(12-MONTH(E47)+1)/12,1))))))))*TaxRate,0))-IF(19=0,O47,0))</f>
        <v/>
      </c>
      <c r="AM47" s="29">
        <f>IF(A47="","",((K47)*(IF(M47="",L47,IFERROR(IF(INDEX(Variablen!$I:$AT, MATCH(M47, Variablen!$A:$A, 0), MATCH((YEAR(D47)+20), Variablen!$I$3:$AT$3, 0))="",L47,INDEX(Variablen!$I:$AT, MATCH(M47, Variablen!$A:$A, 0), MATCH((YEAR(D47)+20), Variablen!$I$3:$AT$3, 0))),L47)))*(IF((YEAR(D47)+20)&lt;YEAR(E47),0,IF((YEAR(D47)+20)&gt;YEAR(E47),1,(12-MONTH(E47)+1)/12))) + (Q47)*(IF((YEAR(D47)+20)&lt;YEAR(E47),0,IF((YEAR(D47)+20)&gt;YEAR(E47),1,(12-MONTH(E47)+1)/12))))-((P47)*(IF((YEAR(D47)+20)&lt;YEAR(E47),0,IF((YEAR(D47)+20)&gt;YEAR(E47),1,(12-MONTH(E47)+1)/12))) + (R47)*(IF((YEAR(D47)+20)&lt;YEAR(E47),0,IF((YEAR(D47)+20)&gt;YEAR(E47),1,(12-MONTH(E47)+1)/12))))-(IF((((K47)*(IF(M47="",L47,IFERROR(IF(INDEX(Variablen!$I:$AT, MATCH(M47, Variablen!$A:$A, 0), MATCH((YEAR(D47)+20), Variablen!$I$3:$AT$3, 0))="",L47,INDEX(Variablen!$I:$AT, MATCH(M47, Variablen!$A:$A, 0), MATCH((YEAR(D47)+20), Variablen!$I$3:$AT$3, 0))),L47)))*(IF((YEAR(D47)+20)&lt;YEAR(E47),0,IF((YEAR(D47)+20)&gt;YEAR(E47),1,(12-MONTH(E47)+1)/12))) + (Q47)*(IF((YEAR(D47)+20)&lt;YEAR(E47),0,IF((YEAR(D47)+20)&gt;YEAR(E47),1,(12-MONTH(E47)+1)/12))))-((P47)*(IF((YEAR(D47)+20)&lt;YEAR(E47),0,IF((YEAR(D47)+20)&gt;YEAR(E47),1,(12-MONTH(E47)+1)/12))) + (R47)*(IF((YEAR(D47)+20)&lt;YEAR(E47),0,IF((YEAR(D47)+20)&gt;YEAR(E47),1,(12-MONTH(E47)+1)/12))))-(IF(OR(N47="",N47&lt;=0),0,(O47/N47)*(IF(OR(N47="",N47&lt;=0),0,IF((YEAR(D47)+20)&lt;YEAR(E47),0,IF((YEAR(D47)+20)&gt;=YEAR(E47)+N47,0,IF((YEAR(D47)+20)=YEAR(E47),(12-MONTH(E47)+1)/12,1))))))))&gt;0,(((K47)*(IF(M47="",L47,IFERROR(IF(INDEX(Variablen!$I:$AT, MATCH(M47, Variablen!$A:$A, 0), MATCH((YEAR(D47)+20), Variablen!$I$3:$AT$3, 0))="",L47,INDEX(Variablen!$I:$AT, MATCH(M47, Variablen!$A:$A, 0), MATCH((YEAR(D47)+20), Variablen!$I$3:$AT$3, 0))),L47)))*(IF((YEAR(D47)+20)&lt;YEAR(E47),0,IF((YEAR(D47)+20)&gt;YEAR(E47),1,(12-MONTH(E47)+1)/12))) + (Q47)*(IF((YEAR(D47)+20)&lt;YEAR(E47),0,IF((YEAR(D47)+20)&gt;YEAR(E47),1,(12-MONTH(E47)+1)/12))))-((P47)*(IF((YEAR(D47)+20)&lt;YEAR(E47),0,IF((YEAR(D47)+20)&gt;YEAR(E47),1,(12-MONTH(E47)+1)/12))) + (R47)*(IF((YEAR(D47)+20)&lt;YEAR(E47),0,IF((YEAR(D47)+20)&gt;YEAR(E47),1,(12-MONTH(E47)+1)/12))))-(IF(OR(N47="",N47&lt;=0),0,(O47/N47)*(IF(OR(N47="",N47&lt;=0),0,IF((YEAR(D47)+20)&lt;YEAR(E47),0,IF((YEAR(D47)+20)&gt;=YEAR(E47)+N47,0,IF((YEAR(D47)+20)=YEAR(E47),(12-MONTH(E47)+1)/12,1))))))))*TaxRate,0))-IF(20=0,O47,0))</f>
        <v/>
      </c>
      <c r="AN47" s="29">
        <f>IF(A47="","",S47)</f>
        <v/>
      </c>
      <c r="AO47" s="29">
        <f>IF(A47="","",AN47+T47)</f>
        <v/>
      </c>
      <c r="AP47" s="29">
        <f>IF(A47="","",AO47+U47)</f>
        <v/>
      </c>
      <c r="AQ47" s="29">
        <f>IF(A47="","",AP47+V47)</f>
        <v/>
      </c>
      <c r="AR47" s="29">
        <f>IF(A47="","",AQ47+W47)</f>
        <v/>
      </c>
      <c r="AS47" s="29">
        <f>IF(A47="","",AR47+X47)</f>
        <v/>
      </c>
      <c r="AT47" s="29">
        <f>IF(A47="","",AS47+Y47)</f>
        <v/>
      </c>
      <c r="AU47" s="29">
        <f>IF(A47="","",AT47+Z47)</f>
        <v/>
      </c>
      <c r="AV47" s="29">
        <f>IF(A47="","",AU47+AA47)</f>
        <v/>
      </c>
      <c r="AW47" s="29">
        <f>IF(A47="","",AV47+AB47)</f>
        <v/>
      </c>
      <c r="AX47" s="29">
        <f>IF(A47="","",AW47+AC47)</f>
        <v/>
      </c>
      <c r="AY47" s="29">
        <f>IF(A47="","",AX47+AD47)</f>
        <v/>
      </c>
      <c r="AZ47" s="29">
        <f>IF(A47="","",AY47+AE47)</f>
        <v/>
      </c>
      <c r="BA47" s="29">
        <f>IF(A47="","",AZ47+AF47)</f>
        <v/>
      </c>
      <c r="BB47" s="29">
        <f>IF(A47="","",BA47+AG47)</f>
        <v/>
      </c>
      <c r="BC47" s="29">
        <f>IF(A47="","",BB47+AH47)</f>
        <v/>
      </c>
      <c r="BD47" s="29">
        <f>IF(A47="","",BC47+AI47)</f>
        <v/>
      </c>
      <c r="BE47" s="29">
        <f>IF(A47="","",BD47+AJ47)</f>
        <v/>
      </c>
      <c r="BF47" s="29">
        <f>IF(A47="","",BE47+AK47)</f>
        <v/>
      </c>
      <c r="BG47" s="29">
        <f>IF(A47="","",BF47+AL47)</f>
        <v/>
      </c>
      <c r="BH47" s="29">
        <f>IF(A47="","",BG47+AM47)</f>
        <v/>
      </c>
      <c r="BI47" s="36">
        <f>IF(A47="","",(K47)*(IF((YEAR(D47)+0)&lt;YEAR(E47),0,IF((YEAR(D47)+0)&gt;YEAR(E47),1,(12-MONTH(E47)+1)/12)))*(1/(1+DiscountRate)^0))</f>
        <v/>
      </c>
      <c r="BJ47" s="36">
        <f>IF(A47="","",(K47)*(IF((YEAR(D47)+1)&lt;YEAR(E47),0,IF((YEAR(D47)+1)&gt;YEAR(E47),1,(12-MONTH(E47)+1)/12)))*(1/(1+DiscountRate)^1))</f>
        <v/>
      </c>
      <c r="BK47" s="36">
        <f>IF(A47="","",(K47)*(IF((YEAR(D47)+2)&lt;YEAR(E47),0,IF((YEAR(D47)+2)&gt;YEAR(E47),1,(12-MONTH(E47)+1)/12)))*(1/(1+DiscountRate)^2))</f>
        <v/>
      </c>
      <c r="BL47" s="36">
        <f>IF(A47="","",(K47)*(IF((YEAR(D47)+3)&lt;YEAR(E47),0,IF((YEAR(D47)+3)&gt;YEAR(E47),1,(12-MONTH(E47)+1)/12)))*(1/(1+DiscountRate)^3))</f>
        <v/>
      </c>
      <c r="BM47" s="36">
        <f>IF(A47="","",(K47)*(IF((YEAR(D47)+4)&lt;YEAR(E47),0,IF((YEAR(D47)+4)&gt;YEAR(E47),1,(12-MONTH(E47)+1)/12)))*(1/(1+DiscountRate)^4))</f>
        <v/>
      </c>
      <c r="BN47" s="36">
        <f>IF(A47="","",(K47)*(IF((YEAR(D47)+5)&lt;YEAR(E47),0,IF((YEAR(D47)+5)&gt;YEAR(E47),1,(12-MONTH(E47)+1)/12)))*(1/(1+DiscountRate)^5))</f>
        <v/>
      </c>
      <c r="BO47" s="36">
        <f>IF(A47="","",(K47)*(IF((YEAR(D47)+6)&lt;YEAR(E47),0,IF((YEAR(D47)+6)&gt;YEAR(E47),1,(12-MONTH(E47)+1)/12)))*(1/(1+DiscountRate)^6))</f>
        <v/>
      </c>
      <c r="BP47" s="36">
        <f>IF(A47="","",(K47)*(IF((YEAR(D47)+7)&lt;YEAR(E47),0,IF((YEAR(D47)+7)&gt;YEAR(E47),1,(12-MONTH(E47)+1)/12)))*(1/(1+DiscountRate)^7))</f>
        <v/>
      </c>
      <c r="BQ47" s="36">
        <f>IF(A47="","",(K47)*(IF((YEAR(D47)+8)&lt;YEAR(E47),0,IF((YEAR(D47)+8)&gt;YEAR(E47),1,(12-MONTH(E47)+1)/12)))*(1/(1+DiscountRate)^8))</f>
        <v/>
      </c>
      <c r="BR47" s="36">
        <f>IF(A47="","",(K47)*(IF((YEAR(D47)+9)&lt;YEAR(E47),0,IF((YEAR(D47)+9)&gt;YEAR(E47),1,(12-MONTH(E47)+1)/12)))*(1/(1+DiscountRate)^9))</f>
        <v/>
      </c>
      <c r="BS47" s="36">
        <f>IF(A47="","",(K47)*(IF((YEAR(D47)+10)&lt;YEAR(E47),0,IF((YEAR(D47)+10)&gt;YEAR(E47),1,(12-MONTH(E47)+1)/12)))*(1/(1+DiscountRate)^10))</f>
        <v/>
      </c>
      <c r="BT47" s="36">
        <f>IF(A47="","",(K47)*(IF((YEAR(D47)+11)&lt;YEAR(E47),0,IF((YEAR(D47)+11)&gt;YEAR(E47),1,(12-MONTH(E47)+1)/12)))*(1/(1+DiscountRate)^11))</f>
        <v/>
      </c>
      <c r="BU47" s="36">
        <f>IF(A47="","",(K47)*(IF((YEAR(D47)+12)&lt;YEAR(E47),0,IF((YEAR(D47)+12)&gt;YEAR(E47),1,(12-MONTH(E47)+1)/12)))*(1/(1+DiscountRate)^12))</f>
        <v/>
      </c>
      <c r="BV47" s="36">
        <f>IF(A47="","",(K47)*(IF((YEAR(D47)+13)&lt;YEAR(E47),0,IF((YEAR(D47)+13)&gt;YEAR(E47),1,(12-MONTH(E47)+1)/12)))*(1/(1+DiscountRate)^13))</f>
        <v/>
      </c>
      <c r="BW47" s="36">
        <f>IF(A47="","",(K47)*(IF((YEAR(D47)+14)&lt;YEAR(E47),0,IF((YEAR(D47)+14)&gt;YEAR(E47),1,(12-MONTH(E47)+1)/12)))*(1/(1+DiscountRate)^14))</f>
        <v/>
      </c>
      <c r="BX47" s="36">
        <f>IF(A47="","",(K47)*(IF((YEAR(D47)+15)&lt;YEAR(E47),0,IF((YEAR(D47)+15)&gt;YEAR(E47),1,(12-MONTH(E47)+1)/12)))*(1/(1+DiscountRate)^15))</f>
        <v/>
      </c>
      <c r="BY47" s="36">
        <f>IF(A47="","",(K47)*(IF((YEAR(D47)+16)&lt;YEAR(E47),0,IF((YEAR(D47)+16)&gt;YEAR(E47),1,(12-MONTH(E47)+1)/12)))*(1/(1+DiscountRate)^16))</f>
        <v/>
      </c>
      <c r="BZ47" s="36">
        <f>IF(A47="","",(K47)*(IF((YEAR(D47)+17)&lt;YEAR(E47),0,IF((YEAR(D47)+17)&gt;YEAR(E47),1,(12-MONTH(E47)+1)/12)))*(1/(1+DiscountRate)^17))</f>
        <v/>
      </c>
      <c r="CA47" s="36">
        <f>IF(A47="","",(K47)*(IF((YEAR(D47)+18)&lt;YEAR(E47),0,IF((YEAR(D47)+18)&gt;YEAR(E47),1,(12-MONTH(E47)+1)/12)))*(1/(1+DiscountRate)^18))</f>
        <v/>
      </c>
      <c r="CB47" s="36">
        <f>IF(A47="","",(K47)*(IF((YEAR(D47)+19)&lt;YEAR(E47),0,IF((YEAR(D47)+19)&gt;YEAR(E47),1,(12-MONTH(E47)+1)/12)))*(1/(1+DiscountRate)^19))</f>
        <v/>
      </c>
      <c r="CC47" s="36">
        <f>IF(A47="","",(K47)*(IF((YEAR(D47)+20)&lt;YEAR(E47),0,IF((YEAR(D47)+20)&gt;YEAR(E47),1,(12-MONTH(E47)+1)/12)))*(1/(1+DiscountRate)^20))</f>
        <v/>
      </c>
      <c r="CD47" s="29">
        <f>IF(A47="","",S47/(1+DiscountRate)^0+T47/(1+DiscountRate)^1+U47/(1+DiscountRate)^2+V47/(1+DiscountRate)^3+W47/(1+DiscountRate)^4+X47/(1+DiscountRate)^5+Y47/(1+DiscountRate)^6+Z47/(1+DiscountRate)^7+AA47/(1+DiscountRate)^8+AB47/(1+DiscountRate)^9+AC47/(1+DiscountRate)^10+AD47/(1+DiscountRate)^11+AE47/(1+DiscountRate)^12+AF47/(1+DiscountRate)^13+AG47/(1+DiscountRate)^14+AH47/(1+DiscountRate)^15+AI47/(1+DiscountRate)^16+AJ47/(1+DiscountRate)^17+AK47/(1+DiscountRate)^18+AL47/(1+DiscountRate)^19+AM47/(1+DiscountRate)^20)</f>
        <v/>
      </c>
      <c r="CE47" s="37">
        <f>IF(A47="","",IFERROR(IRR(OFFSET(S47,0,0,1,MIN(HorizonYears,20)+1)),"n/a"))</f>
        <v/>
      </c>
      <c r="CF47" s="28">
        <f>IF(A47="","",IFERROR(MATCH(TRUE,OFFSET(AN47,0,0,1,MIN(HorizonYears,20)+1)&gt;=0,0)-1,"n/a"))</f>
        <v/>
      </c>
      <c r="CG47" s="36">
        <f>IF(A47="","",SUM(OFFSET(BI47,0,0,1,MIN(HorizonYears,20)+1)))</f>
        <v/>
      </c>
      <c r="CH47" s="36">
        <f>IF(A47="","",IFERROR(-CD47/CG47,"n/a"))</f>
        <v/>
      </c>
    </row>
    <row r="48">
      <c r="A48" s="6">
        <f>Actions!A46</f>
        <v/>
      </c>
      <c r="B48" s="6">
        <f>Actions!B46</f>
        <v/>
      </c>
      <c r="C48" s="6">
        <f>Actions!D46</f>
        <v/>
      </c>
      <c r="D48" s="35">
        <f>Actions!E46</f>
        <v/>
      </c>
      <c r="E48" s="35">
        <f>Actions!F46</f>
        <v/>
      </c>
      <c r="F48" s="6">
        <f>Actions!G46</f>
        <v/>
      </c>
      <c r="G48" s="6">
        <f>Actions!H46</f>
        <v/>
      </c>
      <c r="H48" s="29">
        <f>Actions!I46</f>
        <v/>
      </c>
      <c r="I48" s="6">
        <f>Actions!J46</f>
        <v/>
      </c>
      <c r="J48" s="16">
        <f>Actions!K46</f>
        <v/>
      </c>
      <c r="K48" s="16">
        <f>IF(A48="","",IF(I48="%",H48*J48,J48))</f>
        <v/>
      </c>
      <c r="L48" s="16">
        <f>Actions!L46</f>
        <v/>
      </c>
      <c r="M48" s="6">
        <f>Actions!M46</f>
        <v/>
      </c>
      <c r="N48" s="28">
        <f>Actions!N46</f>
        <v/>
      </c>
      <c r="O48" s="29">
        <f>Actions!T46</f>
        <v/>
      </c>
      <c r="P48" s="29">
        <f>Actions!Y46</f>
        <v/>
      </c>
      <c r="Q48" s="29">
        <f>Actions!Z46</f>
        <v/>
      </c>
      <c r="R48" s="29">
        <f>Actions!AA46</f>
        <v/>
      </c>
      <c r="S48" s="29">
        <f>IF(A48="","",((K48)*(IF(M48="",L48,IFERROR(IF(INDEX(Variablen!$I:$AT, MATCH(M48, Variablen!$A:$A, 0), MATCH((YEAR(D48)+0), Variablen!$I$3:$AT$3, 0))="",L48,INDEX(Variablen!$I:$AT, MATCH(M48, Variablen!$A:$A, 0), MATCH((YEAR(D48)+0), Variablen!$I$3:$AT$3, 0))),L48)))*(IF((YEAR(D48)+0)&lt;YEAR(E48),0,IF((YEAR(D48)+0)&gt;YEAR(E48),1,(12-MONTH(E48)+1)/12))) + (Q48)*(IF((YEAR(D48)+0)&lt;YEAR(E48),0,IF((YEAR(D48)+0)&gt;YEAR(E48),1,(12-MONTH(E48)+1)/12))))-((P48)*(IF((YEAR(D48)+0)&lt;YEAR(E48),0,IF((YEAR(D48)+0)&gt;YEAR(E48),1,(12-MONTH(E48)+1)/12))) + (R48)*(IF((YEAR(D48)+0)&lt;YEAR(E48),0,IF((YEAR(D48)+0)&gt;YEAR(E48),1,(12-MONTH(E48)+1)/12))))-(IF((((K48)*(IF(M48="",L48,IFERROR(IF(INDEX(Variablen!$I:$AT, MATCH(M48, Variablen!$A:$A, 0), MATCH((YEAR(D48)+0), Variablen!$I$3:$AT$3, 0))="",L48,INDEX(Variablen!$I:$AT, MATCH(M48, Variablen!$A:$A, 0), MATCH((YEAR(D48)+0), Variablen!$I$3:$AT$3, 0))),L48)))*(IF((YEAR(D48)+0)&lt;YEAR(E48),0,IF((YEAR(D48)+0)&gt;YEAR(E48),1,(12-MONTH(E48)+1)/12))) + (Q48)*(IF((YEAR(D48)+0)&lt;YEAR(E48),0,IF((YEAR(D48)+0)&gt;YEAR(E48),1,(12-MONTH(E48)+1)/12))))-((P48)*(IF((YEAR(D48)+0)&lt;YEAR(E48),0,IF((YEAR(D48)+0)&gt;YEAR(E48),1,(12-MONTH(E48)+1)/12))) + (R48)*(IF((YEAR(D48)+0)&lt;YEAR(E48),0,IF((YEAR(D48)+0)&gt;YEAR(E48),1,(12-MONTH(E48)+1)/12))))-(IF(OR(N48="",N48&lt;=0),0,(O48/N48)*(IF(OR(N48="",N48&lt;=0),0,IF((YEAR(D48)+0)&lt;YEAR(E48),0,IF((YEAR(D48)+0)&gt;=YEAR(E48)+N48,0,IF((YEAR(D48)+0)=YEAR(E48),(12-MONTH(E48)+1)/12,1))))))))&gt;0,(((K48)*(IF(M48="",L48,IFERROR(IF(INDEX(Variablen!$I:$AT, MATCH(M48, Variablen!$A:$A, 0), MATCH((YEAR(D48)+0), Variablen!$I$3:$AT$3, 0))="",L48,INDEX(Variablen!$I:$AT, MATCH(M48, Variablen!$A:$A, 0), MATCH((YEAR(D48)+0), Variablen!$I$3:$AT$3, 0))),L48)))*(IF((YEAR(D48)+0)&lt;YEAR(E48),0,IF((YEAR(D48)+0)&gt;YEAR(E48),1,(12-MONTH(E48)+1)/12))) + (Q48)*(IF((YEAR(D48)+0)&lt;YEAR(E48),0,IF((YEAR(D48)+0)&gt;YEAR(E48),1,(12-MONTH(E48)+1)/12))))-((P48)*(IF((YEAR(D48)+0)&lt;YEAR(E48),0,IF((YEAR(D48)+0)&gt;YEAR(E48),1,(12-MONTH(E48)+1)/12))) + (R48)*(IF((YEAR(D48)+0)&lt;YEAR(E48),0,IF((YEAR(D48)+0)&gt;YEAR(E48),1,(12-MONTH(E48)+1)/12))))-(IF(OR(N48="",N48&lt;=0),0,(O48/N48)*(IF(OR(N48="",N48&lt;=0),0,IF((YEAR(D48)+0)&lt;YEAR(E48),0,IF((YEAR(D48)+0)&gt;=YEAR(E48)+N48,0,IF((YEAR(D48)+0)=YEAR(E48),(12-MONTH(E48)+1)/12,1))))))))*TaxRate,0))-IF(0=0,O48,0))</f>
        <v/>
      </c>
      <c r="T48" s="29">
        <f>IF(A48="","",((K48)*(IF(M48="",L48,IFERROR(IF(INDEX(Variablen!$I:$AT, MATCH(M48, Variablen!$A:$A, 0), MATCH((YEAR(D48)+1), Variablen!$I$3:$AT$3, 0))="",L48,INDEX(Variablen!$I:$AT, MATCH(M48, Variablen!$A:$A, 0), MATCH((YEAR(D48)+1), Variablen!$I$3:$AT$3, 0))),L48)))*(IF((YEAR(D48)+1)&lt;YEAR(E48),0,IF((YEAR(D48)+1)&gt;YEAR(E48),1,(12-MONTH(E48)+1)/12))) + (Q48)*(IF((YEAR(D48)+1)&lt;YEAR(E48),0,IF((YEAR(D48)+1)&gt;YEAR(E48),1,(12-MONTH(E48)+1)/12))))-((P48)*(IF((YEAR(D48)+1)&lt;YEAR(E48),0,IF((YEAR(D48)+1)&gt;YEAR(E48),1,(12-MONTH(E48)+1)/12))) + (R48)*(IF((YEAR(D48)+1)&lt;YEAR(E48),0,IF((YEAR(D48)+1)&gt;YEAR(E48),1,(12-MONTH(E48)+1)/12))))-(IF((((K48)*(IF(M48="",L48,IFERROR(IF(INDEX(Variablen!$I:$AT, MATCH(M48, Variablen!$A:$A, 0), MATCH((YEAR(D48)+1), Variablen!$I$3:$AT$3, 0))="",L48,INDEX(Variablen!$I:$AT, MATCH(M48, Variablen!$A:$A, 0), MATCH((YEAR(D48)+1), Variablen!$I$3:$AT$3, 0))),L48)))*(IF((YEAR(D48)+1)&lt;YEAR(E48),0,IF((YEAR(D48)+1)&gt;YEAR(E48),1,(12-MONTH(E48)+1)/12))) + (Q48)*(IF((YEAR(D48)+1)&lt;YEAR(E48),0,IF((YEAR(D48)+1)&gt;YEAR(E48),1,(12-MONTH(E48)+1)/12))))-((P48)*(IF((YEAR(D48)+1)&lt;YEAR(E48),0,IF((YEAR(D48)+1)&gt;YEAR(E48),1,(12-MONTH(E48)+1)/12))) + (R48)*(IF((YEAR(D48)+1)&lt;YEAR(E48),0,IF((YEAR(D48)+1)&gt;YEAR(E48),1,(12-MONTH(E48)+1)/12))))-(IF(OR(N48="",N48&lt;=0),0,(O48/N48)*(IF(OR(N48="",N48&lt;=0),0,IF((YEAR(D48)+1)&lt;YEAR(E48),0,IF((YEAR(D48)+1)&gt;=YEAR(E48)+N48,0,IF((YEAR(D48)+1)=YEAR(E48),(12-MONTH(E48)+1)/12,1))))))))&gt;0,(((K48)*(IF(M48="",L48,IFERROR(IF(INDEX(Variablen!$I:$AT, MATCH(M48, Variablen!$A:$A, 0), MATCH((YEAR(D48)+1), Variablen!$I$3:$AT$3, 0))="",L48,INDEX(Variablen!$I:$AT, MATCH(M48, Variablen!$A:$A, 0), MATCH((YEAR(D48)+1), Variablen!$I$3:$AT$3, 0))),L48)))*(IF((YEAR(D48)+1)&lt;YEAR(E48),0,IF((YEAR(D48)+1)&gt;YEAR(E48),1,(12-MONTH(E48)+1)/12))) + (Q48)*(IF((YEAR(D48)+1)&lt;YEAR(E48),0,IF((YEAR(D48)+1)&gt;YEAR(E48),1,(12-MONTH(E48)+1)/12))))-((P48)*(IF((YEAR(D48)+1)&lt;YEAR(E48),0,IF((YEAR(D48)+1)&gt;YEAR(E48),1,(12-MONTH(E48)+1)/12))) + (R48)*(IF((YEAR(D48)+1)&lt;YEAR(E48),0,IF((YEAR(D48)+1)&gt;YEAR(E48),1,(12-MONTH(E48)+1)/12))))-(IF(OR(N48="",N48&lt;=0),0,(O48/N48)*(IF(OR(N48="",N48&lt;=0),0,IF((YEAR(D48)+1)&lt;YEAR(E48),0,IF((YEAR(D48)+1)&gt;=YEAR(E48)+N48,0,IF((YEAR(D48)+1)=YEAR(E48),(12-MONTH(E48)+1)/12,1))))))))*TaxRate,0))-IF(1=0,O48,0))</f>
        <v/>
      </c>
      <c r="U48" s="29">
        <f>IF(A48="","",((K48)*(IF(M48="",L48,IFERROR(IF(INDEX(Variablen!$I:$AT, MATCH(M48, Variablen!$A:$A, 0), MATCH((YEAR(D48)+2), Variablen!$I$3:$AT$3, 0))="",L48,INDEX(Variablen!$I:$AT, MATCH(M48, Variablen!$A:$A, 0), MATCH((YEAR(D48)+2), Variablen!$I$3:$AT$3, 0))),L48)))*(IF((YEAR(D48)+2)&lt;YEAR(E48),0,IF((YEAR(D48)+2)&gt;YEAR(E48),1,(12-MONTH(E48)+1)/12))) + (Q48)*(IF((YEAR(D48)+2)&lt;YEAR(E48),0,IF((YEAR(D48)+2)&gt;YEAR(E48),1,(12-MONTH(E48)+1)/12))))-((P48)*(IF((YEAR(D48)+2)&lt;YEAR(E48),0,IF((YEAR(D48)+2)&gt;YEAR(E48),1,(12-MONTH(E48)+1)/12))) + (R48)*(IF((YEAR(D48)+2)&lt;YEAR(E48),0,IF((YEAR(D48)+2)&gt;YEAR(E48),1,(12-MONTH(E48)+1)/12))))-(IF((((K48)*(IF(M48="",L48,IFERROR(IF(INDEX(Variablen!$I:$AT, MATCH(M48, Variablen!$A:$A, 0), MATCH((YEAR(D48)+2), Variablen!$I$3:$AT$3, 0))="",L48,INDEX(Variablen!$I:$AT, MATCH(M48, Variablen!$A:$A, 0), MATCH((YEAR(D48)+2), Variablen!$I$3:$AT$3, 0))),L48)))*(IF((YEAR(D48)+2)&lt;YEAR(E48),0,IF((YEAR(D48)+2)&gt;YEAR(E48),1,(12-MONTH(E48)+1)/12))) + (Q48)*(IF((YEAR(D48)+2)&lt;YEAR(E48),0,IF((YEAR(D48)+2)&gt;YEAR(E48),1,(12-MONTH(E48)+1)/12))))-((P48)*(IF((YEAR(D48)+2)&lt;YEAR(E48),0,IF((YEAR(D48)+2)&gt;YEAR(E48),1,(12-MONTH(E48)+1)/12))) + (R48)*(IF((YEAR(D48)+2)&lt;YEAR(E48),0,IF((YEAR(D48)+2)&gt;YEAR(E48),1,(12-MONTH(E48)+1)/12))))-(IF(OR(N48="",N48&lt;=0),0,(O48/N48)*(IF(OR(N48="",N48&lt;=0),0,IF((YEAR(D48)+2)&lt;YEAR(E48),0,IF((YEAR(D48)+2)&gt;=YEAR(E48)+N48,0,IF((YEAR(D48)+2)=YEAR(E48),(12-MONTH(E48)+1)/12,1))))))))&gt;0,(((K48)*(IF(M48="",L48,IFERROR(IF(INDEX(Variablen!$I:$AT, MATCH(M48, Variablen!$A:$A, 0), MATCH((YEAR(D48)+2), Variablen!$I$3:$AT$3, 0))="",L48,INDEX(Variablen!$I:$AT, MATCH(M48, Variablen!$A:$A, 0), MATCH((YEAR(D48)+2), Variablen!$I$3:$AT$3, 0))),L48)))*(IF((YEAR(D48)+2)&lt;YEAR(E48),0,IF((YEAR(D48)+2)&gt;YEAR(E48),1,(12-MONTH(E48)+1)/12))) + (Q48)*(IF((YEAR(D48)+2)&lt;YEAR(E48),0,IF((YEAR(D48)+2)&gt;YEAR(E48),1,(12-MONTH(E48)+1)/12))))-((P48)*(IF((YEAR(D48)+2)&lt;YEAR(E48),0,IF((YEAR(D48)+2)&gt;YEAR(E48),1,(12-MONTH(E48)+1)/12))) + (R48)*(IF((YEAR(D48)+2)&lt;YEAR(E48),0,IF((YEAR(D48)+2)&gt;YEAR(E48),1,(12-MONTH(E48)+1)/12))))-(IF(OR(N48="",N48&lt;=0),0,(O48/N48)*(IF(OR(N48="",N48&lt;=0),0,IF((YEAR(D48)+2)&lt;YEAR(E48),0,IF((YEAR(D48)+2)&gt;=YEAR(E48)+N48,0,IF((YEAR(D48)+2)=YEAR(E48),(12-MONTH(E48)+1)/12,1))))))))*TaxRate,0))-IF(2=0,O48,0))</f>
        <v/>
      </c>
      <c r="V48" s="29">
        <f>IF(A48="","",((K48)*(IF(M48="",L48,IFERROR(IF(INDEX(Variablen!$I:$AT, MATCH(M48, Variablen!$A:$A, 0), MATCH((YEAR(D48)+3), Variablen!$I$3:$AT$3, 0))="",L48,INDEX(Variablen!$I:$AT, MATCH(M48, Variablen!$A:$A, 0), MATCH((YEAR(D48)+3), Variablen!$I$3:$AT$3, 0))),L48)))*(IF((YEAR(D48)+3)&lt;YEAR(E48),0,IF((YEAR(D48)+3)&gt;YEAR(E48),1,(12-MONTH(E48)+1)/12))) + (Q48)*(IF((YEAR(D48)+3)&lt;YEAR(E48),0,IF((YEAR(D48)+3)&gt;YEAR(E48),1,(12-MONTH(E48)+1)/12))))-((P48)*(IF((YEAR(D48)+3)&lt;YEAR(E48),0,IF((YEAR(D48)+3)&gt;YEAR(E48),1,(12-MONTH(E48)+1)/12))) + (R48)*(IF((YEAR(D48)+3)&lt;YEAR(E48),0,IF((YEAR(D48)+3)&gt;YEAR(E48),1,(12-MONTH(E48)+1)/12))))-(IF((((K48)*(IF(M48="",L48,IFERROR(IF(INDEX(Variablen!$I:$AT, MATCH(M48, Variablen!$A:$A, 0), MATCH((YEAR(D48)+3), Variablen!$I$3:$AT$3, 0))="",L48,INDEX(Variablen!$I:$AT, MATCH(M48, Variablen!$A:$A, 0), MATCH((YEAR(D48)+3), Variablen!$I$3:$AT$3, 0))),L48)))*(IF((YEAR(D48)+3)&lt;YEAR(E48),0,IF((YEAR(D48)+3)&gt;YEAR(E48),1,(12-MONTH(E48)+1)/12))) + (Q48)*(IF((YEAR(D48)+3)&lt;YEAR(E48),0,IF((YEAR(D48)+3)&gt;YEAR(E48),1,(12-MONTH(E48)+1)/12))))-((P48)*(IF((YEAR(D48)+3)&lt;YEAR(E48),0,IF((YEAR(D48)+3)&gt;YEAR(E48),1,(12-MONTH(E48)+1)/12))) + (R48)*(IF((YEAR(D48)+3)&lt;YEAR(E48),0,IF((YEAR(D48)+3)&gt;YEAR(E48),1,(12-MONTH(E48)+1)/12))))-(IF(OR(N48="",N48&lt;=0),0,(O48/N48)*(IF(OR(N48="",N48&lt;=0),0,IF((YEAR(D48)+3)&lt;YEAR(E48),0,IF((YEAR(D48)+3)&gt;=YEAR(E48)+N48,0,IF((YEAR(D48)+3)=YEAR(E48),(12-MONTH(E48)+1)/12,1))))))))&gt;0,(((K48)*(IF(M48="",L48,IFERROR(IF(INDEX(Variablen!$I:$AT, MATCH(M48, Variablen!$A:$A, 0), MATCH((YEAR(D48)+3), Variablen!$I$3:$AT$3, 0))="",L48,INDEX(Variablen!$I:$AT, MATCH(M48, Variablen!$A:$A, 0), MATCH((YEAR(D48)+3), Variablen!$I$3:$AT$3, 0))),L48)))*(IF((YEAR(D48)+3)&lt;YEAR(E48),0,IF((YEAR(D48)+3)&gt;YEAR(E48),1,(12-MONTH(E48)+1)/12))) + (Q48)*(IF((YEAR(D48)+3)&lt;YEAR(E48),0,IF((YEAR(D48)+3)&gt;YEAR(E48),1,(12-MONTH(E48)+1)/12))))-((P48)*(IF((YEAR(D48)+3)&lt;YEAR(E48),0,IF((YEAR(D48)+3)&gt;YEAR(E48),1,(12-MONTH(E48)+1)/12))) + (R48)*(IF((YEAR(D48)+3)&lt;YEAR(E48),0,IF((YEAR(D48)+3)&gt;YEAR(E48),1,(12-MONTH(E48)+1)/12))))-(IF(OR(N48="",N48&lt;=0),0,(O48/N48)*(IF(OR(N48="",N48&lt;=0),0,IF((YEAR(D48)+3)&lt;YEAR(E48),0,IF((YEAR(D48)+3)&gt;=YEAR(E48)+N48,0,IF((YEAR(D48)+3)=YEAR(E48),(12-MONTH(E48)+1)/12,1))))))))*TaxRate,0))-IF(3=0,O48,0))</f>
        <v/>
      </c>
      <c r="W48" s="29">
        <f>IF(A48="","",((K48)*(IF(M48="",L48,IFERROR(IF(INDEX(Variablen!$I:$AT, MATCH(M48, Variablen!$A:$A, 0), MATCH((YEAR(D48)+4), Variablen!$I$3:$AT$3, 0))="",L48,INDEX(Variablen!$I:$AT, MATCH(M48, Variablen!$A:$A, 0), MATCH((YEAR(D48)+4), Variablen!$I$3:$AT$3, 0))),L48)))*(IF((YEAR(D48)+4)&lt;YEAR(E48),0,IF((YEAR(D48)+4)&gt;YEAR(E48),1,(12-MONTH(E48)+1)/12))) + (Q48)*(IF((YEAR(D48)+4)&lt;YEAR(E48),0,IF((YEAR(D48)+4)&gt;YEAR(E48),1,(12-MONTH(E48)+1)/12))))-((P48)*(IF((YEAR(D48)+4)&lt;YEAR(E48),0,IF((YEAR(D48)+4)&gt;YEAR(E48),1,(12-MONTH(E48)+1)/12))) + (R48)*(IF((YEAR(D48)+4)&lt;YEAR(E48),0,IF((YEAR(D48)+4)&gt;YEAR(E48),1,(12-MONTH(E48)+1)/12))))-(IF((((K48)*(IF(M48="",L48,IFERROR(IF(INDEX(Variablen!$I:$AT, MATCH(M48, Variablen!$A:$A, 0), MATCH((YEAR(D48)+4), Variablen!$I$3:$AT$3, 0))="",L48,INDEX(Variablen!$I:$AT, MATCH(M48, Variablen!$A:$A, 0), MATCH((YEAR(D48)+4), Variablen!$I$3:$AT$3, 0))),L48)))*(IF((YEAR(D48)+4)&lt;YEAR(E48),0,IF((YEAR(D48)+4)&gt;YEAR(E48),1,(12-MONTH(E48)+1)/12))) + (Q48)*(IF((YEAR(D48)+4)&lt;YEAR(E48),0,IF((YEAR(D48)+4)&gt;YEAR(E48),1,(12-MONTH(E48)+1)/12))))-((P48)*(IF((YEAR(D48)+4)&lt;YEAR(E48),0,IF((YEAR(D48)+4)&gt;YEAR(E48),1,(12-MONTH(E48)+1)/12))) + (R48)*(IF((YEAR(D48)+4)&lt;YEAR(E48),0,IF((YEAR(D48)+4)&gt;YEAR(E48),1,(12-MONTH(E48)+1)/12))))-(IF(OR(N48="",N48&lt;=0),0,(O48/N48)*(IF(OR(N48="",N48&lt;=0),0,IF((YEAR(D48)+4)&lt;YEAR(E48),0,IF((YEAR(D48)+4)&gt;=YEAR(E48)+N48,0,IF((YEAR(D48)+4)=YEAR(E48),(12-MONTH(E48)+1)/12,1))))))))&gt;0,(((K48)*(IF(M48="",L48,IFERROR(IF(INDEX(Variablen!$I:$AT, MATCH(M48, Variablen!$A:$A, 0), MATCH((YEAR(D48)+4), Variablen!$I$3:$AT$3, 0))="",L48,INDEX(Variablen!$I:$AT, MATCH(M48, Variablen!$A:$A, 0), MATCH((YEAR(D48)+4), Variablen!$I$3:$AT$3, 0))),L48)))*(IF((YEAR(D48)+4)&lt;YEAR(E48),0,IF((YEAR(D48)+4)&gt;YEAR(E48),1,(12-MONTH(E48)+1)/12))) + (Q48)*(IF((YEAR(D48)+4)&lt;YEAR(E48),0,IF((YEAR(D48)+4)&gt;YEAR(E48),1,(12-MONTH(E48)+1)/12))))-((P48)*(IF((YEAR(D48)+4)&lt;YEAR(E48),0,IF((YEAR(D48)+4)&gt;YEAR(E48),1,(12-MONTH(E48)+1)/12))) + (R48)*(IF((YEAR(D48)+4)&lt;YEAR(E48),0,IF((YEAR(D48)+4)&gt;YEAR(E48),1,(12-MONTH(E48)+1)/12))))-(IF(OR(N48="",N48&lt;=0),0,(O48/N48)*(IF(OR(N48="",N48&lt;=0),0,IF((YEAR(D48)+4)&lt;YEAR(E48),0,IF((YEAR(D48)+4)&gt;=YEAR(E48)+N48,0,IF((YEAR(D48)+4)=YEAR(E48),(12-MONTH(E48)+1)/12,1))))))))*TaxRate,0))-IF(4=0,O48,0))</f>
        <v/>
      </c>
      <c r="X48" s="29">
        <f>IF(A48="","",((K48)*(IF(M48="",L48,IFERROR(IF(INDEX(Variablen!$I:$AT, MATCH(M48, Variablen!$A:$A, 0), MATCH((YEAR(D48)+5), Variablen!$I$3:$AT$3, 0))="",L48,INDEX(Variablen!$I:$AT, MATCH(M48, Variablen!$A:$A, 0), MATCH((YEAR(D48)+5), Variablen!$I$3:$AT$3, 0))),L48)))*(IF((YEAR(D48)+5)&lt;YEAR(E48),0,IF((YEAR(D48)+5)&gt;YEAR(E48),1,(12-MONTH(E48)+1)/12))) + (Q48)*(IF((YEAR(D48)+5)&lt;YEAR(E48),0,IF((YEAR(D48)+5)&gt;YEAR(E48),1,(12-MONTH(E48)+1)/12))))-((P48)*(IF((YEAR(D48)+5)&lt;YEAR(E48),0,IF((YEAR(D48)+5)&gt;YEAR(E48),1,(12-MONTH(E48)+1)/12))) + (R48)*(IF((YEAR(D48)+5)&lt;YEAR(E48),0,IF((YEAR(D48)+5)&gt;YEAR(E48),1,(12-MONTH(E48)+1)/12))))-(IF((((K48)*(IF(M48="",L48,IFERROR(IF(INDEX(Variablen!$I:$AT, MATCH(M48, Variablen!$A:$A, 0), MATCH((YEAR(D48)+5), Variablen!$I$3:$AT$3, 0))="",L48,INDEX(Variablen!$I:$AT, MATCH(M48, Variablen!$A:$A, 0), MATCH((YEAR(D48)+5), Variablen!$I$3:$AT$3, 0))),L48)))*(IF((YEAR(D48)+5)&lt;YEAR(E48),0,IF((YEAR(D48)+5)&gt;YEAR(E48),1,(12-MONTH(E48)+1)/12))) + (Q48)*(IF((YEAR(D48)+5)&lt;YEAR(E48),0,IF((YEAR(D48)+5)&gt;YEAR(E48),1,(12-MONTH(E48)+1)/12))))-((P48)*(IF((YEAR(D48)+5)&lt;YEAR(E48),0,IF((YEAR(D48)+5)&gt;YEAR(E48),1,(12-MONTH(E48)+1)/12))) + (R48)*(IF((YEAR(D48)+5)&lt;YEAR(E48),0,IF((YEAR(D48)+5)&gt;YEAR(E48),1,(12-MONTH(E48)+1)/12))))-(IF(OR(N48="",N48&lt;=0),0,(O48/N48)*(IF(OR(N48="",N48&lt;=0),0,IF((YEAR(D48)+5)&lt;YEAR(E48),0,IF((YEAR(D48)+5)&gt;=YEAR(E48)+N48,0,IF((YEAR(D48)+5)=YEAR(E48),(12-MONTH(E48)+1)/12,1))))))))&gt;0,(((K48)*(IF(M48="",L48,IFERROR(IF(INDEX(Variablen!$I:$AT, MATCH(M48, Variablen!$A:$A, 0), MATCH((YEAR(D48)+5), Variablen!$I$3:$AT$3, 0))="",L48,INDEX(Variablen!$I:$AT, MATCH(M48, Variablen!$A:$A, 0), MATCH((YEAR(D48)+5), Variablen!$I$3:$AT$3, 0))),L48)))*(IF((YEAR(D48)+5)&lt;YEAR(E48),0,IF((YEAR(D48)+5)&gt;YEAR(E48),1,(12-MONTH(E48)+1)/12))) + (Q48)*(IF((YEAR(D48)+5)&lt;YEAR(E48),0,IF((YEAR(D48)+5)&gt;YEAR(E48),1,(12-MONTH(E48)+1)/12))))-((P48)*(IF((YEAR(D48)+5)&lt;YEAR(E48),0,IF((YEAR(D48)+5)&gt;YEAR(E48),1,(12-MONTH(E48)+1)/12))) + (R48)*(IF((YEAR(D48)+5)&lt;YEAR(E48),0,IF((YEAR(D48)+5)&gt;YEAR(E48),1,(12-MONTH(E48)+1)/12))))-(IF(OR(N48="",N48&lt;=0),0,(O48/N48)*(IF(OR(N48="",N48&lt;=0),0,IF((YEAR(D48)+5)&lt;YEAR(E48),0,IF((YEAR(D48)+5)&gt;=YEAR(E48)+N48,0,IF((YEAR(D48)+5)=YEAR(E48),(12-MONTH(E48)+1)/12,1))))))))*TaxRate,0))-IF(5=0,O48,0))</f>
        <v/>
      </c>
      <c r="Y48" s="29">
        <f>IF(A48="","",((K48)*(IF(M48="",L48,IFERROR(IF(INDEX(Variablen!$I:$AT, MATCH(M48, Variablen!$A:$A, 0), MATCH((YEAR(D48)+6), Variablen!$I$3:$AT$3, 0))="",L48,INDEX(Variablen!$I:$AT, MATCH(M48, Variablen!$A:$A, 0), MATCH((YEAR(D48)+6), Variablen!$I$3:$AT$3, 0))),L48)))*(IF((YEAR(D48)+6)&lt;YEAR(E48),0,IF((YEAR(D48)+6)&gt;YEAR(E48),1,(12-MONTH(E48)+1)/12))) + (Q48)*(IF((YEAR(D48)+6)&lt;YEAR(E48),0,IF((YEAR(D48)+6)&gt;YEAR(E48),1,(12-MONTH(E48)+1)/12))))-((P48)*(IF((YEAR(D48)+6)&lt;YEAR(E48),0,IF((YEAR(D48)+6)&gt;YEAR(E48),1,(12-MONTH(E48)+1)/12))) + (R48)*(IF((YEAR(D48)+6)&lt;YEAR(E48),0,IF((YEAR(D48)+6)&gt;YEAR(E48),1,(12-MONTH(E48)+1)/12))))-(IF((((K48)*(IF(M48="",L48,IFERROR(IF(INDEX(Variablen!$I:$AT, MATCH(M48, Variablen!$A:$A, 0), MATCH((YEAR(D48)+6), Variablen!$I$3:$AT$3, 0))="",L48,INDEX(Variablen!$I:$AT, MATCH(M48, Variablen!$A:$A, 0), MATCH((YEAR(D48)+6), Variablen!$I$3:$AT$3, 0))),L48)))*(IF((YEAR(D48)+6)&lt;YEAR(E48),0,IF((YEAR(D48)+6)&gt;YEAR(E48),1,(12-MONTH(E48)+1)/12))) + (Q48)*(IF((YEAR(D48)+6)&lt;YEAR(E48),0,IF((YEAR(D48)+6)&gt;YEAR(E48),1,(12-MONTH(E48)+1)/12))))-((P48)*(IF((YEAR(D48)+6)&lt;YEAR(E48),0,IF((YEAR(D48)+6)&gt;YEAR(E48),1,(12-MONTH(E48)+1)/12))) + (R48)*(IF((YEAR(D48)+6)&lt;YEAR(E48),0,IF((YEAR(D48)+6)&gt;YEAR(E48),1,(12-MONTH(E48)+1)/12))))-(IF(OR(N48="",N48&lt;=0),0,(O48/N48)*(IF(OR(N48="",N48&lt;=0),0,IF((YEAR(D48)+6)&lt;YEAR(E48),0,IF((YEAR(D48)+6)&gt;=YEAR(E48)+N48,0,IF((YEAR(D48)+6)=YEAR(E48),(12-MONTH(E48)+1)/12,1))))))))&gt;0,(((K48)*(IF(M48="",L48,IFERROR(IF(INDEX(Variablen!$I:$AT, MATCH(M48, Variablen!$A:$A, 0), MATCH((YEAR(D48)+6), Variablen!$I$3:$AT$3, 0))="",L48,INDEX(Variablen!$I:$AT, MATCH(M48, Variablen!$A:$A, 0), MATCH((YEAR(D48)+6), Variablen!$I$3:$AT$3, 0))),L48)))*(IF((YEAR(D48)+6)&lt;YEAR(E48),0,IF((YEAR(D48)+6)&gt;YEAR(E48),1,(12-MONTH(E48)+1)/12))) + (Q48)*(IF((YEAR(D48)+6)&lt;YEAR(E48),0,IF((YEAR(D48)+6)&gt;YEAR(E48),1,(12-MONTH(E48)+1)/12))))-((P48)*(IF((YEAR(D48)+6)&lt;YEAR(E48),0,IF((YEAR(D48)+6)&gt;YEAR(E48),1,(12-MONTH(E48)+1)/12))) + (R48)*(IF((YEAR(D48)+6)&lt;YEAR(E48),0,IF((YEAR(D48)+6)&gt;YEAR(E48),1,(12-MONTH(E48)+1)/12))))-(IF(OR(N48="",N48&lt;=0),0,(O48/N48)*(IF(OR(N48="",N48&lt;=0),0,IF((YEAR(D48)+6)&lt;YEAR(E48),0,IF((YEAR(D48)+6)&gt;=YEAR(E48)+N48,0,IF((YEAR(D48)+6)=YEAR(E48),(12-MONTH(E48)+1)/12,1))))))))*TaxRate,0))-IF(6=0,O48,0))</f>
        <v/>
      </c>
      <c r="Z48" s="29">
        <f>IF(A48="","",((K48)*(IF(M48="",L48,IFERROR(IF(INDEX(Variablen!$I:$AT, MATCH(M48, Variablen!$A:$A, 0), MATCH((YEAR(D48)+7), Variablen!$I$3:$AT$3, 0))="",L48,INDEX(Variablen!$I:$AT, MATCH(M48, Variablen!$A:$A, 0), MATCH((YEAR(D48)+7), Variablen!$I$3:$AT$3, 0))),L48)))*(IF((YEAR(D48)+7)&lt;YEAR(E48),0,IF((YEAR(D48)+7)&gt;YEAR(E48),1,(12-MONTH(E48)+1)/12))) + (Q48)*(IF((YEAR(D48)+7)&lt;YEAR(E48),0,IF((YEAR(D48)+7)&gt;YEAR(E48),1,(12-MONTH(E48)+1)/12))))-((P48)*(IF((YEAR(D48)+7)&lt;YEAR(E48),0,IF((YEAR(D48)+7)&gt;YEAR(E48),1,(12-MONTH(E48)+1)/12))) + (R48)*(IF((YEAR(D48)+7)&lt;YEAR(E48),0,IF((YEAR(D48)+7)&gt;YEAR(E48),1,(12-MONTH(E48)+1)/12))))-(IF((((K48)*(IF(M48="",L48,IFERROR(IF(INDEX(Variablen!$I:$AT, MATCH(M48, Variablen!$A:$A, 0), MATCH((YEAR(D48)+7), Variablen!$I$3:$AT$3, 0))="",L48,INDEX(Variablen!$I:$AT, MATCH(M48, Variablen!$A:$A, 0), MATCH((YEAR(D48)+7), Variablen!$I$3:$AT$3, 0))),L48)))*(IF((YEAR(D48)+7)&lt;YEAR(E48),0,IF((YEAR(D48)+7)&gt;YEAR(E48),1,(12-MONTH(E48)+1)/12))) + (Q48)*(IF((YEAR(D48)+7)&lt;YEAR(E48),0,IF((YEAR(D48)+7)&gt;YEAR(E48),1,(12-MONTH(E48)+1)/12))))-((P48)*(IF((YEAR(D48)+7)&lt;YEAR(E48),0,IF((YEAR(D48)+7)&gt;YEAR(E48),1,(12-MONTH(E48)+1)/12))) + (R48)*(IF((YEAR(D48)+7)&lt;YEAR(E48),0,IF((YEAR(D48)+7)&gt;YEAR(E48),1,(12-MONTH(E48)+1)/12))))-(IF(OR(N48="",N48&lt;=0),0,(O48/N48)*(IF(OR(N48="",N48&lt;=0),0,IF((YEAR(D48)+7)&lt;YEAR(E48),0,IF((YEAR(D48)+7)&gt;=YEAR(E48)+N48,0,IF((YEAR(D48)+7)=YEAR(E48),(12-MONTH(E48)+1)/12,1))))))))&gt;0,(((K48)*(IF(M48="",L48,IFERROR(IF(INDEX(Variablen!$I:$AT, MATCH(M48, Variablen!$A:$A, 0), MATCH((YEAR(D48)+7), Variablen!$I$3:$AT$3, 0))="",L48,INDEX(Variablen!$I:$AT, MATCH(M48, Variablen!$A:$A, 0), MATCH((YEAR(D48)+7), Variablen!$I$3:$AT$3, 0))),L48)))*(IF((YEAR(D48)+7)&lt;YEAR(E48),0,IF((YEAR(D48)+7)&gt;YEAR(E48),1,(12-MONTH(E48)+1)/12))) + (Q48)*(IF((YEAR(D48)+7)&lt;YEAR(E48),0,IF((YEAR(D48)+7)&gt;YEAR(E48),1,(12-MONTH(E48)+1)/12))))-((P48)*(IF((YEAR(D48)+7)&lt;YEAR(E48),0,IF((YEAR(D48)+7)&gt;YEAR(E48),1,(12-MONTH(E48)+1)/12))) + (R48)*(IF((YEAR(D48)+7)&lt;YEAR(E48),0,IF((YEAR(D48)+7)&gt;YEAR(E48),1,(12-MONTH(E48)+1)/12))))-(IF(OR(N48="",N48&lt;=0),0,(O48/N48)*(IF(OR(N48="",N48&lt;=0),0,IF((YEAR(D48)+7)&lt;YEAR(E48),0,IF((YEAR(D48)+7)&gt;=YEAR(E48)+N48,0,IF((YEAR(D48)+7)=YEAR(E48),(12-MONTH(E48)+1)/12,1))))))))*TaxRate,0))-IF(7=0,O48,0))</f>
        <v/>
      </c>
      <c r="AA48" s="29">
        <f>IF(A48="","",((K48)*(IF(M48="",L48,IFERROR(IF(INDEX(Variablen!$I:$AT, MATCH(M48, Variablen!$A:$A, 0), MATCH((YEAR(D48)+8), Variablen!$I$3:$AT$3, 0))="",L48,INDEX(Variablen!$I:$AT, MATCH(M48, Variablen!$A:$A, 0), MATCH((YEAR(D48)+8), Variablen!$I$3:$AT$3, 0))),L48)))*(IF((YEAR(D48)+8)&lt;YEAR(E48),0,IF((YEAR(D48)+8)&gt;YEAR(E48),1,(12-MONTH(E48)+1)/12))) + (Q48)*(IF((YEAR(D48)+8)&lt;YEAR(E48),0,IF((YEAR(D48)+8)&gt;YEAR(E48),1,(12-MONTH(E48)+1)/12))))-((P48)*(IF((YEAR(D48)+8)&lt;YEAR(E48),0,IF((YEAR(D48)+8)&gt;YEAR(E48),1,(12-MONTH(E48)+1)/12))) + (R48)*(IF((YEAR(D48)+8)&lt;YEAR(E48),0,IF((YEAR(D48)+8)&gt;YEAR(E48),1,(12-MONTH(E48)+1)/12))))-(IF((((K48)*(IF(M48="",L48,IFERROR(IF(INDEX(Variablen!$I:$AT, MATCH(M48, Variablen!$A:$A, 0), MATCH((YEAR(D48)+8), Variablen!$I$3:$AT$3, 0))="",L48,INDEX(Variablen!$I:$AT, MATCH(M48, Variablen!$A:$A, 0), MATCH((YEAR(D48)+8), Variablen!$I$3:$AT$3, 0))),L48)))*(IF((YEAR(D48)+8)&lt;YEAR(E48),0,IF((YEAR(D48)+8)&gt;YEAR(E48),1,(12-MONTH(E48)+1)/12))) + (Q48)*(IF((YEAR(D48)+8)&lt;YEAR(E48),0,IF((YEAR(D48)+8)&gt;YEAR(E48),1,(12-MONTH(E48)+1)/12))))-((P48)*(IF((YEAR(D48)+8)&lt;YEAR(E48),0,IF((YEAR(D48)+8)&gt;YEAR(E48),1,(12-MONTH(E48)+1)/12))) + (R48)*(IF((YEAR(D48)+8)&lt;YEAR(E48),0,IF((YEAR(D48)+8)&gt;YEAR(E48),1,(12-MONTH(E48)+1)/12))))-(IF(OR(N48="",N48&lt;=0),0,(O48/N48)*(IF(OR(N48="",N48&lt;=0),0,IF((YEAR(D48)+8)&lt;YEAR(E48),0,IF((YEAR(D48)+8)&gt;=YEAR(E48)+N48,0,IF((YEAR(D48)+8)=YEAR(E48),(12-MONTH(E48)+1)/12,1))))))))&gt;0,(((K48)*(IF(M48="",L48,IFERROR(IF(INDEX(Variablen!$I:$AT, MATCH(M48, Variablen!$A:$A, 0), MATCH((YEAR(D48)+8), Variablen!$I$3:$AT$3, 0))="",L48,INDEX(Variablen!$I:$AT, MATCH(M48, Variablen!$A:$A, 0), MATCH((YEAR(D48)+8), Variablen!$I$3:$AT$3, 0))),L48)))*(IF((YEAR(D48)+8)&lt;YEAR(E48),0,IF((YEAR(D48)+8)&gt;YEAR(E48),1,(12-MONTH(E48)+1)/12))) + (Q48)*(IF((YEAR(D48)+8)&lt;YEAR(E48),0,IF((YEAR(D48)+8)&gt;YEAR(E48),1,(12-MONTH(E48)+1)/12))))-((P48)*(IF((YEAR(D48)+8)&lt;YEAR(E48),0,IF((YEAR(D48)+8)&gt;YEAR(E48),1,(12-MONTH(E48)+1)/12))) + (R48)*(IF((YEAR(D48)+8)&lt;YEAR(E48),0,IF((YEAR(D48)+8)&gt;YEAR(E48),1,(12-MONTH(E48)+1)/12))))-(IF(OR(N48="",N48&lt;=0),0,(O48/N48)*(IF(OR(N48="",N48&lt;=0),0,IF((YEAR(D48)+8)&lt;YEAR(E48),0,IF((YEAR(D48)+8)&gt;=YEAR(E48)+N48,0,IF((YEAR(D48)+8)=YEAR(E48),(12-MONTH(E48)+1)/12,1))))))))*TaxRate,0))-IF(8=0,O48,0))</f>
        <v/>
      </c>
      <c r="AB48" s="29">
        <f>IF(A48="","",((K48)*(IF(M48="",L48,IFERROR(IF(INDEX(Variablen!$I:$AT, MATCH(M48, Variablen!$A:$A, 0), MATCH((YEAR(D48)+9), Variablen!$I$3:$AT$3, 0))="",L48,INDEX(Variablen!$I:$AT, MATCH(M48, Variablen!$A:$A, 0), MATCH((YEAR(D48)+9), Variablen!$I$3:$AT$3, 0))),L48)))*(IF((YEAR(D48)+9)&lt;YEAR(E48),0,IF((YEAR(D48)+9)&gt;YEAR(E48),1,(12-MONTH(E48)+1)/12))) + (Q48)*(IF((YEAR(D48)+9)&lt;YEAR(E48),0,IF((YEAR(D48)+9)&gt;YEAR(E48),1,(12-MONTH(E48)+1)/12))))-((P48)*(IF((YEAR(D48)+9)&lt;YEAR(E48),0,IF((YEAR(D48)+9)&gt;YEAR(E48),1,(12-MONTH(E48)+1)/12))) + (R48)*(IF((YEAR(D48)+9)&lt;YEAR(E48),0,IF((YEAR(D48)+9)&gt;YEAR(E48),1,(12-MONTH(E48)+1)/12))))-(IF((((K48)*(IF(M48="",L48,IFERROR(IF(INDEX(Variablen!$I:$AT, MATCH(M48, Variablen!$A:$A, 0), MATCH((YEAR(D48)+9), Variablen!$I$3:$AT$3, 0))="",L48,INDEX(Variablen!$I:$AT, MATCH(M48, Variablen!$A:$A, 0), MATCH((YEAR(D48)+9), Variablen!$I$3:$AT$3, 0))),L48)))*(IF((YEAR(D48)+9)&lt;YEAR(E48),0,IF((YEAR(D48)+9)&gt;YEAR(E48),1,(12-MONTH(E48)+1)/12))) + (Q48)*(IF((YEAR(D48)+9)&lt;YEAR(E48),0,IF((YEAR(D48)+9)&gt;YEAR(E48),1,(12-MONTH(E48)+1)/12))))-((P48)*(IF((YEAR(D48)+9)&lt;YEAR(E48),0,IF((YEAR(D48)+9)&gt;YEAR(E48),1,(12-MONTH(E48)+1)/12))) + (R48)*(IF((YEAR(D48)+9)&lt;YEAR(E48),0,IF((YEAR(D48)+9)&gt;YEAR(E48),1,(12-MONTH(E48)+1)/12))))-(IF(OR(N48="",N48&lt;=0),0,(O48/N48)*(IF(OR(N48="",N48&lt;=0),0,IF((YEAR(D48)+9)&lt;YEAR(E48),0,IF((YEAR(D48)+9)&gt;=YEAR(E48)+N48,0,IF((YEAR(D48)+9)=YEAR(E48),(12-MONTH(E48)+1)/12,1))))))))&gt;0,(((K48)*(IF(M48="",L48,IFERROR(IF(INDEX(Variablen!$I:$AT, MATCH(M48, Variablen!$A:$A, 0), MATCH((YEAR(D48)+9), Variablen!$I$3:$AT$3, 0))="",L48,INDEX(Variablen!$I:$AT, MATCH(M48, Variablen!$A:$A, 0), MATCH((YEAR(D48)+9), Variablen!$I$3:$AT$3, 0))),L48)))*(IF((YEAR(D48)+9)&lt;YEAR(E48),0,IF((YEAR(D48)+9)&gt;YEAR(E48),1,(12-MONTH(E48)+1)/12))) + (Q48)*(IF((YEAR(D48)+9)&lt;YEAR(E48),0,IF((YEAR(D48)+9)&gt;YEAR(E48),1,(12-MONTH(E48)+1)/12))))-((P48)*(IF((YEAR(D48)+9)&lt;YEAR(E48),0,IF((YEAR(D48)+9)&gt;YEAR(E48),1,(12-MONTH(E48)+1)/12))) + (R48)*(IF((YEAR(D48)+9)&lt;YEAR(E48),0,IF((YEAR(D48)+9)&gt;YEAR(E48),1,(12-MONTH(E48)+1)/12))))-(IF(OR(N48="",N48&lt;=0),0,(O48/N48)*(IF(OR(N48="",N48&lt;=0),0,IF((YEAR(D48)+9)&lt;YEAR(E48),0,IF((YEAR(D48)+9)&gt;=YEAR(E48)+N48,0,IF((YEAR(D48)+9)=YEAR(E48),(12-MONTH(E48)+1)/12,1))))))))*TaxRate,0))-IF(9=0,O48,0))</f>
        <v/>
      </c>
      <c r="AC48" s="29">
        <f>IF(A48="","",((K48)*(IF(M48="",L48,IFERROR(IF(INDEX(Variablen!$I:$AT, MATCH(M48, Variablen!$A:$A, 0), MATCH((YEAR(D48)+10), Variablen!$I$3:$AT$3, 0))="",L48,INDEX(Variablen!$I:$AT, MATCH(M48, Variablen!$A:$A, 0), MATCH((YEAR(D48)+10), Variablen!$I$3:$AT$3, 0))),L48)))*(IF((YEAR(D48)+10)&lt;YEAR(E48),0,IF((YEAR(D48)+10)&gt;YEAR(E48),1,(12-MONTH(E48)+1)/12))) + (Q48)*(IF((YEAR(D48)+10)&lt;YEAR(E48),0,IF((YEAR(D48)+10)&gt;YEAR(E48),1,(12-MONTH(E48)+1)/12))))-((P48)*(IF((YEAR(D48)+10)&lt;YEAR(E48),0,IF((YEAR(D48)+10)&gt;YEAR(E48),1,(12-MONTH(E48)+1)/12))) + (R48)*(IF((YEAR(D48)+10)&lt;YEAR(E48),0,IF((YEAR(D48)+10)&gt;YEAR(E48),1,(12-MONTH(E48)+1)/12))))-(IF((((K48)*(IF(M48="",L48,IFERROR(IF(INDEX(Variablen!$I:$AT, MATCH(M48, Variablen!$A:$A, 0), MATCH((YEAR(D48)+10), Variablen!$I$3:$AT$3, 0))="",L48,INDEX(Variablen!$I:$AT, MATCH(M48, Variablen!$A:$A, 0), MATCH((YEAR(D48)+10), Variablen!$I$3:$AT$3, 0))),L48)))*(IF((YEAR(D48)+10)&lt;YEAR(E48),0,IF((YEAR(D48)+10)&gt;YEAR(E48),1,(12-MONTH(E48)+1)/12))) + (Q48)*(IF((YEAR(D48)+10)&lt;YEAR(E48),0,IF((YEAR(D48)+10)&gt;YEAR(E48),1,(12-MONTH(E48)+1)/12))))-((P48)*(IF((YEAR(D48)+10)&lt;YEAR(E48),0,IF((YEAR(D48)+10)&gt;YEAR(E48),1,(12-MONTH(E48)+1)/12))) + (R48)*(IF((YEAR(D48)+10)&lt;YEAR(E48),0,IF((YEAR(D48)+10)&gt;YEAR(E48),1,(12-MONTH(E48)+1)/12))))-(IF(OR(N48="",N48&lt;=0),0,(O48/N48)*(IF(OR(N48="",N48&lt;=0),0,IF((YEAR(D48)+10)&lt;YEAR(E48),0,IF((YEAR(D48)+10)&gt;=YEAR(E48)+N48,0,IF((YEAR(D48)+10)=YEAR(E48),(12-MONTH(E48)+1)/12,1))))))))&gt;0,(((K48)*(IF(M48="",L48,IFERROR(IF(INDEX(Variablen!$I:$AT, MATCH(M48, Variablen!$A:$A, 0), MATCH((YEAR(D48)+10), Variablen!$I$3:$AT$3, 0))="",L48,INDEX(Variablen!$I:$AT, MATCH(M48, Variablen!$A:$A, 0), MATCH((YEAR(D48)+10), Variablen!$I$3:$AT$3, 0))),L48)))*(IF((YEAR(D48)+10)&lt;YEAR(E48),0,IF((YEAR(D48)+10)&gt;YEAR(E48),1,(12-MONTH(E48)+1)/12))) + (Q48)*(IF((YEAR(D48)+10)&lt;YEAR(E48),0,IF((YEAR(D48)+10)&gt;YEAR(E48),1,(12-MONTH(E48)+1)/12))))-((P48)*(IF((YEAR(D48)+10)&lt;YEAR(E48),0,IF((YEAR(D48)+10)&gt;YEAR(E48),1,(12-MONTH(E48)+1)/12))) + (R48)*(IF((YEAR(D48)+10)&lt;YEAR(E48),0,IF((YEAR(D48)+10)&gt;YEAR(E48),1,(12-MONTH(E48)+1)/12))))-(IF(OR(N48="",N48&lt;=0),0,(O48/N48)*(IF(OR(N48="",N48&lt;=0),0,IF((YEAR(D48)+10)&lt;YEAR(E48),0,IF((YEAR(D48)+10)&gt;=YEAR(E48)+N48,0,IF((YEAR(D48)+10)=YEAR(E48),(12-MONTH(E48)+1)/12,1))))))))*TaxRate,0))-IF(10=0,O48,0))</f>
        <v/>
      </c>
      <c r="AD48" s="29">
        <f>IF(A48="","",((K48)*(IF(M48="",L48,IFERROR(IF(INDEX(Variablen!$I:$AT, MATCH(M48, Variablen!$A:$A, 0), MATCH((YEAR(D48)+11), Variablen!$I$3:$AT$3, 0))="",L48,INDEX(Variablen!$I:$AT, MATCH(M48, Variablen!$A:$A, 0), MATCH((YEAR(D48)+11), Variablen!$I$3:$AT$3, 0))),L48)))*(IF((YEAR(D48)+11)&lt;YEAR(E48),0,IF((YEAR(D48)+11)&gt;YEAR(E48),1,(12-MONTH(E48)+1)/12))) + (Q48)*(IF((YEAR(D48)+11)&lt;YEAR(E48),0,IF((YEAR(D48)+11)&gt;YEAR(E48),1,(12-MONTH(E48)+1)/12))))-((P48)*(IF((YEAR(D48)+11)&lt;YEAR(E48),0,IF((YEAR(D48)+11)&gt;YEAR(E48),1,(12-MONTH(E48)+1)/12))) + (R48)*(IF((YEAR(D48)+11)&lt;YEAR(E48),0,IF((YEAR(D48)+11)&gt;YEAR(E48),1,(12-MONTH(E48)+1)/12))))-(IF((((K48)*(IF(M48="",L48,IFERROR(IF(INDEX(Variablen!$I:$AT, MATCH(M48, Variablen!$A:$A, 0), MATCH((YEAR(D48)+11), Variablen!$I$3:$AT$3, 0))="",L48,INDEX(Variablen!$I:$AT, MATCH(M48, Variablen!$A:$A, 0), MATCH((YEAR(D48)+11), Variablen!$I$3:$AT$3, 0))),L48)))*(IF((YEAR(D48)+11)&lt;YEAR(E48),0,IF((YEAR(D48)+11)&gt;YEAR(E48),1,(12-MONTH(E48)+1)/12))) + (Q48)*(IF((YEAR(D48)+11)&lt;YEAR(E48),0,IF((YEAR(D48)+11)&gt;YEAR(E48),1,(12-MONTH(E48)+1)/12))))-((P48)*(IF((YEAR(D48)+11)&lt;YEAR(E48),0,IF((YEAR(D48)+11)&gt;YEAR(E48),1,(12-MONTH(E48)+1)/12))) + (R48)*(IF((YEAR(D48)+11)&lt;YEAR(E48),0,IF((YEAR(D48)+11)&gt;YEAR(E48),1,(12-MONTH(E48)+1)/12))))-(IF(OR(N48="",N48&lt;=0),0,(O48/N48)*(IF(OR(N48="",N48&lt;=0),0,IF((YEAR(D48)+11)&lt;YEAR(E48),0,IF((YEAR(D48)+11)&gt;=YEAR(E48)+N48,0,IF((YEAR(D48)+11)=YEAR(E48),(12-MONTH(E48)+1)/12,1))))))))&gt;0,(((K48)*(IF(M48="",L48,IFERROR(IF(INDEX(Variablen!$I:$AT, MATCH(M48, Variablen!$A:$A, 0), MATCH((YEAR(D48)+11), Variablen!$I$3:$AT$3, 0))="",L48,INDEX(Variablen!$I:$AT, MATCH(M48, Variablen!$A:$A, 0), MATCH((YEAR(D48)+11), Variablen!$I$3:$AT$3, 0))),L48)))*(IF((YEAR(D48)+11)&lt;YEAR(E48),0,IF((YEAR(D48)+11)&gt;YEAR(E48),1,(12-MONTH(E48)+1)/12))) + (Q48)*(IF((YEAR(D48)+11)&lt;YEAR(E48),0,IF((YEAR(D48)+11)&gt;YEAR(E48),1,(12-MONTH(E48)+1)/12))))-((P48)*(IF((YEAR(D48)+11)&lt;YEAR(E48),0,IF((YEAR(D48)+11)&gt;YEAR(E48),1,(12-MONTH(E48)+1)/12))) + (R48)*(IF((YEAR(D48)+11)&lt;YEAR(E48),0,IF((YEAR(D48)+11)&gt;YEAR(E48),1,(12-MONTH(E48)+1)/12))))-(IF(OR(N48="",N48&lt;=0),0,(O48/N48)*(IF(OR(N48="",N48&lt;=0),0,IF((YEAR(D48)+11)&lt;YEAR(E48),0,IF((YEAR(D48)+11)&gt;=YEAR(E48)+N48,0,IF((YEAR(D48)+11)=YEAR(E48),(12-MONTH(E48)+1)/12,1))))))))*TaxRate,0))-IF(11=0,O48,0))</f>
        <v/>
      </c>
      <c r="AE48" s="29">
        <f>IF(A48="","",((K48)*(IF(M48="",L48,IFERROR(IF(INDEX(Variablen!$I:$AT, MATCH(M48, Variablen!$A:$A, 0), MATCH((YEAR(D48)+12), Variablen!$I$3:$AT$3, 0))="",L48,INDEX(Variablen!$I:$AT, MATCH(M48, Variablen!$A:$A, 0), MATCH((YEAR(D48)+12), Variablen!$I$3:$AT$3, 0))),L48)))*(IF((YEAR(D48)+12)&lt;YEAR(E48),0,IF((YEAR(D48)+12)&gt;YEAR(E48),1,(12-MONTH(E48)+1)/12))) + (Q48)*(IF((YEAR(D48)+12)&lt;YEAR(E48),0,IF((YEAR(D48)+12)&gt;YEAR(E48),1,(12-MONTH(E48)+1)/12))))-((P48)*(IF((YEAR(D48)+12)&lt;YEAR(E48),0,IF((YEAR(D48)+12)&gt;YEAR(E48),1,(12-MONTH(E48)+1)/12))) + (R48)*(IF((YEAR(D48)+12)&lt;YEAR(E48),0,IF((YEAR(D48)+12)&gt;YEAR(E48),1,(12-MONTH(E48)+1)/12))))-(IF((((K48)*(IF(M48="",L48,IFERROR(IF(INDEX(Variablen!$I:$AT, MATCH(M48, Variablen!$A:$A, 0), MATCH((YEAR(D48)+12), Variablen!$I$3:$AT$3, 0))="",L48,INDEX(Variablen!$I:$AT, MATCH(M48, Variablen!$A:$A, 0), MATCH((YEAR(D48)+12), Variablen!$I$3:$AT$3, 0))),L48)))*(IF((YEAR(D48)+12)&lt;YEAR(E48),0,IF((YEAR(D48)+12)&gt;YEAR(E48),1,(12-MONTH(E48)+1)/12))) + (Q48)*(IF((YEAR(D48)+12)&lt;YEAR(E48),0,IF((YEAR(D48)+12)&gt;YEAR(E48),1,(12-MONTH(E48)+1)/12))))-((P48)*(IF((YEAR(D48)+12)&lt;YEAR(E48),0,IF((YEAR(D48)+12)&gt;YEAR(E48),1,(12-MONTH(E48)+1)/12))) + (R48)*(IF((YEAR(D48)+12)&lt;YEAR(E48),0,IF((YEAR(D48)+12)&gt;YEAR(E48),1,(12-MONTH(E48)+1)/12))))-(IF(OR(N48="",N48&lt;=0),0,(O48/N48)*(IF(OR(N48="",N48&lt;=0),0,IF((YEAR(D48)+12)&lt;YEAR(E48),0,IF((YEAR(D48)+12)&gt;=YEAR(E48)+N48,0,IF((YEAR(D48)+12)=YEAR(E48),(12-MONTH(E48)+1)/12,1))))))))&gt;0,(((K48)*(IF(M48="",L48,IFERROR(IF(INDEX(Variablen!$I:$AT, MATCH(M48, Variablen!$A:$A, 0), MATCH((YEAR(D48)+12), Variablen!$I$3:$AT$3, 0))="",L48,INDEX(Variablen!$I:$AT, MATCH(M48, Variablen!$A:$A, 0), MATCH((YEAR(D48)+12), Variablen!$I$3:$AT$3, 0))),L48)))*(IF((YEAR(D48)+12)&lt;YEAR(E48),0,IF((YEAR(D48)+12)&gt;YEAR(E48),1,(12-MONTH(E48)+1)/12))) + (Q48)*(IF((YEAR(D48)+12)&lt;YEAR(E48),0,IF((YEAR(D48)+12)&gt;YEAR(E48),1,(12-MONTH(E48)+1)/12))))-((P48)*(IF((YEAR(D48)+12)&lt;YEAR(E48),0,IF((YEAR(D48)+12)&gt;YEAR(E48),1,(12-MONTH(E48)+1)/12))) + (R48)*(IF((YEAR(D48)+12)&lt;YEAR(E48),0,IF((YEAR(D48)+12)&gt;YEAR(E48),1,(12-MONTH(E48)+1)/12))))-(IF(OR(N48="",N48&lt;=0),0,(O48/N48)*(IF(OR(N48="",N48&lt;=0),0,IF((YEAR(D48)+12)&lt;YEAR(E48),0,IF((YEAR(D48)+12)&gt;=YEAR(E48)+N48,0,IF((YEAR(D48)+12)=YEAR(E48),(12-MONTH(E48)+1)/12,1))))))))*TaxRate,0))-IF(12=0,O48,0))</f>
        <v/>
      </c>
      <c r="AF48" s="29">
        <f>IF(A48="","",((K48)*(IF(M48="",L48,IFERROR(IF(INDEX(Variablen!$I:$AT, MATCH(M48, Variablen!$A:$A, 0), MATCH((YEAR(D48)+13), Variablen!$I$3:$AT$3, 0))="",L48,INDEX(Variablen!$I:$AT, MATCH(M48, Variablen!$A:$A, 0), MATCH((YEAR(D48)+13), Variablen!$I$3:$AT$3, 0))),L48)))*(IF((YEAR(D48)+13)&lt;YEAR(E48),0,IF((YEAR(D48)+13)&gt;YEAR(E48),1,(12-MONTH(E48)+1)/12))) + (Q48)*(IF((YEAR(D48)+13)&lt;YEAR(E48),0,IF((YEAR(D48)+13)&gt;YEAR(E48),1,(12-MONTH(E48)+1)/12))))-((P48)*(IF((YEAR(D48)+13)&lt;YEAR(E48),0,IF((YEAR(D48)+13)&gt;YEAR(E48),1,(12-MONTH(E48)+1)/12))) + (R48)*(IF((YEAR(D48)+13)&lt;YEAR(E48),0,IF((YEAR(D48)+13)&gt;YEAR(E48),1,(12-MONTH(E48)+1)/12))))-(IF((((K48)*(IF(M48="",L48,IFERROR(IF(INDEX(Variablen!$I:$AT, MATCH(M48, Variablen!$A:$A, 0), MATCH((YEAR(D48)+13), Variablen!$I$3:$AT$3, 0))="",L48,INDEX(Variablen!$I:$AT, MATCH(M48, Variablen!$A:$A, 0), MATCH((YEAR(D48)+13), Variablen!$I$3:$AT$3, 0))),L48)))*(IF((YEAR(D48)+13)&lt;YEAR(E48),0,IF((YEAR(D48)+13)&gt;YEAR(E48),1,(12-MONTH(E48)+1)/12))) + (Q48)*(IF((YEAR(D48)+13)&lt;YEAR(E48),0,IF((YEAR(D48)+13)&gt;YEAR(E48),1,(12-MONTH(E48)+1)/12))))-((P48)*(IF((YEAR(D48)+13)&lt;YEAR(E48),0,IF((YEAR(D48)+13)&gt;YEAR(E48),1,(12-MONTH(E48)+1)/12))) + (R48)*(IF((YEAR(D48)+13)&lt;YEAR(E48),0,IF((YEAR(D48)+13)&gt;YEAR(E48),1,(12-MONTH(E48)+1)/12))))-(IF(OR(N48="",N48&lt;=0),0,(O48/N48)*(IF(OR(N48="",N48&lt;=0),0,IF((YEAR(D48)+13)&lt;YEAR(E48),0,IF((YEAR(D48)+13)&gt;=YEAR(E48)+N48,0,IF((YEAR(D48)+13)=YEAR(E48),(12-MONTH(E48)+1)/12,1))))))))&gt;0,(((K48)*(IF(M48="",L48,IFERROR(IF(INDEX(Variablen!$I:$AT, MATCH(M48, Variablen!$A:$A, 0), MATCH((YEAR(D48)+13), Variablen!$I$3:$AT$3, 0))="",L48,INDEX(Variablen!$I:$AT, MATCH(M48, Variablen!$A:$A, 0), MATCH((YEAR(D48)+13), Variablen!$I$3:$AT$3, 0))),L48)))*(IF((YEAR(D48)+13)&lt;YEAR(E48),0,IF((YEAR(D48)+13)&gt;YEAR(E48),1,(12-MONTH(E48)+1)/12))) + (Q48)*(IF((YEAR(D48)+13)&lt;YEAR(E48),0,IF((YEAR(D48)+13)&gt;YEAR(E48),1,(12-MONTH(E48)+1)/12))))-((P48)*(IF((YEAR(D48)+13)&lt;YEAR(E48),0,IF((YEAR(D48)+13)&gt;YEAR(E48),1,(12-MONTH(E48)+1)/12))) + (R48)*(IF((YEAR(D48)+13)&lt;YEAR(E48),0,IF((YEAR(D48)+13)&gt;YEAR(E48),1,(12-MONTH(E48)+1)/12))))-(IF(OR(N48="",N48&lt;=0),0,(O48/N48)*(IF(OR(N48="",N48&lt;=0),0,IF((YEAR(D48)+13)&lt;YEAR(E48),0,IF((YEAR(D48)+13)&gt;=YEAR(E48)+N48,0,IF((YEAR(D48)+13)=YEAR(E48),(12-MONTH(E48)+1)/12,1))))))))*TaxRate,0))-IF(13=0,O48,0))</f>
        <v/>
      </c>
      <c r="AG48" s="29">
        <f>IF(A48="","",((K48)*(IF(M48="",L48,IFERROR(IF(INDEX(Variablen!$I:$AT, MATCH(M48, Variablen!$A:$A, 0), MATCH((YEAR(D48)+14), Variablen!$I$3:$AT$3, 0))="",L48,INDEX(Variablen!$I:$AT, MATCH(M48, Variablen!$A:$A, 0), MATCH((YEAR(D48)+14), Variablen!$I$3:$AT$3, 0))),L48)))*(IF((YEAR(D48)+14)&lt;YEAR(E48),0,IF((YEAR(D48)+14)&gt;YEAR(E48),1,(12-MONTH(E48)+1)/12))) + (Q48)*(IF((YEAR(D48)+14)&lt;YEAR(E48),0,IF((YEAR(D48)+14)&gt;YEAR(E48),1,(12-MONTH(E48)+1)/12))))-((P48)*(IF((YEAR(D48)+14)&lt;YEAR(E48),0,IF((YEAR(D48)+14)&gt;YEAR(E48),1,(12-MONTH(E48)+1)/12))) + (R48)*(IF((YEAR(D48)+14)&lt;YEAR(E48),0,IF((YEAR(D48)+14)&gt;YEAR(E48),1,(12-MONTH(E48)+1)/12))))-(IF((((K48)*(IF(M48="",L48,IFERROR(IF(INDEX(Variablen!$I:$AT, MATCH(M48, Variablen!$A:$A, 0), MATCH((YEAR(D48)+14), Variablen!$I$3:$AT$3, 0))="",L48,INDEX(Variablen!$I:$AT, MATCH(M48, Variablen!$A:$A, 0), MATCH((YEAR(D48)+14), Variablen!$I$3:$AT$3, 0))),L48)))*(IF((YEAR(D48)+14)&lt;YEAR(E48),0,IF((YEAR(D48)+14)&gt;YEAR(E48),1,(12-MONTH(E48)+1)/12))) + (Q48)*(IF((YEAR(D48)+14)&lt;YEAR(E48),0,IF((YEAR(D48)+14)&gt;YEAR(E48),1,(12-MONTH(E48)+1)/12))))-((P48)*(IF((YEAR(D48)+14)&lt;YEAR(E48),0,IF((YEAR(D48)+14)&gt;YEAR(E48),1,(12-MONTH(E48)+1)/12))) + (R48)*(IF((YEAR(D48)+14)&lt;YEAR(E48),0,IF((YEAR(D48)+14)&gt;YEAR(E48),1,(12-MONTH(E48)+1)/12))))-(IF(OR(N48="",N48&lt;=0),0,(O48/N48)*(IF(OR(N48="",N48&lt;=0),0,IF((YEAR(D48)+14)&lt;YEAR(E48),0,IF((YEAR(D48)+14)&gt;=YEAR(E48)+N48,0,IF((YEAR(D48)+14)=YEAR(E48),(12-MONTH(E48)+1)/12,1))))))))&gt;0,(((K48)*(IF(M48="",L48,IFERROR(IF(INDEX(Variablen!$I:$AT, MATCH(M48, Variablen!$A:$A, 0), MATCH((YEAR(D48)+14), Variablen!$I$3:$AT$3, 0))="",L48,INDEX(Variablen!$I:$AT, MATCH(M48, Variablen!$A:$A, 0), MATCH((YEAR(D48)+14), Variablen!$I$3:$AT$3, 0))),L48)))*(IF((YEAR(D48)+14)&lt;YEAR(E48),0,IF((YEAR(D48)+14)&gt;YEAR(E48),1,(12-MONTH(E48)+1)/12))) + (Q48)*(IF((YEAR(D48)+14)&lt;YEAR(E48),0,IF((YEAR(D48)+14)&gt;YEAR(E48),1,(12-MONTH(E48)+1)/12))))-((P48)*(IF((YEAR(D48)+14)&lt;YEAR(E48),0,IF((YEAR(D48)+14)&gt;YEAR(E48),1,(12-MONTH(E48)+1)/12))) + (R48)*(IF((YEAR(D48)+14)&lt;YEAR(E48),0,IF((YEAR(D48)+14)&gt;YEAR(E48),1,(12-MONTH(E48)+1)/12))))-(IF(OR(N48="",N48&lt;=0),0,(O48/N48)*(IF(OR(N48="",N48&lt;=0),0,IF((YEAR(D48)+14)&lt;YEAR(E48),0,IF((YEAR(D48)+14)&gt;=YEAR(E48)+N48,0,IF((YEAR(D48)+14)=YEAR(E48),(12-MONTH(E48)+1)/12,1))))))))*TaxRate,0))-IF(14=0,O48,0))</f>
        <v/>
      </c>
      <c r="AH48" s="29">
        <f>IF(A48="","",((K48)*(IF(M48="",L48,IFERROR(IF(INDEX(Variablen!$I:$AT, MATCH(M48, Variablen!$A:$A, 0), MATCH((YEAR(D48)+15), Variablen!$I$3:$AT$3, 0))="",L48,INDEX(Variablen!$I:$AT, MATCH(M48, Variablen!$A:$A, 0), MATCH((YEAR(D48)+15), Variablen!$I$3:$AT$3, 0))),L48)))*(IF((YEAR(D48)+15)&lt;YEAR(E48),0,IF((YEAR(D48)+15)&gt;YEAR(E48),1,(12-MONTH(E48)+1)/12))) + (Q48)*(IF((YEAR(D48)+15)&lt;YEAR(E48),0,IF((YEAR(D48)+15)&gt;YEAR(E48),1,(12-MONTH(E48)+1)/12))))-((P48)*(IF((YEAR(D48)+15)&lt;YEAR(E48),0,IF((YEAR(D48)+15)&gt;YEAR(E48),1,(12-MONTH(E48)+1)/12))) + (R48)*(IF((YEAR(D48)+15)&lt;YEAR(E48),0,IF((YEAR(D48)+15)&gt;YEAR(E48),1,(12-MONTH(E48)+1)/12))))-(IF((((K48)*(IF(M48="",L48,IFERROR(IF(INDEX(Variablen!$I:$AT, MATCH(M48, Variablen!$A:$A, 0), MATCH((YEAR(D48)+15), Variablen!$I$3:$AT$3, 0))="",L48,INDEX(Variablen!$I:$AT, MATCH(M48, Variablen!$A:$A, 0), MATCH((YEAR(D48)+15), Variablen!$I$3:$AT$3, 0))),L48)))*(IF((YEAR(D48)+15)&lt;YEAR(E48),0,IF((YEAR(D48)+15)&gt;YEAR(E48),1,(12-MONTH(E48)+1)/12))) + (Q48)*(IF((YEAR(D48)+15)&lt;YEAR(E48),0,IF((YEAR(D48)+15)&gt;YEAR(E48),1,(12-MONTH(E48)+1)/12))))-((P48)*(IF((YEAR(D48)+15)&lt;YEAR(E48),0,IF((YEAR(D48)+15)&gt;YEAR(E48),1,(12-MONTH(E48)+1)/12))) + (R48)*(IF((YEAR(D48)+15)&lt;YEAR(E48),0,IF((YEAR(D48)+15)&gt;YEAR(E48),1,(12-MONTH(E48)+1)/12))))-(IF(OR(N48="",N48&lt;=0),0,(O48/N48)*(IF(OR(N48="",N48&lt;=0),0,IF((YEAR(D48)+15)&lt;YEAR(E48),0,IF((YEAR(D48)+15)&gt;=YEAR(E48)+N48,0,IF((YEAR(D48)+15)=YEAR(E48),(12-MONTH(E48)+1)/12,1))))))))&gt;0,(((K48)*(IF(M48="",L48,IFERROR(IF(INDEX(Variablen!$I:$AT, MATCH(M48, Variablen!$A:$A, 0), MATCH((YEAR(D48)+15), Variablen!$I$3:$AT$3, 0))="",L48,INDEX(Variablen!$I:$AT, MATCH(M48, Variablen!$A:$A, 0), MATCH((YEAR(D48)+15), Variablen!$I$3:$AT$3, 0))),L48)))*(IF((YEAR(D48)+15)&lt;YEAR(E48),0,IF((YEAR(D48)+15)&gt;YEAR(E48),1,(12-MONTH(E48)+1)/12))) + (Q48)*(IF((YEAR(D48)+15)&lt;YEAR(E48),0,IF((YEAR(D48)+15)&gt;YEAR(E48),1,(12-MONTH(E48)+1)/12))))-((P48)*(IF((YEAR(D48)+15)&lt;YEAR(E48),0,IF((YEAR(D48)+15)&gt;YEAR(E48),1,(12-MONTH(E48)+1)/12))) + (R48)*(IF((YEAR(D48)+15)&lt;YEAR(E48),0,IF((YEAR(D48)+15)&gt;YEAR(E48),1,(12-MONTH(E48)+1)/12))))-(IF(OR(N48="",N48&lt;=0),0,(O48/N48)*(IF(OR(N48="",N48&lt;=0),0,IF((YEAR(D48)+15)&lt;YEAR(E48),0,IF((YEAR(D48)+15)&gt;=YEAR(E48)+N48,0,IF((YEAR(D48)+15)=YEAR(E48),(12-MONTH(E48)+1)/12,1))))))))*TaxRate,0))-IF(15=0,O48,0))</f>
        <v/>
      </c>
      <c r="AI48" s="29">
        <f>IF(A48="","",((K48)*(IF(M48="",L48,IFERROR(IF(INDEX(Variablen!$I:$AT, MATCH(M48, Variablen!$A:$A, 0), MATCH((YEAR(D48)+16), Variablen!$I$3:$AT$3, 0))="",L48,INDEX(Variablen!$I:$AT, MATCH(M48, Variablen!$A:$A, 0), MATCH((YEAR(D48)+16), Variablen!$I$3:$AT$3, 0))),L48)))*(IF((YEAR(D48)+16)&lt;YEAR(E48),0,IF((YEAR(D48)+16)&gt;YEAR(E48),1,(12-MONTH(E48)+1)/12))) + (Q48)*(IF((YEAR(D48)+16)&lt;YEAR(E48),0,IF((YEAR(D48)+16)&gt;YEAR(E48),1,(12-MONTH(E48)+1)/12))))-((P48)*(IF((YEAR(D48)+16)&lt;YEAR(E48),0,IF((YEAR(D48)+16)&gt;YEAR(E48),1,(12-MONTH(E48)+1)/12))) + (R48)*(IF((YEAR(D48)+16)&lt;YEAR(E48),0,IF((YEAR(D48)+16)&gt;YEAR(E48),1,(12-MONTH(E48)+1)/12))))-(IF((((K48)*(IF(M48="",L48,IFERROR(IF(INDEX(Variablen!$I:$AT, MATCH(M48, Variablen!$A:$A, 0), MATCH((YEAR(D48)+16), Variablen!$I$3:$AT$3, 0))="",L48,INDEX(Variablen!$I:$AT, MATCH(M48, Variablen!$A:$A, 0), MATCH((YEAR(D48)+16), Variablen!$I$3:$AT$3, 0))),L48)))*(IF((YEAR(D48)+16)&lt;YEAR(E48),0,IF((YEAR(D48)+16)&gt;YEAR(E48),1,(12-MONTH(E48)+1)/12))) + (Q48)*(IF((YEAR(D48)+16)&lt;YEAR(E48),0,IF((YEAR(D48)+16)&gt;YEAR(E48),1,(12-MONTH(E48)+1)/12))))-((P48)*(IF((YEAR(D48)+16)&lt;YEAR(E48),0,IF((YEAR(D48)+16)&gt;YEAR(E48),1,(12-MONTH(E48)+1)/12))) + (R48)*(IF((YEAR(D48)+16)&lt;YEAR(E48),0,IF((YEAR(D48)+16)&gt;YEAR(E48),1,(12-MONTH(E48)+1)/12))))-(IF(OR(N48="",N48&lt;=0),0,(O48/N48)*(IF(OR(N48="",N48&lt;=0),0,IF((YEAR(D48)+16)&lt;YEAR(E48),0,IF((YEAR(D48)+16)&gt;=YEAR(E48)+N48,0,IF((YEAR(D48)+16)=YEAR(E48),(12-MONTH(E48)+1)/12,1))))))))&gt;0,(((K48)*(IF(M48="",L48,IFERROR(IF(INDEX(Variablen!$I:$AT, MATCH(M48, Variablen!$A:$A, 0), MATCH((YEAR(D48)+16), Variablen!$I$3:$AT$3, 0))="",L48,INDEX(Variablen!$I:$AT, MATCH(M48, Variablen!$A:$A, 0), MATCH((YEAR(D48)+16), Variablen!$I$3:$AT$3, 0))),L48)))*(IF((YEAR(D48)+16)&lt;YEAR(E48),0,IF((YEAR(D48)+16)&gt;YEAR(E48),1,(12-MONTH(E48)+1)/12))) + (Q48)*(IF((YEAR(D48)+16)&lt;YEAR(E48),0,IF((YEAR(D48)+16)&gt;YEAR(E48),1,(12-MONTH(E48)+1)/12))))-((P48)*(IF((YEAR(D48)+16)&lt;YEAR(E48),0,IF((YEAR(D48)+16)&gt;YEAR(E48),1,(12-MONTH(E48)+1)/12))) + (R48)*(IF((YEAR(D48)+16)&lt;YEAR(E48),0,IF((YEAR(D48)+16)&gt;YEAR(E48),1,(12-MONTH(E48)+1)/12))))-(IF(OR(N48="",N48&lt;=0),0,(O48/N48)*(IF(OR(N48="",N48&lt;=0),0,IF((YEAR(D48)+16)&lt;YEAR(E48),0,IF((YEAR(D48)+16)&gt;=YEAR(E48)+N48,0,IF((YEAR(D48)+16)=YEAR(E48),(12-MONTH(E48)+1)/12,1))))))))*TaxRate,0))-IF(16=0,O48,0))</f>
        <v/>
      </c>
      <c r="AJ48" s="29">
        <f>IF(A48="","",((K48)*(IF(M48="",L48,IFERROR(IF(INDEX(Variablen!$I:$AT, MATCH(M48, Variablen!$A:$A, 0), MATCH((YEAR(D48)+17), Variablen!$I$3:$AT$3, 0))="",L48,INDEX(Variablen!$I:$AT, MATCH(M48, Variablen!$A:$A, 0), MATCH((YEAR(D48)+17), Variablen!$I$3:$AT$3, 0))),L48)))*(IF((YEAR(D48)+17)&lt;YEAR(E48),0,IF((YEAR(D48)+17)&gt;YEAR(E48),1,(12-MONTH(E48)+1)/12))) + (Q48)*(IF((YEAR(D48)+17)&lt;YEAR(E48),0,IF((YEAR(D48)+17)&gt;YEAR(E48),1,(12-MONTH(E48)+1)/12))))-((P48)*(IF((YEAR(D48)+17)&lt;YEAR(E48),0,IF((YEAR(D48)+17)&gt;YEAR(E48),1,(12-MONTH(E48)+1)/12))) + (R48)*(IF((YEAR(D48)+17)&lt;YEAR(E48),0,IF((YEAR(D48)+17)&gt;YEAR(E48),1,(12-MONTH(E48)+1)/12))))-(IF((((K48)*(IF(M48="",L48,IFERROR(IF(INDEX(Variablen!$I:$AT, MATCH(M48, Variablen!$A:$A, 0), MATCH((YEAR(D48)+17), Variablen!$I$3:$AT$3, 0))="",L48,INDEX(Variablen!$I:$AT, MATCH(M48, Variablen!$A:$A, 0), MATCH((YEAR(D48)+17), Variablen!$I$3:$AT$3, 0))),L48)))*(IF((YEAR(D48)+17)&lt;YEAR(E48),0,IF((YEAR(D48)+17)&gt;YEAR(E48),1,(12-MONTH(E48)+1)/12))) + (Q48)*(IF((YEAR(D48)+17)&lt;YEAR(E48),0,IF((YEAR(D48)+17)&gt;YEAR(E48),1,(12-MONTH(E48)+1)/12))))-((P48)*(IF((YEAR(D48)+17)&lt;YEAR(E48),0,IF((YEAR(D48)+17)&gt;YEAR(E48),1,(12-MONTH(E48)+1)/12))) + (R48)*(IF((YEAR(D48)+17)&lt;YEAR(E48),0,IF((YEAR(D48)+17)&gt;YEAR(E48),1,(12-MONTH(E48)+1)/12))))-(IF(OR(N48="",N48&lt;=0),0,(O48/N48)*(IF(OR(N48="",N48&lt;=0),0,IF((YEAR(D48)+17)&lt;YEAR(E48),0,IF((YEAR(D48)+17)&gt;=YEAR(E48)+N48,0,IF((YEAR(D48)+17)=YEAR(E48),(12-MONTH(E48)+1)/12,1))))))))&gt;0,(((K48)*(IF(M48="",L48,IFERROR(IF(INDEX(Variablen!$I:$AT, MATCH(M48, Variablen!$A:$A, 0), MATCH((YEAR(D48)+17), Variablen!$I$3:$AT$3, 0))="",L48,INDEX(Variablen!$I:$AT, MATCH(M48, Variablen!$A:$A, 0), MATCH((YEAR(D48)+17), Variablen!$I$3:$AT$3, 0))),L48)))*(IF((YEAR(D48)+17)&lt;YEAR(E48),0,IF((YEAR(D48)+17)&gt;YEAR(E48),1,(12-MONTH(E48)+1)/12))) + (Q48)*(IF((YEAR(D48)+17)&lt;YEAR(E48),0,IF((YEAR(D48)+17)&gt;YEAR(E48),1,(12-MONTH(E48)+1)/12))))-((P48)*(IF((YEAR(D48)+17)&lt;YEAR(E48),0,IF((YEAR(D48)+17)&gt;YEAR(E48),1,(12-MONTH(E48)+1)/12))) + (R48)*(IF((YEAR(D48)+17)&lt;YEAR(E48),0,IF((YEAR(D48)+17)&gt;YEAR(E48),1,(12-MONTH(E48)+1)/12))))-(IF(OR(N48="",N48&lt;=0),0,(O48/N48)*(IF(OR(N48="",N48&lt;=0),0,IF((YEAR(D48)+17)&lt;YEAR(E48),0,IF((YEAR(D48)+17)&gt;=YEAR(E48)+N48,0,IF((YEAR(D48)+17)=YEAR(E48),(12-MONTH(E48)+1)/12,1))))))))*TaxRate,0))-IF(17=0,O48,0))</f>
        <v/>
      </c>
      <c r="AK48" s="29">
        <f>IF(A48="","",((K48)*(IF(M48="",L48,IFERROR(IF(INDEX(Variablen!$I:$AT, MATCH(M48, Variablen!$A:$A, 0), MATCH((YEAR(D48)+18), Variablen!$I$3:$AT$3, 0))="",L48,INDEX(Variablen!$I:$AT, MATCH(M48, Variablen!$A:$A, 0), MATCH((YEAR(D48)+18), Variablen!$I$3:$AT$3, 0))),L48)))*(IF((YEAR(D48)+18)&lt;YEAR(E48),0,IF((YEAR(D48)+18)&gt;YEAR(E48),1,(12-MONTH(E48)+1)/12))) + (Q48)*(IF((YEAR(D48)+18)&lt;YEAR(E48),0,IF((YEAR(D48)+18)&gt;YEAR(E48),1,(12-MONTH(E48)+1)/12))))-((P48)*(IF((YEAR(D48)+18)&lt;YEAR(E48),0,IF((YEAR(D48)+18)&gt;YEAR(E48),1,(12-MONTH(E48)+1)/12))) + (R48)*(IF((YEAR(D48)+18)&lt;YEAR(E48),0,IF((YEAR(D48)+18)&gt;YEAR(E48),1,(12-MONTH(E48)+1)/12))))-(IF((((K48)*(IF(M48="",L48,IFERROR(IF(INDEX(Variablen!$I:$AT, MATCH(M48, Variablen!$A:$A, 0), MATCH((YEAR(D48)+18), Variablen!$I$3:$AT$3, 0))="",L48,INDEX(Variablen!$I:$AT, MATCH(M48, Variablen!$A:$A, 0), MATCH((YEAR(D48)+18), Variablen!$I$3:$AT$3, 0))),L48)))*(IF((YEAR(D48)+18)&lt;YEAR(E48),0,IF((YEAR(D48)+18)&gt;YEAR(E48),1,(12-MONTH(E48)+1)/12))) + (Q48)*(IF((YEAR(D48)+18)&lt;YEAR(E48),0,IF((YEAR(D48)+18)&gt;YEAR(E48),1,(12-MONTH(E48)+1)/12))))-((P48)*(IF((YEAR(D48)+18)&lt;YEAR(E48),0,IF((YEAR(D48)+18)&gt;YEAR(E48),1,(12-MONTH(E48)+1)/12))) + (R48)*(IF((YEAR(D48)+18)&lt;YEAR(E48),0,IF((YEAR(D48)+18)&gt;YEAR(E48),1,(12-MONTH(E48)+1)/12))))-(IF(OR(N48="",N48&lt;=0),0,(O48/N48)*(IF(OR(N48="",N48&lt;=0),0,IF((YEAR(D48)+18)&lt;YEAR(E48),0,IF((YEAR(D48)+18)&gt;=YEAR(E48)+N48,0,IF((YEAR(D48)+18)=YEAR(E48),(12-MONTH(E48)+1)/12,1))))))))&gt;0,(((K48)*(IF(M48="",L48,IFERROR(IF(INDEX(Variablen!$I:$AT, MATCH(M48, Variablen!$A:$A, 0), MATCH((YEAR(D48)+18), Variablen!$I$3:$AT$3, 0))="",L48,INDEX(Variablen!$I:$AT, MATCH(M48, Variablen!$A:$A, 0), MATCH((YEAR(D48)+18), Variablen!$I$3:$AT$3, 0))),L48)))*(IF((YEAR(D48)+18)&lt;YEAR(E48),0,IF((YEAR(D48)+18)&gt;YEAR(E48),1,(12-MONTH(E48)+1)/12))) + (Q48)*(IF((YEAR(D48)+18)&lt;YEAR(E48),0,IF((YEAR(D48)+18)&gt;YEAR(E48),1,(12-MONTH(E48)+1)/12))))-((P48)*(IF((YEAR(D48)+18)&lt;YEAR(E48),0,IF((YEAR(D48)+18)&gt;YEAR(E48),1,(12-MONTH(E48)+1)/12))) + (R48)*(IF((YEAR(D48)+18)&lt;YEAR(E48),0,IF((YEAR(D48)+18)&gt;YEAR(E48),1,(12-MONTH(E48)+1)/12))))-(IF(OR(N48="",N48&lt;=0),0,(O48/N48)*(IF(OR(N48="",N48&lt;=0),0,IF((YEAR(D48)+18)&lt;YEAR(E48),0,IF((YEAR(D48)+18)&gt;=YEAR(E48)+N48,0,IF((YEAR(D48)+18)=YEAR(E48),(12-MONTH(E48)+1)/12,1))))))))*TaxRate,0))-IF(18=0,O48,0))</f>
        <v/>
      </c>
      <c r="AL48" s="29">
        <f>IF(A48="","",((K48)*(IF(M48="",L48,IFERROR(IF(INDEX(Variablen!$I:$AT, MATCH(M48, Variablen!$A:$A, 0), MATCH((YEAR(D48)+19), Variablen!$I$3:$AT$3, 0))="",L48,INDEX(Variablen!$I:$AT, MATCH(M48, Variablen!$A:$A, 0), MATCH((YEAR(D48)+19), Variablen!$I$3:$AT$3, 0))),L48)))*(IF((YEAR(D48)+19)&lt;YEAR(E48),0,IF((YEAR(D48)+19)&gt;YEAR(E48),1,(12-MONTH(E48)+1)/12))) + (Q48)*(IF((YEAR(D48)+19)&lt;YEAR(E48),0,IF((YEAR(D48)+19)&gt;YEAR(E48),1,(12-MONTH(E48)+1)/12))))-((P48)*(IF((YEAR(D48)+19)&lt;YEAR(E48),0,IF((YEAR(D48)+19)&gt;YEAR(E48),1,(12-MONTH(E48)+1)/12))) + (R48)*(IF((YEAR(D48)+19)&lt;YEAR(E48),0,IF((YEAR(D48)+19)&gt;YEAR(E48),1,(12-MONTH(E48)+1)/12))))-(IF((((K48)*(IF(M48="",L48,IFERROR(IF(INDEX(Variablen!$I:$AT, MATCH(M48, Variablen!$A:$A, 0), MATCH((YEAR(D48)+19), Variablen!$I$3:$AT$3, 0))="",L48,INDEX(Variablen!$I:$AT, MATCH(M48, Variablen!$A:$A, 0), MATCH((YEAR(D48)+19), Variablen!$I$3:$AT$3, 0))),L48)))*(IF((YEAR(D48)+19)&lt;YEAR(E48),0,IF((YEAR(D48)+19)&gt;YEAR(E48),1,(12-MONTH(E48)+1)/12))) + (Q48)*(IF((YEAR(D48)+19)&lt;YEAR(E48),0,IF((YEAR(D48)+19)&gt;YEAR(E48),1,(12-MONTH(E48)+1)/12))))-((P48)*(IF((YEAR(D48)+19)&lt;YEAR(E48),0,IF((YEAR(D48)+19)&gt;YEAR(E48),1,(12-MONTH(E48)+1)/12))) + (R48)*(IF((YEAR(D48)+19)&lt;YEAR(E48),0,IF((YEAR(D48)+19)&gt;YEAR(E48),1,(12-MONTH(E48)+1)/12))))-(IF(OR(N48="",N48&lt;=0),0,(O48/N48)*(IF(OR(N48="",N48&lt;=0),0,IF((YEAR(D48)+19)&lt;YEAR(E48),0,IF((YEAR(D48)+19)&gt;=YEAR(E48)+N48,0,IF((YEAR(D48)+19)=YEAR(E48),(12-MONTH(E48)+1)/12,1))))))))&gt;0,(((K48)*(IF(M48="",L48,IFERROR(IF(INDEX(Variablen!$I:$AT, MATCH(M48, Variablen!$A:$A, 0), MATCH((YEAR(D48)+19), Variablen!$I$3:$AT$3, 0))="",L48,INDEX(Variablen!$I:$AT, MATCH(M48, Variablen!$A:$A, 0), MATCH((YEAR(D48)+19), Variablen!$I$3:$AT$3, 0))),L48)))*(IF((YEAR(D48)+19)&lt;YEAR(E48),0,IF((YEAR(D48)+19)&gt;YEAR(E48),1,(12-MONTH(E48)+1)/12))) + (Q48)*(IF((YEAR(D48)+19)&lt;YEAR(E48),0,IF((YEAR(D48)+19)&gt;YEAR(E48),1,(12-MONTH(E48)+1)/12))))-((P48)*(IF((YEAR(D48)+19)&lt;YEAR(E48),0,IF((YEAR(D48)+19)&gt;YEAR(E48),1,(12-MONTH(E48)+1)/12))) + (R48)*(IF((YEAR(D48)+19)&lt;YEAR(E48),0,IF((YEAR(D48)+19)&gt;YEAR(E48),1,(12-MONTH(E48)+1)/12))))-(IF(OR(N48="",N48&lt;=0),0,(O48/N48)*(IF(OR(N48="",N48&lt;=0),0,IF((YEAR(D48)+19)&lt;YEAR(E48),0,IF((YEAR(D48)+19)&gt;=YEAR(E48)+N48,0,IF((YEAR(D48)+19)=YEAR(E48),(12-MONTH(E48)+1)/12,1))))))))*TaxRate,0))-IF(19=0,O48,0))</f>
        <v/>
      </c>
      <c r="AM48" s="29">
        <f>IF(A48="","",((K48)*(IF(M48="",L48,IFERROR(IF(INDEX(Variablen!$I:$AT, MATCH(M48, Variablen!$A:$A, 0), MATCH((YEAR(D48)+20), Variablen!$I$3:$AT$3, 0))="",L48,INDEX(Variablen!$I:$AT, MATCH(M48, Variablen!$A:$A, 0), MATCH((YEAR(D48)+20), Variablen!$I$3:$AT$3, 0))),L48)))*(IF((YEAR(D48)+20)&lt;YEAR(E48),0,IF((YEAR(D48)+20)&gt;YEAR(E48),1,(12-MONTH(E48)+1)/12))) + (Q48)*(IF((YEAR(D48)+20)&lt;YEAR(E48),0,IF((YEAR(D48)+20)&gt;YEAR(E48),1,(12-MONTH(E48)+1)/12))))-((P48)*(IF((YEAR(D48)+20)&lt;YEAR(E48),0,IF((YEAR(D48)+20)&gt;YEAR(E48),1,(12-MONTH(E48)+1)/12))) + (R48)*(IF((YEAR(D48)+20)&lt;YEAR(E48),0,IF((YEAR(D48)+20)&gt;YEAR(E48),1,(12-MONTH(E48)+1)/12))))-(IF((((K48)*(IF(M48="",L48,IFERROR(IF(INDEX(Variablen!$I:$AT, MATCH(M48, Variablen!$A:$A, 0), MATCH((YEAR(D48)+20), Variablen!$I$3:$AT$3, 0))="",L48,INDEX(Variablen!$I:$AT, MATCH(M48, Variablen!$A:$A, 0), MATCH((YEAR(D48)+20), Variablen!$I$3:$AT$3, 0))),L48)))*(IF((YEAR(D48)+20)&lt;YEAR(E48),0,IF((YEAR(D48)+20)&gt;YEAR(E48),1,(12-MONTH(E48)+1)/12))) + (Q48)*(IF((YEAR(D48)+20)&lt;YEAR(E48),0,IF((YEAR(D48)+20)&gt;YEAR(E48),1,(12-MONTH(E48)+1)/12))))-((P48)*(IF((YEAR(D48)+20)&lt;YEAR(E48),0,IF((YEAR(D48)+20)&gt;YEAR(E48),1,(12-MONTH(E48)+1)/12))) + (R48)*(IF((YEAR(D48)+20)&lt;YEAR(E48),0,IF((YEAR(D48)+20)&gt;YEAR(E48),1,(12-MONTH(E48)+1)/12))))-(IF(OR(N48="",N48&lt;=0),0,(O48/N48)*(IF(OR(N48="",N48&lt;=0),0,IF((YEAR(D48)+20)&lt;YEAR(E48),0,IF((YEAR(D48)+20)&gt;=YEAR(E48)+N48,0,IF((YEAR(D48)+20)=YEAR(E48),(12-MONTH(E48)+1)/12,1))))))))&gt;0,(((K48)*(IF(M48="",L48,IFERROR(IF(INDEX(Variablen!$I:$AT, MATCH(M48, Variablen!$A:$A, 0), MATCH((YEAR(D48)+20), Variablen!$I$3:$AT$3, 0))="",L48,INDEX(Variablen!$I:$AT, MATCH(M48, Variablen!$A:$A, 0), MATCH((YEAR(D48)+20), Variablen!$I$3:$AT$3, 0))),L48)))*(IF((YEAR(D48)+20)&lt;YEAR(E48),0,IF((YEAR(D48)+20)&gt;YEAR(E48),1,(12-MONTH(E48)+1)/12))) + (Q48)*(IF((YEAR(D48)+20)&lt;YEAR(E48),0,IF((YEAR(D48)+20)&gt;YEAR(E48),1,(12-MONTH(E48)+1)/12))))-((P48)*(IF((YEAR(D48)+20)&lt;YEAR(E48),0,IF((YEAR(D48)+20)&gt;YEAR(E48),1,(12-MONTH(E48)+1)/12))) + (R48)*(IF((YEAR(D48)+20)&lt;YEAR(E48),0,IF((YEAR(D48)+20)&gt;YEAR(E48),1,(12-MONTH(E48)+1)/12))))-(IF(OR(N48="",N48&lt;=0),0,(O48/N48)*(IF(OR(N48="",N48&lt;=0),0,IF((YEAR(D48)+20)&lt;YEAR(E48),0,IF((YEAR(D48)+20)&gt;=YEAR(E48)+N48,0,IF((YEAR(D48)+20)=YEAR(E48),(12-MONTH(E48)+1)/12,1))))))))*TaxRate,0))-IF(20=0,O48,0))</f>
        <v/>
      </c>
      <c r="AN48" s="29">
        <f>IF(A48="","",S48)</f>
        <v/>
      </c>
      <c r="AO48" s="29">
        <f>IF(A48="","",AN48+T48)</f>
        <v/>
      </c>
      <c r="AP48" s="29">
        <f>IF(A48="","",AO48+U48)</f>
        <v/>
      </c>
      <c r="AQ48" s="29">
        <f>IF(A48="","",AP48+V48)</f>
        <v/>
      </c>
      <c r="AR48" s="29">
        <f>IF(A48="","",AQ48+W48)</f>
        <v/>
      </c>
      <c r="AS48" s="29">
        <f>IF(A48="","",AR48+X48)</f>
        <v/>
      </c>
      <c r="AT48" s="29">
        <f>IF(A48="","",AS48+Y48)</f>
        <v/>
      </c>
      <c r="AU48" s="29">
        <f>IF(A48="","",AT48+Z48)</f>
        <v/>
      </c>
      <c r="AV48" s="29">
        <f>IF(A48="","",AU48+AA48)</f>
        <v/>
      </c>
      <c r="AW48" s="29">
        <f>IF(A48="","",AV48+AB48)</f>
        <v/>
      </c>
      <c r="AX48" s="29">
        <f>IF(A48="","",AW48+AC48)</f>
        <v/>
      </c>
      <c r="AY48" s="29">
        <f>IF(A48="","",AX48+AD48)</f>
        <v/>
      </c>
      <c r="AZ48" s="29">
        <f>IF(A48="","",AY48+AE48)</f>
        <v/>
      </c>
      <c r="BA48" s="29">
        <f>IF(A48="","",AZ48+AF48)</f>
        <v/>
      </c>
      <c r="BB48" s="29">
        <f>IF(A48="","",BA48+AG48)</f>
        <v/>
      </c>
      <c r="BC48" s="29">
        <f>IF(A48="","",BB48+AH48)</f>
        <v/>
      </c>
      <c r="BD48" s="29">
        <f>IF(A48="","",BC48+AI48)</f>
        <v/>
      </c>
      <c r="BE48" s="29">
        <f>IF(A48="","",BD48+AJ48)</f>
        <v/>
      </c>
      <c r="BF48" s="29">
        <f>IF(A48="","",BE48+AK48)</f>
        <v/>
      </c>
      <c r="BG48" s="29">
        <f>IF(A48="","",BF48+AL48)</f>
        <v/>
      </c>
      <c r="BH48" s="29">
        <f>IF(A48="","",BG48+AM48)</f>
        <v/>
      </c>
      <c r="BI48" s="36">
        <f>IF(A48="","",(K48)*(IF((YEAR(D48)+0)&lt;YEAR(E48),0,IF((YEAR(D48)+0)&gt;YEAR(E48),1,(12-MONTH(E48)+1)/12)))*(1/(1+DiscountRate)^0))</f>
        <v/>
      </c>
      <c r="BJ48" s="36">
        <f>IF(A48="","",(K48)*(IF((YEAR(D48)+1)&lt;YEAR(E48),0,IF((YEAR(D48)+1)&gt;YEAR(E48),1,(12-MONTH(E48)+1)/12)))*(1/(1+DiscountRate)^1))</f>
        <v/>
      </c>
      <c r="BK48" s="36">
        <f>IF(A48="","",(K48)*(IF((YEAR(D48)+2)&lt;YEAR(E48),0,IF((YEAR(D48)+2)&gt;YEAR(E48),1,(12-MONTH(E48)+1)/12)))*(1/(1+DiscountRate)^2))</f>
        <v/>
      </c>
      <c r="BL48" s="36">
        <f>IF(A48="","",(K48)*(IF((YEAR(D48)+3)&lt;YEAR(E48),0,IF((YEAR(D48)+3)&gt;YEAR(E48),1,(12-MONTH(E48)+1)/12)))*(1/(1+DiscountRate)^3))</f>
        <v/>
      </c>
      <c r="BM48" s="36">
        <f>IF(A48="","",(K48)*(IF((YEAR(D48)+4)&lt;YEAR(E48),0,IF((YEAR(D48)+4)&gt;YEAR(E48),1,(12-MONTH(E48)+1)/12)))*(1/(1+DiscountRate)^4))</f>
        <v/>
      </c>
      <c r="BN48" s="36">
        <f>IF(A48="","",(K48)*(IF((YEAR(D48)+5)&lt;YEAR(E48),0,IF((YEAR(D48)+5)&gt;YEAR(E48),1,(12-MONTH(E48)+1)/12)))*(1/(1+DiscountRate)^5))</f>
        <v/>
      </c>
      <c r="BO48" s="36">
        <f>IF(A48="","",(K48)*(IF((YEAR(D48)+6)&lt;YEAR(E48),0,IF((YEAR(D48)+6)&gt;YEAR(E48),1,(12-MONTH(E48)+1)/12)))*(1/(1+DiscountRate)^6))</f>
        <v/>
      </c>
      <c r="BP48" s="36">
        <f>IF(A48="","",(K48)*(IF((YEAR(D48)+7)&lt;YEAR(E48),0,IF((YEAR(D48)+7)&gt;YEAR(E48),1,(12-MONTH(E48)+1)/12)))*(1/(1+DiscountRate)^7))</f>
        <v/>
      </c>
      <c r="BQ48" s="36">
        <f>IF(A48="","",(K48)*(IF((YEAR(D48)+8)&lt;YEAR(E48),0,IF((YEAR(D48)+8)&gt;YEAR(E48),1,(12-MONTH(E48)+1)/12)))*(1/(1+DiscountRate)^8))</f>
        <v/>
      </c>
      <c r="BR48" s="36">
        <f>IF(A48="","",(K48)*(IF((YEAR(D48)+9)&lt;YEAR(E48),0,IF((YEAR(D48)+9)&gt;YEAR(E48),1,(12-MONTH(E48)+1)/12)))*(1/(1+DiscountRate)^9))</f>
        <v/>
      </c>
      <c r="BS48" s="36">
        <f>IF(A48="","",(K48)*(IF((YEAR(D48)+10)&lt;YEAR(E48),0,IF((YEAR(D48)+10)&gt;YEAR(E48),1,(12-MONTH(E48)+1)/12)))*(1/(1+DiscountRate)^10))</f>
        <v/>
      </c>
      <c r="BT48" s="36">
        <f>IF(A48="","",(K48)*(IF((YEAR(D48)+11)&lt;YEAR(E48),0,IF((YEAR(D48)+11)&gt;YEAR(E48),1,(12-MONTH(E48)+1)/12)))*(1/(1+DiscountRate)^11))</f>
        <v/>
      </c>
      <c r="BU48" s="36">
        <f>IF(A48="","",(K48)*(IF((YEAR(D48)+12)&lt;YEAR(E48),0,IF((YEAR(D48)+12)&gt;YEAR(E48),1,(12-MONTH(E48)+1)/12)))*(1/(1+DiscountRate)^12))</f>
        <v/>
      </c>
      <c r="BV48" s="36">
        <f>IF(A48="","",(K48)*(IF((YEAR(D48)+13)&lt;YEAR(E48),0,IF((YEAR(D48)+13)&gt;YEAR(E48),1,(12-MONTH(E48)+1)/12)))*(1/(1+DiscountRate)^13))</f>
        <v/>
      </c>
      <c r="BW48" s="36">
        <f>IF(A48="","",(K48)*(IF((YEAR(D48)+14)&lt;YEAR(E48),0,IF((YEAR(D48)+14)&gt;YEAR(E48),1,(12-MONTH(E48)+1)/12)))*(1/(1+DiscountRate)^14))</f>
        <v/>
      </c>
      <c r="BX48" s="36">
        <f>IF(A48="","",(K48)*(IF((YEAR(D48)+15)&lt;YEAR(E48),0,IF((YEAR(D48)+15)&gt;YEAR(E48),1,(12-MONTH(E48)+1)/12)))*(1/(1+DiscountRate)^15))</f>
        <v/>
      </c>
      <c r="BY48" s="36">
        <f>IF(A48="","",(K48)*(IF((YEAR(D48)+16)&lt;YEAR(E48),0,IF((YEAR(D48)+16)&gt;YEAR(E48),1,(12-MONTH(E48)+1)/12)))*(1/(1+DiscountRate)^16))</f>
        <v/>
      </c>
      <c r="BZ48" s="36">
        <f>IF(A48="","",(K48)*(IF((YEAR(D48)+17)&lt;YEAR(E48),0,IF((YEAR(D48)+17)&gt;YEAR(E48),1,(12-MONTH(E48)+1)/12)))*(1/(1+DiscountRate)^17))</f>
        <v/>
      </c>
      <c r="CA48" s="36">
        <f>IF(A48="","",(K48)*(IF((YEAR(D48)+18)&lt;YEAR(E48),0,IF((YEAR(D48)+18)&gt;YEAR(E48),1,(12-MONTH(E48)+1)/12)))*(1/(1+DiscountRate)^18))</f>
        <v/>
      </c>
      <c r="CB48" s="36">
        <f>IF(A48="","",(K48)*(IF((YEAR(D48)+19)&lt;YEAR(E48),0,IF((YEAR(D48)+19)&gt;YEAR(E48),1,(12-MONTH(E48)+1)/12)))*(1/(1+DiscountRate)^19))</f>
        <v/>
      </c>
      <c r="CC48" s="36">
        <f>IF(A48="","",(K48)*(IF((YEAR(D48)+20)&lt;YEAR(E48),0,IF((YEAR(D48)+20)&gt;YEAR(E48),1,(12-MONTH(E48)+1)/12)))*(1/(1+DiscountRate)^20))</f>
        <v/>
      </c>
      <c r="CD48" s="29">
        <f>IF(A48="","",S48/(1+DiscountRate)^0+T48/(1+DiscountRate)^1+U48/(1+DiscountRate)^2+V48/(1+DiscountRate)^3+W48/(1+DiscountRate)^4+X48/(1+DiscountRate)^5+Y48/(1+DiscountRate)^6+Z48/(1+DiscountRate)^7+AA48/(1+DiscountRate)^8+AB48/(1+DiscountRate)^9+AC48/(1+DiscountRate)^10+AD48/(1+DiscountRate)^11+AE48/(1+DiscountRate)^12+AF48/(1+DiscountRate)^13+AG48/(1+DiscountRate)^14+AH48/(1+DiscountRate)^15+AI48/(1+DiscountRate)^16+AJ48/(1+DiscountRate)^17+AK48/(1+DiscountRate)^18+AL48/(1+DiscountRate)^19+AM48/(1+DiscountRate)^20)</f>
        <v/>
      </c>
      <c r="CE48" s="37">
        <f>IF(A48="","",IFERROR(IRR(OFFSET(S48,0,0,1,MIN(HorizonYears,20)+1)),"n/a"))</f>
        <v/>
      </c>
      <c r="CF48" s="28">
        <f>IF(A48="","",IFERROR(MATCH(TRUE,OFFSET(AN48,0,0,1,MIN(HorizonYears,20)+1)&gt;=0,0)-1,"n/a"))</f>
        <v/>
      </c>
      <c r="CG48" s="36">
        <f>IF(A48="","",SUM(OFFSET(BI48,0,0,1,MIN(HorizonYears,20)+1)))</f>
        <v/>
      </c>
      <c r="CH48" s="36">
        <f>IF(A48="","",IFERROR(-CD48/CG48,"n/a"))</f>
        <v/>
      </c>
    </row>
    <row r="49">
      <c r="A49" s="6">
        <f>Actions!A47</f>
        <v/>
      </c>
      <c r="B49" s="6">
        <f>Actions!B47</f>
        <v/>
      </c>
      <c r="C49" s="6">
        <f>Actions!D47</f>
        <v/>
      </c>
      <c r="D49" s="35">
        <f>Actions!E47</f>
        <v/>
      </c>
      <c r="E49" s="35">
        <f>Actions!F47</f>
        <v/>
      </c>
      <c r="F49" s="6">
        <f>Actions!G47</f>
        <v/>
      </c>
      <c r="G49" s="6">
        <f>Actions!H47</f>
        <v/>
      </c>
      <c r="H49" s="29">
        <f>Actions!I47</f>
        <v/>
      </c>
      <c r="I49" s="6">
        <f>Actions!J47</f>
        <v/>
      </c>
      <c r="J49" s="16">
        <f>Actions!K47</f>
        <v/>
      </c>
      <c r="K49" s="16">
        <f>IF(A49="","",IF(I49="%",H49*J49,J49))</f>
        <v/>
      </c>
      <c r="L49" s="16">
        <f>Actions!L47</f>
        <v/>
      </c>
      <c r="M49" s="6">
        <f>Actions!M47</f>
        <v/>
      </c>
      <c r="N49" s="28">
        <f>Actions!N47</f>
        <v/>
      </c>
      <c r="O49" s="29">
        <f>Actions!T47</f>
        <v/>
      </c>
      <c r="P49" s="29">
        <f>Actions!Y47</f>
        <v/>
      </c>
      <c r="Q49" s="29">
        <f>Actions!Z47</f>
        <v/>
      </c>
      <c r="R49" s="29">
        <f>Actions!AA47</f>
        <v/>
      </c>
      <c r="S49" s="29">
        <f>IF(A49="","",((K49)*(IF(M49="",L49,IFERROR(IF(INDEX(Variablen!$I:$AT, MATCH(M49, Variablen!$A:$A, 0), MATCH((YEAR(D49)+0), Variablen!$I$3:$AT$3, 0))="",L49,INDEX(Variablen!$I:$AT, MATCH(M49, Variablen!$A:$A, 0), MATCH((YEAR(D49)+0), Variablen!$I$3:$AT$3, 0))),L49)))*(IF((YEAR(D49)+0)&lt;YEAR(E49),0,IF((YEAR(D49)+0)&gt;YEAR(E49),1,(12-MONTH(E49)+1)/12))) + (Q49)*(IF((YEAR(D49)+0)&lt;YEAR(E49),0,IF((YEAR(D49)+0)&gt;YEAR(E49),1,(12-MONTH(E49)+1)/12))))-((P49)*(IF((YEAR(D49)+0)&lt;YEAR(E49),0,IF((YEAR(D49)+0)&gt;YEAR(E49),1,(12-MONTH(E49)+1)/12))) + (R49)*(IF((YEAR(D49)+0)&lt;YEAR(E49),0,IF((YEAR(D49)+0)&gt;YEAR(E49),1,(12-MONTH(E49)+1)/12))))-(IF((((K49)*(IF(M49="",L49,IFERROR(IF(INDEX(Variablen!$I:$AT, MATCH(M49, Variablen!$A:$A, 0), MATCH((YEAR(D49)+0), Variablen!$I$3:$AT$3, 0))="",L49,INDEX(Variablen!$I:$AT, MATCH(M49, Variablen!$A:$A, 0), MATCH((YEAR(D49)+0), Variablen!$I$3:$AT$3, 0))),L49)))*(IF((YEAR(D49)+0)&lt;YEAR(E49),0,IF((YEAR(D49)+0)&gt;YEAR(E49),1,(12-MONTH(E49)+1)/12))) + (Q49)*(IF((YEAR(D49)+0)&lt;YEAR(E49),0,IF((YEAR(D49)+0)&gt;YEAR(E49),1,(12-MONTH(E49)+1)/12))))-((P49)*(IF((YEAR(D49)+0)&lt;YEAR(E49),0,IF((YEAR(D49)+0)&gt;YEAR(E49),1,(12-MONTH(E49)+1)/12))) + (R49)*(IF((YEAR(D49)+0)&lt;YEAR(E49),0,IF((YEAR(D49)+0)&gt;YEAR(E49),1,(12-MONTH(E49)+1)/12))))-(IF(OR(N49="",N49&lt;=0),0,(O49/N49)*(IF(OR(N49="",N49&lt;=0),0,IF((YEAR(D49)+0)&lt;YEAR(E49),0,IF((YEAR(D49)+0)&gt;=YEAR(E49)+N49,0,IF((YEAR(D49)+0)=YEAR(E49),(12-MONTH(E49)+1)/12,1))))))))&gt;0,(((K49)*(IF(M49="",L49,IFERROR(IF(INDEX(Variablen!$I:$AT, MATCH(M49, Variablen!$A:$A, 0), MATCH((YEAR(D49)+0), Variablen!$I$3:$AT$3, 0))="",L49,INDEX(Variablen!$I:$AT, MATCH(M49, Variablen!$A:$A, 0), MATCH((YEAR(D49)+0), Variablen!$I$3:$AT$3, 0))),L49)))*(IF((YEAR(D49)+0)&lt;YEAR(E49),0,IF((YEAR(D49)+0)&gt;YEAR(E49),1,(12-MONTH(E49)+1)/12))) + (Q49)*(IF((YEAR(D49)+0)&lt;YEAR(E49),0,IF((YEAR(D49)+0)&gt;YEAR(E49),1,(12-MONTH(E49)+1)/12))))-((P49)*(IF((YEAR(D49)+0)&lt;YEAR(E49),0,IF((YEAR(D49)+0)&gt;YEAR(E49),1,(12-MONTH(E49)+1)/12))) + (R49)*(IF((YEAR(D49)+0)&lt;YEAR(E49),0,IF((YEAR(D49)+0)&gt;YEAR(E49),1,(12-MONTH(E49)+1)/12))))-(IF(OR(N49="",N49&lt;=0),0,(O49/N49)*(IF(OR(N49="",N49&lt;=0),0,IF((YEAR(D49)+0)&lt;YEAR(E49),0,IF((YEAR(D49)+0)&gt;=YEAR(E49)+N49,0,IF((YEAR(D49)+0)=YEAR(E49),(12-MONTH(E49)+1)/12,1))))))))*TaxRate,0))-IF(0=0,O49,0))</f>
        <v/>
      </c>
      <c r="T49" s="29">
        <f>IF(A49="","",((K49)*(IF(M49="",L49,IFERROR(IF(INDEX(Variablen!$I:$AT, MATCH(M49, Variablen!$A:$A, 0), MATCH((YEAR(D49)+1), Variablen!$I$3:$AT$3, 0))="",L49,INDEX(Variablen!$I:$AT, MATCH(M49, Variablen!$A:$A, 0), MATCH((YEAR(D49)+1), Variablen!$I$3:$AT$3, 0))),L49)))*(IF((YEAR(D49)+1)&lt;YEAR(E49),0,IF((YEAR(D49)+1)&gt;YEAR(E49),1,(12-MONTH(E49)+1)/12))) + (Q49)*(IF((YEAR(D49)+1)&lt;YEAR(E49),0,IF((YEAR(D49)+1)&gt;YEAR(E49),1,(12-MONTH(E49)+1)/12))))-((P49)*(IF((YEAR(D49)+1)&lt;YEAR(E49),0,IF((YEAR(D49)+1)&gt;YEAR(E49),1,(12-MONTH(E49)+1)/12))) + (R49)*(IF((YEAR(D49)+1)&lt;YEAR(E49),0,IF((YEAR(D49)+1)&gt;YEAR(E49),1,(12-MONTH(E49)+1)/12))))-(IF((((K49)*(IF(M49="",L49,IFERROR(IF(INDEX(Variablen!$I:$AT, MATCH(M49, Variablen!$A:$A, 0), MATCH((YEAR(D49)+1), Variablen!$I$3:$AT$3, 0))="",L49,INDEX(Variablen!$I:$AT, MATCH(M49, Variablen!$A:$A, 0), MATCH((YEAR(D49)+1), Variablen!$I$3:$AT$3, 0))),L49)))*(IF((YEAR(D49)+1)&lt;YEAR(E49),0,IF((YEAR(D49)+1)&gt;YEAR(E49),1,(12-MONTH(E49)+1)/12))) + (Q49)*(IF((YEAR(D49)+1)&lt;YEAR(E49),0,IF((YEAR(D49)+1)&gt;YEAR(E49),1,(12-MONTH(E49)+1)/12))))-((P49)*(IF((YEAR(D49)+1)&lt;YEAR(E49),0,IF((YEAR(D49)+1)&gt;YEAR(E49),1,(12-MONTH(E49)+1)/12))) + (R49)*(IF((YEAR(D49)+1)&lt;YEAR(E49),0,IF((YEAR(D49)+1)&gt;YEAR(E49),1,(12-MONTH(E49)+1)/12))))-(IF(OR(N49="",N49&lt;=0),0,(O49/N49)*(IF(OR(N49="",N49&lt;=0),0,IF((YEAR(D49)+1)&lt;YEAR(E49),0,IF((YEAR(D49)+1)&gt;=YEAR(E49)+N49,0,IF((YEAR(D49)+1)=YEAR(E49),(12-MONTH(E49)+1)/12,1))))))))&gt;0,(((K49)*(IF(M49="",L49,IFERROR(IF(INDEX(Variablen!$I:$AT, MATCH(M49, Variablen!$A:$A, 0), MATCH((YEAR(D49)+1), Variablen!$I$3:$AT$3, 0))="",L49,INDEX(Variablen!$I:$AT, MATCH(M49, Variablen!$A:$A, 0), MATCH((YEAR(D49)+1), Variablen!$I$3:$AT$3, 0))),L49)))*(IF((YEAR(D49)+1)&lt;YEAR(E49),0,IF((YEAR(D49)+1)&gt;YEAR(E49),1,(12-MONTH(E49)+1)/12))) + (Q49)*(IF((YEAR(D49)+1)&lt;YEAR(E49),0,IF((YEAR(D49)+1)&gt;YEAR(E49),1,(12-MONTH(E49)+1)/12))))-((P49)*(IF((YEAR(D49)+1)&lt;YEAR(E49),0,IF((YEAR(D49)+1)&gt;YEAR(E49),1,(12-MONTH(E49)+1)/12))) + (R49)*(IF((YEAR(D49)+1)&lt;YEAR(E49),0,IF((YEAR(D49)+1)&gt;YEAR(E49),1,(12-MONTH(E49)+1)/12))))-(IF(OR(N49="",N49&lt;=0),0,(O49/N49)*(IF(OR(N49="",N49&lt;=0),0,IF((YEAR(D49)+1)&lt;YEAR(E49),0,IF((YEAR(D49)+1)&gt;=YEAR(E49)+N49,0,IF((YEAR(D49)+1)=YEAR(E49),(12-MONTH(E49)+1)/12,1))))))))*TaxRate,0))-IF(1=0,O49,0))</f>
        <v/>
      </c>
      <c r="U49" s="29">
        <f>IF(A49="","",((K49)*(IF(M49="",L49,IFERROR(IF(INDEX(Variablen!$I:$AT, MATCH(M49, Variablen!$A:$A, 0), MATCH((YEAR(D49)+2), Variablen!$I$3:$AT$3, 0))="",L49,INDEX(Variablen!$I:$AT, MATCH(M49, Variablen!$A:$A, 0), MATCH((YEAR(D49)+2), Variablen!$I$3:$AT$3, 0))),L49)))*(IF((YEAR(D49)+2)&lt;YEAR(E49),0,IF((YEAR(D49)+2)&gt;YEAR(E49),1,(12-MONTH(E49)+1)/12))) + (Q49)*(IF((YEAR(D49)+2)&lt;YEAR(E49),0,IF((YEAR(D49)+2)&gt;YEAR(E49),1,(12-MONTH(E49)+1)/12))))-((P49)*(IF((YEAR(D49)+2)&lt;YEAR(E49),0,IF((YEAR(D49)+2)&gt;YEAR(E49),1,(12-MONTH(E49)+1)/12))) + (R49)*(IF((YEAR(D49)+2)&lt;YEAR(E49),0,IF((YEAR(D49)+2)&gt;YEAR(E49),1,(12-MONTH(E49)+1)/12))))-(IF((((K49)*(IF(M49="",L49,IFERROR(IF(INDEX(Variablen!$I:$AT, MATCH(M49, Variablen!$A:$A, 0), MATCH((YEAR(D49)+2), Variablen!$I$3:$AT$3, 0))="",L49,INDEX(Variablen!$I:$AT, MATCH(M49, Variablen!$A:$A, 0), MATCH((YEAR(D49)+2), Variablen!$I$3:$AT$3, 0))),L49)))*(IF((YEAR(D49)+2)&lt;YEAR(E49),0,IF((YEAR(D49)+2)&gt;YEAR(E49),1,(12-MONTH(E49)+1)/12))) + (Q49)*(IF((YEAR(D49)+2)&lt;YEAR(E49),0,IF((YEAR(D49)+2)&gt;YEAR(E49),1,(12-MONTH(E49)+1)/12))))-((P49)*(IF((YEAR(D49)+2)&lt;YEAR(E49),0,IF((YEAR(D49)+2)&gt;YEAR(E49),1,(12-MONTH(E49)+1)/12))) + (R49)*(IF((YEAR(D49)+2)&lt;YEAR(E49),0,IF((YEAR(D49)+2)&gt;YEAR(E49),1,(12-MONTH(E49)+1)/12))))-(IF(OR(N49="",N49&lt;=0),0,(O49/N49)*(IF(OR(N49="",N49&lt;=0),0,IF((YEAR(D49)+2)&lt;YEAR(E49),0,IF((YEAR(D49)+2)&gt;=YEAR(E49)+N49,0,IF((YEAR(D49)+2)=YEAR(E49),(12-MONTH(E49)+1)/12,1))))))))&gt;0,(((K49)*(IF(M49="",L49,IFERROR(IF(INDEX(Variablen!$I:$AT, MATCH(M49, Variablen!$A:$A, 0), MATCH((YEAR(D49)+2), Variablen!$I$3:$AT$3, 0))="",L49,INDEX(Variablen!$I:$AT, MATCH(M49, Variablen!$A:$A, 0), MATCH((YEAR(D49)+2), Variablen!$I$3:$AT$3, 0))),L49)))*(IF((YEAR(D49)+2)&lt;YEAR(E49),0,IF((YEAR(D49)+2)&gt;YEAR(E49),1,(12-MONTH(E49)+1)/12))) + (Q49)*(IF((YEAR(D49)+2)&lt;YEAR(E49),0,IF((YEAR(D49)+2)&gt;YEAR(E49),1,(12-MONTH(E49)+1)/12))))-((P49)*(IF((YEAR(D49)+2)&lt;YEAR(E49),0,IF((YEAR(D49)+2)&gt;YEAR(E49),1,(12-MONTH(E49)+1)/12))) + (R49)*(IF((YEAR(D49)+2)&lt;YEAR(E49),0,IF((YEAR(D49)+2)&gt;YEAR(E49),1,(12-MONTH(E49)+1)/12))))-(IF(OR(N49="",N49&lt;=0),0,(O49/N49)*(IF(OR(N49="",N49&lt;=0),0,IF((YEAR(D49)+2)&lt;YEAR(E49),0,IF((YEAR(D49)+2)&gt;=YEAR(E49)+N49,0,IF((YEAR(D49)+2)=YEAR(E49),(12-MONTH(E49)+1)/12,1))))))))*TaxRate,0))-IF(2=0,O49,0))</f>
        <v/>
      </c>
      <c r="V49" s="29">
        <f>IF(A49="","",((K49)*(IF(M49="",L49,IFERROR(IF(INDEX(Variablen!$I:$AT, MATCH(M49, Variablen!$A:$A, 0), MATCH((YEAR(D49)+3), Variablen!$I$3:$AT$3, 0))="",L49,INDEX(Variablen!$I:$AT, MATCH(M49, Variablen!$A:$A, 0), MATCH((YEAR(D49)+3), Variablen!$I$3:$AT$3, 0))),L49)))*(IF((YEAR(D49)+3)&lt;YEAR(E49),0,IF((YEAR(D49)+3)&gt;YEAR(E49),1,(12-MONTH(E49)+1)/12))) + (Q49)*(IF((YEAR(D49)+3)&lt;YEAR(E49),0,IF((YEAR(D49)+3)&gt;YEAR(E49),1,(12-MONTH(E49)+1)/12))))-((P49)*(IF((YEAR(D49)+3)&lt;YEAR(E49),0,IF((YEAR(D49)+3)&gt;YEAR(E49),1,(12-MONTH(E49)+1)/12))) + (R49)*(IF((YEAR(D49)+3)&lt;YEAR(E49),0,IF((YEAR(D49)+3)&gt;YEAR(E49),1,(12-MONTH(E49)+1)/12))))-(IF((((K49)*(IF(M49="",L49,IFERROR(IF(INDEX(Variablen!$I:$AT, MATCH(M49, Variablen!$A:$A, 0), MATCH((YEAR(D49)+3), Variablen!$I$3:$AT$3, 0))="",L49,INDEX(Variablen!$I:$AT, MATCH(M49, Variablen!$A:$A, 0), MATCH((YEAR(D49)+3), Variablen!$I$3:$AT$3, 0))),L49)))*(IF((YEAR(D49)+3)&lt;YEAR(E49),0,IF((YEAR(D49)+3)&gt;YEAR(E49),1,(12-MONTH(E49)+1)/12))) + (Q49)*(IF((YEAR(D49)+3)&lt;YEAR(E49),0,IF((YEAR(D49)+3)&gt;YEAR(E49),1,(12-MONTH(E49)+1)/12))))-((P49)*(IF((YEAR(D49)+3)&lt;YEAR(E49),0,IF((YEAR(D49)+3)&gt;YEAR(E49),1,(12-MONTH(E49)+1)/12))) + (R49)*(IF((YEAR(D49)+3)&lt;YEAR(E49),0,IF((YEAR(D49)+3)&gt;YEAR(E49),1,(12-MONTH(E49)+1)/12))))-(IF(OR(N49="",N49&lt;=0),0,(O49/N49)*(IF(OR(N49="",N49&lt;=0),0,IF((YEAR(D49)+3)&lt;YEAR(E49),0,IF((YEAR(D49)+3)&gt;=YEAR(E49)+N49,0,IF((YEAR(D49)+3)=YEAR(E49),(12-MONTH(E49)+1)/12,1))))))))&gt;0,(((K49)*(IF(M49="",L49,IFERROR(IF(INDEX(Variablen!$I:$AT, MATCH(M49, Variablen!$A:$A, 0), MATCH((YEAR(D49)+3), Variablen!$I$3:$AT$3, 0))="",L49,INDEX(Variablen!$I:$AT, MATCH(M49, Variablen!$A:$A, 0), MATCH((YEAR(D49)+3), Variablen!$I$3:$AT$3, 0))),L49)))*(IF((YEAR(D49)+3)&lt;YEAR(E49),0,IF((YEAR(D49)+3)&gt;YEAR(E49),1,(12-MONTH(E49)+1)/12))) + (Q49)*(IF((YEAR(D49)+3)&lt;YEAR(E49),0,IF((YEAR(D49)+3)&gt;YEAR(E49),1,(12-MONTH(E49)+1)/12))))-((P49)*(IF((YEAR(D49)+3)&lt;YEAR(E49),0,IF((YEAR(D49)+3)&gt;YEAR(E49),1,(12-MONTH(E49)+1)/12))) + (R49)*(IF((YEAR(D49)+3)&lt;YEAR(E49),0,IF((YEAR(D49)+3)&gt;YEAR(E49),1,(12-MONTH(E49)+1)/12))))-(IF(OR(N49="",N49&lt;=0),0,(O49/N49)*(IF(OR(N49="",N49&lt;=0),0,IF((YEAR(D49)+3)&lt;YEAR(E49),0,IF((YEAR(D49)+3)&gt;=YEAR(E49)+N49,0,IF((YEAR(D49)+3)=YEAR(E49),(12-MONTH(E49)+1)/12,1))))))))*TaxRate,0))-IF(3=0,O49,0))</f>
        <v/>
      </c>
      <c r="W49" s="29">
        <f>IF(A49="","",((K49)*(IF(M49="",L49,IFERROR(IF(INDEX(Variablen!$I:$AT, MATCH(M49, Variablen!$A:$A, 0), MATCH((YEAR(D49)+4), Variablen!$I$3:$AT$3, 0))="",L49,INDEX(Variablen!$I:$AT, MATCH(M49, Variablen!$A:$A, 0), MATCH((YEAR(D49)+4), Variablen!$I$3:$AT$3, 0))),L49)))*(IF((YEAR(D49)+4)&lt;YEAR(E49),0,IF((YEAR(D49)+4)&gt;YEAR(E49),1,(12-MONTH(E49)+1)/12))) + (Q49)*(IF((YEAR(D49)+4)&lt;YEAR(E49),0,IF((YEAR(D49)+4)&gt;YEAR(E49),1,(12-MONTH(E49)+1)/12))))-((P49)*(IF((YEAR(D49)+4)&lt;YEAR(E49),0,IF((YEAR(D49)+4)&gt;YEAR(E49),1,(12-MONTH(E49)+1)/12))) + (R49)*(IF((YEAR(D49)+4)&lt;YEAR(E49),0,IF((YEAR(D49)+4)&gt;YEAR(E49),1,(12-MONTH(E49)+1)/12))))-(IF((((K49)*(IF(M49="",L49,IFERROR(IF(INDEX(Variablen!$I:$AT, MATCH(M49, Variablen!$A:$A, 0), MATCH((YEAR(D49)+4), Variablen!$I$3:$AT$3, 0))="",L49,INDEX(Variablen!$I:$AT, MATCH(M49, Variablen!$A:$A, 0), MATCH((YEAR(D49)+4), Variablen!$I$3:$AT$3, 0))),L49)))*(IF((YEAR(D49)+4)&lt;YEAR(E49),0,IF((YEAR(D49)+4)&gt;YEAR(E49),1,(12-MONTH(E49)+1)/12))) + (Q49)*(IF((YEAR(D49)+4)&lt;YEAR(E49),0,IF((YEAR(D49)+4)&gt;YEAR(E49),1,(12-MONTH(E49)+1)/12))))-((P49)*(IF((YEAR(D49)+4)&lt;YEAR(E49),0,IF((YEAR(D49)+4)&gt;YEAR(E49),1,(12-MONTH(E49)+1)/12))) + (R49)*(IF((YEAR(D49)+4)&lt;YEAR(E49),0,IF((YEAR(D49)+4)&gt;YEAR(E49),1,(12-MONTH(E49)+1)/12))))-(IF(OR(N49="",N49&lt;=0),0,(O49/N49)*(IF(OR(N49="",N49&lt;=0),0,IF((YEAR(D49)+4)&lt;YEAR(E49),0,IF((YEAR(D49)+4)&gt;=YEAR(E49)+N49,0,IF((YEAR(D49)+4)=YEAR(E49),(12-MONTH(E49)+1)/12,1))))))))&gt;0,(((K49)*(IF(M49="",L49,IFERROR(IF(INDEX(Variablen!$I:$AT, MATCH(M49, Variablen!$A:$A, 0), MATCH((YEAR(D49)+4), Variablen!$I$3:$AT$3, 0))="",L49,INDEX(Variablen!$I:$AT, MATCH(M49, Variablen!$A:$A, 0), MATCH((YEAR(D49)+4), Variablen!$I$3:$AT$3, 0))),L49)))*(IF((YEAR(D49)+4)&lt;YEAR(E49),0,IF((YEAR(D49)+4)&gt;YEAR(E49),1,(12-MONTH(E49)+1)/12))) + (Q49)*(IF((YEAR(D49)+4)&lt;YEAR(E49),0,IF((YEAR(D49)+4)&gt;YEAR(E49),1,(12-MONTH(E49)+1)/12))))-((P49)*(IF((YEAR(D49)+4)&lt;YEAR(E49),0,IF((YEAR(D49)+4)&gt;YEAR(E49),1,(12-MONTH(E49)+1)/12))) + (R49)*(IF((YEAR(D49)+4)&lt;YEAR(E49),0,IF((YEAR(D49)+4)&gt;YEAR(E49),1,(12-MONTH(E49)+1)/12))))-(IF(OR(N49="",N49&lt;=0),0,(O49/N49)*(IF(OR(N49="",N49&lt;=0),0,IF((YEAR(D49)+4)&lt;YEAR(E49),0,IF((YEAR(D49)+4)&gt;=YEAR(E49)+N49,0,IF((YEAR(D49)+4)=YEAR(E49),(12-MONTH(E49)+1)/12,1))))))))*TaxRate,0))-IF(4=0,O49,0))</f>
        <v/>
      </c>
      <c r="X49" s="29">
        <f>IF(A49="","",((K49)*(IF(M49="",L49,IFERROR(IF(INDEX(Variablen!$I:$AT, MATCH(M49, Variablen!$A:$A, 0), MATCH((YEAR(D49)+5), Variablen!$I$3:$AT$3, 0))="",L49,INDEX(Variablen!$I:$AT, MATCH(M49, Variablen!$A:$A, 0), MATCH((YEAR(D49)+5), Variablen!$I$3:$AT$3, 0))),L49)))*(IF((YEAR(D49)+5)&lt;YEAR(E49),0,IF((YEAR(D49)+5)&gt;YEAR(E49),1,(12-MONTH(E49)+1)/12))) + (Q49)*(IF((YEAR(D49)+5)&lt;YEAR(E49),0,IF((YEAR(D49)+5)&gt;YEAR(E49),1,(12-MONTH(E49)+1)/12))))-((P49)*(IF((YEAR(D49)+5)&lt;YEAR(E49),0,IF((YEAR(D49)+5)&gt;YEAR(E49),1,(12-MONTH(E49)+1)/12))) + (R49)*(IF((YEAR(D49)+5)&lt;YEAR(E49),0,IF((YEAR(D49)+5)&gt;YEAR(E49),1,(12-MONTH(E49)+1)/12))))-(IF((((K49)*(IF(M49="",L49,IFERROR(IF(INDEX(Variablen!$I:$AT, MATCH(M49, Variablen!$A:$A, 0), MATCH((YEAR(D49)+5), Variablen!$I$3:$AT$3, 0))="",L49,INDEX(Variablen!$I:$AT, MATCH(M49, Variablen!$A:$A, 0), MATCH((YEAR(D49)+5), Variablen!$I$3:$AT$3, 0))),L49)))*(IF((YEAR(D49)+5)&lt;YEAR(E49),0,IF((YEAR(D49)+5)&gt;YEAR(E49),1,(12-MONTH(E49)+1)/12))) + (Q49)*(IF((YEAR(D49)+5)&lt;YEAR(E49),0,IF((YEAR(D49)+5)&gt;YEAR(E49),1,(12-MONTH(E49)+1)/12))))-((P49)*(IF((YEAR(D49)+5)&lt;YEAR(E49),0,IF((YEAR(D49)+5)&gt;YEAR(E49),1,(12-MONTH(E49)+1)/12))) + (R49)*(IF((YEAR(D49)+5)&lt;YEAR(E49),0,IF((YEAR(D49)+5)&gt;YEAR(E49),1,(12-MONTH(E49)+1)/12))))-(IF(OR(N49="",N49&lt;=0),0,(O49/N49)*(IF(OR(N49="",N49&lt;=0),0,IF((YEAR(D49)+5)&lt;YEAR(E49),0,IF((YEAR(D49)+5)&gt;=YEAR(E49)+N49,0,IF((YEAR(D49)+5)=YEAR(E49),(12-MONTH(E49)+1)/12,1))))))))&gt;0,(((K49)*(IF(M49="",L49,IFERROR(IF(INDEX(Variablen!$I:$AT, MATCH(M49, Variablen!$A:$A, 0), MATCH((YEAR(D49)+5), Variablen!$I$3:$AT$3, 0))="",L49,INDEX(Variablen!$I:$AT, MATCH(M49, Variablen!$A:$A, 0), MATCH((YEAR(D49)+5), Variablen!$I$3:$AT$3, 0))),L49)))*(IF((YEAR(D49)+5)&lt;YEAR(E49),0,IF((YEAR(D49)+5)&gt;YEAR(E49),1,(12-MONTH(E49)+1)/12))) + (Q49)*(IF((YEAR(D49)+5)&lt;YEAR(E49),0,IF((YEAR(D49)+5)&gt;YEAR(E49),1,(12-MONTH(E49)+1)/12))))-((P49)*(IF((YEAR(D49)+5)&lt;YEAR(E49),0,IF((YEAR(D49)+5)&gt;YEAR(E49),1,(12-MONTH(E49)+1)/12))) + (R49)*(IF((YEAR(D49)+5)&lt;YEAR(E49),0,IF((YEAR(D49)+5)&gt;YEAR(E49),1,(12-MONTH(E49)+1)/12))))-(IF(OR(N49="",N49&lt;=0),0,(O49/N49)*(IF(OR(N49="",N49&lt;=0),0,IF((YEAR(D49)+5)&lt;YEAR(E49),0,IF((YEAR(D49)+5)&gt;=YEAR(E49)+N49,0,IF((YEAR(D49)+5)=YEAR(E49),(12-MONTH(E49)+1)/12,1))))))))*TaxRate,0))-IF(5=0,O49,0))</f>
        <v/>
      </c>
      <c r="Y49" s="29">
        <f>IF(A49="","",((K49)*(IF(M49="",L49,IFERROR(IF(INDEX(Variablen!$I:$AT, MATCH(M49, Variablen!$A:$A, 0), MATCH((YEAR(D49)+6), Variablen!$I$3:$AT$3, 0))="",L49,INDEX(Variablen!$I:$AT, MATCH(M49, Variablen!$A:$A, 0), MATCH((YEAR(D49)+6), Variablen!$I$3:$AT$3, 0))),L49)))*(IF((YEAR(D49)+6)&lt;YEAR(E49),0,IF((YEAR(D49)+6)&gt;YEAR(E49),1,(12-MONTH(E49)+1)/12))) + (Q49)*(IF((YEAR(D49)+6)&lt;YEAR(E49),0,IF((YEAR(D49)+6)&gt;YEAR(E49),1,(12-MONTH(E49)+1)/12))))-((P49)*(IF((YEAR(D49)+6)&lt;YEAR(E49),0,IF((YEAR(D49)+6)&gt;YEAR(E49),1,(12-MONTH(E49)+1)/12))) + (R49)*(IF((YEAR(D49)+6)&lt;YEAR(E49),0,IF((YEAR(D49)+6)&gt;YEAR(E49),1,(12-MONTH(E49)+1)/12))))-(IF((((K49)*(IF(M49="",L49,IFERROR(IF(INDEX(Variablen!$I:$AT, MATCH(M49, Variablen!$A:$A, 0), MATCH((YEAR(D49)+6), Variablen!$I$3:$AT$3, 0))="",L49,INDEX(Variablen!$I:$AT, MATCH(M49, Variablen!$A:$A, 0), MATCH((YEAR(D49)+6), Variablen!$I$3:$AT$3, 0))),L49)))*(IF((YEAR(D49)+6)&lt;YEAR(E49),0,IF((YEAR(D49)+6)&gt;YEAR(E49),1,(12-MONTH(E49)+1)/12))) + (Q49)*(IF((YEAR(D49)+6)&lt;YEAR(E49),0,IF((YEAR(D49)+6)&gt;YEAR(E49),1,(12-MONTH(E49)+1)/12))))-((P49)*(IF((YEAR(D49)+6)&lt;YEAR(E49),0,IF((YEAR(D49)+6)&gt;YEAR(E49),1,(12-MONTH(E49)+1)/12))) + (R49)*(IF((YEAR(D49)+6)&lt;YEAR(E49),0,IF((YEAR(D49)+6)&gt;YEAR(E49),1,(12-MONTH(E49)+1)/12))))-(IF(OR(N49="",N49&lt;=0),0,(O49/N49)*(IF(OR(N49="",N49&lt;=0),0,IF((YEAR(D49)+6)&lt;YEAR(E49),0,IF((YEAR(D49)+6)&gt;=YEAR(E49)+N49,0,IF((YEAR(D49)+6)=YEAR(E49),(12-MONTH(E49)+1)/12,1))))))))&gt;0,(((K49)*(IF(M49="",L49,IFERROR(IF(INDEX(Variablen!$I:$AT, MATCH(M49, Variablen!$A:$A, 0), MATCH((YEAR(D49)+6), Variablen!$I$3:$AT$3, 0))="",L49,INDEX(Variablen!$I:$AT, MATCH(M49, Variablen!$A:$A, 0), MATCH((YEAR(D49)+6), Variablen!$I$3:$AT$3, 0))),L49)))*(IF((YEAR(D49)+6)&lt;YEAR(E49),0,IF((YEAR(D49)+6)&gt;YEAR(E49),1,(12-MONTH(E49)+1)/12))) + (Q49)*(IF((YEAR(D49)+6)&lt;YEAR(E49),0,IF((YEAR(D49)+6)&gt;YEAR(E49),1,(12-MONTH(E49)+1)/12))))-((P49)*(IF((YEAR(D49)+6)&lt;YEAR(E49),0,IF((YEAR(D49)+6)&gt;YEAR(E49),1,(12-MONTH(E49)+1)/12))) + (R49)*(IF((YEAR(D49)+6)&lt;YEAR(E49),0,IF((YEAR(D49)+6)&gt;YEAR(E49),1,(12-MONTH(E49)+1)/12))))-(IF(OR(N49="",N49&lt;=0),0,(O49/N49)*(IF(OR(N49="",N49&lt;=0),0,IF((YEAR(D49)+6)&lt;YEAR(E49),0,IF((YEAR(D49)+6)&gt;=YEAR(E49)+N49,0,IF((YEAR(D49)+6)=YEAR(E49),(12-MONTH(E49)+1)/12,1))))))))*TaxRate,0))-IF(6=0,O49,0))</f>
        <v/>
      </c>
      <c r="Z49" s="29">
        <f>IF(A49="","",((K49)*(IF(M49="",L49,IFERROR(IF(INDEX(Variablen!$I:$AT, MATCH(M49, Variablen!$A:$A, 0), MATCH((YEAR(D49)+7), Variablen!$I$3:$AT$3, 0))="",L49,INDEX(Variablen!$I:$AT, MATCH(M49, Variablen!$A:$A, 0), MATCH((YEAR(D49)+7), Variablen!$I$3:$AT$3, 0))),L49)))*(IF((YEAR(D49)+7)&lt;YEAR(E49),0,IF((YEAR(D49)+7)&gt;YEAR(E49),1,(12-MONTH(E49)+1)/12))) + (Q49)*(IF((YEAR(D49)+7)&lt;YEAR(E49),0,IF((YEAR(D49)+7)&gt;YEAR(E49),1,(12-MONTH(E49)+1)/12))))-((P49)*(IF((YEAR(D49)+7)&lt;YEAR(E49),0,IF((YEAR(D49)+7)&gt;YEAR(E49),1,(12-MONTH(E49)+1)/12))) + (R49)*(IF((YEAR(D49)+7)&lt;YEAR(E49),0,IF((YEAR(D49)+7)&gt;YEAR(E49),1,(12-MONTH(E49)+1)/12))))-(IF((((K49)*(IF(M49="",L49,IFERROR(IF(INDEX(Variablen!$I:$AT, MATCH(M49, Variablen!$A:$A, 0), MATCH((YEAR(D49)+7), Variablen!$I$3:$AT$3, 0))="",L49,INDEX(Variablen!$I:$AT, MATCH(M49, Variablen!$A:$A, 0), MATCH((YEAR(D49)+7), Variablen!$I$3:$AT$3, 0))),L49)))*(IF((YEAR(D49)+7)&lt;YEAR(E49),0,IF((YEAR(D49)+7)&gt;YEAR(E49),1,(12-MONTH(E49)+1)/12))) + (Q49)*(IF((YEAR(D49)+7)&lt;YEAR(E49),0,IF((YEAR(D49)+7)&gt;YEAR(E49),1,(12-MONTH(E49)+1)/12))))-((P49)*(IF((YEAR(D49)+7)&lt;YEAR(E49),0,IF((YEAR(D49)+7)&gt;YEAR(E49),1,(12-MONTH(E49)+1)/12))) + (R49)*(IF((YEAR(D49)+7)&lt;YEAR(E49),0,IF((YEAR(D49)+7)&gt;YEAR(E49),1,(12-MONTH(E49)+1)/12))))-(IF(OR(N49="",N49&lt;=0),0,(O49/N49)*(IF(OR(N49="",N49&lt;=0),0,IF((YEAR(D49)+7)&lt;YEAR(E49),0,IF((YEAR(D49)+7)&gt;=YEAR(E49)+N49,0,IF((YEAR(D49)+7)=YEAR(E49),(12-MONTH(E49)+1)/12,1))))))))&gt;0,(((K49)*(IF(M49="",L49,IFERROR(IF(INDEX(Variablen!$I:$AT, MATCH(M49, Variablen!$A:$A, 0), MATCH((YEAR(D49)+7), Variablen!$I$3:$AT$3, 0))="",L49,INDEX(Variablen!$I:$AT, MATCH(M49, Variablen!$A:$A, 0), MATCH((YEAR(D49)+7), Variablen!$I$3:$AT$3, 0))),L49)))*(IF((YEAR(D49)+7)&lt;YEAR(E49),0,IF((YEAR(D49)+7)&gt;YEAR(E49),1,(12-MONTH(E49)+1)/12))) + (Q49)*(IF((YEAR(D49)+7)&lt;YEAR(E49),0,IF((YEAR(D49)+7)&gt;YEAR(E49),1,(12-MONTH(E49)+1)/12))))-((P49)*(IF((YEAR(D49)+7)&lt;YEAR(E49),0,IF((YEAR(D49)+7)&gt;YEAR(E49),1,(12-MONTH(E49)+1)/12))) + (R49)*(IF((YEAR(D49)+7)&lt;YEAR(E49),0,IF((YEAR(D49)+7)&gt;YEAR(E49),1,(12-MONTH(E49)+1)/12))))-(IF(OR(N49="",N49&lt;=0),0,(O49/N49)*(IF(OR(N49="",N49&lt;=0),0,IF((YEAR(D49)+7)&lt;YEAR(E49),0,IF((YEAR(D49)+7)&gt;=YEAR(E49)+N49,0,IF((YEAR(D49)+7)=YEAR(E49),(12-MONTH(E49)+1)/12,1))))))))*TaxRate,0))-IF(7=0,O49,0))</f>
        <v/>
      </c>
      <c r="AA49" s="29">
        <f>IF(A49="","",((K49)*(IF(M49="",L49,IFERROR(IF(INDEX(Variablen!$I:$AT, MATCH(M49, Variablen!$A:$A, 0), MATCH((YEAR(D49)+8), Variablen!$I$3:$AT$3, 0))="",L49,INDEX(Variablen!$I:$AT, MATCH(M49, Variablen!$A:$A, 0), MATCH((YEAR(D49)+8), Variablen!$I$3:$AT$3, 0))),L49)))*(IF((YEAR(D49)+8)&lt;YEAR(E49),0,IF((YEAR(D49)+8)&gt;YEAR(E49),1,(12-MONTH(E49)+1)/12))) + (Q49)*(IF((YEAR(D49)+8)&lt;YEAR(E49),0,IF((YEAR(D49)+8)&gt;YEAR(E49),1,(12-MONTH(E49)+1)/12))))-((P49)*(IF((YEAR(D49)+8)&lt;YEAR(E49),0,IF((YEAR(D49)+8)&gt;YEAR(E49),1,(12-MONTH(E49)+1)/12))) + (R49)*(IF((YEAR(D49)+8)&lt;YEAR(E49),0,IF((YEAR(D49)+8)&gt;YEAR(E49),1,(12-MONTH(E49)+1)/12))))-(IF((((K49)*(IF(M49="",L49,IFERROR(IF(INDEX(Variablen!$I:$AT, MATCH(M49, Variablen!$A:$A, 0), MATCH((YEAR(D49)+8), Variablen!$I$3:$AT$3, 0))="",L49,INDEX(Variablen!$I:$AT, MATCH(M49, Variablen!$A:$A, 0), MATCH((YEAR(D49)+8), Variablen!$I$3:$AT$3, 0))),L49)))*(IF((YEAR(D49)+8)&lt;YEAR(E49),0,IF((YEAR(D49)+8)&gt;YEAR(E49),1,(12-MONTH(E49)+1)/12))) + (Q49)*(IF((YEAR(D49)+8)&lt;YEAR(E49),0,IF((YEAR(D49)+8)&gt;YEAR(E49),1,(12-MONTH(E49)+1)/12))))-((P49)*(IF((YEAR(D49)+8)&lt;YEAR(E49),0,IF((YEAR(D49)+8)&gt;YEAR(E49),1,(12-MONTH(E49)+1)/12))) + (R49)*(IF((YEAR(D49)+8)&lt;YEAR(E49),0,IF((YEAR(D49)+8)&gt;YEAR(E49),1,(12-MONTH(E49)+1)/12))))-(IF(OR(N49="",N49&lt;=0),0,(O49/N49)*(IF(OR(N49="",N49&lt;=0),0,IF((YEAR(D49)+8)&lt;YEAR(E49),0,IF((YEAR(D49)+8)&gt;=YEAR(E49)+N49,0,IF((YEAR(D49)+8)=YEAR(E49),(12-MONTH(E49)+1)/12,1))))))))&gt;0,(((K49)*(IF(M49="",L49,IFERROR(IF(INDEX(Variablen!$I:$AT, MATCH(M49, Variablen!$A:$A, 0), MATCH((YEAR(D49)+8), Variablen!$I$3:$AT$3, 0))="",L49,INDEX(Variablen!$I:$AT, MATCH(M49, Variablen!$A:$A, 0), MATCH((YEAR(D49)+8), Variablen!$I$3:$AT$3, 0))),L49)))*(IF((YEAR(D49)+8)&lt;YEAR(E49),0,IF((YEAR(D49)+8)&gt;YEAR(E49),1,(12-MONTH(E49)+1)/12))) + (Q49)*(IF((YEAR(D49)+8)&lt;YEAR(E49),0,IF((YEAR(D49)+8)&gt;YEAR(E49),1,(12-MONTH(E49)+1)/12))))-((P49)*(IF((YEAR(D49)+8)&lt;YEAR(E49),0,IF((YEAR(D49)+8)&gt;YEAR(E49),1,(12-MONTH(E49)+1)/12))) + (R49)*(IF((YEAR(D49)+8)&lt;YEAR(E49),0,IF((YEAR(D49)+8)&gt;YEAR(E49),1,(12-MONTH(E49)+1)/12))))-(IF(OR(N49="",N49&lt;=0),0,(O49/N49)*(IF(OR(N49="",N49&lt;=0),0,IF((YEAR(D49)+8)&lt;YEAR(E49),0,IF((YEAR(D49)+8)&gt;=YEAR(E49)+N49,0,IF((YEAR(D49)+8)=YEAR(E49),(12-MONTH(E49)+1)/12,1))))))))*TaxRate,0))-IF(8=0,O49,0))</f>
        <v/>
      </c>
      <c r="AB49" s="29">
        <f>IF(A49="","",((K49)*(IF(M49="",L49,IFERROR(IF(INDEX(Variablen!$I:$AT, MATCH(M49, Variablen!$A:$A, 0), MATCH((YEAR(D49)+9), Variablen!$I$3:$AT$3, 0))="",L49,INDEX(Variablen!$I:$AT, MATCH(M49, Variablen!$A:$A, 0), MATCH((YEAR(D49)+9), Variablen!$I$3:$AT$3, 0))),L49)))*(IF((YEAR(D49)+9)&lt;YEAR(E49),0,IF((YEAR(D49)+9)&gt;YEAR(E49),1,(12-MONTH(E49)+1)/12))) + (Q49)*(IF((YEAR(D49)+9)&lt;YEAR(E49),0,IF((YEAR(D49)+9)&gt;YEAR(E49),1,(12-MONTH(E49)+1)/12))))-((P49)*(IF((YEAR(D49)+9)&lt;YEAR(E49),0,IF((YEAR(D49)+9)&gt;YEAR(E49),1,(12-MONTH(E49)+1)/12))) + (R49)*(IF((YEAR(D49)+9)&lt;YEAR(E49),0,IF((YEAR(D49)+9)&gt;YEAR(E49),1,(12-MONTH(E49)+1)/12))))-(IF((((K49)*(IF(M49="",L49,IFERROR(IF(INDEX(Variablen!$I:$AT, MATCH(M49, Variablen!$A:$A, 0), MATCH((YEAR(D49)+9), Variablen!$I$3:$AT$3, 0))="",L49,INDEX(Variablen!$I:$AT, MATCH(M49, Variablen!$A:$A, 0), MATCH((YEAR(D49)+9), Variablen!$I$3:$AT$3, 0))),L49)))*(IF((YEAR(D49)+9)&lt;YEAR(E49),0,IF((YEAR(D49)+9)&gt;YEAR(E49),1,(12-MONTH(E49)+1)/12))) + (Q49)*(IF((YEAR(D49)+9)&lt;YEAR(E49),0,IF((YEAR(D49)+9)&gt;YEAR(E49),1,(12-MONTH(E49)+1)/12))))-((P49)*(IF((YEAR(D49)+9)&lt;YEAR(E49),0,IF((YEAR(D49)+9)&gt;YEAR(E49),1,(12-MONTH(E49)+1)/12))) + (R49)*(IF((YEAR(D49)+9)&lt;YEAR(E49),0,IF((YEAR(D49)+9)&gt;YEAR(E49),1,(12-MONTH(E49)+1)/12))))-(IF(OR(N49="",N49&lt;=0),0,(O49/N49)*(IF(OR(N49="",N49&lt;=0),0,IF((YEAR(D49)+9)&lt;YEAR(E49),0,IF((YEAR(D49)+9)&gt;=YEAR(E49)+N49,0,IF((YEAR(D49)+9)=YEAR(E49),(12-MONTH(E49)+1)/12,1))))))))&gt;0,(((K49)*(IF(M49="",L49,IFERROR(IF(INDEX(Variablen!$I:$AT, MATCH(M49, Variablen!$A:$A, 0), MATCH((YEAR(D49)+9), Variablen!$I$3:$AT$3, 0))="",L49,INDEX(Variablen!$I:$AT, MATCH(M49, Variablen!$A:$A, 0), MATCH((YEAR(D49)+9), Variablen!$I$3:$AT$3, 0))),L49)))*(IF((YEAR(D49)+9)&lt;YEAR(E49),0,IF((YEAR(D49)+9)&gt;YEAR(E49),1,(12-MONTH(E49)+1)/12))) + (Q49)*(IF((YEAR(D49)+9)&lt;YEAR(E49),0,IF((YEAR(D49)+9)&gt;YEAR(E49),1,(12-MONTH(E49)+1)/12))))-((P49)*(IF((YEAR(D49)+9)&lt;YEAR(E49),0,IF((YEAR(D49)+9)&gt;YEAR(E49),1,(12-MONTH(E49)+1)/12))) + (R49)*(IF((YEAR(D49)+9)&lt;YEAR(E49),0,IF((YEAR(D49)+9)&gt;YEAR(E49),1,(12-MONTH(E49)+1)/12))))-(IF(OR(N49="",N49&lt;=0),0,(O49/N49)*(IF(OR(N49="",N49&lt;=0),0,IF((YEAR(D49)+9)&lt;YEAR(E49),0,IF((YEAR(D49)+9)&gt;=YEAR(E49)+N49,0,IF((YEAR(D49)+9)=YEAR(E49),(12-MONTH(E49)+1)/12,1))))))))*TaxRate,0))-IF(9=0,O49,0))</f>
        <v/>
      </c>
      <c r="AC49" s="29">
        <f>IF(A49="","",((K49)*(IF(M49="",L49,IFERROR(IF(INDEX(Variablen!$I:$AT, MATCH(M49, Variablen!$A:$A, 0), MATCH((YEAR(D49)+10), Variablen!$I$3:$AT$3, 0))="",L49,INDEX(Variablen!$I:$AT, MATCH(M49, Variablen!$A:$A, 0), MATCH((YEAR(D49)+10), Variablen!$I$3:$AT$3, 0))),L49)))*(IF((YEAR(D49)+10)&lt;YEAR(E49),0,IF((YEAR(D49)+10)&gt;YEAR(E49),1,(12-MONTH(E49)+1)/12))) + (Q49)*(IF((YEAR(D49)+10)&lt;YEAR(E49),0,IF((YEAR(D49)+10)&gt;YEAR(E49),1,(12-MONTH(E49)+1)/12))))-((P49)*(IF((YEAR(D49)+10)&lt;YEAR(E49),0,IF((YEAR(D49)+10)&gt;YEAR(E49),1,(12-MONTH(E49)+1)/12))) + (R49)*(IF((YEAR(D49)+10)&lt;YEAR(E49),0,IF((YEAR(D49)+10)&gt;YEAR(E49),1,(12-MONTH(E49)+1)/12))))-(IF((((K49)*(IF(M49="",L49,IFERROR(IF(INDEX(Variablen!$I:$AT, MATCH(M49, Variablen!$A:$A, 0), MATCH((YEAR(D49)+10), Variablen!$I$3:$AT$3, 0))="",L49,INDEX(Variablen!$I:$AT, MATCH(M49, Variablen!$A:$A, 0), MATCH((YEAR(D49)+10), Variablen!$I$3:$AT$3, 0))),L49)))*(IF((YEAR(D49)+10)&lt;YEAR(E49),0,IF((YEAR(D49)+10)&gt;YEAR(E49),1,(12-MONTH(E49)+1)/12))) + (Q49)*(IF((YEAR(D49)+10)&lt;YEAR(E49),0,IF((YEAR(D49)+10)&gt;YEAR(E49),1,(12-MONTH(E49)+1)/12))))-((P49)*(IF((YEAR(D49)+10)&lt;YEAR(E49),0,IF((YEAR(D49)+10)&gt;YEAR(E49),1,(12-MONTH(E49)+1)/12))) + (R49)*(IF((YEAR(D49)+10)&lt;YEAR(E49),0,IF((YEAR(D49)+10)&gt;YEAR(E49),1,(12-MONTH(E49)+1)/12))))-(IF(OR(N49="",N49&lt;=0),0,(O49/N49)*(IF(OR(N49="",N49&lt;=0),0,IF((YEAR(D49)+10)&lt;YEAR(E49),0,IF((YEAR(D49)+10)&gt;=YEAR(E49)+N49,0,IF((YEAR(D49)+10)=YEAR(E49),(12-MONTH(E49)+1)/12,1))))))))&gt;0,(((K49)*(IF(M49="",L49,IFERROR(IF(INDEX(Variablen!$I:$AT, MATCH(M49, Variablen!$A:$A, 0), MATCH((YEAR(D49)+10), Variablen!$I$3:$AT$3, 0))="",L49,INDEX(Variablen!$I:$AT, MATCH(M49, Variablen!$A:$A, 0), MATCH((YEAR(D49)+10), Variablen!$I$3:$AT$3, 0))),L49)))*(IF((YEAR(D49)+10)&lt;YEAR(E49),0,IF((YEAR(D49)+10)&gt;YEAR(E49),1,(12-MONTH(E49)+1)/12))) + (Q49)*(IF((YEAR(D49)+10)&lt;YEAR(E49),0,IF((YEAR(D49)+10)&gt;YEAR(E49),1,(12-MONTH(E49)+1)/12))))-((P49)*(IF((YEAR(D49)+10)&lt;YEAR(E49),0,IF((YEAR(D49)+10)&gt;YEAR(E49),1,(12-MONTH(E49)+1)/12))) + (R49)*(IF((YEAR(D49)+10)&lt;YEAR(E49),0,IF((YEAR(D49)+10)&gt;YEAR(E49),1,(12-MONTH(E49)+1)/12))))-(IF(OR(N49="",N49&lt;=0),0,(O49/N49)*(IF(OR(N49="",N49&lt;=0),0,IF((YEAR(D49)+10)&lt;YEAR(E49),0,IF((YEAR(D49)+10)&gt;=YEAR(E49)+N49,0,IF((YEAR(D49)+10)=YEAR(E49),(12-MONTH(E49)+1)/12,1))))))))*TaxRate,0))-IF(10=0,O49,0))</f>
        <v/>
      </c>
      <c r="AD49" s="29">
        <f>IF(A49="","",((K49)*(IF(M49="",L49,IFERROR(IF(INDEX(Variablen!$I:$AT, MATCH(M49, Variablen!$A:$A, 0), MATCH((YEAR(D49)+11), Variablen!$I$3:$AT$3, 0))="",L49,INDEX(Variablen!$I:$AT, MATCH(M49, Variablen!$A:$A, 0), MATCH((YEAR(D49)+11), Variablen!$I$3:$AT$3, 0))),L49)))*(IF((YEAR(D49)+11)&lt;YEAR(E49),0,IF((YEAR(D49)+11)&gt;YEAR(E49),1,(12-MONTH(E49)+1)/12))) + (Q49)*(IF((YEAR(D49)+11)&lt;YEAR(E49),0,IF((YEAR(D49)+11)&gt;YEAR(E49),1,(12-MONTH(E49)+1)/12))))-((P49)*(IF((YEAR(D49)+11)&lt;YEAR(E49),0,IF((YEAR(D49)+11)&gt;YEAR(E49),1,(12-MONTH(E49)+1)/12))) + (R49)*(IF((YEAR(D49)+11)&lt;YEAR(E49),0,IF((YEAR(D49)+11)&gt;YEAR(E49),1,(12-MONTH(E49)+1)/12))))-(IF((((K49)*(IF(M49="",L49,IFERROR(IF(INDEX(Variablen!$I:$AT, MATCH(M49, Variablen!$A:$A, 0), MATCH((YEAR(D49)+11), Variablen!$I$3:$AT$3, 0))="",L49,INDEX(Variablen!$I:$AT, MATCH(M49, Variablen!$A:$A, 0), MATCH((YEAR(D49)+11), Variablen!$I$3:$AT$3, 0))),L49)))*(IF((YEAR(D49)+11)&lt;YEAR(E49),0,IF((YEAR(D49)+11)&gt;YEAR(E49),1,(12-MONTH(E49)+1)/12))) + (Q49)*(IF((YEAR(D49)+11)&lt;YEAR(E49),0,IF((YEAR(D49)+11)&gt;YEAR(E49),1,(12-MONTH(E49)+1)/12))))-((P49)*(IF((YEAR(D49)+11)&lt;YEAR(E49),0,IF((YEAR(D49)+11)&gt;YEAR(E49),1,(12-MONTH(E49)+1)/12))) + (R49)*(IF((YEAR(D49)+11)&lt;YEAR(E49),0,IF((YEAR(D49)+11)&gt;YEAR(E49),1,(12-MONTH(E49)+1)/12))))-(IF(OR(N49="",N49&lt;=0),0,(O49/N49)*(IF(OR(N49="",N49&lt;=0),0,IF((YEAR(D49)+11)&lt;YEAR(E49),0,IF((YEAR(D49)+11)&gt;=YEAR(E49)+N49,0,IF((YEAR(D49)+11)=YEAR(E49),(12-MONTH(E49)+1)/12,1))))))))&gt;0,(((K49)*(IF(M49="",L49,IFERROR(IF(INDEX(Variablen!$I:$AT, MATCH(M49, Variablen!$A:$A, 0), MATCH((YEAR(D49)+11), Variablen!$I$3:$AT$3, 0))="",L49,INDEX(Variablen!$I:$AT, MATCH(M49, Variablen!$A:$A, 0), MATCH((YEAR(D49)+11), Variablen!$I$3:$AT$3, 0))),L49)))*(IF((YEAR(D49)+11)&lt;YEAR(E49),0,IF((YEAR(D49)+11)&gt;YEAR(E49),1,(12-MONTH(E49)+1)/12))) + (Q49)*(IF((YEAR(D49)+11)&lt;YEAR(E49),0,IF((YEAR(D49)+11)&gt;YEAR(E49),1,(12-MONTH(E49)+1)/12))))-((P49)*(IF((YEAR(D49)+11)&lt;YEAR(E49),0,IF((YEAR(D49)+11)&gt;YEAR(E49),1,(12-MONTH(E49)+1)/12))) + (R49)*(IF((YEAR(D49)+11)&lt;YEAR(E49),0,IF((YEAR(D49)+11)&gt;YEAR(E49),1,(12-MONTH(E49)+1)/12))))-(IF(OR(N49="",N49&lt;=0),0,(O49/N49)*(IF(OR(N49="",N49&lt;=0),0,IF((YEAR(D49)+11)&lt;YEAR(E49),0,IF((YEAR(D49)+11)&gt;=YEAR(E49)+N49,0,IF((YEAR(D49)+11)=YEAR(E49),(12-MONTH(E49)+1)/12,1))))))))*TaxRate,0))-IF(11=0,O49,0))</f>
        <v/>
      </c>
      <c r="AE49" s="29">
        <f>IF(A49="","",((K49)*(IF(M49="",L49,IFERROR(IF(INDEX(Variablen!$I:$AT, MATCH(M49, Variablen!$A:$A, 0), MATCH((YEAR(D49)+12), Variablen!$I$3:$AT$3, 0))="",L49,INDEX(Variablen!$I:$AT, MATCH(M49, Variablen!$A:$A, 0), MATCH((YEAR(D49)+12), Variablen!$I$3:$AT$3, 0))),L49)))*(IF((YEAR(D49)+12)&lt;YEAR(E49),0,IF((YEAR(D49)+12)&gt;YEAR(E49),1,(12-MONTH(E49)+1)/12))) + (Q49)*(IF((YEAR(D49)+12)&lt;YEAR(E49),0,IF((YEAR(D49)+12)&gt;YEAR(E49),1,(12-MONTH(E49)+1)/12))))-((P49)*(IF((YEAR(D49)+12)&lt;YEAR(E49),0,IF((YEAR(D49)+12)&gt;YEAR(E49),1,(12-MONTH(E49)+1)/12))) + (R49)*(IF((YEAR(D49)+12)&lt;YEAR(E49),0,IF((YEAR(D49)+12)&gt;YEAR(E49),1,(12-MONTH(E49)+1)/12))))-(IF((((K49)*(IF(M49="",L49,IFERROR(IF(INDEX(Variablen!$I:$AT, MATCH(M49, Variablen!$A:$A, 0), MATCH((YEAR(D49)+12), Variablen!$I$3:$AT$3, 0))="",L49,INDEX(Variablen!$I:$AT, MATCH(M49, Variablen!$A:$A, 0), MATCH((YEAR(D49)+12), Variablen!$I$3:$AT$3, 0))),L49)))*(IF((YEAR(D49)+12)&lt;YEAR(E49),0,IF((YEAR(D49)+12)&gt;YEAR(E49),1,(12-MONTH(E49)+1)/12))) + (Q49)*(IF((YEAR(D49)+12)&lt;YEAR(E49),0,IF((YEAR(D49)+12)&gt;YEAR(E49),1,(12-MONTH(E49)+1)/12))))-((P49)*(IF((YEAR(D49)+12)&lt;YEAR(E49),0,IF((YEAR(D49)+12)&gt;YEAR(E49),1,(12-MONTH(E49)+1)/12))) + (R49)*(IF((YEAR(D49)+12)&lt;YEAR(E49),0,IF((YEAR(D49)+12)&gt;YEAR(E49),1,(12-MONTH(E49)+1)/12))))-(IF(OR(N49="",N49&lt;=0),0,(O49/N49)*(IF(OR(N49="",N49&lt;=0),0,IF((YEAR(D49)+12)&lt;YEAR(E49),0,IF((YEAR(D49)+12)&gt;=YEAR(E49)+N49,0,IF((YEAR(D49)+12)=YEAR(E49),(12-MONTH(E49)+1)/12,1))))))))&gt;0,(((K49)*(IF(M49="",L49,IFERROR(IF(INDEX(Variablen!$I:$AT, MATCH(M49, Variablen!$A:$A, 0), MATCH((YEAR(D49)+12), Variablen!$I$3:$AT$3, 0))="",L49,INDEX(Variablen!$I:$AT, MATCH(M49, Variablen!$A:$A, 0), MATCH((YEAR(D49)+12), Variablen!$I$3:$AT$3, 0))),L49)))*(IF((YEAR(D49)+12)&lt;YEAR(E49),0,IF((YEAR(D49)+12)&gt;YEAR(E49),1,(12-MONTH(E49)+1)/12))) + (Q49)*(IF((YEAR(D49)+12)&lt;YEAR(E49),0,IF((YEAR(D49)+12)&gt;YEAR(E49),1,(12-MONTH(E49)+1)/12))))-((P49)*(IF((YEAR(D49)+12)&lt;YEAR(E49),0,IF((YEAR(D49)+12)&gt;YEAR(E49),1,(12-MONTH(E49)+1)/12))) + (R49)*(IF((YEAR(D49)+12)&lt;YEAR(E49),0,IF((YEAR(D49)+12)&gt;YEAR(E49),1,(12-MONTH(E49)+1)/12))))-(IF(OR(N49="",N49&lt;=0),0,(O49/N49)*(IF(OR(N49="",N49&lt;=0),0,IF((YEAR(D49)+12)&lt;YEAR(E49),0,IF((YEAR(D49)+12)&gt;=YEAR(E49)+N49,0,IF((YEAR(D49)+12)=YEAR(E49),(12-MONTH(E49)+1)/12,1))))))))*TaxRate,0))-IF(12=0,O49,0))</f>
        <v/>
      </c>
      <c r="AF49" s="29">
        <f>IF(A49="","",((K49)*(IF(M49="",L49,IFERROR(IF(INDEX(Variablen!$I:$AT, MATCH(M49, Variablen!$A:$A, 0), MATCH((YEAR(D49)+13), Variablen!$I$3:$AT$3, 0))="",L49,INDEX(Variablen!$I:$AT, MATCH(M49, Variablen!$A:$A, 0), MATCH((YEAR(D49)+13), Variablen!$I$3:$AT$3, 0))),L49)))*(IF((YEAR(D49)+13)&lt;YEAR(E49),0,IF((YEAR(D49)+13)&gt;YEAR(E49),1,(12-MONTH(E49)+1)/12))) + (Q49)*(IF((YEAR(D49)+13)&lt;YEAR(E49),0,IF((YEAR(D49)+13)&gt;YEAR(E49),1,(12-MONTH(E49)+1)/12))))-((P49)*(IF((YEAR(D49)+13)&lt;YEAR(E49),0,IF((YEAR(D49)+13)&gt;YEAR(E49),1,(12-MONTH(E49)+1)/12))) + (R49)*(IF((YEAR(D49)+13)&lt;YEAR(E49),0,IF((YEAR(D49)+13)&gt;YEAR(E49),1,(12-MONTH(E49)+1)/12))))-(IF((((K49)*(IF(M49="",L49,IFERROR(IF(INDEX(Variablen!$I:$AT, MATCH(M49, Variablen!$A:$A, 0), MATCH((YEAR(D49)+13), Variablen!$I$3:$AT$3, 0))="",L49,INDEX(Variablen!$I:$AT, MATCH(M49, Variablen!$A:$A, 0), MATCH((YEAR(D49)+13), Variablen!$I$3:$AT$3, 0))),L49)))*(IF((YEAR(D49)+13)&lt;YEAR(E49),0,IF((YEAR(D49)+13)&gt;YEAR(E49),1,(12-MONTH(E49)+1)/12))) + (Q49)*(IF((YEAR(D49)+13)&lt;YEAR(E49),0,IF((YEAR(D49)+13)&gt;YEAR(E49),1,(12-MONTH(E49)+1)/12))))-((P49)*(IF((YEAR(D49)+13)&lt;YEAR(E49),0,IF((YEAR(D49)+13)&gt;YEAR(E49),1,(12-MONTH(E49)+1)/12))) + (R49)*(IF((YEAR(D49)+13)&lt;YEAR(E49),0,IF((YEAR(D49)+13)&gt;YEAR(E49),1,(12-MONTH(E49)+1)/12))))-(IF(OR(N49="",N49&lt;=0),0,(O49/N49)*(IF(OR(N49="",N49&lt;=0),0,IF((YEAR(D49)+13)&lt;YEAR(E49),0,IF((YEAR(D49)+13)&gt;=YEAR(E49)+N49,0,IF((YEAR(D49)+13)=YEAR(E49),(12-MONTH(E49)+1)/12,1))))))))&gt;0,(((K49)*(IF(M49="",L49,IFERROR(IF(INDEX(Variablen!$I:$AT, MATCH(M49, Variablen!$A:$A, 0), MATCH((YEAR(D49)+13), Variablen!$I$3:$AT$3, 0))="",L49,INDEX(Variablen!$I:$AT, MATCH(M49, Variablen!$A:$A, 0), MATCH((YEAR(D49)+13), Variablen!$I$3:$AT$3, 0))),L49)))*(IF((YEAR(D49)+13)&lt;YEAR(E49),0,IF((YEAR(D49)+13)&gt;YEAR(E49),1,(12-MONTH(E49)+1)/12))) + (Q49)*(IF((YEAR(D49)+13)&lt;YEAR(E49),0,IF((YEAR(D49)+13)&gt;YEAR(E49),1,(12-MONTH(E49)+1)/12))))-((P49)*(IF((YEAR(D49)+13)&lt;YEAR(E49),0,IF((YEAR(D49)+13)&gt;YEAR(E49),1,(12-MONTH(E49)+1)/12))) + (R49)*(IF((YEAR(D49)+13)&lt;YEAR(E49),0,IF((YEAR(D49)+13)&gt;YEAR(E49),1,(12-MONTH(E49)+1)/12))))-(IF(OR(N49="",N49&lt;=0),0,(O49/N49)*(IF(OR(N49="",N49&lt;=0),0,IF((YEAR(D49)+13)&lt;YEAR(E49),0,IF((YEAR(D49)+13)&gt;=YEAR(E49)+N49,0,IF((YEAR(D49)+13)=YEAR(E49),(12-MONTH(E49)+1)/12,1))))))))*TaxRate,0))-IF(13=0,O49,0))</f>
        <v/>
      </c>
      <c r="AG49" s="29">
        <f>IF(A49="","",((K49)*(IF(M49="",L49,IFERROR(IF(INDEX(Variablen!$I:$AT, MATCH(M49, Variablen!$A:$A, 0), MATCH((YEAR(D49)+14), Variablen!$I$3:$AT$3, 0))="",L49,INDEX(Variablen!$I:$AT, MATCH(M49, Variablen!$A:$A, 0), MATCH((YEAR(D49)+14), Variablen!$I$3:$AT$3, 0))),L49)))*(IF((YEAR(D49)+14)&lt;YEAR(E49),0,IF((YEAR(D49)+14)&gt;YEAR(E49),1,(12-MONTH(E49)+1)/12))) + (Q49)*(IF((YEAR(D49)+14)&lt;YEAR(E49),0,IF((YEAR(D49)+14)&gt;YEAR(E49),1,(12-MONTH(E49)+1)/12))))-((P49)*(IF((YEAR(D49)+14)&lt;YEAR(E49),0,IF((YEAR(D49)+14)&gt;YEAR(E49),1,(12-MONTH(E49)+1)/12))) + (R49)*(IF((YEAR(D49)+14)&lt;YEAR(E49),0,IF((YEAR(D49)+14)&gt;YEAR(E49),1,(12-MONTH(E49)+1)/12))))-(IF((((K49)*(IF(M49="",L49,IFERROR(IF(INDEX(Variablen!$I:$AT, MATCH(M49, Variablen!$A:$A, 0), MATCH((YEAR(D49)+14), Variablen!$I$3:$AT$3, 0))="",L49,INDEX(Variablen!$I:$AT, MATCH(M49, Variablen!$A:$A, 0), MATCH((YEAR(D49)+14), Variablen!$I$3:$AT$3, 0))),L49)))*(IF((YEAR(D49)+14)&lt;YEAR(E49),0,IF((YEAR(D49)+14)&gt;YEAR(E49),1,(12-MONTH(E49)+1)/12))) + (Q49)*(IF((YEAR(D49)+14)&lt;YEAR(E49),0,IF((YEAR(D49)+14)&gt;YEAR(E49),1,(12-MONTH(E49)+1)/12))))-((P49)*(IF((YEAR(D49)+14)&lt;YEAR(E49),0,IF((YEAR(D49)+14)&gt;YEAR(E49),1,(12-MONTH(E49)+1)/12))) + (R49)*(IF((YEAR(D49)+14)&lt;YEAR(E49),0,IF((YEAR(D49)+14)&gt;YEAR(E49),1,(12-MONTH(E49)+1)/12))))-(IF(OR(N49="",N49&lt;=0),0,(O49/N49)*(IF(OR(N49="",N49&lt;=0),0,IF((YEAR(D49)+14)&lt;YEAR(E49),0,IF((YEAR(D49)+14)&gt;=YEAR(E49)+N49,0,IF((YEAR(D49)+14)=YEAR(E49),(12-MONTH(E49)+1)/12,1))))))))&gt;0,(((K49)*(IF(M49="",L49,IFERROR(IF(INDEX(Variablen!$I:$AT, MATCH(M49, Variablen!$A:$A, 0), MATCH((YEAR(D49)+14), Variablen!$I$3:$AT$3, 0))="",L49,INDEX(Variablen!$I:$AT, MATCH(M49, Variablen!$A:$A, 0), MATCH((YEAR(D49)+14), Variablen!$I$3:$AT$3, 0))),L49)))*(IF((YEAR(D49)+14)&lt;YEAR(E49),0,IF((YEAR(D49)+14)&gt;YEAR(E49),1,(12-MONTH(E49)+1)/12))) + (Q49)*(IF((YEAR(D49)+14)&lt;YEAR(E49),0,IF((YEAR(D49)+14)&gt;YEAR(E49),1,(12-MONTH(E49)+1)/12))))-((P49)*(IF((YEAR(D49)+14)&lt;YEAR(E49),0,IF((YEAR(D49)+14)&gt;YEAR(E49),1,(12-MONTH(E49)+1)/12))) + (R49)*(IF((YEAR(D49)+14)&lt;YEAR(E49),0,IF((YEAR(D49)+14)&gt;YEAR(E49),1,(12-MONTH(E49)+1)/12))))-(IF(OR(N49="",N49&lt;=0),0,(O49/N49)*(IF(OR(N49="",N49&lt;=0),0,IF((YEAR(D49)+14)&lt;YEAR(E49),0,IF((YEAR(D49)+14)&gt;=YEAR(E49)+N49,0,IF((YEAR(D49)+14)=YEAR(E49),(12-MONTH(E49)+1)/12,1))))))))*TaxRate,0))-IF(14=0,O49,0))</f>
        <v/>
      </c>
      <c r="AH49" s="29">
        <f>IF(A49="","",((K49)*(IF(M49="",L49,IFERROR(IF(INDEX(Variablen!$I:$AT, MATCH(M49, Variablen!$A:$A, 0), MATCH((YEAR(D49)+15), Variablen!$I$3:$AT$3, 0))="",L49,INDEX(Variablen!$I:$AT, MATCH(M49, Variablen!$A:$A, 0), MATCH((YEAR(D49)+15), Variablen!$I$3:$AT$3, 0))),L49)))*(IF((YEAR(D49)+15)&lt;YEAR(E49),0,IF((YEAR(D49)+15)&gt;YEAR(E49),1,(12-MONTH(E49)+1)/12))) + (Q49)*(IF((YEAR(D49)+15)&lt;YEAR(E49),0,IF((YEAR(D49)+15)&gt;YEAR(E49),1,(12-MONTH(E49)+1)/12))))-((P49)*(IF((YEAR(D49)+15)&lt;YEAR(E49),0,IF((YEAR(D49)+15)&gt;YEAR(E49),1,(12-MONTH(E49)+1)/12))) + (R49)*(IF((YEAR(D49)+15)&lt;YEAR(E49),0,IF((YEAR(D49)+15)&gt;YEAR(E49),1,(12-MONTH(E49)+1)/12))))-(IF((((K49)*(IF(M49="",L49,IFERROR(IF(INDEX(Variablen!$I:$AT, MATCH(M49, Variablen!$A:$A, 0), MATCH((YEAR(D49)+15), Variablen!$I$3:$AT$3, 0))="",L49,INDEX(Variablen!$I:$AT, MATCH(M49, Variablen!$A:$A, 0), MATCH((YEAR(D49)+15), Variablen!$I$3:$AT$3, 0))),L49)))*(IF((YEAR(D49)+15)&lt;YEAR(E49),0,IF((YEAR(D49)+15)&gt;YEAR(E49),1,(12-MONTH(E49)+1)/12))) + (Q49)*(IF((YEAR(D49)+15)&lt;YEAR(E49),0,IF((YEAR(D49)+15)&gt;YEAR(E49),1,(12-MONTH(E49)+1)/12))))-((P49)*(IF((YEAR(D49)+15)&lt;YEAR(E49),0,IF((YEAR(D49)+15)&gt;YEAR(E49),1,(12-MONTH(E49)+1)/12))) + (R49)*(IF((YEAR(D49)+15)&lt;YEAR(E49),0,IF((YEAR(D49)+15)&gt;YEAR(E49),1,(12-MONTH(E49)+1)/12))))-(IF(OR(N49="",N49&lt;=0),0,(O49/N49)*(IF(OR(N49="",N49&lt;=0),0,IF((YEAR(D49)+15)&lt;YEAR(E49),0,IF((YEAR(D49)+15)&gt;=YEAR(E49)+N49,0,IF((YEAR(D49)+15)=YEAR(E49),(12-MONTH(E49)+1)/12,1))))))))&gt;0,(((K49)*(IF(M49="",L49,IFERROR(IF(INDEX(Variablen!$I:$AT, MATCH(M49, Variablen!$A:$A, 0), MATCH((YEAR(D49)+15), Variablen!$I$3:$AT$3, 0))="",L49,INDEX(Variablen!$I:$AT, MATCH(M49, Variablen!$A:$A, 0), MATCH((YEAR(D49)+15), Variablen!$I$3:$AT$3, 0))),L49)))*(IF((YEAR(D49)+15)&lt;YEAR(E49),0,IF((YEAR(D49)+15)&gt;YEAR(E49),1,(12-MONTH(E49)+1)/12))) + (Q49)*(IF((YEAR(D49)+15)&lt;YEAR(E49),0,IF((YEAR(D49)+15)&gt;YEAR(E49),1,(12-MONTH(E49)+1)/12))))-((P49)*(IF((YEAR(D49)+15)&lt;YEAR(E49),0,IF((YEAR(D49)+15)&gt;YEAR(E49),1,(12-MONTH(E49)+1)/12))) + (R49)*(IF((YEAR(D49)+15)&lt;YEAR(E49),0,IF((YEAR(D49)+15)&gt;YEAR(E49),1,(12-MONTH(E49)+1)/12))))-(IF(OR(N49="",N49&lt;=0),0,(O49/N49)*(IF(OR(N49="",N49&lt;=0),0,IF((YEAR(D49)+15)&lt;YEAR(E49),0,IF((YEAR(D49)+15)&gt;=YEAR(E49)+N49,0,IF((YEAR(D49)+15)=YEAR(E49),(12-MONTH(E49)+1)/12,1))))))))*TaxRate,0))-IF(15=0,O49,0))</f>
        <v/>
      </c>
      <c r="AI49" s="29">
        <f>IF(A49="","",((K49)*(IF(M49="",L49,IFERROR(IF(INDEX(Variablen!$I:$AT, MATCH(M49, Variablen!$A:$A, 0), MATCH((YEAR(D49)+16), Variablen!$I$3:$AT$3, 0))="",L49,INDEX(Variablen!$I:$AT, MATCH(M49, Variablen!$A:$A, 0), MATCH((YEAR(D49)+16), Variablen!$I$3:$AT$3, 0))),L49)))*(IF((YEAR(D49)+16)&lt;YEAR(E49),0,IF((YEAR(D49)+16)&gt;YEAR(E49),1,(12-MONTH(E49)+1)/12))) + (Q49)*(IF((YEAR(D49)+16)&lt;YEAR(E49),0,IF((YEAR(D49)+16)&gt;YEAR(E49),1,(12-MONTH(E49)+1)/12))))-((P49)*(IF((YEAR(D49)+16)&lt;YEAR(E49),0,IF((YEAR(D49)+16)&gt;YEAR(E49),1,(12-MONTH(E49)+1)/12))) + (R49)*(IF((YEAR(D49)+16)&lt;YEAR(E49),0,IF((YEAR(D49)+16)&gt;YEAR(E49),1,(12-MONTH(E49)+1)/12))))-(IF((((K49)*(IF(M49="",L49,IFERROR(IF(INDEX(Variablen!$I:$AT, MATCH(M49, Variablen!$A:$A, 0), MATCH((YEAR(D49)+16), Variablen!$I$3:$AT$3, 0))="",L49,INDEX(Variablen!$I:$AT, MATCH(M49, Variablen!$A:$A, 0), MATCH((YEAR(D49)+16), Variablen!$I$3:$AT$3, 0))),L49)))*(IF((YEAR(D49)+16)&lt;YEAR(E49),0,IF((YEAR(D49)+16)&gt;YEAR(E49),1,(12-MONTH(E49)+1)/12))) + (Q49)*(IF((YEAR(D49)+16)&lt;YEAR(E49),0,IF((YEAR(D49)+16)&gt;YEAR(E49),1,(12-MONTH(E49)+1)/12))))-((P49)*(IF((YEAR(D49)+16)&lt;YEAR(E49),0,IF((YEAR(D49)+16)&gt;YEAR(E49),1,(12-MONTH(E49)+1)/12))) + (R49)*(IF((YEAR(D49)+16)&lt;YEAR(E49),0,IF((YEAR(D49)+16)&gt;YEAR(E49),1,(12-MONTH(E49)+1)/12))))-(IF(OR(N49="",N49&lt;=0),0,(O49/N49)*(IF(OR(N49="",N49&lt;=0),0,IF((YEAR(D49)+16)&lt;YEAR(E49),0,IF((YEAR(D49)+16)&gt;=YEAR(E49)+N49,0,IF((YEAR(D49)+16)=YEAR(E49),(12-MONTH(E49)+1)/12,1))))))))&gt;0,(((K49)*(IF(M49="",L49,IFERROR(IF(INDEX(Variablen!$I:$AT, MATCH(M49, Variablen!$A:$A, 0), MATCH((YEAR(D49)+16), Variablen!$I$3:$AT$3, 0))="",L49,INDEX(Variablen!$I:$AT, MATCH(M49, Variablen!$A:$A, 0), MATCH((YEAR(D49)+16), Variablen!$I$3:$AT$3, 0))),L49)))*(IF((YEAR(D49)+16)&lt;YEAR(E49),0,IF((YEAR(D49)+16)&gt;YEAR(E49),1,(12-MONTH(E49)+1)/12))) + (Q49)*(IF((YEAR(D49)+16)&lt;YEAR(E49),0,IF((YEAR(D49)+16)&gt;YEAR(E49),1,(12-MONTH(E49)+1)/12))))-((P49)*(IF((YEAR(D49)+16)&lt;YEAR(E49),0,IF((YEAR(D49)+16)&gt;YEAR(E49),1,(12-MONTH(E49)+1)/12))) + (R49)*(IF((YEAR(D49)+16)&lt;YEAR(E49),0,IF((YEAR(D49)+16)&gt;YEAR(E49),1,(12-MONTH(E49)+1)/12))))-(IF(OR(N49="",N49&lt;=0),0,(O49/N49)*(IF(OR(N49="",N49&lt;=0),0,IF((YEAR(D49)+16)&lt;YEAR(E49),0,IF((YEAR(D49)+16)&gt;=YEAR(E49)+N49,0,IF((YEAR(D49)+16)=YEAR(E49),(12-MONTH(E49)+1)/12,1))))))))*TaxRate,0))-IF(16=0,O49,0))</f>
        <v/>
      </c>
      <c r="AJ49" s="29">
        <f>IF(A49="","",((K49)*(IF(M49="",L49,IFERROR(IF(INDEX(Variablen!$I:$AT, MATCH(M49, Variablen!$A:$A, 0), MATCH((YEAR(D49)+17), Variablen!$I$3:$AT$3, 0))="",L49,INDEX(Variablen!$I:$AT, MATCH(M49, Variablen!$A:$A, 0), MATCH((YEAR(D49)+17), Variablen!$I$3:$AT$3, 0))),L49)))*(IF((YEAR(D49)+17)&lt;YEAR(E49),0,IF((YEAR(D49)+17)&gt;YEAR(E49),1,(12-MONTH(E49)+1)/12))) + (Q49)*(IF((YEAR(D49)+17)&lt;YEAR(E49),0,IF((YEAR(D49)+17)&gt;YEAR(E49),1,(12-MONTH(E49)+1)/12))))-((P49)*(IF((YEAR(D49)+17)&lt;YEAR(E49),0,IF((YEAR(D49)+17)&gt;YEAR(E49),1,(12-MONTH(E49)+1)/12))) + (R49)*(IF((YEAR(D49)+17)&lt;YEAR(E49),0,IF((YEAR(D49)+17)&gt;YEAR(E49),1,(12-MONTH(E49)+1)/12))))-(IF((((K49)*(IF(M49="",L49,IFERROR(IF(INDEX(Variablen!$I:$AT, MATCH(M49, Variablen!$A:$A, 0), MATCH((YEAR(D49)+17), Variablen!$I$3:$AT$3, 0))="",L49,INDEX(Variablen!$I:$AT, MATCH(M49, Variablen!$A:$A, 0), MATCH((YEAR(D49)+17), Variablen!$I$3:$AT$3, 0))),L49)))*(IF((YEAR(D49)+17)&lt;YEAR(E49),0,IF((YEAR(D49)+17)&gt;YEAR(E49),1,(12-MONTH(E49)+1)/12))) + (Q49)*(IF((YEAR(D49)+17)&lt;YEAR(E49),0,IF((YEAR(D49)+17)&gt;YEAR(E49),1,(12-MONTH(E49)+1)/12))))-((P49)*(IF((YEAR(D49)+17)&lt;YEAR(E49),0,IF((YEAR(D49)+17)&gt;YEAR(E49),1,(12-MONTH(E49)+1)/12))) + (R49)*(IF((YEAR(D49)+17)&lt;YEAR(E49),0,IF((YEAR(D49)+17)&gt;YEAR(E49),1,(12-MONTH(E49)+1)/12))))-(IF(OR(N49="",N49&lt;=0),0,(O49/N49)*(IF(OR(N49="",N49&lt;=0),0,IF((YEAR(D49)+17)&lt;YEAR(E49),0,IF((YEAR(D49)+17)&gt;=YEAR(E49)+N49,0,IF((YEAR(D49)+17)=YEAR(E49),(12-MONTH(E49)+1)/12,1))))))))&gt;0,(((K49)*(IF(M49="",L49,IFERROR(IF(INDEX(Variablen!$I:$AT, MATCH(M49, Variablen!$A:$A, 0), MATCH((YEAR(D49)+17), Variablen!$I$3:$AT$3, 0))="",L49,INDEX(Variablen!$I:$AT, MATCH(M49, Variablen!$A:$A, 0), MATCH((YEAR(D49)+17), Variablen!$I$3:$AT$3, 0))),L49)))*(IF((YEAR(D49)+17)&lt;YEAR(E49),0,IF((YEAR(D49)+17)&gt;YEAR(E49),1,(12-MONTH(E49)+1)/12))) + (Q49)*(IF((YEAR(D49)+17)&lt;YEAR(E49),0,IF((YEAR(D49)+17)&gt;YEAR(E49),1,(12-MONTH(E49)+1)/12))))-((P49)*(IF((YEAR(D49)+17)&lt;YEAR(E49),0,IF((YEAR(D49)+17)&gt;YEAR(E49),1,(12-MONTH(E49)+1)/12))) + (R49)*(IF((YEAR(D49)+17)&lt;YEAR(E49),0,IF((YEAR(D49)+17)&gt;YEAR(E49),1,(12-MONTH(E49)+1)/12))))-(IF(OR(N49="",N49&lt;=0),0,(O49/N49)*(IF(OR(N49="",N49&lt;=0),0,IF((YEAR(D49)+17)&lt;YEAR(E49),0,IF((YEAR(D49)+17)&gt;=YEAR(E49)+N49,0,IF((YEAR(D49)+17)=YEAR(E49),(12-MONTH(E49)+1)/12,1))))))))*TaxRate,0))-IF(17=0,O49,0))</f>
        <v/>
      </c>
      <c r="AK49" s="29">
        <f>IF(A49="","",((K49)*(IF(M49="",L49,IFERROR(IF(INDEX(Variablen!$I:$AT, MATCH(M49, Variablen!$A:$A, 0), MATCH((YEAR(D49)+18), Variablen!$I$3:$AT$3, 0))="",L49,INDEX(Variablen!$I:$AT, MATCH(M49, Variablen!$A:$A, 0), MATCH((YEAR(D49)+18), Variablen!$I$3:$AT$3, 0))),L49)))*(IF((YEAR(D49)+18)&lt;YEAR(E49),0,IF((YEAR(D49)+18)&gt;YEAR(E49),1,(12-MONTH(E49)+1)/12))) + (Q49)*(IF((YEAR(D49)+18)&lt;YEAR(E49),0,IF((YEAR(D49)+18)&gt;YEAR(E49),1,(12-MONTH(E49)+1)/12))))-((P49)*(IF((YEAR(D49)+18)&lt;YEAR(E49),0,IF((YEAR(D49)+18)&gt;YEAR(E49),1,(12-MONTH(E49)+1)/12))) + (R49)*(IF((YEAR(D49)+18)&lt;YEAR(E49),0,IF((YEAR(D49)+18)&gt;YEAR(E49),1,(12-MONTH(E49)+1)/12))))-(IF((((K49)*(IF(M49="",L49,IFERROR(IF(INDEX(Variablen!$I:$AT, MATCH(M49, Variablen!$A:$A, 0), MATCH((YEAR(D49)+18), Variablen!$I$3:$AT$3, 0))="",L49,INDEX(Variablen!$I:$AT, MATCH(M49, Variablen!$A:$A, 0), MATCH((YEAR(D49)+18), Variablen!$I$3:$AT$3, 0))),L49)))*(IF((YEAR(D49)+18)&lt;YEAR(E49),0,IF((YEAR(D49)+18)&gt;YEAR(E49),1,(12-MONTH(E49)+1)/12))) + (Q49)*(IF((YEAR(D49)+18)&lt;YEAR(E49),0,IF((YEAR(D49)+18)&gt;YEAR(E49),1,(12-MONTH(E49)+1)/12))))-((P49)*(IF((YEAR(D49)+18)&lt;YEAR(E49),0,IF((YEAR(D49)+18)&gt;YEAR(E49),1,(12-MONTH(E49)+1)/12))) + (R49)*(IF((YEAR(D49)+18)&lt;YEAR(E49),0,IF((YEAR(D49)+18)&gt;YEAR(E49),1,(12-MONTH(E49)+1)/12))))-(IF(OR(N49="",N49&lt;=0),0,(O49/N49)*(IF(OR(N49="",N49&lt;=0),0,IF((YEAR(D49)+18)&lt;YEAR(E49),0,IF((YEAR(D49)+18)&gt;=YEAR(E49)+N49,0,IF((YEAR(D49)+18)=YEAR(E49),(12-MONTH(E49)+1)/12,1))))))))&gt;0,(((K49)*(IF(M49="",L49,IFERROR(IF(INDEX(Variablen!$I:$AT, MATCH(M49, Variablen!$A:$A, 0), MATCH((YEAR(D49)+18), Variablen!$I$3:$AT$3, 0))="",L49,INDEX(Variablen!$I:$AT, MATCH(M49, Variablen!$A:$A, 0), MATCH((YEAR(D49)+18), Variablen!$I$3:$AT$3, 0))),L49)))*(IF((YEAR(D49)+18)&lt;YEAR(E49),0,IF((YEAR(D49)+18)&gt;YEAR(E49),1,(12-MONTH(E49)+1)/12))) + (Q49)*(IF((YEAR(D49)+18)&lt;YEAR(E49),0,IF((YEAR(D49)+18)&gt;YEAR(E49),1,(12-MONTH(E49)+1)/12))))-((P49)*(IF((YEAR(D49)+18)&lt;YEAR(E49),0,IF((YEAR(D49)+18)&gt;YEAR(E49),1,(12-MONTH(E49)+1)/12))) + (R49)*(IF((YEAR(D49)+18)&lt;YEAR(E49),0,IF((YEAR(D49)+18)&gt;YEAR(E49),1,(12-MONTH(E49)+1)/12))))-(IF(OR(N49="",N49&lt;=0),0,(O49/N49)*(IF(OR(N49="",N49&lt;=0),0,IF((YEAR(D49)+18)&lt;YEAR(E49),0,IF((YEAR(D49)+18)&gt;=YEAR(E49)+N49,0,IF((YEAR(D49)+18)=YEAR(E49),(12-MONTH(E49)+1)/12,1))))))))*TaxRate,0))-IF(18=0,O49,0))</f>
        <v/>
      </c>
      <c r="AL49" s="29">
        <f>IF(A49="","",((K49)*(IF(M49="",L49,IFERROR(IF(INDEX(Variablen!$I:$AT, MATCH(M49, Variablen!$A:$A, 0), MATCH((YEAR(D49)+19), Variablen!$I$3:$AT$3, 0))="",L49,INDEX(Variablen!$I:$AT, MATCH(M49, Variablen!$A:$A, 0), MATCH((YEAR(D49)+19), Variablen!$I$3:$AT$3, 0))),L49)))*(IF((YEAR(D49)+19)&lt;YEAR(E49),0,IF((YEAR(D49)+19)&gt;YEAR(E49),1,(12-MONTH(E49)+1)/12))) + (Q49)*(IF((YEAR(D49)+19)&lt;YEAR(E49),0,IF((YEAR(D49)+19)&gt;YEAR(E49),1,(12-MONTH(E49)+1)/12))))-((P49)*(IF((YEAR(D49)+19)&lt;YEAR(E49),0,IF((YEAR(D49)+19)&gt;YEAR(E49),1,(12-MONTH(E49)+1)/12))) + (R49)*(IF((YEAR(D49)+19)&lt;YEAR(E49),0,IF((YEAR(D49)+19)&gt;YEAR(E49),1,(12-MONTH(E49)+1)/12))))-(IF((((K49)*(IF(M49="",L49,IFERROR(IF(INDEX(Variablen!$I:$AT, MATCH(M49, Variablen!$A:$A, 0), MATCH((YEAR(D49)+19), Variablen!$I$3:$AT$3, 0))="",L49,INDEX(Variablen!$I:$AT, MATCH(M49, Variablen!$A:$A, 0), MATCH((YEAR(D49)+19), Variablen!$I$3:$AT$3, 0))),L49)))*(IF((YEAR(D49)+19)&lt;YEAR(E49),0,IF((YEAR(D49)+19)&gt;YEAR(E49),1,(12-MONTH(E49)+1)/12))) + (Q49)*(IF((YEAR(D49)+19)&lt;YEAR(E49),0,IF((YEAR(D49)+19)&gt;YEAR(E49),1,(12-MONTH(E49)+1)/12))))-((P49)*(IF((YEAR(D49)+19)&lt;YEAR(E49),0,IF((YEAR(D49)+19)&gt;YEAR(E49),1,(12-MONTH(E49)+1)/12))) + (R49)*(IF((YEAR(D49)+19)&lt;YEAR(E49),0,IF((YEAR(D49)+19)&gt;YEAR(E49),1,(12-MONTH(E49)+1)/12))))-(IF(OR(N49="",N49&lt;=0),0,(O49/N49)*(IF(OR(N49="",N49&lt;=0),0,IF((YEAR(D49)+19)&lt;YEAR(E49),0,IF((YEAR(D49)+19)&gt;=YEAR(E49)+N49,0,IF((YEAR(D49)+19)=YEAR(E49),(12-MONTH(E49)+1)/12,1))))))))&gt;0,(((K49)*(IF(M49="",L49,IFERROR(IF(INDEX(Variablen!$I:$AT, MATCH(M49, Variablen!$A:$A, 0), MATCH((YEAR(D49)+19), Variablen!$I$3:$AT$3, 0))="",L49,INDEX(Variablen!$I:$AT, MATCH(M49, Variablen!$A:$A, 0), MATCH((YEAR(D49)+19), Variablen!$I$3:$AT$3, 0))),L49)))*(IF((YEAR(D49)+19)&lt;YEAR(E49),0,IF((YEAR(D49)+19)&gt;YEAR(E49),1,(12-MONTH(E49)+1)/12))) + (Q49)*(IF((YEAR(D49)+19)&lt;YEAR(E49),0,IF((YEAR(D49)+19)&gt;YEAR(E49),1,(12-MONTH(E49)+1)/12))))-((P49)*(IF((YEAR(D49)+19)&lt;YEAR(E49),0,IF((YEAR(D49)+19)&gt;YEAR(E49),1,(12-MONTH(E49)+1)/12))) + (R49)*(IF((YEAR(D49)+19)&lt;YEAR(E49),0,IF((YEAR(D49)+19)&gt;YEAR(E49),1,(12-MONTH(E49)+1)/12))))-(IF(OR(N49="",N49&lt;=0),0,(O49/N49)*(IF(OR(N49="",N49&lt;=0),0,IF((YEAR(D49)+19)&lt;YEAR(E49),0,IF((YEAR(D49)+19)&gt;=YEAR(E49)+N49,0,IF((YEAR(D49)+19)=YEAR(E49),(12-MONTH(E49)+1)/12,1))))))))*TaxRate,0))-IF(19=0,O49,0))</f>
        <v/>
      </c>
      <c r="AM49" s="29">
        <f>IF(A49="","",((K49)*(IF(M49="",L49,IFERROR(IF(INDEX(Variablen!$I:$AT, MATCH(M49, Variablen!$A:$A, 0), MATCH((YEAR(D49)+20), Variablen!$I$3:$AT$3, 0))="",L49,INDEX(Variablen!$I:$AT, MATCH(M49, Variablen!$A:$A, 0), MATCH((YEAR(D49)+20), Variablen!$I$3:$AT$3, 0))),L49)))*(IF((YEAR(D49)+20)&lt;YEAR(E49),0,IF((YEAR(D49)+20)&gt;YEAR(E49),1,(12-MONTH(E49)+1)/12))) + (Q49)*(IF((YEAR(D49)+20)&lt;YEAR(E49),0,IF((YEAR(D49)+20)&gt;YEAR(E49),1,(12-MONTH(E49)+1)/12))))-((P49)*(IF((YEAR(D49)+20)&lt;YEAR(E49),0,IF((YEAR(D49)+20)&gt;YEAR(E49),1,(12-MONTH(E49)+1)/12))) + (R49)*(IF((YEAR(D49)+20)&lt;YEAR(E49),0,IF((YEAR(D49)+20)&gt;YEAR(E49),1,(12-MONTH(E49)+1)/12))))-(IF((((K49)*(IF(M49="",L49,IFERROR(IF(INDEX(Variablen!$I:$AT, MATCH(M49, Variablen!$A:$A, 0), MATCH((YEAR(D49)+20), Variablen!$I$3:$AT$3, 0))="",L49,INDEX(Variablen!$I:$AT, MATCH(M49, Variablen!$A:$A, 0), MATCH((YEAR(D49)+20), Variablen!$I$3:$AT$3, 0))),L49)))*(IF((YEAR(D49)+20)&lt;YEAR(E49),0,IF((YEAR(D49)+20)&gt;YEAR(E49),1,(12-MONTH(E49)+1)/12))) + (Q49)*(IF((YEAR(D49)+20)&lt;YEAR(E49),0,IF((YEAR(D49)+20)&gt;YEAR(E49),1,(12-MONTH(E49)+1)/12))))-((P49)*(IF((YEAR(D49)+20)&lt;YEAR(E49),0,IF((YEAR(D49)+20)&gt;YEAR(E49),1,(12-MONTH(E49)+1)/12))) + (R49)*(IF((YEAR(D49)+20)&lt;YEAR(E49),0,IF((YEAR(D49)+20)&gt;YEAR(E49),1,(12-MONTH(E49)+1)/12))))-(IF(OR(N49="",N49&lt;=0),0,(O49/N49)*(IF(OR(N49="",N49&lt;=0),0,IF((YEAR(D49)+20)&lt;YEAR(E49),0,IF((YEAR(D49)+20)&gt;=YEAR(E49)+N49,0,IF((YEAR(D49)+20)=YEAR(E49),(12-MONTH(E49)+1)/12,1))))))))&gt;0,(((K49)*(IF(M49="",L49,IFERROR(IF(INDEX(Variablen!$I:$AT, MATCH(M49, Variablen!$A:$A, 0), MATCH((YEAR(D49)+20), Variablen!$I$3:$AT$3, 0))="",L49,INDEX(Variablen!$I:$AT, MATCH(M49, Variablen!$A:$A, 0), MATCH((YEAR(D49)+20), Variablen!$I$3:$AT$3, 0))),L49)))*(IF((YEAR(D49)+20)&lt;YEAR(E49),0,IF((YEAR(D49)+20)&gt;YEAR(E49),1,(12-MONTH(E49)+1)/12))) + (Q49)*(IF((YEAR(D49)+20)&lt;YEAR(E49),0,IF((YEAR(D49)+20)&gt;YEAR(E49),1,(12-MONTH(E49)+1)/12))))-((P49)*(IF((YEAR(D49)+20)&lt;YEAR(E49),0,IF((YEAR(D49)+20)&gt;YEAR(E49),1,(12-MONTH(E49)+1)/12))) + (R49)*(IF((YEAR(D49)+20)&lt;YEAR(E49),0,IF((YEAR(D49)+20)&gt;YEAR(E49),1,(12-MONTH(E49)+1)/12))))-(IF(OR(N49="",N49&lt;=0),0,(O49/N49)*(IF(OR(N49="",N49&lt;=0),0,IF((YEAR(D49)+20)&lt;YEAR(E49),0,IF((YEAR(D49)+20)&gt;=YEAR(E49)+N49,0,IF((YEAR(D49)+20)=YEAR(E49),(12-MONTH(E49)+1)/12,1))))))))*TaxRate,0))-IF(20=0,O49,0))</f>
        <v/>
      </c>
      <c r="AN49" s="29">
        <f>IF(A49="","",S49)</f>
        <v/>
      </c>
      <c r="AO49" s="29">
        <f>IF(A49="","",AN49+T49)</f>
        <v/>
      </c>
      <c r="AP49" s="29">
        <f>IF(A49="","",AO49+U49)</f>
        <v/>
      </c>
      <c r="AQ49" s="29">
        <f>IF(A49="","",AP49+V49)</f>
        <v/>
      </c>
      <c r="AR49" s="29">
        <f>IF(A49="","",AQ49+W49)</f>
        <v/>
      </c>
      <c r="AS49" s="29">
        <f>IF(A49="","",AR49+X49)</f>
        <v/>
      </c>
      <c r="AT49" s="29">
        <f>IF(A49="","",AS49+Y49)</f>
        <v/>
      </c>
      <c r="AU49" s="29">
        <f>IF(A49="","",AT49+Z49)</f>
        <v/>
      </c>
      <c r="AV49" s="29">
        <f>IF(A49="","",AU49+AA49)</f>
        <v/>
      </c>
      <c r="AW49" s="29">
        <f>IF(A49="","",AV49+AB49)</f>
        <v/>
      </c>
      <c r="AX49" s="29">
        <f>IF(A49="","",AW49+AC49)</f>
        <v/>
      </c>
      <c r="AY49" s="29">
        <f>IF(A49="","",AX49+AD49)</f>
        <v/>
      </c>
      <c r="AZ49" s="29">
        <f>IF(A49="","",AY49+AE49)</f>
        <v/>
      </c>
      <c r="BA49" s="29">
        <f>IF(A49="","",AZ49+AF49)</f>
        <v/>
      </c>
      <c r="BB49" s="29">
        <f>IF(A49="","",BA49+AG49)</f>
        <v/>
      </c>
      <c r="BC49" s="29">
        <f>IF(A49="","",BB49+AH49)</f>
        <v/>
      </c>
      <c r="BD49" s="29">
        <f>IF(A49="","",BC49+AI49)</f>
        <v/>
      </c>
      <c r="BE49" s="29">
        <f>IF(A49="","",BD49+AJ49)</f>
        <v/>
      </c>
      <c r="BF49" s="29">
        <f>IF(A49="","",BE49+AK49)</f>
        <v/>
      </c>
      <c r="BG49" s="29">
        <f>IF(A49="","",BF49+AL49)</f>
        <v/>
      </c>
      <c r="BH49" s="29">
        <f>IF(A49="","",BG49+AM49)</f>
        <v/>
      </c>
      <c r="BI49" s="36">
        <f>IF(A49="","",(K49)*(IF((YEAR(D49)+0)&lt;YEAR(E49),0,IF((YEAR(D49)+0)&gt;YEAR(E49),1,(12-MONTH(E49)+1)/12)))*(1/(1+DiscountRate)^0))</f>
        <v/>
      </c>
      <c r="BJ49" s="36">
        <f>IF(A49="","",(K49)*(IF((YEAR(D49)+1)&lt;YEAR(E49),0,IF((YEAR(D49)+1)&gt;YEAR(E49),1,(12-MONTH(E49)+1)/12)))*(1/(1+DiscountRate)^1))</f>
        <v/>
      </c>
      <c r="BK49" s="36">
        <f>IF(A49="","",(K49)*(IF((YEAR(D49)+2)&lt;YEAR(E49),0,IF((YEAR(D49)+2)&gt;YEAR(E49),1,(12-MONTH(E49)+1)/12)))*(1/(1+DiscountRate)^2))</f>
        <v/>
      </c>
      <c r="BL49" s="36">
        <f>IF(A49="","",(K49)*(IF((YEAR(D49)+3)&lt;YEAR(E49),0,IF((YEAR(D49)+3)&gt;YEAR(E49),1,(12-MONTH(E49)+1)/12)))*(1/(1+DiscountRate)^3))</f>
        <v/>
      </c>
      <c r="BM49" s="36">
        <f>IF(A49="","",(K49)*(IF((YEAR(D49)+4)&lt;YEAR(E49),0,IF((YEAR(D49)+4)&gt;YEAR(E49),1,(12-MONTH(E49)+1)/12)))*(1/(1+DiscountRate)^4))</f>
        <v/>
      </c>
      <c r="BN49" s="36">
        <f>IF(A49="","",(K49)*(IF((YEAR(D49)+5)&lt;YEAR(E49),0,IF((YEAR(D49)+5)&gt;YEAR(E49),1,(12-MONTH(E49)+1)/12)))*(1/(1+DiscountRate)^5))</f>
        <v/>
      </c>
      <c r="BO49" s="36">
        <f>IF(A49="","",(K49)*(IF((YEAR(D49)+6)&lt;YEAR(E49),0,IF((YEAR(D49)+6)&gt;YEAR(E49),1,(12-MONTH(E49)+1)/12)))*(1/(1+DiscountRate)^6))</f>
        <v/>
      </c>
      <c r="BP49" s="36">
        <f>IF(A49="","",(K49)*(IF((YEAR(D49)+7)&lt;YEAR(E49),0,IF((YEAR(D49)+7)&gt;YEAR(E49),1,(12-MONTH(E49)+1)/12)))*(1/(1+DiscountRate)^7))</f>
        <v/>
      </c>
      <c r="BQ49" s="36">
        <f>IF(A49="","",(K49)*(IF((YEAR(D49)+8)&lt;YEAR(E49),0,IF((YEAR(D49)+8)&gt;YEAR(E49),1,(12-MONTH(E49)+1)/12)))*(1/(1+DiscountRate)^8))</f>
        <v/>
      </c>
      <c r="BR49" s="36">
        <f>IF(A49="","",(K49)*(IF((YEAR(D49)+9)&lt;YEAR(E49),0,IF((YEAR(D49)+9)&gt;YEAR(E49),1,(12-MONTH(E49)+1)/12)))*(1/(1+DiscountRate)^9))</f>
        <v/>
      </c>
      <c r="BS49" s="36">
        <f>IF(A49="","",(K49)*(IF((YEAR(D49)+10)&lt;YEAR(E49),0,IF((YEAR(D49)+10)&gt;YEAR(E49),1,(12-MONTH(E49)+1)/12)))*(1/(1+DiscountRate)^10))</f>
        <v/>
      </c>
      <c r="BT49" s="36">
        <f>IF(A49="","",(K49)*(IF((YEAR(D49)+11)&lt;YEAR(E49),0,IF((YEAR(D49)+11)&gt;YEAR(E49),1,(12-MONTH(E49)+1)/12)))*(1/(1+DiscountRate)^11))</f>
        <v/>
      </c>
      <c r="BU49" s="36">
        <f>IF(A49="","",(K49)*(IF((YEAR(D49)+12)&lt;YEAR(E49),0,IF((YEAR(D49)+12)&gt;YEAR(E49),1,(12-MONTH(E49)+1)/12)))*(1/(1+DiscountRate)^12))</f>
        <v/>
      </c>
      <c r="BV49" s="36">
        <f>IF(A49="","",(K49)*(IF((YEAR(D49)+13)&lt;YEAR(E49),0,IF((YEAR(D49)+13)&gt;YEAR(E49),1,(12-MONTH(E49)+1)/12)))*(1/(1+DiscountRate)^13))</f>
        <v/>
      </c>
      <c r="BW49" s="36">
        <f>IF(A49="","",(K49)*(IF((YEAR(D49)+14)&lt;YEAR(E49),0,IF((YEAR(D49)+14)&gt;YEAR(E49),1,(12-MONTH(E49)+1)/12)))*(1/(1+DiscountRate)^14))</f>
        <v/>
      </c>
      <c r="BX49" s="36">
        <f>IF(A49="","",(K49)*(IF((YEAR(D49)+15)&lt;YEAR(E49),0,IF((YEAR(D49)+15)&gt;YEAR(E49),1,(12-MONTH(E49)+1)/12)))*(1/(1+DiscountRate)^15))</f>
        <v/>
      </c>
      <c r="BY49" s="36">
        <f>IF(A49="","",(K49)*(IF((YEAR(D49)+16)&lt;YEAR(E49),0,IF((YEAR(D49)+16)&gt;YEAR(E49),1,(12-MONTH(E49)+1)/12)))*(1/(1+DiscountRate)^16))</f>
        <v/>
      </c>
      <c r="BZ49" s="36">
        <f>IF(A49="","",(K49)*(IF((YEAR(D49)+17)&lt;YEAR(E49),0,IF((YEAR(D49)+17)&gt;YEAR(E49),1,(12-MONTH(E49)+1)/12)))*(1/(1+DiscountRate)^17))</f>
        <v/>
      </c>
      <c r="CA49" s="36">
        <f>IF(A49="","",(K49)*(IF((YEAR(D49)+18)&lt;YEAR(E49),0,IF((YEAR(D49)+18)&gt;YEAR(E49),1,(12-MONTH(E49)+1)/12)))*(1/(1+DiscountRate)^18))</f>
        <v/>
      </c>
      <c r="CB49" s="36">
        <f>IF(A49="","",(K49)*(IF((YEAR(D49)+19)&lt;YEAR(E49),0,IF((YEAR(D49)+19)&gt;YEAR(E49),1,(12-MONTH(E49)+1)/12)))*(1/(1+DiscountRate)^19))</f>
        <v/>
      </c>
      <c r="CC49" s="36">
        <f>IF(A49="","",(K49)*(IF((YEAR(D49)+20)&lt;YEAR(E49),0,IF((YEAR(D49)+20)&gt;YEAR(E49),1,(12-MONTH(E49)+1)/12)))*(1/(1+DiscountRate)^20))</f>
        <v/>
      </c>
      <c r="CD49" s="29">
        <f>IF(A49="","",S49/(1+DiscountRate)^0+T49/(1+DiscountRate)^1+U49/(1+DiscountRate)^2+V49/(1+DiscountRate)^3+W49/(1+DiscountRate)^4+X49/(1+DiscountRate)^5+Y49/(1+DiscountRate)^6+Z49/(1+DiscountRate)^7+AA49/(1+DiscountRate)^8+AB49/(1+DiscountRate)^9+AC49/(1+DiscountRate)^10+AD49/(1+DiscountRate)^11+AE49/(1+DiscountRate)^12+AF49/(1+DiscountRate)^13+AG49/(1+DiscountRate)^14+AH49/(1+DiscountRate)^15+AI49/(1+DiscountRate)^16+AJ49/(1+DiscountRate)^17+AK49/(1+DiscountRate)^18+AL49/(1+DiscountRate)^19+AM49/(1+DiscountRate)^20)</f>
        <v/>
      </c>
      <c r="CE49" s="37">
        <f>IF(A49="","",IFERROR(IRR(OFFSET(S49,0,0,1,MIN(HorizonYears,20)+1)),"n/a"))</f>
        <v/>
      </c>
      <c r="CF49" s="28">
        <f>IF(A49="","",IFERROR(MATCH(TRUE,OFFSET(AN49,0,0,1,MIN(HorizonYears,20)+1)&gt;=0,0)-1,"n/a"))</f>
        <v/>
      </c>
      <c r="CG49" s="36">
        <f>IF(A49="","",SUM(OFFSET(BI49,0,0,1,MIN(HorizonYears,20)+1)))</f>
        <v/>
      </c>
      <c r="CH49" s="36">
        <f>IF(A49="","",IFERROR(-CD49/CG49,"n/a"))</f>
        <v/>
      </c>
    </row>
    <row r="50">
      <c r="A50" s="6">
        <f>Actions!A48</f>
        <v/>
      </c>
      <c r="B50" s="6">
        <f>Actions!B48</f>
        <v/>
      </c>
      <c r="C50" s="6">
        <f>Actions!D48</f>
        <v/>
      </c>
      <c r="D50" s="35">
        <f>Actions!E48</f>
        <v/>
      </c>
      <c r="E50" s="35">
        <f>Actions!F48</f>
        <v/>
      </c>
      <c r="F50" s="6">
        <f>Actions!G48</f>
        <v/>
      </c>
      <c r="G50" s="6">
        <f>Actions!H48</f>
        <v/>
      </c>
      <c r="H50" s="29">
        <f>Actions!I48</f>
        <v/>
      </c>
      <c r="I50" s="6">
        <f>Actions!J48</f>
        <v/>
      </c>
      <c r="J50" s="16">
        <f>Actions!K48</f>
        <v/>
      </c>
      <c r="K50" s="16">
        <f>IF(A50="","",IF(I50="%",H50*J50,J50))</f>
        <v/>
      </c>
      <c r="L50" s="16">
        <f>Actions!L48</f>
        <v/>
      </c>
      <c r="M50" s="6">
        <f>Actions!M48</f>
        <v/>
      </c>
      <c r="N50" s="28">
        <f>Actions!N48</f>
        <v/>
      </c>
      <c r="O50" s="29">
        <f>Actions!T48</f>
        <v/>
      </c>
      <c r="P50" s="29">
        <f>Actions!Y48</f>
        <v/>
      </c>
      <c r="Q50" s="29">
        <f>Actions!Z48</f>
        <v/>
      </c>
      <c r="R50" s="29">
        <f>Actions!AA48</f>
        <v/>
      </c>
      <c r="S50" s="29">
        <f>IF(A50="","",((K50)*(IF(M50="",L50,IFERROR(IF(INDEX(Variablen!$I:$AT, MATCH(M50, Variablen!$A:$A, 0), MATCH((YEAR(D50)+0), Variablen!$I$3:$AT$3, 0))="",L50,INDEX(Variablen!$I:$AT, MATCH(M50, Variablen!$A:$A, 0), MATCH((YEAR(D50)+0), Variablen!$I$3:$AT$3, 0))),L50)))*(IF((YEAR(D50)+0)&lt;YEAR(E50),0,IF((YEAR(D50)+0)&gt;YEAR(E50),1,(12-MONTH(E50)+1)/12))) + (Q50)*(IF((YEAR(D50)+0)&lt;YEAR(E50),0,IF((YEAR(D50)+0)&gt;YEAR(E50),1,(12-MONTH(E50)+1)/12))))-((P50)*(IF((YEAR(D50)+0)&lt;YEAR(E50),0,IF((YEAR(D50)+0)&gt;YEAR(E50),1,(12-MONTH(E50)+1)/12))) + (R50)*(IF((YEAR(D50)+0)&lt;YEAR(E50),0,IF((YEAR(D50)+0)&gt;YEAR(E50),1,(12-MONTH(E50)+1)/12))))-(IF((((K50)*(IF(M50="",L50,IFERROR(IF(INDEX(Variablen!$I:$AT, MATCH(M50, Variablen!$A:$A, 0), MATCH((YEAR(D50)+0), Variablen!$I$3:$AT$3, 0))="",L50,INDEX(Variablen!$I:$AT, MATCH(M50, Variablen!$A:$A, 0), MATCH((YEAR(D50)+0), Variablen!$I$3:$AT$3, 0))),L50)))*(IF((YEAR(D50)+0)&lt;YEAR(E50),0,IF((YEAR(D50)+0)&gt;YEAR(E50),1,(12-MONTH(E50)+1)/12))) + (Q50)*(IF((YEAR(D50)+0)&lt;YEAR(E50),0,IF((YEAR(D50)+0)&gt;YEAR(E50),1,(12-MONTH(E50)+1)/12))))-((P50)*(IF((YEAR(D50)+0)&lt;YEAR(E50),0,IF((YEAR(D50)+0)&gt;YEAR(E50),1,(12-MONTH(E50)+1)/12))) + (R50)*(IF((YEAR(D50)+0)&lt;YEAR(E50),0,IF((YEAR(D50)+0)&gt;YEAR(E50),1,(12-MONTH(E50)+1)/12))))-(IF(OR(N50="",N50&lt;=0),0,(O50/N50)*(IF(OR(N50="",N50&lt;=0),0,IF((YEAR(D50)+0)&lt;YEAR(E50),0,IF((YEAR(D50)+0)&gt;=YEAR(E50)+N50,0,IF((YEAR(D50)+0)=YEAR(E50),(12-MONTH(E50)+1)/12,1))))))))&gt;0,(((K50)*(IF(M50="",L50,IFERROR(IF(INDEX(Variablen!$I:$AT, MATCH(M50, Variablen!$A:$A, 0), MATCH((YEAR(D50)+0), Variablen!$I$3:$AT$3, 0))="",L50,INDEX(Variablen!$I:$AT, MATCH(M50, Variablen!$A:$A, 0), MATCH((YEAR(D50)+0), Variablen!$I$3:$AT$3, 0))),L50)))*(IF((YEAR(D50)+0)&lt;YEAR(E50),0,IF((YEAR(D50)+0)&gt;YEAR(E50),1,(12-MONTH(E50)+1)/12))) + (Q50)*(IF((YEAR(D50)+0)&lt;YEAR(E50),0,IF((YEAR(D50)+0)&gt;YEAR(E50),1,(12-MONTH(E50)+1)/12))))-((P50)*(IF((YEAR(D50)+0)&lt;YEAR(E50),0,IF((YEAR(D50)+0)&gt;YEAR(E50),1,(12-MONTH(E50)+1)/12))) + (R50)*(IF((YEAR(D50)+0)&lt;YEAR(E50),0,IF((YEAR(D50)+0)&gt;YEAR(E50),1,(12-MONTH(E50)+1)/12))))-(IF(OR(N50="",N50&lt;=0),0,(O50/N50)*(IF(OR(N50="",N50&lt;=0),0,IF((YEAR(D50)+0)&lt;YEAR(E50),0,IF((YEAR(D50)+0)&gt;=YEAR(E50)+N50,0,IF((YEAR(D50)+0)=YEAR(E50),(12-MONTH(E50)+1)/12,1))))))))*TaxRate,0))-IF(0=0,O50,0))</f>
        <v/>
      </c>
      <c r="T50" s="29">
        <f>IF(A50="","",((K50)*(IF(M50="",L50,IFERROR(IF(INDEX(Variablen!$I:$AT, MATCH(M50, Variablen!$A:$A, 0), MATCH((YEAR(D50)+1), Variablen!$I$3:$AT$3, 0))="",L50,INDEX(Variablen!$I:$AT, MATCH(M50, Variablen!$A:$A, 0), MATCH((YEAR(D50)+1), Variablen!$I$3:$AT$3, 0))),L50)))*(IF((YEAR(D50)+1)&lt;YEAR(E50),0,IF((YEAR(D50)+1)&gt;YEAR(E50),1,(12-MONTH(E50)+1)/12))) + (Q50)*(IF((YEAR(D50)+1)&lt;YEAR(E50),0,IF((YEAR(D50)+1)&gt;YEAR(E50),1,(12-MONTH(E50)+1)/12))))-((P50)*(IF((YEAR(D50)+1)&lt;YEAR(E50),0,IF((YEAR(D50)+1)&gt;YEAR(E50),1,(12-MONTH(E50)+1)/12))) + (R50)*(IF((YEAR(D50)+1)&lt;YEAR(E50),0,IF((YEAR(D50)+1)&gt;YEAR(E50),1,(12-MONTH(E50)+1)/12))))-(IF((((K50)*(IF(M50="",L50,IFERROR(IF(INDEX(Variablen!$I:$AT, MATCH(M50, Variablen!$A:$A, 0), MATCH((YEAR(D50)+1), Variablen!$I$3:$AT$3, 0))="",L50,INDEX(Variablen!$I:$AT, MATCH(M50, Variablen!$A:$A, 0), MATCH((YEAR(D50)+1), Variablen!$I$3:$AT$3, 0))),L50)))*(IF((YEAR(D50)+1)&lt;YEAR(E50),0,IF((YEAR(D50)+1)&gt;YEAR(E50),1,(12-MONTH(E50)+1)/12))) + (Q50)*(IF((YEAR(D50)+1)&lt;YEAR(E50),0,IF((YEAR(D50)+1)&gt;YEAR(E50),1,(12-MONTH(E50)+1)/12))))-((P50)*(IF((YEAR(D50)+1)&lt;YEAR(E50),0,IF((YEAR(D50)+1)&gt;YEAR(E50),1,(12-MONTH(E50)+1)/12))) + (R50)*(IF((YEAR(D50)+1)&lt;YEAR(E50),0,IF((YEAR(D50)+1)&gt;YEAR(E50),1,(12-MONTH(E50)+1)/12))))-(IF(OR(N50="",N50&lt;=0),0,(O50/N50)*(IF(OR(N50="",N50&lt;=0),0,IF((YEAR(D50)+1)&lt;YEAR(E50),0,IF((YEAR(D50)+1)&gt;=YEAR(E50)+N50,0,IF((YEAR(D50)+1)=YEAR(E50),(12-MONTH(E50)+1)/12,1))))))))&gt;0,(((K50)*(IF(M50="",L50,IFERROR(IF(INDEX(Variablen!$I:$AT, MATCH(M50, Variablen!$A:$A, 0), MATCH((YEAR(D50)+1), Variablen!$I$3:$AT$3, 0))="",L50,INDEX(Variablen!$I:$AT, MATCH(M50, Variablen!$A:$A, 0), MATCH((YEAR(D50)+1), Variablen!$I$3:$AT$3, 0))),L50)))*(IF((YEAR(D50)+1)&lt;YEAR(E50),0,IF((YEAR(D50)+1)&gt;YEAR(E50),1,(12-MONTH(E50)+1)/12))) + (Q50)*(IF((YEAR(D50)+1)&lt;YEAR(E50),0,IF((YEAR(D50)+1)&gt;YEAR(E50),1,(12-MONTH(E50)+1)/12))))-((P50)*(IF((YEAR(D50)+1)&lt;YEAR(E50),0,IF((YEAR(D50)+1)&gt;YEAR(E50),1,(12-MONTH(E50)+1)/12))) + (R50)*(IF((YEAR(D50)+1)&lt;YEAR(E50),0,IF((YEAR(D50)+1)&gt;YEAR(E50),1,(12-MONTH(E50)+1)/12))))-(IF(OR(N50="",N50&lt;=0),0,(O50/N50)*(IF(OR(N50="",N50&lt;=0),0,IF((YEAR(D50)+1)&lt;YEAR(E50),0,IF((YEAR(D50)+1)&gt;=YEAR(E50)+N50,0,IF((YEAR(D50)+1)=YEAR(E50),(12-MONTH(E50)+1)/12,1))))))))*TaxRate,0))-IF(1=0,O50,0))</f>
        <v/>
      </c>
      <c r="U50" s="29">
        <f>IF(A50="","",((K50)*(IF(M50="",L50,IFERROR(IF(INDEX(Variablen!$I:$AT, MATCH(M50, Variablen!$A:$A, 0), MATCH((YEAR(D50)+2), Variablen!$I$3:$AT$3, 0))="",L50,INDEX(Variablen!$I:$AT, MATCH(M50, Variablen!$A:$A, 0), MATCH((YEAR(D50)+2), Variablen!$I$3:$AT$3, 0))),L50)))*(IF((YEAR(D50)+2)&lt;YEAR(E50),0,IF((YEAR(D50)+2)&gt;YEAR(E50),1,(12-MONTH(E50)+1)/12))) + (Q50)*(IF((YEAR(D50)+2)&lt;YEAR(E50),0,IF((YEAR(D50)+2)&gt;YEAR(E50),1,(12-MONTH(E50)+1)/12))))-((P50)*(IF((YEAR(D50)+2)&lt;YEAR(E50),0,IF((YEAR(D50)+2)&gt;YEAR(E50),1,(12-MONTH(E50)+1)/12))) + (R50)*(IF((YEAR(D50)+2)&lt;YEAR(E50),0,IF((YEAR(D50)+2)&gt;YEAR(E50),1,(12-MONTH(E50)+1)/12))))-(IF((((K50)*(IF(M50="",L50,IFERROR(IF(INDEX(Variablen!$I:$AT, MATCH(M50, Variablen!$A:$A, 0), MATCH((YEAR(D50)+2), Variablen!$I$3:$AT$3, 0))="",L50,INDEX(Variablen!$I:$AT, MATCH(M50, Variablen!$A:$A, 0), MATCH((YEAR(D50)+2), Variablen!$I$3:$AT$3, 0))),L50)))*(IF((YEAR(D50)+2)&lt;YEAR(E50),0,IF((YEAR(D50)+2)&gt;YEAR(E50),1,(12-MONTH(E50)+1)/12))) + (Q50)*(IF((YEAR(D50)+2)&lt;YEAR(E50),0,IF((YEAR(D50)+2)&gt;YEAR(E50),1,(12-MONTH(E50)+1)/12))))-((P50)*(IF((YEAR(D50)+2)&lt;YEAR(E50),0,IF((YEAR(D50)+2)&gt;YEAR(E50),1,(12-MONTH(E50)+1)/12))) + (R50)*(IF((YEAR(D50)+2)&lt;YEAR(E50),0,IF((YEAR(D50)+2)&gt;YEAR(E50),1,(12-MONTH(E50)+1)/12))))-(IF(OR(N50="",N50&lt;=0),0,(O50/N50)*(IF(OR(N50="",N50&lt;=0),0,IF((YEAR(D50)+2)&lt;YEAR(E50),0,IF((YEAR(D50)+2)&gt;=YEAR(E50)+N50,0,IF((YEAR(D50)+2)=YEAR(E50),(12-MONTH(E50)+1)/12,1))))))))&gt;0,(((K50)*(IF(M50="",L50,IFERROR(IF(INDEX(Variablen!$I:$AT, MATCH(M50, Variablen!$A:$A, 0), MATCH((YEAR(D50)+2), Variablen!$I$3:$AT$3, 0))="",L50,INDEX(Variablen!$I:$AT, MATCH(M50, Variablen!$A:$A, 0), MATCH((YEAR(D50)+2), Variablen!$I$3:$AT$3, 0))),L50)))*(IF((YEAR(D50)+2)&lt;YEAR(E50),0,IF((YEAR(D50)+2)&gt;YEAR(E50),1,(12-MONTH(E50)+1)/12))) + (Q50)*(IF((YEAR(D50)+2)&lt;YEAR(E50),0,IF((YEAR(D50)+2)&gt;YEAR(E50),1,(12-MONTH(E50)+1)/12))))-((P50)*(IF((YEAR(D50)+2)&lt;YEAR(E50),0,IF((YEAR(D50)+2)&gt;YEAR(E50),1,(12-MONTH(E50)+1)/12))) + (R50)*(IF((YEAR(D50)+2)&lt;YEAR(E50),0,IF((YEAR(D50)+2)&gt;YEAR(E50),1,(12-MONTH(E50)+1)/12))))-(IF(OR(N50="",N50&lt;=0),0,(O50/N50)*(IF(OR(N50="",N50&lt;=0),0,IF((YEAR(D50)+2)&lt;YEAR(E50),0,IF((YEAR(D50)+2)&gt;=YEAR(E50)+N50,0,IF((YEAR(D50)+2)=YEAR(E50),(12-MONTH(E50)+1)/12,1))))))))*TaxRate,0))-IF(2=0,O50,0))</f>
        <v/>
      </c>
      <c r="V50" s="29">
        <f>IF(A50="","",((K50)*(IF(M50="",L50,IFERROR(IF(INDEX(Variablen!$I:$AT, MATCH(M50, Variablen!$A:$A, 0), MATCH((YEAR(D50)+3), Variablen!$I$3:$AT$3, 0))="",L50,INDEX(Variablen!$I:$AT, MATCH(M50, Variablen!$A:$A, 0), MATCH((YEAR(D50)+3), Variablen!$I$3:$AT$3, 0))),L50)))*(IF((YEAR(D50)+3)&lt;YEAR(E50),0,IF((YEAR(D50)+3)&gt;YEAR(E50),1,(12-MONTH(E50)+1)/12))) + (Q50)*(IF((YEAR(D50)+3)&lt;YEAR(E50),0,IF((YEAR(D50)+3)&gt;YEAR(E50),1,(12-MONTH(E50)+1)/12))))-((P50)*(IF((YEAR(D50)+3)&lt;YEAR(E50),0,IF((YEAR(D50)+3)&gt;YEAR(E50),1,(12-MONTH(E50)+1)/12))) + (R50)*(IF((YEAR(D50)+3)&lt;YEAR(E50),0,IF((YEAR(D50)+3)&gt;YEAR(E50),1,(12-MONTH(E50)+1)/12))))-(IF((((K50)*(IF(M50="",L50,IFERROR(IF(INDEX(Variablen!$I:$AT, MATCH(M50, Variablen!$A:$A, 0), MATCH((YEAR(D50)+3), Variablen!$I$3:$AT$3, 0))="",L50,INDEX(Variablen!$I:$AT, MATCH(M50, Variablen!$A:$A, 0), MATCH((YEAR(D50)+3), Variablen!$I$3:$AT$3, 0))),L50)))*(IF((YEAR(D50)+3)&lt;YEAR(E50),0,IF((YEAR(D50)+3)&gt;YEAR(E50),1,(12-MONTH(E50)+1)/12))) + (Q50)*(IF((YEAR(D50)+3)&lt;YEAR(E50),0,IF((YEAR(D50)+3)&gt;YEAR(E50),1,(12-MONTH(E50)+1)/12))))-((P50)*(IF((YEAR(D50)+3)&lt;YEAR(E50),0,IF((YEAR(D50)+3)&gt;YEAR(E50),1,(12-MONTH(E50)+1)/12))) + (R50)*(IF((YEAR(D50)+3)&lt;YEAR(E50),0,IF((YEAR(D50)+3)&gt;YEAR(E50),1,(12-MONTH(E50)+1)/12))))-(IF(OR(N50="",N50&lt;=0),0,(O50/N50)*(IF(OR(N50="",N50&lt;=0),0,IF((YEAR(D50)+3)&lt;YEAR(E50),0,IF((YEAR(D50)+3)&gt;=YEAR(E50)+N50,0,IF((YEAR(D50)+3)=YEAR(E50),(12-MONTH(E50)+1)/12,1))))))))&gt;0,(((K50)*(IF(M50="",L50,IFERROR(IF(INDEX(Variablen!$I:$AT, MATCH(M50, Variablen!$A:$A, 0), MATCH((YEAR(D50)+3), Variablen!$I$3:$AT$3, 0))="",L50,INDEX(Variablen!$I:$AT, MATCH(M50, Variablen!$A:$A, 0), MATCH((YEAR(D50)+3), Variablen!$I$3:$AT$3, 0))),L50)))*(IF((YEAR(D50)+3)&lt;YEAR(E50),0,IF((YEAR(D50)+3)&gt;YEAR(E50),1,(12-MONTH(E50)+1)/12))) + (Q50)*(IF((YEAR(D50)+3)&lt;YEAR(E50),0,IF((YEAR(D50)+3)&gt;YEAR(E50),1,(12-MONTH(E50)+1)/12))))-((P50)*(IF((YEAR(D50)+3)&lt;YEAR(E50),0,IF((YEAR(D50)+3)&gt;YEAR(E50),1,(12-MONTH(E50)+1)/12))) + (R50)*(IF((YEAR(D50)+3)&lt;YEAR(E50),0,IF((YEAR(D50)+3)&gt;YEAR(E50),1,(12-MONTH(E50)+1)/12))))-(IF(OR(N50="",N50&lt;=0),0,(O50/N50)*(IF(OR(N50="",N50&lt;=0),0,IF((YEAR(D50)+3)&lt;YEAR(E50),0,IF((YEAR(D50)+3)&gt;=YEAR(E50)+N50,0,IF((YEAR(D50)+3)=YEAR(E50),(12-MONTH(E50)+1)/12,1))))))))*TaxRate,0))-IF(3=0,O50,0))</f>
        <v/>
      </c>
      <c r="W50" s="29">
        <f>IF(A50="","",((K50)*(IF(M50="",L50,IFERROR(IF(INDEX(Variablen!$I:$AT, MATCH(M50, Variablen!$A:$A, 0), MATCH((YEAR(D50)+4), Variablen!$I$3:$AT$3, 0))="",L50,INDEX(Variablen!$I:$AT, MATCH(M50, Variablen!$A:$A, 0), MATCH((YEAR(D50)+4), Variablen!$I$3:$AT$3, 0))),L50)))*(IF((YEAR(D50)+4)&lt;YEAR(E50),0,IF((YEAR(D50)+4)&gt;YEAR(E50),1,(12-MONTH(E50)+1)/12))) + (Q50)*(IF((YEAR(D50)+4)&lt;YEAR(E50),0,IF((YEAR(D50)+4)&gt;YEAR(E50),1,(12-MONTH(E50)+1)/12))))-((P50)*(IF((YEAR(D50)+4)&lt;YEAR(E50),0,IF((YEAR(D50)+4)&gt;YEAR(E50),1,(12-MONTH(E50)+1)/12))) + (R50)*(IF((YEAR(D50)+4)&lt;YEAR(E50),0,IF((YEAR(D50)+4)&gt;YEAR(E50),1,(12-MONTH(E50)+1)/12))))-(IF((((K50)*(IF(M50="",L50,IFERROR(IF(INDEX(Variablen!$I:$AT, MATCH(M50, Variablen!$A:$A, 0), MATCH((YEAR(D50)+4), Variablen!$I$3:$AT$3, 0))="",L50,INDEX(Variablen!$I:$AT, MATCH(M50, Variablen!$A:$A, 0), MATCH((YEAR(D50)+4), Variablen!$I$3:$AT$3, 0))),L50)))*(IF((YEAR(D50)+4)&lt;YEAR(E50),0,IF((YEAR(D50)+4)&gt;YEAR(E50),1,(12-MONTH(E50)+1)/12))) + (Q50)*(IF((YEAR(D50)+4)&lt;YEAR(E50),0,IF((YEAR(D50)+4)&gt;YEAR(E50),1,(12-MONTH(E50)+1)/12))))-((P50)*(IF((YEAR(D50)+4)&lt;YEAR(E50),0,IF((YEAR(D50)+4)&gt;YEAR(E50),1,(12-MONTH(E50)+1)/12))) + (R50)*(IF((YEAR(D50)+4)&lt;YEAR(E50),0,IF((YEAR(D50)+4)&gt;YEAR(E50),1,(12-MONTH(E50)+1)/12))))-(IF(OR(N50="",N50&lt;=0),0,(O50/N50)*(IF(OR(N50="",N50&lt;=0),0,IF((YEAR(D50)+4)&lt;YEAR(E50),0,IF((YEAR(D50)+4)&gt;=YEAR(E50)+N50,0,IF((YEAR(D50)+4)=YEAR(E50),(12-MONTH(E50)+1)/12,1))))))))&gt;0,(((K50)*(IF(M50="",L50,IFERROR(IF(INDEX(Variablen!$I:$AT, MATCH(M50, Variablen!$A:$A, 0), MATCH((YEAR(D50)+4), Variablen!$I$3:$AT$3, 0))="",L50,INDEX(Variablen!$I:$AT, MATCH(M50, Variablen!$A:$A, 0), MATCH((YEAR(D50)+4), Variablen!$I$3:$AT$3, 0))),L50)))*(IF((YEAR(D50)+4)&lt;YEAR(E50),0,IF((YEAR(D50)+4)&gt;YEAR(E50),1,(12-MONTH(E50)+1)/12))) + (Q50)*(IF((YEAR(D50)+4)&lt;YEAR(E50),0,IF((YEAR(D50)+4)&gt;YEAR(E50),1,(12-MONTH(E50)+1)/12))))-((P50)*(IF((YEAR(D50)+4)&lt;YEAR(E50),0,IF((YEAR(D50)+4)&gt;YEAR(E50),1,(12-MONTH(E50)+1)/12))) + (R50)*(IF((YEAR(D50)+4)&lt;YEAR(E50),0,IF((YEAR(D50)+4)&gt;YEAR(E50),1,(12-MONTH(E50)+1)/12))))-(IF(OR(N50="",N50&lt;=0),0,(O50/N50)*(IF(OR(N50="",N50&lt;=0),0,IF((YEAR(D50)+4)&lt;YEAR(E50),0,IF((YEAR(D50)+4)&gt;=YEAR(E50)+N50,0,IF((YEAR(D50)+4)=YEAR(E50),(12-MONTH(E50)+1)/12,1))))))))*TaxRate,0))-IF(4=0,O50,0))</f>
        <v/>
      </c>
      <c r="X50" s="29">
        <f>IF(A50="","",((K50)*(IF(M50="",L50,IFERROR(IF(INDEX(Variablen!$I:$AT, MATCH(M50, Variablen!$A:$A, 0), MATCH((YEAR(D50)+5), Variablen!$I$3:$AT$3, 0))="",L50,INDEX(Variablen!$I:$AT, MATCH(M50, Variablen!$A:$A, 0), MATCH((YEAR(D50)+5), Variablen!$I$3:$AT$3, 0))),L50)))*(IF((YEAR(D50)+5)&lt;YEAR(E50),0,IF((YEAR(D50)+5)&gt;YEAR(E50),1,(12-MONTH(E50)+1)/12))) + (Q50)*(IF((YEAR(D50)+5)&lt;YEAR(E50),0,IF((YEAR(D50)+5)&gt;YEAR(E50),1,(12-MONTH(E50)+1)/12))))-((P50)*(IF((YEAR(D50)+5)&lt;YEAR(E50),0,IF((YEAR(D50)+5)&gt;YEAR(E50),1,(12-MONTH(E50)+1)/12))) + (R50)*(IF((YEAR(D50)+5)&lt;YEAR(E50),0,IF((YEAR(D50)+5)&gt;YEAR(E50),1,(12-MONTH(E50)+1)/12))))-(IF((((K50)*(IF(M50="",L50,IFERROR(IF(INDEX(Variablen!$I:$AT, MATCH(M50, Variablen!$A:$A, 0), MATCH((YEAR(D50)+5), Variablen!$I$3:$AT$3, 0))="",L50,INDEX(Variablen!$I:$AT, MATCH(M50, Variablen!$A:$A, 0), MATCH((YEAR(D50)+5), Variablen!$I$3:$AT$3, 0))),L50)))*(IF((YEAR(D50)+5)&lt;YEAR(E50),0,IF((YEAR(D50)+5)&gt;YEAR(E50),1,(12-MONTH(E50)+1)/12))) + (Q50)*(IF((YEAR(D50)+5)&lt;YEAR(E50),0,IF((YEAR(D50)+5)&gt;YEAR(E50),1,(12-MONTH(E50)+1)/12))))-((P50)*(IF((YEAR(D50)+5)&lt;YEAR(E50),0,IF((YEAR(D50)+5)&gt;YEAR(E50),1,(12-MONTH(E50)+1)/12))) + (R50)*(IF((YEAR(D50)+5)&lt;YEAR(E50),0,IF((YEAR(D50)+5)&gt;YEAR(E50),1,(12-MONTH(E50)+1)/12))))-(IF(OR(N50="",N50&lt;=0),0,(O50/N50)*(IF(OR(N50="",N50&lt;=0),0,IF((YEAR(D50)+5)&lt;YEAR(E50),0,IF((YEAR(D50)+5)&gt;=YEAR(E50)+N50,0,IF((YEAR(D50)+5)=YEAR(E50),(12-MONTH(E50)+1)/12,1))))))))&gt;0,(((K50)*(IF(M50="",L50,IFERROR(IF(INDEX(Variablen!$I:$AT, MATCH(M50, Variablen!$A:$A, 0), MATCH((YEAR(D50)+5), Variablen!$I$3:$AT$3, 0))="",L50,INDEX(Variablen!$I:$AT, MATCH(M50, Variablen!$A:$A, 0), MATCH((YEAR(D50)+5), Variablen!$I$3:$AT$3, 0))),L50)))*(IF((YEAR(D50)+5)&lt;YEAR(E50),0,IF((YEAR(D50)+5)&gt;YEAR(E50),1,(12-MONTH(E50)+1)/12))) + (Q50)*(IF((YEAR(D50)+5)&lt;YEAR(E50),0,IF((YEAR(D50)+5)&gt;YEAR(E50),1,(12-MONTH(E50)+1)/12))))-((P50)*(IF((YEAR(D50)+5)&lt;YEAR(E50),0,IF((YEAR(D50)+5)&gt;YEAR(E50),1,(12-MONTH(E50)+1)/12))) + (R50)*(IF((YEAR(D50)+5)&lt;YEAR(E50),0,IF((YEAR(D50)+5)&gt;YEAR(E50),1,(12-MONTH(E50)+1)/12))))-(IF(OR(N50="",N50&lt;=0),0,(O50/N50)*(IF(OR(N50="",N50&lt;=0),0,IF((YEAR(D50)+5)&lt;YEAR(E50),0,IF((YEAR(D50)+5)&gt;=YEAR(E50)+N50,0,IF((YEAR(D50)+5)=YEAR(E50),(12-MONTH(E50)+1)/12,1))))))))*TaxRate,0))-IF(5=0,O50,0))</f>
        <v/>
      </c>
      <c r="Y50" s="29">
        <f>IF(A50="","",((K50)*(IF(M50="",L50,IFERROR(IF(INDEX(Variablen!$I:$AT, MATCH(M50, Variablen!$A:$A, 0), MATCH((YEAR(D50)+6), Variablen!$I$3:$AT$3, 0))="",L50,INDEX(Variablen!$I:$AT, MATCH(M50, Variablen!$A:$A, 0), MATCH((YEAR(D50)+6), Variablen!$I$3:$AT$3, 0))),L50)))*(IF((YEAR(D50)+6)&lt;YEAR(E50),0,IF((YEAR(D50)+6)&gt;YEAR(E50),1,(12-MONTH(E50)+1)/12))) + (Q50)*(IF((YEAR(D50)+6)&lt;YEAR(E50),0,IF((YEAR(D50)+6)&gt;YEAR(E50),1,(12-MONTH(E50)+1)/12))))-((P50)*(IF((YEAR(D50)+6)&lt;YEAR(E50),0,IF((YEAR(D50)+6)&gt;YEAR(E50),1,(12-MONTH(E50)+1)/12))) + (R50)*(IF((YEAR(D50)+6)&lt;YEAR(E50),0,IF((YEAR(D50)+6)&gt;YEAR(E50),1,(12-MONTH(E50)+1)/12))))-(IF((((K50)*(IF(M50="",L50,IFERROR(IF(INDEX(Variablen!$I:$AT, MATCH(M50, Variablen!$A:$A, 0), MATCH((YEAR(D50)+6), Variablen!$I$3:$AT$3, 0))="",L50,INDEX(Variablen!$I:$AT, MATCH(M50, Variablen!$A:$A, 0), MATCH((YEAR(D50)+6), Variablen!$I$3:$AT$3, 0))),L50)))*(IF((YEAR(D50)+6)&lt;YEAR(E50),0,IF((YEAR(D50)+6)&gt;YEAR(E50),1,(12-MONTH(E50)+1)/12))) + (Q50)*(IF((YEAR(D50)+6)&lt;YEAR(E50),0,IF((YEAR(D50)+6)&gt;YEAR(E50),1,(12-MONTH(E50)+1)/12))))-((P50)*(IF((YEAR(D50)+6)&lt;YEAR(E50),0,IF((YEAR(D50)+6)&gt;YEAR(E50),1,(12-MONTH(E50)+1)/12))) + (R50)*(IF((YEAR(D50)+6)&lt;YEAR(E50),0,IF((YEAR(D50)+6)&gt;YEAR(E50),1,(12-MONTH(E50)+1)/12))))-(IF(OR(N50="",N50&lt;=0),0,(O50/N50)*(IF(OR(N50="",N50&lt;=0),0,IF((YEAR(D50)+6)&lt;YEAR(E50),0,IF((YEAR(D50)+6)&gt;=YEAR(E50)+N50,0,IF((YEAR(D50)+6)=YEAR(E50),(12-MONTH(E50)+1)/12,1))))))))&gt;0,(((K50)*(IF(M50="",L50,IFERROR(IF(INDEX(Variablen!$I:$AT, MATCH(M50, Variablen!$A:$A, 0), MATCH((YEAR(D50)+6), Variablen!$I$3:$AT$3, 0))="",L50,INDEX(Variablen!$I:$AT, MATCH(M50, Variablen!$A:$A, 0), MATCH((YEAR(D50)+6), Variablen!$I$3:$AT$3, 0))),L50)))*(IF((YEAR(D50)+6)&lt;YEAR(E50),0,IF((YEAR(D50)+6)&gt;YEAR(E50),1,(12-MONTH(E50)+1)/12))) + (Q50)*(IF((YEAR(D50)+6)&lt;YEAR(E50),0,IF((YEAR(D50)+6)&gt;YEAR(E50),1,(12-MONTH(E50)+1)/12))))-((P50)*(IF((YEAR(D50)+6)&lt;YEAR(E50),0,IF((YEAR(D50)+6)&gt;YEAR(E50),1,(12-MONTH(E50)+1)/12))) + (R50)*(IF((YEAR(D50)+6)&lt;YEAR(E50),0,IF((YEAR(D50)+6)&gt;YEAR(E50),1,(12-MONTH(E50)+1)/12))))-(IF(OR(N50="",N50&lt;=0),0,(O50/N50)*(IF(OR(N50="",N50&lt;=0),0,IF((YEAR(D50)+6)&lt;YEAR(E50),0,IF((YEAR(D50)+6)&gt;=YEAR(E50)+N50,0,IF((YEAR(D50)+6)=YEAR(E50),(12-MONTH(E50)+1)/12,1))))))))*TaxRate,0))-IF(6=0,O50,0))</f>
        <v/>
      </c>
      <c r="Z50" s="29">
        <f>IF(A50="","",((K50)*(IF(M50="",L50,IFERROR(IF(INDEX(Variablen!$I:$AT, MATCH(M50, Variablen!$A:$A, 0), MATCH((YEAR(D50)+7), Variablen!$I$3:$AT$3, 0))="",L50,INDEX(Variablen!$I:$AT, MATCH(M50, Variablen!$A:$A, 0), MATCH((YEAR(D50)+7), Variablen!$I$3:$AT$3, 0))),L50)))*(IF((YEAR(D50)+7)&lt;YEAR(E50),0,IF((YEAR(D50)+7)&gt;YEAR(E50),1,(12-MONTH(E50)+1)/12))) + (Q50)*(IF((YEAR(D50)+7)&lt;YEAR(E50),0,IF((YEAR(D50)+7)&gt;YEAR(E50),1,(12-MONTH(E50)+1)/12))))-((P50)*(IF((YEAR(D50)+7)&lt;YEAR(E50),0,IF((YEAR(D50)+7)&gt;YEAR(E50),1,(12-MONTH(E50)+1)/12))) + (R50)*(IF((YEAR(D50)+7)&lt;YEAR(E50),0,IF((YEAR(D50)+7)&gt;YEAR(E50),1,(12-MONTH(E50)+1)/12))))-(IF((((K50)*(IF(M50="",L50,IFERROR(IF(INDEX(Variablen!$I:$AT, MATCH(M50, Variablen!$A:$A, 0), MATCH((YEAR(D50)+7), Variablen!$I$3:$AT$3, 0))="",L50,INDEX(Variablen!$I:$AT, MATCH(M50, Variablen!$A:$A, 0), MATCH((YEAR(D50)+7), Variablen!$I$3:$AT$3, 0))),L50)))*(IF((YEAR(D50)+7)&lt;YEAR(E50),0,IF((YEAR(D50)+7)&gt;YEAR(E50),1,(12-MONTH(E50)+1)/12))) + (Q50)*(IF((YEAR(D50)+7)&lt;YEAR(E50),0,IF((YEAR(D50)+7)&gt;YEAR(E50),1,(12-MONTH(E50)+1)/12))))-((P50)*(IF((YEAR(D50)+7)&lt;YEAR(E50),0,IF((YEAR(D50)+7)&gt;YEAR(E50),1,(12-MONTH(E50)+1)/12))) + (R50)*(IF((YEAR(D50)+7)&lt;YEAR(E50),0,IF((YEAR(D50)+7)&gt;YEAR(E50),1,(12-MONTH(E50)+1)/12))))-(IF(OR(N50="",N50&lt;=0),0,(O50/N50)*(IF(OR(N50="",N50&lt;=0),0,IF((YEAR(D50)+7)&lt;YEAR(E50),0,IF((YEAR(D50)+7)&gt;=YEAR(E50)+N50,0,IF((YEAR(D50)+7)=YEAR(E50),(12-MONTH(E50)+1)/12,1))))))))&gt;0,(((K50)*(IF(M50="",L50,IFERROR(IF(INDEX(Variablen!$I:$AT, MATCH(M50, Variablen!$A:$A, 0), MATCH((YEAR(D50)+7), Variablen!$I$3:$AT$3, 0))="",L50,INDEX(Variablen!$I:$AT, MATCH(M50, Variablen!$A:$A, 0), MATCH((YEAR(D50)+7), Variablen!$I$3:$AT$3, 0))),L50)))*(IF((YEAR(D50)+7)&lt;YEAR(E50),0,IF((YEAR(D50)+7)&gt;YEAR(E50),1,(12-MONTH(E50)+1)/12))) + (Q50)*(IF((YEAR(D50)+7)&lt;YEAR(E50),0,IF((YEAR(D50)+7)&gt;YEAR(E50),1,(12-MONTH(E50)+1)/12))))-((P50)*(IF((YEAR(D50)+7)&lt;YEAR(E50),0,IF((YEAR(D50)+7)&gt;YEAR(E50),1,(12-MONTH(E50)+1)/12))) + (R50)*(IF((YEAR(D50)+7)&lt;YEAR(E50),0,IF((YEAR(D50)+7)&gt;YEAR(E50),1,(12-MONTH(E50)+1)/12))))-(IF(OR(N50="",N50&lt;=0),0,(O50/N50)*(IF(OR(N50="",N50&lt;=0),0,IF((YEAR(D50)+7)&lt;YEAR(E50),0,IF((YEAR(D50)+7)&gt;=YEAR(E50)+N50,0,IF((YEAR(D50)+7)=YEAR(E50),(12-MONTH(E50)+1)/12,1))))))))*TaxRate,0))-IF(7=0,O50,0))</f>
        <v/>
      </c>
      <c r="AA50" s="29">
        <f>IF(A50="","",((K50)*(IF(M50="",L50,IFERROR(IF(INDEX(Variablen!$I:$AT, MATCH(M50, Variablen!$A:$A, 0), MATCH((YEAR(D50)+8), Variablen!$I$3:$AT$3, 0))="",L50,INDEX(Variablen!$I:$AT, MATCH(M50, Variablen!$A:$A, 0), MATCH((YEAR(D50)+8), Variablen!$I$3:$AT$3, 0))),L50)))*(IF((YEAR(D50)+8)&lt;YEAR(E50),0,IF((YEAR(D50)+8)&gt;YEAR(E50),1,(12-MONTH(E50)+1)/12))) + (Q50)*(IF((YEAR(D50)+8)&lt;YEAR(E50),0,IF((YEAR(D50)+8)&gt;YEAR(E50),1,(12-MONTH(E50)+1)/12))))-((P50)*(IF((YEAR(D50)+8)&lt;YEAR(E50),0,IF((YEAR(D50)+8)&gt;YEAR(E50),1,(12-MONTH(E50)+1)/12))) + (R50)*(IF((YEAR(D50)+8)&lt;YEAR(E50),0,IF((YEAR(D50)+8)&gt;YEAR(E50),1,(12-MONTH(E50)+1)/12))))-(IF((((K50)*(IF(M50="",L50,IFERROR(IF(INDEX(Variablen!$I:$AT, MATCH(M50, Variablen!$A:$A, 0), MATCH((YEAR(D50)+8), Variablen!$I$3:$AT$3, 0))="",L50,INDEX(Variablen!$I:$AT, MATCH(M50, Variablen!$A:$A, 0), MATCH((YEAR(D50)+8), Variablen!$I$3:$AT$3, 0))),L50)))*(IF((YEAR(D50)+8)&lt;YEAR(E50),0,IF((YEAR(D50)+8)&gt;YEAR(E50),1,(12-MONTH(E50)+1)/12))) + (Q50)*(IF((YEAR(D50)+8)&lt;YEAR(E50),0,IF((YEAR(D50)+8)&gt;YEAR(E50),1,(12-MONTH(E50)+1)/12))))-((P50)*(IF((YEAR(D50)+8)&lt;YEAR(E50),0,IF((YEAR(D50)+8)&gt;YEAR(E50),1,(12-MONTH(E50)+1)/12))) + (R50)*(IF((YEAR(D50)+8)&lt;YEAR(E50),0,IF((YEAR(D50)+8)&gt;YEAR(E50),1,(12-MONTH(E50)+1)/12))))-(IF(OR(N50="",N50&lt;=0),0,(O50/N50)*(IF(OR(N50="",N50&lt;=0),0,IF((YEAR(D50)+8)&lt;YEAR(E50),0,IF((YEAR(D50)+8)&gt;=YEAR(E50)+N50,0,IF((YEAR(D50)+8)=YEAR(E50),(12-MONTH(E50)+1)/12,1))))))))&gt;0,(((K50)*(IF(M50="",L50,IFERROR(IF(INDEX(Variablen!$I:$AT, MATCH(M50, Variablen!$A:$A, 0), MATCH((YEAR(D50)+8), Variablen!$I$3:$AT$3, 0))="",L50,INDEX(Variablen!$I:$AT, MATCH(M50, Variablen!$A:$A, 0), MATCH((YEAR(D50)+8), Variablen!$I$3:$AT$3, 0))),L50)))*(IF((YEAR(D50)+8)&lt;YEAR(E50),0,IF((YEAR(D50)+8)&gt;YEAR(E50),1,(12-MONTH(E50)+1)/12))) + (Q50)*(IF((YEAR(D50)+8)&lt;YEAR(E50),0,IF((YEAR(D50)+8)&gt;YEAR(E50),1,(12-MONTH(E50)+1)/12))))-((P50)*(IF((YEAR(D50)+8)&lt;YEAR(E50),0,IF((YEAR(D50)+8)&gt;YEAR(E50),1,(12-MONTH(E50)+1)/12))) + (R50)*(IF((YEAR(D50)+8)&lt;YEAR(E50),0,IF((YEAR(D50)+8)&gt;YEAR(E50),1,(12-MONTH(E50)+1)/12))))-(IF(OR(N50="",N50&lt;=0),0,(O50/N50)*(IF(OR(N50="",N50&lt;=0),0,IF((YEAR(D50)+8)&lt;YEAR(E50),0,IF((YEAR(D50)+8)&gt;=YEAR(E50)+N50,0,IF((YEAR(D50)+8)=YEAR(E50),(12-MONTH(E50)+1)/12,1))))))))*TaxRate,0))-IF(8=0,O50,0))</f>
        <v/>
      </c>
      <c r="AB50" s="29">
        <f>IF(A50="","",((K50)*(IF(M50="",L50,IFERROR(IF(INDEX(Variablen!$I:$AT, MATCH(M50, Variablen!$A:$A, 0), MATCH((YEAR(D50)+9), Variablen!$I$3:$AT$3, 0))="",L50,INDEX(Variablen!$I:$AT, MATCH(M50, Variablen!$A:$A, 0), MATCH((YEAR(D50)+9), Variablen!$I$3:$AT$3, 0))),L50)))*(IF((YEAR(D50)+9)&lt;YEAR(E50),0,IF((YEAR(D50)+9)&gt;YEAR(E50),1,(12-MONTH(E50)+1)/12))) + (Q50)*(IF((YEAR(D50)+9)&lt;YEAR(E50),0,IF((YEAR(D50)+9)&gt;YEAR(E50),1,(12-MONTH(E50)+1)/12))))-((P50)*(IF((YEAR(D50)+9)&lt;YEAR(E50),0,IF((YEAR(D50)+9)&gt;YEAR(E50),1,(12-MONTH(E50)+1)/12))) + (R50)*(IF((YEAR(D50)+9)&lt;YEAR(E50),0,IF((YEAR(D50)+9)&gt;YEAR(E50),1,(12-MONTH(E50)+1)/12))))-(IF((((K50)*(IF(M50="",L50,IFERROR(IF(INDEX(Variablen!$I:$AT, MATCH(M50, Variablen!$A:$A, 0), MATCH((YEAR(D50)+9), Variablen!$I$3:$AT$3, 0))="",L50,INDEX(Variablen!$I:$AT, MATCH(M50, Variablen!$A:$A, 0), MATCH((YEAR(D50)+9), Variablen!$I$3:$AT$3, 0))),L50)))*(IF((YEAR(D50)+9)&lt;YEAR(E50),0,IF((YEAR(D50)+9)&gt;YEAR(E50),1,(12-MONTH(E50)+1)/12))) + (Q50)*(IF((YEAR(D50)+9)&lt;YEAR(E50),0,IF((YEAR(D50)+9)&gt;YEAR(E50),1,(12-MONTH(E50)+1)/12))))-((P50)*(IF((YEAR(D50)+9)&lt;YEAR(E50),0,IF((YEAR(D50)+9)&gt;YEAR(E50),1,(12-MONTH(E50)+1)/12))) + (R50)*(IF((YEAR(D50)+9)&lt;YEAR(E50),0,IF((YEAR(D50)+9)&gt;YEAR(E50),1,(12-MONTH(E50)+1)/12))))-(IF(OR(N50="",N50&lt;=0),0,(O50/N50)*(IF(OR(N50="",N50&lt;=0),0,IF((YEAR(D50)+9)&lt;YEAR(E50),0,IF((YEAR(D50)+9)&gt;=YEAR(E50)+N50,0,IF((YEAR(D50)+9)=YEAR(E50),(12-MONTH(E50)+1)/12,1))))))))&gt;0,(((K50)*(IF(M50="",L50,IFERROR(IF(INDEX(Variablen!$I:$AT, MATCH(M50, Variablen!$A:$A, 0), MATCH((YEAR(D50)+9), Variablen!$I$3:$AT$3, 0))="",L50,INDEX(Variablen!$I:$AT, MATCH(M50, Variablen!$A:$A, 0), MATCH((YEAR(D50)+9), Variablen!$I$3:$AT$3, 0))),L50)))*(IF((YEAR(D50)+9)&lt;YEAR(E50),0,IF((YEAR(D50)+9)&gt;YEAR(E50),1,(12-MONTH(E50)+1)/12))) + (Q50)*(IF((YEAR(D50)+9)&lt;YEAR(E50),0,IF((YEAR(D50)+9)&gt;YEAR(E50),1,(12-MONTH(E50)+1)/12))))-((P50)*(IF((YEAR(D50)+9)&lt;YEAR(E50),0,IF((YEAR(D50)+9)&gt;YEAR(E50),1,(12-MONTH(E50)+1)/12))) + (R50)*(IF((YEAR(D50)+9)&lt;YEAR(E50),0,IF((YEAR(D50)+9)&gt;YEAR(E50),1,(12-MONTH(E50)+1)/12))))-(IF(OR(N50="",N50&lt;=0),0,(O50/N50)*(IF(OR(N50="",N50&lt;=0),0,IF((YEAR(D50)+9)&lt;YEAR(E50),0,IF((YEAR(D50)+9)&gt;=YEAR(E50)+N50,0,IF((YEAR(D50)+9)=YEAR(E50),(12-MONTH(E50)+1)/12,1))))))))*TaxRate,0))-IF(9=0,O50,0))</f>
        <v/>
      </c>
      <c r="AC50" s="29">
        <f>IF(A50="","",((K50)*(IF(M50="",L50,IFERROR(IF(INDEX(Variablen!$I:$AT, MATCH(M50, Variablen!$A:$A, 0), MATCH((YEAR(D50)+10), Variablen!$I$3:$AT$3, 0))="",L50,INDEX(Variablen!$I:$AT, MATCH(M50, Variablen!$A:$A, 0), MATCH((YEAR(D50)+10), Variablen!$I$3:$AT$3, 0))),L50)))*(IF((YEAR(D50)+10)&lt;YEAR(E50),0,IF((YEAR(D50)+10)&gt;YEAR(E50),1,(12-MONTH(E50)+1)/12))) + (Q50)*(IF((YEAR(D50)+10)&lt;YEAR(E50),0,IF((YEAR(D50)+10)&gt;YEAR(E50),1,(12-MONTH(E50)+1)/12))))-((P50)*(IF((YEAR(D50)+10)&lt;YEAR(E50),0,IF((YEAR(D50)+10)&gt;YEAR(E50),1,(12-MONTH(E50)+1)/12))) + (R50)*(IF((YEAR(D50)+10)&lt;YEAR(E50),0,IF((YEAR(D50)+10)&gt;YEAR(E50),1,(12-MONTH(E50)+1)/12))))-(IF((((K50)*(IF(M50="",L50,IFERROR(IF(INDEX(Variablen!$I:$AT, MATCH(M50, Variablen!$A:$A, 0), MATCH((YEAR(D50)+10), Variablen!$I$3:$AT$3, 0))="",L50,INDEX(Variablen!$I:$AT, MATCH(M50, Variablen!$A:$A, 0), MATCH((YEAR(D50)+10), Variablen!$I$3:$AT$3, 0))),L50)))*(IF((YEAR(D50)+10)&lt;YEAR(E50),0,IF((YEAR(D50)+10)&gt;YEAR(E50),1,(12-MONTH(E50)+1)/12))) + (Q50)*(IF((YEAR(D50)+10)&lt;YEAR(E50),0,IF((YEAR(D50)+10)&gt;YEAR(E50),1,(12-MONTH(E50)+1)/12))))-((P50)*(IF((YEAR(D50)+10)&lt;YEAR(E50),0,IF((YEAR(D50)+10)&gt;YEAR(E50),1,(12-MONTH(E50)+1)/12))) + (R50)*(IF((YEAR(D50)+10)&lt;YEAR(E50),0,IF((YEAR(D50)+10)&gt;YEAR(E50),1,(12-MONTH(E50)+1)/12))))-(IF(OR(N50="",N50&lt;=0),0,(O50/N50)*(IF(OR(N50="",N50&lt;=0),0,IF((YEAR(D50)+10)&lt;YEAR(E50),0,IF((YEAR(D50)+10)&gt;=YEAR(E50)+N50,0,IF((YEAR(D50)+10)=YEAR(E50),(12-MONTH(E50)+1)/12,1))))))))&gt;0,(((K50)*(IF(M50="",L50,IFERROR(IF(INDEX(Variablen!$I:$AT, MATCH(M50, Variablen!$A:$A, 0), MATCH((YEAR(D50)+10), Variablen!$I$3:$AT$3, 0))="",L50,INDEX(Variablen!$I:$AT, MATCH(M50, Variablen!$A:$A, 0), MATCH((YEAR(D50)+10), Variablen!$I$3:$AT$3, 0))),L50)))*(IF((YEAR(D50)+10)&lt;YEAR(E50),0,IF((YEAR(D50)+10)&gt;YEAR(E50),1,(12-MONTH(E50)+1)/12))) + (Q50)*(IF((YEAR(D50)+10)&lt;YEAR(E50),0,IF((YEAR(D50)+10)&gt;YEAR(E50),1,(12-MONTH(E50)+1)/12))))-((P50)*(IF((YEAR(D50)+10)&lt;YEAR(E50),0,IF((YEAR(D50)+10)&gt;YEAR(E50),1,(12-MONTH(E50)+1)/12))) + (R50)*(IF((YEAR(D50)+10)&lt;YEAR(E50),0,IF((YEAR(D50)+10)&gt;YEAR(E50),1,(12-MONTH(E50)+1)/12))))-(IF(OR(N50="",N50&lt;=0),0,(O50/N50)*(IF(OR(N50="",N50&lt;=0),0,IF((YEAR(D50)+10)&lt;YEAR(E50),0,IF((YEAR(D50)+10)&gt;=YEAR(E50)+N50,0,IF((YEAR(D50)+10)=YEAR(E50),(12-MONTH(E50)+1)/12,1))))))))*TaxRate,0))-IF(10=0,O50,0))</f>
        <v/>
      </c>
      <c r="AD50" s="29">
        <f>IF(A50="","",((K50)*(IF(M50="",L50,IFERROR(IF(INDEX(Variablen!$I:$AT, MATCH(M50, Variablen!$A:$A, 0), MATCH((YEAR(D50)+11), Variablen!$I$3:$AT$3, 0))="",L50,INDEX(Variablen!$I:$AT, MATCH(M50, Variablen!$A:$A, 0), MATCH((YEAR(D50)+11), Variablen!$I$3:$AT$3, 0))),L50)))*(IF((YEAR(D50)+11)&lt;YEAR(E50),0,IF((YEAR(D50)+11)&gt;YEAR(E50),1,(12-MONTH(E50)+1)/12))) + (Q50)*(IF((YEAR(D50)+11)&lt;YEAR(E50),0,IF((YEAR(D50)+11)&gt;YEAR(E50),1,(12-MONTH(E50)+1)/12))))-((P50)*(IF((YEAR(D50)+11)&lt;YEAR(E50),0,IF((YEAR(D50)+11)&gt;YEAR(E50),1,(12-MONTH(E50)+1)/12))) + (R50)*(IF((YEAR(D50)+11)&lt;YEAR(E50),0,IF((YEAR(D50)+11)&gt;YEAR(E50),1,(12-MONTH(E50)+1)/12))))-(IF((((K50)*(IF(M50="",L50,IFERROR(IF(INDEX(Variablen!$I:$AT, MATCH(M50, Variablen!$A:$A, 0), MATCH((YEAR(D50)+11), Variablen!$I$3:$AT$3, 0))="",L50,INDEX(Variablen!$I:$AT, MATCH(M50, Variablen!$A:$A, 0), MATCH((YEAR(D50)+11), Variablen!$I$3:$AT$3, 0))),L50)))*(IF((YEAR(D50)+11)&lt;YEAR(E50),0,IF((YEAR(D50)+11)&gt;YEAR(E50),1,(12-MONTH(E50)+1)/12))) + (Q50)*(IF((YEAR(D50)+11)&lt;YEAR(E50),0,IF((YEAR(D50)+11)&gt;YEAR(E50),1,(12-MONTH(E50)+1)/12))))-((P50)*(IF((YEAR(D50)+11)&lt;YEAR(E50),0,IF((YEAR(D50)+11)&gt;YEAR(E50),1,(12-MONTH(E50)+1)/12))) + (R50)*(IF((YEAR(D50)+11)&lt;YEAR(E50),0,IF((YEAR(D50)+11)&gt;YEAR(E50),1,(12-MONTH(E50)+1)/12))))-(IF(OR(N50="",N50&lt;=0),0,(O50/N50)*(IF(OR(N50="",N50&lt;=0),0,IF((YEAR(D50)+11)&lt;YEAR(E50),0,IF((YEAR(D50)+11)&gt;=YEAR(E50)+N50,0,IF((YEAR(D50)+11)=YEAR(E50),(12-MONTH(E50)+1)/12,1))))))))&gt;0,(((K50)*(IF(M50="",L50,IFERROR(IF(INDEX(Variablen!$I:$AT, MATCH(M50, Variablen!$A:$A, 0), MATCH((YEAR(D50)+11), Variablen!$I$3:$AT$3, 0))="",L50,INDEX(Variablen!$I:$AT, MATCH(M50, Variablen!$A:$A, 0), MATCH((YEAR(D50)+11), Variablen!$I$3:$AT$3, 0))),L50)))*(IF((YEAR(D50)+11)&lt;YEAR(E50),0,IF((YEAR(D50)+11)&gt;YEAR(E50),1,(12-MONTH(E50)+1)/12))) + (Q50)*(IF((YEAR(D50)+11)&lt;YEAR(E50),0,IF((YEAR(D50)+11)&gt;YEAR(E50),1,(12-MONTH(E50)+1)/12))))-((P50)*(IF((YEAR(D50)+11)&lt;YEAR(E50),0,IF((YEAR(D50)+11)&gt;YEAR(E50),1,(12-MONTH(E50)+1)/12))) + (R50)*(IF((YEAR(D50)+11)&lt;YEAR(E50),0,IF((YEAR(D50)+11)&gt;YEAR(E50),1,(12-MONTH(E50)+1)/12))))-(IF(OR(N50="",N50&lt;=0),0,(O50/N50)*(IF(OR(N50="",N50&lt;=0),0,IF((YEAR(D50)+11)&lt;YEAR(E50),0,IF((YEAR(D50)+11)&gt;=YEAR(E50)+N50,0,IF((YEAR(D50)+11)=YEAR(E50),(12-MONTH(E50)+1)/12,1))))))))*TaxRate,0))-IF(11=0,O50,0))</f>
        <v/>
      </c>
      <c r="AE50" s="29">
        <f>IF(A50="","",((K50)*(IF(M50="",L50,IFERROR(IF(INDEX(Variablen!$I:$AT, MATCH(M50, Variablen!$A:$A, 0), MATCH((YEAR(D50)+12), Variablen!$I$3:$AT$3, 0))="",L50,INDEX(Variablen!$I:$AT, MATCH(M50, Variablen!$A:$A, 0), MATCH((YEAR(D50)+12), Variablen!$I$3:$AT$3, 0))),L50)))*(IF((YEAR(D50)+12)&lt;YEAR(E50),0,IF((YEAR(D50)+12)&gt;YEAR(E50),1,(12-MONTH(E50)+1)/12))) + (Q50)*(IF((YEAR(D50)+12)&lt;YEAR(E50),0,IF((YEAR(D50)+12)&gt;YEAR(E50),1,(12-MONTH(E50)+1)/12))))-((P50)*(IF((YEAR(D50)+12)&lt;YEAR(E50),0,IF((YEAR(D50)+12)&gt;YEAR(E50),1,(12-MONTH(E50)+1)/12))) + (R50)*(IF((YEAR(D50)+12)&lt;YEAR(E50),0,IF((YEAR(D50)+12)&gt;YEAR(E50),1,(12-MONTH(E50)+1)/12))))-(IF((((K50)*(IF(M50="",L50,IFERROR(IF(INDEX(Variablen!$I:$AT, MATCH(M50, Variablen!$A:$A, 0), MATCH((YEAR(D50)+12), Variablen!$I$3:$AT$3, 0))="",L50,INDEX(Variablen!$I:$AT, MATCH(M50, Variablen!$A:$A, 0), MATCH((YEAR(D50)+12), Variablen!$I$3:$AT$3, 0))),L50)))*(IF((YEAR(D50)+12)&lt;YEAR(E50),0,IF((YEAR(D50)+12)&gt;YEAR(E50),1,(12-MONTH(E50)+1)/12))) + (Q50)*(IF((YEAR(D50)+12)&lt;YEAR(E50),0,IF((YEAR(D50)+12)&gt;YEAR(E50),1,(12-MONTH(E50)+1)/12))))-((P50)*(IF((YEAR(D50)+12)&lt;YEAR(E50),0,IF((YEAR(D50)+12)&gt;YEAR(E50),1,(12-MONTH(E50)+1)/12))) + (R50)*(IF((YEAR(D50)+12)&lt;YEAR(E50),0,IF((YEAR(D50)+12)&gt;YEAR(E50),1,(12-MONTH(E50)+1)/12))))-(IF(OR(N50="",N50&lt;=0),0,(O50/N50)*(IF(OR(N50="",N50&lt;=0),0,IF((YEAR(D50)+12)&lt;YEAR(E50),0,IF((YEAR(D50)+12)&gt;=YEAR(E50)+N50,0,IF((YEAR(D50)+12)=YEAR(E50),(12-MONTH(E50)+1)/12,1))))))))&gt;0,(((K50)*(IF(M50="",L50,IFERROR(IF(INDEX(Variablen!$I:$AT, MATCH(M50, Variablen!$A:$A, 0), MATCH((YEAR(D50)+12), Variablen!$I$3:$AT$3, 0))="",L50,INDEX(Variablen!$I:$AT, MATCH(M50, Variablen!$A:$A, 0), MATCH((YEAR(D50)+12), Variablen!$I$3:$AT$3, 0))),L50)))*(IF((YEAR(D50)+12)&lt;YEAR(E50),0,IF((YEAR(D50)+12)&gt;YEAR(E50),1,(12-MONTH(E50)+1)/12))) + (Q50)*(IF((YEAR(D50)+12)&lt;YEAR(E50),0,IF((YEAR(D50)+12)&gt;YEAR(E50),1,(12-MONTH(E50)+1)/12))))-((P50)*(IF((YEAR(D50)+12)&lt;YEAR(E50),0,IF((YEAR(D50)+12)&gt;YEAR(E50),1,(12-MONTH(E50)+1)/12))) + (R50)*(IF((YEAR(D50)+12)&lt;YEAR(E50),0,IF((YEAR(D50)+12)&gt;YEAR(E50),1,(12-MONTH(E50)+1)/12))))-(IF(OR(N50="",N50&lt;=0),0,(O50/N50)*(IF(OR(N50="",N50&lt;=0),0,IF((YEAR(D50)+12)&lt;YEAR(E50),0,IF((YEAR(D50)+12)&gt;=YEAR(E50)+N50,0,IF((YEAR(D50)+12)=YEAR(E50),(12-MONTH(E50)+1)/12,1))))))))*TaxRate,0))-IF(12=0,O50,0))</f>
        <v/>
      </c>
      <c r="AF50" s="29">
        <f>IF(A50="","",((K50)*(IF(M50="",L50,IFERROR(IF(INDEX(Variablen!$I:$AT, MATCH(M50, Variablen!$A:$A, 0), MATCH((YEAR(D50)+13), Variablen!$I$3:$AT$3, 0))="",L50,INDEX(Variablen!$I:$AT, MATCH(M50, Variablen!$A:$A, 0), MATCH((YEAR(D50)+13), Variablen!$I$3:$AT$3, 0))),L50)))*(IF((YEAR(D50)+13)&lt;YEAR(E50),0,IF((YEAR(D50)+13)&gt;YEAR(E50),1,(12-MONTH(E50)+1)/12))) + (Q50)*(IF((YEAR(D50)+13)&lt;YEAR(E50),0,IF((YEAR(D50)+13)&gt;YEAR(E50),1,(12-MONTH(E50)+1)/12))))-((P50)*(IF((YEAR(D50)+13)&lt;YEAR(E50),0,IF((YEAR(D50)+13)&gt;YEAR(E50),1,(12-MONTH(E50)+1)/12))) + (R50)*(IF((YEAR(D50)+13)&lt;YEAR(E50),0,IF((YEAR(D50)+13)&gt;YEAR(E50),1,(12-MONTH(E50)+1)/12))))-(IF((((K50)*(IF(M50="",L50,IFERROR(IF(INDEX(Variablen!$I:$AT, MATCH(M50, Variablen!$A:$A, 0), MATCH((YEAR(D50)+13), Variablen!$I$3:$AT$3, 0))="",L50,INDEX(Variablen!$I:$AT, MATCH(M50, Variablen!$A:$A, 0), MATCH((YEAR(D50)+13), Variablen!$I$3:$AT$3, 0))),L50)))*(IF((YEAR(D50)+13)&lt;YEAR(E50),0,IF((YEAR(D50)+13)&gt;YEAR(E50),1,(12-MONTH(E50)+1)/12))) + (Q50)*(IF((YEAR(D50)+13)&lt;YEAR(E50),0,IF((YEAR(D50)+13)&gt;YEAR(E50),1,(12-MONTH(E50)+1)/12))))-((P50)*(IF((YEAR(D50)+13)&lt;YEAR(E50),0,IF((YEAR(D50)+13)&gt;YEAR(E50),1,(12-MONTH(E50)+1)/12))) + (R50)*(IF((YEAR(D50)+13)&lt;YEAR(E50),0,IF((YEAR(D50)+13)&gt;YEAR(E50),1,(12-MONTH(E50)+1)/12))))-(IF(OR(N50="",N50&lt;=0),0,(O50/N50)*(IF(OR(N50="",N50&lt;=0),0,IF((YEAR(D50)+13)&lt;YEAR(E50),0,IF((YEAR(D50)+13)&gt;=YEAR(E50)+N50,0,IF((YEAR(D50)+13)=YEAR(E50),(12-MONTH(E50)+1)/12,1))))))))&gt;0,(((K50)*(IF(M50="",L50,IFERROR(IF(INDEX(Variablen!$I:$AT, MATCH(M50, Variablen!$A:$A, 0), MATCH((YEAR(D50)+13), Variablen!$I$3:$AT$3, 0))="",L50,INDEX(Variablen!$I:$AT, MATCH(M50, Variablen!$A:$A, 0), MATCH((YEAR(D50)+13), Variablen!$I$3:$AT$3, 0))),L50)))*(IF((YEAR(D50)+13)&lt;YEAR(E50),0,IF((YEAR(D50)+13)&gt;YEAR(E50),1,(12-MONTH(E50)+1)/12))) + (Q50)*(IF((YEAR(D50)+13)&lt;YEAR(E50),0,IF((YEAR(D50)+13)&gt;YEAR(E50),1,(12-MONTH(E50)+1)/12))))-((P50)*(IF((YEAR(D50)+13)&lt;YEAR(E50),0,IF((YEAR(D50)+13)&gt;YEAR(E50),1,(12-MONTH(E50)+1)/12))) + (R50)*(IF((YEAR(D50)+13)&lt;YEAR(E50),0,IF((YEAR(D50)+13)&gt;YEAR(E50),1,(12-MONTH(E50)+1)/12))))-(IF(OR(N50="",N50&lt;=0),0,(O50/N50)*(IF(OR(N50="",N50&lt;=0),0,IF((YEAR(D50)+13)&lt;YEAR(E50),0,IF((YEAR(D50)+13)&gt;=YEAR(E50)+N50,0,IF((YEAR(D50)+13)=YEAR(E50),(12-MONTH(E50)+1)/12,1))))))))*TaxRate,0))-IF(13=0,O50,0))</f>
        <v/>
      </c>
      <c r="AG50" s="29">
        <f>IF(A50="","",((K50)*(IF(M50="",L50,IFERROR(IF(INDEX(Variablen!$I:$AT, MATCH(M50, Variablen!$A:$A, 0), MATCH((YEAR(D50)+14), Variablen!$I$3:$AT$3, 0))="",L50,INDEX(Variablen!$I:$AT, MATCH(M50, Variablen!$A:$A, 0), MATCH((YEAR(D50)+14), Variablen!$I$3:$AT$3, 0))),L50)))*(IF((YEAR(D50)+14)&lt;YEAR(E50),0,IF((YEAR(D50)+14)&gt;YEAR(E50),1,(12-MONTH(E50)+1)/12))) + (Q50)*(IF((YEAR(D50)+14)&lt;YEAR(E50),0,IF((YEAR(D50)+14)&gt;YEAR(E50),1,(12-MONTH(E50)+1)/12))))-((P50)*(IF((YEAR(D50)+14)&lt;YEAR(E50),0,IF((YEAR(D50)+14)&gt;YEAR(E50),1,(12-MONTH(E50)+1)/12))) + (R50)*(IF((YEAR(D50)+14)&lt;YEAR(E50),0,IF((YEAR(D50)+14)&gt;YEAR(E50),1,(12-MONTH(E50)+1)/12))))-(IF((((K50)*(IF(M50="",L50,IFERROR(IF(INDEX(Variablen!$I:$AT, MATCH(M50, Variablen!$A:$A, 0), MATCH((YEAR(D50)+14), Variablen!$I$3:$AT$3, 0))="",L50,INDEX(Variablen!$I:$AT, MATCH(M50, Variablen!$A:$A, 0), MATCH((YEAR(D50)+14), Variablen!$I$3:$AT$3, 0))),L50)))*(IF((YEAR(D50)+14)&lt;YEAR(E50),0,IF((YEAR(D50)+14)&gt;YEAR(E50),1,(12-MONTH(E50)+1)/12))) + (Q50)*(IF((YEAR(D50)+14)&lt;YEAR(E50),0,IF((YEAR(D50)+14)&gt;YEAR(E50),1,(12-MONTH(E50)+1)/12))))-((P50)*(IF((YEAR(D50)+14)&lt;YEAR(E50),0,IF((YEAR(D50)+14)&gt;YEAR(E50),1,(12-MONTH(E50)+1)/12))) + (R50)*(IF((YEAR(D50)+14)&lt;YEAR(E50),0,IF((YEAR(D50)+14)&gt;YEAR(E50),1,(12-MONTH(E50)+1)/12))))-(IF(OR(N50="",N50&lt;=0),0,(O50/N50)*(IF(OR(N50="",N50&lt;=0),0,IF((YEAR(D50)+14)&lt;YEAR(E50),0,IF((YEAR(D50)+14)&gt;=YEAR(E50)+N50,0,IF((YEAR(D50)+14)=YEAR(E50),(12-MONTH(E50)+1)/12,1))))))))&gt;0,(((K50)*(IF(M50="",L50,IFERROR(IF(INDEX(Variablen!$I:$AT, MATCH(M50, Variablen!$A:$A, 0), MATCH((YEAR(D50)+14), Variablen!$I$3:$AT$3, 0))="",L50,INDEX(Variablen!$I:$AT, MATCH(M50, Variablen!$A:$A, 0), MATCH((YEAR(D50)+14), Variablen!$I$3:$AT$3, 0))),L50)))*(IF((YEAR(D50)+14)&lt;YEAR(E50),0,IF((YEAR(D50)+14)&gt;YEAR(E50),1,(12-MONTH(E50)+1)/12))) + (Q50)*(IF((YEAR(D50)+14)&lt;YEAR(E50),0,IF((YEAR(D50)+14)&gt;YEAR(E50),1,(12-MONTH(E50)+1)/12))))-((P50)*(IF((YEAR(D50)+14)&lt;YEAR(E50),0,IF((YEAR(D50)+14)&gt;YEAR(E50),1,(12-MONTH(E50)+1)/12))) + (R50)*(IF((YEAR(D50)+14)&lt;YEAR(E50),0,IF((YEAR(D50)+14)&gt;YEAR(E50),1,(12-MONTH(E50)+1)/12))))-(IF(OR(N50="",N50&lt;=0),0,(O50/N50)*(IF(OR(N50="",N50&lt;=0),0,IF((YEAR(D50)+14)&lt;YEAR(E50),0,IF((YEAR(D50)+14)&gt;=YEAR(E50)+N50,0,IF((YEAR(D50)+14)=YEAR(E50),(12-MONTH(E50)+1)/12,1))))))))*TaxRate,0))-IF(14=0,O50,0))</f>
        <v/>
      </c>
      <c r="AH50" s="29">
        <f>IF(A50="","",((K50)*(IF(M50="",L50,IFERROR(IF(INDEX(Variablen!$I:$AT, MATCH(M50, Variablen!$A:$A, 0), MATCH((YEAR(D50)+15), Variablen!$I$3:$AT$3, 0))="",L50,INDEX(Variablen!$I:$AT, MATCH(M50, Variablen!$A:$A, 0), MATCH((YEAR(D50)+15), Variablen!$I$3:$AT$3, 0))),L50)))*(IF((YEAR(D50)+15)&lt;YEAR(E50),0,IF((YEAR(D50)+15)&gt;YEAR(E50),1,(12-MONTH(E50)+1)/12))) + (Q50)*(IF((YEAR(D50)+15)&lt;YEAR(E50),0,IF((YEAR(D50)+15)&gt;YEAR(E50),1,(12-MONTH(E50)+1)/12))))-((P50)*(IF((YEAR(D50)+15)&lt;YEAR(E50),0,IF((YEAR(D50)+15)&gt;YEAR(E50),1,(12-MONTH(E50)+1)/12))) + (R50)*(IF((YEAR(D50)+15)&lt;YEAR(E50),0,IF((YEAR(D50)+15)&gt;YEAR(E50),1,(12-MONTH(E50)+1)/12))))-(IF((((K50)*(IF(M50="",L50,IFERROR(IF(INDEX(Variablen!$I:$AT, MATCH(M50, Variablen!$A:$A, 0), MATCH((YEAR(D50)+15), Variablen!$I$3:$AT$3, 0))="",L50,INDEX(Variablen!$I:$AT, MATCH(M50, Variablen!$A:$A, 0), MATCH((YEAR(D50)+15), Variablen!$I$3:$AT$3, 0))),L50)))*(IF((YEAR(D50)+15)&lt;YEAR(E50),0,IF((YEAR(D50)+15)&gt;YEAR(E50),1,(12-MONTH(E50)+1)/12))) + (Q50)*(IF((YEAR(D50)+15)&lt;YEAR(E50),0,IF((YEAR(D50)+15)&gt;YEAR(E50),1,(12-MONTH(E50)+1)/12))))-((P50)*(IF((YEAR(D50)+15)&lt;YEAR(E50),0,IF((YEAR(D50)+15)&gt;YEAR(E50),1,(12-MONTH(E50)+1)/12))) + (R50)*(IF((YEAR(D50)+15)&lt;YEAR(E50),0,IF((YEAR(D50)+15)&gt;YEAR(E50),1,(12-MONTH(E50)+1)/12))))-(IF(OR(N50="",N50&lt;=0),0,(O50/N50)*(IF(OR(N50="",N50&lt;=0),0,IF((YEAR(D50)+15)&lt;YEAR(E50),0,IF((YEAR(D50)+15)&gt;=YEAR(E50)+N50,0,IF((YEAR(D50)+15)=YEAR(E50),(12-MONTH(E50)+1)/12,1))))))))&gt;0,(((K50)*(IF(M50="",L50,IFERROR(IF(INDEX(Variablen!$I:$AT, MATCH(M50, Variablen!$A:$A, 0), MATCH((YEAR(D50)+15), Variablen!$I$3:$AT$3, 0))="",L50,INDEX(Variablen!$I:$AT, MATCH(M50, Variablen!$A:$A, 0), MATCH((YEAR(D50)+15), Variablen!$I$3:$AT$3, 0))),L50)))*(IF((YEAR(D50)+15)&lt;YEAR(E50),0,IF((YEAR(D50)+15)&gt;YEAR(E50),1,(12-MONTH(E50)+1)/12))) + (Q50)*(IF((YEAR(D50)+15)&lt;YEAR(E50),0,IF((YEAR(D50)+15)&gt;YEAR(E50),1,(12-MONTH(E50)+1)/12))))-((P50)*(IF((YEAR(D50)+15)&lt;YEAR(E50),0,IF((YEAR(D50)+15)&gt;YEAR(E50),1,(12-MONTH(E50)+1)/12))) + (R50)*(IF((YEAR(D50)+15)&lt;YEAR(E50),0,IF((YEAR(D50)+15)&gt;YEAR(E50),1,(12-MONTH(E50)+1)/12))))-(IF(OR(N50="",N50&lt;=0),0,(O50/N50)*(IF(OR(N50="",N50&lt;=0),0,IF((YEAR(D50)+15)&lt;YEAR(E50),0,IF((YEAR(D50)+15)&gt;=YEAR(E50)+N50,0,IF((YEAR(D50)+15)=YEAR(E50),(12-MONTH(E50)+1)/12,1))))))))*TaxRate,0))-IF(15=0,O50,0))</f>
        <v/>
      </c>
      <c r="AI50" s="29">
        <f>IF(A50="","",((K50)*(IF(M50="",L50,IFERROR(IF(INDEX(Variablen!$I:$AT, MATCH(M50, Variablen!$A:$A, 0), MATCH((YEAR(D50)+16), Variablen!$I$3:$AT$3, 0))="",L50,INDEX(Variablen!$I:$AT, MATCH(M50, Variablen!$A:$A, 0), MATCH((YEAR(D50)+16), Variablen!$I$3:$AT$3, 0))),L50)))*(IF((YEAR(D50)+16)&lt;YEAR(E50),0,IF((YEAR(D50)+16)&gt;YEAR(E50),1,(12-MONTH(E50)+1)/12))) + (Q50)*(IF((YEAR(D50)+16)&lt;YEAR(E50),0,IF((YEAR(D50)+16)&gt;YEAR(E50),1,(12-MONTH(E50)+1)/12))))-((P50)*(IF((YEAR(D50)+16)&lt;YEAR(E50),0,IF((YEAR(D50)+16)&gt;YEAR(E50),1,(12-MONTH(E50)+1)/12))) + (R50)*(IF((YEAR(D50)+16)&lt;YEAR(E50),0,IF((YEAR(D50)+16)&gt;YEAR(E50),1,(12-MONTH(E50)+1)/12))))-(IF((((K50)*(IF(M50="",L50,IFERROR(IF(INDEX(Variablen!$I:$AT, MATCH(M50, Variablen!$A:$A, 0), MATCH((YEAR(D50)+16), Variablen!$I$3:$AT$3, 0))="",L50,INDEX(Variablen!$I:$AT, MATCH(M50, Variablen!$A:$A, 0), MATCH((YEAR(D50)+16), Variablen!$I$3:$AT$3, 0))),L50)))*(IF((YEAR(D50)+16)&lt;YEAR(E50),0,IF((YEAR(D50)+16)&gt;YEAR(E50),1,(12-MONTH(E50)+1)/12))) + (Q50)*(IF((YEAR(D50)+16)&lt;YEAR(E50),0,IF((YEAR(D50)+16)&gt;YEAR(E50),1,(12-MONTH(E50)+1)/12))))-((P50)*(IF((YEAR(D50)+16)&lt;YEAR(E50),0,IF((YEAR(D50)+16)&gt;YEAR(E50),1,(12-MONTH(E50)+1)/12))) + (R50)*(IF((YEAR(D50)+16)&lt;YEAR(E50),0,IF((YEAR(D50)+16)&gt;YEAR(E50),1,(12-MONTH(E50)+1)/12))))-(IF(OR(N50="",N50&lt;=0),0,(O50/N50)*(IF(OR(N50="",N50&lt;=0),0,IF((YEAR(D50)+16)&lt;YEAR(E50),0,IF((YEAR(D50)+16)&gt;=YEAR(E50)+N50,0,IF((YEAR(D50)+16)=YEAR(E50),(12-MONTH(E50)+1)/12,1))))))))&gt;0,(((K50)*(IF(M50="",L50,IFERROR(IF(INDEX(Variablen!$I:$AT, MATCH(M50, Variablen!$A:$A, 0), MATCH((YEAR(D50)+16), Variablen!$I$3:$AT$3, 0))="",L50,INDEX(Variablen!$I:$AT, MATCH(M50, Variablen!$A:$A, 0), MATCH((YEAR(D50)+16), Variablen!$I$3:$AT$3, 0))),L50)))*(IF((YEAR(D50)+16)&lt;YEAR(E50),0,IF((YEAR(D50)+16)&gt;YEAR(E50),1,(12-MONTH(E50)+1)/12))) + (Q50)*(IF((YEAR(D50)+16)&lt;YEAR(E50),0,IF((YEAR(D50)+16)&gt;YEAR(E50),1,(12-MONTH(E50)+1)/12))))-((P50)*(IF((YEAR(D50)+16)&lt;YEAR(E50),0,IF((YEAR(D50)+16)&gt;YEAR(E50),1,(12-MONTH(E50)+1)/12))) + (R50)*(IF((YEAR(D50)+16)&lt;YEAR(E50),0,IF((YEAR(D50)+16)&gt;YEAR(E50),1,(12-MONTH(E50)+1)/12))))-(IF(OR(N50="",N50&lt;=0),0,(O50/N50)*(IF(OR(N50="",N50&lt;=0),0,IF((YEAR(D50)+16)&lt;YEAR(E50),0,IF((YEAR(D50)+16)&gt;=YEAR(E50)+N50,0,IF((YEAR(D50)+16)=YEAR(E50),(12-MONTH(E50)+1)/12,1))))))))*TaxRate,0))-IF(16=0,O50,0))</f>
        <v/>
      </c>
      <c r="AJ50" s="29">
        <f>IF(A50="","",((K50)*(IF(M50="",L50,IFERROR(IF(INDEX(Variablen!$I:$AT, MATCH(M50, Variablen!$A:$A, 0), MATCH((YEAR(D50)+17), Variablen!$I$3:$AT$3, 0))="",L50,INDEX(Variablen!$I:$AT, MATCH(M50, Variablen!$A:$A, 0), MATCH((YEAR(D50)+17), Variablen!$I$3:$AT$3, 0))),L50)))*(IF((YEAR(D50)+17)&lt;YEAR(E50),0,IF((YEAR(D50)+17)&gt;YEAR(E50),1,(12-MONTH(E50)+1)/12))) + (Q50)*(IF((YEAR(D50)+17)&lt;YEAR(E50),0,IF((YEAR(D50)+17)&gt;YEAR(E50),1,(12-MONTH(E50)+1)/12))))-((P50)*(IF((YEAR(D50)+17)&lt;YEAR(E50),0,IF((YEAR(D50)+17)&gt;YEAR(E50),1,(12-MONTH(E50)+1)/12))) + (R50)*(IF((YEAR(D50)+17)&lt;YEAR(E50),0,IF((YEAR(D50)+17)&gt;YEAR(E50),1,(12-MONTH(E50)+1)/12))))-(IF((((K50)*(IF(M50="",L50,IFERROR(IF(INDEX(Variablen!$I:$AT, MATCH(M50, Variablen!$A:$A, 0), MATCH((YEAR(D50)+17), Variablen!$I$3:$AT$3, 0))="",L50,INDEX(Variablen!$I:$AT, MATCH(M50, Variablen!$A:$A, 0), MATCH((YEAR(D50)+17), Variablen!$I$3:$AT$3, 0))),L50)))*(IF((YEAR(D50)+17)&lt;YEAR(E50),0,IF((YEAR(D50)+17)&gt;YEAR(E50),1,(12-MONTH(E50)+1)/12))) + (Q50)*(IF((YEAR(D50)+17)&lt;YEAR(E50),0,IF((YEAR(D50)+17)&gt;YEAR(E50),1,(12-MONTH(E50)+1)/12))))-((P50)*(IF((YEAR(D50)+17)&lt;YEAR(E50),0,IF((YEAR(D50)+17)&gt;YEAR(E50),1,(12-MONTH(E50)+1)/12))) + (R50)*(IF((YEAR(D50)+17)&lt;YEAR(E50),0,IF((YEAR(D50)+17)&gt;YEAR(E50),1,(12-MONTH(E50)+1)/12))))-(IF(OR(N50="",N50&lt;=0),0,(O50/N50)*(IF(OR(N50="",N50&lt;=0),0,IF((YEAR(D50)+17)&lt;YEAR(E50),0,IF((YEAR(D50)+17)&gt;=YEAR(E50)+N50,0,IF((YEAR(D50)+17)=YEAR(E50),(12-MONTH(E50)+1)/12,1))))))))&gt;0,(((K50)*(IF(M50="",L50,IFERROR(IF(INDEX(Variablen!$I:$AT, MATCH(M50, Variablen!$A:$A, 0), MATCH((YEAR(D50)+17), Variablen!$I$3:$AT$3, 0))="",L50,INDEX(Variablen!$I:$AT, MATCH(M50, Variablen!$A:$A, 0), MATCH((YEAR(D50)+17), Variablen!$I$3:$AT$3, 0))),L50)))*(IF((YEAR(D50)+17)&lt;YEAR(E50),0,IF((YEAR(D50)+17)&gt;YEAR(E50),1,(12-MONTH(E50)+1)/12))) + (Q50)*(IF((YEAR(D50)+17)&lt;YEAR(E50),0,IF((YEAR(D50)+17)&gt;YEAR(E50),1,(12-MONTH(E50)+1)/12))))-((P50)*(IF((YEAR(D50)+17)&lt;YEAR(E50),0,IF((YEAR(D50)+17)&gt;YEAR(E50),1,(12-MONTH(E50)+1)/12))) + (R50)*(IF((YEAR(D50)+17)&lt;YEAR(E50),0,IF((YEAR(D50)+17)&gt;YEAR(E50),1,(12-MONTH(E50)+1)/12))))-(IF(OR(N50="",N50&lt;=0),0,(O50/N50)*(IF(OR(N50="",N50&lt;=0),0,IF((YEAR(D50)+17)&lt;YEAR(E50),0,IF((YEAR(D50)+17)&gt;=YEAR(E50)+N50,0,IF((YEAR(D50)+17)=YEAR(E50),(12-MONTH(E50)+1)/12,1))))))))*TaxRate,0))-IF(17=0,O50,0))</f>
        <v/>
      </c>
      <c r="AK50" s="29">
        <f>IF(A50="","",((K50)*(IF(M50="",L50,IFERROR(IF(INDEX(Variablen!$I:$AT, MATCH(M50, Variablen!$A:$A, 0), MATCH((YEAR(D50)+18), Variablen!$I$3:$AT$3, 0))="",L50,INDEX(Variablen!$I:$AT, MATCH(M50, Variablen!$A:$A, 0), MATCH((YEAR(D50)+18), Variablen!$I$3:$AT$3, 0))),L50)))*(IF((YEAR(D50)+18)&lt;YEAR(E50),0,IF((YEAR(D50)+18)&gt;YEAR(E50),1,(12-MONTH(E50)+1)/12))) + (Q50)*(IF((YEAR(D50)+18)&lt;YEAR(E50),0,IF((YEAR(D50)+18)&gt;YEAR(E50),1,(12-MONTH(E50)+1)/12))))-((P50)*(IF((YEAR(D50)+18)&lt;YEAR(E50),0,IF((YEAR(D50)+18)&gt;YEAR(E50),1,(12-MONTH(E50)+1)/12))) + (R50)*(IF((YEAR(D50)+18)&lt;YEAR(E50),0,IF((YEAR(D50)+18)&gt;YEAR(E50),1,(12-MONTH(E50)+1)/12))))-(IF((((K50)*(IF(M50="",L50,IFERROR(IF(INDEX(Variablen!$I:$AT, MATCH(M50, Variablen!$A:$A, 0), MATCH((YEAR(D50)+18), Variablen!$I$3:$AT$3, 0))="",L50,INDEX(Variablen!$I:$AT, MATCH(M50, Variablen!$A:$A, 0), MATCH((YEAR(D50)+18), Variablen!$I$3:$AT$3, 0))),L50)))*(IF((YEAR(D50)+18)&lt;YEAR(E50),0,IF((YEAR(D50)+18)&gt;YEAR(E50),1,(12-MONTH(E50)+1)/12))) + (Q50)*(IF((YEAR(D50)+18)&lt;YEAR(E50),0,IF((YEAR(D50)+18)&gt;YEAR(E50),1,(12-MONTH(E50)+1)/12))))-((P50)*(IF((YEAR(D50)+18)&lt;YEAR(E50),0,IF((YEAR(D50)+18)&gt;YEAR(E50),1,(12-MONTH(E50)+1)/12))) + (R50)*(IF((YEAR(D50)+18)&lt;YEAR(E50),0,IF((YEAR(D50)+18)&gt;YEAR(E50),1,(12-MONTH(E50)+1)/12))))-(IF(OR(N50="",N50&lt;=0),0,(O50/N50)*(IF(OR(N50="",N50&lt;=0),0,IF((YEAR(D50)+18)&lt;YEAR(E50),0,IF((YEAR(D50)+18)&gt;=YEAR(E50)+N50,0,IF((YEAR(D50)+18)=YEAR(E50),(12-MONTH(E50)+1)/12,1))))))))&gt;0,(((K50)*(IF(M50="",L50,IFERROR(IF(INDEX(Variablen!$I:$AT, MATCH(M50, Variablen!$A:$A, 0), MATCH((YEAR(D50)+18), Variablen!$I$3:$AT$3, 0))="",L50,INDEX(Variablen!$I:$AT, MATCH(M50, Variablen!$A:$A, 0), MATCH((YEAR(D50)+18), Variablen!$I$3:$AT$3, 0))),L50)))*(IF((YEAR(D50)+18)&lt;YEAR(E50),0,IF((YEAR(D50)+18)&gt;YEAR(E50),1,(12-MONTH(E50)+1)/12))) + (Q50)*(IF((YEAR(D50)+18)&lt;YEAR(E50),0,IF((YEAR(D50)+18)&gt;YEAR(E50),1,(12-MONTH(E50)+1)/12))))-((P50)*(IF((YEAR(D50)+18)&lt;YEAR(E50),0,IF((YEAR(D50)+18)&gt;YEAR(E50),1,(12-MONTH(E50)+1)/12))) + (R50)*(IF((YEAR(D50)+18)&lt;YEAR(E50),0,IF((YEAR(D50)+18)&gt;YEAR(E50),1,(12-MONTH(E50)+1)/12))))-(IF(OR(N50="",N50&lt;=0),0,(O50/N50)*(IF(OR(N50="",N50&lt;=0),0,IF((YEAR(D50)+18)&lt;YEAR(E50),0,IF((YEAR(D50)+18)&gt;=YEAR(E50)+N50,0,IF((YEAR(D50)+18)=YEAR(E50),(12-MONTH(E50)+1)/12,1))))))))*TaxRate,0))-IF(18=0,O50,0))</f>
        <v/>
      </c>
      <c r="AL50" s="29">
        <f>IF(A50="","",((K50)*(IF(M50="",L50,IFERROR(IF(INDEX(Variablen!$I:$AT, MATCH(M50, Variablen!$A:$A, 0), MATCH((YEAR(D50)+19), Variablen!$I$3:$AT$3, 0))="",L50,INDEX(Variablen!$I:$AT, MATCH(M50, Variablen!$A:$A, 0), MATCH((YEAR(D50)+19), Variablen!$I$3:$AT$3, 0))),L50)))*(IF((YEAR(D50)+19)&lt;YEAR(E50),0,IF((YEAR(D50)+19)&gt;YEAR(E50),1,(12-MONTH(E50)+1)/12))) + (Q50)*(IF((YEAR(D50)+19)&lt;YEAR(E50),0,IF((YEAR(D50)+19)&gt;YEAR(E50),1,(12-MONTH(E50)+1)/12))))-((P50)*(IF((YEAR(D50)+19)&lt;YEAR(E50),0,IF((YEAR(D50)+19)&gt;YEAR(E50),1,(12-MONTH(E50)+1)/12))) + (R50)*(IF((YEAR(D50)+19)&lt;YEAR(E50),0,IF((YEAR(D50)+19)&gt;YEAR(E50),1,(12-MONTH(E50)+1)/12))))-(IF((((K50)*(IF(M50="",L50,IFERROR(IF(INDEX(Variablen!$I:$AT, MATCH(M50, Variablen!$A:$A, 0), MATCH((YEAR(D50)+19), Variablen!$I$3:$AT$3, 0))="",L50,INDEX(Variablen!$I:$AT, MATCH(M50, Variablen!$A:$A, 0), MATCH((YEAR(D50)+19), Variablen!$I$3:$AT$3, 0))),L50)))*(IF((YEAR(D50)+19)&lt;YEAR(E50),0,IF((YEAR(D50)+19)&gt;YEAR(E50),1,(12-MONTH(E50)+1)/12))) + (Q50)*(IF((YEAR(D50)+19)&lt;YEAR(E50),0,IF((YEAR(D50)+19)&gt;YEAR(E50),1,(12-MONTH(E50)+1)/12))))-((P50)*(IF((YEAR(D50)+19)&lt;YEAR(E50),0,IF((YEAR(D50)+19)&gt;YEAR(E50),1,(12-MONTH(E50)+1)/12))) + (R50)*(IF((YEAR(D50)+19)&lt;YEAR(E50),0,IF((YEAR(D50)+19)&gt;YEAR(E50),1,(12-MONTH(E50)+1)/12))))-(IF(OR(N50="",N50&lt;=0),0,(O50/N50)*(IF(OR(N50="",N50&lt;=0),0,IF((YEAR(D50)+19)&lt;YEAR(E50),0,IF((YEAR(D50)+19)&gt;=YEAR(E50)+N50,0,IF((YEAR(D50)+19)=YEAR(E50),(12-MONTH(E50)+1)/12,1))))))))&gt;0,(((K50)*(IF(M50="",L50,IFERROR(IF(INDEX(Variablen!$I:$AT, MATCH(M50, Variablen!$A:$A, 0), MATCH((YEAR(D50)+19), Variablen!$I$3:$AT$3, 0))="",L50,INDEX(Variablen!$I:$AT, MATCH(M50, Variablen!$A:$A, 0), MATCH((YEAR(D50)+19), Variablen!$I$3:$AT$3, 0))),L50)))*(IF((YEAR(D50)+19)&lt;YEAR(E50),0,IF((YEAR(D50)+19)&gt;YEAR(E50),1,(12-MONTH(E50)+1)/12))) + (Q50)*(IF((YEAR(D50)+19)&lt;YEAR(E50),0,IF((YEAR(D50)+19)&gt;YEAR(E50),1,(12-MONTH(E50)+1)/12))))-((P50)*(IF((YEAR(D50)+19)&lt;YEAR(E50),0,IF((YEAR(D50)+19)&gt;YEAR(E50),1,(12-MONTH(E50)+1)/12))) + (R50)*(IF((YEAR(D50)+19)&lt;YEAR(E50),0,IF((YEAR(D50)+19)&gt;YEAR(E50),1,(12-MONTH(E50)+1)/12))))-(IF(OR(N50="",N50&lt;=0),0,(O50/N50)*(IF(OR(N50="",N50&lt;=0),0,IF((YEAR(D50)+19)&lt;YEAR(E50),0,IF((YEAR(D50)+19)&gt;=YEAR(E50)+N50,0,IF((YEAR(D50)+19)=YEAR(E50),(12-MONTH(E50)+1)/12,1))))))))*TaxRate,0))-IF(19=0,O50,0))</f>
        <v/>
      </c>
      <c r="AM50" s="29">
        <f>IF(A50="","",((K50)*(IF(M50="",L50,IFERROR(IF(INDEX(Variablen!$I:$AT, MATCH(M50, Variablen!$A:$A, 0), MATCH((YEAR(D50)+20), Variablen!$I$3:$AT$3, 0))="",L50,INDEX(Variablen!$I:$AT, MATCH(M50, Variablen!$A:$A, 0), MATCH((YEAR(D50)+20), Variablen!$I$3:$AT$3, 0))),L50)))*(IF((YEAR(D50)+20)&lt;YEAR(E50),0,IF((YEAR(D50)+20)&gt;YEAR(E50),1,(12-MONTH(E50)+1)/12))) + (Q50)*(IF((YEAR(D50)+20)&lt;YEAR(E50),0,IF((YEAR(D50)+20)&gt;YEAR(E50),1,(12-MONTH(E50)+1)/12))))-((P50)*(IF((YEAR(D50)+20)&lt;YEAR(E50),0,IF((YEAR(D50)+20)&gt;YEAR(E50),1,(12-MONTH(E50)+1)/12))) + (R50)*(IF((YEAR(D50)+20)&lt;YEAR(E50),0,IF((YEAR(D50)+20)&gt;YEAR(E50),1,(12-MONTH(E50)+1)/12))))-(IF((((K50)*(IF(M50="",L50,IFERROR(IF(INDEX(Variablen!$I:$AT, MATCH(M50, Variablen!$A:$A, 0), MATCH((YEAR(D50)+20), Variablen!$I$3:$AT$3, 0))="",L50,INDEX(Variablen!$I:$AT, MATCH(M50, Variablen!$A:$A, 0), MATCH((YEAR(D50)+20), Variablen!$I$3:$AT$3, 0))),L50)))*(IF((YEAR(D50)+20)&lt;YEAR(E50),0,IF((YEAR(D50)+20)&gt;YEAR(E50),1,(12-MONTH(E50)+1)/12))) + (Q50)*(IF((YEAR(D50)+20)&lt;YEAR(E50),0,IF((YEAR(D50)+20)&gt;YEAR(E50),1,(12-MONTH(E50)+1)/12))))-((P50)*(IF((YEAR(D50)+20)&lt;YEAR(E50),0,IF((YEAR(D50)+20)&gt;YEAR(E50),1,(12-MONTH(E50)+1)/12))) + (R50)*(IF((YEAR(D50)+20)&lt;YEAR(E50),0,IF((YEAR(D50)+20)&gt;YEAR(E50),1,(12-MONTH(E50)+1)/12))))-(IF(OR(N50="",N50&lt;=0),0,(O50/N50)*(IF(OR(N50="",N50&lt;=0),0,IF((YEAR(D50)+20)&lt;YEAR(E50),0,IF((YEAR(D50)+20)&gt;=YEAR(E50)+N50,0,IF((YEAR(D50)+20)=YEAR(E50),(12-MONTH(E50)+1)/12,1))))))))&gt;0,(((K50)*(IF(M50="",L50,IFERROR(IF(INDEX(Variablen!$I:$AT, MATCH(M50, Variablen!$A:$A, 0), MATCH((YEAR(D50)+20), Variablen!$I$3:$AT$3, 0))="",L50,INDEX(Variablen!$I:$AT, MATCH(M50, Variablen!$A:$A, 0), MATCH((YEAR(D50)+20), Variablen!$I$3:$AT$3, 0))),L50)))*(IF((YEAR(D50)+20)&lt;YEAR(E50),0,IF((YEAR(D50)+20)&gt;YEAR(E50),1,(12-MONTH(E50)+1)/12))) + (Q50)*(IF((YEAR(D50)+20)&lt;YEAR(E50),0,IF((YEAR(D50)+20)&gt;YEAR(E50),1,(12-MONTH(E50)+1)/12))))-((P50)*(IF((YEAR(D50)+20)&lt;YEAR(E50),0,IF((YEAR(D50)+20)&gt;YEAR(E50),1,(12-MONTH(E50)+1)/12))) + (R50)*(IF((YEAR(D50)+20)&lt;YEAR(E50),0,IF((YEAR(D50)+20)&gt;YEAR(E50),1,(12-MONTH(E50)+1)/12))))-(IF(OR(N50="",N50&lt;=0),0,(O50/N50)*(IF(OR(N50="",N50&lt;=0),0,IF((YEAR(D50)+20)&lt;YEAR(E50),0,IF((YEAR(D50)+20)&gt;=YEAR(E50)+N50,0,IF((YEAR(D50)+20)=YEAR(E50),(12-MONTH(E50)+1)/12,1))))))))*TaxRate,0))-IF(20=0,O50,0))</f>
        <v/>
      </c>
      <c r="AN50" s="29">
        <f>IF(A50="","",S50)</f>
        <v/>
      </c>
      <c r="AO50" s="29">
        <f>IF(A50="","",AN50+T50)</f>
        <v/>
      </c>
      <c r="AP50" s="29">
        <f>IF(A50="","",AO50+U50)</f>
        <v/>
      </c>
      <c r="AQ50" s="29">
        <f>IF(A50="","",AP50+V50)</f>
        <v/>
      </c>
      <c r="AR50" s="29">
        <f>IF(A50="","",AQ50+W50)</f>
        <v/>
      </c>
      <c r="AS50" s="29">
        <f>IF(A50="","",AR50+X50)</f>
        <v/>
      </c>
      <c r="AT50" s="29">
        <f>IF(A50="","",AS50+Y50)</f>
        <v/>
      </c>
      <c r="AU50" s="29">
        <f>IF(A50="","",AT50+Z50)</f>
        <v/>
      </c>
      <c r="AV50" s="29">
        <f>IF(A50="","",AU50+AA50)</f>
        <v/>
      </c>
      <c r="AW50" s="29">
        <f>IF(A50="","",AV50+AB50)</f>
        <v/>
      </c>
      <c r="AX50" s="29">
        <f>IF(A50="","",AW50+AC50)</f>
        <v/>
      </c>
      <c r="AY50" s="29">
        <f>IF(A50="","",AX50+AD50)</f>
        <v/>
      </c>
      <c r="AZ50" s="29">
        <f>IF(A50="","",AY50+AE50)</f>
        <v/>
      </c>
      <c r="BA50" s="29">
        <f>IF(A50="","",AZ50+AF50)</f>
        <v/>
      </c>
      <c r="BB50" s="29">
        <f>IF(A50="","",BA50+AG50)</f>
        <v/>
      </c>
      <c r="BC50" s="29">
        <f>IF(A50="","",BB50+AH50)</f>
        <v/>
      </c>
      <c r="BD50" s="29">
        <f>IF(A50="","",BC50+AI50)</f>
        <v/>
      </c>
      <c r="BE50" s="29">
        <f>IF(A50="","",BD50+AJ50)</f>
        <v/>
      </c>
      <c r="BF50" s="29">
        <f>IF(A50="","",BE50+AK50)</f>
        <v/>
      </c>
      <c r="BG50" s="29">
        <f>IF(A50="","",BF50+AL50)</f>
        <v/>
      </c>
      <c r="BH50" s="29">
        <f>IF(A50="","",BG50+AM50)</f>
        <v/>
      </c>
      <c r="BI50" s="36">
        <f>IF(A50="","",(K50)*(IF((YEAR(D50)+0)&lt;YEAR(E50),0,IF((YEAR(D50)+0)&gt;YEAR(E50),1,(12-MONTH(E50)+1)/12)))*(1/(1+DiscountRate)^0))</f>
        <v/>
      </c>
      <c r="BJ50" s="36">
        <f>IF(A50="","",(K50)*(IF((YEAR(D50)+1)&lt;YEAR(E50),0,IF((YEAR(D50)+1)&gt;YEAR(E50),1,(12-MONTH(E50)+1)/12)))*(1/(1+DiscountRate)^1))</f>
        <v/>
      </c>
      <c r="BK50" s="36">
        <f>IF(A50="","",(K50)*(IF((YEAR(D50)+2)&lt;YEAR(E50),0,IF((YEAR(D50)+2)&gt;YEAR(E50),1,(12-MONTH(E50)+1)/12)))*(1/(1+DiscountRate)^2))</f>
        <v/>
      </c>
      <c r="BL50" s="36">
        <f>IF(A50="","",(K50)*(IF((YEAR(D50)+3)&lt;YEAR(E50),0,IF((YEAR(D50)+3)&gt;YEAR(E50),1,(12-MONTH(E50)+1)/12)))*(1/(1+DiscountRate)^3))</f>
        <v/>
      </c>
      <c r="BM50" s="36">
        <f>IF(A50="","",(K50)*(IF((YEAR(D50)+4)&lt;YEAR(E50),0,IF((YEAR(D50)+4)&gt;YEAR(E50),1,(12-MONTH(E50)+1)/12)))*(1/(1+DiscountRate)^4))</f>
        <v/>
      </c>
      <c r="BN50" s="36">
        <f>IF(A50="","",(K50)*(IF((YEAR(D50)+5)&lt;YEAR(E50),0,IF((YEAR(D50)+5)&gt;YEAR(E50),1,(12-MONTH(E50)+1)/12)))*(1/(1+DiscountRate)^5))</f>
        <v/>
      </c>
      <c r="BO50" s="36">
        <f>IF(A50="","",(K50)*(IF((YEAR(D50)+6)&lt;YEAR(E50),0,IF((YEAR(D50)+6)&gt;YEAR(E50),1,(12-MONTH(E50)+1)/12)))*(1/(1+DiscountRate)^6))</f>
        <v/>
      </c>
      <c r="BP50" s="36">
        <f>IF(A50="","",(K50)*(IF((YEAR(D50)+7)&lt;YEAR(E50),0,IF((YEAR(D50)+7)&gt;YEAR(E50),1,(12-MONTH(E50)+1)/12)))*(1/(1+DiscountRate)^7))</f>
        <v/>
      </c>
      <c r="BQ50" s="36">
        <f>IF(A50="","",(K50)*(IF((YEAR(D50)+8)&lt;YEAR(E50),0,IF((YEAR(D50)+8)&gt;YEAR(E50),1,(12-MONTH(E50)+1)/12)))*(1/(1+DiscountRate)^8))</f>
        <v/>
      </c>
      <c r="BR50" s="36">
        <f>IF(A50="","",(K50)*(IF((YEAR(D50)+9)&lt;YEAR(E50),0,IF((YEAR(D50)+9)&gt;YEAR(E50),1,(12-MONTH(E50)+1)/12)))*(1/(1+DiscountRate)^9))</f>
        <v/>
      </c>
      <c r="BS50" s="36">
        <f>IF(A50="","",(K50)*(IF((YEAR(D50)+10)&lt;YEAR(E50),0,IF((YEAR(D50)+10)&gt;YEAR(E50),1,(12-MONTH(E50)+1)/12)))*(1/(1+DiscountRate)^10))</f>
        <v/>
      </c>
      <c r="BT50" s="36">
        <f>IF(A50="","",(K50)*(IF((YEAR(D50)+11)&lt;YEAR(E50),0,IF((YEAR(D50)+11)&gt;YEAR(E50),1,(12-MONTH(E50)+1)/12)))*(1/(1+DiscountRate)^11))</f>
        <v/>
      </c>
      <c r="BU50" s="36">
        <f>IF(A50="","",(K50)*(IF((YEAR(D50)+12)&lt;YEAR(E50),0,IF((YEAR(D50)+12)&gt;YEAR(E50),1,(12-MONTH(E50)+1)/12)))*(1/(1+DiscountRate)^12))</f>
        <v/>
      </c>
      <c r="BV50" s="36">
        <f>IF(A50="","",(K50)*(IF((YEAR(D50)+13)&lt;YEAR(E50),0,IF((YEAR(D50)+13)&gt;YEAR(E50),1,(12-MONTH(E50)+1)/12)))*(1/(1+DiscountRate)^13))</f>
        <v/>
      </c>
      <c r="BW50" s="36">
        <f>IF(A50="","",(K50)*(IF((YEAR(D50)+14)&lt;YEAR(E50),0,IF((YEAR(D50)+14)&gt;YEAR(E50),1,(12-MONTH(E50)+1)/12)))*(1/(1+DiscountRate)^14))</f>
        <v/>
      </c>
      <c r="BX50" s="36">
        <f>IF(A50="","",(K50)*(IF((YEAR(D50)+15)&lt;YEAR(E50),0,IF((YEAR(D50)+15)&gt;YEAR(E50),1,(12-MONTH(E50)+1)/12)))*(1/(1+DiscountRate)^15))</f>
        <v/>
      </c>
      <c r="BY50" s="36">
        <f>IF(A50="","",(K50)*(IF((YEAR(D50)+16)&lt;YEAR(E50),0,IF((YEAR(D50)+16)&gt;YEAR(E50),1,(12-MONTH(E50)+1)/12)))*(1/(1+DiscountRate)^16))</f>
        <v/>
      </c>
      <c r="BZ50" s="36">
        <f>IF(A50="","",(K50)*(IF((YEAR(D50)+17)&lt;YEAR(E50),0,IF((YEAR(D50)+17)&gt;YEAR(E50),1,(12-MONTH(E50)+1)/12)))*(1/(1+DiscountRate)^17))</f>
        <v/>
      </c>
      <c r="CA50" s="36">
        <f>IF(A50="","",(K50)*(IF((YEAR(D50)+18)&lt;YEAR(E50),0,IF((YEAR(D50)+18)&gt;YEAR(E50),1,(12-MONTH(E50)+1)/12)))*(1/(1+DiscountRate)^18))</f>
        <v/>
      </c>
      <c r="CB50" s="36">
        <f>IF(A50="","",(K50)*(IF((YEAR(D50)+19)&lt;YEAR(E50),0,IF((YEAR(D50)+19)&gt;YEAR(E50),1,(12-MONTH(E50)+1)/12)))*(1/(1+DiscountRate)^19))</f>
        <v/>
      </c>
      <c r="CC50" s="36">
        <f>IF(A50="","",(K50)*(IF((YEAR(D50)+20)&lt;YEAR(E50),0,IF((YEAR(D50)+20)&gt;YEAR(E50),1,(12-MONTH(E50)+1)/12)))*(1/(1+DiscountRate)^20))</f>
        <v/>
      </c>
      <c r="CD50" s="29">
        <f>IF(A50="","",S50/(1+DiscountRate)^0+T50/(1+DiscountRate)^1+U50/(1+DiscountRate)^2+V50/(1+DiscountRate)^3+W50/(1+DiscountRate)^4+X50/(1+DiscountRate)^5+Y50/(1+DiscountRate)^6+Z50/(1+DiscountRate)^7+AA50/(1+DiscountRate)^8+AB50/(1+DiscountRate)^9+AC50/(1+DiscountRate)^10+AD50/(1+DiscountRate)^11+AE50/(1+DiscountRate)^12+AF50/(1+DiscountRate)^13+AG50/(1+DiscountRate)^14+AH50/(1+DiscountRate)^15+AI50/(1+DiscountRate)^16+AJ50/(1+DiscountRate)^17+AK50/(1+DiscountRate)^18+AL50/(1+DiscountRate)^19+AM50/(1+DiscountRate)^20)</f>
        <v/>
      </c>
      <c r="CE50" s="37">
        <f>IF(A50="","",IFERROR(IRR(OFFSET(S50,0,0,1,MIN(HorizonYears,20)+1)),"n/a"))</f>
        <v/>
      </c>
      <c r="CF50" s="28">
        <f>IF(A50="","",IFERROR(MATCH(TRUE,OFFSET(AN50,0,0,1,MIN(HorizonYears,20)+1)&gt;=0,0)-1,"n/a"))</f>
        <v/>
      </c>
      <c r="CG50" s="36">
        <f>IF(A50="","",SUM(OFFSET(BI50,0,0,1,MIN(HorizonYears,20)+1)))</f>
        <v/>
      </c>
      <c r="CH50" s="36">
        <f>IF(A50="","",IFERROR(-CD50/CG50,"n/a"))</f>
        <v/>
      </c>
    </row>
    <row r="51">
      <c r="A51" s="6">
        <f>Actions!A49</f>
        <v/>
      </c>
      <c r="B51" s="6">
        <f>Actions!B49</f>
        <v/>
      </c>
      <c r="C51" s="6">
        <f>Actions!D49</f>
        <v/>
      </c>
      <c r="D51" s="35">
        <f>Actions!E49</f>
        <v/>
      </c>
      <c r="E51" s="35">
        <f>Actions!F49</f>
        <v/>
      </c>
      <c r="F51" s="6">
        <f>Actions!G49</f>
        <v/>
      </c>
      <c r="G51" s="6">
        <f>Actions!H49</f>
        <v/>
      </c>
      <c r="H51" s="29">
        <f>Actions!I49</f>
        <v/>
      </c>
      <c r="I51" s="6">
        <f>Actions!J49</f>
        <v/>
      </c>
      <c r="J51" s="16">
        <f>Actions!K49</f>
        <v/>
      </c>
      <c r="K51" s="16">
        <f>IF(A51="","",IF(I51="%",H51*J51,J51))</f>
        <v/>
      </c>
      <c r="L51" s="16">
        <f>Actions!L49</f>
        <v/>
      </c>
      <c r="M51" s="6">
        <f>Actions!M49</f>
        <v/>
      </c>
      <c r="N51" s="28">
        <f>Actions!N49</f>
        <v/>
      </c>
      <c r="O51" s="29">
        <f>Actions!T49</f>
        <v/>
      </c>
      <c r="P51" s="29">
        <f>Actions!Y49</f>
        <v/>
      </c>
      <c r="Q51" s="29">
        <f>Actions!Z49</f>
        <v/>
      </c>
      <c r="R51" s="29">
        <f>Actions!AA49</f>
        <v/>
      </c>
      <c r="S51" s="29">
        <f>IF(A51="","",((K51)*(IF(M51="",L51,IFERROR(IF(INDEX(Variablen!$I:$AT, MATCH(M51, Variablen!$A:$A, 0), MATCH((YEAR(D51)+0), Variablen!$I$3:$AT$3, 0))="",L51,INDEX(Variablen!$I:$AT, MATCH(M51, Variablen!$A:$A, 0), MATCH((YEAR(D51)+0), Variablen!$I$3:$AT$3, 0))),L51)))*(IF((YEAR(D51)+0)&lt;YEAR(E51),0,IF((YEAR(D51)+0)&gt;YEAR(E51),1,(12-MONTH(E51)+1)/12))) + (Q51)*(IF((YEAR(D51)+0)&lt;YEAR(E51),0,IF((YEAR(D51)+0)&gt;YEAR(E51),1,(12-MONTH(E51)+1)/12))))-((P51)*(IF((YEAR(D51)+0)&lt;YEAR(E51),0,IF((YEAR(D51)+0)&gt;YEAR(E51),1,(12-MONTH(E51)+1)/12))) + (R51)*(IF((YEAR(D51)+0)&lt;YEAR(E51),0,IF((YEAR(D51)+0)&gt;YEAR(E51),1,(12-MONTH(E51)+1)/12))))-(IF((((K51)*(IF(M51="",L51,IFERROR(IF(INDEX(Variablen!$I:$AT, MATCH(M51, Variablen!$A:$A, 0), MATCH((YEAR(D51)+0), Variablen!$I$3:$AT$3, 0))="",L51,INDEX(Variablen!$I:$AT, MATCH(M51, Variablen!$A:$A, 0), MATCH((YEAR(D51)+0), Variablen!$I$3:$AT$3, 0))),L51)))*(IF((YEAR(D51)+0)&lt;YEAR(E51),0,IF((YEAR(D51)+0)&gt;YEAR(E51),1,(12-MONTH(E51)+1)/12))) + (Q51)*(IF((YEAR(D51)+0)&lt;YEAR(E51),0,IF((YEAR(D51)+0)&gt;YEAR(E51),1,(12-MONTH(E51)+1)/12))))-((P51)*(IF((YEAR(D51)+0)&lt;YEAR(E51),0,IF((YEAR(D51)+0)&gt;YEAR(E51),1,(12-MONTH(E51)+1)/12))) + (R51)*(IF((YEAR(D51)+0)&lt;YEAR(E51),0,IF((YEAR(D51)+0)&gt;YEAR(E51),1,(12-MONTH(E51)+1)/12))))-(IF(OR(N51="",N51&lt;=0),0,(O51/N51)*(IF(OR(N51="",N51&lt;=0),0,IF((YEAR(D51)+0)&lt;YEAR(E51),0,IF((YEAR(D51)+0)&gt;=YEAR(E51)+N51,0,IF((YEAR(D51)+0)=YEAR(E51),(12-MONTH(E51)+1)/12,1))))))))&gt;0,(((K51)*(IF(M51="",L51,IFERROR(IF(INDEX(Variablen!$I:$AT, MATCH(M51, Variablen!$A:$A, 0), MATCH((YEAR(D51)+0), Variablen!$I$3:$AT$3, 0))="",L51,INDEX(Variablen!$I:$AT, MATCH(M51, Variablen!$A:$A, 0), MATCH((YEAR(D51)+0), Variablen!$I$3:$AT$3, 0))),L51)))*(IF((YEAR(D51)+0)&lt;YEAR(E51),0,IF((YEAR(D51)+0)&gt;YEAR(E51),1,(12-MONTH(E51)+1)/12))) + (Q51)*(IF((YEAR(D51)+0)&lt;YEAR(E51),0,IF((YEAR(D51)+0)&gt;YEAR(E51),1,(12-MONTH(E51)+1)/12))))-((P51)*(IF((YEAR(D51)+0)&lt;YEAR(E51),0,IF((YEAR(D51)+0)&gt;YEAR(E51),1,(12-MONTH(E51)+1)/12))) + (R51)*(IF((YEAR(D51)+0)&lt;YEAR(E51),0,IF((YEAR(D51)+0)&gt;YEAR(E51),1,(12-MONTH(E51)+1)/12))))-(IF(OR(N51="",N51&lt;=0),0,(O51/N51)*(IF(OR(N51="",N51&lt;=0),0,IF((YEAR(D51)+0)&lt;YEAR(E51),0,IF((YEAR(D51)+0)&gt;=YEAR(E51)+N51,0,IF((YEAR(D51)+0)=YEAR(E51),(12-MONTH(E51)+1)/12,1))))))))*TaxRate,0))-IF(0=0,O51,0))</f>
        <v/>
      </c>
      <c r="T51" s="29">
        <f>IF(A51="","",((K51)*(IF(M51="",L51,IFERROR(IF(INDEX(Variablen!$I:$AT, MATCH(M51, Variablen!$A:$A, 0), MATCH((YEAR(D51)+1), Variablen!$I$3:$AT$3, 0))="",L51,INDEX(Variablen!$I:$AT, MATCH(M51, Variablen!$A:$A, 0), MATCH((YEAR(D51)+1), Variablen!$I$3:$AT$3, 0))),L51)))*(IF((YEAR(D51)+1)&lt;YEAR(E51),0,IF((YEAR(D51)+1)&gt;YEAR(E51),1,(12-MONTH(E51)+1)/12))) + (Q51)*(IF((YEAR(D51)+1)&lt;YEAR(E51),0,IF((YEAR(D51)+1)&gt;YEAR(E51),1,(12-MONTH(E51)+1)/12))))-((P51)*(IF((YEAR(D51)+1)&lt;YEAR(E51),0,IF((YEAR(D51)+1)&gt;YEAR(E51),1,(12-MONTH(E51)+1)/12))) + (R51)*(IF((YEAR(D51)+1)&lt;YEAR(E51),0,IF((YEAR(D51)+1)&gt;YEAR(E51),1,(12-MONTH(E51)+1)/12))))-(IF((((K51)*(IF(M51="",L51,IFERROR(IF(INDEX(Variablen!$I:$AT, MATCH(M51, Variablen!$A:$A, 0), MATCH((YEAR(D51)+1), Variablen!$I$3:$AT$3, 0))="",L51,INDEX(Variablen!$I:$AT, MATCH(M51, Variablen!$A:$A, 0), MATCH((YEAR(D51)+1), Variablen!$I$3:$AT$3, 0))),L51)))*(IF((YEAR(D51)+1)&lt;YEAR(E51),0,IF((YEAR(D51)+1)&gt;YEAR(E51),1,(12-MONTH(E51)+1)/12))) + (Q51)*(IF((YEAR(D51)+1)&lt;YEAR(E51),0,IF((YEAR(D51)+1)&gt;YEAR(E51),1,(12-MONTH(E51)+1)/12))))-((P51)*(IF((YEAR(D51)+1)&lt;YEAR(E51),0,IF((YEAR(D51)+1)&gt;YEAR(E51),1,(12-MONTH(E51)+1)/12))) + (R51)*(IF((YEAR(D51)+1)&lt;YEAR(E51),0,IF((YEAR(D51)+1)&gt;YEAR(E51),1,(12-MONTH(E51)+1)/12))))-(IF(OR(N51="",N51&lt;=0),0,(O51/N51)*(IF(OR(N51="",N51&lt;=0),0,IF((YEAR(D51)+1)&lt;YEAR(E51),0,IF((YEAR(D51)+1)&gt;=YEAR(E51)+N51,0,IF((YEAR(D51)+1)=YEAR(E51),(12-MONTH(E51)+1)/12,1))))))))&gt;0,(((K51)*(IF(M51="",L51,IFERROR(IF(INDEX(Variablen!$I:$AT, MATCH(M51, Variablen!$A:$A, 0), MATCH((YEAR(D51)+1), Variablen!$I$3:$AT$3, 0))="",L51,INDEX(Variablen!$I:$AT, MATCH(M51, Variablen!$A:$A, 0), MATCH((YEAR(D51)+1), Variablen!$I$3:$AT$3, 0))),L51)))*(IF((YEAR(D51)+1)&lt;YEAR(E51),0,IF((YEAR(D51)+1)&gt;YEAR(E51),1,(12-MONTH(E51)+1)/12))) + (Q51)*(IF((YEAR(D51)+1)&lt;YEAR(E51),0,IF((YEAR(D51)+1)&gt;YEAR(E51),1,(12-MONTH(E51)+1)/12))))-((P51)*(IF((YEAR(D51)+1)&lt;YEAR(E51),0,IF((YEAR(D51)+1)&gt;YEAR(E51),1,(12-MONTH(E51)+1)/12))) + (R51)*(IF((YEAR(D51)+1)&lt;YEAR(E51),0,IF((YEAR(D51)+1)&gt;YEAR(E51),1,(12-MONTH(E51)+1)/12))))-(IF(OR(N51="",N51&lt;=0),0,(O51/N51)*(IF(OR(N51="",N51&lt;=0),0,IF((YEAR(D51)+1)&lt;YEAR(E51),0,IF((YEAR(D51)+1)&gt;=YEAR(E51)+N51,0,IF((YEAR(D51)+1)=YEAR(E51),(12-MONTH(E51)+1)/12,1))))))))*TaxRate,0))-IF(1=0,O51,0))</f>
        <v/>
      </c>
      <c r="U51" s="29">
        <f>IF(A51="","",((K51)*(IF(M51="",L51,IFERROR(IF(INDEX(Variablen!$I:$AT, MATCH(M51, Variablen!$A:$A, 0), MATCH((YEAR(D51)+2), Variablen!$I$3:$AT$3, 0))="",L51,INDEX(Variablen!$I:$AT, MATCH(M51, Variablen!$A:$A, 0), MATCH((YEAR(D51)+2), Variablen!$I$3:$AT$3, 0))),L51)))*(IF((YEAR(D51)+2)&lt;YEAR(E51),0,IF((YEAR(D51)+2)&gt;YEAR(E51),1,(12-MONTH(E51)+1)/12))) + (Q51)*(IF((YEAR(D51)+2)&lt;YEAR(E51),0,IF((YEAR(D51)+2)&gt;YEAR(E51),1,(12-MONTH(E51)+1)/12))))-((P51)*(IF((YEAR(D51)+2)&lt;YEAR(E51),0,IF((YEAR(D51)+2)&gt;YEAR(E51),1,(12-MONTH(E51)+1)/12))) + (R51)*(IF((YEAR(D51)+2)&lt;YEAR(E51),0,IF((YEAR(D51)+2)&gt;YEAR(E51),1,(12-MONTH(E51)+1)/12))))-(IF((((K51)*(IF(M51="",L51,IFERROR(IF(INDEX(Variablen!$I:$AT, MATCH(M51, Variablen!$A:$A, 0), MATCH((YEAR(D51)+2), Variablen!$I$3:$AT$3, 0))="",L51,INDEX(Variablen!$I:$AT, MATCH(M51, Variablen!$A:$A, 0), MATCH((YEAR(D51)+2), Variablen!$I$3:$AT$3, 0))),L51)))*(IF((YEAR(D51)+2)&lt;YEAR(E51),0,IF((YEAR(D51)+2)&gt;YEAR(E51),1,(12-MONTH(E51)+1)/12))) + (Q51)*(IF((YEAR(D51)+2)&lt;YEAR(E51),0,IF((YEAR(D51)+2)&gt;YEAR(E51),1,(12-MONTH(E51)+1)/12))))-((P51)*(IF((YEAR(D51)+2)&lt;YEAR(E51),0,IF((YEAR(D51)+2)&gt;YEAR(E51),1,(12-MONTH(E51)+1)/12))) + (R51)*(IF((YEAR(D51)+2)&lt;YEAR(E51),0,IF((YEAR(D51)+2)&gt;YEAR(E51),1,(12-MONTH(E51)+1)/12))))-(IF(OR(N51="",N51&lt;=0),0,(O51/N51)*(IF(OR(N51="",N51&lt;=0),0,IF((YEAR(D51)+2)&lt;YEAR(E51),0,IF((YEAR(D51)+2)&gt;=YEAR(E51)+N51,0,IF((YEAR(D51)+2)=YEAR(E51),(12-MONTH(E51)+1)/12,1))))))))&gt;0,(((K51)*(IF(M51="",L51,IFERROR(IF(INDEX(Variablen!$I:$AT, MATCH(M51, Variablen!$A:$A, 0), MATCH((YEAR(D51)+2), Variablen!$I$3:$AT$3, 0))="",L51,INDEX(Variablen!$I:$AT, MATCH(M51, Variablen!$A:$A, 0), MATCH((YEAR(D51)+2), Variablen!$I$3:$AT$3, 0))),L51)))*(IF((YEAR(D51)+2)&lt;YEAR(E51),0,IF((YEAR(D51)+2)&gt;YEAR(E51),1,(12-MONTH(E51)+1)/12))) + (Q51)*(IF((YEAR(D51)+2)&lt;YEAR(E51),0,IF((YEAR(D51)+2)&gt;YEAR(E51),1,(12-MONTH(E51)+1)/12))))-((P51)*(IF((YEAR(D51)+2)&lt;YEAR(E51),0,IF((YEAR(D51)+2)&gt;YEAR(E51),1,(12-MONTH(E51)+1)/12))) + (R51)*(IF((YEAR(D51)+2)&lt;YEAR(E51),0,IF((YEAR(D51)+2)&gt;YEAR(E51),1,(12-MONTH(E51)+1)/12))))-(IF(OR(N51="",N51&lt;=0),0,(O51/N51)*(IF(OR(N51="",N51&lt;=0),0,IF((YEAR(D51)+2)&lt;YEAR(E51),0,IF((YEAR(D51)+2)&gt;=YEAR(E51)+N51,0,IF((YEAR(D51)+2)=YEAR(E51),(12-MONTH(E51)+1)/12,1))))))))*TaxRate,0))-IF(2=0,O51,0))</f>
        <v/>
      </c>
      <c r="V51" s="29">
        <f>IF(A51="","",((K51)*(IF(M51="",L51,IFERROR(IF(INDEX(Variablen!$I:$AT, MATCH(M51, Variablen!$A:$A, 0), MATCH((YEAR(D51)+3), Variablen!$I$3:$AT$3, 0))="",L51,INDEX(Variablen!$I:$AT, MATCH(M51, Variablen!$A:$A, 0), MATCH((YEAR(D51)+3), Variablen!$I$3:$AT$3, 0))),L51)))*(IF((YEAR(D51)+3)&lt;YEAR(E51),0,IF((YEAR(D51)+3)&gt;YEAR(E51),1,(12-MONTH(E51)+1)/12))) + (Q51)*(IF((YEAR(D51)+3)&lt;YEAR(E51),0,IF((YEAR(D51)+3)&gt;YEAR(E51),1,(12-MONTH(E51)+1)/12))))-((P51)*(IF((YEAR(D51)+3)&lt;YEAR(E51),0,IF((YEAR(D51)+3)&gt;YEAR(E51),1,(12-MONTH(E51)+1)/12))) + (R51)*(IF((YEAR(D51)+3)&lt;YEAR(E51),0,IF((YEAR(D51)+3)&gt;YEAR(E51),1,(12-MONTH(E51)+1)/12))))-(IF((((K51)*(IF(M51="",L51,IFERROR(IF(INDEX(Variablen!$I:$AT, MATCH(M51, Variablen!$A:$A, 0), MATCH((YEAR(D51)+3), Variablen!$I$3:$AT$3, 0))="",L51,INDEX(Variablen!$I:$AT, MATCH(M51, Variablen!$A:$A, 0), MATCH((YEAR(D51)+3), Variablen!$I$3:$AT$3, 0))),L51)))*(IF((YEAR(D51)+3)&lt;YEAR(E51),0,IF((YEAR(D51)+3)&gt;YEAR(E51),1,(12-MONTH(E51)+1)/12))) + (Q51)*(IF((YEAR(D51)+3)&lt;YEAR(E51),0,IF((YEAR(D51)+3)&gt;YEAR(E51),1,(12-MONTH(E51)+1)/12))))-((P51)*(IF((YEAR(D51)+3)&lt;YEAR(E51),0,IF((YEAR(D51)+3)&gt;YEAR(E51),1,(12-MONTH(E51)+1)/12))) + (R51)*(IF((YEAR(D51)+3)&lt;YEAR(E51),0,IF((YEAR(D51)+3)&gt;YEAR(E51),1,(12-MONTH(E51)+1)/12))))-(IF(OR(N51="",N51&lt;=0),0,(O51/N51)*(IF(OR(N51="",N51&lt;=0),0,IF((YEAR(D51)+3)&lt;YEAR(E51),0,IF((YEAR(D51)+3)&gt;=YEAR(E51)+N51,0,IF((YEAR(D51)+3)=YEAR(E51),(12-MONTH(E51)+1)/12,1))))))))&gt;0,(((K51)*(IF(M51="",L51,IFERROR(IF(INDEX(Variablen!$I:$AT, MATCH(M51, Variablen!$A:$A, 0), MATCH((YEAR(D51)+3), Variablen!$I$3:$AT$3, 0))="",L51,INDEX(Variablen!$I:$AT, MATCH(M51, Variablen!$A:$A, 0), MATCH((YEAR(D51)+3), Variablen!$I$3:$AT$3, 0))),L51)))*(IF((YEAR(D51)+3)&lt;YEAR(E51),0,IF((YEAR(D51)+3)&gt;YEAR(E51),1,(12-MONTH(E51)+1)/12))) + (Q51)*(IF((YEAR(D51)+3)&lt;YEAR(E51),0,IF((YEAR(D51)+3)&gt;YEAR(E51),1,(12-MONTH(E51)+1)/12))))-((P51)*(IF((YEAR(D51)+3)&lt;YEAR(E51),0,IF((YEAR(D51)+3)&gt;YEAR(E51),1,(12-MONTH(E51)+1)/12))) + (R51)*(IF((YEAR(D51)+3)&lt;YEAR(E51),0,IF((YEAR(D51)+3)&gt;YEAR(E51),1,(12-MONTH(E51)+1)/12))))-(IF(OR(N51="",N51&lt;=0),0,(O51/N51)*(IF(OR(N51="",N51&lt;=0),0,IF((YEAR(D51)+3)&lt;YEAR(E51),0,IF((YEAR(D51)+3)&gt;=YEAR(E51)+N51,0,IF((YEAR(D51)+3)=YEAR(E51),(12-MONTH(E51)+1)/12,1))))))))*TaxRate,0))-IF(3=0,O51,0))</f>
        <v/>
      </c>
      <c r="W51" s="29">
        <f>IF(A51="","",((K51)*(IF(M51="",L51,IFERROR(IF(INDEX(Variablen!$I:$AT, MATCH(M51, Variablen!$A:$A, 0), MATCH((YEAR(D51)+4), Variablen!$I$3:$AT$3, 0))="",L51,INDEX(Variablen!$I:$AT, MATCH(M51, Variablen!$A:$A, 0), MATCH((YEAR(D51)+4), Variablen!$I$3:$AT$3, 0))),L51)))*(IF((YEAR(D51)+4)&lt;YEAR(E51),0,IF((YEAR(D51)+4)&gt;YEAR(E51),1,(12-MONTH(E51)+1)/12))) + (Q51)*(IF((YEAR(D51)+4)&lt;YEAR(E51),0,IF((YEAR(D51)+4)&gt;YEAR(E51),1,(12-MONTH(E51)+1)/12))))-((P51)*(IF((YEAR(D51)+4)&lt;YEAR(E51),0,IF((YEAR(D51)+4)&gt;YEAR(E51),1,(12-MONTH(E51)+1)/12))) + (R51)*(IF((YEAR(D51)+4)&lt;YEAR(E51),0,IF((YEAR(D51)+4)&gt;YEAR(E51),1,(12-MONTH(E51)+1)/12))))-(IF((((K51)*(IF(M51="",L51,IFERROR(IF(INDEX(Variablen!$I:$AT, MATCH(M51, Variablen!$A:$A, 0), MATCH((YEAR(D51)+4), Variablen!$I$3:$AT$3, 0))="",L51,INDEX(Variablen!$I:$AT, MATCH(M51, Variablen!$A:$A, 0), MATCH((YEAR(D51)+4), Variablen!$I$3:$AT$3, 0))),L51)))*(IF((YEAR(D51)+4)&lt;YEAR(E51),0,IF((YEAR(D51)+4)&gt;YEAR(E51),1,(12-MONTH(E51)+1)/12))) + (Q51)*(IF((YEAR(D51)+4)&lt;YEAR(E51),0,IF((YEAR(D51)+4)&gt;YEAR(E51),1,(12-MONTH(E51)+1)/12))))-((P51)*(IF((YEAR(D51)+4)&lt;YEAR(E51),0,IF((YEAR(D51)+4)&gt;YEAR(E51),1,(12-MONTH(E51)+1)/12))) + (R51)*(IF((YEAR(D51)+4)&lt;YEAR(E51),0,IF((YEAR(D51)+4)&gt;YEAR(E51),1,(12-MONTH(E51)+1)/12))))-(IF(OR(N51="",N51&lt;=0),0,(O51/N51)*(IF(OR(N51="",N51&lt;=0),0,IF((YEAR(D51)+4)&lt;YEAR(E51),0,IF((YEAR(D51)+4)&gt;=YEAR(E51)+N51,0,IF((YEAR(D51)+4)=YEAR(E51),(12-MONTH(E51)+1)/12,1))))))))&gt;0,(((K51)*(IF(M51="",L51,IFERROR(IF(INDEX(Variablen!$I:$AT, MATCH(M51, Variablen!$A:$A, 0), MATCH((YEAR(D51)+4), Variablen!$I$3:$AT$3, 0))="",L51,INDEX(Variablen!$I:$AT, MATCH(M51, Variablen!$A:$A, 0), MATCH((YEAR(D51)+4), Variablen!$I$3:$AT$3, 0))),L51)))*(IF((YEAR(D51)+4)&lt;YEAR(E51),0,IF((YEAR(D51)+4)&gt;YEAR(E51),1,(12-MONTH(E51)+1)/12))) + (Q51)*(IF((YEAR(D51)+4)&lt;YEAR(E51),0,IF((YEAR(D51)+4)&gt;YEAR(E51),1,(12-MONTH(E51)+1)/12))))-((P51)*(IF((YEAR(D51)+4)&lt;YEAR(E51),0,IF((YEAR(D51)+4)&gt;YEAR(E51),1,(12-MONTH(E51)+1)/12))) + (R51)*(IF((YEAR(D51)+4)&lt;YEAR(E51),0,IF((YEAR(D51)+4)&gt;YEAR(E51),1,(12-MONTH(E51)+1)/12))))-(IF(OR(N51="",N51&lt;=0),0,(O51/N51)*(IF(OR(N51="",N51&lt;=0),0,IF((YEAR(D51)+4)&lt;YEAR(E51),0,IF((YEAR(D51)+4)&gt;=YEAR(E51)+N51,0,IF((YEAR(D51)+4)=YEAR(E51),(12-MONTH(E51)+1)/12,1))))))))*TaxRate,0))-IF(4=0,O51,0))</f>
        <v/>
      </c>
      <c r="X51" s="29">
        <f>IF(A51="","",((K51)*(IF(M51="",L51,IFERROR(IF(INDEX(Variablen!$I:$AT, MATCH(M51, Variablen!$A:$A, 0), MATCH((YEAR(D51)+5), Variablen!$I$3:$AT$3, 0))="",L51,INDEX(Variablen!$I:$AT, MATCH(M51, Variablen!$A:$A, 0), MATCH((YEAR(D51)+5), Variablen!$I$3:$AT$3, 0))),L51)))*(IF((YEAR(D51)+5)&lt;YEAR(E51),0,IF((YEAR(D51)+5)&gt;YEAR(E51),1,(12-MONTH(E51)+1)/12))) + (Q51)*(IF((YEAR(D51)+5)&lt;YEAR(E51),0,IF((YEAR(D51)+5)&gt;YEAR(E51),1,(12-MONTH(E51)+1)/12))))-((P51)*(IF((YEAR(D51)+5)&lt;YEAR(E51),0,IF((YEAR(D51)+5)&gt;YEAR(E51),1,(12-MONTH(E51)+1)/12))) + (R51)*(IF((YEAR(D51)+5)&lt;YEAR(E51),0,IF((YEAR(D51)+5)&gt;YEAR(E51),1,(12-MONTH(E51)+1)/12))))-(IF((((K51)*(IF(M51="",L51,IFERROR(IF(INDEX(Variablen!$I:$AT, MATCH(M51, Variablen!$A:$A, 0), MATCH((YEAR(D51)+5), Variablen!$I$3:$AT$3, 0))="",L51,INDEX(Variablen!$I:$AT, MATCH(M51, Variablen!$A:$A, 0), MATCH((YEAR(D51)+5), Variablen!$I$3:$AT$3, 0))),L51)))*(IF((YEAR(D51)+5)&lt;YEAR(E51),0,IF((YEAR(D51)+5)&gt;YEAR(E51),1,(12-MONTH(E51)+1)/12))) + (Q51)*(IF((YEAR(D51)+5)&lt;YEAR(E51),0,IF((YEAR(D51)+5)&gt;YEAR(E51),1,(12-MONTH(E51)+1)/12))))-((P51)*(IF((YEAR(D51)+5)&lt;YEAR(E51),0,IF((YEAR(D51)+5)&gt;YEAR(E51),1,(12-MONTH(E51)+1)/12))) + (R51)*(IF((YEAR(D51)+5)&lt;YEAR(E51),0,IF((YEAR(D51)+5)&gt;YEAR(E51),1,(12-MONTH(E51)+1)/12))))-(IF(OR(N51="",N51&lt;=0),0,(O51/N51)*(IF(OR(N51="",N51&lt;=0),0,IF((YEAR(D51)+5)&lt;YEAR(E51),0,IF((YEAR(D51)+5)&gt;=YEAR(E51)+N51,0,IF((YEAR(D51)+5)=YEAR(E51),(12-MONTH(E51)+1)/12,1))))))))&gt;0,(((K51)*(IF(M51="",L51,IFERROR(IF(INDEX(Variablen!$I:$AT, MATCH(M51, Variablen!$A:$A, 0), MATCH((YEAR(D51)+5), Variablen!$I$3:$AT$3, 0))="",L51,INDEX(Variablen!$I:$AT, MATCH(M51, Variablen!$A:$A, 0), MATCH((YEAR(D51)+5), Variablen!$I$3:$AT$3, 0))),L51)))*(IF((YEAR(D51)+5)&lt;YEAR(E51),0,IF((YEAR(D51)+5)&gt;YEAR(E51),1,(12-MONTH(E51)+1)/12))) + (Q51)*(IF((YEAR(D51)+5)&lt;YEAR(E51),0,IF((YEAR(D51)+5)&gt;YEAR(E51),1,(12-MONTH(E51)+1)/12))))-((P51)*(IF((YEAR(D51)+5)&lt;YEAR(E51),0,IF((YEAR(D51)+5)&gt;YEAR(E51),1,(12-MONTH(E51)+1)/12))) + (R51)*(IF((YEAR(D51)+5)&lt;YEAR(E51),0,IF((YEAR(D51)+5)&gt;YEAR(E51),1,(12-MONTH(E51)+1)/12))))-(IF(OR(N51="",N51&lt;=0),0,(O51/N51)*(IF(OR(N51="",N51&lt;=0),0,IF((YEAR(D51)+5)&lt;YEAR(E51),0,IF((YEAR(D51)+5)&gt;=YEAR(E51)+N51,0,IF((YEAR(D51)+5)=YEAR(E51),(12-MONTH(E51)+1)/12,1))))))))*TaxRate,0))-IF(5=0,O51,0))</f>
        <v/>
      </c>
      <c r="Y51" s="29">
        <f>IF(A51="","",((K51)*(IF(M51="",L51,IFERROR(IF(INDEX(Variablen!$I:$AT, MATCH(M51, Variablen!$A:$A, 0), MATCH((YEAR(D51)+6), Variablen!$I$3:$AT$3, 0))="",L51,INDEX(Variablen!$I:$AT, MATCH(M51, Variablen!$A:$A, 0), MATCH((YEAR(D51)+6), Variablen!$I$3:$AT$3, 0))),L51)))*(IF((YEAR(D51)+6)&lt;YEAR(E51),0,IF((YEAR(D51)+6)&gt;YEAR(E51),1,(12-MONTH(E51)+1)/12))) + (Q51)*(IF((YEAR(D51)+6)&lt;YEAR(E51),0,IF((YEAR(D51)+6)&gt;YEAR(E51),1,(12-MONTH(E51)+1)/12))))-((P51)*(IF((YEAR(D51)+6)&lt;YEAR(E51),0,IF((YEAR(D51)+6)&gt;YEAR(E51),1,(12-MONTH(E51)+1)/12))) + (R51)*(IF((YEAR(D51)+6)&lt;YEAR(E51),0,IF((YEAR(D51)+6)&gt;YEAR(E51),1,(12-MONTH(E51)+1)/12))))-(IF((((K51)*(IF(M51="",L51,IFERROR(IF(INDEX(Variablen!$I:$AT, MATCH(M51, Variablen!$A:$A, 0), MATCH((YEAR(D51)+6), Variablen!$I$3:$AT$3, 0))="",L51,INDEX(Variablen!$I:$AT, MATCH(M51, Variablen!$A:$A, 0), MATCH((YEAR(D51)+6), Variablen!$I$3:$AT$3, 0))),L51)))*(IF((YEAR(D51)+6)&lt;YEAR(E51),0,IF((YEAR(D51)+6)&gt;YEAR(E51),1,(12-MONTH(E51)+1)/12))) + (Q51)*(IF((YEAR(D51)+6)&lt;YEAR(E51),0,IF((YEAR(D51)+6)&gt;YEAR(E51),1,(12-MONTH(E51)+1)/12))))-((P51)*(IF((YEAR(D51)+6)&lt;YEAR(E51),0,IF((YEAR(D51)+6)&gt;YEAR(E51),1,(12-MONTH(E51)+1)/12))) + (R51)*(IF((YEAR(D51)+6)&lt;YEAR(E51),0,IF((YEAR(D51)+6)&gt;YEAR(E51),1,(12-MONTH(E51)+1)/12))))-(IF(OR(N51="",N51&lt;=0),0,(O51/N51)*(IF(OR(N51="",N51&lt;=0),0,IF((YEAR(D51)+6)&lt;YEAR(E51),0,IF((YEAR(D51)+6)&gt;=YEAR(E51)+N51,0,IF((YEAR(D51)+6)=YEAR(E51),(12-MONTH(E51)+1)/12,1))))))))&gt;0,(((K51)*(IF(M51="",L51,IFERROR(IF(INDEX(Variablen!$I:$AT, MATCH(M51, Variablen!$A:$A, 0), MATCH((YEAR(D51)+6), Variablen!$I$3:$AT$3, 0))="",L51,INDEX(Variablen!$I:$AT, MATCH(M51, Variablen!$A:$A, 0), MATCH((YEAR(D51)+6), Variablen!$I$3:$AT$3, 0))),L51)))*(IF((YEAR(D51)+6)&lt;YEAR(E51),0,IF((YEAR(D51)+6)&gt;YEAR(E51),1,(12-MONTH(E51)+1)/12))) + (Q51)*(IF((YEAR(D51)+6)&lt;YEAR(E51),0,IF((YEAR(D51)+6)&gt;YEAR(E51),1,(12-MONTH(E51)+1)/12))))-((P51)*(IF((YEAR(D51)+6)&lt;YEAR(E51),0,IF((YEAR(D51)+6)&gt;YEAR(E51),1,(12-MONTH(E51)+1)/12))) + (R51)*(IF((YEAR(D51)+6)&lt;YEAR(E51),0,IF((YEAR(D51)+6)&gt;YEAR(E51),1,(12-MONTH(E51)+1)/12))))-(IF(OR(N51="",N51&lt;=0),0,(O51/N51)*(IF(OR(N51="",N51&lt;=0),0,IF((YEAR(D51)+6)&lt;YEAR(E51),0,IF((YEAR(D51)+6)&gt;=YEAR(E51)+N51,0,IF((YEAR(D51)+6)=YEAR(E51),(12-MONTH(E51)+1)/12,1))))))))*TaxRate,0))-IF(6=0,O51,0))</f>
        <v/>
      </c>
      <c r="Z51" s="29">
        <f>IF(A51="","",((K51)*(IF(M51="",L51,IFERROR(IF(INDEX(Variablen!$I:$AT, MATCH(M51, Variablen!$A:$A, 0), MATCH((YEAR(D51)+7), Variablen!$I$3:$AT$3, 0))="",L51,INDEX(Variablen!$I:$AT, MATCH(M51, Variablen!$A:$A, 0), MATCH((YEAR(D51)+7), Variablen!$I$3:$AT$3, 0))),L51)))*(IF((YEAR(D51)+7)&lt;YEAR(E51),0,IF((YEAR(D51)+7)&gt;YEAR(E51),1,(12-MONTH(E51)+1)/12))) + (Q51)*(IF((YEAR(D51)+7)&lt;YEAR(E51),0,IF((YEAR(D51)+7)&gt;YEAR(E51),1,(12-MONTH(E51)+1)/12))))-((P51)*(IF((YEAR(D51)+7)&lt;YEAR(E51),0,IF((YEAR(D51)+7)&gt;YEAR(E51),1,(12-MONTH(E51)+1)/12))) + (R51)*(IF((YEAR(D51)+7)&lt;YEAR(E51),0,IF((YEAR(D51)+7)&gt;YEAR(E51),1,(12-MONTH(E51)+1)/12))))-(IF((((K51)*(IF(M51="",L51,IFERROR(IF(INDEX(Variablen!$I:$AT, MATCH(M51, Variablen!$A:$A, 0), MATCH((YEAR(D51)+7), Variablen!$I$3:$AT$3, 0))="",L51,INDEX(Variablen!$I:$AT, MATCH(M51, Variablen!$A:$A, 0), MATCH((YEAR(D51)+7), Variablen!$I$3:$AT$3, 0))),L51)))*(IF((YEAR(D51)+7)&lt;YEAR(E51),0,IF((YEAR(D51)+7)&gt;YEAR(E51),1,(12-MONTH(E51)+1)/12))) + (Q51)*(IF((YEAR(D51)+7)&lt;YEAR(E51),0,IF((YEAR(D51)+7)&gt;YEAR(E51),1,(12-MONTH(E51)+1)/12))))-((P51)*(IF((YEAR(D51)+7)&lt;YEAR(E51),0,IF((YEAR(D51)+7)&gt;YEAR(E51),1,(12-MONTH(E51)+1)/12))) + (R51)*(IF((YEAR(D51)+7)&lt;YEAR(E51),0,IF((YEAR(D51)+7)&gt;YEAR(E51),1,(12-MONTH(E51)+1)/12))))-(IF(OR(N51="",N51&lt;=0),0,(O51/N51)*(IF(OR(N51="",N51&lt;=0),0,IF((YEAR(D51)+7)&lt;YEAR(E51),0,IF((YEAR(D51)+7)&gt;=YEAR(E51)+N51,0,IF((YEAR(D51)+7)=YEAR(E51),(12-MONTH(E51)+1)/12,1))))))))&gt;0,(((K51)*(IF(M51="",L51,IFERROR(IF(INDEX(Variablen!$I:$AT, MATCH(M51, Variablen!$A:$A, 0), MATCH((YEAR(D51)+7), Variablen!$I$3:$AT$3, 0))="",L51,INDEX(Variablen!$I:$AT, MATCH(M51, Variablen!$A:$A, 0), MATCH((YEAR(D51)+7), Variablen!$I$3:$AT$3, 0))),L51)))*(IF((YEAR(D51)+7)&lt;YEAR(E51),0,IF((YEAR(D51)+7)&gt;YEAR(E51),1,(12-MONTH(E51)+1)/12))) + (Q51)*(IF((YEAR(D51)+7)&lt;YEAR(E51),0,IF((YEAR(D51)+7)&gt;YEAR(E51),1,(12-MONTH(E51)+1)/12))))-((P51)*(IF((YEAR(D51)+7)&lt;YEAR(E51),0,IF((YEAR(D51)+7)&gt;YEAR(E51),1,(12-MONTH(E51)+1)/12))) + (R51)*(IF((YEAR(D51)+7)&lt;YEAR(E51),0,IF((YEAR(D51)+7)&gt;YEAR(E51),1,(12-MONTH(E51)+1)/12))))-(IF(OR(N51="",N51&lt;=0),0,(O51/N51)*(IF(OR(N51="",N51&lt;=0),0,IF((YEAR(D51)+7)&lt;YEAR(E51),0,IF((YEAR(D51)+7)&gt;=YEAR(E51)+N51,0,IF((YEAR(D51)+7)=YEAR(E51),(12-MONTH(E51)+1)/12,1))))))))*TaxRate,0))-IF(7=0,O51,0))</f>
        <v/>
      </c>
      <c r="AA51" s="29">
        <f>IF(A51="","",((K51)*(IF(M51="",L51,IFERROR(IF(INDEX(Variablen!$I:$AT, MATCH(M51, Variablen!$A:$A, 0), MATCH((YEAR(D51)+8), Variablen!$I$3:$AT$3, 0))="",L51,INDEX(Variablen!$I:$AT, MATCH(M51, Variablen!$A:$A, 0), MATCH((YEAR(D51)+8), Variablen!$I$3:$AT$3, 0))),L51)))*(IF((YEAR(D51)+8)&lt;YEAR(E51),0,IF((YEAR(D51)+8)&gt;YEAR(E51),1,(12-MONTH(E51)+1)/12))) + (Q51)*(IF((YEAR(D51)+8)&lt;YEAR(E51),0,IF((YEAR(D51)+8)&gt;YEAR(E51),1,(12-MONTH(E51)+1)/12))))-((P51)*(IF((YEAR(D51)+8)&lt;YEAR(E51),0,IF((YEAR(D51)+8)&gt;YEAR(E51),1,(12-MONTH(E51)+1)/12))) + (R51)*(IF((YEAR(D51)+8)&lt;YEAR(E51),0,IF((YEAR(D51)+8)&gt;YEAR(E51),1,(12-MONTH(E51)+1)/12))))-(IF((((K51)*(IF(M51="",L51,IFERROR(IF(INDEX(Variablen!$I:$AT, MATCH(M51, Variablen!$A:$A, 0), MATCH((YEAR(D51)+8), Variablen!$I$3:$AT$3, 0))="",L51,INDEX(Variablen!$I:$AT, MATCH(M51, Variablen!$A:$A, 0), MATCH((YEAR(D51)+8), Variablen!$I$3:$AT$3, 0))),L51)))*(IF((YEAR(D51)+8)&lt;YEAR(E51),0,IF((YEAR(D51)+8)&gt;YEAR(E51),1,(12-MONTH(E51)+1)/12))) + (Q51)*(IF((YEAR(D51)+8)&lt;YEAR(E51),0,IF((YEAR(D51)+8)&gt;YEAR(E51),1,(12-MONTH(E51)+1)/12))))-((P51)*(IF((YEAR(D51)+8)&lt;YEAR(E51),0,IF((YEAR(D51)+8)&gt;YEAR(E51),1,(12-MONTH(E51)+1)/12))) + (R51)*(IF((YEAR(D51)+8)&lt;YEAR(E51),0,IF((YEAR(D51)+8)&gt;YEAR(E51),1,(12-MONTH(E51)+1)/12))))-(IF(OR(N51="",N51&lt;=0),0,(O51/N51)*(IF(OR(N51="",N51&lt;=0),0,IF((YEAR(D51)+8)&lt;YEAR(E51),0,IF((YEAR(D51)+8)&gt;=YEAR(E51)+N51,0,IF((YEAR(D51)+8)=YEAR(E51),(12-MONTH(E51)+1)/12,1))))))))&gt;0,(((K51)*(IF(M51="",L51,IFERROR(IF(INDEX(Variablen!$I:$AT, MATCH(M51, Variablen!$A:$A, 0), MATCH((YEAR(D51)+8), Variablen!$I$3:$AT$3, 0))="",L51,INDEX(Variablen!$I:$AT, MATCH(M51, Variablen!$A:$A, 0), MATCH((YEAR(D51)+8), Variablen!$I$3:$AT$3, 0))),L51)))*(IF((YEAR(D51)+8)&lt;YEAR(E51),0,IF((YEAR(D51)+8)&gt;YEAR(E51),1,(12-MONTH(E51)+1)/12))) + (Q51)*(IF((YEAR(D51)+8)&lt;YEAR(E51),0,IF((YEAR(D51)+8)&gt;YEAR(E51),1,(12-MONTH(E51)+1)/12))))-((P51)*(IF((YEAR(D51)+8)&lt;YEAR(E51),0,IF((YEAR(D51)+8)&gt;YEAR(E51),1,(12-MONTH(E51)+1)/12))) + (R51)*(IF((YEAR(D51)+8)&lt;YEAR(E51),0,IF((YEAR(D51)+8)&gt;YEAR(E51),1,(12-MONTH(E51)+1)/12))))-(IF(OR(N51="",N51&lt;=0),0,(O51/N51)*(IF(OR(N51="",N51&lt;=0),0,IF((YEAR(D51)+8)&lt;YEAR(E51),0,IF((YEAR(D51)+8)&gt;=YEAR(E51)+N51,0,IF((YEAR(D51)+8)=YEAR(E51),(12-MONTH(E51)+1)/12,1))))))))*TaxRate,0))-IF(8=0,O51,0))</f>
        <v/>
      </c>
      <c r="AB51" s="29">
        <f>IF(A51="","",((K51)*(IF(M51="",L51,IFERROR(IF(INDEX(Variablen!$I:$AT, MATCH(M51, Variablen!$A:$A, 0), MATCH((YEAR(D51)+9), Variablen!$I$3:$AT$3, 0))="",L51,INDEX(Variablen!$I:$AT, MATCH(M51, Variablen!$A:$A, 0), MATCH((YEAR(D51)+9), Variablen!$I$3:$AT$3, 0))),L51)))*(IF((YEAR(D51)+9)&lt;YEAR(E51),0,IF((YEAR(D51)+9)&gt;YEAR(E51),1,(12-MONTH(E51)+1)/12))) + (Q51)*(IF((YEAR(D51)+9)&lt;YEAR(E51),0,IF((YEAR(D51)+9)&gt;YEAR(E51),1,(12-MONTH(E51)+1)/12))))-((P51)*(IF((YEAR(D51)+9)&lt;YEAR(E51),0,IF((YEAR(D51)+9)&gt;YEAR(E51),1,(12-MONTH(E51)+1)/12))) + (R51)*(IF((YEAR(D51)+9)&lt;YEAR(E51),0,IF((YEAR(D51)+9)&gt;YEAR(E51),1,(12-MONTH(E51)+1)/12))))-(IF((((K51)*(IF(M51="",L51,IFERROR(IF(INDEX(Variablen!$I:$AT, MATCH(M51, Variablen!$A:$A, 0), MATCH((YEAR(D51)+9), Variablen!$I$3:$AT$3, 0))="",L51,INDEX(Variablen!$I:$AT, MATCH(M51, Variablen!$A:$A, 0), MATCH((YEAR(D51)+9), Variablen!$I$3:$AT$3, 0))),L51)))*(IF((YEAR(D51)+9)&lt;YEAR(E51),0,IF((YEAR(D51)+9)&gt;YEAR(E51),1,(12-MONTH(E51)+1)/12))) + (Q51)*(IF((YEAR(D51)+9)&lt;YEAR(E51),0,IF((YEAR(D51)+9)&gt;YEAR(E51),1,(12-MONTH(E51)+1)/12))))-((P51)*(IF((YEAR(D51)+9)&lt;YEAR(E51),0,IF((YEAR(D51)+9)&gt;YEAR(E51),1,(12-MONTH(E51)+1)/12))) + (R51)*(IF((YEAR(D51)+9)&lt;YEAR(E51),0,IF((YEAR(D51)+9)&gt;YEAR(E51),1,(12-MONTH(E51)+1)/12))))-(IF(OR(N51="",N51&lt;=0),0,(O51/N51)*(IF(OR(N51="",N51&lt;=0),0,IF((YEAR(D51)+9)&lt;YEAR(E51),0,IF((YEAR(D51)+9)&gt;=YEAR(E51)+N51,0,IF((YEAR(D51)+9)=YEAR(E51),(12-MONTH(E51)+1)/12,1))))))))&gt;0,(((K51)*(IF(M51="",L51,IFERROR(IF(INDEX(Variablen!$I:$AT, MATCH(M51, Variablen!$A:$A, 0), MATCH((YEAR(D51)+9), Variablen!$I$3:$AT$3, 0))="",L51,INDEX(Variablen!$I:$AT, MATCH(M51, Variablen!$A:$A, 0), MATCH((YEAR(D51)+9), Variablen!$I$3:$AT$3, 0))),L51)))*(IF((YEAR(D51)+9)&lt;YEAR(E51),0,IF((YEAR(D51)+9)&gt;YEAR(E51),1,(12-MONTH(E51)+1)/12))) + (Q51)*(IF((YEAR(D51)+9)&lt;YEAR(E51),0,IF((YEAR(D51)+9)&gt;YEAR(E51),1,(12-MONTH(E51)+1)/12))))-((P51)*(IF((YEAR(D51)+9)&lt;YEAR(E51),0,IF((YEAR(D51)+9)&gt;YEAR(E51),1,(12-MONTH(E51)+1)/12))) + (R51)*(IF((YEAR(D51)+9)&lt;YEAR(E51),0,IF((YEAR(D51)+9)&gt;YEAR(E51),1,(12-MONTH(E51)+1)/12))))-(IF(OR(N51="",N51&lt;=0),0,(O51/N51)*(IF(OR(N51="",N51&lt;=0),0,IF((YEAR(D51)+9)&lt;YEAR(E51),0,IF((YEAR(D51)+9)&gt;=YEAR(E51)+N51,0,IF((YEAR(D51)+9)=YEAR(E51),(12-MONTH(E51)+1)/12,1))))))))*TaxRate,0))-IF(9=0,O51,0))</f>
        <v/>
      </c>
      <c r="AC51" s="29">
        <f>IF(A51="","",((K51)*(IF(M51="",L51,IFERROR(IF(INDEX(Variablen!$I:$AT, MATCH(M51, Variablen!$A:$A, 0), MATCH((YEAR(D51)+10), Variablen!$I$3:$AT$3, 0))="",L51,INDEX(Variablen!$I:$AT, MATCH(M51, Variablen!$A:$A, 0), MATCH((YEAR(D51)+10), Variablen!$I$3:$AT$3, 0))),L51)))*(IF((YEAR(D51)+10)&lt;YEAR(E51),0,IF((YEAR(D51)+10)&gt;YEAR(E51),1,(12-MONTH(E51)+1)/12))) + (Q51)*(IF((YEAR(D51)+10)&lt;YEAR(E51),0,IF((YEAR(D51)+10)&gt;YEAR(E51),1,(12-MONTH(E51)+1)/12))))-((P51)*(IF((YEAR(D51)+10)&lt;YEAR(E51),0,IF((YEAR(D51)+10)&gt;YEAR(E51),1,(12-MONTH(E51)+1)/12))) + (R51)*(IF((YEAR(D51)+10)&lt;YEAR(E51),0,IF((YEAR(D51)+10)&gt;YEAR(E51),1,(12-MONTH(E51)+1)/12))))-(IF((((K51)*(IF(M51="",L51,IFERROR(IF(INDEX(Variablen!$I:$AT, MATCH(M51, Variablen!$A:$A, 0), MATCH((YEAR(D51)+10), Variablen!$I$3:$AT$3, 0))="",L51,INDEX(Variablen!$I:$AT, MATCH(M51, Variablen!$A:$A, 0), MATCH((YEAR(D51)+10), Variablen!$I$3:$AT$3, 0))),L51)))*(IF((YEAR(D51)+10)&lt;YEAR(E51),0,IF((YEAR(D51)+10)&gt;YEAR(E51),1,(12-MONTH(E51)+1)/12))) + (Q51)*(IF((YEAR(D51)+10)&lt;YEAR(E51),0,IF((YEAR(D51)+10)&gt;YEAR(E51),1,(12-MONTH(E51)+1)/12))))-((P51)*(IF((YEAR(D51)+10)&lt;YEAR(E51),0,IF((YEAR(D51)+10)&gt;YEAR(E51),1,(12-MONTH(E51)+1)/12))) + (R51)*(IF((YEAR(D51)+10)&lt;YEAR(E51),0,IF((YEAR(D51)+10)&gt;YEAR(E51),1,(12-MONTH(E51)+1)/12))))-(IF(OR(N51="",N51&lt;=0),0,(O51/N51)*(IF(OR(N51="",N51&lt;=0),0,IF((YEAR(D51)+10)&lt;YEAR(E51),0,IF((YEAR(D51)+10)&gt;=YEAR(E51)+N51,0,IF((YEAR(D51)+10)=YEAR(E51),(12-MONTH(E51)+1)/12,1))))))))&gt;0,(((K51)*(IF(M51="",L51,IFERROR(IF(INDEX(Variablen!$I:$AT, MATCH(M51, Variablen!$A:$A, 0), MATCH((YEAR(D51)+10), Variablen!$I$3:$AT$3, 0))="",L51,INDEX(Variablen!$I:$AT, MATCH(M51, Variablen!$A:$A, 0), MATCH((YEAR(D51)+10), Variablen!$I$3:$AT$3, 0))),L51)))*(IF((YEAR(D51)+10)&lt;YEAR(E51),0,IF((YEAR(D51)+10)&gt;YEAR(E51),1,(12-MONTH(E51)+1)/12))) + (Q51)*(IF((YEAR(D51)+10)&lt;YEAR(E51),0,IF((YEAR(D51)+10)&gt;YEAR(E51),1,(12-MONTH(E51)+1)/12))))-((P51)*(IF((YEAR(D51)+10)&lt;YEAR(E51),0,IF((YEAR(D51)+10)&gt;YEAR(E51),1,(12-MONTH(E51)+1)/12))) + (R51)*(IF((YEAR(D51)+10)&lt;YEAR(E51),0,IF((YEAR(D51)+10)&gt;YEAR(E51),1,(12-MONTH(E51)+1)/12))))-(IF(OR(N51="",N51&lt;=0),0,(O51/N51)*(IF(OR(N51="",N51&lt;=0),0,IF((YEAR(D51)+10)&lt;YEAR(E51),0,IF((YEAR(D51)+10)&gt;=YEAR(E51)+N51,0,IF((YEAR(D51)+10)=YEAR(E51),(12-MONTH(E51)+1)/12,1))))))))*TaxRate,0))-IF(10=0,O51,0))</f>
        <v/>
      </c>
      <c r="AD51" s="29">
        <f>IF(A51="","",((K51)*(IF(M51="",L51,IFERROR(IF(INDEX(Variablen!$I:$AT, MATCH(M51, Variablen!$A:$A, 0), MATCH((YEAR(D51)+11), Variablen!$I$3:$AT$3, 0))="",L51,INDEX(Variablen!$I:$AT, MATCH(M51, Variablen!$A:$A, 0), MATCH((YEAR(D51)+11), Variablen!$I$3:$AT$3, 0))),L51)))*(IF((YEAR(D51)+11)&lt;YEAR(E51),0,IF((YEAR(D51)+11)&gt;YEAR(E51),1,(12-MONTH(E51)+1)/12))) + (Q51)*(IF((YEAR(D51)+11)&lt;YEAR(E51),0,IF((YEAR(D51)+11)&gt;YEAR(E51),1,(12-MONTH(E51)+1)/12))))-((P51)*(IF((YEAR(D51)+11)&lt;YEAR(E51),0,IF((YEAR(D51)+11)&gt;YEAR(E51),1,(12-MONTH(E51)+1)/12))) + (R51)*(IF((YEAR(D51)+11)&lt;YEAR(E51),0,IF((YEAR(D51)+11)&gt;YEAR(E51),1,(12-MONTH(E51)+1)/12))))-(IF((((K51)*(IF(M51="",L51,IFERROR(IF(INDEX(Variablen!$I:$AT, MATCH(M51, Variablen!$A:$A, 0), MATCH((YEAR(D51)+11), Variablen!$I$3:$AT$3, 0))="",L51,INDEX(Variablen!$I:$AT, MATCH(M51, Variablen!$A:$A, 0), MATCH((YEAR(D51)+11), Variablen!$I$3:$AT$3, 0))),L51)))*(IF((YEAR(D51)+11)&lt;YEAR(E51),0,IF((YEAR(D51)+11)&gt;YEAR(E51),1,(12-MONTH(E51)+1)/12))) + (Q51)*(IF((YEAR(D51)+11)&lt;YEAR(E51),0,IF((YEAR(D51)+11)&gt;YEAR(E51),1,(12-MONTH(E51)+1)/12))))-((P51)*(IF((YEAR(D51)+11)&lt;YEAR(E51),0,IF((YEAR(D51)+11)&gt;YEAR(E51),1,(12-MONTH(E51)+1)/12))) + (R51)*(IF((YEAR(D51)+11)&lt;YEAR(E51),0,IF((YEAR(D51)+11)&gt;YEAR(E51),1,(12-MONTH(E51)+1)/12))))-(IF(OR(N51="",N51&lt;=0),0,(O51/N51)*(IF(OR(N51="",N51&lt;=0),0,IF((YEAR(D51)+11)&lt;YEAR(E51),0,IF((YEAR(D51)+11)&gt;=YEAR(E51)+N51,0,IF((YEAR(D51)+11)=YEAR(E51),(12-MONTH(E51)+1)/12,1))))))))&gt;0,(((K51)*(IF(M51="",L51,IFERROR(IF(INDEX(Variablen!$I:$AT, MATCH(M51, Variablen!$A:$A, 0), MATCH((YEAR(D51)+11), Variablen!$I$3:$AT$3, 0))="",L51,INDEX(Variablen!$I:$AT, MATCH(M51, Variablen!$A:$A, 0), MATCH((YEAR(D51)+11), Variablen!$I$3:$AT$3, 0))),L51)))*(IF((YEAR(D51)+11)&lt;YEAR(E51),0,IF((YEAR(D51)+11)&gt;YEAR(E51),1,(12-MONTH(E51)+1)/12))) + (Q51)*(IF((YEAR(D51)+11)&lt;YEAR(E51),0,IF((YEAR(D51)+11)&gt;YEAR(E51),1,(12-MONTH(E51)+1)/12))))-((P51)*(IF((YEAR(D51)+11)&lt;YEAR(E51),0,IF((YEAR(D51)+11)&gt;YEAR(E51),1,(12-MONTH(E51)+1)/12))) + (R51)*(IF((YEAR(D51)+11)&lt;YEAR(E51),0,IF((YEAR(D51)+11)&gt;YEAR(E51),1,(12-MONTH(E51)+1)/12))))-(IF(OR(N51="",N51&lt;=0),0,(O51/N51)*(IF(OR(N51="",N51&lt;=0),0,IF((YEAR(D51)+11)&lt;YEAR(E51),0,IF((YEAR(D51)+11)&gt;=YEAR(E51)+N51,0,IF((YEAR(D51)+11)=YEAR(E51),(12-MONTH(E51)+1)/12,1))))))))*TaxRate,0))-IF(11=0,O51,0))</f>
        <v/>
      </c>
      <c r="AE51" s="29">
        <f>IF(A51="","",((K51)*(IF(M51="",L51,IFERROR(IF(INDEX(Variablen!$I:$AT, MATCH(M51, Variablen!$A:$A, 0), MATCH((YEAR(D51)+12), Variablen!$I$3:$AT$3, 0))="",L51,INDEX(Variablen!$I:$AT, MATCH(M51, Variablen!$A:$A, 0), MATCH((YEAR(D51)+12), Variablen!$I$3:$AT$3, 0))),L51)))*(IF((YEAR(D51)+12)&lt;YEAR(E51),0,IF((YEAR(D51)+12)&gt;YEAR(E51),1,(12-MONTH(E51)+1)/12))) + (Q51)*(IF((YEAR(D51)+12)&lt;YEAR(E51),0,IF((YEAR(D51)+12)&gt;YEAR(E51),1,(12-MONTH(E51)+1)/12))))-((P51)*(IF((YEAR(D51)+12)&lt;YEAR(E51),0,IF((YEAR(D51)+12)&gt;YEAR(E51),1,(12-MONTH(E51)+1)/12))) + (R51)*(IF((YEAR(D51)+12)&lt;YEAR(E51),0,IF((YEAR(D51)+12)&gt;YEAR(E51),1,(12-MONTH(E51)+1)/12))))-(IF((((K51)*(IF(M51="",L51,IFERROR(IF(INDEX(Variablen!$I:$AT, MATCH(M51, Variablen!$A:$A, 0), MATCH((YEAR(D51)+12), Variablen!$I$3:$AT$3, 0))="",L51,INDEX(Variablen!$I:$AT, MATCH(M51, Variablen!$A:$A, 0), MATCH((YEAR(D51)+12), Variablen!$I$3:$AT$3, 0))),L51)))*(IF((YEAR(D51)+12)&lt;YEAR(E51),0,IF((YEAR(D51)+12)&gt;YEAR(E51),1,(12-MONTH(E51)+1)/12))) + (Q51)*(IF((YEAR(D51)+12)&lt;YEAR(E51),0,IF((YEAR(D51)+12)&gt;YEAR(E51),1,(12-MONTH(E51)+1)/12))))-((P51)*(IF((YEAR(D51)+12)&lt;YEAR(E51),0,IF((YEAR(D51)+12)&gt;YEAR(E51),1,(12-MONTH(E51)+1)/12))) + (R51)*(IF((YEAR(D51)+12)&lt;YEAR(E51),0,IF((YEAR(D51)+12)&gt;YEAR(E51),1,(12-MONTH(E51)+1)/12))))-(IF(OR(N51="",N51&lt;=0),0,(O51/N51)*(IF(OR(N51="",N51&lt;=0),0,IF((YEAR(D51)+12)&lt;YEAR(E51),0,IF((YEAR(D51)+12)&gt;=YEAR(E51)+N51,0,IF((YEAR(D51)+12)=YEAR(E51),(12-MONTH(E51)+1)/12,1))))))))&gt;0,(((K51)*(IF(M51="",L51,IFERROR(IF(INDEX(Variablen!$I:$AT, MATCH(M51, Variablen!$A:$A, 0), MATCH((YEAR(D51)+12), Variablen!$I$3:$AT$3, 0))="",L51,INDEX(Variablen!$I:$AT, MATCH(M51, Variablen!$A:$A, 0), MATCH((YEAR(D51)+12), Variablen!$I$3:$AT$3, 0))),L51)))*(IF((YEAR(D51)+12)&lt;YEAR(E51),0,IF((YEAR(D51)+12)&gt;YEAR(E51),1,(12-MONTH(E51)+1)/12))) + (Q51)*(IF((YEAR(D51)+12)&lt;YEAR(E51),0,IF((YEAR(D51)+12)&gt;YEAR(E51),1,(12-MONTH(E51)+1)/12))))-((P51)*(IF((YEAR(D51)+12)&lt;YEAR(E51),0,IF((YEAR(D51)+12)&gt;YEAR(E51),1,(12-MONTH(E51)+1)/12))) + (R51)*(IF((YEAR(D51)+12)&lt;YEAR(E51),0,IF((YEAR(D51)+12)&gt;YEAR(E51),1,(12-MONTH(E51)+1)/12))))-(IF(OR(N51="",N51&lt;=0),0,(O51/N51)*(IF(OR(N51="",N51&lt;=0),0,IF((YEAR(D51)+12)&lt;YEAR(E51),0,IF((YEAR(D51)+12)&gt;=YEAR(E51)+N51,0,IF((YEAR(D51)+12)=YEAR(E51),(12-MONTH(E51)+1)/12,1))))))))*TaxRate,0))-IF(12=0,O51,0))</f>
        <v/>
      </c>
      <c r="AF51" s="29">
        <f>IF(A51="","",((K51)*(IF(M51="",L51,IFERROR(IF(INDEX(Variablen!$I:$AT, MATCH(M51, Variablen!$A:$A, 0), MATCH((YEAR(D51)+13), Variablen!$I$3:$AT$3, 0))="",L51,INDEX(Variablen!$I:$AT, MATCH(M51, Variablen!$A:$A, 0), MATCH((YEAR(D51)+13), Variablen!$I$3:$AT$3, 0))),L51)))*(IF((YEAR(D51)+13)&lt;YEAR(E51),0,IF((YEAR(D51)+13)&gt;YEAR(E51),1,(12-MONTH(E51)+1)/12))) + (Q51)*(IF((YEAR(D51)+13)&lt;YEAR(E51),0,IF((YEAR(D51)+13)&gt;YEAR(E51),1,(12-MONTH(E51)+1)/12))))-((P51)*(IF((YEAR(D51)+13)&lt;YEAR(E51),0,IF((YEAR(D51)+13)&gt;YEAR(E51),1,(12-MONTH(E51)+1)/12))) + (R51)*(IF((YEAR(D51)+13)&lt;YEAR(E51),0,IF((YEAR(D51)+13)&gt;YEAR(E51),1,(12-MONTH(E51)+1)/12))))-(IF((((K51)*(IF(M51="",L51,IFERROR(IF(INDEX(Variablen!$I:$AT, MATCH(M51, Variablen!$A:$A, 0), MATCH((YEAR(D51)+13), Variablen!$I$3:$AT$3, 0))="",L51,INDEX(Variablen!$I:$AT, MATCH(M51, Variablen!$A:$A, 0), MATCH((YEAR(D51)+13), Variablen!$I$3:$AT$3, 0))),L51)))*(IF((YEAR(D51)+13)&lt;YEAR(E51),0,IF((YEAR(D51)+13)&gt;YEAR(E51),1,(12-MONTH(E51)+1)/12))) + (Q51)*(IF((YEAR(D51)+13)&lt;YEAR(E51),0,IF((YEAR(D51)+13)&gt;YEAR(E51),1,(12-MONTH(E51)+1)/12))))-((P51)*(IF((YEAR(D51)+13)&lt;YEAR(E51),0,IF((YEAR(D51)+13)&gt;YEAR(E51),1,(12-MONTH(E51)+1)/12))) + (R51)*(IF((YEAR(D51)+13)&lt;YEAR(E51),0,IF((YEAR(D51)+13)&gt;YEAR(E51),1,(12-MONTH(E51)+1)/12))))-(IF(OR(N51="",N51&lt;=0),0,(O51/N51)*(IF(OR(N51="",N51&lt;=0),0,IF((YEAR(D51)+13)&lt;YEAR(E51),0,IF((YEAR(D51)+13)&gt;=YEAR(E51)+N51,0,IF((YEAR(D51)+13)=YEAR(E51),(12-MONTH(E51)+1)/12,1))))))))&gt;0,(((K51)*(IF(M51="",L51,IFERROR(IF(INDEX(Variablen!$I:$AT, MATCH(M51, Variablen!$A:$A, 0), MATCH((YEAR(D51)+13), Variablen!$I$3:$AT$3, 0))="",L51,INDEX(Variablen!$I:$AT, MATCH(M51, Variablen!$A:$A, 0), MATCH((YEAR(D51)+13), Variablen!$I$3:$AT$3, 0))),L51)))*(IF((YEAR(D51)+13)&lt;YEAR(E51),0,IF((YEAR(D51)+13)&gt;YEAR(E51),1,(12-MONTH(E51)+1)/12))) + (Q51)*(IF((YEAR(D51)+13)&lt;YEAR(E51),0,IF((YEAR(D51)+13)&gt;YEAR(E51),1,(12-MONTH(E51)+1)/12))))-((P51)*(IF((YEAR(D51)+13)&lt;YEAR(E51),0,IF((YEAR(D51)+13)&gt;YEAR(E51),1,(12-MONTH(E51)+1)/12))) + (R51)*(IF((YEAR(D51)+13)&lt;YEAR(E51),0,IF((YEAR(D51)+13)&gt;YEAR(E51),1,(12-MONTH(E51)+1)/12))))-(IF(OR(N51="",N51&lt;=0),0,(O51/N51)*(IF(OR(N51="",N51&lt;=0),0,IF((YEAR(D51)+13)&lt;YEAR(E51),0,IF((YEAR(D51)+13)&gt;=YEAR(E51)+N51,0,IF((YEAR(D51)+13)=YEAR(E51),(12-MONTH(E51)+1)/12,1))))))))*TaxRate,0))-IF(13=0,O51,0))</f>
        <v/>
      </c>
      <c r="AG51" s="29">
        <f>IF(A51="","",((K51)*(IF(M51="",L51,IFERROR(IF(INDEX(Variablen!$I:$AT, MATCH(M51, Variablen!$A:$A, 0), MATCH((YEAR(D51)+14), Variablen!$I$3:$AT$3, 0))="",L51,INDEX(Variablen!$I:$AT, MATCH(M51, Variablen!$A:$A, 0), MATCH((YEAR(D51)+14), Variablen!$I$3:$AT$3, 0))),L51)))*(IF((YEAR(D51)+14)&lt;YEAR(E51),0,IF((YEAR(D51)+14)&gt;YEAR(E51),1,(12-MONTH(E51)+1)/12))) + (Q51)*(IF((YEAR(D51)+14)&lt;YEAR(E51),0,IF((YEAR(D51)+14)&gt;YEAR(E51),1,(12-MONTH(E51)+1)/12))))-((P51)*(IF((YEAR(D51)+14)&lt;YEAR(E51),0,IF((YEAR(D51)+14)&gt;YEAR(E51),1,(12-MONTH(E51)+1)/12))) + (R51)*(IF((YEAR(D51)+14)&lt;YEAR(E51),0,IF((YEAR(D51)+14)&gt;YEAR(E51),1,(12-MONTH(E51)+1)/12))))-(IF((((K51)*(IF(M51="",L51,IFERROR(IF(INDEX(Variablen!$I:$AT, MATCH(M51, Variablen!$A:$A, 0), MATCH((YEAR(D51)+14), Variablen!$I$3:$AT$3, 0))="",L51,INDEX(Variablen!$I:$AT, MATCH(M51, Variablen!$A:$A, 0), MATCH((YEAR(D51)+14), Variablen!$I$3:$AT$3, 0))),L51)))*(IF((YEAR(D51)+14)&lt;YEAR(E51),0,IF((YEAR(D51)+14)&gt;YEAR(E51),1,(12-MONTH(E51)+1)/12))) + (Q51)*(IF((YEAR(D51)+14)&lt;YEAR(E51),0,IF((YEAR(D51)+14)&gt;YEAR(E51),1,(12-MONTH(E51)+1)/12))))-((P51)*(IF((YEAR(D51)+14)&lt;YEAR(E51),0,IF((YEAR(D51)+14)&gt;YEAR(E51),1,(12-MONTH(E51)+1)/12))) + (R51)*(IF((YEAR(D51)+14)&lt;YEAR(E51),0,IF((YEAR(D51)+14)&gt;YEAR(E51),1,(12-MONTH(E51)+1)/12))))-(IF(OR(N51="",N51&lt;=0),0,(O51/N51)*(IF(OR(N51="",N51&lt;=0),0,IF((YEAR(D51)+14)&lt;YEAR(E51),0,IF((YEAR(D51)+14)&gt;=YEAR(E51)+N51,0,IF((YEAR(D51)+14)=YEAR(E51),(12-MONTH(E51)+1)/12,1))))))))&gt;0,(((K51)*(IF(M51="",L51,IFERROR(IF(INDEX(Variablen!$I:$AT, MATCH(M51, Variablen!$A:$A, 0), MATCH((YEAR(D51)+14), Variablen!$I$3:$AT$3, 0))="",L51,INDEX(Variablen!$I:$AT, MATCH(M51, Variablen!$A:$A, 0), MATCH((YEAR(D51)+14), Variablen!$I$3:$AT$3, 0))),L51)))*(IF((YEAR(D51)+14)&lt;YEAR(E51),0,IF((YEAR(D51)+14)&gt;YEAR(E51),1,(12-MONTH(E51)+1)/12))) + (Q51)*(IF((YEAR(D51)+14)&lt;YEAR(E51),0,IF((YEAR(D51)+14)&gt;YEAR(E51),1,(12-MONTH(E51)+1)/12))))-((P51)*(IF((YEAR(D51)+14)&lt;YEAR(E51),0,IF((YEAR(D51)+14)&gt;YEAR(E51),1,(12-MONTH(E51)+1)/12))) + (R51)*(IF((YEAR(D51)+14)&lt;YEAR(E51),0,IF((YEAR(D51)+14)&gt;YEAR(E51),1,(12-MONTH(E51)+1)/12))))-(IF(OR(N51="",N51&lt;=0),0,(O51/N51)*(IF(OR(N51="",N51&lt;=0),0,IF((YEAR(D51)+14)&lt;YEAR(E51),0,IF((YEAR(D51)+14)&gt;=YEAR(E51)+N51,0,IF((YEAR(D51)+14)=YEAR(E51),(12-MONTH(E51)+1)/12,1))))))))*TaxRate,0))-IF(14=0,O51,0))</f>
        <v/>
      </c>
      <c r="AH51" s="29">
        <f>IF(A51="","",((K51)*(IF(M51="",L51,IFERROR(IF(INDEX(Variablen!$I:$AT, MATCH(M51, Variablen!$A:$A, 0), MATCH((YEAR(D51)+15), Variablen!$I$3:$AT$3, 0))="",L51,INDEX(Variablen!$I:$AT, MATCH(M51, Variablen!$A:$A, 0), MATCH((YEAR(D51)+15), Variablen!$I$3:$AT$3, 0))),L51)))*(IF((YEAR(D51)+15)&lt;YEAR(E51),0,IF((YEAR(D51)+15)&gt;YEAR(E51),1,(12-MONTH(E51)+1)/12))) + (Q51)*(IF((YEAR(D51)+15)&lt;YEAR(E51),0,IF((YEAR(D51)+15)&gt;YEAR(E51),1,(12-MONTH(E51)+1)/12))))-((P51)*(IF((YEAR(D51)+15)&lt;YEAR(E51),0,IF((YEAR(D51)+15)&gt;YEAR(E51),1,(12-MONTH(E51)+1)/12))) + (R51)*(IF((YEAR(D51)+15)&lt;YEAR(E51),0,IF((YEAR(D51)+15)&gt;YEAR(E51),1,(12-MONTH(E51)+1)/12))))-(IF((((K51)*(IF(M51="",L51,IFERROR(IF(INDEX(Variablen!$I:$AT, MATCH(M51, Variablen!$A:$A, 0), MATCH((YEAR(D51)+15), Variablen!$I$3:$AT$3, 0))="",L51,INDEX(Variablen!$I:$AT, MATCH(M51, Variablen!$A:$A, 0), MATCH((YEAR(D51)+15), Variablen!$I$3:$AT$3, 0))),L51)))*(IF((YEAR(D51)+15)&lt;YEAR(E51),0,IF((YEAR(D51)+15)&gt;YEAR(E51),1,(12-MONTH(E51)+1)/12))) + (Q51)*(IF((YEAR(D51)+15)&lt;YEAR(E51),0,IF((YEAR(D51)+15)&gt;YEAR(E51),1,(12-MONTH(E51)+1)/12))))-((P51)*(IF((YEAR(D51)+15)&lt;YEAR(E51),0,IF((YEAR(D51)+15)&gt;YEAR(E51),1,(12-MONTH(E51)+1)/12))) + (R51)*(IF((YEAR(D51)+15)&lt;YEAR(E51),0,IF((YEAR(D51)+15)&gt;YEAR(E51),1,(12-MONTH(E51)+1)/12))))-(IF(OR(N51="",N51&lt;=0),0,(O51/N51)*(IF(OR(N51="",N51&lt;=0),0,IF((YEAR(D51)+15)&lt;YEAR(E51),0,IF((YEAR(D51)+15)&gt;=YEAR(E51)+N51,0,IF((YEAR(D51)+15)=YEAR(E51),(12-MONTH(E51)+1)/12,1))))))))&gt;0,(((K51)*(IF(M51="",L51,IFERROR(IF(INDEX(Variablen!$I:$AT, MATCH(M51, Variablen!$A:$A, 0), MATCH((YEAR(D51)+15), Variablen!$I$3:$AT$3, 0))="",L51,INDEX(Variablen!$I:$AT, MATCH(M51, Variablen!$A:$A, 0), MATCH((YEAR(D51)+15), Variablen!$I$3:$AT$3, 0))),L51)))*(IF((YEAR(D51)+15)&lt;YEAR(E51),0,IF((YEAR(D51)+15)&gt;YEAR(E51),1,(12-MONTH(E51)+1)/12))) + (Q51)*(IF((YEAR(D51)+15)&lt;YEAR(E51),0,IF((YEAR(D51)+15)&gt;YEAR(E51),1,(12-MONTH(E51)+1)/12))))-((P51)*(IF((YEAR(D51)+15)&lt;YEAR(E51),0,IF((YEAR(D51)+15)&gt;YEAR(E51),1,(12-MONTH(E51)+1)/12))) + (R51)*(IF((YEAR(D51)+15)&lt;YEAR(E51),0,IF((YEAR(D51)+15)&gt;YEAR(E51),1,(12-MONTH(E51)+1)/12))))-(IF(OR(N51="",N51&lt;=0),0,(O51/N51)*(IF(OR(N51="",N51&lt;=0),0,IF((YEAR(D51)+15)&lt;YEAR(E51),0,IF((YEAR(D51)+15)&gt;=YEAR(E51)+N51,0,IF((YEAR(D51)+15)=YEAR(E51),(12-MONTH(E51)+1)/12,1))))))))*TaxRate,0))-IF(15=0,O51,0))</f>
        <v/>
      </c>
      <c r="AI51" s="29">
        <f>IF(A51="","",((K51)*(IF(M51="",L51,IFERROR(IF(INDEX(Variablen!$I:$AT, MATCH(M51, Variablen!$A:$A, 0), MATCH((YEAR(D51)+16), Variablen!$I$3:$AT$3, 0))="",L51,INDEX(Variablen!$I:$AT, MATCH(M51, Variablen!$A:$A, 0), MATCH((YEAR(D51)+16), Variablen!$I$3:$AT$3, 0))),L51)))*(IF((YEAR(D51)+16)&lt;YEAR(E51),0,IF((YEAR(D51)+16)&gt;YEAR(E51),1,(12-MONTH(E51)+1)/12))) + (Q51)*(IF((YEAR(D51)+16)&lt;YEAR(E51),0,IF((YEAR(D51)+16)&gt;YEAR(E51),1,(12-MONTH(E51)+1)/12))))-((P51)*(IF((YEAR(D51)+16)&lt;YEAR(E51),0,IF((YEAR(D51)+16)&gt;YEAR(E51),1,(12-MONTH(E51)+1)/12))) + (R51)*(IF((YEAR(D51)+16)&lt;YEAR(E51),0,IF((YEAR(D51)+16)&gt;YEAR(E51),1,(12-MONTH(E51)+1)/12))))-(IF((((K51)*(IF(M51="",L51,IFERROR(IF(INDEX(Variablen!$I:$AT, MATCH(M51, Variablen!$A:$A, 0), MATCH((YEAR(D51)+16), Variablen!$I$3:$AT$3, 0))="",L51,INDEX(Variablen!$I:$AT, MATCH(M51, Variablen!$A:$A, 0), MATCH((YEAR(D51)+16), Variablen!$I$3:$AT$3, 0))),L51)))*(IF((YEAR(D51)+16)&lt;YEAR(E51),0,IF((YEAR(D51)+16)&gt;YEAR(E51),1,(12-MONTH(E51)+1)/12))) + (Q51)*(IF((YEAR(D51)+16)&lt;YEAR(E51),0,IF((YEAR(D51)+16)&gt;YEAR(E51),1,(12-MONTH(E51)+1)/12))))-((P51)*(IF((YEAR(D51)+16)&lt;YEAR(E51),0,IF((YEAR(D51)+16)&gt;YEAR(E51),1,(12-MONTH(E51)+1)/12))) + (R51)*(IF((YEAR(D51)+16)&lt;YEAR(E51),0,IF((YEAR(D51)+16)&gt;YEAR(E51),1,(12-MONTH(E51)+1)/12))))-(IF(OR(N51="",N51&lt;=0),0,(O51/N51)*(IF(OR(N51="",N51&lt;=0),0,IF((YEAR(D51)+16)&lt;YEAR(E51),0,IF((YEAR(D51)+16)&gt;=YEAR(E51)+N51,0,IF((YEAR(D51)+16)=YEAR(E51),(12-MONTH(E51)+1)/12,1))))))))&gt;0,(((K51)*(IF(M51="",L51,IFERROR(IF(INDEX(Variablen!$I:$AT, MATCH(M51, Variablen!$A:$A, 0), MATCH((YEAR(D51)+16), Variablen!$I$3:$AT$3, 0))="",L51,INDEX(Variablen!$I:$AT, MATCH(M51, Variablen!$A:$A, 0), MATCH((YEAR(D51)+16), Variablen!$I$3:$AT$3, 0))),L51)))*(IF((YEAR(D51)+16)&lt;YEAR(E51),0,IF((YEAR(D51)+16)&gt;YEAR(E51),1,(12-MONTH(E51)+1)/12))) + (Q51)*(IF((YEAR(D51)+16)&lt;YEAR(E51),0,IF((YEAR(D51)+16)&gt;YEAR(E51),1,(12-MONTH(E51)+1)/12))))-((P51)*(IF((YEAR(D51)+16)&lt;YEAR(E51),0,IF((YEAR(D51)+16)&gt;YEAR(E51),1,(12-MONTH(E51)+1)/12))) + (R51)*(IF((YEAR(D51)+16)&lt;YEAR(E51),0,IF((YEAR(D51)+16)&gt;YEAR(E51),1,(12-MONTH(E51)+1)/12))))-(IF(OR(N51="",N51&lt;=0),0,(O51/N51)*(IF(OR(N51="",N51&lt;=0),0,IF((YEAR(D51)+16)&lt;YEAR(E51),0,IF((YEAR(D51)+16)&gt;=YEAR(E51)+N51,0,IF((YEAR(D51)+16)=YEAR(E51),(12-MONTH(E51)+1)/12,1))))))))*TaxRate,0))-IF(16=0,O51,0))</f>
        <v/>
      </c>
      <c r="AJ51" s="29">
        <f>IF(A51="","",((K51)*(IF(M51="",L51,IFERROR(IF(INDEX(Variablen!$I:$AT, MATCH(M51, Variablen!$A:$A, 0), MATCH((YEAR(D51)+17), Variablen!$I$3:$AT$3, 0))="",L51,INDEX(Variablen!$I:$AT, MATCH(M51, Variablen!$A:$A, 0), MATCH((YEAR(D51)+17), Variablen!$I$3:$AT$3, 0))),L51)))*(IF((YEAR(D51)+17)&lt;YEAR(E51),0,IF((YEAR(D51)+17)&gt;YEAR(E51),1,(12-MONTH(E51)+1)/12))) + (Q51)*(IF((YEAR(D51)+17)&lt;YEAR(E51),0,IF((YEAR(D51)+17)&gt;YEAR(E51),1,(12-MONTH(E51)+1)/12))))-((P51)*(IF((YEAR(D51)+17)&lt;YEAR(E51),0,IF((YEAR(D51)+17)&gt;YEAR(E51),1,(12-MONTH(E51)+1)/12))) + (R51)*(IF((YEAR(D51)+17)&lt;YEAR(E51),0,IF((YEAR(D51)+17)&gt;YEAR(E51),1,(12-MONTH(E51)+1)/12))))-(IF((((K51)*(IF(M51="",L51,IFERROR(IF(INDEX(Variablen!$I:$AT, MATCH(M51, Variablen!$A:$A, 0), MATCH((YEAR(D51)+17), Variablen!$I$3:$AT$3, 0))="",L51,INDEX(Variablen!$I:$AT, MATCH(M51, Variablen!$A:$A, 0), MATCH((YEAR(D51)+17), Variablen!$I$3:$AT$3, 0))),L51)))*(IF((YEAR(D51)+17)&lt;YEAR(E51),0,IF((YEAR(D51)+17)&gt;YEAR(E51),1,(12-MONTH(E51)+1)/12))) + (Q51)*(IF((YEAR(D51)+17)&lt;YEAR(E51),0,IF((YEAR(D51)+17)&gt;YEAR(E51),1,(12-MONTH(E51)+1)/12))))-((P51)*(IF((YEAR(D51)+17)&lt;YEAR(E51),0,IF((YEAR(D51)+17)&gt;YEAR(E51),1,(12-MONTH(E51)+1)/12))) + (R51)*(IF((YEAR(D51)+17)&lt;YEAR(E51),0,IF((YEAR(D51)+17)&gt;YEAR(E51),1,(12-MONTH(E51)+1)/12))))-(IF(OR(N51="",N51&lt;=0),0,(O51/N51)*(IF(OR(N51="",N51&lt;=0),0,IF((YEAR(D51)+17)&lt;YEAR(E51),0,IF((YEAR(D51)+17)&gt;=YEAR(E51)+N51,0,IF((YEAR(D51)+17)=YEAR(E51),(12-MONTH(E51)+1)/12,1))))))))&gt;0,(((K51)*(IF(M51="",L51,IFERROR(IF(INDEX(Variablen!$I:$AT, MATCH(M51, Variablen!$A:$A, 0), MATCH((YEAR(D51)+17), Variablen!$I$3:$AT$3, 0))="",L51,INDEX(Variablen!$I:$AT, MATCH(M51, Variablen!$A:$A, 0), MATCH((YEAR(D51)+17), Variablen!$I$3:$AT$3, 0))),L51)))*(IF((YEAR(D51)+17)&lt;YEAR(E51),0,IF((YEAR(D51)+17)&gt;YEAR(E51),1,(12-MONTH(E51)+1)/12))) + (Q51)*(IF((YEAR(D51)+17)&lt;YEAR(E51),0,IF((YEAR(D51)+17)&gt;YEAR(E51),1,(12-MONTH(E51)+1)/12))))-((P51)*(IF((YEAR(D51)+17)&lt;YEAR(E51),0,IF((YEAR(D51)+17)&gt;YEAR(E51),1,(12-MONTH(E51)+1)/12))) + (R51)*(IF((YEAR(D51)+17)&lt;YEAR(E51),0,IF((YEAR(D51)+17)&gt;YEAR(E51),1,(12-MONTH(E51)+1)/12))))-(IF(OR(N51="",N51&lt;=0),0,(O51/N51)*(IF(OR(N51="",N51&lt;=0),0,IF((YEAR(D51)+17)&lt;YEAR(E51),0,IF((YEAR(D51)+17)&gt;=YEAR(E51)+N51,0,IF((YEAR(D51)+17)=YEAR(E51),(12-MONTH(E51)+1)/12,1))))))))*TaxRate,0))-IF(17=0,O51,0))</f>
        <v/>
      </c>
      <c r="AK51" s="29">
        <f>IF(A51="","",((K51)*(IF(M51="",L51,IFERROR(IF(INDEX(Variablen!$I:$AT, MATCH(M51, Variablen!$A:$A, 0), MATCH((YEAR(D51)+18), Variablen!$I$3:$AT$3, 0))="",L51,INDEX(Variablen!$I:$AT, MATCH(M51, Variablen!$A:$A, 0), MATCH((YEAR(D51)+18), Variablen!$I$3:$AT$3, 0))),L51)))*(IF((YEAR(D51)+18)&lt;YEAR(E51),0,IF((YEAR(D51)+18)&gt;YEAR(E51),1,(12-MONTH(E51)+1)/12))) + (Q51)*(IF((YEAR(D51)+18)&lt;YEAR(E51),0,IF((YEAR(D51)+18)&gt;YEAR(E51),1,(12-MONTH(E51)+1)/12))))-((P51)*(IF((YEAR(D51)+18)&lt;YEAR(E51),0,IF((YEAR(D51)+18)&gt;YEAR(E51),1,(12-MONTH(E51)+1)/12))) + (R51)*(IF((YEAR(D51)+18)&lt;YEAR(E51),0,IF((YEAR(D51)+18)&gt;YEAR(E51),1,(12-MONTH(E51)+1)/12))))-(IF((((K51)*(IF(M51="",L51,IFERROR(IF(INDEX(Variablen!$I:$AT, MATCH(M51, Variablen!$A:$A, 0), MATCH((YEAR(D51)+18), Variablen!$I$3:$AT$3, 0))="",L51,INDEX(Variablen!$I:$AT, MATCH(M51, Variablen!$A:$A, 0), MATCH((YEAR(D51)+18), Variablen!$I$3:$AT$3, 0))),L51)))*(IF((YEAR(D51)+18)&lt;YEAR(E51),0,IF((YEAR(D51)+18)&gt;YEAR(E51),1,(12-MONTH(E51)+1)/12))) + (Q51)*(IF((YEAR(D51)+18)&lt;YEAR(E51),0,IF((YEAR(D51)+18)&gt;YEAR(E51),1,(12-MONTH(E51)+1)/12))))-((P51)*(IF((YEAR(D51)+18)&lt;YEAR(E51),0,IF((YEAR(D51)+18)&gt;YEAR(E51),1,(12-MONTH(E51)+1)/12))) + (R51)*(IF((YEAR(D51)+18)&lt;YEAR(E51),0,IF((YEAR(D51)+18)&gt;YEAR(E51),1,(12-MONTH(E51)+1)/12))))-(IF(OR(N51="",N51&lt;=0),0,(O51/N51)*(IF(OR(N51="",N51&lt;=0),0,IF((YEAR(D51)+18)&lt;YEAR(E51),0,IF((YEAR(D51)+18)&gt;=YEAR(E51)+N51,0,IF((YEAR(D51)+18)=YEAR(E51),(12-MONTH(E51)+1)/12,1))))))))&gt;0,(((K51)*(IF(M51="",L51,IFERROR(IF(INDEX(Variablen!$I:$AT, MATCH(M51, Variablen!$A:$A, 0), MATCH((YEAR(D51)+18), Variablen!$I$3:$AT$3, 0))="",L51,INDEX(Variablen!$I:$AT, MATCH(M51, Variablen!$A:$A, 0), MATCH((YEAR(D51)+18), Variablen!$I$3:$AT$3, 0))),L51)))*(IF((YEAR(D51)+18)&lt;YEAR(E51),0,IF((YEAR(D51)+18)&gt;YEAR(E51),1,(12-MONTH(E51)+1)/12))) + (Q51)*(IF((YEAR(D51)+18)&lt;YEAR(E51),0,IF((YEAR(D51)+18)&gt;YEAR(E51),1,(12-MONTH(E51)+1)/12))))-((P51)*(IF((YEAR(D51)+18)&lt;YEAR(E51),0,IF((YEAR(D51)+18)&gt;YEAR(E51),1,(12-MONTH(E51)+1)/12))) + (R51)*(IF((YEAR(D51)+18)&lt;YEAR(E51),0,IF((YEAR(D51)+18)&gt;YEAR(E51),1,(12-MONTH(E51)+1)/12))))-(IF(OR(N51="",N51&lt;=0),0,(O51/N51)*(IF(OR(N51="",N51&lt;=0),0,IF((YEAR(D51)+18)&lt;YEAR(E51),0,IF((YEAR(D51)+18)&gt;=YEAR(E51)+N51,0,IF((YEAR(D51)+18)=YEAR(E51),(12-MONTH(E51)+1)/12,1))))))))*TaxRate,0))-IF(18=0,O51,0))</f>
        <v/>
      </c>
      <c r="AL51" s="29">
        <f>IF(A51="","",((K51)*(IF(M51="",L51,IFERROR(IF(INDEX(Variablen!$I:$AT, MATCH(M51, Variablen!$A:$A, 0), MATCH((YEAR(D51)+19), Variablen!$I$3:$AT$3, 0))="",L51,INDEX(Variablen!$I:$AT, MATCH(M51, Variablen!$A:$A, 0), MATCH((YEAR(D51)+19), Variablen!$I$3:$AT$3, 0))),L51)))*(IF((YEAR(D51)+19)&lt;YEAR(E51),0,IF((YEAR(D51)+19)&gt;YEAR(E51),1,(12-MONTH(E51)+1)/12))) + (Q51)*(IF((YEAR(D51)+19)&lt;YEAR(E51),0,IF((YEAR(D51)+19)&gt;YEAR(E51),1,(12-MONTH(E51)+1)/12))))-((P51)*(IF((YEAR(D51)+19)&lt;YEAR(E51),0,IF((YEAR(D51)+19)&gt;YEAR(E51),1,(12-MONTH(E51)+1)/12))) + (R51)*(IF((YEAR(D51)+19)&lt;YEAR(E51),0,IF((YEAR(D51)+19)&gt;YEAR(E51),1,(12-MONTH(E51)+1)/12))))-(IF((((K51)*(IF(M51="",L51,IFERROR(IF(INDEX(Variablen!$I:$AT, MATCH(M51, Variablen!$A:$A, 0), MATCH((YEAR(D51)+19), Variablen!$I$3:$AT$3, 0))="",L51,INDEX(Variablen!$I:$AT, MATCH(M51, Variablen!$A:$A, 0), MATCH((YEAR(D51)+19), Variablen!$I$3:$AT$3, 0))),L51)))*(IF((YEAR(D51)+19)&lt;YEAR(E51),0,IF((YEAR(D51)+19)&gt;YEAR(E51),1,(12-MONTH(E51)+1)/12))) + (Q51)*(IF((YEAR(D51)+19)&lt;YEAR(E51),0,IF((YEAR(D51)+19)&gt;YEAR(E51),1,(12-MONTH(E51)+1)/12))))-((P51)*(IF((YEAR(D51)+19)&lt;YEAR(E51),0,IF((YEAR(D51)+19)&gt;YEAR(E51),1,(12-MONTH(E51)+1)/12))) + (R51)*(IF((YEAR(D51)+19)&lt;YEAR(E51),0,IF((YEAR(D51)+19)&gt;YEAR(E51),1,(12-MONTH(E51)+1)/12))))-(IF(OR(N51="",N51&lt;=0),0,(O51/N51)*(IF(OR(N51="",N51&lt;=0),0,IF((YEAR(D51)+19)&lt;YEAR(E51),0,IF((YEAR(D51)+19)&gt;=YEAR(E51)+N51,0,IF((YEAR(D51)+19)=YEAR(E51),(12-MONTH(E51)+1)/12,1))))))))&gt;0,(((K51)*(IF(M51="",L51,IFERROR(IF(INDEX(Variablen!$I:$AT, MATCH(M51, Variablen!$A:$A, 0), MATCH((YEAR(D51)+19), Variablen!$I$3:$AT$3, 0))="",L51,INDEX(Variablen!$I:$AT, MATCH(M51, Variablen!$A:$A, 0), MATCH((YEAR(D51)+19), Variablen!$I$3:$AT$3, 0))),L51)))*(IF((YEAR(D51)+19)&lt;YEAR(E51),0,IF((YEAR(D51)+19)&gt;YEAR(E51),1,(12-MONTH(E51)+1)/12))) + (Q51)*(IF((YEAR(D51)+19)&lt;YEAR(E51),0,IF((YEAR(D51)+19)&gt;YEAR(E51),1,(12-MONTH(E51)+1)/12))))-((P51)*(IF((YEAR(D51)+19)&lt;YEAR(E51),0,IF((YEAR(D51)+19)&gt;YEAR(E51),1,(12-MONTH(E51)+1)/12))) + (R51)*(IF((YEAR(D51)+19)&lt;YEAR(E51),0,IF((YEAR(D51)+19)&gt;YEAR(E51),1,(12-MONTH(E51)+1)/12))))-(IF(OR(N51="",N51&lt;=0),0,(O51/N51)*(IF(OR(N51="",N51&lt;=0),0,IF((YEAR(D51)+19)&lt;YEAR(E51),0,IF((YEAR(D51)+19)&gt;=YEAR(E51)+N51,0,IF((YEAR(D51)+19)=YEAR(E51),(12-MONTH(E51)+1)/12,1))))))))*TaxRate,0))-IF(19=0,O51,0))</f>
        <v/>
      </c>
      <c r="AM51" s="29">
        <f>IF(A51="","",((K51)*(IF(M51="",L51,IFERROR(IF(INDEX(Variablen!$I:$AT, MATCH(M51, Variablen!$A:$A, 0), MATCH((YEAR(D51)+20), Variablen!$I$3:$AT$3, 0))="",L51,INDEX(Variablen!$I:$AT, MATCH(M51, Variablen!$A:$A, 0), MATCH((YEAR(D51)+20), Variablen!$I$3:$AT$3, 0))),L51)))*(IF((YEAR(D51)+20)&lt;YEAR(E51),0,IF((YEAR(D51)+20)&gt;YEAR(E51),1,(12-MONTH(E51)+1)/12))) + (Q51)*(IF((YEAR(D51)+20)&lt;YEAR(E51),0,IF((YEAR(D51)+20)&gt;YEAR(E51),1,(12-MONTH(E51)+1)/12))))-((P51)*(IF((YEAR(D51)+20)&lt;YEAR(E51),0,IF((YEAR(D51)+20)&gt;YEAR(E51),1,(12-MONTH(E51)+1)/12))) + (R51)*(IF((YEAR(D51)+20)&lt;YEAR(E51),0,IF((YEAR(D51)+20)&gt;YEAR(E51),1,(12-MONTH(E51)+1)/12))))-(IF((((K51)*(IF(M51="",L51,IFERROR(IF(INDEX(Variablen!$I:$AT, MATCH(M51, Variablen!$A:$A, 0), MATCH((YEAR(D51)+20), Variablen!$I$3:$AT$3, 0))="",L51,INDEX(Variablen!$I:$AT, MATCH(M51, Variablen!$A:$A, 0), MATCH((YEAR(D51)+20), Variablen!$I$3:$AT$3, 0))),L51)))*(IF((YEAR(D51)+20)&lt;YEAR(E51),0,IF((YEAR(D51)+20)&gt;YEAR(E51),1,(12-MONTH(E51)+1)/12))) + (Q51)*(IF((YEAR(D51)+20)&lt;YEAR(E51),0,IF((YEAR(D51)+20)&gt;YEAR(E51),1,(12-MONTH(E51)+1)/12))))-((P51)*(IF((YEAR(D51)+20)&lt;YEAR(E51),0,IF((YEAR(D51)+20)&gt;YEAR(E51),1,(12-MONTH(E51)+1)/12))) + (R51)*(IF((YEAR(D51)+20)&lt;YEAR(E51),0,IF((YEAR(D51)+20)&gt;YEAR(E51),1,(12-MONTH(E51)+1)/12))))-(IF(OR(N51="",N51&lt;=0),0,(O51/N51)*(IF(OR(N51="",N51&lt;=0),0,IF((YEAR(D51)+20)&lt;YEAR(E51),0,IF((YEAR(D51)+20)&gt;=YEAR(E51)+N51,0,IF((YEAR(D51)+20)=YEAR(E51),(12-MONTH(E51)+1)/12,1))))))))&gt;0,(((K51)*(IF(M51="",L51,IFERROR(IF(INDEX(Variablen!$I:$AT, MATCH(M51, Variablen!$A:$A, 0), MATCH((YEAR(D51)+20), Variablen!$I$3:$AT$3, 0))="",L51,INDEX(Variablen!$I:$AT, MATCH(M51, Variablen!$A:$A, 0), MATCH((YEAR(D51)+20), Variablen!$I$3:$AT$3, 0))),L51)))*(IF((YEAR(D51)+20)&lt;YEAR(E51),0,IF((YEAR(D51)+20)&gt;YEAR(E51),1,(12-MONTH(E51)+1)/12))) + (Q51)*(IF((YEAR(D51)+20)&lt;YEAR(E51),0,IF((YEAR(D51)+20)&gt;YEAR(E51),1,(12-MONTH(E51)+1)/12))))-((P51)*(IF((YEAR(D51)+20)&lt;YEAR(E51),0,IF((YEAR(D51)+20)&gt;YEAR(E51),1,(12-MONTH(E51)+1)/12))) + (R51)*(IF((YEAR(D51)+20)&lt;YEAR(E51),0,IF((YEAR(D51)+20)&gt;YEAR(E51),1,(12-MONTH(E51)+1)/12))))-(IF(OR(N51="",N51&lt;=0),0,(O51/N51)*(IF(OR(N51="",N51&lt;=0),0,IF((YEAR(D51)+20)&lt;YEAR(E51),0,IF((YEAR(D51)+20)&gt;=YEAR(E51)+N51,0,IF((YEAR(D51)+20)=YEAR(E51),(12-MONTH(E51)+1)/12,1))))))))*TaxRate,0))-IF(20=0,O51,0))</f>
        <v/>
      </c>
      <c r="AN51" s="29">
        <f>IF(A51="","",S51)</f>
        <v/>
      </c>
      <c r="AO51" s="29">
        <f>IF(A51="","",AN51+T51)</f>
        <v/>
      </c>
      <c r="AP51" s="29">
        <f>IF(A51="","",AO51+U51)</f>
        <v/>
      </c>
      <c r="AQ51" s="29">
        <f>IF(A51="","",AP51+V51)</f>
        <v/>
      </c>
      <c r="AR51" s="29">
        <f>IF(A51="","",AQ51+W51)</f>
        <v/>
      </c>
      <c r="AS51" s="29">
        <f>IF(A51="","",AR51+X51)</f>
        <v/>
      </c>
      <c r="AT51" s="29">
        <f>IF(A51="","",AS51+Y51)</f>
        <v/>
      </c>
      <c r="AU51" s="29">
        <f>IF(A51="","",AT51+Z51)</f>
        <v/>
      </c>
      <c r="AV51" s="29">
        <f>IF(A51="","",AU51+AA51)</f>
        <v/>
      </c>
      <c r="AW51" s="29">
        <f>IF(A51="","",AV51+AB51)</f>
        <v/>
      </c>
      <c r="AX51" s="29">
        <f>IF(A51="","",AW51+AC51)</f>
        <v/>
      </c>
      <c r="AY51" s="29">
        <f>IF(A51="","",AX51+AD51)</f>
        <v/>
      </c>
      <c r="AZ51" s="29">
        <f>IF(A51="","",AY51+AE51)</f>
        <v/>
      </c>
      <c r="BA51" s="29">
        <f>IF(A51="","",AZ51+AF51)</f>
        <v/>
      </c>
      <c r="BB51" s="29">
        <f>IF(A51="","",BA51+AG51)</f>
        <v/>
      </c>
      <c r="BC51" s="29">
        <f>IF(A51="","",BB51+AH51)</f>
        <v/>
      </c>
      <c r="BD51" s="29">
        <f>IF(A51="","",BC51+AI51)</f>
        <v/>
      </c>
      <c r="BE51" s="29">
        <f>IF(A51="","",BD51+AJ51)</f>
        <v/>
      </c>
      <c r="BF51" s="29">
        <f>IF(A51="","",BE51+AK51)</f>
        <v/>
      </c>
      <c r="BG51" s="29">
        <f>IF(A51="","",BF51+AL51)</f>
        <v/>
      </c>
      <c r="BH51" s="29">
        <f>IF(A51="","",BG51+AM51)</f>
        <v/>
      </c>
      <c r="BI51" s="36">
        <f>IF(A51="","",(K51)*(IF((YEAR(D51)+0)&lt;YEAR(E51),0,IF((YEAR(D51)+0)&gt;YEAR(E51),1,(12-MONTH(E51)+1)/12)))*(1/(1+DiscountRate)^0))</f>
        <v/>
      </c>
      <c r="BJ51" s="36">
        <f>IF(A51="","",(K51)*(IF((YEAR(D51)+1)&lt;YEAR(E51),0,IF((YEAR(D51)+1)&gt;YEAR(E51),1,(12-MONTH(E51)+1)/12)))*(1/(1+DiscountRate)^1))</f>
        <v/>
      </c>
      <c r="BK51" s="36">
        <f>IF(A51="","",(K51)*(IF((YEAR(D51)+2)&lt;YEAR(E51),0,IF((YEAR(D51)+2)&gt;YEAR(E51),1,(12-MONTH(E51)+1)/12)))*(1/(1+DiscountRate)^2))</f>
        <v/>
      </c>
      <c r="BL51" s="36">
        <f>IF(A51="","",(K51)*(IF((YEAR(D51)+3)&lt;YEAR(E51),0,IF((YEAR(D51)+3)&gt;YEAR(E51),1,(12-MONTH(E51)+1)/12)))*(1/(1+DiscountRate)^3))</f>
        <v/>
      </c>
      <c r="BM51" s="36">
        <f>IF(A51="","",(K51)*(IF((YEAR(D51)+4)&lt;YEAR(E51),0,IF((YEAR(D51)+4)&gt;YEAR(E51),1,(12-MONTH(E51)+1)/12)))*(1/(1+DiscountRate)^4))</f>
        <v/>
      </c>
      <c r="BN51" s="36">
        <f>IF(A51="","",(K51)*(IF((YEAR(D51)+5)&lt;YEAR(E51),0,IF((YEAR(D51)+5)&gt;YEAR(E51),1,(12-MONTH(E51)+1)/12)))*(1/(1+DiscountRate)^5))</f>
        <v/>
      </c>
      <c r="BO51" s="36">
        <f>IF(A51="","",(K51)*(IF((YEAR(D51)+6)&lt;YEAR(E51),0,IF((YEAR(D51)+6)&gt;YEAR(E51),1,(12-MONTH(E51)+1)/12)))*(1/(1+DiscountRate)^6))</f>
        <v/>
      </c>
      <c r="BP51" s="36">
        <f>IF(A51="","",(K51)*(IF((YEAR(D51)+7)&lt;YEAR(E51),0,IF((YEAR(D51)+7)&gt;YEAR(E51),1,(12-MONTH(E51)+1)/12)))*(1/(1+DiscountRate)^7))</f>
        <v/>
      </c>
      <c r="BQ51" s="36">
        <f>IF(A51="","",(K51)*(IF((YEAR(D51)+8)&lt;YEAR(E51),0,IF((YEAR(D51)+8)&gt;YEAR(E51),1,(12-MONTH(E51)+1)/12)))*(1/(1+DiscountRate)^8))</f>
        <v/>
      </c>
      <c r="BR51" s="36">
        <f>IF(A51="","",(K51)*(IF((YEAR(D51)+9)&lt;YEAR(E51),0,IF((YEAR(D51)+9)&gt;YEAR(E51),1,(12-MONTH(E51)+1)/12)))*(1/(1+DiscountRate)^9))</f>
        <v/>
      </c>
      <c r="BS51" s="36">
        <f>IF(A51="","",(K51)*(IF((YEAR(D51)+10)&lt;YEAR(E51),0,IF((YEAR(D51)+10)&gt;YEAR(E51),1,(12-MONTH(E51)+1)/12)))*(1/(1+DiscountRate)^10))</f>
        <v/>
      </c>
      <c r="BT51" s="36">
        <f>IF(A51="","",(K51)*(IF((YEAR(D51)+11)&lt;YEAR(E51),0,IF((YEAR(D51)+11)&gt;YEAR(E51),1,(12-MONTH(E51)+1)/12)))*(1/(1+DiscountRate)^11))</f>
        <v/>
      </c>
      <c r="BU51" s="36">
        <f>IF(A51="","",(K51)*(IF((YEAR(D51)+12)&lt;YEAR(E51),0,IF((YEAR(D51)+12)&gt;YEAR(E51),1,(12-MONTH(E51)+1)/12)))*(1/(1+DiscountRate)^12))</f>
        <v/>
      </c>
      <c r="BV51" s="36">
        <f>IF(A51="","",(K51)*(IF((YEAR(D51)+13)&lt;YEAR(E51),0,IF((YEAR(D51)+13)&gt;YEAR(E51),1,(12-MONTH(E51)+1)/12)))*(1/(1+DiscountRate)^13))</f>
        <v/>
      </c>
      <c r="BW51" s="36">
        <f>IF(A51="","",(K51)*(IF((YEAR(D51)+14)&lt;YEAR(E51),0,IF((YEAR(D51)+14)&gt;YEAR(E51),1,(12-MONTH(E51)+1)/12)))*(1/(1+DiscountRate)^14))</f>
        <v/>
      </c>
      <c r="BX51" s="36">
        <f>IF(A51="","",(K51)*(IF((YEAR(D51)+15)&lt;YEAR(E51),0,IF((YEAR(D51)+15)&gt;YEAR(E51),1,(12-MONTH(E51)+1)/12)))*(1/(1+DiscountRate)^15))</f>
        <v/>
      </c>
      <c r="BY51" s="36">
        <f>IF(A51="","",(K51)*(IF((YEAR(D51)+16)&lt;YEAR(E51),0,IF((YEAR(D51)+16)&gt;YEAR(E51),1,(12-MONTH(E51)+1)/12)))*(1/(1+DiscountRate)^16))</f>
        <v/>
      </c>
      <c r="BZ51" s="36">
        <f>IF(A51="","",(K51)*(IF((YEAR(D51)+17)&lt;YEAR(E51),0,IF((YEAR(D51)+17)&gt;YEAR(E51),1,(12-MONTH(E51)+1)/12)))*(1/(1+DiscountRate)^17))</f>
        <v/>
      </c>
      <c r="CA51" s="36">
        <f>IF(A51="","",(K51)*(IF((YEAR(D51)+18)&lt;YEAR(E51),0,IF((YEAR(D51)+18)&gt;YEAR(E51),1,(12-MONTH(E51)+1)/12)))*(1/(1+DiscountRate)^18))</f>
        <v/>
      </c>
      <c r="CB51" s="36">
        <f>IF(A51="","",(K51)*(IF((YEAR(D51)+19)&lt;YEAR(E51),0,IF((YEAR(D51)+19)&gt;YEAR(E51),1,(12-MONTH(E51)+1)/12)))*(1/(1+DiscountRate)^19))</f>
        <v/>
      </c>
      <c r="CC51" s="36">
        <f>IF(A51="","",(K51)*(IF((YEAR(D51)+20)&lt;YEAR(E51),0,IF((YEAR(D51)+20)&gt;YEAR(E51),1,(12-MONTH(E51)+1)/12)))*(1/(1+DiscountRate)^20))</f>
        <v/>
      </c>
      <c r="CD51" s="29">
        <f>IF(A51="","",S51/(1+DiscountRate)^0+T51/(1+DiscountRate)^1+U51/(1+DiscountRate)^2+V51/(1+DiscountRate)^3+W51/(1+DiscountRate)^4+X51/(1+DiscountRate)^5+Y51/(1+DiscountRate)^6+Z51/(1+DiscountRate)^7+AA51/(1+DiscountRate)^8+AB51/(1+DiscountRate)^9+AC51/(1+DiscountRate)^10+AD51/(1+DiscountRate)^11+AE51/(1+DiscountRate)^12+AF51/(1+DiscountRate)^13+AG51/(1+DiscountRate)^14+AH51/(1+DiscountRate)^15+AI51/(1+DiscountRate)^16+AJ51/(1+DiscountRate)^17+AK51/(1+DiscountRate)^18+AL51/(1+DiscountRate)^19+AM51/(1+DiscountRate)^20)</f>
        <v/>
      </c>
      <c r="CE51" s="37">
        <f>IF(A51="","",IFERROR(IRR(OFFSET(S51,0,0,1,MIN(HorizonYears,20)+1)),"n/a"))</f>
        <v/>
      </c>
      <c r="CF51" s="28">
        <f>IF(A51="","",IFERROR(MATCH(TRUE,OFFSET(AN51,0,0,1,MIN(HorizonYears,20)+1)&gt;=0,0)-1,"n/a"))</f>
        <v/>
      </c>
      <c r="CG51" s="36">
        <f>IF(A51="","",SUM(OFFSET(BI51,0,0,1,MIN(HorizonYears,20)+1)))</f>
        <v/>
      </c>
      <c r="CH51" s="36">
        <f>IF(A51="","",IFERROR(-CD51/CG51,"n/a"))</f>
        <v/>
      </c>
    </row>
    <row r="52">
      <c r="A52" s="6">
        <f>Actions!A50</f>
        <v/>
      </c>
      <c r="B52" s="6">
        <f>Actions!B50</f>
        <v/>
      </c>
      <c r="C52" s="6">
        <f>Actions!D50</f>
        <v/>
      </c>
      <c r="D52" s="35">
        <f>Actions!E50</f>
        <v/>
      </c>
      <c r="E52" s="35">
        <f>Actions!F50</f>
        <v/>
      </c>
      <c r="F52" s="6">
        <f>Actions!G50</f>
        <v/>
      </c>
      <c r="G52" s="6">
        <f>Actions!H50</f>
        <v/>
      </c>
      <c r="H52" s="29">
        <f>Actions!I50</f>
        <v/>
      </c>
      <c r="I52" s="6">
        <f>Actions!J50</f>
        <v/>
      </c>
      <c r="J52" s="16">
        <f>Actions!K50</f>
        <v/>
      </c>
      <c r="K52" s="16">
        <f>IF(A52="","",IF(I52="%",H52*J52,J52))</f>
        <v/>
      </c>
      <c r="L52" s="16">
        <f>Actions!L50</f>
        <v/>
      </c>
      <c r="M52" s="6">
        <f>Actions!M50</f>
        <v/>
      </c>
      <c r="N52" s="28">
        <f>Actions!N50</f>
        <v/>
      </c>
      <c r="O52" s="29">
        <f>Actions!T50</f>
        <v/>
      </c>
      <c r="P52" s="29">
        <f>Actions!Y50</f>
        <v/>
      </c>
      <c r="Q52" s="29">
        <f>Actions!Z50</f>
        <v/>
      </c>
      <c r="R52" s="29">
        <f>Actions!AA50</f>
        <v/>
      </c>
      <c r="S52" s="29">
        <f>IF(A52="","",((K52)*(IF(M52="",L52,IFERROR(IF(INDEX(Variablen!$I:$AT, MATCH(M52, Variablen!$A:$A, 0), MATCH((YEAR(D52)+0), Variablen!$I$3:$AT$3, 0))="",L52,INDEX(Variablen!$I:$AT, MATCH(M52, Variablen!$A:$A, 0), MATCH((YEAR(D52)+0), Variablen!$I$3:$AT$3, 0))),L52)))*(IF((YEAR(D52)+0)&lt;YEAR(E52),0,IF((YEAR(D52)+0)&gt;YEAR(E52),1,(12-MONTH(E52)+1)/12))) + (Q52)*(IF((YEAR(D52)+0)&lt;YEAR(E52),0,IF((YEAR(D52)+0)&gt;YEAR(E52),1,(12-MONTH(E52)+1)/12))))-((P52)*(IF((YEAR(D52)+0)&lt;YEAR(E52),0,IF((YEAR(D52)+0)&gt;YEAR(E52),1,(12-MONTH(E52)+1)/12))) + (R52)*(IF((YEAR(D52)+0)&lt;YEAR(E52),0,IF((YEAR(D52)+0)&gt;YEAR(E52),1,(12-MONTH(E52)+1)/12))))-(IF((((K52)*(IF(M52="",L52,IFERROR(IF(INDEX(Variablen!$I:$AT, MATCH(M52, Variablen!$A:$A, 0), MATCH((YEAR(D52)+0), Variablen!$I$3:$AT$3, 0))="",L52,INDEX(Variablen!$I:$AT, MATCH(M52, Variablen!$A:$A, 0), MATCH((YEAR(D52)+0), Variablen!$I$3:$AT$3, 0))),L52)))*(IF((YEAR(D52)+0)&lt;YEAR(E52),0,IF((YEAR(D52)+0)&gt;YEAR(E52),1,(12-MONTH(E52)+1)/12))) + (Q52)*(IF((YEAR(D52)+0)&lt;YEAR(E52),0,IF((YEAR(D52)+0)&gt;YEAR(E52),1,(12-MONTH(E52)+1)/12))))-((P52)*(IF((YEAR(D52)+0)&lt;YEAR(E52),0,IF((YEAR(D52)+0)&gt;YEAR(E52),1,(12-MONTH(E52)+1)/12))) + (R52)*(IF((YEAR(D52)+0)&lt;YEAR(E52),0,IF((YEAR(D52)+0)&gt;YEAR(E52),1,(12-MONTH(E52)+1)/12))))-(IF(OR(N52="",N52&lt;=0),0,(O52/N52)*(IF(OR(N52="",N52&lt;=0),0,IF((YEAR(D52)+0)&lt;YEAR(E52),0,IF((YEAR(D52)+0)&gt;=YEAR(E52)+N52,0,IF((YEAR(D52)+0)=YEAR(E52),(12-MONTH(E52)+1)/12,1))))))))&gt;0,(((K52)*(IF(M52="",L52,IFERROR(IF(INDEX(Variablen!$I:$AT, MATCH(M52, Variablen!$A:$A, 0), MATCH((YEAR(D52)+0), Variablen!$I$3:$AT$3, 0))="",L52,INDEX(Variablen!$I:$AT, MATCH(M52, Variablen!$A:$A, 0), MATCH((YEAR(D52)+0), Variablen!$I$3:$AT$3, 0))),L52)))*(IF((YEAR(D52)+0)&lt;YEAR(E52),0,IF((YEAR(D52)+0)&gt;YEAR(E52),1,(12-MONTH(E52)+1)/12))) + (Q52)*(IF((YEAR(D52)+0)&lt;YEAR(E52),0,IF((YEAR(D52)+0)&gt;YEAR(E52),1,(12-MONTH(E52)+1)/12))))-((P52)*(IF((YEAR(D52)+0)&lt;YEAR(E52),0,IF((YEAR(D52)+0)&gt;YEAR(E52),1,(12-MONTH(E52)+1)/12))) + (R52)*(IF((YEAR(D52)+0)&lt;YEAR(E52),0,IF((YEAR(D52)+0)&gt;YEAR(E52),1,(12-MONTH(E52)+1)/12))))-(IF(OR(N52="",N52&lt;=0),0,(O52/N52)*(IF(OR(N52="",N52&lt;=0),0,IF((YEAR(D52)+0)&lt;YEAR(E52),0,IF((YEAR(D52)+0)&gt;=YEAR(E52)+N52,0,IF((YEAR(D52)+0)=YEAR(E52),(12-MONTH(E52)+1)/12,1))))))))*TaxRate,0))-IF(0=0,O52,0))</f>
        <v/>
      </c>
      <c r="T52" s="29">
        <f>IF(A52="","",((K52)*(IF(M52="",L52,IFERROR(IF(INDEX(Variablen!$I:$AT, MATCH(M52, Variablen!$A:$A, 0), MATCH((YEAR(D52)+1), Variablen!$I$3:$AT$3, 0))="",L52,INDEX(Variablen!$I:$AT, MATCH(M52, Variablen!$A:$A, 0), MATCH((YEAR(D52)+1), Variablen!$I$3:$AT$3, 0))),L52)))*(IF((YEAR(D52)+1)&lt;YEAR(E52),0,IF((YEAR(D52)+1)&gt;YEAR(E52),1,(12-MONTH(E52)+1)/12))) + (Q52)*(IF((YEAR(D52)+1)&lt;YEAR(E52),0,IF((YEAR(D52)+1)&gt;YEAR(E52),1,(12-MONTH(E52)+1)/12))))-((P52)*(IF((YEAR(D52)+1)&lt;YEAR(E52),0,IF((YEAR(D52)+1)&gt;YEAR(E52),1,(12-MONTH(E52)+1)/12))) + (R52)*(IF((YEAR(D52)+1)&lt;YEAR(E52),0,IF((YEAR(D52)+1)&gt;YEAR(E52),1,(12-MONTH(E52)+1)/12))))-(IF((((K52)*(IF(M52="",L52,IFERROR(IF(INDEX(Variablen!$I:$AT, MATCH(M52, Variablen!$A:$A, 0), MATCH((YEAR(D52)+1), Variablen!$I$3:$AT$3, 0))="",L52,INDEX(Variablen!$I:$AT, MATCH(M52, Variablen!$A:$A, 0), MATCH((YEAR(D52)+1), Variablen!$I$3:$AT$3, 0))),L52)))*(IF((YEAR(D52)+1)&lt;YEAR(E52),0,IF((YEAR(D52)+1)&gt;YEAR(E52),1,(12-MONTH(E52)+1)/12))) + (Q52)*(IF((YEAR(D52)+1)&lt;YEAR(E52),0,IF((YEAR(D52)+1)&gt;YEAR(E52),1,(12-MONTH(E52)+1)/12))))-((P52)*(IF((YEAR(D52)+1)&lt;YEAR(E52),0,IF((YEAR(D52)+1)&gt;YEAR(E52),1,(12-MONTH(E52)+1)/12))) + (R52)*(IF((YEAR(D52)+1)&lt;YEAR(E52),0,IF((YEAR(D52)+1)&gt;YEAR(E52),1,(12-MONTH(E52)+1)/12))))-(IF(OR(N52="",N52&lt;=0),0,(O52/N52)*(IF(OR(N52="",N52&lt;=0),0,IF((YEAR(D52)+1)&lt;YEAR(E52),0,IF((YEAR(D52)+1)&gt;=YEAR(E52)+N52,0,IF((YEAR(D52)+1)=YEAR(E52),(12-MONTH(E52)+1)/12,1))))))))&gt;0,(((K52)*(IF(M52="",L52,IFERROR(IF(INDEX(Variablen!$I:$AT, MATCH(M52, Variablen!$A:$A, 0), MATCH((YEAR(D52)+1), Variablen!$I$3:$AT$3, 0))="",L52,INDEX(Variablen!$I:$AT, MATCH(M52, Variablen!$A:$A, 0), MATCH((YEAR(D52)+1), Variablen!$I$3:$AT$3, 0))),L52)))*(IF((YEAR(D52)+1)&lt;YEAR(E52),0,IF((YEAR(D52)+1)&gt;YEAR(E52),1,(12-MONTH(E52)+1)/12))) + (Q52)*(IF((YEAR(D52)+1)&lt;YEAR(E52),0,IF((YEAR(D52)+1)&gt;YEAR(E52),1,(12-MONTH(E52)+1)/12))))-((P52)*(IF((YEAR(D52)+1)&lt;YEAR(E52),0,IF((YEAR(D52)+1)&gt;YEAR(E52),1,(12-MONTH(E52)+1)/12))) + (R52)*(IF((YEAR(D52)+1)&lt;YEAR(E52),0,IF((YEAR(D52)+1)&gt;YEAR(E52),1,(12-MONTH(E52)+1)/12))))-(IF(OR(N52="",N52&lt;=0),0,(O52/N52)*(IF(OR(N52="",N52&lt;=0),0,IF((YEAR(D52)+1)&lt;YEAR(E52),0,IF((YEAR(D52)+1)&gt;=YEAR(E52)+N52,0,IF((YEAR(D52)+1)=YEAR(E52),(12-MONTH(E52)+1)/12,1))))))))*TaxRate,0))-IF(1=0,O52,0))</f>
        <v/>
      </c>
      <c r="U52" s="29">
        <f>IF(A52="","",((K52)*(IF(M52="",L52,IFERROR(IF(INDEX(Variablen!$I:$AT, MATCH(M52, Variablen!$A:$A, 0), MATCH((YEAR(D52)+2), Variablen!$I$3:$AT$3, 0))="",L52,INDEX(Variablen!$I:$AT, MATCH(M52, Variablen!$A:$A, 0), MATCH((YEAR(D52)+2), Variablen!$I$3:$AT$3, 0))),L52)))*(IF((YEAR(D52)+2)&lt;YEAR(E52),0,IF((YEAR(D52)+2)&gt;YEAR(E52),1,(12-MONTH(E52)+1)/12))) + (Q52)*(IF((YEAR(D52)+2)&lt;YEAR(E52),0,IF((YEAR(D52)+2)&gt;YEAR(E52),1,(12-MONTH(E52)+1)/12))))-((P52)*(IF((YEAR(D52)+2)&lt;YEAR(E52),0,IF((YEAR(D52)+2)&gt;YEAR(E52),1,(12-MONTH(E52)+1)/12))) + (R52)*(IF((YEAR(D52)+2)&lt;YEAR(E52),0,IF((YEAR(D52)+2)&gt;YEAR(E52),1,(12-MONTH(E52)+1)/12))))-(IF((((K52)*(IF(M52="",L52,IFERROR(IF(INDEX(Variablen!$I:$AT, MATCH(M52, Variablen!$A:$A, 0), MATCH((YEAR(D52)+2), Variablen!$I$3:$AT$3, 0))="",L52,INDEX(Variablen!$I:$AT, MATCH(M52, Variablen!$A:$A, 0), MATCH((YEAR(D52)+2), Variablen!$I$3:$AT$3, 0))),L52)))*(IF((YEAR(D52)+2)&lt;YEAR(E52),0,IF((YEAR(D52)+2)&gt;YEAR(E52),1,(12-MONTH(E52)+1)/12))) + (Q52)*(IF((YEAR(D52)+2)&lt;YEAR(E52),0,IF((YEAR(D52)+2)&gt;YEAR(E52),1,(12-MONTH(E52)+1)/12))))-((P52)*(IF((YEAR(D52)+2)&lt;YEAR(E52),0,IF((YEAR(D52)+2)&gt;YEAR(E52),1,(12-MONTH(E52)+1)/12))) + (R52)*(IF((YEAR(D52)+2)&lt;YEAR(E52),0,IF((YEAR(D52)+2)&gt;YEAR(E52),1,(12-MONTH(E52)+1)/12))))-(IF(OR(N52="",N52&lt;=0),0,(O52/N52)*(IF(OR(N52="",N52&lt;=0),0,IF((YEAR(D52)+2)&lt;YEAR(E52),0,IF((YEAR(D52)+2)&gt;=YEAR(E52)+N52,0,IF((YEAR(D52)+2)=YEAR(E52),(12-MONTH(E52)+1)/12,1))))))))&gt;0,(((K52)*(IF(M52="",L52,IFERROR(IF(INDEX(Variablen!$I:$AT, MATCH(M52, Variablen!$A:$A, 0), MATCH((YEAR(D52)+2), Variablen!$I$3:$AT$3, 0))="",L52,INDEX(Variablen!$I:$AT, MATCH(M52, Variablen!$A:$A, 0), MATCH((YEAR(D52)+2), Variablen!$I$3:$AT$3, 0))),L52)))*(IF((YEAR(D52)+2)&lt;YEAR(E52),0,IF((YEAR(D52)+2)&gt;YEAR(E52),1,(12-MONTH(E52)+1)/12))) + (Q52)*(IF((YEAR(D52)+2)&lt;YEAR(E52),0,IF((YEAR(D52)+2)&gt;YEAR(E52),1,(12-MONTH(E52)+1)/12))))-((P52)*(IF((YEAR(D52)+2)&lt;YEAR(E52),0,IF((YEAR(D52)+2)&gt;YEAR(E52),1,(12-MONTH(E52)+1)/12))) + (R52)*(IF((YEAR(D52)+2)&lt;YEAR(E52),0,IF((YEAR(D52)+2)&gt;YEAR(E52),1,(12-MONTH(E52)+1)/12))))-(IF(OR(N52="",N52&lt;=0),0,(O52/N52)*(IF(OR(N52="",N52&lt;=0),0,IF((YEAR(D52)+2)&lt;YEAR(E52),0,IF((YEAR(D52)+2)&gt;=YEAR(E52)+N52,0,IF((YEAR(D52)+2)=YEAR(E52),(12-MONTH(E52)+1)/12,1))))))))*TaxRate,0))-IF(2=0,O52,0))</f>
        <v/>
      </c>
      <c r="V52" s="29">
        <f>IF(A52="","",((K52)*(IF(M52="",L52,IFERROR(IF(INDEX(Variablen!$I:$AT, MATCH(M52, Variablen!$A:$A, 0), MATCH((YEAR(D52)+3), Variablen!$I$3:$AT$3, 0))="",L52,INDEX(Variablen!$I:$AT, MATCH(M52, Variablen!$A:$A, 0), MATCH((YEAR(D52)+3), Variablen!$I$3:$AT$3, 0))),L52)))*(IF((YEAR(D52)+3)&lt;YEAR(E52),0,IF((YEAR(D52)+3)&gt;YEAR(E52),1,(12-MONTH(E52)+1)/12))) + (Q52)*(IF((YEAR(D52)+3)&lt;YEAR(E52),0,IF((YEAR(D52)+3)&gt;YEAR(E52),1,(12-MONTH(E52)+1)/12))))-((P52)*(IF((YEAR(D52)+3)&lt;YEAR(E52),0,IF((YEAR(D52)+3)&gt;YEAR(E52),1,(12-MONTH(E52)+1)/12))) + (R52)*(IF((YEAR(D52)+3)&lt;YEAR(E52),0,IF((YEAR(D52)+3)&gt;YEAR(E52),1,(12-MONTH(E52)+1)/12))))-(IF((((K52)*(IF(M52="",L52,IFERROR(IF(INDEX(Variablen!$I:$AT, MATCH(M52, Variablen!$A:$A, 0), MATCH((YEAR(D52)+3), Variablen!$I$3:$AT$3, 0))="",L52,INDEX(Variablen!$I:$AT, MATCH(M52, Variablen!$A:$A, 0), MATCH((YEAR(D52)+3), Variablen!$I$3:$AT$3, 0))),L52)))*(IF((YEAR(D52)+3)&lt;YEAR(E52),0,IF((YEAR(D52)+3)&gt;YEAR(E52),1,(12-MONTH(E52)+1)/12))) + (Q52)*(IF((YEAR(D52)+3)&lt;YEAR(E52),0,IF((YEAR(D52)+3)&gt;YEAR(E52),1,(12-MONTH(E52)+1)/12))))-((P52)*(IF((YEAR(D52)+3)&lt;YEAR(E52),0,IF((YEAR(D52)+3)&gt;YEAR(E52),1,(12-MONTH(E52)+1)/12))) + (R52)*(IF((YEAR(D52)+3)&lt;YEAR(E52),0,IF((YEAR(D52)+3)&gt;YEAR(E52),1,(12-MONTH(E52)+1)/12))))-(IF(OR(N52="",N52&lt;=0),0,(O52/N52)*(IF(OR(N52="",N52&lt;=0),0,IF((YEAR(D52)+3)&lt;YEAR(E52),0,IF((YEAR(D52)+3)&gt;=YEAR(E52)+N52,0,IF((YEAR(D52)+3)=YEAR(E52),(12-MONTH(E52)+1)/12,1))))))))&gt;0,(((K52)*(IF(M52="",L52,IFERROR(IF(INDEX(Variablen!$I:$AT, MATCH(M52, Variablen!$A:$A, 0), MATCH((YEAR(D52)+3), Variablen!$I$3:$AT$3, 0))="",L52,INDEX(Variablen!$I:$AT, MATCH(M52, Variablen!$A:$A, 0), MATCH((YEAR(D52)+3), Variablen!$I$3:$AT$3, 0))),L52)))*(IF((YEAR(D52)+3)&lt;YEAR(E52),0,IF((YEAR(D52)+3)&gt;YEAR(E52),1,(12-MONTH(E52)+1)/12))) + (Q52)*(IF((YEAR(D52)+3)&lt;YEAR(E52),0,IF((YEAR(D52)+3)&gt;YEAR(E52),1,(12-MONTH(E52)+1)/12))))-((P52)*(IF((YEAR(D52)+3)&lt;YEAR(E52),0,IF((YEAR(D52)+3)&gt;YEAR(E52),1,(12-MONTH(E52)+1)/12))) + (R52)*(IF((YEAR(D52)+3)&lt;YEAR(E52),0,IF((YEAR(D52)+3)&gt;YEAR(E52),1,(12-MONTH(E52)+1)/12))))-(IF(OR(N52="",N52&lt;=0),0,(O52/N52)*(IF(OR(N52="",N52&lt;=0),0,IF((YEAR(D52)+3)&lt;YEAR(E52),0,IF((YEAR(D52)+3)&gt;=YEAR(E52)+N52,0,IF((YEAR(D52)+3)=YEAR(E52),(12-MONTH(E52)+1)/12,1))))))))*TaxRate,0))-IF(3=0,O52,0))</f>
        <v/>
      </c>
      <c r="W52" s="29">
        <f>IF(A52="","",((K52)*(IF(M52="",L52,IFERROR(IF(INDEX(Variablen!$I:$AT, MATCH(M52, Variablen!$A:$A, 0), MATCH((YEAR(D52)+4), Variablen!$I$3:$AT$3, 0))="",L52,INDEX(Variablen!$I:$AT, MATCH(M52, Variablen!$A:$A, 0), MATCH((YEAR(D52)+4), Variablen!$I$3:$AT$3, 0))),L52)))*(IF((YEAR(D52)+4)&lt;YEAR(E52),0,IF((YEAR(D52)+4)&gt;YEAR(E52),1,(12-MONTH(E52)+1)/12))) + (Q52)*(IF((YEAR(D52)+4)&lt;YEAR(E52),0,IF((YEAR(D52)+4)&gt;YEAR(E52),1,(12-MONTH(E52)+1)/12))))-((P52)*(IF((YEAR(D52)+4)&lt;YEAR(E52),0,IF((YEAR(D52)+4)&gt;YEAR(E52),1,(12-MONTH(E52)+1)/12))) + (R52)*(IF((YEAR(D52)+4)&lt;YEAR(E52),0,IF((YEAR(D52)+4)&gt;YEAR(E52),1,(12-MONTH(E52)+1)/12))))-(IF((((K52)*(IF(M52="",L52,IFERROR(IF(INDEX(Variablen!$I:$AT, MATCH(M52, Variablen!$A:$A, 0), MATCH((YEAR(D52)+4), Variablen!$I$3:$AT$3, 0))="",L52,INDEX(Variablen!$I:$AT, MATCH(M52, Variablen!$A:$A, 0), MATCH((YEAR(D52)+4), Variablen!$I$3:$AT$3, 0))),L52)))*(IF((YEAR(D52)+4)&lt;YEAR(E52),0,IF((YEAR(D52)+4)&gt;YEAR(E52),1,(12-MONTH(E52)+1)/12))) + (Q52)*(IF((YEAR(D52)+4)&lt;YEAR(E52),0,IF((YEAR(D52)+4)&gt;YEAR(E52),1,(12-MONTH(E52)+1)/12))))-((P52)*(IF((YEAR(D52)+4)&lt;YEAR(E52),0,IF((YEAR(D52)+4)&gt;YEAR(E52),1,(12-MONTH(E52)+1)/12))) + (R52)*(IF((YEAR(D52)+4)&lt;YEAR(E52),0,IF((YEAR(D52)+4)&gt;YEAR(E52),1,(12-MONTH(E52)+1)/12))))-(IF(OR(N52="",N52&lt;=0),0,(O52/N52)*(IF(OR(N52="",N52&lt;=0),0,IF((YEAR(D52)+4)&lt;YEAR(E52),0,IF((YEAR(D52)+4)&gt;=YEAR(E52)+N52,0,IF((YEAR(D52)+4)=YEAR(E52),(12-MONTH(E52)+1)/12,1))))))))&gt;0,(((K52)*(IF(M52="",L52,IFERROR(IF(INDEX(Variablen!$I:$AT, MATCH(M52, Variablen!$A:$A, 0), MATCH((YEAR(D52)+4), Variablen!$I$3:$AT$3, 0))="",L52,INDEX(Variablen!$I:$AT, MATCH(M52, Variablen!$A:$A, 0), MATCH((YEAR(D52)+4), Variablen!$I$3:$AT$3, 0))),L52)))*(IF((YEAR(D52)+4)&lt;YEAR(E52),0,IF((YEAR(D52)+4)&gt;YEAR(E52),1,(12-MONTH(E52)+1)/12))) + (Q52)*(IF((YEAR(D52)+4)&lt;YEAR(E52),0,IF((YEAR(D52)+4)&gt;YEAR(E52),1,(12-MONTH(E52)+1)/12))))-((P52)*(IF((YEAR(D52)+4)&lt;YEAR(E52),0,IF((YEAR(D52)+4)&gt;YEAR(E52),1,(12-MONTH(E52)+1)/12))) + (R52)*(IF((YEAR(D52)+4)&lt;YEAR(E52),0,IF((YEAR(D52)+4)&gt;YEAR(E52),1,(12-MONTH(E52)+1)/12))))-(IF(OR(N52="",N52&lt;=0),0,(O52/N52)*(IF(OR(N52="",N52&lt;=0),0,IF((YEAR(D52)+4)&lt;YEAR(E52),0,IF((YEAR(D52)+4)&gt;=YEAR(E52)+N52,0,IF((YEAR(D52)+4)=YEAR(E52),(12-MONTH(E52)+1)/12,1))))))))*TaxRate,0))-IF(4=0,O52,0))</f>
        <v/>
      </c>
      <c r="X52" s="29">
        <f>IF(A52="","",((K52)*(IF(M52="",L52,IFERROR(IF(INDEX(Variablen!$I:$AT, MATCH(M52, Variablen!$A:$A, 0), MATCH((YEAR(D52)+5), Variablen!$I$3:$AT$3, 0))="",L52,INDEX(Variablen!$I:$AT, MATCH(M52, Variablen!$A:$A, 0), MATCH((YEAR(D52)+5), Variablen!$I$3:$AT$3, 0))),L52)))*(IF((YEAR(D52)+5)&lt;YEAR(E52),0,IF((YEAR(D52)+5)&gt;YEAR(E52),1,(12-MONTH(E52)+1)/12))) + (Q52)*(IF((YEAR(D52)+5)&lt;YEAR(E52),0,IF((YEAR(D52)+5)&gt;YEAR(E52),1,(12-MONTH(E52)+1)/12))))-((P52)*(IF((YEAR(D52)+5)&lt;YEAR(E52),0,IF((YEAR(D52)+5)&gt;YEAR(E52),1,(12-MONTH(E52)+1)/12))) + (R52)*(IF((YEAR(D52)+5)&lt;YEAR(E52),0,IF((YEAR(D52)+5)&gt;YEAR(E52),1,(12-MONTH(E52)+1)/12))))-(IF((((K52)*(IF(M52="",L52,IFERROR(IF(INDEX(Variablen!$I:$AT, MATCH(M52, Variablen!$A:$A, 0), MATCH((YEAR(D52)+5), Variablen!$I$3:$AT$3, 0))="",L52,INDEX(Variablen!$I:$AT, MATCH(M52, Variablen!$A:$A, 0), MATCH((YEAR(D52)+5), Variablen!$I$3:$AT$3, 0))),L52)))*(IF((YEAR(D52)+5)&lt;YEAR(E52),0,IF((YEAR(D52)+5)&gt;YEAR(E52),1,(12-MONTH(E52)+1)/12))) + (Q52)*(IF((YEAR(D52)+5)&lt;YEAR(E52),0,IF((YEAR(D52)+5)&gt;YEAR(E52),1,(12-MONTH(E52)+1)/12))))-((P52)*(IF((YEAR(D52)+5)&lt;YEAR(E52),0,IF((YEAR(D52)+5)&gt;YEAR(E52),1,(12-MONTH(E52)+1)/12))) + (R52)*(IF((YEAR(D52)+5)&lt;YEAR(E52),0,IF((YEAR(D52)+5)&gt;YEAR(E52),1,(12-MONTH(E52)+1)/12))))-(IF(OR(N52="",N52&lt;=0),0,(O52/N52)*(IF(OR(N52="",N52&lt;=0),0,IF((YEAR(D52)+5)&lt;YEAR(E52),0,IF((YEAR(D52)+5)&gt;=YEAR(E52)+N52,0,IF((YEAR(D52)+5)=YEAR(E52),(12-MONTH(E52)+1)/12,1))))))))&gt;0,(((K52)*(IF(M52="",L52,IFERROR(IF(INDEX(Variablen!$I:$AT, MATCH(M52, Variablen!$A:$A, 0), MATCH((YEAR(D52)+5), Variablen!$I$3:$AT$3, 0))="",L52,INDEX(Variablen!$I:$AT, MATCH(M52, Variablen!$A:$A, 0), MATCH((YEAR(D52)+5), Variablen!$I$3:$AT$3, 0))),L52)))*(IF((YEAR(D52)+5)&lt;YEAR(E52),0,IF((YEAR(D52)+5)&gt;YEAR(E52),1,(12-MONTH(E52)+1)/12))) + (Q52)*(IF((YEAR(D52)+5)&lt;YEAR(E52),0,IF((YEAR(D52)+5)&gt;YEAR(E52),1,(12-MONTH(E52)+1)/12))))-((P52)*(IF((YEAR(D52)+5)&lt;YEAR(E52),0,IF((YEAR(D52)+5)&gt;YEAR(E52),1,(12-MONTH(E52)+1)/12))) + (R52)*(IF((YEAR(D52)+5)&lt;YEAR(E52),0,IF((YEAR(D52)+5)&gt;YEAR(E52),1,(12-MONTH(E52)+1)/12))))-(IF(OR(N52="",N52&lt;=0),0,(O52/N52)*(IF(OR(N52="",N52&lt;=0),0,IF((YEAR(D52)+5)&lt;YEAR(E52),0,IF((YEAR(D52)+5)&gt;=YEAR(E52)+N52,0,IF((YEAR(D52)+5)=YEAR(E52),(12-MONTH(E52)+1)/12,1))))))))*TaxRate,0))-IF(5=0,O52,0))</f>
        <v/>
      </c>
      <c r="Y52" s="29">
        <f>IF(A52="","",((K52)*(IF(M52="",L52,IFERROR(IF(INDEX(Variablen!$I:$AT, MATCH(M52, Variablen!$A:$A, 0), MATCH((YEAR(D52)+6), Variablen!$I$3:$AT$3, 0))="",L52,INDEX(Variablen!$I:$AT, MATCH(M52, Variablen!$A:$A, 0), MATCH((YEAR(D52)+6), Variablen!$I$3:$AT$3, 0))),L52)))*(IF((YEAR(D52)+6)&lt;YEAR(E52),0,IF((YEAR(D52)+6)&gt;YEAR(E52),1,(12-MONTH(E52)+1)/12))) + (Q52)*(IF((YEAR(D52)+6)&lt;YEAR(E52),0,IF((YEAR(D52)+6)&gt;YEAR(E52),1,(12-MONTH(E52)+1)/12))))-((P52)*(IF((YEAR(D52)+6)&lt;YEAR(E52),0,IF((YEAR(D52)+6)&gt;YEAR(E52),1,(12-MONTH(E52)+1)/12))) + (R52)*(IF((YEAR(D52)+6)&lt;YEAR(E52),0,IF((YEAR(D52)+6)&gt;YEAR(E52),1,(12-MONTH(E52)+1)/12))))-(IF((((K52)*(IF(M52="",L52,IFERROR(IF(INDEX(Variablen!$I:$AT, MATCH(M52, Variablen!$A:$A, 0), MATCH((YEAR(D52)+6), Variablen!$I$3:$AT$3, 0))="",L52,INDEX(Variablen!$I:$AT, MATCH(M52, Variablen!$A:$A, 0), MATCH((YEAR(D52)+6), Variablen!$I$3:$AT$3, 0))),L52)))*(IF((YEAR(D52)+6)&lt;YEAR(E52),0,IF((YEAR(D52)+6)&gt;YEAR(E52),1,(12-MONTH(E52)+1)/12))) + (Q52)*(IF((YEAR(D52)+6)&lt;YEAR(E52),0,IF((YEAR(D52)+6)&gt;YEAR(E52),1,(12-MONTH(E52)+1)/12))))-((P52)*(IF((YEAR(D52)+6)&lt;YEAR(E52),0,IF((YEAR(D52)+6)&gt;YEAR(E52),1,(12-MONTH(E52)+1)/12))) + (R52)*(IF((YEAR(D52)+6)&lt;YEAR(E52),0,IF((YEAR(D52)+6)&gt;YEAR(E52),1,(12-MONTH(E52)+1)/12))))-(IF(OR(N52="",N52&lt;=0),0,(O52/N52)*(IF(OR(N52="",N52&lt;=0),0,IF((YEAR(D52)+6)&lt;YEAR(E52),0,IF((YEAR(D52)+6)&gt;=YEAR(E52)+N52,0,IF((YEAR(D52)+6)=YEAR(E52),(12-MONTH(E52)+1)/12,1))))))))&gt;0,(((K52)*(IF(M52="",L52,IFERROR(IF(INDEX(Variablen!$I:$AT, MATCH(M52, Variablen!$A:$A, 0), MATCH((YEAR(D52)+6), Variablen!$I$3:$AT$3, 0))="",L52,INDEX(Variablen!$I:$AT, MATCH(M52, Variablen!$A:$A, 0), MATCH((YEAR(D52)+6), Variablen!$I$3:$AT$3, 0))),L52)))*(IF((YEAR(D52)+6)&lt;YEAR(E52),0,IF((YEAR(D52)+6)&gt;YEAR(E52),1,(12-MONTH(E52)+1)/12))) + (Q52)*(IF((YEAR(D52)+6)&lt;YEAR(E52),0,IF((YEAR(D52)+6)&gt;YEAR(E52),1,(12-MONTH(E52)+1)/12))))-((P52)*(IF((YEAR(D52)+6)&lt;YEAR(E52),0,IF((YEAR(D52)+6)&gt;YEAR(E52),1,(12-MONTH(E52)+1)/12))) + (R52)*(IF((YEAR(D52)+6)&lt;YEAR(E52),0,IF((YEAR(D52)+6)&gt;YEAR(E52),1,(12-MONTH(E52)+1)/12))))-(IF(OR(N52="",N52&lt;=0),0,(O52/N52)*(IF(OR(N52="",N52&lt;=0),0,IF((YEAR(D52)+6)&lt;YEAR(E52),0,IF((YEAR(D52)+6)&gt;=YEAR(E52)+N52,0,IF((YEAR(D52)+6)=YEAR(E52),(12-MONTH(E52)+1)/12,1))))))))*TaxRate,0))-IF(6=0,O52,0))</f>
        <v/>
      </c>
      <c r="Z52" s="29">
        <f>IF(A52="","",((K52)*(IF(M52="",L52,IFERROR(IF(INDEX(Variablen!$I:$AT, MATCH(M52, Variablen!$A:$A, 0), MATCH((YEAR(D52)+7), Variablen!$I$3:$AT$3, 0))="",L52,INDEX(Variablen!$I:$AT, MATCH(M52, Variablen!$A:$A, 0), MATCH((YEAR(D52)+7), Variablen!$I$3:$AT$3, 0))),L52)))*(IF((YEAR(D52)+7)&lt;YEAR(E52),0,IF((YEAR(D52)+7)&gt;YEAR(E52),1,(12-MONTH(E52)+1)/12))) + (Q52)*(IF((YEAR(D52)+7)&lt;YEAR(E52),0,IF((YEAR(D52)+7)&gt;YEAR(E52),1,(12-MONTH(E52)+1)/12))))-((P52)*(IF((YEAR(D52)+7)&lt;YEAR(E52),0,IF((YEAR(D52)+7)&gt;YEAR(E52),1,(12-MONTH(E52)+1)/12))) + (R52)*(IF((YEAR(D52)+7)&lt;YEAR(E52),0,IF((YEAR(D52)+7)&gt;YEAR(E52),1,(12-MONTH(E52)+1)/12))))-(IF((((K52)*(IF(M52="",L52,IFERROR(IF(INDEX(Variablen!$I:$AT, MATCH(M52, Variablen!$A:$A, 0), MATCH((YEAR(D52)+7), Variablen!$I$3:$AT$3, 0))="",L52,INDEX(Variablen!$I:$AT, MATCH(M52, Variablen!$A:$A, 0), MATCH((YEAR(D52)+7), Variablen!$I$3:$AT$3, 0))),L52)))*(IF((YEAR(D52)+7)&lt;YEAR(E52),0,IF((YEAR(D52)+7)&gt;YEAR(E52),1,(12-MONTH(E52)+1)/12))) + (Q52)*(IF((YEAR(D52)+7)&lt;YEAR(E52),0,IF((YEAR(D52)+7)&gt;YEAR(E52),1,(12-MONTH(E52)+1)/12))))-((P52)*(IF((YEAR(D52)+7)&lt;YEAR(E52),0,IF((YEAR(D52)+7)&gt;YEAR(E52),1,(12-MONTH(E52)+1)/12))) + (R52)*(IF((YEAR(D52)+7)&lt;YEAR(E52),0,IF((YEAR(D52)+7)&gt;YEAR(E52),1,(12-MONTH(E52)+1)/12))))-(IF(OR(N52="",N52&lt;=0),0,(O52/N52)*(IF(OR(N52="",N52&lt;=0),0,IF((YEAR(D52)+7)&lt;YEAR(E52),0,IF((YEAR(D52)+7)&gt;=YEAR(E52)+N52,0,IF((YEAR(D52)+7)=YEAR(E52),(12-MONTH(E52)+1)/12,1))))))))&gt;0,(((K52)*(IF(M52="",L52,IFERROR(IF(INDEX(Variablen!$I:$AT, MATCH(M52, Variablen!$A:$A, 0), MATCH((YEAR(D52)+7), Variablen!$I$3:$AT$3, 0))="",L52,INDEX(Variablen!$I:$AT, MATCH(M52, Variablen!$A:$A, 0), MATCH((YEAR(D52)+7), Variablen!$I$3:$AT$3, 0))),L52)))*(IF((YEAR(D52)+7)&lt;YEAR(E52),0,IF((YEAR(D52)+7)&gt;YEAR(E52),1,(12-MONTH(E52)+1)/12))) + (Q52)*(IF((YEAR(D52)+7)&lt;YEAR(E52),0,IF((YEAR(D52)+7)&gt;YEAR(E52),1,(12-MONTH(E52)+1)/12))))-((P52)*(IF((YEAR(D52)+7)&lt;YEAR(E52),0,IF((YEAR(D52)+7)&gt;YEAR(E52),1,(12-MONTH(E52)+1)/12))) + (R52)*(IF((YEAR(D52)+7)&lt;YEAR(E52),0,IF((YEAR(D52)+7)&gt;YEAR(E52),1,(12-MONTH(E52)+1)/12))))-(IF(OR(N52="",N52&lt;=0),0,(O52/N52)*(IF(OR(N52="",N52&lt;=0),0,IF((YEAR(D52)+7)&lt;YEAR(E52),0,IF((YEAR(D52)+7)&gt;=YEAR(E52)+N52,0,IF((YEAR(D52)+7)=YEAR(E52),(12-MONTH(E52)+1)/12,1))))))))*TaxRate,0))-IF(7=0,O52,0))</f>
        <v/>
      </c>
      <c r="AA52" s="29">
        <f>IF(A52="","",((K52)*(IF(M52="",L52,IFERROR(IF(INDEX(Variablen!$I:$AT, MATCH(M52, Variablen!$A:$A, 0), MATCH((YEAR(D52)+8), Variablen!$I$3:$AT$3, 0))="",L52,INDEX(Variablen!$I:$AT, MATCH(M52, Variablen!$A:$A, 0), MATCH((YEAR(D52)+8), Variablen!$I$3:$AT$3, 0))),L52)))*(IF((YEAR(D52)+8)&lt;YEAR(E52),0,IF((YEAR(D52)+8)&gt;YEAR(E52),1,(12-MONTH(E52)+1)/12))) + (Q52)*(IF((YEAR(D52)+8)&lt;YEAR(E52),0,IF((YEAR(D52)+8)&gt;YEAR(E52),1,(12-MONTH(E52)+1)/12))))-((P52)*(IF((YEAR(D52)+8)&lt;YEAR(E52),0,IF((YEAR(D52)+8)&gt;YEAR(E52),1,(12-MONTH(E52)+1)/12))) + (R52)*(IF((YEAR(D52)+8)&lt;YEAR(E52),0,IF((YEAR(D52)+8)&gt;YEAR(E52),1,(12-MONTH(E52)+1)/12))))-(IF((((K52)*(IF(M52="",L52,IFERROR(IF(INDEX(Variablen!$I:$AT, MATCH(M52, Variablen!$A:$A, 0), MATCH((YEAR(D52)+8), Variablen!$I$3:$AT$3, 0))="",L52,INDEX(Variablen!$I:$AT, MATCH(M52, Variablen!$A:$A, 0), MATCH((YEAR(D52)+8), Variablen!$I$3:$AT$3, 0))),L52)))*(IF((YEAR(D52)+8)&lt;YEAR(E52),0,IF((YEAR(D52)+8)&gt;YEAR(E52),1,(12-MONTH(E52)+1)/12))) + (Q52)*(IF((YEAR(D52)+8)&lt;YEAR(E52),0,IF((YEAR(D52)+8)&gt;YEAR(E52),1,(12-MONTH(E52)+1)/12))))-((P52)*(IF((YEAR(D52)+8)&lt;YEAR(E52),0,IF((YEAR(D52)+8)&gt;YEAR(E52),1,(12-MONTH(E52)+1)/12))) + (R52)*(IF((YEAR(D52)+8)&lt;YEAR(E52),0,IF((YEAR(D52)+8)&gt;YEAR(E52),1,(12-MONTH(E52)+1)/12))))-(IF(OR(N52="",N52&lt;=0),0,(O52/N52)*(IF(OR(N52="",N52&lt;=0),0,IF((YEAR(D52)+8)&lt;YEAR(E52),0,IF((YEAR(D52)+8)&gt;=YEAR(E52)+N52,0,IF((YEAR(D52)+8)=YEAR(E52),(12-MONTH(E52)+1)/12,1))))))))&gt;0,(((K52)*(IF(M52="",L52,IFERROR(IF(INDEX(Variablen!$I:$AT, MATCH(M52, Variablen!$A:$A, 0), MATCH((YEAR(D52)+8), Variablen!$I$3:$AT$3, 0))="",L52,INDEX(Variablen!$I:$AT, MATCH(M52, Variablen!$A:$A, 0), MATCH((YEAR(D52)+8), Variablen!$I$3:$AT$3, 0))),L52)))*(IF((YEAR(D52)+8)&lt;YEAR(E52),0,IF((YEAR(D52)+8)&gt;YEAR(E52),1,(12-MONTH(E52)+1)/12))) + (Q52)*(IF((YEAR(D52)+8)&lt;YEAR(E52),0,IF((YEAR(D52)+8)&gt;YEAR(E52),1,(12-MONTH(E52)+1)/12))))-((P52)*(IF((YEAR(D52)+8)&lt;YEAR(E52),0,IF((YEAR(D52)+8)&gt;YEAR(E52),1,(12-MONTH(E52)+1)/12))) + (R52)*(IF((YEAR(D52)+8)&lt;YEAR(E52),0,IF((YEAR(D52)+8)&gt;YEAR(E52),1,(12-MONTH(E52)+1)/12))))-(IF(OR(N52="",N52&lt;=0),0,(O52/N52)*(IF(OR(N52="",N52&lt;=0),0,IF((YEAR(D52)+8)&lt;YEAR(E52),0,IF((YEAR(D52)+8)&gt;=YEAR(E52)+N52,0,IF((YEAR(D52)+8)=YEAR(E52),(12-MONTH(E52)+1)/12,1))))))))*TaxRate,0))-IF(8=0,O52,0))</f>
        <v/>
      </c>
      <c r="AB52" s="29">
        <f>IF(A52="","",((K52)*(IF(M52="",L52,IFERROR(IF(INDEX(Variablen!$I:$AT, MATCH(M52, Variablen!$A:$A, 0), MATCH((YEAR(D52)+9), Variablen!$I$3:$AT$3, 0))="",L52,INDEX(Variablen!$I:$AT, MATCH(M52, Variablen!$A:$A, 0), MATCH((YEAR(D52)+9), Variablen!$I$3:$AT$3, 0))),L52)))*(IF((YEAR(D52)+9)&lt;YEAR(E52),0,IF((YEAR(D52)+9)&gt;YEAR(E52),1,(12-MONTH(E52)+1)/12))) + (Q52)*(IF((YEAR(D52)+9)&lt;YEAR(E52),0,IF((YEAR(D52)+9)&gt;YEAR(E52),1,(12-MONTH(E52)+1)/12))))-((P52)*(IF((YEAR(D52)+9)&lt;YEAR(E52),0,IF((YEAR(D52)+9)&gt;YEAR(E52),1,(12-MONTH(E52)+1)/12))) + (R52)*(IF((YEAR(D52)+9)&lt;YEAR(E52),0,IF((YEAR(D52)+9)&gt;YEAR(E52),1,(12-MONTH(E52)+1)/12))))-(IF((((K52)*(IF(M52="",L52,IFERROR(IF(INDEX(Variablen!$I:$AT, MATCH(M52, Variablen!$A:$A, 0), MATCH((YEAR(D52)+9), Variablen!$I$3:$AT$3, 0))="",L52,INDEX(Variablen!$I:$AT, MATCH(M52, Variablen!$A:$A, 0), MATCH((YEAR(D52)+9), Variablen!$I$3:$AT$3, 0))),L52)))*(IF((YEAR(D52)+9)&lt;YEAR(E52),0,IF((YEAR(D52)+9)&gt;YEAR(E52),1,(12-MONTH(E52)+1)/12))) + (Q52)*(IF((YEAR(D52)+9)&lt;YEAR(E52),0,IF((YEAR(D52)+9)&gt;YEAR(E52),1,(12-MONTH(E52)+1)/12))))-((P52)*(IF((YEAR(D52)+9)&lt;YEAR(E52),0,IF((YEAR(D52)+9)&gt;YEAR(E52),1,(12-MONTH(E52)+1)/12))) + (R52)*(IF((YEAR(D52)+9)&lt;YEAR(E52),0,IF((YEAR(D52)+9)&gt;YEAR(E52),1,(12-MONTH(E52)+1)/12))))-(IF(OR(N52="",N52&lt;=0),0,(O52/N52)*(IF(OR(N52="",N52&lt;=0),0,IF((YEAR(D52)+9)&lt;YEAR(E52),0,IF((YEAR(D52)+9)&gt;=YEAR(E52)+N52,0,IF((YEAR(D52)+9)=YEAR(E52),(12-MONTH(E52)+1)/12,1))))))))&gt;0,(((K52)*(IF(M52="",L52,IFERROR(IF(INDEX(Variablen!$I:$AT, MATCH(M52, Variablen!$A:$A, 0), MATCH((YEAR(D52)+9), Variablen!$I$3:$AT$3, 0))="",L52,INDEX(Variablen!$I:$AT, MATCH(M52, Variablen!$A:$A, 0), MATCH((YEAR(D52)+9), Variablen!$I$3:$AT$3, 0))),L52)))*(IF((YEAR(D52)+9)&lt;YEAR(E52),0,IF((YEAR(D52)+9)&gt;YEAR(E52),1,(12-MONTH(E52)+1)/12))) + (Q52)*(IF((YEAR(D52)+9)&lt;YEAR(E52),0,IF((YEAR(D52)+9)&gt;YEAR(E52),1,(12-MONTH(E52)+1)/12))))-((P52)*(IF((YEAR(D52)+9)&lt;YEAR(E52),0,IF((YEAR(D52)+9)&gt;YEAR(E52),1,(12-MONTH(E52)+1)/12))) + (R52)*(IF((YEAR(D52)+9)&lt;YEAR(E52),0,IF((YEAR(D52)+9)&gt;YEAR(E52),1,(12-MONTH(E52)+1)/12))))-(IF(OR(N52="",N52&lt;=0),0,(O52/N52)*(IF(OR(N52="",N52&lt;=0),0,IF((YEAR(D52)+9)&lt;YEAR(E52),0,IF((YEAR(D52)+9)&gt;=YEAR(E52)+N52,0,IF((YEAR(D52)+9)=YEAR(E52),(12-MONTH(E52)+1)/12,1))))))))*TaxRate,0))-IF(9=0,O52,0))</f>
        <v/>
      </c>
      <c r="AC52" s="29">
        <f>IF(A52="","",((K52)*(IF(M52="",L52,IFERROR(IF(INDEX(Variablen!$I:$AT, MATCH(M52, Variablen!$A:$A, 0), MATCH((YEAR(D52)+10), Variablen!$I$3:$AT$3, 0))="",L52,INDEX(Variablen!$I:$AT, MATCH(M52, Variablen!$A:$A, 0), MATCH((YEAR(D52)+10), Variablen!$I$3:$AT$3, 0))),L52)))*(IF((YEAR(D52)+10)&lt;YEAR(E52),0,IF((YEAR(D52)+10)&gt;YEAR(E52),1,(12-MONTH(E52)+1)/12))) + (Q52)*(IF((YEAR(D52)+10)&lt;YEAR(E52),0,IF((YEAR(D52)+10)&gt;YEAR(E52),1,(12-MONTH(E52)+1)/12))))-((P52)*(IF((YEAR(D52)+10)&lt;YEAR(E52),0,IF((YEAR(D52)+10)&gt;YEAR(E52),1,(12-MONTH(E52)+1)/12))) + (R52)*(IF((YEAR(D52)+10)&lt;YEAR(E52),0,IF((YEAR(D52)+10)&gt;YEAR(E52),1,(12-MONTH(E52)+1)/12))))-(IF((((K52)*(IF(M52="",L52,IFERROR(IF(INDEX(Variablen!$I:$AT, MATCH(M52, Variablen!$A:$A, 0), MATCH((YEAR(D52)+10), Variablen!$I$3:$AT$3, 0))="",L52,INDEX(Variablen!$I:$AT, MATCH(M52, Variablen!$A:$A, 0), MATCH((YEAR(D52)+10), Variablen!$I$3:$AT$3, 0))),L52)))*(IF((YEAR(D52)+10)&lt;YEAR(E52),0,IF((YEAR(D52)+10)&gt;YEAR(E52),1,(12-MONTH(E52)+1)/12))) + (Q52)*(IF((YEAR(D52)+10)&lt;YEAR(E52),0,IF((YEAR(D52)+10)&gt;YEAR(E52),1,(12-MONTH(E52)+1)/12))))-((P52)*(IF((YEAR(D52)+10)&lt;YEAR(E52),0,IF((YEAR(D52)+10)&gt;YEAR(E52),1,(12-MONTH(E52)+1)/12))) + (R52)*(IF((YEAR(D52)+10)&lt;YEAR(E52),0,IF((YEAR(D52)+10)&gt;YEAR(E52),1,(12-MONTH(E52)+1)/12))))-(IF(OR(N52="",N52&lt;=0),0,(O52/N52)*(IF(OR(N52="",N52&lt;=0),0,IF((YEAR(D52)+10)&lt;YEAR(E52),0,IF((YEAR(D52)+10)&gt;=YEAR(E52)+N52,0,IF((YEAR(D52)+10)=YEAR(E52),(12-MONTH(E52)+1)/12,1))))))))&gt;0,(((K52)*(IF(M52="",L52,IFERROR(IF(INDEX(Variablen!$I:$AT, MATCH(M52, Variablen!$A:$A, 0), MATCH((YEAR(D52)+10), Variablen!$I$3:$AT$3, 0))="",L52,INDEX(Variablen!$I:$AT, MATCH(M52, Variablen!$A:$A, 0), MATCH((YEAR(D52)+10), Variablen!$I$3:$AT$3, 0))),L52)))*(IF((YEAR(D52)+10)&lt;YEAR(E52),0,IF((YEAR(D52)+10)&gt;YEAR(E52),1,(12-MONTH(E52)+1)/12))) + (Q52)*(IF((YEAR(D52)+10)&lt;YEAR(E52),0,IF((YEAR(D52)+10)&gt;YEAR(E52),1,(12-MONTH(E52)+1)/12))))-((P52)*(IF((YEAR(D52)+10)&lt;YEAR(E52),0,IF((YEAR(D52)+10)&gt;YEAR(E52),1,(12-MONTH(E52)+1)/12))) + (R52)*(IF((YEAR(D52)+10)&lt;YEAR(E52),0,IF((YEAR(D52)+10)&gt;YEAR(E52),1,(12-MONTH(E52)+1)/12))))-(IF(OR(N52="",N52&lt;=0),0,(O52/N52)*(IF(OR(N52="",N52&lt;=0),0,IF((YEAR(D52)+10)&lt;YEAR(E52),0,IF((YEAR(D52)+10)&gt;=YEAR(E52)+N52,0,IF((YEAR(D52)+10)=YEAR(E52),(12-MONTH(E52)+1)/12,1))))))))*TaxRate,0))-IF(10=0,O52,0))</f>
        <v/>
      </c>
      <c r="AD52" s="29">
        <f>IF(A52="","",((K52)*(IF(M52="",L52,IFERROR(IF(INDEX(Variablen!$I:$AT, MATCH(M52, Variablen!$A:$A, 0), MATCH((YEAR(D52)+11), Variablen!$I$3:$AT$3, 0))="",L52,INDEX(Variablen!$I:$AT, MATCH(M52, Variablen!$A:$A, 0), MATCH((YEAR(D52)+11), Variablen!$I$3:$AT$3, 0))),L52)))*(IF((YEAR(D52)+11)&lt;YEAR(E52),0,IF((YEAR(D52)+11)&gt;YEAR(E52),1,(12-MONTH(E52)+1)/12))) + (Q52)*(IF((YEAR(D52)+11)&lt;YEAR(E52),0,IF((YEAR(D52)+11)&gt;YEAR(E52),1,(12-MONTH(E52)+1)/12))))-((P52)*(IF((YEAR(D52)+11)&lt;YEAR(E52),0,IF((YEAR(D52)+11)&gt;YEAR(E52),1,(12-MONTH(E52)+1)/12))) + (R52)*(IF((YEAR(D52)+11)&lt;YEAR(E52),0,IF((YEAR(D52)+11)&gt;YEAR(E52),1,(12-MONTH(E52)+1)/12))))-(IF((((K52)*(IF(M52="",L52,IFERROR(IF(INDEX(Variablen!$I:$AT, MATCH(M52, Variablen!$A:$A, 0), MATCH((YEAR(D52)+11), Variablen!$I$3:$AT$3, 0))="",L52,INDEX(Variablen!$I:$AT, MATCH(M52, Variablen!$A:$A, 0), MATCH((YEAR(D52)+11), Variablen!$I$3:$AT$3, 0))),L52)))*(IF((YEAR(D52)+11)&lt;YEAR(E52),0,IF((YEAR(D52)+11)&gt;YEAR(E52),1,(12-MONTH(E52)+1)/12))) + (Q52)*(IF((YEAR(D52)+11)&lt;YEAR(E52),0,IF((YEAR(D52)+11)&gt;YEAR(E52),1,(12-MONTH(E52)+1)/12))))-((P52)*(IF((YEAR(D52)+11)&lt;YEAR(E52),0,IF((YEAR(D52)+11)&gt;YEAR(E52),1,(12-MONTH(E52)+1)/12))) + (R52)*(IF((YEAR(D52)+11)&lt;YEAR(E52),0,IF((YEAR(D52)+11)&gt;YEAR(E52),1,(12-MONTH(E52)+1)/12))))-(IF(OR(N52="",N52&lt;=0),0,(O52/N52)*(IF(OR(N52="",N52&lt;=0),0,IF((YEAR(D52)+11)&lt;YEAR(E52),0,IF((YEAR(D52)+11)&gt;=YEAR(E52)+N52,0,IF((YEAR(D52)+11)=YEAR(E52),(12-MONTH(E52)+1)/12,1))))))))&gt;0,(((K52)*(IF(M52="",L52,IFERROR(IF(INDEX(Variablen!$I:$AT, MATCH(M52, Variablen!$A:$A, 0), MATCH((YEAR(D52)+11), Variablen!$I$3:$AT$3, 0))="",L52,INDEX(Variablen!$I:$AT, MATCH(M52, Variablen!$A:$A, 0), MATCH((YEAR(D52)+11), Variablen!$I$3:$AT$3, 0))),L52)))*(IF((YEAR(D52)+11)&lt;YEAR(E52),0,IF((YEAR(D52)+11)&gt;YEAR(E52),1,(12-MONTH(E52)+1)/12))) + (Q52)*(IF((YEAR(D52)+11)&lt;YEAR(E52),0,IF((YEAR(D52)+11)&gt;YEAR(E52),1,(12-MONTH(E52)+1)/12))))-((P52)*(IF((YEAR(D52)+11)&lt;YEAR(E52),0,IF((YEAR(D52)+11)&gt;YEAR(E52),1,(12-MONTH(E52)+1)/12))) + (R52)*(IF((YEAR(D52)+11)&lt;YEAR(E52),0,IF((YEAR(D52)+11)&gt;YEAR(E52),1,(12-MONTH(E52)+1)/12))))-(IF(OR(N52="",N52&lt;=0),0,(O52/N52)*(IF(OR(N52="",N52&lt;=0),0,IF((YEAR(D52)+11)&lt;YEAR(E52),0,IF((YEAR(D52)+11)&gt;=YEAR(E52)+N52,0,IF((YEAR(D52)+11)=YEAR(E52),(12-MONTH(E52)+1)/12,1))))))))*TaxRate,0))-IF(11=0,O52,0))</f>
        <v/>
      </c>
      <c r="AE52" s="29">
        <f>IF(A52="","",((K52)*(IF(M52="",L52,IFERROR(IF(INDEX(Variablen!$I:$AT, MATCH(M52, Variablen!$A:$A, 0), MATCH((YEAR(D52)+12), Variablen!$I$3:$AT$3, 0))="",L52,INDEX(Variablen!$I:$AT, MATCH(M52, Variablen!$A:$A, 0), MATCH((YEAR(D52)+12), Variablen!$I$3:$AT$3, 0))),L52)))*(IF((YEAR(D52)+12)&lt;YEAR(E52),0,IF((YEAR(D52)+12)&gt;YEAR(E52),1,(12-MONTH(E52)+1)/12))) + (Q52)*(IF((YEAR(D52)+12)&lt;YEAR(E52),0,IF((YEAR(D52)+12)&gt;YEAR(E52),1,(12-MONTH(E52)+1)/12))))-((P52)*(IF((YEAR(D52)+12)&lt;YEAR(E52),0,IF((YEAR(D52)+12)&gt;YEAR(E52),1,(12-MONTH(E52)+1)/12))) + (R52)*(IF((YEAR(D52)+12)&lt;YEAR(E52),0,IF((YEAR(D52)+12)&gt;YEAR(E52),1,(12-MONTH(E52)+1)/12))))-(IF((((K52)*(IF(M52="",L52,IFERROR(IF(INDEX(Variablen!$I:$AT, MATCH(M52, Variablen!$A:$A, 0), MATCH((YEAR(D52)+12), Variablen!$I$3:$AT$3, 0))="",L52,INDEX(Variablen!$I:$AT, MATCH(M52, Variablen!$A:$A, 0), MATCH((YEAR(D52)+12), Variablen!$I$3:$AT$3, 0))),L52)))*(IF((YEAR(D52)+12)&lt;YEAR(E52),0,IF((YEAR(D52)+12)&gt;YEAR(E52),1,(12-MONTH(E52)+1)/12))) + (Q52)*(IF((YEAR(D52)+12)&lt;YEAR(E52),0,IF((YEAR(D52)+12)&gt;YEAR(E52),1,(12-MONTH(E52)+1)/12))))-((P52)*(IF((YEAR(D52)+12)&lt;YEAR(E52),0,IF((YEAR(D52)+12)&gt;YEAR(E52),1,(12-MONTH(E52)+1)/12))) + (R52)*(IF((YEAR(D52)+12)&lt;YEAR(E52),0,IF((YEAR(D52)+12)&gt;YEAR(E52),1,(12-MONTH(E52)+1)/12))))-(IF(OR(N52="",N52&lt;=0),0,(O52/N52)*(IF(OR(N52="",N52&lt;=0),0,IF((YEAR(D52)+12)&lt;YEAR(E52),0,IF((YEAR(D52)+12)&gt;=YEAR(E52)+N52,0,IF((YEAR(D52)+12)=YEAR(E52),(12-MONTH(E52)+1)/12,1))))))))&gt;0,(((K52)*(IF(M52="",L52,IFERROR(IF(INDEX(Variablen!$I:$AT, MATCH(M52, Variablen!$A:$A, 0), MATCH((YEAR(D52)+12), Variablen!$I$3:$AT$3, 0))="",L52,INDEX(Variablen!$I:$AT, MATCH(M52, Variablen!$A:$A, 0), MATCH((YEAR(D52)+12), Variablen!$I$3:$AT$3, 0))),L52)))*(IF((YEAR(D52)+12)&lt;YEAR(E52),0,IF((YEAR(D52)+12)&gt;YEAR(E52),1,(12-MONTH(E52)+1)/12))) + (Q52)*(IF((YEAR(D52)+12)&lt;YEAR(E52),0,IF((YEAR(D52)+12)&gt;YEAR(E52),1,(12-MONTH(E52)+1)/12))))-((P52)*(IF((YEAR(D52)+12)&lt;YEAR(E52),0,IF((YEAR(D52)+12)&gt;YEAR(E52),1,(12-MONTH(E52)+1)/12))) + (R52)*(IF((YEAR(D52)+12)&lt;YEAR(E52),0,IF((YEAR(D52)+12)&gt;YEAR(E52),1,(12-MONTH(E52)+1)/12))))-(IF(OR(N52="",N52&lt;=0),0,(O52/N52)*(IF(OR(N52="",N52&lt;=0),0,IF((YEAR(D52)+12)&lt;YEAR(E52),0,IF((YEAR(D52)+12)&gt;=YEAR(E52)+N52,0,IF((YEAR(D52)+12)=YEAR(E52),(12-MONTH(E52)+1)/12,1))))))))*TaxRate,0))-IF(12=0,O52,0))</f>
        <v/>
      </c>
      <c r="AF52" s="29">
        <f>IF(A52="","",((K52)*(IF(M52="",L52,IFERROR(IF(INDEX(Variablen!$I:$AT, MATCH(M52, Variablen!$A:$A, 0), MATCH((YEAR(D52)+13), Variablen!$I$3:$AT$3, 0))="",L52,INDEX(Variablen!$I:$AT, MATCH(M52, Variablen!$A:$A, 0), MATCH((YEAR(D52)+13), Variablen!$I$3:$AT$3, 0))),L52)))*(IF((YEAR(D52)+13)&lt;YEAR(E52),0,IF((YEAR(D52)+13)&gt;YEAR(E52),1,(12-MONTH(E52)+1)/12))) + (Q52)*(IF((YEAR(D52)+13)&lt;YEAR(E52),0,IF((YEAR(D52)+13)&gt;YEAR(E52),1,(12-MONTH(E52)+1)/12))))-((P52)*(IF((YEAR(D52)+13)&lt;YEAR(E52),0,IF((YEAR(D52)+13)&gt;YEAR(E52),1,(12-MONTH(E52)+1)/12))) + (R52)*(IF((YEAR(D52)+13)&lt;YEAR(E52),0,IF((YEAR(D52)+13)&gt;YEAR(E52),1,(12-MONTH(E52)+1)/12))))-(IF((((K52)*(IF(M52="",L52,IFERROR(IF(INDEX(Variablen!$I:$AT, MATCH(M52, Variablen!$A:$A, 0), MATCH((YEAR(D52)+13), Variablen!$I$3:$AT$3, 0))="",L52,INDEX(Variablen!$I:$AT, MATCH(M52, Variablen!$A:$A, 0), MATCH((YEAR(D52)+13), Variablen!$I$3:$AT$3, 0))),L52)))*(IF((YEAR(D52)+13)&lt;YEAR(E52),0,IF((YEAR(D52)+13)&gt;YEAR(E52),1,(12-MONTH(E52)+1)/12))) + (Q52)*(IF((YEAR(D52)+13)&lt;YEAR(E52),0,IF((YEAR(D52)+13)&gt;YEAR(E52),1,(12-MONTH(E52)+1)/12))))-((P52)*(IF((YEAR(D52)+13)&lt;YEAR(E52),0,IF((YEAR(D52)+13)&gt;YEAR(E52),1,(12-MONTH(E52)+1)/12))) + (R52)*(IF((YEAR(D52)+13)&lt;YEAR(E52),0,IF((YEAR(D52)+13)&gt;YEAR(E52),1,(12-MONTH(E52)+1)/12))))-(IF(OR(N52="",N52&lt;=0),0,(O52/N52)*(IF(OR(N52="",N52&lt;=0),0,IF((YEAR(D52)+13)&lt;YEAR(E52),0,IF((YEAR(D52)+13)&gt;=YEAR(E52)+N52,0,IF((YEAR(D52)+13)=YEAR(E52),(12-MONTH(E52)+1)/12,1))))))))&gt;0,(((K52)*(IF(M52="",L52,IFERROR(IF(INDEX(Variablen!$I:$AT, MATCH(M52, Variablen!$A:$A, 0), MATCH((YEAR(D52)+13), Variablen!$I$3:$AT$3, 0))="",L52,INDEX(Variablen!$I:$AT, MATCH(M52, Variablen!$A:$A, 0), MATCH((YEAR(D52)+13), Variablen!$I$3:$AT$3, 0))),L52)))*(IF((YEAR(D52)+13)&lt;YEAR(E52),0,IF((YEAR(D52)+13)&gt;YEAR(E52),1,(12-MONTH(E52)+1)/12))) + (Q52)*(IF((YEAR(D52)+13)&lt;YEAR(E52),0,IF((YEAR(D52)+13)&gt;YEAR(E52),1,(12-MONTH(E52)+1)/12))))-((P52)*(IF((YEAR(D52)+13)&lt;YEAR(E52),0,IF((YEAR(D52)+13)&gt;YEAR(E52),1,(12-MONTH(E52)+1)/12))) + (R52)*(IF((YEAR(D52)+13)&lt;YEAR(E52),0,IF((YEAR(D52)+13)&gt;YEAR(E52),1,(12-MONTH(E52)+1)/12))))-(IF(OR(N52="",N52&lt;=0),0,(O52/N52)*(IF(OR(N52="",N52&lt;=0),0,IF((YEAR(D52)+13)&lt;YEAR(E52),0,IF((YEAR(D52)+13)&gt;=YEAR(E52)+N52,0,IF((YEAR(D52)+13)=YEAR(E52),(12-MONTH(E52)+1)/12,1))))))))*TaxRate,0))-IF(13=0,O52,0))</f>
        <v/>
      </c>
      <c r="AG52" s="29">
        <f>IF(A52="","",((K52)*(IF(M52="",L52,IFERROR(IF(INDEX(Variablen!$I:$AT, MATCH(M52, Variablen!$A:$A, 0), MATCH((YEAR(D52)+14), Variablen!$I$3:$AT$3, 0))="",L52,INDEX(Variablen!$I:$AT, MATCH(M52, Variablen!$A:$A, 0), MATCH((YEAR(D52)+14), Variablen!$I$3:$AT$3, 0))),L52)))*(IF((YEAR(D52)+14)&lt;YEAR(E52),0,IF((YEAR(D52)+14)&gt;YEAR(E52),1,(12-MONTH(E52)+1)/12))) + (Q52)*(IF((YEAR(D52)+14)&lt;YEAR(E52),0,IF((YEAR(D52)+14)&gt;YEAR(E52),1,(12-MONTH(E52)+1)/12))))-((P52)*(IF((YEAR(D52)+14)&lt;YEAR(E52),0,IF((YEAR(D52)+14)&gt;YEAR(E52),1,(12-MONTH(E52)+1)/12))) + (R52)*(IF((YEAR(D52)+14)&lt;YEAR(E52),0,IF((YEAR(D52)+14)&gt;YEAR(E52),1,(12-MONTH(E52)+1)/12))))-(IF((((K52)*(IF(M52="",L52,IFERROR(IF(INDEX(Variablen!$I:$AT, MATCH(M52, Variablen!$A:$A, 0), MATCH((YEAR(D52)+14), Variablen!$I$3:$AT$3, 0))="",L52,INDEX(Variablen!$I:$AT, MATCH(M52, Variablen!$A:$A, 0), MATCH((YEAR(D52)+14), Variablen!$I$3:$AT$3, 0))),L52)))*(IF((YEAR(D52)+14)&lt;YEAR(E52),0,IF((YEAR(D52)+14)&gt;YEAR(E52),1,(12-MONTH(E52)+1)/12))) + (Q52)*(IF((YEAR(D52)+14)&lt;YEAR(E52),0,IF((YEAR(D52)+14)&gt;YEAR(E52),1,(12-MONTH(E52)+1)/12))))-((P52)*(IF((YEAR(D52)+14)&lt;YEAR(E52),0,IF((YEAR(D52)+14)&gt;YEAR(E52),1,(12-MONTH(E52)+1)/12))) + (R52)*(IF((YEAR(D52)+14)&lt;YEAR(E52),0,IF((YEAR(D52)+14)&gt;YEAR(E52),1,(12-MONTH(E52)+1)/12))))-(IF(OR(N52="",N52&lt;=0),0,(O52/N52)*(IF(OR(N52="",N52&lt;=0),0,IF((YEAR(D52)+14)&lt;YEAR(E52),0,IF((YEAR(D52)+14)&gt;=YEAR(E52)+N52,0,IF((YEAR(D52)+14)=YEAR(E52),(12-MONTH(E52)+1)/12,1))))))))&gt;0,(((K52)*(IF(M52="",L52,IFERROR(IF(INDEX(Variablen!$I:$AT, MATCH(M52, Variablen!$A:$A, 0), MATCH((YEAR(D52)+14), Variablen!$I$3:$AT$3, 0))="",L52,INDEX(Variablen!$I:$AT, MATCH(M52, Variablen!$A:$A, 0), MATCH((YEAR(D52)+14), Variablen!$I$3:$AT$3, 0))),L52)))*(IF((YEAR(D52)+14)&lt;YEAR(E52),0,IF((YEAR(D52)+14)&gt;YEAR(E52),1,(12-MONTH(E52)+1)/12))) + (Q52)*(IF((YEAR(D52)+14)&lt;YEAR(E52),0,IF((YEAR(D52)+14)&gt;YEAR(E52),1,(12-MONTH(E52)+1)/12))))-((P52)*(IF((YEAR(D52)+14)&lt;YEAR(E52),0,IF((YEAR(D52)+14)&gt;YEAR(E52),1,(12-MONTH(E52)+1)/12))) + (R52)*(IF((YEAR(D52)+14)&lt;YEAR(E52),0,IF((YEAR(D52)+14)&gt;YEAR(E52),1,(12-MONTH(E52)+1)/12))))-(IF(OR(N52="",N52&lt;=0),0,(O52/N52)*(IF(OR(N52="",N52&lt;=0),0,IF((YEAR(D52)+14)&lt;YEAR(E52),0,IF((YEAR(D52)+14)&gt;=YEAR(E52)+N52,0,IF((YEAR(D52)+14)=YEAR(E52),(12-MONTH(E52)+1)/12,1))))))))*TaxRate,0))-IF(14=0,O52,0))</f>
        <v/>
      </c>
      <c r="AH52" s="29">
        <f>IF(A52="","",((K52)*(IF(M52="",L52,IFERROR(IF(INDEX(Variablen!$I:$AT, MATCH(M52, Variablen!$A:$A, 0), MATCH((YEAR(D52)+15), Variablen!$I$3:$AT$3, 0))="",L52,INDEX(Variablen!$I:$AT, MATCH(M52, Variablen!$A:$A, 0), MATCH((YEAR(D52)+15), Variablen!$I$3:$AT$3, 0))),L52)))*(IF((YEAR(D52)+15)&lt;YEAR(E52),0,IF((YEAR(D52)+15)&gt;YEAR(E52),1,(12-MONTH(E52)+1)/12))) + (Q52)*(IF((YEAR(D52)+15)&lt;YEAR(E52),0,IF((YEAR(D52)+15)&gt;YEAR(E52),1,(12-MONTH(E52)+1)/12))))-((P52)*(IF((YEAR(D52)+15)&lt;YEAR(E52),0,IF((YEAR(D52)+15)&gt;YEAR(E52),1,(12-MONTH(E52)+1)/12))) + (R52)*(IF((YEAR(D52)+15)&lt;YEAR(E52),0,IF((YEAR(D52)+15)&gt;YEAR(E52),1,(12-MONTH(E52)+1)/12))))-(IF((((K52)*(IF(M52="",L52,IFERROR(IF(INDEX(Variablen!$I:$AT, MATCH(M52, Variablen!$A:$A, 0), MATCH((YEAR(D52)+15), Variablen!$I$3:$AT$3, 0))="",L52,INDEX(Variablen!$I:$AT, MATCH(M52, Variablen!$A:$A, 0), MATCH((YEAR(D52)+15), Variablen!$I$3:$AT$3, 0))),L52)))*(IF((YEAR(D52)+15)&lt;YEAR(E52),0,IF((YEAR(D52)+15)&gt;YEAR(E52),1,(12-MONTH(E52)+1)/12))) + (Q52)*(IF((YEAR(D52)+15)&lt;YEAR(E52),0,IF((YEAR(D52)+15)&gt;YEAR(E52),1,(12-MONTH(E52)+1)/12))))-((P52)*(IF((YEAR(D52)+15)&lt;YEAR(E52),0,IF((YEAR(D52)+15)&gt;YEAR(E52),1,(12-MONTH(E52)+1)/12))) + (R52)*(IF((YEAR(D52)+15)&lt;YEAR(E52),0,IF((YEAR(D52)+15)&gt;YEAR(E52),1,(12-MONTH(E52)+1)/12))))-(IF(OR(N52="",N52&lt;=0),0,(O52/N52)*(IF(OR(N52="",N52&lt;=0),0,IF((YEAR(D52)+15)&lt;YEAR(E52),0,IF((YEAR(D52)+15)&gt;=YEAR(E52)+N52,0,IF((YEAR(D52)+15)=YEAR(E52),(12-MONTH(E52)+1)/12,1))))))))&gt;0,(((K52)*(IF(M52="",L52,IFERROR(IF(INDEX(Variablen!$I:$AT, MATCH(M52, Variablen!$A:$A, 0), MATCH((YEAR(D52)+15), Variablen!$I$3:$AT$3, 0))="",L52,INDEX(Variablen!$I:$AT, MATCH(M52, Variablen!$A:$A, 0), MATCH((YEAR(D52)+15), Variablen!$I$3:$AT$3, 0))),L52)))*(IF((YEAR(D52)+15)&lt;YEAR(E52),0,IF((YEAR(D52)+15)&gt;YEAR(E52),1,(12-MONTH(E52)+1)/12))) + (Q52)*(IF((YEAR(D52)+15)&lt;YEAR(E52),0,IF((YEAR(D52)+15)&gt;YEAR(E52),1,(12-MONTH(E52)+1)/12))))-((P52)*(IF((YEAR(D52)+15)&lt;YEAR(E52),0,IF((YEAR(D52)+15)&gt;YEAR(E52),1,(12-MONTH(E52)+1)/12))) + (R52)*(IF((YEAR(D52)+15)&lt;YEAR(E52),0,IF((YEAR(D52)+15)&gt;YEAR(E52),1,(12-MONTH(E52)+1)/12))))-(IF(OR(N52="",N52&lt;=0),0,(O52/N52)*(IF(OR(N52="",N52&lt;=0),0,IF((YEAR(D52)+15)&lt;YEAR(E52),0,IF((YEAR(D52)+15)&gt;=YEAR(E52)+N52,0,IF((YEAR(D52)+15)=YEAR(E52),(12-MONTH(E52)+1)/12,1))))))))*TaxRate,0))-IF(15=0,O52,0))</f>
        <v/>
      </c>
      <c r="AI52" s="29">
        <f>IF(A52="","",((K52)*(IF(M52="",L52,IFERROR(IF(INDEX(Variablen!$I:$AT, MATCH(M52, Variablen!$A:$A, 0), MATCH((YEAR(D52)+16), Variablen!$I$3:$AT$3, 0))="",L52,INDEX(Variablen!$I:$AT, MATCH(M52, Variablen!$A:$A, 0), MATCH((YEAR(D52)+16), Variablen!$I$3:$AT$3, 0))),L52)))*(IF((YEAR(D52)+16)&lt;YEAR(E52),0,IF((YEAR(D52)+16)&gt;YEAR(E52),1,(12-MONTH(E52)+1)/12))) + (Q52)*(IF((YEAR(D52)+16)&lt;YEAR(E52),0,IF((YEAR(D52)+16)&gt;YEAR(E52),1,(12-MONTH(E52)+1)/12))))-((P52)*(IF((YEAR(D52)+16)&lt;YEAR(E52),0,IF((YEAR(D52)+16)&gt;YEAR(E52),1,(12-MONTH(E52)+1)/12))) + (R52)*(IF((YEAR(D52)+16)&lt;YEAR(E52),0,IF((YEAR(D52)+16)&gt;YEAR(E52),1,(12-MONTH(E52)+1)/12))))-(IF((((K52)*(IF(M52="",L52,IFERROR(IF(INDEX(Variablen!$I:$AT, MATCH(M52, Variablen!$A:$A, 0), MATCH((YEAR(D52)+16), Variablen!$I$3:$AT$3, 0))="",L52,INDEX(Variablen!$I:$AT, MATCH(M52, Variablen!$A:$A, 0), MATCH((YEAR(D52)+16), Variablen!$I$3:$AT$3, 0))),L52)))*(IF((YEAR(D52)+16)&lt;YEAR(E52),0,IF((YEAR(D52)+16)&gt;YEAR(E52),1,(12-MONTH(E52)+1)/12))) + (Q52)*(IF((YEAR(D52)+16)&lt;YEAR(E52),0,IF((YEAR(D52)+16)&gt;YEAR(E52),1,(12-MONTH(E52)+1)/12))))-((P52)*(IF((YEAR(D52)+16)&lt;YEAR(E52),0,IF((YEAR(D52)+16)&gt;YEAR(E52),1,(12-MONTH(E52)+1)/12))) + (R52)*(IF((YEAR(D52)+16)&lt;YEAR(E52),0,IF((YEAR(D52)+16)&gt;YEAR(E52),1,(12-MONTH(E52)+1)/12))))-(IF(OR(N52="",N52&lt;=0),0,(O52/N52)*(IF(OR(N52="",N52&lt;=0),0,IF((YEAR(D52)+16)&lt;YEAR(E52),0,IF((YEAR(D52)+16)&gt;=YEAR(E52)+N52,0,IF((YEAR(D52)+16)=YEAR(E52),(12-MONTH(E52)+1)/12,1))))))))&gt;0,(((K52)*(IF(M52="",L52,IFERROR(IF(INDEX(Variablen!$I:$AT, MATCH(M52, Variablen!$A:$A, 0), MATCH((YEAR(D52)+16), Variablen!$I$3:$AT$3, 0))="",L52,INDEX(Variablen!$I:$AT, MATCH(M52, Variablen!$A:$A, 0), MATCH((YEAR(D52)+16), Variablen!$I$3:$AT$3, 0))),L52)))*(IF((YEAR(D52)+16)&lt;YEAR(E52),0,IF((YEAR(D52)+16)&gt;YEAR(E52),1,(12-MONTH(E52)+1)/12))) + (Q52)*(IF((YEAR(D52)+16)&lt;YEAR(E52),0,IF((YEAR(D52)+16)&gt;YEAR(E52),1,(12-MONTH(E52)+1)/12))))-((P52)*(IF((YEAR(D52)+16)&lt;YEAR(E52),0,IF((YEAR(D52)+16)&gt;YEAR(E52),1,(12-MONTH(E52)+1)/12))) + (R52)*(IF((YEAR(D52)+16)&lt;YEAR(E52),0,IF((YEAR(D52)+16)&gt;YEAR(E52),1,(12-MONTH(E52)+1)/12))))-(IF(OR(N52="",N52&lt;=0),0,(O52/N52)*(IF(OR(N52="",N52&lt;=0),0,IF((YEAR(D52)+16)&lt;YEAR(E52),0,IF((YEAR(D52)+16)&gt;=YEAR(E52)+N52,0,IF((YEAR(D52)+16)=YEAR(E52),(12-MONTH(E52)+1)/12,1))))))))*TaxRate,0))-IF(16=0,O52,0))</f>
        <v/>
      </c>
      <c r="AJ52" s="29">
        <f>IF(A52="","",((K52)*(IF(M52="",L52,IFERROR(IF(INDEX(Variablen!$I:$AT, MATCH(M52, Variablen!$A:$A, 0), MATCH((YEAR(D52)+17), Variablen!$I$3:$AT$3, 0))="",L52,INDEX(Variablen!$I:$AT, MATCH(M52, Variablen!$A:$A, 0), MATCH((YEAR(D52)+17), Variablen!$I$3:$AT$3, 0))),L52)))*(IF((YEAR(D52)+17)&lt;YEAR(E52),0,IF((YEAR(D52)+17)&gt;YEAR(E52),1,(12-MONTH(E52)+1)/12))) + (Q52)*(IF((YEAR(D52)+17)&lt;YEAR(E52),0,IF((YEAR(D52)+17)&gt;YEAR(E52),1,(12-MONTH(E52)+1)/12))))-((P52)*(IF((YEAR(D52)+17)&lt;YEAR(E52),0,IF((YEAR(D52)+17)&gt;YEAR(E52),1,(12-MONTH(E52)+1)/12))) + (R52)*(IF((YEAR(D52)+17)&lt;YEAR(E52),0,IF((YEAR(D52)+17)&gt;YEAR(E52),1,(12-MONTH(E52)+1)/12))))-(IF((((K52)*(IF(M52="",L52,IFERROR(IF(INDEX(Variablen!$I:$AT, MATCH(M52, Variablen!$A:$A, 0), MATCH((YEAR(D52)+17), Variablen!$I$3:$AT$3, 0))="",L52,INDEX(Variablen!$I:$AT, MATCH(M52, Variablen!$A:$A, 0), MATCH((YEAR(D52)+17), Variablen!$I$3:$AT$3, 0))),L52)))*(IF((YEAR(D52)+17)&lt;YEAR(E52),0,IF((YEAR(D52)+17)&gt;YEAR(E52),1,(12-MONTH(E52)+1)/12))) + (Q52)*(IF((YEAR(D52)+17)&lt;YEAR(E52),0,IF((YEAR(D52)+17)&gt;YEAR(E52),1,(12-MONTH(E52)+1)/12))))-((P52)*(IF((YEAR(D52)+17)&lt;YEAR(E52),0,IF((YEAR(D52)+17)&gt;YEAR(E52),1,(12-MONTH(E52)+1)/12))) + (R52)*(IF((YEAR(D52)+17)&lt;YEAR(E52),0,IF((YEAR(D52)+17)&gt;YEAR(E52),1,(12-MONTH(E52)+1)/12))))-(IF(OR(N52="",N52&lt;=0),0,(O52/N52)*(IF(OR(N52="",N52&lt;=0),0,IF((YEAR(D52)+17)&lt;YEAR(E52),0,IF((YEAR(D52)+17)&gt;=YEAR(E52)+N52,0,IF((YEAR(D52)+17)=YEAR(E52),(12-MONTH(E52)+1)/12,1))))))))&gt;0,(((K52)*(IF(M52="",L52,IFERROR(IF(INDEX(Variablen!$I:$AT, MATCH(M52, Variablen!$A:$A, 0), MATCH((YEAR(D52)+17), Variablen!$I$3:$AT$3, 0))="",L52,INDEX(Variablen!$I:$AT, MATCH(M52, Variablen!$A:$A, 0), MATCH((YEAR(D52)+17), Variablen!$I$3:$AT$3, 0))),L52)))*(IF((YEAR(D52)+17)&lt;YEAR(E52),0,IF((YEAR(D52)+17)&gt;YEAR(E52),1,(12-MONTH(E52)+1)/12))) + (Q52)*(IF((YEAR(D52)+17)&lt;YEAR(E52),0,IF((YEAR(D52)+17)&gt;YEAR(E52),1,(12-MONTH(E52)+1)/12))))-((P52)*(IF((YEAR(D52)+17)&lt;YEAR(E52),0,IF((YEAR(D52)+17)&gt;YEAR(E52),1,(12-MONTH(E52)+1)/12))) + (R52)*(IF((YEAR(D52)+17)&lt;YEAR(E52),0,IF((YEAR(D52)+17)&gt;YEAR(E52),1,(12-MONTH(E52)+1)/12))))-(IF(OR(N52="",N52&lt;=0),0,(O52/N52)*(IF(OR(N52="",N52&lt;=0),0,IF((YEAR(D52)+17)&lt;YEAR(E52),0,IF((YEAR(D52)+17)&gt;=YEAR(E52)+N52,0,IF((YEAR(D52)+17)=YEAR(E52),(12-MONTH(E52)+1)/12,1))))))))*TaxRate,0))-IF(17=0,O52,0))</f>
        <v/>
      </c>
      <c r="AK52" s="29">
        <f>IF(A52="","",((K52)*(IF(M52="",L52,IFERROR(IF(INDEX(Variablen!$I:$AT, MATCH(M52, Variablen!$A:$A, 0), MATCH((YEAR(D52)+18), Variablen!$I$3:$AT$3, 0))="",L52,INDEX(Variablen!$I:$AT, MATCH(M52, Variablen!$A:$A, 0), MATCH((YEAR(D52)+18), Variablen!$I$3:$AT$3, 0))),L52)))*(IF((YEAR(D52)+18)&lt;YEAR(E52),0,IF((YEAR(D52)+18)&gt;YEAR(E52),1,(12-MONTH(E52)+1)/12))) + (Q52)*(IF((YEAR(D52)+18)&lt;YEAR(E52),0,IF((YEAR(D52)+18)&gt;YEAR(E52),1,(12-MONTH(E52)+1)/12))))-((P52)*(IF((YEAR(D52)+18)&lt;YEAR(E52),0,IF((YEAR(D52)+18)&gt;YEAR(E52),1,(12-MONTH(E52)+1)/12))) + (R52)*(IF((YEAR(D52)+18)&lt;YEAR(E52),0,IF((YEAR(D52)+18)&gt;YEAR(E52),1,(12-MONTH(E52)+1)/12))))-(IF((((K52)*(IF(M52="",L52,IFERROR(IF(INDEX(Variablen!$I:$AT, MATCH(M52, Variablen!$A:$A, 0), MATCH((YEAR(D52)+18), Variablen!$I$3:$AT$3, 0))="",L52,INDEX(Variablen!$I:$AT, MATCH(M52, Variablen!$A:$A, 0), MATCH((YEAR(D52)+18), Variablen!$I$3:$AT$3, 0))),L52)))*(IF((YEAR(D52)+18)&lt;YEAR(E52),0,IF((YEAR(D52)+18)&gt;YEAR(E52),1,(12-MONTH(E52)+1)/12))) + (Q52)*(IF((YEAR(D52)+18)&lt;YEAR(E52),0,IF((YEAR(D52)+18)&gt;YEAR(E52),1,(12-MONTH(E52)+1)/12))))-((P52)*(IF((YEAR(D52)+18)&lt;YEAR(E52),0,IF((YEAR(D52)+18)&gt;YEAR(E52),1,(12-MONTH(E52)+1)/12))) + (R52)*(IF((YEAR(D52)+18)&lt;YEAR(E52),0,IF((YEAR(D52)+18)&gt;YEAR(E52),1,(12-MONTH(E52)+1)/12))))-(IF(OR(N52="",N52&lt;=0),0,(O52/N52)*(IF(OR(N52="",N52&lt;=0),0,IF((YEAR(D52)+18)&lt;YEAR(E52),0,IF((YEAR(D52)+18)&gt;=YEAR(E52)+N52,0,IF((YEAR(D52)+18)=YEAR(E52),(12-MONTH(E52)+1)/12,1))))))))&gt;0,(((K52)*(IF(M52="",L52,IFERROR(IF(INDEX(Variablen!$I:$AT, MATCH(M52, Variablen!$A:$A, 0), MATCH((YEAR(D52)+18), Variablen!$I$3:$AT$3, 0))="",L52,INDEX(Variablen!$I:$AT, MATCH(M52, Variablen!$A:$A, 0), MATCH((YEAR(D52)+18), Variablen!$I$3:$AT$3, 0))),L52)))*(IF((YEAR(D52)+18)&lt;YEAR(E52),0,IF((YEAR(D52)+18)&gt;YEAR(E52),1,(12-MONTH(E52)+1)/12))) + (Q52)*(IF((YEAR(D52)+18)&lt;YEAR(E52),0,IF((YEAR(D52)+18)&gt;YEAR(E52),1,(12-MONTH(E52)+1)/12))))-((P52)*(IF((YEAR(D52)+18)&lt;YEAR(E52),0,IF((YEAR(D52)+18)&gt;YEAR(E52),1,(12-MONTH(E52)+1)/12))) + (R52)*(IF((YEAR(D52)+18)&lt;YEAR(E52),0,IF((YEAR(D52)+18)&gt;YEAR(E52),1,(12-MONTH(E52)+1)/12))))-(IF(OR(N52="",N52&lt;=0),0,(O52/N52)*(IF(OR(N52="",N52&lt;=0),0,IF((YEAR(D52)+18)&lt;YEAR(E52),0,IF((YEAR(D52)+18)&gt;=YEAR(E52)+N52,0,IF((YEAR(D52)+18)=YEAR(E52),(12-MONTH(E52)+1)/12,1))))))))*TaxRate,0))-IF(18=0,O52,0))</f>
        <v/>
      </c>
      <c r="AL52" s="29">
        <f>IF(A52="","",((K52)*(IF(M52="",L52,IFERROR(IF(INDEX(Variablen!$I:$AT, MATCH(M52, Variablen!$A:$A, 0), MATCH((YEAR(D52)+19), Variablen!$I$3:$AT$3, 0))="",L52,INDEX(Variablen!$I:$AT, MATCH(M52, Variablen!$A:$A, 0), MATCH((YEAR(D52)+19), Variablen!$I$3:$AT$3, 0))),L52)))*(IF((YEAR(D52)+19)&lt;YEAR(E52),0,IF((YEAR(D52)+19)&gt;YEAR(E52),1,(12-MONTH(E52)+1)/12))) + (Q52)*(IF((YEAR(D52)+19)&lt;YEAR(E52),0,IF((YEAR(D52)+19)&gt;YEAR(E52),1,(12-MONTH(E52)+1)/12))))-((P52)*(IF((YEAR(D52)+19)&lt;YEAR(E52),0,IF((YEAR(D52)+19)&gt;YEAR(E52),1,(12-MONTH(E52)+1)/12))) + (R52)*(IF((YEAR(D52)+19)&lt;YEAR(E52),0,IF((YEAR(D52)+19)&gt;YEAR(E52),1,(12-MONTH(E52)+1)/12))))-(IF((((K52)*(IF(M52="",L52,IFERROR(IF(INDEX(Variablen!$I:$AT, MATCH(M52, Variablen!$A:$A, 0), MATCH((YEAR(D52)+19), Variablen!$I$3:$AT$3, 0))="",L52,INDEX(Variablen!$I:$AT, MATCH(M52, Variablen!$A:$A, 0), MATCH((YEAR(D52)+19), Variablen!$I$3:$AT$3, 0))),L52)))*(IF((YEAR(D52)+19)&lt;YEAR(E52),0,IF((YEAR(D52)+19)&gt;YEAR(E52),1,(12-MONTH(E52)+1)/12))) + (Q52)*(IF((YEAR(D52)+19)&lt;YEAR(E52),0,IF((YEAR(D52)+19)&gt;YEAR(E52),1,(12-MONTH(E52)+1)/12))))-((P52)*(IF((YEAR(D52)+19)&lt;YEAR(E52),0,IF((YEAR(D52)+19)&gt;YEAR(E52),1,(12-MONTH(E52)+1)/12))) + (R52)*(IF((YEAR(D52)+19)&lt;YEAR(E52),0,IF((YEAR(D52)+19)&gt;YEAR(E52),1,(12-MONTH(E52)+1)/12))))-(IF(OR(N52="",N52&lt;=0),0,(O52/N52)*(IF(OR(N52="",N52&lt;=0),0,IF((YEAR(D52)+19)&lt;YEAR(E52),0,IF((YEAR(D52)+19)&gt;=YEAR(E52)+N52,0,IF((YEAR(D52)+19)=YEAR(E52),(12-MONTH(E52)+1)/12,1))))))))&gt;0,(((K52)*(IF(M52="",L52,IFERROR(IF(INDEX(Variablen!$I:$AT, MATCH(M52, Variablen!$A:$A, 0), MATCH((YEAR(D52)+19), Variablen!$I$3:$AT$3, 0))="",L52,INDEX(Variablen!$I:$AT, MATCH(M52, Variablen!$A:$A, 0), MATCH((YEAR(D52)+19), Variablen!$I$3:$AT$3, 0))),L52)))*(IF((YEAR(D52)+19)&lt;YEAR(E52),0,IF((YEAR(D52)+19)&gt;YEAR(E52),1,(12-MONTH(E52)+1)/12))) + (Q52)*(IF((YEAR(D52)+19)&lt;YEAR(E52),0,IF((YEAR(D52)+19)&gt;YEAR(E52),1,(12-MONTH(E52)+1)/12))))-((P52)*(IF((YEAR(D52)+19)&lt;YEAR(E52),0,IF((YEAR(D52)+19)&gt;YEAR(E52),1,(12-MONTH(E52)+1)/12))) + (R52)*(IF((YEAR(D52)+19)&lt;YEAR(E52),0,IF((YEAR(D52)+19)&gt;YEAR(E52),1,(12-MONTH(E52)+1)/12))))-(IF(OR(N52="",N52&lt;=0),0,(O52/N52)*(IF(OR(N52="",N52&lt;=0),0,IF((YEAR(D52)+19)&lt;YEAR(E52),0,IF((YEAR(D52)+19)&gt;=YEAR(E52)+N52,0,IF((YEAR(D52)+19)=YEAR(E52),(12-MONTH(E52)+1)/12,1))))))))*TaxRate,0))-IF(19=0,O52,0))</f>
        <v/>
      </c>
      <c r="AM52" s="29">
        <f>IF(A52="","",((K52)*(IF(M52="",L52,IFERROR(IF(INDEX(Variablen!$I:$AT, MATCH(M52, Variablen!$A:$A, 0), MATCH((YEAR(D52)+20), Variablen!$I$3:$AT$3, 0))="",L52,INDEX(Variablen!$I:$AT, MATCH(M52, Variablen!$A:$A, 0), MATCH((YEAR(D52)+20), Variablen!$I$3:$AT$3, 0))),L52)))*(IF((YEAR(D52)+20)&lt;YEAR(E52),0,IF((YEAR(D52)+20)&gt;YEAR(E52),1,(12-MONTH(E52)+1)/12))) + (Q52)*(IF((YEAR(D52)+20)&lt;YEAR(E52),0,IF((YEAR(D52)+20)&gt;YEAR(E52),1,(12-MONTH(E52)+1)/12))))-((P52)*(IF((YEAR(D52)+20)&lt;YEAR(E52),0,IF((YEAR(D52)+20)&gt;YEAR(E52),1,(12-MONTH(E52)+1)/12))) + (R52)*(IF((YEAR(D52)+20)&lt;YEAR(E52),0,IF((YEAR(D52)+20)&gt;YEAR(E52),1,(12-MONTH(E52)+1)/12))))-(IF((((K52)*(IF(M52="",L52,IFERROR(IF(INDEX(Variablen!$I:$AT, MATCH(M52, Variablen!$A:$A, 0), MATCH((YEAR(D52)+20), Variablen!$I$3:$AT$3, 0))="",L52,INDEX(Variablen!$I:$AT, MATCH(M52, Variablen!$A:$A, 0), MATCH((YEAR(D52)+20), Variablen!$I$3:$AT$3, 0))),L52)))*(IF((YEAR(D52)+20)&lt;YEAR(E52),0,IF((YEAR(D52)+20)&gt;YEAR(E52),1,(12-MONTH(E52)+1)/12))) + (Q52)*(IF((YEAR(D52)+20)&lt;YEAR(E52),0,IF((YEAR(D52)+20)&gt;YEAR(E52),1,(12-MONTH(E52)+1)/12))))-((P52)*(IF((YEAR(D52)+20)&lt;YEAR(E52),0,IF((YEAR(D52)+20)&gt;YEAR(E52),1,(12-MONTH(E52)+1)/12))) + (R52)*(IF((YEAR(D52)+20)&lt;YEAR(E52),0,IF((YEAR(D52)+20)&gt;YEAR(E52),1,(12-MONTH(E52)+1)/12))))-(IF(OR(N52="",N52&lt;=0),0,(O52/N52)*(IF(OR(N52="",N52&lt;=0),0,IF((YEAR(D52)+20)&lt;YEAR(E52),0,IF((YEAR(D52)+20)&gt;=YEAR(E52)+N52,0,IF((YEAR(D52)+20)=YEAR(E52),(12-MONTH(E52)+1)/12,1))))))))&gt;0,(((K52)*(IF(M52="",L52,IFERROR(IF(INDEX(Variablen!$I:$AT, MATCH(M52, Variablen!$A:$A, 0), MATCH((YEAR(D52)+20), Variablen!$I$3:$AT$3, 0))="",L52,INDEX(Variablen!$I:$AT, MATCH(M52, Variablen!$A:$A, 0), MATCH((YEAR(D52)+20), Variablen!$I$3:$AT$3, 0))),L52)))*(IF((YEAR(D52)+20)&lt;YEAR(E52),0,IF((YEAR(D52)+20)&gt;YEAR(E52),1,(12-MONTH(E52)+1)/12))) + (Q52)*(IF((YEAR(D52)+20)&lt;YEAR(E52),0,IF((YEAR(D52)+20)&gt;YEAR(E52),1,(12-MONTH(E52)+1)/12))))-((P52)*(IF((YEAR(D52)+20)&lt;YEAR(E52),0,IF((YEAR(D52)+20)&gt;YEAR(E52),1,(12-MONTH(E52)+1)/12))) + (R52)*(IF((YEAR(D52)+20)&lt;YEAR(E52),0,IF((YEAR(D52)+20)&gt;YEAR(E52),1,(12-MONTH(E52)+1)/12))))-(IF(OR(N52="",N52&lt;=0),0,(O52/N52)*(IF(OR(N52="",N52&lt;=0),0,IF((YEAR(D52)+20)&lt;YEAR(E52),0,IF((YEAR(D52)+20)&gt;=YEAR(E52)+N52,0,IF((YEAR(D52)+20)=YEAR(E52),(12-MONTH(E52)+1)/12,1))))))))*TaxRate,0))-IF(20=0,O52,0))</f>
        <v/>
      </c>
      <c r="AN52" s="29">
        <f>IF(A52="","",S52)</f>
        <v/>
      </c>
      <c r="AO52" s="29">
        <f>IF(A52="","",AN52+T52)</f>
        <v/>
      </c>
      <c r="AP52" s="29">
        <f>IF(A52="","",AO52+U52)</f>
        <v/>
      </c>
      <c r="AQ52" s="29">
        <f>IF(A52="","",AP52+V52)</f>
        <v/>
      </c>
      <c r="AR52" s="29">
        <f>IF(A52="","",AQ52+W52)</f>
        <v/>
      </c>
      <c r="AS52" s="29">
        <f>IF(A52="","",AR52+X52)</f>
        <v/>
      </c>
      <c r="AT52" s="29">
        <f>IF(A52="","",AS52+Y52)</f>
        <v/>
      </c>
      <c r="AU52" s="29">
        <f>IF(A52="","",AT52+Z52)</f>
        <v/>
      </c>
      <c r="AV52" s="29">
        <f>IF(A52="","",AU52+AA52)</f>
        <v/>
      </c>
      <c r="AW52" s="29">
        <f>IF(A52="","",AV52+AB52)</f>
        <v/>
      </c>
      <c r="AX52" s="29">
        <f>IF(A52="","",AW52+AC52)</f>
        <v/>
      </c>
      <c r="AY52" s="29">
        <f>IF(A52="","",AX52+AD52)</f>
        <v/>
      </c>
      <c r="AZ52" s="29">
        <f>IF(A52="","",AY52+AE52)</f>
        <v/>
      </c>
      <c r="BA52" s="29">
        <f>IF(A52="","",AZ52+AF52)</f>
        <v/>
      </c>
      <c r="BB52" s="29">
        <f>IF(A52="","",BA52+AG52)</f>
        <v/>
      </c>
      <c r="BC52" s="29">
        <f>IF(A52="","",BB52+AH52)</f>
        <v/>
      </c>
      <c r="BD52" s="29">
        <f>IF(A52="","",BC52+AI52)</f>
        <v/>
      </c>
      <c r="BE52" s="29">
        <f>IF(A52="","",BD52+AJ52)</f>
        <v/>
      </c>
      <c r="BF52" s="29">
        <f>IF(A52="","",BE52+AK52)</f>
        <v/>
      </c>
      <c r="BG52" s="29">
        <f>IF(A52="","",BF52+AL52)</f>
        <v/>
      </c>
      <c r="BH52" s="29">
        <f>IF(A52="","",BG52+AM52)</f>
        <v/>
      </c>
      <c r="BI52" s="36">
        <f>IF(A52="","",(K52)*(IF((YEAR(D52)+0)&lt;YEAR(E52),0,IF((YEAR(D52)+0)&gt;YEAR(E52),1,(12-MONTH(E52)+1)/12)))*(1/(1+DiscountRate)^0))</f>
        <v/>
      </c>
      <c r="BJ52" s="36">
        <f>IF(A52="","",(K52)*(IF((YEAR(D52)+1)&lt;YEAR(E52),0,IF((YEAR(D52)+1)&gt;YEAR(E52),1,(12-MONTH(E52)+1)/12)))*(1/(1+DiscountRate)^1))</f>
        <v/>
      </c>
      <c r="BK52" s="36">
        <f>IF(A52="","",(K52)*(IF((YEAR(D52)+2)&lt;YEAR(E52),0,IF((YEAR(D52)+2)&gt;YEAR(E52),1,(12-MONTH(E52)+1)/12)))*(1/(1+DiscountRate)^2))</f>
        <v/>
      </c>
      <c r="BL52" s="36">
        <f>IF(A52="","",(K52)*(IF((YEAR(D52)+3)&lt;YEAR(E52),0,IF((YEAR(D52)+3)&gt;YEAR(E52),1,(12-MONTH(E52)+1)/12)))*(1/(1+DiscountRate)^3))</f>
        <v/>
      </c>
      <c r="BM52" s="36">
        <f>IF(A52="","",(K52)*(IF((YEAR(D52)+4)&lt;YEAR(E52),0,IF((YEAR(D52)+4)&gt;YEAR(E52),1,(12-MONTH(E52)+1)/12)))*(1/(1+DiscountRate)^4))</f>
        <v/>
      </c>
      <c r="BN52" s="36">
        <f>IF(A52="","",(K52)*(IF((YEAR(D52)+5)&lt;YEAR(E52),0,IF((YEAR(D52)+5)&gt;YEAR(E52),1,(12-MONTH(E52)+1)/12)))*(1/(1+DiscountRate)^5))</f>
        <v/>
      </c>
      <c r="BO52" s="36">
        <f>IF(A52="","",(K52)*(IF((YEAR(D52)+6)&lt;YEAR(E52),0,IF((YEAR(D52)+6)&gt;YEAR(E52),1,(12-MONTH(E52)+1)/12)))*(1/(1+DiscountRate)^6))</f>
        <v/>
      </c>
      <c r="BP52" s="36">
        <f>IF(A52="","",(K52)*(IF((YEAR(D52)+7)&lt;YEAR(E52),0,IF((YEAR(D52)+7)&gt;YEAR(E52),1,(12-MONTH(E52)+1)/12)))*(1/(1+DiscountRate)^7))</f>
        <v/>
      </c>
      <c r="BQ52" s="36">
        <f>IF(A52="","",(K52)*(IF((YEAR(D52)+8)&lt;YEAR(E52),0,IF((YEAR(D52)+8)&gt;YEAR(E52),1,(12-MONTH(E52)+1)/12)))*(1/(1+DiscountRate)^8))</f>
        <v/>
      </c>
      <c r="BR52" s="36">
        <f>IF(A52="","",(K52)*(IF((YEAR(D52)+9)&lt;YEAR(E52),0,IF((YEAR(D52)+9)&gt;YEAR(E52),1,(12-MONTH(E52)+1)/12)))*(1/(1+DiscountRate)^9))</f>
        <v/>
      </c>
      <c r="BS52" s="36">
        <f>IF(A52="","",(K52)*(IF((YEAR(D52)+10)&lt;YEAR(E52),0,IF((YEAR(D52)+10)&gt;YEAR(E52),1,(12-MONTH(E52)+1)/12)))*(1/(1+DiscountRate)^10))</f>
        <v/>
      </c>
      <c r="BT52" s="36">
        <f>IF(A52="","",(K52)*(IF((YEAR(D52)+11)&lt;YEAR(E52),0,IF((YEAR(D52)+11)&gt;YEAR(E52),1,(12-MONTH(E52)+1)/12)))*(1/(1+DiscountRate)^11))</f>
        <v/>
      </c>
      <c r="BU52" s="36">
        <f>IF(A52="","",(K52)*(IF((YEAR(D52)+12)&lt;YEAR(E52),0,IF((YEAR(D52)+12)&gt;YEAR(E52),1,(12-MONTH(E52)+1)/12)))*(1/(1+DiscountRate)^12))</f>
        <v/>
      </c>
      <c r="BV52" s="36">
        <f>IF(A52="","",(K52)*(IF((YEAR(D52)+13)&lt;YEAR(E52),0,IF((YEAR(D52)+13)&gt;YEAR(E52),1,(12-MONTH(E52)+1)/12)))*(1/(1+DiscountRate)^13))</f>
        <v/>
      </c>
      <c r="BW52" s="36">
        <f>IF(A52="","",(K52)*(IF((YEAR(D52)+14)&lt;YEAR(E52),0,IF((YEAR(D52)+14)&gt;YEAR(E52),1,(12-MONTH(E52)+1)/12)))*(1/(1+DiscountRate)^14))</f>
        <v/>
      </c>
      <c r="BX52" s="36">
        <f>IF(A52="","",(K52)*(IF((YEAR(D52)+15)&lt;YEAR(E52),0,IF((YEAR(D52)+15)&gt;YEAR(E52),1,(12-MONTH(E52)+1)/12)))*(1/(1+DiscountRate)^15))</f>
        <v/>
      </c>
      <c r="BY52" s="36">
        <f>IF(A52="","",(K52)*(IF((YEAR(D52)+16)&lt;YEAR(E52),0,IF((YEAR(D52)+16)&gt;YEAR(E52),1,(12-MONTH(E52)+1)/12)))*(1/(1+DiscountRate)^16))</f>
        <v/>
      </c>
      <c r="BZ52" s="36">
        <f>IF(A52="","",(K52)*(IF((YEAR(D52)+17)&lt;YEAR(E52),0,IF((YEAR(D52)+17)&gt;YEAR(E52),1,(12-MONTH(E52)+1)/12)))*(1/(1+DiscountRate)^17))</f>
        <v/>
      </c>
      <c r="CA52" s="36">
        <f>IF(A52="","",(K52)*(IF((YEAR(D52)+18)&lt;YEAR(E52),0,IF((YEAR(D52)+18)&gt;YEAR(E52),1,(12-MONTH(E52)+1)/12)))*(1/(1+DiscountRate)^18))</f>
        <v/>
      </c>
      <c r="CB52" s="36">
        <f>IF(A52="","",(K52)*(IF((YEAR(D52)+19)&lt;YEAR(E52),0,IF((YEAR(D52)+19)&gt;YEAR(E52),1,(12-MONTH(E52)+1)/12)))*(1/(1+DiscountRate)^19))</f>
        <v/>
      </c>
      <c r="CC52" s="36">
        <f>IF(A52="","",(K52)*(IF((YEAR(D52)+20)&lt;YEAR(E52),0,IF((YEAR(D52)+20)&gt;YEAR(E52),1,(12-MONTH(E52)+1)/12)))*(1/(1+DiscountRate)^20))</f>
        <v/>
      </c>
      <c r="CD52" s="29">
        <f>IF(A52="","",S52/(1+DiscountRate)^0+T52/(1+DiscountRate)^1+U52/(1+DiscountRate)^2+V52/(1+DiscountRate)^3+W52/(1+DiscountRate)^4+X52/(1+DiscountRate)^5+Y52/(1+DiscountRate)^6+Z52/(1+DiscountRate)^7+AA52/(1+DiscountRate)^8+AB52/(1+DiscountRate)^9+AC52/(1+DiscountRate)^10+AD52/(1+DiscountRate)^11+AE52/(1+DiscountRate)^12+AF52/(1+DiscountRate)^13+AG52/(1+DiscountRate)^14+AH52/(1+DiscountRate)^15+AI52/(1+DiscountRate)^16+AJ52/(1+DiscountRate)^17+AK52/(1+DiscountRate)^18+AL52/(1+DiscountRate)^19+AM52/(1+DiscountRate)^20)</f>
        <v/>
      </c>
      <c r="CE52" s="37">
        <f>IF(A52="","",IFERROR(IRR(OFFSET(S52,0,0,1,MIN(HorizonYears,20)+1)),"n/a"))</f>
        <v/>
      </c>
      <c r="CF52" s="28">
        <f>IF(A52="","",IFERROR(MATCH(TRUE,OFFSET(AN52,0,0,1,MIN(HorizonYears,20)+1)&gt;=0,0)-1,"n/a"))</f>
        <v/>
      </c>
      <c r="CG52" s="36">
        <f>IF(A52="","",SUM(OFFSET(BI52,0,0,1,MIN(HorizonYears,20)+1)))</f>
        <v/>
      </c>
      <c r="CH52" s="36">
        <f>IF(A52="","",IFERROR(-CD52/CG52,"n/a"))</f>
        <v/>
      </c>
    </row>
    <row r="53">
      <c r="A53" s="6">
        <f>Actions!A51</f>
        <v/>
      </c>
      <c r="B53" s="6">
        <f>Actions!B51</f>
        <v/>
      </c>
      <c r="C53" s="6">
        <f>Actions!D51</f>
        <v/>
      </c>
      <c r="D53" s="35">
        <f>Actions!E51</f>
        <v/>
      </c>
      <c r="E53" s="35">
        <f>Actions!F51</f>
        <v/>
      </c>
      <c r="F53" s="6">
        <f>Actions!G51</f>
        <v/>
      </c>
      <c r="G53" s="6">
        <f>Actions!H51</f>
        <v/>
      </c>
      <c r="H53" s="29">
        <f>Actions!I51</f>
        <v/>
      </c>
      <c r="I53" s="6">
        <f>Actions!J51</f>
        <v/>
      </c>
      <c r="J53" s="16">
        <f>Actions!K51</f>
        <v/>
      </c>
      <c r="K53" s="16">
        <f>IF(A53="","",IF(I53="%",H53*J53,J53))</f>
        <v/>
      </c>
      <c r="L53" s="16">
        <f>Actions!L51</f>
        <v/>
      </c>
      <c r="M53" s="6">
        <f>Actions!M51</f>
        <v/>
      </c>
      <c r="N53" s="28">
        <f>Actions!N51</f>
        <v/>
      </c>
      <c r="O53" s="29">
        <f>Actions!T51</f>
        <v/>
      </c>
      <c r="P53" s="29">
        <f>Actions!Y51</f>
        <v/>
      </c>
      <c r="Q53" s="29">
        <f>Actions!Z51</f>
        <v/>
      </c>
      <c r="R53" s="29">
        <f>Actions!AA51</f>
        <v/>
      </c>
      <c r="S53" s="29">
        <f>IF(A53="","",((K53)*(IF(M53="",L53,IFERROR(IF(INDEX(Variablen!$I:$AT, MATCH(M53, Variablen!$A:$A, 0), MATCH((YEAR(D53)+0), Variablen!$I$3:$AT$3, 0))="",L53,INDEX(Variablen!$I:$AT, MATCH(M53, Variablen!$A:$A, 0), MATCH((YEAR(D53)+0), Variablen!$I$3:$AT$3, 0))),L53)))*(IF((YEAR(D53)+0)&lt;YEAR(E53),0,IF((YEAR(D53)+0)&gt;YEAR(E53),1,(12-MONTH(E53)+1)/12))) + (Q53)*(IF((YEAR(D53)+0)&lt;YEAR(E53),0,IF((YEAR(D53)+0)&gt;YEAR(E53),1,(12-MONTH(E53)+1)/12))))-((P53)*(IF((YEAR(D53)+0)&lt;YEAR(E53),0,IF((YEAR(D53)+0)&gt;YEAR(E53),1,(12-MONTH(E53)+1)/12))) + (R53)*(IF((YEAR(D53)+0)&lt;YEAR(E53),0,IF((YEAR(D53)+0)&gt;YEAR(E53),1,(12-MONTH(E53)+1)/12))))-(IF((((K53)*(IF(M53="",L53,IFERROR(IF(INDEX(Variablen!$I:$AT, MATCH(M53, Variablen!$A:$A, 0), MATCH((YEAR(D53)+0), Variablen!$I$3:$AT$3, 0))="",L53,INDEX(Variablen!$I:$AT, MATCH(M53, Variablen!$A:$A, 0), MATCH((YEAR(D53)+0), Variablen!$I$3:$AT$3, 0))),L53)))*(IF((YEAR(D53)+0)&lt;YEAR(E53),0,IF((YEAR(D53)+0)&gt;YEAR(E53),1,(12-MONTH(E53)+1)/12))) + (Q53)*(IF((YEAR(D53)+0)&lt;YEAR(E53),0,IF((YEAR(D53)+0)&gt;YEAR(E53),1,(12-MONTH(E53)+1)/12))))-((P53)*(IF((YEAR(D53)+0)&lt;YEAR(E53),0,IF((YEAR(D53)+0)&gt;YEAR(E53),1,(12-MONTH(E53)+1)/12))) + (R53)*(IF((YEAR(D53)+0)&lt;YEAR(E53),0,IF((YEAR(D53)+0)&gt;YEAR(E53),1,(12-MONTH(E53)+1)/12))))-(IF(OR(N53="",N53&lt;=0),0,(O53/N53)*(IF(OR(N53="",N53&lt;=0),0,IF((YEAR(D53)+0)&lt;YEAR(E53),0,IF((YEAR(D53)+0)&gt;=YEAR(E53)+N53,0,IF((YEAR(D53)+0)=YEAR(E53),(12-MONTH(E53)+1)/12,1))))))))&gt;0,(((K53)*(IF(M53="",L53,IFERROR(IF(INDEX(Variablen!$I:$AT, MATCH(M53, Variablen!$A:$A, 0), MATCH((YEAR(D53)+0), Variablen!$I$3:$AT$3, 0))="",L53,INDEX(Variablen!$I:$AT, MATCH(M53, Variablen!$A:$A, 0), MATCH((YEAR(D53)+0), Variablen!$I$3:$AT$3, 0))),L53)))*(IF((YEAR(D53)+0)&lt;YEAR(E53),0,IF((YEAR(D53)+0)&gt;YEAR(E53),1,(12-MONTH(E53)+1)/12))) + (Q53)*(IF((YEAR(D53)+0)&lt;YEAR(E53),0,IF((YEAR(D53)+0)&gt;YEAR(E53),1,(12-MONTH(E53)+1)/12))))-((P53)*(IF((YEAR(D53)+0)&lt;YEAR(E53),0,IF((YEAR(D53)+0)&gt;YEAR(E53),1,(12-MONTH(E53)+1)/12))) + (R53)*(IF((YEAR(D53)+0)&lt;YEAR(E53),0,IF((YEAR(D53)+0)&gt;YEAR(E53),1,(12-MONTH(E53)+1)/12))))-(IF(OR(N53="",N53&lt;=0),0,(O53/N53)*(IF(OR(N53="",N53&lt;=0),0,IF((YEAR(D53)+0)&lt;YEAR(E53),0,IF((YEAR(D53)+0)&gt;=YEAR(E53)+N53,0,IF((YEAR(D53)+0)=YEAR(E53),(12-MONTH(E53)+1)/12,1))))))))*TaxRate,0))-IF(0=0,O53,0))</f>
        <v/>
      </c>
      <c r="T53" s="29">
        <f>IF(A53="","",((K53)*(IF(M53="",L53,IFERROR(IF(INDEX(Variablen!$I:$AT, MATCH(M53, Variablen!$A:$A, 0), MATCH((YEAR(D53)+1), Variablen!$I$3:$AT$3, 0))="",L53,INDEX(Variablen!$I:$AT, MATCH(M53, Variablen!$A:$A, 0), MATCH((YEAR(D53)+1), Variablen!$I$3:$AT$3, 0))),L53)))*(IF((YEAR(D53)+1)&lt;YEAR(E53),0,IF((YEAR(D53)+1)&gt;YEAR(E53),1,(12-MONTH(E53)+1)/12))) + (Q53)*(IF((YEAR(D53)+1)&lt;YEAR(E53),0,IF((YEAR(D53)+1)&gt;YEAR(E53),1,(12-MONTH(E53)+1)/12))))-((P53)*(IF((YEAR(D53)+1)&lt;YEAR(E53),0,IF((YEAR(D53)+1)&gt;YEAR(E53),1,(12-MONTH(E53)+1)/12))) + (R53)*(IF((YEAR(D53)+1)&lt;YEAR(E53),0,IF((YEAR(D53)+1)&gt;YEAR(E53),1,(12-MONTH(E53)+1)/12))))-(IF((((K53)*(IF(M53="",L53,IFERROR(IF(INDEX(Variablen!$I:$AT, MATCH(M53, Variablen!$A:$A, 0), MATCH((YEAR(D53)+1), Variablen!$I$3:$AT$3, 0))="",L53,INDEX(Variablen!$I:$AT, MATCH(M53, Variablen!$A:$A, 0), MATCH((YEAR(D53)+1), Variablen!$I$3:$AT$3, 0))),L53)))*(IF((YEAR(D53)+1)&lt;YEAR(E53),0,IF((YEAR(D53)+1)&gt;YEAR(E53),1,(12-MONTH(E53)+1)/12))) + (Q53)*(IF((YEAR(D53)+1)&lt;YEAR(E53),0,IF((YEAR(D53)+1)&gt;YEAR(E53),1,(12-MONTH(E53)+1)/12))))-((P53)*(IF((YEAR(D53)+1)&lt;YEAR(E53),0,IF((YEAR(D53)+1)&gt;YEAR(E53),1,(12-MONTH(E53)+1)/12))) + (R53)*(IF((YEAR(D53)+1)&lt;YEAR(E53),0,IF((YEAR(D53)+1)&gt;YEAR(E53),1,(12-MONTH(E53)+1)/12))))-(IF(OR(N53="",N53&lt;=0),0,(O53/N53)*(IF(OR(N53="",N53&lt;=0),0,IF((YEAR(D53)+1)&lt;YEAR(E53),0,IF((YEAR(D53)+1)&gt;=YEAR(E53)+N53,0,IF((YEAR(D53)+1)=YEAR(E53),(12-MONTH(E53)+1)/12,1))))))))&gt;0,(((K53)*(IF(M53="",L53,IFERROR(IF(INDEX(Variablen!$I:$AT, MATCH(M53, Variablen!$A:$A, 0), MATCH((YEAR(D53)+1), Variablen!$I$3:$AT$3, 0))="",L53,INDEX(Variablen!$I:$AT, MATCH(M53, Variablen!$A:$A, 0), MATCH((YEAR(D53)+1), Variablen!$I$3:$AT$3, 0))),L53)))*(IF((YEAR(D53)+1)&lt;YEAR(E53),0,IF((YEAR(D53)+1)&gt;YEAR(E53),1,(12-MONTH(E53)+1)/12))) + (Q53)*(IF((YEAR(D53)+1)&lt;YEAR(E53),0,IF((YEAR(D53)+1)&gt;YEAR(E53),1,(12-MONTH(E53)+1)/12))))-((P53)*(IF((YEAR(D53)+1)&lt;YEAR(E53),0,IF((YEAR(D53)+1)&gt;YEAR(E53),1,(12-MONTH(E53)+1)/12))) + (R53)*(IF((YEAR(D53)+1)&lt;YEAR(E53),0,IF((YEAR(D53)+1)&gt;YEAR(E53),1,(12-MONTH(E53)+1)/12))))-(IF(OR(N53="",N53&lt;=0),0,(O53/N53)*(IF(OR(N53="",N53&lt;=0),0,IF((YEAR(D53)+1)&lt;YEAR(E53),0,IF((YEAR(D53)+1)&gt;=YEAR(E53)+N53,0,IF((YEAR(D53)+1)=YEAR(E53),(12-MONTH(E53)+1)/12,1))))))))*TaxRate,0))-IF(1=0,O53,0))</f>
        <v/>
      </c>
      <c r="U53" s="29">
        <f>IF(A53="","",((K53)*(IF(M53="",L53,IFERROR(IF(INDEX(Variablen!$I:$AT, MATCH(M53, Variablen!$A:$A, 0), MATCH((YEAR(D53)+2), Variablen!$I$3:$AT$3, 0))="",L53,INDEX(Variablen!$I:$AT, MATCH(M53, Variablen!$A:$A, 0), MATCH((YEAR(D53)+2), Variablen!$I$3:$AT$3, 0))),L53)))*(IF((YEAR(D53)+2)&lt;YEAR(E53),0,IF((YEAR(D53)+2)&gt;YEAR(E53),1,(12-MONTH(E53)+1)/12))) + (Q53)*(IF((YEAR(D53)+2)&lt;YEAR(E53),0,IF((YEAR(D53)+2)&gt;YEAR(E53),1,(12-MONTH(E53)+1)/12))))-((P53)*(IF((YEAR(D53)+2)&lt;YEAR(E53),0,IF((YEAR(D53)+2)&gt;YEAR(E53),1,(12-MONTH(E53)+1)/12))) + (R53)*(IF((YEAR(D53)+2)&lt;YEAR(E53),0,IF((YEAR(D53)+2)&gt;YEAR(E53),1,(12-MONTH(E53)+1)/12))))-(IF((((K53)*(IF(M53="",L53,IFERROR(IF(INDEX(Variablen!$I:$AT, MATCH(M53, Variablen!$A:$A, 0), MATCH((YEAR(D53)+2), Variablen!$I$3:$AT$3, 0))="",L53,INDEX(Variablen!$I:$AT, MATCH(M53, Variablen!$A:$A, 0), MATCH((YEAR(D53)+2), Variablen!$I$3:$AT$3, 0))),L53)))*(IF((YEAR(D53)+2)&lt;YEAR(E53),0,IF((YEAR(D53)+2)&gt;YEAR(E53),1,(12-MONTH(E53)+1)/12))) + (Q53)*(IF((YEAR(D53)+2)&lt;YEAR(E53),0,IF((YEAR(D53)+2)&gt;YEAR(E53),1,(12-MONTH(E53)+1)/12))))-((P53)*(IF((YEAR(D53)+2)&lt;YEAR(E53),0,IF((YEAR(D53)+2)&gt;YEAR(E53),1,(12-MONTH(E53)+1)/12))) + (R53)*(IF((YEAR(D53)+2)&lt;YEAR(E53),0,IF((YEAR(D53)+2)&gt;YEAR(E53),1,(12-MONTH(E53)+1)/12))))-(IF(OR(N53="",N53&lt;=0),0,(O53/N53)*(IF(OR(N53="",N53&lt;=0),0,IF((YEAR(D53)+2)&lt;YEAR(E53),0,IF((YEAR(D53)+2)&gt;=YEAR(E53)+N53,0,IF((YEAR(D53)+2)=YEAR(E53),(12-MONTH(E53)+1)/12,1))))))))&gt;0,(((K53)*(IF(M53="",L53,IFERROR(IF(INDEX(Variablen!$I:$AT, MATCH(M53, Variablen!$A:$A, 0), MATCH((YEAR(D53)+2), Variablen!$I$3:$AT$3, 0))="",L53,INDEX(Variablen!$I:$AT, MATCH(M53, Variablen!$A:$A, 0), MATCH((YEAR(D53)+2), Variablen!$I$3:$AT$3, 0))),L53)))*(IF((YEAR(D53)+2)&lt;YEAR(E53),0,IF((YEAR(D53)+2)&gt;YEAR(E53),1,(12-MONTH(E53)+1)/12))) + (Q53)*(IF((YEAR(D53)+2)&lt;YEAR(E53),0,IF((YEAR(D53)+2)&gt;YEAR(E53),1,(12-MONTH(E53)+1)/12))))-((P53)*(IF((YEAR(D53)+2)&lt;YEAR(E53),0,IF((YEAR(D53)+2)&gt;YEAR(E53),1,(12-MONTH(E53)+1)/12))) + (R53)*(IF((YEAR(D53)+2)&lt;YEAR(E53),0,IF((YEAR(D53)+2)&gt;YEAR(E53),1,(12-MONTH(E53)+1)/12))))-(IF(OR(N53="",N53&lt;=0),0,(O53/N53)*(IF(OR(N53="",N53&lt;=0),0,IF((YEAR(D53)+2)&lt;YEAR(E53),0,IF((YEAR(D53)+2)&gt;=YEAR(E53)+N53,0,IF((YEAR(D53)+2)=YEAR(E53),(12-MONTH(E53)+1)/12,1))))))))*TaxRate,0))-IF(2=0,O53,0))</f>
        <v/>
      </c>
      <c r="V53" s="29">
        <f>IF(A53="","",((K53)*(IF(M53="",L53,IFERROR(IF(INDEX(Variablen!$I:$AT, MATCH(M53, Variablen!$A:$A, 0), MATCH((YEAR(D53)+3), Variablen!$I$3:$AT$3, 0))="",L53,INDEX(Variablen!$I:$AT, MATCH(M53, Variablen!$A:$A, 0), MATCH((YEAR(D53)+3), Variablen!$I$3:$AT$3, 0))),L53)))*(IF((YEAR(D53)+3)&lt;YEAR(E53),0,IF((YEAR(D53)+3)&gt;YEAR(E53),1,(12-MONTH(E53)+1)/12))) + (Q53)*(IF((YEAR(D53)+3)&lt;YEAR(E53),0,IF((YEAR(D53)+3)&gt;YEAR(E53),1,(12-MONTH(E53)+1)/12))))-((P53)*(IF((YEAR(D53)+3)&lt;YEAR(E53),0,IF((YEAR(D53)+3)&gt;YEAR(E53),1,(12-MONTH(E53)+1)/12))) + (R53)*(IF((YEAR(D53)+3)&lt;YEAR(E53),0,IF((YEAR(D53)+3)&gt;YEAR(E53),1,(12-MONTH(E53)+1)/12))))-(IF((((K53)*(IF(M53="",L53,IFERROR(IF(INDEX(Variablen!$I:$AT, MATCH(M53, Variablen!$A:$A, 0), MATCH((YEAR(D53)+3), Variablen!$I$3:$AT$3, 0))="",L53,INDEX(Variablen!$I:$AT, MATCH(M53, Variablen!$A:$A, 0), MATCH((YEAR(D53)+3), Variablen!$I$3:$AT$3, 0))),L53)))*(IF((YEAR(D53)+3)&lt;YEAR(E53),0,IF((YEAR(D53)+3)&gt;YEAR(E53),1,(12-MONTH(E53)+1)/12))) + (Q53)*(IF((YEAR(D53)+3)&lt;YEAR(E53),0,IF((YEAR(D53)+3)&gt;YEAR(E53),1,(12-MONTH(E53)+1)/12))))-((P53)*(IF((YEAR(D53)+3)&lt;YEAR(E53),0,IF((YEAR(D53)+3)&gt;YEAR(E53),1,(12-MONTH(E53)+1)/12))) + (R53)*(IF((YEAR(D53)+3)&lt;YEAR(E53),0,IF((YEAR(D53)+3)&gt;YEAR(E53),1,(12-MONTH(E53)+1)/12))))-(IF(OR(N53="",N53&lt;=0),0,(O53/N53)*(IF(OR(N53="",N53&lt;=0),0,IF((YEAR(D53)+3)&lt;YEAR(E53),0,IF((YEAR(D53)+3)&gt;=YEAR(E53)+N53,0,IF((YEAR(D53)+3)=YEAR(E53),(12-MONTH(E53)+1)/12,1))))))))&gt;0,(((K53)*(IF(M53="",L53,IFERROR(IF(INDEX(Variablen!$I:$AT, MATCH(M53, Variablen!$A:$A, 0), MATCH((YEAR(D53)+3), Variablen!$I$3:$AT$3, 0))="",L53,INDEX(Variablen!$I:$AT, MATCH(M53, Variablen!$A:$A, 0), MATCH((YEAR(D53)+3), Variablen!$I$3:$AT$3, 0))),L53)))*(IF((YEAR(D53)+3)&lt;YEAR(E53),0,IF((YEAR(D53)+3)&gt;YEAR(E53),1,(12-MONTH(E53)+1)/12))) + (Q53)*(IF((YEAR(D53)+3)&lt;YEAR(E53),0,IF((YEAR(D53)+3)&gt;YEAR(E53),1,(12-MONTH(E53)+1)/12))))-((P53)*(IF((YEAR(D53)+3)&lt;YEAR(E53),0,IF((YEAR(D53)+3)&gt;YEAR(E53),1,(12-MONTH(E53)+1)/12))) + (R53)*(IF((YEAR(D53)+3)&lt;YEAR(E53),0,IF((YEAR(D53)+3)&gt;YEAR(E53),1,(12-MONTH(E53)+1)/12))))-(IF(OR(N53="",N53&lt;=0),0,(O53/N53)*(IF(OR(N53="",N53&lt;=0),0,IF((YEAR(D53)+3)&lt;YEAR(E53),0,IF((YEAR(D53)+3)&gt;=YEAR(E53)+N53,0,IF((YEAR(D53)+3)=YEAR(E53),(12-MONTH(E53)+1)/12,1))))))))*TaxRate,0))-IF(3=0,O53,0))</f>
        <v/>
      </c>
      <c r="W53" s="29">
        <f>IF(A53="","",((K53)*(IF(M53="",L53,IFERROR(IF(INDEX(Variablen!$I:$AT, MATCH(M53, Variablen!$A:$A, 0), MATCH((YEAR(D53)+4), Variablen!$I$3:$AT$3, 0))="",L53,INDEX(Variablen!$I:$AT, MATCH(M53, Variablen!$A:$A, 0), MATCH((YEAR(D53)+4), Variablen!$I$3:$AT$3, 0))),L53)))*(IF((YEAR(D53)+4)&lt;YEAR(E53),0,IF((YEAR(D53)+4)&gt;YEAR(E53),1,(12-MONTH(E53)+1)/12))) + (Q53)*(IF((YEAR(D53)+4)&lt;YEAR(E53),0,IF((YEAR(D53)+4)&gt;YEAR(E53),1,(12-MONTH(E53)+1)/12))))-((P53)*(IF((YEAR(D53)+4)&lt;YEAR(E53),0,IF((YEAR(D53)+4)&gt;YEAR(E53),1,(12-MONTH(E53)+1)/12))) + (R53)*(IF((YEAR(D53)+4)&lt;YEAR(E53),0,IF((YEAR(D53)+4)&gt;YEAR(E53),1,(12-MONTH(E53)+1)/12))))-(IF((((K53)*(IF(M53="",L53,IFERROR(IF(INDEX(Variablen!$I:$AT, MATCH(M53, Variablen!$A:$A, 0), MATCH((YEAR(D53)+4), Variablen!$I$3:$AT$3, 0))="",L53,INDEX(Variablen!$I:$AT, MATCH(M53, Variablen!$A:$A, 0), MATCH((YEAR(D53)+4), Variablen!$I$3:$AT$3, 0))),L53)))*(IF((YEAR(D53)+4)&lt;YEAR(E53),0,IF((YEAR(D53)+4)&gt;YEAR(E53),1,(12-MONTH(E53)+1)/12))) + (Q53)*(IF((YEAR(D53)+4)&lt;YEAR(E53),0,IF((YEAR(D53)+4)&gt;YEAR(E53),1,(12-MONTH(E53)+1)/12))))-((P53)*(IF((YEAR(D53)+4)&lt;YEAR(E53),0,IF((YEAR(D53)+4)&gt;YEAR(E53),1,(12-MONTH(E53)+1)/12))) + (R53)*(IF((YEAR(D53)+4)&lt;YEAR(E53),0,IF((YEAR(D53)+4)&gt;YEAR(E53),1,(12-MONTH(E53)+1)/12))))-(IF(OR(N53="",N53&lt;=0),0,(O53/N53)*(IF(OR(N53="",N53&lt;=0),0,IF((YEAR(D53)+4)&lt;YEAR(E53),0,IF((YEAR(D53)+4)&gt;=YEAR(E53)+N53,0,IF((YEAR(D53)+4)=YEAR(E53),(12-MONTH(E53)+1)/12,1))))))))&gt;0,(((K53)*(IF(M53="",L53,IFERROR(IF(INDEX(Variablen!$I:$AT, MATCH(M53, Variablen!$A:$A, 0), MATCH((YEAR(D53)+4), Variablen!$I$3:$AT$3, 0))="",L53,INDEX(Variablen!$I:$AT, MATCH(M53, Variablen!$A:$A, 0), MATCH((YEAR(D53)+4), Variablen!$I$3:$AT$3, 0))),L53)))*(IF((YEAR(D53)+4)&lt;YEAR(E53),0,IF((YEAR(D53)+4)&gt;YEAR(E53),1,(12-MONTH(E53)+1)/12))) + (Q53)*(IF((YEAR(D53)+4)&lt;YEAR(E53),0,IF((YEAR(D53)+4)&gt;YEAR(E53),1,(12-MONTH(E53)+1)/12))))-((P53)*(IF((YEAR(D53)+4)&lt;YEAR(E53),0,IF((YEAR(D53)+4)&gt;YEAR(E53),1,(12-MONTH(E53)+1)/12))) + (R53)*(IF((YEAR(D53)+4)&lt;YEAR(E53),0,IF((YEAR(D53)+4)&gt;YEAR(E53),1,(12-MONTH(E53)+1)/12))))-(IF(OR(N53="",N53&lt;=0),0,(O53/N53)*(IF(OR(N53="",N53&lt;=0),0,IF((YEAR(D53)+4)&lt;YEAR(E53),0,IF((YEAR(D53)+4)&gt;=YEAR(E53)+N53,0,IF((YEAR(D53)+4)=YEAR(E53),(12-MONTH(E53)+1)/12,1))))))))*TaxRate,0))-IF(4=0,O53,0))</f>
        <v/>
      </c>
      <c r="X53" s="29">
        <f>IF(A53="","",((K53)*(IF(M53="",L53,IFERROR(IF(INDEX(Variablen!$I:$AT, MATCH(M53, Variablen!$A:$A, 0), MATCH((YEAR(D53)+5), Variablen!$I$3:$AT$3, 0))="",L53,INDEX(Variablen!$I:$AT, MATCH(M53, Variablen!$A:$A, 0), MATCH((YEAR(D53)+5), Variablen!$I$3:$AT$3, 0))),L53)))*(IF((YEAR(D53)+5)&lt;YEAR(E53),0,IF((YEAR(D53)+5)&gt;YEAR(E53),1,(12-MONTH(E53)+1)/12))) + (Q53)*(IF((YEAR(D53)+5)&lt;YEAR(E53),0,IF((YEAR(D53)+5)&gt;YEAR(E53),1,(12-MONTH(E53)+1)/12))))-((P53)*(IF((YEAR(D53)+5)&lt;YEAR(E53),0,IF((YEAR(D53)+5)&gt;YEAR(E53),1,(12-MONTH(E53)+1)/12))) + (R53)*(IF((YEAR(D53)+5)&lt;YEAR(E53),0,IF((YEAR(D53)+5)&gt;YEAR(E53),1,(12-MONTH(E53)+1)/12))))-(IF((((K53)*(IF(M53="",L53,IFERROR(IF(INDEX(Variablen!$I:$AT, MATCH(M53, Variablen!$A:$A, 0), MATCH((YEAR(D53)+5), Variablen!$I$3:$AT$3, 0))="",L53,INDEX(Variablen!$I:$AT, MATCH(M53, Variablen!$A:$A, 0), MATCH((YEAR(D53)+5), Variablen!$I$3:$AT$3, 0))),L53)))*(IF((YEAR(D53)+5)&lt;YEAR(E53),0,IF((YEAR(D53)+5)&gt;YEAR(E53),1,(12-MONTH(E53)+1)/12))) + (Q53)*(IF((YEAR(D53)+5)&lt;YEAR(E53),0,IF((YEAR(D53)+5)&gt;YEAR(E53),1,(12-MONTH(E53)+1)/12))))-((P53)*(IF((YEAR(D53)+5)&lt;YEAR(E53),0,IF((YEAR(D53)+5)&gt;YEAR(E53),1,(12-MONTH(E53)+1)/12))) + (R53)*(IF((YEAR(D53)+5)&lt;YEAR(E53),0,IF((YEAR(D53)+5)&gt;YEAR(E53),1,(12-MONTH(E53)+1)/12))))-(IF(OR(N53="",N53&lt;=0),0,(O53/N53)*(IF(OR(N53="",N53&lt;=0),0,IF((YEAR(D53)+5)&lt;YEAR(E53),0,IF((YEAR(D53)+5)&gt;=YEAR(E53)+N53,0,IF((YEAR(D53)+5)=YEAR(E53),(12-MONTH(E53)+1)/12,1))))))))&gt;0,(((K53)*(IF(M53="",L53,IFERROR(IF(INDEX(Variablen!$I:$AT, MATCH(M53, Variablen!$A:$A, 0), MATCH((YEAR(D53)+5), Variablen!$I$3:$AT$3, 0))="",L53,INDEX(Variablen!$I:$AT, MATCH(M53, Variablen!$A:$A, 0), MATCH((YEAR(D53)+5), Variablen!$I$3:$AT$3, 0))),L53)))*(IF((YEAR(D53)+5)&lt;YEAR(E53),0,IF((YEAR(D53)+5)&gt;YEAR(E53),1,(12-MONTH(E53)+1)/12))) + (Q53)*(IF((YEAR(D53)+5)&lt;YEAR(E53),0,IF((YEAR(D53)+5)&gt;YEAR(E53),1,(12-MONTH(E53)+1)/12))))-((P53)*(IF((YEAR(D53)+5)&lt;YEAR(E53),0,IF((YEAR(D53)+5)&gt;YEAR(E53),1,(12-MONTH(E53)+1)/12))) + (R53)*(IF((YEAR(D53)+5)&lt;YEAR(E53),0,IF((YEAR(D53)+5)&gt;YEAR(E53),1,(12-MONTH(E53)+1)/12))))-(IF(OR(N53="",N53&lt;=0),0,(O53/N53)*(IF(OR(N53="",N53&lt;=0),0,IF((YEAR(D53)+5)&lt;YEAR(E53),0,IF((YEAR(D53)+5)&gt;=YEAR(E53)+N53,0,IF((YEAR(D53)+5)=YEAR(E53),(12-MONTH(E53)+1)/12,1))))))))*TaxRate,0))-IF(5=0,O53,0))</f>
        <v/>
      </c>
      <c r="Y53" s="29">
        <f>IF(A53="","",((K53)*(IF(M53="",L53,IFERROR(IF(INDEX(Variablen!$I:$AT, MATCH(M53, Variablen!$A:$A, 0), MATCH((YEAR(D53)+6), Variablen!$I$3:$AT$3, 0))="",L53,INDEX(Variablen!$I:$AT, MATCH(M53, Variablen!$A:$A, 0), MATCH((YEAR(D53)+6), Variablen!$I$3:$AT$3, 0))),L53)))*(IF((YEAR(D53)+6)&lt;YEAR(E53),0,IF((YEAR(D53)+6)&gt;YEAR(E53),1,(12-MONTH(E53)+1)/12))) + (Q53)*(IF((YEAR(D53)+6)&lt;YEAR(E53),0,IF((YEAR(D53)+6)&gt;YEAR(E53),1,(12-MONTH(E53)+1)/12))))-((P53)*(IF((YEAR(D53)+6)&lt;YEAR(E53),0,IF((YEAR(D53)+6)&gt;YEAR(E53),1,(12-MONTH(E53)+1)/12))) + (R53)*(IF((YEAR(D53)+6)&lt;YEAR(E53),0,IF((YEAR(D53)+6)&gt;YEAR(E53),1,(12-MONTH(E53)+1)/12))))-(IF((((K53)*(IF(M53="",L53,IFERROR(IF(INDEX(Variablen!$I:$AT, MATCH(M53, Variablen!$A:$A, 0), MATCH((YEAR(D53)+6), Variablen!$I$3:$AT$3, 0))="",L53,INDEX(Variablen!$I:$AT, MATCH(M53, Variablen!$A:$A, 0), MATCH((YEAR(D53)+6), Variablen!$I$3:$AT$3, 0))),L53)))*(IF((YEAR(D53)+6)&lt;YEAR(E53),0,IF((YEAR(D53)+6)&gt;YEAR(E53),1,(12-MONTH(E53)+1)/12))) + (Q53)*(IF((YEAR(D53)+6)&lt;YEAR(E53),0,IF((YEAR(D53)+6)&gt;YEAR(E53),1,(12-MONTH(E53)+1)/12))))-((P53)*(IF((YEAR(D53)+6)&lt;YEAR(E53),0,IF((YEAR(D53)+6)&gt;YEAR(E53),1,(12-MONTH(E53)+1)/12))) + (R53)*(IF((YEAR(D53)+6)&lt;YEAR(E53),0,IF((YEAR(D53)+6)&gt;YEAR(E53),1,(12-MONTH(E53)+1)/12))))-(IF(OR(N53="",N53&lt;=0),0,(O53/N53)*(IF(OR(N53="",N53&lt;=0),0,IF((YEAR(D53)+6)&lt;YEAR(E53),0,IF((YEAR(D53)+6)&gt;=YEAR(E53)+N53,0,IF((YEAR(D53)+6)=YEAR(E53),(12-MONTH(E53)+1)/12,1))))))))&gt;0,(((K53)*(IF(M53="",L53,IFERROR(IF(INDEX(Variablen!$I:$AT, MATCH(M53, Variablen!$A:$A, 0), MATCH((YEAR(D53)+6), Variablen!$I$3:$AT$3, 0))="",L53,INDEX(Variablen!$I:$AT, MATCH(M53, Variablen!$A:$A, 0), MATCH((YEAR(D53)+6), Variablen!$I$3:$AT$3, 0))),L53)))*(IF((YEAR(D53)+6)&lt;YEAR(E53),0,IF((YEAR(D53)+6)&gt;YEAR(E53),1,(12-MONTH(E53)+1)/12))) + (Q53)*(IF((YEAR(D53)+6)&lt;YEAR(E53),0,IF((YEAR(D53)+6)&gt;YEAR(E53),1,(12-MONTH(E53)+1)/12))))-((P53)*(IF((YEAR(D53)+6)&lt;YEAR(E53),0,IF((YEAR(D53)+6)&gt;YEAR(E53),1,(12-MONTH(E53)+1)/12))) + (R53)*(IF((YEAR(D53)+6)&lt;YEAR(E53),0,IF((YEAR(D53)+6)&gt;YEAR(E53),1,(12-MONTH(E53)+1)/12))))-(IF(OR(N53="",N53&lt;=0),0,(O53/N53)*(IF(OR(N53="",N53&lt;=0),0,IF((YEAR(D53)+6)&lt;YEAR(E53),0,IF((YEAR(D53)+6)&gt;=YEAR(E53)+N53,0,IF((YEAR(D53)+6)=YEAR(E53),(12-MONTH(E53)+1)/12,1))))))))*TaxRate,0))-IF(6=0,O53,0))</f>
        <v/>
      </c>
      <c r="Z53" s="29">
        <f>IF(A53="","",((K53)*(IF(M53="",L53,IFERROR(IF(INDEX(Variablen!$I:$AT, MATCH(M53, Variablen!$A:$A, 0), MATCH((YEAR(D53)+7), Variablen!$I$3:$AT$3, 0))="",L53,INDEX(Variablen!$I:$AT, MATCH(M53, Variablen!$A:$A, 0), MATCH((YEAR(D53)+7), Variablen!$I$3:$AT$3, 0))),L53)))*(IF((YEAR(D53)+7)&lt;YEAR(E53),0,IF((YEAR(D53)+7)&gt;YEAR(E53),1,(12-MONTH(E53)+1)/12))) + (Q53)*(IF((YEAR(D53)+7)&lt;YEAR(E53),0,IF((YEAR(D53)+7)&gt;YEAR(E53),1,(12-MONTH(E53)+1)/12))))-((P53)*(IF((YEAR(D53)+7)&lt;YEAR(E53),0,IF((YEAR(D53)+7)&gt;YEAR(E53),1,(12-MONTH(E53)+1)/12))) + (R53)*(IF((YEAR(D53)+7)&lt;YEAR(E53),0,IF((YEAR(D53)+7)&gt;YEAR(E53),1,(12-MONTH(E53)+1)/12))))-(IF((((K53)*(IF(M53="",L53,IFERROR(IF(INDEX(Variablen!$I:$AT, MATCH(M53, Variablen!$A:$A, 0), MATCH((YEAR(D53)+7), Variablen!$I$3:$AT$3, 0))="",L53,INDEX(Variablen!$I:$AT, MATCH(M53, Variablen!$A:$A, 0), MATCH((YEAR(D53)+7), Variablen!$I$3:$AT$3, 0))),L53)))*(IF((YEAR(D53)+7)&lt;YEAR(E53),0,IF((YEAR(D53)+7)&gt;YEAR(E53),1,(12-MONTH(E53)+1)/12))) + (Q53)*(IF((YEAR(D53)+7)&lt;YEAR(E53),0,IF((YEAR(D53)+7)&gt;YEAR(E53),1,(12-MONTH(E53)+1)/12))))-((P53)*(IF((YEAR(D53)+7)&lt;YEAR(E53),0,IF((YEAR(D53)+7)&gt;YEAR(E53),1,(12-MONTH(E53)+1)/12))) + (R53)*(IF((YEAR(D53)+7)&lt;YEAR(E53),0,IF((YEAR(D53)+7)&gt;YEAR(E53),1,(12-MONTH(E53)+1)/12))))-(IF(OR(N53="",N53&lt;=0),0,(O53/N53)*(IF(OR(N53="",N53&lt;=0),0,IF((YEAR(D53)+7)&lt;YEAR(E53),0,IF((YEAR(D53)+7)&gt;=YEAR(E53)+N53,0,IF((YEAR(D53)+7)=YEAR(E53),(12-MONTH(E53)+1)/12,1))))))))&gt;0,(((K53)*(IF(M53="",L53,IFERROR(IF(INDEX(Variablen!$I:$AT, MATCH(M53, Variablen!$A:$A, 0), MATCH((YEAR(D53)+7), Variablen!$I$3:$AT$3, 0))="",L53,INDEX(Variablen!$I:$AT, MATCH(M53, Variablen!$A:$A, 0), MATCH((YEAR(D53)+7), Variablen!$I$3:$AT$3, 0))),L53)))*(IF((YEAR(D53)+7)&lt;YEAR(E53),0,IF((YEAR(D53)+7)&gt;YEAR(E53),1,(12-MONTH(E53)+1)/12))) + (Q53)*(IF((YEAR(D53)+7)&lt;YEAR(E53),0,IF((YEAR(D53)+7)&gt;YEAR(E53),1,(12-MONTH(E53)+1)/12))))-((P53)*(IF((YEAR(D53)+7)&lt;YEAR(E53),0,IF((YEAR(D53)+7)&gt;YEAR(E53),1,(12-MONTH(E53)+1)/12))) + (R53)*(IF((YEAR(D53)+7)&lt;YEAR(E53),0,IF((YEAR(D53)+7)&gt;YEAR(E53),1,(12-MONTH(E53)+1)/12))))-(IF(OR(N53="",N53&lt;=0),0,(O53/N53)*(IF(OR(N53="",N53&lt;=0),0,IF((YEAR(D53)+7)&lt;YEAR(E53),0,IF((YEAR(D53)+7)&gt;=YEAR(E53)+N53,0,IF((YEAR(D53)+7)=YEAR(E53),(12-MONTH(E53)+1)/12,1))))))))*TaxRate,0))-IF(7=0,O53,0))</f>
        <v/>
      </c>
      <c r="AA53" s="29">
        <f>IF(A53="","",((K53)*(IF(M53="",L53,IFERROR(IF(INDEX(Variablen!$I:$AT, MATCH(M53, Variablen!$A:$A, 0), MATCH((YEAR(D53)+8), Variablen!$I$3:$AT$3, 0))="",L53,INDEX(Variablen!$I:$AT, MATCH(M53, Variablen!$A:$A, 0), MATCH((YEAR(D53)+8), Variablen!$I$3:$AT$3, 0))),L53)))*(IF((YEAR(D53)+8)&lt;YEAR(E53),0,IF((YEAR(D53)+8)&gt;YEAR(E53),1,(12-MONTH(E53)+1)/12))) + (Q53)*(IF((YEAR(D53)+8)&lt;YEAR(E53),0,IF((YEAR(D53)+8)&gt;YEAR(E53),1,(12-MONTH(E53)+1)/12))))-((P53)*(IF((YEAR(D53)+8)&lt;YEAR(E53),0,IF((YEAR(D53)+8)&gt;YEAR(E53),1,(12-MONTH(E53)+1)/12))) + (R53)*(IF((YEAR(D53)+8)&lt;YEAR(E53),0,IF((YEAR(D53)+8)&gt;YEAR(E53),1,(12-MONTH(E53)+1)/12))))-(IF((((K53)*(IF(M53="",L53,IFERROR(IF(INDEX(Variablen!$I:$AT, MATCH(M53, Variablen!$A:$A, 0), MATCH((YEAR(D53)+8), Variablen!$I$3:$AT$3, 0))="",L53,INDEX(Variablen!$I:$AT, MATCH(M53, Variablen!$A:$A, 0), MATCH((YEAR(D53)+8), Variablen!$I$3:$AT$3, 0))),L53)))*(IF((YEAR(D53)+8)&lt;YEAR(E53),0,IF((YEAR(D53)+8)&gt;YEAR(E53),1,(12-MONTH(E53)+1)/12))) + (Q53)*(IF((YEAR(D53)+8)&lt;YEAR(E53),0,IF((YEAR(D53)+8)&gt;YEAR(E53),1,(12-MONTH(E53)+1)/12))))-((P53)*(IF((YEAR(D53)+8)&lt;YEAR(E53),0,IF((YEAR(D53)+8)&gt;YEAR(E53),1,(12-MONTH(E53)+1)/12))) + (R53)*(IF((YEAR(D53)+8)&lt;YEAR(E53),0,IF((YEAR(D53)+8)&gt;YEAR(E53),1,(12-MONTH(E53)+1)/12))))-(IF(OR(N53="",N53&lt;=0),0,(O53/N53)*(IF(OR(N53="",N53&lt;=0),0,IF((YEAR(D53)+8)&lt;YEAR(E53),0,IF((YEAR(D53)+8)&gt;=YEAR(E53)+N53,0,IF((YEAR(D53)+8)=YEAR(E53),(12-MONTH(E53)+1)/12,1))))))))&gt;0,(((K53)*(IF(M53="",L53,IFERROR(IF(INDEX(Variablen!$I:$AT, MATCH(M53, Variablen!$A:$A, 0), MATCH((YEAR(D53)+8), Variablen!$I$3:$AT$3, 0))="",L53,INDEX(Variablen!$I:$AT, MATCH(M53, Variablen!$A:$A, 0), MATCH((YEAR(D53)+8), Variablen!$I$3:$AT$3, 0))),L53)))*(IF((YEAR(D53)+8)&lt;YEAR(E53),0,IF((YEAR(D53)+8)&gt;YEAR(E53),1,(12-MONTH(E53)+1)/12))) + (Q53)*(IF((YEAR(D53)+8)&lt;YEAR(E53),0,IF((YEAR(D53)+8)&gt;YEAR(E53),1,(12-MONTH(E53)+1)/12))))-((P53)*(IF((YEAR(D53)+8)&lt;YEAR(E53),0,IF((YEAR(D53)+8)&gt;YEAR(E53),1,(12-MONTH(E53)+1)/12))) + (R53)*(IF((YEAR(D53)+8)&lt;YEAR(E53),0,IF((YEAR(D53)+8)&gt;YEAR(E53),1,(12-MONTH(E53)+1)/12))))-(IF(OR(N53="",N53&lt;=0),0,(O53/N53)*(IF(OR(N53="",N53&lt;=0),0,IF((YEAR(D53)+8)&lt;YEAR(E53),0,IF((YEAR(D53)+8)&gt;=YEAR(E53)+N53,0,IF((YEAR(D53)+8)=YEAR(E53),(12-MONTH(E53)+1)/12,1))))))))*TaxRate,0))-IF(8=0,O53,0))</f>
        <v/>
      </c>
      <c r="AB53" s="29">
        <f>IF(A53="","",((K53)*(IF(M53="",L53,IFERROR(IF(INDEX(Variablen!$I:$AT, MATCH(M53, Variablen!$A:$A, 0), MATCH((YEAR(D53)+9), Variablen!$I$3:$AT$3, 0))="",L53,INDEX(Variablen!$I:$AT, MATCH(M53, Variablen!$A:$A, 0), MATCH((YEAR(D53)+9), Variablen!$I$3:$AT$3, 0))),L53)))*(IF((YEAR(D53)+9)&lt;YEAR(E53),0,IF((YEAR(D53)+9)&gt;YEAR(E53),1,(12-MONTH(E53)+1)/12))) + (Q53)*(IF((YEAR(D53)+9)&lt;YEAR(E53),0,IF((YEAR(D53)+9)&gt;YEAR(E53),1,(12-MONTH(E53)+1)/12))))-((P53)*(IF((YEAR(D53)+9)&lt;YEAR(E53),0,IF((YEAR(D53)+9)&gt;YEAR(E53),1,(12-MONTH(E53)+1)/12))) + (R53)*(IF((YEAR(D53)+9)&lt;YEAR(E53),0,IF((YEAR(D53)+9)&gt;YEAR(E53),1,(12-MONTH(E53)+1)/12))))-(IF((((K53)*(IF(M53="",L53,IFERROR(IF(INDEX(Variablen!$I:$AT, MATCH(M53, Variablen!$A:$A, 0), MATCH((YEAR(D53)+9), Variablen!$I$3:$AT$3, 0))="",L53,INDEX(Variablen!$I:$AT, MATCH(M53, Variablen!$A:$A, 0), MATCH((YEAR(D53)+9), Variablen!$I$3:$AT$3, 0))),L53)))*(IF((YEAR(D53)+9)&lt;YEAR(E53),0,IF((YEAR(D53)+9)&gt;YEAR(E53),1,(12-MONTH(E53)+1)/12))) + (Q53)*(IF((YEAR(D53)+9)&lt;YEAR(E53),0,IF((YEAR(D53)+9)&gt;YEAR(E53),1,(12-MONTH(E53)+1)/12))))-((P53)*(IF((YEAR(D53)+9)&lt;YEAR(E53),0,IF((YEAR(D53)+9)&gt;YEAR(E53),1,(12-MONTH(E53)+1)/12))) + (R53)*(IF((YEAR(D53)+9)&lt;YEAR(E53),0,IF((YEAR(D53)+9)&gt;YEAR(E53),1,(12-MONTH(E53)+1)/12))))-(IF(OR(N53="",N53&lt;=0),0,(O53/N53)*(IF(OR(N53="",N53&lt;=0),0,IF((YEAR(D53)+9)&lt;YEAR(E53),0,IF((YEAR(D53)+9)&gt;=YEAR(E53)+N53,0,IF((YEAR(D53)+9)=YEAR(E53),(12-MONTH(E53)+1)/12,1))))))))&gt;0,(((K53)*(IF(M53="",L53,IFERROR(IF(INDEX(Variablen!$I:$AT, MATCH(M53, Variablen!$A:$A, 0), MATCH((YEAR(D53)+9), Variablen!$I$3:$AT$3, 0))="",L53,INDEX(Variablen!$I:$AT, MATCH(M53, Variablen!$A:$A, 0), MATCH((YEAR(D53)+9), Variablen!$I$3:$AT$3, 0))),L53)))*(IF((YEAR(D53)+9)&lt;YEAR(E53),0,IF((YEAR(D53)+9)&gt;YEAR(E53),1,(12-MONTH(E53)+1)/12))) + (Q53)*(IF((YEAR(D53)+9)&lt;YEAR(E53),0,IF((YEAR(D53)+9)&gt;YEAR(E53),1,(12-MONTH(E53)+1)/12))))-((P53)*(IF((YEAR(D53)+9)&lt;YEAR(E53),0,IF((YEAR(D53)+9)&gt;YEAR(E53),1,(12-MONTH(E53)+1)/12))) + (R53)*(IF((YEAR(D53)+9)&lt;YEAR(E53),0,IF((YEAR(D53)+9)&gt;YEAR(E53),1,(12-MONTH(E53)+1)/12))))-(IF(OR(N53="",N53&lt;=0),0,(O53/N53)*(IF(OR(N53="",N53&lt;=0),0,IF((YEAR(D53)+9)&lt;YEAR(E53),0,IF((YEAR(D53)+9)&gt;=YEAR(E53)+N53,0,IF((YEAR(D53)+9)=YEAR(E53),(12-MONTH(E53)+1)/12,1))))))))*TaxRate,0))-IF(9=0,O53,0))</f>
        <v/>
      </c>
      <c r="AC53" s="29">
        <f>IF(A53="","",((K53)*(IF(M53="",L53,IFERROR(IF(INDEX(Variablen!$I:$AT, MATCH(M53, Variablen!$A:$A, 0), MATCH((YEAR(D53)+10), Variablen!$I$3:$AT$3, 0))="",L53,INDEX(Variablen!$I:$AT, MATCH(M53, Variablen!$A:$A, 0), MATCH((YEAR(D53)+10), Variablen!$I$3:$AT$3, 0))),L53)))*(IF((YEAR(D53)+10)&lt;YEAR(E53),0,IF((YEAR(D53)+10)&gt;YEAR(E53),1,(12-MONTH(E53)+1)/12))) + (Q53)*(IF((YEAR(D53)+10)&lt;YEAR(E53),0,IF((YEAR(D53)+10)&gt;YEAR(E53),1,(12-MONTH(E53)+1)/12))))-((P53)*(IF((YEAR(D53)+10)&lt;YEAR(E53),0,IF((YEAR(D53)+10)&gt;YEAR(E53),1,(12-MONTH(E53)+1)/12))) + (R53)*(IF((YEAR(D53)+10)&lt;YEAR(E53),0,IF((YEAR(D53)+10)&gt;YEAR(E53),1,(12-MONTH(E53)+1)/12))))-(IF((((K53)*(IF(M53="",L53,IFERROR(IF(INDEX(Variablen!$I:$AT, MATCH(M53, Variablen!$A:$A, 0), MATCH((YEAR(D53)+10), Variablen!$I$3:$AT$3, 0))="",L53,INDEX(Variablen!$I:$AT, MATCH(M53, Variablen!$A:$A, 0), MATCH((YEAR(D53)+10), Variablen!$I$3:$AT$3, 0))),L53)))*(IF((YEAR(D53)+10)&lt;YEAR(E53),0,IF((YEAR(D53)+10)&gt;YEAR(E53),1,(12-MONTH(E53)+1)/12))) + (Q53)*(IF((YEAR(D53)+10)&lt;YEAR(E53),0,IF((YEAR(D53)+10)&gt;YEAR(E53),1,(12-MONTH(E53)+1)/12))))-((P53)*(IF((YEAR(D53)+10)&lt;YEAR(E53),0,IF((YEAR(D53)+10)&gt;YEAR(E53),1,(12-MONTH(E53)+1)/12))) + (R53)*(IF((YEAR(D53)+10)&lt;YEAR(E53),0,IF((YEAR(D53)+10)&gt;YEAR(E53),1,(12-MONTH(E53)+1)/12))))-(IF(OR(N53="",N53&lt;=0),0,(O53/N53)*(IF(OR(N53="",N53&lt;=0),0,IF((YEAR(D53)+10)&lt;YEAR(E53),0,IF((YEAR(D53)+10)&gt;=YEAR(E53)+N53,0,IF((YEAR(D53)+10)=YEAR(E53),(12-MONTH(E53)+1)/12,1))))))))&gt;0,(((K53)*(IF(M53="",L53,IFERROR(IF(INDEX(Variablen!$I:$AT, MATCH(M53, Variablen!$A:$A, 0), MATCH((YEAR(D53)+10), Variablen!$I$3:$AT$3, 0))="",L53,INDEX(Variablen!$I:$AT, MATCH(M53, Variablen!$A:$A, 0), MATCH((YEAR(D53)+10), Variablen!$I$3:$AT$3, 0))),L53)))*(IF((YEAR(D53)+10)&lt;YEAR(E53),0,IF((YEAR(D53)+10)&gt;YEAR(E53),1,(12-MONTH(E53)+1)/12))) + (Q53)*(IF((YEAR(D53)+10)&lt;YEAR(E53),0,IF((YEAR(D53)+10)&gt;YEAR(E53),1,(12-MONTH(E53)+1)/12))))-((P53)*(IF((YEAR(D53)+10)&lt;YEAR(E53),0,IF((YEAR(D53)+10)&gt;YEAR(E53),1,(12-MONTH(E53)+1)/12))) + (R53)*(IF((YEAR(D53)+10)&lt;YEAR(E53),0,IF((YEAR(D53)+10)&gt;YEAR(E53),1,(12-MONTH(E53)+1)/12))))-(IF(OR(N53="",N53&lt;=0),0,(O53/N53)*(IF(OR(N53="",N53&lt;=0),0,IF((YEAR(D53)+10)&lt;YEAR(E53),0,IF((YEAR(D53)+10)&gt;=YEAR(E53)+N53,0,IF((YEAR(D53)+10)=YEAR(E53),(12-MONTH(E53)+1)/12,1))))))))*TaxRate,0))-IF(10=0,O53,0))</f>
        <v/>
      </c>
      <c r="AD53" s="29">
        <f>IF(A53="","",((K53)*(IF(M53="",L53,IFERROR(IF(INDEX(Variablen!$I:$AT, MATCH(M53, Variablen!$A:$A, 0), MATCH((YEAR(D53)+11), Variablen!$I$3:$AT$3, 0))="",L53,INDEX(Variablen!$I:$AT, MATCH(M53, Variablen!$A:$A, 0), MATCH((YEAR(D53)+11), Variablen!$I$3:$AT$3, 0))),L53)))*(IF((YEAR(D53)+11)&lt;YEAR(E53),0,IF((YEAR(D53)+11)&gt;YEAR(E53),1,(12-MONTH(E53)+1)/12))) + (Q53)*(IF((YEAR(D53)+11)&lt;YEAR(E53),0,IF((YEAR(D53)+11)&gt;YEAR(E53),1,(12-MONTH(E53)+1)/12))))-((P53)*(IF((YEAR(D53)+11)&lt;YEAR(E53),0,IF((YEAR(D53)+11)&gt;YEAR(E53),1,(12-MONTH(E53)+1)/12))) + (R53)*(IF((YEAR(D53)+11)&lt;YEAR(E53),0,IF((YEAR(D53)+11)&gt;YEAR(E53),1,(12-MONTH(E53)+1)/12))))-(IF((((K53)*(IF(M53="",L53,IFERROR(IF(INDEX(Variablen!$I:$AT, MATCH(M53, Variablen!$A:$A, 0), MATCH((YEAR(D53)+11), Variablen!$I$3:$AT$3, 0))="",L53,INDEX(Variablen!$I:$AT, MATCH(M53, Variablen!$A:$A, 0), MATCH((YEAR(D53)+11), Variablen!$I$3:$AT$3, 0))),L53)))*(IF((YEAR(D53)+11)&lt;YEAR(E53),0,IF((YEAR(D53)+11)&gt;YEAR(E53),1,(12-MONTH(E53)+1)/12))) + (Q53)*(IF((YEAR(D53)+11)&lt;YEAR(E53),0,IF((YEAR(D53)+11)&gt;YEAR(E53),1,(12-MONTH(E53)+1)/12))))-((P53)*(IF((YEAR(D53)+11)&lt;YEAR(E53),0,IF((YEAR(D53)+11)&gt;YEAR(E53),1,(12-MONTH(E53)+1)/12))) + (R53)*(IF((YEAR(D53)+11)&lt;YEAR(E53),0,IF((YEAR(D53)+11)&gt;YEAR(E53),1,(12-MONTH(E53)+1)/12))))-(IF(OR(N53="",N53&lt;=0),0,(O53/N53)*(IF(OR(N53="",N53&lt;=0),0,IF((YEAR(D53)+11)&lt;YEAR(E53),0,IF((YEAR(D53)+11)&gt;=YEAR(E53)+N53,0,IF((YEAR(D53)+11)=YEAR(E53),(12-MONTH(E53)+1)/12,1))))))))&gt;0,(((K53)*(IF(M53="",L53,IFERROR(IF(INDEX(Variablen!$I:$AT, MATCH(M53, Variablen!$A:$A, 0), MATCH((YEAR(D53)+11), Variablen!$I$3:$AT$3, 0))="",L53,INDEX(Variablen!$I:$AT, MATCH(M53, Variablen!$A:$A, 0), MATCH((YEAR(D53)+11), Variablen!$I$3:$AT$3, 0))),L53)))*(IF((YEAR(D53)+11)&lt;YEAR(E53),0,IF((YEAR(D53)+11)&gt;YEAR(E53),1,(12-MONTH(E53)+1)/12))) + (Q53)*(IF((YEAR(D53)+11)&lt;YEAR(E53),0,IF((YEAR(D53)+11)&gt;YEAR(E53),1,(12-MONTH(E53)+1)/12))))-((P53)*(IF((YEAR(D53)+11)&lt;YEAR(E53),0,IF((YEAR(D53)+11)&gt;YEAR(E53),1,(12-MONTH(E53)+1)/12))) + (R53)*(IF((YEAR(D53)+11)&lt;YEAR(E53),0,IF((YEAR(D53)+11)&gt;YEAR(E53),1,(12-MONTH(E53)+1)/12))))-(IF(OR(N53="",N53&lt;=0),0,(O53/N53)*(IF(OR(N53="",N53&lt;=0),0,IF((YEAR(D53)+11)&lt;YEAR(E53),0,IF((YEAR(D53)+11)&gt;=YEAR(E53)+N53,0,IF((YEAR(D53)+11)=YEAR(E53),(12-MONTH(E53)+1)/12,1))))))))*TaxRate,0))-IF(11=0,O53,0))</f>
        <v/>
      </c>
      <c r="AE53" s="29">
        <f>IF(A53="","",((K53)*(IF(M53="",L53,IFERROR(IF(INDEX(Variablen!$I:$AT, MATCH(M53, Variablen!$A:$A, 0), MATCH((YEAR(D53)+12), Variablen!$I$3:$AT$3, 0))="",L53,INDEX(Variablen!$I:$AT, MATCH(M53, Variablen!$A:$A, 0), MATCH((YEAR(D53)+12), Variablen!$I$3:$AT$3, 0))),L53)))*(IF((YEAR(D53)+12)&lt;YEAR(E53),0,IF((YEAR(D53)+12)&gt;YEAR(E53),1,(12-MONTH(E53)+1)/12))) + (Q53)*(IF((YEAR(D53)+12)&lt;YEAR(E53),0,IF((YEAR(D53)+12)&gt;YEAR(E53),1,(12-MONTH(E53)+1)/12))))-((P53)*(IF((YEAR(D53)+12)&lt;YEAR(E53),0,IF((YEAR(D53)+12)&gt;YEAR(E53),1,(12-MONTH(E53)+1)/12))) + (R53)*(IF((YEAR(D53)+12)&lt;YEAR(E53),0,IF((YEAR(D53)+12)&gt;YEAR(E53),1,(12-MONTH(E53)+1)/12))))-(IF((((K53)*(IF(M53="",L53,IFERROR(IF(INDEX(Variablen!$I:$AT, MATCH(M53, Variablen!$A:$A, 0), MATCH((YEAR(D53)+12), Variablen!$I$3:$AT$3, 0))="",L53,INDEX(Variablen!$I:$AT, MATCH(M53, Variablen!$A:$A, 0), MATCH((YEAR(D53)+12), Variablen!$I$3:$AT$3, 0))),L53)))*(IF((YEAR(D53)+12)&lt;YEAR(E53),0,IF((YEAR(D53)+12)&gt;YEAR(E53),1,(12-MONTH(E53)+1)/12))) + (Q53)*(IF((YEAR(D53)+12)&lt;YEAR(E53),0,IF((YEAR(D53)+12)&gt;YEAR(E53),1,(12-MONTH(E53)+1)/12))))-((P53)*(IF((YEAR(D53)+12)&lt;YEAR(E53),0,IF((YEAR(D53)+12)&gt;YEAR(E53),1,(12-MONTH(E53)+1)/12))) + (R53)*(IF((YEAR(D53)+12)&lt;YEAR(E53),0,IF((YEAR(D53)+12)&gt;YEAR(E53),1,(12-MONTH(E53)+1)/12))))-(IF(OR(N53="",N53&lt;=0),0,(O53/N53)*(IF(OR(N53="",N53&lt;=0),0,IF((YEAR(D53)+12)&lt;YEAR(E53),0,IF((YEAR(D53)+12)&gt;=YEAR(E53)+N53,0,IF((YEAR(D53)+12)=YEAR(E53),(12-MONTH(E53)+1)/12,1))))))))&gt;0,(((K53)*(IF(M53="",L53,IFERROR(IF(INDEX(Variablen!$I:$AT, MATCH(M53, Variablen!$A:$A, 0), MATCH((YEAR(D53)+12), Variablen!$I$3:$AT$3, 0))="",L53,INDEX(Variablen!$I:$AT, MATCH(M53, Variablen!$A:$A, 0), MATCH((YEAR(D53)+12), Variablen!$I$3:$AT$3, 0))),L53)))*(IF((YEAR(D53)+12)&lt;YEAR(E53),0,IF((YEAR(D53)+12)&gt;YEAR(E53),1,(12-MONTH(E53)+1)/12))) + (Q53)*(IF((YEAR(D53)+12)&lt;YEAR(E53),0,IF((YEAR(D53)+12)&gt;YEAR(E53),1,(12-MONTH(E53)+1)/12))))-((P53)*(IF((YEAR(D53)+12)&lt;YEAR(E53),0,IF((YEAR(D53)+12)&gt;YEAR(E53),1,(12-MONTH(E53)+1)/12))) + (R53)*(IF((YEAR(D53)+12)&lt;YEAR(E53),0,IF((YEAR(D53)+12)&gt;YEAR(E53),1,(12-MONTH(E53)+1)/12))))-(IF(OR(N53="",N53&lt;=0),0,(O53/N53)*(IF(OR(N53="",N53&lt;=0),0,IF((YEAR(D53)+12)&lt;YEAR(E53),0,IF((YEAR(D53)+12)&gt;=YEAR(E53)+N53,0,IF((YEAR(D53)+12)=YEAR(E53),(12-MONTH(E53)+1)/12,1))))))))*TaxRate,0))-IF(12=0,O53,0))</f>
        <v/>
      </c>
      <c r="AF53" s="29">
        <f>IF(A53="","",((K53)*(IF(M53="",L53,IFERROR(IF(INDEX(Variablen!$I:$AT, MATCH(M53, Variablen!$A:$A, 0), MATCH((YEAR(D53)+13), Variablen!$I$3:$AT$3, 0))="",L53,INDEX(Variablen!$I:$AT, MATCH(M53, Variablen!$A:$A, 0), MATCH((YEAR(D53)+13), Variablen!$I$3:$AT$3, 0))),L53)))*(IF((YEAR(D53)+13)&lt;YEAR(E53),0,IF((YEAR(D53)+13)&gt;YEAR(E53),1,(12-MONTH(E53)+1)/12))) + (Q53)*(IF((YEAR(D53)+13)&lt;YEAR(E53),0,IF((YEAR(D53)+13)&gt;YEAR(E53),1,(12-MONTH(E53)+1)/12))))-((P53)*(IF((YEAR(D53)+13)&lt;YEAR(E53),0,IF((YEAR(D53)+13)&gt;YEAR(E53),1,(12-MONTH(E53)+1)/12))) + (R53)*(IF((YEAR(D53)+13)&lt;YEAR(E53),0,IF((YEAR(D53)+13)&gt;YEAR(E53),1,(12-MONTH(E53)+1)/12))))-(IF((((K53)*(IF(M53="",L53,IFERROR(IF(INDEX(Variablen!$I:$AT, MATCH(M53, Variablen!$A:$A, 0), MATCH((YEAR(D53)+13), Variablen!$I$3:$AT$3, 0))="",L53,INDEX(Variablen!$I:$AT, MATCH(M53, Variablen!$A:$A, 0), MATCH((YEAR(D53)+13), Variablen!$I$3:$AT$3, 0))),L53)))*(IF((YEAR(D53)+13)&lt;YEAR(E53),0,IF((YEAR(D53)+13)&gt;YEAR(E53),1,(12-MONTH(E53)+1)/12))) + (Q53)*(IF((YEAR(D53)+13)&lt;YEAR(E53),0,IF((YEAR(D53)+13)&gt;YEAR(E53),1,(12-MONTH(E53)+1)/12))))-((P53)*(IF((YEAR(D53)+13)&lt;YEAR(E53),0,IF((YEAR(D53)+13)&gt;YEAR(E53),1,(12-MONTH(E53)+1)/12))) + (R53)*(IF((YEAR(D53)+13)&lt;YEAR(E53),0,IF((YEAR(D53)+13)&gt;YEAR(E53),1,(12-MONTH(E53)+1)/12))))-(IF(OR(N53="",N53&lt;=0),0,(O53/N53)*(IF(OR(N53="",N53&lt;=0),0,IF((YEAR(D53)+13)&lt;YEAR(E53),0,IF((YEAR(D53)+13)&gt;=YEAR(E53)+N53,0,IF((YEAR(D53)+13)=YEAR(E53),(12-MONTH(E53)+1)/12,1))))))))&gt;0,(((K53)*(IF(M53="",L53,IFERROR(IF(INDEX(Variablen!$I:$AT, MATCH(M53, Variablen!$A:$A, 0), MATCH((YEAR(D53)+13), Variablen!$I$3:$AT$3, 0))="",L53,INDEX(Variablen!$I:$AT, MATCH(M53, Variablen!$A:$A, 0), MATCH((YEAR(D53)+13), Variablen!$I$3:$AT$3, 0))),L53)))*(IF((YEAR(D53)+13)&lt;YEAR(E53),0,IF((YEAR(D53)+13)&gt;YEAR(E53),1,(12-MONTH(E53)+1)/12))) + (Q53)*(IF((YEAR(D53)+13)&lt;YEAR(E53),0,IF((YEAR(D53)+13)&gt;YEAR(E53),1,(12-MONTH(E53)+1)/12))))-((P53)*(IF((YEAR(D53)+13)&lt;YEAR(E53),0,IF((YEAR(D53)+13)&gt;YEAR(E53),1,(12-MONTH(E53)+1)/12))) + (R53)*(IF((YEAR(D53)+13)&lt;YEAR(E53),0,IF((YEAR(D53)+13)&gt;YEAR(E53),1,(12-MONTH(E53)+1)/12))))-(IF(OR(N53="",N53&lt;=0),0,(O53/N53)*(IF(OR(N53="",N53&lt;=0),0,IF((YEAR(D53)+13)&lt;YEAR(E53),0,IF((YEAR(D53)+13)&gt;=YEAR(E53)+N53,0,IF((YEAR(D53)+13)=YEAR(E53),(12-MONTH(E53)+1)/12,1))))))))*TaxRate,0))-IF(13=0,O53,0))</f>
        <v/>
      </c>
      <c r="AG53" s="29">
        <f>IF(A53="","",((K53)*(IF(M53="",L53,IFERROR(IF(INDEX(Variablen!$I:$AT, MATCH(M53, Variablen!$A:$A, 0), MATCH((YEAR(D53)+14), Variablen!$I$3:$AT$3, 0))="",L53,INDEX(Variablen!$I:$AT, MATCH(M53, Variablen!$A:$A, 0), MATCH((YEAR(D53)+14), Variablen!$I$3:$AT$3, 0))),L53)))*(IF((YEAR(D53)+14)&lt;YEAR(E53),0,IF((YEAR(D53)+14)&gt;YEAR(E53),1,(12-MONTH(E53)+1)/12))) + (Q53)*(IF((YEAR(D53)+14)&lt;YEAR(E53),0,IF((YEAR(D53)+14)&gt;YEAR(E53),1,(12-MONTH(E53)+1)/12))))-((P53)*(IF((YEAR(D53)+14)&lt;YEAR(E53),0,IF((YEAR(D53)+14)&gt;YEAR(E53),1,(12-MONTH(E53)+1)/12))) + (R53)*(IF((YEAR(D53)+14)&lt;YEAR(E53),0,IF((YEAR(D53)+14)&gt;YEAR(E53),1,(12-MONTH(E53)+1)/12))))-(IF((((K53)*(IF(M53="",L53,IFERROR(IF(INDEX(Variablen!$I:$AT, MATCH(M53, Variablen!$A:$A, 0), MATCH((YEAR(D53)+14), Variablen!$I$3:$AT$3, 0))="",L53,INDEX(Variablen!$I:$AT, MATCH(M53, Variablen!$A:$A, 0), MATCH((YEAR(D53)+14), Variablen!$I$3:$AT$3, 0))),L53)))*(IF((YEAR(D53)+14)&lt;YEAR(E53),0,IF((YEAR(D53)+14)&gt;YEAR(E53),1,(12-MONTH(E53)+1)/12))) + (Q53)*(IF((YEAR(D53)+14)&lt;YEAR(E53),0,IF((YEAR(D53)+14)&gt;YEAR(E53),1,(12-MONTH(E53)+1)/12))))-((P53)*(IF((YEAR(D53)+14)&lt;YEAR(E53),0,IF((YEAR(D53)+14)&gt;YEAR(E53),1,(12-MONTH(E53)+1)/12))) + (R53)*(IF((YEAR(D53)+14)&lt;YEAR(E53),0,IF((YEAR(D53)+14)&gt;YEAR(E53),1,(12-MONTH(E53)+1)/12))))-(IF(OR(N53="",N53&lt;=0),0,(O53/N53)*(IF(OR(N53="",N53&lt;=0),0,IF((YEAR(D53)+14)&lt;YEAR(E53),0,IF((YEAR(D53)+14)&gt;=YEAR(E53)+N53,0,IF((YEAR(D53)+14)=YEAR(E53),(12-MONTH(E53)+1)/12,1))))))))&gt;0,(((K53)*(IF(M53="",L53,IFERROR(IF(INDEX(Variablen!$I:$AT, MATCH(M53, Variablen!$A:$A, 0), MATCH((YEAR(D53)+14), Variablen!$I$3:$AT$3, 0))="",L53,INDEX(Variablen!$I:$AT, MATCH(M53, Variablen!$A:$A, 0), MATCH((YEAR(D53)+14), Variablen!$I$3:$AT$3, 0))),L53)))*(IF((YEAR(D53)+14)&lt;YEAR(E53),0,IF((YEAR(D53)+14)&gt;YEAR(E53),1,(12-MONTH(E53)+1)/12))) + (Q53)*(IF((YEAR(D53)+14)&lt;YEAR(E53),0,IF((YEAR(D53)+14)&gt;YEAR(E53),1,(12-MONTH(E53)+1)/12))))-((P53)*(IF((YEAR(D53)+14)&lt;YEAR(E53),0,IF((YEAR(D53)+14)&gt;YEAR(E53),1,(12-MONTH(E53)+1)/12))) + (R53)*(IF((YEAR(D53)+14)&lt;YEAR(E53),0,IF((YEAR(D53)+14)&gt;YEAR(E53),1,(12-MONTH(E53)+1)/12))))-(IF(OR(N53="",N53&lt;=0),0,(O53/N53)*(IF(OR(N53="",N53&lt;=0),0,IF((YEAR(D53)+14)&lt;YEAR(E53),0,IF((YEAR(D53)+14)&gt;=YEAR(E53)+N53,0,IF((YEAR(D53)+14)=YEAR(E53),(12-MONTH(E53)+1)/12,1))))))))*TaxRate,0))-IF(14=0,O53,0))</f>
        <v/>
      </c>
      <c r="AH53" s="29">
        <f>IF(A53="","",((K53)*(IF(M53="",L53,IFERROR(IF(INDEX(Variablen!$I:$AT, MATCH(M53, Variablen!$A:$A, 0), MATCH((YEAR(D53)+15), Variablen!$I$3:$AT$3, 0))="",L53,INDEX(Variablen!$I:$AT, MATCH(M53, Variablen!$A:$A, 0), MATCH((YEAR(D53)+15), Variablen!$I$3:$AT$3, 0))),L53)))*(IF((YEAR(D53)+15)&lt;YEAR(E53),0,IF((YEAR(D53)+15)&gt;YEAR(E53),1,(12-MONTH(E53)+1)/12))) + (Q53)*(IF((YEAR(D53)+15)&lt;YEAR(E53),0,IF((YEAR(D53)+15)&gt;YEAR(E53),1,(12-MONTH(E53)+1)/12))))-((P53)*(IF((YEAR(D53)+15)&lt;YEAR(E53),0,IF((YEAR(D53)+15)&gt;YEAR(E53),1,(12-MONTH(E53)+1)/12))) + (R53)*(IF((YEAR(D53)+15)&lt;YEAR(E53),0,IF((YEAR(D53)+15)&gt;YEAR(E53),1,(12-MONTH(E53)+1)/12))))-(IF((((K53)*(IF(M53="",L53,IFERROR(IF(INDEX(Variablen!$I:$AT, MATCH(M53, Variablen!$A:$A, 0), MATCH((YEAR(D53)+15), Variablen!$I$3:$AT$3, 0))="",L53,INDEX(Variablen!$I:$AT, MATCH(M53, Variablen!$A:$A, 0), MATCH((YEAR(D53)+15), Variablen!$I$3:$AT$3, 0))),L53)))*(IF((YEAR(D53)+15)&lt;YEAR(E53),0,IF((YEAR(D53)+15)&gt;YEAR(E53),1,(12-MONTH(E53)+1)/12))) + (Q53)*(IF((YEAR(D53)+15)&lt;YEAR(E53),0,IF((YEAR(D53)+15)&gt;YEAR(E53),1,(12-MONTH(E53)+1)/12))))-((P53)*(IF((YEAR(D53)+15)&lt;YEAR(E53),0,IF((YEAR(D53)+15)&gt;YEAR(E53),1,(12-MONTH(E53)+1)/12))) + (R53)*(IF((YEAR(D53)+15)&lt;YEAR(E53),0,IF((YEAR(D53)+15)&gt;YEAR(E53),1,(12-MONTH(E53)+1)/12))))-(IF(OR(N53="",N53&lt;=0),0,(O53/N53)*(IF(OR(N53="",N53&lt;=0),0,IF((YEAR(D53)+15)&lt;YEAR(E53),0,IF((YEAR(D53)+15)&gt;=YEAR(E53)+N53,0,IF((YEAR(D53)+15)=YEAR(E53),(12-MONTH(E53)+1)/12,1))))))))&gt;0,(((K53)*(IF(M53="",L53,IFERROR(IF(INDEX(Variablen!$I:$AT, MATCH(M53, Variablen!$A:$A, 0), MATCH((YEAR(D53)+15), Variablen!$I$3:$AT$3, 0))="",L53,INDEX(Variablen!$I:$AT, MATCH(M53, Variablen!$A:$A, 0), MATCH((YEAR(D53)+15), Variablen!$I$3:$AT$3, 0))),L53)))*(IF((YEAR(D53)+15)&lt;YEAR(E53),0,IF((YEAR(D53)+15)&gt;YEAR(E53),1,(12-MONTH(E53)+1)/12))) + (Q53)*(IF((YEAR(D53)+15)&lt;YEAR(E53),0,IF((YEAR(D53)+15)&gt;YEAR(E53),1,(12-MONTH(E53)+1)/12))))-((P53)*(IF((YEAR(D53)+15)&lt;YEAR(E53),0,IF((YEAR(D53)+15)&gt;YEAR(E53),1,(12-MONTH(E53)+1)/12))) + (R53)*(IF((YEAR(D53)+15)&lt;YEAR(E53),0,IF((YEAR(D53)+15)&gt;YEAR(E53),1,(12-MONTH(E53)+1)/12))))-(IF(OR(N53="",N53&lt;=0),0,(O53/N53)*(IF(OR(N53="",N53&lt;=0),0,IF((YEAR(D53)+15)&lt;YEAR(E53),0,IF((YEAR(D53)+15)&gt;=YEAR(E53)+N53,0,IF((YEAR(D53)+15)=YEAR(E53),(12-MONTH(E53)+1)/12,1))))))))*TaxRate,0))-IF(15=0,O53,0))</f>
        <v/>
      </c>
      <c r="AI53" s="29">
        <f>IF(A53="","",((K53)*(IF(M53="",L53,IFERROR(IF(INDEX(Variablen!$I:$AT, MATCH(M53, Variablen!$A:$A, 0), MATCH((YEAR(D53)+16), Variablen!$I$3:$AT$3, 0))="",L53,INDEX(Variablen!$I:$AT, MATCH(M53, Variablen!$A:$A, 0), MATCH((YEAR(D53)+16), Variablen!$I$3:$AT$3, 0))),L53)))*(IF((YEAR(D53)+16)&lt;YEAR(E53),0,IF((YEAR(D53)+16)&gt;YEAR(E53),1,(12-MONTH(E53)+1)/12))) + (Q53)*(IF((YEAR(D53)+16)&lt;YEAR(E53),0,IF((YEAR(D53)+16)&gt;YEAR(E53),1,(12-MONTH(E53)+1)/12))))-((P53)*(IF((YEAR(D53)+16)&lt;YEAR(E53),0,IF((YEAR(D53)+16)&gt;YEAR(E53),1,(12-MONTH(E53)+1)/12))) + (R53)*(IF((YEAR(D53)+16)&lt;YEAR(E53),0,IF((YEAR(D53)+16)&gt;YEAR(E53),1,(12-MONTH(E53)+1)/12))))-(IF((((K53)*(IF(M53="",L53,IFERROR(IF(INDEX(Variablen!$I:$AT, MATCH(M53, Variablen!$A:$A, 0), MATCH((YEAR(D53)+16), Variablen!$I$3:$AT$3, 0))="",L53,INDEX(Variablen!$I:$AT, MATCH(M53, Variablen!$A:$A, 0), MATCH((YEAR(D53)+16), Variablen!$I$3:$AT$3, 0))),L53)))*(IF((YEAR(D53)+16)&lt;YEAR(E53),0,IF((YEAR(D53)+16)&gt;YEAR(E53),1,(12-MONTH(E53)+1)/12))) + (Q53)*(IF((YEAR(D53)+16)&lt;YEAR(E53),0,IF((YEAR(D53)+16)&gt;YEAR(E53),1,(12-MONTH(E53)+1)/12))))-((P53)*(IF((YEAR(D53)+16)&lt;YEAR(E53),0,IF((YEAR(D53)+16)&gt;YEAR(E53),1,(12-MONTH(E53)+1)/12))) + (R53)*(IF((YEAR(D53)+16)&lt;YEAR(E53),0,IF((YEAR(D53)+16)&gt;YEAR(E53),1,(12-MONTH(E53)+1)/12))))-(IF(OR(N53="",N53&lt;=0),0,(O53/N53)*(IF(OR(N53="",N53&lt;=0),0,IF((YEAR(D53)+16)&lt;YEAR(E53),0,IF((YEAR(D53)+16)&gt;=YEAR(E53)+N53,0,IF((YEAR(D53)+16)=YEAR(E53),(12-MONTH(E53)+1)/12,1))))))))&gt;0,(((K53)*(IF(M53="",L53,IFERROR(IF(INDEX(Variablen!$I:$AT, MATCH(M53, Variablen!$A:$A, 0), MATCH((YEAR(D53)+16), Variablen!$I$3:$AT$3, 0))="",L53,INDEX(Variablen!$I:$AT, MATCH(M53, Variablen!$A:$A, 0), MATCH((YEAR(D53)+16), Variablen!$I$3:$AT$3, 0))),L53)))*(IF((YEAR(D53)+16)&lt;YEAR(E53),0,IF((YEAR(D53)+16)&gt;YEAR(E53),1,(12-MONTH(E53)+1)/12))) + (Q53)*(IF((YEAR(D53)+16)&lt;YEAR(E53),0,IF((YEAR(D53)+16)&gt;YEAR(E53),1,(12-MONTH(E53)+1)/12))))-((P53)*(IF((YEAR(D53)+16)&lt;YEAR(E53),0,IF((YEAR(D53)+16)&gt;YEAR(E53),1,(12-MONTH(E53)+1)/12))) + (R53)*(IF((YEAR(D53)+16)&lt;YEAR(E53),0,IF((YEAR(D53)+16)&gt;YEAR(E53),1,(12-MONTH(E53)+1)/12))))-(IF(OR(N53="",N53&lt;=0),0,(O53/N53)*(IF(OR(N53="",N53&lt;=0),0,IF((YEAR(D53)+16)&lt;YEAR(E53),0,IF((YEAR(D53)+16)&gt;=YEAR(E53)+N53,0,IF((YEAR(D53)+16)=YEAR(E53),(12-MONTH(E53)+1)/12,1))))))))*TaxRate,0))-IF(16=0,O53,0))</f>
        <v/>
      </c>
      <c r="AJ53" s="29">
        <f>IF(A53="","",((K53)*(IF(M53="",L53,IFERROR(IF(INDEX(Variablen!$I:$AT, MATCH(M53, Variablen!$A:$A, 0), MATCH((YEAR(D53)+17), Variablen!$I$3:$AT$3, 0))="",L53,INDEX(Variablen!$I:$AT, MATCH(M53, Variablen!$A:$A, 0), MATCH((YEAR(D53)+17), Variablen!$I$3:$AT$3, 0))),L53)))*(IF((YEAR(D53)+17)&lt;YEAR(E53),0,IF((YEAR(D53)+17)&gt;YEAR(E53),1,(12-MONTH(E53)+1)/12))) + (Q53)*(IF((YEAR(D53)+17)&lt;YEAR(E53),0,IF((YEAR(D53)+17)&gt;YEAR(E53),1,(12-MONTH(E53)+1)/12))))-((P53)*(IF((YEAR(D53)+17)&lt;YEAR(E53),0,IF((YEAR(D53)+17)&gt;YEAR(E53),1,(12-MONTH(E53)+1)/12))) + (R53)*(IF((YEAR(D53)+17)&lt;YEAR(E53),0,IF((YEAR(D53)+17)&gt;YEAR(E53),1,(12-MONTH(E53)+1)/12))))-(IF((((K53)*(IF(M53="",L53,IFERROR(IF(INDEX(Variablen!$I:$AT, MATCH(M53, Variablen!$A:$A, 0), MATCH((YEAR(D53)+17), Variablen!$I$3:$AT$3, 0))="",L53,INDEX(Variablen!$I:$AT, MATCH(M53, Variablen!$A:$A, 0), MATCH((YEAR(D53)+17), Variablen!$I$3:$AT$3, 0))),L53)))*(IF((YEAR(D53)+17)&lt;YEAR(E53),0,IF((YEAR(D53)+17)&gt;YEAR(E53),1,(12-MONTH(E53)+1)/12))) + (Q53)*(IF((YEAR(D53)+17)&lt;YEAR(E53),0,IF((YEAR(D53)+17)&gt;YEAR(E53),1,(12-MONTH(E53)+1)/12))))-((P53)*(IF((YEAR(D53)+17)&lt;YEAR(E53),0,IF((YEAR(D53)+17)&gt;YEAR(E53),1,(12-MONTH(E53)+1)/12))) + (R53)*(IF((YEAR(D53)+17)&lt;YEAR(E53),0,IF((YEAR(D53)+17)&gt;YEAR(E53),1,(12-MONTH(E53)+1)/12))))-(IF(OR(N53="",N53&lt;=0),0,(O53/N53)*(IF(OR(N53="",N53&lt;=0),0,IF((YEAR(D53)+17)&lt;YEAR(E53),0,IF((YEAR(D53)+17)&gt;=YEAR(E53)+N53,0,IF((YEAR(D53)+17)=YEAR(E53),(12-MONTH(E53)+1)/12,1))))))))&gt;0,(((K53)*(IF(M53="",L53,IFERROR(IF(INDEX(Variablen!$I:$AT, MATCH(M53, Variablen!$A:$A, 0), MATCH((YEAR(D53)+17), Variablen!$I$3:$AT$3, 0))="",L53,INDEX(Variablen!$I:$AT, MATCH(M53, Variablen!$A:$A, 0), MATCH((YEAR(D53)+17), Variablen!$I$3:$AT$3, 0))),L53)))*(IF((YEAR(D53)+17)&lt;YEAR(E53),0,IF((YEAR(D53)+17)&gt;YEAR(E53),1,(12-MONTH(E53)+1)/12))) + (Q53)*(IF((YEAR(D53)+17)&lt;YEAR(E53),0,IF((YEAR(D53)+17)&gt;YEAR(E53),1,(12-MONTH(E53)+1)/12))))-((P53)*(IF((YEAR(D53)+17)&lt;YEAR(E53),0,IF((YEAR(D53)+17)&gt;YEAR(E53),1,(12-MONTH(E53)+1)/12))) + (R53)*(IF((YEAR(D53)+17)&lt;YEAR(E53),0,IF((YEAR(D53)+17)&gt;YEAR(E53),1,(12-MONTH(E53)+1)/12))))-(IF(OR(N53="",N53&lt;=0),0,(O53/N53)*(IF(OR(N53="",N53&lt;=0),0,IF((YEAR(D53)+17)&lt;YEAR(E53),0,IF((YEAR(D53)+17)&gt;=YEAR(E53)+N53,0,IF((YEAR(D53)+17)=YEAR(E53),(12-MONTH(E53)+1)/12,1))))))))*TaxRate,0))-IF(17=0,O53,0))</f>
        <v/>
      </c>
      <c r="AK53" s="29">
        <f>IF(A53="","",((K53)*(IF(M53="",L53,IFERROR(IF(INDEX(Variablen!$I:$AT, MATCH(M53, Variablen!$A:$A, 0), MATCH((YEAR(D53)+18), Variablen!$I$3:$AT$3, 0))="",L53,INDEX(Variablen!$I:$AT, MATCH(M53, Variablen!$A:$A, 0), MATCH((YEAR(D53)+18), Variablen!$I$3:$AT$3, 0))),L53)))*(IF((YEAR(D53)+18)&lt;YEAR(E53),0,IF((YEAR(D53)+18)&gt;YEAR(E53),1,(12-MONTH(E53)+1)/12))) + (Q53)*(IF((YEAR(D53)+18)&lt;YEAR(E53),0,IF((YEAR(D53)+18)&gt;YEAR(E53),1,(12-MONTH(E53)+1)/12))))-((P53)*(IF((YEAR(D53)+18)&lt;YEAR(E53),0,IF((YEAR(D53)+18)&gt;YEAR(E53),1,(12-MONTH(E53)+1)/12))) + (R53)*(IF((YEAR(D53)+18)&lt;YEAR(E53),0,IF((YEAR(D53)+18)&gt;YEAR(E53),1,(12-MONTH(E53)+1)/12))))-(IF((((K53)*(IF(M53="",L53,IFERROR(IF(INDEX(Variablen!$I:$AT, MATCH(M53, Variablen!$A:$A, 0), MATCH((YEAR(D53)+18), Variablen!$I$3:$AT$3, 0))="",L53,INDEX(Variablen!$I:$AT, MATCH(M53, Variablen!$A:$A, 0), MATCH((YEAR(D53)+18), Variablen!$I$3:$AT$3, 0))),L53)))*(IF((YEAR(D53)+18)&lt;YEAR(E53),0,IF((YEAR(D53)+18)&gt;YEAR(E53),1,(12-MONTH(E53)+1)/12))) + (Q53)*(IF((YEAR(D53)+18)&lt;YEAR(E53),0,IF((YEAR(D53)+18)&gt;YEAR(E53),1,(12-MONTH(E53)+1)/12))))-((P53)*(IF((YEAR(D53)+18)&lt;YEAR(E53),0,IF((YEAR(D53)+18)&gt;YEAR(E53),1,(12-MONTH(E53)+1)/12))) + (R53)*(IF((YEAR(D53)+18)&lt;YEAR(E53),0,IF((YEAR(D53)+18)&gt;YEAR(E53),1,(12-MONTH(E53)+1)/12))))-(IF(OR(N53="",N53&lt;=0),0,(O53/N53)*(IF(OR(N53="",N53&lt;=0),0,IF((YEAR(D53)+18)&lt;YEAR(E53),0,IF((YEAR(D53)+18)&gt;=YEAR(E53)+N53,0,IF((YEAR(D53)+18)=YEAR(E53),(12-MONTH(E53)+1)/12,1))))))))&gt;0,(((K53)*(IF(M53="",L53,IFERROR(IF(INDEX(Variablen!$I:$AT, MATCH(M53, Variablen!$A:$A, 0), MATCH((YEAR(D53)+18), Variablen!$I$3:$AT$3, 0))="",L53,INDEX(Variablen!$I:$AT, MATCH(M53, Variablen!$A:$A, 0), MATCH((YEAR(D53)+18), Variablen!$I$3:$AT$3, 0))),L53)))*(IF((YEAR(D53)+18)&lt;YEAR(E53),0,IF((YEAR(D53)+18)&gt;YEAR(E53),1,(12-MONTH(E53)+1)/12))) + (Q53)*(IF((YEAR(D53)+18)&lt;YEAR(E53),0,IF((YEAR(D53)+18)&gt;YEAR(E53),1,(12-MONTH(E53)+1)/12))))-((P53)*(IF((YEAR(D53)+18)&lt;YEAR(E53),0,IF((YEAR(D53)+18)&gt;YEAR(E53),1,(12-MONTH(E53)+1)/12))) + (R53)*(IF((YEAR(D53)+18)&lt;YEAR(E53),0,IF((YEAR(D53)+18)&gt;YEAR(E53),1,(12-MONTH(E53)+1)/12))))-(IF(OR(N53="",N53&lt;=0),0,(O53/N53)*(IF(OR(N53="",N53&lt;=0),0,IF((YEAR(D53)+18)&lt;YEAR(E53),0,IF((YEAR(D53)+18)&gt;=YEAR(E53)+N53,0,IF((YEAR(D53)+18)=YEAR(E53),(12-MONTH(E53)+1)/12,1))))))))*TaxRate,0))-IF(18=0,O53,0))</f>
        <v/>
      </c>
      <c r="AL53" s="29">
        <f>IF(A53="","",((K53)*(IF(M53="",L53,IFERROR(IF(INDEX(Variablen!$I:$AT, MATCH(M53, Variablen!$A:$A, 0), MATCH((YEAR(D53)+19), Variablen!$I$3:$AT$3, 0))="",L53,INDEX(Variablen!$I:$AT, MATCH(M53, Variablen!$A:$A, 0), MATCH((YEAR(D53)+19), Variablen!$I$3:$AT$3, 0))),L53)))*(IF((YEAR(D53)+19)&lt;YEAR(E53),0,IF((YEAR(D53)+19)&gt;YEAR(E53),1,(12-MONTH(E53)+1)/12))) + (Q53)*(IF((YEAR(D53)+19)&lt;YEAR(E53),0,IF((YEAR(D53)+19)&gt;YEAR(E53),1,(12-MONTH(E53)+1)/12))))-((P53)*(IF((YEAR(D53)+19)&lt;YEAR(E53),0,IF((YEAR(D53)+19)&gt;YEAR(E53),1,(12-MONTH(E53)+1)/12))) + (R53)*(IF((YEAR(D53)+19)&lt;YEAR(E53),0,IF((YEAR(D53)+19)&gt;YEAR(E53),1,(12-MONTH(E53)+1)/12))))-(IF((((K53)*(IF(M53="",L53,IFERROR(IF(INDEX(Variablen!$I:$AT, MATCH(M53, Variablen!$A:$A, 0), MATCH((YEAR(D53)+19), Variablen!$I$3:$AT$3, 0))="",L53,INDEX(Variablen!$I:$AT, MATCH(M53, Variablen!$A:$A, 0), MATCH((YEAR(D53)+19), Variablen!$I$3:$AT$3, 0))),L53)))*(IF((YEAR(D53)+19)&lt;YEAR(E53),0,IF((YEAR(D53)+19)&gt;YEAR(E53),1,(12-MONTH(E53)+1)/12))) + (Q53)*(IF((YEAR(D53)+19)&lt;YEAR(E53),0,IF((YEAR(D53)+19)&gt;YEAR(E53),1,(12-MONTH(E53)+1)/12))))-((P53)*(IF((YEAR(D53)+19)&lt;YEAR(E53),0,IF((YEAR(D53)+19)&gt;YEAR(E53),1,(12-MONTH(E53)+1)/12))) + (R53)*(IF((YEAR(D53)+19)&lt;YEAR(E53),0,IF((YEAR(D53)+19)&gt;YEAR(E53),1,(12-MONTH(E53)+1)/12))))-(IF(OR(N53="",N53&lt;=0),0,(O53/N53)*(IF(OR(N53="",N53&lt;=0),0,IF((YEAR(D53)+19)&lt;YEAR(E53),0,IF((YEAR(D53)+19)&gt;=YEAR(E53)+N53,0,IF((YEAR(D53)+19)=YEAR(E53),(12-MONTH(E53)+1)/12,1))))))))&gt;0,(((K53)*(IF(M53="",L53,IFERROR(IF(INDEX(Variablen!$I:$AT, MATCH(M53, Variablen!$A:$A, 0), MATCH((YEAR(D53)+19), Variablen!$I$3:$AT$3, 0))="",L53,INDEX(Variablen!$I:$AT, MATCH(M53, Variablen!$A:$A, 0), MATCH((YEAR(D53)+19), Variablen!$I$3:$AT$3, 0))),L53)))*(IF((YEAR(D53)+19)&lt;YEAR(E53),0,IF((YEAR(D53)+19)&gt;YEAR(E53),1,(12-MONTH(E53)+1)/12))) + (Q53)*(IF((YEAR(D53)+19)&lt;YEAR(E53),0,IF((YEAR(D53)+19)&gt;YEAR(E53),1,(12-MONTH(E53)+1)/12))))-((P53)*(IF((YEAR(D53)+19)&lt;YEAR(E53),0,IF((YEAR(D53)+19)&gt;YEAR(E53),1,(12-MONTH(E53)+1)/12))) + (R53)*(IF((YEAR(D53)+19)&lt;YEAR(E53),0,IF((YEAR(D53)+19)&gt;YEAR(E53),1,(12-MONTH(E53)+1)/12))))-(IF(OR(N53="",N53&lt;=0),0,(O53/N53)*(IF(OR(N53="",N53&lt;=0),0,IF((YEAR(D53)+19)&lt;YEAR(E53),0,IF((YEAR(D53)+19)&gt;=YEAR(E53)+N53,0,IF((YEAR(D53)+19)=YEAR(E53),(12-MONTH(E53)+1)/12,1))))))))*TaxRate,0))-IF(19=0,O53,0))</f>
        <v/>
      </c>
      <c r="AM53" s="29">
        <f>IF(A53="","",((K53)*(IF(M53="",L53,IFERROR(IF(INDEX(Variablen!$I:$AT, MATCH(M53, Variablen!$A:$A, 0), MATCH((YEAR(D53)+20), Variablen!$I$3:$AT$3, 0))="",L53,INDEX(Variablen!$I:$AT, MATCH(M53, Variablen!$A:$A, 0), MATCH((YEAR(D53)+20), Variablen!$I$3:$AT$3, 0))),L53)))*(IF((YEAR(D53)+20)&lt;YEAR(E53),0,IF((YEAR(D53)+20)&gt;YEAR(E53),1,(12-MONTH(E53)+1)/12))) + (Q53)*(IF((YEAR(D53)+20)&lt;YEAR(E53),0,IF((YEAR(D53)+20)&gt;YEAR(E53),1,(12-MONTH(E53)+1)/12))))-((P53)*(IF((YEAR(D53)+20)&lt;YEAR(E53),0,IF((YEAR(D53)+20)&gt;YEAR(E53),1,(12-MONTH(E53)+1)/12))) + (R53)*(IF((YEAR(D53)+20)&lt;YEAR(E53),0,IF((YEAR(D53)+20)&gt;YEAR(E53),1,(12-MONTH(E53)+1)/12))))-(IF((((K53)*(IF(M53="",L53,IFERROR(IF(INDEX(Variablen!$I:$AT, MATCH(M53, Variablen!$A:$A, 0), MATCH((YEAR(D53)+20), Variablen!$I$3:$AT$3, 0))="",L53,INDEX(Variablen!$I:$AT, MATCH(M53, Variablen!$A:$A, 0), MATCH((YEAR(D53)+20), Variablen!$I$3:$AT$3, 0))),L53)))*(IF((YEAR(D53)+20)&lt;YEAR(E53),0,IF((YEAR(D53)+20)&gt;YEAR(E53),1,(12-MONTH(E53)+1)/12))) + (Q53)*(IF((YEAR(D53)+20)&lt;YEAR(E53),0,IF((YEAR(D53)+20)&gt;YEAR(E53),1,(12-MONTH(E53)+1)/12))))-((P53)*(IF((YEAR(D53)+20)&lt;YEAR(E53),0,IF((YEAR(D53)+20)&gt;YEAR(E53),1,(12-MONTH(E53)+1)/12))) + (R53)*(IF((YEAR(D53)+20)&lt;YEAR(E53),0,IF((YEAR(D53)+20)&gt;YEAR(E53),1,(12-MONTH(E53)+1)/12))))-(IF(OR(N53="",N53&lt;=0),0,(O53/N53)*(IF(OR(N53="",N53&lt;=0),0,IF((YEAR(D53)+20)&lt;YEAR(E53),0,IF((YEAR(D53)+20)&gt;=YEAR(E53)+N53,0,IF((YEAR(D53)+20)=YEAR(E53),(12-MONTH(E53)+1)/12,1))))))))&gt;0,(((K53)*(IF(M53="",L53,IFERROR(IF(INDEX(Variablen!$I:$AT, MATCH(M53, Variablen!$A:$A, 0), MATCH((YEAR(D53)+20), Variablen!$I$3:$AT$3, 0))="",L53,INDEX(Variablen!$I:$AT, MATCH(M53, Variablen!$A:$A, 0), MATCH((YEAR(D53)+20), Variablen!$I$3:$AT$3, 0))),L53)))*(IF((YEAR(D53)+20)&lt;YEAR(E53),0,IF((YEAR(D53)+20)&gt;YEAR(E53),1,(12-MONTH(E53)+1)/12))) + (Q53)*(IF((YEAR(D53)+20)&lt;YEAR(E53),0,IF((YEAR(D53)+20)&gt;YEAR(E53),1,(12-MONTH(E53)+1)/12))))-((P53)*(IF((YEAR(D53)+20)&lt;YEAR(E53),0,IF((YEAR(D53)+20)&gt;YEAR(E53),1,(12-MONTH(E53)+1)/12))) + (R53)*(IF((YEAR(D53)+20)&lt;YEAR(E53),0,IF((YEAR(D53)+20)&gt;YEAR(E53),1,(12-MONTH(E53)+1)/12))))-(IF(OR(N53="",N53&lt;=0),0,(O53/N53)*(IF(OR(N53="",N53&lt;=0),0,IF((YEAR(D53)+20)&lt;YEAR(E53),0,IF((YEAR(D53)+20)&gt;=YEAR(E53)+N53,0,IF((YEAR(D53)+20)=YEAR(E53),(12-MONTH(E53)+1)/12,1))))))))*TaxRate,0))-IF(20=0,O53,0))</f>
        <v/>
      </c>
      <c r="AN53" s="29">
        <f>IF(A53="","",S53)</f>
        <v/>
      </c>
      <c r="AO53" s="29">
        <f>IF(A53="","",AN53+T53)</f>
        <v/>
      </c>
      <c r="AP53" s="29">
        <f>IF(A53="","",AO53+U53)</f>
        <v/>
      </c>
      <c r="AQ53" s="29">
        <f>IF(A53="","",AP53+V53)</f>
        <v/>
      </c>
      <c r="AR53" s="29">
        <f>IF(A53="","",AQ53+W53)</f>
        <v/>
      </c>
      <c r="AS53" s="29">
        <f>IF(A53="","",AR53+X53)</f>
        <v/>
      </c>
      <c r="AT53" s="29">
        <f>IF(A53="","",AS53+Y53)</f>
        <v/>
      </c>
      <c r="AU53" s="29">
        <f>IF(A53="","",AT53+Z53)</f>
        <v/>
      </c>
      <c r="AV53" s="29">
        <f>IF(A53="","",AU53+AA53)</f>
        <v/>
      </c>
      <c r="AW53" s="29">
        <f>IF(A53="","",AV53+AB53)</f>
        <v/>
      </c>
      <c r="AX53" s="29">
        <f>IF(A53="","",AW53+AC53)</f>
        <v/>
      </c>
      <c r="AY53" s="29">
        <f>IF(A53="","",AX53+AD53)</f>
        <v/>
      </c>
      <c r="AZ53" s="29">
        <f>IF(A53="","",AY53+AE53)</f>
        <v/>
      </c>
      <c r="BA53" s="29">
        <f>IF(A53="","",AZ53+AF53)</f>
        <v/>
      </c>
      <c r="BB53" s="29">
        <f>IF(A53="","",BA53+AG53)</f>
        <v/>
      </c>
      <c r="BC53" s="29">
        <f>IF(A53="","",BB53+AH53)</f>
        <v/>
      </c>
      <c r="BD53" s="29">
        <f>IF(A53="","",BC53+AI53)</f>
        <v/>
      </c>
      <c r="BE53" s="29">
        <f>IF(A53="","",BD53+AJ53)</f>
        <v/>
      </c>
      <c r="BF53" s="29">
        <f>IF(A53="","",BE53+AK53)</f>
        <v/>
      </c>
      <c r="BG53" s="29">
        <f>IF(A53="","",BF53+AL53)</f>
        <v/>
      </c>
      <c r="BH53" s="29">
        <f>IF(A53="","",BG53+AM53)</f>
        <v/>
      </c>
      <c r="BI53" s="36">
        <f>IF(A53="","",(K53)*(IF((YEAR(D53)+0)&lt;YEAR(E53),0,IF((YEAR(D53)+0)&gt;YEAR(E53),1,(12-MONTH(E53)+1)/12)))*(1/(1+DiscountRate)^0))</f>
        <v/>
      </c>
      <c r="BJ53" s="36">
        <f>IF(A53="","",(K53)*(IF((YEAR(D53)+1)&lt;YEAR(E53),0,IF((YEAR(D53)+1)&gt;YEAR(E53),1,(12-MONTH(E53)+1)/12)))*(1/(1+DiscountRate)^1))</f>
        <v/>
      </c>
      <c r="BK53" s="36">
        <f>IF(A53="","",(K53)*(IF((YEAR(D53)+2)&lt;YEAR(E53),0,IF((YEAR(D53)+2)&gt;YEAR(E53),1,(12-MONTH(E53)+1)/12)))*(1/(1+DiscountRate)^2))</f>
        <v/>
      </c>
      <c r="BL53" s="36">
        <f>IF(A53="","",(K53)*(IF((YEAR(D53)+3)&lt;YEAR(E53),0,IF((YEAR(D53)+3)&gt;YEAR(E53),1,(12-MONTH(E53)+1)/12)))*(1/(1+DiscountRate)^3))</f>
        <v/>
      </c>
      <c r="BM53" s="36">
        <f>IF(A53="","",(K53)*(IF((YEAR(D53)+4)&lt;YEAR(E53),0,IF((YEAR(D53)+4)&gt;YEAR(E53),1,(12-MONTH(E53)+1)/12)))*(1/(1+DiscountRate)^4))</f>
        <v/>
      </c>
      <c r="BN53" s="36">
        <f>IF(A53="","",(K53)*(IF((YEAR(D53)+5)&lt;YEAR(E53),0,IF((YEAR(D53)+5)&gt;YEAR(E53),1,(12-MONTH(E53)+1)/12)))*(1/(1+DiscountRate)^5))</f>
        <v/>
      </c>
      <c r="BO53" s="36">
        <f>IF(A53="","",(K53)*(IF((YEAR(D53)+6)&lt;YEAR(E53),0,IF((YEAR(D53)+6)&gt;YEAR(E53),1,(12-MONTH(E53)+1)/12)))*(1/(1+DiscountRate)^6))</f>
        <v/>
      </c>
      <c r="BP53" s="36">
        <f>IF(A53="","",(K53)*(IF((YEAR(D53)+7)&lt;YEAR(E53),0,IF((YEAR(D53)+7)&gt;YEAR(E53),1,(12-MONTH(E53)+1)/12)))*(1/(1+DiscountRate)^7))</f>
        <v/>
      </c>
      <c r="BQ53" s="36">
        <f>IF(A53="","",(K53)*(IF((YEAR(D53)+8)&lt;YEAR(E53),0,IF((YEAR(D53)+8)&gt;YEAR(E53),1,(12-MONTH(E53)+1)/12)))*(1/(1+DiscountRate)^8))</f>
        <v/>
      </c>
      <c r="BR53" s="36">
        <f>IF(A53="","",(K53)*(IF((YEAR(D53)+9)&lt;YEAR(E53),0,IF((YEAR(D53)+9)&gt;YEAR(E53),1,(12-MONTH(E53)+1)/12)))*(1/(1+DiscountRate)^9))</f>
        <v/>
      </c>
      <c r="BS53" s="36">
        <f>IF(A53="","",(K53)*(IF((YEAR(D53)+10)&lt;YEAR(E53),0,IF((YEAR(D53)+10)&gt;YEAR(E53),1,(12-MONTH(E53)+1)/12)))*(1/(1+DiscountRate)^10))</f>
        <v/>
      </c>
      <c r="BT53" s="36">
        <f>IF(A53="","",(K53)*(IF((YEAR(D53)+11)&lt;YEAR(E53),0,IF((YEAR(D53)+11)&gt;YEAR(E53),1,(12-MONTH(E53)+1)/12)))*(1/(1+DiscountRate)^11))</f>
        <v/>
      </c>
      <c r="BU53" s="36">
        <f>IF(A53="","",(K53)*(IF((YEAR(D53)+12)&lt;YEAR(E53),0,IF((YEAR(D53)+12)&gt;YEAR(E53),1,(12-MONTH(E53)+1)/12)))*(1/(1+DiscountRate)^12))</f>
        <v/>
      </c>
      <c r="BV53" s="36">
        <f>IF(A53="","",(K53)*(IF((YEAR(D53)+13)&lt;YEAR(E53),0,IF((YEAR(D53)+13)&gt;YEAR(E53),1,(12-MONTH(E53)+1)/12)))*(1/(1+DiscountRate)^13))</f>
        <v/>
      </c>
      <c r="BW53" s="36">
        <f>IF(A53="","",(K53)*(IF((YEAR(D53)+14)&lt;YEAR(E53),0,IF((YEAR(D53)+14)&gt;YEAR(E53),1,(12-MONTH(E53)+1)/12)))*(1/(1+DiscountRate)^14))</f>
        <v/>
      </c>
      <c r="BX53" s="36">
        <f>IF(A53="","",(K53)*(IF((YEAR(D53)+15)&lt;YEAR(E53),0,IF((YEAR(D53)+15)&gt;YEAR(E53),1,(12-MONTH(E53)+1)/12)))*(1/(1+DiscountRate)^15))</f>
        <v/>
      </c>
      <c r="BY53" s="36">
        <f>IF(A53="","",(K53)*(IF((YEAR(D53)+16)&lt;YEAR(E53),0,IF((YEAR(D53)+16)&gt;YEAR(E53),1,(12-MONTH(E53)+1)/12)))*(1/(1+DiscountRate)^16))</f>
        <v/>
      </c>
      <c r="BZ53" s="36">
        <f>IF(A53="","",(K53)*(IF((YEAR(D53)+17)&lt;YEAR(E53),0,IF((YEAR(D53)+17)&gt;YEAR(E53),1,(12-MONTH(E53)+1)/12)))*(1/(1+DiscountRate)^17))</f>
        <v/>
      </c>
      <c r="CA53" s="36">
        <f>IF(A53="","",(K53)*(IF((YEAR(D53)+18)&lt;YEAR(E53),0,IF((YEAR(D53)+18)&gt;YEAR(E53),1,(12-MONTH(E53)+1)/12)))*(1/(1+DiscountRate)^18))</f>
        <v/>
      </c>
      <c r="CB53" s="36">
        <f>IF(A53="","",(K53)*(IF((YEAR(D53)+19)&lt;YEAR(E53),0,IF((YEAR(D53)+19)&gt;YEAR(E53),1,(12-MONTH(E53)+1)/12)))*(1/(1+DiscountRate)^19))</f>
        <v/>
      </c>
      <c r="CC53" s="36">
        <f>IF(A53="","",(K53)*(IF((YEAR(D53)+20)&lt;YEAR(E53),0,IF((YEAR(D53)+20)&gt;YEAR(E53),1,(12-MONTH(E53)+1)/12)))*(1/(1+DiscountRate)^20))</f>
        <v/>
      </c>
      <c r="CD53" s="29">
        <f>IF(A53="","",S53/(1+DiscountRate)^0+T53/(1+DiscountRate)^1+U53/(1+DiscountRate)^2+V53/(1+DiscountRate)^3+W53/(1+DiscountRate)^4+X53/(1+DiscountRate)^5+Y53/(1+DiscountRate)^6+Z53/(1+DiscountRate)^7+AA53/(1+DiscountRate)^8+AB53/(1+DiscountRate)^9+AC53/(1+DiscountRate)^10+AD53/(1+DiscountRate)^11+AE53/(1+DiscountRate)^12+AF53/(1+DiscountRate)^13+AG53/(1+DiscountRate)^14+AH53/(1+DiscountRate)^15+AI53/(1+DiscountRate)^16+AJ53/(1+DiscountRate)^17+AK53/(1+DiscountRate)^18+AL53/(1+DiscountRate)^19+AM53/(1+DiscountRate)^20)</f>
        <v/>
      </c>
      <c r="CE53" s="37">
        <f>IF(A53="","",IFERROR(IRR(OFFSET(S53,0,0,1,MIN(HorizonYears,20)+1)),"n/a"))</f>
        <v/>
      </c>
      <c r="CF53" s="28">
        <f>IF(A53="","",IFERROR(MATCH(TRUE,OFFSET(AN53,0,0,1,MIN(HorizonYears,20)+1)&gt;=0,0)-1,"n/a"))</f>
        <v/>
      </c>
      <c r="CG53" s="36">
        <f>IF(A53="","",SUM(OFFSET(BI53,0,0,1,MIN(HorizonYears,20)+1)))</f>
        <v/>
      </c>
      <c r="CH53" s="36">
        <f>IF(A53="","",IFERROR(-CD53/CG53,"n/a"))</f>
        <v/>
      </c>
    </row>
    <row r="54">
      <c r="A54" s="6">
        <f>Actions!A52</f>
        <v/>
      </c>
      <c r="B54" s="6">
        <f>Actions!B52</f>
        <v/>
      </c>
      <c r="C54" s="6">
        <f>Actions!D52</f>
        <v/>
      </c>
      <c r="D54" s="35">
        <f>Actions!E52</f>
        <v/>
      </c>
      <c r="E54" s="35">
        <f>Actions!F52</f>
        <v/>
      </c>
      <c r="F54" s="6">
        <f>Actions!G52</f>
        <v/>
      </c>
      <c r="G54" s="6">
        <f>Actions!H52</f>
        <v/>
      </c>
      <c r="H54" s="29">
        <f>Actions!I52</f>
        <v/>
      </c>
      <c r="I54" s="6">
        <f>Actions!J52</f>
        <v/>
      </c>
      <c r="J54" s="16">
        <f>Actions!K52</f>
        <v/>
      </c>
      <c r="K54" s="16">
        <f>IF(A54="","",IF(I54="%",H54*J54,J54))</f>
        <v/>
      </c>
      <c r="L54" s="16">
        <f>Actions!L52</f>
        <v/>
      </c>
      <c r="M54" s="6">
        <f>Actions!M52</f>
        <v/>
      </c>
      <c r="N54" s="28">
        <f>Actions!N52</f>
        <v/>
      </c>
      <c r="O54" s="29">
        <f>Actions!T52</f>
        <v/>
      </c>
      <c r="P54" s="29">
        <f>Actions!Y52</f>
        <v/>
      </c>
      <c r="Q54" s="29">
        <f>Actions!Z52</f>
        <v/>
      </c>
      <c r="R54" s="29">
        <f>Actions!AA52</f>
        <v/>
      </c>
      <c r="S54" s="29">
        <f>IF(A54="","",((K54)*(IF(M54="",L54,IFERROR(IF(INDEX(Variablen!$I:$AT, MATCH(M54, Variablen!$A:$A, 0), MATCH((YEAR(D54)+0), Variablen!$I$3:$AT$3, 0))="",L54,INDEX(Variablen!$I:$AT, MATCH(M54, Variablen!$A:$A, 0), MATCH((YEAR(D54)+0), Variablen!$I$3:$AT$3, 0))),L54)))*(IF((YEAR(D54)+0)&lt;YEAR(E54),0,IF((YEAR(D54)+0)&gt;YEAR(E54),1,(12-MONTH(E54)+1)/12))) + (Q54)*(IF((YEAR(D54)+0)&lt;YEAR(E54),0,IF((YEAR(D54)+0)&gt;YEAR(E54),1,(12-MONTH(E54)+1)/12))))-((P54)*(IF((YEAR(D54)+0)&lt;YEAR(E54),0,IF((YEAR(D54)+0)&gt;YEAR(E54),1,(12-MONTH(E54)+1)/12))) + (R54)*(IF((YEAR(D54)+0)&lt;YEAR(E54),0,IF((YEAR(D54)+0)&gt;YEAR(E54),1,(12-MONTH(E54)+1)/12))))-(IF((((K54)*(IF(M54="",L54,IFERROR(IF(INDEX(Variablen!$I:$AT, MATCH(M54, Variablen!$A:$A, 0), MATCH((YEAR(D54)+0), Variablen!$I$3:$AT$3, 0))="",L54,INDEX(Variablen!$I:$AT, MATCH(M54, Variablen!$A:$A, 0), MATCH((YEAR(D54)+0), Variablen!$I$3:$AT$3, 0))),L54)))*(IF((YEAR(D54)+0)&lt;YEAR(E54),0,IF((YEAR(D54)+0)&gt;YEAR(E54),1,(12-MONTH(E54)+1)/12))) + (Q54)*(IF((YEAR(D54)+0)&lt;YEAR(E54),0,IF((YEAR(D54)+0)&gt;YEAR(E54),1,(12-MONTH(E54)+1)/12))))-((P54)*(IF((YEAR(D54)+0)&lt;YEAR(E54),0,IF((YEAR(D54)+0)&gt;YEAR(E54),1,(12-MONTH(E54)+1)/12))) + (R54)*(IF((YEAR(D54)+0)&lt;YEAR(E54),0,IF((YEAR(D54)+0)&gt;YEAR(E54),1,(12-MONTH(E54)+1)/12))))-(IF(OR(N54="",N54&lt;=0),0,(O54/N54)*(IF(OR(N54="",N54&lt;=0),0,IF((YEAR(D54)+0)&lt;YEAR(E54),0,IF((YEAR(D54)+0)&gt;=YEAR(E54)+N54,0,IF((YEAR(D54)+0)=YEAR(E54),(12-MONTH(E54)+1)/12,1))))))))&gt;0,(((K54)*(IF(M54="",L54,IFERROR(IF(INDEX(Variablen!$I:$AT, MATCH(M54, Variablen!$A:$A, 0), MATCH((YEAR(D54)+0), Variablen!$I$3:$AT$3, 0))="",L54,INDEX(Variablen!$I:$AT, MATCH(M54, Variablen!$A:$A, 0), MATCH((YEAR(D54)+0), Variablen!$I$3:$AT$3, 0))),L54)))*(IF((YEAR(D54)+0)&lt;YEAR(E54),0,IF((YEAR(D54)+0)&gt;YEAR(E54),1,(12-MONTH(E54)+1)/12))) + (Q54)*(IF((YEAR(D54)+0)&lt;YEAR(E54),0,IF((YEAR(D54)+0)&gt;YEAR(E54),1,(12-MONTH(E54)+1)/12))))-((P54)*(IF((YEAR(D54)+0)&lt;YEAR(E54),0,IF((YEAR(D54)+0)&gt;YEAR(E54),1,(12-MONTH(E54)+1)/12))) + (R54)*(IF((YEAR(D54)+0)&lt;YEAR(E54),0,IF((YEAR(D54)+0)&gt;YEAR(E54),1,(12-MONTH(E54)+1)/12))))-(IF(OR(N54="",N54&lt;=0),0,(O54/N54)*(IF(OR(N54="",N54&lt;=0),0,IF((YEAR(D54)+0)&lt;YEAR(E54),0,IF((YEAR(D54)+0)&gt;=YEAR(E54)+N54,0,IF((YEAR(D54)+0)=YEAR(E54),(12-MONTH(E54)+1)/12,1))))))))*TaxRate,0))-IF(0=0,O54,0))</f>
        <v/>
      </c>
      <c r="T54" s="29">
        <f>IF(A54="","",((K54)*(IF(M54="",L54,IFERROR(IF(INDEX(Variablen!$I:$AT, MATCH(M54, Variablen!$A:$A, 0), MATCH((YEAR(D54)+1), Variablen!$I$3:$AT$3, 0))="",L54,INDEX(Variablen!$I:$AT, MATCH(M54, Variablen!$A:$A, 0), MATCH((YEAR(D54)+1), Variablen!$I$3:$AT$3, 0))),L54)))*(IF((YEAR(D54)+1)&lt;YEAR(E54),0,IF((YEAR(D54)+1)&gt;YEAR(E54),1,(12-MONTH(E54)+1)/12))) + (Q54)*(IF((YEAR(D54)+1)&lt;YEAR(E54),0,IF((YEAR(D54)+1)&gt;YEAR(E54),1,(12-MONTH(E54)+1)/12))))-((P54)*(IF((YEAR(D54)+1)&lt;YEAR(E54),0,IF((YEAR(D54)+1)&gt;YEAR(E54),1,(12-MONTH(E54)+1)/12))) + (R54)*(IF((YEAR(D54)+1)&lt;YEAR(E54),0,IF((YEAR(D54)+1)&gt;YEAR(E54),1,(12-MONTH(E54)+1)/12))))-(IF((((K54)*(IF(M54="",L54,IFERROR(IF(INDEX(Variablen!$I:$AT, MATCH(M54, Variablen!$A:$A, 0), MATCH((YEAR(D54)+1), Variablen!$I$3:$AT$3, 0))="",L54,INDEX(Variablen!$I:$AT, MATCH(M54, Variablen!$A:$A, 0), MATCH((YEAR(D54)+1), Variablen!$I$3:$AT$3, 0))),L54)))*(IF((YEAR(D54)+1)&lt;YEAR(E54),0,IF((YEAR(D54)+1)&gt;YEAR(E54),1,(12-MONTH(E54)+1)/12))) + (Q54)*(IF((YEAR(D54)+1)&lt;YEAR(E54),0,IF((YEAR(D54)+1)&gt;YEAR(E54),1,(12-MONTH(E54)+1)/12))))-((P54)*(IF((YEAR(D54)+1)&lt;YEAR(E54),0,IF((YEAR(D54)+1)&gt;YEAR(E54),1,(12-MONTH(E54)+1)/12))) + (R54)*(IF((YEAR(D54)+1)&lt;YEAR(E54),0,IF((YEAR(D54)+1)&gt;YEAR(E54),1,(12-MONTH(E54)+1)/12))))-(IF(OR(N54="",N54&lt;=0),0,(O54/N54)*(IF(OR(N54="",N54&lt;=0),0,IF((YEAR(D54)+1)&lt;YEAR(E54),0,IF((YEAR(D54)+1)&gt;=YEAR(E54)+N54,0,IF((YEAR(D54)+1)=YEAR(E54),(12-MONTH(E54)+1)/12,1))))))))&gt;0,(((K54)*(IF(M54="",L54,IFERROR(IF(INDEX(Variablen!$I:$AT, MATCH(M54, Variablen!$A:$A, 0), MATCH((YEAR(D54)+1), Variablen!$I$3:$AT$3, 0))="",L54,INDEX(Variablen!$I:$AT, MATCH(M54, Variablen!$A:$A, 0), MATCH((YEAR(D54)+1), Variablen!$I$3:$AT$3, 0))),L54)))*(IF((YEAR(D54)+1)&lt;YEAR(E54),0,IF((YEAR(D54)+1)&gt;YEAR(E54),1,(12-MONTH(E54)+1)/12))) + (Q54)*(IF((YEAR(D54)+1)&lt;YEAR(E54),0,IF((YEAR(D54)+1)&gt;YEAR(E54),1,(12-MONTH(E54)+1)/12))))-((P54)*(IF((YEAR(D54)+1)&lt;YEAR(E54),0,IF((YEAR(D54)+1)&gt;YEAR(E54),1,(12-MONTH(E54)+1)/12))) + (R54)*(IF((YEAR(D54)+1)&lt;YEAR(E54),0,IF((YEAR(D54)+1)&gt;YEAR(E54),1,(12-MONTH(E54)+1)/12))))-(IF(OR(N54="",N54&lt;=0),0,(O54/N54)*(IF(OR(N54="",N54&lt;=0),0,IF((YEAR(D54)+1)&lt;YEAR(E54),0,IF((YEAR(D54)+1)&gt;=YEAR(E54)+N54,0,IF((YEAR(D54)+1)=YEAR(E54),(12-MONTH(E54)+1)/12,1))))))))*TaxRate,0))-IF(1=0,O54,0))</f>
        <v/>
      </c>
      <c r="U54" s="29">
        <f>IF(A54="","",((K54)*(IF(M54="",L54,IFERROR(IF(INDEX(Variablen!$I:$AT, MATCH(M54, Variablen!$A:$A, 0), MATCH((YEAR(D54)+2), Variablen!$I$3:$AT$3, 0))="",L54,INDEX(Variablen!$I:$AT, MATCH(M54, Variablen!$A:$A, 0), MATCH((YEAR(D54)+2), Variablen!$I$3:$AT$3, 0))),L54)))*(IF((YEAR(D54)+2)&lt;YEAR(E54),0,IF((YEAR(D54)+2)&gt;YEAR(E54),1,(12-MONTH(E54)+1)/12))) + (Q54)*(IF((YEAR(D54)+2)&lt;YEAR(E54),0,IF((YEAR(D54)+2)&gt;YEAR(E54),1,(12-MONTH(E54)+1)/12))))-((P54)*(IF((YEAR(D54)+2)&lt;YEAR(E54),0,IF((YEAR(D54)+2)&gt;YEAR(E54),1,(12-MONTH(E54)+1)/12))) + (R54)*(IF((YEAR(D54)+2)&lt;YEAR(E54),0,IF((YEAR(D54)+2)&gt;YEAR(E54),1,(12-MONTH(E54)+1)/12))))-(IF((((K54)*(IF(M54="",L54,IFERROR(IF(INDEX(Variablen!$I:$AT, MATCH(M54, Variablen!$A:$A, 0), MATCH((YEAR(D54)+2), Variablen!$I$3:$AT$3, 0))="",L54,INDEX(Variablen!$I:$AT, MATCH(M54, Variablen!$A:$A, 0), MATCH((YEAR(D54)+2), Variablen!$I$3:$AT$3, 0))),L54)))*(IF((YEAR(D54)+2)&lt;YEAR(E54),0,IF((YEAR(D54)+2)&gt;YEAR(E54),1,(12-MONTH(E54)+1)/12))) + (Q54)*(IF((YEAR(D54)+2)&lt;YEAR(E54),0,IF((YEAR(D54)+2)&gt;YEAR(E54),1,(12-MONTH(E54)+1)/12))))-((P54)*(IF((YEAR(D54)+2)&lt;YEAR(E54),0,IF((YEAR(D54)+2)&gt;YEAR(E54),1,(12-MONTH(E54)+1)/12))) + (R54)*(IF((YEAR(D54)+2)&lt;YEAR(E54),0,IF((YEAR(D54)+2)&gt;YEAR(E54),1,(12-MONTH(E54)+1)/12))))-(IF(OR(N54="",N54&lt;=0),0,(O54/N54)*(IF(OR(N54="",N54&lt;=0),0,IF((YEAR(D54)+2)&lt;YEAR(E54),0,IF((YEAR(D54)+2)&gt;=YEAR(E54)+N54,0,IF((YEAR(D54)+2)=YEAR(E54),(12-MONTH(E54)+1)/12,1))))))))&gt;0,(((K54)*(IF(M54="",L54,IFERROR(IF(INDEX(Variablen!$I:$AT, MATCH(M54, Variablen!$A:$A, 0), MATCH((YEAR(D54)+2), Variablen!$I$3:$AT$3, 0))="",L54,INDEX(Variablen!$I:$AT, MATCH(M54, Variablen!$A:$A, 0), MATCH((YEAR(D54)+2), Variablen!$I$3:$AT$3, 0))),L54)))*(IF((YEAR(D54)+2)&lt;YEAR(E54),0,IF((YEAR(D54)+2)&gt;YEAR(E54),1,(12-MONTH(E54)+1)/12))) + (Q54)*(IF((YEAR(D54)+2)&lt;YEAR(E54),0,IF((YEAR(D54)+2)&gt;YEAR(E54),1,(12-MONTH(E54)+1)/12))))-((P54)*(IF((YEAR(D54)+2)&lt;YEAR(E54),0,IF((YEAR(D54)+2)&gt;YEAR(E54),1,(12-MONTH(E54)+1)/12))) + (R54)*(IF((YEAR(D54)+2)&lt;YEAR(E54),0,IF((YEAR(D54)+2)&gt;YEAR(E54),1,(12-MONTH(E54)+1)/12))))-(IF(OR(N54="",N54&lt;=0),0,(O54/N54)*(IF(OR(N54="",N54&lt;=0),0,IF((YEAR(D54)+2)&lt;YEAR(E54),0,IF((YEAR(D54)+2)&gt;=YEAR(E54)+N54,0,IF((YEAR(D54)+2)=YEAR(E54),(12-MONTH(E54)+1)/12,1))))))))*TaxRate,0))-IF(2=0,O54,0))</f>
        <v/>
      </c>
      <c r="V54" s="29">
        <f>IF(A54="","",((K54)*(IF(M54="",L54,IFERROR(IF(INDEX(Variablen!$I:$AT, MATCH(M54, Variablen!$A:$A, 0), MATCH((YEAR(D54)+3), Variablen!$I$3:$AT$3, 0))="",L54,INDEX(Variablen!$I:$AT, MATCH(M54, Variablen!$A:$A, 0), MATCH((YEAR(D54)+3), Variablen!$I$3:$AT$3, 0))),L54)))*(IF((YEAR(D54)+3)&lt;YEAR(E54),0,IF((YEAR(D54)+3)&gt;YEAR(E54),1,(12-MONTH(E54)+1)/12))) + (Q54)*(IF((YEAR(D54)+3)&lt;YEAR(E54),0,IF((YEAR(D54)+3)&gt;YEAR(E54),1,(12-MONTH(E54)+1)/12))))-((P54)*(IF((YEAR(D54)+3)&lt;YEAR(E54),0,IF((YEAR(D54)+3)&gt;YEAR(E54),1,(12-MONTH(E54)+1)/12))) + (R54)*(IF((YEAR(D54)+3)&lt;YEAR(E54),0,IF((YEAR(D54)+3)&gt;YEAR(E54),1,(12-MONTH(E54)+1)/12))))-(IF((((K54)*(IF(M54="",L54,IFERROR(IF(INDEX(Variablen!$I:$AT, MATCH(M54, Variablen!$A:$A, 0), MATCH((YEAR(D54)+3), Variablen!$I$3:$AT$3, 0))="",L54,INDEX(Variablen!$I:$AT, MATCH(M54, Variablen!$A:$A, 0), MATCH((YEAR(D54)+3), Variablen!$I$3:$AT$3, 0))),L54)))*(IF((YEAR(D54)+3)&lt;YEAR(E54),0,IF((YEAR(D54)+3)&gt;YEAR(E54),1,(12-MONTH(E54)+1)/12))) + (Q54)*(IF((YEAR(D54)+3)&lt;YEAR(E54),0,IF((YEAR(D54)+3)&gt;YEAR(E54),1,(12-MONTH(E54)+1)/12))))-((P54)*(IF((YEAR(D54)+3)&lt;YEAR(E54),0,IF((YEAR(D54)+3)&gt;YEAR(E54),1,(12-MONTH(E54)+1)/12))) + (R54)*(IF((YEAR(D54)+3)&lt;YEAR(E54),0,IF((YEAR(D54)+3)&gt;YEAR(E54),1,(12-MONTH(E54)+1)/12))))-(IF(OR(N54="",N54&lt;=0),0,(O54/N54)*(IF(OR(N54="",N54&lt;=0),0,IF((YEAR(D54)+3)&lt;YEAR(E54),0,IF((YEAR(D54)+3)&gt;=YEAR(E54)+N54,0,IF((YEAR(D54)+3)=YEAR(E54),(12-MONTH(E54)+1)/12,1))))))))&gt;0,(((K54)*(IF(M54="",L54,IFERROR(IF(INDEX(Variablen!$I:$AT, MATCH(M54, Variablen!$A:$A, 0), MATCH((YEAR(D54)+3), Variablen!$I$3:$AT$3, 0))="",L54,INDEX(Variablen!$I:$AT, MATCH(M54, Variablen!$A:$A, 0), MATCH((YEAR(D54)+3), Variablen!$I$3:$AT$3, 0))),L54)))*(IF((YEAR(D54)+3)&lt;YEAR(E54),0,IF((YEAR(D54)+3)&gt;YEAR(E54),1,(12-MONTH(E54)+1)/12))) + (Q54)*(IF((YEAR(D54)+3)&lt;YEAR(E54),0,IF((YEAR(D54)+3)&gt;YEAR(E54),1,(12-MONTH(E54)+1)/12))))-((P54)*(IF((YEAR(D54)+3)&lt;YEAR(E54),0,IF((YEAR(D54)+3)&gt;YEAR(E54),1,(12-MONTH(E54)+1)/12))) + (R54)*(IF((YEAR(D54)+3)&lt;YEAR(E54),0,IF((YEAR(D54)+3)&gt;YEAR(E54),1,(12-MONTH(E54)+1)/12))))-(IF(OR(N54="",N54&lt;=0),0,(O54/N54)*(IF(OR(N54="",N54&lt;=0),0,IF((YEAR(D54)+3)&lt;YEAR(E54),0,IF((YEAR(D54)+3)&gt;=YEAR(E54)+N54,0,IF((YEAR(D54)+3)=YEAR(E54),(12-MONTH(E54)+1)/12,1))))))))*TaxRate,0))-IF(3=0,O54,0))</f>
        <v/>
      </c>
      <c r="W54" s="29">
        <f>IF(A54="","",((K54)*(IF(M54="",L54,IFERROR(IF(INDEX(Variablen!$I:$AT, MATCH(M54, Variablen!$A:$A, 0), MATCH((YEAR(D54)+4), Variablen!$I$3:$AT$3, 0))="",L54,INDEX(Variablen!$I:$AT, MATCH(M54, Variablen!$A:$A, 0), MATCH((YEAR(D54)+4), Variablen!$I$3:$AT$3, 0))),L54)))*(IF((YEAR(D54)+4)&lt;YEAR(E54),0,IF((YEAR(D54)+4)&gt;YEAR(E54),1,(12-MONTH(E54)+1)/12))) + (Q54)*(IF((YEAR(D54)+4)&lt;YEAR(E54),0,IF((YEAR(D54)+4)&gt;YEAR(E54),1,(12-MONTH(E54)+1)/12))))-((P54)*(IF((YEAR(D54)+4)&lt;YEAR(E54),0,IF((YEAR(D54)+4)&gt;YEAR(E54),1,(12-MONTH(E54)+1)/12))) + (R54)*(IF((YEAR(D54)+4)&lt;YEAR(E54),0,IF((YEAR(D54)+4)&gt;YEAR(E54),1,(12-MONTH(E54)+1)/12))))-(IF((((K54)*(IF(M54="",L54,IFERROR(IF(INDEX(Variablen!$I:$AT, MATCH(M54, Variablen!$A:$A, 0), MATCH((YEAR(D54)+4), Variablen!$I$3:$AT$3, 0))="",L54,INDEX(Variablen!$I:$AT, MATCH(M54, Variablen!$A:$A, 0), MATCH((YEAR(D54)+4), Variablen!$I$3:$AT$3, 0))),L54)))*(IF((YEAR(D54)+4)&lt;YEAR(E54),0,IF((YEAR(D54)+4)&gt;YEAR(E54),1,(12-MONTH(E54)+1)/12))) + (Q54)*(IF((YEAR(D54)+4)&lt;YEAR(E54),0,IF((YEAR(D54)+4)&gt;YEAR(E54),1,(12-MONTH(E54)+1)/12))))-((P54)*(IF((YEAR(D54)+4)&lt;YEAR(E54),0,IF((YEAR(D54)+4)&gt;YEAR(E54),1,(12-MONTH(E54)+1)/12))) + (R54)*(IF((YEAR(D54)+4)&lt;YEAR(E54),0,IF((YEAR(D54)+4)&gt;YEAR(E54),1,(12-MONTH(E54)+1)/12))))-(IF(OR(N54="",N54&lt;=0),0,(O54/N54)*(IF(OR(N54="",N54&lt;=0),0,IF((YEAR(D54)+4)&lt;YEAR(E54),0,IF((YEAR(D54)+4)&gt;=YEAR(E54)+N54,0,IF((YEAR(D54)+4)=YEAR(E54),(12-MONTH(E54)+1)/12,1))))))))&gt;0,(((K54)*(IF(M54="",L54,IFERROR(IF(INDEX(Variablen!$I:$AT, MATCH(M54, Variablen!$A:$A, 0), MATCH((YEAR(D54)+4), Variablen!$I$3:$AT$3, 0))="",L54,INDEX(Variablen!$I:$AT, MATCH(M54, Variablen!$A:$A, 0), MATCH((YEAR(D54)+4), Variablen!$I$3:$AT$3, 0))),L54)))*(IF((YEAR(D54)+4)&lt;YEAR(E54),0,IF((YEAR(D54)+4)&gt;YEAR(E54),1,(12-MONTH(E54)+1)/12))) + (Q54)*(IF((YEAR(D54)+4)&lt;YEAR(E54),0,IF((YEAR(D54)+4)&gt;YEAR(E54),1,(12-MONTH(E54)+1)/12))))-((P54)*(IF((YEAR(D54)+4)&lt;YEAR(E54),0,IF((YEAR(D54)+4)&gt;YEAR(E54),1,(12-MONTH(E54)+1)/12))) + (R54)*(IF((YEAR(D54)+4)&lt;YEAR(E54),0,IF((YEAR(D54)+4)&gt;YEAR(E54),1,(12-MONTH(E54)+1)/12))))-(IF(OR(N54="",N54&lt;=0),0,(O54/N54)*(IF(OR(N54="",N54&lt;=0),0,IF((YEAR(D54)+4)&lt;YEAR(E54),0,IF((YEAR(D54)+4)&gt;=YEAR(E54)+N54,0,IF((YEAR(D54)+4)=YEAR(E54),(12-MONTH(E54)+1)/12,1))))))))*TaxRate,0))-IF(4=0,O54,0))</f>
        <v/>
      </c>
      <c r="X54" s="29">
        <f>IF(A54="","",((K54)*(IF(M54="",L54,IFERROR(IF(INDEX(Variablen!$I:$AT, MATCH(M54, Variablen!$A:$A, 0), MATCH((YEAR(D54)+5), Variablen!$I$3:$AT$3, 0))="",L54,INDEX(Variablen!$I:$AT, MATCH(M54, Variablen!$A:$A, 0), MATCH((YEAR(D54)+5), Variablen!$I$3:$AT$3, 0))),L54)))*(IF((YEAR(D54)+5)&lt;YEAR(E54),0,IF((YEAR(D54)+5)&gt;YEAR(E54),1,(12-MONTH(E54)+1)/12))) + (Q54)*(IF((YEAR(D54)+5)&lt;YEAR(E54),0,IF((YEAR(D54)+5)&gt;YEAR(E54),1,(12-MONTH(E54)+1)/12))))-((P54)*(IF((YEAR(D54)+5)&lt;YEAR(E54),0,IF((YEAR(D54)+5)&gt;YEAR(E54),1,(12-MONTH(E54)+1)/12))) + (R54)*(IF((YEAR(D54)+5)&lt;YEAR(E54),0,IF((YEAR(D54)+5)&gt;YEAR(E54),1,(12-MONTH(E54)+1)/12))))-(IF((((K54)*(IF(M54="",L54,IFERROR(IF(INDEX(Variablen!$I:$AT, MATCH(M54, Variablen!$A:$A, 0), MATCH((YEAR(D54)+5), Variablen!$I$3:$AT$3, 0))="",L54,INDEX(Variablen!$I:$AT, MATCH(M54, Variablen!$A:$A, 0), MATCH((YEAR(D54)+5), Variablen!$I$3:$AT$3, 0))),L54)))*(IF((YEAR(D54)+5)&lt;YEAR(E54),0,IF((YEAR(D54)+5)&gt;YEAR(E54),1,(12-MONTH(E54)+1)/12))) + (Q54)*(IF((YEAR(D54)+5)&lt;YEAR(E54),0,IF((YEAR(D54)+5)&gt;YEAR(E54),1,(12-MONTH(E54)+1)/12))))-((P54)*(IF((YEAR(D54)+5)&lt;YEAR(E54),0,IF((YEAR(D54)+5)&gt;YEAR(E54),1,(12-MONTH(E54)+1)/12))) + (R54)*(IF((YEAR(D54)+5)&lt;YEAR(E54),0,IF((YEAR(D54)+5)&gt;YEAR(E54),1,(12-MONTH(E54)+1)/12))))-(IF(OR(N54="",N54&lt;=0),0,(O54/N54)*(IF(OR(N54="",N54&lt;=0),0,IF((YEAR(D54)+5)&lt;YEAR(E54),0,IF((YEAR(D54)+5)&gt;=YEAR(E54)+N54,0,IF((YEAR(D54)+5)=YEAR(E54),(12-MONTH(E54)+1)/12,1))))))))&gt;0,(((K54)*(IF(M54="",L54,IFERROR(IF(INDEX(Variablen!$I:$AT, MATCH(M54, Variablen!$A:$A, 0), MATCH((YEAR(D54)+5), Variablen!$I$3:$AT$3, 0))="",L54,INDEX(Variablen!$I:$AT, MATCH(M54, Variablen!$A:$A, 0), MATCH((YEAR(D54)+5), Variablen!$I$3:$AT$3, 0))),L54)))*(IF((YEAR(D54)+5)&lt;YEAR(E54),0,IF((YEAR(D54)+5)&gt;YEAR(E54),1,(12-MONTH(E54)+1)/12))) + (Q54)*(IF((YEAR(D54)+5)&lt;YEAR(E54),0,IF((YEAR(D54)+5)&gt;YEAR(E54),1,(12-MONTH(E54)+1)/12))))-((P54)*(IF((YEAR(D54)+5)&lt;YEAR(E54),0,IF((YEAR(D54)+5)&gt;YEAR(E54),1,(12-MONTH(E54)+1)/12))) + (R54)*(IF((YEAR(D54)+5)&lt;YEAR(E54),0,IF((YEAR(D54)+5)&gt;YEAR(E54),1,(12-MONTH(E54)+1)/12))))-(IF(OR(N54="",N54&lt;=0),0,(O54/N54)*(IF(OR(N54="",N54&lt;=0),0,IF((YEAR(D54)+5)&lt;YEAR(E54),0,IF((YEAR(D54)+5)&gt;=YEAR(E54)+N54,0,IF((YEAR(D54)+5)=YEAR(E54),(12-MONTH(E54)+1)/12,1))))))))*TaxRate,0))-IF(5=0,O54,0))</f>
        <v/>
      </c>
      <c r="Y54" s="29">
        <f>IF(A54="","",((K54)*(IF(M54="",L54,IFERROR(IF(INDEX(Variablen!$I:$AT, MATCH(M54, Variablen!$A:$A, 0), MATCH((YEAR(D54)+6), Variablen!$I$3:$AT$3, 0))="",L54,INDEX(Variablen!$I:$AT, MATCH(M54, Variablen!$A:$A, 0), MATCH((YEAR(D54)+6), Variablen!$I$3:$AT$3, 0))),L54)))*(IF((YEAR(D54)+6)&lt;YEAR(E54),0,IF((YEAR(D54)+6)&gt;YEAR(E54),1,(12-MONTH(E54)+1)/12))) + (Q54)*(IF((YEAR(D54)+6)&lt;YEAR(E54),0,IF((YEAR(D54)+6)&gt;YEAR(E54),1,(12-MONTH(E54)+1)/12))))-((P54)*(IF((YEAR(D54)+6)&lt;YEAR(E54),0,IF((YEAR(D54)+6)&gt;YEAR(E54),1,(12-MONTH(E54)+1)/12))) + (R54)*(IF((YEAR(D54)+6)&lt;YEAR(E54),0,IF((YEAR(D54)+6)&gt;YEAR(E54),1,(12-MONTH(E54)+1)/12))))-(IF((((K54)*(IF(M54="",L54,IFERROR(IF(INDEX(Variablen!$I:$AT, MATCH(M54, Variablen!$A:$A, 0), MATCH((YEAR(D54)+6), Variablen!$I$3:$AT$3, 0))="",L54,INDEX(Variablen!$I:$AT, MATCH(M54, Variablen!$A:$A, 0), MATCH((YEAR(D54)+6), Variablen!$I$3:$AT$3, 0))),L54)))*(IF((YEAR(D54)+6)&lt;YEAR(E54),0,IF((YEAR(D54)+6)&gt;YEAR(E54),1,(12-MONTH(E54)+1)/12))) + (Q54)*(IF((YEAR(D54)+6)&lt;YEAR(E54),0,IF((YEAR(D54)+6)&gt;YEAR(E54),1,(12-MONTH(E54)+1)/12))))-((P54)*(IF((YEAR(D54)+6)&lt;YEAR(E54),0,IF((YEAR(D54)+6)&gt;YEAR(E54),1,(12-MONTH(E54)+1)/12))) + (R54)*(IF((YEAR(D54)+6)&lt;YEAR(E54),0,IF((YEAR(D54)+6)&gt;YEAR(E54),1,(12-MONTH(E54)+1)/12))))-(IF(OR(N54="",N54&lt;=0),0,(O54/N54)*(IF(OR(N54="",N54&lt;=0),0,IF((YEAR(D54)+6)&lt;YEAR(E54),0,IF((YEAR(D54)+6)&gt;=YEAR(E54)+N54,0,IF((YEAR(D54)+6)=YEAR(E54),(12-MONTH(E54)+1)/12,1))))))))&gt;0,(((K54)*(IF(M54="",L54,IFERROR(IF(INDEX(Variablen!$I:$AT, MATCH(M54, Variablen!$A:$A, 0), MATCH((YEAR(D54)+6), Variablen!$I$3:$AT$3, 0))="",L54,INDEX(Variablen!$I:$AT, MATCH(M54, Variablen!$A:$A, 0), MATCH((YEAR(D54)+6), Variablen!$I$3:$AT$3, 0))),L54)))*(IF((YEAR(D54)+6)&lt;YEAR(E54),0,IF((YEAR(D54)+6)&gt;YEAR(E54),1,(12-MONTH(E54)+1)/12))) + (Q54)*(IF((YEAR(D54)+6)&lt;YEAR(E54),0,IF((YEAR(D54)+6)&gt;YEAR(E54),1,(12-MONTH(E54)+1)/12))))-((P54)*(IF((YEAR(D54)+6)&lt;YEAR(E54),0,IF((YEAR(D54)+6)&gt;YEAR(E54),1,(12-MONTH(E54)+1)/12))) + (R54)*(IF((YEAR(D54)+6)&lt;YEAR(E54),0,IF((YEAR(D54)+6)&gt;YEAR(E54),1,(12-MONTH(E54)+1)/12))))-(IF(OR(N54="",N54&lt;=0),0,(O54/N54)*(IF(OR(N54="",N54&lt;=0),0,IF((YEAR(D54)+6)&lt;YEAR(E54),0,IF((YEAR(D54)+6)&gt;=YEAR(E54)+N54,0,IF((YEAR(D54)+6)=YEAR(E54),(12-MONTH(E54)+1)/12,1))))))))*TaxRate,0))-IF(6=0,O54,0))</f>
        <v/>
      </c>
      <c r="Z54" s="29">
        <f>IF(A54="","",((K54)*(IF(M54="",L54,IFERROR(IF(INDEX(Variablen!$I:$AT, MATCH(M54, Variablen!$A:$A, 0), MATCH((YEAR(D54)+7), Variablen!$I$3:$AT$3, 0))="",L54,INDEX(Variablen!$I:$AT, MATCH(M54, Variablen!$A:$A, 0), MATCH((YEAR(D54)+7), Variablen!$I$3:$AT$3, 0))),L54)))*(IF((YEAR(D54)+7)&lt;YEAR(E54),0,IF((YEAR(D54)+7)&gt;YEAR(E54),1,(12-MONTH(E54)+1)/12))) + (Q54)*(IF((YEAR(D54)+7)&lt;YEAR(E54),0,IF((YEAR(D54)+7)&gt;YEAR(E54),1,(12-MONTH(E54)+1)/12))))-((P54)*(IF((YEAR(D54)+7)&lt;YEAR(E54),0,IF((YEAR(D54)+7)&gt;YEAR(E54),1,(12-MONTH(E54)+1)/12))) + (R54)*(IF((YEAR(D54)+7)&lt;YEAR(E54),0,IF((YEAR(D54)+7)&gt;YEAR(E54),1,(12-MONTH(E54)+1)/12))))-(IF((((K54)*(IF(M54="",L54,IFERROR(IF(INDEX(Variablen!$I:$AT, MATCH(M54, Variablen!$A:$A, 0), MATCH((YEAR(D54)+7), Variablen!$I$3:$AT$3, 0))="",L54,INDEX(Variablen!$I:$AT, MATCH(M54, Variablen!$A:$A, 0), MATCH((YEAR(D54)+7), Variablen!$I$3:$AT$3, 0))),L54)))*(IF((YEAR(D54)+7)&lt;YEAR(E54),0,IF((YEAR(D54)+7)&gt;YEAR(E54),1,(12-MONTH(E54)+1)/12))) + (Q54)*(IF((YEAR(D54)+7)&lt;YEAR(E54),0,IF((YEAR(D54)+7)&gt;YEAR(E54),1,(12-MONTH(E54)+1)/12))))-((P54)*(IF((YEAR(D54)+7)&lt;YEAR(E54),0,IF((YEAR(D54)+7)&gt;YEAR(E54),1,(12-MONTH(E54)+1)/12))) + (R54)*(IF((YEAR(D54)+7)&lt;YEAR(E54),0,IF((YEAR(D54)+7)&gt;YEAR(E54),1,(12-MONTH(E54)+1)/12))))-(IF(OR(N54="",N54&lt;=0),0,(O54/N54)*(IF(OR(N54="",N54&lt;=0),0,IF((YEAR(D54)+7)&lt;YEAR(E54),0,IF((YEAR(D54)+7)&gt;=YEAR(E54)+N54,0,IF((YEAR(D54)+7)=YEAR(E54),(12-MONTH(E54)+1)/12,1))))))))&gt;0,(((K54)*(IF(M54="",L54,IFERROR(IF(INDEX(Variablen!$I:$AT, MATCH(M54, Variablen!$A:$A, 0), MATCH((YEAR(D54)+7), Variablen!$I$3:$AT$3, 0))="",L54,INDEX(Variablen!$I:$AT, MATCH(M54, Variablen!$A:$A, 0), MATCH((YEAR(D54)+7), Variablen!$I$3:$AT$3, 0))),L54)))*(IF((YEAR(D54)+7)&lt;YEAR(E54),0,IF((YEAR(D54)+7)&gt;YEAR(E54),1,(12-MONTH(E54)+1)/12))) + (Q54)*(IF((YEAR(D54)+7)&lt;YEAR(E54),0,IF((YEAR(D54)+7)&gt;YEAR(E54),1,(12-MONTH(E54)+1)/12))))-((P54)*(IF((YEAR(D54)+7)&lt;YEAR(E54),0,IF((YEAR(D54)+7)&gt;YEAR(E54),1,(12-MONTH(E54)+1)/12))) + (R54)*(IF((YEAR(D54)+7)&lt;YEAR(E54),0,IF((YEAR(D54)+7)&gt;YEAR(E54),1,(12-MONTH(E54)+1)/12))))-(IF(OR(N54="",N54&lt;=0),0,(O54/N54)*(IF(OR(N54="",N54&lt;=0),0,IF((YEAR(D54)+7)&lt;YEAR(E54),0,IF((YEAR(D54)+7)&gt;=YEAR(E54)+N54,0,IF((YEAR(D54)+7)=YEAR(E54),(12-MONTH(E54)+1)/12,1))))))))*TaxRate,0))-IF(7=0,O54,0))</f>
        <v/>
      </c>
      <c r="AA54" s="29">
        <f>IF(A54="","",((K54)*(IF(M54="",L54,IFERROR(IF(INDEX(Variablen!$I:$AT, MATCH(M54, Variablen!$A:$A, 0), MATCH((YEAR(D54)+8), Variablen!$I$3:$AT$3, 0))="",L54,INDEX(Variablen!$I:$AT, MATCH(M54, Variablen!$A:$A, 0), MATCH((YEAR(D54)+8), Variablen!$I$3:$AT$3, 0))),L54)))*(IF((YEAR(D54)+8)&lt;YEAR(E54),0,IF((YEAR(D54)+8)&gt;YEAR(E54),1,(12-MONTH(E54)+1)/12))) + (Q54)*(IF((YEAR(D54)+8)&lt;YEAR(E54),0,IF((YEAR(D54)+8)&gt;YEAR(E54),1,(12-MONTH(E54)+1)/12))))-((P54)*(IF((YEAR(D54)+8)&lt;YEAR(E54),0,IF((YEAR(D54)+8)&gt;YEAR(E54),1,(12-MONTH(E54)+1)/12))) + (R54)*(IF((YEAR(D54)+8)&lt;YEAR(E54),0,IF((YEAR(D54)+8)&gt;YEAR(E54),1,(12-MONTH(E54)+1)/12))))-(IF((((K54)*(IF(M54="",L54,IFERROR(IF(INDEX(Variablen!$I:$AT, MATCH(M54, Variablen!$A:$A, 0), MATCH((YEAR(D54)+8), Variablen!$I$3:$AT$3, 0))="",L54,INDEX(Variablen!$I:$AT, MATCH(M54, Variablen!$A:$A, 0), MATCH((YEAR(D54)+8), Variablen!$I$3:$AT$3, 0))),L54)))*(IF((YEAR(D54)+8)&lt;YEAR(E54),0,IF((YEAR(D54)+8)&gt;YEAR(E54),1,(12-MONTH(E54)+1)/12))) + (Q54)*(IF((YEAR(D54)+8)&lt;YEAR(E54),0,IF((YEAR(D54)+8)&gt;YEAR(E54),1,(12-MONTH(E54)+1)/12))))-((P54)*(IF((YEAR(D54)+8)&lt;YEAR(E54),0,IF((YEAR(D54)+8)&gt;YEAR(E54),1,(12-MONTH(E54)+1)/12))) + (R54)*(IF((YEAR(D54)+8)&lt;YEAR(E54),0,IF((YEAR(D54)+8)&gt;YEAR(E54),1,(12-MONTH(E54)+1)/12))))-(IF(OR(N54="",N54&lt;=0),0,(O54/N54)*(IF(OR(N54="",N54&lt;=0),0,IF((YEAR(D54)+8)&lt;YEAR(E54),0,IF((YEAR(D54)+8)&gt;=YEAR(E54)+N54,0,IF((YEAR(D54)+8)=YEAR(E54),(12-MONTH(E54)+1)/12,1))))))))&gt;0,(((K54)*(IF(M54="",L54,IFERROR(IF(INDEX(Variablen!$I:$AT, MATCH(M54, Variablen!$A:$A, 0), MATCH((YEAR(D54)+8), Variablen!$I$3:$AT$3, 0))="",L54,INDEX(Variablen!$I:$AT, MATCH(M54, Variablen!$A:$A, 0), MATCH((YEAR(D54)+8), Variablen!$I$3:$AT$3, 0))),L54)))*(IF((YEAR(D54)+8)&lt;YEAR(E54),0,IF((YEAR(D54)+8)&gt;YEAR(E54),1,(12-MONTH(E54)+1)/12))) + (Q54)*(IF((YEAR(D54)+8)&lt;YEAR(E54),0,IF((YEAR(D54)+8)&gt;YEAR(E54),1,(12-MONTH(E54)+1)/12))))-((P54)*(IF((YEAR(D54)+8)&lt;YEAR(E54),0,IF((YEAR(D54)+8)&gt;YEAR(E54),1,(12-MONTH(E54)+1)/12))) + (R54)*(IF((YEAR(D54)+8)&lt;YEAR(E54),0,IF((YEAR(D54)+8)&gt;YEAR(E54),1,(12-MONTH(E54)+1)/12))))-(IF(OR(N54="",N54&lt;=0),0,(O54/N54)*(IF(OR(N54="",N54&lt;=0),0,IF((YEAR(D54)+8)&lt;YEAR(E54),0,IF((YEAR(D54)+8)&gt;=YEAR(E54)+N54,0,IF((YEAR(D54)+8)=YEAR(E54),(12-MONTH(E54)+1)/12,1))))))))*TaxRate,0))-IF(8=0,O54,0))</f>
        <v/>
      </c>
      <c r="AB54" s="29">
        <f>IF(A54="","",((K54)*(IF(M54="",L54,IFERROR(IF(INDEX(Variablen!$I:$AT, MATCH(M54, Variablen!$A:$A, 0), MATCH((YEAR(D54)+9), Variablen!$I$3:$AT$3, 0))="",L54,INDEX(Variablen!$I:$AT, MATCH(M54, Variablen!$A:$A, 0), MATCH((YEAR(D54)+9), Variablen!$I$3:$AT$3, 0))),L54)))*(IF((YEAR(D54)+9)&lt;YEAR(E54),0,IF((YEAR(D54)+9)&gt;YEAR(E54),1,(12-MONTH(E54)+1)/12))) + (Q54)*(IF((YEAR(D54)+9)&lt;YEAR(E54),0,IF((YEAR(D54)+9)&gt;YEAR(E54),1,(12-MONTH(E54)+1)/12))))-((P54)*(IF((YEAR(D54)+9)&lt;YEAR(E54),0,IF((YEAR(D54)+9)&gt;YEAR(E54),1,(12-MONTH(E54)+1)/12))) + (R54)*(IF((YEAR(D54)+9)&lt;YEAR(E54),0,IF((YEAR(D54)+9)&gt;YEAR(E54),1,(12-MONTH(E54)+1)/12))))-(IF((((K54)*(IF(M54="",L54,IFERROR(IF(INDEX(Variablen!$I:$AT, MATCH(M54, Variablen!$A:$A, 0), MATCH((YEAR(D54)+9), Variablen!$I$3:$AT$3, 0))="",L54,INDEX(Variablen!$I:$AT, MATCH(M54, Variablen!$A:$A, 0), MATCH((YEAR(D54)+9), Variablen!$I$3:$AT$3, 0))),L54)))*(IF((YEAR(D54)+9)&lt;YEAR(E54),0,IF((YEAR(D54)+9)&gt;YEAR(E54),1,(12-MONTH(E54)+1)/12))) + (Q54)*(IF((YEAR(D54)+9)&lt;YEAR(E54),0,IF((YEAR(D54)+9)&gt;YEAR(E54),1,(12-MONTH(E54)+1)/12))))-((P54)*(IF((YEAR(D54)+9)&lt;YEAR(E54),0,IF((YEAR(D54)+9)&gt;YEAR(E54),1,(12-MONTH(E54)+1)/12))) + (R54)*(IF((YEAR(D54)+9)&lt;YEAR(E54),0,IF((YEAR(D54)+9)&gt;YEAR(E54),1,(12-MONTH(E54)+1)/12))))-(IF(OR(N54="",N54&lt;=0),0,(O54/N54)*(IF(OR(N54="",N54&lt;=0),0,IF((YEAR(D54)+9)&lt;YEAR(E54),0,IF((YEAR(D54)+9)&gt;=YEAR(E54)+N54,0,IF((YEAR(D54)+9)=YEAR(E54),(12-MONTH(E54)+1)/12,1))))))))&gt;0,(((K54)*(IF(M54="",L54,IFERROR(IF(INDEX(Variablen!$I:$AT, MATCH(M54, Variablen!$A:$A, 0), MATCH((YEAR(D54)+9), Variablen!$I$3:$AT$3, 0))="",L54,INDEX(Variablen!$I:$AT, MATCH(M54, Variablen!$A:$A, 0), MATCH((YEAR(D54)+9), Variablen!$I$3:$AT$3, 0))),L54)))*(IF((YEAR(D54)+9)&lt;YEAR(E54),0,IF((YEAR(D54)+9)&gt;YEAR(E54),1,(12-MONTH(E54)+1)/12))) + (Q54)*(IF((YEAR(D54)+9)&lt;YEAR(E54),0,IF((YEAR(D54)+9)&gt;YEAR(E54),1,(12-MONTH(E54)+1)/12))))-((P54)*(IF((YEAR(D54)+9)&lt;YEAR(E54),0,IF((YEAR(D54)+9)&gt;YEAR(E54),1,(12-MONTH(E54)+1)/12))) + (R54)*(IF((YEAR(D54)+9)&lt;YEAR(E54),0,IF((YEAR(D54)+9)&gt;YEAR(E54),1,(12-MONTH(E54)+1)/12))))-(IF(OR(N54="",N54&lt;=0),0,(O54/N54)*(IF(OR(N54="",N54&lt;=0),0,IF((YEAR(D54)+9)&lt;YEAR(E54),0,IF((YEAR(D54)+9)&gt;=YEAR(E54)+N54,0,IF((YEAR(D54)+9)=YEAR(E54),(12-MONTH(E54)+1)/12,1))))))))*TaxRate,0))-IF(9=0,O54,0))</f>
        <v/>
      </c>
      <c r="AC54" s="29">
        <f>IF(A54="","",((K54)*(IF(M54="",L54,IFERROR(IF(INDEX(Variablen!$I:$AT, MATCH(M54, Variablen!$A:$A, 0), MATCH((YEAR(D54)+10), Variablen!$I$3:$AT$3, 0))="",L54,INDEX(Variablen!$I:$AT, MATCH(M54, Variablen!$A:$A, 0), MATCH((YEAR(D54)+10), Variablen!$I$3:$AT$3, 0))),L54)))*(IF((YEAR(D54)+10)&lt;YEAR(E54),0,IF((YEAR(D54)+10)&gt;YEAR(E54),1,(12-MONTH(E54)+1)/12))) + (Q54)*(IF((YEAR(D54)+10)&lt;YEAR(E54),0,IF((YEAR(D54)+10)&gt;YEAR(E54),1,(12-MONTH(E54)+1)/12))))-((P54)*(IF((YEAR(D54)+10)&lt;YEAR(E54),0,IF((YEAR(D54)+10)&gt;YEAR(E54),1,(12-MONTH(E54)+1)/12))) + (R54)*(IF((YEAR(D54)+10)&lt;YEAR(E54),0,IF((YEAR(D54)+10)&gt;YEAR(E54),1,(12-MONTH(E54)+1)/12))))-(IF((((K54)*(IF(M54="",L54,IFERROR(IF(INDEX(Variablen!$I:$AT, MATCH(M54, Variablen!$A:$A, 0), MATCH((YEAR(D54)+10), Variablen!$I$3:$AT$3, 0))="",L54,INDEX(Variablen!$I:$AT, MATCH(M54, Variablen!$A:$A, 0), MATCH((YEAR(D54)+10), Variablen!$I$3:$AT$3, 0))),L54)))*(IF((YEAR(D54)+10)&lt;YEAR(E54),0,IF((YEAR(D54)+10)&gt;YEAR(E54),1,(12-MONTH(E54)+1)/12))) + (Q54)*(IF((YEAR(D54)+10)&lt;YEAR(E54),0,IF((YEAR(D54)+10)&gt;YEAR(E54),1,(12-MONTH(E54)+1)/12))))-((P54)*(IF((YEAR(D54)+10)&lt;YEAR(E54),0,IF((YEAR(D54)+10)&gt;YEAR(E54),1,(12-MONTH(E54)+1)/12))) + (R54)*(IF((YEAR(D54)+10)&lt;YEAR(E54),0,IF((YEAR(D54)+10)&gt;YEAR(E54),1,(12-MONTH(E54)+1)/12))))-(IF(OR(N54="",N54&lt;=0),0,(O54/N54)*(IF(OR(N54="",N54&lt;=0),0,IF((YEAR(D54)+10)&lt;YEAR(E54),0,IF((YEAR(D54)+10)&gt;=YEAR(E54)+N54,0,IF((YEAR(D54)+10)=YEAR(E54),(12-MONTH(E54)+1)/12,1))))))))&gt;0,(((K54)*(IF(M54="",L54,IFERROR(IF(INDEX(Variablen!$I:$AT, MATCH(M54, Variablen!$A:$A, 0), MATCH((YEAR(D54)+10), Variablen!$I$3:$AT$3, 0))="",L54,INDEX(Variablen!$I:$AT, MATCH(M54, Variablen!$A:$A, 0), MATCH((YEAR(D54)+10), Variablen!$I$3:$AT$3, 0))),L54)))*(IF((YEAR(D54)+10)&lt;YEAR(E54),0,IF((YEAR(D54)+10)&gt;YEAR(E54),1,(12-MONTH(E54)+1)/12))) + (Q54)*(IF((YEAR(D54)+10)&lt;YEAR(E54),0,IF((YEAR(D54)+10)&gt;YEAR(E54),1,(12-MONTH(E54)+1)/12))))-((P54)*(IF((YEAR(D54)+10)&lt;YEAR(E54),0,IF((YEAR(D54)+10)&gt;YEAR(E54),1,(12-MONTH(E54)+1)/12))) + (R54)*(IF((YEAR(D54)+10)&lt;YEAR(E54),0,IF((YEAR(D54)+10)&gt;YEAR(E54),1,(12-MONTH(E54)+1)/12))))-(IF(OR(N54="",N54&lt;=0),0,(O54/N54)*(IF(OR(N54="",N54&lt;=0),0,IF((YEAR(D54)+10)&lt;YEAR(E54),0,IF((YEAR(D54)+10)&gt;=YEAR(E54)+N54,0,IF((YEAR(D54)+10)=YEAR(E54),(12-MONTH(E54)+1)/12,1))))))))*TaxRate,0))-IF(10=0,O54,0))</f>
        <v/>
      </c>
      <c r="AD54" s="29">
        <f>IF(A54="","",((K54)*(IF(M54="",L54,IFERROR(IF(INDEX(Variablen!$I:$AT, MATCH(M54, Variablen!$A:$A, 0), MATCH((YEAR(D54)+11), Variablen!$I$3:$AT$3, 0))="",L54,INDEX(Variablen!$I:$AT, MATCH(M54, Variablen!$A:$A, 0), MATCH((YEAR(D54)+11), Variablen!$I$3:$AT$3, 0))),L54)))*(IF((YEAR(D54)+11)&lt;YEAR(E54),0,IF((YEAR(D54)+11)&gt;YEAR(E54),1,(12-MONTH(E54)+1)/12))) + (Q54)*(IF((YEAR(D54)+11)&lt;YEAR(E54),0,IF((YEAR(D54)+11)&gt;YEAR(E54),1,(12-MONTH(E54)+1)/12))))-((P54)*(IF((YEAR(D54)+11)&lt;YEAR(E54),0,IF((YEAR(D54)+11)&gt;YEAR(E54),1,(12-MONTH(E54)+1)/12))) + (R54)*(IF((YEAR(D54)+11)&lt;YEAR(E54),0,IF((YEAR(D54)+11)&gt;YEAR(E54),1,(12-MONTH(E54)+1)/12))))-(IF((((K54)*(IF(M54="",L54,IFERROR(IF(INDEX(Variablen!$I:$AT, MATCH(M54, Variablen!$A:$A, 0), MATCH((YEAR(D54)+11), Variablen!$I$3:$AT$3, 0))="",L54,INDEX(Variablen!$I:$AT, MATCH(M54, Variablen!$A:$A, 0), MATCH((YEAR(D54)+11), Variablen!$I$3:$AT$3, 0))),L54)))*(IF((YEAR(D54)+11)&lt;YEAR(E54),0,IF((YEAR(D54)+11)&gt;YEAR(E54),1,(12-MONTH(E54)+1)/12))) + (Q54)*(IF((YEAR(D54)+11)&lt;YEAR(E54),0,IF((YEAR(D54)+11)&gt;YEAR(E54),1,(12-MONTH(E54)+1)/12))))-((P54)*(IF((YEAR(D54)+11)&lt;YEAR(E54),0,IF((YEAR(D54)+11)&gt;YEAR(E54),1,(12-MONTH(E54)+1)/12))) + (R54)*(IF((YEAR(D54)+11)&lt;YEAR(E54),0,IF((YEAR(D54)+11)&gt;YEAR(E54),1,(12-MONTH(E54)+1)/12))))-(IF(OR(N54="",N54&lt;=0),0,(O54/N54)*(IF(OR(N54="",N54&lt;=0),0,IF((YEAR(D54)+11)&lt;YEAR(E54),0,IF((YEAR(D54)+11)&gt;=YEAR(E54)+N54,0,IF((YEAR(D54)+11)=YEAR(E54),(12-MONTH(E54)+1)/12,1))))))))&gt;0,(((K54)*(IF(M54="",L54,IFERROR(IF(INDEX(Variablen!$I:$AT, MATCH(M54, Variablen!$A:$A, 0), MATCH((YEAR(D54)+11), Variablen!$I$3:$AT$3, 0))="",L54,INDEX(Variablen!$I:$AT, MATCH(M54, Variablen!$A:$A, 0), MATCH((YEAR(D54)+11), Variablen!$I$3:$AT$3, 0))),L54)))*(IF((YEAR(D54)+11)&lt;YEAR(E54),0,IF((YEAR(D54)+11)&gt;YEAR(E54),1,(12-MONTH(E54)+1)/12))) + (Q54)*(IF((YEAR(D54)+11)&lt;YEAR(E54),0,IF((YEAR(D54)+11)&gt;YEAR(E54),1,(12-MONTH(E54)+1)/12))))-((P54)*(IF((YEAR(D54)+11)&lt;YEAR(E54),0,IF((YEAR(D54)+11)&gt;YEAR(E54),1,(12-MONTH(E54)+1)/12))) + (R54)*(IF((YEAR(D54)+11)&lt;YEAR(E54),0,IF((YEAR(D54)+11)&gt;YEAR(E54),1,(12-MONTH(E54)+1)/12))))-(IF(OR(N54="",N54&lt;=0),0,(O54/N54)*(IF(OR(N54="",N54&lt;=0),0,IF((YEAR(D54)+11)&lt;YEAR(E54),0,IF((YEAR(D54)+11)&gt;=YEAR(E54)+N54,0,IF((YEAR(D54)+11)=YEAR(E54),(12-MONTH(E54)+1)/12,1))))))))*TaxRate,0))-IF(11=0,O54,0))</f>
        <v/>
      </c>
      <c r="AE54" s="29">
        <f>IF(A54="","",((K54)*(IF(M54="",L54,IFERROR(IF(INDEX(Variablen!$I:$AT, MATCH(M54, Variablen!$A:$A, 0), MATCH((YEAR(D54)+12), Variablen!$I$3:$AT$3, 0))="",L54,INDEX(Variablen!$I:$AT, MATCH(M54, Variablen!$A:$A, 0), MATCH((YEAR(D54)+12), Variablen!$I$3:$AT$3, 0))),L54)))*(IF((YEAR(D54)+12)&lt;YEAR(E54),0,IF((YEAR(D54)+12)&gt;YEAR(E54),1,(12-MONTH(E54)+1)/12))) + (Q54)*(IF((YEAR(D54)+12)&lt;YEAR(E54),0,IF((YEAR(D54)+12)&gt;YEAR(E54),1,(12-MONTH(E54)+1)/12))))-((P54)*(IF((YEAR(D54)+12)&lt;YEAR(E54),0,IF((YEAR(D54)+12)&gt;YEAR(E54),1,(12-MONTH(E54)+1)/12))) + (R54)*(IF((YEAR(D54)+12)&lt;YEAR(E54),0,IF((YEAR(D54)+12)&gt;YEAR(E54),1,(12-MONTH(E54)+1)/12))))-(IF((((K54)*(IF(M54="",L54,IFERROR(IF(INDEX(Variablen!$I:$AT, MATCH(M54, Variablen!$A:$A, 0), MATCH((YEAR(D54)+12), Variablen!$I$3:$AT$3, 0))="",L54,INDEX(Variablen!$I:$AT, MATCH(M54, Variablen!$A:$A, 0), MATCH((YEAR(D54)+12), Variablen!$I$3:$AT$3, 0))),L54)))*(IF((YEAR(D54)+12)&lt;YEAR(E54),0,IF((YEAR(D54)+12)&gt;YEAR(E54),1,(12-MONTH(E54)+1)/12))) + (Q54)*(IF((YEAR(D54)+12)&lt;YEAR(E54),0,IF((YEAR(D54)+12)&gt;YEAR(E54),1,(12-MONTH(E54)+1)/12))))-((P54)*(IF((YEAR(D54)+12)&lt;YEAR(E54),0,IF((YEAR(D54)+12)&gt;YEAR(E54),1,(12-MONTH(E54)+1)/12))) + (R54)*(IF((YEAR(D54)+12)&lt;YEAR(E54),0,IF((YEAR(D54)+12)&gt;YEAR(E54),1,(12-MONTH(E54)+1)/12))))-(IF(OR(N54="",N54&lt;=0),0,(O54/N54)*(IF(OR(N54="",N54&lt;=0),0,IF((YEAR(D54)+12)&lt;YEAR(E54),0,IF((YEAR(D54)+12)&gt;=YEAR(E54)+N54,0,IF((YEAR(D54)+12)=YEAR(E54),(12-MONTH(E54)+1)/12,1))))))))&gt;0,(((K54)*(IF(M54="",L54,IFERROR(IF(INDEX(Variablen!$I:$AT, MATCH(M54, Variablen!$A:$A, 0), MATCH((YEAR(D54)+12), Variablen!$I$3:$AT$3, 0))="",L54,INDEX(Variablen!$I:$AT, MATCH(M54, Variablen!$A:$A, 0), MATCH((YEAR(D54)+12), Variablen!$I$3:$AT$3, 0))),L54)))*(IF((YEAR(D54)+12)&lt;YEAR(E54),0,IF((YEAR(D54)+12)&gt;YEAR(E54),1,(12-MONTH(E54)+1)/12))) + (Q54)*(IF((YEAR(D54)+12)&lt;YEAR(E54),0,IF((YEAR(D54)+12)&gt;YEAR(E54),1,(12-MONTH(E54)+1)/12))))-((P54)*(IF((YEAR(D54)+12)&lt;YEAR(E54),0,IF((YEAR(D54)+12)&gt;YEAR(E54),1,(12-MONTH(E54)+1)/12))) + (R54)*(IF((YEAR(D54)+12)&lt;YEAR(E54),0,IF((YEAR(D54)+12)&gt;YEAR(E54),1,(12-MONTH(E54)+1)/12))))-(IF(OR(N54="",N54&lt;=0),0,(O54/N54)*(IF(OR(N54="",N54&lt;=0),0,IF((YEAR(D54)+12)&lt;YEAR(E54),0,IF((YEAR(D54)+12)&gt;=YEAR(E54)+N54,0,IF((YEAR(D54)+12)=YEAR(E54),(12-MONTH(E54)+1)/12,1))))))))*TaxRate,0))-IF(12=0,O54,0))</f>
        <v/>
      </c>
      <c r="AF54" s="29">
        <f>IF(A54="","",((K54)*(IF(M54="",L54,IFERROR(IF(INDEX(Variablen!$I:$AT, MATCH(M54, Variablen!$A:$A, 0), MATCH((YEAR(D54)+13), Variablen!$I$3:$AT$3, 0))="",L54,INDEX(Variablen!$I:$AT, MATCH(M54, Variablen!$A:$A, 0), MATCH((YEAR(D54)+13), Variablen!$I$3:$AT$3, 0))),L54)))*(IF((YEAR(D54)+13)&lt;YEAR(E54),0,IF((YEAR(D54)+13)&gt;YEAR(E54),1,(12-MONTH(E54)+1)/12))) + (Q54)*(IF((YEAR(D54)+13)&lt;YEAR(E54),0,IF((YEAR(D54)+13)&gt;YEAR(E54),1,(12-MONTH(E54)+1)/12))))-((P54)*(IF((YEAR(D54)+13)&lt;YEAR(E54),0,IF((YEAR(D54)+13)&gt;YEAR(E54),1,(12-MONTH(E54)+1)/12))) + (R54)*(IF((YEAR(D54)+13)&lt;YEAR(E54),0,IF((YEAR(D54)+13)&gt;YEAR(E54),1,(12-MONTH(E54)+1)/12))))-(IF((((K54)*(IF(M54="",L54,IFERROR(IF(INDEX(Variablen!$I:$AT, MATCH(M54, Variablen!$A:$A, 0), MATCH((YEAR(D54)+13), Variablen!$I$3:$AT$3, 0))="",L54,INDEX(Variablen!$I:$AT, MATCH(M54, Variablen!$A:$A, 0), MATCH((YEAR(D54)+13), Variablen!$I$3:$AT$3, 0))),L54)))*(IF((YEAR(D54)+13)&lt;YEAR(E54),0,IF((YEAR(D54)+13)&gt;YEAR(E54),1,(12-MONTH(E54)+1)/12))) + (Q54)*(IF((YEAR(D54)+13)&lt;YEAR(E54),0,IF((YEAR(D54)+13)&gt;YEAR(E54),1,(12-MONTH(E54)+1)/12))))-((P54)*(IF((YEAR(D54)+13)&lt;YEAR(E54),0,IF((YEAR(D54)+13)&gt;YEAR(E54),1,(12-MONTH(E54)+1)/12))) + (R54)*(IF((YEAR(D54)+13)&lt;YEAR(E54),0,IF((YEAR(D54)+13)&gt;YEAR(E54),1,(12-MONTH(E54)+1)/12))))-(IF(OR(N54="",N54&lt;=0),0,(O54/N54)*(IF(OR(N54="",N54&lt;=0),0,IF((YEAR(D54)+13)&lt;YEAR(E54),0,IF((YEAR(D54)+13)&gt;=YEAR(E54)+N54,0,IF((YEAR(D54)+13)=YEAR(E54),(12-MONTH(E54)+1)/12,1))))))))&gt;0,(((K54)*(IF(M54="",L54,IFERROR(IF(INDEX(Variablen!$I:$AT, MATCH(M54, Variablen!$A:$A, 0), MATCH((YEAR(D54)+13), Variablen!$I$3:$AT$3, 0))="",L54,INDEX(Variablen!$I:$AT, MATCH(M54, Variablen!$A:$A, 0), MATCH((YEAR(D54)+13), Variablen!$I$3:$AT$3, 0))),L54)))*(IF((YEAR(D54)+13)&lt;YEAR(E54),0,IF((YEAR(D54)+13)&gt;YEAR(E54),1,(12-MONTH(E54)+1)/12))) + (Q54)*(IF((YEAR(D54)+13)&lt;YEAR(E54),0,IF((YEAR(D54)+13)&gt;YEAR(E54),1,(12-MONTH(E54)+1)/12))))-((P54)*(IF((YEAR(D54)+13)&lt;YEAR(E54),0,IF((YEAR(D54)+13)&gt;YEAR(E54),1,(12-MONTH(E54)+1)/12))) + (R54)*(IF((YEAR(D54)+13)&lt;YEAR(E54),0,IF((YEAR(D54)+13)&gt;YEAR(E54),1,(12-MONTH(E54)+1)/12))))-(IF(OR(N54="",N54&lt;=0),0,(O54/N54)*(IF(OR(N54="",N54&lt;=0),0,IF((YEAR(D54)+13)&lt;YEAR(E54),0,IF((YEAR(D54)+13)&gt;=YEAR(E54)+N54,0,IF((YEAR(D54)+13)=YEAR(E54),(12-MONTH(E54)+1)/12,1))))))))*TaxRate,0))-IF(13=0,O54,0))</f>
        <v/>
      </c>
      <c r="AG54" s="29">
        <f>IF(A54="","",((K54)*(IF(M54="",L54,IFERROR(IF(INDEX(Variablen!$I:$AT, MATCH(M54, Variablen!$A:$A, 0), MATCH((YEAR(D54)+14), Variablen!$I$3:$AT$3, 0))="",L54,INDEX(Variablen!$I:$AT, MATCH(M54, Variablen!$A:$A, 0), MATCH((YEAR(D54)+14), Variablen!$I$3:$AT$3, 0))),L54)))*(IF((YEAR(D54)+14)&lt;YEAR(E54),0,IF((YEAR(D54)+14)&gt;YEAR(E54),1,(12-MONTH(E54)+1)/12))) + (Q54)*(IF((YEAR(D54)+14)&lt;YEAR(E54),0,IF((YEAR(D54)+14)&gt;YEAR(E54),1,(12-MONTH(E54)+1)/12))))-((P54)*(IF((YEAR(D54)+14)&lt;YEAR(E54),0,IF((YEAR(D54)+14)&gt;YEAR(E54),1,(12-MONTH(E54)+1)/12))) + (R54)*(IF((YEAR(D54)+14)&lt;YEAR(E54),0,IF((YEAR(D54)+14)&gt;YEAR(E54),1,(12-MONTH(E54)+1)/12))))-(IF((((K54)*(IF(M54="",L54,IFERROR(IF(INDEX(Variablen!$I:$AT, MATCH(M54, Variablen!$A:$A, 0), MATCH((YEAR(D54)+14), Variablen!$I$3:$AT$3, 0))="",L54,INDEX(Variablen!$I:$AT, MATCH(M54, Variablen!$A:$A, 0), MATCH((YEAR(D54)+14), Variablen!$I$3:$AT$3, 0))),L54)))*(IF((YEAR(D54)+14)&lt;YEAR(E54),0,IF((YEAR(D54)+14)&gt;YEAR(E54),1,(12-MONTH(E54)+1)/12))) + (Q54)*(IF((YEAR(D54)+14)&lt;YEAR(E54),0,IF((YEAR(D54)+14)&gt;YEAR(E54),1,(12-MONTH(E54)+1)/12))))-((P54)*(IF((YEAR(D54)+14)&lt;YEAR(E54),0,IF((YEAR(D54)+14)&gt;YEAR(E54),1,(12-MONTH(E54)+1)/12))) + (R54)*(IF((YEAR(D54)+14)&lt;YEAR(E54),0,IF((YEAR(D54)+14)&gt;YEAR(E54),1,(12-MONTH(E54)+1)/12))))-(IF(OR(N54="",N54&lt;=0),0,(O54/N54)*(IF(OR(N54="",N54&lt;=0),0,IF((YEAR(D54)+14)&lt;YEAR(E54),0,IF((YEAR(D54)+14)&gt;=YEAR(E54)+N54,0,IF((YEAR(D54)+14)=YEAR(E54),(12-MONTH(E54)+1)/12,1))))))))&gt;0,(((K54)*(IF(M54="",L54,IFERROR(IF(INDEX(Variablen!$I:$AT, MATCH(M54, Variablen!$A:$A, 0), MATCH((YEAR(D54)+14), Variablen!$I$3:$AT$3, 0))="",L54,INDEX(Variablen!$I:$AT, MATCH(M54, Variablen!$A:$A, 0), MATCH((YEAR(D54)+14), Variablen!$I$3:$AT$3, 0))),L54)))*(IF((YEAR(D54)+14)&lt;YEAR(E54),0,IF((YEAR(D54)+14)&gt;YEAR(E54),1,(12-MONTH(E54)+1)/12))) + (Q54)*(IF((YEAR(D54)+14)&lt;YEAR(E54),0,IF((YEAR(D54)+14)&gt;YEAR(E54),1,(12-MONTH(E54)+1)/12))))-((P54)*(IF((YEAR(D54)+14)&lt;YEAR(E54),0,IF((YEAR(D54)+14)&gt;YEAR(E54),1,(12-MONTH(E54)+1)/12))) + (R54)*(IF((YEAR(D54)+14)&lt;YEAR(E54),0,IF((YEAR(D54)+14)&gt;YEAR(E54),1,(12-MONTH(E54)+1)/12))))-(IF(OR(N54="",N54&lt;=0),0,(O54/N54)*(IF(OR(N54="",N54&lt;=0),0,IF((YEAR(D54)+14)&lt;YEAR(E54),0,IF((YEAR(D54)+14)&gt;=YEAR(E54)+N54,0,IF((YEAR(D54)+14)=YEAR(E54),(12-MONTH(E54)+1)/12,1))))))))*TaxRate,0))-IF(14=0,O54,0))</f>
        <v/>
      </c>
      <c r="AH54" s="29">
        <f>IF(A54="","",((K54)*(IF(M54="",L54,IFERROR(IF(INDEX(Variablen!$I:$AT, MATCH(M54, Variablen!$A:$A, 0), MATCH((YEAR(D54)+15), Variablen!$I$3:$AT$3, 0))="",L54,INDEX(Variablen!$I:$AT, MATCH(M54, Variablen!$A:$A, 0), MATCH((YEAR(D54)+15), Variablen!$I$3:$AT$3, 0))),L54)))*(IF((YEAR(D54)+15)&lt;YEAR(E54),0,IF((YEAR(D54)+15)&gt;YEAR(E54),1,(12-MONTH(E54)+1)/12))) + (Q54)*(IF((YEAR(D54)+15)&lt;YEAR(E54),0,IF((YEAR(D54)+15)&gt;YEAR(E54),1,(12-MONTH(E54)+1)/12))))-((P54)*(IF((YEAR(D54)+15)&lt;YEAR(E54),0,IF((YEAR(D54)+15)&gt;YEAR(E54),1,(12-MONTH(E54)+1)/12))) + (R54)*(IF((YEAR(D54)+15)&lt;YEAR(E54),0,IF((YEAR(D54)+15)&gt;YEAR(E54),1,(12-MONTH(E54)+1)/12))))-(IF((((K54)*(IF(M54="",L54,IFERROR(IF(INDEX(Variablen!$I:$AT, MATCH(M54, Variablen!$A:$A, 0), MATCH((YEAR(D54)+15), Variablen!$I$3:$AT$3, 0))="",L54,INDEX(Variablen!$I:$AT, MATCH(M54, Variablen!$A:$A, 0), MATCH((YEAR(D54)+15), Variablen!$I$3:$AT$3, 0))),L54)))*(IF((YEAR(D54)+15)&lt;YEAR(E54),0,IF((YEAR(D54)+15)&gt;YEAR(E54),1,(12-MONTH(E54)+1)/12))) + (Q54)*(IF((YEAR(D54)+15)&lt;YEAR(E54),0,IF((YEAR(D54)+15)&gt;YEAR(E54),1,(12-MONTH(E54)+1)/12))))-((P54)*(IF((YEAR(D54)+15)&lt;YEAR(E54),0,IF((YEAR(D54)+15)&gt;YEAR(E54),1,(12-MONTH(E54)+1)/12))) + (R54)*(IF((YEAR(D54)+15)&lt;YEAR(E54),0,IF((YEAR(D54)+15)&gt;YEAR(E54),1,(12-MONTH(E54)+1)/12))))-(IF(OR(N54="",N54&lt;=0),0,(O54/N54)*(IF(OR(N54="",N54&lt;=0),0,IF((YEAR(D54)+15)&lt;YEAR(E54),0,IF((YEAR(D54)+15)&gt;=YEAR(E54)+N54,0,IF((YEAR(D54)+15)=YEAR(E54),(12-MONTH(E54)+1)/12,1))))))))&gt;0,(((K54)*(IF(M54="",L54,IFERROR(IF(INDEX(Variablen!$I:$AT, MATCH(M54, Variablen!$A:$A, 0), MATCH((YEAR(D54)+15), Variablen!$I$3:$AT$3, 0))="",L54,INDEX(Variablen!$I:$AT, MATCH(M54, Variablen!$A:$A, 0), MATCH((YEAR(D54)+15), Variablen!$I$3:$AT$3, 0))),L54)))*(IF((YEAR(D54)+15)&lt;YEAR(E54),0,IF((YEAR(D54)+15)&gt;YEAR(E54),1,(12-MONTH(E54)+1)/12))) + (Q54)*(IF((YEAR(D54)+15)&lt;YEAR(E54),0,IF((YEAR(D54)+15)&gt;YEAR(E54),1,(12-MONTH(E54)+1)/12))))-((P54)*(IF((YEAR(D54)+15)&lt;YEAR(E54),0,IF((YEAR(D54)+15)&gt;YEAR(E54),1,(12-MONTH(E54)+1)/12))) + (R54)*(IF((YEAR(D54)+15)&lt;YEAR(E54),0,IF((YEAR(D54)+15)&gt;YEAR(E54),1,(12-MONTH(E54)+1)/12))))-(IF(OR(N54="",N54&lt;=0),0,(O54/N54)*(IF(OR(N54="",N54&lt;=0),0,IF((YEAR(D54)+15)&lt;YEAR(E54),0,IF((YEAR(D54)+15)&gt;=YEAR(E54)+N54,0,IF((YEAR(D54)+15)=YEAR(E54),(12-MONTH(E54)+1)/12,1))))))))*TaxRate,0))-IF(15=0,O54,0))</f>
        <v/>
      </c>
      <c r="AI54" s="29">
        <f>IF(A54="","",((K54)*(IF(M54="",L54,IFERROR(IF(INDEX(Variablen!$I:$AT, MATCH(M54, Variablen!$A:$A, 0), MATCH((YEAR(D54)+16), Variablen!$I$3:$AT$3, 0))="",L54,INDEX(Variablen!$I:$AT, MATCH(M54, Variablen!$A:$A, 0), MATCH((YEAR(D54)+16), Variablen!$I$3:$AT$3, 0))),L54)))*(IF((YEAR(D54)+16)&lt;YEAR(E54),0,IF((YEAR(D54)+16)&gt;YEAR(E54),1,(12-MONTH(E54)+1)/12))) + (Q54)*(IF((YEAR(D54)+16)&lt;YEAR(E54),0,IF((YEAR(D54)+16)&gt;YEAR(E54),1,(12-MONTH(E54)+1)/12))))-((P54)*(IF((YEAR(D54)+16)&lt;YEAR(E54),0,IF((YEAR(D54)+16)&gt;YEAR(E54),1,(12-MONTH(E54)+1)/12))) + (R54)*(IF((YEAR(D54)+16)&lt;YEAR(E54),0,IF((YEAR(D54)+16)&gt;YEAR(E54),1,(12-MONTH(E54)+1)/12))))-(IF((((K54)*(IF(M54="",L54,IFERROR(IF(INDEX(Variablen!$I:$AT, MATCH(M54, Variablen!$A:$A, 0), MATCH((YEAR(D54)+16), Variablen!$I$3:$AT$3, 0))="",L54,INDEX(Variablen!$I:$AT, MATCH(M54, Variablen!$A:$A, 0), MATCH((YEAR(D54)+16), Variablen!$I$3:$AT$3, 0))),L54)))*(IF((YEAR(D54)+16)&lt;YEAR(E54),0,IF((YEAR(D54)+16)&gt;YEAR(E54),1,(12-MONTH(E54)+1)/12))) + (Q54)*(IF((YEAR(D54)+16)&lt;YEAR(E54),0,IF((YEAR(D54)+16)&gt;YEAR(E54),1,(12-MONTH(E54)+1)/12))))-((P54)*(IF((YEAR(D54)+16)&lt;YEAR(E54),0,IF((YEAR(D54)+16)&gt;YEAR(E54),1,(12-MONTH(E54)+1)/12))) + (R54)*(IF((YEAR(D54)+16)&lt;YEAR(E54),0,IF((YEAR(D54)+16)&gt;YEAR(E54),1,(12-MONTH(E54)+1)/12))))-(IF(OR(N54="",N54&lt;=0),0,(O54/N54)*(IF(OR(N54="",N54&lt;=0),0,IF((YEAR(D54)+16)&lt;YEAR(E54),0,IF((YEAR(D54)+16)&gt;=YEAR(E54)+N54,0,IF((YEAR(D54)+16)=YEAR(E54),(12-MONTH(E54)+1)/12,1))))))))&gt;0,(((K54)*(IF(M54="",L54,IFERROR(IF(INDEX(Variablen!$I:$AT, MATCH(M54, Variablen!$A:$A, 0), MATCH((YEAR(D54)+16), Variablen!$I$3:$AT$3, 0))="",L54,INDEX(Variablen!$I:$AT, MATCH(M54, Variablen!$A:$A, 0), MATCH((YEAR(D54)+16), Variablen!$I$3:$AT$3, 0))),L54)))*(IF((YEAR(D54)+16)&lt;YEAR(E54),0,IF((YEAR(D54)+16)&gt;YEAR(E54),1,(12-MONTH(E54)+1)/12))) + (Q54)*(IF((YEAR(D54)+16)&lt;YEAR(E54),0,IF((YEAR(D54)+16)&gt;YEAR(E54),1,(12-MONTH(E54)+1)/12))))-((P54)*(IF((YEAR(D54)+16)&lt;YEAR(E54),0,IF((YEAR(D54)+16)&gt;YEAR(E54),1,(12-MONTH(E54)+1)/12))) + (R54)*(IF((YEAR(D54)+16)&lt;YEAR(E54),0,IF((YEAR(D54)+16)&gt;YEAR(E54),1,(12-MONTH(E54)+1)/12))))-(IF(OR(N54="",N54&lt;=0),0,(O54/N54)*(IF(OR(N54="",N54&lt;=0),0,IF((YEAR(D54)+16)&lt;YEAR(E54),0,IF((YEAR(D54)+16)&gt;=YEAR(E54)+N54,0,IF((YEAR(D54)+16)=YEAR(E54),(12-MONTH(E54)+1)/12,1))))))))*TaxRate,0))-IF(16=0,O54,0))</f>
        <v/>
      </c>
      <c r="AJ54" s="29">
        <f>IF(A54="","",((K54)*(IF(M54="",L54,IFERROR(IF(INDEX(Variablen!$I:$AT, MATCH(M54, Variablen!$A:$A, 0), MATCH((YEAR(D54)+17), Variablen!$I$3:$AT$3, 0))="",L54,INDEX(Variablen!$I:$AT, MATCH(M54, Variablen!$A:$A, 0), MATCH((YEAR(D54)+17), Variablen!$I$3:$AT$3, 0))),L54)))*(IF((YEAR(D54)+17)&lt;YEAR(E54),0,IF((YEAR(D54)+17)&gt;YEAR(E54),1,(12-MONTH(E54)+1)/12))) + (Q54)*(IF((YEAR(D54)+17)&lt;YEAR(E54),0,IF((YEAR(D54)+17)&gt;YEAR(E54),1,(12-MONTH(E54)+1)/12))))-((P54)*(IF((YEAR(D54)+17)&lt;YEAR(E54),0,IF((YEAR(D54)+17)&gt;YEAR(E54),1,(12-MONTH(E54)+1)/12))) + (R54)*(IF((YEAR(D54)+17)&lt;YEAR(E54),0,IF((YEAR(D54)+17)&gt;YEAR(E54),1,(12-MONTH(E54)+1)/12))))-(IF((((K54)*(IF(M54="",L54,IFERROR(IF(INDEX(Variablen!$I:$AT, MATCH(M54, Variablen!$A:$A, 0), MATCH((YEAR(D54)+17), Variablen!$I$3:$AT$3, 0))="",L54,INDEX(Variablen!$I:$AT, MATCH(M54, Variablen!$A:$A, 0), MATCH((YEAR(D54)+17), Variablen!$I$3:$AT$3, 0))),L54)))*(IF((YEAR(D54)+17)&lt;YEAR(E54),0,IF((YEAR(D54)+17)&gt;YEAR(E54),1,(12-MONTH(E54)+1)/12))) + (Q54)*(IF((YEAR(D54)+17)&lt;YEAR(E54),0,IF((YEAR(D54)+17)&gt;YEAR(E54),1,(12-MONTH(E54)+1)/12))))-((P54)*(IF((YEAR(D54)+17)&lt;YEAR(E54),0,IF((YEAR(D54)+17)&gt;YEAR(E54),1,(12-MONTH(E54)+1)/12))) + (R54)*(IF((YEAR(D54)+17)&lt;YEAR(E54),0,IF((YEAR(D54)+17)&gt;YEAR(E54),1,(12-MONTH(E54)+1)/12))))-(IF(OR(N54="",N54&lt;=0),0,(O54/N54)*(IF(OR(N54="",N54&lt;=0),0,IF((YEAR(D54)+17)&lt;YEAR(E54),0,IF((YEAR(D54)+17)&gt;=YEAR(E54)+N54,0,IF((YEAR(D54)+17)=YEAR(E54),(12-MONTH(E54)+1)/12,1))))))))&gt;0,(((K54)*(IF(M54="",L54,IFERROR(IF(INDEX(Variablen!$I:$AT, MATCH(M54, Variablen!$A:$A, 0), MATCH((YEAR(D54)+17), Variablen!$I$3:$AT$3, 0))="",L54,INDEX(Variablen!$I:$AT, MATCH(M54, Variablen!$A:$A, 0), MATCH((YEAR(D54)+17), Variablen!$I$3:$AT$3, 0))),L54)))*(IF((YEAR(D54)+17)&lt;YEAR(E54),0,IF((YEAR(D54)+17)&gt;YEAR(E54),1,(12-MONTH(E54)+1)/12))) + (Q54)*(IF((YEAR(D54)+17)&lt;YEAR(E54),0,IF((YEAR(D54)+17)&gt;YEAR(E54),1,(12-MONTH(E54)+1)/12))))-((P54)*(IF((YEAR(D54)+17)&lt;YEAR(E54),0,IF((YEAR(D54)+17)&gt;YEAR(E54),1,(12-MONTH(E54)+1)/12))) + (R54)*(IF((YEAR(D54)+17)&lt;YEAR(E54),0,IF((YEAR(D54)+17)&gt;YEAR(E54),1,(12-MONTH(E54)+1)/12))))-(IF(OR(N54="",N54&lt;=0),0,(O54/N54)*(IF(OR(N54="",N54&lt;=0),0,IF((YEAR(D54)+17)&lt;YEAR(E54),0,IF((YEAR(D54)+17)&gt;=YEAR(E54)+N54,0,IF((YEAR(D54)+17)=YEAR(E54),(12-MONTH(E54)+1)/12,1))))))))*TaxRate,0))-IF(17=0,O54,0))</f>
        <v/>
      </c>
      <c r="AK54" s="29">
        <f>IF(A54="","",((K54)*(IF(M54="",L54,IFERROR(IF(INDEX(Variablen!$I:$AT, MATCH(M54, Variablen!$A:$A, 0), MATCH((YEAR(D54)+18), Variablen!$I$3:$AT$3, 0))="",L54,INDEX(Variablen!$I:$AT, MATCH(M54, Variablen!$A:$A, 0), MATCH((YEAR(D54)+18), Variablen!$I$3:$AT$3, 0))),L54)))*(IF((YEAR(D54)+18)&lt;YEAR(E54),0,IF((YEAR(D54)+18)&gt;YEAR(E54),1,(12-MONTH(E54)+1)/12))) + (Q54)*(IF((YEAR(D54)+18)&lt;YEAR(E54),0,IF((YEAR(D54)+18)&gt;YEAR(E54),1,(12-MONTH(E54)+1)/12))))-((P54)*(IF((YEAR(D54)+18)&lt;YEAR(E54),0,IF((YEAR(D54)+18)&gt;YEAR(E54),1,(12-MONTH(E54)+1)/12))) + (R54)*(IF((YEAR(D54)+18)&lt;YEAR(E54),0,IF((YEAR(D54)+18)&gt;YEAR(E54),1,(12-MONTH(E54)+1)/12))))-(IF((((K54)*(IF(M54="",L54,IFERROR(IF(INDEX(Variablen!$I:$AT, MATCH(M54, Variablen!$A:$A, 0), MATCH((YEAR(D54)+18), Variablen!$I$3:$AT$3, 0))="",L54,INDEX(Variablen!$I:$AT, MATCH(M54, Variablen!$A:$A, 0), MATCH((YEAR(D54)+18), Variablen!$I$3:$AT$3, 0))),L54)))*(IF((YEAR(D54)+18)&lt;YEAR(E54),0,IF((YEAR(D54)+18)&gt;YEAR(E54),1,(12-MONTH(E54)+1)/12))) + (Q54)*(IF((YEAR(D54)+18)&lt;YEAR(E54),0,IF((YEAR(D54)+18)&gt;YEAR(E54),1,(12-MONTH(E54)+1)/12))))-((P54)*(IF((YEAR(D54)+18)&lt;YEAR(E54),0,IF((YEAR(D54)+18)&gt;YEAR(E54),1,(12-MONTH(E54)+1)/12))) + (R54)*(IF((YEAR(D54)+18)&lt;YEAR(E54),0,IF((YEAR(D54)+18)&gt;YEAR(E54),1,(12-MONTH(E54)+1)/12))))-(IF(OR(N54="",N54&lt;=0),0,(O54/N54)*(IF(OR(N54="",N54&lt;=0),0,IF((YEAR(D54)+18)&lt;YEAR(E54),0,IF((YEAR(D54)+18)&gt;=YEAR(E54)+N54,0,IF((YEAR(D54)+18)=YEAR(E54),(12-MONTH(E54)+1)/12,1))))))))&gt;0,(((K54)*(IF(M54="",L54,IFERROR(IF(INDEX(Variablen!$I:$AT, MATCH(M54, Variablen!$A:$A, 0), MATCH((YEAR(D54)+18), Variablen!$I$3:$AT$3, 0))="",L54,INDEX(Variablen!$I:$AT, MATCH(M54, Variablen!$A:$A, 0), MATCH((YEAR(D54)+18), Variablen!$I$3:$AT$3, 0))),L54)))*(IF((YEAR(D54)+18)&lt;YEAR(E54),0,IF((YEAR(D54)+18)&gt;YEAR(E54),1,(12-MONTH(E54)+1)/12))) + (Q54)*(IF((YEAR(D54)+18)&lt;YEAR(E54),0,IF((YEAR(D54)+18)&gt;YEAR(E54),1,(12-MONTH(E54)+1)/12))))-((P54)*(IF((YEAR(D54)+18)&lt;YEAR(E54),0,IF((YEAR(D54)+18)&gt;YEAR(E54),1,(12-MONTH(E54)+1)/12))) + (R54)*(IF((YEAR(D54)+18)&lt;YEAR(E54),0,IF((YEAR(D54)+18)&gt;YEAR(E54),1,(12-MONTH(E54)+1)/12))))-(IF(OR(N54="",N54&lt;=0),0,(O54/N54)*(IF(OR(N54="",N54&lt;=0),0,IF((YEAR(D54)+18)&lt;YEAR(E54),0,IF((YEAR(D54)+18)&gt;=YEAR(E54)+N54,0,IF((YEAR(D54)+18)=YEAR(E54),(12-MONTH(E54)+1)/12,1))))))))*TaxRate,0))-IF(18=0,O54,0))</f>
        <v/>
      </c>
      <c r="AL54" s="29">
        <f>IF(A54="","",((K54)*(IF(M54="",L54,IFERROR(IF(INDEX(Variablen!$I:$AT, MATCH(M54, Variablen!$A:$A, 0), MATCH((YEAR(D54)+19), Variablen!$I$3:$AT$3, 0))="",L54,INDEX(Variablen!$I:$AT, MATCH(M54, Variablen!$A:$A, 0), MATCH((YEAR(D54)+19), Variablen!$I$3:$AT$3, 0))),L54)))*(IF((YEAR(D54)+19)&lt;YEAR(E54),0,IF((YEAR(D54)+19)&gt;YEAR(E54),1,(12-MONTH(E54)+1)/12))) + (Q54)*(IF((YEAR(D54)+19)&lt;YEAR(E54),0,IF((YEAR(D54)+19)&gt;YEAR(E54),1,(12-MONTH(E54)+1)/12))))-((P54)*(IF((YEAR(D54)+19)&lt;YEAR(E54),0,IF((YEAR(D54)+19)&gt;YEAR(E54),1,(12-MONTH(E54)+1)/12))) + (R54)*(IF((YEAR(D54)+19)&lt;YEAR(E54),0,IF((YEAR(D54)+19)&gt;YEAR(E54),1,(12-MONTH(E54)+1)/12))))-(IF((((K54)*(IF(M54="",L54,IFERROR(IF(INDEX(Variablen!$I:$AT, MATCH(M54, Variablen!$A:$A, 0), MATCH((YEAR(D54)+19), Variablen!$I$3:$AT$3, 0))="",L54,INDEX(Variablen!$I:$AT, MATCH(M54, Variablen!$A:$A, 0), MATCH((YEAR(D54)+19), Variablen!$I$3:$AT$3, 0))),L54)))*(IF((YEAR(D54)+19)&lt;YEAR(E54),0,IF((YEAR(D54)+19)&gt;YEAR(E54),1,(12-MONTH(E54)+1)/12))) + (Q54)*(IF((YEAR(D54)+19)&lt;YEAR(E54),0,IF((YEAR(D54)+19)&gt;YEAR(E54),1,(12-MONTH(E54)+1)/12))))-((P54)*(IF((YEAR(D54)+19)&lt;YEAR(E54),0,IF((YEAR(D54)+19)&gt;YEAR(E54),1,(12-MONTH(E54)+1)/12))) + (R54)*(IF((YEAR(D54)+19)&lt;YEAR(E54),0,IF((YEAR(D54)+19)&gt;YEAR(E54),1,(12-MONTH(E54)+1)/12))))-(IF(OR(N54="",N54&lt;=0),0,(O54/N54)*(IF(OR(N54="",N54&lt;=0),0,IF((YEAR(D54)+19)&lt;YEAR(E54),0,IF((YEAR(D54)+19)&gt;=YEAR(E54)+N54,0,IF((YEAR(D54)+19)=YEAR(E54),(12-MONTH(E54)+1)/12,1))))))))&gt;0,(((K54)*(IF(M54="",L54,IFERROR(IF(INDEX(Variablen!$I:$AT, MATCH(M54, Variablen!$A:$A, 0), MATCH((YEAR(D54)+19), Variablen!$I$3:$AT$3, 0))="",L54,INDEX(Variablen!$I:$AT, MATCH(M54, Variablen!$A:$A, 0), MATCH((YEAR(D54)+19), Variablen!$I$3:$AT$3, 0))),L54)))*(IF((YEAR(D54)+19)&lt;YEAR(E54),0,IF((YEAR(D54)+19)&gt;YEAR(E54),1,(12-MONTH(E54)+1)/12))) + (Q54)*(IF((YEAR(D54)+19)&lt;YEAR(E54),0,IF((YEAR(D54)+19)&gt;YEAR(E54),1,(12-MONTH(E54)+1)/12))))-((P54)*(IF((YEAR(D54)+19)&lt;YEAR(E54),0,IF((YEAR(D54)+19)&gt;YEAR(E54),1,(12-MONTH(E54)+1)/12))) + (R54)*(IF((YEAR(D54)+19)&lt;YEAR(E54),0,IF((YEAR(D54)+19)&gt;YEAR(E54),1,(12-MONTH(E54)+1)/12))))-(IF(OR(N54="",N54&lt;=0),0,(O54/N54)*(IF(OR(N54="",N54&lt;=0),0,IF((YEAR(D54)+19)&lt;YEAR(E54),0,IF((YEAR(D54)+19)&gt;=YEAR(E54)+N54,0,IF((YEAR(D54)+19)=YEAR(E54),(12-MONTH(E54)+1)/12,1))))))))*TaxRate,0))-IF(19=0,O54,0))</f>
        <v/>
      </c>
      <c r="AM54" s="29">
        <f>IF(A54="","",((K54)*(IF(M54="",L54,IFERROR(IF(INDEX(Variablen!$I:$AT, MATCH(M54, Variablen!$A:$A, 0), MATCH((YEAR(D54)+20), Variablen!$I$3:$AT$3, 0))="",L54,INDEX(Variablen!$I:$AT, MATCH(M54, Variablen!$A:$A, 0), MATCH((YEAR(D54)+20), Variablen!$I$3:$AT$3, 0))),L54)))*(IF((YEAR(D54)+20)&lt;YEAR(E54),0,IF((YEAR(D54)+20)&gt;YEAR(E54),1,(12-MONTH(E54)+1)/12))) + (Q54)*(IF((YEAR(D54)+20)&lt;YEAR(E54),0,IF((YEAR(D54)+20)&gt;YEAR(E54),1,(12-MONTH(E54)+1)/12))))-((P54)*(IF((YEAR(D54)+20)&lt;YEAR(E54),0,IF((YEAR(D54)+20)&gt;YEAR(E54),1,(12-MONTH(E54)+1)/12))) + (R54)*(IF((YEAR(D54)+20)&lt;YEAR(E54),0,IF((YEAR(D54)+20)&gt;YEAR(E54),1,(12-MONTH(E54)+1)/12))))-(IF((((K54)*(IF(M54="",L54,IFERROR(IF(INDEX(Variablen!$I:$AT, MATCH(M54, Variablen!$A:$A, 0), MATCH((YEAR(D54)+20), Variablen!$I$3:$AT$3, 0))="",L54,INDEX(Variablen!$I:$AT, MATCH(M54, Variablen!$A:$A, 0), MATCH((YEAR(D54)+20), Variablen!$I$3:$AT$3, 0))),L54)))*(IF((YEAR(D54)+20)&lt;YEAR(E54),0,IF((YEAR(D54)+20)&gt;YEAR(E54),1,(12-MONTH(E54)+1)/12))) + (Q54)*(IF((YEAR(D54)+20)&lt;YEAR(E54),0,IF((YEAR(D54)+20)&gt;YEAR(E54),1,(12-MONTH(E54)+1)/12))))-((P54)*(IF((YEAR(D54)+20)&lt;YEAR(E54),0,IF((YEAR(D54)+20)&gt;YEAR(E54),1,(12-MONTH(E54)+1)/12))) + (R54)*(IF((YEAR(D54)+20)&lt;YEAR(E54),0,IF((YEAR(D54)+20)&gt;YEAR(E54),1,(12-MONTH(E54)+1)/12))))-(IF(OR(N54="",N54&lt;=0),0,(O54/N54)*(IF(OR(N54="",N54&lt;=0),0,IF((YEAR(D54)+20)&lt;YEAR(E54),0,IF((YEAR(D54)+20)&gt;=YEAR(E54)+N54,0,IF((YEAR(D54)+20)=YEAR(E54),(12-MONTH(E54)+1)/12,1))))))))&gt;0,(((K54)*(IF(M54="",L54,IFERROR(IF(INDEX(Variablen!$I:$AT, MATCH(M54, Variablen!$A:$A, 0), MATCH((YEAR(D54)+20), Variablen!$I$3:$AT$3, 0))="",L54,INDEX(Variablen!$I:$AT, MATCH(M54, Variablen!$A:$A, 0), MATCH((YEAR(D54)+20), Variablen!$I$3:$AT$3, 0))),L54)))*(IF((YEAR(D54)+20)&lt;YEAR(E54),0,IF((YEAR(D54)+20)&gt;YEAR(E54),1,(12-MONTH(E54)+1)/12))) + (Q54)*(IF((YEAR(D54)+20)&lt;YEAR(E54),0,IF((YEAR(D54)+20)&gt;YEAR(E54),1,(12-MONTH(E54)+1)/12))))-((P54)*(IF((YEAR(D54)+20)&lt;YEAR(E54),0,IF((YEAR(D54)+20)&gt;YEAR(E54),1,(12-MONTH(E54)+1)/12))) + (R54)*(IF((YEAR(D54)+20)&lt;YEAR(E54),0,IF((YEAR(D54)+20)&gt;YEAR(E54),1,(12-MONTH(E54)+1)/12))))-(IF(OR(N54="",N54&lt;=0),0,(O54/N54)*(IF(OR(N54="",N54&lt;=0),0,IF((YEAR(D54)+20)&lt;YEAR(E54),0,IF((YEAR(D54)+20)&gt;=YEAR(E54)+N54,0,IF((YEAR(D54)+20)=YEAR(E54),(12-MONTH(E54)+1)/12,1))))))))*TaxRate,0))-IF(20=0,O54,0))</f>
        <v/>
      </c>
      <c r="AN54" s="29">
        <f>IF(A54="","",S54)</f>
        <v/>
      </c>
      <c r="AO54" s="29">
        <f>IF(A54="","",AN54+T54)</f>
        <v/>
      </c>
      <c r="AP54" s="29">
        <f>IF(A54="","",AO54+U54)</f>
        <v/>
      </c>
      <c r="AQ54" s="29">
        <f>IF(A54="","",AP54+V54)</f>
        <v/>
      </c>
      <c r="AR54" s="29">
        <f>IF(A54="","",AQ54+W54)</f>
        <v/>
      </c>
      <c r="AS54" s="29">
        <f>IF(A54="","",AR54+X54)</f>
        <v/>
      </c>
      <c r="AT54" s="29">
        <f>IF(A54="","",AS54+Y54)</f>
        <v/>
      </c>
      <c r="AU54" s="29">
        <f>IF(A54="","",AT54+Z54)</f>
        <v/>
      </c>
      <c r="AV54" s="29">
        <f>IF(A54="","",AU54+AA54)</f>
        <v/>
      </c>
      <c r="AW54" s="29">
        <f>IF(A54="","",AV54+AB54)</f>
        <v/>
      </c>
      <c r="AX54" s="29">
        <f>IF(A54="","",AW54+AC54)</f>
        <v/>
      </c>
      <c r="AY54" s="29">
        <f>IF(A54="","",AX54+AD54)</f>
        <v/>
      </c>
      <c r="AZ54" s="29">
        <f>IF(A54="","",AY54+AE54)</f>
        <v/>
      </c>
      <c r="BA54" s="29">
        <f>IF(A54="","",AZ54+AF54)</f>
        <v/>
      </c>
      <c r="BB54" s="29">
        <f>IF(A54="","",BA54+AG54)</f>
        <v/>
      </c>
      <c r="BC54" s="29">
        <f>IF(A54="","",BB54+AH54)</f>
        <v/>
      </c>
      <c r="BD54" s="29">
        <f>IF(A54="","",BC54+AI54)</f>
        <v/>
      </c>
      <c r="BE54" s="29">
        <f>IF(A54="","",BD54+AJ54)</f>
        <v/>
      </c>
      <c r="BF54" s="29">
        <f>IF(A54="","",BE54+AK54)</f>
        <v/>
      </c>
      <c r="BG54" s="29">
        <f>IF(A54="","",BF54+AL54)</f>
        <v/>
      </c>
      <c r="BH54" s="29">
        <f>IF(A54="","",BG54+AM54)</f>
        <v/>
      </c>
      <c r="BI54" s="36">
        <f>IF(A54="","",(K54)*(IF((YEAR(D54)+0)&lt;YEAR(E54),0,IF((YEAR(D54)+0)&gt;YEAR(E54),1,(12-MONTH(E54)+1)/12)))*(1/(1+DiscountRate)^0))</f>
        <v/>
      </c>
      <c r="BJ54" s="36">
        <f>IF(A54="","",(K54)*(IF((YEAR(D54)+1)&lt;YEAR(E54),0,IF((YEAR(D54)+1)&gt;YEAR(E54),1,(12-MONTH(E54)+1)/12)))*(1/(1+DiscountRate)^1))</f>
        <v/>
      </c>
      <c r="BK54" s="36">
        <f>IF(A54="","",(K54)*(IF((YEAR(D54)+2)&lt;YEAR(E54),0,IF((YEAR(D54)+2)&gt;YEAR(E54),1,(12-MONTH(E54)+1)/12)))*(1/(1+DiscountRate)^2))</f>
        <v/>
      </c>
      <c r="BL54" s="36">
        <f>IF(A54="","",(K54)*(IF((YEAR(D54)+3)&lt;YEAR(E54),0,IF((YEAR(D54)+3)&gt;YEAR(E54),1,(12-MONTH(E54)+1)/12)))*(1/(1+DiscountRate)^3))</f>
        <v/>
      </c>
      <c r="BM54" s="36">
        <f>IF(A54="","",(K54)*(IF((YEAR(D54)+4)&lt;YEAR(E54),0,IF((YEAR(D54)+4)&gt;YEAR(E54),1,(12-MONTH(E54)+1)/12)))*(1/(1+DiscountRate)^4))</f>
        <v/>
      </c>
      <c r="BN54" s="36">
        <f>IF(A54="","",(K54)*(IF((YEAR(D54)+5)&lt;YEAR(E54),0,IF((YEAR(D54)+5)&gt;YEAR(E54),1,(12-MONTH(E54)+1)/12)))*(1/(1+DiscountRate)^5))</f>
        <v/>
      </c>
      <c r="BO54" s="36">
        <f>IF(A54="","",(K54)*(IF((YEAR(D54)+6)&lt;YEAR(E54),0,IF((YEAR(D54)+6)&gt;YEAR(E54),1,(12-MONTH(E54)+1)/12)))*(1/(1+DiscountRate)^6))</f>
        <v/>
      </c>
      <c r="BP54" s="36">
        <f>IF(A54="","",(K54)*(IF((YEAR(D54)+7)&lt;YEAR(E54),0,IF((YEAR(D54)+7)&gt;YEAR(E54),1,(12-MONTH(E54)+1)/12)))*(1/(1+DiscountRate)^7))</f>
        <v/>
      </c>
      <c r="BQ54" s="36">
        <f>IF(A54="","",(K54)*(IF((YEAR(D54)+8)&lt;YEAR(E54),0,IF((YEAR(D54)+8)&gt;YEAR(E54),1,(12-MONTH(E54)+1)/12)))*(1/(1+DiscountRate)^8))</f>
        <v/>
      </c>
      <c r="BR54" s="36">
        <f>IF(A54="","",(K54)*(IF((YEAR(D54)+9)&lt;YEAR(E54),0,IF((YEAR(D54)+9)&gt;YEAR(E54),1,(12-MONTH(E54)+1)/12)))*(1/(1+DiscountRate)^9))</f>
        <v/>
      </c>
      <c r="BS54" s="36">
        <f>IF(A54="","",(K54)*(IF((YEAR(D54)+10)&lt;YEAR(E54),0,IF((YEAR(D54)+10)&gt;YEAR(E54),1,(12-MONTH(E54)+1)/12)))*(1/(1+DiscountRate)^10))</f>
        <v/>
      </c>
      <c r="BT54" s="36">
        <f>IF(A54="","",(K54)*(IF((YEAR(D54)+11)&lt;YEAR(E54),0,IF((YEAR(D54)+11)&gt;YEAR(E54),1,(12-MONTH(E54)+1)/12)))*(1/(1+DiscountRate)^11))</f>
        <v/>
      </c>
      <c r="BU54" s="36">
        <f>IF(A54="","",(K54)*(IF((YEAR(D54)+12)&lt;YEAR(E54),0,IF((YEAR(D54)+12)&gt;YEAR(E54),1,(12-MONTH(E54)+1)/12)))*(1/(1+DiscountRate)^12))</f>
        <v/>
      </c>
      <c r="BV54" s="36">
        <f>IF(A54="","",(K54)*(IF((YEAR(D54)+13)&lt;YEAR(E54),0,IF((YEAR(D54)+13)&gt;YEAR(E54),1,(12-MONTH(E54)+1)/12)))*(1/(1+DiscountRate)^13))</f>
        <v/>
      </c>
      <c r="BW54" s="36">
        <f>IF(A54="","",(K54)*(IF((YEAR(D54)+14)&lt;YEAR(E54),0,IF((YEAR(D54)+14)&gt;YEAR(E54),1,(12-MONTH(E54)+1)/12)))*(1/(1+DiscountRate)^14))</f>
        <v/>
      </c>
      <c r="BX54" s="36">
        <f>IF(A54="","",(K54)*(IF((YEAR(D54)+15)&lt;YEAR(E54),0,IF((YEAR(D54)+15)&gt;YEAR(E54),1,(12-MONTH(E54)+1)/12)))*(1/(1+DiscountRate)^15))</f>
        <v/>
      </c>
      <c r="BY54" s="36">
        <f>IF(A54="","",(K54)*(IF((YEAR(D54)+16)&lt;YEAR(E54),0,IF((YEAR(D54)+16)&gt;YEAR(E54),1,(12-MONTH(E54)+1)/12)))*(1/(1+DiscountRate)^16))</f>
        <v/>
      </c>
      <c r="BZ54" s="36">
        <f>IF(A54="","",(K54)*(IF((YEAR(D54)+17)&lt;YEAR(E54),0,IF((YEAR(D54)+17)&gt;YEAR(E54),1,(12-MONTH(E54)+1)/12)))*(1/(1+DiscountRate)^17))</f>
        <v/>
      </c>
      <c r="CA54" s="36">
        <f>IF(A54="","",(K54)*(IF((YEAR(D54)+18)&lt;YEAR(E54),0,IF((YEAR(D54)+18)&gt;YEAR(E54),1,(12-MONTH(E54)+1)/12)))*(1/(1+DiscountRate)^18))</f>
        <v/>
      </c>
      <c r="CB54" s="36">
        <f>IF(A54="","",(K54)*(IF((YEAR(D54)+19)&lt;YEAR(E54),0,IF((YEAR(D54)+19)&gt;YEAR(E54),1,(12-MONTH(E54)+1)/12)))*(1/(1+DiscountRate)^19))</f>
        <v/>
      </c>
      <c r="CC54" s="36">
        <f>IF(A54="","",(K54)*(IF((YEAR(D54)+20)&lt;YEAR(E54),0,IF((YEAR(D54)+20)&gt;YEAR(E54),1,(12-MONTH(E54)+1)/12)))*(1/(1+DiscountRate)^20))</f>
        <v/>
      </c>
      <c r="CD54" s="29">
        <f>IF(A54="","",S54/(1+DiscountRate)^0+T54/(1+DiscountRate)^1+U54/(1+DiscountRate)^2+V54/(1+DiscountRate)^3+W54/(1+DiscountRate)^4+X54/(1+DiscountRate)^5+Y54/(1+DiscountRate)^6+Z54/(1+DiscountRate)^7+AA54/(1+DiscountRate)^8+AB54/(1+DiscountRate)^9+AC54/(1+DiscountRate)^10+AD54/(1+DiscountRate)^11+AE54/(1+DiscountRate)^12+AF54/(1+DiscountRate)^13+AG54/(1+DiscountRate)^14+AH54/(1+DiscountRate)^15+AI54/(1+DiscountRate)^16+AJ54/(1+DiscountRate)^17+AK54/(1+DiscountRate)^18+AL54/(1+DiscountRate)^19+AM54/(1+DiscountRate)^20)</f>
        <v/>
      </c>
      <c r="CE54" s="37">
        <f>IF(A54="","",IFERROR(IRR(OFFSET(S54,0,0,1,MIN(HorizonYears,20)+1)),"n/a"))</f>
        <v/>
      </c>
      <c r="CF54" s="28">
        <f>IF(A54="","",IFERROR(MATCH(TRUE,OFFSET(AN54,0,0,1,MIN(HorizonYears,20)+1)&gt;=0,0)-1,"n/a"))</f>
        <v/>
      </c>
      <c r="CG54" s="36">
        <f>IF(A54="","",SUM(OFFSET(BI54,0,0,1,MIN(HorizonYears,20)+1)))</f>
        <v/>
      </c>
      <c r="CH54" s="36">
        <f>IF(A54="","",IFERROR(-CD54/CG54,"n/a"))</f>
        <v/>
      </c>
    </row>
    <row r="55">
      <c r="A55" s="6">
        <f>Actions!A53</f>
        <v/>
      </c>
      <c r="B55" s="6">
        <f>Actions!B53</f>
        <v/>
      </c>
      <c r="C55" s="6">
        <f>Actions!D53</f>
        <v/>
      </c>
      <c r="D55" s="35">
        <f>Actions!E53</f>
        <v/>
      </c>
      <c r="E55" s="35">
        <f>Actions!F53</f>
        <v/>
      </c>
      <c r="F55" s="6">
        <f>Actions!G53</f>
        <v/>
      </c>
      <c r="G55" s="6">
        <f>Actions!H53</f>
        <v/>
      </c>
      <c r="H55" s="29">
        <f>Actions!I53</f>
        <v/>
      </c>
      <c r="I55" s="6">
        <f>Actions!J53</f>
        <v/>
      </c>
      <c r="J55" s="16">
        <f>Actions!K53</f>
        <v/>
      </c>
      <c r="K55" s="16">
        <f>IF(A55="","",IF(I55="%",H55*J55,J55))</f>
        <v/>
      </c>
      <c r="L55" s="16">
        <f>Actions!L53</f>
        <v/>
      </c>
      <c r="M55" s="6">
        <f>Actions!M53</f>
        <v/>
      </c>
      <c r="N55" s="28">
        <f>Actions!N53</f>
        <v/>
      </c>
      <c r="O55" s="29">
        <f>Actions!T53</f>
        <v/>
      </c>
      <c r="P55" s="29">
        <f>Actions!Y53</f>
        <v/>
      </c>
      <c r="Q55" s="29">
        <f>Actions!Z53</f>
        <v/>
      </c>
      <c r="R55" s="29">
        <f>Actions!AA53</f>
        <v/>
      </c>
      <c r="S55" s="29">
        <f>IF(A55="","",((K55)*(IF(M55="",L55,IFERROR(IF(INDEX(Variablen!$I:$AT, MATCH(M55, Variablen!$A:$A, 0), MATCH((YEAR(D55)+0), Variablen!$I$3:$AT$3, 0))="",L55,INDEX(Variablen!$I:$AT, MATCH(M55, Variablen!$A:$A, 0), MATCH((YEAR(D55)+0), Variablen!$I$3:$AT$3, 0))),L55)))*(IF((YEAR(D55)+0)&lt;YEAR(E55),0,IF((YEAR(D55)+0)&gt;YEAR(E55),1,(12-MONTH(E55)+1)/12))) + (Q55)*(IF((YEAR(D55)+0)&lt;YEAR(E55),0,IF((YEAR(D55)+0)&gt;YEAR(E55),1,(12-MONTH(E55)+1)/12))))-((P55)*(IF((YEAR(D55)+0)&lt;YEAR(E55),0,IF((YEAR(D55)+0)&gt;YEAR(E55),1,(12-MONTH(E55)+1)/12))) + (R55)*(IF((YEAR(D55)+0)&lt;YEAR(E55),0,IF((YEAR(D55)+0)&gt;YEAR(E55),1,(12-MONTH(E55)+1)/12))))-(IF((((K55)*(IF(M55="",L55,IFERROR(IF(INDEX(Variablen!$I:$AT, MATCH(M55, Variablen!$A:$A, 0), MATCH((YEAR(D55)+0), Variablen!$I$3:$AT$3, 0))="",L55,INDEX(Variablen!$I:$AT, MATCH(M55, Variablen!$A:$A, 0), MATCH((YEAR(D55)+0), Variablen!$I$3:$AT$3, 0))),L55)))*(IF((YEAR(D55)+0)&lt;YEAR(E55),0,IF((YEAR(D55)+0)&gt;YEAR(E55),1,(12-MONTH(E55)+1)/12))) + (Q55)*(IF((YEAR(D55)+0)&lt;YEAR(E55),0,IF((YEAR(D55)+0)&gt;YEAR(E55),1,(12-MONTH(E55)+1)/12))))-((P55)*(IF((YEAR(D55)+0)&lt;YEAR(E55),0,IF((YEAR(D55)+0)&gt;YEAR(E55),1,(12-MONTH(E55)+1)/12))) + (R55)*(IF((YEAR(D55)+0)&lt;YEAR(E55),0,IF((YEAR(D55)+0)&gt;YEAR(E55),1,(12-MONTH(E55)+1)/12))))-(IF(OR(N55="",N55&lt;=0),0,(O55/N55)*(IF(OR(N55="",N55&lt;=0),0,IF((YEAR(D55)+0)&lt;YEAR(E55),0,IF((YEAR(D55)+0)&gt;=YEAR(E55)+N55,0,IF((YEAR(D55)+0)=YEAR(E55),(12-MONTH(E55)+1)/12,1))))))))&gt;0,(((K55)*(IF(M55="",L55,IFERROR(IF(INDEX(Variablen!$I:$AT, MATCH(M55, Variablen!$A:$A, 0), MATCH((YEAR(D55)+0), Variablen!$I$3:$AT$3, 0))="",L55,INDEX(Variablen!$I:$AT, MATCH(M55, Variablen!$A:$A, 0), MATCH((YEAR(D55)+0), Variablen!$I$3:$AT$3, 0))),L55)))*(IF((YEAR(D55)+0)&lt;YEAR(E55),0,IF((YEAR(D55)+0)&gt;YEAR(E55),1,(12-MONTH(E55)+1)/12))) + (Q55)*(IF((YEAR(D55)+0)&lt;YEAR(E55),0,IF((YEAR(D55)+0)&gt;YEAR(E55),1,(12-MONTH(E55)+1)/12))))-((P55)*(IF((YEAR(D55)+0)&lt;YEAR(E55),0,IF((YEAR(D55)+0)&gt;YEAR(E55),1,(12-MONTH(E55)+1)/12))) + (R55)*(IF((YEAR(D55)+0)&lt;YEAR(E55),0,IF((YEAR(D55)+0)&gt;YEAR(E55),1,(12-MONTH(E55)+1)/12))))-(IF(OR(N55="",N55&lt;=0),0,(O55/N55)*(IF(OR(N55="",N55&lt;=0),0,IF((YEAR(D55)+0)&lt;YEAR(E55),0,IF((YEAR(D55)+0)&gt;=YEAR(E55)+N55,0,IF((YEAR(D55)+0)=YEAR(E55),(12-MONTH(E55)+1)/12,1))))))))*TaxRate,0))-IF(0=0,O55,0))</f>
        <v/>
      </c>
      <c r="T55" s="29">
        <f>IF(A55="","",((K55)*(IF(M55="",L55,IFERROR(IF(INDEX(Variablen!$I:$AT, MATCH(M55, Variablen!$A:$A, 0), MATCH((YEAR(D55)+1), Variablen!$I$3:$AT$3, 0))="",L55,INDEX(Variablen!$I:$AT, MATCH(M55, Variablen!$A:$A, 0), MATCH((YEAR(D55)+1), Variablen!$I$3:$AT$3, 0))),L55)))*(IF((YEAR(D55)+1)&lt;YEAR(E55),0,IF((YEAR(D55)+1)&gt;YEAR(E55),1,(12-MONTH(E55)+1)/12))) + (Q55)*(IF((YEAR(D55)+1)&lt;YEAR(E55),0,IF((YEAR(D55)+1)&gt;YEAR(E55),1,(12-MONTH(E55)+1)/12))))-((P55)*(IF((YEAR(D55)+1)&lt;YEAR(E55),0,IF((YEAR(D55)+1)&gt;YEAR(E55),1,(12-MONTH(E55)+1)/12))) + (R55)*(IF((YEAR(D55)+1)&lt;YEAR(E55),0,IF((YEAR(D55)+1)&gt;YEAR(E55),1,(12-MONTH(E55)+1)/12))))-(IF((((K55)*(IF(M55="",L55,IFERROR(IF(INDEX(Variablen!$I:$AT, MATCH(M55, Variablen!$A:$A, 0), MATCH((YEAR(D55)+1), Variablen!$I$3:$AT$3, 0))="",L55,INDEX(Variablen!$I:$AT, MATCH(M55, Variablen!$A:$A, 0), MATCH((YEAR(D55)+1), Variablen!$I$3:$AT$3, 0))),L55)))*(IF((YEAR(D55)+1)&lt;YEAR(E55),0,IF((YEAR(D55)+1)&gt;YEAR(E55),1,(12-MONTH(E55)+1)/12))) + (Q55)*(IF((YEAR(D55)+1)&lt;YEAR(E55),0,IF((YEAR(D55)+1)&gt;YEAR(E55),1,(12-MONTH(E55)+1)/12))))-((P55)*(IF((YEAR(D55)+1)&lt;YEAR(E55),0,IF((YEAR(D55)+1)&gt;YEAR(E55),1,(12-MONTH(E55)+1)/12))) + (R55)*(IF((YEAR(D55)+1)&lt;YEAR(E55),0,IF((YEAR(D55)+1)&gt;YEAR(E55),1,(12-MONTH(E55)+1)/12))))-(IF(OR(N55="",N55&lt;=0),0,(O55/N55)*(IF(OR(N55="",N55&lt;=0),0,IF((YEAR(D55)+1)&lt;YEAR(E55),0,IF((YEAR(D55)+1)&gt;=YEAR(E55)+N55,0,IF((YEAR(D55)+1)=YEAR(E55),(12-MONTH(E55)+1)/12,1))))))))&gt;0,(((K55)*(IF(M55="",L55,IFERROR(IF(INDEX(Variablen!$I:$AT, MATCH(M55, Variablen!$A:$A, 0), MATCH((YEAR(D55)+1), Variablen!$I$3:$AT$3, 0))="",L55,INDEX(Variablen!$I:$AT, MATCH(M55, Variablen!$A:$A, 0), MATCH((YEAR(D55)+1), Variablen!$I$3:$AT$3, 0))),L55)))*(IF((YEAR(D55)+1)&lt;YEAR(E55),0,IF((YEAR(D55)+1)&gt;YEAR(E55),1,(12-MONTH(E55)+1)/12))) + (Q55)*(IF((YEAR(D55)+1)&lt;YEAR(E55),0,IF((YEAR(D55)+1)&gt;YEAR(E55),1,(12-MONTH(E55)+1)/12))))-((P55)*(IF((YEAR(D55)+1)&lt;YEAR(E55),0,IF((YEAR(D55)+1)&gt;YEAR(E55),1,(12-MONTH(E55)+1)/12))) + (R55)*(IF((YEAR(D55)+1)&lt;YEAR(E55),0,IF((YEAR(D55)+1)&gt;YEAR(E55),1,(12-MONTH(E55)+1)/12))))-(IF(OR(N55="",N55&lt;=0),0,(O55/N55)*(IF(OR(N55="",N55&lt;=0),0,IF((YEAR(D55)+1)&lt;YEAR(E55),0,IF((YEAR(D55)+1)&gt;=YEAR(E55)+N55,0,IF((YEAR(D55)+1)=YEAR(E55),(12-MONTH(E55)+1)/12,1))))))))*TaxRate,0))-IF(1=0,O55,0))</f>
        <v/>
      </c>
      <c r="U55" s="29">
        <f>IF(A55="","",((K55)*(IF(M55="",L55,IFERROR(IF(INDEX(Variablen!$I:$AT, MATCH(M55, Variablen!$A:$A, 0), MATCH((YEAR(D55)+2), Variablen!$I$3:$AT$3, 0))="",L55,INDEX(Variablen!$I:$AT, MATCH(M55, Variablen!$A:$A, 0), MATCH((YEAR(D55)+2), Variablen!$I$3:$AT$3, 0))),L55)))*(IF((YEAR(D55)+2)&lt;YEAR(E55),0,IF((YEAR(D55)+2)&gt;YEAR(E55),1,(12-MONTH(E55)+1)/12))) + (Q55)*(IF((YEAR(D55)+2)&lt;YEAR(E55),0,IF((YEAR(D55)+2)&gt;YEAR(E55),1,(12-MONTH(E55)+1)/12))))-((P55)*(IF((YEAR(D55)+2)&lt;YEAR(E55),0,IF((YEAR(D55)+2)&gt;YEAR(E55),1,(12-MONTH(E55)+1)/12))) + (R55)*(IF((YEAR(D55)+2)&lt;YEAR(E55),0,IF((YEAR(D55)+2)&gt;YEAR(E55),1,(12-MONTH(E55)+1)/12))))-(IF((((K55)*(IF(M55="",L55,IFERROR(IF(INDEX(Variablen!$I:$AT, MATCH(M55, Variablen!$A:$A, 0), MATCH((YEAR(D55)+2), Variablen!$I$3:$AT$3, 0))="",L55,INDEX(Variablen!$I:$AT, MATCH(M55, Variablen!$A:$A, 0), MATCH((YEAR(D55)+2), Variablen!$I$3:$AT$3, 0))),L55)))*(IF((YEAR(D55)+2)&lt;YEAR(E55),0,IF((YEAR(D55)+2)&gt;YEAR(E55),1,(12-MONTH(E55)+1)/12))) + (Q55)*(IF((YEAR(D55)+2)&lt;YEAR(E55),0,IF((YEAR(D55)+2)&gt;YEAR(E55),1,(12-MONTH(E55)+1)/12))))-((P55)*(IF((YEAR(D55)+2)&lt;YEAR(E55),0,IF((YEAR(D55)+2)&gt;YEAR(E55),1,(12-MONTH(E55)+1)/12))) + (R55)*(IF((YEAR(D55)+2)&lt;YEAR(E55),0,IF((YEAR(D55)+2)&gt;YEAR(E55),1,(12-MONTH(E55)+1)/12))))-(IF(OR(N55="",N55&lt;=0),0,(O55/N55)*(IF(OR(N55="",N55&lt;=0),0,IF((YEAR(D55)+2)&lt;YEAR(E55),0,IF((YEAR(D55)+2)&gt;=YEAR(E55)+N55,0,IF((YEAR(D55)+2)=YEAR(E55),(12-MONTH(E55)+1)/12,1))))))))&gt;0,(((K55)*(IF(M55="",L55,IFERROR(IF(INDEX(Variablen!$I:$AT, MATCH(M55, Variablen!$A:$A, 0), MATCH((YEAR(D55)+2), Variablen!$I$3:$AT$3, 0))="",L55,INDEX(Variablen!$I:$AT, MATCH(M55, Variablen!$A:$A, 0), MATCH((YEAR(D55)+2), Variablen!$I$3:$AT$3, 0))),L55)))*(IF((YEAR(D55)+2)&lt;YEAR(E55),0,IF((YEAR(D55)+2)&gt;YEAR(E55),1,(12-MONTH(E55)+1)/12))) + (Q55)*(IF((YEAR(D55)+2)&lt;YEAR(E55),0,IF((YEAR(D55)+2)&gt;YEAR(E55),1,(12-MONTH(E55)+1)/12))))-((P55)*(IF((YEAR(D55)+2)&lt;YEAR(E55),0,IF((YEAR(D55)+2)&gt;YEAR(E55),1,(12-MONTH(E55)+1)/12))) + (R55)*(IF((YEAR(D55)+2)&lt;YEAR(E55),0,IF((YEAR(D55)+2)&gt;YEAR(E55),1,(12-MONTH(E55)+1)/12))))-(IF(OR(N55="",N55&lt;=0),0,(O55/N55)*(IF(OR(N55="",N55&lt;=0),0,IF((YEAR(D55)+2)&lt;YEAR(E55),0,IF((YEAR(D55)+2)&gt;=YEAR(E55)+N55,0,IF((YEAR(D55)+2)=YEAR(E55),(12-MONTH(E55)+1)/12,1))))))))*TaxRate,0))-IF(2=0,O55,0))</f>
        <v/>
      </c>
      <c r="V55" s="29">
        <f>IF(A55="","",((K55)*(IF(M55="",L55,IFERROR(IF(INDEX(Variablen!$I:$AT, MATCH(M55, Variablen!$A:$A, 0), MATCH((YEAR(D55)+3), Variablen!$I$3:$AT$3, 0))="",L55,INDEX(Variablen!$I:$AT, MATCH(M55, Variablen!$A:$A, 0), MATCH((YEAR(D55)+3), Variablen!$I$3:$AT$3, 0))),L55)))*(IF((YEAR(D55)+3)&lt;YEAR(E55),0,IF((YEAR(D55)+3)&gt;YEAR(E55),1,(12-MONTH(E55)+1)/12))) + (Q55)*(IF((YEAR(D55)+3)&lt;YEAR(E55),0,IF((YEAR(D55)+3)&gt;YEAR(E55),1,(12-MONTH(E55)+1)/12))))-((P55)*(IF((YEAR(D55)+3)&lt;YEAR(E55),0,IF((YEAR(D55)+3)&gt;YEAR(E55),1,(12-MONTH(E55)+1)/12))) + (R55)*(IF((YEAR(D55)+3)&lt;YEAR(E55),0,IF((YEAR(D55)+3)&gt;YEAR(E55),1,(12-MONTH(E55)+1)/12))))-(IF((((K55)*(IF(M55="",L55,IFERROR(IF(INDEX(Variablen!$I:$AT, MATCH(M55, Variablen!$A:$A, 0), MATCH((YEAR(D55)+3), Variablen!$I$3:$AT$3, 0))="",L55,INDEX(Variablen!$I:$AT, MATCH(M55, Variablen!$A:$A, 0), MATCH((YEAR(D55)+3), Variablen!$I$3:$AT$3, 0))),L55)))*(IF((YEAR(D55)+3)&lt;YEAR(E55),0,IF((YEAR(D55)+3)&gt;YEAR(E55),1,(12-MONTH(E55)+1)/12))) + (Q55)*(IF((YEAR(D55)+3)&lt;YEAR(E55),0,IF((YEAR(D55)+3)&gt;YEAR(E55),1,(12-MONTH(E55)+1)/12))))-((P55)*(IF((YEAR(D55)+3)&lt;YEAR(E55),0,IF((YEAR(D55)+3)&gt;YEAR(E55),1,(12-MONTH(E55)+1)/12))) + (R55)*(IF((YEAR(D55)+3)&lt;YEAR(E55),0,IF((YEAR(D55)+3)&gt;YEAR(E55),1,(12-MONTH(E55)+1)/12))))-(IF(OR(N55="",N55&lt;=0),0,(O55/N55)*(IF(OR(N55="",N55&lt;=0),0,IF((YEAR(D55)+3)&lt;YEAR(E55),0,IF((YEAR(D55)+3)&gt;=YEAR(E55)+N55,0,IF((YEAR(D55)+3)=YEAR(E55),(12-MONTH(E55)+1)/12,1))))))))&gt;0,(((K55)*(IF(M55="",L55,IFERROR(IF(INDEX(Variablen!$I:$AT, MATCH(M55, Variablen!$A:$A, 0), MATCH((YEAR(D55)+3), Variablen!$I$3:$AT$3, 0))="",L55,INDEX(Variablen!$I:$AT, MATCH(M55, Variablen!$A:$A, 0), MATCH((YEAR(D55)+3), Variablen!$I$3:$AT$3, 0))),L55)))*(IF((YEAR(D55)+3)&lt;YEAR(E55),0,IF((YEAR(D55)+3)&gt;YEAR(E55),1,(12-MONTH(E55)+1)/12))) + (Q55)*(IF((YEAR(D55)+3)&lt;YEAR(E55),0,IF((YEAR(D55)+3)&gt;YEAR(E55),1,(12-MONTH(E55)+1)/12))))-((P55)*(IF((YEAR(D55)+3)&lt;YEAR(E55),0,IF((YEAR(D55)+3)&gt;YEAR(E55),1,(12-MONTH(E55)+1)/12))) + (R55)*(IF((YEAR(D55)+3)&lt;YEAR(E55),0,IF((YEAR(D55)+3)&gt;YEAR(E55),1,(12-MONTH(E55)+1)/12))))-(IF(OR(N55="",N55&lt;=0),0,(O55/N55)*(IF(OR(N55="",N55&lt;=0),0,IF((YEAR(D55)+3)&lt;YEAR(E55),0,IF((YEAR(D55)+3)&gt;=YEAR(E55)+N55,0,IF((YEAR(D55)+3)=YEAR(E55),(12-MONTH(E55)+1)/12,1))))))))*TaxRate,0))-IF(3=0,O55,0))</f>
        <v/>
      </c>
      <c r="W55" s="29">
        <f>IF(A55="","",((K55)*(IF(M55="",L55,IFERROR(IF(INDEX(Variablen!$I:$AT, MATCH(M55, Variablen!$A:$A, 0), MATCH((YEAR(D55)+4), Variablen!$I$3:$AT$3, 0))="",L55,INDEX(Variablen!$I:$AT, MATCH(M55, Variablen!$A:$A, 0), MATCH((YEAR(D55)+4), Variablen!$I$3:$AT$3, 0))),L55)))*(IF((YEAR(D55)+4)&lt;YEAR(E55),0,IF((YEAR(D55)+4)&gt;YEAR(E55),1,(12-MONTH(E55)+1)/12))) + (Q55)*(IF((YEAR(D55)+4)&lt;YEAR(E55),0,IF((YEAR(D55)+4)&gt;YEAR(E55),1,(12-MONTH(E55)+1)/12))))-((P55)*(IF((YEAR(D55)+4)&lt;YEAR(E55),0,IF((YEAR(D55)+4)&gt;YEAR(E55),1,(12-MONTH(E55)+1)/12))) + (R55)*(IF((YEAR(D55)+4)&lt;YEAR(E55),0,IF((YEAR(D55)+4)&gt;YEAR(E55),1,(12-MONTH(E55)+1)/12))))-(IF((((K55)*(IF(M55="",L55,IFERROR(IF(INDEX(Variablen!$I:$AT, MATCH(M55, Variablen!$A:$A, 0), MATCH((YEAR(D55)+4), Variablen!$I$3:$AT$3, 0))="",L55,INDEX(Variablen!$I:$AT, MATCH(M55, Variablen!$A:$A, 0), MATCH((YEAR(D55)+4), Variablen!$I$3:$AT$3, 0))),L55)))*(IF((YEAR(D55)+4)&lt;YEAR(E55),0,IF((YEAR(D55)+4)&gt;YEAR(E55),1,(12-MONTH(E55)+1)/12))) + (Q55)*(IF((YEAR(D55)+4)&lt;YEAR(E55),0,IF((YEAR(D55)+4)&gt;YEAR(E55),1,(12-MONTH(E55)+1)/12))))-((P55)*(IF((YEAR(D55)+4)&lt;YEAR(E55),0,IF((YEAR(D55)+4)&gt;YEAR(E55),1,(12-MONTH(E55)+1)/12))) + (R55)*(IF((YEAR(D55)+4)&lt;YEAR(E55),0,IF((YEAR(D55)+4)&gt;YEAR(E55),1,(12-MONTH(E55)+1)/12))))-(IF(OR(N55="",N55&lt;=0),0,(O55/N55)*(IF(OR(N55="",N55&lt;=0),0,IF((YEAR(D55)+4)&lt;YEAR(E55),0,IF((YEAR(D55)+4)&gt;=YEAR(E55)+N55,0,IF((YEAR(D55)+4)=YEAR(E55),(12-MONTH(E55)+1)/12,1))))))))&gt;0,(((K55)*(IF(M55="",L55,IFERROR(IF(INDEX(Variablen!$I:$AT, MATCH(M55, Variablen!$A:$A, 0), MATCH((YEAR(D55)+4), Variablen!$I$3:$AT$3, 0))="",L55,INDEX(Variablen!$I:$AT, MATCH(M55, Variablen!$A:$A, 0), MATCH((YEAR(D55)+4), Variablen!$I$3:$AT$3, 0))),L55)))*(IF((YEAR(D55)+4)&lt;YEAR(E55),0,IF((YEAR(D55)+4)&gt;YEAR(E55),1,(12-MONTH(E55)+1)/12))) + (Q55)*(IF((YEAR(D55)+4)&lt;YEAR(E55),0,IF((YEAR(D55)+4)&gt;YEAR(E55),1,(12-MONTH(E55)+1)/12))))-((P55)*(IF((YEAR(D55)+4)&lt;YEAR(E55),0,IF((YEAR(D55)+4)&gt;YEAR(E55),1,(12-MONTH(E55)+1)/12))) + (R55)*(IF((YEAR(D55)+4)&lt;YEAR(E55),0,IF((YEAR(D55)+4)&gt;YEAR(E55),1,(12-MONTH(E55)+1)/12))))-(IF(OR(N55="",N55&lt;=0),0,(O55/N55)*(IF(OR(N55="",N55&lt;=0),0,IF((YEAR(D55)+4)&lt;YEAR(E55),0,IF((YEAR(D55)+4)&gt;=YEAR(E55)+N55,0,IF((YEAR(D55)+4)=YEAR(E55),(12-MONTH(E55)+1)/12,1))))))))*TaxRate,0))-IF(4=0,O55,0))</f>
        <v/>
      </c>
      <c r="X55" s="29">
        <f>IF(A55="","",((K55)*(IF(M55="",L55,IFERROR(IF(INDEX(Variablen!$I:$AT, MATCH(M55, Variablen!$A:$A, 0), MATCH((YEAR(D55)+5), Variablen!$I$3:$AT$3, 0))="",L55,INDEX(Variablen!$I:$AT, MATCH(M55, Variablen!$A:$A, 0), MATCH((YEAR(D55)+5), Variablen!$I$3:$AT$3, 0))),L55)))*(IF((YEAR(D55)+5)&lt;YEAR(E55),0,IF((YEAR(D55)+5)&gt;YEAR(E55),1,(12-MONTH(E55)+1)/12))) + (Q55)*(IF((YEAR(D55)+5)&lt;YEAR(E55),0,IF((YEAR(D55)+5)&gt;YEAR(E55),1,(12-MONTH(E55)+1)/12))))-((P55)*(IF((YEAR(D55)+5)&lt;YEAR(E55),0,IF((YEAR(D55)+5)&gt;YEAR(E55),1,(12-MONTH(E55)+1)/12))) + (R55)*(IF((YEAR(D55)+5)&lt;YEAR(E55),0,IF((YEAR(D55)+5)&gt;YEAR(E55),1,(12-MONTH(E55)+1)/12))))-(IF((((K55)*(IF(M55="",L55,IFERROR(IF(INDEX(Variablen!$I:$AT, MATCH(M55, Variablen!$A:$A, 0), MATCH((YEAR(D55)+5), Variablen!$I$3:$AT$3, 0))="",L55,INDEX(Variablen!$I:$AT, MATCH(M55, Variablen!$A:$A, 0), MATCH((YEAR(D55)+5), Variablen!$I$3:$AT$3, 0))),L55)))*(IF((YEAR(D55)+5)&lt;YEAR(E55),0,IF((YEAR(D55)+5)&gt;YEAR(E55),1,(12-MONTH(E55)+1)/12))) + (Q55)*(IF((YEAR(D55)+5)&lt;YEAR(E55),0,IF((YEAR(D55)+5)&gt;YEAR(E55),1,(12-MONTH(E55)+1)/12))))-((P55)*(IF((YEAR(D55)+5)&lt;YEAR(E55),0,IF((YEAR(D55)+5)&gt;YEAR(E55),1,(12-MONTH(E55)+1)/12))) + (R55)*(IF((YEAR(D55)+5)&lt;YEAR(E55),0,IF((YEAR(D55)+5)&gt;YEAR(E55),1,(12-MONTH(E55)+1)/12))))-(IF(OR(N55="",N55&lt;=0),0,(O55/N55)*(IF(OR(N55="",N55&lt;=0),0,IF((YEAR(D55)+5)&lt;YEAR(E55),0,IF((YEAR(D55)+5)&gt;=YEAR(E55)+N55,0,IF((YEAR(D55)+5)=YEAR(E55),(12-MONTH(E55)+1)/12,1))))))))&gt;0,(((K55)*(IF(M55="",L55,IFERROR(IF(INDEX(Variablen!$I:$AT, MATCH(M55, Variablen!$A:$A, 0), MATCH((YEAR(D55)+5), Variablen!$I$3:$AT$3, 0))="",L55,INDEX(Variablen!$I:$AT, MATCH(M55, Variablen!$A:$A, 0), MATCH((YEAR(D55)+5), Variablen!$I$3:$AT$3, 0))),L55)))*(IF((YEAR(D55)+5)&lt;YEAR(E55),0,IF((YEAR(D55)+5)&gt;YEAR(E55),1,(12-MONTH(E55)+1)/12))) + (Q55)*(IF((YEAR(D55)+5)&lt;YEAR(E55),0,IF((YEAR(D55)+5)&gt;YEAR(E55),1,(12-MONTH(E55)+1)/12))))-((P55)*(IF((YEAR(D55)+5)&lt;YEAR(E55),0,IF((YEAR(D55)+5)&gt;YEAR(E55),1,(12-MONTH(E55)+1)/12))) + (R55)*(IF((YEAR(D55)+5)&lt;YEAR(E55),0,IF((YEAR(D55)+5)&gt;YEAR(E55),1,(12-MONTH(E55)+1)/12))))-(IF(OR(N55="",N55&lt;=0),0,(O55/N55)*(IF(OR(N55="",N55&lt;=0),0,IF((YEAR(D55)+5)&lt;YEAR(E55),0,IF((YEAR(D55)+5)&gt;=YEAR(E55)+N55,0,IF((YEAR(D55)+5)=YEAR(E55),(12-MONTH(E55)+1)/12,1))))))))*TaxRate,0))-IF(5=0,O55,0))</f>
        <v/>
      </c>
      <c r="Y55" s="29">
        <f>IF(A55="","",((K55)*(IF(M55="",L55,IFERROR(IF(INDEX(Variablen!$I:$AT, MATCH(M55, Variablen!$A:$A, 0), MATCH((YEAR(D55)+6), Variablen!$I$3:$AT$3, 0))="",L55,INDEX(Variablen!$I:$AT, MATCH(M55, Variablen!$A:$A, 0), MATCH((YEAR(D55)+6), Variablen!$I$3:$AT$3, 0))),L55)))*(IF((YEAR(D55)+6)&lt;YEAR(E55),0,IF((YEAR(D55)+6)&gt;YEAR(E55),1,(12-MONTH(E55)+1)/12))) + (Q55)*(IF((YEAR(D55)+6)&lt;YEAR(E55),0,IF((YEAR(D55)+6)&gt;YEAR(E55),1,(12-MONTH(E55)+1)/12))))-((P55)*(IF((YEAR(D55)+6)&lt;YEAR(E55),0,IF((YEAR(D55)+6)&gt;YEAR(E55),1,(12-MONTH(E55)+1)/12))) + (R55)*(IF((YEAR(D55)+6)&lt;YEAR(E55),0,IF((YEAR(D55)+6)&gt;YEAR(E55),1,(12-MONTH(E55)+1)/12))))-(IF((((K55)*(IF(M55="",L55,IFERROR(IF(INDEX(Variablen!$I:$AT, MATCH(M55, Variablen!$A:$A, 0), MATCH((YEAR(D55)+6), Variablen!$I$3:$AT$3, 0))="",L55,INDEX(Variablen!$I:$AT, MATCH(M55, Variablen!$A:$A, 0), MATCH((YEAR(D55)+6), Variablen!$I$3:$AT$3, 0))),L55)))*(IF((YEAR(D55)+6)&lt;YEAR(E55),0,IF((YEAR(D55)+6)&gt;YEAR(E55),1,(12-MONTH(E55)+1)/12))) + (Q55)*(IF((YEAR(D55)+6)&lt;YEAR(E55),0,IF((YEAR(D55)+6)&gt;YEAR(E55),1,(12-MONTH(E55)+1)/12))))-((P55)*(IF((YEAR(D55)+6)&lt;YEAR(E55),0,IF((YEAR(D55)+6)&gt;YEAR(E55),1,(12-MONTH(E55)+1)/12))) + (R55)*(IF((YEAR(D55)+6)&lt;YEAR(E55),0,IF((YEAR(D55)+6)&gt;YEAR(E55),1,(12-MONTH(E55)+1)/12))))-(IF(OR(N55="",N55&lt;=0),0,(O55/N55)*(IF(OR(N55="",N55&lt;=0),0,IF((YEAR(D55)+6)&lt;YEAR(E55),0,IF((YEAR(D55)+6)&gt;=YEAR(E55)+N55,0,IF((YEAR(D55)+6)=YEAR(E55),(12-MONTH(E55)+1)/12,1))))))))&gt;0,(((K55)*(IF(M55="",L55,IFERROR(IF(INDEX(Variablen!$I:$AT, MATCH(M55, Variablen!$A:$A, 0), MATCH((YEAR(D55)+6), Variablen!$I$3:$AT$3, 0))="",L55,INDEX(Variablen!$I:$AT, MATCH(M55, Variablen!$A:$A, 0), MATCH((YEAR(D55)+6), Variablen!$I$3:$AT$3, 0))),L55)))*(IF((YEAR(D55)+6)&lt;YEAR(E55),0,IF((YEAR(D55)+6)&gt;YEAR(E55),1,(12-MONTH(E55)+1)/12))) + (Q55)*(IF((YEAR(D55)+6)&lt;YEAR(E55),0,IF((YEAR(D55)+6)&gt;YEAR(E55),1,(12-MONTH(E55)+1)/12))))-((P55)*(IF((YEAR(D55)+6)&lt;YEAR(E55),0,IF((YEAR(D55)+6)&gt;YEAR(E55),1,(12-MONTH(E55)+1)/12))) + (R55)*(IF((YEAR(D55)+6)&lt;YEAR(E55),0,IF((YEAR(D55)+6)&gt;YEAR(E55),1,(12-MONTH(E55)+1)/12))))-(IF(OR(N55="",N55&lt;=0),0,(O55/N55)*(IF(OR(N55="",N55&lt;=0),0,IF((YEAR(D55)+6)&lt;YEAR(E55),0,IF((YEAR(D55)+6)&gt;=YEAR(E55)+N55,0,IF((YEAR(D55)+6)=YEAR(E55),(12-MONTH(E55)+1)/12,1))))))))*TaxRate,0))-IF(6=0,O55,0))</f>
        <v/>
      </c>
      <c r="Z55" s="29">
        <f>IF(A55="","",((K55)*(IF(M55="",L55,IFERROR(IF(INDEX(Variablen!$I:$AT, MATCH(M55, Variablen!$A:$A, 0), MATCH((YEAR(D55)+7), Variablen!$I$3:$AT$3, 0))="",L55,INDEX(Variablen!$I:$AT, MATCH(M55, Variablen!$A:$A, 0), MATCH((YEAR(D55)+7), Variablen!$I$3:$AT$3, 0))),L55)))*(IF((YEAR(D55)+7)&lt;YEAR(E55),0,IF((YEAR(D55)+7)&gt;YEAR(E55),1,(12-MONTH(E55)+1)/12))) + (Q55)*(IF((YEAR(D55)+7)&lt;YEAR(E55),0,IF((YEAR(D55)+7)&gt;YEAR(E55),1,(12-MONTH(E55)+1)/12))))-((P55)*(IF((YEAR(D55)+7)&lt;YEAR(E55),0,IF((YEAR(D55)+7)&gt;YEAR(E55),1,(12-MONTH(E55)+1)/12))) + (R55)*(IF((YEAR(D55)+7)&lt;YEAR(E55),0,IF((YEAR(D55)+7)&gt;YEAR(E55),1,(12-MONTH(E55)+1)/12))))-(IF((((K55)*(IF(M55="",L55,IFERROR(IF(INDEX(Variablen!$I:$AT, MATCH(M55, Variablen!$A:$A, 0), MATCH((YEAR(D55)+7), Variablen!$I$3:$AT$3, 0))="",L55,INDEX(Variablen!$I:$AT, MATCH(M55, Variablen!$A:$A, 0), MATCH((YEAR(D55)+7), Variablen!$I$3:$AT$3, 0))),L55)))*(IF((YEAR(D55)+7)&lt;YEAR(E55),0,IF((YEAR(D55)+7)&gt;YEAR(E55),1,(12-MONTH(E55)+1)/12))) + (Q55)*(IF((YEAR(D55)+7)&lt;YEAR(E55),0,IF((YEAR(D55)+7)&gt;YEAR(E55),1,(12-MONTH(E55)+1)/12))))-((P55)*(IF((YEAR(D55)+7)&lt;YEAR(E55),0,IF((YEAR(D55)+7)&gt;YEAR(E55),1,(12-MONTH(E55)+1)/12))) + (R55)*(IF((YEAR(D55)+7)&lt;YEAR(E55),0,IF((YEAR(D55)+7)&gt;YEAR(E55),1,(12-MONTH(E55)+1)/12))))-(IF(OR(N55="",N55&lt;=0),0,(O55/N55)*(IF(OR(N55="",N55&lt;=0),0,IF((YEAR(D55)+7)&lt;YEAR(E55),0,IF((YEAR(D55)+7)&gt;=YEAR(E55)+N55,0,IF((YEAR(D55)+7)=YEAR(E55),(12-MONTH(E55)+1)/12,1))))))))&gt;0,(((K55)*(IF(M55="",L55,IFERROR(IF(INDEX(Variablen!$I:$AT, MATCH(M55, Variablen!$A:$A, 0), MATCH((YEAR(D55)+7), Variablen!$I$3:$AT$3, 0))="",L55,INDEX(Variablen!$I:$AT, MATCH(M55, Variablen!$A:$A, 0), MATCH((YEAR(D55)+7), Variablen!$I$3:$AT$3, 0))),L55)))*(IF((YEAR(D55)+7)&lt;YEAR(E55),0,IF((YEAR(D55)+7)&gt;YEAR(E55),1,(12-MONTH(E55)+1)/12))) + (Q55)*(IF((YEAR(D55)+7)&lt;YEAR(E55),0,IF((YEAR(D55)+7)&gt;YEAR(E55),1,(12-MONTH(E55)+1)/12))))-((P55)*(IF((YEAR(D55)+7)&lt;YEAR(E55),0,IF((YEAR(D55)+7)&gt;YEAR(E55),1,(12-MONTH(E55)+1)/12))) + (R55)*(IF((YEAR(D55)+7)&lt;YEAR(E55),0,IF((YEAR(D55)+7)&gt;YEAR(E55),1,(12-MONTH(E55)+1)/12))))-(IF(OR(N55="",N55&lt;=0),0,(O55/N55)*(IF(OR(N55="",N55&lt;=0),0,IF((YEAR(D55)+7)&lt;YEAR(E55),0,IF((YEAR(D55)+7)&gt;=YEAR(E55)+N55,0,IF((YEAR(D55)+7)=YEAR(E55),(12-MONTH(E55)+1)/12,1))))))))*TaxRate,0))-IF(7=0,O55,0))</f>
        <v/>
      </c>
      <c r="AA55" s="29">
        <f>IF(A55="","",((K55)*(IF(M55="",L55,IFERROR(IF(INDEX(Variablen!$I:$AT, MATCH(M55, Variablen!$A:$A, 0), MATCH((YEAR(D55)+8), Variablen!$I$3:$AT$3, 0))="",L55,INDEX(Variablen!$I:$AT, MATCH(M55, Variablen!$A:$A, 0), MATCH((YEAR(D55)+8), Variablen!$I$3:$AT$3, 0))),L55)))*(IF((YEAR(D55)+8)&lt;YEAR(E55),0,IF((YEAR(D55)+8)&gt;YEAR(E55),1,(12-MONTH(E55)+1)/12))) + (Q55)*(IF((YEAR(D55)+8)&lt;YEAR(E55),0,IF((YEAR(D55)+8)&gt;YEAR(E55),1,(12-MONTH(E55)+1)/12))))-((P55)*(IF((YEAR(D55)+8)&lt;YEAR(E55),0,IF((YEAR(D55)+8)&gt;YEAR(E55),1,(12-MONTH(E55)+1)/12))) + (R55)*(IF((YEAR(D55)+8)&lt;YEAR(E55),0,IF((YEAR(D55)+8)&gt;YEAR(E55),1,(12-MONTH(E55)+1)/12))))-(IF((((K55)*(IF(M55="",L55,IFERROR(IF(INDEX(Variablen!$I:$AT, MATCH(M55, Variablen!$A:$A, 0), MATCH((YEAR(D55)+8), Variablen!$I$3:$AT$3, 0))="",L55,INDEX(Variablen!$I:$AT, MATCH(M55, Variablen!$A:$A, 0), MATCH((YEAR(D55)+8), Variablen!$I$3:$AT$3, 0))),L55)))*(IF((YEAR(D55)+8)&lt;YEAR(E55),0,IF((YEAR(D55)+8)&gt;YEAR(E55),1,(12-MONTH(E55)+1)/12))) + (Q55)*(IF((YEAR(D55)+8)&lt;YEAR(E55),0,IF((YEAR(D55)+8)&gt;YEAR(E55),1,(12-MONTH(E55)+1)/12))))-((P55)*(IF((YEAR(D55)+8)&lt;YEAR(E55),0,IF((YEAR(D55)+8)&gt;YEAR(E55),1,(12-MONTH(E55)+1)/12))) + (R55)*(IF((YEAR(D55)+8)&lt;YEAR(E55),0,IF((YEAR(D55)+8)&gt;YEAR(E55),1,(12-MONTH(E55)+1)/12))))-(IF(OR(N55="",N55&lt;=0),0,(O55/N55)*(IF(OR(N55="",N55&lt;=0),0,IF((YEAR(D55)+8)&lt;YEAR(E55),0,IF((YEAR(D55)+8)&gt;=YEAR(E55)+N55,0,IF((YEAR(D55)+8)=YEAR(E55),(12-MONTH(E55)+1)/12,1))))))))&gt;0,(((K55)*(IF(M55="",L55,IFERROR(IF(INDEX(Variablen!$I:$AT, MATCH(M55, Variablen!$A:$A, 0), MATCH((YEAR(D55)+8), Variablen!$I$3:$AT$3, 0))="",L55,INDEX(Variablen!$I:$AT, MATCH(M55, Variablen!$A:$A, 0), MATCH((YEAR(D55)+8), Variablen!$I$3:$AT$3, 0))),L55)))*(IF((YEAR(D55)+8)&lt;YEAR(E55),0,IF((YEAR(D55)+8)&gt;YEAR(E55),1,(12-MONTH(E55)+1)/12))) + (Q55)*(IF((YEAR(D55)+8)&lt;YEAR(E55),0,IF((YEAR(D55)+8)&gt;YEAR(E55),1,(12-MONTH(E55)+1)/12))))-((P55)*(IF((YEAR(D55)+8)&lt;YEAR(E55),0,IF((YEAR(D55)+8)&gt;YEAR(E55),1,(12-MONTH(E55)+1)/12))) + (R55)*(IF((YEAR(D55)+8)&lt;YEAR(E55),0,IF((YEAR(D55)+8)&gt;YEAR(E55),1,(12-MONTH(E55)+1)/12))))-(IF(OR(N55="",N55&lt;=0),0,(O55/N55)*(IF(OR(N55="",N55&lt;=0),0,IF((YEAR(D55)+8)&lt;YEAR(E55),0,IF((YEAR(D55)+8)&gt;=YEAR(E55)+N55,0,IF((YEAR(D55)+8)=YEAR(E55),(12-MONTH(E55)+1)/12,1))))))))*TaxRate,0))-IF(8=0,O55,0))</f>
        <v/>
      </c>
      <c r="AB55" s="29">
        <f>IF(A55="","",((K55)*(IF(M55="",L55,IFERROR(IF(INDEX(Variablen!$I:$AT, MATCH(M55, Variablen!$A:$A, 0), MATCH((YEAR(D55)+9), Variablen!$I$3:$AT$3, 0))="",L55,INDEX(Variablen!$I:$AT, MATCH(M55, Variablen!$A:$A, 0), MATCH((YEAR(D55)+9), Variablen!$I$3:$AT$3, 0))),L55)))*(IF((YEAR(D55)+9)&lt;YEAR(E55),0,IF((YEAR(D55)+9)&gt;YEAR(E55),1,(12-MONTH(E55)+1)/12))) + (Q55)*(IF((YEAR(D55)+9)&lt;YEAR(E55),0,IF((YEAR(D55)+9)&gt;YEAR(E55),1,(12-MONTH(E55)+1)/12))))-((P55)*(IF((YEAR(D55)+9)&lt;YEAR(E55),0,IF((YEAR(D55)+9)&gt;YEAR(E55),1,(12-MONTH(E55)+1)/12))) + (R55)*(IF((YEAR(D55)+9)&lt;YEAR(E55),0,IF((YEAR(D55)+9)&gt;YEAR(E55),1,(12-MONTH(E55)+1)/12))))-(IF((((K55)*(IF(M55="",L55,IFERROR(IF(INDEX(Variablen!$I:$AT, MATCH(M55, Variablen!$A:$A, 0), MATCH((YEAR(D55)+9), Variablen!$I$3:$AT$3, 0))="",L55,INDEX(Variablen!$I:$AT, MATCH(M55, Variablen!$A:$A, 0), MATCH((YEAR(D55)+9), Variablen!$I$3:$AT$3, 0))),L55)))*(IF((YEAR(D55)+9)&lt;YEAR(E55),0,IF((YEAR(D55)+9)&gt;YEAR(E55),1,(12-MONTH(E55)+1)/12))) + (Q55)*(IF((YEAR(D55)+9)&lt;YEAR(E55),0,IF((YEAR(D55)+9)&gt;YEAR(E55),1,(12-MONTH(E55)+1)/12))))-((P55)*(IF((YEAR(D55)+9)&lt;YEAR(E55),0,IF((YEAR(D55)+9)&gt;YEAR(E55),1,(12-MONTH(E55)+1)/12))) + (R55)*(IF((YEAR(D55)+9)&lt;YEAR(E55),0,IF((YEAR(D55)+9)&gt;YEAR(E55),1,(12-MONTH(E55)+1)/12))))-(IF(OR(N55="",N55&lt;=0),0,(O55/N55)*(IF(OR(N55="",N55&lt;=0),0,IF((YEAR(D55)+9)&lt;YEAR(E55),0,IF((YEAR(D55)+9)&gt;=YEAR(E55)+N55,0,IF((YEAR(D55)+9)=YEAR(E55),(12-MONTH(E55)+1)/12,1))))))))&gt;0,(((K55)*(IF(M55="",L55,IFERROR(IF(INDEX(Variablen!$I:$AT, MATCH(M55, Variablen!$A:$A, 0), MATCH((YEAR(D55)+9), Variablen!$I$3:$AT$3, 0))="",L55,INDEX(Variablen!$I:$AT, MATCH(M55, Variablen!$A:$A, 0), MATCH((YEAR(D55)+9), Variablen!$I$3:$AT$3, 0))),L55)))*(IF((YEAR(D55)+9)&lt;YEAR(E55),0,IF((YEAR(D55)+9)&gt;YEAR(E55),1,(12-MONTH(E55)+1)/12))) + (Q55)*(IF((YEAR(D55)+9)&lt;YEAR(E55),0,IF((YEAR(D55)+9)&gt;YEAR(E55),1,(12-MONTH(E55)+1)/12))))-((P55)*(IF((YEAR(D55)+9)&lt;YEAR(E55),0,IF((YEAR(D55)+9)&gt;YEAR(E55),1,(12-MONTH(E55)+1)/12))) + (R55)*(IF((YEAR(D55)+9)&lt;YEAR(E55),0,IF((YEAR(D55)+9)&gt;YEAR(E55),1,(12-MONTH(E55)+1)/12))))-(IF(OR(N55="",N55&lt;=0),0,(O55/N55)*(IF(OR(N55="",N55&lt;=0),0,IF((YEAR(D55)+9)&lt;YEAR(E55),0,IF((YEAR(D55)+9)&gt;=YEAR(E55)+N55,0,IF((YEAR(D55)+9)=YEAR(E55),(12-MONTH(E55)+1)/12,1))))))))*TaxRate,0))-IF(9=0,O55,0))</f>
        <v/>
      </c>
      <c r="AC55" s="29">
        <f>IF(A55="","",((K55)*(IF(M55="",L55,IFERROR(IF(INDEX(Variablen!$I:$AT, MATCH(M55, Variablen!$A:$A, 0), MATCH((YEAR(D55)+10), Variablen!$I$3:$AT$3, 0))="",L55,INDEX(Variablen!$I:$AT, MATCH(M55, Variablen!$A:$A, 0), MATCH((YEAR(D55)+10), Variablen!$I$3:$AT$3, 0))),L55)))*(IF((YEAR(D55)+10)&lt;YEAR(E55),0,IF((YEAR(D55)+10)&gt;YEAR(E55),1,(12-MONTH(E55)+1)/12))) + (Q55)*(IF((YEAR(D55)+10)&lt;YEAR(E55),0,IF((YEAR(D55)+10)&gt;YEAR(E55),1,(12-MONTH(E55)+1)/12))))-((P55)*(IF((YEAR(D55)+10)&lt;YEAR(E55),0,IF((YEAR(D55)+10)&gt;YEAR(E55),1,(12-MONTH(E55)+1)/12))) + (R55)*(IF((YEAR(D55)+10)&lt;YEAR(E55),0,IF((YEAR(D55)+10)&gt;YEAR(E55),1,(12-MONTH(E55)+1)/12))))-(IF((((K55)*(IF(M55="",L55,IFERROR(IF(INDEX(Variablen!$I:$AT, MATCH(M55, Variablen!$A:$A, 0), MATCH((YEAR(D55)+10), Variablen!$I$3:$AT$3, 0))="",L55,INDEX(Variablen!$I:$AT, MATCH(M55, Variablen!$A:$A, 0), MATCH((YEAR(D55)+10), Variablen!$I$3:$AT$3, 0))),L55)))*(IF((YEAR(D55)+10)&lt;YEAR(E55),0,IF((YEAR(D55)+10)&gt;YEAR(E55),1,(12-MONTH(E55)+1)/12))) + (Q55)*(IF((YEAR(D55)+10)&lt;YEAR(E55),0,IF((YEAR(D55)+10)&gt;YEAR(E55),1,(12-MONTH(E55)+1)/12))))-((P55)*(IF((YEAR(D55)+10)&lt;YEAR(E55),0,IF((YEAR(D55)+10)&gt;YEAR(E55),1,(12-MONTH(E55)+1)/12))) + (R55)*(IF((YEAR(D55)+10)&lt;YEAR(E55),0,IF((YEAR(D55)+10)&gt;YEAR(E55),1,(12-MONTH(E55)+1)/12))))-(IF(OR(N55="",N55&lt;=0),0,(O55/N55)*(IF(OR(N55="",N55&lt;=0),0,IF((YEAR(D55)+10)&lt;YEAR(E55),0,IF((YEAR(D55)+10)&gt;=YEAR(E55)+N55,0,IF((YEAR(D55)+10)=YEAR(E55),(12-MONTH(E55)+1)/12,1))))))))&gt;0,(((K55)*(IF(M55="",L55,IFERROR(IF(INDEX(Variablen!$I:$AT, MATCH(M55, Variablen!$A:$A, 0), MATCH((YEAR(D55)+10), Variablen!$I$3:$AT$3, 0))="",L55,INDEX(Variablen!$I:$AT, MATCH(M55, Variablen!$A:$A, 0), MATCH((YEAR(D55)+10), Variablen!$I$3:$AT$3, 0))),L55)))*(IF((YEAR(D55)+10)&lt;YEAR(E55),0,IF((YEAR(D55)+10)&gt;YEAR(E55),1,(12-MONTH(E55)+1)/12))) + (Q55)*(IF((YEAR(D55)+10)&lt;YEAR(E55),0,IF((YEAR(D55)+10)&gt;YEAR(E55),1,(12-MONTH(E55)+1)/12))))-((P55)*(IF((YEAR(D55)+10)&lt;YEAR(E55),0,IF((YEAR(D55)+10)&gt;YEAR(E55),1,(12-MONTH(E55)+1)/12))) + (R55)*(IF((YEAR(D55)+10)&lt;YEAR(E55),0,IF((YEAR(D55)+10)&gt;YEAR(E55),1,(12-MONTH(E55)+1)/12))))-(IF(OR(N55="",N55&lt;=0),0,(O55/N55)*(IF(OR(N55="",N55&lt;=0),0,IF((YEAR(D55)+10)&lt;YEAR(E55),0,IF((YEAR(D55)+10)&gt;=YEAR(E55)+N55,0,IF((YEAR(D55)+10)=YEAR(E55),(12-MONTH(E55)+1)/12,1))))))))*TaxRate,0))-IF(10=0,O55,0))</f>
        <v/>
      </c>
      <c r="AD55" s="29">
        <f>IF(A55="","",((K55)*(IF(M55="",L55,IFERROR(IF(INDEX(Variablen!$I:$AT, MATCH(M55, Variablen!$A:$A, 0), MATCH((YEAR(D55)+11), Variablen!$I$3:$AT$3, 0))="",L55,INDEX(Variablen!$I:$AT, MATCH(M55, Variablen!$A:$A, 0), MATCH((YEAR(D55)+11), Variablen!$I$3:$AT$3, 0))),L55)))*(IF((YEAR(D55)+11)&lt;YEAR(E55),0,IF((YEAR(D55)+11)&gt;YEAR(E55),1,(12-MONTH(E55)+1)/12))) + (Q55)*(IF((YEAR(D55)+11)&lt;YEAR(E55),0,IF((YEAR(D55)+11)&gt;YEAR(E55),1,(12-MONTH(E55)+1)/12))))-((P55)*(IF((YEAR(D55)+11)&lt;YEAR(E55),0,IF((YEAR(D55)+11)&gt;YEAR(E55),1,(12-MONTH(E55)+1)/12))) + (R55)*(IF((YEAR(D55)+11)&lt;YEAR(E55),0,IF((YEAR(D55)+11)&gt;YEAR(E55),1,(12-MONTH(E55)+1)/12))))-(IF((((K55)*(IF(M55="",L55,IFERROR(IF(INDEX(Variablen!$I:$AT, MATCH(M55, Variablen!$A:$A, 0), MATCH((YEAR(D55)+11), Variablen!$I$3:$AT$3, 0))="",L55,INDEX(Variablen!$I:$AT, MATCH(M55, Variablen!$A:$A, 0), MATCH((YEAR(D55)+11), Variablen!$I$3:$AT$3, 0))),L55)))*(IF((YEAR(D55)+11)&lt;YEAR(E55),0,IF((YEAR(D55)+11)&gt;YEAR(E55),1,(12-MONTH(E55)+1)/12))) + (Q55)*(IF((YEAR(D55)+11)&lt;YEAR(E55),0,IF((YEAR(D55)+11)&gt;YEAR(E55),1,(12-MONTH(E55)+1)/12))))-((P55)*(IF((YEAR(D55)+11)&lt;YEAR(E55),0,IF((YEAR(D55)+11)&gt;YEAR(E55),1,(12-MONTH(E55)+1)/12))) + (R55)*(IF((YEAR(D55)+11)&lt;YEAR(E55),0,IF((YEAR(D55)+11)&gt;YEAR(E55),1,(12-MONTH(E55)+1)/12))))-(IF(OR(N55="",N55&lt;=0),0,(O55/N55)*(IF(OR(N55="",N55&lt;=0),0,IF((YEAR(D55)+11)&lt;YEAR(E55),0,IF((YEAR(D55)+11)&gt;=YEAR(E55)+N55,0,IF((YEAR(D55)+11)=YEAR(E55),(12-MONTH(E55)+1)/12,1))))))))&gt;0,(((K55)*(IF(M55="",L55,IFERROR(IF(INDEX(Variablen!$I:$AT, MATCH(M55, Variablen!$A:$A, 0), MATCH((YEAR(D55)+11), Variablen!$I$3:$AT$3, 0))="",L55,INDEX(Variablen!$I:$AT, MATCH(M55, Variablen!$A:$A, 0), MATCH((YEAR(D55)+11), Variablen!$I$3:$AT$3, 0))),L55)))*(IF((YEAR(D55)+11)&lt;YEAR(E55),0,IF((YEAR(D55)+11)&gt;YEAR(E55),1,(12-MONTH(E55)+1)/12))) + (Q55)*(IF((YEAR(D55)+11)&lt;YEAR(E55),0,IF((YEAR(D55)+11)&gt;YEAR(E55),1,(12-MONTH(E55)+1)/12))))-((P55)*(IF((YEAR(D55)+11)&lt;YEAR(E55),0,IF((YEAR(D55)+11)&gt;YEAR(E55),1,(12-MONTH(E55)+1)/12))) + (R55)*(IF((YEAR(D55)+11)&lt;YEAR(E55),0,IF((YEAR(D55)+11)&gt;YEAR(E55),1,(12-MONTH(E55)+1)/12))))-(IF(OR(N55="",N55&lt;=0),0,(O55/N55)*(IF(OR(N55="",N55&lt;=0),0,IF((YEAR(D55)+11)&lt;YEAR(E55),0,IF((YEAR(D55)+11)&gt;=YEAR(E55)+N55,0,IF((YEAR(D55)+11)=YEAR(E55),(12-MONTH(E55)+1)/12,1))))))))*TaxRate,0))-IF(11=0,O55,0))</f>
        <v/>
      </c>
      <c r="AE55" s="29">
        <f>IF(A55="","",((K55)*(IF(M55="",L55,IFERROR(IF(INDEX(Variablen!$I:$AT, MATCH(M55, Variablen!$A:$A, 0), MATCH((YEAR(D55)+12), Variablen!$I$3:$AT$3, 0))="",L55,INDEX(Variablen!$I:$AT, MATCH(M55, Variablen!$A:$A, 0), MATCH((YEAR(D55)+12), Variablen!$I$3:$AT$3, 0))),L55)))*(IF((YEAR(D55)+12)&lt;YEAR(E55),0,IF((YEAR(D55)+12)&gt;YEAR(E55),1,(12-MONTH(E55)+1)/12))) + (Q55)*(IF((YEAR(D55)+12)&lt;YEAR(E55),0,IF((YEAR(D55)+12)&gt;YEAR(E55),1,(12-MONTH(E55)+1)/12))))-((P55)*(IF((YEAR(D55)+12)&lt;YEAR(E55),0,IF((YEAR(D55)+12)&gt;YEAR(E55),1,(12-MONTH(E55)+1)/12))) + (R55)*(IF((YEAR(D55)+12)&lt;YEAR(E55),0,IF((YEAR(D55)+12)&gt;YEAR(E55),1,(12-MONTH(E55)+1)/12))))-(IF((((K55)*(IF(M55="",L55,IFERROR(IF(INDEX(Variablen!$I:$AT, MATCH(M55, Variablen!$A:$A, 0), MATCH((YEAR(D55)+12), Variablen!$I$3:$AT$3, 0))="",L55,INDEX(Variablen!$I:$AT, MATCH(M55, Variablen!$A:$A, 0), MATCH((YEAR(D55)+12), Variablen!$I$3:$AT$3, 0))),L55)))*(IF((YEAR(D55)+12)&lt;YEAR(E55),0,IF((YEAR(D55)+12)&gt;YEAR(E55),1,(12-MONTH(E55)+1)/12))) + (Q55)*(IF((YEAR(D55)+12)&lt;YEAR(E55),0,IF((YEAR(D55)+12)&gt;YEAR(E55),1,(12-MONTH(E55)+1)/12))))-((P55)*(IF((YEAR(D55)+12)&lt;YEAR(E55),0,IF((YEAR(D55)+12)&gt;YEAR(E55),1,(12-MONTH(E55)+1)/12))) + (R55)*(IF((YEAR(D55)+12)&lt;YEAR(E55),0,IF((YEAR(D55)+12)&gt;YEAR(E55),1,(12-MONTH(E55)+1)/12))))-(IF(OR(N55="",N55&lt;=0),0,(O55/N55)*(IF(OR(N55="",N55&lt;=0),0,IF((YEAR(D55)+12)&lt;YEAR(E55),0,IF((YEAR(D55)+12)&gt;=YEAR(E55)+N55,0,IF((YEAR(D55)+12)=YEAR(E55),(12-MONTH(E55)+1)/12,1))))))))&gt;0,(((K55)*(IF(M55="",L55,IFERROR(IF(INDEX(Variablen!$I:$AT, MATCH(M55, Variablen!$A:$A, 0), MATCH((YEAR(D55)+12), Variablen!$I$3:$AT$3, 0))="",L55,INDEX(Variablen!$I:$AT, MATCH(M55, Variablen!$A:$A, 0), MATCH((YEAR(D55)+12), Variablen!$I$3:$AT$3, 0))),L55)))*(IF((YEAR(D55)+12)&lt;YEAR(E55),0,IF((YEAR(D55)+12)&gt;YEAR(E55),1,(12-MONTH(E55)+1)/12))) + (Q55)*(IF((YEAR(D55)+12)&lt;YEAR(E55),0,IF((YEAR(D55)+12)&gt;YEAR(E55),1,(12-MONTH(E55)+1)/12))))-((P55)*(IF((YEAR(D55)+12)&lt;YEAR(E55),0,IF((YEAR(D55)+12)&gt;YEAR(E55),1,(12-MONTH(E55)+1)/12))) + (R55)*(IF((YEAR(D55)+12)&lt;YEAR(E55),0,IF((YEAR(D55)+12)&gt;YEAR(E55),1,(12-MONTH(E55)+1)/12))))-(IF(OR(N55="",N55&lt;=0),0,(O55/N55)*(IF(OR(N55="",N55&lt;=0),0,IF((YEAR(D55)+12)&lt;YEAR(E55),0,IF((YEAR(D55)+12)&gt;=YEAR(E55)+N55,0,IF((YEAR(D55)+12)=YEAR(E55),(12-MONTH(E55)+1)/12,1))))))))*TaxRate,0))-IF(12=0,O55,0))</f>
        <v/>
      </c>
      <c r="AF55" s="29">
        <f>IF(A55="","",((K55)*(IF(M55="",L55,IFERROR(IF(INDEX(Variablen!$I:$AT, MATCH(M55, Variablen!$A:$A, 0), MATCH((YEAR(D55)+13), Variablen!$I$3:$AT$3, 0))="",L55,INDEX(Variablen!$I:$AT, MATCH(M55, Variablen!$A:$A, 0), MATCH((YEAR(D55)+13), Variablen!$I$3:$AT$3, 0))),L55)))*(IF((YEAR(D55)+13)&lt;YEAR(E55),0,IF((YEAR(D55)+13)&gt;YEAR(E55),1,(12-MONTH(E55)+1)/12))) + (Q55)*(IF((YEAR(D55)+13)&lt;YEAR(E55),0,IF((YEAR(D55)+13)&gt;YEAR(E55),1,(12-MONTH(E55)+1)/12))))-((P55)*(IF((YEAR(D55)+13)&lt;YEAR(E55),0,IF((YEAR(D55)+13)&gt;YEAR(E55),1,(12-MONTH(E55)+1)/12))) + (R55)*(IF((YEAR(D55)+13)&lt;YEAR(E55),0,IF((YEAR(D55)+13)&gt;YEAR(E55),1,(12-MONTH(E55)+1)/12))))-(IF((((K55)*(IF(M55="",L55,IFERROR(IF(INDEX(Variablen!$I:$AT, MATCH(M55, Variablen!$A:$A, 0), MATCH((YEAR(D55)+13), Variablen!$I$3:$AT$3, 0))="",L55,INDEX(Variablen!$I:$AT, MATCH(M55, Variablen!$A:$A, 0), MATCH((YEAR(D55)+13), Variablen!$I$3:$AT$3, 0))),L55)))*(IF((YEAR(D55)+13)&lt;YEAR(E55),0,IF((YEAR(D55)+13)&gt;YEAR(E55),1,(12-MONTH(E55)+1)/12))) + (Q55)*(IF((YEAR(D55)+13)&lt;YEAR(E55),0,IF((YEAR(D55)+13)&gt;YEAR(E55),1,(12-MONTH(E55)+1)/12))))-((P55)*(IF((YEAR(D55)+13)&lt;YEAR(E55),0,IF((YEAR(D55)+13)&gt;YEAR(E55),1,(12-MONTH(E55)+1)/12))) + (R55)*(IF((YEAR(D55)+13)&lt;YEAR(E55),0,IF((YEAR(D55)+13)&gt;YEAR(E55),1,(12-MONTH(E55)+1)/12))))-(IF(OR(N55="",N55&lt;=0),0,(O55/N55)*(IF(OR(N55="",N55&lt;=0),0,IF((YEAR(D55)+13)&lt;YEAR(E55),0,IF((YEAR(D55)+13)&gt;=YEAR(E55)+N55,0,IF((YEAR(D55)+13)=YEAR(E55),(12-MONTH(E55)+1)/12,1))))))))&gt;0,(((K55)*(IF(M55="",L55,IFERROR(IF(INDEX(Variablen!$I:$AT, MATCH(M55, Variablen!$A:$A, 0), MATCH((YEAR(D55)+13), Variablen!$I$3:$AT$3, 0))="",L55,INDEX(Variablen!$I:$AT, MATCH(M55, Variablen!$A:$A, 0), MATCH((YEAR(D55)+13), Variablen!$I$3:$AT$3, 0))),L55)))*(IF((YEAR(D55)+13)&lt;YEAR(E55),0,IF((YEAR(D55)+13)&gt;YEAR(E55),1,(12-MONTH(E55)+1)/12))) + (Q55)*(IF((YEAR(D55)+13)&lt;YEAR(E55),0,IF((YEAR(D55)+13)&gt;YEAR(E55),1,(12-MONTH(E55)+1)/12))))-((P55)*(IF((YEAR(D55)+13)&lt;YEAR(E55),0,IF((YEAR(D55)+13)&gt;YEAR(E55),1,(12-MONTH(E55)+1)/12))) + (R55)*(IF((YEAR(D55)+13)&lt;YEAR(E55),0,IF((YEAR(D55)+13)&gt;YEAR(E55),1,(12-MONTH(E55)+1)/12))))-(IF(OR(N55="",N55&lt;=0),0,(O55/N55)*(IF(OR(N55="",N55&lt;=0),0,IF((YEAR(D55)+13)&lt;YEAR(E55),0,IF((YEAR(D55)+13)&gt;=YEAR(E55)+N55,0,IF((YEAR(D55)+13)=YEAR(E55),(12-MONTH(E55)+1)/12,1))))))))*TaxRate,0))-IF(13=0,O55,0))</f>
        <v/>
      </c>
      <c r="AG55" s="29">
        <f>IF(A55="","",((K55)*(IF(M55="",L55,IFERROR(IF(INDEX(Variablen!$I:$AT, MATCH(M55, Variablen!$A:$A, 0), MATCH((YEAR(D55)+14), Variablen!$I$3:$AT$3, 0))="",L55,INDEX(Variablen!$I:$AT, MATCH(M55, Variablen!$A:$A, 0), MATCH((YEAR(D55)+14), Variablen!$I$3:$AT$3, 0))),L55)))*(IF((YEAR(D55)+14)&lt;YEAR(E55),0,IF((YEAR(D55)+14)&gt;YEAR(E55),1,(12-MONTH(E55)+1)/12))) + (Q55)*(IF((YEAR(D55)+14)&lt;YEAR(E55),0,IF((YEAR(D55)+14)&gt;YEAR(E55),1,(12-MONTH(E55)+1)/12))))-((P55)*(IF((YEAR(D55)+14)&lt;YEAR(E55),0,IF((YEAR(D55)+14)&gt;YEAR(E55),1,(12-MONTH(E55)+1)/12))) + (R55)*(IF((YEAR(D55)+14)&lt;YEAR(E55),0,IF((YEAR(D55)+14)&gt;YEAR(E55),1,(12-MONTH(E55)+1)/12))))-(IF((((K55)*(IF(M55="",L55,IFERROR(IF(INDEX(Variablen!$I:$AT, MATCH(M55, Variablen!$A:$A, 0), MATCH((YEAR(D55)+14), Variablen!$I$3:$AT$3, 0))="",L55,INDEX(Variablen!$I:$AT, MATCH(M55, Variablen!$A:$A, 0), MATCH((YEAR(D55)+14), Variablen!$I$3:$AT$3, 0))),L55)))*(IF((YEAR(D55)+14)&lt;YEAR(E55),0,IF((YEAR(D55)+14)&gt;YEAR(E55),1,(12-MONTH(E55)+1)/12))) + (Q55)*(IF((YEAR(D55)+14)&lt;YEAR(E55),0,IF((YEAR(D55)+14)&gt;YEAR(E55),1,(12-MONTH(E55)+1)/12))))-((P55)*(IF((YEAR(D55)+14)&lt;YEAR(E55),0,IF((YEAR(D55)+14)&gt;YEAR(E55),1,(12-MONTH(E55)+1)/12))) + (R55)*(IF((YEAR(D55)+14)&lt;YEAR(E55),0,IF((YEAR(D55)+14)&gt;YEAR(E55),1,(12-MONTH(E55)+1)/12))))-(IF(OR(N55="",N55&lt;=0),0,(O55/N55)*(IF(OR(N55="",N55&lt;=0),0,IF((YEAR(D55)+14)&lt;YEAR(E55),0,IF((YEAR(D55)+14)&gt;=YEAR(E55)+N55,0,IF((YEAR(D55)+14)=YEAR(E55),(12-MONTH(E55)+1)/12,1))))))))&gt;0,(((K55)*(IF(M55="",L55,IFERROR(IF(INDEX(Variablen!$I:$AT, MATCH(M55, Variablen!$A:$A, 0), MATCH((YEAR(D55)+14), Variablen!$I$3:$AT$3, 0))="",L55,INDEX(Variablen!$I:$AT, MATCH(M55, Variablen!$A:$A, 0), MATCH((YEAR(D55)+14), Variablen!$I$3:$AT$3, 0))),L55)))*(IF((YEAR(D55)+14)&lt;YEAR(E55),0,IF((YEAR(D55)+14)&gt;YEAR(E55),1,(12-MONTH(E55)+1)/12))) + (Q55)*(IF((YEAR(D55)+14)&lt;YEAR(E55),0,IF((YEAR(D55)+14)&gt;YEAR(E55),1,(12-MONTH(E55)+1)/12))))-((P55)*(IF((YEAR(D55)+14)&lt;YEAR(E55),0,IF((YEAR(D55)+14)&gt;YEAR(E55),1,(12-MONTH(E55)+1)/12))) + (R55)*(IF((YEAR(D55)+14)&lt;YEAR(E55),0,IF((YEAR(D55)+14)&gt;YEAR(E55),1,(12-MONTH(E55)+1)/12))))-(IF(OR(N55="",N55&lt;=0),0,(O55/N55)*(IF(OR(N55="",N55&lt;=0),0,IF((YEAR(D55)+14)&lt;YEAR(E55),0,IF((YEAR(D55)+14)&gt;=YEAR(E55)+N55,0,IF((YEAR(D55)+14)=YEAR(E55),(12-MONTH(E55)+1)/12,1))))))))*TaxRate,0))-IF(14=0,O55,0))</f>
        <v/>
      </c>
      <c r="AH55" s="29">
        <f>IF(A55="","",((K55)*(IF(M55="",L55,IFERROR(IF(INDEX(Variablen!$I:$AT, MATCH(M55, Variablen!$A:$A, 0), MATCH((YEAR(D55)+15), Variablen!$I$3:$AT$3, 0))="",L55,INDEX(Variablen!$I:$AT, MATCH(M55, Variablen!$A:$A, 0), MATCH((YEAR(D55)+15), Variablen!$I$3:$AT$3, 0))),L55)))*(IF((YEAR(D55)+15)&lt;YEAR(E55),0,IF((YEAR(D55)+15)&gt;YEAR(E55),1,(12-MONTH(E55)+1)/12))) + (Q55)*(IF((YEAR(D55)+15)&lt;YEAR(E55),0,IF((YEAR(D55)+15)&gt;YEAR(E55),1,(12-MONTH(E55)+1)/12))))-((P55)*(IF((YEAR(D55)+15)&lt;YEAR(E55),0,IF((YEAR(D55)+15)&gt;YEAR(E55),1,(12-MONTH(E55)+1)/12))) + (R55)*(IF((YEAR(D55)+15)&lt;YEAR(E55),0,IF((YEAR(D55)+15)&gt;YEAR(E55),1,(12-MONTH(E55)+1)/12))))-(IF((((K55)*(IF(M55="",L55,IFERROR(IF(INDEX(Variablen!$I:$AT, MATCH(M55, Variablen!$A:$A, 0), MATCH((YEAR(D55)+15), Variablen!$I$3:$AT$3, 0))="",L55,INDEX(Variablen!$I:$AT, MATCH(M55, Variablen!$A:$A, 0), MATCH((YEAR(D55)+15), Variablen!$I$3:$AT$3, 0))),L55)))*(IF((YEAR(D55)+15)&lt;YEAR(E55),0,IF((YEAR(D55)+15)&gt;YEAR(E55),1,(12-MONTH(E55)+1)/12))) + (Q55)*(IF((YEAR(D55)+15)&lt;YEAR(E55),0,IF((YEAR(D55)+15)&gt;YEAR(E55),1,(12-MONTH(E55)+1)/12))))-((P55)*(IF((YEAR(D55)+15)&lt;YEAR(E55),0,IF((YEAR(D55)+15)&gt;YEAR(E55),1,(12-MONTH(E55)+1)/12))) + (R55)*(IF((YEAR(D55)+15)&lt;YEAR(E55),0,IF((YEAR(D55)+15)&gt;YEAR(E55),1,(12-MONTH(E55)+1)/12))))-(IF(OR(N55="",N55&lt;=0),0,(O55/N55)*(IF(OR(N55="",N55&lt;=0),0,IF((YEAR(D55)+15)&lt;YEAR(E55),0,IF((YEAR(D55)+15)&gt;=YEAR(E55)+N55,0,IF((YEAR(D55)+15)=YEAR(E55),(12-MONTH(E55)+1)/12,1))))))))&gt;0,(((K55)*(IF(M55="",L55,IFERROR(IF(INDEX(Variablen!$I:$AT, MATCH(M55, Variablen!$A:$A, 0), MATCH((YEAR(D55)+15), Variablen!$I$3:$AT$3, 0))="",L55,INDEX(Variablen!$I:$AT, MATCH(M55, Variablen!$A:$A, 0), MATCH((YEAR(D55)+15), Variablen!$I$3:$AT$3, 0))),L55)))*(IF((YEAR(D55)+15)&lt;YEAR(E55),0,IF((YEAR(D55)+15)&gt;YEAR(E55),1,(12-MONTH(E55)+1)/12))) + (Q55)*(IF((YEAR(D55)+15)&lt;YEAR(E55),0,IF((YEAR(D55)+15)&gt;YEAR(E55),1,(12-MONTH(E55)+1)/12))))-((P55)*(IF((YEAR(D55)+15)&lt;YEAR(E55),0,IF((YEAR(D55)+15)&gt;YEAR(E55),1,(12-MONTH(E55)+1)/12))) + (R55)*(IF((YEAR(D55)+15)&lt;YEAR(E55),0,IF((YEAR(D55)+15)&gt;YEAR(E55),1,(12-MONTH(E55)+1)/12))))-(IF(OR(N55="",N55&lt;=0),0,(O55/N55)*(IF(OR(N55="",N55&lt;=0),0,IF((YEAR(D55)+15)&lt;YEAR(E55),0,IF((YEAR(D55)+15)&gt;=YEAR(E55)+N55,0,IF((YEAR(D55)+15)=YEAR(E55),(12-MONTH(E55)+1)/12,1))))))))*TaxRate,0))-IF(15=0,O55,0))</f>
        <v/>
      </c>
      <c r="AI55" s="29">
        <f>IF(A55="","",((K55)*(IF(M55="",L55,IFERROR(IF(INDEX(Variablen!$I:$AT, MATCH(M55, Variablen!$A:$A, 0), MATCH((YEAR(D55)+16), Variablen!$I$3:$AT$3, 0))="",L55,INDEX(Variablen!$I:$AT, MATCH(M55, Variablen!$A:$A, 0), MATCH((YEAR(D55)+16), Variablen!$I$3:$AT$3, 0))),L55)))*(IF((YEAR(D55)+16)&lt;YEAR(E55),0,IF((YEAR(D55)+16)&gt;YEAR(E55),1,(12-MONTH(E55)+1)/12))) + (Q55)*(IF((YEAR(D55)+16)&lt;YEAR(E55),0,IF((YEAR(D55)+16)&gt;YEAR(E55),1,(12-MONTH(E55)+1)/12))))-((P55)*(IF((YEAR(D55)+16)&lt;YEAR(E55),0,IF((YEAR(D55)+16)&gt;YEAR(E55),1,(12-MONTH(E55)+1)/12))) + (R55)*(IF((YEAR(D55)+16)&lt;YEAR(E55),0,IF((YEAR(D55)+16)&gt;YEAR(E55),1,(12-MONTH(E55)+1)/12))))-(IF((((K55)*(IF(M55="",L55,IFERROR(IF(INDEX(Variablen!$I:$AT, MATCH(M55, Variablen!$A:$A, 0), MATCH((YEAR(D55)+16), Variablen!$I$3:$AT$3, 0))="",L55,INDEX(Variablen!$I:$AT, MATCH(M55, Variablen!$A:$A, 0), MATCH((YEAR(D55)+16), Variablen!$I$3:$AT$3, 0))),L55)))*(IF((YEAR(D55)+16)&lt;YEAR(E55),0,IF((YEAR(D55)+16)&gt;YEAR(E55),1,(12-MONTH(E55)+1)/12))) + (Q55)*(IF((YEAR(D55)+16)&lt;YEAR(E55),0,IF((YEAR(D55)+16)&gt;YEAR(E55),1,(12-MONTH(E55)+1)/12))))-((P55)*(IF((YEAR(D55)+16)&lt;YEAR(E55),0,IF((YEAR(D55)+16)&gt;YEAR(E55),1,(12-MONTH(E55)+1)/12))) + (R55)*(IF((YEAR(D55)+16)&lt;YEAR(E55),0,IF((YEAR(D55)+16)&gt;YEAR(E55),1,(12-MONTH(E55)+1)/12))))-(IF(OR(N55="",N55&lt;=0),0,(O55/N55)*(IF(OR(N55="",N55&lt;=0),0,IF((YEAR(D55)+16)&lt;YEAR(E55),0,IF((YEAR(D55)+16)&gt;=YEAR(E55)+N55,0,IF((YEAR(D55)+16)=YEAR(E55),(12-MONTH(E55)+1)/12,1))))))))&gt;0,(((K55)*(IF(M55="",L55,IFERROR(IF(INDEX(Variablen!$I:$AT, MATCH(M55, Variablen!$A:$A, 0), MATCH((YEAR(D55)+16), Variablen!$I$3:$AT$3, 0))="",L55,INDEX(Variablen!$I:$AT, MATCH(M55, Variablen!$A:$A, 0), MATCH((YEAR(D55)+16), Variablen!$I$3:$AT$3, 0))),L55)))*(IF((YEAR(D55)+16)&lt;YEAR(E55),0,IF((YEAR(D55)+16)&gt;YEAR(E55),1,(12-MONTH(E55)+1)/12))) + (Q55)*(IF((YEAR(D55)+16)&lt;YEAR(E55),0,IF((YEAR(D55)+16)&gt;YEAR(E55),1,(12-MONTH(E55)+1)/12))))-((P55)*(IF((YEAR(D55)+16)&lt;YEAR(E55),0,IF((YEAR(D55)+16)&gt;YEAR(E55),1,(12-MONTH(E55)+1)/12))) + (R55)*(IF((YEAR(D55)+16)&lt;YEAR(E55),0,IF((YEAR(D55)+16)&gt;YEAR(E55),1,(12-MONTH(E55)+1)/12))))-(IF(OR(N55="",N55&lt;=0),0,(O55/N55)*(IF(OR(N55="",N55&lt;=0),0,IF((YEAR(D55)+16)&lt;YEAR(E55),0,IF((YEAR(D55)+16)&gt;=YEAR(E55)+N55,0,IF((YEAR(D55)+16)=YEAR(E55),(12-MONTH(E55)+1)/12,1))))))))*TaxRate,0))-IF(16=0,O55,0))</f>
        <v/>
      </c>
      <c r="AJ55" s="29">
        <f>IF(A55="","",((K55)*(IF(M55="",L55,IFERROR(IF(INDEX(Variablen!$I:$AT, MATCH(M55, Variablen!$A:$A, 0), MATCH((YEAR(D55)+17), Variablen!$I$3:$AT$3, 0))="",L55,INDEX(Variablen!$I:$AT, MATCH(M55, Variablen!$A:$A, 0), MATCH((YEAR(D55)+17), Variablen!$I$3:$AT$3, 0))),L55)))*(IF((YEAR(D55)+17)&lt;YEAR(E55),0,IF((YEAR(D55)+17)&gt;YEAR(E55),1,(12-MONTH(E55)+1)/12))) + (Q55)*(IF((YEAR(D55)+17)&lt;YEAR(E55),0,IF((YEAR(D55)+17)&gt;YEAR(E55),1,(12-MONTH(E55)+1)/12))))-((P55)*(IF((YEAR(D55)+17)&lt;YEAR(E55),0,IF((YEAR(D55)+17)&gt;YEAR(E55),1,(12-MONTH(E55)+1)/12))) + (R55)*(IF((YEAR(D55)+17)&lt;YEAR(E55),0,IF((YEAR(D55)+17)&gt;YEAR(E55),1,(12-MONTH(E55)+1)/12))))-(IF((((K55)*(IF(M55="",L55,IFERROR(IF(INDEX(Variablen!$I:$AT, MATCH(M55, Variablen!$A:$A, 0), MATCH((YEAR(D55)+17), Variablen!$I$3:$AT$3, 0))="",L55,INDEX(Variablen!$I:$AT, MATCH(M55, Variablen!$A:$A, 0), MATCH((YEAR(D55)+17), Variablen!$I$3:$AT$3, 0))),L55)))*(IF((YEAR(D55)+17)&lt;YEAR(E55),0,IF((YEAR(D55)+17)&gt;YEAR(E55),1,(12-MONTH(E55)+1)/12))) + (Q55)*(IF((YEAR(D55)+17)&lt;YEAR(E55),0,IF((YEAR(D55)+17)&gt;YEAR(E55),1,(12-MONTH(E55)+1)/12))))-((P55)*(IF((YEAR(D55)+17)&lt;YEAR(E55),0,IF((YEAR(D55)+17)&gt;YEAR(E55),1,(12-MONTH(E55)+1)/12))) + (R55)*(IF((YEAR(D55)+17)&lt;YEAR(E55),0,IF((YEAR(D55)+17)&gt;YEAR(E55),1,(12-MONTH(E55)+1)/12))))-(IF(OR(N55="",N55&lt;=0),0,(O55/N55)*(IF(OR(N55="",N55&lt;=0),0,IF((YEAR(D55)+17)&lt;YEAR(E55),0,IF((YEAR(D55)+17)&gt;=YEAR(E55)+N55,0,IF((YEAR(D55)+17)=YEAR(E55),(12-MONTH(E55)+1)/12,1))))))))&gt;0,(((K55)*(IF(M55="",L55,IFERROR(IF(INDEX(Variablen!$I:$AT, MATCH(M55, Variablen!$A:$A, 0), MATCH((YEAR(D55)+17), Variablen!$I$3:$AT$3, 0))="",L55,INDEX(Variablen!$I:$AT, MATCH(M55, Variablen!$A:$A, 0), MATCH((YEAR(D55)+17), Variablen!$I$3:$AT$3, 0))),L55)))*(IF((YEAR(D55)+17)&lt;YEAR(E55),0,IF((YEAR(D55)+17)&gt;YEAR(E55),1,(12-MONTH(E55)+1)/12))) + (Q55)*(IF((YEAR(D55)+17)&lt;YEAR(E55),0,IF((YEAR(D55)+17)&gt;YEAR(E55),1,(12-MONTH(E55)+1)/12))))-((P55)*(IF((YEAR(D55)+17)&lt;YEAR(E55),0,IF((YEAR(D55)+17)&gt;YEAR(E55),1,(12-MONTH(E55)+1)/12))) + (R55)*(IF((YEAR(D55)+17)&lt;YEAR(E55),0,IF((YEAR(D55)+17)&gt;YEAR(E55),1,(12-MONTH(E55)+1)/12))))-(IF(OR(N55="",N55&lt;=0),0,(O55/N55)*(IF(OR(N55="",N55&lt;=0),0,IF((YEAR(D55)+17)&lt;YEAR(E55),0,IF((YEAR(D55)+17)&gt;=YEAR(E55)+N55,0,IF((YEAR(D55)+17)=YEAR(E55),(12-MONTH(E55)+1)/12,1))))))))*TaxRate,0))-IF(17=0,O55,0))</f>
        <v/>
      </c>
      <c r="AK55" s="29">
        <f>IF(A55="","",((K55)*(IF(M55="",L55,IFERROR(IF(INDEX(Variablen!$I:$AT, MATCH(M55, Variablen!$A:$A, 0), MATCH((YEAR(D55)+18), Variablen!$I$3:$AT$3, 0))="",L55,INDEX(Variablen!$I:$AT, MATCH(M55, Variablen!$A:$A, 0), MATCH((YEAR(D55)+18), Variablen!$I$3:$AT$3, 0))),L55)))*(IF((YEAR(D55)+18)&lt;YEAR(E55),0,IF((YEAR(D55)+18)&gt;YEAR(E55),1,(12-MONTH(E55)+1)/12))) + (Q55)*(IF((YEAR(D55)+18)&lt;YEAR(E55),0,IF((YEAR(D55)+18)&gt;YEAR(E55),1,(12-MONTH(E55)+1)/12))))-((P55)*(IF((YEAR(D55)+18)&lt;YEAR(E55),0,IF((YEAR(D55)+18)&gt;YEAR(E55),1,(12-MONTH(E55)+1)/12))) + (R55)*(IF((YEAR(D55)+18)&lt;YEAR(E55),0,IF((YEAR(D55)+18)&gt;YEAR(E55),1,(12-MONTH(E55)+1)/12))))-(IF((((K55)*(IF(M55="",L55,IFERROR(IF(INDEX(Variablen!$I:$AT, MATCH(M55, Variablen!$A:$A, 0), MATCH((YEAR(D55)+18), Variablen!$I$3:$AT$3, 0))="",L55,INDEX(Variablen!$I:$AT, MATCH(M55, Variablen!$A:$A, 0), MATCH((YEAR(D55)+18), Variablen!$I$3:$AT$3, 0))),L55)))*(IF((YEAR(D55)+18)&lt;YEAR(E55),0,IF((YEAR(D55)+18)&gt;YEAR(E55),1,(12-MONTH(E55)+1)/12))) + (Q55)*(IF((YEAR(D55)+18)&lt;YEAR(E55),0,IF((YEAR(D55)+18)&gt;YEAR(E55),1,(12-MONTH(E55)+1)/12))))-((P55)*(IF((YEAR(D55)+18)&lt;YEAR(E55),0,IF((YEAR(D55)+18)&gt;YEAR(E55),1,(12-MONTH(E55)+1)/12))) + (R55)*(IF((YEAR(D55)+18)&lt;YEAR(E55),0,IF((YEAR(D55)+18)&gt;YEAR(E55),1,(12-MONTH(E55)+1)/12))))-(IF(OR(N55="",N55&lt;=0),0,(O55/N55)*(IF(OR(N55="",N55&lt;=0),0,IF((YEAR(D55)+18)&lt;YEAR(E55),0,IF((YEAR(D55)+18)&gt;=YEAR(E55)+N55,0,IF((YEAR(D55)+18)=YEAR(E55),(12-MONTH(E55)+1)/12,1))))))))&gt;0,(((K55)*(IF(M55="",L55,IFERROR(IF(INDEX(Variablen!$I:$AT, MATCH(M55, Variablen!$A:$A, 0), MATCH((YEAR(D55)+18), Variablen!$I$3:$AT$3, 0))="",L55,INDEX(Variablen!$I:$AT, MATCH(M55, Variablen!$A:$A, 0), MATCH((YEAR(D55)+18), Variablen!$I$3:$AT$3, 0))),L55)))*(IF((YEAR(D55)+18)&lt;YEAR(E55),0,IF((YEAR(D55)+18)&gt;YEAR(E55),1,(12-MONTH(E55)+1)/12))) + (Q55)*(IF((YEAR(D55)+18)&lt;YEAR(E55),0,IF((YEAR(D55)+18)&gt;YEAR(E55),1,(12-MONTH(E55)+1)/12))))-((P55)*(IF((YEAR(D55)+18)&lt;YEAR(E55),0,IF((YEAR(D55)+18)&gt;YEAR(E55),1,(12-MONTH(E55)+1)/12))) + (R55)*(IF((YEAR(D55)+18)&lt;YEAR(E55),0,IF((YEAR(D55)+18)&gt;YEAR(E55),1,(12-MONTH(E55)+1)/12))))-(IF(OR(N55="",N55&lt;=0),0,(O55/N55)*(IF(OR(N55="",N55&lt;=0),0,IF((YEAR(D55)+18)&lt;YEAR(E55),0,IF((YEAR(D55)+18)&gt;=YEAR(E55)+N55,0,IF((YEAR(D55)+18)=YEAR(E55),(12-MONTH(E55)+1)/12,1))))))))*TaxRate,0))-IF(18=0,O55,0))</f>
        <v/>
      </c>
      <c r="AL55" s="29">
        <f>IF(A55="","",((K55)*(IF(M55="",L55,IFERROR(IF(INDEX(Variablen!$I:$AT, MATCH(M55, Variablen!$A:$A, 0), MATCH((YEAR(D55)+19), Variablen!$I$3:$AT$3, 0))="",L55,INDEX(Variablen!$I:$AT, MATCH(M55, Variablen!$A:$A, 0), MATCH((YEAR(D55)+19), Variablen!$I$3:$AT$3, 0))),L55)))*(IF((YEAR(D55)+19)&lt;YEAR(E55),0,IF((YEAR(D55)+19)&gt;YEAR(E55),1,(12-MONTH(E55)+1)/12))) + (Q55)*(IF((YEAR(D55)+19)&lt;YEAR(E55),0,IF((YEAR(D55)+19)&gt;YEAR(E55),1,(12-MONTH(E55)+1)/12))))-((P55)*(IF((YEAR(D55)+19)&lt;YEAR(E55),0,IF((YEAR(D55)+19)&gt;YEAR(E55),1,(12-MONTH(E55)+1)/12))) + (R55)*(IF((YEAR(D55)+19)&lt;YEAR(E55),0,IF((YEAR(D55)+19)&gt;YEAR(E55),1,(12-MONTH(E55)+1)/12))))-(IF((((K55)*(IF(M55="",L55,IFERROR(IF(INDEX(Variablen!$I:$AT, MATCH(M55, Variablen!$A:$A, 0), MATCH((YEAR(D55)+19), Variablen!$I$3:$AT$3, 0))="",L55,INDEX(Variablen!$I:$AT, MATCH(M55, Variablen!$A:$A, 0), MATCH((YEAR(D55)+19), Variablen!$I$3:$AT$3, 0))),L55)))*(IF((YEAR(D55)+19)&lt;YEAR(E55),0,IF((YEAR(D55)+19)&gt;YEAR(E55),1,(12-MONTH(E55)+1)/12))) + (Q55)*(IF((YEAR(D55)+19)&lt;YEAR(E55),0,IF((YEAR(D55)+19)&gt;YEAR(E55),1,(12-MONTH(E55)+1)/12))))-((P55)*(IF((YEAR(D55)+19)&lt;YEAR(E55),0,IF((YEAR(D55)+19)&gt;YEAR(E55),1,(12-MONTH(E55)+1)/12))) + (R55)*(IF((YEAR(D55)+19)&lt;YEAR(E55),0,IF((YEAR(D55)+19)&gt;YEAR(E55),1,(12-MONTH(E55)+1)/12))))-(IF(OR(N55="",N55&lt;=0),0,(O55/N55)*(IF(OR(N55="",N55&lt;=0),0,IF((YEAR(D55)+19)&lt;YEAR(E55),0,IF((YEAR(D55)+19)&gt;=YEAR(E55)+N55,0,IF((YEAR(D55)+19)=YEAR(E55),(12-MONTH(E55)+1)/12,1))))))))&gt;0,(((K55)*(IF(M55="",L55,IFERROR(IF(INDEX(Variablen!$I:$AT, MATCH(M55, Variablen!$A:$A, 0), MATCH((YEAR(D55)+19), Variablen!$I$3:$AT$3, 0))="",L55,INDEX(Variablen!$I:$AT, MATCH(M55, Variablen!$A:$A, 0), MATCH((YEAR(D55)+19), Variablen!$I$3:$AT$3, 0))),L55)))*(IF((YEAR(D55)+19)&lt;YEAR(E55),0,IF((YEAR(D55)+19)&gt;YEAR(E55),1,(12-MONTH(E55)+1)/12))) + (Q55)*(IF((YEAR(D55)+19)&lt;YEAR(E55),0,IF((YEAR(D55)+19)&gt;YEAR(E55),1,(12-MONTH(E55)+1)/12))))-((P55)*(IF((YEAR(D55)+19)&lt;YEAR(E55),0,IF((YEAR(D55)+19)&gt;YEAR(E55),1,(12-MONTH(E55)+1)/12))) + (R55)*(IF((YEAR(D55)+19)&lt;YEAR(E55),0,IF((YEAR(D55)+19)&gt;YEAR(E55),1,(12-MONTH(E55)+1)/12))))-(IF(OR(N55="",N55&lt;=0),0,(O55/N55)*(IF(OR(N55="",N55&lt;=0),0,IF((YEAR(D55)+19)&lt;YEAR(E55),0,IF((YEAR(D55)+19)&gt;=YEAR(E55)+N55,0,IF((YEAR(D55)+19)=YEAR(E55),(12-MONTH(E55)+1)/12,1))))))))*TaxRate,0))-IF(19=0,O55,0))</f>
        <v/>
      </c>
      <c r="AM55" s="29">
        <f>IF(A55="","",((K55)*(IF(M55="",L55,IFERROR(IF(INDEX(Variablen!$I:$AT, MATCH(M55, Variablen!$A:$A, 0), MATCH((YEAR(D55)+20), Variablen!$I$3:$AT$3, 0))="",L55,INDEX(Variablen!$I:$AT, MATCH(M55, Variablen!$A:$A, 0), MATCH((YEAR(D55)+20), Variablen!$I$3:$AT$3, 0))),L55)))*(IF((YEAR(D55)+20)&lt;YEAR(E55),0,IF((YEAR(D55)+20)&gt;YEAR(E55),1,(12-MONTH(E55)+1)/12))) + (Q55)*(IF((YEAR(D55)+20)&lt;YEAR(E55),0,IF((YEAR(D55)+20)&gt;YEAR(E55),1,(12-MONTH(E55)+1)/12))))-((P55)*(IF((YEAR(D55)+20)&lt;YEAR(E55),0,IF((YEAR(D55)+20)&gt;YEAR(E55),1,(12-MONTH(E55)+1)/12))) + (R55)*(IF((YEAR(D55)+20)&lt;YEAR(E55),0,IF((YEAR(D55)+20)&gt;YEAR(E55),1,(12-MONTH(E55)+1)/12))))-(IF((((K55)*(IF(M55="",L55,IFERROR(IF(INDEX(Variablen!$I:$AT, MATCH(M55, Variablen!$A:$A, 0), MATCH((YEAR(D55)+20), Variablen!$I$3:$AT$3, 0))="",L55,INDEX(Variablen!$I:$AT, MATCH(M55, Variablen!$A:$A, 0), MATCH((YEAR(D55)+20), Variablen!$I$3:$AT$3, 0))),L55)))*(IF((YEAR(D55)+20)&lt;YEAR(E55),0,IF((YEAR(D55)+20)&gt;YEAR(E55),1,(12-MONTH(E55)+1)/12))) + (Q55)*(IF((YEAR(D55)+20)&lt;YEAR(E55),0,IF((YEAR(D55)+20)&gt;YEAR(E55),1,(12-MONTH(E55)+1)/12))))-((P55)*(IF((YEAR(D55)+20)&lt;YEAR(E55),0,IF((YEAR(D55)+20)&gt;YEAR(E55),1,(12-MONTH(E55)+1)/12))) + (R55)*(IF((YEAR(D55)+20)&lt;YEAR(E55),0,IF((YEAR(D55)+20)&gt;YEAR(E55),1,(12-MONTH(E55)+1)/12))))-(IF(OR(N55="",N55&lt;=0),0,(O55/N55)*(IF(OR(N55="",N55&lt;=0),0,IF((YEAR(D55)+20)&lt;YEAR(E55),0,IF((YEAR(D55)+20)&gt;=YEAR(E55)+N55,0,IF((YEAR(D55)+20)=YEAR(E55),(12-MONTH(E55)+1)/12,1))))))))&gt;0,(((K55)*(IF(M55="",L55,IFERROR(IF(INDEX(Variablen!$I:$AT, MATCH(M55, Variablen!$A:$A, 0), MATCH((YEAR(D55)+20), Variablen!$I$3:$AT$3, 0))="",L55,INDEX(Variablen!$I:$AT, MATCH(M55, Variablen!$A:$A, 0), MATCH((YEAR(D55)+20), Variablen!$I$3:$AT$3, 0))),L55)))*(IF((YEAR(D55)+20)&lt;YEAR(E55),0,IF((YEAR(D55)+20)&gt;YEAR(E55),1,(12-MONTH(E55)+1)/12))) + (Q55)*(IF((YEAR(D55)+20)&lt;YEAR(E55),0,IF((YEAR(D55)+20)&gt;YEAR(E55),1,(12-MONTH(E55)+1)/12))))-((P55)*(IF((YEAR(D55)+20)&lt;YEAR(E55),0,IF((YEAR(D55)+20)&gt;YEAR(E55),1,(12-MONTH(E55)+1)/12))) + (R55)*(IF((YEAR(D55)+20)&lt;YEAR(E55),0,IF((YEAR(D55)+20)&gt;YEAR(E55),1,(12-MONTH(E55)+1)/12))))-(IF(OR(N55="",N55&lt;=0),0,(O55/N55)*(IF(OR(N55="",N55&lt;=0),0,IF((YEAR(D55)+20)&lt;YEAR(E55),0,IF((YEAR(D55)+20)&gt;=YEAR(E55)+N55,0,IF((YEAR(D55)+20)=YEAR(E55),(12-MONTH(E55)+1)/12,1))))))))*TaxRate,0))-IF(20=0,O55,0))</f>
        <v/>
      </c>
      <c r="AN55" s="29">
        <f>IF(A55="","",S55)</f>
        <v/>
      </c>
      <c r="AO55" s="29">
        <f>IF(A55="","",AN55+T55)</f>
        <v/>
      </c>
      <c r="AP55" s="29">
        <f>IF(A55="","",AO55+U55)</f>
        <v/>
      </c>
      <c r="AQ55" s="29">
        <f>IF(A55="","",AP55+V55)</f>
        <v/>
      </c>
      <c r="AR55" s="29">
        <f>IF(A55="","",AQ55+W55)</f>
        <v/>
      </c>
      <c r="AS55" s="29">
        <f>IF(A55="","",AR55+X55)</f>
        <v/>
      </c>
      <c r="AT55" s="29">
        <f>IF(A55="","",AS55+Y55)</f>
        <v/>
      </c>
      <c r="AU55" s="29">
        <f>IF(A55="","",AT55+Z55)</f>
        <v/>
      </c>
      <c r="AV55" s="29">
        <f>IF(A55="","",AU55+AA55)</f>
        <v/>
      </c>
      <c r="AW55" s="29">
        <f>IF(A55="","",AV55+AB55)</f>
        <v/>
      </c>
      <c r="AX55" s="29">
        <f>IF(A55="","",AW55+AC55)</f>
        <v/>
      </c>
      <c r="AY55" s="29">
        <f>IF(A55="","",AX55+AD55)</f>
        <v/>
      </c>
      <c r="AZ55" s="29">
        <f>IF(A55="","",AY55+AE55)</f>
        <v/>
      </c>
      <c r="BA55" s="29">
        <f>IF(A55="","",AZ55+AF55)</f>
        <v/>
      </c>
      <c r="BB55" s="29">
        <f>IF(A55="","",BA55+AG55)</f>
        <v/>
      </c>
      <c r="BC55" s="29">
        <f>IF(A55="","",BB55+AH55)</f>
        <v/>
      </c>
      <c r="BD55" s="29">
        <f>IF(A55="","",BC55+AI55)</f>
        <v/>
      </c>
      <c r="BE55" s="29">
        <f>IF(A55="","",BD55+AJ55)</f>
        <v/>
      </c>
      <c r="BF55" s="29">
        <f>IF(A55="","",BE55+AK55)</f>
        <v/>
      </c>
      <c r="BG55" s="29">
        <f>IF(A55="","",BF55+AL55)</f>
        <v/>
      </c>
      <c r="BH55" s="29">
        <f>IF(A55="","",BG55+AM55)</f>
        <v/>
      </c>
      <c r="BI55" s="36">
        <f>IF(A55="","",(K55)*(IF((YEAR(D55)+0)&lt;YEAR(E55),0,IF((YEAR(D55)+0)&gt;YEAR(E55),1,(12-MONTH(E55)+1)/12)))*(1/(1+DiscountRate)^0))</f>
        <v/>
      </c>
      <c r="BJ55" s="36">
        <f>IF(A55="","",(K55)*(IF((YEAR(D55)+1)&lt;YEAR(E55),0,IF((YEAR(D55)+1)&gt;YEAR(E55),1,(12-MONTH(E55)+1)/12)))*(1/(1+DiscountRate)^1))</f>
        <v/>
      </c>
      <c r="BK55" s="36">
        <f>IF(A55="","",(K55)*(IF((YEAR(D55)+2)&lt;YEAR(E55),0,IF((YEAR(D55)+2)&gt;YEAR(E55),1,(12-MONTH(E55)+1)/12)))*(1/(1+DiscountRate)^2))</f>
        <v/>
      </c>
      <c r="BL55" s="36">
        <f>IF(A55="","",(K55)*(IF((YEAR(D55)+3)&lt;YEAR(E55),0,IF((YEAR(D55)+3)&gt;YEAR(E55),1,(12-MONTH(E55)+1)/12)))*(1/(1+DiscountRate)^3))</f>
        <v/>
      </c>
      <c r="BM55" s="36">
        <f>IF(A55="","",(K55)*(IF((YEAR(D55)+4)&lt;YEAR(E55),0,IF((YEAR(D55)+4)&gt;YEAR(E55),1,(12-MONTH(E55)+1)/12)))*(1/(1+DiscountRate)^4))</f>
        <v/>
      </c>
      <c r="BN55" s="36">
        <f>IF(A55="","",(K55)*(IF((YEAR(D55)+5)&lt;YEAR(E55),0,IF((YEAR(D55)+5)&gt;YEAR(E55),1,(12-MONTH(E55)+1)/12)))*(1/(1+DiscountRate)^5))</f>
        <v/>
      </c>
      <c r="BO55" s="36">
        <f>IF(A55="","",(K55)*(IF((YEAR(D55)+6)&lt;YEAR(E55),0,IF((YEAR(D55)+6)&gt;YEAR(E55),1,(12-MONTH(E55)+1)/12)))*(1/(1+DiscountRate)^6))</f>
        <v/>
      </c>
      <c r="BP55" s="36">
        <f>IF(A55="","",(K55)*(IF((YEAR(D55)+7)&lt;YEAR(E55),0,IF((YEAR(D55)+7)&gt;YEAR(E55),1,(12-MONTH(E55)+1)/12)))*(1/(1+DiscountRate)^7))</f>
        <v/>
      </c>
      <c r="BQ55" s="36">
        <f>IF(A55="","",(K55)*(IF((YEAR(D55)+8)&lt;YEAR(E55),0,IF((YEAR(D55)+8)&gt;YEAR(E55),1,(12-MONTH(E55)+1)/12)))*(1/(1+DiscountRate)^8))</f>
        <v/>
      </c>
      <c r="BR55" s="36">
        <f>IF(A55="","",(K55)*(IF((YEAR(D55)+9)&lt;YEAR(E55),0,IF((YEAR(D55)+9)&gt;YEAR(E55),1,(12-MONTH(E55)+1)/12)))*(1/(1+DiscountRate)^9))</f>
        <v/>
      </c>
      <c r="BS55" s="36">
        <f>IF(A55="","",(K55)*(IF((YEAR(D55)+10)&lt;YEAR(E55),0,IF((YEAR(D55)+10)&gt;YEAR(E55),1,(12-MONTH(E55)+1)/12)))*(1/(1+DiscountRate)^10))</f>
        <v/>
      </c>
      <c r="BT55" s="36">
        <f>IF(A55="","",(K55)*(IF((YEAR(D55)+11)&lt;YEAR(E55),0,IF((YEAR(D55)+11)&gt;YEAR(E55),1,(12-MONTH(E55)+1)/12)))*(1/(1+DiscountRate)^11))</f>
        <v/>
      </c>
      <c r="BU55" s="36">
        <f>IF(A55="","",(K55)*(IF((YEAR(D55)+12)&lt;YEAR(E55),0,IF((YEAR(D55)+12)&gt;YEAR(E55),1,(12-MONTH(E55)+1)/12)))*(1/(1+DiscountRate)^12))</f>
        <v/>
      </c>
      <c r="BV55" s="36">
        <f>IF(A55="","",(K55)*(IF((YEAR(D55)+13)&lt;YEAR(E55),0,IF((YEAR(D55)+13)&gt;YEAR(E55),1,(12-MONTH(E55)+1)/12)))*(1/(1+DiscountRate)^13))</f>
        <v/>
      </c>
      <c r="BW55" s="36">
        <f>IF(A55="","",(K55)*(IF((YEAR(D55)+14)&lt;YEAR(E55),0,IF((YEAR(D55)+14)&gt;YEAR(E55),1,(12-MONTH(E55)+1)/12)))*(1/(1+DiscountRate)^14))</f>
        <v/>
      </c>
      <c r="BX55" s="36">
        <f>IF(A55="","",(K55)*(IF((YEAR(D55)+15)&lt;YEAR(E55),0,IF((YEAR(D55)+15)&gt;YEAR(E55),1,(12-MONTH(E55)+1)/12)))*(1/(1+DiscountRate)^15))</f>
        <v/>
      </c>
      <c r="BY55" s="36">
        <f>IF(A55="","",(K55)*(IF((YEAR(D55)+16)&lt;YEAR(E55),0,IF((YEAR(D55)+16)&gt;YEAR(E55),1,(12-MONTH(E55)+1)/12)))*(1/(1+DiscountRate)^16))</f>
        <v/>
      </c>
      <c r="BZ55" s="36">
        <f>IF(A55="","",(K55)*(IF((YEAR(D55)+17)&lt;YEAR(E55),0,IF((YEAR(D55)+17)&gt;YEAR(E55),1,(12-MONTH(E55)+1)/12)))*(1/(1+DiscountRate)^17))</f>
        <v/>
      </c>
      <c r="CA55" s="36">
        <f>IF(A55="","",(K55)*(IF((YEAR(D55)+18)&lt;YEAR(E55),0,IF((YEAR(D55)+18)&gt;YEAR(E55),1,(12-MONTH(E55)+1)/12)))*(1/(1+DiscountRate)^18))</f>
        <v/>
      </c>
      <c r="CB55" s="36">
        <f>IF(A55="","",(K55)*(IF((YEAR(D55)+19)&lt;YEAR(E55),0,IF((YEAR(D55)+19)&gt;YEAR(E55),1,(12-MONTH(E55)+1)/12)))*(1/(1+DiscountRate)^19))</f>
        <v/>
      </c>
      <c r="CC55" s="36">
        <f>IF(A55="","",(K55)*(IF((YEAR(D55)+20)&lt;YEAR(E55),0,IF((YEAR(D55)+20)&gt;YEAR(E55),1,(12-MONTH(E55)+1)/12)))*(1/(1+DiscountRate)^20))</f>
        <v/>
      </c>
      <c r="CD55" s="29">
        <f>IF(A55="","",S55/(1+DiscountRate)^0+T55/(1+DiscountRate)^1+U55/(1+DiscountRate)^2+V55/(1+DiscountRate)^3+W55/(1+DiscountRate)^4+X55/(1+DiscountRate)^5+Y55/(1+DiscountRate)^6+Z55/(1+DiscountRate)^7+AA55/(1+DiscountRate)^8+AB55/(1+DiscountRate)^9+AC55/(1+DiscountRate)^10+AD55/(1+DiscountRate)^11+AE55/(1+DiscountRate)^12+AF55/(1+DiscountRate)^13+AG55/(1+DiscountRate)^14+AH55/(1+DiscountRate)^15+AI55/(1+DiscountRate)^16+AJ55/(1+DiscountRate)^17+AK55/(1+DiscountRate)^18+AL55/(1+DiscountRate)^19+AM55/(1+DiscountRate)^20)</f>
        <v/>
      </c>
      <c r="CE55" s="37">
        <f>IF(A55="","",IFERROR(IRR(OFFSET(S55,0,0,1,MIN(HorizonYears,20)+1)),"n/a"))</f>
        <v/>
      </c>
      <c r="CF55" s="28">
        <f>IF(A55="","",IFERROR(MATCH(TRUE,OFFSET(AN55,0,0,1,MIN(HorizonYears,20)+1)&gt;=0,0)-1,"n/a"))</f>
        <v/>
      </c>
      <c r="CG55" s="36">
        <f>IF(A55="","",SUM(OFFSET(BI55,0,0,1,MIN(HorizonYears,20)+1)))</f>
        <v/>
      </c>
      <c r="CH55" s="36">
        <f>IF(A55="","",IFERROR(-CD55/CG55,"n/a"))</f>
        <v/>
      </c>
    </row>
    <row r="56">
      <c r="A56" s="6">
        <f>Actions!A54</f>
        <v/>
      </c>
      <c r="B56" s="6">
        <f>Actions!B54</f>
        <v/>
      </c>
      <c r="C56" s="6">
        <f>Actions!D54</f>
        <v/>
      </c>
      <c r="D56" s="35">
        <f>Actions!E54</f>
        <v/>
      </c>
      <c r="E56" s="35">
        <f>Actions!F54</f>
        <v/>
      </c>
      <c r="F56" s="6">
        <f>Actions!G54</f>
        <v/>
      </c>
      <c r="G56" s="6">
        <f>Actions!H54</f>
        <v/>
      </c>
      <c r="H56" s="29">
        <f>Actions!I54</f>
        <v/>
      </c>
      <c r="I56" s="6">
        <f>Actions!J54</f>
        <v/>
      </c>
      <c r="J56" s="16">
        <f>Actions!K54</f>
        <v/>
      </c>
      <c r="K56" s="16">
        <f>IF(A56="","",IF(I56="%",H56*J56,J56))</f>
        <v/>
      </c>
      <c r="L56" s="16">
        <f>Actions!L54</f>
        <v/>
      </c>
      <c r="M56" s="6">
        <f>Actions!M54</f>
        <v/>
      </c>
      <c r="N56" s="28">
        <f>Actions!N54</f>
        <v/>
      </c>
      <c r="O56" s="29">
        <f>Actions!T54</f>
        <v/>
      </c>
      <c r="P56" s="29">
        <f>Actions!Y54</f>
        <v/>
      </c>
      <c r="Q56" s="29">
        <f>Actions!Z54</f>
        <v/>
      </c>
      <c r="R56" s="29">
        <f>Actions!AA54</f>
        <v/>
      </c>
      <c r="S56" s="29">
        <f>IF(A56="","",((K56)*(IF(M56="",L56,IFERROR(IF(INDEX(Variablen!$I:$AT, MATCH(M56, Variablen!$A:$A, 0), MATCH((YEAR(D56)+0), Variablen!$I$3:$AT$3, 0))="",L56,INDEX(Variablen!$I:$AT, MATCH(M56, Variablen!$A:$A, 0), MATCH((YEAR(D56)+0), Variablen!$I$3:$AT$3, 0))),L56)))*(IF((YEAR(D56)+0)&lt;YEAR(E56),0,IF((YEAR(D56)+0)&gt;YEAR(E56),1,(12-MONTH(E56)+1)/12))) + (Q56)*(IF((YEAR(D56)+0)&lt;YEAR(E56),0,IF((YEAR(D56)+0)&gt;YEAR(E56),1,(12-MONTH(E56)+1)/12))))-((P56)*(IF((YEAR(D56)+0)&lt;YEAR(E56),0,IF((YEAR(D56)+0)&gt;YEAR(E56),1,(12-MONTH(E56)+1)/12))) + (R56)*(IF((YEAR(D56)+0)&lt;YEAR(E56),0,IF((YEAR(D56)+0)&gt;YEAR(E56),1,(12-MONTH(E56)+1)/12))))-(IF((((K56)*(IF(M56="",L56,IFERROR(IF(INDEX(Variablen!$I:$AT, MATCH(M56, Variablen!$A:$A, 0), MATCH((YEAR(D56)+0), Variablen!$I$3:$AT$3, 0))="",L56,INDEX(Variablen!$I:$AT, MATCH(M56, Variablen!$A:$A, 0), MATCH((YEAR(D56)+0), Variablen!$I$3:$AT$3, 0))),L56)))*(IF((YEAR(D56)+0)&lt;YEAR(E56),0,IF((YEAR(D56)+0)&gt;YEAR(E56),1,(12-MONTH(E56)+1)/12))) + (Q56)*(IF((YEAR(D56)+0)&lt;YEAR(E56),0,IF((YEAR(D56)+0)&gt;YEAR(E56),1,(12-MONTH(E56)+1)/12))))-((P56)*(IF((YEAR(D56)+0)&lt;YEAR(E56),0,IF((YEAR(D56)+0)&gt;YEAR(E56),1,(12-MONTH(E56)+1)/12))) + (R56)*(IF((YEAR(D56)+0)&lt;YEAR(E56),0,IF((YEAR(D56)+0)&gt;YEAR(E56),1,(12-MONTH(E56)+1)/12))))-(IF(OR(N56="",N56&lt;=0),0,(O56/N56)*(IF(OR(N56="",N56&lt;=0),0,IF((YEAR(D56)+0)&lt;YEAR(E56),0,IF((YEAR(D56)+0)&gt;=YEAR(E56)+N56,0,IF((YEAR(D56)+0)=YEAR(E56),(12-MONTH(E56)+1)/12,1))))))))&gt;0,(((K56)*(IF(M56="",L56,IFERROR(IF(INDEX(Variablen!$I:$AT, MATCH(M56, Variablen!$A:$A, 0), MATCH((YEAR(D56)+0), Variablen!$I$3:$AT$3, 0))="",L56,INDEX(Variablen!$I:$AT, MATCH(M56, Variablen!$A:$A, 0), MATCH((YEAR(D56)+0), Variablen!$I$3:$AT$3, 0))),L56)))*(IF((YEAR(D56)+0)&lt;YEAR(E56),0,IF((YEAR(D56)+0)&gt;YEAR(E56),1,(12-MONTH(E56)+1)/12))) + (Q56)*(IF((YEAR(D56)+0)&lt;YEAR(E56),0,IF((YEAR(D56)+0)&gt;YEAR(E56),1,(12-MONTH(E56)+1)/12))))-((P56)*(IF((YEAR(D56)+0)&lt;YEAR(E56),0,IF((YEAR(D56)+0)&gt;YEAR(E56),1,(12-MONTH(E56)+1)/12))) + (R56)*(IF((YEAR(D56)+0)&lt;YEAR(E56),0,IF((YEAR(D56)+0)&gt;YEAR(E56),1,(12-MONTH(E56)+1)/12))))-(IF(OR(N56="",N56&lt;=0),0,(O56/N56)*(IF(OR(N56="",N56&lt;=0),0,IF((YEAR(D56)+0)&lt;YEAR(E56),0,IF((YEAR(D56)+0)&gt;=YEAR(E56)+N56,0,IF((YEAR(D56)+0)=YEAR(E56),(12-MONTH(E56)+1)/12,1))))))))*TaxRate,0))-IF(0=0,O56,0))</f>
        <v/>
      </c>
      <c r="T56" s="29">
        <f>IF(A56="","",((K56)*(IF(M56="",L56,IFERROR(IF(INDEX(Variablen!$I:$AT, MATCH(M56, Variablen!$A:$A, 0), MATCH((YEAR(D56)+1), Variablen!$I$3:$AT$3, 0))="",L56,INDEX(Variablen!$I:$AT, MATCH(M56, Variablen!$A:$A, 0), MATCH((YEAR(D56)+1), Variablen!$I$3:$AT$3, 0))),L56)))*(IF((YEAR(D56)+1)&lt;YEAR(E56),0,IF((YEAR(D56)+1)&gt;YEAR(E56),1,(12-MONTH(E56)+1)/12))) + (Q56)*(IF((YEAR(D56)+1)&lt;YEAR(E56),0,IF((YEAR(D56)+1)&gt;YEAR(E56),1,(12-MONTH(E56)+1)/12))))-((P56)*(IF((YEAR(D56)+1)&lt;YEAR(E56),0,IF((YEAR(D56)+1)&gt;YEAR(E56),1,(12-MONTH(E56)+1)/12))) + (R56)*(IF((YEAR(D56)+1)&lt;YEAR(E56),0,IF((YEAR(D56)+1)&gt;YEAR(E56),1,(12-MONTH(E56)+1)/12))))-(IF((((K56)*(IF(M56="",L56,IFERROR(IF(INDEX(Variablen!$I:$AT, MATCH(M56, Variablen!$A:$A, 0), MATCH((YEAR(D56)+1), Variablen!$I$3:$AT$3, 0))="",L56,INDEX(Variablen!$I:$AT, MATCH(M56, Variablen!$A:$A, 0), MATCH((YEAR(D56)+1), Variablen!$I$3:$AT$3, 0))),L56)))*(IF((YEAR(D56)+1)&lt;YEAR(E56),0,IF((YEAR(D56)+1)&gt;YEAR(E56),1,(12-MONTH(E56)+1)/12))) + (Q56)*(IF((YEAR(D56)+1)&lt;YEAR(E56),0,IF((YEAR(D56)+1)&gt;YEAR(E56),1,(12-MONTH(E56)+1)/12))))-((P56)*(IF((YEAR(D56)+1)&lt;YEAR(E56),0,IF((YEAR(D56)+1)&gt;YEAR(E56),1,(12-MONTH(E56)+1)/12))) + (R56)*(IF((YEAR(D56)+1)&lt;YEAR(E56),0,IF((YEAR(D56)+1)&gt;YEAR(E56),1,(12-MONTH(E56)+1)/12))))-(IF(OR(N56="",N56&lt;=0),0,(O56/N56)*(IF(OR(N56="",N56&lt;=0),0,IF((YEAR(D56)+1)&lt;YEAR(E56),0,IF((YEAR(D56)+1)&gt;=YEAR(E56)+N56,0,IF((YEAR(D56)+1)=YEAR(E56),(12-MONTH(E56)+1)/12,1))))))))&gt;0,(((K56)*(IF(M56="",L56,IFERROR(IF(INDEX(Variablen!$I:$AT, MATCH(M56, Variablen!$A:$A, 0), MATCH((YEAR(D56)+1), Variablen!$I$3:$AT$3, 0))="",L56,INDEX(Variablen!$I:$AT, MATCH(M56, Variablen!$A:$A, 0), MATCH((YEAR(D56)+1), Variablen!$I$3:$AT$3, 0))),L56)))*(IF((YEAR(D56)+1)&lt;YEAR(E56),0,IF((YEAR(D56)+1)&gt;YEAR(E56),1,(12-MONTH(E56)+1)/12))) + (Q56)*(IF((YEAR(D56)+1)&lt;YEAR(E56),0,IF((YEAR(D56)+1)&gt;YEAR(E56),1,(12-MONTH(E56)+1)/12))))-((P56)*(IF((YEAR(D56)+1)&lt;YEAR(E56),0,IF((YEAR(D56)+1)&gt;YEAR(E56),1,(12-MONTH(E56)+1)/12))) + (R56)*(IF((YEAR(D56)+1)&lt;YEAR(E56),0,IF((YEAR(D56)+1)&gt;YEAR(E56),1,(12-MONTH(E56)+1)/12))))-(IF(OR(N56="",N56&lt;=0),0,(O56/N56)*(IF(OR(N56="",N56&lt;=0),0,IF((YEAR(D56)+1)&lt;YEAR(E56),0,IF((YEAR(D56)+1)&gt;=YEAR(E56)+N56,0,IF((YEAR(D56)+1)=YEAR(E56),(12-MONTH(E56)+1)/12,1))))))))*TaxRate,0))-IF(1=0,O56,0))</f>
        <v/>
      </c>
      <c r="U56" s="29">
        <f>IF(A56="","",((K56)*(IF(M56="",L56,IFERROR(IF(INDEX(Variablen!$I:$AT, MATCH(M56, Variablen!$A:$A, 0), MATCH((YEAR(D56)+2), Variablen!$I$3:$AT$3, 0))="",L56,INDEX(Variablen!$I:$AT, MATCH(M56, Variablen!$A:$A, 0), MATCH((YEAR(D56)+2), Variablen!$I$3:$AT$3, 0))),L56)))*(IF((YEAR(D56)+2)&lt;YEAR(E56),0,IF((YEAR(D56)+2)&gt;YEAR(E56),1,(12-MONTH(E56)+1)/12))) + (Q56)*(IF((YEAR(D56)+2)&lt;YEAR(E56),0,IF((YEAR(D56)+2)&gt;YEAR(E56),1,(12-MONTH(E56)+1)/12))))-((P56)*(IF((YEAR(D56)+2)&lt;YEAR(E56),0,IF((YEAR(D56)+2)&gt;YEAR(E56),1,(12-MONTH(E56)+1)/12))) + (R56)*(IF((YEAR(D56)+2)&lt;YEAR(E56),0,IF((YEAR(D56)+2)&gt;YEAR(E56),1,(12-MONTH(E56)+1)/12))))-(IF((((K56)*(IF(M56="",L56,IFERROR(IF(INDEX(Variablen!$I:$AT, MATCH(M56, Variablen!$A:$A, 0), MATCH((YEAR(D56)+2), Variablen!$I$3:$AT$3, 0))="",L56,INDEX(Variablen!$I:$AT, MATCH(M56, Variablen!$A:$A, 0), MATCH((YEAR(D56)+2), Variablen!$I$3:$AT$3, 0))),L56)))*(IF((YEAR(D56)+2)&lt;YEAR(E56),0,IF((YEAR(D56)+2)&gt;YEAR(E56),1,(12-MONTH(E56)+1)/12))) + (Q56)*(IF((YEAR(D56)+2)&lt;YEAR(E56),0,IF((YEAR(D56)+2)&gt;YEAR(E56),1,(12-MONTH(E56)+1)/12))))-((P56)*(IF((YEAR(D56)+2)&lt;YEAR(E56),0,IF((YEAR(D56)+2)&gt;YEAR(E56),1,(12-MONTH(E56)+1)/12))) + (R56)*(IF((YEAR(D56)+2)&lt;YEAR(E56),0,IF((YEAR(D56)+2)&gt;YEAR(E56),1,(12-MONTH(E56)+1)/12))))-(IF(OR(N56="",N56&lt;=0),0,(O56/N56)*(IF(OR(N56="",N56&lt;=0),0,IF((YEAR(D56)+2)&lt;YEAR(E56),0,IF((YEAR(D56)+2)&gt;=YEAR(E56)+N56,0,IF((YEAR(D56)+2)=YEAR(E56),(12-MONTH(E56)+1)/12,1))))))))&gt;0,(((K56)*(IF(M56="",L56,IFERROR(IF(INDEX(Variablen!$I:$AT, MATCH(M56, Variablen!$A:$A, 0), MATCH((YEAR(D56)+2), Variablen!$I$3:$AT$3, 0))="",L56,INDEX(Variablen!$I:$AT, MATCH(M56, Variablen!$A:$A, 0), MATCH((YEAR(D56)+2), Variablen!$I$3:$AT$3, 0))),L56)))*(IF((YEAR(D56)+2)&lt;YEAR(E56),0,IF((YEAR(D56)+2)&gt;YEAR(E56),1,(12-MONTH(E56)+1)/12))) + (Q56)*(IF((YEAR(D56)+2)&lt;YEAR(E56),0,IF((YEAR(D56)+2)&gt;YEAR(E56),1,(12-MONTH(E56)+1)/12))))-((P56)*(IF((YEAR(D56)+2)&lt;YEAR(E56),0,IF((YEAR(D56)+2)&gt;YEAR(E56),1,(12-MONTH(E56)+1)/12))) + (R56)*(IF((YEAR(D56)+2)&lt;YEAR(E56),0,IF((YEAR(D56)+2)&gt;YEAR(E56),1,(12-MONTH(E56)+1)/12))))-(IF(OR(N56="",N56&lt;=0),0,(O56/N56)*(IF(OR(N56="",N56&lt;=0),0,IF((YEAR(D56)+2)&lt;YEAR(E56),0,IF((YEAR(D56)+2)&gt;=YEAR(E56)+N56,0,IF((YEAR(D56)+2)=YEAR(E56),(12-MONTH(E56)+1)/12,1))))))))*TaxRate,0))-IF(2=0,O56,0))</f>
        <v/>
      </c>
      <c r="V56" s="29">
        <f>IF(A56="","",((K56)*(IF(M56="",L56,IFERROR(IF(INDEX(Variablen!$I:$AT, MATCH(M56, Variablen!$A:$A, 0), MATCH((YEAR(D56)+3), Variablen!$I$3:$AT$3, 0))="",L56,INDEX(Variablen!$I:$AT, MATCH(M56, Variablen!$A:$A, 0), MATCH((YEAR(D56)+3), Variablen!$I$3:$AT$3, 0))),L56)))*(IF((YEAR(D56)+3)&lt;YEAR(E56),0,IF((YEAR(D56)+3)&gt;YEAR(E56),1,(12-MONTH(E56)+1)/12))) + (Q56)*(IF((YEAR(D56)+3)&lt;YEAR(E56),0,IF((YEAR(D56)+3)&gt;YEAR(E56),1,(12-MONTH(E56)+1)/12))))-((P56)*(IF((YEAR(D56)+3)&lt;YEAR(E56),0,IF((YEAR(D56)+3)&gt;YEAR(E56),1,(12-MONTH(E56)+1)/12))) + (R56)*(IF((YEAR(D56)+3)&lt;YEAR(E56),0,IF((YEAR(D56)+3)&gt;YEAR(E56),1,(12-MONTH(E56)+1)/12))))-(IF((((K56)*(IF(M56="",L56,IFERROR(IF(INDEX(Variablen!$I:$AT, MATCH(M56, Variablen!$A:$A, 0), MATCH((YEAR(D56)+3), Variablen!$I$3:$AT$3, 0))="",L56,INDEX(Variablen!$I:$AT, MATCH(M56, Variablen!$A:$A, 0), MATCH((YEAR(D56)+3), Variablen!$I$3:$AT$3, 0))),L56)))*(IF((YEAR(D56)+3)&lt;YEAR(E56),0,IF((YEAR(D56)+3)&gt;YEAR(E56),1,(12-MONTH(E56)+1)/12))) + (Q56)*(IF((YEAR(D56)+3)&lt;YEAR(E56),0,IF((YEAR(D56)+3)&gt;YEAR(E56),1,(12-MONTH(E56)+1)/12))))-((P56)*(IF((YEAR(D56)+3)&lt;YEAR(E56),0,IF((YEAR(D56)+3)&gt;YEAR(E56),1,(12-MONTH(E56)+1)/12))) + (R56)*(IF((YEAR(D56)+3)&lt;YEAR(E56),0,IF((YEAR(D56)+3)&gt;YEAR(E56),1,(12-MONTH(E56)+1)/12))))-(IF(OR(N56="",N56&lt;=0),0,(O56/N56)*(IF(OR(N56="",N56&lt;=0),0,IF((YEAR(D56)+3)&lt;YEAR(E56),0,IF((YEAR(D56)+3)&gt;=YEAR(E56)+N56,0,IF((YEAR(D56)+3)=YEAR(E56),(12-MONTH(E56)+1)/12,1))))))))&gt;0,(((K56)*(IF(M56="",L56,IFERROR(IF(INDEX(Variablen!$I:$AT, MATCH(M56, Variablen!$A:$A, 0), MATCH((YEAR(D56)+3), Variablen!$I$3:$AT$3, 0))="",L56,INDEX(Variablen!$I:$AT, MATCH(M56, Variablen!$A:$A, 0), MATCH((YEAR(D56)+3), Variablen!$I$3:$AT$3, 0))),L56)))*(IF((YEAR(D56)+3)&lt;YEAR(E56),0,IF((YEAR(D56)+3)&gt;YEAR(E56),1,(12-MONTH(E56)+1)/12))) + (Q56)*(IF((YEAR(D56)+3)&lt;YEAR(E56),0,IF((YEAR(D56)+3)&gt;YEAR(E56),1,(12-MONTH(E56)+1)/12))))-((P56)*(IF((YEAR(D56)+3)&lt;YEAR(E56),0,IF((YEAR(D56)+3)&gt;YEAR(E56),1,(12-MONTH(E56)+1)/12))) + (R56)*(IF((YEAR(D56)+3)&lt;YEAR(E56),0,IF((YEAR(D56)+3)&gt;YEAR(E56),1,(12-MONTH(E56)+1)/12))))-(IF(OR(N56="",N56&lt;=0),0,(O56/N56)*(IF(OR(N56="",N56&lt;=0),0,IF((YEAR(D56)+3)&lt;YEAR(E56),0,IF((YEAR(D56)+3)&gt;=YEAR(E56)+N56,0,IF((YEAR(D56)+3)=YEAR(E56),(12-MONTH(E56)+1)/12,1))))))))*TaxRate,0))-IF(3=0,O56,0))</f>
        <v/>
      </c>
      <c r="W56" s="29">
        <f>IF(A56="","",((K56)*(IF(M56="",L56,IFERROR(IF(INDEX(Variablen!$I:$AT, MATCH(M56, Variablen!$A:$A, 0), MATCH((YEAR(D56)+4), Variablen!$I$3:$AT$3, 0))="",L56,INDEX(Variablen!$I:$AT, MATCH(M56, Variablen!$A:$A, 0), MATCH((YEAR(D56)+4), Variablen!$I$3:$AT$3, 0))),L56)))*(IF((YEAR(D56)+4)&lt;YEAR(E56),0,IF((YEAR(D56)+4)&gt;YEAR(E56),1,(12-MONTH(E56)+1)/12))) + (Q56)*(IF((YEAR(D56)+4)&lt;YEAR(E56),0,IF((YEAR(D56)+4)&gt;YEAR(E56),1,(12-MONTH(E56)+1)/12))))-((P56)*(IF((YEAR(D56)+4)&lt;YEAR(E56),0,IF((YEAR(D56)+4)&gt;YEAR(E56),1,(12-MONTH(E56)+1)/12))) + (R56)*(IF((YEAR(D56)+4)&lt;YEAR(E56),0,IF((YEAR(D56)+4)&gt;YEAR(E56),1,(12-MONTH(E56)+1)/12))))-(IF((((K56)*(IF(M56="",L56,IFERROR(IF(INDEX(Variablen!$I:$AT, MATCH(M56, Variablen!$A:$A, 0), MATCH((YEAR(D56)+4), Variablen!$I$3:$AT$3, 0))="",L56,INDEX(Variablen!$I:$AT, MATCH(M56, Variablen!$A:$A, 0), MATCH((YEAR(D56)+4), Variablen!$I$3:$AT$3, 0))),L56)))*(IF((YEAR(D56)+4)&lt;YEAR(E56),0,IF((YEAR(D56)+4)&gt;YEAR(E56),1,(12-MONTH(E56)+1)/12))) + (Q56)*(IF((YEAR(D56)+4)&lt;YEAR(E56),0,IF((YEAR(D56)+4)&gt;YEAR(E56),1,(12-MONTH(E56)+1)/12))))-((P56)*(IF((YEAR(D56)+4)&lt;YEAR(E56),0,IF((YEAR(D56)+4)&gt;YEAR(E56),1,(12-MONTH(E56)+1)/12))) + (R56)*(IF((YEAR(D56)+4)&lt;YEAR(E56),0,IF((YEAR(D56)+4)&gt;YEAR(E56),1,(12-MONTH(E56)+1)/12))))-(IF(OR(N56="",N56&lt;=0),0,(O56/N56)*(IF(OR(N56="",N56&lt;=0),0,IF((YEAR(D56)+4)&lt;YEAR(E56),0,IF((YEAR(D56)+4)&gt;=YEAR(E56)+N56,0,IF((YEAR(D56)+4)=YEAR(E56),(12-MONTH(E56)+1)/12,1))))))))&gt;0,(((K56)*(IF(M56="",L56,IFERROR(IF(INDEX(Variablen!$I:$AT, MATCH(M56, Variablen!$A:$A, 0), MATCH((YEAR(D56)+4), Variablen!$I$3:$AT$3, 0))="",L56,INDEX(Variablen!$I:$AT, MATCH(M56, Variablen!$A:$A, 0), MATCH((YEAR(D56)+4), Variablen!$I$3:$AT$3, 0))),L56)))*(IF((YEAR(D56)+4)&lt;YEAR(E56),0,IF((YEAR(D56)+4)&gt;YEAR(E56),1,(12-MONTH(E56)+1)/12))) + (Q56)*(IF((YEAR(D56)+4)&lt;YEAR(E56),0,IF((YEAR(D56)+4)&gt;YEAR(E56),1,(12-MONTH(E56)+1)/12))))-((P56)*(IF((YEAR(D56)+4)&lt;YEAR(E56),0,IF((YEAR(D56)+4)&gt;YEAR(E56),1,(12-MONTH(E56)+1)/12))) + (R56)*(IF((YEAR(D56)+4)&lt;YEAR(E56),0,IF((YEAR(D56)+4)&gt;YEAR(E56),1,(12-MONTH(E56)+1)/12))))-(IF(OR(N56="",N56&lt;=0),0,(O56/N56)*(IF(OR(N56="",N56&lt;=0),0,IF((YEAR(D56)+4)&lt;YEAR(E56),0,IF((YEAR(D56)+4)&gt;=YEAR(E56)+N56,0,IF((YEAR(D56)+4)=YEAR(E56),(12-MONTH(E56)+1)/12,1))))))))*TaxRate,0))-IF(4=0,O56,0))</f>
        <v/>
      </c>
      <c r="X56" s="29">
        <f>IF(A56="","",((K56)*(IF(M56="",L56,IFERROR(IF(INDEX(Variablen!$I:$AT, MATCH(M56, Variablen!$A:$A, 0), MATCH((YEAR(D56)+5), Variablen!$I$3:$AT$3, 0))="",L56,INDEX(Variablen!$I:$AT, MATCH(M56, Variablen!$A:$A, 0), MATCH((YEAR(D56)+5), Variablen!$I$3:$AT$3, 0))),L56)))*(IF((YEAR(D56)+5)&lt;YEAR(E56),0,IF((YEAR(D56)+5)&gt;YEAR(E56),1,(12-MONTH(E56)+1)/12))) + (Q56)*(IF((YEAR(D56)+5)&lt;YEAR(E56),0,IF((YEAR(D56)+5)&gt;YEAR(E56),1,(12-MONTH(E56)+1)/12))))-((P56)*(IF((YEAR(D56)+5)&lt;YEAR(E56),0,IF((YEAR(D56)+5)&gt;YEAR(E56),1,(12-MONTH(E56)+1)/12))) + (R56)*(IF((YEAR(D56)+5)&lt;YEAR(E56),0,IF((YEAR(D56)+5)&gt;YEAR(E56),1,(12-MONTH(E56)+1)/12))))-(IF((((K56)*(IF(M56="",L56,IFERROR(IF(INDEX(Variablen!$I:$AT, MATCH(M56, Variablen!$A:$A, 0), MATCH((YEAR(D56)+5), Variablen!$I$3:$AT$3, 0))="",L56,INDEX(Variablen!$I:$AT, MATCH(M56, Variablen!$A:$A, 0), MATCH((YEAR(D56)+5), Variablen!$I$3:$AT$3, 0))),L56)))*(IF((YEAR(D56)+5)&lt;YEAR(E56),0,IF((YEAR(D56)+5)&gt;YEAR(E56),1,(12-MONTH(E56)+1)/12))) + (Q56)*(IF((YEAR(D56)+5)&lt;YEAR(E56),0,IF((YEAR(D56)+5)&gt;YEAR(E56),1,(12-MONTH(E56)+1)/12))))-((P56)*(IF((YEAR(D56)+5)&lt;YEAR(E56),0,IF((YEAR(D56)+5)&gt;YEAR(E56),1,(12-MONTH(E56)+1)/12))) + (R56)*(IF((YEAR(D56)+5)&lt;YEAR(E56),0,IF((YEAR(D56)+5)&gt;YEAR(E56),1,(12-MONTH(E56)+1)/12))))-(IF(OR(N56="",N56&lt;=0),0,(O56/N56)*(IF(OR(N56="",N56&lt;=0),0,IF((YEAR(D56)+5)&lt;YEAR(E56),0,IF((YEAR(D56)+5)&gt;=YEAR(E56)+N56,0,IF((YEAR(D56)+5)=YEAR(E56),(12-MONTH(E56)+1)/12,1))))))))&gt;0,(((K56)*(IF(M56="",L56,IFERROR(IF(INDEX(Variablen!$I:$AT, MATCH(M56, Variablen!$A:$A, 0), MATCH((YEAR(D56)+5), Variablen!$I$3:$AT$3, 0))="",L56,INDEX(Variablen!$I:$AT, MATCH(M56, Variablen!$A:$A, 0), MATCH((YEAR(D56)+5), Variablen!$I$3:$AT$3, 0))),L56)))*(IF((YEAR(D56)+5)&lt;YEAR(E56),0,IF((YEAR(D56)+5)&gt;YEAR(E56),1,(12-MONTH(E56)+1)/12))) + (Q56)*(IF((YEAR(D56)+5)&lt;YEAR(E56),0,IF((YEAR(D56)+5)&gt;YEAR(E56),1,(12-MONTH(E56)+1)/12))))-((P56)*(IF((YEAR(D56)+5)&lt;YEAR(E56),0,IF((YEAR(D56)+5)&gt;YEAR(E56),1,(12-MONTH(E56)+1)/12))) + (R56)*(IF((YEAR(D56)+5)&lt;YEAR(E56),0,IF((YEAR(D56)+5)&gt;YEAR(E56),1,(12-MONTH(E56)+1)/12))))-(IF(OR(N56="",N56&lt;=0),0,(O56/N56)*(IF(OR(N56="",N56&lt;=0),0,IF((YEAR(D56)+5)&lt;YEAR(E56),0,IF((YEAR(D56)+5)&gt;=YEAR(E56)+N56,0,IF((YEAR(D56)+5)=YEAR(E56),(12-MONTH(E56)+1)/12,1))))))))*TaxRate,0))-IF(5=0,O56,0))</f>
        <v/>
      </c>
      <c r="Y56" s="29">
        <f>IF(A56="","",((K56)*(IF(M56="",L56,IFERROR(IF(INDEX(Variablen!$I:$AT, MATCH(M56, Variablen!$A:$A, 0), MATCH((YEAR(D56)+6), Variablen!$I$3:$AT$3, 0))="",L56,INDEX(Variablen!$I:$AT, MATCH(M56, Variablen!$A:$A, 0), MATCH((YEAR(D56)+6), Variablen!$I$3:$AT$3, 0))),L56)))*(IF((YEAR(D56)+6)&lt;YEAR(E56),0,IF((YEAR(D56)+6)&gt;YEAR(E56),1,(12-MONTH(E56)+1)/12))) + (Q56)*(IF((YEAR(D56)+6)&lt;YEAR(E56),0,IF((YEAR(D56)+6)&gt;YEAR(E56),1,(12-MONTH(E56)+1)/12))))-((P56)*(IF((YEAR(D56)+6)&lt;YEAR(E56),0,IF((YEAR(D56)+6)&gt;YEAR(E56),1,(12-MONTH(E56)+1)/12))) + (R56)*(IF((YEAR(D56)+6)&lt;YEAR(E56),0,IF((YEAR(D56)+6)&gt;YEAR(E56),1,(12-MONTH(E56)+1)/12))))-(IF((((K56)*(IF(M56="",L56,IFERROR(IF(INDEX(Variablen!$I:$AT, MATCH(M56, Variablen!$A:$A, 0), MATCH((YEAR(D56)+6), Variablen!$I$3:$AT$3, 0))="",L56,INDEX(Variablen!$I:$AT, MATCH(M56, Variablen!$A:$A, 0), MATCH((YEAR(D56)+6), Variablen!$I$3:$AT$3, 0))),L56)))*(IF((YEAR(D56)+6)&lt;YEAR(E56),0,IF((YEAR(D56)+6)&gt;YEAR(E56),1,(12-MONTH(E56)+1)/12))) + (Q56)*(IF((YEAR(D56)+6)&lt;YEAR(E56),0,IF((YEAR(D56)+6)&gt;YEAR(E56),1,(12-MONTH(E56)+1)/12))))-((P56)*(IF((YEAR(D56)+6)&lt;YEAR(E56),0,IF((YEAR(D56)+6)&gt;YEAR(E56),1,(12-MONTH(E56)+1)/12))) + (R56)*(IF((YEAR(D56)+6)&lt;YEAR(E56),0,IF((YEAR(D56)+6)&gt;YEAR(E56),1,(12-MONTH(E56)+1)/12))))-(IF(OR(N56="",N56&lt;=0),0,(O56/N56)*(IF(OR(N56="",N56&lt;=0),0,IF((YEAR(D56)+6)&lt;YEAR(E56),0,IF((YEAR(D56)+6)&gt;=YEAR(E56)+N56,0,IF((YEAR(D56)+6)=YEAR(E56),(12-MONTH(E56)+1)/12,1))))))))&gt;0,(((K56)*(IF(M56="",L56,IFERROR(IF(INDEX(Variablen!$I:$AT, MATCH(M56, Variablen!$A:$A, 0), MATCH((YEAR(D56)+6), Variablen!$I$3:$AT$3, 0))="",L56,INDEX(Variablen!$I:$AT, MATCH(M56, Variablen!$A:$A, 0), MATCH((YEAR(D56)+6), Variablen!$I$3:$AT$3, 0))),L56)))*(IF((YEAR(D56)+6)&lt;YEAR(E56),0,IF((YEAR(D56)+6)&gt;YEAR(E56),1,(12-MONTH(E56)+1)/12))) + (Q56)*(IF((YEAR(D56)+6)&lt;YEAR(E56),0,IF((YEAR(D56)+6)&gt;YEAR(E56),1,(12-MONTH(E56)+1)/12))))-((P56)*(IF((YEAR(D56)+6)&lt;YEAR(E56),0,IF((YEAR(D56)+6)&gt;YEAR(E56),1,(12-MONTH(E56)+1)/12))) + (R56)*(IF((YEAR(D56)+6)&lt;YEAR(E56),0,IF((YEAR(D56)+6)&gt;YEAR(E56),1,(12-MONTH(E56)+1)/12))))-(IF(OR(N56="",N56&lt;=0),0,(O56/N56)*(IF(OR(N56="",N56&lt;=0),0,IF((YEAR(D56)+6)&lt;YEAR(E56),0,IF((YEAR(D56)+6)&gt;=YEAR(E56)+N56,0,IF((YEAR(D56)+6)=YEAR(E56),(12-MONTH(E56)+1)/12,1))))))))*TaxRate,0))-IF(6=0,O56,0))</f>
        <v/>
      </c>
      <c r="Z56" s="29">
        <f>IF(A56="","",((K56)*(IF(M56="",L56,IFERROR(IF(INDEX(Variablen!$I:$AT, MATCH(M56, Variablen!$A:$A, 0), MATCH((YEAR(D56)+7), Variablen!$I$3:$AT$3, 0))="",L56,INDEX(Variablen!$I:$AT, MATCH(M56, Variablen!$A:$A, 0), MATCH((YEAR(D56)+7), Variablen!$I$3:$AT$3, 0))),L56)))*(IF((YEAR(D56)+7)&lt;YEAR(E56),0,IF((YEAR(D56)+7)&gt;YEAR(E56),1,(12-MONTH(E56)+1)/12))) + (Q56)*(IF((YEAR(D56)+7)&lt;YEAR(E56),0,IF((YEAR(D56)+7)&gt;YEAR(E56),1,(12-MONTH(E56)+1)/12))))-((P56)*(IF((YEAR(D56)+7)&lt;YEAR(E56),0,IF((YEAR(D56)+7)&gt;YEAR(E56),1,(12-MONTH(E56)+1)/12))) + (R56)*(IF((YEAR(D56)+7)&lt;YEAR(E56),0,IF((YEAR(D56)+7)&gt;YEAR(E56),1,(12-MONTH(E56)+1)/12))))-(IF((((K56)*(IF(M56="",L56,IFERROR(IF(INDEX(Variablen!$I:$AT, MATCH(M56, Variablen!$A:$A, 0), MATCH((YEAR(D56)+7), Variablen!$I$3:$AT$3, 0))="",L56,INDEX(Variablen!$I:$AT, MATCH(M56, Variablen!$A:$A, 0), MATCH((YEAR(D56)+7), Variablen!$I$3:$AT$3, 0))),L56)))*(IF((YEAR(D56)+7)&lt;YEAR(E56),0,IF((YEAR(D56)+7)&gt;YEAR(E56),1,(12-MONTH(E56)+1)/12))) + (Q56)*(IF((YEAR(D56)+7)&lt;YEAR(E56),0,IF((YEAR(D56)+7)&gt;YEAR(E56),1,(12-MONTH(E56)+1)/12))))-((P56)*(IF((YEAR(D56)+7)&lt;YEAR(E56),0,IF((YEAR(D56)+7)&gt;YEAR(E56),1,(12-MONTH(E56)+1)/12))) + (R56)*(IF((YEAR(D56)+7)&lt;YEAR(E56),0,IF((YEAR(D56)+7)&gt;YEAR(E56),1,(12-MONTH(E56)+1)/12))))-(IF(OR(N56="",N56&lt;=0),0,(O56/N56)*(IF(OR(N56="",N56&lt;=0),0,IF((YEAR(D56)+7)&lt;YEAR(E56),0,IF((YEAR(D56)+7)&gt;=YEAR(E56)+N56,0,IF((YEAR(D56)+7)=YEAR(E56),(12-MONTH(E56)+1)/12,1))))))))&gt;0,(((K56)*(IF(M56="",L56,IFERROR(IF(INDEX(Variablen!$I:$AT, MATCH(M56, Variablen!$A:$A, 0), MATCH((YEAR(D56)+7), Variablen!$I$3:$AT$3, 0))="",L56,INDEX(Variablen!$I:$AT, MATCH(M56, Variablen!$A:$A, 0), MATCH((YEAR(D56)+7), Variablen!$I$3:$AT$3, 0))),L56)))*(IF((YEAR(D56)+7)&lt;YEAR(E56),0,IF((YEAR(D56)+7)&gt;YEAR(E56),1,(12-MONTH(E56)+1)/12))) + (Q56)*(IF((YEAR(D56)+7)&lt;YEAR(E56),0,IF((YEAR(D56)+7)&gt;YEAR(E56),1,(12-MONTH(E56)+1)/12))))-((P56)*(IF((YEAR(D56)+7)&lt;YEAR(E56),0,IF((YEAR(D56)+7)&gt;YEAR(E56),1,(12-MONTH(E56)+1)/12))) + (R56)*(IF((YEAR(D56)+7)&lt;YEAR(E56),0,IF((YEAR(D56)+7)&gt;YEAR(E56),1,(12-MONTH(E56)+1)/12))))-(IF(OR(N56="",N56&lt;=0),0,(O56/N56)*(IF(OR(N56="",N56&lt;=0),0,IF((YEAR(D56)+7)&lt;YEAR(E56),0,IF((YEAR(D56)+7)&gt;=YEAR(E56)+N56,0,IF((YEAR(D56)+7)=YEAR(E56),(12-MONTH(E56)+1)/12,1))))))))*TaxRate,0))-IF(7=0,O56,0))</f>
        <v/>
      </c>
      <c r="AA56" s="29">
        <f>IF(A56="","",((K56)*(IF(M56="",L56,IFERROR(IF(INDEX(Variablen!$I:$AT, MATCH(M56, Variablen!$A:$A, 0), MATCH((YEAR(D56)+8), Variablen!$I$3:$AT$3, 0))="",L56,INDEX(Variablen!$I:$AT, MATCH(M56, Variablen!$A:$A, 0), MATCH((YEAR(D56)+8), Variablen!$I$3:$AT$3, 0))),L56)))*(IF((YEAR(D56)+8)&lt;YEAR(E56),0,IF((YEAR(D56)+8)&gt;YEAR(E56),1,(12-MONTH(E56)+1)/12))) + (Q56)*(IF((YEAR(D56)+8)&lt;YEAR(E56),0,IF((YEAR(D56)+8)&gt;YEAR(E56),1,(12-MONTH(E56)+1)/12))))-((P56)*(IF((YEAR(D56)+8)&lt;YEAR(E56),0,IF((YEAR(D56)+8)&gt;YEAR(E56),1,(12-MONTH(E56)+1)/12))) + (R56)*(IF((YEAR(D56)+8)&lt;YEAR(E56),0,IF((YEAR(D56)+8)&gt;YEAR(E56),1,(12-MONTH(E56)+1)/12))))-(IF((((K56)*(IF(M56="",L56,IFERROR(IF(INDEX(Variablen!$I:$AT, MATCH(M56, Variablen!$A:$A, 0), MATCH((YEAR(D56)+8), Variablen!$I$3:$AT$3, 0))="",L56,INDEX(Variablen!$I:$AT, MATCH(M56, Variablen!$A:$A, 0), MATCH((YEAR(D56)+8), Variablen!$I$3:$AT$3, 0))),L56)))*(IF((YEAR(D56)+8)&lt;YEAR(E56),0,IF((YEAR(D56)+8)&gt;YEAR(E56),1,(12-MONTH(E56)+1)/12))) + (Q56)*(IF((YEAR(D56)+8)&lt;YEAR(E56),0,IF((YEAR(D56)+8)&gt;YEAR(E56),1,(12-MONTH(E56)+1)/12))))-((P56)*(IF((YEAR(D56)+8)&lt;YEAR(E56),0,IF((YEAR(D56)+8)&gt;YEAR(E56),1,(12-MONTH(E56)+1)/12))) + (R56)*(IF((YEAR(D56)+8)&lt;YEAR(E56),0,IF((YEAR(D56)+8)&gt;YEAR(E56),1,(12-MONTH(E56)+1)/12))))-(IF(OR(N56="",N56&lt;=0),0,(O56/N56)*(IF(OR(N56="",N56&lt;=0),0,IF((YEAR(D56)+8)&lt;YEAR(E56),0,IF((YEAR(D56)+8)&gt;=YEAR(E56)+N56,0,IF((YEAR(D56)+8)=YEAR(E56),(12-MONTH(E56)+1)/12,1))))))))&gt;0,(((K56)*(IF(M56="",L56,IFERROR(IF(INDEX(Variablen!$I:$AT, MATCH(M56, Variablen!$A:$A, 0), MATCH((YEAR(D56)+8), Variablen!$I$3:$AT$3, 0))="",L56,INDEX(Variablen!$I:$AT, MATCH(M56, Variablen!$A:$A, 0), MATCH((YEAR(D56)+8), Variablen!$I$3:$AT$3, 0))),L56)))*(IF((YEAR(D56)+8)&lt;YEAR(E56),0,IF((YEAR(D56)+8)&gt;YEAR(E56),1,(12-MONTH(E56)+1)/12))) + (Q56)*(IF((YEAR(D56)+8)&lt;YEAR(E56),0,IF((YEAR(D56)+8)&gt;YEAR(E56),1,(12-MONTH(E56)+1)/12))))-((P56)*(IF((YEAR(D56)+8)&lt;YEAR(E56),0,IF((YEAR(D56)+8)&gt;YEAR(E56),1,(12-MONTH(E56)+1)/12))) + (R56)*(IF((YEAR(D56)+8)&lt;YEAR(E56),0,IF((YEAR(D56)+8)&gt;YEAR(E56),1,(12-MONTH(E56)+1)/12))))-(IF(OR(N56="",N56&lt;=0),0,(O56/N56)*(IF(OR(N56="",N56&lt;=0),0,IF((YEAR(D56)+8)&lt;YEAR(E56),0,IF((YEAR(D56)+8)&gt;=YEAR(E56)+N56,0,IF((YEAR(D56)+8)=YEAR(E56),(12-MONTH(E56)+1)/12,1))))))))*TaxRate,0))-IF(8=0,O56,0))</f>
        <v/>
      </c>
      <c r="AB56" s="29">
        <f>IF(A56="","",((K56)*(IF(M56="",L56,IFERROR(IF(INDEX(Variablen!$I:$AT, MATCH(M56, Variablen!$A:$A, 0), MATCH((YEAR(D56)+9), Variablen!$I$3:$AT$3, 0))="",L56,INDEX(Variablen!$I:$AT, MATCH(M56, Variablen!$A:$A, 0), MATCH((YEAR(D56)+9), Variablen!$I$3:$AT$3, 0))),L56)))*(IF((YEAR(D56)+9)&lt;YEAR(E56),0,IF((YEAR(D56)+9)&gt;YEAR(E56),1,(12-MONTH(E56)+1)/12))) + (Q56)*(IF((YEAR(D56)+9)&lt;YEAR(E56),0,IF((YEAR(D56)+9)&gt;YEAR(E56),1,(12-MONTH(E56)+1)/12))))-((P56)*(IF((YEAR(D56)+9)&lt;YEAR(E56),0,IF((YEAR(D56)+9)&gt;YEAR(E56),1,(12-MONTH(E56)+1)/12))) + (R56)*(IF((YEAR(D56)+9)&lt;YEAR(E56),0,IF((YEAR(D56)+9)&gt;YEAR(E56),1,(12-MONTH(E56)+1)/12))))-(IF((((K56)*(IF(M56="",L56,IFERROR(IF(INDEX(Variablen!$I:$AT, MATCH(M56, Variablen!$A:$A, 0), MATCH((YEAR(D56)+9), Variablen!$I$3:$AT$3, 0))="",L56,INDEX(Variablen!$I:$AT, MATCH(M56, Variablen!$A:$A, 0), MATCH((YEAR(D56)+9), Variablen!$I$3:$AT$3, 0))),L56)))*(IF((YEAR(D56)+9)&lt;YEAR(E56),0,IF((YEAR(D56)+9)&gt;YEAR(E56),1,(12-MONTH(E56)+1)/12))) + (Q56)*(IF((YEAR(D56)+9)&lt;YEAR(E56),0,IF((YEAR(D56)+9)&gt;YEAR(E56),1,(12-MONTH(E56)+1)/12))))-((P56)*(IF((YEAR(D56)+9)&lt;YEAR(E56),0,IF((YEAR(D56)+9)&gt;YEAR(E56),1,(12-MONTH(E56)+1)/12))) + (R56)*(IF((YEAR(D56)+9)&lt;YEAR(E56),0,IF((YEAR(D56)+9)&gt;YEAR(E56),1,(12-MONTH(E56)+1)/12))))-(IF(OR(N56="",N56&lt;=0),0,(O56/N56)*(IF(OR(N56="",N56&lt;=0),0,IF((YEAR(D56)+9)&lt;YEAR(E56),0,IF((YEAR(D56)+9)&gt;=YEAR(E56)+N56,0,IF((YEAR(D56)+9)=YEAR(E56),(12-MONTH(E56)+1)/12,1))))))))&gt;0,(((K56)*(IF(M56="",L56,IFERROR(IF(INDEX(Variablen!$I:$AT, MATCH(M56, Variablen!$A:$A, 0), MATCH((YEAR(D56)+9), Variablen!$I$3:$AT$3, 0))="",L56,INDEX(Variablen!$I:$AT, MATCH(M56, Variablen!$A:$A, 0), MATCH((YEAR(D56)+9), Variablen!$I$3:$AT$3, 0))),L56)))*(IF((YEAR(D56)+9)&lt;YEAR(E56),0,IF((YEAR(D56)+9)&gt;YEAR(E56),1,(12-MONTH(E56)+1)/12))) + (Q56)*(IF((YEAR(D56)+9)&lt;YEAR(E56),0,IF((YEAR(D56)+9)&gt;YEAR(E56),1,(12-MONTH(E56)+1)/12))))-((P56)*(IF((YEAR(D56)+9)&lt;YEAR(E56),0,IF((YEAR(D56)+9)&gt;YEAR(E56),1,(12-MONTH(E56)+1)/12))) + (R56)*(IF((YEAR(D56)+9)&lt;YEAR(E56),0,IF((YEAR(D56)+9)&gt;YEAR(E56),1,(12-MONTH(E56)+1)/12))))-(IF(OR(N56="",N56&lt;=0),0,(O56/N56)*(IF(OR(N56="",N56&lt;=0),0,IF((YEAR(D56)+9)&lt;YEAR(E56),0,IF((YEAR(D56)+9)&gt;=YEAR(E56)+N56,0,IF((YEAR(D56)+9)=YEAR(E56),(12-MONTH(E56)+1)/12,1))))))))*TaxRate,0))-IF(9=0,O56,0))</f>
        <v/>
      </c>
      <c r="AC56" s="29">
        <f>IF(A56="","",((K56)*(IF(M56="",L56,IFERROR(IF(INDEX(Variablen!$I:$AT, MATCH(M56, Variablen!$A:$A, 0), MATCH((YEAR(D56)+10), Variablen!$I$3:$AT$3, 0))="",L56,INDEX(Variablen!$I:$AT, MATCH(M56, Variablen!$A:$A, 0), MATCH((YEAR(D56)+10), Variablen!$I$3:$AT$3, 0))),L56)))*(IF((YEAR(D56)+10)&lt;YEAR(E56),0,IF((YEAR(D56)+10)&gt;YEAR(E56),1,(12-MONTH(E56)+1)/12))) + (Q56)*(IF((YEAR(D56)+10)&lt;YEAR(E56),0,IF((YEAR(D56)+10)&gt;YEAR(E56),1,(12-MONTH(E56)+1)/12))))-((P56)*(IF((YEAR(D56)+10)&lt;YEAR(E56),0,IF((YEAR(D56)+10)&gt;YEAR(E56),1,(12-MONTH(E56)+1)/12))) + (R56)*(IF((YEAR(D56)+10)&lt;YEAR(E56),0,IF((YEAR(D56)+10)&gt;YEAR(E56),1,(12-MONTH(E56)+1)/12))))-(IF((((K56)*(IF(M56="",L56,IFERROR(IF(INDEX(Variablen!$I:$AT, MATCH(M56, Variablen!$A:$A, 0), MATCH((YEAR(D56)+10), Variablen!$I$3:$AT$3, 0))="",L56,INDEX(Variablen!$I:$AT, MATCH(M56, Variablen!$A:$A, 0), MATCH((YEAR(D56)+10), Variablen!$I$3:$AT$3, 0))),L56)))*(IF((YEAR(D56)+10)&lt;YEAR(E56),0,IF((YEAR(D56)+10)&gt;YEAR(E56),1,(12-MONTH(E56)+1)/12))) + (Q56)*(IF((YEAR(D56)+10)&lt;YEAR(E56),0,IF((YEAR(D56)+10)&gt;YEAR(E56),1,(12-MONTH(E56)+1)/12))))-((P56)*(IF((YEAR(D56)+10)&lt;YEAR(E56),0,IF((YEAR(D56)+10)&gt;YEAR(E56),1,(12-MONTH(E56)+1)/12))) + (R56)*(IF((YEAR(D56)+10)&lt;YEAR(E56),0,IF((YEAR(D56)+10)&gt;YEAR(E56),1,(12-MONTH(E56)+1)/12))))-(IF(OR(N56="",N56&lt;=0),0,(O56/N56)*(IF(OR(N56="",N56&lt;=0),0,IF((YEAR(D56)+10)&lt;YEAR(E56),0,IF((YEAR(D56)+10)&gt;=YEAR(E56)+N56,0,IF((YEAR(D56)+10)=YEAR(E56),(12-MONTH(E56)+1)/12,1))))))))&gt;0,(((K56)*(IF(M56="",L56,IFERROR(IF(INDEX(Variablen!$I:$AT, MATCH(M56, Variablen!$A:$A, 0), MATCH((YEAR(D56)+10), Variablen!$I$3:$AT$3, 0))="",L56,INDEX(Variablen!$I:$AT, MATCH(M56, Variablen!$A:$A, 0), MATCH((YEAR(D56)+10), Variablen!$I$3:$AT$3, 0))),L56)))*(IF((YEAR(D56)+10)&lt;YEAR(E56),0,IF((YEAR(D56)+10)&gt;YEAR(E56),1,(12-MONTH(E56)+1)/12))) + (Q56)*(IF((YEAR(D56)+10)&lt;YEAR(E56),0,IF((YEAR(D56)+10)&gt;YEAR(E56),1,(12-MONTH(E56)+1)/12))))-((P56)*(IF((YEAR(D56)+10)&lt;YEAR(E56),0,IF((YEAR(D56)+10)&gt;YEAR(E56),1,(12-MONTH(E56)+1)/12))) + (R56)*(IF((YEAR(D56)+10)&lt;YEAR(E56),0,IF((YEAR(D56)+10)&gt;YEAR(E56),1,(12-MONTH(E56)+1)/12))))-(IF(OR(N56="",N56&lt;=0),0,(O56/N56)*(IF(OR(N56="",N56&lt;=0),0,IF((YEAR(D56)+10)&lt;YEAR(E56),0,IF((YEAR(D56)+10)&gt;=YEAR(E56)+N56,0,IF((YEAR(D56)+10)=YEAR(E56),(12-MONTH(E56)+1)/12,1))))))))*TaxRate,0))-IF(10=0,O56,0))</f>
        <v/>
      </c>
      <c r="AD56" s="29">
        <f>IF(A56="","",((K56)*(IF(M56="",L56,IFERROR(IF(INDEX(Variablen!$I:$AT, MATCH(M56, Variablen!$A:$A, 0), MATCH((YEAR(D56)+11), Variablen!$I$3:$AT$3, 0))="",L56,INDEX(Variablen!$I:$AT, MATCH(M56, Variablen!$A:$A, 0), MATCH((YEAR(D56)+11), Variablen!$I$3:$AT$3, 0))),L56)))*(IF((YEAR(D56)+11)&lt;YEAR(E56),0,IF((YEAR(D56)+11)&gt;YEAR(E56),1,(12-MONTH(E56)+1)/12))) + (Q56)*(IF((YEAR(D56)+11)&lt;YEAR(E56),0,IF((YEAR(D56)+11)&gt;YEAR(E56),1,(12-MONTH(E56)+1)/12))))-((P56)*(IF((YEAR(D56)+11)&lt;YEAR(E56),0,IF((YEAR(D56)+11)&gt;YEAR(E56),1,(12-MONTH(E56)+1)/12))) + (R56)*(IF((YEAR(D56)+11)&lt;YEAR(E56),0,IF((YEAR(D56)+11)&gt;YEAR(E56),1,(12-MONTH(E56)+1)/12))))-(IF((((K56)*(IF(M56="",L56,IFERROR(IF(INDEX(Variablen!$I:$AT, MATCH(M56, Variablen!$A:$A, 0), MATCH((YEAR(D56)+11), Variablen!$I$3:$AT$3, 0))="",L56,INDEX(Variablen!$I:$AT, MATCH(M56, Variablen!$A:$A, 0), MATCH((YEAR(D56)+11), Variablen!$I$3:$AT$3, 0))),L56)))*(IF((YEAR(D56)+11)&lt;YEAR(E56),0,IF((YEAR(D56)+11)&gt;YEAR(E56),1,(12-MONTH(E56)+1)/12))) + (Q56)*(IF((YEAR(D56)+11)&lt;YEAR(E56),0,IF((YEAR(D56)+11)&gt;YEAR(E56),1,(12-MONTH(E56)+1)/12))))-((P56)*(IF((YEAR(D56)+11)&lt;YEAR(E56),0,IF((YEAR(D56)+11)&gt;YEAR(E56),1,(12-MONTH(E56)+1)/12))) + (R56)*(IF((YEAR(D56)+11)&lt;YEAR(E56),0,IF((YEAR(D56)+11)&gt;YEAR(E56),1,(12-MONTH(E56)+1)/12))))-(IF(OR(N56="",N56&lt;=0),0,(O56/N56)*(IF(OR(N56="",N56&lt;=0),0,IF((YEAR(D56)+11)&lt;YEAR(E56),0,IF((YEAR(D56)+11)&gt;=YEAR(E56)+N56,0,IF((YEAR(D56)+11)=YEAR(E56),(12-MONTH(E56)+1)/12,1))))))))&gt;0,(((K56)*(IF(M56="",L56,IFERROR(IF(INDEX(Variablen!$I:$AT, MATCH(M56, Variablen!$A:$A, 0), MATCH((YEAR(D56)+11), Variablen!$I$3:$AT$3, 0))="",L56,INDEX(Variablen!$I:$AT, MATCH(M56, Variablen!$A:$A, 0), MATCH((YEAR(D56)+11), Variablen!$I$3:$AT$3, 0))),L56)))*(IF((YEAR(D56)+11)&lt;YEAR(E56),0,IF((YEAR(D56)+11)&gt;YEAR(E56),1,(12-MONTH(E56)+1)/12))) + (Q56)*(IF((YEAR(D56)+11)&lt;YEAR(E56),0,IF((YEAR(D56)+11)&gt;YEAR(E56),1,(12-MONTH(E56)+1)/12))))-((P56)*(IF((YEAR(D56)+11)&lt;YEAR(E56),0,IF((YEAR(D56)+11)&gt;YEAR(E56),1,(12-MONTH(E56)+1)/12))) + (R56)*(IF((YEAR(D56)+11)&lt;YEAR(E56),0,IF((YEAR(D56)+11)&gt;YEAR(E56),1,(12-MONTH(E56)+1)/12))))-(IF(OR(N56="",N56&lt;=0),0,(O56/N56)*(IF(OR(N56="",N56&lt;=0),0,IF((YEAR(D56)+11)&lt;YEAR(E56),0,IF((YEAR(D56)+11)&gt;=YEAR(E56)+N56,0,IF((YEAR(D56)+11)=YEAR(E56),(12-MONTH(E56)+1)/12,1))))))))*TaxRate,0))-IF(11=0,O56,0))</f>
        <v/>
      </c>
      <c r="AE56" s="29">
        <f>IF(A56="","",((K56)*(IF(M56="",L56,IFERROR(IF(INDEX(Variablen!$I:$AT, MATCH(M56, Variablen!$A:$A, 0), MATCH((YEAR(D56)+12), Variablen!$I$3:$AT$3, 0))="",L56,INDEX(Variablen!$I:$AT, MATCH(M56, Variablen!$A:$A, 0), MATCH((YEAR(D56)+12), Variablen!$I$3:$AT$3, 0))),L56)))*(IF((YEAR(D56)+12)&lt;YEAR(E56),0,IF((YEAR(D56)+12)&gt;YEAR(E56),1,(12-MONTH(E56)+1)/12))) + (Q56)*(IF((YEAR(D56)+12)&lt;YEAR(E56),0,IF((YEAR(D56)+12)&gt;YEAR(E56),1,(12-MONTH(E56)+1)/12))))-((P56)*(IF((YEAR(D56)+12)&lt;YEAR(E56),0,IF((YEAR(D56)+12)&gt;YEAR(E56),1,(12-MONTH(E56)+1)/12))) + (R56)*(IF((YEAR(D56)+12)&lt;YEAR(E56),0,IF((YEAR(D56)+12)&gt;YEAR(E56),1,(12-MONTH(E56)+1)/12))))-(IF((((K56)*(IF(M56="",L56,IFERROR(IF(INDEX(Variablen!$I:$AT, MATCH(M56, Variablen!$A:$A, 0), MATCH((YEAR(D56)+12), Variablen!$I$3:$AT$3, 0))="",L56,INDEX(Variablen!$I:$AT, MATCH(M56, Variablen!$A:$A, 0), MATCH((YEAR(D56)+12), Variablen!$I$3:$AT$3, 0))),L56)))*(IF((YEAR(D56)+12)&lt;YEAR(E56),0,IF((YEAR(D56)+12)&gt;YEAR(E56),1,(12-MONTH(E56)+1)/12))) + (Q56)*(IF((YEAR(D56)+12)&lt;YEAR(E56),0,IF((YEAR(D56)+12)&gt;YEAR(E56),1,(12-MONTH(E56)+1)/12))))-((P56)*(IF((YEAR(D56)+12)&lt;YEAR(E56),0,IF((YEAR(D56)+12)&gt;YEAR(E56),1,(12-MONTH(E56)+1)/12))) + (R56)*(IF((YEAR(D56)+12)&lt;YEAR(E56),0,IF((YEAR(D56)+12)&gt;YEAR(E56),1,(12-MONTH(E56)+1)/12))))-(IF(OR(N56="",N56&lt;=0),0,(O56/N56)*(IF(OR(N56="",N56&lt;=0),0,IF((YEAR(D56)+12)&lt;YEAR(E56),0,IF((YEAR(D56)+12)&gt;=YEAR(E56)+N56,0,IF((YEAR(D56)+12)=YEAR(E56),(12-MONTH(E56)+1)/12,1))))))))&gt;0,(((K56)*(IF(M56="",L56,IFERROR(IF(INDEX(Variablen!$I:$AT, MATCH(M56, Variablen!$A:$A, 0), MATCH((YEAR(D56)+12), Variablen!$I$3:$AT$3, 0))="",L56,INDEX(Variablen!$I:$AT, MATCH(M56, Variablen!$A:$A, 0), MATCH((YEAR(D56)+12), Variablen!$I$3:$AT$3, 0))),L56)))*(IF((YEAR(D56)+12)&lt;YEAR(E56),0,IF((YEAR(D56)+12)&gt;YEAR(E56),1,(12-MONTH(E56)+1)/12))) + (Q56)*(IF((YEAR(D56)+12)&lt;YEAR(E56),0,IF((YEAR(D56)+12)&gt;YEAR(E56),1,(12-MONTH(E56)+1)/12))))-((P56)*(IF((YEAR(D56)+12)&lt;YEAR(E56),0,IF((YEAR(D56)+12)&gt;YEAR(E56),1,(12-MONTH(E56)+1)/12))) + (R56)*(IF((YEAR(D56)+12)&lt;YEAR(E56),0,IF((YEAR(D56)+12)&gt;YEAR(E56),1,(12-MONTH(E56)+1)/12))))-(IF(OR(N56="",N56&lt;=0),0,(O56/N56)*(IF(OR(N56="",N56&lt;=0),0,IF((YEAR(D56)+12)&lt;YEAR(E56),0,IF((YEAR(D56)+12)&gt;=YEAR(E56)+N56,0,IF((YEAR(D56)+12)=YEAR(E56),(12-MONTH(E56)+1)/12,1))))))))*TaxRate,0))-IF(12=0,O56,0))</f>
        <v/>
      </c>
      <c r="AF56" s="29">
        <f>IF(A56="","",((K56)*(IF(M56="",L56,IFERROR(IF(INDEX(Variablen!$I:$AT, MATCH(M56, Variablen!$A:$A, 0), MATCH((YEAR(D56)+13), Variablen!$I$3:$AT$3, 0))="",L56,INDEX(Variablen!$I:$AT, MATCH(M56, Variablen!$A:$A, 0), MATCH((YEAR(D56)+13), Variablen!$I$3:$AT$3, 0))),L56)))*(IF((YEAR(D56)+13)&lt;YEAR(E56),0,IF((YEAR(D56)+13)&gt;YEAR(E56),1,(12-MONTH(E56)+1)/12))) + (Q56)*(IF((YEAR(D56)+13)&lt;YEAR(E56),0,IF((YEAR(D56)+13)&gt;YEAR(E56),1,(12-MONTH(E56)+1)/12))))-((P56)*(IF((YEAR(D56)+13)&lt;YEAR(E56),0,IF((YEAR(D56)+13)&gt;YEAR(E56),1,(12-MONTH(E56)+1)/12))) + (R56)*(IF((YEAR(D56)+13)&lt;YEAR(E56),0,IF((YEAR(D56)+13)&gt;YEAR(E56),1,(12-MONTH(E56)+1)/12))))-(IF((((K56)*(IF(M56="",L56,IFERROR(IF(INDEX(Variablen!$I:$AT, MATCH(M56, Variablen!$A:$A, 0), MATCH((YEAR(D56)+13), Variablen!$I$3:$AT$3, 0))="",L56,INDEX(Variablen!$I:$AT, MATCH(M56, Variablen!$A:$A, 0), MATCH((YEAR(D56)+13), Variablen!$I$3:$AT$3, 0))),L56)))*(IF((YEAR(D56)+13)&lt;YEAR(E56),0,IF((YEAR(D56)+13)&gt;YEAR(E56),1,(12-MONTH(E56)+1)/12))) + (Q56)*(IF((YEAR(D56)+13)&lt;YEAR(E56),0,IF((YEAR(D56)+13)&gt;YEAR(E56),1,(12-MONTH(E56)+1)/12))))-((P56)*(IF((YEAR(D56)+13)&lt;YEAR(E56),0,IF((YEAR(D56)+13)&gt;YEAR(E56),1,(12-MONTH(E56)+1)/12))) + (R56)*(IF((YEAR(D56)+13)&lt;YEAR(E56),0,IF((YEAR(D56)+13)&gt;YEAR(E56),1,(12-MONTH(E56)+1)/12))))-(IF(OR(N56="",N56&lt;=0),0,(O56/N56)*(IF(OR(N56="",N56&lt;=0),0,IF((YEAR(D56)+13)&lt;YEAR(E56),0,IF((YEAR(D56)+13)&gt;=YEAR(E56)+N56,0,IF((YEAR(D56)+13)=YEAR(E56),(12-MONTH(E56)+1)/12,1))))))))&gt;0,(((K56)*(IF(M56="",L56,IFERROR(IF(INDEX(Variablen!$I:$AT, MATCH(M56, Variablen!$A:$A, 0), MATCH((YEAR(D56)+13), Variablen!$I$3:$AT$3, 0))="",L56,INDEX(Variablen!$I:$AT, MATCH(M56, Variablen!$A:$A, 0), MATCH((YEAR(D56)+13), Variablen!$I$3:$AT$3, 0))),L56)))*(IF((YEAR(D56)+13)&lt;YEAR(E56),0,IF((YEAR(D56)+13)&gt;YEAR(E56),1,(12-MONTH(E56)+1)/12))) + (Q56)*(IF((YEAR(D56)+13)&lt;YEAR(E56),0,IF((YEAR(D56)+13)&gt;YEAR(E56),1,(12-MONTH(E56)+1)/12))))-((P56)*(IF((YEAR(D56)+13)&lt;YEAR(E56),0,IF((YEAR(D56)+13)&gt;YEAR(E56),1,(12-MONTH(E56)+1)/12))) + (R56)*(IF((YEAR(D56)+13)&lt;YEAR(E56),0,IF((YEAR(D56)+13)&gt;YEAR(E56),1,(12-MONTH(E56)+1)/12))))-(IF(OR(N56="",N56&lt;=0),0,(O56/N56)*(IF(OR(N56="",N56&lt;=0),0,IF((YEAR(D56)+13)&lt;YEAR(E56),0,IF((YEAR(D56)+13)&gt;=YEAR(E56)+N56,0,IF((YEAR(D56)+13)=YEAR(E56),(12-MONTH(E56)+1)/12,1))))))))*TaxRate,0))-IF(13=0,O56,0))</f>
        <v/>
      </c>
      <c r="AG56" s="29">
        <f>IF(A56="","",((K56)*(IF(M56="",L56,IFERROR(IF(INDEX(Variablen!$I:$AT, MATCH(M56, Variablen!$A:$A, 0), MATCH((YEAR(D56)+14), Variablen!$I$3:$AT$3, 0))="",L56,INDEX(Variablen!$I:$AT, MATCH(M56, Variablen!$A:$A, 0), MATCH((YEAR(D56)+14), Variablen!$I$3:$AT$3, 0))),L56)))*(IF((YEAR(D56)+14)&lt;YEAR(E56),0,IF((YEAR(D56)+14)&gt;YEAR(E56),1,(12-MONTH(E56)+1)/12))) + (Q56)*(IF((YEAR(D56)+14)&lt;YEAR(E56),0,IF((YEAR(D56)+14)&gt;YEAR(E56),1,(12-MONTH(E56)+1)/12))))-((P56)*(IF((YEAR(D56)+14)&lt;YEAR(E56),0,IF((YEAR(D56)+14)&gt;YEAR(E56),1,(12-MONTH(E56)+1)/12))) + (R56)*(IF((YEAR(D56)+14)&lt;YEAR(E56),0,IF((YEAR(D56)+14)&gt;YEAR(E56),1,(12-MONTH(E56)+1)/12))))-(IF((((K56)*(IF(M56="",L56,IFERROR(IF(INDEX(Variablen!$I:$AT, MATCH(M56, Variablen!$A:$A, 0), MATCH((YEAR(D56)+14), Variablen!$I$3:$AT$3, 0))="",L56,INDEX(Variablen!$I:$AT, MATCH(M56, Variablen!$A:$A, 0), MATCH((YEAR(D56)+14), Variablen!$I$3:$AT$3, 0))),L56)))*(IF((YEAR(D56)+14)&lt;YEAR(E56),0,IF((YEAR(D56)+14)&gt;YEAR(E56),1,(12-MONTH(E56)+1)/12))) + (Q56)*(IF((YEAR(D56)+14)&lt;YEAR(E56),0,IF((YEAR(D56)+14)&gt;YEAR(E56),1,(12-MONTH(E56)+1)/12))))-((P56)*(IF((YEAR(D56)+14)&lt;YEAR(E56),0,IF((YEAR(D56)+14)&gt;YEAR(E56),1,(12-MONTH(E56)+1)/12))) + (R56)*(IF((YEAR(D56)+14)&lt;YEAR(E56),0,IF((YEAR(D56)+14)&gt;YEAR(E56),1,(12-MONTH(E56)+1)/12))))-(IF(OR(N56="",N56&lt;=0),0,(O56/N56)*(IF(OR(N56="",N56&lt;=0),0,IF((YEAR(D56)+14)&lt;YEAR(E56),0,IF((YEAR(D56)+14)&gt;=YEAR(E56)+N56,0,IF((YEAR(D56)+14)=YEAR(E56),(12-MONTH(E56)+1)/12,1))))))))&gt;0,(((K56)*(IF(M56="",L56,IFERROR(IF(INDEX(Variablen!$I:$AT, MATCH(M56, Variablen!$A:$A, 0), MATCH((YEAR(D56)+14), Variablen!$I$3:$AT$3, 0))="",L56,INDEX(Variablen!$I:$AT, MATCH(M56, Variablen!$A:$A, 0), MATCH((YEAR(D56)+14), Variablen!$I$3:$AT$3, 0))),L56)))*(IF((YEAR(D56)+14)&lt;YEAR(E56),0,IF((YEAR(D56)+14)&gt;YEAR(E56),1,(12-MONTH(E56)+1)/12))) + (Q56)*(IF((YEAR(D56)+14)&lt;YEAR(E56),0,IF((YEAR(D56)+14)&gt;YEAR(E56),1,(12-MONTH(E56)+1)/12))))-((P56)*(IF((YEAR(D56)+14)&lt;YEAR(E56),0,IF((YEAR(D56)+14)&gt;YEAR(E56),1,(12-MONTH(E56)+1)/12))) + (R56)*(IF((YEAR(D56)+14)&lt;YEAR(E56),0,IF((YEAR(D56)+14)&gt;YEAR(E56),1,(12-MONTH(E56)+1)/12))))-(IF(OR(N56="",N56&lt;=0),0,(O56/N56)*(IF(OR(N56="",N56&lt;=0),0,IF((YEAR(D56)+14)&lt;YEAR(E56),0,IF((YEAR(D56)+14)&gt;=YEAR(E56)+N56,0,IF((YEAR(D56)+14)=YEAR(E56),(12-MONTH(E56)+1)/12,1))))))))*TaxRate,0))-IF(14=0,O56,0))</f>
        <v/>
      </c>
      <c r="AH56" s="29">
        <f>IF(A56="","",((K56)*(IF(M56="",L56,IFERROR(IF(INDEX(Variablen!$I:$AT, MATCH(M56, Variablen!$A:$A, 0), MATCH((YEAR(D56)+15), Variablen!$I$3:$AT$3, 0))="",L56,INDEX(Variablen!$I:$AT, MATCH(M56, Variablen!$A:$A, 0), MATCH((YEAR(D56)+15), Variablen!$I$3:$AT$3, 0))),L56)))*(IF((YEAR(D56)+15)&lt;YEAR(E56),0,IF((YEAR(D56)+15)&gt;YEAR(E56),1,(12-MONTH(E56)+1)/12))) + (Q56)*(IF((YEAR(D56)+15)&lt;YEAR(E56),0,IF((YEAR(D56)+15)&gt;YEAR(E56),1,(12-MONTH(E56)+1)/12))))-((P56)*(IF((YEAR(D56)+15)&lt;YEAR(E56),0,IF((YEAR(D56)+15)&gt;YEAR(E56),1,(12-MONTH(E56)+1)/12))) + (R56)*(IF((YEAR(D56)+15)&lt;YEAR(E56),0,IF((YEAR(D56)+15)&gt;YEAR(E56),1,(12-MONTH(E56)+1)/12))))-(IF((((K56)*(IF(M56="",L56,IFERROR(IF(INDEX(Variablen!$I:$AT, MATCH(M56, Variablen!$A:$A, 0), MATCH((YEAR(D56)+15), Variablen!$I$3:$AT$3, 0))="",L56,INDEX(Variablen!$I:$AT, MATCH(M56, Variablen!$A:$A, 0), MATCH((YEAR(D56)+15), Variablen!$I$3:$AT$3, 0))),L56)))*(IF((YEAR(D56)+15)&lt;YEAR(E56),0,IF((YEAR(D56)+15)&gt;YEAR(E56),1,(12-MONTH(E56)+1)/12))) + (Q56)*(IF((YEAR(D56)+15)&lt;YEAR(E56),0,IF((YEAR(D56)+15)&gt;YEAR(E56),1,(12-MONTH(E56)+1)/12))))-((P56)*(IF((YEAR(D56)+15)&lt;YEAR(E56),0,IF((YEAR(D56)+15)&gt;YEAR(E56),1,(12-MONTH(E56)+1)/12))) + (R56)*(IF((YEAR(D56)+15)&lt;YEAR(E56),0,IF((YEAR(D56)+15)&gt;YEAR(E56),1,(12-MONTH(E56)+1)/12))))-(IF(OR(N56="",N56&lt;=0),0,(O56/N56)*(IF(OR(N56="",N56&lt;=0),0,IF((YEAR(D56)+15)&lt;YEAR(E56),0,IF((YEAR(D56)+15)&gt;=YEAR(E56)+N56,0,IF((YEAR(D56)+15)=YEAR(E56),(12-MONTH(E56)+1)/12,1))))))))&gt;0,(((K56)*(IF(M56="",L56,IFERROR(IF(INDEX(Variablen!$I:$AT, MATCH(M56, Variablen!$A:$A, 0), MATCH((YEAR(D56)+15), Variablen!$I$3:$AT$3, 0))="",L56,INDEX(Variablen!$I:$AT, MATCH(M56, Variablen!$A:$A, 0), MATCH((YEAR(D56)+15), Variablen!$I$3:$AT$3, 0))),L56)))*(IF((YEAR(D56)+15)&lt;YEAR(E56),0,IF((YEAR(D56)+15)&gt;YEAR(E56),1,(12-MONTH(E56)+1)/12))) + (Q56)*(IF((YEAR(D56)+15)&lt;YEAR(E56),0,IF((YEAR(D56)+15)&gt;YEAR(E56),1,(12-MONTH(E56)+1)/12))))-((P56)*(IF((YEAR(D56)+15)&lt;YEAR(E56),0,IF((YEAR(D56)+15)&gt;YEAR(E56),1,(12-MONTH(E56)+1)/12))) + (R56)*(IF((YEAR(D56)+15)&lt;YEAR(E56),0,IF((YEAR(D56)+15)&gt;YEAR(E56),1,(12-MONTH(E56)+1)/12))))-(IF(OR(N56="",N56&lt;=0),0,(O56/N56)*(IF(OR(N56="",N56&lt;=0),0,IF((YEAR(D56)+15)&lt;YEAR(E56),0,IF((YEAR(D56)+15)&gt;=YEAR(E56)+N56,0,IF((YEAR(D56)+15)=YEAR(E56),(12-MONTH(E56)+1)/12,1))))))))*TaxRate,0))-IF(15=0,O56,0))</f>
        <v/>
      </c>
      <c r="AI56" s="29">
        <f>IF(A56="","",((K56)*(IF(M56="",L56,IFERROR(IF(INDEX(Variablen!$I:$AT, MATCH(M56, Variablen!$A:$A, 0), MATCH((YEAR(D56)+16), Variablen!$I$3:$AT$3, 0))="",L56,INDEX(Variablen!$I:$AT, MATCH(M56, Variablen!$A:$A, 0), MATCH((YEAR(D56)+16), Variablen!$I$3:$AT$3, 0))),L56)))*(IF((YEAR(D56)+16)&lt;YEAR(E56),0,IF((YEAR(D56)+16)&gt;YEAR(E56),1,(12-MONTH(E56)+1)/12))) + (Q56)*(IF((YEAR(D56)+16)&lt;YEAR(E56),0,IF((YEAR(D56)+16)&gt;YEAR(E56),1,(12-MONTH(E56)+1)/12))))-((P56)*(IF((YEAR(D56)+16)&lt;YEAR(E56),0,IF((YEAR(D56)+16)&gt;YEAR(E56),1,(12-MONTH(E56)+1)/12))) + (R56)*(IF((YEAR(D56)+16)&lt;YEAR(E56),0,IF((YEAR(D56)+16)&gt;YEAR(E56),1,(12-MONTH(E56)+1)/12))))-(IF((((K56)*(IF(M56="",L56,IFERROR(IF(INDEX(Variablen!$I:$AT, MATCH(M56, Variablen!$A:$A, 0), MATCH((YEAR(D56)+16), Variablen!$I$3:$AT$3, 0))="",L56,INDEX(Variablen!$I:$AT, MATCH(M56, Variablen!$A:$A, 0), MATCH((YEAR(D56)+16), Variablen!$I$3:$AT$3, 0))),L56)))*(IF((YEAR(D56)+16)&lt;YEAR(E56),0,IF((YEAR(D56)+16)&gt;YEAR(E56),1,(12-MONTH(E56)+1)/12))) + (Q56)*(IF((YEAR(D56)+16)&lt;YEAR(E56),0,IF((YEAR(D56)+16)&gt;YEAR(E56),1,(12-MONTH(E56)+1)/12))))-((P56)*(IF((YEAR(D56)+16)&lt;YEAR(E56),0,IF((YEAR(D56)+16)&gt;YEAR(E56),1,(12-MONTH(E56)+1)/12))) + (R56)*(IF((YEAR(D56)+16)&lt;YEAR(E56),0,IF((YEAR(D56)+16)&gt;YEAR(E56),1,(12-MONTH(E56)+1)/12))))-(IF(OR(N56="",N56&lt;=0),0,(O56/N56)*(IF(OR(N56="",N56&lt;=0),0,IF((YEAR(D56)+16)&lt;YEAR(E56),0,IF((YEAR(D56)+16)&gt;=YEAR(E56)+N56,0,IF((YEAR(D56)+16)=YEAR(E56),(12-MONTH(E56)+1)/12,1))))))))&gt;0,(((K56)*(IF(M56="",L56,IFERROR(IF(INDEX(Variablen!$I:$AT, MATCH(M56, Variablen!$A:$A, 0), MATCH((YEAR(D56)+16), Variablen!$I$3:$AT$3, 0))="",L56,INDEX(Variablen!$I:$AT, MATCH(M56, Variablen!$A:$A, 0), MATCH((YEAR(D56)+16), Variablen!$I$3:$AT$3, 0))),L56)))*(IF((YEAR(D56)+16)&lt;YEAR(E56),0,IF((YEAR(D56)+16)&gt;YEAR(E56),1,(12-MONTH(E56)+1)/12))) + (Q56)*(IF((YEAR(D56)+16)&lt;YEAR(E56),0,IF((YEAR(D56)+16)&gt;YEAR(E56),1,(12-MONTH(E56)+1)/12))))-((P56)*(IF((YEAR(D56)+16)&lt;YEAR(E56),0,IF((YEAR(D56)+16)&gt;YEAR(E56),1,(12-MONTH(E56)+1)/12))) + (R56)*(IF((YEAR(D56)+16)&lt;YEAR(E56),0,IF((YEAR(D56)+16)&gt;YEAR(E56),1,(12-MONTH(E56)+1)/12))))-(IF(OR(N56="",N56&lt;=0),0,(O56/N56)*(IF(OR(N56="",N56&lt;=0),0,IF((YEAR(D56)+16)&lt;YEAR(E56),0,IF((YEAR(D56)+16)&gt;=YEAR(E56)+N56,0,IF((YEAR(D56)+16)=YEAR(E56),(12-MONTH(E56)+1)/12,1))))))))*TaxRate,0))-IF(16=0,O56,0))</f>
        <v/>
      </c>
      <c r="AJ56" s="29">
        <f>IF(A56="","",((K56)*(IF(M56="",L56,IFERROR(IF(INDEX(Variablen!$I:$AT, MATCH(M56, Variablen!$A:$A, 0), MATCH((YEAR(D56)+17), Variablen!$I$3:$AT$3, 0))="",L56,INDEX(Variablen!$I:$AT, MATCH(M56, Variablen!$A:$A, 0), MATCH((YEAR(D56)+17), Variablen!$I$3:$AT$3, 0))),L56)))*(IF((YEAR(D56)+17)&lt;YEAR(E56),0,IF((YEAR(D56)+17)&gt;YEAR(E56),1,(12-MONTH(E56)+1)/12))) + (Q56)*(IF((YEAR(D56)+17)&lt;YEAR(E56),0,IF((YEAR(D56)+17)&gt;YEAR(E56),1,(12-MONTH(E56)+1)/12))))-((P56)*(IF((YEAR(D56)+17)&lt;YEAR(E56),0,IF((YEAR(D56)+17)&gt;YEAR(E56),1,(12-MONTH(E56)+1)/12))) + (R56)*(IF((YEAR(D56)+17)&lt;YEAR(E56),0,IF((YEAR(D56)+17)&gt;YEAR(E56),1,(12-MONTH(E56)+1)/12))))-(IF((((K56)*(IF(M56="",L56,IFERROR(IF(INDEX(Variablen!$I:$AT, MATCH(M56, Variablen!$A:$A, 0), MATCH((YEAR(D56)+17), Variablen!$I$3:$AT$3, 0))="",L56,INDEX(Variablen!$I:$AT, MATCH(M56, Variablen!$A:$A, 0), MATCH((YEAR(D56)+17), Variablen!$I$3:$AT$3, 0))),L56)))*(IF((YEAR(D56)+17)&lt;YEAR(E56),0,IF((YEAR(D56)+17)&gt;YEAR(E56),1,(12-MONTH(E56)+1)/12))) + (Q56)*(IF((YEAR(D56)+17)&lt;YEAR(E56),0,IF((YEAR(D56)+17)&gt;YEAR(E56),1,(12-MONTH(E56)+1)/12))))-((P56)*(IF((YEAR(D56)+17)&lt;YEAR(E56),0,IF((YEAR(D56)+17)&gt;YEAR(E56),1,(12-MONTH(E56)+1)/12))) + (R56)*(IF((YEAR(D56)+17)&lt;YEAR(E56),0,IF((YEAR(D56)+17)&gt;YEAR(E56),1,(12-MONTH(E56)+1)/12))))-(IF(OR(N56="",N56&lt;=0),0,(O56/N56)*(IF(OR(N56="",N56&lt;=0),0,IF((YEAR(D56)+17)&lt;YEAR(E56),0,IF((YEAR(D56)+17)&gt;=YEAR(E56)+N56,0,IF((YEAR(D56)+17)=YEAR(E56),(12-MONTH(E56)+1)/12,1))))))))&gt;0,(((K56)*(IF(M56="",L56,IFERROR(IF(INDEX(Variablen!$I:$AT, MATCH(M56, Variablen!$A:$A, 0), MATCH((YEAR(D56)+17), Variablen!$I$3:$AT$3, 0))="",L56,INDEX(Variablen!$I:$AT, MATCH(M56, Variablen!$A:$A, 0), MATCH((YEAR(D56)+17), Variablen!$I$3:$AT$3, 0))),L56)))*(IF((YEAR(D56)+17)&lt;YEAR(E56),0,IF((YEAR(D56)+17)&gt;YEAR(E56),1,(12-MONTH(E56)+1)/12))) + (Q56)*(IF((YEAR(D56)+17)&lt;YEAR(E56),0,IF((YEAR(D56)+17)&gt;YEAR(E56),1,(12-MONTH(E56)+1)/12))))-((P56)*(IF((YEAR(D56)+17)&lt;YEAR(E56),0,IF((YEAR(D56)+17)&gt;YEAR(E56),1,(12-MONTH(E56)+1)/12))) + (R56)*(IF((YEAR(D56)+17)&lt;YEAR(E56),0,IF((YEAR(D56)+17)&gt;YEAR(E56),1,(12-MONTH(E56)+1)/12))))-(IF(OR(N56="",N56&lt;=0),0,(O56/N56)*(IF(OR(N56="",N56&lt;=0),0,IF((YEAR(D56)+17)&lt;YEAR(E56),0,IF((YEAR(D56)+17)&gt;=YEAR(E56)+N56,0,IF((YEAR(D56)+17)=YEAR(E56),(12-MONTH(E56)+1)/12,1))))))))*TaxRate,0))-IF(17=0,O56,0))</f>
        <v/>
      </c>
      <c r="AK56" s="29">
        <f>IF(A56="","",((K56)*(IF(M56="",L56,IFERROR(IF(INDEX(Variablen!$I:$AT, MATCH(M56, Variablen!$A:$A, 0), MATCH((YEAR(D56)+18), Variablen!$I$3:$AT$3, 0))="",L56,INDEX(Variablen!$I:$AT, MATCH(M56, Variablen!$A:$A, 0), MATCH((YEAR(D56)+18), Variablen!$I$3:$AT$3, 0))),L56)))*(IF((YEAR(D56)+18)&lt;YEAR(E56),0,IF((YEAR(D56)+18)&gt;YEAR(E56),1,(12-MONTH(E56)+1)/12))) + (Q56)*(IF((YEAR(D56)+18)&lt;YEAR(E56),0,IF((YEAR(D56)+18)&gt;YEAR(E56),1,(12-MONTH(E56)+1)/12))))-((P56)*(IF((YEAR(D56)+18)&lt;YEAR(E56),0,IF((YEAR(D56)+18)&gt;YEAR(E56),1,(12-MONTH(E56)+1)/12))) + (R56)*(IF((YEAR(D56)+18)&lt;YEAR(E56),0,IF((YEAR(D56)+18)&gt;YEAR(E56),1,(12-MONTH(E56)+1)/12))))-(IF((((K56)*(IF(M56="",L56,IFERROR(IF(INDEX(Variablen!$I:$AT, MATCH(M56, Variablen!$A:$A, 0), MATCH((YEAR(D56)+18), Variablen!$I$3:$AT$3, 0))="",L56,INDEX(Variablen!$I:$AT, MATCH(M56, Variablen!$A:$A, 0), MATCH((YEAR(D56)+18), Variablen!$I$3:$AT$3, 0))),L56)))*(IF((YEAR(D56)+18)&lt;YEAR(E56),0,IF((YEAR(D56)+18)&gt;YEAR(E56),1,(12-MONTH(E56)+1)/12))) + (Q56)*(IF((YEAR(D56)+18)&lt;YEAR(E56),0,IF((YEAR(D56)+18)&gt;YEAR(E56),1,(12-MONTH(E56)+1)/12))))-((P56)*(IF((YEAR(D56)+18)&lt;YEAR(E56),0,IF((YEAR(D56)+18)&gt;YEAR(E56),1,(12-MONTH(E56)+1)/12))) + (R56)*(IF((YEAR(D56)+18)&lt;YEAR(E56),0,IF((YEAR(D56)+18)&gt;YEAR(E56),1,(12-MONTH(E56)+1)/12))))-(IF(OR(N56="",N56&lt;=0),0,(O56/N56)*(IF(OR(N56="",N56&lt;=0),0,IF((YEAR(D56)+18)&lt;YEAR(E56),0,IF((YEAR(D56)+18)&gt;=YEAR(E56)+N56,0,IF((YEAR(D56)+18)=YEAR(E56),(12-MONTH(E56)+1)/12,1))))))))&gt;0,(((K56)*(IF(M56="",L56,IFERROR(IF(INDEX(Variablen!$I:$AT, MATCH(M56, Variablen!$A:$A, 0), MATCH((YEAR(D56)+18), Variablen!$I$3:$AT$3, 0))="",L56,INDEX(Variablen!$I:$AT, MATCH(M56, Variablen!$A:$A, 0), MATCH((YEAR(D56)+18), Variablen!$I$3:$AT$3, 0))),L56)))*(IF((YEAR(D56)+18)&lt;YEAR(E56),0,IF((YEAR(D56)+18)&gt;YEAR(E56),1,(12-MONTH(E56)+1)/12))) + (Q56)*(IF((YEAR(D56)+18)&lt;YEAR(E56),0,IF((YEAR(D56)+18)&gt;YEAR(E56),1,(12-MONTH(E56)+1)/12))))-((P56)*(IF((YEAR(D56)+18)&lt;YEAR(E56),0,IF((YEAR(D56)+18)&gt;YEAR(E56),1,(12-MONTH(E56)+1)/12))) + (R56)*(IF((YEAR(D56)+18)&lt;YEAR(E56),0,IF((YEAR(D56)+18)&gt;YEAR(E56),1,(12-MONTH(E56)+1)/12))))-(IF(OR(N56="",N56&lt;=0),0,(O56/N56)*(IF(OR(N56="",N56&lt;=0),0,IF((YEAR(D56)+18)&lt;YEAR(E56),0,IF((YEAR(D56)+18)&gt;=YEAR(E56)+N56,0,IF((YEAR(D56)+18)=YEAR(E56),(12-MONTH(E56)+1)/12,1))))))))*TaxRate,0))-IF(18=0,O56,0))</f>
        <v/>
      </c>
      <c r="AL56" s="29">
        <f>IF(A56="","",((K56)*(IF(M56="",L56,IFERROR(IF(INDEX(Variablen!$I:$AT, MATCH(M56, Variablen!$A:$A, 0), MATCH((YEAR(D56)+19), Variablen!$I$3:$AT$3, 0))="",L56,INDEX(Variablen!$I:$AT, MATCH(M56, Variablen!$A:$A, 0), MATCH((YEAR(D56)+19), Variablen!$I$3:$AT$3, 0))),L56)))*(IF((YEAR(D56)+19)&lt;YEAR(E56),0,IF((YEAR(D56)+19)&gt;YEAR(E56),1,(12-MONTH(E56)+1)/12))) + (Q56)*(IF((YEAR(D56)+19)&lt;YEAR(E56),0,IF((YEAR(D56)+19)&gt;YEAR(E56),1,(12-MONTH(E56)+1)/12))))-((P56)*(IF((YEAR(D56)+19)&lt;YEAR(E56),0,IF((YEAR(D56)+19)&gt;YEAR(E56),1,(12-MONTH(E56)+1)/12))) + (R56)*(IF((YEAR(D56)+19)&lt;YEAR(E56),0,IF((YEAR(D56)+19)&gt;YEAR(E56),1,(12-MONTH(E56)+1)/12))))-(IF((((K56)*(IF(M56="",L56,IFERROR(IF(INDEX(Variablen!$I:$AT, MATCH(M56, Variablen!$A:$A, 0), MATCH((YEAR(D56)+19), Variablen!$I$3:$AT$3, 0))="",L56,INDEX(Variablen!$I:$AT, MATCH(M56, Variablen!$A:$A, 0), MATCH((YEAR(D56)+19), Variablen!$I$3:$AT$3, 0))),L56)))*(IF((YEAR(D56)+19)&lt;YEAR(E56),0,IF((YEAR(D56)+19)&gt;YEAR(E56),1,(12-MONTH(E56)+1)/12))) + (Q56)*(IF((YEAR(D56)+19)&lt;YEAR(E56),0,IF((YEAR(D56)+19)&gt;YEAR(E56),1,(12-MONTH(E56)+1)/12))))-((P56)*(IF((YEAR(D56)+19)&lt;YEAR(E56),0,IF((YEAR(D56)+19)&gt;YEAR(E56),1,(12-MONTH(E56)+1)/12))) + (R56)*(IF((YEAR(D56)+19)&lt;YEAR(E56),0,IF((YEAR(D56)+19)&gt;YEAR(E56),1,(12-MONTH(E56)+1)/12))))-(IF(OR(N56="",N56&lt;=0),0,(O56/N56)*(IF(OR(N56="",N56&lt;=0),0,IF((YEAR(D56)+19)&lt;YEAR(E56),0,IF((YEAR(D56)+19)&gt;=YEAR(E56)+N56,0,IF((YEAR(D56)+19)=YEAR(E56),(12-MONTH(E56)+1)/12,1))))))))&gt;0,(((K56)*(IF(M56="",L56,IFERROR(IF(INDEX(Variablen!$I:$AT, MATCH(M56, Variablen!$A:$A, 0), MATCH((YEAR(D56)+19), Variablen!$I$3:$AT$3, 0))="",L56,INDEX(Variablen!$I:$AT, MATCH(M56, Variablen!$A:$A, 0), MATCH((YEAR(D56)+19), Variablen!$I$3:$AT$3, 0))),L56)))*(IF((YEAR(D56)+19)&lt;YEAR(E56),0,IF((YEAR(D56)+19)&gt;YEAR(E56),1,(12-MONTH(E56)+1)/12))) + (Q56)*(IF((YEAR(D56)+19)&lt;YEAR(E56),0,IF((YEAR(D56)+19)&gt;YEAR(E56),1,(12-MONTH(E56)+1)/12))))-((P56)*(IF((YEAR(D56)+19)&lt;YEAR(E56),0,IF((YEAR(D56)+19)&gt;YEAR(E56),1,(12-MONTH(E56)+1)/12))) + (R56)*(IF((YEAR(D56)+19)&lt;YEAR(E56),0,IF((YEAR(D56)+19)&gt;YEAR(E56),1,(12-MONTH(E56)+1)/12))))-(IF(OR(N56="",N56&lt;=0),0,(O56/N56)*(IF(OR(N56="",N56&lt;=0),0,IF((YEAR(D56)+19)&lt;YEAR(E56),0,IF((YEAR(D56)+19)&gt;=YEAR(E56)+N56,0,IF((YEAR(D56)+19)=YEAR(E56),(12-MONTH(E56)+1)/12,1))))))))*TaxRate,0))-IF(19=0,O56,0))</f>
        <v/>
      </c>
      <c r="AM56" s="29">
        <f>IF(A56="","",((K56)*(IF(M56="",L56,IFERROR(IF(INDEX(Variablen!$I:$AT, MATCH(M56, Variablen!$A:$A, 0), MATCH((YEAR(D56)+20), Variablen!$I$3:$AT$3, 0))="",L56,INDEX(Variablen!$I:$AT, MATCH(M56, Variablen!$A:$A, 0), MATCH((YEAR(D56)+20), Variablen!$I$3:$AT$3, 0))),L56)))*(IF((YEAR(D56)+20)&lt;YEAR(E56),0,IF((YEAR(D56)+20)&gt;YEAR(E56),1,(12-MONTH(E56)+1)/12))) + (Q56)*(IF((YEAR(D56)+20)&lt;YEAR(E56),0,IF((YEAR(D56)+20)&gt;YEAR(E56),1,(12-MONTH(E56)+1)/12))))-((P56)*(IF((YEAR(D56)+20)&lt;YEAR(E56),0,IF((YEAR(D56)+20)&gt;YEAR(E56),1,(12-MONTH(E56)+1)/12))) + (R56)*(IF((YEAR(D56)+20)&lt;YEAR(E56),0,IF((YEAR(D56)+20)&gt;YEAR(E56),1,(12-MONTH(E56)+1)/12))))-(IF((((K56)*(IF(M56="",L56,IFERROR(IF(INDEX(Variablen!$I:$AT, MATCH(M56, Variablen!$A:$A, 0), MATCH((YEAR(D56)+20), Variablen!$I$3:$AT$3, 0))="",L56,INDEX(Variablen!$I:$AT, MATCH(M56, Variablen!$A:$A, 0), MATCH((YEAR(D56)+20), Variablen!$I$3:$AT$3, 0))),L56)))*(IF((YEAR(D56)+20)&lt;YEAR(E56),0,IF((YEAR(D56)+20)&gt;YEAR(E56),1,(12-MONTH(E56)+1)/12))) + (Q56)*(IF((YEAR(D56)+20)&lt;YEAR(E56),0,IF((YEAR(D56)+20)&gt;YEAR(E56),1,(12-MONTH(E56)+1)/12))))-((P56)*(IF((YEAR(D56)+20)&lt;YEAR(E56),0,IF((YEAR(D56)+20)&gt;YEAR(E56),1,(12-MONTH(E56)+1)/12))) + (R56)*(IF((YEAR(D56)+20)&lt;YEAR(E56),0,IF((YEAR(D56)+20)&gt;YEAR(E56),1,(12-MONTH(E56)+1)/12))))-(IF(OR(N56="",N56&lt;=0),0,(O56/N56)*(IF(OR(N56="",N56&lt;=0),0,IF((YEAR(D56)+20)&lt;YEAR(E56),0,IF((YEAR(D56)+20)&gt;=YEAR(E56)+N56,0,IF((YEAR(D56)+20)=YEAR(E56),(12-MONTH(E56)+1)/12,1))))))))&gt;0,(((K56)*(IF(M56="",L56,IFERROR(IF(INDEX(Variablen!$I:$AT, MATCH(M56, Variablen!$A:$A, 0), MATCH((YEAR(D56)+20), Variablen!$I$3:$AT$3, 0))="",L56,INDEX(Variablen!$I:$AT, MATCH(M56, Variablen!$A:$A, 0), MATCH((YEAR(D56)+20), Variablen!$I$3:$AT$3, 0))),L56)))*(IF((YEAR(D56)+20)&lt;YEAR(E56),0,IF((YEAR(D56)+20)&gt;YEAR(E56),1,(12-MONTH(E56)+1)/12))) + (Q56)*(IF((YEAR(D56)+20)&lt;YEAR(E56),0,IF((YEAR(D56)+20)&gt;YEAR(E56),1,(12-MONTH(E56)+1)/12))))-((P56)*(IF((YEAR(D56)+20)&lt;YEAR(E56),0,IF((YEAR(D56)+20)&gt;YEAR(E56),1,(12-MONTH(E56)+1)/12))) + (R56)*(IF((YEAR(D56)+20)&lt;YEAR(E56),0,IF((YEAR(D56)+20)&gt;YEAR(E56),1,(12-MONTH(E56)+1)/12))))-(IF(OR(N56="",N56&lt;=0),0,(O56/N56)*(IF(OR(N56="",N56&lt;=0),0,IF((YEAR(D56)+20)&lt;YEAR(E56),0,IF((YEAR(D56)+20)&gt;=YEAR(E56)+N56,0,IF((YEAR(D56)+20)=YEAR(E56),(12-MONTH(E56)+1)/12,1))))))))*TaxRate,0))-IF(20=0,O56,0))</f>
        <v/>
      </c>
      <c r="AN56" s="29">
        <f>IF(A56="","",S56)</f>
        <v/>
      </c>
      <c r="AO56" s="29">
        <f>IF(A56="","",AN56+T56)</f>
        <v/>
      </c>
      <c r="AP56" s="29">
        <f>IF(A56="","",AO56+U56)</f>
        <v/>
      </c>
      <c r="AQ56" s="29">
        <f>IF(A56="","",AP56+V56)</f>
        <v/>
      </c>
      <c r="AR56" s="29">
        <f>IF(A56="","",AQ56+W56)</f>
        <v/>
      </c>
      <c r="AS56" s="29">
        <f>IF(A56="","",AR56+X56)</f>
        <v/>
      </c>
      <c r="AT56" s="29">
        <f>IF(A56="","",AS56+Y56)</f>
        <v/>
      </c>
      <c r="AU56" s="29">
        <f>IF(A56="","",AT56+Z56)</f>
        <v/>
      </c>
      <c r="AV56" s="29">
        <f>IF(A56="","",AU56+AA56)</f>
        <v/>
      </c>
      <c r="AW56" s="29">
        <f>IF(A56="","",AV56+AB56)</f>
        <v/>
      </c>
      <c r="AX56" s="29">
        <f>IF(A56="","",AW56+AC56)</f>
        <v/>
      </c>
      <c r="AY56" s="29">
        <f>IF(A56="","",AX56+AD56)</f>
        <v/>
      </c>
      <c r="AZ56" s="29">
        <f>IF(A56="","",AY56+AE56)</f>
        <v/>
      </c>
      <c r="BA56" s="29">
        <f>IF(A56="","",AZ56+AF56)</f>
        <v/>
      </c>
      <c r="BB56" s="29">
        <f>IF(A56="","",BA56+AG56)</f>
        <v/>
      </c>
      <c r="BC56" s="29">
        <f>IF(A56="","",BB56+AH56)</f>
        <v/>
      </c>
      <c r="BD56" s="29">
        <f>IF(A56="","",BC56+AI56)</f>
        <v/>
      </c>
      <c r="BE56" s="29">
        <f>IF(A56="","",BD56+AJ56)</f>
        <v/>
      </c>
      <c r="BF56" s="29">
        <f>IF(A56="","",BE56+AK56)</f>
        <v/>
      </c>
      <c r="BG56" s="29">
        <f>IF(A56="","",BF56+AL56)</f>
        <v/>
      </c>
      <c r="BH56" s="29">
        <f>IF(A56="","",BG56+AM56)</f>
        <v/>
      </c>
      <c r="BI56" s="36">
        <f>IF(A56="","",(K56)*(IF((YEAR(D56)+0)&lt;YEAR(E56),0,IF((YEAR(D56)+0)&gt;YEAR(E56),1,(12-MONTH(E56)+1)/12)))*(1/(1+DiscountRate)^0))</f>
        <v/>
      </c>
      <c r="BJ56" s="36">
        <f>IF(A56="","",(K56)*(IF((YEAR(D56)+1)&lt;YEAR(E56),0,IF((YEAR(D56)+1)&gt;YEAR(E56),1,(12-MONTH(E56)+1)/12)))*(1/(1+DiscountRate)^1))</f>
        <v/>
      </c>
      <c r="BK56" s="36">
        <f>IF(A56="","",(K56)*(IF((YEAR(D56)+2)&lt;YEAR(E56),0,IF((YEAR(D56)+2)&gt;YEAR(E56),1,(12-MONTH(E56)+1)/12)))*(1/(1+DiscountRate)^2))</f>
        <v/>
      </c>
      <c r="BL56" s="36">
        <f>IF(A56="","",(K56)*(IF((YEAR(D56)+3)&lt;YEAR(E56),0,IF((YEAR(D56)+3)&gt;YEAR(E56),1,(12-MONTH(E56)+1)/12)))*(1/(1+DiscountRate)^3))</f>
        <v/>
      </c>
      <c r="BM56" s="36">
        <f>IF(A56="","",(K56)*(IF((YEAR(D56)+4)&lt;YEAR(E56),0,IF((YEAR(D56)+4)&gt;YEAR(E56),1,(12-MONTH(E56)+1)/12)))*(1/(1+DiscountRate)^4))</f>
        <v/>
      </c>
      <c r="BN56" s="36">
        <f>IF(A56="","",(K56)*(IF((YEAR(D56)+5)&lt;YEAR(E56),0,IF((YEAR(D56)+5)&gt;YEAR(E56),1,(12-MONTH(E56)+1)/12)))*(1/(1+DiscountRate)^5))</f>
        <v/>
      </c>
      <c r="BO56" s="36">
        <f>IF(A56="","",(K56)*(IF((YEAR(D56)+6)&lt;YEAR(E56),0,IF((YEAR(D56)+6)&gt;YEAR(E56),1,(12-MONTH(E56)+1)/12)))*(1/(1+DiscountRate)^6))</f>
        <v/>
      </c>
      <c r="BP56" s="36">
        <f>IF(A56="","",(K56)*(IF((YEAR(D56)+7)&lt;YEAR(E56),0,IF((YEAR(D56)+7)&gt;YEAR(E56),1,(12-MONTH(E56)+1)/12)))*(1/(1+DiscountRate)^7))</f>
        <v/>
      </c>
      <c r="BQ56" s="36">
        <f>IF(A56="","",(K56)*(IF((YEAR(D56)+8)&lt;YEAR(E56),0,IF((YEAR(D56)+8)&gt;YEAR(E56),1,(12-MONTH(E56)+1)/12)))*(1/(1+DiscountRate)^8))</f>
        <v/>
      </c>
      <c r="BR56" s="36">
        <f>IF(A56="","",(K56)*(IF((YEAR(D56)+9)&lt;YEAR(E56),0,IF((YEAR(D56)+9)&gt;YEAR(E56),1,(12-MONTH(E56)+1)/12)))*(1/(1+DiscountRate)^9))</f>
        <v/>
      </c>
      <c r="BS56" s="36">
        <f>IF(A56="","",(K56)*(IF((YEAR(D56)+10)&lt;YEAR(E56),0,IF((YEAR(D56)+10)&gt;YEAR(E56),1,(12-MONTH(E56)+1)/12)))*(1/(1+DiscountRate)^10))</f>
        <v/>
      </c>
      <c r="BT56" s="36">
        <f>IF(A56="","",(K56)*(IF((YEAR(D56)+11)&lt;YEAR(E56),0,IF((YEAR(D56)+11)&gt;YEAR(E56),1,(12-MONTH(E56)+1)/12)))*(1/(1+DiscountRate)^11))</f>
        <v/>
      </c>
      <c r="BU56" s="36">
        <f>IF(A56="","",(K56)*(IF((YEAR(D56)+12)&lt;YEAR(E56),0,IF((YEAR(D56)+12)&gt;YEAR(E56),1,(12-MONTH(E56)+1)/12)))*(1/(1+DiscountRate)^12))</f>
        <v/>
      </c>
      <c r="BV56" s="36">
        <f>IF(A56="","",(K56)*(IF((YEAR(D56)+13)&lt;YEAR(E56),0,IF((YEAR(D56)+13)&gt;YEAR(E56),1,(12-MONTH(E56)+1)/12)))*(1/(1+DiscountRate)^13))</f>
        <v/>
      </c>
      <c r="BW56" s="36">
        <f>IF(A56="","",(K56)*(IF((YEAR(D56)+14)&lt;YEAR(E56),0,IF((YEAR(D56)+14)&gt;YEAR(E56),1,(12-MONTH(E56)+1)/12)))*(1/(1+DiscountRate)^14))</f>
        <v/>
      </c>
      <c r="BX56" s="36">
        <f>IF(A56="","",(K56)*(IF((YEAR(D56)+15)&lt;YEAR(E56),0,IF((YEAR(D56)+15)&gt;YEAR(E56),1,(12-MONTH(E56)+1)/12)))*(1/(1+DiscountRate)^15))</f>
        <v/>
      </c>
      <c r="BY56" s="36">
        <f>IF(A56="","",(K56)*(IF((YEAR(D56)+16)&lt;YEAR(E56),0,IF((YEAR(D56)+16)&gt;YEAR(E56),1,(12-MONTH(E56)+1)/12)))*(1/(1+DiscountRate)^16))</f>
        <v/>
      </c>
      <c r="BZ56" s="36">
        <f>IF(A56="","",(K56)*(IF((YEAR(D56)+17)&lt;YEAR(E56),0,IF((YEAR(D56)+17)&gt;YEAR(E56),1,(12-MONTH(E56)+1)/12)))*(1/(1+DiscountRate)^17))</f>
        <v/>
      </c>
      <c r="CA56" s="36">
        <f>IF(A56="","",(K56)*(IF((YEAR(D56)+18)&lt;YEAR(E56),0,IF((YEAR(D56)+18)&gt;YEAR(E56),1,(12-MONTH(E56)+1)/12)))*(1/(1+DiscountRate)^18))</f>
        <v/>
      </c>
      <c r="CB56" s="36">
        <f>IF(A56="","",(K56)*(IF((YEAR(D56)+19)&lt;YEAR(E56),0,IF((YEAR(D56)+19)&gt;YEAR(E56),1,(12-MONTH(E56)+1)/12)))*(1/(1+DiscountRate)^19))</f>
        <v/>
      </c>
      <c r="CC56" s="36">
        <f>IF(A56="","",(K56)*(IF((YEAR(D56)+20)&lt;YEAR(E56),0,IF((YEAR(D56)+20)&gt;YEAR(E56),1,(12-MONTH(E56)+1)/12)))*(1/(1+DiscountRate)^20))</f>
        <v/>
      </c>
      <c r="CD56" s="29">
        <f>IF(A56="","",S56/(1+DiscountRate)^0+T56/(1+DiscountRate)^1+U56/(1+DiscountRate)^2+V56/(1+DiscountRate)^3+W56/(1+DiscountRate)^4+X56/(1+DiscountRate)^5+Y56/(1+DiscountRate)^6+Z56/(1+DiscountRate)^7+AA56/(1+DiscountRate)^8+AB56/(1+DiscountRate)^9+AC56/(1+DiscountRate)^10+AD56/(1+DiscountRate)^11+AE56/(1+DiscountRate)^12+AF56/(1+DiscountRate)^13+AG56/(1+DiscountRate)^14+AH56/(1+DiscountRate)^15+AI56/(1+DiscountRate)^16+AJ56/(1+DiscountRate)^17+AK56/(1+DiscountRate)^18+AL56/(1+DiscountRate)^19+AM56/(1+DiscountRate)^20)</f>
        <v/>
      </c>
      <c r="CE56" s="37">
        <f>IF(A56="","",IFERROR(IRR(OFFSET(S56,0,0,1,MIN(HorizonYears,20)+1)),"n/a"))</f>
        <v/>
      </c>
      <c r="CF56" s="28">
        <f>IF(A56="","",IFERROR(MATCH(TRUE,OFFSET(AN56,0,0,1,MIN(HorizonYears,20)+1)&gt;=0,0)-1,"n/a"))</f>
        <v/>
      </c>
      <c r="CG56" s="36">
        <f>IF(A56="","",SUM(OFFSET(BI56,0,0,1,MIN(HorizonYears,20)+1)))</f>
        <v/>
      </c>
      <c r="CH56" s="36">
        <f>IF(A56="","",IFERROR(-CD56/CG56,"n/a"))</f>
        <v/>
      </c>
    </row>
    <row r="57">
      <c r="A57" s="6">
        <f>Actions!A55</f>
        <v/>
      </c>
      <c r="B57" s="6">
        <f>Actions!B55</f>
        <v/>
      </c>
      <c r="C57" s="6">
        <f>Actions!D55</f>
        <v/>
      </c>
      <c r="D57" s="35">
        <f>Actions!E55</f>
        <v/>
      </c>
      <c r="E57" s="35">
        <f>Actions!F55</f>
        <v/>
      </c>
      <c r="F57" s="6">
        <f>Actions!G55</f>
        <v/>
      </c>
      <c r="G57" s="6">
        <f>Actions!H55</f>
        <v/>
      </c>
      <c r="H57" s="29">
        <f>Actions!I55</f>
        <v/>
      </c>
      <c r="I57" s="6">
        <f>Actions!J55</f>
        <v/>
      </c>
      <c r="J57" s="16">
        <f>Actions!K55</f>
        <v/>
      </c>
      <c r="K57" s="16">
        <f>IF(A57="","",IF(I57="%",H57*J57,J57))</f>
        <v/>
      </c>
      <c r="L57" s="16">
        <f>Actions!L55</f>
        <v/>
      </c>
      <c r="M57" s="6">
        <f>Actions!M55</f>
        <v/>
      </c>
      <c r="N57" s="28">
        <f>Actions!N55</f>
        <v/>
      </c>
      <c r="O57" s="29">
        <f>Actions!T55</f>
        <v/>
      </c>
      <c r="P57" s="29">
        <f>Actions!Y55</f>
        <v/>
      </c>
      <c r="Q57" s="29">
        <f>Actions!Z55</f>
        <v/>
      </c>
      <c r="R57" s="29">
        <f>Actions!AA55</f>
        <v/>
      </c>
      <c r="S57" s="29">
        <f>IF(A57="","",((K57)*(IF(M57="",L57,IFERROR(IF(INDEX(Variablen!$I:$AT, MATCH(M57, Variablen!$A:$A, 0), MATCH((YEAR(D57)+0), Variablen!$I$3:$AT$3, 0))="",L57,INDEX(Variablen!$I:$AT, MATCH(M57, Variablen!$A:$A, 0), MATCH((YEAR(D57)+0), Variablen!$I$3:$AT$3, 0))),L57)))*(IF((YEAR(D57)+0)&lt;YEAR(E57),0,IF((YEAR(D57)+0)&gt;YEAR(E57),1,(12-MONTH(E57)+1)/12))) + (Q57)*(IF((YEAR(D57)+0)&lt;YEAR(E57),0,IF((YEAR(D57)+0)&gt;YEAR(E57),1,(12-MONTH(E57)+1)/12))))-((P57)*(IF((YEAR(D57)+0)&lt;YEAR(E57),0,IF((YEAR(D57)+0)&gt;YEAR(E57),1,(12-MONTH(E57)+1)/12))) + (R57)*(IF((YEAR(D57)+0)&lt;YEAR(E57),0,IF((YEAR(D57)+0)&gt;YEAR(E57),1,(12-MONTH(E57)+1)/12))))-(IF((((K57)*(IF(M57="",L57,IFERROR(IF(INDEX(Variablen!$I:$AT, MATCH(M57, Variablen!$A:$A, 0), MATCH((YEAR(D57)+0), Variablen!$I$3:$AT$3, 0))="",L57,INDEX(Variablen!$I:$AT, MATCH(M57, Variablen!$A:$A, 0), MATCH((YEAR(D57)+0), Variablen!$I$3:$AT$3, 0))),L57)))*(IF((YEAR(D57)+0)&lt;YEAR(E57),0,IF((YEAR(D57)+0)&gt;YEAR(E57),1,(12-MONTH(E57)+1)/12))) + (Q57)*(IF((YEAR(D57)+0)&lt;YEAR(E57),0,IF((YEAR(D57)+0)&gt;YEAR(E57),1,(12-MONTH(E57)+1)/12))))-((P57)*(IF((YEAR(D57)+0)&lt;YEAR(E57),0,IF((YEAR(D57)+0)&gt;YEAR(E57),1,(12-MONTH(E57)+1)/12))) + (R57)*(IF((YEAR(D57)+0)&lt;YEAR(E57),0,IF((YEAR(D57)+0)&gt;YEAR(E57),1,(12-MONTH(E57)+1)/12))))-(IF(OR(N57="",N57&lt;=0),0,(O57/N57)*(IF(OR(N57="",N57&lt;=0),0,IF((YEAR(D57)+0)&lt;YEAR(E57),0,IF((YEAR(D57)+0)&gt;=YEAR(E57)+N57,0,IF((YEAR(D57)+0)=YEAR(E57),(12-MONTH(E57)+1)/12,1))))))))&gt;0,(((K57)*(IF(M57="",L57,IFERROR(IF(INDEX(Variablen!$I:$AT, MATCH(M57, Variablen!$A:$A, 0), MATCH((YEAR(D57)+0), Variablen!$I$3:$AT$3, 0))="",L57,INDEX(Variablen!$I:$AT, MATCH(M57, Variablen!$A:$A, 0), MATCH((YEAR(D57)+0), Variablen!$I$3:$AT$3, 0))),L57)))*(IF((YEAR(D57)+0)&lt;YEAR(E57),0,IF((YEAR(D57)+0)&gt;YEAR(E57),1,(12-MONTH(E57)+1)/12))) + (Q57)*(IF((YEAR(D57)+0)&lt;YEAR(E57),0,IF((YEAR(D57)+0)&gt;YEAR(E57),1,(12-MONTH(E57)+1)/12))))-((P57)*(IF((YEAR(D57)+0)&lt;YEAR(E57),0,IF((YEAR(D57)+0)&gt;YEAR(E57),1,(12-MONTH(E57)+1)/12))) + (R57)*(IF((YEAR(D57)+0)&lt;YEAR(E57),0,IF((YEAR(D57)+0)&gt;YEAR(E57),1,(12-MONTH(E57)+1)/12))))-(IF(OR(N57="",N57&lt;=0),0,(O57/N57)*(IF(OR(N57="",N57&lt;=0),0,IF((YEAR(D57)+0)&lt;YEAR(E57),0,IF((YEAR(D57)+0)&gt;=YEAR(E57)+N57,0,IF((YEAR(D57)+0)=YEAR(E57),(12-MONTH(E57)+1)/12,1))))))))*TaxRate,0))-IF(0=0,O57,0))</f>
        <v/>
      </c>
      <c r="T57" s="29">
        <f>IF(A57="","",((K57)*(IF(M57="",L57,IFERROR(IF(INDEX(Variablen!$I:$AT, MATCH(M57, Variablen!$A:$A, 0), MATCH((YEAR(D57)+1), Variablen!$I$3:$AT$3, 0))="",L57,INDEX(Variablen!$I:$AT, MATCH(M57, Variablen!$A:$A, 0), MATCH((YEAR(D57)+1), Variablen!$I$3:$AT$3, 0))),L57)))*(IF((YEAR(D57)+1)&lt;YEAR(E57),0,IF((YEAR(D57)+1)&gt;YEAR(E57),1,(12-MONTH(E57)+1)/12))) + (Q57)*(IF((YEAR(D57)+1)&lt;YEAR(E57),0,IF((YEAR(D57)+1)&gt;YEAR(E57),1,(12-MONTH(E57)+1)/12))))-((P57)*(IF((YEAR(D57)+1)&lt;YEAR(E57),0,IF((YEAR(D57)+1)&gt;YEAR(E57),1,(12-MONTH(E57)+1)/12))) + (R57)*(IF((YEAR(D57)+1)&lt;YEAR(E57),0,IF((YEAR(D57)+1)&gt;YEAR(E57),1,(12-MONTH(E57)+1)/12))))-(IF((((K57)*(IF(M57="",L57,IFERROR(IF(INDEX(Variablen!$I:$AT, MATCH(M57, Variablen!$A:$A, 0), MATCH((YEAR(D57)+1), Variablen!$I$3:$AT$3, 0))="",L57,INDEX(Variablen!$I:$AT, MATCH(M57, Variablen!$A:$A, 0), MATCH((YEAR(D57)+1), Variablen!$I$3:$AT$3, 0))),L57)))*(IF((YEAR(D57)+1)&lt;YEAR(E57),0,IF((YEAR(D57)+1)&gt;YEAR(E57),1,(12-MONTH(E57)+1)/12))) + (Q57)*(IF((YEAR(D57)+1)&lt;YEAR(E57),0,IF((YEAR(D57)+1)&gt;YEAR(E57),1,(12-MONTH(E57)+1)/12))))-((P57)*(IF((YEAR(D57)+1)&lt;YEAR(E57),0,IF((YEAR(D57)+1)&gt;YEAR(E57),1,(12-MONTH(E57)+1)/12))) + (R57)*(IF((YEAR(D57)+1)&lt;YEAR(E57),0,IF((YEAR(D57)+1)&gt;YEAR(E57),1,(12-MONTH(E57)+1)/12))))-(IF(OR(N57="",N57&lt;=0),0,(O57/N57)*(IF(OR(N57="",N57&lt;=0),0,IF((YEAR(D57)+1)&lt;YEAR(E57),0,IF((YEAR(D57)+1)&gt;=YEAR(E57)+N57,0,IF((YEAR(D57)+1)=YEAR(E57),(12-MONTH(E57)+1)/12,1))))))))&gt;0,(((K57)*(IF(M57="",L57,IFERROR(IF(INDEX(Variablen!$I:$AT, MATCH(M57, Variablen!$A:$A, 0), MATCH((YEAR(D57)+1), Variablen!$I$3:$AT$3, 0))="",L57,INDEX(Variablen!$I:$AT, MATCH(M57, Variablen!$A:$A, 0), MATCH((YEAR(D57)+1), Variablen!$I$3:$AT$3, 0))),L57)))*(IF((YEAR(D57)+1)&lt;YEAR(E57),0,IF((YEAR(D57)+1)&gt;YEAR(E57),1,(12-MONTH(E57)+1)/12))) + (Q57)*(IF((YEAR(D57)+1)&lt;YEAR(E57),0,IF((YEAR(D57)+1)&gt;YEAR(E57),1,(12-MONTH(E57)+1)/12))))-((P57)*(IF((YEAR(D57)+1)&lt;YEAR(E57),0,IF((YEAR(D57)+1)&gt;YEAR(E57),1,(12-MONTH(E57)+1)/12))) + (R57)*(IF((YEAR(D57)+1)&lt;YEAR(E57),0,IF((YEAR(D57)+1)&gt;YEAR(E57),1,(12-MONTH(E57)+1)/12))))-(IF(OR(N57="",N57&lt;=0),0,(O57/N57)*(IF(OR(N57="",N57&lt;=0),0,IF((YEAR(D57)+1)&lt;YEAR(E57),0,IF((YEAR(D57)+1)&gt;=YEAR(E57)+N57,0,IF((YEAR(D57)+1)=YEAR(E57),(12-MONTH(E57)+1)/12,1))))))))*TaxRate,0))-IF(1=0,O57,0))</f>
        <v/>
      </c>
      <c r="U57" s="29">
        <f>IF(A57="","",((K57)*(IF(M57="",L57,IFERROR(IF(INDEX(Variablen!$I:$AT, MATCH(M57, Variablen!$A:$A, 0), MATCH((YEAR(D57)+2), Variablen!$I$3:$AT$3, 0))="",L57,INDEX(Variablen!$I:$AT, MATCH(M57, Variablen!$A:$A, 0), MATCH((YEAR(D57)+2), Variablen!$I$3:$AT$3, 0))),L57)))*(IF((YEAR(D57)+2)&lt;YEAR(E57),0,IF((YEAR(D57)+2)&gt;YEAR(E57),1,(12-MONTH(E57)+1)/12))) + (Q57)*(IF((YEAR(D57)+2)&lt;YEAR(E57),0,IF((YEAR(D57)+2)&gt;YEAR(E57),1,(12-MONTH(E57)+1)/12))))-((P57)*(IF((YEAR(D57)+2)&lt;YEAR(E57),0,IF((YEAR(D57)+2)&gt;YEAR(E57),1,(12-MONTH(E57)+1)/12))) + (R57)*(IF((YEAR(D57)+2)&lt;YEAR(E57),0,IF((YEAR(D57)+2)&gt;YEAR(E57),1,(12-MONTH(E57)+1)/12))))-(IF((((K57)*(IF(M57="",L57,IFERROR(IF(INDEX(Variablen!$I:$AT, MATCH(M57, Variablen!$A:$A, 0), MATCH((YEAR(D57)+2), Variablen!$I$3:$AT$3, 0))="",L57,INDEX(Variablen!$I:$AT, MATCH(M57, Variablen!$A:$A, 0), MATCH((YEAR(D57)+2), Variablen!$I$3:$AT$3, 0))),L57)))*(IF((YEAR(D57)+2)&lt;YEAR(E57),0,IF((YEAR(D57)+2)&gt;YEAR(E57),1,(12-MONTH(E57)+1)/12))) + (Q57)*(IF((YEAR(D57)+2)&lt;YEAR(E57),0,IF((YEAR(D57)+2)&gt;YEAR(E57),1,(12-MONTH(E57)+1)/12))))-((P57)*(IF((YEAR(D57)+2)&lt;YEAR(E57),0,IF((YEAR(D57)+2)&gt;YEAR(E57),1,(12-MONTH(E57)+1)/12))) + (R57)*(IF((YEAR(D57)+2)&lt;YEAR(E57),0,IF((YEAR(D57)+2)&gt;YEAR(E57),1,(12-MONTH(E57)+1)/12))))-(IF(OR(N57="",N57&lt;=0),0,(O57/N57)*(IF(OR(N57="",N57&lt;=0),0,IF((YEAR(D57)+2)&lt;YEAR(E57),0,IF((YEAR(D57)+2)&gt;=YEAR(E57)+N57,0,IF((YEAR(D57)+2)=YEAR(E57),(12-MONTH(E57)+1)/12,1))))))))&gt;0,(((K57)*(IF(M57="",L57,IFERROR(IF(INDEX(Variablen!$I:$AT, MATCH(M57, Variablen!$A:$A, 0), MATCH((YEAR(D57)+2), Variablen!$I$3:$AT$3, 0))="",L57,INDEX(Variablen!$I:$AT, MATCH(M57, Variablen!$A:$A, 0), MATCH((YEAR(D57)+2), Variablen!$I$3:$AT$3, 0))),L57)))*(IF((YEAR(D57)+2)&lt;YEAR(E57),0,IF((YEAR(D57)+2)&gt;YEAR(E57),1,(12-MONTH(E57)+1)/12))) + (Q57)*(IF((YEAR(D57)+2)&lt;YEAR(E57),0,IF((YEAR(D57)+2)&gt;YEAR(E57),1,(12-MONTH(E57)+1)/12))))-((P57)*(IF((YEAR(D57)+2)&lt;YEAR(E57),0,IF((YEAR(D57)+2)&gt;YEAR(E57),1,(12-MONTH(E57)+1)/12))) + (R57)*(IF((YEAR(D57)+2)&lt;YEAR(E57),0,IF((YEAR(D57)+2)&gt;YEAR(E57),1,(12-MONTH(E57)+1)/12))))-(IF(OR(N57="",N57&lt;=0),0,(O57/N57)*(IF(OR(N57="",N57&lt;=0),0,IF((YEAR(D57)+2)&lt;YEAR(E57),0,IF((YEAR(D57)+2)&gt;=YEAR(E57)+N57,0,IF((YEAR(D57)+2)=YEAR(E57),(12-MONTH(E57)+1)/12,1))))))))*TaxRate,0))-IF(2=0,O57,0))</f>
        <v/>
      </c>
      <c r="V57" s="29">
        <f>IF(A57="","",((K57)*(IF(M57="",L57,IFERROR(IF(INDEX(Variablen!$I:$AT, MATCH(M57, Variablen!$A:$A, 0), MATCH((YEAR(D57)+3), Variablen!$I$3:$AT$3, 0))="",L57,INDEX(Variablen!$I:$AT, MATCH(M57, Variablen!$A:$A, 0), MATCH((YEAR(D57)+3), Variablen!$I$3:$AT$3, 0))),L57)))*(IF((YEAR(D57)+3)&lt;YEAR(E57),0,IF((YEAR(D57)+3)&gt;YEAR(E57),1,(12-MONTH(E57)+1)/12))) + (Q57)*(IF((YEAR(D57)+3)&lt;YEAR(E57),0,IF((YEAR(D57)+3)&gt;YEAR(E57),1,(12-MONTH(E57)+1)/12))))-((P57)*(IF((YEAR(D57)+3)&lt;YEAR(E57),0,IF((YEAR(D57)+3)&gt;YEAR(E57),1,(12-MONTH(E57)+1)/12))) + (R57)*(IF((YEAR(D57)+3)&lt;YEAR(E57),0,IF((YEAR(D57)+3)&gt;YEAR(E57),1,(12-MONTH(E57)+1)/12))))-(IF((((K57)*(IF(M57="",L57,IFERROR(IF(INDEX(Variablen!$I:$AT, MATCH(M57, Variablen!$A:$A, 0), MATCH((YEAR(D57)+3), Variablen!$I$3:$AT$3, 0))="",L57,INDEX(Variablen!$I:$AT, MATCH(M57, Variablen!$A:$A, 0), MATCH((YEAR(D57)+3), Variablen!$I$3:$AT$3, 0))),L57)))*(IF((YEAR(D57)+3)&lt;YEAR(E57),0,IF((YEAR(D57)+3)&gt;YEAR(E57),1,(12-MONTH(E57)+1)/12))) + (Q57)*(IF((YEAR(D57)+3)&lt;YEAR(E57),0,IF((YEAR(D57)+3)&gt;YEAR(E57),1,(12-MONTH(E57)+1)/12))))-((P57)*(IF((YEAR(D57)+3)&lt;YEAR(E57),0,IF((YEAR(D57)+3)&gt;YEAR(E57),1,(12-MONTH(E57)+1)/12))) + (R57)*(IF((YEAR(D57)+3)&lt;YEAR(E57),0,IF((YEAR(D57)+3)&gt;YEAR(E57),1,(12-MONTH(E57)+1)/12))))-(IF(OR(N57="",N57&lt;=0),0,(O57/N57)*(IF(OR(N57="",N57&lt;=0),0,IF((YEAR(D57)+3)&lt;YEAR(E57),0,IF((YEAR(D57)+3)&gt;=YEAR(E57)+N57,0,IF((YEAR(D57)+3)=YEAR(E57),(12-MONTH(E57)+1)/12,1))))))))&gt;0,(((K57)*(IF(M57="",L57,IFERROR(IF(INDEX(Variablen!$I:$AT, MATCH(M57, Variablen!$A:$A, 0), MATCH((YEAR(D57)+3), Variablen!$I$3:$AT$3, 0))="",L57,INDEX(Variablen!$I:$AT, MATCH(M57, Variablen!$A:$A, 0), MATCH((YEAR(D57)+3), Variablen!$I$3:$AT$3, 0))),L57)))*(IF((YEAR(D57)+3)&lt;YEAR(E57),0,IF((YEAR(D57)+3)&gt;YEAR(E57),1,(12-MONTH(E57)+1)/12))) + (Q57)*(IF((YEAR(D57)+3)&lt;YEAR(E57),0,IF((YEAR(D57)+3)&gt;YEAR(E57),1,(12-MONTH(E57)+1)/12))))-((P57)*(IF((YEAR(D57)+3)&lt;YEAR(E57),0,IF((YEAR(D57)+3)&gt;YEAR(E57),1,(12-MONTH(E57)+1)/12))) + (R57)*(IF((YEAR(D57)+3)&lt;YEAR(E57),0,IF((YEAR(D57)+3)&gt;YEAR(E57),1,(12-MONTH(E57)+1)/12))))-(IF(OR(N57="",N57&lt;=0),0,(O57/N57)*(IF(OR(N57="",N57&lt;=0),0,IF((YEAR(D57)+3)&lt;YEAR(E57),0,IF((YEAR(D57)+3)&gt;=YEAR(E57)+N57,0,IF((YEAR(D57)+3)=YEAR(E57),(12-MONTH(E57)+1)/12,1))))))))*TaxRate,0))-IF(3=0,O57,0))</f>
        <v/>
      </c>
      <c r="W57" s="29">
        <f>IF(A57="","",((K57)*(IF(M57="",L57,IFERROR(IF(INDEX(Variablen!$I:$AT, MATCH(M57, Variablen!$A:$A, 0), MATCH((YEAR(D57)+4), Variablen!$I$3:$AT$3, 0))="",L57,INDEX(Variablen!$I:$AT, MATCH(M57, Variablen!$A:$A, 0), MATCH((YEAR(D57)+4), Variablen!$I$3:$AT$3, 0))),L57)))*(IF((YEAR(D57)+4)&lt;YEAR(E57),0,IF((YEAR(D57)+4)&gt;YEAR(E57),1,(12-MONTH(E57)+1)/12))) + (Q57)*(IF((YEAR(D57)+4)&lt;YEAR(E57),0,IF((YEAR(D57)+4)&gt;YEAR(E57),1,(12-MONTH(E57)+1)/12))))-((P57)*(IF((YEAR(D57)+4)&lt;YEAR(E57),0,IF((YEAR(D57)+4)&gt;YEAR(E57),1,(12-MONTH(E57)+1)/12))) + (R57)*(IF((YEAR(D57)+4)&lt;YEAR(E57),0,IF((YEAR(D57)+4)&gt;YEAR(E57),1,(12-MONTH(E57)+1)/12))))-(IF((((K57)*(IF(M57="",L57,IFERROR(IF(INDEX(Variablen!$I:$AT, MATCH(M57, Variablen!$A:$A, 0), MATCH((YEAR(D57)+4), Variablen!$I$3:$AT$3, 0))="",L57,INDEX(Variablen!$I:$AT, MATCH(M57, Variablen!$A:$A, 0), MATCH((YEAR(D57)+4), Variablen!$I$3:$AT$3, 0))),L57)))*(IF((YEAR(D57)+4)&lt;YEAR(E57),0,IF((YEAR(D57)+4)&gt;YEAR(E57),1,(12-MONTH(E57)+1)/12))) + (Q57)*(IF((YEAR(D57)+4)&lt;YEAR(E57),0,IF((YEAR(D57)+4)&gt;YEAR(E57),1,(12-MONTH(E57)+1)/12))))-((P57)*(IF((YEAR(D57)+4)&lt;YEAR(E57),0,IF((YEAR(D57)+4)&gt;YEAR(E57),1,(12-MONTH(E57)+1)/12))) + (R57)*(IF((YEAR(D57)+4)&lt;YEAR(E57),0,IF((YEAR(D57)+4)&gt;YEAR(E57),1,(12-MONTH(E57)+1)/12))))-(IF(OR(N57="",N57&lt;=0),0,(O57/N57)*(IF(OR(N57="",N57&lt;=0),0,IF((YEAR(D57)+4)&lt;YEAR(E57),0,IF((YEAR(D57)+4)&gt;=YEAR(E57)+N57,0,IF((YEAR(D57)+4)=YEAR(E57),(12-MONTH(E57)+1)/12,1))))))))&gt;0,(((K57)*(IF(M57="",L57,IFERROR(IF(INDEX(Variablen!$I:$AT, MATCH(M57, Variablen!$A:$A, 0), MATCH((YEAR(D57)+4), Variablen!$I$3:$AT$3, 0))="",L57,INDEX(Variablen!$I:$AT, MATCH(M57, Variablen!$A:$A, 0), MATCH((YEAR(D57)+4), Variablen!$I$3:$AT$3, 0))),L57)))*(IF((YEAR(D57)+4)&lt;YEAR(E57),0,IF((YEAR(D57)+4)&gt;YEAR(E57),1,(12-MONTH(E57)+1)/12))) + (Q57)*(IF((YEAR(D57)+4)&lt;YEAR(E57),0,IF((YEAR(D57)+4)&gt;YEAR(E57),1,(12-MONTH(E57)+1)/12))))-((P57)*(IF((YEAR(D57)+4)&lt;YEAR(E57),0,IF((YEAR(D57)+4)&gt;YEAR(E57),1,(12-MONTH(E57)+1)/12))) + (R57)*(IF((YEAR(D57)+4)&lt;YEAR(E57),0,IF((YEAR(D57)+4)&gt;YEAR(E57),1,(12-MONTH(E57)+1)/12))))-(IF(OR(N57="",N57&lt;=0),0,(O57/N57)*(IF(OR(N57="",N57&lt;=0),0,IF((YEAR(D57)+4)&lt;YEAR(E57),0,IF((YEAR(D57)+4)&gt;=YEAR(E57)+N57,0,IF((YEAR(D57)+4)=YEAR(E57),(12-MONTH(E57)+1)/12,1))))))))*TaxRate,0))-IF(4=0,O57,0))</f>
        <v/>
      </c>
      <c r="X57" s="29">
        <f>IF(A57="","",((K57)*(IF(M57="",L57,IFERROR(IF(INDEX(Variablen!$I:$AT, MATCH(M57, Variablen!$A:$A, 0), MATCH((YEAR(D57)+5), Variablen!$I$3:$AT$3, 0))="",L57,INDEX(Variablen!$I:$AT, MATCH(M57, Variablen!$A:$A, 0), MATCH((YEAR(D57)+5), Variablen!$I$3:$AT$3, 0))),L57)))*(IF((YEAR(D57)+5)&lt;YEAR(E57),0,IF((YEAR(D57)+5)&gt;YEAR(E57),1,(12-MONTH(E57)+1)/12))) + (Q57)*(IF((YEAR(D57)+5)&lt;YEAR(E57),0,IF((YEAR(D57)+5)&gt;YEAR(E57),1,(12-MONTH(E57)+1)/12))))-((P57)*(IF((YEAR(D57)+5)&lt;YEAR(E57),0,IF((YEAR(D57)+5)&gt;YEAR(E57),1,(12-MONTH(E57)+1)/12))) + (R57)*(IF((YEAR(D57)+5)&lt;YEAR(E57),0,IF((YEAR(D57)+5)&gt;YEAR(E57),1,(12-MONTH(E57)+1)/12))))-(IF((((K57)*(IF(M57="",L57,IFERROR(IF(INDEX(Variablen!$I:$AT, MATCH(M57, Variablen!$A:$A, 0), MATCH((YEAR(D57)+5), Variablen!$I$3:$AT$3, 0))="",L57,INDEX(Variablen!$I:$AT, MATCH(M57, Variablen!$A:$A, 0), MATCH((YEAR(D57)+5), Variablen!$I$3:$AT$3, 0))),L57)))*(IF((YEAR(D57)+5)&lt;YEAR(E57),0,IF((YEAR(D57)+5)&gt;YEAR(E57),1,(12-MONTH(E57)+1)/12))) + (Q57)*(IF((YEAR(D57)+5)&lt;YEAR(E57),0,IF((YEAR(D57)+5)&gt;YEAR(E57),1,(12-MONTH(E57)+1)/12))))-((P57)*(IF((YEAR(D57)+5)&lt;YEAR(E57),0,IF((YEAR(D57)+5)&gt;YEAR(E57),1,(12-MONTH(E57)+1)/12))) + (R57)*(IF((YEAR(D57)+5)&lt;YEAR(E57),0,IF((YEAR(D57)+5)&gt;YEAR(E57),1,(12-MONTH(E57)+1)/12))))-(IF(OR(N57="",N57&lt;=0),0,(O57/N57)*(IF(OR(N57="",N57&lt;=0),0,IF((YEAR(D57)+5)&lt;YEAR(E57),0,IF((YEAR(D57)+5)&gt;=YEAR(E57)+N57,0,IF((YEAR(D57)+5)=YEAR(E57),(12-MONTH(E57)+1)/12,1))))))))&gt;0,(((K57)*(IF(M57="",L57,IFERROR(IF(INDEX(Variablen!$I:$AT, MATCH(M57, Variablen!$A:$A, 0), MATCH((YEAR(D57)+5), Variablen!$I$3:$AT$3, 0))="",L57,INDEX(Variablen!$I:$AT, MATCH(M57, Variablen!$A:$A, 0), MATCH((YEAR(D57)+5), Variablen!$I$3:$AT$3, 0))),L57)))*(IF((YEAR(D57)+5)&lt;YEAR(E57),0,IF((YEAR(D57)+5)&gt;YEAR(E57),1,(12-MONTH(E57)+1)/12))) + (Q57)*(IF((YEAR(D57)+5)&lt;YEAR(E57),0,IF((YEAR(D57)+5)&gt;YEAR(E57),1,(12-MONTH(E57)+1)/12))))-((P57)*(IF((YEAR(D57)+5)&lt;YEAR(E57),0,IF((YEAR(D57)+5)&gt;YEAR(E57),1,(12-MONTH(E57)+1)/12))) + (R57)*(IF((YEAR(D57)+5)&lt;YEAR(E57),0,IF((YEAR(D57)+5)&gt;YEAR(E57),1,(12-MONTH(E57)+1)/12))))-(IF(OR(N57="",N57&lt;=0),0,(O57/N57)*(IF(OR(N57="",N57&lt;=0),0,IF((YEAR(D57)+5)&lt;YEAR(E57),0,IF((YEAR(D57)+5)&gt;=YEAR(E57)+N57,0,IF((YEAR(D57)+5)=YEAR(E57),(12-MONTH(E57)+1)/12,1))))))))*TaxRate,0))-IF(5=0,O57,0))</f>
        <v/>
      </c>
      <c r="Y57" s="29">
        <f>IF(A57="","",((K57)*(IF(M57="",L57,IFERROR(IF(INDEX(Variablen!$I:$AT, MATCH(M57, Variablen!$A:$A, 0), MATCH((YEAR(D57)+6), Variablen!$I$3:$AT$3, 0))="",L57,INDEX(Variablen!$I:$AT, MATCH(M57, Variablen!$A:$A, 0), MATCH((YEAR(D57)+6), Variablen!$I$3:$AT$3, 0))),L57)))*(IF((YEAR(D57)+6)&lt;YEAR(E57),0,IF((YEAR(D57)+6)&gt;YEAR(E57),1,(12-MONTH(E57)+1)/12))) + (Q57)*(IF((YEAR(D57)+6)&lt;YEAR(E57),0,IF((YEAR(D57)+6)&gt;YEAR(E57),1,(12-MONTH(E57)+1)/12))))-((P57)*(IF((YEAR(D57)+6)&lt;YEAR(E57),0,IF((YEAR(D57)+6)&gt;YEAR(E57),1,(12-MONTH(E57)+1)/12))) + (R57)*(IF((YEAR(D57)+6)&lt;YEAR(E57),0,IF((YEAR(D57)+6)&gt;YEAR(E57),1,(12-MONTH(E57)+1)/12))))-(IF((((K57)*(IF(M57="",L57,IFERROR(IF(INDEX(Variablen!$I:$AT, MATCH(M57, Variablen!$A:$A, 0), MATCH((YEAR(D57)+6), Variablen!$I$3:$AT$3, 0))="",L57,INDEX(Variablen!$I:$AT, MATCH(M57, Variablen!$A:$A, 0), MATCH((YEAR(D57)+6), Variablen!$I$3:$AT$3, 0))),L57)))*(IF((YEAR(D57)+6)&lt;YEAR(E57),0,IF((YEAR(D57)+6)&gt;YEAR(E57),1,(12-MONTH(E57)+1)/12))) + (Q57)*(IF((YEAR(D57)+6)&lt;YEAR(E57),0,IF((YEAR(D57)+6)&gt;YEAR(E57),1,(12-MONTH(E57)+1)/12))))-((P57)*(IF((YEAR(D57)+6)&lt;YEAR(E57),0,IF((YEAR(D57)+6)&gt;YEAR(E57),1,(12-MONTH(E57)+1)/12))) + (R57)*(IF((YEAR(D57)+6)&lt;YEAR(E57),0,IF((YEAR(D57)+6)&gt;YEAR(E57),1,(12-MONTH(E57)+1)/12))))-(IF(OR(N57="",N57&lt;=0),0,(O57/N57)*(IF(OR(N57="",N57&lt;=0),0,IF((YEAR(D57)+6)&lt;YEAR(E57),0,IF((YEAR(D57)+6)&gt;=YEAR(E57)+N57,0,IF((YEAR(D57)+6)=YEAR(E57),(12-MONTH(E57)+1)/12,1))))))))&gt;0,(((K57)*(IF(M57="",L57,IFERROR(IF(INDEX(Variablen!$I:$AT, MATCH(M57, Variablen!$A:$A, 0), MATCH((YEAR(D57)+6), Variablen!$I$3:$AT$3, 0))="",L57,INDEX(Variablen!$I:$AT, MATCH(M57, Variablen!$A:$A, 0), MATCH((YEAR(D57)+6), Variablen!$I$3:$AT$3, 0))),L57)))*(IF((YEAR(D57)+6)&lt;YEAR(E57),0,IF((YEAR(D57)+6)&gt;YEAR(E57),1,(12-MONTH(E57)+1)/12))) + (Q57)*(IF((YEAR(D57)+6)&lt;YEAR(E57),0,IF((YEAR(D57)+6)&gt;YEAR(E57),1,(12-MONTH(E57)+1)/12))))-((P57)*(IF((YEAR(D57)+6)&lt;YEAR(E57),0,IF((YEAR(D57)+6)&gt;YEAR(E57),1,(12-MONTH(E57)+1)/12))) + (R57)*(IF((YEAR(D57)+6)&lt;YEAR(E57),0,IF((YEAR(D57)+6)&gt;YEAR(E57),1,(12-MONTH(E57)+1)/12))))-(IF(OR(N57="",N57&lt;=0),0,(O57/N57)*(IF(OR(N57="",N57&lt;=0),0,IF((YEAR(D57)+6)&lt;YEAR(E57),0,IF((YEAR(D57)+6)&gt;=YEAR(E57)+N57,0,IF((YEAR(D57)+6)=YEAR(E57),(12-MONTH(E57)+1)/12,1))))))))*TaxRate,0))-IF(6=0,O57,0))</f>
        <v/>
      </c>
      <c r="Z57" s="29">
        <f>IF(A57="","",((K57)*(IF(M57="",L57,IFERROR(IF(INDEX(Variablen!$I:$AT, MATCH(M57, Variablen!$A:$A, 0), MATCH((YEAR(D57)+7), Variablen!$I$3:$AT$3, 0))="",L57,INDEX(Variablen!$I:$AT, MATCH(M57, Variablen!$A:$A, 0), MATCH((YEAR(D57)+7), Variablen!$I$3:$AT$3, 0))),L57)))*(IF((YEAR(D57)+7)&lt;YEAR(E57),0,IF((YEAR(D57)+7)&gt;YEAR(E57),1,(12-MONTH(E57)+1)/12))) + (Q57)*(IF((YEAR(D57)+7)&lt;YEAR(E57),0,IF((YEAR(D57)+7)&gt;YEAR(E57),1,(12-MONTH(E57)+1)/12))))-((P57)*(IF((YEAR(D57)+7)&lt;YEAR(E57),0,IF((YEAR(D57)+7)&gt;YEAR(E57),1,(12-MONTH(E57)+1)/12))) + (R57)*(IF((YEAR(D57)+7)&lt;YEAR(E57),0,IF((YEAR(D57)+7)&gt;YEAR(E57),1,(12-MONTH(E57)+1)/12))))-(IF((((K57)*(IF(M57="",L57,IFERROR(IF(INDEX(Variablen!$I:$AT, MATCH(M57, Variablen!$A:$A, 0), MATCH((YEAR(D57)+7), Variablen!$I$3:$AT$3, 0))="",L57,INDEX(Variablen!$I:$AT, MATCH(M57, Variablen!$A:$A, 0), MATCH((YEAR(D57)+7), Variablen!$I$3:$AT$3, 0))),L57)))*(IF((YEAR(D57)+7)&lt;YEAR(E57),0,IF((YEAR(D57)+7)&gt;YEAR(E57),1,(12-MONTH(E57)+1)/12))) + (Q57)*(IF((YEAR(D57)+7)&lt;YEAR(E57),0,IF((YEAR(D57)+7)&gt;YEAR(E57),1,(12-MONTH(E57)+1)/12))))-((P57)*(IF((YEAR(D57)+7)&lt;YEAR(E57),0,IF((YEAR(D57)+7)&gt;YEAR(E57),1,(12-MONTH(E57)+1)/12))) + (R57)*(IF((YEAR(D57)+7)&lt;YEAR(E57),0,IF((YEAR(D57)+7)&gt;YEAR(E57),1,(12-MONTH(E57)+1)/12))))-(IF(OR(N57="",N57&lt;=0),0,(O57/N57)*(IF(OR(N57="",N57&lt;=0),0,IF((YEAR(D57)+7)&lt;YEAR(E57),0,IF((YEAR(D57)+7)&gt;=YEAR(E57)+N57,0,IF((YEAR(D57)+7)=YEAR(E57),(12-MONTH(E57)+1)/12,1))))))))&gt;0,(((K57)*(IF(M57="",L57,IFERROR(IF(INDEX(Variablen!$I:$AT, MATCH(M57, Variablen!$A:$A, 0), MATCH((YEAR(D57)+7), Variablen!$I$3:$AT$3, 0))="",L57,INDEX(Variablen!$I:$AT, MATCH(M57, Variablen!$A:$A, 0), MATCH((YEAR(D57)+7), Variablen!$I$3:$AT$3, 0))),L57)))*(IF((YEAR(D57)+7)&lt;YEAR(E57),0,IF((YEAR(D57)+7)&gt;YEAR(E57),1,(12-MONTH(E57)+1)/12))) + (Q57)*(IF((YEAR(D57)+7)&lt;YEAR(E57),0,IF((YEAR(D57)+7)&gt;YEAR(E57),1,(12-MONTH(E57)+1)/12))))-((P57)*(IF((YEAR(D57)+7)&lt;YEAR(E57),0,IF((YEAR(D57)+7)&gt;YEAR(E57),1,(12-MONTH(E57)+1)/12))) + (R57)*(IF((YEAR(D57)+7)&lt;YEAR(E57),0,IF((YEAR(D57)+7)&gt;YEAR(E57),1,(12-MONTH(E57)+1)/12))))-(IF(OR(N57="",N57&lt;=0),0,(O57/N57)*(IF(OR(N57="",N57&lt;=0),0,IF((YEAR(D57)+7)&lt;YEAR(E57),0,IF((YEAR(D57)+7)&gt;=YEAR(E57)+N57,0,IF((YEAR(D57)+7)=YEAR(E57),(12-MONTH(E57)+1)/12,1))))))))*TaxRate,0))-IF(7=0,O57,0))</f>
        <v/>
      </c>
      <c r="AA57" s="29">
        <f>IF(A57="","",((K57)*(IF(M57="",L57,IFERROR(IF(INDEX(Variablen!$I:$AT, MATCH(M57, Variablen!$A:$A, 0), MATCH((YEAR(D57)+8), Variablen!$I$3:$AT$3, 0))="",L57,INDEX(Variablen!$I:$AT, MATCH(M57, Variablen!$A:$A, 0), MATCH((YEAR(D57)+8), Variablen!$I$3:$AT$3, 0))),L57)))*(IF((YEAR(D57)+8)&lt;YEAR(E57),0,IF((YEAR(D57)+8)&gt;YEAR(E57),1,(12-MONTH(E57)+1)/12))) + (Q57)*(IF((YEAR(D57)+8)&lt;YEAR(E57),0,IF((YEAR(D57)+8)&gt;YEAR(E57),1,(12-MONTH(E57)+1)/12))))-((P57)*(IF((YEAR(D57)+8)&lt;YEAR(E57),0,IF((YEAR(D57)+8)&gt;YEAR(E57),1,(12-MONTH(E57)+1)/12))) + (R57)*(IF((YEAR(D57)+8)&lt;YEAR(E57),0,IF((YEAR(D57)+8)&gt;YEAR(E57),1,(12-MONTH(E57)+1)/12))))-(IF((((K57)*(IF(M57="",L57,IFERROR(IF(INDEX(Variablen!$I:$AT, MATCH(M57, Variablen!$A:$A, 0), MATCH((YEAR(D57)+8), Variablen!$I$3:$AT$3, 0))="",L57,INDEX(Variablen!$I:$AT, MATCH(M57, Variablen!$A:$A, 0), MATCH((YEAR(D57)+8), Variablen!$I$3:$AT$3, 0))),L57)))*(IF((YEAR(D57)+8)&lt;YEAR(E57),0,IF((YEAR(D57)+8)&gt;YEAR(E57),1,(12-MONTH(E57)+1)/12))) + (Q57)*(IF((YEAR(D57)+8)&lt;YEAR(E57),0,IF((YEAR(D57)+8)&gt;YEAR(E57),1,(12-MONTH(E57)+1)/12))))-((P57)*(IF((YEAR(D57)+8)&lt;YEAR(E57),0,IF((YEAR(D57)+8)&gt;YEAR(E57),1,(12-MONTH(E57)+1)/12))) + (R57)*(IF((YEAR(D57)+8)&lt;YEAR(E57),0,IF((YEAR(D57)+8)&gt;YEAR(E57),1,(12-MONTH(E57)+1)/12))))-(IF(OR(N57="",N57&lt;=0),0,(O57/N57)*(IF(OR(N57="",N57&lt;=0),0,IF((YEAR(D57)+8)&lt;YEAR(E57),0,IF((YEAR(D57)+8)&gt;=YEAR(E57)+N57,0,IF((YEAR(D57)+8)=YEAR(E57),(12-MONTH(E57)+1)/12,1))))))))&gt;0,(((K57)*(IF(M57="",L57,IFERROR(IF(INDEX(Variablen!$I:$AT, MATCH(M57, Variablen!$A:$A, 0), MATCH((YEAR(D57)+8), Variablen!$I$3:$AT$3, 0))="",L57,INDEX(Variablen!$I:$AT, MATCH(M57, Variablen!$A:$A, 0), MATCH((YEAR(D57)+8), Variablen!$I$3:$AT$3, 0))),L57)))*(IF((YEAR(D57)+8)&lt;YEAR(E57),0,IF((YEAR(D57)+8)&gt;YEAR(E57),1,(12-MONTH(E57)+1)/12))) + (Q57)*(IF((YEAR(D57)+8)&lt;YEAR(E57),0,IF((YEAR(D57)+8)&gt;YEAR(E57),1,(12-MONTH(E57)+1)/12))))-((P57)*(IF((YEAR(D57)+8)&lt;YEAR(E57),0,IF((YEAR(D57)+8)&gt;YEAR(E57),1,(12-MONTH(E57)+1)/12))) + (R57)*(IF((YEAR(D57)+8)&lt;YEAR(E57),0,IF((YEAR(D57)+8)&gt;YEAR(E57),1,(12-MONTH(E57)+1)/12))))-(IF(OR(N57="",N57&lt;=0),0,(O57/N57)*(IF(OR(N57="",N57&lt;=0),0,IF((YEAR(D57)+8)&lt;YEAR(E57),0,IF((YEAR(D57)+8)&gt;=YEAR(E57)+N57,0,IF((YEAR(D57)+8)=YEAR(E57),(12-MONTH(E57)+1)/12,1))))))))*TaxRate,0))-IF(8=0,O57,0))</f>
        <v/>
      </c>
      <c r="AB57" s="29">
        <f>IF(A57="","",((K57)*(IF(M57="",L57,IFERROR(IF(INDEX(Variablen!$I:$AT, MATCH(M57, Variablen!$A:$A, 0), MATCH((YEAR(D57)+9), Variablen!$I$3:$AT$3, 0))="",L57,INDEX(Variablen!$I:$AT, MATCH(M57, Variablen!$A:$A, 0), MATCH((YEAR(D57)+9), Variablen!$I$3:$AT$3, 0))),L57)))*(IF((YEAR(D57)+9)&lt;YEAR(E57),0,IF((YEAR(D57)+9)&gt;YEAR(E57),1,(12-MONTH(E57)+1)/12))) + (Q57)*(IF((YEAR(D57)+9)&lt;YEAR(E57),0,IF((YEAR(D57)+9)&gt;YEAR(E57),1,(12-MONTH(E57)+1)/12))))-((P57)*(IF((YEAR(D57)+9)&lt;YEAR(E57),0,IF((YEAR(D57)+9)&gt;YEAR(E57),1,(12-MONTH(E57)+1)/12))) + (R57)*(IF((YEAR(D57)+9)&lt;YEAR(E57),0,IF((YEAR(D57)+9)&gt;YEAR(E57),1,(12-MONTH(E57)+1)/12))))-(IF((((K57)*(IF(M57="",L57,IFERROR(IF(INDEX(Variablen!$I:$AT, MATCH(M57, Variablen!$A:$A, 0), MATCH((YEAR(D57)+9), Variablen!$I$3:$AT$3, 0))="",L57,INDEX(Variablen!$I:$AT, MATCH(M57, Variablen!$A:$A, 0), MATCH((YEAR(D57)+9), Variablen!$I$3:$AT$3, 0))),L57)))*(IF((YEAR(D57)+9)&lt;YEAR(E57),0,IF((YEAR(D57)+9)&gt;YEAR(E57),1,(12-MONTH(E57)+1)/12))) + (Q57)*(IF((YEAR(D57)+9)&lt;YEAR(E57),0,IF((YEAR(D57)+9)&gt;YEAR(E57),1,(12-MONTH(E57)+1)/12))))-((P57)*(IF((YEAR(D57)+9)&lt;YEAR(E57),0,IF((YEAR(D57)+9)&gt;YEAR(E57),1,(12-MONTH(E57)+1)/12))) + (R57)*(IF((YEAR(D57)+9)&lt;YEAR(E57),0,IF((YEAR(D57)+9)&gt;YEAR(E57),1,(12-MONTH(E57)+1)/12))))-(IF(OR(N57="",N57&lt;=0),0,(O57/N57)*(IF(OR(N57="",N57&lt;=0),0,IF((YEAR(D57)+9)&lt;YEAR(E57),0,IF((YEAR(D57)+9)&gt;=YEAR(E57)+N57,0,IF((YEAR(D57)+9)=YEAR(E57),(12-MONTH(E57)+1)/12,1))))))))&gt;0,(((K57)*(IF(M57="",L57,IFERROR(IF(INDEX(Variablen!$I:$AT, MATCH(M57, Variablen!$A:$A, 0), MATCH((YEAR(D57)+9), Variablen!$I$3:$AT$3, 0))="",L57,INDEX(Variablen!$I:$AT, MATCH(M57, Variablen!$A:$A, 0), MATCH((YEAR(D57)+9), Variablen!$I$3:$AT$3, 0))),L57)))*(IF((YEAR(D57)+9)&lt;YEAR(E57),0,IF((YEAR(D57)+9)&gt;YEAR(E57),1,(12-MONTH(E57)+1)/12))) + (Q57)*(IF((YEAR(D57)+9)&lt;YEAR(E57),0,IF((YEAR(D57)+9)&gt;YEAR(E57),1,(12-MONTH(E57)+1)/12))))-((P57)*(IF((YEAR(D57)+9)&lt;YEAR(E57),0,IF((YEAR(D57)+9)&gt;YEAR(E57),1,(12-MONTH(E57)+1)/12))) + (R57)*(IF((YEAR(D57)+9)&lt;YEAR(E57),0,IF((YEAR(D57)+9)&gt;YEAR(E57),1,(12-MONTH(E57)+1)/12))))-(IF(OR(N57="",N57&lt;=0),0,(O57/N57)*(IF(OR(N57="",N57&lt;=0),0,IF((YEAR(D57)+9)&lt;YEAR(E57),0,IF((YEAR(D57)+9)&gt;=YEAR(E57)+N57,0,IF((YEAR(D57)+9)=YEAR(E57),(12-MONTH(E57)+1)/12,1))))))))*TaxRate,0))-IF(9=0,O57,0))</f>
        <v/>
      </c>
      <c r="AC57" s="29">
        <f>IF(A57="","",((K57)*(IF(M57="",L57,IFERROR(IF(INDEX(Variablen!$I:$AT, MATCH(M57, Variablen!$A:$A, 0), MATCH((YEAR(D57)+10), Variablen!$I$3:$AT$3, 0))="",L57,INDEX(Variablen!$I:$AT, MATCH(M57, Variablen!$A:$A, 0), MATCH((YEAR(D57)+10), Variablen!$I$3:$AT$3, 0))),L57)))*(IF((YEAR(D57)+10)&lt;YEAR(E57),0,IF((YEAR(D57)+10)&gt;YEAR(E57),1,(12-MONTH(E57)+1)/12))) + (Q57)*(IF((YEAR(D57)+10)&lt;YEAR(E57),0,IF((YEAR(D57)+10)&gt;YEAR(E57),1,(12-MONTH(E57)+1)/12))))-((P57)*(IF((YEAR(D57)+10)&lt;YEAR(E57),0,IF((YEAR(D57)+10)&gt;YEAR(E57),1,(12-MONTH(E57)+1)/12))) + (R57)*(IF((YEAR(D57)+10)&lt;YEAR(E57),0,IF((YEAR(D57)+10)&gt;YEAR(E57),1,(12-MONTH(E57)+1)/12))))-(IF((((K57)*(IF(M57="",L57,IFERROR(IF(INDEX(Variablen!$I:$AT, MATCH(M57, Variablen!$A:$A, 0), MATCH((YEAR(D57)+10), Variablen!$I$3:$AT$3, 0))="",L57,INDEX(Variablen!$I:$AT, MATCH(M57, Variablen!$A:$A, 0), MATCH((YEAR(D57)+10), Variablen!$I$3:$AT$3, 0))),L57)))*(IF((YEAR(D57)+10)&lt;YEAR(E57),0,IF((YEAR(D57)+10)&gt;YEAR(E57),1,(12-MONTH(E57)+1)/12))) + (Q57)*(IF((YEAR(D57)+10)&lt;YEAR(E57),0,IF((YEAR(D57)+10)&gt;YEAR(E57),1,(12-MONTH(E57)+1)/12))))-((P57)*(IF((YEAR(D57)+10)&lt;YEAR(E57),0,IF((YEAR(D57)+10)&gt;YEAR(E57),1,(12-MONTH(E57)+1)/12))) + (R57)*(IF((YEAR(D57)+10)&lt;YEAR(E57),0,IF((YEAR(D57)+10)&gt;YEAR(E57),1,(12-MONTH(E57)+1)/12))))-(IF(OR(N57="",N57&lt;=0),0,(O57/N57)*(IF(OR(N57="",N57&lt;=0),0,IF((YEAR(D57)+10)&lt;YEAR(E57),0,IF((YEAR(D57)+10)&gt;=YEAR(E57)+N57,0,IF((YEAR(D57)+10)=YEAR(E57),(12-MONTH(E57)+1)/12,1))))))))&gt;0,(((K57)*(IF(M57="",L57,IFERROR(IF(INDEX(Variablen!$I:$AT, MATCH(M57, Variablen!$A:$A, 0), MATCH((YEAR(D57)+10), Variablen!$I$3:$AT$3, 0))="",L57,INDEX(Variablen!$I:$AT, MATCH(M57, Variablen!$A:$A, 0), MATCH((YEAR(D57)+10), Variablen!$I$3:$AT$3, 0))),L57)))*(IF((YEAR(D57)+10)&lt;YEAR(E57),0,IF((YEAR(D57)+10)&gt;YEAR(E57),1,(12-MONTH(E57)+1)/12))) + (Q57)*(IF((YEAR(D57)+10)&lt;YEAR(E57),0,IF((YEAR(D57)+10)&gt;YEAR(E57),1,(12-MONTH(E57)+1)/12))))-((P57)*(IF((YEAR(D57)+10)&lt;YEAR(E57),0,IF((YEAR(D57)+10)&gt;YEAR(E57),1,(12-MONTH(E57)+1)/12))) + (R57)*(IF((YEAR(D57)+10)&lt;YEAR(E57),0,IF((YEAR(D57)+10)&gt;YEAR(E57),1,(12-MONTH(E57)+1)/12))))-(IF(OR(N57="",N57&lt;=0),0,(O57/N57)*(IF(OR(N57="",N57&lt;=0),0,IF((YEAR(D57)+10)&lt;YEAR(E57),0,IF((YEAR(D57)+10)&gt;=YEAR(E57)+N57,0,IF((YEAR(D57)+10)=YEAR(E57),(12-MONTH(E57)+1)/12,1))))))))*TaxRate,0))-IF(10=0,O57,0))</f>
        <v/>
      </c>
      <c r="AD57" s="29">
        <f>IF(A57="","",((K57)*(IF(M57="",L57,IFERROR(IF(INDEX(Variablen!$I:$AT, MATCH(M57, Variablen!$A:$A, 0), MATCH((YEAR(D57)+11), Variablen!$I$3:$AT$3, 0))="",L57,INDEX(Variablen!$I:$AT, MATCH(M57, Variablen!$A:$A, 0), MATCH((YEAR(D57)+11), Variablen!$I$3:$AT$3, 0))),L57)))*(IF((YEAR(D57)+11)&lt;YEAR(E57),0,IF((YEAR(D57)+11)&gt;YEAR(E57),1,(12-MONTH(E57)+1)/12))) + (Q57)*(IF((YEAR(D57)+11)&lt;YEAR(E57),0,IF((YEAR(D57)+11)&gt;YEAR(E57),1,(12-MONTH(E57)+1)/12))))-((P57)*(IF((YEAR(D57)+11)&lt;YEAR(E57),0,IF((YEAR(D57)+11)&gt;YEAR(E57),1,(12-MONTH(E57)+1)/12))) + (R57)*(IF((YEAR(D57)+11)&lt;YEAR(E57),0,IF((YEAR(D57)+11)&gt;YEAR(E57),1,(12-MONTH(E57)+1)/12))))-(IF((((K57)*(IF(M57="",L57,IFERROR(IF(INDEX(Variablen!$I:$AT, MATCH(M57, Variablen!$A:$A, 0), MATCH((YEAR(D57)+11), Variablen!$I$3:$AT$3, 0))="",L57,INDEX(Variablen!$I:$AT, MATCH(M57, Variablen!$A:$A, 0), MATCH((YEAR(D57)+11), Variablen!$I$3:$AT$3, 0))),L57)))*(IF((YEAR(D57)+11)&lt;YEAR(E57),0,IF((YEAR(D57)+11)&gt;YEAR(E57),1,(12-MONTH(E57)+1)/12))) + (Q57)*(IF((YEAR(D57)+11)&lt;YEAR(E57),0,IF((YEAR(D57)+11)&gt;YEAR(E57),1,(12-MONTH(E57)+1)/12))))-((P57)*(IF((YEAR(D57)+11)&lt;YEAR(E57),0,IF((YEAR(D57)+11)&gt;YEAR(E57),1,(12-MONTH(E57)+1)/12))) + (R57)*(IF((YEAR(D57)+11)&lt;YEAR(E57),0,IF((YEAR(D57)+11)&gt;YEAR(E57),1,(12-MONTH(E57)+1)/12))))-(IF(OR(N57="",N57&lt;=0),0,(O57/N57)*(IF(OR(N57="",N57&lt;=0),0,IF((YEAR(D57)+11)&lt;YEAR(E57),0,IF((YEAR(D57)+11)&gt;=YEAR(E57)+N57,0,IF((YEAR(D57)+11)=YEAR(E57),(12-MONTH(E57)+1)/12,1))))))))&gt;0,(((K57)*(IF(M57="",L57,IFERROR(IF(INDEX(Variablen!$I:$AT, MATCH(M57, Variablen!$A:$A, 0), MATCH((YEAR(D57)+11), Variablen!$I$3:$AT$3, 0))="",L57,INDEX(Variablen!$I:$AT, MATCH(M57, Variablen!$A:$A, 0), MATCH((YEAR(D57)+11), Variablen!$I$3:$AT$3, 0))),L57)))*(IF((YEAR(D57)+11)&lt;YEAR(E57),0,IF((YEAR(D57)+11)&gt;YEAR(E57),1,(12-MONTH(E57)+1)/12))) + (Q57)*(IF((YEAR(D57)+11)&lt;YEAR(E57),0,IF((YEAR(D57)+11)&gt;YEAR(E57),1,(12-MONTH(E57)+1)/12))))-((P57)*(IF((YEAR(D57)+11)&lt;YEAR(E57),0,IF((YEAR(D57)+11)&gt;YEAR(E57),1,(12-MONTH(E57)+1)/12))) + (R57)*(IF((YEAR(D57)+11)&lt;YEAR(E57),0,IF((YEAR(D57)+11)&gt;YEAR(E57),1,(12-MONTH(E57)+1)/12))))-(IF(OR(N57="",N57&lt;=0),0,(O57/N57)*(IF(OR(N57="",N57&lt;=0),0,IF((YEAR(D57)+11)&lt;YEAR(E57),0,IF((YEAR(D57)+11)&gt;=YEAR(E57)+N57,0,IF((YEAR(D57)+11)=YEAR(E57),(12-MONTH(E57)+1)/12,1))))))))*TaxRate,0))-IF(11=0,O57,0))</f>
        <v/>
      </c>
      <c r="AE57" s="29">
        <f>IF(A57="","",((K57)*(IF(M57="",L57,IFERROR(IF(INDEX(Variablen!$I:$AT, MATCH(M57, Variablen!$A:$A, 0), MATCH((YEAR(D57)+12), Variablen!$I$3:$AT$3, 0))="",L57,INDEX(Variablen!$I:$AT, MATCH(M57, Variablen!$A:$A, 0), MATCH((YEAR(D57)+12), Variablen!$I$3:$AT$3, 0))),L57)))*(IF((YEAR(D57)+12)&lt;YEAR(E57),0,IF((YEAR(D57)+12)&gt;YEAR(E57),1,(12-MONTH(E57)+1)/12))) + (Q57)*(IF((YEAR(D57)+12)&lt;YEAR(E57),0,IF((YEAR(D57)+12)&gt;YEAR(E57),1,(12-MONTH(E57)+1)/12))))-((P57)*(IF((YEAR(D57)+12)&lt;YEAR(E57),0,IF((YEAR(D57)+12)&gt;YEAR(E57),1,(12-MONTH(E57)+1)/12))) + (R57)*(IF((YEAR(D57)+12)&lt;YEAR(E57),0,IF((YEAR(D57)+12)&gt;YEAR(E57),1,(12-MONTH(E57)+1)/12))))-(IF((((K57)*(IF(M57="",L57,IFERROR(IF(INDEX(Variablen!$I:$AT, MATCH(M57, Variablen!$A:$A, 0), MATCH((YEAR(D57)+12), Variablen!$I$3:$AT$3, 0))="",L57,INDEX(Variablen!$I:$AT, MATCH(M57, Variablen!$A:$A, 0), MATCH((YEAR(D57)+12), Variablen!$I$3:$AT$3, 0))),L57)))*(IF((YEAR(D57)+12)&lt;YEAR(E57),0,IF((YEAR(D57)+12)&gt;YEAR(E57),1,(12-MONTH(E57)+1)/12))) + (Q57)*(IF((YEAR(D57)+12)&lt;YEAR(E57),0,IF((YEAR(D57)+12)&gt;YEAR(E57),1,(12-MONTH(E57)+1)/12))))-((P57)*(IF((YEAR(D57)+12)&lt;YEAR(E57),0,IF((YEAR(D57)+12)&gt;YEAR(E57),1,(12-MONTH(E57)+1)/12))) + (R57)*(IF((YEAR(D57)+12)&lt;YEAR(E57),0,IF((YEAR(D57)+12)&gt;YEAR(E57),1,(12-MONTH(E57)+1)/12))))-(IF(OR(N57="",N57&lt;=0),0,(O57/N57)*(IF(OR(N57="",N57&lt;=0),0,IF((YEAR(D57)+12)&lt;YEAR(E57),0,IF((YEAR(D57)+12)&gt;=YEAR(E57)+N57,0,IF((YEAR(D57)+12)=YEAR(E57),(12-MONTH(E57)+1)/12,1))))))))&gt;0,(((K57)*(IF(M57="",L57,IFERROR(IF(INDEX(Variablen!$I:$AT, MATCH(M57, Variablen!$A:$A, 0), MATCH((YEAR(D57)+12), Variablen!$I$3:$AT$3, 0))="",L57,INDEX(Variablen!$I:$AT, MATCH(M57, Variablen!$A:$A, 0), MATCH((YEAR(D57)+12), Variablen!$I$3:$AT$3, 0))),L57)))*(IF((YEAR(D57)+12)&lt;YEAR(E57),0,IF((YEAR(D57)+12)&gt;YEAR(E57),1,(12-MONTH(E57)+1)/12))) + (Q57)*(IF((YEAR(D57)+12)&lt;YEAR(E57),0,IF((YEAR(D57)+12)&gt;YEAR(E57),1,(12-MONTH(E57)+1)/12))))-((P57)*(IF((YEAR(D57)+12)&lt;YEAR(E57),0,IF((YEAR(D57)+12)&gt;YEAR(E57),1,(12-MONTH(E57)+1)/12))) + (R57)*(IF((YEAR(D57)+12)&lt;YEAR(E57),0,IF((YEAR(D57)+12)&gt;YEAR(E57),1,(12-MONTH(E57)+1)/12))))-(IF(OR(N57="",N57&lt;=0),0,(O57/N57)*(IF(OR(N57="",N57&lt;=0),0,IF((YEAR(D57)+12)&lt;YEAR(E57),0,IF((YEAR(D57)+12)&gt;=YEAR(E57)+N57,0,IF((YEAR(D57)+12)=YEAR(E57),(12-MONTH(E57)+1)/12,1))))))))*TaxRate,0))-IF(12=0,O57,0))</f>
        <v/>
      </c>
      <c r="AF57" s="29">
        <f>IF(A57="","",((K57)*(IF(M57="",L57,IFERROR(IF(INDEX(Variablen!$I:$AT, MATCH(M57, Variablen!$A:$A, 0), MATCH((YEAR(D57)+13), Variablen!$I$3:$AT$3, 0))="",L57,INDEX(Variablen!$I:$AT, MATCH(M57, Variablen!$A:$A, 0), MATCH((YEAR(D57)+13), Variablen!$I$3:$AT$3, 0))),L57)))*(IF((YEAR(D57)+13)&lt;YEAR(E57),0,IF((YEAR(D57)+13)&gt;YEAR(E57),1,(12-MONTH(E57)+1)/12))) + (Q57)*(IF((YEAR(D57)+13)&lt;YEAR(E57),0,IF((YEAR(D57)+13)&gt;YEAR(E57),1,(12-MONTH(E57)+1)/12))))-((P57)*(IF((YEAR(D57)+13)&lt;YEAR(E57),0,IF((YEAR(D57)+13)&gt;YEAR(E57),1,(12-MONTH(E57)+1)/12))) + (R57)*(IF((YEAR(D57)+13)&lt;YEAR(E57),0,IF((YEAR(D57)+13)&gt;YEAR(E57),1,(12-MONTH(E57)+1)/12))))-(IF((((K57)*(IF(M57="",L57,IFERROR(IF(INDEX(Variablen!$I:$AT, MATCH(M57, Variablen!$A:$A, 0), MATCH((YEAR(D57)+13), Variablen!$I$3:$AT$3, 0))="",L57,INDEX(Variablen!$I:$AT, MATCH(M57, Variablen!$A:$A, 0), MATCH((YEAR(D57)+13), Variablen!$I$3:$AT$3, 0))),L57)))*(IF((YEAR(D57)+13)&lt;YEAR(E57),0,IF((YEAR(D57)+13)&gt;YEAR(E57),1,(12-MONTH(E57)+1)/12))) + (Q57)*(IF((YEAR(D57)+13)&lt;YEAR(E57),0,IF((YEAR(D57)+13)&gt;YEAR(E57),1,(12-MONTH(E57)+1)/12))))-((P57)*(IF((YEAR(D57)+13)&lt;YEAR(E57),0,IF((YEAR(D57)+13)&gt;YEAR(E57),1,(12-MONTH(E57)+1)/12))) + (R57)*(IF((YEAR(D57)+13)&lt;YEAR(E57),0,IF((YEAR(D57)+13)&gt;YEAR(E57),1,(12-MONTH(E57)+1)/12))))-(IF(OR(N57="",N57&lt;=0),0,(O57/N57)*(IF(OR(N57="",N57&lt;=0),0,IF((YEAR(D57)+13)&lt;YEAR(E57),0,IF((YEAR(D57)+13)&gt;=YEAR(E57)+N57,0,IF((YEAR(D57)+13)=YEAR(E57),(12-MONTH(E57)+1)/12,1))))))))&gt;0,(((K57)*(IF(M57="",L57,IFERROR(IF(INDEX(Variablen!$I:$AT, MATCH(M57, Variablen!$A:$A, 0), MATCH((YEAR(D57)+13), Variablen!$I$3:$AT$3, 0))="",L57,INDEX(Variablen!$I:$AT, MATCH(M57, Variablen!$A:$A, 0), MATCH((YEAR(D57)+13), Variablen!$I$3:$AT$3, 0))),L57)))*(IF((YEAR(D57)+13)&lt;YEAR(E57),0,IF((YEAR(D57)+13)&gt;YEAR(E57),1,(12-MONTH(E57)+1)/12))) + (Q57)*(IF((YEAR(D57)+13)&lt;YEAR(E57),0,IF((YEAR(D57)+13)&gt;YEAR(E57),1,(12-MONTH(E57)+1)/12))))-((P57)*(IF((YEAR(D57)+13)&lt;YEAR(E57),0,IF((YEAR(D57)+13)&gt;YEAR(E57),1,(12-MONTH(E57)+1)/12))) + (R57)*(IF((YEAR(D57)+13)&lt;YEAR(E57),0,IF((YEAR(D57)+13)&gt;YEAR(E57),1,(12-MONTH(E57)+1)/12))))-(IF(OR(N57="",N57&lt;=0),0,(O57/N57)*(IF(OR(N57="",N57&lt;=0),0,IF((YEAR(D57)+13)&lt;YEAR(E57),0,IF((YEAR(D57)+13)&gt;=YEAR(E57)+N57,0,IF((YEAR(D57)+13)=YEAR(E57),(12-MONTH(E57)+1)/12,1))))))))*TaxRate,0))-IF(13=0,O57,0))</f>
        <v/>
      </c>
      <c r="AG57" s="29">
        <f>IF(A57="","",((K57)*(IF(M57="",L57,IFERROR(IF(INDEX(Variablen!$I:$AT, MATCH(M57, Variablen!$A:$A, 0), MATCH((YEAR(D57)+14), Variablen!$I$3:$AT$3, 0))="",L57,INDEX(Variablen!$I:$AT, MATCH(M57, Variablen!$A:$A, 0), MATCH((YEAR(D57)+14), Variablen!$I$3:$AT$3, 0))),L57)))*(IF((YEAR(D57)+14)&lt;YEAR(E57),0,IF((YEAR(D57)+14)&gt;YEAR(E57),1,(12-MONTH(E57)+1)/12))) + (Q57)*(IF((YEAR(D57)+14)&lt;YEAR(E57),0,IF((YEAR(D57)+14)&gt;YEAR(E57),1,(12-MONTH(E57)+1)/12))))-((P57)*(IF((YEAR(D57)+14)&lt;YEAR(E57),0,IF((YEAR(D57)+14)&gt;YEAR(E57),1,(12-MONTH(E57)+1)/12))) + (R57)*(IF((YEAR(D57)+14)&lt;YEAR(E57),0,IF((YEAR(D57)+14)&gt;YEAR(E57),1,(12-MONTH(E57)+1)/12))))-(IF((((K57)*(IF(M57="",L57,IFERROR(IF(INDEX(Variablen!$I:$AT, MATCH(M57, Variablen!$A:$A, 0), MATCH((YEAR(D57)+14), Variablen!$I$3:$AT$3, 0))="",L57,INDEX(Variablen!$I:$AT, MATCH(M57, Variablen!$A:$A, 0), MATCH((YEAR(D57)+14), Variablen!$I$3:$AT$3, 0))),L57)))*(IF((YEAR(D57)+14)&lt;YEAR(E57),0,IF((YEAR(D57)+14)&gt;YEAR(E57),1,(12-MONTH(E57)+1)/12))) + (Q57)*(IF((YEAR(D57)+14)&lt;YEAR(E57),0,IF((YEAR(D57)+14)&gt;YEAR(E57),1,(12-MONTH(E57)+1)/12))))-((P57)*(IF((YEAR(D57)+14)&lt;YEAR(E57),0,IF((YEAR(D57)+14)&gt;YEAR(E57),1,(12-MONTH(E57)+1)/12))) + (R57)*(IF((YEAR(D57)+14)&lt;YEAR(E57),0,IF((YEAR(D57)+14)&gt;YEAR(E57),1,(12-MONTH(E57)+1)/12))))-(IF(OR(N57="",N57&lt;=0),0,(O57/N57)*(IF(OR(N57="",N57&lt;=0),0,IF((YEAR(D57)+14)&lt;YEAR(E57),0,IF((YEAR(D57)+14)&gt;=YEAR(E57)+N57,0,IF((YEAR(D57)+14)=YEAR(E57),(12-MONTH(E57)+1)/12,1))))))))&gt;0,(((K57)*(IF(M57="",L57,IFERROR(IF(INDEX(Variablen!$I:$AT, MATCH(M57, Variablen!$A:$A, 0), MATCH((YEAR(D57)+14), Variablen!$I$3:$AT$3, 0))="",L57,INDEX(Variablen!$I:$AT, MATCH(M57, Variablen!$A:$A, 0), MATCH((YEAR(D57)+14), Variablen!$I$3:$AT$3, 0))),L57)))*(IF((YEAR(D57)+14)&lt;YEAR(E57),0,IF((YEAR(D57)+14)&gt;YEAR(E57),1,(12-MONTH(E57)+1)/12))) + (Q57)*(IF((YEAR(D57)+14)&lt;YEAR(E57),0,IF((YEAR(D57)+14)&gt;YEAR(E57),1,(12-MONTH(E57)+1)/12))))-((P57)*(IF((YEAR(D57)+14)&lt;YEAR(E57),0,IF((YEAR(D57)+14)&gt;YEAR(E57),1,(12-MONTH(E57)+1)/12))) + (R57)*(IF((YEAR(D57)+14)&lt;YEAR(E57),0,IF((YEAR(D57)+14)&gt;YEAR(E57),1,(12-MONTH(E57)+1)/12))))-(IF(OR(N57="",N57&lt;=0),0,(O57/N57)*(IF(OR(N57="",N57&lt;=0),0,IF((YEAR(D57)+14)&lt;YEAR(E57),0,IF((YEAR(D57)+14)&gt;=YEAR(E57)+N57,0,IF((YEAR(D57)+14)=YEAR(E57),(12-MONTH(E57)+1)/12,1))))))))*TaxRate,0))-IF(14=0,O57,0))</f>
        <v/>
      </c>
      <c r="AH57" s="29">
        <f>IF(A57="","",((K57)*(IF(M57="",L57,IFERROR(IF(INDEX(Variablen!$I:$AT, MATCH(M57, Variablen!$A:$A, 0), MATCH((YEAR(D57)+15), Variablen!$I$3:$AT$3, 0))="",L57,INDEX(Variablen!$I:$AT, MATCH(M57, Variablen!$A:$A, 0), MATCH((YEAR(D57)+15), Variablen!$I$3:$AT$3, 0))),L57)))*(IF((YEAR(D57)+15)&lt;YEAR(E57),0,IF((YEAR(D57)+15)&gt;YEAR(E57),1,(12-MONTH(E57)+1)/12))) + (Q57)*(IF((YEAR(D57)+15)&lt;YEAR(E57),0,IF((YEAR(D57)+15)&gt;YEAR(E57),1,(12-MONTH(E57)+1)/12))))-((P57)*(IF((YEAR(D57)+15)&lt;YEAR(E57),0,IF((YEAR(D57)+15)&gt;YEAR(E57),1,(12-MONTH(E57)+1)/12))) + (R57)*(IF((YEAR(D57)+15)&lt;YEAR(E57),0,IF((YEAR(D57)+15)&gt;YEAR(E57),1,(12-MONTH(E57)+1)/12))))-(IF((((K57)*(IF(M57="",L57,IFERROR(IF(INDEX(Variablen!$I:$AT, MATCH(M57, Variablen!$A:$A, 0), MATCH((YEAR(D57)+15), Variablen!$I$3:$AT$3, 0))="",L57,INDEX(Variablen!$I:$AT, MATCH(M57, Variablen!$A:$A, 0), MATCH((YEAR(D57)+15), Variablen!$I$3:$AT$3, 0))),L57)))*(IF((YEAR(D57)+15)&lt;YEAR(E57),0,IF((YEAR(D57)+15)&gt;YEAR(E57),1,(12-MONTH(E57)+1)/12))) + (Q57)*(IF((YEAR(D57)+15)&lt;YEAR(E57),0,IF((YEAR(D57)+15)&gt;YEAR(E57),1,(12-MONTH(E57)+1)/12))))-((P57)*(IF((YEAR(D57)+15)&lt;YEAR(E57),0,IF((YEAR(D57)+15)&gt;YEAR(E57),1,(12-MONTH(E57)+1)/12))) + (R57)*(IF((YEAR(D57)+15)&lt;YEAR(E57),0,IF((YEAR(D57)+15)&gt;YEAR(E57),1,(12-MONTH(E57)+1)/12))))-(IF(OR(N57="",N57&lt;=0),0,(O57/N57)*(IF(OR(N57="",N57&lt;=0),0,IF((YEAR(D57)+15)&lt;YEAR(E57),0,IF((YEAR(D57)+15)&gt;=YEAR(E57)+N57,0,IF((YEAR(D57)+15)=YEAR(E57),(12-MONTH(E57)+1)/12,1))))))))&gt;0,(((K57)*(IF(M57="",L57,IFERROR(IF(INDEX(Variablen!$I:$AT, MATCH(M57, Variablen!$A:$A, 0), MATCH((YEAR(D57)+15), Variablen!$I$3:$AT$3, 0))="",L57,INDEX(Variablen!$I:$AT, MATCH(M57, Variablen!$A:$A, 0), MATCH((YEAR(D57)+15), Variablen!$I$3:$AT$3, 0))),L57)))*(IF((YEAR(D57)+15)&lt;YEAR(E57),0,IF((YEAR(D57)+15)&gt;YEAR(E57),1,(12-MONTH(E57)+1)/12))) + (Q57)*(IF((YEAR(D57)+15)&lt;YEAR(E57),0,IF((YEAR(D57)+15)&gt;YEAR(E57),1,(12-MONTH(E57)+1)/12))))-((P57)*(IF((YEAR(D57)+15)&lt;YEAR(E57),0,IF((YEAR(D57)+15)&gt;YEAR(E57),1,(12-MONTH(E57)+1)/12))) + (R57)*(IF((YEAR(D57)+15)&lt;YEAR(E57),0,IF((YEAR(D57)+15)&gt;YEAR(E57),1,(12-MONTH(E57)+1)/12))))-(IF(OR(N57="",N57&lt;=0),0,(O57/N57)*(IF(OR(N57="",N57&lt;=0),0,IF((YEAR(D57)+15)&lt;YEAR(E57),0,IF((YEAR(D57)+15)&gt;=YEAR(E57)+N57,0,IF((YEAR(D57)+15)=YEAR(E57),(12-MONTH(E57)+1)/12,1))))))))*TaxRate,0))-IF(15=0,O57,0))</f>
        <v/>
      </c>
      <c r="AI57" s="29">
        <f>IF(A57="","",((K57)*(IF(M57="",L57,IFERROR(IF(INDEX(Variablen!$I:$AT, MATCH(M57, Variablen!$A:$A, 0), MATCH((YEAR(D57)+16), Variablen!$I$3:$AT$3, 0))="",L57,INDEX(Variablen!$I:$AT, MATCH(M57, Variablen!$A:$A, 0), MATCH((YEAR(D57)+16), Variablen!$I$3:$AT$3, 0))),L57)))*(IF((YEAR(D57)+16)&lt;YEAR(E57),0,IF((YEAR(D57)+16)&gt;YEAR(E57),1,(12-MONTH(E57)+1)/12))) + (Q57)*(IF((YEAR(D57)+16)&lt;YEAR(E57),0,IF((YEAR(D57)+16)&gt;YEAR(E57),1,(12-MONTH(E57)+1)/12))))-((P57)*(IF((YEAR(D57)+16)&lt;YEAR(E57),0,IF((YEAR(D57)+16)&gt;YEAR(E57),1,(12-MONTH(E57)+1)/12))) + (R57)*(IF((YEAR(D57)+16)&lt;YEAR(E57),0,IF((YEAR(D57)+16)&gt;YEAR(E57),1,(12-MONTH(E57)+1)/12))))-(IF((((K57)*(IF(M57="",L57,IFERROR(IF(INDEX(Variablen!$I:$AT, MATCH(M57, Variablen!$A:$A, 0), MATCH((YEAR(D57)+16), Variablen!$I$3:$AT$3, 0))="",L57,INDEX(Variablen!$I:$AT, MATCH(M57, Variablen!$A:$A, 0), MATCH((YEAR(D57)+16), Variablen!$I$3:$AT$3, 0))),L57)))*(IF((YEAR(D57)+16)&lt;YEAR(E57),0,IF((YEAR(D57)+16)&gt;YEAR(E57),1,(12-MONTH(E57)+1)/12))) + (Q57)*(IF((YEAR(D57)+16)&lt;YEAR(E57),0,IF((YEAR(D57)+16)&gt;YEAR(E57),1,(12-MONTH(E57)+1)/12))))-((P57)*(IF((YEAR(D57)+16)&lt;YEAR(E57),0,IF((YEAR(D57)+16)&gt;YEAR(E57),1,(12-MONTH(E57)+1)/12))) + (R57)*(IF((YEAR(D57)+16)&lt;YEAR(E57),0,IF((YEAR(D57)+16)&gt;YEAR(E57),1,(12-MONTH(E57)+1)/12))))-(IF(OR(N57="",N57&lt;=0),0,(O57/N57)*(IF(OR(N57="",N57&lt;=0),0,IF((YEAR(D57)+16)&lt;YEAR(E57),0,IF((YEAR(D57)+16)&gt;=YEAR(E57)+N57,0,IF((YEAR(D57)+16)=YEAR(E57),(12-MONTH(E57)+1)/12,1))))))))&gt;0,(((K57)*(IF(M57="",L57,IFERROR(IF(INDEX(Variablen!$I:$AT, MATCH(M57, Variablen!$A:$A, 0), MATCH((YEAR(D57)+16), Variablen!$I$3:$AT$3, 0))="",L57,INDEX(Variablen!$I:$AT, MATCH(M57, Variablen!$A:$A, 0), MATCH((YEAR(D57)+16), Variablen!$I$3:$AT$3, 0))),L57)))*(IF((YEAR(D57)+16)&lt;YEAR(E57),0,IF((YEAR(D57)+16)&gt;YEAR(E57),1,(12-MONTH(E57)+1)/12))) + (Q57)*(IF((YEAR(D57)+16)&lt;YEAR(E57),0,IF((YEAR(D57)+16)&gt;YEAR(E57),1,(12-MONTH(E57)+1)/12))))-((P57)*(IF((YEAR(D57)+16)&lt;YEAR(E57),0,IF((YEAR(D57)+16)&gt;YEAR(E57),1,(12-MONTH(E57)+1)/12))) + (R57)*(IF((YEAR(D57)+16)&lt;YEAR(E57),0,IF((YEAR(D57)+16)&gt;YEAR(E57),1,(12-MONTH(E57)+1)/12))))-(IF(OR(N57="",N57&lt;=0),0,(O57/N57)*(IF(OR(N57="",N57&lt;=0),0,IF((YEAR(D57)+16)&lt;YEAR(E57),0,IF((YEAR(D57)+16)&gt;=YEAR(E57)+N57,0,IF((YEAR(D57)+16)=YEAR(E57),(12-MONTH(E57)+1)/12,1))))))))*TaxRate,0))-IF(16=0,O57,0))</f>
        <v/>
      </c>
      <c r="AJ57" s="29">
        <f>IF(A57="","",((K57)*(IF(M57="",L57,IFERROR(IF(INDEX(Variablen!$I:$AT, MATCH(M57, Variablen!$A:$A, 0), MATCH((YEAR(D57)+17), Variablen!$I$3:$AT$3, 0))="",L57,INDEX(Variablen!$I:$AT, MATCH(M57, Variablen!$A:$A, 0), MATCH((YEAR(D57)+17), Variablen!$I$3:$AT$3, 0))),L57)))*(IF((YEAR(D57)+17)&lt;YEAR(E57),0,IF((YEAR(D57)+17)&gt;YEAR(E57),1,(12-MONTH(E57)+1)/12))) + (Q57)*(IF((YEAR(D57)+17)&lt;YEAR(E57),0,IF((YEAR(D57)+17)&gt;YEAR(E57),1,(12-MONTH(E57)+1)/12))))-((P57)*(IF((YEAR(D57)+17)&lt;YEAR(E57),0,IF((YEAR(D57)+17)&gt;YEAR(E57),1,(12-MONTH(E57)+1)/12))) + (R57)*(IF((YEAR(D57)+17)&lt;YEAR(E57),0,IF((YEAR(D57)+17)&gt;YEAR(E57),1,(12-MONTH(E57)+1)/12))))-(IF((((K57)*(IF(M57="",L57,IFERROR(IF(INDEX(Variablen!$I:$AT, MATCH(M57, Variablen!$A:$A, 0), MATCH((YEAR(D57)+17), Variablen!$I$3:$AT$3, 0))="",L57,INDEX(Variablen!$I:$AT, MATCH(M57, Variablen!$A:$A, 0), MATCH((YEAR(D57)+17), Variablen!$I$3:$AT$3, 0))),L57)))*(IF((YEAR(D57)+17)&lt;YEAR(E57),0,IF((YEAR(D57)+17)&gt;YEAR(E57),1,(12-MONTH(E57)+1)/12))) + (Q57)*(IF((YEAR(D57)+17)&lt;YEAR(E57),0,IF((YEAR(D57)+17)&gt;YEAR(E57),1,(12-MONTH(E57)+1)/12))))-((P57)*(IF((YEAR(D57)+17)&lt;YEAR(E57),0,IF((YEAR(D57)+17)&gt;YEAR(E57),1,(12-MONTH(E57)+1)/12))) + (R57)*(IF((YEAR(D57)+17)&lt;YEAR(E57),0,IF((YEAR(D57)+17)&gt;YEAR(E57),1,(12-MONTH(E57)+1)/12))))-(IF(OR(N57="",N57&lt;=0),0,(O57/N57)*(IF(OR(N57="",N57&lt;=0),0,IF((YEAR(D57)+17)&lt;YEAR(E57),0,IF((YEAR(D57)+17)&gt;=YEAR(E57)+N57,0,IF((YEAR(D57)+17)=YEAR(E57),(12-MONTH(E57)+1)/12,1))))))))&gt;0,(((K57)*(IF(M57="",L57,IFERROR(IF(INDEX(Variablen!$I:$AT, MATCH(M57, Variablen!$A:$A, 0), MATCH((YEAR(D57)+17), Variablen!$I$3:$AT$3, 0))="",L57,INDEX(Variablen!$I:$AT, MATCH(M57, Variablen!$A:$A, 0), MATCH((YEAR(D57)+17), Variablen!$I$3:$AT$3, 0))),L57)))*(IF((YEAR(D57)+17)&lt;YEAR(E57),0,IF((YEAR(D57)+17)&gt;YEAR(E57),1,(12-MONTH(E57)+1)/12))) + (Q57)*(IF((YEAR(D57)+17)&lt;YEAR(E57),0,IF((YEAR(D57)+17)&gt;YEAR(E57),1,(12-MONTH(E57)+1)/12))))-((P57)*(IF((YEAR(D57)+17)&lt;YEAR(E57),0,IF((YEAR(D57)+17)&gt;YEAR(E57),1,(12-MONTH(E57)+1)/12))) + (R57)*(IF((YEAR(D57)+17)&lt;YEAR(E57),0,IF((YEAR(D57)+17)&gt;YEAR(E57),1,(12-MONTH(E57)+1)/12))))-(IF(OR(N57="",N57&lt;=0),0,(O57/N57)*(IF(OR(N57="",N57&lt;=0),0,IF((YEAR(D57)+17)&lt;YEAR(E57),0,IF((YEAR(D57)+17)&gt;=YEAR(E57)+N57,0,IF((YEAR(D57)+17)=YEAR(E57),(12-MONTH(E57)+1)/12,1))))))))*TaxRate,0))-IF(17=0,O57,0))</f>
        <v/>
      </c>
      <c r="AK57" s="29">
        <f>IF(A57="","",((K57)*(IF(M57="",L57,IFERROR(IF(INDEX(Variablen!$I:$AT, MATCH(M57, Variablen!$A:$A, 0), MATCH((YEAR(D57)+18), Variablen!$I$3:$AT$3, 0))="",L57,INDEX(Variablen!$I:$AT, MATCH(M57, Variablen!$A:$A, 0), MATCH((YEAR(D57)+18), Variablen!$I$3:$AT$3, 0))),L57)))*(IF((YEAR(D57)+18)&lt;YEAR(E57),0,IF((YEAR(D57)+18)&gt;YEAR(E57),1,(12-MONTH(E57)+1)/12))) + (Q57)*(IF((YEAR(D57)+18)&lt;YEAR(E57),0,IF((YEAR(D57)+18)&gt;YEAR(E57),1,(12-MONTH(E57)+1)/12))))-((P57)*(IF((YEAR(D57)+18)&lt;YEAR(E57),0,IF((YEAR(D57)+18)&gt;YEAR(E57),1,(12-MONTH(E57)+1)/12))) + (R57)*(IF((YEAR(D57)+18)&lt;YEAR(E57),0,IF((YEAR(D57)+18)&gt;YEAR(E57),1,(12-MONTH(E57)+1)/12))))-(IF((((K57)*(IF(M57="",L57,IFERROR(IF(INDEX(Variablen!$I:$AT, MATCH(M57, Variablen!$A:$A, 0), MATCH((YEAR(D57)+18), Variablen!$I$3:$AT$3, 0))="",L57,INDEX(Variablen!$I:$AT, MATCH(M57, Variablen!$A:$A, 0), MATCH((YEAR(D57)+18), Variablen!$I$3:$AT$3, 0))),L57)))*(IF((YEAR(D57)+18)&lt;YEAR(E57),0,IF((YEAR(D57)+18)&gt;YEAR(E57),1,(12-MONTH(E57)+1)/12))) + (Q57)*(IF((YEAR(D57)+18)&lt;YEAR(E57),0,IF((YEAR(D57)+18)&gt;YEAR(E57),1,(12-MONTH(E57)+1)/12))))-((P57)*(IF((YEAR(D57)+18)&lt;YEAR(E57),0,IF((YEAR(D57)+18)&gt;YEAR(E57),1,(12-MONTH(E57)+1)/12))) + (R57)*(IF((YEAR(D57)+18)&lt;YEAR(E57),0,IF((YEAR(D57)+18)&gt;YEAR(E57),1,(12-MONTH(E57)+1)/12))))-(IF(OR(N57="",N57&lt;=0),0,(O57/N57)*(IF(OR(N57="",N57&lt;=0),0,IF((YEAR(D57)+18)&lt;YEAR(E57),0,IF((YEAR(D57)+18)&gt;=YEAR(E57)+N57,0,IF((YEAR(D57)+18)=YEAR(E57),(12-MONTH(E57)+1)/12,1))))))))&gt;0,(((K57)*(IF(M57="",L57,IFERROR(IF(INDEX(Variablen!$I:$AT, MATCH(M57, Variablen!$A:$A, 0), MATCH((YEAR(D57)+18), Variablen!$I$3:$AT$3, 0))="",L57,INDEX(Variablen!$I:$AT, MATCH(M57, Variablen!$A:$A, 0), MATCH((YEAR(D57)+18), Variablen!$I$3:$AT$3, 0))),L57)))*(IF((YEAR(D57)+18)&lt;YEAR(E57),0,IF((YEAR(D57)+18)&gt;YEAR(E57),1,(12-MONTH(E57)+1)/12))) + (Q57)*(IF((YEAR(D57)+18)&lt;YEAR(E57),0,IF((YEAR(D57)+18)&gt;YEAR(E57),1,(12-MONTH(E57)+1)/12))))-((P57)*(IF((YEAR(D57)+18)&lt;YEAR(E57),0,IF((YEAR(D57)+18)&gt;YEAR(E57),1,(12-MONTH(E57)+1)/12))) + (R57)*(IF((YEAR(D57)+18)&lt;YEAR(E57),0,IF((YEAR(D57)+18)&gt;YEAR(E57),1,(12-MONTH(E57)+1)/12))))-(IF(OR(N57="",N57&lt;=0),0,(O57/N57)*(IF(OR(N57="",N57&lt;=0),0,IF((YEAR(D57)+18)&lt;YEAR(E57),0,IF((YEAR(D57)+18)&gt;=YEAR(E57)+N57,0,IF((YEAR(D57)+18)=YEAR(E57),(12-MONTH(E57)+1)/12,1))))))))*TaxRate,0))-IF(18=0,O57,0))</f>
        <v/>
      </c>
      <c r="AL57" s="29">
        <f>IF(A57="","",((K57)*(IF(M57="",L57,IFERROR(IF(INDEX(Variablen!$I:$AT, MATCH(M57, Variablen!$A:$A, 0), MATCH((YEAR(D57)+19), Variablen!$I$3:$AT$3, 0))="",L57,INDEX(Variablen!$I:$AT, MATCH(M57, Variablen!$A:$A, 0), MATCH((YEAR(D57)+19), Variablen!$I$3:$AT$3, 0))),L57)))*(IF((YEAR(D57)+19)&lt;YEAR(E57),0,IF((YEAR(D57)+19)&gt;YEAR(E57),1,(12-MONTH(E57)+1)/12))) + (Q57)*(IF((YEAR(D57)+19)&lt;YEAR(E57),0,IF((YEAR(D57)+19)&gt;YEAR(E57),1,(12-MONTH(E57)+1)/12))))-((P57)*(IF((YEAR(D57)+19)&lt;YEAR(E57),0,IF((YEAR(D57)+19)&gt;YEAR(E57),1,(12-MONTH(E57)+1)/12))) + (R57)*(IF((YEAR(D57)+19)&lt;YEAR(E57),0,IF((YEAR(D57)+19)&gt;YEAR(E57),1,(12-MONTH(E57)+1)/12))))-(IF((((K57)*(IF(M57="",L57,IFERROR(IF(INDEX(Variablen!$I:$AT, MATCH(M57, Variablen!$A:$A, 0), MATCH((YEAR(D57)+19), Variablen!$I$3:$AT$3, 0))="",L57,INDEX(Variablen!$I:$AT, MATCH(M57, Variablen!$A:$A, 0), MATCH((YEAR(D57)+19), Variablen!$I$3:$AT$3, 0))),L57)))*(IF((YEAR(D57)+19)&lt;YEAR(E57),0,IF((YEAR(D57)+19)&gt;YEAR(E57),1,(12-MONTH(E57)+1)/12))) + (Q57)*(IF((YEAR(D57)+19)&lt;YEAR(E57),0,IF((YEAR(D57)+19)&gt;YEAR(E57),1,(12-MONTH(E57)+1)/12))))-((P57)*(IF((YEAR(D57)+19)&lt;YEAR(E57),0,IF((YEAR(D57)+19)&gt;YEAR(E57),1,(12-MONTH(E57)+1)/12))) + (R57)*(IF((YEAR(D57)+19)&lt;YEAR(E57),0,IF((YEAR(D57)+19)&gt;YEAR(E57),1,(12-MONTH(E57)+1)/12))))-(IF(OR(N57="",N57&lt;=0),0,(O57/N57)*(IF(OR(N57="",N57&lt;=0),0,IF((YEAR(D57)+19)&lt;YEAR(E57),0,IF((YEAR(D57)+19)&gt;=YEAR(E57)+N57,0,IF((YEAR(D57)+19)=YEAR(E57),(12-MONTH(E57)+1)/12,1))))))))&gt;0,(((K57)*(IF(M57="",L57,IFERROR(IF(INDEX(Variablen!$I:$AT, MATCH(M57, Variablen!$A:$A, 0), MATCH((YEAR(D57)+19), Variablen!$I$3:$AT$3, 0))="",L57,INDEX(Variablen!$I:$AT, MATCH(M57, Variablen!$A:$A, 0), MATCH((YEAR(D57)+19), Variablen!$I$3:$AT$3, 0))),L57)))*(IF((YEAR(D57)+19)&lt;YEAR(E57),0,IF((YEAR(D57)+19)&gt;YEAR(E57),1,(12-MONTH(E57)+1)/12))) + (Q57)*(IF((YEAR(D57)+19)&lt;YEAR(E57),0,IF((YEAR(D57)+19)&gt;YEAR(E57),1,(12-MONTH(E57)+1)/12))))-((P57)*(IF((YEAR(D57)+19)&lt;YEAR(E57),0,IF((YEAR(D57)+19)&gt;YEAR(E57),1,(12-MONTH(E57)+1)/12))) + (R57)*(IF((YEAR(D57)+19)&lt;YEAR(E57),0,IF((YEAR(D57)+19)&gt;YEAR(E57),1,(12-MONTH(E57)+1)/12))))-(IF(OR(N57="",N57&lt;=0),0,(O57/N57)*(IF(OR(N57="",N57&lt;=0),0,IF((YEAR(D57)+19)&lt;YEAR(E57),0,IF((YEAR(D57)+19)&gt;=YEAR(E57)+N57,0,IF((YEAR(D57)+19)=YEAR(E57),(12-MONTH(E57)+1)/12,1))))))))*TaxRate,0))-IF(19=0,O57,0))</f>
        <v/>
      </c>
      <c r="AM57" s="29">
        <f>IF(A57="","",((K57)*(IF(M57="",L57,IFERROR(IF(INDEX(Variablen!$I:$AT, MATCH(M57, Variablen!$A:$A, 0), MATCH((YEAR(D57)+20), Variablen!$I$3:$AT$3, 0))="",L57,INDEX(Variablen!$I:$AT, MATCH(M57, Variablen!$A:$A, 0), MATCH((YEAR(D57)+20), Variablen!$I$3:$AT$3, 0))),L57)))*(IF((YEAR(D57)+20)&lt;YEAR(E57),0,IF((YEAR(D57)+20)&gt;YEAR(E57),1,(12-MONTH(E57)+1)/12))) + (Q57)*(IF((YEAR(D57)+20)&lt;YEAR(E57),0,IF((YEAR(D57)+20)&gt;YEAR(E57),1,(12-MONTH(E57)+1)/12))))-((P57)*(IF((YEAR(D57)+20)&lt;YEAR(E57),0,IF((YEAR(D57)+20)&gt;YEAR(E57),1,(12-MONTH(E57)+1)/12))) + (R57)*(IF((YEAR(D57)+20)&lt;YEAR(E57),0,IF((YEAR(D57)+20)&gt;YEAR(E57),1,(12-MONTH(E57)+1)/12))))-(IF((((K57)*(IF(M57="",L57,IFERROR(IF(INDEX(Variablen!$I:$AT, MATCH(M57, Variablen!$A:$A, 0), MATCH((YEAR(D57)+20), Variablen!$I$3:$AT$3, 0))="",L57,INDEX(Variablen!$I:$AT, MATCH(M57, Variablen!$A:$A, 0), MATCH((YEAR(D57)+20), Variablen!$I$3:$AT$3, 0))),L57)))*(IF((YEAR(D57)+20)&lt;YEAR(E57),0,IF((YEAR(D57)+20)&gt;YEAR(E57),1,(12-MONTH(E57)+1)/12))) + (Q57)*(IF((YEAR(D57)+20)&lt;YEAR(E57),0,IF((YEAR(D57)+20)&gt;YEAR(E57),1,(12-MONTH(E57)+1)/12))))-((P57)*(IF((YEAR(D57)+20)&lt;YEAR(E57),0,IF((YEAR(D57)+20)&gt;YEAR(E57),1,(12-MONTH(E57)+1)/12))) + (R57)*(IF((YEAR(D57)+20)&lt;YEAR(E57),0,IF((YEAR(D57)+20)&gt;YEAR(E57),1,(12-MONTH(E57)+1)/12))))-(IF(OR(N57="",N57&lt;=0),0,(O57/N57)*(IF(OR(N57="",N57&lt;=0),0,IF((YEAR(D57)+20)&lt;YEAR(E57),0,IF((YEAR(D57)+20)&gt;=YEAR(E57)+N57,0,IF((YEAR(D57)+20)=YEAR(E57),(12-MONTH(E57)+1)/12,1))))))))&gt;0,(((K57)*(IF(M57="",L57,IFERROR(IF(INDEX(Variablen!$I:$AT, MATCH(M57, Variablen!$A:$A, 0), MATCH((YEAR(D57)+20), Variablen!$I$3:$AT$3, 0))="",L57,INDEX(Variablen!$I:$AT, MATCH(M57, Variablen!$A:$A, 0), MATCH((YEAR(D57)+20), Variablen!$I$3:$AT$3, 0))),L57)))*(IF((YEAR(D57)+20)&lt;YEAR(E57),0,IF((YEAR(D57)+20)&gt;YEAR(E57),1,(12-MONTH(E57)+1)/12))) + (Q57)*(IF((YEAR(D57)+20)&lt;YEAR(E57),0,IF((YEAR(D57)+20)&gt;YEAR(E57),1,(12-MONTH(E57)+1)/12))))-((P57)*(IF((YEAR(D57)+20)&lt;YEAR(E57),0,IF((YEAR(D57)+20)&gt;YEAR(E57),1,(12-MONTH(E57)+1)/12))) + (R57)*(IF((YEAR(D57)+20)&lt;YEAR(E57),0,IF((YEAR(D57)+20)&gt;YEAR(E57),1,(12-MONTH(E57)+1)/12))))-(IF(OR(N57="",N57&lt;=0),0,(O57/N57)*(IF(OR(N57="",N57&lt;=0),0,IF((YEAR(D57)+20)&lt;YEAR(E57),0,IF((YEAR(D57)+20)&gt;=YEAR(E57)+N57,0,IF((YEAR(D57)+20)=YEAR(E57),(12-MONTH(E57)+1)/12,1))))))))*TaxRate,0))-IF(20=0,O57,0))</f>
        <v/>
      </c>
      <c r="AN57" s="29">
        <f>IF(A57="","",S57)</f>
        <v/>
      </c>
      <c r="AO57" s="29">
        <f>IF(A57="","",AN57+T57)</f>
        <v/>
      </c>
      <c r="AP57" s="29">
        <f>IF(A57="","",AO57+U57)</f>
        <v/>
      </c>
      <c r="AQ57" s="29">
        <f>IF(A57="","",AP57+V57)</f>
        <v/>
      </c>
      <c r="AR57" s="29">
        <f>IF(A57="","",AQ57+W57)</f>
        <v/>
      </c>
      <c r="AS57" s="29">
        <f>IF(A57="","",AR57+X57)</f>
        <v/>
      </c>
      <c r="AT57" s="29">
        <f>IF(A57="","",AS57+Y57)</f>
        <v/>
      </c>
      <c r="AU57" s="29">
        <f>IF(A57="","",AT57+Z57)</f>
        <v/>
      </c>
      <c r="AV57" s="29">
        <f>IF(A57="","",AU57+AA57)</f>
        <v/>
      </c>
      <c r="AW57" s="29">
        <f>IF(A57="","",AV57+AB57)</f>
        <v/>
      </c>
      <c r="AX57" s="29">
        <f>IF(A57="","",AW57+AC57)</f>
        <v/>
      </c>
      <c r="AY57" s="29">
        <f>IF(A57="","",AX57+AD57)</f>
        <v/>
      </c>
      <c r="AZ57" s="29">
        <f>IF(A57="","",AY57+AE57)</f>
        <v/>
      </c>
      <c r="BA57" s="29">
        <f>IF(A57="","",AZ57+AF57)</f>
        <v/>
      </c>
      <c r="BB57" s="29">
        <f>IF(A57="","",BA57+AG57)</f>
        <v/>
      </c>
      <c r="BC57" s="29">
        <f>IF(A57="","",BB57+AH57)</f>
        <v/>
      </c>
      <c r="BD57" s="29">
        <f>IF(A57="","",BC57+AI57)</f>
        <v/>
      </c>
      <c r="BE57" s="29">
        <f>IF(A57="","",BD57+AJ57)</f>
        <v/>
      </c>
      <c r="BF57" s="29">
        <f>IF(A57="","",BE57+AK57)</f>
        <v/>
      </c>
      <c r="BG57" s="29">
        <f>IF(A57="","",BF57+AL57)</f>
        <v/>
      </c>
      <c r="BH57" s="29">
        <f>IF(A57="","",BG57+AM57)</f>
        <v/>
      </c>
      <c r="BI57" s="36">
        <f>IF(A57="","",(K57)*(IF((YEAR(D57)+0)&lt;YEAR(E57),0,IF((YEAR(D57)+0)&gt;YEAR(E57),1,(12-MONTH(E57)+1)/12)))*(1/(1+DiscountRate)^0))</f>
        <v/>
      </c>
      <c r="BJ57" s="36">
        <f>IF(A57="","",(K57)*(IF((YEAR(D57)+1)&lt;YEAR(E57),0,IF((YEAR(D57)+1)&gt;YEAR(E57),1,(12-MONTH(E57)+1)/12)))*(1/(1+DiscountRate)^1))</f>
        <v/>
      </c>
      <c r="BK57" s="36">
        <f>IF(A57="","",(K57)*(IF((YEAR(D57)+2)&lt;YEAR(E57),0,IF((YEAR(D57)+2)&gt;YEAR(E57),1,(12-MONTH(E57)+1)/12)))*(1/(1+DiscountRate)^2))</f>
        <v/>
      </c>
      <c r="BL57" s="36">
        <f>IF(A57="","",(K57)*(IF((YEAR(D57)+3)&lt;YEAR(E57),0,IF((YEAR(D57)+3)&gt;YEAR(E57),1,(12-MONTH(E57)+1)/12)))*(1/(1+DiscountRate)^3))</f>
        <v/>
      </c>
      <c r="BM57" s="36">
        <f>IF(A57="","",(K57)*(IF((YEAR(D57)+4)&lt;YEAR(E57),0,IF((YEAR(D57)+4)&gt;YEAR(E57),1,(12-MONTH(E57)+1)/12)))*(1/(1+DiscountRate)^4))</f>
        <v/>
      </c>
      <c r="BN57" s="36">
        <f>IF(A57="","",(K57)*(IF((YEAR(D57)+5)&lt;YEAR(E57),0,IF((YEAR(D57)+5)&gt;YEAR(E57),1,(12-MONTH(E57)+1)/12)))*(1/(1+DiscountRate)^5))</f>
        <v/>
      </c>
      <c r="BO57" s="36">
        <f>IF(A57="","",(K57)*(IF((YEAR(D57)+6)&lt;YEAR(E57),0,IF((YEAR(D57)+6)&gt;YEAR(E57),1,(12-MONTH(E57)+1)/12)))*(1/(1+DiscountRate)^6))</f>
        <v/>
      </c>
      <c r="BP57" s="36">
        <f>IF(A57="","",(K57)*(IF((YEAR(D57)+7)&lt;YEAR(E57),0,IF((YEAR(D57)+7)&gt;YEAR(E57),1,(12-MONTH(E57)+1)/12)))*(1/(1+DiscountRate)^7))</f>
        <v/>
      </c>
      <c r="BQ57" s="36">
        <f>IF(A57="","",(K57)*(IF((YEAR(D57)+8)&lt;YEAR(E57),0,IF((YEAR(D57)+8)&gt;YEAR(E57),1,(12-MONTH(E57)+1)/12)))*(1/(1+DiscountRate)^8))</f>
        <v/>
      </c>
      <c r="BR57" s="36">
        <f>IF(A57="","",(K57)*(IF((YEAR(D57)+9)&lt;YEAR(E57),0,IF((YEAR(D57)+9)&gt;YEAR(E57),1,(12-MONTH(E57)+1)/12)))*(1/(1+DiscountRate)^9))</f>
        <v/>
      </c>
      <c r="BS57" s="36">
        <f>IF(A57="","",(K57)*(IF((YEAR(D57)+10)&lt;YEAR(E57),0,IF((YEAR(D57)+10)&gt;YEAR(E57),1,(12-MONTH(E57)+1)/12)))*(1/(1+DiscountRate)^10))</f>
        <v/>
      </c>
      <c r="BT57" s="36">
        <f>IF(A57="","",(K57)*(IF((YEAR(D57)+11)&lt;YEAR(E57),0,IF((YEAR(D57)+11)&gt;YEAR(E57),1,(12-MONTH(E57)+1)/12)))*(1/(1+DiscountRate)^11))</f>
        <v/>
      </c>
      <c r="BU57" s="36">
        <f>IF(A57="","",(K57)*(IF((YEAR(D57)+12)&lt;YEAR(E57),0,IF((YEAR(D57)+12)&gt;YEAR(E57),1,(12-MONTH(E57)+1)/12)))*(1/(1+DiscountRate)^12))</f>
        <v/>
      </c>
      <c r="BV57" s="36">
        <f>IF(A57="","",(K57)*(IF((YEAR(D57)+13)&lt;YEAR(E57),0,IF((YEAR(D57)+13)&gt;YEAR(E57),1,(12-MONTH(E57)+1)/12)))*(1/(1+DiscountRate)^13))</f>
        <v/>
      </c>
      <c r="BW57" s="36">
        <f>IF(A57="","",(K57)*(IF((YEAR(D57)+14)&lt;YEAR(E57),0,IF((YEAR(D57)+14)&gt;YEAR(E57),1,(12-MONTH(E57)+1)/12)))*(1/(1+DiscountRate)^14))</f>
        <v/>
      </c>
      <c r="BX57" s="36">
        <f>IF(A57="","",(K57)*(IF((YEAR(D57)+15)&lt;YEAR(E57),0,IF((YEAR(D57)+15)&gt;YEAR(E57),1,(12-MONTH(E57)+1)/12)))*(1/(1+DiscountRate)^15))</f>
        <v/>
      </c>
      <c r="BY57" s="36">
        <f>IF(A57="","",(K57)*(IF((YEAR(D57)+16)&lt;YEAR(E57),0,IF((YEAR(D57)+16)&gt;YEAR(E57),1,(12-MONTH(E57)+1)/12)))*(1/(1+DiscountRate)^16))</f>
        <v/>
      </c>
      <c r="BZ57" s="36">
        <f>IF(A57="","",(K57)*(IF((YEAR(D57)+17)&lt;YEAR(E57),0,IF((YEAR(D57)+17)&gt;YEAR(E57),1,(12-MONTH(E57)+1)/12)))*(1/(1+DiscountRate)^17))</f>
        <v/>
      </c>
      <c r="CA57" s="36">
        <f>IF(A57="","",(K57)*(IF((YEAR(D57)+18)&lt;YEAR(E57),0,IF((YEAR(D57)+18)&gt;YEAR(E57),1,(12-MONTH(E57)+1)/12)))*(1/(1+DiscountRate)^18))</f>
        <v/>
      </c>
      <c r="CB57" s="36">
        <f>IF(A57="","",(K57)*(IF((YEAR(D57)+19)&lt;YEAR(E57),0,IF((YEAR(D57)+19)&gt;YEAR(E57),1,(12-MONTH(E57)+1)/12)))*(1/(1+DiscountRate)^19))</f>
        <v/>
      </c>
      <c r="CC57" s="36">
        <f>IF(A57="","",(K57)*(IF((YEAR(D57)+20)&lt;YEAR(E57),0,IF((YEAR(D57)+20)&gt;YEAR(E57),1,(12-MONTH(E57)+1)/12)))*(1/(1+DiscountRate)^20))</f>
        <v/>
      </c>
      <c r="CD57" s="29">
        <f>IF(A57="","",S57/(1+DiscountRate)^0+T57/(1+DiscountRate)^1+U57/(1+DiscountRate)^2+V57/(1+DiscountRate)^3+W57/(1+DiscountRate)^4+X57/(1+DiscountRate)^5+Y57/(1+DiscountRate)^6+Z57/(1+DiscountRate)^7+AA57/(1+DiscountRate)^8+AB57/(1+DiscountRate)^9+AC57/(1+DiscountRate)^10+AD57/(1+DiscountRate)^11+AE57/(1+DiscountRate)^12+AF57/(1+DiscountRate)^13+AG57/(1+DiscountRate)^14+AH57/(1+DiscountRate)^15+AI57/(1+DiscountRate)^16+AJ57/(1+DiscountRate)^17+AK57/(1+DiscountRate)^18+AL57/(1+DiscountRate)^19+AM57/(1+DiscountRate)^20)</f>
        <v/>
      </c>
      <c r="CE57" s="37">
        <f>IF(A57="","",IFERROR(IRR(OFFSET(S57,0,0,1,MIN(HorizonYears,20)+1)),"n/a"))</f>
        <v/>
      </c>
      <c r="CF57" s="28">
        <f>IF(A57="","",IFERROR(MATCH(TRUE,OFFSET(AN57,0,0,1,MIN(HorizonYears,20)+1)&gt;=0,0)-1,"n/a"))</f>
        <v/>
      </c>
      <c r="CG57" s="36">
        <f>IF(A57="","",SUM(OFFSET(BI57,0,0,1,MIN(HorizonYears,20)+1)))</f>
        <v/>
      </c>
      <c r="CH57" s="36">
        <f>IF(A57="","",IFERROR(-CD57/CG57,"n/a"))</f>
        <v/>
      </c>
    </row>
    <row r="58">
      <c r="A58" s="6">
        <f>Actions!A56</f>
        <v/>
      </c>
      <c r="B58" s="6">
        <f>Actions!B56</f>
        <v/>
      </c>
      <c r="C58" s="6">
        <f>Actions!D56</f>
        <v/>
      </c>
      <c r="D58" s="35">
        <f>Actions!E56</f>
        <v/>
      </c>
      <c r="E58" s="35">
        <f>Actions!F56</f>
        <v/>
      </c>
      <c r="F58" s="6">
        <f>Actions!G56</f>
        <v/>
      </c>
      <c r="G58" s="6">
        <f>Actions!H56</f>
        <v/>
      </c>
      <c r="H58" s="29">
        <f>Actions!I56</f>
        <v/>
      </c>
      <c r="I58" s="6">
        <f>Actions!J56</f>
        <v/>
      </c>
      <c r="J58" s="16">
        <f>Actions!K56</f>
        <v/>
      </c>
      <c r="K58" s="16">
        <f>IF(A58="","",IF(I58="%",H58*J58,J58))</f>
        <v/>
      </c>
      <c r="L58" s="16">
        <f>Actions!L56</f>
        <v/>
      </c>
      <c r="M58" s="6">
        <f>Actions!M56</f>
        <v/>
      </c>
      <c r="N58" s="28">
        <f>Actions!N56</f>
        <v/>
      </c>
      <c r="O58" s="29">
        <f>Actions!T56</f>
        <v/>
      </c>
      <c r="P58" s="29">
        <f>Actions!Y56</f>
        <v/>
      </c>
      <c r="Q58" s="29">
        <f>Actions!Z56</f>
        <v/>
      </c>
      <c r="R58" s="29">
        <f>Actions!AA56</f>
        <v/>
      </c>
      <c r="S58" s="29">
        <f>IF(A58="","",((K58)*(IF(M58="",L58,IFERROR(IF(INDEX(Variablen!$I:$AT, MATCH(M58, Variablen!$A:$A, 0), MATCH((YEAR(D58)+0), Variablen!$I$3:$AT$3, 0))="",L58,INDEX(Variablen!$I:$AT, MATCH(M58, Variablen!$A:$A, 0), MATCH((YEAR(D58)+0), Variablen!$I$3:$AT$3, 0))),L58)))*(IF((YEAR(D58)+0)&lt;YEAR(E58),0,IF((YEAR(D58)+0)&gt;YEAR(E58),1,(12-MONTH(E58)+1)/12))) + (Q58)*(IF((YEAR(D58)+0)&lt;YEAR(E58),0,IF((YEAR(D58)+0)&gt;YEAR(E58),1,(12-MONTH(E58)+1)/12))))-((P58)*(IF((YEAR(D58)+0)&lt;YEAR(E58),0,IF((YEAR(D58)+0)&gt;YEAR(E58),1,(12-MONTH(E58)+1)/12))) + (R58)*(IF((YEAR(D58)+0)&lt;YEAR(E58),0,IF((YEAR(D58)+0)&gt;YEAR(E58),1,(12-MONTH(E58)+1)/12))))-(IF((((K58)*(IF(M58="",L58,IFERROR(IF(INDEX(Variablen!$I:$AT, MATCH(M58, Variablen!$A:$A, 0), MATCH((YEAR(D58)+0), Variablen!$I$3:$AT$3, 0))="",L58,INDEX(Variablen!$I:$AT, MATCH(M58, Variablen!$A:$A, 0), MATCH((YEAR(D58)+0), Variablen!$I$3:$AT$3, 0))),L58)))*(IF((YEAR(D58)+0)&lt;YEAR(E58),0,IF((YEAR(D58)+0)&gt;YEAR(E58),1,(12-MONTH(E58)+1)/12))) + (Q58)*(IF((YEAR(D58)+0)&lt;YEAR(E58),0,IF((YEAR(D58)+0)&gt;YEAR(E58),1,(12-MONTH(E58)+1)/12))))-((P58)*(IF((YEAR(D58)+0)&lt;YEAR(E58),0,IF((YEAR(D58)+0)&gt;YEAR(E58),1,(12-MONTH(E58)+1)/12))) + (R58)*(IF((YEAR(D58)+0)&lt;YEAR(E58),0,IF((YEAR(D58)+0)&gt;YEAR(E58),1,(12-MONTH(E58)+1)/12))))-(IF(OR(N58="",N58&lt;=0),0,(O58/N58)*(IF(OR(N58="",N58&lt;=0),0,IF((YEAR(D58)+0)&lt;YEAR(E58),0,IF((YEAR(D58)+0)&gt;=YEAR(E58)+N58,0,IF((YEAR(D58)+0)=YEAR(E58),(12-MONTH(E58)+1)/12,1))))))))&gt;0,(((K58)*(IF(M58="",L58,IFERROR(IF(INDEX(Variablen!$I:$AT, MATCH(M58, Variablen!$A:$A, 0), MATCH((YEAR(D58)+0), Variablen!$I$3:$AT$3, 0))="",L58,INDEX(Variablen!$I:$AT, MATCH(M58, Variablen!$A:$A, 0), MATCH((YEAR(D58)+0), Variablen!$I$3:$AT$3, 0))),L58)))*(IF((YEAR(D58)+0)&lt;YEAR(E58),0,IF((YEAR(D58)+0)&gt;YEAR(E58),1,(12-MONTH(E58)+1)/12))) + (Q58)*(IF((YEAR(D58)+0)&lt;YEAR(E58),0,IF((YEAR(D58)+0)&gt;YEAR(E58),1,(12-MONTH(E58)+1)/12))))-((P58)*(IF((YEAR(D58)+0)&lt;YEAR(E58),0,IF((YEAR(D58)+0)&gt;YEAR(E58),1,(12-MONTH(E58)+1)/12))) + (R58)*(IF((YEAR(D58)+0)&lt;YEAR(E58),0,IF((YEAR(D58)+0)&gt;YEAR(E58),1,(12-MONTH(E58)+1)/12))))-(IF(OR(N58="",N58&lt;=0),0,(O58/N58)*(IF(OR(N58="",N58&lt;=0),0,IF((YEAR(D58)+0)&lt;YEAR(E58),0,IF((YEAR(D58)+0)&gt;=YEAR(E58)+N58,0,IF((YEAR(D58)+0)=YEAR(E58),(12-MONTH(E58)+1)/12,1))))))))*TaxRate,0))-IF(0=0,O58,0))</f>
        <v/>
      </c>
      <c r="T58" s="29">
        <f>IF(A58="","",((K58)*(IF(M58="",L58,IFERROR(IF(INDEX(Variablen!$I:$AT, MATCH(M58, Variablen!$A:$A, 0), MATCH((YEAR(D58)+1), Variablen!$I$3:$AT$3, 0))="",L58,INDEX(Variablen!$I:$AT, MATCH(M58, Variablen!$A:$A, 0), MATCH((YEAR(D58)+1), Variablen!$I$3:$AT$3, 0))),L58)))*(IF((YEAR(D58)+1)&lt;YEAR(E58),0,IF((YEAR(D58)+1)&gt;YEAR(E58),1,(12-MONTH(E58)+1)/12))) + (Q58)*(IF((YEAR(D58)+1)&lt;YEAR(E58),0,IF((YEAR(D58)+1)&gt;YEAR(E58),1,(12-MONTH(E58)+1)/12))))-((P58)*(IF((YEAR(D58)+1)&lt;YEAR(E58),0,IF((YEAR(D58)+1)&gt;YEAR(E58),1,(12-MONTH(E58)+1)/12))) + (R58)*(IF((YEAR(D58)+1)&lt;YEAR(E58),0,IF((YEAR(D58)+1)&gt;YEAR(E58),1,(12-MONTH(E58)+1)/12))))-(IF((((K58)*(IF(M58="",L58,IFERROR(IF(INDEX(Variablen!$I:$AT, MATCH(M58, Variablen!$A:$A, 0), MATCH((YEAR(D58)+1), Variablen!$I$3:$AT$3, 0))="",L58,INDEX(Variablen!$I:$AT, MATCH(M58, Variablen!$A:$A, 0), MATCH((YEAR(D58)+1), Variablen!$I$3:$AT$3, 0))),L58)))*(IF((YEAR(D58)+1)&lt;YEAR(E58),0,IF((YEAR(D58)+1)&gt;YEAR(E58),1,(12-MONTH(E58)+1)/12))) + (Q58)*(IF((YEAR(D58)+1)&lt;YEAR(E58),0,IF((YEAR(D58)+1)&gt;YEAR(E58),1,(12-MONTH(E58)+1)/12))))-((P58)*(IF((YEAR(D58)+1)&lt;YEAR(E58),0,IF((YEAR(D58)+1)&gt;YEAR(E58),1,(12-MONTH(E58)+1)/12))) + (R58)*(IF((YEAR(D58)+1)&lt;YEAR(E58),0,IF((YEAR(D58)+1)&gt;YEAR(E58),1,(12-MONTH(E58)+1)/12))))-(IF(OR(N58="",N58&lt;=0),0,(O58/N58)*(IF(OR(N58="",N58&lt;=0),0,IF((YEAR(D58)+1)&lt;YEAR(E58),0,IF((YEAR(D58)+1)&gt;=YEAR(E58)+N58,0,IF((YEAR(D58)+1)=YEAR(E58),(12-MONTH(E58)+1)/12,1))))))))&gt;0,(((K58)*(IF(M58="",L58,IFERROR(IF(INDEX(Variablen!$I:$AT, MATCH(M58, Variablen!$A:$A, 0), MATCH((YEAR(D58)+1), Variablen!$I$3:$AT$3, 0))="",L58,INDEX(Variablen!$I:$AT, MATCH(M58, Variablen!$A:$A, 0), MATCH((YEAR(D58)+1), Variablen!$I$3:$AT$3, 0))),L58)))*(IF((YEAR(D58)+1)&lt;YEAR(E58),0,IF((YEAR(D58)+1)&gt;YEAR(E58),1,(12-MONTH(E58)+1)/12))) + (Q58)*(IF((YEAR(D58)+1)&lt;YEAR(E58),0,IF((YEAR(D58)+1)&gt;YEAR(E58),1,(12-MONTH(E58)+1)/12))))-((P58)*(IF((YEAR(D58)+1)&lt;YEAR(E58),0,IF((YEAR(D58)+1)&gt;YEAR(E58),1,(12-MONTH(E58)+1)/12))) + (R58)*(IF((YEAR(D58)+1)&lt;YEAR(E58),0,IF((YEAR(D58)+1)&gt;YEAR(E58),1,(12-MONTH(E58)+1)/12))))-(IF(OR(N58="",N58&lt;=0),0,(O58/N58)*(IF(OR(N58="",N58&lt;=0),0,IF((YEAR(D58)+1)&lt;YEAR(E58),0,IF((YEAR(D58)+1)&gt;=YEAR(E58)+N58,0,IF((YEAR(D58)+1)=YEAR(E58),(12-MONTH(E58)+1)/12,1))))))))*TaxRate,0))-IF(1=0,O58,0))</f>
        <v/>
      </c>
      <c r="U58" s="29">
        <f>IF(A58="","",((K58)*(IF(M58="",L58,IFERROR(IF(INDEX(Variablen!$I:$AT, MATCH(M58, Variablen!$A:$A, 0), MATCH((YEAR(D58)+2), Variablen!$I$3:$AT$3, 0))="",L58,INDEX(Variablen!$I:$AT, MATCH(M58, Variablen!$A:$A, 0), MATCH((YEAR(D58)+2), Variablen!$I$3:$AT$3, 0))),L58)))*(IF((YEAR(D58)+2)&lt;YEAR(E58),0,IF((YEAR(D58)+2)&gt;YEAR(E58),1,(12-MONTH(E58)+1)/12))) + (Q58)*(IF((YEAR(D58)+2)&lt;YEAR(E58),0,IF((YEAR(D58)+2)&gt;YEAR(E58),1,(12-MONTH(E58)+1)/12))))-((P58)*(IF((YEAR(D58)+2)&lt;YEAR(E58),0,IF((YEAR(D58)+2)&gt;YEAR(E58),1,(12-MONTH(E58)+1)/12))) + (R58)*(IF((YEAR(D58)+2)&lt;YEAR(E58),0,IF((YEAR(D58)+2)&gt;YEAR(E58),1,(12-MONTH(E58)+1)/12))))-(IF((((K58)*(IF(M58="",L58,IFERROR(IF(INDEX(Variablen!$I:$AT, MATCH(M58, Variablen!$A:$A, 0), MATCH((YEAR(D58)+2), Variablen!$I$3:$AT$3, 0))="",L58,INDEX(Variablen!$I:$AT, MATCH(M58, Variablen!$A:$A, 0), MATCH((YEAR(D58)+2), Variablen!$I$3:$AT$3, 0))),L58)))*(IF((YEAR(D58)+2)&lt;YEAR(E58),0,IF((YEAR(D58)+2)&gt;YEAR(E58),1,(12-MONTH(E58)+1)/12))) + (Q58)*(IF((YEAR(D58)+2)&lt;YEAR(E58),0,IF((YEAR(D58)+2)&gt;YEAR(E58),1,(12-MONTH(E58)+1)/12))))-((P58)*(IF((YEAR(D58)+2)&lt;YEAR(E58),0,IF((YEAR(D58)+2)&gt;YEAR(E58),1,(12-MONTH(E58)+1)/12))) + (R58)*(IF((YEAR(D58)+2)&lt;YEAR(E58),0,IF((YEAR(D58)+2)&gt;YEAR(E58),1,(12-MONTH(E58)+1)/12))))-(IF(OR(N58="",N58&lt;=0),0,(O58/N58)*(IF(OR(N58="",N58&lt;=0),0,IF((YEAR(D58)+2)&lt;YEAR(E58),0,IF((YEAR(D58)+2)&gt;=YEAR(E58)+N58,0,IF((YEAR(D58)+2)=YEAR(E58),(12-MONTH(E58)+1)/12,1))))))))&gt;0,(((K58)*(IF(M58="",L58,IFERROR(IF(INDEX(Variablen!$I:$AT, MATCH(M58, Variablen!$A:$A, 0), MATCH((YEAR(D58)+2), Variablen!$I$3:$AT$3, 0))="",L58,INDEX(Variablen!$I:$AT, MATCH(M58, Variablen!$A:$A, 0), MATCH((YEAR(D58)+2), Variablen!$I$3:$AT$3, 0))),L58)))*(IF((YEAR(D58)+2)&lt;YEAR(E58),0,IF((YEAR(D58)+2)&gt;YEAR(E58),1,(12-MONTH(E58)+1)/12))) + (Q58)*(IF((YEAR(D58)+2)&lt;YEAR(E58),0,IF((YEAR(D58)+2)&gt;YEAR(E58),1,(12-MONTH(E58)+1)/12))))-((P58)*(IF((YEAR(D58)+2)&lt;YEAR(E58),0,IF((YEAR(D58)+2)&gt;YEAR(E58),1,(12-MONTH(E58)+1)/12))) + (R58)*(IF((YEAR(D58)+2)&lt;YEAR(E58),0,IF((YEAR(D58)+2)&gt;YEAR(E58),1,(12-MONTH(E58)+1)/12))))-(IF(OR(N58="",N58&lt;=0),0,(O58/N58)*(IF(OR(N58="",N58&lt;=0),0,IF((YEAR(D58)+2)&lt;YEAR(E58),0,IF((YEAR(D58)+2)&gt;=YEAR(E58)+N58,0,IF((YEAR(D58)+2)=YEAR(E58),(12-MONTH(E58)+1)/12,1))))))))*TaxRate,0))-IF(2=0,O58,0))</f>
        <v/>
      </c>
      <c r="V58" s="29">
        <f>IF(A58="","",((K58)*(IF(M58="",L58,IFERROR(IF(INDEX(Variablen!$I:$AT, MATCH(M58, Variablen!$A:$A, 0), MATCH((YEAR(D58)+3), Variablen!$I$3:$AT$3, 0))="",L58,INDEX(Variablen!$I:$AT, MATCH(M58, Variablen!$A:$A, 0), MATCH((YEAR(D58)+3), Variablen!$I$3:$AT$3, 0))),L58)))*(IF((YEAR(D58)+3)&lt;YEAR(E58),0,IF((YEAR(D58)+3)&gt;YEAR(E58),1,(12-MONTH(E58)+1)/12))) + (Q58)*(IF((YEAR(D58)+3)&lt;YEAR(E58),0,IF((YEAR(D58)+3)&gt;YEAR(E58),1,(12-MONTH(E58)+1)/12))))-((P58)*(IF((YEAR(D58)+3)&lt;YEAR(E58),0,IF((YEAR(D58)+3)&gt;YEAR(E58),1,(12-MONTH(E58)+1)/12))) + (R58)*(IF((YEAR(D58)+3)&lt;YEAR(E58),0,IF((YEAR(D58)+3)&gt;YEAR(E58),1,(12-MONTH(E58)+1)/12))))-(IF((((K58)*(IF(M58="",L58,IFERROR(IF(INDEX(Variablen!$I:$AT, MATCH(M58, Variablen!$A:$A, 0), MATCH((YEAR(D58)+3), Variablen!$I$3:$AT$3, 0))="",L58,INDEX(Variablen!$I:$AT, MATCH(M58, Variablen!$A:$A, 0), MATCH((YEAR(D58)+3), Variablen!$I$3:$AT$3, 0))),L58)))*(IF((YEAR(D58)+3)&lt;YEAR(E58),0,IF((YEAR(D58)+3)&gt;YEAR(E58),1,(12-MONTH(E58)+1)/12))) + (Q58)*(IF((YEAR(D58)+3)&lt;YEAR(E58),0,IF((YEAR(D58)+3)&gt;YEAR(E58),1,(12-MONTH(E58)+1)/12))))-((P58)*(IF((YEAR(D58)+3)&lt;YEAR(E58),0,IF((YEAR(D58)+3)&gt;YEAR(E58),1,(12-MONTH(E58)+1)/12))) + (R58)*(IF((YEAR(D58)+3)&lt;YEAR(E58),0,IF((YEAR(D58)+3)&gt;YEAR(E58),1,(12-MONTH(E58)+1)/12))))-(IF(OR(N58="",N58&lt;=0),0,(O58/N58)*(IF(OR(N58="",N58&lt;=0),0,IF((YEAR(D58)+3)&lt;YEAR(E58),0,IF((YEAR(D58)+3)&gt;=YEAR(E58)+N58,0,IF((YEAR(D58)+3)=YEAR(E58),(12-MONTH(E58)+1)/12,1))))))))&gt;0,(((K58)*(IF(M58="",L58,IFERROR(IF(INDEX(Variablen!$I:$AT, MATCH(M58, Variablen!$A:$A, 0), MATCH((YEAR(D58)+3), Variablen!$I$3:$AT$3, 0))="",L58,INDEX(Variablen!$I:$AT, MATCH(M58, Variablen!$A:$A, 0), MATCH((YEAR(D58)+3), Variablen!$I$3:$AT$3, 0))),L58)))*(IF((YEAR(D58)+3)&lt;YEAR(E58),0,IF((YEAR(D58)+3)&gt;YEAR(E58),1,(12-MONTH(E58)+1)/12))) + (Q58)*(IF((YEAR(D58)+3)&lt;YEAR(E58),0,IF((YEAR(D58)+3)&gt;YEAR(E58),1,(12-MONTH(E58)+1)/12))))-((P58)*(IF((YEAR(D58)+3)&lt;YEAR(E58),0,IF((YEAR(D58)+3)&gt;YEAR(E58),1,(12-MONTH(E58)+1)/12))) + (R58)*(IF((YEAR(D58)+3)&lt;YEAR(E58),0,IF((YEAR(D58)+3)&gt;YEAR(E58),1,(12-MONTH(E58)+1)/12))))-(IF(OR(N58="",N58&lt;=0),0,(O58/N58)*(IF(OR(N58="",N58&lt;=0),0,IF((YEAR(D58)+3)&lt;YEAR(E58),0,IF((YEAR(D58)+3)&gt;=YEAR(E58)+N58,0,IF((YEAR(D58)+3)=YEAR(E58),(12-MONTH(E58)+1)/12,1))))))))*TaxRate,0))-IF(3=0,O58,0))</f>
        <v/>
      </c>
      <c r="W58" s="29">
        <f>IF(A58="","",((K58)*(IF(M58="",L58,IFERROR(IF(INDEX(Variablen!$I:$AT, MATCH(M58, Variablen!$A:$A, 0), MATCH((YEAR(D58)+4), Variablen!$I$3:$AT$3, 0))="",L58,INDEX(Variablen!$I:$AT, MATCH(M58, Variablen!$A:$A, 0), MATCH((YEAR(D58)+4), Variablen!$I$3:$AT$3, 0))),L58)))*(IF((YEAR(D58)+4)&lt;YEAR(E58),0,IF((YEAR(D58)+4)&gt;YEAR(E58),1,(12-MONTH(E58)+1)/12))) + (Q58)*(IF((YEAR(D58)+4)&lt;YEAR(E58),0,IF((YEAR(D58)+4)&gt;YEAR(E58),1,(12-MONTH(E58)+1)/12))))-((P58)*(IF((YEAR(D58)+4)&lt;YEAR(E58),0,IF((YEAR(D58)+4)&gt;YEAR(E58),1,(12-MONTH(E58)+1)/12))) + (R58)*(IF((YEAR(D58)+4)&lt;YEAR(E58),0,IF((YEAR(D58)+4)&gt;YEAR(E58),1,(12-MONTH(E58)+1)/12))))-(IF((((K58)*(IF(M58="",L58,IFERROR(IF(INDEX(Variablen!$I:$AT, MATCH(M58, Variablen!$A:$A, 0), MATCH((YEAR(D58)+4), Variablen!$I$3:$AT$3, 0))="",L58,INDEX(Variablen!$I:$AT, MATCH(M58, Variablen!$A:$A, 0), MATCH((YEAR(D58)+4), Variablen!$I$3:$AT$3, 0))),L58)))*(IF((YEAR(D58)+4)&lt;YEAR(E58),0,IF((YEAR(D58)+4)&gt;YEAR(E58),1,(12-MONTH(E58)+1)/12))) + (Q58)*(IF((YEAR(D58)+4)&lt;YEAR(E58),0,IF((YEAR(D58)+4)&gt;YEAR(E58),1,(12-MONTH(E58)+1)/12))))-((P58)*(IF((YEAR(D58)+4)&lt;YEAR(E58),0,IF((YEAR(D58)+4)&gt;YEAR(E58),1,(12-MONTH(E58)+1)/12))) + (R58)*(IF((YEAR(D58)+4)&lt;YEAR(E58),0,IF((YEAR(D58)+4)&gt;YEAR(E58),1,(12-MONTH(E58)+1)/12))))-(IF(OR(N58="",N58&lt;=0),0,(O58/N58)*(IF(OR(N58="",N58&lt;=0),0,IF((YEAR(D58)+4)&lt;YEAR(E58),0,IF((YEAR(D58)+4)&gt;=YEAR(E58)+N58,0,IF((YEAR(D58)+4)=YEAR(E58),(12-MONTH(E58)+1)/12,1))))))))&gt;0,(((K58)*(IF(M58="",L58,IFERROR(IF(INDEX(Variablen!$I:$AT, MATCH(M58, Variablen!$A:$A, 0), MATCH((YEAR(D58)+4), Variablen!$I$3:$AT$3, 0))="",L58,INDEX(Variablen!$I:$AT, MATCH(M58, Variablen!$A:$A, 0), MATCH((YEAR(D58)+4), Variablen!$I$3:$AT$3, 0))),L58)))*(IF((YEAR(D58)+4)&lt;YEAR(E58),0,IF((YEAR(D58)+4)&gt;YEAR(E58),1,(12-MONTH(E58)+1)/12))) + (Q58)*(IF((YEAR(D58)+4)&lt;YEAR(E58),0,IF((YEAR(D58)+4)&gt;YEAR(E58),1,(12-MONTH(E58)+1)/12))))-((P58)*(IF((YEAR(D58)+4)&lt;YEAR(E58),0,IF((YEAR(D58)+4)&gt;YEAR(E58),1,(12-MONTH(E58)+1)/12))) + (R58)*(IF((YEAR(D58)+4)&lt;YEAR(E58),0,IF((YEAR(D58)+4)&gt;YEAR(E58),1,(12-MONTH(E58)+1)/12))))-(IF(OR(N58="",N58&lt;=0),0,(O58/N58)*(IF(OR(N58="",N58&lt;=0),0,IF((YEAR(D58)+4)&lt;YEAR(E58),0,IF((YEAR(D58)+4)&gt;=YEAR(E58)+N58,0,IF((YEAR(D58)+4)=YEAR(E58),(12-MONTH(E58)+1)/12,1))))))))*TaxRate,0))-IF(4=0,O58,0))</f>
        <v/>
      </c>
      <c r="X58" s="29">
        <f>IF(A58="","",((K58)*(IF(M58="",L58,IFERROR(IF(INDEX(Variablen!$I:$AT, MATCH(M58, Variablen!$A:$A, 0), MATCH((YEAR(D58)+5), Variablen!$I$3:$AT$3, 0))="",L58,INDEX(Variablen!$I:$AT, MATCH(M58, Variablen!$A:$A, 0), MATCH((YEAR(D58)+5), Variablen!$I$3:$AT$3, 0))),L58)))*(IF((YEAR(D58)+5)&lt;YEAR(E58),0,IF((YEAR(D58)+5)&gt;YEAR(E58),1,(12-MONTH(E58)+1)/12))) + (Q58)*(IF((YEAR(D58)+5)&lt;YEAR(E58),0,IF((YEAR(D58)+5)&gt;YEAR(E58),1,(12-MONTH(E58)+1)/12))))-((P58)*(IF((YEAR(D58)+5)&lt;YEAR(E58),0,IF((YEAR(D58)+5)&gt;YEAR(E58),1,(12-MONTH(E58)+1)/12))) + (R58)*(IF((YEAR(D58)+5)&lt;YEAR(E58),0,IF((YEAR(D58)+5)&gt;YEAR(E58),1,(12-MONTH(E58)+1)/12))))-(IF((((K58)*(IF(M58="",L58,IFERROR(IF(INDEX(Variablen!$I:$AT, MATCH(M58, Variablen!$A:$A, 0), MATCH((YEAR(D58)+5), Variablen!$I$3:$AT$3, 0))="",L58,INDEX(Variablen!$I:$AT, MATCH(M58, Variablen!$A:$A, 0), MATCH((YEAR(D58)+5), Variablen!$I$3:$AT$3, 0))),L58)))*(IF((YEAR(D58)+5)&lt;YEAR(E58),0,IF((YEAR(D58)+5)&gt;YEAR(E58),1,(12-MONTH(E58)+1)/12))) + (Q58)*(IF((YEAR(D58)+5)&lt;YEAR(E58),0,IF((YEAR(D58)+5)&gt;YEAR(E58),1,(12-MONTH(E58)+1)/12))))-((P58)*(IF((YEAR(D58)+5)&lt;YEAR(E58),0,IF((YEAR(D58)+5)&gt;YEAR(E58),1,(12-MONTH(E58)+1)/12))) + (R58)*(IF((YEAR(D58)+5)&lt;YEAR(E58),0,IF((YEAR(D58)+5)&gt;YEAR(E58),1,(12-MONTH(E58)+1)/12))))-(IF(OR(N58="",N58&lt;=0),0,(O58/N58)*(IF(OR(N58="",N58&lt;=0),0,IF((YEAR(D58)+5)&lt;YEAR(E58),0,IF((YEAR(D58)+5)&gt;=YEAR(E58)+N58,0,IF((YEAR(D58)+5)=YEAR(E58),(12-MONTH(E58)+1)/12,1))))))))&gt;0,(((K58)*(IF(M58="",L58,IFERROR(IF(INDEX(Variablen!$I:$AT, MATCH(M58, Variablen!$A:$A, 0), MATCH((YEAR(D58)+5), Variablen!$I$3:$AT$3, 0))="",L58,INDEX(Variablen!$I:$AT, MATCH(M58, Variablen!$A:$A, 0), MATCH((YEAR(D58)+5), Variablen!$I$3:$AT$3, 0))),L58)))*(IF((YEAR(D58)+5)&lt;YEAR(E58),0,IF((YEAR(D58)+5)&gt;YEAR(E58),1,(12-MONTH(E58)+1)/12))) + (Q58)*(IF((YEAR(D58)+5)&lt;YEAR(E58),0,IF((YEAR(D58)+5)&gt;YEAR(E58),1,(12-MONTH(E58)+1)/12))))-((P58)*(IF((YEAR(D58)+5)&lt;YEAR(E58),0,IF((YEAR(D58)+5)&gt;YEAR(E58),1,(12-MONTH(E58)+1)/12))) + (R58)*(IF((YEAR(D58)+5)&lt;YEAR(E58),0,IF((YEAR(D58)+5)&gt;YEAR(E58),1,(12-MONTH(E58)+1)/12))))-(IF(OR(N58="",N58&lt;=0),0,(O58/N58)*(IF(OR(N58="",N58&lt;=0),0,IF((YEAR(D58)+5)&lt;YEAR(E58),0,IF((YEAR(D58)+5)&gt;=YEAR(E58)+N58,0,IF((YEAR(D58)+5)=YEAR(E58),(12-MONTH(E58)+1)/12,1))))))))*TaxRate,0))-IF(5=0,O58,0))</f>
        <v/>
      </c>
      <c r="Y58" s="29">
        <f>IF(A58="","",((K58)*(IF(M58="",L58,IFERROR(IF(INDEX(Variablen!$I:$AT, MATCH(M58, Variablen!$A:$A, 0), MATCH((YEAR(D58)+6), Variablen!$I$3:$AT$3, 0))="",L58,INDEX(Variablen!$I:$AT, MATCH(M58, Variablen!$A:$A, 0), MATCH((YEAR(D58)+6), Variablen!$I$3:$AT$3, 0))),L58)))*(IF((YEAR(D58)+6)&lt;YEAR(E58),0,IF((YEAR(D58)+6)&gt;YEAR(E58),1,(12-MONTH(E58)+1)/12))) + (Q58)*(IF((YEAR(D58)+6)&lt;YEAR(E58),0,IF((YEAR(D58)+6)&gt;YEAR(E58),1,(12-MONTH(E58)+1)/12))))-((P58)*(IF((YEAR(D58)+6)&lt;YEAR(E58),0,IF((YEAR(D58)+6)&gt;YEAR(E58),1,(12-MONTH(E58)+1)/12))) + (R58)*(IF((YEAR(D58)+6)&lt;YEAR(E58),0,IF((YEAR(D58)+6)&gt;YEAR(E58),1,(12-MONTH(E58)+1)/12))))-(IF((((K58)*(IF(M58="",L58,IFERROR(IF(INDEX(Variablen!$I:$AT, MATCH(M58, Variablen!$A:$A, 0), MATCH((YEAR(D58)+6), Variablen!$I$3:$AT$3, 0))="",L58,INDEX(Variablen!$I:$AT, MATCH(M58, Variablen!$A:$A, 0), MATCH((YEAR(D58)+6), Variablen!$I$3:$AT$3, 0))),L58)))*(IF((YEAR(D58)+6)&lt;YEAR(E58),0,IF((YEAR(D58)+6)&gt;YEAR(E58),1,(12-MONTH(E58)+1)/12))) + (Q58)*(IF((YEAR(D58)+6)&lt;YEAR(E58),0,IF((YEAR(D58)+6)&gt;YEAR(E58),1,(12-MONTH(E58)+1)/12))))-((P58)*(IF((YEAR(D58)+6)&lt;YEAR(E58),0,IF((YEAR(D58)+6)&gt;YEAR(E58),1,(12-MONTH(E58)+1)/12))) + (R58)*(IF((YEAR(D58)+6)&lt;YEAR(E58),0,IF((YEAR(D58)+6)&gt;YEAR(E58),1,(12-MONTH(E58)+1)/12))))-(IF(OR(N58="",N58&lt;=0),0,(O58/N58)*(IF(OR(N58="",N58&lt;=0),0,IF((YEAR(D58)+6)&lt;YEAR(E58),0,IF((YEAR(D58)+6)&gt;=YEAR(E58)+N58,0,IF((YEAR(D58)+6)=YEAR(E58),(12-MONTH(E58)+1)/12,1))))))))&gt;0,(((K58)*(IF(M58="",L58,IFERROR(IF(INDEX(Variablen!$I:$AT, MATCH(M58, Variablen!$A:$A, 0), MATCH((YEAR(D58)+6), Variablen!$I$3:$AT$3, 0))="",L58,INDEX(Variablen!$I:$AT, MATCH(M58, Variablen!$A:$A, 0), MATCH((YEAR(D58)+6), Variablen!$I$3:$AT$3, 0))),L58)))*(IF((YEAR(D58)+6)&lt;YEAR(E58),0,IF((YEAR(D58)+6)&gt;YEAR(E58),1,(12-MONTH(E58)+1)/12))) + (Q58)*(IF((YEAR(D58)+6)&lt;YEAR(E58),0,IF((YEAR(D58)+6)&gt;YEAR(E58),1,(12-MONTH(E58)+1)/12))))-((P58)*(IF((YEAR(D58)+6)&lt;YEAR(E58),0,IF((YEAR(D58)+6)&gt;YEAR(E58),1,(12-MONTH(E58)+1)/12))) + (R58)*(IF((YEAR(D58)+6)&lt;YEAR(E58),0,IF((YEAR(D58)+6)&gt;YEAR(E58),1,(12-MONTH(E58)+1)/12))))-(IF(OR(N58="",N58&lt;=0),0,(O58/N58)*(IF(OR(N58="",N58&lt;=0),0,IF((YEAR(D58)+6)&lt;YEAR(E58),0,IF((YEAR(D58)+6)&gt;=YEAR(E58)+N58,0,IF((YEAR(D58)+6)=YEAR(E58),(12-MONTH(E58)+1)/12,1))))))))*TaxRate,0))-IF(6=0,O58,0))</f>
        <v/>
      </c>
      <c r="Z58" s="29">
        <f>IF(A58="","",((K58)*(IF(M58="",L58,IFERROR(IF(INDEX(Variablen!$I:$AT, MATCH(M58, Variablen!$A:$A, 0), MATCH((YEAR(D58)+7), Variablen!$I$3:$AT$3, 0))="",L58,INDEX(Variablen!$I:$AT, MATCH(M58, Variablen!$A:$A, 0), MATCH((YEAR(D58)+7), Variablen!$I$3:$AT$3, 0))),L58)))*(IF((YEAR(D58)+7)&lt;YEAR(E58),0,IF((YEAR(D58)+7)&gt;YEAR(E58),1,(12-MONTH(E58)+1)/12))) + (Q58)*(IF((YEAR(D58)+7)&lt;YEAR(E58),0,IF((YEAR(D58)+7)&gt;YEAR(E58),1,(12-MONTH(E58)+1)/12))))-((P58)*(IF((YEAR(D58)+7)&lt;YEAR(E58),0,IF((YEAR(D58)+7)&gt;YEAR(E58),1,(12-MONTH(E58)+1)/12))) + (R58)*(IF((YEAR(D58)+7)&lt;YEAR(E58),0,IF((YEAR(D58)+7)&gt;YEAR(E58),1,(12-MONTH(E58)+1)/12))))-(IF((((K58)*(IF(M58="",L58,IFERROR(IF(INDEX(Variablen!$I:$AT, MATCH(M58, Variablen!$A:$A, 0), MATCH((YEAR(D58)+7), Variablen!$I$3:$AT$3, 0))="",L58,INDEX(Variablen!$I:$AT, MATCH(M58, Variablen!$A:$A, 0), MATCH((YEAR(D58)+7), Variablen!$I$3:$AT$3, 0))),L58)))*(IF((YEAR(D58)+7)&lt;YEAR(E58),0,IF((YEAR(D58)+7)&gt;YEAR(E58),1,(12-MONTH(E58)+1)/12))) + (Q58)*(IF((YEAR(D58)+7)&lt;YEAR(E58),0,IF((YEAR(D58)+7)&gt;YEAR(E58),1,(12-MONTH(E58)+1)/12))))-((P58)*(IF((YEAR(D58)+7)&lt;YEAR(E58),0,IF((YEAR(D58)+7)&gt;YEAR(E58),1,(12-MONTH(E58)+1)/12))) + (R58)*(IF((YEAR(D58)+7)&lt;YEAR(E58),0,IF((YEAR(D58)+7)&gt;YEAR(E58),1,(12-MONTH(E58)+1)/12))))-(IF(OR(N58="",N58&lt;=0),0,(O58/N58)*(IF(OR(N58="",N58&lt;=0),0,IF((YEAR(D58)+7)&lt;YEAR(E58),0,IF((YEAR(D58)+7)&gt;=YEAR(E58)+N58,0,IF((YEAR(D58)+7)=YEAR(E58),(12-MONTH(E58)+1)/12,1))))))))&gt;0,(((K58)*(IF(M58="",L58,IFERROR(IF(INDEX(Variablen!$I:$AT, MATCH(M58, Variablen!$A:$A, 0), MATCH((YEAR(D58)+7), Variablen!$I$3:$AT$3, 0))="",L58,INDEX(Variablen!$I:$AT, MATCH(M58, Variablen!$A:$A, 0), MATCH((YEAR(D58)+7), Variablen!$I$3:$AT$3, 0))),L58)))*(IF((YEAR(D58)+7)&lt;YEAR(E58),0,IF((YEAR(D58)+7)&gt;YEAR(E58),1,(12-MONTH(E58)+1)/12))) + (Q58)*(IF((YEAR(D58)+7)&lt;YEAR(E58),0,IF((YEAR(D58)+7)&gt;YEAR(E58),1,(12-MONTH(E58)+1)/12))))-((P58)*(IF((YEAR(D58)+7)&lt;YEAR(E58),0,IF((YEAR(D58)+7)&gt;YEAR(E58),1,(12-MONTH(E58)+1)/12))) + (R58)*(IF((YEAR(D58)+7)&lt;YEAR(E58),0,IF((YEAR(D58)+7)&gt;YEAR(E58),1,(12-MONTH(E58)+1)/12))))-(IF(OR(N58="",N58&lt;=0),0,(O58/N58)*(IF(OR(N58="",N58&lt;=0),0,IF((YEAR(D58)+7)&lt;YEAR(E58),0,IF((YEAR(D58)+7)&gt;=YEAR(E58)+N58,0,IF((YEAR(D58)+7)=YEAR(E58),(12-MONTH(E58)+1)/12,1))))))))*TaxRate,0))-IF(7=0,O58,0))</f>
        <v/>
      </c>
      <c r="AA58" s="29">
        <f>IF(A58="","",((K58)*(IF(M58="",L58,IFERROR(IF(INDEX(Variablen!$I:$AT, MATCH(M58, Variablen!$A:$A, 0), MATCH((YEAR(D58)+8), Variablen!$I$3:$AT$3, 0))="",L58,INDEX(Variablen!$I:$AT, MATCH(M58, Variablen!$A:$A, 0), MATCH((YEAR(D58)+8), Variablen!$I$3:$AT$3, 0))),L58)))*(IF((YEAR(D58)+8)&lt;YEAR(E58),0,IF((YEAR(D58)+8)&gt;YEAR(E58),1,(12-MONTH(E58)+1)/12))) + (Q58)*(IF((YEAR(D58)+8)&lt;YEAR(E58),0,IF((YEAR(D58)+8)&gt;YEAR(E58),1,(12-MONTH(E58)+1)/12))))-((P58)*(IF((YEAR(D58)+8)&lt;YEAR(E58),0,IF((YEAR(D58)+8)&gt;YEAR(E58),1,(12-MONTH(E58)+1)/12))) + (R58)*(IF((YEAR(D58)+8)&lt;YEAR(E58),0,IF((YEAR(D58)+8)&gt;YEAR(E58),1,(12-MONTH(E58)+1)/12))))-(IF((((K58)*(IF(M58="",L58,IFERROR(IF(INDEX(Variablen!$I:$AT, MATCH(M58, Variablen!$A:$A, 0), MATCH((YEAR(D58)+8), Variablen!$I$3:$AT$3, 0))="",L58,INDEX(Variablen!$I:$AT, MATCH(M58, Variablen!$A:$A, 0), MATCH((YEAR(D58)+8), Variablen!$I$3:$AT$3, 0))),L58)))*(IF((YEAR(D58)+8)&lt;YEAR(E58),0,IF((YEAR(D58)+8)&gt;YEAR(E58),1,(12-MONTH(E58)+1)/12))) + (Q58)*(IF((YEAR(D58)+8)&lt;YEAR(E58),0,IF((YEAR(D58)+8)&gt;YEAR(E58),1,(12-MONTH(E58)+1)/12))))-((P58)*(IF((YEAR(D58)+8)&lt;YEAR(E58),0,IF((YEAR(D58)+8)&gt;YEAR(E58),1,(12-MONTH(E58)+1)/12))) + (R58)*(IF((YEAR(D58)+8)&lt;YEAR(E58),0,IF((YEAR(D58)+8)&gt;YEAR(E58),1,(12-MONTH(E58)+1)/12))))-(IF(OR(N58="",N58&lt;=0),0,(O58/N58)*(IF(OR(N58="",N58&lt;=0),0,IF((YEAR(D58)+8)&lt;YEAR(E58),0,IF((YEAR(D58)+8)&gt;=YEAR(E58)+N58,0,IF((YEAR(D58)+8)=YEAR(E58),(12-MONTH(E58)+1)/12,1))))))))&gt;0,(((K58)*(IF(M58="",L58,IFERROR(IF(INDEX(Variablen!$I:$AT, MATCH(M58, Variablen!$A:$A, 0), MATCH((YEAR(D58)+8), Variablen!$I$3:$AT$3, 0))="",L58,INDEX(Variablen!$I:$AT, MATCH(M58, Variablen!$A:$A, 0), MATCH((YEAR(D58)+8), Variablen!$I$3:$AT$3, 0))),L58)))*(IF((YEAR(D58)+8)&lt;YEAR(E58),0,IF((YEAR(D58)+8)&gt;YEAR(E58),1,(12-MONTH(E58)+1)/12))) + (Q58)*(IF((YEAR(D58)+8)&lt;YEAR(E58),0,IF((YEAR(D58)+8)&gt;YEAR(E58),1,(12-MONTH(E58)+1)/12))))-((P58)*(IF((YEAR(D58)+8)&lt;YEAR(E58),0,IF((YEAR(D58)+8)&gt;YEAR(E58),1,(12-MONTH(E58)+1)/12))) + (R58)*(IF((YEAR(D58)+8)&lt;YEAR(E58),0,IF((YEAR(D58)+8)&gt;YEAR(E58),1,(12-MONTH(E58)+1)/12))))-(IF(OR(N58="",N58&lt;=0),0,(O58/N58)*(IF(OR(N58="",N58&lt;=0),0,IF((YEAR(D58)+8)&lt;YEAR(E58),0,IF((YEAR(D58)+8)&gt;=YEAR(E58)+N58,0,IF((YEAR(D58)+8)=YEAR(E58),(12-MONTH(E58)+1)/12,1))))))))*TaxRate,0))-IF(8=0,O58,0))</f>
        <v/>
      </c>
      <c r="AB58" s="29">
        <f>IF(A58="","",((K58)*(IF(M58="",L58,IFERROR(IF(INDEX(Variablen!$I:$AT, MATCH(M58, Variablen!$A:$A, 0), MATCH((YEAR(D58)+9), Variablen!$I$3:$AT$3, 0))="",L58,INDEX(Variablen!$I:$AT, MATCH(M58, Variablen!$A:$A, 0), MATCH((YEAR(D58)+9), Variablen!$I$3:$AT$3, 0))),L58)))*(IF((YEAR(D58)+9)&lt;YEAR(E58),0,IF((YEAR(D58)+9)&gt;YEAR(E58),1,(12-MONTH(E58)+1)/12))) + (Q58)*(IF((YEAR(D58)+9)&lt;YEAR(E58),0,IF((YEAR(D58)+9)&gt;YEAR(E58),1,(12-MONTH(E58)+1)/12))))-((P58)*(IF((YEAR(D58)+9)&lt;YEAR(E58),0,IF((YEAR(D58)+9)&gt;YEAR(E58),1,(12-MONTH(E58)+1)/12))) + (R58)*(IF((YEAR(D58)+9)&lt;YEAR(E58),0,IF((YEAR(D58)+9)&gt;YEAR(E58),1,(12-MONTH(E58)+1)/12))))-(IF((((K58)*(IF(M58="",L58,IFERROR(IF(INDEX(Variablen!$I:$AT, MATCH(M58, Variablen!$A:$A, 0), MATCH((YEAR(D58)+9), Variablen!$I$3:$AT$3, 0))="",L58,INDEX(Variablen!$I:$AT, MATCH(M58, Variablen!$A:$A, 0), MATCH((YEAR(D58)+9), Variablen!$I$3:$AT$3, 0))),L58)))*(IF((YEAR(D58)+9)&lt;YEAR(E58),0,IF((YEAR(D58)+9)&gt;YEAR(E58),1,(12-MONTH(E58)+1)/12))) + (Q58)*(IF((YEAR(D58)+9)&lt;YEAR(E58),0,IF((YEAR(D58)+9)&gt;YEAR(E58),1,(12-MONTH(E58)+1)/12))))-((P58)*(IF((YEAR(D58)+9)&lt;YEAR(E58),0,IF((YEAR(D58)+9)&gt;YEAR(E58),1,(12-MONTH(E58)+1)/12))) + (R58)*(IF((YEAR(D58)+9)&lt;YEAR(E58),0,IF((YEAR(D58)+9)&gt;YEAR(E58),1,(12-MONTH(E58)+1)/12))))-(IF(OR(N58="",N58&lt;=0),0,(O58/N58)*(IF(OR(N58="",N58&lt;=0),0,IF((YEAR(D58)+9)&lt;YEAR(E58),0,IF((YEAR(D58)+9)&gt;=YEAR(E58)+N58,0,IF((YEAR(D58)+9)=YEAR(E58),(12-MONTH(E58)+1)/12,1))))))))&gt;0,(((K58)*(IF(M58="",L58,IFERROR(IF(INDEX(Variablen!$I:$AT, MATCH(M58, Variablen!$A:$A, 0), MATCH((YEAR(D58)+9), Variablen!$I$3:$AT$3, 0))="",L58,INDEX(Variablen!$I:$AT, MATCH(M58, Variablen!$A:$A, 0), MATCH((YEAR(D58)+9), Variablen!$I$3:$AT$3, 0))),L58)))*(IF((YEAR(D58)+9)&lt;YEAR(E58),0,IF((YEAR(D58)+9)&gt;YEAR(E58),1,(12-MONTH(E58)+1)/12))) + (Q58)*(IF((YEAR(D58)+9)&lt;YEAR(E58),0,IF((YEAR(D58)+9)&gt;YEAR(E58),1,(12-MONTH(E58)+1)/12))))-((P58)*(IF((YEAR(D58)+9)&lt;YEAR(E58),0,IF((YEAR(D58)+9)&gt;YEAR(E58),1,(12-MONTH(E58)+1)/12))) + (R58)*(IF((YEAR(D58)+9)&lt;YEAR(E58),0,IF((YEAR(D58)+9)&gt;YEAR(E58),1,(12-MONTH(E58)+1)/12))))-(IF(OR(N58="",N58&lt;=0),0,(O58/N58)*(IF(OR(N58="",N58&lt;=0),0,IF((YEAR(D58)+9)&lt;YEAR(E58),0,IF((YEAR(D58)+9)&gt;=YEAR(E58)+N58,0,IF((YEAR(D58)+9)=YEAR(E58),(12-MONTH(E58)+1)/12,1))))))))*TaxRate,0))-IF(9=0,O58,0))</f>
        <v/>
      </c>
      <c r="AC58" s="29">
        <f>IF(A58="","",((K58)*(IF(M58="",L58,IFERROR(IF(INDEX(Variablen!$I:$AT, MATCH(M58, Variablen!$A:$A, 0), MATCH((YEAR(D58)+10), Variablen!$I$3:$AT$3, 0))="",L58,INDEX(Variablen!$I:$AT, MATCH(M58, Variablen!$A:$A, 0), MATCH((YEAR(D58)+10), Variablen!$I$3:$AT$3, 0))),L58)))*(IF((YEAR(D58)+10)&lt;YEAR(E58),0,IF((YEAR(D58)+10)&gt;YEAR(E58),1,(12-MONTH(E58)+1)/12))) + (Q58)*(IF((YEAR(D58)+10)&lt;YEAR(E58),0,IF((YEAR(D58)+10)&gt;YEAR(E58),1,(12-MONTH(E58)+1)/12))))-((P58)*(IF((YEAR(D58)+10)&lt;YEAR(E58),0,IF((YEAR(D58)+10)&gt;YEAR(E58),1,(12-MONTH(E58)+1)/12))) + (R58)*(IF((YEAR(D58)+10)&lt;YEAR(E58),0,IF((YEAR(D58)+10)&gt;YEAR(E58),1,(12-MONTH(E58)+1)/12))))-(IF((((K58)*(IF(M58="",L58,IFERROR(IF(INDEX(Variablen!$I:$AT, MATCH(M58, Variablen!$A:$A, 0), MATCH((YEAR(D58)+10), Variablen!$I$3:$AT$3, 0))="",L58,INDEX(Variablen!$I:$AT, MATCH(M58, Variablen!$A:$A, 0), MATCH((YEAR(D58)+10), Variablen!$I$3:$AT$3, 0))),L58)))*(IF((YEAR(D58)+10)&lt;YEAR(E58),0,IF((YEAR(D58)+10)&gt;YEAR(E58),1,(12-MONTH(E58)+1)/12))) + (Q58)*(IF((YEAR(D58)+10)&lt;YEAR(E58),0,IF((YEAR(D58)+10)&gt;YEAR(E58),1,(12-MONTH(E58)+1)/12))))-((P58)*(IF((YEAR(D58)+10)&lt;YEAR(E58),0,IF((YEAR(D58)+10)&gt;YEAR(E58),1,(12-MONTH(E58)+1)/12))) + (R58)*(IF((YEAR(D58)+10)&lt;YEAR(E58),0,IF((YEAR(D58)+10)&gt;YEAR(E58),1,(12-MONTH(E58)+1)/12))))-(IF(OR(N58="",N58&lt;=0),0,(O58/N58)*(IF(OR(N58="",N58&lt;=0),0,IF((YEAR(D58)+10)&lt;YEAR(E58),0,IF((YEAR(D58)+10)&gt;=YEAR(E58)+N58,0,IF((YEAR(D58)+10)=YEAR(E58),(12-MONTH(E58)+1)/12,1))))))))&gt;0,(((K58)*(IF(M58="",L58,IFERROR(IF(INDEX(Variablen!$I:$AT, MATCH(M58, Variablen!$A:$A, 0), MATCH((YEAR(D58)+10), Variablen!$I$3:$AT$3, 0))="",L58,INDEX(Variablen!$I:$AT, MATCH(M58, Variablen!$A:$A, 0), MATCH((YEAR(D58)+10), Variablen!$I$3:$AT$3, 0))),L58)))*(IF((YEAR(D58)+10)&lt;YEAR(E58),0,IF((YEAR(D58)+10)&gt;YEAR(E58),1,(12-MONTH(E58)+1)/12))) + (Q58)*(IF((YEAR(D58)+10)&lt;YEAR(E58),0,IF((YEAR(D58)+10)&gt;YEAR(E58),1,(12-MONTH(E58)+1)/12))))-((P58)*(IF((YEAR(D58)+10)&lt;YEAR(E58),0,IF((YEAR(D58)+10)&gt;YEAR(E58),1,(12-MONTH(E58)+1)/12))) + (R58)*(IF((YEAR(D58)+10)&lt;YEAR(E58),0,IF((YEAR(D58)+10)&gt;YEAR(E58),1,(12-MONTH(E58)+1)/12))))-(IF(OR(N58="",N58&lt;=0),0,(O58/N58)*(IF(OR(N58="",N58&lt;=0),0,IF((YEAR(D58)+10)&lt;YEAR(E58),0,IF((YEAR(D58)+10)&gt;=YEAR(E58)+N58,0,IF((YEAR(D58)+10)=YEAR(E58),(12-MONTH(E58)+1)/12,1))))))))*TaxRate,0))-IF(10=0,O58,0))</f>
        <v/>
      </c>
      <c r="AD58" s="29">
        <f>IF(A58="","",((K58)*(IF(M58="",L58,IFERROR(IF(INDEX(Variablen!$I:$AT, MATCH(M58, Variablen!$A:$A, 0), MATCH((YEAR(D58)+11), Variablen!$I$3:$AT$3, 0))="",L58,INDEX(Variablen!$I:$AT, MATCH(M58, Variablen!$A:$A, 0), MATCH((YEAR(D58)+11), Variablen!$I$3:$AT$3, 0))),L58)))*(IF((YEAR(D58)+11)&lt;YEAR(E58),0,IF((YEAR(D58)+11)&gt;YEAR(E58),1,(12-MONTH(E58)+1)/12))) + (Q58)*(IF((YEAR(D58)+11)&lt;YEAR(E58),0,IF((YEAR(D58)+11)&gt;YEAR(E58),1,(12-MONTH(E58)+1)/12))))-((P58)*(IF((YEAR(D58)+11)&lt;YEAR(E58),0,IF((YEAR(D58)+11)&gt;YEAR(E58),1,(12-MONTH(E58)+1)/12))) + (R58)*(IF((YEAR(D58)+11)&lt;YEAR(E58),0,IF((YEAR(D58)+11)&gt;YEAR(E58),1,(12-MONTH(E58)+1)/12))))-(IF((((K58)*(IF(M58="",L58,IFERROR(IF(INDEX(Variablen!$I:$AT, MATCH(M58, Variablen!$A:$A, 0), MATCH((YEAR(D58)+11), Variablen!$I$3:$AT$3, 0))="",L58,INDEX(Variablen!$I:$AT, MATCH(M58, Variablen!$A:$A, 0), MATCH((YEAR(D58)+11), Variablen!$I$3:$AT$3, 0))),L58)))*(IF((YEAR(D58)+11)&lt;YEAR(E58),0,IF((YEAR(D58)+11)&gt;YEAR(E58),1,(12-MONTH(E58)+1)/12))) + (Q58)*(IF((YEAR(D58)+11)&lt;YEAR(E58),0,IF((YEAR(D58)+11)&gt;YEAR(E58),1,(12-MONTH(E58)+1)/12))))-((P58)*(IF((YEAR(D58)+11)&lt;YEAR(E58),0,IF((YEAR(D58)+11)&gt;YEAR(E58),1,(12-MONTH(E58)+1)/12))) + (R58)*(IF((YEAR(D58)+11)&lt;YEAR(E58),0,IF((YEAR(D58)+11)&gt;YEAR(E58),1,(12-MONTH(E58)+1)/12))))-(IF(OR(N58="",N58&lt;=0),0,(O58/N58)*(IF(OR(N58="",N58&lt;=0),0,IF((YEAR(D58)+11)&lt;YEAR(E58),0,IF((YEAR(D58)+11)&gt;=YEAR(E58)+N58,0,IF((YEAR(D58)+11)=YEAR(E58),(12-MONTH(E58)+1)/12,1))))))))&gt;0,(((K58)*(IF(M58="",L58,IFERROR(IF(INDEX(Variablen!$I:$AT, MATCH(M58, Variablen!$A:$A, 0), MATCH((YEAR(D58)+11), Variablen!$I$3:$AT$3, 0))="",L58,INDEX(Variablen!$I:$AT, MATCH(M58, Variablen!$A:$A, 0), MATCH((YEAR(D58)+11), Variablen!$I$3:$AT$3, 0))),L58)))*(IF((YEAR(D58)+11)&lt;YEAR(E58),0,IF((YEAR(D58)+11)&gt;YEAR(E58),1,(12-MONTH(E58)+1)/12))) + (Q58)*(IF((YEAR(D58)+11)&lt;YEAR(E58),0,IF((YEAR(D58)+11)&gt;YEAR(E58),1,(12-MONTH(E58)+1)/12))))-((P58)*(IF((YEAR(D58)+11)&lt;YEAR(E58),0,IF((YEAR(D58)+11)&gt;YEAR(E58),1,(12-MONTH(E58)+1)/12))) + (R58)*(IF((YEAR(D58)+11)&lt;YEAR(E58),0,IF((YEAR(D58)+11)&gt;YEAR(E58),1,(12-MONTH(E58)+1)/12))))-(IF(OR(N58="",N58&lt;=0),0,(O58/N58)*(IF(OR(N58="",N58&lt;=0),0,IF((YEAR(D58)+11)&lt;YEAR(E58),0,IF((YEAR(D58)+11)&gt;=YEAR(E58)+N58,0,IF((YEAR(D58)+11)=YEAR(E58),(12-MONTH(E58)+1)/12,1))))))))*TaxRate,0))-IF(11=0,O58,0))</f>
        <v/>
      </c>
      <c r="AE58" s="29">
        <f>IF(A58="","",((K58)*(IF(M58="",L58,IFERROR(IF(INDEX(Variablen!$I:$AT, MATCH(M58, Variablen!$A:$A, 0), MATCH((YEAR(D58)+12), Variablen!$I$3:$AT$3, 0))="",L58,INDEX(Variablen!$I:$AT, MATCH(M58, Variablen!$A:$A, 0), MATCH((YEAR(D58)+12), Variablen!$I$3:$AT$3, 0))),L58)))*(IF((YEAR(D58)+12)&lt;YEAR(E58),0,IF((YEAR(D58)+12)&gt;YEAR(E58),1,(12-MONTH(E58)+1)/12))) + (Q58)*(IF((YEAR(D58)+12)&lt;YEAR(E58),0,IF((YEAR(D58)+12)&gt;YEAR(E58),1,(12-MONTH(E58)+1)/12))))-((P58)*(IF((YEAR(D58)+12)&lt;YEAR(E58),0,IF((YEAR(D58)+12)&gt;YEAR(E58),1,(12-MONTH(E58)+1)/12))) + (R58)*(IF((YEAR(D58)+12)&lt;YEAR(E58),0,IF((YEAR(D58)+12)&gt;YEAR(E58),1,(12-MONTH(E58)+1)/12))))-(IF((((K58)*(IF(M58="",L58,IFERROR(IF(INDEX(Variablen!$I:$AT, MATCH(M58, Variablen!$A:$A, 0), MATCH((YEAR(D58)+12), Variablen!$I$3:$AT$3, 0))="",L58,INDEX(Variablen!$I:$AT, MATCH(M58, Variablen!$A:$A, 0), MATCH((YEAR(D58)+12), Variablen!$I$3:$AT$3, 0))),L58)))*(IF((YEAR(D58)+12)&lt;YEAR(E58),0,IF((YEAR(D58)+12)&gt;YEAR(E58),1,(12-MONTH(E58)+1)/12))) + (Q58)*(IF((YEAR(D58)+12)&lt;YEAR(E58),0,IF((YEAR(D58)+12)&gt;YEAR(E58),1,(12-MONTH(E58)+1)/12))))-((P58)*(IF((YEAR(D58)+12)&lt;YEAR(E58),0,IF((YEAR(D58)+12)&gt;YEAR(E58),1,(12-MONTH(E58)+1)/12))) + (R58)*(IF((YEAR(D58)+12)&lt;YEAR(E58),0,IF((YEAR(D58)+12)&gt;YEAR(E58),1,(12-MONTH(E58)+1)/12))))-(IF(OR(N58="",N58&lt;=0),0,(O58/N58)*(IF(OR(N58="",N58&lt;=0),0,IF((YEAR(D58)+12)&lt;YEAR(E58),0,IF((YEAR(D58)+12)&gt;=YEAR(E58)+N58,0,IF((YEAR(D58)+12)=YEAR(E58),(12-MONTH(E58)+1)/12,1))))))))&gt;0,(((K58)*(IF(M58="",L58,IFERROR(IF(INDEX(Variablen!$I:$AT, MATCH(M58, Variablen!$A:$A, 0), MATCH((YEAR(D58)+12), Variablen!$I$3:$AT$3, 0))="",L58,INDEX(Variablen!$I:$AT, MATCH(M58, Variablen!$A:$A, 0), MATCH((YEAR(D58)+12), Variablen!$I$3:$AT$3, 0))),L58)))*(IF((YEAR(D58)+12)&lt;YEAR(E58),0,IF((YEAR(D58)+12)&gt;YEAR(E58),1,(12-MONTH(E58)+1)/12))) + (Q58)*(IF((YEAR(D58)+12)&lt;YEAR(E58),0,IF((YEAR(D58)+12)&gt;YEAR(E58),1,(12-MONTH(E58)+1)/12))))-((P58)*(IF((YEAR(D58)+12)&lt;YEAR(E58),0,IF((YEAR(D58)+12)&gt;YEAR(E58),1,(12-MONTH(E58)+1)/12))) + (R58)*(IF((YEAR(D58)+12)&lt;YEAR(E58),0,IF((YEAR(D58)+12)&gt;YEAR(E58),1,(12-MONTH(E58)+1)/12))))-(IF(OR(N58="",N58&lt;=0),0,(O58/N58)*(IF(OR(N58="",N58&lt;=0),0,IF((YEAR(D58)+12)&lt;YEAR(E58),0,IF((YEAR(D58)+12)&gt;=YEAR(E58)+N58,0,IF((YEAR(D58)+12)=YEAR(E58),(12-MONTH(E58)+1)/12,1))))))))*TaxRate,0))-IF(12=0,O58,0))</f>
        <v/>
      </c>
      <c r="AF58" s="29">
        <f>IF(A58="","",((K58)*(IF(M58="",L58,IFERROR(IF(INDEX(Variablen!$I:$AT, MATCH(M58, Variablen!$A:$A, 0), MATCH((YEAR(D58)+13), Variablen!$I$3:$AT$3, 0))="",L58,INDEX(Variablen!$I:$AT, MATCH(M58, Variablen!$A:$A, 0), MATCH((YEAR(D58)+13), Variablen!$I$3:$AT$3, 0))),L58)))*(IF((YEAR(D58)+13)&lt;YEAR(E58),0,IF((YEAR(D58)+13)&gt;YEAR(E58),1,(12-MONTH(E58)+1)/12))) + (Q58)*(IF((YEAR(D58)+13)&lt;YEAR(E58),0,IF((YEAR(D58)+13)&gt;YEAR(E58),1,(12-MONTH(E58)+1)/12))))-((P58)*(IF((YEAR(D58)+13)&lt;YEAR(E58),0,IF((YEAR(D58)+13)&gt;YEAR(E58),1,(12-MONTH(E58)+1)/12))) + (R58)*(IF((YEAR(D58)+13)&lt;YEAR(E58),0,IF((YEAR(D58)+13)&gt;YEAR(E58),1,(12-MONTH(E58)+1)/12))))-(IF((((K58)*(IF(M58="",L58,IFERROR(IF(INDEX(Variablen!$I:$AT, MATCH(M58, Variablen!$A:$A, 0), MATCH((YEAR(D58)+13), Variablen!$I$3:$AT$3, 0))="",L58,INDEX(Variablen!$I:$AT, MATCH(M58, Variablen!$A:$A, 0), MATCH((YEAR(D58)+13), Variablen!$I$3:$AT$3, 0))),L58)))*(IF((YEAR(D58)+13)&lt;YEAR(E58),0,IF((YEAR(D58)+13)&gt;YEAR(E58),1,(12-MONTH(E58)+1)/12))) + (Q58)*(IF((YEAR(D58)+13)&lt;YEAR(E58),0,IF((YEAR(D58)+13)&gt;YEAR(E58),1,(12-MONTH(E58)+1)/12))))-((P58)*(IF((YEAR(D58)+13)&lt;YEAR(E58),0,IF((YEAR(D58)+13)&gt;YEAR(E58),1,(12-MONTH(E58)+1)/12))) + (R58)*(IF((YEAR(D58)+13)&lt;YEAR(E58),0,IF((YEAR(D58)+13)&gt;YEAR(E58),1,(12-MONTH(E58)+1)/12))))-(IF(OR(N58="",N58&lt;=0),0,(O58/N58)*(IF(OR(N58="",N58&lt;=0),0,IF((YEAR(D58)+13)&lt;YEAR(E58),0,IF((YEAR(D58)+13)&gt;=YEAR(E58)+N58,0,IF((YEAR(D58)+13)=YEAR(E58),(12-MONTH(E58)+1)/12,1))))))))&gt;0,(((K58)*(IF(M58="",L58,IFERROR(IF(INDEX(Variablen!$I:$AT, MATCH(M58, Variablen!$A:$A, 0), MATCH((YEAR(D58)+13), Variablen!$I$3:$AT$3, 0))="",L58,INDEX(Variablen!$I:$AT, MATCH(M58, Variablen!$A:$A, 0), MATCH((YEAR(D58)+13), Variablen!$I$3:$AT$3, 0))),L58)))*(IF((YEAR(D58)+13)&lt;YEAR(E58),0,IF((YEAR(D58)+13)&gt;YEAR(E58),1,(12-MONTH(E58)+1)/12))) + (Q58)*(IF((YEAR(D58)+13)&lt;YEAR(E58),0,IF((YEAR(D58)+13)&gt;YEAR(E58),1,(12-MONTH(E58)+1)/12))))-((P58)*(IF((YEAR(D58)+13)&lt;YEAR(E58),0,IF((YEAR(D58)+13)&gt;YEAR(E58),1,(12-MONTH(E58)+1)/12))) + (R58)*(IF((YEAR(D58)+13)&lt;YEAR(E58),0,IF((YEAR(D58)+13)&gt;YEAR(E58),1,(12-MONTH(E58)+1)/12))))-(IF(OR(N58="",N58&lt;=0),0,(O58/N58)*(IF(OR(N58="",N58&lt;=0),0,IF((YEAR(D58)+13)&lt;YEAR(E58),0,IF((YEAR(D58)+13)&gt;=YEAR(E58)+N58,0,IF((YEAR(D58)+13)=YEAR(E58),(12-MONTH(E58)+1)/12,1))))))))*TaxRate,0))-IF(13=0,O58,0))</f>
        <v/>
      </c>
      <c r="AG58" s="29">
        <f>IF(A58="","",((K58)*(IF(M58="",L58,IFERROR(IF(INDEX(Variablen!$I:$AT, MATCH(M58, Variablen!$A:$A, 0), MATCH((YEAR(D58)+14), Variablen!$I$3:$AT$3, 0))="",L58,INDEX(Variablen!$I:$AT, MATCH(M58, Variablen!$A:$A, 0), MATCH((YEAR(D58)+14), Variablen!$I$3:$AT$3, 0))),L58)))*(IF((YEAR(D58)+14)&lt;YEAR(E58),0,IF((YEAR(D58)+14)&gt;YEAR(E58),1,(12-MONTH(E58)+1)/12))) + (Q58)*(IF((YEAR(D58)+14)&lt;YEAR(E58),0,IF((YEAR(D58)+14)&gt;YEAR(E58),1,(12-MONTH(E58)+1)/12))))-((P58)*(IF((YEAR(D58)+14)&lt;YEAR(E58),0,IF((YEAR(D58)+14)&gt;YEAR(E58),1,(12-MONTH(E58)+1)/12))) + (R58)*(IF((YEAR(D58)+14)&lt;YEAR(E58),0,IF((YEAR(D58)+14)&gt;YEAR(E58),1,(12-MONTH(E58)+1)/12))))-(IF((((K58)*(IF(M58="",L58,IFERROR(IF(INDEX(Variablen!$I:$AT, MATCH(M58, Variablen!$A:$A, 0), MATCH((YEAR(D58)+14), Variablen!$I$3:$AT$3, 0))="",L58,INDEX(Variablen!$I:$AT, MATCH(M58, Variablen!$A:$A, 0), MATCH((YEAR(D58)+14), Variablen!$I$3:$AT$3, 0))),L58)))*(IF((YEAR(D58)+14)&lt;YEAR(E58),0,IF((YEAR(D58)+14)&gt;YEAR(E58),1,(12-MONTH(E58)+1)/12))) + (Q58)*(IF((YEAR(D58)+14)&lt;YEAR(E58),0,IF((YEAR(D58)+14)&gt;YEAR(E58),1,(12-MONTH(E58)+1)/12))))-((P58)*(IF((YEAR(D58)+14)&lt;YEAR(E58),0,IF((YEAR(D58)+14)&gt;YEAR(E58),1,(12-MONTH(E58)+1)/12))) + (R58)*(IF((YEAR(D58)+14)&lt;YEAR(E58),0,IF((YEAR(D58)+14)&gt;YEAR(E58),1,(12-MONTH(E58)+1)/12))))-(IF(OR(N58="",N58&lt;=0),0,(O58/N58)*(IF(OR(N58="",N58&lt;=0),0,IF((YEAR(D58)+14)&lt;YEAR(E58),0,IF((YEAR(D58)+14)&gt;=YEAR(E58)+N58,0,IF((YEAR(D58)+14)=YEAR(E58),(12-MONTH(E58)+1)/12,1))))))))&gt;0,(((K58)*(IF(M58="",L58,IFERROR(IF(INDEX(Variablen!$I:$AT, MATCH(M58, Variablen!$A:$A, 0), MATCH((YEAR(D58)+14), Variablen!$I$3:$AT$3, 0))="",L58,INDEX(Variablen!$I:$AT, MATCH(M58, Variablen!$A:$A, 0), MATCH((YEAR(D58)+14), Variablen!$I$3:$AT$3, 0))),L58)))*(IF((YEAR(D58)+14)&lt;YEAR(E58),0,IF((YEAR(D58)+14)&gt;YEAR(E58),1,(12-MONTH(E58)+1)/12))) + (Q58)*(IF((YEAR(D58)+14)&lt;YEAR(E58),0,IF((YEAR(D58)+14)&gt;YEAR(E58),1,(12-MONTH(E58)+1)/12))))-((P58)*(IF((YEAR(D58)+14)&lt;YEAR(E58),0,IF((YEAR(D58)+14)&gt;YEAR(E58),1,(12-MONTH(E58)+1)/12))) + (R58)*(IF((YEAR(D58)+14)&lt;YEAR(E58),0,IF((YEAR(D58)+14)&gt;YEAR(E58),1,(12-MONTH(E58)+1)/12))))-(IF(OR(N58="",N58&lt;=0),0,(O58/N58)*(IF(OR(N58="",N58&lt;=0),0,IF((YEAR(D58)+14)&lt;YEAR(E58),0,IF((YEAR(D58)+14)&gt;=YEAR(E58)+N58,0,IF((YEAR(D58)+14)=YEAR(E58),(12-MONTH(E58)+1)/12,1))))))))*TaxRate,0))-IF(14=0,O58,0))</f>
        <v/>
      </c>
      <c r="AH58" s="29">
        <f>IF(A58="","",((K58)*(IF(M58="",L58,IFERROR(IF(INDEX(Variablen!$I:$AT, MATCH(M58, Variablen!$A:$A, 0), MATCH((YEAR(D58)+15), Variablen!$I$3:$AT$3, 0))="",L58,INDEX(Variablen!$I:$AT, MATCH(M58, Variablen!$A:$A, 0), MATCH((YEAR(D58)+15), Variablen!$I$3:$AT$3, 0))),L58)))*(IF((YEAR(D58)+15)&lt;YEAR(E58),0,IF((YEAR(D58)+15)&gt;YEAR(E58),1,(12-MONTH(E58)+1)/12))) + (Q58)*(IF((YEAR(D58)+15)&lt;YEAR(E58),0,IF((YEAR(D58)+15)&gt;YEAR(E58),1,(12-MONTH(E58)+1)/12))))-((P58)*(IF((YEAR(D58)+15)&lt;YEAR(E58),0,IF((YEAR(D58)+15)&gt;YEAR(E58),1,(12-MONTH(E58)+1)/12))) + (R58)*(IF((YEAR(D58)+15)&lt;YEAR(E58),0,IF((YEAR(D58)+15)&gt;YEAR(E58),1,(12-MONTH(E58)+1)/12))))-(IF((((K58)*(IF(M58="",L58,IFERROR(IF(INDEX(Variablen!$I:$AT, MATCH(M58, Variablen!$A:$A, 0), MATCH((YEAR(D58)+15), Variablen!$I$3:$AT$3, 0))="",L58,INDEX(Variablen!$I:$AT, MATCH(M58, Variablen!$A:$A, 0), MATCH((YEAR(D58)+15), Variablen!$I$3:$AT$3, 0))),L58)))*(IF((YEAR(D58)+15)&lt;YEAR(E58),0,IF((YEAR(D58)+15)&gt;YEAR(E58),1,(12-MONTH(E58)+1)/12))) + (Q58)*(IF((YEAR(D58)+15)&lt;YEAR(E58),0,IF((YEAR(D58)+15)&gt;YEAR(E58),1,(12-MONTH(E58)+1)/12))))-((P58)*(IF((YEAR(D58)+15)&lt;YEAR(E58),0,IF((YEAR(D58)+15)&gt;YEAR(E58),1,(12-MONTH(E58)+1)/12))) + (R58)*(IF((YEAR(D58)+15)&lt;YEAR(E58),0,IF((YEAR(D58)+15)&gt;YEAR(E58),1,(12-MONTH(E58)+1)/12))))-(IF(OR(N58="",N58&lt;=0),0,(O58/N58)*(IF(OR(N58="",N58&lt;=0),0,IF((YEAR(D58)+15)&lt;YEAR(E58),0,IF((YEAR(D58)+15)&gt;=YEAR(E58)+N58,0,IF((YEAR(D58)+15)=YEAR(E58),(12-MONTH(E58)+1)/12,1))))))))&gt;0,(((K58)*(IF(M58="",L58,IFERROR(IF(INDEX(Variablen!$I:$AT, MATCH(M58, Variablen!$A:$A, 0), MATCH((YEAR(D58)+15), Variablen!$I$3:$AT$3, 0))="",L58,INDEX(Variablen!$I:$AT, MATCH(M58, Variablen!$A:$A, 0), MATCH((YEAR(D58)+15), Variablen!$I$3:$AT$3, 0))),L58)))*(IF((YEAR(D58)+15)&lt;YEAR(E58),0,IF((YEAR(D58)+15)&gt;YEAR(E58),1,(12-MONTH(E58)+1)/12))) + (Q58)*(IF((YEAR(D58)+15)&lt;YEAR(E58),0,IF((YEAR(D58)+15)&gt;YEAR(E58),1,(12-MONTH(E58)+1)/12))))-((P58)*(IF((YEAR(D58)+15)&lt;YEAR(E58),0,IF((YEAR(D58)+15)&gt;YEAR(E58),1,(12-MONTH(E58)+1)/12))) + (R58)*(IF((YEAR(D58)+15)&lt;YEAR(E58),0,IF((YEAR(D58)+15)&gt;YEAR(E58),1,(12-MONTH(E58)+1)/12))))-(IF(OR(N58="",N58&lt;=0),0,(O58/N58)*(IF(OR(N58="",N58&lt;=0),0,IF((YEAR(D58)+15)&lt;YEAR(E58),0,IF((YEAR(D58)+15)&gt;=YEAR(E58)+N58,0,IF((YEAR(D58)+15)=YEAR(E58),(12-MONTH(E58)+1)/12,1))))))))*TaxRate,0))-IF(15=0,O58,0))</f>
        <v/>
      </c>
      <c r="AI58" s="29">
        <f>IF(A58="","",((K58)*(IF(M58="",L58,IFERROR(IF(INDEX(Variablen!$I:$AT, MATCH(M58, Variablen!$A:$A, 0), MATCH((YEAR(D58)+16), Variablen!$I$3:$AT$3, 0))="",L58,INDEX(Variablen!$I:$AT, MATCH(M58, Variablen!$A:$A, 0), MATCH((YEAR(D58)+16), Variablen!$I$3:$AT$3, 0))),L58)))*(IF((YEAR(D58)+16)&lt;YEAR(E58),0,IF((YEAR(D58)+16)&gt;YEAR(E58),1,(12-MONTH(E58)+1)/12))) + (Q58)*(IF((YEAR(D58)+16)&lt;YEAR(E58),0,IF((YEAR(D58)+16)&gt;YEAR(E58),1,(12-MONTH(E58)+1)/12))))-((P58)*(IF((YEAR(D58)+16)&lt;YEAR(E58),0,IF((YEAR(D58)+16)&gt;YEAR(E58),1,(12-MONTH(E58)+1)/12))) + (R58)*(IF((YEAR(D58)+16)&lt;YEAR(E58),0,IF((YEAR(D58)+16)&gt;YEAR(E58),1,(12-MONTH(E58)+1)/12))))-(IF((((K58)*(IF(M58="",L58,IFERROR(IF(INDEX(Variablen!$I:$AT, MATCH(M58, Variablen!$A:$A, 0), MATCH((YEAR(D58)+16), Variablen!$I$3:$AT$3, 0))="",L58,INDEX(Variablen!$I:$AT, MATCH(M58, Variablen!$A:$A, 0), MATCH((YEAR(D58)+16), Variablen!$I$3:$AT$3, 0))),L58)))*(IF((YEAR(D58)+16)&lt;YEAR(E58),0,IF((YEAR(D58)+16)&gt;YEAR(E58),1,(12-MONTH(E58)+1)/12))) + (Q58)*(IF((YEAR(D58)+16)&lt;YEAR(E58),0,IF((YEAR(D58)+16)&gt;YEAR(E58),1,(12-MONTH(E58)+1)/12))))-((P58)*(IF((YEAR(D58)+16)&lt;YEAR(E58),0,IF((YEAR(D58)+16)&gt;YEAR(E58),1,(12-MONTH(E58)+1)/12))) + (R58)*(IF((YEAR(D58)+16)&lt;YEAR(E58),0,IF((YEAR(D58)+16)&gt;YEAR(E58),1,(12-MONTH(E58)+1)/12))))-(IF(OR(N58="",N58&lt;=0),0,(O58/N58)*(IF(OR(N58="",N58&lt;=0),0,IF((YEAR(D58)+16)&lt;YEAR(E58),0,IF((YEAR(D58)+16)&gt;=YEAR(E58)+N58,0,IF((YEAR(D58)+16)=YEAR(E58),(12-MONTH(E58)+1)/12,1))))))))&gt;0,(((K58)*(IF(M58="",L58,IFERROR(IF(INDEX(Variablen!$I:$AT, MATCH(M58, Variablen!$A:$A, 0), MATCH((YEAR(D58)+16), Variablen!$I$3:$AT$3, 0))="",L58,INDEX(Variablen!$I:$AT, MATCH(M58, Variablen!$A:$A, 0), MATCH((YEAR(D58)+16), Variablen!$I$3:$AT$3, 0))),L58)))*(IF((YEAR(D58)+16)&lt;YEAR(E58),0,IF((YEAR(D58)+16)&gt;YEAR(E58),1,(12-MONTH(E58)+1)/12))) + (Q58)*(IF((YEAR(D58)+16)&lt;YEAR(E58),0,IF((YEAR(D58)+16)&gt;YEAR(E58),1,(12-MONTH(E58)+1)/12))))-((P58)*(IF((YEAR(D58)+16)&lt;YEAR(E58),0,IF((YEAR(D58)+16)&gt;YEAR(E58),1,(12-MONTH(E58)+1)/12))) + (R58)*(IF((YEAR(D58)+16)&lt;YEAR(E58),0,IF((YEAR(D58)+16)&gt;YEAR(E58),1,(12-MONTH(E58)+1)/12))))-(IF(OR(N58="",N58&lt;=0),0,(O58/N58)*(IF(OR(N58="",N58&lt;=0),0,IF((YEAR(D58)+16)&lt;YEAR(E58),0,IF((YEAR(D58)+16)&gt;=YEAR(E58)+N58,0,IF((YEAR(D58)+16)=YEAR(E58),(12-MONTH(E58)+1)/12,1))))))))*TaxRate,0))-IF(16=0,O58,0))</f>
        <v/>
      </c>
      <c r="AJ58" s="29">
        <f>IF(A58="","",((K58)*(IF(M58="",L58,IFERROR(IF(INDEX(Variablen!$I:$AT, MATCH(M58, Variablen!$A:$A, 0), MATCH((YEAR(D58)+17), Variablen!$I$3:$AT$3, 0))="",L58,INDEX(Variablen!$I:$AT, MATCH(M58, Variablen!$A:$A, 0), MATCH((YEAR(D58)+17), Variablen!$I$3:$AT$3, 0))),L58)))*(IF((YEAR(D58)+17)&lt;YEAR(E58),0,IF((YEAR(D58)+17)&gt;YEAR(E58),1,(12-MONTH(E58)+1)/12))) + (Q58)*(IF((YEAR(D58)+17)&lt;YEAR(E58),0,IF((YEAR(D58)+17)&gt;YEAR(E58),1,(12-MONTH(E58)+1)/12))))-((P58)*(IF((YEAR(D58)+17)&lt;YEAR(E58),0,IF((YEAR(D58)+17)&gt;YEAR(E58),1,(12-MONTH(E58)+1)/12))) + (R58)*(IF((YEAR(D58)+17)&lt;YEAR(E58),0,IF((YEAR(D58)+17)&gt;YEAR(E58),1,(12-MONTH(E58)+1)/12))))-(IF((((K58)*(IF(M58="",L58,IFERROR(IF(INDEX(Variablen!$I:$AT, MATCH(M58, Variablen!$A:$A, 0), MATCH((YEAR(D58)+17), Variablen!$I$3:$AT$3, 0))="",L58,INDEX(Variablen!$I:$AT, MATCH(M58, Variablen!$A:$A, 0), MATCH((YEAR(D58)+17), Variablen!$I$3:$AT$3, 0))),L58)))*(IF((YEAR(D58)+17)&lt;YEAR(E58),0,IF((YEAR(D58)+17)&gt;YEAR(E58),1,(12-MONTH(E58)+1)/12))) + (Q58)*(IF((YEAR(D58)+17)&lt;YEAR(E58),0,IF((YEAR(D58)+17)&gt;YEAR(E58),1,(12-MONTH(E58)+1)/12))))-((P58)*(IF((YEAR(D58)+17)&lt;YEAR(E58),0,IF((YEAR(D58)+17)&gt;YEAR(E58),1,(12-MONTH(E58)+1)/12))) + (R58)*(IF((YEAR(D58)+17)&lt;YEAR(E58),0,IF((YEAR(D58)+17)&gt;YEAR(E58),1,(12-MONTH(E58)+1)/12))))-(IF(OR(N58="",N58&lt;=0),0,(O58/N58)*(IF(OR(N58="",N58&lt;=0),0,IF((YEAR(D58)+17)&lt;YEAR(E58),0,IF((YEAR(D58)+17)&gt;=YEAR(E58)+N58,0,IF((YEAR(D58)+17)=YEAR(E58),(12-MONTH(E58)+1)/12,1))))))))&gt;0,(((K58)*(IF(M58="",L58,IFERROR(IF(INDEX(Variablen!$I:$AT, MATCH(M58, Variablen!$A:$A, 0), MATCH((YEAR(D58)+17), Variablen!$I$3:$AT$3, 0))="",L58,INDEX(Variablen!$I:$AT, MATCH(M58, Variablen!$A:$A, 0), MATCH((YEAR(D58)+17), Variablen!$I$3:$AT$3, 0))),L58)))*(IF((YEAR(D58)+17)&lt;YEAR(E58),0,IF((YEAR(D58)+17)&gt;YEAR(E58),1,(12-MONTH(E58)+1)/12))) + (Q58)*(IF((YEAR(D58)+17)&lt;YEAR(E58),0,IF((YEAR(D58)+17)&gt;YEAR(E58),1,(12-MONTH(E58)+1)/12))))-((P58)*(IF((YEAR(D58)+17)&lt;YEAR(E58),0,IF((YEAR(D58)+17)&gt;YEAR(E58),1,(12-MONTH(E58)+1)/12))) + (R58)*(IF((YEAR(D58)+17)&lt;YEAR(E58),0,IF((YEAR(D58)+17)&gt;YEAR(E58),1,(12-MONTH(E58)+1)/12))))-(IF(OR(N58="",N58&lt;=0),0,(O58/N58)*(IF(OR(N58="",N58&lt;=0),0,IF((YEAR(D58)+17)&lt;YEAR(E58),0,IF((YEAR(D58)+17)&gt;=YEAR(E58)+N58,0,IF((YEAR(D58)+17)=YEAR(E58),(12-MONTH(E58)+1)/12,1))))))))*TaxRate,0))-IF(17=0,O58,0))</f>
        <v/>
      </c>
      <c r="AK58" s="29">
        <f>IF(A58="","",((K58)*(IF(M58="",L58,IFERROR(IF(INDEX(Variablen!$I:$AT, MATCH(M58, Variablen!$A:$A, 0), MATCH((YEAR(D58)+18), Variablen!$I$3:$AT$3, 0))="",L58,INDEX(Variablen!$I:$AT, MATCH(M58, Variablen!$A:$A, 0), MATCH((YEAR(D58)+18), Variablen!$I$3:$AT$3, 0))),L58)))*(IF((YEAR(D58)+18)&lt;YEAR(E58),0,IF((YEAR(D58)+18)&gt;YEAR(E58),1,(12-MONTH(E58)+1)/12))) + (Q58)*(IF((YEAR(D58)+18)&lt;YEAR(E58),0,IF((YEAR(D58)+18)&gt;YEAR(E58),1,(12-MONTH(E58)+1)/12))))-((P58)*(IF((YEAR(D58)+18)&lt;YEAR(E58),0,IF((YEAR(D58)+18)&gt;YEAR(E58),1,(12-MONTH(E58)+1)/12))) + (R58)*(IF((YEAR(D58)+18)&lt;YEAR(E58),0,IF((YEAR(D58)+18)&gt;YEAR(E58),1,(12-MONTH(E58)+1)/12))))-(IF((((K58)*(IF(M58="",L58,IFERROR(IF(INDEX(Variablen!$I:$AT, MATCH(M58, Variablen!$A:$A, 0), MATCH((YEAR(D58)+18), Variablen!$I$3:$AT$3, 0))="",L58,INDEX(Variablen!$I:$AT, MATCH(M58, Variablen!$A:$A, 0), MATCH((YEAR(D58)+18), Variablen!$I$3:$AT$3, 0))),L58)))*(IF((YEAR(D58)+18)&lt;YEAR(E58),0,IF((YEAR(D58)+18)&gt;YEAR(E58),1,(12-MONTH(E58)+1)/12))) + (Q58)*(IF((YEAR(D58)+18)&lt;YEAR(E58),0,IF((YEAR(D58)+18)&gt;YEAR(E58),1,(12-MONTH(E58)+1)/12))))-((P58)*(IF((YEAR(D58)+18)&lt;YEAR(E58),0,IF((YEAR(D58)+18)&gt;YEAR(E58),1,(12-MONTH(E58)+1)/12))) + (R58)*(IF((YEAR(D58)+18)&lt;YEAR(E58),0,IF((YEAR(D58)+18)&gt;YEAR(E58),1,(12-MONTH(E58)+1)/12))))-(IF(OR(N58="",N58&lt;=0),0,(O58/N58)*(IF(OR(N58="",N58&lt;=0),0,IF((YEAR(D58)+18)&lt;YEAR(E58),0,IF((YEAR(D58)+18)&gt;=YEAR(E58)+N58,0,IF((YEAR(D58)+18)=YEAR(E58),(12-MONTH(E58)+1)/12,1))))))))&gt;0,(((K58)*(IF(M58="",L58,IFERROR(IF(INDEX(Variablen!$I:$AT, MATCH(M58, Variablen!$A:$A, 0), MATCH((YEAR(D58)+18), Variablen!$I$3:$AT$3, 0))="",L58,INDEX(Variablen!$I:$AT, MATCH(M58, Variablen!$A:$A, 0), MATCH((YEAR(D58)+18), Variablen!$I$3:$AT$3, 0))),L58)))*(IF((YEAR(D58)+18)&lt;YEAR(E58),0,IF((YEAR(D58)+18)&gt;YEAR(E58),1,(12-MONTH(E58)+1)/12))) + (Q58)*(IF((YEAR(D58)+18)&lt;YEAR(E58),0,IF((YEAR(D58)+18)&gt;YEAR(E58),1,(12-MONTH(E58)+1)/12))))-((P58)*(IF((YEAR(D58)+18)&lt;YEAR(E58),0,IF((YEAR(D58)+18)&gt;YEAR(E58),1,(12-MONTH(E58)+1)/12))) + (R58)*(IF((YEAR(D58)+18)&lt;YEAR(E58),0,IF((YEAR(D58)+18)&gt;YEAR(E58),1,(12-MONTH(E58)+1)/12))))-(IF(OR(N58="",N58&lt;=0),0,(O58/N58)*(IF(OR(N58="",N58&lt;=0),0,IF((YEAR(D58)+18)&lt;YEAR(E58),0,IF((YEAR(D58)+18)&gt;=YEAR(E58)+N58,0,IF((YEAR(D58)+18)=YEAR(E58),(12-MONTH(E58)+1)/12,1))))))))*TaxRate,0))-IF(18=0,O58,0))</f>
        <v/>
      </c>
      <c r="AL58" s="29">
        <f>IF(A58="","",((K58)*(IF(M58="",L58,IFERROR(IF(INDEX(Variablen!$I:$AT, MATCH(M58, Variablen!$A:$A, 0), MATCH((YEAR(D58)+19), Variablen!$I$3:$AT$3, 0))="",L58,INDEX(Variablen!$I:$AT, MATCH(M58, Variablen!$A:$A, 0), MATCH((YEAR(D58)+19), Variablen!$I$3:$AT$3, 0))),L58)))*(IF((YEAR(D58)+19)&lt;YEAR(E58),0,IF((YEAR(D58)+19)&gt;YEAR(E58),1,(12-MONTH(E58)+1)/12))) + (Q58)*(IF((YEAR(D58)+19)&lt;YEAR(E58),0,IF((YEAR(D58)+19)&gt;YEAR(E58),1,(12-MONTH(E58)+1)/12))))-((P58)*(IF((YEAR(D58)+19)&lt;YEAR(E58),0,IF((YEAR(D58)+19)&gt;YEAR(E58),1,(12-MONTH(E58)+1)/12))) + (R58)*(IF((YEAR(D58)+19)&lt;YEAR(E58),0,IF((YEAR(D58)+19)&gt;YEAR(E58),1,(12-MONTH(E58)+1)/12))))-(IF((((K58)*(IF(M58="",L58,IFERROR(IF(INDEX(Variablen!$I:$AT, MATCH(M58, Variablen!$A:$A, 0), MATCH((YEAR(D58)+19), Variablen!$I$3:$AT$3, 0))="",L58,INDEX(Variablen!$I:$AT, MATCH(M58, Variablen!$A:$A, 0), MATCH((YEAR(D58)+19), Variablen!$I$3:$AT$3, 0))),L58)))*(IF((YEAR(D58)+19)&lt;YEAR(E58),0,IF((YEAR(D58)+19)&gt;YEAR(E58),1,(12-MONTH(E58)+1)/12))) + (Q58)*(IF((YEAR(D58)+19)&lt;YEAR(E58),0,IF((YEAR(D58)+19)&gt;YEAR(E58),1,(12-MONTH(E58)+1)/12))))-((P58)*(IF((YEAR(D58)+19)&lt;YEAR(E58),0,IF((YEAR(D58)+19)&gt;YEAR(E58),1,(12-MONTH(E58)+1)/12))) + (R58)*(IF((YEAR(D58)+19)&lt;YEAR(E58),0,IF((YEAR(D58)+19)&gt;YEAR(E58),1,(12-MONTH(E58)+1)/12))))-(IF(OR(N58="",N58&lt;=0),0,(O58/N58)*(IF(OR(N58="",N58&lt;=0),0,IF((YEAR(D58)+19)&lt;YEAR(E58),0,IF((YEAR(D58)+19)&gt;=YEAR(E58)+N58,0,IF((YEAR(D58)+19)=YEAR(E58),(12-MONTH(E58)+1)/12,1))))))))&gt;0,(((K58)*(IF(M58="",L58,IFERROR(IF(INDEX(Variablen!$I:$AT, MATCH(M58, Variablen!$A:$A, 0), MATCH((YEAR(D58)+19), Variablen!$I$3:$AT$3, 0))="",L58,INDEX(Variablen!$I:$AT, MATCH(M58, Variablen!$A:$A, 0), MATCH((YEAR(D58)+19), Variablen!$I$3:$AT$3, 0))),L58)))*(IF((YEAR(D58)+19)&lt;YEAR(E58),0,IF((YEAR(D58)+19)&gt;YEAR(E58),1,(12-MONTH(E58)+1)/12))) + (Q58)*(IF((YEAR(D58)+19)&lt;YEAR(E58),0,IF((YEAR(D58)+19)&gt;YEAR(E58),1,(12-MONTH(E58)+1)/12))))-((P58)*(IF((YEAR(D58)+19)&lt;YEAR(E58),0,IF((YEAR(D58)+19)&gt;YEAR(E58),1,(12-MONTH(E58)+1)/12))) + (R58)*(IF((YEAR(D58)+19)&lt;YEAR(E58),0,IF((YEAR(D58)+19)&gt;YEAR(E58),1,(12-MONTH(E58)+1)/12))))-(IF(OR(N58="",N58&lt;=0),0,(O58/N58)*(IF(OR(N58="",N58&lt;=0),0,IF((YEAR(D58)+19)&lt;YEAR(E58),0,IF((YEAR(D58)+19)&gt;=YEAR(E58)+N58,0,IF((YEAR(D58)+19)=YEAR(E58),(12-MONTH(E58)+1)/12,1))))))))*TaxRate,0))-IF(19=0,O58,0))</f>
        <v/>
      </c>
      <c r="AM58" s="29">
        <f>IF(A58="","",((K58)*(IF(M58="",L58,IFERROR(IF(INDEX(Variablen!$I:$AT, MATCH(M58, Variablen!$A:$A, 0), MATCH((YEAR(D58)+20), Variablen!$I$3:$AT$3, 0))="",L58,INDEX(Variablen!$I:$AT, MATCH(M58, Variablen!$A:$A, 0), MATCH((YEAR(D58)+20), Variablen!$I$3:$AT$3, 0))),L58)))*(IF((YEAR(D58)+20)&lt;YEAR(E58),0,IF((YEAR(D58)+20)&gt;YEAR(E58),1,(12-MONTH(E58)+1)/12))) + (Q58)*(IF((YEAR(D58)+20)&lt;YEAR(E58),0,IF((YEAR(D58)+20)&gt;YEAR(E58),1,(12-MONTH(E58)+1)/12))))-((P58)*(IF((YEAR(D58)+20)&lt;YEAR(E58),0,IF((YEAR(D58)+20)&gt;YEAR(E58),1,(12-MONTH(E58)+1)/12))) + (R58)*(IF((YEAR(D58)+20)&lt;YEAR(E58),0,IF((YEAR(D58)+20)&gt;YEAR(E58),1,(12-MONTH(E58)+1)/12))))-(IF((((K58)*(IF(M58="",L58,IFERROR(IF(INDEX(Variablen!$I:$AT, MATCH(M58, Variablen!$A:$A, 0), MATCH((YEAR(D58)+20), Variablen!$I$3:$AT$3, 0))="",L58,INDEX(Variablen!$I:$AT, MATCH(M58, Variablen!$A:$A, 0), MATCH((YEAR(D58)+20), Variablen!$I$3:$AT$3, 0))),L58)))*(IF((YEAR(D58)+20)&lt;YEAR(E58),0,IF((YEAR(D58)+20)&gt;YEAR(E58),1,(12-MONTH(E58)+1)/12))) + (Q58)*(IF((YEAR(D58)+20)&lt;YEAR(E58),0,IF((YEAR(D58)+20)&gt;YEAR(E58),1,(12-MONTH(E58)+1)/12))))-((P58)*(IF((YEAR(D58)+20)&lt;YEAR(E58),0,IF((YEAR(D58)+20)&gt;YEAR(E58),1,(12-MONTH(E58)+1)/12))) + (R58)*(IF((YEAR(D58)+20)&lt;YEAR(E58),0,IF((YEAR(D58)+20)&gt;YEAR(E58),1,(12-MONTH(E58)+1)/12))))-(IF(OR(N58="",N58&lt;=0),0,(O58/N58)*(IF(OR(N58="",N58&lt;=0),0,IF((YEAR(D58)+20)&lt;YEAR(E58),0,IF((YEAR(D58)+20)&gt;=YEAR(E58)+N58,0,IF((YEAR(D58)+20)=YEAR(E58),(12-MONTH(E58)+1)/12,1))))))))&gt;0,(((K58)*(IF(M58="",L58,IFERROR(IF(INDEX(Variablen!$I:$AT, MATCH(M58, Variablen!$A:$A, 0), MATCH((YEAR(D58)+20), Variablen!$I$3:$AT$3, 0))="",L58,INDEX(Variablen!$I:$AT, MATCH(M58, Variablen!$A:$A, 0), MATCH((YEAR(D58)+20), Variablen!$I$3:$AT$3, 0))),L58)))*(IF((YEAR(D58)+20)&lt;YEAR(E58),0,IF((YEAR(D58)+20)&gt;YEAR(E58),1,(12-MONTH(E58)+1)/12))) + (Q58)*(IF((YEAR(D58)+20)&lt;YEAR(E58),0,IF((YEAR(D58)+20)&gt;YEAR(E58),1,(12-MONTH(E58)+1)/12))))-((P58)*(IF((YEAR(D58)+20)&lt;YEAR(E58),0,IF((YEAR(D58)+20)&gt;YEAR(E58),1,(12-MONTH(E58)+1)/12))) + (R58)*(IF((YEAR(D58)+20)&lt;YEAR(E58),0,IF((YEAR(D58)+20)&gt;YEAR(E58),1,(12-MONTH(E58)+1)/12))))-(IF(OR(N58="",N58&lt;=0),0,(O58/N58)*(IF(OR(N58="",N58&lt;=0),0,IF((YEAR(D58)+20)&lt;YEAR(E58),0,IF((YEAR(D58)+20)&gt;=YEAR(E58)+N58,0,IF((YEAR(D58)+20)=YEAR(E58),(12-MONTH(E58)+1)/12,1))))))))*TaxRate,0))-IF(20=0,O58,0))</f>
        <v/>
      </c>
      <c r="AN58" s="29">
        <f>IF(A58="","",S58)</f>
        <v/>
      </c>
      <c r="AO58" s="29">
        <f>IF(A58="","",AN58+T58)</f>
        <v/>
      </c>
      <c r="AP58" s="29">
        <f>IF(A58="","",AO58+U58)</f>
        <v/>
      </c>
      <c r="AQ58" s="29">
        <f>IF(A58="","",AP58+V58)</f>
        <v/>
      </c>
      <c r="AR58" s="29">
        <f>IF(A58="","",AQ58+W58)</f>
        <v/>
      </c>
      <c r="AS58" s="29">
        <f>IF(A58="","",AR58+X58)</f>
        <v/>
      </c>
      <c r="AT58" s="29">
        <f>IF(A58="","",AS58+Y58)</f>
        <v/>
      </c>
      <c r="AU58" s="29">
        <f>IF(A58="","",AT58+Z58)</f>
        <v/>
      </c>
      <c r="AV58" s="29">
        <f>IF(A58="","",AU58+AA58)</f>
        <v/>
      </c>
      <c r="AW58" s="29">
        <f>IF(A58="","",AV58+AB58)</f>
        <v/>
      </c>
      <c r="AX58" s="29">
        <f>IF(A58="","",AW58+AC58)</f>
        <v/>
      </c>
      <c r="AY58" s="29">
        <f>IF(A58="","",AX58+AD58)</f>
        <v/>
      </c>
      <c r="AZ58" s="29">
        <f>IF(A58="","",AY58+AE58)</f>
        <v/>
      </c>
      <c r="BA58" s="29">
        <f>IF(A58="","",AZ58+AF58)</f>
        <v/>
      </c>
      <c r="BB58" s="29">
        <f>IF(A58="","",BA58+AG58)</f>
        <v/>
      </c>
      <c r="BC58" s="29">
        <f>IF(A58="","",BB58+AH58)</f>
        <v/>
      </c>
      <c r="BD58" s="29">
        <f>IF(A58="","",BC58+AI58)</f>
        <v/>
      </c>
      <c r="BE58" s="29">
        <f>IF(A58="","",BD58+AJ58)</f>
        <v/>
      </c>
      <c r="BF58" s="29">
        <f>IF(A58="","",BE58+AK58)</f>
        <v/>
      </c>
      <c r="BG58" s="29">
        <f>IF(A58="","",BF58+AL58)</f>
        <v/>
      </c>
      <c r="BH58" s="29">
        <f>IF(A58="","",BG58+AM58)</f>
        <v/>
      </c>
      <c r="BI58" s="36">
        <f>IF(A58="","",(K58)*(IF((YEAR(D58)+0)&lt;YEAR(E58),0,IF((YEAR(D58)+0)&gt;YEAR(E58),1,(12-MONTH(E58)+1)/12)))*(1/(1+DiscountRate)^0))</f>
        <v/>
      </c>
      <c r="BJ58" s="36">
        <f>IF(A58="","",(K58)*(IF((YEAR(D58)+1)&lt;YEAR(E58),0,IF((YEAR(D58)+1)&gt;YEAR(E58),1,(12-MONTH(E58)+1)/12)))*(1/(1+DiscountRate)^1))</f>
        <v/>
      </c>
      <c r="BK58" s="36">
        <f>IF(A58="","",(K58)*(IF((YEAR(D58)+2)&lt;YEAR(E58),0,IF((YEAR(D58)+2)&gt;YEAR(E58),1,(12-MONTH(E58)+1)/12)))*(1/(1+DiscountRate)^2))</f>
        <v/>
      </c>
      <c r="BL58" s="36">
        <f>IF(A58="","",(K58)*(IF((YEAR(D58)+3)&lt;YEAR(E58),0,IF((YEAR(D58)+3)&gt;YEAR(E58),1,(12-MONTH(E58)+1)/12)))*(1/(1+DiscountRate)^3))</f>
        <v/>
      </c>
      <c r="BM58" s="36">
        <f>IF(A58="","",(K58)*(IF((YEAR(D58)+4)&lt;YEAR(E58),0,IF((YEAR(D58)+4)&gt;YEAR(E58),1,(12-MONTH(E58)+1)/12)))*(1/(1+DiscountRate)^4))</f>
        <v/>
      </c>
      <c r="BN58" s="36">
        <f>IF(A58="","",(K58)*(IF((YEAR(D58)+5)&lt;YEAR(E58),0,IF((YEAR(D58)+5)&gt;YEAR(E58),1,(12-MONTH(E58)+1)/12)))*(1/(1+DiscountRate)^5))</f>
        <v/>
      </c>
      <c r="BO58" s="36">
        <f>IF(A58="","",(K58)*(IF((YEAR(D58)+6)&lt;YEAR(E58),0,IF((YEAR(D58)+6)&gt;YEAR(E58),1,(12-MONTH(E58)+1)/12)))*(1/(1+DiscountRate)^6))</f>
        <v/>
      </c>
      <c r="BP58" s="36">
        <f>IF(A58="","",(K58)*(IF((YEAR(D58)+7)&lt;YEAR(E58),0,IF((YEAR(D58)+7)&gt;YEAR(E58),1,(12-MONTH(E58)+1)/12)))*(1/(1+DiscountRate)^7))</f>
        <v/>
      </c>
      <c r="BQ58" s="36">
        <f>IF(A58="","",(K58)*(IF((YEAR(D58)+8)&lt;YEAR(E58),0,IF((YEAR(D58)+8)&gt;YEAR(E58),1,(12-MONTH(E58)+1)/12)))*(1/(1+DiscountRate)^8))</f>
        <v/>
      </c>
      <c r="BR58" s="36">
        <f>IF(A58="","",(K58)*(IF((YEAR(D58)+9)&lt;YEAR(E58),0,IF((YEAR(D58)+9)&gt;YEAR(E58),1,(12-MONTH(E58)+1)/12)))*(1/(1+DiscountRate)^9))</f>
        <v/>
      </c>
      <c r="BS58" s="36">
        <f>IF(A58="","",(K58)*(IF((YEAR(D58)+10)&lt;YEAR(E58),0,IF((YEAR(D58)+10)&gt;YEAR(E58),1,(12-MONTH(E58)+1)/12)))*(1/(1+DiscountRate)^10))</f>
        <v/>
      </c>
      <c r="BT58" s="36">
        <f>IF(A58="","",(K58)*(IF((YEAR(D58)+11)&lt;YEAR(E58),0,IF((YEAR(D58)+11)&gt;YEAR(E58),1,(12-MONTH(E58)+1)/12)))*(1/(1+DiscountRate)^11))</f>
        <v/>
      </c>
      <c r="BU58" s="36">
        <f>IF(A58="","",(K58)*(IF((YEAR(D58)+12)&lt;YEAR(E58),0,IF((YEAR(D58)+12)&gt;YEAR(E58),1,(12-MONTH(E58)+1)/12)))*(1/(1+DiscountRate)^12))</f>
        <v/>
      </c>
      <c r="BV58" s="36">
        <f>IF(A58="","",(K58)*(IF((YEAR(D58)+13)&lt;YEAR(E58),0,IF((YEAR(D58)+13)&gt;YEAR(E58),1,(12-MONTH(E58)+1)/12)))*(1/(1+DiscountRate)^13))</f>
        <v/>
      </c>
      <c r="BW58" s="36">
        <f>IF(A58="","",(K58)*(IF((YEAR(D58)+14)&lt;YEAR(E58),0,IF((YEAR(D58)+14)&gt;YEAR(E58),1,(12-MONTH(E58)+1)/12)))*(1/(1+DiscountRate)^14))</f>
        <v/>
      </c>
      <c r="BX58" s="36">
        <f>IF(A58="","",(K58)*(IF((YEAR(D58)+15)&lt;YEAR(E58),0,IF((YEAR(D58)+15)&gt;YEAR(E58),1,(12-MONTH(E58)+1)/12)))*(1/(1+DiscountRate)^15))</f>
        <v/>
      </c>
      <c r="BY58" s="36">
        <f>IF(A58="","",(K58)*(IF((YEAR(D58)+16)&lt;YEAR(E58),0,IF((YEAR(D58)+16)&gt;YEAR(E58),1,(12-MONTH(E58)+1)/12)))*(1/(1+DiscountRate)^16))</f>
        <v/>
      </c>
      <c r="BZ58" s="36">
        <f>IF(A58="","",(K58)*(IF((YEAR(D58)+17)&lt;YEAR(E58),0,IF((YEAR(D58)+17)&gt;YEAR(E58),1,(12-MONTH(E58)+1)/12)))*(1/(1+DiscountRate)^17))</f>
        <v/>
      </c>
      <c r="CA58" s="36">
        <f>IF(A58="","",(K58)*(IF((YEAR(D58)+18)&lt;YEAR(E58),0,IF((YEAR(D58)+18)&gt;YEAR(E58),1,(12-MONTH(E58)+1)/12)))*(1/(1+DiscountRate)^18))</f>
        <v/>
      </c>
      <c r="CB58" s="36">
        <f>IF(A58="","",(K58)*(IF((YEAR(D58)+19)&lt;YEAR(E58),0,IF((YEAR(D58)+19)&gt;YEAR(E58),1,(12-MONTH(E58)+1)/12)))*(1/(1+DiscountRate)^19))</f>
        <v/>
      </c>
      <c r="CC58" s="36">
        <f>IF(A58="","",(K58)*(IF((YEAR(D58)+20)&lt;YEAR(E58),0,IF((YEAR(D58)+20)&gt;YEAR(E58),1,(12-MONTH(E58)+1)/12)))*(1/(1+DiscountRate)^20))</f>
        <v/>
      </c>
      <c r="CD58" s="29">
        <f>IF(A58="","",S58/(1+DiscountRate)^0+T58/(1+DiscountRate)^1+U58/(1+DiscountRate)^2+V58/(1+DiscountRate)^3+W58/(1+DiscountRate)^4+X58/(1+DiscountRate)^5+Y58/(1+DiscountRate)^6+Z58/(1+DiscountRate)^7+AA58/(1+DiscountRate)^8+AB58/(1+DiscountRate)^9+AC58/(1+DiscountRate)^10+AD58/(1+DiscountRate)^11+AE58/(1+DiscountRate)^12+AF58/(1+DiscountRate)^13+AG58/(1+DiscountRate)^14+AH58/(1+DiscountRate)^15+AI58/(1+DiscountRate)^16+AJ58/(1+DiscountRate)^17+AK58/(1+DiscountRate)^18+AL58/(1+DiscountRate)^19+AM58/(1+DiscountRate)^20)</f>
        <v/>
      </c>
      <c r="CE58" s="37">
        <f>IF(A58="","",IFERROR(IRR(OFFSET(S58,0,0,1,MIN(HorizonYears,20)+1)),"n/a"))</f>
        <v/>
      </c>
      <c r="CF58" s="28">
        <f>IF(A58="","",IFERROR(MATCH(TRUE,OFFSET(AN58,0,0,1,MIN(HorizonYears,20)+1)&gt;=0,0)-1,"n/a"))</f>
        <v/>
      </c>
      <c r="CG58" s="36">
        <f>IF(A58="","",SUM(OFFSET(BI58,0,0,1,MIN(HorizonYears,20)+1)))</f>
        <v/>
      </c>
      <c r="CH58" s="36">
        <f>IF(A58="","",IFERROR(-CD58/CG58,"n/a"))</f>
        <v/>
      </c>
    </row>
    <row r="59">
      <c r="A59" s="6">
        <f>Actions!A57</f>
        <v/>
      </c>
      <c r="B59" s="6">
        <f>Actions!B57</f>
        <v/>
      </c>
      <c r="C59" s="6">
        <f>Actions!D57</f>
        <v/>
      </c>
      <c r="D59" s="35">
        <f>Actions!E57</f>
        <v/>
      </c>
      <c r="E59" s="35">
        <f>Actions!F57</f>
        <v/>
      </c>
      <c r="F59" s="6">
        <f>Actions!G57</f>
        <v/>
      </c>
      <c r="G59" s="6">
        <f>Actions!H57</f>
        <v/>
      </c>
      <c r="H59" s="29">
        <f>Actions!I57</f>
        <v/>
      </c>
      <c r="I59" s="6">
        <f>Actions!J57</f>
        <v/>
      </c>
      <c r="J59" s="16">
        <f>Actions!K57</f>
        <v/>
      </c>
      <c r="K59" s="16">
        <f>IF(A59="","",IF(I59="%",H59*J59,J59))</f>
        <v/>
      </c>
      <c r="L59" s="16">
        <f>Actions!L57</f>
        <v/>
      </c>
      <c r="M59" s="6">
        <f>Actions!M57</f>
        <v/>
      </c>
      <c r="N59" s="28">
        <f>Actions!N57</f>
        <v/>
      </c>
      <c r="O59" s="29">
        <f>Actions!T57</f>
        <v/>
      </c>
      <c r="P59" s="29">
        <f>Actions!Y57</f>
        <v/>
      </c>
      <c r="Q59" s="29">
        <f>Actions!Z57</f>
        <v/>
      </c>
      <c r="R59" s="29">
        <f>Actions!AA57</f>
        <v/>
      </c>
      <c r="S59" s="29">
        <f>IF(A59="","",((K59)*(IF(M59="",L59,IFERROR(IF(INDEX(Variablen!$I:$AT, MATCH(M59, Variablen!$A:$A, 0), MATCH((YEAR(D59)+0), Variablen!$I$3:$AT$3, 0))="",L59,INDEX(Variablen!$I:$AT, MATCH(M59, Variablen!$A:$A, 0), MATCH((YEAR(D59)+0), Variablen!$I$3:$AT$3, 0))),L59)))*(IF((YEAR(D59)+0)&lt;YEAR(E59),0,IF((YEAR(D59)+0)&gt;YEAR(E59),1,(12-MONTH(E59)+1)/12))) + (Q59)*(IF((YEAR(D59)+0)&lt;YEAR(E59),0,IF((YEAR(D59)+0)&gt;YEAR(E59),1,(12-MONTH(E59)+1)/12))))-((P59)*(IF((YEAR(D59)+0)&lt;YEAR(E59),0,IF((YEAR(D59)+0)&gt;YEAR(E59),1,(12-MONTH(E59)+1)/12))) + (R59)*(IF((YEAR(D59)+0)&lt;YEAR(E59),0,IF((YEAR(D59)+0)&gt;YEAR(E59),1,(12-MONTH(E59)+1)/12))))-(IF((((K59)*(IF(M59="",L59,IFERROR(IF(INDEX(Variablen!$I:$AT, MATCH(M59, Variablen!$A:$A, 0), MATCH((YEAR(D59)+0), Variablen!$I$3:$AT$3, 0))="",L59,INDEX(Variablen!$I:$AT, MATCH(M59, Variablen!$A:$A, 0), MATCH((YEAR(D59)+0), Variablen!$I$3:$AT$3, 0))),L59)))*(IF((YEAR(D59)+0)&lt;YEAR(E59),0,IF((YEAR(D59)+0)&gt;YEAR(E59),1,(12-MONTH(E59)+1)/12))) + (Q59)*(IF((YEAR(D59)+0)&lt;YEAR(E59),0,IF((YEAR(D59)+0)&gt;YEAR(E59),1,(12-MONTH(E59)+1)/12))))-((P59)*(IF((YEAR(D59)+0)&lt;YEAR(E59),0,IF((YEAR(D59)+0)&gt;YEAR(E59),1,(12-MONTH(E59)+1)/12))) + (R59)*(IF((YEAR(D59)+0)&lt;YEAR(E59),0,IF((YEAR(D59)+0)&gt;YEAR(E59),1,(12-MONTH(E59)+1)/12))))-(IF(OR(N59="",N59&lt;=0),0,(O59/N59)*(IF(OR(N59="",N59&lt;=0),0,IF((YEAR(D59)+0)&lt;YEAR(E59),0,IF((YEAR(D59)+0)&gt;=YEAR(E59)+N59,0,IF((YEAR(D59)+0)=YEAR(E59),(12-MONTH(E59)+1)/12,1))))))))&gt;0,(((K59)*(IF(M59="",L59,IFERROR(IF(INDEX(Variablen!$I:$AT, MATCH(M59, Variablen!$A:$A, 0), MATCH((YEAR(D59)+0), Variablen!$I$3:$AT$3, 0))="",L59,INDEX(Variablen!$I:$AT, MATCH(M59, Variablen!$A:$A, 0), MATCH((YEAR(D59)+0), Variablen!$I$3:$AT$3, 0))),L59)))*(IF((YEAR(D59)+0)&lt;YEAR(E59),0,IF((YEAR(D59)+0)&gt;YEAR(E59),1,(12-MONTH(E59)+1)/12))) + (Q59)*(IF((YEAR(D59)+0)&lt;YEAR(E59),0,IF((YEAR(D59)+0)&gt;YEAR(E59),1,(12-MONTH(E59)+1)/12))))-((P59)*(IF((YEAR(D59)+0)&lt;YEAR(E59),0,IF((YEAR(D59)+0)&gt;YEAR(E59),1,(12-MONTH(E59)+1)/12))) + (R59)*(IF((YEAR(D59)+0)&lt;YEAR(E59),0,IF((YEAR(D59)+0)&gt;YEAR(E59),1,(12-MONTH(E59)+1)/12))))-(IF(OR(N59="",N59&lt;=0),0,(O59/N59)*(IF(OR(N59="",N59&lt;=0),0,IF((YEAR(D59)+0)&lt;YEAR(E59),0,IF((YEAR(D59)+0)&gt;=YEAR(E59)+N59,0,IF((YEAR(D59)+0)=YEAR(E59),(12-MONTH(E59)+1)/12,1))))))))*TaxRate,0))-IF(0=0,O59,0))</f>
        <v/>
      </c>
      <c r="T59" s="29">
        <f>IF(A59="","",((K59)*(IF(M59="",L59,IFERROR(IF(INDEX(Variablen!$I:$AT, MATCH(M59, Variablen!$A:$A, 0), MATCH((YEAR(D59)+1), Variablen!$I$3:$AT$3, 0))="",L59,INDEX(Variablen!$I:$AT, MATCH(M59, Variablen!$A:$A, 0), MATCH((YEAR(D59)+1), Variablen!$I$3:$AT$3, 0))),L59)))*(IF((YEAR(D59)+1)&lt;YEAR(E59),0,IF((YEAR(D59)+1)&gt;YEAR(E59),1,(12-MONTH(E59)+1)/12))) + (Q59)*(IF((YEAR(D59)+1)&lt;YEAR(E59),0,IF((YEAR(D59)+1)&gt;YEAR(E59),1,(12-MONTH(E59)+1)/12))))-((P59)*(IF((YEAR(D59)+1)&lt;YEAR(E59),0,IF((YEAR(D59)+1)&gt;YEAR(E59),1,(12-MONTH(E59)+1)/12))) + (R59)*(IF((YEAR(D59)+1)&lt;YEAR(E59),0,IF((YEAR(D59)+1)&gt;YEAR(E59),1,(12-MONTH(E59)+1)/12))))-(IF((((K59)*(IF(M59="",L59,IFERROR(IF(INDEX(Variablen!$I:$AT, MATCH(M59, Variablen!$A:$A, 0), MATCH((YEAR(D59)+1), Variablen!$I$3:$AT$3, 0))="",L59,INDEX(Variablen!$I:$AT, MATCH(M59, Variablen!$A:$A, 0), MATCH((YEAR(D59)+1), Variablen!$I$3:$AT$3, 0))),L59)))*(IF((YEAR(D59)+1)&lt;YEAR(E59),0,IF((YEAR(D59)+1)&gt;YEAR(E59),1,(12-MONTH(E59)+1)/12))) + (Q59)*(IF((YEAR(D59)+1)&lt;YEAR(E59),0,IF((YEAR(D59)+1)&gt;YEAR(E59),1,(12-MONTH(E59)+1)/12))))-((P59)*(IF((YEAR(D59)+1)&lt;YEAR(E59),0,IF((YEAR(D59)+1)&gt;YEAR(E59),1,(12-MONTH(E59)+1)/12))) + (R59)*(IF((YEAR(D59)+1)&lt;YEAR(E59),0,IF((YEAR(D59)+1)&gt;YEAR(E59),1,(12-MONTH(E59)+1)/12))))-(IF(OR(N59="",N59&lt;=0),0,(O59/N59)*(IF(OR(N59="",N59&lt;=0),0,IF((YEAR(D59)+1)&lt;YEAR(E59),0,IF((YEAR(D59)+1)&gt;=YEAR(E59)+N59,0,IF((YEAR(D59)+1)=YEAR(E59),(12-MONTH(E59)+1)/12,1))))))))&gt;0,(((K59)*(IF(M59="",L59,IFERROR(IF(INDEX(Variablen!$I:$AT, MATCH(M59, Variablen!$A:$A, 0), MATCH((YEAR(D59)+1), Variablen!$I$3:$AT$3, 0))="",L59,INDEX(Variablen!$I:$AT, MATCH(M59, Variablen!$A:$A, 0), MATCH((YEAR(D59)+1), Variablen!$I$3:$AT$3, 0))),L59)))*(IF((YEAR(D59)+1)&lt;YEAR(E59),0,IF((YEAR(D59)+1)&gt;YEAR(E59),1,(12-MONTH(E59)+1)/12))) + (Q59)*(IF((YEAR(D59)+1)&lt;YEAR(E59),0,IF((YEAR(D59)+1)&gt;YEAR(E59),1,(12-MONTH(E59)+1)/12))))-((P59)*(IF((YEAR(D59)+1)&lt;YEAR(E59),0,IF((YEAR(D59)+1)&gt;YEAR(E59),1,(12-MONTH(E59)+1)/12))) + (R59)*(IF((YEAR(D59)+1)&lt;YEAR(E59),0,IF((YEAR(D59)+1)&gt;YEAR(E59),1,(12-MONTH(E59)+1)/12))))-(IF(OR(N59="",N59&lt;=0),0,(O59/N59)*(IF(OR(N59="",N59&lt;=0),0,IF((YEAR(D59)+1)&lt;YEAR(E59),0,IF((YEAR(D59)+1)&gt;=YEAR(E59)+N59,0,IF((YEAR(D59)+1)=YEAR(E59),(12-MONTH(E59)+1)/12,1))))))))*TaxRate,0))-IF(1=0,O59,0))</f>
        <v/>
      </c>
      <c r="U59" s="29">
        <f>IF(A59="","",((K59)*(IF(M59="",L59,IFERROR(IF(INDEX(Variablen!$I:$AT, MATCH(M59, Variablen!$A:$A, 0), MATCH((YEAR(D59)+2), Variablen!$I$3:$AT$3, 0))="",L59,INDEX(Variablen!$I:$AT, MATCH(M59, Variablen!$A:$A, 0), MATCH((YEAR(D59)+2), Variablen!$I$3:$AT$3, 0))),L59)))*(IF((YEAR(D59)+2)&lt;YEAR(E59),0,IF((YEAR(D59)+2)&gt;YEAR(E59),1,(12-MONTH(E59)+1)/12))) + (Q59)*(IF((YEAR(D59)+2)&lt;YEAR(E59),0,IF((YEAR(D59)+2)&gt;YEAR(E59),1,(12-MONTH(E59)+1)/12))))-((P59)*(IF((YEAR(D59)+2)&lt;YEAR(E59),0,IF((YEAR(D59)+2)&gt;YEAR(E59),1,(12-MONTH(E59)+1)/12))) + (R59)*(IF((YEAR(D59)+2)&lt;YEAR(E59),0,IF((YEAR(D59)+2)&gt;YEAR(E59),1,(12-MONTH(E59)+1)/12))))-(IF((((K59)*(IF(M59="",L59,IFERROR(IF(INDEX(Variablen!$I:$AT, MATCH(M59, Variablen!$A:$A, 0), MATCH((YEAR(D59)+2), Variablen!$I$3:$AT$3, 0))="",L59,INDEX(Variablen!$I:$AT, MATCH(M59, Variablen!$A:$A, 0), MATCH((YEAR(D59)+2), Variablen!$I$3:$AT$3, 0))),L59)))*(IF((YEAR(D59)+2)&lt;YEAR(E59),0,IF((YEAR(D59)+2)&gt;YEAR(E59),1,(12-MONTH(E59)+1)/12))) + (Q59)*(IF((YEAR(D59)+2)&lt;YEAR(E59),0,IF((YEAR(D59)+2)&gt;YEAR(E59),1,(12-MONTH(E59)+1)/12))))-((P59)*(IF((YEAR(D59)+2)&lt;YEAR(E59),0,IF((YEAR(D59)+2)&gt;YEAR(E59),1,(12-MONTH(E59)+1)/12))) + (R59)*(IF((YEAR(D59)+2)&lt;YEAR(E59),0,IF((YEAR(D59)+2)&gt;YEAR(E59),1,(12-MONTH(E59)+1)/12))))-(IF(OR(N59="",N59&lt;=0),0,(O59/N59)*(IF(OR(N59="",N59&lt;=0),0,IF((YEAR(D59)+2)&lt;YEAR(E59),0,IF((YEAR(D59)+2)&gt;=YEAR(E59)+N59,0,IF((YEAR(D59)+2)=YEAR(E59),(12-MONTH(E59)+1)/12,1))))))))&gt;0,(((K59)*(IF(M59="",L59,IFERROR(IF(INDEX(Variablen!$I:$AT, MATCH(M59, Variablen!$A:$A, 0), MATCH((YEAR(D59)+2), Variablen!$I$3:$AT$3, 0))="",L59,INDEX(Variablen!$I:$AT, MATCH(M59, Variablen!$A:$A, 0), MATCH((YEAR(D59)+2), Variablen!$I$3:$AT$3, 0))),L59)))*(IF((YEAR(D59)+2)&lt;YEAR(E59),0,IF((YEAR(D59)+2)&gt;YEAR(E59),1,(12-MONTH(E59)+1)/12))) + (Q59)*(IF((YEAR(D59)+2)&lt;YEAR(E59),0,IF((YEAR(D59)+2)&gt;YEAR(E59),1,(12-MONTH(E59)+1)/12))))-((P59)*(IF((YEAR(D59)+2)&lt;YEAR(E59),0,IF((YEAR(D59)+2)&gt;YEAR(E59),1,(12-MONTH(E59)+1)/12))) + (R59)*(IF((YEAR(D59)+2)&lt;YEAR(E59),0,IF((YEAR(D59)+2)&gt;YEAR(E59),1,(12-MONTH(E59)+1)/12))))-(IF(OR(N59="",N59&lt;=0),0,(O59/N59)*(IF(OR(N59="",N59&lt;=0),0,IF((YEAR(D59)+2)&lt;YEAR(E59),0,IF((YEAR(D59)+2)&gt;=YEAR(E59)+N59,0,IF((YEAR(D59)+2)=YEAR(E59),(12-MONTH(E59)+1)/12,1))))))))*TaxRate,0))-IF(2=0,O59,0))</f>
        <v/>
      </c>
      <c r="V59" s="29">
        <f>IF(A59="","",((K59)*(IF(M59="",L59,IFERROR(IF(INDEX(Variablen!$I:$AT, MATCH(M59, Variablen!$A:$A, 0), MATCH((YEAR(D59)+3), Variablen!$I$3:$AT$3, 0))="",L59,INDEX(Variablen!$I:$AT, MATCH(M59, Variablen!$A:$A, 0), MATCH((YEAR(D59)+3), Variablen!$I$3:$AT$3, 0))),L59)))*(IF((YEAR(D59)+3)&lt;YEAR(E59),0,IF((YEAR(D59)+3)&gt;YEAR(E59),1,(12-MONTH(E59)+1)/12))) + (Q59)*(IF((YEAR(D59)+3)&lt;YEAR(E59),0,IF((YEAR(D59)+3)&gt;YEAR(E59),1,(12-MONTH(E59)+1)/12))))-((P59)*(IF((YEAR(D59)+3)&lt;YEAR(E59),0,IF((YEAR(D59)+3)&gt;YEAR(E59),1,(12-MONTH(E59)+1)/12))) + (R59)*(IF((YEAR(D59)+3)&lt;YEAR(E59),0,IF((YEAR(D59)+3)&gt;YEAR(E59),1,(12-MONTH(E59)+1)/12))))-(IF((((K59)*(IF(M59="",L59,IFERROR(IF(INDEX(Variablen!$I:$AT, MATCH(M59, Variablen!$A:$A, 0), MATCH((YEAR(D59)+3), Variablen!$I$3:$AT$3, 0))="",L59,INDEX(Variablen!$I:$AT, MATCH(M59, Variablen!$A:$A, 0), MATCH((YEAR(D59)+3), Variablen!$I$3:$AT$3, 0))),L59)))*(IF((YEAR(D59)+3)&lt;YEAR(E59),0,IF((YEAR(D59)+3)&gt;YEAR(E59),1,(12-MONTH(E59)+1)/12))) + (Q59)*(IF((YEAR(D59)+3)&lt;YEAR(E59),0,IF((YEAR(D59)+3)&gt;YEAR(E59),1,(12-MONTH(E59)+1)/12))))-((P59)*(IF((YEAR(D59)+3)&lt;YEAR(E59),0,IF((YEAR(D59)+3)&gt;YEAR(E59),1,(12-MONTH(E59)+1)/12))) + (R59)*(IF((YEAR(D59)+3)&lt;YEAR(E59),0,IF((YEAR(D59)+3)&gt;YEAR(E59),1,(12-MONTH(E59)+1)/12))))-(IF(OR(N59="",N59&lt;=0),0,(O59/N59)*(IF(OR(N59="",N59&lt;=0),0,IF((YEAR(D59)+3)&lt;YEAR(E59),0,IF((YEAR(D59)+3)&gt;=YEAR(E59)+N59,0,IF((YEAR(D59)+3)=YEAR(E59),(12-MONTH(E59)+1)/12,1))))))))&gt;0,(((K59)*(IF(M59="",L59,IFERROR(IF(INDEX(Variablen!$I:$AT, MATCH(M59, Variablen!$A:$A, 0), MATCH((YEAR(D59)+3), Variablen!$I$3:$AT$3, 0))="",L59,INDEX(Variablen!$I:$AT, MATCH(M59, Variablen!$A:$A, 0), MATCH((YEAR(D59)+3), Variablen!$I$3:$AT$3, 0))),L59)))*(IF((YEAR(D59)+3)&lt;YEAR(E59),0,IF((YEAR(D59)+3)&gt;YEAR(E59),1,(12-MONTH(E59)+1)/12))) + (Q59)*(IF((YEAR(D59)+3)&lt;YEAR(E59),0,IF((YEAR(D59)+3)&gt;YEAR(E59),1,(12-MONTH(E59)+1)/12))))-((P59)*(IF((YEAR(D59)+3)&lt;YEAR(E59),0,IF((YEAR(D59)+3)&gt;YEAR(E59),1,(12-MONTH(E59)+1)/12))) + (R59)*(IF((YEAR(D59)+3)&lt;YEAR(E59),0,IF((YEAR(D59)+3)&gt;YEAR(E59),1,(12-MONTH(E59)+1)/12))))-(IF(OR(N59="",N59&lt;=0),0,(O59/N59)*(IF(OR(N59="",N59&lt;=0),0,IF((YEAR(D59)+3)&lt;YEAR(E59),0,IF((YEAR(D59)+3)&gt;=YEAR(E59)+N59,0,IF((YEAR(D59)+3)=YEAR(E59),(12-MONTH(E59)+1)/12,1))))))))*TaxRate,0))-IF(3=0,O59,0))</f>
        <v/>
      </c>
      <c r="W59" s="29">
        <f>IF(A59="","",((K59)*(IF(M59="",L59,IFERROR(IF(INDEX(Variablen!$I:$AT, MATCH(M59, Variablen!$A:$A, 0), MATCH((YEAR(D59)+4), Variablen!$I$3:$AT$3, 0))="",L59,INDEX(Variablen!$I:$AT, MATCH(M59, Variablen!$A:$A, 0), MATCH((YEAR(D59)+4), Variablen!$I$3:$AT$3, 0))),L59)))*(IF((YEAR(D59)+4)&lt;YEAR(E59),0,IF((YEAR(D59)+4)&gt;YEAR(E59),1,(12-MONTH(E59)+1)/12))) + (Q59)*(IF((YEAR(D59)+4)&lt;YEAR(E59),0,IF((YEAR(D59)+4)&gt;YEAR(E59),1,(12-MONTH(E59)+1)/12))))-((P59)*(IF((YEAR(D59)+4)&lt;YEAR(E59),0,IF((YEAR(D59)+4)&gt;YEAR(E59),1,(12-MONTH(E59)+1)/12))) + (R59)*(IF((YEAR(D59)+4)&lt;YEAR(E59),0,IF((YEAR(D59)+4)&gt;YEAR(E59),1,(12-MONTH(E59)+1)/12))))-(IF((((K59)*(IF(M59="",L59,IFERROR(IF(INDEX(Variablen!$I:$AT, MATCH(M59, Variablen!$A:$A, 0), MATCH((YEAR(D59)+4), Variablen!$I$3:$AT$3, 0))="",L59,INDEX(Variablen!$I:$AT, MATCH(M59, Variablen!$A:$A, 0), MATCH((YEAR(D59)+4), Variablen!$I$3:$AT$3, 0))),L59)))*(IF((YEAR(D59)+4)&lt;YEAR(E59),0,IF((YEAR(D59)+4)&gt;YEAR(E59),1,(12-MONTH(E59)+1)/12))) + (Q59)*(IF((YEAR(D59)+4)&lt;YEAR(E59),0,IF((YEAR(D59)+4)&gt;YEAR(E59),1,(12-MONTH(E59)+1)/12))))-((P59)*(IF((YEAR(D59)+4)&lt;YEAR(E59),0,IF((YEAR(D59)+4)&gt;YEAR(E59),1,(12-MONTH(E59)+1)/12))) + (R59)*(IF((YEAR(D59)+4)&lt;YEAR(E59),0,IF((YEAR(D59)+4)&gt;YEAR(E59),1,(12-MONTH(E59)+1)/12))))-(IF(OR(N59="",N59&lt;=0),0,(O59/N59)*(IF(OR(N59="",N59&lt;=0),0,IF((YEAR(D59)+4)&lt;YEAR(E59),0,IF((YEAR(D59)+4)&gt;=YEAR(E59)+N59,0,IF((YEAR(D59)+4)=YEAR(E59),(12-MONTH(E59)+1)/12,1))))))))&gt;0,(((K59)*(IF(M59="",L59,IFERROR(IF(INDEX(Variablen!$I:$AT, MATCH(M59, Variablen!$A:$A, 0), MATCH((YEAR(D59)+4), Variablen!$I$3:$AT$3, 0))="",L59,INDEX(Variablen!$I:$AT, MATCH(M59, Variablen!$A:$A, 0), MATCH((YEAR(D59)+4), Variablen!$I$3:$AT$3, 0))),L59)))*(IF((YEAR(D59)+4)&lt;YEAR(E59),0,IF((YEAR(D59)+4)&gt;YEAR(E59),1,(12-MONTH(E59)+1)/12))) + (Q59)*(IF((YEAR(D59)+4)&lt;YEAR(E59),0,IF((YEAR(D59)+4)&gt;YEAR(E59),1,(12-MONTH(E59)+1)/12))))-((P59)*(IF((YEAR(D59)+4)&lt;YEAR(E59),0,IF((YEAR(D59)+4)&gt;YEAR(E59),1,(12-MONTH(E59)+1)/12))) + (R59)*(IF((YEAR(D59)+4)&lt;YEAR(E59),0,IF((YEAR(D59)+4)&gt;YEAR(E59),1,(12-MONTH(E59)+1)/12))))-(IF(OR(N59="",N59&lt;=0),0,(O59/N59)*(IF(OR(N59="",N59&lt;=0),0,IF((YEAR(D59)+4)&lt;YEAR(E59),0,IF((YEAR(D59)+4)&gt;=YEAR(E59)+N59,0,IF((YEAR(D59)+4)=YEAR(E59),(12-MONTH(E59)+1)/12,1))))))))*TaxRate,0))-IF(4=0,O59,0))</f>
        <v/>
      </c>
      <c r="X59" s="29">
        <f>IF(A59="","",((K59)*(IF(M59="",L59,IFERROR(IF(INDEX(Variablen!$I:$AT, MATCH(M59, Variablen!$A:$A, 0), MATCH((YEAR(D59)+5), Variablen!$I$3:$AT$3, 0))="",L59,INDEX(Variablen!$I:$AT, MATCH(M59, Variablen!$A:$A, 0), MATCH((YEAR(D59)+5), Variablen!$I$3:$AT$3, 0))),L59)))*(IF((YEAR(D59)+5)&lt;YEAR(E59),0,IF((YEAR(D59)+5)&gt;YEAR(E59),1,(12-MONTH(E59)+1)/12))) + (Q59)*(IF((YEAR(D59)+5)&lt;YEAR(E59),0,IF((YEAR(D59)+5)&gt;YEAR(E59),1,(12-MONTH(E59)+1)/12))))-((P59)*(IF((YEAR(D59)+5)&lt;YEAR(E59),0,IF((YEAR(D59)+5)&gt;YEAR(E59),1,(12-MONTH(E59)+1)/12))) + (R59)*(IF((YEAR(D59)+5)&lt;YEAR(E59),0,IF((YEAR(D59)+5)&gt;YEAR(E59),1,(12-MONTH(E59)+1)/12))))-(IF((((K59)*(IF(M59="",L59,IFERROR(IF(INDEX(Variablen!$I:$AT, MATCH(M59, Variablen!$A:$A, 0), MATCH((YEAR(D59)+5), Variablen!$I$3:$AT$3, 0))="",L59,INDEX(Variablen!$I:$AT, MATCH(M59, Variablen!$A:$A, 0), MATCH((YEAR(D59)+5), Variablen!$I$3:$AT$3, 0))),L59)))*(IF((YEAR(D59)+5)&lt;YEAR(E59),0,IF((YEAR(D59)+5)&gt;YEAR(E59),1,(12-MONTH(E59)+1)/12))) + (Q59)*(IF((YEAR(D59)+5)&lt;YEAR(E59),0,IF((YEAR(D59)+5)&gt;YEAR(E59),1,(12-MONTH(E59)+1)/12))))-((P59)*(IF((YEAR(D59)+5)&lt;YEAR(E59),0,IF((YEAR(D59)+5)&gt;YEAR(E59),1,(12-MONTH(E59)+1)/12))) + (R59)*(IF((YEAR(D59)+5)&lt;YEAR(E59),0,IF((YEAR(D59)+5)&gt;YEAR(E59),1,(12-MONTH(E59)+1)/12))))-(IF(OR(N59="",N59&lt;=0),0,(O59/N59)*(IF(OR(N59="",N59&lt;=0),0,IF((YEAR(D59)+5)&lt;YEAR(E59),0,IF((YEAR(D59)+5)&gt;=YEAR(E59)+N59,0,IF((YEAR(D59)+5)=YEAR(E59),(12-MONTH(E59)+1)/12,1))))))))&gt;0,(((K59)*(IF(M59="",L59,IFERROR(IF(INDEX(Variablen!$I:$AT, MATCH(M59, Variablen!$A:$A, 0), MATCH((YEAR(D59)+5), Variablen!$I$3:$AT$3, 0))="",L59,INDEX(Variablen!$I:$AT, MATCH(M59, Variablen!$A:$A, 0), MATCH((YEAR(D59)+5), Variablen!$I$3:$AT$3, 0))),L59)))*(IF((YEAR(D59)+5)&lt;YEAR(E59),0,IF((YEAR(D59)+5)&gt;YEAR(E59),1,(12-MONTH(E59)+1)/12))) + (Q59)*(IF((YEAR(D59)+5)&lt;YEAR(E59),0,IF((YEAR(D59)+5)&gt;YEAR(E59),1,(12-MONTH(E59)+1)/12))))-((P59)*(IF((YEAR(D59)+5)&lt;YEAR(E59),0,IF((YEAR(D59)+5)&gt;YEAR(E59),1,(12-MONTH(E59)+1)/12))) + (R59)*(IF((YEAR(D59)+5)&lt;YEAR(E59),0,IF((YEAR(D59)+5)&gt;YEAR(E59),1,(12-MONTH(E59)+1)/12))))-(IF(OR(N59="",N59&lt;=0),0,(O59/N59)*(IF(OR(N59="",N59&lt;=0),0,IF((YEAR(D59)+5)&lt;YEAR(E59),0,IF((YEAR(D59)+5)&gt;=YEAR(E59)+N59,0,IF((YEAR(D59)+5)=YEAR(E59),(12-MONTH(E59)+1)/12,1))))))))*TaxRate,0))-IF(5=0,O59,0))</f>
        <v/>
      </c>
      <c r="Y59" s="29">
        <f>IF(A59="","",((K59)*(IF(M59="",L59,IFERROR(IF(INDEX(Variablen!$I:$AT, MATCH(M59, Variablen!$A:$A, 0), MATCH((YEAR(D59)+6), Variablen!$I$3:$AT$3, 0))="",L59,INDEX(Variablen!$I:$AT, MATCH(M59, Variablen!$A:$A, 0), MATCH((YEAR(D59)+6), Variablen!$I$3:$AT$3, 0))),L59)))*(IF((YEAR(D59)+6)&lt;YEAR(E59),0,IF((YEAR(D59)+6)&gt;YEAR(E59),1,(12-MONTH(E59)+1)/12))) + (Q59)*(IF((YEAR(D59)+6)&lt;YEAR(E59),0,IF((YEAR(D59)+6)&gt;YEAR(E59),1,(12-MONTH(E59)+1)/12))))-((P59)*(IF((YEAR(D59)+6)&lt;YEAR(E59),0,IF((YEAR(D59)+6)&gt;YEAR(E59),1,(12-MONTH(E59)+1)/12))) + (R59)*(IF((YEAR(D59)+6)&lt;YEAR(E59),0,IF((YEAR(D59)+6)&gt;YEAR(E59),1,(12-MONTH(E59)+1)/12))))-(IF((((K59)*(IF(M59="",L59,IFERROR(IF(INDEX(Variablen!$I:$AT, MATCH(M59, Variablen!$A:$A, 0), MATCH((YEAR(D59)+6), Variablen!$I$3:$AT$3, 0))="",L59,INDEX(Variablen!$I:$AT, MATCH(M59, Variablen!$A:$A, 0), MATCH((YEAR(D59)+6), Variablen!$I$3:$AT$3, 0))),L59)))*(IF((YEAR(D59)+6)&lt;YEAR(E59),0,IF((YEAR(D59)+6)&gt;YEAR(E59),1,(12-MONTH(E59)+1)/12))) + (Q59)*(IF((YEAR(D59)+6)&lt;YEAR(E59),0,IF((YEAR(D59)+6)&gt;YEAR(E59),1,(12-MONTH(E59)+1)/12))))-((P59)*(IF((YEAR(D59)+6)&lt;YEAR(E59),0,IF((YEAR(D59)+6)&gt;YEAR(E59),1,(12-MONTH(E59)+1)/12))) + (R59)*(IF((YEAR(D59)+6)&lt;YEAR(E59),0,IF((YEAR(D59)+6)&gt;YEAR(E59),1,(12-MONTH(E59)+1)/12))))-(IF(OR(N59="",N59&lt;=0),0,(O59/N59)*(IF(OR(N59="",N59&lt;=0),0,IF((YEAR(D59)+6)&lt;YEAR(E59),0,IF((YEAR(D59)+6)&gt;=YEAR(E59)+N59,0,IF((YEAR(D59)+6)=YEAR(E59),(12-MONTH(E59)+1)/12,1))))))))&gt;0,(((K59)*(IF(M59="",L59,IFERROR(IF(INDEX(Variablen!$I:$AT, MATCH(M59, Variablen!$A:$A, 0), MATCH((YEAR(D59)+6), Variablen!$I$3:$AT$3, 0))="",L59,INDEX(Variablen!$I:$AT, MATCH(M59, Variablen!$A:$A, 0), MATCH((YEAR(D59)+6), Variablen!$I$3:$AT$3, 0))),L59)))*(IF((YEAR(D59)+6)&lt;YEAR(E59),0,IF((YEAR(D59)+6)&gt;YEAR(E59),1,(12-MONTH(E59)+1)/12))) + (Q59)*(IF((YEAR(D59)+6)&lt;YEAR(E59),0,IF((YEAR(D59)+6)&gt;YEAR(E59),1,(12-MONTH(E59)+1)/12))))-((P59)*(IF((YEAR(D59)+6)&lt;YEAR(E59),0,IF((YEAR(D59)+6)&gt;YEAR(E59),1,(12-MONTH(E59)+1)/12))) + (R59)*(IF((YEAR(D59)+6)&lt;YEAR(E59),0,IF((YEAR(D59)+6)&gt;YEAR(E59),1,(12-MONTH(E59)+1)/12))))-(IF(OR(N59="",N59&lt;=0),0,(O59/N59)*(IF(OR(N59="",N59&lt;=0),0,IF((YEAR(D59)+6)&lt;YEAR(E59),0,IF((YEAR(D59)+6)&gt;=YEAR(E59)+N59,0,IF((YEAR(D59)+6)=YEAR(E59),(12-MONTH(E59)+1)/12,1))))))))*TaxRate,0))-IF(6=0,O59,0))</f>
        <v/>
      </c>
      <c r="Z59" s="29">
        <f>IF(A59="","",((K59)*(IF(M59="",L59,IFERROR(IF(INDEX(Variablen!$I:$AT, MATCH(M59, Variablen!$A:$A, 0), MATCH((YEAR(D59)+7), Variablen!$I$3:$AT$3, 0))="",L59,INDEX(Variablen!$I:$AT, MATCH(M59, Variablen!$A:$A, 0), MATCH((YEAR(D59)+7), Variablen!$I$3:$AT$3, 0))),L59)))*(IF((YEAR(D59)+7)&lt;YEAR(E59),0,IF((YEAR(D59)+7)&gt;YEAR(E59),1,(12-MONTH(E59)+1)/12))) + (Q59)*(IF((YEAR(D59)+7)&lt;YEAR(E59),0,IF((YEAR(D59)+7)&gt;YEAR(E59),1,(12-MONTH(E59)+1)/12))))-((P59)*(IF((YEAR(D59)+7)&lt;YEAR(E59),0,IF((YEAR(D59)+7)&gt;YEAR(E59),1,(12-MONTH(E59)+1)/12))) + (R59)*(IF((YEAR(D59)+7)&lt;YEAR(E59),0,IF((YEAR(D59)+7)&gt;YEAR(E59),1,(12-MONTH(E59)+1)/12))))-(IF((((K59)*(IF(M59="",L59,IFERROR(IF(INDEX(Variablen!$I:$AT, MATCH(M59, Variablen!$A:$A, 0), MATCH((YEAR(D59)+7), Variablen!$I$3:$AT$3, 0))="",L59,INDEX(Variablen!$I:$AT, MATCH(M59, Variablen!$A:$A, 0), MATCH((YEAR(D59)+7), Variablen!$I$3:$AT$3, 0))),L59)))*(IF((YEAR(D59)+7)&lt;YEAR(E59),0,IF((YEAR(D59)+7)&gt;YEAR(E59),1,(12-MONTH(E59)+1)/12))) + (Q59)*(IF((YEAR(D59)+7)&lt;YEAR(E59),0,IF((YEAR(D59)+7)&gt;YEAR(E59),1,(12-MONTH(E59)+1)/12))))-((P59)*(IF((YEAR(D59)+7)&lt;YEAR(E59),0,IF((YEAR(D59)+7)&gt;YEAR(E59),1,(12-MONTH(E59)+1)/12))) + (R59)*(IF((YEAR(D59)+7)&lt;YEAR(E59),0,IF((YEAR(D59)+7)&gt;YEAR(E59),1,(12-MONTH(E59)+1)/12))))-(IF(OR(N59="",N59&lt;=0),0,(O59/N59)*(IF(OR(N59="",N59&lt;=0),0,IF((YEAR(D59)+7)&lt;YEAR(E59),0,IF((YEAR(D59)+7)&gt;=YEAR(E59)+N59,0,IF((YEAR(D59)+7)=YEAR(E59),(12-MONTH(E59)+1)/12,1))))))))&gt;0,(((K59)*(IF(M59="",L59,IFERROR(IF(INDEX(Variablen!$I:$AT, MATCH(M59, Variablen!$A:$A, 0), MATCH((YEAR(D59)+7), Variablen!$I$3:$AT$3, 0))="",L59,INDEX(Variablen!$I:$AT, MATCH(M59, Variablen!$A:$A, 0), MATCH((YEAR(D59)+7), Variablen!$I$3:$AT$3, 0))),L59)))*(IF((YEAR(D59)+7)&lt;YEAR(E59),0,IF((YEAR(D59)+7)&gt;YEAR(E59),1,(12-MONTH(E59)+1)/12))) + (Q59)*(IF((YEAR(D59)+7)&lt;YEAR(E59),0,IF((YEAR(D59)+7)&gt;YEAR(E59),1,(12-MONTH(E59)+1)/12))))-((P59)*(IF((YEAR(D59)+7)&lt;YEAR(E59),0,IF((YEAR(D59)+7)&gt;YEAR(E59),1,(12-MONTH(E59)+1)/12))) + (R59)*(IF((YEAR(D59)+7)&lt;YEAR(E59),0,IF((YEAR(D59)+7)&gt;YEAR(E59),1,(12-MONTH(E59)+1)/12))))-(IF(OR(N59="",N59&lt;=0),0,(O59/N59)*(IF(OR(N59="",N59&lt;=0),0,IF((YEAR(D59)+7)&lt;YEAR(E59),0,IF((YEAR(D59)+7)&gt;=YEAR(E59)+N59,0,IF((YEAR(D59)+7)=YEAR(E59),(12-MONTH(E59)+1)/12,1))))))))*TaxRate,0))-IF(7=0,O59,0))</f>
        <v/>
      </c>
      <c r="AA59" s="29">
        <f>IF(A59="","",((K59)*(IF(M59="",L59,IFERROR(IF(INDEX(Variablen!$I:$AT, MATCH(M59, Variablen!$A:$A, 0), MATCH((YEAR(D59)+8), Variablen!$I$3:$AT$3, 0))="",L59,INDEX(Variablen!$I:$AT, MATCH(M59, Variablen!$A:$A, 0), MATCH((YEAR(D59)+8), Variablen!$I$3:$AT$3, 0))),L59)))*(IF((YEAR(D59)+8)&lt;YEAR(E59),0,IF((YEAR(D59)+8)&gt;YEAR(E59),1,(12-MONTH(E59)+1)/12))) + (Q59)*(IF((YEAR(D59)+8)&lt;YEAR(E59),0,IF((YEAR(D59)+8)&gt;YEAR(E59),1,(12-MONTH(E59)+1)/12))))-((P59)*(IF((YEAR(D59)+8)&lt;YEAR(E59),0,IF((YEAR(D59)+8)&gt;YEAR(E59),1,(12-MONTH(E59)+1)/12))) + (R59)*(IF((YEAR(D59)+8)&lt;YEAR(E59),0,IF((YEAR(D59)+8)&gt;YEAR(E59),1,(12-MONTH(E59)+1)/12))))-(IF((((K59)*(IF(M59="",L59,IFERROR(IF(INDEX(Variablen!$I:$AT, MATCH(M59, Variablen!$A:$A, 0), MATCH((YEAR(D59)+8), Variablen!$I$3:$AT$3, 0))="",L59,INDEX(Variablen!$I:$AT, MATCH(M59, Variablen!$A:$A, 0), MATCH((YEAR(D59)+8), Variablen!$I$3:$AT$3, 0))),L59)))*(IF((YEAR(D59)+8)&lt;YEAR(E59),0,IF((YEAR(D59)+8)&gt;YEAR(E59),1,(12-MONTH(E59)+1)/12))) + (Q59)*(IF((YEAR(D59)+8)&lt;YEAR(E59),0,IF((YEAR(D59)+8)&gt;YEAR(E59),1,(12-MONTH(E59)+1)/12))))-((P59)*(IF((YEAR(D59)+8)&lt;YEAR(E59),0,IF((YEAR(D59)+8)&gt;YEAR(E59),1,(12-MONTH(E59)+1)/12))) + (R59)*(IF((YEAR(D59)+8)&lt;YEAR(E59),0,IF((YEAR(D59)+8)&gt;YEAR(E59),1,(12-MONTH(E59)+1)/12))))-(IF(OR(N59="",N59&lt;=0),0,(O59/N59)*(IF(OR(N59="",N59&lt;=0),0,IF((YEAR(D59)+8)&lt;YEAR(E59),0,IF((YEAR(D59)+8)&gt;=YEAR(E59)+N59,0,IF((YEAR(D59)+8)=YEAR(E59),(12-MONTH(E59)+1)/12,1))))))))&gt;0,(((K59)*(IF(M59="",L59,IFERROR(IF(INDEX(Variablen!$I:$AT, MATCH(M59, Variablen!$A:$A, 0), MATCH((YEAR(D59)+8), Variablen!$I$3:$AT$3, 0))="",L59,INDEX(Variablen!$I:$AT, MATCH(M59, Variablen!$A:$A, 0), MATCH((YEAR(D59)+8), Variablen!$I$3:$AT$3, 0))),L59)))*(IF((YEAR(D59)+8)&lt;YEAR(E59),0,IF((YEAR(D59)+8)&gt;YEAR(E59),1,(12-MONTH(E59)+1)/12))) + (Q59)*(IF((YEAR(D59)+8)&lt;YEAR(E59),0,IF((YEAR(D59)+8)&gt;YEAR(E59),1,(12-MONTH(E59)+1)/12))))-((P59)*(IF((YEAR(D59)+8)&lt;YEAR(E59),0,IF((YEAR(D59)+8)&gt;YEAR(E59),1,(12-MONTH(E59)+1)/12))) + (R59)*(IF((YEAR(D59)+8)&lt;YEAR(E59),0,IF((YEAR(D59)+8)&gt;YEAR(E59),1,(12-MONTH(E59)+1)/12))))-(IF(OR(N59="",N59&lt;=0),0,(O59/N59)*(IF(OR(N59="",N59&lt;=0),0,IF((YEAR(D59)+8)&lt;YEAR(E59),0,IF((YEAR(D59)+8)&gt;=YEAR(E59)+N59,0,IF((YEAR(D59)+8)=YEAR(E59),(12-MONTH(E59)+1)/12,1))))))))*TaxRate,0))-IF(8=0,O59,0))</f>
        <v/>
      </c>
      <c r="AB59" s="29">
        <f>IF(A59="","",((K59)*(IF(M59="",L59,IFERROR(IF(INDEX(Variablen!$I:$AT, MATCH(M59, Variablen!$A:$A, 0), MATCH((YEAR(D59)+9), Variablen!$I$3:$AT$3, 0))="",L59,INDEX(Variablen!$I:$AT, MATCH(M59, Variablen!$A:$A, 0), MATCH((YEAR(D59)+9), Variablen!$I$3:$AT$3, 0))),L59)))*(IF((YEAR(D59)+9)&lt;YEAR(E59),0,IF((YEAR(D59)+9)&gt;YEAR(E59),1,(12-MONTH(E59)+1)/12))) + (Q59)*(IF((YEAR(D59)+9)&lt;YEAR(E59),0,IF((YEAR(D59)+9)&gt;YEAR(E59),1,(12-MONTH(E59)+1)/12))))-((P59)*(IF((YEAR(D59)+9)&lt;YEAR(E59),0,IF((YEAR(D59)+9)&gt;YEAR(E59),1,(12-MONTH(E59)+1)/12))) + (R59)*(IF((YEAR(D59)+9)&lt;YEAR(E59),0,IF((YEAR(D59)+9)&gt;YEAR(E59),1,(12-MONTH(E59)+1)/12))))-(IF((((K59)*(IF(M59="",L59,IFERROR(IF(INDEX(Variablen!$I:$AT, MATCH(M59, Variablen!$A:$A, 0), MATCH((YEAR(D59)+9), Variablen!$I$3:$AT$3, 0))="",L59,INDEX(Variablen!$I:$AT, MATCH(M59, Variablen!$A:$A, 0), MATCH((YEAR(D59)+9), Variablen!$I$3:$AT$3, 0))),L59)))*(IF((YEAR(D59)+9)&lt;YEAR(E59),0,IF((YEAR(D59)+9)&gt;YEAR(E59),1,(12-MONTH(E59)+1)/12))) + (Q59)*(IF((YEAR(D59)+9)&lt;YEAR(E59),0,IF((YEAR(D59)+9)&gt;YEAR(E59),1,(12-MONTH(E59)+1)/12))))-((P59)*(IF((YEAR(D59)+9)&lt;YEAR(E59),0,IF((YEAR(D59)+9)&gt;YEAR(E59),1,(12-MONTH(E59)+1)/12))) + (R59)*(IF((YEAR(D59)+9)&lt;YEAR(E59),0,IF((YEAR(D59)+9)&gt;YEAR(E59),1,(12-MONTH(E59)+1)/12))))-(IF(OR(N59="",N59&lt;=0),0,(O59/N59)*(IF(OR(N59="",N59&lt;=0),0,IF((YEAR(D59)+9)&lt;YEAR(E59),0,IF((YEAR(D59)+9)&gt;=YEAR(E59)+N59,0,IF((YEAR(D59)+9)=YEAR(E59),(12-MONTH(E59)+1)/12,1))))))))&gt;0,(((K59)*(IF(M59="",L59,IFERROR(IF(INDEX(Variablen!$I:$AT, MATCH(M59, Variablen!$A:$A, 0), MATCH((YEAR(D59)+9), Variablen!$I$3:$AT$3, 0))="",L59,INDEX(Variablen!$I:$AT, MATCH(M59, Variablen!$A:$A, 0), MATCH((YEAR(D59)+9), Variablen!$I$3:$AT$3, 0))),L59)))*(IF((YEAR(D59)+9)&lt;YEAR(E59),0,IF((YEAR(D59)+9)&gt;YEAR(E59),1,(12-MONTH(E59)+1)/12))) + (Q59)*(IF((YEAR(D59)+9)&lt;YEAR(E59),0,IF((YEAR(D59)+9)&gt;YEAR(E59),1,(12-MONTH(E59)+1)/12))))-((P59)*(IF((YEAR(D59)+9)&lt;YEAR(E59),0,IF((YEAR(D59)+9)&gt;YEAR(E59),1,(12-MONTH(E59)+1)/12))) + (R59)*(IF((YEAR(D59)+9)&lt;YEAR(E59),0,IF((YEAR(D59)+9)&gt;YEAR(E59),1,(12-MONTH(E59)+1)/12))))-(IF(OR(N59="",N59&lt;=0),0,(O59/N59)*(IF(OR(N59="",N59&lt;=0),0,IF((YEAR(D59)+9)&lt;YEAR(E59),0,IF((YEAR(D59)+9)&gt;=YEAR(E59)+N59,0,IF((YEAR(D59)+9)=YEAR(E59),(12-MONTH(E59)+1)/12,1))))))))*TaxRate,0))-IF(9=0,O59,0))</f>
        <v/>
      </c>
      <c r="AC59" s="29">
        <f>IF(A59="","",((K59)*(IF(M59="",L59,IFERROR(IF(INDEX(Variablen!$I:$AT, MATCH(M59, Variablen!$A:$A, 0), MATCH((YEAR(D59)+10), Variablen!$I$3:$AT$3, 0))="",L59,INDEX(Variablen!$I:$AT, MATCH(M59, Variablen!$A:$A, 0), MATCH((YEAR(D59)+10), Variablen!$I$3:$AT$3, 0))),L59)))*(IF((YEAR(D59)+10)&lt;YEAR(E59),0,IF((YEAR(D59)+10)&gt;YEAR(E59),1,(12-MONTH(E59)+1)/12))) + (Q59)*(IF((YEAR(D59)+10)&lt;YEAR(E59),0,IF((YEAR(D59)+10)&gt;YEAR(E59),1,(12-MONTH(E59)+1)/12))))-((P59)*(IF((YEAR(D59)+10)&lt;YEAR(E59),0,IF((YEAR(D59)+10)&gt;YEAR(E59),1,(12-MONTH(E59)+1)/12))) + (R59)*(IF((YEAR(D59)+10)&lt;YEAR(E59),0,IF((YEAR(D59)+10)&gt;YEAR(E59),1,(12-MONTH(E59)+1)/12))))-(IF((((K59)*(IF(M59="",L59,IFERROR(IF(INDEX(Variablen!$I:$AT, MATCH(M59, Variablen!$A:$A, 0), MATCH((YEAR(D59)+10), Variablen!$I$3:$AT$3, 0))="",L59,INDEX(Variablen!$I:$AT, MATCH(M59, Variablen!$A:$A, 0), MATCH((YEAR(D59)+10), Variablen!$I$3:$AT$3, 0))),L59)))*(IF((YEAR(D59)+10)&lt;YEAR(E59),0,IF((YEAR(D59)+10)&gt;YEAR(E59),1,(12-MONTH(E59)+1)/12))) + (Q59)*(IF((YEAR(D59)+10)&lt;YEAR(E59),0,IF((YEAR(D59)+10)&gt;YEAR(E59),1,(12-MONTH(E59)+1)/12))))-((P59)*(IF((YEAR(D59)+10)&lt;YEAR(E59),0,IF((YEAR(D59)+10)&gt;YEAR(E59),1,(12-MONTH(E59)+1)/12))) + (R59)*(IF((YEAR(D59)+10)&lt;YEAR(E59),0,IF((YEAR(D59)+10)&gt;YEAR(E59),1,(12-MONTH(E59)+1)/12))))-(IF(OR(N59="",N59&lt;=0),0,(O59/N59)*(IF(OR(N59="",N59&lt;=0),0,IF((YEAR(D59)+10)&lt;YEAR(E59),0,IF((YEAR(D59)+10)&gt;=YEAR(E59)+N59,0,IF((YEAR(D59)+10)=YEAR(E59),(12-MONTH(E59)+1)/12,1))))))))&gt;0,(((K59)*(IF(M59="",L59,IFERROR(IF(INDEX(Variablen!$I:$AT, MATCH(M59, Variablen!$A:$A, 0), MATCH((YEAR(D59)+10), Variablen!$I$3:$AT$3, 0))="",L59,INDEX(Variablen!$I:$AT, MATCH(M59, Variablen!$A:$A, 0), MATCH((YEAR(D59)+10), Variablen!$I$3:$AT$3, 0))),L59)))*(IF((YEAR(D59)+10)&lt;YEAR(E59),0,IF((YEAR(D59)+10)&gt;YEAR(E59),1,(12-MONTH(E59)+1)/12))) + (Q59)*(IF((YEAR(D59)+10)&lt;YEAR(E59),0,IF((YEAR(D59)+10)&gt;YEAR(E59),1,(12-MONTH(E59)+1)/12))))-((P59)*(IF((YEAR(D59)+10)&lt;YEAR(E59),0,IF((YEAR(D59)+10)&gt;YEAR(E59),1,(12-MONTH(E59)+1)/12))) + (R59)*(IF((YEAR(D59)+10)&lt;YEAR(E59),0,IF((YEAR(D59)+10)&gt;YEAR(E59),1,(12-MONTH(E59)+1)/12))))-(IF(OR(N59="",N59&lt;=0),0,(O59/N59)*(IF(OR(N59="",N59&lt;=0),0,IF((YEAR(D59)+10)&lt;YEAR(E59),0,IF((YEAR(D59)+10)&gt;=YEAR(E59)+N59,0,IF((YEAR(D59)+10)=YEAR(E59),(12-MONTH(E59)+1)/12,1))))))))*TaxRate,0))-IF(10=0,O59,0))</f>
        <v/>
      </c>
      <c r="AD59" s="29">
        <f>IF(A59="","",((K59)*(IF(M59="",L59,IFERROR(IF(INDEX(Variablen!$I:$AT, MATCH(M59, Variablen!$A:$A, 0), MATCH((YEAR(D59)+11), Variablen!$I$3:$AT$3, 0))="",L59,INDEX(Variablen!$I:$AT, MATCH(M59, Variablen!$A:$A, 0), MATCH((YEAR(D59)+11), Variablen!$I$3:$AT$3, 0))),L59)))*(IF((YEAR(D59)+11)&lt;YEAR(E59),0,IF((YEAR(D59)+11)&gt;YEAR(E59),1,(12-MONTH(E59)+1)/12))) + (Q59)*(IF((YEAR(D59)+11)&lt;YEAR(E59),0,IF((YEAR(D59)+11)&gt;YEAR(E59),1,(12-MONTH(E59)+1)/12))))-((P59)*(IF((YEAR(D59)+11)&lt;YEAR(E59),0,IF((YEAR(D59)+11)&gt;YEAR(E59),1,(12-MONTH(E59)+1)/12))) + (R59)*(IF((YEAR(D59)+11)&lt;YEAR(E59),0,IF((YEAR(D59)+11)&gt;YEAR(E59),1,(12-MONTH(E59)+1)/12))))-(IF((((K59)*(IF(M59="",L59,IFERROR(IF(INDEX(Variablen!$I:$AT, MATCH(M59, Variablen!$A:$A, 0), MATCH((YEAR(D59)+11), Variablen!$I$3:$AT$3, 0))="",L59,INDEX(Variablen!$I:$AT, MATCH(M59, Variablen!$A:$A, 0), MATCH((YEAR(D59)+11), Variablen!$I$3:$AT$3, 0))),L59)))*(IF((YEAR(D59)+11)&lt;YEAR(E59),0,IF((YEAR(D59)+11)&gt;YEAR(E59),1,(12-MONTH(E59)+1)/12))) + (Q59)*(IF((YEAR(D59)+11)&lt;YEAR(E59),0,IF((YEAR(D59)+11)&gt;YEAR(E59),1,(12-MONTH(E59)+1)/12))))-((P59)*(IF((YEAR(D59)+11)&lt;YEAR(E59),0,IF((YEAR(D59)+11)&gt;YEAR(E59),1,(12-MONTH(E59)+1)/12))) + (R59)*(IF((YEAR(D59)+11)&lt;YEAR(E59),0,IF((YEAR(D59)+11)&gt;YEAR(E59),1,(12-MONTH(E59)+1)/12))))-(IF(OR(N59="",N59&lt;=0),0,(O59/N59)*(IF(OR(N59="",N59&lt;=0),0,IF((YEAR(D59)+11)&lt;YEAR(E59),0,IF((YEAR(D59)+11)&gt;=YEAR(E59)+N59,0,IF((YEAR(D59)+11)=YEAR(E59),(12-MONTH(E59)+1)/12,1))))))))&gt;0,(((K59)*(IF(M59="",L59,IFERROR(IF(INDEX(Variablen!$I:$AT, MATCH(M59, Variablen!$A:$A, 0), MATCH((YEAR(D59)+11), Variablen!$I$3:$AT$3, 0))="",L59,INDEX(Variablen!$I:$AT, MATCH(M59, Variablen!$A:$A, 0), MATCH((YEAR(D59)+11), Variablen!$I$3:$AT$3, 0))),L59)))*(IF((YEAR(D59)+11)&lt;YEAR(E59),0,IF((YEAR(D59)+11)&gt;YEAR(E59),1,(12-MONTH(E59)+1)/12))) + (Q59)*(IF((YEAR(D59)+11)&lt;YEAR(E59),0,IF((YEAR(D59)+11)&gt;YEAR(E59),1,(12-MONTH(E59)+1)/12))))-((P59)*(IF((YEAR(D59)+11)&lt;YEAR(E59),0,IF((YEAR(D59)+11)&gt;YEAR(E59),1,(12-MONTH(E59)+1)/12))) + (R59)*(IF((YEAR(D59)+11)&lt;YEAR(E59),0,IF((YEAR(D59)+11)&gt;YEAR(E59),1,(12-MONTH(E59)+1)/12))))-(IF(OR(N59="",N59&lt;=0),0,(O59/N59)*(IF(OR(N59="",N59&lt;=0),0,IF((YEAR(D59)+11)&lt;YEAR(E59),0,IF((YEAR(D59)+11)&gt;=YEAR(E59)+N59,0,IF((YEAR(D59)+11)=YEAR(E59),(12-MONTH(E59)+1)/12,1))))))))*TaxRate,0))-IF(11=0,O59,0))</f>
        <v/>
      </c>
      <c r="AE59" s="29">
        <f>IF(A59="","",((K59)*(IF(M59="",L59,IFERROR(IF(INDEX(Variablen!$I:$AT, MATCH(M59, Variablen!$A:$A, 0), MATCH((YEAR(D59)+12), Variablen!$I$3:$AT$3, 0))="",L59,INDEX(Variablen!$I:$AT, MATCH(M59, Variablen!$A:$A, 0), MATCH((YEAR(D59)+12), Variablen!$I$3:$AT$3, 0))),L59)))*(IF((YEAR(D59)+12)&lt;YEAR(E59),0,IF((YEAR(D59)+12)&gt;YEAR(E59),1,(12-MONTH(E59)+1)/12))) + (Q59)*(IF((YEAR(D59)+12)&lt;YEAR(E59),0,IF((YEAR(D59)+12)&gt;YEAR(E59),1,(12-MONTH(E59)+1)/12))))-((P59)*(IF((YEAR(D59)+12)&lt;YEAR(E59),0,IF((YEAR(D59)+12)&gt;YEAR(E59),1,(12-MONTH(E59)+1)/12))) + (R59)*(IF((YEAR(D59)+12)&lt;YEAR(E59),0,IF((YEAR(D59)+12)&gt;YEAR(E59),1,(12-MONTH(E59)+1)/12))))-(IF((((K59)*(IF(M59="",L59,IFERROR(IF(INDEX(Variablen!$I:$AT, MATCH(M59, Variablen!$A:$A, 0), MATCH((YEAR(D59)+12), Variablen!$I$3:$AT$3, 0))="",L59,INDEX(Variablen!$I:$AT, MATCH(M59, Variablen!$A:$A, 0), MATCH((YEAR(D59)+12), Variablen!$I$3:$AT$3, 0))),L59)))*(IF((YEAR(D59)+12)&lt;YEAR(E59),0,IF((YEAR(D59)+12)&gt;YEAR(E59),1,(12-MONTH(E59)+1)/12))) + (Q59)*(IF((YEAR(D59)+12)&lt;YEAR(E59),0,IF((YEAR(D59)+12)&gt;YEAR(E59),1,(12-MONTH(E59)+1)/12))))-((P59)*(IF((YEAR(D59)+12)&lt;YEAR(E59),0,IF((YEAR(D59)+12)&gt;YEAR(E59),1,(12-MONTH(E59)+1)/12))) + (R59)*(IF((YEAR(D59)+12)&lt;YEAR(E59),0,IF((YEAR(D59)+12)&gt;YEAR(E59),1,(12-MONTH(E59)+1)/12))))-(IF(OR(N59="",N59&lt;=0),0,(O59/N59)*(IF(OR(N59="",N59&lt;=0),0,IF((YEAR(D59)+12)&lt;YEAR(E59),0,IF((YEAR(D59)+12)&gt;=YEAR(E59)+N59,0,IF((YEAR(D59)+12)=YEAR(E59),(12-MONTH(E59)+1)/12,1))))))))&gt;0,(((K59)*(IF(M59="",L59,IFERROR(IF(INDEX(Variablen!$I:$AT, MATCH(M59, Variablen!$A:$A, 0), MATCH((YEAR(D59)+12), Variablen!$I$3:$AT$3, 0))="",L59,INDEX(Variablen!$I:$AT, MATCH(M59, Variablen!$A:$A, 0), MATCH((YEAR(D59)+12), Variablen!$I$3:$AT$3, 0))),L59)))*(IF((YEAR(D59)+12)&lt;YEAR(E59),0,IF((YEAR(D59)+12)&gt;YEAR(E59),1,(12-MONTH(E59)+1)/12))) + (Q59)*(IF((YEAR(D59)+12)&lt;YEAR(E59),0,IF((YEAR(D59)+12)&gt;YEAR(E59),1,(12-MONTH(E59)+1)/12))))-((P59)*(IF((YEAR(D59)+12)&lt;YEAR(E59),0,IF((YEAR(D59)+12)&gt;YEAR(E59),1,(12-MONTH(E59)+1)/12))) + (R59)*(IF((YEAR(D59)+12)&lt;YEAR(E59),0,IF((YEAR(D59)+12)&gt;YEAR(E59),1,(12-MONTH(E59)+1)/12))))-(IF(OR(N59="",N59&lt;=0),0,(O59/N59)*(IF(OR(N59="",N59&lt;=0),0,IF((YEAR(D59)+12)&lt;YEAR(E59),0,IF((YEAR(D59)+12)&gt;=YEAR(E59)+N59,0,IF((YEAR(D59)+12)=YEAR(E59),(12-MONTH(E59)+1)/12,1))))))))*TaxRate,0))-IF(12=0,O59,0))</f>
        <v/>
      </c>
      <c r="AF59" s="29">
        <f>IF(A59="","",((K59)*(IF(M59="",L59,IFERROR(IF(INDEX(Variablen!$I:$AT, MATCH(M59, Variablen!$A:$A, 0), MATCH((YEAR(D59)+13), Variablen!$I$3:$AT$3, 0))="",L59,INDEX(Variablen!$I:$AT, MATCH(M59, Variablen!$A:$A, 0), MATCH((YEAR(D59)+13), Variablen!$I$3:$AT$3, 0))),L59)))*(IF((YEAR(D59)+13)&lt;YEAR(E59),0,IF((YEAR(D59)+13)&gt;YEAR(E59),1,(12-MONTH(E59)+1)/12))) + (Q59)*(IF((YEAR(D59)+13)&lt;YEAR(E59),0,IF((YEAR(D59)+13)&gt;YEAR(E59),1,(12-MONTH(E59)+1)/12))))-((P59)*(IF((YEAR(D59)+13)&lt;YEAR(E59),0,IF((YEAR(D59)+13)&gt;YEAR(E59),1,(12-MONTH(E59)+1)/12))) + (R59)*(IF((YEAR(D59)+13)&lt;YEAR(E59),0,IF((YEAR(D59)+13)&gt;YEAR(E59),1,(12-MONTH(E59)+1)/12))))-(IF((((K59)*(IF(M59="",L59,IFERROR(IF(INDEX(Variablen!$I:$AT, MATCH(M59, Variablen!$A:$A, 0), MATCH((YEAR(D59)+13), Variablen!$I$3:$AT$3, 0))="",L59,INDEX(Variablen!$I:$AT, MATCH(M59, Variablen!$A:$A, 0), MATCH((YEAR(D59)+13), Variablen!$I$3:$AT$3, 0))),L59)))*(IF((YEAR(D59)+13)&lt;YEAR(E59),0,IF((YEAR(D59)+13)&gt;YEAR(E59),1,(12-MONTH(E59)+1)/12))) + (Q59)*(IF((YEAR(D59)+13)&lt;YEAR(E59),0,IF((YEAR(D59)+13)&gt;YEAR(E59),1,(12-MONTH(E59)+1)/12))))-((P59)*(IF((YEAR(D59)+13)&lt;YEAR(E59),0,IF((YEAR(D59)+13)&gt;YEAR(E59),1,(12-MONTH(E59)+1)/12))) + (R59)*(IF((YEAR(D59)+13)&lt;YEAR(E59),0,IF((YEAR(D59)+13)&gt;YEAR(E59),1,(12-MONTH(E59)+1)/12))))-(IF(OR(N59="",N59&lt;=0),0,(O59/N59)*(IF(OR(N59="",N59&lt;=0),0,IF((YEAR(D59)+13)&lt;YEAR(E59),0,IF((YEAR(D59)+13)&gt;=YEAR(E59)+N59,0,IF((YEAR(D59)+13)=YEAR(E59),(12-MONTH(E59)+1)/12,1))))))))&gt;0,(((K59)*(IF(M59="",L59,IFERROR(IF(INDEX(Variablen!$I:$AT, MATCH(M59, Variablen!$A:$A, 0), MATCH((YEAR(D59)+13), Variablen!$I$3:$AT$3, 0))="",L59,INDEX(Variablen!$I:$AT, MATCH(M59, Variablen!$A:$A, 0), MATCH((YEAR(D59)+13), Variablen!$I$3:$AT$3, 0))),L59)))*(IF((YEAR(D59)+13)&lt;YEAR(E59),0,IF((YEAR(D59)+13)&gt;YEAR(E59),1,(12-MONTH(E59)+1)/12))) + (Q59)*(IF((YEAR(D59)+13)&lt;YEAR(E59),0,IF((YEAR(D59)+13)&gt;YEAR(E59),1,(12-MONTH(E59)+1)/12))))-((P59)*(IF((YEAR(D59)+13)&lt;YEAR(E59),0,IF((YEAR(D59)+13)&gt;YEAR(E59),1,(12-MONTH(E59)+1)/12))) + (R59)*(IF((YEAR(D59)+13)&lt;YEAR(E59),0,IF((YEAR(D59)+13)&gt;YEAR(E59),1,(12-MONTH(E59)+1)/12))))-(IF(OR(N59="",N59&lt;=0),0,(O59/N59)*(IF(OR(N59="",N59&lt;=0),0,IF((YEAR(D59)+13)&lt;YEAR(E59),0,IF((YEAR(D59)+13)&gt;=YEAR(E59)+N59,0,IF((YEAR(D59)+13)=YEAR(E59),(12-MONTH(E59)+1)/12,1))))))))*TaxRate,0))-IF(13=0,O59,0))</f>
        <v/>
      </c>
      <c r="AG59" s="29">
        <f>IF(A59="","",((K59)*(IF(M59="",L59,IFERROR(IF(INDEX(Variablen!$I:$AT, MATCH(M59, Variablen!$A:$A, 0), MATCH((YEAR(D59)+14), Variablen!$I$3:$AT$3, 0))="",L59,INDEX(Variablen!$I:$AT, MATCH(M59, Variablen!$A:$A, 0), MATCH((YEAR(D59)+14), Variablen!$I$3:$AT$3, 0))),L59)))*(IF((YEAR(D59)+14)&lt;YEAR(E59),0,IF((YEAR(D59)+14)&gt;YEAR(E59),1,(12-MONTH(E59)+1)/12))) + (Q59)*(IF((YEAR(D59)+14)&lt;YEAR(E59),0,IF((YEAR(D59)+14)&gt;YEAR(E59),1,(12-MONTH(E59)+1)/12))))-((P59)*(IF((YEAR(D59)+14)&lt;YEAR(E59),0,IF((YEAR(D59)+14)&gt;YEAR(E59),1,(12-MONTH(E59)+1)/12))) + (R59)*(IF((YEAR(D59)+14)&lt;YEAR(E59),0,IF((YEAR(D59)+14)&gt;YEAR(E59),1,(12-MONTH(E59)+1)/12))))-(IF((((K59)*(IF(M59="",L59,IFERROR(IF(INDEX(Variablen!$I:$AT, MATCH(M59, Variablen!$A:$A, 0), MATCH((YEAR(D59)+14), Variablen!$I$3:$AT$3, 0))="",L59,INDEX(Variablen!$I:$AT, MATCH(M59, Variablen!$A:$A, 0), MATCH((YEAR(D59)+14), Variablen!$I$3:$AT$3, 0))),L59)))*(IF((YEAR(D59)+14)&lt;YEAR(E59),0,IF((YEAR(D59)+14)&gt;YEAR(E59),1,(12-MONTH(E59)+1)/12))) + (Q59)*(IF((YEAR(D59)+14)&lt;YEAR(E59),0,IF((YEAR(D59)+14)&gt;YEAR(E59),1,(12-MONTH(E59)+1)/12))))-((P59)*(IF((YEAR(D59)+14)&lt;YEAR(E59),0,IF((YEAR(D59)+14)&gt;YEAR(E59),1,(12-MONTH(E59)+1)/12))) + (R59)*(IF((YEAR(D59)+14)&lt;YEAR(E59),0,IF((YEAR(D59)+14)&gt;YEAR(E59),1,(12-MONTH(E59)+1)/12))))-(IF(OR(N59="",N59&lt;=0),0,(O59/N59)*(IF(OR(N59="",N59&lt;=0),0,IF((YEAR(D59)+14)&lt;YEAR(E59),0,IF((YEAR(D59)+14)&gt;=YEAR(E59)+N59,0,IF((YEAR(D59)+14)=YEAR(E59),(12-MONTH(E59)+1)/12,1))))))))&gt;0,(((K59)*(IF(M59="",L59,IFERROR(IF(INDEX(Variablen!$I:$AT, MATCH(M59, Variablen!$A:$A, 0), MATCH((YEAR(D59)+14), Variablen!$I$3:$AT$3, 0))="",L59,INDEX(Variablen!$I:$AT, MATCH(M59, Variablen!$A:$A, 0), MATCH((YEAR(D59)+14), Variablen!$I$3:$AT$3, 0))),L59)))*(IF((YEAR(D59)+14)&lt;YEAR(E59),0,IF((YEAR(D59)+14)&gt;YEAR(E59),1,(12-MONTH(E59)+1)/12))) + (Q59)*(IF((YEAR(D59)+14)&lt;YEAR(E59),0,IF((YEAR(D59)+14)&gt;YEAR(E59),1,(12-MONTH(E59)+1)/12))))-((P59)*(IF((YEAR(D59)+14)&lt;YEAR(E59),0,IF((YEAR(D59)+14)&gt;YEAR(E59),1,(12-MONTH(E59)+1)/12))) + (R59)*(IF((YEAR(D59)+14)&lt;YEAR(E59),0,IF((YEAR(D59)+14)&gt;YEAR(E59),1,(12-MONTH(E59)+1)/12))))-(IF(OR(N59="",N59&lt;=0),0,(O59/N59)*(IF(OR(N59="",N59&lt;=0),0,IF((YEAR(D59)+14)&lt;YEAR(E59),0,IF((YEAR(D59)+14)&gt;=YEAR(E59)+N59,0,IF((YEAR(D59)+14)=YEAR(E59),(12-MONTH(E59)+1)/12,1))))))))*TaxRate,0))-IF(14=0,O59,0))</f>
        <v/>
      </c>
      <c r="AH59" s="29">
        <f>IF(A59="","",((K59)*(IF(M59="",L59,IFERROR(IF(INDEX(Variablen!$I:$AT, MATCH(M59, Variablen!$A:$A, 0), MATCH((YEAR(D59)+15), Variablen!$I$3:$AT$3, 0))="",L59,INDEX(Variablen!$I:$AT, MATCH(M59, Variablen!$A:$A, 0), MATCH((YEAR(D59)+15), Variablen!$I$3:$AT$3, 0))),L59)))*(IF((YEAR(D59)+15)&lt;YEAR(E59),0,IF((YEAR(D59)+15)&gt;YEAR(E59),1,(12-MONTH(E59)+1)/12))) + (Q59)*(IF((YEAR(D59)+15)&lt;YEAR(E59),0,IF((YEAR(D59)+15)&gt;YEAR(E59),1,(12-MONTH(E59)+1)/12))))-((P59)*(IF((YEAR(D59)+15)&lt;YEAR(E59),0,IF((YEAR(D59)+15)&gt;YEAR(E59),1,(12-MONTH(E59)+1)/12))) + (R59)*(IF((YEAR(D59)+15)&lt;YEAR(E59),0,IF((YEAR(D59)+15)&gt;YEAR(E59),1,(12-MONTH(E59)+1)/12))))-(IF((((K59)*(IF(M59="",L59,IFERROR(IF(INDEX(Variablen!$I:$AT, MATCH(M59, Variablen!$A:$A, 0), MATCH((YEAR(D59)+15), Variablen!$I$3:$AT$3, 0))="",L59,INDEX(Variablen!$I:$AT, MATCH(M59, Variablen!$A:$A, 0), MATCH((YEAR(D59)+15), Variablen!$I$3:$AT$3, 0))),L59)))*(IF((YEAR(D59)+15)&lt;YEAR(E59),0,IF((YEAR(D59)+15)&gt;YEAR(E59),1,(12-MONTH(E59)+1)/12))) + (Q59)*(IF((YEAR(D59)+15)&lt;YEAR(E59),0,IF((YEAR(D59)+15)&gt;YEAR(E59),1,(12-MONTH(E59)+1)/12))))-((P59)*(IF((YEAR(D59)+15)&lt;YEAR(E59),0,IF((YEAR(D59)+15)&gt;YEAR(E59),1,(12-MONTH(E59)+1)/12))) + (R59)*(IF((YEAR(D59)+15)&lt;YEAR(E59),0,IF((YEAR(D59)+15)&gt;YEAR(E59),1,(12-MONTH(E59)+1)/12))))-(IF(OR(N59="",N59&lt;=0),0,(O59/N59)*(IF(OR(N59="",N59&lt;=0),0,IF((YEAR(D59)+15)&lt;YEAR(E59),0,IF((YEAR(D59)+15)&gt;=YEAR(E59)+N59,0,IF((YEAR(D59)+15)=YEAR(E59),(12-MONTH(E59)+1)/12,1))))))))&gt;0,(((K59)*(IF(M59="",L59,IFERROR(IF(INDEX(Variablen!$I:$AT, MATCH(M59, Variablen!$A:$A, 0), MATCH((YEAR(D59)+15), Variablen!$I$3:$AT$3, 0))="",L59,INDEX(Variablen!$I:$AT, MATCH(M59, Variablen!$A:$A, 0), MATCH((YEAR(D59)+15), Variablen!$I$3:$AT$3, 0))),L59)))*(IF((YEAR(D59)+15)&lt;YEAR(E59),0,IF((YEAR(D59)+15)&gt;YEAR(E59),1,(12-MONTH(E59)+1)/12))) + (Q59)*(IF((YEAR(D59)+15)&lt;YEAR(E59),0,IF((YEAR(D59)+15)&gt;YEAR(E59),1,(12-MONTH(E59)+1)/12))))-((P59)*(IF((YEAR(D59)+15)&lt;YEAR(E59),0,IF((YEAR(D59)+15)&gt;YEAR(E59),1,(12-MONTH(E59)+1)/12))) + (R59)*(IF((YEAR(D59)+15)&lt;YEAR(E59),0,IF((YEAR(D59)+15)&gt;YEAR(E59),1,(12-MONTH(E59)+1)/12))))-(IF(OR(N59="",N59&lt;=0),0,(O59/N59)*(IF(OR(N59="",N59&lt;=0),0,IF((YEAR(D59)+15)&lt;YEAR(E59),0,IF((YEAR(D59)+15)&gt;=YEAR(E59)+N59,0,IF((YEAR(D59)+15)=YEAR(E59),(12-MONTH(E59)+1)/12,1))))))))*TaxRate,0))-IF(15=0,O59,0))</f>
        <v/>
      </c>
      <c r="AI59" s="29">
        <f>IF(A59="","",((K59)*(IF(M59="",L59,IFERROR(IF(INDEX(Variablen!$I:$AT, MATCH(M59, Variablen!$A:$A, 0), MATCH((YEAR(D59)+16), Variablen!$I$3:$AT$3, 0))="",L59,INDEX(Variablen!$I:$AT, MATCH(M59, Variablen!$A:$A, 0), MATCH((YEAR(D59)+16), Variablen!$I$3:$AT$3, 0))),L59)))*(IF((YEAR(D59)+16)&lt;YEAR(E59),0,IF((YEAR(D59)+16)&gt;YEAR(E59),1,(12-MONTH(E59)+1)/12))) + (Q59)*(IF((YEAR(D59)+16)&lt;YEAR(E59),0,IF((YEAR(D59)+16)&gt;YEAR(E59),1,(12-MONTH(E59)+1)/12))))-((P59)*(IF((YEAR(D59)+16)&lt;YEAR(E59),0,IF((YEAR(D59)+16)&gt;YEAR(E59),1,(12-MONTH(E59)+1)/12))) + (R59)*(IF((YEAR(D59)+16)&lt;YEAR(E59),0,IF((YEAR(D59)+16)&gt;YEAR(E59),1,(12-MONTH(E59)+1)/12))))-(IF((((K59)*(IF(M59="",L59,IFERROR(IF(INDEX(Variablen!$I:$AT, MATCH(M59, Variablen!$A:$A, 0), MATCH((YEAR(D59)+16), Variablen!$I$3:$AT$3, 0))="",L59,INDEX(Variablen!$I:$AT, MATCH(M59, Variablen!$A:$A, 0), MATCH((YEAR(D59)+16), Variablen!$I$3:$AT$3, 0))),L59)))*(IF((YEAR(D59)+16)&lt;YEAR(E59),0,IF((YEAR(D59)+16)&gt;YEAR(E59),1,(12-MONTH(E59)+1)/12))) + (Q59)*(IF((YEAR(D59)+16)&lt;YEAR(E59),0,IF((YEAR(D59)+16)&gt;YEAR(E59),1,(12-MONTH(E59)+1)/12))))-((P59)*(IF((YEAR(D59)+16)&lt;YEAR(E59),0,IF((YEAR(D59)+16)&gt;YEAR(E59),1,(12-MONTH(E59)+1)/12))) + (R59)*(IF((YEAR(D59)+16)&lt;YEAR(E59),0,IF((YEAR(D59)+16)&gt;YEAR(E59),1,(12-MONTH(E59)+1)/12))))-(IF(OR(N59="",N59&lt;=0),0,(O59/N59)*(IF(OR(N59="",N59&lt;=0),0,IF((YEAR(D59)+16)&lt;YEAR(E59),0,IF((YEAR(D59)+16)&gt;=YEAR(E59)+N59,0,IF((YEAR(D59)+16)=YEAR(E59),(12-MONTH(E59)+1)/12,1))))))))&gt;0,(((K59)*(IF(M59="",L59,IFERROR(IF(INDEX(Variablen!$I:$AT, MATCH(M59, Variablen!$A:$A, 0), MATCH((YEAR(D59)+16), Variablen!$I$3:$AT$3, 0))="",L59,INDEX(Variablen!$I:$AT, MATCH(M59, Variablen!$A:$A, 0), MATCH((YEAR(D59)+16), Variablen!$I$3:$AT$3, 0))),L59)))*(IF((YEAR(D59)+16)&lt;YEAR(E59),0,IF((YEAR(D59)+16)&gt;YEAR(E59),1,(12-MONTH(E59)+1)/12))) + (Q59)*(IF((YEAR(D59)+16)&lt;YEAR(E59),0,IF((YEAR(D59)+16)&gt;YEAR(E59),1,(12-MONTH(E59)+1)/12))))-((P59)*(IF((YEAR(D59)+16)&lt;YEAR(E59),0,IF((YEAR(D59)+16)&gt;YEAR(E59),1,(12-MONTH(E59)+1)/12))) + (R59)*(IF((YEAR(D59)+16)&lt;YEAR(E59),0,IF((YEAR(D59)+16)&gt;YEAR(E59),1,(12-MONTH(E59)+1)/12))))-(IF(OR(N59="",N59&lt;=0),0,(O59/N59)*(IF(OR(N59="",N59&lt;=0),0,IF((YEAR(D59)+16)&lt;YEAR(E59),0,IF((YEAR(D59)+16)&gt;=YEAR(E59)+N59,0,IF((YEAR(D59)+16)=YEAR(E59),(12-MONTH(E59)+1)/12,1))))))))*TaxRate,0))-IF(16=0,O59,0))</f>
        <v/>
      </c>
      <c r="AJ59" s="29">
        <f>IF(A59="","",((K59)*(IF(M59="",L59,IFERROR(IF(INDEX(Variablen!$I:$AT, MATCH(M59, Variablen!$A:$A, 0), MATCH((YEAR(D59)+17), Variablen!$I$3:$AT$3, 0))="",L59,INDEX(Variablen!$I:$AT, MATCH(M59, Variablen!$A:$A, 0), MATCH((YEAR(D59)+17), Variablen!$I$3:$AT$3, 0))),L59)))*(IF((YEAR(D59)+17)&lt;YEAR(E59),0,IF((YEAR(D59)+17)&gt;YEAR(E59),1,(12-MONTH(E59)+1)/12))) + (Q59)*(IF((YEAR(D59)+17)&lt;YEAR(E59),0,IF((YEAR(D59)+17)&gt;YEAR(E59),1,(12-MONTH(E59)+1)/12))))-((P59)*(IF((YEAR(D59)+17)&lt;YEAR(E59),0,IF((YEAR(D59)+17)&gt;YEAR(E59),1,(12-MONTH(E59)+1)/12))) + (R59)*(IF((YEAR(D59)+17)&lt;YEAR(E59),0,IF((YEAR(D59)+17)&gt;YEAR(E59),1,(12-MONTH(E59)+1)/12))))-(IF((((K59)*(IF(M59="",L59,IFERROR(IF(INDEX(Variablen!$I:$AT, MATCH(M59, Variablen!$A:$A, 0), MATCH((YEAR(D59)+17), Variablen!$I$3:$AT$3, 0))="",L59,INDEX(Variablen!$I:$AT, MATCH(M59, Variablen!$A:$A, 0), MATCH((YEAR(D59)+17), Variablen!$I$3:$AT$3, 0))),L59)))*(IF((YEAR(D59)+17)&lt;YEAR(E59),0,IF((YEAR(D59)+17)&gt;YEAR(E59),1,(12-MONTH(E59)+1)/12))) + (Q59)*(IF((YEAR(D59)+17)&lt;YEAR(E59),0,IF((YEAR(D59)+17)&gt;YEAR(E59),1,(12-MONTH(E59)+1)/12))))-((P59)*(IF((YEAR(D59)+17)&lt;YEAR(E59),0,IF((YEAR(D59)+17)&gt;YEAR(E59),1,(12-MONTH(E59)+1)/12))) + (R59)*(IF((YEAR(D59)+17)&lt;YEAR(E59),0,IF((YEAR(D59)+17)&gt;YEAR(E59),1,(12-MONTH(E59)+1)/12))))-(IF(OR(N59="",N59&lt;=0),0,(O59/N59)*(IF(OR(N59="",N59&lt;=0),0,IF((YEAR(D59)+17)&lt;YEAR(E59),0,IF((YEAR(D59)+17)&gt;=YEAR(E59)+N59,0,IF((YEAR(D59)+17)=YEAR(E59),(12-MONTH(E59)+1)/12,1))))))))&gt;0,(((K59)*(IF(M59="",L59,IFERROR(IF(INDEX(Variablen!$I:$AT, MATCH(M59, Variablen!$A:$A, 0), MATCH((YEAR(D59)+17), Variablen!$I$3:$AT$3, 0))="",L59,INDEX(Variablen!$I:$AT, MATCH(M59, Variablen!$A:$A, 0), MATCH((YEAR(D59)+17), Variablen!$I$3:$AT$3, 0))),L59)))*(IF((YEAR(D59)+17)&lt;YEAR(E59),0,IF((YEAR(D59)+17)&gt;YEAR(E59),1,(12-MONTH(E59)+1)/12))) + (Q59)*(IF((YEAR(D59)+17)&lt;YEAR(E59),0,IF((YEAR(D59)+17)&gt;YEAR(E59),1,(12-MONTH(E59)+1)/12))))-((P59)*(IF((YEAR(D59)+17)&lt;YEAR(E59),0,IF((YEAR(D59)+17)&gt;YEAR(E59),1,(12-MONTH(E59)+1)/12))) + (R59)*(IF((YEAR(D59)+17)&lt;YEAR(E59),0,IF((YEAR(D59)+17)&gt;YEAR(E59),1,(12-MONTH(E59)+1)/12))))-(IF(OR(N59="",N59&lt;=0),0,(O59/N59)*(IF(OR(N59="",N59&lt;=0),0,IF((YEAR(D59)+17)&lt;YEAR(E59),0,IF((YEAR(D59)+17)&gt;=YEAR(E59)+N59,0,IF((YEAR(D59)+17)=YEAR(E59),(12-MONTH(E59)+1)/12,1))))))))*TaxRate,0))-IF(17=0,O59,0))</f>
        <v/>
      </c>
      <c r="AK59" s="29">
        <f>IF(A59="","",((K59)*(IF(M59="",L59,IFERROR(IF(INDEX(Variablen!$I:$AT, MATCH(M59, Variablen!$A:$A, 0), MATCH((YEAR(D59)+18), Variablen!$I$3:$AT$3, 0))="",L59,INDEX(Variablen!$I:$AT, MATCH(M59, Variablen!$A:$A, 0), MATCH((YEAR(D59)+18), Variablen!$I$3:$AT$3, 0))),L59)))*(IF((YEAR(D59)+18)&lt;YEAR(E59),0,IF((YEAR(D59)+18)&gt;YEAR(E59),1,(12-MONTH(E59)+1)/12))) + (Q59)*(IF((YEAR(D59)+18)&lt;YEAR(E59),0,IF((YEAR(D59)+18)&gt;YEAR(E59),1,(12-MONTH(E59)+1)/12))))-((P59)*(IF((YEAR(D59)+18)&lt;YEAR(E59),0,IF((YEAR(D59)+18)&gt;YEAR(E59),1,(12-MONTH(E59)+1)/12))) + (R59)*(IF((YEAR(D59)+18)&lt;YEAR(E59),0,IF((YEAR(D59)+18)&gt;YEAR(E59),1,(12-MONTH(E59)+1)/12))))-(IF((((K59)*(IF(M59="",L59,IFERROR(IF(INDEX(Variablen!$I:$AT, MATCH(M59, Variablen!$A:$A, 0), MATCH((YEAR(D59)+18), Variablen!$I$3:$AT$3, 0))="",L59,INDEX(Variablen!$I:$AT, MATCH(M59, Variablen!$A:$A, 0), MATCH((YEAR(D59)+18), Variablen!$I$3:$AT$3, 0))),L59)))*(IF((YEAR(D59)+18)&lt;YEAR(E59),0,IF((YEAR(D59)+18)&gt;YEAR(E59),1,(12-MONTH(E59)+1)/12))) + (Q59)*(IF((YEAR(D59)+18)&lt;YEAR(E59),0,IF((YEAR(D59)+18)&gt;YEAR(E59),1,(12-MONTH(E59)+1)/12))))-((P59)*(IF((YEAR(D59)+18)&lt;YEAR(E59),0,IF((YEAR(D59)+18)&gt;YEAR(E59),1,(12-MONTH(E59)+1)/12))) + (R59)*(IF((YEAR(D59)+18)&lt;YEAR(E59),0,IF((YEAR(D59)+18)&gt;YEAR(E59),1,(12-MONTH(E59)+1)/12))))-(IF(OR(N59="",N59&lt;=0),0,(O59/N59)*(IF(OR(N59="",N59&lt;=0),0,IF((YEAR(D59)+18)&lt;YEAR(E59),0,IF((YEAR(D59)+18)&gt;=YEAR(E59)+N59,0,IF((YEAR(D59)+18)=YEAR(E59),(12-MONTH(E59)+1)/12,1))))))))&gt;0,(((K59)*(IF(M59="",L59,IFERROR(IF(INDEX(Variablen!$I:$AT, MATCH(M59, Variablen!$A:$A, 0), MATCH((YEAR(D59)+18), Variablen!$I$3:$AT$3, 0))="",L59,INDEX(Variablen!$I:$AT, MATCH(M59, Variablen!$A:$A, 0), MATCH((YEAR(D59)+18), Variablen!$I$3:$AT$3, 0))),L59)))*(IF((YEAR(D59)+18)&lt;YEAR(E59),0,IF((YEAR(D59)+18)&gt;YEAR(E59),1,(12-MONTH(E59)+1)/12))) + (Q59)*(IF((YEAR(D59)+18)&lt;YEAR(E59),0,IF((YEAR(D59)+18)&gt;YEAR(E59),1,(12-MONTH(E59)+1)/12))))-((P59)*(IF((YEAR(D59)+18)&lt;YEAR(E59),0,IF((YEAR(D59)+18)&gt;YEAR(E59),1,(12-MONTH(E59)+1)/12))) + (R59)*(IF((YEAR(D59)+18)&lt;YEAR(E59),0,IF((YEAR(D59)+18)&gt;YEAR(E59),1,(12-MONTH(E59)+1)/12))))-(IF(OR(N59="",N59&lt;=0),0,(O59/N59)*(IF(OR(N59="",N59&lt;=0),0,IF((YEAR(D59)+18)&lt;YEAR(E59),0,IF((YEAR(D59)+18)&gt;=YEAR(E59)+N59,0,IF((YEAR(D59)+18)=YEAR(E59),(12-MONTH(E59)+1)/12,1))))))))*TaxRate,0))-IF(18=0,O59,0))</f>
        <v/>
      </c>
      <c r="AL59" s="29">
        <f>IF(A59="","",((K59)*(IF(M59="",L59,IFERROR(IF(INDEX(Variablen!$I:$AT, MATCH(M59, Variablen!$A:$A, 0), MATCH((YEAR(D59)+19), Variablen!$I$3:$AT$3, 0))="",L59,INDEX(Variablen!$I:$AT, MATCH(M59, Variablen!$A:$A, 0), MATCH((YEAR(D59)+19), Variablen!$I$3:$AT$3, 0))),L59)))*(IF((YEAR(D59)+19)&lt;YEAR(E59),0,IF((YEAR(D59)+19)&gt;YEAR(E59),1,(12-MONTH(E59)+1)/12))) + (Q59)*(IF((YEAR(D59)+19)&lt;YEAR(E59),0,IF((YEAR(D59)+19)&gt;YEAR(E59),1,(12-MONTH(E59)+1)/12))))-((P59)*(IF((YEAR(D59)+19)&lt;YEAR(E59),0,IF((YEAR(D59)+19)&gt;YEAR(E59),1,(12-MONTH(E59)+1)/12))) + (R59)*(IF((YEAR(D59)+19)&lt;YEAR(E59),0,IF((YEAR(D59)+19)&gt;YEAR(E59),1,(12-MONTH(E59)+1)/12))))-(IF((((K59)*(IF(M59="",L59,IFERROR(IF(INDEX(Variablen!$I:$AT, MATCH(M59, Variablen!$A:$A, 0), MATCH((YEAR(D59)+19), Variablen!$I$3:$AT$3, 0))="",L59,INDEX(Variablen!$I:$AT, MATCH(M59, Variablen!$A:$A, 0), MATCH((YEAR(D59)+19), Variablen!$I$3:$AT$3, 0))),L59)))*(IF((YEAR(D59)+19)&lt;YEAR(E59),0,IF((YEAR(D59)+19)&gt;YEAR(E59),1,(12-MONTH(E59)+1)/12))) + (Q59)*(IF((YEAR(D59)+19)&lt;YEAR(E59),0,IF((YEAR(D59)+19)&gt;YEAR(E59),1,(12-MONTH(E59)+1)/12))))-((P59)*(IF((YEAR(D59)+19)&lt;YEAR(E59),0,IF((YEAR(D59)+19)&gt;YEAR(E59),1,(12-MONTH(E59)+1)/12))) + (R59)*(IF((YEAR(D59)+19)&lt;YEAR(E59),0,IF((YEAR(D59)+19)&gt;YEAR(E59),1,(12-MONTH(E59)+1)/12))))-(IF(OR(N59="",N59&lt;=0),0,(O59/N59)*(IF(OR(N59="",N59&lt;=0),0,IF((YEAR(D59)+19)&lt;YEAR(E59),0,IF((YEAR(D59)+19)&gt;=YEAR(E59)+N59,0,IF((YEAR(D59)+19)=YEAR(E59),(12-MONTH(E59)+1)/12,1))))))))&gt;0,(((K59)*(IF(M59="",L59,IFERROR(IF(INDEX(Variablen!$I:$AT, MATCH(M59, Variablen!$A:$A, 0), MATCH((YEAR(D59)+19), Variablen!$I$3:$AT$3, 0))="",L59,INDEX(Variablen!$I:$AT, MATCH(M59, Variablen!$A:$A, 0), MATCH((YEAR(D59)+19), Variablen!$I$3:$AT$3, 0))),L59)))*(IF((YEAR(D59)+19)&lt;YEAR(E59),0,IF((YEAR(D59)+19)&gt;YEAR(E59),1,(12-MONTH(E59)+1)/12))) + (Q59)*(IF((YEAR(D59)+19)&lt;YEAR(E59),0,IF((YEAR(D59)+19)&gt;YEAR(E59),1,(12-MONTH(E59)+1)/12))))-((P59)*(IF((YEAR(D59)+19)&lt;YEAR(E59),0,IF((YEAR(D59)+19)&gt;YEAR(E59),1,(12-MONTH(E59)+1)/12))) + (R59)*(IF((YEAR(D59)+19)&lt;YEAR(E59),0,IF((YEAR(D59)+19)&gt;YEAR(E59),1,(12-MONTH(E59)+1)/12))))-(IF(OR(N59="",N59&lt;=0),0,(O59/N59)*(IF(OR(N59="",N59&lt;=0),0,IF((YEAR(D59)+19)&lt;YEAR(E59),0,IF((YEAR(D59)+19)&gt;=YEAR(E59)+N59,0,IF((YEAR(D59)+19)=YEAR(E59),(12-MONTH(E59)+1)/12,1))))))))*TaxRate,0))-IF(19=0,O59,0))</f>
        <v/>
      </c>
      <c r="AM59" s="29">
        <f>IF(A59="","",((K59)*(IF(M59="",L59,IFERROR(IF(INDEX(Variablen!$I:$AT, MATCH(M59, Variablen!$A:$A, 0), MATCH((YEAR(D59)+20), Variablen!$I$3:$AT$3, 0))="",L59,INDEX(Variablen!$I:$AT, MATCH(M59, Variablen!$A:$A, 0), MATCH((YEAR(D59)+20), Variablen!$I$3:$AT$3, 0))),L59)))*(IF((YEAR(D59)+20)&lt;YEAR(E59),0,IF((YEAR(D59)+20)&gt;YEAR(E59),1,(12-MONTH(E59)+1)/12))) + (Q59)*(IF((YEAR(D59)+20)&lt;YEAR(E59),0,IF((YEAR(D59)+20)&gt;YEAR(E59),1,(12-MONTH(E59)+1)/12))))-((P59)*(IF((YEAR(D59)+20)&lt;YEAR(E59),0,IF((YEAR(D59)+20)&gt;YEAR(E59),1,(12-MONTH(E59)+1)/12))) + (R59)*(IF((YEAR(D59)+20)&lt;YEAR(E59),0,IF((YEAR(D59)+20)&gt;YEAR(E59),1,(12-MONTH(E59)+1)/12))))-(IF((((K59)*(IF(M59="",L59,IFERROR(IF(INDEX(Variablen!$I:$AT, MATCH(M59, Variablen!$A:$A, 0), MATCH((YEAR(D59)+20), Variablen!$I$3:$AT$3, 0))="",L59,INDEX(Variablen!$I:$AT, MATCH(M59, Variablen!$A:$A, 0), MATCH((YEAR(D59)+20), Variablen!$I$3:$AT$3, 0))),L59)))*(IF((YEAR(D59)+20)&lt;YEAR(E59),0,IF((YEAR(D59)+20)&gt;YEAR(E59),1,(12-MONTH(E59)+1)/12))) + (Q59)*(IF((YEAR(D59)+20)&lt;YEAR(E59),0,IF((YEAR(D59)+20)&gt;YEAR(E59),1,(12-MONTH(E59)+1)/12))))-((P59)*(IF((YEAR(D59)+20)&lt;YEAR(E59),0,IF((YEAR(D59)+20)&gt;YEAR(E59),1,(12-MONTH(E59)+1)/12))) + (R59)*(IF((YEAR(D59)+20)&lt;YEAR(E59),0,IF((YEAR(D59)+20)&gt;YEAR(E59),1,(12-MONTH(E59)+1)/12))))-(IF(OR(N59="",N59&lt;=0),0,(O59/N59)*(IF(OR(N59="",N59&lt;=0),0,IF((YEAR(D59)+20)&lt;YEAR(E59),0,IF((YEAR(D59)+20)&gt;=YEAR(E59)+N59,0,IF((YEAR(D59)+20)=YEAR(E59),(12-MONTH(E59)+1)/12,1))))))))&gt;0,(((K59)*(IF(M59="",L59,IFERROR(IF(INDEX(Variablen!$I:$AT, MATCH(M59, Variablen!$A:$A, 0), MATCH((YEAR(D59)+20), Variablen!$I$3:$AT$3, 0))="",L59,INDEX(Variablen!$I:$AT, MATCH(M59, Variablen!$A:$A, 0), MATCH((YEAR(D59)+20), Variablen!$I$3:$AT$3, 0))),L59)))*(IF((YEAR(D59)+20)&lt;YEAR(E59),0,IF((YEAR(D59)+20)&gt;YEAR(E59),1,(12-MONTH(E59)+1)/12))) + (Q59)*(IF((YEAR(D59)+20)&lt;YEAR(E59),0,IF((YEAR(D59)+20)&gt;YEAR(E59),1,(12-MONTH(E59)+1)/12))))-((P59)*(IF((YEAR(D59)+20)&lt;YEAR(E59),0,IF((YEAR(D59)+20)&gt;YEAR(E59),1,(12-MONTH(E59)+1)/12))) + (R59)*(IF((YEAR(D59)+20)&lt;YEAR(E59),0,IF((YEAR(D59)+20)&gt;YEAR(E59),1,(12-MONTH(E59)+1)/12))))-(IF(OR(N59="",N59&lt;=0),0,(O59/N59)*(IF(OR(N59="",N59&lt;=0),0,IF((YEAR(D59)+20)&lt;YEAR(E59),0,IF((YEAR(D59)+20)&gt;=YEAR(E59)+N59,0,IF((YEAR(D59)+20)=YEAR(E59),(12-MONTH(E59)+1)/12,1))))))))*TaxRate,0))-IF(20=0,O59,0))</f>
        <v/>
      </c>
      <c r="AN59" s="29">
        <f>IF(A59="","",S59)</f>
        <v/>
      </c>
      <c r="AO59" s="29">
        <f>IF(A59="","",AN59+T59)</f>
        <v/>
      </c>
      <c r="AP59" s="29">
        <f>IF(A59="","",AO59+U59)</f>
        <v/>
      </c>
      <c r="AQ59" s="29">
        <f>IF(A59="","",AP59+V59)</f>
        <v/>
      </c>
      <c r="AR59" s="29">
        <f>IF(A59="","",AQ59+W59)</f>
        <v/>
      </c>
      <c r="AS59" s="29">
        <f>IF(A59="","",AR59+X59)</f>
        <v/>
      </c>
      <c r="AT59" s="29">
        <f>IF(A59="","",AS59+Y59)</f>
        <v/>
      </c>
      <c r="AU59" s="29">
        <f>IF(A59="","",AT59+Z59)</f>
        <v/>
      </c>
      <c r="AV59" s="29">
        <f>IF(A59="","",AU59+AA59)</f>
        <v/>
      </c>
      <c r="AW59" s="29">
        <f>IF(A59="","",AV59+AB59)</f>
        <v/>
      </c>
      <c r="AX59" s="29">
        <f>IF(A59="","",AW59+AC59)</f>
        <v/>
      </c>
      <c r="AY59" s="29">
        <f>IF(A59="","",AX59+AD59)</f>
        <v/>
      </c>
      <c r="AZ59" s="29">
        <f>IF(A59="","",AY59+AE59)</f>
        <v/>
      </c>
      <c r="BA59" s="29">
        <f>IF(A59="","",AZ59+AF59)</f>
        <v/>
      </c>
      <c r="BB59" s="29">
        <f>IF(A59="","",BA59+AG59)</f>
        <v/>
      </c>
      <c r="BC59" s="29">
        <f>IF(A59="","",BB59+AH59)</f>
        <v/>
      </c>
      <c r="BD59" s="29">
        <f>IF(A59="","",BC59+AI59)</f>
        <v/>
      </c>
      <c r="BE59" s="29">
        <f>IF(A59="","",BD59+AJ59)</f>
        <v/>
      </c>
      <c r="BF59" s="29">
        <f>IF(A59="","",BE59+AK59)</f>
        <v/>
      </c>
      <c r="BG59" s="29">
        <f>IF(A59="","",BF59+AL59)</f>
        <v/>
      </c>
      <c r="BH59" s="29">
        <f>IF(A59="","",BG59+AM59)</f>
        <v/>
      </c>
      <c r="BI59" s="36">
        <f>IF(A59="","",(K59)*(IF((YEAR(D59)+0)&lt;YEAR(E59),0,IF((YEAR(D59)+0)&gt;YEAR(E59),1,(12-MONTH(E59)+1)/12)))*(1/(1+DiscountRate)^0))</f>
        <v/>
      </c>
      <c r="BJ59" s="36">
        <f>IF(A59="","",(K59)*(IF((YEAR(D59)+1)&lt;YEAR(E59),0,IF((YEAR(D59)+1)&gt;YEAR(E59),1,(12-MONTH(E59)+1)/12)))*(1/(1+DiscountRate)^1))</f>
        <v/>
      </c>
      <c r="BK59" s="36">
        <f>IF(A59="","",(K59)*(IF((YEAR(D59)+2)&lt;YEAR(E59),0,IF((YEAR(D59)+2)&gt;YEAR(E59),1,(12-MONTH(E59)+1)/12)))*(1/(1+DiscountRate)^2))</f>
        <v/>
      </c>
      <c r="BL59" s="36">
        <f>IF(A59="","",(K59)*(IF((YEAR(D59)+3)&lt;YEAR(E59),0,IF((YEAR(D59)+3)&gt;YEAR(E59),1,(12-MONTH(E59)+1)/12)))*(1/(1+DiscountRate)^3))</f>
        <v/>
      </c>
      <c r="BM59" s="36">
        <f>IF(A59="","",(K59)*(IF((YEAR(D59)+4)&lt;YEAR(E59),0,IF((YEAR(D59)+4)&gt;YEAR(E59),1,(12-MONTH(E59)+1)/12)))*(1/(1+DiscountRate)^4))</f>
        <v/>
      </c>
      <c r="BN59" s="36">
        <f>IF(A59="","",(K59)*(IF((YEAR(D59)+5)&lt;YEAR(E59),0,IF((YEAR(D59)+5)&gt;YEAR(E59),1,(12-MONTH(E59)+1)/12)))*(1/(1+DiscountRate)^5))</f>
        <v/>
      </c>
      <c r="BO59" s="36">
        <f>IF(A59="","",(K59)*(IF((YEAR(D59)+6)&lt;YEAR(E59),0,IF((YEAR(D59)+6)&gt;YEAR(E59),1,(12-MONTH(E59)+1)/12)))*(1/(1+DiscountRate)^6))</f>
        <v/>
      </c>
      <c r="BP59" s="36">
        <f>IF(A59="","",(K59)*(IF((YEAR(D59)+7)&lt;YEAR(E59),0,IF((YEAR(D59)+7)&gt;YEAR(E59),1,(12-MONTH(E59)+1)/12)))*(1/(1+DiscountRate)^7))</f>
        <v/>
      </c>
      <c r="BQ59" s="36">
        <f>IF(A59="","",(K59)*(IF((YEAR(D59)+8)&lt;YEAR(E59),0,IF((YEAR(D59)+8)&gt;YEAR(E59),1,(12-MONTH(E59)+1)/12)))*(1/(1+DiscountRate)^8))</f>
        <v/>
      </c>
      <c r="BR59" s="36">
        <f>IF(A59="","",(K59)*(IF((YEAR(D59)+9)&lt;YEAR(E59),0,IF((YEAR(D59)+9)&gt;YEAR(E59),1,(12-MONTH(E59)+1)/12)))*(1/(1+DiscountRate)^9))</f>
        <v/>
      </c>
      <c r="BS59" s="36">
        <f>IF(A59="","",(K59)*(IF((YEAR(D59)+10)&lt;YEAR(E59),0,IF((YEAR(D59)+10)&gt;YEAR(E59),1,(12-MONTH(E59)+1)/12)))*(1/(1+DiscountRate)^10))</f>
        <v/>
      </c>
      <c r="BT59" s="36">
        <f>IF(A59="","",(K59)*(IF((YEAR(D59)+11)&lt;YEAR(E59),0,IF((YEAR(D59)+11)&gt;YEAR(E59),1,(12-MONTH(E59)+1)/12)))*(1/(1+DiscountRate)^11))</f>
        <v/>
      </c>
      <c r="BU59" s="36">
        <f>IF(A59="","",(K59)*(IF((YEAR(D59)+12)&lt;YEAR(E59),0,IF((YEAR(D59)+12)&gt;YEAR(E59),1,(12-MONTH(E59)+1)/12)))*(1/(1+DiscountRate)^12))</f>
        <v/>
      </c>
      <c r="BV59" s="36">
        <f>IF(A59="","",(K59)*(IF((YEAR(D59)+13)&lt;YEAR(E59),0,IF((YEAR(D59)+13)&gt;YEAR(E59),1,(12-MONTH(E59)+1)/12)))*(1/(1+DiscountRate)^13))</f>
        <v/>
      </c>
      <c r="BW59" s="36">
        <f>IF(A59="","",(K59)*(IF((YEAR(D59)+14)&lt;YEAR(E59),0,IF((YEAR(D59)+14)&gt;YEAR(E59),1,(12-MONTH(E59)+1)/12)))*(1/(1+DiscountRate)^14))</f>
        <v/>
      </c>
      <c r="BX59" s="36">
        <f>IF(A59="","",(K59)*(IF((YEAR(D59)+15)&lt;YEAR(E59),0,IF((YEAR(D59)+15)&gt;YEAR(E59),1,(12-MONTH(E59)+1)/12)))*(1/(1+DiscountRate)^15))</f>
        <v/>
      </c>
      <c r="BY59" s="36">
        <f>IF(A59="","",(K59)*(IF((YEAR(D59)+16)&lt;YEAR(E59),0,IF((YEAR(D59)+16)&gt;YEAR(E59),1,(12-MONTH(E59)+1)/12)))*(1/(1+DiscountRate)^16))</f>
        <v/>
      </c>
      <c r="BZ59" s="36">
        <f>IF(A59="","",(K59)*(IF((YEAR(D59)+17)&lt;YEAR(E59),0,IF((YEAR(D59)+17)&gt;YEAR(E59),1,(12-MONTH(E59)+1)/12)))*(1/(1+DiscountRate)^17))</f>
        <v/>
      </c>
      <c r="CA59" s="36">
        <f>IF(A59="","",(K59)*(IF((YEAR(D59)+18)&lt;YEAR(E59),0,IF((YEAR(D59)+18)&gt;YEAR(E59),1,(12-MONTH(E59)+1)/12)))*(1/(1+DiscountRate)^18))</f>
        <v/>
      </c>
      <c r="CB59" s="36">
        <f>IF(A59="","",(K59)*(IF((YEAR(D59)+19)&lt;YEAR(E59),0,IF((YEAR(D59)+19)&gt;YEAR(E59),1,(12-MONTH(E59)+1)/12)))*(1/(1+DiscountRate)^19))</f>
        <v/>
      </c>
      <c r="CC59" s="36">
        <f>IF(A59="","",(K59)*(IF((YEAR(D59)+20)&lt;YEAR(E59),0,IF((YEAR(D59)+20)&gt;YEAR(E59),1,(12-MONTH(E59)+1)/12)))*(1/(1+DiscountRate)^20))</f>
        <v/>
      </c>
      <c r="CD59" s="29">
        <f>IF(A59="","",S59/(1+DiscountRate)^0+T59/(1+DiscountRate)^1+U59/(1+DiscountRate)^2+V59/(1+DiscountRate)^3+W59/(1+DiscountRate)^4+X59/(1+DiscountRate)^5+Y59/(1+DiscountRate)^6+Z59/(1+DiscountRate)^7+AA59/(1+DiscountRate)^8+AB59/(1+DiscountRate)^9+AC59/(1+DiscountRate)^10+AD59/(1+DiscountRate)^11+AE59/(1+DiscountRate)^12+AF59/(1+DiscountRate)^13+AG59/(1+DiscountRate)^14+AH59/(1+DiscountRate)^15+AI59/(1+DiscountRate)^16+AJ59/(1+DiscountRate)^17+AK59/(1+DiscountRate)^18+AL59/(1+DiscountRate)^19+AM59/(1+DiscountRate)^20)</f>
        <v/>
      </c>
      <c r="CE59" s="37">
        <f>IF(A59="","",IFERROR(IRR(OFFSET(S59,0,0,1,MIN(HorizonYears,20)+1)),"n/a"))</f>
        <v/>
      </c>
      <c r="CF59" s="28">
        <f>IF(A59="","",IFERROR(MATCH(TRUE,OFFSET(AN59,0,0,1,MIN(HorizonYears,20)+1)&gt;=0,0)-1,"n/a"))</f>
        <v/>
      </c>
      <c r="CG59" s="36">
        <f>IF(A59="","",SUM(OFFSET(BI59,0,0,1,MIN(HorizonYears,20)+1)))</f>
        <v/>
      </c>
      <c r="CH59" s="36">
        <f>IF(A59="","",IFERROR(-CD59/CG59,"n/a"))</f>
        <v/>
      </c>
    </row>
    <row r="60">
      <c r="A60" s="6">
        <f>Actions!A58</f>
        <v/>
      </c>
      <c r="B60" s="6">
        <f>Actions!B58</f>
        <v/>
      </c>
      <c r="C60" s="6">
        <f>Actions!D58</f>
        <v/>
      </c>
      <c r="D60" s="35">
        <f>Actions!E58</f>
        <v/>
      </c>
      <c r="E60" s="35">
        <f>Actions!F58</f>
        <v/>
      </c>
      <c r="F60" s="6">
        <f>Actions!G58</f>
        <v/>
      </c>
      <c r="G60" s="6">
        <f>Actions!H58</f>
        <v/>
      </c>
      <c r="H60" s="29">
        <f>Actions!I58</f>
        <v/>
      </c>
      <c r="I60" s="6">
        <f>Actions!J58</f>
        <v/>
      </c>
      <c r="J60" s="16">
        <f>Actions!K58</f>
        <v/>
      </c>
      <c r="K60" s="16">
        <f>IF(A60="","",IF(I60="%",H60*J60,J60))</f>
        <v/>
      </c>
      <c r="L60" s="16">
        <f>Actions!L58</f>
        <v/>
      </c>
      <c r="M60" s="6">
        <f>Actions!M58</f>
        <v/>
      </c>
      <c r="N60" s="28">
        <f>Actions!N58</f>
        <v/>
      </c>
      <c r="O60" s="29">
        <f>Actions!T58</f>
        <v/>
      </c>
      <c r="P60" s="29">
        <f>Actions!Y58</f>
        <v/>
      </c>
      <c r="Q60" s="29">
        <f>Actions!Z58</f>
        <v/>
      </c>
      <c r="R60" s="29">
        <f>Actions!AA58</f>
        <v/>
      </c>
      <c r="S60" s="29">
        <f>IF(A60="","",((K60)*(IF(M60="",L60,IFERROR(IF(INDEX(Variablen!$I:$AT, MATCH(M60, Variablen!$A:$A, 0), MATCH((YEAR(D60)+0), Variablen!$I$3:$AT$3, 0))="",L60,INDEX(Variablen!$I:$AT, MATCH(M60, Variablen!$A:$A, 0), MATCH((YEAR(D60)+0), Variablen!$I$3:$AT$3, 0))),L60)))*(IF((YEAR(D60)+0)&lt;YEAR(E60),0,IF((YEAR(D60)+0)&gt;YEAR(E60),1,(12-MONTH(E60)+1)/12))) + (Q60)*(IF((YEAR(D60)+0)&lt;YEAR(E60),0,IF((YEAR(D60)+0)&gt;YEAR(E60),1,(12-MONTH(E60)+1)/12))))-((P60)*(IF((YEAR(D60)+0)&lt;YEAR(E60),0,IF((YEAR(D60)+0)&gt;YEAR(E60),1,(12-MONTH(E60)+1)/12))) + (R60)*(IF((YEAR(D60)+0)&lt;YEAR(E60),0,IF((YEAR(D60)+0)&gt;YEAR(E60),1,(12-MONTH(E60)+1)/12))))-(IF((((K60)*(IF(M60="",L60,IFERROR(IF(INDEX(Variablen!$I:$AT, MATCH(M60, Variablen!$A:$A, 0), MATCH((YEAR(D60)+0), Variablen!$I$3:$AT$3, 0))="",L60,INDEX(Variablen!$I:$AT, MATCH(M60, Variablen!$A:$A, 0), MATCH((YEAR(D60)+0), Variablen!$I$3:$AT$3, 0))),L60)))*(IF((YEAR(D60)+0)&lt;YEAR(E60),0,IF((YEAR(D60)+0)&gt;YEAR(E60),1,(12-MONTH(E60)+1)/12))) + (Q60)*(IF((YEAR(D60)+0)&lt;YEAR(E60),0,IF((YEAR(D60)+0)&gt;YEAR(E60),1,(12-MONTH(E60)+1)/12))))-((P60)*(IF((YEAR(D60)+0)&lt;YEAR(E60),0,IF((YEAR(D60)+0)&gt;YEAR(E60),1,(12-MONTH(E60)+1)/12))) + (R60)*(IF((YEAR(D60)+0)&lt;YEAR(E60),0,IF((YEAR(D60)+0)&gt;YEAR(E60),1,(12-MONTH(E60)+1)/12))))-(IF(OR(N60="",N60&lt;=0),0,(O60/N60)*(IF(OR(N60="",N60&lt;=0),0,IF((YEAR(D60)+0)&lt;YEAR(E60),0,IF((YEAR(D60)+0)&gt;=YEAR(E60)+N60,0,IF((YEAR(D60)+0)=YEAR(E60),(12-MONTH(E60)+1)/12,1))))))))&gt;0,(((K60)*(IF(M60="",L60,IFERROR(IF(INDEX(Variablen!$I:$AT, MATCH(M60, Variablen!$A:$A, 0), MATCH((YEAR(D60)+0), Variablen!$I$3:$AT$3, 0))="",L60,INDEX(Variablen!$I:$AT, MATCH(M60, Variablen!$A:$A, 0), MATCH((YEAR(D60)+0), Variablen!$I$3:$AT$3, 0))),L60)))*(IF((YEAR(D60)+0)&lt;YEAR(E60),0,IF((YEAR(D60)+0)&gt;YEAR(E60),1,(12-MONTH(E60)+1)/12))) + (Q60)*(IF((YEAR(D60)+0)&lt;YEAR(E60),0,IF((YEAR(D60)+0)&gt;YEAR(E60),1,(12-MONTH(E60)+1)/12))))-((P60)*(IF((YEAR(D60)+0)&lt;YEAR(E60),0,IF((YEAR(D60)+0)&gt;YEAR(E60),1,(12-MONTH(E60)+1)/12))) + (R60)*(IF((YEAR(D60)+0)&lt;YEAR(E60),0,IF((YEAR(D60)+0)&gt;YEAR(E60),1,(12-MONTH(E60)+1)/12))))-(IF(OR(N60="",N60&lt;=0),0,(O60/N60)*(IF(OR(N60="",N60&lt;=0),0,IF((YEAR(D60)+0)&lt;YEAR(E60),0,IF((YEAR(D60)+0)&gt;=YEAR(E60)+N60,0,IF((YEAR(D60)+0)=YEAR(E60),(12-MONTH(E60)+1)/12,1))))))))*TaxRate,0))-IF(0=0,O60,0))</f>
        <v/>
      </c>
      <c r="T60" s="29">
        <f>IF(A60="","",((K60)*(IF(M60="",L60,IFERROR(IF(INDEX(Variablen!$I:$AT, MATCH(M60, Variablen!$A:$A, 0), MATCH((YEAR(D60)+1), Variablen!$I$3:$AT$3, 0))="",L60,INDEX(Variablen!$I:$AT, MATCH(M60, Variablen!$A:$A, 0), MATCH((YEAR(D60)+1), Variablen!$I$3:$AT$3, 0))),L60)))*(IF((YEAR(D60)+1)&lt;YEAR(E60),0,IF((YEAR(D60)+1)&gt;YEAR(E60),1,(12-MONTH(E60)+1)/12))) + (Q60)*(IF((YEAR(D60)+1)&lt;YEAR(E60),0,IF((YEAR(D60)+1)&gt;YEAR(E60),1,(12-MONTH(E60)+1)/12))))-((P60)*(IF((YEAR(D60)+1)&lt;YEAR(E60),0,IF((YEAR(D60)+1)&gt;YEAR(E60),1,(12-MONTH(E60)+1)/12))) + (R60)*(IF((YEAR(D60)+1)&lt;YEAR(E60),0,IF((YEAR(D60)+1)&gt;YEAR(E60),1,(12-MONTH(E60)+1)/12))))-(IF((((K60)*(IF(M60="",L60,IFERROR(IF(INDEX(Variablen!$I:$AT, MATCH(M60, Variablen!$A:$A, 0), MATCH((YEAR(D60)+1), Variablen!$I$3:$AT$3, 0))="",L60,INDEX(Variablen!$I:$AT, MATCH(M60, Variablen!$A:$A, 0), MATCH((YEAR(D60)+1), Variablen!$I$3:$AT$3, 0))),L60)))*(IF((YEAR(D60)+1)&lt;YEAR(E60),0,IF((YEAR(D60)+1)&gt;YEAR(E60),1,(12-MONTH(E60)+1)/12))) + (Q60)*(IF((YEAR(D60)+1)&lt;YEAR(E60),0,IF((YEAR(D60)+1)&gt;YEAR(E60),1,(12-MONTH(E60)+1)/12))))-((P60)*(IF((YEAR(D60)+1)&lt;YEAR(E60),0,IF((YEAR(D60)+1)&gt;YEAR(E60),1,(12-MONTH(E60)+1)/12))) + (R60)*(IF((YEAR(D60)+1)&lt;YEAR(E60),0,IF((YEAR(D60)+1)&gt;YEAR(E60),1,(12-MONTH(E60)+1)/12))))-(IF(OR(N60="",N60&lt;=0),0,(O60/N60)*(IF(OR(N60="",N60&lt;=0),0,IF((YEAR(D60)+1)&lt;YEAR(E60),0,IF((YEAR(D60)+1)&gt;=YEAR(E60)+N60,0,IF((YEAR(D60)+1)=YEAR(E60),(12-MONTH(E60)+1)/12,1))))))))&gt;0,(((K60)*(IF(M60="",L60,IFERROR(IF(INDEX(Variablen!$I:$AT, MATCH(M60, Variablen!$A:$A, 0), MATCH((YEAR(D60)+1), Variablen!$I$3:$AT$3, 0))="",L60,INDEX(Variablen!$I:$AT, MATCH(M60, Variablen!$A:$A, 0), MATCH((YEAR(D60)+1), Variablen!$I$3:$AT$3, 0))),L60)))*(IF((YEAR(D60)+1)&lt;YEAR(E60),0,IF((YEAR(D60)+1)&gt;YEAR(E60),1,(12-MONTH(E60)+1)/12))) + (Q60)*(IF((YEAR(D60)+1)&lt;YEAR(E60),0,IF((YEAR(D60)+1)&gt;YEAR(E60),1,(12-MONTH(E60)+1)/12))))-((P60)*(IF((YEAR(D60)+1)&lt;YEAR(E60),0,IF((YEAR(D60)+1)&gt;YEAR(E60),1,(12-MONTH(E60)+1)/12))) + (R60)*(IF((YEAR(D60)+1)&lt;YEAR(E60),0,IF((YEAR(D60)+1)&gt;YEAR(E60),1,(12-MONTH(E60)+1)/12))))-(IF(OR(N60="",N60&lt;=0),0,(O60/N60)*(IF(OR(N60="",N60&lt;=0),0,IF((YEAR(D60)+1)&lt;YEAR(E60),0,IF((YEAR(D60)+1)&gt;=YEAR(E60)+N60,0,IF((YEAR(D60)+1)=YEAR(E60),(12-MONTH(E60)+1)/12,1))))))))*TaxRate,0))-IF(1=0,O60,0))</f>
        <v/>
      </c>
      <c r="U60" s="29">
        <f>IF(A60="","",((K60)*(IF(M60="",L60,IFERROR(IF(INDEX(Variablen!$I:$AT, MATCH(M60, Variablen!$A:$A, 0), MATCH((YEAR(D60)+2), Variablen!$I$3:$AT$3, 0))="",L60,INDEX(Variablen!$I:$AT, MATCH(M60, Variablen!$A:$A, 0), MATCH((YEAR(D60)+2), Variablen!$I$3:$AT$3, 0))),L60)))*(IF((YEAR(D60)+2)&lt;YEAR(E60),0,IF((YEAR(D60)+2)&gt;YEAR(E60),1,(12-MONTH(E60)+1)/12))) + (Q60)*(IF((YEAR(D60)+2)&lt;YEAR(E60),0,IF((YEAR(D60)+2)&gt;YEAR(E60),1,(12-MONTH(E60)+1)/12))))-((P60)*(IF((YEAR(D60)+2)&lt;YEAR(E60),0,IF((YEAR(D60)+2)&gt;YEAR(E60),1,(12-MONTH(E60)+1)/12))) + (R60)*(IF((YEAR(D60)+2)&lt;YEAR(E60),0,IF((YEAR(D60)+2)&gt;YEAR(E60),1,(12-MONTH(E60)+1)/12))))-(IF((((K60)*(IF(M60="",L60,IFERROR(IF(INDEX(Variablen!$I:$AT, MATCH(M60, Variablen!$A:$A, 0), MATCH((YEAR(D60)+2), Variablen!$I$3:$AT$3, 0))="",L60,INDEX(Variablen!$I:$AT, MATCH(M60, Variablen!$A:$A, 0), MATCH((YEAR(D60)+2), Variablen!$I$3:$AT$3, 0))),L60)))*(IF((YEAR(D60)+2)&lt;YEAR(E60),0,IF((YEAR(D60)+2)&gt;YEAR(E60),1,(12-MONTH(E60)+1)/12))) + (Q60)*(IF((YEAR(D60)+2)&lt;YEAR(E60),0,IF((YEAR(D60)+2)&gt;YEAR(E60),1,(12-MONTH(E60)+1)/12))))-((P60)*(IF((YEAR(D60)+2)&lt;YEAR(E60),0,IF((YEAR(D60)+2)&gt;YEAR(E60),1,(12-MONTH(E60)+1)/12))) + (R60)*(IF((YEAR(D60)+2)&lt;YEAR(E60),0,IF((YEAR(D60)+2)&gt;YEAR(E60),1,(12-MONTH(E60)+1)/12))))-(IF(OR(N60="",N60&lt;=0),0,(O60/N60)*(IF(OR(N60="",N60&lt;=0),0,IF((YEAR(D60)+2)&lt;YEAR(E60),0,IF((YEAR(D60)+2)&gt;=YEAR(E60)+N60,0,IF((YEAR(D60)+2)=YEAR(E60),(12-MONTH(E60)+1)/12,1))))))))&gt;0,(((K60)*(IF(M60="",L60,IFERROR(IF(INDEX(Variablen!$I:$AT, MATCH(M60, Variablen!$A:$A, 0), MATCH((YEAR(D60)+2), Variablen!$I$3:$AT$3, 0))="",L60,INDEX(Variablen!$I:$AT, MATCH(M60, Variablen!$A:$A, 0), MATCH((YEAR(D60)+2), Variablen!$I$3:$AT$3, 0))),L60)))*(IF((YEAR(D60)+2)&lt;YEAR(E60),0,IF((YEAR(D60)+2)&gt;YEAR(E60),1,(12-MONTH(E60)+1)/12))) + (Q60)*(IF((YEAR(D60)+2)&lt;YEAR(E60),0,IF((YEAR(D60)+2)&gt;YEAR(E60),1,(12-MONTH(E60)+1)/12))))-((P60)*(IF((YEAR(D60)+2)&lt;YEAR(E60),0,IF((YEAR(D60)+2)&gt;YEAR(E60),1,(12-MONTH(E60)+1)/12))) + (R60)*(IF((YEAR(D60)+2)&lt;YEAR(E60),0,IF((YEAR(D60)+2)&gt;YEAR(E60),1,(12-MONTH(E60)+1)/12))))-(IF(OR(N60="",N60&lt;=0),0,(O60/N60)*(IF(OR(N60="",N60&lt;=0),0,IF((YEAR(D60)+2)&lt;YEAR(E60),0,IF((YEAR(D60)+2)&gt;=YEAR(E60)+N60,0,IF((YEAR(D60)+2)=YEAR(E60),(12-MONTH(E60)+1)/12,1))))))))*TaxRate,0))-IF(2=0,O60,0))</f>
        <v/>
      </c>
      <c r="V60" s="29">
        <f>IF(A60="","",((K60)*(IF(M60="",L60,IFERROR(IF(INDEX(Variablen!$I:$AT, MATCH(M60, Variablen!$A:$A, 0), MATCH((YEAR(D60)+3), Variablen!$I$3:$AT$3, 0))="",L60,INDEX(Variablen!$I:$AT, MATCH(M60, Variablen!$A:$A, 0), MATCH((YEAR(D60)+3), Variablen!$I$3:$AT$3, 0))),L60)))*(IF((YEAR(D60)+3)&lt;YEAR(E60),0,IF((YEAR(D60)+3)&gt;YEAR(E60),1,(12-MONTH(E60)+1)/12))) + (Q60)*(IF((YEAR(D60)+3)&lt;YEAR(E60),0,IF((YEAR(D60)+3)&gt;YEAR(E60),1,(12-MONTH(E60)+1)/12))))-((P60)*(IF((YEAR(D60)+3)&lt;YEAR(E60),0,IF((YEAR(D60)+3)&gt;YEAR(E60),1,(12-MONTH(E60)+1)/12))) + (R60)*(IF((YEAR(D60)+3)&lt;YEAR(E60),0,IF((YEAR(D60)+3)&gt;YEAR(E60),1,(12-MONTH(E60)+1)/12))))-(IF((((K60)*(IF(M60="",L60,IFERROR(IF(INDEX(Variablen!$I:$AT, MATCH(M60, Variablen!$A:$A, 0), MATCH((YEAR(D60)+3), Variablen!$I$3:$AT$3, 0))="",L60,INDEX(Variablen!$I:$AT, MATCH(M60, Variablen!$A:$A, 0), MATCH((YEAR(D60)+3), Variablen!$I$3:$AT$3, 0))),L60)))*(IF((YEAR(D60)+3)&lt;YEAR(E60),0,IF((YEAR(D60)+3)&gt;YEAR(E60),1,(12-MONTH(E60)+1)/12))) + (Q60)*(IF((YEAR(D60)+3)&lt;YEAR(E60),0,IF((YEAR(D60)+3)&gt;YEAR(E60),1,(12-MONTH(E60)+1)/12))))-((P60)*(IF((YEAR(D60)+3)&lt;YEAR(E60),0,IF((YEAR(D60)+3)&gt;YEAR(E60),1,(12-MONTH(E60)+1)/12))) + (R60)*(IF((YEAR(D60)+3)&lt;YEAR(E60),0,IF((YEAR(D60)+3)&gt;YEAR(E60),1,(12-MONTH(E60)+1)/12))))-(IF(OR(N60="",N60&lt;=0),0,(O60/N60)*(IF(OR(N60="",N60&lt;=0),0,IF((YEAR(D60)+3)&lt;YEAR(E60),0,IF((YEAR(D60)+3)&gt;=YEAR(E60)+N60,0,IF((YEAR(D60)+3)=YEAR(E60),(12-MONTH(E60)+1)/12,1))))))))&gt;0,(((K60)*(IF(M60="",L60,IFERROR(IF(INDEX(Variablen!$I:$AT, MATCH(M60, Variablen!$A:$A, 0), MATCH((YEAR(D60)+3), Variablen!$I$3:$AT$3, 0))="",L60,INDEX(Variablen!$I:$AT, MATCH(M60, Variablen!$A:$A, 0), MATCH((YEAR(D60)+3), Variablen!$I$3:$AT$3, 0))),L60)))*(IF((YEAR(D60)+3)&lt;YEAR(E60),0,IF((YEAR(D60)+3)&gt;YEAR(E60),1,(12-MONTH(E60)+1)/12))) + (Q60)*(IF((YEAR(D60)+3)&lt;YEAR(E60),0,IF((YEAR(D60)+3)&gt;YEAR(E60),1,(12-MONTH(E60)+1)/12))))-((P60)*(IF((YEAR(D60)+3)&lt;YEAR(E60),0,IF((YEAR(D60)+3)&gt;YEAR(E60),1,(12-MONTH(E60)+1)/12))) + (R60)*(IF((YEAR(D60)+3)&lt;YEAR(E60),0,IF((YEAR(D60)+3)&gt;YEAR(E60),1,(12-MONTH(E60)+1)/12))))-(IF(OR(N60="",N60&lt;=0),0,(O60/N60)*(IF(OR(N60="",N60&lt;=0),0,IF((YEAR(D60)+3)&lt;YEAR(E60),0,IF((YEAR(D60)+3)&gt;=YEAR(E60)+N60,0,IF((YEAR(D60)+3)=YEAR(E60),(12-MONTH(E60)+1)/12,1))))))))*TaxRate,0))-IF(3=0,O60,0))</f>
        <v/>
      </c>
      <c r="W60" s="29">
        <f>IF(A60="","",((K60)*(IF(M60="",L60,IFERROR(IF(INDEX(Variablen!$I:$AT, MATCH(M60, Variablen!$A:$A, 0), MATCH((YEAR(D60)+4), Variablen!$I$3:$AT$3, 0))="",L60,INDEX(Variablen!$I:$AT, MATCH(M60, Variablen!$A:$A, 0), MATCH((YEAR(D60)+4), Variablen!$I$3:$AT$3, 0))),L60)))*(IF((YEAR(D60)+4)&lt;YEAR(E60),0,IF((YEAR(D60)+4)&gt;YEAR(E60),1,(12-MONTH(E60)+1)/12))) + (Q60)*(IF((YEAR(D60)+4)&lt;YEAR(E60),0,IF((YEAR(D60)+4)&gt;YEAR(E60),1,(12-MONTH(E60)+1)/12))))-((P60)*(IF((YEAR(D60)+4)&lt;YEAR(E60),0,IF((YEAR(D60)+4)&gt;YEAR(E60),1,(12-MONTH(E60)+1)/12))) + (R60)*(IF((YEAR(D60)+4)&lt;YEAR(E60),0,IF((YEAR(D60)+4)&gt;YEAR(E60),1,(12-MONTH(E60)+1)/12))))-(IF((((K60)*(IF(M60="",L60,IFERROR(IF(INDEX(Variablen!$I:$AT, MATCH(M60, Variablen!$A:$A, 0), MATCH((YEAR(D60)+4), Variablen!$I$3:$AT$3, 0))="",L60,INDEX(Variablen!$I:$AT, MATCH(M60, Variablen!$A:$A, 0), MATCH((YEAR(D60)+4), Variablen!$I$3:$AT$3, 0))),L60)))*(IF((YEAR(D60)+4)&lt;YEAR(E60),0,IF((YEAR(D60)+4)&gt;YEAR(E60),1,(12-MONTH(E60)+1)/12))) + (Q60)*(IF((YEAR(D60)+4)&lt;YEAR(E60),0,IF((YEAR(D60)+4)&gt;YEAR(E60),1,(12-MONTH(E60)+1)/12))))-((P60)*(IF((YEAR(D60)+4)&lt;YEAR(E60),0,IF((YEAR(D60)+4)&gt;YEAR(E60),1,(12-MONTH(E60)+1)/12))) + (R60)*(IF((YEAR(D60)+4)&lt;YEAR(E60),0,IF((YEAR(D60)+4)&gt;YEAR(E60),1,(12-MONTH(E60)+1)/12))))-(IF(OR(N60="",N60&lt;=0),0,(O60/N60)*(IF(OR(N60="",N60&lt;=0),0,IF((YEAR(D60)+4)&lt;YEAR(E60),0,IF((YEAR(D60)+4)&gt;=YEAR(E60)+N60,0,IF((YEAR(D60)+4)=YEAR(E60),(12-MONTH(E60)+1)/12,1))))))))&gt;0,(((K60)*(IF(M60="",L60,IFERROR(IF(INDEX(Variablen!$I:$AT, MATCH(M60, Variablen!$A:$A, 0), MATCH((YEAR(D60)+4), Variablen!$I$3:$AT$3, 0))="",L60,INDEX(Variablen!$I:$AT, MATCH(M60, Variablen!$A:$A, 0), MATCH((YEAR(D60)+4), Variablen!$I$3:$AT$3, 0))),L60)))*(IF((YEAR(D60)+4)&lt;YEAR(E60),0,IF((YEAR(D60)+4)&gt;YEAR(E60),1,(12-MONTH(E60)+1)/12))) + (Q60)*(IF((YEAR(D60)+4)&lt;YEAR(E60),0,IF((YEAR(D60)+4)&gt;YEAR(E60),1,(12-MONTH(E60)+1)/12))))-((P60)*(IF((YEAR(D60)+4)&lt;YEAR(E60),0,IF((YEAR(D60)+4)&gt;YEAR(E60),1,(12-MONTH(E60)+1)/12))) + (R60)*(IF((YEAR(D60)+4)&lt;YEAR(E60),0,IF((YEAR(D60)+4)&gt;YEAR(E60),1,(12-MONTH(E60)+1)/12))))-(IF(OR(N60="",N60&lt;=0),0,(O60/N60)*(IF(OR(N60="",N60&lt;=0),0,IF((YEAR(D60)+4)&lt;YEAR(E60),0,IF((YEAR(D60)+4)&gt;=YEAR(E60)+N60,0,IF((YEAR(D60)+4)=YEAR(E60),(12-MONTH(E60)+1)/12,1))))))))*TaxRate,0))-IF(4=0,O60,0))</f>
        <v/>
      </c>
      <c r="X60" s="29">
        <f>IF(A60="","",((K60)*(IF(M60="",L60,IFERROR(IF(INDEX(Variablen!$I:$AT, MATCH(M60, Variablen!$A:$A, 0), MATCH((YEAR(D60)+5), Variablen!$I$3:$AT$3, 0))="",L60,INDEX(Variablen!$I:$AT, MATCH(M60, Variablen!$A:$A, 0), MATCH((YEAR(D60)+5), Variablen!$I$3:$AT$3, 0))),L60)))*(IF((YEAR(D60)+5)&lt;YEAR(E60),0,IF((YEAR(D60)+5)&gt;YEAR(E60),1,(12-MONTH(E60)+1)/12))) + (Q60)*(IF((YEAR(D60)+5)&lt;YEAR(E60),0,IF((YEAR(D60)+5)&gt;YEAR(E60),1,(12-MONTH(E60)+1)/12))))-((P60)*(IF((YEAR(D60)+5)&lt;YEAR(E60),0,IF((YEAR(D60)+5)&gt;YEAR(E60),1,(12-MONTH(E60)+1)/12))) + (R60)*(IF((YEAR(D60)+5)&lt;YEAR(E60),0,IF((YEAR(D60)+5)&gt;YEAR(E60),1,(12-MONTH(E60)+1)/12))))-(IF((((K60)*(IF(M60="",L60,IFERROR(IF(INDEX(Variablen!$I:$AT, MATCH(M60, Variablen!$A:$A, 0), MATCH((YEAR(D60)+5), Variablen!$I$3:$AT$3, 0))="",L60,INDEX(Variablen!$I:$AT, MATCH(M60, Variablen!$A:$A, 0), MATCH((YEAR(D60)+5), Variablen!$I$3:$AT$3, 0))),L60)))*(IF((YEAR(D60)+5)&lt;YEAR(E60),0,IF((YEAR(D60)+5)&gt;YEAR(E60),1,(12-MONTH(E60)+1)/12))) + (Q60)*(IF((YEAR(D60)+5)&lt;YEAR(E60),0,IF((YEAR(D60)+5)&gt;YEAR(E60),1,(12-MONTH(E60)+1)/12))))-((P60)*(IF((YEAR(D60)+5)&lt;YEAR(E60),0,IF((YEAR(D60)+5)&gt;YEAR(E60),1,(12-MONTH(E60)+1)/12))) + (R60)*(IF((YEAR(D60)+5)&lt;YEAR(E60),0,IF((YEAR(D60)+5)&gt;YEAR(E60),1,(12-MONTH(E60)+1)/12))))-(IF(OR(N60="",N60&lt;=0),0,(O60/N60)*(IF(OR(N60="",N60&lt;=0),0,IF((YEAR(D60)+5)&lt;YEAR(E60),0,IF((YEAR(D60)+5)&gt;=YEAR(E60)+N60,0,IF((YEAR(D60)+5)=YEAR(E60),(12-MONTH(E60)+1)/12,1))))))))&gt;0,(((K60)*(IF(M60="",L60,IFERROR(IF(INDEX(Variablen!$I:$AT, MATCH(M60, Variablen!$A:$A, 0), MATCH((YEAR(D60)+5), Variablen!$I$3:$AT$3, 0))="",L60,INDEX(Variablen!$I:$AT, MATCH(M60, Variablen!$A:$A, 0), MATCH((YEAR(D60)+5), Variablen!$I$3:$AT$3, 0))),L60)))*(IF((YEAR(D60)+5)&lt;YEAR(E60),0,IF((YEAR(D60)+5)&gt;YEAR(E60),1,(12-MONTH(E60)+1)/12))) + (Q60)*(IF((YEAR(D60)+5)&lt;YEAR(E60),0,IF((YEAR(D60)+5)&gt;YEAR(E60),1,(12-MONTH(E60)+1)/12))))-((P60)*(IF((YEAR(D60)+5)&lt;YEAR(E60),0,IF((YEAR(D60)+5)&gt;YEAR(E60),1,(12-MONTH(E60)+1)/12))) + (R60)*(IF((YEAR(D60)+5)&lt;YEAR(E60),0,IF((YEAR(D60)+5)&gt;YEAR(E60),1,(12-MONTH(E60)+1)/12))))-(IF(OR(N60="",N60&lt;=0),0,(O60/N60)*(IF(OR(N60="",N60&lt;=0),0,IF((YEAR(D60)+5)&lt;YEAR(E60),0,IF((YEAR(D60)+5)&gt;=YEAR(E60)+N60,0,IF((YEAR(D60)+5)=YEAR(E60),(12-MONTH(E60)+1)/12,1))))))))*TaxRate,0))-IF(5=0,O60,0))</f>
        <v/>
      </c>
      <c r="Y60" s="29">
        <f>IF(A60="","",((K60)*(IF(M60="",L60,IFERROR(IF(INDEX(Variablen!$I:$AT, MATCH(M60, Variablen!$A:$A, 0), MATCH((YEAR(D60)+6), Variablen!$I$3:$AT$3, 0))="",L60,INDEX(Variablen!$I:$AT, MATCH(M60, Variablen!$A:$A, 0), MATCH((YEAR(D60)+6), Variablen!$I$3:$AT$3, 0))),L60)))*(IF((YEAR(D60)+6)&lt;YEAR(E60),0,IF((YEAR(D60)+6)&gt;YEAR(E60),1,(12-MONTH(E60)+1)/12))) + (Q60)*(IF((YEAR(D60)+6)&lt;YEAR(E60),0,IF((YEAR(D60)+6)&gt;YEAR(E60),1,(12-MONTH(E60)+1)/12))))-((P60)*(IF((YEAR(D60)+6)&lt;YEAR(E60),0,IF((YEAR(D60)+6)&gt;YEAR(E60),1,(12-MONTH(E60)+1)/12))) + (R60)*(IF((YEAR(D60)+6)&lt;YEAR(E60),0,IF((YEAR(D60)+6)&gt;YEAR(E60),1,(12-MONTH(E60)+1)/12))))-(IF((((K60)*(IF(M60="",L60,IFERROR(IF(INDEX(Variablen!$I:$AT, MATCH(M60, Variablen!$A:$A, 0), MATCH((YEAR(D60)+6), Variablen!$I$3:$AT$3, 0))="",L60,INDEX(Variablen!$I:$AT, MATCH(M60, Variablen!$A:$A, 0), MATCH((YEAR(D60)+6), Variablen!$I$3:$AT$3, 0))),L60)))*(IF((YEAR(D60)+6)&lt;YEAR(E60),0,IF((YEAR(D60)+6)&gt;YEAR(E60),1,(12-MONTH(E60)+1)/12))) + (Q60)*(IF((YEAR(D60)+6)&lt;YEAR(E60),0,IF((YEAR(D60)+6)&gt;YEAR(E60),1,(12-MONTH(E60)+1)/12))))-((P60)*(IF((YEAR(D60)+6)&lt;YEAR(E60),0,IF((YEAR(D60)+6)&gt;YEAR(E60),1,(12-MONTH(E60)+1)/12))) + (R60)*(IF((YEAR(D60)+6)&lt;YEAR(E60),0,IF((YEAR(D60)+6)&gt;YEAR(E60),1,(12-MONTH(E60)+1)/12))))-(IF(OR(N60="",N60&lt;=0),0,(O60/N60)*(IF(OR(N60="",N60&lt;=0),0,IF((YEAR(D60)+6)&lt;YEAR(E60),0,IF((YEAR(D60)+6)&gt;=YEAR(E60)+N60,0,IF((YEAR(D60)+6)=YEAR(E60),(12-MONTH(E60)+1)/12,1))))))))&gt;0,(((K60)*(IF(M60="",L60,IFERROR(IF(INDEX(Variablen!$I:$AT, MATCH(M60, Variablen!$A:$A, 0), MATCH((YEAR(D60)+6), Variablen!$I$3:$AT$3, 0))="",L60,INDEX(Variablen!$I:$AT, MATCH(M60, Variablen!$A:$A, 0), MATCH((YEAR(D60)+6), Variablen!$I$3:$AT$3, 0))),L60)))*(IF((YEAR(D60)+6)&lt;YEAR(E60),0,IF((YEAR(D60)+6)&gt;YEAR(E60),1,(12-MONTH(E60)+1)/12))) + (Q60)*(IF((YEAR(D60)+6)&lt;YEAR(E60),0,IF((YEAR(D60)+6)&gt;YEAR(E60),1,(12-MONTH(E60)+1)/12))))-((P60)*(IF((YEAR(D60)+6)&lt;YEAR(E60),0,IF((YEAR(D60)+6)&gt;YEAR(E60),1,(12-MONTH(E60)+1)/12))) + (R60)*(IF((YEAR(D60)+6)&lt;YEAR(E60),0,IF((YEAR(D60)+6)&gt;YEAR(E60),1,(12-MONTH(E60)+1)/12))))-(IF(OR(N60="",N60&lt;=0),0,(O60/N60)*(IF(OR(N60="",N60&lt;=0),0,IF((YEAR(D60)+6)&lt;YEAR(E60),0,IF((YEAR(D60)+6)&gt;=YEAR(E60)+N60,0,IF((YEAR(D60)+6)=YEAR(E60),(12-MONTH(E60)+1)/12,1))))))))*TaxRate,0))-IF(6=0,O60,0))</f>
        <v/>
      </c>
      <c r="Z60" s="29">
        <f>IF(A60="","",((K60)*(IF(M60="",L60,IFERROR(IF(INDEX(Variablen!$I:$AT, MATCH(M60, Variablen!$A:$A, 0), MATCH((YEAR(D60)+7), Variablen!$I$3:$AT$3, 0))="",L60,INDEX(Variablen!$I:$AT, MATCH(M60, Variablen!$A:$A, 0), MATCH((YEAR(D60)+7), Variablen!$I$3:$AT$3, 0))),L60)))*(IF((YEAR(D60)+7)&lt;YEAR(E60),0,IF((YEAR(D60)+7)&gt;YEAR(E60),1,(12-MONTH(E60)+1)/12))) + (Q60)*(IF((YEAR(D60)+7)&lt;YEAR(E60),0,IF((YEAR(D60)+7)&gt;YEAR(E60),1,(12-MONTH(E60)+1)/12))))-((P60)*(IF((YEAR(D60)+7)&lt;YEAR(E60),0,IF((YEAR(D60)+7)&gt;YEAR(E60),1,(12-MONTH(E60)+1)/12))) + (R60)*(IF((YEAR(D60)+7)&lt;YEAR(E60),0,IF((YEAR(D60)+7)&gt;YEAR(E60),1,(12-MONTH(E60)+1)/12))))-(IF((((K60)*(IF(M60="",L60,IFERROR(IF(INDEX(Variablen!$I:$AT, MATCH(M60, Variablen!$A:$A, 0), MATCH((YEAR(D60)+7), Variablen!$I$3:$AT$3, 0))="",L60,INDEX(Variablen!$I:$AT, MATCH(M60, Variablen!$A:$A, 0), MATCH((YEAR(D60)+7), Variablen!$I$3:$AT$3, 0))),L60)))*(IF((YEAR(D60)+7)&lt;YEAR(E60),0,IF((YEAR(D60)+7)&gt;YEAR(E60),1,(12-MONTH(E60)+1)/12))) + (Q60)*(IF((YEAR(D60)+7)&lt;YEAR(E60),0,IF((YEAR(D60)+7)&gt;YEAR(E60),1,(12-MONTH(E60)+1)/12))))-((P60)*(IF((YEAR(D60)+7)&lt;YEAR(E60),0,IF((YEAR(D60)+7)&gt;YEAR(E60),1,(12-MONTH(E60)+1)/12))) + (R60)*(IF((YEAR(D60)+7)&lt;YEAR(E60),0,IF((YEAR(D60)+7)&gt;YEAR(E60),1,(12-MONTH(E60)+1)/12))))-(IF(OR(N60="",N60&lt;=0),0,(O60/N60)*(IF(OR(N60="",N60&lt;=0),0,IF((YEAR(D60)+7)&lt;YEAR(E60),0,IF((YEAR(D60)+7)&gt;=YEAR(E60)+N60,0,IF((YEAR(D60)+7)=YEAR(E60),(12-MONTH(E60)+1)/12,1))))))))&gt;0,(((K60)*(IF(M60="",L60,IFERROR(IF(INDEX(Variablen!$I:$AT, MATCH(M60, Variablen!$A:$A, 0), MATCH((YEAR(D60)+7), Variablen!$I$3:$AT$3, 0))="",L60,INDEX(Variablen!$I:$AT, MATCH(M60, Variablen!$A:$A, 0), MATCH((YEAR(D60)+7), Variablen!$I$3:$AT$3, 0))),L60)))*(IF((YEAR(D60)+7)&lt;YEAR(E60),0,IF((YEAR(D60)+7)&gt;YEAR(E60),1,(12-MONTH(E60)+1)/12))) + (Q60)*(IF((YEAR(D60)+7)&lt;YEAR(E60),0,IF((YEAR(D60)+7)&gt;YEAR(E60),1,(12-MONTH(E60)+1)/12))))-((P60)*(IF((YEAR(D60)+7)&lt;YEAR(E60),0,IF((YEAR(D60)+7)&gt;YEAR(E60),1,(12-MONTH(E60)+1)/12))) + (R60)*(IF((YEAR(D60)+7)&lt;YEAR(E60),0,IF((YEAR(D60)+7)&gt;YEAR(E60),1,(12-MONTH(E60)+1)/12))))-(IF(OR(N60="",N60&lt;=0),0,(O60/N60)*(IF(OR(N60="",N60&lt;=0),0,IF((YEAR(D60)+7)&lt;YEAR(E60),0,IF((YEAR(D60)+7)&gt;=YEAR(E60)+N60,0,IF((YEAR(D60)+7)=YEAR(E60),(12-MONTH(E60)+1)/12,1))))))))*TaxRate,0))-IF(7=0,O60,0))</f>
        <v/>
      </c>
      <c r="AA60" s="29">
        <f>IF(A60="","",((K60)*(IF(M60="",L60,IFERROR(IF(INDEX(Variablen!$I:$AT, MATCH(M60, Variablen!$A:$A, 0), MATCH((YEAR(D60)+8), Variablen!$I$3:$AT$3, 0))="",L60,INDEX(Variablen!$I:$AT, MATCH(M60, Variablen!$A:$A, 0), MATCH((YEAR(D60)+8), Variablen!$I$3:$AT$3, 0))),L60)))*(IF((YEAR(D60)+8)&lt;YEAR(E60),0,IF((YEAR(D60)+8)&gt;YEAR(E60),1,(12-MONTH(E60)+1)/12))) + (Q60)*(IF((YEAR(D60)+8)&lt;YEAR(E60),0,IF((YEAR(D60)+8)&gt;YEAR(E60),1,(12-MONTH(E60)+1)/12))))-((P60)*(IF((YEAR(D60)+8)&lt;YEAR(E60),0,IF((YEAR(D60)+8)&gt;YEAR(E60),1,(12-MONTH(E60)+1)/12))) + (R60)*(IF((YEAR(D60)+8)&lt;YEAR(E60),0,IF((YEAR(D60)+8)&gt;YEAR(E60),1,(12-MONTH(E60)+1)/12))))-(IF((((K60)*(IF(M60="",L60,IFERROR(IF(INDEX(Variablen!$I:$AT, MATCH(M60, Variablen!$A:$A, 0), MATCH((YEAR(D60)+8), Variablen!$I$3:$AT$3, 0))="",L60,INDEX(Variablen!$I:$AT, MATCH(M60, Variablen!$A:$A, 0), MATCH((YEAR(D60)+8), Variablen!$I$3:$AT$3, 0))),L60)))*(IF((YEAR(D60)+8)&lt;YEAR(E60),0,IF((YEAR(D60)+8)&gt;YEAR(E60),1,(12-MONTH(E60)+1)/12))) + (Q60)*(IF((YEAR(D60)+8)&lt;YEAR(E60),0,IF((YEAR(D60)+8)&gt;YEAR(E60),1,(12-MONTH(E60)+1)/12))))-((P60)*(IF((YEAR(D60)+8)&lt;YEAR(E60),0,IF((YEAR(D60)+8)&gt;YEAR(E60),1,(12-MONTH(E60)+1)/12))) + (R60)*(IF((YEAR(D60)+8)&lt;YEAR(E60),0,IF((YEAR(D60)+8)&gt;YEAR(E60),1,(12-MONTH(E60)+1)/12))))-(IF(OR(N60="",N60&lt;=0),0,(O60/N60)*(IF(OR(N60="",N60&lt;=0),0,IF((YEAR(D60)+8)&lt;YEAR(E60),0,IF((YEAR(D60)+8)&gt;=YEAR(E60)+N60,0,IF((YEAR(D60)+8)=YEAR(E60),(12-MONTH(E60)+1)/12,1))))))))&gt;0,(((K60)*(IF(M60="",L60,IFERROR(IF(INDEX(Variablen!$I:$AT, MATCH(M60, Variablen!$A:$A, 0), MATCH((YEAR(D60)+8), Variablen!$I$3:$AT$3, 0))="",L60,INDEX(Variablen!$I:$AT, MATCH(M60, Variablen!$A:$A, 0), MATCH((YEAR(D60)+8), Variablen!$I$3:$AT$3, 0))),L60)))*(IF((YEAR(D60)+8)&lt;YEAR(E60),0,IF((YEAR(D60)+8)&gt;YEAR(E60),1,(12-MONTH(E60)+1)/12))) + (Q60)*(IF((YEAR(D60)+8)&lt;YEAR(E60),0,IF((YEAR(D60)+8)&gt;YEAR(E60),1,(12-MONTH(E60)+1)/12))))-((P60)*(IF((YEAR(D60)+8)&lt;YEAR(E60),0,IF((YEAR(D60)+8)&gt;YEAR(E60),1,(12-MONTH(E60)+1)/12))) + (R60)*(IF((YEAR(D60)+8)&lt;YEAR(E60),0,IF((YEAR(D60)+8)&gt;YEAR(E60),1,(12-MONTH(E60)+1)/12))))-(IF(OR(N60="",N60&lt;=0),0,(O60/N60)*(IF(OR(N60="",N60&lt;=0),0,IF((YEAR(D60)+8)&lt;YEAR(E60),0,IF((YEAR(D60)+8)&gt;=YEAR(E60)+N60,0,IF((YEAR(D60)+8)=YEAR(E60),(12-MONTH(E60)+1)/12,1))))))))*TaxRate,0))-IF(8=0,O60,0))</f>
        <v/>
      </c>
      <c r="AB60" s="29">
        <f>IF(A60="","",((K60)*(IF(M60="",L60,IFERROR(IF(INDEX(Variablen!$I:$AT, MATCH(M60, Variablen!$A:$A, 0), MATCH((YEAR(D60)+9), Variablen!$I$3:$AT$3, 0))="",L60,INDEX(Variablen!$I:$AT, MATCH(M60, Variablen!$A:$A, 0), MATCH((YEAR(D60)+9), Variablen!$I$3:$AT$3, 0))),L60)))*(IF((YEAR(D60)+9)&lt;YEAR(E60),0,IF((YEAR(D60)+9)&gt;YEAR(E60),1,(12-MONTH(E60)+1)/12))) + (Q60)*(IF((YEAR(D60)+9)&lt;YEAR(E60),0,IF((YEAR(D60)+9)&gt;YEAR(E60),1,(12-MONTH(E60)+1)/12))))-((P60)*(IF((YEAR(D60)+9)&lt;YEAR(E60),0,IF((YEAR(D60)+9)&gt;YEAR(E60),1,(12-MONTH(E60)+1)/12))) + (R60)*(IF((YEAR(D60)+9)&lt;YEAR(E60),0,IF((YEAR(D60)+9)&gt;YEAR(E60),1,(12-MONTH(E60)+1)/12))))-(IF((((K60)*(IF(M60="",L60,IFERROR(IF(INDEX(Variablen!$I:$AT, MATCH(M60, Variablen!$A:$A, 0), MATCH((YEAR(D60)+9), Variablen!$I$3:$AT$3, 0))="",L60,INDEX(Variablen!$I:$AT, MATCH(M60, Variablen!$A:$A, 0), MATCH((YEAR(D60)+9), Variablen!$I$3:$AT$3, 0))),L60)))*(IF((YEAR(D60)+9)&lt;YEAR(E60),0,IF((YEAR(D60)+9)&gt;YEAR(E60),1,(12-MONTH(E60)+1)/12))) + (Q60)*(IF((YEAR(D60)+9)&lt;YEAR(E60),0,IF((YEAR(D60)+9)&gt;YEAR(E60),1,(12-MONTH(E60)+1)/12))))-((P60)*(IF((YEAR(D60)+9)&lt;YEAR(E60),0,IF((YEAR(D60)+9)&gt;YEAR(E60),1,(12-MONTH(E60)+1)/12))) + (R60)*(IF((YEAR(D60)+9)&lt;YEAR(E60),0,IF((YEAR(D60)+9)&gt;YEAR(E60),1,(12-MONTH(E60)+1)/12))))-(IF(OR(N60="",N60&lt;=0),0,(O60/N60)*(IF(OR(N60="",N60&lt;=0),0,IF((YEAR(D60)+9)&lt;YEAR(E60),0,IF((YEAR(D60)+9)&gt;=YEAR(E60)+N60,0,IF((YEAR(D60)+9)=YEAR(E60),(12-MONTH(E60)+1)/12,1))))))))&gt;0,(((K60)*(IF(M60="",L60,IFERROR(IF(INDEX(Variablen!$I:$AT, MATCH(M60, Variablen!$A:$A, 0), MATCH((YEAR(D60)+9), Variablen!$I$3:$AT$3, 0))="",L60,INDEX(Variablen!$I:$AT, MATCH(M60, Variablen!$A:$A, 0), MATCH((YEAR(D60)+9), Variablen!$I$3:$AT$3, 0))),L60)))*(IF((YEAR(D60)+9)&lt;YEAR(E60),0,IF((YEAR(D60)+9)&gt;YEAR(E60),1,(12-MONTH(E60)+1)/12))) + (Q60)*(IF((YEAR(D60)+9)&lt;YEAR(E60),0,IF((YEAR(D60)+9)&gt;YEAR(E60),1,(12-MONTH(E60)+1)/12))))-((P60)*(IF((YEAR(D60)+9)&lt;YEAR(E60),0,IF((YEAR(D60)+9)&gt;YEAR(E60),1,(12-MONTH(E60)+1)/12))) + (R60)*(IF((YEAR(D60)+9)&lt;YEAR(E60),0,IF((YEAR(D60)+9)&gt;YEAR(E60),1,(12-MONTH(E60)+1)/12))))-(IF(OR(N60="",N60&lt;=0),0,(O60/N60)*(IF(OR(N60="",N60&lt;=0),0,IF((YEAR(D60)+9)&lt;YEAR(E60),0,IF((YEAR(D60)+9)&gt;=YEAR(E60)+N60,0,IF((YEAR(D60)+9)=YEAR(E60),(12-MONTH(E60)+1)/12,1))))))))*TaxRate,0))-IF(9=0,O60,0))</f>
        <v/>
      </c>
      <c r="AC60" s="29">
        <f>IF(A60="","",((K60)*(IF(M60="",L60,IFERROR(IF(INDEX(Variablen!$I:$AT, MATCH(M60, Variablen!$A:$A, 0), MATCH((YEAR(D60)+10), Variablen!$I$3:$AT$3, 0))="",L60,INDEX(Variablen!$I:$AT, MATCH(M60, Variablen!$A:$A, 0), MATCH((YEAR(D60)+10), Variablen!$I$3:$AT$3, 0))),L60)))*(IF((YEAR(D60)+10)&lt;YEAR(E60),0,IF((YEAR(D60)+10)&gt;YEAR(E60),1,(12-MONTH(E60)+1)/12))) + (Q60)*(IF((YEAR(D60)+10)&lt;YEAR(E60),0,IF((YEAR(D60)+10)&gt;YEAR(E60),1,(12-MONTH(E60)+1)/12))))-((P60)*(IF((YEAR(D60)+10)&lt;YEAR(E60),0,IF((YEAR(D60)+10)&gt;YEAR(E60),1,(12-MONTH(E60)+1)/12))) + (R60)*(IF((YEAR(D60)+10)&lt;YEAR(E60),0,IF((YEAR(D60)+10)&gt;YEAR(E60),1,(12-MONTH(E60)+1)/12))))-(IF((((K60)*(IF(M60="",L60,IFERROR(IF(INDEX(Variablen!$I:$AT, MATCH(M60, Variablen!$A:$A, 0), MATCH((YEAR(D60)+10), Variablen!$I$3:$AT$3, 0))="",L60,INDEX(Variablen!$I:$AT, MATCH(M60, Variablen!$A:$A, 0), MATCH((YEAR(D60)+10), Variablen!$I$3:$AT$3, 0))),L60)))*(IF((YEAR(D60)+10)&lt;YEAR(E60),0,IF((YEAR(D60)+10)&gt;YEAR(E60),1,(12-MONTH(E60)+1)/12))) + (Q60)*(IF((YEAR(D60)+10)&lt;YEAR(E60),0,IF((YEAR(D60)+10)&gt;YEAR(E60),1,(12-MONTH(E60)+1)/12))))-((P60)*(IF((YEAR(D60)+10)&lt;YEAR(E60),0,IF((YEAR(D60)+10)&gt;YEAR(E60),1,(12-MONTH(E60)+1)/12))) + (R60)*(IF((YEAR(D60)+10)&lt;YEAR(E60),0,IF((YEAR(D60)+10)&gt;YEAR(E60),1,(12-MONTH(E60)+1)/12))))-(IF(OR(N60="",N60&lt;=0),0,(O60/N60)*(IF(OR(N60="",N60&lt;=0),0,IF((YEAR(D60)+10)&lt;YEAR(E60),0,IF((YEAR(D60)+10)&gt;=YEAR(E60)+N60,0,IF((YEAR(D60)+10)=YEAR(E60),(12-MONTH(E60)+1)/12,1))))))))&gt;0,(((K60)*(IF(M60="",L60,IFERROR(IF(INDEX(Variablen!$I:$AT, MATCH(M60, Variablen!$A:$A, 0), MATCH((YEAR(D60)+10), Variablen!$I$3:$AT$3, 0))="",L60,INDEX(Variablen!$I:$AT, MATCH(M60, Variablen!$A:$A, 0), MATCH((YEAR(D60)+10), Variablen!$I$3:$AT$3, 0))),L60)))*(IF((YEAR(D60)+10)&lt;YEAR(E60),0,IF((YEAR(D60)+10)&gt;YEAR(E60),1,(12-MONTH(E60)+1)/12))) + (Q60)*(IF((YEAR(D60)+10)&lt;YEAR(E60),0,IF((YEAR(D60)+10)&gt;YEAR(E60),1,(12-MONTH(E60)+1)/12))))-((P60)*(IF((YEAR(D60)+10)&lt;YEAR(E60),0,IF((YEAR(D60)+10)&gt;YEAR(E60),1,(12-MONTH(E60)+1)/12))) + (R60)*(IF((YEAR(D60)+10)&lt;YEAR(E60),0,IF((YEAR(D60)+10)&gt;YEAR(E60),1,(12-MONTH(E60)+1)/12))))-(IF(OR(N60="",N60&lt;=0),0,(O60/N60)*(IF(OR(N60="",N60&lt;=0),0,IF((YEAR(D60)+10)&lt;YEAR(E60),0,IF((YEAR(D60)+10)&gt;=YEAR(E60)+N60,0,IF((YEAR(D60)+10)=YEAR(E60),(12-MONTH(E60)+1)/12,1))))))))*TaxRate,0))-IF(10=0,O60,0))</f>
        <v/>
      </c>
      <c r="AD60" s="29">
        <f>IF(A60="","",((K60)*(IF(M60="",L60,IFERROR(IF(INDEX(Variablen!$I:$AT, MATCH(M60, Variablen!$A:$A, 0), MATCH((YEAR(D60)+11), Variablen!$I$3:$AT$3, 0))="",L60,INDEX(Variablen!$I:$AT, MATCH(M60, Variablen!$A:$A, 0), MATCH((YEAR(D60)+11), Variablen!$I$3:$AT$3, 0))),L60)))*(IF((YEAR(D60)+11)&lt;YEAR(E60),0,IF((YEAR(D60)+11)&gt;YEAR(E60),1,(12-MONTH(E60)+1)/12))) + (Q60)*(IF((YEAR(D60)+11)&lt;YEAR(E60),0,IF((YEAR(D60)+11)&gt;YEAR(E60),1,(12-MONTH(E60)+1)/12))))-((P60)*(IF((YEAR(D60)+11)&lt;YEAR(E60),0,IF((YEAR(D60)+11)&gt;YEAR(E60),1,(12-MONTH(E60)+1)/12))) + (R60)*(IF((YEAR(D60)+11)&lt;YEAR(E60),0,IF((YEAR(D60)+11)&gt;YEAR(E60),1,(12-MONTH(E60)+1)/12))))-(IF((((K60)*(IF(M60="",L60,IFERROR(IF(INDEX(Variablen!$I:$AT, MATCH(M60, Variablen!$A:$A, 0), MATCH((YEAR(D60)+11), Variablen!$I$3:$AT$3, 0))="",L60,INDEX(Variablen!$I:$AT, MATCH(M60, Variablen!$A:$A, 0), MATCH((YEAR(D60)+11), Variablen!$I$3:$AT$3, 0))),L60)))*(IF((YEAR(D60)+11)&lt;YEAR(E60),0,IF((YEAR(D60)+11)&gt;YEAR(E60),1,(12-MONTH(E60)+1)/12))) + (Q60)*(IF((YEAR(D60)+11)&lt;YEAR(E60),0,IF((YEAR(D60)+11)&gt;YEAR(E60),1,(12-MONTH(E60)+1)/12))))-((P60)*(IF((YEAR(D60)+11)&lt;YEAR(E60),0,IF((YEAR(D60)+11)&gt;YEAR(E60),1,(12-MONTH(E60)+1)/12))) + (R60)*(IF((YEAR(D60)+11)&lt;YEAR(E60),0,IF((YEAR(D60)+11)&gt;YEAR(E60),1,(12-MONTH(E60)+1)/12))))-(IF(OR(N60="",N60&lt;=0),0,(O60/N60)*(IF(OR(N60="",N60&lt;=0),0,IF((YEAR(D60)+11)&lt;YEAR(E60),0,IF((YEAR(D60)+11)&gt;=YEAR(E60)+N60,0,IF((YEAR(D60)+11)=YEAR(E60),(12-MONTH(E60)+1)/12,1))))))))&gt;0,(((K60)*(IF(M60="",L60,IFERROR(IF(INDEX(Variablen!$I:$AT, MATCH(M60, Variablen!$A:$A, 0), MATCH((YEAR(D60)+11), Variablen!$I$3:$AT$3, 0))="",L60,INDEX(Variablen!$I:$AT, MATCH(M60, Variablen!$A:$A, 0), MATCH((YEAR(D60)+11), Variablen!$I$3:$AT$3, 0))),L60)))*(IF((YEAR(D60)+11)&lt;YEAR(E60),0,IF((YEAR(D60)+11)&gt;YEAR(E60),1,(12-MONTH(E60)+1)/12))) + (Q60)*(IF((YEAR(D60)+11)&lt;YEAR(E60),0,IF((YEAR(D60)+11)&gt;YEAR(E60),1,(12-MONTH(E60)+1)/12))))-((P60)*(IF((YEAR(D60)+11)&lt;YEAR(E60),0,IF((YEAR(D60)+11)&gt;YEAR(E60),1,(12-MONTH(E60)+1)/12))) + (R60)*(IF((YEAR(D60)+11)&lt;YEAR(E60),0,IF((YEAR(D60)+11)&gt;YEAR(E60),1,(12-MONTH(E60)+1)/12))))-(IF(OR(N60="",N60&lt;=0),0,(O60/N60)*(IF(OR(N60="",N60&lt;=0),0,IF((YEAR(D60)+11)&lt;YEAR(E60),0,IF((YEAR(D60)+11)&gt;=YEAR(E60)+N60,0,IF((YEAR(D60)+11)=YEAR(E60),(12-MONTH(E60)+1)/12,1))))))))*TaxRate,0))-IF(11=0,O60,0))</f>
        <v/>
      </c>
      <c r="AE60" s="29">
        <f>IF(A60="","",((K60)*(IF(M60="",L60,IFERROR(IF(INDEX(Variablen!$I:$AT, MATCH(M60, Variablen!$A:$A, 0), MATCH((YEAR(D60)+12), Variablen!$I$3:$AT$3, 0))="",L60,INDEX(Variablen!$I:$AT, MATCH(M60, Variablen!$A:$A, 0), MATCH((YEAR(D60)+12), Variablen!$I$3:$AT$3, 0))),L60)))*(IF((YEAR(D60)+12)&lt;YEAR(E60),0,IF((YEAR(D60)+12)&gt;YEAR(E60),1,(12-MONTH(E60)+1)/12))) + (Q60)*(IF((YEAR(D60)+12)&lt;YEAR(E60),0,IF((YEAR(D60)+12)&gt;YEAR(E60),1,(12-MONTH(E60)+1)/12))))-((P60)*(IF((YEAR(D60)+12)&lt;YEAR(E60),0,IF((YEAR(D60)+12)&gt;YEAR(E60),1,(12-MONTH(E60)+1)/12))) + (R60)*(IF((YEAR(D60)+12)&lt;YEAR(E60),0,IF((YEAR(D60)+12)&gt;YEAR(E60),1,(12-MONTH(E60)+1)/12))))-(IF((((K60)*(IF(M60="",L60,IFERROR(IF(INDEX(Variablen!$I:$AT, MATCH(M60, Variablen!$A:$A, 0), MATCH((YEAR(D60)+12), Variablen!$I$3:$AT$3, 0))="",L60,INDEX(Variablen!$I:$AT, MATCH(M60, Variablen!$A:$A, 0), MATCH((YEAR(D60)+12), Variablen!$I$3:$AT$3, 0))),L60)))*(IF((YEAR(D60)+12)&lt;YEAR(E60),0,IF((YEAR(D60)+12)&gt;YEAR(E60),1,(12-MONTH(E60)+1)/12))) + (Q60)*(IF((YEAR(D60)+12)&lt;YEAR(E60),0,IF((YEAR(D60)+12)&gt;YEAR(E60),1,(12-MONTH(E60)+1)/12))))-((P60)*(IF((YEAR(D60)+12)&lt;YEAR(E60),0,IF((YEAR(D60)+12)&gt;YEAR(E60),1,(12-MONTH(E60)+1)/12))) + (R60)*(IF((YEAR(D60)+12)&lt;YEAR(E60),0,IF((YEAR(D60)+12)&gt;YEAR(E60),1,(12-MONTH(E60)+1)/12))))-(IF(OR(N60="",N60&lt;=0),0,(O60/N60)*(IF(OR(N60="",N60&lt;=0),0,IF((YEAR(D60)+12)&lt;YEAR(E60),0,IF((YEAR(D60)+12)&gt;=YEAR(E60)+N60,0,IF((YEAR(D60)+12)=YEAR(E60),(12-MONTH(E60)+1)/12,1))))))))&gt;0,(((K60)*(IF(M60="",L60,IFERROR(IF(INDEX(Variablen!$I:$AT, MATCH(M60, Variablen!$A:$A, 0), MATCH((YEAR(D60)+12), Variablen!$I$3:$AT$3, 0))="",L60,INDEX(Variablen!$I:$AT, MATCH(M60, Variablen!$A:$A, 0), MATCH((YEAR(D60)+12), Variablen!$I$3:$AT$3, 0))),L60)))*(IF((YEAR(D60)+12)&lt;YEAR(E60),0,IF((YEAR(D60)+12)&gt;YEAR(E60),1,(12-MONTH(E60)+1)/12))) + (Q60)*(IF((YEAR(D60)+12)&lt;YEAR(E60),0,IF((YEAR(D60)+12)&gt;YEAR(E60),1,(12-MONTH(E60)+1)/12))))-((P60)*(IF((YEAR(D60)+12)&lt;YEAR(E60),0,IF((YEAR(D60)+12)&gt;YEAR(E60),1,(12-MONTH(E60)+1)/12))) + (R60)*(IF((YEAR(D60)+12)&lt;YEAR(E60),0,IF((YEAR(D60)+12)&gt;YEAR(E60),1,(12-MONTH(E60)+1)/12))))-(IF(OR(N60="",N60&lt;=0),0,(O60/N60)*(IF(OR(N60="",N60&lt;=0),0,IF((YEAR(D60)+12)&lt;YEAR(E60),0,IF((YEAR(D60)+12)&gt;=YEAR(E60)+N60,0,IF((YEAR(D60)+12)=YEAR(E60),(12-MONTH(E60)+1)/12,1))))))))*TaxRate,0))-IF(12=0,O60,0))</f>
        <v/>
      </c>
      <c r="AF60" s="29">
        <f>IF(A60="","",((K60)*(IF(M60="",L60,IFERROR(IF(INDEX(Variablen!$I:$AT, MATCH(M60, Variablen!$A:$A, 0), MATCH((YEAR(D60)+13), Variablen!$I$3:$AT$3, 0))="",L60,INDEX(Variablen!$I:$AT, MATCH(M60, Variablen!$A:$A, 0), MATCH((YEAR(D60)+13), Variablen!$I$3:$AT$3, 0))),L60)))*(IF((YEAR(D60)+13)&lt;YEAR(E60),0,IF((YEAR(D60)+13)&gt;YEAR(E60),1,(12-MONTH(E60)+1)/12))) + (Q60)*(IF((YEAR(D60)+13)&lt;YEAR(E60),0,IF((YEAR(D60)+13)&gt;YEAR(E60),1,(12-MONTH(E60)+1)/12))))-((P60)*(IF((YEAR(D60)+13)&lt;YEAR(E60),0,IF((YEAR(D60)+13)&gt;YEAR(E60),1,(12-MONTH(E60)+1)/12))) + (R60)*(IF((YEAR(D60)+13)&lt;YEAR(E60),0,IF((YEAR(D60)+13)&gt;YEAR(E60),1,(12-MONTH(E60)+1)/12))))-(IF((((K60)*(IF(M60="",L60,IFERROR(IF(INDEX(Variablen!$I:$AT, MATCH(M60, Variablen!$A:$A, 0), MATCH((YEAR(D60)+13), Variablen!$I$3:$AT$3, 0))="",L60,INDEX(Variablen!$I:$AT, MATCH(M60, Variablen!$A:$A, 0), MATCH((YEAR(D60)+13), Variablen!$I$3:$AT$3, 0))),L60)))*(IF((YEAR(D60)+13)&lt;YEAR(E60),0,IF((YEAR(D60)+13)&gt;YEAR(E60),1,(12-MONTH(E60)+1)/12))) + (Q60)*(IF((YEAR(D60)+13)&lt;YEAR(E60),0,IF((YEAR(D60)+13)&gt;YEAR(E60),1,(12-MONTH(E60)+1)/12))))-((P60)*(IF((YEAR(D60)+13)&lt;YEAR(E60),0,IF((YEAR(D60)+13)&gt;YEAR(E60),1,(12-MONTH(E60)+1)/12))) + (R60)*(IF((YEAR(D60)+13)&lt;YEAR(E60),0,IF((YEAR(D60)+13)&gt;YEAR(E60),1,(12-MONTH(E60)+1)/12))))-(IF(OR(N60="",N60&lt;=0),0,(O60/N60)*(IF(OR(N60="",N60&lt;=0),0,IF((YEAR(D60)+13)&lt;YEAR(E60),0,IF((YEAR(D60)+13)&gt;=YEAR(E60)+N60,0,IF((YEAR(D60)+13)=YEAR(E60),(12-MONTH(E60)+1)/12,1))))))))&gt;0,(((K60)*(IF(M60="",L60,IFERROR(IF(INDEX(Variablen!$I:$AT, MATCH(M60, Variablen!$A:$A, 0), MATCH((YEAR(D60)+13), Variablen!$I$3:$AT$3, 0))="",L60,INDEX(Variablen!$I:$AT, MATCH(M60, Variablen!$A:$A, 0), MATCH((YEAR(D60)+13), Variablen!$I$3:$AT$3, 0))),L60)))*(IF((YEAR(D60)+13)&lt;YEAR(E60),0,IF((YEAR(D60)+13)&gt;YEAR(E60),1,(12-MONTH(E60)+1)/12))) + (Q60)*(IF((YEAR(D60)+13)&lt;YEAR(E60),0,IF((YEAR(D60)+13)&gt;YEAR(E60),1,(12-MONTH(E60)+1)/12))))-((P60)*(IF((YEAR(D60)+13)&lt;YEAR(E60),0,IF((YEAR(D60)+13)&gt;YEAR(E60),1,(12-MONTH(E60)+1)/12))) + (R60)*(IF((YEAR(D60)+13)&lt;YEAR(E60),0,IF((YEAR(D60)+13)&gt;YEAR(E60),1,(12-MONTH(E60)+1)/12))))-(IF(OR(N60="",N60&lt;=0),0,(O60/N60)*(IF(OR(N60="",N60&lt;=0),0,IF((YEAR(D60)+13)&lt;YEAR(E60),0,IF((YEAR(D60)+13)&gt;=YEAR(E60)+N60,0,IF((YEAR(D60)+13)=YEAR(E60),(12-MONTH(E60)+1)/12,1))))))))*TaxRate,0))-IF(13=0,O60,0))</f>
        <v/>
      </c>
      <c r="AG60" s="29">
        <f>IF(A60="","",((K60)*(IF(M60="",L60,IFERROR(IF(INDEX(Variablen!$I:$AT, MATCH(M60, Variablen!$A:$A, 0), MATCH((YEAR(D60)+14), Variablen!$I$3:$AT$3, 0))="",L60,INDEX(Variablen!$I:$AT, MATCH(M60, Variablen!$A:$A, 0), MATCH((YEAR(D60)+14), Variablen!$I$3:$AT$3, 0))),L60)))*(IF((YEAR(D60)+14)&lt;YEAR(E60),0,IF((YEAR(D60)+14)&gt;YEAR(E60),1,(12-MONTH(E60)+1)/12))) + (Q60)*(IF((YEAR(D60)+14)&lt;YEAR(E60),0,IF((YEAR(D60)+14)&gt;YEAR(E60),1,(12-MONTH(E60)+1)/12))))-((P60)*(IF((YEAR(D60)+14)&lt;YEAR(E60),0,IF((YEAR(D60)+14)&gt;YEAR(E60),1,(12-MONTH(E60)+1)/12))) + (R60)*(IF((YEAR(D60)+14)&lt;YEAR(E60),0,IF((YEAR(D60)+14)&gt;YEAR(E60),1,(12-MONTH(E60)+1)/12))))-(IF((((K60)*(IF(M60="",L60,IFERROR(IF(INDEX(Variablen!$I:$AT, MATCH(M60, Variablen!$A:$A, 0), MATCH((YEAR(D60)+14), Variablen!$I$3:$AT$3, 0))="",L60,INDEX(Variablen!$I:$AT, MATCH(M60, Variablen!$A:$A, 0), MATCH((YEAR(D60)+14), Variablen!$I$3:$AT$3, 0))),L60)))*(IF((YEAR(D60)+14)&lt;YEAR(E60),0,IF((YEAR(D60)+14)&gt;YEAR(E60),1,(12-MONTH(E60)+1)/12))) + (Q60)*(IF((YEAR(D60)+14)&lt;YEAR(E60),0,IF((YEAR(D60)+14)&gt;YEAR(E60),1,(12-MONTH(E60)+1)/12))))-((P60)*(IF((YEAR(D60)+14)&lt;YEAR(E60),0,IF((YEAR(D60)+14)&gt;YEAR(E60),1,(12-MONTH(E60)+1)/12))) + (R60)*(IF((YEAR(D60)+14)&lt;YEAR(E60),0,IF((YEAR(D60)+14)&gt;YEAR(E60),1,(12-MONTH(E60)+1)/12))))-(IF(OR(N60="",N60&lt;=0),0,(O60/N60)*(IF(OR(N60="",N60&lt;=0),0,IF((YEAR(D60)+14)&lt;YEAR(E60),0,IF((YEAR(D60)+14)&gt;=YEAR(E60)+N60,0,IF((YEAR(D60)+14)=YEAR(E60),(12-MONTH(E60)+1)/12,1))))))))&gt;0,(((K60)*(IF(M60="",L60,IFERROR(IF(INDEX(Variablen!$I:$AT, MATCH(M60, Variablen!$A:$A, 0), MATCH((YEAR(D60)+14), Variablen!$I$3:$AT$3, 0))="",L60,INDEX(Variablen!$I:$AT, MATCH(M60, Variablen!$A:$A, 0), MATCH((YEAR(D60)+14), Variablen!$I$3:$AT$3, 0))),L60)))*(IF((YEAR(D60)+14)&lt;YEAR(E60),0,IF((YEAR(D60)+14)&gt;YEAR(E60),1,(12-MONTH(E60)+1)/12))) + (Q60)*(IF((YEAR(D60)+14)&lt;YEAR(E60),0,IF((YEAR(D60)+14)&gt;YEAR(E60),1,(12-MONTH(E60)+1)/12))))-((P60)*(IF((YEAR(D60)+14)&lt;YEAR(E60),0,IF((YEAR(D60)+14)&gt;YEAR(E60),1,(12-MONTH(E60)+1)/12))) + (R60)*(IF((YEAR(D60)+14)&lt;YEAR(E60),0,IF((YEAR(D60)+14)&gt;YEAR(E60),1,(12-MONTH(E60)+1)/12))))-(IF(OR(N60="",N60&lt;=0),0,(O60/N60)*(IF(OR(N60="",N60&lt;=0),0,IF((YEAR(D60)+14)&lt;YEAR(E60),0,IF((YEAR(D60)+14)&gt;=YEAR(E60)+N60,0,IF((YEAR(D60)+14)=YEAR(E60),(12-MONTH(E60)+1)/12,1))))))))*TaxRate,0))-IF(14=0,O60,0))</f>
        <v/>
      </c>
      <c r="AH60" s="29">
        <f>IF(A60="","",((K60)*(IF(M60="",L60,IFERROR(IF(INDEX(Variablen!$I:$AT, MATCH(M60, Variablen!$A:$A, 0), MATCH((YEAR(D60)+15), Variablen!$I$3:$AT$3, 0))="",L60,INDEX(Variablen!$I:$AT, MATCH(M60, Variablen!$A:$A, 0), MATCH((YEAR(D60)+15), Variablen!$I$3:$AT$3, 0))),L60)))*(IF((YEAR(D60)+15)&lt;YEAR(E60),0,IF((YEAR(D60)+15)&gt;YEAR(E60),1,(12-MONTH(E60)+1)/12))) + (Q60)*(IF((YEAR(D60)+15)&lt;YEAR(E60),0,IF((YEAR(D60)+15)&gt;YEAR(E60),1,(12-MONTH(E60)+1)/12))))-((P60)*(IF((YEAR(D60)+15)&lt;YEAR(E60),0,IF((YEAR(D60)+15)&gt;YEAR(E60),1,(12-MONTH(E60)+1)/12))) + (R60)*(IF((YEAR(D60)+15)&lt;YEAR(E60),0,IF((YEAR(D60)+15)&gt;YEAR(E60),1,(12-MONTH(E60)+1)/12))))-(IF((((K60)*(IF(M60="",L60,IFERROR(IF(INDEX(Variablen!$I:$AT, MATCH(M60, Variablen!$A:$A, 0), MATCH((YEAR(D60)+15), Variablen!$I$3:$AT$3, 0))="",L60,INDEX(Variablen!$I:$AT, MATCH(M60, Variablen!$A:$A, 0), MATCH((YEAR(D60)+15), Variablen!$I$3:$AT$3, 0))),L60)))*(IF((YEAR(D60)+15)&lt;YEAR(E60),0,IF((YEAR(D60)+15)&gt;YEAR(E60),1,(12-MONTH(E60)+1)/12))) + (Q60)*(IF((YEAR(D60)+15)&lt;YEAR(E60),0,IF((YEAR(D60)+15)&gt;YEAR(E60),1,(12-MONTH(E60)+1)/12))))-((P60)*(IF((YEAR(D60)+15)&lt;YEAR(E60),0,IF((YEAR(D60)+15)&gt;YEAR(E60),1,(12-MONTH(E60)+1)/12))) + (R60)*(IF((YEAR(D60)+15)&lt;YEAR(E60),0,IF((YEAR(D60)+15)&gt;YEAR(E60),1,(12-MONTH(E60)+1)/12))))-(IF(OR(N60="",N60&lt;=0),0,(O60/N60)*(IF(OR(N60="",N60&lt;=0),0,IF((YEAR(D60)+15)&lt;YEAR(E60),0,IF((YEAR(D60)+15)&gt;=YEAR(E60)+N60,0,IF((YEAR(D60)+15)=YEAR(E60),(12-MONTH(E60)+1)/12,1))))))))&gt;0,(((K60)*(IF(M60="",L60,IFERROR(IF(INDEX(Variablen!$I:$AT, MATCH(M60, Variablen!$A:$A, 0), MATCH((YEAR(D60)+15), Variablen!$I$3:$AT$3, 0))="",L60,INDEX(Variablen!$I:$AT, MATCH(M60, Variablen!$A:$A, 0), MATCH((YEAR(D60)+15), Variablen!$I$3:$AT$3, 0))),L60)))*(IF((YEAR(D60)+15)&lt;YEAR(E60),0,IF((YEAR(D60)+15)&gt;YEAR(E60),1,(12-MONTH(E60)+1)/12))) + (Q60)*(IF((YEAR(D60)+15)&lt;YEAR(E60),0,IF((YEAR(D60)+15)&gt;YEAR(E60),1,(12-MONTH(E60)+1)/12))))-((P60)*(IF((YEAR(D60)+15)&lt;YEAR(E60),0,IF((YEAR(D60)+15)&gt;YEAR(E60),1,(12-MONTH(E60)+1)/12))) + (R60)*(IF((YEAR(D60)+15)&lt;YEAR(E60),0,IF((YEAR(D60)+15)&gt;YEAR(E60),1,(12-MONTH(E60)+1)/12))))-(IF(OR(N60="",N60&lt;=0),0,(O60/N60)*(IF(OR(N60="",N60&lt;=0),0,IF((YEAR(D60)+15)&lt;YEAR(E60),0,IF((YEAR(D60)+15)&gt;=YEAR(E60)+N60,0,IF((YEAR(D60)+15)=YEAR(E60),(12-MONTH(E60)+1)/12,1))))))))*TaxRate,0))-IF(15=0,O60,0))</f>
        <v/>
      </c>
      <c r="AI60" s="29">
        <f>IF(A60="","",((K60)*(IF(M60="",L60,IFERROR(IF(INDEX(Variablen!$I:$AT, MATCH(M60, Variablen!$A:$A, 0), MATCH((YEAR(D60)+16), Variablen!$I$3:$AT$3, 0))="",L60,INDEX(Variablen!$I:$AT, MATCH(M60, Variablen!$A:$A, 0), MATCH((YEAR(D60)+16), Variablen!$I$3:$AT$3, 0))),L60)))*(IF((YEAR(D60)+16)&lt;YEAR(E60),0,IF((YEAR(D60)+16)&gt;YEAR(E60),1,(12-MONTH(E60)+1)/12))) + (Q60)*(IF((YEAR(D60)+16)&lt;YEAR(E60),0,IF((YEAR(D60)+16)&gt;YEAR(E60),1,(12-MONTH(E60)+1)/12))))-((P60)*(IF((YEAR(D60)+16)&lt;YEAR(E60),0,IF((YEAR(D60)+16)&gt;YEAR(E60),1,(12-MONTH(E60)+1)/12))) + (R60)*(IF((YEAR(D60)+16)&lt;YEAR(E60),0,IF((YEAR(D60)+16)&gt;YEAR(E60),1,(12-MONTH(E60)+1)/12))))-(IF((((K60)*(IF(M60="",L60,IFERROR(IF(INDEX(Variablen!$I:$AT, MATCH(M60, Variablen!$A:$A, 0), MATCH((YEAR(D60)+16), Variablen!$I$3:$AT$3, 0))="",L60,INDEX(Variablen!$I:$AT, MATCH(M60, Variablen!$A:$A, 0), MATCH((YEAR(D60)+16), Variablen!$I$3:$AT$3, 0))),L60)))*(IF((YEAR(D60)+16)&lt;YEAR(E60),0,IF((YEAR(D60)+16)&gt;YEAR(E60),1,(12-MONTH(E60)+1)/12))) + (Q60)*(IF((YEAR(D60)+16)&lt;YEAR(E60),0,IF((YEAR(D60)+16)&gt;YEAR(E60),1,(12-MONTH(E60)+1)/12))))-((P60)*(IF((YEAR(D60)+16)&lt;YEAR(E60),0,IF((YEAR(D60)+16)&gt;YEAR(E60),1,(12-MONTH(E60)+1)/12))) + (R60)*(IF((YEAR(D60)+16)&lt;YEAR(E60),0,IF((YEAR(D60)+16)&gt;YEAR(E60),1,(12-MONTH(E60)+1)/12))))-(IF(OR(N60="",N60&lt;=0),0,(O60/N60)*(IF(OR(N60="",N60&lt;=0),0,IF((YEAR(D60)+16)&lt;YEAR(E60),0,IF((YEAR(D60)+16)&gt;=YEAR(E60)+N60,0,IF((YEAR(D60)+16)=YEAR(E60),(12-MONTH(E60)+1)/12,1))))))))&gt;0,(((K60)*(IF(M60="",L60,IFERROR(IF(INDEX(Variablen!$I:$AT, MATCH(M60, Variablen!$A:$A, 0), MATCH((YEAR(D60)+16), Variablen!$I$3:$AT$3, 0))="",L60,INDEX(Variablen!$I:$AT, MATCH(M60, Variablen!$A:$A, 0), MATCH((YEAR(D60)+16), Variablen!$I$3:$AT$3, 0))),L60)))*(IF((YEAR(D60)+16)&lt;YEAR(E60),0,IF((YEAR(D60)+16)&gt;YEAR(E60),1,(12-MONTH(E60)+1)/12))) + (Q60)*(IF((YEAR(D60)+16)&lt;YEAR(E60),0,IF((YEAR(D60)+16)&gt;YEAR(E60),1,(12-MONTH(E60)+1)/12))))-((P60)*(IF((YEAR(D60)+16)&lt;YEAR(E60),0,IF((YEAR(D60)+16)&gt;YEAR(E60),1,(12-MONTH(E60)+1)/12))) + (R60)*(IF((YEAR(D60)+16)&lt;YEAR(E60),0,IF((YEAR(D60)+16)&gt;YEAR(E60),1,(12-MONTH(E60)+1)/12))))-(IF(OR(N60="",N60&lt;=0),0,(O60/N60)*(IF(OR(N60="",N60&lt;=0),0,IF((YEAR(D60)+16)&lt;YEAR(E60),0,IF((YEAR(D60)+16)&gt;=YEAR(E60)+N60,0,IF((YEAR(D60)+16)=YEAR(E60),(12-MONTH(E60)+1)/12,1))))))))*TaxRate,0))-IF(16=0,O60,0))</f>
        <v/>
      </c>
      <c r="AJ60" s="29">
        <f>IF(A60="","",((K60)*(IF(M60="",L60,IFERROR(IF(INDEX(Variablen!$I:$AT, MATCH(M60, Variablen!$A:$A, 0), MATCH((YEAR(D60)+17), Variablen!$I$3:$AT$3, 0))="",L60,INDEX(Variablen!$I:$AT, MATCH(M60, Variablen!$A:$A, 0), MATCH((YEAR(D60)+17), Variablen!$I$3:$AT$3, 0))),L60)))*(IF((YEAR(D60)+17)&lt;YEAR(E60),0,IF((YEAR(D60)+17)&gt;YEAR(E60),1,(12-MONTH(E60)+1)/12))) + (Q60)*(IF((YEAR(D60)+17)&lt;YEAR(E60),0,IF((YEAR(D60)+17)&gt;YEAR(E60),1,(12-MONTH(E60)+1)/12))))-((P60)*(IF((YEAR(D60)+17)&lt;YEAR(E60),0,IF((YEAR(D60)+17)&gt;YEAR(E60),1,(12-MONTH(E60)+1)/12))) + (R60)*(IF((YEAR(D60)+17)&lt;YEAR(E60),0,IF((YEAR(D60)+17)&gt;YEAR(E60),1,(12-MONTH(E60)+1)/12))))-(IF((((K60)*(IF(M60="",L60,IFERROR(IF(INDEX(Variablen!$I:$AT, MATCH(M60, Variablen!$A:$A, 0), MATCH((YEAR(D60)+17), Variablen!$I$3:$AT$3, 0))="",L60,INDEX(Variablen!$I:$AT, MATCH(M60, Variablen!$A:$A, 0), MATCH((YEAR(D60)+17), Variablen!$I$3:$AT$3, 0))),L60)))*(IF((YEAR(D60)+17)&lt;YEAR(E60),0,IF((YEAR(D60)+17)&gt;YEAR(E60),1,(12-MONTH(E60)+1)/12))) + (Q60)*(IF((YEAR(D60)+17)&lt;YEAR(E60),0,IF((YEAR(D60)+17)&gt;YEAR(E60),1,(12-MONTH(E60)+1)/12))))-((P60)*(IF((YEAR(D60)+17)&lt;YEAR(E60),0,IF((YEAR(D60)+17)&gt;YEAR(E60),1,(12-MONTH(E60)+1)/12))) + (R60)*(IF((YEAR(D60)+17)&lt;YEAR(E60),0,IF((YEAR(D60)+17)&gt;YEAR(E60),1,(12-MONTH(E60)+1)/12))))-(IF(OR(N60="",N60&lt;=0),0,(O60/N60)*(IF(OR(N60="",N60&lt;=0),0,IF((YEAR(D60)+17)&lt;YEAR(E60),0,IF((YEAR(D60)+17)&gt;=YEAR(E60)+N60,0,IF((YEAR(D60)+17)=YEAR(E60),(12-MONTH(E60)+1)/12,1))))))))&gt;0,(((K60)*(IF(M60="",L60,IFERROR(IF(INDEX(Variablen!$I:$AT, MATCH(M60, Variablen!$A:$A, 0), MATCH((YEAR(D60)+17), Variablen!$I$3:$AT$3, 0))="",L60,INDEX(Variablen!$I:$AT, MATCH(M60, Variablen!$A:$A, 0), MATCH((YEAR(D60)+17), Variablen!$I$3:$AT$3, 0))),L60)))*(IF((YEAR(D60)+17)&lt;YEAR(E60),0,IF((YEAR(D60)+17)&gt;YEAR(E60),1,(12-MONTH(E60)+1)/12))) + (Q60)*(IF((YEAR(D60)+17)&lt;YEAR(E60),0,IF((YEAR(D60)+17)&gt;YEAR(E60),1,(12-MONTH(E60)+1)/12))))-((P60)*(IF((YEAR(D60)+17)&lt;YEAR(E60),0,IF((YEAR(D60)+17)&gt;YEAR(E60),1,(12-MONTH(E60)+1)/12))) + (R60)*(IF((YEAR(D60)+17)&lt;YEAR(E60),0,IF((YEAR(D60)+17)&gt;YEAR(E60),1,(12-MONTH(E60)+1)/12))))-(IF(OR(N60="",N60&lt;=0),0,(O60/N60)*(IF(OR(N60="",N60&lt;=0),0,IF((YEAR(D60)+17)&lt;YEAR(E60),0,IF((YEAR(D60)+17)&gt;=YEAR(E60)+N60,0,IF((YEAR(D60)+17)=YEAR(E60),(12-MONTH(E60)+1)/12,1))))))))*TaxRate,0))-IF(17=0,O60,0))</f>
        <v/>
      </c>
      <c r="AK60" s="29">
        <f>IF(A60="","",((K60)*(IF(M60="",L60,IFERROR(IF(INDEX(Variablen!$I:$AT, MATCH(M60, Variablen!$A:$A, 0), MATCH((YEAR(D60)+18), Variablen!$I$3:$AT$3, 0))="",L60,INDEX(Variablen!$I:$AT, MATCH(M60, Variablen!$A:$A, 0), MATCH((YEAR(D60)+18), Variablen!$I$3:$AT$3, 0))),L60)))*(IF((YEAR(D60)+18)&lt;YEAR(E60),0,IF((YEAR(D60)+18)&gt;YEAR(E60),1,(12-MONTH(E60)+1)/12))) + (Q60)*(IF((YEAR(D60)+18)&lt;YEAR(E60),0,IF((YEAR(D60)+18)&gt;YEAR(E60),1,(12-MONTH(E60)+1)/12))))-((P60)*(IF((YEAR(D60)+18)&lt;YEAR(E60),0,IF((YEAR(D60)+18)&gt;YEAR(E60),1,(12-MONTH(E60)+1)/12))) + (R60)*(IF((YEAR(D60)+18)&lt;YEAR(E60),0,IF((YEAR(D60)+18)&gt;YEAR(E60),1,(12-MONTH(E60)+1)/12))))-(IF((((K60)*(IF(M60="",L60,IFERROR(IF(INDEX(Variablen!$I:$AT, MATCH(M60, Variablen!$A:$A, 0), MATCH((YEAR(D60)+18), Variablen!$I$3:$AT$3, 0))="",L60,INDEX(Variablen!$I:$AT, MATCH(M60, Variablen!$A:$A, 0), MATCH((YEAR(D60)+18), Variablen!$I$3:$AT$3, 0))),L60)))*(IF((YEAR(D60)+18)&lt;YEAR(E60),0,IF((YEAR(D60)+18)&gt;YEAR(E60),1,(12-MONTH(E60)+1)/12))) + (Q60)*(IF((YEAR(D60)+18)&lt;YEAR(E60),0,IF((YEAR(D60)+18)&gt;YEAR(E60),1,(12-MONTH(E60)+1)/12))))-((P60)*(IF((YEAR(D60)+18)&lt;YEAR(E60),0,IF((YEAR(D60)+18)&gt;YEAR(E60),1,(12-MONTH(E60)+1)/12))) + (R60)*(IF((YEAR(D60)+18)&lt;YEAR(E60),0,IF((YEAR(D60)+18)&gt;YEAR(E60),1,(12-MONTH(E60)+1)/12))))-(IF(OR(N60="",N60&lt;=0),0,(O60/N60)*(IF(OR(N60="",N60&lt;=0),0,IF((YEAR(D60)+18)&lt;YEAR(E60),0,IF((YEAR(D60)+18)&gt;=YEAR(E60)+N60,0,IF((YEAR(D60)+18)=YEAR(E60),(12-MONTH(E60)+1)/12,1))))))))&gt;0,(((K60)*(IF(M60="",L60,IFERROR(IF(INDEX(Variablen!$I:$AT, MATCH(M60, Variablen!$A:$A, 0), MATCH((YEAR(D60)+18), Variablen!$I$3:$AT$3, 0))="",L60,INDEX(Variablen!$I:$AT, MATCH(M60, Variablen!$A:$A, 0), MATCH((YEAR(D60)+18), Variablen!$I$3:$AT$3, 0))),L60)))*(IF((YEAR(D60)+18)&lt;YEAR(E60),0,IF((YEAR(D60)+18)&gt;YEAR(E60),1,(12-MONTH(E60)+1)/12))) + (Q60)*(IF((YEAR(D60)+18)&lt;YEAR(E60),0,IF((YEAR(D60)+18)&gt;YEAR(E60),1,(12-MONTH(E60)+1)/12))))-((P60)*(IF((YEAR(D60)+18)&lt;YEAR(E60),0,IF((YEAR(D60)+18)&gt;YEAR(E60),1,(12-MONTH(E60)+1)/12))) + (R60)*(IF((YEAR(D60)+18)&lt;YEAR(E60),0,IF((YEAR(D60)+18)&gt;YEAR(E60),1,(12-MONTH(E60)+1)/12))))-(IF(OR(N60="",N60&lt;=0),0,(O60/N60)*(IF(OR(N60="",N60&lt;=0),0,IF((YEAR(D60)+18)&lt;YEAR(E60),0,IF((YEAR(D60)+18)&gt;=YEAR(E60)+N60,0,IF((YEAR(D60)+18)=YEAR(E60),(12-MONTH(E60)+1)/12,1))))))))*TaxRate,0))-IF(18=0,O60,0))</f>
        <v/>
      </c>
      <c r="AL60" s="29">
        <f>IF(A60="","",((K60)*(IF(M60="",L60,IFERROR(IF(INDEX(Variablen!$I:$AT, MATCH(M60, Variablen!$A:$A, 0), MATCH((YEAR(D60)+19), Variablen!$I$3:$AT$3, 0))="",L60,INDEX(Variablen!$I:$AT, MATCH(M60, Variablen!$A:$A, 0), MATCH((YEAR(D60)+19), Variablen!$I$3:$AT$3, 0))),L60)))*(IF((YEAR(D60)+19)&lt;YEAR(E60),0,IF((YEAR(D60)+19)&gt;YEAR(E60),1,(12-MONTH(E60)+1)/12))) + (Q60)*(IF((YEAR(D60)+19)&lt;YEAR(E60),0,IF((YEAR(D60)+19)&gt;YEAR(E60),1,(12-MONTH(E60)+1)/12))))-((P60)*(IF((YEAR(D60)+19)&lt;YEAR(E60),0,IF((YEAR(D60)+19)&gt;YEAR(E60),1,(12-MONTH(E60)+1)/12))) + (R60)*(IF((YEAR(D60)+19)&lt;YEAR(E60),0,IF((YEAR(D60)+19)&gt;YEAR(E60),1,(12-MONTH(E60)+1)/12))))-(IF((((K60)*(IF(M60="",L60,IFERROR(IF(INDEX(Variablen!$I:$AT, MATCH(M60, Variablen!$A:$A, 0), MATCH((YEAR(D60)+19), Variablen!$I$3:$AT$3, 0))="",L60,INDEX(Variablen!$I:$AT, MATCH(M60, Variablen!$A:$A, 0), MATCH((YEAR(D60)+19), Variablen!$I$3:$AT$3, 0))),L60)))*(IF((YEAR(D60)+19)&lt;YEAR(E60),0,IF((YEAR(D60)+19)&gt;YEAR(E60),1,(12-MONTH(E60)+1)/12))) + (Q60)*(IF((YEAR(D60)+19)&lt;YEAR(E60),0,IF((YEAR(D60)+19)&gt;YEAR(E60),1,(12-MONTH(E60)+1)/12))))-((P60)*(IF((YEAR(D60)+19)&lt;YEAR(E60),0,IF((YEAR(D60)+19)&gt;YEAR(E60),1,(12-MONTH(E60)+1)/12))) + (R60)*(IF((YEAR(D60)+19)&lt;YEAR(E60),0,IF((YEAR(D60)+19)&gt;YEAR(E60),1,(12-MONTH(E60)+1)/12))))-(IF(OR(N60="",N60&lt;=0),0,(O60/N60)*(IF(OR(N60="",N60&lt;=0),0,IF((YEAR(D60)+19)&lt;YEAR(E60),0,IF((YEAR(D60)+19)&gt;=YEAR(E60)+N60,0,IF((YEAR(D60)+19)=YEAR(E60),(12-MONTH(E60)+1)/12,1))))))))&gt;0,(((K60)*(IF(M60="",L60,IFERROR(IF(INDEX(Variablen!$I:$AT, MATCH(M60, Variablen!$A:$A, 0), MATCH((YEAR(D60)+19), Variablen!$I$3:$AT$3, 0))="",L60,INDEX(Variablen!$I:$AT, MATCH(M60, Variablen!$A:$A, 0), MATCH((YEAR(D60)+19), Variablen!$I$3:$AT$3, 0))),L60)))*(IF((YEAR(D60)+19)&lt;YEAR(E60),0,IF((YEAR(D60)+19)&gt;YEAR(E60),1,(12-MONTH(E60)+1)/12))) + (Q60)*(IF((YEAR(D60)+19)&lt;YEAR(E60),0,IF((YEAR(D60)+19)&gt;YEAR(E60),1,(12-MONTH(E60)+1)/12))))-((P60)*(IF((YEAR(D60)+19)&lt;YEAR(E60),0,IF((YEAR(D60)+19)&gt;YEAR(E60),1,(12-MONTH(E60)+1)/12))) + (R60)*(IF((YEAR(D60)+19)&lt;YEAR(E60),0,IF((YEAR(D60)+19)&gt;YEAR(E60),1,(12-MONTH(E60)+1)/12))))-(IF(OR(N60="",N60&lt;=0),0,(O60/N60)*(IF(OR(N60="",N60&lt;=0),0,IF((YEAR(D60)+19)&lt;YEAR(E60),0,IF((YEAR(D60)+19)&gt;=YEAR(E60)+N60,0,IF((YEAR(D60)+19)=YEAR(E60),(12-MONTH(E60)+1)/12,1))))))))*TaxRate,0))-IF(19=0,O60,0))</f>
        <v/>
      </c>
      <c r="AM60" s="29">
        <f>IF(A60="","",((K60)*(IF(M60="",L60,IFERROR(IF(INDEX(Variablen!$I:$AT, MATCH(M60, Variablen!$A:$A, 0), MATCH((YEAR(D60)+20), Variablen!$I$3:$AT$3, 0))="",L60,INDEX(Variablen!$I:$AT, MATCH(M60, Variablen!$A:$A, 0), MATCH((YEAR(D60)+20), Variablen!$I$3:$AT$3, 0))),L60)))*(IF((YEAR(D60)+20)&lt;YEAR(E60),0,IF((YEAR(D60)+20)&gt;YEAR(E60),1,(12-MONTH(E60)+1)/12))) + (Q60)*(IF((YEAR(D60)+20)&lt;YEAR(E60),0,IF((YEAR(D60)+20)&gt;YEAR(E60),1,(12-MONTH(E60)+1)/12))))-((P60)*(IF((YEAR(D60)+20)&lt;YEAR(E60),0,IF((YEAR(D60)+20)&gt;YEAR(E60),1,(12-MONTH(E60)+1)/12))) + (R60)*(IF((YEAR(D60)+20)&lt;YEAR(E60),0,IF((YEAR(D60)+20)&gt;YEAR(E60),1,(12-MONTH(E60)+1)/12))))-(IF((((K60)*(IF(M60="",L60,IFERROR(IF(INDEX(Variablen!$I:$AT, MATCH(M60, Variablen!$A:$A, 0), MATCH((YEAR(D60)+20), Variablen!$I$3:$AT$3, 0))="",L60,INDEX(Variablen!$I:$AT, MATCH(M60, Variablen!$A:$A, 0), MATCH((YEAR(D60)+20), Variablen!$I$3:$AT$3, 0))),L60)))*(IF((YEAR(D60)+20)&lt;YEAR(E60),0,IF((YEAR(D60)+20)&gt;YEAR(E60),1,(12-MONTH(E60)+1)/12))) + (Q60)*(IF((YEAR(D60)+20)&lt;YEAR(E60),0,IF((YEAR(D60)+20)&gt;YEAR(E60),1,(12-MONTH(E60)+1)/12))))-((P60)*(IF((YEAR(D60)+20)&lt;YEAR(E60),0,IF((YEAR(D60)+20)&gt;YEAR(E60),1,(12-MONTH(E60)+1)/12))) + (R60)*(IF((YEAR(D60)+20)&lt;YEAR(E60),0,IF((YEAR(D60)+20)&gt;YEAR(E60),1,(12-MONTH(E60)+1)/12))))-(IF(OR(N60="",N60&lt;=0),0,(O60/N60)*(IF(OR(N60="",N60&lt;=0),0,IF((YEAR(D60)+20)&lt;YEAR(E60),0,IF((YEAR(D60)+20)&gt;=YEAR(E60)+N60,0,IF((YEAR(D60)+20)=YEAR(E60),(12-MONTH(E60)+1)/12,1))))))))&gt;0,(((K60)*(IF(M60="",L60,IFERROR(IF(INDEX(Variablen!$I:$AT, MATCH(M60, Variablen!$A:$A, 0), MATCH((YEAR(D60)+20), Variablen!$I$3:$AT$3, 0))="",L60,INDEX(Variablen!$I:$AT, MATCH(M60, Variablen!$A:$A, 0), MATCH((YEAR(D60)+20), Variablen!$I$3:$AT$3, 0))),L60)))*(IF((YEAR(D60)+20)&lt;YEAR(E60),0,IF((YEAR(D60)+20)&gt;YEAR(E60),1,(12-MONTH(E60)+1)/12))) + (Q60)*(IF((YEAR(D60)+20)&lt;YEAR(E60),0,IF((YEAR(D60)+20)&gt;YEAR(E60),1,(12-MONTH(E60)+1)/12))))-((P60)*(IF((YEAR(D60)+20)&lt;YEAR(E60),0,IF((YEAR(D60)+20)&gt;YEAR(E60),1,(12-MONTH(E60)+1)/12))) + (R60)*(IF((YEAR(D60)+20)&lt;YEAR(E60),0,IF((YEAR(D60)+20)&gt;YEAR(E60),1,(12-MONTH(E60)+1)/12))))-(IF(OR(N60="",N60&lt;=0),0,(O60/N60)*(IF(OR(N60="",N60&lt;=0),0,IF((YEAR(D60)+20)&lt;YEAR(E60),0,IF((YEAR(D60)+20)&gt;=YEAR(E60)+N60,0,IF((YEAR(D60)+20)=YEAR(E60),(12-MONTH(E60)+1)/12,1))))))))*TaxRate,0))-IF(20=0,O60,0))</f>
        <v/>
      </c>
      <c r="AN60" s="29">
        <f>IF(A60="","",S60)</f>
        <v/>
      </c>
      <c r="AO60" s="29">
        <f>IF(A60="","",AN60+T60)</f>
        <v/>
      </c>
      <c r="AP60" s="29">
        <f>IF(A60="","",AO60+U60)</f>
        <v/>
      </c>
      <c r="AQ60" s="29">
        <f>IF(A60="","",AP60+V60)</f>
        <v/>
      </c>
      <c r="AR60" s="29">
        <f>IF(A60="","",AQ60+W60)</f>
        <v/>
      </c>
      <c r="AS60" s="29">
        <f>IF(A60="","",AR60+X60)</f>
        <v/>
      </c>
      <c r="AT60" s="29">
        <f>IF(A60="","",AS60+Y60)</f>
        <v/>
      </c>
      <c r="AU60" s="29">
        <f>IF(A60="","",AT60+Z60)</f>
        <v/>
      </c>
      <c r="AV60" s="29">
        <f>IF(A60="","",AU60+AA60)</f>
        <v/>
      </c>
      <c r="AW60" s="29">
        <f>IF(A60="","",AV60+AB60)</f>
        <v/>
      </c>
      <c r="AX60" s="29">
        <f>IF(A60="","",AW60+AC60)</f>
        <v/>
      </c>
      <c r="AY60" s="29">
        <f>IF(A60="","",AX60+AD60)</f>
        <v/>
      </c>
      <c r="AZ60" s="29">
        <f>IF(A60="","",AY60+AE60)</f>
        <v/>
      </c>
      <c r="BA60" s="29">
        <f>IF(A60="","",AZ60+AF60)</f>
        <v/>
      </c>
      <c r="BB60" s="29">
        <f>IF(A60="","",BA60+AG60)</f>
        <v/>
      </c>
      <c r="BC60" s="29">
        <f>IF(A60="","",BB60+AH60)</f>
        <v/>
      </c>
      <c r="BD60" s="29">
        <f>IF(A60="","",BC60+AI60)</f>
        <v/>
      </c>
      <c r="BE60" s="29">
        <f>IF(A60="","",BD60+AJ60)</f>
        <v/>
      </c>
      <c r="BF60" s="29">
        <f>IF(A60="","",BE60+AK60)</f>
        <v/>
      </c>
      <c r="BG60" s="29">
        <f>IF(A60="","",BF60+AL60)</f>
        <v/>
      </c>
      <c r="BH60" s="29">
        <f>IF(A60="","",BG60+AM60)</f>
        <v/>
      </c>
      <c r="BI60" s="36">
        <f>IF(A60="","",(K60)*(IF((YEAR(D60)+0)&lt;YEAR(E60),0,IF((YEAR(D60)+0)&gt;YEAR(E60),1,(12-MONTH(E60)+1)/12)))*(1/(1+DiscountRate)^0))</f>
        <v/>
      </c>
      <c r="BJ60" s="36">
        <f>IF(A60="","",(K60)*(IF((YEAR(D60)+1)&lt;YEAR(E60),0,IF((YEAR(D60)+1)&gt;YEAR(E60),1,(12-MONTH(E60)+1)/12)))*(1/(1+DiscountRate)^1))</f>
        <v/>
      </c>
      <c r="BK60" s="36">
        <f>IF(A60="","",(K60)*(IF((YEAR(D60)+2)&lt;YEAR(E60),0,IF((YEAR(D60)+2)&gt;YEAR(E60),1,(12-MONTH(E60)+1)/12)))*(1/(1+DiscountRate)^2))</f>
        <v/>
      </c>
      <c r="BL60" s="36">
        <f>IF(A60="","",(K60)*(IF((YEAR(D60)+3)&lt;YEAR(E60),0,IF((YEAR(D60)+3)&gt;YEAR(E60),1,(12-MONTH(E60)+1)/12)))*(1/(1+DiscountRate)^3))</f>
        <v/>
      </c>
      <c r="BM60" s="36">
        <f>IF(A60="","",(K60)*(IF((YEAR(D60)+4)&lt;YEAR(E60),0,IF((YEAR(D60)+4)&gt;YEAR(E60),1,(12-MONTH(E60)+1)/12)))*(1/(1+DiscountRate)^4))</f>
        <v/>
      </c>
      <c r="BN60" s="36">
        <f>IF(A60="","",(K60)*(IF((YEAR(D60)+5)&lt;YEAR(E60),0,IF((YEAR(D60)+5)&gt;YEAR(E60),1,(12-MONTH(E60)+1)/12)))*(1/(1+DiscountRate)^5))</f>
        <v/>
      </c>
      <c r="BO60" s="36">
        <f>IF(A60="","",(K60)*(IF((YEAR(D60)+6)&lt;YEAR(E60),0,IF((YEAR(D60)+6)&gt;YEAR(E60),1,(12-MONTH(E60)+1)/12)))*(1/(1+DiscountRate)^6))</f>
        <v/>
      </c>
      <c r="BP60" s="36">
        <f>IF(A60="","",(K60)*(IF((YEAR(D60)+7)&lt;YEAR(E60),0,IF((YEAR(D60)+7)&gt;YEAR(E60),1,(12-MONTH(E60)+1)/12)))*(1/(1+DiscountRate)^7))</f>
        <v/>
      </c>
      <c r="BQ60" s="36">
        <f>IF(A60="","",(K60)*(IF((YEAR(D60)+8)&lt;YEAR(E60),0,IF((YEAR(D60)+8)&gt;YEAR(E60),1,(12-MONTH(E60)+1)/12)))*(1/(1+DiscountRate)^8))</f>
        <v/>
      </c>
      <c r="BR60" s="36">
        <f>IF(A60="","",(K60)*(IF((YEAR(D60)+9)&lt;YEAR(E60),0,IF((YEAR(D60)+9)&gt;YEAR(E60),1,(12-MONTH(E60)+1)/12)))*(1/(1+DiscountRate)^9))</f>
        <v/>
      </c>
      <c r="BS60" s="36">
        <f>IF(A60="","",(K60)*(IF((YEAR(D60)+10)&lt;YEAR(E60),0,IF((YEAR(D60)+10)&gt;YEAR(E60),1,(12-MONTH(E60)+1)/12)))*(1/(1+DiscountRate)^10))</f>
        <v/>
      </c>
      <c r="BT60" s="36">
        <f>IF(A60="","",(K60)*(IF((YEAR(D60)+11)&lt;YEAR(E60),0,IF((YEAR(D60)+11)&gt;YEAR(E60),1,(12-MONTH(E60)+1)/12)))*(1/(1+DiscountRate)^11))</f>
        <v/>
      </c>
      <c r="BU60" s="36">
        <f>IF(A60="","",(K60)*(IF((YEAR(D60)+12)&lt;YEAR(E60),0,IF((YEAR(D60)+12)&gt;YEAR(E60),1,(12-MONTH(E60)+1)/12)))*(1/(1+DiscountRate)^12))</f>
        <v/>
      </c>
      <c r="BV60" s="36">
        <f>IF(A60="","",(K60)*(IF((YEAR(D60)+13)&lt;YEAR(E60),0,IF((YEAR(D60)+13)&gt;YEAR(E60),1,(12-MONTH(E60)+1)/12)))*(1/(1+DiscountRate)^13))</f>
        <v/>
      </c>
      <c r="BW60" s="36">
        <f>IF(A60="","",(K60)*(IF((YEAR(D60)+14)&lt;YEAR(E60),0,IF((YEAR(D60)+14)&gt;YEAR(E60),1,(12-MONTH(E60)+1)/12)))*(1/(1+DiscountRate)^14))</f>
        <v/>
      </c>
      <c r="BX60" s="36">
        <f>IF(A60="","",(K60)*(IF((YEAR(D60)+15)&lt;YEAR(E60),0,IF((YEAR(D60)+15)&gt;YEAR(E60),1,(12-MONTH(E60)+1)/12)))*(1/(1+DiscountRate)^15))</f>
        <v/>
      </c>
      <c r="BY60" s="36">
        <f>IF(A60="","",(K60)*(IF((YEAR(D60)+16)&lt;YEAR(E60),0,IF((YEAR(D60)+16)&gt;YEAR(E60),1,(12-MONTH(E60)+1)/12)))*(1/(1+DiscountRate)^16))</f>
        <v/>
      </c>
      <c r="BZ60" s="36">
        <f>IF(A60="","",(K60)*(IF((YEAR(D60)+17)&lt;YEAR(E60),0,IF((YEAR(D60)+17)&gt;YEAR(E60),1,(12-MONTH(E60)+1)/12)))*(1/(1+DiscountRate)^17))</f>
        <v/>
      </c>
      <c r="CA60" s="36">
        <f>IF(A60="","",(K60)*(IF((YEAR(D60)+18)&lt;YEAR(E60),0,IF((YEAR(D60)+18)&gt;YEAR(E60),1,(12-MONTH(E60)+1)/12)))*(1/(1+DiscountRate)^18))</f>
        <v/>
      </c>
      <c r="CB60" s="36">
        <f>IF(A60="","",(K60)*(IF((YEAR(D60)+19)&lt;YEAR(E60),0,IF((YEAR(D60)+19)&gt;YEAR(E60),1,(12-MONTH(E60)+1)/12)))*(1/(1+DiscountRate)^19))</f>
        <v/>
      </c>
      <c r="CC60" s="36">
        <f>IF(A60="","",(K60)*(IF((YEAR(D60)+20)&lt;YEAR(E60),0,IF((YEAR(D60)+20)&gt;YEAR(E60),1,(12-MONTH(E60)+1)/12)))*(1/(1+DiscountRate)^20))</f>
        <v/>
      </c>
      <c r="CD60" s="29">
        <f>IF(A60="","",S60/(1+DiscountRate)^0+T60/(1+DiscountRate)^1+U60/(1+DiscountRate)^2+V60/(1+DiscountRate)^3+W60/(1+DiscountRate)^4+X60/(1+DiscountRate)^5+Y60/(1+DiscountRate)^6+Z60/(1+DiscountRate)^7+AA60/(1+DiscountRate)^8+AB60/(1+DiscountRate)^9+AC60/(1+DiscountRate)^10+AD60/(1+DiscountRate)^11+AE60/(1+DiscountRate)^12+AF60/(1+DiscountRate)^13+AG60/(1+DiscountRate)^14+AH60/(1+DiscountRate)^15+AI60/(1+DiscountRate)^16+AJ60/(1+DiscountRate)^17+AK60/(1+DiscountRate)^18+AL60/(1+DiscountRate)^19+AM60/(1+DiscountRate)^20)</f>
        <v/>
      </c>
      <c r="CE60" s="37">
        <f>IF(A60="","",IFERROR(IRR(OFFSET(S60,0,0,1,MIN(HorizonYears,20)+1)),"n/a"))</f>
        <v/>
      </c>
      <c r="CF60" s="28">
        <f>IF(A60="","",IFERROR(MATCH(TRUE,OFFSET(AN60,0,0,1,MIN(HorizonYears,20)+1)&gt;=0,0)-1,"n/a"))</f>
        <v/>
      </c>
      <c r="CG60" s="36">
        <f>IF(A60="","",SUM(OFFSET(BI60,0,0,1,MIN(HorizonYears,20)+1)))</f>
        <v/>
      </c>
      <c r="CH60" s="36">
        <f>IF(A60="","",IFERROR(-CD60/CG60,"n/a"))</f>
        <v/>
      </c>
    </row>
    <row r="61">
      <c r="A61" s="6">
        <f>Actions!A59</f>
        <v/>
      </c>
      <c r="B61" s="6">
        <f>Actions!B59</f>
        <v/>
      </c>
      <c r="C61" s="6">
        <f>Actions!D59</f>
        <v/>
      </c>
      <c r="D61" s="35">
        <f>Actions!E59</f>
        <v/>
      </c>
      <c r="E61" s="35">
        <f>Actions!F59</f>
        <v/>
      </c>
      <c r="F61" s="6">
        <f>Actions!G59</f>
        <v/>
      </c>
      <c r="G61" s="6">
        <f>Actions!H59</f>
        <v/>
      </c>
      <c r="H61" s="29">
        <f>Actions!I59</f>
        <v/>
      </c>
      <c r="I61" s="6">
        <f>Actions!J59</f>
        <v/>
      </c>
      <c r="J61" s="16">
        <f>Actions!K59</f>
        <v/>
      </c>
      <c r="K61" s="16">
        <f>IF(A61="","",IF(I61="%",H61*J61,J61))</f>
        <v/>
      </c>
      <c r="L61" s="16">
        <f>Actions!L59</f>
        <v/>
      </c>
      <c r="M61" s="6">
        <f>Actions!M59</f>
        <v/>
      </c>
      <c r="N61" s="28">
        <f>Actions!N59</f>
        <v/>
      </c>
      <c r="O61" s="29">
        <f>Actions!T59</f>
        <v/>
      </c>
      <c r="P61" s="29">
        <f>Actions!Y59</f>
        <v/>
      </c>
      <c r="Q61" s="29">
        <f>Actions!Z59</f>
        <v/>
      </c>
      <c r="R61" s="29">
        <f>Actions!AA59</f>
        <v/>
      </c>
      <c r="S61" s="29">
        <f>IF(A61="","",((K61)*(IF(M61="",L61,IFERROR(IF(INDEX(Variablen!$I:$AT, MATCH(M61, Variablen!$A:$A, 0), MATCH((YEAR(D61)+0), Variablen!$I$3:$AT$3, 0))="",L61,INDEX(Variablen!$I:$AT, MATCH(M61, Variablen!$A:$A, 0), MATCH((YEAR(D61)+0), Variablen!$I$3:$AT$3, 0))),L61)))*(IF((YEAR(D61)+0)&lt;YEAR(E61),0,IF((YEAR(D61)+0)&gt;YEAR(E61),1,(12-MONTH(E61)+1)/12))) + (Q61)*(IF((YEAR(D61)+0)&lt;YEAR(E61),0,IF((YEAR(D61)+0)&gt;YEAR(E61),1,(12-MONTH(E61)+1)/12))))-((P61)*(IF((YEAR(D61)+0)&lt;YEAR(E61),0,IF((YEAR(D61)+0)&gt;YEAR(E61),1,(12-MONTH(E61)+1)/12))) + (R61)*(IF((YEAR(D61)+0)&lt;YEAR(E61),0,IF((YEAR(D61)+0)&gt;YEAR(E61),1,(12-MONTH(E61)+1)/12))))-(IF((((K61)*(IF(M61="",L61,IFERROR(IF(INDEX(Variablen!$I:$AT, MATCH(M61, Variablen!$A:$A, 0), MATCH((YEAR(D61)+0), Variablen!$I$3:$AT$3, 0))="",L61,INDEX(Variablen!$I:$AT, MATCH(M61, Variablen!$A:$A, 0), MATCH((YEAR(D61)+0), Variablen!$I$3:$AT$3, 0))),L61)))*(IF((YEAR(D61)+0)&lt;YEAR(E61),0,IF((YEAR(D61)+0)&gt;YEAR(E61),1,(12-MONTH(E61)+1)/12))) + (Q61)*(IF((YEAR(D61)+0)&lt;YEAR(E61),0,IF((YEAR(D61)+0)&gt;YEAR(E61),1,(12-MONTH(E61)+1)/12))))-((P61)*(IF((YEAR(D61)+0)&lt;YEAR(E61),0,IF((YEAR(D61)+0)&gt;YEAR(E61),1,(12-MONTH(E61)+1)/12))) + (R61)*(IF((YEAR(D61)+0)&lt;YEAR(E61),0,IF((YEAR(D61)+0)&gt;YEAR(E61),1,(12-MONTH(E61)+1)/12))))-(IF(OR(N61="",N61&lt;=0),0,(O61/N61)*(IF(OR(N61="",N61&lt;=0),0,IF((YEAR(D61)+0)&lt;YEAR(E61),0,IF((YEAR(D61)+0)&gt;=YEAR(E61)+N61,0,IF((YEAR(D61)+0)=YEAR(E61),(12-MONTH(E61)+1)/12,1))))))))&gt;0,(((K61)*(IF(M61="",L61,IFERROR(IF(INDEX(Variablen!$I:$AT, MATCH(M61, Variablen!$A:$A, 0), MATCH((YEAR(D61)+0), Variablen!$I$3:$AT$3, 0))="",L61,INDEX(Variablen!$I:$AT, MATCH(M61, Variablen!$A:$A, 0), MATCH((YEAR(D61)+0), Variablen!$I$3:$AT$3, 0))),L61)))*(IF((YEAR(D61)+0)&lt;YEAR(E61),0,IF((YEAR(D61)+0)&gt;YEAR(E61),1,(12-MONTH(E61)+1)/12))) + (Q61)*(IF((YEAR(D61)+0)&lt;YEAR(E61),0,IF((YEAR(D61)+0)&gt;YEAR(E61),1,(12-MONTH(E61)+1)/12))))-((P61)*(IF((YEAR(D61)+0)&lt;YEAR(E61),0,IF((YEAR(D61)+0)&gt;YEAR(E61),1,(12-MONTH(E61)+1)/12))) + (R61)*(IF((YEAR(D61)+0)&lt;YEAR(E61),0,IF((YEAR(D61)+0)&gt;YEAR(E61),1,(12-MONTH(E61)+1)/12))))-(IF(OR(N61="",N61&lt;=0),0,(O61/N61)*(IF(OR(N61="",N61&lt;=0),0,IF((YEAR(D61)+0)&lt;YEAR(E61),0,IF((YEAR(D61)+0)&gt;=YEAR(E61)+N61,0,IF((YEAR(D61)+0)=YEAR(E61),(12-MONTH(E61)+1)/12,1))))))))*TaxRate,0))-IF(0=0,O61,0))</f>
        <v/>
      </c>
      <c r="T61" s="29">
        <f>IF(A61="","",((K61)*(IF(M61="",L61,IFERROR(IF(INDEX(Variablen!$I:$AT, MATCH(M61, Variablen!$A:$A, 0), MATCH((YEAR(D61)+1), Variablen!$I$3:$AT$3, 0))="",L61,INDEX(Variablen!$I:$AT, MATCH(M61, Variablen!$A:$A, 0), MATCH((YEAR(D61)+1), Variablen!$I$3:$AT$3, 0))),L61)))*(IF((YEAR(D61)+1)&lt;YEAR(E61),0,IF((YEAR(D61)+1)&gt;YEAR(E61),1,(12-MONTH(E61)+1)/12))) + (Q61)*(IF((YEAR(D61)+1)&lt;YEAR(E61),0,IF((YEAR(D61)+1)&gt;YEAR(E61),1,(12-MONTH(E61)+1)/12))))-((P61)*(IF((YEAR(D61)+1)&lt;YEAR(E61),0,IF((YEAR(D61)+1)&gt;YEAR(E61),1,(12-MONTH(E61)+1)/12))) + (R61)*(IF((YEAR(D61)+1)&lt;YEAR(E61),0,IF((YEAR(D61)+1)&gt;YEAR(E61),1,(12-MONTH(E61)+1)/12))))-(IF((((K61)*(IF(M61="",L61,IFERROR(IF(INDEX(Variablen!$I:$AT, MATCH(M61, Variablen!$A:$A, 0), MATCH((YEAR(D61)+1), Variablen!$I$3:$AT$3, 0))="",L61,INDEX(Variablen!$I:$AT, MATCH(M61, Variablen!$A:$A, 0), MATCH((YEAR(D61)+1), Variablen!$I$3:$AT$3, 0))),L61)))*(IF((YEAR(D61)+1)&lt;YEAR(E61),0,IF((YEAR(D61)+1)&gt;YEAR(E61),1,(12-MONTH(E61)+1)/12))) + (Q61)*(IF((YEAR(D61)+1)&lt;YEAR(E61),0,IF((YEAR(D61)+1)&gt;YEAR(E61),1,(12-MONTH(E61)+1)/12))))-((P61)*(IF((YEAR(D61)+1)&lt;YEAR(E61),0,IF((YEAR(D61)+1)&gt;YEAR(E61),1,(12-MONTH(E61)+1)/12))) + (R61)*(IF((YEAR(D61)+1)&lt;YEAR(E61),0,IF((YEAR(D61)+1)&gt;YEAR(E61),1,(12-MONTH(E61)+1)/12))))-(IF(OR(N61="",N61&lt;=0),0,(O61/N61)*(IF(OR(N61="",N61&lt;=0),0,IF((YEAR(D61)+1)&lt;YEAR(E61),0,IF((YEAR(D61)+1)&gt;=YEAR(E61)+N61,0,IF((YEAR(D61)+1)=YEAR(E61),(12-MONTH(E61)+1)/12,1))))))))&gt;0,(((K61)*(IF(M61="",L61,IFERROR(IF(INDEX(Variablen!$I:$AT, MATCH(M61, Variablen!$A:$A, 0), MATCH((YEAR(D61)+1), Variablen!$I$3:$AT$3, 0))="",L61,INDEX(Variablen!$I:$AT, MATCH(M61, Variablen!$A:$A, 0), MATCH((YEAR(D61)+1), Variablen!$I$3:$AT$3, 0))),L61)))*(IF((YEAR(D61)+1)&lt;YEAR(E61),0,IF((YEAR(D61)+1)&gt;YEAR(E61),1,(12-MONTH(E61)+1)/12))) + (Q61)*(IF((YEAR(D61)+1)&lt;YEAR(E61),0,IF((YEAR(D61)+1)&gt;YEAR(E61),1,(12-MONTH(E61)+1)/12))))-((P61)*(IF((YEAR(D61)+1)&lt;YEAR(E61),0,IF((YEAR(D61)+1)&gt;YEAR(E61),1,(12-MONTH(E61)+1)/12))) + (R61)*(IF((YEAR(D61)+1)&lt;YEAR(E61),0,IF((YEAR(D61)+1)&gt;YEAR(E61),1,(12-MONTH(E61)+1)/12))))-(IF(OR(N61="",N61&lt;=0),0,(O61/N61)*(IF(OR(N61="",N61&lt;=0),0,IF((YEAR(D61)+1)&lt;YEAR(E61),0,IF((YEAR(D61)+1)&gt;=YEAR(E61)+N61,0,IF((YEAR(D61)+1)=YEAR(E61),(12-MONTH(E61)+1)/12,1))))))))*TaxRate,0))-IF(1=0,O61,0))</f>
        <v/>
      </c>
      <c r="U61" s="29">
        <f>IF(A61="","",((K61)*(IF(M61="",L61,IFERROR(IF(INDEX(Variablen!$I:$AT, MATCH(M61, Variablen!$A:$A, 0), MATCH((YEAR(D61)+2), Variablen!$I$3:$AT$3, 0))="",L61,INDEX(Variablen!$I:$AT, MATCH(M61, Variablen!$A:$A, 0), MATCH((YEAR(D61)+2), Variablen!$I$3:$AT$3, 0))),L61)))*(IF((YEAR(D61)+2)&lt;YEAR(E61),0,IF((YEAR(D61)+2)&gt;YEAR(E61),1,(12-MONTH(E61)+1)/12))) + (Q61)*(IF((YEAR(D61)+2)&lt;YEAR(E61),0,IF((YEAR(D61)+2)&gt;YEAR(E61),1,(12-MONTH(E61)+1)/12))))-((P61)*(IF((YEAR(D61)+2)&lt;YEAR(E61),0,IF((YEAR(D61)+2)&gt;YEAR(E61),1,(12-MONTH(E61)+1)/12))) + (R61)*(IF((YEAR(D61)+2)&lt;YEAR(E61),0,IF((YEAR(D61)+2)&gt;YEAR(E61),1,(12-MONTH(E61)+1)/12))))-(IF((((K61)*(IF(M61="",L61,IFERROR(IF(INDEX(Variablen!$I:$AT, MATCH(M61, Variablen!$A:$A, 0), MATCH((YEAR(D61)+2), Variablen!$I$3:$AT$3, 0))="",L61,INDEX(Variablen!$I:$AT, MATCH(M61, Variablen!$A:$A, 0), MATCH((YEAR(D61)+2), Variablen!$I$3:$AT$3, 0))),L61)))*(IF((YEAR(D61)+2)&lt;YEAR(E61),0,IF((YEAR(D61)+2)&gt;YEAR(E61),1,(12-MONTH(E61)+1)/12))) + (Q61)*(IF((YEAR(D61)+2)&lt;YEAR(E61),0,IF((YEAR(D61)+2)&gt;YEAR(E61),1,(12-MONTH(E61)+1)/12))))-((P61)*(IF((YEAR(D61)+2)&lt;YEAR(E61),0,IF((YEAR(D61)+2)&gt;YEAR(E61),1,(12-MONTH(E61)+1)/12))) + (R61)*(IF((YEAR(D61)+2)&lt;YEAR(E61),0,IF((YEAR(D61)+2)&gt;YEAR(E61),1,(12-MONTH(E61)+1)/12))))-(IF(OR(N61="",N61&lt;=0),0,(O61/N61)*(IF(OR(N61="",N61&lt;=0),0,IF((YEAR(D61)+2)&lt;YEAR(E61),0,IF((YEAR(D61)+2)&gt;=YEAR(E61)+N61,0,IF((YEAR(D61)+2)=YEAR(E61),(12-MONTH(E61)+1)/12,1))))))))&gt;0,(((K61)*(IF(M61="",L61,IFERROR(IF(INDEX(Variablen!$I:$AT, MATCH(M61, Variablen!$A:$A, 0), MATCH((YEAR(D61)+2), Variablen!$I$3:$AT$3, 0))="",L61,INDEX(Variablen!$I:$AT, MATCH(M61, Variablen!$A:$A, 0), MATCH((YEAR(D61)+2), Variablen!$I$3:$AT$3, 0))),L61)))*(IF((YEAR(D61)+2)&lt;YEAR(E61),0,IF((YEAR(D61)+2)&gt;YEAR(E61),1,(12-MONTH(E61)+1)/12))) + (Q61)*(IF((YEAR(D61)+2)&lt;YEAR(E61),0,IF((YEAR(D61)+2)&gt;YEAR(E61),1,(12-MONTH(E61)+1)/12))))-((P61)*(IF((YEAR(D61)+2)&lt;YEAR(E61),0,IF((YEAR(D61)+2)&gt;YEAR(E61),1,(12-MONTH(E61)+1)/12))) + (R61)*(IF((YEAR(D61)+2)&lt;YEAR(E61),0,IF((YEAR(D61)+2)&gt;YEAR(E61),1,(12-MONTH(E61)+1)/12))))-(IF(OR(N61="",N61&lt;=0),0,(O61/N61)*(IF(OR(N61="",N61&lt;=0),0,IF((YEAR(D61)+2)&lt;YEAR(E61),0,IF((YEAR(D61)+2)&gt;=YEAR(E61)+N61,0,IF((YEAR(D61)+2)=YEAR(E61),(12-MONTH(E61)+1)/12,1))))))))*TaxRate,0))-IF(2=0,O61,0))</f>
        <v/>
      </c>
      <c r="V61" s="29">
        <f>IF(A61="","",((K61)*(IF(M61="",L61,IFERROR(IF(INDEX(Variablen!$I:$AT, MATCH(M61, Variablen!$A:$A, 0), MATCH((YEAR(D61)+3), Variablen!$I$3:$AT$3, 0))="",L61,INDEX(Variablen!$I:$AT, MATCH(M61, Variablen!$A:$A, 0), MATCH((YEAR(D61)+3), Variablen!$I$3:$AT$3, 0))),L61)))*(IF((YEAR(D61)+3)&lt;YEAR(E61),0,IF((YEAR(D61)+3)&gt;YEAR(E61),1,(12-MONTH(E61)+1)/12))) + (Q61)*(IF((YEAR(D61)+3)&lt;YEAR(E61),0,IF((YEAR(D61)+3)&gt;YEAR(E61),1,(12-MONTH(E61)+1)/12))))-((P61)*(IF((YEAR(D61)+3)&lt;YEAR(E61),0,IF((YEAR(D61)+3)&gt;YEAR(E61),1,(12-MONTH(E61)+1)/12))) + (R61)*(IF((YEAR(D61)+3)&lt;YEAR(E61),0,IF((YEAR(D61)+3)&gt;YEAR(E61),1,(12-MONTH(E61)+1)/12))))-(IF((((K61)*(IF(M61="",L61,IFERROR(IF(INDEX(Variablen!$I:$AT, MATCH(M61, Variablen!$A:$A, 0), MATCH((YEAR(D61)+3), Variablen!$I$3:$AT$3, 0))="",L61,INDEX(Variablen!$I:$AT, MATCH(M61, Variablen!$A:$A, 0), MATCH((YEAR(D61)+3), Variablen!$I$3:$AT$3, 0))),L61)))*(IF((YEAR(D61)+3)&lt;YEAR(E61),0,IF((YEAR(D61)+3)&gt;YEAR(E61),1,(12-MONTH(E61)+1)/12))) + (Q61)*(IF((YEAR(D61)+3)&lt;YEAR(E61),0,IF((YEAR(D61)+3)&gt;YEAR(E61),1,(12-MONTH(E61)+1)/12))))-((P61)*(IF((YEAR(D61)+3)&lt;YEAR(E61),0,IF((YEAR(D61)+3)&gt;YEAR(E61),1,(12-MONTH(E61)+1)/12))) + (R61)*(IF((YEAR(D61)+3)&lt;YEAR(E61),0,IF((YEAR(D61)+3)&gt;YEAR(E61),1,(12-MONTH(E61)+1)/12))))-(IF(OR(N61="",N61&lt;=0),0,(O61/N61)*(IF(OR(N61="",N61&lt;=0),0,IF((YEAR(D61)+3)&lt;YEAR(E61),0,IF((YEAR(D61)+3)&gt;=YEAR(E61)+N61,0,IF((YEAR(D61)+3)=YEAR(E61),(12-MONTH(E61)+1)/12,1))))))))&gt;0,(((K61)*(IF(M61="",L61,IFERROR(IF(INDEX(Variablen!$I:$AT, MATCH(M61, Variablen!$A:$A, 0), MATCH((YEAR(D61)+3), Variablen!$I$3:$AT$3, 0))="",L61,INDEX(Variablen!$I:$AT, MATCH(M61, Variablen!$A:$A, 0), MATCH((YEAR(D61)+3), Variablen!$I$3:$AT$3, 0))),L61)))*(IF((YEAR(D61)+3)&lt;YEAR(E61),0,IF((YEAR(D61)+3)&gt;YEAR(E61),1,(12-MONTH(E61)+1)/12))) + (Q61)*(IF((YEAR(D61)+3)&lt;YEAR(E61),0,IF((YEAR(D61)+3)&gt;YEAR(E61),1,(12-MONTH(E61)+1)/12))))-((P61)*(IF((YEAR(D61)+3)&lt;YEAR(E61),0,IF((YEAR(D61)+3)&gt;YEAR(E61),1,(12-MONTH(E61)+1)/12))) + (R61)*(IF((YEAR(D61)+3)&lt;YEAR(E61),0,IF((YEAR(D61)+3)&gt;YEAR(E61),1,(12-MONTH(E61)+1)/12))))-(IF(OR(N61="",N61&lt;=0),0,(O61/N61)*(IF(OR(N61="",N61&lt;=0),0,IF((YEAR(D61)+3)&lt;YEAR(E61),0,IF((YEAR(D61)+3)&gt;=YEAR(E61)+N61,0,IF((YEAR(D61)+3)=YEAR(E61),(12-MONTH(E61)+1)/12,1))))))))*TaxRate,0))-IF(3=0,O61,0))</f>
        <v/>
      </c>
      <c r="W61" s="29">
        <f>IF(A61="","",((K61)*(IF(M61="",L61,IFERROR(IF(INDEX(Variablen!$I:$AT, MATCH(M61, Variablen!$A:$A, 0), MATCH((YEAR(D61)+4), Variablen!$I$3:$AT$3, 0))="",L61,INDEX(Variablen!$I:$AT, MATCH(M61, Variablen!$A:$A, 0), MATCH((YEAR(D61)+4), Variablen!$I$3:$AT$3, 0))),L61)))*(IF((YEAR(D61)+4)&lt;YEAR(E61),0,IF((YEAR(D61)+4)&gt;YEAR(E61),1,(12-MONTH(E61)+1)/12))) + (Q61)*(IF((YEAR(D61)+4)&lt;YEAR(E61),0,IF((YEAR(D61)+4)&gt;YEAR(E61),1,(12-MONTH(E61)+1)/12))))-((P61)*(IF((YEAR(D61)+4)&lt;YEAR(E61),0,IF((YEAR(D61)+4)&gt;YEAR(E61),1,(12-MONTH(E61)+1)/12))) + (R61)*(IF((YEAR(D61)+4)&lt;YEAR(E61),0,IF((YEAR(D61)+4)&gt;YEAR(E61),1,(12-MONTH(E61)+1)/12))))-(IF((((K61)*(IF(M61="",L61,IFERROR(IF(INDEX(Variablen!$I:$AT, MATCH(M61, Variablen!$A:$A, 0), MATCH((YEAR(D61)+4), Variablen!$I$3:$AT$3, 0))="",L61,INDEX(Variablen!$I:$AT, MATCH(M61, Variablen!$A:$A, 0), MATCH((YEAR(D61)+4), Variablen!$I$3:$AT$3, 0))),L61)))*(IF((YEAR(D61)+4)&lt;YEAR(E61),0,IF((YEAR(D61)+4)&gt;YEAR(E61),1,(12-MONTH(E61)+1)/12))) + (Q61)*(IF((YEAR(D61)+4)&lt;YEAR(E61),0,IF((YEAR(D61)+4)&gt;YEAR(E61),1,(12-MONTH(E61)+1)/12))))-((P61)*(IF((YEAR(D61)+4)&lt;YEAR(E61),0,IF((YEAR(D61)+4)&gt;YEAR(E61),1,(12-MONTH(E61)+1)/12))) + (R61)*(IF((YEAR(D61)+4)&lt;YEAR(E61),0,IF((YEAR(D61)+4)&gt;YEAR(E61),1,(12-MONTH(E61)+1)/12))))-(IF(OR(N61="",N61&lt;=0),0,(O61/N61)*(IF(OR(N61="",N61&lt;=0),0,IF((YEAR(D61)+4)&lt;YEAR(E61),0,IF((YEAR(D61)+4)&gt;=YEAR(E61)+N61,0,IF((YEAR(D61)+4)=YEAR(E61),(12-MONTH(E61)+1)/12,1))))))))&gt;0,(((K61)*(IF(M61="",L61,IFERROR(IF(INDEX(Variablen!$I:$AT, MATCH(M61, Variablen!$A:$A, 0), MATCH((YEAR(D61)+4), Variablen!$I$3:$AT$3, 0))="",L61,INDEX(Variablen!$I:$AT, MATCH(M61, Variablen!$A:$A, 0), MATCH((YEAR(D61)+4), Variablen!$I$3:$AT$3, 0))),L61)))*(IF((YEAR(D61)+4)&lt;YEAR(E61),0,IF((YEAR(D61)+4)&gt;YEAR(E61),1,(12-MONTH(E61)+1)/12))) + (Q61)*(IF((YEAR(D61)+4)&lt;YEAR(E61),0,IF((YEAR(D61)+4)&gt;YEAR(E61),1,(12-MONTH(E61)+1)/12))))-((P61)*(IF((YEAR(D61)+4)&lt;YEAR(E61),0,IF((YEAR(D61)+4)&gt;YEAR(E61),1,(12-MONTH(E61)+1)/12))) + (R61)*(IF((YEAR(D61)+4)&lt;YEAR(E61),0,IF((YEAR(D61)+4)&gt;YEAR(E61),1,(12-MONTH(E61)+1)/12))))-(IF(OR(N61="",N61&lt;=0),0,(O61/N61)*(IF(OR(N61="",N61&lt;=0),0,IF((YEAR(D61)+4)&lt;YEAR(E61),0,IF((YEAR(D61)+4)&gt;=YEAR(E61)+N61,0,IF((YEAR(D61)+4)=YEAR(E61),(12-MONTH(E61)+1)/12,1))))))))*TaxRate,0))-IF(4=0,O61,0))</f>
        <v/>
      </c>
      <c r="X61" s="29">
        <f>IF(A61="","",((K61)*(IF(M61="",L61,IFERROR(IF(INDEX(Variablen!$I:$AT, MATCH(M61, Variablen!$A:$A, 0), MATCH((YEAR(D61)+5), Variablen!$I$3:$AT$3, 0))="",L61,INDEX(Variablen!$I:$AT, MATCH(M61, Variablen!$A:$A, 0), MATCH((YEAR(D61)+5), Variablen!$I$3:$AT$3, 0))),L61)))*(IF((YEAR(D61)+5)&lt;YEAR(E61),0,IF((YEAR(D61)+5)&gt;YEAR(E61),1,(12-MONTH(E61)+1)/12))) + (Q61)*(IF((YEAR(D61)+5)&lt;YEAR(E61),0,IF((YEAR(D61)+5)&gt;YEAR(E61),1,(12-MONTH(E61)+1)/12))))-((P61)*(IF((YEAR(D61)+5)&lt;YEAR(E61),0,IF((YEAR(D61)+5)&gt;YEAR(E61),1,(12-MONTH(E61)+1)/12))) + (R61)*(IF((YEAR(D61)+5)&lt;YEAR(E61),0,IF((YEAR(D61)+5)&gt;YEAR(E61),1,(12-MONTH(E61)+1)/12))))-(IF((((K61)*(IF(M61="",L61,IFERROR(IF(INDEX(Variablen!$I:$AT, MATCH(M61, Variablen!$A:$A, 0), MATCH((YEAR(D61)+5), Variablen!$I$3:$AT$3, 0))="",L61,INDEX(Variablen!$I:$AT, MATCH(M61, Variablen!$A:$A, 0), MATCH((YEAR(D61)+5), Variablen!$I$3:$AT$3, 0))),L61)))*(IF((YEAR(D61)+5)&lt;YEAR(E61),0,IF((YEAR(D61)+5)&gt;YEAR(E61),1,(12-MONTH(E61)+1)/12))) + (Q61)*(IF((YEAR(D61)+5)&lt;YEAR(E61),0,IF((YEAR(D61)+5)&gt;YEAR(E61),1,(12-MONTH(E61)+1)/12))))-((P61)*(IF((YEAR(D61)+5)&lt;YEAR(E61),0,IF((YEAR(D61)+5)&gt;YEAR(E61),1,(12-MONTH(E61)+1)/12))) + (R61)*(IF((YEAR(D61)+5)&lt;YEAR(E61),0,IF((YEAR(D61)+5)&gt;YEAR(E61),1,(12-MONTH(E61)+1)/12))))-(IF(OR(N61="",N61&lt;=0),0,(O61/N61)*(IF(OR(N61="",N61&lt;=0),0,IF((YEAR(D61)+5)&lt;YEAR(E61),0,IF((YEAR(D61)+5)&gt;=YEAR(E61)+N61,0,IF((YEAR(D61)+5)=YEAR(E61),(12-MONTH(E61)+1)/12,1))))))))&gt;0,(((K61)*(IF(M61="",L61,IFERROR(IF(INDEX(Variablen!$I:$AT, MATCH(M61, Variablen!$A:$A, 0), MATCH((YEAR(D61)+5), Variablen!$I$3:$AT$3, 0))="",L61,INDEX(Variablen!$I:$AT, MATCH(M61, Variablen!$A:$A, 0), MATCH((YEAR(D61)+5), Variablen!$I$3:$AT$3, 0))),L61)))*(IF((YEAR(D61)+5)&lt;YEAR(E61),0,IF((YEAR(D61)+5)&gt;YEAR(E61),1,(12-MONTH(E61)+1)/12))) + (Q61)*(IF((YEAR(D61)+5)&lt;YEAR(E61),0,IF((YEAR(D61)+5)&gt;YEAR(E61),1,(12-MONTH(E61)+1)/12))))-((P61)*(IF((YEAR(D61)+5)&lt;YEAR(E61),0,IF((YEAR(D61)+5)&gt;YEAR(E61),1,(12-MONTH(E61)+1)/12))) + (R61)*(IF((YEAR(D61)+5)&lt;YEAR(E61),0,IF((YEAR(D61)+5)&gt;YEAR(E61),1,(12-MONTH(E61)+1)/12))))-(IF(OR(N61="",N61&lt;=0),0,(O61/N61)*(IF(OR(N61="",N61&lt;=0),0,IF((YEAR(D61)+5)&lt;YEAR(E61),0,IF((YEAR(D61)+5)&gt;=YEAR(E61)+N61,0,IF((YEAR(D61)+5)=YEAR(E61),(12-MONTH(E61)+1)/12,1))))))))*TaxRate,0))-IF(5=0,O61,0))</f>
        <v/>
      </c>
      <c r="Y61" s="29">
        <f>IF(A61="","",((K61)*(IF(M61="",L61,IFERROR(IF(INDEX(Variablen!$I:$AT, MATCH(M61, Variablen!$A:$A, 0), MATCH((YEAR(D61)+6), Variablen!$I$3:$AT$3, 0))="",L61,INDEX(Variablen!$I:$AT, MATCH(M61, Variablen!$A:$A, 0), MATCH((YEAR(D61)+6), Variablen!$I$3:$AT$3, 0))),L61)))*(IF((YEAR(D61)+6)&lt;YEAR(E61),0,IF((YEAR(D61)+6)&gt;YEAR(E61),1,(12-MONTH(E61)+1)/12))) + (Q61)*(IF((YEAR(D61)+6)&lt;YEAR(E61),0,IF((YEAR(D61)+6)&gt;YEAR(E61),1,(12-MONTH(E61)+1)/12))))-((P61)*(IF((YEAR(D61)+6)&lt;YEAR(E61),0,IF((YEAR(D61)+6)&gt;YEAR(E61),1,(12-MONTH(E61)+1)/12))) + (R61)*(IF((YEAR(D61)+6)&lt;YEAR(E61),0,IF((YEAR(D61)+6)&gt;YEAR(E61),1,(12-MONTH(E61)+1)/12))))-(IF((((K61)*(IF(M61="",L61,IFERROR(IF(INDEX(Variablen!$I:$AT, MATCH(M61, Variablen!$A:$A, 0), MATCH((YEAR(D61)+6), Variablen!$I$3:$AT$3, 0))="",L61,INDEX(Variablen!$I:$AT, MATCH(M61, Variablen!$A:$A, 0), MATCH((YEAR(D61)+6), Variablen!$I$3:$AT$3, 0))),L61)))*(IF((YEAR(D61)+6)&lt;YEAR(E61),0,IF((YEAR(D61)+6)&gt;YEAR(E61),1,(12-MONTH(E61)+1)/12))) + (Q61)*(IF((YEAR(D61)+6)&lt;YEAR(E61),0,IF((YEAR(D61)+6)&gt;YEAR(E61),1,(12-MONTH(E61)+1)/12))))-((P61)*(IF((YEAR(D61)+6)&lt;YEAR(E61),0,IF((YEAR(D61)+6)&gt;YEAR(E61),1,(12-MONTH(E61)+1)/12))) + (R61)*(IF((YEAR(D61)+6)&lt;YEAR(E61),0,IF((YEAR(D61)+6)&gt;YEAR(E61),1,(12-MONTH(E61)+1)/12))))-(IF(OR(N61="",N61&lt;=0),0,(O61/N61)*(IF(OR(N61="",N61&lt;=0),0,IF((YEAR(D61)+6)&lt;YEAR(E61),0,IF((YEAR(D61)+6)&gt;=YEAR(E61)+N61,0,IF((YEAR(D61)+6)=YEAR(E61),(12-MONTH(E61)+1)/12,1))))))))&gt;0,(((K61)*(IF(M61="",L61,IFERROR(IF(INDEX(Variablen!$I:$AT, MATCH(M61, Variablen!$A:$A, 0), MATCH((YEAR(D61)+6), Variablen!$I$3:$AT$3, 0))="",L61,INDEX(Variablen!$I:$AT, MATCH(M61, Variablen!$A:$A, 0), MATCH((YEAR(D61)+6), Variablen!$I$3:$AT$3, 0))),L61)))*(IF((YEAR(D61)+6)&lt;YEAR(E61),0,IF((YEAR(D61)+6)&gt;YEAR(E61),1,(12-MONTH(E61)+1)/12))) + (Q61)*(IF((YEAR(D61)+6)&lt;YEAR(E61),0,IF((YEAR(D61)+6)&gt;YEAR(E61),1,(12-MONTH(E61)+1)/12))))-((P61)*(IF((YEAR(D61)+6)&lt;YEAR(E61),0,IF((YEAR(D61)+6)&gt;YEAR(E61),1,(12-MONTH(E61)+1)/12))) + (R61)*(IF((YEAR(D61)+6)&lt;YEAR(E61),0,IF((YEAR(D61)+6)&gt;YEAR(E61),1,(12-MONTH(E61)+1)/12))))-(IF(OR(N61="",N61&lt;=0),0,(O61/N61)*(IF(OR(N61="",N61&lt;=0),0,IF((YEAR(D61)+6)&lt;YEAR(E61),0,IF((YEAR(D61)+6)&gt;=YEAR(E61)+N61,0,IF((YEAR(D61)+6)=YEAR(E61),(12-MONTH(E61)+1)/12,1))))))))*TaxRate,0))-IF(6=0,O61,0))</f>
        <v/>
      </c>
      <c r="Z61" s="29">
        <f>IF(A61="","",((K61)*(IF(M61="",L61,IFERROR(IF(INDEX(Variablen!$I:$AT, MATCH(M61, Variablen!$A:$A, 0), MATCH((YEAR(D61)+7), Variablen!$I$3:$AT$3, 0))="",L61,INDEX(Variablen!$I:$AT, MATCH(M61, Variablen!$A:$A, 0), MATCH((YEAR(D61)+7), Variablen!$I$3:$AT$3, 0))),L61)))*(IF((YEAR(D61)+7)&lt;YEAR(E61),0,IF((YEAR(D61)+7)&gt;YEAR(E61),1,(12-MONTH(E61)+1)/12))) + (Q61)*(IF((YEAR(D61)+7)&lt;YEAR(E61),0,IF((YEAR(D61)+7)&gt;YEAR(E61),1,(12-MONTH(E61)+1)/12))))-((P61)*(IF((YEAR(D61)+7)&lt;YEAR(E61),0,IF((YEAR(D61)+7)&gt;YEAR(E61),1,(12-MONTH(E61)+1)/12))) + (R61)*(IF((YEAR(D61)+7)&lt;YEAR(E61),0,IF((YEAR(D61)+7)&gt;YEAR(E61),1,(12-MONTH(E61)+1)/12))))-(IF((((K61)*(IF(M61="",L61,IFERROR(IF(INDEX(Variablen!$I:$AT, MATCH(M61, Variablen!$A:$A, 0), MATCH((YEAR(D61)+7), Variablen!$I$3:$AT$3, 0))="",L61,INDEX(Variablen!$I:$AT, MATCH(M61, Variablen!$A:$A, 0), MATCH((YEAR(D61)+7), Variablen!$I$3:$AT$3, 0))),L61)))*(IF((YEAR(D61)+7)&lt;YEAR(E61),0,IF((YEAR(D61)+7)&gt;YEAR(E61),1,(12-MONTH(E61)+1)/12))) + (Q61)*(IF((YEAR(D61)+7)&lt;YEAR(E61),0,IF((YEAR(D61)+7)&gt;YEAR(E61),1,(12-MONTH(E61)+1)/12))))-((P61)*(IF((YEAR(D61)+7)&lt;YEAR(E61),0,IF((YEAR(D61)+7)&gt;YEAR(E61),1,(12-MONTH(E61)+1)/12))) + (R61)*(IF((YEAR(D61)+7)&lt;YEAR(E61),0,IF((YEAR(D61)+7)&gt;YEAR(E61),1,(12-MONTH(E61)+1)/12))))-(IF(OR(N61="",N61&lt;=0),0,(O61/N61)*(IF(OR(N61="",N61&lt;=0),0,IF((YEAR(D61)+7)&lt;YEAR(E61),0,IF((YEAR(D61)+7)&gt;=YEAR(E61)+N61,0,IF((YEAR(D61)+7)=YEAR(E61),(12-MONTH(E61)+1)/12,1))))))))&gt;0,(((K61)*(IF(M61="",L61,IFERROR(IF(INDEX(Variablen!$I:$AT, MATCH(M61, Variablen!$A:$A, 0), MATCH((YEAR(D61)+7), Variablen!$I$3:$AT$3, 0))="",L61,INDEX(Variablen!$I:$AT, MATCH(M61, Variablen!$A:$A, 0), MATCH((YEAR(D61)+7), Variablen!$I$3:$AT$3, 0))),L61)))*(IF((YEAR(D61)+7)&lt;YEAR(E61),0,IF((YEAR(D61)+7)&gt;YEAR(E61),1,(12-MONTH(E61)+1)/12))) + (Q61)*(IF((YEAR(D61)+7)&lt;YEAR(E61),0,IF((YEAR(D61)+7)&gt;YEAR(E61),1,(12-MONTH(E61)+1)/12))))-((P61)*(IF((YEAR(D61)+7)&lt;YEAR(E61),0,IF((YEAR(D61)+7)&gt;YEAR(E61),1,(12-MONTH(E61)+1)/12))) + (R61)*(IF((YEAR(D61)+7)&lt;YEAR(E61),0,IF((YEAR(D61)+7)&gt;YEAR(E61),1,(12-MONTH(E61)+1)/12))))-(IF(OR(N61="",N61&lt;=0),0,(O61/N61)*(IF(OR(N61="",N61&lt;=0),0,IF((YEAR(D61)+7)&lt;YEAR(E61),0,IF((YEAR(D61)+7)&gt;=YEAR(E61)+N61,0,IF((YEAR(D61)+7)=YEAR(E61),(12-MONTH(E61)+1)/12,1))))))))*TaxRate,0))-IF(7=0,O61,0))</f>
        <v/>
      </c>
      <c r="AA61" s="29">
        <f>IF(A61="","",((K61)*(IF(M61="",L61,IFERROR(IF(INDEX(Variablen!$I:$AT, MATCH(M61, Variablen!$A:$A, 0), MATCH((YEAR(D61)+8), Variablen!$I$3:$AT$3, 0))="",L61,INDEX(Variablen!$I:$AT, MATCH(M61, Variablen!$A:$A, 0), MATCH((YEAR(D61)+8), Variablen!$I$3:$AT$3, 0))),L61)))*(IF((YEAR(D61)+8)&lt;YEAR(E61),0,IF((YEAR(D61)+8)&gt;YEAR(E61),1,(12-MONTH(E61)+1)/12))) + (Q61)*(IF((YEAR(D61)+8)&lt;YEAR(E61),0,IF((YEAR(D61)+8)&gt;YEAR(E61),1,(12-MONTH(E61)+1)/12))))-((P61)*(IF((YEAR(D61)+8)&lt;YEAR(E61),0,IF((YEAR(D61)+8)&gt;YEAR(E61),1,(12-MONTH(E61)+1)/12))) + (R61)*(IF((YEAR(D61)+8)&lt;YEAR(E61),0,IF((YEAR(D61)+8)&gt;YEAR(E61),1,(12-MONTH(E61)+1)/12))))-(IF((((K61)*(IF(M61="",L61,IFERROR(IF(INDEX(Variablen!$I:$AT, MATCH(M61, Variablen!$A:$A, 0), MATCH((YEAR(D61)+8), Variablen!$I$3:$AT$3, 0))="",L61,INDEX(Variablen!$I:$AT, MATCH(M61, Variablen!$A:$A, 0), MATCH((YEAR(D61)+8), Variablen!$I$3:$AT$3, 0))),L61)))*(IF((YEAR(D61)+8)&lt;YEAR(E61),0,IF((YEAR(D61)+8)&gt;YEAR(E61),1,(12-MONTH(E61)+1)/12))) + (Q61)*(IF((YEAR(D61)+8)&lt;YEAR(E61),0,IF((YEAR(D61)+8)&gt;YEAR(E61),1,(12-MONTH(E61)+1)/12))))-((P61)*(IF((YEAR(D61)+8)&lt;YEAR(E61),0,IF((YEAR(D61)+8)&gt;YEAR(E61),1,(12-MONTH(E61)+1)/12))) + (R61)*(IF((YEAR(D61)+8)&lt;YEAR(E61),0,IF((YEAR(D61)+8)&gt;YEAR(E61),1,(12-MONTH(E61)+1)/12))))-(IF(OR(N61="",N61&lt;=0),0,(O61/N61)*(IF(OR(N61="",N61&lt;=0),0,IF((YEAR(D61)+8)&lt;YEAR(E61),0,IF((YEAR(D61)+8)&gt;=YEAR(E61)+N61,0,IF((YEAR(D61)+8)=YEAR(E61),(12-MONTH(E61)+1)/12,1))))))))&gt;0,(((K61)*(IF(M61="",L61,IFERROR(IF(INDEX(Variablen!$I:$AT, MATCH(M61, Variablen!$A:$A, 0), MATCH((YEAR(D61)+8), Variablen!$I$3:$AT$3, 0))="",L61,INDEX(Variablen!$I:$AT, MATCH(M61, Variablen!$A:$A, 0), MATCH((YEAR(D61)+8), Variablen!$I$3:$AT$3, 0))),L61)))*(IF((YEAR(D61)+8)&lt;YEAR(E61),0,IF((YEAR(D61)+8)&gt;YEAR(E61),1,(12-MONTH(E61)+1)/12))) + (Q61)*(IF((YEAR(D61)+8)&lt;YEAR(E61),0,IF((YEAR(D61)+8)&gt;YEAR(E61),1,(12-MONTH(E61)+1)/12))))-((P61)*(IF((YEAR(D61)+8)&lt;YEAR(E61),0,IF((YEAR(D61)+8)&gt;YEAR(E61),1,(12-MONTH(E61)+1)/12))) + (R61)*(IF((YEAR(D61)+8)&lt;YEAR(E61),0,IF((YEAR(D61)+8)&gt;YEAR(E61),1,(12-MONTH(E61)+1)/12))))-(IF(OR(N61="",N61&lt;=0),0,(O61/N61)*(IF(OR(N61="",N61&lt;=0),0,IF((YEAR(D61)+8)&lt;YEAR(E61),0,IF((YEAR(D61)+8)&gt;=YEAR(E61)+N61,0,IF((YEAR(D61)+8)=YEAR(E61),(12-MONTH(E61)+1)/12,1))))))))*TaxRate,0))-IF(8=0,O61,0))</f>
        <v/>
      </c>
      <c r="AB61" s="29">
        <f>IF(A61="","",((K61)*(IF(M61="",L61,IFERROR(IF(INDEX(Variablen!$I:$AT, MATCH(M61, Variablen!$A:$A, 0), MATCH((YEAR(D61)+9), Variablen!$I$3:$AT$3, 0))="",L61,INDEX(Variablen!$I:$AT, MATCH(M61, Variablen!$A:$A, 0), MATCH((YEAR(D61)+9), Variablen!$I$3:$AT$3, 0))),L61)))*(IF((YEAR(D61)+9)&lt;YEAR(E61),0,IF((YEAR(D61)+9)&gt;YEAR(E61),1,(12-MONTH(E61)+1)/12))) + (Q61)*(IF((YEAR(D61)+9)&lt;YEAR(E61),0,IF((YEAR(D61)+9)&gt;YEAR(E61),1,(12-MONTH(E61)+1)/12))))-((P61)*(IF((YEAR(D61)+9)&lt;YEAR(E61),0,IF((YEAR(D61)+9)&gt;YEAR(E61),1,(12-MONTH(E61)+1)/12))) + (R61)*(IF((YEAR(D61)+9)&lt;YEAR(E61),0,IF((YEAR(D61)+9)&gt;YEAR(E61),1,(12-MONTH(E61)+1)/12))))-(IF((((K61)*(IF(M61="",L61,IFERROR(IF(INDEX(Variablen!$I:$AT, MATCH(M61, Variablen!$A:$A, 0), MATCH((YEAR(D61)+9), Variablen!$I$3:$AT$3, 0))="",L61,INDEX(Variablen!$I:$AT, MATCH(M61, Variablen!$A:$A, 0), MATCH((YEAR(D61)+9), Variablen!$I$3:$AT$3, 0))),L61)))*(IF((YEAR(D61)+9)&lt;YEAR(E61),0,IF((YEAR(D61)+9)&gt;YEAR(E61),1,(12-MONTH(E61)+1)/12))) + (Q61)*(IF((YEAR(D61)+9)&lt;YEAR(E61),0,IF((YEAR(D61)+9)&gt;YEAR(E61),1,(12-MONTH(E61)+1)/12))))-((P61)*(IF((YEAR(D61)+9)&lt;YEAR(E61),0,IF((YEAR(D61)+9)&gt;YEAR(E61),1,(12-MONTH(E61)+1)/12))) + (R61)*(IF((YEAR(D61)+9)&lt;YEAR(E61),0,IF((YEAR(D61)+9)&gt;YEAR(E61),1,(12-MONTH(E61)+1)/12))))-(IF(OR(N61="",N61&lt;=0),0,(O61/N61)*(IF(OR(N61="",N61&lt;=0),0,IF((YEAR(D61)+9)&lt;YEAR(E61),0,IF((YEAR(D61)+9)&gt;=YEAR(E61)+N61,0,IF((YEAR(D61)+9)=YEAR(E61),(12-MONTH(E61)+1)/12,1))))))))&gt;0,(((K61)*(IF(M61="",L61,IFERROR(IF(INDEX(Variablen!$I:$AT, MATCH(M61, Variablen!$A:$A, 0), MATCH((YEAR(D61)+9), Variablen!$I$3:$AT$3, 0))="",L61,INDEX(Variablen!$I:$AT, MATCH(M61, Variablen!$A:$A, 0), MATCH((YEAR(D61)+9), Variablen!$I$3:$AT$3, 0))),L61)))*(IF((YEAR(D61)+9)&lt;YEAR(E61),0,IF((YEAR(D61)+9)&gt;YEAR(E61),1,(12-MONTH(E61)+1)/12))) + (Q61)*(IF((YEAR(D61)+9)&lt;YEAR(E61),0,IF((YEAR(D61)+9)&gt;YEAR(E61),1,(12-MONTH(E61)+1)/12))))-((P61)*(IF((YEAR(D61)+9)&lt;YEAR(E61),0,IF((YEAR(D61)+9)&gt;YEAR(E61),1,(12-MONTH(E61)+1)/12))) + (R61)*(IF((YEAR(D61)+9)&lt;YEAR(E61),0,IF((YEAR(D61)+9)&gt;YEAR(E61),1,(12-MONTH(E61)+1)/12))))-(IF(OR(N61="",N61&lt;=0),0,(O61/N61)*(IF(OR(N61="",N61&lt;=0),0,IF((YEAR(D61)+9)&lt;YEAR(E61),0,IF((YEAR(D61)+9)&gt;=YEAR(E61)+N61,0,IF((YEAR(D61)+9)=YEAR(E61),(12-MONTH(E61)+1)/12,1))))))))*TaxRate,0))-IF(9=0,O61,0))</f>
        <v/>
      </c>
      <c r="AC61" s="29">
        <f>IF(A61="","",((K61)*(IF(M61="",L61,IFERROR(IF(INDEX(Variablen!$I:$AT, MATCH(M61, Variablen!$A:$A, 0), MATCH((YEAR(D61)+10), Variablen!$I$3:$AT$3, 0))="",L61,INDEX(Variablen!$I:$AT, MATCH(M61, Variablen!$A:$A, 0), MATCH((YEAR(D61)+10), Variablen!$I$3:$AT$3, 0))),L61)))*(IF((YEAR(D61)+10)&lt;YEAR(E61),0,IF((YEAR(D61)+10)&gt;YEAR(E61),1,(12-MONTH(E61)+1)/12))) + (Q61)*(IF((YEAR(D61)+10)&lt;YEAR(E61),0,IF((YEAR(D61)+10)&gt;YEAR(E61),1,(12-MONTH(E61)+1)/12))))-((P61)*(IF((YEAR(D61)+10)&lt;YEAR(E61),0,IF((YEAR(D61)+10)&gt;YEAR(E61),1,(12-MONTH(E61)+1)/12))) + (R61)*(IF((YEAR(D61)+10)&lt;YEAR(E61),0,IF((YEAR(D61)+10)&gt;YEAR(E61),1,(12-MONTH(E61)+1)/12))))-(IF((((K61)*(IF(M61="",L61,IFERROR(IF(INDEX(Variablen!$I:$AT, MATCH(M61, Variablen!$A:$A, 0), MATCH((YEAR(D61)+10), Variablen!$I$3:$AT$3, 0))="",L61,INDEX(Variablen!$I:$AT, MATCH(M61, Variablen!$A:$A, 0), MATCH((YEAR(D61)+10), Variablen!$I$3:$AT$3, 0))),L61)))*(IF((YEAR(D61)+10)&lt;YEAR(E61),0,IF((YEAR(D61)+10)&gt;YEAR(E61),1,(12-MONTH(E61)+1)/12))) + (Q61)*(IF((YEAR(D61)+10)&lt;YEAR(E61),0,IF((YEAR(D61)+10)&gt;YEAR(E61),1,(12-MONTH(E61)+1)/12))))-((P61)*(IF((YEAR(D61)+10)&lt;YEAR(E61),0,IF((YEAR(D61)+10)&gt;YEAR(E61),1,(12-MONTH(E61)+1)/12))) + (R61)*(IF((YEAR(D61)+10)&lt;YEAR(E61),0,IF((YEAR(D61)+10)&gt;YEAR(E61),1,(12-MONTH(E61)+1)/12))))-(IF(OR(N61="",N61&lt;=0),0,(O61/N61)*(IF(OR(N61="",N61&lt;=0),0,IF((YEAR(D61)+10)&lt;YEAR(E61),0,IF((YEAR(D61)+10)&gt;=YEAR(E61)+N61,0,IF((YEAR(D61)+10)=YEAR(E61),(12-MONTH(E61)+1)/12,1))))))))&gt;0,(((K61)*(IF(M61="",L61,IFERROR(IF(INDEX(Variablen!$I:$AT, MATCH(M61, Variablen!$A:$A, 0), MATCH((YEAR(D61)+10), Variablen!$I$3:$AT$3, 0))="",L61,INDEX(Variablen!$I:$AT, MATCH(M61, Variablen!$A:$A, 0), MATCH((YEAR(D61)+10), Variablen!$I$3:$AT$3, 0))),L61)))*(IF((YEAR(D61)+10)&lt;YEAR(E61),0,IF((YEAR(D61)+10)&gt;YEAR(E61),1,(12-MONTH(E61)+1)/12))) + (Q61)*(IF((YEAR(D61)+10)&lt;YEAR(E61),0,IF((YEAR(D61)+10)&gt;YEAR(E61),1,(12-MONTH(E61)+1)/12))))-((P61)*(IF((YEAR(D61)+10)&lt;YEAR(E61),0,IF((YEAR(D61)+10)&gt;YEAR(E61),1,(12-MONTH(E61)+1)/12))) + (R61)*(IF((YEAR(D61)+10)&lt;YEAR(E61),0,IF((YEAR(D61)+10)&gt;YEAR(E61),1,(12-MONTH(E61)+1)/12))))-(IF(OR(N61="",N61&lt;=0),0,(O61/N61)*(IF(OR(N61="",N61&lt;=0),0,IF((YEAR(D61)+10)&lt;YEAR(E61),0,IF((YEAR(D61)+10)&gt;=YEAR(E61)+N61,0,IF((YEAR(D61)+10)=YEAR(E61),(12-MONTH(E61)+1)/12,1))))))))*TaxRate,0))-IF(10=0,O61,0))</f>
        <v/>
      </c>
      <c r="AD61" s="29">
        <f>IF(A61="","",((K61)*(IF(M61="",L61,IFERROR(IF(INDEX(Variablen!$I:$AT, MATCH(M61, Variablen!$A:$A, 0), MATCH((YEAR(D61)+11), Variablen!$I$3:$AT$3, 0))="",L61,INDEX(Variablen!$I:$AT, MATCH(M61, Variablen!$A:$A, 0), MATCH((YEAR(D61)+11), Variablen!$I$3:$AT$3, 0))),L61)))*(IF((YEAR(D61)+11)&lt;YEAR(E61),0,IF((YEAR(D61)+11)&gt;YEAR(E61),1,(12-MONTH(E61)+1)/12))) + (Q61)*(IF((YEAR(D61)+11)&lt;YEAR(E61),0,IF((YEAR(D61)+11)&gt;YEAR(E61),1,(12-MONTH(E61)+1)/12))))-((P61)*(IF((YEAR(D61)+11)&lt;YEAR(E61),0,IF((YEAR(D61)+11)&gt;YEAR(E61),1,(12-MONTH(E61)+1)/12))) + (R61)*(IF((YEAR(D61)+11)&lt;YEAR(E61),0,IF((YEAR(D61)+11)&gt;YEAR(E61),1,(12-MONTH(E61)+1)/12))))-(IF((((K61)*(IF(M61="",L61,IFERROR(IF(INDEX(Variablen!$I:$AT, MATCH(M61, Variablen!$A:$A, 0), MATCH((YEAR(D61)+11), Variablen!$I$3:$AT$3, 0))="",L61,INDEX(Variablen!$I:$AT, MATCH(M61, Variablen!$A:$A, 0), MATCH((YEAR(D61)+11), Variablen!$I$3:$AT$3, 0))),L61)))*(IF((YEAR(D61)+11)&lt;YEAR(E61),0,IF((YEAR(D61)+11)&gt;YEAR(E61),1,(12-MONTH(E61)+1)/12))) + (Q61)*(IF((YEAR(D61)+11)&lt;YEAR(E61),0,IF((YEAR(D61)+11)&gt;YEAR(E61),1,(12-MONTH(E61)+1)/12))))-((P61)*(IF((YEAR(D61)+11)&lt;YEAR(E61),0,IF((YEAR(D61)+11)&gt;YEAR(E61),1,(12-MONTH(E61)+1)/12))) + (R61)*(IF((YEAR(D61)+11)&lt;YEAR(E61),0,IF((YEAR(D61)+11)&gt;YEAR(E61),1,(12-MONTH(E61)+1)/12))))-(IF(OR(N61="",N61&lt;=0),0,(O61/N61)*(IF(OR(N61="",N61&lt;=0),0,IF((YEAR(D61)+11)&lt;YEAR(E61),0,IF((YEAR(D61)+11)&gt;=YEAR(E61)+N61,0,IF((YEAR(D61)+11)=YEAR(E61),(12-MONTH(E61)+1)/12,1))))))))&gt;0,(((K61)*(IF(M61="",L61,IFERROR(IF(INDEX(Variablen!$I:$AT, MATCH(M61, Variablen!$A:$A, 0), MATCH((YEAR(D61)+11), Variablen!$I$3:$AT$3, 0))="",L61,INDEX(Variablen!$I:$AT, MATCH(M61, Variablen!$A:$A, 0), MATCH((YEAR(D61)+11), Variablen!$I$3:$AT$3, 0))),L61)))*(IF((YEAR(D61)+11)&lt;YEAR(E61),0,IF((YEAR(D61)+11)&gt;YEAR(E61),1,(12-MONTH(E61)+1)/12))) + (Q61)*(IF((YEAR(D61)+11)&lt;YEAR(E61),0,IF((YEAR(D61)+11)&gt;YEAR(E61),1,(12-MONTH(E61)+1)/12))))-((P61)*(IF((YEAR(D61)+11)&lt;YEAR(E61),0,IF((YEAR(D61)+11)&gt;YEAR(E61),1,(12-MONTH(E61)+1)/12))) + (R61)*(IF((YEAR(D61)+11)&lt;YEAR(E61),0,IF((YEAR(D61)+11)&gt;YEAR(E61),1,(12-MONTH(E61)+1)/12))))-(IF(OR(N61="",N61&lt;=0),0,(O61/N61)*(IF(OR(N61="",N61&lt;=0),0,IF((YEAR(D61)+11)&lt;YEAR(E61),0,IF((YEAR(D61)+11)&gt;=YEAR(E61)+N61,0,IF((YEAR(D61)+11)=YEAR(E61),(12-MONTH(E61)+1)/12,1))))))))*TaxRate,0))-IF(11=0,O61,0))</f>
        <v/>
      </c>
      <c r="AE61" s="29">
        <f>IF(A61="","",((K61)*(IF(M61="",L61,IFERROR(IF(INDEX(Variablen!$I:$AT, MATCH(M61, Variablen!$A:$A, 0), MATCH((YEAR(D61)+12), Variablen!$I$3:$AT$3, 0))="",L61,INDEX(Variablen!$I:$AT, MATCH(M61, Variablen!$A:$A, 0), MATCH((YEAR(D61)+12), Variablen!$I$3:$AT$3, 0))),L61)))*(IF((YEAR(D61)+12)&lt;YEAR(E61),0,IF((YEAR(D61)+12)&gt;YEAR(E61),1,(12-MONTH(E61)+1)/12))) + (Q61)*(IF((YEAR(D61)+12)&lt;YEAR(E61),0,IF((YEAR(D61)+12)&gt;YEAR(E61),1,(12-MONTH(E61)+1)/12))))-((P61)*(IF((YEAR(D61)+12)&lt;YEAR(E61),0,IF((YEAR(D61)+12)&gt;YEAR(E61),1,(12-MONTH(E61)+1)/12))) + (R61)*(IF((YEAR(D61)+12)&lt;YEAR(E61),0,IF((YEAR(D61)+12)&gt;YEAR(E61),1,(12-MONTH(E61)+1)/12))))-(IF((((K61)*(IF(M61="",L61,IFERROR(IF(INDEX(Variablen!$I:$AT, MATCH(M61, Variablen!$A:$A, 0), MATCH((YEAR(D61)+12), Variablen!$I$3:$AT$3, 0))="",L61,INDEX(Variablen!$I:$AT, MATCH(M61, Variablen!$A:$A, 0), MATCH((YEAR(D61)+12), Variablen!$I$3:$AT$3, 0))),L61)))*(IF((YEAR(D61)+12)&lt;YEAR(E61),0,IF((YEAR(D61)+12)&gt;YEAR(E61),1,(12-MONTH(E61)+1)/12))) + (Q61)*(IF((YEAR(D61)+12)&lt;YEAR(E61),0,IF((YEAR(D61)+12)&gt;YEAR(E61),1,(12-MONTH(E61)+1)/12))))-((P61)*(IF((YEAR(D61)+12)&lt;YEAR(E61),0,IF((YEAR(D61)+12)&gt;YEAR(E61),1,(12-MONTH(E61)+1)/12))) + (R61)*(IF((YEAR(D61)+12)&lt;YEAR(E61),0,IF((YEAR(D61)+12)&gt;YEAR(E61),1,(12-MONTH(E61)+1)/12))))-(IF(OR(N61="",N61&lt;=0),0,(O61/N61)*(IF(OR(N61="",N61&lt;=0),0,IF((YEAR(D61)+12)&lt;YEAR(E61),0,IF((YEAR(D61)+12)&gt;=YEAR(E61)+N61,0,IF((YEAR(D61)+12)=YEAR(E61),(12-MONTH(E61)+1)/12,1))))))))&gt;0,(((K61)*(IF(M61="",L61,IFERROR(IF(INDEX(Variablen!$I:$AT, MATCH(M61, Variablen!$A:$A, 0), MATCH((YEAR(D61)+12), Variablen!$I$3:$AT$3, 0))="",L61,INDEX(Variablen!$I:$AT, MATCH(M61, Variablen!$A:$A, 0), MATCH((YEAR(D61)+12), Variablen!$I$3:$AT$3, 0))),L61)))*(IF((YEAR(D61)+12)&lt;YEAR(E61),0,IF((YEAR(D61)+12)&gt;YEAR(E61),1,(12-MONTH(E61)+1)/12))) + (Q61)*(IF((YEAR(D61)+12)&lt;YEAR(E61),0,IF((YEAR(D61)+12)&gt;YEAR(E61),1,(12-MONTH(E61)+1)/12))))-((P61)*(IF((YEAR(D61)+12)&lt;YEAR(E61),0,IF((YEAR(D61)+12)&gt;YEAR(E61),1,(12-MONTH(E61)+1)/12))) + (R61)*(IF((YEAR(D61)+12)&lt;YEAR(E61),0,IF((YEAR(D61)+12)&gt;YEAR(E61),1,(12-MONTH(E61)+1)/12))))-(IF(OR(N61="",N61&lt;=0),0,(O61/N61)*(IF(OR(N61="",N61&lt;=0),0,IF((YEAR(D61)+12)&lt;YEAR(E61),0,IF((YEAR(D61)+12)&gt;=YEAR(E61)+N61,0,IF((YEAR(D61)+12)=YEAR(E61),(12-MONTH(E61)+1)/12,1))))))))*TaxRate,0))-IF(12=0,O61,0))</f>
        <v/>
      </c>
      <c r="AF61" s="29">
        <f>IF(A61="","",((K61)*(IF(M61="",L61,IFERROR(IF(INDEX(Variablen!$I:$AT, MATCH(M61, Variablen!$A:$A, 0), MATCH((YEAR(D61)+13), Variablen!$I$3:$AT$3, 0))="",L61,INDEX(Variablen!$I:$AT, MATCH(M61, Variablen!$A:$A, 0), MATCH((YEAR(D61)+13), Variablen!$I$3:$AT$3, 0))),L61)))*(IF((YEAR(D61)+13)&lt;YEAR(E61),0,IF((YEAR(D61)+13)&gt;YEAR(E61),1,(12-MONTH(E61)+1)/12))) + (Q61)*(IF((YEAR(D61)+13)&lt;YEAR(E61),0,IF((YEAR(D61)+13)&gt;YEAR(E61),1,(12-MONTH(E61)+1)/12))))-((P61)*(IF((YEAR(D61)+13)&lt;YEAR(E61),0,IF((YEAR(D61)+13)&gt;YEAR(E61),1,(12-MONTH(E61)+1)/12))) + (R61)*(IF((YEAR(D61)+13)&lt;YEAR(E61),0,IF((YEAR(D61)+13)&gt;YEAR(E61),1,(12-MONTH(E61)+1)/12))))-(IF((((K61)*(IF(M61="",L61,IFERROR(IF(INDEX(Variablen!$I:$AT, MATCH(M61, Variablen!$A:$A, 0), MATCH((YEAR(D61)+13), Variablen!$I$3:$AT$3, 0))="",L61,INDEX(Variablen!$I:$AT, MATCH(M61, Variablen!$A:$A, 0), MATCH((YEAR(D61)+13), Variablen!$I$3:$AT$3, 0))),L61)))*(IF((YEAR(D61)+13)&lt;YEAR(E61),0,IF((YEAR(D61)+13)&gt;YEAR(E61),1,(12-MONTH(E61)+1)/12))) + (Q61)*(IF((YEAR(D61)+13)&lt;YEAR(E61),0,IF((YEAR(D61)+13)&gt;YEAR(E61),1,(12-MONTH(E61)+1)/12))))-((P61)*(IF((YEAR(D61)+13)&lt;YEAR(E61),0,IF((YEAR(D61)+13)&gt;YEAR(E61),1,(12-MONTH(E61)+1)/12))) + (R61)*(IF((YEAR(D61)+13)&lt;YEAR(E61),0,IF((YEAR(D61)+13)&gt;YEAR(E61),1,(12-MONTH(E61)+1)/12))))-(IF(OR(N61="",N61&lt;=0),0,(O61/N61)*(IF(OR(N61="",N61&lt;=0),0,IF((YEAR(D61)+13)&lt;YEAR(E61),0,IF((YEAR(D61)+13)&gt;=YEAR(E61)+N61,0,IF((YEAR(D61)+13)=YEAR(E61),(12-MONTH(E61)+1)/12,1))))))))&gt;0,(((K61)*(IF(M61="",L61,IFERROR(IF(INDEX(Variablen!$I:$AT, MATCH(M61, Variablen!$A:$A, 0), MATCH((YEAR(D61)+13), Variablen!$I$3:$AT$3, 0))="",L61,INDEX(Variablen!$I:$AT, MATCH(M61, Variablen!$A:$A, 0), MATCH((YEAR(D61)+13), Variablen!$I$3:$AT$3, 0))),L61)))*(IF((YEAR(D61)+13)&lt;YEAR(E61),0,IF((YEAR(D61)+13)&gt;YEAR(E61),1,(12-MONTH(E61)+1)/12))) + (Q61)*(IF((YEAR(D61)+13)&lt;YEAR(E61),0,IF((YEAR(D61)+13)&gt;YEAR(E61),1,(12-MONTH(E61)+1)/12))))-((P61)*(IF((YEAR(D61)+13)&lt;YEAR(E61),0,IF((YEAR(D61)+13)&gt;YEAR(E61),1,(12-MONTH(E61)+1)/12))) + (R61)*(IF((YEAR(D61)+13)&lt;YEAR(E61),0,IF((YEAR(D61)+13)&gt;YEAR(E61),1,(12-MONTH(E61)+1)/12))))-(IF(OR(N61="",N61&lt;=0),0,(O61/N61)*(IF(OR(N61="",N61&lt;=0),0,IF((YEAR(D61)+13)&lt;YEAR(E61),0,IF((YEAR(D61)+13)&gt;=YEAR(E61)+N61,0,IF((YEAR(D61)+13)=YEAR(E61),(12-MONTH(E61)+1)/12,1))))))))*TaxRate,0))-IF(13=0,O61,0))</f>
        <v/>
      </c>
      <c r="AG61" s="29">
        <f>IF(A61="","",((K61)*(IF(M61="",L61,IFERROR(IF(INDEX(Variablen!$I:$AT, MATCH(M61, Variablen!$A:$A, 0), MATCH((YEAR(D61)+14), Variablen!$I$3:$AT$3, 0))="",L61,INDEX(Variablen!$I:$AT, MATCH(M61, Variablen!$A:$A, 0), MATCH((YEAR(D61)+14), Variablen!$I$3:$AT$3, 0))),L61)))*(IF((YEAR(D61)+14)&lt;YEAR(E61),0,IF((YEAR(D61)+14)&gt;YEAR(E61),1,(12-MONTH(E61)+1)/12))) + (Q61)*(IF((YEAR(D61)+14)&lt;YEAR(E61),0,IF((YEAR(D61)+14)&gt;YEAR(E61),1,(12-MONTH(E61)+1)/12))))-((P61)*(IF((YEAR(D61)+14)&lt;YEAR(E61),0,IF((YEAR(D61)+14)&gt;YEAR(E61),1,(12-MONTH(E61)+1)/12))) + (R61)*(IF((YEAR(D61)+14)&lt;YEAR(E61),0,IF((YEAR(D61)+14)&gt;YEAR(E61),1,(12-MONTH(E61)+1)/12))))-(IF((((K61)*(IF(M61="",L61,IFERROR(IF(INDEX(Variablen!$I:$AT, MATCH(M61, Variablen!$A:$A, 0), MATCH((YEAR(D61)+14), Variablen!$I$3:$AT$3, 0))="",L61,INDEX(Variablen!$I:$AT, MATCH(M61, Variablen!$A:$A, 0), MATCH((YEAR(D61)+14), Variablen!$I$3:$AT$3, 0))),L61)))*(IF((YEAR(D61)+14)&lt;YEAR(E61),0,IF((YEAR(D61)+14)&gt;YEAR(E61),1,(12-MONTH(E61)+1)/12))) + (Q61)*(IF((YEAR(D61)+14)&lt;YEAR(E61),0,IF((YEAR(D61)+14)&gt;YEAR(E61),1,(12-MONTH(E61)+1)/12))))-((P61)*(IF((YEAR(D61)+14)&lt;YEAR(E61),0,IF((YEAR(D61)+14)&gt;YEAR(E61),1,(12-MONTH(E61)+1)/12))) + (R61)*(IF((YEAR(D61)+14)&lt;YEAR(E61),0,IF((YEAR(D61)+14)&gt;YEAR(E61),1,(12-MONTH(E61)+1)/12))))-(IF(OR(N61="",N61&lt;=0),0,(O61/N61)*(IF(OR(N61="",N61&lt;=0),0,IF((YEAR(D61)+14)&lt;YEAR(E61),0,IF((YEAR(D61)+14)&gt;=YEAR(E61)+N61,0,IF((YEAR(D61)+14)=YEAR(E61),(12-MONTH(E61)+1)/12,1))))))))&gt;0,(((K61)*(IF(M61="",L61,IFERROR(IF(INDEX(Variablen!$I:$AT, MATCH(M61, Variablen!$A:$A, 0), MATCH((YEAR(D61)+14), Variablen!$I$3:$AT$3, 0))="",L61,INDEX(Variablen!$I:$AT, MATCH(M61, Variablen!$A:$A, 0), MATCH((YEAR(D61)+14), Variablen!$I$3:$AT$3, 0))),L61)))*(IF((YEAR(D61)+14)&lt;YEAR(E61),0,IF((YEAR(D61)+14)&gt;YEAR(E61),1,(12-MONTH(E61)+1)/12))) + (Q61)*(IF((YEAR(D61)+14)&lt;YEAR(E61),0,IF((YEAR(D61)+14)&gt;YEAR(E61),1,(12-MONTH(E61)+1)/12))))-((P61)*(IF((YEAR(D61)+14)&lt;YEAR(E61),0,IF((YEAR(D61)+14)&gt;YEAR(E61),1,(12-MONTH(E61)+1)/12))) + (R61)*(IF((YEAR(D61)+14)&lt;YEAR(E61),0,IF((YEAR(D61)+14)&gt;YEAR(E61),1,(12-MONTH(E61)+1)/12))))-(IF(OR(N61="",N61&lt;=0),0,(O61/N61)*(IF(OR(N61="",N61&lt;=0),0,IF((YEAR(D61)+14)&lt;YEAR(E61),0,IF((YEAR(D61)+14)&gt;=YEAR(E61)+N61,0,IF((YEAR(D61)+14)=YEAR(E61),(12-MONTH(E61)+1)/12,1))))))))*TaxRate,0))-IF(14=0,O61,0))</f>
        <v/>
      </c>
      <c r="AH61" s="29">
        <f>IF(A61="","",((K61)*(IF(M61="",L61,IFERROR(IF(INDEX(Variablen!$I:$AT, MATCH(M61, Variablen!$A:$A, 0), MATCH((YEAR(D61)+15), Variablen!$I$3:$AT$3, 0))="",L61,INDEX(Variablen!$I:$AT, MATCH(M61, Variablen!$A:$A, 0), MATCH((YEAR(D61)+15), Variablen!$I$3:$AT$3, 0))),L61)))*(IF((YEAR(D61)+15)&lt;YEAR(E61),0,IF((YEAR(D61)+15)&gt;YEAR(E61),1,(12-MONTH(E61)+1)/12))) + (Q61)*(IF((YEAR(D61)+15)&lt;YEAR(E61),0,IF((YEAR(D61)+15)&gt;YEAR(E61),1,(12-MONTH(E61)+1)/12))))-((P61)*(IF((YEAR(D61)+15)&lt;YEAR(E61),0,IF((YEAR(D61)+15)&gt;YEAR(E61),1,(12-MONTH(E61)+1)/12))) + (R61)*(IF((YEAR(D61)+15)&lt;YEAR(E61),0,IF((YEAR(D61)+15)&gt;YEAR(E61),1,(12-MONTH(E61)+1)/12))))-(IF((((K61)*(IF(M61="",L61,IFERROR(IF(INDEX(Variablen!$I:$AT, MATCH(M61, Variablen!$A:$A, 0), MATCH((YEAR(D61)+15), Variablen!$I$3:$AT$3, 0))="",L61,INDEX(Variablen!$I:$AT, MATCH(M61, Variablen!$A:$A, 0), MATCH((YEAR(D61)+15), Variablen!$I$3:$AT$3, 0))),L61)))*(IF((YEAR(D61)+15)&lt;YEAR(E61),0,IF((YEAR(D61)+15)&gt;YEAR(E61),1,(12-MONTH(E61)+1)/12))) + (Q61)*(IF((YEAR(D61)+15)&lt;YEAR(E61),0,IF((YEAR(D61)+15)&gt;YEAR(E61),1,(12-MONTH(E61)+1)/12))))-((P61)*(IF((YEAR(D61)+15)&lt;YEAR(E61),0,IF((YEAR(D61)+15)&gt;YEAR(E61),1,(12-MONTH(E61)+1)/12))) + (R61)*(IF((YEAR(D61)+15)&lt;YEAR(E61),0,IF((YEAR(D61)+15)&gt;YEAR(E61),1,(12-MONTH(E61)+1)/12))))-(IF(OR(N61="",N61&lt;=0),0,(O61/N61)*(IF(OR(N61="",N61&lt;=0),0,IF((YEAR(D61)+15)&lt;YEAR(E61),0,IF((YEAR(D61)+15)&gt;=YEAR(E61)+N61,0,IF((YEAR(D61)+15)=YEAR(E61),(12-MONTH(E61)+1)/12,1))))))))&gt;0,(((K61)*(IF(M61="",L61,IFERROR(IF(INDEX(Variablen!$I:$AT, MATCH(M61, Variablen!$A:$A, 0), MATCH((YEAR(D61)+15), Variablen!$I$3:$AT$3, 0))="",L61,INDEX(Variablen!$I:$AT, MATCH(M61, Variablen!$A:$A, 0), MATCH((YEAR(D61)+15), Variablen!$I$3:$AT$3, 0))),L61)))*(IF((YEAR(D61)+15)&lt;YEAR(E61),0,IF((YEAR(D61)+15)&gt;YEAR(E61),1,(12-MONTH(E61)+1)/12))) + (Q61)*(IF((YEAR(D61)+15)&lt;YEAR(E61),0,IF((YEAR(D61)+15)&gt;YEAR(E61),1,(12-MONTH(E61)+1)/12))))-((P61)*(IF((YEAR(D61)+15)&lt;YEAR(E61),0,IF((YEAR(D61)+15)&gt;YEAR(E61),1,(12-MONTH(E61)+1)/12))) + (R61)*(IF((YEAR(D61)+15)&lt;YEAR(E61),0,IF((YEAR(D61)+15)&gt;YEAR(E61),1,(12-MONTH(E61)+1)/12))))-(IF(OR(N61="",N61&lt;=0),0,(O61/N61)*(IF(OR(N61="",N61&lt;=0),0,IF((YEAR(D61)+15)&lt;YEAR(E61),0,IF((YEAR(D61)+15)&gt;=YEAR(E61)+N61,0,IF((YEAR(D61)+15)=YEAR(E61),(12-MONTH(E61)+1)/12,1))))))))*TaxRate,0))-IF(15=0,O61,0))</f>
        <v/>
      </c>
      <c r="AI61" s="29">
        <f>IF(A61="","",((K61)*(IF(M61="",L61,IFERROR(IF(INDEX(Variablen!$I:$AT, MATCH(M61, Variablen!$A:$A, 0), MATCH((YEAR(D61)+16), Variablen!$I$3:$AT$3, 0))="",L61,INDEX(Variablen!$I:$AT, MATCH(M61, Variablen!$A:$A, 0), MATCH((YEAR(D61)+16), Variablen!$I$3:$AT$3, 0))),L61)))*(IF((YEAR(D61)+16)&lt;YEAR(E61),0,IF((YEAR(D61)+16)&gt;YEAR(E61),1,(12-MONTH(E61)+1)/12))) + (Q61)*(IF((YEAR(D61)+16)&lt;YEAR(E61),0,IF((YEAR(D61)+16)&gt;YEAR(E61),1,(12-MONTH(E61)+1)/12))))-((P61)*(IF((YEAR(D61)+16)&lt;YEAR(E61),0,IF((YEAR(D61)+16)&gt;YEAR(E61),1,(12-MONTH(E61)+1)/12))) + (R61)*(IF((YEAR(D61)+16)&lt;YEAR(E61),0,IF((YEAR(D61)+16)&gt;YEAR(E61),1,(12-MONTH(E61)+1)/12))))-(IF((((K61)*(IF(M61="",L61,IFERROR(IF(INDEX(Variablen!$I:$AT, MATCH(M61, Variablen!$A:$A, 0), MATCH((YEAR(D61)+16), Variablen!$I$3:$AT$3, 0))="",L61,INDEX(Variablen!$I:$AT, MATCH(M61, Variablen!$A:$A, 0), MATCH((YEAR(D61)+16), Variablen!$I$3:$AT$3, 0))),L61)))*(IF((YEAR(D61)+16)&lt;YEAR(E61),0,IF((YEAR(D61)+16)&gt;YEAR(E61),1,(12-MONTH(E61)+1)/12))) + (Q61)*(IF((YEAR(D61)+16)&lt;YEAR(E61),0,IF((YEAR(D61)+16)&gt;YEAR(E61),1,(12-MONTH(E61)+1)/12))))-((P61)*(IF((YEAR(D61)+16)&lt;YEAR(E61),0,IF((YEAR(D61)+16)&gt;YEAR(E61),1,(12-MONTH(E61)+1)/12))) + (R61)*(IF((YEAR(D61)+16)&lt;YEAR(E61),0,IF((YEAR(D61)+16)&gt;YEAR(E61),1,(12-MONTH(E61)+1)/12))))-(IF(OR(N61="",N61&lt;=0),0,(O61/N61)*(IF(OR(N61="",N61&lt;=0),0,IF((YEAR(D61)+16)&lt;YEAR(E61),0,IF((YEAR(D61)+16)&gt;=YEAR(E61)+N61,0,IF((YEAR(D61)+16)=YEAR(E61),(12-MONTH(E61)+1)/12,1))))))))&gt;0,(((K61)*(IF(M61="",L61,IFERROR(IF(INDEX(Variablen!$I:$AT, MATCH(M61, Variablen!$A:$A, 0), MATCH((YEAR(D61)+16), Variablen!$I$3:$AT$3, 0))="",L61,INDEX(Variablen!$I:$AT, MATCH(M61, Variablen!$A:$A, 0), MATCH((YEAR(D61)+16), Variablen!$I$3:$AT$3, 0))),L61)))*(IF((YEAR(D61)+16)&lt;YEAR(E61),0,IF((YEAR(D61)+16)&gt;YEAR(E61),1,(12-MONTH(E61)+1)/12))) + (Q61)*(IF((YEAR(D61)+16)&lt;YEAR(E61),0,IF((YEAR(D61)+16)&gt;YEAR(E61),1,(12-MONTH(E61)+1)/12))))-((P61)*(IF((YEAR(D61)+16)&lt;YEAR(E61),0,IF((YEAR(D61)+16)&gt;YEAR(E61),1,(12-MONTH(E61)+1)/12))) + (R61)*(IF((YEAR(D61)+16)&lt;YEAR(E61),0,IF((YEAR(D61)+16)&gt;YEAR(E61),1,(12-MONTH(E61)+1)/12))))-(IF(OR(N61="",N61&lt;=0),0,(O61/N61)*(IF(OR(N61="",N61&lt;=0),0,IF((YEAR(D61)+16)&lt;YEAR(E61),0,IF((YEAR(D61)+16)&gt;=YEAR(E61)+N61,0,IF((YEAR(D61)+16)=YEAR(E61),(12-MONTH(E61)+1)/12,1))))))))*TaxRate,0))-IF(16=0,O61,0))</f>
        <v/>
      </c>
      <c r="AJ61" s="29">
        <f>IF(A61="","",((K61)*(IF(M61="",L61,IFERROR(IF(INDEX(Variablen!$I:$AT, MATCH(M61, Variablen!$A:$A, 0), MATCH((YEAR(D61)+17), Variablen!$I$3:$AT$3, 0))="",L61,INDEX(Variablen!$I:$AT, MATCH(M61, Variablen!$A:$A, 0), MATCH((YEAR(D61)+17), Variablen!$I$3:$AT$3, 0))),L61)))*(IF((YEAR(D61)+17)&lt;YEAR(E61),0,IF((YEAR(D61)+17)&gt;YEAR(E61),1,(12-MONTH(E61)+1)/12))) + (Q61)*(IF((YEAR(D61)+17)&lt;YEAR(E61),0,IF((YEAR(D61)+17)&gt;YEAR(E61),1,(12-MONTH(E61)+1)/12))))-((P61)*(IF((YEAR(D61)+17)&lt;YEAR(E61),0,IF((YEAR(D61)+17)&gt;YEAR(E61),1,(12-MONTH(E61)+1)/12))) + (R61)*(IF((YEAR(D61)+17)&lt;YEAR(E61),0,IF((YEAR(D61)+17)&gt;YEAR(E61),1,(12-MONTH(E61)+1)/12))))-(IF((((K61)*(IF(M61="",L61,IFERROR(IF(INDEX(Variablen!$I:$AT, MATCH(M61, Variablen!$A:$A, 0), MATCH((YEAR(D61)+17), Variablen!$I$3:$AT$3, 0))="",L61,INDEX(Variablen!$I:$AT, MATCH(M61, Variablen!$A:$A, 0), MATCH((YEAR(D61)+17), Variablen!$I$3:$AT$3, 0))),L61)))*(IF((YEAR(D61)+17)&lt;YEAR(E61),0,IF((YEAR(D61)+17)&gt;YEAR(E61),1,(12-MONTH(E61)+1)/12))) + (Q61)*(IF((YEAR(D61)+17)&lt;YEAR(E61),0,IF((YEAR(D61)+17)&gt;YEAR(E61),1,(12-MONTH(E61)+1)/12))))-((P61)*(IF((YEAR(D61)+17)&lt;YEAR(E61),0,IF((YEAR(D61)+17)&gt;YEAR(E61),1,(12-MONTH(E61)+1)/12))) + (R61)*(IF((YEAR(D61)+17)&lt;YEAR(E61),0,IF((YEAR(D61)+17)&gt;YEAR(E61),1,(12-MONTH(E61)+1)/12))))-(IF(OR(N61="",N61&lt;=0),0,(O61/N61)*(IF(OR(N61="",N61&lt;=0),0,IF((YEAR(D61)+17)&lt;YEAR(E61),0,IF((YEAR(D61)+17)&gt;=YEAR(E61)+N61,0,IF((YEAR(D61)+17)=YEAR(E61),(12-MONTH(E61)+1)/12,1))))))))&gt;0,(((K61)*(IF(M61="",L61,IFERROR(IF(INDEX(Variablen!$I:$AT, MATCH(M61, Variablen!$A:$A, 0), MATCH((YEAR(D61)+17), Variablen!$I$3:$AT$3, 0))="",L61,INDEX(Variablen!$I:$AT, MATCH(M61, Variablen!$A:$A, 0), MATCH((YEAR(D61)+17), Variablen!$I$3:$AT$3, 0))),L61)))*(IF((YEAR(D61)+17)&lt;YEAR(E61),0,IF((YEAR(D61)+17)&gt;YEAR(E61),1,(12-MONTH(E61)+1)/12))) + (Q61)*(IF((YEAR(D61)+17)&lt;YEAR(E61),0,IF((YEAR(D61)+17)&gt;YEAR(E61),1,(12-MONTH(E61)+1)/12))))-((P61)*(IF((YEAR(D61)+17)&lt;YEAR(E61),0,IF((YEAR(D61)+17)&gt;YEAR(E61),1,(12-MONTH(E61)+1)/12))) + (R61)*(IF((YEAR(D61)+17)&lt;YEAR(E61),0,IF((YEAR(D61)+17)&gt;YEAR(E61),1,(12-MONTH(E61)+1)/12))))-(IF(OR(N61="",N61&lt;=0),0,(O61/N61)*(IF(OR(N61="",N61&lt;=0),0,IF((YEAR(D61)+17)&lt;YEAR(E61),0,IF((YEAR(D61)+17)&gt;=YEAR(E61)+N61,0,IF((YEAR(D61)+17)=YEAR(E61),(12-MONTH(E61)+1)/12,1))))))))*TaxRate,0))-IF(17=0,O61,0))</f>
        <v/>
      </c>
      <c r="AK61" s="29">
        <f>IF(A61="","",((K61)*(IF(M61="",L61,IFERROR(IF(INDEX(Variablen!$I:$AT, MATCH(M61, Variablen!$A:$A, 0), MATCH((YEAR(D61)+18), Variablen!$I$3:$AT$3, 0))="",L61,INDEX(Variablen!$I:$AT, MATCH(M61, Variablen!$A:$A, 0), MATCH((YEAR(D61)+18), Variablen!$I$3:$AT$3, 0))),L61)))*(IF((YEAR(D61)+18)&lt;YEAR(E61),0,IF((YEAR(D61)+18)&gt;YEAR(E61),1,(12-MONTH(E61)+1)/12))) + (Q61)*(IF((YEAR(D61)+18)&lt;YEAR(E61),0,IF((YEAR(D61)+18)&gt;YEAR(E61),1,(12-MONTH(E61)+1)/12))))-((P61)*(IF((YEAR(D61)+18)&lt;YEAR(E61),0,IF((YEAR(D61)+18)&gt;YEAR(E61),1,(12-MONTH(E61)+1)/12))) + (R61)*(IF((YEAR(D61)+18)&lt;YEAR(E61),0,IF((YEAR(D61)+18)&gt;YEAR(E61),1,(12-MONTH(E61)+1)/12))))-(IF((((K61)*(IF(M61="",L61,IFERROR(IF(INDEX(Variablen!$I:$AT, MATCH(M61, Variablen!$A:$A, 0), MATCH((YEAR(D61)+18), Variablen!$I$3:$AT$3, 0))="",L61,INDEX(Variablen!$I:$AT, MATCH(M61, Variablen!$A:$A, 0), MATCH((YEAR(D61)+18), Variablen!$I$3:$AT$3, 0))),L61)))*(IF((YEAR(D61)+18)&lt;YEAR(E61),0,IF((YEAR(D61)+18)&gt;YEAR(E61),1,(12-MONTH(E61)+1)/12))) + (Q61)*(IF((YEAR(D61)+18)&lt;YEAR(E61),0,IF((YEAR(D61)+18)&gt;YEAR(E61),1,(12-MONTH(E61)+1)/12))))-((P61)*(IF((YEAR(D61)+18)&lt;YEAR(E61),0,IF((YEAR(D61)+18)&gt;YEAR(E61),1,(12-MONTH(E61)+1)/12))) + (R61)*(IF((YEAR(D61)+18)&lt;YEAR(E61),0,IF((YEAR(D61)+18)&gt;YEAR(E61),1,(12-MONTH(E61)+1)/12))))-(IF(OR(N61="",N61&lt;=0),0,(O61/N61)*(IF(OR(N61="",N61&lt;=0),0,IF((YEAR(D61)+18)&lt;YEAR(E61),0,IF((YEAR(D61)+18)&gt;=YEAR(E61)+N61,0,IF((YEAR(D61)+18)=YEAR(E61),(12-MONTH(E61)+1)/12,1))))))))&gt;0,(((K61)*(IF(M61="",L61,IFERROR(IF(INDEX(Variablen!$I:$AT, MATCH(M61, Variablen!$A:$A, 0), MATCH((YEAR(D61)+18), Variablen!$I$3:$AT$3, 0))="",L61,INDEX(Variablen!$I:$AT, MATCH(M61, Variablen!$A:$A, 0), MATCH((YEAR(D61)+18), Variablen!$I$3:$AT$3, 0))),L61)))*(IF((YEAR(D61)+18)&lt;YEAR(E61),0,IF((YEAR(D61)+18)&gt;YEAR(E61),1,(12-MONTH(E61)+1)/12))) + (Q61)*(IF((YEAR(D61)+18)&lt;YEAR(E61),0,IF((YEAR(D61)+18)&gt;YEAR(E61),1,(12-MONTH(E61)+1)/12))))-((P61)*(IF((YEAR(D61)+18)&lt;YEAR(E61),0,IF((YEAR(D61)+18)&gt;YEAR(E61),1,(12-MONTH(E61)+1)/12))) + (R61)*(IF((YEAR(D61)+18)&lt;YEAR(E61),0,IF((YEAR(D61)+18)&gt;YEAR(E61),1,(12-MONTH(E61)+1)/12))))-(IF(OR(N61="",N61&lt;=0),0,(O61/N61)*(IF(OR(N61="",N61&lt;=0),0,IF((YEAR(D61)+18)&lt;YEAR(E61),0,IF((YEAR(D61)+18)&gt;=YEAR(E61)+N61,0,IF((YEAR(D61)+18)=YEAR(E61),(12-MONTH(E61)+1)/12,1))))))))*TaxRate,0))-IF(18=0,O61,0))</f>
        <v/>
      </c>
      <c r="AL61" s="29">
        <f>IF(A61="","",((K61)*(IF(M61="",L61,IFERROR(IF(INDEX(Variablen!$I:$AT, MATCH(M61, Variablen!$A:$A, 0), MATCH((YEAR(D61)+19), Variablen!$I$3:$AT$3, 0))="",L61,INDEX(Variablen!$I:$AT, MATCH(M61, Variablen!$A:$A, 0), MATCH((YEAR(D61)+19), Variablen!$I$3:$AT$3, 0))),L61)))*(IF((YEAR(D61)+19)&lt;YEAR(E61),0,IF((YEAR(D61)+19)&gt;YEAR(E61),1,(12-MONTH(E61)+1)/12))) + (Q61)*(IF((YEAR(D61)+19)&lt;YEAR(E61),0,IF((YEAR(D61)+19)&gt;YEAR(E61),1,(12-MONTH(E61)+1)/12))))-((P61)*(IF((YEAR(D61)+19)&lt;YEAR(E61),0,IF((YEAR(D61)+19)&gt;YEAR(E61),1,(12-MONTH(E61)+1)/12))) + (R61)*(IF((YEAR(D61)+19)&lt;YEAR(E61),0,IF((YEAR(D61)+19)&gt;YEAR(E61),1,(12-MONTH(E61)+1)/12))))-(IF((((K61)*(IF(M61="",L61,IFERROR(IF(INDEX(Variablen!$I:$AT, MATCH(M61, Variablen!$A:$A, 0), MATCH((YEAR(D61)+19), Variablen!$I$3:$AT$3, 0))="",L61,INDEX(Variablen!$I:$AT, MATCH(M61, Variablen!$A:$A, 0), MATCH((YEAR(D61)+19), Variablen!$I$3:$AT$3, 0))),L61)))*(IF((YEAR(D61)+19)&lt;YEAR(E61),0,IF((YEAR(D61)+19)&gt;YEAR(E61),1,(12-MONTH(E61)+1)/12))) + (Q61)*(IF((YEAR(D61)+19)&lt;YEAR(E61),0,IF((YEAR(D61)+19)&gt;YEAR(E61),1,(12-MONTH(E61)+1)/12))))-((P61)*(IF((YEAR(D61)+19)&lt;YEAR(E61),0,IF((YEAR(D61)+19)&gt;YEAR(E61),1,(12-MONTH(E61)+1)/12))) + (R61)*(IF((YEAR(D61)+19)&lt;YEAR(E61),0,IF((YEAR(D61)+19)&gt;YEAR(E61),1,(12-MONTH(E61)+1)/12))))-(IF(OR(N61="",N61&lt;=0),0,(O61/N61)*(IF(OR(N61="",N61&lt;=0),0,IF((YEAR(D61)+19)&lt;YEAR(E61),0,IF((YEAR(D61)+19)&gt;=YEAR(E61)+N61,0,IF((YEAR(D61)+19)=YEAR(E61),(12-MONTH(E61)+1)/12,1))))))))&gt;0,(((K61)*(IF(M61="",L61,IFERROR(IF(INDEX(Variablen!$I:$AT, MATCH(M61, Variablen!$A:$A, 0), MATCH((YEAR(D61)+19), Variablen!$I$3:$AT$3, 0))="",L61,INDEX(Variablen!$I:$AT, MATCH(M61, Variablen!$A:$A, 0), MATCH((YEAR(D61)+19), Variablen!$I$3:$AT$3, 0))),L61)))*(IF((YEAR(D61)+19)&lt;YEAR(E61),0,IF((YEAR(D61)+19)&gt;YEAR(E61),1,(12-MONTH(E61)+1)/12))) + (Q61)*(IF((YEAR(D61)+19)&lt;YEAR(E61),0,IF((YEAR(D61)+19)&gt;YEAR(E61),1,(12-MONTH(E61)+1)/12))))-((P61)*(IF((YEAR(D61)+19)&lt;YEAR(E61),0,IF((YEAR(D61)+19)&gt;YEAR(E61),1,(12-MONTH(E61)+1)/12))) + (R61)*(IF((YEAR(D61)+19)&lt;YEAR(E61),0,IF((YEAR(D61)+19)&gt;YEAR(E61),1,(12-MONTH(E61)+1)/12))))-(IF(OR(N61="",N61&lt;=0),0,(O61/N61)*(IF(OR(N61="",N61&lt;=0),0,IF((YEAR(D61)+19)&lt;YEAR(E61),0,IF((YEAR(D61)+19)&gt;=YEAR(E61)+N61,0,IF((YEAR(D61)+19)=YEAR(E61),(12-MONTH(E61)+1)/12,1))))))))*TaxRate,0))-IF(19=0,O61,0))</f>
        <v/>
      </c>
      <c r="AM61" s="29">
        <f>IF(A61="","",((K61)*(IF(M61="",L61,IFERROR(IF(INDEX(Variablen!$I:$AT, MATCH(M61, Variablen!$A:$A, 0), MATCH((YEAR(D61)+20), Variablen!$I$3:$AT$3, 0))="",L61,INDEX(Variablen!$I:$AT, MATCH(M61, Variablen!$A:$A, 0), MATCH((YEAR(D61)+20), Variablen!$I$3:$AT$3, 0))),L61)))*(IF((YEAR(D61)+20)&lt;YEAR(E61),0,IF((YEAR(D61)+20)&gt;YEAR(E61),1,(12-MONTH(E61)+1)/12))) + (Q61)*(IF((YEAR(D61)+20)&lt;YEAR(E61),0,IF((YEAR(D61)+20)&gt;YEAR(E61),1,(12-MONTH(E61)+1)/12))))-((P61)*(IF((YEAR(D61)+20)&lt;YEAR(E61),0,IF((YEAR(D61)+20)&gt;YEAR(E61),1,(12-MONTH(E61)+1)/12))) + (R61)*(IF((YEAR(D61)+20)&lt;YEAR(E61),0,IF((YEAR(D61)+20)&gt;YEAR(E61),1,(12-MONTH(E61)+1)/12))))-(IF((((K61)*(IF(M61="",L61,IFERROR(IF(INDEX(Variablen!$I:$AT, MATCH(M61, Variablen!$A:$A, 0), MATCH((YEAR(D61)+20), Variablen!$I$3:$AT$3, 0))="",L61,INDEX(Variablen!$I:$AT, MATCH(M61, Variablen!$A:$A, 0), MATCH((YEAR(D61)+20), Variablen!$I$3:$AT$3, 0))),L61)))*(IF((YEAR(D61)+20)&lt;YEAR(E61),0,IF((YEAR(D61)+20)&gt;YEAR(E61),1,(12-MONTH(E61)+1)/12))) + (Q61)*(IF((YEAR(D61)+20)&lt;YEAR(E61),0,IF((YEAR(D61)+20)&gt;YEAR(E61),1,(12-MONTH(E61)+1)/12))))-((P61)*(IF((YEAR(D61)+20)&lt;YEAR(E61),0,IF((YEAR(D61)+20)&gt;YEAR(E61),1,(12-MONTH(E61)+1)/12))) + (R61)*(IF((YEAR(D61)+20)&lt;YEAR(E61),0,IF((YEAR(D61)+20)&gt;YEAR(E61),1,(12-MONTH(E61)+1)/12))))-(IF(OR(N61="",N61&lt;=0),0,(O61/N61)*(IF(OR(N61="",N61&lt;=0),0,IF((YEAR(D61)+20)&lt;YEAR(E61),0,IF((YEAR(D61)+20)&gt;=YEAR(E61)+N61,0,IF((YEAR(D61)+20)=YEAR(E61),(12-MONTH(E61)+1)/12,1))))))))&gt;0,(((K61)*(IF(M61="",L61,IFERROR(IF(INDEX(Variablen!$I:$AT, MATCH(M61, Variablen!$A:$A, 0), MATCH((YEAR(D61)+20), Variablen!$I$3:$AT$3, 0))="",L61,INDEX(Variablen!$I:$AT, MATCH(M61, Variablen!$A:$A, 0), MATCH((YEAR(D61)+20), Variablen!$I$3:$AT$3, 0))),L61)))*(IF((YEAR(D61)+20)&lt;YEAR(E61),0,IF((YEAR(D61)+20)&gt;YEAR(E61),1,(12-MONTH(E61)+1)/12))) + (Q61)*(IF((YEAR(D61)+20)&lt;YEAR(E61),0,IF((YEAR(D61)+20)&gt;YEAR(E61),1,(12-MONTH(E61)+1)/12))))-((P61)*(IF((YEAR(D61)+20)&lt;YEAR(E61),0,IF((YEAR(D61)+20)&gt;YEAR(E61),1,(12-MONTH(E61)+1)/12))) + (R61)*(IF((YEAR(D61)+20)&lt;YEAR(E61),0,IF((YEAR(D61)+20)&gt;YEAR(E61),1,(12-MONTH(E61)+1)/12))))-(IF(OR(N61="",N61&lt;=0),0,(O61/N61)*(IF(OR(N61="",N61&lt;=0),0,IF((YEAR(D61)+20)&lt;YEAR(E61),0,IF((YEAR(D61)+20)&gt;=YEAR(E61)+N61,0,IF((YEAR(D61)+20)=YEAR(E61),(12-MONTH(E61)+1)/12,1))))))))*TaxRate,0))-IF(20=0,O61,0))</f>
        <v/>
      </c>
      <c r="AN61" s="29">
        <f>IF(A61="","",S61)</f>
        <v/>
      </c>
      <c r="AO61" s="29">
        <f>IF(A61="","",AN61+T61)</f>
        <v/>
      </c>
      <c r="AP61" s="29">
        <f>IF(A61="","",AO61+U61)</f>
        <v/>
      </c>
      <c r="AQ61" s="29">
        <f>IF(A61="","",AP61+V61)</f>
        <v/>
      </c>
      <c r="AR61" s="29">
        <f>IF(A61="","",AQ61+W61)</f>
        <v/>
      </c>
      <c r="AS61" s="29">
        <f>IF(A61="","",AR61+X61)</f>
        <v/>
      </c>
      <c r="AT61" s="29">
        <f>IF(A61="","",AS61+Y61)</f>
        <v/>
      </c>
      <c r="AU61" s="29">
        <f>IF(A61="","",AT61+Z61)</f>
        <v/>
      </c>
      <c r="AV61" s="29">
        <f>IF(A61="","",AU61+AA61)</f>
        <v/>
      </c>
      <c r="AW61" s="29">
        <f>IF(A61="","",AV61+AB61)</f>
        <v/>
      </c>
      <c r="AX61" s="29">
        <f>IF(A61="","",AW61+AC61)</f>
        <v/>
      </c>
      <c r="AY61" s="29">
        <f>IF(A61="","",AX61+AD61)</f>
        <v/>
      </c>
      <c r="AZ61" s="29">
        <f>IF(A61="","",AY61+AE61)</f>
        <v/>
      </c>
      <c r="BA61" s="29">
        <f>IF(A61="","",AZ61+AF61)</f>
        <v/>
      </c>
      <c r="BB61" s="29">
        <f>IF(A61="","",BA61+AG61)</f>
        <v/>
      </c>
      <c r="BC61" s="29">
        <f>IF(A61="","",BB61+AH61)</f>
        <v/>
      </c>
      <c r="BD61" s="29">
        <f>IF(A61="","",BC61+AI61)</f>
        <v/>
      </c>
      <c r="BE61" s="29">
        <f>IF(A61="","",BD61+AJ61)</f>
        <v/>
      </c>
      <c r="BF61" s="29">
        <f>IF(A61="","",BE61+AK61)</f>
        <v/>
      </c>
      <c r="BG61" s="29">
        <f>IF(A61="","",BF61+AL61)</f>
        <v/>
      </c>
      <c r="BH61" s="29">
        <f>IF(A61="","",BG61+AM61)</f>
        <v/>
      </c>
      <c r="BI61" s="36">
        <f>IF(A61="","",(K61)*(IF((YEAR(D61)+0)&lt;YEAR(E61),0,IF((YEAR(D61)+0)&gt;YEAR(E61),1,(12-MONTH(E61)+1)/12)))*(1/(1+DiscountRate)^0))</f>
        <v/>
      </c>
      <c r="BJ61" s="36">
        <f>IF(A61="","",(K61)*(IF((YEAR(D61)+1)&lt;YEAR(E61),0,IF((YEAR(D61)+1)&gt;YEAR(E61),1,(12-MONTH(E61)+1)/12)))*(1/(1+DiscountRate)^1))</f>
        <v/>
      </c>
      <c r="BK61" s="36">
        <f>IF(A61="","",(K61)*(IF((YEAR(D61)+2)&lt;YEAR(E61),0,IF((YEAR(D61)+2)&gt;YEAR(E61),1,(12-MONTH(E61)+1)/12)))*(1/(1+DiscountRate)^2))</f>
        <v/>
      </c>
      <c r="BL61" s="36">
        <f>IF(A61="","",(K61)*(IF((YEAR(D61)+3)&lt;YEAR(E61),0,IF((YEAR(D61)+3)&gt;YEAR(E61),1,(12-MONTH(E61)+1)/12)))*(1/(1+DiscountRate)^3))</f>
        <v/>
      </c>
      <c r="BM61" s="36">
        <f>IF(A61="","",(K61)*(IF((YEAR(D61)+4)&lt;YEAR(E61),0,IF((YEAR(D61)+4)&gt;YEAR(E61),1,(12-MONTH(E61)+1)/12)))*(1/(1+DiscountRate)^4))</f>
        <v/>
      </c>
      <c r="BN61" s="36">
        <f>IF(A61="","",(K61)*(IF((YEAR(D61)+5)&lt;YEAR(E61),0,IF((YEAR(D61)+5)&gt;YEAR(E61),1,(12-MONTH(E61)+1)/12)))*(1/(1+DiscountRate)^5))</f>
        <v/>
      </c>
      <c r="BO61" s="36">
        <f>IF(A61="","",(K61)*(IF((YEAR(D61)+6)&lt;YEAR(E61),0,IF((YEAR(D61)+6)&gt;YEAR(E61),1,(12-MONTH(E61)+1)/12)))*(1/(1+DiscountRate)^6))</f>
        <v/>
      </c>
      <c r="BP61" s="36">
        <f>IF(A61="","",(K61)*(IF((YEAR(D61)+7)&lt;YEAR(E61),0,IF((YEAR(D61)+7)&gt;YEAR(E61),1,(12-MONTH(E61)+1)/12)))*(1/(1+DiscountRate)^7))</f>
        <v/>
      </c>
      <c r="BQ61" s="36">
        <f>IF(A61="","",(K61)*(IF((YEAR(D61)+8)&lt;YEAR(E61),0,IF((YEAR(D61)+8)&gt;YEAR(E61),1,(12-MONTH(E61)+1)/12)))*(1/(1+DiscountRate)^8))</f>
        <v/>
      </c>
      <c r="BR61" s="36">
        <f>IF(A61="","",(K61)*(IF((YEAR(D61)+9)&lt;YEAR(E61),0,IF((YEAR(D61)+9)&gt;YEAR(E61),1,(12-MONTH(E61)+1)/12)))*(1/(1+DiscountRate)^9))</f>
        <v/>
      </c>
      <c r="BS61" s="36">
        <f>IF(A61="","",(K61)*(IF((YEAR(D61)+10)&lt;YEAR(E61),0,IF((YEAR(D61)+10)&gt;YEAR(E61),1,(12-MONTH(E61)+1)/12)))*(1/(1+DiscountRate)^10))</f>
        <v/>
      </c>
      <c r="BT61" s="36">
        <f>IF(A61="","",(K61)*(IF((YEAR(D61)+11)&lt;YEAR(E61),0,IF((YEAR(D61)+11)&gt;YEAR(E61),1,(12-MONTH(E61)+1)/12)))*(1/(1+DiscountRate)^11))</f>
        <v/>
      </c>
      <c r="BU61" s="36">
        <f>IF(A61="","",(K61)*(IF((YEAR(D61)+12)&lt;YEAR(E61),0,IF((YEAR(D61)+12)&gt;YEAR(E61),1,(12-MONTH(E61)+1)/12)))*(1/(1+DiscountRate)^12))</f>
        <v/>
      </c>
      <c r="BV61" s="36">
        <f>IF(A61="","",(K61)*(IF((YEAR(D61)+13)&lt;YEAR(E61),0,IF((YEAR(D61)+13)&gt;YEAR(E61),1,(12-MONTH(E61)+1)/12)))*(1/(1+DiscountRate)^13))</f>
        <v/>
      </c>
      <c r="BW61" s="36">
        <f>IF(A61="","",(K61)*(IF((YEAR(D61)+14)&lt;YEAR(E61),0,IF((YEAR(D61)+14)&gt;YEAR(E61),1,(12-MONTH(E61)+1)/12)))*(1/(1+DiscountRate)^14))</f>
        <v/>
      </c>
      <c r="BX61" s="36">
        <f>IF(A61="","",(K61)*(IF((YEAR(D61)+15)&lt;YEAR(E61),0,IF((YEAR(D61)+15)&gt;YEAR(E61),1,(12-MONTH(E61)+1)/12)))*(1/(1+DiscountRate)^15))</f>
        <v/>
      </c>
      <c r="BY61" s="36">
        <f>IF(A61="","",(K61)*(IF((YEAR(D61)+16)&lt;YEAR(E61),0,IF((YEAR(D61)+16)&gt;YEAR(E61),1,(12-MONTH(E61)+1)/12)))*(1/(1+DiscountRate)^16))</f>
        <v/>
      </c>
      <c r="BZ61" s="36">
        <f>IF(A61="","",(K61)*(IF((YEAR(D61)+17)&lt;YEAR(E61),0,IF((YEAR(D61)+17)&gt;YEAR(E61),1,(12-MONTH(E61)+1)/12)))*(1/(1+DiscountRate)^17))</f>
        <v/>
      </c>
      <c r="CA61" s="36">
        <f>IF(A61="","",(K61)*(IF((YEAR(D61)+18)&lt;YEAR(E61),0,IF((YEAR(D61)+18)&gt;YEAR(E61),1,(12-MONTH(E61)+1)/12)))*(1/(1+DiscountRate)^18))</f>
        <v/>
      </c>
      <c r="CB61" s="36">
        <f>IF(A61="","",(K61)*(IF((YEAR(D61)+19)&lt;YEAR(E61),0,IF((YEAR(D61)+19)&gt;YEAR(E61),1,(12-MONTH(E61)+1)/12)))*(1/(1+DiscountRate)^19))</f>
        <v/>
      </c>
      <c r="CC61" s="36">
        <f>IF(A61="","",(K61)*(IF((YEAR(D61)+20)&lt;YEAR(E61),0,IF((YEAR(D61)+20)&gt;YEAR(E61),1,(12-MONTH(E61)+1)/12)))*(1/(1+DiscountRate)^20))</f>
        <v/>
      </c>
      <c r="CD61" s="29">
        <f>IF(A61="","",S61/(1+DiscountRate)^0+T61/(1+DiscountRate)^1+U61/(1+DiscountRate)^2+V61/(1+DiscountRate)^3+W61/(1+DiscountRate)^4+X61/(1+DiscountRate)^5+Y61/(1+DiscountRate)^6+Z61/(1+DiscountRate)^7+AA61/(1+DiscountRate)^8+AB61/(1+DiscountRate)^9+AC61/(1+DiscountRate)^10+AD61/(1+DiscountRate)^11+AE61/(1+DiscountRate)^12+AF61/(1+DiscountRate)^13+AG61/(1+DiscountRate)^14+AH61/(1+DiscountRate)^15+AI61/(1+DiscountRate)^16+AJ61/(1+DiscountRate)^17+AK61/(1+DiscountRate)^18+AL61/(1+DiscountRate)^19+AM61/(1+DiscountRate)^20)</f>
        <v/>
      </c>
      <c r="CE61" s="37">
        <f>IF(A61="","",IFERROR(IRR(OFFSET(S61,0,0,1,MIN(HorizonYears,20)+1)),"n/a"))</f>
        <v/>
      </c>
      <c r="CF61" s="28">
        <f>IF(A61="","",IFERROR(MATCH(TRUE,OFFSET(AN61,0,0,1,MIN(HorizonYears,20)+1)&gt;=0,0)-1,"n/a"))</f>
        <v/>
      </c>
      <c r="CG61" s="36">
        <f>IF(A61="","",SUM(OFFSET(BI61,0,0,1,MIN(HorizonYears,20)+1)))</f>
        <v/>
      </c>
      <c r="CH61" s="36">
        <f>IF(A61="","",IFERROR(-CD61/CG61,"n/a"))</f>
        <v/>
      </c>
    </row>
    <row r="62">
      <c r="A62" s="6">
        <f>Actions!A60</f>
        <v/>
      </c>
      <c r="B62" s="6">
        <f>Actions!B60</f>
        <v/>
      </c>
      <c r="C62" s="6">
        <f>Actions!D60</f>
        <v/>
      </c>
      <c r="D62" s="35">
        <f>Actions!E60</f>
        <v/>
      </c>
      <c r="E62" s="35">
        <f>Actions!F60</f>
        <v/>
      </c>
      <c r="F62" s="6">
        <f>Actions!G60</f>
        <v/>
      </c>
      <c r="G62" s="6">
        <f>Actions!H60</f>
        <v/>
      </c>
      <c r="H62" s="29">
        <f>Actions!I60</f>
        <v/>
      </c>
      <c r="I62" s="6">
        <f>Actions!J60</f>
        <v/>
      </c>
      <c r="J62" s="16">
        <f>Actions!K60</f>
        <v/>
      </c>
      <c r="K62" s="16">
        <f>IF(A62="","",IF(I62="%",H62*J62,J62))</f>
        <v/>
      </c>
      <c r="L62" s="16">
        <f>Actions!L60</f>
        <v/>
      </c>
      <c r="M62" s="6">
        <f>Actions!M60</f>
        <v/>
      </c>
      <c r="N62" s="28">
        <f>Actions!N60</f>
        <v/>
      </c>
      <c r="O62" s="29">
        <f>Actions!T60</f>
        <v/>
      </c>
      <c r="P62" s="29">
        <f>Actions!Y60</f>
        <v/>
      </c>
      <c r="Q62" s="29">
        <f>Actions!Z60</f>
        <v/>
      </c>
      <c r="R62" s="29">
        <f>Actions!AA60</f>
        <v/>
      </c>
      <c r="S62" s="29">
        <f>IF(A62="","",((K62)*(IF(M62="",L62,IFERROR(IF(INDEX(Variablen!$I:$AT, MATCH(M62, Variablen!$A:$A, 0), MATCH((YEAR(D62)+0), Variablen!$I$3:$AT$3, 0))="",L62,INDEX(Variablen!$I:$AT, MATCH(M62, Variablen!$A:$A, 0), MATCH((YEAR(D62)+0), Variablen!$I$3:$AT$3, 0))),L62)))*(IF((YEAR(D62)+0)&lt;YEAR(E62),0,IF((YEAR(D62)+0)&gt;YEAR(E62),1,(12-MONTH(E62)+1)/12))) + (Q62)*(IF((YEAR(D62)+0)&lt;YEAR(E62),0,IF((YEAR(D62)+0)&gt;YEAR(E62),1,(12-MONTH(E62)+1)/12))))-((P62)*(IF((YEAR(D62)+0)&lt;YEAR(E62),0,IF((YEAR(D62)+0)&gt;YEAR(E62),1,(12-MONTH(E62)+1)/12))) + (R62)*(IF((YEAR(D62)+0)&lt;YEAR(E62),0,IF((YEAR(D62)+0)&gt;YEAR(E62),1,(12-MONTH(E62)+1)/12))))-(IF((((K62)*(IF(M62="",L62,IFERROR(IF(INDEX(Variablen!$I:$AT, MATCH(M62, Variablen!$A:$A, 0), MATCH((YEAR(D62)+0), Variablen!$I$3:$AT$3, 0))="",L62,INDEX(Variablen!$I:$AT, MATCH(M62, Variablen!$A:$A, 0), MATCH((YEAR(D62)+0), Variablen!$I$3:$AT$3, 0))),L62)))*(IF((YEAR(D62)+0)&lt;YEAR(E62),0,IF((YEAR(D62)+0)&gt;YEAR(E62),1,(12-MONTH(E62)+1)/12))) + (Q62)*(IF((YEAR(D62)+0)&lt;YEAR(E62),0,IF((YEAR(D62)+0)&gt;YEAR(E62),1,(12-MONTH(E62)+1)/12))))-((P62)*(IF((YEAR(D62)+0)&lt;YEAR(E62),0,IF((YEAR(D62)+0)&gt;YEAR(E62),1,(12-MONTH(E62)+1)/12))) + (R62)*(IF((YEAR(D62)+0)&lt;YEAR(E62),0,IF((YEAR(D62)+0)&gt;YEAR(E62),1,(12-MONTH(E62)+1)/12))))-(IF(OR(N62="",N62&lt;=0),0,(O62/N62)*(IF(OR(N62="",N62&lt;=0),0,IF((YEAR(D62)+0)&lt;YEAR(E62),0,IF((YEAR(D62)+0)&gt;=YEAR(E62)+N62,0,IF((YEAR(D62)+0)=YEAR(E62),(12-MONTH(E62)+1)/12,1))))))))&gt;0,(((K62)*(IF(M62="",L62,IFERROR(IF(INDEX(Variablen!$I:$AT, MATCH(M62, Variablen!$A:$A, 0), MATCH((YEAR(D62)+0), Variablen!$I$3:$AT$3, 0))="",L62,INDEX(Variablen!$I:$AT, MATCH(M62, Variablen!$A:$A, 0), MATCH((YEAR(D62)+0), Variablen!$I$3:$AT$3, 0))),L62)))*(IF((YEAR(D62)+0)&lt;YEAR(E62),0,IF((YEAR(D62)+0)&gt;YEAR(E62),1,(12-MONTH(E62)+1)/12))) + (Q62)*(IF((YEAR(D62)+0)&lt;YEAR(E62),0,IF((YEAR(D62)+0)&gt;YEAR(E62),1,(12-MONTH(E62)+1)/12))))-((P62)*(IF((YEAR(D62)+0)&lt;YEAR(E62),0,IF((YEAR(D62)+0)&gt;YEAR(E62),1,(12-MONTH(E62)+1)/12))) + (R62)*(IF((YEAR(D62)+0)&lt;YEAR(E62),0,IF((YEAR(D62)+0)&gt;YEAR(E62),1,(12-MONTH(E62)+1)/12))))-(IF(OR(N62="",N62&lt;=0),0,(O62/N62)*(IF(OR(N62="",N62&lt;=0),0,IF((YEAR(D62)+0)&lt;YEAR(E62),0,IF((YEAR(D62)+0)&gt;=YEAR(E62)+N62,0,IF((YEAR(D62)+0)=YEAR(E62),(12-MONTH(E62)+1)/12,1))))))))*TaxRate,0))-IF(0=0,O62,0))</f>
        <v/>
      </c>
      <c r="T62" s="29">
        <f>IF(A62="","",((K62)*(IF(M62="",L62,IFERROR(IF(INDEX(Variablen!$I:$AT, MATCH(M62, Variablen!$A:$A, 0), MATCH((YEAR(D62)+1), Variablen!$I$3:$AT$3, 0))="",L62,INDEX(Variablen!$I:$AT, MATCH(M62, Variablen!$A:$A, 0), MATCH((YEAR(D62)+1), Variablen!$I$3:$AT$3, 0))),L62)))*(IF((YEAR(D62)+1)&lt;YEAR(E62),0,IF((YEAR(D62)+1)&gt;YEAR(E62),1,(12-MONTH(E62)+1)/12))) + (Q62)*(IF((YEAR(D62)+1)&lt;YEAR(E62),0,IF((YEAR(D62)+1)&gt;YEAR(E62),1,(12-MONTH(E62)+1)/12))))-((P62)*(IF((YEAR(D62)+1)&lt;YEAR(E62),0,IF((YEAR(D62)+1)&gt;YEAR(E62),1,(12-MONTH(E62)+1)/12))) + (R62)*(IF((YEAR(D62)+1)&lt;YEAR(E62),0,IF((YEAR(D62)+1)&gt;YEAR(E62),1,(12-MONTH(E62)+1)/12))))-(IF((((K62)*(IF(M62="",L62,IFERROR(IF(INDEX(Variablen!$I:$AT, MATCH(M62, Variablen!$A:$A, 0), MATCH((YEAR(D62)+1), Variablen!$I$3:$AT$3, 0))="",L62,INDEX(Variablen!$I:$AT, MATCH(M62, Variablen!$A:$A, 0), MATCH((YEAR(D62)+1), Variablen!$I$3:$AT$3, 0))),L62)))*(IF((YEAR(D62)+1)&lt;YEAR(E62),0,IF((YEAR(D62)+1)&gt;YEAR(E62),1,(12-MONTH(E62)+1)/12))) + (Q62)*(IF((YEAR(D62)+1)&lt;YEAR(E62),0,IF((YEAR(D62)+1)&gt;YEAR(E62),1,(12-MONTH(E62)+1)/12))))-((P62)*(IF((YEAR(D62)+1)&lt;YEAR(E62),0,IF((YEAR(D62)+1)&gt;YEAR(E62),1,(12-MONTH(E62)+1)/12))) + (R62)*(IF((YEAR(D62)+1)&lt;YEAR(E62),0,IF((YEAR(D62)+1)&gt;YEAR(E62),1,(12-MONTH(E62)+1)/12))))-(IF(OR(N62="",N62&lt;=0),0,(O62/N62)*(IF(OR(N62="",N62&lt;=0),0,IF((YEAR(D62)+1)&lt;YEAR(E62),0,IF((YEAR(D62)+1)&gt;=YEAR(E62)+N62,0,IF((YEAR(D62)+1)=YEAR(E62),(12-MONTH(E62)+1)/12,1))))))))&gt;0,(((K62)*(IF(M62="",L62,IFERROR(IF(INDEX(Variablen!$I:$AT, MATCH(M62, Variablen!$A:$A, 0), MATCH((YEAR(D62)+1), Variablen!$I$3:$AT$3, 0))="",L62,INDEX(Variablen!$I:$AT, MATCH(M62, Variablen!$A:$A, 0), MATCH((YEAR(D62)+1), Variablen!$I$3:$AT$3, 0))),L62)))*(IF((YEAR(D62)+1)&lt;YEAR(E62),0,IF((YEAR(D62)+1)&gt;YEAR(E62),1,(12-MONTH(E62)+1)/12))) + (Q62)*(IF((YEAR(D62)+1)&lt;YEAR(E62),0,IF((YEAR(D62)+1)&gt;YEAR(E62),1,(12-MONTH(E62)+1)/12))))-((P62)*(IF((YEAR(D62)+1)&lt;YEAR(E62),0,IF((YEAR(D62)+1)&gt;YEAR(E62),1,(12-MONTH(E62)+1)/12))) + (R62)*(IF((YEAR(D62)+1)&lt;YEAR(E62),0,IF((YEAR(D62)+1)&gt;YEAR(E62),1,(12-MONTH(E62)+1)/12))))-(IF(OR(N62="",N62&lt;=0),0,(O62/N62)*(IF(OR(N62="",N62&lt;=0),0,IF((YEAR(D62)+1)&lt;YEAR(E62),0,IF((YEAR(D62)+1)&gt;=YEAR(E62)+N62,0,IF((YEAR(D62)+1)=YEAR(E62),(12-MONTH(E62)+1)/12,1))))))))*TaxRate,0))-IF(1=0,O62,0))</f>
        <v/>
      </c>
      <c r="U62" s="29">
        <f>IF(A62="","",((K62)*(IF(M62="",L62,IFERROR(IF(INDEX(Variablen!$I:$AT, MATCH(M62, Variablen!$A:$A, 0), MATCH((YEAR(D62)+2), Variablen!$I$3:$AT$3, 0))="",L62,INDEX(Variablen!$I:$AT, MATCH(M62, Variablen!$A:$A, 0), MATCH((YEAR(D62)+2), Variablen!$I$3:$AT$3, 0))),L62)))*(IF((YEAR(D62)+2)&lt;YEAR(E62),0,IF((YEAR(D62)+2)&gt;YEAR(E62),1,(12-MONTH(E62)+1)/12))) + (Q62)*(IF((YEAR(D62)+2)&lt;YEAR(E62),0,IF((YEAR(D62)+2)&gt;YEAR(E62),1,(12-MONTH(E62)+1)/12))))-((P62)*(IF((YEAR(D62)+2)&lt;YEAR(E62),0,IF((YEAR(D62)+2)&gt;YEAR(E62),1,(12-MONTH(E62)+1)/12))) + (R62)*(IF((YEAR(D62)+2)&lt;YEAR(E62),0,IF((YEAR(D62)+2)&gt;YEAR(E62),1,(12-MONTH(E62)+1)/12))))-(IF((((K62)*(IF(M62="",L62,IFERROR(IF(INDEX(Variablen!$I:$AT, MATCH(M62, Variablen!$A:$A, 0), MATCH((YEAR(D62)+2), Variablen!$I$3:$AT$3, 0))="",L62,INDEX(Variablen!$I:$AT, MATCH(M62, Variablen!$A:$A, 0), MATCH((YEAR(D62)+2), Variablen!$I$3:$AT$3, 0))),L62)))*(IF((YEAR(D62)+2)&lt;YEAR(E62),0,IF((YEAR(D62)+2)&gt;YEAR(E62),1,(12-MONTH(E62)+1)/12))) + (Q62)*(IF((YEAR(D62)+2)&lt;YEAR(E62),0,IF((YEAR(D62)+2)&gt;YEAR(E62),1,(12-MONTH(E62)+1)/12))))-((P62)*(IF((YEAR(D62)+2)&lt;YEAR(E62),0,IF((YEAR(D62)+2)&gt;YEAR(E62),1,(12-MONTH(E62)+1)/12))) + (R62)*(IF((YEAR(D62)+2)&lt;YEAR(E62),0,IF((YEAR(D62)+2)&gt;YEAR(E62),1,(12-MONTH(E62)+1)/12))))-(IF(OR(N62="",N62&lt;=0),0,(O62/N62)*(IF(OR(N62="",N62&lt;=0),0,IF((YEAR(D62)+2)&lt;YEAR(E62),0,IF((YEAR(D62)+2)&gt;=YEAR(E62)+N62,0,IF((YEAR(D62)+2)=YEAR(E62),(12-MONTH(E62)+1)/12,1))))))))&gt;0,(((K62)*(IF(M62="",L62,IFERROR(IF(INDEX(Variablen!$I:$AT, MATCH(M62, Variablen!$A:$A, 0), MATCH((YEAR(D62)+2), Variablen!$I$3:$AT$3, 0))="",L62,INDEX(Variablen!$I:$AT, MATCH(M62, Variablen!$A:$A, 0), MATCH((YEAR(D62)+2), Variablen!$I$3:$AT$3, 0))),L62)))*(IF((YEAR(D62)+2)&lt;YEAR(E62),0,IF((YEAR(D62)+2)&gt;YEAR(E62),1,(12-MONTH(E62)+1)/12))) + (Q62)*(IF((YEAR(D62)+2)&lt;YEAR(E62),0,IF((YEAR(D62)+2)&gt;YEAR(E62),1,(12-MONTH(E62)+1)/12))))-((P62)*(IF((YEAR(D62)+2)&lt;YEAR(E62),0,IF((YEAR(D62)+2)&gt;YEAR(E62),1,(12-MONTH(E62)+1)/12))) + (R62)*(IF((YEAR(D62)+2)&lt;YEAR(E62),0,IF((YEAR(D62)+2)&gt;YEAR(E62),1,(12-MONTH(E62)+1)/12))))-(IF(OR(N62="",N62&lt;=0),0,(O62/N62)*(IF(OR(N62="",N62&lt;=0),0,IF((YEAR(D62)+2)&lt;YEAR(E62),0,IF((YEAR(D62)+2)&gt;=YEAR(E62)+N62,0,IF((YEAR(D62)+2)=YEAR(E62),(12-MONTH(E62)+1)/12,1))))))))*TaxRate,0))-IF(2=0,O62,0))</f>
        <v/>
      </c>
      <c r="V62" s="29">
        <f>IF(A62="","",((K62)*(IF(M62="",L62,IFERROR(IF(INDEX(Variablen!$I:$AT, MATCH(M62, Variablen!$A:$A, 0), MATCH((YEAR(D62)+3), Variablen!$I$3:$AT$3, 0))="",L62,INDEX(Variablen!$I:$AT, MATCH(M62, Variablen!$A:$A, 0), MATCH((YEAR(D62)+3), Variablen!$I$3:$AT$3, 0))),L62)))*(IF((YEAR(D62)+3)&lt;YEAR(E62),0,IF((YEAR(D62)+3)&gt;YEAR(E62),1,(12-MONTH(E62)+1)/12))) + (Q62)*(IF((YEAR(D62)+3)&lt;YEAR(E62),0,IF((YEAR(D62)+3)&gt;YEAR(E62),1,(12-MONTH(E62)+1)/12))))-((P62)*(IF((YEAR(D62)+3)&lt;YEAR(E62),0,IF((YEAR(D62)+3)&gt;YEAR(E62),1,(12-MONTH(E62)+1)/12))) + (R62)*(IF((YEAR(D62)+3)&lt;YEAR(E62),0,IF((YEAR(D62)+3)&gt;YEAR(E62),1,(12-MONTH(E62)+1)/12))))-(IF((((K62)*(IF(M62="",L62,IFERROR(IF(INDEX(Variablen!$I:$AT, MATCH(M62, Variablen!$A:$A, 0), MATCH((YEAR(D62)+3), Variablen!$I$3:$AT$3, 0))="",L62,INDEX(Variablen!$I:$AT, MATCH(M62, Variablen!$A:$A, 0), MATCH((YEAR(D62)+3), Variablen!$I$3:$AT$3, 0))),L62)))*(IF((YEAR(D62)+3)&lt;YEAR(E62),0,IF((YEAR(D62)+3)&gt;YEAR(E62),1,(12-MONTH(E62)+1)/12))) + (Q62)*(IF((YEAR(D62)+3)&lt;YEAR(E62),0,IF((YEAR(D62)+3)&gt;YEAR(E62),1,(12-MONTH(E62)+1)/12))))-((P62)*(IF((YEAR(D62)+3)&lt;YEAR(E62),0,IF((YEAR(D62)+3)&gt;YEAR(E62),1,(12-MONTH(E62)+1)/12))) + (R62)*(IF((YEAR(D62)+3)&lt;YEAR(E62),0,IF((YEAR(D62)+3)&gt;YEAR(E62),1,(12-MONTH(E62)+1)/12))))-(IF(OR(N62="",N62&lt;=0),0,(O62/N62)*(IF(OR(N62="",N62&lt;=0),0,IF((YEAR(D62)+3)&lt;YEAR(E62),0,IF((YEAR(D62)+3)&gt;=YEAR(E62)+N62,0,IF((YEAR(D62)+3)=YEAR(E62),(12-MONTH(E62)+1)/12,1))))))))&gt;0,(((K62)*(IF(M62="",L62,IFERROR(IF(INDEX(Variablen!$I:$AT, MATCH(M62, Variablen!$A:$A, 0), MATCH((YEAR(D62)+3), Variablen!$I$3:$AT$3, 0))="",L62,INDEX(Variablen!$I:$AT, MATCH(M62, Variablen!$A:$A, 0), MATCH((YEAR(D62)+3), Variablen!$I$3:$AT$3, 0))),L62)))*(IF((YEAR(D62)+3)&lt;YEAR(E62),0,IF((YEAR(D62)+3)&gt;YEAR(E62),1,(12-MONTH(E62)+1)/12))) + (Q62)*(IF((YEAR(D62)+3)&lt;YEAR(E62),0,IF((YEAR(D62)+3)&gt;YEAR(E62),1,(12-MONTH(E62)+1)/12))))-((P62)*(IF((YEAR(D62)+3)&lt;YEAR(E62),0,IF((YEAR(D62)+3)&gt;YEAR(E62),1,(12-MONTH(E62)+1)/12))) + (R62)*(IF((YEAR(D62)+3)&lt;YEAR(E62),0,IF((YEAR(D62)+3)&gt;YEAR(E62),1,(12-MONTH(E62)+1)/12))))-(IF(OR(N62="",N62&lt;=0),0,(O62/N62)*(IF(OR(N62="",N62&lt;=0),0,IF((YEAR(D62)+3)&lt;YEAR(E62),0,IF((YEAR(D62)+3)&gt;=YEAR(E62)+N62,0,IF((YEAR(D62)+3)=YEAR(E62),(12-MONTH(E62)+1)/12,1))))))))*TaxRate,0))-IF(3=0,O62,0))</f>
        <v/>
      </c>
      <c r="W62" s="29">
        <f>IF(A62="","",((K62)*(IF(M62="",L62,IFERROR(IF(INDEX(Variablen!$I:$AT, MATCH(M62, Variablen!$A:$A, 0), MATCH((YEAR(D62)+4), Variablen!$I$3:$AT$3, 0))="",L62,INDEX(Variablen!$I:$AT, MATCH(M62, Variablen!$A:$A, 0), MATCH((YEAR(D62)+4), Variablen!$I$3:$AT$3, 0))),L62)))*(IF((YEAR(D62)+4)&lt;YEAR(E62),0,IF((YEAR(D62)+4)&gt;YEAR(E62),1,(12-MONTH(E62)+1)/12))) + (Q62)*(IF((YEAR(D62)+4)&lt;YEAR(E62),0,IF((YEAR(D62)+4)&gt;YEAR(E62),1,(12-MONTH(E62)+1)/12))))-((P62)*(IF((YEAR(D62)+4)&lt;YEAR(E62),0,IF((YEAR(D62)+4)&gt;YEAR(E62),1,(12-MONTH(E62)+1)/12))) + (R62)*(IF((YEAR(D62)+4)&lt;YEAR(E62),0,IF((YEAR(D62)+4)&gt;YEAR(E62),1,(12-MONTH(E62)+1)/12))))-(IF((((K62)*(IF(M62="",L62,IFERROR(IF(INDEX(Variablen!$I:$AT, MATCH(M62, Variablen!$A:$A, 0), MATCH((YEAR(D62)+4), Variablen!$I$3:$AT$3, 0))="",L62,INDEX(Variablen!$I:$AT, MATCH(M62, Variablen!$A:$A, 0), MATCH((YEAR(D62)+4), Variablen!$I$3:$AT$3, 0))),L62)))*(IF((YEAR(D62)+4)&lt;YEAR(E62),0,IF((YEAR(D62)+4)&gt;YEAR(E62),1,(12-MONTH(E62)+1)/12))) + (Q62)*(IF((YEAR(D62)+4)&lt;YEAR(E62),0,IF((YEAR(D62)+4)&gt;YEAR(E62),1,(12-MONTH(E62)+1)/12))))-((P62)*(IF((YEAR(D62)+4)&lt;YEAR(E62),0,IF((YEAR(D62)+4)&gt;YEAR(E62),1,(12-MONTH(E62)+1)/12))) + (R62)*(IF((YEAR(D62)+4)&lt;YEAR(E62),0,IF((YEAR(D62)+4)&gt;YEAR(E62),1,(12-MONTH(E62)+1)/12))))-(IF(OR(N62="",N62&lt;=0),0,(O62/N62)*(IF(OR(N62="",N62&lt;=0),0,IF((YEAR(D62)+4)&lt;YEAR(E62),0,IF((YEAR(D62)+4)&gt;=YEAR(E62)+N62,0,IF((YEAR(D62)+4)=YEAR(E62),(12-MONTH(E62)+1)/12,1))))))))&gt;0,(((K62)*(IF(M62="",L62,IFERROR(IF(INDEX(Variablen!$I:$AT, MATCH(M62, Variablen!$A:$A, 0), MATCH((YEAR(D62)+4), Variablen!$I$3:$AT$3, 0))="",L62,INDEX(Variablen!$I:$AT, MATCH(M62, Variablen!$A:$A, 0), MATCH((YEAR(D62)+4), Variablen!$I$3:$AT$3, 0))),L62)))*(IF((YEAR(D62)+4)&lt;YEAR(E62),0,IF((YEAR(D62)+4)&gt;YEAR(E62),1,(12-MONTH(E62)+1)/12))) + (Q62)*(IF((YEAR(D62)+4)&lt;YEAR(E62),0,IF((YEAR(D62)+4)&gt;YEAR(E62),1,(12-MONTH(E62)+1)/12))))-((P62)*(IF((YEAR(D62)+4)&lt;YEAR(E62),0,IF((YEAR(D62)+4)&gt;YEAR(E62),1,(12-MONTH(E62)+1)/12))) + (R62)*(IF((YEAR(D62)+4)&lt;YEAR(E62),0,IF((YEAR(D62)+4)&gt;YEAR(E62),1,(12-MONTH(E62)+1)/12))))-(IF(OR(N62="",N62&lt;=0),0,(O62/N62)*(IF(OR(N62="",N62&lt;=0),0,IF((YEAR(D62)+4)&lt;YEAR(E62),0,IF((YEAR(D62)+4)&gt;=YEAR(E62)+N62,0,IF((YEAR(D62)+4)=YEAR(E62),(12-MONTH(E62)+1)/12,1))))))))*TaxRate,0))-IF(4=0,O62,0))</f>
        <v/>
      </c>
      <c r="X62" s="29">
        <f>IF(A62="","",((K62)*(IF(M62="",L62,IFERROR(IF(INDEX(Variablen!$I:$AT, MATCH(M62, Variablen!$A:$A, 0), MATCH((YEAR(D62)+5), Variablen!$I$3:$AT$3, 0))="",L62,INDEX(Variablen!$I:$AT, MATCH(M62, Variablen!$A:$A, 0), MATCH((YEAR(D62)+5), Variablen!$I$3:$AT$3, 0))),L62)))*(IF((YEAR(D62)+5)&lt;YEAR(E62),0,IF((YEAR(D62)+5)&gt;YEAR(E62),1,(12-MONTH(E62)+1)/12))) + (Q62)*(IF((YEAR(D62)+5)&lt;YEAR(E62),0,IF((YEAR(D62)+5)&gt;YEAR(E62),1,(12-MONTH(E62)+1)/12))))-((P62)*(IF((YEAR(D62)+5)&lt;YEAR(E62),0,IF((YEAR(D62)+5)&gt;YEAR(E62),1,(12-MONTH(E62)+1)/12))) + (R62)*(IF((YEAR(D62)+5)&lt;YEAR(E62),0,IF((YEAR(D62)+5)&gt;YEAR(E62),1,(12-MONTH(E62)+1)/12))))-(IF((((K62)*(IF(M62="",L62,IFERROR(IF(INDEX(Variablen!$I:$AT, MATCH(M62, Variablen!$A:$A, 0), MATCH((YEAR(D62)+5), Variablen!$I$3:$AT$3, 0))="",L62,INDEX(Variablen!$I:$AT, MATCH(M62, Variablen!$A:$A, 0), MATCH((YEAR(D62)+5), Variablen!$I$3:$AT$3, 0))),L62)))*(IF((YEAR(D62)+5)&lt;YEAR(E62),0,IF((YEAR(D62)+5)&gt;YEAR(E62),1,(12-MONTH(E62)+1)/12))) + (Q62)*(IF((YEAR(D62)+5)&lt;YEAR(E62),0,IF((YEAR(D62)+5)&gt;YEAR(E62),1,(12-MONTH(E62)+1)/12))))-((P62)*(IF((YEAR(D62)+5)&lt;YEAR(E62),0,IF((YEAR(D62)+5)&gt;YEAR(E62),1,(12-MONTH(E62)+1)/12))) + (R62)*(IF((YEAR(D62)+5)&lt;YEAR(E62),0,IF((YEAR(D62)+5)&gt;YEAR(E62),1,(12-MONTH(E62)+1)/12))))-(IF(OR(N62="",N62&lt;=0),0,(O62/N62)*(IF(OR(N62="",N62&lt;=0),0,IF((YEAR(D62)+5)&lt;YEAR(E62),0,IF((YEAR(D62)+5)&gt;=YEAR(E62)+N62,0,IF((YEAR(D62)+5)=YEAR(E62),(12-MONTH(E62)+1)/12,1))))))))&gt;0,(((K62)*(IF(M62="",L62,IFERROR(IF(INDEX(Variablen!$I:$AT, MATCH(M62, Variablen!$A:$A, 0), MATCH((YEAR(D62)+5), Variablen!$I$3:$AT$3, 0))="",L62,INDEX(Variablen!$I:$AT, MATCH(M62, Variablen!$A:$A, 0), MATCH((YEAR(D62)+5), Variablen!$I$3:$AT$3, 0))),L62)))*(IF((YEAR(D62)+5)&lt;YEAR(E62),0,IF((YEAR(D62)+5)&gt;YEAR(E62),1,(12-MONTH(E62)+1)/12))) + (Q62)*(IF((YEAR(D62)+5)&lt;YEAR(E62),0,IF((YEAR(D62)+5)&gt;YEAR(E62),1,(12-MONTH(E62)+1)/12))))-((P62)*(IF((YEAR(D62)+5)&lt;YEAR(E62),0,IF((YEAR(D62)+5)&gt;YEAR(E62),1,(12-MONTH(E62)+1)/12))) + (R62)*(IF((YEAR(D62)+5)&lt;YEAR(E62),0,IF((YEAR(D62)+5)&gt;YEAR(E62),1,(12-MONTH(E62)+1)/12))))-(IF(OR(N62="",N62&lt;=0),0,(O62/N62)*(IF(OR(N62="",N62&lt;=0),0,IF((YEAR(D62)+5)&lt;YEAR(E62),0,IF((YEAR(D62)+5)&gt;=YEAR(E62)+N62,0,IF((YEAR(D62)+5)=YEAR(E62),(12-MONTH(E62)+1)/12,1))))))))*TaxRate,0))-IF(5=0,O62,0))</f>
        <v/>
      </c>
      <c r="Y62" s="29">
        <f>IF(A62="","",((K62)*(IF(M62="",L62,IFERROR(IF(INDEX(Variablen!$I:$AT, MATCH(M62, Variablen!$A:$A, 0), MATCH((YEAR(D62)+6), Variablen!$I$3:$AT$3, 0))="",L62,INDEX(Variablen!$I:$AT, MATCH(M62, Variablen!$A:$A, 0), MATCH((YEAR(D62)+6), Variablen!$I$3:$AT$3, 0))),L62)))*(IF((YEAR(D62)+6)&lt;YEAR(E62),0,IF((YEAR(D62)+6)&gt;YEAR(E62),1,(12-MONTH(E62)+1)/12))) + (Q62)*(IF((YEAR(D62)+6)&lt;YEAR(E62),0,IF((YEAR(D62)+6)&gt;YEAR(E62),1,(12-MONTH(E62)+1)/12))))-((P62)*(IF((YEAR(D62)+6)&lt;YEAR(E62),0,IF((YEAR(D62)+6)&gt;YEAR(E62),1,(12-MONTH(E62)+1)/12))) + (R62)*(IF((YEAR(D62)+6)&lt;YEAR(E62),0,IF((YEAR(D62)+6)&gt;YEAR(E62),1,(12-MONTH(E62)+1)/12))))-(IF((((K62)*(IF(M62="",L62,IFERROR(IF(INDEX(Variablen!$I:$AT, MATCH(M62, Variablen!$A:$A, 0), MATCH((YEAR(D62)+6), Variablen!$I$3:$AT$3, 0))="",L62,INDEX(Variablen!$I:$AT, MATCH(M62, Variablen!$A:$A, 0), MATCH((YEAR(D62)+6), Variablen!$I$3:$AT$3, 0))),L62)))*(IF((YEAR(D62)+6)&lt;YEAR(E62),0,IF((YEAR(D62)+6)&gt;YEAR(E62),1,(12-MONTH(E62)+1)/12))) + (Q62)*(IF((YEAR(D62)+6)&lt;YEAR(E62),0,IF((YEAR(D62)+6)&gt;YEAR(E62),1,(12-MONTH(E62)+1)/12))))-((P62)*(IF((YEAR(D62)+6)&lt;YEAR(E62),0,IF((YEAR(D62)+6)&gt;YEAR(E62),1,(12-MONTH(E62)+1)/12))) + (R62)*(IF((YEAR(D62)+6)&lt;YEAR(E62),0,IF((YEAR(D62)+6)&gt;YEAR(E62),1,(12-MONTH(E62)+1)/12))))-(IF(OR(N62="",N62&lt;=0),0,(O62/N62)*(IF(OR(N62="",N62&lt;=0),0,IF((YEAR(D62)+6)&lt;YEAR(E62),0,IF((YEAR(D62)+6)&gt;=YEAR(E62)+N62,0,IF((YEAR(D62)+6)=YEAR(E62),(12-MONTH(E62)+1)/12,1))))))))&gt;0,(((K62)*(IF(M62="",L62,IFERROR(IF(INDEX(Variablen!$I:$AT, MATCH(M62, Variablen!$A:$A, 0), MATCH((YEAR(D62)+6), Variablen!$I$3:$AT$3, 0))="",L62,INDEX(Variablen!$I:$AT, MATCH(M62, Variablen!$A:$A, 0), MATCH((YEAR(D62)+6), Variablen!$I$3:$AT$3, 0))),L62)))*(IF((YEAR(D62)+6)&lt;YEAR(E62),0,IF((YEAR(D62)+6)&gt;YEAR(E62),1,(12-MONTH(E62)+1)/12))) + (Q62)*(IF((YEAR(D62)+6)&lt;YEAR(E62),0,IF((YEAR(D62)+6)&gt;YEAR(E62),1,(12-MONTH(E62)+1)/12))))-((P62)*(IF((YEAR(D62)+6)&lt;YEAR(E62),0,IF((YEAR(D62)+6)&gt;YEAR(E62),1,(12-MONTH(E62)+1)/12))) + (R62)*(IF((YEAR(D62)+6)&lt;YEAR(E62),0,IF((YEAR(D62)+6)&gt;YEAR(E62),1,(12-MONTH(E62)+1)/12))))-(IF(OR(N62="",N62&lt;=0),0,(O62/N62)*(IF(OR(N62="",N62&lt;=0),0,IF((YEAR(D62)+6)&lt;YEAR(E62),0,IF((YEAR(D62)+6)&gt;=YEAR(E62)+N62,0,IF((YEAR(D62)+6)=YEAR(E62),(12-MONTH(E62)+1)/12,1))))))))*TaxRate,0))-IF(6=0,O62,0))</f>
        <v/>
      </c>
      <c r="Z62" s="29">
        <f>IF(A62="","",((K62)*(IF(M62="",L62,IFERROR(IF(INDEX(Variablen!$I:$AT, MATCH(M62, Variablen!$A:$A, 0), MATCH((YEAR(D62)+7), Variablen!$I$3:$AT$3, 0))="",L62,INDEX(Variablen!$I:$AT, MATCH(M62, Variablen!$A:$A, 0), MATCH((YEAR(D62)+7), Variablen!$I$3:$AT$3, 0))),L62)))*(IF((YEAR(D62)+7)&lt;YEAR(E62),0,IF((YEAR(D62)+7)&gt;YEAR(E62),1,(12-MONTH(E62)+1)/12))) + (Q62)*(IF((YEAR(D62)+7)&lt;YEAR(E62),0,IF((YEAR(D62)+7)&gt;YEAR(E62),1,(12-MONTH(E62)+1)/12))))-((P62)*(IF((YEAR(D62)+7)&lt;YEAR(E62),0,IF((YEAR(D62)+7)&gt;YEAR(E62),1,(12-MONTH(E62)+1)/12))) + (R62)*(IF((YEAR(D62)+7)&lt;YEAR(E62),0,IF((YEAR(D62)+7)&gt;YEAR(E62),1,(12-MONTH(E62)+1)/12))))-(IF((((K62)*(IF(M62="",L62,IFERROR(IF(INDEX(Variablen!$I:$AT, MATCH(M62, Variablen!$A:$A, 0), MATCH((YEAR(D62)+7), Variablen!$I$3:$AT$3, 0))="",L62,INDEX(Variablen!$I:$AT, MATCH(M62, Variablen!$A:$A, 0), MATCH((YEAR(D62)+7), Variablen!$I$3:$AT$3, 0))),L62)))*(IF((YEAR(D62)+7)&lt;YEAR(E62),0,IF((YEAR(D62)+7)&gt;YEAR(E62),1,(12-MONTH(E62)+1)/12))) + (Q62)*(IF((YEAR(D62)+7)&lt;YEAR(E62),0,IF((YEAR(D62)+7)&gt;YEAR(E62),1,(12-MONTH(E62)+1)/12))))-((P62)*(IF((YEAR(D62)+7)&lt;YEAR(E62),0,IF((YEAR(D62)+7)&gt;YEAR(E62),1,(12-MONTH(E62)+1)/12))) + (R62)*(IF((YEAR(D62)+7)&lt;YEAR(E62),0,IF((YEAR(D62)+7)&gt;YEAR(E62),1,(12-MONTH(E62)+1)/12))))-(IF(OR(N62="",N62&lt;=0),0,(O62/N62)*(IF(OR(N62="",N62&lt;=0),0,IF((YEAR(D62)+7)&lt;YEAR(E62),0,IF((YEAR(D62)+7)&gt;=YEAR(E62)+N62,0,IF((YEAR(D62)+7)=YEAR(E62),(12-MONTH(E62)+1)/12,1))))))))&gt;0,(((K62)*(IF(M62="",L62,IFERROR(IF(INDEX(Variablen!$I:$AT, MATCH(M62, Variablen!$A:$A, 0), MATCH((YEAR(D62)+7), Variablen!$I$3:$AT$3, 0))="",L62,INDEX(Variablen!$I:$AT, MATCH(M62, Variablen!$A:$A, 0), MATCH((YEAR(D62)+7), Variablen!$I$3:$AT$3, 0))),L62)))*(IF((YEAR(D62)+7)&lt;YEAR(E62),0,IF((YEAR(D62)+7)&gt;YEAR(E62),1,(12-MONTH(E62)+1)/12))) + (Q62)*(IF((YEAR(D62)+7)&lt;YEAR(E62),0,IF((YEAR(D62)+7)&gt;YEAR(E62),1,(12-MONTH(E62)+1)/12))))-((P62)*(IF((YEAR(D62)+7)&lt;YEAR(E62),0,IF((YEAR(D62)+7)&gt;YEAR(E62),1,(12-MONTH(E62)+1)/12))) + (R62)*(IF((YEAR(D62)+7)&lt;YEAR(E62),0,IF((YEAR(D62)+7)&gt;YEAR(E62),1,(12-MONTH(E62)+1)/12))))-(IF(OR(N62="",N62&lt;=0),0,(O62/N62)*(IF(OR(N62="",N62&lt;=0),0,IF((YEAR(D62)+7)&lt;YEAR(E62),0,IF((YEAR(D62)+7)&gt;=YEAR(E62)+N62,0,IF((YEAR(D62)+7)=YEAR(E62),(12-MONTH(E62)+1)/12,1))))))))*TaxRate,0))-IF(7=0,O62,0))</f>
        <v/>
      </c>
      <c r="AA62" s="29">
        <f>IF(A62="","",((K62)*(IF(M62="",L62,IFERROR(IF(INDEX(Variablen!$I:$AT, MATCH(M62, Variablen!$A:$A, 0), MATCH((YEAR(D62)+8), Variablen!$I$3:$AT$3, 0))="",L62,INDEX(Variablen!$I:$AT, MATCH(M62, Variablen!$A:$A, 0), MATCH((YEAR(D62)+8), Variablen!$I$3:$AT$3, 0))),L62)))*(IF((YEAR(D62)+8)&lt;YEAR(E62),0,IF((YEAR(D62)+8)&gt;YEAR(E62),1,(12-MONTH(E62)+1)/12))) + (Q62)*(IF((YEAR(D62)+8)&lt;YEAR(E62),0,IF((YEAR(D62)+8)&gt;YEAR(E62),1,(12-MONTH(E62)+1)/12))))-((P62)*(IF((YEAR(D62)+8)&lt;YEAR(E62),0,IF((YEAR(D62)+8)&gt;YEAR(E62),1,(12-MONTH(E62)+1)/12))) + (R62)*(IF((YEAR(D62)+8)&lt;YEAR(E62),0,IF((YEAR(D62)+8)&gt;YEAR(E62),1,(12-MONTH(E62)+1)/12))))-(IF((((K62)*(IF(M62="",L62,IFERROR(IF(INDEX(Variablen!$I:$AT, MATCH(M62, Variablen!$A:$A, 0), MATCH((YEAR(D62)+8), Variablen!$I$3:$AT$3, 0))="",L62,INDEX(Variablen!$I:$AT, MATCH(M62, Variablen!$A:$A, 0), MATCH((YEAR(D62)+8), Variablen!$I$3:$AT$3, 0))),L62)))*(IF((YEAR(D62)+8)&lt;YEAR(E62),0,IF((YEAR(D62)+8)&gt;YEAR(E62),1,(12-MONTH(E62)+1)/12))) + (Q62)*(IF((YEAR(D62)+8)&lt;YEAR(E62),0,IF((YEAR(D62)+8)&gt;YEAR(E62),1,(12-MONTH(E62)+1)/12))))-((P62)*(IF((YEAR(D62)+8)&lt;YEAR(E62),0,IF((YEAR(D62)+8)&gt;YEAR(E62),1,(12-MONTH(E62)+1)/12))) + (R62)*(IF((YEAR(D62)+8)&lt;YEAR(E62),0,IF((YEAR(D62)+8)&gt;YEAR(E62),1,(12-MONTH(E62)+1)/12))))-(IF(OR(N62="",N62&lt;=0),0,(O62/N62)*(IF(OR(N62="",N62&lt;=0),0,IF((YEAR(D62)+8)&lt;YEAR(E62),0,IF((YEAR(D62)+8)&gt;=YEAR(E62)+N62,0,IF((YEAR(D62)+8)=YEAR(E62),(12-MONTH(E62)+1)/12,1))))))))&gt;0,(((K62)*(IF(M62="",L62,IFERROR(IF(INDEX(Variablen!$I:$AT, MATCH(M62, Variablen!$A:$A, 0), MATCH((YEAR(D62)+8), Variablen!$I$3:$AT$3, 0))="",L62,INDEX(Variablen!$I:$AT, MATCH(M62, Variablen!$A:$A, 0), MATCH((YEAR(D62)+8), Variablen!$I$3:$AT$3, 0))),L62)))*(IF((YEAR(D62)+8)&lt;YEAR(E62),0,IF((YEAR(D62)+8)&gt;YEAR(E62),1,(12-MONTH(E62)+1)/12))) + (Q62)*(IF((YEAR(D62)+8)&lt;YEAR(E62),0,IF((YEAR(D62)+8)&gt;YEAR(E62),1,(12-MONTH(E62)+1)/12))))-((P62)*(IF((YEAR(D62)+8)&lt;YEAR(E62),0,IF((YEAR(D62)+8)&gt;YEAR(E62),1,(12-MONTH(E62)+1)/12))) + (R62)*(IF((YEAR(D62)+8)&lt;YEAR(E62),0,IF((YEAR(D62)+8)&gt;YEAR(E62),1,(12-MONTH(E62)+1)/12))))-(IF(OR(N62="",N62&lt;=0),0,(O62/N62)*(IF(OR(N62="",N62&lt;=0),0,IF((YEAR(D62)+8)&lt;YEAR(E62),0,IF((YEAR(D62)+8)&gt;=YEAR(E62)+N62,0,IF((YEAR(D62)+8)=YEAR(E62),(12-MONTH(E62)+1)/12,1))))))))*TaxRate,0))-IF(8=0,O62,0))</f>
        <v/>
      </c>
      <c r="AB62" s="29">
        <f>IF(A62="","",((K62)*(IF(M62="",L62,IFERROR(IF(INDEX(Variablen!$I:$AT, MATCH(M62, Variablen!$A:$A, 0), MATCH((YEAR(D62)+9), Variablen!$I$3:$AT$3, 0))="",L62,INDEX(Variablen!$I:$AT, MATCH(M62, Variablen!$A:$A, 0), MATCH((YEAR(D62)+9), Variablen!$I$3:$AT$3, 0))),L62)))*(IF((YEAR(D62)+9)&lt;YEAR(E62),0,IF((YEAR(D62)+9)&gt;YEAR(E62),1,(12-MONTH(E62)+1)/12))) + (Q62)*(IF((YEAR(D62)+9)&lt;YEAR(E62),0,IF((YEAR(D62)+9)&gt;YEAR(E62),1,(12-MONTH(E62)+1)/12))))-((P62)*(IF((YEAR(D62)+9)&lt;YEAR(E62),0,IF((YEAR(D62)+9)&gt;YEAR(E62),1,(12-MONTH(E62)+1)/12))) + (R62)*(IF((YEAR(D62)+9)&lt;YEAR(E62),0,IF((YEAR(D62)+9)&gt;YEAR(E62),1,(12-MONTH(E62)+1)/12))))-(IF((((K62)*(IF(M62="",L62,IFERROR(IF(INDEX(Variablen!$I:$AT, MATCH(M62, Variablen!$A:$A, 0), MATCH((YEAR(D62)+9), Variablen!$I$3:$AT$3, 0))="",L62,INDEX(Variablen!$I:$AT, MATCH(M62, Variablen!$A:$A, 0), MATCH((YEAR(D62)+9), Variablen!$I$3:$AT$3, 0))),L62)))*(IF((YEAR(D62)+9)&lt;YEAR(E62),0,IF((YEAR(D62)+9)&gt;YEAR(E62),1,(12-MONTH(E62)+1)/12))) + (Q62)*(IF((YEAR(D62)+9)&lt;YEAR(E62),0,IF((YEAR(D62)+9)&gt;YEAR(E62),1,(12-MONTH(E62)+1)/12))))-((P62)*(IF((YEAR(D62)+9)&lt;YEAR(E62),0,IF((YEAR(D62)+9)&gt;YEAR(E62),1,(12-MONTH(E62)+1)/12))) + (R62)*(IF((YEAR(D62)+9)&lt;YEAR(E62),0,IF((YEAR(D62)+9)&gt;YEAR(E62),1,(12-MONTH(E62)+1)/12))))-(IF(OR(N62="",N62&lt;=0),0,(O62/N62)*(IF(OR(N62="",N62&lt;=0),0,IF((YEAR(D62)+9)&lt;YEAR(E62),0,IF((YEAR(D62)+9)&gt;=YEAR(E62)+N62,0,IF((YEAR(D62)+9)=YEAR(E62),(12-MONTH(E62)+1)/12,1))))))))&gt;0,(((K62)*(IF(M62="",L62,IFERROR(IF(INDEX(Variablen!$I:$AT, MATCH(M62, Variablen!$A:$A, 0), MATCH((YEAR(D62)+9), Variablen!$I$3:$AT$3, 0))="",L62,INDEX(Variablen!$I:$AT, MATCH(M62, Variablen!$A:$A, 0), MATCH((YEAR(D62)+9), Variablen!$I$3:$AT$3, 0))),L62)))*(IF((YEAR(D62)+9)&lt;YEAR(E62),0,IF((YEAR(D62)+9)&gt;YEAR(E62),1,(12-MONTH(E62)+1)/12))) + (Q62)*(IF((YEAR(D62)+9)&lt;YEAR(E62),0,IF((YEAR(D62)+9)&gt;YEAR(E62),1,(12-MONTH(E62)+1)/12))))-((P62)*(IF((YEAR(D62)+9)&lt;YEAR(E62),0,IF((YEAR(D62)+9)&gt;YEAR(E62),1,(12-MONTH(E62)+1)/12))) + (R62)*(IF((YEAR(D62)+9)&lt;YEAR(E62),0,IF((YEAR(D62)+9)&gt;YEAR(E62),1,(12-MONTH(E62)+1)/12))))-(IF(OR(N62="",N62&lt;=0),0,(O62/N62)*(IF(OR(N62="",N62&lt;=0),0,IF((YEAR(D62)+9)&lt;YEAR(E62),0,IF((YEAR(D62)+9)&gt;=YEAR(E62)+N62,0,IF((YEAR(D62)+9)=YEAR(E62),(12-MONTH(E62)+1)/12,1))))))))*TaxRate,0))-IF(9=0,O62,0))</f>
        <v/>
      </c>
      <c r="AC62" s="29">
        <f>IF(A62="","",((K62)*(IF(M62="",L62,IFERROR(IF(INDEX(Variablen!$I:$AT, MATCH(M62, Variablen!$A:$A, 0), MATCH((YEAR(D62)+10), Variablen!$I$3:$AT$3, 0))="",L62,INDEX(Variablen!$I:$AT, MATCH(M62, Variablen!$A:$A, 0), MATCH((YEAR(D62)+10), Variablen!$I$3:$AT$3, 0))),L62)))*(IF((YEAR(D62)+10)&lt;YEAR(E62),0,IF((YEAR(D62)+10)&gt;YEAR(E62),1,(12-MONTH(E62)+1)/12))) + (Q62)*(IF((YEAR(D62)+10)&lt;YEAR(E62),0,IF((YEAR(D62)+10)&gt;YEAR(E62),1,(12-MONTH(E62)+1)/12))))-((P62)*(IF((YEAR(D62)+10)&lt;YEAR(E62),0,IF((YEAR(D62)+10)&gt;YEAR(E62),1,(12-MONTH(E62)+1)/12))) + (R62)*(IF((YEAR(D62)+10)&lt;YEAR(E62),0,IF((YEAR(D62)+10)&gt;YEAR(E62),1,(12-MONTH(E62)+1)/12))))-(IF((((K62)*(IF(M62="",L62,IFERROR(IF(INDEX(Variablen!$I:$AT, MATCH(M62, Variablen!$A:$A, 0), MATCH((YEAR(D62)+10), Variablen!$I$3:$AT$3, 0))="",L62,INDEX(Variablen!$I:$AT, MATCH(M62, Variablen!$A:$A, 0), MATCH((YEAR(D62)+10), Variablen!$I$3:$AT$3, 0))),L62)))*(IF((YEAR(D62)+10)&lt;YEAR(E62),0,IF((YEAR(D62)+10)&gt;YEAR(E62),1,(12-MONTH(E62)+1)/12))) + (Q62)*(IF((YEAR(D62)+10)&lt;YEAR(E62),0,IF((YEAR(D62)+10)&gt;YEAR(E62),1,(12-MONTH(E62)+1)/12))))-((P62)*(IF((YEAR(D62)+10)&lt;YEAR(E62),0,IF((YEAR(D62)+10)&gt;YEAR(E62),1,(12-MONTH(E62)+1)/12))) + (R62)*(IF((YEAR(D62)+10)&lt;YEAR(E62),0,IF((YEAR(D62)+10)&gt;YEAR(E62),1,(12-MONTH(E62)+1)/12))))-(IF(OR(N62="",N62&lt;=0),0,(O62/N62)*(IF(OR(N62="",N62&lt;=0),0,IF((YEAR(D62)+10)&lt;YEAR(E62),0,IF((YEAR(D62)+10)&gt;=YEAR(E62)+N62,0,IF((YEAR(D62)+10)=YEAR(E62),(12-MONTH(E62)+1)/12,1))))))))&gt;0,(((K62)*(IF(M62="",L62,IFERROR(IF(INDEX(Variablen!$I:$AT, MATCH(M62, Variablen!$A:$A, 0), MATCH((YEAR(D62)+10), Variablen!$I$3:$AT$3, 0))="",L62,INDEX(Variablen!$I:$AT, MATCH(M62, Variablen!$A:$A, 0), MATCH((YEAR(D62)+10), Variablen!$I$3:$AT$3, 0))),L62)))*(IF((YEAR(D62)+10)&lt;YEAR(E62),0,IF((YEAR(D62)+10)&gt;YEAR(E62),1,(12-MONTH(E62)+1)/12))) + (Q62)*(IF((YEAR(D62)+10)&lt;YEAR(E62),0,IF((YEAR(D62)+10)&gt;YEAR(E62),1,(12-MONTH(E62)+1)/12))))-((P62)*(IF((YEAR(D62)+10)&lt;YEAR(E62),0,IF((YEAR(D62)+10)&gt;YEAR(E62),1,(12-MONTH(E62)+1)/12))) + (R62)*(IF((YEAR(D62)+10)&lt;YEAR(E62),0,IF((YEAR(D62)+10)&gt;YEAR(E62),1,(12-MONTH(E62)+1)/12))))-(IF(OR(N62="",N62&lt;=0),0,(O62/N62)*(IF(OR(N62="",N62&lt;=0),0,IF((YEAR(D62)+10)&lt;YEAR(E62),0,IF((YEAR(D62)+10)&gt;=YEAR(E62)+N62,0,IF((YEAR(D62)+10)=YEAR(E62),(12-MONTH(E62)+1)/12,1))))))))*TaxRate,0))-IF(10=0,O62,0))</f>
        <v/>
      </c>
      <c r="AD62" s="29">
        <f>IF(A62="","",((K62)*(IF(M62="",L62,IFERROR(IF(INDEX(Variablen!$I:$AT, MATCH(M62, Variablen!$A:$A, 0), MATCH((YEAR(D62)+11), Variablen!$I$3:$AT$3, 0))="",L62,INDEX(Variablen!$I:$AT, MATCH(M62, Variablen!$A:$A, 0), MATCH((YEAR(D62)+11), Variablen!$I$3:$AT$3, 0))),L62)))*(IF((YEAR(D62)+11)&lt;YEAR(E62),0,IF((YEAR(D62)+11)&gt;YEAR(E62),1,(12-MONTH(E62)+1)/12))) + (Q62)*(IF((YEAR(D62)+11)&lt;YEAR(E62),0,IF((YEAR(D62)+11)&gt;YEAR(E62),1,(12-MONTH(E62)+1)/12))))-((P62)*(IF((YEAR(D62)+11)&lt;YEAR(E62),0,IF((YEAR(D62)+11)&gt;YEAR(E62),1,(12-MONTH(E62)+1)/12))) + (R62)*(IF((YEAR(D62)+11)&lt;YEAR(E62),0,IF((YEAR(D62)+11)&gt;YEAR(E62),1,(12-MONTH(E62)+1)/12))))-(IF((((K62)*(IF(M62="",L62,IFERROR(IF(INDEX(Variablen!$I:$AT, MATCH(M62, Variablen!$A:$A, 0), MATCH((YEAR(D62)+11), Variablen!$I$3:$AT$3, 0))="",L62,INDEX(Variablen!$I:$AT, MATCH(M62, Variablen!$A:$A, 0), MATCH((YEAR(D62)+11), Variablen!$I$3:$AT$3, 0))),L62)))*(IF((YEAR(D62)+11)&lt;YEAR(E62),0,IF((YEAR(D62)+11)&gt;YEAR(E62),1,(12-MONTH(E62)+1)/12))) + (Q62)*(IF((YEAR(D62)+11)&lt;YEAR(E62),0,IF((YEAR(D62)+11)&gt;YEAR(E62),1,(12-MONTH(E62)+1)/12))))-((P62)*(IF((YEAR(D62)+11)&lt;YEAR(E62),0,IF((YEAR(D62)+11)&gt;YEAR(E62),1,(12-MONTH(E62)+1)/12))) + (R62)*(IF((YEAR(D62)+11)&lt;YEAR(E62),0,IF((YEAR(D62)+11)&gt;YEAR(E62),1,(12-MONTH(E62)+1)/12))))-(IF(OR(N62="",N62&lt;=0),0,(O62/N62)*(IF(OR(N62="",N62&lt;=0),0,IF((YEAR(D62)+11)&lt;YEAR(E62),0,IF((YEAR(D62)+11)&gt;=YEAR(E62)+N62,0,IF((YEAR(D62)+11)=YEAR(E62),(12-MONTH(E62)+1)/12,1))))))))&gt;0,(((K62)*(IF(M62="",L62,IFERROR(IF(INDEX(Variablen!$I:$AT, MATCH(M62, Variablen!$A:$A, 0), MATCH((YEAR(D62)+11), Variablen!$I$3:$AT$3, 0))="",L62,INDEX(Variablen!$I:$AT, MATCH(M62, Variablen!$A:$A, 0), MATCH((YEAR(D62)+11), Variablen!$I$3:$AT$3, 0))),L62)))*(IF((YEAR(D62)+11)&lt;YEAR(E62),0,IF((YEAR(D62)+11)&gt;YEAR(E62),1,(12-MONTH(E62)+1)/12))) + (Q62)*(IF((YEAR(D62)+11)&lt;YEAR(E62),0,IF((YEAR(D62)+11)&gt;YEAR(E62),1,(12-MONTH(E62)+1)/12))))-((P62)*(IF((YEAR(D62)+11)&lt;YEAR(E62),0,IF((YEAR(D62)+11)&gt;YEAR(E62),1,(12-MONTH(E62)+1)/12))) + (R62)*(IF((YEAR(D62)+11)&lt;YEAR(E62),0,IF((YEAR(D62)+11)&gt;YEAR(E62),1,(12-MONTH(E62)+1)/12))))-(IF(OR(N62="",N62&lt;=0),0,(O62/N62)*(IF(OR(N62="",N62&lt;=0),0,IF((YEAR(D62)+11)&lt;YEAR(E62),0,IF((YEAR(D62)+11)&gt;=YEAR(E62)+N62,0,IF((YEAR(D62)+11)=YEAR(E62),(12-MONTH(E62)+1)/12,1))))))))*TaxRate,0))-IF(11=0,O62,0))</f>
        <v/>
      </c>
      <c r="AE62" s="29">
        <f>IF(A62="","",((K62)*(IF(M62="",L62,IFERROR(IF(INDEX(Variablen!$I:$AT, MATCH(M62, Variablen!$A:$A, 0), MATCH((YEAR(D62)+12), Variablen!$I$3:$AT$3, 0))="",L62,INDEX(Variablen!$I:$AT, MATCH(M62, Variablen!$A:$A, 0), MATCH((YEAR(D62)+12), Variablen!$I$3:$AT$3, 0))),L62)))*(IF((YEAR(D62)+12)&lt;YEAR(E62),0,IF((YEAR(D62)+12)&gt;YEAR(E62),1,(12-MONTH(E62)+1)/12))) + (Q62)*(IF((YEAR(D62)+12)&lt;YEAR(E62),0,IF((YEAR(D62)+12)&gt;YEAR(E62),1,(12-MONTH(E62)+1)/12))))-((P62)*(IF((YEAR(D62)+12)&lt;YEAR(E62),0,IF((YEAR(D62)+12)&gt;YEAR(E62),1,(12-MONTH(E62)+1)/12))) + (R62)*(IF((YEAR(D62)+12)&lt;YEAR(E62),0,IF((YEAR(D62)+12)&gt;YEAR(E62),1,(12-MONTH(E62)+1)/12))))-(IF((((K62)*(IF(M62="",L62,IFERROR(IF(INDEX(Variablen!$I:$AT, MATCH(M62, Variablen!$A:$A, 0), MATCH((YEAR(D62)+12), Variablen!$I$3:$AT$3, 0))="",L62,INDEX(Variablen!$I:$AT, MATCH(M62, Variablen!$A:$A, 0), MATCH((YEAR(D62)+12), Variablen!$I$3:$AT$3, 0))),L62)))*(IF((YEAR(D62)+12)&lt;YEAR(E62),0,IF((YEAR(D62)+12)&gt;YEAR(E62),1,(12-MONTH(E62)+1)/12))) + (Q62)*(IF((YEAR(D62)+12)&lt;YEAR(E62),0,IF((YEAR(D62)+12)&gt;YEAR(E62),1,(12-MONTH(E62)+1)/12))))-((P62)*(IF((YEAR(D62)+12)&lt;YEAR(E62),0,IF((YEAR(D62)+12)&gt;YEAR(E62),1,(12-MONTH(E62)+1)/12))) + (R62)*(IF((YEAR(D62)+12)&lt;YEAR(E62),0,IF((YEAR(D62)+12)&gt;YEAR(E62),1,(12-MONTH(E62)+1)/12))))-(IF(OR(N62="",N62&lt;=0),0,(O62/N62)*(IF(OR(N62="",N62&lt;=0),0,IF((YEAR(D62)+12)&lt;YEAR(E62),0,IF((YEAR(D62)+12)&gt;=YEAR(E62)+N62,0,IF((YEAR(D62)+12)=YEAR(E62),(12-MONTH(E62)+1)/12,1))))))))&gt;0,(((K62)*(IF(M62="",L62,IFERROR(IF(INDEX(Variablen!$I:$AT, MATCH(M62, Variablen!$A:$A, 0), MATCH((YEAR(D62)+12), Variablen!$I$3:$AT$3, 0))="",L62,INDEX(Variablen!$I:$AT, MATCH(M62, Variablen!$A:$A, 0), MATCH((YEAR(D62)+12), Variablen!$I$3:$AT$3, 0))),L62)))*(IF((YEAR(D62)+12)&lt;YEAR(E62),0,IF((YEAR(D62)+12)&gt;YEAR(E62),1,(12-MONTH(E62)+1)/12))) + (Q62)*(IF((YEAR(D62)+12)&lt;YEAR(E62),0,IF((YEAR(D62)+12)&gt;YEAR(E62),1,(12-MONTH(E62)+1)/12))))-((P62)*(IF((YEAR(D62)+12)&lt;YEAR(E62),0,IF((YEAR(D62)+12)&gt;YEAR(E62),1,(12-MONTH(E62)+1)/12))) + (R62)*(IF((YEAR(D62)+12)&lt;YEAR(E62),0,IF((YEAR(D62)+12)&gt;YEAR(E62),1,(12-MONTH(E62)+1)/12))))-(IF(OR(N62="",N62&lt;=0),0,(O62/N62)*(IF(OR(N62="",N62&lt;=0),0,IF((YEAR(D62)+12)&lt;YEAR(E62),0,IF((YEAR(D62)+12)&gt;=YEAR(E62)+N62,0,IF((YEAR(D62)+12)=YEAR(E62),(12-MONTH(E62)+1)/12,1))))))))*TaxRate,0))-IF(12=0,O62,0))</f>
        <v/>
      </c>
      <c r="AF62" s="29">
        <f>IF(A62="","",((K62)*(IF(M62="",L62,IFERROR(IF(INDEX(Variablen!$I:$AT, MATCH(M62, Variablen!$A:$A, 0), MATCH((YEAR(D62)+13), Variablen!$I$3:$AT$3, 0))="",L62,INDEX(Variablen!$I:$AT, MATCH(M62, Variablen!$A:$A, 0), MATCH((YEAR(D62)+13), Variablen!$I$3:$AT$3, 0))),L62)))*(IF((YEAR(D62)+13)&lt;YEAR(E62),0,IF((YEAR(D62)+13)&gt;YEAR(E62),1,(12-MONTH(E62)+1)/12))) + (Q62)*(IF((YEAR(D62)+13)&lt;YEAR(E62),0,IF((YEAR(D62)+13)&gt;YEAR(E62),1,(12-MONTH(E62)+1)/12))))-((P62)*(IF((YEAR(D62)+13)&lt;YEAR(E62),0,IF((YEAR(D62)+13)&gt;YEAR(E62),1,(12-MONTH(E62)+1)/12))) + (R62)*(IF((YEAR(D62)+13)&lt;YEAR(E62),0,IF((YEAR(D62)+13)&gt;YEAR(E62),1,(12-MONTH(E62)+1)/12))))-(IF((((K62)*(IF(M62="",L62,IFERROR(IF(INDEX(Variablen!$I:$AT, MATCH(M62, Variablen!$A:$A, 0), MATCH((YEAR(D62)+13), Variablen!$I$3:$AT$3, 0))="",L62,INDEX(Variablen!$I:$AT, MATCH(M62, Variablen!$A:$A, 0), MATCH((YEAR(D62)+13), Variablen!$I$3:$AT$3, 0))),L62)))*(IF((YEAR(D62)+13)&lt;YEAR(E62),0,IF((YEAR(D62)+13)&gt;YEAR(E62),1,(12-MONTH(E62)+1)/12))) + (Q62)*(IF((YEAR(D62)+13)&lt;YEAR(E62),0,IF((YEAR(D62)+13)&gt;YEAR(E62),1,(12-MONTH(E62)+1)/12))))-((P62)*(IF((YEAR(D62)+13)&lt;YEAR(E62),0,IF((YEAR(D62)+13)&gt;YEAR(E62),1,(12-MONTH(E62)+1)/12))) + (R62)*(IF((YEAR(D62)+13)&lt;YEAR(E62),0,IF((YEAR(D62)+13)&gt;YEAR(E62),1,(12-MONTH(E62)+1)/12))))-(IF(OR(N62="",N62&lt;=0),0,(O62/N62)*(IF(OR(N62="",N62&lt;=0),0,IF((YEAR(D62)+13)&lt;YEAR(E62),0,IF((YEAR(D62)+13)&gt;=YEAR(E62)+N62,0,IF((YEAR(D62)+13)=YEAR(E62),(12-MONTH(E62)+1)/12,1))))))))&gt;0,(((K62)*(IF(M62="",L62,IFERROR(IF(INDEX(Variablen!$I:$AT, MATCH(M62, Variablen!$A:$A, 0), MATCH((YEAR(D62)+13), Variablen!$I$3:$AT$3, 0))="",L62,INDEX(Variablen!$I:$AT, MATCH(M62, Variablen!$A:$A, 0), MATCH((YEAR(D62)+13), Variablen!$I$3:$AT$3, 0))),L62)))*(IF((YEAR(D62)+13)&lt;YEAR(E62),0,IF((YEAR(D62)+13)&gt;YEAR(E62),1,(12-MONTH(E62)+1)/12))) + (Q62)*(IF((YEAR(D62)+13)&lt;YEAR(E62),0,IF((YEAR(D62)+13)&gt;YEAR(E62),1,(12-MONTH(E62)+1)/12))))-((P62)*(IF((YEAR(D62)+13)&lt;YEAR(E62),0,IF((YEAR(D62)+13)&gt;YEAR(E62),1,(12-MONTH(E62)+1)/12))) + (R62)*(IF((YEAR(D62)+13)&lt;YEAR(E62),0,IF((YEAR(D62)+13)&gt;YEAR(E62),1,(12-MONTH(E62)+1)/12))))-(IF(OR(N62="",N62&lt;=0),0,(O62/N62)*(IF(OR(N62="",N62&lt;=0),0,IF((YEAR(D62)+13)&lt;YEAR(E62),0,IF((YEAR(D62)+13)&gt;=YEAR(E62)+N62,0,IF((YEAR(D62)+13)=YEAR(E62),(12-MONTH(E62)+1)/12,1))))))))*TaxRate,0))-IF(13=0,O62,0))</f>
        <v/>
      </c>
      <c r="AG62" s="29">
        <f>IF(A62="","",((K62)*(IF(M62="",L62,IFERROR(IF(INDEX(Variablen!$I:$AT, MATCH(M62, Variablen!$A:$A, 0), MATCH((YEAR(D62)+14), Variablen!$I$3:$AT$3, 0))="",L62,INDEX(Variablen!$I:$AT, MATCH(M62, Variablen!$A:$A, 0), MATCH((YEAR(D62)+14), Variablen!$I$3:$AT$3, 0))),L62)))*(IF((YEAR(D62)+14)&lt;YEAR(E62),0,IF((YEAR(D62)+14)&gt;YEAR(E62),1,(12-MONTH(E62)+1)/12))) + (Q62)*(IF((YEAR(D62)+14)&lt;YEAR(E62),0,IF((YEAR(D62)+14)&gt;YEAR(E62),1,(12-MONTH(E62)+1)/12))))-((P62)*(IF((YEAR(D62)+14)&lt;YEAR(E62),0,IF((YEAR(D62)+14)&gt;YEAR(E62),1,(12-MONTH(E62)+1)/12))) + (R62)*(IF((YEAR(D62)+14)&lt;YEAR(E62),0,IF((YEAR(D62)+14)&gt;YEAR(E62),1,(12-MONTH(E62)+1)/12))))-(IF((((K62)*(IF(M62="",L62,IFERROR(IF(INDEX(Variablen!$I:$AT, MATCH(M62, Variablen!$A:$A, 0), MATCH((YEAR(D62)+14), Variablen!$I$3:$AT$3, 0))="",L62,INDEX(Variablen!$I:$AT, MATCH(M62, Variablen!$A:$A, 0), MATCH((YEAR(D62)+14), Variablen!$I$3:$AT$3, 0))),L62)))*(IF((YEAR(D62)+14)&lt;YEAR(E62),0,IF((YEAR(D62)+14)&gt;YEAR(E62),1,(12-MONTH(E62)+1)/12))) + (Q62)*(IF((YEAR(D62)+14)&lt;YEAR(E62),0,IF((YEAR(D62)+14)&gt;YEAR(E62),1,(12-MONTH(E62)+1)/12))))-((P62)*(IF((YEAR(D62)+14)&lt;YEAR(E62),0,IF((YEAR(D62)+14)&gt;YEAR(E62),1,(12-MONTH(E62)+1)/12))) + (R62)*(IF((YEAR(D62)+14)&lt;YEAR(E62),0,IF((YEAR(D62)+14)&gt;YEAR(E62),1,(12-MONTH(E62)+1)/12))))-(IF(OR(N62="",N62&lt;=0),0,(O62/N62)*(IF(OR(N62="",N62&lt;=0),0,IF((YEAR(D62)+14)&lt;YEAR(E62),0,IF((YEAR(D62)+14)&gt;=YEAR(E62)+N62,0,IF((YEAR(D62)+14)=YEAR(E62),(12-MONTH(E62)+1)/12,1))))))))&gt;0,(((K62)*(IF(M62="",L62,IFERROR(IF(INDEX(Variablen!$I:$AT, MATCH(M62, Variablen!$A:$A, 0), MATCH((YEAR(D62)+14), Variablen!$I$3:$AT$3, 0))="",L62,INDEX(Variablen!$I:$AT, MATCH(M62, Variablen!$A:$A, 0), MATCH((YEAR(D62)+14), Variablen!$I$3:$AT$3, 0))),L62)))*(IF((YEAR(D62)+14)&lt;YEAR(E62),0,IF((YEAR(D62)+14)&gt;YEAR(E62),1,(12-MONTH(E62)+1)/12))) + (Q62)*(IF((YEAR(D62)+14)&lt;YEAR(E62),0,IF((YEAR(D62)+14)&gt;YEAR(E62),1,(12-MONTH(E62)+1)/12))))-((P62)*(IF((YEAR(D62)+14)&lt;YEAR(E62),0,IF((YEAR(D62)+14)&gt;YEAR(E62),1,(12-MONTH(E62)+1)/12))) + (R62)*(IF((YEAR(D62)+14)&lt;YEAR(E62),0,IF((YEAR(D62)+14)&gt;YEAR(E62),1,(12-MONTH(E62)+1)/12))))-(IF(OR(N62="",N62&lt;=0),0,(O62/N62)*(IF(OR(N62="",N62&lt;=0),0,IF((YEAR(D62)+14)&lt;YEAR(E62),0,IF((YEAR(D62)+14)&gt;=YEAR(E62)+N62,0,IF((YEAR(D62)+14)=YEAR(E62),(12-MONTH(E62)+1)/12,1))))))))*TaxRate,0))-IF(14=0,O62,0))</f>
        <v/>
      </c>
      <c r="AH62" s="29">
        <f>IF(A62="","",((K62)*(IF(M62="",L62,IFERROR(IF(INDEX(Variablen!$I:$AT, MATCH(M62, Variablen!$A:$A, 0), MATCH((YEAR(D62)+15), Variablen!$I$3:$AT$3, 0))="",L62,INDEX(Variablen!$I:$AT, MATCH(M62, Variablen!$A:$A, 0), MATCH((YEAR(D62)+15), Variablen!$I$3:$AT$3, 0))),L62)))*(IF((YEAR(D62)+15)&lt;YEAR(E62),0,IF((YEAR(D62)+15)&gt;YEAR(E62),1,(12-MONTH(E62)+1)/12))) + (Q62)*(IF((YEAR(D62)+15)&lt;YEAR(E62),0,IF((YEAR(D62)+15)&gt;YEAR(E62),1,(12-MONTH(E62)+1)/12))))-((P62)*(IF((YEAR(D62)+15)&lt;YEAR(E62),0,IF((YEAR(D62)+15)&gt;YEAR(E62),1,(12-MONTH(E62)+1)/12))) + (R62)*(IF((YEAR(D62)+15)&lt;YEAR(E62),0,IF((YEAR(D62)+15)&gt;YEAR(E62),1,(12-MONTH(E62)+1)/12))))-(IF((((K62)*(IF(M62="",L62,IFERROR(IF(INDEX(Variablen!$I:$AT, MATCH(M62, Variablen!$A:$A, 0), MATCH((YEAR(D62)+15), Variablen!$I$3:$AT$3, 0))="",L62,INDEX(Variablen!$I:$AT, MATCH(M62, Variablen!$A:$A, 0), MATCH((YEAR(D62)+15), Variablen!$I$3:$AT$3, 0))),L62)))*(IF((YEAR(D62)+15)&lt;YEAR(E62),0,IF((YEAR(D62)+15)&gt;YEAR(E62),1,(12-MONTH(E62)+1)/12))) + (Q62)*(IF((YEAR(D62)+15)&lt;YEAR(E62),0,IF((YEAR(D62)+15)&gt;YEAR(E62),1,(12-MONTH(E62)+1)/12))))-((P62)*(IF((YEAR(D62)+15)&lt;YEAR(E62),0,IF((YEAR(D62)+15)&gt;YEAR(E62),1,(12-MONTH(E62)+1)/12))) + (R62)*(IF((YEAR(D62)+15)&lt;YEAR(E62),0,IF((YEAR(D62)+15)&gt;YEAR(E62),1,(12-MONTH(E62)+1)/12))))-(IF(OR(N62="",N62&lt;=0),0,(O62/N62)*(IF(OR(N62="",N62&lt;=0),0,IF((YEAR(D62)+15)&lt;YEAR(E62),0,IF((YEAR(D62)+15)&gt;=YEAR(E62)+N62,0,IF((YEAR(D62)+15)=YEAR(E62),(12-MONTH(E62)+1)/12,1))))))))&gt;0,(((K62)*(IF(M62="",L62,IFERROR(IF(INDEX(Variablen!$I:$AT, MATCH(M62, Variablen!$A:$A, 0), MATCH((YEAR(D62)+15), Variablen!$I$3:$AT$3, 0))="",L62,INDEX(Variablen!$I:$AT, MATCH(M62, Variablen!$A:$A, 0), MATCH((YEAR(D62)+15), Variablen!$I$3:$AT$3, 0))),L62)))*(IF((YEAR(D62)+15)&lt;YEAR(E62),0,IF((YEAR(D62)+15)&gt;YEAR(E62),1,(12-MONTH(E62)+1)/12))) + (Q62)*(IF((YEAR(D62)+15)&lt;YEAR(E62),0,IF((YEAR(D62)+15)&gt;YEAR(E62),1,(12-MONTH(E62)+1)/12))))-((P62)*(IF((YEAR(D62)+15)&lt;YEAR(E62),0,IF((YEAR(D62)+15)&gt;YEAR(E62),1,(12-MONTH(E62)+1)/12))) + (R62)*(IF((YEAR(D62)+15)&lt;YEAR(E62),0,IF((YEAR(D62)+15)&gt;YEAR(E62),1,(12-MONTH(E62)+1)/12))))-(IF(OR(N62="",N62&lt;=0),0,(O62/N62)*(IF(OR(N62="",N62&lt;=0),0,IF((YEAR(D62)+15)&lt;YEAR(E62),0,IF((YEAR(D62)+15)&gt;=YEAR(E62)+N62,0,IF((YEAR(D62)+15)=YEAR(E62),(12-MONTH(E62)+1)/12,1))))))))*TaxRate,0))-IF(15=0,O62,0))</f>
        <v/>
      </c>
      <c r="AI62" s="29">
        <f>IF(A62="","",((K62)*(IF(M62="",L62,IFERROR(IF(INDEX(Variablen!$I:$AT, MATCH(M62, Variablen!$A:$A, 0), MATCH((YEAR(D62)+16), Variablen!$I$3:$AT$3, 0))="",L62,INDEX(Variablen!$I:$AT, MATCH(M62, Variablen!$A:$A, 0), MATCH((YEAR(D62)+16), Variablen!$I$3:$AT$3, 0))),L62)))*(IF((YEAR(D62)+16)&lt;YEAR(E62),0,IF((YEAR(D62)+16)&gt;YEAR(E62),1,(12-MONTH(E62)+1)/12))) + (Q62)*(IF((YEAR(D62)+16)&lt;YEAR(E62),0,IF((YEAR(D62)+16)&gt;YEAR(E62),1,(12-MONTH(E62)+1)/12))))-((P62)*(IF((YEAR(D62)+16)&lt;YEAR(E62),0,IF((YEAR(D62)+16)&gt;YEAR(E62),1,(12-MONTH(E62)+1)/12))) + (R62)*(IF((YEAR(D62)+16)&lt;YEAR(E62),0,IF((YEAR(D62)+16)&gt;YEAR(E62),1,(12-MONTH(E62)+1)/12))))-(IF((((K62)*(IF(M62="",L62,IFERROR(IF(INDEX(Variablen!$I:$AT, MATCH(M62, Variablen!$A:$A, 0), MATCH((YEAR(D62)+16), Variablen!$I$3:$AT$3, 0))="",L62,INDEX(Variablen!$I:$AT, MATCH(M62, Variablen!$A:$A, 0), MATCH((YEAR(D62)+16), Variablen!$I$3:$AT$3, 0))),L62)))*(IF((YEAR(D62)+16)&lt;YEAR(E62),0,IF((YEAR(D62)+16)&gt;YEAR(E62),1,(12-MONTH(E62)+1)/12))) + (Q62)*(IF((YEAR(D62)+16)&lt;YEAR(E62),0,IF((YEAR(D62)+16)&gt;YEAR(E62),1,(12-MONTH(E62)+1)/12))))-((P62)*(IF((YEAR(D62)+16)&lt;YEAR(E62),0,IF((YEAR(D62)+16)&gt;YEAR(E62),1,(12-MONTH(E62)+1)/12))) + (R62)*(IF((YEAR(D62)+16)&lt;YEAR(E62),0,IF((YEAR(D62)+16)&gt;YEAR(E62),1,(12-MONTH(E62)+1)/12))))-(IF(OR(N62="",N62&lt;=0),0,(O62/N62)*(IF(OR(N62="",N62&lt;=0),0,IF((YEAR(D62)+16)&lt;YEAR(E62),0,IF((YEAR(D62)+16)&gt;=YEAR(E62)+N62,0,IF((YEAR(D62)+16)=YEAR(E62),(12-MONTH(E62)+1)/12,1))))))))&gt;0,(((K62)*(IF(M62="",L62,IFERROR(IF(INDEX(Variablen!$I:$AT, MATCH(M62, Variablen!$A:$A, 0), MATCH((YEAR(D62)+16), Variablen!$I$3:$AT$3, 0))="",L62,INDEX(Variablen!$I:$AT, MATCH(M62, Variablen!$A:$A, 0), MATCH((YEAR(D62)+16), Variablen!$I$3:$AT$3, 0))),L62)))*(IF((YEAR(D62)+16)&lt;YEAR(E62),0,IF((YEAR(D62)+16)&gt;YEAR(E62),1,(12-MONTH(E62)+1)/12))) + (Q62)*(IF((YEAR(D62)+16)&lt;YEAR(E62),0,IF((YEAR(D62)+16)&gt;YEAR(E62),1,(12-MONTH(E62)+1)/12))))-((P62)*(IF((YEAR(D62)+16)&lt;YEAR(E62),0,IF((YEAR(D62)+16)&gt;YEAR(E62),1,(12-MONTH(E62)+1)/12))) + (R62)*(IF((YEAR(D62)+16)&lt;YEAR(E62),0,IF((YEAR(D62)+16)&gt;YEAR(E62),1,(12-MONTH(E62)+1)/12))))-(IF(OR(N62="",N62&lt;=0),0,(O62/N62)*(IF(OR(N62="",N62&lt;=0),0,IF((YEAR(D62)+16)&lt;YEAR(E62),0,IF((YEAR(D62)+16)&gt;=YEAR(E62)+N62,0,IF((YEAR(D62)+16)=YEAR(E62),(12-MONTH(E62)+1)/12,1))))))))*TaxRate,0))-IF(16=0,O62,0))</f>
        <v/>
      </c>
      <c r="AJ62" s="29">
        <f>IF(A62="","",((K62)*(IF(M62="",L62,IFERROR(IF(INDEX(Variablen!$I:$AT, MATCH(M62, Variablen!$A:$A, 0), MATCH((YEAR(D62)+17), Variablen!$I$3:$AT$3, 0))="",L62,INDEX(Variablen!$I:$AT, MATCH(M62, Variablen!$A:$A, 0), MATCH((YEAR(D62)+17), Variablen!$I$3:$AT$3, 0))),L62)))*(IF((YEAR(D62)+17)&lt;YEAR(E62),0,IF((YEAR(D62)+17)&gt;YEAR(E62),1,(12-MONTH(E62)+1)/12))) + (Q62)*(IF((YEAR(D62)+17)&lt;YEAR(E62),0,IF((YEAR(D62)+17)&gt;YEAR(E62),1,(12-MONTH(E62)+1)/12))))-((P62)*(IF((YEAR(D62)+17)&lt;YEAR(E62),0,IF((YEAR(D62)+17)&gt;YEAR(E62),1,(12-MONTH(E62)+1)/12))) + (R62)*(IF((YEAR(D62)+17)&lt;YEAR(E62),0,IF((YEAR(D62)+17)&gt;YEAR(E62),1,(12-MONTH(E62)+1)/12))))-(IF((((K62)*(IF(M62="",L62,IFERROR(IF(INDEX(Variablen!$I:$AT, MATCH(M62, Variablen!$A:$A, 0), MATCH((YEAR(D62)+17), Variablen!$I$3:$AT$3, 0))="",L62,INDEX(Variablen!$I:$AT, MATCH(M62, Variablen!$A:$A, 0), MATCH((YEAR(D62)+17), Variablen!$I$3:$AT$3, 0))),L62)))*(IF((YEAR(D62)+17)&lt;YEAR(E62),0,IF((YEAR(D62)+17)&gt;YEAR(E62),1,(12-MONTH(E62)+1)/12))) + (Q62)*(IF((YEAR(D62)+17)&lt;YEAR(E62),0,IF((YEAR(D62)+17)&gt;YEAR(E62),1,(12-MONTH(E62)+1)/12))))-((P62)*(IF((YEAR(D62)+17)&lt;YEAR(E62),0,IF((YEAR(D62)+17)&gt;YEAR(E62),1,(12-MONTH(E62)+1)/12))) + (R62)*(IF((YEAR(D62)+17)&lt;YEAR(E62),0,IF((YEAR(D62)+17)&gt;YEAR(E62),1,(12-MONTH(E62)+1)/12))))-(IF(OR(N62="",N62&lt;=0),0,(O62/N62)*(IF(OR(N62="",N62&lt;=0),0,IF((YEAR(D62)+17)&lt;YEAR(E62),0,IF((YEAR(D62)+17)&gt;=YEAR(E62)+N62,0,IF((YEAR(D62)+17)=YEAR(E62),(12-MONTH(E62)+1)/12,1))))))))&gt;0,(((K62)*(IF(M62="",L62,IFERROR(IF(INDEX(Variablen!$I:$AT, MATCH(M62, Variablen!$A:$A, 0), MATCH((YEAR(D62)+17), Variablen!$I$3:$AT$3, 0))="",L62,INDEX(Variablen!$I:$AT, MATCH(M62, Variablen!$A:$A, 0), MATCH((YEAR(D62)+17), Variablen!$I$3:$AT$3, 0))),L62)))*(IF((YEAR(D62)+17)&lt;YEAR(E62),0,IF((YEAR(D62)+17)&gt;YEAR(E62),1,(12-MONTH(E62)+1)/12))) + (Q62)*(IF((YEAR(D62)+17)&lt;YEAR(E62),0,IF((YEAR(D62)+17)&gt;YEAR(E62),1,(12-MONTH(E62)+1)/12))))-((P62)*(IF((YEAR(D62)+17)&lt;YEAR(E62),0,IF((YEAR(D62)+17)&gt;YEAR(E62),1,(12-MONTH(E62)+1)/12))) + (R62)*(IF((YEAR(D62)+17)&lt;YEAR(E62),0,IF((YEAR(D62)+17)&gt;YEAR(E62),1,(12-MONTH(E62)+1)/12))))-(IF(OR(N62="",N62&lt;=0),0,(O62/N62)*(IF(OR(N62="",N62&lt;=0),0,IF((YEAR(D62)+17)&lt;YEAR(E62),0,IF((YEAR(D62)+17)&gt;=YEAR(E62)+N62,0,IF((YEAR(D62)+17)=YEAR(E62),(12-MONTH(E62)+1)/12,1))))))))*TaxRate,0))-IF(17=0,O62,0))</f>
        <v/>
      </c>
      <c r="AK62" s="29">
        <f>IF(A62="","",((K62)*(IF(M62="",L62,IFERROR(IF(INDEX(Variablen!$I:$AT, MATCH(M62, Variablen!$A:$A, 0), MATCH((YEAR(D62)+18), Variablen!$I$3:$AT$3, 0))="",L62,INDEX(Variablen!$I:$AT, MATCH(M62, Variablen!$A:$A, 0), MATCH((YEAR(D62)+18), Variablen!$I$3:$AT$3, 0))),L62)))*(IF((YEAR(D62)+18)&lt;YEAR(E62),0,IF((YEAR(D62)+18)&gt;YEAR(E62),1,(12-MONTH(E62)+1)/12))) + (Q62)*(IF((YEAR(D62)+18)&lt;YEAR(E62),0,IF((YEAR(D62)+18)&gt;YEAR(E62),1,(12-MONTH(E62)+1)/12))))-((P62)*(IF((YEAR(D62)+18)&lt;YEAR(E62),0,IF((YEAR(D62)+18)&gt;YEAR(E62),1,(12-MONTH(E62)+1)/12))) + (R62)*(IF((YEAR(D62)+18)&lt;YEAR(E62),0,IF((YEAR(D62)+18)&gt;YEAR(E62),1,(12-MONTH(E62)+1)/12))))-(IF((((K62)*(IF(M62="",L62,IFERROR(IF(INDEX(Variablen!$I:$AT, MATCH(M62, Variablen!$A:$A, 0), MATCH((YEAR(D62)+18), Variablen!$I$3:$AT$3, 0))="",L62,INDEX(Variablen!$I:$AT, MATCH(M62, Variablen!$A:$A, 0), MATCH((YEAR(D62)+18), Variablen!$I$3:$AT$3, 0))),L62)))*(IF((YEAR(D62)+18)&lt;YEAR(E62),0,IF((YEAR(D62)+18)&gt;YEAR(E62),1,(12-MONTH(E62)+1)/12))) + (Q62)*(IF((YEAR(D62)+18)&lt;YEAR(E62),0,IF((YEAR(D62)+18)&gt;YEAR(E62),1,(12-MONTH(E62)+1)/12))))-((P62)*(IF((YEAR(D62)+18)&lt;YEAR(E62),0,IF((YEAR(D62)+18)&gt;YEAR(E62),1,(12-MONTH(E62)+1)/12))) + (R62)*(IF((YEAR(D62)+18)&lt;YEAR(E62),0,IF((YEAR(D62)+18)&gt;YEAR(E62),1,(12-MONTH(E62)+1)/12))))-(IF(OR(N62="",N62&lt;=0),0,(O62/N62)*(IF(OR(N62="",N62&lt;=0),0,IF((YEAR(D62)+18)&lt;YEAR(E62),0,IF((YEAR(D62)+18)&gt;=YEAR(E62)+N62,0,IF((YEAR(D62)+18)=YEAR(E62),(12-MONTH(E62)+1)/12,1))))))))&gt;0,(((K62)*(IF(M62="",L62,IFERROR(IF(INDEX(Variablen!$I:$AT, MATCH(M62, Variablen!$A:$A, 0), MATCH((YEAR(D62)+18), Variablen!$I$3:$AT$3, 0))="",L62,INDEX(Variablen!$I:$AT, MATCH(M62, Variablen!$A:$A, 0), MATCH((YEAR(D62)+18), Variablen!$I$3:$AT$3, 0))),L62)))*(IF((YEAR(D62)+18)&lt;YEAR(E62),0,IF((YEAR(D62)+18)&gt;YEAR(E62),1,(12-MONTH(E62)+1)/12))) + (Q62)*(IF((YEAR(D62)+18)&lt;YEAR(E62),0,IF((YEAR(D62)+18)&gt;YEAR(E62),1,(12-MONTH(E62)+1)/12))))-((P62)*(IF((YEAR(D62)+18)&lt;YEAR(E62),0,IF((YEAR(D62)+18)&gt;YEAR(E62),1,(12-MONTH(E62)+1)/12))) + (R62)*(IF((YEAR(D62)+18)&lt;YEAR(E62),0,IF((YEAR(D62)+18)&gt;YEAR(E62),1,(12-MONTH(E62)+1)/12))))-(IF(OR(N62="",N62&lt;=0),0,(O62/N62)*(IF(OR(N62="",N62&lt;=0),0,IF((YEAR(D62)+18)&lt;YEAR(E62),0,IF((YEAR(D62)+18)&gt;=YEAR(E62)+N62,0,IF((YEAR(D62)+18)=YEAR(E62),(12-MONTH(E62)+1)/12,1))))))))*TaxRate,0))-IF(18=0,O62,0))</f>
        <v/>
      </c>
      <c r="AL62" s="29">
        <f>IF(A62="","",((K62)*(IF(M62="",L62,IFERROR(IF(INDEX(Variablen!$I:$AT, MATCH(M62, Variablen!$A:$A, 0), MATCH((YEAR(D62)+19), Variablen!$I$3:$AT$3, 0))="",L62,INDEX(Variablen!$I:$AT, MATCH(M62, Variablen!$A:$A, 0), MATCH((YEAR(D62)+19), Variablen!$I$3:$AT$3, 0))),L62)))*(IF((YEAR(D62)+19)&lt;YEAR(E62),0,IF((YEAR(D62)+19)&gt;YEAR(E62),1,(12-MONTH(E62)+1)/12))) + (Q62)*(IF((YEAR(D62)+19)&lt;YEAR(E62),0,IF((YEAR(D62)+19)&gt;YEAR(E62),1,(12-MONTH(E62)+1)/12))))-((P62)*(IF((YEAR(D62)+19)&lt;YEAR(E62),0,IF((YEAR(D62)+19)&gt;YEAR(E62),1,(12-MONTH(E62)+1)/12))) + (R62)*(IF((YEAR(D62)+19)&lt;YEAR(E62),0,IF((YEAR(D62)+19)&gt;YEAR(E62),1,(12-MONTH(E62)+1)/12))))-(IF((((K62)*(IF(M62="",L62,IFERROR(IF(INDEX(Variablen!$I:$AT, MATCH(M62, Variablen!$A:$A, 0), MATCH((YEAR(D62)+19), Variablen!$I$3:$AT$3, 0))="",L62,INDEX(Variablen!$I:$AT, MATCH(M62, Variablen!$A:$A, 0), MATCH((YEAR(D62)+19), Variablen!$I$3:$AT$3, 0))),L62)))*(IF((YEAR(D62)+19)&lt;YEAR(E62),0,IF((YEAR(D62)+19)&gt;YEAR(E62),1,(12-MONTH(E62)+1)/12))) + (Q62)*(IF((YEAR(D62)+19)&lt;YEAR(E62),0,IF((YEAR(D62)+19)&gt;YEAR(E62),1,(12-MONTH(E62)+1)/12))))-((P62)*(IF((YEAR(D62)+19)&lt;YEAR(E62),0,IF((YEAR(D62)+19)&gt;YEAR(E62),1,(12-MONTH(E62)+1)/12))) + (R62)*(IF((YEAR(D62)+19)&lt;YEAR(E62),0,IF((YEAR(D62)+19)&gt;YEAR(E62),1,(12-MONTH(E62)+1)/12))))-(IF(OR(N62="",N62&lt;=0),0,(O62/N62)*(IF(OR(N62="",N62&lt;=0),0,IF((YEAR(D62)+19)&lt;YEAR(E62),0,IF((YEAR(D62)+19)&gt;=YEAR(E62)+N62,0,IF((YEAR(D62)+19)=YEAR(E62),(12-MONTH(E62)+1)/12,1))))))))&gt;0,(((K62)*(IF(M62="",L62,IFERROR(IF(INDEX(Variablen!$I:$AT, MATCH(M62, Variablen!$A:$A, 0), MATCH((YEAR(D62)+19), Variablen!$I$3:$AT$3, 0))="",L62,INDEX(Variablen!$I:$AT, MATCH(M62, Variablen!$A:$A, 0), MATCH((YEAR(D62)+19), Variablen!$I$3:$AT$3, 0))),L62)))*(IF((YEAR(D62)+19)&lt;YEAR(E62),0,IF((YEAR(D62)+19)&gt;YEAR(E62),1,(12-MONTH(E62)+1)/12))) + (Q62)*(IF((YEAR(D62)+19)&lt;YEAR(E62),0,IF((YEAR(D62)+19)&gt;YEAR(E62),1,(12-MONTH(E62)+1)/12))))-((P62)*(IF((YEAR(D62)+19)&lt;YEAR(E62),0,IF((YEAR(D62)+19)&gt;YEAR(E62),1,(12-MONTH(E62)+1)/12))) + (R62)*(IF((YEAR(D62)+19)&lt;YEAR(E62),0,IF((YEAR(D62)+19)&gt;YEAR(E62),1,(12-MONTH(E62)+1)/12))))-(IF(OR(N62="",N62&lt;=0),0,(O62/N62)*(IF(OR(N62="",N62&lt;=0),0,IF((YEAR(D62)+19)&lt;YEAR(E62),0,IF((YEAR(D62)+19)&gt;=YEAR(E62)+N62,0,IF((YEAR(D62)+19)=YEAR(E62),(12-MONTH(E62)+1)/12,1))))))))*TaxRate,0))-IF(19=0,O62,0))</f>
        <v/>
      </c>
      <c r="AM62" s="29">
        <f>IF(A62="","",((K62)*(IF(M62="",L62,IFERROR(IF(INDEX(Variablen!$I:$AT, MATCH(M62, Variablen!$A:$A, 0), MATCH((YEAR(D62)+20), Variablen!$I$3:$AT$3, 0))="",L62,INDEX(Variablen!$I:$AT, MATCH(M62, Variablen!$A:$A, 0), MATCH((YEAR(D62)+20), Variablen!$I$3:$AT$3, 0))),L62)))*(IF((YEAR(D62)+20)&lt;YEAR(E62),0,IF((YEAR(D62)+20)&gt;YEAR(E62),1,(12-MONTH(E62)+1)/12))) + (Q62)*(IF((YEAR(D62)+20)&lt;YEAR(E62),0,IF((YEAR(D62)+20)&gt;YEAR(E62),1,(12-MONTH(E62)+1)/12))))-((P62)*(IF((YEAR(D62)+20)&lt;YEAR(E62),0,IF((YEAR(D62)+20)&gt;YEAR(E62),1,(12-MONTH(E62)+1)/12))) + (R62)*(IF((YEAR(D62)+20)&lt;YEAR(E62),0,IF((YEAR(D62)+20)&gt;YEAR(E62),1,(12-MONTH(E62)+1)/12))))-(IF((((K62)*(IF(M62="",L62,IFERROR(IF(INDEX(Variablen!$I:$AT, MATCH(M62, Variablen!$A:$A, 0), MATCH((YEAR(D62)+20), Variablen!$I$3:$AT$3, 0))="",L62,INDEX(Variablen!$I:$AT, MATCH(M62, Variablen!$A:$A, 0), MATCH((YEAR(D62)+20), Variablen!$I$3:$AT$3, 0))),L62)))*(IF((YEAR(D62)+20)&lt;YEAR(E62),0,IF((YEAR(D62)+20)&gt;YEAR(E62),1,(12-MONTH(E62)+1)/12))) + (Q62)*(IF((YEAR(D62)+20)&lt;YEAR(E62),0,IF((YEAR(D62)+20)&gt;YEAR(E62),1,(12-MONTH(E62)+1)/12))))-((P62)*(IF((YEAR(D62)+20)&lt;YEAR(E62),0,IF((YEAR(D62)+20)&gt;YEAR(E62),1,(12-MONTH(E62)+1)/12))) + (R62)*(IF((YEAR(D62)+20)&lt;YEAR(E62),0,IF((YEAR(D62)+20)&gt;YEAR(E62),1,(12-MONTH(E62)+1)/12))))-(IF(OR(N62="",N62&lt;=0),0,(O62/N62)*(IF(OR(N62="",N62&lt;=0),0,IF((YEAR(D62)+20)&lt;YEAR(E62),0,IF((YEAR(D62)+20)&gt;=YEAR(E62)+N62,0,IF((YEAR(D62)+20)=YEAR(E62),(12-MONTH(E62)+1)/12,1))))))))&gt;0,(((K62)*(IF(M62="",L62,IFERROR(IF(INDEX(Variablen!$I:$AT, MATCH(M62, Variablen!$A:$A, 0), MATCH((YEAR(D62)+20), Variablen!$I$3:$AT$3, 0))="",L62,INDEX(Variablen!$I:$AT, MATCH(M62, Variablen!$A:$A, 0), MATCH((YEAR(D62)+20), Variablen!$I$3:$AT$3, 0))),L62)))*(IF((YEAR(D62)+20)&lt;YEAR(E62),0,IF((YEAR(D62)+20)&gt;YEAR(E62),1,(12-MONTH(E62)+1)/12))) + (Q62)*(IF((YEAR(D62)+20)&lt;YEAR(E62),0,IF((YEAR(D62)+20)&gt;YEAR(E62),1,(12-MONTH(E62)+1)/12))))-((P62)*(IF((YEAR(D62)+20)&lt;YEAR(E62),0,IF((YEAR(D62)+20)&gt;YEAR(E62),1,(12-MONTH(E62)+1)/12))) + (R62)*(IF((YEAR(D62)+20)&lt;YEAR(E62),0,IF((YEAR(D62)+20)&gt;YEAR(E62),1,(12-MONTH(E62)+1)/12))))-(IF(OR(N62="",N62&lt;=0),0,(O62/N62)*(IF(OR(N62="",N62&lt;=0),0,IF((YEAR(D62)+20)&lt;YEAR(E62),0,IF((YEAR(D62)+20)&gt;=YEAR(E62)+N62,0,IF((YEAR(D62)+20)=YEAR(E62),(12-MONTH(E62)+1)/12,1))))))))*TaxRate,0))-IF(20=0,O62,0))</f>
        <v/>
      </c>
      <c r="AN62" s="29">
        <f>IF(A62="","",S62)</f>
        <v/>
      </c>
      <c r="AO62" s="29">
        <f>IF(A62="","",AN62+T62)</f>
        <v/>
      </c>
      <c r="AP62" s="29">
        <f>IF(A62="","",AO62+U62)</f>
        <v/>
      </c>
      <c r="AQ62" s="29">
        <f>IF(A62="","",AP62+V62)</f>
        <v/>
      </c>
      <c r="AR62" s="29">
        <f>IF(A62="","",AQ62+W62)</f>
        <v/>
      </c>
      <c r="AS62" s="29">
        <f>IF(A62="","",AR62+X62)</f>
        <v/>
      </c>
      <c r="AT62" s="29">
        <f>IF(A62="","",AS62+Y62)</f>
        <v/>
      </c>
      <c r="AU62" s="29">
        <f>IF(A62="","",AT62+Z62)</f>
        <v/>
      </c>
      <c r="AV62" s="29">
        <f>IF(A62="","",AU62+AA62)</f>
        <v/>
      </c>
      <c r="AW62" s="29">
        <f>IF(A62="","",AV62+AB62)</f>
        <v/>
      </c>
      <c r="AX62" s="29">
        <f>IF(A62="","",AW62+AC62)</f>
        <v/>
      </c>
      <c r="AY62" s="29">
        <f>IF(A62="","",AX62+AD62)</f>
        <v/>
      </c>
      <c r="AZ62" s="29">
        <f>IF(A62="","",AY62+AE62)</f>
        <v/>
      </c>
      <c r="BA62" s="29">
        <f>IF(A62="","",AZ62+AF62)</f>
        <v/>
      </c>
      <c r="BB62" s="29">
        <f>IF(A62="","",BA62+AG62)</f>
        <v/>
      </c>
      <c r="BC62" s="29">
        <f>IF(A62="","",BB62+AH62)</f>
        <v/>
      </c>
      <c r="BD62" s="29">
        <f>IF(A62="","",BC62+AI62)</f>
        <v/>
      </c>
      <c r="BE62" s="29">
        <f>IF(A62="","",BD62+AJ62)</f>
        <v/>
      </c>
      <c r="BF62" s="29">
        <f>IF(A62="","",BE62+AK62)</f>
        <v/>
      </c>
      <c r="BG62" s="29">
        <f>IF(A62="","",BF62+AL62)</f>
        <v/>
      </c>
      <c r="BH62" s="29">
        <f>IF(A62="","",BG62+AM62)</f>
        <v/>
      </c>
      <c r="BI62" s="36">
        <f>IF(A62="","",(K62)*(IF((YEAR(D62)+0)&lt;YEAR(E62),0,IF((YEAR(D62)+0)&gt;YEAR(E62),1,(12-MONTH(E62)+1)/12)))*(1/(1+DiscountRate)^0))</f>
        <v/>
      </c>
      <c r="BJ62" s="36">
        <f>IF(A62="","",(K62)*(IF((YEAR(D62)+1)&lt;YEAR(E62),0,IF((YEAR(D62)+1)&gt;YEAR(E62),1,(12-MONTH(E62)+1)/12)))*(1/(1+DiscountRate)^1))</f>
        <v/>
      </c>
      <c r="BK62" s="36">
        <f>IF(A62="","",(K62)*(IF((YEAR(D62)+2)&lt;YEAR(E62),0,IF((YEAR(D62)+2)&gt;YEAR(E62),1,(12-MONTH(E62)+1)/12)))*(1/(1+DiscountRate)^2))</f>
        <v/>
      </c>
      <c r="BL62" s="36">
        <f>IF(A62="","",(K62)*(IF((YEAR(D62)+3)&lt;YEAR(E62),0,IF((YEAR(D62)+3)&gt;YEAR(E62),1,(12-MONTH(E62)+1)/12)))*(1/(1+DiscountRate)^3))</f>
        <v/>
      </c>
      <c r="BM62" s="36">
        <f>IF(A62="","",(K62)*(IF((YEAR(D62)+4)&lt;YEAR(E62),0,IF((YEAR(D62)+4)&gt;YEAR(E62),1,(12-MONTH(E62)+1)/12)))*(1/(1+DiscountRate)^4))</f>
        <v/>
      </c>
      <c r="BN62" s="36">
        <f>IF(A62="","",(K62)*(IF((YEAR(D62)+5)&lt;YEAR(E62),0,IF((YEAR(D62)+5)&gt;YEAR(E62),1,(12-MONTH(E62)+1)/12)))*(1/(1+DiscountRate)^5))</f>
        <v/>
      </c>
      <c r="BO62" s="36">
        <f>IF(A62="","",(K62)*(IF((YEAR(D62)+6)&lt;YEAR(E62),0,IF((YEAR(D62)+6)&gt;YEAR(E62),1,(12-MONTH(E62)+1)/12)))*(1/(1+DiscountRate)^6))</f>
        <v/>
      </c>
      <c r="BP62" s="36">
        <f>IF(A62="","",(K62)*(IF((YEAR(D62)+7)&lt;YEAR(E62),0,IF((YEAR(D62)+7)&gt;YEAR(E62),1,(12-MONTH(E62)+1)/12)))*(1/(1+DiscountRate)^7))</f>
        <v/>
      </c>
      <c r="BQ62" s="36">
        <f>IF(A62="","",(K62)*(IF((YEAR(D62)+8)&lt;YEAR(E62),0,IF((YEAR(D62)+8)&gt;YEAR(E62),1,(12-MONTH(E62)+1)/12)))*(1/(1+DiscountRate)^8))</f>
        <v/>
      </c>
      <c r="BR62" s="36">
        <f>IF(A62="","",(K62)*(IF((YEAR(D62)+9)&lt;YEAR(E62),0,IF((YEAR(D62)+9)&gt;YEAR(E62),1,(12-MONTH(E62)+1)/12)))*(1/(1+DiscountRate)^9))</f>
        <v/>
      </c>
      <c r="BS62" s="36">
        <f>IF(A62="","",(K62)*(IF((YEAR(D62)+10)&lt;YEAR(E62),0,IF((YEAR(D62)+10)&gt;YEAR(E62),1,(12-MONTH(E62)+1)/12)))*(1/(1+DiscountRate)^10))</f>
        <v/>
      </c>
      <c r="BT62" s="36">
        <f>IF(A62="","",(K62)*(IF((YEAR(D62)+11)&lt;YEAR(E62),0,IF((YEAR(D62)+11)&gt;YEAR(E62),1,(12-MONTH(E62)+1)/12)))*(1/(1+DiscountRate)^11))</f>
        <v/>
      </c>
      <c r="BU62" s="36">
        <f>IF(A62="","",(K62)*(IF((YEAR(D62)+12)&lt;YEAR(E62),0,IF((YEAR(D62)+12)&gt;YEAR(E62),1,(12-MONTH(E62)+1)/12)))*(1/(1+DiscountRate)^12))</f>
        <v/>
      </c>
      <c r="BV62" s="36">
        <f>IF(A62="","",(K62)*(IF((YEAR(D62)+13)&lt;YEAR(E62),0,IF((YEAR(D62)+13)&gt;YEAR(E62),1,(12-MONTH(E62)+1)/12)))*(1/(1+DiscountRate)^13))</f>
        <v/>
      </c>
      <c r="BW62" s="36">
        <f>IF(A62="","",(K62)*(IF((YEAR(D62)+14)&lt;YEAR(E62),0,IF((YEAR(D62)+14)&gt;YEAR(E62),1,(12-MONTH(E62)+1)/12)))*(1/(1+DiscountRate)^14))</f>
        <v/>
      </c>
      <c r="BX62" s="36">
        <f>IF(A62="","",(K62)*(IF((YEAR(D62)+15)&lt;YEAR(E62),0,IF((YEAR(D62)+15)&gt;YEAR(E62),1,(12-MONTH(E62)+1)/12)))*(1/(1+DiscountRate)^15))</f>
        <v/>
      </c>
      <c r="BY62" s="36">
        <f>IF(A62="","",(K62)*(IF((YEAR(D62)+16)&lt;YEAR(E62),0,IF((YEAR(D62)+16)&gt;YEAR(E62),1,(12-MONTH(E62)+1)/12)))*(1/(1+DiscountRate)^16))</f>
        <v/>
      </c>
      <c r="BZ62" s="36">
        <f>IF(A62="","",(K62)*(IF((YEAR(D62)+17)&lt;YEAR(E62),0,IF((YEAR(D62)+17)&gt;YEAR(E62),1,(12-MONTH(E62)+1)/12)))*(1/(1+DiscountRate)^17))</f>
        <v/>
      </c>
      <c r="CA62" s="36">
        <f>IF(A62="","",(K62)*(IF((YEAR(D62)+18)&lt;YEAR(E62),0,IF((YEAR(D62)+18)&gt;YEAR(E62),1,(12-MONTH(E62)+1)/12)))*(1/(1+DiscountRate)^18))</f>
        <v/>
      </c>
      <c r="CB62" s="36">
        <f>IF(A62="","",(K62)*(IF((YEAR(D62)+19)&lt;YEAR(E62),0,IF((YEAR(D62)+19)&gt;YEAR(E62),1,(12-MONTH(E62)+1)/12)))*(1/(1+DiscountRate)^19))</f>
        <v/>
      </c>
      <c r="CC62" s="36">
        <f>IF(A62="","",(K62)*(IF((YEAR(D62)+20)&lt;YEAR(E62),0,IF((YEAR(D62)+20)&gt;YEAR(E62),1,(12-MONTH(E62)+1)/12)))*(1/(1+DiscountRate)^20))</f>
        <v/>
      </c>
      <c r="CD62" s="29">
        <f>IF(A62="","",S62/(1+DiscountRate)^0+T62/(1+DiscountRate)^1+U62/(1+DiscountRate)^2+V62/(1+DiscountRate)^3+W62/(1+DiscountRate)^4+X62/(1+DiscountRate)^5+Y62/(1+DiscountRate)^6+Z62/(1+DiscountRate)^7+AA62/(1+DiscountRate)^8+AB62/(1+DiscountRate)^9+AC62/(1+DiscountRate)^10+AD62/(1+DiscountRate)^11+AE62/(1+DiscountRate)^12+AF62/(1+DiscountRate)^13+AG62/(1+DiscountRate)^14+AH62/(1+DiscountRate)^15+AI62/(1+DiscountRate)^16+AJ62/(1+DiscountRate)^17+AK62/(1+DiscountRate)^18+AL62/(1+DiscountRate)^19+AM62/(1+DiscountRate)^20)</f>
        <v/>
      </c>
      <c r="CE62" s="37">
        <f>IF(A62="","",IFERROR(IRR(OFFSET(S62,0,0,1,MIN(HorizonYears,20)+1)),"n/a"))</f>
        <v/>
      </c>
      <c r="CF62" s="28">
        <f>IF(A62="","",IFERROR(MATCH(TRUE,OFFSET(AN62,0,0,1,MIN(HorizonYears,20)+1)&gt;=0,0)-1,"n/a"))</f>
        <v/>
      </c>
      <c r="CG62" s="36">
        <f>IF(A62="","",SUM(OFFSET(BI62,0,0,1,MIN(HorizonYears,20)+1)))</f>
        <v/>
      </c>
      <c r="CH62" s="36">
        <f>IF(A62="","",IFERROR(-CD62/CG62,"n/a"))</f>
        <v/>
      </c>
    </row>
    <row r="63">
      <c r="A63" s="6">
        <f>Actions!A61</f>
        <v/>
      </c>
      <c r="B63" s="6">
        <f>Actions!B61</f>
        <v/>
      </c>
      <c r="C63" s="6">
        <f>Actions!D61</f>
        <v/>
      </c>
      <c r="D63" s="35">
        <f>Actions!E61</f>
        <v/>
      </c>
      <c r="E63" s="35">
        <f>Actions!F61</f>
        <v/>
      </c>
      <c r="F63" s="6">
        <f>Actions!G61</f>
        <v/>
      </c>
      <c r="G63" s="6">
        <f>Actions!H61</f>
        <v/>
      </c>
      <c r="H63" s="29">
        <f>Actions!I61</f>
        <v/>
      </c>
      <c r="I63" s="6">
        <f>Actions!J61</f>
        <v/>
      </c>
      <c r="J63" s="16">
        <f>Actions!K61</f>
        <v/>
      </c>
      <c r="K63" s="16">
        <f>IF(A63="","",IF(I63="%",H63*J63,J63))</f>
        <v/>
      </c>
      <c r="L63" s="16">
        <f>Actions!L61</f>
        <v/>
      </c>
      <c r="M63" s="6">
        <f>Actions!M61</f>
        <v/>
      </c>
      <c r="N63" s="28">
        <f>Actions!N61</f>
        <v/>
      </c>
      <c r="O63" s="29">
        <f>Actions!T61</f>
        <v/>
      </c>
      <c r="P63" s="29">
        <f>Actions!Y61</f>
        <v/>
      </c>
      <c r="Q63" s="29">
        <f>Actions!Z61</f>
        <v/>
      </c>
      <c r="R63" s="29">
        <f>Actions!AA61</f>
        <v/>
      </c>
      <c r="S63" s="29">
        <f>IF(A63="","",((K63)*(IF(M63="",L63,IFERROR(IF(INDEX(Variablen!$I:$AT, MATCH(M63, Variablen!$A:$A, 0), MATCH((YEAR(D63)+0), Variablen!$I$3:$AT$3, 0))="",L63,INDEX(Variablen!$I:$AT, MATCH(M63, Variablen!$A:$A, 0), MATCH((YEAR(D63)+0), Variablen!$I$3:$AT$3, 0))),L63)))*(IF((YEAR(D63)+0)&lt;YEAR(E63),0,IF((YEAR(D63)+0)&gt;YEAR(E63),1,(12-MONTH(E63)+1)/12))) + (Q63)*(IF((YEAR(D63)+0)&lt;YEAR(E63),0,IF((YEAR(D63)+0)&gt;YEAR(E63),1,(12-MONTH(E63)+1)/12))))-((P63)*(IF((YEAR(D63)+0)&lt;YEAR(E63),0,IF((YEAR(D63)+0)&gt;YEAR(E63),1,(12-MONTH(E63)+1)/12))) + (R63)*(IF((YEAR(D63)+0)&lt;YEAR(E63),0,IF((YEAR(D63)+0)&gt;YEAR(E63),1,(12-MONTH(E63)+1)/12))))-(IF((((K63)*(IF(M63="",L63,IFERROR(IF(INDEX(Variablen!$I:$AT, MATCH(M63, Variablen!$A:$A, 0), MATCH((YEAR(D63)+0), Variablen!$I$3:$AT$3, 0))="",L63,INDEX(Variablen!$I:$AT, MATCH(M63, Variablen!$A:$A, 0), MATCH((YEAR(D63)+0), Variablen!$I$3:$AT$3, 0))),L63)))*(IF((YEAR(D63)+0)&lt;YEAR(E63),0,IF((YEAR(D63)+0)&gt;YEAR(E63),1,(12-MONTH(E63)+1)/12))) + (Q63)*(IF((YEAR(D63)+0)&lt;YEAR(E63),0,IF((YEAR(D63)+0)&gt;YEAR(E63),1,(12-MONTH(E63)+1)/12))))-((P63)*(IF((YEAR(D63)+0)&lt;YEAR(E63),0,IF((YEAR(D63)+0)&gt;YEAR(E63),1,(12-MONTH(E63)+1)/12))) + (R63)*(IF((YEAR(D63)+0)&lt;YEAR(E63),0,IF((YEAR(D63)+0)&gt;YEAR(E63),1,(12-MONTH(E63)+1)/12))))-(IF(OR(N63="",N63&lt;=0),0,(O63/N63)*(IF(OR(N63="",N63&lt;=0),0,IF((YEAR(D63)+0)&lt;YEAR(E63),0,IF((YEAR(D63)+0)&gt;=YEAR(E63)+N63,0,IF((YEAR(D63)+0)=YEAR(E63),(12-MONTH(E63)+1)/12,1))))))))&gt;0,(((K63)*(IF(M63="",L63,IFERROR(IF(INDEX(Variablen!$I:$AT, MATCH(M63, Variablen!$A:$A, 0), MATCH((YEAR(D63)+0), Variablen!$I$3:$AT$3, 0))="",L63,INDEX(Variablen!$I:$AT, MATCH(M63, Variablen!$A:$A, 0), MATCH((YEAR(D63)+0), Variablen!$I$3:$AT$3, 0))),L63)))*(IF((YEAR(D63)+0)&lt;YEAR(E63),0,IF((YEAR(D63)+0)&gt;YEAR(E63),1,(12-MONTH(E63)+1)/12))) + (Q63)*(IF((YEAR(D63)+0)&lt;YEAR(E63),0,IF((YEAR(D63)+0)&gt;YEAR(E63),1,(12-MONTH(E63)+1)/12))))-((P63)*(IF((YEAR(D63)+0)&lt;YEAR(E63),0,IF((YEAR(D63)+0)&gt;YEAR(E63),1,(12-MONTH(E63)+1)/12))) + (R63)*(IF((YEAR(D63)+0)&lt;YEAR(E63),0,IF((YEAR(D63)+0)&gt;YEAR(E63),1,(12-MONTH(E63)+1)/12))))-(IF(OR(N63="",N63&lt;=0),0,(O63/N63)*(IF(OR(N63="",N63&lt;=0),0,IF((YEAR(D63)+0)&lt;YEAR(E63),0,IF((YEAR(D63)+0)&gt;=YEAR(E63)+N63,0,IF((YEAR(D63)+0)=YEAR(E63),(12-MONTH(E63)+1)/12,1))))))))*TaxRate,0))-IF(0=0,O63,0))</f>
        <v/>
      </c>
      <c r="T63" s="29">
        <f>IF(A63="","",((K63)*(IF(M63="",L63,IFERROR(IF(INDEX(Variablen!$I:$AT, MATCH(M63, Variablen!$A:$A, 0), MATCH((YEAR(D63)+1), Variablen!$I$3:$AT$3, 0))="",L63,INDEX(Variablen!$I:$AT, MATCH(M63, Variablen!$A:$A, 0), MATCH((YEAR(D63)+1), Variablen!$I$3:$AT$3, 0))),L63)))*(IF((YEAR(D63)+1)&lt;YEAR(E63),0,IF((YEAR(D63)+1)&gt;YEAR(E63),1,(12-MONTH(E63)+1)/12))) + (Q63)*(IF((YEAR(D63)+1)&lt;YEAR(E63),0,IF((YEAR(D63)+1)&gt;YEAR(E63),1,(12-MONTH(E63)+1)/12))))-((P63)*(IF((YEAR(D63)+1)&lt;YEAR(E63),0,IF((YEAR(D63)+1)&gt;YEAR(E63),1,(12-MONTH(E63)+1)/12))) + (R63)*(IF((YEAR(D63)+1)&lt;YEAR(E63),0,IF((YEAR(D63)+1)&gt;YEAR(E63),1,(12-MONTH(E63)+1)/12))))-(IF((((K63)*(IF(M63="",L63,IFERROR(IF(INDEX(Variablen!$I:$AT, MATCH(M63, Variablen!$A:$A, 0), MATCH((YEAR(D63)+1), Variablen!$I$3:$AT$3, 0))="",L63,INDEX(Variablen!$I:$AT, MATCH(M63, Variablen!$A:$A, 0), MATCH((YEAR(D63)+1), Variablen!$I$3:$AT$3, 0))),L63)))*(IF((YEAR(D63)+1)&lt;YEAR(E63),0,IF((YEAR(D63)+1)&gt;YEAR(E63),1,(12-MONTH(E63)+1)/12))) + (Q63)*(IF((YEAR(D63)+1)&lt;YEAR(E63),0,IF((YEAR(D63)+1)&gt;YEAR(E63),1,(12-MONTH(E63)+1)/12))))-((P63)*(IF((YEAR(D63)+1)&lt;YEAR(E63),0,IF((YEAR(D63)+1)&gt;YEAR(E63),1,(12-MONTH(E63)+1)/12))) + (R63)*(IF((YEAR(D63)+1)&lt;YEAR(E63),0,IF((YEAR(D63)+1)&gt;YEAR(E63),1,(12-MONTH(E63)+1)/12))))-(IF(OR(N63="",N63&lt;=0),0,(O63/N63)*(IF(OR(N63="",N63&lt;=0),0,IF((YEAR(D63)+1)&lt;YEAR(E63),0,IF((YEAR(D63)+1)&gt;=YEAR(E63)+N63,0,IF((YEAR(D63)+1)=YEAR(E63),(12-MONTH(E63)+1)/12,1))))))))&gt;0,(((K63)*(IF(M63="",L63,IFERROR(IF(INDEX(Variablen!$I:$AT, MATCH(M63, Variablen!$A:$A, 0), MATCH((YEAR(D63)+1), Variablen!$I$3:$AT$3, 0))="",L63,INDEX(Variablen!$I:$AT, MATCH(M63, Variablen!$A:$A, 0), MATCH((YEAR(D63)+1), Variablen!$I$3:$AT$3, 0))),L63)))*(IF((YEAR(D63)+1)&lt;YEAR(E63),0,IF((YEAR(D63)+1)&gt;YEAR(E63),1,(12-MONTH(E63)+1)/12))) + (Q63)*(IF((YEAR(D63)+1)&lt;YEAR(E63),0,IF((YEAR(D63)+1)&gt;YEAR(E63),1,(12-MONTH(E63)+1)/12))))-((P63)*(IF((YEAR(D63)+1)&lt;YEAR(E63),0,IF((YEAR(D63)+1)&gt;YEAR(E63),1,(12-MONTH(E63)+1)/12))) + (R63)*(IF((YEAR(D63)+1)&lt;YEAR(E63),0,IF((YEAR(D63)+1)&gt;YEAR(E63),1,(12-MONTH(E63)+1)/12))))-(IF(OR(N63="",N63&lt;=0),0,(O63/N63)*(IF(OR(N63="",N63&lt;=0),0,IF((YEAR(D63)+1)&lt;YEAR(E63),0,IF((YEAR(D63)+1)&gt;=YEAR(E63)+N63,0,IF((YEAR(D63)+1)=YEAR(E63),(12-MONTH(E63)+1)/12,1))))))))*TaxRate,0))-IF(1=0,O63,0))</f>
        <v/>
      </c>
      <c r="U63" s="29">
        <f>IF(A63="","",((K63)*(IF(M63="",L63,IFERROR(IF(INDEX(Variablen!$I:$AT, MATCH(M63, Variablen!$A:$A, 0), MATCH((YEAR(D63)+2), Variablen!$I$3:$AT$3, 0))="",L63,INDEX(Variablen!$I:$AT, MATCH(M63, Variablen!$A:$A, 0), MATCH((YEAR(D63)+2), Variablen!$I$3:$AT$3, 0))),L63)))*(IF((YEAR(D63)+2)&lt;YEAR(E63),0,IF((YEAR(D63)+2)&gt;YEAR(E63),1,(12-MONTH(E63)+1)/12))) + (Q63)*(IF((YEAR(D63)+2)&lt;YEAR(E63),0,IF((YEAR(D63)+2)&gt;YEAR(E63),1,(12-MONTH(E63)+1)/12))))-((P63)*(IF((YEAR(D63)+2)&lt;YEAR(E63),0,IF((YEAR(D63)+2)&gt;YEAR(E63),1,(12-MONTH(E63)+1)/12))) + (R63)*(IF((YEAR(D63)+2)&lt;YEAR(E63),0,IF((YEAR(D63)+2)&gt;YEAR(E63),1,(12-MONTH(E63)+1)/12))))-(IF((((K63)*(IF(M63="",L63,IFERROR(IF(INDEX(Variablen!$I:$AT, MATCH(M63, Variablen!$A:$A, 0), MATCH((YEAR(D63)+2), Variablen!$I$3:$AT$3, 0))="",L63,INDEX(Variablen!$I:$AT, MATCH(M63, Variablen!$A:$A, 0), MATCH((YEAR(D63)+2), Variablen!$I$3:$AT$3, 0))),L63)))*(IF((YEAR(D63)+2)&lt;YEAR(E63),0,IF((YEAR(D63)+2)&gt;YEAR(E63),1,(12-MONTH(E63)+1)/12))) + (Q63)*(IF((YEAR(D63)+2)&lt;YEAR(E63),0,IF((YEAR(D63)+2)&gt;YEAR(E63),1,(12-MONTH(E63)+1)/12))))-((P63)*(IF((YEAR(D63)+2)&lt;YEAR(E63),0,IF((YEAR(D63)+2)&gt;YEAR(E63),1,(12-MONTH(E63)+1)/12))) + (R63)*(IF((YEAR(D63)+2)&lt;YEAR(E63),0,IF((YEAR(D63)+2)&gt;YEAR(E63),1,(12-MONTH(E63)+1)/12))))-(IF(OR(N63="",N63&lt;=0),0,(O63/N63)*(IF(OR(N63="",N63&lt;=0),0,IF((YEAR(D63)+2)&lt;YEAR(E63),0,IF((YEAR(D63)+2)&gt;=YEAR(E63)+N63,0,IF((YEAR(D63)+2)=YEAR(E63),(12-MONTH(E63)+1)/12,1))))))))&gt;0,(((K63)*(IF(M63="",L63,IFERROR(IF(INDEX(Variablen!$I:$AT, MATCH(M63, Variablen!$A:$A, 0), MATCH((YEAR(D63)+2), Variablen!$I$3:$AT$3, 0))="",L63,INDEX(Variablen!$I:$AT, MATCH(M63, Variablen!$A:$A, 0), MATCH((YEAR(D63)+2), Variablen!$I$3:$AT$3, 0))),L63)))*(IF((YEAR(D63)+2)&lt;YEAR(E63),0,IF((YEAR(D63)+2)&gt;YEAR(E63),1,(12-MONTH(E63)+1)/12))) + (Q63)*(IF((YEAR(D63)+2)&lt;YEAR(E63),0,IF((YEAR(D63)+2)&gt;YEAR(E63),1,(12-MONTH(E63)+1)/12))))-((P63)*(IF((YEAR(D63)+2)&lt;YEAR(E63),0,IF((YEAR(D63)+2)&gt;YEAR(E63),1,(12-MONTH(E63)+1)/12))) + (R63)*(IF((YEAR(D63)+2)&lt;YEAR(E63),0,IF((YEAR(D63)+2)&gt;YEAR(E63),1,(12-MONTH(E63)+1)/12))))-(IF(OR(N63="",N63&lt;=0),0,(O63/N63)*(IF(OR(N63="",N63&lt;=0),0,IF((YEAR(D63)+2)&lt;YEAR(E63),0,IF((YEAR(D63)+2)&gt;=YEAR(E63)+N63,0,IF((YEAR(D63)+2)=YEAR(E63),(12-MONTH(E63)+1)/12,1))))))))*TaxRate,0))-IF(2=0,O63,0))</f>
        <v/>
      </c>
      <c r="V63" s="29">
        <f>IF(A63="","",((K63)*(IF(M63="",L63,IFERROR(IF(INDEX(Variablen!$I:$AT, MATCH(M63, Variablen!$A:$A, 0), MATCH((YEAR(D63)+3), Variablen!$I$3:$AT$3, 0))="",L63,INDEX(Variablen!$I:$AT, MATCH(M63, Variablen!$A:$A, 0), MATCH((YEAR(D63)+3), Variablen!$I$3:$AT$3, 0))),L63)))*(IF((YEAR(D63)+3)&lt;YEAR(E63),0,IF((YEAR(D63)+3)&gt;YEAR(E63),1,(12-MONTH(E63)+1)/12))) + (Q63)*(IF((YEAR(D63)+3)&lt;YEAR(E63),0,IF((YEAR(D63)+3)&gt;YEAR(E63),1,(12-MONTH(E63)+1)/12))))-((P63)*(IF((YEAR(D63)+3)&lt;YEAR(E63),0,IF((YEAR(D63)+3)&gt;YEAR(E63),1,(12-MONTH(E63)+1)/12))) + (R63)*(IF((YEAR(D63)+3)&lt;YEAR(E63),0,IF((YEAR(D63)+3)&gt;YEAR(E63),1,(12-MONTH(E63)+1)/12))))-(IF((((K63)*(IF(M63="",L63,IFERROR(IF(INDEX(Variablen!$I:$AT, MATCH(M63, Variablen!$A:$A, 0), MATCH((YEAR(D63)+3), Variablen!$I$3:$AT$3, 0))="",L63,INDEX(Variablen!$I:$AT, MATCH(M63, Variablen!$A:$A, 0), MATCH((YEAR(D63)+3), Variablen!$I$3:$AT$3, 0))),L63)))*(IF((YEAR(D63)+3)&lt;YEAR(E63),0,IF((YEAR(D63)+3)&gt;YEAR(E63),1,(12-MONTH(E63)+1)/12))) + (Q63)*(IF((YEAR(D63)+3)&lt;YEAR(E63),0,IF((YEAR(D63)+3)&gt;YEAR(E63),1,(12-MONTH(E63)+1)/12))))-((P63)*(IF((YEAR(D63)+3)&lt;YEAR(E63),0,IF((YEAR(D63)+3)&gt;YEAR(E63),1,(12-MONTH(E63)+1)/12))) + (R63)*(IF((YEAR(D63)+3)&lt;YEAR(E63),0,IF((YEAR(D63)+3)&gt;YEAR(E63),1,(12-MONTH(E63)+1)/12))))-(IF(OR(N63="",N63&lt;=0),0,(O63/N63)*(IF(OR(N63="",N63&lt;=0),0,IF((YEAR(D63)+3)&lt;YEAR(E63),0,IF((YEAR(D63)+3)&gt;=YEAR(E63)+N63,0,IF((YEAR(D63)+3)=YEAR(E63),(12-MONTH(E63)+1)/12,1))))))))&gt;0,(((K63)*(IF(M63="",L63,IFERROR(IF(INDEX(Variablen!$I:$AT, MATCH(M63, Variablen!$A:$A, 0), MATCH((YEAR(D63)+3), Variablen!$I$3:$AT$3, 0))="",L63,INDEX(Variablen!$I:$AT, MATCH(M63, Variablen!$A:$A, 0), MATCH((YEAR(D63)+3), Variablen!$I$3:$AT$3, 0))),L63)))*(IF((YEAR(D63)+3)&lt;YEAR(E63),0,IF((YEAR(D63)+3)&gt;YEAR(E63),1,(12-MONTH(E63)+1)/12))) + (Q63)*(IF((YEAR(D63)+3)&lt;YEAR(E63),0,IF((YEAR(D63)+3)&gt;YEAR(E63),1,(12-MONTH(E63)+1)/12))))-((P63)*(IF((YEAR(D63)+3)&lt;YEAR(E63),0,IF((YEAR(D63)+3)&gt;YEAR(E63),1,(12-MONTH(E63)+1)/12))) + (R63)*(IF((YEAR(D63)+3)&lt;YEAR(E63),0,IF((YEAR(D63)+3)&gt;YEAR(E63),1,(12-MONTH(E63)+1)/12))))-(IF(OR(N63="",N63&lt;=0),0,(O63/N63)*(IF(OR(N63="",N63&lt;=0),0,IF((YEAR(D63)+3)&lt;YEAR(E63),0,IF((YEAR(D63)+3)&gt;=YEAR(E63)+N63,0,IF((YEAR(D63)+3)=YEAR(E63),(12-MONTH(E63)+1)/12,1))))))))*TaxRate,0))-IF(3=0,O63,0))</f>
        <v/>
      </c>
      <c r="W63" s="29">
        <f>IF(A63="","",((K63)*(IF(M63="",L63,IFERROR(IF(INDEX(Variablen!$I:$AT, MATCH(M63, Variablen!$A:$A, 0), MATCH((YEAR(D63)+4), Variablen!$I$3:$AT$3, 0))="",L63,INDEX(Variablen!$I:$AT, MATCH(M63, Variablen!$A:$A, 0), MATCH((YEAR(D63)+4), Variablen!$I$3:$AT$3, 0))),L63)))*(IF((YEAR(D63)+4)&lt;YEAR(E63),0,IF((YEAR(D63)+4)&gt;YEAR(E63),1,(12-MONTH(E63)+1)/12))) + (Q63)*(IF((YEAR(D63)+4)&lt;YEAR(E63),0,IF((YEAR(D63)+4)&gt;YEAR(E63),1,(12-MONTH(E63)+1)/12))))-((P63)*(IF((YEAR(D63)+4)&lt;YEAR(E63),0,IF((YEAR(D63)+4)&gt;YEAR(E63),1,(12-MONTH(E63)+1)/12))) + (R63)*(IF((YEAR(D63)+4)&lt;YEAR(E63),0,IF((YEAR(D63)+4)&gt;YEAR(E63),1,(12-MONTH(E63)+1)/12))))-(IF((((K63)*(IF(M63="",L63,IFERROR(IF(INDEX(Variablen!$I:$AT, MATCH(M63, Variablen!$A:$A, 0), MATCH((YEAR(D63)+4), Variablen!$I$3:$AT$3, 0))="",L63,INDEX(Variablen!$I:$AT, MATCH(M63, Variablen!$A:$A, 0), MATCH((YEAR(D63)+4), Variablen!$I$3:$AT$3, 0))),L63)))*(IF((YEAR(D63)+4)&lt;YEAR(E63),0,IF((YEAR(D63)+4)&gt;YEAR(E63),1,(12-MONTH(E63)+1)/12))) + (Q63)*(IF((YEAR(D63)+4)&lt;YEAR(E63),0,IF((YEAR(D63)+4)&gt;YEAR(E63),1,(12-MONTH(E63)+1)/12))))-((P63)*(IF((YEAR(D63)+4)&lt;YEAR(E63),0,IF((YEAR(D63)+4)&gt;YEAR(E63),1,(12-MONTH(E63)+1)/12))) + (R63)*(IF((YEAR(D63)+4)&lt;YEAR(E63),0,IF((YEAR(D63)+4)&gt;YEAR(E63),1,(12-MONTH(E63)+1)/12))))-(IF(OR(N63="",N63&lt;=0),0,(O63/N63)*(IF(OR(N63="",N63&lt;=0),0,IF((YEAR(D63)+4)&lt;YEAR(E63),0,IF((YEAR(D63)+4)&gt;=YEAR(E63)+N63,0,IF((YEAR(D63)+4)=YEAR(E63),(12-MONTH(E63)+1)/12,1))))))))&gt;0,(((K63)*(IF(M63="",L63,IFERROR(IF(INDEX(Variablen!$I:$AT, MATCH(M63, Variablen!$A:$A, 0), MATCH((YEAR(D63)+4), Variablen!$I$3:$AT$3, 0))="",L63,INDEX(Variablen!$I:$AT, MATCH(M63, Variablen!$A:$A, 0), MATCH((YEAR(D63)+4), Variablen!$I$3:$AT$3, 0))),L63)))*(IF((YEAR(D63)+4)&lt;YEAR(E63),0,IF((YEAR(D63)+4)&gt;YEAR(E63),1,(12-MONTH(E63)+1)/12))) + (Q63)*(IF((YEAR(D63)+4)&lt;YEAR(E63),0,IF((YEAR(D63)+4)&gt;YEAR(E63),1,(12-MONTH(E63)+1)/12))))-((P63)*(IF((YEAR(D63)+4)&lt;YEAR(E63),0,IF((YEAR(D63)+4)&gt;YEAR(E63),1,(12-MONTH(E63)+1)/12))) + (R63)*(IF((YEAR(D63)+4)&lt;YEAR(E63),0,IF((YEAR(D63)+4)&gt;YEAR(E63),1,(12-MONTH(E63)+1)/12))))-(IF(OR(N63="",N63&lt;=0),0,(O63/N63)*(IF(OR(N63="",N63&lt;=0),0,IF((YEAR(D63)+4)&lt;YEAR(E63),0,IF((YEAR(D63)+4)&gt;=YEAR(E63)+N63,0,IF((YEAR(D63)+4)=YEAR(E63),(12-MONTH(E63)+1)/12,1))))))))*TaxRate,0))-IF(4=0,O63,0))</f>
        <v/>
      </c>
      <c r="X63" s="29">
        <f>IF(A63="","",((K63)*(IF(M63="",L63,IFERROR(IF(INDEX(Variablen!$I:$AT, MATCH(M63, Variablen!$A:$A, 0), MATCH((YEAR(D63)+5), Variablen!$I$3:$AT$3, 0))="",L63,INDEX(Variablen!$I:$AT, MATCH(M63, Variablen!$A:$A, 0), MATCH((YEAR(D63)+5), Variablen!$I$3:$AT$3, 0))),L63)))*(IF((YEAR(D63)+5)&lt;YEAR(E63),0,IF((YEAR(D63)+5)&gt;YEAR(E63),1,(12-MONTH(E63)+1)/12))) + (Q63)*(IF((YEAR(D63)+5)&lt;YEAR(E63),0,IF((YEAR(D63)+5)&gt;YEAR(E63),1,(12-MONTH(E63)+1)/12))))-((P63)*(IF((YEAR(D63)+5)&lt;YEAR(E63),0,IF((YEAR(D63)+5)&gt;YEAR(E63),1,(12-MONTH(E63)+1)/12))) + (R63)*(IF((YEAR(D63)+5)&lt;YEAR(E63),0,IF((YEAR(D63)+5)&gt;YEAR(E63),1,(12-MONTH(E63)+1)/12))))-(IF((((K63)*(IF(M63="",L63,IFERROR(IF(INDEX(Variablen!$I:$AT, MATCH(M63, Variablen!$A:$A, 0), MATCH((YEAR(D63)+5), Variablen!$I$3:$AT$3, 0))="",L63,INDEX(Variablen!$I:$AT, MATCH(M63, Variablen!$A:$A, 0), MATCH((YEAR(D63)+5), Variablen!$I$3:$AT$3, 0))),L63)))*(IF((YEAR(D63)+5)&lt;YEAR(E63),0,IF((YEAR(D63)+5)&gt;YEAR(E63),1,(12-MONTH(E63)+1)/12))) + (Q63)*(IF((YEAR(D63)+5)&lt;YEAR(E63),0,IF((YEAR(D63)+5)&gt;YEAR(E63),1,(12-MONTH(E63)+1)/12))))-((P63)*(IF((YEAR(D63)+5)&lt;YEAR(E63),0,IF((YEAR(D63)+5)&gt;YEAR(E63),1,(12-MONTH(E63)+1)/12))) + (R63)*(IF((YEAR(D63)+5)&lt;YEAR(E63),0,IF((YEAR(D63)+5)&gt;YEAR(E63),1,(12-MONTH(E63)+1)/12))))-(IF(OR(N63="",N63&lt;=0),0,(O63/N63)*(IF(OR(N63="",N63&lt;=0),0,IF((YEAR(D63)+5)&lt;YEAR(E63),0,IF((YEAR(D63)+5)&gt;=YEAR(E63)+N63,0,IF((YEAR(D63)+5)=YEAR(E63),(12-MONTH(E63)+1)/12,1))))))))&gt;0,(((K63)*(IF(M63="",L63,IFERROR(IF(INDEX(Variablen!$I:$AT, MATCH(M63, Variablen!$A:$A, 0), MATCH((YEAR(D63)+5), Variablen!$I$3:$AT$3, 0))="",L63,INDEX(Variablen!$I:$AT, MATCH(M63, Variablen!$A:$A, 0), MATCH((YEAR(D63)+5), Variablen!$I$3:$AT$3, 0))),L63)))*(IF((YEAR(D63)+5)&lt;YEAR(E63),0,IF((YEAR(D63)+5)&gt;YEAR(E63),1,(12-MONTH(E63)+1)/12))) + (Q63)*(IF((YEAR(D63)+5)&lt;YEAR(E63),0,IF((YEAR(D63)+5)&gt;YEAR(E63),1,(12-MONTH(E63)+1)/12))))-((P63)*(IF((YEAR(D63)+5)&lt;YEAR(E63),0,IF((YEAR(D63)+5)&gt;YEAR(E63),1,(12-MONTH(E63)+1)/12))) + (R63)*(IF((YEAR(D63)+5)&lt;YEAR(E63),0,IF((YEAR(D63)+5)&gt;YEAR(E63),1,(12-MONTH(E63)+1)/12))))-(IF(OR(N63="",N63&lt;=0),0,(O63/N63)*(IF(OR(N63="",N63&lt;=0),0,IF((YEAR(D63)+5)&lt;YEAR(E63),0,IF((YEAR(D63)+5)&gt;=YEAR(E63)+N63,0,IF((YEAR(D63)+5)=YEAR(E63),(12-MONTH(E63)+1)/12,1))))))))*TaxRate,0))-IF(5=0,O63,0))</f>
        <v/>
      </c>
      <c r="Y63" s="29">
        <f>IF(A63="","",((K63)*(IF(M63="",L63,IFERROR(IF(INDEX(Variablen!$I:$AT, MATCH(M63, Variablen!$A:$A, 0), MATCH((YEAR(D63)+6), Variablen!$I$3:$AT$3, 0))="",L63,INDEX(Variablen!$I:$AT, MATCH(M63, Variablen!$A:$A, 0), MATCH((YEAR(D63)+6), Variablen!$I$3:$AT$3, 0))),L63)))*(IF((YEAR(D63)+6)&lt;YEAR(E63),0,IF((YEAR(D63)+6)&gt;YEAR(E63),1,(12-MONTH(E63)+1)/12))) + (Q63)*(IF((YEAR(D63)+6)&lt;YEAR(E63),0,IF((YEAR(D63)+6)&gt;YEAR(E63),1,(12-MONTH(E63)+1)/12))))-((P63)*(IF((YEAR(D63)+6)&lt;YEAR(E63),0,IF((YEAR(D63)+6)&gt;YEAR(E63),1,(12-MONTH(E63)+1)/12))) + (R63)*(IF((YEAR(D63)+6)&lt;YEAR(E63),0,IF((YEAR(D63)+6)&gt;YEAR(E63),1,(12-MONTH(E63)+1)/12))))-(IF((((K63)*(IF(M63="",L63,IFERROR(IF(INDEX(Variablen!$I:$AT, MATCH(M63, Variablen!$A:$A, 0), MATCH((YEAR(D63)+6), Variablen!$I$3:$AT$3, 0))="",L63,INDEX(Variablen!$I:$AT, MATCH(M63, Variablen!$A:$A, 0), MATCH((YEAR(D63)+6), Variablen!$I$3:$AT$3, 0))),L63)))*(IF((YEAR(D63)+6)&lt;YEAR(E63),0,IF((YEAR(D63)+6)&gt;YEAR(E63),1,(12-MONTH(E63)+1)/12))) + (Q63)*(IF((YEAR(D63)+6)&lt;YEAR(E63),0,IF((YEAR(D63)+6)&gt;YEAR(E63),1,(12-MONTH(E63)+1)/12))))-((P63)*(IF((YEAR(D63)+6)&lt;YEAR(E63),0,IF((YEAR(D63)+6)&gt;YEAR(E63),1,(12-MONTH(E63)+1)/12))) + (R63)*(IF((YEAR(D63)+6)&lt;YEAR(E63),0,IF((YEAR(D63)+6)&gt;YEAR(E63),1,(12-MONTH(E63)+1)/12))))-(IF(OR(N63="",N63&lt;=0),0,(O63/N63)*(IF(OR(N63="",N63&lt;=0),0,IF((YEAR(D63)+6)&lt;YEAR(E63),0,IF((YEAR(D63)+6)&gt;=YEAR(E63)+N63,0,IF((YEAR(D63)+6)=YEAR(E63),(12-MONTH(E63)+1)/12,1))))))))&gt;0,(((K63)*(IF(M63="",L63,IFERROR(IF(INDEX(Variablen!$I:$AT, MATCH(M63, Variablen!$A:$A, 0), MATCH((YEAR(D63)+6), Variablen!$I$3:$AT$3, 0))="",L63,INDEX(Variablen!$I:$AT, MATCH(M63, Variablen!$A:$A, 0), MATCH((YEAR(D63)+6), Variablen!$I$3:$AT$3, 0))),L63)))*(IF((YEAR(D63)+6)&lt;YEAR(E63),0,IF((YEAR(D63)+6)&gt;YEAR(E63),1,(12-MONTH(E63)+1)/12))) + (Q63)*(IF((YEAR(D63)+6)&lt;YEAR(E63),0,IF((YEAR(D63)+6)&gt;YEAR(E63),1,(12-MONTH(E63)+1)/12))))-((P63)*(IF((YEAR(D63)+6)&lt;YEAR(E63),0,IF((YEAR(D63)+6)&gt;YEAR(E63),1,(12-MONTH(E63)+1)/12))) + (R63)*(IF((YEAR(D63)+6)&lt;YEAR(E63),0,IF((YEAR(D63)+6)&gt;YEAR(E63),1,(12-MONTH(E63)+1)/12))))-(IF(OR(N63="",N63&lt;=0),0,(O63/N63)*(IF(OR(N63="",N63&lt;=0),0,IF((YEAR(D63)+6)&lt;YEAR(E63),0,IF((YEAR(D63)+6)&gt;=YEAR(E63)+N63,0,IF((YEAR(D63)+6)=YEAR(E63),(12-MONTH(E63)+1)/12,1))))))))*TaxRate,0))-IF(6=0,O63,0))</f>
        <v/>
      </c>
      <c r="Z63" s="29">
        <f>IF(A63="","",((K63)*(IF(M63="",L63,IFERROR(IF(INDEX(Variablen!$I:$AT, MATCH(M63, Variablen!$A:$A, 0), MATCH((YEAR(D63)+7), Variablen!$I$3:$AT$3, 0))="",L63,INDEX(Variablen!$I:$AT, MATCH(M63, Variablen!$A:$A, 0), MATCH((YEAR(D63)+7), Variablen!$I$3:$AT$3, 0))),L63)))*(IF((YEAR(D63)+7)&lt;YEAR(E63),0,IF((YEAR(D63)+7)&gt;YEAR(E63),1,(12-MONTH(E63)+1)/12))) + (Q63)*(IF((YEAR(D63)+7)&lt;YEAR(E63),0,IF((YEAR(D63)+7)&gt;YEAR(E63),1,(12-MONTH(E63)+1)/12))))-((P63)*(IF((YEAR(D63)+7)&lt;YEAR(E63),0,IF((YEAR(D63)+7)&gt;YEAR(E63),1,(12-MONTH(E63)+1)/12))) + (R63)*(IF((YEAR(D63)+7)&lt;YEAR(E63),0,IF((YEAR(D63)+7)&gt;YEAR(E63),1,(12-MONTH(E63)+1)/12))))-(IF((((K63)*(IF(M63="",L63,IFERROR(IF(INDEX(Variablen!$I:$AT, MATCH(M63, Variablen!$A:$A, 0), MATCH((YEAR(D63)+7), Variablen!$I$3:$AT$3, 0))="",L63,INDEX(Variablen!$I:$AT, MATCH(M63, Variablen!$A:$A, 0), MATCH((YEAR(D63)+7), Variablen!$I$3:$AT$3, 0))),L63)))*(IF((YEAR(D63)+7)&lt;YEAR(E63),0,IF((YEAR(D63)+7)&gt;YEAR(E63),1,(12-MONTH(E63)+1)/12))) + (Q63)*(IF((YEAR(D63)+7)&lt;YEAR(E63),0,IF((YEAR(D63)+7)&gt;YEAR(E63),1,(12-MONTH(E63)+1)/12))))-((P63)*(IF((YEAR(D63)+7)&lt;YEAR(E63),0,IF((YEAR(D63)+7)&gt;YEAR(E63),1,(12-MONTH(E63)+1)/12))) + (R63)*(IF((YEAR(D63)+7)&lt;YEAR(E63),0,IF((YEAR(D63)+7)&gt;YEAR(E63),1,(12-MONTH(E63)+1)/12))))-(IF(OR(N63="",N63&lt;=0),0,(O63/N63)*(IF(OR(N63="",N63&lt;=0),0,IF((YEAR(D63)+7)&lt;YEAR(E63),0,IF((YEAR(D63)+7)&gt;=YEAR(E63)+N63,0,IF((YEAR(D63)+7)=YEAR(E63),(12-MONTH(E63)+1)/12,1))))))))&gt;0,(((K63)*(IF(M63="",L63,IFERROR(IF(INDEX(Variablen!$I:$AT, MATCH(M63, Variablen!$A:$A, 0), MATCH((YEAR(D63)+7), Variablen!$I$3:$AT$3, 0))="",L63,INDEX(Variablen!$I:$AT, MATCH(M63, Variablen!$A:$A, 0), MATCH((YEAR(D63)+7), Variablen!$I$3:$AT$3, 0))),L63)))*(IF((YEAR(D63)+7)&lt;YEAR(E63),0,IF((YEAR(D63)+7)&gt;YEAR(E63),1,(12-MONTH(E63)+1)/12))) + (Q63)*(IF((YEAR(D63)+7)&lt;YEAR(E63),0,IF((YEAR(D63)+7)&gt;YEAR(E63),1,(12-MONTH(E63)+1)/12))))-((P63)*(IF((YEAR(D63)+7)&lt;YEAR(E63),0,IF((YEAR(D63)+7)&gt;YEAR(E63),1,(12-MONTH(E63)+1)/12))) + (R63)*(IF((YEAR(D63)+7)&lt;YEAR(E63),0,IF((YEAR(D63)+7)&gt;YEAR(E63),1,(12-MONTH(E63)+1)/12))))-(IF(OR(N63="",N63&lt;=0),0,(O63/N63)*(IF(OR(N63="",N63&lt;=0),0,IF((YEAR(D63)+7)&lt;YEAR(E63),0,IF((YEAR(D63)+7)&gt;=YEAR(E63)+N63,0,IF((YEAR(D63)+7)=YEAR(E63),(12-MONTH(E63)+1)/12,1))))))))*TaxRate,0))-IF(7=0,O63,0))</f>
        <v/>
      </c>
      <c r="AA63" s="29">
        <f>IF(A63="","",((K63)*(IF(M63="",L63,IFERROR(IF(INDEX(Variablen!$I:$AT, MATCH(M63, Variablen!$A:$A, 0), MATCH((YEAR(D63)+8), Variablen!$I$3:$AT$3, 0))="",L63,INDEX(Variablen!$I:$AT, MATCH(M63, Variablen!$A:$A, 0), MATCH((YEAR(D63)+8), Variablen!$I$3:$AT$3, 0))),L63)))*(IF((YEAR(D63)+8)&lt;YEAR(E63),0,IF((YEAR(D63)+8)&gt;YEAR(E63),1,(12-MONTH(E63)+1)/12))) + (Q63)*(IF((YEAR(D63)+8)&lt;YEAR(E63),0,IF((YEAR(D63)+8)&gt;YEAR(E63),1,(12-MONTH(E63)+1)/12))))-((P63)*(IF((YEAR(D63)+8)&lt;YEAR(E63),0,IF((YEAR(D63)+8)&gt;YEAR(E63),1,(12-MONTH(E63)+1)/12))) + (R63)*(IF((YEAR(D63)+8)&lt;YEAR(E63),0,IF((YEAR(D63)+8)&gt;YEAR(E63),1,(12-MONTH(E63)+1)/12))))-(IF((((K63)*(IF(M63="",L63,IFERROR(IF(INDEX(Variablen!$I:$AT, MATCH(M63, Variablen!$A:$A, 0), MATCH((YEAR(D63)+8), Variablen!$I$3:$AT$3, 0))="",L63,INDEX(Variablen!$I:$AT, MATCH(M63, Variablen!$A:$A, 0), MATCH((YEAR(D63)+8), Variablen!$I$3:$AT$3, 0))),L63)))*(IF((YEAR(D63)+8)&lt;YEAR(E63),0,IF((YEAR(D63)+8)&gt;YEAR(E63),1,(12-MONTH(E63)+1)/12))) + (Q63)*(IF((YEAR(D63)+8)&lt;YEAR(E63),0,IF((YEAR(D63)+8)&gt;YEAR(E63),1,(12-MONTH(E63)+1)/12))))-((P63)*(IF((YEAR(D63)+8)&lt;YEAR(E63),0,IF((YEAR(D63)+8)&gt;YEAR(E63),1,(12-MONTH(E63)+1)/12))) + (R63)*(IF((YEAR(D63)+8)&lt;YEAR(E63),0,IF((YEAR(D63)+8)&gt;YEAR(E63),1,(12-MONTH(E63)+1)/12))))-(IF(OR(N63="",N63&lt;=0),0,(O63/N63)*(IF(OR(N63="",N63&lt;=0),0,IF((YEAR(D63)+8)&lt;YEAR(E63),0,IF((YEAR(D63)+8)&gt;=YEAR(E63)+N63,0,IF((YEAR(D63)+8)=YEAR(E63),(12-MONTH(E63)+1)/12,1))))))))&gt;0,(((K63)*(IF(M63="",L63,IFERROR(IF(INDEX(Variablen!$I:$AT, MATCH(M63, Variablen!$A:$A, 0), MATCH((YEAR(D63)+8), Variablen!$I$3:$AT$3, 0))="",L63,INDEX(Variablen!$I:$AT, MATCH(M63, Variablen!$A:$A, 0), MATCH((YEAR(D63)+8), Variablen!$I$3:$AT$3, 0))),L63)))*(IF((YEAR(D63)+8)&lt;YEAR(E63),0,IF((YEAR(D63)+8)&gt;YEAR(E63),1,(12-MONTH(E63)+1)/12))) + (Q63)*(IF((YEAR(D63)+8)&lt;YEAR(E63),0,IF((YEAR(D63)+8)&gt;YEAR(E63),1,(12-MONTH(E63)+1)/12))))-((P63)*(IF((YEAR(D63)+8)&lt;YEAR(E63),0,IF((YEAR(D63)+8)&gt;YEAR(E63),1,(12-MONTH(E63)+1)/12))) + (R63)*(IF((YEAR(D63)+8)&lt;YEAR(E63),0,IF((YEAR(D63)+8)&gt;YEAR(E63),1,(12-MONTH(E63)+1)/12))))-(IF(OR(N63="",N63&lt;=0),0,(O63/N63)*(IF(OR(N63="",N63&lt;=0),0,IF((YEAR(D63)+8)&lt;YEAR(E63),0,IF((YEAR(D63)+8)&gt;=YEAR(E63)+N63,0,IF((YEAR(D63)+8)=YEAR(E63),(12-MONTH(E63)+1)/12,1))))))))*TaxRate,0))-IF(8=0,O63,0))</f>
        <v/>
      </c>
      <c r="AB63" s="29">
        <f>IF(A63="","",((K63)*(IF(M63="",L63,IFERROR(IF(INDEX(Variablen!$I:$AT, MATCH(M63, Variablen!$A:$A, 0), MATCH((YEAR(D63)+9), Variablen!$I$3:$AT$3, 0))="",L63,INDEX(Variablen!$I:$AT, MATCH(M63, Variablen!$A:$A, 0), MATCH((YEAR(D63)+9), Variablen!$I$3:$AT$3, 0))),L63)))*(IF((YEAR(D63)+9)&lt;YEAR(E63),0,IF((YEAR(D63)+9)&gt;YEAR(E63),1,(12-MONTH(E63)+1)/12))) + (Q63)*(IF((YEAR(D63)+9)&lt;YEAR(E63),0,IF((YEAR(D63)+9)&gt;YEAR(E63),1,(12-MONTH(E63)+1)/12))))-((P63)*(IF((YEAR(D63)+9)&lt;YEAR(E63),0,IF((YEAR(D63)+9)&gt;YEAR(E63),1,(12-MONTH(E63)+1)/12))) + (R63)*(IF((YEAR(D63)+9)&lt;YEAR(E63),0,IF((YEAR(D63)+9)&gt;YEAR(E63),1,(12-MONTH(E63)+1)/12))))-(IF((((K63)*(IF(M63="",L63,IFERROR(IF(INDEX(Variablen!$I:$AT, MATCH(M63, Variablen!$A:$A, 0), MATCH((YEAR(D63)+9), Variablen!$I$3:$AT$3, 0))="",L63,INDEX(Variablen!$I:$AT, MATCH(M63, Variablen!$A:$A, 0), MATCH((YEAR(D63)+9), Variablen!$I$3:$AT$3, 0))),L63)))*(IF((YEAR(D63)+9)&lt;YEAR(E63),0,IF((YEAR(D63)+9)&gt;YEAR(E63),1,(12-MONTH(E63)+1)/12))) + (Q63)*(IF((YEAR(D63)+9)&lt;YEAR(E63),0,IF((YEAR(D63)+9)&gt;YEAR(E63),1,(12-MONTH(E63)+1)/12))))-((P63)*(IF((YEAR(D63)+9)&lt;YEAR(E63),0,IF((YEAR(D63)+9)&gt;YEAR(E63),1,(12-MONTH(E63)+1)/12))) + (R63)*(IF((YEAR(D63)+9)&lt;YEAR(E63),0,IF((YEAR(D63)+9)&gt;YEAR(E63),1,(12-MONTH(E63)+1)/12))))-(IF(OR(N63="",N63&lt;=0),0,(O63/N63)*(IF(OR(N63="",N63&lt;=0),0,IF((YEAR(D63)+9)&lt;YEAR(E63),0,IF((YEAR(D63)+9)&gt;=YEAR(E63)+N63,0,IF((YEAR(D63)+9)=YEAR(E63),(12-MONTH(E63)+1)/12,1))))))))&gt;0,(((K63)*(IF(M63="",L63,IFERROR(IF(INDEX(Variablen!$I:$AT, MATCH(M63, Variablen!$A:$A, 0), MATCH((YEAR(D63)+9), Variablen!$I$3:$AT$3, 0))="",L63,INDEX(Variablen!$I:$AT, MATCH(M63, Variablen!$A:$A, 0), MATCH((YEAR(D63)+9), Variablen!$I$3:$AT$3, 0))),L63)))*(IF((YEAR(D63)+9)&lt;YEAR(E63),0,IF((YEAR(D63)+9)&gt;YEAR(E63),1,(12-MONTH(E63)+1)/12))) + (Q63)*(IF((YEAR(D63)+9)&lt;YEAR(E63),0,IF((YEAR(D63)+9)&gt;YEAR(E63),1,(12-MONTH(E63)+1)/12))))-((P63)*(IF((YEAR(D63)+9)&lt;YEAR(E63),0,IF((YEAR(D63)+9)&gt;YEAR(E63),1,(12-MONTH(E63)+1)/12))) + (R63)*(IF((YEAR(D63)+9)&lt;YEAR(E63),0,IF((YEAR(D63)+9)&gt;YEAR(E63),1,(12-MONTH(E63)+1)/12))))-(IF(OR(N63="",N63&lt;=0),0,(O63/N63)*(IF(OR(N63="",N63&lt;=0),0,IF((YEAR(D63)+9)&lt;YEAR(E63),0,IF((YEAR(D63)+9)&gt;=YEAR(E63)+N63,0,IF((YEAR(D63)+9)=YEAR(E63),(12-MONTH(E63)+1)/12,1))))))))*TaxRate,0))-IF(9=0,O63,0))</f>
        <v/>
      </c>
      <c r="AC63" s="29">
        <f>IF(A63="","",((K63)*(IF(M63="",L63,IFERROR(IF(INDEX(Variablen!$I:$AT, MATCH(M63, Variablen!$A:$A, 0), MATCH((YEAR(D63)+10), Variablen!$I$3:$AT$3, 0))="",L63,INDEX(Variablen!$I:$AT, MATCH(M63, Variablen!$A:$A, 0), MATCH((YEAR(D63)+10), Variablen!$I$3:$AT$3, 0))),L63)))*(IF((YEAR(D63)+10)&lt;YEAR(E63),0,IF((YEAR(D63)+10)&gt;YEAR(E63),1,(12-MONTH(E63)+1)/12))) + (Q63)*(IF((YEAR(D63)+10)&lt;YEAR(E63),0,IF((YEAR(D63)+10)&gt;YEAR(E63),1,(12-MONTH(E63)+1)/12))))-((P63)*(IF((YEAR(D63)+10)&lt;YEAR(E63),0,IF((YEAR(D63)+10)&gt;YEAR(E63),1,(12-MONTH(E63)+1)/12))) + (R63)*(IF((YEAR(D63)+10)&lt;YEAR(E63),0,IF((YEAR(D63)+10)&gt;YEAR(E63),1,(12-MONTH(E63)+1)/12))))-(IF((((K63)*(IF(M63="",L63,IFERROR(IF(INDEX(Variablen!$I:$AT, MATCH(M63, Variablen!$A:$A, 0), MATCH((YEAR(D63)+10), Variablen!$I$3:$AT$3, 0))="",L63,INDEX(Variablen!$I:$AT, MATCH(M63, Variablen!$A:$A, 0), MATCH((YEAR(D63)+10), Variablen!$I$3:$AT$3, 0))),L63)))*(IF((YEAR(D63)+10)&lt;YEAR(E63),0,IF((YEAR(D63)+10)&gt;YEAR(E63),1,(12-MONTH(E63)+1)/12))) + (Q63)*(IF((YEAR(D63)+10)&lt;YEAR(E63),0,IF((YEAR(D63)+10)&gt;YEAR(E63),1,(12-MONTH(E63)+1)/12))))-((P63)*(IF((YEAR(D63)+10)&lt;YEAR(E63),0,IF((YEAR(D63)+10)&gt;YEAR(E63),1,(12-MONTH(E63)+1)/12))) + (R63)*(IF((YEAR(D63)+10)&lt;YEAR(E63),0,IF((YEAR(D63)+10)&gt;YEAR(E63),1,(12-MONTH(E63)+1)/12))))-(IF(OR(N63="",N63&lt;=0),0,(O63/N63)*(IF(OR(N63="",N63&lt;=0),0,IF((YEAR(D63)+10)&lt;YEAR(E63),0,IF((YEAR(D63)+10)&gt;=YEAR(E63)+N63,0,IF((YEAR(D63)+10)=YEAR(E63),(12-MONTH(E63)+1)/12,1))))))))&gt;0,(((K63)*(IF(M63="",L63,IFERROR(IF(INDEX(Variablen!$I:$AT, MATCH(M63, Variablen!$A:$A, 0), MATCH((YEAR(D63)+10), Variablen!$I$3:$AT$3, 0))="",L63,INDEX(Variablen!$I:$AT, MATCH(M63, Variablen!$A:$A, 0), MATCH((YEAR(D63)+10), Variablen!$I$3:$AT$3, 0))),L63)))*(IF((YEAR(D63)+10)&lt;YEAR(E63),0,IF((YEAR(D63)+10)&gt;YEAR(E63),1,(12-MONTH(E63)+1)/12))) + (Q63)*(IF((YEAR(D63)+10)&lt;YEAR(E63),0,IF((YEAR(D63)+10)&gt;YEAR(E63),1,(12-MONTH(E63)+1)/12))))-((P63)*(IF((YEAR(D63)+10)&lt;YEAR(E63),0,IF((YEAR(D63)+10)&gt;YEAR(E63),1,(12-MONTH(E63)+1)/12))) + (R63)*(IF((YEAR(D63)+10)&lt;YEAR(E63),0,IF((YEAR(D63)+10)&gt;YEAR(E63),1,(12-MONTH(E63)+1)/12))))-(IF(OR(N63="",N63&lt;=0),0,(O63/N63)*(IF(OR(N63="",N63&lt;=0),0,IF((YEAR(D63)+10)&lt;YEAR(E63),0,IF((YEAR(D63)+10)&gt;=YEAR(E63)+N63,0,IF((YEAR(D63)+10)=YEAR(E63),(12-MONTH(E63)+1)/12,1))))))))*TaxRate,0))-IF(10=0,O63,0))</f>
        <v/>
      </c>
      <c r="AD63" s="29">
        <f>IF(A63="","",((K63)*(IF(M63="",L63,IFERROR(IF(INDEX(Variablen!$I:$AT, MATCH(M63, Variablen!$A:$A, 0), MATCH((YEAR(D63)+11), Variablen!$I$3:$AT$3, 0))="",L63,INDEX(Variablen!$I:$AT, MATCH(M63, Variablen!$A:$A, 0), MATCH((YEAR(D63)+11), Variablen!$I$3:$AT$3, 0))),L63)))*(IF((YEAR(D63)+11)&lt;YEAR(E63),0,IF((YEAR(D63)+11)&gt;YEAR(E63),1,(12-MONTH(E63)+1)/12))) + (Q63)*(IF((YEAR(D63)+11)&lt;YEAR(E63),0,IF((YEAR(D63)+11)&gt;YEAR(E63),1,(12-MONTH(E63)+1)/12))))-((P63)*(IF((YEAR(D63)+11)&lt;YEAR(E63),0,IF((YEAR(D63)+11)&gt;YEAR(E63),1,(12-MONTH(E63)+1)/12))) + (R63)*(IF((YEAR(D63)+11)&lt;YEAR(E63),0,IF((YEAR(D63)+11)&gt;YEAR(E63),1,(12-MONTH(E63)+1)/12))))-(IF((((K63)*(IF(M63="",L63,IFERROR(IF(INDEX(Variablen!$I:$AT, MATCH(M63, Variablen!$A:$A, 0), MATCH((YEAR(D63)+11), Variablen!$I$3:$AT$3, 0))="",L63,INDEX(Variablen!$I:$AT, MATCH(M63, Variablen!$A:$A, 0), MATCH((YEAR(D63)+11), Variablen!$I$3:$AT$3, 0))),L63)))*(IF((YEAR(D63)+11)&lt;YEAR(E63),0,IF((YEAR(D63)+11)&gt;YEAR(E63),1,(12-MONTH(E63)+1)/12))) + (Q63)*(IF((YEAR(D63)+11)&lt;YEAR(E63),0,IF((YEAR(D63)+11)&gt;YEAR(E63),1,(12-MONTH(E63)+1)/12))))-((P63)*(IF((YEAR(D63)+11)&lt;YEAR(E63),0,IF((YEAR(D63)+11)&gt;YEAR(E63),1,(12-MONTH(E63)+1)/12))) + (R63)*(IF((YEAR(D63)+11)&lt;YEAR(E63),0,IF((YEAR(D63)+11)&gt;YEAR(E63),1,(12-MONTH(E63)+1)/12))))-(IF(OR(N63="",N63&lt;=0),0,(O63/N63)*(IF(OR(N63="",N63&lt;=0),0,IF((YEAR(D63)+11)&lt;YEAR(E63),0,IF((YEAR(D63)+11)&gt;=YEAR(E63)+N63,0,IF((YEAR(D63)+11)=YEAR(E63),(12-MONTH(E63)+1)/12,1))))))))&gt;0,(((K63)*(IF(M63="",L63,IFERROR(IF(INDEX(Variablen!$I:$AT, MATCH(M63, Variablen!$A:$A, 0), MATCH((YEAR(D63)+11), Variablen!$I$3:$AT$3, 0))="",L63,INDEX(Variablen!$I:$AT, MATCH(M63, Variablen!$A:$A, 0), MATCH((YEAR(D63)+11), Variablen!$I$3:$AT$3, 0))),L63)))*(IF((YEAR(D63)+11)&lt;YEAR(E63),0,IF((YEAR(D63)+11)&gt;YEAR(E63),1,(12-MONTH(E63)+1)/12))) + (Q63)*(IF((YEAR(D63)+11)&lt;YEAR(E63),0,IF((YEAR(D63)+11)&gt;YEAR(E63),1,(12-MONTH(E63)+1)/12))))-((P63)*(IF((YEAR(D63)+11)&lt;YEAR(E63),0,IF((YEAR(D63)+11)&gt;YEAR(E63),1,(12-MONTH(E63)+1)/12))) + (R63)*(IF((YEAR(D63)+11)&lt;YEAR(E63),0,IF((YEAR(D63)+11)&gt;YEAR(E63),1,(12-MONTH(E63)+1)/12))))-(IF(OR(N63="",N63&lt;=0),0,(O63/N63)*(IF(OR(N63="",N63&lt;=0),0,IF((YEAR(D63)+11)&lt;YEAR(E63),0,IF((YEAR(D63)+11)&gt;=YEAR(E63)+N63,0,IF((YEAR(D63)+11)=YEAR(E63),(12-MONTH(E63)+1)/12,1))))))))*TaxRate,0))-IF(11=0,O63,0))</f>
        <v/>
      </c>
      <c r="AE63" s="29">
        <f>IF(A63="","",((K63)*(IF(M63="",L63,IFERROR(IF(INDEX(Variablen!$I:$AT, MATCH(M63, Variablen!$A:$A, 0), MATCH((YEAR(D63)+12), Variablen!$I$3:$AT$3, 0))="",L63,INDEX(Variablen!$I:$AT, MATCH(M63, Variablen!$A:$A, 0), MATCH((YEAR(D63)+12), Variablen!$I$3:$AT$3, 0))),L63)))*(IF((YEAR(D63)+12)&lt;YEAR(E63),0,IF((YEAR(D63)+12)&gt;YEAR(E63),1,(12-MONTH(E63)+1)/12))) + (Q63)*(IF((YEAR(D63)+12)&lt;YEAR(E63),0,IF((YEAR(D63)+12)&gt;YEAR(E63),1,(12-MONTH(E63)+1)/12))))-((P63)*(IF((YEAR(D63)+12)&lt;YEAR(E63),0,IF((YEAR(D63)+12)&gt;YEAR(E63),1,(12-MONTH(E63)+1)/12))) + (R63)*(IF((YEAR(D63)+12)&lt;YEAR(E63),0,IF((YEAR(D63)+12)&gt;YEAR(E63),1,(12-MONTH(E63)+1)/12))))-(IF((((K63)*(IF(M63="",L63,IFERROR(IF(INDEX(Variablen!$I:$AT, MATCH(M63, Variablen!$A:$A, 0), MATCH((YEAR(D63)+12), Variablen!$I$3:$AT$3, 0))="",L63,INDEX(Variablen!$I:$AT, MATCH(M63, Variablen!$A:$A, 0), MATCH((YEAR(D63)+12), Variablen!$I$3:$AT$3, 0))),L63)))*(IF((YEAR(D63)+12)&lt;YEAR(E63),0,IF((YEAR(D63)+12)&gt;YEAR(E63),1,(12-MONTH(E63)+1)/12))) + (Q63)*(IF((YEAR(D63)+12)&lt;YEAR(E63),0,IF((YEAR(D63)+12)&gt;YEAR(E63),1,(12-MONTH(E63)+1)/12))))-((P63)*(IF((YEAR(D63)+12)&lt;YEAR(E63),0,IF((YEAR(D63)+12)&gt;YEAR(E63),1,(12-MONTH(E63)+1)/12))) + (R63)*(IF((YEAR(D63)+12)&lt;YEAR(E63),0,IF((YEAR(D63)+12)&gt;YEAR(E63),1,(12-MONTH(E63)+1)/12))))-(IF(OR(N63="",N63&lt;=0),0,(O63/N63)*(IF(OR(N63="",N63&lt;=0),0,IF((YEAR(D63)+12)&lt;YEAR(E63),0,IF((YEAR(D63)+12)&gt;=YEAR(E63)+N63,0,IF((YEAR(D63)+12)=YEAR(E63),(12-MONTH(E63)+1)/12,1))))))))&gt;0,(((K63)*(IF(M63="",L63,IFERROR(IF(INDEX(Variablen!$I:$AT, MATCH(M63, Variablen!$A:$A, 0), MATCH((YEAR(D63)+12), Variablen!$I$3:$AT$3, 0))="",L63,INDEX(Variablen!$I:$AT, MATCH(M63, Variablen!$A:$A, 0), MATCH((YEAR(D63)+12), Variablen!$I$3:$AT$3, 0))),L63)))*(IF((YEAR(D63)+12)&lt;YEAR(E63),0,IF((YEAR(D63)+12)&gt;YEAR(E63),1,(12-MONTH(E63)+1)/12))) + (Q63)*(IF((YEAR(D63)+12)&lt;YEAR(E63),0,IF((YEAR(D63)+12)&gt;YEAR(E63),1,(12-MONTH(E63)+1)/12))))-((P63)*(IF((YEAR(D63)+12)&lt;YEAR(E63),0,IF((YEAR(D63)+12)&gt;YEAR(E63),1,(12-MONTH(E63)+1)/12))) + (R63)*(IF((YEAR(D63)+12)&lt;YEAR(E63),0,IF((YEAR(D63)+12)&gt;YEAR(E63),1,(12-MONTH(E63)+1)/12))))-(IF(OR(N63="",N63&lt;=0),0,(O63/N63)*(IF(OR(N63="",N63&lt;=0),0,IF((YEAR(D63)+12)&lt;YEAR(E63),0,IF((YEAR(D63)+12)&gt;=YEAR(E63)+N63,0,IF((YEAR(D63)+12)=YEAR(E63),(12-MONTH(E63)+1)/12,1))))))))*TaxRate,0))-IF(12=0,O63,0))</f>
        <v/>
      </c>
      <c r="AF63" s="29">
        <f>IF(A63="","",((K63)*(IF(M63="",L63,IFERROR(IF(INDEX(Variablen!$I:$AT, MATCH(M63, Variablen!$A:$A, 0), MATCH((YEAR(D63)+13), Variablen!$I$3:$AT$3, 0))="",L63,INDEX(Variablen!$I:$AT, MATCH(M63, Variablen!$A:$A, 0), MATCH((YEAR(D63)+13), Variablen!$I$3:$AT$3, 0))),L63)))*(IF((YEAR(D63)+13)&lt;YEAR(E63),0,IF((YEAR(D63)+13)&gt;YEAR(E63),1,(12-MONTH(E63)+1)/12))) + (Q63)*(IF((YEAR(D63)+13)&lt;YEAR(E63),0,IF((YEAR(D63)+13)&gt;YEAR(E63),1,(12-MONTH(E63)+1)/12))))-((P63)*(IF((YEAR(D63)+13)&lt;YEAR(E63),0,IF((YEAR(D63)+13)&gt;YEAR(E63),1,(12-MONTH(E63)+1)/12))) + (R63)*(IF((YEAR(D63)+13)&lt;YEAR(E63),0,IF((YEAR(D63)+13)&gt;YEAR(E63),1,(12-MONTH(E63)+1)/12))))-(IF((((K63)*(IF(M63="",L63,IFERROR(IF(INDEX(Variablen!$I:$AT, MATCH(M63, Variablen!$A:$A, 0), MATCH((YEAR(D63)+13), Variablen!$I$3:$AT$3, 0))="",L63,INDEX(Variablen!$I:$AT, MATCH(M63, Variablen!$A:$A, 0), MATCH((YEAR(D63)+13), Variablen!$I$3:$AT$3, 0))),L63)))*(IF((YEAR(D63)+13)&lt;YEAR(E63),0,IF((YEAR(D63)+13)&gt;YEAR(E63),1,(12-MONTH(E63)+1)/12))) + (Q63)*(IF((YEAR(D63)+13)&lt;YEAR(E63),0,IF((YEAR(D63)+13)&gt;YEAR(E63),1,(12-MONTH(E63)+1)/12))))-((P63)*(IF((YEAR(D63)+13)&lt;YEAR(E63),0,IF((YEAR(D63)+13)&gt;YEAR(E63),1,(12-MONTH(E63)+1)/12))) + (R63)*(IF((YEAR(D63)+13)&lt;YEAR(E63),0,IF((YEAR(D63)+13)&gt;YEAR(E63),1,(12-MONTH(E63)+1)/12))))-(IF(OR(N63="",N63&lt;=0),0,(O63/N63)*(IF(OR(N63="",N63&lt;=0),0,IF((YEAR(D63)+13)&lt;YEAR(E63),0,IF((YEAR(D63)+13)&gt;=YEAR(E63)+N63,0,IF((YEAR(D63)+13)=YEAR(E63),(12-MONTH(E63)+1)/12,1))))))))&gt;0,(((K63)*(IF(M63="",L63,IFERROR(IF(INDEX(Variablen!$I:$AT, MATCH(M63, Variablen!$A:$A, 0), MATCH((YEAR(D63)+13), Variablen!$I$3:$AT$3, 0))="",L63,INDEX(Variablen!$I:$AT, MATCH(M63, Variablen!$A:$A, 0), MATCH((YEAR(D63)+13), Variablen!$I$3:$AT$3, 0))),L63)))*(IF((YEAR(D63)+13)&lt;YEAR(E63),0,IF((YEAR(D63)+13)&gt;YEAR(E63),1,(12-MONTH(E63)+1)/12))) + (Q63)*(IF((YEAR(D63)+13)&lt;YEAR(E63),0,IF((YEAR(D63)+13)&gt;YEAR(E63),1,(12-MONTH(E63)+1)/12))))-((P63)*(IF((YEAR(D63)+13)&lt;YEAR(E63),0,IF((YEAR(D63)+13)&gt;YEAR(E63),1,(12-MONTH(E63)+1)/12))) + (R63)*(IF((YEAR(D63)+13)&lt;YEAR(E63),0,IF((YEAR(D63)+13)&gt;YEAR(E63),1,(12-MONTH(E63)+1)/12))))-(IF(OR(N63="",N63&lt;=0),0,(O63/N63)*(IF(OR(N63="",N63&lt;=0),0,IF((YEAR(D63)+13)&lt;YEAR(E63),0,IF((YEAR(D63)+13)&gt;=YEAR(E63)+N63,0,IF((YEAR(D63)+13)=YEAR(E63),(12-MONTH(E63)+1)/12,1))))))))*TaxRate,0))-IF(13=0,O63,0))</f>
        <v/>
      </c>
      <c r="AG63" s="29">
        <f>IF(A63="","",((K63)*(IF(M63="",L63,IFERROR(IF(INDEX(Variablen!$I:$AT, MATCH(M63, Variablen!$A:$A, 0), MATCH((YEAR(D63)+14), Variablen!$I$3:$AT$3, 0))="",L63,INDEX(Variablen!$I:$AT, MATCH(M63, Variablen!$A:$A, 0), MATCH((YEAR(D63)+14), Variablen!$I$3:$AT$3, 0))),L63)))*(IF((YEAR(D63)+14)&lt;YEAR(E63),0,IF((YEAR(D63)+14)&gt;YEAR(E63),1,(12-MONTH(E63)+1)/12))) + (Q63)*(IF((YEAR(D63)+14)&lt;YEAR(E63),0,IF((YEAR(D63)+14)&gt;YEAR(E63),1,(12-MONTH(E63)+1)/12))))-((P63)*(IF((YEAR(D63)+14)&lt;YEAR(E63),0,IF((YEAR(D63)+14)&gt;YEAR(E63),1,(12-MONTH(E63)+1)/12))) + (R63)*(IF((YEAR(D63)+14)&lt;YEAR(E63),0,IF((YEAR(D63)+14)&gt;YEAR(E63),1,(12-MONTH(E63)+1)/12))))-(IF((((K63)*(IF(M63="",L63,IFERROR(IF(INDEX(Variablen!$I:$AT, MATCH(M63, Variablen!$A:$A, 0), MATCH((YEAR(D63)+14), Variablen!$I$3:$AT$3, 0))="",L63,INDEX(Variablen!$I:$AT, MATCH(M63, Variablen!$A:$A, 0), MATCH((YEAR(D63)+14), Variablen!$I$3:$AT$3, 0))),L63)))*(IF((YEAR(D63)+14)&lt;YEAR(E63),0,IF((YEAR(D63)+14)&gt;YEAR(E63),1,(12-MONTH(E63)+1)/12))) + (Q63)*(IF((YEAR(D63)+14)&lt;YEAR(E63),0,IF((YEAR(D63)+14)&gt;YEAR(E63),1,(12-MONTH(E63)+1)/12))))-((P63)*(IF((YEAR(D63)+14)&lt;YEAR(E63),0,IF((YEAR(D63)+14)&gt;YEAR(E63),1,(12-MONTH(E63)+1)/12))) + (R63)*(IF((YEAR(D63)+14)&lt;YEAR(E63),0,IF((YEAR(D63)+14)&gt;YEAR(E63),1,(12-MONTH(E63)+1)/12))))-(IF(OR(N63="",N63&lt;=0),0,(O63/N63)*(IF(OR(N63="",N63&lt;=0),0,IF((YEAR(D63)+14)&lt;YEAR(E63),0,IF((YEAR(D63)+14)&gt;=YEAR(E63)+N63,0,IF((YEAR(D63)+14)=YEAR(E63),(12-MONTH(E63)+1)/12,1))))))))&gt;0,(((K63)*(IF(M63="",L63,IFERROR(IF(INDEX(Variablen!$I:$AT, MATCH(M63, Variablen!$A:$A, 0), MATCH((YEAR(D63)+14), Variablen!$I$3:$AT$3, 0))="",L63,INDEX(Variablen!$I:$AT, MATCH(M63, Variablen!$A:$A, 0), MATCH((YEAR(D63)+14), Variablen!$I$3:$AT$3, 0))),L63)))*(IF((YEAR(D63)+14)&lt;YEAR(E63),0,IF((YEAR(D63)+14)&gt;YEAR(E63),1,(12-MONTH(E63)+1)/12))) + (Q63)*(IF((YEAR(D63)+14)&lt;YEAR(E63),0,IF((YEAR(D63)+14)&gt;YEAR(E63),1,(12-MONTH(E63)+1)/12))))-((P63)*(IF((YEAR(D63)+14)&lt;YEAR(E63),0,IF((YEAR(D63)+14)&gt;YEAR(E63),1,(12-MONTH(E63)+1)/12))) + (R63)*(IF((YEAR(D63)+14)&lt;YEAR(E63),0,IF((YEAR(D63)+14)&gt;YEAR(E63),1,(12-MONTH(E63)+1)/12))))-(IF(OR(N63="",N63&lt;=0),0,(O63/N63)*(IF(OR(N63="",N63&lt;=0),0,IF((YEAR(D63)+14)&lt;YEAR(E63),0,IF((YEAR(D63)+14)&gt;=YEAR(E63)+N63,0,IF((YEAR(D63)+14)=YEAR(E63),(12-MONTH(E63)+1)/12,1))))))))*TaxRate,0))-IF(14=0,O63,0))</f>
        <v/>
      </c>
      <c r="AH63" s="29">
        <f>IF(A63="","",((K63)*(IF(M63="",L63,IFERROR(IF(INDEX(Variablen!$I:$AT, MATCH(M63, Variablen!$A:$A, 0), MATCH((YEAR(D63)+15), Variablen!$I$3:$AT$3, 0))="",L63,INDEX(Variablen!$I:$AT, MATCH(M63, Variablen!$A:$A, 0), MATCH((YEAR(D63)+15), Variablen!$I$3:$AT$3, 0))),L63)))*(IF((YEAR(D63)+15)&lt;YEAR(E63),0,IF((YEAR(D63)+15)&gt;YEAR(E63),1,(12-MONTH(E63)+1)/12))) + (Q63)*(IF((YEAR(D63)+15)&lt;YEAR(E63),0,IF((YEAR(D63)+15)&gt;YEAR(E63),1,(12-MONTH(E63)+1)/12))))-((P63)*(IF((YEAR(D63)+15)&lt;YEAR(E63),0,IF((YEAR(D63)+15)&gt;YEAR(E63),1,(12-MONTH(E63)+1)/12))) + (R63)*(IF((YEAR(D63)+15)&lt;YEAR(E63),0,IF((YEAR(D63)+15)&gt;YEAR(E63),1,(12-MONTH(E63)+1)/12))))-(IF((((K63)*(IF(M63="",L63,IFERROR(IF(INDEX(Variablen!$I:$AT, MATCH(M63, Variablen!$A:$A, 0), MATCH((YEAR(D63)+15), Variablen!$I$3:$AT$3, 0))="",L63,INDEX(Variablen!$I:$AT, MATCH(M63, Variablen!$A:$A, 0), MATCH((YEAR(D63)+15), Variablen!$I$3:$AT$3, 0))),L63)))*(IF((YEAR(D63)+15)&lt;YEAR(E63),0,IF((YEAR(D63)+15)&gt;YEAR(E63),1,(12-MONTH(E63)+1)/12))) + (Q63)*(IF((YEAR(D63)+15)&lt;YEAR(E63),0,IF((YEAR(D63)+15)&gt;YEAR(E63),1,(12-MONTH(E63)+1)/12))))-((P63)*(IF((YEAR(D63)+15)&lt;YEAR(E63),0,IF((YEAR(D63)+15)&gt;YEAR(E63),1,(12-MONTH(E63)+1)/12))) + (R63)*(IF((YEAR(D63)+15)&lt;YEAR(E63),0,IF((YEAR(D63)+15)&gt;YEAR(E63),1,(12-MONTH(E63)+1)/12))))-(IF(OR(N63="",N63&lt;=0),0,(O63/N63)*(IF(OR(N63="",N63&lt;=0),0,IF((YEAR(D63)+15)&lt;YEAR(E63),0,IF((YEAR(D63)+15)&gt;=YEAR(E63)+N63,0,IF((YEAR(D63)+15)=YEAR(E63),(12-MONTH(E63)+1)/12,1))))))))&gt;0,(((K63)*(IF(M63="",L63,IFERROR(IF(INDEX(Variablen!$I:$AT, MATCH(M63, Variablen!$A:$A, 0), MATCH((YEAR(D63)+15), Variablen!$I$3:$AT$3, 0))="",L63,INDEX(Variablen!$I:$AT, MATCH(M63, Variablen!$A:$A, 0), MATCH((YEAR(D63)+15), Variablen!$I$3:$AT$3, 0))),L63)))*(IF((YEAR(D63)+15)&lt;YEAR(E63),0,IF((YEAR(D63)+15)&gt;YEAR(E63),1,(12-MONTH(E63)+1)/12))) + (Q63)*(IF((YEAR(D63)+15)&lt;YEAR(E63),0,IF((YEAR(D63)+15)&gt;YEAR(E63),1,(12-MONTH(E63)+1)/12))))-((P63)*(IF((YEAR(D63)+15)&lt;YEAR(E63),0,IF((YEAR(D63)+15)&gt;YEAR(E63),1,(12-MONTH(E63)+1)/12))) + (R63)*(IF((YEAR(D63)+15)&lt;YEAR(E63),0,IF((YEAR(D63)+15)&gt;YEAR(E63),1,(12-MONTH(E63)+1)/12))))-(IF(OR(N63="",N63&lt;=0),0,(O63/N63)*(IF(OR(N63="",N63&lt;=0),0,IF((YEAR(D63)+15)&lt;YEAR(E63),0,IF((YEAR(D63)+15)&gt;=YEAR(E63)+N63,0,IF((YEAR(D63)+15)=YEAR(E63),(12-MONTH(E63)+1)/12,1))))))))*TaxRate,0))-IF(15=0,O63,0))</f>
        <v/>
      </c>
      <c r="AI63" s="29">
        <f>IF(A63="","",((K63)*(IF(M63="",L63,IFERROR(IF(INDEX(Variablen!$I:$AT, MATCH(M63, Variablen!$A:$A, 0), MATCH((YEAR(D63)+16), Variablen!$I$3:$AT$3, 0))="",L63,INDEX(Variablen!$I:$AT, MATCH(M63, Variablen!$A:$A, 0), MATCH((YEAR(D63)+16), Variablen!$I$3:$AT$3, 0))),L63)))*(IF((YEAR(D63)+16)&lt;YEAR(E63),0,IF((YEAR(D63)+16)&gt;YEAR(E63),1,(12-MONTH(E63)+1)/12))) + (Q63)*(IF((YEAR(D63)+16)&lt;YEAR(E63),0,IF((YEAR(D63)+16)&gt;YEAR(E63),1,(12-MONTH(E63)+1)/12))))-((P63)*(IF((YEAR(D63)+16)&lt;YEAR(E63),0,IF((YEAR(D63)+16)&gt;YEAR(E63),1,(12-MONTH(E63)+1)/12))) + (R63)*(IF((YEAR(D63)+16)&lt;YEAR(E63),0,IF((YEAR(D63)+16)&gt;YEAR(E63),1,(12-MONTH(E63)+1)/12))))-(IF((((K63)*(IF(M63="",L63,IFERROR(IF(INDEX(Variablen!$I:$AT, MATCH(M63, Variablen!$A:$A, 0), MATCH((YEAR(D63)+16), Variablen!$I$3:$AT$3, 0))="",L63,INDEX(Variablen!$I:$AT, MATCH(M63, Variablen!$A:$A, 0), MATCH((YEAR(D63)+16), Variablen!$I$3:$AT$3, 0))),L63)))*(IF((YEAR(D63)+16)&lt;YEAR(E63),0,IF((YEAR(D63)+16)&gt;YEAR(E63),1,(12-MONTH(E63)+1)/12))) + (Q63)*(IF((YEAR(D63)+16)&lt;YEAR(E63),0,IF((YEAR(D63)+16)&gt;YEAR(E63),1,(12-MONTH(E63)+1)/12))))-((P63)*(IF((YEAR(D63)+16)&lt;YEAR(E63),0,IF((YEAR(D63)+16)&gt;YEAR(E63),1,(12-MONTH(E63)+1)/12))) + (R63)*(IF((YEAR(D63)+16)&lt;YEAR(E63),0,IF((YEAR(D63)+16)&gt;YEAR(E63),1,(12-MONTH(E63)+1)/12))))-(IF(OR(N63="",N63&lt;=0),0,(O63/N63)*(IF(OR(N63="",N63&lt;=0),0,IF((YEAR(D63)+16)&lt;YEAR(E63),0,IF((YEAR(D63)+16)&gt;=YEAR(E63)+N63,0,IF((YEAR(D63)+16)=YEAR(E63),(12-MONTH(E63)+1)/12,1))))))))&gt;0,(((K63)*(IF(M63="",L63,IFERROR(IF(INDEX(Variablen!$I:$AT, MATCH(M63, Variablen!$A:$A, 0), MATCH((YEAR(D63)+16), Variablen!$I$3:$AT$3, 0))="",L63,INDEX(Variablen!$I:$AT, MATCH(M63, Variablen!$A:$A, 0), MATCH((YEAR(D63)+16), Variablen!$I$3:$AT$3, 0))),L63)))*(IF((YEAR(D63)+16)&lt;YEAR(E63),0,IF((YEAR(D63)+16)&gt;YEAR(E63),1,(12-MONTH(E63)+1)/12))) + (Q63)*(IF((YEAR(D63)+16)&lt;YEAR(E63),0,IF((YEAR(D63)+16)&gt;YEAR(E63),1,(12-MONTH(E63)+1)/12))))-((P63)*(IF((YEAR(D63)+16)&lt;YEAR(E63),0,IF((YEAR(D63)+16)&gt;YEAR(E63),1,(12-MONTH(E63)+1)/12))) + (R63)*(IF((YEAR(D63)+16)&lt;YEAR(E63),0,IF((YEAR(D63)+16)&gt;YEAR(E63),1,(12-MONTH(E63)+1)/12))))-(IF(OR(N63="",N63&lt;=0),0,(O63/N63)*(IF(OR(N63="",N63&lt;=0),0,IF((YEAR(D63)+16)&lt;YEAR(E63),0,IF((YEAR(D63)+16)&gt;=YEAR(E63)+N63,0,IF((YEAR(D63)+16)=YEAR(E63),(12-MONTH(E63)+1)/12,1))))))))*TaxRate,0))-IF(16=0,O63,0))</f>
        <v/>
      </c>
      <c r="AJ63" s="29">
        <f>IF(A63="","",((K63)*(IF(M63="",L63,IFERROR(IF(INDEX(Variablen!$I:$AT, MATCH(M63, Variablen!$A:$A, 0), MATCH((YEAR(D63)+17), Variablen!$I$3:$AT$3, 0))="",L63,INDEX(Variablen!$I:$AT, MATCH(M63, Variablen!$A:$A, 0), MATCH((YEAR(D63)+17), Variablen!$I$3:$AT$3, 0))),L63)))*(IF((YEAR(D63)+17)&lt;YEAR(E63),0,IF((YEAR(D63)+17)&gt;YEAR(E63),1,(12-MONTH(E63)+1)/12))) + (Q63)*(IF((YEAR(D63)+17)&lt;YEAR(E63),0,IF((YEAR(D63)+17)&gt;YEAR(E63),1,(12-MONTH(E63)+1)/12))))-((P63)*(IF((YEAR(D63)+17)&lt;YEAR(E63),0,IF((YEAR(D63)+17)&gt;YEAR(E63),1,(12-MONTH(E63)+1)/12))) + (R63)*(IF((YEAR(D63)+17)&lt;YEAR(E63),0,IF((YEAR(D63)+17)&gt;YEAR(E63),1,(12-MONTH(E63)+1)/12))))-(IF((((K63)*(IF(M63="",L63,IFERROR(IF(INDEX(Variablen!$I:$AT, MATCH(M63, Variablen!$A:$A, 0), MATCH((YEAR(D63)+17), Variablen!$I$3:$AT$3, 0))="",L63,INDEX(Variablen!$I:$AT, MATCH(M63, Variablen!$A:$A, 0), MATCH((YEAR(D63)+17), Variablen!$I$3:$AT$3, 0))),L63)))*(IF((YEAR(D63)+17)&lt;YEAR(E63),0,IF((YEAR(D63)+17)&gt;YEAR(E63),1,(12-MONTH(E63)+1)/12))) + (Q63)*(IF((YEAR(D63)+17)&lt;YEAR(E63),0,IF((YEAR(D63)+17)&gt;YEAR(E63),1,(12-MONTH(E63)+1)/12))))-((P63)*(IF((YEAR(D63)+17)&lt;YEAR(E63),0,IF((YEAR(D63)+17)&gt;YEAR(E63),1,(12-MONTH(E63)+1)/12))) + (R63)*(IF((YEAR(D63)+17)&lt;YEAR(E63),0,IF((YEAR(D63)+17)&gt;YEAR(E63),1,(12-MONTH(E63)+1)/12))))-(IF(OR(N63="",N63&lt;=0),0,(O63/N63)*(IF(OR(N63="",N63&lt;=0),0,IF((YEAR(D63)+17)&lt;YEAR(E63),0,IF((YEAR(D63)+17)&gt;=YEAR(E63)+N63,0,IF((YEAR(D63)+17)=YEAR(E63),(12-MONTH(E63)+1)/12,1))))))))&gt;0,(((K63)*(IF(M63="",L63,IFERROR(IF(INDEX(Variablen!$I:$AT, MATCH(M63, Variablen!$A:$A, 0), MATCH((YEAR(D63)+17), Variablen!$I$3:$AT$3, 0))="",L63,INDEX(Variablen!$I:$AT, MATCH(M63, Variablen!$A:$A, 0), MATCH((YEAR(D63)+17), Variablen!$I$3:$AT$3, 0))),L63)))*(IF((YEAR(D63)+17)&lt;YEAR(E63),0,IF((YEAR(D63)+17)&gt;YEAR(E63),1,(12-MONTH(E63)+1)/12))) + (Q63)*(IF((YEAR(D63)+17)&lt;YEAR(E63),0,IF((YEAR(D63)+17)&gt;YEAR(E63),1,(12-MONTH(E63)+1)/12))))-((P63)*(IF((YEAR(D63)+17)&lt;YEAR(E63),0,IF((YEAR(D63)+17)&gt;YEAR(E63),1,(12-MONTH(E63)+1)/12))) + (R63)*(IF((YEAR(D63)+17)&lt;YEAR(E63),0,IF((YEAR(D63)+17)&gt;YEAR(E63),1,(12-MONTH(E63)+1)/12))))-(IF(OR(N63="",N63&lt;=0),0,(O63/N63)*(IF(OR(N63="",N63&lt;=0),0,IF((YEAR(D63)+17)&lt;YEAR(E63),0,IF((YEAR(D63)+17)&gt;=YEAR(E63)+N63,0,IF((YEAR(D63)+17)=YEAR(E63),(12-MONTH(E63)+1)/12,1))))))))*TaxRate,0))-IF(17=0,O63,0))</f>
        <v/>
      </c>
      <c r="AK63" s="29">
        <f>IF(A63="","",((K63)*(IF(M63="",L63,IFERROR(IF(INDEX(Variablen!$I:$AT, MATCH(M63, Variablen!$A:$A, 0), MATCH((YEAR(D63)+18), Variablen!$I$3:$AT$3, 0))="",L63,INDEX(Variablen!$I:$AT, MATCH(M63, Variablen!$A:$A, 0), MATCH((YEAR(D63)+18), Variablen!$I$3:$AT$3, 0))),L63)))*(IF((YEAR(D63)+18)&lt;YEAR(E63),0,IF((YEAR(D63)+18)&gt;YEAR(E63),1,(12-MONTH(E63)+1)/12))) + (Q63)*(IF((YEAR(D63)+18)&lt;YEAR(E63),0,IF((YEAR(D63)+18)&gt;YEAR(E63),1,(12-MONTH(E63)+1)/12))))-((P63)*(IF((YEAR(D63)+18)&lt;YEAR(E63),0,IF((YEAR(D63)+18)&gt;YEAR(E63),1,(12-MONTH(E63)+1)/12))) + (R63)*(IF((YEAR(D63)+18)&lt;YEAR(E63),0,IF((YEAR(D63)+18)&gt;YEAR(E63),1,(12-MONTH(E63)+1)/12))))-(IF((((K63)*(IF(M63="",L63,IFERROR(IF(INDEX(Variablen!$I:$AT, MATCH(M63, Variablen!$A:$A, 0), MATCH((YEAR(D63)+18), Variablen!$I$3:$AT$3, 0))="",L63,INDEX(Variablen!$I:$AT, MATCH(M63, Variablen!$A:$A, 0), MATCH((YEAR(D63)+18), Variablen!$I$3:$AT$3, 0))),L63)))*(IF((YEAR(D63)+18)&lt;YEAR(E63),0,IF((YEAR(D63)+18)&gt;YEAR(E63),1,(12-MONTH(E63)+1)/12))) + (Q63)*(IF((YEAR(D63)+18)&lt;YEAR(E63),0,IF((YEAR(D63)+18)&gt;YEAR(E63),1,(12-MONTH(E63)+1)/12))))-((P63)*(IF((YEAR(D63)+18)&lt;YEAR(E63),0,IF((YEAR(D63)+18)&gt;YEAR(E63),1,(12-MONTH(E63)+1)/12))) + (R63)*(IF((YEAR(D63)+18)&lt;YEAR(E63),0,IF((YEAR(D63)+18)&gt;YEAR(E63),1,(12-MONTH(E63)+1)/12))))-(IF(OR(N63="",N63&lt;=0),0,(O63/N63)*(IF(OR(N63="",N63&lt;=0),0,IF((YEAR(D63)+18)&lt;YEAR(E63),0,IF((YEAR(D63)+18)&gt;=YEAR(E63)+N63,0,IF((YEAR(D63)+18)=YEAR(E63),(12-MONTH(E63)+1)/12,1))))))))&gt;0,(((K63)*(IF(M63="",L63,IFERROR(IF(INDEX(Variablen!$I:$AT, MATCH(M63, Variablen!$A:$A, 0), MATCH((YEAR(D63)+18), Variablen!$I$3:$AT$3, 0))="",L63,INDEX(Variablen!$I:$AT, MATCH(M63, Variablen!$A:$A, 0), MATCH((YEAR(D63)+18), Variablen!$I$3:$AT$3, 0))),L63)))*(IF((YEAR(D63)+18)&lt;YEAR(E63),0,IF((YEAR(D63)+18)&gt;YEAR(E63),1,(12-MONTH(E63)+1)/12))) + (Q63)*(IF((YEAR(D63)+18)&lt;YEAR(E63),0,IF((YEAR(D63)+18)&gt;YEAR(E63),1,(12-MONTH(E63)+1)/12))))-((P63)*(IF((YEAR(D63)+18)&lt;YEAR(E63),0,IF((YEAR(D63)+18)&gt;YEAR(E63),1,(12-MONTH(E63)+1)/12))) + (R63)*(IF((YEAR(D63)+18)&lt;YEAR(E63),0,IF((YEAR(D63)+18)&gt;YEAR(E63),1,(12-MONTH(E63)+1)/12))))-(IF(OR(N63="",N63&lt;=0),0,(O63/N63)*(IF(OR(N63="",N63&lt;=0),0,IF((YEAR(D63)+18)&lt;YEAR(E63),0,IF((YEAR(D63)+18)&gt;=YEAR(E63)+N63,0,IF((YEAR(D63)+18)=YEAR(E63),(12-MONTH(E63)+1)/12,1))))))))*TaxRate,0))-IF(18=0,O63,0))</f>
        <v/>
      </c>
      <c r="AL63" s="29">
        <f>IF(A63="","",((K63)*(IF(M63="",L63,IFERROR(IF(INDEX(Variablen!$I:$AT, MATCH(M63, Variablen!$A:$A, 0), MATCH((YEAR(D63)+19), Variablen!$I$3:$AT$3, 0))="",L63,INDEX(Variablen!$I:$AT, MATCH(M63, Variablen!$A:$A, 0), MATCH((YEAR(D63)+19), Variablen!$I$3:$AT$3, 0))),L63)))*(IF((YEAR(D63)+19)&lt;YEAR(E63),0,IF((YEAR(D63)+19)&gt;YEAR(E63),1,(12-MONTH(E63)+1)/12))) + (Q63)*(IF((YEAR(D63)+19)&lt;YEAR(E63),0,IF((YEAR(D63)+19)&gt;YEAR(E63),1,(12-MONTH(E63)+1)/12))))-((P63)*(IF((YEAR(D63)+19)&lt;YEAR(E63),0,IF((YEAR(D63)+19)&gt;YEAR(E63),1,(12-MONTH(E63)+1)/12))) + (R63)*(IF((YEAR(D63)+19)&lt;YEAR(E63),0,IF((YEAR(D63)+19)&gt;YEAR(E63),1,(12-MONTH(E63)+1)/12))))-(IF((((K63)*(IF(M63="",L63,IFERROR(IF(INDEX(Variablen!$I:$AT, MATCH(M63, Variablen!$A:$A, 0), MATCH((YEAR(D63)+19), Variablen!$I$3:$AT$3, 0))="",L63,INDEX(Variablen!$I:$AT, MATCH(M63, Variablen!$A:$A, 0), MATCH((YEAR(D63)+19), Variablen!$I$3:$AT$3, 0))),L63)))*(IF((YEAR(D63)+19)&lt;YEAR(E63),0,IF((YEAR(D63)+19)&gt;YEAR(E63),1,(12-MONTH(E63)+1)/12))) + (Q63)*(IF((YEAR(D63)+19)&lt;YEAR(E63),0,IF((YEAR(D63)+19)&gt;YEAR(E63),1,(12-MONTH(E63)+1)/12))))-((P63)*(IF((YEAR(D63)+19)&lt;YEAR(E63),0,IF((YEAR(D63)+19)&gt;YEAR(E63),1,(12-MONTH(E63)+1)/12))) + (R63)*(IF((YEAR(D63)+19)&lt;YEAR(E63),0,IF((YEAR(D63)+19)&gt;YEAR(E63),1,(12-MONTH(E63)+1)/12))))-(IF(OR(N63="",N63&lt;=0),0,(O63/N63)*(IF(OR(N63="",N63&lt;=0),0,IF((YEAR(D63)+19)&lt;YEAR(E63),0,IF((YEAR(D63)+19)&gt;=YEAR(E63)+N63,0,IF((YEAR(D63)+19)=YEAR(E63),(12-MONTH(E63)+1)/12,1))))))))&gt;0,(((K63)*(IF(M63="",L63,IFERROR(IF(INDEX(Variablen!$I:$AT, MATCH(M63, Variablen!$A:$A, 0), MATCH((YEAR(D63)+19), Variablen!$I$3:$AT$3, 0))="",L63,INDEX(Variablen!$I:$AT, MATCH(M63, Variablen!$A:$A, 0), MATCH((YEAR(D63)+19), Variablen!$I$3:$AT$3, 0))),L63)))*(IF((YEAR(D63)+19)&lt;YEAR(E63),0,IF((YEAR(D63)+19)&gt;YEAR(E63),1,(12-MONTH(E63)+1)/12))) + (Q63)*(IF((YEAR(D63)+19)&lt;YEAR(E63),0,IF((YEAR(D63)+19)&gt;YEAR(E63),1,(12-MONTH(E63)+1)/12))))-((P63)*(IF((YEAR(D63)+19)&lt;YEAR(E63),0,IF((YEAR(D63)+19)&gt;YEAR(E63),1,(12-MONTH(E63)+1)/12))) + (R63)*(IF((YEAR(D63)+19)&lt;YEAR(E63),0,IF((YEAR(D63)+19)&gt;YEAR(E63),1,(12-MONTH(E63)+1)/12))))-(IF(OR(N63="",N63&lt;=0),0,(O63/N63)*(IF(OR(N63="",N63&lt;=0),0,IF((YEAR(D63)+19)&lt;YEAR(E63),0,IF((YEAR(D63)+19)&gt;=YEAR(E63)+N63,0,IF((YEAR(D63)+19)=YEAR(E63),(12-MONTH(E63)+1)/12,1))))))))*TaxRate,0))-IF(19=0,O63,0))</f>
        <v/>
      </c>
      <c r="AM63" s="29">
        <f>IF(A63="","",((K63)*(IF(M63="",L63,IFERROR(IF(INDEX(Variablen!$I:$AT, MATCH(M63, Variablen!$A:$A, 0), MATCH((YEAR(D63)+20), Variablen!$I$3:$AT$3, 0))="",L63,INDEX(Variablen!$I:$AT, MATCH(M63, Variablen!$A:$A, 0), MATCH((YEAR(D63)+20), Variablen!$I$3:$AT$3, 0))),L63)))*(IF((YEAR(D63)+20)&lt;YEAR(E63),0,IF((YEAR(D63)+20)&gt;YEAR(E63),1,(12-MONTH(E63)+1)/12))) + (Q63)*(IF((YEAR(D63)+20)&lt;YEAR(E63),0,IF((YEAR(D63)+20)&gt;YEAR(E63),1,(12-MONTH(E63)+1)/12))))-((P63)*(IF((YEAR(D63)+20)&lt;YEAR(E63),0,IF((YEAR(D63)+20)&gt;YEAR(E63),1,(12-MONTH(E63)+1)/12))) + (R63)*(IF((YEAR(D63)+20)&lt;YEAR(E63),0,IF((YEAR(D63)+20)&gt;YEAR(E63),1,(12-MONTH(E63)+1)/12))))-(IF((((K63)*(IF(M63="",L63,IFERROR(IF(INDEX(Variablen!$I:$AT, MATCH(M63, Variablen!$A:$A, 0), MATCH((YEAR(D63)+20), Variablen!$I$3:$AT$3, 0))="",L63,INDEX(Variablen!$I:$AT, MATCH(M63, Variablen!$A:$A, 0), MATCH((YEAR(D63)+20), Variablen!$I$3:$AT$3, 0))),L63)))*(IF((YEAR(D63)+20)&lt;YEAR(E63),0,IF((YEAR(D63)+20)&gt;YEAR(E63),1,(12-MONTH(E63)+1)/12))) + (Q63)*(IF((YEAR(D63)+20)&lt;YEAR(E63),0,IF((YEAR(D63)+20)&gt;YEAR(E63),1,(12-MONTH(E63)+1)/12))))-((P63)*(IF((YEAR(D63)+20)&lt;YEAR(E63),0,IF((YEAR(D63)+20)&gt;YEAR(E63),1,(12-MONTH(E63)+1)/12))) + (R63)*(IF((YEAR(D63)+20)&lt;YEAR(E63),0,IF((YEAR(D63)+20)&gt;YEAR(E63),1,(12-MONTH(E63)+1)/12))))-(IF(OR(N63="",N63&lt;=0),0,(O63/N63)*(IF(OR(N63="",N63&lt;=0),0,IF((YEAR(D63)+20)&lt;YEAR(E63),0,IF((YEAR(D63)+20)&gt;=YEAR(E63)+N63,0,IF((YEAR(D63)+20)=YEAR(E63),(12-MONTH(E63)+1)/12,1))))))))&gt;0,(((K63)*(IF(M63="",L63,IFERROR(IF(INDEX(Variablen!$I:$AT, MATCH(M63, Variablen!$A:$A, 0), MATCH((YEAR(D63)+20), Variablen!$I$3:$AT$3, 0))="",L63,INDEX(Variablen!$I:$AT, MATCH(M63, Variablen!$A:$A, 0), MATCH((YEAR(D63)+20), Variablen!$I$3:$AT$3, 0))),L63)))*(IF((YEAR(D63)+20)&lt;YEAR(E63),0,IF((YEAR(D63)+20)&gt;YEAR(E63),1,(12-MONTH(E63)+1)/12))) + (Q63)*(IF((YEAR(D63)+20)&lt;YEAR(E63),0,IF((YEAR(D63)+20)&gt;YEAR(E63),1,(12-MONTH(E63)+1)/12))))-((P63)*(IF((YEAR(D63)+20)&lt;YEAR(E63),0,IF((YEAR(D63)+20)&gt;YEAR(E63),1,(12-MONTH(E63)+1)/12))) + (R63)*(IF((YEAR(D63)+20)&lt;YEAR(E63),0,IF((YEAR(D63)+20)&gt;YEAR(E63),1,(12-MONTH(E63)+1)/12))))-(IF(OR(N63="",N63&lt;=0),0,(O63/N63)*(IF(OR(N63="",N63&lt;=0),0,IF((YEAR(D63)+20)&lt;YEAR(E63),0,IF((YEAR(D63)+20)&gt;=YEAR(E63)+N63,0,IF((YEAR(D63)+20)=YEAR(E63),(12-MONTH(E63)+1)/12,1))))))))*TaxRate,0))-IF(20=0,O63,0))</f>
        <v/>
      </c>
      <c r="AN63" s="29">
        <f>IF(A63="","",S63)</f>
        <v/>
      </c>
      <c r="AO63" s="29">
        <f>IF(A63="","",AN63+T63)</f>
        <v/>
      </c>
      <c r="AP63" s="29">
        <f>IF(A63="","",AO63+U63)</f>
        <v/>
      </c>
      <c r="AQ63" s="29">
        <f>IF(A63="","",AP63+V63)</f>
        <v/>
      </c>
      <c r="AR63" s="29">
        <f>IF(A63="","",AQ63+W63)</f>
        <v/>
      </c>
      <c r="AS63" s="29">
        <f>IF(A63="","",AR63+X63)</f>
        <v/>
      </c>
      <c r="AT63" s="29">
        <f>IF(A63="","",AS63+Y63)</f>
        <v/>
      </c>
      <c r="AU63" s="29">
        <f>IF(A63="","",AT63+Z63)</f>
        <v/>
      </c>
      <c r="AV63" s="29">
        <f>IF(A63="","",AU63+AA63)</f>
        <v/>
      </c>
      <c r="AW63" s="29">
        <f>IF(A63="","",AV63+AB63)</f>
        <v/>
      </c>
      <c r="AX63" s="29">
        <f>IF(A63="","",AW63+AC63)</f>
        <v/>
      </c>
      <c r="AY63" s="29">
        <f>IF(A63="","",AX63+AD63)</f>
        <v/>
      </c>
      <c r="AZ63" s="29">
        <f>IF(A63="","",AY63+AE63)</f>
        <v/>
      </c>
      <c r="BA63" s="29">
        <f>IF(A63="","",AZ63+AF63)</f>
        <v/>
      </c>
      <c r="BB63" s="29">
        <f>IF(A63="","",BA63+AG63)</f>
        <v/>
      </c>
      <c r="BC63" s="29">
        <f>IF(A63="","",BB63+AH63)</f>
        <v/>
      </c>
      <c r="BD63" s="29">
        <f>IF(A63="","",BC63+AI63)</f>
        <v/>
      </c>
      <c r="BE63" s="29">
        <f>IF(A63="","",BD63+AJ63)</f>
        <v/>
      </c>
      <c r="BF63" s="29">
        <f>IF(A63="","",BE63+AK63)</f>
        <v/>
      </c>
      <c r="BG63" s="29">
        <f>IF(A63="","",BF63+AL63)</f>
        <v/>
      </c>
      <c r="BH63" s="29">
        <f>IF(A63="","",BG63+AM63)</f>
        <v/>
      </c>
      <c r="BI63" s="36">
        <f>IF(A63="","",(K63)*(IF((YEAR(D63)+0)&lt;YEAR(E63),0,IF((YEAR(D63)+0)&gt;YEAR(E63),1,(12-MONTH(E63)+1)/12)))*(1/(1+DiscountRate)^0))</f>
        <v/>
      </c>
      <c r="BJ63" s="36">
        <f>IF(A63="","",(K63)*(IF((YEAR(D63)+1)&lt;YEAR(E63),0,IF((YEAR(D63)+1)&gt;YEAR(E63),1,(12-MONTH(E63)+1)/12)))*(1/(1+DiscountRate)^1))</f>
        <v/>
      </c>
      <c r="BK63" s="36">
        <f>IF(A63="","",(K63)*(IF((YEAR(D63)+2)&lt;YEAR(E63),0,IF((YEAR(D63)+2)&gt;YEAR(E63),1,(12-MONTH(E63)+1)/12)))*(1/(1+DiscountRate)^2))</f>
        <v/>
      </c>
      <c r="BL63" s="36">
        <f>IF(A63="","",(K63)*(IF((YEAR(D63)+3)&lt;YEAR(E63),0,IF((YEAR(D63)+3)&gt;YEAR(E63),1,(12-MONTH(E63)+1)/12)))*(1/(1+DiscountRate)^3))</f>
        <v/>
      </c>
      <c r="BM63" s="36">
        <f>IF(A63="","",(K63)*(IF((YEAR(D63)+4)&lt;YEAR(E63),0,IF((YEAR(D63)+4)&gt;YEAR(E63),1,(12-MONTH(E63)+1)/12)))*(1/(1+DiscountRate)^4))</f>
        <v/>
      </c>
      <c r="BN63" s="36">
        <f>IF(A63="","",(K63)*(IF((YEAR(D63)+5)&lt;YEAR(E63),0,IF((YEAR(D63)+5)&gt;YEAR(E63),1,(12-MONTH(E63)+1)/12)))*(1/(1+DiscountRate)^5))</f>
        <v/>
      </c>
      <c r="BO63" s="36">
        <f>IF(A63="","",(K63)*(IF((YEAR(D63)+6)&lt;YEAR(E63),0,IF((YEAR(D63)+6)&gt;YEAR(E63),1,(12-MONTH(E63)+1)/12)))*(1/(1+DiscountRate)^6))</f>
        <v/>
      </c>
      <c r="BP63" s="36">
        <f>IF(A63="","",(K63)*(IF((YEAR(D63)+7)&lt;YEAR(E63),0,IF((YEAR(D63)+7)&gt;YEAR(E63),1,(12-MONTH(E63)+1)/12)))*(1/(1+DiscountRate)^7))</f>
        <v/>
      </c>
      <c r="BQ63" s="36">
        <f>IF(A63="","",(K63)*(IF((YEAR(D63)+8)&lt;YEAR(E63),0,IF((YEAR(D63)+8)&gt;YEAR(E63),1,(12-MONTH(E63)+1)/12)))*(1/(1+DiscountRate)^8))</f>
        <v/>
      </c>
      <c r="BR63" s="36">
        <f>IF(A63="","",(K63)*(IF((YEAR(D63)+9)&lt;YEAR(E63),0,IF((YEAR(D63)+9)&gt;YEAR(E63),1,(12-MONTH(E63)+1)/12)))*(1/(1+DiscountRate)^9))</f>
        <v/>
      </c>
      <c r="BS63" s="36">
        <f>IF(A63="","",(K63)*(IF((YEAR(D63)+10)&lt;YEAR(E63),0,IF((YEAR(D63)+10)&gt;YEAR(E63),1,(12-MONTH(E63)+1)/12)))*(1/(1+DiscountRate)^10))</f>
        <v/>
      </c>
      <c r="BT63" s="36">
        <f>IF(A63="","",(K63)*(IF((YEAR(D63)+11)&lt;YEAR(E63),0,IF((YEAR(D63)+11)&gt;YEAR(E63),1,(12-MONTH(E63)+1)/12)))*(1/(1+DiscountRate)^11))</f>
        <v/>
      </c>
      <c r="BU63" s="36">
        <f>IF(A63="","",(K63)*(IF((YEAR(D63)+12)&lt;YEAR(E63),0,IF((YEAR(D63)+12)&gt;YEAR(E63),1,(12-MONTH(E63)+1)/12)))*(1/(1+DiscountRate)^12))</f>
        <v/>
      </c>
      <c r="BV63" s="36">
        <f>IF(A63="","",(K63)*(IF((YEAR(D63)+13)&lt;YEAR(E63),0,IF((YEAR(D63)+13)&gt;YEAR(E63),1,(12-MONTH(E63)+1)/12)))*(1/(1+DiscountRate)^13))</f>
        <v/>
      </c>
      <c r="BW63" s="36">
        <f>IF(A63="","",(K63)*(IF((YEAR(D63)+14)&lt;YEAR(E63),0,IF((YEAR(D63)+14)&gt;YEAR(E63),1,(12-MONTH(E63)+1)/12)))*(1/(1+DiscountRate)^14))</f>
        <v/>
      </c>
      <c r="BX63" s="36">
        <f>IF(A63="","",(K63)*(IF((YEAR(D63)+15)&lt;YEAR(E63),0,IF((YEAR(D63)+15)&gt;YEAR(E63),1,(12-MONTH(E63)+1)/12)))*(1/(1+DiscountRate)^15))</f>
        <v/>
      </c>
      <c r="BY63" s="36">
        <f>IF(A63="","",(K63)*(IF((YEAR(D63)+16)&lt;YEAR(E63),0,IF((YEAR(D63)+16)&gt;YEAR(E63),1,(12-MONTH(E63)+1)/12)))*(1/(1+DiscountRate)^16))</f>
        <v/>
      </c>
      <c r="BZ63" s="36">
        <f>IF(A63="","",(K63)*(IF((YEAR(D63)+17)&lt;YEAR(E63),0,IF((YEAR(D63)+17)&gt;YEAR(E63),1,(12-MONTH(E63)+1)/12)))*(1/(1+DiscountRate)^17))</f>
        <v/>
      </c>
      <c r="CA63" s="36">
        <f>IF(A63="","",(K63)*(IF((YEAR(D63)+18)&lt;YEAR(E63),0,IF((YEAR(D63)+18)&gt;YEAR(E63),1,(12-MONTH(E63)+1)/12)))*(1/(1+DiscountRate)^18))</f>
        <v/>
      </c>
      <c r="CB63" s="36">
        <f>IF(A63="","",(K63)*(IF((YEAR(D63)+19)&lt;YEAR(E63),0,IF((YEAR(D63)+19)&gt;YEAR(E63),1,(12-MONTH(E63)+1)/12)))*(1/(1+DiscountRate)^19))</f>
        <v/>
      </c>
      <c r="CC63" s="36">
        <f>IF(A63="","",(K63)*(IF((YEAR(D63)+20)&lt;YEAR(E63),0,IF((YEAR(D63)+20)&gt;YEAR(E63),1,(12-MONTH(E63)+1)/12)))*(1/(1+DiscountRate)^20))</f>
        <v/>
      </c>
      <c r="CD63" s="29">
        <f>IF(A63="","",S63/(1+DiscountRate)^0+T63/(1+DiscountRate)^1+U63/(1+DiscountRate)^2+V63/(1+DiscountRate)^3+W63/(1+DiscountRate)^4+X63/(1+DiscountRate)^5+Y63/(1+DiscountRate)^6+Z63/(1+DiscountRate)^7+AA63/(1+DiscountRate)^8+AB63/(1+DiscountRate)^9+AC63/(1+DiscountRate)^10+AD63/(1+DiscountRate)^11+AE63/(1+DiscountRate)^12+AF63/(1+DiscountRate)^13+AG63/(1+DiscountRate)^14+AH63/(1+DiscountRate)^15+AI63/(1+DiscountRate)^16+AJ63/(1+DiscountRate)^17+AK63/(1+DiscountRate)^18+AL63/(1+DiscountRate)^19+AM63/(1+DiscountRate)^20)</f>
        <v/>
      </c>
      <c r="CE63" s="37">
        <f>IF(A63="","",IFERROR(IRR(OFFSET(S63,0,0,1,MIN(HorizonYears,20)+1)),"n/a"))</f>
        <v/>
      </c>
      <c r="CF63" s="28">
        <f>IF(A63="","",IFERROR(MATCH(TRUE,OFFSET(AN63,0,0,1,MIN(HorizonYears,20)+1)&gt;=0,0)-1,"n/a"))</f>
        <v/>
      </c>
      <c r="CG63" s="36">
        <f>IF(A63="","",SUM(OFFSET(BI63,0,0,1,MIN(HorizonYears,20)+1)))</f>
        <v/>
      </c>
      <c r="CH63" s="36">
        <f>IF(A63="","",IFERROR(-CD63/CG63,"n/a"))</f>
        <v/>
      </c>
    </row>
    <row r="64">
      <c r="A64" s="6">
        <f>Actions!A62</f>
        <v/>
      </c>
      <c r="B64" s="6">
        <f>Actions!B62</f>
        <v/>
      </c>
      <c r="C64" s="6">
        <f>Actions!D62</f>
        <v/>
      </c>
      <c r="D64" s="35">
        <f>Actions!E62</f>
        <v/>
      </c>
      <c r="E64" s="35">
        <f>Actions!F62</f>
        <v/>
      </c>
      <c r="F64" s="6">
        <f>Actions!G62</f>
        <v/>
      </c>
      <c r="G64" s="6">
        <f>Actions!H62</f>
        <v/>
      </c>
      <c r="H64" s="29">
        <f>Actions!I62</f>
        <v/>
      </c>
      <c r="I64" s="6">
        <f>Actions!J62</f>
        <v/>
      </c>
      <c r="J64" s="16">
        <f>Actions!K62</f>
        <v/>
      </c>
      <c r="K64" s="16">
        <f>IF(A64="","",IF(I64="%",H64*J64,J64))</f>
        <v/>
      </c>
      <c r="L64" s="16">
        <f>Actions!L62</f>
        <v/>
      </c>
      <c r="M64" s="6">
        <f>Actions!M62</f>
        <v/>
      </c>
      <c r="N64" s="28">
        <f>Actions!N62</f>
        <v/>
      </c>
      <c r="O64" s="29">
        <f>Actions!T62</f>
        <v/>
      </c>
      <c r="P64" s="29">
        <f>Actions!Y62</f>
        <v/>
      </c>
      <c r="Q64" s="29">
        <f>Actions!Z62</f>
        <v/>
      </c>
      <c r="R64" s="29">
        <f>Actions!AA62</f>
        <v/>
      </c>
      <c r="S64" s="29">
        <f>IF(A64="","",((K64)*(IF(M64="",L64,IFERROR(IF(INDEX(Variablen!$I:$AT, MATCH(M64, Variablen!$A:$A, 0), MATCH((YEAR(D64)+0), Variablen!$I$3:$AT$3, 0))="",L64,INDEX(Variablen!$I:$AT, MATCH(M64, Variablen!$A:$A, 0), MATCH((YEAR(D64)+0), Variablen!$I$3:$AT$3, 0))),L64)))*(IF((YEAR(D64)+0)&lt;YEAR(E64),0,IF((YEAR(D64)+0)&gt;YEAR(E64),1,(12-MONTH(E64)+1)/12))) + (Q64)*(IF((YEAR(D64)+0)&lt;YEAR(E64),0,IF((YEAR(D64)+0)&gt;YEAR(E64),1,(12-MONTH(E64)+1)/12))))-((P64)*(IF((YEAR(D64)+0)&lt;YEAR(E64),0,IF((YEAR(D64)+0)&gt;YEAR(E64),1,(12-MONTH(E64)+1)/12))) + (R64)*(IF((YEAR(D64)+0)&lt;YEAR(E64),0,IF((YEAR(D64)+0)&gt;YEAR(E64),1,(12-MONTH(E64)+1)/12))))-(IF((((K64)*(IF(M64="",L64,IFERROR(IF(INDEX(Variablen!$I:$AT, MATCH(M64, Variablen!$A:$A, 0), MATCH((YEAR(D64)+0), Variablen!$I$3:$AT$3, 0))="",L64,INDEX(Variablen!$I:$AT, MATCH(M64, Variablen!$A:$A, 0), MATCH((YEAR(D64)+0), Variablen!$I$3:$AT$3, 0))),L64)))*(IF((YEAR(D64)+0)&lt;YEAR(E64),0,IF((YEAR(D64)+0)&gt;YEAR(E64),1,(12-MONTH(E64)+1)/12))) + (Q64)*(IF((YEAR(D64)+0)&lt;YEAR(E64),0,IF((YEAR(D64)+0)&gt;YEAR(E64),1,(12-MONTH(E64)+1)/12))))-((P64)*(IF((YEAR(D64)+0)&lt;YEAR(E64),0,IF((YEAR(D64)+0)&gt;YEAR(E64),1,(12-MONTH(E64)+1)/12))) + (R64)*(IF((YEAR(D64)+0)&lt;YEAR(E64),0,IF((YEAR(D64)+0)&gt;YEAR(E64),1,(12-MONTH(E64)+1)/12))))-(IF(OR(N64="",N64&lt;=0),0,(O64/N64)*(IF(OR(N64="",N64&lt;=0),0,IF((YEAR(D64)+0)&lt;YEAR(E64),0,IF((YEAR(D64)+0)&gt;=YEAR(E64)+N64,0,IF((YEAR(D64)+0)=YEAR(E64),(12-MONTH(E64)+1)/12,1))))))))&gt;0,(((K64)*(IF(M64="",L64,IFERROR(IF(INDEX(Variablen!$I:$AT, MATCH(M64, Variablen!$A:$A, 0), MATCH((YEAR(D64)+0), Variablen!$I$3:$AT$3, 0))="",L64,INDEX(Variablen!$I:$AT, MATCH(M64, Variablen!$A:$A, 0), MATCH((YEAR(D64)+0), Variablen!$I$3:$AT$3, 0))),L64)))*(IF((YEAR(D64)+0)&lt;YEAR(E64),0,IF((YEAR(D64)+0)&gt;YEAR(E64),1,(12-MONTH(E64)+1)/12))) + (Q64)*(IF((YEAR(D64)+0)&lt;YEAR(E64),0,IF((YEAR(D64)+0)&gt;YEAR(E64),1,(12-MONTH(E64)+1)/12))))-((P64)*(IF((YEAR(D64)+0)&lt;YEAR(E64),0,IF((YEAR(D64)+0)&gt;YEAR(E64),1,(12-MONTH(E64)+1)/12))) + (R64)*(IF((YEAR(D64)+0)&lt;YEAR(E64),0,IF((YEAR(D64)+0)&gt;YEAR(E64),1,(12-MONTH(E64)+1)/12))))-(IF(OR(N64="",N64&lt;=0),0,(O64/N64)*(IF(OR(N64="",N64&lt;=0),0,IF((YEAR(D64)+0)&lt;YEAR(E64),0,IF((YEAR(D64)+0)&gt;=YEAR(E64)+N64,0,IF((YEAR(D64)+0)=YEAR(E64),(12-MONTH(E64)+1)/12,1))))))))*TaxRate,0))-IF(0=0,O64,0))</f>
        <v/>
      </c>
      <c r="T64" s="29">
        <f>IF(A64="","",((K64)*(IF(M64="",L64,IFERROR(IF(INDEX(Variablen!$I:$AT, MATCH(M64, Variablen!$A:$A, 0), MATCH((YEAR(D64)+1), Variablen!$I$3:$AT$3, 0))="",L64,INDEX(Variablen!$I:$AT, MATCH(M64, Variablen!$A:$A, 0), MATCH((YEAR(D64)+1), Variablen!$I$3:$AT$3, 0))),L64)))*(IF((YEAR(D64)+1)&lt;YEAR(E64),0,IF((YEAR(D64)+1)&gt;YEAR(E64),1,(12-MONTH(E64)+1)/12))) + (Q64)*(IF((YEAR(D64)+1)&lt;YEAR(E64),0,IF((YEAR(D64)+1)&gt;YEAR(E64),1,(12-MONTH(E64)+1)/12))))-((P64)*(IF((YEAR(D64)+1)&lt;YEAR(E64),0,IF((YEAR(D64)+1)&gt;YEAR(E64),1,(12-MONTH(E64)+1)/12))) + (R64)*(IF((YEAR(D64)+1)&lt;YEAR(E64),0,IF((YEAR(D64)+1)&gt;YEAR(E64),1,(12-MONTH(E64)+1)/12))))-(IF((((K64)*(IF(M64="",L64,IFERROR(IF(INDEX(Variablen!$I:$AT, MATCH(M64, Variablen!$A:$A, 0), MATCH((YEAR(D64)+1), Variablen!$I$3:$AT$3, 0))="",L64,INDEX(Variablen!$I:$AT, MATCH(M64, Variablen!$A:$A, 0), MATCH((YEAR(D64)+1), Variablen!$I$3:$AT$3, 0))),L64)))*(IF((YEAR(D64)+1)&lt;YEAR(E64),0,IF((YEAR(D64)+1)&gt;YEAR(E64),1,(12-MONTH(E64)+1)/12))) + (Q64)*(IF((YEAR(D64)+1)&lt;YEAR(E64),0,IF((YEAR(D64)+1)&gt;YEAR(E64),1,(12-MONTH(E64)+1)/12))))-((P64)*(IF((YEAR(D64)+1)&lt;YEAR(E64),0,IF((YEAR(D64)+1)&gt;YEAR(E64),1,(12-MONTH(E64)+1)/12))) + (R64)*(IF((YEAR(D64)+1)&lt;YEAR(E64),0,IF((YEAR(D64)+1)&gt;YEAR(E64),1,(12-MONTH(E64)+1)/12))))-(IF(OR(N64="",N64&lt;=0),0,(O64/N64)*(IF(OR(N64="",N64&lt;=0),0,IF((YEAR(D64)+1)&lt;YEAR(E64),0,IF((YEAR(D64)+1)&gt;=YEAR(E64)+N64,0,IF((YEAR(D64)+1)=YEAR(E64),(12-MONTH(E64)+1)/12,1))))))))&gt;0,(((K64)*(IF(M64="",L64,IFERROR(IF(INDEX(Variablen!$I:$AT, MATCH(M64, Variablen!$A:$A, 0), MATCH((YEAR(D64)+1), Variablen!$I$3:$AT$3, 0))="",L64,INDEX(Variablen!$I:$AT, MATCH(M64, Variablen!$A:$A, 0), MATCH((YEAR(D64)+1), Variablen!$I$3:$AT$3, 0))),L64)))*(IF((YEAR(D64)+1)&lt;YEAR(E64),0,IF((YEAR(D64)+1)&gt;YEAR(E64),1,(12-MONTH(E64)+1)/12))) + (Q64)*(IF((YEAR(D64)+1)&lt;YEAR(E64),0,IF((YEAR(D64)+1)&gt;YEAR(E64),1,(12-MONTH(E64)+1)/12))))-((P64)*(IF((YEAR(D64)+1)&lt;YEAR(E64),0,IF((YEAR(D64)+1)&gt;YEAR(E64),1,(12-MONTH(E64)+1)/12))) + (R64)*(IF((YEAR(D64)+1)&lt;YEAR(E64),0,IF((YEAR(D64)+1)&gt;YEAR(E64),1,(12-MONTH(E64)+1)/12))))-(IF(OR(N64="",N64&lt;=0),0,(O64/N64)*(IF(OR(N64="",N64&lt;=0),0,IF((YEAR(D64)+1)&lt;YEAR(E64),0,IF((YEAR(D64)+1)&gt;=YEAR(E64)+N64,0,IF((YEAR(D64)+1)=YEAR(E64),(12-MONTH(E64)+1)/12,1))))))))*TaxRate,0))-IF(1=0,O64,0))</f>
        <v/>
      </c>
      <c r="U64" s="29">
        <f>IF(A64="","",((K64)*(IF(M64="",L64,IFERROR(IF(INDEX(Variablen!$I:$AT, MATCH(M64, Variablen!$A:$A, 0), MATCH((YEAR(D64)+2), Variablen!$I$3:$AT$3, 0))="",L64,INDEX(Variablen!$I:$AT, MATCH(M64, Variablen!$A:$A, 0), MATCH((YEAR(D64)+2), Variablen!$I$3:$AT$3, 0))),L64)))*(IF((YEAR(D64)+2)&lt;YEAR(E64),0,IF((YEAR(D64)+2)&gt;YEAR(E64),1,(12-MONTH(E64)+1)/12))) + (Q64)*(IF((YEAR(D64)+2)&lt;YEAR(E64),0,IF((YEAR(D64)+2)&gt;YEAR(E64),1,(12-MONTH(E64)+1)/12))))-((P64)*(IF((YEAR(D64)+2)&lt;YEAR(E64),0,IF((YEAR(D64)+2)&gt;YEAR(E64),1,(12-MONTH(E64)+1)/12))) + (R64)*(IF((YEAR(D64)+2)&lt;YEAR(E64),0,IF((YEAR(D64)+2)&gt;YEAR(E64),1,(12-MONTH(E64)+1)/12))))-(IF((((K64)*(IF(M64="",L64,IFERROR(IF(INDEX(Variablen!$I:$AT, MATCH(M64, Variablen!$A:$A, 0), MATCH((YEAR(D64)+2), Variablen!$I$3:$AT$3, 0))="",L64,INDEX(Variablen!$I:$AT, MATCH(M64, Variablen!$A:$A, 0), MATCH((YEAR(D64)+2), Variablen!$I$3:$AT$3, 0))),L64)))*(IF((YEAR(D64)+2)&lt;YEAR(E64),0,IF((YEAR(D64)+2)&gt;YEAR(E64),1,(12-MONTH(E64)+1)/12))) + (Q64)*(IF((YEAR(D64)+2)&lt;YEAR(E64),0,IF((YEAR(D64)+2)&gt;YEAR(E64),1,(12-MONTH(E64)+1)/12))))-((P64)*(IF((YEAR(D64)+2)&lt;YEAR(E64),0,IF((YEAR(D64)+2)&gt;YEAR(E64),1,(12-MONTH(E64)+1)/12))) + (R64)*(IF((YEAR(D64)+2)&lt;YEAR(E64),0,IF((YEAR(D64)+2)&gt;YEAR(E64),1,(12-MONTH(E64)+1)/12))))-(IF(OR(N64="",N64&lt;=0),0,(O64/N64)*(IF(OR(N64="",N64&lt;=0),0,IF((YEAR(D64)+2)&lt;YEAR(E64),0,IF((YEAR(D64)+2)&gt;=YEAR(E64)+N64,0,IF((YEAR(D64)+2)=YEAR(E64),(12-MONTH(E64)+1)/12,1))))))))&gt;0,(((K64)*(IF(M64="",L64,IFERROR(IF(INDEX(Variablen!$I:$AT, MATCH(M64, Variablen!$A:$A, 0), MATCH((YEAR(D64)+2), Variablen!$I$3:$AT$3, 0))="",L64,INDEX(Variablen!$I:$AT, MATCH(M64, Variablen!$A:$A, 0), MATCH((YEAR(D64)+2), Variablen!$I$3:$AT$3, 0))),L64)))*(IF((YEAR(D64)+2)&lt;YEAR(E64),0,IF((YEAR(D64)+2)&gt;YEAR(E64),1,(12-MONTH(E64)+1)/12))) + (Q64)*(IF((YEAR(D64)+2)&lt;YEAR(E64),0,IF((YEAR(D64)+2)&gt;YEAR(E64),1,(12-MONTH(E64)+1)/12))))-((P64)*(IF((YEAR(D64)+2)&lt;YEAR(E64),0,IF((YEAR(D64)+2)&gt;YEAR(E64),1,(12-MONTH(E64)+1)/12))) + (R64)*(IF((YEAR(D64)+2)&lt;YEAR(E64),0,IF((YEAR(D64)+2)&gt;YEAR(E64),1,(12-MONTH(E64)+1)/12))))-(IF(OR(N64="",N64&lt;=0),0,(O64/N64)*(IF(OR(N64="",N64&lt;=0),0,IF((YEAR(D64)+2)&lt;YEAR(E64),0,IF((YEAR(D64)+2)&gt;=YEAR(E64)+N64,0,IF((YEAR(D64)+2)=YEAR(E64),(12-MONTH(E64)+1)/12,1))))))))*TaxRate,0))-IF(2=0,O64,0))</f>
        <v/>
      </c>
      <c r="V64" s="29">
        <f>IF(A64="","",((K64)*(IF(M64="",L64,IFERROR(IF(INDEX(Variablen!$I:$AT, MATCH(M64, Variablen!$A:$A, 0), MATCH((YEAR(D64)+3), Variablen!$I$3:$AT$3, 0))="",L64,INDEX(Variablen!$I:$AT, MATCH(M64, Variablen!$A:$A, 0), MATCH((YEAR(D64)+3), Variablen!$I$3:$AT$3, 0))),L64)))*(IF((YEAR(D64)+3)&lt;YEAR(E64),0,IF((YEAR(D64)+3)&gt;YEAR(E64),1,(12-MONTH(E64)+1)/12))) + (Q64)*(IF((YEAR(D64)+3)&lt;YEAR(E64),0,IF((YEAR(D64)+3)&gt;YEAR(E64),1,(12-MONTH(E64)+1)/12))))-((P64)*(IF((YEAR(D64)+3)&lt;YEAR(E64),0,IF((YEAR(D64)+3)&gt;YEAR(E64),1,(12-MONTH(E64)+1)/12))) + (R64)*(IF((YEAR(D64)+3)&lt;YEAR(E64),0,IF((YEAR(D64)+3)&gt;YEAR(E64),1,(12-MONTH(E64)+1)/12))))-(IF((((K64)*(IF(M64="",L64,IFERROR(IF(INDEX(Variablen!$I:$AT, MATCH(M64, Variablen!$A:$A, 0), MATCH((YEAR(D64)+3), Variablen!$I$3:$AT$3, 0))="",L64,INDEX(Variablen!$I:$AT, MATCH(M64, Variablen!$A:$A, 0), MATCH((YEAR(D64)+3), Variablen!$I$3:$AT$3, 0))),L64)))*(IF((YEAR(D64)+3)&lt;YEAR(E64),0,IF((YEAR(D64)+3)&gt;YEAR(E64),1,(12-MONTH(E64)+1)/12))) + (Q64)*(IF((YEAR(D64)+3)&lt;YEAR(E64),0,IF((YEAR(D64)+3)&gt;YEAR(E64),1,(12-MONTH(E64)+1)/12))))-((P64)*(IF((YEAR(D64)+3)&lt;YEAR(E64),0,IF((YEAR(D64)+3)&gt;YEAR(E64),1,(12-MONTH(E64)+1)/12))) + (R64)*(IF((YEAR(D64)+3)&lt;YEAR(E64),0,IF((YEAR(D64)+3)&gt;YEAR(E64),1,(12-MONTH(E64)+1)/12))))-(IF(OR(N64="",N64&lt;=0),0,(O64/N64)*(IF(OR(N64="",N64&lt;=0),0,IF((YEAR(D64)+3)&lt;YEAR(E64),0,IF((YEAR(D64)+3)&gt;=YEAR(E64)+N64,0,IF((YEAR(D64)+3)=YEAR(E64),(12-MONTH(E64)+1)/12,1))))))))&gt;0,(((K64)*(IF(M64="",L64,IFERROR(IF(INDEX(Variablen!$I:$AT, MATCH(M64, Variablen!$A:$A, 0), MATCH((YEAR(D64)+3), Variablen!$I$3:$AT$3, 0))="",L64,INDEX(Variablen!$I:$AT, MATCH(M64, Variablen!$A:$A, 0), MATCH((YEAR(D64)+3), Variablen!$I$3:$AT$3, 0))),L64)))*(IF((YEAR(D64)+3)&lt;YEAR(E64),0,IF((YEAR(D64)+3)&gt;YEAR(E64),1,(12-MONTH(E64)+1)/12))) + (Q64)*(IF((YEAR(D64)+3)&lt;YEAR(E64),0,IF((YEAR(D64)+3)&gt;YEAR(E64),1,(12-MONTH(E64)+1)/12))))-((P64)*(IF((YEAR(D64)+3)&lt;YEAR(E64),0,IF((YEAR(D64)+3)&gt;YEAR(E64),1,(12-MONTH(E64)+1)/12))) + (R64)*(IF((YEAR(D64)+3)&lt;YEAR(E64),0,IF((YEAR(D64)+3)&gt;YEAR(E64),1,(12-MONTH(E64)+1)/12))))-(IF(OR(N64="",N64&lt;=0),0,(O64/N64)*(IF(OR(N64="",N64&lt;=0),0,IF((YEAR(D64)+3)&lt;YEAR(E64),0,IF((YEAR(D64)+3)&gt;=YEAR(E64)+N64,0,IF((YEAR(D64)+3)=YEAR(E64),(12-MONTH(E64)+1)/12,1))))))))*TaxRate,0))-IF(3=0,O64,0))</f>
        <v/>
      </c>
      <c r="W64" s="29">
        <f>IF(A64="","",((K64)*(IF(M64="",L64,IFERROR(IF(INDEX(Variablen!$I:$AT, MATCH(M64, Variablen!$A:$A, 0), MATCH((YEAR(D64)+4), Variablen!$I$3:$AT$3, 0))="",L64,INDEX(Variablen!$I:$AT, MATCH(M64, Variablen!$A:$A, 0), MATCH((YEAR(D64)+4), Variablen!$I$3:$AT$3, 0))),L64)))*(IF((YEAR(D64)+4)&lt;YEAR(E64),0,IF((YEAR(D64)+4)&gt;YEAR(E64),1,(12-MONTH(E64)+1)/12))) + (Q64)*(IF((YEAR(D64)+4)&lt;YEAR(E64),0,IF((YEAR(D64)+4)&gt;YEAR(E64),1,(12-MONTH(E64)+1)/12))))-((P64)*(IF((YEAR(D64)+4)&lt;YEAR(E64),0,IF((YEAR(D64)+4)&gt;YEAR(E64),1,(12-MONTH(E64)+1)/12))) + (R64)*(IF((YEAR(D64)+4)&lt;YEAR(E64),0,IF((YEAR(D64)+4)&gt;YEAR(E64),1,(12-MONTH(E64)+1)/12))))-(IF((((K64)*(IF(M64="",L64,IFERROR(IF(INDEX(Variablen!$I:$AT, MATCH(M64, Variablen!$A:$A, 0), MATCH((YEAR(D64)+4), Variablen!$I$3:$AT$3, 0))="",L64,INDEX(Variablen!$I:$AT, MATCH(M64, Variablen!$A:$A, 0), MATCH((YEAR(D64)+4), Variablen!$I$3:$AT$3, 0))),L64)))*(IF((YEAR(D64)+4)&lt;YEAR(E64),0,IF((YEAR(D64)+4)&gt;YEAR(E64),1,(12-MONTH(E64)+1)/12))) + (Q64)*(IF((YEAR(D64)+4)&lt;YEAR(E64),0,IF((YEAR(D64)+4)&gt;YEAR(E64),1,(12-MONTH(E64)+1)/12))))-((P64)*(IF((YEAR(D64)+4)&lt;YEAR(E64),0,IF((YEAR(D64)+4)&gt;YEAR(E64),1,(12-MONTH(E64)+1)/12))) + (R64)*(IF((YEAR(D64)+4)&lt;YEAR(E64),0,IF((YEAR(D64)+4)&gt;YEAR(E64),1,(12-MONTH(E64)+1)/12))))-(IF(OR(N64="",N64&lt;=0),0,(O64/N64)*(IF(OR(N64="",N64&lt;=0),0,IF((YEAR(D64)+4)&lt;YEAR(E64),0,IF((YEAR(D64)+4)&gt;=YEAR(E64)+N64,0,IF((YEAR(D64)+4)=YEAR(E64),(12-MONTH(E64)+1)/12,1))))))))&gt;0,(((K64)*(IF(M64="",L64,IFERROR(IF(INDEX(Variablen!$I:$AT, MATCH(M64, Variablen!$A:$A, 0), MATCH((YEAR(D64)+4), Variablen!$I$3:$AT$3, 0))="",L64,INDEX(Variablen!$I:$AT, MATCH(M64, Variablen!$A:$A, 0), MATCH((YEAR(D64)+4), Variablen!$I$3:$AT$3, 0))),L64)))*(IF((YEAR(D64)+4)&lt;YEAR(E64),0,IF((YEAR(D64)+4)&gt;YEAR(E64),1,(12-MONTH(E64)+1)/12))) + (Q64)*(IF((YEAR(D64)+4)&lt;YEAR(E64),0,IF((YEAR(D64)+4)&gt;YEAR(E64),1,(12-MONTH(E64)+1)/12))))-((P64)*(IF((YEAR(D64)+4)&lt;YEAR(E64),0,IF((YEAR(D64)+4)&gt;YEAR(E64),1,(12-MONTH(E64)+1)/12))) + (R64)*(IF((YEAR(D64)+4)&lt;YEAR(E64),0,IF((YEAR(D64)+4)&gt;YEAR(E64),1,(12-MONTH(E64)+1)/12))))-(IF(OR(N64="",N64&lt;=0),0,(O64/N64)*(IF(OR(N64="",N64&lt;=0),0,IF((YEAR(D64)+4)&lt;YEAR(E64),0,IF((YEAR(D64)+4)&gt;=YEAR(E64)+N64,0,IF((YEAR(D64)+4)=YEAR(E64),(12-MONTH(E64)+1)/12,1))))))))*TaxRate,0))-IF(4=0,O64,0))</f>
        <v/>
      </c>
      <c r="X64" s="29">
        <f>IF(A64="","",((K64)*(IF(M64="",L64,IFERROR(IF(INDEX(Variablen!$I:$AT, MATCH(M64, Variablen!$A:$A, 0), MATCH((YEAR(D64)+5), Variablen!$I$3:$AT$3, 0))="",L64,INDEX(Variablen!$I:$AT, MATCH(M64, Variablen!$A:$A, 0), MATCH((YEAR(D64)+5), Variablen!$I$3:$AT$3, 0))),L64)))*(IF((YEAR(D64)+5)&lt;YEAR(E64),0,IF((YEAR(D64)+5)&gt;YEAR(E64),1,(12-MONTH(E64)+1)/12))) + (Q64)*(IF((YEAR(D64)+5)&lt;YEAR(E64),0,IF((YEAR(D64)+5)&gt;YEAR(E64),1,(12-MONTH(E64)+1)/12))))-((P64)*(IF((YEAR(D64)+5)&lt;YEAR(E64),0,IF((YEAR(D64)+5)&gt;YEAR(E64),1,(12-MONTH(E64)+1)/12))) + (R64)*(IF((YEAR(D64)+5)&lt;YEAR(E64),0,IF((YEAR(D64)+5)&gt;YEAR(E64),1,(12-MONTH(E64)+1)/12))))-(IF((((K64)*(IF(M64="",L64,IFERROR(IF(INDEX(Variablen!$I:$AT, MATCH(M64, Variablen!$A:$A, 0), MATCH((YEAR(D64)+5), Variablen!$I$3:$AT$3, 0))="",L64,INDEX(Variablen!$I:$AT, MATCH(M64, Variablen!$A:$A, 0), MATCH((YEAR(D64)+5), Variablen!$I$3:$AT$3, 0))),L64)))*(IF((YEAR(D64)+5)&lt;YEAR(E64),0,IF((YEAR(D64)+5)&gt;YEAR(E64),1,(12-MONTH(E64)+1)/12))) + (Q64)*(IF((YEAR(D64)+5)&lt;YEAR(E64),0,IF((YEAR(D64)+5)&gt;YEAR(E64),1,(12-MONTH(E64)+1)/12))))-((P64)*(IF((YEAR(D64)+5)&lt;YEAR(E64),0,IF((YEAR(D64)+5)&gt;YEAR(E64),1,(12-MONTH(E64)+1)/12))) + (R64)*(IF((YEAR(D64)+5)&lt;YEAR(E64),0,IF((YEAR(D64)+5)&gt;YEAR(E64),1,(12-MONTH(E64)+1)/12))))-(IF(OR(N64="",N64&lt;=0),0,(O64/N64)*(IF(OR(N64="",N64&lt;=0),0,IF((YEAR(D64)+5)&lt;YEAR(E64),0,IF((YEAR(D64)+5)&gt;=YEAR(E64)+N64,0,IF((YEAR(D64)+5)=YEAR(E64),(12-MONTH(E64)+1)/12,1))))))))&gt;0,(((K64)*(IF(M64="",L64,IFERROR(IF(INDEX(Variablen!$I:$AT, MATCH(M64, Variablen!$A:$A, 0), MATCH((YEAR(D64)+5), Variablen!$I$3:$AT$3, 0))="",L64,INDEX(Variablen!$I:$AT, MATCH(M64, Variablen!$A:$A, 0), MATCH((YEAR(D64)+5), Variablen!$I$3:$AT$3, 0))),L64)))*(IF((YEAR(D64)+5)&lt;YEAR(E64),0,IF((YEAR(D64)+5)&gt;YEAR(E64),1,(12-MONTH(E64)+1)/12))) + (Q64)*(IF((YEAR(D64)+5)&lt;YEAR(E64),0,IF((YEAR(D64)+5)&gt;YEAR(E64),1,(12-MONTH(E64)+1)/12))))-((P64)*(IF((YEAR(D64)+5)&lt;YEAR(E64),0,IF((YEAR(D64)+5)&gt;YEAR(E64),1,(12-MONTH(E64)+1)/12))) + (R64)*(IF((YEAR(D64)+5)&lt;YEAR(E64),0,IF((YEAR(D64)+5)&gt;YEAR(E64),1,(12-MONTH(E64)+1)/12))))-(IF(OR(N64="",N64&lt;=0),0,(O64/N64)*(IF(OR(N64="",N64&lt;=0),0,IF((YEAR(D64)+5)&lt;YEAR(E64),0,IF((YEAR(D64)+5)&gt;=YEAR(E64)+N64,0,IF((YEAR(D64)+5)=YEAR(E64),(12-MONTH(E64)+1)/12,1))))))))*TaxRate,0))-IF(5=0,O64,0))</f>
        <v/>
      </c>
      <c r="Y64" s="29">
        <f>IF(A64="","",((K64)*(IF(M64="",L64,IFERROR(IF(INDEX(Variablen!$I:$AT, MATCH(M64, Variablen!$A:$A, 0), MATCH((YEAR(D64)+6), Variablen!$I$3:$AT$3, 0))="",L64,INDEX(Variablen!$I:$AT, MATCH(M64, Variablen!$A:$A, 0), MATCH((YEAR(D64)+6), Variablen!$I$3:$AT$3, 0))),L64)))*(IF((YEAR(D64)+6)&lt;YEAR(E64),0,IF((YEAR(D64)+6)&gt;YEAR(E64),1,(12-MONTH(E64)+1)/12))) + (Q64)*(IF((YEAR(D64)+6)&lt;YEAR(E64),0,IF((YEAR(D64)+6)&gt;YEAR(E64),1,(12-MONTH(E64)+1)/12))))-((P64)*(IF((YEAR(D64)+6)&lt;YEAR(E64),0,IF((YEAR(D64)+6)&gt;YEAR(E64),1,(12-MONTH(E64)+1)/12))) + (R64)*(IF((YEAR(D64)+6)&lt;YEAR(E64),0,IF((YEAR(D64)+6)&gt;YEAR(E64),1,(12-MONTH(E64)+1)/12))))-(IF((((K64)*(IF(M64="",L64,IFERROR(IF(INDEX(Variablen!$I:$AT, MATCH(M64, Variablen!$A:$A, 0), MATCH((YEAR(D64)+6), Variablen!$I$3:$AT$3, 0))="",L64,INDEX(Variablen!$I:$AT, MATCH(M64, Variablen!$A:$A, 0), MATCH((YEAR(D64)+6), Variablen!$I$3:$AT$3, 0))),L64)))*(IF((YEAR(D64)+6)&lt;YEAR(E64),0,IF((YEAR(D64)+6)&gt;YEAR(E64),1,(12-MONTH(E64)+1)/12))) + (Q64)*(IF((YEAR(D64)+6)&lt;YEAR(E64),0,IF((YEAR(D64)+6)&gt;YEAR(E64),1,(12-MONTH(E64)+1)/12))))-((P64)*(IF((YEAR(D64)+6)&lt;YEAR(E64),0,IF((YEAR(D64)+6)&gt;YEAR(E64),1,(12-MONTH(E64)+1)/12))) + (R64)*(IF((YEAR(D64)+6)&lt;YEAR(E64),0,IF((YEAR(D64)+6)&gt;YEAR(E64),1,(12-MONTH(E64)+1)/12))))-(IF(OR(N64="",N64&lt;=0),0,(O64/N64)*(IF(OR(N64="",N64&lt;=0),0,IF((YEAR(D64)+6)&lt;YEAR(E64),0,IF((YEAR(D64)+6)&gt;=YEAR(E64)+N64,0,IF((YEAR(D64)+6)=YEAR(E64),(12-MONTH(E64)+1)/12,1))))))))&gt;0,(((K64)*(IF(M64="",L64,IFERROR(IF(INDEX(Variablen!$I:$AT, MATCH(M64, Variablen!$A:$A, 0), MATCH((YEAR(D64)+6), Variablen!$I$3:$AT$3, 0))="",L64,INDEX(Variablen!$I:$AT, MATCH(M64, Variablen!$A:$A, 0), MATCH((YEAR(D64)+6), Variablen!$I$3:$AT$3, 0))),L64)))*(IF((YEAR(D64)+6)&lt;YEAR(E64),0,IF((YEAR(D64)+6)&gt;YEAR(E64),1,(12-MONTH(E64)+1)/12))) + (Q64)*(IF((YEAR(D64)+6)&lt;YEAR(E64),0,IF((YEAR(D64)+6)&gt;YEAR(E64),1,(12-MONTH(E64)+1)/12))))-((P64)*(IF((YEAR(D64)+6)&lt;YEAR(E64),0,IF((YEAR(D64)+6)&gt;YEAR(E64),1,(12-MONTH(E64)+1)/12))) + (R64)*(IF((YEAR(D64)+6)&lt;YEAR(E64),0,IF((YEAR(D64)+6)&gt;YEAR(E64),1,(12-MONTH(E64)+1)/12))))-(IF(OR(N64="",N64&lt;=0),0,(O64/N64)*(IF(OR(N64="",N64&lt;=0),0,IF((YEAR(D64)+6)&lt;YEAR(E64),0,IF((YEAR(D64)+6)&gt;=YEAR(E64)+N64,0,IF((YEAR(D64)+6)=YEAR(E64),(12-MONTH(E64)+1)/12,1))))))))*TaxRate,0))-IF(6=0,O64,0))</f>
        <v/>
      </c>
      <c r="Z64" s="29">
        <f>IF(A64="","",((K64)*(IF(M64="",L64,IFERROR(IF(INDEX(Variablen!$I:$AT, MATCH(M64, Variablen!$A:$A, 0), MATCH((YEAR(D64)+7), Variablen!$I$3:$AT$3, 0))="",L64,INDEX(Variablen!$I:$AT, MATCH(M64, Variablen!$A:$A, 0), MATCH((YEAR(D64)+7), Variablen!$I$3:$AT$3, 0))),L64)))*(IF((YEAR(D64)+7)&lt;YEAR(E64),0,IF((YEAR(D64)+7)&gt;YEAR(E64),1,(12-MONTH(E64)+1)/12))) + (Q64)*(IF((YEAR(D64)+7)&lt;YEAR(E64),0,IF((YEAR(D64)+7)&gt;YEAR(E64),1,(12-MONTH(E64)+1)/12))))-((P64)*(IF((YEAR(D64)+7)&lt;YEAR(E64),0,IF((YEAR(D64)+7)&gt;YEAR(E64),1,(12-MONTH(E64)+1)/12))) + (R64)*(IF((YEAR(D64)+7)&lt;YEAR(E64),0,IF((YEAR(D64)+7)&gt;YEAR(E64),1,(12-MONTH(E64)+1)/12))))-(IF((((K64)*(IF(M64="",L64,IFERROR(IF(INDEX(Variablen!$I:$AT, MATCH(M64, Variablen!$A:$A, 0), MATCH((YEAR(D64)+7), Variablen!$I$3:$AT$3, 0))="",L64,INDEX(Variablen!$I:$AT, MATCH(M64, Variablen!$A:$A, 0), MATCH((YEAR(D64)+7), Variablen!$I$3:$AT$3, 0))),L64)))*(IF((YEAR(D64)+7)&lt;YEAR(E64),0,IF((YEAR(D64)+7)&gt;YEAR(E64),1,(12-MONTH(E64)+1)/12))) + (Q64)*(IF((YEAR(D64)+7)&lt;YEAR(E64),0,IF((YEAR(D64)+7)&gt;YEAR(E64),1,(12-MONTH(E64)+1)/12))))-((P64)*(IF((YEAR(D64)+7)&lt;YEAR(E64),0,IF((YEAR(D64)+7)&gt;YEAR(E64),1,(12-MONTH(E64)+1)/12))) + (R64)*(IF((YEAR(D64)+7)&lt;YEAR(E64),0,IF((YEAR(D64)+7)&gt;YEAR(E64),1,(12-MONTH(E64)+1)/12))))-(IF(OR(N64="",N64&lt;=0),0,(O64/N64)*(IF(OR(N64="",N64&lt;=0),0,IF((YEAR(D64)+7)&lt;YEAR(E64),0,IF((YEAR(D64)+7)&gt;=YEAR(E64)+N64,0,IF((YEAR(D64)+7)=YEAR(E64),(12-MONTH(E64)+1)/12,1))))))))&gt;0,(((K64)*(IF(M64="",L64,IFERROR(IF(INDEX(Variablen!$I:$AT, MATCH(M64, Variablen!$A:$A, 0), MATCH((YEAR(D64)+7), Variablen!$I$3:$AT$3, 0))="",L64,INDEX(Variablen!$I:$AT, MATCH(M64, Variablen!$A:$A, 0), MATCH((YEAR(D64)+7), Variablen!$I$3:$AT$3, 0))),L64)))*(IF((YEAR(D64)+7)&lt;YEAR(E64),0,IF((YEAR(D64)+7)&gt;YEAR(E64),1,(12-MONTH(E64)+1)/12))) + (Q64)*(IF((YEAR(D64)+7)&lt;YEAR(E64),0,IF((YEAR(D64)+7)&gt;YEAR(E64),1,(12-MONTH(E64)+1)/12))))-((P64)*(IF((YEAR(D64)+7)&lt;YEAR(E64),0,IF((YEAR(D64)+7)&gt;YEAR(E64),1,(12-MONTH(E64)+1)/12))) + (R64)*(IF((YEAR(D64)+7)&lt;YEAR(E64),0,IF((YEAR(D64)+7)&gt;YEAR(E64),1,(12-MONTH(E64)+1)/12))))-(IF(OR(N64="",N64&lt;=0),0,(O64/N64)*(IF(OR(N64="",N64&lt;=0),0,IF((YEAR(D64)+7)&lt;YEAR(E64),0,IF((YEAR(D64)+7)&gt;=YEAR(E64)+N64,0,IF((YEAR(D64)+7)=YEAR(E64),(12-MONTH(E64)+1)/12,1))))))))*TaxRate,0))-IF(7=0,O64,0))</f>
        <v/>
      </c>
      <c r="AA64" s="29">
        <f>IF(A64="","",((K64)*(IF(M64="",L64,IFERROR(IF(INDEX(Variablen!$I:$AT, MATCH(M64, Variablen!$A:$A, 0), MATCH((YEAR(D64)+8), Variablen!$I$3:$AT$3, 0))="",L64,INDEX(Variablen!$I:$AT, MATCH(M64, Variablen!$A:$A, 0), MATCH((YEAR(D64)+8), Variablen!$I$3:$AT$3, 0))),L64)))*(IF((YEAR(D64)+8)&lt;YEAR(E64),0,IF((YEAR(D64)+8)&gt;YEAR(E64),1,(12-MONTH(E64)+1)/12))) + (Q64)*(IF((YEAR(D64)+8)&lt;YEAR(E64),0,IF((YEAR(D64)+8)&gt;YEAR(E64),1,(12-MONTH(E64)+1)/12))))-((P64)*(IF((YEAR(D64)+8)&lt;YEAR(E64),0,IF((YEAR(D64)+8)&gt;YEAR(E64),1,(12-MONTH(E64)+1)/12))) + (R64)*(IF((YEAR(D64)+8)&lt;YEAR(E64),0,IF((YEAR(D64)+8)&gt;YEAR(E64),1,(12-MONTH(E64)+1)/12))))-(IF((((K64)*(IF(M64="",L64,IFERROR(IF(INDEX(Variablen!$I:$AT, MATCH(M64, Variablen!$A:$A, 0), MATCH((YEAR(D64)+8), Variablen!$I$3:$AT$3, 0))="",L64,INDEX(Variablen!$I:$AT, MATCH(M64, Variablen!$A:$A, 0), MATCH((YEAR(D64)+8), Variablen!$I$3:$AT$3, 0))),L64)))*(IF((YEAR(D64)+8)&lt;YEAR(E64),0,IF((YEAR(D64)+8)&gt;YEAR(E64),1,(12-MONTH(E64)+1)/12))) + (Q64)*(IF((YEAR(D64)+8)&lt;YEAR(E64),0,IF((YEAR(D64)+8)&gt;YEAR(E64),1,(12-MONTH(E64)+1)/12))))-((P64)*(IF((YEAR(D64)+8)&lt;YEAR(E64),0,IF((YEAR(D64)+8)&gt;YEAR(E64),1,(12-MONTH(E64)+1)/12))) + (R64)*(IF((YEAR(D64)+8)&lt;YEAR(E64),0,IF((YEAR(D64)+8)&gt;YEAR(E64),1,(12-MONTH(E64)+1)/12))))-(IF(OR(N64="",N64&lt;=0),0,(O64/N64)*(IF(OR(N64="",N64&lt;=0),0,IF((YEAR(D64)+8)&lt;YEAR(E64),0,IF((YEAR(D64)+8)&gt;=YEAR(E64)+N64,0,IF((YEAR(D64)+8)=YEAR(E64),(12-MONTH(E64)+1)/12,1))))))))&gt;0,(((K64)*(IF(M64="",L64,IFERROR(IF(INDEX(Variablen!$I:$AT, MATCH(M64, Variablen!$A:$A, 0), MATCH((YEAR(D64)+8), Variablen!$I$3:$AT$3, 0))="",L64,INDEX(Variablen!$I:$AT, MATCH(M64, Variablen!$A:$A, 0), MATCH((YEAR(D64)+8), Variablen!$I$3:$AT$3, 0))),L64)))*(IF((YEAR(D64)+8)&lt;YEAR(E64),0,IF((YEAR(D64)+8)&gt;YEAR(E64),1,(12-MONTH(E64)+1)/12))) + (Q64)*(IF((YEAR(D64)+8)&lt;YEAR(E64),0,IF((YEAR(D64)+8)&gt;YEAR(E64),1,(12-MONTH(E64)+1)/12))))-((P64)*(IF((YEAR(D64)+8)&lt;YEAR(E64),0,IF((YEAR(D64)+8)&gt;YEAR(E64),1,(12-MONTH(E64)+1)/12))) + (R64)*(IF((YEAR(D64)+8)&lt;YEAR(E64),0,IF((YEAR(D64)+8)&gt;YEAR(E64),1,(12-MONTH(E64)+1)/12))))-(IF(OR(N64="",N64&lt;=0),0,(O64/N64)*(IF(OR(N64="",N64&lt;=0),0,IF((YEAR(D64)+8)&lt;YEAR(E64),0,IF((YEAR(D64)+8)&gt;=YEAR(E64)+N64,0,IF((YEAR(D64)+8)=YEAR(E64),(12-MONTH(E64)+1)/12,1))))))))*TaxRate,0))-IF(8=0,O64,0))</f>
        <v/>
      </c>
      <c r="AB64" s="29">
        <f>IF(A64="","",((K64)*(IF(M64="",L64,IFERROR(IF(INDEX(Variablen!$I:$AT, MATCH(M64, Variablen!$A:$A, 0), MATCH((YEAR(D64)+9), Variablen!$I$3:$AT$3, 0))="",L64,INDEX(Variablen!$I:$AT, MATCH(M64, Variablen!$A:$A, 0), MATCH((YEAR(D64)+9), Variablen!$I$3:$AT$3, 0))),L64)))*(IF((YEAR(D64)+9)&lt;YEAR(E64),0,IF((YEAR(D64)+9)&gt;YEAR(E64),1,(12-MONTH(E64)+1)/12))) + (Q64)*(IF((YEAR(D64)+9)&lt;YEAR(E64),0,IF((YEAR(D64)+9)&gt;YEAR(E64),1,(12-MONTH(E64)+1)/12))))-((P64)*(IF((YEAR(D64)+9)&lt;YEAR(E64),0,IF((YEAR(D64)+9)&gt;YEAR(E64),1,(12-MONTH(E64)+1)/12))) + (R64)*(IF((YEAR(D64)+9)&lt;YEAR(E64),0,IF((YEAR(D64)+9)&gt;YEAR(E64),1,(12-MONTH(E64)+1)/12))))-(IF((((K64)*(IF(M64="",L64,IFERROR(IF(INDEX(Variablen!$I:$AT, MATCH(M64, Variablen!$A:$A, 0), MATCH((YEAR(D64)+9), Variablen!$I$3:$AT$3, 0))="",L64,INDEX(Variablen!$I:$AT, MATCH(M64, Variablen!$A:$A, 0), MATCH((YEAR(D64)+9), Variablen!$I$3:$AT$3, 0))),L64)))*(IF((YEAR(D64)+9)&lt;YEAR(E64),0,IF((YEAR(D64)+9)&gt;YEAR(E64),1,(12-MONTH(E64)+1)/12))) + (Q64)*(IF((YEAR(D64)+9)&lt;YEAR(E64),0,IF((YEAR(D64)+9)&gt;YEAR(E64),1,(12-MONTH(E64)+1)/12))))-((P64)*(IF((YEAR(D64)+9)&lt;YEAR(E64),0,IF((YEAR(D64)+9)&gt;YEAR(E64),1,(12-MONTH(E64)+1)/12))) + (R64)*(IF((YEAR(D64)+9)&lt;YEAR(E64),0,IF((YEAR(D64)+9)&gt;YEAR(E64),1,(12-MONTH(E64)+1)/12))))-(IF(OR(N64="",N64&lt;=0),0,(O64/N64)*(IF(OR(N64="",N64&lt;=0),0,IF((YEAR(D64)+9)&lt;YEAR(E64),0,IF((YEAR(D64)+9)&gt;=YEAR(E64)+N64,0,IF((YEAR(D64)+9)=YEAR(E64),(12-MONTH(E64)+1)/12,1))))))))&gt;0,(((K64)*(IF(M64="",L64,IFERROR(IF(INDEX(Variablen!$I:$AT, MATCH(M64, Variablen!$A:$A, 0), MATCH((YEAR(D64)+9), Variablen!$I$3:$AT$3, 0))="",L64,INDEX(Variablen!$I:$AT, MATCH(M64, Variablen!$A:$A, 0), MATCH((YEAR(D64)+9), Variablen!$I$3:$AT$3, 0))),L64)))*(IF((YEAR(D64)+9)&lt;YEAR(E64),0,IF((YEAR(D64)+9)&gt;YEAR(E64),1,(12-MONTH(E64)+1)/12))) + (Q64)*(IF((YEAR(D64)+9)&lt;YEAR(E64),0,IF((YEAR(D64)+9)&gt;YEAR(E64),1,(12-MONTH(E64)+1)/12))))-((P64)*(IF((YEAR(D64)+9)&lt;YEAR(E64),0,IF((YEAR(D64)+9)&gt;YEAR(E64),1,(12-MONTH(E64)+1)/12))) + (R64)*(IF((YEAR(D64)+9)&lt;YEAR(E64),0,IF((YEAR(D64)+9)&gt;YEAR(E64),1,(12-MONTH(E64)+1)/12))))-(IF(OR(N64="",N64&lt;=0),0,(O64/N64)*(IF(OR(N64="",N64&lt;=0),0,IF((YEAR(D64)+9)&lt;YEAR(E64),0,IF((YEAR(D64)+9)&gt;=YEAR(E64)+N64,0,IF((YEAR(D64)+9)=YEAR(E64),(12-MONTH(E64)+1)/12,1))))))))*TaxRate,0))-IF(9=0,O64,0))</f>
        <v/>
      </c>
      <c r="AC64" s="29">
        <f>IF(A64="","",((K64)*(IF(M64="",L64,IFERROR(IF(INDEX(Variablen!$I:$AT, MATCH(M64, Variablen!$A:$A, 0), MATCH((YEAR(D64)+10), Variablen!$I$3:$AT$3, 0))="",L64,INDEX(Variablen!$I:$AT, MATCH(M64, Variablen!$A:$A, 0), MATCH((YEAR(D64)+10), Variablen!$I$3:$AT$3, 0))),L64)))*(IF((YEAR(D64)+10)&lt;YEAR(E64),0,IF((YEAR(D64)+10)&gt;YEAR(E64),1,(12-MONTH(E64)+1)/12))) + (Q64)*(IF((YEAR(D64)+10)&lt;YEAR(E64),0,IF((YEAR(D64)+10)&gt;YEAR(E64),1,(12-MONTH(E64)+1)/12))))-((P64)*(IF((YEAR(D64)+10)&lt;YEAR(E64),0,IF((YEAR(D64)+10)&gt;YEAR(E64),1,(12-MONTH(E64)+1)/12))) + (R64)*(IF((YEAR(D64)+10)&lt;YEAR(E64),0,IF((YEAR(D64)+10)&gt;YEAR(E64),1,(12-MONTH(E64)+1)/12))))-(IF((((K64)*(IF(M64="",L64,IFERROR(IF(INDEX(Variablen!$I:$AT, MATCH(M64, Variablen!$A:$A, 0), MATCH((YEAR(D64)+10), Variablen!$I$3:$AT$3, 0))="",L64,INDEX(Variablen!$I:$AT, MATCH(M64, Variablen!$A:$A, 0), MATCH((YEAR(D64)+10), Variablen!$I$3:$AT$3, 0))),L64)))*(IF((YEAR(D64)+10)&lt;YEAR(E64),0,IF((YEAR(D64)+10)&gt;YEAR(E64),1,(12-MONTH(E64)+1)/12))) + (Q64)*(IF((YEAR(D64)+10)&lt;YEAR(E64),0,IF((YEAR(D64)+10)&gt;YEAR(E64),1,(12-MONTH(E64)+1)/12))))-((P64)*(IF((YEAR(D64)+10)&lt;YEAR(E64),0,IF((YEAR(D64)+10)&gt;YEAR(E64),1,(12-MONTH(E64)+1)/12))) + (R64)*(IF((YEAR(D64)+10)&lt;YEAR(E64),0,IF((YEAR(D64)+10)&gt;YEAR(E64),1,(12-MONTH(E64)+1)/12))))-(IF(OR(N64="",N64&lt;=0),0,(O64/N64)*(IF(OR(N64="",N64&lt;=0),0,IF((YEAR(D64)+10)&lt;YEAR(E64),0,IF((YEAR(D64)+10)&gt;=YEAR(E64)+N64,0,IF((YEAR(D64)+10)=YEAR(E64),(12-MONTH(E64)+1)/12,1))))))))&gt;0,(((K64)*(IF(M64="",L64,IFERROR(IF(INDEX(Variablen!$I:$AT, MATCH(M64, Variablen!$A:$A, 0), MATCH((YEAR(D64)+10), Variablen!$I$3:$AT$3, 0))="",L64,INDEX(Variablen!$I:$AT, MATCH(M64, Variablen!$A:$A, 0), MATCH((YEAR(D64)+10), Variablen!$I$3:$AT$3, 0))),L64)))*(IF((YEAR(D64)+10)&lt;YEAR(E64),0,IF((YEAR(D64)+10)&gt;YEAR(E64),1,(12-MONTH(E64)+1)/12))) + (Q64)*(IF((YEAR(D64)+10)&lt;YEAR(E64),0,IF((YEAR(D64)+10)&gt;YEAR(E64),1,(12-MONTH(E64)+1)/12))))-((P64)*(IF((YEAR(D64)+10)&lt;YEAR(E64),0,IF((YEAR(D64)+10)&gt;YEAR(E64),1,(12-MONTH(E64)+1)/12))) + (R64)*(IF((YEAR(D64)+10)&lt;YEAR(E64),0,IF((YEAR(D64)+10)&gt;YEAR(E64),1,(12-MONTH(E64)+1)/12))))-(IF(OR(N64="",N64&lt;=0),0,(O64/N64)*(IF(OR(N64="",N64&lt;=0),0,IF((YEAR(D64)+10)&lt;YEAR(E64),0,IF((YEAR(D64)+10)&gt;=YEAR(E64)+N64,0,IF((YEAR(D64)+10)=YEAR(E64),(12-MONTH(E64)+1)/12,1))))))))*TaxRate,0))-IF(10=0,O64,0))</f>
        <v/>
      </c>
      <c r="AD64" s="29">
        <f>IF(A64="","",((K64)*(IF(M64="",L64,IFERROR(IF(INDEX(Variablen!$I:$AT, MATCH(M64, Variablen!$A:$A, 0), MATCH((YEAR(D64)+11), Variablen!$I$3:$AT$3, 0))="",L64,INDEX(Variablen!$I:$AT, MATCH(M64, Variablen!$A:$A, 0), MATCH((YEAR(D64)+11), Variablen!$I$3:$AT$3, 0))),L64)))*(IF((YEAR(D64)+11)&lt;YEAR(E64),0,IF((YEAR(D64)+11)&gt;YEAR(E64),1,(12-MONTH(E64)+1)/12))) + (Q64)*(IF((YEAR(D64)+11)&lt;YEAR(E64),0,IF((YEAR(D64)+11)&gt;YEAR(E64),1,(12-MONTH(E64)+1)/12))))-((P64)*(IF((YEAR(D64)+11)&lt;YEAR(E64),0,IF((YEAR(D64)+11)&gt;YEAR(E64),1,(12-MONTH(E64)+1)/12))) + (R64)*(IF((YEAR(D64)+11)&lt;YEAR(E64),0,IF((YEAR(D64)+11)&gt;YEAR(E64),1,(12-MONTH(E64)+1)/12))))-(IF((((K64)*(IF(M64="",L64,IFERROR(IF(INDEX(Variablen!$I:$AT, MATCH(M64, Variablen!$A:$A, 0), MATCH((YEAR(D64)+11), Variablen!$I$3:$AT$3, 0))="",L64,INDEX(Variablen!$I:$AT, MATCH(M64, Variablen!$A:$A, 0), MATCH((YEAR(D64)+11), Variablen!$I$3:$AT$3, 0))),L64)))*(IF((YEAR(D64)+11)&lt;YEAR(E64),0,IF((YEAR(D64)+11)&gt;YEAR(E64),1,(12-MONTH(E64)+1)/12))) + (Q64)*(IF((YEAR(D64)+11)&lt;YEAR(E64),0,IF((YEAR(D64)+11)&gt;YEAR(E64),1,(12-MONTH(E64)+1)/12))))-((P64)*(IF((YEAR(D64)+11)&lt;YEAR(E64),0,IF((YEAR(D64)+11)&gt;YEAR(E64),1,(12-MONTH(E64)+1)/12))) + (R64)*(IF((YEAR(D64)+11)&lt;YEAR(E64),0,IF((YEAR(D64)+11)&gt;YEAR(E64),1,(12-MONTH(E64)+1)/12))))-(IF(OR(N64="",N64&lt;=0),0,(O64/N64)*(IF(OR(N64="",N64&lt;=0),0,IF((YEAR(D64)+11)&lt;YEAR(E64),0,IF((YEAR(D64)+11)&gt;=YEAR(E64)+N64,0,IF((YEAR(D64)+11)=YEAR(E64),(12-MONTH(E64)+1)/12,1))))))))&gt;0,(((K64)*(IF(M64="",L64,IFERROR(IF(INDEX(Variablen!$I:$AT, MATCH(M64, Variablen!$A:$A, 0), MATCH((YEAR(D64)+11), Variablen!$I$3:$AT$3, 0))="",L64,INDEX(Variablen!$I:$AT, MATCH(M64, Variablen!$A:$A, 0), MATCH((YEAR(D64)+11), Variablen!$I$3:$AT$3, 0))),L64)))*(IF((YEAR(D64)+11)&lt;YEAR(E64),0,IF((YEAR(D64)+11)&gt;YEAR(E64),1,(12-MONTH(E64)+1)/12))) + (Q64)*(IF((YEAR(D64)+11)&lt;YEAR(E64),0,IF((YEAR(D64)+11)&gt;YEAR(E64),1,(12-MONTH(E64)+1)/12))))-((P64)*(IF((YEAR(D64)+11)&lt;YEAR(E64),0,IF((YEAR(D64)+11)&gt;YEAR(E64),1,(12-MONTH(E64)+1)/12))) + (R64)*(IF((YEAR(D64)+11)&lt;YEAR(E64),0,IF((YEAR(D64)+11)&gt;YEAR(E64),1,(12-MONTH(E64)+1)/12))))-(IF(OR(N64="",N64&lt;=0),0,(O64/N64)*(IF(OR(N64="",N64&lt;=0),0,IF((YEAR(D64)+11)&lt;YEAR(E64),0,IF((YEAR(D64)+11)&gt;=YEAR(E64)+N64,0,IF((YEAR(D64)+11)=YEAR(E64),(12-MONTH(E64)+1)/12,1))))))))*TaxRate,0))-IF(11=0,O64,0))</f>
        <v/>
      </c>
      <c r="AE64" s="29">
        <f>IF(A64="","",((K64)*(IF(M64="",L64,IFERROR(IF(INDEX(Variablen!$I:$AT, MATCH(M64, Variablen!$A:$A, 0), MATCH((YEAR(D64)+12), Variablen!$I$3:$AT$3, 0))="",L64,INDEX(Variablen!$I:$AT, MATCH(M64, Variablen!$A:$A, 0), MATCH((YEAR(D64)+12), Variablen!$I$3:$AT$3, 0))),L64)))*(IF((YEAR(D64)+12)&lt;YEAR(E64),0,IF((YEAR(D64)+12)&gt;YEAR(E64),1,(12-MONTH(E64)+1)/12))) + (Q64)*(IF((YEAR(D64)+12)&lt;YEAR(E64),0,IF((YEAR(D64)+12)&gt;YEAR(E64),1,(12-MONTH(E64)+1)/12))))-((P64)*(IF((YEAR(D64)+12)&lt;YEAR(E64),0,IF((YEAR(D64)+12)&gt;YEAR(E64),1,(12-MONTH(E64)+1)/12))) + (R64)*(IF((YEAR(D64)+12)&lt;YEAR(E64),0,IF((YEAR(D64)+12)&gt;YEAR(E64),1,(12-MONTH(E64)+1)/12))))-(IF((((K64)*(IF(M64="",L64,IFERROR(IF(INDEX(Variablen!$I:$AT, MATCH(M64, Variablen!$A:$A, 0), MATCH((YEAR(D64)+12), Variablen!$I$3:$AT$3, 0))="",L64,INDEX(Variablen!$I:$AT, MATCH(M64, Variablen!$A:$A, 0), MATCH((YEAR(D64)+12), Variablen!$I$3:$AT$3, 0))),L64)))*(IF((YEAR(D64)+12)&lt;YEAR(E64),0,IF((YEAR(D64)+12)&gt;YEAR(E64),1,(12-MONTH(E64)+1)/12))) + (Q64)*(IF((YEAR(D64)+12)&lt;YEAR(E64),0,IF((YEAR(D64)+12)&gt;YEAR(E64),1,(12-MONTH(E64)+1)/12))))-((P64)*(IF((YEAR(D64)+12)&lt;YEAR(E64),0,IF((YEAR(D64)+12)&gt;YEAR(E64),1,(12-MONTH(E64)+1)/12))) + (R64)*(IF((YEAR(D64)+12)&lt;YEAR(E64),0,IF((YEAR(D64)+12)&gt;YEAR(E64),1,(12-MONTH(E64)+1)/12))))-(IF(OR(N64="",N64&lt;=0),0,(O64/N64)*(IF(OR(N64="",N64&lt;=0),0,IF((YEAR(D64)+12)&lt;YEAR(E64),0,IF((YEAR(D64)+12)&gt;=YEAR(E64)+N64,0,IF((YEAR(D64)+12)=YEAR(E64),(12-MONTH(E64)+1)/12,1))))))))&gt;0,(((K64)*(IF(M64="",L64,IFERROR(IF(INDEX(Variablen!$I:$AT, MATCH(M64, Variablen!$A:$A, 0), MATCH((YEAR(D64)+12), Variablen!$I$3:$AT$3, 0))="",L64,INDEX(Variablen!$I:$AT, MATCH(M64, Variablen!$A:$A, 0), MATCH((YEAR(D64)+12), Variablen!$I$3:$AT$3, 0))),L64)))*(IF((YEAR(D64)+12)&lt;YEAR(E64),0,IF((YEAR(D64)+12)&gt;YEAR(E64),1,(12-MONTH(E64)+1)/12))) + (Q64)*(IF((YEAR(D64)+12)&lt;YEAR(E64),0,IF((YEAR(D64)+12)&gt;YEAR(E64),1,(12-MONTH(E64)+1)/12))))-((P64)*(IF((YEAR(D64)+12)&lt;YEAR(E64),0,IF((YEAR(D64)+12)&gt;YEAR(E64),1,(12-MONTH(E64)+1)/12))) + (R64)*(IF((YEAR(D64)+12)&lt;YEAR(E64),0,IF((YEAR(D64)+12)&gt;YEAR(E64),1,(12-MONTH(E64)+1)/12))))-(IF(OR(N64="",N64&lt;=0),0,(O64/N64)*(IF(OR(N64="",N64&lt;=0),0,IF((YEAR(D64)+12)&lt;YEAR(E64),0,IF((YEAR(D64)+12)&gt;=YEAR(E64)+N64,0,IF((YEAR(D64)+12)=YEAR(E64),(12-MONTH(E64)+1)/12,1))))))))*TaxRate,0))-IF(12=0,O64,0))</f>
        <v/>
      </c>
      <c r="AF64" s="29">
        <f>IF(A64="","",((K64)*(IF(M64="",L64,IFERROR(IF(INDEX(Variablen!$I:$AT, MATCH(M64, Variablen!$A:$A, 0), MATCH((YEAR(D64)+13), Variablen!$I$3:$AT$3, 0))="",L64,INDEX(Variablen!$I:$AT, MATCH(M64, Variablen!$A:$A, 0), MATCH((YEAR(D64)+13), Variablen!$I$3:$AT$3, 0))),L64)))*(IF((YEAR(D64)+13)&lt;YEAR(E64),0,IF((YEAR(D64)+13)&gt;YEAR(E64),1,(12-MONTH(E64)+1)/12))) + (Q64)*(IF((YEAR(D64)+13)&lt;YEAR(E64),0,IF((YEAR(D64)+13)&gt;YEAR(E64),1,(12-MONTH(E64)+1)/12))))-((P64)*(IF((YEAR(D64)+13)&lt;YEAR(E64),0,IF((YEAR(D64)+13)&gt;YEAR(E64),1,(12-MONTH(E64)+1)/12))) + (R64)*(IF((YEAR(D64)+13)&lt;YEAR(E64),0,IF((YEAR(D64)+13)&gt;YEAR(E64),1,(12-MONTH(E64)+1)/12))))-(IF((((K64)*(IF(M64="",L64,IFERROR(IF(INDEX(Variablen!$I:$AT, MATCH(M64, Variablen!$A:$A, 0), MATCH((YEAR(D64)+13), Variablen!$I$3:$AT$3, 0))="",L64,INDEX(Variablen!$I:$AT, MATCH(M64, Variablen!$A:$A, 0), MATCH((YEAR(D64)+13), Variablen!$I$3:$AT$3, 0))),L64)))*(IF((YEAR(D64)+13)&lt;YEAR(E64),0,IF((YEAR(D64)+13)&gt;YEAR(E64),1,(12-MONTH(E64)+1)/12))) + (Q64)*(IF((YEAR(D64)+13)&lt;YEAR(E64),0,IF((YEAR(D64)+13)&gt;YEAR(E64),1,(12-MONTH(E64)+1)/12))))-((P64)*(IF((YEAR(D64)+13)&lt;YEAR(E64),0,IF((YEAR(D64)+13)&gt;YEAR(E64),1,(12-MONTH(E64)+1)/12))) + (R64)*(IF((YEAR(D64)+13)&lt;YEAR(E64),0,IF((YEAR(D64)+13)&gt;YEAR(E64),1,(12-MONTH(E64)+1)/12))))-(IF(OR(N64="",N64&lt;=0),0,(O64/N64)*(IF(OR(N64="",N64&lt;=0),0,IF((YEAR(D64)+13)&lt;YEAR(E64),0,IF((YEAR(D64)+13)&gt;=YEAR(E64)+N64,0,IF((YEAR(D64)+13)=YEAR(E64),(12-MONTH(E64)+1)/12,1))))))))&gt;0,(((K64)*(IF(M64="",L64,IFERROR(IF(INDEX(Variablen!$I:$AT, MATCH(M64, Variablen!$A:$A, 0), MATCH((YEAR(D64)+13), Variablen!$I$3:$AT$3, 0))="",L64,INDEX(Variablen!$I:$AT, MATCH(M64, Variablen!$A:$A, 0), MATCH((YEAR(D64)+13), Variablen!$I$3:$AT$3, 0))),L64)))*(IF((YEAR(D64)+13)&lt;YEAR(E64),0,IF((YEAR(D64)+13)&gt;YEAR(E64),1,(12-MONTH(E64)+1)/12))) + (Q64)*(IF((YEAR(D64)+13)&lt;YEAR(E64),0,IF((YEAR(D64)+13)&gt;YEAR(E64),1,(12-MONTH(E64)+1)/12))))-((P64)*(IF((YEAR(D64)+13)&lt;YEAR(E64),0,IF((YEAR(D64)+13)&gt;YEAR(E64),1,(12-MONTH(E64)+1)/12))) + (R64)*(IF((YEAR(D64)+13)&lt;YEAR(E64),0,IF((YEAR(D64)+13)&gt;YEAR(E64),1,(12-MONTH(E64)+1)/12))))-(IF(OR(N64="",N64&lt;=0),0,(O64/N64)*(IF(OR(N64="",N64&lt;=0),0,IF((YEAR(D64)+13)&lt;YEAR(E64),0,IF((YEAR(D64)+13)&gt;=YEAR(E64)+N64,0,IF((YEAR(D64)+13)=YEAR(E64),(12-MONTH(E64)+1)/12,1))))))))*TaxRate,0))-IF(13=0,O64,0))</f>
        <v/>
      </c>
      <c r="AG64" s="29">
        <f>IF(A64="","",((K64)*(IF(M64="",L64,IFERROR(IF(INDEX(Variablen!$I:$AT, MATCH(M64, Variablen!$A:$A, 0), MATCH((YEAR(D64)+14), Variablen!$I$3:$AT$3, 0))="",L64,INDEX(Variablen!$I:$AT, MATCH(M64, Variablen!$A:$A, 0), MATCH((YEAR(D64)+14), Variablen!$I$3:$AT$3, 0))),L64)))*(IF((YEAR(D64)+14)&lt;YEAR(E64),0,IF((YEAR(D64)+14)&gt;YEAR(E64),1,(12-MONTH(E64)+1)/12))) + (Q64)*(IF((YEAR(D64)+14)&lt;YEAR(E64),0,IF((YEAR(D64)+14)&gt;YEAR(E64),1,(12-MONTH(E64)+1)/12))))-((P64)*(IF((YEAR(D64)+14)&lt;YEAR(E64),0,IF((YEAR(D64)+14)&gt;YEAR(E64),1,(12-MONTH(E64)+1)/12))) + (R64)*(IF((YEAR(D64)+14)&lt;YEAR(E64),0,IF((YEAR(D64)+14)&gt;YEAR(E64),1,(12-MONTH(E64)+1)/12))))-(IF((((K64)*(IF(M64="",L64,IFERROR(IF(INDEX(Variablen!$I:$AT, MATCH(M64, Variablen!$A:$A, 0), MATCH((YEAR(D64)+14), Variablen!$I$3:$AT$3, 0))="",L64,INDEX(Variablen!$I:$AT, MATCH(M64, Variablen!$A:$A, 0), MATCH((YEAR(D64)+14), Variablen!$I$3:$AT$3, 0))),L64)))*(IF((YEAR(D64)+14)&lt;YEAR(E64),0,IF((YEAR(D64)+14)&gt;YEAR(E64),1,(12-MONTH(E64)+1)/12))) + (Q64)*(IF((YEAR(D64)+14)&lt;YEAR(E64),0,IF((YEAR(D64)+14)&gt;YEAR(E64),1,(12-MONTH(E64)+1)/12))))-((P64)*(IF((YEAR(D64)+14)&lt;YEAR(E64),0,IF((YEAR(D64)+14)&gt;YEAR(E64),1,(12-MONTH(E64)+1)/12))) + (R64)*(IF((YEAR(D64)+14)&lt;YEAR(E64),0,IF((YEAR(D64)+14)&gt;YEAR(E64),1,(12-MONTH(E64)+1)/12))))-(IF(OR(N64="",N64&lt;=0),0,(O64/N64)*(IF(OR(N64="",N64&lt;=0),0,IF((YEAR(D64)+14)&lt;YEAR(E64),0,IF((YEAR(D64)+14)&gt;=YEAR(E64)+N64,0,IF((YEAR(D64)+14)=YEAR(E64),(12-MONTH(E64)+1)/12,1))))))))&gt;0,(((K64)*(IF(M64="",L64,IFERROR(IF(INDEX(Variablen!$I:$AT, MATCH(M64, Variablen!$A:$A, 0), MATCH((YEAR(D64)+14), Variablen!$I$3:$AT$3, 0))="",L64,INDEX(Variablen!$I:$AT, MATCH(M64, Variablen!$A:$A, 0), MATCH((YEAR(D64)+14), Variablen!$I$3:$AT$3, 0))),L64)))*(IF((YEAR(D64)+14)&lt;YEAR(E64),0,IF((YEAR(D64)+14)&gt;YEAR(E64),1,(12-MONTH(E64)+1)/12))) + (Q64)*(IF((YEAR(D64)+14)&lt;YEAR(E64),0,IF((YEAR(D64)+14)&gt;YEAR(E64),1,(12-MONTH(E64)+1)/12))))-((P64)*(IF((YEAR(D64)+14)&lt;YEAR(E64),0,IF((YEAR(D64)+14)&gt;YEAR(E64),1,(12-MONTH(E64)+1)/12))) + (R64)*(IF((YEAR(D64)+14)&lt;YEAR(E64),0,IF((YEAR(D64)+14)&gt;YEAR(E64),1,(12-MONTH(E64)+1)/12))))-(IF(OR(N64="",N64&lt;=0),0,(O64/N64)*(IF(OR(N64="",N64&lt;=0),0,IF((YEAR(D64)+14)&lt;YEAR(E64),0,IF((YEAR(D64)+14)&gt;=YEAR(E64)+N64,0,IF((YEAR(D64)+14)=YEAR(E64),(12-MONTH(E64)+1)/12,1))))))))*TaxRate,0))-IF(14=0,O64,0))</f>
        <v/>
      </c>
      <c r="AH64" s="29">
        <f>IF(A64="","",((K64)*(IF(M64="",L64,IFERROR(IF(INDEX(Variablen!$I:$AT, MATCH(M64, Variablen!$A:$A, 0), MATCH((YEAR(D64)+15), Variablen!$I$3:$AT$3, 0))="",L64,INDEX(Variablen!$I:$AT, MATCH(M64, Variablen!$A:$A, 0), MATCH((YEAR(D64)+15), Variablen!$I$3:$AT$3, 0))),L64)))*(IF((YEAR(D64)+15)&lt;YEAR(E64),0,IF((YEAR(D64)+15)&gt;YEAR(E64),1,(12-MONTH(E64)+1)/12))) + (Q64)*(IF((YEAR(D64)+15)&lt;YEAR(E64),0,IF((YEAR(D64)+15)&gt;YEAR(E64),1,(12-MONTH(E64)+1)/12))))-((P64)*(IF((YEAR(D64)+15)&lt;YEAR(E64),0,IF((YEAR(D64)+15)&gt;YEAR(E64),1,(12-MONTH(E64)+1)/12))) + (R64)*(IF((YEAR(D64)+15)&lt;YEAR(E64),0,IF((YEAR(D64)+15)&gt;YEAR(E64),1,(12-MONTH(E64)+1)/12))))-(IF((((K64)*(IF(M64="",L64,IFERROR(IF(INDEX(Variablen!$I:$AT, MATCH(M64, Variablen!$A:$A, 0), MATCH((YEAR(D64)+15), Variablen!$I$3:$AT$3, 0))="",L64,INDEX(Variablen!$I:$AT, MATCH(M64, Variablen!$A:$A, 0), MATCH((YEAR(D64)+15), Variablen!$I$3:$AT$3, 0))),L64)))*(IF((YEAR(D64)+15)&lt;YEAR(E64),0,IF((YEAR(D64)+15)&gt;YEAR(E64),1,(12-MONTH(E64)+1)/12))) + (Q64)*(IF((YEAR(D64)+15)&lt;YEAR(E64),0,IF((YEAR(D64)+15)&gt;YEAR(E64),1,(12-MONTH(E64)+1)/12))))-((P64)*(IF((YEAR(D64)+15)&lt;YEAR(E64),0,IF((YEAR(D64)+15)&gt;YEAR(E64),1,(12-MONTH(E64)+1)/12))) + (R64)*(IF((YEAR(D64)+15)&lt;YEAR(E64),0,IF((YEAR(D64)+15)&gt;YEAR(E64),1,(12-MONTH(E64)+1)/12))))-(IF(OR(N64="",N64&lt;=0),0,(O64/N64)*(IF(OR(N64="",N64&lt;=0),0,IF((YEAR(D64)+15)&lt;YEAR(E64),0,IF((YEAR(D64)+15)&gt;=YEAR(E64)+N64,0,IF((YEAR(D64)+15)=YEAR(E64),(12-MONTH(E64)+1)/12,1))))))))&gt;0,(((K64)*(IF(M64="",L64,IFERROR(IF(INDEX(Variablen!$I:$AT, MATCH(M64, Variablen!$A:$A, 0), MATCH((YEAR(D64)+15), Variablen!$I$3:$AT$3, 0))="",L64,INDEX(Variablen!$I:$AT, MATCH(M64, Variablen!$A:$A, 0), MATCH((YEAR(D64)+15), Variablen!$I$3:$AT$3, 0))),L64)))*(IF((YEAR(D64)+15)&lt;YEAR(E64),0,IF((YEAR(D64)+15)&gt;YEAR(E64),1,(12-MONTH(E64)+1)/12))) + (Q64)*(IF((YEAR(D64)+15)&lt;YEAR(E64),0,IF((YEAR(D64)+15)&gt;YEAR(E64),1,(12-MONTH(E64)+1)/12))))-((P64)*(IF((YEAR(D64)+15)&lt;YEAR(E64),0,IF((YEAR(D64)+15)&gt;YEAR(E64),1,(12-MONTH(E64)+1)/12))) + (R64)*(IF((YEAR(D64)+15)&lt;YEAR(E64),0,IF((YEAR(D64)+15)&gt;YEAR(E64),1,(12-MONTH(E64)+1)/12))))-(IF(OR(N64="",N64&lt;=0),0,(O64/N64)*(IF(OR(N64="",N64&lt;=0),0,IF((YEAR(D64)+15)&lt;YEAR(E64),0,IF((YEAR(D64)+15)&gt;=YEAR(E64)+N64,0,IF((YEAR(D64)+15)=YEAR(E64),(12-MONTH(E64)+1)/12,1))))))))*TaxRate,0))-IF(15=0,O64,0))</f>
        <v/>
      </c>
      <c r="AI64" s="29">
        <f>IF(A64="","",((K64)*(IF(M64="",L64,IFERROR(IF(INDEX(Variablen!$I:$AT, MATCH(M64, Variablen!$A:$A, 0), MATCH((YEAR(D64)+16), Variablen!$I$3:$AT$3, 0))="",L64,INDEX(Variablen!$I:$AT, MATCH(M64, Variablen!$A:$A, 0), MATCH((YEAR(D64)+16), Variablen!$I$3:$AT$3, 0))),L64)))*(IF((YEAR(D64)+16)&lt;YEAR(E64),0,IF((YEAR(D64)+16)&gt;YEAR(E64),1,(12-MONTH(E64)+1)/12))) + (Q64)*(IF((YEAR(D64)+16)&lt;YEAR(E64),0,IF((YEAR(D64)+16)&gt;YEAR(E64),1,(12-MONTH(E64)+1)/12))))-((P64)*(IF((YEAR(D64)+16)&lt;YEAR(E64),0,IF((YEAR(D64)+16)&gt;YEAR(E64),1,(12-MONTH(E64)+1)/12))) + (R64)*(IF((YEAR(D64)+16)&lt;YEAR(E64),0,IF((YEAR(D64)+16)&gt;YEAR(E64),1,(12-MONTH(E64)+1)/12))))-(IF((((K64)*(IF(M64="",L64,IFERROR(IF(INDEX(Variablen!$I:$AT, MATCH(M64, Variablen!$A:$A, 0), MATCH((YEAR(D64)+16), Variablen!$I$3:$AT$3, 0))="",L64,INDEX(Variablen!$I:$AT, MATCH(M64, Variablen!$A:$A, 0), MATCH((YEAR(D64)+16), Variablen!$I$3:$AT$3, 0))),L64)))*(IF((YEAR(D64)+16)&lt;YEAR(E64),0,IF((YEAR(D64)+16)&gt;YEAR(E64),1,(12-MONTH(E64)+1)/12))) + (Q64)*(IF((YEAR(D64)+16)&lt;YEAR(E64),0,IF((YEAR(D64)+16)&gt;YEAR(E64),1,(12-MONTH(E64)+1)/12))))-((P64)*(IF((YEAR(D64)+16)&lt;YEAR(E64),0,IF((YEAR(D64)+16)&gt;YEAR(E64),1,(12-MONTH(E64)+1)/12))) + (R64)*(IF((YEAR(D64)+16)&lt;YEAR(E64),0,IF((YEAR(D64)+16)&gt;YEAR(E64),1,(12-MONTH(E64)+1)/12))))-(IF(OR(N64="",N64&lt;=0),0,(O64/N64)*(IF(OR(N64="",N64&lt;=0),0,IF((YEAR(D64)+16)&lt;YEAR(E64),0,IF((YEAR(D64)+16)&gt;=YEAR(E64)+N64,0,IF((YEAR(D64)+16)=YEAR(E64),(12-MONTH(E64)+1)/12,1))))))))&gt;0,(((K64)*(IF(M64="",L64,IFERROR(IF(INDEX(Variablen!$I:$AT, MATCH(M64, Variablen!$A:$A, 0), MATCH((YEAR(D64)+16), Variablen!$I$3:$AT$3, 0))="",L64,INDEX(Variablen!$I:$AT, MATCH(M64, Variablen!$A:$A, 0), MATCH((YEAR(D64)+16), Variablen!$I$3:$AT$3, 0))),L64)))*(IF((YEAR(D64)+16)&lt;YEAR(E64),0,IF((YEAR(D64)+16)&gt;YEAR(E64),1,(12-MONTH(E64)+1)/12))) + (Q64)*(IF((YEAR(D64)+16)&lt;YEAR(E64),0,IF((YEAR(D64)+16)&gt;YEAR(E64),1,(12-MONTH(E64)+1)/12))))-((P64)*(IF((YEAR(D64)+16)&lt;YEAR(E64),0,IF((YEAR(D64)+16)&gt;YEAR(E64),1,(12-MONTH(E64)+1)/12))) + (R64)*(IF((YEAR(D64)+16)&lt;YEAR(E64),0,IF((YEAR(D64)+16)&gt;YEAR(E64),1,(12-MONTH(E64)+1)/12))))-(IF(OR(N64="",N64&lt;=0),0,(O64/N64)*(IF(OR(N64="",N64&lt;=0),0,IF((YEAR(D64)+16)&lt;YEAR(E64),0,IF((YEAR(D64)+16)&gt;=YEAR(E64)+N64,0,IF((YEAR(D64)+16)=YEAR(E64),(12-MONTH(E64)+1)/12,1))))))))*TaxRate,0))-IF(16=0,O64,0))</f>
        <v/>
      </c>
      <c r="AJ64" s="29">
        <f>IF(A64="","",((K64)*(IF(M64="",L64,IFERROR(IF(INDEX(Variablen!$I:$AT, MATCH(M64, Variablen!$A:$A, 0), MATCH((YEAR(D64)+17), Variablen!$I$3:$AT$3, 0))="",L64,INDEX(Variablen!$I:$AT, MATCH(M64, Variablen!$A:$A, 0), MATCH((YEAR(D64)+17), Variablen!$I$3:$AT$3, 0))),L64)))*(IF((YEAR(D64)+17)&lt;YEAR(E64),0,IF((YEAR(D64)+17)&gt;YEAR(E64),1,(12-MONTH(E64)+1)/12))) + (Q64)*(IF((YEAR(D64)+17)&lt;YEAR(E64),0,IF((YEAR(D64)+17)&gt;YEAR(E64),1,(12-MONTH(E64)+1)/12))))-((P64)*(IF((YEAR(D64)+17)&lt;YEAR(E64),0,IF((YEAR(D64)+17)&gt;YEAR(E64),1,(12-MONTH(E64)+1)/12))) + (R64)*(IF((YEAR(D64)+17)&lt;YEAR(E64),0,IF((YEAR(D64)+17)&gt;YEAR(E64),1,(12-MONTH(E64)+1)/12))))-(IF((((K64)*(IF(M64="",L64,IFERROR(IF(INDEX(Variablen!$I:$AT, MATCH(M64, Variablen!$A:$A, 0), MATCH((YEAR(D64)+17), Variablen!$I$3:$AT$3, 0))="",L64,INDEX(Variablen!$I:$AT, MATCH(M64, Variablen!$A:$A, 0), MATCH((YEAR(D64)+17), Variablen!$I$3:$AT$3, 0))),L64)))*(IF((YEAR(D64)+17)&lt;YEAR(E64),0,IF((YEAR(D64)+17)&gt;YEAR(E64),1,(12-MONTH(E64)+1)/12))) + (Q64)*(IF((YEAR(D64)+17)&lt;YEAR(E64),0,IF((YEAR(D64)+17)&gt;YEAR(E64),1,(12-MONTH(E64)+1)/12))))-((P64)*(IF((YEAR(D64)+17)&lt;YEAR(E64),0,IF((YEAR(D64)+17)&gt;YEAR(E64),1,(12-MONTH(E64)+1)/12))) + (R64)*(IF((YEAR(D64)+17)&lt;YEAR(E64),0,IF((YEAR(D64)+17)&gt;YEAR(E64),1,(12-MONTH(E64)+1)/12))))-(IF(OR(N64="",N64&lt;=0),0,(O64/N64)*(IF(OR(N64="",N64&lt;=0),0,IF((YEAR(D64)+17)&lt;YEAR(E64),0,IF((YEAR(D64)+17)&gt;=YEAR(E64)+N64,0,IF((YEAR(D64)+17)=YEAR(E64),(12-MONTH(E64)+1)/12,1))))))))&gt;0,(((K64)*(IF(M64="",L64,IFERROR(IF(INDEX(Variablen!$I:$AT, MATCH(M64, Variablen!$A:$A, 0), MATCH((YEAR(D64)+17), Variablen!$I$3:$AT$3, 0))="",L64,INDEX(Variablen!$I:$AT, MATCH(M64, Variablen!$A:$A, 0), MATCH((YEAR(D64)+17), Variablen!$I$3:$AT$3, 0))),L64)))*(IF((YEAR(D64)+17)&lt;YEAR(E64),0,IF((YEAR(D64)+17)&gt;YEAR(E64),1,(12-MONTH(E64)+1)/12))) + (Q64)*(IF((YEAR(D64)+17)&lt;YEAR(E64),0,IF((YEAR(D64)+17)&gt;YEAR(E64),1,(12-MONTH(E64)+1)/12))))-((P64)*(IF((YEAR(D64)+17)&lt;YEAR(E64),0,IF((YEAR(D64)+17)&gt;YEAR(E64),1,(12-MONTH(E64)+1)/12))) + (R64)*(IF((YEAR(D64)+17)&lt;YEAR(E64),0,IF((YEAR(D64)+17)&gt;YEAR(E64),1,(12-MONTH(E64)+1)/12))))-(IF(OR(N64="",N64&lt;=0),0,(O64/N64)*(IF(OR(N64="",N64&lt;=0),0,IF((YEAR(D64)+17)&lt;YEAR(E64),0,IF((YEAR(D64)+17)&gt;=YEAR(E64)+N64,0,IF((YEAR(D64)+17)=YEAR(E64),(12-MONTH(E64)+1)/12,1))))))))*TaxRate,0))-IF(17=0,O64,0))</f>
        <v/>
      </c>
      <c r="AK64" s="29">
        <f>IF(A64="","",((K64)*(IF(M64="",L64,IFERROR(IF(INDEX(Variablen!$I:$AT, MATCH(M64, Variablen!$A:$A, 0), MATCH((YEAR(D64)+18), Variablen!$I$3:$AT$3, 0))="",L64,INDEX(Variablen!$I:$AT, MATCH(M64, Variablen!$A:$A, 0), MATCH((YEAR(D64)+18), Variablen!$I$3:$AT$3, 0))),L64)))*(IF((YEAR(D64)+18)&lt;YEAR(E64),0,IF((YEAR(D64)+18)&gt;YEAR(E64),1,(12-MONTH(E64)+1)/12))) + (Q64)*(IF((YEAR(D64)+18)&lt;YEAR(E64),0,IF((YEAR(D64)+18)&gt;YEAR(E64),1,(12-MONTH(E64)+1)/12))))-((P64)*(IF((YEAR(D64)+18)&lt;YEAR(E64),0,IF((YEAR(D64)+18)&gt;YEAR(E64),1,(12-MONTH(E64)+1)/12))) + (R64)*(IF((YEAR(D64)+18)&lt;YEAR(E64),0,IF((YEAR(D64)+18)&gt;YEAR(E64),1,(12-MONTH(E64)+1)/12))))-(IF((((K64)*(IF(M64="",L64,IFERROR(IF(INDEX(Variablen!$I:$AT, MATCH(M64, Variablen!$A:$A, 0), MATCH((YEAR(D64)+18), Variablen!$I$3:$AT$3, 0))="",L64,INDEX(Variablen!$I:$AT, MATCH(M64, Variablen!$A:$A, 0), MATCH((YEAR(D64)+18), Variablen!$I$3:$AT$3, 0))),L64)))*(IF((YEAR(D64)+18)&lt;YEAR(E64),0,IF((YEAR(D64)+18)&gt;YEAR(E64),1,(12-MONTH(E64)+1)/12))) + (Q64)*(IF((YEAR(D64)+18)&lt;YEAR(E64),0,IF((YEAR(D64)+18)&gt;YEAR(E64),1,(12-MONTH(E64)+1)/12))))-((P64)*(IF((YEAR(D64)+18)&lt;YEAR(E64),0,IF((YEAR(D64)+18)&gt;YEAR(E64),1,(12-MONTH(E64)+1)/12))) + (R64)*(IF((YEAR(D64)+18)&lt;YEAR(E64),0,IF((YEAR(D64)+18)&gt;YEAR(E64),1,(12-MONTH(E64)+1)/12))))-(IF(OR(N64="",N64&lt;=0),0,(O64/N64)*(IF(OR(N64="",N64&lt;=0),0,IF((YEAR(D64)+18)&lt;YEAR(E64),0,IF((YEAR(D64)+18)&gt;=YEAR(E64)+N64,0,IF((YEAR(D64)+18)=YEAR(E64),(12-MONTH(E64)+1)/12,1))))))))&gt;0,(((K64)*(IF(M64="",L64,IFERROR(IF(INDEX(Variablen!$I:$AT, MATCH(M64, Variablen!$A:$A, 0), MATCH((YEAR(D64)+18), Variablen!$I$3:$AT$3, 0))="",L64,INDEX(Variablen!$I:$AT, MATCH(M64, Variablen!$A:$A, 0), MATCH((YEAR(D64)+18), Variablen!$I$3:$AT$3, 0))),L64)))*(IF((YEAR(D64)+18)&lt;YEAR(E64),0,IF((YEAR(D64)+18)&gt;YEAR(E64),1,(12-MONTH(E64)+1)/12))) + (Q64)*(IF((YEAR(D64)+18)&lt;YEAR(E64),0,IF((YEAR(D64)+18)&gt;YEAR(E64),1,(12-MONTH(E64)+1)/12))))-((P64)*(IF((YEAR(D64)+18)&lt;YEAR(E64),0,IF((YEAR(D64)+18)&gt;YEAR(E64),1,(12-MONTH(E64)+1)/12))) + (R64)*(IF((YEAR(D64)+18)&lt;YEAR(E64),0,IF((YEAR(D64)+18)&gt;YEAR(E64),1,(12-MONTH(E64)+1)/12))))-(IF(OR(N64="",N64&lt;=0),0,(O64/N64)*(IF(OR(N64="",N64&lt;=0),0,IF((YEAR(D64)+18)&lt;YEAR(E64),0,IF((YEAR(D64)+18)&gt;=YEAR(E64)+N64,0,IF((YEAR(D64)+18)=YEAR(E64),(12-MONTH(E64)+1)/12,1))))))))*TaxRate,0))-IF(18=0,O64,0))</f>
        <v/>
      </c>
      <c r="AL64" s="29">
        <f>IF(A64="","",((K64)*(IF(M64="",L64,IFERROR(IF(INDEX(Variablen!$I:$AT, MATCH(M64, Variablen!$A:$A, 0), MATCH((YEAR(D64)+19), Variablen!$I$3:$AT$3, 0))="",L64,INDEX(Variablen!$I:$AT, MATCH(M64, Variablen!$A:$A, 0), MATCH((YEAR(D64)+19), Variablen!$I$3:$AT$3, 0))),L64)))*(IF((YEAR(D64)+19)&lt;YEAR(E64),0,IF((YEAR(D64)+19)&gt;YEAR(E64),1,(12-MONTH(E64)+1)/12))) + (Q64)*(IF((YEAR(D64)+19)&lt;YEAR(E64),0,IF((YEAR(D64)+19)&gt;YEAR(E64),1,(12-MONTH(E64)+1)/12))))-((P64)*(IF((YEAR(D64)+19)&lt;YEAR(E64),0,IF((YEAR(D64)+19)&gt;YEAR(E64),1,(12-MONTH(E64)+1)/12))) + (R64)*(IF((YEAR(D64)+19)&lt;YEAR(E64),0,IF((YEAR(D64)+19)&gt;YEAR(E64),1,(12-MONTH(E64)+1)/12))))-(IF((((K64)*(IF(M64="",L64,IFERROR(IF(INDEX(Variablen!$I:$AT, MATCH(M64, Variablen!$A:$A, 0), MATCH((YEAR(D64)+19), Variablen!$I$3:$AT$3, 0))="",L64,INDEX(Variablen!$I:$AT, MATCH(M64, Variablen!$A:$A, 0), MATCH((YEAR(D64)+19), Variablen!$I$3:$AT$3, 0))),L64)))*(IF((YEAR(D64)+19)&lt;YEAR(E64),0,IF((YEAR(D64)+19)&gt;YEAR(E64),1,(12-MONTH(E64)+1)/12))) + (Q64)*(IF((YEAR(D64)+19)&lt;YEAR(E64),0,IF((YEAR(D64)+19)&gt;YEAR(E64),1,(12-MONTH(E64)+1)/12))))-((P64)*(IF((YEAR(D64)+19)&lt;YEAR(E64),0,IF((YEAR(D64)+19)&gt;YEAR(E64),1,(12-MONTH(E64)+1)/12))) + (R64)*(IF((YEAR(D64)+19)&lt;YEAR(E64),0,IF((YEAR(D64)+19)&gt;YEAR(E64),1,(12-MONTH(E64)+1)/12))))-(IF(OR(N64="",N64&lt;=0),0,(O64/N64)*(IF(OR(N64="",N64&lt;=0),0,IF((YEAR(D64)+19)&lt;YEAR(E64),0,IF((YEAR(D64)+19)&gt;=YEAR(E64)+N64,0,IF((YEAR(D64)+19)=YEAR(E64),(12-MONTH(E64)+1)/12,1))))))))&gt;0,(((K64)*(IF(M64="",L64,IFERROR(IF(INDEX(Variablen!$I:$AT, MATCH(M64, Variablen!$A:$A, 0), MATCH((YEAR(D64)+19), Variablen!$I$3:$AT$3, 0))="",L64,INDEX(Variablen!$I:$AT, MATCH(M64, Variablen!$A:$A, 0), MATCH((YEAR(D64)+19), Variablen!$I$3:$AT$3, 0))),L64)))*(IF((YEAR(D64)+19)&lt;YEAR(E64),0,IF((YEAR(D64)+19)&gt;YEAR(E64),1,(12-MONTH(E64)+1)/12))) + (Q64)*(IF((YEAR(D64)+19)&lt;YEAR(E64),0,IF((YEAR(D64)+19)&gt;YEAR(E64),1,(12-MONTH(E64)+1)/12))))-((P64)*(IF((YEAR(D64)+19)&lt;YEAR(E64),0,IF((YEAR(D64)+19)&gt;YEAR(E64),1,(12-MONTH(E64)+1)/12))) + (R64)*(IF((YEAR(D64)+19)&lt;YEAR(E64),0,IF((YEAR(D64)+19)&gt;YEAR(E64),1,(12-MONTH(E64)+1)/12))))-(IF(OR(N64="",N64&lt;=0),0,(O64/N64)*(IF(OR(N64="",N64&lt;=0),0,IF((YEAR(D64)+19)&lt;YEAR(E64),0,IF((YEAR(D64)+19)&gt;=YEAR(E64)+N64,0,IF((YEAR(D64)+19)=YEAR(E64),(12-MONTH(E64)+1)/12,1))))))))*TaxRate,0))-IF(19=0,O64,0))</f>
        <v/>
      </c>
      <c r="AM64" s="29">
        <f>IF(A64="","",((K64)*(IF(M64="",L64,IFERROR(IF(INDEX(Variablen!$I:$AT, MATCH(M64, Variablen!$A:$A, 0), MATCH((YEAR(D64)+20), Variablen!$I$3:$AT$3, 0))="",L64,INDEX(Variablen!$I:$AT, MATCH(M64, Variablen!$A:$A, 0), MATCH((YEAR(D64)+20), Variablen!$I$3:$AT$3, 0))),L64)))*(IF((YEAR(D64)+20)&lt;YEAR(E64),0,IF((YEAR(D64)+20)&gt;YEAR(E64),1,(12-MONTH(E64)+1)/12))) + (Q64)*(IF((YEAR(D64)+20)&lt;YEAR(E64),0,IF((YEAR(D64)+20)&gt;YEAR(E64),1,(12-MONTH(E64)+1)/12))))-((P64)*(IF((YEAR(D64)+20)&lt;YEAR(E64),0,IF((YEAR(D64)+20)&gt;YEAR(E64),1,(12-MONTH(E64)+1)/12))) + (R64)*(IF((YEAR(D64)+20)&lt;YEAR(E64),0,IF((YEAR(D64)+20)&gt;YEAR(E64),1,(12-MONTH(E64)+1)/12))))-(IF((((K64)*(IF(M64="",L64,IFERROR(IF(INDEX(Variablen!$I:$AT, MATCH(M64, Variablen!$A:$A, 0), MATCH((YEAR(D64)+20), Variablen!$I$3:$AT$3, 0))="",L64,INDEX(Variablen!$I:$AT, MATCH(M64, Variablen!$A:$A, 0), MATCH((YEAR(D64)+20), Variablen!$I$3:$AT$3, 0))),L64)))*(IF((YEAR(D64)+20)&lt;YEAR(E64),0,IF((YEAR(D64)+20)&gt;YEAR(E64),1,(12-MONTH(E64)+1)/12))) + (Q64)*(IF((YEAR(D64)+20)&lt;YEAR(E64),0,IF((YEAR(D64)+20)&gt;YEAR(E64),1,(12-MONTH(E64)+1)/12))))-((P64)*(IF((YEAR(D64)+20)&lt;YEAR(E64),0,IF((YEAR(D64)+20)&gt;YEAR(E64),1,(12-MONTH(E64)+1)/12))) + (R64)*(IF((YEAR(D64)+20)&lt;YEAR(E64),0,IF((YEAR(D64)+20)&gt;YEAR(E64),1,(12-MONTH(E64)+1)/12))))-(IF(OR(N64="",N64&lt;=0),0,(O64/N64)*(IF(OR(N64="",N64&lt;=0),0,IF((YEAR(D64)+20)&lt;YEAR(E64),0,IF((YEAR(D64)+20)&gt;=YEAR(E64)+N64,0,IF((YEAR(D64)+20)=YEAR(E64),(12-MONTH(E64)+1)/12,1))))))))&gt;0,(((K64)*(IF(M64="",L64,IFERROR(IF(INDEX(Variablen!$I:$AT, MATCH(M64, Variablen!$A:$A, 0), MATCH((YEAR(D64)+20), Variablen!$I$3:$AT$3, 0))="",L64,INDEX(Variablen!$I:$AT, MATCH(M64, Variablen!$A:$A, 0), MATCH((YEAR(D64)+20), Variablen!$I$3:$AT$3, 0))),L64)))*(IF((YEAR(D64)+20)&lt;YEAR(E64),0,IF((YEAR(D64)+20)&gt;YEAR(E64),1,(12-MONTH(E64)+1)/12))) + (Q64)*(IF((YEAR(D64)+20)&lt;YEAR(E64),0,IF((YEAR(D64)+20)&gt;YEAR(E64),1,(12-MONTH(E64)+1)/12))))-((P64)*(IF((YEAR(D64)+20)&lt;YEAR(E64),0,IF((YEAR(D64)+20)&gt;YEAR(E64),1,(12-MONTH(E64)+1)/12))) + (R64)*(IF((YEAR(D64)+20)&lt;YEAR(E64),0,IF((YEAR(D64)+20)&gt;YEAR(E64),1,(12-MONTH(E64)+1)/12))))-(IF(OR(N64="",N64&lt;=0),0,(O64/N64)*(IF(OR(N64="",N64&lt;=0),0,IF((YEAR(D64)+20)&lt;YEAR(E64),0,IF((YEAR(D64)+20)&gt;=YEAR(E64)+N64,0,IF((YEAR(D64)+20)=YEAR(E64),(12-MONTH(E64)+1)/12,1))))))))*TaxRate,0))-IF(20=0,O64,0))</f>
        <v/>
      </c>
      <c r="AN64" s="29">
        <f>IF(A64="","",S64)</f>
        <v/>
      </c>
      <c r="AO64" s="29">
        <f>IF(A64="","",AN64+T64)</f>
        <v/>
      </c>
      <c r="AP64" s="29">
        <f>IF(A64="","",AO64+U64)</f>
        <v/>
      </c>
      <c r="AQ64" s="29">
        <f>IF(A64="","",AP64+V64)</f>
        <v/>
      </c>
      <c r="AR64" s="29">
        <f>IF(A64="","",AQ64+W64)</f>
        <v/>
      </c>
      <c r="AS64" s="29">
        <f>IF(A64="","",AR64+X64)</f>
        <v/>
      </c>
      <c r="AT64" s="29">
        <f>IF(A64="","",AS64+Y64)</f>
        <v/>
      </c>
      <c r="AU64" s="29">
        <f>IF(A64="","",AT64+Z64)</f>
        <v/>
      </c>
      <c r="AV64" s="29">
        <f>IF(A64="","",AU64+AA64)</f>
        <v/>
      </c>
      <c r="AW64" s="29">
        <f>IF(A64="","",AV64+AB64)</f>
        <v/>
      </c>
      <c r="AX64" s="29">
        <f>IF(A64="","",AW64+AC64)</f>
        <v/>
      </c>
      <c r="AY64" s="29">
        <f>IF(A64="","",AX64+AD64)</f>
        <v/>
      </c>
      <c r="AZ64" s="29">
        <f>IF(A64="","",AY64+AE64)</f>
        <v/>
      </c>
      <c r="BA64" s="29">
        <f>IF(A64="","",AZ64+AF64)</f>
        <v/>
      </c>
      <c r="BB64" s="29">
        <f>IF(A64="","",BA64+AG64)</f>
        <v/>
      </c>
      <c r="BC64" s="29">
        <f>IF(A64="","",BB64+AH64)</f>
        <v/>
      </c>
      <c r="BD64" s="29">
        <f>IF(A64="","",BC64+AI64)</f>
        <v/>
      </c>
      <c r="BE64" s="29">
        <f>IF(A64="","",BD64+AJ64)</f>
        <v/>
      </c>
      <c r="BF64" s="29">
        <f>IF(A64="","",BE64+AK64)</f>
        <v/>
      </c>
      <c r="BG64" s="29">
        <f>IF(A64="","",BF64+AL64)</f>
        <v/>
      </c>
      <c r="BH64" s="29">
        <f>IF(A64="","",BG64+AM64)</f>
        <v/>
      </c>
      <c r="BI64" s="36">
        <f>IF(A64="","",(K64)*(IF((YEAR(D64)+0)&lt;YEAR(E64),0,IF((YEAR(D64)+0)&gt;YEAR(E64),1,(12-MONTH(E64)+1)/12)))*(1/(1+DiscountRate)^0))</f>
        <v/>
      </c>
      <c r="BJ64" s="36">
        <f>IF(A64="","",(K64)*(IF((YEAR(D64)+1)&lt;YEAR(E64),0,IF((YEAR(D64)+1)&gt;YEAR(E64),1,(12-MONTH(E64)+1)/12)))*(1/(1+DiscountRate)^1))</f>
        <v/>
      </c>
      <c r="BK64" s="36">
        <f>IF(A64="","",(K64)*(IF((YEAR(D64)+2)&lt;YEAR(E64),0,IF((YEAR(D64)+2)&gt;YEAR(E64),1,(12-MONTH(E64)+1)/12)))*(1/(1+DiscountRate)^2))</f>
        <v/>
      </c>
      <c r="BL64" s="36">
        <f>IF(A64="","",(K64)*(IF((YEAR(D64)+3)&lt;YEAR(E64),0,IF((YEAR(D64)+3)&gt;YEAR(E64),1,(12-MONTH(E64)+1)/12)))*(1/(1+DiscountRate)^3))</f>
        <v/>
      </c>
      <c r="BM64" s="36">
        <f>IF(A64="","",(K64)*(IF((YEAR(D64)+4)&lt;YEAR(E64),0,IF((YEAR(D64)+4)&gt;YEAR(E64),1,(12-MONTH(E64)+1)/12)))*(1/(1+DiscountRate)^4))</f>
        <v/>
      </c>
      <c r="BN64" s="36">
        <f>IF(A64="","",(K64)*(IF((YEAR(D64)+5)&lt;YEAR(E64),0,IF((YEAR(D64)+5)&gt;YEAR(E64),1,(12-MONTH(E64)+1)/12)))*(1/(1+DiscountRate)^5))</f>
        <v/>
      </c>
      <c r="BO64" s="36">
        <f>IF(A64="","",(K64)*(IF((YEAR(D64)+6)&lt;YEAR(E64),0,IF((YEAR(D64)+6)&gt;YEAR(E64),1,(12-MONTH(E64)+1)/12)))*(1/(1+DiscountRate)^6))</f>
        <v/>
      </c>
      <c r="BP64" s="36">
        <f>IF(A64="","",(K64)*(IF((YEAR(D64)+7)&lt;YEAR(E64),0,IF((YEAR(D64)+7)&gt;YEAR(E64),1,(12-MONTH(E64)+1)/12)))*(1/(1+DiscountRate)^7))</f>
        <v/>
      </c>
      <c r="BQ64" s="36">
        <f>IF(A64="","",(K64)*(IF((YEAR(D64)+8)&lt;YEAR(E64),0,IF((YEAR(D64)+8)&gt;YEAR(E64),1,(12-MONTH(E64)+1)/12)))*(1/(1+DiscountRate)^8))</f>
        <v/>
      </c>
      <c r="BR64" s="36">
        <f>IF(A64="","",(K64)*(IF((YEAR(D64)+9)&lt;YEAR(E64),0,IF((YEAR(D64)+9)&gt;YEAR(E64),1,(12-MONTH(E64)+1)/12)))*(1/(1+DiscountRate)^9))</f>
        <v/>
      </c>
      <c r="BS64" s="36">
        <f>IF(A64="","",(K64)*(IF((YEAR(D64)+10)&lt;YEAR(E64),0,IF((YEAR(D64)+10)&gt;YEAR(E64),1,(12-MONTH(E64)+1)/12)))*(1/(1+DiscountRate)^10))</f>
        <v/>
      </c>
      <c r="BT64" s="36">
        <f>IF(A64="","",(K64)*(IF((YEAR(D64)+11)&lt;YEAR(E64),0,IF((YEAR(D64)+11)&gt;YEAR(E64),1,(12-MONTH(E64)+1)/12)))*(1/(1+DiscountRate)^11))</f>
        <v/>
      </c>
      <c r="BU64" s="36">
        <f>IF(A64="","",(K64)*(IF((YEAR(D64)+12)&lt;YEAR(E64),0,IF((YEAR(D64)+12)&gt;YEAR(E64),1,(12-MONTH(E64)+1)/12)))*(1/(1+DiscountRate)^12))</f>
        <v/>
      </c>
      <c r="BV64" s="36">
        <f>IF(A64="","",(K64)*(IF((YEAR(D64)+13)&lt;YEAR(E64),0,IF((YEAR(D64)+13)&gt;YEAR(E64),1,(12-MONTH(E64)+1)/12)))*(1/(1+DiscountRate)^13))</f>
        <v/>
      </c>
      <c r="BW64" s="36">
        <f>IF(A64="","",(K64)*(IF((YEAR(D64)+14)&lt;YEAR(E64),0,IF((YEAR(D64)+14)&gt;YEAR(E64),1,(12-MONTH(E64)+1)/12)))*(1/(1+DiscountRate)^14))</f>
        <v/>
      </c>
      <c r="BX64" s="36">
        <f>IF(A64="","",(K64)*(IF((YEAR(D64)+15)&lt;YEAR(E64),0,IF((YEAR(D64)+15)&gt;YEAR(E64),1,(12-MONTH(E64)+1)/12)))*(1/(1+DiscountRate)^15))</f>
        <v/>
      </c>
      <c r="BY64" s="36">
        <f>IF(A64="","",(K64)*(IF((YEAR(D64)+16)&lt;YEAR(E64),0,IF((YEAR(D64)+16)&gt;YEAR(E64),1,(12-MONTH(E64)+1)/12)))*(1/(1+DiscountRate)^16))</f>
        <v/>
      </c>
      <c r="BZ64" s="36">
        <f>IF(A64="","",(K64)*(IF((YEAR(D64)+17)&lt;YEAR(E64),0,IF((YEAR(D64)+17)&gt;YEAR(E64),1,(12-MONTH(E64)+1)/12)))*(1/(1+DiscountRate)^17))</f>
        <v/>
      </c>
      <c r="CA64" s="36">
        <f>IF(A64="","",(K64)*(IF((YEAR(D64)+18)&lt;YEAR(E64),0,IF((YEAR(D64)+18)&gt;YEAR(E64),1,(12-MONTH(E64)+1)/12)))*(1/(1+DiscountRate)^18))</f>
        <v/>
      </c>
      <c r="CB64" s="36">
        <f>IF(A64="","",(K64)*(IF((YEAR(D64)+19)&lt;YEAR(E64),0,IF((YEAR(D64)+19)&gt;YEAR(E64),1,(12-MONTH(E64)+1)/12)))*(1/(1+DiscountRate)^19))</f>
        <v/>
      </c>
      <c r="CC64" s="36">
        <f>IF(A64="","",(K64)*(IF((YEAR(D64)+20)&lt;YEAR(E64),0,IF((YEAR(D64)+20)&gt;YEAR(E64),1,(12-MONTH(E64)+1)/12)))*(1/(1+DiscountRate)^20))</f>
        <v/>
      </c>
      <c r="CD64" s="29">
        <f>IF(A64="","",S64/(1+DiscountRate)^0+T64/(1+DiscountRate)^1+U64/(1+DiscountRate)^2+V64/(1+DiscountRate)^3+W64/(1+DiscountRate)^4+X64/(1+DiscountRate)^5+Y64/(1+DiscountRate)^6+Z64/(1+DiscountRate)^7+AA64/(1+DiscountRate)^8+AB64/(1+DiscountRate)^9+AC64/(1+DiscountRate)^10+AD64/(1+DiscountRate)^11+AE64/(1+DiscountRate)^12+AF64/(1+DiscountRate)^13+AG64/(1+DiscountRate)^14+AH64/(1+DiscountRate)^15+AI64/(1+DiscountRate)^16+AJ64/(1+DiscountRate)^17+AK64/(1+DiscountRate)^18+AL64/(1+DiscountRate)^19+AM64/(1+DiscountRate)^20)</f>
        <v/>
      </c>
      <c r="CE64" s="37">
        <f>IF(A64="","",IFERROR(IRR(OFFSET(S64,0,0,1,MIN(HorizonYears,20)+1)),"n/a"))</f>
        <v/>
      </c>
      <c r="CF64" s="28">
        <f>IF(A64="","",IFERROR(MATCH(TRUE,OFFSET(AN64,0,0,1,MIN(HorizonYears,20)+1)&gt;=0,0)-1,"n/a"))</f>
        <v/>
      </c>
      <c r="CG64" s="36">
        <f>IF(A64="","",SUM(OFFSET(BI64,0,0,1,MIN(HorizonYears,20)+1)))</f>
        <v/>
      </c>
      <c r="CH64" s="36">
        <f>IF(A64="","",IFERROR(-CD64/CG64,"n/a"))</f>
        <v/>
      </c>
    </row>
    <row r="65">
      <c r="A65" s="6">
        <f>Actions!A63</f>
        <v/>
      </c>
      <c r="B65" s="6">
        <f>Actions!B63</f>
        <v/>
      </c>
      <c r="C65" s="6">
        <f>Actions!D63</f>
        <v/>
      </c>
      <c r="D65" s="35">
        <f>Actions!E63</f>
        <v/>
      </c>
      <c r="E65" s="35">
        <f>Actions!F63</f>
        <v/>
      </c>
      <c r="F65" s="6">
        <f>Actions!G63</f>
        <v/>
      </c>
      <c r="G65" s="6">
        <f>Actions!H63</f>
        <v/>
      </c>
      <c r="H65" s="29">
        <f>Actions!I63</f>
        <v/>
      </c>
      <c r="I65" s="6">
        <f>Actions!J63</f>
        <v/>
      </c>
      <c r="J65" s="16">
        <f>Actions!K63</f>
        <v/>
      </c>
      <c r="K65" s="16">
        <f>IF(A65="","",IF(I65="%",H65*J65,J65))</f>
        <v/>
      </c>
      <c r="L65" s="16">
        <f>Actions!L63</f>
        <v/>
      </c>
      <c r="M65" s="6">
        <f>Actions!M63</f>
        <v/>
      </c>
      <c r="N65" s="28">
        <f>Actions!N63</f>
        <v/>
      </c>
      <c r="O65" s="29">
        <f>Actions!T63</f>
        <v/>
      </c>
      <c r="P65" s="29">
        <f>Actions!Y63</f>
        <v/>
      </c>
      <c r="Q65" s="29">
        <f>Actions!Z63</f>
        <v/>
      </c>
      <c r="R65" s="29">
        <f>Actions!AA63</f>
        <v/>
      </c>
      <c r="S65" s="29">
        <f>IF(A65="","",((K65)*(IF(M65="",L65,IFERROR(IF(INDEX(Variablen!$I:$AT, MATCH(M65, Variablen!$A:$A, 0), MATCH((YEAR(D65)+0), Variablen!$I$3:$AT$3, 0))="",L65,INDEX(Variablen!$I:$AT, MATCH(M65, Variablen!$A:$A, 0), MATCH((YEAR(D65)+0), Variablen!$I$3:$AT$3, 0))),L65)))*(IF((YEAR(D65)+0)&lt;YEAR(E65),0,IF((YEAR(D65)+0)&gt;YEAR(E65),1,(12-MONTH(E65)+1)/12))) + (Q65)*(IF((YEAR(D65)+0)&lt;YEAR(E65),0,IF((YEAR(D65)+0)&gt;YEAR(E65),1,(12-MONTH(E65)+1)/12))))-((P65)*(IF((YEAR(D65)+0)&lt;YEAR(E65),0,IF((YEAR(D65)+0)&gt;YEAR(E65),1,(12-MONTH(E65)+1)/12))) + (R65)*(IF((YEAR(D65)+0)&lt;YEAR(E65),0,IF((YEAR(D65)+0)&gt;YEAR(E65),1,(12-MONTH(E65)+1)/12))))-(IF((((K65)*(IF(M65="",L65,IFERROR(IF(INDEX(Variablen!$I:$AT, MATCH(M65, Variablen!$A:$A, 0), MATCH((YEAR(D65)+0), Variablen!$I$3:$AT$3, 0))="",L65,INDEX(Variablen!$I:$AT, MATCH(M65, Variablen!$A:$A, 0), MATCH((YEAR(D65)+0), Variablen!$I$3:$AT$3, 0))),L65)))*(IF((YEAR(D65)+0)&lt;YEAR(E65),0,IF((YEAR(D65)+0)&gt;YEAR(E65),1,(12-MONTH(E65)+1)/12))) + (Q65)*(IF((YEAR(D65)+0)&lt;YEAR(E65),0,IF((YEAR(D65)+0)&gt;YEAR(E65),1,(12-MONTH(E65)+1)/12))))-((P65)*(IF((YEAR(D65)+0)&lt;YEAR(E65),0,IF((YEAR(D65)+0)&gt;YEAR(E65),1,(12-MONTH(E65)+1)/12))) + (R65)*(IF((YEAR(D65)+0)&lt;YEAR(E65),0,IF((YEAR(D65)+0)&gt;YEAR(E65),1,(12-MONTH(E65)+1)/12))))-(IF(OR(N65="",N65&lt;=0),0,(O65/N65)*(IF(OR(N65="",N65&lt;=0),0,IF((YEAR(D65)+0)&lt;YEAR(E65),0,IF((YEAR(D65)+0)&gt;=YEAR(E65)+N65,0,IF((YEAR(D65)+0)=YEAR(E65),(12-MONTH(E65)+1)/12,1))))))))&gt;0,(((K65)*(IF(M65="",L65,IFERROR(IF(INDEX(Variablen!$I:$AT, MATCH(M65, Variablen!$A:$A, 0), MATCH((YEAR(D65)+0), Variablen!$I$3:$AT$3, 0))="",L65,INDEX(Variablen!$I:$AT, MATCH(M65, Variablen!$A:$A, 0), MATCH((YEAR(D65)+0), Variablen!$I$3:$AT$3, 0))),L65)))*(IF((YEAR(D65)+0)&lt;YEAR(E65),0,IF((YEAR(D65)+0)&gt;YEAR(E65),1,(12-MONTH(E65)+1)/12))) + (Q65)*(IF((YEAR(D65)+0)&lt;YEAR(E65),0,IF((YEAR(D65)+0)&gt;YEAR(E65),1,(12-MONTH(E65)+1)/12))))-((P65)*(IF((YEAR(D65)+0)&lt;YEAR(E65),0,IF((YEAR(D65)+0)&gt;YEAR(E65),1,(12-MONTH(E65)+1)/12))) + (R65)*(IF((YEAR(D65)+0)&lt;YEAR(E65),0,IF((YEAR(D65)+0)&gt;YEAR(E65),1,(12-MONTH(E65)+1)/12))))-(IF(OR(N65="",N65&lt;=0),0,(O65/N65)*(IF(OR(N65="",N65&lt;=0),0,IF((YEAR(D65)+0)&lt;YEAR(E65),0,IF((YEAR(D65)+0)&gt;=YEAR(E65)+N65,0,IF((YEAR(D65)+0)=YEAR(E65),(12-MONTH(E65)+1)/12,1))))))))*TaxRate,0))-IF(0=0,O65,0))</f>
        <v/>
      </c>
      <c r="T65" s="29">
        <f>IF(A65="","",((K65)*(IF(M65="",L65,IFERROR(IF(INDEX(Variablen!$I:$AT, MATCH(M65, Variablen!$A:$A, 0), MATCH((YEAR(D65)+1), Variablen!$I$3:$AT$3, 0))="",L65,INDEX(Variablen!$I:$AT, MATCH(M65, Variablen!$A:$A, 0), MATCH((YEAR(D65)+1), Variablen!$I$3:$AT$3, 0))),L65)))*(IF((YEAR(D65)+1)&lt;YEAR(E65),0,IF((YEAR(D65)+1)&gt;YEAR(E65),1,(12-MONTH(E65)+1)/12))) + (Q65)*(IF((YEAR(D65)+1)&lt;YEAR(E65),0,IF((YEAR(D65)+1)&gt;YEAR(E65),1,(12-MONTH(E65)+1)/12))))-((P65)*(IF((YEAR(D65)+1)&lt;YEAR(E65),0,IF((YEAR(D65)+1)&gt;YEAR(E65),1,(12-MONTH(E65)+1)/12))) + (R65)*(IF((YEAR(D65)+1)&lt;YEAR(E65),0,IF((YEAR(D65)+1)&gt;YEAR(E65),1,(12-MONTH(E65)+1)/12))))-(IF((((K65)*(IF(M65="",L65,IFERROR(IF(INDEX(Variablen!$I:$AT, MATCH(M65, Variablen!$A:$A, 0), MATCH((YEAR(D65)+1), Variablen!$I$3:$AT$3, 0))="",L65,INDEX(Variablen!$I:$AT, MATCH(M65, Variablen!$A:$A, 0), MATCH((YEAR(D65)+1), Variablen!$I$3:$AT$3, 0))),L65)))*(IF((YEAR(D65)+1)&lt;YEAR(E65),0,IF((YEAR(D65)+1)&gt;YEAR(E65),1,(12-MONTH(E65)+1)/12))) + (Q65)*(IF((YEAR(D65)+1)&lt;YEAR(E65),0,IF((YEAR(D65)+1)&gt;YEAR(E65),1,(12-MONTH(E65)+1)/12))))-((P65)*(IF((YEAR(D65)+1)&lt;YEAR(E65),0,IF((YEAR(D65)+1)&gt;YEAR(E65),1,(12-MONTH(E65)+1)/12))) + (R65)*(IF((YEAR(D65)+1)&lt;YEAR(E65),0,IF((YEAR(D65)+1)&gt;YEAR(E65),1,(12-MONTH(E65)+1)/12))))-(IF(OR(N65="",N65&lt;=0),0,(O65/N65)*(IF(OR(N65="",N65&lt;=0),0,IF((YEAR(D65)+1)&lt;YEAR(E65),0,IF((YEAR(D65)+1)&gt;=YEAR(E65)+N65,0,IF((YEAR(D65)+1)=YEAR(E65),(12-MONTH(E65)+1)/12,1))))))))&gt;0,(((K65)*(IF(M65="",L65,IFERROR(IF(INDEX(Variablen!$I:$AT, MATCH(M65, Variablen!$A:$A, 0), MATCH((YEAR(D65)+1), Variablen!$I$3:$AT$3, 0))="",L65,INDEX(Variablen!$I:$AT, MATCH(M65, Variablen!$A:$A, 0), MATCH((YEAR(D65)+1), Variablen!$I$3:$AT$3, 0))),L65)))*(IF((YEAR(D65)+1)&lt;YEAR(E65),0,IF((YEAR(D65)+1)&gt;YEAR(E65),1,(12-MONTH(E65)+1)/12))) + (Q65)*(IF((YEAR(D65)+1)&lt;YEAR(E65),0,IF((YEAR(D65)+1)&gt;YEAR(E65),1,(12-MONTH(E65)+1)/12))))-((P65)*(IF((YEAR(D65)+1)&lt;YEAR(E65),0,IF((YEAR(D65)+1)&gt;YEAR(E65),1,(12-MONTH(E65)+1)/12))) + (R65)*(IF((YEAR(D65)+1)&lt;YEAR(E65),0,IF((YEAR(D65)+1)&gt;YEAR(E65),1,(12-MONTH(E65)+1)/12))))-(IF(OR(N65="",N65&lt;=0),0,(O65/N65)*(IF(OR(N65="",N65&lt;=0),0,IF((YEAR(D65)+1)&lt;YEAR(E65),0,IF((YEAR(D65)+1)&gt;=YEAR(E65)+N65,0,IF((YEAR(D65)+1)=YEAR(E65),(12-MONTH(E65)+1)/12,1))))))))*TaxRate,0))-IF(1=0,O65,0))</f>
        <v/>
      </c>
      <c r="U65" s="29">
        <f>IF(A65="","",((K65)*(IF(M65="",L65,IFERROR(IF(INDEX(Variablen!$I:$AT, MATCH(M65, Variablen!$A:$A, 0), MATCH((YEAR(D65)+2), Variablen!$I$3:$AT$3, 0))="",L65,INDEX(Variablen!$I:$AT, MATCH(M65, Variablen!$A:$A, 0), MATCH((YEAR(D65)+2), Variablen!$I$3:$AT$3, 0))),L65)))*(IF((YEAR(D65)+2)&lt;YEAR(E65),0,IF((YEAR(D65)+2)&gt;YEAR(E65),1,(12-MONTH(E65)+1)/12))) + (Q65)*(IF((YEAR(D65)+2)&lt;YEAR(E65),0,IF((YEAR(D65)+2)&gt;YEAR(E65),1,(12-MONTH(E65)+1)/12))))-((P65)*(IF((YEAR(D65)+2)&lt;YEAR(E65),0,IF((YEAR(D65)+2)&gt;YEAR(E65),1,(12-MONTH(E65)+1)/12))) + (R65)*(IF((YEAR(D65)+2)&lt;YEAR(E65),0,IF((YEAR(D65)+2)&gt;YEAR(E65),1,(12-MONTH(E65)+1)/12))))-(IF((((K65)*(IF(M65="",L65,IFERROR(IF(INDEX(Variablen!$I:$AT, MATCH(M65, Variablen!$A:$A, 0), MATCH((YEAR(D65)+2), Variablen!$I$3:$AT$3, 0))="",L65,INDEX(Variablen!$I:$AT, MATCH(M65, Variablen!$A:$A, 0), MATCH((YEAR(D65)+2), Variablen!$I$3:$AT$3, 0))),L65)))*(IF((YEAR(D65)+2)&lt;YEAR(E65),0,IF((YEAR(D65)+2)&gt;YEAR(E65),1,(12-MONTH(E65)+1)/12))) + (Q65)*(IF((YEAR(D65)+2)&lt;YEAR(E65),0,IF((YEAR(D65)+2)&gt;YEAR(E65),1,(12-MONTH(E65)+1)/12))))-((P65)*(IF((YEAR(D65)+2)&lt;YEAR(E65),0,IF((YEAR(D65)+2)&gt;YEAR(E65),1,(12-MONTH(E65)+1)/12))) + (R65)*(IF((YEAR(D65)+2)&lt;YEAR(E65),0,IF((YEAR(D65)+2)&gt;YEAR(E65),1,(12-MONTH(E65)+1)/12))))-(IF(OR(N65="",N65&lt;=0),0,(O65/N65)*(IF(OR(N65="",N65&lt;=0),0,IF((YEAR(D65)+2)&lt;YEAR(E65),0,IF((YEAR(D65)+2)&gt;=YEAR(E65)+N65,0,IF((YEAR(D65)+2)=YEAR(E65),(12-MONTH(E65)+1)/12,1))))))))&gt;0,(((K65)*(IF(M65="",L65,IFERROR(IF(INDEX(Variablen!$I:$AT, MATCH(M65, Variablen!$A:$A, 0), MATCH((YEAR(D65)+2), Variablen!$I$3:$AT$3, 0))="",L65,INDEX(Variablen!$I:$AT, MATCH(M65, Variablen!$A:$A, 0), MATCH((YEAR(D65)+2), Variablen!$I$3:$AT$3, 0))),L65)))*(IF((YEAR(D65)+2)&lt;YEAR(E65),0,IF((YEAR(D65)+2)&gt;YEAR(E65),1,(12-MONTH(E65)+1)/12))) + (Q65)*(IF((YEAR(D65)+2)&lt;YEAR(E65),0,IF((YEAR(D65)+2)&gt;YEAR(E65),1,(12-MONTH(E65)+1)/12))))-((P65)*(IF((YEAR(D65)+2)&lt;YEAR(E65),0,IF((YEAR(D65)+2)&gt;YEAR(E65),1,(12-MONTH(E65)+1)/12))) + (R65)*(IF((YEAR(D65)+2)&lt;YEAR(E65),0,IF((YEAR(D65)+2)&gt;YEAR(E65),1,(12-MONTH(E65)+1)/12))))-(IF(OR(N65="",N65&lt;=0),0,(O65/N65)*(IF(OR(N65="",N65&lt;=0),0,IF((YEAR(D65)+2)&lt;YEAR(E65),0,IF((YEAR(D65)+2)&gt;=YEAR(E65)+N65,0,IF((YEAR(D65)+2)=YEAR(E65),(12-MONTH(E65)+1)/12,1))))))))*TaxRate,0))-IF(2=0,O65,0))</f>
        <v/>
      </c>
      <c r="V65" s="29">
        <f>IF(A65="","",((K65)*(IF(M65="",L65,IFERROR(IF(INDEX(Variablen!$I:$AT, MATCH(M65, Variablen!$A:$A, 0), MATCH((YEAR(D65)+3), Variablen!$I$3:$AT$3, 0))="",L65,INDEX(Variablen!$I:$AT, MATCH(M65, Variablen!$A:$A, 0), MATCH((YEAR(D65)+3), Variablen!$I$3:$AT$3, 0))),L65)))*(IF((YEAR(D65)+3)&lt;YEAR(E65),0,IF((YEAR(D65)+3)&gt;YEAR(E65),1,(12-MONTH(E65)+1)/12))) + (Q65)*(IF((YEAR(D65)+3)&lt;YEAR(E65),0,IF((YEAR(D65)+3)&gt;YEAR(E65),1,(12-MONTH(E65)+1)/12))))-((P65)*(IF((YEAR(D65)+3)&lt;YEAR(E65),0,IF((YEAR(D65)+3)&gt;YEAR(E65),1,(12-MONTH(E65)+1)/12))) + (R65)*(IF((YEAR(D65)+3)&lt;YEAR(E65),0,IF((YEAR(D65)+3)&gt;YEAR(E65),1,(12-MONTH(E65)+1)/12))))-(IF((((K65)*(IF(M65="",L65,IFERROR(IF(INDEX(Variablen!$I:$AT, MATCH(M65, Variablen!$A:$A, 0), MATCH((YEAR(D65)+3), Variablen!$I$3:$AT$3, 0))="",L65,INDEX(Variablen!$I:$AT, MATCH(M65, Variablen!$A:$A, 0), MATCH((YEAR(D65)+3), Variablen!$I$3:$AT$3, 0))),L65)))*(IF((YEAR(D65)+3)&lt;YEAR(E65),0,IF((YEAR(D65)+3)&gt;YEAR(E65),1,(12-MONTH(E65)+1)/12))) + (Q65)*(IF((YEAR(D65)+3)&lt;YEAR(E65),0,IF((YEAR(D65)+3)&gt;YEAR(E65),1,(12-MONTH(E65)+1)/12))))-((P65)*(IF((YEAR(D65)+3)&lt;YEAR(E65),0,IF((YEAR(D65)+3)&gt;YEAR(E65),1,(12-MONTH(E65)+1)/12))) + (R65)*(IF((YEAR(D65)+3)&lt;YEAR(E65),0,IF((YEAR(D65)+3)&gt;YEAR(E65),1,(12-MONTH(E65)+1)/12))))-(IF(OR(N65="",N65&lt;=0),0,(O65/N65)*(IF(OR(N65="",N65&lt;=0),0,IF((YEAR(D65)+3)&lt;YEAR(E65),0,IF((YEAR(D65)+3)&gt;=YEAR(E65)+N65,0,IF((YEAR(D65)+3)=YEAR(E65),(12-MONTH(E65)+1)/12,1))))))))&gt;0,(((K65)*(IF(M65="",L65,IFERROR(IF(INDEX(Variablen!$I:$AT, MATCH(M65, Variablen!$A:$A, 0), MATCH((YEAR(D65)+3), Variablen!$I$3:$AT$3, 0))="",L65,INDEX(Variablen!$I:$AT, MATCH(M65, Variablen!$A:$A, 0), MATCH((YEAR(D65)+3), Variablen!$I$3:$AT$3, 0))),L65)))*(IF((YEAR(D65)+3)&lt;YEAR(E65),0,IF((YEAR(D65)+3)&gt;YEAR(E65),1,(12-MONTH(E65)+1)/12))) + (Q65)*(IF((YEAR(D65)+3)&lt;YEAR(E65),0,IF((YEAR(D65)+3)&gt;YEAR(E65),1,(12-MONTH(E65)+1)/12))))-((P65)*(IF((YEAR(D65)+3)&lt;YEAR(E65),0,IF((YEAR(D65)+3)&gt;YEAR(E65),1,(12-MONTH(E65)+1)/12))) + (R65)*(IF((YEAR(D65)+3)&lt;YEAR(E65),0,IF((YEAR(D65)+3)&gt;YEAR(E65),1,(12-MONTH(E65)+1)/12))))-(IF(OR(N65="",N65&lt;=0),0,(O65/N65)*(IF(OR(N65="",N65&lt;=0),0,IF((YEAR(D65)+3)&lt;YEAR(E65),0,IF((YEAR(D65)+3)&gt;=YEAR(E65)+N65,0,IF((YEAR(D65)+3)=YEAR(E65),(12-MONTH(E65)+1)/12,1))))))))*TaxRate,0))-IF(3=0,O65,0))</f>
        <v/>
      </c>
      <c r="W65" s="29">
        <f>IF(A65="","",((K65)*(IF(M65="",L65,IFERROR(IF(INDEX(Variablen!$I:$AT, MATCH(M65, Variablen!$A:$A, 0), MATCH((YEAR(D65)+4), Variablen!$I$3:$AT$3, 0))="",L65,INDEX(Variablen!$I:$AT, MATCH(M65, Variablen!$A:$A, 0), MATCH((YEAR(D65)+4), Variablen!$I$3:$AT$3, 0))),L65)))*(IF((YEAR(D65)+4)&lt;YEAR(E65),0,IF((YEAR(D65)+4)&gt;YEAR(E65),1,(12-MONTH(E65)+1)/12))) + (Q65)*(IF((YEAR(D65)+4)&lt;YEAR(E65),0,IF((YEAR(D65)+4)&gt;YEAR(E65),1,(12-MONTH(E65)+1)/12))))-((P65)*(IF((YEAR(D65)+4)&lt;YEAR(E65),0,IF((YEAR(D65)+4)&gt;YEAR(E65),1,(12-MONTH(E65)+1)/12))) + (R65)*(IF((YEAR(D65)+4)&lt;YEAR(E65),0,IF((YEAR(D65)+4)&gt;YEAR(E65),1,(12-MONTH(E65)+1)/12))))-(IF((((K65)*(IF(M65="",L65,IFERROR(IF(INDEX(Variablen!$I:$AT, MATCH(M65, Variablen!$A:$A, 0), MATCH((YEAR(D65)+4), Variablen!$I$3:$AT$3, 0))="",L65,INDEX(Variablen!$I:$AT, MATCH(M65, Variablen!$A:$A, 0), MATCH((YEAR(D65)+4), Variablen!$I$3:$AT$3, 0))),L65)))*(IF((YEAR(D65)+4)&lt;YEAR(E65),0,IF((YEAR(D65)+4)&gt;YEAR(E65),1,(12-MONTH(E65)+1)/12))) + (Q65)*(IF((YEAR(D65)+4)&lt;YEAR(E65),0,IF((YEAR(D65)+4)&gt;YEAR(E65),1,(12-MONTH(E65)+1)/12))))-((P65)*(IF((YEAR(D65)+4)&lt;YEAR(E65),0,IF((YEAR(D65)+4)&gt;YEAR(E65),1,(12-MONTH(E65)+1)/12))) + (R65)*(IF((YEAR(D65)+4)&lt;YEAR(E65),0,IF((YEAR(D65)+4)&gt;YEAR(E65),1,(12-MONTH(E65)+1)/12))))-(IF(OR(N65="",N65&lt;=0),0,(O65/N65)*(IF(OR(N65="",N65&lt;=0),0,IF((YEAR(D65)+4)&lt;YEAR(E65),0,IF((YEAR(D65)+4)&gt;=YEAR(E65)+N65,0,IF((YEAR(D65)+4)=YEAR(E65),(12-MONTH(E65)+1)/12,1))))))))&gt;0,(((K65)*(IF(M65="",L65,IFERROR(IF(INDEX(Variablen!$I:$AT, MATCH(M65, Variablen!$A:$A, 0), MATCH((YEAR(D65)+4), Variablen!$I$3:$AT$3, 0))="",L65,INDEX(Variablen!$I:$AT, MATCH(M65, Variablen!$A:$A, 0), MATCH((YEAR(D65)+4), Variablen!$I$3:$AT$3, 0))),L65)))*(IF((YEAR(D65)+4)&lt;YEAR(E65),0,IF((YEAR(D65)+4)&gt;YEAR(E65),1,(12-MONTH(E65)+1)/12))) + (Q65)*(IF((YEAR(D65)+4)&lt;YEAR(E65),0,IF((YEAR(D65)+4)&gt;YEAR(E65),1,(12-MONTH(E65)+1)/12))))-((P65)*(IF((YEAR(D65)+4)&lt;YEAR(E65),0,IF((YEAR(D65)+4)&gt;YEAR(E65),1,(12-MONTH(E65)+1)/12))) + (R65)*(IF((YEAR(D65)+4)&lt;YEAR(E65),0,IF((YEAR(D65)+4)&gt;YEAR(E65),1,(12-MONTH(E65)+1)/12))))-(IF(OR(N65="",N65&lt;=0),0,(O65/N65)*(IF(OR(N65="",N65&lt;=0),0,IF((YEAR(D65)+4)&lt;YEAR(E65),0,IF((YEAR(D65)+4)&gt;=YEAR(E65)+N65,0,IF((YEAR(D65)+4)=YEAR(E65),(12-MONTH(E65)+1)/12,1))))))))*TaxRate,0))-IF(4=0,O65,0))</f>
        <v/>
      </c>
      <c r="X65" s="29">
        <f>IF(A65="","",((K65)*(IF(M65="",L65,IFERROR(IF(INDEX(Variablen!$I:$AT, MATCH(M65, Variablen!$A:$A, 0), MATCH((YEAR(D65)+5), Variablen!$I$3:$AT$3, 0))="",L65,INDEX(Variablen!$I:$AT, MATCH(M65, Variablen!$A:$A, 0), MATCH((YEAR(D65)+5), Variablen!$I$3:$AT$3, 0))),L65)))*(IF((YEAR(D65)+5)&lt;YEAR(E65),0,IF((YEAR(D65)+5)&gt;YEAR(E65),1,(12-MONTH(E65)+1)/12))) + (Q65)*(IF((YEAR(D65)+5)&lt;YEAR(E65),0,IF((YEAR(D65)+5)&gt;YEAR(E65),1,(12-MONTH(E65)+1)/12))))-((P65)*(IF((YEAR(D65)+5)&lt;YEAR(E65),0,IF((YEAR(D65)+5)&gt;YEAR(E65),1,(12-MONTH(E65)+1)/12))) + (R65)*(IF((YEAR(D65)+5)&lt;YEAR(E65),0,IF((YEAR(D65)+5)&gt;YEAR(E65),1,(12-MONTH(E65)+1)/12))))-(IF((((K65)*(IF(M65="",L65,IFERROR(IF(INDEX(Variablen!$I:$AT, MATCH(M65, Variablen!$A:$A, 0), MATCH((YEAR(D65)+5), Variablen!$I$3:$AT$3, 0))="",L65,INDEX(Variablen!$I:$AT, MATCH(M65, Variablen!$A:$A, 0), MATCH((YEAR(D65)+5), Variablen!$I$3:$AT$3, 0))),L65)))*(IF((YEAR(D65)+5)&lt;YEAR(E65),0,IF((YEAR(D65)+5)&gt;YEAR(E65),1,(12-MONTH(E65)+1)/12))) + (Q65)*(IF((YEAR(D65)+5)&lt;YEAR(E65),0,IF((YEAR(D65)+5)&gt;YEAR(E65),1,(12-MONTH(E65)+1)/12))))-((P65)*(IF((YEAR(D65)+5)&lt;YEAR(E65),0,IF((YEAR(D65)+5)&gt;YEAR(E65),1,(12-MONTH(E65)+1)/12))) + (R65)*(IF((YEAR(D65)+5)&lt;YEAR(E65),0,IF((YEAR(D65)+5)&gt;YEAR(E65),1,(12-MONTH(E65)+1)/12))))-(IF(OR(N65="",N65&lt;=0),0,(O65/N65)*(IF(OR(N65="",N65&lt;=0),0,IF((YEAR(D65)+5)&lt;YEAR(E65),0,IF((YEAR(D65)+5)&gt;=YEAR(E65)+N65,0,IF((YEAR(D65)+5)=YEAR(E65),(12-MONTH(E65)+1)/12,1))))))))&gt;0,(((K65)*(IF(M65="",L65,IFERROR(IF(INDEX(Variablen!$I:$AT, MATCH(M65, Variablen!$A:$A, 0), MATCH((YEAR(D65)+5), Variablen!$I$3:$AT$3, 0))="",L65,INDEX(Variablen!$I:$AT, MATCH(M65, Variablen!$A:$A, 0), MATCH((YEAR(D65)+5), Variablen!$I$3:$AT$3, 0))),L65)))*(IF((YEAR(D65)+5)&lt;YEAR(E65),0,IF((YEAR(D65)+5)&gt;YEAR(E65),1,(12-MONTH(E65)+1)/12))) + (Q65)*(IF((YEAR(D65)+5)&lt;YEAR(E65),0,IF((YEAR(D65)+5)&gt;YEAR(E65),1,(12-MONTH(E65)+1)/12))))-((P65)*(IF((YEAR(D65)+5)&lt;YEAR(E65),0,IF((YEAR(D65)+5)&gt;YEAR(E65),1,(12-MONTH(E65)+1)/12))) + (R65)*(IF((YEAR(D65)+5)&lt;YEAR(E65),0,IF((YEAR(D65)+5)&gt;YEAR(E65),1,(12-MONTH(E65)+1)/12))))-(IF(OR(N65="",N65&lt;=0),0,(O65/N65)*(IF(OR(N65="",N65&lt;=0),0,IF((YEAR(D65)+5)&lt;YEAR(E65),0,IF((YEAR(D65)+5)&gt;=YEAR(E65)+N65,0,IF((YEAR(D65)+5)=YEAR(E65),(12-MONTH(E65)+1)/12,1))))))))*TaxRate,0))-IF(5=0,O65,0))</f>
        <v/>
      </c>
      <c r="Y65" s="29">
        <f>IF(A65="","",((K65)*(IF(M65="",L65,IFERROR(IF(INDEX(Variablen!$I:$AT, MATCH(M65, Variablen!$A:$A, 0), MATCH((YEAR(D65)+6), Variablen!$I$3:$AT$3, 0))="",L65,INDEX(Variablen!$I:$AT, MATCH(M65, Variablen!$A:$A, 0), MATCH((YEAR(D65)+6), Variablen!$I$3:$AT$3, 0))),L65)))*(IF((YEAR(D65)+6)&lt;YEAR(E65),0,IF((YEAR(D65)+6)&gt;YEAR(E65),1,(12-MONTH(E65)+1)/12))) + (Q65)*(IF((YEAR(D65)+6)&lt;YEAR(E65),0,IF((YEAR(D65)+6)&gt;YEAR(E65),1,(12-MONTH(E65)+1)/12))))-((P65)*(IF((YEAR(D65)+6)&lt;YEAR(E65),0,IF((YEAR(D65)+6)&gt;YEAR(E65),1,(12-MONTH(E65)+1)/12))) + (R65)*(IF((YEAR(D65)+6)&lt;YEAR(E65),0,IF((YEAR(D65)+6)&gt;YEAR(E65),1,(12-MONTH(E65)+1)/12))))-(IF((((K65)*(IF(M65="",L65,IFERROR(IF(INDEX(Variablen!$I:$AT, MATCH(M65, Variablen!$A:$A, 0), MATCH((YEAR(D65)+6), Variablen!$I$3:$AT$3, 0))="",L65,INDEX(Variablen!$I:$AT, MATCH(M65, Variablen!$A:$A, 0), MATCH((YEAR(D65)+6), Variablen!$I$3:$AT$3, 0))),L65)))*(IF((YEAR(D65)+6)&lt;YEAR(E65),0,IF((YEAR(D65)+6)&gt;YEAR(E65),1,(12-MONTH(E65)+1)/12))) + (Q65)*(IF((YEAR(D65)+6)&lt;YEAR(E65),0,IF((YEAR(D65)+6)&gt;YEAR(E65),1,(12-MONTH(E65)+1)/12))))-((P65)*(IF((YEAR(D65)+6)&lt;YEAR(E65),0,IF((YEAR(D65)+6)&gt;YEAR(E65),1,(12-MONTH(E65)+1)/12))) + (R65)*(IF((YEAR(D65)+6)&lt;YEAR(E65),0,IF((YEAR(D65)+6)&gt;YEAR(E65),1,(12-MONTH(E65)+1)/12))))-(IF(OR(N65="",N65&lt;=0),0,(O65/N65)*(IF(OR(N65="",N65&lt;=0),0,IF((YEAR(D65)+6)&lt;YEAR(E65),0,IF((YEAR(D65)+6)&gt;=YEAR(E65)+N65,0,IF((YEAR(D65)+6)=YEAR(E65),(12-MONTH(E65)+1)/12,1))))))))&gt;0,(((K65)*(IF(M65="",L65,IFERROR(IF(INDEX(Variablen!$I:$AT, MATCH(M65, Variablen!$A:$A, 0), MATCH((YEAR(D65)+6), Variablen!$I$3:$AT$3, 0))="",L65,INDEX(Variablen!$I:$AT, MATCH(M65, Variablen!$A:$A, 0), MATCH((YEAR(D65)+6), Variablen!$I$3:$AT$3, 0))),L65)))*(IF((YEAR(D65)+6)&lt;YEAR(E65),0,IF((YEAR(D65)+6)&gt;YEAR(E65),1,(12-MONTH(E65)+1)/12))) + (Q65)*(IF((YEAR(D65)+6)&lt;YEAR(E65),0,IF((YEAR(D65)+6)&gt;YEAR(E65),1,(12-MONTH(E65)+1)/12))))-((P65)*(IF((YEAR(D65)+6)&lt;YEAR(E65),0,IF((YEAR(D65)+6)&gt;YEAR(E65),1,(12-MONTH(E65)+1)/12))) + (R65)*(IF((YEAR(D65)+6)&lt;YEAR(E65),0,IF((YEAR(D65)+6)&gt;YEAR(E65),1,(12-MONTH(E65)+1)/12))))-(IF(OR(N65="",N65&lt;=0),0,(O65/N65)*(IF(OR(N65="",N65&lt;=0),0,IF((YEAR(D65)+6)&lt;YEAR(E65),0,IF((YEAR(D65)+6)&gt;=YEAR(E65)+N65,0,IF((YEAR(D65)+6)=YEAR(E65),(12-MONTH(E65)+1)/12,1))))))))*TaxRate,0))-IF(6=0,O65,0))</f>
        <v/>
      </c>
      <c r="Z65" s="29">
        <f>IF(A65="","",((K65)*(IF(M65="",L65,IFERROR(IF(INDEX(Variablen!$I:$AT, MATCH(M65, Variablen!$A:$A, 0), MATCH((YEAR(D65)+7), Variablen!$I$3:$AT$3, 0))="",L65,INDEX(Variablen!$I:$AT, MATCH(M65, Variablen!$A:$A, 0), MATCH((YEAR(D65)+7), Variablen!$I$3:$AT$3, 0))),L65)))*(IF((YEAR(D65)+7)&lt;YEAR(E65),0,IF((YEAR(D65)+7)&gt;YEAR(E65),1,(12-MONTH(E65)+1)/12))) + (Q65)*(IF((YEAR(D65)+7)&lt;YEAR(E65),0,IF((YEAR(D65)+7)&gt;YEAR(E65),1,(12-MONTH(E65)+1)/12))))-((P65)*(IF((YEAR(D65)+7)&lt;YEAR(E65),0,IF((YEAR(D65)+7)&gt;YEAR(E65),1,(12-MONTH(E65)+1)/12))) + (R65)*(IF((YEAR(D65)+7)&lt;YEAR(E65),0,IF((YEAR(D65)+7)&gt;YEAR(E65),1,(12-MONTH(E65)+1)/12))))-(IF((((K65)*(IF(M65="",L65,IFERROR(IF(INDEX(Variablen!$I:$AT, MATCH(M65, Variablen!$A:$A, 0), MATCH((YEAR(D65)+7), Variablen!$I$3:$AT$3, 0))="",L65,INDEX(Variablen!$I:$AT, MATCH(M65, Variablen!$A:$A, 0), MATCH((YEAR(D65)+7), Variablen!$I$3:$AT$3, 0))),L65)))*(IF((YEAR(D65)+7)&lt;YEAR(E65),0,IF((YEAR(D65)+7)&gt;YEAR(E65),1,(12-MONTH(E65)+1)/12))) + (Q65)*(IF((YEAR(D65)+7)&lt;YEAR(E65),0,IF((YEAR(D65)+7)&gt;YEAR(E65),1,(12-MONTH(E65)+1)/12))))-((P65)*(IF((YEAR(D65)+7)&lt;YEAR(E65),0,IF((YEAR(D65)+7)&gt;YEAR(E65),1,(12-MONTH(E65)+1)/12))) + (R65)*(IF((YEAR(D65)+7)&lt;YEAR(E65),0,IF((YEAR(D65)+7)&gt;YEAR(E65),1,(12-MONTH(E65)+1)/12))))-(IF(OR(N65="",N65&lt;=0),0,(O65/N65)*(IF(OR(N65="",N65&lt;=0),0,IF((YEAR(D65)+7)&lt;YEAR(E65),0,IF((YEAR(D65)+7)&gt;=YEAR(E65)+N65,0,IF((YEAR(D65)+7)=YEAR(E65),(12-MONTH(E65)+1)/12,1))))))))&gt;0,(((K65)*(IF(M65="",L65,IFERROR(IF(INDEX(Variablen!$I:$AT, MATCH(M65, Variablen!$A:$A, 0), MATCH((YEAR(D65)+7), Variablen!$I$3:$AT$3, 0))="",L65,INDEX(Variablen!$I:$AT, MATCH(M65, Variablen!$A:$A, 0), MATCH((YEAR(D65)+7), Variablen!$I$3:$AT$3, 0))),L65)))*(IF((YEAR(D65)+7)&lt;YEAR(E65),0,IF((YEAR(D65)+7)&gt;YEAR(E65),1,(12-MONTH(E65)+1)/12))) + (Q65)*(IF((YEAR(D65)+7)&lt;YEAR(E65),0,IF((YEAR(D65)+7)&gt;YEAR(E65),1,(12-MONTH(E65)+1)/12))))-((P65)*(IF((YEAR(D65)+7)&lt;YEAR(E65),0,IF((YEAR(D65)+7)&gt;YEAR(E65),1,(12-MONTH(E65)+1)/12))) + (R65)*(IF((YEAR(D65)+7)&lt;YEAR(E65),0,IF((YEAR(D65)+7)&gt;YEAR(E65),1,(12-MONTH(E65)+1)/12))))-(IF(OR(N65="",N65&lt;=0),0,(O65/N65)*(IF(OR(N65="",N65&lt;=0),0,IF((YEAR(D65)+7)&lt;YEAR(E65),0,IF((YEAR(D65)+7)&gt;=YEAR(E65)+N65,0,IF((YEAR(D65)+7)=YEAR(E65),(12-MONTH(E65)+1)/12,1))))))))*TaxRate,0))-IF(7=0,O65,0))</f>
        <v/>
      </c>
      <c r="AA65" s="29">
        <f>IF(A65="","",((K65)*(IF(M65="",L65,IFERROR(IF(INDEX(Variablen!$I:$AT, MATCH(M65, Variablen!$A:$A, 0), MATCH((YEAR(D65)+8), Variablen!$I$3:$AT$3, 0))="",L65,INDEX(Variablen!$I:$AT, MATCH(M65, Variablen!$A:$A, 0), MATCH((YEAR(D65)+8), Variablen!$I$3:$AT$3, 0))),L65)))*(IF((YEAR(D65)+8)&lt;YEAR(E65),0,IF((YEAR(D65)+8)&gt;YEAR(E65),1,(12-MONTH(E65)+1)/12))) + (Q65)*(IF((YEAR(D65)+8)&lt;YEAR(E65),0,IF((YEAR(D65)+8)&gt;YEAR(E65),1,(12-MONTH(E65)+1)/12))))-((P65)*(IF((YEAR(D65)+8)&lt;YEAR(E65),0,IF((YEAR(D65)+8)&gt;YEAR(E65),1,(12-MONTH(E65)+1)/12))) + (R65)*(IF((YEAR(D65)+8)&lt;YEAR(E65),0,IF((YEAR(D65)+8)&gt;YEAR(E65),1,(12-MONTH(E65)+1)/12))))-(IF((((K65)*(IF(M65="",L65,IFERROR(IF(INDEX(Variablen!$I:$AT, MATCH(M65, Variablen!$A:$A, 0), MATCH((YEAR(D65)+8), Variablen!$I$3:$AT$3, 0))="",L65,INDEX(Variablen!$I:$AT, MATCH(M65, Variablen!$A:$A, 0), MATCH((YEAR(D65)+8), Variablen!$I$3:$AT$3, 0))),L65)))*(IF((YEAR(D65)+8)&lt;YEAR(E65),0,IF((YEAR(D65)+8)&gt;YEAR(E65),1,(12-MONTH(E65)+1)/12))) + (Q65)*(IF((YEAR(D65)+8)&lt;YEAR(E65),0,IF((YEAR(D65)+8)&gt;YEAR(E65),1,(12-MONTH(E65)+1)/12))))-((P65)*(IF((YEAR(D65)+8)&lt;YEAR(E65),0,IF((YEAR(D65)+8)&gt;YEAR(E65),1,(12-MONTH(E65)+1)/12))) + (R65)*(IF((YEAR(D65)+8)&lt;YEAR(E65),0,IF((YEAR(D65)+8)&gt;YEAR(E65),1,(12-MONTH(E65)+1)/12))))-(IF(OR(N65="",N65&lt;=0),0,(O65/N65)*(IF(OR(N65="",N65&lt;=0),0,IF((YEAR(D65)+8)&lt;YEAR(E65),0,IF((YEAR(D65)+8)&gt;=YEAR(E65)+N65,0,IF((YEAR(D65)+8)=YEAR(E65),(12-MONTH(E65)+1)/12,1))))))))&gt;0,(((K65)*(IF(M65="",L65,IFERROR(IF(INDEX(Variablen!$I:$AT, MATCH(M65, Variablen!$A:$A, 0), MATCH((YEAR(D65)+8), Variablen!$I$3:$AT$3, 0))="",L65,INDEX(Variablen!$I:$AT, MATCH(M65, Variablen!$A:$A, 0), MATCH((YEAR(D65)+8), Variablen!$I$3:$AT$3, 0))),L65)))*(IF((YEAR(D65)+8)&lt;YEAR(E65),0,IF((YEAR(D65)+8)&gt;YEAR(E65),1,(12-MONTH(E65)+1)/12))) + (Q65)*(IF((YEAR(D65)+8)&lt;YEAR(E65),0,IF((YEAR(D65)+8)&gt;YEAR(E65),1,(12-MONTH(E65)+1)/12))))-((P65)*(IF((YEAR(D65)+8)&lt;YEAR(E65),0,IF((YEAR(D65)+8)&gt;YEAR(E65),1,(12-MONTH(E65)+1)/12))) + (R65)*(IF((YEAR(D65)+8)&lt;YEAR(E65),0,IF((YEAR(D65)+8)&gt;YEAR(E65),1,(12-MONTH(E65)+1)/12))))-(IF(OR(N65="",N65&lt;=0),0,(O65/N65)*(IF(OR(N65="",N65&lt;=0),0,IF((YEAR(D65)+8)&lt;YEAR(E65),0,IF((YEAR(D65)+8)&gt;=YEAR(E65)+N65,0,IF((YEAR(D65)+8)=YEAR(E65),(12-MONTH(E65)+1)/12,1))))))))*TaxRate,0))-IF(8=0,O65,0))</f>
        <v/>
      </c>
      <c r="AB65" s="29">
        <f>IF(A65="","",((K65)*(IF(M65="",L65,IFERROR(IF(INDEX(Variablen!$I:$AT, MATCH(M65, Variablen!$A:$A, 0), MATCH((YEAR(D65)+9), Variablen!$I$3:$AT$3, 0))="",L65,INDEX(Variablen!$I:$AT, MATCH(M65, Variablen!$A:$A, 0), MATCH((YEAR(D65)+9), Variablen!$I$3:$AT$3, 0))),L65)))*(IF((YEAR(D65)+9)&lt;YEAR(E65),0,IF((YEAR(D65)+9)&gt;YEAR(E65),1,(12-MONTH(E65)+1)/12))) + (Q65)*(IF((YEAR(D65)+9)&lt;YEAR(E65),0,IF((YEAR(D65)+9)&gt;YEAR(E65),1,(12-MONTH(E65)+1)/12))))-((P65)*(IF((YEAR(D65)+9)&lt;YEAR(E65),0,IF((YEAR(D65)+9)&gt;YEAR(E65),1,(12-MONTH(E65)+1)/12))) + (R65)*(IF((YEAR(D65)+9)&lt;YEAR(E65),0,IF((YEAR(D65)+9)&gt;YEAR(E65),1,(12-MONTH(E65)+1)/12))))-(IF((((K65)*(IF(M65="",L65,IFERROR(IF(INDEX(Variablen!$I:$AT, MATCH(M65, Variablen!$A:$A, 0), MATCH((YEAR(D65)+9), Variablen!$I$3:$AT$3, 0))="",L65,INDEX(Variablen!$I:$AT, MATCH(M65, Variablen!$A:$A, 0), MATCH((YEAR(D65)+9), Variablen!$I$3:$AT$3, 0))),L65)))*(IF((YEAR(D65)+9)&lt;YEAR(E65),0,IF((YEAR(D65)+9)&gt;YEAR(E65),1,(12-MONTH(E65)+1)/12))) + (Q65)*(IF((YEAR(D65)+9)&lt;YEAR(E65),0,IF((YEAR(D65)+9)&gt;YEAR(E65),1,(12-MONTH(E65)+1)/12))))-((P65)*(IF((YEAR(D65)+9)&lt;YEAR(E65),0,IF((YEAR(D65)+9)&gt;YEAR(E65),1,(12-MONTH(E65)+1)/12))) + (R65)*(IF((YEAR(D65)+9)&lt;YEAR(E65),0,IF((YEAR(D65)+9)&gt;YEAR(E65),1,(12-MONTH(E65)+1)/12))))-(IF(OR(N65="",N65&lt;=0),0,(O65/N65)*(IF(OR(N65="",N65&lt;=0),0,IF((YEAR(D65)+9)&lt;YEAR(E65),0,IF((YEAR(D65)+9)&gt;=YEAR(E65)+N65,0,IF((YEAR(D65)+9)=YEAR(E65),(12-MONTH(E65)+1)/12,1))))))))&gt;0,(((K65)*(IF(M65="",L65,IFERROR(IF(INDEX(Variablen!$I:$AT, MATCH(M65, Variablen!$A:$A, 0), MATCH((YEAR(D65)+9), Variablen!$I$3:$AT$3, 0))="",L65,INDEX(Variablen!$I:$AT, MATCH(M65, Variablen!$A:$A, 0), MATCH((YEAR(D65)+9), Variablen!$I$3:$AT$3, 0))),L65)))*(IF((YEAR(D65)+9)&lt;YEAR(E65),0,IF((YEAR(D65)+9)&gt;YEAR(E65),1,(12-MONTH(E65)+1)/12))) + (Q65)*(IF((YEAR(D65)+9)&lt;YEAR(E65),0,IF((YEAR(D65)+9)&gt;YEAR(E65),1,(12-MONTH(E65)+1)/12))))-((P65)*(IF((YEAR(D65)+9)&lt;YEAR(E65),0,IF((YEAR(D65)+9)&gt;YEAR(E65),1,(12-MONTH(E65)+1)/12))) + (R65)*(IF((YEAR(D65)+9)&lt;YEAR(E65),0,IF((YEAR(D65)+9)&gt;YEAR(E65),1,(12-MONTH(E65)+1)/12))))-(IF(OR(N65="",N65&lt;=0),0,(O65/N65)*(IF(OR(N65="",N65&lt;=0),0,IF((YEAR(D65)+9)&lt;YEAR(E65),0,IF((YEAR(D65)+9)&gt;=YEAR(E65)+N65,0,IF((YEAR(D65)+9)=YEAR(E65),(12-MONTH(E65)+1)/12,1))))))))*TaxRate,0))-IF(9=0,O65,0))</f>
        <v/>
      </c>
      <c r="AC65" s="29">
        <f>IF(A65="","",((K65)*(IF(M65="",L65,IFERROR(IF(INDEX(Variablen!$I:$AT, MATCH(M65, Variablen!$A:$A, 0), MATCH((YEAR(D65)+10), Variablen!$I$3:$AT$3, 0))="",L65,INDEX(Variablen!$I:$AT, MATCH(M65, Variablen!$A:$A, 0), MATCH((YEAR(D65)+10), Variablen!$I$3:$AT$3, 0))),L65)))*(IF((YEAR(D65)+10)&lt;YEAR(E65),0,IF((YEAR(D65)+10)&gt;YEAR(E65),1,(12-MONTH(E65)+1)/12))) + (Q65)*(IF((YEAR(D65)+10)&lt;YEAR(E65),0,IF((YEAR(D65)+10)&gt;YEAR(E65),1,(12-MONTH(E65)+1)/12))))-((P65)*(IF((YEAR(D65)+10)&lt;YEAR(E65),0,IF((YEAR(D65)+10)&gt;YEAR(E65),1,(12-MONTH(E65)+1)/12))) + (R65)*(IF((YEAR(D65)+10)&lt;YEAR(E65),0,IF((YEAR(D65)+10)&gt;YEAR(E65),1,(12-MONTH(E65)+1)/12))))-(IF((((K65)*(IF(M65="",L65,IFERROR(IF(INDEX(Variablen!$I:$AT, MATCH(M65, Variablen!$A:$A, 0), MATCH((YEAR(D65)+10), Variablen!$I$3:$AT$3, 0))="",L65,INDEX(Variablen!$I:$AT, MATCH(M65, Variablen!$A:$A, 0), MATCH((YEAR(D65)+10), Variablen!$I$3:$AT$3, 0))),L65)))*(IF((YEAR(D65)+10)&lt;YEAR(E65),0,IF((YEAR(D65)+10)&gt;YEAR(E65),1,(12-MONTH(E65)+1)/12))) + (Q65)*(IF((YEAR(D65)+10)&lt;YEAR(E65),0,IF((YEAR(D65)+10)&gt;YEAR(E65),1,(12-MONTH(E65)+1)/12))))-((P65)*(IF((YEAR(D65)+10)&lt;YEAR(E65),0,IF((YEAR(D65)+10)&gt;YEAR(E65),1,(12-MONTH(E65)+1)/12))) + (R65)*(IF((YEAR(D65)+10)&lt;YEAR(E65),0,IF((YEAR(D65)+10)&gt;YEAR(E65),1,(12-MONTH(E65)+1)/12))))-(IF(OR(N65="",N65&lt;=0),0,(O65/N65)*(IF(OR(N65="",N65&lt;=0),0,IF((YEAR(D65)+10)&lt;YEAR(E65),0,IF((YEAR(D65)+10)&gt;=YEAR(E65)+N65,0,IF((YEAR(D65)+10)=YEAR(E65),(12-MONTH(E65)+1)/12,1))))))))&gt;0,(((K65)*(IF(M65="",L65,IFERROR(IF(INDEX(Variablen!$I:$AT, MATCH(M65, Variablen!$A:$A, 0), MATCH((YEAR(D65)+10), Variablen!$I$3:$AT$3, 0))="",L65,INDEX(Variablen!$I:$AT, MATCH(M65, Variablen!$A:$A, 0), MATCH((YEAR(D65)+10), Variablen!$I$3:$AT$3, 0))),L65)))*(IF((YEAR(D65)+10)&lt;YEAR(E65),0,IF((YEAR(D65)+10)&gt;YEAR(E65),1,(12-MONTH(E65)+1)/12))) + (Q65)*(IF((YEAR(D65)+10)&lt;YEAR(E65),0,IF((YEAR(D65)+10)&gt;YEAR(E65),1,(12-MONTH(E65)+1)/12))))-((P65)*(IF((YEAR(D65)+10)&lt;YEAR(E65),0,IF((YEAR(D65)+10)&gt;YEAR(E65),1,(12-MONTH(E65)+1)/12))) + (R65)*(IF((YEAR(D65)+10)&lt;YEAR(E65),0,IF((YEAR(D65)+10)&gt;YEAR(E65),1,(12-MONTH(E65)+1)/12))))-(IF(OR(N65="",N65&lt;=0),0,(O65/N65)*(IF(OR(N65="",N65&lt;=0),0,IF((YEAR(D65)+10)&lt;YEAR(E65),0,IF((YEAR(D65)+10)&gt;=YEAR(E65)+N65,0,IF((YEAR(D65)+10)=YEAR(E65),(12-MONTH(E65)+1)/12,1))))))))*TaxRate,0))-IF(10=0,O65,0))</f>
        <v/>
      </c>
      <c r="AD65" s="29">
        <f>IF(A65="","",((K65)*(IF(M65="",L65,IFERROR(IF(INDEX(Variablen!$I:$AT, MATCH(M65, Variablen!$A:$A, 0), MATCH((YEAR(D65)+11), Variablen!$I$3:$AT$3, 0))="",L65,INDEX(Variablen!$I:$AT, MATCH(M65, Variablen!$A:$A, 0), MATCH((YEAR(D65)+11), Variablen!$I$3:$AT$3, 0))),L65)))*(IF((YEAR(D65)+11)&lt;YEAR(E65),0,IF((YEAR(D65)+11)&gt;YEAR(E65),1,(12-MONTH(E65)+1)/12))) + (Q65)*(IF((YEAR(D65)+11)&lt;YEAR(E65),0,IF((YEAR(D65)+11)&gt;YEAR(E65),1,(12-MONTH(E65)+1)/12))))-((P65)*(IF((YEAR(D65)+11)&lt;YEAR(E65),0,IF((YEAR(D65)+11)&gt;YEAR(E65),1,(12-MONTH(E65)+1)/12))) + (R65)*(IF((YEAR(D65)+11)&lt;YEAR(E65),0,IF((YEAR(D65)+11)&gt;YEAR(E65),1,(12-MONTH(E65)+1)/12))))-(IF((((K65)*(IF(M65="",L65,IFERROR(IF(INDEX(Variablen!$I:$AT, MATCH(M65, Variablen!$A:$A, 0), MATCH((YEAR(D65)+11), Variablen!$I$3:$AT$3, 0))="",L65,INDEX(Variablen!$I:$AT, MATCH(M65, Variablen!$A:$A, 0), MATCH((YEAR(D65)+11), Variablen!$I$3:$AT$3, 0))),L65)))*(IF((YEAR(D65)+11)&lt;YEAR(E65),0,IF((YEAR(D65)+11)&gt;YEAR(E65),1,(12-MONTH(E65)+1)/12))) + (Q65)*(IF((YEAR(D65)+11)&lt;YEAR(E65),0,IF((YEAR(D65)+11)&gt;YEAR(E65),1,(12-MONTH(E65)+1)/12))))-((P65)*(IF((YEAR(D65)+11)&lt;YEAR(E65),0,IF((YEAR(D65)+11)&gt;YEAR(E65),1,(12-MONTH(E65)+1)/12))) + (R65)*(IF((YEAR(D65)+11)&lt;YEAR(E65),0,IF((YEAR(D65)+11)&gt;YEAR(E65),1,(12-MONTH(E65)+1)/12))))-(IF(OR(N65="",N65&lt;=0),0,(O65/N65)*(IF(OR(N65="",N65&lt;=0),0,IF((YEAR(D65)+11)&lt;YEAR(E65),0,IF((YEAR(D65)+11)&gt;=YEAR(E65)+N65,0,IF((YEAR(D65)+11)=YEAR(E65),(12-MONTH(E65)+1)/12,1))))))))&gt;0,(((K65)*(IF(M65="",L65,IFERROR(IF(INDEX(Variablen!$I:$AT, MATCH(M65, Variablen!$A:$A, 0), MATCH((YEAR(D65)+11), Variablen!$I$3:$AT$3, 0))="",L65,INDEX(Variablen!$I:$AT, MATCH(M65, Variablen!$A:$A, 0), MATCH((YEAR(D65)+11), Variablen!$I$3:$AT$3, 0))),L65)))*(IF((YEAR(D65)+11)&lt;YEAR(E65),0,IF((YEAR(D65)+11)&gt;YEAR(E65),1,(12-MONTH(E65)+1)/12))) + (Q65)*(IF((YEAR(D65)+11)&lt;YEAR(E65),0,IF((YEAR(D65)+11)&gt;YEAR(E65),1,(12-MONTH(E65)+1)/12))))-((P65)*(IF((YEAR(D65)+11)&lt;YEAR(E65),0,IF((YEAR(D65)+11)&gt;YEAR(E65),1,(12-MONTH(E65)+1)/12))) + (R65)*(IF((YEAR(D65)+11)&lt;YEAR(E65),0,IF((YEAR(D65)+11)&gt;YEAR(E65),1,(12-MONTH(E65)+1)/12))))-(IF(OR(N65="",N65&lt;=0),0,(O65/N65)*(IF(OR(N65="",N65&lt;=0),0,IF((YEAR(D65)+11)&lt;YEAR(E65),0,IF((YEAR(D65)+11)&gt;=YEAR(E65)+N65,0,IF((YEAR(D65)+11)=YEAR(E65),(12-MONTH(E65)+1)/12,1))))))))*TaxRate,0))-IF(11=0,O65,0))</f>
        <v/>
      </c>
      <c r="AE65" s="29">
        <f>IF(A65="","",((K65)*(IF(M65="",L65,IFERROR(IF(INDEX(Variablen!$I:$AT, MATCH(M65, Variablen!$A:$A, 0), MATCH((YEAR(D65)+12), Variablen!$I$3:$AT$3, 0))="",L65,INDEX(Variablen!$I:$AT, MATCH(M65, Variablen!$A:$A, 0), MATCH((YEAR(D65)+12), Variablen!$I$3:$AT$3, 0))),L65)))*(IF((YEAR(D65)+12)&lt;YEAR(E65),0,IF((YEAR(D65)+12)&gt;YEAR(E65),1,(12-MONTH(E65)+1)/12))) + (Q65)*(IF((YEAR(D65)+12)&lt;YEAR(E65),0,IF((YEAR(D65)+12)&gt;YEAR(E65),1,(12-MONTH(E65)+1)/12))))-((P65)*(IF((YEAR(D65)+12)&lt;YEAR(E65),0,IF((YEAR(D65)+12)&gt;YEAR(E65),1,(12-MONTH(E65)+1)/12))) + (R65)*(IF((YEAR(D65)+12)&lt;YEAR(E65),0,IF((YEAR(D65)+12)&gt;YEAR(E65),1,(12-MONTH(E65)+1)/12))))-(IF((((K65)*(IF(M65="",L65,IFERROR(IF(INDEX(Variablen!$I:$AT, MATCH(M65, Variablen!$A:$A, 0), MATCH((YEAR(D65)+12), Variablen!$I$3:$AT$3, 0))="",L65,INDEX(Variablen!$I:$AT, MATCH(M65, Variablen!$A:$A, 0), MATCH((YEAR(D65)+12), Variablen!$I$3:$AT$3, 0))),L65)))*(IF((YEAR(D65)+12)&lt;YEAR(E65),0,IF((YEAR(D65)+12)&gt;YEAR(E65),1,(12-MONTH(E65)+1)/12))) + (Q65)*(IF((YEAR(D65)+12)&lt;YEAR(E65),0,IF((YEAR(D65)+12)&gt;YEAR(E65),1,(12-MONTH(E65)+1)/12))))-((P65)*(IF((YEAR(D65)+12)&lt;YEAR(E65),0,IF((YEAR(D65)+12)&gt;YEAR(E65),1,(12-MONTH(E65)+1)/12))) + (R65)*(IF((YEAR(D65)+12)&lt;YEAR(E65),0,IF((YEAR(D65)+12)&gt;YEAR(E65),1,(12-MONTH(E65)+1)/12))))-(IF(OR(N65="",N65&lt;=0),0,(O65/N65)*(IF(OR(N65="",N65&lt;=0),0,IF((YEAR(D65)+12)&lt;YEAR(E65),0,IF((YEAR(D65)+12)&gt;=YEAR(E65)+N65,0,IF((YEAR(D65)+12)=YEAR(E65),(12-MONTH(E65)+1)/12,1))))))))&gt;0,(((K65)*(IF(M65="",L65,IFERROR(IF(INDEX(Variablen!$I:$AT, MATCH(M65, Variablen!$A:$A, 0), MATCH((YEAR(D65)+12), Variablen!$I$3:$AT$3, 0))="",L65,INDEX(Variablen!$I:$AT, MATCH(M65, Variablen!$A:$A, 0), MATCH((YEAR(D65)+12), Variablen!$I$3:$AT$3, 0))),L65)))*(IF((YEAR(D65)+12)&lt;YEAR(E65),0,IF((YEAR(D65)+12)&gt;YEAR(E65),1,(12-MONTH(E65)+1)/12))) + (Q65)*(IF((YEAR(D65)+12)&lt;YEAR(E65),0,IF((YEAR(D65)+12)&gt;YEAR(E65),1,(12-MONTH(E65)+1)/12))))-((P65)*(IF((YEAR(D65)+12)&lt;YEAR(E65),0,IF((YEAR(D65)+12)&gt;YEAR(E65),1,(12-MONTH(E65)+1)/12))) + (R65)*(IF((YEAR(D65)+12)&lt;YEAR(E65),0,IF((YEAR(D65)+12)&gt;YEAR(E65),1,(12-MONTH(E65)+1)/12))))-(IF(OR(N65="",N65&lt;=0),0,(O65/N65)*(IF(OR(N65="",N65&lt;=0),0,IF((YEAR(D65)+12)&lt;YEAR(E65),0,IF((YEAR(D65)+12)&gt;=YEAR(E65)+N65,0,IF((YEAR(D65)+12)=YEAR(E65),(12-MONTH(E65)+1)/12,1))))))))*TaxRate,0))-IF(12=0,O65,0))</f>
        <v/>
      </c>
      <c r="AF65" s="29">
        <f>IF(A65="","",((K65)*(IF(M65="",L65,IFERROR(IF(INDEX(Variablen!$I:$AT, MATCH(M65, Variablen!$A:$A, 0), MATCH((YEAR(D65)+13), Variablen!$I$3:$AT$3, 0))="",L65,INDEX(Variablen!$I:$AT, MATCH(M65, Variablen!$A:$A, 0), MATCH((YEAR(D65)+13), Variablen!$I$3:$AT$3, 0))),L65)))*(IF((YEAR(D65)+13)&lt;YEAR(E65),0,IF((YEAR(D65)+13)&gt;YEAR(E65),1,(12-MONTH(E65)+1)/12))) + (Q65)*(IF((YEAR(D65)+13)&lt;YEAR(E65),0,IF((YEAR(D65)+13)&gt;YEAR(E65),1,(12-MONTH(E65)+1)/12))))-((P65)*(IF((YEAR(D65)+13)&lt;YEAR(E65),0,IF((YEAR(D65)+13)&gt;YEAR(E65),1,(12-MONTH(E65)+1)/12))) + (R65)*(IF((YEAR(D65)+13)&lt;YEAR(E65),0,IF((YEAR(D65)+13)&gt;YEAR(E65),1,(12-MONTH(E65)+1)/12))))-(IF((((K65)*(IF(M65="",L65,IFERROR(IF(INDEX(Variablen!$I:$AT, MATCH(M65, Variablen!$A:$A, 0), MATCH((YEAR(D65)+13), Variablen!$I$3:$AT$3, 0))="",L65,INDEX(Variablen!$I:$AT, MATCH(M65, Variablen!$A:$A, 0), MATCH((YEAR(D65)+13), Variablen!$I$3:$AT$3, 0))),L65)))*(IF((YEAR(D65)+13)&lt;YEAR(E65),0,IF((YEAR(D65)+13)&gt;YEAR(E65),1,(12-MONTH(E65)+1)/12))) + (Q65)*(IF((YEAR(D65)+13)&lt;YEAR(E65),0,IF((YEAR(D65)+13)&gt;YEAR(E65),1,(12-MONTH(E65)+1)/12))))-((P65)*(IF((YEAR(D65)+13)&lt;YEAR(E65),0,IF((YEAR(D65)+13)&gt;YEAR(E65),1,(12-MONTH(E65)+1)/12))) + (R65)*(IF((YEAR(D65)+13)&lt;YEAR(E65),0,IF((YEAR(D65)+13)&gt;YEAR(E65),1,(12-MONTH(E65)+1)/12))))-(IF(OR(N65="",N65&lt;=0),0,(O65/N65)*(IF(OR(N65="",N65&lt;=0),0,IF((YEAR(D65)+13)&lt;YEAR(E65),0,IF((YEAR(D65)+13)&gt;=YEAR(E65)+N65,0,IF((YEAR(D65)+13)=YEAR(E65),(12-MONTH(E65)+1)/12,1))))))))&gt;0,(((K65)*(IF(M65="",L65,IFERROR(IF(INDEX(Variablen!$I:$AT, MATCH(M65, Variablen!$A:$A, 0), MATCH((YEAR(D65)+13), Variablen!$I$3:$AT$3, 0))="",L65,INDEX(Variablen!$I:$AT, MATCH(M65, Variablen!$A:$A, 0), MATCH((YEAR(D65)+13), Variablen!$I$3:$AT$3, 0))),L65)))*(IF((YEAR(D65)+13)&lt;YEAR(E65),0,IF((YEAR(D65)+13)&gt;YEAR(E65),1,(12-MONTH(E65)+1)/12))) + (Q65)*(IF((YEAR(D65)+13)&lt;YEAR(E65),0,IF((YEAR(D65)+13)&gt;YEAR(E65),1,(12-MONTH(E65)+1)/12))))-((P65)*(IF((YEAR(D65)+13)&lt;YEAR(E65),0,IF((YEAR(D65)+13)&gt;YEAR(E65),1,(12-MONTH(E65)+1)/12))) + (R65)*(IF((YEAR(D65)+13)&lt;YEAR(E65),0,IF((YEAR(D65)+13)&gt;YEAR(E65),1,(12-MONTH(E65)+1)/12))))-(IF(OR(N65="",N65&lt;=0),0,(O65/N65)*(IF(OR(N65="",N65&lt;=0),0,IF((YEAR(D65)+13)&lt;YEAR(E65),0,IF((YEAR(D65)+13)&gt;=YEAR(E65)+N65,0,IF((YEAR(D65)+13)=YEAR(E65),(12-MONTH(E65)+1)/12,1))))))))*TaxRate,0))-IF(13=0,O65,0))</f>
        <v/>
      </c>
      <c r="AG65" s="29">
        <f>IF(A65="","",((K65)*(IF(M65="",L65,IFERROR(IF(INDEX(Variablen!$I:$AT, MATCH(M65, Variablen!$A:$A, 0), MATCH((YEAR(D65)+14), Variablen!$I$3:$AT$3, 0))="",L65,INDEX(Variablen!$I:$AT, MATCH(M65, Variablen!$A:$A, 0), MATCH((YEAR(D65)+14), Variablen!$I$3:$AT$3, 0))),L65)))*(IF((YEAR(D65)+14)&lt;YEAR(E65),0,IF((YEAR(D65)+14)&gt;YEAR(E65),1,(12-MONTH(E65)+1)/12))) + (Q65)*(IF((YEAR(D65)+14)&lt;YEAR(E65),0,IF((YEAR(D65)+14)&gt;YEAR(E65),1,(12-MONTH(E65)+1)/12))))-((P65)*(IF((YEAR(D65)+14)&lt;YEAR(E65),0,IF((YEAR(D65)+14)&gt;YEAR(E65),1,(12-MONTH(E65)+1)/12))) + (R65)*(IF((YEAR(D65)+14)&lt;YEAR(E65),0,IF((YEAR(D65)+14)&gt;YEAR(E65),1,(12-MONTH(E65)+1)/12))))-(IF((((K65)*(IF(M65="",L65,IFERROR(IF(INDEX(Variablen!$I:$AT, MATCH(M65, Variablen!$A:$A, 0), MATCH((YEAR(D65)+14), Variablen!$I$3:$AT$3, 0))="",L65,INDEX(Variablen!$I:$AT, MATCH(M65, Variablen!$A:$A, 0), MATCH((YEAR(D65)+14), Variablen!$I$3:$AT$3, 0))),L65)))*(IF((YEAR(D65)+14)&lt;YEAR(E65),0,IF((YEAR(D65)+14)&gt;YEAR(E65),1,(12-MONTH(E65)+1)/12))) + (Q65)*(IF((YEAR(D65)+14)&lt;YEAR(E65),0,IF((YEAR(D65)+14)&gt;YEAR(E65),1,(12-MONTH(E65)+1)/12))))-((P65)*(IF((YEAR(D65)+14)&lt;YEAR(E65),0,IF((YEAR(D65)+14)&gt;YEAR(E65),1,(12-MONTH(E65)+1)/12))) + (R65)*(IF((YEAR(D65)+14)&lt;YEAR(E65),0,IF((YEAR(D65)+14)&gt;YEAR(E65),1,(12-MONTH(E65)+1)/12))))-(IF(OR(N65="",N65&lt;=0),0,(O65/N65)*(IF(OR(N65="",N65&lt;=0),0,IF((YEAR(D65)+14)&lt;YEAR(E65),0,IF((YEAR(D65)+14)&gt;=YEAR(E65)+N65,0,IF((YEAR(D65)+14)=YEAR(E65),(12-MONTH(E65)+1)/12,1))))))))&gt;0,(((K65)*(IF(M65="",L65,IFERROR(IF(INDEX(Variablen!$I:$AT, MATCH(M65, Variablen!$A:$A, 0), MATCH((YEAR(D65)+14), Variablen!$I$3:$AT$3, 0))="",L65,INDEX(Variablen!$I:$AT, MATCH(M65, Variablen!$A:$A, 0), MATCH((YEAR(D65)+14), Variablen!$I$3:$AT$3, 0))),L65)))*(IF((YEAR(D65)+14)&lt;YEAR(E65),0,IF((YEAR(D65)+14)&gt;YEAR(E65),1,(12-MONTH(E65)+1)/12))) + (Q65)*(IF((YEAR(D65)+14)&lt;YEAR(E65),0,IF((YEAR(D65)+14)&gt;YEAR(E65),1,(12-MONTH(E65)+1)/12))))-((P65)*(IF((YEAR(D65)+14)&lt;YEAR(E65),0,IF((YEAR(D65)+14)&gt;YEAR(E65),1,(12-MONTH(E65)+1)/12))) + (R65)*(IF((YEAR(D65)+14)&lt;YEAR(E65),0,IF((YEAR(D65)+14)&gt;YEAR(E65),1,(12-MONTH(E65)+1)/12))))-(IF(OR(N65="",N65&lt;=0),0,(O65/N65)*(IF(OR(N65="",N65&lt;=0),0,IF((YEAR(D65)+14)&lt;YEAR(E65),0,IF((YEAR(D65)+14)&gt;=YEAR(E65)+N65,0,IF((YEAR(D65)+14)=YEAR(E65),(12-MONTH(E65)+1)/12,1))))))))*TaxRate,0))-IF(14=0,O65,0))</f>
        <v/>
      </c>
      <c r="AH65" s="29">
        <f>IF(A65="","",((K65)*(IF(M65="",L65,IFERROR(IF(INDEX(Variablen!$I:$AT, MATCH(M65, Variablen!$A:$A, 0), MATCH((YEAR(D65)+15), Variablen!$I$3:$AT$3, 0))="",L65,INDEX(Variablen!$I:$AT, MATCH(M65, Variablen!$A:$A, 0), MATCH((YEAR(D65)+15), Variablen!$I$3:$AT$3, 0))),L65)))*(IF((YEAR(D65)+15)&lt;YEAR(E65),0,IF((YEAR(D65)+15)&gt;YEAR(E65),1,(12-MONTH(E65)+1)/12))) + (Q65)*(IF((YEAR(D65)+15)&lt;YEAR(E65),0,IF((YEAR(D65)+15)&gt;YEAR(E65),1,(12-MONTH(E65)+1)/12))))-((P65)*(IF((YEAR(D65)+15)&lt;YEAR(E65),0,IF((YEAR(D65)+15)&gt;YEAR(E65),1,(12-MONTH(E65)+1)/12))) + (R65)*(IF((YEAR(D65)+15)&lt;YEAR(E65),0,IF((YEAR(D65)+15)&gt;YEAR(E65),1,(12-MONTH(E65)+1)/12))))-(IF((((K65)*(IF(M65="",L65,IFERROR(IF(INDEX(Variablen!$I:$AT, MATCH(M65, Variablen!$A:$A, 0), MATCH((YEAR(D65)+15), Variablen!$I$3:$AT$3, 0))="",L65,INDEX(Variablen!$I:$AT, MATCH(M65, Variablen!$A:$A, 0), MATCH((YEAR(D65)+15), Variablen!$I$3:$AT$3, 0))),L65)))*(IF((YEAR(D65)+15)&lt;YEAR(E65),0,IF((YEAR(D65)+15)&gt;YEAR(E65),1,(12-MONTH(E65)+1)/12))) + (Q65)*(IF((YEAR(D65)+15)&lt;YEAR(E65),0,IF((YEAR(D65)+15)&gt;YEAR(E65),1,(12-MONTH(E65)+1)/12))))-((P65)*(IF((YEAR(D65)+15)&lt;YEAR(E65),0,IF((YEAR(D65)+15)&gt;YEAR(E65),1,(12-MONTH(E65)+1)/12))) + (R65)*(IF((YEAR(D65)+15)&lt;YEAR(E65),0,IF((YEAR(D65)+15)&gt;YEAR(E65),1,(12-MONTH(E65)+1)/12))))-(IF(OR(N65="",N65&lt;=0),0,(O65/N65)*(IF(OR(N65="",N65&lt;=0),0,IF((YEAR(D65)+15)&lt;YEAR(E65),0,IF((YEAR(D65)+15)&gt;=YEAR(E65)+N65,0,IF((YEAR(D65)+15)=YEAR(E65),(12-MONTH(E65)+1)/12,1))))))))&gt;0,(((K65)*(IF(M65="",L65,IFERROR(IF(INDEX(Variablen!$I:$AT, MATCH(M65, Variablen!$A:$A, 0), MATCH((YEAR(D65)+15), Variablen!$I$3:$AT$3, 0))="",L65,INDEX(Variablen!$I:$AT, MATCH(M65, Variablen!$A:$A, 0), MATCH((YEAR(D65)+15), Variablen!$I$3:$AT$3, 0))),L65)))*(IF((YEAR(D65)+15)&lt;YEAR(E65),0,IF((YEAR(D65)+15)&gt;YEAR(E65),1,(12-MONTH(E65)+1)/12))) + (Q65)*(IF((YEAR(D65)+15)&lt;YEAR(E65),0,IF((YEAR(D65)+15)&gt;YEAR(E65),1,(12-MONTH(E65)+1)/12))))-((P65)*(IF((YEAR(D65)+15)&lt;YEAR(E65),0,IF((YEAR(D65)+15)&gt;YEAR(E65),1,(12-MONTH(E65)+1)/12))) + (R65)*(IF((YEAR(D65)+15)&lt;YEAR(E65),0,IF((YEAR(D65)+15)&gt;YEAR(E65),1,(12-MONTH(E65)+1)/12))))-(IF(OR(N65="",N65&lt;=0),0,(O65/N65)*(IF(OR(N65="",N65&lt;=0),0,IF((YEAR(D65)+15)&lt;YEAR(E65),0,IF((YEAR(D65)+15)&gt;=YEAR(E65)+N65,0,IF((YEAR(D65)+15)=YEAR(E65),(12-MONTH(E65)+1)/12,1))))))))*TaxRate,0))-IF(15=0,O65,0))</f>
        <v/>
      </c>
      <c r="AI65" s="29">
        <f>IF(A65="","",((K65)*(IF(M65="",L65,IFERROR(IF(INDEX(Variablen!$I:$AT, MATCH(M65, Variablen!$A:$A, 0), MATCH((YEAR(D65)+16), Variablen!$I$3:$AT$3, 0))="",L65,INDEX(Variablen!$I:$AT, MATCH(M65, Variablen!$A:$A, 0), MATCH((YEAR(D65)+16), Variablen!$I$3:$AT$3, 0))),L65)))*(IF((YEAR(D65)+16)&lt;YEAR(E65),0,IF((YEAR(D65)+16)&gt;YEAR(E65),1,(12-MONTH(E65)+1)/12))) + (Q65)*(IF((YEAR(D65)+16)&lt;YEAR(E65),0,IF((YEAR(D65)+16)&gt;YEAR(E65),1,(12-MONTH(E65)+1)/12))))-((P65)*(IF((YEAR(D65)+16)&lt;YEAR(E65),0,IF((YEAR(D65)+16)&gt;YEAR(E65),1,(12-MONTH(E65)+1)/12))) + (R65)*(IF((YEAR(D65)+16)&lt;YEAR(E65),0,IF((YEAR(D65)+16)&gt;YEAR(E65),1,(12-MONTH(E65)+1)/12))))-(IF((((K65)*(IF(M65="",L65,IFERROR(IF(INDEX(Variablen!$I:$AT, MATCH(M65, Variablen!$A:$A, 0), MATCH((YEAR(D65)+16), Variablen!$I$3:$AT$3, 0))="",L65,INDEX(Variablen!$I:$AT, MATCH(M65, Variablen!$A:$A, 0), MATCH((YEAR(D65)+16), Variablen!$I$3:$AT$3, 0))),L65)))*(IF((YEAR(D65)+16)&lt;YEAR(E65),0,IF((YEAR(D65)+16)&gt;YEAR(E65),1,(12-MONTH(E65)+1)/12))) + (Q65)*(IF((YEAR(D65)+16)&lt;YEAR(E65),0,IF((YEAR(D65)+16)&gt;YEAR(E65),1,(12-MONTH(E65)+1)/12))))-((P65)*(IF((YEAR(D65)+16)&lt;YEAR(E65),0,IF((YEAR(D65)+16)&gt;YEAR(E65),1,(12-MONTH(E65)+1)/12))) + (R65)*(IF((YEAR(D65)+16)&lt;YEAR(E65),0,IF((YEAR(D65)+16)&gt;YEAR(E65),1,(12-MONTH(E65)+1)/12))))-(IF(OR(N65="",N65&lt;=0),0,(O65/N65)*(IF(OR(N65="",N65&lt;=0),0,IF((YEAR(D65)+16)&lt;YEAR(E65),0,IF((YEAR(D65)+16)&gt;=YEAR(E65)+N65,0,IF((YEAR(D65)+16)=YEAR(E65),(12-MONTH(E65)+1)/12,1))))))))&gt;0,(((K65)*(IF(M65="",L65,IFERROR(IF(INDEX(Variablen!$I:$AT, MATCH(M65, Variablen!$A:$A, 0), MATCH((YEAR(D65)+16), Variablen!$I$3:$AT$3, 0))="",L65,INDEX(Variablen!$I:$AT, MATCH(M65, Variablen!$A:$A, 0), MATCH((YEAR(D65)+16), Variablen!$I$3:$AT$3, 0))),L65)))*(IF((YEAR(D65)+16)&lt;YEAR(E65),0,IF((YEAR(D65)+16)&gt;YEAR(E65),1,(12-MONTH(E65)+1)/12))) + (Q65)*(IF((YEAR(D65)+16)&lt;YEAR(E65),0,IF((YEAR(D65)+16)&gt;YEAR(E65),1,(12-MONTH(E65)+1)/12))))-((P65)*(IF((YEAR(D65)+16)&lt;YEAR(E65),0,IF((YEAR(D65)+16)&gt;YEAR(E65),1,(12-MONTH(E65)+1)/12))) + (R65)*(IF((YEAR(D65)+16)&lt;YEAR(E65),0,IF((YEAR(D65)+16)&gt;YEAR(E65),1,(12-MONTH(E65)+1)/12))))-(IF(OR(N65="",N65&lt;=0),0,(O65/N65)*(IF(OR(N65="",N65&lt;=0),0,IF((YEAR(D65)+16)&lt;YEAR(E65),0,IF((YEAR(D65)+16)&gt;=YEAR(E65)+N65,0,IF((YEAR(D65)+16)=YEAR(E65),(12-MONTH(E65)+1)/12,1))))))))*TaxRate,0))-IF(16=0,O65,0))</f>
        <v/>
      </c>
      <c r="AJ65" s="29">
        <f>IF(A65="","",((K65)*(IF(M65="",L65,IFERROR(IF(INDEX(Variablen!$I:$AT, MATCH(M65, Variablen!$A:$A, 0), MATCH((YEAR(D65)+17), Variablen!$I$3:$AT$3, 0))="",L65,INDEX(Variablen!$I:$AT, MATCH(M65, Variablen!$A:$A, 0), MATCH((YEAR(D65)+17), Variablen!$I$3:$AT$3, 0))),L65)))*(IF((YEAR(D65)+17)&lt;YEAR(E65),0,IF((YEAR(D65)+17)&gt;YEAR(E65),1,(12-MONTH(E65)+1)/12))) + (Q65)*(IF((YEAR(D65)+17)&lt;YEAR(E65),0,IF((YEAR(D65)+17)&gt;YEAR(E65),1,(12-MONTH(E65)+1)/12))))-((P65)*(IF((YEAR(D65)+17)&lt;YEAR(E65),0,IF((YEAR(D65)+17)&gt;YEAR(E65),1,(12-MONTH(E65)+1)/12))) + (R65)*(IF((YEAR(D65)+17)&lt;YEAR(E65),0,IF((YEAR(D65)+17)&gt;YEAR(E65),1,(12-MONTH(E65)+1)/12))))-(IF((((K65)*(IF(M65="",L65,IFERROR(IF(INDEX(Variablen!$I:$AT, MATCH(M65, Variablen!$A:$A, 0), MATCH((YEAR(D65)+17), Variablen!$I$3:$AT$3, 0))="",L65,INDEX(Variablen!$I:$AT, MATCH(M65, Variablen!$A:$A, 0), MATCH((YEAR(D65)+17), Variablen!$I$3:$AT$3, 0))),L65)))*(IF((YEAR(D65)+17)&lt;YEAR(E65),0,IF((YEAR(D65)+17)&gt;YEAR(E65),1,(12-MONTH(E65)+1)/12))) + (Q65)*(IF((YEAR(D65)+17)&lt;YEAR(E65),0,IF((YEAR(D65)+17)&gt;YEAR(E65),1,(12-MONTH(E65)+1)/12))))-((P65)*(IF((YEAR(D65)+17)&lt;YEAR(E65),0,IF((YEAR(D65)+17)&gt;YEAR(E65),1,(12-MONTH(E65)+1)/12))) + (R65)*(IF((YEAR(D65)+17)&lt;YEAR(E65),0,IF((YEAR(D65)+17)&gt;YEAR(E65),1,(12-MONTH(E65)+1)/12))))-(IF(OR(N65="",N65&lt;=0),0,(O65/N65)*(IF(OR(N65="",N65&lt;=0),0,IF((YEAR(D65)+17)&lt;YEAR(E65),0,IF((YEAR(D65)+17)&gt;=YEAR(E65)+N65,0,IF((YEAR(D65)+17)=YEAR(E65),(12-MONTH(E65)+1)/12,1))))))))&gt;0,(((K65)*(IF(M65="",L65,IFERROR(IF(INDEX(Variablen!$I:$AT, MATCH(M65, Variablen!$A:$A, 0), MATCH((YEAR(D65)+17), Variablen!$I$3:$AT$3, 0))="",L65,INDEX(Variablen!$I:$AT, MATCH(M65, Variablen!$A:$A, 0), MATCH((YEAR(D65)+17), Variablen!$I$3:$AT$3, 0))),L65)))*(IF((YEAR(D65)+17)&lt;YEAR(E65),0,IF((YEAR(D65)+17)&gt;YEAR(E65),1,(12-MONTH(E65)+1)/12))) + (Q65)*(IF((YEAR(D65)+17)&lt;YEAR(E65),0,IF((YEAR(D65)+17)&gt;YEAR(E65),1,(12-MONTH(E65)+1)/12))))-((P65)*(IF((YEAR(D65)+17)&lt;YEAR(E65),0,IF((YEAR(D65)+17)&gt;YEAR(E65),1,(12-MONTH(E65)+1)/12))) + (R65)*(IF((YEAR(D65)+17)&lt;YEAR(E65),0,IF((YEAR(D65)+17)&gt;YEAR(E65),1,(12-MONTH(E65)+1)/12))))-(IF(OR(N65="",N65&lt;=0),0,(O65/N65)*(IF(OR(N65="",N65&lt;=0),0,IF((YEAR(D65)+17)&lt;YEAR(E65),0,IF((YEAR(D65)+17)&gt;=YEAR(E65)+N65,0,IF((YEAR(D65)+17)=YEAR(E65),(12-MONTH(E65)+1)/12,1))))))))*TaxRate,0))-IF(17=0,O65,0))</f>
        <v/>
      </c>
      <c r="AK65" s="29">
        <f>IF(A65="","",((K65)*(IF(M65="",L65,IFERROR(IF(INDEX(Variablen!$I:$AT, MATCH(M65, Variablen!$A:$A, 0), MATCH((YEAR(D65)+18), Variablen!$I$3:$AT$3, 0))="",L65,INDEX(Variablen!$I:$AT, MATCH(M65, Variablen!$A:$A, 0), MATCH((YEAR(D65)+18), Variablen!$I$3:$AT$3, 0))),L65)))*(IF((YEAR(D65)+18)&lt;YEAR(E65),0,IF((YEAR(D65)+18)&gt;YEAR(E65),1,(12-MONTH(E65)+1)/12))) + (Q65)*(IF((YEAR(D65)+18)&lt;YEAR(E65),0,IF((YEAR(D65)+18)&gt;YEAR(E65),1,(12-MONTH(E65)+1)/12))))-((P65)*(IF((YEAR(D65)+18)&lt;YEAR(E65),0,IF((YEAR(D65)+18)&gt;YEAR(E65),1,(12-MONTH(E65)+1)/12))) + (R65)*(IF((YEAR(D65)+18)&lt;YEAR(E65),0,IF((YEAR(D65)+18)&gt;YEAR(E65),1,(12-MONTH(E65)+1)/12))))-(IF((((K65)*(IF(M65="",L65,IFERROR(IF(INDEX(Variablen!$I:$AT, MATCH(M65, Variablen!$A:$A, 0), MATCH((YEAR(D65)+18), Variablen!$I$3:$AT$3, 0))="",L65,INDEX(Variablen!$I:$AT, MATCH(M65, Variablen!$A:$A, 0), MATCH((YEAR(D65)+18), Variablen!$I$3:$AT$3, 0))),L65)))*(IF((YEAR(D65)+18)&lt;YEAR(E65),0,IF((YEAR(D65)+18)&gt;YEAR(E65),1,(12-MONTH(E65)+1)/12))) + (Q65)*(IF((YEAR(D65)+18)&lt;YEAR(E65),0,IF((YEAR(D65)+18)&gt;YEAR(E65),1,(12-MONTH(E65)+1)/12))))-((P65)*(IF((YEAR(D65)+18)&lt;YEAR(E65),0,IF((YEAR(D65)+18)&gt;YEAR(E65),1,(12-MONTH(E65)+1)/12))) + (R65)*(IF((YEAR(D65)+18)&lt;YEAR(E65),0,IF((YEAR(D65)+18)&gt;YEAR(E65),1,(12-MONTH(E65)+1)/12))))-(IF(OR(N65="",N65&lt;=0),0,(O65/N65)*(IF(OR(N65="",N65&lt;=0),0,IF((YEAR(D65)+18)&lt;YEAR(E65),0,IF((YEAR(D65)+18)&gt;=YEAR(E65)+N65,0,IF((YEAR(D65)+18)=YEAR(E65),(12-MONTH(E65)+1)/12,1))))))))&gt;0,(((K65)*(IF(M65="",L65,IFERROR(IF(INDEX(Variablen!$I:$AT, MATCH(M65, Variablen!$A:$A, 0), MATCH((YEAR(D65)+18), Variablen!$I$3:$AT$3, 0))="",L65,INDEX(Variablen!$I:$AT, MATCH(M65, Variablen!$A:$A, 0), MATCH((YEAR(D65)+18), Variablen!$I$3:$AT$3, 0))),L65)))*(IF((YEAR(D65)+18)&lt;YEAR(E65),0,IF((YEAR(D65)+18)&gt;YEAR(E65),1,(12-MONTH(E65)+1)/12))) + (Q65)*(IF((YEAR(D65)+18)&lt;YEAR(E65),0,IF((YEAR(D65)+18)&gt;YEAR(E65),1,(12-MONTH(E65)+1)/12))))-((P65)*(IF((YEAR(D65)+18)&lt;YEAR(E65),0,IF((YEAR(D65)+18)&gt;YEAR(E65),1,(12-MONTH(E65)+1)/12))) + (R65)*(IF((YEAR(D65)+18)&lt;YEAR(E65),0,IF((YEAR(D65)+18)&gt;YEAR(E65),1,(12-MONTH(E65)+1)/12))))-(IF(OR(N65="",N65&lt;=0),0,(O65/N65)*(IF(OR(N65="",N65&lt;=0),0,IF((YEAR(D65)+18)&lt;YEAR(E65),0,IF((YEAR(D65)+18)&gt;=YEAR(E65)+N65,0,IF((YEAR(D65)+18)=YEAR(E65),(12-MONTH(E65)+1)/12,1))))))))*TaxRate,0))-IF(18=0,O65,0))</f>
        <v/>
      </c>
      <c r="AL65" s="29">
        <f>IF(A65="","",((K65)*(IF(M65="",L65,IFERROR(IF(INDEX(Variablen!$I:$AT, MATCH(M65, Variablen!$A:$A, 0), MATCH((YEAR(D65)+19), Variablen!$I$3:$AT$3, 0))="",L65,INDEX(Variablen!$I:$AT, MATCH(M65, Variablen!$A:$A, 0), MATCH((YEAR(D65)+19), Variablen!$I$3:$AT$3, 0))),L65)))*(IF((YEAR(D65)+19)&lt;YEAR(E65),0,IF((YEAR(D65)+19)&gt;YEAR(E65),1,(12-MONTH(E65)+1)/12))) + (Q65)*(IF((YEAR(D65)+19)&lt;YEAR(E65),0,IF((YEAR(D65)+19)&gt;YEAR(E65),1,(12-MONTH(E65)+1)/12))))-((P65)*(IF((YEAR(D65)+19)&lt;YEAR(E65),0,IF((YEAR(D65)+19)&gt;YEAR(E65),1,(12-MONTH(E65)+1)/12))) + (R65)*(IF((YEAR(D65)+19)&lt;YEAR(E65),0,IF((YEAR(D65)+19)&gt;YEAR(E65),1,(12-MONTH(E65)+1)/12))))-(IF((((K65)*(IF(M65="",L65,IFERROR(IF(INDEX(Variablen!$I:$AT, MATCH(M65, Variablen!$A:$A, 0), MATCH((YEAR(D65)+19), Variablen!$I$3:$AT$3, 0))="",L65,INDEX(Variablen!$I:$AT, MATCH(M65, Variablen!$A:$A, 0), MATCH((YEAR(D65)+19), Variablen!$I$3:$AT$3, 0))),L65)))*(IF((YEAR(D65)+19)&lt;YEAR(E65),0,IF((YEAR(D65)+19)&gt;YEAR(E65),1,(12-MONTH(E65)+1)/12))) + (Q65)*(IF((YEAR(D65)+19)&lt;YEAR(E65),0,IF((YEAR(D65)+19)&gt;YEAR(E65),1,(12-MONTH(E65)+1)/12))))-((P65)*(IF((YEAR(D65)+19)&lt;YEAR(E65),0,IF((YEAR(D65)+19)&gt;YEAR(E65),1,(12-MONTH(E65)+1)/12))) + (R65)*(IF((YEAR(D65)+19)&lt;YEAR(E65),0,IF((YEAR(D65)+19)&gt;YEAR(E65),1,(12-MONTH(E65)+1)/12))))-(IF(OR(N65="",N65&lt;=0),0,(O65/N65)*(IF(OR(N65="",N65&lt;=0),0,IF((YEAR(D65)+19)&lt;YEAR(E65),0,IF((YEAR(D65)+19)&gt;=YEAR(E65)+N65,0,IF((YEAR(D65)+19)=YEAR(E65),(12-MONTH(E65)+1)/12,1))))))))&gt;0,(((K65)*(IF(M65="",L65,IFERROR(IF(INDEX(Variablen!$I:$AT, MATCH(M65, Variablen!$A:$A, 0), MATCH((YEAR(D65)+19), Variablen!$I$3:$AT$3, 0))="",L65,INDEX(Variablen!$I:$AT, MATCH(M65, Variablen!$A:$A, 0), MATCH((YEAR(D65)+19), Variablen!$I$3:$AT$3, 0))),L65)))*(IF((YEAR(D65)+19)&lt;YEAR(E65),0,IF((YEAR(D65)+19)&gt;YEAR(E65),1,(12-MONTH(E65)+1)/12))) + (Q65)*(IF((YEAR(D65)+19)&lt;YEAR(E65),0,IF((YEAR(D65)+19)&gt;YEAR(E65),1,(12-MONTH(E65)+1)/12))))-((P65)*(IF((YEAR(D65)+19)&lt;YEAR(E65),0,IF((YEAR(D65)+19)&gt;YEAR(E65),1,(12-MONTH(E65)+1)/12))) + (R65)*(IF((YEAR(D65)+19)&lt;YEAR(E65),0,IF((YEAR(D65)+19)&gt;YEAR(E65),1,(12-MONTH(E65)+1)/12))))-(IF(OR(N65="",N65&lt;=0),0,(O65/N65)*(IF(OR(N65="",N65&lt;=0),0,IF((YEAR(D65)+19)&lt;YEAR(E65),0,IF((YEAR(D65)+19)&gt;=YEAR(E65)+N65,0,IF((YEAR(D65)+19)=YEAR(E65),(12-MONTH(E65)+1)/12,1))))))))*TaxRate,0))-IF(19=0,O65,0))</f>
        <v/>
      </c>
      <c r="AM65" s="29">
        <f>IF(A65="","",((K65)*(IF(M65="",L65,IFERROR(IF(INDEX(Variablen!$I:$AT, MATCH(M65, Variablen!$A:$A, 0), MATCH((YEAR(D65)+20), Variablen!$I$3:$AT$3, 0))="",L65,INDEX(Variablen!$I:$AT, MATCH(M65, Variablen!$A:$A, 0), MATCH((YEAR(D65)+20), Variablen!$I$3:$AT$3, 0))),L65)))*(IF((YEAR(D65)+20)&lt;YEAR(E65),0,IF((YEAR(D65)+20)&gt;YEAR(E65),1,(12-MONTH(E65)+1)/12))) + (Q65)*(IF((YEAR(D65)+20)&lt;YEAR(E65),0,IF((YEAR(D65)+20)&gt;YEAR(E65),1,(12-MONTH(E65)+1)/12))))-((P65)*(IF((YEAR(D65)+20)&lt;YEAR(E65),0,IF((YEAR(D65)+20)&gt;YEAR(E65),1,(12-MONTH(E65)+1)/12))) + (R65)*(IF((YEAR(D65)+20)&lt;YEAR(E65),0,IF((YEAR(D65)+20)&gt;YEAR(E65),1,(12-MONTH(E65)+1)/12))))-(IF((((K65)*(IF(M65="",L65,IFERROR(IF(INDEX(Variablen!$I:$AT, MATCH(M65, Variablen!$A:$A, 0), MATCH((YEAR(D65)+20), Variablen!$I$3:$AT$3, 0))="",L65,INDEX(Variablen!$I:$AT, MATCH(M65, Variablen!$A:$A, 0), MATCH((YEAR(D65)+20), Variablen!$I$3:$AT$3, 0))),L65)))*(IF((YEAR(D65)+20)&lt;YEAR(E65),0,IF((YEAR(D65)+20)&gt;YEAR(E65),1,(12-MONTH(E65)+1)/12))) + (Q65)*(IF((YEAR(D65)+20)&lt;YEAR(E65),0,IF((YEAR(D65)+20)&gt;YEAR(E65),1,(12-MONTH(E65)+1)/12))))-((P65)*(IF((YEAR(D65)+20)&lt;YEAR(E65),0,IF((YEAR(D65)+20)&gt;YEAR(E65),1,(12-MONTH(E65)+1)/12))) + (R65)*(IF((YEAR(D65)+20)&lt;YEAR(E65),0,IF((YEAR(D65)+20)&gt;YEAR(E65),1,(12-MONTH(E65)+1)/12))))-(IF(OR(N65="",N65&lt;=0),0,(O65/N65)*(IF(OR(N65="",N65&lt;=0),0,IF((YEAR(D65)+20)&lt;YEAR(E65),0,IF((YEAR(D65)+20)&gt;=YEAR(E65)+N65,0,IF((YEAR(D65)+20)=YEAR(E65),(12-MONTH(E65)+1)/12,1))))))))&gt;0,(((K65)*(IF(M65="",L65,IFERROR(IF(INDEX(Variablen!$I:$AT, MATCH(M65, Variablen!$A:$A, 0), MATCH((YEAR(D65)+20), Variablen!$I$3:$AT$3, 0))="",L65,INDEX(Variablen!$I:$AT, MATCH(M65, Variablen!$A:$A, 0), MATCH((YEAR(D65)+20), Variablen!$I$3:$AT$3, 0))),L65)))*(IF((YEAR(D65)+20)&lt;YEAR(E65),0,IF((YEAR(D65)+20)&gt;YEAR(E65),1,(12-MONTH(E65)+1)/12))) + (Q65)*(IF((YEAR(D65)+20)&lt;YEAR(E65),0,IF((YEAR(D65)+20)&gt;YEAR(E65),1,(12-MONTH(E65)+1)/12))))-((P65)*(IF((YEAR(D65)+20)&lt;YEAR(E65),0,IF((YEAR(D65)+20)&gt;YEAR(E65),1,(12-MONTH(E65)+1)/12))) + (R65)*(IF((YEAR(D65)+20)&lt;YEAR(E65),0,IF((YEAR(D65)+20)&gt;YEAR(E65),1,(12-MONTH(E65)+1)/12))))-(IF(OR(N65="",N65&lt;=0),0,(O65/N65)*(IF(OR(N65="",N65&lt;=0),0,IF((YEAR(D65)+20)&lt;YEAR(E65),0,IF((YEAR(D65)+20)&gt;=YEAR(E65)+N65,0,IF((YEAR(D65)+20)=YEAR(E65),(12-MONTH(E65)+1)/12,1))))))))*TaxRate,0))-IF(20=0,O65,0))</f>
        <v/>
      </c>
      <c r="AN65" s="29">
        <f>IF(A65="","",S65)</f>
        <v/>
      </c>
      <c r="AO65" s="29">
        <f>IF(A65="","",AN65+T65)</f>
        <v/>
      </c>
      <c r="AP65" s="29">
        <f>IF(A65="","",AO65+U65)</f>
        <v/>
      </c>
      <c r="AQ65" s="29">
        <f>IF(A65="","",AP65+V65)</f>
        <v/>
      </c>
      <c r="AR65" s="29">
        <f>IF(A65="","",AQ65+W65)</f>
        <v/>
      </c>
      <c r="AS65" s="29">
        <f>IF(A65="","",AR65+X65)</f>
        <v/>
      </c>
      <c r="AT65" s="29">
        <f>IF(A65="","",AS65+Y65)</f>
        <v/>
      </c>
      <c r="AU65" s="29">
        <f>IF(A65="","",AT65+Z65)</f>
        <v/>
      </c>
      <c r="AV65" s="29">
        <f>IF(A65="","",AU65+AA65)</f>
        <v/>
      </c>
      <c r="AW65" s="29">
        <f>IF(A65="","",AV65+AB65)</f>
        <v/>
      </c>
      <c r="AX65" s="29">
        <f>IF(A65="","",AW65+AC65)</f>
        <v/>
      </c>
      <c r="AY65" s="29">
        <f>IF(A65="","",AX65+AD65)</f>
        <v/>
      </c>
      <c r="AZ65" s="29">
        <f>IF(A65="","",AY65+AE65)</f>
        <v/>
      </c>
      <c r="BA65" s="29">
        <f>IF(A65="","",AZ65+AF65)</f>
        <v/>
      </c>
      <c r="BB65" s="29">
        <f>IF(A65="","",BA65+AG65)</f>
        <v/>
      </c>
      <c r="BC65" s="29">
        <f>IF(A65="","",BB65+AH65)</f>
        <v/>
      </c>
      <c r="BD65" s="29">
        <f>IF(A65="","",BC65+AI65)</f>
        <v/>
      </c>
      <c r="BE65" s="29">
        <f>IF(A65="","",BD65+AJ65)</f>
        <v/>
      </c>
      <c r="BF65" s="29">
        <f>IF(A65="","",BE65+AK65)</f>
        <v/>
      </c>
      <c r="BG65" s="29">
        <f>IF(A65="","",BF65+AL65)</f>
        <v/>
      </c>
      <c r="BH65" s="29">
        <f>IF(A65="","",BG65+AM65)</f>
        <v/>
      </c>
      <c r="BI65" s="36">
        <f>IF(A65="","",(K65)*(IF((YEAR(D65)+0)&lt;YEAR(E65),0,IF((YEAR(D65)+0)&gt;YEAR(E65),1,(12-MONTH(E65)+1)/12)))*(1/(1+DiscountRate)^0))</f>
        <v/>
      </c>
      <c r="BJ65" s="36">
        <f>IF(A65="","",(K65)*(IF((YEAR(D65)+1)&lt;YEAR(E65),0,IF((YEAR(D65)+1)&gt;YEAR(E65),1,(12-MONTH(E65)+1)/12)))*(1/(1+DiscountRate)^1))</f>
        <v/>
      </c>
      <c r="BK65" s="36">
        <f>IF(A65="","",(K65)*(IF((YEAR(D65)+2)&lt;YEAR(E65),0,IF((YEAR(D65)+2)&gt;YEAR(E65),1,(12-MONTH(E65)+1)/12)))*(1/(1+DiscountRate)^2))</f>
        <v/>
      </c>
      <c r="BL65" s="36">
        <f>IF(A65="","",(K65)*(IF((YEAR(D65)+3)&lt;YEAR(E65),0,IF((YEAR(D65)+3)&gt;YEAR(E65),1,(12-MONTH(E65)+1)/12)))*(1/(1+DiscountRate)^3))</f>
        <v/>
      </c>
      <c r="BM65" s="36">
        <f>IF(A65="","",(K65)*(IF((YEAR(D65)+4)&lt;YEAR(E65),0,IF((YEAR(D65)+4)&gt;YEAR(E65),1,(12-MONTH(E65)+1)/12)))*(1/(1+DiscountRate)^4))</f>
        <v/>
      </c>
      <c r="BN65" s="36">
        <f>IF(A65="","",(K65)*(IF((YEAR(D65)+5)&lt;YEAR(E65),0,IF((YEAR(D65)+5)&gt;YEAR(E65),1,(12-MONTH(E65)+1)/12)))*(1/(1+DiscountRate)^5))</f>
        <v/>
      </c>
      <c r="BO65" s="36">
        <f>IF(A65="","",(K65)*(IF((YEAR(D65)+6)&lt;YEAR(E65),0,IF((YEAR(D65)+6)&gt;YEAR(E65),1,(12-MONTH(E65)+1)/12)))*(1/(1+DiscountRate)^6))</f>
        <v/>
      </c>
      <c r="BP65" s="36">
        <f>IF(A65="","",(K65)*(IF((YEAR(D65)+7)&lt;YEAR(E65),0,IF((YEAR(D65)+7)&gt;YEAR(E65),1,(12-MONTH(E65)+1)/12)))*(1/(1+DiscountRate)^7))</f>
        <v/>
      </c>
      <c r="BQ65" s="36">
        <f>IF(A65="","",(K65)*(IF((YEAR(D65)+8)&lt;YEAR(E65),0,IF((YEAR(D65)+8)&gt;YEAR(E65),1,(12-MONTH(E65)+1)/12)))*(1/(1+DiscountRate)^8))</f>
        <v/>
      </c>
      <c r="BR65" s="36">
        <f>IF(A65="","",(K65)*(IF((YEAR(D65)+9)&lt;YEAR(E65),0,IF((YEAR(D65)+9)&gt;YEAR(E65),1,(12-MONTH(E65)+1)/12)))*(1/(1+DiscountRate)^9))</f>
        <v/>
      </c>
      <c r="BS65" s="36">
        <f>IF(A65="","",(K65)*(IF((YEAR(D65)+10)&lt;YEAR(E65),0,IF((YEAR(D65)+10)&gt;YEAR(E65),1,(12-MONTH(E65)+1)/12)))*(1/(1+DiscountRate)^10))</f>
        <v/>
      </c>
      <c r="BT65" s="36">
        <f>IF(A65="","",(K65)*(IF((YEAR(D65)+11)&lt;YEAR(E65),0,IF((YEAR(D65)+11)&gt;YEAR(E65),1,(12-MONTH(E65)+1)/12)))*(1/(1+DiscountRate)^11))</f>
        <v/>
      </c>
      <c r="BU65" s="36">
        <f>IF(A65="","",(K65)*(IF((YEAR(D65)+12)&lt;YEAR(E65),0,IF((YEAR(D65)+12)&gt;YEAR(E65),1,(12-MONTH(E65)+1)/12)))*(1/(1+DiscountRate)^12))</f>
        <v/>
      </c>
      <c r="BV65" s="36">
        <f>IF(A65="","",(K65)*(IF((YEAR(D65)+13)&lt;YEAR(E65),0,IF((YEAR(D65)+13)&gt;YEAR(E65),1,(12-MONTH(E65)+1)/12)))*(1/(1+DiscountRate)^13))</f>
        <v/>
      </c>
      <c r="BW65" s="36">
        <f>IF(A65="","",(K65)*(IF((YEAR(D65)+14)&lt;YEAR(E65),0,IF((YEAR(D65)+14)&gt;YEAR(E65),1,(12-MONTH(E65)+1)/12)))*(1/(1+DiscountRate)^14))</f>
        <v/>
      </c>
      <c r="BX65" s="36">
        <f>IF(A65="","",(K65)*(IF((YEAR(D65)+15)&lt;YEAR(E65),0,IF((YEAR(D65)+15)&gt;YEAR(E65),1,(12-MONTH(E65)+1)/12)))*(1/(1+DiscountRate)^15))</f>
        <v/>
      </c>
      <c r="BY65" s="36">
        <f>IF(A65="","",(K65)*(IF((YEAR(D65)+16)&lt;YEAR(E65),0,IF((YEAR(D65)+16)&gt;YEAR(E65),1,(12-MONTH(E65)+1)/12)))*(1/(1+DiscountRate)^16))</f>
        <v/>
      </c>
      <c r="BZ65" s="36">
        <f>IF(A65="","",(K65)*(IF((YEAR(D65)+17)&lt;YEAR(E65),0,IF((YEAR(D65)+17)&gt;YEAR(E65),1,(12-MONTH(E65)+1)/12)))*(1/(1+DiscountRate)^17))</f>
        <v/>
      </c>
      <c r="CA65" s="36">
        <f>IF(A65="","",(K65)*(IF((YEAR(D65)+18)&lt;YEAR(E65),0,IF((YEAR(D65)+18)&gt;YEAR(E65),1,(12-MONTH(E65)+1)/12)))*(1/(1+DiscountRate)^18))</f>
        <v/>
      </c>
      <c r="CB65" s="36">
        <f>IF(A65="","",(K65)*(IF((YEAR(D65)+19)&lt;YEAR(E65),0,IF((YEAR(D65)+19)&gt;YEAR(E65),1,(12-MONTH(E65)+1)/12)))*(1/(1+DiscountRate)^19))</f>
        <v/>
      </c>
      <c r="CC65" s="36">
        <f>IF(A65="","",(K65)*(IF((YEAR(D65)+20)&lt;YEAR(E65),0,IF((YEAR(D65)+20)&gt;YEAR(E65),1,(12-MONTH(E65)+1)/12)))*(1/(1+DiscountRate)^20))</f>
        <v/>
      </c>
      <c r="CD65" s="29">
        <f>IF(A65="","",S65/(1+DiscountRate)^0+T65/(1+DiscountRate)^1+U65/(1+DiscountRate)^2+V65/(1+DiscountRate)^3+W65/(1+DiscountRate)^4+X65/(1+DiscountRate)^5+Y65/(1+DiscountRate)^6+Z65/(1+DiscountRate)^7+AA65/(1+DiscountRate)^8+AB65/(1+DiscountRate)^9+AC65/(1+DiscountRate)^10+AD65/(1+DiscountRate)^11+AE65/(1+DiscountRate)^12+AF65/(1+DiscountRate)^13+AG65/(1+DiscountRate)^14+AH65/(1+DiscountRate)^15+AI65/(1+DiscountRate)^16+AJ65/(1+DiscountRate)^17+AK65/(1+DiscountRate)^18+AL65/(1+DiscountRate)^19+AM65/(1+DiscountRate)^20)</f>
        <v/>
      </c>
      <c r="CE65" s="37">
        <f>IF(A65="","",IFERROR(IRR(OFFSET(S65,0,0,1,MIN(HorizonYears,20)+1)),"n/a"))</f>
        <v/>
      </c>
      <c r="CF65" s="28">
        <f>IF(A65="","",IFERROR(MATCH(TRUE,OFFSET(AN65,0,0,1,MIN(HorizonYears,20)+1)&gt;=0,0)-1,"n/a"))</f>
        <v/>
      </c>
      <c r="CG65" s="36">
        <f>IF(A65="","",SUM(OFFSET(BI65,0,0,1,MIN(HorizonYears,20)+1)))</f>
        <v/>
      </c>
      <c r="CH65" s="36">
        <f>IF(A65="","",IFERROR(-CD65/CG65,"n/a"))</f>
        <v/>
      </c>
    </row>
    <row r="66">
      <c r="A66" s="6">
        <f>Actions!A64</f>
        <v/>
      </c>
      <c r="B66" s="6">
        <f>Actions!B64</f>
        <v/>
      </c>
      <c r="C66" s="6">
        <f>Actions!D64</f>
        <v/>
      </c>
      <c r="D66" s="35">
        <f>Actions!E64</f>
        <v/>
      </c>
      <c r="E66" s="35">
        <f>Actions!F64</f>
        <v/>
      </c>
      <c r="F66" s="6">
        <f>Actions!G64</f>
        <v/>
      </c>
      <c r="G66" s="6">
        <f>Actions!H64</f>
        <v/>
      </c>
      <c r="H66" s="29">
        <f>Actions!I64</f>
        <v/>
      </c>
      <c r="I66" s="6">
        <f>Actions!J64</f>
        <v/>
      </c>
      <c r="J66" s="16">
        <f>Actions!K64</f>
        <v/>
      </c>
      <c r="K66" s="16">
        <f>IF(A66="","",IF(I66="%",H66*J66,J66))</f>
        <v/>
      </c>
      <c r="L66" s="16">
        <f>Actions!L64</f>
        <v/>
      </c>
      <c r="M66" s="6">
        <f>Actions!M64</f>
        <v/>
      </c>
      <c r="N66" s="28">
        <f>Actions!N64</f>
        <v/>
      </c>
      <c r="O66" s="29">
        <f>Actions!T64</f>
        <v/>
      </c>
      <c r="P66" s="29">
        <f>Actions!Y64</f>
        <v/>
      </c>
      <c r="Q66" s="29">
        <f>Actions!Z64</f>
        <v/>
      </c>
      <c r="R66" s="29">
        <f>Actions!AA64</f>
        <v/>
      </c>
      <c r="S66" s="29">
        <f>IF(A66="","",((K66)*(IF(M66="",L66,IFERROR(IF(INDEX(Variablen!$I:$AT, MATCH(M66, Variablen!$A:$A, 0), MATCH((YEAR(D66)+0), Variablen!$I$3:$AT$3, 0))="",L66,INDEX(Variablen!$I:$AT, MATCH(M66, Variablen!$A:$A, 0), MATCH((YEAR(D66)+0), Variablen!$I$3:$AT$3, 0))),L66)))*(IF((YEAR(D66)+0)&lt;YEAR(E66),0,IF((YEAR(D66)+0)&gt;YEAR(E66),1,(12-MONTH(E66)+1)/12))) + (Q66)*(IF((YEAR(D66)+0)&lt;YEAR(E66),0,IF((YEAR(D66)+0)&gt;YEAR(E66),1,(12-MONTH(E66)+1)/12))))-((P66)*(IF((YEAR(D66)+0)&lt;YEAR(E66),0,IF((YEAR(D66)+0)&gt;YEAR(E66),1,(12-MONTH(E66)+1)/12))) + (R66)*(IF((YEAR(D66)+0)&lt;YEAR(E66),0,IF((YEAR(D66)+0)&gt;YEAR(E66),1,(12-MONTH(E66)+1)/12))))-(IF((((K66)*(IF(M66="",L66,IFERROR(IF(INDEX(Variablen!$I:$AT, MATCH(M66, Variablen!$A:$A, 0), MATCH((YEAR(D66)+0), Variablen!$I$3:$AT$3, 0))="",L66,INDEX(Variablen!$I:$AT, MATCH(M66, Variablen!$A:$A, 0), MATCH((YEAR(D66)+0), Variablen!$I$3:$AT$3, 0))),L66)))*(IF((YEAR(D66)+0)&lt;YEAR(E66),0,IF((YEAR(D66)+0)&gt;YEAR(E66),1,(12-MONTH(E66)+1)/12))) + (Q66)*(IF((YEAR(D66)+0)&lt;YEAR(E66),0,IF((YEAR(D66)+0)&gt;YEAR(E66),1,(12-MONTH(E66)+1)/12))))-((P66)*(IF((YEAR(D66)+0)&lt;YEAR(E66),0,IF((YEAR(D66)+0)&gt;YEAR(E66),1,(12-MONTH(E66)+1)/12))) + (R66)*(IF((YEAR(D66)+0)&lt;YEAR(E66),0,IF((YEAR(D66)+0)&gt;YEAR(E66),1,(12-MONTH(E66)+1)/12))))-(IF(OR(N66="",N66&lt;=0),0,(O66/N66)*(IF(OR(N66="",N66&lt;=0),0,IF((YEAR(D66)+0)&lt;YEAR(E66),0,IF((YEAR(D66)+0)&gt;=YEAR(E66)+N66,0,IF((YEAR(D66)+0)=YEAR(E66),(12-MONTH(E66)+1)/12,1))))))))&gt;0,(((K66)*(IF(M66="",L66,IFERROR(IF(INDEX(Variablen!$I:$AT, MATCH(M66, Variablen!$A:$A, 0), MATCH((YEAR(D66)+0), Variablen!$I$3:$AT$3, 0))="",L66,INDEX(Variablen!$I:$AT, MATCH(M66, Variablen!$A:$A, 0), MATCH((YEAR(D66)+0), Variablen!$I$3:$AT$3, 0))),L66)))*(IF((YEAR(D66)+0)&lt;YEAR(E66),0,IF((YEAR(D66)+0)&gt;YEAR(E66),1,(12-MONTH(E66)+1)/12))) + (Q66)*(IF((YEAR(D66)+0)&lt;YEAR(E66),0,IF((YEAR(D66)+0)&gt;YEAR(E66),1,(12-MONTH(E66)+1)/12))))-((P66)*(IF((YEAR(D66)+0)&lt;YEAR(E66),0,IF((YEAR(D66)+0)&gt;YEAR(E66),1,(12-MONTH(E66)+1)/12))) + (R66)*(IF((YEAR(D66)+0)&lt;YEAR(E66),0,IF((YEAR(D66)+0)&gt;YEAR(E66),1,(12-MONTH(E66)+1)/12))))-(IF(OR(N66="",N66&lt;=0),0,(O66/N66)*(IF(OR(N66="",N66&lt;=0),0,IF((YEAR(D66)+0)&lt;YEAR(E66),0,IF((YEAR(D66)+0)&gt;=YEAR(E66)+N66,0,IF((YEAR(D66)+0)=YEAR(E66),(12-MONTH(E66)+1)/12,1))))))))*TaxRate,0))-IF(0=0,O66,0))</f>
        <v/>
      </c>
      <c r="T66" s="29">
        <f>IF(A66="","",((K66)*(IF(M66="",L66,IFERROR(IF(INDEX(Variablen!$I:$AT, MATCH(M66, Variablen!$A:$A, 0), MATCH((YEAR(D66)+1), Variablen!$I$3:$AT$3, 0))="",L66,INDEX(Variablen!$I:$AT, MATCH(M66, Variablen!$A:$A, 0), MATCH((YEAR(D66)+1), Variablen!$I$3:$AT$3, 0))),L66)))*(IF((YEAR(D66)+1)&lt;YEAR(E66),0,IF((YEAR(D66)+1)&gt;YEAR(E66),1,(12-MONTH(E66)+1)/12))) + (Q66)*(IF((YEAR(D66)+1)&lt;YEAR(E66),0,IF((YEAR(D66)+1)&gt;YEAR(E66),1,(12-MONTH(E66)+1)/12))))-((P66)*(IF((YEAR(D66)+1)&lt;YEAR(E66),0,IF((YEAR(D66)+1)&gt;YEAR(E66),1,(12-MONTH(E66)+1)/12))) + (R66)*(IF((YEAR(D66)+1)&lt;YEAR(E66),0,IF((YEAR(D66)+1)&gt;YEAR(E66),1,(12-MONTH(E66)+1)/12))))-(IF((((K66)*(IF(M66="",L66,IFERROR(IF(INDEX(Variablen!$I:$AT, MATCH(M66, Variablen!$A:$A, 0), MATCH((YEAR(D66)+1), Variablen!$I$3:$AT$3, 0))="",L66,INDEX(Variablen!$I:$AT, MATCH(M66, Variablen!$A:$A, 0), MATCH((YEAR(D66)+1), Variablen!$I$3:$AT$3, 0))),L66)))*(IF((YEAR(D66)+1)&lt;YEAR(E66),0,IF((YEAR(D66)+1)&gt;YEAR(E66),1,(12-MONTH(E66)+1)/12))) + (Q66)*(IF((YEAR(D66)+1)&lt;YEAR(E66),0,IF((YEAR(D66)+1)&gt;YEAR(E66),1,(12-MONTH(E66)+1)/12))))-((P66)*(IF((YEAR(D66)+1)&lt;YEAR(E66),0,IF((YEAR(D66)+1)&gt;YEAR(E66),1,(12-MONTH(E66)+1)/12))) + (R66)*(IF((YEAR(D66)+1)&lt;YEAR(E66),0,IF((YEAR(D66)+1)&gt;YEAR(E66),1,(12-MONTH(E66)+1)/12))))-(IF(OR(N66="",N66&lt;=0),0,(O66/N66)*(IF(OR(N66="",N66&lt;=0),0,IF((YEAR(D66)+1)&lt;YEAR(E66),0,IF((YEAR(D66)+1)&gt;=YEAR(E66)+N66,0,IF((YEAR(D66)+1)=YEAR(E66),(12-MONTH(E66)+1)/12,1))))))))&gt;0,(((K66)*(IF(M66="",L66,IFERROR(IF(INDEX(Variablen!$I:$AT, MATCH(M66, Variablen!$A:$A, 0), MATCH((YEAR(D66)+1), Variablen!$I$3:$AT$3, 0))="",L66,INDEX(Variablen!$I:$AT, MATCH(M66, Variablen!$A:$A, 0), MATCH((YEAR(D66)+1), Variablen!$I$3:$AT$3, 0))),L66)))*(IF((YEAR(D66)+1)&lt;YEAR(E66),0,IF((YEAR(D66)+1)&gt;YEAR(E66),1,(12-MONTH(E66)+1)/12))) + (Q66)*(IF((YEAR(D66)+1)&lt;YEAR(E66),0,IF((YEAR(D66)+1)&gt;YEAR(E66),1,(12-MONTH(E66)+1)/12))))-((P66)*(IF((YEAR(D66)+1)&lt;YEAR(E66),0,IF((YEAR(D66)+1)&gt;YEAR(E66),1,(12-MONTH(E66)+1)/12))) + (R66)*(IF((YEAR(D66)+1)&lt;YEAR(E66),0,IF((YEAR(D66)+1)&gt;YEAR(E66),1,(12-MONTH(E66)+1)/12))))-(IF(OR(N66="",N66&lt;=0),0,(O66/N66)*(IF(OR(N66="",N66&lt;=0),0,IF((YEAR(D66)+1)&lt;YEAR(E66),0,IF((YEAR(D66)+1)&gt;=YEAR(E66)+N66,0,IF((YEAR(D66)+1)=YEAR(E66),(12-MONTH(E66)+1)/12,1))))))))*TaxRate,0))-IF(1=0,O66,0))</f>
        <v/>
      </c>
      <c r="U66" s="29">
        <f>IF(A66="","",((K66)*(IF(M66="",L66,IFERROR(IF(INDEX(Variablen!$I:$AT, MATCH(M66, Variablen!$A:$A, 0), MATCH((YEAR(D66)+2), Variablen!$I$3:$AT$3, 0))="",L66,INDEX(Variablen!$I:$AT, MATCH(M66, Variablen!$A:$A, 0), MATCH((YEAR(D66)+2), Variablen!$I$3:$AT$3, 0))),L66)))*(IF((YEAR(D66)+2)&lt;YEAR(E66),0,IF((YEAR(D66)+2)&gt;YEAR(E66),1,(12-MONTH(E66)+1)/12))) + (Q66)*(IF((YEAR(D66)+2)&lt;YEAR(E66),0,IF((YEAR(D66)+2)&gt;YEAR(E66),1,(12-MONTH(E66)+1)/12))))-((P66)*(IF((YEAR(D66)+2)&lt;YEAR(E66),0,IF((YEAR(D66)+2)&gt;YEAR(E66),1,(12-MONTH(E66)+1)/12))) + (R66)*(IF((YEAR(D66)+2)&lt;YEAR(E66),0,IF((YEAR(D66)+2)&gt;YEAR(E66),1,(12-MONTH(E66)+1)/12))))-(IF((((K66)*(IF(M66="",L66,IFERROR(IF(INDEX(Variablen!$I:$AT, MATCH(M66, Variablen!$A:$A, 0), MATCH((YEAR(D66)+2), Variablen!$I$3:$AT$3, 0))="",L66,INDEX(Variablen!$I:$AT, MATCH(M66, Variablen!$A:$A, 0), MATCH((YEAR(D66)+2), Variablen!$I$3:$AT$3, 0))),L66)))*(IF((YEAR(D66)+2)&lt;YEAR(E66),0,IF((YEAR(D66)+2)&gt;YEAR(E66),1,(12-MONTH(E66)+1)/12))) + (Q66)*(IF((YEAR(D66)+2)&lt;YEAR(E66),0,IF((YEAR(D66)+2)&gt;YEAR(E66),1,(12-MONTH(E66)+1)/12))))-((P66)*(IF((YEAR(D66)+2)&lt;YEAR(E66),0,IF((YEAR(D66)+2)&gt;YEAR(E66),1,(12-MONTH(E66)+1)/12))) + (R66)*(IF((YEAR(D66)+2)&lt;YEAR(E66),0,IF((YEAR(D66)+2)&gt;YEAR(E66),1,(12-MONTH(E66)+1)/12))))-(IF(OR(N66="",N66&lt;=0),0,(O66/N66)*(IF(OR(N66="",N66&lt;=0),0,IF((YEAR(D66)+2)&lt;YEAR(E66),0,IF((YEAR(D66)+2)&gt;=YEAR(E66)+N66,0,IF((YEAR(D66)+2)=YEAR(E66),(12-MONTH(E66)+1)/12,1))))))))&gt;0,(((K66)*(IF(M66="",L66,IFERROR(IF(INDEX(Variablen!$I:$AT, MATCH(M66, Variablen!$A:$A, 0), MATCH((YEAR(D66)+2), Variablen!$I$3:$AT$3, 0))="",L66,INDEX(Variablen!$I:$AT, MATCH(M66, Variablen!$A:$A, 0), MATCH((YEAR(D66)+2), Variablen!$I$3:$AT$3, 0))),L66)))*(IF((YEAR(D66)+2)&lt;YEAR(E66),0,IF((YEAR(D66)+2)&gt;YEAR(E66),1,(12-MONTH(E66)+1)/12))) + (Q66)*(IF((YEAR(D66)+2)&lt;YEAR(E66),0,IF((YEAR(D66)+2)&gt;YEAR(E66),1,(12-MONTH(E66)+1)/12))))-((P66)*(IF((YEAR(D66)+2)&lt;YEAR(E66),0,IF((YEAR(D66)+2)&gt;YEAR(E66),1,(12-MONTH(E66)+1)/12))) + (R66)*(IF((YEAR(D66)+2)&lt;YEAR(E66),0,IF((YEAR(D66)+2)&gt;YEAR(E66),1,(12-MONTH(E66)+1)/12))))-(IF(OR(N66="",N66&lt;=0),0,(O66/N66)*(IF(OR(N66="",N66&lt;=0),0,IF((YEAR(D66)+2)&lt;YEAR(E66),0,IF((YEAR(D66)+2)&gt;=YEAR(E66)+N66,0,IF((YEAR(D66)+2)=YEAR(E66),(12-MONTH(E66)+1)/12,1))))))))*TaxRate,0))-IF(2=0,O66,0))</f>
        <v/>
      </c>
      <c r="V66" s="29">
        <f>IF(A66="","",((K66)*(IF(M66="",L66,IFERROR(IF(INDEX(Variablen!$I:$AT, MATCH(M66, Variablen!$A:$A, 0), MATCH((YEAR(D66)+3), Variablen!$I$3:$AT$3, 0))="",L66,INDEX(Variablen!$I:$AT, MATCH(M66, Variablen!$A:$A, 0), MATCH((YEAR(D66)+3), Variablen!$I$3:$AT$3, 0))),L66)))*(IF((YEAR(D66)+3)&lt;YEAR(E66),0,IF((YEAR(D66)+3)&gt;YEAR(E66),1,(12-MONTH(E66)+1)/12))) + (Q66)*(IF((YEAR(D66)+3)&lt;YEAR(E66),0,IF((YEAR(D66)+3)&gt;YEAR(E66),1,(12-MONTH(E66)+1)/12))))-((P66)*(IF((YEAR(D66)+3)&lt;YEAR(E66),0,IF((YEAR(D66)+3)&gt;YEAR(E66),1,(12-MONTH(E66)+1)/12))) + (R66)*(IF((YEAR(D66)+3)&lt;YEAR(E66),0,IF((YEAR(D66)+3)&gt;YEAR(E66),1,(12-MONTH(E66)+1)/12))))-(IF((((K66)*(IF(M66="",L66,IFERROR(IF(INDEX(Variablen!$I:$AT, MATCH(M66, Variablen!$A:$A, 0), MATCH((YEAR(D66)+3), Variablen!$I$3:$AT$3, 0))="",L66,INDEX(Variablen!$I:$AT, MATCH(M66, Variablen!$A:$A, 0), MATCH((YEAR(D66)+3), Variablen!$I$3:$AT$3, 0))),L66)))*(IF((YEAR(D66)+3)&lt;YEAR(E66),0,IF((YEAR(D66)+3)&gt;YEAR(E66),1,(12-MONTH(E66)+1)/12))) + (Q66)*(IF((YEAR(D66)+3)&lt;YEAR(E66),0,IF((YEAR(D66)+3)&gt;YEAR(E66),1,(12-MONTH(E66)+1)/12))))-((P66)*(IF((YEAR(D66)+3)&lt;YEAR(E66),0,IF((YEAR(D66)+3)&gt;YEAR(E66),1,(12-MONTH(E66)+1)/12))) + (R66)*(IF((YEAR(D66)+3)&lt;YEAR(E66),0,IF((YEAR(D66)+3)&gt;YEAR(E66),1,(12-MONTH(E66)+1)/12))))-(IF(OR(N66="",N66&lt;=0),0,(O66/N66)*(IF(OR(N66="",N66&lt;=0),0,IF((YEAR(D66)+3)&lt;YEAR(E66),0,IF((YEAR(D66)+3)&gt;=YEAR(E66)+N66,0,IF((YEAR(D66)+3)=YEAR(E66),(12-MONTH(E66)+1)/12,1))))))))&gt;0,(((K66)*(IF(M66="",L66,IFERROR(IF(INDEX(Variablen!$I:$AT, MATCH(M66, Variablen!$A:$A, 0), MATCH((YEAR(D66)+3), Variablen!$I$3:$AT$3, 0))="",L66,INDEX(Variablen!$I:$AT, MATCH(M66, Variablen!$A:$A, 0), MATCH((YEAR(D66)+3), Variablen!$I$3:$AT$3, 0))),L66)))*(IF((YEAR(D66)+3)&lt;YEAR(E66),0,IF((YEAR(D66)+3)&gt;YEAR(E66),1,(12-MONTH(E66)+1)/12))) + (Q66)*(IF((YEAR(D66)+3)&lt;YEAR(E66),0,IF((YEAR(D66)+3)&gt;YEAR(E66),1,(12-MONTH(E66)+1)/12))))-((P66)*(IF((YEAR(D66)+3)&lt;YEAR(E66),0,IF((YEAR(D66)+3)&gt;YEAR(E66),1,(12-MONTH(E66)+1)/12))) + (R66)*(IF((YEAR(D66)+3)&lt;YEAR(E66),0,IF((YEAR(D66)+3)&gt;YEAR(E66),1,(12-MONTH(E66)+1)/12))))-(IF(OR(N66="",N66&lt;=0),0,(O66/N66)*(IF(OR(N66="",N66&lt;=0),0,IF((YEAR(D66)+3)&lt;YEAR(E66),0,IF((YEAR(D66)+3)&gt;=YEAR(E66)+N66,0,IF((YEAR(D66)+3)=YEAR(E66),(12-MONTH(E66)+1)/12,1))))))))*TaxRate,0))-IF(3=0,O66,0))</f>
        <v/>
      </c>
      <c r="W66" s="29">
        <f>IF(A66="","",((K66)*(IF(M66="",L66,IFERROR(IF(INDEX(Variablen!$I:$AT, MATCH(M66, Variablen!$A:$A, 0), MATCH((YEAR(D66)+4), Variablen!$I$3:$AT$3, 0))="",L66,INDEX(Variablen!$I:$AT, MATCH(M66, Variablen!$A:$A, 0), MATCH((YEAR(D66)+4), Variablen!$I$3:$AT$3, 0))),L66)))*(IF((YEAR(D66)+4)&lt;YEAR(E66),0,IF((YEAR(D66)+4)&gt;YEAR(E66),1,(12-MONTH(E66)+1)/12))) + (Q66)*(IF((YEAR(D66)+4)&lt;YEAR(E66),0,IF((YEAR(D66)+4)&gt;YEAR(E66),1,(12-MONTH(E66)+1)/12))))-((P66)*(IF((YEAR(D66)+4)&lt;YEAR(E66),0,IF((YEAR(D66)+4)&gt;YEAR(E66),1,(12-MONTH(E66)+1)/12))) + (R66)*(IF((YEAR(D66)+4)&lt;YEAR(E66),0,IF((YEAR(D66)+4)&gt;YEAR(E66),1,(12-MONTH(E66)+1)/12))))-(IF((((K66)*(IF(M66="",L66,IFERROR(IF(INDEX(Variablen!$I:$AT, MATCH(M66, Variablen!$A:$A, 0), MATCH((YEAR(D66)+4), Variablen!$I$3:$AT$3, 0))="",L66,INDEX(Variablen!$I:$AT, MATCH(M66, Variablen!$A:$A, 0), MATCH((YEAR(D66)+4), Variablen!$I$3:$AT$3, 0))),L66)))*(IF((YEAR(D66)+4)&lt;YEAR(E66),0,IF((YEAR(D66)+4)&gt;YEAR(E66),1,(12-MONTH(E66)+1)/12))) + (Q66)*(IF((YEAR(D66)+4)&lt;YEAR(E66),0,IF((YEAR(D66)+4)&gt;YEAR(E66),1,(12-MONTH(E66)+1)/12))))-((P66)*(IF((YEAR(D66)+4)&lt;YEAR(E66),0,IF((YEAR(D66)+4)&gt;YEAR(E66),1,(12-MONTH(E66)+1)/12))) + (R66)*(IF((YEAR(D66)+4)&lt;YEAR(E66),0,IF((YEAR(D66)+4)&gt;YEAR(E66),1,(12-MONTH(E66)+1)/12))))-(IF(OR(N66="",N66&lt;=0),0,(O66/N66)*(IF(OR(N66="",N66&lt;=0),0,IF((YEAR(D66)+4)&lt;YEAR(E66),0,IF((YEAR(D66)+4)&gt;=YEAR(E66)+N66,0,IF((YEAR(D66)+4)=YEAR(E66),(12-MONTH(E66)+1)/12,1))))))))&gt;0,(((K66)*(IF(M66="",L66,IFERROR(IF(INDEX(Variablen!$I:$AT, MATCH(M66, Variablen!$A:$A, 0), MATCH((YEAR(D66)+4), Variablen!$I$3:$AT$3, 0))="",L66,INDEX(Variablen!$I:$AT, MATCH(M66, Variablen!$A:$A, 0), MATCH((YEAR(D66)+4), Variablen!$I$3:$AT$3, 0))),L66)))*(IF((YEAR(D66)+4)&lt;YEAR(E66),0,IF((YEAR(D66)+4)&gt;YEAR(E66),1,(12-MONTH(E66)+1)/12))) + (Q66)*(IF((YEAR(D66)+4)&lt;YEAR(E66),0,IF((YEAR(D66)+4)&gt;YEAR(E66),1,(12-MONTH(E66)+1)/12))))-((P66)*(IF((YEAR(D66)+4)&lt;YEAR(E66),0,IF((YEAR(D66)+4)&gt;YEAR(E66),1,(12-MONTH(E66)+1)/12))) + (R66)*(IF((YEAR(D66)+4)&lt;YEAR(E66),0,IF((YEAR(D66)+4)&gt;YEAR(E66),1,(12-MONTH(E66)+1)/12))))-(IF(OR(N66="",N66&lt;=0),0,(O66/N66)*(IF(OR(N66="",N66&lt;=0),0,IF((YEAR(D66)+4)&lt;YEAR(E66),0,IF((YEAR(D66)+4)&gt;=YEAR(E66)+N66,0,IF((YEAR(D66)+4)=YEAR(E66),(12-MONTH(E66)+1)/12,1))))))))*TaxRate,0))-IF(4=0,O66,0))</f>
        <v/>
      </c>
      <c r="X66" s="29">
        <f>IF(A66="","",((K66)*(IF(M66="",L66,IFERROR(IF(INDEX(Variablen!$I:$AT, MATCH(M66, Variablen!$A:$A, 0), MATCH((YEAR(D66)+5), Variablen!$I$3:$AT$3, 0))="",L66,INDEX(Variablen!$I:$AT, MATCH(M66, Variablen!$A:$A, 0), MATCH((YEAR(D66)+5), Variablen!$I$3:$AT$3, 0))),L66)))*(IF((YEAR(D66)+5)&lt;YEAR(E66),0,IF((YEAR(D66)+5)&gt;YEAR(E66),1,(12-MONTH(E66)+1)/12))) + (Q66)*(IF((YEAR(D66)+5)&lt;YEAR(E66),0,IF((YEAR(D66)+5)&gt;YEAR(E66),1,(12-MONTH(E66)+1)/12))))-((P66)*(IF((YEAR(D66)+5)&lt;YEAR(E66),0,IF((YEAR(D66)+5)&gt;YEAR(E66),1,(12-MONTH(E66)+1)/12))) + (R66)*(IF((YEAR(D66)+5)&lt;YEAR(E66),0,IF((YEAR(D66)+5)&gt;YEAR(E66),1,(12-MONTH(E66)+1)/12))))-(IF((((K66)*(IF(M66="",L66,IFERROR(IF(INDEX(Variablen!$I:$AT, MATCH(M66, Variablen!$A:$A, 0), MATCH((YEAR(D66)+5), Variablen!$I$3:$AT$3, 0))="",L66,INDEX(Variablen!$I:$AT, MATCH(M66, Variablen!$A:$A, 0), MATCH((YEAR(D66)+5), Variablen!$I$3:$AT$3, 0))),L66)))*(IF((YEAR(D66)+5)&lt;YEAR(E66),0,IF((YEAR(D66)+5)&gt;YEAR(E66),1,(12-MONTH(E66)+1)/12))) + (Q66)*(IF((YEAR(D66)+5)&lt;YEAR(E66),0,IF((YEAR(D66)+5)&gt;YEAR(E66),1,(12-MONTH(E66)+1)/12))))-((P66)*(IF((YEAR(D66)+5)&lt;YEAR(E66),0,IF((YEAR(D66)+5)&gt;YEAR(E66),1,(12-MONTH(E66)+1)/12))) + (R66)*(IF((YEAR(D66)+5)&lt;YEAR(E66),0,IF((YEAR(D66)+5)&gt;YEAR(E66),1,(12-MONTH(E66)+1)/12))))-(IF(OR(N66="",N66&lt;=0),0,(O66/N66)*(IF(OR(N66="",N66&lt;=0),0,IF((YEAR(D66)+5)&lt;YEAR(E66),0,IF((YEAR(D66)+5)&gt;=YEAR(E66)+N66,0,IF((YEAR(D66)+5)=YEAR(E66),(12-MONTH(E66)+1)/12,1))))))))&gt;0,(((K66)*(IF(M66="",L66,IFERROR(IF(INDEX(Variablen!$I:$AT, MATCH(M66, Variablen!$A:$A, 0), MATCH((YEAR(D66)+5), Variablen!$I$3:$AT$3, 0))="",L66,INDEX(Variablen!$I:$AT, MATCH(M66, Variablen!$A:$A, 0), MATCH((YEAR(D66)+5), Variablen!$I$3:$AT$3, 0))),L66)))*(IF((YEAR(D66)+5)&lt;YEAR(E66),0,IF((YEAR(D66)+5)&gt;YEAR(E66),1,(12-MONTH(E66)+1)/12))) + (Q66)*(IF((YEAR(D66)+5)&lt;YEAR(E66),0,IF((YEAR(D66)+5)&gt;YEAR(E66),1,(12-MONTH(E66)+1)/12))))-((P66)*(IF((YEAR(D66)+5)&lt;YEAR(E66),0,IF((YEAR(D66)+5)&gt;YEAR(E66),1,(12-MONTH(E66)+1)/12))) + (R66)*(IF((YEAR(D66)+5)&lt;YEAR(E66),0,IF((YEAR(D66)+5)&gt;YEAR(E66),1,(12-MONTH(E66)+1)/12))))-(IF(OR(N66="",N66&lt;=0),0,(O66/N66)*(IF(OR(N66="",N66&lt;=0),0,IF((YEAR(D66)+5)&lt;YEAR(E66),0,IF((YEAR(D66)+5)&gt;=YEAR(E66)+N66,0,IF((YEAR(D66)+5)=YEAR(E66),(12-MONTH(E66)+1)/12,1))))))))*TaxRate,0))-IF(5=0,O66,0))</f>
        <v/>
      </c>
      <c r="Y66" s="29">
        <f>IF(A66="","",((K66)*(IF(M66="",L66,IFERROR(IF(INDEX(Variablen!$I:$AT, MATCH(M66, Variablen!$A:$A, 0), MATCH((YEAR(D66)+6), Variablen!$I$3:$AT$3, 0))="",L66,INDEX(Variablen!$I:$AT, MATCH(M66, Variablen!$A:$A, 0), MATCH((YEAR(D66)+6), Variablen!$I$3:$AT$3, 0))),L66)))*(IF((YEAR(D66)+6)&lt;YEAR(E66),0,IF((YEAR(D66)+6)&gt;YEAR(E66),1,(12-MONTH(E66)+1)/12))) + (Q66)*(IF((YEAR(D66)+6)&lt;YEAR(E66),0,IF((YEAR(D66)+6)&gt;YEAR(E66),1,(12-MONTH(E66)+1)/12))))-((P66)*(IF((YEAR(D66)+6)&lt;YEAR(E66),0,IF((YEAR(D66)+6)&gt;YEAR(E66),1,(12-MONTH(E66)+1)/12))) + (R66)*(IF((YEAR(D66)+6)&lt;YEAR(E66),0,IF((YEAR(D66)+6)&gt;YEAR(E66),1,(12-MONTH(E66)+1)/12))))-(IF((((K66)*(IF(M66="",L66,IFERROR(IF(INDEX(Variablen!$I:$AT, MATCH(M66, Variablen!$A:$A, 0), MATCH((YEAR(D66)+6), Variablen!$I$3:$AT$3, 0))="",L66,INDEX(Variablen!$I:$AT, MATCH(M66, Variablen!$A:$A, 0), MATCH((YEAR(D66)+6), Variablen!$I$3:$AT$3, 0))),L66)))*(IF((YEAR(D66)+6)&lt;YEAR(E66),0,IF((YEAR(D66)+6)&gt;YEAR(E66),1,(12-MONTH(E66)+1)/12))) + (Q66)*(IF((YEAR(D66)+6)&lt;YEAR(E66),0,IF((YEAR(D66)+6)&gt;YEAR(E66),1,(12-MONTH(E66)+1)/12))))-((P66)*(IF((YEAR(D66)+6)&lt;YEAR(E66),0,IF((YEAR(D66)+6)&gt;YEAR(E66),1,(12-MONTH(E66)+1)/12))) + (R66)*(IF((YEAR(D66)+6)&lt;YEAR(E66),0,IF((YEAR(D66)+6)&gt;YEAR(E66),1,(12-MONTH(E66)+1)/12))))-(IF(OR(N66="",N66&lt;=0),0,(O66/N66)*(IF(OR(N66="",N66&lt;=0),0,IF((YEAR(D66)+6)&lt;YEAR(E66),0,IF((YEAR(D66)+6)&gt;=YEAR(E66)+N66,0,IF((YEAR(D66)+6)=YEAR(E66),(12-MONTH(E66)+1)/12,1))))))))&gt;0,(((K66)*(IF(M66="",L66,IFERROR(IF(INDEX(Variablen!$I:$AT, MATCH(M66, Variablen!$A:$A, 0), MATCH((YEAR(D66)+6), Variablen!$I$3:$AT$3, 0))="",L66,INDEX(Variablen!$I:$AT, MATCH(M66, Variablen!$A:$A, 0), MATCH((YEAR(D66)+6), Variablen!$I$3:$AT$3, 0))),L66)))*(IF((YEAR(D66)+6)&lt;YEAR(E66),0,IF((YEAR(D66)+6)&gt;YEAR(E66),1,(12-MONTH(E66)+1)/12))) + (Q66)*(IF((YEAR(D66)+6)&lt;YEAR(E66),0,IF((YEAR(D66)+6)&gt;YEAR(E66),1,(12-MONTH(E66)+1)/12))))-((P66)*(IF((YEAR(D66)+6)&lt;YEAR(E66),0,IF((YEAR(D66)+6)&gt;YEAR(E66),1,(12-MONTH(E66)+1)/12))) + (R66)*(IF((YEAR(D66)+6)&lt;YEAR(E66),0,IF((YEAR(D66)+6)&gt;YEAR(E66),1,(12-MONTH(E66)+1)/12))))-(IF(OR(N66="",N66&lt;=0),0,(O66/N66)*(IF(OR(N66="",N66&lt;=0),0,IF((YEAR(D66)+6)&lt;YEAR(E66),0,IF((YEAR(D66)+6)&gt;=YEAR(E66)+N66,0,IF((YEAR(D66)+6)=YEAR(E66),(12-MONTH(E66)+1)/12,1))))))))*TaxRate,0))-IF(6=0,O66,0))</f>
        <v/>
      </c>
      <c r="Z66" s="29">
        <f>IF(A66="","",((K66)*(IF(M66="",L66,IFERROR(IF(INDEX(Variablen!$I:$AT, MATCH(M66, Variablen!$A:$A, 0), MATCH((YEAR(D66)+7), Variablen!$I$3:$AT$3, 0))="",L66,INDEX(Variablen!$I:$AT, MATCH(M66, Variablen!$A:$A, 0), MATCH((YEAR(D66)+7), Variablen!$I$3:$AT$3, 0))),L66)))*(IF((YEAR(D66)+7)&lt;YEAR(E66),0,IF((YEAR(D66)+7)&gt;YEAR(E66),1,(12-MONTH(E66)+1)/12))) + (Q66)*(IF((YEAR(D66)+7)&lt;YEAR(E66),0,IF((YEAR(D66)+7)&gt;YEAR(E66),1,(12-MONTH(E66)+1)/12))))-((P66)*(IF((YEAR(D66)+7)&lt;YEAR(E66),0,IF((YEAR(D66)+7)&gt;YEAR(E66),1,(12-MONTH(E66)+1)/12))) + (R66)*(IF((YEAR(D66)+7)&lt;YEAR(E66),0,IF((YEAR(D66)+7)&gt;YEAR(E66),1,(12-MONTH(E66)+1)/12))))-(IF((((K66)*(IF(M66="",L66,IFERROR(IF(INDEX(Variablen!$I:$AT, MATCH(M66, Variablen!$A:$A, 0), MATCH((YEAR(D66)+7), Variablen!$I$3:$AT$3, 0))="",L66,INDEX(Variablen!$I:$AT, MATCH(M66, Variablen!$A:$A, 0), MATCH((YEAR(D66)+7), Variablen!$I$3:$AT$3, 0))),L66)))*(IF((YEAR(D66)+7)&lt;YEAR(E66),0,IF((YEAR(D66)+7)&gt;YEAR(E66),1,(12-MONTH(E66)+1)/12))) + (Q66)*(IF((YEAR(D66)+7)&lt;YEAR(E66),0,IF((YEAR(D66)+7)&gt;YEAR(E66),1,(12-MONTH(E66)+1)/12))))-((P66)*(IF((YEAR(D66)+7)&lt;YEAR(E66),0,IF((YEAR(D66)+7)&gt;YEAR(E66),1,(12-MONTH(E66)+1)/12))) + (R66)*(IF((YEAR(D66)+7)&lt;YEAR(E66),0,IF((YEAR(D66)+7)&gt;YEAR(E66),1,(12-MONTH(E66)+1)/12))))-(IF(OR(N66="",N66&lt;=0),0,(O66/N66)*(IF(OR(N66="",N66&lt;=0),0,IF((YEAR(D66)+7)&lt;YEAR(E66),0,IF((YEAR(D66)+7)&gt;=YEAR(E66)+N66,0,IF((YEAR(D66)+7)=YEAR(E66),(12-MONTH(E66)+1)/12,1))))))))&gt;0,(((K66)*(IF(M66="",L66,IFERROR(IF(INDEX(Variablen!$I:$AT, MATCH(M66, Variablen!$A:$A, 0), MATCH((YEAR(D66)+7), Variablen!$I$3:$AT$3, 0))="",L66,INDEX(Variablen!$I:$AT, MATCH(M66, Variablen!$A:$A, 0), MATCH((YEAR(D66)+7), Variablen!$I$3:$AT$3, 0))),L66)))*(IF((YEAR(D66)+7)&lt;YEAR(E66),0,IF((YEAR(D66)+7)&gt;YEAR(E66),1,(12-MONTH(E66)+1)/12))) + (Q66)*(IF((YEAR(D66)+7)&lt;YEAR(E66),0,IF((YEAR(D66)+7)&gt;YEAR(E66),1,(12-MONTH(E66)+1)/12))))-((P66)*(IF((YEAR(D66)+7)&lt;YEAR(E66),0,IF((YEAR(D66)+7)&gt;YEAR(E66),1,(12-MONTH(E66)+1)/12))) + (R66)*(IF((YEAR(D66)+7)&lt;YEAR(E66),0,IF((YEAR(D66)+7)&gt;YEAR(E66),1,(12-MONTH(E66)+1)/12))))-(IF(OR(N66="",N66&lt;=0),0,(O66/N66)*(IF(OR(N66="",N66&lt;=0),0,IF((YEAR(D66)+7)&lt;YEAR(E66),0,IF((YEAR(D66)+7)&gt;=YEAR(E66)+N66,0,IF((YEAR(D66)+7)=YEAR(E66),(12-MONTH(E66)+1)/12,1))))))))*TaxRate,0))-IF(7=0,O66,0))</f>
        <v/>
      </c>
      <c r="AA66" s="29">
        <f>IF(A66="","",((K66)*(IF(M66="",L66,IFERROR(IF(INDEX(Variablen!$I:$AT, MATCH(M66, Variablen!$A:$A, 0), MATCH((YEAR(D66)+8), Variablen!$I$3:$AT$3, 0))="",L66,INDEX(Variablen!$I:$AT, MATCH(M66, Variablen!$A:$A, 0), MATCH((YEAR(D66)+8), Variablen!$I$3:$AT$3, 0))),L66)))*(IF((YEAR(D66)+8)&lt;YEAR(E66),0,IF((YEAR(D66)+8)&gt;YEAR(E66),1,(12-MONTH(E66)+1)/12))) + (Q66)*(IF((YEAR(D66)+8)&lt;YEAR(E66),0,IF((YEAR(D66)+8)&gt;YEAR(E66),1,(12-MONTH(E66)+1)/12))))-((P66)*(IF((YEAR(D66)+8)&lt;YEAR(E66),0,IF((YEAR(D66)+8)&gt;YEAR(E66),1,(12-MONTH(E66)+1)/12))) + (R66)*(IF((YEAR(D66)+8)&lt;YEAR(E66),0,IF((YEAR(D66)+8)&gt;YEAR(E66),1,(12-MONTH(E66)+1)/12))))-(IF((((K66)*(IF(M66="",L66,IFERROR(IF(INDEX(Variablen!$I:$AT, MATCH(M66, Variablen!$A:$A, 0), MATCH((YEAR(D66)+8), Variablen!$I$3:$AT$3, 0))="",L66,INDEX(Variablen!$I:$AT, MATCH(M66, Variablen!$A:$A, 0), MATCH((YEAR(D66)+8), Variablen!$I$3:$AT$3, 0))),L66)))*(IF((YEAR(D66)+8)&lt;YEAR(E66),0,IF((YEAR(D66)+8)&gt;YEAR(E66),1,(12-MONTH(E66)+1)/12))) + (Q66)*(IF((YEAR(D66)+8)&lt;YEAR(E66),0,IF((YEAR(D66)+8)&gt;YEAR(E66),1,(12-MONTH(E66)+1)/12))))-((P66)*(IF((YEAR(D66)+8)&lt;YEAR(E66),0,IF((YEAR(D66)+8)&gt;YEAR(E66),1,(12-MONTH(E66)+1)/12))) + (R66)*(IF((YEAR(D66)+8)&lt;YEAR(E66),0,IF((YEAR(D66)+8)&gt;YEAR(E66),1,(12-MONTH(E66)+1)/12))))-(IF(OR(N66="",N66&lt;=0),0,(O66/N66)*(IF(OR(N66="",N66&lt;=0),0,IF((YEAR(D66)+8)&lt;YEAR(E66),0,IF((YEAR(D66)+8)&gt;=YEAR(E66)+N66,0,IF((YEAR(D66)+8)=YEAR(E66),(12-MONTH(E66)+1)/12,1))))))))&gt;0,(((K66)*(IF(M66="",L66,IFERROR(IF(INDEX(Variablen!$I:$AT, MATCH(M66, Variablen!$A:$A, 0), MATCH((YEAR(D66)+8), Variablen!$I$3:$AT$3, 0))="",L66,INDEX(Variablen!$I:$AT, MATCH(M66, Variablen!$A:$A, 0), MATCH((YEAR(D66)+8), Variablen!$I$3:$AT$3, 0))),L66)))*(IF((YEAR(D66)+8)&lt;YEAR(E66),0,IF((YEAR(D66)+8)&gt;YEAR(E66),1,(12-MONTH(E66)+1)/12))) + (Q66)*(IF((YEAR(D66)+8)&lt;YEAR(E66),0,IF((YEAR(D66)+8)&gt;YEAR(E66),1,(12-MONTH(E66)+1)/12))))-((P66)*(IF((YEAR(D66)+8)&lt;YEAR(E66),0,IF((YEAR(D66)+8)&gt;YEAR(E66),1,(12-MONTH(E66)+1)/12))) + (R66)*(IF((YEAR(D66)+8)&lt;YEAR(E66),0,IF((YEAR(D66)+8)&gt;YEAR(E66),1,(12-MONTH(E66)+1)/12))))-(IF(OR(N66="",N66&lt;=0),0,(O66/N66)*(IF(OR(N66="",N66&lt;=0),0,IF((YEAR(D66)+8)&lt;YEAR(E66),0,IF((YEAR(D66)+8)&gt;=YEAR(E66)+N66,0,IF((YEAR(D66)+8)=YEAR(E66),(12-MONTH(E66)+1)/12,1))))))))*TaxRate,0))-IF(8=0,O66,0))</f>
        <v/>
      </c>
      <c r="AB66" s="29">
        <f>IF(A66="","",((K66)*(IF(M66="",L66,IFERROR(IF(INDEX(Variablen!$I:$AT, MATCH(M66, Variablen!$A:$A, 0), MATCH((YEAR(D66)+9), Variablen!$I$3:$AT$3, 0))="",L66,INDEX(Variablen!$I:$AT, MATCH(M66, Variablen!$A:$A, 0), MATCH((YEAR(D66)+9), Variablen!$I$3:$AT$3, 0))),L66)))*(IF((YEAR(D66)+9)&lt;YEAR(E66),0,IF((YEAR(D66)+9)&gt;YEAR(E66),1,(12-MONTH(E66)+1)/12))) + (Q66)*(IF((YEAR(D66)+9)&lt;YEAR(E66),0,IF((YEAR(D66)+9)&gt;YEAR(E66),1,(12-MONTH(E66)+1)/12))))-((P66)*(IF((YEAR(D66)+9)&lt;YEAR(E66),0,IF((YEAR(D66)+9)&gt;YEAR(E66),1,(12-MONTH(E66)+1)/12))) + (R66)*(IF((YEAR(D66)+9)&lt;YEAR(E66),0,IF((YEAR(D66)+9)&gt;YEAR(E66),1,(12-MONTH(E66)+1)/12))))-(IF((((K66)*(IF(M66="",L66,IFERROR(IF(INDEX(Variablen!$I:$AT, MATCH(M66, Variablen!$A:$A, 0), MATCH((YEAR(D66)+9), Variablen!$I$3:$AT$3, 0))="",L66,INDEX(Variablen!$I:$AT, MATCH(M66, Variablen!$A:$A, 0), MATCH((YEAR(D66)+9), Variablen!$I$3:$AT$3, 0))),L66)))*(IF((YEAR(D66)+9)&lt;YEAR(E66),0,IF((YEAR(D66)+9)&gt;YEAR(E66),1,(12-MONTH(E66)+1)/12))) + (Q66)*(IF((YEAR(D66)+9)&lt;YEAR(E66),0,IF((YEAR(D66)+9)&gt;YEAR(E66),1,(12-MONTH(E66)+1)/12))))-((P66)*(IF((YEAR(D66)+9)&lt;YEAR(E66),0,IF((YEAR(D66)+9)&gt;YEAR(E66),1,(12-MONTH(E66)+1)/12))) + (R66)*(IF((YEAR(D66)+9)&lt;YEAR(E66),0,IF((YEAR(D66)+9)&gt;YEAR(E66),1,(12-MONTH(E66)+1)/12))))-(IF(OR(N66="",N66&lt;=0),0,(O66/N66)*(IF(OR(N66="",N66&lt;=0),0,IF((YEAR(D66)+9)&lt;YEAR(E66),0,IF((YEAR(D66)+9)&gt;=YEAR(E66)+N66,0,IF((YEAR(D66)+9)=YEAR(E66),(12-MONTH(E66)+1)/12,1))))))))&gt;0,(((K66)*(IF(M66="",L66,IFERROR(IF(INDEX(Variablen!$I:$AT, MATCH(M66, Variablen!$A:$A, 0), MATCH((YEAR(D66)+9), Variablen!$I$3:$AT$3, 0))="",L66,INDEX(Variablen!$I:$AT, MATCH(M66, Variablen!$A:$A, 0), MATCH((YEAR(D66)+9), Variablen!$I$3:$AT$3, 0))),L66)))*(IF((YEAR(D66)+9)&lt;YEAR(E66),0,IF((YEAR(D66)+9)&gt;YEAR(E66),1,(12-MONTH(E66)+1)/12))) + (Q66)*(IF((YEAR(D66)+9)&lt;YEAR(E66),0,IF((YEAR(D66)+9)&gt;YEAR(E66),1,(12-MONTH(E66)+1)/12))))-((P66)*(IF((YEAR(D66)+9)&lt;YEAR(E66),0,IF((YEAR(D66)+9)&gt;YEAR(E66),1,(12-MONTH(E66)+1)/12))) + (R66)*(IF((YEAR(D66)+9)&lt;YEAR(E66),0,IF((YEAR(D66)+9)&gt;YEAR(E66),1,(12-MONTH(E66)+1)/12))))-(IF(OR(N66="",N66&lt;=0),0,(O66/N66)*(IF(OR(N66="",N66&lt;=0),0,IF((YEAR(D66)+9)&lt;YEAR(E66),0,IF((YEAR(D66)+9)&gt;=YEAR(E66)+N66,0,IF((YEAR(D66)+9)=YEAR(E66),(12-MONTH(E66)+1)/12,1))))))))*TaxRate,0))-IF(9=0,O66,0))</f>
        <v/>
      </c>
      <c r="AC66" s="29">
        <f>IF(A66="","",((K66)*(IF(M66="",L66,IFERROR(IF(INDEX(Variablen!$I:$AT, MATCH(M66, Variablen!$A:$A, 0), MATCH((YEAR(D66)+10), Variablen!$I$3:$AT$3, 0))="",L66,INDEX(Variablen!$I:$AT, MATCH(M66, Variablen!$A:$A, 0), MATCH((YEAR(D66)+10), Variablen!$I$3:$AT$3, 0))),L66)))*(IF((YEAR(D66)+10)&lt;YEAR(E66),0,IF((YEAR(D66)+10)&gt;YEAR(E66),1,(12-MONTH(E66)+1)/12))) + (Q66)*(IF((YEAR(D66)+10)&lt;YEAR(E66),0,IF((YEAR(D66)+10)&gt;YEAR(E66),1,(12-MONTH(E66)+1)/12))))-((P66)*(IF((YEAR(D66)+10)&lt;YEAR(E66),0,IF((YEAR(D66)+10)&gt;YEAR(E66),1,(12-MONTH(E66)+1)/12))) + (R66)*(IF((YEAR(D66)+10)&lt;YEAR(E66),0,IF((YEAR(D66)+10)&gt;YEAR(E66),1,(12-MONTH(E66)+1)/12))))-(IF((((K66)*(IF(M66="",L66,IFERROR(IF(INDEX(Variablen!$I:$AT, MATCH(M66, Variablen!$A:$A, 0), MATCH((YEAR(D66)+10), Variablen!$I$3:$AT$3, 0))="",L66,INDEX(Variablen!$I:$AT, MATCH(M66, Variablen!$A:$A, 0), MATCH((YEAR(D66)+10), Variablen!$I$3:$AT$3, 0))),L66)))*(IF((YEAR(D66)+10)&lt;YEAR(E66),0,IF((YEAR(D66)+10)&gt;YEAR(E66),1,(12-MONTH(E66)+1)/12))) + (Q66)*(IF((YEAR(D66)+10)&lt;YEAR(E66),0,IF((YEAR(D66)+10)&gt;YEAR(E66),1,(12-MONTH(E66)+1)/12))))-((P66)*(IF((YEAR(D66)+10)&lt;YEAR(E66),0,IF((YEAR(D66)+10)&gt;YEAR(E66),1,(12-MONTH(E66)+1)/12))) + (R66)*(IF((YEAR(D66)+10)&lt;YEAR(E66),0,IF((YEAR(D66)+10)&gt;YEAR(E66),1,(12-MONTH(E66)+1)/12))))-(IF(OR(N66="",N66&lt;=0),0,(O66/N66)*(IF(OR(N66="",N66&lt;=0),0,IF((YEAR(D66)+10)&lt;YEAR(E66),0,IF((YEAR(D66)+10)&gt;=YEAR(E66)+N66,0,IF((YEAR(D66)+10)=YEAR(E66),(12-MONTH(E66)+1)/12,1))))))))&gt;0,(((K66)*(IF(M66="",L66,IFERROR(IF(INDEX(Variablen!$I:$AT, MATCH(M66, Variablen!$A:$A, 0), MATCH((YEAR(D66)+10), Variablen!$I$3:$AT$3, 0))="",L66,INDEX(Variablen!$I:$AT, MATCH(M66, Variablen!$A:$A, 0), MATCH((YEAR(D66)+10), Variablen!$I$3:$AT$3, 0))),L66)))*(IF((YEAR(D66)+10)&lt;YEAR(E66),0,IF((YEAR(D66)+10)&gt;YEAR(E66),1,(12-MONTH(E66)+1)/12))) + (Q66)*(IF((YEAR(D66)+10)&lt;YEAR(E66),0,IF((YEAR(D66)+10)&gt;YEAR(E66),1,(12-MONTH(E66)+1)/12))))-((P66)*(IF((YEAR(D66)+10)&lt;YEAR(E66),0,IF((YEAR(D66)+10)&gt;YEAR(E66),1,(12-MONTH(E66)+1)/12))) + (R66)*(IF((YEAR(D66)+10)&lt;YEAR(E66),0,IF((YEAR(D66)+10)&gt;YEAR(E66),1,(12-MONTH(E66)+1)/12))))-(IF(OR(N66="",N66&lt;=0),0,(O66/N66)*(IF(OR(N66="",N66&lt;=0),0,IF((YEAR(D66)+10)&lt;YEAR(E66),0,IF((YEAR(D66)+10)&gt;=YEAR(E66)+N66,0,IF((YEAR(D66)+10)=YEAR(E66),(12-MONTH(E66)+1)/12,1))))))))*TaxRate,0))-IF(10=0,O66,0))</f>
        <v/>
      </c>
      <c r="AD66" s="29">
        <f>IF(A66="","",((K66)*(IF(M66="",L66,IFERROR(IF(INDEX(Variablen!$I:$AT, MATCH(M66, Variablen!$A:$A, 0), MATCH((YEAR(D66)+11), Variablen!$I$3:$AT$3, 0))="",L66,INDEX(Variablen!$I:$AT, MATCH(M66, Variablen!$A:$A, 0), MATCH((YEAR(D66)+11), Variablen!$I$3:$AT$3, 0))),L66)))*(IF((YEAR(D66)+11)&lt;YEAR(E66),0,IF((YEAR(D66)+11)&gt;YEAR(E66),1,(12-MONTH(E66)+1)/12))) + (Q66)*(IF((YEAR(D66)+11)&lt;YEAR(E66),0,IF((YEAR(D66)+11)&gt;YEAR(E66),1,(12-MONTH(E66)+1)/12))))-((P66)*(IF((YEAR(D66)+11)&lt;YEAR(E66),0,IF((YEAR(D66)+11)&gt;YEAR(E66),1,(12-MONTH(E66)+1)/12))) + (R66)*(IF((YEAR(D66)+11)&lt;YEAR(E66),0,IF((YEAR(D66)+11)&gt;YEAR(E66),1,(12-MONTH(E66)+1)/12))))-(IF((((K66)*(IF(M66="",L66,IFERROR(IF(INDEX(Variablen!$I:$AT, MATCH(M66, Variablen!$A:$A, 0), MATCH((YEAR(D66)+11), Variablen!$I$3:$AT$3, 0))="",L66,INDEX(Variablen!$I:$AT, MATCH(M66, Variablen!$A:$A, 0), MATCH((YEAR(D66)+11), Variablen!$I$3:$AT$3, 0))),L66)))*(IF((YEAR(D66)+11)&lt;YEAR(E66),0,IF((YEAR(D66)+11)&gt;YEAR(E66),1,(12-MONTH(E66)+1)/12))) + (Q66)*(IF((YEAR(D66)+11)&lt;YEAR(E66),0,IF((YEAR(D66)+11)&gt;YEAR(E66),1,(12-MONTH(E66)+1)/12))))-((P66)*(IF((YEAR(D66)+11)&lt;YEAR(E66),0,IF((YEAR(D66)+11)&gt;YEAR(E66),1,(12-MONTH(E66)+1)/12))) + (R66)*(IF((YEAR(D66)+11)&lt;YEAR(E66),0,IF((YEAR(D66)+11)&gt;YEAR(E66),1,(12-MONTH(E66)+1)/12))))-(IF(OR(N66="",N66&lt;=0),0,(O66/N66)*(IF(OR(N66="",N66&lt;=0),0,IF((YEAR(D66)+11)&lt;YEAR(E66),0,IF((YEAR(D66)+11)&gt;=YEAR(E66)+N66,0,IF((YEAR(D66)+11)=YEAR(E66),(12-MONTH(E66)+1)/12,1))))))))&gt;0,(((K66)*(IF(M66="",L66,IFERROR(IF(INDEX(Variablen!$I:$AT, MATCH(M66, Variablen!$A:$A, 0), MATCH((YEAR(D66)+11), Variablen!$I$3:$AT$3, 0))="",L66,INDEX(Variablen!$I:$AT, MATCH(M66, Variablen!$A:$A, 0), MATCH((YEAR(D66)+11), Variablen!$I$3:$AT$3, 0))),L66)))*(IF((YEAR(D66)+11)&lt;YEAR(E66),0,IF((YEAR(D66)+11)&gt;YEAR(E66),1,(12-MONTH(E66)+1)/12))) + (Q66)*(IF((YEAR(D66)+11)&lt;YEAR(E66),0,IF((YEAR(D66)+11)&gt;YEAR(E66),1,(12-MONTH(E66)+1)/12))))-((P66)*(IF((YEAR(D66)+11)&lt;YEAR(E66),0,IF((YEAR(D66)+11)&gt;YEAR(E66),1,(12-MONTH(E66)+1)/12))) + (R66)*(IF((YEAR(D66)+11)&lt;YEAR(E66),0,IF((YEAR(D66)+11)&gt;YEAR(E66),1,(12-MONTH(E66)+1)/12))))-(IF(OR(N66="",N66&lt;=0),0,(O66/N66)*(IF(OR(N66="",N66&lt;=0),0,IF((YEAR(D66)+11)&lt;YEAR(E66),0,IF((YEAR(D66)+11)&gt;=YEAR(E66)+N66,0,IF((YEAR(D66)+11)=YEAR(E66),(12-MONTH(E66)+1)/12,1))))))))*TaxRate,0))-IF(11=0,O66,0))</f>
        <v/>
      </c>
      <c r="AE66" s="29">
        <f>IF(A66="","",((K66)*(IF(M66="",L66,IFERROR(IF(INDEX(Variablen!$I:$AT, MATCH(M66, Variablen!$A:$A, 0), MATCH((YEAR(D66)+12), Variablen!$I$3:$AT$3, 0))="",L66,INDEX(Variablen!$I:$AT, MATCH(M66, Variablen!$A:$A, 0), MATCH((YEAR(D66)+12), Variablen!$I$3:$AT$3, 0))),L66)))*(IF((YEAR(D66)+12)&lt;YEAR(E66),0,IF((YEAR(D66)+12)&gt;YEAR(E66),1,(12-MONTH(E66)+1)/12))) + (Q66)*(IF((YEAR(D66)+12)&lt;YEAR(E66),0,IF((YEAR(D66)+12)&gt;YEAR(E66),1,(12-MONTH(E66)+1)/12))))-((P66)*(IF((YEAR(D66)+12)&lt;YEAR(E66),0,IF((YEAR(D66)+12)&gt;YEAR(E66),1,(12-MONTH(E66)+1)/12))) + (R66)*(IF((YEAR(D66)+12)&lt;YEAR(E66),0,IF((YEAR(D66)+12)&gt;YEAR(E66),1,(12-MONTH(E66)+1)/12))))-(IF((((K66)*(IF(M66="",L66,IFERROR(IF(INDEX(Variablen!$I:$AT, MATCH(M66, Variablen!$A:$A, 0), MATCH((YEAR(D66)+12), Variablen!$I$3:$AT$3, 0))="",L66,INDEX(Variablen!$I:$AT, MATCH(M66, Variablen!$A:$A, 0), MATCH((YEAR(D66)+12), Variablen!$I$3:$AT$3, 0))),L66)))*(IF((YEAR(D66)+12)&lt;YEAR(E66),0,IF((YEAR(D66)+12)&gt;YEAR(E66),1,(12-MONTH(E66)+1)/12))) + (Q66)*(IF((YEAR(D66)+12)&lt;YEAR(E66),0,IF((YEAR(D66)+12)&gt;YEAR(E66),1,(12-MONTH(E66)+1)/12))))-((P66)*(IF((YEAR(D66)+12)&lt;YEAR(E66),0,IF((YEAR(D66)+12)&gt;YEAR(E66),1,(12-MONTH(E66)+1)/12))) + (R66)*(IF((YEAR(D66)+12)&lt;YEAR(E66),0,IF((YEAR(D66)+12)&gt;YEAR(E66),1,(12-MONTH(E66)+1)/12))))-(IF(OR(N66="",N66&lt;=0),0,(O66/N66)*(IF(OR(N66="",N66&lt;=0),0,IF((YEAR(D66)+12)&lt;YEAR(E66),0,IF((YEAR(D66)+12)&gt;=YEAR(E66)+N66,0,IF((YEAR(D66)+12)=YEAR(E66),(12-MONTH(E66)+1)/12,1))))))))&gt;0,(((K66)*(IF(M66="",L66,IFERROR(IF(INDEX(Variablen!$I:$AT, MATCH(M66, Variablen!$A:$A, 0), MATCH((YEAR(D66)+12), Variablen!$I$3:$AT$3, 0))="",L66,INDEX(Variablen!$I:$AT, MATCH(M66, Variablen!$A:$A, 0), MATCH((YEAR(D66)+12), Variablen!$I$3:$AT$3, 0))),L66)))*(IF((YEAR(D66)+12)&lt;YEAR(E66),0,IF((YEAR(D66)+12)&gt;YEAR(E66),1,(12-MONTH(E66)+1)/12))) + (Q66)*(IF((YEAR(D66)+12)&lt;YEAR(E66),0,IF((YEAR(D66)+12)&gt;YEAR(E66),1,(12-MONTH(E66)+1)/12))))-((P66)*(IF((YEAR(D66)+12)&lt;YEAR(E66),0,IF((YEAR(D66)+12)&gt;YEAR(E66),1,(12-MONTH(E66)+1)/12))) + (R66)*(IF((YEAR(D66)+12)&lt;YEAR(E66),0,IF((YEAR(D66)+12)&gt;YEAR(E66),1,(12-MONTH(E66)+1)/12))))-(IF(OR(N66="",N66&lt;=0),0,(O66/N66)*(IF(OR(N66="",N66&lt;=0),0,IF((YEAR(D66)+12)&lt;YEAR(E66),0,IF((YEAR(D66)+12)&gt;=YEAR(E66)+N66,0,IF((YEAR(D66)+12)=YEAR(E66),(12-MONTH(E66)+1)/12,1))))))))*TaxRate,0))-IF(12=0,O66,0))</f>
        <v/>
      </c>
      <c r="AF66" s="29">
        <f>IF(A66="","",((K66)*(IF(M66="",L66,IFERROR(IF(INDEX(Variablen!$I:$AT, MATCH(M66, Variablen!$A:$A, 0), MATCH((YEAR(D66)+13), Variablen!$I$3:$AT$3, 0))="",L66,INDEX(Variablen!$I:$AT, MATCH(M66, Variablen!$A:$A, 0), MATCH((YEAR(D66)+13), Variablen!$I$3:$AT$3, 0))),L66)))*(IF((YEAR(D66)+13)&lt;YEAR(E66),0,IF((YEAR(D66)+13)&gt;YEAR(E66),1,(12-MONTH(E66)+1)/12))) + (Q66)*(IF((YEAR(D66)+13)&lt;YEAR(E66),0,IF((YEAR(D66)+13)&gt;YEAR(E66),1,(12-MONTH(E66)+1)/12))))-((P66)*(IF((YEAR(D66)+13)&lt;YEAR(E66),0,IF((YEAR(D66)+13)&gt;YEAR(E66),1,(12-MONTH(E66)+1)/12))) + (R66)*(IF((YEAR(D66)+13)&lt;YEAR(E66),0,IF((YEAR(D66)+13)&gt;YEAR(E66),1,(12-MONTH(E66)+1)/12))))-(IF((((K66)*(IF(M66="",L66,IFERROR(IF(INDEX(Variablen!$I:$AT, MATCH(M66, Variablen!$A:$A, 0), MATCH((YEAR(D66)+13), Variablen!$I$3:$AT$3, 0))="",L66,INDEX(Variablen!$I:$AT, MATCH(M66, Variablen!$A:$A, 0), MATCH((YEAR(D66)+13), Variablen!$I$3:$AT$3, 0))),L66)))*(IF((YEAR(D66)+13)&lt;YEAR(E66),0,IF((YEAR(D66)+13)&gt;YEAR(E66),1,(12-MONTH(E66)+1)/12))) + (Q66)*(IF((YEAR(D66)+13)&lt;YEAR(E66),0,IF((YEAR(D66)+13)&gt;YEAR(E66),1,(12-MONTH(E66)+1)/12))))-((P66)*(IF((YEAR(D66)+13)&lt;YEAR(E66),0,IF((YEAR(D66)+13)&gt;YEAR(E66),1,(12-MONTH(E66)+1)/12))) + (R66)*(IF((YEAR(D66)+13)&lt;YEAR(E66),0,IF((YEAR(D66)+13)&gt;YEAR(E66),1,(12-MONTH(E66)+1)/12))))-(IF(OR(N66="",N66&lt;=0),0,(O66/N66)*(IF(OR(N66="",N66&lt;=0),0,IF((YEAR(D66)+13)&lt;YEAR(E66),0,IF((YEAR(D66)+13)&gt;=YEAR(E66)+N66,0,IF((YEAR(D66)+13)=YEAR(E66),(12-MONTH(E66)+1)/12,1))))))))&gt;0,(((K66)*(IF(M66="",L66,IFERROR(IF(INDEX(Variablen!$I:$AT, MATCH(M66, Variablen!$A:$A, 0), MATCH((YEAR(D66)+13), Variablen!$I$3:$AT$3, 0))="",L66,INDEX(Variablen!$I:$AT, MATCH(M66, Variablen!$A:$A, 0), MATCH((YEAR(D66)+13), Variablen!$I$3:$AT$3, 0))),L66)))*(IF((YEAR(D66)+13)&lt;YEAR(E66),0,IF((YEAR(D66)+13)&gt;YEAR(E66),1,(12-MONTH(E66)+1)/12))) + (Q66)*(IF((YEAR(D66)+13)&lt;YEAR(E66),0,IF((YEAR(D66)+13)&gt;YEAR(E66),1,(12-MONTH(E66)+1)/12))))-((P66)*(IF((YEAR(D66)+13)&lt;YEAR(E66),0,IF((YEAR(D66)+13)&gt;YEAR(E66),1,(12-MONTH(E66)+1)/12))) + (R66)*(IF((YEAR(D66)+13)&lt;YEAR(E66),0,IF((YEAR(D66)+13)&gt;YEAR(E66),1,(12-MONTH(E66)+1)/12))))-(IF(OR(N66="",N66&lt;=0),0,(O66/N66)*(IF(OR(N66="",N66&lt;=0),0,IF((YEAR(D66)+13)&lt;YEAR(E66),0,IF((YEAR(D66)+13)&gt;=YEAR(E66)+N66,0,IF((YEAR(D66)+13)=YEAR(E66),(12-MONTH(E66)+1)/12,1))))))))*TaxRate,0))-IF(13=0,O66,0))</f>
        <v/>
      </c>
      <c r="AG66" s="29">
        <f>IF(A66="","",((K66)*(IF(M66="",L66,IFERROR(IF(INDEX(Variablen!$I:$AT, MATCH(M66, Variablen!$A:$A, 0), MATCH((YEAR(D66)+14), Variablen!$I$3:$AT$3, 0))="",L66,INDEX(Variablen!$I:$AT, MATCH(M66, Variablen!$A:$A, 0), MATCH((YEAR(D66)+14), Variablen!$I$3:$AT$3, 0))),L66)))*(IF((YEAR(D66)+14)&lt;YEAR(E66),0,IF((YEAR(D66)+14)&gt;YEAR(E66),1,(12-MONTH(E66)+1)/12))) + (Q66)*(IF((YEAR(D66)+14)&lt;YEAR(E66),0,IF((YEAR(D66)+14)&gt;YEAR(E66),1,(12-MONTH(E66)+1)/12))))-((P66)*(IF((YEAR(D66)+14)&lt;YEAR(E66),0,IF((YEAR(D66)+14)&gt;YEAR(E66),1,(12-MONTH(E66)+1)/12))) + (R66)*(IF((YEAR(D66)+14)&lt;YEAR(E66),0,IF((YEAR(D66)+14)&gt;YEAR(E66),1,(12-MONTH(E66)+1)/12))))-(IF((((K66)*(IF(M66="",L66,IFERROR(IF(INDEX(Variablen!$I:$AT, MATCH(M66, Variablen!$A:$A, 0), MATCH((YEAR(D66)+14), Variablen!$I$3:$AT$3, 0))="",L66,INDEX(Variablen!$I:$AT, MATCH(M66, Variablen!$A:$A, 0), MATCH((YEAR(D66)+14), Variablen!$I$3:$AT$3, 0))),L66)))*(IF((YEAR(D66)+14)&lt;YEAR(E66),0,IF((YEAR(D66)+14)&gt;YEAR(E66),1,(12-MONTH(E66)+1)/12))) + (Q66)*(IF((YEAR(D66)+14)&lt;YEAR(E66),0,IF((YEAR(D66)+14)&gt;YEAR(E66),1,(12-MONTH(E66)+1)/12))))-((P66)*(IF((YEAR(D66)+14)&lt;YEAR(E66),0,IF((YEAR(D66)+14)&gt;YEAR(E66),1,(12-MONTH(E66)+1)/12))) + (R66)*(IF((YEAR(D66)+14)&lt;YEAR(E66),0,IF((YEAR(D66)+14)&gt;YEAR(E66),1,(12-MONTH(E66)+1)/12))))-(IF(OR(N66="",N66&lt;=0),0,(O66/N66)*(IF(OR(N66="",N66&lt;=0),0,IF((YEAR(D66)+14)&lt;YEAR(E66),0,IF((YEAR(D66)+14)&gt;=YEAR(E66)+N66,0,IF((YEAR(D66)+14)=YEAR(E66),(12-MONTH(E66)+1)/12,1))))))))&gt;0,(((K66)*(IF(M66="",L66,IFERROR(IF(INDEX(Variablen!$I:$AT, MATCH(M66, Variablen!$A:$A, 0), MATCH((YEAR(D66)+14), Variablen!$I$3:$AT$3, 0))="",L66,INDEX(Variablen!$I:$AT, MATCH(M66, Variablen!$A:$A, 0), MATCH((YEAR(D66)+14), Variablen!$I$3:$AT$3, 0))),L66)))*(IF((YEAR(D66)+14)&lt;YEAR(E66),0,IF((YEAR(D66)+14)&gt;YEAR(E66),1,(12-MONTH(E66)+1)/12))) + (Q66)*(IF((YEAR(D66)+14)&lt;YEAR(E66),0,IF((YEAR(D66)+14)&gt;YEAR(E66),1,(12-MONTH(E66)+1)/12))))-((P66)*(IF((YEAR(D66)+14)&lt;YEAR(E66),0,IF((YEAR(D66)+14)&gt;YEAR(E66),1,(12-MONTH(E66)+1)/12))) + (R66)*(IF((YEAR(D66)+14)&lt;YEAR(E66),0,IF((YEAR(D66)+14)&gt;YEAR(E66),1,(12-MONTH(E66)+1)/12))))-(IF(OR(N66="",N66&lt;=0),0,(O66/N66)*(IF(OR(N66="",N66&lt;=0),0,IF((YEAR(D66)+14)&lt;YEAR(E66),0,IF((YEAR(D66)+14)&gt;=YEAR(E66)+N66,0,IF((YEAR(D66)+14)=YEAR(E66),(12-MONTH(E66)+1)/12,1))))))))*TaxRate,0))-IF(14=0,O66,0))</f>
        <v/>
      </c>
      <c r="AH66" s="29">
        <f>IF(A66="","",((K66)*(IF(M66="",L66,IFERROR(IF(INDEX(Variablen!$I:$AT, MATCH(M66, Variablen!$A:$A, 0), MATCH((YEAR(D66)+15), Variablen!$I$3:$AT$3, 0))="",L66,INDEX(Variablen!$I:$AT, MATCH(M66, Variablen!$A:$A, 0), MATCH((YEAR(D66)+15), Variablen!$I$3:$AT$3, 0))),L66)))*(IF((YEAR(D66)+15)&lt;YEAR(E66),0,IF((YEAR(D66)+15)&gt;YEAR(E66),1,(12-MONTH(E66)+1)/12))) + (Q66)*(IF((YEAR(D66)+15)&lt;YEAR(E66),0,IF((YEAR(D66)+15)&gt;YEAR(E66),1,(12-MONTH(E66)+1)/12))))-((P66)*(IF((YEAR(D66)+15)&lt;YEAR(E66),0,IF((YEAR(D66)+15)&gt;YEAR(E66),1,(12-MONTH(E66)+1)/12))) + (R66)*(IF((YEAR(D66)+15)&lt;YEAR(E66),0,IF((YEAR(D66)+15)&gt;YEAR(E66),1,(12-MONTH(E66)+1)/12))))-(IF((((K66)*(IF(M66="",L66,IFERROR(IF(INDEX(Variablen!$I:$AT, MATCH(M66, Variablen!$A:$A, 0), MATCH((YEAR(D66)+15), Variablen!$I$3:$AT$3, 0))="",L66,INDEX(Variablen!$I:$AT, MATCH(M66, Variablen!$A:$A, 0), MATCH((YEAR(D66)+15), Variablen!$I$3:$AT$3, 0))),L66)))*(IF((YEAR(D66)+15)&lt;YEAR(E66),0,IF((YEAR(D66)+15)&gt;YEAR(E66),1,(12-MONTH(E66)+1)/12))) + (Q66)*(IF((YEAR(D66)+15)&lt;YEAR(E66),0,IF((YEAR(D66)+15)&gt;YEAR(E66),1,(12-MONTH(E66)+1)/12))))-((P66)*(IF((YEAR(D66)+15)&lt;YEAR(E66),0,IF((YEAR(D66)+15)&gt;YEAR(E66),1,(12-MONTH(E66)+1)/12))) + (R66)*(IF((YEAR(D66)+15)&lt;YEAR(E66),0,IF((YEAR(D66)+15)&gt;YEAR(E66),1,(12-MONTH(E66)+1)/12))))-(IF(OR(N66="",N66&lt;=0),0,(O66/N66)*(IF(OR(N66="",N66&lt;=0),0,IF((YEAR(D66)+15)&lt;YEAR(E66),0,IF((YEAR(D66)+15)&gt;=YEAR(E66)+N66,0,IF((YEAR(D66)+15)=YEAR(E66),(12-MONTH(E66)+1)/12,1))))))))&gt;0,(((K66)*(IF(M66="",L66,IFERROR(IF(INDEX(Variablen!$I:$AT, MATCH(M66, Variablen!$A:$A, 0), MATCH((YEAR(D66)+15), Variablen!$I$3:$AT$3, 0))="",L66,INDEX(Variablen!$I:$AT, MATCH(M66, Variablen!$A:$A, 0), MATCH((YEAR(D66)+15), Variablen!$I$3:$AT$3, 0))),L66)))*(IF((YEAR(D66)+15)&lt;YEAR(E66),0,IF((YEAR(D66)+15)&gt;YEAR(E66),1,(12-MONTH(E66)+1)/12))) + (Q66)*(IF((YEAR(D66)+15)&lt;YEAR(E66),0,IF((YEAR(D66)+15)&gt;YEAR(E66),1,(12-MONTH(E66)+1)/12))))-((P66)*(IF((YEAR(D66)+15)&lt;YEAR(E66),0,IF((YEAR(D66)+15)&gt;YEAR(E66),1,(12-MONTH(E66)+1)/12))) + (R66)*(IF((YEAR(D66)+15)&lt;YEAR(E66),0,IF((YEAR(D66)+15)&gt;YEAR(E66),1,(12-MONTH(E66)+1)/12))))-(IF(OR(N66="",N66&lt;=0),0,(O66/N66)*(IF(OR(N66="",N66&lt;=0),0,IF((YEAR(D66)+15)&lt;YEAR(E66),0,IF((YEAR(D66)+15)&gt;=YEAR(E66)+N66,0,IF((YEAR(D66)+15)=YEAR(E66),(12-MONTH(E66)+1)/12,1))))))))*TaxRate,0))-IF(15=0,O66,0))</f>
        <v/>
      </c>
      <c r="AI66" s="29">
        <f>IF(A66="","",((K66)*(IF(M66="",L66,IFERROR(IF(INDEX(Variablen!$I:$AT, MATCH(M66, Variablen!$A:$A, 0), MATCH((YEAR(D66)+16), Variablen!$I$3:$AT$3, 0))="",L66,INDEX(Variablen!$I:$AT, MATCH(M66, Variablen!$A:$A, 0), MATCH((YEAR(D66)+16), Variablen!$I$3:$AT$3, 0))),L66)))*(IF((YEAR(D66)+16)&lt;YEAR(E66),0,IF((YEAR(D66)+16)&gt;YEAR(E66),1,(12-MONTH(E66)+1)/12))) + (Q66)*(IF((YEAR(D66)+16)&lt;YEAR(E66),0,IF((YEAR(D66)+16)&gt;YEAR(E66),1,(12-MONTH(E66)+1)/12))))-((P66)*(IF((YEAR(D66)+16)&lt;YEAR(E66),0,IF((YEAR(D66)+16)&gt;YEAR(E66),1,(12-MONTH(E66)+1)/12))) + (R66)*(IF((YEAR(D66)+16)&lt;YEAR(E66),0,IF((YEAR(D66)+16)&gt;YEAR(E66),1,(12-MONTH(E66)+1)/12))))-(IF((((K66)*(IF(M66="",L66,IFERROR(IF(INDEX(Variablen!$I:$AT, MATCH(M66, Variablen!$A:$A, 0), MATCH((YEAR(D66)+16), Variablen!$I$3:$AT$3, 0))="",L66,INDEX(Variablen!$I:$AT, MATCH(M66, Variablen!$A:$A, 0), MATCH((YEAR(D66)+16), Variablen!$I$3:$AT$3, 0))),L66)))*(IF((YEAR(D66)+16)&lt;YEAR(E66),0,IF((YEAR(D66)+16)&gt;YEAR(E66),1,(12-MONTH(E66)+1)/12))) + (Q66)*(IF((YEAR(D66)+16)&lt;YEAR(E66),0,IF((YEAR(D66)+16)&gt;YEAR(E66),1,(12-MONTH(E66)+1)/12))))-((P66)*(IF((YEAR(D66)+16)&lt;YEAR(E66),0,IF((YEAR(D66)+16)&gt;YEAR(E66),1,(12-MONTH(E66)+1)/12))) + (R66)*(IF((YEAR(D66)+16)&lt;YEAR(E66),0,IF((YEAR(D66)+16)&gt;YEAR(E66),1,(12-MONTH(E66)+1)/12))))-(IF(OR(N66="",N66&lt;=0),0,(O66/N66)*(IF(OR(N66="",N66&lt;=0),0,IF((YEAR(D66)+16)&lt;YEAR(E66),0,IF((YEAR(D66)+16)&gt;=YEAR(E66)+N66,0,IF((YEAR(D66)+16)=YEAR(E66),(12-MONTH(E66)+1)/12,1))))))))&gt;0,(((K66)*(IF(M66="",L66,IFERROR(IF(INDEX(Variablen!$I:$AT, MATCH(M66, Variablen!$A:$A, 0), MATCH((YEAR(D66)+16), Variablen!$I$3:$AT$3, 0))="",L66,INDEX(Variablen!$I:$AT, MATCH(M66, Variablen!$A:$A, 0), MATCH((YEAR(D66)+16), Variablen!$I$3:$AT$3, 0))),L66)))*(IF((YEAR(D66)+16)&lt;YEAR(E66),0,IF((YEAR(D66)+16)&gt;YEAR(E66),1,(12-MONTH(E66)+1)/12))) + (Q66)*(IF((YEAR(D66)+16)&lt;YEAR(E66),0,IF((YEAR(D66)+16)&gt;YEAR(E66),1,(12-MONTH(E66)+1)/12))))-((P66)*(IF((YEAR(D66)+16)&lt;YEAR(E66),0,IF((YEAR(D66)+16)&gt;YEAR(E66),1,(12-MONTH(E66)+1)/12))) + (R66)*(IF((YEAR(D66)+16)&lt;YEAR(E66),0,IF((YEAR(D66)+16)&gt;YEAR(E66),1,(12-MONTH(E66)+1)/12))))-(IF(OR(N66="",N66&lt;=0),0,(O66/N66)*(IF(OR(N66="",N66&lt;=0),0,IF((YEAR(D66)+16)&lt;YEAR(E66),0,IF((YEAR(D66)+16)&gt;=YEAR(E66)+N66,0,IF((YEAR(D66)+16)=YEAR(E66),(12-MONTH(E66)+1)/12,1))))))))*TaxRate,0))-IF(16=0,O66,0))</f>
        <v/>
      </c>
      <c r="AJ66" s="29">
        <f>IF(A66="","",((K66)*(IF(M66="",L66,IFERROR(IF(INDEX(Variablen!$I:$AT, MATCH(M66, Variablen!$A:$A, 0), MATCH((YEAR(D66)+17), Variablen!$I$3:$AT$3, 0))="",L66,INDEX(Variablen!$I:$AT, MATCH(M66, Variablen!$A:$A, 0), MATCH((YEAR(D66)+17), Variablen!$I$3:$AT$3, 0))),L66)))*(IF((YEAR(D66)+17)&lt;YEAR(E66),0,IF((YEAR(D66)+17)&gt;YEAR(E66),1,(12-MONTH(E66)+1)/12))) + (Q66)*(IF((YEAR(D66)+17)&lt;YEAR(E66),0,IF((YEAR(D66)+17)&gt;YEAR(E66),1,(12-MONTH(E66)+1)/12))))-((P66)*(IF((YEAR(D66)+17)&lt;YEAR(E66),0,IF((YEAR(D66)+17)&gt;YEAR(E66),1,(12-MONTH(E66)+1)/12))) + (R66)*(IF((YEAR(D66)+17)&lt;YEAR(E66),0,IF((YEAR(D66)+17)&gt;YEAR(E66),1,(12-MONTH(E66)+1)/12))))-(IF((((K66)*(IF(M66="",L66,IFERROR(IF(INDEX(Variablen!$I:$AT, MATCH(M66, Variablen!$A:$A, 0), MATCH((YEAR(D66)+17), Variablen!$I$3:$AT$3, 0))="",L66,INDEX(Variablen!$I:$AT, MATCH(M66, Variablen!$A:$A, 0), MATCH((YEAR(D66)+17), Variablen!$I$3:$AT$3, 0))),L66)))*(IF((YEAR(D66)+17)&lt;YEAR(E66),0,IF((YEAR(D66)+17)&gt;YEAR(E66),1,(12-MONTH(E66)+1)/12))) + (Q66)*(IF((YEAR(D66)+17)&lt;YEAR(E66),0,IF((YEAR(D66)+17)&gt;YEAR(E66),1,(12-MONTH(E66)+1)/12))))-((P66)*(IF((YEAR(D66)+17)&lt;YEAR(E66),0,IF((YEAR(D66)+17)&gt;YEAR(E66),1,(12-MONTH(E66)+1)/12))) + (R66)*(IF((YEAR(D66)+17)&lt;YEAR(E66),0,IF((YEAR(D66)+17)&gt;YEAR(E66),1,(12-MONTH(E66)+1)/12))))-(IF(OR(N66="",N66&lt;=0),0,(O66/N66)*(IF(OR(N66="",N66&lt;=0),0,IF((YEAR(D66)+17)&lt;YEAR(E66),0,IF((YEAR(D66)+17)&gt;=YEAR(E66)+N66,0,IF((YEAR(D66)+17)=YEAR(E66),(12-MONTH(E66)+1)/12,1))))))))&gt;0,(((K66)*(IF(M66="",L66,IFERROR(IF(INDEX(Variablen!$I:$AT, MATCH(M66, Variablen!$A:$A, 0), MATCH((YEAR(D66)+17), Variablen!$I$3:$AT$3, 0))="",L66,INDEX(Variablen!$I:$AT, MATCH(M66, Variablen!$A:$A, 0), MATCH((YEAR(D66)+17), Variablen!$I$3:$AT$3, 0))),L66)))*(IF((YEAR(D66)+17)&lt;YEAR(E66),0,IF((YEAR(D66)+17)&gt;YEAR(E66),1,(12-MONTH(E66)+1)/12))) + (Q66)*(IF((YEAR(D66)+17)&lt;YEAR(E66),0,IF((YEAR(D66)+17)&gt;YEAR(E66),1,(12-MONTH(E66)+1)/12))))-((P66)*(IF((YEAR(D66)+17)&lt;YEAR(E66),0,IF((YEAR(D66)+17)&gt;YEAR(E66),1,(12-MONTH(E66)+1)/12))) + (R66)*(IF((YEAR(D66)+17)&lt;YEAR(E66),0,IF((YEAR(D66)+17)&gt;YEAR(E66),1,(12-MONTH(E66)+1)/12))))-(IF(OR(N66="",N66&lt;=0),0,(O66/N66)*(IF(OR(N66="",N66&lt;=0),0,IF((YEAR(D66)+17)&lt;YEAR(E66),0,IF((YEAR(D66)+17)&gt;=YEAR(E66)+N66,0,IF((YEAR(D66)+17)=YEAR(E66),(12-MONTH(E66)+1)/12,1))))))))*TaxRate,0))-IF(17=0,O66,0))</f>
        <v/>
      </c>
      <c r="AK66" s="29">
        <f>IF(A66="","",((K66)*(IF(M66="",L66,IFERROR(IF(INDEX(Variablen!$I:$AT, MATCH(M66, Variablen!$A:$A, 0), MATCH((YEAR(D66)+18), Variablen!$I$3:$AT$3, 0))="",L66,INDEX(Variablen!$I:$AT, MATCH(M66, Variablen!$A:$A, 0), MATCH((YEAR(D66)+18), Variablen!$I$3:$AT$3, 0))),L66)))*(IF((YEAR(D66)+18)&lt;YEAR(E66),0,IF((YEAR(D66)+18)&gt;YEAR(E66),1,(12-MONTH(E66)+1)/12))) + (Q66)*(IF((YEAR(D66)+18)&lt;YEAR(E66),0,IF((YEAR(D66)+18)&gt;YEAR(E66),1,(12-MONTH(E66)+1)/12))))-((P66)*(IF((YEAR(D66)+18)&lt;YEAR(E66),0,IF((YEAR(D66)+18)&gt;YEAR(E66),1,(12-MONTH(E66)+1)/12))) + (R66)*(IF((YEAR(D66)+18)&lt;YEAR(E66),0,IF((YEAR(D66)+18)&gt;YEAR(E66),1,(12-MONTH(E66)+1)/12))))-(IF((((K66)*(IF(M66="",L66,IFERROR(IF(INDEX(Variablen!$I:$AT, MATCH(M66, Variablen!$A:$A, 0), MATCH((YEAR(D66)+18), Variablen!$I$3:$AT$3, 0))="",L66,INDEX(Variablen!$I:$AT, MATCH(M66, Variablen!$A:$A, 0), MATCH((YEAR(D66)+18), Variablen!$I$3:$AT$3, 0))),L66)))*(IF((YEAR(D66)+18)&lt;YEAR(E66),0,IF((YEAR(D66)+18)&gt;YEAR(E66),1,(12-MONTH(E66)+1)/12))) + (Q66)*(IF((YEAR(D66)+18)&lt;YEAR(E66),0,IF((YEAR(D66)+18)&gt;YEAR(E66),1,(12-MONTH(E66)+1)/12))))-((P66)*(IF((YEAR(D66)+18)&lt;YEAR(E66),0,IF((YEAR(D66)+18)&gt;YEAR(E66),1,(12-MONTH(E66)+1)/12))) + (R66)*(IF((YEAR(D66)+18)&lt;YEAR(E66),0,IF((YEAR(D66)+18)&gt;YEAR(E66),1,(12-MONTH(E66)+1)/12))))-(IF(OR(N66="",N66&lt;=0),0,(O66/N66)*(IF(OR(N66="",N66&lt;=0),0,IF((YEAR(D66)+18)&lt;YEAR(E66),0,IF((YEAR(D66)+18)&gt;=YEAR(E66)+N66,0,IF((YEAR(D66)+18)=YEAR(E66),(12-MONTH(E66)+1)/12,1))))))))&gt;0,(((K66)*(IF(M66="",L66,IFERROR(IF(INDEX(Variablen!$I:$AT, MATCH(M66, Variablen!$A:$A, 0), MATCH((YEAR(D66)+18), Variablen!$I$3:$AT$3, 0))="",L66,INDEX(Variablen!$I:$AT, MATCH(M66, Variablen!$A:$A, 0), MATCH((YEAR(D66)+18), Variablen!$I$3:$AT$3, 0))),L66)))*(IF((YEAR(D66)+18)&lt;YEAR(E66),0,IF((YEAR(D66)+18)&gt;YEAR(E66),1,(12-MONTH(E66)+1)/12))) + (Q66)*(IF((YEAR(D66)+18)&lt;YEAR(E66),0,IF((YEAR(D66)+18)&gt;YEAR(E66),1,(12-MONTH(E66)+1)/12))))-((P66)*(IF((YEAR(D66)+18)&lt;YEAR(E66),0,IF((YEAR(D66)+18)&gt;YEAR(E66),1,(12-MONTH(E66)+1)/12))) + (R66)*(IF((YEAR(D66)+18)&lt;YEAR(E66),0,IF((YEAR(D66)+18)&gt;YEAR(E66),1,(12-MONTH(E66)+1)/12))))-(IF(OR(N66="",N66&lt;=0),0,(O66/N66)*(IF(OR(N66="",N66&lt;=0),0,IF((YEAR(D66)+18)&lt;YEAR(E66),0,IF((YEAR(D66)+18)&gt;=YEAR(E66)+N66,0,IF((YEAR(D66)+18)=YEAR(E66),(12-MONTH(E66)+1)/12,1))))))))*TaxRate,0))-IF(18=0,O66,0))</f>
        <v/>
      </c>
      <c r="AL66" s="29">
        <f>IF(A66="","",((K66)*(IF(M66="",L66,IFERROR(IF(INDEX(Variablen!$I:$AT, MATCH(M66, Variablen!$A:$A, 0), MATCH((YEAR(D66)+19), Variablen!$I$3:$AT$3, 0))="",L66,INDEX(Variablen!$I:$AT, MATCH(M66, Variablen!$A:$A, 0), MATCH((YEAR(D66)+19), Variablen!$I$3:$AT$3, 0))),L66)))*(IF((YEAR(D66)+19)&lt;YEAR(E66),0,IF((YEAR(D66)+19)&gt;YEAR(E66),1,(12-MONTH(E66)+1)/12))) + (Q66)*(IF((YEAR(D66)+19)&lt;YEAR(E66),0,IF((YEAR(D66)+19)&gt;YEAR(E66),1,(12-MONTH(E66)+1)/12))))-((P66)*(IF((YEAR(D66)+19)&lt;YEAR(E66),0,IF((YEAR(D66)+19)&gt;YEAR(E66),1,(12-MONTH(E66)+1)/12))) + (R66)*(IF((YEAR(D66)+19)&lt;YEAR(E66),0,IF((YEAR(D66)+19)&gt;YEAR(E66),1,(12-MONTH(E66)+1)/12))))-(IF((((K66)*(IF(M66="",L66,IFERROR(IF(INDEX(Variablen!$I:$AT, MATCH(M66, Variablen!$A:$A, 0), MATCH((YEAR(D66)+19), Variablen!$I$3:$AT$3, 0))="",L66,INDEX(Variablen!$I:$AT, MATCH(M66, Variablen!$A:$A, 0), MATCH((YEAR(D66)+19), Variablen!$I$3:$AT$3, 0))),L66)))*(IF((YEAR(D66)+19)&lt;YEAR(E66),0,IF((YEAR(D66)+19)&gt;YEAR(E66),1,(12-MONTH(E66)+1)/12))) + (Q66)*(IF((YEAR(D66)+19)&lt;YEAR(E66),0,IF((YEAR(D66)+19)&gt;YEAR(E66),1,(12-MONTH(E66)+1)/12))))-((P66)*(IF((YEAR(D66)+19)&lt;YEAR(E66),0,IF((YEAR(D66)+19)&gt;YEAR(E66),1,(12-MONTH(E66)+1)/12))) + (R66)*(IF((YEAR(D66)+19)&lt;YEAR(E66),0,IF((YEAR(D66)+19)&gt;YEAR(E66),1,(12-MONTH(E66)+1)/12))))-(IF(OR(N66="",N66&lt;=0),0,(O66/N66)*(IF(OR(N66="",N66&lt;=0),0,IF((YEAR(D66)+19)&lt;YEAR(E66),0,IF((YEAR(D66)+19)&gt;=YEAR(E66)+N66,0,IF((YEAR(D66)+19)=YEAR(E66),(12-MONTH(E66)+1)/12,1))))))))&gt;0,(((K66)*(IF(M66="",L66,IFERROR(IF(INDEX(Variablen!$I:$AT, MATCH(M66, Variablen!$A:$A, 0), MATCH((YEAR(D66)+19), Variablen!$I$3:$AT$3, 0))="",L66,INDEX(Variablen!$I:$AT, MATCH(M66, Variablen!$A:$A, 0), MATCH((YEAR(D66)+19), Variablen!$I$3:$AT$3, 0))),L66)))*(IF((YEAR(D66)+19)&lt;YEAR(E66),0,IF((YEAR(D66)+19)&gt;YEAR(E66),1,(12-MONTH(E66)+1)/12))) + (Q66)*(IF((YEAR(D66)+19)&lt;YEAR(E66),0,IF((YEAR(D66)+19)&gt;YEAR(E66),1,(12-MONTH(E66)+1)/12))))-((P66)*(IF((YEAR(D66)+19)&lt;YEAR(E66),0,IF((YEAR(D66)+19)&gt;YEAR(E66),1,(12-MONTH(E66)+1)/12))) + (R66)*(IF((YEAR(D66)+19)&lt;YEAR(E66),0,IF((YEAR(D66)+19)&gt;YEAR(E66),1,(12-MONTH(E66)+1)/12))))-(IF(OR(N66="",N66&lt;=0),0,(O66/N66)*(IF(OR(N66="",N66&lt;=0),0,IF((YEAR(D66)+19)&lt;YEAR(E66),0,IF((YEAR(D66)+19)&gt;=YEAR(E66)+N66,0,IF((YEAR(D66)+19)=YEAR(E66),(12-MONTH(E66)+1)/12,1))))))))*TaxRate,0))-IF(19=0,O66,0))</f>
        <v/>
      </c>
      <c r="AM66" s="29">
        <f>IF(A66="","",((K66)*(IF(M66="",L66,IFERROR(IF(INDEX(Variablen!$I:$AT, MATCH(M66, Variablen!$A:$A, 0), MATCH((YEAR(D66)+20), Variablen!$I$3:$AT$3, 0))="",L66,INDEX(Variablen!$I:$AT, MATCH(M66, Variablen!$A:$A, 0), MATCH((YEAR(D66)+20), Variablen!$I$3:$AT$3, 0))),L66)))*(IF((YEAR(D66)+20)&lt;YEAR(E66),0,IF((YEAR(D66)+20)&gt;YEAR(E66),1,(12-MONTH(E66)+1)/12))) + (Q66)*(IF((YEAR(D66)+20)&lt;YEAR(E66),0,IF((YEAR(D66)+20)&gt;YEAR(E66),1,(12-MONTH(E66)+1)/12))))-((P66)*(IF((YEAR(D66)+20)&lt;YEAR(E66),0,IF((YEAR(D66)+20)&gt;YEAR(E66),1,(12-MONTH(E66)+1)/12))) + (R66)*(IF((YEAR(D66)+20)&lt;YEAR(E66),0,IF((YEAR(D66)+20)&gt;YEAR(E66),1,(12-MONTH(E66)+1)/12))))-(IF((((K66)*(IF(M66="",L66,IFERROR(IF(INDEX(Variablen!$I:$AT, MATCH(M66, Variablen!$A:$A, 0), MATCH((YEAR(D66)+20), Variablen!$I$3:$AT$3, 0))="",L66,INDEX(Variablen!$I:$AT, MATCH(M66, Variablen!$A:$A, 0), MATCH((YEAR(D66)+20), Variablen!$I$3:$AT$3, 0))),L66)))*(IF((YEAR(D66)+20)&lt;YEAR(E66),0,IF((YEAR(D66)+20)&gt;YEAR(E66),1,(12-MONTH(E66)+1)/12))) + (Q66)*(IF((YEAR(D66)+20)&lt;YEAR(E66),0,IF((YEAR(D66)+20)&gt;YEAR(E66),1,(12-MONTH(E66)+1)/12))))-((P66)*(IF((YEAR(D66)+20)&lt;YEAR(E66),0,IF((YEAR(D66)+20)&gt;YEAR(E66),1,(12-MONTH(E66)+1)/12))) + (R66)*(IF((YEAR(D66)+20)&lt;YEAR(E66),0,IF((YEAR(D66)+20)&gt;YEAR(E66),1,(12-MONTH(E66)+1)/12))))-(IF(OR(N66="",N66&lt;=0),0,(O66/N66)*(IF(OR(N66="",N66&lt;=0),0,IF((YEAR(D66)+20)&lt;YEAR(E66),0,IF((YEAR(D66)+20)&gt;=YEAR(E66)+N66,0,IF((YEAR(D66)+20)=YEAR(E66),(12-MONTH(E66)+1)/12,1))))))))&gt;0,(((K66)*(IF(M66="",L66,IFERROR(IF(INDEX(Variablen!$I:$AT, MATCH(M66, Variablen!$A:$A, 0), MATCH((YEAR(D66)+20), Variablen!$I$3:$AT$3, 0))="",L66,INDEX(Variablen!$I:$AT, MATCH(M66, Variablen!$A:$A, 0), MATCH((YEAR(D66)+20), Variablen!$I$3:$AT$3, 0))),L66)))*(IF((YEAR(D66)+20)&lt;YEAR(E66),0,IF((YEAR(D66)+20)&gt;YEAR(E66),1,(12-MONTH(E66)+1)/12))) + (Q66)*(IF((YEAR(D66)+20)&lt;YEAR(E66),0,IF((YEAR(D66)+20)&gt;YEAR(E66),1,(12-MONTH(E66)+1)/12))))-((P66)*(IF((YEAR(D66)+20)&lt;YEAR(E66),0,IF((YEAR(D66)+20)&gt;YEAR(E66),1,(12-MONTH(E66)+1)/12))) + (R66)*(IF((YEAR(D66)+20)&lt;YEAR(E66),0,IF((YEAR(D66)+20)&gt;YEAR(E66),1,(12-MONTH(E66)+1)/12))))-(IF(OR(N66="",N66&lt;=0),0,(O66/N66)*(IF(OR(N66="",N66&lt;=0),0,IF((YEAR(D66)+20)&lt;YEAR(E66),0,IF((YEAR(D66)+20)&gt;=YEAR(E66)+N66,0,IF((YEAR(D66)+20)=YEAR(E66),(12-MONTH(E66)+1)/12,1))))))))*TaxRate,0))-IF(20=0,O66,0))</f>
        <v/>
      </c>
      <c r="AN66" s="29">
        <f>IF(A66="","",S66)</f>
        <v/>
      </c>
      <c r="AO66" s="29">
        <f>IF(A66="","",AN66+T66)</f>
        <v/>
      </c>
      <c r="AP66" s="29">
        <f>IF(A66="","",AO66+U66)</f>
        <v/>
      </c>
      <c r="AQ66" s="29">
        <f>IF(A66="","",AP66+V66)</f>
        <v/>
      </c>
      <c r="AR66" s="29">
        <f>IF(A66="","",AQ66+W66)</f>
        <v/>
      </c>
      <c r="AS66" s="29">
        <f>IF(A66="","",AR66+X66)</f>
        <v/>
      </c>
      <c r="AT66" s="29">
        <f>IF(A66="","",AS66+Y66)</f>
        <v/>
      </c>
      <c r="AU66" s="29">
        <f>IF(A66="","",AT66+Z66)</f>
        <v/>
      </c>
      <c r="AV66" s="29">
        <f>IF(A66="","",AU66+AA66)</f>
        <v/>
      </c>
      <c r="AW66" s="29">
        <f>IF(A66="","",AV66+AB66)</f>
        <v/>
      </c>
      <c r="AX66" s="29">
        <f>IF(A66="","",AW66+AC66)</f>
        <v/>
      </c>
      <c r="AY66" s="29">
        <f>IF(A66="","",AX66+AD66)</f>
        <v/>
      </c>
      <c r="AZ66" s="29">
        <f>IF(A66="","",AY66+AE66)</f>
        <v/>
      </c>
      <c r="BA66" s="29">
        <f>IF(A66="","",AZ66+AF66)</f>
        <v/>
      </c>
      <c r="BB66" s="29">
        <f>IF(A66="","",BA66+AG66)</f>
        <v/>
      </c>
      <c r="BC66" s="29">
        <f>IF(A66="","",BB66+AH66)</f>
        <v/>
      </c>
      <c r="BD66" s="29">
        <f>IF(A66="","",BC66+AI66)</f>
        <v/>
      </c>
      <c r="BE66" s="29">
        <f>IF(A66="","",BD66+AJ66)</f>
        <v/>
      </c>
      <c r="BF66" s="29">
        <f>IF(A66="","",BE66+AK66)</f>
        <v/>
      </c>
      <c r="BG66" s="29">
        <f>IF(A66="","",BF66+AL66)</f>
        <v/>
      </c>
      <c r="BH66" s="29">
        <f>IF(A66="","",BG66+AM66)</f>
        <v/>
      </c>
      <c r="BI66" s="36">
        <f>IF(A66="","",(K66)*(IF((YEAR(D66)+0)&lt;YEAR(E66),0,IF((YEAR(D66)+0)&gt;YEAR(E66),1,(12-MONTH(E66)+1)/12)))*(1/(1+DiscountRate)^0))</f>
        <v/>
      </c>
      <c r="BJ66" s="36">
        <f>IF(A66="","",(K66)*(IF((YEAR(D66)+1)&lt;YEAR(E66),0,IF((YEAR(D66)+1)&gt;YEAR(E66),1,(12-MONTH(E66)+1)/12)))*(1/(1+DiscountRate)^1))</f>
        <v/>
      </c>
      <c r="BK66" s="36">
        <f>IF(A66="","",(K66)*(IF((YEAR(D66)+2)&lt;YEAR(E66),0,IF((YEAR(D66)+2)&gt;YEAR(E66),1,(12-MONTH(E66)+1)/12)))*(1/(1+DiscountRate)^2))</f>
        <v/>
      </c>
      <c r="BL66" s="36">
        <f>IF(A66="","",(K66)*(IF((YEAR(D66)+3)&lt;YEAR(E66),0,IF((YEAR(D66)+3)&gt;YEAR(E66),1,(12-MONTH(E66)+1)/12)))*(1/(1+DiscountRate)^3))</f>
        <v/>
      </c>
      <c r="BM66" s="36">
        <f>IF(A66="","",(K66)*(IF((YEAR(D66)+4)&lt;YEAR(E66),0,IF((YEAR(D66)+4)&gt;YEAR(E66),1,(12-MONTH(E66)+1)/12)))*(1/(1+DiscountRate)^4))</f>
        <v/>
      </c>
      <c r="BN66" s="36">
        <f>IF(A66="","",(K66)*(IF((YEAR(D66)+5)&lt;YEAR(E66),0,IF((YEAR(D66)+5)&gt;YEAR(E66),1,(12-MONTH(E66)+1)/12)))*(1/(1+DiscountRate)^5))</f>
        <v/>
      </c>
      <c r="BO66" s="36">
        <f>IF(A66="","",(K66)*(IF((YEAR(D66)+6)&lt;YEAR(E66),0,IF((YEAR(D66)+6)&gt;YEAR(E66),1,(12-MONTH(E66)+1)/12)))*(1/(1+DiscountRate)^6))</f>
        <v/>
      </c>
      <c r="BP66" s="36">
        <f>IF(A66="","",(K66)*(IF((YEAR(D66)+7)&lt;YEAR(E66),0,IF((YEAR(D66)+7)&gt;YEAR(E66),1,(12-MONTH(E66)+1)/12)))*(1/(1+DiscountRate)^7))</f>
        <v/>
      </c>
      <c r="BQ66" s="36">
        <f>IF(A66="","",(K66)*(IF((YEAR(D66)+8)&lt;YEAR(E66),0,IF((YEAR(D66)+8)&gt;YEAR(E66),1,(12-MONTH(E66)+1)/12)))*(1/(1+DiscountRate)^8))</f>
        <v/>
      </c>
      <c r="BR66" s="36">
        <f>IF(A66="","",(K66)*(IF((YEAR(D66)+9)&lt;YEAR(E66),0,IF((YEAR(D66)+9)&gt;YEAR(E66),1,(12-MONTH(E66)+1)/12)))*(1/(1+DiscountRate)^9))</f>
        <v/>
      </c>
      <c r="BS66" s="36">
        <f>IF(A66="","",(K66)*(IF((YEAR(D66)+10)&lt;YEAR(E66),0,IF((YEAR(D66)+10)&gt;YEAR(E66),1,(12-MONTH(E66)+1)/12)))*(1/(1+DiscountRate)^10))</f>
        <v/>
      </c>
      <c r="BT66" s="36">
        <f>IF(A66="","",(K66)*(IF((YEAR(D66)+11)&lt;YEAR(E66),0,IF((YEAR(D66)+11)&gt;YEAR(E66),1,(12-MONTH(E66)+1)/12)))*(1/(1+DiscountRate)^11))</f>
        <v/>
      </c>
      <c r="BU66" s="36">
        <f>IF(A66="","",(K66)*(IF((YEAR(D66)+12)&lt;YEAR(E66),0,IF((YEAR(D66)+12)&gt;YEAR(E66),1,(12-MONTH(E66)+1)/12)))*(1/(1+DiscountRate)^12))</f>
        <v/>
      </c>
      <c r="BV66" s="36">
        <f>IF(A66="","",(K66)*(IF((YEAR(D66)+13)&lt;YEAR(E66),0,IF((YEAR(D66)+13)&gt;YEAR(E66),1,(12-MONTH(E66)+1)/12)))*(1/(1+DiscountRate)^13))</f>
        <v/>
      </c>
      <c r="BW66" s="36">
        <f>IF(A66="","",(K66)*(IF((YEAR(D66)+14)&lt;YEAR(E66),0,IF((YEAR(D66)+14)&gt;YEAR(E66),1,(12-MONTH(E66)+1)/12)))*(1/(1+DiscountRate)^14))</f>
        <v/>
      </c>
      <c r="BX66" s="36">
        <f>IF(A66="","",(K66)*(IF((YEAR(D66)+15)&lt;YEAR(E66),0,IF((YEAR(D66)+15)&gt;YEAR(E66),1,(12-MONTH(E66)+1)/12)))*(1/(1+DiscountRate)^15))</f>
        <v/>
      </c>
      <c r="BY66" s="36">
        <f>IF(A66="","",(K66)*(IF((YEAR(D66)+16)&lt;YEAR(E66),0,IF((YEAR(D66)+16)&gt;YEAR(E66),1,(12-MONTH(E66)+1)/12)))*(1/(1+DiscountRate)^16))</f>
        <v/>
      </c>
      <c r="BZ66" s="36">
        <f>IF(A66="","",(K66)*(IF((YEAR(D66)+17)&lt;YEAR(E66),0,IF((YEAR(D66)+17)&gt;YEAR(E66),1,(12-MONTH(E66)+1)/12)))*(1/(1+DiscountRate)^17))</f>
        <v/>
      </c>
      <c r="CA66" s="36">
        <f>IF(A66="","",(K66)*(IF((YEAR(D66)+18)&lt;YEAR(E66),0,IF((YEAR(D66)+18)&gt;YEAR(E66),1,(12-MONTH(E66)+1)/12)))*(1/(1+DiscountRate)^18))</f>
        <v/>
      </c>
      <c r="CB66" s="36">
        <f>IF(A66="","",(K66)*(IF((YEAR(D66)+19)&lt;YEAR(E66),0,IF((YEAR(D66)+19)&gt;YEAR(E66),1,(12-MONTH(E66)+1)/12)))*(1/(1+DiscountRate)^19))</f>
        <v/>
      </c>
      <c r="CC66" s="36">
        <f>IF(A66="","",(K66)*(IF((YEAR(D66)+20)&lt;YEAR(E66),0,IF((YEAR(D66)+20)&gt;YEAR(E66),1,(12-MONTH(E66)+1)/12)))*(1/(1+DiscountRate)^20))</f>
        <v/>
      </c>
      <c r="CD66" s="29">
        <f>IF(A66="","",S66/(1+DiscountRate)^0+T66/(1+DiscountRate)^1+U66/(1+DiscountRate)^2+V66/(1+DiscountRate)^3+W66/(1+DiscountRate)^4+X66/(1+DiscountRate)^5+Y66/(1+DiscountRate)^6+Z66/(1+DiscountRate)^7+AA66/(1+DiscountRate)^8+AB66/(1+DiscountRate)^9+AC66/(1+DiscountRate)^10+AD66/(1+DiscountRate)^11+AE66/(1+DiscountRate)^12+AF66/(1+DiscountRate)^13+AG66/(1+DiscountRate)^14+AH66/(1+DiscountRate)^15+AI66/(1+DiscountRate)^16+AJ66/(1+DiscountRate)^17+AK66/(1+DiscountRate)^18+AL66/(1+DiscountRate)^19+AM66/(1+DiscountRate)^20)</f>
        <v/>
      </c>
      <c r="CE66" s="37">
        <f>IF(A66="","",IFERROR(IRR(OFFSET(S66,0,0,1,MIN(HorizonYears,20)+1)),"n/a"))</f>
        <v/>
      </c>
      <c r="CF66" s="28">
        <f>IF(A66="","",IFERROR(MATCH(TRUE,OFFSET(AN66,0,0,1,MIN(HorizonYears,20)+1)&gt;=0,0)-1,"n/a"))</f>
        <v/>
      </c>
      <c r="CG66" s="36">
        <f>IF(A66="","",SUM(OFFSET(BI66,0,0,1,MIN(HorizonYears,20)+1)))</f>
        <v/>
      </c>
      <c r="CH66" s="36">
        <f>IF(A66="","",IFERROR(-CD66/CG66,"n/a"))</f>
        <v/>
      </c>
    </row>
    <row r="67">
      <c r="A67" s="6">
        <f>Actions!A65</f>
        <v/>
      </c>
      <c r="B67" s="6">
        <f>Actions!B65</f>
        <v/>
      </c>
      <c r="C67" s="6">
        <f>Actions!D65</f>
        <v/>
      </c>
      <c r="D67" s="35">
        <f>Actions!E65</f>
        <v/>
      </c>
      <c r="E67" s="35">
        <f>Actions!F65</f>
        <v/>
      </c>
      <c r="F67" s="6">
        <f>Actions!G65</f>
        <v/>
      </c>
      <c r="G67" s="6">
        <f>Actions!H65</f>
        <v/>
      </c>
      <c r="H67" s="29">
        <f>Actions!I65</f>
        <v/>
      </c>
      <c r="I67" s="6">
        <f>Actions!J65</f>
        <v/>
      </c>
      <c r="J67" s="16">
        <f>Actions!K65</f>
        <v/>
      </c>
      <c r="K67" s="16">
        <f>IF(A67="","",IF(I67="%",H67*J67,J67))</f>
        <v/>
      </c>
      <c r="L67" s="16">
        <f>Actions!L65</f>
        <v/>
      </c>
      <c r="M67" s="6">
        <f>Actions!M65</f>
        <v/>
      </c>
      <c r="N67" s="28">
        <f>Actions!N65</f>
        <v/>
      </c>
      <c r="O67" s="29">
        <f>Actions!T65</f>
        <v/>
      </c>
      <c r="P67" s="29">
        <f>Actions!Y65</f>
        <v/>
      </c>
      <c r="Q67" s="29">
        <f>Actions!Z65</f>
        <v/>
      </c>
      <c r="R67" s="29">
        <f>Actions!AA65</f>
        <v/>
      </c>
      <c r="S67" s="29">
        <f>IF(A67="","",((K67)*(IF(M67="",L67,IFERROR(IF(INDEX(Variablen!$I:$AT, MATCH(M67, Variablen!$A:$A, 0), MATCH((YEAR(D67)+0), Variablen!$I$3:$AT$3, 0))="",L67,INDEX(Variablen!$I:$AT, MATCH(M67, Variablen!$A:$A, 0), MATCH((YEAR(D67)+0), Variablen!$I$3:$AT$3, 0))),L67)))*(IF((YEAR(D67)+0)&lt;YEAR(E67),0,IF((YEAR(D67)+0)&gt;YEAR(E67),1,(12-MONTH(E67)+1)/12))) + (Q67)*(IF((YEAR(D67)+0)&lt;YEAR(E67),0,IF((YEAR(D67)+0)&gt;YEAR(E67),1,(12-MONTH(E67)+1)/12))))-((P67)*(IF((YEAR(D67)+0)&lt;YEAR(E67),0,IF((YEAR(D67)+0)&gt;YEAR(E67),1,(12-MONTH(E67)+1)/12))) + (R67)*(IF((YEAR(D67)+0)&lt;YEAR(E67),0,IF((YEAR(D67)+0)&gt;YEAR(E67),1,(12-MONTH(E67)+1)/12))))-(IF((((K67)*(IF(M67="",L67,IFERROR(IF(INDEX(Variablen!$I:$AT, MATCH(M67, Variablen!$A:$A, 0), MATCH((YEAR(D67)+0), Variablen!$I$3:$AT$3, 0))="",L67,INDEX(Variablen!$I:$AT, MATCH(M67, Variablen!$A:$A, 0), MATCH((YEAR(D67)+0), Variablen!$I$3:$AT$3, 0))),L67)))*(IF((YEAR(D67)+0)&lt;YEAR(E67),0,IF((YEAR(D67)+0)&gt;YEAR(E67),1,(12-MONTH(E67)+1)/12))) + (Q67)*(IF((YEAR(D67)+0)&lt;YEAR(E67),0,IF((YEAR(D67)+0)&gt;YEAR(E67),1,(12-MONTH(E67)+1)/12))))-((P67)*(IF((YEAR(D67)+0)&lt;YEAR(E67),0,IF((YEAR(D67)+0)&gt;YEAR(E67),1,(12-MONTH(E67)+1)/12))) + (R67)*(IF((YEAR(D67)+0)&lt;YEAR(E67),0,IF((YEAR(D67)+0)&gt;YEAR(E67),1,(12-MONTH(E67)+1)/12))))-(IF(OR(N67="",N67&lt;=0),0,(O67/N67)*(IF(OR(N67="",N67&lt;=0),0,IF((YEAR(D67)+0)&lt;YEAR(E67),0,IF((YEAR(D67)+0)&gt;=YEAR(E67)+N67,0,IF((YEAR(D67)+0)=YEAR(E67),(12-MONTH(E67)+1)/12,1))))))))&gt;0,(((K67)*(IF(M67="",L67,IFERROR(IF(INDEX(Variablen!$I:$AT, MATCH(M67, Variablen!$A:$A, 0), MATCH((YEAR(D67)+0), Variablen!$I$3:$AT$3, 0))="",L67,INDEX(Variablen!$I:$AT, MATCH(M67, Variablen!$A:$A, 0), MATCH((YEAR(D67)+0), Variablen!$I$3:$AT$3, 0))),L67)))*(IF((YEAR(D67)+0)&lt;YEAR(E67),0,IF((YEAR(D67)+0)&gt;YEAR(E67),1,(12-MONTH(E67)+1)/12))) + (Q67)*(IF((YEAR(D67)+0)&lt;YEAR(E67),0,IF((YEAR(D67)+0)&gt;YEAR(E67),1,(12-MONTH(E67)+1)/12))))-((P67)*(IF((YEAR(D67)+0)&lt;YEAR(E67),0,IF((YEAR(D67)+0)&gt;YEAR(E67),1,(12-MONTH(E67)+1)/12))) + (R67)*(IF((YEAR(D67)+0)&lt;YEAR(E67),0,IF((YEAR(D67)+0)&gt;YEAR(E67),1,(12-MONTH(E67)+1)/12))))-(IF(OR(N67="",N67&lt;=0),0,(O67/N67)*(IF(OR(N67="",N67&lt;=0),0,IF((YEAR(D67)+0)&lt;YEAR(E67),0,IF((YEAR(D67)+0)&gt;=YEAR(E67)+N67,0,IF((YEAR(D67)+0)=YEAR(E67),(12-MONTH(E67)+1)/12,1))))))))*TaxRate,0))-IF(0=0,O67,0))</f>
        <v/>
      </c>
      <c r="T67" s="29">
        <f>IF(A67="","",((K67)*(IF(M67="",L67,IFERROR(IF(INDEX(Variablen!$I:$AT, MATCH(M67, Variablen!$A:$A, 0), MATCH((YEAR(D67)+1), Variablen!$I$3:$AT$3, 0))="",L67,INDEX(Variablen!$I:$AT, MATCH(M67, Variablen!$A:$A, 0), MATCH((YEAR(D67)+1), Variablen!$I$3:$AT$3, 0))),L67)))*(IF((YEAR(D67)+1)&lt;YEAR(E67),0,IF((YEAR(D67)+1)&gt;YEAR(E67),1,(12-MONTH(E67)+1)/12))) + (Q67)*(IF((YEAR(D67)+1)&lt;YEAR(E67),0,IF((YEAR(D67)+1)&gt;YEAR(E67),1,(12-MONTH(E67)+1)/12))))-((P67)*(IF((YEAR(D67)+1)&lt;YEAR(E67),0,IF((YEAR(D67)+1)&gt;YEAR(E67),1,(12-MONTH(E67)+1)/12))) + (R67)*(IF((YEAR(D67)+1)&lt;YEAR(E67),0,IF((YEAR(D67)+1)&gt;YEAR(E67),1,(12-MONTH(E67)+1)/12))))-(IF((((K67)*(IF(M67="",L67,IFERROR(IF(INDEX(Variablen!$I:$AT, MATCH(M67, Variablen!$A:$A, 0), MATCH((YEAR(D67)+1), Variablen!$I$3:$AT$3, 0))="",L67,INDEX(Variablen!$I:$AT, MATCH(M67, Variablen!$A:$A, 0), MATCH((YEAR(D67)+1), Variablen!$I$3:$AT$3, 0))),L67)))*(IF((YEAR(D67)+1)&lt;YEAR(E67),0,IF((YEAR(D67)+1)&gt;YEAR(E67),1,(12-MONTH(E67)+1)/12))) + (Q67)*(IF((YEAR(D67)+1)&lt;YEAR(E67),0,IF((YEAR(D67)+1)&gt;YEAR(E67),1,(12-MONTH(E67)+1)/12))))-((P67)*(IF((YEAR(D67)+1)&lt;YEAR(E67),0,IF((YEAR(D67)+1)&gt;YEAR(E67),1,(12-MONTH(E67)+1)/12))) + (R67)*(IF((YEAR(D67)+1)&lt;YEAR(E67),0,IF((YEAR(D67)+1)&gt;YEAR(E67),1,(12-MONTH(E67)+1)/12))))-(IF(OR(N67="",N67&lt;=0),0,(O67/N67)*(IF(OR(N67="",N67&lt;=0),0,IF((YEAR(D67)+1)&lt;YEAR(E67),0,IF((YEAR(D67)+1)&gt;=YEAR(E67)+N67,0,IF((YEAR(D67)+1)=YEAR(E67),(12-MONTH(E67)+1)/12,1))))))))&gt;0,(((K67)*(IF(M67="",L67,IFERROR(IF(INDEX(Variablen!$I:$AT, MATCH(M67, Variablen!$A:$A, 0), MATCH((YEAR(D67)+1), Variablen!$I$3:$AT$3, 0))="",L67,INDEX(Variablen!$I:$AT, MATCH(M67, Variablen!$A:$A, 0), MATCH((YEAR(D67)+1), Variablen!$I$3:$AT$3, 0))),L67)))*(IF((YEAR(D67)+1)&lt;YEAR(E67),0,IF((YEAR(D67)+1)&gt;YEAR(E67),1,(12-MONTH(E67)+1)/12))) + (Q67)*(IF((YEAR(D67)+1)&lt;YEAR(E67),0,IF((YEAR(D67)+1)&gt;YEAR(E67),1,(12-MONTH(E67)+1)/12))))-((P67)*(IF((YEAR(D67)+1)&lt;YEAR(E67),0,IF((YEAR(D67)+1)&gt;YEAR(E67),1,(12-MONTH(E67)+1)/12))) + (R67)*(IF((YEAR(D67)+1)&lt;YEAR(E67),0,IF((YEAR(D67)+1)&gt;YEAR(E67),1,(12-MONTH(E67)+1)/12))))-(IF(OR(N67="",N67&lt;=0),0,(O67/N67)*(IF(OR(N67="",N67&lt;=0),0,IF((YEAR(D67)+1)&lt;YEAR(E67),0,IF((YEAR(D67)+1)&gt;=YEAR(E67)+N67,0,IF((YEAR(D67)+1)=YEAR(E67),(12-MONTH(E67)+1)/12,1))))))))*TaxRate,0))-IF(1=0,O67,0))</f>
        <v/>
      </c>
      <c r="U67" s="29">
        <f>IF(A67="","",((K67)*(IF(M67="",L67,IFERROR(IF(INDEX(Variablen!$I:$AT, MATCH(M67, Variablen!$A:$A, 0), MATCH((YEAR(D67)+2), Variablen!$I$3:$AT$3, 0))="",L67,INDEX(Variablen!$I:$AT, MATCH(M67, Variablen!$A:$A, 0), MATCH((YEAR(D67)+2), Variablen!$I$3:$AT$3, 0))),L67)))*(IF((YEAR(D67)+2)&lt;YEAR(E67),0,IF((YEAR(D67)+2)&gt;YEAR(E67),1,(12-MONTH(E67)+1)/12))) + (Q67)*(IF((YEAR(D67)+2)&lt;YEAR(E67),0,IF((YEAR(D67)+2)&gt;YEAR(E67),1,(12-MONTH(E67)+1)/12))))-((P67)*(IF((YEAR(D67)+2)&lt;YEAR(E67),0,IF((YEAR(D67)+2)&gt;YEAR(E67),1,(12-MONTH(E67)+1)/12))) + (R67)*(IF((YEAR(D67)+2)&lt;YEAR(E67),0,IF((YEAR(D67)+2)&gt;YEAR(E67),1,(12-MONTH(E67)+1)/12))))-(IF((((K67)*(IF(M67="",L67,IFERROR(IF(INDEX(Variablen!$I:$AT, MATCH(M67, Variablen!$A:$A, 0), MATCH((YEAR(D67)+2), Variablen!$I$3:$AT$3, 0))="",L67,INDEX(Variablen!$I:$AT, MATCH(M67, Variablen!$A:$A, 0), MATCH((YEAR(D67)+2), Variablen!$I$3:$AT$3, 0))),L67)))*(IF((YEAR(D67)+2)&lt;YEAR(E67),0,IF((YEAR(D67)+2)&gt;YEAR(E67),1,(12-MONTH(E67)+1)/12))) + (Q67)*(IF((YEAR(D67)+2)&lt;YEAR(E67),0,IF((YEAR(D67)+2)&gt;YEAR(E67),1,(12-MONTH(E67)+1)/12))))-((P67)*(IF((YEAR(D67)+2)&lt;YEAR(E67),0,IF((YEAR(D67)+2)&gt;YEAR(E67),1,(12-MONTH(E67)+1)/12))) + (R67)*(IF((YEAR(D67)+2)&lt;YEAR(E67),0,IF((YEAR(D67)+2)&gt;YEAR(E67),1,(12-MONTH(E67)+1)/12))))-(IF(OR(N67="",N67&lt;=0),0,(O67/N67)*(IF(OR(N67="",N67&lt;=0),0,IF((YEAR(D67)+2)&lt;YEAR(E67),0,IF((YEAR(D67)+2)&gt;=YEAR(E67)+N67,0,IF((YEAR(D67)+2)=YEAR(E67),(12-MONTH(E67)+1)/12,1))))))))&gt;0,(((K67)*(IF(M67="",L67,IFERROR(IF(INDEX(Variablen!$I:$AT, MATCH(M67, Variablen!$A:$A, 0), MATCH((YEAR(D67)+2), Variablen!$I$3:$AT$3, 0))="",L67,INDEX(Variablen!$I:$AT, MATCH(M67, Variablen!$A:$A, 0), MATCH((YEAR(D67)+2), Variablen!$I$3:$AT$3, 0))),L67)))*(IF((YEAR(D67)+2)&lt;YEAR(E67),0,IF((YEAR(D67)+2)&gt;YEAR(E67),1,(12-MONTH(E67)+1)/12))) + (Q67)*(IF((YEAR(D67)+2)&lt;YEAR(E67),0,IF((YEAR(D67)+2)&gt;YEAR(E67),1,(12-MONTH(E67)+1)/12))))-((P67)*(IF((YEAR(D67)+2)&lt;YEAR(E67),0,IF((YEAR(D67)+2)&gt;YEAR(E67),1,(12-MONTH(E67)+1)/12))) + (R67)*(IF((YEAR(D67)+2)&lt;YEAR(E67),0,IF((YEAR(D67)+2)&gt;YEAR(E67),1,(12-MONTH(E67)+1)/12))))-(IF(OR(N67="",N67&lt;=0),0,(O67/N67)*(IF(OR(N67="",N67&lt;=0),0,IF((YEAR(D67)+2)&lt;YEAR(E67),0,IF((YEAR(D67)+2)&gt;=YEAR(E67)+N67,0,IF((YEAR(D67)+2)=YEAR(E67),(12-MONTH(E67)+1)/12,1))))))))*TaxRate,0))-IF(2=0,O67,0))</f>
        <v/>
      </c>
      <c r="V67" s="29">
        <f>IF(A67="","",((K67)*(IF(M67="",L67,IFERROR(IF(INDEX(Variablen!$I:$AT, MATCH(M67, Variablen!$A:$A, 0), MATCH((YEAR(D67)+3), Variablen!$I$3:$AT$3, 0))="",L67,INDEX(Variablen!$I:$AT, MATCH(M67, Variablen!$A:$A, 0), MATCH((YEAR(D67)+3), Variablen!$I$3:$AT$3, 0))),L67)))*(IF((YEAR(D67)+3)&lt;YEAR(E67),0,IF((YEAR(D67)+3)&gt;YEAR(E67),1,(12-MONTH(E67)+1)/12))) + (Q67)*(IF((YEAR(D67)+3)&lt;YEAR(E67),0,IF((YEAR(D67)+3)&gt;YEAR(E67),1,(12-MONTH(E67)+1)/12))))-((P67)*(IF((YEAR(D67)+3)&lt;YEAR(E67),0,IF((YEAR(D67)+3)&gt;YEAR(E67),1,(12-MONTH(E67)+1)/12))) + (R67)*(IF((YEAR(D67)+3)&lt;YEAR(E67),0,IF((YEAR(D67)+3)&gt;YEAR(E67),1,(12-MONTH(E67)+1)/12))))-(IF((((K67)*(IF(M67="",L67,IFERROR(IF(INDEX(Variablen!$I:$AT, MATCH(M67, Variablen!$A:$A, 0), MATCH((YEAR(D67)+3), Variablen!$I$3:$AT$3, 0))="",L67,INDEX(Variablen!$I:$AT, MATCH(M67, Variablen!$A:$A, 0), MATCH((YEAR(D67)+3), Variablen!$I$3:$AT$3, 0))),L67)))*(IF((YEAR(D67)+3)&lt;YEAR(E67),0,IF((YEAR(D67)+3)&gt;YEAR(E67),1,(12-MONTH(E67)+1)/12))) + (Q67)*(IF((YEAR(D67)+3)&lt;YEAR(E67),0,IF((YEAR(D67)+3)&gt;YEAR(E67),1,(12-MONTH(E67)+1)/12))))-((P67)*(IF((YEAR(D67)+3)&lt;YEAR(E67),0,IF((YEAR(D67)+3)&gt;YEAR(E67),1,(12-MONTH(E67)+1)/12))) + (R67)*(IF((YEAR(D67)+3)&lt;YEAR(E67),0,IF((YEAR(D67)+3)&gt;YEAR(E67),1,(12-MONTH(E67)+1)/12))))-(IF(OR(N67="",N67&lt;=0),0,(O67/N67)*(IF(OR(N67="",N67&lt;=0),0,IF((YEAR(D67)+3)&lt;YEAR(E67),0,IF((YEAR(D67)+3)&gt;=YEAR(E67)+N67,0,IF((YEAR(D67)+3)=YEAR(E67),(12-MONTH(E67)+1)/12,1))))))))&gt;0,(((K67)*(IF(M67="",L67,IFERROR(IF(INDEX(Variablen!$I:$AT, MATCH(M67, Variablen!$A:$A, 0), MATCH((YEAR(D67)+3), Variablen!$I$3:$AT$3, 0))="",L67,INDEX(Variablen!$I:$AT, MATCH(M67, Variablen!$A:$A, 0), MATCH((YEAR(D67)+3), Variablen!$I$3:$AT$3, 0))),L67)))*(IF((YEAR(D67)+3)&lt;YEAR(E67),0,IF((YEAR(D67)+3)&gt;YEAR(E67),1,(12-MONTH(E67)+1)/12))) + (Q67)*(IF((YEAR(D67)+3)&lt;YEAR(E67),0,IF((YEAR(D67)+3)&gt;YEAR(E67),1,(12-MONTH(E67)+1)/12))))-((P67)*(IF((YEAR(D67)+3)&lt;YEAR(E67),0,IF((YEAR(D67)+3)&gt;YEAR(E67),1,(12-MONTH(E67)+1)/12))) + (R67)*(IF((YEAR(D67)+3)&lt;YEAR(E67),0,IF((YEAR(D67)+3)&gt;YEAR(E67),1,(12-MONTH(E67)+1)/12))))-(IF(OR(N67="",N67&lt;=0),0,(O67/N67)*(IF(OR(N67="",N67&lt;=0),0,IF((YEAR(D67)+3)&lt;YEAR(E67),0,IF((YEAR(D67)+3)&gt;=YEAR(E67)+N67,0,IF((YEAR(D67)+3)=YEAR(E67),(12-MONTH(E67)+1)/12,1))))))))*TaxRate,0))-IF(3=0,O67,0))</f>
        <v/>
      </c>
      <c r="W67" s="29">
        <f>IF(A67="","",((K67)*(IF(M67="",L67,IFERROR(IF(INDEX(Variablen!$I:$AT, MATCH(M67, Variablen!$A:$A, 0), MATCH((YEAR(D67)+4), Variablen!$I$3:$AT$3, 0))="",L67,INDEX(Variablen!$I:$AT, MATCH(M67, Variablen!$A:$A, 0), MATCH((YEAR(D67)+4), Variablen!$I$3:$AT$3, 0))),L67)))*(IF((YEAR(D67)+4)&lt;YEAR(E67),0,IF((YEAR(D67)+4)&gt;YEAR(E67),1,(12-MONTH(E67)+1)/12))) + (Q67)*(IF((YEAR(D67)+4)&lt;YEAR(E67),0,IF((YEAR(D67)+4)&gt;YEAR(E67),1,(12-MONTH(E67)+1)/12))))-((P67)*(IF((YEAR(D67)+4)&lt;YEAR(E67),0,IF((YEAR(D67)+4)&gt;YEAR(E67),1,(12-MONTH(E67)+1)/12))) + (R67)*(IF((YEAR(D67)+4)&lt;YEAR(E67),0,IF((YEAR(D67)+4)&gt;YEAR(E67),1,(12-MONTH(E67)+1)/12))))-(IF((((K67)*(IF(M67="",L67,IFERROR(IF(INDEX(Variablen!$I:$AT, MATCH(M67, Variablen!$A:$A, 0), MATCH((YEAR(D67)+4), Variablen!$I$3:$AT$3, 0))="",L67,INDEX(Variablen!$I:$AT, MATCH(M67, Variablen!$A:$A, 0), MATCH((YEAR(D67)+4), Variablen!$I$3:$AT$3, 0))),L67)))*(IF((YEAR(D67)+4)&lt;YEAR(E67),0,IF((YEAR(D67)+4)&gt;YEAR(E67),1,(12-MONTH(E67)+1)/12))) + (Q67)*(IF((YEAR(D67)+4)&lt;YEAR(E67),0,IF((YEAR(D67)+4)&gt;YEAR(E67),1,(12-MONTH(E67)+1)/12))))-((P67)*(IF((YEAR(D67)+4)&lt;YEAR(E67),0,IF((YEAR(D67)+4)&gt;YEAR(E67),1,(12-MONTH(E67)+1)/12))) + (R67)*(IF((YEAR(D67)+4)&lt;YEAR(E67),0,IF((YEAR(D67)+4)&gt;YEAR(E67),1,(12-MONTH(E67)+1)/12))))-(IF(OR(N67="",N67&lt;=0),0,(O67/N67)*(IF(OR(N67="",N67&lt;=0),0,IF((YEAR(D67)+4)&lt;YEAR(E67),0,IF((YEAR(D67)+4)&gt;=YEAR(E67)+N67,0,IF((YEAR(D67)+4)=YEAR(E67),(12-MONTH(E67)+1)/12,1))))))))&gt;0,(((K67)*(IF(M67="",L67,IFERROR(IF(INDEX(Variablen!$I:$AT, MATCH(M67, Variablen!$A:$A, 0), MATCH((YEAR(D67)+4), Variablen!$I$3:$AT$3, 0))="",L67,INDEX(Variablen!$I:$AT, MATCH(M67, Variablen!$A:$A, 0), MATCH((YEAR(D67)+4), Variablen!$I$3:$AT$3, 0))),L67)))*(IF((YEAR(D67)+4)&lt;YEAR(E67),0,IF((YEAR(D67)+4)&gt;YEAR(E67),1,(12-MONTH(E67)+1)/12))) + (Q67)*(IF((YEAR(D67)+4)&lt;YEAR(E67),0,IF((YEAR(D67)+4)&gt;YEAR(E67),1,(12-MONTH(E67)+1)/12))))-((P67)*(IF((YEAR(D67)+4)&lt;YEAR(E67),0,IF((YEAR(D67)+4)&gt;YEAR(E67),1,(12-MONTH(E67)+1)/12))) + (R67)*(IF((YEAR(D67)+4)&lt;YEAR(E67),0,IF((YEAR(D67)+4)&gt;YEAR(E67),1,(12-MONTH(E67)+1)/12))))-(IF(OR(N67="",N67&lt;=0),0,(O67/N67)*(IF(OR(N67="",N67&lt;=0),0,IF((YEAR(D67)+4)&lt;YEAR(E67),0,IF((YEAR(D67)+4)&gt;=YEAR(E67)+N67,0,IF((YEAR(D67)+4)=YEAR(E67),(12-MONTH(E67)+1)/12,1))))))))*TaxRate,0))-IF(4=0,O67,0))</f>
        <v/>
      </c>
      <c r="X67" s="29">
        <f>IF(A67="","",((K67)*(IF(M67="",L67,IFERROR(IF(INDEX(Variablen!$I:$AT, MATCH(M67, Variablen!$A:$A, 0), MATCH((YEAR(D67)+5), Variablen!$I$3:$AT$3, 0))="",L67,INDEX(Variablen!$I:$AT, MATCH(M67, Variablen!$A:$A, 0), MATCH((YEAR(D67)+5), Variablen!$I$3:$AT$3, 0))),L67)))*(IF((YEAR(D67)+5)&lt;YEAR(E67),0,IF((YEAR(D67)+5)&gt;YEAR(E67),1,(12-MONTH(E67)+1)/12))) + (Q67)*(IF((YEAR(D67)+5)&lt;YEAR(E67),0,IF((YEAR(D67)+5)&gt;YEAR(E67),1,(12-MONTH(E67)+1)/12))))-((P67)*(IF((YEAR(D67)+5)&lt;YEAR(E67),0,IF((YEAR(D67)+5)&gt;YEAR(E67),1,(12-MONTH(E67)+1)/12))) + (R67)*(IF((YEAR(D67)+5)&lt;YEAR(E67),0,IF((YEAR(D67)+5)&gt;YEAR(E67),1,(12-MONTH(E67)+1)/12))))-(IF((((K67)*(IF(M67="",L67,IFERROR(IF(INDEX(Variablen!$I:$AT, MATCH(M67, Variablen!$A:$A, 0), MATCH((YEAR(D67)+5), Variablen!$I$3:$AT$3, 0))="",L67,INDEX(Variablen!$I:$AT, MATCH(M67, Variablen!$A:$A, 0), MATCH((YEAR(D67)+5), Variablen!$I$3:$AT$3, 0))),L67)))*(IF((YEAR(D67)+5)&lt;YEAR(E67),0,IF((YEAR(D67)+5)&gt;YEAR(E67),1,(12-MONTH(E67)+1)/12))) + (Q67)*(IF((YEAR(D67)+5)&lt;YEAR(E67),0,IF((YEAR(D67)+5)&gt;YEAR(E67),1,(12-MONTH(E67)+1)/12))))-((P67)*(IF((YEAR(D67)+5)&lt;YEAR(E67),0,IF((YEAR(D67)+5)&gt;YEAR(E67),1,(12-MONTH(E67)+1)/12))) + (R67)*(IF((YEAR(D67)+5)&lt;YEAR(E67),0,IF((YEAR(D67)+5)&gt;YEAR(E67),1,(12-MONTH(E67)+1)/12))))-(IF(OR(N67="",N67&lt;=0),0,(O67/N67)*(IF(OR(N67="",N67&lt;=0),0,IF((YEAR(D67)+5)&lt;YEAR(E67),0,IF((YEAR(D67)+5)&gt;=YEAR(E67)+N67,0,IF((YEAR(D67)+5)=YEAR(E67),(12-MONTH(E67)+1)/12,1))))))))&gt;0,(((K67)*(IF(M67="",L67,IFERROR(IF(INDEX(Variablen!$I:$AT, MATCH(M67, Variablen!$A:$A, 0), MATCH((YEAR(D67)+5), Variablen!$I$3:$AT$3, 0))="",L67,INDEX(Variablen!$I:$AT, MATCH(M67, Variablen!$A:$A, 0), MATCH((YEAR(D67)+5), Variablen!$I$3:$AT$3, 0))),L67)))*(IF((YEAR(D67)+5)&lt;YEAR(E67),0,IF((YEAR(D67)+5)&gt;YEAR(E67),1,(12-MONTH(E67)+1)/12))) + (Q67)*(IF((YEAR(D67)+5)&lt;YEAR(E67),0,IF((YEAR(D67)+5)&gt;YEAR(E67),1,(12-MONTH(E67)+1)/12))))-((P67)*(IF((YEAR(D67)+5)&lt;YEAR(E67),0,IF((YEAR(D67)+5)&gt;YEAR(E67),1,(12-MONTH(E67)+1)/12))) + (R67)*(IF((YEAR(D67)+5)&lt;YEAR(E67),0,IF((YEAR(D67)+5)&gt;YEAR(E67),1,(12-MONTH(E67)+1)/12))))-(IF(OR(N67="",N67&lt;=0),0,(O67/N67)*(IF(OR(N67="",N67&lt;=0),0,IF((YEAR(D67)+5)&lt;YEAR(E67),0,IF((YEAR(D67)+5)&gt;=YEAR(E67)+N67,0,IF((YEAR(D67)+5)=YEAR(E67),(12-MONTH(E67)+1)/12,1))))))))*TaxRate,0))-IF(5=0,O67,0))</f>
        <v/>
      </c>
      <c r="Y67" s="29">
        <f>IF(A67="","",((K67)*(IF(M67="",L67,IFERROR(IF(INDEX(Variablen!$I:$AT, MATCH(M67, Variablen!$A:$A, 0), MATCH((YEAR(D67)+6), Variablen!$I$3:$AT$3, 0))="",L67,INDEX(Variablen!$I:$AT, MATCH(M67, Variablen!$A:$A, 0), MATCH((YEAR(D67)+6), Variablen!$I$3:$AT$3, 0))),L67)))*(IF((YEAR(D67)+6)&lt;YEAR(E67),0,IF((YEAR(D67)+6)&gt;YEAR(E67),1,(12-MONTH(E67)+1)/12))) + (Q67)*(IF((YEAR(D67)+6)&lt;YEAR(E67),0,IF((YEAR(D67)+6)&gt;YEAR(E67),1,(12-MONTH(E67)+1)/12))))-((P67)*(IF((YEAR(D67)+6)&lt;YEAR(E67),0,IF((YEAR(D67)+6)&gt;YEAR(E67),1,(12-MONTH(E67)+1)/12))) + (R67)*(IF((YEAR(D67)+6)&lt;YEAR(E67),0,IF((YEAR(D67)+6)&gt;YEAR(E67),1,(12-MONTH(E67)+1)/12))))-(IF((((K67)*(IF(M67="",L67,IFERROR(IF(INDEX(Variablen!$I:$AT, MATCH(M67, Variablen!$A:$A, 0), MATCH((YEAR(D67)+6), Variablen!$I$3:$AT$3, 0))="",L67,INDEX(Variablen!$I:$AT, MATCH(M67, Variablen!$A:$A, 0), MATCH((YEAR(D67)+6), Variablen!$I$3:$AT$3, 0))),L67)))*(IF((YEAR(D67)+6)&lt;YEAR(E67),0,IF((YEAR(D67)+6)&gt;YEAR(E67),1,(12-MONTH(E67)+1)/12))) + (Q67)*(IF((YEAR(D67)+6)&lt;YEAR(E67),0,IF((YEAR(D67)+6)&gt;YEAR(E67),1,(12-MONTH(E67)+1)/12))))-((P67)*(IF((YEAR(D67)+6)&lt;YEAR(E67),0,IF((YEAR(D67)+6)&gt;YEAR(E67),1,(12-MONTH(E67)+1)/12))) + (R67)*(IF((YEAR(D67)+6)&lt;YEAR(E67),0,IF((YEAR(D67)+6)&gt;YEAR(E67),1,(12-MONTH(E67)+1)/12))))-(IF(OR(N67="",N67&lt;=0),0,(O67/N67)*(IF(OR(N67="",N67&lt;=0),0,IF((YEAR(D67)+6)&lt;YEAR(E67),0,IF((YEAR(D67)+6)&gt;=YEAR(E67)+N67,0,IF((YEAR(D67)+6)=YEAR(E67),(12-MONTH(E67)+1)/12,1))))))))&gt;0,(((K67)*(IF(M67="",L67,IFERROR(IF(INDEX(Variablen!$I:$AT, MATCH(M67, Variablen!$A:$A, 0), MATCH((YEAR(D67)+6), Variablen!$I$3:$AT$3, 0))="",L67,INDEX(Variablen!$I:$AT, MATCH(M67, Variablen!$A:$A, 0), MATCH((YEAR(D67)+6), Variablen!$I$3:$AT$3, 0))),L67)))*(IF((YEAR(D67)+6)&lt;YEAR(E67),0,IF((YEAR(D67)+6)&gt;YEAR(E67),1,(12-MONTH(E67)+1)/12))) + (Q67)*(IF((YEAR(D67)+6)&lt;YEAR(E67),0,IF((YEAR(D67)+6)&gt;YEAR(E67),1,(12-MONTH(E67)+1)/12))))-((P67)*(IF((YEAR(D67)+6)&lt;YEAR(E67),0,IF((YEAR(D67)+6)&gt;YEAR(E67),1,(12-MONTH(E67)+1)/12))) + (R67)*(IF((YEAR(D67)+6)&lt;YEAR(E67),0,IF((YEAR(D67)+6)&gt;YEAR(E67),1,(12-MONTH(E67)+1)/12))))-(IF(OR(N67="",N67&lt;=0),0,(O67/N67)*(IF(OR(N67="",N67&lt;=0),0,IF((YEAR(D67)+6)&lt;YEAR(E67),0,IF((YEAR(D67)+6)&gt;=YEAR(E67)+N67,0,IF((YEAR(D67)+6)=YEAR(E67),(12-MONTH(E67)+1)/12,1))))))))*TaxRate,0))-IF(6=0,O67,0))</f>
        <v/>
      </c>
      <c r="Z67" s="29">
        <f>IF(A67="","",((K67)*(IF(M67="",L67,IFERROR(IF(INDEX(Variablen!$I:$AT, MATCH(M67, Variablen!$A:$A, 0), MATCH((YEAR(D67)+7), Variablen!$I$3:$AT$3, 0))="",L67,INDEX(Variablen!$I:$AT, MATCH(M67, Variablen!$A:$A, 0), MATCH((YEAR(D67)+7), Variablen!$I$3:$AT$3, 0))),L67)))*(IF((YEAR(D67)+7)&lt;YEAR(E67),0,IF((YEAR(D67)+7)&gt;YEAR(E67),1,(12-MONTH(E67)+1)/12))) + (Q67)*(IF((YEAR(D67)+7)&lt;YEAR(E67),0,IF((YEAR(D67)+7)&gt;YEAR(E67),1,(12-MONTH(E67)+1)/12))))-((P67)*(IF((YEAR(D67)+7)&lt;YEAR(E67),0,IF((YEAR(D67)+7)&gt;YEAR(E67),1,(12-MONTH(E67)+1)/12))) + (R67)*(IF((YEAR(D67)+7)&lt;YEAR(E67),0,IF((YEAR(D67)+7)&gt;YEAR(E67),1,(12-MONTH(E67)+1)/12))))-(IF((((K67)*(IF(M67="",L67,IFERROR(IF(INDEX(Variablen!$I:$AT, MATCH(M67, Variablen!$A:$A, 0), MATCH((YEAR(D67)+7), Variablen!$I$3:$AT$3, 0))="",L67,INDEX(Variablen!$I:$AT, MATCH(M67, Variablen!$A:$A, 0), MATCH((YEAR(D67)+7), Variablen!$I$3:$AT$3, 0))),L67)))*(IF((YEAR(D67)+7)&lt;YEAR(E67),0,IF((YEAR(D67)+7)&gt;YEAR(E67),1,(12-MONTH(E67)+1)/12))) + (Q67)*(IF((YEAR(D67)+7)&lt;YEAR(E67),0,IF((YEAR(D67)+7)&gt;YEAR(E67),1,(12-MONTH(E67)+1)/12))))-((P67)*(IF((YEAR(D67)+7)&lt;YEAR(E67),0,IF((YEAR(D67)+7)&gt;YEAR(E67),1,(12-MONTH(E67)+1)/12))) + (R67)*(IF((YEAR(D67)+7)&lt;YEAR(E67),0,IF((YEAR(D67)+7)&gt;YEAR(E67),1,(12-MONTH(E67)+1)/12))))-(IF(OR(N67="",N67&lt;=0),0,(O67/N67)*(IF(OR(N67="",N67&lt;=0),0,IF((YEAR(D67)+7)&lt;YEAR(E67),0,IF((YEAR(D67)+7)&gt;=YEAR(E67)+N67,0,IF((YEAR(D67)+7)=YEAR(E67),(12-MONTH(E67)+1)/12,1))))))))&gt;0,(((K67)*(IF(M67="",L67,IFERROR(IF(INDEX(Variablen!$I:$AT, MATCH(M67, Variablen!$A:$A, 0), MATCH((YEAR(D67)+7), Variablen!$I$3:$AT$3, 0))="",L67,INDEX(Variablen!$I:$AT, MATCH(M67, Variablen!$A:$A, 0), MATCH((YEAR(D67)+7), Variablen!$I$3:$AT$3, 0))),L67)))*(IF((YEAR(D67)+7)&lt;YEAR(E67),0,IF((YEAR(D67)+7)&gt;YEAR(E67),1,(12-MONTH(E67)+1)/12))) + (Q67)*(IF((YEAR(D67)+7)&lt;YEAR(E67),0,IF((YEAR(D67)+7)&gt;YEAR(E67),1,(12-MONTH(E67)+1)/12))))-((P67)*(IF((YEAR(D67)+7)&lt;YEAR(E67),0,IF((YEAR(D67)+7)&gt;YEAR(E67),1,(12-MONTH(E67)+1)/12))) + (R67)*(IF((YEAR(D67)+7)&lt;YEAR(E67),0,IF((YEAR(D67)+7)&gt;YEAR(E67),1,(12-MONTH(E67)+1)/12))))-(IF(OR(N67="",N67&lt;=0),0,(O67/N67)*(IF(OR(N67="",N67&lt;=0),0,IF((YEAR(D67)+7)&lt;YEAR(E67),0,IF((YEAR(D67)+7)&gt;=YEAR(E67)+N67,0,IF((YEAR(D67)+7)=YEAR(E67),(12-MONTH(E67)+1)/12,1))))))))*TaxRate,0))-IF(7=0,O67,0))</f>
        <v/>
      </c>
      <c r="AA67" s="29">
        <f>IF(A67="","",((K67)*(IF(M67="",L67,IFERROR(IF(INDEX(Variablen!$I:$AT, MATCH(M67, Variablen!$A:$A, 0), MATCH((YEAR(D67)+8), Variablen!$I$3:$AT$3, 0))="",L67,INDEX(Variablen!$I:$AT, MATCH(M67, Variablen!$A:$A, 0), MATCH((YEAR(D67)+8), Variablen!$I$3:$AT$3, 0))),L67)))*(IF((YEAR(D67)+8)&lt;YEAR(E67),0,IF((YEAR(D67)+8)&gt;YEAR(E67),1,(12-MONTH(E67)+1)/12))) + (Q67)*(IF((YEAR(D67)+8)&lt;YEAR(E67),0,IF((YEAR(D67)+8)&gt;YEAR(E67),1,(12-MONTH(E67)+1)/12))))-((P67)*(IF((YEAR(D67)+8)&lt;YEAR(E67),0,IF((YEAR(D67)+8)&gt;YEAR(E67),1,(12-MONTH(E67)+1)/12))) + (R67)*(IF((YEAR(D67)+8)&lt;YEAR(E67),0,IF((YEAR(D67)+8)&gt;YEAR(E67),1,(12-MONTH(E67)+1)/12))))-(IF((((K67)*(IF(M67="",L67,IFERROR(IF(INDEX(Variablen!$I:$AT, MATCH(M67, Variablen!$A:$A, 0), MATCH((YEAR(D67)+8), Variablen!$I$3:$AT$3, 0))="",L67,INDEX(Variablen!$I:$AT, MATCH(M67, Variablen!$A:$A, 0), MATCH((YEAR(D67)+8), Variablen!$I$3:$AT$3, 0))),L67)))*(IF((YEAR(D67)+8)&lt;YEAR(E67),0,IF((YEAR(D67)+8)&gt;YEAR(E67),1,(12-MONTH(E67)+1)/12))) + (Q67)*(IF((YEAR(D67)+8)&lt;YEAR(E67),0,IF((YEAR(D67)+8)&gt;YEAR(E67),1,(12-MONTH(E67)+1)/12))))-((P67)*(IF((YEAR(D67)+8)&lt;YEAR(E67),0,IF((YEAR(D67)+8)&gt;YEAR(E67),1,(12-MONTH(E67)+1)/12))) + (R67)*(IF((YEAR(D67)+8)&lt;YEAR(E67),0,IF((YEAR(D67)+8)&gt;YEAR(E67),1,(12-MONTH(E67)+1)/12))))-(IF(OR(N67="",N67&lt;=0),0,(O67/N67)*(IF(OR(N67="",N67&lt;=0),0,IF((YEAR(D67)+8)&lt;YEAR(E67),0,IF((YEAR(D67)+8)&gt;=YEAR(E67)+N67,0,IF((YEAR(D67)+8)=YEAR(E67),(12-MONTH(E67)+1)/12,1))))))))&gt;0,(((K67)*(IF(M67="",L67,IFERROR(IF(INDEX(Variablen!$I:$AT, MATCH(M67, Variablen!$A:$A, 0), MATCH((YEAR(D67)+8), Variablen!$I$3:$AT$3, 0))="",L67,INDEX(Variablen!$I:$AT, MATCH(M67, Variablen!$A:$A, 0), MATCH((YEAR(D67)+8), Variablen!$I$3:$AT$3, 0))),L67)))*(IF((YEAR(D67)+8)&lt;YEAR(E67),0,IF((YEAR(D67)+8)&gt;YEAR(E67),1,(12-MONTH(E67)+1)/12))) + (Q67)*(IF((YEAR(D67)+8)&lt;YEAR(E67),0,IF((YEAR(D67)+8)&gt;YEAR(E67),1,(12-MONTH(E67)+1)/12))))-((P67)*(IF((YEAR(D67)+8)&lt;YEAR(E67),0,IF((YEAR(D67)+8)&gt;YEAR(E67),1,(12-MONTH(E67)+1)/12))) + (R67)*(IF((YEAR(D67)+8)&lt;YEAR(E67),0,IF((YEAR(D67)+8)&gt;YEAR(E67),1,(12-MONTH(E67)+1)/12))))-(IF(OR(N67="",N67&lt;=0),0,(O67/N67)*(IF(OR(N67="",N67&lt;=0),0,IF((YEAR(D67)+8)&lt;YEAR(E67),0,IF((YEAR(D67)+8)&gt;=YEAR(E67)+N67,0,IF((YEAR(D67)+8)=YEAR(E67),(12-MONTH(E67)+1)/12,1))))))))*TaxRate,0))-IF(8=0,O67,0))</f>
        <v/>
      </c>
      <c r="AB67" s="29">
        <f>IF(A67="","",((K67)*(IF(M67="",L67,IFERROR(IF(INDEX(Variablen!$I:$AT, MATCH(M67, Variablen!$A:$A, 0), MATCH((YEAR(D67)+9), Variablen!$I$3:$AT$3, 0))="",L67,INDEX(Variablen!$I:$AT, MATCH(M67, Variablen!$A:$A, 0), MATCH((YEAR(D67)+9), Variablen!$I$3:$AT$3, 0))),L67)))*(IF((YEAR(D67)+9)&lt;YEAR(E67),0,IF((YEAR(D67)+9)&gt;YEAR(E67),1,(12-MONTH(E67)+1)/12))) + (Q67)*(IF((YEAR(D67)+9)&lt;YEAR(E67),0,IF((YEAR(D67)+9)&gt;YEAR(E67),1,(12-MONTH(E67)+1)/12))))-((P67)*(IF((YEAR(D67)+9)&lt;YEAR(E67),0,IF((YEAR(D67)+9)&gt;YEAR(E67),1,(12-MONTH(E67)+1)/12))) + (R67)*(IF((YEAR(D67)+9)&lt;YEAR(E67),0,IF((YEAR(D67)+9)&gt;YEAR(E67),1,(12-MONTH(E67)+1)/12))))-(IF((((K67)*(IF(M67="",L67,IFERROR(IF(INDEX(Variablen!$I:$AT, MATCH(M67, Variablen!$A:$A, 0), MATCH((YEAR(D67)+9), Variablen!$I$3:$AT$3, 0))="",L67,INDEX(Variablen!$I:$AT, MATCH(M67, Variablen!$A:$A, 0), MATCH((YEAR(D67)+9), Variablen!$I$3:$AT$3, 0))),L67)))*(IF((YEAR(D67)+9)&lt;YEAR(E67),0,IF((YEAR(D67)+9)&gt;YEAR(E67),1,(12-MONTH(E67)+1)/12))) + (Q67)*(IF((YEAR(D67)+9)&lt;YEAR(E67),0,IF((YEAR(D67)+9)&gt;YEAR(E67),1,(12-MONTH(E67)+1)/12))))-((P67)*(IF((YEAR(D67)+9)&lt;YEAR(E67),0,IF((YEAR(D67)+9)&gt;YEAR(E67),1,(12-MONTH(E67)+1)/12))) + (R67)*(IF((YEAR(D67)+9)&lt;YEAR(E67),0,IF((YEAR(D67)+9)&gt;YEAR(E67),1,(12-MONTH(E67)+1)/12))))-(IF(OR(N67="",N67&lt;=0),0,(O67/N67)*(IF(OR(N67="",N67&lt;=0),0,IF((YEAR(D67)+9)&lt;YEAR(E67),0,IF((YEAR(D67)+9)&gt;=YEAR(E67)+N67,0,IF((YEAR(D67)+9)=YEAR(E67),(12-MONTH(E67)+1)/12,1))))))))&gt;0,(((K67)*(IF(M67="",L67,IFERROR(IF(INDEX(Variablen!$I:$AT, MATCH(M67, Variablen!$A:$A, 0), MATCH((YEAR(D67)+9), Variablen!$I$3:$AT$3, 0))="",L67,INDEX(Variablen!$I:$AT, MATCH(M67, Variablen!$A:$A, 0), MATCH((YEAR(D67)+9), Variablen!$I$3:$AT$3, 0))),L67)))*(IF((YEAR(D67)+9)&lt;YEAR(E67),0,IF((YEAR(D67)+9)&gt;YEAR(E67),1,(12-MONTH(E67)+1)/12))) + (Q67)*(IF((YEAR(D67)+9)&lt;YEAR(E67),0,IF((YEAR(D67)+9)&gt;YEAR(E67),1,(12-MONTH(E67)+1)/12))))-((P67)*(IF((YEAR(D67)+9)&lt;YEAR(E67),0,IF((YEAR(D67)+9)&gt;YEAR(E67),1,(12-MONTH(E67)+1)/12))) + (R67)*(IF((YEAR(D67)+9)&lt;YEAR(E67),0,IF((YEAR(D67)+9)&gt;YEAR(E67),1,(12-MONTH(E67)+1)/12))))-(IF(OR(N67="",N67&lt;=0),0,(O67/N67)*(IF(OR(N67="",N67&lt;=0),0,IF((YEAR(D67)+9)&lt;YEAR(E67),0,IF((YEAR(D67)+9)&gt;=YEAR(E67)+N67,0,IF((YEAR(D67)+9)=YEAR(E67),(12-MONTH(E67)+1)/12,1))))))))*TaxRate,0))-IF(9=0,O67,0))</f>
        <v/>
      </c>
      <c r="AC67" s="29">
        <f>IF(A67="","",((K67)*(IF(M67="",L67,IFERROR(IF(INDEX(Variablen!$I:$AT, MATCH(M67, Variablen!$A:$A, 0), MATCH((YEAR(D67)+10), Variablen!$I$3:$AT$3, 0))="",L67,INDEX(Variablen!$I:$AT, MATCH(M67, Variablen!$A:$A, 0), MATCH((YEAR(D67)+10), Variablen!$I$3:$AT$3, 0))),L67)))*(IF((YEAR(D67)+10)&lt;YEAR(E67),0,IF((YEAR(D67)+10)&gt;YEAR(E67),1,(12-MONTH(E67)+1)/12))) + (Q67)*(IF((YEAR(D67)+10)&lt;YEAR(E67),0,IF((YEAR(D67)+10)&gt;YEAR(E67),1,(12-MONTH(E67)+1)/12))))-((P67)*(IF((YEAR(D67)+10)&lt;YEAR(E67),0,IF((YEAR(D67)+10)&gt;YEAR(E67),1,(12-MONTH(E67)+1)/12))) + (R67)*(IF((YEAR(D67)+10)&lt;YEAR(E67),0,IF((YEAR(D67)+10)&gt;YEAR(E67),1,(12-MONTH(E67)+1)/12))))-(IF((((K67)*(IF(M67="",L67,IFERROR(IF(INDEX(Variablen!$I:$AT, MATCH(M67, Variablen!$A:$A, 0), MATCH((YEAR(D67)+10), Variablen!$I$3:$AT$3, 0))="",L67,INDEX(Variablen!$I:$AT, MATCH(M67, Variablen!$A:$A, 0), MATCH((YEAR(D67)+10), Variablen!$I$3:$AT$3, 0))),L67)))*(IF((YEAR(D67)+10)&lt;YEAR(E67),0,IF((YEAR(D67)+10)&gt;YEAR(E67),1,(12-MONTH(E67)+1)/12))) + (Q67)*(IF((YEAR(D67)+10)&lt;YEAR(E67),0,IF((YEAR(D67)+10)&gt;YEAR(E67),1,(12-MONTH(E67)+1)/12))))-((P67)*(IF((YEAR(D67)+10)&lt;YEAR(E67),0,IF((YEAR(D67)+10)&gt;YEAR(E67),1,(12-MONTH(E67)+1)/12))) + (R67)*(IF((YEAR(D67)+10)&lt;YEAR(E67),0,IF((YEAR(D67)+10)&gt;YEAR(E67),1,(12-MONTH(E67)+1)/12))))-(IF(OR(N67="",N67&lt;=0),0,(O67/N67)*(IF(OR(N67="",N67&lt;=0),0,IF((YEAR(D67)+10)&lt;YEAR(E67),0,IF((YEAR(D67)+10)&gt;=YEAR(E67)+N67,0,IF((YEAR(D67)+10)=YEAR(E67),(12-MONTH(E67)+1)/12,1))))))))&gt;0,(((K67)*(IF(M67="",L67,IFERROR(IF(INDEX(Variablen!$I:$AT, MATCH(M67, Variablen!$A:$A, 0), MATCH((YEAR(D67)+10), Variablen!$I$3:$AT$3, 0))="",L67,INDEX(Variablen!$I:$AT, MATCH(M67, Variablen!$A:$A, 0), MATCH((YEAR(D67)+10), Variablen!$I$3:$AT$3, 0))),L67)))*(IF((YEAR(D67)+10)&lt;YEAR(E67),0,IF((YEAR(D67)+10)&gt;YEAR(E67),1,(12-MONTH(E67)+1)/12))) + (Q67)*(IF((YEAR(D67)+10)&lt;YEAR(E67),0,IF((YEAR(D67)+10)&gt;YEAR(E67),1,(12-MONTH(E67)+1)/12))))-((P67)*(IF((YEAR(D67)+10)&lt;YEAR(E67),0,IF((YEAR(D67)+10)&gt;YEAR(E67),1,(12-MONTH(E67)+1)/12))) + (R67)*(IF((YEAR(D67)+10)&lt;YEAR(E67),0,IF((YEAR(D67)+10)&gt;YEAR(E67),1,(12-MONTH(E67)+1)/12))))-(IF(OR(N67="",N67&lt;=0),0,(O67/N67)*(IF(OR(N67="",N67&lt;=0),0,IF((YEAR(D67)+10)&lt;YEAR(E67),0,IF((YEAR(D67)+10)&gt;=YEAR(E67)+N67,0,IF((YEAR(D67)+10)=YEAR(E67),(12-MONTH(E67)+1)/12,1))))))))*TaxRate,0))-IF(10=0,O67,0))</f>
        <v/>
      </c>
      <c r="AD67" s="29">
        <f>IF(A67="","",((K67)*(IF(M67="",L67,IFERROR(IF(INDEX(Variablen!$I:$AT, MATCH(M67, Variablen!$A:$A, 0), MATCH((YEAR(D67)+11), Variablen!$I$3:$AT$3, 0))="",L67,INDEX(Variablen!$I:$AT, MATCH(M67, Variablen!$A:$A, 0), MATCH((YEAR(D67)+11), Variablen!$I$3:$AT$3, 0))),L67)))*(IF((YEAR(D67)+11)&lt;YEAR(E67),0,IF((YEAR(D67)+11)&gt;YEAR(E67),1,(12-MONTH(E67)+1)/12))) + (Q67)*(IF((YEAR(D67)+11)&lt;YEAR(E67),0,IF((YEAR(D67)+11)&gt;YEAR(E67),1,(12-MONTH(E67)+1)/12))))-((P67)*(IF((YEAR(D67)+11)&lt;YEAR(E67),0,IF((YEAR(D67)+11)&gt;YEAR(E67),1,(12-MONTH(E67)+1)/12))) + (R67)*(IF((YEAR(D67)+11)&lt;YEAR(E67),0,IF((YEAR(D67)+11)&gt;YEAR(E67),1,(12-MONTH(E67)+1)/12))))-(IF((((K67)*(IF(M67="",L67,IFERROR(IF(INDEX(Variablen!$I:$AT, MATCH(M67, Variablen!$A:$A, 0), MATCH((YEAR(D67)+11), Variablen!$I$3:$AT$3, 0))="",L67,INDEX(Variablen!$I:$AT, MATCH(M67, Variablen!$A:$A, 0), MATCH((YEAR(D67)+11), Variablen!$I$3:$AT$3, 0))),L67)))*(IF((YEAR(D67)+11)&lt;YEAR(E67),0,IF((YEAR(D67)+11)&gt;YEAR(E67),1,(12-MONTH(E67)+1)/12))) + (Q67)*(IF((YEAR(D67)+11)&lt;YEAR(E67),0,IF((YEAR(D67)+11)&gt;YEAR(E67),1,(12-MONTH(E67)+1)/12))))-((P67)*(IF((YEAR(D67)+11)&lt;YEAR(E67),0,IF((YEAR(D67)+11)&gt;YEAR(E67),1,(12-MONTH(E67)+1)/12))) + (R67)*(IF((YEAR(D67)+11)&lt;YEAR(E67),0,IF((YEAR(D67)+11)&gt;YEAR(E67),1,(12-MONTH(E67)+1)/12))))-(IF(OR(N67="",N67&lt;=0),0,(O67/N67)*(IF(OR(N67="",N67&lt;=0),0,IF((YEAR(D67)+11)&lt;YEAR(E67),0,IF((YEAR(D67)+11)&gt;=YEAR(E67)+N67,0,IF((YEAR(D67)+11)=YEAR(E67),(12-MONTH(E67)+1)/12,1))))))))&gt;0,(((K67)*(IF(M67="",L67,IFERROR(IF(INDEX(Variablen!$I:$AT, MATCH(M67, Variablen!$A:$A, 0), MATCH((YEAR(D67)+11), Variablen!$I$3:$AT$3, 0))="",L67,INDEX(Variablen!$I:$AT, MATCH(M67, Variablen!$A:$A, 0), MATCH((YEAR(D67)+11), Variablen!$I$3:$AT$3, 0))),L67)))*(IF((YEAR(D67)+11)&lt;YEAR(E67),0,IF((YEAR(D67)+11)&gt;YEAR(E67),1,(12-MONTH(E67)+1)/12))) + (Q67)*(IF((YEAR(D67)+11)&lt;YEAR(E67),0,IF((YEAR(D67)+11)&gt;YEAR(E67),1,(12-MONTH(E67)+1)/12))))-((P67)*(IF((YEAR(D67)+11)&lt;YEAR(E67),0,IF((YEAR(D67)+11)&gt;YEAR(E67),1,(12-MONTH(E67)+1)/12))) + (R67)*(IF((YEAR(D67)+11)&lt;YEAR(E67),0,IF((YEAR(D67)+11)&gt;YEAR(E67),1,(12-MONTH(E67)+1)/12))))-(IF(OR(N67="",N67&lt;=0),0,(O67/N67)*(IF(OR(N67="",N67&lt;=0),0,IF((YEAR(D67)+11)&lt;YEAR(E67),0,IF((YEAR(D67)+11)&gt;=YEAR(E67)+N67,0,IF((YEAR(D67)+11)=YEAR(E67),(12-MONTH(E67)+1)/12,1))))))))*TaxRate,0))-IF(11=0,O67,0))</f>
        <v/>
      </c>
      <c r="AE67" s="29">
        <f>IF(A67="","",((K67)*(IF(M67="",L67,IFERROR(IF(INDEX(Variablen!$I:$AT, MATCH(M67, Variablen!$A:$A, 0), MATCH((YEAR(D67)+12), Variablen!$I$3:$AT$3, 0))="",L67,INDEX(Variablen!$I:$AT, MATCH(M67, Variablen!$A:$A, 0), MATCH((YEAR(D67)+12), Variablen!$I$3:$AT$3, 0))),L67)))*(IF((YEAR(D67)+12)&lt;YEAR(E67),0,IF((YEAR(D67)+12)&gt;YEAR(E67),1,(12-MONTH(E67)+1)/12))) + (Q67)*(IF((YEAR(D67)+12)&lt;YEAR(E67),0,IF((YEAR(D67)+12)&gt;YEAR(E67),1,(12-MONTH(E67)+1)/12))))-((P67)*(IF((YEAR(D67)+12)&lt;YEAR(E67),0,IF((YEAR(D67)+12)&gt;YEAR(E67),1,(12-MONTH(E67)+1)/12))) + (R67)*(IF((YEAR(D67)+12)&lt;YEAR(E67),0,IF((YEAR(D67)+12)&gt;YEAR(E67),1,(12-MONTH(E67)+1)/12))))-(IF((((K67)*(IF(M67="",L67,IFERROR(IF(INDEX(Variablen!$I:$AT, MATCH(M67, Variablen!$A:$A, 0), MATCH((YEAR(D67)+12), Variablen!$I$3:$AT$3, 0))="",L67,INDEX(Variablen!$I:$AT, MATCH(M67, Variablen!$A:$A, 0), MATCH((YEAR(D67)+12), Variablen!$I$3:$AT$3, 0))),L67)))*(IF((YEAR(D67)+12)&lt;YEAR(E67),0,IF((YEAR(D67)+12)&gt;YEAR(E67),1,(12-MONTH(E67)+1)/12))) + (Q67)*(IF((YEAR(D67)+12)&lt;YEAR(E67),0,IF((YEAR(D67)+12)&gt;YEAR(E67),1,(12-MONTH(E67)+1)/12))))-((P67)*(IF((YEAR(D67)+12)&lt;YEAR(E67),0,IF((YEAR(D67)+12)&gt;YEAR(E67),1,(12-MONTH(E67)+1)/12))) + (R67)*(IF((YEAR(D67)+12)&lt;YEAR(E67),0,IF((YEAR(D67)+12)&gt;YEAR(E67),1,(12-MONTH(E67)+1)/12))))-(IF(OR(N67="",N67&lt;=0),0,(O67/N67)*(IF(OR(N67="",N67&lt;=0),0,IF((YEAR(D67)+12)&lt;YEAR(E67),0,IF((YEAR(D67)+12)&gt;=YEAR(E67)+N67,0,IF((YEAR(D67)+12)=YEAR(E67),(12-MONTH(E67)+1)/12,1))))))))&gt;0,(((K67)*(IF(M67="",L67,IFERROR(IF(INDEX(Variablen!$I:$AT, MATCH(M67, Variablen!$A:$A, 0), MATCH((YEAR(D67)+12), Variablen!$I$3:$AT$3, 0))="",L67,INDEX(Variablen!$I:$AT, MATCH(M67, Variablen!$A:$A, 0), MATCH((YEAR(D67)+12), Variablen!$I$3:$AT$3, 0))),L67)))*(IF((YEAR(D67)+12)&lt;YEAR(E67),0,IF((YEAR(D67)+12)&gt;YEAR(E67),1,(12-MONTH(E67)+1)/12))) + (Q67)*(IF((YEAR(D67)+12)&lt;YEAR(E67),0,IF((YEAR(D67)+12)&gt;YEAR(E67),1,(12-MONTH(E67)+1)/12))))-((P67)*(IF((YEAR(D67)+12)&lt;YEAR(E67),0,IF((YEAR(D67)+12)&gt;YEAR(E67),1,(12-MONTH(E67)+1)/12))) + (R67)*(IF((YEAR(D67)+12)&lt;YEAR(E67),0,IF((YEAR(D67)+12)&gt;YEAR(E67),1,(12-MONTH(E67)+1)/12))))-(IF(OR(N67="",N67&lt;=0),0,(O67/N67)*(IF(OR(N67="",N67&lt;=0),0,IF((YEAR(D67)+12)&lt;YEAR(E67),0,IF((YEAR(D67)+12)&gt;=YEAR(E67)+N67,0,IF((YEAR(D67)+12)=YEAR(E67),(12-MONTH(E67)+1)/12,1))))))))*TaxRate,0))-IF(12=0,O67,0))</f>
        <v/>
      </c>
      <c r="AF67" s="29">
        <f>IF(A67="","",((K67)*(IF(M67="",L67,IFERROR(IF(INDEX(Variablen!$I:$AT, MATCH(M67, Variablen!$A:$A, 0), MATCH((YEAR(D67)+13), Variablen!$I$3:$AT$3, 0))="",L67,INDEX(Variablen!$I:$AT, MATCH(M67, Variablen!$A:$A, 0), MATCH((YEAR(D67)+13), Variablen!$I$3:$AT$3, 0))),L67)))*(IF((YEAR(D67)+13)&lt;YEAR(E67),0,IF((YEAR(D67)+13)&gt;YEAR(E67),1,(12-MONTH(E67)+1)/12))) + (Q67)*(IF((YEAR(D67)+13)&lt;YEAR(E67),0,IF((YEAR(D67)+13)&gt;YEAR(E67),1,(12-MONTH(E67)+1)/12))))-((P67)*(IF((YEAR(D67)+13)&lt;YEAR(E67),0,IF((YEAR(D67)+13)&gt;YEAR(E67),1,(12-MONTH(E67)+1)/12))) + (R67)*(IF((YEAR(D67)+13)&lt;YEAR(E67),0,IF((YEAR(D67)+13)&gt;YEAR(E67),1,(12-MONTH(E67)+1)/12))))-(IF((((K67)*(IF(M67="",L67,IFERROR(IF(INDEX(Variablen!$I:$AT, MATCH(M67, Variablen!$A:$A, 0), MATCH((YEAR(D67)+13), Variablen!$I$3:$AT$3, 0))="",L67,INDEX(Variablen!$I:$AT, MATCH(M67, Variablen!$A:$A, 0), MATCH((YEAR(D67)+13), Variablen!$I$3:$AT$3, 0))),L67)))*(IF((YEAR(D67)+13)&lt;YEAR(E67),0,IF((YEAR(D67)+13)&gt;YEAR(E67),1,(12-MONTH(E67)+1)/12))) + (Q67)*(IF((YEAR(D67)+13)&lt;YEAR(E67),0,IF((YEAR(D67)+13)&gt;YEAR(E67),1,(12-MONTH(E67)+1)/12))))-((P67)*(IF((YEAR(D67)+13)&lt;YEAR(E67),0,IF((YEAR(D67)+13)&gt;YEAR(E67),1,(12-MONTH(E67)+1)/12))) + (R67)*(IF((YEAR(D67)+13)&lt;YEAR(E67),0,IF((YEAR(D67)+13)&gt;YEAR(E67),1,(12-MONTH(E67)+1)/12))))-(IF(OR(N67="",N67&lt;=0),0,(O67/N67)*(IF(OR(N67="",N67&lt;=0),0,IF((YEAR(D67)+13)&lt;YEAR(E67),0,IF((YEAR(D67)+13)&gt;=YEAR(E67)+N67,0,IF((YEAR(D67)+13)=YEAR(E67),(12-MONTH(E67)+1)/12,1))))))))&gt;0,(((K67)*(IF(M67="",L67,IFERROR(IF(INDEX(Variablen!$I:$AT, MATCH(M67, Variablen!$A:$A, 0), MATCH((YEAR(D67)+13), Variablen!$I$3:$AT$3, 0))="",L67,INDEX(Variablen!$I:$AT, MATCH(M67, Variablen!$A:$A, 0), MATCH((YEAR(D67)+13), Variablen!$I$3:$AT$3, 0))),L67)))*(IF((YEAR(D67)+13)&lt;YEAR(E67),0,IF((YEAR(D67)+13)&gt;YEAR(E67),1,(12-MONTH(E67)+1)/12))) + (Q67)*(IF((YEAR(D67)+13)&lt;YEAR(E67),0,IF((YEAR(D67)+13)&gt;YEAR(E67),1,(12-MONTH(E67)+1)/12))))-((P67)*(IF((YEAR(D67)+13)&lt;YEAR(E67),0,IF((YEAR(D67)+13)&gt;YEAR(E67),1,(12-MONTH(E67)+1)/12))) + (R67)*(IF((YEAR(D67)+13)&lt;YEAR(E67),0,IF((YEAR(D67)+13)&gt;YEAR(E67),1,(12-MONTH(E67)+1)/12))))-(IF(OR(N67="",N67&lt;=0),0,(O67/N67)*(IF(OR(N67="",N67&lt;=0),0,IF((YEAR(D67)+13)&lt;YEAR(E67),0,IF((YEAR(D67)+13)&gt;=YEAR(E67)+N67,0,IF((YEAR(D67)+13)=YEAR(E67),(12-MONTH(E67)+1)/12,1))))))))*TaxRate,0))-IF(13=0,O67,0))</f>
        <v/>
      </c>
      <c r="AG67" s="29">
        <f>IF(A67="","",((K67)*(IF(M67="",L67,IFERROR(IF(INDEX(Variablen!$I:$AT, MATCH(M67, Variablen!$A:$A, 0), MATCH((YEAR(D67)+14), Variablen!$I$3:$AT$3, 0))="",L67,INDEX(Variablen!$I:$AT, MATCH(M67, Variablen!$A:$A, 0), MATCH((YEAR(D67)+14), Variablen!$I$3:$AT$3, 0))),L67)))*(IF((YEAR(D67)+14)&lt;YEAR(E67),0,IF((YEAR(D67)+14)&gt;YEAR(E67),1,(12-MONTH(E67)+1)/12))) + (Q67)*(IF((YEAR(D67)+14)&lt;YEAR(E67),0,IF((YEAR(D67)+14)&gt;YEAR(E67),1,(12-MONTH(E67)+1)/12))))-((P67)*(IF((YEAR(D67)+14)&lt;YEAR(E67),0,IF((YEAR(D67)+14)&gt;YEAR(E67),1,(12-MONTH(E67)+1)/12))) + (R67)*(IF((YEAR(D67)+14)&lt;YEAR(E67),0,IF((YEAR(D67)+14)&gt;YEAR(E67),1,(12-MONTH(E67)+1)/12))))-(IF((((K67)*(IF(M67="",L67,IFERROR(IF(INDEX(Variablen!$I:$AT, MATCH(M67, Variablen!$A:$A, 0), MATCH((YEAR(D67)+14), Variablen!$I$3:$AT$3, 0))="",L67,INDEX(Variablen!$I:$AT, MATCH(M67, Variablen!$A:$A, 0), MATCH((YEAR(D67)+14), Variablen!$I$3:$AT$3, 0))),L67)))*(IF((YEAR(D67)+14)&lt;YEAR(E67),0,IF((YEAR(D67)+14)&gt;YEAR(E67),1,(12-MONTH(E67)+1)/12))) + (Q67)*(IF((YEAR(D67)+14)&lt;YEAR(E67),0,IF((YEAR(D67)+14)&gt;YEAR(E67),1,(12-MONTH(E67)+1)/12))))-((P67)*(IF((YEAR(D67)+14)&lt;YEAR(E67),0,IF((YEAR(D67)+14)&gt;YEAR(E67),1,(12-MONTH(E67)+1)/12))) + (R67)*(IF((YEAR(D67)+14)&lt;YEAR(E67),0,IF((YEAR(D67)+14)&gt;YEAR(E67),1,(12-MONTH(E67)+1)/12))))-(IF(OR(N67="",N67&lt;=0),0,(O67/N67)*(IF(OR(N67="",N67&lt;=0),0,IF((YEAR(D67)+14)&lt;YEAR(E67),0,IF((YEAR(D67)+14)&gt;=YEAR(E67)+N67,0,IF((YEAR(D67)+14)=YEAR(E67),(12-MONTH(E67)+1)/12,1))))))))&gt;0,(((K67)*(IF(M67="",L67,IFERROR(IF(INDEX(Variablen!$I:$AT, MATCH(M67, Variablen!$A:$A, 0), MATCH((YEAR(D67)+14), Variablen!$I$3:$AT$3, 0))="",L67,INDEX(Variablen!$I:$AT, MATCH(M67, Variablen!$A:$A, 0), MATCH((YEAR(D67)+14), Variablen!$I$3:$AT$3, 0))),L67)))*(IF((YEAR(D67)+14)&lt;YEAR(E67),0,IF((YEAR(D67)+14)&gt;YEAR(E67),1,(12-MONTH(E67)+1)/12))) + (Q67)*(IF((YEAR(D67)+14)&lt;YEAR(E67),0,IF((YEAR(D67)+14)&gt;YEAR(E67),1,(12-MONTH(E67)+1)/12))))-((P67)*(IF((YEAR(D67)+14)&lt;YEAR(E67),0,IF((YEAR(D67)+14)&gt;YEAR(E67),1,(12-MONTH(E67)+1)/12))) + (R67)*(IF((YEAR(D67)+14)&lt;YEAR(E67),0,IF((YEAR(D67)+14)&gt;YEAR(E67),1,(12-MONTH(E67)+1)/12))))-(IF(OR(N67="",N67&lt;=0),0,(O67/N67)*(IF(OR(N67="",N67&lt;=0),0,IF((YEAR(D67)+14)&lt;YEAR(E67),0,IF((YEAR(D67)+14)&gt;=YEAR(E67)+N67,0,IF((YEAR(D67)+14)=YEAR(E67),(12-MONTH(E67)+1)/12,1))))))))*TaxRate,0))-IF(14=0,O67,0))</f>
        <v/>
      </c>
      <c r="AH67" s="29">
        <f>IF(A67="","",((K67)*(IF(M67="",L67,IFERROR(IF(INDEX(Variablen!$I:$AT, MATCH(M67, Variablen!$A:$A, 0), MATCH((YEAR(D67)+15), Variablen!$I$3:$AT$3, 0))="",L67,INDEX(Variablen!$I:$AT, MATCH(M67, Variablen!$A:$A, 0), MATCH((YEAR(D67)+15), Variablen!$I$3:$AT$3, 0))),L67)))*(IF((YEAR(D67)+15)&lt;YEAR(E67),0,IF((YEAR(D67)+15)&gt;YEAR(E67),1,(12-MONTH(E67)+1)/12))) + (Q67)*(IF((YEAR(D67)+15)&lt;YEAR(E67),0,IF((YEAR(D67)+15)&gt;YEAR(E67),1,(12-MONTH(E67)+1)/12))))-((P67)*(IF((YEAR(D67)+15)&lt;YEAR(E67),0,IF((YEAR(D67)+15)&gt;YEAR(E67),1,(12-MONTH(E67)+1)/12))) + (R67)*(IF((YEAR(D67)+15)&lt;YEAR(E67),0,IF((YEAR(D67)+15)&gt;YEAR(E67),1,(12-MONTH(E67)+1)/12))))-(IF((((K67)*(IF(M67="",L67,IFERROR(IF(INDEX(Variablen!$I:$AT, MATCH(M67, Variablen!$A:$A, 0), MATCH((YEAR(D67)+15), Variablen!$I$3:$AT$3, 0))="",L67,INDEX(Variablen!$I:$AT, MATCH(M67, Variablen!$A:$A, 0), MATCH((YEAR(D67)+15), Variablen!$I$3:$AT$3, 0))),L67)))*(IF((YEAR(D67)+15)&lt;YEAR(E67),0,IF((YEAR(D67)+15)&gt;YEAR(E67),1,(12-MONTH(E67)+1)/12))) + (Q67)*(IF((YEAR(D67)+15)&lt;YEAR(E67),0,IF((YEAR(D67)+15)&gt;YEAR(E67),1,(12-MONTH(E67)+1)/12))))-((P67)*(IF((YEAR(D67)+15)&lt;YEAR(E67),0,IF((YEAR(D67)+15)&gt;YEAR(E67),1,(12-MONTH(E67)+1)/12))) + (R67)*(IF((YEAR(D67)+15)&lt;YEAR(E67),0,IF((YEAR(D67)+15)&gt;YEAR(E67),1,(12-MONTH(E67)+1)/12))))-(IF(OR(N67="",N67&lt;=0),0,(O67/N67)*(IF(OR(N67="",N67&lt;=0),0,IF((YEAR(D67)+15)&lt;YEAR(E67),0,IF((YEAR(D67)+15)&gt;=YEAR(E67)+N67,0,IF((YEAR(D67)+15)=YEAR(E67),(12-MONTH(E67)+1)/12,1))))))))&gt;0,(((K67)*(IF(M67="",L67,IFERROR(IF(INDEX(Variablen!$I:$AT, MATCH(M67, Variablen!$A:$A, 0), MATCH((YEAR(D67)+15), Variablen!$I$3:$AT$3, 0))="",L67,INDEX(Variablen!$I:$AT, MATCH(M67, Variablen!$A:$A, 0), MATCH((YEAR(D67)+15), Variablen!$I$3:$AT$3, 0))),L67)))*(IF((YEAR(D67)+15)&lt;YEAR(E67),0,IF((YEAR(D67)+15)&gt;YEAR(E67),1,(12-MONTH(E67)+1)/12))) + (Q67)*(IF((YEAR(D67)+15)&lt;YEAR(E67),0,IF((YEAR(D67)+15)&gt;YEAR(E67),1,(12-MONTH(E67)+1)/12))))-((P67)*(IF((YEAR(D67)+15)&lt;YEAR(E67),0,IF((YEAR(D67)+15)&gt;YEAR(E67),1,(12-MONTH(E67)+1)/12))) + (R67)*(IF((YEAR(D67)+15)&lt;YEAR(E67),0,IF((YEAR(D67)+15)&gt;YEAR(E67),1,(12-MONTH(E67)+1)/12))))-(IF(OR(N67="",N67&lt;=0),0,(O67/N67)*(IF(OR(N67="",N67&lt;=0),0,IF((YEAR(D67)+15)&lt;YEAR(E67),0,IF((YEAR(D67)+15)&gt;=YEAR(E67)+N67,0,IF((YEAR(D67)+15)=YEAR(E67),(12-MONTH(E67)+1)/12,1))))))))*TaxRate,0))-IF(15=0,O67,0))</f>
        <v/>
      </c>
      <c r="AI67" s="29">
        <f>IF(A67="","",((K67)*(IF(M67="",L67,IFERROR(IF(INDEX(Variablen!$I:$AT, MATCH(M67, Variablen!$A:$A, 0), MATCH((YEAR(D67)+16), Variablen!$I$3:$AT$3, 0))="",L67,INDEX(Variablen!$I:$AT, MATCH(M67, Variablen!$A:$A, 0), MATCH((YEAR(D67)+16), Variablen!$I$3:$AT$3, 0))),L67)))*(IF((YEAR(D67)+16)&lt;YEAR(E67),0,IF((YEAR(D67)+16)&gt;YEAR(E67),1,(12-MONTH(E67)+1)/12))) + (Q67)*(IF((YEAR(D67)+16)&lt;YEAR(E67),0,IF((YEAR(D67)+16)&gt;YEAR(E67),1,(12-MONTH(E67)+1)/12))))-((P67)*(IF((YEAR(D67)+16)&lt;YEAR(E67),0,IF((YEAR(D67)+16)&gt;YEAR(E67),1,(12-MONTH(E67)+1)/12))) + (R67)*(IF((YEAR(D67)+16)&lt;YEAR(E67),0,IF((YEAR(D67)+16)&gt;YEAR(E67),1,(12-MONTH(E67)+1)/12))))-(IF((((K67)*(IF(M67="",L67,IFERROR(IF(INDEX(Variablen!$I:$AT, MATCH(M67, Variablen!$A:$A, 0), MATCH((YEAR(D67)+16), Variablen!$I$3:$AT$3, 0))="",L67,INDEX(Variablen!$I:$AT, MATCH(M67, Variablen!$A:$A, 0), MATCH((YEAR(D67)+16), Variablen!$I$3:$AT$3, 0))),L67)))*(IF((YEAR(D67)+16)&lt;YEAR(E67),0,IF((YEAR(D67)+16)&gt;YEAR(E67),1,(12-MONTH(E67)+1)/12))) + (Q67)*(IF((YEAR(D67)+16)&lt;YEAR(E67),0,IF((YEAR(D67)+16)&gt;YEAR(E67),1,(12-MONTH(E67)+1)/12))))-((P67)*(IF((YEAR(D67)+16)&lt;YEAR(E67),0,IF((YEAR(D67)+16)&gt;YEAR(E67),1,(12-MONTH(E67)+1)/12))) + (R67)*(IF((YEAR(D67)+16)&lt;YEAR(E67),0,IF((YEAR(D67)+16)&gt;YEAR(E67),1,(12-MONTH(E67)+1)/12))))-(IF(OR(N67="",N67&lt;=0),0,(O67/N67)*(IF(OR(N67="",N67&lt;=0),0,IF((YEAR(D67)+16)&lt;YEAR(E67),0,IF((YEAR(D67)+16)&gt;=YEAR(E67)+N67,0,IF((YEAR(D67)+16)=YEAR(E67),(12-MONTH(E67)+1)/12,1))))))))&gt;0,(((K67)*(IF(M67="",L67,IFERROR(IF(INDEX(Variablen!$I:$AT, MATCH(M67, Variablen!$A:$A, 0), MATCH((YEAR(D67)+16), Variablen!$I$3:$AT$3, 0))="",L67,INDEX(Variablen!$I:$AT, MATCH(M67, Variablen!$A:$A, 0), MATCH((YEAR(D67)+16), Variablen!$I$3:$AT$3, 0))),L67)))*(IF((YEAR(D67)+16)&lt;YEAR(E67),0,IF((YEAR(D67)+16)&gt;YEAR(E67),1,(12-MONTH(E67)+1)/12))) + (Q67)*(IF((YEAR(D67)+16)&lt;YEAR(E67),0,IF((YEAR(D67)+16)&gt;YEAR(E67),1,(12-MONTH(E67)+1)/12))))-((P67)*(IF((YEAR(D67)+16)&lt;YEAR(E67),0,IF((YEAR(D67)+16)&gt;YEAR(E67),1,(12-MONTH(E67)+1)/12))) + (R67)*(IF((YEAR(D67)+16)&lt;YEAR(E67),0,IF((YEAR(D67)+16)&gt;YEAR(E67),1,(12-MONTH(E67)+1)/12))))-(IF(OR(N67="",N67&lt;=0),0,(O67/N67)*(IF(OR(N67="",N67&lt;=0),0,IF((YEAR(D67)+16)&lt;YEAR(E67),0,IF((YEAR(D67)+16)&gt;=YEAR(E67)+N67,0,IF((YEAR(D67)+16)=YEAR(E67),(12-MONTH(E67)+1)/12,1))))))))*TaxRate,0))-IF(16=0,O67,0))</f>
        <v/>
      </c>
      <c r="AJ67" s="29">
        <f>IF(A67="","",((K67)*(IF(M67="",L67,IFERROR(IF(INDEX(Variablen!$I:$AT, MATCH(M67, Variablen!$A:$A, 0), MATCH((YEAR(D67)+17), Variablen!$I$3:$AT$3, 0))="",L67,INDEX(Variablen!$I:$AT, MATCH(M67, Variablen!$A:$A, 0), MATCH((YEAR(D67)+17), Variablen!$I$3:$AT$3, 0))),L67)))*(IF((YEAR(D67)+17)&lt;YEAR(E67),0,IF((YEAR(D67)+17)&gt;YEAR(E67),1,(12-MONTH(E67)+1)/12))) + (Q67)*(IF((YEAR(D67)+17)&lt;YEAR(E67),0,IF((YEAR(D67)+17)&gt;YEAR(E67),1,(12-MONTH(E67)+1)/12))))-((P67)*(IF((YEAR(D67)+17)&lt;YEAR(E67),0,IF((YEAR(D67)+17)&gt;YEAR(E67),1,(12-MONTH(E67)+1)/12))) + (R67)*(IF((YEAR(D67)+17)&lt;YEAR(E67),0,IF((YEAR(D67)+17)&gt;YEAR(E67),1,(12-MONTH(E67)+1)/12))))-(IF((((K67)*(IF(M67="",L67,IFERROR(IF(INDEX(Variablen!$I:$AT, MATCH(M67, Variablen!$A:$A, 0), MATCH((YEAR(D67)+17), Variablen!$I$3:$AT$3, 0))="",L67,INDEX(Variablen!$I:$AT, MATCH(M67, Variablen!$A:$A, 0), MATCH((YEAR(D67)+17), Variablen!$I$3:$AT$3, 0))),L67)))*(IF((YEAR(D67)+17)&lt;YEAR(E67),0,IF((YEAR(D67)+17)&gt;YEAR(E67),1,(12-MONTH(E67)+1)/12))) + (Q67)*(IF((YEAR(D67)+17)&lt;YEAR(E67),0,IF((YEAR(D67)+17)&gt;YEAR(E67),1,(12-MONTH(E67)+1)/12))))-((P67)*(IF((YEAR(D67)+17)&lt;YEAR(E67),0,IF((YEAR(D67)+17)&gt;YEAR(E67),1,(12-MONTH(E67)+1)/12))) + (R67)*(IF((YEAR(D67)+17)&lt;YEAR(E67),0,IF((YEAR(D67)+17)&gt;YEAR(E67),1,(12-MONTH(E67)+1)/12))))-(IF(OR(N67="",N67&lt;=0),0,(O67/N67)*(IF(OR(N67="",N67&lt;=0),0,IF((YEAR(D67)+17)&lt;YEAR(E67),0,IF((YEAR(D67)+17)&gt;=YEAR(E67)+N67,0,IF((YEAR(D67)+17)=YEAR(E67),(12-MONTH(E67)+1)/12,1))))))))&gt;0,(((K67)*(IF(M67="",L67,IFERROR(IF(INDEX(Variablen!$I:$AT, MATCH(M67, Variablen!$A:$A, 0), MATCH((YEAR(D67)+17), Variablen!$I$3:$AT$3, 0))="",L67,INDEX(Variablen!$I:$AT, MATCH(M67, Variablen!$A:$A, 0), MATCH((YEAR(D67)+17), Variablen!$I$3:$AT$3, 0))),L67)))*(IF((YEAR(D67)+17)&lt;YEAR(E67),0,IF((YEAR(D67)+17)&gt;YEAR(E67),1,(12-MONTH(E67)+1)/12))) + (Q67)*(IF((YEAR(D67)+17)&lt;YEAR(E67),0,IF((YEAR(D67)+17)&gt;YEAR(E67),1,(12-MONTH(E67)+1)/12))))-((P67)*(IF((YEAR(D67)+17)&lt;YEAR(E67),0,IF((YEAR(D67)+17)&gt;YEAR(E67),1,(12-MONTH(E67)+1)/12))) + (R67)*(IF((YEAR(D67)+17)&lt;YEAR(E67),0,IF((YEAR(D67)+17)&gt;YEAR(E67),1,(12-MONTH(E67)+1)/12))))-(IF(OR(N67="",N67&lt;=0),0,(O67/N67)*(IF(OR(N67="",N67&lt;=0),0,IF((YEAR(D67)+17)&lt;YEAR(E67),0,IF((YEAR(D67)+17)&gt;=YEAR(E67)+N67,0,IF((YEAR(D67)+17)=YEAR(E67),(12-MONTH(E67)+1)/12,1))))))))*TaxRate,0))-IF(17=0,O67,0))</f>
        <v/>
      </c>
      <c r="AK67" s="29">
        <f>IF(A67="","",((K67)*(IF(M67="",L67,IFERROR(IF(INDEX(Variablen!$I:$AT, MATCH(M67, Variablen!$A:$A, 0), MATCH((YEAR(D67)+18), Variablen!$I$3:$AT$3, 0))="",L67,INDEX(Variablen!$I:$AT, MATCH(M67, Variablen!$A:$A, 0), MATCH((YEAR(D67)+18), Variablen!$I$3:$AT$3, 0))),L67)))*(IF((YEAR(D67)+18)&lt;YEAR(E67),0,IF((YEAR(D67)+18)&gt;YEAR(E67),1,(12-MONTH(E67)+1)/12))) + (Q67)*(IF((YEAR(D67)+18)&lt;YEAR(E67),0,IF((YEAR(D67)+18)&gt;YEAR(E67),1,(12-MONTH(E67)+1)/12))))-((P67)*(IF((YEAR(D67)+18)&lt;YEAR(E67),0,IF((YEAR(D67)+18)&gt;YEAR(E67),1,(12-MONTH(E67)+1)/12))) + (R67)*(IF((YEAR(D67)+18)&lt;YEAR(E67),0,IF((YEAR(D67)+18)&gt;YEAR(E67),1,(12-MONTH(E67)+1)/12))))-(IF((((K67)*(IF(M67="",L67,IFERROR(IF(INDEX(Variablen!$I:$AT, MATCH(M67, Variablen!$A:$A, 0), MATCH((YEAR(D67)+18), Variablen!$I$3:$AT$3, 0))="",L67,INDEX(Variablen!$I:$AT, MATCH(M67, Variablen!$A:$A, 0), MATCH((YEAR(D67)+18), Variablen!$I$3:$AT$3, 0))),L67)))*(IF((YEAR(D67)+18)&lt;YEAR(E67),0,IF((YEAR(D67)+18)&gt;YEAR(E67),1,(12-MONTH(E67)+1)/12))) + (Q67)*(IF((YEAR(D67)+18)&lt;YEAR(E67),0,IF((YEAR(D67)+18)&gt;YEAR(E67),1,(12-MONTH(E67)+1)/12))))-((P67)*(IF((YEAR(D67)+18)&lt;YEAR(E67),0,IF((YEAR(D67)+18)&gt;YEAR(E67),1,(12-MONTH(E67)+1)/12))) + (R67)*(IF((YEAR(D67)+18)&lt;YEAR(E67),0,IF((YEAR(D67)+18)&gt;YEAR(E67),1,(12-MONTH(E67)+1)/12))))-(IF(OR(N67="",N67&lt;=0),0,(O67/N67)*(IF(OR(N67="",N67&lt;=0),0,IF((YEAR(D67)+18)&lt;YEAR(E67),0,IF((YEAR(D67)+18)&gt;=YEAR(E67)+N67,0,IF((YEAR(D67)+18)=YEAR(E67),(12-MONTH(E67)+1)/12,1))))))))&gt;0,(((K67)*(IF(M67="",L67,IFERROR(IF(INDEX(Variablen!$I:$AT, MATCH(M67, Variablen!$A:$A, 0), MATCH((YEAR(D67)+18), Variablen!$I$3:$AT$3, 0))="",L67,INDEX(Variablen!$I:$AT, MATCH(M67, Variablen!$A:$A, 0), MATCH((YEAR(D67)+18), Variablen!$I$3:$AT$3, 0))),L67)))*(IF((YEAR(D67)+18)&lt;YEAR(E67),0,IF((YEAR(D67)+18)&gt;YEAR(E67),1,(12-MONTH(E67)+1)/12))) + (Q67)*(IF((YEAR(D67)+18)&lt;YEAR(E67),0,IF((YEAR(D67)+18)&gt;YEAR(E67),1,(12-MONTH(E67)+1)/12))))-((P67)*(IF((YEAR(D67)+18)&lt;YEAR(E67),0,IF((YEAR(D67)+18)&gt;YEAR(E67),1,(12-MONTH(E67)+1)/12))) + (R67)*(IF((YEAR(D67)+18)&lt;YEAR(E67),0,IF((YEAR(D67)+18)&gt;YEAR(E67),1,(12-MONTH(E67)+1)/12))))-(IF(OR(N67="",N67&lt;=0),0,(O67/N67)*(IF(OR(N67="",N67&lt;=0),0,IF((YEAR(D67)+18)&lt;YEAR(E67),0,IF((YEAR(D67)+18)&gt;=YEAR(E67)+N67,0,IF((YEAR(D67)+18)=YEAR(E67),(12-MONTH(E67)+1)/12,1))))))))*TaxRate,0))-IF(18=0,O67,0))</f>
        <v/>
      </c>
      <c r="AL67" s="29">
        <f>IF(A67="","",((K67)*(IF(M67="",L67,IFERROR(IF(INDEX(Variablen!$I:$AT, MATCH(M67, Variablen!$A:$A, 0), MATCH((YEAR(D67)+19), Variablen!$I$3:$AT$3, 0))="",L67,INDEX(Variablen!$I:$AT, MATCH(M67, Variablen!$A:$A, 0), MATCH((YEAR(D67)+19), Variablen!$I$3:$AT$3, 0))),L67)))*(IF((YEAR(D67)+19)&lt;YEAR(E67),0,IF((YEAR(D67)+19)&gt;YEAR(E67),1,(12-MONTH(E67)+1)/12))) + (Q67)*(IF((YEAR(D67)+19)&lt;YEAR(E67),0,IF((YEAR(D67)+19)&gt;YEAR(E67),1,(12-MONTH(E67)+1)/12))))-((P67)*(IF((YEAR(D67)+19)&lt;YEAR(E67),0,IF((YEAR(D67)+19)&gt;YEAR(E67),1,(12-MONTH(E67)+1)/12))) + (R67)*(IF((YEAR(D67)+19)&lt;YEAR(E67),0,IF((YEAR(D67)+19)&gt;YEAR(E67),1,(12-MONTH(E67)+1)/12))))-(IF((((K67)*(IF(M67="",L67,IFERROR(IF(INDEX(Variablen!$I:$AT, MATCH(M67, Variablen!$A:$A, 0), MATCH((YEAR(D67)+19), Variablen!$I$3:$AT$3, 0))="",L67,INDEX(Variablen!$I:$AT, MATCH(M67, Variablen!$A:$A, 0), MATCH((YEAR(D67)+19), Variablen!$I$3:$AT$3, 0))),L67)))*(IF((YEAR(D67)+19)&lt;YEAR(E67),0,IF((YEAR(D67)+19)&gt;YEAR(E67),1,(12-MONTH(E67)+1)/12))) + (Q67)*(IF((YEAR(D67)+19)&lt;YEAR(E67),0,IF((YEAR(D67)+19)&gt;YEAR(E67),1,(12-MONTH(E67)+1)/12))))-((P67)*(IF((YEAR(D67)+19)&lt;YEAR(E67),0,IF((YEAR(D67)+19)&gt;YEAR(E67),1,(12-MONTH(E67)+1)/12))) + (R67)*(IF((YEAR(D67)+19)&lt;YEAR(E67),0,IF((YEAR(D67)+19)&gt;YEAR(E67),1,(12-MONTH(E67)+1)/12))))-(IF(OR(N67="",N67&lt;=0),0,(O67/N67)*(IF(OR(N67="",N67&lt;=0),0,IF((YEAR(D67)+19)&lt;YEAR(E67),0,IF((YEAR(D67)+19)&gt;=YEAR(E67)+N67,0,IF((YEAR(D67)+19)=YEAR(E67),(12-MONTH(E67)+1)/12,1))))))))&gt;0,(((K67)*(IF(M67="",L67,IFERROR(IF(INDEX(Variablen!$I:$AT, MATCH(M67, Variablen!$A:$A, 0), MATCH((YEAR(D67)+19), Variablen!$I$3:$AT$3, 0))="",L67,INDEX(Variablen!$I:$AT, MATCH(M67, Variablen!$A:$A, 0), MATCH((YEAR(D67)+19), Variablen!$I$3:$AT$3, 0))),L67)))*(IF((YEAR(D67)+19)&lt;YEAR(E67),0,IF((YEAR(D67)+19)&gt;YEAR(E67),1,(12-MONTH(E67)+1)/12))) + (Q67)*(IF((YEAR(D67)+19)&lt;YEAR(E67),0,IF((YEAR(D67)+19)&gt;YEAR(E67),1,(12-MONTH(E67)+1)/12))))-((P67)*(IF((YEAR(D67)+19)&lt;YEAR(E67),0,IF((YEAR(D67)+19)&gt;YEAR(E67),1,(12-MONTH(E67)+1)/12))) + (R67)*(IF((YEAR(D67)+19)&lt;YEAR(E67),0,IF((YEAR(D67)+19)&gt;YEAR(E67),1,(12-MONTH(E67)+1)/12))))-(IF(OR(N67="",N67&lt;=0),0,(O67/N67)*(IF(OR(N67="",N67&lt;=0),0,IF((YEAR(D67)+19)&lt;YEAR(E67),0,IF((YEAR(D67)+19)&gt;=YEAR(E67)+N67,0,IF((YEAR(D67)+19)=YEAR(E67),(12-MONTH(E67)+1)/12,1))))))))*TaxRate,0))-IF(19=0,O67,0))</f>
        <v/>
      </c>
      <c r="AM67" s="29">
        <f>IF(A67="","",((K67)*(IF(M67="",L67,IFERROR(IF(INDEX(Variablen!$I:$AT, MATCH(M67, Variablen!$A:$A, 0), MATCH((YEAR(D67)+20), Variablen!$I$3:$AT$3, 0))="",L67,INDEX(Variablen!$I:$AT, MATCH(M67, Variablen!$A:$A, 0), MATCH((YEAR(D67)+20), Variablen!$I$3:$AT$3, 0))),L67)))*(IF((YEAR(D67)+20)&lt;YEAR(E67),0,IF((YEAR(D67)+20)&gt;YEAR(E67),1,(12-MONTH(E67)+1)/12))) + (Q67)*(IF((YEAR(D67)+20)&lt;YEAR(E67),0,IF((YEAR(D67)+20)&gt;YEAR(E67),1,(12-MONTH(E67)+1)/12))))-((P67)*(IF((YEAR(D67)+20)&lt;YEAR(E67),0,IF((YEAR(D67)+20)&gt;YEAR(E67),1,(12-MONTH(E67)+1)/12))) + (R67)*(IF((YEAR(D67)+20)&lt;YEAR(E67),0,IF((YEAR(D67)+20)&gt;YEAR(E67),1,(12-MONTH(E67)+1)/12))))-(IF((((K67)*(IF(M67="",L67,IFERROR(IF(INDEX(Variablen!$I:$AT, MATCH(M67, Variablen!$A:$A, 0), MATCH((YEAR(D67)+20), Variablen!$I$3:$AT$3, 0))="",L67,INDEX(Variablen!$I:$AT, MATCH(M67, Variablen!$A:$A, 0), MATCH((YEAR(D67)+20), Variablen!$I$3:$AT$3, 0))),L67)))*(IF((YEAR(D67)+20)&lt;YEAR(E67),0,IF((YEAR(D67)+20)&gt;YEAR(E67),1,(12-MONTH(E67)+1)/12))) + (Q67)*(IF((YEAR(D67)+20)&lt;YEAR(E67),0,IF((YEAR(D67)+20)&gt;YEAR(E67),1,(12-MONTH(E67)+1)/12))))-((P67)*(IF((YEAR(D67)+20)&lt;YEAR(E67),0,IF((YEAR(D67)+20)&gt;YEAR(E67),1,(12-MONTH(E67)+1)/12))) + (R67)*(IF((YEAR(D67)+20)&lt;YEAR(E67),0,IF((YEAR(D67)+20)&gt;YEAR(E67),1,(12-MONTH(E67)+1)/12))))-(IF(OR(N67="",N67&lt;=0),0,(O67/N67)*(IF(OR(N67="",N67&lt;=0),0,IF((YEAR(D67)+20)&lt;YEAR(E67),0,IF((YEAR(D67)+20)&gt;=YEAR(E67)+N67,0,IF((YEAR(D67)+20)=YEAR(E67),(12-MONTH(E67)+1)/12,1))))))))&gt;0,(((K67)*(IF(M67="",L67,IFERROR(IF(INDEX(Variablen!$I:$AT, MATCH(M67, Variablen!$A:$A, 0), MATCH((YEAR(D67)+20), Variablen!$I$3:$AT$3, 0))="",L67,INDEX(Variablen!$I:$AT, MATCH(M67, Variablen!$A:$A, 0), MATCH((YEAR(D67)+20), Variablen!$I$3:$AT$3, 0))),L67)))*(IF((YEAR(D67)+20)&lt;YEAR(E67),0,IF((YEAR(D67)+20)&gt;YEAR(E67),1,(12-MONTH(E67)+1)/12))) + (Q67)*(IF((YEAR(D67)+20)&lt;YEAR(E67),0,IF((YEAR(D67)+20)&gt;YEAR(E67),1,(12-MONTH(E67)+1)/12))))-((P67)*(IF((YEAR(D67)+20)&lt;YEAR(E67),0,IF((YEAR(D67)+20)&gt;YEAR(E67),1,(12-MONTH(E67)+1)/12))) + (R67)*(IF((YEAR(D67)+20)&lt;YEAR(E67),0,IF((YEAR(D67)+20)&gt;YEAR(E67),1,(12-MONTH(E67)+1)/12))))-(IF(OR(N67="",N67&lt;=0),0,(O67/N67)*(IF(OR(N67="",N67&lt;=0),0,IF((YEAR(D67)+20)&lt;YEAR(E67),0,IF((YEAR(D67)+20)&gt;=YEAR(E67)+N67,0,IF((YEAR(D67)+20)=YEAR(E67),(12-MONTH(E67)+1)/12,1))))))))*TaxRate,0))-IF(20=0,O67,0))</f>
        <v/>
      </c>
      <c r="AN67" s="29">
        <f>IF(A67="","",S67)</f>
        <v/>
      </c>
      <c r="AO67" s="29">
        <f>IF(A67="","",AN67+T67)</f>
        <v/>
      </c>
      <c r="AP67" s="29">
        <f>IF(A67="","",AO67+U67)</f>
        <v/>
      </c>
      <c r="AQ67" s="29">
        <f>IF(A67="","",AP67+V67)</f>
        <v/>
      </c>
      <c r="AR67" s="29">
        <f>IF(A67="","",AQ67+W67)</f>
        <v/>
      </c>
      <c r="AS67" s="29">
        <f>IF(A67="","",AR67+X67)</f>
        <v/>
      </c>
      <c r="AT67" s="29">
        <f>IF(A67="","",AS67+Y67)</f>
        <v/>
      </c>
      <c r="AU67" s="29">
        <f>IF(A67="","",AT67+Z67)</f>
        <v/>
      </c>
      <c r="AV67" s="29">
        <f>IF(A67="","",AU67+AA67)</f>
        <v/>
      </c>
      <c r="AW67" s="29">
        <f>IF(A67="","",AV67+AB67)</f>
        <v/>
      </c>
      <c r="AX67" s="29">
        <f>IF(A67="","",AW67+AC67)</f>
        <v/>
      </c>
      <c r="AY67" s="29">
        <f>IF(A67="","",AX67+AD67)</f>
        <v/>
      </c>
      <c r="AZ67" s="29">
        <f>IF(A67="","",AY67+AE67)</f>
        <v/>
      </c>
      <c r="BA67" s="29">
        <f>IF(A67="","",AZ67+AF67)</f>
        <v/>
      </c>
      <c r="BB67" s="29">
        <f>IF(A67="","",BA67+AG67)</f>
        <v/>
      </c>
      <c r="BC67" s="29">
        <f>IF(A67="","",BB67+AH67)</f>
        <v/>
      </c>
      <c r="BD67" s="29">
        <f>IF(A67="","",BC67+AI67)</f>
        <v/>
      </c>
      <c r="BE67" s="29">
        <f>IF(A67="","",BD67+AJ67)</f>
        <v/>
      </c>
      <c r="BF67" s="29">
        <f>IF(A67="","",BE67+AK67)</f>
        <v/>
      </c>
      <c r="BG67" s="29">
        <f>IF(A67="","",BF67+AL67)</f>
        <v/>
      </c>
      <c r="BH67" s="29">
        <f>IF(A67="","",BG67+AM67)</f>
        <v/>
      </c>
      <c r="BI67" s="36">
        <f>IF(A67="","",(K67)*(IF((YEAR(D67)+0)&lt;YEAR(E67),0,IF((YEAR(D67)+0)&gt;YEAR(E67),1,(12-MONTH(E67)+1)/12)))*(1/(1+DiscountRate)^0))</f>
        <v/>
      </c>
      <c r="BJ67" s="36">
        <f>IF(A67="","",(K67)*(IF((YEAR(D67)+1)&lt;YEAR(E67),0,IF((YEAR(D67)+1)&gt;YEAR(E67),1,(12-MONTH(E67)+1)/12)))*(1/(1+DiscountRate)^1))</f>
        <v/>
      </c>
      <c r="BK67" s="36">
        <f>IF(A67="","",(K67)*(IF((YEAR(D67)+2)&lt;YEAR(E67),0,IF((YEAR(D67)+2)&gt;YEAR(E67),1,(12-MONTH(E67)+1)/12)))*(1/(1+DiscountRate)^2))</f>
        <v/>
      </c>
      <c r="BL67" s="36">
        <f>IF(A67="","",(K67)*(IF((YEAR(D67)+3)&lt;YEAR(E67),0,IF((YEAR(D67)+3)&gt;YEAR(E67),1,(12-MONTH(E67)+1)/12)))*(1/(1+DiscountRate)^3))</f>
        <v/>
      </c>
      <c r="BM67" s="36">
        <f>IF(A67="","",(K67)*(IF((YEAR(D67)+4)&lt;YEAR(E67),0,IF((YEAR(D67)+4)&gt;YEAR(E67),1,(12-MONTH(E67)+1)/12)))*(1/(1+DiscountRate)^4))</f>
        <v/>
      </c>
      <c r="BN67" s="36">
        <f>IF(A67="","",(K67)*(IF((YEAR(D67)+5)&lt;YEAR(E67),0,IF((YEAR(D67)+5)&gt;YEAR(E67),1,(12-MONTH(E67)+1)/12)))*(1/(1+DiscountRate)^5))</f>
        <v/>
      </c>
      <c r="BO67" s="36">
        <f>IF(A67="","",(K67)*(IF((YEAR(D67)+6)&lt;YEAR(E67),0,IF((YEAR(D67)+6)&gt;YEAR(E67),1,(12-MONTH(E67)+1)/12)))*(1/(1+DiscountRate)^6))</f>
        <v/>
      </c>
      <c r="BP67" s="36">
        <f>IF(A67="","",(K67)*(IF((YEAR(D67)+7)&lt;YEAR(E67),0,IF((YEAR(D67)+7)&gt;YEAR(E67),1,(12-MONTH(E67)+1)/12)))*(1/(1+DiscountRate)^7))</f>
        <v/>
      </c>
      <c r="BQ67" s="36">
        <f>IF(A67="","",(K67)*(IF((YEAR(D67)+8)&lt;YEAR(E67),0,IF((YEAR(D67)+8)&gt;YEAR(E67),1,(12-MONTH(E67)+1)/12)))*(1/(1+DiscountRate)^8))</f>
        <v/>
      </c>
      <c r="BR67" s="36">
        <f>IF(A67="","",(K67)*(IF((YEAR(D67)+9)&lt;YEAR(E67),0,IF((YEAR(D67)+9)&gt;YEAR(E67),1,(12-MONTH(E67)+1)/12)))*(1/(1+DiscountRate)^9))</f>
        <v/>
      </c>
      <c r="BS67" s="36">
        <f>IF(A67="","",(K67)*(IF((YEAR(D67)+10)&lt;YEAR(E67),0,IF((YEAR(D67)+10)&gt;YEAR(E67),1,(12-MONTH(E67)+1)/12)))*(1/(1+DiscountRate)^10))</f>
        <v/>
      </c>
      <c r="BT67" s="36">
        <f>IF(A67="","",(K67)*(IF((YEAR(D67)+11)&lt;YEAR(E67),0,IF((YEAR(D67)+11)&gt;YEAR(E67),1,(12-MONTH(E67)+1)/12)))*(1/(1+DiscountRate)^11))</f>
        <v/>
      </c>
      <c r="BU67" s="36">
        <f>IF(A67="","",(K67)*(IF((YEAR(D67)+12)&lt;YEAR(E67),0,IF((YEAR(D67)+12)&gt;YEAR(E67),1,(12-MONTH(E67)+1)/12)))*(1/(1+DiscountRate)^12))</f>
        <v/>
      </c>
      <c r="BV67" s="36">
        <f>IF(A67="","",(K67)*(IF((YEAR(D67)+13)&lt;YEAR(E67),0,IF((YEAR(D67)+13)&gt;YEAR(E67),1,(12-MONTH(E67)+1)/12)))*(1/(1+DiscountRate)^13))</f>
        <v/>
      </c>
      <c r="BW67" s="36">
        <f>IF(A67="","",(K67)*(IF((YEAR(D67)+14)&lt;YEAR(E67),0,IF((YEAR(D67)+14)&gt;YEAR(E67),1,(12-MONTH(E67)+1)/12)))*(1/(1+DiscountRate)^14))</f>
        <v/>
      </c>
      <c r="BX67" s="36">
        <f>IF(A67="","",(K67)*(IF((YEAR(D67)+15)&lt;YEAR(E67),0,IF((YEAR(D67)+15)&gt;YEAR(E67),1,(12-MONTH(E67)+1)/12)))*(1/(1+DiscountRate)^15))</f>
        <v/>
      </c>
      <c r="BY67" s="36">
        <f>IF(A67="","",(K67)*(IF((YEAR(D67)+16)&lt;YEAR(E67),0,IF((YEAR(D67)+16)&gt;YEAR(E67),1,(12-MONTH(E67)+1)/12)))*(1/(1+DiscountRate)^16))</f>
        <v/>
      </c>
      <c r="BZ67" s="36">
        <f>IF(A67="","",(K67)*(IF((YEAR(D67)+17)&lt;YEAR(E67),0,IF((YEAR(D67)+17)&gt;YEAR(E67),1,(12-MONTH(E67)+1)/12)))*(1/(1+DiscountRate)^17))</f>
        <v/>
      </c>
      <c r="CA67" s="36">
        <f>IF(A67="","",(K67)*(IF((YEAR(D67)+18)&lt;YEAR(E67),0,IF((YEAR(D67)+18)&gt;YEAR(E67),1,(12-MONTH(E67)+1)/12)))*(1/(1+DiscountRate)^18))</f>
        <v/>
      </c>
      <c r="CB67" s="36">
        <f>IF(A67="","",(K67)*(IF((YEAR(D67)+19)&lt;YEAR(E67),0,IF((YEAR(D67)+19)&gt;YEAR(E67),1,(12-MONTH(E67)+1)/12)))*(1/(1+DiscountRate)^19))</f>
        <v/>
      </c>
      <c r="CC67" s="36">
        <f>IF(A67="","",(K67)*(IF((YEAR(D67)+20)&lt;YEAR(E67),0,IF((YEAR(D67)+20)&gt;YEAR(E67),1,(12-MONTH(E67)+1)/12)))*(1/(1+DiscountRate)^20))</f>
        <v/>
      </c>
      <c r="CD67" s="29">
        <f>IF(A67="","",S67/(1+DiscountRate)^0+T67/(1+DiscountRate)^1+U67/(1+DiscountRate)^2+V67/(1+DiscountRate)^3+W67/(1+DiscountRate)^4+X67/(1+DiscountRate)^5+Y67/(1+DiscountRate)^6+Z67/(1+DiscountRate)^7+AA67/(1+DiscountRate)^8+AB67/(1+DiscountRate)^9+AC67/(1+DiscountRate)^10+AD67/(1+DiscountRate)^11+AE67/(1+DiscountRate)^12+AF67/(1+DiscountRate)^13+AG67/(1+DiscountRate)^14+AH67/(1+DiscountRate)^15+AI67/(1+DiscountRate)^16+AJ67/(1+DiscountRate)^17+AK67/(1+DiscountRate)^18+AL67/(1+DiscountRate)^19+AM67/(1+DiscountRate)^20)</f>
        <v/>
      </c>
      <c r="CE67" s="37">
        <f>IF(A67="","",IFERROR(IRR(OFFSET(S67,0,0,1,MIN(HorizonYears,20)+1)),"n/a"))</f>
        <v/>
      </c>
      <c r="CF67" s="28">
        <f>IF(A67="","",IFERROR(MATCH(TRUE,OFFSET(AN67,0,0,1,MIN(HorizonYears,20)+1)&gt;=0,0)-1,"n/a"))</f>
        <v/>
      </c>
      <c r="CG67" s="36">
        <f>IF(A67="","",SUM(OFFSET(BI67,0,0,1,MIN(HorizonYears,20)+1)))</f>
        <v/>
      </c>
      <c r="CH67" s="36">
        <f>IF(A67="","",IFERROR(-CD67/CG67,"n/a"))</f>
        <v/>
      </c>
    </row>
    <row r="68">
      <c r="A68" s="6">
        <f>Actions!A66</f>
        <v/>
      </c>
      <c r="B68" s="6">
        <f>Actions!B66</f>
        <v/>
      </c>
      <c r="C68" s="6">
        <f>Actions!D66</f>
        <v/>
      </c>
      <c r="D68" s="35">
        <f>Actions!E66</f>
        <v/>
      </c>
      <c r="E68" s="35">
        <f>Actions!F66</f>
        <v/>
      </c>
      <c r="F68" s="6">
        <f>Actions!G66</f>
        <v/>
      </c>
      <c r="G68" s="6">
        <f>Actions!H66</f>
        <v/>
      </c>
      <c r="H68" s="29">
        <f>Actions!I66</f>
        <v/>
      </c>
      <c r="I68" s="6">
        <f>Actions!J66</f>
        <v/>
      </c>
      <c r="J68" s="16">
        <f>Actions!K66</f>
        <v/>
      </c>
      <c r="K68" s="16">
        <f>IF(A68="","",IF(I68="%",H68*J68,J68))</f>
        <v/>
      </c>
      <c r="L68" s="16">
        <f>Actions!L66</f>
        <v/>
      </c>
      <c r="M68" s="6">
        <f>Actions!M66</f>
        <v/>
      </c>
      <c r="N68" s="28">
        <f>Actions!N66</f>
        <v/>
      </c>
      <c r="O68" s="29">
        <f>Actions!T66</f>
        <v/>
      </c>
      <c r="P68" s="29">
        <f>Actions!Y66</f>
        <v/>
      </c>
      <c r="Q68" s="29">
        <f>Actions!Z66</f>
        <v/>
      </c>
      <c r="R68" s="29">
        <f>Actions!AA66</f>
        <v/>
      </c>
      <c r="S68" s="29">
        <f>IF(A68="","",((K68)*(IF(M68="",L68,IFERROR(IF(INDEX(Variablen!$I:$AT, MATCH(M68, Variablen!$A:$A, 0), MATCH((YEAR(D68)+0), Variablen!$I$3:$AT$3, 0))="",L68,INDEX(Variablen!$I:$AT, MATCH(M68, Variablen!$A:$A, 0), MATCH((YEAR(D68)+0), Variablen!$I$3:$AT$3, 0))),L68)))*(IF((YEAR(D68)+0)&lt;YEAR(E68),0,IF((YEAR(D68)+0)&gt;YEAR(E68),1,(12-MONTH(E68)+1)/12))) + (Q68)*(IF((YEAR(D68)+0)&lt;YEAR(E68),0,IF((YEAR(D68)+0)&gt;YEAR(E68),1,(12-MONTH(E68)+1)/12))))-((P68)*(IF((YEAR(D68)+0)&lt;YEAR(E68),0,IF((YEAR(D68)+0)&gt;YEAR(E68),1,(12-MONTH(E68)+1)/12))) + (R68)*(IF((YEAR(D68)+0)&lt;YEAR(E68),0,IF((YEAR(D68)+0)&gt;YEAR(E68),1,(12-MONTH(E68)+1)/12))))-(IF((((K68)*(IF(M68="",L68,IFERROR(IF(INDEX(Variablen!$I:$AT, MATCH(M68, Variablen!$A:$A, 0), MATCH((YEAR(D68)+0), Variablen!$I$3:$AT$3, 0))="",L68,INDEX(Variablen!$I:$AT, MATCH(M68, Variablen!$A:$A, 0), MATCH((YEAR(D68)+0), Variablen!$I$3:$AT$3, 0))),L68)))*(IF((YEAR(D68)+0)&lt;YEAR(E68),0,IF((YEAR(D68)+0)&gt;YEAR(E68),1,(12-MONTH(E68)+1)/12))) + (Q68)*(IF((YEAR(D68)+0)&lt;YEAR(E68),0,IF((YEAR(D68)+0)&gt;YEAR(E68),1,(12-MONTH(E68)+1)/12))))-((P68)*(IF((YEAR(D68)+0)&lt;YEAR(E68),0,IF((YEAR(D68)+0)&gt;YEAR(E68),1,(12-MONTH(E68)+1)/12))) + (R68)*(IF((YEAR(D68)+0)&lt;YEAR(E68),0,IF((YEAR(D68)+0)&gt;YEAR(E68),1,(12-MONTH(E68)+1)/12))))-(IF(OR(N68="",N68&lt;=0),0,(O68/N68)*(IF(OR(N68="",N68&lt;=0),0,IF((YEAR(D68)+0)&lt;YEAR(E68),0,IF((YEAR(D68)+0)&gt;=YEAR(E68)+N68,0,IF((YEAR(D68)+0)=YEAR(E68),(12-MONTH(E68)+1)/12,1))))))))&gt;0,(((K68)*(IF(M68="",L68,IFERROR(IF(INDEX(Variablen!$I:$AT, MATCH(M68, Variablen!$A:$A, 0), MATCH((YEAR(D68)+0), Variablen!$I$3:$AT$3, 0))="",L68,INDEX(Variablen!$I:$AT, MATCH(M68, Variablen!$A:$A, 0), MATCH((YEAR(D68)+0), Variablen!$I$3:$AT$3, 0))),L68)))*(IF((YEAR(D68)+0)&lt;YEAR(E68),0,IF((YEAR(D68)+0)&gt;YEAR(E68),1,(12-MONTH(E68)+1)/12))) + (Q68)*(IF((YEAR(D68)+0)&lt;YEAR(E68),0,IF((YEAR(D68)+0)&gt;YEAR(E68),1,(12-MONTH(E68)+1)/12))))-((P68)*(IF((YEAR(D68)+0)&lt;YEAR(E68),0,IF((YEAR(D68)+0)&gt;YEAR(E68),1,(12-MONTH(E68)+1)/12))) + (R68)*(IF((YEAR(D68)+0)&lt;YEAR(E68),0,IF((YEAR(D68)+0)&gt;YEAR(E68),1,(12-MONTH(E68)+1)/12))))-(IF(OR(N68="",N68&lt;=0),0,(O68/N68)*(IF(OR(N68="",N68&lt;=0),0,IF((YEAR(D68)+0)&lt;YEAR(E68),0,IF((YEAR(D68)+0)&gt;=YEAR(E68)+N68,0,IF((YEAR(D68)+0)=YEAR(E68),(12-MONTH(E68)+1)/12,1))))))))*TaxRate,0))-IF(0=0,O68,0))</f>
        <v/>
      </c>
      <c r="T68" s="29">
        <f>IF(A68="","",((K68)*(IF(M68="",L68,IFERROR(IF(INDEX(Variablen!$I:$AT, MATCH(M68, Variablen!$A:$A, 0), MATCH((YEAR(D68)+1), Variablen!$I$3:$AT$3, 0))="",L68,INDEX(Variablen!$I:$AT, MATCH(M68, Variablen!$A:$A, 0), MATCH((YEAR(D68)+1), Variablen!$I$3:$AT$3, 0))),L68)))*(IF((YEAR(D68)+1)&lt;YEAR(E68),0,IF((YEAR(D68)+1)&gt;YEAR(E68),1,(12-MONTH(E68)+1)/12))) + (Q68)*(IF((YEAR(D68)+1)&lt;YEAR(E68),0,IF((YEAR(D68)+1)&gt;YEAR(E68),1,(12-MONTH(E68)+1)/12))))-((P68)*(IF((YEAR(D68)+1)&lt;YEAR(E68),0,IF((YEAR(D68)+1)&gt;YEAR(E68),1,(12-MONTH(E68)+1)/12))) + (R68)*(IF((YEAR(D68)+1)&lt;YEAR(E68),0,IF((YEAR(D68)+1)&gt;YEAR(E68),1,(12-MONTH(E68)+1)/12))))-(IF((((K68)*(IF(M68="",L68,IFERROR(IF(INDEX(Variablen!$I:$AT, MATCH(M68, Variablen!$A:$A, 0), MATCH((YEAR(D68)+1), Variablen!$I$3:$AT$3, 0))="",L68,INDEX(Variablen!$I:$AT, MATCH(M68, Variablen!$A:$A, 0), MATCH((YEAR(D68)+1), Variablen!$I$3:$AT$3, 0))),L68)))*(IF((YEAR(D68)+1)&lt;YEAR(E68),0,IF((YEAR(D68)+1)&gt;YEAR(E68),1,(12-MONTH(E68)+1)/12))) + (Q68)*(IF((YEAR(D68)+1)&lt;YEAR(E68),0,IF((YEAR(D68)+1)&gt;YEAR(E68),1,(12-MONTH(E68)+1)/12))))-((P68)*(IF((YEAR(D68)+1)&lt;YEAR(E68),0,IF((YEAR(D68)+1)&gt;YEAR(E68),1,(12-MONTH(E68)+1)/12))) + (R68)*(IF((YEAR(D68)+1)&lt;YEAR(E68),0,IF((YEAR(D68)+1)&gt;YEAR(E68),1,(12-MONTH(E68)+1)/12))))-(IF(OR(N68="",N68&lt;=0),0,(O68/N68)*(IF(OR(N68="",N68&lt;=0),0,IF((YEAR(D68)+1)&lt;YEAR(E68),0,IF((YEAR(D68)+1)&gt;=YEAR(E68)+N68,0,IF((YEAR(D68)+1)=YEAR(E68),(12-MONTH(E68)+1)/12,1))))))))&gt;0,(((K68)*(IF(M68="",L68,IFERROR(IF(INDEX(Variablen!$I:$AT, MATCH(M68, Variablen!$A:$A, 0), MATCH((YEAR(D68)+1), Variablen!$I$3:$AT$3, 0))="",L68,INDEX(Variablen!$I:$AT, MATCH(M68, Variablen!$A:$A, 0), MATCH((YEAR(D68)+1), Variablen!$I$3:$AT$3, 0))),L68)))*(IF((YEAR(D68)+1)&lt;YEAR(E68),0,IF((YEAR(D68)+1)&gt;YEAR(E68),1,(12-MONTH(E68)+1)/12))) + (Q68)*(IF((YEAR(D68)+1)&lt;YEAR(E68),0,IF((YEAR(D68)+1)&gt;YEAR(E68),1,(12-MONTH(E68)+1)/12))))-((P68)*(IF((YEAR(D68)+1)&lt;YEAR(E68),0,IF((YEAR(D68)+1)&gt;YEAR(E68),1,(12-MONTH(E68)+1)/12))) + (R68)*(IF((YEAR(D68)+1)&lt;YEAR(E68),0,IF((YEAR(D68)+1)&gt;YEAR(E68),1,(12-MONTH(E68)+1)/12))))-(IF(OR(N68="",N68&lt;=0),0,(O68/N68)*(IF(OR(N68="",N68&lt;=0),0,IF((YEAR(D68)+1)&lt;YEAR(E68),0,IF((YEAR(D68)+1)&gt;=YEAR(E68)+N68,0,IF((YEAR(D68)+1)=YEAR(E68),(12-MONTH(E68)+1)/12,1))))))))*TaxRate,0))-IF(1=0,O68,0))</f>
        <v/>
      </c>
      <c r="U68" s="29">
        <f>IF(A68="","",((K68)*(IF(M68="",L68,IFERROR(IF(INDEX(Variablen!$I:$AT, MATCH(M68, Variablen!$A:$A, 0), MATCH((YEAR(D68)+2), Variablen!$I$3:$AT$3, 0))="",L68,INDEX(Variablen!$I:$AT, MATCH(M68, Variablen!$A:$A, 0), MATCH((YEAR(D68)+2), Variablen!$I$3:$AT$3, 0))),L68)))*(IF((YEAR(D68)+2)&lt;YEAR(E68),0,IF((YEAR(D68)+2)&gt;YEAR(E68),1,(12-MONTH(E68)+1)/12))) + (Q68)*(IF((YEAR(D68)+2)&lt;YEAR(E68),0,IF((YEAR(D68)+2)&gt;YEAR(E68),1,(12-MONTH(E68)+1)/12))))-((P68)*(IF((YEAR(D68)+2)&lt;YEAR(E68),0,IF((YEAR(D68)+2)&gt;YEAR(E68),1,(12-MONTH(E68)+1)/12))) + (R68)*(IF((YEAR(D68)+2)&lt;YEAR(E68),0,IF((YEAR(D68)+2)&gt;YEAR(E68),1,(12-MONTH(E68)+1)/12))))-(IF((((K68)*(IF(M68="",L68,IFERROR(IF(INDEX(Variablen!$I:$AT, MATCH(M68, Variablen!$A:$A, 0), MATCH((YEAR(D68)+2), Variablen!$I$3:$AT$3, 0))="",L68,INDEX(Variablen!$I:$AT, MATCH(M68, Variablen!$A:$A, 0), MATCH((YEAR(D68)+2), Variablen!$I$3:$AT$3, 0))),L68)))*(IF((YEAR(D68)+2)&lt;YEAR(E68),0,IF((YEAR(D68)+2)&gt;YEAR(E68),1,(12-MONTH(E68)+1)/12))) + (Q68)*(IF((YEAR(D68)+2)&lt;YEAR(E68),0,IF((YEAR(D68)+2)&gt;YEAR(E68),1,(12-MONTH(E68)+1)/12))))-((P68)*(IF((YEAR(D68)+2)&lt;YEAR(E68),0,IF((YEAR(D68)+2)&gt;YEAR(E68),1,(12-MONTH(E68)+1)/12))) + (R68)*(IF((YEAR(D68)+2)&lt;YEAR(E68),0,IF((YEAR(D68)+2)&gt;YEAR(E68),1,(12-MONTH(E68)+1)/12))))-(IF(OR(N68="",N68&lt;=0),0,(O68/N68)*(IF(OR(N68="",N68&lt;=0),0,IF((YEAR(D68)+2)&lt;YEAR(E68),0,IF((YEAR(D68)+2)&gt;=YEAR(E68)+N68,0,IF((YEAR(D68)+2)=YEAR(E68),(12-MONTH(E68)+1)/12,1))))))))&gt;0,(((K68)*(IF(M68="",L68,IFERROR(IF(INDEX(Variablen!$I:$AT, MATCH(M68, Variablen!$A:$A, 0), MATCH((YEAR(D68)+2), Variablen!$I$3:$AT$3, 0))="",L68,INDEX(Variablen!$I:$AT, MATCH(M68, Variablen!$A:$A, 0), MATCH((YEAR(D68)+2), Variablen!$I$3:$AT$3, 0))),L68)))*(IF((YEAR(D68)+2)&lt;YEAR(E68),0,IF((YEAR(D68)+2)&gt;YEAR(E68),1,(12-MONTH(E68)+1)/12))) + (Q68)*(IF((YEAR(D68)+2)&lt;YEAR(E68),0,IF((YEAR(D68)+2)&gt;YEAR(E68),1,(12-MONTH(E68)+1)/12))))-((P68)*(IF((YEAR(D68)+2)&lt;YEAR(E68),0,IF((YEAR(D68)+2)&gt;YEAR(E68),1,(12-MONTH(E68)+1)/12))) + (R68)*(IF((YEAR(D68)+2)&lt;YEAR(E68),0,IF((YEAR(D68)+2)&gt;YEAR(E68),1,(12-MONTH(E68)+1)/12))))-(IF(OR(N68="",N68&lt;=0),0,(O68/N68)*(IF(OR(N68="",N68&lt;=0),0,IF((YEAR(D68)+2)&lt;YEAR(E68),0,IF((YEAR(D68)+2)&gt;=YEAR(E68)+N68,0,IF((YEAR(D68)+2)=YEAR(E68),(12-MONTH(E68)+1)/12,1))))))))*TaxRate,0))-IF(2=0,O68,0))</f>
        <v/>
      </c>
      <c r="V68" s="29">
        <f>IF(A68="","",((K68)*(IF(M68="",L68,IFERROR(IF(INDEX(Variablen!$I:$AT, MATCH(M68, Variablen!$A:$A, 0), MATCH((YEAR(D68)+3), Variablen!$I$3:$AT$3, 0))="",L68,INDEX(Variablen!$I:$AT, MATCH(M68, Variablen!$A:$A, 0), MATCH((YEAR(D68)+3), Variablen!$I$3:$AT$3, 0))),L68)))*(IF((YEAR(D68)+3)&lt;YEAR(E68),0,IF((YEAR(D68)+3)&gt;YEAR(E68),1,(12-MONTH(E68)+1)/12))) + (Q68)*(IF((YEAR(D68)+3)&lt;YEAR(E68),0,IF((YEAR(D68)+3)&gt;YEAR(E68),1,(12-MONTH(E68)+1)/12))))-((P68)*(IF((YEAR(D68)+3)&lt;YEAR(E68),0,IF((YEAR(D68)+3)&gt;YEAR(E68),1,(12-MONTH(E68)+1)/12))) + (R68)*(IF((YEAR(D68)+3)&lt;YEAR(E68),0,IF((YEAR(D68)+3)&gt;YEAR(E68),1,(12-MONTH(E68)+1)/12))))-(IF((((K68)*(IF(M68="",L68,IFERROR(IF(INDEX(Variablen!$I:$AT, MATCH(M68, Variablen!$A:$A, 0), MATCH((YEAR(D68)+3), Variablen!$I$3:$AT$3, 0))="",L68,INDEX(Variablen!$I:$AT, MATCH(M68, Variablen!$A:$A, 0), MATCH((YEAR(D68)+3), Variablen!$I$3:$AT$3, 0))),L68)))*(IF((YEAR(D68)+3)&lt;YEAR(E68),0,IF((YEAR(D68)+3)&gt;YEAR(E68),1,(12-MONTH(E68)+1)/12))) + (Q68)*(IF((YEAR(D68)+3)&lt;YEAR(E68),0,IF((YEAR(D68)+3)&gt;YEAR(E68),1,(12-MONTH(E68)+1)/12))))-((P68)*(IF((YEAR(D68)+3)&lt;YEAR(E68),0,IF((YEAR(D68)+3)&gt;YEAR(E68),1,(12-MONTH(E68)+1)/12))) + (R68)*(IF((YEAR(D68)+3)&lt;YEAR(E68),0,IF((YEAR(D68)+3)&gt;YEAR(E68),1,(12-MONTH(E68)+1)/12))))-(IF(OR(N68="",N68&lt;=0),0,(O68/N68)*(IF(OR(N68="",N68&lt;=0),0,IF((YEAR(D68)+3)&lt;YEAR(E68),0,IF((YEAR(D68)+3)&gt;=YEAR(E68)+N68,0,IF((YEAR(D68)+3)=YEAR(E68),(12-MONTH(E68)+1)/12,1))))))))&gt;0,(((K68)*(IF(M68="",L68,IFERROR(IF(INDEX(Variablen!$I:$AT, MATCH(M68, Variablen!$A:$A, 0), MATCH((YEAR(D68)+3), Variablen!$I$3:$AT$3, 0))="",L68,INDEX(Variablen!$I:$AT, MATCH(M68, Variablen!$A:$A, 0), MATCH((YEAR(D68)+3), Variablen!$I$3:$AT$3, 0))),L68)))*(IF((YEAR(D68)+3)&lt;YEAR(E68),0,IF((YEAR(D68)+3)&gt;YEAR(E68),1,(12-MONTH(E68)+1)/12))) + (Q68)*(IF((YEAR(D68)+3)&lt;YEAR(E68),0,IF((YEAR(D68)+3)&gt;YEAR(E68),1,(12-MONTH(E68)+1)/12))))-((P68)*(IF((YEAR(D68)+3)&lt;YEAR(E68),0,IF((YEAR(D68)+3)&gt;YEAR(E68),1,(12-MONTH(E68)+1)/12))) + (R68)*(IF((YEAR(D68)+3)&lt;YEAR(E68),0,IF((YEAR(D68)+3)&gt;YEAR(E68),1,(12-MONTH(E68)+1)/12))))-(IF(OR(N68="",N68&lt;=0),0,(O68/N68)*(IF(OR(N68="",N68&lt;=0),0,IF((YEAR(D68)+3)&lt;YEAR(E68),0,IF((YEAR(D68)+3)&gt;=YEAR(E68)+N68,0,IF((YEAR(D68)+3)=YEAR(E68),(12-MONTH(E68)+1)/12,1))))))))*TaxRate,0))-IF(3=0,O68,0))</f>
        <v/>
      </c>
      <c r="W68" s="29">
        <f>IF(A68="","",((K68)*(IF(M68="",L68,IFERROR(IF(INDEX(Variablen!$I:$AT, MATCH(M68, Variablen!$A:$A, 0), MATCH((YEAR(D68)+4), Variablen!$I$3:$AT$3, 0))="",L68,INDEX(Variablen!$I:$AT, MATCH(M68, Variablen!$A:$A, 0), MATCH((YEAR(D68)+4), Variablen!$I$3:$AT$3, 0))),L68)))*(IF((YEAR(D68)+4)&lt;YEAR(E68),0,IF((YEAR(D68)+4)&gt;YEAR(E68),1,(12-MONTH(E68)+1)/12))) + (Q68)*(IF((YEAR(D68)+4)&lt;YEAR(E68),0,IF((YEAR(D68)+4)&gt;YEAR(E68),1,(12-MONTH(E68)+1)/12))))-((P68)*(IF((YEAR(D68)+4)&lt;YEAR(E68),0,IF((YEAR(D68)+4)&gt;YEAR(E68),1,(12-MONTH(E68)+1)/12))) + (R68)*(IF((YEAR(D68)+4)&lt;YEAR(E68),0,IF((YEAR(D68)+4)&gt;YEAR(E68),1,(12-MONTH(E68)+1)/12))))-(IF((((K68)*(IF(M68="",L68,IFERROR(IF(INDEX(Variablen!$I:$AT, MATCH(M68, Variablen!$A:$A, 0), MATCH((YEAR(D68)+4), Variablen!$I$3:$AT$3, 0))="",L68,INDEX(Variablen!$I:$AT, MATCH(M68, Variablen!$A:$A, 0), MATCH((YEAR(D68)+4), Variablen!$I$3:$AT$3, 0))),L68)))*(IF((YEAR(D68)+4)&lt;YEAR(E68),0,IF((YEAR(D68)+4)&gt;YEAR(E68),1,(12-MONTH(E68)+1)/12))) + (Q68)*(IF((YEAR(D68)+4)&lt;YEAR(E68),0,IF((YEAR(D68)+4)&gt;YEAR(E68),1,(12-MONTH(E68)+1)/12))))-((P68)*(IF((YEAR(D68)+4)&lt;YEAR(E68),0,IF((YEAR(D68)+4)&gt;YEAR(E68),1,(12-MONTH(E68)+1)/12))) + (R68)*(IF((YEAR(D68)+4)&lt;YEAR(E68),0,IF((YEAR(D68)+4)&gt;YEAR(E68),1,(12-MONTH(E68)+1)/12))))-(IF(OR(N68="",N68&lt;=0),0,(O68/N68)*(IF(OR(N68="",N68&lt;=0),0,IF((YEAR(D68)+4)&lt;YEAR(E68),0,IF((YEAR(D68)+4)&gt;=YEAR(E68)+N68,0,IF((YEAR(D68)+4)=YEAR(E68),(12-MONTH(E68)+1)/12,1))))))))&gt;0,(((K68)*(IF(M68="",L68,IFERROR(IF(INDEX(Variablen!$I:$AT, MATCH(M68, Variablen!$A:$A, 0), MATCH((YEAR(D68)+4), Variablen!$I$3:$AT$3, 0))="",L68,INDEX(Variablen!$I:$AT, MATCH(M68, Variablen!$A:$A, 0), MATCH((YEAR(D68)+4), Variablen!$I$3:$AT$3, 0))),L68)))*(IF((YEAR(D68)+4)&lt;YEAR(E68),0,IF((YEAR(D68)+4)&gt;YEAR(E68),1,(12-MONTH(E68)+1)/12))) + (Q68)*(IF((YEAR(D68)+4)&lt;YEAR(E68),0,IF((YEAR(D68)+4)&gt;YEAR(E68),1,(12-MONTH(E68)+1)/12))))-((P68)*(IF((YEAR(D68)+4)&lt;YEAR(E68),0,IF((YEAR(D68)+4)&gt;YEAR(E68),1,(12-MONTH(E68)+1)/12))) + (R68)*(IF((YEAR(D68)+4)&lt;YEAR(E68),0,IF((YEAR(D68)+4)&gt;YEAR(E68),1,(12-MONTH(E68)+1)/12))))-(IF(OR(N68="",N68&lt;=0),0,(O68/N68)*(IF(OR(N68="",N68&lt;=0),0,IF((YEAR(D68)+4)&lt;YEAR(E68),0,IF((YEAR(D68)+4)&gt;=YEAR(E68)+N68,0,IF((YEAR(D68)+4)=YEAR(E68),(12-MONTH(E68)+1)/12,1))))))))*TaxRate,0))-IF(4=0,O68,0))</f>
        <v/>
      </c>
      <c r="X68" s="29">
        <f>IF(A68="","",((K68)*(IF(M68="",L68,IFERROR(IF(INDEX(Variablen!$I:$AT, MATCH(M68, Variablen!$A:$A, 0), MATCH((YEAR(D68)+5), Variablen!$I$3:$AT$3, 0))="",L68,INDEX(Variablen!$I:$AT, MATCH(M68, Variablen!$A:$A, 0), MATCH((YEAR(D68)+5), Variablen!$I$3:$AT$3, 0))),L68)))*(IF((YEAR(D68)+5)&lt;YEAR(E68),0,IF((YEAR(D68)+5)&gt;YEAR(E68),1,(12-MONTH(E68)+1)/12))) + (Q68)*(IF((YEAR(D68)+5)&lt;YEAR(E68),0,IF((YEAR(D68)+5)&gt;YEAR(E68),1,(12-MONTH(E68)+1)/12))))-((P68)*(IF((YEAR(D68)+5)&lt;YEAR(E68),0,IF((YEAR(D68)+5)&gt;YEAR(E68),1,(12-MONTH(E68)+1)/12))) + (R68)*(IF((YEAR(D68)+5)&lt;YEAR(E68),0,IF((YEAR(D68)+5)&gt;YEAR(E68),1,(12-MONTH(E68)+1)/12))))-(IF((((K68)*(IF(M68="",L68,IFERROR(IF(INDEX(Variablen!$I:$AT, MATCH(M68, Variablen!$A:$A, 0), MATCH((YEAR(D68)+5), Variablen!$I$3:$AT$3, 0))="",L68,INDEX(Variablen!$I:$AT, MATCH(M68, Variablen!$A:$A, 0), MATCH((YEAR(D68)+5), Variablen!$I$3:$AT$3, 0))),L68)))*(IF((YEAR(D68)+5)&lt;YEAR(E68),0,IF((YEAR(D68)+5)&gt;YEAR(E68),1,(12-MONTH(E68)+1)/12))) + (Q68)*(IF((YEAR(D68)+5)&lt;YEAR(E68),0,IF((YEAR(D68)+5)&gt;YEAR(E68),1,(12-MONTH(E68)+1)/12))))-((P68)*(IF((YEAR(D68)+5)&lt;YEAR(E68),0,IF((YEAR(D68)+5)&gt;YEAR(E68),1,(12-MONTH(E68)+1)/12))) + (R68)*(IF((YEAR(D68)+5)&lt;YEAR(E68),0,IF((YEAR(D68)+5)&gt;YEAR(E68),1,(12-MONTH(E68)+1)/12))))-(IF(OR(N68="",N68&lt;=0),0,(O68/N68)*(IF(OR(N68="",N68&lt;=0),0,IF((YEAR(D68)+5)&lt;YEAR(E68),0,IF((YEAR(D68)+5)&gt;=YEAR(E68)+N68,0,IF((YEAR(D68)+5)=YEAR(E68),(12-MONTH(E68)+1)/12,1))))))))&gt;0,(((K68)*(IF(M68="",L68,IFERROR(IF(INDEX(Variablen!$I:$AT, MATCH(M68, Variablen!$A:$A, 0), MATCH((YEAR(D68)+5), Variablen!$I$3:$AT$3, 0))="",L68,INDEX(Variablen!$I:$AT, MATCH(M68, Variablen!$A:$A, 0), MATCH((YEAR(D68)+5), Variablen!$I$3:$AT$3, 0))),L68)))*(IF((YEAR(D68)+5)&lt;YEAR(E68),0,IF((YEAR(D68)+5)&gt;YEAR(E68),1,(12-MONTH(E68)+1)/12))) + (Q68)*(IF((YEAR(D68)+5)&lt;YEAR(E68),0,IF((YEAR(D68)+5)&gt;YEAR(E68),1,(12-MONTH(E68)+1)/12))))-((P68)*(IF((YEAR(D68)+5)&lt;YEAR(E68),0,IF((YEAR(D68)+5)&gt;YEAR(E68),1,(12-MONTH(E68)+1)/12))) + (R68)*(IF((YEAR(D68)+5)&lt;YEAR(E68),0,IF((YEAR(D68)+5)&gt;YEAR(E68),1,(12-MONTH(E68)+1)/12))))-(IF(OR(N68="",N68&lt;=0),0,(O68/N68)*(IF(OR(N68="",N68&lt;=0),0,IF((YEAR(D68)+5)&lt;YEAR(E68),0,IF((YEAR(D68)+5)&gt;=YEAR(E68)+N68,0,IF((YEAR(D68)+5)=YEAR(E68),(12-MONTH(E68)+1)/12,1))))))))*TaxRate,0))-IF(5=0,O68,0))</f>
        <v/>
      </c>
      <c r="Y68" s="29">
        <f>IF(A68="","",((K68)*(IF(M68="",L68,IFERROR(IF(INDEX(Variablen!$I:$AT, MATCH(M68, Variablen!$A:$A, 0), MATCH((YEAR(D68)+6), Variablen!$I$3:$AT$3, 0))="",L68,INDEX(Variablen!$I:$AT, MATCH(M68, Variablen!$A:$A, 0), MATCH((YEAR(D68)+6), Variablen!$I$3:$AT$3, 0))),L68)))*(IF((YEAR(D68)+6)&lt;YEAR(E68),0,IF((YEAR(D68)+6)&gt;YEAR(E68),1,(12-MONTH(E68)+1)/12))) + (Q68)*(IF((YEAR(D68)+6)&lt;YEAR(E68),0,IF((YEAR(D68)+6)&gt;YEAR(E68),1,(12-MONTH(E68)+1)/12))))-((P68)*(IF((YEAR(D68)+6)&lt;YEAR(E68),0,IF((YEAR(D68)+6)&gt;YEAR(E68),1,(12-MONTH(E68)+1)/12))) + (R68)*(IF((YEAR(D68)+6)&lt;YEAR(E68),0,IF((YEAR(D68)+6)&gt;YEAR(E68),1,(12-MONTH(E68)+1)/12))))-(IF((((K68)*(IF(M68="",L68,IFERROR(IF(INDEX(Variablen!$I:$AT, MATCH(M68, Variablen!$A:$A, 0), MATCH((YEAR(D68)+6), Variablen!$I$3:$AT$3, 0))="",L68,INDEX(Variablen!$I:$AT, MATCH(M68, Variablen!$A:$A, 0), MATCH((YEAR(D68)+6), Variablen!$I$3:$AT$3, 0))),L68)))*(IF((YEAR(D68)+6)&lt;YEAR(E68),0,IF((YEAR(D68)+6)&gt;YEAR(E68),1,(12-MONTH(E68)+1)/12))) + (Q68)*(IF((YEAR(D68)+6)&lt;YEAR(E68),0,IF((YEAR(D68)+6)&gt;YEAR(E68),1,(12-MONTH(E68)+1)/12))))-((P68)*(IF((YEAR(D68)+6)&lt;YEAR(E68),0,IF((YEAR(D68)+6)&gt;YEAR(E68),1,(12-MONTH(E68)+1)/12))) + (R68)*(IF((YEAR(D68)+6)&lt;YEAR(E68),0,IF((YEAR(D68)+6)&gt;YEAR(E68),1,(12-MONTH(E68)+1)/12))))-(IF(OR(N68="",N68&lt;=0),0,(O68/N68)*(IF(OR(N68="",N68&lt;=0),0,IF((YEAR(D68)+6)&lt;YEAR(E68),0,IF((YEAR(D68)+6)&gt;=YEAR(E68)+N68,0,IF((YEAR(D68)+6)=YEAR(E68),(12-MONTH(E68)+1)/12,1))))))))&gt;0,(((K68)*(IF(M68="",L68,IFERROR(IF(INDEX(Variablen!$I:$AT, MATCH(M68, Variablen!$A:$A, 0), MATCH((YEAR(D68)+6), Variablen!$I$3:$AT$3, 0))="",L68,INDEX(Variablen!$I:$AT, MATCH(M68, Variablen!$A:$A, 0), MATCH((YEAR(D68)+6), Variablen!$I$3:$AT$3, 0))),L68)))*(IF((YEAR(D68)+6)&lt;YEAR(E68),0,IF((YEAR(D68)+6)&gt;YEAR(E68),1,(12-MONTH(E68)+1)/12))) + (Q68)*(IF((YEAR(D68)+6)&lt;YEAR(E68),0,IF((YEAR(D68)+6)&gt;YEAR(E68),1,(12-MONTH(E68)+1)/12))))-((P68)*(IF((YEAR(D68)+6)&lt;YEAR(E68),0,IF((YEAR(D68)+6)&gt;YEAR(E68),1,(12-MONTH(E68)+1)/12))) + (R68)*(IF((YEAR(D68)+6)&lt;YEAR(E68),0,IF((YEAR(D68)+6)&gt;YEAR(E68),1,(12-MONTH(E68)+1)/12))))-(IF(OR(N68="",N68&lt;=0),0,(O68/N68)*(IF(OR(N68="",N68&lt;=0),0,IF((YEAR(D68)+6)&lt;YEAR(E68),0,IF((YEAR(D68)+6)&gt;=YEAR(E68)+N68,0,IF((YEAR(D68)+6)=YEAR(E68),(12-MONTH(E68)+1)/12,1))))))))*TaxRate,0))-IF(6=0,O68,0))</f>
        <v/>
      </c>
      <c r="Z68" s="29">
        <f>IF(A68="","",((K68)*(IF(M68="",L68,IFERROR(IF(INDEX(Variablen!$I:$AT, MATCH(M68, Variablen!$A:$A, 0), MATCH((YEAR(D68)+7), Variablen!$I$3:$AT$3, 0))="",L68,INDEX(Variablen!$I:$AT, MATCH(M68, Variablen!$A:$A, 0), MATCH((YEAR(D68)+7), Variablen!$I$3:$AT$3, 0))),L68)))*(IF((YEAR(D68)+7)&lt;YEAR(E68),0,IF((YEAR(D68)+7)&gt;YEAR(E68),1,(12-MONTH(E68)+1)/12))) + (Q68)*(IF((YEAR(D68)+7)&lt;YEAR(E68),0,IF((YEAR(D68)+7)&gt;YEAR(E68),1,(12-MONTH(E68)+1)/12))))-((P68)*(IF((YEAR(D68)+7)&lt;YEAR(E68),0,IF((YEAR(D68)+7)&gt;YEAR(E68),1,(12-MONTH(E68)+1)/12))) + (R68)*(IF((YEAR(D68)+7)&lt;YEAR(E68),0,IF((YEAR(D68)+7)&gt;YEAR(E68),1,(12-MONTH(E68)+1)/12))))-(IF((((K68)*(IF(M68="",L68,IFERROR(IF(INDEX(Variablen!$I:$AT, MATCH(M68, Variablen!$A:$A, 0), MATCH((YEAR(D68)+7), Variablen!$I$3:$AT$3, 0))="",L68,INDEX(Variablen!$I:$AT, MATCH(M68, Variablen!$A:$A, 0), MATCH((YEAR(D68)+7), Variablen!$I$3:$AT$3, 0))),L68)))*(IF((YEAR(D68)+7)&lt;YEAR(E68),0,IF((YEAR(D68)+7)&gt;YEAR(E68),1,(12-MONTH(E68)+1)/12))) + (Q68)*(IF((YEAR(D68)+7)&lt;YEAR(E68),0,IF((YEAR(D68)+7)&gt;YEAR(E68),1,(12-MONTH(E68)+1)/12))))-((P68)*(IF((YEAR(D68)+7)&lt;YEAR(E68),0,IF((YEAR(D68)+7)&gt;YEAR(E68),1,(12-MONTH(E68)+1)/12))) + (R68)*(IF((YEAR(D68)+7)&lt;YEAR(E68),0,IF((YEAR(D68)+7)&gt;YEAR(E68),1,(12-MONTH(E68)+1)/12))))-(IF(OR(N68="",N68&lt;=0),0,(O68/N68)*(IF(OR(N68="",N68&lt;=0),0,IF((YEAR(D68)+7)&lt;YEAR(E68),0,IF((YEAR(D68)+7)&gt;=YEAR(E68)+N68,0,IF((YEAR(D68)+7)=YEAR(E68),(12-MONTH(E68)+1)/12,1))))))))&gt;0,(((K68)*(IF(M68="",L68,IFERROR(IF(INDEX(Variablen!$I:$AT, MATCH(M68, Variablen!$A:$A, 0), MATCH((YEAR(D68)+7), Variablen!$I$3:$AT$3, 0))="",L68,INDEX(Variablen!$I:$AT, MATCH(M68, Variablen!$A:$A, 0), MATCH((YEAR(D68)+7), Variablen!$I$3:$AT$3, 0))),L68)))*(IF((YEAR(D68)+7)&lt;YEAR(E68),0,IF((YEAR(D68)+7)&gt;YEAR(E68),1,(12-MONTH(E68)+1)/12))) + (Q68)*(IF((YEAR(D68)+7)&lt;YEAR(E68),0,IF((YEAR(D68)+7)&gt;YEAR(E68),1,(12-MONTH(E68)+1)/12))))-((P68)*(IF((YEAR(D68)+7)&lt;YEAR(E68),0,IF((YEAR(D68)+7)&gt;YEAR(E68),1,(12-MONTH(E68)+1)/12))) + (R68)*(IF((YEAR(D68)+7)&lt;YEAR(E68),0,IF((YEAR(D68)+7)&gt;YEAR(E68),1,(12-MONTH(E68)+1)/12))))-(IF(OR(N68="",N68&lt;=0),0,(O68/N68)*(IF(OR(N68="",N68&lt;=0),0,IF((YEAR(D68)+7)&lt;YEAR(E68),0,IF((YEAR(D68)+7)&gt;=YEAR(E68)+N68,0,IF((YEAR(D68)+7)=YEAR(E68),(12-MONTH(E68)+1)/12,1))))))))*TaxRate,0))-IF(7=0,O68,0))</f>
        <v/>
      </c>
      <c r="AA68" s="29">
        <f>IF(A68="","",((K68)*(IF(M68="",L68,IFERROR(IF(INDEX(Variablen!$I:$AT, MATCH(M68, Variablen!$A:$A, 0), MATCH((YEAR(D68)+8), Variablen!$I$3:$AT$3, 0))="",L68,INDEX(Variablen!$I:$AT, MATCH(M68, Variablen!$A:$A, 0), MATCH((YEAR(D68)+8), Variablen!$I$3:$AT$3, 0))),L68)))*(IF((YEAR(D68)+8)&lt;YEAR(E68),0,IF((YEAR(D68)+8)&gt;YEAR(E68),1,(12-MONTH(E68)+1)/12))) + (Q68)*(IF((YEAR(D68)+8)&lt;YEAR(E68),0,IF((YEAR(D68)+8)&gt;YEAR(E68),1,(12-MONTH(E68)+1)/12))))-((P68)*(IF((YEAR(D68)+8)&lt;YEAR(E68),0,IF((YEAR(D68)+8)&gt;YEAR(E68),1,(12-MONTH(E68)+1)/12))) + (R68)*(IF((YEAR(D68)+8)&lt;YEAR(E68),0,IF((YEAR(D68)+8)&gt;YEAR(E68),1,(12-MONTH(E68)+1)/12))))-(IF((((K68)*(IF(M68="",L68,IFERROR(IF(INDEX(Variablen!$I:$AT, MATCH(M68, Variablen!$A:$A, 0), MATCH((YEAR(D68)+8), Variablen!$I$3:$AT$3, 0))="",L68,INDEX(Variablen!$I:$AT, MATCH(M68, Variablen!$A:$A, 0), MATCH((YEAR(D68)+8), Variablen!$I$3:$AT$3, 0))),L68)))*(IF((YEAR(D68)+8)&lt;YEAR(E68),0,IF((YEAR(D68)+8)&gt;YEAR(E68),1,(12-MONTH(E68)+1)/12))) + (Q68)*(IF((YEAR(D68)+8)&lt;YEAR(E68),0,IF((YEAR(D68)+8)&gt;YEAR(E68),1,(12-MONTH(E68)+1)/12))))-((P68)*(IF((YEAR(D68)+8)&lt;YEAR(E68),0,IF((YEAR(D68)+8)&gt;YEAR(E68),1,(12-MONTH(E68)+1)/12))) + (R68)*(IF((YEAR(D68)+8)&lt;YEAR(E68),0,IF((YEAR(D68)+8)&gt;YEAR(E68),1,(12-MONTH(E68)+1)/12))))-(IF(OR(N68="",N68&lt;=0),0,(O68/N68)*(IF(OR(N68="",N68&lt;=0),0,IF((YEAR(D68)+8)&lt;YEAR(E68),0,IF((YEAR(D68)+8)&gt;=YEAR(E68)+N68,0,IF((YEAR(D68)+8)=YEAR(E68),(12-MONTH(E68)+1)/12,1))))))))&gt;0,(((K68)*(IF(M68="",L68,IFERROR(IF(INDEX(Variablen!$I:$AT, MATCH(M68, Variablen!$A:$A, 0), MATCH((YEAR(D68)+8), Variablen!$I$3:$AT$3, 0))="",L68,INDEX(Variablen!$I:$AT, MATCH(M68, Variablen!$A:$A, 0), MATCH((YEAR(D68)+8), Variablen!$I$3:$AT$3, 0))),L68)))*(IF((YEAR(D68)+8)&lt;YEAR(E68),0,IF((YEAR(D68)+8)&gt;YEAR(E68),1,(12-MONTH(E68)+1)/12))) + (Q68)*(IF((YEAR(D68)+8)&lt;YEAR(E68),0,IF((YEAR(D68)+8)&gt;YEAR(E68),1,(12-MONTH(E68)+1)/12))))-((P68)*(IF((YEAR(D68)+8)&lt;YEAR(E68),0,IF((YEAR(D68)+8)&gt;YEAR(E68),1,(12-MONTH(E68)+1)/12))) + (R68)*(IF((YEAR(D68)+8)&lt;YEAR(E68),0,IF((YEAR(D68)+8)&gt;YEAR(E68),1,(12-MONTH(E68)+1)/12))))-(IF(OR(N68="",N68&lt;=0),0,(O68/N68)*(IF(OR(N68="",N68&lt;=0),0,IF((YEAR(D68)+8)&lt;YEAR(E68),0,IF((YEAR(D68)+8)&gt;=YEAR(E68)+N68,0,IF((YEAR(D68)+8)=YEAR(E68),(12-MONTH(E68)+1)/12,1))))))))*TaxRate,0))-IF(8=0,O68,0))</f>
        <v/>
      </c>
      <c r="AB68" s="29">
        <f>IF(A68="","",((K68)*(IF(M68="",L68,IFERROR(IF(INDEX(Variablen!$I:$AT, MATCH(M68, Variablen!$A:$A, 0), MATCH((YEAR(D68)+9), Variablen!$I$3:$AT$3, 0))="",L68,INDEX(Variablen!$I:$AT, MATCH(M68, Variablen!$A:$A, 0), MATCH((YEAR(D68)+9), Variablen!$I$3:$AT$3, 0))),L68)))*(IF((YEAR(D68)+9)&lt;YEAR(E68),0,IF((YEAR(D68)+9)&gt;YEAR(E68),1,(12-MONTH(E68)+1)/12))) + (Q68)*(IF((YEAR(D68)+9)&lt;YEAR(E68),0,IF((YEAR(D68)+9)&gt;YEAR(E68),1,(12-MONTH(E68)+1)/12))))-((P68)*(IF((YEAR(D68)+9)&lt;YEAR(E68),0,IF((YEAR(D68)+9)&gt;YEAR(E68),1,(12-MONTH(E68)+1)/12))) + (R68)*(IF((YEAR(D68)+9)&lt;YEAR(E68),0,IF((YEAR(D68)+9)&gt;YEAR(E68),1,(12-MONTH(E68)+1)/12))))-(IF((((K68)*(IF(M68="",L68,IFERROR(IF(INDEX(Variablen!$I:$AT, MATCH(M68, Variablen!$A:$A, 0), MATCH((YEAR(D68)+9), Variablen!$I$3:$AT$3, 0))="",L68,INDEX(Variablen!$I:$AT, MATCH(M68, Variablen!$A:$A, 0), MATCH((YEAR(D68)+9), Variablen!$I$3:$AT$3, 0))),L68)))*(IF((YEAR(D68)+9)&lt;YEAR(E68),0,IF((YEAR(D68)+9)&gt;YEAR(E68),1,(12-MONTH(E68)+1)/12))) + (Q68)*(IF((YEAR(D68)+9)&lt;YEAR(E68),0,IF((YEAR(D68)+9)&gt;YEAR(E68),1,(12-MONTH(E68)+1)/12))))-((P68)*(IF((YEAR(D68)+9)&lt;YEAR(E68),0,IF((YEAR(D68)+9)&gt;YEAR(E68),1,(12-MONTH(E68)+1)/12))) + (R68)*(IF((YEAR(D68)+9)&lt;YEAR(E68),0,IF((YEAR(D68)+9)&gt;YEAR(E68),1,(12-MONTH(E68)+1)/12))))-(IF(OR(N68="",N68&lt;=0),0,(O68/N68)*(IF(OR(N68="",N68&lt;=0),0,IF((YEAR(D68)+9)&lt;YEAR(E68),0,IF((YEAR(D68)+9)&gt;=YEAR(E68)+N68,0,IF((YEAR(D68)+9)=YEAR(E68),(12-MONTH(E68)+1)/12,1))))))))&gt;0,(((K68)*(IF(M68="",L68,IFERROR(IF(INDEX(Variablen!$I:$AT, MATCH(M68, Variablen!$A:$A, 0), MATCH((YEAR(D68)+9), Variablen!$I$3:$AT$3, 0))="",L68,INDEX(Variablen!$I:$AT, MATCH(M68, Variablen!$A:$A, 0), MATCH((YEAR(D68)+9), Variablen!$I$3:$AT$3, 0))),L68)))*(IF((YEAR(D68)+9)&lt;YEAR(E68),0,IF((YEAR(D68)+9)&gt;YEAR(E68),1,(12-MONTH(E68)+1)/12))) + (Q68)*(IF((YEAR(D68)+9)&lt;YEAR(E68),0,IF((YEAR(D68)+9)&gt;YEAR(E68),1,(12-MONTH(E68)+1)/12))))-((P68)*(IF((YEAR(D68)+9)&lt;YEAR(E68),0,IF((YEAR(D68)+9)&gt;YEAR(E68),1,(12-MONTH(E68)+1)/12))) + (R68)*(IF((YEAR(D68)+9)&lt;YEAR(E68),0,IF((YEAR(D68)+9)&gt;YEAR(E68),1,(12-MONTH(E68)+1)/12))))-(IF(OR(N68="",N68&lt;=0),0,(O68/N68)*(IF(OR(N68="",N68&lt;=0),0,IF((YEAR(D68)+9)&lt;YEAR(E68),0,IF((YEAR(D68)+9)&gt;=YEAR(E68)+N68,0,IF((YEAR(D68)+9)=YEAR(E68),(12-MONTH(E68)+1)/12,1))))))))*TaxRate,0))-IF(9=0,O68,0))</f>
        <v/>
      </c>
      <c r="AC68" s="29">
        <f>IF(A68="","",((K68)*(IF(M68="",L68,IFERROR(IF(INDEX(Variablen!$I:$AT, MATCH(M68, Variablen!$A:$A, 0), MATCH((YEAR(D68)+10), Variablen!$I$3:$AT$3, 0))="",L68,INDEX(Variablen!$I:$AT, MATCH(M68, Variablen!$A:$A, 0), MATCH((YEAR(D68)+10), Variablen!$I$3:$AT$3, 0))),L68)))*(IF((YEAR(D68)+10)&lt;YEAR(E68),0,IF((YEAR(D68)+10)&gt;YEAR(E68),1,(12-MONTH(E68)+1)/12))) + (Q68)*(IF((YEAR(D68)+10)&lt;YEAR(E68),0,IF((YEAR(D68)+10)&gt;YEAR(E68),1,(12-MONTH(E68)+1)/12))))-((P68)*(IF((YEAR(D68)+10)&lt;YEAR(E68),0,IF((YEAR(D68)+10)&gt;YEAR(E68),1,(12-MONTH(E68)+1)/12))) + (R68)*(IF((YEAR(D68)+10)&lt;YEAR(E68),0,IF((YEAR(D68)+10)&gt;YEAR(E68),1,(12-MONTH(E68)+1)/12))))-(IF((((K68)*(IF(M68="",L68,IFERROR(IF(INDEX(Variablen!$I:$AT, MATCH(M68, Variablen!$A:$A, 0), MATCH((YEAR(D68)+10), Variablen!$I$3:$AT$3, 0))="",L68,INDEX(Variablen!$I:$AT, MATCH(M68, Variablen!$A:$A, 0), MATCH((YEAR(D68)+10), Variablen!$I$3:$AT$3, 0))),L68)))*(IF((YEAR(D68)+10)&lt;YEAR(E68),0,IF((YEAR(D68)+10)&gt;YEAR(E68),1,(12-MONTH(E68)+1)/12))) + (Q68)*(IF((YEAR(D68)+10)&lt;YEAR(E68),0,IF((YEAR(D68)+10)&gt;YEAR(E68),1,(12-MONTH(E68)+1)/12))))-((P68)*(IF((YEAR(D68)+10)&lt;YEAR(E68),0,IF((YEAR(D68)+10)&gt;YEAR(E68),1,(12-MONTH(E68)+1)/12))) + (R68)*(IF((YEAR(D68)+10)&lt;YEAR(E68),0,IF((YEAR(D68)+10)&gt;YEAR(E68),1,(12-MONTH(E68)+1)/12))))-(IF(OR(N68="",N68&lt;=0),0,(O68/N68)*(IF(OR(N68="",N68&lt;=0),0,IF((YEAR(D68)+10)&lt;YEAR(E68),0,IF((YEAR(D68)+10)&gt;=YEAR(E68)+N68,0,IF((YEAR(D68)+10)=YEAR(E68),(12-MONTH(E68)+1)/12,1))))))))&gt;0,(((K68)*(IF(M68="",L68,IFERROR(IF(INDEX(Variablen!$I:$AT, MATCH(M68, Variablen!$A:$A, 0), MATCH((YEAR(D68)+10), Variablen!$I$3:$AT$3, 0))="",L68,INDEX(Variablen!$I:$AT, MATCH(M68, Variablen!$A:$A, 0), MATCH((YEAR(D68)+10), Variablen!$I$3:$AT$3, 0))),L68)))*(IF((YEAR(D68)+10)&lt;YEAR(E68),0,IF((YEAR(D68)+10)&gt;YEAR(E68),1,(12-MONTH(E68)+1)/12))) + (Q68)*(IF((YEAR(D68)+10)&lt;YEAR(E68),0,IF((YEAR(D68)+10)&gt;YEAR(E68),1,(12-MONTH(E68)+1)/12))))-((P68)*(IF((YEAR(D68)+10)&lt;YEAR(E68),0,IF((YEAR(D68)+10)&gt;YEAR(E68),1,(12-MONTH(E68)+1)/12))) + (R68)*(IF((YEAR(D68)+10)&lt;YEAR(E68),0,IF((YEAR(D68)+10)&gt;YEAR(E68),1,(12-MONTH(E68)+1)/12))))-(IF(OR(N68="",N68&lt;=0),0,(O68/N68)*(IF(OR(N68="",N68&lt;=0),0,IF((YEAR(D68)+10)&lt;YEAR(E68),0,IF((YEAR(D68)+10)&gt;=YEAR(E68)+N68,0,IF((YEAR(D68)+10)=YEAR(E68),(12-MONTH(E68)+1)/12,1))))))))*TaxRate,0))-IF(10=0,O68,0))</f>
        <v/>
      </c>
      <c r="AD68" s="29">
        <f>IF(A68="","",((K68)*(IF(M68="",L68,IFERROR(IF(INDEX(Variablen!$I:$AT, MATCH(M68, Variablen!$A:$A, 0), MATCH((YEAR(D68)+11), Variablen!$I$3:$AT$3, 0))="",L68,INDEX(Variablen!$I:$AT, MATCH(M68, Variablen!$A:$A, 0), MATCH((YEAR(D68)+11), Variablen!$I$3:$AT$3, 0))),L68)))*(IF((YEAR(D68)+11)&lt;YEAR(E68),0,IF((YEAR(D68)+11)&gt;YEAR(E68),1,(12-MONTH(E68)+1)/12))) + (Q68)*(IF((YEAR(D68)+11)&lt;YEAR(E68),0,IF((YEAR(D68)+11)&gt;YEAR(E68),1,(12-MONTH(E68)+1)/12))))-((P68)*(IF((YEAR(D68)+11)&lt;YEAR(E68),0,IF((YEAR(D68)+11)&gt;YEAR(E68),1,(12-MONTH(E68)+1)/12))) + (R68)*(IF((YEAR(D68)+11)&lt;YEAR(E68),0,IF((YEAR(D68)+11)&gt;YEAR(E68),1,(12-MONTH(E68)+1)/12))))-(IF((((K68)*(IF(M68="",L68,IFERROR(IF(INDEX(Variablen!$I:$AT, MATCH(M68, Variablen!$A:$A, 0), MATCH((YEAR(D68)+11), Variablen!$I$3:$AT$3, 0))="",L68,INDEX(Variablen!$I:$AT, MATCH(M68, Variablen!$A:$A, 0), MATCH((YEAR(D68)+11), Variablen!$I$3:$AT$3, 0))),L68)))*(IF((YEAR(D68)+11)&lt;YEAR(E68),0,IF((YEAR(D68)+11)&gt;YEAR(E68),1,(12-MONTH(E68)+1)/12))) + (Q68)*(IF((YEAR(D68)+11)&lt;YEAR(E68),0,IF((YEAR(D68)+11)&gt;YEAR(E68),1,(12-MONTH(E68)+1)/12))))-((P68)*(IF((YEAR(D68)+11)&lt;YEAR(E68),0,IF((YEAR(D68)+11)&gt;YEAR(E68),1,(12-MONTH(E68)+1)/12))) + (R68)*(IF((YEAR(D68)+11)&lt;YEAR(E68),0,IF((YEAR(D68)+11)&gt;YEAR(E68),1,(12-MONTH(E68)+1)/12))))-(IF(OR(N68="",N68&lt;=0),0,(O68/N68)*(IF(OR(N68="",N68&lt;=0),0,IF((YEAR(D68)+11)&lt;YEAR(E68),0,IF((YEAR(D68)+11)&gt;=YEAR(E68)+N68,0,IF((YEAR(D68)+11)=YEAR(E68),(12-MONTH(E68)+1)/12,1))))))))&gt;0,(((K68)*(IF(M68="",L68,IFERROR(IF(INDEX(Variablen!$I:$AT, MATCH(M68, Variablen!$A:$A, 0), MATCH((YEAR(D68)+11), Variablen!$I$3:$AT$3, 0))="",L68,INDEX(Variablen!$I:$AT, MATCH(M68, Variablen!$A:$A, 0), MATCH((YEAR(D68)+11), Variablen!$I$3:$AT$3, 0))),L68)))*(IF((YEAR(D68)+11)&lt;YEAR(E68),0,IF((YEAR(D68)+11)&gt;YEAR(E68),1,(12-MONTH(E68)+1)/12))) + (Q68)*(IF((YEAR(D68)+11)&lt;YEAR(E68),0,IF((YEAR(D68)+11)&gt;YEAR(E68),1,(12-MONTH(E68)+1)/12))))-((P68)*(IF((YEAR(D68)+11)&lt;YEAR(E68),0,IF((YEAR(D68)+11)&gt;YEAR(E68),1,(12-MONTH(E68)+1)/12))) + (R68)*(IF((YEAR(D68)+11)&lt;YEAR(E68),0,IF((YEAR(D68)+11)&gt;YEAR(E68),1,(12-MONTH(E68)+1)/12))))-(IF(OR(N68="",N68&lt;=0),0,(O68/N68)*(IF(OR(N68="",N68&lt;=0),0,IF((YEAR(D68)+11)&lt;YEAR(E68),0,IF((YEAR(D68)+11)&gt;=YEAR(E68)+N68,0,IF((YEAR(D68)+11)=YEAR(E68),(12-MONTH(E68)+1)/12,1))))))))*TaxRate,0))-IF(11=0,O68,0))</f>
        <v/>
      </c>
      <c r="AE68" s="29">
        <f>IF(A68="","",((K68)*(IF(M68="",L68,IFERROR(IF(INDEX(Variablen!$I:$AT, MATCH(M68, Variablen!$A:$A, 0), MATCH((YEAR(D68)+12), Variablen!$I$3:$AT$3, 0))="",L68,INDEX(Variablen!$I:$AT, MATCH(M68, Variablen!$A:$A, 0), MATCH((YEAR(D68)+12), Variablen!$I$3:$AT$3, 0))),L68)))*(IF((YEAR(D68)+12)&lt;YEAR(E68),0,IF((YEAR(D68)+12)&gt;YEAR(E68),1,(12-MONTH(E68)+1)/12))) + (Q68)*(IF((YEAR(D68)+12)&lt;YEAR(E68),0,IF((YEAR(D68)+12)&gt;YEAR(E68),1,(12-MONTH(E68)+1)/12))))-((P68)*(IF((YEAR(D68)+12)&lt;YEAR(E68),0,IF((YEAR(D68)+12)&gt;YEAR(E68),1,(12-MONTH(E68)+1)/12))) + (R68)*(IF((YEAR(D68)+12)&lt;YEAR(E68),0,IF((YEAR(D68)+12)&gt;YEAR(E68),1,(12-MONTH(E68)+1)/12))))-(IF((((K68)*(IF(M68="",L68,IFERROR(IF(INDEX(Variablen!$I:$AT, MATCH(M68, Variablen!$A:$A, 0), MATCH((YEAR(D68)+12), Variablen!$I$3:$AT$3, 0))="",L68,INDEX(Variablen!$I:$AT, MATCH(M68, Variablen!$A:$A, 0), MATCH((YEAR(D68)+12), Variablen!$I$3:$AT$3, 0))),L68)))*(IF((YEAR(D68)+12)&lt;YEAR(E68),0,IF((YEAR(D68)+12)&gt;YEAR(E68),1,(12-MONTH(E68)+1)/12))) + (Q68)*(IF((YEAR(D68)+12)&lt;YEAR(E68),0,IF((YEAR(D68)+12)&gt;YEAR(E68),1,(12-MONTH(E68)+1)/12))))-((P68)*(IF((YEAR(D68)+12)&lt;YEAR(E68),0,IF((YEAR(D68)+12)&gt;YEAR(E68),1,(12-MONTH(E68)+1)/12))) + (R68)*(IF((YEAR(D68)+12)&lt;YEAR(E68),0,IF((YEAR(D68)+12)&gt;YEAR(E68),1,(12-MONTH(E68)+1)/12))))-(IF(OR(N68="",N68&lt;=0),0,(O68/N68)*(IF(OR(N68="",N68&lt;=0),0,IF((YEAR(D68)+12)&lt;YEAR(E68),0,IF((YEAR(D68)+12)&gt;=YEAR(E68)+N68,0,IF((YEAR(D68)+12)=YEAR(E68),(12-MONTH(E68)+1)/12,1))))))))&gt;0,(((K68)*(IF(M68="",L68,IFERROR(IF(INDEX(Variablen!$I:$AT, MATCH(M68, Variablen!$A:$A, 0), MATCH((YEAR(D68)+12), Variablen!$I$3:$AT$3, 0))="",L68,INDEX(Variablen!$I:$AT, MATCH(M68, Variablen!$A:$A, 0), MATCH((YEAR(D68)+12), Variablen!$I$3:$AT$3, 0))),L68)))*(IF((YEAR(D68)+12)&lt;YEAR(E68),0,IF((YEAR(D68)+12)&gt;YEAR(E68),1,(12-MONTH(E68)+1)/12))) + (Q68)*(IF((YEAR(D68)+12)&lt;YEAR(E68),0,IF((YEAR(D68)+12)&gt;YEAR(E68),1,(12-MONTH(E68)+1)/12))))-((P68)*(IF((YEAR(D68)+12)&lt;YEAR(E68),0,IF((YEAR(D68)+12)&gt;YEAR(E68),1,(12-MONTH(E68)+1)/12))) + (R68)*(IF((YEAR(D68)+12)&lt;YEAR(E68),0,IF((YEAR(D68)+12)&gt;YEAR(E68),1,(12-MONTH(E68)+1)/12))))-(IF(OR(N68="",N68&lt;=0),0,(O68/N68)*(IF(OR(N68="",N68&lt;=0),0,IF((YEAR(D68)+12)&lt;YEAR(E68),0,IF((YEAR(D68)+12)&gt;=YEAR(E68)+N68,0,IF((YEAR(D68)+12)=YEAR(E68),(12-MONTH(E68)+1)/12,1))))))))*TaxRate,0))-IF(12=0,O68,0))</f>
        <v/>
      </c>
      <c r="AF68" s="29">
        <f>IF(A68="","",((K68)*(IF(M68="",L68,IFERROR(IF(INDEX(Variablen!$I:$AT, MATCH(M68, Variablen!$A:$A, 0), MATCH((YEAR(D68)+13), Variablen!$I$3:$AT$3, 0))="",L68,INDEX(Variablen!$I:$AT, MATCH(M68, Variablen!$A:$A, 0), MATCH((YEAR(D68)+13), Variablen!$I$3:$AT$3, 0))),L68)))*(IF((YEAR(D68)+13)&lt;YEAR(E68),0,IF((YEAR(D68)+13)&gt;YEAR(E68),1,(12-MONTH(E68)+1)/12))) + (Q68)*(IF((YEAR(D68)+13)&lt;YEAR(E68),0,IF((YEAR(D68)+13)&gt;YEAR(E68),1,(12-MONTH(E68)+1)/12))))-((P68)*(IF((YEAR(D68)+13)&lt;YEAR(E68),0,IF((YEAR(D68)+13)&gt;YEAR(E68),1,(12-MONTH(E68)+1)/12))) + (R68)*(IF((YEAR(D68)+13)&lt;YEAR(E68),0,IF((YEAR(D68)+13)&gt;YEAR(E68),1,(12-MONTH(E68)+1)/12))))-(IF((((K68)*(IF(M68="",L68,IFERROR(IF(INDEX(Variablen!$I:$AT, MATCH(M68, Variablen!$A:$A, 0), MATCH((YEAR(D68)+13), Variablen!$I$3:$AT$3, 0))="",L68,INDEX(Variablen!$I:$AT, MATCH(M68, Variablen!$A:$A, 0), MATCH((YEAR(D68)+13), Variablen!$I$3:$AT$3, 0))),L68)))*(IF((YEAR(D68)+13)&lt;YEAR(E68),0,IF((YEAR(D68)+13)&gt;YEAR(E68),1,(12-MONTH(E68)+1)/12))) + (Q68)*(IF((YEAR(D68)+13)&lt;YEAR(E68),0,IF((YEAR(D68)+13)&gt;YEAR(E68),1,(12-MONTH(E68)+1)/12))))-((P68)*(IF((YEAR(D68)+13)&lt;YEAR(E68),0,IF((YEAR(D68)+13)&gt;YEAR(E68),1,(12-MONTH(E68)+1)/12))) + (R68)*(IF((YEAR(D68)+13)&lt;YEAR(E68),0,IF((YEAR(D68)+13)&gt;YEAR(E68),1,(12-MONTH(E68)+1)/12))))-(IF(OR(N68="",N68&lt;=0),0,(O68/N68)*(IF(OR(N68="",N68&lt;=0),0,IF((YEAR(D68)+13)&lt;YEAR(E68),0,IF((YEAR(D68)+13)&gt;=YEAR(E68)+N68,0,IF((YEAR(D68)+13)=YEAR(E68),(12-MONTH(E68)+1)/12,1))))))))&gt;0,(((K68)*(IF(M68="",L68,IFERROR(IF(INDEX(Variablen!$I:$AT, MATCH(M68, Variablen!$A:$A, 0), MATCH((YEAR(D68)+13), Variablen!$I$3:$AT$3, 0))="",L68,INDEX(Variablen!$I:$AT, MATCH(M68, Variablen!$A:$A, 0), MATCH((YEAR(D68)+13), Variablen!$I$3:$AT$3, 0))),L68)))*(IF((YEAR(D68)+13)&lt;YEAR(E68),0,IF((YEAR(D68)+13)&gt;YEAR(E68),1,(12-MONTH(E68)+1)/12))) + (Q68)*(IF((YEAR(D68)+13)&lt;YEAR(E68),0,IF((YEAR(D68)+13)&gt;YEAR(E68),1,(12-MONTH(E68)+1)/12))))-((P68)*(IF((YEAR(D68)+13)&lt;YEAR(E68),0,IF((YEAR(D68)+13)&gt;YEAR(E68),1,(12-MONTH(E68)+1)/12))) + (R68)*(IF((YEAR(D68)+13)&lt;YEAR(E68),0,IF((YEAR(D68)+13)&gt;YEAR(E68),1,(12-MONTH(E68)+1)/12))))-(IF(OR(N68="",N68&lt;=0),0,(O68/N68)*(IF(OR(N68="",N68&lt;=0),0,IF((YEAR(D68)+13)&lt;YEAR(E68),0,IF((YEAR(D68)+13)&gt;=YEAR(E68)+N68,0,IF((YEAR(D68)+13)=YEAR(E68),(12-MONTH(E68)+1)/12,1))))))))*TaxRate,0))-IF(13=0,O68,0))</f>
        <v/>
      </c>
      <c r="AG68" s="29">
        <f>IF(A68="","",((K68)*(IF(M68="",L68,IFERROR(IF(INDEX(Variablen!$I:$AT, MATCH(M68, Variablen!$A:$A, 0), MATCH((YEAR(D68)+14), Variablen!$I$3:$AT$3, 0))="",L68,INDEX(Variablen!$I:$AT, MATCH(M68, Variablen!$A:$A, 0), MATCH((YEAR(D68)+14), Variablen!$I$3:$AT$3, 0))),L68)))*(IF((YEAR(D68)+14)&lt;YEAR(E68),0,IF((YEAR(D68)+14)&gt;YEAR(E68),1,(12-MONTH(E68)+1)/12))) + (Q68)*(IF((YEAR(D68)+14)&lt;YEAR(E68),0,IF((YEAR(D68)+14)&gt;YEAR(E68),1,(12-MONTH(E68)+1)/12))))-((P68)*(IF((YEAR(D68)+14)&lt;YEAR(E68),0,IF((YEAR(D68)+14)&gt;YEAR(E68),1,(12-MONTH(E68)+1)/12))) + (R68)*(IF((YEAR(D68)+14)&lt;YEAR(E68),0,IF((YEAR(D68)+14)&gt;YEAR(E68),1,(12-MONTH(E68)+1)/12))))-(IF((((K68)*(IF(M68="",L68,IFERROR(IF(INDEX(Variablen!$I:$AT, MATCH(M68, Variablen!$A:$A, 0), MATCH((YEAR(D68)+14), Variablen!$I$3:$AT$3, 0))="",L68,INDEX(Variablen!$I:$AT, MATCH(M68, Variablen!$A:$A, 0), MATCH((YEAR(D68)+14), Variablen!$I$3:$AT$3, 0))),L68)))*(IF((YEAR(D68)+14)&lt;YEAR(E68),0,IF((YEAR(D68)+14)&gt;YEAR(E68),1,(12-MONTH(E68)+1)/12))) + (Q68)*(IF((YEAR(D68)+14)&lt;YEAR(E68),0,IF((YEAR(D68)+14)&gt;YEAR(E68),1,(12-MONTH(E68)+1)/12))))-((P68)*(IF((YEAR(D68)+14)&lt;YEAR(E68),0,IF((YEAR(D68)+14)&gt;YEAR(E68),1,(12-MONTH(E68)+1)/12))) + (R68)*(IF((YEAR(D68)+14)&lt;YEAR(E68),0,IF((YEAR(D68)+14)&gt;YEAR(E68),1,(12-MONTH(E68)+1)/12))))-(IF(OR(N68="",N68&lt;=0),0,(O68/N68)*(IF(OR(N68="",N68&lt;=0),0,IF((YEAR(D68)+14)&lt;YEAR(E68),0,IF((YEAR(D68)+14)&gt;=YEAR(E68)+N68,0,IF((YEAR(D68)+14)=YEAR(E68),(12-MONTH(E68)+1)/12,1))))))))&gt;0,(((K68)*(IF(M68="",L68,IFERROR(IF(INDEX(Variablen!$I:$AT, MATCH(M68, Variablen!$A:$A, 0), MATCH((YEAR(D68)+14), Variablen!$I$3:$AT$3, 0))="",L68,INDEX(Variablen!$I:$AT, MATCH(M68, Variablen!$A:$A, 0), MATCH((YEAR(D68)+14), Variablen!$I$3:$AT$3, 0))),L68)))*(IF((YEAR(D68)+14)&lt;YEAR(E68),0,IF((YEAR(D68)+14)&gt;YEAR(E68),1,(12-MONTH(E68)+1)/12))) + (Q68)*(IF((YEAR(D68)+14)&lt;YEAR(E68),0,IF((YEAR(D68)+14)&gt;YEAR(E68),1,(12-MONTH(E68)+1)/12))))-((P68)*(IF((YEAR(D68)+14)&lt;YEAR(E68),0,IF((YEAR(D68)+14)&gt;YEAR(E68),1,(12-MONTH(E68)+1)/12))) + (R68)*(IF((YEAR(D68)+14)&lt;YEAR(E68),0,IF((YEAR(D68)+14)&gt;YEAR(E68),1,(12-MONTH(E68)+1)/12))))-(IF(OR(N68="",N68&lt;=0),0,(O68/N68)*(IF(OR(N68="",N68&lt;=0),0,IF((YEAR(D68)+14)&lt;YEAR(E68),0,IF((YEAR(D68)+14)&gt;=YEAR(E68)+N68,0,IF((YEAR(D68)+14)=YEAR(E68),(12-MONTH(E68)+1)/12,1))))))))*TaxRate,0))-IF(14=0,O68,0))</f>
        <v/>
      </c>
      <c r="AH68" s="29">
        <f>IF(A68="","",((K68)*(IF(M68="",L68,IFERROR(IF(INDEX(Variablen!$I:$AT, MATCH(M68, Variablen!$A:$A, 0), MATCH((YEAR(D68)+15), Variablen!$I$3:$AT$3, 0))="",L68,INDEX(Variablen!$I:$AT, MATCH(M68, Variablen!$A:$A, 0), MATCH((YEAR(D68)+15), Variablen!$I$3:$AT$3, 0))),L68)))*(IF((YEAR(D68)+15)&lt;YEAR(E68),0,IF((YEAR(D68)+15)&gt;YEAR(E68),1,(12-MONTH(E68)+1)/12))) + (Q68)*(IF((YEAR(D68)+15)&lt;YEAR(E68),0,IF((YEAR(D68)+15)&gt;YEAR(E68),1,(12-MONTH(E68)+1)/12))))-((P68)*(IF((YEAR(D68)+15)&lt;YEAR(E68),0,IF((YEAR(D68)+15)&gt;YEAR(E68),1,(12-MONTH(E68)+1)/12))) + (R68)*(IF((YEAR(D68)+15)&lt;YEAR(E68),0,IF((YEAR(D68)+15)&gt;YEAR(E68),1,(12-MONTH(E68)+1)/12))))-(IF((((K68)*(IF(M68="",L68,IFERROR(IF(INDEX(Variablen!$I:$AT, MATCH(M68, Variablen!$A:$A, 0), MATCH((YEAR(D68)+15), Variablen!$I$3:$AT$3, 0))="",L68,INDEX(Variablen!$I:$AT, MATCH(M68, Variablen!$A:$A, 0), MATCH((YEAR(D68)+15), Variablen!$I$3:$AT$3, 0))),L68)))*(IF((YEAR(D68)+15)&lt;YEAR(E68),0,IF((YEAR(D68)+15)&gt;YEAR(E68),1,(12-MONTH(E68)+1)/12))) + (Q68)*(IF((YEAR(D68)+15)&lt;YEAR(E68),0,IF((YEAR(D68)+15)&gt;YEAR(E68),1,(12-MONTH(E68)+1)/12))))-((P68)*(IF((YEAR(D68)+15)&lt;YEAR(E68),0,IF((YEAR(D68)+15)&gt;YEAR(E68),1,(12-MONTH(E68)+1)/12))) + (R68)*(IF((YEAR(D68)+15)&lt;YEAR(E68),0,IF((YEAR(D68)+15)&gt;YEAR(E68),1,(12-MONTH(E68)+1)/12))))-(IF(OR(N68="",N68&lt;=0),0,(O68/N68)*(IF(OR(N68="",N68&lt;=0),0,IF((YEAR(D68)+15)&lt;YEAR(E68),0,IF((YEAR(D68)+15)&gt;=YEAR(E68)+N68,0,IF((YEAR(D68)+15)=YEAR(E68),(12-MONTH(E68)+1)/12,1))))))))&gt;0,(((K68)*(IF(M68="",L68,IFERROR(IF(INDEX(Variablen!$I:$AT, MATCH(M68, Variablen!$A:$A, 0), MATCH((YEAR(D68)+15), Variablen!$I$3:$AT$3, 0))="",L68,INDEX(Variablen!$I:$AT, MATCH(M68, Variablen!$A:$A, 0), MATCH((YEAR(D68)+15), Variablen!$I$3:$AT$3, 0))),L68)))*(IF((YEAR(D68)+15)&lt;YEAR(E68),0,IF((YEAR(D68)+15)&gt;YEAR(E68),1,(12-MONTH(E68)+1)/12))) + (Q68)*(IF((YEAR(D68)+15)&lt;YEAR(E68),0,IF((YEAR(D68)+15)&gt;YEAR(E68),1,(12-MONTH(E68)+1)/12))))-((P68)*(IF((YEAR(D68)+15)&lt;YEAR(E68),0,IF((YEAR(D68)+15)&gt;YEAR(E68),1,(12-MONTH(E68)+1)/12))) + (R68)*(IF((YEAR(D68)+15)&lt;YEAR(E68),0,IF((YEAR(D68)+15)&gt;YEAR(E68),1,(12-MONTH(E68)+1)/12))))-(IF(OR(N68="",N68&lt;=0),0,(O68/N68)*(IF(OR(N68="",N68&lt;=0),0,IF((YEAR(D68)+15)&lt;YEAR(E68),0,IF((YEAR(D68)+15)&gt;=YEAR(E68)+N68,0,IF((YEAR(D68)+15)=YEAR(E68),(12-MONTH(E68)+1)/12,1))))))))*TaxRate,0))-IF(15=0,O68,0))</f>
        <v/>
      </c>
      <c r="AI68" s="29">
        <f>IF(A68="","",((K68)*(IF(M68="",L68,IFERROR(IF(INDEX(Variablen!$I:$AT, MATCH(M68, Variablen!$A:$A, 0), MATCH((YEAR(D68)+16), Variablen!$I$3:$AT$3, 0))="",L68,INDEX(Variablen!$I:$AT, MATCH(M68, Variablen!$A:$A, 0), MATCH((YEAR(D68)+16), Variablen!$I$3:$AT$3, 0))),L68)))*(IF((YEAR(D68)+16)&lt;YEAR(E68),0,IF((YEAR(D68)+16)&gt;YEAR(E68),1,(12-MONTH(E68)+1)/12))) + (Q68)*(IF((YEAR(D68)+16)&lt;YEAR(E68),0,IF((YEAR(D68)+16)&gt;YEAR(E68),1,(12-MONTH(E68)+1)/12))))-((P68)*(IF((YEAR(D68)+16)&lt;YEAR(E68),0,IF((YEAR(D68)+16)&gt;YEAR(E68),1,(12-MONTH(E68)+1)/12))) + (R68)*(IF((YEAR(D68)+16)&lt;YEAR(E68),0,IF((YEAR(D68)+16)&gt;YEAR(E68),1,(12-MONTH(E68)+1)/12))))-(IF((((K68)*(IF(M68="",L68,IFERROR(IF(INDEX(Variablen!$I:$AT, MATCH(M68, Variablen!$A:$A, 0), MATCH((YEAR(D68)+16), Variablen!$I$3:$AT$3, 0))="",L68,INDEX(Variablen!$I:$AT, MATCH(M68, Variablen!$A:$A, 0), MATCH((YEAR(D68)+16), Variablen!$I$3:$AT$3, 0))),L68)))*(IF((YEAR(D68)+16)&lt;YEAR(E68),0,IF((YEAR(D68)+16)&gt;YEAR(E68),1,(12-MONTH(E68)+1)/12))) + (Q68)*(IF((YEAR(D68)+16)&lt;YEAR(E68),0,IF((YEAR(D68)+16)&gt;YEAR(E68),1,(12-MONTH(E68)+1)/12))))-((P68)*(IF((YEAR(D68)+16)&lt;YEAR(E68),0,IF((YEAR(D68)+16)&gt;YEAR(E68),1,(12-MONTH(E68)+1)/12))) + (R68)*(IF((YEAR(D68)+16)&lt;YEAR(E68),0,IF((YEAR(D68)+16)&gt;YEAR(E68),1,(12-MONTH(E68)+1)/12))))-(IF(OR(N68="",N68&lt;=0),0,(O68/N68)*(IF(OR(N68="",N68&lt;=0),0,IF((YEAR(D68)+16)&lt;YEAR(E68),0,IF((YEAR(D68)+16)&gt;=YEAR(E68)+N68,0,IF((YEAR(D68)+16)=YEAR(E68),(12-MONTH(E68)+1)/12,1))))))))&gt;0,(((K68)*(IF(M68="",L68,IFERROR(IF(INDEX(Variablen!$I:$AT, MATCH(M68, Variablen!$A:$A, 0), MATCH((YEAR(D68)+16), Variablen!$I$3:$AT$3, 0))="",L68,INDEX(Variablen!$I:$AT, MATCH(M68, Variablen!$A:$A, 0), MATCH((YEAR(D68)+16), Variablen!$I$3:$AT$3, 0))),L68)))*(IF((YEAR(D68)+16)&lt;YEAR(E68),0,IF((YEAR(D68)+16)&gt;YEAR(E68),1,(12-MONTH(E68)+1)/12))) + (Q68)*(IF((YEAR(D68)+16)&lt;YEAR(E68),0,IF((YEAR(D68)+16)&gt;YEAR(E68),1,(12-MONTH(E68)+1)/12))))-((P68)*(IF((YEAR(D68)+16)&lt;YEAR(E68),0,IF((YEAR(D68)+16)&gt;YEAR(E68),1,(12-MONTH(E68)+1)/12))) + (R68)*(IF((YEAR(D68)+16)&lt;YEAR(E68),0,IF((YEAR(D68)+16)&gt;YEAR(E68),1,(12-MONTH(E68)+1)/12))))-(IF(OR(N68="",N68&lt;=0),0,(O68/N68)*(IF(OR(N68="",N68&lt;=0),0,IF((YEAR(D68)+16)&lt;YEAR(E68),0,IF((YEAR(D68)+16)&gt;=YEAR(E68)+N68,0,IF((YEAR(D68)+16)=YEAR(E68),(12-MONTH(E68)+1)/12,1))))))))*TaxRate,0))-IF(16=0,O68,0))</f>
        <v/>
      </c>
      <c r="AJ68" s="29">
        <f>IF(A68="","",((K68)*(IF(M68="",L68,IFERROR(IF(INDEX(Variablen!$I:$AT, MATCH(M68, Variablen!$A:$A, 0), MATCH((YEAR(D68)+17), Variablen!$I$3:$AT$3, 0))="",L68,INDEX(Variablen!$I:$AT, MATCH(M68, Variablen!$A:$A, 0), MATCH((YEAR(D68)+17), Variablen!$I$3:$AT$3, 0))),L68)))*(IF((YEAR(D68)+17)&lt;YEAR(E68),0,IF((YEAR(D68)+17)&gt;YEAR(E68),1,(12-MONTH(E68)+1)/12))) + (Q68)*(IF((YEAR(D68)+17)&lt;YEAR(E68),0,IF((YEAR(D68)+17)&gt;YEAR(E68),1,(12-MONTH(E68)+1)/12))))-((P68)*(IF((YEAR(D68)+17)&lt;YEAR(E68),0,IF((YEAR(D68)+17)&gt;YEAR(E68),1,(12-MONTH(E68)+1)/12))) + (R68)*(IF((YEAR(D68)+17)&lt;YEAR(E68),0,IF((YEAR(D68)+17)&gt;YEAR(E68),1,(12-MONTH(E68)+1)/12))))-(IF((((K68)*(IF(M68="",L68,IFERROR(IF(INDEX(Variablen!$I:$AT, MATCH(M68, Variablen!$A:$A, 0), MATCH((YEAR(D68)+17), Variablen!$I$3:$AT$3, 0))="",L68,INDEX(Variablen!$I:$AT, MATCH(M68, Variablen!$A:$A, 0), MATCH((YEAR(D68)+17), Variablen!$I$3:$AT$3, 0))),L68)))*(IF((YEAR(D68)+17)&lt;YEAR(E68),0,IF((YEAR(D68)+17)&gt;YEAR(E68),1,(12-MONTH(E68)+1)/12))) + (Q68)*(IF((YEAR(D68)+17)&lt;YEAR(E68),0,IF((YEAR(D68)+17)&gt;YEAR(E68),1,(12-MONTH(E68)+1)/12))))-((P68)*(IF((YEAR(D68)+17)&lt;YEAR(E68),0,IF((YEAR(D68)+17)&gt;YEAR(E68),1,(12-MONTH(E68)+1)/12))) + (R68)*(IF((YEAR(D68)+17)&lt;YEAR(E68),0,IF((YEAR(D68)+17)&gt;YEAR(E68),1,(12-MONTH(E68)+1)/12))))-(IF(OR(N68="",N68&lt;=0),0,(O68/N68)*(IF(OR(N68="",N68&lt;=0),0,IF((YEAR(D68)+17)&lt;YEAR(E68),0,IF((YEAR(D68)+17)&gt;=YEAR(E68)+N68,0,IF((YEAR(D68)+17)=YEAR(E68),(12-MONTH(E68)+1)/12,1))))))))&gt;0,(((K68)*(IF(M68="",L68,IFERROR(IF(INDEX(Variablen!$I:$AT, MATCH(M68, Variablen!$A:$A, 0), MATCH((YEAR(D68)+17), Variablen!$I$3:$AT$3, 0))="",L68,INDEX(Variablen!$I:$AT, MATCH(M68, Variablen!$A:$A, 0), MATCH((YEAR(D68)+17), Variablen!$I$3:$AT$3, 0))),L68)))*(IF((YEAR(D68)+17)&lt;YEAR(E68),0,IF((YEAR(D68)+17)&gt;YEAR(E68),1,(12-MONTH(E68)+1)/12))) + (Q68)*(IF((YEAR(D68)+17)&lt;YEAR(E68),0,IF((YEAR(D68)+17)&gt;YEAR(E68),1,(12-MONTH(E68)+1)/12))))-((P68)*(IF((YEAR(D68)+17)&lt;YEAR(E68),0,IF((YEAR(D68)+17)&gt;YEAR(E68),1,(12-MONTH(E68)+1)/12))) + (R68)*(IF((YEAR(D68)+17)&lt;YEAR(E68),0,IF((YEAR(D68)+17)&gt;YEAR(E68),1,(12-MONTH(E68)+1)/12))))-(IF(OR(N68="",N68&lt;=0),0,(O68/N68)*(IF(OR(N68="",N68&lt;=0),0,IF((YEAR(D68)+17)&lt;YEAR(E68),0,IF((YEAR(D68)+17)&gt;=YEAR(E68)+N68,0,IF((YEAR(D68)+17)=YEAR(E68),(12-MONTH(E68)+1)/12,1))))))))*TaxRate,0))-IF(17=0,O68,0))</f>
        <v/>
      </c>
      <c r="AK68" s="29">
        <f>IF(A68="","",((K68)*(IF(M68="",L68,IFERROR(IF(INDEX(Variablen!$I:$AT, MATCH(M68, Variablen!$A:$A, 0), MATCH((YEAR(D68)+18), Variablen!$I$3:$AT$3, 0))="",L68,INDEX(Variablen!$I:$AT, MATCH(M68, Variablen!$A:$A, 0), MATCH((YEAR(D68)+18), Variablen!$I$3:$AT$3, 0))),L68)))*(IF((YEAR(D68)+18)&lt;YEAR(E68),0,IF((YEAR(D68)+18)&gt;YEAR(E68),1,(12-MONTH(E68)+1)/12))) + (Q68)*(IF((YEAR(D68)+18)&lt;YEAR(E68),0,IF((YEAR(D68)+18)&gt;YEAR(E68),1,(12-MONTH(E68)+1)/12))))-((P68)*(IF((YEAR(D68)+18)&lt;YEAR(E68),0,IF((YEAR(D68)+18)&gt;YEAR(E68),1,(12-MONTH(E68)+1)/12))) + (R68)*(IF((YEAR(D68)+18)&lt;YEAR(E68),0,IF((YEAR(D68)+18)&gt;YEAR(E68),1,(12-MONTH(E68)+1)/12))))-(IF((((K68)*(IF(M68="",L68,IFERROR(IF(INDEX(Variablen!$I:$AT, MATCH(M68, Variablen!$A:$A, 0), MATCH((YEAR(D68)+18), Variablen!$I$3:$AT$3, 0))="",L68,INDEX(Variablen!$I:$AT, MATCH(M68, Variablen!$A:$A, 0), MATCH((YEAR(D68)+18), Variablen!$I$3:$AT$3, 0))),L68)))*(IF((YEAR(D68)+18)&lt;YEAR(E68),0,IF((YEAR(D68)+18)&gt;YEAR(E68),1,(12-MONTH(E68)+1)/12))) + (Q68)*(IF((YEAR(D68)+18)&lt;YEAR(E68),0,IF((YEAR(D68)+18)&gt;YEAR(E68),1,(12-MONTH(E68)+1)/12))))-((P68)*(IF((YEAR(D68)+18)&lt;YEAR(E68),0,IF((YEAR(D68)+18)&gt;YEAR(E68),1,(12-MONTH(E68)+1)/12))) + (R68)*(IF((YEAR(D68)+18)&lt;YEAR(E68),0,IF((YEAR(D68)+18)&gt;YEAR(E68),1,(12-MONTH(E68)+1)/12))))-(IF(OR(N68="",N68&lt;=0),0,(O68/N68)*(IF(OR(N68="",N68&lt;=0),0,IF((YEAR(D68)+18)&lt;YEAR(E68),0,IF((YEAR(D68)+18)&gt;=YEAR(E68)+N68,0,IF((YEAR(D68)+18)=YEAR(E68),(12-MONTH(E68)+1)/12,1))))))))&gt;0,(((K68)*(IF(M68="",L68,IFERROR(IF(INDEX(Variablen!$I:$AT, MATCH(M68, Variablen!$A:$A, 0), MATCH((YEAR(D68)+18), Variablen!$I$3:$AT$3, 0))="",L68,INDEX(Variablen!$I:$AT, MATCH(M68, Variablen!$A:$A, 0), MATCH((YEAR(D68)+18), Variablen!$I$3:$AT$3, 0))),L68)))*(IF((YEAR(D68)+18)&lt;YEAR(E68),0,IF((YEAR(D68)+18)&gt;YEAR(E68),1,(12-MONTH(E68)+1)/12))) + (Q68)*(IF((YEAR(D68)+18)&lt;YEAR(E68),0,IF((YEAR(D68)+18)&gt;YEAR(E68),1,(12-MONTH(E68)+1)/12))))-((P68)*(IF((YEAR(D68)+18)&lt;YEAR(E68),0,IF((YEAR(D68)+18)&gt;YEAR(E68),1,(12-MONTH(E68)+1)/12))) + (R68)*(IF((YEAR(D68)+18)&lt;YEAR(E68),0,IF((YEAR(D68)+18)&gt;YEAR(E68),1,(12-MONTH(E68)+1)/12))))-(IF(OR(N68="",N68&lt;=0),0,(O68/N68)*(IF(OR(N68="",N68&lt;=0),0,IF((YEAR(D68)+18)&lt;YEAR(E68),0,IF((YEAR(D68)+18)&gt;=YEAR(E68)+N68,0,IF((YEAR(D68)+18)=YEAR(E68),(12-MONTH(E68)+1)/12,1))))))))*TaxRate,0))-IF(18=0,O68,0))</f>
        <v/>
      </c>
      <c r="AL68" s="29">
        <f>IF(A68="","",((K68)*(IF(M68="",L68,IFERROR(IF(INDEX(Variablen!$I:$AT, MATCH(M68, Variablen!$A:$A, 0), MATCH((YEAR(D68)+19), Variablen!$I$3:$AT$3, 0))="",L68,INDEX(Variablen!$I:$AT, MATCH(M68, Variablen!$A:$A, 0), MATCH((YEAR(D68)+19), Variablen!$I$3:$AT$3, 0))),L68)))*(IF((YEAR(D68)+19)&lt;YEAR(E68),0,IF((YEAR(D68)+19)&gt;YEAR(E68),1,(12-MONTH(E68)+1)/12))) + (Q68)*(IF((YEAR(D68)+19)&lt;YEAR(E68),0,IF((YEAR(D68)+19)&gt;YEAR(E68),1,(12-MONTH(E68)+1)/12))))-((P68)*(IF((YEAR(D68)+19)&lt;YEAR(E68),0,IF((YEAR(D68)+19)&gt;YEAR(E68),1,(12-MONTH(E68)+1)/12))) + (R68)*(IF((YEAR(D68)+19)&lt;YEAR(E68),0,IF((YEAR(D68)+19)&gt;YEAR(E68),1,(12-MONTH(E68)+1)/12))))-(IF((((K68)*(IF(M68="",L68,IFERROR(IF(INDEX(Variablen!$I:$AT, MATCH(M68, Variablen!$A:$A, 0), MATCH((YEAR(D68)+19), Variablen!$I$3:$AT$3, 0))="",L68,INDEX(Variablen!$I:$AT, MATCH(M68, Variablen!$A:$A, 0), MATCH((YEAR(D68)+19), Variablen!$I$3:$AT$3, 0))),L68)))*(IF((YEAR(D68)+19)&lt;YEAR(E68),0,IF((YEAR(D68)+19)&gt;YEAR(E68),1,(12-MONTH(E68)+1)/12))) + (Q68)*(IF((YEAR(D68)+19)&lt;YEAR(E68),0,IF((YEAR(D68)+19)&gt;YEAR(E68),1,(12-MONTH(E68)+1)/12))))-((P68)*(IF((YEAR(D68)+19)&lt;YEAR(E68),0,IF((YEAR(D68)+19)&gt;YEAR(E68),1,(12-MONTH(E68)+1)/12))) + (R68)*(IF((YEAR(D68)+19)&lt;YEAR(E68),0,IF((YEAR(D68)+19)&gt;YEAR(E68),1,(12-MONTH(E68)+1)/12))))-(IF(OR(N68="",N68&lt;=0),0,(O68/N68)*(IF(OR(N68="",N68&lt;=0),0,IF((YEAR(D68)+19)&lt;YEAR(E68),0,IF((YEAR(D68)+19)&gt;=YEAR(E68)+N68,0,IF((YEAR(D68)+19)=YEAR(E68),(12-MONTH(E68)+1)/12,1))))))))&gt;0,(((K68)*(IF(M68="",L68,IFERROR(IF(INDEX(Variablen!$I:$AT, MATCH(M68, Variablen!$A:$A, 0), MATCH((YEAR(D68)+19), Variablen!$I$3:$AT$3, 0))="",L68,INDEX(Variablen!$I:$AT, MATCH(M68, Variablen!$A:$A, 0), MATCH((YEAR(D68)+19), Variablen!$I$3:$AT$3, 0))),L68)))*(IF((YEAR(D68)+19)&lt;YEAR(E68),0,IF((YEAR(D68)+19)&gt;YEAR(E68),1,(12-MONTH(E68)+1)/12))) + (Q68)*(IF((YEAR(D68)+19)&lt;YEAR(E68),0,IF((YEAR(D68)+19)&gt;YEAR(E68),1,(12-MONTH(E68)+1)/12))))-((P68)*(IF((YEAR(D68)+19)&lt;YEAR(E68),0,IF((YEAR(D68)+19)&gt;YEAR(E68),1,(12-MONTH(E68)+1)/12))) + (R68)*(IF((YEAR(D68)+19)&lt;YEAR(E68),0,IF((YEAR(D68)+19)&gt;YEAR(E68),1,(12-MONTH(E68)+1)/12))))-(IF(OR(N68="",N68&lt;=0),0,(O68/N68)*(IF(OR(N68="",N68&lt;=0),0,IF((YEAR(D68)+19)&lt;YEAR(E68),0,IF((YEAR(D68)+19)&gt;=YEAR(E68)+N68,0,IF((YEAR(D68)+19)=YEAR(E68),(12-MONTH(E68)+1)/12,1))))))))*TaxRate,0))-IF(19=0,O68,0))</f>
        <v/>
      </c>
      <c r="AM68" s="29">
        <f>IF(A68="","",((K68)*(IF(M68="",L68,IFERROR(IF(INDEX(Variablen!$I:$AT, MATCH(M68, Variablen!$A:$A, 0), MATCH((YEAR(D68)+20), Variablen!$I$3:$AT$3, 0))="",L68,INDEX(Variablen!$I:$AT, MATCH(M68, Variablen!$A:$A, 0), MATCH((YEAR(D68)+20), Variablen!$I$3:$AT$3, 0))),L68)))*(IF((YEAR(D68)+20)&lt;YEAR(E68),0,IF((YEAR(D68)+20)&gt;YEAR(E68),1,(12-MONTH(E68)+1)/12))) + (Q68)*(IF((YEAR(D68)+20)&lt;YEAR(E68),0,IF((YEAR(D68)+20)&gt;YEAR(E68),1,(12-MONTH(E68)+1)/12))))-((P68)*(IF((YEAR(D68)+20)&lt;YEAR(E68),0,IF((YEAR(D68)+20)&gt;YEAR(E68),1,(12-MONTH(E68)+1)/12))) + (R68)*(IF((YEAR(D68)+20)&lt;YEAR(E68),0,IF((YEAR(D68)+20)&gt;YEAR(E68),1,(12-MONTH(E68)+1)/12))))-(IF((((K68)*(IF(M68="",L68,IFERROR(IF(INDEX(Variablen!$I:$AT, MATCH(M68, Variablen!$A:$A, 0), MATCH((YEAR(D68)+20), Variablen!$I$3:$AT$3, 0))="",L68,INDEX(Variablen!$I:$AT, MATCH(M68, Variablen!$A:$A, 0), MATCH((YEAR(D68)+20), Variablen!$I$3:$AT$3, 0))),L68)))*(IF((YEAR(D68)+20)&lt;YEAR(E68),0,IF((YEAR(D68)+20)&gt;YEAR(E68),1,(12-MONTH(E68)+1)/12))) + (Q68)*(IF((YEAR(D68)+20)&lt;YEAR(E68),0,IF((YEAR(D68)+20)&gt;YEAR(E68),1,(12-MONTH(E68)+1)/12))))-((P68)*(IF((YEAR(D68)+20)&lt;YEAR(E68),0,IF((YEAR(D68)+20)&gt;YEAR(E68),1,(12-MONTH(E68)+1)/12))) + (R68)*(IF((YEAR(D68)+20)&lt;YEAR(E68),0,IF((YEAR(D68)+20)&gt;YEAR(E68),1,(12-MONTH(E68)+1)/12))))-(IF(OR(N68="",N68&lt;=0),0,(O68/N68)*(IF(OR(N68="",N68&lt;=0),0,IF((YEAR(D68)+20)&lt;YEAR(E68),0,IF((YEAR(D68)+20)&gt;=YEAR(E68)+N68,0,IF((YEAR(D68)+20)=YEAR(E68),(12-MONTH(E68)+1)/12,1))))))))&gt;0,(((K68)*(IF(M68="",L68,IFERROR(IF(INDEX(Variablen!$I:$AT, MATCH(M68, Variablen!$A:$A, 0), MATCH((YEAR(D68)+20), Variablen!$I$3:$AT$3, 0))="",L68,INDEX(Variablen!$I:$AT, MATCH(M68, Variablen!$A:$A, 0), MATCH((YEAR(D68)+20), Variablen!$I$3:$AT$3, 0))),L68)))*(IF((YEAR(D68)+20)&lt;YEAR(E68),0,IF((YEAR(D68)+20)&gt;YEAR(E68),1,(12-MONTH(E68)+1)/12))) + (Q68)*(IF((YEAR(D68)+20)&lt;YEAR(E68),0,IF((YEAR(D68)+20)&gt;YEAR(E68),1,(12-MONTH(E68)+1)/12))))-((P68)*(IF((YEAR(D68)+20)&lt;YEAR(E68),0,IF((YEAR(D68)+20)&gt;YEAR(E68),1,(12-MONTH(E68)+1)/12))) + (R68)*(IF((YEAR(D68)+20)&lt;YEAR(E68),0,IF((YEAR(D68)+20)&gt;YEAR(E68),1,(12-MONTH(E68)+1)/12))))-(IF(OR(N68="",N68&lt;=0),0,(O68/N68)*(IF(OR(N68="",N68&lt;=0),0,IF((YEAR(D68)+20)&lt;YEAR(E68),0,IF((YEAR(D68)+20)&gt;=YEAR(E68)+N68,0,IF((YEAR(D68)+20)=YEAR(E68),(12-MONTH(E68)+1)/12,1))))))))*TaxRate,0))-IF(20=0,O68,0))</f>
        <v/>
      </c>
      <c r="AN68" s="29">
        <f>IF(A68="","",S68)</f>
        <v/>
      </c>
      <c r="AO68" s="29">
        <f>IF(A68="","",AN68+T68)</f>
        <v/>
      </c>
      <c r="AP68" s="29">
        <f>IF(A68="","",AO68+U68)</f>
        <v/>
      </c>
      <c r="AQ68" s="29">
        <f>IF(A68="","",AP68+V68)</f>
        <v/>
      </c>
      <c r="AR68" s="29">
        <f>IF(A68="","",AQ68+W68)</f>
        <v/>
      </c>
      <c r="AS68" s="29">
        <f>IF(A68="","",AR68+X68)</f>
        <v/>
      </c>
      <c r="AT68" s="29">
        <f>IF(A68="","",AS68+Y68)</f>
        <v/>
      </c>
      <c r="AU68" s="29">
        <f>IF(A68="","",AT68+Z68)</f>
        <v/>
      </c>
      <c r="AV68" s="29">
        <f>IF(A68="","",AU68+AA68)</f>
        <v/>
      </c>
      <c r="AW68" s="29">
        <f>IF(A68="","",AV68+AB68)</f>
        <v/>
      </c>
      <c r="AX68" s="29">
        <f>IF(A68="","",AW68+AC68)</f>
        <v/>
      </c>
      <c r="AY68" s="29">
        <f>IF(A68="","",AX68+AD68)</f>
        <v/>
      </c>
      <c r="AZ68" s="29">
        <f>IF(A68="","",AY68+AE68)</f>
        <v/>
      </c>
      <c r="BA68" s="29">
        <f>IF(A68="","",AZ68+AF68)</f>
        <v/>
      </c>
      <c r="BB68" s="29">
        <f>IF(A68="","",BA68+AG68)</f>
        <v/>
      </c>
      <c r="BC68" s="29">
        <f>IF(A68="","",BB68+AH68)</f>
        <v/>
      </c>
      <c r="BD68" s="29">
        <f>IF(A68="","",BC68+AI68)</f>
        <v/>
      </c>
      <c r="BE68" s="29">
        <f>IF(A68="","",BD68+AJ68)</f>
        <v/>
      </c>
      <c r="BF68" s="29">
        <f>IF(A68="","",BE68+AK68)</f>
        <v/>
      </c>
      <c r="BG68" s="29">
        <f>IF(A68="","",BF68+AL68)</f>
        <v/>
      </c>
      <c r="BH68" s="29">
        <f>IF(A68="","",BG68+AM68)</f>
        <v/>
      </c>
      <c r="BI68" s="36">
        <f>IF(A68="","",(K68)*(IF((YEAR(D68)+0)&lt;YEAR(E68),0,IF((YEAR(D68)+0)&gt;YEAR(E68),1,(12-MONTH(E68)+1)/12)))*(1/(1+DiscountRate)^0))</f>
        <v/>
      </c>
      <c r="BJ68" s="36">
        <f>IF(A68="","",(K68)*(IF((YEAR(D68)+1)&lt;YEAR(E68),0,IF((YEAR(D68)+1)&gt;YEAR(E68),1,(12-MONTH(E68)+1)/12)))*(1/(1+DiscountRate)^1))</f>
        <v/>
      </c>
      <c r="BK68" s="36">
        <f>IF(A68="","",(K68)*(IF((YEAR(D68)+2)&lt;YEAR(E68),0,IF((YEAR(D68)+2)&gt;YEAR(E68),1,(12-MONTH(E68)+1)/12)))*(1/(1+DiscountRate)^2))</f>
        <v/>
      </c>
      <c r="BL68" s="36">
        <f>IF(A68="","",(K68)*(IF((YEAR(D68)+3)&lt;YEAR(E68),0,IF((YEAR(D68)+3)&gt;YEAR(E68),1,(12-MONTH(E68)+1)/12)))*(1/(1+DiscountRate)^3))</f>
        <v/>
      </c>
      <c r="BM68" s="36">
        <f>IF(A68="","",(K68)*(IF((YEAR(D68)+4)&lt;YEAR(E68),0,IF((YEAR(D68)+4)&gt;YEAR(E68),1,(12-MONTH(E68)+1)/12)))*(1/(1+DiscountRate)^4))</f>
        <v/>
      </c>
      <c r="BN68" s="36">
        <f>IF(A68="","",(K68)*(IF((YEAR(D68)+5)&lt;YEAR(E68),0,IF((YEAR(D68)+5)&gt;YEAR(E68),1,(12-MONTH(E68)+1)/12)))*(1/(1+DiscountRate)^5))</f>
        <v/>
      </c>
      <c r="BO68" s="36">
        <f>IF(A68="","",(K68)*(IF((YEAR(D68)+6)&lt;YEAR(E68),0,IF((YEAR(D68)+6)&gt;YEAR(E68),1,(12-MONTH(E68)+1)/12)))*(1/(1+DiscountRate)^6))</f>
        <v/>
      </c>
      <c r="BP68" s="36">
        <f>IF(A68="","",(K68)*(IF((YEAR(D68)+7)&lt;YEAR(E68),0,IF((YEAR(D68)+7)&gt;YEAR(E68),1,(12-MONTH(E68)+1)/12)))*(1/(1+DiscountRate)^7))</f>
        <v/>
      </c>
      <c r="BQ68" s="36">
        <f>IF(A68="","",(K68)*(IF((YEAR(D68)+8)&lt;YEAR(E68),0,IF((YEAR(D68)+8)&gt;YEAR(E68),1,(12-MONTH(E68)+1)/12)))*(1/(1+DiscountRate)^8))</f>
        <v/>
      </c>
      <c r="BR68" s="36">
        <f>IF(A68="","",(K68)*(IF((YEAR(D68)+9)&lt;YEAR(E68),0,IF((YEAR(D68)+9)&gt;YEAR(E68),1,(12-MONTH(E68)+1)/12)))*(1/(1+DiscountRate)^9))</f>
        <v/>
      </c>
      <c r="BS68" s="36">
        <f>IF(A68="","",(K68)*(IF((YEAR(D68)+10)&lt;YEAR(E68),0,IF((YEAR(D68)+10)&gt;YEAR(E68),1,(12-MONTH(E68)+1)/12)))*(1/(1+DiscountRate)^10))</f>
        <v/>
      </c>
      <c r="BT68" s="36">
        <f>IF(A68="","",(K68)*(IF((YEAR(D68)+11)&lt;YEAR(E68),0,IF((YEAR(D68)+11)&gt;YEAR(E68),1,(12-MONTH(E68)+1)/12)))*(1/(1+DiscountRate)^11))</f>
        <v/>
      </c>
      <c r="BU68" s="36">
        <f>IF(A68="","",(K68)*(IF((YEAR(D68)+12)&lt;YEAR(E68),0,IF((YEAR(D68)+12)&gt;YEAR(E68),1,(12-MONTH(E68)+1)/12)))*(1/(1+DiscountRate)^12))</f>
        <v/>
      </c>
      <c r="BV68" s="36">
        <f>IF(A68="","",(K68)*(IF((YEAR(D68)+13)&lt;YEAR(E68),0,IF((YEAR(D68)+13)&gt;YEAR(E68),1,(12-MONTH(E68)+1)/12)))*(1/(1+DiscountRate)^13))</f>
        <v/>
      </c>
      <c r="BW68" s="36">
        <f>IF(A68="","",(K68)*(IF((YEAR(D68)+14)&lt;YEAR(E68),0,IF((YEAR(D68)+14)&gt;YEAR(E68),1,(12-MONTH(E68)+1)/12)))*(1/(1+DiscountRate)^14))</f>
        <v/>
      </c>
      <c r="BX68" s="36">
        <f>IF(A68="","",(K68)*(IF((YEAR(D68)+15)&lt;YEAR(E68),0,IF((YEAR(D68)+15)&gt;YEAR(E68),1,(12-MONTH(E68)+1)/12)))*(1/(1+DiscountRate)^15))</f>
        <v/>
      </c>
      <c r="BY68" s="36">
        <f>IF(A68="","",(K68)*(IF((YEAR(D68)+16)&lt;YEAR(E68),0,IF((YEAR(D68)+16)&gt;YEAR(E68),1,(12-MONTH(E68)+1)/12)))*(1/(1+DiscountRate)^16))</f>
        <v/>
      </c>
      <c r="BZ68" s="36">
        <f>IF(A68="","",(K68)*(IF((YEAR(D68)+17)&lt;YEAR(E68),0,IF((YEAR(D68)+17)&gt;YEAR(E68),1,(12-MONTH(E68)+1)/12)))*(1/(1+DiscountRate)^17))</f>
        <v/>
      </c>
      <c r="CA68" s="36">
        <f>IF(A68="","",(K68)*(IF((YEAR(D68)+18)&lt;YEAR(E68),0,IF((YEAR(D68)+18)&gt;YEAR(E68),1,(12-MONTH(E68)+1)/12)))*(1/(1+DiscountRate)^18))</f>
        <v/>
      </c>
      <c r="CB68" s="36">
        <f>IF(A68="","",(K68)*(IF((YEAR(D68)+19)&lt;YEAR(E68),0,IF((YEAR(D68)+19)&gt;YEAR(E68),1,(12-MONTH(E68)+1)/12)))*(1/(1+DiscountRate)^19))</f>
        <v/>
      </c>
      <c r="CC68" s="36">
        <f>IF(A68="","",(K68)*(IF((YEAR(D68)+20)&lt;YEAR(E68),0,IF((YEAR(D68)+20)&gt;YEAR(E68),1,(12-MONTH(E68)+1)/12)))*(1/(1+DiscountRate)^20))</f>
        <v/>
      </c>
      <c r="CD68" s="29">
        <f>IF(A68="","",S68/(1+DiscountRate)^0+T68/(1+DiscountRate)^1+U68/(1+DiscountRate)^2+V68/(1+DiscountRate)^3+W68/(1+DiscountRate)^4+X68/(1+DiscountRate)^5+Y68/(1+DiscountRate)^6+Z68/(1+DiscountRate)^7+AA68/(1+DiscountRate)^8+AB68/(1+DiscountRate)^9+AC68/(1+DiscountRate)^10+AD68/(1+DiscountRate)^11+AE68/(1+DiscountRate)^12+AF68/(1+DiscountRate)^13+AG68/(1+DiscountRate)^14+AH68/(1+DiscountRate)^15+AI68/(1+DiscountRate)^16+AJ68/(1+DiscountRate)^17+AK68/(1+DiscountRate)^18+AL68/(1+DiscountRate)^19+AM68/(1+DiscountRate)^20)</f>
        <v/>
      </c>
      <c r="CE68" s="37">
        <f>IF(A68="","",IFERROR(IRR(OFFSET(S68,0,0,1,MIN(HorizonYears,20)+1)),"n/a"))</f>
        <v/>
      </c>
      <c r="CF68" s="28">
        <f>IF(A68="","",IFERROR(MATCH(TRUE,OFFSET(AN68,0,0,1,MIN(HorizonYears,20)+1)&gt;=0,0)-1,"n/a"))</f>
        <v/>
      </c>
      <c r="CG68" s="36">
        <f>IF(A68="","",SUM(OFFSET(BI68,0,0,1,MIN(HorizonYears,20)+1)))</f>
        <v/>
      </c>
      <c r="CH68" s="36">
        <f>IF(A68="","",IFERROR(-CD68/CG68,"n/a"))</f>
        <v/>
      </c>
    </row>
    <row r="69">
      <c r="A69" s="6">
        <f>Actions!A67</f>
        <v/>
      </c>
      <c r="B69" s="6">
        <f>Actions!B67</f>
        <v/>
      </c>
      <c r="C69" s="6">
        <f>Actions!D67</f>
        <v/>
      </c>
      <c r="D69" s="35">
        <f>Actions!E67</f>
        <v/>
      </c>
      <c r="E69" s="35">
        <f>Actions!F67</f>
        <v/>
      </c>
      <c r="F69" s="6">
        <f>Actions!G67</f>
        <v/>
      </c>
      <c r="G69" s="6">
        <f>Actions!H67</f>
        <v/>
      </c>
      <c r="H69" s="29">
        <f>Actions!I67</f>
        <v/>
      </c>
      <c r="I69" s="6">
        <f>Actions!J67</f>
        <v/>
      </c>
      <c r="J69" s="16">
        <f>Actions!K67</f>
        <v/>
      </c>
      <c r="K69" s="16">
        <f>IF(A69="","",IF(I69="%",H69*J69,J69))</f>
        <v/>
      </c>
      <c r="L69" s="16">
        <f>Actions!L67</f>
        <v/>
      </c>
      <c r="M69" s="6">
        <f>Actions!M67</f>
        <v/>
      </c>
      <c r="N69" s="28">
        <f>Actions!N67</f>
        <v/>
      </c>
      <c r="O69" s="29">
        <f>Actions!T67</f>
        <v/>
      </c>
      <c r="P69" s="29">
        <f>Actions!Y67</f>
        <v/>
      </c>
      <c r="Q69" s="29">
        <f>Actions!Z67</f>
        <v/>
      </c>
      <c r="R69" s="29">
        <f>Actions!AA67</f>
        <v/>
      </c>
      <c r="S69" s="29">
        <f>IF(A69="","",((K69)*(IF(M69="",L69,IFERROR(IF(INDEX(Variablen!$I:$AT, MATCH(M69, Variablen!$A:$A, 0), MATCH((YEAR(D69)+0), Variablen!$I$3:$AT$3, 0))="",L69,INDEX(Variablen!$I:$AT, MATCH(M69, Variablen!$A:$A, 0), MATCH((YEAR(D69)+0), Variablen!$I$3:$AT$3, 0))),L69)))*(IF((YEAR(D69)+0)&lt;YEAR(E69),0,IF((YEAR(D69)+0)&gt;YEAR(E69),1,(12-MONTH(E69)+1)/12))) + (Q69)*(IF((YEAR(D69)+0)&lt;YEAR(E69),0,IF((YEAR(D69)+0)&gt;YEAR(E69),1,(12-MONTH(E69)+1)/12))))-((P69)*(IF((YEAR(D69)+0)&lt;YEAR(E69),0,IF((YEAR(D69)+0)&gt;YEAR(E69),1,(12-MONTH(E69)+1)/12))) + (R69)*(IF((YEAR(D69)+0)&lt;YEAR(E69),0,IF((YEAR(D69)+0)&gt;YEAR(E69),1,(12-MONTH(E69)+1)/12))))-(IF((((K69)*(IF(M69="",L69,IFERROR(IF(INDEX(Variablen!$I:$AT, MATCH(M69, Variablen!$A:$A, 0), MATCH((YEAR(D69)+0), Variablen!$I$3:$AT$3, 0))="",L69,INDEX(Variablen!$I:$AT, MATCH(M69, Variablen!$A:$A, 0), MATCH((YEAR(D69)+0), Variablen!$I$3:$AT$3, 0))),L69)))*(IF((YEAR(D69)+0)&lt;YEAR(E69),0,IF((YEAR(D69)+0)&gt;YEAR(E69),1,(12-MONTH(E69)+1)/12))) + (Q69)*(IF((YEAR(D69)+0)&lt;YEAR(E69),0,IF((YEAR(D69)+0)&gt;YEAR(E69),1,(12-MONTH(E69)+1)/12))))-((P69)*(IF((YEAR(D69)+0)&lt;YEAR(E69),0,IF((YEAR(D69)+0)&gt;YEAR(E69),1,(12-MONTH(E69)+1)/12))) + (R69)*(IF((YEAR(D69)+0)&lt;YEAR(E69),0,IF((YEAR(D69)+0)&gt;YEAR(E69),1,(12-MONTH(E69)+1)/12))))-(IF(OR(N69="",N69&lt;=0),0,(O69/N69)*(IF(OR(N69="",N69&lt;=0),0,IF((YEAR(D69)+0)&lt;YEAR(E69),0,IF((YEAR(D69)+0)&gt;=YEAR(E69)+N69,0,IF((YEAR(D69)+0)=YEAR(E69),(12-MONTH(E69)+1)/12,1))))))))&gt;0,(((K69)*(IF(M69="",L69,IFERROR(IF(INDEX(Variablen!$I:$AT, MATCH(M69, Variablen!$A:$A, 0), MATCH((YEAR(D69)+0), Variablen!$I$3:$AT$3, 0))="",L69,INDEX(Variablen!$I:$AT, MATCH(M69, Variablen!$A:$A, 0), MATCH((YEAR(D69)+0), Variablen!$I$3:$AT$3, 0))),L69)))*(IF((YEAR(D69)+0)&lt;YEAR(E69),0,IF((YEAR(D69)+0)&gt;YEAR(E69),1,(12-MONTH(E69)+1)/12))) + (Q69)*(IF((YEAR(D69)+0)&lt;YEAR(E69),0,IF((YEAR(D69)+0)&gt;YEAR(E69),1,(12-MONTH(E69)+1)/12))))-((P69)*(IF((YEAR(D69)+0)&lt;YEAR(E69),0,IF((YEAR(D69)+0)&gt;YEAR(E69),1,(12-MONTH(E69)+1)/12))) + (R69)*(IF((YEAR(D69)+0)&lt;YEAR(E69),0,IF((YEAR(D69)+0)&gt;YEAR(E69),1,(12-MONTH(E69)+1)/12))))-(IF(OR(N69="",N69&lt;=0),0,(O69/N69)*(IF(OR(N69="",N69&lt;=0),0,IF((YEAR(D69)+0)&lt;YEAR(E69),0,IF((YEAR(D69)+0)&gt;=YEAR(E69)+N69,0,IF((YEAR(D69)+0)=YEAR(E69),(12-MONTH(E69)+1)/12,1))))))))*TaxRate,0))-IF(0=0,O69,0))</f>
        <v/>
      </c>
      <c r="T69" s="29">
        <f>IF(A69="","",((K69)*(IF(M69="",L69,IFERROR(IF(INDEX(Variablen!$I:$AT, MATCH(M69, Variablen!$A:$A, 0), MATCH((YEAR(D69)+1), Variablen!$I$3:$AT$3, 0))="",L69,INDEX(Variablen!$I:$AT, MATCH(M69, Variablen!$A:$A, 0), MATCH((YEAR(D69)+1), Variablen!$I$3:$AT$3, 0))),L69)))*(IF((YEAR(D69)+1)&lt;YEAR(E69),0,IF((YEAR(D69)+1)&gt;YEAR(E69),1,(12-MONTH(E69)+1)/12))) + (Q69)*(IF((YEAR(D69)+1)&lt;YEAR(E69),0,IF((YEAR(D69)+1)&gt;YEAR(E69),1,(12-MONTH(E69)+1)/12))))-((P69)*(IF((YEAR(D69)+1)&lt;YEAR(E69),0,IF((YEAR(D69)+1)&gt;YEAR(E69),1,(12-MONTH(E69)+1)/12))) + (R69)*(IF((YEAR(D69)+1)&lt;YEAR(E69),0,IF((YEAR(D69)+1)&gt;YEAR(E69),1,(12-MONTH(E69)+1)/12))))-(IF((((K69)*(IF(M69="",L69,IFERROR(IF(INDEX(Variablen!$I:$AT, MATCH(M69, Variablen!$A:$A, 0), MATCH((YEAR(D69)+1), Variablen!$I$3:$AT$3, 0))="",L69,INDEX(Variablen!$I:$AT, MATCH(M69, Variablen!$A:$A, 0), MATCH((YEAR(D69)+1), Variablen!$I$3:$AT$3, 0))),L69)))*(IF((YEAR(D69)+1)&lt;YEAR(E69),0,IF((YEAR(D69)+1)&gt;YEAR(E69),1,(12-MONTH(E69)+1)/12))) + (Q69)*(IF((YEAR(D69)+1)&lt;YEAR(E69),0,IF((YEAR(D69)+1)&gt;YEAR(E69),1,(12-MONTH(E69)+1)/12))))-((P69)*(IF((YEAR(D69)+1)&lt;YEAR(E69),0,IF((YEAR(D69)+1)&gt;YEAR(E69),1,(12-MONTH(E69)+1)/12))) + (R69)*(IF((YEAR(D69)+1)&lt;YEAR(E69),0,IF((YEAR(D69)+1)&gt;YEAR(E69),1,(12-MONTH(E69)+1)/12))))-(IF(OR(N69="",N69&lt;=0),0,(O69/N69)*(IF(OR(N69="",N69&lt;=0),0,IF((YEAR(D69)+1)&lt;YEAR(E69),0,IF((YEAR(D69)+1)&gt;=YEAR(E69)+N69,0,IF((YEAR(D69)+1)=YEAR(E69),(12-MONTH(E69)+1)/12,1))))))))&gt;0,(((K69)*(IF(M69="",L69,IFERROR(IF(INDEX(Variablen!$I:$AT, MATCH(M69, Variablen!$A:$A, 0), MATCH((YEAR(D69)+1), Variablen!$I$3:$AT$3, 0))="",L69,INDEX(Variablen!$I:$AT, MATCH(M69, Variablen!$A:$A, 0), MATCH((YEAR(D69)+1), Variablen!$I$3:$AT$3, 0))),L69)))*(IF((YEAR(D69)+1)&lt;YEAR(E69),0,IF((YEAR(D69)+1)&gt;YEAR(E69),1,(12-MONTH(E69)+1)/12))) + (Q69)*(IF((YEAR(D69)+1)&lt;YEAR(E69),0,IF((YEAR(D69)+1)&gt;YEAR(E69),1,(12-MONTH(E69)+1)/12))))-((P69)*(IF((YEAR(D69)+1)&lt;YEAR(E69),0,IF((YEAR(D69)+1)&gt;YEAR(E69),1,(12-MONTH(E69)+1)/12))) + (R69)*(IF((YEAR(D69)+1)&lt;YEAR(E69),0,IF((YEAR(D69)+1)&gt;YEAR(E69),1,(12-MONTH(E69)+1)/12))))-(IF(OR(N69="",N69&lt;=0),0,(O69/N69)*(IF(OR(N69="",N69&lt;=0),0,IF((YEAR(D69)+1)&lt;YEAR(E69),0,IF((YEAR(D69)+1)&gt;=YEAR(E69)+N69,0,IF((YEAR(D69)+1)=YEAR(E69),(12-MONTH(E69)+1)/12,1))))))))*TaxRate,0))-IF(1=0,O69,0))</f>
        <v/>
      </c>
      <c r="U69" s="29">
        <f>IF(A69="","",((K69)*(IF(M69="",L69,IFERROR(IF(INDEX(Variablen!$I:$AT, MATCH(M69, Variablen!$A:$A, 0), MATCH((YEAR(D69)+2), Variablen!$I$3:$AT$3, 0))="",L69,INDEX(Variablen!$I:$AT, MATCH(M69, Variablen!$A:$A, 0), MATCH((YEAR(D69)+2), Variablen!$I$3:$AT$3, 0))),L69)))*(IF((YEAR(D69)+2)&lt;YEAR(E69),0,IF((YEAR(D69)+2)&gt;YEAR(E69),1,(12-MONTH(E69)+1)/12))) + (Q69)*(IF((YEAR(D69)+2)&lt;YEAR(E69),0,IF((YEAR(D69)+2)&gt;YEAR(E69),1,(12-MONTH(E69)+1)/12))))-((P69)*(IF((YEAR(D69)+2)&lt;YEAR(E69),0,IF((YEAR(D69)+2)&gt;YEAR(E69),1,(12-MONTH(E69)+1)/12))) + (R69)*(IF((YEAR(D69)+2)&lt;YEAR(E69),0,IF((YEAR(D69)+2)&gt;YEAR(E69),1,(12-MONTH(E69)+1)/12))))-(IF((((K69)*(IF(M69="",L69,IFERROR(IF(INDEX(Variablen!$I:$AT, MATCH(M69, Variablen!$A:$A, 0), MATCH((YEAR(D69)+2), Variablen!$I$3:$AT$3, 0))="",L69,INDEX(Variablen!$I:$AT, MATCH(M69, Variablen!$A:$A, 0), MATCH((YEAR(D69)+2), Variablen!$I$3:$AT$3, 0))),L69)))*(IF((YEAR(D69)+2)&lt;YEAR(E69),0,IF((YEAR(D69)+2)&gt;YEAR(E69),1,(12-MONTH(E69)+1)/12))) + (Q69)*(IF((YEAR(D69)+2)&lt;YEAR(E69),0,IF((YEAR(D69)+2)&gt;YEAR(E69),1,(12-MONTH(E69)+1)/12))))-((P69)*(IF((YEAR(D69)+2)&lt;YEAR(E69),0,IF((YEAR(D69)+2)&gt;YEAR(E69),1,(12-MONTH(E69)+1)/12))) + (R69)*(IF((YEAR(D69)+2)&lt;YEAR(E69),0,IF((YEAR(D69)+2)&gt;YEAR(E69),1,(12-MONTH(E69)+1)/12))))-(IF(OR(N69="",N69&lt;=0),0,(O69/N69)*(IF(OR(N69="",N69&lt;=0),0,IF((YEAR(D69)+2)&lt;YEAR(E69),0,IF((YEAR(D69)+2)&gt;=YEAR(E69)+N69,0,IF((YEAR(D69)+2)=YEAR(E69),(12-MONTH(E69)+1)/12,1))))))))&gt;0,(((K69)*(IF(M69="",L69,IFERROR(IF(INDEX(Variablen!$I:$AT, MATCH(M69, Variablen!$A:$A, 0), MATCH((YEAR(D69)+2), Variablen!$I$3:$AT$3, 0))="",L69,INDEX(Variablen!$I:$AT, MATCH(M69, Variablen!$A:$A, 0), MATCH((YEAR(D69)+2), Variablen!$I$3:$AT$3, 0))),L69)))*(IF((YEAR(D69)+2)&lt;YEAR(E69),0,IF((YEAR(D69)+2)&gt;YEAR(E69),1,(12-MONTH(E69)+1)/12))) + (Q69)*(IF((YEAR(D69)+2)&lt;YEAR(E69),0,IF((YEAR(D69)+2)&gt;YEAR(E69),1,(12-MONTH(E69)+1)/12))))-((P69)*(IF((YEAR(D69)+2)&lt;YEAR(E69),0,IF((YEAR(D69)+2)&gt;YEAR(E69),1,(12-MONTH(E69)+1)/12))) + (R69)*(IF((YEAR(D69)+2)&lt;YEAR(E69),0,IF((YEAR(D69)+2)&gt;YEAR(E69),1,(12-MONTH(E69)+1)/12))))-(IF(OR(N69="",N69&lt;=0),0,(O69/N69)*(IF(OR(N69="",N69&lt;=0),0,IF((YEAR(D69)+2)&lt;YEAR(E69),0,IF((YEAR(D69)+2)&gt;=YEAR(E69)+N69,0,IF((YEAR(D69)+2)=YEAR(E69),(12-MONTH(E69)+1)/12,1))))))))*TaxRate,0))-IF(2=0,O69,0))</f>
        <v/>
      </c>
      <c r="V69" s="29">
        <f>IF(A69="","",((K69)*(IF(M69="",L69,IFERROR(IF(INDEX(Variablen!$I:$AT, MATCH(M69, Variablen!$A:$A, 0), MATCH((YEAR(D69)+3), Variablen!$I$3:$AT$3, 0))="",L69,INDEX(Variablen!$I:$AT, MATCH(M69, Variablen!$A:$A, 0), MATCH((YEAR(D69)+3), Variablen!$I$3:$AT$3, 0))),L69)))*(IF((YEAR(D69)+3)&lt;YEAR(E69),0,IF((YEAR(D69)+3)&gt;YEAR(E69),1,(12-MONTH(E69)+1)/12))) + (Q69)*(IF((YEAR(D69)+3)&lt;YEAR(E69),0,IF((YEAR(D69)+3)&gt;YEAR(E69),1,(12-MONTH(E69)+1)/12))))-((P69)*(IF((YEAR(D69)+3)&lt;YEAR(E69),0,IF((YEAR(D69)+3)&gt;YEAR(E69),1,(12-MONTH(E69)+1)/12))) + (R69)*(IF((YEAR(D69)+3)&lt;YEAR(E69),0,IF((YEAR(D69)+3)&gt;YEAR(E69),1,(12-MONTH(E69)+1)/12))))-(IF((((K69)*(IF(M69="",L69,IFERROR(IF(INDEX(Variablen!$I:$AT, MATCH(M69, Variablen!$A:$A, 0), MATCH((YEAR(D69)+3), Variablen!$I$3:$AT$3, 0))="",L69,INDEX(Variablen!$I:$AT, MATCH(M69, Variablen!$A:$A, 0), MATCH((YEAR(D69)+3), Variablen!$I$3:$AT$3, 0))),L69)))*(IF((YEAR(D69)+3)&lt;YEAR(E69),0,IF((YEAR(D69)+3)&gt;YEAR(E69),1,(12-MONTH(E69)+1)/12))) + (Q69)*(IF((YEAR(D69)+3)&lt;YEAR(E69),0,IF((YEAR(D69)+3)&gt;YEAR(E69),1,(12-MONTH(E69)+1)/12))))-((P69)*(IF((YEAR(D69)+3)&lt;YEAR(E69),0,IF((YEAR(D69)+3)&gt;YEAR(E69),1,(12-MONTH(E69)+1)/12))) + (R69)*(IF((YEAR(D69)+3)&lt;YEAR(E69),0,IF((YEAR(D69)+3)&gt;YEAR(E69),1,(12-MONTH(E69)+1)/12))))-(IF(OR(N69="",N69&lt;=0),0,(O69/N69)*(IF(OR(N69="",N69&lt;=0),0,IF((YEAR(D69)+3)&lt;YEAR(E69),0,IF((YEAR(D69)+3)&gt;=YEAR(E69)+N69,0,IF((YEAR(D69)+3)=YEAR(E69),(12-MONTH(E69)+1)/12,1))))))))&gt;0,(((K69)*(IF(M69="",L69,IFERROR(IF(INDEX(Variablen!$I:$AT, MATCH(M69, Variablen!$A:$A, 0), MATCH((YEAR(D69)+3), Variablen!$I$3:$AT$3, 0))="",L69,INDEX(Variablen!$I:$AT, MATCH(M69, Variablen!$A:$A, 0), MATCH((YEAR(D69)+3), Variablen!$I$3:$AT$3, 0))),L69)))*(IF((YEAR(D69)+3)&lt;YEAR(E69),0,IF((YEAR(D69)+3)&gt;YEAR(E69),1,(12-MONTH(E69)+1)/12))) + (Q69)*(IF((YEAR(D69)+3)&lt;YEAR(E69),0,IF((YEAR(D69)+3)&gt;YEAR(E69),1,(12-MONTH(E69)+1)/12))))-((P69)*(IF((YEAR(D69)+3)&lt;YEAR(E69),0,IF((YEAR(D69)+3)&gt;YEAR(E69),1,(12-MONTH(E69)+1)/12))) + (R69)*(IF((YEAR(D69)+3)&lt;YEAR(E69),0,IF((YEAR(D69)+3)&gt;YEAR(E69),1,(12-MONTH(E69)+1)/12))))-(IF(OR(N69="",N69&lt;=0),0,(O69/N69)*(IF(OR(N69="",N69&lt;=0),0,IF((YEAR(D69)+3)&lt;YEAR(E69),0,IF((YEAR(D69)+3)&gt;=YEAR(E69)+N69,0,IF((YEAR(D69)+3)=YEAR(E69),(12-MONTH(E69)+1)/12,1))))))))*TaxRate,0))-IF(3=0,O69,0))</f>
        <v/>
      </c>
      <c r="W69" s="29">
        <f>IF(A69="","",((K69)*(IF(M69="",L69,IFERROR(IF(INDEX(Variablen!$I:$AT, MATCH(M69, Variablen!$A:$A, 0), MATCH((YEAR(D69)+4), Variablen!$I$3:$AT$3, 0))="",L69,INDEX(Variablen!$I:$AT, MATCH(M69, Variablen!$A:$A, 0), MATCH((YEAR(D69)+4), Variablen!$I$3:$AT$3, 0))),L69)))*(IF((YEAR(D69)+4)&lt;YEAR(E69),0,IF((YEAR(D69)+4)&gt;YEAR(E69),1,(12-MONTH(E69)+1)/12))) + (Q69)*(IF((YEAR(D69)+4)&lt;YEAR(E69),0,IF((YEAR(D69)+4)&gt;YEAR(E69),1,(12-MONTH(E69)+1)/12))))-((P69)*(IF((YEAR(D69)+4)&lt;YEAR(E69),0,IF((YEAR(D69)+4)&gt;YEAR(E69),1,(12-MONTH(E69)+1)/12))) + (R69)*(IF((YEAR(D69)+4)&lt;YEAR(E69),0,IF((YEAR(D69)+4)&gt;YEAR(E69),1,(12-MONTH(E69)+1)/12))))-(IF((((K69)*(IF(M69="",L69,IFERROR(IF(INDEX(Variablen!$I:$AT, MATCH(M69, Variablen!$A:$A, 0), MATCH((YEAR(D69)+4), Variablen!$I$3:$AT$3, 0))="",L69,INDEX(Variablen!$I:$AT, MATCH(M69, Variablen!$A:$A, 0), MATCH((YEAR(D69)+4), Variablen!$I$3:$AT$3, 0))),L69)))*(IF((YEAR(D69)+4)&lt;YEAR(E69),0,IF((YEAR(D69)+4)&gt;YEAR(E69),1,(12-MONTH(E69)+1)/12))) + (Q69)*(IF((YEAR(D69)+4)&lt;YEAR(E69),0,IF((YEAR(D69)+4)&gt;YEAR(E69),1,(12-MONTH(E69)+1)/12))))-((P69)*(IF((YEAR(D69)+4)&lt;YEAR(E69),0,IF((YEAR(D69)+4)&gt;YEAR(E69),1,(12-MONTH(E69)+1)/12))) + (R69)*(IF((YEAR(D69)+4)&lt;YEAR(E69),0,IF((YEAR(D69)+4)&gt;YEAR(E69),1,(12-MONTH(E69)+1)/12))))-(IF(OR(N69="",N69&lt;=0),0,(O69/N69)*(IF(OR(N69="",N69&lt;=0),0,IF((YEAR(D69)+4)&lt;YEAR(E69),0,IF((YEAR(D69)+4)&gt;=YEAR(E69)+N69,0,IF((YEAR(D69)+4)=YEAR(E69),(12-MONTH(E69)+1)/12,1))))))))&gt;0,(((K69)*(IF(M69="",L69,IFERROR(IF(INDEX(Variablen!$I:$AT, MATCH(M69, Variablen!$A:$A, 0), MATCH((YEAR(D69)+4), Variablen!$I$3:$AT$3, 0))="",L69,INDEX(Variablen!$I:$AT, MATCH(M69, Variablen!$A:$A, 0), MATCH((YEAR(D69)+4), Variablen!$I$3:$AT$3, 0))),L69)))*(IF((YEAR(D69)+4)&lt;YEAR(E69),0,IF((YEAR(D69)+4)&gt;YEAR(E69),1,(12-MONTH(E69)+1)/12))) + (Q69)*(IF((YEAR(D69)+4)&lt;YEAR(E69),0,IF((YEAR(D69)+4)&gt;YEAR(E69),1,(12-MONTH(E69)+1)/12))))-((P69)*(IF((YEAR(D69)+4)&lt;YEAR(E69),0,IF((YEAR(D69)+4)&gt;YEAR(E69),1,(12-MONTH(E69)+1)/12))) + (R69)*(IF((YEAR(D69)+4)&lt;YEAR(E69),0,IF((YEAR(D69)+4)&gt;YEAR(E69),1,(12-MONTH(E69)+1)/12))))-(IF(OR(N69="",N69&lt;=0),0,(O69/N69)*(IF(OR(N69="",N69&lt;=0),0,IF((YEAR(D69)+4)&lt;YEAR(E69),0,IF((YEAR(D69)+4)&gt;=YEAR(E69)+N69,0,IF((YEAR(D69)+4)=YEAR(E69),(12-MONTH(E69)+1)/12,1))))))))*TaxRate,0))-IF(4=0,O69,0))</f>
        <v/>
      </c>
      <c r="X69" s="29">
        <f>IF(A69="","",((K69)*(IF(M69="",L69,IFERROR(IF(INDEX(Variablen!$I:$AT, MATCH(M69, Variablen!$A:$A, 0), MATCH((YEAR(D69)+5), Variablen!$I$3:$AT$3, 0))="",L69,INDEX(Variablen!$I:$AT, MATCH(M69, Variablen!$A:$A, 0), MATCH((YEAR(D69)+5), Variablen!$I$3:$AT$3, 0))),L69)))*(IF((YEAR(D69)+5)&lt;YEAR(E69),0,IF((YEAR(D69)+5)&gt;YEAR(E69),1,(12-MONTH(E69)+1)/12))) + (Q69)*(IF((YEAR(D69)+5)&lt;YEAR(E69),0,IF((YEAR(D69)+5)&gt;YEAR(E69),1,(12-MONTH(E69)+1)/12))))-((P69)*(IF((YEAR(D69)+5)&lt;YEAR(E69),0,IF((YEAR(D69)+5)&gt;YEAR(E69),1,(12-MONTH(E69)+1)/12))) + (R69)*(IF((YEAR(D69)+5)&lt;YEAR(E69),0,IF((YEAR(D69)+5)&gt;YEAR(E69),1,(12-MONTH(E69)+1)/12))))-(IF((((K69)*(IF(M69="",L69,IFERROR(IF(INDEX(Variablen!$I:$AT, MATCH(M69, Variablen!$A:$A, 0), MATCH((YEAR(D69)+5), Variablen!$I$3:$AT$3, 0))="",L69,INDEX(Variablen!$I:$AT, MATCH(M69, Variablen!$A:$A, 0), MATCH((YEAR(D69)+5), Variablen!$I$3:$AT$3, 0))),L69)))*(IF((YEAR(D69)+5)&lt;YEAR(E69),0,IF((YEAR(D69)+5)&gt;YEAR(E69),1,(12-MONTH(E69)+1)/12))) + (Q69)*(IF((YEAR(D69)+5)&lt;YEAR(E69),0,IF((YEAR(D69)+5)&gt;YEAR(E69),1,(12-MONTH(E69)+1)/12))))-((P69)*(IF((YEAR(D69)+5)&lt;YEAR(E69),0,IF((YEAR(D69)+5)&gt;YEAR(E69),1,(12-MONTH(E69)+1)/12))) + (R69)*(IF((YEAR(D69)+5)&lt;YEAR(E69),0,IF((YEAR(D69)+5)&gt;YEAR(E69),1,(12-MONTH(E69)+1)/12))))-(IF(OR(N69="",N69&lt;=0),0,(O69/N69)*(IF(OR(N69="",N69&lt;=0),0,IF((YEAR(D69)+5)&lt;YEAR(E69),0,IF((YEAR(D69)+5)&gt;=YEAR(E69)+N69,0,IF((YEAR(D69)+5)=YEAR(E69),(12-MONTH(E69)+1)/12,1))))))))&gt;0,(((K69)*(IF(M69="",L69,IFERROR(IF(INDEX(Variablen!$I:$AT, MATCH(M69, Variablen!$A:$A, 0), MATCH((YEAR(D69)+5), Variablen!$I$3:$AT$3, 0))="",L69,INDEX(Variablen!$I:$AT, MATCH(M69, Variablen!$A:$A, 0), MATCH((YEAR(D69)+5), Variablen!$I$3:$AT$3, 0))),L69)))*(IF((YEAR(D69)+5)&lt;YEAR(E69),0,IF((YEAR(D69)+5)&gt;YEAR(E69),1,(12-MONTH(E69)+1)/12))) + (Q69)*(IF((YEAR(D69)+5)&lt;YEAR(E69),0,IF((YEAR(D69)+5)&gt;YEAR(E69),1,(12-MONTH(E69)+1)/12))))-((P69)*(IF((YEAR(D69)+5)&lt;YEAR(E69),0,IF((YEAR(D69)+5)&gt;YEAR(E69),1,(12-MONTH(E69)+1)/12))) + (R69)*(IF((YEAR(D69)+5)&lt;YEAR(E69),0,IF((YEAR(D69)+5)&gt;YEAR(E69),1,(12-MONTH(E69)+1)/12))))-(IF(OR(N69="",N69&lt;=0),0,(O69/N69)*(IF(OR(N69="",N69&lt;=0),0,IF((YEAR(D69)+5)&lt;YEAR(E69),0,IF((YEAR(D69)+5)&gt;=YEAR(E69)+N69,0,IF((YEAR(D69)+5)=YEAR(E69),(12-MONTH(E69)+1)/12,1))))))))*TaxRate,0))-IF(5=0,O69,0))</f>
        <v/>
      </c>
      <c r="Y69" s="29">
        <f>IF(A69="","",((K69)*(IF(M69="",L69,IFERROR(IF(INDEX(Variablen!$I:$AT, MATCH(M69, Variablen!$A:$A, 0), MATCH((YEAR(D69)+6), Variablen!$I$3:$AT$3, 0))="",L69,INDEX(Variablen!$I:$AT, MATCH(M69, Variablen!$A:$A, 0), MATCH((YEAR(D69)+6), Variablen!$I$3:$AT$3, 0))),L69)))*(IF((YEAR(D69)+6)&lt;YEAR(E69),0,IF((YEAR(D69)+6)&gt;YEAR(E69),1,(12-MONTH(E69)+1)/12))) + (Q69)*(IF((YEAR(D69)+6)&lt;YEAR(E69),0,IF((YEAR(D69)+6)&gt;YEAR(E69),1,(12-MONTH(E69)+1)/12))))-((P69)*(IF((YEAR(D69)+6)&lt;YEAR(E69),0,IF((YEAR(D69)+6)&gt;YEAR(E69),1,(12-MONTH(E69)+1)/12))) + (R69)*(IF((YEAR(D69)+6)&lt;YEAR(E69),0,IF((YEAR(D69)+6)&gt;YEAR(E69),1,(12-MONTH(E69)+1)/12))))-(IF((((K69)*(IF(M69="",L69,IFERROR(IF(INDEX(Variablen!$I:$AT, MATCH(M69, Variablen!$A:$A, 0), MATCH((YEAR(D69)+6), Variablen!$I$3:$AT$3, 0))="",L69,INDEX(Variablen!$I:$AT, MATCH(M69, Variablen!$A:$A, 0), MATCH((YEAR(D69)+6), Variablen!$I$3:$AT$3, 0))),L69)))*(IF((YEAR(D69)+6)&lt;YEAR(E69),0,IF((YEAR(D69)+6)&gt;YEAR(E69),1,(12-MONTH(E69)+1)/12))) + (Q69)*(IF((YEAR(D69)+6)&lt;YEAR(E69),0,IF((YEAR(D69)+6)&gt;YEAR(E69),1,(12-MONTH(E69)+1)/12))))-((P69)*(IF((YEAR(D69)+6)&lt;YEAR(E69),0,IF((YEAR(D69)+6)&gt;YEAR(E69),1,(12-MONTH(E69)+1)/12))) + (R69)*(IF((YEAR(D69)+6)&lt;YEAR(E69),0,IF((YEAR(D69)+6)&gt;YEAR(E69),1,(12-MONTH(E69)+1)/12))))-(IF(OR(N69="",N69&lt;=0),0,(O69/N69)*(IF(OR(N69="",N69&lt;=0),0,IF((YEAR(D69)+6)&lt;YEAR(E69),0,IF((YEAR(D69)+6)&gt;=YEAR(E69)+N69,0,IF((YEAR(D69)+6)=YEAR(E69),(12-MONTH(E69)+1)/12,1))))))))&gt;0,(((K69)*(IF(M69="",L69,IFERROR(IF(INDEX(Variablen!$I:$AT, MATCH(M69, Variablen!$A:$A, 0), MATCH((YEAR(D69)+6), Variablen!$I$3:$AT$3, 0))="",L69,INDEX(Variablen!$I:$AT, MATCH(M69, Variablen!$A:$A, 0), MATCH((YEAR(D69)+6), Variablen!$I$3:$AT$3, 0))),L69)))*(IF((YEAR(D69)+6)&lt;YEAR(E69),0,IF((YEAR(D69)+6)&gt;YEAR(E69),1,(12-MONTH(E69)+1)/12))) + (Q69)*(IF((YEAR(D69)+6)&lt;YEAR(E69),0,IF((YEAR(D69)+6)&gt;YEAR(E69),1,(12-MONTH(E69)+1)/12))))-((P69)*(IF((YEAR(D69)+6)&lt;YEAR(E69),0,IF((YEAR(D69)+6)&gt;YEAR(E69),1,(12-MONTH(E69)+1)/12))) + (R69)*(IF((YEAR(D69)+6)&lt;YEAR(E69),0,IF((YEAR(D69)+6)&gt;YEAR(E69),1,(12-MONTH(E69)+1)/12))))-(IF(OR(N69="",N69&lt;=0),0,(O69/N69)*(IF(OR(N69="",N69&lt;=0),0,IF((YEAR(D69)+6)&lt;YEAR(E69),0,IF((YEAR(D69)+6)&gt;=YEAR(E69)+N69,0,IF((YEAR(D69)+6)=YEAR(E69),(12-MONTH(E69)+1)/12,1))))))))*TaxRate,0))-IF(6=0,O69,0))</f>
        <v/>
      </c>
      <c r="Z69" s="29">
        <f>IF(A69="","",((K69)*(IF(M69="",L69,IFERROR(IF(INDEX(Variablen!$I:$AT, MATCH(M69, Variablen!$A:$A, 0), MATCH((YEAR(D69)+7), Variablen!$I$3:$AT$3, 0))="",L69,INDEX(Variablen!$I:$AT, MATCH(M69, Variablen!$A:$A, 0), MATCH((YEAR(D69)+7), Variablen!$I$3:$AT$3, 0))),L69)))*(IF((YEAR(D69)+7)&lt;YEAR(E69),0,IF((YEAR(D69)+7)&gt;YEAR(E69),1,(12-MONTH(E69)+1)/12))) + (Q69)*(IF((YEAR(D69)+7)&lt;YEAR(E69),0,IF((YEAR(D69)+7)&gt;YEAR(E69),1,(12-MONTH(E69)+1)/12))))-((P69)*(IF((YEAR(D69)+7)&lt;YEAR(E69),0,IF((YEAR(D69)+7)&gt;YEAR(E69),1,(12-MONTH(E69)+1)/12))) + (R69)*(IF((YEAR(D69)+7)&lt;YEAR(E69),0,IF((YEAR(D69)+7)&gt;YEAR(E69),1,(12-MONTH(E69)+1)/12))))-(IF((((K69)*(IF(M69="",L69,IFERROR(IF(INDEX(Variablen!$I:$AT, MATCH(M69, Variablen!$A:$A, 0), MATCH((YEAR(D69)+7), Variablen!$I$3:$AT$3, 0))="",L69,INDEX(Variablen!$I:$AT, MATCH(M69, Variablen!$A:$A, 0), MATCH((YEAR(D69)+7), Variablen!$I$3:$AT$3, 0))),L69)))*(IF((YEAR(D69)+7)&lt;YEAR(E69),0,IF((YEAR(D69)+7)&gt;YEAR(E69),1,(12-MONTH(E69)+1)/12))) + (Q69)*(IF((YEAR(D69)+7)&lt;YEAR(E69),0,IF((YEAR(D69)+7)&gt;YEAR(E69),1,(12-MONTH(E69)+1)/12))))-((P69)*(IF((YEAR(D69)+7)&lt;YEAR(E69),0,IF((YEAR(D69)+7)&gt;YEAR(E69),1,(12-MONTH(E69)+1)/12))) + (R69)*(IF((YEAR(D69)+7)&lt;YEAR(E69),0,IF((YEAR(D69)+7)&gt;YEAR(E69),1,(12-MONTH(E69)+1)/12))))-(IF(OR(N69="",N69&lt;=0),0,(O69/N69)*(IF(OR(N69="",N69&lt;=0),0,IF((YEAR(D69)+7)&lt;YEAR(E69),0,IF((YEAR(D69)+7)&gt;=YEAR(E69)+N69,0,IF((YEAR(D69)+7)=YEAR(E69),(12-MONTH(E69)+1)/12,1))))))))&gt;0,(((K69)*(IF(M69="",L69,IFERROR(IF(INDEX(Variablen!$I:$AT, MATCH(M69, Variablen!$A:$A, 0), MATCH((YEAR(D69)+7), Variablen!$I$3:$AT$3, 0))="",L69,INDEX(Variablen!$I:$AT, MATCH(M69, Variablen!$A:$A, 0), MATCH((YEAR(D69)+7), Variablen!$I$3:$AT$3, 0))),L69)))*(IF((YEAR(D69)+7)&lt;YEAR(E69),0,IF((YEAR(D69)+7)&gt;YEAR(E69),1,(12-MONTH(E69)+1)/12))) + (Q69)*(IF((YEAR(D69)+7)&lt;YEAR(E69),0,IF((YEAR(D69)+7)&gt;YEAR(E69),1,(12-MONTH(E69)+1)/12))))-((P69)*(IF((YEAR(D69)+7)&lt;YEAR(E69),0,IF((YEAR(D69)+7)&gt;YEAR(E69),1,(12-MONTH(E69)+1)/12))) + (R69)*(IF((YEAR(D69)+7)&lt;YEAR(E69),0,IF((YEAR(D69)+7)&gt;YEAR(E69),1,(12-MONTH(E69)+1)/12))))-(IF(OR(N69="",N69&lt;=0),0,(O69/N69)*(IF(OR(N69="",N69&lt;=0),0,IF((YEAR(D69)+7)&lt;YEAR(E69),0,IF((YEAR(D69)+7)&gt;=YEAR(E69)+N69,0,IF((YEAR(D69)+7)=YEAR(E69),(12-MONTH(E69)+1)/12,1))))))))*TaxRate,0))-IF(7=0,O69,0))</f>
        <v/>
      </c>
      <c r="AA69" s="29">
        <f>IF(A69="","",((K69)*(IF(M69="",L69,IFERROR(IF(INDEX(Variablen!$I:$AT, MATCH(M69, Variablen!$A:$A, 0), MATCH((YEAR(D69)+8), Variablen!$I$3:$AT$3, 0))="",L69,INDEX(Variablen!$I:$AT, MATCH(M69, Variablen!$A:$A, 0), MATCH((YEAR(D69)+8), Variablen!$I$3:$AT$3, 0))),L69)))*(IF((YEAR(D69)+8)&lt;YEAR(E69),0,IF((YEAR(D69)+8)&gt;YEAR(E69),1,(12-MONTH(E69)+1)/12))) + (Q69)*(IF((YEAR(D69)+8)&lt;YEAR(E69),0,IF((YEAR(D69)+8)&gt;YEAR(E69),1,(12-MONTH(E69)+1)/12))))-((P69)*(IF((YEAR(D69)+8)&lt;YEAR(E69),0,IF((YEAR(D69)+8)&gt;YEAR(E69),1,(12-MONTH(E69)+1)/12))) + (R69)*(IF((YEAR(D69)+8)&lt;YEAR(E69),0,IF((YEAR(D69)+8)&gt;YEAR(E69),1,(12-MONTH(E69)+1)/12))))-(IF((((K69)*(IF(M69="",L69,IFERROR(IF(INDEX(Variablen!$I:$AT, MATCH(M69, Variablen!$A:$A, 0), MATCH((YEAR(D69)+8), Variablen!$I$3:$AT$3, 0))="",L69,INDEX(Variablen!$I:$AT, MATCH(M69, Variablen!$A:$A, 0), MATCH((YEAR(D69)+8), Variablen!$I$3:$AT$3, 0))),L69)))*(IF((YEAR(D69)+8)&lt;YEAR(E69),0,IF((YEAR(D69)+8)&gt;YEAR(E69),1,(12-MONTH(E69)+1)/12))) + (Q69)*(IF((YEAR(D69)+8)&lt;YEAR(E69),0,IF((YEAR(D69)+8)&gt;YEAR(E69),1,(12-MONTH(E69)+1)/12))))-((P69)*(IF((YEAR(D69)+8)&lt;YEAR(E69),0,IF((YEAR(D69)+8)&gt;YEAR(E69),1,(12-MONTH(E69)+1)/12))) + (R69)*(IF((YEAR(D69)+8)&lt;YEAR(E69),0,IF((YEAR(D69)+8)&gt;YEAR(E69),1,(12-MONTH(E69)+1)/12))))-(IF(OR(N69="",N69&lt;=0),0,(O69/N69)*(IF(OR(N69="",N69&lt;=0),0,IF((YEAR(D69)+8)&lt;YEAR(E69),0,IF((YEAR(D69)+8)&gt;=YEAR(E69)+N69,0,IF((YEAR(D69)+8)=YEAR(E69),(12-MONTH(E69)+1)/12,1))))))))&gt;0,(((K69)*(IF(M69="",L69,IFERROR(IF(INDEX(Variablen!$I:$AT, MATCH(M69, Variablen!$A:$A, 0), MATCH((YEAR(D69)+8), Variablen!$I$3:$AT$3, 0))="",L69,INDEX(Variablen!$I:$AT, MATCH(M69, Variablen!$A:$A, 0), MATCH((YEAR(D69)+8), Variablen!$I$3:$AT$3, 0))),L69)))*(IF((YEAR(D69)+8)&lt;YEAR(E69),0,IF((YEAR(D69)+8)&gt;YEAR(E69),1,(12-MONTH(E69)+1)/12))) + (Q69)*(IF((YEAR(D69)+8)&lt;YEAR(E69),0,IF((YEAR(D69)+8)&gt;YEAR(E69),1,(12-MONTH(E69)+1)/12))))-((P69)*(IF((YEAR(D69)+8)&lt;YEAR(E69),0,IF((YEAR(D69)+8)&gt;YEAR(E69),1,(12-MONTH(E69)+1)/12))) + (R69)*(IF((YEAR(D69)+8)&lt;YEAR(E69),0,IF((YEAR(D69)+8)&gt;YEAR(E69),1,(12-MONTH(E69)+1)/12))))-(IF(OR(N69="",N69&lt;=0),0,(O69/N69)*(IF(OR(N69="",N69&lt;=0),0,IF((YEAR(D69)+8)&lt;YEAR(E69),0,IF((YEAR(D69)+8)&gt;=YEAR(E69)+N69,0,IF((YEAR(D69)+8)=YEAR(E69),(12-MONTH(E69)+1)/12,1))))))))*TaxRate,0))-IF(8=0,O69,0))</f>
        <v/>
      </c>
      <c r="AB69" s="29">
        <f>IF(A69="","",((K69)*(IF(M69="",L69,IFERROR(IF(INDEX(Variablen!$I:$AT, MATCH(M69, Variablen!$A:$A, 0), MATCH((YEAR(D69)+9), Variablen!$I$3:$AT$3, 0))="",L69,INDEX(Variablen!$I:$AT, MATCH(M69, Variablen!$A:$A, 0), MATCH((YEAR(D69)+9), Variablen!$I$3:$AT$3, 0))),L69)))*(IF((YEAR(D69)+9)&lt;YEAR(E69),0,IF((YEAR(D69)+9)&gt;YEAR(E69),1,(12-MONTH(E69)+1)/12))) + (Q69)*(IF((YEAR(D69)+9)&lt;YEAR(E69),0,IF((YEAR(D69)+9)&gt;YEAR(E69),1,(12-MONTH(E69)+1)/12))))-((P69)*(IF((YEAR(D69)+9)&lt;YEAR(E69),0,IF((YEAR(D69)+9)&gt;YEAR(E69),1,(12-MONTH(E69)+1)/12))) + (R69)*(IF((YEAR(D69)+9)&lt;YEAR(E69),0,IF((YEAR(D69)+9)&gt;YEAR(E69),1,(12-MONTH(E69)+1)/12))))-(IF((((K69)*(IF(M69="",L69,IFERROR(IF(INDEX(Variablen!$I:$AT, MATCH(M69, Variablen!$A:$A, 0), MATCH((YEAR(D69)+9), Variablen!$I$3:$AT$3, 0))="",L69,INDEX(Variablen!$I:$AT, MATCH(M69, Variablen!$A:$A, 0), MATCH((YEAR(D69)+9), Variablen!$I$3:$AT$3, 0))),L69)))*(IF((YEAR(D69)+9)&lt;YEAR(E69),0,IF((YEAR(D69)+9)&gt;YEAR(E69),1,(12-MONTH(E69)+1)/12))) + (Q69)*(IF((YEAR(D69)+9)&lt;YEAR(E69),0,IF((YEAR(D69)+9)&gt;YEAR(E69),1,(12-MONTH(E69)+1)/12))))-((P69)*(IF((YEAR(D69)+9)&lt;YEAR(E69),0,IF((YEAR(D69)+9)&gt;YEAR(E69),1,(12-MONTH(E69)+1)/12))) + (R69)*(IF((YEAR(D69)+9)&lt;YEAR(E69),0,IF((YEAR(D69)+9)&gt;YEAR(E69),1,(12-MONTH(E69)+1)/12))))-(IF(OR(N69="",N69&lt;=0),0,(O69/N69)*(IF(OR(N69="",N69&lt;=0),0,IF((YEAR(D69)+9)&lt;YEAR(E69),0,IF((YEAR(D69)+9)&gt;=YEAR(E69)+N69,0,IF((YEAR(D69)+9)=YEAR(E69),(12-MONTH(E69)+1)/12,1))))))))&gt;0,(((K69)*(IF(M69="",L69,IFERROR(IF(INDEX(Variablen!$I:$AT, MATCH(M69, Variablen!$A:$A, 0), MATCH((YEAR(D69)+9), Variablen!$I$3:$AT$3, 0))="",L69,INDEX(Variablen!$I:$AT, MATCH(M69, Variablen!$A:$A, 0), MATCH((YEAR(D69)+9), Variablen!$I$3:$AT$3, 0))),L69)))*(IF((YEAR(D69)+9)&lt;YEAR(E69),0,IF((YEAR(D69)+9)&gt;YEAR(E69),1,(12-MONTH(E69)+1)/12))) + (Q69)*(IF((YEAR(D69)+9)&lt;YEAR(E69),0,IF((YEAR(D69)+9)&gt;YEAR(E69),1,(12-MONTH(E69)+1)/12))))-((P69)*(IF((YEAR(D69)+9)&lt;YEAR(E69),0,IF((YEAR(D69)+9)&gt;YEAR(E69),1,(12-MONTH(E69)+1)/12))) + (R69)*(IF((YEAR(D69)+9)&lt;YEAR(E69),0,IF((YEAR(D69)+9)&gt;YEAR(E69),1,(12-MONTH(E69)+1)/12))))-(IF(OR(N69="",N69&lt;=0),0,(O69/N69)*(IF(OR(N69="",N69&lt;=0),0,IF((YEAR(D69)+9)&lt;YEAR(E69),0,IF((YEAR(D69)+9)&gt;=YEAR(E69)+N69,0,IF((YEAR(D69)+9)=YEAR(E69),(12-MONTH(E69)+1)/12,1))))))))*TaxRate,0))-IF(9=0,O69,0))</f>
        <v/>
      </c>
      <c r="AC69" s="29">
        <f>IF(A69="","",((K69)*(IF(M69="",L69,IFERROR(IF(INDEX(Variablen!$I:$AT, MATCH(M69, Variablen!$A:$A, 0), MATCH((YEAR(D69)+10), Variablen!$I$3:$AT$3, 0))="",L69,INDEX(Variablen!$I:$AT, MATCH(M69, Variablen!$A:$A, 0), MATCH((YEAR(D69)+10), Variablen!$I$3:$AT$3, 0))),L69)))*(IF((YEAR(D69)+10)&lt;YEAR(E69),0,IF((YEAR(D69)+10)&gt;YEAR(E69),1,(12-MONTH(E69)+1)/12))) + (Q69)*(IF((YEAR(D69)+10)&lt;YEAR(E69),0,IF((YEAR(D69)+10)&gt;YEAR(E69),1,(12-MONTH(E69)+1)/12))))-((P69)*(IF((YEAR(D69)+10)&lt;YEAR(E69),0,IF((YEAR(D69)+10)&gt;YEAR(E69),1,(12-MONTH(E69)+1)/12))) + (R69)*(IF((YEAR(D69)+10)&lt;YEAR(E69),0,IF((YEAR(D69)+10)&gt;YEAR(E69),1,(12-MONTH(E69)+1)/12))))-(IF((((K69)*(IF(M69="",L69,IFERROR(IF(INDEX(Variablen!$I:$AT, MATCH(M69, Variablen!$A:$A, 0), MATCH((YEAR(D69)+10), Variablen!$I$3:$AT$3, 0))="",L69,INDEX(Variablen!$I:$AT, MATCH(M69, Variablen!$A:$A, 0), MATCH((YEAR(D69)+10), Variablen!$I$3:$AT$3, 0))),L69)))*(IF((YEAR(D69)+10)&lt;YEAR(E69),0,IF((YEAR(D69)+10)&gt;YEAR(E69),1,(12-MONTH(E69)+1)/12))) + (Q69)*(IF((YEAR(D69)+10)&lt;YEAR(E69),0,IF((YEAR(D69)+10)&gt;YEAR(E69),1,(12-MONTH(E69)+1)/12))))-((P69)*(IF((YEAR(D69)+10)&lt;YEAR(E69),0,IF((YEAR(D69)+10)&gt;YEAR(E69),1,(12-MONTH(E69)+1)/12))) + (R69)*(IF((YEAR(D69)+10)&lt;YEAR(E69),0,IF((YEAR(D69)+10)&gt;YEAR(E69),1,(12-MONTH(E69)+1)/12))))-(IF(OR(N69="",N69&lt;=0),0,(O69/N69)*(IF(OR(N69="",N69&lt;=0),0,IF((YEAR(D69)+10)&lt;YEAR(E69),0,IF((YEAR(D69)+10)&gt;=YEAR(E69)+N69,0,IF((YEAR(D69)+10)=YEAR(E69),(12-MONTH(E69)+1)/12,1))))))))&gt;0,(((K69)*(IF(M69="",L69,IFERROR(IF(INDEX(Variablen!$I:$AT, MATCH(M69, Variablen!$A:$A, 0), MATCH((YEAR(D69)+10), Variablen!$I$3:$AT$3, 0))="",L69,INDEX(Variablen!$I:$AT, MATCH(M69, Variablen!$A:$A, 0), MATCH((YEAR(D69)+10), Variablen!$I$3:$AT$3, 0))),L69)))*(IF((YEAR(D69)+10)&lt;YEAR(E69),0,IF((YEAR(D69)+10)&gt;YEAR(E69),1,(12-MONTH(E69)+1)/12))) + (Q69)*(IF((YEAR(D69)+10)&lt;YEAR(E69),0,IF((YEAR(D69)+10)&gt;YEAR(E69),1,(12-MONTH(E69)+1)/12))))-((P69)*(IF((YEAR(D69)+10)&lt;YEAR(E69),0,IF((YEAR(D69)+10)&gt;YEAR(E69),1,(12-MONTH(E69)+1)/12))) + (R69)*(IF((YEAR(D69)+10)&lt;YEAR(E69),0,IF((YEAR(D69)+10)&gt;YEAR(E69),1,(12-MONTH(E69)+1)/12))))-(IF(OR(N69="",N69&lt;=0),0,(O69/N69)*(IF(OR(N69="",N69&lt;=0),0,IF((YEAR(D69)+10)&lt;YEAR(E69),0,IF((YEAR(D69)+10)&gt;=YEAR(E69)+N69,0,IF((YEAR(D69)+10)=YEAR(E69),(12-MONTH(E69)+1)/12,1))))))))*TaxRate,0))-IF(10=0,O69,0))</f>
        <v/>
      </c>
      <c r="AD69" s="29">
        <f>IF(A69="","",((K69)*(IF(M69="",L69,IFERROR(IF(INDEX(Variablen!$I:$AT, MATCH(M69, Variablen!$A:$A, 0), MATCH((YEAR(D69)+11), Variablen!$I$3:$AT$3, 0))="",L69,INDEX(Variablen!$I:$AT, MATCH(M69, Variablen!$A:$A, 0), MATCH((YEAR(D69)+11), Variablen!$I$3:$AT$3, 0))),L69)))*(IF((YEAR(D69)+11)&lt;YEAR(E69),0,IF((YEAR(D69)+11)&gt;YEAR(E69),1,(12-MONTH(E69)+1)/12))) + (Q69)*(IF((YEAR(D69)+11)&lt;YEAR(E69),0,IF((YEAR(D69)+11)&gt;YEAR(E69),1,(12-MONTH(E69)+1)/12))))-((P69)*(IF((YEAR(D69)+11)&lt;YEAR(E69),0,IF((YEAR(D69)+11)&gt;YEAR(E69),1,(12-MONTH(E69)+1)/12))) + (R69)*(IF((YEAR(D69)+11)&lt;YEAR(E69),0,IF((YEAR(D69)+11)&gt;YEAR(E69),1,(12-MONTH(E69)+1)/12))))-(IF((((K69)*(IF(M69="",L69,IFERROR(IF(INDEX(Variablen!$I:$AT, MATCH(M69, Variablen!$A:$A, 0), MATCH((YEAR(D69)+11), Variablen!$I$3:$AT$3, 0))="",L69,INDEX(Variablen!$I:$AT, MATCH(M69, Variablen!$A:$A, 0), MATCH((YEAR(D69)+11), Variablen!$I$3:$AT$3, 0))),L69)))*(IF((YEAR(D69)+11)&lt;YEAR(E69),0,IF((YEAR(D69)+11)&gt;YEAR(E69),1,(12-MONTH(E69)+1)/12))) + (Q69)*(IF((YEAR(D69)+11)&lt;YEAR(E69),0,IF((YEAR(D69)+11)&gt;YEAR(E69),1,(12-MONTH(E69)+1)/12))))-((P69)*(IF((YEAR(D69)+11)&lt;YEAR(E69),0,IF((YEAR(D69)+11)&gt;YEAR(E69),1,(12-MONTH(E69)+1)/12))) + (R69)*(IF((YEAR(D69)+11)&lt;YEAR(E69),0,IF((YEAR(D69)+11)&gt;YEAR(E69),1,(12-MONTH(E69)+1)/12))))-(IF(OR(N69="",N69&lt;=0),0,(O69/N69)*(IF(OR(N69="",N69&lt;=0),0,IF((YEAR(D69)+11)&lt;YEAR(E69),0,IF((YEAR(D69)+11)&gt;=YEAR(E69)+N69,0,IF((YEAR(D69)+11)=YEAR(E69),(12-MONTH(E69)+1)/12,1))))))))&gt;0,(((K69)*(IF(M69="",L69,IFERROR(IF(INDEX(Variablen!$I:$AT, MATCH(M69, Variablen!$A:$A, 0), MATCH((YEAR(D69)+11), Variablen!$I$3:$AT$3, 0))="",L69,INDEX(Variablen!$I:$AT, MATCH(M69, Variablen!$A:$A, 0), MATCH((YEAR(D69)+11), Variablen!$I$3:$AT$3, 0))),L69)))*(IF((YEAR(D69)+11)&lt;YEAR(E69),0,IF((YEAR(D69)+11)&gt;YEAR(E69),1,(12-MONTH(E69)+1)/12))) + (Q69)*(IF((YEAR(D69)+11)&lt;YEAR(E69),0,IF((YEAR(D69)+11)&gt;YEAR(E69),1,(12-MONTH(E69)+1)/12))))-((P69)*(IF((YEAR(D69)+11)&lt;YEAR(E69),0,IF((YEAR(D69)+11)&gt;YEAR(E69),1,(12-MONTH(E69)+1)/12))) + (R69)*(IF((YEAR(D69)+11)&lt;YEAR(E69),0,IF((YEAR(D69)+11)&gt;YEAR(E69),1,(12-MONTH(E69)+1)/12))))-(IF(OR(N69="",N69&lt;=0),0,(O69/N69)*(IF(OR(N69="",N69&lt;=0),0,IF((YEAR(D69)+11)&lt;YEAR(E69),0,IF((YEAR(D69)+11)&gt;=YEAR(E69)+N69,0,IF((YEAR(D69)+11)=YEAR(E69),(12-MONTH(E69)+1)/12,1))))))))*TaxRate,0))-IF(11=0,O69,0))</f>
        <v/>
      </c>
      <c r="AE69" s="29">
        <f>IF(A69="","",((K69)*(IF(M69="",L69,IFERROR(IF(INDEX(Variablen!$I:$AT, MATCH(M69, Variablen!$A:$A, 0), MATCH((YEAR(D69)+12), Variablen!$I$3:$AT$3, 0))="",L69,INDEX(Variablen!$I:$AT, MATCH(M69, Variablen!$A:$A, 0), MATCH((YEAR(D69)+12), Variablen!$I$3:$AT$3, 0))),L69)))*(IF((YEAR(D69)+12)&lt;YEAR(E69),0,IF((YEAR(D69)+12)&gt;YEAR(E69),1,(12-MONTH(E69)+1)/12))) + (Q69)*(IF((YEAR(D69)+12)&lt;YEAR(E69),0,IF((YEAR(D69)+12)&gt;YEAR(E69),1,(12-MONTH(E69)+1)/12))))-((P69)*(IF((YEAR(D69)+12)&lt;YEAR(E69),0,IF((YEAR(D69)+12)&gt;YEAR(E69),1,(12-MONTH(E69)+1)/12))) + (R69)*(IF((YEAR(D69)+12)&lt;YEAR(E69),0,IF((YEAR(D69)+12)&gt;YEAR(E69),1,(12-MONTH(E69)+1)/12))))-(IF((((K69)*(IF(M69="",L69,IFERROR(IF(INDEX(Variablen!$I:$AT, MATCH(M69, Variablen!$A:$A, 0), MATCH((YEAR(D69)+12), Variablen!$I$3:$AT$3, 0))="",L69,INDEX(Variablen!$I:$AT, MATCH(M69, Variablen!$A:$A, 0), MATCH((YEAR(D69)+12), Variablen!$I$3:$AT$3, 0))),L69)))*(IF((YEAR(D69)+12)&lt;YEAR(E69),0,IF((YEAR(D69)+12)&gt;YEAR(E69),1,(12-MONTH(E69)+1)/12))) + (Q69)*(IF((YEAR(D69)+12)&lt;YEAR(E69),0,IF((YEAR(D69)+12)&gt;YEAR(E69),1,(12-MONTH(E69)+1)/12))))-((P69)*(IF((YEAR(D69)+12)&lt;YEAR(E69),0,IF((YEAR(D69)+12)&gt;YEAR(E69),1,(12-MONTH(E69)+1)/12))) + (R69)*(IF((YEAR(D69)+12)&lt;YEAR(E69),0,IF((YEAR(D69)+12)&gt;YEAR(E69),1,(12-MONTH(E69)+1)/12))))-(IF(OR(N69="",N69&lt;=0),0,(O69/N69)*(IF(OR(N69="",N69&lt;=0),0,IF((YEAR(D69)+12)&lt;YEAR(E69),0,IF((YEAR(D69)+12)&gt;=YEAR(E69)+N69,0,IF((YEAR(D69)+12)=YEAR(E69),(12-MONTH(E69)+1)/12,1))))))))&gt;0,(((K69)*(IF(M69="",L69,IFERROR(IF(INDEX(Variablen!$I:$AT, MATCH(M69, Variablen!$A:$A, 0), MATCH((YEAR(D69)+12), Variablen!$I$3:$AT$3, 0))="",L69,INDEX(Variablen!$I:$AT, MATCH(M69, Variablen!$A:$A, 0), MATCH((YEAR(D69)+12), Variablen!$I$3:$AT$3, 0))),L69)))*(IF((YEAR(D69)+12)&lt;YEAR(E69),0,IF((YEAR(D69)+12)&gt;YEAR(E69),1,(12-MONTH(E69)+1)/12))) + (Q69)*(IF((YEAR(D69)+12)&lt;YEAR(E69),0,IF((YEAR(D69)+12)&gt;YEAR(E69),1,(12-MONTH(E69)+1)/12))))-((P69)*(IF((YEAR(D69)+12)&lt;YEAR(E69),0,IF((YEAR(D69)+12)&gt;YEAR(E69),1,(12-MONTH(E69)+1)/12))) + (R69)*(IF((YEAR(D69)+12)&lt;YEAR(E69),0,IF((YEAR(D69)+12)&gt;YEAR(E69),1,(12-MONTH(E69)+1)/12))))-(IF(OR(N69="",N69&lt;=0),0,(O69/N69)*(IF(OR(N69="",N69&lt;=0),0,IF((YEAR(D69)+12)&lt;YEAR(E69),0,IF((YEAR(D69)+12)&gt;=YEAR(E69)+N69,0,IF((YEAR(D69)+12)=YEAR(E69),(12-MONTH(E69)+1)/12,1))))))))*TaxRate,0))-IF(12=0,O69,0))</f>
        <v/>
      </c>
      <c r="AF69" s="29">
        <f>IF(A69="","",((K69)*(IF(M69="",L69,IFERROR(IF(INDEX(Variablen!$I:$AT, MATCH(M69, Variablen!$A:$A, 0), MATCH((YEAR(D69)+13), Variablen!$I$3:$AT$3, 0))="",L69,INDEX(Variablen!$I:$AT, MATCH(M69, Variablen!$A:$A, 0), MATCH((YEAR(D69)+13), Variablen!$I$3:$AT$3, 0))),L69)))*(IF((YEAR(D69)+13)&lt;YEAR(E69),0,IF((YEAR(D69)+13)&gt;YEAR(E69),1,(12-MONTH(E69)+1)/12))) + (Q69)*(IF((YEAR(D69)+13)&lt;YEAR(E69),0,IF((YEAR(D69)+13)&gt;YEAR(E69),1,(12-MONTH(E69)+1)/12))))-((P69)*(IF((YEAR(D69)+13)&lt;YEAR(E69),0,IF((YEAR(D69)+13)&gt;YEAR(E69),1,(12-MONTH(E69)+1)/12))) + (R69)*(IF((YEAR(D69)+13)&lt;YEAR(E69),0,IF((YEAR(D69)+13)&gt;YEAR(E69),1,(12-MONTH(E69)+1)/12))))-(IF((((K69)*(IF(M69="",L69,IFERROR(IF(INDEX(Variablen!$I:$AT, MATCH(M69, Variablen!$A:$A, 0), MATCH((YEAR(D69)+13), Variablen!$I$3:$AT$3, 0))="",L69,INDEX(Variablen!$I:$AT, MATCH(M69, Variablen!$A:$A, 0), MATCH((YEAR(D69)+13), Variablen!$I$3:$AT$3, 0))),L69)))*(IF((YEAR(D69)+13)&lt;YEAR(E69),0,IF((YEAR(D69)+13)&gt;YEAR(E69),1,(12-MONTH(E69)+1)/12))) + (Q69)*(IF((YEAR(D69)+13)&lt;YEAR(E69),0,IF((YEAR(D69)+13)&gt;YEAR(E69),1,(12-MONTH(E69)+1)/12))))-((P69)*(IF((YEAR(D69)+13)&lt;YEAR(E69),0,IF((YEAR(D69)+13)&gt;YEAR(E69),1,(12-MONTH(E69)+1)/12))) + (R69)*(IF((YEAR(D69)+13)&lt;YEAR(E69),0,IF((YEAR(D69)+13)&gt;YEAR(E69),1,(12-MONTH(E69)+1)/12))))-(IF(OR(N69="",N69&lt;=0),0,(O69/N69)*(IF(OR(N69="",N69&lt;=0),0,IF((YEAR(D69)+13)&lt;YEAR(E69),0,IF((YEAR(D69)+13)&gt;=YEAR(E69)+N69,0,IF((YEAR(D69)+13)=YEAR(E69),(12-MONTH(E69)+1)/12,1))))))))&gt;0,(((K69)*(IF(M69="",L69,IFERROR(IF(INDEX(Variablen!$I:$AT, MATCH(M69, Variablen!$A:$A, 0), MATCH((YEAR(D69)+13), Variablen!$I$3:$AT$3, 0))="",L69,INDEX(Variablen!$I:$AT, MATCH(M69, Variablen!$A:$A, 0), MATCH((YEAR(D69)+13), Variablen!$I$3:$AT$3, 0))),L69)))*(IF((YEAR(D69)+13)&lt;YEAR(E69),0,IF((YEAR(D69)+13)&gt;YEAR(E69),1,(12-MONTH(E69)+1)/12))) + (Q69)*(IF((YEAR(D69)+13)&lt;YEAR(E69),0,IF((YEAR(D69)+13)&gt;YEAR(E69),1,(12-MONTH(E69)+1)/12))))-((P69)*(IF((YEAR(D69)+13)&lt;YEAR(E69),0,IF((YEAR(D69)+13)&gt;YEAR(E69),1,(12-MONTH(E69)+1)/12))) + (R69)*(IF((YEAR(D69)+13)&lt;YEAR(E69),0,IF((YEAR(D69)+13)&gt;YEAR(E69),1,(12-MONTH(E69)+1)/12))))-(IF(OR(N69="",N69&lt;=0),0,(O69/N69)*(IF(OR(N69="",N69&lt;=0),0,IF((YEAR(D69)+13)&lt;YEAR(E69),0,IF((YEAR(D69)+13)&gt;=YEAR(E69)+N69,0,IF((YEAR(D69)+13)=YEAR(E69),(12-MONTH(E69)+1)/12,1))))))))*TaxRate,0))-IF(13=0,O69,0))</f>
        <v/>
      </c>
      <c r="AG69" s="29">
        <f>IF(A69="","",((K69)*(IF(M69="",L69,IFERROR(IF(INDEX(Variablen!$I:$AT, MATCH(M69, Variablen!$A:$A, 0), MATCH((YEAR(D69)+14), Variablen!$I$3:$AT$3, 0))="",L69,INDEX(Variablen!$I:$AT, MATCH(M69, Variablen!$A:$A, 0), MATCH((YEAR(D69)+14), Variablen!$I$3:$AT$3, 0))),L69)))*(IF((YEAR(D69)+14)&lt;YEAR(E69),0,IF((YEAR(D69)+14)&gt;YEAR(E69),1,(12-MONTH(E69)+1)/12))) + (Q69)*(IF((YEAR(D69)+14)&lt;YEAR(E69),0,IF((YEAR(D69)+14)&gt;YEAR(E69),1,(12-MONTH(E69)+1)/12))))-((P69)*(IF((YEAR(D69)+14)&lt;YEAR(E69),0,IF((YEAR(D69)+14)&gt;YEAR(E69),1,(12-MONTH(E69)+1)/12))) + (R69)*(IF((YEAR(D69)+14)&lt;YEAR(E69),0,IF((YEAR(D69)+14)&gt;YEAR(E69),1,(12-MONTH(E69)+1)/12))))-(IF((((K69)*(IF(M69="",L69,IFERROR(IF(INDEX(Variablen!$I:$AT, MATCH(M69, Variablen!$A:$A, 0), MATCH((YEAR(D69)+14), Variablen!$I$3:$AT$3, 0))="",L69,INDEX(Variablen!$I:$AT, MATCH(M69, Variablen!$A:$A, 0), MATCH((YEAR(D69)+14), Variablen!$I$3:$AT$3, 0))),L69)))*(IF((YEAR(D69)+14)&lt;YEAR(E69),0,IF((YEAR(D69)+14)&gt;YEAR(E69),1,(12-MONTH(E69)+1)/12))) + (Q69)*(IF((YEAR(D69)+14)&lt;YEAR(E69),0,IF((YEAR(D69)+14)&gt;YEAR(E69),1,(12-MONTH(E69)+1)/12))))-((P69)*(IF((YEAR(D69)+14)&lt;YEAR(E69),0,IF((YEAR(D69)+14)&gt;YEAR(E69),1,(12-MONTH(E69)+1)/12))) + (R69)*(IF((YEAR(D69)+14)&lt;YEAR(E69),0,IF((YEAR(D69)+14)&gt;YEAR(E69),1,(12-MONTH(E69)+1)/12))))-(IF(OR(N69="",N69&lt;=0),0,(O69/N69)*(IF(OR(N69="",N69&lt;=0),0,IF((YEAR(D69)+14)&lt;YEAR(E69),0,IF((YEAR(D69)+14)&gt;=YEAR(E69)+N69,0,IF((YEAR(D69)+14)=YEAR(E69),(12-MONTH(E69)+1)/12,1))))))))&gt;0,(((K69)*(IF(M69="",L69,IFERROR(IF(INDEX(Variablen!$I:$AT, MATCH(M69, Variablen!$A:$A, 0), MATCH((YEAR(D69)+14), Variablen!$I$3:$AT$3, 0))="",L69,INDEX(Variablen!$I:$AT, MATCH(M69, Variablen!$A:$A, 0), MATCH((YEAR(D69)+14), Variablen!$I$3:$AT$3, 0))),L69)))*(IF((YEAR(D69)+14)&lt;YEAR(E69),0,IF((YEAR(D69)+14)&gt;YEAR(E69),1,(12-MONTH(E69)+1)/12))) + (Q69)*(IF((YEAR(D69)+14)&lt;YEAR(E69),0,IF((YEAR(D69)+14)&gt;YEAR(E69),1,(12-MONTH(E69)+1)/12))))-((P69)*(IF((YEAR(D69)+14)&lt;YEAR(E69),0,IF((YEAR(D69)+14)&gt;YEAR(E69),1,(12-MONTH(E69)+1)/12))) + (R69)*(IF((YEAR(D69)+14)&lt;YEAR(E69),0,IF((YEAR(D69)+14)&gt;YEAR(E69),1,(12-MONTH(E69)+1)/12))))-(IF(OR(N69="",N69&lt;=0),0,(O69/N69)*(IF(OR(N69="",N69&lt;=0),0,IF((YEAR(D69)+14)&lt;YEAR(E69),0,IF((YEAR(D69)+14)&gt;=YEAR(E69)+N69,0,IF((YEAR(D69)+14)=YEAR(E69),(12-MONTH(E69)+1)/12,1))))))))*TaxRate,0))-IF(14=0,O69,0))</f>
        <v/>
      </c>
      <c r="AH69" s="29">
        <f>IF(A69="","",((K69)*(IF(M69="",L69,IFERROR(IF(INDEX(Variablen!$I:$AT, MATCH(M69, Variablen!$A:$A, 0), MATCH((YEAR(D69)+15), Variablen!$I$3:$AT$3, 0))="",L69,INDEX(Variablen!$I:$AT, MATCH(M69, Variablen!$A:$A, 0), MATCH((YEAR(D69)+15), Variablen!$I$3:$AT$3, 0))),L69)))*(IF((YEAR(D69)+15)&lt;YEAR(E69),0,IF((YEAR(D69)+15)&gt;YEAR(E69),1,(12-MONTH(E69)+1)/12))) + (Q69)*(IF((YEAR(D69)+15)&lt;YEAR(E69),0,IF((YEAR(D69)+15)&gt;YEAR(E69),1,(12-MONTH(E69)+1)/12))))-((P69)*(IF((YEAR(D69)+15)&lt;YEAR(E69),0,IF((YEAR(D69)+15)&gt;YEAR(E69),1,(12-MONTH(E69)+1)/12))) + (R69)*(IF((YEAR(D69)+15)&lt;YEAR(E69),0,IF((YEAR(D69)+15)&gt;YEAR(E69),1,(12-MONTH(E69)+1)/12))))-(IF((((K69)*(IF(M69="",L69,IFERROR(IF(INDEX(Variablen!$I:$AT, MATCH(M69, Variablen!$A:$A, 0), MATCH((YEAR(D69)+15), Variablen!$I$3:$AT$3, 0))="",L69,INDEX(Variablen!$I:$AT, MATCH(M69, Variablen!$A:$A, 0), MATCH((YEAR(D69)+15), Variablen!$I$3:$AT$3, 0))),L69)))*(IF((YEAR(D69)+15)&lt;YEAR(E69),0,IF((YEAR(D69)+15)&gt;YEAR(E69),1,(12-MONTH(E69)+1)/12))) + (Q69)*(IF((YEAR(D69)+15)&lt;YEAR(E69),0,IF((YEAR(D69)+15)&gt;YEAR(E69),1,(12-MONTH(E69)+1)/12))))-((P69)*(IF((YEAR(D69)+15)&lt;YEAR(E69),0,IF((YEAR(D69)+15)&gt;YEAR(E69),1,(12-MONTH(E69)+1)/12))) + (R69)*(IF((YEAR(D69)+15)&lt;YEAR(E69),0,IF((YEAR(D69)+15)&gt;YEAR(E69),1,(12-MONTH(E69)+1)/12))))-(IF(OR(N69="",N69&lt;=0),0,(O69/N69)*(IF(OR(N69="",N69&lt;=0),0,IF((YEAR(D69)+15)&lt;YEAR(E69),0,IF((YEAR(D69)+15)&gt;=YEAR(E69)+N69,0,IF((YEAR(D69)+15)=YEAR(E69),(12-MONTH(E69)+1)/12,1))))))))&gt;0,(((K69)*(IF(M69="",L69,IFERROR(IF(INDEX(Variablen!$I:$AT, MATCH(M69, Variablen!$A:$A, 0), MATCH((YEAR(D69)+15), Variablen!$I$3:$AT$3, 0))="",L69,INDEX(Variablen!$I:$AT, MATCH(M69, Variablen!$A:$A, 0), MATCH((YEAR(D69)+15), Variablen!$I$3:$AT$3, 0))),L69)))*(IF((YEAR(D69)+15)&lt;YEAR(E69),0,IF((YEAR(D69)+15)&gt;YEAR(E69),1,(12-MONTH(E69)+1)/12))) + (Q69)*(IF((YEAR(D69)+15)&lt;YEAR(E69),0,IF((YEAR(D69)+15)&gt;YEAR(E69),1,(12-MONTH(E69)+1)/12))))-((P69)*(IF((YEAR(D69)+15)&lt;YEAR(E69),0,IF((YEAR(D69)+15)&gt;YEAR(E69),1,(12-MONTH(E69)+1)/12))) + (R69)*(IF((YEAR(D69)+15)&lt;YEAR(E69),0,IF((YEAR(D69)+15)&gt;YEAR(E69),1,(12-MONTH(E69)+1)/12))))-(IF(OR(N69="",N69&lt;=0),0,(O69/N69)*(IF(OR(N69="",N69&lt;=0),0,IF((YEAR(D69)+15)&lt;YEAR(E69),0,IF((YEAR(D69)+15)&gt;=YEAR(E69)+N69,0,IF((YEAR(D69)+15)=YEAR(E69),(12-MONTH(E69)+1)/12,1))))))))*TaxRate,0))-IF(15=0,O69,0))</f>
        <v/>
      </c>
      <c r="AI69" s="29">
        <f>IF(A69="","",((K69)*(IF(M69="",L69,IFERROR(IF(INDEX(Variablen!$I:$AT, MATCH(M69, Variablen!$A:$A, 0), MATCH((YEAR(D69)+16), Variablen!$I$3:$AT$3, 0))="",L69,INDEX(Variablen!$I:$AT, MATCH(M69, Variablen!$A:$A, 0), MATCH((YEAR(D69)+16), Variablen!$I$3:$AT$3, 0))),L69)))*(IF((YEAR(D69)+16)&lt;YEAR(E69),0,IF((YEAR(D69)+16)&gt;YEAR(E69),1,(12-MONTH(E69)+1)/12))) + (Q69)*(IF((YEAR(D69)+16)&lt;YEAR(E69),0,IF((YEAR(D69)+16)&gt;YEAR(E69),1,(12-MONTH(E69)+1)/12))))-((P69)*(IF((YEAR(D69)+16)&lt;YEAR(E69),0,IF((YEAR(D69)+16)&gt;YEAR(E69),1,(12-MONTH(E69)+1)/12))) + (R69)*(IF((YEAR(D69)+16)&lt;YEAR(E69),0,IF((YEAR(D69)+16)&gt;YEAR(E69),1,(12-MONTH(E69)+1)/12))))-(IF((((K69)*(IF(M69="",L69,IFERROR(IF(INDEX(Variablen!$I:$AT, MATCH(M69, Variablen!$A:$A, 0), MATCH((YEAR(D69)+16), Variablen!$I$3:$AT$3, 0))="",L69,INDEX(Variablen!$I:$AT, MATCH(M69, Variablen!$A:$A, 0), MATCH((YEAR(D69)+16), Variablen!$I$3:$AT$3, 0))),L69)))*(IF((YEAR(D69)+16)&lt;YEAR(E69),0,IF((YEAR(D69)+16)&gt;YEAR(E69),1,(12-MONTH(E69)+1)/12))) + (Q69)*(IF((YEAR(D69)+16)&lt;YEAR(E69),0,IF((YEAR(D69)+16)&gt;YEAR(E69),1,(12-MONTH(E69)+1)/12))))-((P69)*(IF((YEAR(D69)+16)&lt;YEAR(E69),0,IF((YEAR(D69)+16)&gt;YEAR(E69),1,(12-MONTH(E69)+1)/12))) + (R69)*(IF((YEAR(D69)+16)&lt;YEAR(E69),0,IF((YEAR(D69)+16)&gt;YEAR(E69),1,(12-MONTH(E69)+1)/12))))-(IF(OR(N69="",N69&lt;=0),0,(O69/N69)*(IF(OR(N69="",N69&lt;=0),0,IF((YEAR(D69)+16)&lt;YEAR(E69),0,IF((YEAR(D69)+16)&gt;=YEAR(E69)+N69,0,IF((YEAR(D69)+16)=YEAR(E69),(12-MONTH(E69)+1)/12,1))))))))&gt;0,(((K69)*(IF(M69="",L69,IFERROR(IF(INDEX(Variablen!$I:$AT, MATCH(M69, Variablen!$A:$A, 0), MATCH((YEAR(D69)+16), Variablen!$I$3:$AT$3, 0))="",L69,INDEX(Variablen!$I:$AT, MATCH(M69, Variablen!$A:$A, 0), MATCH((YEAR(D69)+16), Variablen!$I$3:$AT$3, 0))),L69)))*(IF((YEAR(D69)+16)&lt;YEAR(E69),0,IF((YEAR(D69)+16)&gt;YEAR(E69),1,(12-MONTH(E69)+1)/12))) + (Q69)*(IF((YEAR(D69)+16)&lt;YEAR(E69),0,IF((YEAR(D69)+16)&gt;YEAR(E69),1,(12-MONTH(E69)+1)/12))))-((P69)*(IF((YEAR(D69)+16)&lt;YEAR(E69),0,IF((YEAR(D69)+16)&gt;YEAR(E69),1,(12-MONTH(E69)+1)/12))) + (R69)*(IF((YEAR(D69)+16)&lt;YEAR(E69),0,IF((YEAR(D69)+16)&gt;YEAR(E69),1,(12-MONTH(E69)+1)/12))))-(IF(OR(N69="",N69&lt;=0),0,(O69/N69)*(IF(OR(N69="",N69&lt;=0),0,IF((YEAR(D69)+16)&lt;YEAR(E69),0,IF((YEAR(D69)+16)&gt;=YEAR(E69)+N69,0,IF((YEAR(D69)+16)=YEAR(E69),(12-MONTH(E69)+1)/12,1))))))))*TaxRate,0))-IF(16=0,O69,0))</f>
        <v/>
      </c>
      <c r="AJ69" s="29">
        <f>IF(A69="","",((K69)*(IF(M69="",L69,IFERROR(IF(INDEX(Variablen!$I:$AT, MATCH(M69, Variablen!$A:$A, 0), MATCH((YEAR(D69)+17), Variablen!$I$3:$AT$3, 0))="",L69,INDEX(Variablen!$I:$AT, MATCH(M69, Variablen!$A:$A, 0), MATCH((YEAR(D69)+17), Variablen!$I$3:$AT$3, 0))),L69)))*(IF((YEAR(D69)+17)&lt;YEAR(E69),0,IF((YEAR(D69)+17)&gt;YEAR(E69),1,(12-MONTH(E69)+1)/12))) + (Q69)*(IF((YEAR(D69)+17)&lt;YEAR(E69),0,IF((YEAR(D69)+17)&gt;YEAR(E69),1,(12-MONTH(E69)+1)/12))))-((P69)*(IF((YEAR(D69)+17)&lt;YEAR(E69),0,IF((YEAR(D69)+17)&gt;YEAR(E69),1,(12-MONTH(E69)+1)/12))) + (R69)*(IF((YEAR(D69)+17)&lt;YEAR(E69),0,IF((YEAR(D69)+17)&gt;YEAR(E69),1,(12-MONTH(E69)+1)/12))))-(IF((((K69)*(IF(M69="",L69,IFERROR(IF(INDEX(Variablen!$I:$AT, MATCH(M69, Variablen!$A:$A, 0), MATCH((YEAR(D69)+17), Variablen!$I$3:$AT$3, 0))="",L69,INDEX(Variablen!$I:$AT, MATCH(M69, Variablen!$A:$A, 0), MATCH((YEAR(D69)+17), Variablen!$I$3:$AT$3, 0))),L69)))*(IF((YEAR(D69)+17)&lt;YEAR(E69),0,IF((YEAR(D69)+17)&gt;YEAR(E69),1,(12-MONTH(E69)+1)/12))) + (Q69)*(IF((YEAR(D69)+17)&lt;YEAR(E69),0,IF((YEAR(D69)+17)&gt;YEAR(E69),1,(12-MONTH(E69)+1)/12))))-((P69)*(IF((YEAR(D69)+17)&lt;YEAR(E69),0,IF((YEAR(D69)+17)&gt;YEAR(E69),1,(12-MONTH(E69)+1)/12))) + (R69)*(IF((YEAR(D69)+17)&lt;YEAR(E69),0,IF((YEAR(D69)+17)&gt;YEAR(E69),1,(12-MONTH(E69)+1)/12))))-(IF(OR(N69="",N69&lt;=0),0,(O69/N69)*(IF(OR(N69="",N69&lt;=0),0,IF((YEAR(D69)+17)&lt;YEAR(E69),0,IF((YEAR(D69)+17)&gt;=YEAR(E69)+N69,0,IF((YEAR(D69)+17)=YEAR(E69),(12-MONTH(E69)+1)/12,1))))))))&gt;0,(((K69)*(IF(M69="",L69,IFERROR(IF(INDEX(Variablen!$I:$AT, MATCH(M69, Variablen!$A:$A, 0), MATCH((YEAR(D69)+17), Variablen!$I$3:$AT$3, 0))="",L69,INDEX(Variablen!$I:$AT, MATCH(M69, Variablen!$A:$A, 0), MATCH((YEAR(D69)+17), Variablen!$I$3:$AT$3, 0))),L69)))*(IF((YEAR(D69)+17)&lt;YEAR(E69),0,IF((YEAR(D69)+17)&gt;YEAR(E69),1,(12-MONTH(E69)+1)/12))) + (Q69)*(IF((YEAR(D69)+17)&lt;YEAR(E69),0,IF((YEAR(D69)+17)&gt;YEAR(E69),1,(12-MONTH(E69)+1)/12))))-((P69)*(IF((YEAR(D69)+17)&lt;YEAR(E69),0,IF((YEAR(D69)+17)&gt;YEAR(E69),1,(12-MONTH(E69)+1)/12))) + (R69)*(IF((YEAR(D69)+17)&lt;YEAR(E69),0,IF((YEAR(D69)+17)&gt;YEAR(E69),1,(12-MONTH(E69)+1)/12))))-(IF(OR(N69="",N69&lt;=0),0,(O69/N69)*(IF(OR(N69="",N69&lt;=0),0,IF((YEAR(D69)+17)&lt;YEAR(E69),0,IF((YEAR(D69)+17)&gt;=YEAR(E69)+N69,0,IF((YEAR(D69)+17)=YEAR(E69),(12-MONTH(E69)+1)/12,1))))))))*TaxRate,0))-IF(17=0,O69,0))</f>
        <v/>
      </c>
      <c r="AK69" s="29">
        <f>IF(A69="","",((K69)*(IF(M69="",L69,IFERROR(IF(INDEX(Variablen!$I:$AT, MATCH(M69, Variablen!$A:$A, 0), MATCH((YEAR(D69)+18), Variablen!$I$3:$AT$3, 0))="",L69,INDEX(Variablen!$I:$AT, MATCH(M69, Variablen!$A:$A, 0), MATCH((YEAR(D69)+18), Variablen!$I$3:$AT$3, 0))),L69)))*(IF((YEAR(D69)+18)&lt;YEAR(E69),0,IF((YEAR(D69)+18)&gt;YEAR(E69),1,(12-MONTH(E69)+1)/12))) + (Q69)*(IF((YEAR(D69)+18)&lt;YEAR(E69),0,IF((YEAR(D69)+18)&gt;YEAR(E69),1,(12-MONTH(E69)+1)/12))))-((P69)*(IF((YEAR(D69)+18)&lt;YEAR(E69),0,IF((YEAR(D69)+18)&gt;YEAR(E69),1,(12-MONTH(E69)+1)/12))) + (R69)*(IF((YEAR(D69)+18)&lt;YEAR(E69),0,IF((YEAR(D69)+18)&gt;YEAR(E69),1,(12-MONTH(E69)+1)/12))))-(IF((((K69)*(IF(M69="",L69,IFERROR(IF(INDEX(Variablen!$I:$AT, MATCH(M69, Variablen!$A:$A, 0), MATCH((YEAR(D69)+18), Variablen!$I$3:$AT$3, 0))="",L69,INDEX(Variablen!$I:$AT, MATCH(M69, Variablen!$A:$A, 0), MATCH((YEAR(D69)+18), Variablen!$I$3:$AT$3, 0))),L69)))*(IF((YEAR(D69)+18)&lt;YEAR(E69),0,IF((YEAR(D69)+18)&gt;YEAR(E69),1,(12-MONTH(E69)+1)/12))) + (Q69)*(IF((YEAR(D69)+18)&lt;YEAR(E69),0,IF((YEAR(D69)+18)&gt;YEAR(E69),1,(12-MONTH(E69)+1)/12))))-((P69)*(IF((YEAR(D69)+18)&lt;YEAR(E69),0,IF((YEAR(D69)+18)&gt;YEAR(E69),1,(12-MONTH(E69)+1)/12))) + (R69)*(IF((YEAR(D69)+18)&lt;YEAR(E69),0,IF((YEAR(D69)+18)&gt;YEAR(E69),1,(12-MONTH(E69)+1)/12))))-(IF(OR(N69="",N69&lt;=0),0,(O69/N69)*(IF(OR(N69="",N69&lt;=0),0,IF((YEAR(D69)+18)&lt;YEAR(E69),0,IF((YEAR(D69)+18)&gt;=YEAR(E69)+N69,0,IF((YEAR(D69)+18)=YEAR(E69),(12-MONTH(E69)+1)/12,1))))))))&gt;0,(((K69)*(IF(M69="",L69,IFERROR(IF(INDEX(Variablen!$I:$AT, MATCH(M69, Variablen!$A:$A, 0), MATCH((YEAR(D69)+18), Variablen!$I$3:$AT$3, 0))="",L69,INDEX(Variablen!$I:$AT, MATCH(M69, Variablen!$A:$A, 0), MATCH((YEAR(D69)+18), Variablen!$I$3:$AT$3, 0))),L69)))*(IF((YEAR(D69)+18)&lt;YEAR(E69),0,IF((YEAR(D69)+18)&gt;YEAR(E69),1,(12-MONTH(E69)+1)/12))) + (Q69)*(IF((YEAR(D69)+18)&lt;YEAR(E69),0,IF((YEAR(D69)+18)&gt;YEAR(E69),1,(12-MONTH(E69)+1)/12))))-((P69)*(IF((YEAR(D69)+18)&lt;YEAR(E69),0,IF((YEAR(D69)+18)&gt;YEAR(E69),1,(12-MONTH(E69)+1)/12))) + (R69)*(IF((YEAR(D69)+18)&lt;YEAR(E69),0,IF((YEAR(D69)+18)&gt;YEAR(E69),1,(12-MONTH(E69)+1)/12))))-(IF(OR(N69="",N69&lt;=0),0,(O69/N69)*(IF(OR(N69="",N69&lt;=0),0,IF((YEAR(D69)+18)&lt;YEAR(E69),0,IF((YEAR(D69)+18)&gt;=YEAR(E69)+N69,0,IF((YEAR(D69)+18)=YEAR(E69),(12-MONTH(E69)+1)/12,1))))))))*TaxRate,0))-IF(18=0,O69,0))</f>
        <v/>
      </c>
      <c r="AL69" s="29">
        <f>IF(A69="","",((K69)*(IF(M69="",L69,IFERROR(IF(INDEX(Variablen!$I:$AT, MATCH(M69, Variablen!$A:$A, 0), MATCH((YEAR(D69)+19), Variablen!$I$3:$AT$3, 0))="",L69,INDEX(Variablen!$I:$AT, MATCH(M69, Variablen!$A:$A, 0), MATCH((YEAR(D69)+19), Variablen!$I$3:$AT$3, 0))),L69)))*(IF((YEAR(D69)+19)&lt;YEAR(E69),0,IF((YEAR(D69)+19)&gt;YEAR(E69),1,(12-MONTH(E69)+1)/12))) + (Q69)*(IF((YEAR(D69)+19)&lt;YEAR(E69),0,IF((YEAR(D69)+19)&gt;YEAR(E69),1,(12-MONTH(E69)+1)/12))))-((P69)*(IF((YEAR(D69)+19)&lt;YEAR(E69),0,IF((YEAR(D69)+19)&gt;YEAR(E69),1,(12-MONTH(E69)+1)/12))) + (R69)*(IF((YEAR(D69)+19)&lt;YEAR(E69),0,IF((YEAR(D69)+19)&gt;YEAR(E69),1,(12-MONTH(E69)+1)/12))))-(IF((((K69)*(IF(M69="",L69,IFERROR(IF(INDEX(Variablen!$I:$AT, MATCH(M69, Variablen!$A:$A, 0), MATCH((YEAR(D69)+19), Variablen!$I$3:$AT$3, 0))="",L69,INDEX(Variablen!$I:$AT, MATCH(M69, Variablen!$A:$A, 0), MATCH((YEAR(D69)+19), Variablen!$I$3:$AT$3, 0))),L69)))*(IF((YEAR(D69)+19)&lt;YEAR(E69),0,IF((YEAR(D69)+19)&gt;YEAR(E69),1,(12-MONTH(E69)+1)/12))) + (Q69)*(IF((YEAR(D69)+19)&lt;YEAR(E69),0,IF((YEAR(D69)+19)&gt;YEAR(E69),1,(12-MONTH(E69)+1)/12))))-((P69)*(IF((YEAR(D69)+19)&lt;YEAR(E69),0,IF((YEAR(D69)+19)&gt;YEAR(E69),1,(12-MONTH(E69)+1)/12))) + (R69)*(IF((YEAR(D69)+19)&lt;YEAR(E69),0,IF((YEAR(D69)+19)&gt;YEAR(E69),1,(12-MONTH(E69)+1)/12))))-(IF(OR(N69="",N69&lt;=0),0,(O69/N69)*(IF(OR(N69="",N69&lt;=0),0,IF((YEAR(D69)+19)&lt;YEAR(E69),0,IF((YEAR(D69)+19)&gt;=YEAR(E69)+N69,0,IF((YEAR(D69)+19)=YEAR(E69),(12-MONTH(E69)+1)/12,1))))))))&gt;0,(((K69)*(IF(M69="",L69,IFERROR(IF(INDEX(Variablen!$I:$AT, MATCH(M69, Variablen!$A:$A, 0), MATCH((YEAR(D69)+19), Variablen!$I$3:$AT$3, 0))="",L69,INDEX(Variablen!$I:$AT, MATCH(M69, Variablen!$A:$A, 0), MATCH((YEAR(D69)+19), Variablen!$I$3:$AT$3, 0))),L69)))*(IF((YEAR(D69)+19)&lt;YEAR(E69),0,IF((YEAR(D69)+19)&gt;YEAR(E69),1,(12-MONTH(E69)+1)/12))) + (Q69)*(IF((YEAR(D69)+19)&lt;YEAR(E69),0,IF((YEAR(D69)+19)&gt;YEAR(E69),1,(12-MONTH(E69)+1)/12))))-((P69)*(IF((YEAR(D69)+19)&lt;YEAR(E69),0,IF((YEAR(D69)+19)&gt;YEAR(E69),1,(12-MONTH(E69)+1)/12))) + (R69)*(IF((YEAR(D69)+19)&lt;YEAR(E69),0,IF((YEAR(D69)+19)&gt;YEAR(E69),1,(12-MONTH(E69)+1)/12))))-(IF(OR(N69="",N69&lt;=0),0,(O69/N69)*(IF(OR(N69="",N69&lt;=0),0,IF((YEAR(D69)+19)&lt;YEAR(E69),0,IF((YEAR(D69)+19)&gt;=YEAR(E69)+N69,0,IF((YEAR(D69)+19)=YEAR(E69),(12-MONTH(E69)+1)/12,1))))))))*TaxRate,0))-IF(19=0,O69,0))</f>
        <v/>
      </c>
      <c r="AM69" s="29">
        <f>IF(A69="","",((K69)*(IF(M69="",L69,IFERROR(IF(INDEX(Variablen!$I:$AT, MATCH(M69, Variablen!$A:$A, 0), MATCH((YEAR(D69)+20), Variablen!$I$3:$AT$3, 0))="",L69,INDEX(Variablen!$I:$AT, MATCH(M69, Variablen!$A:$A, 0), MATCH((YEAR(D69)+20), Variablen!$I$3:$AT$3, 0))),L69)))*(IF((YEAR(D69)+20)&lt;YEAR(E69),0,IF((YEAR(D69)+20)&gt;YEAR(E69),1,(12-MONTH(E69)+1)/12))) + (Q69)*(IF((YEAR(D69)+20)&lt;YEAR(E69),0,IF((YEAR(D69)+20)&gt;YEAR(E69),1,(12-MONTH(E69)+1)/12))))-((P69)*(IF((YEAR(D69)+20)&lt;YEAR(E69),0,IF((YEAR(D69)+20)&gt;YEAR(E69),1,(12-MONTH(E69)+1)/12))) + (R69)*(IF((YEAR(D69)+20)&lt;YEAR(E69),0,IF((YEAR(D69)+20)&gt;YEAR(E69),1,(12-MONTH(E69)+1)/12))))-(IF((((K69)*(IF(M69="",L69,IFERROR(IF(INDEX(Variablen!$I:$AT, MATCH(M69, Variablen!$A:$A, 0), MATCH((YEAR(D69)+20), Variablen!$I$3:$AT$3, 0))="",L69,INDEX(Variablen!$I:$AT, MATCH(M69, Variablen!$A:$A, 0), MATCH((YEAR(D69)+20), Variablen!$I$3:$AT$3, 0))),L69)))*(IF((YEAR(D69)+20)&lt;YEAR(E69),0,IF((YEAR(D69)+20)&gt;YEAR(E69),1,(12-MONTH(E69)+1)/12))) + (Q69)*(IF((YEAR(D69)+20)&lt;YEAR(E69),0,IF((YEAR(D69)+20)&gt;YEAR(E69),1,(12-MONTH(E69)+1)/12))))-((P69)*(IF((YEAR(D69)+20)&lt;YEAR(E69),0,IF((YEAR(D69)+20)&gt;YEAR(E69),1,(12-MONTH(E69)+1)/12))) + (R69)*(IF((YEAR(D69)+20)&lt;YEAR(E69),0,IF((YEAR(D69)+20)&gt;YEAR(E69),1,(12-MONTH(E69)+1)/12))))-(IF(OR(N69="",N69&lt;=0),0,(O69/N69)*(IF(OR(N69="",N69&lt;=0),0,IF((YEAR(D69)+20)&lt;YEAR(E69),0,IF((YEAR(D69)+20)&gt;=YEAR(E69)+N69,0,IF((YEAR(D69)+20)=YEAR(E69),(12-MONTH(E69)+1)/12,1))))))))&gt;0,(((K69)*(IF(M69="",L69,IFERROR(IF(INDEX(Variablen!$I:$AT, MATCH(M69, Variablen!$A:$A, 0), MATCH((YEAR(D69)+20), Variablen!$I$3:$AT$3, 0))="",L69,INDEX(Variablen!$I:$AT, MATCH(M69, Variablen!$A:$A, 0), MATCH((YEAR(D69)+20), Variablen!$I$3:$AT$3, 0))),L69)))*(IF((YEAR(D69)+20)&lt;YEAR(E69),0,IF((YEAR(D69)+20)&gt;YEAR(E69),1,(12-MONTH(E69)+1)/12))) + (Q69)*(IF((YEAR(D69)+20)&lt;YEAR(E69),0,IF((YEAR(D69)+20)&gt;YEAR(E69),1,(12-MONTH(E69)+1)/12))))-((P69)*(IF((YEAR(D69)+20)&lt;YEAR(E69),0,IF((YEAR(D69)+20)&gt;YEAR(E69),1,(12-MONTH(E69)+1)/12))) + (R69)*(IF((YEAR(D69)+20)&lt;YEAR(E69),0,IF((YEAR(D69)+20)&gt;YEAR(E69),1,(12-MONTH(E69)+1)/12))))-(IF(OR(N69="",N69&lt;=0),0,(O69/N69)*(IF(OR(N69="",N69&lt;=0),0,IF((YEAR(D69)+20)&lt;YEAR(E69),0,IF((YEAR(D69)+20)&gt;=YEAR(E69)+N69,0,IF((YEAR(D69)+20)=YEAR(E69),(12-MONTH(E69)+1)/12,1))))))))*TaxRate,0))-IF(20=0,O69,0))</f>
        <v/>
      </c>
      <c r="AN69" s="29">
        <f>IF(A69="","",S69)</f>
        <v/>
      </c>
      <c r="AO69" s="29">
        <f>IF(A69="","",AN69+T69)</f>
        <v/>
      </c>
      <c r="AP69" s="29">
        <f>IF(A69="","",AO69+U69)</f>
        <v/>
      </c>
      <c r="AQ69" s="29">
        <f>IF(A69="","",AP69+V69)</f>
        <v/>
      </c>
      <c r="AR69" s="29">
        <f>IF(A69="","",AQ69+W69)</f>
        <v/>
      </c>
      <c r="AS69" s="29">
        <f>IF(A69="","",AR69+X69)</f>
        <v/>
      </c>
      <c r="AT69" s="29">
        <f>IF(A69="","",AS69+Y69)</f>
        <v/>
      </c>
      <c r="AU69" s="29">
        <f>IF(A69="","",AT69+Z69)</f>
        <v/>
      </c>
      <c r="AV69" s="29">
        <f>IF(A69="","",AU69+AA69)</f>
        <v/>
      </c>
      <c r="AW69" s="29">
        <f>IF(A69="","",AV69+AB69)</f>
        <v/>
      </c>
      <c r="AX69" s="29">
        <f>IF(A69="","",AW69+AC69)</f>
        <v/>
      </c>
      <c r="AY69" s="29">
        <f>IF(A69="","",AX69+AD69)</f>
        <v/>
      </c>
      <c r="AZ69" s="29">
        <f>IF(A69="","",AY69+AE69)</f>
        <v/>
      </c>
      <c r="BA69" s="29">
        <f>IF(A69="","",AZ69+AF69)</f>
        <v/>
      </c>
      <c r="BB69" s="29">
        <f>IF(A69="","",BA69+AG69)</f>
        <v/>
      </c>
      <c r="BC69" s="29">
        <f>IF(A69="","",BB69+AH69)</f>
        <v/>
      </c>
      <c r="BD69" s="29">
        <f>IF(A69="","",BC69+AI69)</f>
        <v/>
      </c>
      <c r="BE69" s="29">
        <f>IF(A69="","",BD69+AJ69)</f>
        <v/>
      </c>
      <c r="BF69" s="29">
        <f>IF(A69="","",BE69+AK69)</f>
        <v/>
      </c>
      <c r="BG69" s="29">
        <f>IF(A69="","",BF69+AL69)</f>
        <v/>
      </c>
      <c r="BH69" s="29">
        <f>IF(A69="","",BG69+AM69)</f>
        <v/>
      </c>
      <c r="BI69" s="36">
        <f>IF(A69="","",(K69)*(IF((YEAR(D69)+0)&lt;YEAR(E69),0,IF((YEAR(D69)+0)&gt;YEAR(E69),1,(12-MONTH(E69)+1)/12)))*(1/(1+DiscountRate)^0))</f>
        <v/>
      </c>
      <c r="BJ69" s="36">
        <f>IF(A69="","",(K69)*(IF((YEAR(D69)+1)&lt;YEAR(E69),0,IF((YEAR(D69)+1)&gt;YEAR(E69),1,(12-MONTH(E69)+1)/12)))*(1/(1+DiscountRate)^1))</f>
        <v/>
      </c>
      <c r="BK69" s="36">
        <f>IF(A69="","",(K69)*(IF((YEAR(D69)+2)&lt;YEAR(E69),0,IF((YEAR(D69)+2)&gt;YEAR(E69),1,(12-MONTH(E69)+1)/12)))*(1/(1+DiscountRate)^2))</f>
        <v/>
      </c>
      <c r="BL69" s="36">
        <f>IF(A69="","",(K69)*(IF((YEAR(D69)+3)&lt;YEAR(E69),0,IF((YEAR(D69)+3)&gt;YEAR(E69),1,(12-MONTH(E69)+1)/12)))*(1/(1+DiscountRate)^3))</f>
        <v/>
      </c>
      <c r="BM69" s="36">
        <f>IF(A69="","",(K69)*(IF((YEAR(D69)+4)&lt;YEAR(E69),0,IF((YEAR(D69)+4)&gt;YEAR(E69),1,(12-MONTH(E69)+1)/12)))*(1/(1+DiscountRate)^4))</f>
        <v/>
      </c>
      <c r="BN69" s="36">
        <f>IF(A69="","",(K69)*(IF((YEAR(D69)+5)&lt;YEAR(E69),0,IF((YEAR(D69)+5)&gt;YEAR(E69),1,(12-MONTH(E69)+1)/12)))*(1/(1+DiscountRate)^5))</f>
        <v/>
      </c>
      <c r="BO69" s="36">
        <f>IF(A69="","",(K69)*(IF((YEAR(D69)+6)&lt;YEAR(E69),0,IF((YEAR(D69)+6)&gt;YEAR(E69),1,(12-MONTH(E69)+1)/12)))*(1/(1+DiscountRate)^6))</f>
        <v/>
      </c>
      <c r="BP69" s="36">
        <f>IF(A69="","",(K69)*(IF((YEAR(D69)+7)&lt;YEAR(E69),0,IF((YEAR(D69)+7)&gt;YEAR(E69),1,(12-MONTH(E69)+1)/12)))*(1/(1+DiscountRate)^7))</f>
        <v/>
      </c>
      <c r="BQ69" s="36">
        <f>IF(A69="","",(K69)*(IF((YEAR(D69)+8)&lt;YEAR(E69),0,IF((YEAR(D69)+8)&gt;YEAR(E69),1,(12-MONTH(E69)+1)/12)))*(1/(1+DiscountRate)^8))</f>
        <v/>
      </c>
      <c r="BR69" s="36">
        <f>IF(A69="","",(K69)*(IF((YEAR(D69)+9)&lt;YEAR(E69),0,IF((YEAR(D69)+9)&gt;YEAR(E69),1,(12-MONTH(E69)+1)/12)))*(1/(1+DiscountRate)^9))</f>
        <v/>
      </c>
      <c r="BS69" s="36">
        <f>IF(A69="","",(K69)*(IF((YEAR(D69)+10)&lt;YEAR(E69),0,IF((YEAR(D69)+10)&gt;YEAR(E69),1,(12-MONTH(E69)+1)/12)))*(1/(1+DiscountRate)^10))</f>
        <v/>
      </c>
      <c r="BT69" s="36">
        <f>IF(A69="","",(K69)*(IF((YEAR(D69)+11)&lt;YEAR(E69),0,IF((YEAR(D69)+11)&gt;YEAR(E69),1,(12-MONTH(E69)+1)/12)))*(1/(1+DiscountRate)^11))</f>
        <v/>
      </c>
      <c r="BU69" s="36">
        <f>IF(A69="","",(K69)*(IF((YEAR(D69)+12)&lt;YEAR(E69),0,IF((YEAR(D69)+12)&gt;YEAR(E69),1,(12-MONTH(E69)+1)/12)))*(1/(1+DiscountRate)^12))</f>
        <v/>
      </c>
      <c r="BV69" s="36">
        <f>IF(A69="","",(K69)*(IF((YEAR(D69)+13)&lt;YEAR(E69),0,IF((YEAR(D69)+13)&gt;YEAR(E69),1,(12-MONTH(E69)+1)/12)))*(1/(1+DiscountRate)^13))</f>
        <v/>
      </c>
      <c r="BW69" s="36">
        <f>IF(A69="","",(K69)*(IF((YEAR(D69)+14)&lt;YEAR(E69),0,IF((YEAR(D69)+14)&gt;YEAR(E69),1,(12-MONTH(E69)+1)/12)))*(1/(1+DiscountRate)^14))</f>
        <v/>
      </c>
      <c r="BX69" s="36">
        <f>IF(A69="","",(K69)*(IF((YEAR(D69)+15)&lt;YEAR(E69),0,IF((YEAR(D69)+15)&gt;YEAR(E69),1,(12-MONTH(E69)+1)/12)))*(1/(1+DiscountRate)^15))</f>
        <v/>
      </c>
      <c r="BY69" s="36">
        <f>IF(A69="","",(K69)*(IF((YEAR(D69)+16)&lt;YEAR(E69),0,IF((YEAR(D69)+16)&gt;YEAR(E69),1,(12-MONTH(E69)+1)/12)))*(1/(1+DiscountRate)^16))</f>
        <v/>
      </c>
      <c r="BZ69" s="36">
        <f>IF(A69="","",(K69)*(IF((YEAR(D69)+17)&lt;YEAR(E69),0,IF((YEAR(D69)+17)&gt;YEAR(E69),1,(12-MONTH(E69)+1)/12)))*(1/(1+DiscountRate)^17))</f>
        <v/>
      </c>
      <c r="CA69" s="36">
        <f>IF(A69="","",(K69)*(IF((YEAR(D69)+18)&lt;YEAR(E69),0,IF((YEAR(D69)+18)&gt;YEAR(E69),1,(12-MONTH(E69)+1)/12)))*(1/(1+DiscountRate)^18))</f>
        <v/>
      </c>
      <c r="CB69" s="36">
        <f>IF(A69="","",(K69)*(IF((YEAR(D69)+19)&lt;YEAR(E69),0,IF((YEAR(D69)+19)&gt;YEAR(E69),1,(12-MONTH(E69)+1)/12)))*(1/(1+DiscountRate)^19))</f>
        <v/>
      </c>
      <c r="CC69" s="36">
        <f>IF(A69="","",(K69)*(IF((YEAR(D69)+20)&lt;YEAR(E69),0,IF((YEAR(D69)+20)&gt;YEAR(E69),1,(12-MONTH(E69)+1)/12)))*(1/(1+DiscountRate)^20))</f>
        <v/>
      </c>
      <c r="CD69" s="29">
        <f>IF(A69="","",S69/(1+DiscountRate)^0+T69/(1+DiscountRate)^1+U69/(1+DiscountRate)^2+V69/(1+DiscountRate)^3+W69/(1+DiscountRate)^4+X69/(1+DiscountRate)^5+Y69/(1+DiscountRate)^6+Z69/(1+DiscountRate)^7+AA69/(1+DiscountRate)^8+AB69/(1+DiscountRate)^9+AC69/(1+DiscountRate)^10+AD69/(1+DiscountRate)^11+AE69/(1+DiscountRate)^12+AF69/(1+DiscountRate)^13+AG69/(1+DiscountRate)^14+AH69/(1+DiscountRate)^15+AI69/(1+DiscountRate)^16+AJ69/(1+DiscountRate)^17+AK69/(1+DiscountRate)^18+AL69/(1+DiscountRate)^19+AM69/(1+DiscountRate)^20)</f>
        <v/>
      </c>
      <c r="CE69" s="37">
        <f>IF(A69="","",IFERROR(IRR(OFFSET(S69,0,0,1,MIN(HorizonYears,20)+1)),"n/a"))</f>
        <v/>
      </c>
      <c r="CF69" s="28">
        <f>IF(A69="","",IFERROR(MATCH(TRUE,OFFSET(AN69,0,0,1,MIN(HorizonYears,20)+1)&gt;=0,0)-1,"n/a"))</f>
        <v/>
      </c>
      <c r="CG69" s="36">
        <f>IF(A69="","",SUM(OFFSET(BI69,0,0,1,MIN(HorizonYears,20)+1)))</f>
        <v/>
      </c>
      <c r="CH69" s="36">
        <f>IF(A69="","",IFERROR(-CD69/CG69,"n/a"))</f>
        <v/>
      </c>
    </row>
    <row r="70">
      <c r="A70" s="6">
        <f>Actions!A68</f>
        <v/>
      </c>
      <c r="B70" s="6">
        <f>Actions!B68</f>
        <v/>
      </c>
      <c r="C70" s="6">
        <f>Actions!D68</f>
        <v/>
      </c>
      <c r="D70" s="35">
        <f>Actions!E68</f>
        <v/>
      </c>
      <c r="E70" s="35">
        <f>Actions!F68</f>
        <v/>
      </c>
      <c r="F70" s="6">
        <f>Actions!G68</f>
        <v/>
      </c>
      <c r="G70" s="6">
        <f>Actions!H68</f>
        <v/>
      </c>
      <c r="H70" s="29">
        <f>Actions!I68</f>
        <v/>
      </c>
      <c r="I70" s="6">
        <f>Actions!J68</f>
        <v/>
      </c>
      <c r="J70" s="16">
        <f>Actions!K68</f>
        <v/>
      </c>
      <c r="K70" s="16">
        <f>IF(A70="","",IF(I70="%",H70*J70,J70))</f>
        <v/>
      </c>
      <c r="L70" s="16">
        <f>Actions!L68</f>
        <v/>
      </c>
      <c r="M70" s="6">
        <f>Actions!M68</f>
        <v/>
      </c>
      <c r="N70" s="28">
        <f>Actions!N68</f>
        <v/>
      </c>
      <c r="O70" s="29">
        <f>Actions!T68</f>
        <v/>
      </c>
      <c r="P70" s="29">
        <f>Actions!Y68</f>
        <v/>
      </c>
      <c r="Q70" s="29">
        <f>Actions!Z68</f>
        <v/>
      </c>
      <c r="R70" s="29">
        <f>Actions!AA68</f>
        <v/>
      </c>
      <c r="S70" s="29">
        <f>IF(A70="","",((K70)*(IF(M70="",L70,IFERROR(IF(INDEX(Variablen!$I:$AT, MATCH(M70, Variablen!$A:$A, 0), MATCH((YEAR(D70)+0), Variablen!$I$3:$AT$3, 0))="",L70,INDEX(Variablen!$I:$AT, MATCH(M70, Variablen!$A:$A, 0), MATCH((YEAR(D70)+0), Variablen!$I$3:$AT$3, 0))),L70)))*(IF((YEAR(D70)+0)&lt;YEAR(E70),0,IF((YEAR(D70)+0)&gt;YEAR(E70),1,(12-MONTH(E70)+1)/12))) + (Q70)*(IF((YEAR(D70)+0)&lt;YEAR(E70),0,IF((YEAR(D70)+0)&gt;YEAR(E70),1,(12-MONTH(E70)+1)/12))))-((P70)*(IF((YEAR(D70)+0)&lt;YEAR(E70),0,IF((YEAR(D70)+0)&gt;YEAR(E70),1,(12-MONTH(E70)+1)/12))) + (R70)*(IF((YEAR(D70)+0)&lt;YEAR(E70),0,IF((YEAR(D70)+0)&gt;YEAR(E70),1,(12-MONTH(E70)+1)/12))))-(IF((((K70)*(IF(M70="",L70,IFERROR(IF(INDEX(Variablen!$I:$AT, MATCH(M70, Variablen!$A:$A, 0), MATCH((YEAR(D70)+0), Variablen!$I$3:$AT$3, 0))="",L70,INDEX(Variablen!$I:$AT, MATCH(M70, Variablen!$A:$A, 0), MATCH((YEAR(D70)+0), Variablen!$I$3:$AT$3, 0))),L70)))*(IF((YEAR(D70)+0)&lt;YEAR(E70),0,IF((YEAR(D70)+0)&gt;YEAR(E70),1,(12-MONTH(E70)+1)/12))) + (Q70)*(IF((YEAR(D70)+0)&lt;YEAR(E70),0,IF((YEAR(D70)+0)&gt;YEAR(E70),1,(12-MONTH(E70)+1)/12))))-((P70)*(IF((YEAR(D70)+0)&lt;YEAR(E70),0,IF((YEAR(D70)+0)&gt;YEAR(E70),1,(12-MONTH(E70)+1)/12))) + (R70)*(IF((YEAR(D70)+0)&lt;YEAR(E70),0,IF((YEAR(D70)+0)&gt;YEAR(E70),1,(12-MONTH(E70)+1)/12))))-(IF(OR(N70="",N70&lt;=0),0,(O70/N70)*(IF(OR(N70="",N70&lt;=0),0,IF((YEAR(D70)+0)&lt;YEAR(E70),0,IF((YEAR(D70)+0)&gt;=YEAR(E70)+N70,0,IF((YEAR(D70)+0)=YEAR(E70),(12-MONTH(E70)+1)/12,1))))))))&gt;0,(((K70)*(IF(M70="",L70,IFERROR(IF(INDEX(Variablen!$I:$AT, MATCH(M70, Variablen!$A:$A, 0), MATCH((YEAR(D70)+0), Variablen!$I$3:$AT$3, 0))="",L70,INDEX(Variablen!$I:$AT, MATCH(M70, Variablen!$A:$A, 0), MATCH((YEAR(D70)+0), Variablen!$I$3:$AT$3, 0))),L70)))*(IF((YEAR(D70)+0)&lt;YEAR(E70),0,IF((YEAR(D70)+0)&gt;YEAR(E70),1,(12-MONTH(E70)+1)/12))) + (Q70)*(IF((YEAR(D70)+0)&lt;YEAR(E70),0,IF((YEAR(D70)+0)&gt;YEAR(E70),1,(12-MONTH(E70)+1)/12))))-((P70)*(IF((YEAR(D70)+0)&lt;YEAR(E70),0,IF((YEAR(D70)+0)&gt;YEAR(E70),1,(12-MONTH(E70)+1)/12))) + (R70)*(IF((YEAR(D70)+0)&lt;YEAR(E70),0,IF((YEAR(D70)+0)&gt;YEAR(E70),1,(12-MONTH(E70)+1)/12))))-(IF(OR(N70="",N70&lt;=0),0,(O70/N70)*(IF(OR(N70="",N70&lt;=0),0,IF((YEAR(D70)+0)&lt;YEAR(E70),0,IF((YEAR(D70)+0)&gt;=YEAR(E70)+N70,0,IF((YEAR(D70)+0)=YEAR(E70),(12-MONTH(E70)+1)/12,1))))))))*TaxRate,0))-IF(0=0,O70,0))</f>
        <v/>
      </c>
      <c r="T70" s="29">
        <f>IF(A70="","",((K70)*(IF(M70="",L70,IFERROR(IF(INDEX(Variablen!$I:$AT, MATCH(M70, Variablen!$A:$A, 0), MATCH((YEAR(D70)+1), Variablen!$I$3:$AT$3, 0))="",L70,INDEX(Variablen!$I:$AT, MATCH(M70, Variablen!$A:$A, 0), MATCH((YEAR(D70)+1), Variablen!$I$3:$AT$3, 0))),L70)))*(IF((YEAR(D70)+1)&lt;YEAR(E70),0,IF((YEAR(D70)+1)&gt;YEAR(E70),1,(12-MONTH(E70)+1)/12))) + (Q70)*(IF((YEAR(D70)+1)&lt;YEAR(E70),0,IF((YEAR(D70)+1)&gt;YEAR(E70),1,(12-MONTH(E70)+1)/12))))-((P70)*(IF((YEAR(D70)+1)&lt;YEAR(E70),0,IF((YEAR(D70)+1)&gt;YEAR(E70),1,(12-MONTH(E70)+1)/12))) + (R70)*(IF((YEAR(D70)+1)&lt;YEAR(E70),0,IF((YEAR(D70)+1)&gt;YEAR(E70),1,(12-MONTH(E70)+1)/12))))-(IF((((K70)*(IF(M70="",L70,IFERROR(IF(INDEX(Variablen!$I:$AT, MATCH(M70, Variablen!$A:$A, 0), MATCH((YEAR(D70)+1), Variablen!$I$3:$AT$3, 0))="",L70,INDEX(Variablen!$I:$AT, MATCH(M70, Variablen!$A:$A, 0), MATCH((YEAR(D70)+1), Variablen!$I$3:$AT$3, 0))),L70)))*(IF((YEAR(D70)+1)&lt;YEAR(E70),0,IF((YEAR(D70)+1)&gt;YEAR(E70),1,(12-MONTH(E70)+1)/12))) + (Q70)*(IF((YEAR(D70)+1)&lt;YEAR(E70),0,IF((YEAR(D70)+1)&gt;YEAR(E70),1,(12-MONTH(E70)+1)/12))))-((P70)*(IF((YEAR(D70)+1)&lt;YEAR(E70),0,IF((YEAR(D70)+1)&gt;YEAR(E70),1,(12-MONTH(E70)+1)/12))) + (R70)*(IF((YEAR(D70)+1)&lt;YEAR(E70),0,IF((YEAR(D70)+1)&gt;YEAR(E70),1,(12-MONTH(E70)+1)/12))))-(IF(OR(N70="",N70&lt;=0),0,(O70/N70)*(IF(OR(N70="",N70&lt;=0),0,IF((YEAR(D70)+1)&lt;YEAR(E70),0,IF((YEAR(D70)+1)&gt;=YEAR(E70)+N70,0,IF((YEAR(D70)+1)=YEAR(E70),(12-MONTH(E70)+1)/12,1))))))))&gt;0,(((K70)*(IF(M70="",L70,IFERROR(IF(INDEX(Variablen!$I:$AT, MATCH(M70, Variablen!$A:$A, 0), MATCH((YEAR(D70)+1), Variablen!$I$3:$AT$3, 0))="",L70,INDEX(Variablen!$I:$AT, MATCH(M70, Variablen!$A:$A, 0), MATCH((YEAR(D70)+1), Variablen!$I$3:$AT$3, 0))),L70)))*(IF((YEAR(D70)+1)&lt;YEAR(E70),0,IF((YEAR(D70)+1)&gt;YEAR(E70),1,(12-MONTH(E70)+1)/12))) + (Q70)*(IF((YEAR(D70)+1)&lt;YEAR(E70),0,IF((YEAR(D70)+1)&gt;YEAR(E70),1,(12-MONTH(E70)+1)/12))))-((P70)*(IF((YEAR(D70)+1)&lt;YEAR(E70),0,IF((YEAR(D70)+1)&gt;YEAR(E70),1,(12-MONTH(E70)+1)/12))) + (R70)*(IF((YEAR(D70)+1)&lt;YEAR(E70),0,IF((YEAR(D70)+1)&gt;YEAR(E70),1,(12-MONTH(E70)+1)/12))))-(IF(OR(N70="",N70&lt;=0),0,(O70/N70)*(IF(OR(N70="",N70&lt;=0),0,IF((YEAR(D70)+1)&lt;YEAR(E70),0,IF((YEAR(D70)+1)&gt;=YEAR(E70)+N70,0,IF((YEAR(D70)+1)=YEAR(E70),(12-MONTH(E70)+1)/12,1))))))))*TaxRate,0))-IF(1=0,O70,0))</f>
        <v/>
      </c>
      <c r="U70" s="29">
        <f>IF(A70="","",((K70)*(IF(M70="",L70,IFERROR(IF(INDEX(Variablen!$I:$AT, MATCH(M70, Variablen!$A:$A, 0), MATCH((YEAR(D70)+2), Variablen!$I$3:$AT$3, 0))="",L70,INDEX(Variablen!$I:$AT, MATCH(M70, Variablen!$A:$A, 0), MATCH((YEAR(D70)+2), Variablen!$I$3:$AT$3, 0))),L70)))*(IF((YEAR(D70)+2)&lt;YEAR(E70),0,IF((YEAR(D70)+2)&gt;YEAR(E70),1,(12-MONTH(E70)+1)/12))) + (Q70)*(IF((YEAR(D70)+2)&lt;YEAR(E70),0,IF((YEAR(D70)+2)&gt;YEAR(E70),1,(12-MONTH(E70)+1)/12))))-((P70)*(IF((YEAR(D70)+2)&lt;YEAR(E70),0,IF((YEAR(D70)+2)&gt;YEAR(E70),1,(12-MONTH(E70)+1)/12))) + (R70)*(IF((YEAR(D70)+2)&lt;YEAR(E70),0,IF((YEAR(D70)+2)&gt;YEAR(E70),1,(12-MONTH(E70)+1)/12))))-(IF((((K70)*(IF(M70="",L70,IFERROR(IF(INDEX(Variablen!$I:$AT, MATCH(M70, Variablen!$A:$A, 0), MATCH((YEAR(D70)+2), Variablen!$I$3:$AT$3, 0))="",L70,INDEX(Variablen!$I:$AT, MATCH(M70, Variablen!$A:$A, 0), MATCH((YEAR(D70)+2), Variablen!$I$3:$AT$3, 0))),L70)))*(IF((YEAR(D70)+2)&lt;YEAR(E70),0,IF((YEAR(D70)+2)&gt;YEAR(E70),1,(12-MONTH(E70)+1)/12))) + (Q70)*(IF((YEAR(D70)+2)&lt;YEAR(E70),0,IF((YEAR(D70)+2)&gt;YEAR(E70),1,(12-MONTH(E70)+1)/12))))-((P70)*(IF((YEAR(D70)+2)&lt;YEAR(E70),0,IF((YEAR(D70)+2)&gt;YEAR(E70),1,(12-MONTH(E70)+1)/12))) + (R70)*(IF((YEAR(D70)+2)&lt;YEAR(E70),0,IF((YEAR(D70)+2)&gt;YEAR(E70),1,(12-MONTH(E70)+1)/12))))-(IF(OR(N70="",N70&lt;=0),0,(O70/N70)*(IF(OR(N70="",N70&lt;=0),0,IF((YEAR(D70)+2)&lt;YEAR(E70),0,IF((YEAR(D70)+2)&gt;=YEAR(E70)+N70,0,IF((YEAR(D70)+2)=YEAR(E70),(12-MONTH(E70)+1)/12,1))))))))&gt;0,(((K70)*(IF(M70="",L70,IFERROR(IF(INDEX(Variablen!$I:$AT, MATCH(M70, Variablen!$A:$A, 0), MATCH((YEAR(D70)+2), Variablen!$I$3:$AT$3, 0))="",L70,INDEX(Variablen!$I:$AT, MATCH(M70, Variablen!$A:$A, 0), MATCH((YEAR(D70)+2), Variablen!$I$3:$AT$3, 0))),L70)))*(IF((YEAR(D70)+2)&lt;YEAR(E70),0,IF((YEAR(D70)+2)&gt;YEAR(E70),1,(12-MONTH(E70)+1)/12))) + (Q70)*(IF((YEAR(D70)+2)&lt;YEAR(E70),0,IF((YEAR(D70)+2)&gt;YEAR(E70),1,(12-MONTH(E70)+1)/12))))-((P70)*(IF((YEAR(D70)+2)&lt;YEAR(E70),0,IF((YEAR(D70)+2)&gt;YEAR(E70),1,(12-MONTH(E70)+1)/12))) + (R70)*(IF((YEAR(D70)+2)&lt;YEAR(E70),0,IF((YEAR(D70)+2)&gt;YEAR(E70),1,(12-MONTH(E70)+1)/12))))-(IF(OR(N70="",N70&lt;=0),0,(O70/N70)*(IF(OR(N70="",N70&lt;=0),0,IF((YEAR(D70)+2)&lt;YEAR(E70),0,IF((YEAR(D70)+2)&gt;=YEAR(E70)+N70,0,IF((YEAR(D70)+2)=YEAR(E70),(12-MONTH(E70)+1)/12,1))))))))*TaxRate,0))-IF(2=0,O70,0))</f>
        <v/>
      </c>
      <c r="V70" s="29">
        <f>IF(A70="","",((K70)*(IF(M70="",L70,IFERROR(IF(INDEX(Variablen!$I:$AT, MATCH(M70, Variablen!$A:$A, 0), MATCH((YEAR(D70)+3), Variablen!$I$3:$AT$3, 0))="",L70,INDEX(Variablen!$I:$AT, MATCH(M70, Variablen!$A:$A, 0), MATCH((YEAR(D70)+3), Variablen!$I$3:$AT$3, 0))),L70)))*(IF((YEAR(D70)+3)&lt;YEAR(E70),0,IF((YEAR(D70)+3)&gt;YEAR(E70),1,(12-MONTH(E70)+1)/12))) + (Q70)*(IF((YEAR(D70)+3)&lt;YEAR(E70),0,IF((YEAR(D70)+3)&gt;YEAR(E70),1,(12-MONTH(E70)+1)/12))))-((P70)*(IF((YEAR(D70)+3)&lt;YEAR(E70),0,IF((YEAR(D70)+3)&gt;YEAR(E70),1,(12-MONTH(E70)+1)/12))) + (R70)*(IF((YEAR(D70)+3)&lt;YEAR(E70),0,IF((YEAR(D70)+3)&gt;YEAR(E70),1,(12-MONTH(E70)+1)/12))))-(IF((((K70)*(IF(M70="",L70,IFERROR(IF(INDEX(Variablen!$I:$AT, MATCH(M70, Variablen!$A:$A, 0), MATCH((YEAR(D70)+3), Variablen!$I$3:$AT$3, 0))="",L70,INDEX(Variablen!$I:$AT, MATCH(M70, Variablen!$A:$A, 0), MATCH((YEAR(D70)+3), Variablen!$I$3:$AT$3, 0))),L70)))*(IF((YEAR(D70)+3)&lt;YEAR(E70),0,IF((YEAR(D70)+3)&gt;YEAR(E70),1,(12-MONTH(E70)+1)/12))) + (Q70)*(IF((YEAR(D70)+3)&lt;YEAR(E70),0,IF((YEAR(D70)+3)&gt;YEAR(E70),1,(12-MONTH(E70)+1)/12))))-((P70)*(IF((YEAR(D70)+3)&lt;YEAR(E70),0,IF((YEAR(D70)+3)&gt;YEAR(E70),1,(12-MONTH(E70)+1)/12))) + (R70)*(IF((YEAR(D70)+3)&lt;YEAR(E70),0,IF((YEAR(D70)+3)&gt;YEAR(E70),1,(12-MONTH(E70)+1)/12))))-(IF(OR(N70="",N70&lt;=0),0,(O70/N70)*(IF(OR(N70="",N70&lt;=0),0,IF((YEAR(D70)+3)&lt;YEAR(E70),0,IF((YEAR(D70)+3)&gt;=YEAR(E70)+N70,0,IF((YEAR(D70)+3)=YEAR(E70),(12-MONTH(E70)+1)/12,1))))))))&gt;0,(((K70)*(IF(M70="",L70,IFERROR(IF(INDEX(Variablen!$I:$AT, MATCH(M70, Variablen!$A:$A, 0), MATCH((YEAR(D70)+3), Variablen!$I$3:$AT$3, 0))="",L70,INDEX(Variablen!$I:$AT, MATCH(M70, Variablen!$A:$A, 0), MATCH((YEAR(D70)+3), Variablen!$I$3:$AT$3, 0))),L70)))*(IF((YEAR(D70)+3)&lt;YEAR(E70),0,IF((YEAR(D70)+3)&gt;YEAR(E70),1,(12-MONTH(E70)+1)/12))) + (Q70)*(IF((YEAR(D70)+3)&lt;YEAR(E70),0,IF((YEAR(D70)+3)&gt;YEAR(E70),1,(12-MONTH(E70)+1)/12))))-((P70)*(IF((YEAR(D70)+3)&lt;YEAR(E70),0,IF((YEAR(D70)+3)&gt;YEAR(E70),1,(12-MONTH(E70)+1)/12))) + (R70)*(IF((YEAR(D70)+3)&lt;YEAR(E70),0,IF((YEAR(D70)+3)&gt;YEAR(E70),1,(12-MONTH(E70)+1)/12))))-(IF(OR(N70="",N70&lt;=0),0,(O70/N70)*(IF(OR(N70="",N70&lt;=0),0,IF((YEAR(D70)+3)&lt;YEAR(E70),0,IF((YEAR(D70)+3)&gt;=YEAR(E70)+N70,0,IF((YEAR(D70)+3)=YEAR(E70),(12-MONTH(E70)+1)/12,1))))))))*TaxRate,0))-IF(3=0,O70,0))</f>
        <v/>
      </c>
      <c r="W70" s="29">
        <f>IF(A70="","",((K70)*(IF(M70="",L70,IFERROR(IF(INDEX(Variablen!$I:$AT, MATCH(M70, Variablen!$A:$A, 0), MATCH((YEAR(D70)+4), Variablen!$I$3:$AT$3, 0))="",L70,INDEX(Variablen!$I:$AT, MATCH(M70, Variablen!$A:$A, 0), MATCH((YEAR(D70)+4), Variablen!$I$3:$AT$3, 0))),L70)))*(IF((YEAR(D70)+4)&lt;YEAR(E70),0,IF((YEAR(D70)+4)&gt;YEAR(E70),1,(12-MONTH(E70)+1)/12))) + (Q70)*(IF((YEAR(D70)+4)&lt;YEAR(E70),0,IF((YEAR(D70)+4)&gt;YEAR(E70),1,(12-MONTH(E70)+1)/12))))-((P70)*(IF((YEAR(D70)+4)&lt;YEAR(E70),0,IF((YEAR(D70)+4)&gt;YEAR(E70),1,(12-MONTH(E70)+1)/12))) + (R70)*(IF((YEAR(D70)+4)&lt;YEAR(E70),0,IF((YEAR(D70)+4)&gt;YEAR(E70),1,(12-MONTH(E70)+1)/12))))-(IF((((K70)*(IF(M70="",L70,IFERROR(IF(INDEX(Variablen!$I:$AT, MATCH(M70, Variablen!$A:$A, 0), MATCH((YEAR(D70)+4), Variablen!$I$3:$AT$3, 0))="",L70,INDEX(Variablen!$I:$AT, MATCH(M70, Variablen!$A:$A, 0), MATCH((YEAR(D70)+4), Variablen!$I$3:$AT$3, 0))),L70)))*(IF((YEAR(D70)+4)&lt;YEAR(E70),0,IF((YEAR(D70)+4)&gt;YEAR(E70),1,(12-MONTH(E70)+1)/12))) + (Q70)*(IF((YEAR(D70)+4)&lt;YEAR(E70),0,IF((YEAR(D70)+4)&gt;YEAR(E70),1,(12-MONTH(E70)+1)/12))))-((P70)*(IF((YEAR(D70)+4)&lt;YEAR(E70),0,IF((YEAR(D70)+4)&gt;YEAR(E70),1,(12-MONTH(E70)+1)/12))) + (R70)*(IF((YEAR(D70)+4)&lt;YEAR(E70),0,IF((YEAR(D70)+4)&gt;YEAR(E70),1,(12-MONTH(E70)+1)/12))))-(IF(OR(N70="",N70&lt;=0),0,(O70/N70)*(IF(OR(N70="",N70&lt;=0),0,IF((YEAR(D70)+4)&lt;YEAR(E70),0,IF((YEAR(D70)+4)&gt;=YEAR(E70)+N70,0,IF((YEAR(D70)+4)=YEAR(E70),(12-MONTH(E70)+1)/12,1))))))))&gt;0,(((K70)*(IF(M70="",L70,IFERROR(IF(INDEX(Variablen!$I:$AT, MATCH(M70, Variablen!$A:$A, 0), MATCH((YEAR(D70)+4), Variablen!$I$3:$AT$3, 0))="",L70,INDEX(Variablen!$I:$AT, MATCH(M70, Variablen!$A:$A, 0), MATCH((YEAR(D70)+4), Variablen!$I$3:$AT$3, 0))),L70)))*(IF((YEAR(D70)+4)&lt;YEAR(E70),0,IF((YEAR(D70)+4)&gt;YEAR(E70),1,(12-MONTH(E70)+1)/12))) + (Q70)*(IF((YEAR(D70)+4)&lt;YEAR(E70),0,IF((YEAR(D70)+4)&gt;YEAR(E70),1,(12-MONTH(E70)+1)/12))))-((P70)*(IF((YEAR(D70)+4)&lt;YEAR(E70),0,IF((YEAR(D70)+4)&gt;YEAR(E70),1,(12-MONTH(E70)+1)/12))) + (R70)*(IF((YEAR(D70)+4)&lt;YEAR(E70),0,IF((YEAR(D70)+4)&gt;YEAR(E70),1,(12-MONTH(E70)+1)/12))))-(IF(OR(N70="",N70&lt;=0),0,(O70/N70)*(IF(OR(N70="",N70&lt;=0),0,IF((YEAR(D70)+4)&lt;YEAR(E70),0,IF((YEAR(D70)+4)&gt;=YEAR(E70)+N70,0,IF((YEAR(D70)+4)=YEAR(E70),(12-MONTH(E70)+1)/12,1))))))))*TaxRate,0))-IF(4=0,O70,0))</f>
        <v/>
      </c>
      <c r="X70" s="29">
        <f>IF(A70="","",((K70)*(IF(M70="",L70,IFERROR(IF(INDEX(Variablen!$I:$AT, MATCH(M70, Variablen!$A:$A, 0), MATCH((YEAR(D70)+5), Variablen!$I$3:$AT$3, 0))="",L70,INDEX(Variablen!$I:$AT, MATCH(M70, Variablen!$A:$A, 0), MATCH((YEAR(D70)+5), Variablen!$I$3:$AT$3, 0))),L70)))*(IF((YEAR(D70)+5)&lt;YEAR(E70),0,IF((YEAR(D70)+5)&gt;YEAR(E70),1,(12-MONTH(E70)+1)/12))) + (Q70)*(IF((YEAR(D70)+5)&lt;YEAR(E70),0,IF((YEAR(D70)+5)&gt;YEAR(E70),1,(12-MONTH(E70)+1)/12))))-((P70)*(IF((YEAR(D70)+5)&lt;YEAR(E70),0,IF((YEAR(D70)+5)&gt;YEAR(E70),1,(12-MONTH(E70)+1)/12))) + (R70)*(IF((YEAR(D70)+5)&lt;YEAR(E70),0,IF((YEAR(D70)+5)&gt;YEAR(E70),1,(12-MONTH(E70)+1)/12))))-(IF((((K70)*(IF(M70="",L70,IFERROR(IF(INDEX(Variablen!$I:$AT, MATCH(M70, Variablen!$A:$A, 0), MATCH((YEAR(D70)+5), Variablen!$I$3:$AT$3, 0))="",L70,INDEX(Variablen!$I:$AT, MATCH(M70, Variablen!$A:$A, 0), MATCH((YEAR(D70)+5), Variablen!$I$3:$AT$3, 0))),L70)))*(IF((YEAR(D70)+5)&lt;YEAR(E70),0,IF((YEAR(D70)+5)&gt;YEAR(E70),1,(12-MONTH(E70)+1)/12))) + (Q70)*(IF((YEAR(D70)+5)&lt;YEAR(E70),0,IF((YEAR(D70)+5)&gt;YEAR(E70),1,(12-MONTH(E70)+1)/12))))-((P70)*(IF((YEAR(D70)+5)&lt;YEAR(E70),0,IF((YEAR(D70)+5)&gt;YEAR(E70),1,(12-MONTH(E70)+1)/12))) + (R70)*(IF((YEAR(D70)+5)&lt;YEAR(E70),0,IF((YEAR(D70)+5)&gt;YEAR(E70),1,(12-MONTH(E70)+1)/12))))-(IF(OR(N70="",N70&lt;=0),0,(O70/N70)*(IF(OR(N70="",N70&lt;=0),0,IF((YEAR(D70)+5)&lt;YEAR(E70),0,IF((YEAR(D70)+5)&gt;=YEAR(E70)+N70,0,IF((YEAR(D70)+5)=YEAR(E70),(12-MONTH(E70)+1)/12,1))))))))&gt;0,(((K70)*(IF(M70="",L70,IFERROR(IF(INDEX(Variablen!$I:$AT, MATCH(M70, Variablen!$A:$A, 0), MATCH((YEAR(D70)+5), Variablen!$I$3:$AT$3, 0))="",L70,INDEX(Variablen!$I:$AT, MATCH(M70, Variablen!$A:$A, 0), MATCH((YEAR(D70)+5), Variablen!$I$3:$AT$3, 0))),L70)))*(IF((YEAR(D70)+5)&lt;YEAR(E70),0,IF((YEAR(D70)+5)&gt;YEAR(E70),1,(12-MONTH(E70)+1)/12))) + (Q70)*(IF((YEAR(D70)+5)&lt;YEAR(E70),0,IF((YEAR(D70)+5)&gt;YEAR(E70),1,(12-MONTH(E70)+1)/12))))-((P70)*(IF((YEAR(D70)+5)&lt;YEAR(E70),0,IF((YEAR(D70)+5)&gt;YEAR(E70),1,(12-MONTH(E70)+1)/12))) + (R70)*(IF((YEAR(D70)+5)&lt;YEAR(E70),0,IF((YEAR(D70)+5)&gt;YEAR(E70),1,(12-MONTH(E70)+1)/12))))-(IF(OR(N70="",N70&lt;=0),0,(O70/N70)*(IF(OR(N70="",N70&lt;=0),0,IF((YEAR(D70)+5)&lt;YEAR(E70),0,IF((YEAR(D70)+5)&gt;=YEAR(E70)+N70,0,IF((YEAR(D70)+5)=YEAR(E70),(12-MONTH(E70)+1)/12,1))))))))*TaxRate,0))-IF(5=0,O70,0))</f>
        <v/>
      </c>
      <c r="Y70" s="29">
        <f>IF(A70="","",((K70)*(IF(M70="",L70,IFERROR(IF(INDEX(Variablen!$I:$AT, MATCH(M70, Variablen!$A:$A, 0), MATCH((YEAR(D70)+6), Variablen!$I$3:$AT$3, 0))="",L70,INDEX(Variablen!$I:$AT, MATCH(M70, Variablen!$A:$A, 0), MATCH((YEAR(D70)+6), Variablen!$I$3:$AT$3, 0))),L70)))*(IF((YEAR(D70)+6)&lt;YEAR(E70),0,IF((YEAR(D70)+6)&gt;YEAR(E70),1,(12-MONTH(E70)+1)/12))) + (Q70)*(IF((YEAR(D70)+6)&lt;YEAR(E70),0,IF((YEAR(D70)+6)&gt;YEAR(E70),1,(12-MONTH(E70)+1)/12))))-((P70)*(IF((YEAR(D70)+6)&lt;YEAR(E70),0,IF((YEAR(D70)+6)&gt;YEAR(E70),1,(12-MONTH(E70)+1)/12))) + (R70)*(IF((YEAR(D70)+6)&lt;YEAR(E70),0,IF((YEAR(D70)+6)&gt;YEAR(E70),1,(12-MONTH(E70)+1)/12))))-(IF((((K70)*(IF(M70="",L70,IFERROR(IF(INDEX(Variablen!$I:$AT, MATCH(M70, Variablen!$A:$A, 0), MATCH((YEAR(D70)+6), Variablen!$I$3:$AT$3, 0))="",L70,INDEX(Variablen!$I:$AT, MATCH(M70, Variablen!$A:$A, 0), MATCH((YEAR(D70)+6), Variablen!$I$3:$AT$3, 0))),L70)))*(IF((YEAR(D70)+6)&lt;YEAR(E70),0,IF((YEAR(D70)+6)&gt;YEAR(E70),1,(12-MONTH(E70)+1)/12))) + (Q70)*(IF((YEAR(D70)+6)&lt;YEAR(E70),0,IF((YEAR(D70)+6)&gt;YEAR(E70),1,(12-MONTH(E70)+1)/12))))-((P70)*(IF((YEAR(D70)+6)&lt;YEAR(E70),0,IF((YEAR(D70)+6)&gt;YEAR(E70),1,(12-MONTH(E70)+1)/12))) + (R70)*(IF((YEAR(D70)+6)&lt;YEAR(E70),0,IF((YEAR(D70)+6)&gt;YEAR(E70),1,(12-MONTH(E70)+1)/12))))-(IF(OR(N70="",N70&lt;=0),0,(O70/N70)*(IF(OR(N70="",N70&lt;=0),0,IF((YEAR(D70)+6)&lt;YEAR(E70),0,IF((YEAR(D70)+6)&gt;=YEAR(E70)+N70,0,IF((YEAR(D70)+6)=YEAR(E70),(12-MONTH(E70)+1)/12,1))))))))&gt;0,(((K70)*(IF(M70="",L70,IFERROR(IF(INDEX(Variablen!$I:$AT, MATCH(M70, Variablen!$A:$A, 0), MATCH((YEAR(D70)+6), Variablen!$I$3:$AT$3, 0))="",L70,INDEX(Variablen!$I:$AT, MATCH(M70, Variablen!$A:$A, 0), MATCH((YEAR(D70)+6), Variablen!$I$3:$AT$3, 0))),L70)))*(IF((YEAR(D70)+6)&lt;YEAR(E70),0,IF((YEAR(D70)+6)&gt;YEAR(E70),1,(12-MONTH(E70)+1)/12))) + (Q70)*(IF((YEAR(D70)+6)&lt;YEAR(E70),0,IF((YEAR(D70)+6)&gt;YEAR(E70),1,(12-MONTH(E70)+1)/12))))-((P70)*(IF((YEAR(D70)+6)&lt;YEAR(E70),0,IF((YEAR(D70)+6)&gt;YEAR(E70),1,(12-MONTH(E70)+1)/12))) + (R70)*(IF((YEAR(D70)+6)&lt;YEAR(E70),0,IF((YEAR(D70)+6)&gt;YEAR(E70),1,(12-MONTH(E70)+1)/12))))-(IF(OR(N70="",N70&lt;=0),0,(O70/N70)*(IF(OR(N70="",N70&lt;=0),0,IF((YEAR(D70)+6)&lt;YEAR(E70),0,IF((YEAR(D70)+6)&gt;=YEAR(E70)+N70,0,IF((YEAR(D70)+6)=YEAR(E70),(12-MONTH(E70)+1)/12,1))))))))*TaxRate,0))-IF(6=0,O70,0))</f>
        <v/>
      </c>
      <c r="Z70" s="29">
        <f>IF(A70="","",((K70)*(IF(M70="",L70,IFERROR(IF(INDEX(Variablen!$I:$AT, MATCH(M70, Variablen!$A:$A, 0), MATCH((YEAR(D70)+7), Variablen!$I$3:$AT$3, 0))="",L70,INDEX(Variablen!$I:$AT, MATCH(M70, Variablen!$A:$A, 0), MATCH((YEAR(D70)+7), Variablen!$I$3:$AT$3, 0))),L70)))*(IF((YEAR(D70)+7)&lt;YEAR(E70),0,IF((YEAR(D70)+7)&gt;YEAR(E70),1,(12-MONTH(E70)+1)/12))) + (Q70)*(IF((YEAR(D70)+7)&lt;YEAR(E70),0,IF((YEAR(D70)+7)&gt;YEAR(E70),1,(12-MONTH(E70)+1)/12))))-((P70)*(IF((YEAR(D70)+7)&lt;YEAR(E70),0,IF((YEAR(D70)+7)&gt;YEAR(E70),1,(12-MONTH(E70)+1)/12))) + (R70)*(IF((YEAR(D70)+7)&lt;YEAR(E70),0,IF((YEAR(D70)+7)&gt;YEAR(E70),1,(12-MONTH(E70)+1)/12))))-(IF((((K70)*(IF(M70="",L70,IFERROR(IF(INDEX(Variablen!$I:$AT, MATCH(M70, Variablen!$A:$A, 0), MATCH((YEAR(D70)+7), Variablen!$I$3:$AT$3, 0))="",L70,INDEX(Variablen!$I:$AT, MATCH(M70, Variablen!$A:$A, 0), MATCH((YEAR(D70)+7), Variablen!$I$3:$AT$3, 0))),L70)))*(IF((YEAR(D70)+7)&lt;YEAR(E70),0,IF((YEAR(D70)+7)&gt;YEAR(E70),1,(12-MONTH(E70)+1)/12))) + (Q70)*(IF((YEAR(D70)+7)&lt;YEAR(E70),0,IF((YEAR(D70)+7)&gt;YEAR(E70),1,(12-MONTH(E70)+1)/12))))-((P70)*(IF((YEAR(D70)+7)&lt;YEAR(E70),0,IF((YEAR(D70)+7)&gt;YEAR(E70),1,(12-MONTH(E70)+1)/12))) + (R70)*(IF((YEAR(D70)+7)&lt;YEAR(E70),0,IF((YEAR(D70)+7)&gt;YEAR(E70),1,(12-MONTH(E70)+1)/12))))-(IF(OR(N70="",N70&lt;=0),0,(O70/N70)*(IF(OR(N70="",N70&lt;=0),0,IF((YEAR(D70)+7)&lt;YEAR(E70),0,IF((YEAR(D70)+7)&gt;=YEAR(E70)+N70,0,IF((YEAR(D70)+7)=YEAR(E70),(12-MONTH(E70)+1)/12,1))))))))&gt;0,(((K70)*(IF(M70="",L70,IFERROR(IF(INDEX(Variablen!$I:$AT, MATCH(M70, Variablen!$A:$A, 0), MATCH((YEAR(D70)+7), Variablen!$I$3:$AT$3, 0))="",L70,INDEX(Variablen!$I:$AT, MATCH(M70, Variablen!$A:$A, 0), MATCH((YEAR(D70)+7), Variablen!$I$3:$AT$3, 0))),L70)))*(IF((YEAR(D70)+7)&lt;YEAR(E70),0,IF((YEAR(D70)+7)&gt;YEAR(E70),1,(12-MONTH(E70)+1)/12))) + (Q70)*(IF((YEAR(D70)+7)&lt;YEAR(E70),0,IF((YEAR(D70)+7)&gt;YEAR(E70),1,(12-MONTH(E70)+1)/12))))-((P70)*(IF((YEAR(D70)+7)&lt;YEAR(E70),0,IF((YEAR(D70)+7)&gt;YEAR(E70),1,(12-MONTH(E70)+1)/12))) + (R70)*(IF((YEAR(D70)+7)&lt;YEAR(E70),0,IF((YEAR(D70)+7)&gt;YEAR(E70),1,(12-MONTH(E70)+1)/12))))-(IF(OR(N70="",N70&lt;=0),0,(O70/N70)*(IF(OR(N70="",N70&lt;=0),0,IF((YEAR(D70)+7)&lt;YEAR(E70),0,IF((YEAR(D70)+7)&gt;=YEAR(E70)+N70,0,IF((YEAR(D70)+7)=YEAR(E70),(12-MONTH(E70)+1)/12,1))))))))*TaxRate,0))-IF(7=0,O70,0))</f>
        <v/>
      </c>
      <c r="AA70" s="29">
        <f>IF(A70="","",((K70)*(IF(M70="",L70,IFERROR(IF(INDEX(Variablen!$I:$AT, MATCH(M70, Variablen!$A:$A, 0), MATCH((YEAR(D70)+8), Variablen!$I$3:$AT$3, 0))="",L70,INDEX(Variablen!$I:$AT, MATCH(M70, Variablen!$A:$A, 0), MATCH((YEAR(D70)+8), Variablen!$I$3:$AT$3, 0))),L70)))*(IF((YEAR(D70)+8)&lt;YEAR(E70),0,IF((YEAR(D70)+8)&gt;YEAR(E70),1,(12-MONTH(E70)+1)/12))) + (Q70)*(IF((YEAR(D70)+8)&lt;YEAR(E70),0,IF((YEAR(D70)+8)&gt;YEAR(E70),1,(12-MONTH(E70)+1)/12))))-((P70)*(IF((YEAR(D70)+8)&lt;YEAR(E70),0,IF((YEAR(D70)+8)&gt;YEAR(E70),1,(12-MONTH(E70)+1)/12))) + (R70)*(IF((YEAR(D70)+8)&lt;YEAR(E70),0,IF((YEAR(D70)+8)&gt;YEAR(E70),1,(12-MONTH(E70)+1)/12))))-(IF((((K70)*(IF(M70="",L70,IFERROR(IF(INDEX(Variablen!$I:$AT, MATCH(M70, Variablen!$A:$A, 0), MATCH((YEAR(D70)+8), Variablen!$I$3:$AT$3, 0))="",L70,INDEX(Variablen!$I:$AT, MATCH(M70, Variablen!$A:$A, 0), MATCH((YEAR(D70)+8), Variablen!$I$3:$AT$3, 0))),L70)))*(IF((YEAR(D70)+8)&lt;YEAR(E70),0,IF((YEAR(D70)+8)&gt;YEAR(E70),1,(12-MONTH(E70)+1)/12))) + (Q70)*(IF((YEAR(D70)+8)&lt;YEAR(E70),0,IF((YEAR(D70)+8)&gt;YEAR(E70),1,(12-MONTH(E70)+1)/12))))-((P70)*(IF((YEAR(D70)+8)&lt;YEAR(E70),0,IF((YEAR(D70)+8)&gt;YEAR(E70),1,(12-MONTH(E70)+1)/12))) + (R70)*(IF((YEAR(D70)+8)&lt;YEAR(E70),0,IF((YEAR(D70)+8)&gt;YEAR(E70),1,(12-MONTH(E70)+1)/12))))-(IF(OR(N70="",N70&lt;=0),0,(O70/N70)*(IF(OR(N70="",N70&lt;=0),0,IF((YEAR(D70)+8)&lt;YEAR(E70),0,IF((YEAR(D70)+8)&gt;=YEAR(E70)+N70,0,IF((YEAR(D70)+8)=YEAR(E70),(12-MONTH(E70)+1)/12,1))))))))&gt;0,(((K70)*(IF(M70="",L70,IFERROR(IF(INDEX(Variablen!$I:$AT, MATCH(M70, Variablen!$A:$A, 0), MATCH((YEAR(D70)+8), Variablen!$I$3:$AT$3, 0))="",L70,INDEX(Variablen!$I:$AT, MATCH(M70, Variablen!$A:$A, 0), MATCH((YEAR(D70)+8), Variablen!$I$3:$AT$3, 0))),L70)))*(IF((YEAR(D70)+8)&lt;YEAR(E70),0,IF((YEAR(D70)+8)&gt;YEAR(E70),1,(12-MONTH(E70)+1)/12))) + (Q70)*(IF((YEAR(D70)+8)&lt;YEAR(E70),0,IF((YEAR(D70)+8)&gt;YEAR(E70),1,(12-MONTH(E70)+1)/12))))-((P70)*(IF((YEAR(D70)+8)&lt;YEAR(E70),0,IF((YEAR(D70)+8)&gt;YEAR(E70),1,(12-MONTH(E70)+1)/12))) + (R70)*(IF((YEAR(D70)+8)&lt;YEAR(E70),0,IF((YEAR(D70)+8)&gt;YEAR(E70),1,(12-MONTH(E70)+1)/12))))-(IF(OR(N70="",N70&lt;=0),0,(O70/N70)*(IF(OR(N70="",N70&lt;=0),0,IF((YEAR(D70)+8)&lt;YEAR(E70),0,IF((YEAR(D70)+8)&gt;=YEAR(E70)+N70,0,IF((YEAR(D70)+8)=YEAR(E70),(12-MONTH(E70)+1)/12,1))))))))*TaxRate,0))-IF(8=0,O70,0))</f>
        <v/>
      </c>
      <c r="AB70" s="29">
        <f>IF(A70="","",((K70)*(IF(M70="",L70,IFERROR(IF(INDEX(Variablen!$I:$AT, MATCH(M70, Variablen!$A:$A, 0), MATCH((YEAR(D70)+9), Variablen!$I$3:$AT$3, 0))="",L70,INDEX(Variablen!$I:$AT, MATCH(M70, Variablen!$A:$A, 0), MATCH((YEAR(D70)+9), Variablen!$I$3:$AT$3, 0))),L70)))*(IF((YEAR(D70)+9)&lt;YEAR(E70),0,IF((YEAR(D70)+9)&gt;YEAR(E70),1,(12-MONTH(E70)+1)/12))) + (Q70)*(IF((YEAR(D70)+9)&lt;YEAR(E70),0,IF((YEAR(D70)+9)&gt;YEAR(E70),1,(12-MONTH(E70)+1)/12))))-((P70)*(IF((YEAR(D70)+9)&lt;YEAR(E70),0,IF((YEAR(D70)+9)&gt;YEAR(E70),1,(12-MONTH(E70)+1)/12))) + (R70)*(IF((YEAR(D70)+9)&lt;YEAR(E70),0,IF((YEAR(D70)+9)&gt;YEAR(E70),1,(12-MONTH(E70)+1)/12))))-(IF((((K70)*(IF(M70="",L70,IFERROR(IF(INDEX(Variablen!$I:$AT, MATCH(M70, Variablen!$A:$A, 0), MATCH((YEAR(D70)+9), Variablen!$I$3:$AT$3, 0))="",L70,INDEX(Variablen!$I:$AT, MATCH(M70, Variablen!$A:$A, 0), MATCH((YEAR(D70)+9), Variablen!$I$3:$AT$3, 0))),L70)))*(IF((YEAR(D70)+9)&lt;YEAR(E70),0,IF((YEAR(D70)+9)&gt;YEAR(E70),1,(12-MONTH(E70)+1)/12))) + (Q70)*(IF((YEAR(D70)+9)&lt;YEAR(E70),0,IF((YEAR(D70)+9)&gt;YEAR(E70),1,(12-MONTH(E70)+1)/12))))-((P70)*(IF((YEAR(D70)+9)&lt;YEAR(E70),0,IF((YEAR(D70)+9)&gt;YEAR(E70),1,(12-MONTH(E70)+1)/12))) + (R70)*(IF((YEAR(D70)+9)&lt;YEAR(E70),0,IF((YEAR(D70)+9)&gt;YEAR(E70),1,(12-MONTH(E70)+1)/12))))-(IF(OR(N70="",N70&lt;=0),0,(O70/N70)*(IF(OR(N70="",N70&lt;=0),0,IF((YEAR(D70)+9)&lt;YEAR(E70),0,IF((YEAR(D70)+9)&gt;=YEAR(E70)+N70,0,IF((YEAR(D70)+9)=YEAR(E70),(12-MONTH(E70)+1)/12,1))))))))&gt;0,(((K70)*(IF(M70="",L70,IFERROR(IF(INDEX(Variablen!$I:$AT, MATCH(M70, Variablen!$A:$A, 0), MATCH((YEAR(D70)+9), Variablen!$I$3:$AT$3, 0))="",L70,INDEX(Variablen!$I:$AT, MATCH(M70, Variablen!$A:$A, 0), MATCH((YEAR(D70)+9), Variablen!$I$3:$AT$3, 0))),L70)))*(IF((YEAR(D70)+9)&lt;YEAR(E70),0,IF((YEAR(D70)+9)&gt;YEAR(E70),1,(12-MONTH(E70)+1)/12))) + (Q70)*(IF((YEAR(D70)+9)&lt;YEAR(E70),0,IF((YEAR(D70)+9)&gt;YEAR(E70),1,(12-MONTH(E70)+1)/12))))-((P70)*(IF((YEAR(D70)+9)&lt;YEAR(E70),0,IF((YEAR(D70)+9)&gt;YEAR(E70),1,(12-MONTH(E70)+1)/12))) + (R70)*(IF((YEAR(D70)+9)&lt;YEAR(E70),0,IF((YEAR(D70)+9)&gt;YEAR(E70),1,(12-MONTH(E70)+1)/12))))-(IF(OR(N70="",N70&lt;=0),0,(O70/N70)*(IF(OR(N70="",N70&lt;=0),0,IF((YEAR(D70)+9)&lt;YEAR(E70),0,IF((YEAR(D70)+9)&gt;=YEAR(E70)+N70,0,IF((YEAR(D70)+9)=YEAR(E70),(12-MONTH(E70)+1)/12,1))))))))*TaxRate,0))-IF(9=0,O70,0))</f>
        <v/>
      </c>
      <c r="AC70" s="29">
        <f>IF(A70="","",((K70)*(IF(M70="",L70,IFERROR(IF(INDEX(Variablen!$I:$AT, MATCH(M70, Variablen!$A:$A, 0), MATCH((YEAR(D70)+10), Variablen!$I$3:$AT$3, 0))="",L70,INDEX(Variablen!$I:$AT, MATCH(M70, Variablen!$A:$A, 0), MATCH((YEAR(D70)+10), Variablen!$I$3:$AT$3, 0))),L70)))*(IF((YEAR(D70)+10)&lt;YEAR(E70),0,IF((YEAR(D70)+10)&gt;YEAR(E70),1,(12-MONTH(E70)+1)/12))) + (Q70)*(IF((YEAR(D70)+10)&lt;YEAR(E70),0,IF((YEAR(D70)+10)&gt;YEAR(E70),1,(12-MONTH(E70)+1)/12))))-((P70)*(IF((YEAR(D70)+10)&lt;YEAR(E70),0,IF((YEAR(D70)+10)&gt;YEAR(E70),1,(12-MONTH(E70)+1)/12))) + (R70)*(IF((YEAR(D70)+10)&lt;YEAR(E70),0,IF((YEAR(D70)+10)&gt;YEAR(E70),1,(12-MONTH(E70)+1)/12))))-(IF((((K70)*(IF(M70="",L70,IFERROR(IF(INDEX(Variablen!$I:$AT, MATCH(M70, Variablen!$A:$A, 0), MATCH((YEAR(D70)+10), Variablen!$I$3:$AT$3, 0))="",L70,INDEX(Variablen!$I:$AT, MATCH(M70, Variablen!$A:$A, 0), MATCH((YEAR(D70)+10), Variablen!$I$3:$AT$3, 0))),L70)))*(IF((YEAR(D70)+10)&lt;YEAR(E70),0,IF((YEAR(D70)+10)&gt;YEAR(E70),1,(12-MONTH(E70)+1)/12))) + (Q70)*(IF((YEAR(D70)+10)&lt;YEAR(E70),0,IF((YEAR(D70)+10)&gt;YEAR(E70),1,(12-MONTH(E70)+1)/12))))-((P70)*(IF((YEAR(D70)+10)&lt;YEAR(E70),0,IF((YEAR(D70)+10)&gt;YEAR(E70),1,(12-MONTH(E70)+1)/12))) + (R70)*(IF((YEAR(D70)+10)&lt;YEAR(E70),0,IF((YEAR(D70)+10)&gt;YEAR(E70),1,(12-MONTH(E70)+1)/12))))-(IF(OR(N70="",N70&lt;=0),0,(O70/N70)*(IF(OR(N70="",N70&lt;=0),0,IF((YEAR(D70)+10)&lt;YEAR(E70),0,IF((YEAR(D70)+10)&gt;=YEAR(E70)+N70,0,IF((YEAR(D70)+10)=YEAR(E70),(12-MONTH(E70)+1)/12,1))))))))&gt;0,(((K70)*(IF(M70="",L70,IFERROR(IF(INDEX(Variablen!$I:$AT, MATCH(M70, Variablen!$A:$A, 0), MATCH((YEAR(D70)+10), Variablen!$I$3:$AT$3, 0))="",L70,INDEX(Variablen!$I:$AT, MATCH(M70, Variablen!$A:$A, 0), MATCH((YEAR(D70)+10), Variablen!$I$3:$AT$3, 0))),L70)))*(IF((YEAR(D70)+10)&lt;YEAR(E70),0,IF((YEAR(D70)+10)&gt;YEAR(E70),1,(12-MONTH(E70)+1)/12))) + (Q70)*(IF((YEAR(D70)+10)&lt;YEAR(E70),0,IF((YEAR(D70)+10)&gt;YEAR(E70),1,(12-MONTH(E70)+1)/12))))-((P70)*(IF((YEAR(D70)+10)&lt;YEAR(E70),0,IF((YEAR(D70)+10)&gt;YEAR(E70),1,(12-MONTH(E70)+1)/12))) + (R70)*(IF((YEAR(D70)+10)&lt;YEAR(E70),0,IF((YEAR(D70)+10)&gt;YEAR(E70),1,(12-MONTH(E70)+1)/12))))-(IF(OR(N70="",N70&lt;=0),0,(O70/N70)*(IF(OR(N70="",N70&lt;=0),0,IF((YEAR(D70)+10)&lt;YEAR(E70),0,IF((YEAR(D70)+10)&gt;=YEAR(E70)+N70,0,IF((YEAR(D70)+10)=YEAR(E70),(12-MONTH(E70)+1)/12,1))))))))*TaxRate,0))-IF(10=0,O70,0))</f>
        <v/>
      </c>
      <c r="AD70" s="29">
        <f>IF(A70="","",((K70)*(IF(M70="",L70,IFERROR(IF(INDEX(Variablen!$I:$AT, MATCH(M70, Variablen!$A:$A, 0), MATCH((YEAR(D70)+11), Variablen!$I$3:$AT$3, 0))="",L70,INDEX(Variablen!$I:$AT, MATCH(M70, Variablen!$A:$A, 0), MATCH((YEAR(D70)+11), Variablen!$I$3:$AT$3, 0))),L70)))*(IF((YEAR(D70)+11)&lt;YEAR(E70),0,IF((YEAR(D70)+11)&gt;YEAR(E70),1,(12-MONTH(E70)+1)/12))) + (Q70)*(IF((YEAR(D70)+11)&lt;YEAR(E70),0,IF((YEAR(D70)+11)&gt;YEAR(E70),1,(12-MONTH(E70)+1)/12))))-((P70)*(IF((YEAR(D70)+11)&lt;YEAR(E70),0,IF((YEAR(D70)+11)&gt;YEAR(E70),1,(12-MONTH(E70)+1)/12))) + (R70)*(IF((YEAR(D70)+11)&lt;YEAR(E70),0,IF((YEAR(D70)+11)&gt;YEAR(E70),1,(12-MONTH(E70)+1)/12))))-(IF((((K70)*(IF(M70="",L70,IFERROR(IF(INDEX(Variablen!$I:$AT, MATCH(M70, Variablen!$A:$A, 0), MATCH((YEAR(D70)+11), Variablen!$I$3:$AT$3, 0))="",L70,INDEX(Variablen!$I:$AT, MATCH(M70, Variablen!$A:$A, 0), MATCH((YEAR(D70)+11), Variablen!$I$3:$AT$3, 0))),L70)))*(IF((YEAR(D70)+11)&lt;YEAR(E70),0,IF((YEAR(D70)+11)&gt;YEAR(E70),1,(12-MONTH(E70)+1)/12))) + (Q70)*(IF((YEAR(D70)+11)&lt;YEAR(E70),0,IF((YEAR(D70)+11)&gt;YEAR(E70),1,(12-MONTH(E70)+1)/12))))-((P70)*(IF((YEAR(D70)+11)&lt;YEAR(E70),0,IF((YEAR(D70)+11)&gt;YEAR(E70),1,(12-MONTH(E70)+1)/12))) + (R70)*(IF((YEAR(D70)+11)&lt;YEAR(E70),0,IF((YEAR(D70)+11)&gt;YEAR(E70),1,(12-MONTH(E70)+1)/12))))-(IF(OR(N70="",N70&lt;=0),0,(O70/N70)*(IF(OR(N70="",N70&lt;=0),0,IF((YEAR(D70)+11)&lt;YEAR(E70),0,IF((YEAR(D70)+11)&gt;=YEAR(E70)+N70,0,IF((YEAR(D70)+11)=YEAR(E70),(12-MONTH(E70)+1)/12,1))))))))&gt;0,(((K70)*(IF(M70="",L70,IFERROR(IF(INDEX(Variablen!$I:$AT, MATCH(M70, Variablen!$A:$A, 0), MATCH((YEAR(D70)+11), Variablen!$I$3:$AT$3, 0))="",L70,INDEX(Variablen!$I:$AT, MATCH(M70, Variablen!$A:$A, 0), MATCH((YEAR(D70)+11), Variablen!$I$3:$AT$3, 0))),L70)))*(IF((YEAR(D70)+11)&lt;YEAR(E70),0,IF((YEAR(D70)+11)&gt;YEAR(E70),1,(12-MONTH(E70)+1)/12))) + (Q70)*(IF((YEAR(D70)+11)&lt;YEAR(E70),0,IF((YEAR(D70)+11)&gt;YEAR(E70),1,(12-MONTH(E70)+1)/12))))-((P70)*(IF((YEAR(D70)+11)&lt;YEAR(E70),0,IF((YEAR(D70)+11)&gt;YEAR(E70),1,(12-MONTH(E70)+1)/12))) + (R70)*(IF((YEAR(D70)+11)&lt;YEAR(E70),0,IF((YEAR(D70)+11)&gt;YEAR(E70),1,(12-MONTH(E70)+1)/12))))-(IF(OR(N70="",N70&lt;=0),0,(O70/N70)*(IF(OR(N70="",N70&lt;=0),0,IF((YEAR(D70)+11)&lt;YEAR(E70),0,IF((YEAR(D70)+11)&gt;=YEAR(E70)+N70,0,IF((YEAR(D70)+11)=YEAR(E70),(12-MONTH(E70)+1)/12,1))))))))*TaxRate,0))-IF(11=0,O70,0))</f>
        <v/>
      </c>
      <c r="AE70" s="29">
        <f>IF(A70="","",((K70)*(IF(M70="",L70,IFERROR(IF(INDEX(Variablen!$I:$AT, MATCH(M70, Variablen!$A:$A, 0), MATCH((YEAR(D70)+12), Variablen!$I$3:$AT$3, 0))="",L70,INDEX(Variablen!$I:$AT, MATCH(M70, Variablen!$A:$A, 0), MATCH((YEAR(D70)+12), Variablen!$I$3:$AT$3, 0))),L70)))*(IF((YEAR(D70)+12)&lt;YEAR(E70),0,IF((YEAR(D70)+12)&gt;YEAR(E70),1,(12-MONTH(E70)+1)/12))) + (Q70)*(IF((YEAR(D70)+12)&lt;YEAR(E70),0,IF((YEAR(D70)+12)&gt;YEAR(E70),1,(12-MONTH(E70)+1)/12))))-((P70)*(IF((YEAR(D70)+12)&lt;YEAR(E70),0,IF((YEAR(D70)+12)&gt;YEAR(E70),1,(12-MONTH(E70)+1)/12))) + (R70)*(IF((YEAR(D70)+12)&lt;YEAR(E70),0,IF((YEAR(D70)+12)&gt;YEAR(E70),1,(12-MONTH(E70)+1)/12))))-(IF((((K70)*(IF(M70="",L70,IFERROR(IF(INDEX(Variablen!$I:$AT, MATCH(M70, Variablen!$A:$A, 0), MATCH((YEAR(D70)+12), Variablen!$I$3:$AT$3, 0))="",L70,INDEX(Variablen!$I:$AT, MATCH(M70, Variablen!$A:$A, 0), MATCH((YEAR(D70)+12), Variablen!$I$3:$AT$3, 0))),L70)))*(IF((YEAR(D70)+12)&lt;YEAR(E70),0,IF((YEAR(D70)+12)&gt;YEAR(E70),1,(12-MONTH(E70)+1)/12))) + (Q70)*(IF((YEAR(D70)+12)&lt;YEAR(E70),0,IF((YEAR(D70)+12)&gt;YEAR(E70),1,(12-MONTH(E70)+1)/12))))-((P70)*(IF((YEAR(D70)+12)&lt;YEAR(E70),0,IF((YEAR(D70)+12)&gt;YEAR(E70),1,(12-MONTH(E70)+1)/12))) + (R70)*(IF((YEAR(D70)+12)&lt;YEAR(E70),0,IF((YEAR(D70)+12)&gt;YEAR(E70),1,(12-MONTH(E70)+1)/12))))-(IF(OR(N70="",N70&lt;=0),0,(O70/N70)*(IF(OR(N70="",N70&lt;=0),0,IF((YEAR(D70)+12)&lt;YEAR(E70),0,IF((YEAR(D70)+12)&gt;=YEAR(E70)+N70,0,IF((YEAR(D70)+12)=YEAR(E70),(12-MONTH(E70)+1)/12,1))))))))&gt;0,(((K70)*(IF(M70="",L70,IFERROR(IF(INDEX(Variablen!$I:$AT, MATCH(M70, Variablen!$A:$A, 0), MATCH((YEAR(D70)+12), Variablen!$I$3:$AT$3, 0))="",L70,INDEX(Variablen!$I:$AT, MATCH(M70, Variablen!$A:$A, 0), MATCH((YEAR(D70)+12), Variablen!$I$3:$AT$3, 0))),L70)))*(IF((YEAR(D70)+12)&lt;YEAR(E70),0,IF((YEAR(D70)+12)&gt;YEAR(E70),1,(12-MONTH(E70)+1)/12))) + (Q70)*(IF((YEAR(D70)+12)&lt;YEAR(E70),0,IF((YEAR(D70)+12)&gt;YEAR(E70),1,(12-MONTH(E70)+1)/12))))-((P70)*(IF((YEAR(D70)+12)&lt;YEAR(E70),0,IF((YEAR(D70)+12)&gt;YEAR(E70),1,(12-MONTH(E70)+1)/12))) + (R70)*(IF((YEAR(D70)+12)&lt;YEAR(E70),0,IF((YEAR(D70)+12)&gt;YEAR(E70),1,(12-MONTH(E70)+1)/12))))-(IF(OR(N70="",N70&lt;=0),0,(O70/N70)*(IF(OR(N70="",N70&lt;=0),0,IF((YEAR(D70)+12)&lt;YEAR(E70),0,IF((YEAR(D70)+12)&gt;=YEAR(E70)+N70,0,IF((YEAR(D70)+12)=YEAR(E70),(12-MONTH(E70)+1)/12,1))))))))*TaxRate,0))-IF(12=0,O70,0))</f>
        <v/>
      </c>
      <c r="AF70" s="29">
        <f>IF(A70="","",((K70)*(IF(M70="",L70,IFERROR(IF(INDEX(Variablen!$I:$AT, MATCH(M70, Variablen!$A:$A, 0), MATCH((YEAR(D70)+13), Variablen!$I$3:$AT$3, 0))="",L70,INDEX(Variablen!$I:$AT, MATCH(M70, Variablen!$A:$A, 0), MATCH((YEAR(D70)+13), Variablen!$I$3:$AT$3, 0))),L70)))*(IF((YEAR(D70)+13)&lt;YEAR(E70),0,IF((YEAR(D70)+13)&gt;YEAR(E70),1,(12-MONTH(E70)+1)/12))) + (Q70)*(IF((YEAR(D70)+13)&lt;YEAR(E70),0,IF((YEAR(D70)+13)&gt;YEAR(E70),1,(12-MONTH(E70)+1)/12))))-((P70)*(IF((YEAR(D70)+13)&lt;YEAR(E70),0,IF((YEAR(D70)+13)&gt;YEAR(E70),1,(12-MONTH(E70)+1)/12))) + (R70)*(IF((YEAR(D70)+13)&lt;YEAR(E70),0,IF((YEAR(D70)+13)&gt;YEAR(E70),1,(12-MONTH(E70)+1)/12))))-(IF((((K70)*(IF(M70="",L70,IFERROR(IF(INDEX(Variablen!$I:$AT, MATCH(M70, Variablen!$A:$A, 0), MATCH((YEAR(D70)+13), Variablen!$I$3:$AT$3, 0))="",L70,INDEX(Variablen!$I:$AT, MATCH(M70, Variablen!$A:$A, 0), MATCH((YEAR(D70)+13), Variablen!$I$3:$AT$3, 0))),L70)))*(IF((YEAR(D70)+13)&lt;YEAR(E70),0,IF((YEAR(D70)+13)&gt;YEAR(E70),1,(12-MONTH(E70)+1)/12))) + (Q70)*(IF((YEAR(D70)+13)&lt;YEAR(E70),0,IF((YEAR(D70)+13)&gt;YEAR(E70),1,(12-MONTH(E70)+1)/12))))-((P70)*(IF((YEAR(D70)+13)&lt;YEAR(E70),0,IF((YEAR(D70)+13)&gt;YEAR(E70),1,(12-MONTH(E70)+1)/12))) + (R70)*(IF((YEAR(D70)+13)&lt;YEAR(E70),0,IF((YEAR(D70)+13)&gt;YEAR(E70),1,(12-MONTH(E70)+1)/12))))-(IF(OR(N70="",N70&lt;=0),0,(O70/N70)*(IF(OR(N70="",N70&lt;=0),0,IF((YEAR(D70)+13)&lt;YEAR(E70),0,IF((YEAR(D70)+13)&gt;=YEAR(E70)+N70,0,IF((YEAR(D70)+13)=YEAR(E70),(12-MONTH(E70)+1)/12,1))))))))&gt;0,(((K70)*(IF(M70="",L70,IFERROR(IF(INDEX(Variablen!$I:$AT, MATCH(M70, Variablen!$A:$A, 0), MATCH((YEAR(D70)+13), Variablen!$I$3:$AT$3, 0))="",L70,INDEX(Variablen!$I:$AT, MATCH(M70, Variablen!$A:$A, 0), MATCH((YEAR(D70)+13), Variablen!$I$3:$AT$3, 0))),L70)))*(IF((YEAR(D70)+13)&lt;YEAR(E70),0,IF((YEAR(D70)+13)&gt;YEAR(E70),1,(12-MONTH(E70)+1)/12))) + (Q70)*(IF((YEAR(D70)+13)&lt;YEAR(E70),0,IF((YEAR(D70)+13)&gt;YEAR(E70),1,(12-MONTH(E70)+1)/12))))-((P70)*(IF((YEAR(D70)+13)&lt;YEAR(E70),0,IF((YEAR(D70)+13)&gt;YEAR(E70),1,(12-MONTH(E70)+1)/12))) + (R70)*(IF((YEAR(D70)+13)&lt;YEAR(E70),0,IF((YEAR(D70)+13)&gt;YEAR(E70),1,(12-MONTH(E70)+1)/12))))-(IF(OR(N70="",N70&lt;=0),0,(O70/N70)*(IF(OR(N70="",N70&lt;=0),0,IF((YEAR(D70)+13)&lt;YEAR(E70),0,IF((YEAR(D70)+13)&gt;=YEAR(E70)+N70,0,IF((YEAR(D70)+13)=YEAR(E70),(12-MONTH(E70)+1)/12,1))))))))*TaxRate,0))-IF(13=0,O70,0))</f>
        <v/>
      </c>
      <c r="AG70" s="29">
        <f>IF(A70="","",((K70)*(IF(M70="",L70,IFERROR(IF(INDEX(Variablen!$I:$AT, MATCH(M70, Variablen!$A:$A, 0), MATCH((YEAR(D70)+14), Variablen!$I$3:$AT$3, 0))="",L70,INDEX(Variablen!$I:$AT, MATCH(M70, Variablen!$A:$A, 0), MATCH((YEAR(D70)+14), Variablen!$I$3:$AT$3, 0))),L70)))*(IF((YEAR(D70)+14)&lt;YEAR(E70),0,IF((YEAR(D70)+14)&gt;YEAR(E70),1,(12-MONTH(E70)+1)/12))) + (Q70)*(IF((YEAR(D70)+14)&lt;YEAR(E70),0,IF((YEAR(D70)+14)&gt;YEAR(E70),1,(12-MONTH(E70)+1)/12))))-((P70)*(IF((YEAR(D70)+14)&lt;YEAR(E70),0,IF((YEAR(D70)+14)&gt;YEAR(E70),1,(12-MONTH(E70)+1)/12))) + (R70)*(IF((YEAR(D70)+14)&lt;YEAR(E70),0,IF((YEAR(D70)+14)&gt;YEAR(E70),1,(12-MONTH(E70)+1)/12))))-(IF((((K70)*(IF(M70="",L70,IFERROR(IF(INDEX(Variablen!$I:$AT, MATCH(M70, Variablen!$A:$A, 0), MATCH((YEAR(D70)+14), Variablen!$I$3:$AT$3, 0))="",L70,INDEX(Variablen!$I:$AT, MATCH(M70, Variablen!$A:$A, 0), MATCH((YEAR(D70)+14), Variablen!$I$3:$AT$3, 0))),L70)))*(IF((YEAR(D70)+14)&lt;YEAR(E70),0,IF((YEAR(D70)+14)&gt;YEAR(E70),1,(12-MONTH(E70)+1)/12))) + (Q70)*(IF((YEAR(D70)+14)&lt;YEAR(E70),0,IF((YEAR(D70)+14)&gt;YEAR(E70),1,(12-MONTH(E70)+1)/12))))-((P70)*(IF((YEAR(D70)+14)&lt;YEAR(E70),0,IF((YEAR(D70)+14)&gt;YEAR(E70),1,(12-MONTH(E70)+1)/12))) + (R70)*(IF((YEAR(D70)+14)&lt;YEAR(E70),0,IF((YEAR(D70)+14)&gt;YEAR(E70),1,(12-MONTH(E70)+1)/12))))-(IF(OR(N70="",N70&lt;=0),0,(O70/N70)*(IF(OR(N70="",N70&lt;=0),0,IF((YEAR(D70)+14)&lt;YEAR(E70),0,IF((YEAR(D70)+14)&gt;=YEAR(E70)+N70,0,IF((YEAR(D70)+14)=YEAR(E70),(12-MONTH(E70)+1)/12,1))))))))&gt;0,(((K70)*(IF(M70="",L70,IFERROR(IF(INDEX(Variablen!$I:$AT, MATCH(M70, Variablen!$A:$A, 0), MATCH((YEAR(D70)+14), Variablen!$I$3:$AT$3, 0))="",L70,INDEX(Variablen!$I:$AT, MATCH(M70, Variablen!$A:$A, 0), MATCH((YEAR(D70)+14), Variablen!$I$3:$AT$3, 0))),L70)))*(IF((YEAR(D70)+14)&lt;YEAR(E70),0,IF((YEAR(D70)+14)&gt;YEAR(E70),1,(12-MONTH(E70)+1)/12))) + (Q70)*(IF((YEAR(D70)+14)&lt;YEAR(E70),0,IF((YEAR(D70)+14)&gt;YEAR(E70),1,(12-MONTH(E70)+1)/12))))-((P70)*(IF((YEAR(D70)+14)&lt;YEAR(E70),0,IF((YEAR(D70)+14)&gt;YEAR(E70),1,(12-MONTH(E70)+1)/12))) + (R70)*(IF((YEAR(D70)+14)&lt;YEAR(E70),0,IF((YEAR(D70)+14)&gt;YEAR(E70),1,(12-MONTH(E70)+1)/12))))-(IF(OR(N70="",N70&lt;=0),0,(O70/N70)*(IF(OR(N70="",N70&lt;=0),0,IF((YEAR(D70)+14)&lt;YEAR(E70),0,IF((YEAR(D70)+14)&gt;=YEAR(E70)+N70,0,IF((YEAR(D70)+14)=YEAR(E70),(12-MONTH(E70)+1)/12,1))))))))*TaxRate,0))-IF(14=0,O70,0))</f>
        <v/>
      </c>
      <c r="AH70" s="29">
        <f>IF(A70="","",((K70)*(IF(M70="",L70,IFERROR(IF(INDEX(Variablen!$I:$AT, MATCH(M70, Variablen!$A:$A, 0), MATCH((YEAR(D70)+15), Variablen!$I$3:$AT$3, 0))="",L70,INDEX(Variablen!$I:$AT, MATCH(M70, Variablen!$A:$A, 0), MATCH((YEAR(D70)+15), Variablen!$I$3:$AT$3, 0))),L70)))*(IF((YEAR(D70)+15)&lt;YEAR(E70),0,IF((YEAR(D70)+15)&gt;YEAR(E70),1,(12-MONTH(E70)+1)/12))) + (Q70)*(IF((YEAR(D70)+15)&lt;YEAR(E70),0,IF((YEAR(D70)+15)&gt;YEAR(E70),1,(12-MONTH(E70)+1)/12))))-((P70)*(IF((YEAR(D70)+15)&lt;YEAR(E70),0,IF((YEAR(D70)+15)&gt;YEAR(E70),1,(12-MONTH(E70)+1)/12))) + (R70)*(IF((YEAR(D70)+15)&lt;YEAR(E70),0,IF((YEAR(D70)+15)&gt;YEAR(E70),1,(12-MONTH(E70)+1)/12))))-(IF((((K70)*(IF(M70="",L70,IFERROR(IF(INDEX(Variablen!$I:$AT, MATCH(M70, Variablen!$A:$A, 0), MATCH((YEAR(D70)+15), Variablen!$I$3:$AT$3, 0))="",L70,INDEX(Variablen!$I:$AT, MATCH(M70, Variablen!$A:$A, 0), MATCH((YEAR(D70)+15), Variablen!$I$3:$AT$3, 0))),L70)))*(IF((YEAR(D70)+15)&lt;YEAR(E70),0,IF((YEAR(D70)+15)&gt;YEAR(E70),1,(12-MONTH(E70)+1)/12))) + (Q70)*(IF((YEAR(D70)+15)&lt;YEAR(E70),0,IF((YEAR(D70)+15)&gt;YEAR(E70),1,(12-MONTH(E70)+1)/12))))-((P70)*(IF((YEAR(D70)+15)&lt;YEAR(E70),0,IF((YEAR(D70)+15)&gt;YEAR(E70),1,(12-MONTH(E70)+1)/12))) + (R70)*(IF((YEAR(D70)+15)&lt;YEAR(E70),0,IF((YEAR(D70)+15)&gt;YEAR(E70),1,(12-MONTH(E70)+1)/12))))-(IF(OR(N70="",N70&lt;=0),0,(O70/N70)*(IF(OR(N70="",N70&lt;=0),0,IF((YEAR(D70)+15)&lt;YEAR(E70),0,IF((YEAR(D70)+15)&gt;=YEAR(E70)+N70,0,IF((YEAR(D70)+15)=YEAR(E70),(12-MONTH(E70)+1)/12,1))))))))&gt;0,(((K70)*(IF(M70="",L70,IFERROR(IF(INDEX(Variablen!$I:$AT, MATCH(M70, Variablen!$A:$A, 0), MATCH((YEAR(D70)+15), Variablen!$I$3:$AT$3, 0))="",L70,INDEX(Variablen!$I:$AT, MATCH(M70, Variablen!$A:$A, 0), MATCH((YEAR(D70)+15), Variablen!$I$3:$AT$3, 0))),L70)))*(IF((YEAR(D70)+15)&lt;YEAR(E70),0,IF((YEAR(D70)+15)&gt;YEAR(E70),1,(12-MONTH(E70)+1)/12))) + (Q70)*(IF((YEAR(D70)+15)&lt;YEAR(E70),0,IF((YEAR(D70)+15)&gt;YEAR(E70),1,(12-MONTH(E70)+1)/12))))-((P70)*(IF((YEAR(D70)+15)&lt;YEAR(E70),0,IF((YEAR(D70)+15)&gt;YEAR(E70),1,(12-MONTH(E70)+1)/12))) + (R70)*(IF((YEAR(D70)+15)&lt;YEAR(E70),0,IF((YEAR(D70)+15)&gt;YEAR(E70),1,(12-MONTH(E70)+1)/12))))-(IF(OR(N70="",N70&lt;=0),0,(O70/N70)*(IF(OR(N70="",N70&lt;=0),0,IF((YEAR(D70)+15)&lt;YEAR(E70),0,IF((YEAR(D70)+15)&gt;=YEAR(E70)+N70,0,IF((YEAR(D70)+15)=YEAR(E70),(12-MONTH(E70)+1)/12,1))))))))*TaxRate,0))-IF(15=0,O70,0))</f>
        <v/>
      </c>
      <c r="AI70" s="29">
        <f>IF(A70="","",((K70)*(IF(M70="",L70,IFERROR(IF(INDEX(Variablen!$I:$AT, MATCH(M70, Variablen!$A:$A, 0), MATCH((YEAR(D70)+16), Variablen!$I$3:$AT$3, 0))="",L70,INDEX(Variablen!$I:$AT, MATCH(M70, Variablen!$A:$A, 0), MATCH((YEAR(D70)+16), Variablen!$I$3:$AT$3, 0))),L70)))*(IF((YEAR(D70)+16)&lt;YEAR(E70),0,IF((YEAR(D70)+16)&gt;YEAR(E70),1,(12-MONTH(E70)+1)/12))) + (Q70)*(IF((YEAR(D70)+16)&lt;YEAR(E70),0,IF((YEAR(D70)+16)&gt;YEAR(E70),1,(12-MONTH(E70)+1)/12))))-((P70)*(IF((YEAR(D70)+16)&lt;YEAR(E70),0,IF((YEAR(D70)+16)&gt;YEAR(E70),1,(12-MONTH(E70)+1)/12))) + (R70)*(IF((YEAR(D70)+16)&lt;YEAR(E70),0,IF((YEAR(D70)+16)&gt;YEAR(E70),1,(12-MONTH(E70)+1)/12))))-(IF((((K70)*(IF(M70="",L70,IFERROR(IF(INDEX(Variablen!$I:$AT, MATCH(M70, Variablen!$A:$A, 0), MATCH((YEAR(D70)+16), Variablen!$I$3:$AT$3, 0))="",L70,INDEX(Variablen!$I:$AT, MATCH(M70, Variablen!$A:$A, 0), MATCH((YEAR(D70)+16), Variablen!$I$3:$AT$3, 0))),L70)))*(IF((YEAR(D70)+16)&lt;YEAR(E70),0,IF((YEAR(D70)+16)&gt;YEAR(E70),1,(12-MONTH(E70)+1)/12))) + (Q70)*(IF((YEAR(D70)+16)&lt;YEAR(E70),0,IF((YEAR(D70)+16)&gt;YEAR(E70),1,(12-MONTH(E70)+1)/12))))-((P70)*(IF((YEAR(D70)+16)&lt;YEAR(E70),0,IF((YEAR(D70)+16)&gt;YEAR(E70),1,(12-MONTH(E70)+1)/12))) + (R70)*(IF((YEAR(D70)+16)&lt;YEAR(E70),0,IF((YEAR(D70)+16)&gt;YEAR(E70),1,(12-MONTH(E70)+1)/12))))-(IF(OR(N70="",N70&lt;=0),0,(O70/N70)*(IF(OR(N70="",N70&lt;=0),0,IF((YEAR(D70)+16)&lt;YEAR(E70),0,IF((YEAR(D70)+16)&gt;=YEAR(E70)+N70,0,IF((YEAR(D70)+16)=YEAR(E70),(12-MONTH(E70)+1)/12,1))))))))&gt;0,(((K70)*(IF(M70="",L70,IFERROR(IF(INDEX(Variablen!$I:$AT, MATCH(M70, Variablen!$A:$A, 0), MATCH((YEAR(D70)+16), Variablen!$I$3:$AT$3, 0))="",L70,INDEX(Variablen!$I:$AT, MATCH(M70, Variablen!$A:$A, 0), MATCH((YEAR(D70)+16), Variablen!$I$3:$AT$3, 0))),L70)))*(IF((YEAR(D70)+16)&lt;YEAR(E70),0,IF((YEAR(D70)+16)&gt;YEAR(E70),1,(12-MONTH(E70)+1)/12))) + (Q70)*(IF((YEAR(D70)+16)&lt;YEAR(E70),0,IF((YEAR(D70)+16)&gt;YEAR(E70),1,(12-MONTH(E70)+1)/12))))-((P70)*(IF((YEAR(D70)+16)&lt;YEAR(E70),0,IF((YEAR(D70)+16)&gt;YEAR(E70),1,(12-MONTH(E70)+1)/12))) + (R70)*(IF((YEAR(D70)+16)&lt;YEAR(E70),0,IF((YEAR(D70)+16)&gt;YEAR(E70),1,(12-MONTH(E70)+1)/12))))-(IF(OR(N70="",N70&lt;=0),0,(O70/N70)*(IF(OR(N70="",N70&lt;=0),0,IF((YEAR(D70)+16)&lt;YEAR(E70),0,IF((YEAR(D70)+16)&gt;=YEAR(E70)+N70,0,IF((YEAR(D70)+16)=YEAR(E70),(12-MONTH(E70)+1)/12,1))))))))*TaxRate,0))-IF(16=0,O70,0))</f>
        <v/>
      </c>
      <c r="AJ70" s="29">
        <f>IF(A70="","",((K70)*(IF(M70="",L70,IFERROR(IF(INDEX(Variablen!$I:$AT, MATCH(M70, Variablen!$A:$A, 0), MATCH((YEAR(D70)+17), Variablen!$I$3:$AT$3, 0))="",L70,INDEX(Variablen!$I:$AT, MATCH(M70, Variablen!$A:$A, 0), MATCH((YEAR(D70)+17), Variablen!$I$3:$AT$3, 0))),L70)))*(IF((YEAR(D70)+17)&lt;YEAR(E70),0,IF((YEAR(D70)+17)&gt;YEAR(E70),1,(12-MONTH(E70)+1)/12))) + (Q70)*(IF((YEAR(D70)+17)&lt;YEAR(E70),0,IF((YEAR(D70)+17)&gt;YEAR(E70),1,(12-MONTH(E70)+1)/12))))-((P70)*(IF((YEAR(D70)+17)&lt;YEAR(E70),0,IF((YEAR(D70)+17)&gt;YEAR(E70),1,(12-MONTH(E70)+1)/12))) + (R70)*(IF((YEAR(D70)+17)&lt;YEAR(E70),0,IF((YEAR(D70)+17)&gt;YEAR(E70),1,(12-MONTH(E70)+1)/12))))-(IF((((K70)*(IF(M70="",L70,IFERROR(IF(INDEX(Variablen!$I:$AT, MATCH(M70, Variablen!$A:$A, 0), MATCH((YEAR(D70)+17), Variablen!$I$3:$AT$3, 0))="",L70,INDEX(Variablen!$I:$AT, MATCH(M70, Variablen!$A:$A, 0), MATCH((YEAR(D70)+17), Variablen!$I$3:$AT$3, 0))),L70)))*(IF((YEAR(D70)+17)&lt;YEAR(E70),0,IF((YEAR(D70)+17)&gt;YEAR(E70),1,(12-MONTH(E70)+1)/12))) + (Q70)*(IF((YEAR(D70)+17)&lt;YEAR(E70),0,IF((YEAR(D70)+17)&gt;YEAR(E70),1,(12-MONTH(E70)+1)/12))))-((P70)*(IF((YEAR(D70)+17)&lt;YEAR(E70),0,IF((YEAR(D70)+17)&gt;YEAR(E70),1,(12-MONTH(E70)+1)/12))) + (R70)*(IF((YEAR(D70)+17)&lt;YEAR(E70),0,IF((YEAR(D70)+17)&gt;YEAR(E70),1,(12-MONTH(E70)+1)/12))))-(IF(OR(N70="",N70&lt;=0),0,(O70/N70)*(IF(OR(N70="",N70&lt;=0),0,IF((YEAR(D70)+17)&lt;YEAR(E70),0,IF((YEAR(D70)+17)&gt;=YEAR(E70)+N70,0,IF((YEAR(D70)+17)=YEAR(E70),(12-MONTH(E70)+1)/12,1))))))))&gt;0,(((K70)*(IF(M70="",L70,IFERROR(IF(INDEX(Variablen!$I:$AT, MATCH(M70, Variablen!$A:$A, 0), MATCH((YEAR(D70)+17), Variablen!$I$3:$AT$3, 0))="",L70,INDEX(Variablen!$I:$AT, MATCH(M70, Variablen!$A:$A, 0), MATCH((YEAR(D70)+17), Variablen!$I$3:$AT$3, 0))),L70)))*(IF((YEAR(D70)+17)&lt;YEAR(E70),0,IF((YEAR(D70)+17)&gt;YEAR(E70),1,(12-MONTH(E70)+1)/12))) + (Q70)*(IF((YEAR(D70)+17)&lt;YEAR(E70),0,IF((YEAR(D70)+17)&gt;YEAR(E70),1,(12-MONTH(E70)+1)/12))))-((P70)*(IF((YEAR(D70)+17)&lt;YEAR(E70),0,IF((YEAR(D70)+17)&gt;YEAR(E70),1,(12-MONTH(E70)+1)/12))) + (R70)*(IF((YEAR(D70)+17)&lt;YEAR(E70),0,IF((YEAR(D70)+17)&gt;YEAR(E70),1,(12-MONTH(E70)+1)/12))))-(IF(OR(N70="",N70&lt;=0),0,(O70/N70)*(IF(OR(N70="",N70&lt;=0),0,IF((YEAR(D70)+17)&lt;YEAR(E70),0,IF((YEAR(D70)+17)&gt;=YEAR(E70)+N70,0,IF((YEAR(D70)+17)=YEAR(E70),(12-MONTH(E70)+1)/12,1))))))))*TaxRate,0))-IF(17=0,O70,0))</f>
        <v/>
      </c>
      <c r="AK70" s="29">
        <f>IF(A70="","",((K70)*(IF(M70="",L70,IFERROR(IF(INDEX(Variablen!$I:$AT, MATCH(M70, Variablen!$A:$A, 0), MATCH((YEAR(D70)+18), Variablen!$I$3:$AT$3, 0))="",L70,INDEX(Variablen!$I:$AT, MATCH(M70, Variablen!$A:$A, 0), MATCH((YEAR(D70)+18), Variablen!$I$3:$AT$3, 0))),L70)))*(IF((YEAR(D70)+18)&lt;YEAR(E70),0,IF((YEAR(D70)+18)&gt;YEAR(E70),1,(12-MONTH(E70)+1)/12))) + (Q70)*(IF((YEAR(D70)+18)&lt;YEAR(E70),0,IF((YEAR(D70)+18)&gt;YEAR(E70),1,(12-MONTH(E70)+1)/12))))-((P70)*(IF((YEAR(D70)+18)&lt;YEAR(E70),0,IF((YEAR(D70)+18)&gt;YEAR(E70),1,(12-MONTH(E70)+1)/12))) + (R70)*(IF((YEAR(D70)+18)&lt;YEAR(E70),0,IF((YEAR(D70)+18)&gt;YEAR(E70),1,(12-MONTH(E70)+1)/12))))-(IF((((K70)*(IF(M70="",L70,IFERROR(IF(INDEX(Variablen!$I:$AT, MATCH(M70, Variablen!$A:$A, 0), MATCH((YEAR(D70)+18), Variablen!$I$3:$AT$3, 0))="",L70,INDEX(Variablen!$I:$AT, MATCH(M70, Variablen!$A:$A, 0), MATCH((YEAR(D70)+18), Variablen!$I$3:$AT$3, 0))),L70)))*(IF((YEAR(D70)+18)&lt;YEAR(E70),0,IF((YEAR(D70)+18)&gt;YEAR(E70),1,(12-MONTH(E70)+1)/12))) + (Q70)*(IF((YEAR(D70)+18)&lt;YEAR(E70),0,IF((YEAR(D70)+18)&gt;YEAR(E70),1,(12-MONTH(E70)+1)/12))))-((P70)*(IF((YEAR(D70)+18)&lt;YEAR(E70),0,IF((YEAR(D70)+18)&gt;YEAR(E70),1,(12-MONTH(E70)+1)/12))) + (R70)*(IF((YEAR(D70)+18)&lt;YEAR(E70),0,IF((YEAR(D70)+18)&gt;YEAR(E70),1,(12-MONTH(E70)+1)/12))))-(IF(OR(N70="",N70&lt;=0),0,(O70/N70)*(IF(OR(N70="",N70&lt;=0),0,IF((YEAR(D70)+18)&lt;YEAR(E70),0,IF((YEAR(D70)+18)&gt;=YEAR(E70)+N70,0,IF((YEAR(D70)+18)=YEAR(E70),(12-MONTH(E70)+1)/12,1))))))))&gt;0,(((K70)*(IF(M70="",L70,IFERROR(IF(INDEX(Variablen!$I:$AT, MATCH(M70, Variablen!$A:$A, 0), MATCH((YEAR(D70)+18), Variablen!$I$3:$AT$3, 0))="",L70,INDEX(Variablen!$I:$AT, MATCH(M70, Variablen!$A:$A, 0), MATCH((YEAR(D70)+18), Variablen!$I$3:$AT$3, 0))),L70)))*(IF((YEAR(D70)+18)&lt;YEAR(E70),0,IF((YEAR(D70)+18)&gt;YEAR(E70),1,(12-MONTH(E70)+1)/12))) + (Q70)*(IF((YEAR(D70)+18)&lt;YEAR(E70),0,IF((YEAR(D70)+18)&gt;YEAR(E70),1,(12-MONTH(E70)+1)/12))))-((P70)*(IF((YEAR(D70)+18)&lt;YEAR(E70),0,IF((YEAR(D70)+18)&gt;YEAR(E70),1,(12-MONTH(E70)+1)/12))) + (R70)*(IF((YEAR(D70)+18)&lt;YEAR(E70),0,IF((YEAR(D70)+18)&gt;YEAR(E70),1,(12-MONTH(E70)+1)/12))))-(IF(OR(N70="",N70&lt;=0),0,(O70/N70)*(IF(OR(N70="",N70&lt;=0),0,IF((YEAR(D70)+18)&lt;YEAR(E70),0,IF((YEAR(D70)+18)&gt;=YEAR(E70)+N70,0,IF((YEAR(D70)+18)=YEAR(E70),(12-MONTH(E70)+1)/12,1))))))))*TaxRate,0))-IF(18=0,O70,0))</f>
        <v/>
      </c>
      <c r="AL70" s="29">
        <f>IF(A70="","",((K70)*(IF(M70="",L70,IFERROR(IF(INDEX(Variablen!$I:$AT, MATCH(M70, Variablen!$A:$A, 0), MATCH((YEAR(D70)+19), Variablen!$I$3:$AT$3, 0))="",L70,INDEX(Variablen!$I:$AT, MATCH(M70, Variablen!$A:$A, 0), MATCH((YEAR(D70)+19), Variablen!$I$3:$AT$3, 0))),L70)))*(IF((YEAR(D70)+19)&lt;YEAR(E70),0,IF((YEAR(D70)+19)&gt;YEAR(E70),1,(12-MONTH(E70)+1)/12))) + (Q70)*(IF((YEAR(D70)+19)&lt;YEAR(E70),0,IF((YEAR(D70)+19)&gt;YEAR(E70),1,(12-MONTH(E70)+1)/12))))-((P70)*(IF((YEAR(D70)+19)&lt;YEAR(E70),0,IF((YEAR(D70)+19)&gt;YEAR(E70),1,(12-MONTH(E70)+1)/12))) + (R70)*(IF((YEAR(D70)+19)&lt;YEAR(E70),0,IF((YEAR(D70)+19)&gt;YEAR(E70),1,(12-MONTH(E70)+1)/12))))-(IF((((K70)*(IF(M70="",L70,IFERROR(IF(INDEX(Variablen!$I:$AT, MATCH(M70, Variablen!$A:$A, 0), MATCH((YEAR(D70)+19), Variablen!$I$3:$AT$3, 0))="",L70,INDEX(Variablen!$I:$AT, MATCH(M70, Variablen!$A:$A, 0), MATCH((YEAR(D70)+19), Variablen!$I$3:$AT$3, 0))),L70)))*(IF((YEAR(D70)+19)&lt;YEAR(E70),0,IF((YEAR(D70)+19)&gt;YEAR(E70),1,(12-MONTH(E70)+1)/12))) + (Q70)*(IF((YEAR(D70)+19)&lt;YEAR(E70),0,IF((YEAR(D70)+19)&gt;YEAR(E70),1,(12-MONTH(E70)+1)/12))))-((P70)*(IF((YEAR(D70)+19)&lt;YEAR(E70),0,IF((YEAR(D70)+19)&gt;YEAR(E70),1,(12-MONTH(E70)+1)/12))) + (R70)*(IF((YEAR(D70)+19)&lt;YEAR(E70),0,IF((YEAR(D70)+19)&gt;YEAR(E70),1,(12-MONTH(E70)+1)/12))))-(IF(OR(N70="",N70&lt;=0),0,(O70/N70)*(IF(OR(N70="",N70&lt;=0),0,IF((YEAR(D70)+19)&lt;YEAR(E70),0,IF((YEAR(D70)+19)&gt;=YEAR(E70)+N70,0,IF((YEAR(D70)+19)=YEAR(E70),(12-MONTH(E70)+1)/12,1))))))))&gt;0,(((K70)*(IF(M70="",L70,IFERROR(IF(INDEX(Variablen!$I:$AT, MATCH(M70, Variablen!$A:$A, 0), MATCH((YEAR(D70)+19), Variablen!$I$3:$AT$3, 0))="",L70,INDEX(Variablen!$I:$AT, MATCH(M70, Variablen!$A:$A, 0), MATCH((YEAR(D70)+19), Variablen!$I$3:$AT$3, 0))),L70)))*(IF((YEAR(D70)+19)&lt;YEAR(E70),0,IF((YEAR(D70)+19)&gt;YEAR(E70),1,(12-MONTH(E70)+1)/12))) + (Q70)*(IF((YEAR(D70)+19)&lt;YEAR(E70),0,IF((YEAR(D70)+19)&gt;YEAR(E70),1,(12-MONTH(E70)+1)/12))))-((P70)*(IF((YEAR(D70)+19)&lt;YEAR(E70),0,IF((YEAR(D70)+19)&gt;YEAR(E70),1,(12-MONTH(E70)+1)/12))) + (R70)*(IF((YEAR(D70)+19)&lt;YEAR(E70),0,IF((YEAR(D70)+19)&gt;YEAR(E70),1,(12-MONTH(E70)+1)/12))))-(IF(OR(N70="",N70&lt;=0),0,(O70/N70)*(IF(OR(N70="",N70&lt;=0),0,IF((YEAR(D70)+19)&lt;YEAR(E70),0,IF((YEAR(D70)+19)&gt;=YEAR(E70)+N70,0,IF((YEAR(D70)+19)=YEAR(E70),(12-MONTH(E70)+1)/12,1))))))))*TaxRate,0))-IF(19=0,O70,0))</f>
        <v/>
      </c>
      <c r="AM70" s="29">
        <f>IF(A70="","",((K70)*(IF(M70="",L70,IFERROR(IF(INDEX(Variablen!$I:$AT, MATCH(M70, Variablen!$A:$A, 0), MATCH((YEAR(D70)+20), Variablen!$I$3:$AT$3, 0))="",L70,INDEX(Variablen!$I:$AT, MATCH(M70, Variablen!$A:$A, 0), MATCH((YEAR(D70)+20), Variablen!$I$3:$AT$3, 0))),L70)))*(IF((YEAR(D70)+20)&lt;YEAR(E70),0,IF((YEAR(D70)+20)&gt;YEAR(E70),1,(12-MONTH(E70)+1)/12))) + (Q70)*(IF((YEAR(D70)+20)&lt;YEAR(E70),0,IF((YEAR(D70)+20)&gt;YEAR(E70),1,(12-MONTH(E70)+1)/12))))-((P70)*(IF((YEAR(D70)+20)&lt;YEAR(E70),0,IF((YEAR(D70)+20)&gt;YEAR(E70),1,(12-MONTH(E70)+1)/12))) + (R70)*(IF((YEAR(D70)+20)&lt;YEAR(E70),0,IF((YEAR(D70)+20)&gt;YEAR(E70),1,(12-MONTH(E70)+1)/12))))-(IF((((K70)*(IF(M70="",L70,IFERROR(IF(INDEX(Variablen!$I:$AT, MATCH(M70, Variablen!$A:$A, 0), MATCH((YEAR(D70)+20), Variablen!$I$3:$AT$3, 0))="",L70,INDEX(Variablen!$I:$AT, MATCH(M70, Variablen!$A:$A, 0), MATCH((YEAR(D70)+20), Variablen!$I$3:$AT$3, 0))),L70)))*(IF((YEAR(D70)+20)&lt;YEAR(E70),0,IF((YEAR(D70)+20)&gt;YEAR(E70),1,(12-MONTH(E70)+1)/12))) + (Q70)*(IF((YEAR(D70)+20)&lt;YEAR(E70),0,IF((YEAR(D70)+20)&gt;YEAR(E70),1,(12-MONTH(E70)+1)/12))))-((P70)*(IF((YEAR(D70)+20)&lt;YEAR(E70),0,IF((YEAR(D70)+20)&gt;YEAR(E70),1,(12-MONTH(E70)+1)/12))) + (R70)*(IF((YEAR(D70)+20)&lt;YEAR(E70),0,IF((YEAR(D70)+20)&gt;YEAR(E70),1,(12-MONTH(E70)+1)/12))))-(IF(OR(N70="",N70&lt;=0),0,(O70/N70)*(IF(OR(N70="",N70&lt;=0),0,IF((YEAR(D70)+20)&lt;YEAR(E70),0,IF((YEAR(D70)+20)&gt;=YEAR(E70)+N70,0,IF((YEAR(D70)+20)=YEAR(E70),(12-MONTH(E70)+1)/12,1))))))))&gt;0,(((K70)*(IF(M70="",L70,IFERROR(IF(INDEX(Variablen!$I:$AT, MATCH(M70, Variablen!$A:$A, 0), MATCH((YEAR(D70)+20), Variablen!$I$3:$AT$3, 0))="",L70,INDEX(Variablen!$I:$AT, MATCH(M70, Variablen!$A:$A, 0), MATCH((YEAR(D70)+20), Variablen!$I$3:$AT$3, 0))),L70)))*(IF((YEAR(D70)+20)&lt;YEAR(E70),0,IF((YEAR(D70)+20)&gt;YEAR(E70),1,(12-MONTH(E70)+1)/12))) + (Q70)*(IF((YEAR(D70)+20)&lt;YEAR(E70),0,IF((YEAR(D70)+20)&gt;YEAR(E70),1,(12-MONTH(E70)+1)/12))))-((P70)*(IF((YEAR(D70)+20)&lt;YEAR(E70),0,IF((YEAR(D70)+20)&gt;YEAR(E70),1,(12-MONTH(E70)+1)/12))) + (R70)*(IF((YEAR(D70)+20)&lt;YEAR(E70),0,IF((YEAR(D70)+20)&gt;YEAR(E70),1,(12-MONTH(E70)+1)/12))))-(IF(OR(N70="",N70&lt;=0),0,(O70/N70)*(IF(OR(N70="",N70&lt;=0),0,IF((YEAR(D70)+20)&lt;YEAR(E70),0,IF((YEAR(D70)+20)&gt;=YEAR(E70)+N70,0,IF((YEAR(D70)+20)=YEAR(E70),(12-MONTH(E70)+1)/12,1))))))))*TaxRate,0))-IF(20=0,O70,0))</f>
        <v/>
      </c>
      <c r="AN70" s="29">
        <f>IF(A70="","",S70)</f>
        <v/>
      </c>
      <c r="AO70" s="29">
        <f>IF(A70="","",AN70+T70)</f>
        <v/>
      </c>
      <c r="AP70" s="29">
        <f>IF(A70="","",AO70+U70)</f>
        <v/>
      </c>
      <c r="AQ70" s="29">
        <f>IF(A70="","",AP70+V70)</f>
        <v/>
      </c>
      <c r="AR70" s="29">
        <f>IF(A70="","",AQ70+W70)</f>
        <v/>
      </c>
      <c r="AS70" s="29">
        <f>IF(A70="","",AR70+X70)</f>
        <v/>
      </c>
      <c r="AT70" s="29">
        <f>IF(A70="","",AS70+Y70)</f>
        <v/>
      </c>
      <c r="AU70" s="29">
        <f>IF(A70="","",AT70+Z70)</f>
        <v/>
      </c>
      <c r="AV70" s="29">
        <f>IF(A70="","",AU70+AA70)</f>
        <v/>
      </c>
      <c r="AW70" s="29">
        <f>IF(A70="","",AV70+AB70)</f>
        <v/>
      </c>
      <c r="AX70" s="29">
        <f>IF(A70="","",AW70+AC70)</f>
        <v/>
      </c>
      <c r="AY70" s="29">
        <f>IF(A70="","",AX70+AD70)</f>
        <v/>
      </c>
      <c r="AZ70" s="29">
        <f>IF(A70="","",AY70+AE70)</f>
        <v/>
      </c>
      <c r="BA70" s="29">
        <f>IF(A70="","",AZ70+AF70)</f>
        <v/>
      </c>
      <c r="BB70" s="29">
        <f>IF(A70="","",BA70+AG70)</f>
        <v/>
      </c>
      <c r="BC70" s="29">
        <f>IF(A70="","",BB70+AH70)</f>
        <v/>
      </c>
      <c r="BD70" s="29">
        <f>IF(A70="","",BC70+AI70)</f>
        <v/>
      </c>
      <c r="BE70" s="29">
        <f>IF(A70="","",BD70+AJ70)</f>
        <v/>
      </c>
      <c r="BF70" s="29">
        <f>IF(A70="","",BE70+AK70)</f>
        <v/>
      </c>
      <c r="BG70" s="29">
        <f>IF(A70="","",BF70+AL70)</f>
        <v/>
      </c>
      <c r="BH70" s="29">
        <f>IF(A70="","",BG70+AM70)</f>
        <v/>
      </c>
      <c r="BI70" s="36">
        <f>IF(A70="","",(K70)*(IF((YEAR(D70)+0)&lt;YEAR(E70),0,IF((YEAR(D70)+0)&gt;YEAR(E70),1,(12-MONTH(E70)+1)/12)))*(1/(1+DiscountRate)^0))</f>
        <v/>
      </c>
      <c r="BJ70" s="36">
        <f>IF(A70="","",(K70)*(IF((YEAR(D70)+1)&lt;YEAR(E70),0,IF((YEAR(D70)+1)&gt;YEAR(E70),1,(12-MONTH(E70)+1)/12)))*(1/(1+DiscountRate)^1))</f>
        <v/>
      </c>
      <c r="BK70" s="36">
        <f>IF(A70="","",(K70)*(IF((YEAR(D70)+2)&lt;YEAR(E70),0,IF((YEAR(D70)+2)&gt;YEAR(E70),1,(12-MONTH(E70)+1)/12)))*(1/(1+DiscountRate)^2))</f>
        <v/>
      </c>
      <c r="BL70" s="36">
        <f>IF(A70="","",(K70)*(IF((YEAR(D70)+3)&lt;YEAR(E70),0,IF((YEAR(D70)+3)&gt;YEAR(E70),1,(12-MONTH(E70)+1)/12)))*(1/(1+DiscountRate)^3))</f>
        <v/>
      </c>
      <c r="BM70" s="36">
        <f>IF(A70="","",(K70)*(IF((YEAR(D70)+4)&lt;YEAR(E70),0,IF((YEAR(D70)+4)&gt;YEAR(E70),1,(12-MONTH(E70)+1)/12)))*(1/(1+DiscountRate)^4))</f>
        <v/>
      </c>
      <c r="BN70" s="36">
        <f>IF(A70="","",(K70)*(IF((YEAR(D70)+5)&lt;YEAR(E70),0,IF((YEAR(D70)+5)&gt;YEAR(E70),1,(12-MONTH(E70)+1)/12)))*(1/(1+DiscountRate)^5))</f>
        <v/>
      </c>
      <c r="BO70" s="36">
        <f>IF(A70="","",(K70)*(IF((YEAR(D70)+6)&lt;YEAR(E70),0,IF((YEAR(D70)+6)&gt;YEAR(E70),1,(12-MONTH(E70)+1)/12)))*(1/(1+DiscountRate)^6))</f>
        <v/>
      </c>
      <c r="BP70" s="36">
        <f>IF(A70="","",(K70)*(IF((YEAR(D70)+7)&lt;YEAR(E70),0,IF((YEAR(D70)+7)&gt;YEAR(E70),1,(12-MONTH(E70)+1)/12)))*(1/(1+DiscountRate)^7))</f>
        <v/>
      </c>
      <c r="BQ70" s="36">
        <f>IF(A70="","",(K70)*(IF((YEAR(D70)+8)&lt;YEAR(E70),0,IF((YEAR(D70)+8)&gt;YEAR(E70),1,(12-MONTH(E70)+1)/12)))*(1/(1+DiscountRate)^8))</f>
        <v/>
      </c>
      <c r="BR70" s="36">
        <f>IF(A70="","",(K70)*(IF((YEAR(D70)+9)&lt;YEAR(E70),0,IF((YEAR(D70)+9)&gt;YEAR(E70),1,(12-MONTH(E70)+1)/12)))*(1/(1+DiscountRate)^9))</f>
        <v/>
      </c>
      <c r="BS70" s="36">
        <f>IF(A70="","",(K70)*(IF((YEAR(D70)+10)&lt;YEAR(E70),0,IF((YEAR(D70)+10)&gt;YEAR(E70),1,(12-MONTH(E70)+1)/12)))*(1/(1+DiscountRate)^10))</f>
        <v/>
      </c>
      <c r="BT70" s="36">
        <f>IF(A70="","",(K70)*(IF((YEAR(D70)+11)&lt;YEAR(E70),0,IF((YEAR(D70)+11)&gt;YEAR(E70),1,(12-MONTH(E70)+1)/12)))*(1/(1+DiscountRate)^11))</f>
        <v/>
      </c>
      <c r="BU70" s="36">
        <f>IF(A70="","",(K70)*(IF((YEAR(D70)+12)&lt;YEAR(E70),0,IF((YEAR(D70)+12)&gt;YEAR(E70),1,(12-MONTH(E70)+1)/12)))*(1/(1+DiscountRate)^12))</f>
        <v/>
      </c>
      <c r="BV70" s="36">
        <f>IF(A70="","",(K70)*(IF((YEAR(D70)+13)&lt;YEAR(E70),0,IF((YEAR(D70)+13)&gt;YEAR(E70),1,(12-MONTH(E70)+1)/12)))*(1/(1+DiscountRate)^13))</f>
        <v/>
      </c>
      <c r="BW70" s="36">
        <f>IF(A70="","",(K70)*(IF((YEAR(D70)+14)&lt;YEAR(E70),0,IF((YEAR(D70)+14)&gt;YEAR(E70),1,(12-MONTH(E70)+1)/12)))*(1/(1+DiscountRate)^14))</f>
        <v/>
      </c>
      <c r="BX70" s="36">
        <f>IF(A70="","",(K70)*(IF((YEAR(D70)+15)&lt;YEAR(E70),0,IF((YEAR(D70)+15)&gt;YEAR(E70),1,(12-MONTH(E70)+1)/12)))*(1/(1+DiscountRate)^15))</f>
        <v/>
      </c>
      <c r="BY70" s="36">
        <f>IF(A70="","",(K70)*(IF((YEAR(D70)+16)&lt;YEAR(E70),0,IF((YEAR(D70)+16)&gt;YEAR(E70),1,(12-MONTH(E70)+1)/12)))*(1/(1+DiscountRate)^16))</f>
        <v/>
      </c>
      <c r="BZ70" s="36">
        <f>IF(A70="","",(K70)*(IF((YEAR(D70)+17)&lt;YEAR(E70),0,IF((YEAR(D70)+17)&gt;YEAR(E70),1,(12-MONTH(E70)+1)/12)))*(1/(1+DiscountRate)^17))</f>
        <v/>
      </c>
      <c r="CA70" s="36">
        <f>IF(A70="","",(K70)*(IF((YEAR(D70)+18)&lt;YEAR(E70),0,IF((YEAR(D70)+18)&gt;YEAR(E70),1,(12-MONTH(E70)+1)/12)))*(1/(1+DiscountRate)^18))</f>
        <v/>
      </c>
      <c r="CB70" s="36">
        <f>IF(A70="","",(K70)*(IF((YEAR(D70)+19)&lt;YEAR(E70),0,IF((YEAR(D70)+19)&gt;YEAR(E70),1,(12-MONTH(E70)+1)/12)))*(1/(1+DiscountRate)^19))</f>
        <v/>
      </c>
      <c r="CC70" s="36">
        <f>IF(A70="","",(K70)*(IF((YEAR(D70)+20)&lt;YEAR(E70),0,IF((YEAR(D70)+20)&gt;YEAR(E70),1,(12-MONTH(E70)+1)/12)))*(1/(1+DiscountRate)^20))</f>
        <v/>
      </c>
      <c r="CD70" s="29">
        <f>IF(A70="","",S70/(1+DiscountRate)^0+T70/(1+DiscountRate)^1+U70/(1+DiscountRate)^2+V70/(1+DiscountRate)^3+W70/(1+DiscountRate)^4+X70/(1+DiscountRate)^5+Y70/(1+DiscountRate)^6+Z70/(1+DiscountRate)^7+AA70/(1+DiscountRate)^8+AB70/(1+DiscountRate)^9+AC70/(1+DiscountRate)^10+AD70/(1+DiscountRate)^11+AE70/(1+DiscountRate)^12+AF70/(1+DiscountRate)^13+AG70/(1+DiscountRate)^14+AH70/(1+DiscountRate)^15+AI70/(1+DiscountRate)^16+AJ70/(1+DiscountRate)^17+AK70/(1+DiscountRate)^18+AL70/(1+DiscountRate)^19+AM70/(1+DiscountRate)^20)</f>
        <v/>
      </c>
      <c r="CE70" s="37">
        <f>IF(A70="","",IFERROR(IRR(OFFSET(S70,0,0,1,MIN(HorizonYears,20)+1)),"n/a"))</f>
        <v/>
      </c>
      <c r="CF70" s="28">
        <f>IF(A70="","",IFERROR(MATCH(TRUE,OFFSET(AN70,0,0,1,MIN(HorizonYears,20)+1)&gt;=0,0)-1,"n/a"))</f>
        <v/>
      </c>
      <c r="CG70" s="36">
        <f>IF(A70="","",SUM(OFFSET(BI70,0,0,1,MIN(HorizonYears,20)+1)))</f>
        <v/>
      </c>
      <c r="CH70" s="36">
        <f>IF(A70="","",IFERROR(-CD70/CG70,"n/a"))</f>
        <v/>
      </c>
    </row>
    <row r="71">
      <c r="A71" s="6">
        <f>Actions!A69</f>
        <v/>
      </c>
      <c r="B71" s="6">
        <f>Actions!B69</f>
        <v/>
      </c>
      <c r="C71" s="6">
        <f>Actions!D69</f>
        <v/>
      </c>
      <c r="D71" s="35">
        <f>Actions!E69</f>
        <v/>
      </c>
      <c r="E71" s="35">
        <f>Actions!F69</f>
        <v/>
      </c>
      <c r="F71" s="6">
        <f>Actions!G69</f>
        <v/>
      </c>
      <c r="G71" s="6">
        <f>Actions!H69</f>
        <v/>
      </c>
      <c r="H71" s="29">
        <f>Actions!I69</f>
        <v/>
      </c>
      <c r="I71" s="6">
        <f>Actions!J69</f>
        <v/>
      </c>
      <c r="J71" s="16">
        <f>Actions!K69</f>
        <v/>
      </c>
      <c r="K71" s="16">
        <f>IF(A71="","",IF(I71="%",H71*J71,J71))</f>
        <v/>
      </c>
      <c r="L71" s="16">
        <f>Actions!L69</f>
        <v/>
      </c>
      <c r="M71" s="6">
        <f>Actions!M69</f>
        <v/>
      </c>
      <c r="N71" s="28">
        <f>Actions!N69</f>
        <v/>
      </c>
      <c r="O71" s="29">
        <f>Actions!T69</f>
        <v/>
      </c>
      <c r="P71" s="29">
        <f>Actions!Y69</f>
        <v/>
      </c>
      <c r="Q71" s="29">
        <f>Actions!Z69</f>
        <v/>
      </c>
      <c r="R71" s="29">
        <f>Actions!AA69</f>
        <v/>
      </c>
      <c r="S71" s="29">
        <f>IF(A71="","",((K71)*(IF(M71="",L71,IFERROR(IF(INDEX(Variablen!$I:$AT, MATCH(M71, Variablen!$A:$A, 0), MATCH((YEAR(D71)+0), Variablen!$I$3:$AT$3, 0))="",L71,INDEX(Variablen!$I:$AT, MATCH(M71, Variablen!$A:$A, 0), MATCH((YEAR(D71)+0), Variablen!$I$3:$AT$3, 0))),L71)))*(IF((YEAR(D71)+0)&lt;YEAR(E71),0,IF((YEAR(D71)+0)&gt;YEAR(E71),1,(12-MONTH(E71)+1)/12))) + (Q71)*(IF((YEAR(D71)+0)&lt;YEAR(E71),0,IF((YEAR(D71)+0)&gt;YEAR(E71),1,(12-MONTH(E71)+1)/12))))-((P71)*(IF((YEAR(D71)+0)&lt;YEAR(E71),0,IF((YEAR(D71)+0)&gt;YEAR(E71),1,(12-MONTH(E71)+1)/12))) + (R71)*(IF((YEAR(D71)+0)&lt;YEAR(E71),0,IF((YEAR(D71)+0)&gt;YEAR(E71),1,(12-MONTH(E71)+1)/12))))-(IF((((K71)*(IF(M71="",L71,IFERROR(IF(INDEX(Variablen!$I:$AT, MATCH(M71, Variablen!$A:$A, 0), MATCH((YEAR(D71)+0), Variablen!$I$3:$AT$3, 0))="",L71,INDEX(Variablen!$I:$AT, MATCH(M71, Variablen!$A:$A, 0), MATCH((YEAR(D71)+0), Variablen!$I$3:$AT$3, 0))),L71)))*(IF((YEAR(D71)+0)&lt;YEAR(E71),0,IF((YEAR(D71)+0)&gt;YEAR(E71),1,(12-MONTH(E71)+1)/12))) + (Q71)*(IF((YEAR(D71)+0)&lt;YEAR(E71),0,IF((YEAR(D71)+0)&gt;YEAR(E71),1,(12-MONTH(E71)+1)/12))))-((P71)*(IF((YEAR(D71)+0)&lt;YEAR(E71),0,IF((YEAR(D71)+0)&gt;YEAR(E71),1,(12-MONTH(E71)+1)/12))) + (R71)*(IF((YEAR(D71)+0)&lt;YEAR(E71),0,IF((YEAR(D71)+0)&gt;YEAR(E71),1,(12-MONTH(E71)+1)/12))))-(IF(OR(N71="",N71&lt;=0),0,(O71/N71)*(IF(OR(N71="",N71&lt;=0),0,IF((YEAR(D71)+0)&lt;YEAR(E71),0,IF((YEAR(D71)+0)&gt;=YEAR(E71)+N71,0,IF((YEAR(D71)+0)=YEAR(E71),(12-MONTH(E71)+1)/12,1))))))))&gt;0,(((K71)*(IF(M71="",L71,IFERROR(IF(INDEX(Variablen!$I:$AT, MATCH(M71, Variablen!$A:$A, 0), MATCH((YEAR(D71)+0), Variablen!$I$3:$AT$3, 0))="",L71,INDEX(Variablen!$I:$AT, MATCH(M71, Variablen!$A:$A, 0), MATCH((YEAR(D71)+0), Variablen!$I$3:$AT$3, 0))),L71)))*(IF((YEAR(D71)+0)&lt;YEAR(E71),0,IF((YEAR(D71)+0)&gt;YEAR(E71),1,(12-MONTH(E71)+1)/12))) + (Q71)*(IF((YEAR(D71)+0)&lt;YEAR(E71),0,IF((YEAR(D71)+0)&gt;YEAR(E71),1,(12-MONTH(E71)+1)/12))))-((P71)*(IF((YEAR(D71)+0)&lt;YEAR(E71),0,IF((YEAR(D71)+0)&gt;YEAR(E71),1,(12-MONTH(E71)+1)/12))) + (R71)*(IF((YEAR(D71)+0)&lt;YEAR(E71),0,IF((YEAR(D71)+0)&gt;YEAR(E71),1,(12-MONTH(E71)+1)/12))))-(IF(OR(N71="",N71&lt;=0),0,(O71/N71)*(IF(OR(N71="",N71&lt;=0),0,IF((YEAR(D71)+0)&lt;YEAR(E71),0,IF((YEAR(D71)+0)&gt;=YEAR(E71)+N71,0,IF((YEAR(D71)+0)=YEAR(E71),(12-MONTH(E71)+1)/12,1))))))))*TaxRate,0))-IF(0=0,O71,0))</f>
        <v/>
      </c>
      <c r="T71" s="29">
        <f>IF(A71="","",((K71)*(IF(M71="",L71,IFERROR(IF(INDEX(Variablen!$I:$AT, MATCH(M71, Variablen!$A:$A, 0), MATCH((YEAR(D71)+1), Variablen!$I$3:$AT$3, 0))="",L71,INDEX(Variablen!$I:$AT, MATCH(M71, Variablen!$A:$A, 0), MATCH((YEAR(D71)+1), Variablen!$I$3:$AT$3, 0))),L71)))*(IF((YEAR(D71)+1)&lt;YEAR(E71),0,IF((YEAR(D71)+1)&gt;YEAR(E71),1,(12-MONTH(E71)+1)/12))) + (Q71)*(IF((YEAR(D71)+1)&lt;YEAR(E71),0,IF((YEAR(D71)+1)&gt;YEAR(E71),1,(12-MONTH(E71)+1)/12))))-((P71)*(IF((YEAR(D71)+1)&lt;YEAR(E71),0,IF((YEAR(D71)+1)&gt;YEAR(E71),1,(12-MONTH(E71)+1)/12))) + (R71)*(IF((YEAR(D71)+1)&lt;YEAR(E71),0,IF((YEAR(D71)+1)&gt;YEAR(E71),1,(12-MONTH(E71)+1)/12))))-(IF((((K71)*(IF(M71="",L71,IFERROR(IF(INDEX(Variablen!$I:$AT, MATCH(M71, Variablen!$A:$A, 0), MATCH((YEAR(D71)+1), Variablen!$I$3:$AT$3, 0))="",L71,INDEX(Variablen!$I:$AT, MATCH(M71, Variablen!$A:$A, 0), MATCH((YEAR(D71)+1), Variablen!$I$3:$AT$3, 0))),L71)))*(IF((YEAR(D71)+1)&lt;YEAR(E71),0,IF((YEAR(D71)+1)&gt;YEAR(E71),1,(12-MONTH(E71)+1)/12))) + (Q71)*(IF((YEAR(D71)+1)&lt;YEAR(E71),0,IF((YEAR(D71)+1)&gt;YEAR(E71),1,(12-MONTH(E71)+1)/12))))-((P71)*(IF((YEAR(D71)+1)&lt;YEAR(E71),0,IF((YEAR(D71)+1)&gt;YEAR(E71),1,(12-MONTH(E71)+1)/12))) + (R71)*(IF((YEAR(D71)+1)&lt;YEAR(E71),0,IF((YEAR(D71)+1)&gt;YEAR(E71),1,(12-MONTH(E71)+1)/12))))-(IF(OR(N71="",N71&lt;=0),0,(O71/N71)*(IF(OR(N71="",N71&lt;=0),0,IF((YEAR(D71)+1)&lt;YEAR(E71),0,IF((YEAR(D71)+1)&gt;=YEAR(E71)+N71,0,IF((YEAR(D71)+1)=YEAR(E71),(12-MONTH(E71)+1)/12,1))))))))&gt;0,(((K71)*(IF(M71="",L71,IFERROR(IF(INDEX(Variablen!$I:$AT, MATCH(M71, Variablen!$A:$A, 0), MATCH((YEAR(D71)+1), Variablen!$I$3:$AT$3, 0))="",L71,INDEX(Variablen!$I:$AT, MATCH(M71, Variablen!$A:$A, 0), MATCH((YEAR(D71)+1), Variablen!$I$3:$AT$3, 0))),L71)))*(IF((YEAR(D71)+1)&lt;YEAR(E71),0,IF((YEAR(D71)+1)&gt;YEAR(E71),1,(12-MONTH(E71)+1)/12))) + (Q71)*(IF((YEAR(D71)+1)&lt;YEAR(E71),0,IF((YEAR(D71)+1)&gt;YEAR(E71),1,(12-MONTH(E71)+1)/12))))-((P71)*(IF((YEAR(D71)+1)&lt;YEAR(E71),0,IF((YEAR(D71)+1)&gt;YEAR(E71),1,(12-MONTH(E71)+1)/12))) + (R71)*(IF((YEAR(D71)+1)&lt;YEAR(E71),0,IF((YEAR(D71)+1)&gt;YEAR(E71),1,(12-MONTH(E71)+1)/12))))-(IF(OR(N71="",N71&lt;=0),0,(O71/N71)*(IF(OR(N71="",N71&lt;=0),0,IF((YEAR(D71)+1)&lt;YEAR(E71),0,IF((YEAR(D71)+1)&gt;=YEAR(E71)+N71,0,IF((YEAR(D71)+1)=YEAR(E71),(12-MONTH(E71)+1)/12,1))))))))*TaxRate,0))-IF(1=0,O71,0))</f>
        <v/>
      </c>
      <c r="U71" s="29">
        <f>IF(A71="","",((K71)*(IF(M71="",L71,IFERROR(IF(INDEX(Variablen!$I:$AT, MATCH(M71, Variablen!$A:$A, 0), MATCH((YEAR(D71)+2), Variablen!$I$3:$AT$3, 0))="",L71,INDEX(Variablen!$I:$AT, MATCH(M71, Variablen!$A:$A, 0), MATCH((YEAR(D71)+2), Variablen!$I$3:$AT$3, 0))),L71)))*(IF((YEAR(D71)+2)&lt;YEAR(E71),0,IF((YEAR(D71)+2)&gt;YEAR(E71),1,(12-MONTH(E71)+1)/12))) + (Q71)*(IF((YEAR(D71)+2)&lt;YEAR(E71),0,IF((YEAR(D71)+2)&gt;YEAR(E71),1,(12-MONTH(E71)+1)/12))))-((P71)*(IF((YEAR(D71)+2)&lt;YEAR(E71),0,IF((YEAR(D71)+2)&gt;YEAR(E71),1,(12-MONTH(E71)+1)/12))) + (R71)*(IF((YEAR(D71)+2)&lt;YEAR(E71),0,IF((YEAR(D71)+2)&gt;YEAR(E71),1,(12-MONTH(E71)+1)/12))))-(IF((((K71)*(IF(M71="",L71,IFERROR(IF(INDEX(Variablen!$I:$AT, MATCH(M71, Variablen!$A:$A, 0), MATCH((YEAR(D71)+2), Variablen!$I$3:$AT$3, 0))="",L71,INDEX(Variablen!$I:$AT, MATCH(M71, Variablen!$A:$A, 0), MATCH((YEAR(D71)+2), Variablen!$I$3:$AT$3, 0))),L71)))*(IF((YEAR(D71)+2)&lt;YEAR(E71),0,IF((YEAR(D71)+2)&gt;YEAR(E71),1,(12-MONTH(E71)+1)/12))) + (Q71)*(IF((YEAR(D71)+2)&lt;YEAR(E71),0,IF((YEAR(D71)+2)&gt;YEAR(E71),1,(12-MONTH(E71)+1)/12))))-((P71)*(IF((YEAR(D71)+2)&lt;YEAR(E71),0,IF((YEAR(D71)+2)&gt;YEAR(E71),1,(12-MONTH(E71)+1)/12))) + (R71)*(IF((YEAR(D71)+2)&lt;YEAR(E71),0,IF((YEAR(D71)+2)&gt;YEAR(E71),1,(12-MONTH(E71)+1)/12))))-(IF(OR(N71="",N71&lt;=0),0,(O71/N71)*(IF(OR(N71="",N71&lt;=0),0,IF((YEAR(D71)+2)&lt;YEAR(E71),0,IF((YEAR(D71)+2)&gt;=YEAR(E71)+N71,0,IF((YEAR(D71)+2)=YEAR(E71),(12-MONTH(E71)+1)/12,1))))))))&gt;0,(((K71)*(IF(M71="",L71,IFERROR(IF(INDEX(Variablen!$I:$AT, MATCH(M71, Variablen!$A:$A, 0), MATCH((YEAR(D71)+2), Variablen!$I$3:$AT$3, 0))="",L71,INDEX(Variablen!$I:$AT, MATCH(M71, Variablen!$A:$A, 0), MATCH((YEAR(D71)+2), Variablen!$I$3:$AT$3, 0))),L71)))*(IF((YEAR(D71)+2)&lt;YEAR(E71),0,IF((YEAR(D71)+2)&gt;YEAR(E71),1,(12-MONTH(E71)+1)/12))) + (Q71)*(IF((YEAR(D71)+2)&lt;YEAR(E71),0,IF((YEAR(D71)+2)&gt;YEAR(E71),1,(12-MONTH(E71)+1)/12))))-((P71)*(IF((YEAR(D71)+2)&lt;YEAR(E71),0,IF((YEAR(D71)+2)&gt;YEAR(E71),1,(12-MONTH(E71)+1)/12))) + (R71)*(IF((YEAR(D71)+2)&lt;YEAR(E71),0,IF((YEAR(D71)+2)&gt;YEAR(E71),1,(12-MONTH(E71)+1)/12))))-(IF(OR(N71="",N71&lt;=0),0,(O71/N71)*(IF(OR(N71="",N71&lt;=0),0,IF((YEAR(D71)+2)&lt;YEAR(E71),0,IF((YEAR(D71)+2)&gt;=YEAR(E71)+N71,0,IF((YEAR(D71)+2)=YEAR(E71),(12-MONTH(E71)+1)/12,1))))))))*TaxRate,0))-IF(2=0,O71,0))</f>
        <v/>
      </c>
      <c r="V71" s="29">
        <f>IF(A71="","",((K71)*(IF(M71="",L71,IFERROR(IF(INDEX(Variablen!$I:$AT, MATCH(M71, Variablen!$A:$A, 0), MATCH((YEAR(D71)+3), Variablen!$I$3:$AT$3, 0))="",L71,INDEX(Variablen!$I:$AT, MATCH(M71, Variablen!$A:$A, 0), MATCH((YEAR(D71)+3), Variablen!$I$3:$AT$3, 0))),L71)))*(IF((YEAR(D71)+3)&lt;YEAR(E71),0,IF((YEAR(D71)+3)&gt;YEAR(E71),1,(12-MONTH(E71)+1)/12))) + (Q71)*(IF((YEAR(D71)+3)&lt;YEAR(E71),0,IF((YEAR(D71)+3)&gt;YEAR(E71),1,(12-MONTH(E71)+1)/12))))-((P71)*(IF((YEAR(D71)+3)&lt;YEAR(E71),0,IF((YEAR(D71)+3)&gt;YEAR(E71),1,(12-MONTH(E71)+1)/12))) + (R71)*(IF((YEAR(D71)+3)&lt;YEAR(E71),0,IF((YEAR(D71)+3)&gt;YEAR(E71),1,(12-MONTH(E71)+1)/12))))-(IF((((K71)*(IF(M71="",L71,IFERROR(IF(INDEX(Variablen!$I:$AT, MATCH(M71, Variablen!$A:$A, 0), MATCH((YEAR(D71)+3), Variablen!$I$3:$AT$3, 0))="",L71,INDEX(Variablen!$I:$AT, MATCH(M71, Variablen!$A:$A, 0), MATCH((YEAR(D71)+3), Variablen!$I$3:$AT$3, 0))),L71)))*(IF((YEAR(D71)+3)&lt;YEAR(E71),0,IF((YEAR(D71)+3)&gt;YEAR(E71),1,(12-MONTH(E71)+1)/12))) + (Q71)*(IF((YEAR(D71)+3)&lt;YEAR(E71),0,IF((YEAR(D71)+3)&gt;YEAR(E71),1,(12-MONTH(E71)+1)/12))))-((P71)*(IF((YEAR(D71)+3)&lt;YEAR(E71),0,IF((YEAR(D71)+3)&gt;YEAR(E71),1,(12-MONTH(E71)+1)/12))) + (R71)*(IF((YEAR(D71)+3)&lt;YEAR(E71),0,IF((YEAR(D71)+3)&gt;YEAR(E71),1,(12-MONTH(E71)+1)/12))))-(IF(OR(N71="",N71&lt;=0),0,(O71/N71)*(IF(OR(N71="",N71&lt;=0),0,IF((YEAR(D71)+3)&lt;YEAR(E71),0,IF((YEAR(D71)+3)&gt;=YEAR(E71)+N71,0,IF((YEAR(D71)+3)=YEAR(E71),(12-MONTH(E71)+1)/12,1))))))))&gt;0,(((K71)*(IF(M71="",L71,IFERROR(IF(INDEX(Variablen!$I:$AT, MATCH(M71, Variablen!$A:$A, 0), MATCH((YEAR(D71)+3), Variablen!$I$3:$AT$3, 0))="",L71,INDEX(Variablen!$I:$AT, MATCH(M71, Variablen!$A:$A, 0), MATCH((YEAR(D71)+3), Variablen!$I$3:$AT$3, 0))),L71)))*(IF((YEAR(D71)+3)&lt;YEAR(E71),0,IF((YEAR(D71)+3)&gt;YEAR(E71),1,(12-MONTH(E71)+1)/12))) + (Q71)*(IF((YEAR(D71)+3)&lt;YEAR(E71),0,IF((YEAR(D71)+3)&gt;YEAR(E71),1,(12-MONTH(E71)+1)/12))))-((P71)*(IF((YEAR(D71)+3)&lt;YEAR(E71),0,IF((YEAR(D71)+3)&gt;YEAR(E71),1,(12-MONTH(E71)+1)/12))) + (R71)*(IF((YEAR(D71)+3)&lt;YEAR(E71),0,IF((YEAR(D71)+3)&gt;YEAR(E71),1,(12-MONTH(E71)+1)/12))))-(IF(OR(N71="",N71&lt;=0),0,(O71/N71)*(IF(OR(N71="",N71&lt;=0),0,IF((YEAR(D71)+3)&lt;YEAR(E71),0,IF((YEAR(D71)+3)&gt;=YEAR(E71)+N71,0,IF((YEAR(D71)+3)=YEAR(E71),(12-MONTH(E71)+1)/12,1))))))))*TaxRate,0))-IF(3=0,O71,0))</f>
        <v/>
      </c>
      <c r="W71" s="29">
        <f>IF(A71="","",((K71)*(IF(M71="",L71,IFERROR(IF(INDEX(Variablen!$I:$AT, MATCH(M71, Variablen!$A:$A, 0), MATCH((YEAR(D71)+4), Variablen!$I$3:$AT$3, 0))="",L71,INDEX(Variablen!$I:$AT, MATCH(M71, Variablen!$A:$A, 0), MATCH((YEAR(D71)+4), Variablen!$I$3:$AT$3, 0))),L71)))*(IF((YEAR(D71)+4)&lt;YEAR(E71),0,IF((YEAR(D71)+4)&gt;YEAR(E71),1,(12-MONTH(E71)+1)/12))) + (Q71)*(IF((YEAR(D71)+4)&lt;YEAR(E71),0,IF((YEAR(D71)+4)&gt;YEAR(E71),1,(12-MONTH(E71)+1)/12))))-((P71)*(IF((YEAR(D71)+4)&lt;YEAR(E71),0,IF((YEAR(D71)+4)&gt;YEAR(E71),1,(12-MONTH(E71)+1)/12))) + (R71)*(IF((YEAR(D71)+4)&lt;YEAR(E71),0,IF((YEAR(D71)+4)&gt;YEAR(E71),1,(12-MONTH(E71)+1)/12))))-(IF((((K71)*(IF(M71="",L71,IFERROR(IF(INDEX(Variablen!$I:$AT, MATCH(M71, Variablen!$A:$A, 0), MATCH((YEAR(D71)+4), Variablen!$I$3:$AT$3, 0))="",L71,INDEX(Variablen!$I:$AT, MATCH(M71, Variablen!$A:$A, 0), MATCH((YEAR(D71)+4), Variablen!$I$3:$AT$3, 0))),L71)))*(IF((YEAR(D71)+4)&lt;YEAR(E71),0,IF((YEAR(D71)+4)&gt;YEAR(E71),1,(12-MONTH(E71)+1)/12))) + (Q71)*(IF((YEAR(D71)+4)&lt;YEAR(E71),0,IF((YEAR(D71)+4)&gt;YEAR(E71),1,(12-MONTH(E71)+1)/12))))-((P71)*(IF((YEAR(D71)+4)&lt;YEAR(E71),0,IF((YEAR(D71)+4)&gt;YEAR(E71),1,(12-MONTH(E71)+1)/12))) + (R71)*(IF((YEAR(D71)+4)&lt;YEAR(E71),0,IF((YEAR(D71)+4)&gt;YEAR(E71),1,(12-MONTH(E71)+1)/12))))-(IF(OR(N71="",N71&lt;=0),0,(O71/N71)*(IF(OR(N71="",N71&lt;=0),0,IF((YEAR(D71)+4)&lt;YEAR(E71),0,IF((YEAR(D71)+4)&gt;=YEAR(E71)+N71,0,IF((YEAR(D71)+4)=YEAR(E71),(12-MONTH(E71)+1)/12,1))))))))&gt;0,(((K71)*(IF(M71="",L71,IFERROR(IF(INDEX(Variablen!$I:$AT, MATCH(M71, Variablen!$A:$A, 0), MATCH((YEAR(D71)+4), Variablen!$I$3:$AT$3, 0))="",L71,INDEX(Variablen!$I:$AT, MATCH(M71, Variablen!$A:$A, 0), MATCH((YEAR(D71)+4), Variablen!$I$3:$AT$3, 0))),L71)))*(IF((YEAR(D71)+4)&lt;YEAR(E71),0,IF((YEAR(D71)+4)&gt;YEAR(E71),1,(12-MONTH(E71)+1)/12))) + (Q71)*(IF((YEAR(D71)+4)&lt;YEAR(E71),0,IF((YEAR(D71)+4)&gt;YEAR(E71),1,(12-MONTH(E71)+1)/12))))-((P71)*(IF((YEAR(D71)+4)&lt;YEAR(E71),0,IF((YEAR(D71)+4)&gt;YEAR(E71),1,(12-MONTH(E71)+1)/12))) + (R71)*(IF((YEAR(D71)+4)&lt;YEAR(E71),0,IF((YEAR(D71)+4)&gt;YEAR(E71),1,(12-MONTH(E71)+1)/12))))-(IF(OR(N71="",N71&lt;=0),0,(O71/N71)*(IF(OR(N71="",N71&lt;=0),0,IF((YEAR(D71)+4)&lt;YEAR(E71),0,IF((YEAR(D71)+4)&gt;=YEAR(E71)+N71,0,IF((YEAR(D71)+4)=YEAR(E71),(12-MONTH(E71)+1)/12,1))))))))*TaxRate,0))-IF(4=0,O71,0))</f>
        <v/>
      </c>
      <c r="X71" s="29">
        <f>IF(A71="","",((K71)*(IF(M71="",L71,IFERROR(IF(INDEX(Variablen!$I:$AT, MATCH(M71, Variablen!$A:$A, 0), MATCH((YEAR(D71)+5), Variablen!$I$3:$AT$3, 0))="",L71,INDEX(Variablen!$I:$AT, MATCH(M71, Variablen!$A:$A, 0), MATCH((YEAR(D71)+5), Variablen!$I$3:$AT$3, 0))),L71)))*(IF((YEAR(D71)+5)&lt;YEAR(E71),0,IF((YEAR(D71)+5)&gt;YEAR(E71),1,(12-MONTH(E71)+1)/12))) + (Q71)*(IF((YEAR(D71)+5)&lt;YEAR(E71),0,IF((YEAR(D71)+5)&gt;YEAR(E71),1,(12-MONTH(E71)+1)/12))))-((P71)*(IF((YEAR(D71)+5)&lt;YEAR(E71),0,IF((YEAR(D71)+5)&gt;YEAR(E71),1,(12-MONTH(E71)+1)/12))) + (R71)*(IF((YEAR(D71)+5)&lt;YEAR(E71),0,IF((YEAR(D71)+5)&gt;YEAR(E71),1,(12-MONTH(E71)+1)/12))))-(IF((((K71)*(IF(M71="",L71,IFERROR(IF(INDEX(Variablen!$I:$AT, MATCH(M71, Variablen!$A:$A, 0), MATCH((YEAR(D71)+5), Variablen!$I$3:$AT$3, 0))="",L71,INDEX(Variablen!$I:$AT, MATCH(M71, Variablen!$A:$A, 0), MATCH((YEAR(D71)+5), Variablen!$I$3:$AT$3, 0))),L71)))*(IF((YEAR(D71)+5)&lt;YEAR(E71),0,IF((YEAR(D71)+5)&gt;YEAR(E71),1,(12-MONTH(E71)+1)/12))) + (Q71)*(IF((YEAR(D71)+5)&lt;YEAR(E71),0,IF((YEAR(D71)+5)&gt;YEAR(E71),1,(12-MONTH(E71)+1)/12))))-((P71)*(IF((YEAR(D71)+5)&lt;YEAR(E71),0,IF((YEAR(D71)+5)&gt;YEAR(E71),1,(12-MONTH(E71)+1)/12))) + (R71)*(IF((YEAR(D71)+5)&lt;YEAR(E71),0,IF((YEAR(D71)+5)&gt;YEAR(E71),1,(12-MONTH(E71)+1)/12))))-(IF(OR(N71="",N71&lt;=0),0,(O71/N71)*(IF(OR(N71="",N71&lt;=0),0,IF((YEAR(D71)+5)&lt;YEAR(E71),0,IF((YEAR(D71)+5)&gt;=YEAR(E71)+N71,0,IF((YEAR(D71)+5)=YEAR(E71),(12-MONTH(E71)+1)/12,1))))))))&gt;0,(((K71)*(IF(M71="",L71,IFERROR(IF(INDEX(Variablen!$I:$AT, MATCH(M71, Variablen!$A:$A, 0), MATCH((YEAR(D71)+5), Variablen!$I$3:$AT$3, 0))="",L71,INDEX(Variablen!$I:$AT, MATCH(M71, Variablen!$A:$A, 0), MATCH((YEAR(D71)+5), Variablen!$I$3:$AT$3, 0))),L71)))*(IF((YEAR(D71)+5)&lt;YEAR(E71),0,IF((YEAR(D71)+5)&gt;YEAR(E71),1,(12-MONTH(E71)+1)/12))) + (Q71)*(IF((YEAR(D71)+5)&lt;YEAR(E71),0,IF((YEAR(D71)+5)&gt;YEAR(E71),1,(12-MONTH(E71)+1)/12))))-((P71)*(IF((YEAR(D71)+5)&lt;YEAR(E71),0,IF((YEAR(D71)+5)&gt;YEAR(E71),1,(12-MONTH(E71)+1)/12))) + (R71)*(IF((YEAR(D71)+5)&lt;YEAR(E71),0,IF((YEAR(D71)+5)&gt;YEAR(E71),1,(12-MONTH(E71)+1)/12))))-(IF(OR(N71="",N71&lt;=0),0,(O71/N71)*(IF(OR(N71="",N71&lt;=0),0,IF((YEAR(D71)+5)&lt;YEAR(E71),0,IF((YEAR(D71)+5)&gt;=YEAR(E71)+N71,0,IF((YEAR(D71)+5)=YEAR(E71),(12-MONTH(E71)+1)/12,1))))))))*TaxRate,0))-IF(5=0,O71,0))</f>
        <v/>
      </c>
      <c r="Y71" s="29">
        <f>IF(A71="","",((K71)*(IF(M71="",L71,IFERROR(IF(INDEX(Variablen!$I:$AT, MATCH(M71, Variablen!$A:$A, 0), MATCH((YEAR(D71)+6), Variablen!$I$3:$AT$3, 0))="",L71,INDEX(Variablen!$I:$AT, MATCH(M71, Variablen!$A:$A, 0), MATCH((YEAR(D71)+6), Variablen!$I$3:$AT$3, 0))),L71)))*(IF((YEAR(D71)+6)&lt;YEAR(E71),0,IF((YEAR(D71)+6)&gt;YEAR(E71),1,(12-MONTH(E71)+1)/12))) + (Q71)*(IF((YEAR(D71)+6)&lt;YEAR(E71),0,IF((YEAR(D71)+6)&gt;YEAR(E71),1,(12-MONTH(E71)+1)/12))))-((P71)*(IF((YEAR(D71)+6)&lt;YEAR(E71),0,IF((YEAR(D71)+6)&gt;YEAR(E71),1,(12-MONTH(E71)+1)/12))) + (R71)*(IF((YEAR(D71)+6)&lt;YEAR(E71),0,IF((YEAR(D71)+6)&gt;YEAR(E71),1,(12-MONTH(E71)+1)/12))))-(IF((((K71)*(IF(M71="",L71,IFERROR(IF(INDEX(Variablen!$I:$AT, MATCH(M71, Variablen!$A:$A, 0), MATCH((YEAR(D71)+6), Variablen!$I$3:$AT$3, 0))="",L71,INDEX(Variablen!$I:$AT, MATCH(M71, Variablen!$A:$A, 0), MATCH((YEAR(D71)+6), Variablen!$I$3:$AT$3, 0))),L71)))*(IF((YEAR(D71)+6)&lt;YEAR(E71),0,IF((YEAR(D71)+6)&gt;YEAR(E71),1,(12-MONTH(E71)+1)/12))) + (Q71)*(IF((YEAR(D71)+6)&lt;YEAR(E71),0,IF((YEAR(D71)+6)&gt;YEAR(E71),1,(12-MONTH(E71)+1)/12))))-((P71)*(IF((YEAR(D71)+6)&lt;YEAR(E71),0,IF((YEAR(D71)+6)&gt;YEAR(E71),1,(12-MONTH(E71)+1)/12))) + (R71)*(IF((YEAR(D71)+6)&lt;YEAR(E71),0,IF((YEAR(D71)+6)&gt;YEAR(E71),1,(12-MONTH(E71)+1)/12))))-(IF(OR(N71="",N71&lt;=0),0,(O71/N71)*(IF(OR(N71="",N71&lt;=0),0,IF((YEAR(D71)+6)&lt;YEAR(E71),0,IF((YEAR(D71)+6)&gt;=YEAR(E71)+N71,0,IF((YEAR(D71)+6)=YEAR(E71),(12-MONTH(E71)+1)/12,1))))))))&gt;0,(((K71)*(IF(M71="",L71,IFERROR(IF(INDEX(Variablen!$I:$AT, MATCH(M71, Variablen!$A:$A, 0), MATCH((YEAR(D71)+6), Variablen!$I$3:$AT$3, 0))="",L71,INDEX(Variablen!$I:$AT, MATCH(M71, Variablen!$A:$A, 0), MATCH((YEAR(D71)+6), Variablen!$I$3:$AT$3, 0))),L71)))*(IF((YEAR(D71)+6)&lt;YEAR(E71),0,IF((YEAR(D71)+6)&gt;YEAR(E71),1,(12-MONTH(E71)+1)/12))) + (Q71)*(IF((YEAR(D71)+6)&lt;YEAR(E71),0,IF((YEAR(D71)+6)&gt;YEAR(E71),1,(12-MONTH(E71)+1)/12))))-((P71)*(IF((YEAR(D71)+6)&lt;YEAR(E71),0,IF((YEAR(D71)+6)&gt;YEAR(E71),1,(12-MONTH(E71)+1)/12))) + (R71)*(IF((YEAR(D71)+6)&lt;YEAR(E71),0,IF((YEAR(D71)+6)&gt;YEAR(E71),1,(12-MONTH(E71)+1)/12))))-(IF(OR(N71="",N71&lt;=0),0,(O71/N71)*(IF(OR(N71="",N71&lt;=0),0,IF((YEAR(D71)+6)&lt;YEAR(E71),0,IF((YEAR(D71)+6)&gt;=YEAR(E71)+N71,0,IF((YEAR(D71)+6)=YEAR(E71),(12-MONTH(E71)+1)/12,1))))))))*TaxRate,0))-IF(6=0,O71,0))</f>
        <v/>
      </c>
      <c r="Z71" s="29">
        <f>IF(A71="","",((K71)*(IF(M71="",L71,IFERROR(IF(INDEX(Variablen!$I:$AT, MATCH(M71, Variablen!$A:$A, 0), MATCH((YEAR(D71)+7), Variablen!$I$3:$AT$3, 0))="",L71,INDEX(Variablen!$I:$AT, MATCH(M71, Variablen!$A:$A, 0), MATCH((YEAR(D71)+7), Variablen!$I$3:$AT$3, 0))),L71)))*(IF((YEAR(D71)+7)&lt;YEAR(E71),0,IF((YEAR(D71)+7)&gt;YEAR(E71),1,(12-MONTH(E71)+1)/12))) + (Q71)*(IF((YEAR(D71)+7)&lt;YEAR(E71),0,IF((YEAR(D71)+7)&gt;YEAR(E71),1,(12-MONTH(E71)+1)/12))))-((P71)*(IF((YEAR(D71)+7)&lt;YEAR(E71),0,IF((YEAR(D71)+7)&gt;YEAR(E71),1,(12-MONTH(E71)+1)/12))) + (R71)*(IF((YEAR(D71)+7)&lt;YEAR(E71),0,IF((YEAR(D71)+7)&gt;YEAR(E71),1,(12-MONTH(E71)+1)/12))))-(IF((((K71)*(IF(M71="",L71,IFERROR(IF(INDEX(Variablen!$I:$AT, MATCH(M71, Variablen!$A:$A, 0), MATCH((YEAR(D71)+7), Variablen!$I$3:$AT$3, 0))="",L71,INDEX(Variablen!$I:$AT, MATCH(M71, Variablen!$A:$A, 0), MATCH((YEAR(D71)+7), Variablen!$I$3:$AT$3, 0))),L71)))*(IF((YEAR(D71)+7)&lt;YEAR(E71),0,IF((YEAR(D71)+7)&gt;YEAR(E71),1,(12-MONTH(E71)+1)/12))) + (Q71)*(IF((YEAR(D71)+7)&lt;YEAR(E71),0,IF((YEAR(D71)+7)&gt;YEAR(E71),1,(12-MONTH(E71)+1)/12))))-((P71)*(IF((YEAR(D71)+7)&lt;YEAR(E71),0,IF((YEAR(D71)+7)&gt;YEAR(E71),1,(12-MONTH(E71)+1)/12))) + (R71)*(IF((YEAR(D71)+7)&lt;YEAR(E71),0,IF((YEAR(D71)+7)&gt;YEAR(E71),1,(12-MONTH(E71)+1)/12))))-(IF(OR(N71="",N71&lt;=0),0,(O71/N71)*(IF(OR(N71="",N71&lt;=0),0,IF((YEAR(D71)+7)&lt;YEAR(E71),0,IF((YEAR(D71)+7)&gt;=YEAR(E71)+N71,0,IF((YEAR(D71)+7)=YEAR(E71),(12-MONTH(E71)+1)/12,1))))))))&gt;0,(((K71)*(IF(M71="",L71,IFERROR(IF(INDEX(Variablen!$I:$AT, MATCH(M71, Variablen!$A:$A, 0), MATCH((YEAR(D71)+7), Variablen!$I$3:$AT$3, 0))="",L71,INDEX(Variablen!$I:$AT, MATCH(M71, Variablen!$A:$A, 0), MATCH((YEAR(D71)+7), Variablen!$I$3:$AT$3, 0))),L71)))*(IF((YEAR(D71)+7)&lt;YEAR(E71),0,IF((YEAR(D71)+7)&gt;YEAR(E71),1,(12-MONTH(E71)+1)/12))) + (Q71)*(IF((YEAR(D71)+7)&lt;YEAR(E71),0,IF((YEAR(D71)+7)&gt;YEAR(E71),1,(12-MONTH(E71)+1)/12))))-((P71)*(IF((YEAR(D71)+7)&lt;YEAR(E71),0,IF((YEAR(D71)+7)&gt;YEAR(E71),1,(12-MONTH(E71)+1)/12))) + (R71)*(IF((YEAR(D71)+7)&lt;YEAR(E71),0,IF((YEAR(D71)+7)&gt;YEAR(E71),1,(12-MONTH(E71)+1)/12))))-(IF(OR(N71="",N71&lt;=0),0,(O71/N71)*(IF(OR(N71="",N71&lt;=0),0,IF((YEAR(D71)+7)&lt;YEAR(E71),0,IF((YEAR(D71)+7)&gt;=YEAR(E71)+N71,0,IF((YEAR(D71)+7)=YEAR(E71),(12-MONTH(E71)+1)/12,1))))))))*TaxRate,0))-IF(7=0,O71,0))</f>
        <v/>
      </c>
      <c r="AA71" s="29">
        <f>IF(A71="","",((K71)*(IF(M71="",L71,IFERROR(IF(INDEX(Variablen!$I:$AT, MATCH(M71, Variablen!$A:$A, 0), MATCH((YEAR(D71)+8), Variablen!$I$3:$AT$3, 0))="",L71,INDEX(Variablen!$I:$AT, MATCH(M71, Variablen!$A:$A, 0), MATCH((YEAR(D71)+8), Variablen!$I$3:$AT$3, 0))),L71)))*(IF((YEAR(D71)+8)&lt;YEAR(E71),0,IF((YEAR(D71)+8)&gt;YEAR(E71),1,(12-MONTH(E71)+1)/12))) + (Q71)*(IF((YEAR(D71)+8)&lt;YEAR(E71),0,IF((YEAR(D71)+8)&gt;YEAR(E71),1,(12-MONTH(E71)+1)/12))))-((P71)*(IF((YEAR(D71)+8)&lt;YEAR(E71),0,IF((YEAR(D71)+8)&gt;YEAR(E71),1,(12-MONTH(E71)+1)/12))) + (R71)*(IF((YEAR(D71)+8)&lt;YEAR(E71),0,IF((YEAR(D71)+8)&gt;YEAR(E71),1,(12-MONTH(E71)+1)/12))))-(IF((((K71)*(IF(M71="",L71,IFERROR(IF(INDEX(Variablen!$I:$AT, MATCH(M71, Variablen!$A:$A, 0), MATCH((YEAR(D71)+8), Variablen!$I$3:$AT$3, 0))="",L71,INDEX(Variablen!$I:$AT, MATCH(M71, Variablen!$A:$A, 0), MATCH((YEAR(D71)+8), Variablen!$I$3:$AT$3, 0))),L71)))*(IF((YEAR(D71)+8)&lt;YEAR(E71),0,IF((YEAR(D71)+8)&gt;YEAR(E71),1,(12-MONTH(E71)+1)/12))) + (Q71)*(IF((YEAR(D71)+8)&lt;YEAR(E71),0,IF((YEAR(D71)+8)&gt;YEAR(E71),1,(12-MONTH(E71)+1)/12))))-((P71)*(IF((YEAR(D71)+8)&lt;YEAR(E71),0,IF((YEAR(D71)+8)&gt;YEAR(E71),1,(12-MONTH(E71)+1)/12))) + (R71)*(IF((YEAR(D71)+8)&lt;YEAR(E71),0,IF((YEAR(D71)+8)&gt;YEAR(E71),1,(12-MONTH(E71)+1)/12))))-(IF(OR(N71="",N71&lt;=0),0,(O71/N71)*(IF(OR(N71="",N71&lt;=0),0,IF((YEAR(D71)+8)&lt;YEAR(E71),0,IF((YEAR(D71)+8)&gt;=YEAR(E71)+N71,0,IF((YEAR(D71)+8)=YEAR(E71),(12-MONTH(E71)+1)/12,1))))))))&gt;0,(((K71)*(IF(M71="",L71,IFERROR(IF(INDEX(Variablen!$I:$AT, MATCH(M71, Variablen!$A:$A, 0), MATCH((YEAR(D71)+8), Variablen!$I$3:$AT$3, 0))="",L71,INDEX(Variablen!$I:$AT, MATCH(M71, Variablen!$A:$A, 0), MATCH((YEAR(D71)+8), Variablen!$I$3:$AT$3, 0))),L71)))*(IF((YEAR(D71)+8)&lt;YEAR(E71),0,IF((YEAR(D71)+8)&gt;YEAR(E71),1,(12-MONTH(E71)+1)/12))) + (Q71)*(IF((YEAR(D71)+8)&lt;YEAR(E71),0,IF((YEAR(D71)+8)&gt;YEAR(E71),1,(12-MONTH(E71)+1)/12))))-((P71)*(IF((YEAR(D71)+8)&lt;YEAR(E71),0,IF((YEAR(D71)+8)&gt;YEAR(E71),1,(12-MONTH(E71)+1)/12))) + (R71)*(IF((YEAR(D71)+8)&lt;YEAR(E71),0,IF((YEAR(D71)+8)&gt;YEAR(E71),1,(12-MONTH(E71)+1)/12))))-(IF(OR(N71="",N71&lt;=0),0,(O71/N71)*(IF(OR(N71="",N71&lt;=0),0,IF((YEAR(D71)+8)&lt;YEAR(E71),0,IF((YEAR(D71)+8)&gt;=YEAR(E71)+N71,0,IF((YEAR(D71)+8)=YEAR(E71),(12-MONTH(E71)+1)/12,1))))))))*TaxRate,0))-IF(8=0,O71,0))</f>
        <v/>
      </c>
      <c r="AB71" s="29">
        <f>IF(A71="","",((K71)*(IF(M71="",L71,IFERROR(IF(INDEX(Variablen!$I:$AT, MATCH(M71, Variablen!$A:$A, 0), MATCH((YEAR(D71)+9), Variablen!$I$3:$AT$3, 0))="",L71,INDEX(Variablen!$I:$AT, MATCH(M71, Variablen!$A:$A, 0), MATCH((YEAR(D71)+9), Variablen!$I$3:$AT$3, 0))),L71)))*(IF((YEAR(D71)+9)&lt;YEAR(E71),0,IF((YEAR(D71)+9)&gt;YEAR(E71),1,(12-MONTH(E71)+1)/12))) + (Q71)*(IF((YEAR(D71)+9)&lt;YEAR(E71),0,IF((YEAR(D71)+9)&gt;YEAR(E71),1,(12-MONTH(E71)+1)/12))))-((P71)*(IF((YEAR(D71)+9)&lt;YEAR(E71),0,IF((YEAR(D71)+9)&gt;YEAR(E71),1,(12-MONTH(E71)+1)/12))) + (R71)*(IF((YEAR(D71)+9)&lt;YEAR(E71),0,IF((YEAR(D71)+9)&gt;YEAR(E71),1,(12-MONTH(E71)+1)/12))))-(IF((((K71)*(IF(M71="",L71,IFERROR(IF(INDEX(Variablen!$I:$AT, MATCH(M71, Variablen!$A:$A, 0), MATCH((YEAR(D71)+9), Variablen!$I$3:$AT$3, 0))="",L71,INDEX(Variablen!$I:$AT, MATCH(M71, Variablen!$A:$A, 0), MATCH((YEAR(D71)+9), Variablen!$I$3:$AT$3, 0))),L71)))*(IF((YEAR(D71)+9)&lt;YEAR(E71),0,IF((YEAR(D71)+9)&gt;YEAR(E71),1,(12-MONTH(E71)+1)/12))) + (Q71)*(IF((YEAR(D71)+9)&lt;YEAR(E71),0,IF((YEAR(D71)+9)&gt;YEAR(E71),1,(12-MONTH(E71)+1)/12))))-((P71)*(IF((YEAR(D71)+9)&lt;YEAR(E71),0,IF((YEAR(D71)+9)&gt;YEAR(E71),1,(12-MONTH(E71)+1)/12))) + (R71)*(IF((YEAR(D71)+9)&lt;YEAR(E71),0,IF((YEAR(D71)+9)&gt;YEAR(E71),1,(12-MONTH(E71)+1)/12))))-(IF(OR(N71="",N71&lt;=0),0,(O71/N71)*(IF(OR(N71="",N71&lt;=0),0,IF((YEAR(D71)+9)&lt;YEAR(E71),0,IF((YEAR(D71)+9)&gt;=YEAR(E71)+N71,0,IF((YEAR(D71)+9)=YEAR(E71),(12-MONTH(E71)+1)/12,1))))))))&gt;0,(((K71)*(IF(M71="",L71,IFERROR(IF(INDEX(Variablen!$I:$AT, MATCH(M71, Variablen!$A:$A, 0), MATCH((YEAR(D71)+9), Variablen!$I$3:$AT$3, 0))="",L71,INDEX(Variablen!$I:$AT, MATCH(M71, Variablen!$A:$A, 0), MATCH((YEAR(D71)+9), Variablen!$I$3:$AT$3, 0))),L71)))*(IF((YEAR(D71)+9)&lt;YEAR(E71),0,IF((YEAR(D71)+9)&gt;YEAR(E71),1,(12-MONTH(E71)+1)/12))) + (Q71)*(IF((YEAR(D71)+9)&lt;YEAR(E71),0,IF((YEAR(D71)+9)&gt;YEAR(E71),1,(12-MONTH(E71)+1)/12))))-((P71)*(IF((YEAR(D71)+9)&lt;YEAR(E71),0,IF((YEAR(D71)+9)&gt;YEAR(E71),1,(12-MONTH(E71)+1)/12))) + (R71)*(IF((YEAR(D71)+9)&lt;YEAR(E71),0,IF((YEAR(D71)+9)&gt;YEAR(E71),1,(12-MONTH(E71)+1)/12))))-(IF(OR(N71="",N71&lt;=0),0,(O71/N71)*(IF(OR(N71="",N71&lt;=0),0,IF((YEAR(D71)+9)&lt;YEAR(E71),0,IF((YEAR(D71)+9)&gt;=YEAR(E71)+N71,0,IF((YEAR(D71)+9)=YEAR(E71),(12-MONTH(E71)+1)/12,1))))))))*TaxRate,0))-IF(9=0,O71,0))</f>
        <v/>
      </c>
      <c r="AC71" s="29">
        <f>IF(A71="","",((K71)*(IF(M71="",L71,IFERROR(IF(INDEX(Variablen!$I:$AT, MATCH(M71, Variablen!$A:$A, 0), MATCH((YEAR(D71)+10), Variablen!$I$3:$AT$3, 0))="",L71,INDEX(Variablen!$I:$AT, MATCH(M71, Variablen!$A:$A, 0), MATCH((YEAR(D71)+10), Variablen!$I$3:$AT$3, 0))),L71)))*(IF((YEAR(D71)+10)&lt;YEAR(E71),0,IF((YEAR(D71)+10)&gt;YEAR(E71),1,(12-MONTH(E71)+1)/12))) + (Q71)*(IF((YEAR(D71)+10)&lt;YEAR(E71),0,IF((YEAR(D71)+10)&gt;YEAR(E71),1,(12-MONTH(E71)+1)/12))))-((P71)*(IF((YEAR(D71)+10)&lt;YEAR(E71),0,IF((YEAR(D71)+10)&gt;YEAR(E71),1,(12-MONTH(E71)+1)/12))) + (R71)*(IF((YEAR(D71)+10)&lt;YEAR(E71),0,IF((YEAR(D71)+10)&gt;YEAR(E71),1,(12-MONTH(E71)+1)/12))))-(IF((((K71)*(IF(M71="",L71,IFERROR(IF(INDEX(Variablen!$I:$AT, MATCH(M71, Variablen!$A:$A, 0), MATCH((YEAR(D71)+10), Variablen!$I$3:$AT$3, 0))="",L71,INDEX(Variablen!$I:$AT, MATCH(M71, Variablen!$A:$A, 0), MATCH((YEAR(D71)+10), Variablen!$I$3:$AT$3, 0))),L71)))*(IF((YEAR(D71)+10)&lt;YEAR(E71),0,IF((YEAR(D71)+10)&gt;YEAR(E71),1,(12-MONTH(E71)+1)/12))) + (Q71)*(IF((YEAR(D71)+10)&lt;YEAR(E71),0,IF((YEAR(D71)+10)&gt;YEAR(E71),1,(12-MONTH(E71)+1)/12))))-((P71)*(IF((YEAR(D71)+10)&lt;YEAR(E71),0,IF((YEAR(D71)+10)&gt;YEAR(E71),1,(12-MONTH(E71)+1)/12))) + (R71)*(IF((YEAR(D71)+10)&lt;YEAR(E71),0,IF((YEAR(D71)+10)&gt;YEAR(E71),1,(12-MONTH(E71)+1)/12))))-(IF(OR(N71="",N71&lt;=0),0,(O71/N71)*(IF(OR(N71="",N71&lt;=0),0,IF((YEAR(D71)+10)&lt;YEAR(E71),0,IF((YEAR(D71)+10)&gt;=YEAR(E71)+N71,0,IF((YEAR(D71)+10)=YEAR(E71),(12-MONTH(E71)+1)/12,1))))))))&gt;0,(((K71)*(IF(M71="",L71,IFERROR(IF(INDEX(Variablen!$I:$AT, MATCH(M71, Variablen!$A:$A, 0), MATCH((YEAR(D71)+10), Variablen!$I$3:$AT$3, 0))="",L71,INDEX(Variablen!$I:$AT, MATCH(M71, Variablen!$A:$A, 0), MATCH((YEAR(D71)+10), Variablen!$I$3:$AT$3, 0))),L71)))*(IF((YEAR(D71)+10)&lt;YEAR(E71),0,IF((YEAR(D71)+10)&gt;YEAR(E71),1,(12-MONTH(E71)+1)/12))) + (Q71)*(IF((YEAR(D71)+10)&lt;YEAR(E71),0,IF((YEAR(D71)+10)&gt;YEAR(E71),1,(12-MONTH(E71)+1)/12))))-((P71)*(IF((YEAR(D71)+10)&lt;YEAR(E71),0,IF((YEAR(D71)+10)&gt;YEAR(E71),1,(12-MONTH(E71)+1)/12))) + (R71)*(IF((YEAR(D71)+10)&lt;YEAR(E71),0,IF((YEAR(D71)+10)&gt;YEAR(E71),1,(12-MONTH(E71)+1)/12))))-(IF(OR(N71="",N71&lt;=0),0,(O71/N71)*(IF(OR(N71="",N71&lt;=0),0,IF((YEAR(D71)+10)&lt;YEAR(E71),0,IF((YEAR(D71)+10)&gt;=YEAR(E71)+N71,0,IF((YEAR(D71)+10)=YEAR(E71),(12-MONTH(E71)+1)/12,1))))))))*TaxRate,0))-IF(10=0,O71,0))</f>
        <v/>
      </c>
      <c r="AD71" s="29">
        <f>IF(A71="","",((K71)*(IF(M71="",L71,IFERROR(IF(INDEX(Variablen!$I:$AT, MATCH(M71, Variablen!$A:$A, 0), MATCH((YEAR(D71)+11), Variablen!$I$3:$AT$3, 0))="",L71,INDEX(Variablen!$I:$AT, MATCH(M71, Variablen!$A:$A, 0), MATCH((YEAR(D71)+11), Variablen!$I$3:$AT$3, 0))),L71)))*(IF((YEAR(D71)+11)&lt;YEAR(E71),0,IF((YEAR(D71)+11)&gt;YEAR(E71),1,(12-MONTH(E71)+1)/12))) + (Q71)*(IF((YEAR(D71)+11)&lt;YEAR(E71),0,IF((YEAR(D71)+11)&gt;YEAR(E71),1,(12-MONTH(E71)+1)/12))))-((P71)*(IF((YEAR(D71)+11)&lt;YEAR(E71),0,IF((YEAR(D71)+11)&gt;YEAR(E71),1,(12-MONTH(E71)+1)/12))) + (R71)*(IF((YEAR(D71)+11)&lt;YEAR(E71),0,IF((YEAR(D71)+11)&gt;YEAR(E71),1,(12-MONTH(E71)+1)/12))))-(IF((((K71)*(IF(M71="",L71,IFERROR(IF(INDEX(Variablen!$I:$AT, MATCH(M71, Variablen!$A:$A, 0), MATCH((YEAR(D71)+11), Variablen!$I$3:$AT$3, 0))="",L71,INDEX(Variablen!$I:$AT, MATCH(M71, Variablen!$A:$A, 0), MATCH((YEAR(D71)+11), Variablen!$I$3:$AT$3, 0))),L71)))*(IF((YEAR(D71)+11)&lt;YEAR(E71),0,IF((YEAR(D71)+11)&gt;YEAR(E71),1,(12-MONTH(E71)+1)/12))) + (Q71)*(IF((YEAR(D71)+11)&lt;YEAR(E71),0,IF((YEAR(D71)+11)&gt;YEAR(E71),1,(12-MONTH(E71)+1)/12))))-((P71)*(IF((YEAR(D71)+11)&lt;YEAR(E71),0,IF((YEAR(D71)+11)&gt;YEAR(E71),1,(12-MONTH(E71)+1)/12))) + (R71)*(IF((YEAR(D71)+11)&lt;YEAR(E71),0,IF((YEAR(D71)+11)&gt;YEAR(E71),1,(12-MONTH(E71)+1)/12))))-(IF(OR(N71="",N71&lt;=0),0,(O71/N71)*(IF(OR(N71="",N71&lt;=0),0,IF((YEAR(D71)+11)&lt;YEAR(E71),0,IF((YEAR(D71)+11)&gt;=YEAR(E71)+N71,0,IF((YEAR(D71)+11)=YEAR(E71),(12-MONTH(E71)+1)/12,1))))))))&gt;0,(((K71)*(IF(M71="",L71,IFERROR(IF(INDEX(Variablen!$I:$AT, MATCH(M71, Variablen!$A:$A, 0), MATCH((YEAR(D71)+11), Variablen!$I$3:$AT$3, 0))="",L71,INDEX(Variablen!$I:$AT, MATCH(M71, Variablen!$A:$A, 0), MATCH((YEAR(D71)+11), Variablen!$I$3:$AT$3, 0))),L71)))*(IF((YEAR(D71)+11)&lt;YEAR(E71),0,IF((YEAR(D71)+11)&gt;YEAR(E71),1,(12-MONTH(E71)+1)/12))) + (Q71)*(IF((YEAR(D71)+11)&lt;YEAR(E71),0,IF((YEAR(D71)+11)&gt;YEAR(E71),1,(12-MONTH(E71)+1)/12))))-((P71)*(IF((YEAR(D71)+11)&lt;YEAR(E71),0,IF((YEAR(D71)+11)&gt;YEAR(E71),1,(12-MONTH(E71)+1)/12))) + (R71)*(IF((YEAR(D71)+11)&lt;YEAR(E71),0,IF((YEAR(D71)+11)&gt;YEAR(E71),1,(12-MONTH(E71)+1)/12))))-(IF(OR(N71="",N71&lt;=0),0,(O71/N71)*(IF(OR(N71="",N71&lt;=0),0,IF((YEAR(D71)+11)&lt;YEAR(E71),0,IF((YEAR(D71)+11)&gt;=YEAR(E71)+N71,0,IF((YEAR(D71)+11)=YEAR(E71),(12-MONTH(E71)+1)/12,1))))))))*TaxRate,0))-IF(11=0,O71,0))</f>
        <v/>
      </c>
      <c r="AE71" s="29">
        <f>IF(A71="","",((K71)*(IF(M71="",L71,IFERROR(IF(INDEX(Variablen!$I:$AT, MATCH(M71, Variablen!$A:$A, 0), MATCH((YEAR(D71)+12), Variablen!$I$3:$AT$3, 0))="",L71,INDEX(Variablen!$I:$AT, MATCH(M71, Variablen!$A:$A, 0), MATCH((YEAR(D71)+12), Variablen!$I$3:$AT$3, 0))),L71)))*(IF((YEAR(D71)+12)&lt;YEAR(E71),0,IF((YEAR(D71)+12)&gt;YEAR(E71),1,(12-MONTH(E71)+1)/12))) + (Q71)*(IF((YEAR(D71)+12)&lt;YEAR(E71),0,IF((YEAR(D71)+12)&gt;YEAR(E71),1,(12-MONTH(E71)+1)/12))))-((P71)*(IF((YEAR(D71)+12)&lt;YEAR(E71),0,IF((YEAR(D71)+12)&gt;YEAR(E71),1,(12-MONTH(E71)+1)/12))) + (R71)*(IF((YEAR(D71)+12)&lt;YEAR(E71),0,IF((YEAR(D71)+12)&gt;YEAR(E71),1,(12-MONTH(E71)+1)/12))))-(IF((((K71)*(IF(M71="",L71,IFERROR(IF(INDEX(Variablen!$I:$AT, MATCH(M71, Variablen!$A:$A, 0), MATCH((YEAR(D71)+12), Variablen!$I$3:$AT$3, 0))="",L71,INDEX(Variablen!$I:$AT, MATCH(M71, Variablen!$A:$A, 0), MATCH((YEAR(D71)+12), Variablen!$I$3:$AT$3, 0))),L71)))*(IF((YEAR(D71)+12)&lt;YEAR(E71),0,IF((YEAR(D71)+12)&gt;YEAR(E71),1,(12-MONTH(E71)+1)/12))) + (Q71)*(IF((YEAR(D71)+12)&lt;YEAR(E71),0,IF((YEAR(D71)+12)&gt;YEAR(E71),1,(12-MONTH(E71)+1)/12))))-((P71)*(IF((YEAR(D71)+12)&lt;YEAR(E71),0,IF((YEAR(D71)+12)&gt;YEAR(E71),1,(12-MONTH(E71)+1)/12))) + (R71)*(IF((YEAR(D71)+12)&lt;YEAR(E71),0,IF((YEAR(D71)+12)&gt;YEAR(E71),1,(12-MONTH(E71)+1)/12))))-(IF(OR(N71="",N71&lt;=0),0,(O71/N71)*(IF(OR(N71="",N71&lt;=0),0,IF((YEAR(D71)+12)&lt;YEAR(E71),0,IF((YEAR(D71)+12)&gt;=YEAR(E71)+N71,0,IF((YEAR(D71)+12)=YEAR(E71),(12-MONTH(E71)+1)/12,1))))))))&gt;0,(((K71)*(IF(M71="",L71,IFERROR(IF(INDEX(Variablen!$I:$AT, MATCH(M71, Variablen!$A:$A, 0), MATCH((YEAR(D71)+12), Variablen!$I$3:$AT$3, 0))="",L71,INDEX(Variablen!$I:$AT, MATCH(M71, Variablen!$A:$A, 0), MATCH((YEAR(D71)+12), Variablen!$I$3:$AT$3, 0))),L71)))*(IF((YEAR(D71)+12)&lt;YEAR(E71),0,IF((YEAR(D71)+12)&gt;YEAR(E71),1,(12-MONTH(E71)+1)/12))) + (Q71)*(IF((YEAR(D71)+12)&lt;YEAR(E71),0,IF((YEAR(D71)+12)&gt;YEAR(E71),1,(12-MONTH(E71)+1)/12))))-((P71)*(IF((YEAR(D71)+12)&lt;YEAR(E71),0,IF((YEAR(D71)+12)&gt;YEAR(E71),1,(12-MONTH(E71)+1)/12))) + (R71)*(IF((YEAR(D71)+12)&lt;YEAR(E71),0,IF((YEAR(D71)+12)&gt;YEAR(E71),1,(12-MONTH(E71)+1)/12))))-(IF(OR(N71="",N71&lt;=0),0,(O71/N71)*(IF(OR(N71="",N71&lt;=0),0,IF((YEAR(D71)+12)&lt;YEAR(E71),0,IF((YEAR(D71)+12)&gt;=YEAR(E71)+N71,0,IF((YEAR(D71)+12)=YEAR(E71),(12-MONTH(E71)+1)/12,1))))))))*TaxRate,0))-IF(12=0,O71,0))</f>
        <v/>
      </c>
      <c r="AF71" s="29">
        <f>IF(A71="","",((K71)*(IF(M71="",L71,IFERROR(IF(INDEX(Variablen!$I:$AT, MATCH(M71, Variablen!$A:$A, 0), MATCH((YEAR(D71)+13), Variablen!$I$3:$AT$3, 0))="",L71,INDEX(Variablen!$I:$AT, MATCH(M71, Variablen!$A:$A, 0), MATCH((YEAR(D71)+13), Variablen!$I$3:$AT$3, 0))),L71)))*(IF((YEAR(D71)+13)&lt;YEAR(E71),0,IF((YEAR(D71)+13)&gt;YEAR(E71),1,(12-MONTH(E71)+1)/12))) + (Q71)*(IF((YEAR(D71)+13)&lt;YEAR(E71),0,IF((YEAR(D71)+13)&gt;YEAR(E71),1,(12-MONTH(E71)+1)/12))))-((P71)*(IF((YEAR(D71)+13)&lt;YEAR(E71),0,IF((YEAR(D71)+13)&gt;YEAR(E71),1,(12-MONTH(E71)+1)/12))) + (R71)*(IF((YEAR(D71)+13)&lt;YEAR(E71),0,IF((YEAR(D71)+13)&gt;YEAR(E71),1,(12-MONTH(E71)+1)/12))))-(IF((((K71)*(IF(M71="",L71,IFERROR(IF(INDEX(Variablen!$I:$AT, MATCH(M71, Variablen!$A:$A, 0), MATCH((YEAR(D71)+13), Variablen!$I$3:$AT$3, 0))="",L71,INDEX(Variablen!$I:$AT, MATCH(M71, Variablen!$A:$A, 0), MATCH((YEAR(D71)+13), Variablen!$I$3:$AT$3, 0))),L71)))*(IF((YEAR(D71)+13)&lt;YEAR(E71),0,IF((YEAR(D71)+13)&gt;YEAR(E71),1,(12-MONTH(E71)+1)/12))) + (Q71)*(IF((YEAR(D71)+13)&lt;YEAR(E71),0,IF((YEAR(D71)+13)&gt;YEAR(E71),1,(12-MONTH(E71)+1)/12))))-((P71)*(IF((YEAR(D71)+13)&lt;YEAR(E71),0,IF((YEAR(D71)+13)&gt;YEAR(E71),1,(12-MONTH(E71)+1)/12))) + (R71)*(IF((YEAR(D71)+13)&lt;YEAR(E71),0,IF((YEAR(D71)+13)&gt;YEAR(E71),1,(12-MONTH(E71)+1)/12))))-(IF(OR(N71="",N71&lt;=0),0,(O71/N71)*(IF(OR(N71="",N71&lt;=0),0,IF((YEAR(D71)+13)&lt;YEAR(E71),0,IF((YEAR(D71)+13)&gt;=YEAR(E71)+N71,0,IF((YEAR(D71)+13)=YEAR(E71),(12-MONTH(E71)+1)/12,1))))))))&gt;0,(((K71)*(IF(M71="",L71,IFERROR(IF(INDEX(Variablen!$I:$AT, MATCH(M71, Variablen!$A:$A, 0), MATCH((YEAR(D71)+13), Variablen!$I$3:$AT$3, 0))="",L71,INDEX(Variablen!$I:$AT, MATCH(M71, Variablen!$A:$A, 0), MATCH((YEAR(D71)+13), Variablen!$I$3:$AT$3, 0))),L71)))*(IF((YEAR(D71)+13)&lt;YEAR(E71),0,IF((YEAR(D71)+13)&gt;YEAR(E71),1,(12-MONTH(E71)+1)/12))) + (Q71)*(IF((YEAR(D71)+13)&lt;YEAR(E71),0,IF((YEAR(D71)+13)&gt;YEAR(E71),1,(12-MONTH(E71)+1)/12))))-((P71)*(IF((YEAR(D71)+13)&lt;YEAR(E71),0,IF((YEAR(D71)+13)&gt;YEAR(E71),1,(12-MONTH(E71)+1)/12))) + (R71)*(IF((YEAR(D71)+13)&lt;YEAR(E71),0,IF((YEAR(D71)+13)&gt;YEAR(E71),1,(12-MONTH(E71)+1)/12))))-(IF(OR(N71="",N71&lt;=0),0,(O71/N71)*(IF(OR(N71="",N71&lt;=0),0,IF((YEAR(D71)+13)&lt;YEAR(E71),0,IF((YEAR(D71)+13)&gt;=YEAR(E71)+N71,0,IF((YEAR(D71)+13)=YEAR(E71),(12-MONTH(E71)+1)/12,1))))))))*TaxRate,0))-IF(13=0,O71,0))</f>
        <v/>
      </c>
      <c r="AG71" s="29">
        <f>IF(A71="","",((K71)*(IF(M71="",L71,IFERROR(IF(INDEX(Variablen!$I:$AT, MATCH(M71, Variablen!$A:$A, 0), MATCH((YEAR(D71)+14), Variablen!$I$3:$AT$3, 0))="",L71,INDEX(Variablen!$I:$AT, MATCH(M71, Variablen!$A:$A, 0), MATCH((YEAR(D71)+14), Variablen!$I$3:$AT$3, 0))),L71)))*(IF((YEAR(D71)+14)&lt;YEAR(E71),0,IF((YEAR(D71)+14)&gt;YEAR(E71),1,(12-MONTH(E71)+1)/12))) + (Q71)*(IF((YEAR(D71)+14)&lt;YEAR(E71),0,IF((YEAR(D71)+14)&gt;YEAR(E71),1,(12-MONTH(E71)+1)/12))))-((P71)*(IF((YEAR(D71)+14)&lt;YEAR(E71),0,IF((YEAR(D71)+14)&gt;YEAR(E71),1,(12-MONTH(E71)+1)/12))) + (R71)*(IF((YEAR(D71)+14)&lt;YEAR(E71),0,IF((YEAR(D71)+14)&gt;YEAR(E71),1,(12-MONTH(E71)+1)/12))))-(IF((((K71)*(IF(M71="",L71,IFERROR(IF(INDEX(Variablen!$I:$AT, MATCH(M71, Variablen!$A:$A, 0), MATCH((YEAR(D71)+14), Variablen!$I$3:$AT$3, 0))="",L71,INDEX(Variablen!$I:$AT, MATCH(M71, Variablen!$A:$A, 0), MATCH((YEAR(D71)+14), Variablen!$I$3:$AT$3, 0))),L71)))*(IF((YEAR(D71)+14)&lt;YEAR(E71),0,IF((YEAR(D71)+14)&gt;YEAR(E71),1,(12-MONTH(E71)+1)/12))) + (Q71)*(IF((YEAR(D71)+14)&lt;YEAR(E71),0,IF((YEAR(D71)+14)&gt;YEAR(E71),1,(12-MONTH(E71)+1)/12))))-((P71)*(IF((YEAR(D71)+14)&lt;YEAR(E71),0,IF((YEAR(D71)+14)&gt;YEAR(E71),1,(12-MONTH(E71)+1)/12))) + (R71)*(IF((YEAR(D71)+14)&lt;YEAR(E71),0,IF((YEAR(D71)+14)&gt;YEAR(E71),1,(12-MONTH(E71)+1)/12))))-(IF(OR(N71="",N71&lt;=0),0,(O71/N71)*(IF(OR(N71="",N71&lt;=0),0,IF((YEAR(D71)+14)&lt;YEAR(E71),0,IF((YEAR(D71)+14)&gt;=YEAR(E71)+N71,0,IF((YEAR(D71)+14)=YEAR(E71),(12-MONTH(E71)+1)/12,1))))))))&gt;0,(((K71)*(IF(M71="",L71,IFERROR(IF(INDEX(Variablen!$I:$AT, MATCH(M71, Variablen!$A:$A, 0), MATCH((YEAR(D71)+14), Variablen!$I$3:$AT$3, 0))="",L71,INDEX(Variablen!$I:$AT, MATCH(M71, Variablen!$A:$A, 0), MATCH((YEAR(D71)+14), Variablen!$I$3:$AT$3, 0))),L71)))*(IF((YEAR(D71)+14)&lt;YEAR(E71),0,IF((YEAR(D71)+14)&gt;YEAR(E71),1,(12-MONTH(E71)+1)/12))) + (Q71)*(IF((YEAR(D71)+14)&lt;YEAR(E71),0,IF((YEAR(D71)+14)&gt;YEAR(E71),1,(12-MONTH(E71)+1)/12))))-((P71)*(IF((YEAR(D71)+14)&lt;YEAR(E71),0,IF((YEAR(D71)+14)&gt;YEAR(E71),1,(12-MONTH(E71)+1)/12))) + (R71)*(IF((YEAR(D71)+14)&lt;YEAR(E71),0,IF((YEAR(D71)+14)&gt;YEAR(E71),1,(12-MONTH(E71)+1)/12))))-(IF(OR(N71="",N71&lt;=0),0,(O71/N71)*(IF(OR(N71="",N71&lt;=0),0,IF((YEAR(D71)+14)&lt;YEAR(E71),0,IF((YEAR(D71)+14)&gt;=YEAR(E71)+N71,0,IF((YEAR(D71)+14)=YEAR(E71),(12-MONTH(E71)+1)/12,1))))))))*TaxRate,0))-IF(14=0,O71,0))</f>
        <v/>
      </c>
      <c r="AH71" s="29">
        <f>IF(A71="","",((K71)*(IF(M71="",L71,IFERROR(IF(INDEX(Variablen!$I:$AT, MATCH(M71, Variablen!$A:$A, 0), MATCH((YEAR(D71)+15), Variablen!$I$3:$AT$3, 0))="",L71,INDEX(Variablen!$I:$AT, MATCH(M71, Variablen!$A:$A, 0), MATCH((YEAR(D71)+15), Variablen!$I$3:$AT$3, 0))),L71)))*(IF((YEAR(D71)+15)&lt;YEAR(E71),0,IF((YEAR(D71)+15)&gt;YEAR(E71),1,(12-MONTH(E71)+1)/12))) + (Q71)*(IF((YEAR(D71)+15)&lt;YEAR(E71),0,IF((YEAR(D71)+15)&gt;YEAR(E71),1,(12-MONTH(E71)+1)/12))))-((P71)*(IF((YEAR(D71)+15)&lt;YEAR(E71),0,IF((YEAR(D71)+15)&gt;YEAR(E71),1,(12-MONTH(E71)+1)/12))) + (R71)*(IF((YEAR(D71)+15)&lt;YEAR(E71),0,IF((YEAR(D71)+15)&gt;YEAR(E71),1,(12-MONTH(E71)+1)/12))))-(IF((((K71)*(IF(M71="",L71,IFERROR(IF(INDEX(Variablen!$I:$AT, MATCH(M71, Variablen!$A:$A, 0), MATCH((YEAR(D71)+15), Variablen!$I$3:$AT$3, 0))="",L71,INDEX(Variablen!$I:$AT, MATCH(M71, Variablen!$A:$A, 0), MATCH((YEAR(D71)+15), Variablen!$I$3:$AT$3, 0))),L71)))*(IF((YEAR(D71)+15)&lt;YEAR(E71),0,IF((YEAR(D71)+15)&gt;YEAR(E71),1,(12-MONTH(E71)+1)/12))) + (Q71)*(IF((YEAR(D71)+15)&lt;YEAR(E71),0,IF((YEAR(D71)+15)&gt;YEAR(E71),1,(12-MONTH(E71)+1)/12))))-((P71)*(IF((YEAR(D71)+15)&lt;YEAR(E71),0,IF((YEAR(D71)+15)&gt;YEAR(E71),1,(12-MONTH(E71)+1)/12))) + (R71)*(IF((YEAR(D71)+15)&lt;YEAR(E71),0,IF((YEAR(D71)+15)&gt;YEAR(E71),1,(12-MONTH(E71)+1)/12))))-(IF(OR(N71="",N71&lt;=0),0,(O71/N71)*(IF(OR(N71="",N71&lt;=0),0,IF((YEAR(D71)+15)&lt;YEAR(E71),0,IF((YEAR(D71)+15)&gt;=YEAR(E71)+N71,0,IF((YEAR(D71)+15)=YEAR(E71),(12-MONTH(E71)+1)/12,1))))))))&gt;0,(((K71)*(IF(M71="",L71,IFERROR(IF(INDEX(Variablen!$I:$AT, MATCH(M71, Variablen!$A:$A, 0), MATCH((YEAR(D71)+15), Variablen!$I$3:$AT$3, 0))="",L71,INDEX(Variablen!$I:$AT, MATCH(M71, Variablen!$A:$A, 0), MATCH((YEAR(D71)+15), Variablen!$I$3:$AT$3, 0))),L71)))*(IF((YEAR(D71)+15)&lt;YEAR(E71),0,IF((YEAR(D71)+15)&gt;YEAR(E71),1,(12-MONTH(E71)+1)/12))) + (Q71)*(IF((YEAR(D71)+15)&lt;YEAR(E71),0,IF((YEAR(D71)+15)&gt;YEAR(E71),1,(12-MONTH(E71)+1)/12))))-((P71)*(IF((YEAR(D71)+15)&lt;YEAR(E71),0,IF((YEAR(D71)+15)&gt;YEAR(E71),1,(12-MONTH(E71)+1)/12))) + (R71)*(IF((YEAR(D71)+15)&lt;YEAR(E71),0,IF((YEAR(D71)+15)&gt;YEAR(E71),1,(12-MONTH(E71)+1)/12))))-(IF(OR(N71="",N71&lt;=0),0,(O71/N71)*(IF(OR(N71="",N71&lt;=0),0,IF((YEAR(D71)+15)&lt;YEAR(E71),0,IF((YEAR(D71)+15)&gt;=YEAR(E71)+N71,0,IF((YEAR(D71)+15)=YEAR(E71),(12-MONTH(E71)+1)/12,1))))))))*TaxRate,0))-IF(15=0,O71,0))</f>
        <v/>
      </c>
      <c r="AI71" s="29">
        <f>IF(A71="","",((K71)*(IF(M71="",L71,IFERROR(IF(INDEX(Variablen!$I:$AT, MATCH(M71, Variablen!$A:$A, 0), MATCH((YEAR(D71)+16), Variablen!$I$3:$AT$3, 0))="",L71,INDEX(Variablen!$I:$AT, MATCH(M71, Variablen!$A:$A, 0), MATCH((YEAR(D71)+16), Variablen!$I$3:$AT$3, 0))),L71)))*(IF((YEAR(D71)+16)&lt;YEAR(E71),0,IF((YEAR(D71)+16)&gt;YEAR(E71),1,(12-MONTH(E71)+1)/12))) + (Q71)*(IF((YEAR(D71)+16)&lt;YEAR(E71),0,IF((YEAR(D71)+16)&gt;YEAR(E71),1,(12-MONTH(E71)+1)/12))))-((P71)*(IF((YEAR(D71)+16)&lt;YEAR(E71),0,IF((YEAR(D71)+16)&gt;YEAR(E71),1,(12-MONTH(E71)+1)/12))) + (R71)*(IF((YEAR(D71)+16)&lt;YEAR(E71),0,IF((YEAR(D71)+16)&gt;YEAR(E71),1,(12-MONTH(E71)+1)/12))))-(IF((((K71)*(IF(M71="",L71,IFERROR(IF(INDEX(Variablen!$I:$AT, MATCH(M71, Variablen!$A:$A, 0), MATCH((YEAR(D71)+16), Variablen!$I$3:$AT$3, 0))="",L71,INDEX(Variablen!$I:$AT, MATCH(M71, Variablen!$A:$A, 0), MATCH((YEAR(D71)+16), Variablen!$I$3:$AT$3, 0))),L71)))*(IF((YEAR(D71)+16)&lt;YEAR(E71),0,IF((YEAR(D71)+16)&gt;YEAR(E71),1,(12-MONTH(E71)+1)/12))) + (Q71)*(IF((YEAR(D71)+16)&lt;YEAR(E71),0,IF((YEAR(D71)+16)&gt;YEAR(E71),1,(12-MONTH(E71)+1)/12))))-((P71)*(IF((YEAR(D71)+16)&lt;YEAR(E71),0,IF((YEAR(D71)+16)&gt;YEAR(E71),1,(12-MONTH(E71)+1)/12))) + (R71)*(IF((YEAR(D71)+16)&lt;YEAR(E71),0,IF((YEAR(D71)+16)&gt;YEAR(E71),1,(12-MONTH(E71)+1)/12))))-(IF(OR(N71="",N71&lt;=0),0,(O71/N71)*(IF(OR(N71="",N71&lt;=0),0,IF((YEAR(D71)+16)&lt;YEAR(E71),0,IF((YEAR(D71)+16)&gt;=YEAR(E71)+N71,0,IF((YEAR(D71)+16)=YEAR(E71),(12-MONTH(E71)+1)/12,1))))))))&gt;0,(((K71)*(IF(M71="",L71,IFERROR(IF(INDEX(Variablen!$I:$AT, MATCH(M71, Variablen!$A:$A, 0), MATCH((YEAR(D71)+16), Variablen!$I$3:$AT$3, 0))="",L71,INDEX(Variablen!$I:$AT, MATCH(M71, Variablen!$A:$A, 0), MATCH((YEAR(D71)+16), Variablen!$I$3:$AT$3, 0))),L71)))*(IF((YEAR(D71)+16)&lt;YEAR(E71),0,IF((YEAR(D71)+16)&gt;YEAR(E71),1,(12-MONTH(E71)+1)/12))) + (Q71)*(IF((YEAR(D71)+16)&lt;YEAR(E71),0,IF((YEAR(D71)+16)&gt;YEAR(E71),1,(12-MONTH(E71)+1)/12))))-((P71)*(IF((YEAR(D71)+16)&lt;YEAR(E71),0,IF((YEAR(D71)+16)&gt;YEAR(E71),1,(12-MONTH(E71)+1)/12))) + (R71)*(IF((YEAR(D71)+16)&lt;YEAR(E71),0,IF((YEAR(D71)+16)&gt;YEAR(E71),1,(12-MONTH(E71)+1)/12))))-(IF(OR(N71="",N71&lt;=0),0,(O71/N71)*(IF(OR(N71="",N71&lt;=0),0,IF((YEAR(D71)+16)&lt;YEAR(E71),0,IF((YEAR(D71)+16)&gt;=YEAR(E71)+N71,0,IF((YEAR(D71)+16)=YEAR(E71),(12-MONTH(E71)+1)/12,1))))))))*TaxRate,0))-IF(16=0,O71,0))</f>
        <v/>
      </c>
      <c r="AJ71" s="29">
        <f>IF(A71="","",((K71)*(IF(M71="",L71,IFERROR(IF(INDEX(Variablen!$I:$AT, MATCH(M71, Variablen!$A:$A, 0), MATCH((YEAR(D71)+17), Variablen!$I$3:$AT$3, 0))="",L71,INDEX(Variablen!$I:$AT, MATCH(M71, Variablen!$A:$A, 0), MATCH((YEAR(D71)+17), Variablen!$I$3:$AT$3, 0))),L71)))*(IF((YEAR(D71)+17)&lt;YEAR(E71),0,IF((YEAR(D71)+17)&gt;YEAR(E71),1,(12-MONTH(E71)+1)/12))) + (Q71)*(IF((YEAR(D71)+17)&lt;YEAR(E71),0,IF((YEAR(D71)+17)&gt;YEAR(E71),1,(12-MONTH(E71)+1)/12))))-((P71)*(IF((YEAR(D71)+17)&lt;YEAR(E71),0,IF((YEAR(D71)+17)&gt;YEAR(E71),1,(12-MONTH(E71)+1)/12))) + (R71)*(IF((YEAR(D71)+17)&lt;YEAR(E71),0,IF((YEAR(D71)+17)&gt;YEAR(E71),1,(12-MONTH(E71)+1)/12))))-(IF((((K71)*(IF(M71="",L71,IFERROR(IF(INDEX(Variablen!$I:$AT, MATCH(M71, Variablen!$A:$A, 0), MATCH((YEAR(D71)+17), Variablen!$I$3:$AT$3, 0))="",L71,INDEX(Variablen!$I:$AT, MATCH(M71, Variablen!$A:$A, 0), MATCH((YEAR(D71)+17), Variablen!$I$3:$AT$3, 0))),L71)))*(IF((YEAR(D71)+17)&lt;YEAR(E71),0,IF((YEAR(D71)+17)&gt;YEAR(E71),1,(12-MONTH(E71)+1)/12))) + (Q71)*(IF((YEAR(D71)+17)&lt;YEAR(E71),0,IF((YEAR(D71)+17)&gt;YEAR(E71),1,(12-MONTH(E71)+1)/12))))-((P71)*(IF((YEAR(D71)+17)&lt;YEAR(E71),0,IF((YEAR(D71)+17)&gt;YEAR(E71),1,(12-MONTH(E71)+1)/12))) + (R71)*(IF((YEAR(D71)+17)&lt;YEAR(E71),0,IF((YEAR(D71)+17)&gt;YEAR(E71),1,(12-MONTH(E71)+1)/12))))-(IF(OR(N71="",N71&lt;=0),0,(O71/N71)*(IF(OR(N71="",N71&lt;=0),0,IF((YEAR(D71)+17)&lt;YEAR(E71),0,IF((YEAR(D71)+17)&gt;=YEAR(E71)+N71,0,IF((YEAR(D71)+17)=YEAR(E71),(12-MONTH(E71)+1)/12,1))))))))&gt;0,(((K71)*(IF(M71="",L71,IFERROR(IF(INDEX(Variablen!$I:$AT, MATCH(M71, Variablen!$A:$A, 0), MATCH((YEAR(D71)+17), Variablen!$I$3:$AT$3, 0))="",L71,INDEX(Variablen!$I:$AT, MATCH(M71, Variablen!$A:$A, 0), MATCH((YEAR(D71)+17), Variablen!$I$3:$AT$3, 0))),L71)))*(IF((YEAR(D71)+17)&lt;YEAR(E71),0,IF((YEAR(D71)+17)&gt;YEAR(E71),1,(12-MONTH(E71)+1)/12))) + (Q71)*(IF((YEAR(D71)+17)&lt;YEAR(E71),0,IF((YEAR(D71)+17)&gt;YEAR(E71),1,(12-MONTH(E71)+1)/12))))-((P71)*(IF((YEAR(D71)+17)&lt;YEAR(E71),0,IF((YEAR(D71)+17)&gt;YEAR(E71),1,(12-MONTH(E71)+1)/12))) + (R71)*(IF((YEAR(D71)+17)&lt;YEAR(E71),0,IF((YEAR(D71)+17)&gt;YEAR(E71),1,(12-MONTH(E71)+1)/12))))-(IF(OR(N71="",N71&lt;=0),0,(O71/N71)*(IF(OR(N71="",N71&lt;=0),0,IF((YEAR(D71)+17)&lt;YEAR(E71),0,IF((YEAR(D71)+17)&gt;=YEAR(E71)+N71,0,IF((YEAR(D71)+17)=YEAR(E71),(12-MONTH(E71)+1)/12,1))))))))*TaxRate,0))-IF(17=0,O71,0))</f>
        <v/>
      </c>
      <c r="AK71" s="29">
        <f>IF(A71="","",((K71)*(IF(M71="",L71,IFERROR(IF(INDEX(Variablen!$I:$AT, MATCH(M71, Variablen!$A:$A, 0), MATCH((YEAR(D71)+18), Variablen!$I$3:$AT$3, 0))="",L71,INDEX(Variablen!$I:$AT, MATCH(M71, Variablen!$A:$A, 0), MATCH((YEAR(D71)+18), Variablen!$I$3:$AT$3, 0))),L71)))*(IF((YEAR(D71)+18)&lt;YEAR(E71),0,IF((YEAR(D71)+18)&gt;YEAR(E71),1,(12-MONTH(E71)+1)/12))) + (Q71)*(IF((YEAR(D71)+18)&lt;YEAR(E71),0,IF((YEAR(D71)+18)&gt;YEAR(E71),1,(12-MONTH(E71)+1)/12))))-((P71)*(IF((YEAR(D71)+18)&lt;YEAR(E71),0,IF((YEAR(D71)+18)&gt;YEAR(E71),1,(12-MONTH(E71)+1)/12))) + (R71)*(IF((YEAR(D71)+18)&lt;YEAR(E71),0,IF((YEAR(D71)+18)&gt;YEAR(E71),1,(12-MONTH(E71)+1)/12))))-(IF((((K71)*(IF(M71="",L71,IFERROR(IF(INDEX(Variablen!$I:$AT, MATCH(M71, Variablen!$A:$A, 0), MATCH((YEAR(D71)+18), Variablen!$I$3:$AT$3, 0))="",L71,INDEX(Variablen!$I:$AT, MATCH(M71, Variablen!$A:$A, 0), MATCH((YEAR(D71)+18), Variablen!$I$3:$AT$3, 0))),L71)))*(IF((YEAR(D71)+18)&lt;YEAR(E71),0,IF((YEAR(D71)+18)&gt;YEAR(E71),1,(12-MONTH(E71)+1)/12))) + (Q71)*(IF((YEAR(D71)+18)&lt;YEAR(E71),0,IF((YEAR(D71)+18)&gt;YEAR(E71),1,(12-MONTH(E71)+1)/12))))-((P71)*(IF((YEAR(D71)+18)&lt;YEAR(E71),0,IF((YEAR(D71)+18)&gt;YEAR(E71),1,(12-MONTH(E71)+1)/12))) + (R71)*(IF((YEAR(D71)+18)&lt;YEAR(E71),0,IF((YEAR(D71)+18)&gt;YEAR(E71),1,(12-MONTH(E71)+1)/12))))-(IF(OR(N71="",N71&lt;=0),0,(O71/N71)*(IF(OR(N71="",N71&lt;=0),0,IF((YEAR(D71)+18)&lt;YEAR(E71),0,IF((YEAR(D71)+18)&gt;=YEAR(E71)+N71,0,IF((YEAR(D71)+18)=YEAR(E71),(12-MONTH(E71)+1)/12,1))))))))&gt;0,(((K71)*(IF(M71="",L71,IFERROR(IF(INDEX(Variablen!$I:$AT, MATCH(M71, Variablen!$A:$A, 0), MATCH((YEAR(D71)+18), Variablen!$I$3:$AT$3, 0))="",L71,INDEX(Variablen!$I:$AT, MATCH(M71, Variablen!$A:$A, 0), MATCH((YEAR(D71)+18), Variablen!$I$3:$AT$3, 0))),L71)))*(IF((YEAR(D71)+18)&lt;YEAR(E71),0,IF((YEAR(D71)+18)&gt;YEAR(E71),1,(12-MONTH(E71)+1)/12))) + (Q71)*(IF((YEAR(D71)+18)&lt;YEAR(E71),0,IF((YEAR(D71)+18)&gt;YEAR(E71),1,(12-MONTH(E71)+1)/12))))-((P71)*(IF((YEAR(D71)+18)&lt;YEAR(E71),0,IF((YEAR(D71)+18)&gt;YEAR(E71),1,(12-MONTH(E71)+1)/12))) + (R71)*(IF((YEAR(D71)+18)&lt;YEAR(E71),0,IF((YEAR(D71)+18)&gt;YEAR(E71),1,(12-MONTH(E71)+1)/12))))-(IF(OR(N71="",N71&lt;=0),0,(O71/N71)*(IF(OR(N71="",N71&lt;=0),0,IF((YEAR(D71)+18)&lt;YEAR(E71),0,IF((YEAR(D71)+18)&gt;=YEAR(E71)+N71,0,IF((YEAR(D71)+18)=YEAR(E71),(12-MONTH(E71)+1)/12,1))))))))*TaxRate,0))-IF(18=0,O71,0))</f>
        <v/>
      </c>
      <c r="AL71" s="29">
        <f>IF(A71="","",((K71)*(IF(M71="",L71,IFERROR(IF(INDEX(Variablen!$I:$AT, MATCH(M71, Variablen!$A:$A, 0), MATCH((YEAR(D71)+19), Variablen!$I$3:$AT$3, 0))="",L71,INDEX(Variablen!$I:$AT, MATCH(M71, Variablen!$A:$A, 0), MATCH((YEAR(D71)+19), Variablen!$I$3:$AT$3, 0))),L71)))*(IF((YEAR(D71)+19)&lt;YEAR(E71),0,IF((YEAR(D71)+19)&gt;YEAR(E71),1,(12-MONTH(E71)+1)/12))) + (Q71)*(IF((YEAR(D71)+19)&lt;YEAR(E71),0,IF((YEAR(D71)+19)&gt;YEAR(E71),1,(12-MONTH(E71)+1)/12))))-((P71)*(IF((YEAR(D71)+19)&lt;YEAR(E71),0,IF((YEAR(D71)+19)&gt;YEAR(E71),1,(12-MONTH(E71)+1)/12))) + (R71)*(IF((YEAR(D71)+19)&lt;YEAR(E71),0,IF((YEAR(D71)+19)&gt;YEAR(E71),1,(12-MONTH(E71)+1)/12))))-(IF((((K71)*(IF(M71="",L71,IFERROR(IF(INDEX(Variablen!$I:$AT, MATCH(M71, Variablen!$A:$A, 0), MATCH((YEAR(D71)+19), Variablen!$I$3:$AT$3, 0))="",L71,INDEX(Variablen!$I:$AT, MATCH(M71, Variablen!$A:$A, 0), MATCH((YEAR(D71)+19), Variablen!$I$3:$AT$3, 0))),L71)))*(IF((YEAR(D71)+19)&lt;YEAR(E71),0,IF((YEAR(D71)+19)&gt;YEAR(E71),1,(12-MONTH(E71)+1)/12))) + (Q71)*(IF((YEAR(D71)+19)&lt;YEAR(E71),0,IF((YEAR(D71)+19)&gt;YEAR(E71),1,(12-MONTH(E71)+1)/12))))-((P71)*(IF((YEAR(D71)+19)&lt;YEAR(E71),0,IF((YEAR(D71)+19)&gt;YEAR(E71),1,(12-MONTH(E71)+1)/12))) + (R71)*(IF((YEAR(D71)+19)&lt;YEAR(E71),0,IF((YEAR(D71)+19)&gt;YEAR(E71),1,(12-MONTH(E71)+1)/12))))-(IF(OR(N71="",N71&lt;=0),0,(O71/N71)*(IF(OR(N71="",N71&lt;=0),0,IF((YEAR(D71)+19)&lt;YEAR(E71),0,IF((YEAR(D71)+19)&gt;=YEAR(E71)+N71,0,IF((YEAR(D71)+19)=YEAR(E71),(12-MONTH(E71)+1)/12,1))))))))&gt;0,(((K71)*(IF(M71="",L71,IFERROR(IF(INDEX(Variablen!$I:$AT, MATCH(M71, Variablen!$A:$A, 0), MATCH((YEAR(D71)+19), Variablen!$I$3:$AT$3, 0))="",L71,INDEX(Variablen!$I:$AT, MATCH(M71, Variablen!$A:$A, 0), MATCH((YEAR(D71)+19), Variablen!$I$3:$AT$3, 0))),L71)))*(IF((YEAR(D71)+19)&lt;YEAR(E71),0,IF((YEAR(D71)+19)&gt;YEAR(E71),1,(12-MONTH(E71)+1)/12))) + (Q71)*(IF((YEAR(D71)+19)&lt;YEAR(E71),0,IF((YEAR(D71)+19)&gt;YEAR(E71),1,(12-MONTH(E71)+1)/12))))-((P71)*(IF((YEAR(D71)+19)&lt;YEAR(E71),0,IF((YEAR(D71)+19)&gt;YEAR(E71),1,(12-MONTH(E71)+1)/12))) + (R71)*(IF((YEAR(D71)+19)&lt;YEAR(E71),0,IF((YEAR(D71)+19)&gt;YEAR(E71),1,(12-MONTH(E71)+1)/12))))-(IF(OR(N71="",N71&lt;=0),0,(O71/N71)*(IF(OR(N71="",N71&lt;=0),0,IF((YEAR(D71)+19)&lt;YEAR(E71),0,IF((YEAR(D71)+19)&gt;=YEAR(E71)+N71,0,IF((YEAR(D71)+19)=YEAR(E71),(12-MONTH(E71)+1)/12,1))))))))*TaxRate,0))-IF(19=0,O71,0))</f>
        <v/>
      </c>
      <c r="AM71" s="29">
        <f>IF(A71="","",((K71)*(IF(M71="",L71,IFERROR(IF(INDEX(Variablen!$I:$AT, MATCH(M71, Variablen!$A:$A, 0), MATCH((YEAR(D71)+20), Variablen!$I$3:$AT$3, 0))="",L71,INDEX(Variablen!$I:$AT, MATCH(M71, Variablen!$A:$A, 0), MATCH((YEAR(D71)+20), Variablen!$I$3:$AT$3, 0))),L71)))*(IF((YEAR(D71)+20)&lt;YEAR(E71),0,IF((YEAR(D71)+20)&gt;YEAR(E71),1,(12-MONTH(E71)+1)/12))) + (Q71)*(IF((YEAR(D71)+20)&lt;YEAR(E71),0,IF((YEAR(D71)+20)&gt;YEAR(E71),1,(12-MONTH(E71)+1)/12))))-((P71)*(IF((YEAR(D71)+20)&lt;YEAR(E71),0,IF((YEAR(D71)+20)&gt;YEAR(E71),1,(12-MONTH(E71)+1)/12))) + (R71)*(IF((YEAR(D71)+20)&lt;YEAR(E71),0,IF((YEAR(D71)+20)&gt;YEAR(E71),1,(12-MONTH(E71)+1)/12))))-(IF((((K71)*(IF(M71="",L71,IFERROR(IF(INDEX(Variablen!$I:$AT, MATCH(M71, Variablen!$A:$A, 0), MATCH((YEAR(D71)+20), Variablen!$I$3:$AT$3, 0))="",L71,INDEX(Variablen!$I:$AT, MATCH(M71, Variablen!$A:$A, 0), MATCH((YEAR(D71)+20), Variablen!$I$3:$AT$3, 0))),L71)))*(IF((YEAR(D71)+20)&lt;YEAR(E71),0,IF((YEAR(D71)+20)&gt;YEAR(E71),1,(12-MONTH(E71)+1)/12))) + (Q71)*(IF((YEAR(D71)+20)&lt;YEAR(E71),0,IF((YEAR(D71)+20)&gt;YEAR(E71),1,(12-MONTH(E71)+1)/12))))-((P71)*(IF((YEAR(D71)+20)&lt;YEAR(E71),0,IF((YEAR(D71)+20)&gt;YEAR(E71),1,(12-MONTH(E71)+1)/12))) + (R71)*(IF((YEAR(D71)+20)&lt;YEAR(E71),0,IF((YEAR(D71)+20)&gt;YEAR(E71),1,(12-MONTH(E71)+1)/12))))-(IF(OR(N71="",N71&lt;=0),0,(O71/N71)*(IF(OR(N71="",N71&lt;=0),0,IF((YEAR(D71)+20)&lt;YEAR(E71),0,IF((YEAR(D71)+20)&gt;=YEAR(E71)+N71,0,IF((YEAR(D71)+20)=YEAR(E71),(12-MONTH(E71)+1)/12,1))))))))&gt;0,(((K71)*(IF(M71="",L71,IFERROR(IF(INDEX(Variablen!$I:$AT, MATCH(M71, Variablen!$A:$A, 0), MATCH((YEAR(D71)+20), Variablen!$I$3:$AT$3, 0))="",L71,INDEX(Variablen!$I:$AT, MATCH(M71, Variablen!$A:$A, 0), MATCH((YEAR(D71)+20), Variablen!$I$3:$AT$3, 0))),L71)))*(IF((YEAR(D71)+20)&lt;YEAR(E71),0,IF((YEAR(D71)+20)&gt;YEAR(E71),1,(12-MONTH(E71)+1)/12))) + (Q71)*(IF((YEAR(D71)+20)&lt;YEAR(E71),0,IF((YEAR(D71)+20)&gt;YEAR(E71),1,(12-MONTH(E71)+1)/12))))-((P71)*(IF((YEAR(D71)+20)&lt;YEAR(E71),0,IF((YEAR(D71)+20)&gt;YEAR(E71),1,(12-MONTH(E71)+1)/12))) + (R71)*(IF((YEAR(D71)+20)&lt;YEAR(E71),0,IF((YEAR(D71)+20)&gt;YEAR(E71),1,(12-MONTH(E71)+1)/12))))-(IF(OR(N71="",N71&lt;=0),0,(O71/N71)*(IF(OR(N71="",N71&lt;=0),0,IF((YEAR(D71)+20)&lt;YEAR(E71),0,IF((YEAR(D71)+20)&gt;=YEAR(E71)+N71,0,IF((YEAR(D71)+20)=YEAR(E71),(12-MONTH(E71)+1)/12,1))))))))*TaxRate,0))-IF(20=0,O71,0))</f>
        <v/>
      </c>
      <c r="AN71" s="29">
        <f>IF(A71="","",S71)</f>
        <v/>
      </c>
      <c r="AO71" s="29">
        <f>IF(A71="","",AN71+T71)</f>
        <v/>
      </c>
      <c r="AP71" s="29">
        <f>IF(A71="","",AO71+U71)</f>
        <v/>
      </c>
      <c r="AQ71" s="29">
        <f>IF(A71="","",AP71+V71)</f>
        <v/>
      </c>
      <c r="AR71" s="29">
        <f>IF(A71="","",AQ71+W71)</f>
        <v/>
      </c>
      <c r="AS71" s="29">
        <f>IF(A71="","",AR71+X71)</f>
        <v/>
      </c>
      <c r="AT71" s="29">
        <f>IF(A71="","",AS71+Y71)</f>
        <v/>
      </c>
      <c r="AU71" s="29">
        <f>IF(A71="","",AT71+Z71)</f>
        <v/>
      </c>
      <c r="AV71" s="29">
        <f>IF(A71="","",AU71+AA71)</f>
        <v/>
      </c>
      <c r="AW71" s="29">
        <f>IF(A71="","",AV71+AB71)</f>
        <v/>
      </c>
      <c r="AX71" s="29">
        <f>IF(A71="","",AW71+AC71)</f>
        <v/>
      </c>
      <c r="AY71" s="29">
        <f>IF(A71="","",AX71+AD71)</f>
        <v/>
      </c>
      <c r="AZ71" s="29">
        <f>IF(A71="","",AY71+AE71)</f>
        <v/>
      </c>
      <c r="BA71" s="29">
        <f>IF(A71="","",AZ71+AF71)</f>
        <v/>
      </c>
      <c r="BB71" s="29">
        <f>IF(A71="","",BA71+AG71)</f>
        <v/>
      </c>
      <c r="BC71" s="29">
        <f>IF(A71="","",BB71+AH71)</f>
        <v/>
      </c>
      <c r="BD71" s="29">
        <f>IF(A71="","",BC71+AI71)</f>
        <v/>
      </c>
      <c r="BE71" s="29">
        <f>IF(A71="","",BD71+AJ71)</f>
        <v/>
      </c>
      <c r="BF71" s="29">
        <f>IF(A71="","",BE71+AK71)</f>
        <v/>
      </c>
      <c r="BG71" s="29">
        <f>IF(A71="","",BF71+AL71)</f>
        <v/>
      </c>
      <c r="BH71" s="29">
        <f>IF(A71="","",BG71+AM71)</f>
        <v/>
      </c>
      <c r="BI71" s="36">
        <f>IF(A71="","",(K71)*(IF((YEAR(D71)+0)&lt;YEAR(E71),0,IF((YEAR(D71)+0)&gt;YEAR(E71),1,(12-MONTH(E71)+1)/12)))*(1/(1+DiscountRate)^0))</f>
        <v/>
      </c>
      <c r="BJ71" s="36">
        <f>IF(A71="","",(K71)*(IF((YEAR(D71)+1)&lt;YEAR(E71),0,IF((YEAR(D71)+1)&gt;YEAR(E71),1,(12-MONTH(E71)+1)/12)))*(1/(1+DiscountRate)^1))</f>
        <v/>
      </c>
      <c r="BK71" s="36">
        <f>IF(A71="","",(K71)*(IF((YEAR(D71)+2)&lt;YEAR(E71),0,IF((YEAR(D71)+2)&gt;YEAR(E71),1,(12-MONTH(E71)+1)/12)))*(1/(1+DiscountRate)^2))</f>
        <v/>
      </c>
      <c r="BL71" s="36">
        <f>IF(A71="","",(K71)*(IF((YEAR(D71)+3)&lt;YEAR(E71),0,IF((YEAR(D71)+3)&gt;YEAR(E71),1,(12-MONTH(E71)+1)/12)))*(1/(1+DiscountRate)^3))</f>
        <v/>
      </c>
      <c r="BM71" s="36">
        <f>IF(A71="","",(K71)*(IF((YEAR(D71)+4)&lt;YEAR(E71),0,IF((YEAR(D71)+4)&gt;YEAR(E71),1,(12-MONTH(E71)+1)/12)))*(1/(1+DiscountRate)^4))</f>
        <v/>
      </c>
      <c r="BN71" s="36">
        <f>IF(A71="","",(K71)*(IF((YEAR(D71)+5)&lt;YEAR(E71),0,IF((YEAR(D71)+5)&gt;YEAR(E71),1,(12-MONTH(E71)+1)/12)))*(1/(1+DiscountRate)^5))</f>
        <v/>
      </c>
      <c r="BO71" s="36">
        <f>IF(A71="","",(K71)*(IF((YEAR(D71)+6)&lt;YEAR(E71),0,IF((YEAR(D71)+6)&gt;YEAR(E71),1,(12-MONTH(E71)+1)/12)))*(1/(1+DiscountRate)^6))</f>
        <v/>
      </c>
      <c r="BP71" s="36">
        <f>IF(A71="","",(K71)*(IF((YEAR(D71)+7)&lt;YEAR(E71),0,IF((YEAR(D71)+7)&gt;YEAR(E71),1,(12-MONTH(E71)+1)/12)))*(1/(1+DiscountRate)^7))</f>
        <v/>
      </c>
      <c r="BQ71" s="36">
        <f>IF(A71="","",(K71)*(IF((YEAR(D71)+8)&lt;YEAR(E71),0,IF((YEAR(D71)+8)&gt;YEAR(E71),1,(12-MONTH(E71)+1)/12)))*(1/(1+DiscountRate)^8))</f>
        <v/>
      </c>
      <c r="BR71" s="36">
        <f>IF(A71="","",(K71)*(IF((YEAR(D71)+9)&lt;YEAR(E71),0,IF((YEAR(D71)+9)&gt;YEAR(E71),1,(12-MONTH(E71)+1)/12)))*(1/(1+DiscountRate)^9))</f>
        <v/>
      </c>
      <c r="BS71" s="36">
        <f>IF(A71="","",(K71)*(IF((YEAR(D71)+10)&lt;YEAR(E71),0,IF((YEAR(D71)+10)&gt;YEAR(E71),1,(12-MONTH(E71)+1)/12)))*(1/(1+DiscountRate)^10))</f>
        <v/>
      </c>
      <c r="BT71" s="36">
        <f>IF(A71="","",(K71)*(IF((YEAR(D71)+11)&lt;YEAR(E71),0,IF((YEAR(D71)+11)&gt;YEAR(E71),1,(12-MONTH(E71)+1)/12)))*(1/(1+DiscountRate)^11))</f>
        <v/>
      </c>
      <c r="BU71" s="36">
        <f>IF(A71="","",(K71)*(IF((YEAR(D71)+12)&lt;YEAR(E71),0,IF((YEAR(D71)+12)&gt;YEAR(E71),1,(12-MONTH(E71)+1)/12)))*(1/(1+DiscountRate)^12))</f>
        <v/>
      </c>
      <c r="BV71" s="36">
        <f>IF(A71="","",(K71)*(IF((YEAR(D71)+13)&lt;YEAR(E71),0,IF((YEAR(D71)+13)&gt;YEAR(E71),1,(12-MONTH(E71)+1)/12)))*(1/(1+DiscountRate)^13))</f>
        <v/>
      </c>
      <c r="BW71" s="36">
        <f>IF(A71="","",(K71)*(IF((YEAR(D71)+14)&lt;YEAR(E71),0,IF((YEAR(D71)+14)&gt;YEAR(E71),1,(12-MONTH(E71)+1)/12)))*(1/(1+DiscountRate)^14))</f>
        <v/>
      </c>
      <c r="BX71" s="36">
        <f>IF(A71="","",(K71)*(IF((YEAR(D71)+15)&lt;YEAR(E71),0,IF((YEAR(D71)+15)&gt;YEAR(E71),1,(12-MONTH(E71)+1)/12)))*(1/(1+DiscountRate)^15))</f>
        <v/>
      </c>
      <c r="BY71" s="36">
        <f>IF(A71="","",(K71)*(IF((YEAR(D71)+16)&lt;YEAR(E71),0,IF((YEAR(D71)+16)&gt;YEAR(E71),1,(12-MONTH(E71)+1)/12)))*(1/(1+DiscountRate)^16))</f>
        <v/>
      </c>
      <c r="BZ71" s="36">
        <f>IF(A71="","",(K71)*(IF((YEAR(D71)+17)&lt;YEAR(E71),0,IF((YEAR(D71)+17)&gt;YEAR(E71),1,(12-MONTH(E71)+1)/12)))*(1/(1+DiscountRate)^17))</f>
        <v/>
      </c>
      <c r="CA71" s="36">
        <f>IF(A71="","",(K71)*(IF((YEAR(D71)+18)&lt;YEAR(E71),0,IF((YEAR(D71)+18)&gt;YEAR(E71),1,(12-MONTH(E71)+1)/12)))*(1/(1+DiscountRate)^18))</f>
        <v/>
      </c>
      <c r="CB71" s="36">
        <f>IF(A71="","",(K71)*(IF((YEAR(D71)+19)&lt;YEAR(E71),0,IF((YEAR(D71)+19)&gt;YEAR(E71),1,(12-MONTH(E71)+1)/12)))*(1/(1+DiscountRate)^19))</f>
        <v/>
      </c>
      <c r="CC71" s="36">
        <f>IF(A71="","",(K71)*(IF((YEAR(D71)+20)&lt;YEAR(E71),0,IF((YEAR(D71)+20)&gt;YEAR(E71),1,(12-MONTH(E71)+1)/12)))*(1/(1+DiscountRate)^20))</f>
        <v/>
      </c>
      <c r="CD71" s="29">
        <f>IF(A71="","",S71/(1+DiscountRate)^0+T71/(1+DiscountRate)^1+U71/(1+DiscountRate)^2+V71/(1+DiscountRate)^3+W71/(1+DiscountRate)^4+X71/(1+DiscountRate)^5+Y71/(1+DiscountRate)^6+Z71/(1+DiscountRate)^7+AA71/(1+DiscountRate)^8+AB71/(1+DiscountRate)^9+AC71/(1+DiscountRate)^10+AD71/(1+DiscountRate)^11+AE71/(1+DiscountRate)^12+AF71/(1+DiscountRate)^13+AG71/(1+DiscountRate)^14+AH71/(1+DiscountRate)^15+AI71/(1+DiscountRate)^16+AJ71/(1+DiscountRate)^17+AK71/(1+DiscountRate)^18+AL71/(1+DiscountRate)^19+AM71/(1+DiscountRate)^20)</f>
        <v/>
      </c>
      <c r="CE71" s="37">
        <f>IF(A71="","",IFERROR(IRR(OFFSET(S71,0,0,1,MIN(HorizonYears,20)+1)),"n/a"))</f>
        <v/>
      </c>
      <c r="CF71" s="28">
        <f>IF(A71="","",IFERROR(MATCH(TRUE,OFFSET(AN71,0,0,1,MIN(HorizonYears,20)+1)&gt;=0,0)-1,"n/a"))</f>
        <v/>
      </c>
      <c r="CG71" s="36">
        <f>IF(A71="","",SUM(OFFSET(BI71,0,0,1,MIN(HorizonYears,20)+1)))</f>
        <v/>
      </c>
      <c r="CH71" s="36">
        <f>IF(A71="","",IFERROR(-CD71/CG71,"n/a"))</f>
        <v/>
      </c>
    </row>
    <row r="72">
      <c r="A72" s="6">
        <f>Actions!A70</f>
        <v/>
      </c>
      <c r="B72" s="6">
        <f>Actions!B70</f>
        <v/>
      </c>
      <c r="C72" s="6">
        <f>Actions!D70</f>
        <v/>
      </c>
      <c r="D72" s="35">
        <f>Actions!E70</f>
        <v/>
      </c>
      <c r="E72" s="35">
        <f>Actions!F70</f>
        <v/>
      </c>
      <c r="F72" s="6">
        <f>Actions!G70</f>
        <v/>
      </c>
      <c r="G72" s="6">
        <f>Actions!H70</f>
        <v/>
      </c>
      <c r="H72" s="29">
        <f>Actions!I70</f>
        <v/>
      </c>
      <c r="I72" s="6">
        <f>Actions!J70</f>
        <v/>
      </c>
      <c r="J72" s="16">
        <f>Actions!K70</f>
        <v/>
      </c>
      <c r="K72" s="16">
        <f>IF(A72="","",IF(I72="%",H72*J72,J72))</f>
        <v/>
      </c>
      <c r="L72" s="16">
        <f>Actions!L70</f>
        <v/>
      </c>
      <c r="M72" s="6">
        <f>Actions!M70</f>
        <v/>
      </c>
      <c r="N72" s="28">
        <f>Actions!N70</f>
        <v/>
      </c>
      <c r="O72" s="29">
        <f>Actions!T70</f>
        <v/>
      </c>
      <c r="P72" s="29">
        <f>Actions!Y70</f>
        <v/>
      </c>
      <c r="Q72" s="29">
        <f>Actions!Z70</f>
        <v/>
      </c>
      <c r="R72" s="29">
        <f>Actions!AA70</f>
        <v/>
      </c>
      <c r="S72" s="29">
        <f>IF(A72="","",((K72)*(IF(M72="",L72,IFERROR(IF(INDEX(Variablen!$I:$AT, MATCH(M72, Variablen!$A:$A, 0), MATCH((YEAR(D72)+0), Variablen!$I$3:$AT$3, 0))="",L72,INDEX(Variablen!$I:$AT, MATCH(M72, Variablen!$A:$A, 0), MATCH((YEAR(D72)+0), Variablen!$I$3:$AT$3, 0))),L72)))*(IF((YEAR(D72)+0)&lt;YEAR(E72),0,IF((YEAR(D72)+0)&gt;YEAR(E72),1,(12-MONTH(E72)+1)/12))) + (Q72)*(IF((YEAR(D72)+0)&lt;YEAR(E72),0,IF((YEAR(D72)+0)&gt;YEAR(E72),1,(12-MONTH(E72)+1)/12))))-((P72)*(IF((YEAR(D72)+0)&lt;YEAR(E72),0,IF((YEAR(D72)+0)&gt;YEAR(E72),1,(12-MONTH(E72)+1)/12))) + (R72)*(IF((YEAR(D72)+0)&lt;YEAR(E72),0,IF((YEAR(D72)+0)&gt;YEAR(E72),1,(12-MONTH(E72)+1)/12))))-(IF((((K72)*(IF(M72="",L72,IFERROR(IF(INDEX(Variablen!$I:$AT, MATCH(M72, Variablen!$A:$A, 0), MATCH((YEAR(D72)+0), Variablen!$I$3:$AT$3, 0))="",L72,INDEX(Variablen!$I:$AT, MATCH(M72, Variablen!$A:$A, 0), MATCH((YEAR(D72)+0), Variablen!$I$3:$AT$3, 0))),L72)))*(IF((YEAR(D72)+0)&lt;YEAR(E72),0,IF((YEAR(D72)+0)&gt;YEAR(E72),1,(12-MONTH(E72)+1)/12))) + (Q72)*(IF((YEAR(D72)+0)&lt;YEAR(E72),0,IF((YEAR(D72)+0)&gt;YEAR(E72),1,(12-MONTH(E72)+1)/12))))-((P72)*(IF((YEAR(D72)+0)&lt;YEAR(E72),0,IF((YEAR(D72)+0)&gt;YEAR(E72),1,(12-MONTH(E72)+1)/12))) + (R72)*(IF((YEAR(D72)+0)&lt;YEAR(E72),0,IF((YEAR(D72)+0)&gt;YEAR(E72),1,(12-MONTH(E72)+1)/12))))-(IF(OR(N72="",N72&lt;=0),0,(O72/N72)*(IF(OR(N72="",N72&lt;=0),0,IF((YEAR(D72)+0)&lt;YEAR(E72),0,IF((YEAR(D72)+0)&gt;=YEAR(E72)+N72,0,IF((YEAR(D72)+0)=YEAR(E72),(12-MONTH(E72)+1)/12,1))))))))&gt;0,(((K72)*(IF(M72="",L72,IFERROR(IF(INDEX(Variablen!$I:$AT, MATCH(M72, Variablen!$A:$A, 0), MATCH((YEAR(D72)+0), Variablen!$I$3:$AT$3, 0))="",L72,INDEX(Variablen!$I:$AT, MATCH(M72, Variablen!$A:$A, 0), MATCH((YEAR(D72)+0), Variablen!$I$3:$AT$3, 0))),L72)))*(IF((YEAR(D72)+0)&lt;YEAR(E72),0,IF((YEAR(D72)+0)&gt;YEAR(E72),1,(12-MONTH(E72)+1)/12))) + (Q72)*(IF((YEAR(D72)+0)&lt;YEAR(E72),0,IF((YEAR(D72)+0)&gt;YEAR(E72),1,(12-MONTH(E72)+1)/12))))-((P72)*(IF((YEAR(D72)+0)&lt;YEAR(E72),0,IF((YEAR(D72)+0)&gt;YEAR(E72),1,(12-MONTH(E72)+1)/12))) + (R72)*(IF((YEAR(D72)+0)&lt;YEAR(E72),0,IF((YEAR(D72)+0)&gt;YEAR(E72),1,(12-MONTH(E72)+1)/12))))-(IF(OR(N72="",N72&lt;=0),0,(O72/N72)*(IF(OR(N72="",N72&lt;=0),0,IF((YEAR(D72)+0)&lt;YEAR(E72),0,IF((YEAR(D72)+0)&gt;=YEAR(E72)+N72,0,IF((YEAR(D72)+0)=YEAR(E72),(12-MONTH(E72)+1)/12,1))))))))*TaxRate,0))-IF(0=0,O72,0))</f>
        <v/>
      </c>
      <c r="T72" s="29">
        <f>IF(A72="","",((K72)*(IF(M72="",L72,IFERROR(IF(INDEX(Variablen!$I:$AT, MATCH(M72, Variablen!$A:$A, 0), MATCH((YEAR(D72)+1), Variablen!$I$3:$AT$3, 0))="",L72,INDEX(Variablen!$I:$AT, MATCH(M72, Variablen!$A:$A, 0), MATCH((YEAR(D72)+1), Variablen!$I$3:$AT$3, 0))),L72)))*(IF((YEAR(D72)+1)&lt;YEAR(E72),0,IF((YEAR(D72)+1)&gt;YEAR(E72),1,(12-MONTH(E72)+1)/12))) + (Q72)*(IF((YEAR(D72)+1)&lt;YEAR(E72),0,IF((YEAR(D72)+1)&gt;YEAR(E72),1,(12-MONTH(E72)+1)/12))))-((P72)*(IF((YEAR(D72)+1)&lt;YEAR(E72),0,IF((YEAR(D72)+1)&gt;YEAR(E72),1,(12-MONTH(E72)+1)/12))) + (R72)*(IF((YEAR(D72)+1)&lt;YEAR(E72),0,IF((YEAR(D72)+1)&gt;YEAR(E72),1,(12-MONTH(E72)+1)/12))))-(IF((((K72)*(IF(M72="",L72,IFERROR(IF(INDEX(Variablen!$I:$AT, MATCH(M72, Variablen!$A:$A, 0), MATCH((YEAR(D72)+1), Variablen!$I$3:$AT$3, 0))="",L72,INDEX(Variablen!$I:$AT, MATCH(M72, Variablen!$A:$A, 0), MATCH((YEAR(D72)+1), Variablen!$I$3:$AT$3, 0))),L72)))*(IF((YEAR(D72)+1)&lt;YEAR(E72),0,IF((YEAR(D72)+1)&gt;YEAR(E72),1,(12-MONTH(E72)+1)/12))) + (Q72)*(IF((YEAR(D72)+1)&lt;YEAR(E72),0,IF((YEAR(D72)+1)&gt;YEAR(E72),1,(12-MONTH(E72)+1)/12))))-((P72)*(IF((YEAR(D72)+1)&lt;YEAR(E72),0,IF((YEAR(D72)+1)&gt;YEAR(E72),1,(12-MONTH(E72)+1)/12))) + (R72)*(IF((YEAR(D72)+1)&lt;YEAR(E72),0,IF((YEAR(D72)+1)&gt;YEAR(E72),1,(12-MONTH(E72)+1)/12))))-(IF(OR(N72="",N72&lt;=0),0,(O72/N72)*(IF(OR(N72="",N72&lt;=0),0,IF((YEAR(D72)+1)&lt;YEAR(E72),0,IF((YEAR(D72)+1)&gt;=YEAR(E72)+N72,0,IF((YEAR(D72)+1)=YEAR(E72),(12-MONTH(E72)+1)/12,1))))))))&gt;0,(((K72)*(IF(M72="",L72,IFERROR(IF(INDEX(Variablen!$I:$AT, MATCH(M72, Variablen!$A:$A, 0), MATCH((YEAR(D72)+1), Variablen!$I$3:$AT$3, 0))="",L72,INDEX(Variablen!$I:$AT, MATCH(M72, Variablen!$A:$A, 0), MATCH((YEAR(D72)+1), Variablen!$I$3:$AT$3, 0))),L72)))*(IF((YEAR(D72)+1)&lt;YEAR(E72),0,IF((YEAR(D72)+1)&gt;YEAR(E72),1,(12-MONTH(E72)+1)/12))) + (Q72)*(IF((YEAR(D72)+1)&lt;YEAR(E72),0,IF((YEAR(D72)+1)&gt;YEAR(E72),1,(12-MONTH(E72)+1)/12))))-((P72)*(IF((YEAR(D72)+1)&lt;YEAR(E72),0,IF((YEAR(D72)+1)&gt;YEAR(E72),1,(12-MONTH(E72)+1)/12))) + (R72)*(IF((YEAR(D72)+1)&lt;YEAR(E72),0,IF((YEAR(D72)+1)&gt;YEAR(E72),1,(12-MONTH(E72)+1)/12))))-(IF(OR(N72="",N72&lt;=0),0,(O72/N72)*(IF(OR(N72="",N72&lt;=0),0,IF((YEAR(D72)+1)&lt;YEAR(E72),0,IF((YEAR(D72)+1)&gt;=YEAR(E72)+N72,0,IF((YEAR(D72)+1)=YEAR(E72),(12-MONTH(E72)+1)/12,1))))))))*TaxRate,0))-IF(1=0,O72,0))</f>
        <v/>
      </c>
      <c r="U72" s="29">
        <f>IF(A72="","",((K72)*(IF(M72="",L72,IFERROR(IF(INDEX(Variablen!$I:$AT, MATCH(M72, Variablen!$A:$A, 0), MATCH((YEAR(D72)+2), Variablen!$I$3:$AT$3, 0))="",L72,INDEX(Variablen!$I:$AT, MATCH(M72, Variablen!$A:$A, 0), MATCH((YEAR(D72)+2), Variablen!$I$3:$AT$3, 0))),L72)))*(IF((YEAR(D72)+2)&lt;YEAR(E72),0,IF((YEAR(D72)+2)&gt;YEAR(E72),1,(12-MONTH(E72)+1)/12))) + (Q72)*(IF((YEAR(D72)+2)&lt;YEAR(E72),0,IF((YEAR(D72)+2)&gt;YEAR(E72),1,(12-MONTH(E72)+1)/12))))-((P72)*(IF((YEAR(D72)+2)&lt;YEAR(E72),0,IF((YEAR(D72)+2)&gt;YEAR(E72),1,(12-MONTH(E72)+1)/12))) + (R72)*(IF((YEAR(D72)+2)&lt;YEAR(E72),0,IF((YEAR(D72)+2)&gt;YEAR(E72),1,(12-MONTH(E72)+1)/12))))-(IF((((K72)*(IF(M72="",L72,IFERROR(IF(INDEX(Variablen!$I:$AT, MATCH(M72, Variablen!$A:$A, 0), MATCH((YEAR(D72)+2), Variablen!$I$3:$AT$3, 0))="",L72,INDEX(Variablen!$I:$AT, MATCH(M72, Variablen!$A:$A, 0), MATCH((YEAR(D72)+2), Variablen!$I$3:$AT$3, 0))),L72)))*(IF((YEAR(D72)+2)&lt;YEAR(E72),0,IF((YEAR(D72)+2)&gt;YEAR(E72),1,(12-MONTH(E72)+1)/12))) + (Q72)*(IF((YEAR(D72)+2)&lt;YEAR(E72),0,IF((YEAR(D72)+2)&gt;YEAR(E72),1,(12-MONTH(E72)+1)/12))))-((P72)*(IF((YEAR(D72)+2)&lt;YEAR(E72),0,IF((YEAR(D72)+2)&gt;YEAR(E72),1,(12-MONTH(E72)+1)/12))) + (R72)*(IF((YEAR(D72)+2)&lt;YEAR(E72),0,IF((YEAR(D72)+2)&gt;YEAR(E72),1,(12-MONTH(E72)+1)/12))))-(IF(OR(N72="",N72&lt;=0),0,(O72/N72)*(IF(OR(N72="",N72&lt;=0),0,IF((YEAR(D72)+2)&lt;YEAR(E72),0,IF((YEAR(D72)+2)&gt;=YEAR(E72)+N72,0,IF((YEAR(D72)+2)=YEAR(E72),(12-MONTH(E72)+1)/12,1))))))))&gt;0,(((K72)*(IF(M72="",L72,IFERROR(IF(INDEX(Variablen!$I:$AT, MATCH(M72, Variablen!$A:$A, 0), MATCH((YEAR(D72)+2), Variablen!$I$3:$AT$3, 0))="",L72,INDEX(Variablen!$I:$AT, MATCH(M72, Variablen!$A:$A, 0), MATCH((YEAR(D72)+2), Variablen!$I$3:$AT$3, 0))),L72)))*(IF((YEAR(D72)+2)&lt;YEAR(E72),0,IF((YEAR(D72)+2)&gt;YEAR(E72),1,(12-MONTH(E72)+1)/12))) + (Q72)*(IF((YEAR(D72)+2)&lt;YEAR(E72),0,IF((YEAR(D72)+2)&gt;YEAR(E72),1,(12-MONTH(E72)+1)/12))))-((P72)*(IF((YEAR(D72)+2)&lt;YEAR(E72),0,IF((YEAR(D72)+2)&gt;YEAR(E72),1,(12-MONTH(E72)+1)/12))) + (R72)*(IF((YEAR(D72)+2)&lt;YEAR(E72),0,IF((YEAR(D72)+2)&gt;YEAR(E72),1,(12-MONTH(E72)+1)/12))))-(IF(OR(N72="",N72&lt;=0),0,(O72/N72)*(IF(OR(N72="",N72&lt;=0),0,IF((YEAR(D72)+2)&lt;YEAR(E72),0,IF((YEAR(D72)+2)&gt;=YEAR(E72)+N72,0,IF((YEAR(D72)+2)=YEAR(E72),(12-MONTH(E72)+1)/12,1))))))))*TaxRate,0))-IF(2=0,O72,0))</f>
        <v/>
      </c>
      <c r="V72" s="29">
        <f>IF(A72="","",((K72)*(IF(M72="",L72,IFERROR(IF(INDEX(Variablen!$I:$AT, MATCH(M72, Variablen!$A:$A, 0), MATCH((YEAR(D72)+3), Variablen!$I$3:$AT$3, 0))="",L72,INDEX(Variablen!$I:$AT, MATCH(M72, Variablen!$A:$A, 0), MATCH((YEAR(D72)+3), Variablen!$I$3:$AT$3, 0))),L72)))*(IF((YEAR(D72)+3)&lt;YEAR(E72),0,IF((YEAR(D72)+3)&gt;YEAR(E72),1,(12-MONTH(E72)+1)/12))) + (Q72)*(IF((YEAR(D72)+3)&lt;YEAR(E72),0,IF((YEAR(D72)+3)&gt;YEAR(E72),1,(12-MONTH(E72)+1)/12))))-((P72)*(IF((YEAR(D72)+3)&lt;YEAR(E72),0,IF((YEAR(D72)+3)&gt;YEAR(E72),1,(12-MONTH(E72)+1)/12))) + (R72)*(IF((YEAR(D72)+3)&lt;YEAR(E72),0,IF((YEAR(D72)+3)&gt;YEAR(E72),1,(12-MONTH(E72)+1)/12))))-(IF((((K72)*(IF(M72="",L72,IFERROR(IF(INDEX(Variablen!$I:$AT, MATCH(M72, Variablen!$A:$A, 0), MATCH((YEAR(D72)+3), Variablen!$I$3:$AT$3, 0))="",L72,INDEX(Variablen!$I:$AT, MATCH(M72, Variablen!$A:$A, 0), MATCH((YEAR(D72)+3), Variablen!$I$3:$AT$3, 0))),L72)))*(IF((YEAR(D72)+3)&lt;YEAR(E72),0,IF((YEAR(D72)+3)&gt;YEAR(E72),1,(12-MONTH(E72)+1)/12))) + (Q72)*(IF((YEAR(D72)+3)&lt;YEAR(E72),0,IF((YEAR(D72)+3)&gt;YEAR(E72),1,(12-MONTH(E72)+1)/12))))-((P72)*(IF((YEAR(D72)+3)&lt;YEAR(E72),0,IF((YEAR(D72)+3)&gt;YEAR(E72),1,(12-MONTH(E72)+1)/12))) + (R72)*(IF((YEAR(D72)+3)&lt;YEAR(E72),0,IF((YEAR(D72)+3)&gt;YEAR(E72),1,(12-MONTH(E72)+1)/12))))-(IF(OR(N72="",N72&lt;=0),0,(O72/N72)*(IF(OR(N72="",N72&lt;=0),0,IF((YEAR(D72)+3)&lt;YEAR(E72),0,IF((YEAR(D72)+3)&gt;=YEAR(E72)+N72,0,IF((YEAR(D72)+3)=YEAR(E72),(12-MONTH(E72)+1)/12,1))))))))&gt;0,(((K72)*(IF(M72="",L72,IFERROR(IF(INDEX(Variablen!$I:$AT, MATCH(M72, Variablen!$A:$A, 0), MATCH((YEAR(D72)+3), Variablen!$I$3:$AT$3, 0))="",L72,INDEX(Variablen!$I:$AT, MATCH(M72, Variablen!$A:$A, 0), MATCH((YEAR(D72)+3), Variablen!$I$3:$AT$3, 0))),L72)))*(IF((YEAR(D72)+3)&lt;YEAR(E72),0,IF((YEAR(D72)+3)&gt;YEAR(E72),1,(12-MONTH(E72)+1)/12))) + (Q72)*(IF((YEAR(D72)+3)&lt;YEAR(E72),0,IF((YEAR(D72)+3)&gt;YEAR(E72),1,(12-MONTH(E72)+1)/12))))-((P72)*(IF((YEAR(D72)+3)&lt;YEAR(E72),0,IF((YEAR(D72)+3)&gt;YEAR(E72),1,(12-MONTH(E72)+1)/12))) + (R72)*(IF((YEAR(D72)+3)&lt;YEAR(E72),0,IF((YEAR(D72)+3)&gt;YEAR(E72),1,(12-MONTH(E72)+1)/12))))-(IF(OR(N72="",N72&lt;=0),0,(O72/N72)*(IF(OR(N72="",N72&lt;=0),0,IF((YEAR(D72)+3)&lt;YEAR(E72),0,IF((YEAR(D72)+3)&gt;=YEAR(E72)+N72,0,IF((YEAR(D72)+3)=YEAR(E72),(12-MONTH(E72)+1)/12,1))))))))*TaxRate,0))-IF(3=0,O72,0))</f>
        <v/>
      </c>
      <c r="W72" s="29">
        <f>IF(A72="","",((K72)*(IF(M72="",L72,IFERROR(IF(INDEX(Variablen!$I:$AT, MATCH(M72, Variablen!$A:$A, 0), MATCH((YEAR(D72)+4), Variablen!$I$3:$AT$3, 0))="",L72,INDEX(Variablen!$I:$AT, MATCH(M72, Variablen!$A:$A, 0), MATCH((YEAR(D72)+4), Variablen!$I$3:$AT$3, 0))),L72)))*(IF((YEAR(D72)+4)&lt;YEAR(E72),0,IF((YEAR(D72)+4)&gt;YEAR(E72),1,(12-MONTH(E72)+1)/12))) + (Q72)*(IF((YEAR(D72)+4)&lt;YEAR(E72),0,IF((YEAR(D72)+4)&gt;YEAR(E72),1,(12-MONTH(E72)+1)/12))))-((P72)*(IF((YEAR(D72)+4)&lt;YEAR(E72),0,IF((YEAR(D72)+4)&gt;YEAR(E72),1,(12-MONTH(E72)+1)/12))) + (R72)*(IF((YEAR(D72)+4)&lt;YEAR(E72),0,IF((YEAR(D72)+4)&gt;YEAR(E72),1,(12-MONTH(E72)+1)/12))))-(IF((((K72)*(IF(M72="",L72,IFERROR(IF(INDEX(Variablen!$I:$AT, MATCH(M72, Variablen!$A:$A, 0), MATCH((YEAR(D72)+4), Variablen!$I$3:$AT$3, 0))="",L72,INDEX(Variablen!$I:$AT, MATCH(M72, Variablen!$A:$A, 0), MATCH((YEAR(D72)+4), Variablen!$I$3:$AT$3, 0))),L72)))*(IF((YEAR(D72)+4)&lt;YEAR(E72),0,IF((YEAR(D72)+4)&gt;YEAR(E72),1,(12-MONTH(E72)+1)/12))) + (Q72)*(IF((YEAR(D72)+4)&lt;YEAR(E72),0,IF((YEAR(D72)+4)&gt;YEAR(E72),1,(12-MONTH(E72)+1)/12))))-((P72)*(IF((YEAR(D72)+4)&lt;YEAR(E72),0,IF((YEAR(D72)+4)&gt;YEAR(E72),1,(12-MONTH(E72)+1)/12))) + (R72)*(IF((YEAR(D72)+4)&lt;YEAR(E72),0,IF((YEAR(D72)+4)&gt;YEAR(E72),1,(12-MONTH(E72)+1)/12))))-(IF(OR(N72="",N72&lt;=0),0,(O72/N72)*(IF(OR(N72="",N72&lt;=0),0,IF((YEAR(D72)+4)&lt;YEAR(E72),0,IF((YEAR(D72)+4)&gt;=YEAR(E72)+N72,0,IF((YEAR(D72)+4)=YEAR(E72),(12-MONTH(E72)+1)/12,1))))))))&gt;0,(((K72)*(IF(M72="",L72,IFERROR(IF(INDEX(Variablen!$I:$AT, MATCH(M72, Variablen!$A:$A, 0), MATCH((YEAR(D72)+4), Variablen!$I$3:$AT$3, 0))="",L72,INDEX(Variablen!$I:$AT, MATCH(M72, Variablen!$A:$A, 0), MATCH((YEAR(D72)+4), Variablen!$I$3:$AT$3, 0))),L72)))*(IF((YEAR(D72)+4)&lt;YEAR(E72),0,IF((YEAR(D72)+4)&gt;YEAR(E72),1,(12-MONTH(E72)+1)/12))) + (Q72)*(IF((YEAR(D72)+4)&lt;YEAR(E72),0,IF((YEAR(D72)+4)&gt;YEAR(E72),1,(12-MONTH(E72)+1)/12))))-((P72)*(IF((YEAR(D72)+4)&lt;YEAR(E72),0,IF((YEAR(D72)+4)&gt;YEAR(E72),1,(12-MONTH(E72)+1)/12))) + (R72)*(IF((YEAR(D72)+4)&lt;YEAR(E72),0,IF((YEAR(D72)+4)&gt;YEAR(E72),1,(12-MONTH(E72)+1)/12))))-(IF(OR(N72="",N72&lt;=0),0,(O72/N72)*(IF(OR(N72="",N72&lt;=0),0,IF((YEAR(D72)+4)&lt;YEAR(E72),0,IF((YEAR(D72)+4)&gt;=YEAR(E72)+N72,0,IF((YEAR(D72)+4)=YEAR(E72),(12-MONTH(E72)+1)/12,1))))))))*TaxRate,0))-IF(4=0,O72,0))</f>
        <v/>
      </c>
      <c r="X72" s="29">
        <f>IF(A72="","",((K72)*(IF(M72="",L72,IFERROR(IF(INDEX(Variablen!$I:$AT, MATCH(M72, Variablen!$A:$A, 0), MATCH((YEAR(D72)+5), Variablen!$I$3:$AT$3, 0))="",L72,INDEX(Variablen!$I:$AT, MATCH(M72, Variablen!$A:$A, 0), MATCH((YEAR(D72)+5), Variablen!$I$3:$AT$3, 0))),L72)))*(IF((YEAR(D72)+5)&lt;YEAR(E72),0,IF((YEAR(D72)+5)&gt;YEAR(E72),1,(12-MONTH(E72)+1)/12))) + (Q72)*(IF((YEAR(D72)+5)&lt;YEAR(E72),0,IF((YEAR(D72)+5)&gt;YEAR(E72),1,(12-MONTH(E72)+1)/12))))-((P72)*(IF((YEAR(D72)+5)&lt;YEAR(E72),0,IF((YEAR(D72)+5)&gt;YEAR(E72),1,(12-MONTH(E72)+1)/12))) + (R72)*(IF((YEAR(D72)+5)&lt;YEAR(E72),0,IF((YEAR(D72)+5)&gt;YEAR(E72),1,(12-MONTH(E72)+1)/12))))-(IF((((K72)*(IF(M72="",L72,IFERROR(IF(INDEX(Variablen!$I:$AT, MATCH(M72, Variablen!$A:$A, 0), MATCH((YEAR(D72)+5), Variablen!$I$3:$AT$3, 0))="",L72,INDEX(Variablen!$I:$AT, MATCH(M72, Variablen!$A:$A, 0), MATCH((YEAR(D72)+5), Variablen!$I$3:$AT$3, 0))),L72)))*(IF((YEAR(D72)+5)&lt;YEAR(E72),0,IF((YEAR(D72)+5)&gt;YEAR(E72),1,(12-MONTH(E72)+1)/12))) + (Q72)*(IF((YEAR(D72)+5)&lt;YEAR(E72),0,IF((YEAR(D72)+5)&gt;YEAR(E72),1,(12-MONTH(E72)+1)/12))))-((P72)*(IF((YEAR(D72)+5)&lt;YEAR(E72),0,IF((YEAR(D72)+5)&gt;YEAR(E72),1,(12-MONTH(E72)+1)/12))) + (R72)*(IF((YEAR(D72)+5)&lt;YEAR(E72),0,IF((YEAR(D72)+5)&gt;YEAR(E72),1,(12-MONTH(E72)+1)/12))))-(IF(OR(N72="",N72&lt;=0),0,(O72/N72)*(IF(OR(N72="",N72&lt;=0),0,IF((YEAR(D72)+5)&lt;YEAR(E72),0,IF((YEAR(D72)+5)&gt;=YEAR(E72)+N72,0,IF((YEAR(D72)+5)=YEAR(E72),(12-MONTH(E72)+1)/12,1))))))))&gt;0,(((K72)*(IF(M72="",L72,IFERROR(IF(INDEX(Variablen!$I:$AT, MATCH(M72, Variablen!$A:$A, 0), MATCH((YEAR(D72)+5), Variablen!$I$3:$AT$3, 0))="",L72,INDEX(Variablen!$I:$AT, MATCH(M72, Variablen!$A:$A, 0), MATCH((YEAR(D72)+5), Variablen!$I$3:$AT$3, 0))),L72)))*(IF((YEAR(D72)+5)&lt;YEAR(E72),0,IF((YEAR(D72)+5)&gt;YEAR(E72),1,(12-MONTH(E72)+1)/12))) + (Q72)*(IF((YEAR(D72)+5)&lt;YEAR(E72),0,IF((YEAR(D72)+5)&gt;YEAR(E72),1,(12-MONTH(E72)+1)/12))))-((P72)*(IF((YEAR(D72)+5)&lt;YEAR(E72),0,IF((YEAR(D72)+5)&gt;YEAR(E72),1,(12-MONTH(E72)+1)/12))) + (R72)*(IF((YEAR(D72)+5)&lt;YEAR(E72),0,IF((YEAR(D72)+5)&gt;YEAR(E72),1,(12-MONTH(E72)+1)/12))))-(IF(OR(N72="",N72&lt;=0),0,(O72/N72)*(IF(OR(N72="",N72&lt;=0),0,IF((YEAR(D72)+5)&lt;YEAR(E72),0,IF((YEAR(D72)+5)&gt;=YEAR(E72)+N72,0,IF((YEAR(D72)+5)=YEAR(E72),(12-MONTH(E72)+1)/12,1))))))))*TaxRate,0))-IF(5=0,O72,0))</f>
        <v/>
      </c>
      <c r="Y72" s="29">
        <f>IF(A72="","",((K72)*(IF(M72="",L72,IFERROR(IF(INDEX(Variablen!$I:$AT, MATCH(M72, Variablen!$A:$A, 0), MATCH((YEAR(D72)+6), Variablen!$I$3:$AT$3, 0))="",L72,INDEX(Variablen!$I:$AT, MATCH(M72, Variablen!$A:$A, 0), MATCH((YEAR(D72)+6), Variablen!$I$3:$AT$3, 0))),L72)))*(IF((YEAR(D72)+6)&lt;YEAR(E72),0,IF((YEAR(D72)+6)&gt;YEAR(E72),1,(12-MONTH(E72)+1)/12))) + (Q72)*(IF((YEAR(D72)+6)&lt;YEAR(E72),0,IF((YEAR(D72)+6)&gt;YEAR(E72),1,(12-MONTH(E72)+1)/12))))-((P72)*(IF((YEAR(D72)+6)&lt;YEAR(E72),0,IF((YEAR(D72)+6)&gt;YEAR(E72),1,(12-MONTH(E72)+1)/12))) + (R72)*(IF((YEAR(D72)+6)&lt;YEAR(E72),0,IF((YEAR(D72)+6)&gt;YEAR(E72),1,(12-MONTH(E72)+1)/12))))-(IF((((K72)*(IF(M72="",L72,IFERROR(IF(INDEX(Variablen!$I:$AT, MATCH(M72, Variablen!$A:$A, 0), MATCH((YEAR(D72)+6), Variablen!$I$3:$AT$3, 0))="",L72,INDEX(Variablen!$I:$AT, MATCH(M72, Variablen!$A:$A, 0), MATCH((YEAR(D72)+6), Variablen!$I$3:$AT$3, 0))),L72)))*(IF((YEAR(D72)+6)&lt;YEAR(E72),0,IF((YEAR(D72)+6)&gt;YEAR(E72),1,(12-MONTH(E72)+1)/12))) + (Q72)*(IF((YEAR(D72)+6)&lt;YEAR(E72),0,IF((YEAR(D72)+6)&gt;YEAR(E72),1,(12-MONTH(E72)+1)/12))))-((P72)*(IF((YEAR(D72)+6)&lt;YEAR(E72),0,IF((YEAR(D72)+6)&gt;YEAR(E72),1,(12-MONTH(E72)+1)/12))) + (R72)*(IF((YEAR(D72)+6)&lt;YEAR(E72),0,IF((YEAR(D72)+6)&gt;YEAR(E72),1,(12-MONTH(E72)+1)/12))))-(IF(OR(N72="",N72&lt;=0),0,(O72/N72)*(IF(OR(N72="",N72&lt;=0),0,IF((YEAR(D72)+6)&lt;YEAR(E72),0,IF((YEAR(D72)+6)&gt;=YEAR(E72)+N72,0,IF((YEAR(D72)+6)=YEAR(E72),(12-MONTH(E72)+1)/12,1))))))))&gt;0,(((K72)*(IF(M72="",L72,IFERROR(IF(INDEX(Variablen!$I:$AT, MATCH(M72, Variablen!$A:$A, 0), MATCH((YEAR(D72)+6), Variablen!$I$3:$AT$3, 0))="",L72,INDEX(Variablen!$I:$AT, MATCH(M72, Variablen!$A:$A, 0), MATCH((YEAR(D72)+6), Variablen!$I$3:$AT$3, 0))),L72)))*(IF((YEAR(D72)+6)&lt;YEAR(E72),0,IF((YEAR(D72)+6)&gt;YEAR(E72),1,(12-MONTH(E72)+1)/12))) + (Q72)*(IF((YEAR(D72)+6)&lt;YEAR(E72),0,IF((YEAR(D72)+6)&gt;YEAR(E72),1,(12-MONTH(E72)+1)/12))))-((P72)*(IF((YEAR(D72)+6)&lt;YEAR(E72),0,IF((YEAR(D72)+6)&gt;YEAR(E72),1,(12-MONTH(E72)+1)/12))) + (R72)*(IF((YEAR(D72)+6)&lt;YEAR(E72),0,IF((YEAR(D72)+6)&gt;YEAR(E72),1,(12-MONTH(E72)+1)/12))))-(IF(OR(N72="",N72&lt;=0),0,(O72/N72)*(IF(OR(N72="",N72&lt;=0),0,IF((YEAR(D72)+6)&lt;YEAR(E72),0,IF((YEAR(D72)+6)&gt;=YEAR(E72)+N72,0,IF((YEAR(D72)+6)=YEAR(E72),(12-MONTH(E72)+1)/12,1))))))))*TaxRate,0))-IF(6=0,O72,0))</f>
        <v/>
      </c>
      <c r="Z72" s="29">
        <f>IF(A72="","",((K72)*(IF(M72="",L72,IFERROR(IF(INDEX(Variablen!$I:$AT, MATCH(M72, Variablen!$A:$A, 0), MATCH((YEAR(D72)+7), Variablen!$I$3:$AT$3, 0))="",L72,INDEX(Variablen!$I:$AT, MATCH(M72, Variablen!$A:$A, 0), MATCH((YEAR(D72)+7), Variablen!$I$3:$AT$3, 0))),L72)))*(IF((YEAR(D72)+7)&lt;YEAR(E72),0,IF((YEAR(D72)+7)&gt;YEAR(E72),1,(12-MONTH(E72)+1)/12))) + (Q72)*(IF((YEAR(D72)+7)&lt;YEAR(E72),0,IF((YEAR(D72)+7)&gt;YEAR(E72),1,(12-MONTH(E72)+1)/12))))-((P72)*(IF((YEAR(D72)+7)&lt;YEAR(E72),0,IF((YEAR(D72)+7)&gt;YEAR(E72),1,(12-MONTH(E72)+1)/12))) + (R72)*(IF((YEAR(D72)+7)&lt;YEAR(E72),0,IF((YEAR(D72)+7)&gt;YEAR(E72),1,(12-MONTH(E72)+1)/12))))-(IF((((K72)*(IF(M72="",L72,IFERROR(IF(INDEX(Variablen!$I:$AT, MATCH(M72, Variablen!$A:$A, 0), MATCH((YEAR(D72)+7), Variablen!$I$3:$AT$3, 0))="",L72,INDEX(Variablen!$I:$AT, MATCH(M72, Variablen!$A:$A, 0), MATCH((YEAR(D72)+7), Variablen!$I$3:$AT$3, 0))),L72)))*(IF((YEAR(D72)+7)&lt;YEAR(E72),0,IF((YEAR(D72)+7)&gt;YEAR(E72),1,(12-MONTH(E72)+1)/12))) + (Q72)*(IF((YEAR(D72)+7)&lt;YEAR(E72),0,IF((YEAR(D72)+7)&gt;YEAR(E72),1,(12-MONTH(E72)+1)/12))))-((P72)*(IF((YEAR(D72)+7)&lt;YEAR(E72),0,IF((YEAR(D72)+7)&gt;YEAR(E72),1,(12-MONTH(E72)+1)/12))) + (R72)*(IF((YEAR(D72)+7)&lt;YEAR(E72),0,IF((YEAR(D72)+7)&gt;YEAR(E72),1,(12-MONTH(E72)+1)/12))))-(IF(OR(N72="",N72&lt;=0),0,(O72/N72)*(IF(OR(N72="",N72&lt;=0),0,IF((YEAR(D72)+7)&lt;YEAR(E72),0,IF((YEAR(D72)+7)&gt;=YEAR(E72)+N72,0,IF((YEAR(D72)+7)=YEAR(E72),(12-MONTH(E72)+1)/12,1))))))))&gt;0,(((K72)*(IF(M72="",L72,IFERROR(IF(INDEX(Variablen!$I:$AT, MATCH(M72, Variablen!$A:$A, 0), MATCH((YEAR(D72)+7), Variablen!$I$3:$AT$3, 0))="",L72,INDEX(Variablen!$I:$AT, MATCH(M72, Variablen!$A:$A, 0), MATCH((YEAR(D72)+7), Variablen!$I$3:$AT$3, 0))),L72)))*(IF((YEAR(D72)+7)&lt;YEAR(E72),0,IF((YEAR(D72)+7)&gt;YEAR(E72),1,(12-MONTH(E72)+1)/12))) + (Q72)*(IF((YEAR(D72)+7)&lt;YEAR(E72),0,IF((YEAR(D72)+7)&gt;YEAR(E72),1,(12-MONTH(E72)+1)/12))))-((P72)*(IF((YEAR(D72)+7)&lt;YEAR(E72),0,IF((YEAR(D72)+7)&gt;YEAR(E72),1,(12-MONTH(E72)+1)/12))) + (R72)*(IF((YEAR(D72)+7)&lt;YEAR(E72),0,IF((YEAR(D72)+7)&gt;YEAR(E72),1,(12-MONTH(E72)+1)/12))))-(IF(OR(N72="",N72&lt;=0),0,(O72/N72)*(IF(OR(N72="",N72&lt;=0),0,IF((YEAR(D72)+7)&lt;YEAR(E72),0,IF((YEAR(D72)+7)&gt;=YEAR(E72)+N72,0,IF((YEAR(D72)+7)=YEAR(E72),(12-MONTH(E72)+1)/12,1))))))))*TaxRate,0))-IF(7=0,O72,0))</f>
        <v/>
      </c>
      <c r="AA72" s="29">
        <f>IF(A72="","",((K72)*(IF(M72="",L72,IFERROR(IF(INDEX(Variablen!$I:$AT, MATCH(M72, Variablen!$A:$A, 0), MATCH((YEAR(D72)+8), Variablen!$I$3:$AT$3, 0))="",L72,INDEX(Variablen!$I:$AT, MATCH(M72, Variablen!$A:$A, 0), MATCH((YEAR(D72)+8), Variablen!$I$3:$AT$3, 0))),L72)))*(IF((YEAR(D72)+8)&lt;YEAR(E72),0,IF((YEAR(D72)+8)&gt;YEAR(E72),1,(12-MONTH(E72)+1)/12))) + (Q72)*(IF((YEAR(D72)+8)&lt;YEAR(E72),0,IF((YEAR(D72)+8)&gt;YEAR(E72),1,(12-MONTH(E72)+1)/12))))-((P72)*(IF((YEAR(D72)+8)&lt;YEAR(E72),0,IF((YEAR(D72)+8)&gt;YEAR(E72),1,(12-MONTH(E72)+1)/12))) + (R72)*(IF((YEAR(D72)+8)&lt;YEAR(E72),0,IF((YEAR(D72)+8)&gt;YEAR(E72),1,(12-MONTH(E72)+1)/12))))-(IF((((K72)*(IF(M72="",L72,IFERROR(IF(INDEX(Variablen!$I:$AT, MATCH(M72, Variablen!$A:$A, 0), MATCH((YEAR(D72)+8), Variablen!$I$3:$AT$3, 0))="",L72,INDEX(Variablen!$I:$AT, MATCH(M72, Variablen!$A:$A, 0), MATCH((YEAR(D72)+8), Variablen!$I$3:$AT$3, 0))),L72)))*(IF((YEAR(D72)+8)&lt;YEAR(E72),0,IF((YEAR(D72)+8)&gt;YEAR(E72),1,(12-MONTH(E72)+1)/12))) + (Q72)*(IF((YEAR(D72)+8)&lt;YEAR(E72),0,IF((YEAR(D72)+8)&gt;YEAR(E72),1,(12-MONTH(E72)+1)/12))))-((P72)*(IF((YEAR(D72)+8)&lt;YEAR(E72),0,IF((YEAR(D72)+8)&gt;YEAR(E72),1,(12-MONTH(E72)+1)/12))) + (R72)*(IF((YEAR(D72)+8)&lt;YEAR(E72),0,IF((YEAR(D72)+8)&gt;YEAR(E72),1,(12-MONTH(E72)+1)/12))))-(IF(OR(N72="",N72&lt;=0),0,(O72/N72)*(IF(OR(N72="",N72&lt;=0),0,IF((YEAR(D72)+8)&lt;YEAR(E72),0,IF((YEAR(D72)+8)&gt;=YEAR(E72)+N72,0,IF((YEAR(D72)+8)=YEAR(E72),(12-MONTH(E72)+1)/12,1))))))))&gt;0,(((K72)*(IF(M72="",L72,IFERROR(IF(INDEX(Variablen!$I:$AT, MATCH(M72, Variablen!$A:$A, 0), MATCH((YEAR(D72)+8), Variablen!$I$3:$AT$3, 0))="",L72,INDEX(Variablen!$I:$AT, MATCH(M72, Variablen!$A:$A, 0), MATCH((YEAR(D72)+8), Variablen!$I$3:$AT$3, 0))),L72)))*(IF((YEAR(D72)+8)&lt;YEAR(E72),0,IF((YEAR(D72)+8)&gt;YEAR(E72),1,(12-MONTH(E72)+1)/12))) + (Q72)*(IF((YEAR(D72)+8)&lt;YEAR(E72),0,IF((YEAR(D72)+8)&gt;YEAR(E72),1,(12-MONTH(E72)+1)/12))))-((P72)*(IF((YEAR(D72)+8)&lt;YEAR(E72),0,IF((YEAR(D72)+8)&gt;YEAR(E72),1,(12-MONTH(E72)+1)/12))) + (R72)*(IF((YEAR(D72)+8)&lt;YEAR(E72),0,IF((YEAR(D72)+8)&gt;YEAR(E72),1,(12-MONTH(E72)+1)/12))))-(IF(OR(N72="",N72&lt;=0),0,(O72/N72)*(IF(OR(N72="",N72&lt;=0),0,IF((YEAR(D72)+8)&lt;YEAR(E72),0,IF((YEAR(D72)+8)&gt;=YEAR(E72)+N72,0,IF((YEAR(D72)+8)=YEAR(E72),(12-MONTH(E72)+1)/12,1))))))))*TaxRate,0))-IF(8=0,O72,0))</f>
        <v/>
      </c>
      <c r="AB72" s="29">
        <f>IF(A72="","",((K72)*(IF(M72="",L72,IFERROR(IF(INDEX(Variablen!$I:$AT, MATCH(M72, Variablen!$A:$A, 0), MATCH((YEAR(D72)+9), Variablen!$I$3:$AT$3, 0))="",L72,INDEX(Variablen!$I:$AT, MATCH(M72, Variablen!$A:$A, 0), MATCH((YEAR(D72)+9), Variablen!$I$3:$AT$3, 0))),L72)))*(IF((YEAR(D72)+9)&lt;YEAR(E72),0,IF((YEAR(D72)+9)&gt;YEAR(E72),1,(12-MONTH(E72)+1)/12))) + (Q72)*(IF((YEAR(D72)+9)&lt;YEAR(E72),0,IF((YEAR(D72)+9)&gt;YEAR(E72),1,(12-MONTH(E72)+1)/12))))-((P72)*(IF((YEAR(D72)+9)&lt;YEAR(E72),0,IF((YEAR(D72)+9)&gt;YEAR(E72),1,(12-MONTH(E72)+1)/12))) + (R72)*(IF((YEAR(D72)+9)&lt;YEAR(E72),0,IF((YEAR(D72)+9)&gt;YEAR(E72),1,(12-MONTH(E72)+1)/12))))-(IF((((K72)*(IF(M72="",L72,IFERROR(IF(INDEX(Variablen!$I:$AT, MATCH(M72, Variablen!$A:$A, 0), MATCH((YEAR(D72)+9), Variablen!$I$3:$AT$3, 0))="",L72,INDEX(Variablen!$I:$AT, MATCH(M72, Variablen!$A:$A, 0), MATCH((YEAR(D72)+9), Variablen!$I$3:$AT$3, 0))),L72)))*(IF((YEAR(D72)+9)&lt;YEAR(E72),0,IF((YEAR(D72)+9)&gt;YEAR(E72),1,(12-MONTH(E72)+1)/12))) + (Q72)*(IF((YEAR(D72)+9)&lt;YEAR(E72),0,IF((YEAR(D72)+9)&gt;YEAR(E72),1,(12-MONTH(E72)+1)/12))))-((P72)*(IF((YEAR(D72)+9)&lt;YEAR(E72),0,IF((YEAR(D72)+9)&gt;YEAR(E72),1,(12-MONTH(E72)+1)/12))) + (R72)*(IF((YEAR(D72)+9)&lt;YEAR(E72),0,IF((YEAR(D72)+9)&gt;YEAR(E72),1,(12-MONTH(E72)+1)/12))))-(IF(OR(N72="",N72&lt;=0),0,(O72/N72)*(IF(OR(N72="",N72&lt;=0),0,IF((YEAR(D72)+9)&lt;YEAR(E72),0,IF((YEAR(D72)+9)&gt;=YEAR(E72)+N72,0,IF((YEAR(D72)+9)=YEAR(E72),(12-MONTH(E72)+1)/12,1))))))))&gt;0,(((K72)*(IF(M72="",L72,IFERROR(IF(INDEX(Variablen!$I:$AT, MATCH(M72, Variablen!$A:$A, 0), MATCH((YEAR(D72)+9), Variablen!$I$3:$AT$3, 0))="",L72,INDEX(Variablen!$I:$AT, MATCH(M72, Variablen!$A:$A, 0), MATCH((YEAR(D72)+9), Variablen!$I$3:$AT$3, 0))),L72)))*(IF((YEAR(D72)+9)&lt;YEAR(E72),0,IF((YEAR(D72)+9)&gt;YEAR(E72),1,(12-MONTH(E72)+1)/12))) + (Q72)*(IF((YEAR(D72)+9)&lt;YEAR(E72),0,IF((YEAR(D72)+9)&gt;YEAR(E72),1,(12-MONTH(E72)+1)/12))))-((P72)*(IF((YEAR(D72)+9)&lt;YEAR(E72),0,IF((YEAR(D72)+9)&gt;YEAR(E72),1,(12-MONTH(E72)+1)/12))) + (R72)*(IF((YEAR(D72)+9)&lt;YEAR(E72),0,IF((YEAR(D72)+9)&gt;YEAR(E72),1,(12-MONTH(E72)+1)/12))))-(IF(OR(N72="",N72&lt;=0),0,(O72/N72)*(IF(OR(N72="",N72&lt;=0),0,IF((YEAR(D72)+9)&lt;YEAR(E72),0,IF((YEAR(D72)+9)&gt;=YEAR(E72)+N72,0,IF((YEAR(D72)+9)=YEAR(E72),(12-MONTH(E72)+1)/12,1))))))))*TaxRate,0))-IF(9=0,O72,0))</f>
        <v/>
      </c>
      <c r="AC72" s="29">
        <f>IF(A72="","",((K72)*(IF(M72="",L72,IFERROR(IF(INDEX(Variablen!$I:$AT, MATCH(M72, Variablen!$A:$A, 0), MATCH((YEAR(D72)+10), Variablen!$I$3:$AT$3, 0))="",L72,INDEX(Variablen!$I:$AT, MATCH(M72, Variablen!$A:$A, 0), MATCH((YEAR(D72)+10), Variablen!$I$3:$AT$3, 0))),L72)))*(IF((YEAR(D72)+10)&lt;YEAR(E72),0,IF((YEAR(D72)+10)&gt;YEAR(E72),1,(12-MONTH(E72)+1)/12))) + (Q72)*(IF((YEAR(D72)+10)&lt;YEAR(E72),0,IF((YEAR(D72)+10)&gt;YEAR(E72),1,(12-MONTH(E72)+1)/12))))-((P72)*(IF((YEAR(D72)+10)&lt;YEAR(E72),0,IF((YEAR(D72)+10)&gt;YEAR(E72),1,(12-MONTH(E72)+1)/12))) + (R72)*(IF((YEAR(D72)+10)&lt;YEAR(E72),0,IF((YEAR(D72)+10)&gt;YEAR(E72),1,(12-MONTH(E72)+1)/12))))-(IF((((K72)*(IF(M72="",L72,IFERROR(IF(INDEX(Variablen!$I:$AT, MATCH(M72, Variablen!$A:$A, 0), MATCH((YEAR(D72)+10), Variablen!$I$3:$AT$3, 0))="",L72,INDEX(Variablen!$I:$AT, MATCH(M72, Variablen!$A:$A, 0), MATCH((YEAR(D72)+10), Variablen!$I$3:$AT$3, 0))),L72)))*(IF((YEAR(D72)+10)&lt;YEAR(E72),0,IF((YEAR(D72)+10)&gt;YEAR(E72),1,(12-MONTH(E72)+1)/12))) + (Q72)*(IF((YEAR(D72)+10)&lt;YEAR(E72),0,IF((YEAR(D72)+10)&gt;YEAR(E72),1,(12-MONTH(E72)+1)/12))))-((P72)*(IF((YEAR(D72)+10)&lt;YEAR(E72),0,IF((YEAR(D72)+10)&gt;YEAR(E72),1,(12-MONTH(E72)+1)/12))) + (R72)*(IF((YEAR(D72)+10)&lt;YEAR(E72),0,IF((YEAR(D72)+10)&gt;YEAR(E72),1,(12-MONTH(E72)+1)/12))))-(IF(OR(N72="",N72&lt;=0),0,(O72/N72)*(IF(OR(N72="",N72&lt;=0),0,IF((YEAR(D72)+10)&lt;YEAR(E72),0,IF((YEAR(D72)+10)&gt;=YEAR(E72)+N72,0,IF((YEAR(D72)+10)=YEAR(E72),(12-MONTH(E72)+1)/12,1))))))))&gt;0,(((K72)*(IF(M72="",L72,IFERROR(IF(INDEX(Variablen!$I:$AT, MATCH(M72, Variablen!$A:$A, 0), MATCH((YEAR(D72)+10), Variablen!$I$3:$AT$3, 0))="",L72,INDEX(Variablen!$I:$AT, MATCH(M72, Variablen!$A:$A, 0), MATCH((YEAR(D72)+10), Variablen!$I$3:$AT$3, 0))),L72)))*(IF((YEAR(D72)+10)&lt;YEAR(E72),0,IF((YEAR(D72)+10)&gt;YEAR(E72),1,(12-MONTH(E72)+1)/12))) + (Q72)*(IF((YEAR(D72)+10)&lt;YEAR(E72),0,IF((YEAR(D72)+10)&gt;YEAR(E72),1,(12-MONTH(E72)+1)/12))))-((P72)*(IF((YEAR(D72)+10)&lt;YEAR(E72),0,IF((YEAR(D72)+10)&gt;YEAR(E72),1,(12-MONTH(E72)+1)/12))) + (R72)*(IF((YEAR(D72)+10)&lt;YEAR(E72),0,IF((YEAR(D72)+10)&gt;YEAR(E72),1,(12-MONTH(E72)+1)/12))))-(IF(OR(N72="",N72&lt;=0),0,(O72/N72)*(IF(OR(N72="",N72&lt;=0),0,IF((YEAR(D72)+10)&lt;YEAR(E72),0,IF((YEAR(D72)+10)&gt;=YEAR(E72)+N72,0,IF((YEAR(D72)+10)=YEAR(E72),(12-MONTH(E72)+1)/12,1))))))))*TaxRate,0))-IF(10=0,O72,0))</f>
        <v/>
      </c>
      <c r="AD72" s="29">
        <f>IF(A72="","",((K72)*(IF(M72="",L72,IFERROR(IF(INDEX(Variablen!$I:$AT, MATCH(M72, Variablen!$A:$A, 0), MATCH((YEAR(D72)+11), Variablen!$I$3:$AT$3, 0))="",L72,INDEX(Variablen!$I:$AT, MATCH(M72, Variablen!$A:$A, 0), MATCH((YEAR(D72)+11), Variablen!$I$3:$AT$3, 0))),L72)))*(IF((YEAR(D72)+11)&lt;YEAR(E72),0,IF((YEAR(D72)+11)&gt;YEAR(E72),1,(12-MONTH(E72)+1)/12))) + (Q72)*(IF((YEAR(D72)+11)&lt;YEAR(E72),0,IF((YEAR(D72)+11)&gt;YEAR(E72),1,(12-MONTH(E72)+1)/12))))-((P72)*(IF((YEAR(D72)+11)&lt;YEAR(E72),0,IF((YEAR(D72)+11)&gt;YEAR(E72),1,(12-MONTH(E72)+1)/12))) + (R72)*(IF((YEAR(D72)+11)&lt;YEAR(E72),0,IF((YEAR(D72)+11)&gt;YEAR(E72),1,(12-MONTH(E72)+1)/12))))-(IF((((K72)*(IF(M72="",L72,IFERROR(IF(INDEX(Variablen!$I:$AT, MATCH(M72, Variablen!$A:$A, 0), MATCH((YEAR(D72)+11), Variablen!$I$3:$AT$3, 0))="",L72,INDEX(Variablen!$I:$AT, MATCH(M72, Variablen!$A:$A, 0), MATCH((YEAR(D72)+11), Variablen!$I$3:$AT$3, 0))),L72)))*(IF((YEAR(D72)+11)&lt;YEAR(E72),0,IF((YEAR(D72)+11)&gt;YEAR(E72),1,(12-MONTH(E72)+1)/12))) + (Q72)*(IF((YEAR(D72)+11)&lt;YEAR(E72),0,IF((YEAR(D72)+11)&gt;YEAR(E72),1,(12-MONTH(E72)+1)/12))))-((P72)*(IF((YEAR(D72)+11)&lt;YEAR(E72),0,IF((YEAR(D72)+11)&gt;YEAR(E72),1,(12-MONTH(E72)+1)/12))) + (R72)*(IF((YEAR(D72)+11)&lt;YEAR(E72),0,IF((YEAR(D72)+11)&gt;YEAR(E72),1,(12-MONTH(E72)+1)/12))))-(IF(OR(N72="",N72&lt;=0),0,(O72/N72)*(IF(OR(N72="",N72&lt;=0),0,IF((YEAR(D72)+11)&lt;YEAR(E72),0,IF((YEAR(D72)+11)&gt;=YEAR(E72)+N72,0,IF((YEAR(D72)+11)=YEAR(E72),(12-MONTH(E72)+1)/12,1))))))))&gt;0,(((K72)*(IF(M72="",L72,IFERROR(IF(INDEX(Variablen!$I:$AT, MATCH(M72, Variablen!$A:$A, 0), MATCH((YEAR(D72)+11), Variablen!$I$3:$AT$3, 0))="",L72,INDEX(Variablen!$I:$AT, MATCH(M72, Variablen!$A:$A, 0), MATCH((YEAR(D72)+11), Variablen!$I$3:$AT$3, 0))),L72)))*(IF((YEAR(D72)+11)&lt;YEAR(E72),0,IF((YEAR(D72)+11)&gt;YEAR(E72),1,(12-MONTH(E72)+1)/12))) + (Q72)*(IF((YEAR(D72)+11)&lt;YEAR(E72),0,IF((YEAR(D72)+11)&gt;YEAR(E72),1,(12-MONTH(E72)+1)/12))))-((P72)*(IF((YEAR(D72)+11)&lt;YEAR(E72),0,IF((YEAR(D72)+11)&gt;YEAR(E72),1,(12-MONTH(E72)+1)/12))) + (R72)*(IF((YEAR(D72)+11)&lt;YEAR(E72),0,IF((YEAR(D72)+11)&gt;YEAR(E72),1,(12-MONTH(E72)+1)/12))))-(IF(OR(N72="",N72&lt;=0),0,(O72/N72)*(IF(OR(N72="",N72&lt;=0),0,IF((YEAR(D72)+11)&lt;YEAR(E72),0,IF((YEAR(D72)+11)&gt;=YEAR(E72)+N72,0,IF((YEAR(D72)+11)=YEAR(E72),(12-MONTH(E72)+1)/12,1))))))))*TaxRate,0))-IF(11=0,O72,0))</f>
        <v/>
      </c>
      <c r="AE72" s="29">
        <f>IF(A72="","",((K72)*(IF(M72="",L72,IFERROR(IF(INDEX(Variablen!$I:$AT, MATCH(M72, Variablen!$A:$A, 0), MATCH((YEAR(D72)+12), Variablen!$I$3:$AT$3, 0))="",L72,INDEX(Variablen!$I:$AT, MATCH(M72, Variablen!$A:$A, 0), MATCH((YEAR(D72)+12), Variablen!$I$3:$AT$3, 0))),L72)))*(IF((YEAR(D72)+12)&lt;YEAR(E72),0,IF((YEAR(D72)+12)&gt;YEAR(E72),1,(12-MONTH(E72)+1)/12))) + (Q72)*(IF((YEAR(D72)+12)&lt;YEAR(E72),0,IF((YEAR(D72)+12)&gt;YEAR(E72),1,(12-MONTH(E72)+1)/12))))-((P72)*(IF((YEAR(D72)+12)&lt;YEAR(E72),0,IF((YEAR(D72)+12)&gt;YEAR(E72),1,(12-MONTH(E72)+1)/12))) + (R72)*(IF((YEAR(D72)+12)&lt;YEAR(E72),0,IF((YEAR(D72)+12)&gt;YEAR(E72),1,(12-MONTH(E72)+1)/12))))-(IF((((K72)*(IF(M72="",L72,IFERROR(IF(INDEX(Variablen!$I:$AT, MATCH(M72, Variablen!$A:$A, 0), MATCH((YEAR(D72)+12), Variablen!$I$3:$AT$3, 0))="",L72,INDEX(Variablen!$I:$AT, MATCH(M72, Variablen!$A:$A, 0), MATCH((YEAR(D72)+12), Variablen!$I$3:$AT$3, 0))),L72)))*(IF((YEAR(D72)+12)&lt;YEAR(E72),0,IF((YEAR(D72)+12)&gt;YEAR(E72),1,(12-MONTH(E72)+1)/12))) + (Q72)*(IF((YEAR(D72)+12)&lt;YEAR(E72),0,IF((YEAR(D72)+12)&gt;YEAR(E72),1,(12-MONTH(E72)+1)/12))))-((P72)*(IF((YEAR(D72)+12)&lt;YEAR(E72),0,IF((YEAR(D72)+12)&gt;YEAR(E72),1,(12-MONTH(E72)+1)/12))) + (R72)*(IF((YEAR(D72)+12)&lt;YEAR(E72),0,IF((YEAR(D72)+12)&gt;YEAR(E72),1,(12-MONTH(E72)+1)/12))))-(IF(OR(N72="",N72&lt;=0),0,(O72/N72)*(IF(OR(N72="",N72&lt;=0),0,IF((YEAR(D72)+12)&lt;YEAR(E72),0,IF((YEAR(D72)+12)&gt;=YEAR(E72)+N72,0,IF((YEAR(D72)+12)=YEAR(E72),(12-MONTH(E72)+1)/12,1))))))))&gt;0,(((K72)*(IF(M72="",L72,IFERROR(IF(INDEX(Variablen!$I:$AT, MATCH(M72, Variablen!$A:$A, 0), MATCH((YEAR(D72)+12), Variablen!$I$3:$AT$3, 0))="",L72,INDEX(Variablen!$I:$AT, MATCH(M72, Variablen!$A:$A, 0), MATCH((YEAR(D72)+12), Variablen!$I$3:$AT$3, 0))),L72)))*(IF((YEAR(D72)+12)&lt;YEAR(E72),0,IF((YEAR(D72)+12)&gt;YEAR(E72),1,(12-MONTH(E72)+1)/12))) + (Q72)*(IF((YEAR(D72)+12)&lt;YEAR(E72),0,IF((YEAR(D72)+12)&gt;YEAR(E72),1,(12-MONTH(E72)+1)/12))))-((P72)*(IF((YEAR(D72)+12)&lt;YEAR(E72),0,IF((YEAR(D72)+12)&gt;YEAR(E72),1,(12-MONTH(E72)+1)/12))) + (R72)*(IF((YEAR(D72)+12)&lt;YEAR(E72),0,IF((YEAR(D72)+12)&gt;YEAR(E72),1,(12-MONTH(E72)+1)/12))))-(IF(OR(N72="",N72&lt;=0),0,(O72/N72)*(IF(OR(N72="",N72&lt;=0),0,IF((YEAR(D72)+12)&lt;YEAR(E72),0,IF((YEAR(D72)+12)&gt;=YEAR(E72)+N72,0,IF((YEAR(D72)+12)=YEAR(E72),(12-MONTH(E72)+1)/12,1))))))))*TaxRate,0))-IF(12=0,O72,0))</f>
        <v/>
      </c>
      <c r="AF72" s="29">
        <f>IF(A72="","",((K72)*(IF(M72="",L72,IFERROR(IF(INDEX(Variablen!$I:$AT, MATCH(M72, Variablen!$A:$A, 0), MATCH((YEAR(D72)+13), Variablen!$I$3:$AT$3, 0))="",L72,INDEX(Variablen!$I:$AT, MATCH(M72, Variablen!$A:$A, 0), MATCH((YEAR(D72)+13), Variablen!$I$3:$AT$3, 0))),L72)))*(IF((YEAR(D72)+13)&lt;YEAR(E72),0,IF((YEAR(D72)+13)&gt;YEAR(E72),1,(12-MONTH(E72)+1)/12))) + (Q72)*(IF((YEAR(D72)+13)&lt;YEAR(E72),0,IF((YEAR(D72)+13)&gt;YEAR(E72),1,(12-MONTH(E72)+1)/12))))-((P72)*(IF((YEAR(D72)+13)&lt;YEAR(E72),0,IF((YEAR(D72)+13)&gt;YEAR(E72),1,(12-MONTH(E72)+1)/12))) + (R72)*(IF((YEAR(D72)+13)&lt;YEAR(E72),0,IF((YEAR(D72)+13)&gt;YEAR(E72),1,(12-MONTH(E72)+1)/12))))-(IF((((K72)*(IF(M72="",L72,IFERROR(IF(INDEX(Variablen!$I:$AT, MATCH(M72, Variablen!$A:$A, 0), MATCH((YEAR(D72)+13), Variablen!$I$3:$AT$3, 0))="",L72,INDEX(Variablen!$I:$AT, MATCH(M72, Variablen!$A:$A, 0), MATCH((YEAR(D72)+13), Variablen!$I$3:$AT$3, 0))),L72)))*(IF((YEAR(D72)+13)&lt;YEAR(E72),0,IF((YEAR(D72)+13)&gt;YEAR(E72),1,(12-MONTH(E72)+1)/12))) + (Q72)*(IF((YEAR(D72)+13)&lt;YEAR(E72),0,IF((YEAR(D72)+13)&gt;YEAR(E72),1,(12-MONTH(E72)+1)/12))))-((P72)*(IF((YEAR(D72)+13)&lt;YEAR(E72),0,IF((YEAR(D72)+13)&gt;YEAR(E72),1,(12-MONTH(E72)+1)/12))) + (R72)*(IF((YEAR(D72)+13)&lt;YEAR(E72),0,IF((YEAR(D72)+13)&gt;YEAR(E72),1,(12-MONTH(E72)+1)/12))))-(IF(OR(N72="",N72&lt;=0),0,(O72/N72)*(IF(OR(N72="",N72&lt;=0),0,IF((YEAR(D72)+13)&lt;YEAR(E72),0,IF((YEAR(D72)+13)&gt;=YEAR(E72)+N72,0,IF((YEAR(D72)+13)=YEAR(E72),(12-MONTH(E72)+1)/12,1))))))))&gt;0,(((K72)*(IF(M72="",L72,IFERROR(IF(INDEX(Variablen!$I:$AT, MATCH(M72, Variablen!$A:$A, 0), MATCH((YEAR(D72)+13), Variablen!$I$3:$AT$3, 0))="",L72,INDEX(Variablen!$I:$AT, MATCH(M72, Variablen!$A:$A, 0), MATCH((YEAR(D72)+13), Variablen!$I$3:$AT$3, 0))),L72)))*(IF((YEAR(D72)+13)&lt;YEAR(E72),0,IF((YEAR(D72)+13)&gt;YEAR(E72),1,(12-MONTH(E72)+1)/12))) + (Q72)*(IF((YEAR(D72)+13)&lt;YEAR(E72),0,IF((YEAR(D72)+13)&gt;YEAR(E72),1,(12-MONTH(E72)+1)/12))))-((P72)*(IF((YEAR(D72)+13)&lt;YEAR(E72),0,IF((YEAR(D72)+13)&gt;YEAR(E72),1,(12-MONTH(E72)+1)/12))) + (R72)*(IF((YEAR(D72)+13)&lt;YEAR(E72),0,IF((YEAR(D72)+13)&gt;YEAR(E72),1,(12-MONTH(E72)+1)/12))))-(IF(OR(N72="",N72&lt;=0),0,(O72/N72)*(IF(OR(N72="",N72&lt;=0),0,IF((YEAR(D72)+13)&lt;YEAR(E72),0,IF((YEAR(D72)+13)&gt;=YEAR(E72)+N72,0,IF((YEAR(D72)+13)=YEAR(E72),(12-MONTH(E72)+1)/12,1))))))))*TaxRate,0))-IF(13=0,O72,0))</f>
        <v/>
      </c>
      <c r="AG72" s="29">
        <f>IF(A72="","",((K72)*(IF(M72="",L72,IFERROR(IF(INDEX(Variablen!$I:$AT, MATCH(M72, Variablen!$A:$A, 0), MATCH((YEAR(D72)+14), Variablen!$I$3:$AT$3, 0))="",L72,INDEX(Variablen!$I:$AT, MATCH(M72, Variablen!$A:$A, 0), MATCH((YEAR(D72)+14), Variablen!$I$3:$AT$3, 0))),L72)))*(IF((YEAR(D72)+14)&lt;YEAR(E72),0,IF((YEAR(D72)+14)&gt;YEAR(E72),1,(12-MONTH(E72)+1)/12))) + (Q72)*(IF((YEAR(D72)+14)&lt;YEAR(E72),0,IF((YEAR(D72)+14)&gt;YEAR(E72),1,(12-MONTH(E72)+1)/12))))-((P72)*(IF((YEAR(D72)+14)&lt;YEAR(E72),0,IF((YEAR(D72)+14)&gt;YEAR(E72),1,(12-MONTH(E72)+1)/12))) + (R72)*(IF((YEAR(D72)+14)&lt;YEAR(E72),0,IF((YEAR(D72)+14)&gt;YEAR(E72),1,(12-MONTH(E72)+1)/12))))-(IF((((K72)*(IF(M72="",L72,IFERROR(IF(INDEX(Variablen!$I:$AT, MATCH(M72, Variablen!$A:$A, 0), MATCH((YEAR(D72)+14), Variablen!$I$3:$AT$3, 0))="",L72,INDEX(Variablen!$I:$AT, MATCH(M72, Variablen!$A:$A, 0), MATCH((YEAR(D72)+14), Variablen!$I$3:$AT$3, 0))),L72)))*(IF((YEAR(D72)+14)&lt;YEAR(E72),0,IF((YEAR(D72)+14)&gt;YEAR(E72),1,(12-MONTH(E72)+1)/12))) + (Q72)*(IF((YEAR(D72)+14)&lt;YEAR(E72),0,IF((YEAR(D72)+14)&gt;YEAR(E72),1,(12-MONTH(E72)+1)/12))))-((P72)*(IF((YEAR(D72)+14)&lt;YEAR(E72),0,IF((YEAR(D72)+14)&gt;YEAR(E72),1,(12-MONTH(E72)+1)/12))) + (R72)*(IF((YEAR(D72)+14)&lt;YEAR(E72),0,IF((YEAR(D72)+14)&gt;YEAR(E72),1,(12-MONTH(E72)+1)/12))))-(IF(OR(N72="",N72&lt;=0),0,(O72/N72)*(IF(OR(N72="",N72&lt;=0),0,IF((YEAR(D72)+14)&lt;YEAR(E72),0,IF((YEAR(D72)+14)&gt;=YEAR(E72)+N72,0,IF((YEAR(D72)+14)=YEAR(E72),(12-MONTH(E72)+1)/12,1))))))))&gt;0,(((K72)*(IF(M72="",L72,IFERROR(IF(INDEX(Variablen!$I:$AT, MATCH(M72, Variablen!$A:$A, 0), MATCH((YEAR(D72)+14), Variablen!$I$3:$AT$3, 0))="",L72,INDEX(Variablen!$I:$AT, MATCH(M72, Variablen!$A:$A, 0), MATCH((YEAR(D72)+14), Variablen!$I$3:$AT$3, 0))),L72)))*(IF((YEAR(D72)+14)&lt;YEAR(E72),0,IF((YEAR(D72)+14)&gt;YEAR(E72),1,(12-MONTH(E72)+1)/12))) + (Q72)*(IF((YEAR(D72)+14)&lt;YEAR(E72),0,IF((YEAR(D72)+14)&gt;YEAR(E72),1,(12-MONTH(E72)+1)/12))))-((P72)*(IF((YEAR(D72)+14)&lt;YEAR(E72),0,IF((YEAR(D72)+14)&gt;YEAR(E72),1,(12-MONTH(E72)+1)/12))) + (R72)*(IF((YEAR(D72)+14)&lt;YEAR(E72),0,IF((YEAR(D72)+14)&gt;YEAR(E72),1,(12-MONTH(E72)+1)/12))))-(IF(OR(N72="",N72&lt;=0),0,(O72/N72)*(IF(OR(N72="",N72&lt;=0),0,IF((YEAR(D72)+14)&lt;YEAR(E72),0,IF((YEAR(D72)+14)&gt;=YEAR(E72)+N72,0,IF((YEAR(D72)+14)=YEAR(E72),(12-MONTH(E72)+1)/12,1))))))))*TaxRate,0))-IF(14=0,O72,0))</f>
        <v/>
      </c>
      <c r="AH72" s="29">
        <f>IF(A72="","",((K72)*(IF(M72="",L72,IFERROR(IF(INDEX(Variablen!$I:$AT, MATCH(M72, Variablen!$A:$A, 0), MATCH((YEAR(D72)+15), Variablen!$I$3:$AT$3, 0))="",L72,INDEX(Variablen!$I:$AT, MATCH(M72, Variablen!$A:$A, 0), MATCH((YEAR(D72)+15), Variablen!$I$3:$AT$3, 0))),L72)))*(IF((YEAR(D72)+15)&lt;YEAR(E72),0,IF((YEAR(D72)+15)&gt;YEAR(E72),1,(12-MONTH(E72)+1)/12))) + (Q72)*(IF((YEAR(D72)+15)&lt;YEAR(E72),0,IF((YEAR(D72)+15)&gt;YEAR(E72),1,(12-MONTH(E72)+1)/12))))-((P72)*(IF((YEAR(D72)+15)&lt;YEAR(E72),0,IF((YEAR(D72)+15)&gt;YEAR(E72),1,(12-MONTH(E72)+1)/12))) + (R72)*(IF((YEAR(D72)+15)&lt;YEAR(E72),0,IF((YEAR(D72)+15)&gt;YEAR(E72),1,(12-MONTH(E72)+1)/12))))-(IF((((K72)*(IF(M72="",L72,IFERROR(IF(INDEX(Variablen!$I:$AT, MATCH(M72, Variablen!$A:$A, 0), MATCH((YEAR(D72)+15), Variablen!$I$3:$AT$3, 0))="",L72,INDEX(Variablen!$I:$AT, MATCH(M72, Variablen!$A:$A, 0), MATCH((YEAR(D72)+15), Variablen!$I$3:$AT$3, 0))),L72)))*(IF((YEAR(D72)+15)&lt;YEAR(E72),0,IF((YEAR(D72)+15)&gt;YEAR(E72),1,(12-MONTH(E72)+1)/12))) + (Q72)*(IF((YEAR(D72)+15)&lt;YEAR(E72),0,IF((YEAR(D72)+15)&gt;YEAR(E72),1,(12-MONTH(E72)+1)/12))))-((P72)*(IF((YEAR(D72)+15)&lt;YEAR(E72),0,IF((YEAR(D72)+15)&gt;YEAR(E72),1,(12-MONTH(E72)+1)/12))) + (R72)*(IF((YEAR(D72)+15)&lt;YEAR(E72),0,IF((YEAR(D72)+15)&gt;YEAR(E72),1,(12-MONTH(E72)+1)/12))))-(IF(OR(N72="",N72&lt;=0),0,(O72/N72)*(IF(OR(N72="",N72&lt;=0),0,IF((YEAR(D72)+15)&lt;YEAR(E72),0,IF((YEAR(D72)+15)&gt;=YEAR(E72)+N72,0,IF((YEAR(D72)+15)=YEAR(E72),(12-MONTH(E72)+1)/12,1))))))))&gt;0,(((K72)*(IF(M72="",L72,IFERROR(IF(INDEX(Variablen!$I:$AT, MATCH(M72, Variablen!$A:$A, 0), MATCH((YEAR(D72)+15), Variablen!$I$3:$AT$3, 0))="",L72,INDEX(Variablen!$I:$AT, MATCH(M72, Variablen!$A:$A, 0), MATCH((YEAR(D72)+15), Variablen!$I$3:$AT$3, 0))),L72)))*(IF((YEAR(D72)+15)&lt;YEAR(E72),0,IF((YEAR(D72)+15)&gt;YEAR(E72),1,(12-MONTH(E72)+1)/12))) + (Q72)*(IF((YEAR(D72)+15)&lt;YEAR(E72),0,IF((YEAR(D72)+15)&gt;YEAR(E72),1,(12-MONTH(E72)+1)/12))))-((P72)*(IF((YEAR(D72)+15)&lt;YEAR(E72),0,IF((YEAR(D72)+15)&gt;YEAR(E72),1,(12-MONTH(E72)+1)/12))) + (R72)*(IF((YEAR(D72)+15)&lt;YEAR(E72),0,IF((YEAR(D72)+15)&gt;YEAR(E72),1,(12-MONTH(E72)+1)/12))))-(IF(OR(N72="",N72&lt;=0),0,(O72/N72)*(IF(OR(N72="",N72&lt;=0),0,IF((YEAR(D72)+15)&lt;YEAR(E72),0,IF((YEAR(D72)+15)&gt;=YEAR(E72)+N72,0,IF((YEAR(D72)+15)=YEAR(E72),(12-MONTH(E72)+1)/12,1))))))))*TaxRate,0))-IF(15=0,O72,0))</f>
        <v/>
      </c>
      <c r="AI72" s="29">
        <f>IF(A72="","",((K72)*(IF(M72="",L72,IFERROR(IF(INDEX(Variablen!$I:$AT, MATCH(M72, Variablen!$A:$A, 0), MATCH((YEAR(D72)+16), Variablen!$I$3:$AT$3, 0))="",L72,INDEX(Variablen!$I:$AT, MATCH(M72, Variablen!$A:$A, 0), MATCH((YEAR(D72)+16), Variablen!$I$3:$AT$3, 0))),L72)))*(IF((YEAR(D72)+16)&lt;YEAR(E72),0,IF((YEAR(D72)+16)&gt;YEAR(E72),1,(12-MONTH(E72)+1)/12))) + (Q72)*(IF((YEAR(D72)+16)&lt;YEAR(E72),0,IF((YEAR(D72)+16)&gt;YEAR(E72),1,(12-MONTH(E72)+1)/12))))-((P72)*(IF((YEAR(D72)+16)&lt;YEAR(E72),0,IF((YEAR(D72)+16)&gt;YEAR(E72),1,(12-MONTH(E72)+1)/12))) + (R72)*(IF((YEAR(D72)+16)&lt;YEAR(E72),0,IF((YEAR(D72)+16)&gt;YEAR(E72),1,(12-MONTH(E72)+1)/12))))-(IF((((K72)*(IF(M72="",L72,IFERROR(IF(INDEX(Variablen!$I:$AT, MATCH(M72, Variablen!$A:$A, 0), MATCH((YEAR(D72)+16), Variablen!$I$3:$AT$3, 0))="",L72,INDEX(Variablen!$I:$AT, MATCH(M72, Variablen!$A:$A, 0), MATCH((YEAR(D72)+16), Variablen!$I$3:$AT$3, 0))),L72)))*(IF((YEAR(D72)+16)&lt;YEAR(E72),0,IF((YEAR(D72)+16)&gt;YEAR(E72),1,(12-MONTH(E72)+1)/12))) + (Q72)*(IF((YEAR(D72)+16)&lt;YEAR(E72),0,IF((YEAR(D72)+16)&gt;YEAR(E72),1,(12-MONTH(E72)+1)/12))))-((P72)*(IF((YEAR(D72)+16)&lt;YEAR(E72),0,IF((YEAR(D72)+16)&gt;YEAR(E72),1,(12-MONTH(E72)+1)/12))) + (R72)*(IF((YEAR(D72)+16)&lt;YEAR(E72),0,IF((YEAR(D72)+16)&gt;YEAR(E72),1,(12-MONTH(E72)+1)/12))))-(IF(OR(N72="",N72&lt;=0),0,(O72/N72)*(IF(OR(N72="",N72&lt;=0),0,IF((YEAR(D72)+16)&lt;YEAR(E72),0,IF((YEAR(D72)+16)&gt;=YEAR(E72)+N72,0,IF((YEAR(D72)+16)=YEAR(E72),(12-MONTH(E72)+1)/12,1))))))))&gt;0,(((K72)*(IF(M72="",L72,IFERROR(IF(INDEX(Variablen!$I:$AT, MATCH(M72, Variablen!$A:$A, 0), MATCH((YEAR(D72)+16), Variablen!$I$3:$AT$3, 0))="",L72,INDEX(Variablen!$I:$AT, MATCH(M72, Variablen!$A:$A, 0), MATCH((YEAR(D72)+16), Variablen!$I$3:$AT$3, 0))),L72)))*(IF((YEAR(D72)+16)&lt;YEAR(E72),0,IF((YEAR(D72)+16)&gt;YEAR(E72),1,(12-MONTH(E72)+1)/12))) + (Q72)*(IF((YEAR(D72)+16)&lt;YEAR(E72),0,IF((YEAR(D72)+16)&gt;YEAR(E72),1,(12-MONTH(E72)+1)/12))))-((P72)*(IF((YEAR(D72)+16)&lt;YEAR(E72),0,IF((YEAR(D72)+16)&gt;YEAR(E72),1,(12-MONTH(E72)+1)/12))) + (R72)*(IF((YEAR(D72)+16)&lt;YEAR(E72),0,IF((YEAR(D72)+16)&gt;YEAR(E72),1,(12-MONTH(E72)+1)/12))))-(IF(OR(N72="",N72&lt;=0),0,(O72/N72)*(IF(OR(N72="",N72&lt;=0),0,IF((YEAR(D72)+16)&lt;YEAR(E72),0,IF((YEAR(D72)+16)&gt;=YEAR(E72)+N72,0,IF((YEAR(D72)+16)=YEAR(E72),(12-MONTH(E72)+1)/12,1))))))))*TaxRate,0))-IF(16=0,O72,0))</f>
        <v/>
      </c>
      <c r="AJ72" s="29">
        <f>IF(A72="","",((K72)*(IF(M72="",L72,IFERROR(IF(INDEX(Variablen!$I:$AT, MATCH(M72, Variablen!$A:$A, 0), MATCH((YEAR(D72)+17), Variablen!$I$3:$AT$3, 0))="",L72,INDEX(Variablen!$I:$AT, MATCH(M72, Variablen!$A:$A, 0), MATCH((YEAR(D72)+17), Variablen!$I$3:$AT$3, 0))),L72)))*(IF((YEAR(D72)+17)&lt;YEAR(E72),0,IF((YEAR(D72)+17)&gt;YEAR(E72),1,(12-MONTH(E72)+1)/12))) + (Q72)*(IF((YEAR(D72)+17)&lt;YEAR(E72),0,IF((YEAR(D72)+17)&gt;YEAR(E72),1,(12-MONTH(E72)+1)/12))))-((P72)*(IF((YEAR(D72)+17)&lt;YEAR(E72),0,IF((YEAR(D72)+17)&gt;YEAR(E72),1,(12-MONTH(E72)+1)/12))) + (R72)*(IF((YEAR(D72)+17)&lt;YEAR(E72),0,IF((YEAR(D72)+17)&gt;YEAR(E72),1,(12-MONTH(E72)+1)/12))))-(IF((((K72)*(IF(M72="",L72,IFERROR(IF(INDEX(Variablen!$I:$AT, MATCH(M72, Variablen!$A:$A, 0), MATCH((YEAR(D72)+17), Variablen!$I$3:$AT$3, 0))="",L72,INDEX(Variablen!$I:$AT, MATCH(M72, Variablen!$A:$A, 0), MATCH((YEAR(D72)+17), Variablen!$I$3:$AT$3, 0))),L72)))*(IF((YEAR(D72)+17)&lt;YEAR(E72),0,IF((YEAR(D72)+17)&gt;YEAR(E72),1,(12-MONTH(E72)+1)/12))) + (Q72)*(IF((YEAR(D72)+17)&lt;YEAR(E72),0,IF((YEAR(D72)+17)&gt;YEAR(E72),1,(12-MONTH(E72)+1)/12))))-((P72)*(IF((YEAR(D72)+17)&lt;YEAR(E72),0,IF((YEAR(D72)+17)&gt;YEAR(E72),1,(12-MONTH(E72)+1)/12))) + (R72)*(IF((YEAR(D72)+17)&lt;YEAR(E72),0,IF((YEAR(D72)+17)&gt;YEAR(E72),1,(12-MONTH(E72)+1)/12))))-(IF(OR(N72="",N72&lt;=0),0,(O72/N72)*(IF(OR(N72="",N72&lt;=0),0,IF((YEAR(D72)+17)&lt;YEAR(E72),0,IF((YEAR(D72)+17)&gt;=YEAR(E72)+N72,0,IF((YEAR(D72)+17)=YEAR(E72),(12-MONTH(E72)+1)/12,1))))))))&gt;0,(((K72)*(IF(M72="",L72,IFERROR(IF(INDEX(Variablen!$I:$AT, MATCH(M72, Variablen!$A:$A, 0), MATCH((YEAR(D72)+17), Variablen!$I$3:$AT$3, 0))="",L72,INDEX(Variablen!$I:$AT, MATCH(M72, Variablen!$A:$A, 0), MATCH((YEAR(D72)+17), Variablen!$I$3:$AT$3, 0))),L72)))*(IF((YEAR(D72)+17)&lt;YEAR(E72),0,IF((YEAR(D72)+17)&gt;YEAR(E72),1,(12-MONTH(E72)+1)/12))) + (Q72)*(IF((YEAR(D72)+17)&lt;YEAR(E72),0,IF((YEAR(D72)+17)&gt;YEAR(E72),1,(12-MONTH(E72)+1)/12))))-((P72)*(IF((YEAR(D72)+17)&lt;YEAR(E72),0,IF((YEAR(D72)+17)&gt;YEAR(E72),1,(12-MONTH(E72)+1)/12))) + (R72)*(IF((YEAR(D72)+17)&lt;YEAR(E72),0,IF((YEAR(D72)+17)&gt;YEAR(E72),1,(12-MONTH(E72)+1)/12))))-(IF(OR(N72="",N72&lt;=0),0,(O72/N72)*(IF(OR(N72="",N72&lt;=0),0,IF((YEAR(D72)+17)&lt;YEAR(E72),0,IF((YEAR(D72)+17)&gt;=YEAR(E72)+N72,0,IF((YEAR(D72)+17)=YEAR(E72),(12-MONTH(E72)+1)/12,1))))))))*TaxRate,0))-IF(17=0,O72,0))</f>
        <v/>
      </c>
      <c r="AK72" s="29">
        <f>IF(A72="","",((K72)*(IF(M72="",L72,IFERROR(IF(INDEX(Variablen!$I:$AT, MATCH(M72, Variablen!$A:$A, 0), MATCH((YEAR(D72)+18), Variablen!$I$3:$AT$3, 0))="",L72,INDEX(Variablen!$I:$AT, MATCH(M72, Variablen!$A:$A, 0), MATCH((YEAR(D72)+18), Variablen!$I$3:$AT$3, 0))),L72)))*(IF((YEAR(D72)+18)&lt;YEAR(E72),0,IF((YEAR(D72)+18)&gt;YEAR(E72),1,(12-MONTH(E72)+1)/12))) + (Q72)*(IF((YEAR(D72)+18)&lt;YEAR(E72),0,IF((YEAR(D72)+18)&gt;YEAR(E72),1,(12-MONTH(E72)+1)/12))))-((P72)*(IF((YEAR(D72)+18)&lt;YEAR(E72),0,IF((YEAR(D72)+18)&gt;YEAR(E72),1,(12-MONTH(E72)+1)/12))) + (R72)*(IF((YEAR(D72)+18)&lt;YEAR(E72),0,IF((YEAR(D72)+18)&gt;YEAR(E72),1,(12-MONTH(E72)+1)/12))))-(IF((((K72)*(IF(M72="",L72,IFERROR(IF(INDEX(Variablen!$I:$AT, MATCH(M72, Variablen!$A:$A, 0), MATCH((YEAR(D72)+18), Variablen!$I$3:$AT$3, 0))="",L72,INDEX(Variablen!$I:$AT, MATCH(M72, Variablen!$A:$A, 0), MATCH((YEAR(D72)+18), Variablen!$I$3:$AT$3, 0))),L72)))*(IF((YEAR(D72)+18)&lt;YEAR(E72),0,IF((YEAR(D72)+18)&gt;YEAR(E72),1,(12-MONTH(E72)+1)/12))) + (Q72)*(IF((YEAR(D72)+18)&lt;YEAR(E72),0,IF((YEAR(D72)+18)&gt;YEAR(E72),1,(12-MONTH(E72)+1)/12))))-((P72)*(IF((YEAR(D72)+18)&lt;YEAR(E72),0,IF((YEAR(D72)+18)&gt;YEAR(E72),1,(12-MONTH(E72)+1)/12))) + (R72)*(IF((YEAR(D72)+18)&lt;YEAR(E72),0,IF((YEAR(D72)+18)&gt;YEAR(E72),1,(12-MONTH(E72)+1)/12))))-(IF(OR(N72="",N72&lt;=0),0,(O72/N72)*(IF(OR(N72="",N72&lt;=0),0,IF((YEAR(D72)+18)&lt;YEAR(E72),0,IF((YEAR(D72)+18)&gt;=YEAR(E72)+N72,0,IF((YEAR(D72)+18)=YEAR(E72),(12-MONTH(E72)+1)/12,1))))))))&gt;0,(((K72)*(IF(M72="",L72,IFERROR(IF(INDEX(Variablen!$I:$AT, MATCH(M72, Variablen!$A:$A, 0), MATCH((YEAR(D72)+18), Variablen!$I$3:$AT$3, 0))="",L72,INDEX(Variablen!$I:$AT, MATCH(M72, Variablen!$A:$A, 0), MATCH((YEAR(D72)+18), Variablen!$I$3:$AT$3, 0))),L72)))*(IF((YEAR(D72)+18)&lt;YEAR(E72),0,IF((YEAR(D72)+18)&gt;YEAR(E72),1,(12-MONTH(E72)+1)/12))) + (Q72)*(IF((YEAR(D72)+18)&lt;YEAR(E72),0,IF((YEAR(D72)+18)&gt;YEAR(E72),1,(12-MONTH(E72)+1)/12))))-((P72)*(IF((YEAR(D72)+18)&lt;YEAR(E72),0,IF((YEAR(D72)+18)&gt;YEAR(E72),1,(12-MONTH(E72)+1)/12))) + (R72)*(IF((YEAR(D72)+18)&lt;YEAR(E72),0,IF((YEAR(D72)+18)&gt;YEAR(E72),1,(12-MONTH(E72)+1)/12))))-(IF(OR(N72="",N72&lt;=0),0,(O72/N72)*(IF(OR(N72="",N72&lt;=0),0,IF((YEAR(D72)+18)&lt;YEAR(E72),0,IF((YEAR(D72)+18)&gt;=YEAR(E72)+N72,0,IF((YEAR(D72)+18)=YEAR(E72),(12-MONTH(E72)+1)/12,1))))))))*TaxRate,0))-IF(18=0,O72,0))</f>
        <v/>
      </c>
      <c r="AL72" s="29">
        <f>IF(A72="","",((K72)*(IF(M72="",L72,IFERROR(IF(INDEX(Variablen!$I:$AT, MATCH(M72, Variablen!$A:$A, 0), MATCH((YEAR(D72)+19), Variablen!$I$3:$AT$3, 0))="",L72,INDEX(Variablen!$I:$AT, MATCH(M72, Variablen!$A:$A, 0), MATCH((YEAR(D72)+19), Variablen!$I$3:$AT$3, 0))),L72)))*(IF((YEAR(D72)+19)&lt;YEAR(E72),0,IF((YEAR(D72)+19)&gt;YEAR(E72),1,(12-MONTH(E72)+1)/12))) + (Q72)*(IF((YEAR(D72)+19)&lt;YEAR(E72),0,IF((YEAR(D72)+19)&gt;YEAR(E72),1,(12-MONTH(E72)+1)/12))))-((P72)*(IF((YEAR(D72)+19)&lt;YEAR(E72),0,IF((YEAR(D72)+19)&gt;YEAR(E72),1,(12-MONTH(E72)+1)/12))) + (R72)*(IF((YEAR(D72)+19)&lt;YEAR(E72),0,IF((YEAR(D72)+19)&gt;YEAR(E72),1,(12-MONTH(E72)+1)/12))))-(IF((((K72)*(IF(M72="",L72,IFERROR(IF(INDEX(Variablen!$I:$AT, MATCH(M72, Variablen!$A:$A, 0), MATCH((YEAR(D72)+19), Variablen!$I$3:$AT$3, 0))="",L72,INDEX(Variablen!$I:$AT, MATCH(M72, Variablen!$A:$A, 0), MATCH((YEAR(D72)+19), Variablen!$I$3:$AT$3, 0))),L72)))*(IF((YEAR(D72)+19)&lt;YEAR(E72),0,IF((YEAR(D72)+19)&gt;YEAR(E72),1,(12-MONTH(E72)+1)/12))) + (Q72)*(IF((YEAR(D72)+19)&lt;YEAR(E72),0,IF((YEAR(D72)+19)&gt;YEAR(E72),1,(12-MONTH(E72)+1)/12))))-((P72)*(IF((YEAR(D72)+19)&lt;YEAR(E72),0,IF((YEAR(D72)+19)&gt;YEAR(E72),1,(12-MONTH(E72)+1)/12))) + (R72)*(IF((YEAR(D72)+19)&lt;YEAR(E72),0,IF((YEAR(D72)+19)&gt;YEAR(E72),1,(12-MONTH(E72)+1)/12))))-(IF(OR(N72="",N72&lt;=0),0,(O72/N72)*(IF(OR(N72="",N72&lt;=0),0,IF((YEAR(D72)+19)&lt;YEAR(E72),0,IF((YEAR(D72)+19)&gt;=YEAR(E72)+N72,0,IF((YEAR(D72)+19)=YEAR(E72),(12-MONTH(E72)+1)/12,1))))))))&gt;0,(((K72)*(IF(M72="",L72,IFERROR(IF(INDEX(Variablen!$I:$AT, MATCH(M72, Variablen!$A:$A, 0), MATCH((YEAR(D72)+19), Variablen!$I$3:$AT$3, 0))="",L72,INDEX(Variablen!$I:$AT, MATCH(M72, Variablen!$A:$A, 0), MATCH((YEAR(D72)+19), Variablen!$I$3:$AT$3, 0))),L72)))*(IF((YEAR(D72)+19)&lt;YEAR(E72),0,IF((YEAR(D72)+19)&gt;YEAR(E72),1,(12-MONTH(E72)+1)/12))) + (Q72)*(IF((YEAR(D72)+19)&lt;YEAR(E72),0,IF((YEAR(D72)+19)&gt;YEAR(E72),1,(12-MONTH(E72)+1)/12))))-((P72)*(IF((YEAR(D72)+19)&lt;YEAR(E72),0,IF((YEAR(D72)+19)&gt;YEAR(E72),1,(12-MONTH(E72)+1)/12))) + (R72)*(IF((YEAR(D72)+19)&lt;YEAR(E72),0,IF((YEAR(D72)+19)&gt;YEAR(E72),1,(12-MONTH(E72)+1)/12))))-(IF(OR(N72="",N72&lt;=0),0,(O72/N72)*(IF(OR(N72="",N72&lt;=0),0,IF((YEAR(D72)+19)&lt;YEAR(E72),0,IF((YEAR(D72)+19)&gt;=YEAR(E72)+N72,0,IF((YEAR(D72)+19)=YEAR(E72),(12-MONTH(E72)+1)/12,1))))))))*TaxRate,0))-IF(19=0,O72,0))</f>
        <v/>
      </c>
      <c r="AM72" s="29">
        <f>IF(A72="","",((K72)*(IF(M72="",L72,IFERROR(IF(INDEX(Variablen!$I:$AT, MATCH(M72, Variablen!$A:$A, 0), MATCH((YEAR(D72)+20), Variablen!$I$3:$AT$3, 0))="",L72,INDEX(Variablen!$I:$AT, MATCH(M72, Variablen!$A:$A, 0), MATCH((YEAR(D72)+20), Variablen!$I$3:$AT$3, 0))),L72)))*(IF((YEAR(D72)+20)&lt;YEAR(E72),0,IF((YEAR(D72)+20)&gt;YEAR(E72),1,(12-MONTH(E72)+1)/12))) + (Q72)*(IF((YEAR(D72)+20)&lt;YEAR(E72),0,IF((YEAR(D72)+20)&gt;YEAR(E72),1,(12-MONTH(E72)+1)/12))))-((P72)*(IF((YEAR(D72)+20)&lt;YEAR(E72),0,IF((YEAR(D72)+20)&gt;YEAR(E72),1,(12-MONTH(E72)+1)/12))) + (R72)*(IF((YEAR(D72)+20)&lt;YEAR(E72),0,IF((YEAR(D72)+20)&gt;YEAR(E72),1,(12-MONTH(E72)+1)/12))))-(IF((((K72)*(IF(M72="",L72,IFERROR(IF(INDEX(Variablen!$I:$AT, MATCH(M72, Variablen!$A:$A, 0), MATCH((YEAR(D72)+20), Variablen!$I$3:$AT$3, 0))="",L72,INDEX(Variablen!$I:$AT, MATCH(M72, Variablen!$A:$A, 0), MATCH((YEAR(D72)+20), Variablen!$I$3:$AT$3, 0))),L72)))*(IF((YEAR(D72)+20)&lt;YEAR(E72),0,IF((YEAR(D72)+20)&gt;YEAR(E72),1,(12-MONTH(E72)+1)/12))) + (Q72)*(IF((YEAR(D72)+20)&lt;YEAR(E72),0,IF((YEAR(D72)+20)&gt;YEAR(E72),1,(12-MONTH(E72)+1)/12))))-((P72)*(IF((YEAR(D72)+20)&lt;YEAR(E72),0,IF((YEAR(D72)+20)&gt;YEAR(E72),1,(12-MONTH(E72)+1)/12))) + (R72)*(IF((YEAR(D72)+20)&lt;YEAR(E72),0,IF((YEAR(D72)+20)&gt;YEAR(E72),1,(12-MONTH(E72)+1)/12))))-(IF(OR(N72="",N72&lt;=0),0,(O72/N72)*(IF(OR(N72="",N72&lt;=0),0,IF((YEAR(D72)+20)&lt;YEAR(E72),0,IF((YEAR(D72)+20)&gt;=YEAR(E72)+N72,0,IF((YEAR(D72)+20)=YEAR(E72),(12-MONTH(E72)+1)/12,1))))))))&gt;0,(((K72)*(IF(M72="",L72,IFERROR(IF(INDEX(Variablen!$I:$AT, MATCH(M72, Variablen!$A:$A, 0), MATCH((YEAR(D72)+20), Variablen!$I$3:$AT$3, 0))="",L72,INDEX(Variablen!$I:$AT, MATCH(M72, Variablen!$A:$A, 0), MATCH((YEAR(D72)+20), Variablen!$I$3:$AT$3, 0))),L72)))*(IF((YEAR(D72)+20)&lt;YEAR(E72),0,IF((YEAR(D72)+20)&gt;YEAR(E72),1,(12-MONTH(E72)+1)/12))) + (Q72)*(IF((YEAR(D72)+20)&lt;YEAR(E72),0,IF((YEAR(D72)+20)&gt;YEAR(E72),1,(12-MONTH(E72)+1)/12))))-((P72)*(IF((YEAR(D72)+20)&lt;YEAR(E72),0,IF((YEAR(D72)+20)&gt;YEAR(E72),1,(12-MONTH(E72)+1)/12))) + (R72)*(IF((YEAR(D72)+20)&lt;YEAR(E72),0,IF((YEAR(D72)+20)&gt;YEAR(E72),1,(12-MONTH(E72)+1)/12))))-(IF(OR(N72="",N72&lt;=0),0,(O72/N72)*(IF(OR(N72="",N72&lt;=0),0,IF((YEAR(D72)+20)&lt;YEAR(E72),0,IF((YEAR(D72)+20)&gt;=YEAR(E72)+N72,0,IF((YEAR(D72)+20)=YEAR(E72),(12-MONTH(E72)+1)/12,1))))))))*TaxRate,0))-IF(20=0,O72,0))</f>
        <v/>
      </c>
      <c r="AN72" s="29">
        <f>IF(A72="","",S72)</f>
        <v/>
      </c>
      <c r="AO72" s="29">
        <f>IF(A72="","",AN72+T72)</f>
        <v/>
      </c>
      <c r="AP72" s="29">
        <f>IF(A72="","",AO72+U72)</f>
        <v/>
      </c>
      <c r="AQ72" s="29">
        <f>IF(A72="","",AP72+V72)</f>
        <v/>
      </c>
      <c r="AR72" s="29">
        <f>IF(A72="","",AQ72+W72)</f>
        <v/>
      </c>
      <c r="AS72" s="29">
        <f>IF(A72="","",AR72+X72)</f>
        <v/>
      </c>
      <c r="AT72" s="29">
        <f>IF(A72="","",AS72+Y72)</f>
        <v/>
      </c>
      <c r="AU72" s="29">
        <f>IF(A72="","",AT72+Z72)</f>
        <v/>
      </c>
      <c r="AV72" s="29">
        <f>IF(A72="","",AU72+AA72)</f>
        <v/>
      </c>
      <c r="AW72" s="29">
        <f>IF(A72="","",AV72+AB72)</f>
        <v/>
      </c>
      <c r="AX72" s="29">
        <f>IF(A72="","",AW72+AC72)</f>
        <v/>
      </c>
      <c r="AY72" s="29">
        <f>IF(A72="","",AX72+AD72)</f>
        <v/>
      </c>
      <c r="AZ72" s="29">
        <f>IF(A72="","",AY72+AE72)</f>
        <v/>
      </c>
      <c r="BA72" s="29">
        <f>IF(A72="","",AZ72+AF72)</f>
        <v/>
      </c>
      <c r="BB72" s="29">
        <f>IF(A72="","",BA72+AG72)</f>
        <v/>
      </c>
      <c r="BC72" s="29">
        <f>IF(A72="","",BB72+AH72)</f>
        <v/>
      </c>
      <c r="BD72" s="29">
        <f>IF(A72="","",BC72+AI72)</f>
        <v/>
      </c>
      <c r="BE72" s="29">
        <f>IF(A72="","",BD72+AJ72)</f>
        <v/>
      </c>
      <c r="BF72" s="29">
        <f>IF(A72="","",BE72+AK72)</f>
        <v/>
      </c>
      <c r="BG72" s="29">
        <f>IF(A72="","",BF72+AL72)</f>
        <v/>
      </c>
      <c r="BH72" s="29">
        <f>IF(A72="","",BG72+AM72)</f>
        <v/>
      </c>
      <c r="BI72" s="36">
        <f>IF(A72="","",(K72)*(IF((YEAR(D72)+0)&lt;YEAR(E72),0,IF((YEAR(D72)+0)&gt;YEAR(E72),1,(12-MONTH(E72)+1)/12)))*(1/(1+DiscountRate)^0))</f>
        <v/>
      </c>
      <c r="BJ72" s="36">
        <f>IF(A72="","",(K72)*(IF((YEAR(D72)+1)&lt;YEAR(E72),0,IF((YEAR(D72)+1)&gt;YEAR(E72),1,(12-MONTH(E72)+1)/12)))*(1/(1+DiscountRate)^1))</f>
        <v/>
      </c>
      <c r="BK72" s="36">
        <f>IF(A72="","",(K72)*(IF((YEAR(D72)+2)&lt;YEAR(E72),0,IF((YEAR(D72)+2)&gt;YEAR(E72),1,(12-MONTH(E72)+1)/12)))*(1/(1+DiscountRate)^2))</f>
        <v/>
      </c>
      <c r="BL72" s="36">
        <f>IF(A72="","",(K72)*(IF((YEAR(D72)+3)&lt;YEAR(E72),0,IF((YEAR(D72)+3)&gt;YEAR(E72),1,(12-MONTH(E72)+1)/12)))*(1/(1+DiscountRate)^3))</f>
        <v/>
      </c>
      <c r="BM72" s="36">
        <f>IF(A72="","",(K72)*(IF((YEAR(D72)+4)&lt;YEAR(E72),0,IF((YEAR(D72)+4)&gt;YEAR(E72),1,(12-MONTH(E72)+1)/12)))*(1/(1+DiscountRate)^4))</f>
        <v/>
      </c>
      <c r="BN72" s="36">
        <f>IF(A72="","",(K72)*(IF((YEAR(D72)+5)&lt;YEAR(E72),0,IF((YEAR(D72)+5)&gt;YEAR(E72),1,(12-MONTH(E72)+1)/12)))*(1/(1+DiscountRate)^5))</f>
        <v/>
      </c>
      <c r="BO72" s="36">
        <f>IF(A72="","",(K72)*(IF((YEAR(D72)+6)&lt;YEAR(E72),0,IF((YEAR(D72)+6)&gt;YEAR(E72),1,(12-MONTH(E72)+1)/12)))*(1/(1+DiscountRate)^6))</f>
        <v/>
      </c>
      <c r="BP72" s="36">
        <f>IF(A72="","",(K72)*(IF((YEAR(D72)+7)&lt;YEAR(E72),0,IF((YEAR(D72)+7)&gt;YEAR(E72),1,(12-MONTH(E72)+1)/12)))*(1/(1+DiscountRate)^7))</f>
        <v/>
      </c>
      <c r="BQ72" s="36">
        <f>IF(A72="","",(K72)*(IF((YEAR(D72)+8)&lt;YEAR(E72),0,IF((YEAR(D72)+8)&gt;YEAR(E72),1,(12-MONTH(E72)+1)/12)))*(1/(1+DiscountRate)^8))</f>
        <v/>
      </c>
      <c r="BR72" s="36">
        <f>IF(A72="","",(K72)*(IF((YEAR(D72)+9)&lt;YEAR(E72),0,IF((YEAR(D72)+9)&gt;YEAR(E72),1,(12-MONTH(E72)+1)/12)))*(1/(1+DiscountRate)^9))</f>
        <v/>
      </c>
      <c r="BS72" s="36">
        <f>IF(A72="","",(K72)*(IF((YEAR(D72)+10)&lt;YEAR(E72),0,IF((YEAR(D72)+10)&gt;YEAR(E72),1,(12-MONTH(E72)+1)/12)))*(1/(1+DiscountRate)^10))</f>
        <v/>
      </c>
      <c r="BT72" s="36">
        <f>IF(A72="","",(K72)*(IF((YEAR(D72)+11)&lt;YEAR(E72),0,IF((YEAR(D72)+11)&gt;YEAR(E72),1,(12-MONTH(E72)+1)/12)))*(1/(1+DiscountRate)^11))</f>
        <v/>
      </c>
      <c r="BU72" s="36">
        <f>IF(A72="","",(K72)*(IF((YEAR(D72)+12)&lt;YEAR(E72),0,IF((YEAR(D72)+12)&gt;YEAR(E72),1,(12-MONTH(E72)+1)/12)))*(1/(1+DiscountRate)^12))</f>
        <v/>
      </c>
      <c r="BV72" s="36">
        <f>IF(A72="","",(K72)*(IF((YEAR(D72)+13)&lt;YEAR(E72),0,IF((YEAR(D72)+13)&gt;YEAR(E72),1,(12-MONTH(E72)+1)/12)))*(1/(1+DiscountRate)^13))</f>
        <v/>
      </c>
      <c r="BW72" s="36">
        <f>IF(A72="","",(K72)*(IF((YEAR(D72)+14)&lt;YEAR(E72),0,IF((YEAR(D72)+14)&gt;YEAR(E72),1,(12-MONTH(E72)+1)/12)))*(1/(1+DiscountRate)^14))</f>
        <v/>
      </c>
      <c r="BX72" s="36">
        <f>IF(A72="","",(K72)*(IF((YEAR(D72)+15)&lt;YEAR(E72),0,IF((YEAR(D72)+15)&gt;YEAR(E72),1,(12-MONTH(E72)+1)/12)))*(1/(1+DiscountRate)^15))</f>
        <v/>
      </c>
      <c r="BY72" s="36">
        <f>IF(A72="","",(K72)*(IF((YEAR(D72)+16)&lt;YEAR(E72),0,IF((YEAR(D72)+16)&gt;YEAR(E72),1,(12-MONTH(E72)+1)/12)))*(1/(1+DiscountRate)^16))</f>
        <v/>
      </c>
      <c r="BZ72" s="36">
        <f>IF(A72="","",(K72)*(IF((YEAR(D72)+17)&lt;YEAR(E72),0,IF((YEAR(D72)+17)&gt;YEAR(E72),1,(12-MONTH(E72)+1)/12)))*(1/(1+DiscountRate)^17))</f>
        <v/>
      </c>
      <c r="CA72" s="36">
        <f>IF(A72="","",(K72)*(IF((YEAR(D72)+18)&lt;YEAR(E72),0,IF((YEAR(D72)+18)&gt;YEAR(E72),1,(12-MONTH(E72)+1)/12)))*(1/(1+DiscountRate)^18))</f>
        <v/>
      </c>
      <c r="CB72" s="36">
        <f>IF(A72="","",(K72)*(IF((YEAR(D72)+19)&lt;YEAR(E72),0,IF((YEAR(D72)+19)&gt;YEAR(E72),1,(12-MONTH(E72)+1)/12)))*(1/(1+DiscountRate)^19))</f>
        <v/>
      </c>
      <c r="CC72" s="36">
        <f>IF(A72="","",(K72)*(IF((YEAR(D72)+20)&lt;YEAR(E72),0,IF((YEAR(D72)+20)&gt;YEAR(E72),1,(12-MONTH(E72)+1)/12)))*(1/(1+DiscountRate)^20))</f>
        <v/>
      </c>
      <c r="CD72" s="29">
        <f>IF(A72="","",S72/(1+DiscountRate)^0+T72/(1+DiscountRate)^1+U72/(1+DiscountRate)^2+V72/(1+DiscountRate)^3+W72/(1+DiscountRate)^4+X72/(1+DiscountRate)^5+Y72/(1+DiscountRate)^6+Z72/(1+DiscountRate)^7+AA72/(1+DiscountRate)^8+AB72/(1+DiscountRate)^9+AC72/(1+DiscountRate)^10+AD72/(1+DiscountRate)^11+AE72/(1+DiscountRate)^12+AF72/(1+DiscountRate)^13+AG72/(1+DiscountRate)^14+AH72/(1+DiscountRate)^15+AI72/(1+DiscountRate)^16+AJ72/(1+DiscountRate)^17+AK72/(1+DiscountRate)^18+AL72/(1+DiscountRate)^19+AM72/(1+DiscountRate)^20)</f>
        <v/>
      </c>
      <c r="CE72" s="37">
        <f>IF(A72="","",IFERROR(IRR(OFFSET(S72,0,0,1,MIN(HorizonYears,20)+1)),"n/a"))</f>
        <v/>
      </c>
      <c r="CF72" s="28">
        <f>IF(A72="","",IFERROR(MATCH(TRUE,OFFSET(AN72,0,0,1,MIN(HorizonYears,20)+1)&gt;=0,0)-1,"n/a"))</f>
        <v/>
      </c>
      <c r="CG72" s="36">
        <f>IF(A72="","",SUM(OFFSET(BI72,0,0,1,MIN(HorizonYears,20)+1)))</f>
        <v/>
      </c>
      <c r="CH72" s="36">
        <f>IF(A72="","",IFERROR(-CD72/CG72,"n/a"))</f>
        <v/>
      </c>
    </row>
    <row r="73">
      <c r="A73" s="6">
        <f>Actions!A71</f>
        <v/>
      </c>
      <c r="B73" s="6">
        <f>Actions!B71</f>
        <v/>
      </c>
      <c r="C73" s="6">
        <f>Actions!D71</f>
        <v/>
      </c>
      <c r="D73" s="35">
        <f>Actions!E71</f>
        <v/>
      </c>
      <c r="E73" s="35">
        <f>Actions!F71</f>
        <v/>
      </c>
      <c r="F73" s="6">
        <f>Actions!G71</f>
        <v/>
      </c>
      <c r="G73" s="6">
        <f>Actions!H71</f>
        <v/>
      </c>
      <c r="H73" s="29">
        <f>Actions!I71</f>
        <v/>
      </c>
      <c r="I73" s="6">
        <f>Actions!J71</f>
        <v/>
      </c>
      <c r="J73" s="16">
        <f>Actions!K71</f>
        <v/>
      </c>
      <c r="K73" s="16">
        <f>IF(A73="","",IF(I73="%",H73*J73,J73))</f>
        <v/>
      </c>
      <c r="L73" s="16">
        <f>Actions!L71</f>
        <v/>
      </c>
      <c r="M73" s="6">
        <f>Actions!M71</f>
        <v/>
      </c>
      <c r="N73" s="28">
        <f>Actions!N71</f>
        <v/>
      </c>
      <c r="O73" s="29">
        <f>Actions!T71</f>
        <v/>
      </c>
      <c r="P73" s="29">
        <f>Actions!Y71</f>
        <v/>
      </c>
      <c r="Q73" s="29">
        <f>Actions!Z71</f>
        <v/>
      </c>
      <c r="R73" s="29">
        <f>Actions!AA71</f>
        <v/>
      </c>
      <c r="S73" s="29">
        <f>IF(A73="","",((K73)*(IF(M73="",L73,IFERROR(IF(INDEX(Variablen!$I:$AT, MATCH(M73, Variablen!$A:$A, 0), MATCH((YEAR(D73)+0), Variablen!$I$3:$AT$3, 0))="",L73,INDEX(Variablen!$I:$AT, MATCH(M73, Variablen!$A:$A, 0), MATCH((YEAR(D73)+0), Variablen!$I$3:$AT$3, 0))),L73)))*(IF((YEAR(D73)+0)&lt;YEAR(E73),0,IF((YEAR(D73)+0)&gt;YEAR(E73),1,(12-MONTH(E73)+1)/12))) + (Q73)*(IF((YEAR(D73)+0)&lt;YEAR(E73),0,IF((YEAR(D73)+0)&gt;YEAR(E73),1,(12-MONTH(E73)+1)/12))))-((P73)*(IF((YEAR(D73)+0)&lt;YEAR(E73),0,IF((YEAR(D73)+0)&gt;YEAR(E73),1,(12-MONTH(E73)+1)/12))) + (R73)*(IF((YEAR(D73)+0)&lt;YEAR(E73),0,IF((YEAR(D73)+0)&gt;YEAR(E73),1,(12-MONTH(E73)+1)/12))))-(IF((((K73)*(IF(M73="",L73,IFERROR(IF(INDEX(Variablen!$I:$AT, MATCH(M73, Variablen!$A:$A, 0), MATCH((YEAR(D73)+0), Variablen!$I$3:$AT$3, 0))="",L73,INDEX(Variablen!$I:$AT, MATCH(M73, Variablen!$A:$A, 0), MATCH((YEAR(D73)+0), Variablen!$I$3:$AT$3, 0))),L73)))*(IF((YEAR(D73)+0)&lt;YEAR(E73),0,IF((YEAR(D73)+0)&gt;YEAR(E73),1,(12-MONTH(E73)+1)/12))) + (Q73)*(IF((YEAR(D73)+0)&lt;YEAR(E73),0,IF((YEAR(D73)+0)&gt;YEAR(E73),1,(12-MONTH(E73)+1)/12))))-((P73)*(IF((YEAR(D73)+0)&lt;YEAR(E73),0,IF((YEAR(D73)+0)&gt;YEAR(E73),1,(12-MONTH(E73)+1)/12))) + (R73)*(IF((YEAR(D73)+0)&lt;YEAR(E73),0,IF((YEAR(D73)+0)&gt;YEAR(E73),1,(12-MONTH(E73)+1)/12))))-(IF(OR(N73="",N73&lt;=0),0,(O73/N73)*(IF(OR(N73="",N73&lt;=0),0,IF((YEAR(D73)+0)&lt;YEAR(E73),0,IF((YEAR(D73)+0)&gt;=YEAR(E73)+N73,0,IF((YEAR(D73)+0)=YEAR(E73),(12-MONTH(E73)+1)/12,1))))))))&gt;0,(((K73)*(IF(M73="",L73,IFERROR(IF(INDEX(Variablen!$I:$AT, MATCH(M73, Variablen!$A:$A, 0), MATCH((YEAR(D73)+0), Variablen!$I$3:$AT$3, 0))="",L73,INDEX(Variablen!$I:$AT, MATCH(M73, Variablen!$A:$A, 0), MATCH((YEAR(D73)+0), Variablen!$I$3:$AT$3, 0))),L73)))*(IF((YEAR(D73)+0)&lt;YEAR(E73),0,IF((YEAR(D73)+0)&gt;YEAR(E73),1,(12-MONTH(E73)+1)/12))) + (Q73)*(IF((YEAR(D73)+0)&lt;YEAR(E73),0,IF((YEAR(D73)+0)&gt;YEAR(E73),1,(12-MONTH(E73)+1)/12))))-((P73)*(IF((YEAR(D73)+0)&lt;YEAR(E73),0,IF((YEAR(D73)+0)&gt;YEAR(E73),1,(12-MONTH(E73)+1)/12))) + (R73)*(IF((YEAR(D73)+0)&lt;YEAR(E73),0,IF((YEAR(D73)+0)&gt;YEAR(E73),1,(12-MONTH(E73)+1)/12))))-(IF(OR(N73="",N73&lt;=0),0,(O73/N73)*(IF(OR(N73="",N73&lt;=0),0,IF((YEAR(D73)+0)&lt;YEAR(E73),0,IF((YEAR(D73)+0)&gt;=YEAR(E73)+N73,0,IF((YEAR(D73)+0)=YEAR(E73),(12-MONTH(E73)+1)/12,1))))))))*TaxRate,0))-IF(0=0,O73,0))</f>
        <v/>
      </c>
      <c r="T73" s="29">
        <f>IF(A73="","",((K73)*(IF(M73="",L73,IFERROR(IF(INDEX(Variablen!$I:$AT, MATCH(M73, Variablen!$A:$A, 0), MATCH((YEAR(D73)+1), Variablen!$I$3:$AT$3, 0))="",L73,INDEX(Variablen!$I:$AT, MATCH(M73, Variablen!$A:$A, 0), MATCH((YEAR(D73)+1), Variablen!$I$3:$AT$3, 0))),L73)))*(IF((YEAR(D73)+1)&lt;YEAR(E73),0,IF((YEAR(D73)+1)&gt;YEAR(E73),1,(12-MONTH(E73)+1)/12))) + (Q73)*(IF((YEAR(D73)+1)&lt;YEAR(E73),0,IF((YEAR(D73)+1)&gt;YEAR(E73),1,(12-MONTH(E73)+1)/12))))-((P73)*(IF((YEAR(D73)+1)&lt;YEAR(E73),0,IF((YEAR(D73)+1)&gt;YEAR(E73),1,(12-MONTH(E73)+1)/12))) + (R73)*(IF((YEAR(D73)+1)&lt;YEAR(E73),0,IF((YEAR(D73)+1)&gt;YEAR(E73),1,(12-MONTH(E73)+1)/12))))-(IF((((K73)*(IF(M73="",L73,IFERROR(IF(INDEX(Variablen!$I:$AT, MATCH(M73, Variablen!$A:$A, 0), MATCH((YEAR(D73)+1), Variablen!$I$3:$AT$3, 0))="",L73,INDEX(Variablen!$I:$AT, MATCH(M73, Variablen!$A:$A, 0), MATCH((YEAR(D73)+1), Variablen!$I$3:$AT$3, 0))),L73)))*(IF((YEAR(D73)+1)&lt;YEAR(E73),0,IF((YEAR(D73)+1)&gt;YEAR(E73),1,(12-MONTH(E73)+1)/12))) + (Q73)*(IF((YEAR(D73)+1)&lt;YEAR(E73),0,IF((YEAR(D73)+1)&gt;YEAR(E73),1,(12-MONTH(E73)+1)/12))))-((P73)*(IF((YEAR(D73)+1)&lt;YEAR(E73),0,IF((YEAR(D73)+1)&gt;YEAR(E73),1,(12-MONTH(E73)+1)/12))) + (R73)*(IF((YEAR(D73)+1)&lt;YEAR(E73),0,IF((YEAR(D73)+1)&gt;YEAR(E73),1,(12-MONTH(E73)+1)/12))))-(IF(OR(N73="",N73&lt;=0),0,(O73/N73)*(IF(OR(N73="",N73&lt;=0),0,IF((YEAR(D73)+1)&lt;YEAR(E73),0,IF((YEAR(D73)+1)&gt;=YEAR(E73)+N73,0,IF((YEAR(D73)+1)=YEAR(E73),(12-MONTH(E73)+1)/12,1))))))))&gt;0,(((K73)*(IF(M73="",L73,IFERROR(IF(INDEX(Variablen!$I:$AT, MATCH(M73, Variablen!$A:$A, 0), MATCH((YEAR(D73)+1), Variablen!$I$3:$AT$3, 0))="",L73,INDEX(Variablen!$I:$AT, MATCH(M73, Variablen!$A:$A, 0), MATCH((YEAR(D73)+1), Variablen!$I$3:$AT$3, 0))),L73)))*(IF((YEAR(D73)+1)&lt;YEAR(E73),0,IF((YEAR(D73)+1)&gt;YEAR(E73),1,(12-MONTH(E73)+1)/12))) + (Q73)*(IF((YEAR(D73)+1)&lt;YEAR(E73),0,IF((YEAR(D73)+1)&gt;YEAR(E73),1,(12-MONTH(E73)+1)/12))))-((P73)*(IF((YEAR(D73)+1)&lt;YEAR(E73),0,IF((YEAR(D73)+1)&gt;YEAR(E73),1,(12-MONTH(E73)+1)/12))) + (R73)*(IF((YEAR(D73)+1)&lt;YEAR(E73),0,IF((YEAR(D73)+1)&gt;YEAR(E73),1,(12-MONTH(E73)+1)/12))))-(IF(OR(N73="",N73&lt;=0),0,(O73/N73)*(IF(OR(N73="",N73&lt;=0),0,IF((YEAR(D73)+1)&lt;YEAR(E73),0,IF((YEAR(D73)+1)&gt;=YEAR(E73)+N73,0,IF((YEAR(D73)+1)=YEAR(E73),(12-MONTH(E73)+1)/12,1))))))))*TaxRate,0))-IF(1=0,O73,0))</f>
        <v/>
      </c>
      <c r="U73" s="29">
        <f>IF(A73="","",((K73)*(IF(M73="",L73,IFERROR(IF(INDEX(Variablen!$I:$AT, MATCH(M73, Variablen!$A:$A, 0), MATCH((YEAR(D73)+2), Variablen!$I$3:$AT$3, 0))="",L73,INDEX(Variablen!$I:$AT, MATCH(M73, Variablen!$A:$A, 0), MATCH((YEAR(D73)+2), Variablen!$I$3:$AT$3, 0))),L73)))*(IF((YEAR(D73)+2)&lt;YEAR(E73),0,IF((YEAR(D73)+2)&gt;YEAR(E73),1,(12-MONTH(E73)+1)/12))) + (Q73)*(IF((YEAR(D73)+2)&lt;YEAR(E73),0,IF((YEAR(D73)+2)&gt;YEAR(E73),1,(12-MONTH(E73)+1)/12))))-((P73)*(IF((YEAR(D73)+2)&lt;YEAR(E73),0,IF((YEAR(D73)+2)&gt;YEAR(E73),1,(12-MONTH(E73)+1)/12))) + (R73)*(IF((YEAR(D73)+2)&lt;YEAR(E73),0,IF((YEAR(D73)+2)&gt;YEAR(E73),1,(12-MONTH(E73)+1)/12))))-(IF((((K73)*(IF(M73="",L73,IFERROR(IF(INDEX(Variablen!$I:$AT, MATCH(M73, Variablen!$A:$A, 0), MATCH((YEAR(D73)+2), Variablen!$I$3:$AT$3, 0))="",L73,INDEX(Variablen!$I:$AT, MATCH(M73, Variablen!$A:$A, 0), MATCH((YEAR(D73)+2), Variablen!$I$3:$AT$3, 0))),L73)))*(IF((YEAR(D73)+2)&lt;YEAR(E73),0,IF((YEAR(D73)+2)&gt;YEAR(E73),1,(12-MONTH(E73)+1)/12))) + (Q73)*(IF((YEAR(D73)+2)&lt;YEAR(E73),0,IF((YEAR(D73)+2)&gt;YEAR(E73),1,(12-MONTH(E73)+1)/12))))-((P73)*(IF((YEAR(D73)+2)&lt;YEAR(E73),0,IF((YEAR(D73)+2)&gt;YEAR(E73),1,(12-MONTH(E73)+1)/12))) + (R73)*(IF((YEAR(D73)+2)&lt;YEAR(E73),0,IF((YEAR(D73)+2)&gt;YEAR(E73),1,(12-MONTH(E73)+1)/12))))-(IF(OR(N73="",N73&lt;=0),0,(O73/N73)*(IF(OR(N73="",N73&lt;=0),0,IF((YEAR(D73)+2)&lt;YEAR(E73),0,IF((YEAR(D73)+2)&gt;=YEAR(E73)+N73,0,IF((YEAR(D73)+2)=YEAR(E73),(12-MONTH(E73)+1)/12,1))))))))&gt;0,(((K73)*(IF(M73="",L73,IFERROR(IF(INDEX(Variablen!$I:$AT, MATCH(M73, Variablen!$A:$A, 0), MATCH((YEAR(D73)+2), Variablen!$I$3:$AT$3, 0))="",L73,INDEX(Variablen!$I:$AT, MATCH(M73, Variablen!$A:$A, 0), MATCH((YEAR(D73)+2), Variablen!$I$3:$AT$3, 0))),L73)))*(IF((YEAR(D73)+2)&lt;YEAR(E73),0,IF((YEAR(D73)+2)&gt;YEAR(E73),1,(12-MONTH(E73)+1)/12))) + (Q73)*(IF((YEAR(D73)+2)&lt;YEAR(E73),0,IF((YEAR(D73)+2)&gt;YEAR(E73),1,(12-MONTH(E73)+1)/12))))-((P73)*(IF((YEAR(D73)+2)&lt;YEAR(E73),0,IF((YEAR(D73)+2)&gt;YEAR(E73),1,(12-MONTH(E73)+1)/12))) + (R73)*(IF((YEAR(D73)+2)&lt;YEAR(E73),0,IF((YEAR(D73)+2)&gt;YEAR(E73),1,(12-MONTH(E73)+1)/12))))-(IF(OR(N73="",N73&lt;=0),0,(O73/N73)*(IF(OR(N73="",N73&lt;=0),0,IF((YEAR(D73)+2)&lt;YEAR(E73),0,IF((YEAR(D73)+2)&gt;=YEAR(E73)+N73,0,IF((YEAR(D73)+2)=YEAR(E73),(12-MONTH(E73)+1)/12,1))))))))*TaxRate,0))-IF(2=0,O73,0))</f>
        <v/>
      </c>
      <c r="V73" s="29">
        <f>IF(A73="","",((K73)*(IF(M73="",L73,IFERROR(IF(INDEX(Variablen!$I:$AT, MATCH(M73, Variablen!$A:$A, 0), MATCH((YEAR(D73)+3), Variablen!$I$3:$AT$3, 0))="",L73,INDEX(Variablen!$I:$AT, MATCH(M73, Variablen!$A:$A, 0), MATCH((YEAR(D73)+3), Variablen!$I$3:$AT$3, 0))),L73)))*(IF((YEAR(D73)+3)&lt;YEAR(E73),0,IF((YEAR(D73)+3)&gt;YEAR(E73),1,(12-MONTH(E73)+1)/12))) + (Q73)*(IF((YEAR(D73)+3)&lt;YEAR(E73),0,IF((YEAR(D73)+3)&gt;YEAR(E73),1,(12-MONTH(E73)+1)/12))))-((P73)*(IF((YEAR(D73)+3)&lt;YEAR(E73),0,IF((YEAR(D73)+3)&gt;YEAR(E73),1,(12-MONTH(E73)+1)/12))) + (R73)*(IF((YEAR(D73)+3)&lt;YEAR(E73),0,IF((YEAR(D73)+3)&gt;YEAR(E73),1,(12-MONTH(E73)+1)/12))))-(IF((((K73)*(IF(M73="",L73,IFERROR(IF(INDEX(Variablen!$I:$AT, MATCH(M73, Variablen!$A:$A, 0), MATCH((YEAR(D73)+3), Variablen!$I$3:$AT$3, 0))="",L73,INDEX(Variablen!$I:$AT, MATCH(M73, Variablen!$A:$A, 0), MATCH((YEAR(D73)+3), Variablen!$I$3:$AT$3, 0))),L73)))*(IF((YEAR(D73)+3)&lt;YEAR(E73),0,IF((YEAR(D73)+3)&gt;YEAR(E73),1,(12-MONTH(E73)+1)/12))) + (Q73)*(IF((YEAR(D73)+3)&lt;YEAR(E73),0,IF((YEAR(D73)+3)&gt;YEAR(E73),1,(12-MONTH(E73)+1)/12))))-((P73)*(IF((YEAR(D73)+3)&lt;YEAR(E73),0,IF((YEAR(D73)+3)&gt;YEAR(E73),1,(12-MONTH(E73)+1)/12))) + (R73)*(IF((YEAR(D73)+3)&lt;YEAR(E73),0,IF((YEAR(D73)+3)&gt;YEAR(E73),1,(12-MONTH(E73)+1)/12))))-(IF(OR(N73="",N73&lt;=0),0,(O73/N73)*(IF(OR(N73="",N73&lt;=0),0,IF((YEAR(D73)+3)&lt;YEAR(E73),0,IF((YEAR(D73)+3)&gt;=YEAR(E73)+N73,0,IF((YEAR(D73)+3)=YEAR(E73),(12-MONTH(E73)+1)/12,1))))))))&gt;0,(((K73)*(IF(M73="",L73,IFERROR(IF(INDEX(Variablen!$I:$AT, MATCH(M73, Variablen!$A:$A, 0), MATCH((YEAR(D73)+3), Variablen!$I$3:$AT$3, 0))="",L73,INDEX(Variablen!$I:$AT, MATCH(M73, Variablen!$A:$A, 0), MATCH((YEAR(D73)+3), Variablen!$I$3:$AT$3, 0))),L73)))*(IF((YEAR(D73)+3)&lt;YEAR(E73),0,IF((YEAR(D73)+3)&gt;YEAR(E73),1,(12-MONTH(E73)+1)/12))) + (Q73)*(IF((YEAR(D73)+3)&lt;YEAR(E73),0,IF((YEAR(D73)+3)&gt;YEAR(E73),1,(12-MONTH(E73)+1)/12))))-((P73)*(IF((YEAR(D73)+3)&lt;YEAR(E73),0,IF((YEAR(D73)+3)&gt;YEAR(E73),1,(12-MONTH(E73)+1)/12))) + (R73)*(IF((YEAR(D73)+3)&lt;YEAR(E73),0,IF((YEAR(D73)+3)&gt;YEAR(E73),1,(12-MONTH(E73)+1)/12))))-(IF(OR(N73="",N73&lt;=0),0,(O73/N73)*(IF(OR(N73="",N73&lt;=0),0,IF((YEAR(D73)+3)&lt;YEAR(E73),0,IF((YEAR(D73)+3)&gt;=YEAR(E73)+N73,0,IF((YEAR(D73)+3)=YEAR(E73),(12-MONTH(E73)+1)/12,1))))))))*TaxRate,0))-IF(3=0,O73,0))</f>
        <v/>
      </c>
      <c r="W73" s="29">
        <f>IF(A73="","",((K73)*(IF(M73="",L73,IFERROR(IF(INDEX(Variablen!$I:$AT, MATCH(M73, Variablen!$A:$A, 0), MATCH((YEAR(D73)+4), Variablen!$I$3:$AT$3, 0))="",L73,INDEX(Variablen!$I:$AT, MATCH(M73, Variablen!$A:$A, 0), MATCH((YEAR(D73)+4), Variablen!$I$3:$AT$3, 0))),L73)))*(IF((YEAR(D73)+4)&lt;YEAR(E73),0,IF((YEAR(D73)+4)&gt;YEAR(E73),1,(12-MONTH(E73)+1)/12))) + (Q73)*(IF((YEAR(D73)+4)&lt;YEAR(E73),0,IF((YEAR(D73)+4)&gt;YEAR(E73),1,(12-MONTH(E73)+1)/12))))-((P73)*(IF((YEAR(D73)+4)&lt;YEAR(E73),0,IF((YEAR(D73)+4)&gt;YEAR(E73),1,(12-MONTH(E73)+1)/12))) + (R73)*(IF((YEAR(D73)+4)&lt;YEAR(E73),0,IF((YEAR(D73)+4)&gt;YEAR(E73),1,(12-MONTH(E73)+1)/12))))-(IF((((K73)*(IF(M73="",L73,IFERROR(IF(INDEX(Variablen!$I:$AT, MATCH(M73, Variablen!$A:$A, 0), MATCH((YEAR(D73)+4), Variablen!$I$3:$AT$3, 0))="",L73,INDEX(Variablen!$I:$AT, MATCH(M73, Variablen!$A:$A, 0), MATCH((YEAR(D73)+4), Variablen!$I$3:$AT$3, 0))),L73)))*(IF((YEAR(D73)+4)&lt;YEAR(E73),0,IF((YEAR(D73)+4)&gt;YEAR(E73),1,(12-MONTH(E73)+1)/12))) + (Q73)*(IF((YEAR(D73)+4)&lt;YEAR(E73),0,IF((YEAR(D73)+4)&gt;YEAR(E73),1,(12-MONTH(E73)+1)/12))))-((P73)*(IF((YEAR(D73)+4)&lt;YEAR(E73),0,IF((YEAR(D73)+4)&gt;YEAR(E73),1,(12-MONTH(E73)+1)/12))) + (R73)*(IF((YEAR(D73)+4)&lt;YEAR(E73),0,IF((YEAR(D73)+4)&gt;YEAR(E73),1,(12-MONTH(E73)+1)/12))))-(IF(OR(N73="",N73&lt;=0),0,(O73/N73)*(IF(OR(N73="",N73&lt;=0),0,IF((YEAR(D73)+4)&lt;YEAR(E73),0,IF((YEAR(D73)+4)&gt;=YEAR(E73)+N73,0,IF((YEAR(D73)+4)=YEAR(E73),(12-MONTH(E73)+1)/12,1))))))))&gt;0,(((K73)*(IF(M73="",L73,IFERROR(IF(INDEX(Variablen!$I:$AT, MATCH(M73, Variablen!$A:$A, 0), MATCH((YEAR(D73)+4), Variablen!$I$3:$AT$3, 0))="",L73,INDEX(Variablen!$I:$AT, MATCH(M73, Variablen!$A:$A, 0), MATCH((YEAR(D73)+4), Variablen!$I$3:$AT$3, 0))),L73)))*(IF((YEAR(D73)+4)&lt;YEAR(E73),0,IF((YEAR(D73)+4)&gt;YEAR(E73),1,(12-MONTH(E73)+1)/12))) + (Q73)*(IF((YEAR(D73)+4)&lt;YEAR(E73),0,IF((YEAR(D73)+4)&gt;YEAR(E73),1,(12-MONTH(E73)+1)/12))))-((P73)*(IF((YEAR(D73)+4)&lt;YEAR(E73),0,IF((YEAR(D73)+4)&gt;YEAR(E73),1,(12-MONTH(E73)+1)/12))) + (R73)*(IF((YEAR(D73)+4)&lt;YEAR(E73),0,IF((YEAR(D73)+4)&gt;YEAR(E73),1,(12-MONTH(E73)+1)/12))))-(IF(OR(N73="",N73&lt;=0),0,(O73/N73)*(IF(OR(N73="",N73&lt;=0),0,IF((YEAR(D73)+4)&lt;YEAR(E73),0,IF((YEAR(D73)+4)&gt;=YEAR(E73)+N73,0,IF((YEAR(D73)+4)=YEAR(E73),(12-MONTH(E73)+1)/12,1))))))))*TaxRate,0))-IF(4=0,O73,0))</f>
        <v/>
      </c>
      <c r="X73" s="29">
        <f>IF(A73="","",((K73)*(IF(M73="",L73,IFERROR(IF(INDEX(Variablen!$I:$AT, MATCH(M73, Variablen!$A:$A, 0), MATCH((YEAR(D73)+5), Variablen!$I$3:$AT$3, 0))="",L73,INDEX(Variablen!$I:$AT, MATCH(M73, Variablen!$A:$A, 0), MATCH((YEAR(D73)+5), Variablen!$I$3:$AT$3, 0))),L73)))*(IF((YEAR(D73)+5)&lt;YEAR(E73),0,IF((YEAR(D73)+5)&gt;YEAR(E73),1,(12-MONTH(E73)+1)/12))) + (Q73)*(IF((YEAR(D73)+5)&lt;YEAR(E73),0,IF((YEAR(D73)+5)&gt;YEAR(E73),1,(12-MONTH(E73)+1)/12))))-((P73)*(IF((YEAR(D73)+5)&lt;YEAR(E73),0,IF((YEAR(D73)+5)&gt;YEAR(E73),1,(12-MONTH(E73)+1)/12))) + (R73)*(IF((YEAR(D73)+5)&lt;YEAR(E73),0,IF((YEAR(D73)+5)&gt;YEAR(E73),1,(12-MONTH(E73)+1)/12))))-(IF((((K73)*(IF(M73="",L73,IFERROR(IF(INDEX(Variablen!$I:$AT, MATCH(M73, Variablen!$A:$A, 0), MATCH((YEAR(D73)+5), Variablen!$I$3:$AT$3, 0))="",L73,INDEX(Variablen!$I:$AT, MATCH(M73, Variablen!$A:$A, 0), MATCH((YEAR(D73)+5), Variablen!$I$3:$AT$3, 0))),L73)))*(IF((YEAR(D73)+5)&lt;YEAR(E73),0,IF((YEAR(D73)+5)&gt;YEAR(E73),1,(12-MONTH(E73)+1)/12))) + (Q73)*(IF((YEAR(D73)+5)&lt;YEAR(E73),0,IF((YEAR(D73)+5)&gt;YEAR(E73),1,(12-MONTH(E73)+1)/12))))-((P73)*(IF((YEAR(D73)+5)&lt;YEAR(E73),0,IF((YEAR(D73)+5)&gt;YEAR(E73),1,(12-MONTH(E73)+1)/12))) + (R73)*(IF((YEAR(D73)+5)&lt;YEAR(E73),0,IF((YEAR(D73)+5)&gt;YEAR(E73),1,(12-MONTH(E73)+1)/12))))-(IF(OR(N73="",N73&lt;=0),0,(O73/N73)*(IF(OR(N73="",N73&lt;=0),0,IF((YEAR(D73)+5)&lt;YEAR(E73),0,IF((YEAR(D73)+5)&gt;=YEAR(E73)+N73,0,IF((YEAR(D73)+5)=YEAR(E73),(12-MONTH(E73)+1)/12,1))))))))&gt;0,(((K73)*(IF(M73="",L73,IFERROR(IF(INDEX(Variablen!$I:$AT, MATCH(M73, Variablen!$A:$A, 0), MATCH((YEAR(D73)+5), Variablen!$I$3:$AT$3, 0))="",L73,INDEX(Variablen!$I:$AT, MATCH(M73, Variablen!$A:$A, 0), MATCH((YEAR(D73)+5), Variablen!$I$3:$AT$3, 0))),L73)))*(IF((YEAR(D73)+5)&lt;YEAR(E73),0,IF((YEAR(D73)+5)&gt;YEAR(E73),1,(12-MONTH(E73)+1)/12))) + (Q73)*(IF((YEAR(D73)+5)&lt;YEAR(E73),0,IF((YEAR(D73)+5)&gt;YEAR(E73),1,(12-MONTH(E73)+1)/12))))-((P73)*(IF((YEAR(D73)+5)&lt;YEAR(E73),0,IF((YEAR(D73)+5)&gt;YEAR(E73),1,(12-MONTH(E73)+1)/12))) + (R73)*(IF((YEAR(D73)+5)&lt;YEAR(E73),0,IF((YEAR(D73)+5)&gt;YEAR(E73),1,(12-MONTH(E73)+1)/12))))-(IF(OR(N73="",N73&lt;=0),0,(O73/N73)*(IF(OR(N73="",N73&lt;=0),0,IF((YEAR(D73)+5)&lt;YEAR(E73),0,IF((YEAR(D73)+5)&gt;=YEAR(E73)+N73,0,IF((YEAR(D73)+5)=YEAR(E73),(12-MONTH(E73)+1)/12,1))))))))*TaxRate,0))-IF(5=0,O73,0))</f>
        <v/>
      </c>
      <c r="Y73" s="29">
        <f>IF(A73="","",((K73)*(IF(M73="",L73,IFERROR(IF(INDEX(Variablen!$I:$AT, MATCH(M73, Variablen!$A:$A, 0), MATCH((YEAR(D73)+6), Variablen!$I$3:$AT$3, 0))="",L73,INDEX(Variablen!$I:$AT, MATCH(M73, Variablen!$A:$A, 0), MATCH((YEAR(D73)+6), Variablen!$I$3:$AT$3, 0))),L73)))*(IF((YEAR(D73)+6)&lt;YEAR(E73),0,IF((YEAR(D73)+6)&gt;YEAR(E73),1,(12-MONTH(E73)+1)/12))) + (Q73)*(IF((YEAR(D73)+6)&lt;YEAR(E73),0,IF((YEAR(D73)+6)&gt;YEAR(E73),1,(12-MONTH(E73)+1)/12))))-((P73)*(IF((YEAR(D73)+6)&lt;YEAR(E73),0,IF((YEAR(D73)+6)&gt;YEAR(E73),1,(12-MONTH(E73)+1)/12))) + (R73)*(IF((YEAR(D73)+6)&lt;YEAR(E73),0,IF((YEAR(D73)+6)&gt;YEAR(E73),1,(12-MONTH(E73)+1)/12))))-(IF((((K73)*(IF(M73="",L73,IFERROR(IF(INDEX(Variablen!$I:$AT, MATCH(M73, Variablen!$A:$A, 0), MATCH((YEAR(D73)+6), Variablen!$I$3:$AT$3, 0))="",L73,INDEX(Variablen!$I:$AT, MATCH(M73, Variablen!$A:$A, 0), MATCH((YEAR(D73)+6), Variablen!$I$3:$AT$3, 0))),L73)))*(IF((YEAR(D73)+6)&lt;YEAR(E73),0,IF((YEAR(D73)+6)&gt;YEAR(E73),1,(12-MONTH(E73)+1)/12))) + (Q73)*(IF((YEAR(D73)+6)&lt;YEAR(E73),0,IF((YEAR(D73)+6)&gt;YEAR(E73),1,(12-MONTH(E73)+1)/12))))-((P73)*(IF((YEAR(D73)+6)&lt;YEAR(E73),0,IF((YEAR(D73)+6)&gt;YEAR(E73),1,(12-MONTH(E73)+1)/12))) + (R73)*(IF((YEAR(D73)+6)&lt;YEAR(E73),0,IF((YEAR(D73)+6)&gt;YEAR(E73),1,(12-MONTH(E73)+1)/12))))-(IF(OR(N73="",N73&lt;=0),0,(O73/N73)*(IF(OR(N73="",N73&lt;=0),0,IF((YEAR(D73)+6)&lt;YEAR(E73),0,IF((YEAR(D73)+6)&gt;=YEAR(E73)+N73,0,IF((YEAR(D73)+6)=YEAR(E73),(12-MONTH(E73)+1)/12,1))))))))&gt;0,(((K73)*(IF(M73="",L73,IFERROR(IF(INDEX(Variablen!$I:$AT, MATCH(M73, Variablen!$A:$A, 0), MATCH((YEAR(D73)+6), Variablen!$I$3:$AT$3, 0))="",L73,INDEX(Variablen!$I:$AT, MATCH(M73, Variablen!$A:$A, 0), MATCH((YEAR(D73)+6), Variablen!$I$3:$AT$3, 0))),L73)))*(IF((YEAR(D73)+6)&lt;YEAR(E73),0,IF((YEAR(D73)+6)&gt;YEAR(E73),1,(12-MONTH(E73)+1)/12))) + (Q73)*(IF((YEAR(D73)+6)&lt;YEAR(E73),0,IF((YEAR(D73)+6)&gt;YEAR(E73),1,(12-MONTH(E73)+1)/12))))-((P73)*(IF((YEAR(D73)+6)&lt;YEAR(E73),0,IF((YEAR(D73)+6)&gt;YEAR(E73),1,(12-MONTH(E73)+1)/12))) + (R73)*(IF((YEAR(D73)+6)&lt;YEAR(E73),0,IF((YEAR(D73)+6)&gt;YEAR(E73),1,(12-MONTH(E73)+1)/12))))-(IF(OR(N73="",N73&lt;=0),0,(O73/N73)*(IF(OR(N73="",N73&lt;=0),0,IF((YEAR(D73)+6)&lt;YEAR(E73),0,IF((YEAR(D73)+6)&gt;=YEAR(E73)+N73,0,IF((YEAR(D73)+6)=YEAR(E73),(12-MONTH(E73)+1)/12,1))))))))*TaxRate,0))-IF(6=0,O73,0))</f>
        <v/>
      </c>
      <c r="Z73" s="29">
        <f>IF(A73="","",((K73)*(IF(M73="",L73,IFERROR(IF(INDEX(Variablen!$I:$AT, MATCH(M73, Variablen!$A:$A, 0), MATCH((YEAR(D73)+7), Variablen!$I$3:$AT$3, 0))="",L73,INDEX(Variablen!$I:$AT, MATCH(M73, Variablen!$A:$A, 0), MATCH((YEAR(D73)+7), Variablen!$I$3:$AT$3, 0))),L73)))*(IF((YEAR(D73)+7)&lt;YEAR(E73),0,IF((YEAR(D73)+7)&gt;YEAR(E73),1,(12-MONTH(E73)+1)/12))) + (Q73)*(IF((YEAR(D73)+7)&lt;YEAR(E73),0,IF((YEAR(D73)+7)&gt;YEAR(E73),1,(12-MONTH(E73)+1)/12))))-((P73)*(IF((YEAR(D73)+7)&lt;YEAR(E73),0,IF((YEAR(D73)+7)&gt;YEAR(E73),1,(12-MONTH(E73)+1)/12))) + (R73)*(IF((YEAR(D73)+7)&lt;YEAR(E73),0,IF((YEAR(D73)+7)&gt;YEAR(E73),1,(12-MONTH(E73)+1)/12))))-(IF((((K73)*(IF(M73="",L73,IFERROR(IF(INDEX(Variablen!$I:$AT, MATCH(M73, Variablen!$A:$A, 0), MATCH((YEAR(D73)+7), Variablen!$I$3:$AT$3, 0))="",L73,INDEX(Variablen!$I:$AT, MATCH(M73, Variablen!$A:$A, 0), MATCH((YEAR(D73)+7), Variablen!$I$3:$AT$3, 0))),L73)))*(IF((YEAR(D73)+7)&lt;YEAR(E73),0,IF((YEAR(D73)+7)&gt;YEAR(E73),1,(12-MONTH(E73)+1)/12))) + (Q73)*(IF((YEAR(D73)+7)&lt;YEAR(E73),0,IF((YEAR(D73)+7)&gt;YEAR(E73),1,(12-MONTH(E73)+1)/12))))-((P73)*(IF((YEAR(D73)+7)&lt;YEAR(E73),0,IF((YEAR(D73)+7)&gt;YEAR(E73),1,(12-MONTH(E73)+1)/12))) + (R73)*(IF((YEAR(D73)+7)&lt;YEAR(E73),0,IF((YEAR(D73)+7)&gt;YEAR(E73),1,(12-MONTH(E73)+1)/12))))-(IF(OR(N73="",N73&lt;=0),0,(O73/N73)*(IF(OR(N73="",N73&lt;=0),0,IF((YEAR(D73)+7)&lt;YEAR(E73),0,IF((YEAR(D73)+7)&gt;=YEAR(E73)+N73,0,IF((YEAR(D73)+7)=YEAR(E73),(12-MONTH(E73)+1)/12,1))))))))&gt;0,(((K73)*(IF(M73="",L73,IFERROR(IF(INDEX(Variablen!$I:$AT, MATCH(M73, Variablen!$A:$A, 0), MATCH((YEAR(D73)+7), Variablen!$I$3:$AT$3, 0))="",L73,INDEX(Variablen!$I:$AT, MATCH(M73, Variablen!$A:$A, 0), MATCH((YEAR(D73)+7), Variablen!$I$3:$AT$3, 0))),L73)))*(IF((YEAR(D73)+7)&lt;YEAR(E73),0,IF((YEAR(D73)+7)&gt;YEAR(E73),1,(12-MONTH(E73)+1)/12))) + (Q73)*(IF((YEAR(D73)+7)&lt;YEAR(E73),0,IF((YEAR(D73)+7)&gt;YEAR(E73),1,(12-MONTH(E73)+1)/12))))-((P73)*(IF((YEAR(D73)+7)&lt;YEAR(E73),0,IF((YEAR(D73)+7)&gt;YEAR(E73),1,(12-MONTH(E73)+1)/12))) + (R73)*(IF((YEAR(D73)+7)&lt;YEAR(E73),0,IF((YEAR(D73)+7)&gt;YEAR(E73),1,(12-MONTH(E73)+1)/12))))-(IF(OR(N73="",N73&lt;=0),0,(O73/N73)*(IF(OR(N73="",N73&lt;=0),0,IF((YEAR(D73)+7)&lt;YEAR(E73),0,IF((YEAR(D73)+7)&gt;=YEAR(E73)+N73,0,IF((YEAR(D73)+7)=YEAR(E73),(12-MONTH(E73)+1)/12,1))))))))*TaxRate,0))-IF(7=0,O73,0))</f>
        <v/>
      </c>
      <c r="AA73" s="29">
        <f>IF(A73="","",((K73)*(IF(M73="",L73,IFERROR(IF(INDEX(Variablen!$I:$AT, MATCH(M73, Variablen!$A:$A, 0), MATCH((YEAR(D73)+8), Variablen!$I$3:$AT$3, 0))="",L73,INDEX(Variablen!$I:$AT, MATCH(M73, Variablen!$A:$A, 0), MATCH((YEAR(D73)+8), Variablen!$I$3:$AT$3, 0))),L73)))*(IF((YEAR(D73)+8)&lt;YEAR(E73),0,IF((YEAR(D73)+8)&gt;YEAR(E73),1,(12-MONTH(E73)+1)/12))) + (Q73)*(IF((YEAR(D73)+8)&lt;YEAR(E73),0,IF((YEAR(D73)+8)&gt;YEAR(E73),1,(12-MONTH(E73)+1)/12))))-((P73)*(IF((YEAR(D73)+8)&lt;YEAR(E73),0,IF((YEAR(D73)+8)&gt;YEAR(E73),1,(12-MONTH(E73)+1)/12))) + (R73)*(IF((YEAR(D73)+8)&lt;YEAR(E73),0,IF((YEAR(D73)+8)&gt;YEAR(E73),1,(12-MONTH(E73)+1)/12))))-(IF((((K73)*(IF(M73="",L73,IFERROR(IF(INDEX(Variablen!$I:$AT, MATCH(M73, Variablen!$A:$A, 0), MATCH((YEAR(D73)+8), Variablen!$I$3:$AT$3, 0))="",L73,INDEX(Variablen!$I:$AT, MATCH(M73, Variablen!$A:$A, 0), MATCH((YEAR(D73)+8), Variablen!$I$3:$AT$3, 0))),L73)))*(IF((YEAR(D73)+8)&lt;YEAR(E73),0,IF((YEAR(D73)+8)&gt;YEAR(E73),1,(12-MONTH(E73)+1)/12))) + (Q73)*(IF((YEAR(D73)+8)&lt;YEAR(E73),0,IF((YEAR(D73)+8)&gt;YEAR(E73),1,(12-MONTH(E73)+1)/12))))-((P73)*(IF((YEAR(D73)+8)&lt;YEAR(E73),0,IF((YEAR(D73)+8)&gt;YEAR(E73),1,(12-MONTH(E73)+1)/12))) + (R73)*(IF((YEAR(D73)+8)&lt;YEAR(E73),0,IF((YEAR(D73)+8)&gt;YEAR(E73),1,(12-MONTH(E73)+1)/12))))-(IF(OR(N73="",N73&lt;=0),0,(O73/N73)*(IF(OR(N73="",N73&lt;=0),0,IF((YEAR(D73)+8)&lt;YEAR(E73),0,IF((YEAR(D73)+8)&gt;=YEAR(E73)+N73,0,IF((YEAR(D73)+8)=YEAR(E73),(12-MONTH(E73)+1)/12,1))))))))&gt;0,(((K73)*(IF(M73="",L73,IFERROR(IF(INDEX(Variablen!$I:$AT, MATCH(M73, Variablen!$A:$A, 0), MATCH((YEAR(D73)+8), Variablen!$I$3:$AT$3, 0))="",L73,INDEX(Variablen!$I:$AT, MATCH(M73, Variablen!$A:$A, 0), MATCH((YEAR(D73)+8), Variablen!$I$3:$AT$3, 0))),L73)))*(IF((YEAR(D73)+8)&lt;YEAR(E73),0,IF((YEAR(D73)+8)&gt;YEAR(E73),1,(12-MONTH(E73)+1)/12))) + (Q73)*(IF((YEAR(D73)+8)&lt;YEAR(E73),0,IF((YEAR(D73)+8)&gt;YEAR(E73),1,(12-MONTH(E73)+1)/12))))-((P73)*(IF((YEAR(D73)+8)&lt;YEAR(E73),0,IF((YEAR(D73)+8)&gt;YEAR(E73),1,(12-MONTH(E73)+1)/12))) + (R73)*(IF((YEAR(D73)+8)&lt;YEAR(E73),0,IF((YEAR(D73)+8)&gt;YEAR(E73),1,(12-MONTH(E73)+1)/12))))-(IF(OR(N73="",N73&lt;=0),0,(O73/N73)*(IF(OR(N73="",N73&lt;=0),0,IF((YEAR(D73)+8)&lt;YEAR(E73),0,IF((YEAR(D73)+8)&gt;=YEAR(E73)+N73,0,IF((YEAR(D73)+8)=YEAR(E73),(12-MONTH(E73)+1)/12,1))))))))*TaxRate,0))-IF(8=0,O73,0))</f>
        <v/>
      </c>
      <c r="AB73" s="29">
        <f>IF(A73="","",((K73)*(IF(M73="",L73,IFERROR(IF(INDEX(Variablen!$I:$AT, MATCH(M73, Variablen!$A:$A, 0), MATCH((YEAR(D73)+9), Variablen!$I$3:$AT$3, 0))="",L73,INDEX(Variablen!$I:$AT, MATCH(M73, Variablen!$A:$A, 0), MATCH((YEAR(D73)+9), Variablen!$I$3:$AT$3, 0))),L73)))*(IF((YEAR(D73)+9)&lt;YEAR(E73),0,IF((YEAR(D73)+9)&gt;YEAR(E73),1,(12-MONTH(E73)+1)/12))) + (Q73)*(IF((YEAR(D73)+9)&lt;YEAR(E73),0,IF((YEAR(D73)+9)&gt;YEAR(E73),1,(12-MONTH(E73)+1)/12))))-((P73)*(IF((YEAR(D73)+9)&lt;YEAR(E73),0,IF((YEAR(D73)+9)&gt;YEAR(E73),1,(12-MONTH(E73)+1)/12))) + (R73)*(IF((YEAR(D73)+9)&lt;YEAR(E73),0,IF((YEAR(D73)+9)&gt;YEAR(E73),1,(12-MONTH(E73)+1)/12))))-(IF((((K73)*(IF(M73="",L73,IFERROR(IF(INDEX(Variablen!$I:$AT, MATCH(M73, Variablen!$A:$A, 0), MATCH((YEAR(D73)+9), Variablen!$I$3:$AT$3, 0))="",L73,INDEX(Variablen!$I:$AT, MATCH(M73, Variablen!$A:$A, 0), MATCH((YEAR(D73)+9), Variablen!$I$3:$AT$3, 0))),L73)))*(IF((YEAR(D73)+9)&lt;YEAR(E73),0,IF((YEAR(D73)+9)&gt;YEAR(E73),1,(12-MONTH(E73)+1)/12))) + (Q73)*(IF((YEAR(D73)+9)&lt;YEAR(E73),0,IF((YEAR(D73)+9)&gt;YEAR(E73),1,(12-MONTH(E73)+1)/12))))-((P73)*(IF((YEAR(D73)+9)&lt;YEAR(E73),0,IF((YEAR(D73)+9)&gt;YEAR(E73),1,(12-MONTH(E73)+1)/12))) + (R73)*(IF((YEAR(D73)+9)&lt;YEAR(E73),0,IF((YEAR(D73)+9)&gt;YEAR(E73),1,(12-MONTH(E73)+1)/12))))-(IF(OR(N73="",N73&lt;=0),0,(O73/N73)*(IF(OR(N73="",N73&lt;=0),0,IF((YEAR(D73)+9)&lt;YEAR(E73),0,IF((YEAR(D73)+9)&gt;=YEAR(E73)+N73,0,IF((YEAR(D73)+9)=YEAR(E73),(12-MONTH(E73)+1)/12,1))))))))&gt;0,(((K73)*(IF(M73="",L73,IFERROR(IF(INDEX(Variablen!$I:$AT, MATCH(M73, Variablen!$A:$A, 0), MATCH((YEAR(D73)+9), Variablen!$I$3:$AT$3, 0))="",L73,INDEX(Variablen!$I:$AT, MATCH(M73, Variablen!$A:$A, 0), MATCH((YEAR(D73)+9), Variablen!$I$3:$AT$3, 0))),L73)))*(IF((YEAR(D73)+9)&lt;YEAR(E73),0,IF((YEAR(D73)+9)&gt;YEAR(E73),1,(12-MONTH(E73)+1)/12))) + (Q73)*(IF((YEAR(D73)+9)&lt;YEAR(E73),0,IF((YEAR(D73)+9)&gt;YEAR(E73),1,(12-MONTH(E73)+1)/12))))-((P73)*(IF((YEAR(D73)+9)&lt;YEAR(E73),0,IF((YEAR(D73)+9)&gt;YEAR(E73),1,(12-MONTH(E73)+1)/12))) + (R73)*(IF((YEAR(D73)+9)&lt;YEAR(E73),0,IF((YEAR(D73)+9)&gt;YEAR(E73),1,(12-MONTH(E73)+1)/12))))-(IF(OR(N73="",N73&lt;=0),0,(O73/N73)*(IF(OR(N73="",N73&lt;=0),0,IF((YEAR(D73)+9)&lt;YEAR(E73),0,IF((YEAR(D73)+9)&gt;=YEAR(E73)+N73,0,IF((YEAR(D73)+9)=YEAR(E73),(12-MONTH(E73)+1)/12,1))))))))*TaxRate,0))-IF(9=0,O73,0))</f>
        <v/>
      </c>
      <c r="AC73" s="29">
        <f>IF(A73="","",((K73)*(IF(M73="",L73,IFERROR(IF(INDEX(Variablen!$I:$AT, MATCH(M73, Variablen!$A:$A, 0), MATCH((YEAR(D73)+10), Variablen!$I$3:$AT$3, 0))="",L73,INDEX(Variablen!$I:$AT, MATCH(M73, Variablen!$A:$A, 0), MATCH((YEAR(D73)+10), Variablen!$I$3:$AT$3, 0))),L73)))*(IF((YEAR(D73)+10)&lt;YEAR(E73),0,IF((YEAR(D73)+10)&gt;YEAR(E73),1,(12-MONTH(E73)+1)/12))) + (Q73)*(IF((YEAR(D73)+10)&lt;YEAR(E73),0,IF((YEAR(D73)+10)&gt;YEAR(E73),1,(12-MONTH(E73)+1)/12))))-((P73)*(IF((YEAR(D73)+10)&lt;YEAR(E73),0,IF((YEAR(D73)+10)&gt;YEAR(E73),1,(12-MONTH(E73)+1)/12))) + (R73)*(IF((YEAR(D73)+10)&lt;YEAR(E73),0,IF((YEAR(D73)+10)&gt;YEAR(E73),1,(12-MONTH(E73)+1)/12))))-(IF((((K73)*(IF(M73="",L73,IFERROR(IF(INDEX(Variablen!$I:$AT, MATCH(M73, Variablen!$A:$A, 0), MATCH((YEAR(D73)+10), Variablen!$I$3:$AT$3, 0))="",L73,INDEX(Variablen!$I:$AT, MATCH(M73, Variablen!$A:$A, 0), MATCH((YEAR(D73)+10), Variablen!$I$3:$AT$3, 0))),L73)))*(IF((YEAR(D73)+10)&lt;YEAR(E73),0,IF((YEAR(D73)+10)&gt;YEAR(E73),1,(12-MONTH(E73)+1)/12))) + (Q73)*(IF((YEAR(D73)+10)&lt;YEAR(E73),0,IF((YEAR(D73)+10)&gt;YEAR(E73),1,(12-MONTH(E73)+1)/12))))-((P73)*(IF((YEAR(D73)+10)&lt;YEAR(E73),0,IF((YEAR(D73)+10)&gt;YEAR(E73),1,(12-MONTH(E73)+1)/12))) + (R73)*(IF((YEAR(D73)+10)&lt;YEAR(E73),0,IF((YEAR(D73)+10)&gt;YEAR(E73),1,(12-MONTH(E73)+1)/12))))-(IF(OR(N73="",N73&lt;=0),0,(O73/N73)*(IF(OR(N73="",N73&lt;=0),0,IF((YEAR(D73)+10)&lt;YEAR(E73),0,IF((YEAR(D73)+10)&gt;=YEAR(E73)+N73,0,IF((YEAR(D73)+10)=YEAR(E73),(12-MONTH(E73)+1)/12,1))))))))&gt;0,(((K73)*(IF(M73="",L73,IFERROR(IF(INDEX(Variablen!$I:$AT, MATCH(M73, Variablen!$A:$A, 0), MATCH((YEAR(D73)+10), Variablen!$I$3:$AT$3, 0))="",L73,INDEX(Variablen!$I:$AT, MATCH(M73, Variablen!$A:$A, 0), MATCH((YEAR(D73)+10), Variablen!$I$3:$AT$3, 0))),L73)))*(IF((YEAR(D73)+10)&lt;YEAR(E73),0,IF((YEAR(D73)+10)&gt;YEAR(E73),1,(12-MONTH(E73)+1)/12))) + (Q73)*(IF((YEAR(D73)+10)&lt;YEAR(E73),0,IF((YEAR(D73)+10)&gt;YEAR(E73),1,(12-MONTH(E73)+1)/12))))-((P73)*(IF((YEAR(D73)+10)&lt;YEAR(E73),0,IF((YEAR(D73)+10)&gt;YEAR(E73),1,(12-MONTH(E73)+1)/12))) + (R73)*(IF((YEAR(D73)+10)&lt;YEAR(E73),0,IF((YEAR(D73)+10)&gt;YEAR(E73),1,(12-MONTH(E73)+1)/12))))-(IF(OR(N73="",N73&lt;=0),0,(O73/N73)*(IF(OR(N73="",N73&lt;=0),0,IF((YEAR(D73)+10)&lt;YEAR(E73),0,IF((YEAR(D73)+10)&gt;=YEAR(E73)+N73,0,IF((YEAR(D73)+10)=YEAR(E73),(12-MONTH(E73)+1)/12,1))))))))*TaxRate,0))-IF(10=0,O73,0))</f>
        <v/>
      </c>
      <c r="AD73" s="29">
        <f>IF(A73="","",((K73)*(IF(M73="",L73,IFERROR(IF(INDEX(Variablen!$I:$AT, MATCH(M73, Variablen!$A:$A, 0), MATCH((YEAR(D73)+11), Variablen!$I$3:$AT$3, 0))="",L73,INDEX(Variablen!$I:$AT, MATCH(M73, Variablen!$A:$A, 0), MATCH((YEAR(D73)+11), Variablen!$I$3:$AT$3, 0))),L73)))*(IF((YEAR(D73)+11)&lt;YEAR(E73),0,IF((YEAR(D73)+11)&gt;YEAR(E73),1,(12-MONTH(E73)+1)/12))) + (Q73)*(IF((YEAR(D73)+11)&lt;YEAR(E73),0,IF((YEAR(D73)+11)&gt;YEAR(E73),1,(12-MONTH(E73)+1)/12))))-((P73)*(IF((YEAR(D73)+11)&lt;YEAR(E73),0,IF((YEAR(D73)+11)&gt;YEAR(E73),1,(12-MONTH(E73)+1)/12))) + (R73)*(IF((YEAR(D73)+11)&lt;YEAR(E73),0,IF((YEAR(D73)+11)&gt;YEAR(E73),1,(12-MONTH(E73)+1)/12))))-(IF((((K73)*(IF(M73="",L73,IFERROR(IF(INDEX(Variablen!$I:$AT, MATCH(M73, Variablen!$A:$A, 0), MATCH((YEAR(D73)+11), Variablen!$I$3:$AT$3, 0))="",L73,INDEX(Variablen!$I:$AT, MATCH(M73, Variablen!$A:$A, 0), MATCH((YEAR(D73)+11), Variablen!$I$3:$AT$3, 0))),L73)))*(IF((YEAR(D73)+11)&lt;YEAR(E73),0,IF((YEAR(D73)+11)&gt;YEAR(E73),1,(12-MONTH(E73)+1)/12))) + (Q73)*(IF((YEAR(D73)+11)&lt;YEAR(E73),0,IF((YEAR(D73)+11)&gt;YEAR(E73),1,(12-MONTH(E73)+1)/12))))-((P73)*(IF((YEAR(D73)+11)&lt;YEAR(E73),0,IF((YEAR(D73)+11)&gt;YEAR(E73),1,(12-MONTH(E73)+1)/12))) + (R73)*(IF((YEAR(D73)+11)&lt;YEAR(E73),0,IF((YEAR(D73)+11)&gt;YEAR(E73),1,(12-MONTH(E73)+1)/12))))-(IF(OR(N73="",N73&lt;=0),0,(O73/N73)*(IF(OR(N73="",N73&lt;=0),0,IF((YEAR(D73)+11)&lt;YEAR(E73),0,IF((YEAR(D73)+11)&gt;=YEAR(E73)+N73,0,IF((YEAR(D73)+11)=YEAR(E73),(12-MONTH(E73)+1)/12,1))))))))&gt;0,(((K73)*(IF(M73="",L73,IFERROR(IF(INDEX(Variablen!$I:$AT, MATCH(M73, Variablen!$A:$A, 0), MATCH((YEAR(D73)+11), Variablen!$I$3:$AT$3, 0))="",L73,INDEX(Variablen!$I:$AT, MATCH(M73, Variablen!$A:$A, 0), MATCH((YEAR(D73)+11), Variablen!$I$3:$AT$3, 0))),L73)))*(IF((YEAR(D73)+11)&lt;YEAR(E73),0,IF((YEAR(D73)+11)&gt;YEAR(E73),1,(12-MONTH(E73)+1)/12))) + (Q73)*(IF((YEAR(D73)+11)&lt;YEAR(E73),0,IF((YEAR(D73)+11)&gt;YEAR(E73),1,(12-MONTH(E73)+1)/12))))-((P73)*(IF((YEAR(D73)+11)&lt;YEAR(E73),0,IF((YEAR(D73)+11)&gt;YEAR(E73),1,(12-MONTH(E73)+1)/12))) + (R73)*(IF((YEAR(D73)+11)&lt;YEAR(E73),0,IF((YEAR(D73)+11)&gt;YEAR(E73),1,(12-MONTH(E73)+1)/12))))-(IF(OR(N73="",N73&lt;=0),0,(O73/N73)*(IF(OR(N73="",N73&lt;=0),0,IF((YEAR(D73)+11)&lt;YEAR(E73),0,IF((YEAR(D73)+11)&gt;=YEAR(E73)+N73,0,IF((YEAR(D73)+11)=YEAR(E73),(12-MONTH(E73)+1)/12,1))))))))*TaxRate,0))-IF(11=0,O73,0))</f>
        <v/>
      </c>
      <c r="AE73" s="29">
        <f>IF(A73="","",((K73)*(IF(M73="",L73,IFERROR(IF(INDEX(Variablen!$I:$AT, MATCH(M73, Variablen!$A:$A, 0), MATCH((YEAR(D73)+12), Variablen!$I$3:$AT$3, 0))="",L73,INDEX(Variablen!$I:$AT, MATCH(M73, Variablen!$A:$A, 0), MATCH((YEAR(D73)+12), Variablen!$I$3:$AT$3, 0))),L73)))*(IF((YEAR(D73)+12)&lt;YEAR(E73),0,IF((YEAR(D73)+12)&gt;YEAR(E73),1,(12-MONTH(E73)+1)/12))) + (Q73)*(IF((YEAR(D73)+12)&lt;YEAR(E73),0,IF((YEAR(D73)+12)&gt;YEAR(E73),1,(12-MONTH(E73)+1)/12))))-((P73)*(IF((YEAR(D73)+12)&lt;YEAR(E73),0,IF((YEAR(D73)+12)&gt;YEAR(E73),1,(12-MONTH(E73)+1)/12))) + (R73)*(IF((YEAR(D73)+12)&lt;YEAR(E73),0,IF((YEAR(D73)+12)&gt;YEAR(E73),1,(12-MONTH(E73)+1)/12))))-(IF((((K73)*(IF(M73="",L73,IFERROR(IF(INDEX(Variablen!$I:$AT, MATCH(M73, Variablen!$A:$A, 0), MATCH((YEAR(D73)+12), Variablen!$I$3:$AT$3, 0))="",L73,INDEX(Variablen!$I:$AT, MATCH(M73, Variablen!$A:$A, 0), MATCH((YEAR(D73)+12), Variablen!$I$3:$AT$3, 0))),L73)))*(IF((YEAR(D73)+12)&lt;YEAR(E73),0,IF((YEAR(D73)+12)&gt;YEAR(E73),1,(12-MONTH(E73)+1)/12))) + (Q73)*(IF((YEAR(D73)+12)&lt;YEAR(E73),0,IF((YEAR(D73)+12)&gt;YEAR(E73),1,(12-MONTH(E73)+1)/12))))-((P73)*(IF((YEAR(D73)+12)&lt;YEAR(E73),0,IF((YEAR(D73)+12)&gt;YEAR(E73),1,(12-MONTH(E73)+1)/12))) + (R73)*(IF((YEAR(D73)+12)&lt;YEAR(E73),0,IF((YEAR(D73)+12)&gt;YEAR(E73),1,(12-MONTH(E73)+1)/12))))-(IF(OR(N73="",N73&lt;=0),0,(O73/N73)*(IF(OR(N73="",N73&lt;=0),0,IF((YEAR(D73)+12)&lt;YEAR(E73),0,IF((YEAR(D73)+12)&gt;=YEAR(E73)+N73,0,IF((YEAR(D73)+12)=YEAR(E73),(12-MONTH(E73)+1)/12,1))))))))&gt;0,(((K73)*(IF(M73="",L73,IFERROR(IF(INDEX(Variablen!$I:$AT, MATCH(M73, Variablen!$A:$A, 0), MATCH((YEAR(D73)+12), Variablen!$I$3:$AT$3, 0))="",L73,INDEX(Variablen!$I:$AT, MATCH(M73, Variablen!$A:$A, 0), MATCH((YEAR(D73)+12), Variablen!$I$3:$AT$3, 0))),L73)))*(IF((YEAR(D73)+12)&lt;YEAR(E73),0,IF((YEAR(D73)+12)&gt;YEAR(E73),1,(12-MONTH(E73)+1)/12))) + (Q73)*(IF((YEAR(D73)+12)&lt;YEAR(E73),0,IF((YEAR(D73)+12)&gt;YEAR(E73),1,(12-MONTH(E73)+1)/12))))-((P73)*(IF((YEAR(D73)+12)&lt;YEAR(E73),0,IF((YEAR(D73)+12)&gt;YEAR(E73),1,(12-MONTH(E73)+1)/12))) + (R73)*(IF((YEAR(D73)+12)&lt;YEAR(E73),0,IF((YEAR(D73)+12)&gt;YEAR(E73),1,(12-MONTH(E73)+1)/12))))-(IF(OR(N73="",N73&lt;=0),0,(O73/N73)*(IF(OR(N73="",N73&lt;=0),0,IF((YEAR(D73)+12)&lt;YEAR(E73),0,IF((YEAR(D73)+12)&gt;=YEAR(E73)+N73,0,IF((YEAR(D73)+12)=YEAR(E73),(12-MONTH(E73)+1)/12,1))))))))*TaxRate,0))-IF(12=0,O73,0))</f>
        <v/>
      </c>
      <c r="AF73" s="29">
        <f>IF(A73="","",((K73)*(IF(M73="",L73,IFERROR(IF(INDEX(Variablen!$I:$AT, MATCH(M73, Variablen!$A:$A, 0), MATCH((YEAR(D73)+13), Variablen!$I$3:$AT$3, 0))="",L73,INDEX(Variablen!$I:$AT, MATCH(M73, Variablen!$A:$A, 0), MATCH((YEAR(D73)+13), Variablen!$I$3:$AT$3, 0))),L73)))*(IF((YEAR(D73)+13)&lt;YEAR(E73),0,IF((YEAR(D73)+13)&gt;YEAR(E73),1,(12-MONTH(E73)+1)/12))) + (Q73)*(IF((YEAR(D73)+13)&lt;YEAR(E73),0,IF((YEAR(D73)+13)&gt;YEAR(E73),1,(12-MONTH(E73)+1)/12))))-((P73)*(IF((YEAR(D73)+13)&lt;YEAR(E73),0,IF((YEAR(D73)+13)&gt;YEAR(E73),1,(12-MONTH(E73)+1)/12))) + (R73)*(IF((YEAR(D73)+13)&lt;YEAR(E73),0,IF((YEAR(D73)+13)&gt;YEAR(E73),1,(12-MONTH(E73)+1)/12))))-(IF((((K73)*(IF(M73="",L73,IFERROR(IF(INDEX(Variablen!$I:$AT, MATCH(M73, Variablen!$A:$A, 0), MATCH((YEAR(D73)+13), Variablen!$I$3:$AT$3, 0))="",L73,INDEX(Variablen!$I:$AT, MATCH(M73, Variablen!$A:$A, 0), MATCH((YEAR(D73)+13), Variablen!$I$3:$AT$3, 0))),L73)))*(IF((YEAR(D73)+13)&lt;YEAR(E73),0,IF((YEAR(D73)+13)&gt;YEAR(E73),1,(12-MONTH(E73)+1)/12))) + (Q73)*(IF((YEAR(D73)+13)&lt;YEAR(E73),0,IF((YEAR(D73)+13)&gt;YEAR(E73),1,(12-MONTH(E73)+1)/12))))-((P73)*(IF((YEAR(D73)+13)&lt;YEAR(E73),0,IF((YEAR(D73)+13)&gt;YEAR(E73),1,(12-MONTH(E73)+1)/12))) + (R73)*(IF((YEAR(D73)+13)&lt;YEAR(E73),0,IF((YEAR(D73)+13)&gt;YEAR(E73),1,(12-MONTH(E73)+1)/12))))-(IF(OR(N73="",N73&lt;=0),0,(O73/N73)*(IF(OR(N73="",N73&lt;=0),0,IF((YEAR(D73)+13)&lt;YEAR(E73),0,IF((YEAR(D73)+13)&gt;=YEAR(E73)+N73,0,IF((YEAR(D73)+13)=YEAR(E73),(12-MONTH(E73)+1)/12,1))))))))&gt;0,(((K73)*(IF(M73="",L73,IFERROR(IF(INDEX(Variablen!$I:$AT, MATCH(M73, Variablen!$A:$A, 0), MATCH((YEAR(D73)+13), Variablen!$I$3:$AT$3, 0))="",L73,INDEX(Variablen!$I:$AT, MATCH(M73, Variablen!$A:$A, 0), MATCH((YEAR(D73)+13), Variablen!$I$3:$AT$3, 0))),L73)))*(IF((YEAR(D73)+13)&lt;YEAR(E73),0,IF((YEAR(D73)+13)&gt;YEAR(E73),1,(12-MONTH(E73)+1)/12))) + (Q73)*(IF((YEAR(D73)+13)&lt;YEAR(E73),0,IF((YEAR(D73)+13)&gt;YEAR(E73),1,(12-MONTH(E73)+1)/12))))-((P73)*(IF((YEAR(D73)+13)&lt;YEAR(E73),0,IF((YEAR(D73)+13)&gt;YEAR(E73),1,(12-MONTH(E73)+1)/12))) + (R73)*(IF((YEAR(D73)+13)&lt;YEAR(E73),0,IF((YEAR(D73)+13)&gt;YEAR(E73),1,(12-MONTH(E73)+1)/12))))-(IF(OR(N73="",N73&lt;=0),0,(O73/N73)*(IF(OR(N73="",N73&lt;=0),0,IF((YEAR(D73)+13)&lt;YEAR(E73),0,IF((YEAR(D73)+13)&gt;=YEAR(E73)+N73,0,IF((YEAR(D73)+13)=YEAR(E73),(12-MONTH(E73)+1)/12,1))))))))*TaxRate,0))-IF(13=0,O73,0))</f>
        <v/>
      </c>
      <c r="AG73" s="29">
        <f>IF(A73="","",((K73)*(IF(M73="",L73,IFERROR(IF(INDEX(Variablen!$I:$AT, MATCH(M73, Variablen!$A:$A, 0), MATCH((YEAR(D73)+14), Variablen!$I$3:$AT$3, 0))="",L73,INDEX(Variablen!$I:$AT, MATCH(M73, Variablen!$A:$A, 0), MATCH((YEAR(D73)+14), Variablen!$I$3:$AT$3, 0))),L73)))*(IF((YEAR(D73)+14)&lt;YEAR(E73),0,IF((YEAR(D73)+14)&gt;YEAR(E73),1,(12-MONTH(E73)+1)/12))) + (Q73)*(IF((YEAR(D73)+14)&lt;YEAR(E73),0,IF((YEAR(D73)+14)&gt;YEAR(E73),1,(12-MONTH(E73)+1)/12))))-((P73)*(IF((YEAR(D73)+14)&lt;YEAR(E73),0,IF((YEAR(D73)+14)&gt;YEAR(E73),1,(12-MONTH(E73)+1)/12))) + (R73)*(IF((YEAR(D73)+14)&lt;YEAR(E73),0,IF((YEAR(D73)+14)&gt;YEAR(E73),1,(12-MONTH(E73)+1)/12))))-(IF((((K73)*(IF(M73="",L73,IFERROR(IF(INDEX(Variablen!$I:$AT, MATCH(M73, Variablen!$A:$A, 0), MATCH((YEAR(D73)+14), Variablen!$I$3:$AT$3, 0))="",L73,INDEX(Variablen!$I:$AT, MATCH(M73, Variablen!$A:$A, 0), MATCH((YEAR(D73)+14), Variablen!$I$3:$AT$3, 0))),L73)))*(IF((YEAR(D73)+14)&lt;YEAR(E73),0,IF((YEAR(D73)+14)&gt;YEAR(E73),1,(12-MONTH(E73)+1)/12))) + (Q73)*(IF((YEAR(D73)+14)&lt;YEAR(E73),0,IF((YEAR(D73)+14)&gt;YEAR(E73),1,(12-MONTH(E73)+1)/12))))-((P73)*(IF((YEAR(D73)+14)&lt;YEAR(E73),0,IF((YEAR(D73)+14)&gt;YEAR(E73),1,(12-MONTH(E73)+1)/12))) + (R73)*(IF((YEAR(D73)+14)&lt;YEAR(E73),0,IF((YEAR(D73)+14)&gt;YEAR(E73),1,(12-MONTH(E73)+1)/12))))-(IF(OR(N73="",N73&lt;=0),0,(O73/N73)*(IF(OR(N73="",N73&lt;=0),0,IF((YEAR(D73)+14)&lt;YEAR(E73),0,IF((YEAR(D73)+14)&gt;=YEAR(E73)+N73,0,IF((YEAR(D73)+14)=YEAR(E73),(12-MONTH(E73)+1)/12,1))))))))&gt;0,(((K73)*(IF(M73="",L73,IFERROR(IF(INDEX(Variablen!$I:$AT, MATCH(M73, Variablen!$A:$A, 0), MATCH((YEAR(D73)+14), Variablen!$I$3:$AT$3, 0))="",L73,INDEX(Variablen!$I:$AT, MATCH(M73, Variablen!$A:$A, 0), MATCH((YEAR(D73)+14), Variablen!$I$3:$AT$3, 0))),L73)))*(IF((YEAR(D73)+14)&lt;YEAR(E73),0,IF((YEAR(D73)+14)&gt;YEAR(E73),1,(12-MONTH(E73)+1)/12))) + (Q73)*(IF((YEAR(D73)+14)&lt;YEAR(E73),0,IF((YEAR(D73)+14)&gt;YEAR(E73),1,(12-MONTH(E73)+1)/12))))-((P73)*(IF((YEAR(D73)+14)&lt;YEAR(E73),0,IF((YEAR(D73)+14)&gt;YEAR(E73),1,(12-MONTH(E73)+1)/12))) + (R73)*(IF((YEAR(D73)+14)&lt;YEAR(E73),0,IF((YEAR(D73)+14)&gt;YEAR(E73),1,(12-MONTH(E73)+1)/12))))-(IF(OR(N73="",N73&lt;=0),0,(O73/N73)*(IF(OR(N73="",N73&lt;=0),0,IF((YEAR(D73)+14)&lt;YEAR(E73),0,IF((YEAR(D73)+14)&gt;=YEAR(E73)+N73,0,IF((YEAR(D73)+14)=YEAR(E73),(12-MONTH(E73)+1)/12,1))))))))*TaxRate,0))-IF(14=0,O73,0))</f>
        <v/>
      </c>
      <c r="AH73" s="29">
        <f>IF(A73="","",((K73)*(IF(M73="",L73,IFERROR(IF(INDEX(Variablen!$I:$AT, MATCH(M73, Variablen!$A:$A, 0), MATCH((YEAR(D73)+15), Variablen!$I$3:$AT$3, 0))="",L73,INDEX(Variablen!$I:$AT, MATCH(M73, Variablen!$A:$A, 0), MATCH((YEAR(D73)+15), Variablen!$I$3:$AT$3, 0))),L73)))*(IF((YEAR(D73)+15)&lt;YEAR(E73),0,IF((YEAR(D73)+15)&gt;YEAR(E73),1,(12-MONTH(E73)+1)/12))) + (Q73)*(IF((YEAR(D73)+15)&lt;YEAR(E73),0,IF((YEAR(D73)+15)&gt;YEAR(E73),1,(12-MONTH(E73)+1)/12))))-((P73)*(IF((YEAR(D73)+15)&lt;YEAR(E73),0,IF((YEAR(D73)+15)&gt;YEAR(E73),1,(12-MONTH(E73)+1)/12))) + (R73)*(IF((YEAR(D73)+15)&lt;YEAR(E73),0,IF((YEAR(D73)+15)&gt;YEAR(E73),1,(12-MONTH(E73)+1)/12))))-(IF((((K73)*(IF(M73="",L73,IFERROR(IF(INDEX(Variablen!$I:$AT, MATCH(M73, Variablen!$A:$A, 0), MATCH((YEAR(D73)+15), Variablen!$I$3:$AT$3, 0))="",L73,INDEX(Variablen!$I:$AT, MATCH(M73, Variablen!$A:$A, 0), MATCH((YEAR(D73)+15), Variablen!$I$3:$AT$3, 0))),L73)))*(IF((YEAR(D73)+15)&lt;YEAR(E73),0,IF((YEAR(D73)+15)&gt;YEAR(E73),1,(12-MONTH(E73)+1)/12))) + (Q73)*(IF((YEAR(D73)+15)&lt;YEAR(E73),0,IF((YEAR(D73)+15)&gt;YEAR(E73),1,(12-MONTH(E73)+1)/12))))-((P73)*(IF((YEAR(D73)+15)&lt;YEAR(E73),0,IF((YEAR(D73)+15)&gt;YEAR(E73),1,(12-MONTH(E73)+1)/12))) + (R73)*(IF((YEAR(D73)+15)&lt;YEAR(E73),0,IF((YEAR(D73)+15)&gt;YEAR(E73),1,(12-MONTH(E73)+1)/12))))-(IF(OR(N73="",N73&lt;=0),0,(O73/N73)*(IF(OR(N73="",N73&lt;=0),0,IF((YEAR(D73)+15)&lt;YEAR(E73),0,IF((YEAR(D73)+15)&gt;=YEAR(E73)+N73,0,IF((YEAR(D73)+15)=YEAR(E73),(12-MONTH(E73)+1)/12,1))))))))&gt;0,(((K73)*(IF(M73="",L73,IFERROR(IF(INDEX(Variablen!$I:$AT, MATCH(M73, Variablen!$A:$A, 0), MATCH((YEAR(D73)+15), Variablen!$I$3:$AT$3, 0))="",L73,INDEX(Variablen!$I:$AT, MATCH(M73, Variablen!$A:$A, 0), MATCH((YEAR(D73)+15), Variablen!$I$3:$AT$3, 0))),L73)))*(IF((YEAR(D73)+15)&lt;YEAR(E73),0,IF((YEAR(D73)+15)&gt;YEAR(E73),1,(12-MONTH(E73)+1)/12))) + (Q73)*(IF((YEAR(D73)+15)&lt;YEAR(E73),0,IF((YEAR(D73)+15)&gt;YEAR(E73),1,(12-MONTH(E73)+1)/12))))-((P73)*(IF((YEAR(D73)+15)&lt;YEAR(E73),0,IF((YEAR(D73)+15)&gt;YEAR(E73),1,(12-MONTH(E73)+1)/12))) + (R73)*(IF((YEAR(D73)+15)&lt;YEAR(E73),0,IF((YEAR(D73)+15)&gt;YEAR(E73),1,(12-MONTH(E73)+1)/12))))-(IF(OR(N73="",N73&lt;=0),0,(O73/N73)*(IF(OR(N73="",N73&lt;=0),0,IF((YEAR(D73)+15)&lt;YEAR(E73),0,IF((YEAR(D73)+15)&gt;=YEAR(E73)+N73,0,IF((YEAR(D73)+15)=YEAR(E73),(12-MONTH(E73)+1)/12,1))))))))*TaxRate,0))-IF(15=0,O73,0))</f>
        <v/>
      </c>
      <c r="AI73" s="29">
        <f>IF(A73="","",((K73)*(IF(M73="",L73,IFERROR(IF(INDEX(Variablen!$I:$AT, MATCH(M73, Variablen!$A:$A, 0), MATCH((YEAR(D73)+16), Variablen!$I$3:$AT$3, 0))="",L73,INDEX(Variablen!$I:$AT, MATCH(M73, Variablen!$A:$A, 0), MATCH((YEAR(D73)+16), Variablen!$I$3:$AT$3, 0))),L73)))*(IF((YEAR(D73)+16)&lt;YEAR(E73),0,IF((YEAR(D73)+16)&gt;YEAR(E73),1,(12-MONTH(E73)+1)/12))) + (Q73)*(IF((YEAR(D73)+16)&lt;YEAR(E73),0,IF((YEAR(D73)+16)&gt;YEAR(E73),1,(12-MONTH(E73)+1)/12))))-((P73)*(IF((YEAR(D73)+16)&lt;YEAR(E73),0,IF((YEAR(D73)+16)&gt;YEAR(E73),1,(12-MONTH(E73)+1)/12))) + (R73)*(IF((YEAR(D73)+16)&lt;YEAR(E73),0,IF((YEAR(D73)+16)&gt;YEAR(E73),1,(12-MONTH(E73)+1)/12))))-(IF((((K73)*(IF(M73="",L73,IFERROR(IF(INDEX(Variablen!$I:$AT, MATCH(M73, Variablen!$A:$A, 0), MATCH((YEAR(D73)+16), Variablen!$I$3:$AT$3, 0))="",L73,INDEX(Variablen!$I:$AT, MATCH(M73, Variablen!$A:$A, 0), MATCH((YEAR(D73)+16), Variablen!$I$3:$AT$3, 0))),L73)))*(IF((YEAR(D73)+16)&lt;YEAR(E73),0,IF((YEAR(D73)+16)&gt;YEAR(E73),1,(12-MONTH(E73)+1)/12))) + (Q73)*(IF((YEAR(D73)+16)&lt;YEAR(E73),0,IF((YEAR(D73)+16)&gt;YEAR(E73),1,(12-MONTH(E73)+1)/12))))-((P73)*(IF((YEAR(D73)+16)&lt;YEAR(E73),0,IF((YEAR(D73)+16)&gt;YEAR(E73),1,(12-MONTH(E73)+1)/12))) + (R73)*(IF((YEAR(D73)+16)&lt;YEAR(E73),0,IF((YEAR(D73)+16)&gt;YEAR(E73),1,(12-MONTH(E73)+1)/12))))-(IF(OR(N73="",N73&lt;=0),0,(O73/N73)*(IF(OR(N73="",N73&lt;=0),0,IF((YEAR(D73)+16)&lt;YEAR(E73),0,IF((YEAR(D73)+16)&gt;=YEAR(E73)+N73,0,IF((YEAR(D73)+16)=YEAR(E73),(12-MONTH(E73)+1)/12,1))))))))&gt;0,(((K73)*(IF(M73="",L73,IFERROR(IF(INDEX(Variablen!$I:$AT, MATCH(M73, Variablen!$A:$A, 0), MATCH((YEAR(D73)+16), Variablen!$I$3:$AT$3, 0))="",L73,INDEX(Variablen!$I:$AT, MATCH(M73, Variablen!$A:$A, 0), MATCH((YEAR(D73)+16), Variablen!$I$3:$AT$3, 0))),L73)))*(IF((YEAR(D73)+16)&lt;YEAR(E73),0,IF((YEAR(D73)+16)&gt;YEAR(E73),1,(12-MONTH(E73)+1)/12))) + (Q73)*(IF((YEAR(D73)+16)&lt;YEAR(E73),0,IF((YEAR(D73)+16)&gt;YEAR(E73),1,(12-MONTH(E73)+1)/12))))-((P73)*(IF((YEAR(D73)+16)&lt;YEAR(E73),0,IF((YEAR(D73)+16)&gt;YEAR(E73),1,(12-MONTH(E73)+1)/12))) + (R73)*(IF((YEAR(D73)+16)&lt;YEAR(E73),0,IF((YEAR(D73)+16)&gt;YEAR(E73),1,(12-MONTH(E73)+1)/12))))-(IF(OR(N73="",N73&lt;=0),0,(O73/N73)*(IF(OR(N73="",N73&lt;=0),0,IF((YEAR(D73)+16)&lt;YEAR(E73),0,IF((YEAR(D73)+16)&gt;=YEAR(E73)+N73,0,IF((YEAR(D73)+16)=YEAR(E73),(12-MONTH(E73)+1)/12,1))))))))*TaxRate,0))-IF(16=0,O73,0))</f>
        <v/>
      </c>
      <c r="AJ73" s="29">
        <f>IF(A73="","",((K73)*(IF(M73="",L73,IFERROR(IF(INDEX(Variablen!$I:$AT, MATCH(M73, Variablen!$A:$A, 0), MATCH((YEAR(D73)+17), Variablen!$I$3:$AT$3, 0))="",L73,INDEX(Variablen!$I:$AT, MATCH(M73, Variablen!$A:$A, 0), MATCH((YEAR(D73)+17), Variablen!$I$3:$AT$3, 0))),L73)))*(IF((YEAR(D73)+17)&lt;YEAR(E73),0,IF((YEAR(D73)+17)&gt;YEAR(E73),1,(12-MONTH(E73)+1)/12))) + (Q73)*(IF((YEAR(D73)+17)&lt;YEAR(E73),0,IF((YEAR(D73)+17)&gt;YEAR(E73),1,(12-MONTH(E73)+1)/12))))-((P73)*(IF((YEAR(D73)+17)&lt;YEAR(E73),0,IF((YEAR(D73)+17)&gt;YEAR(E73),1,(12-MONTH(E73)+1)/12))) + (R73)*(IF((YEAR(D73)+17)&lt;YEAR(E73),0,IF((YEAR(D73)+17)&gt;YEAR(E73),1,(12-MONTH(E73)+1)/12))))-(IF((((K73)*(IF(M73="",L73,IFERROR(IF(INDEX(Variablen!$I:$AT, MATCH(M73, Variablen!$A:$A, 0), MATCH((YEAR(D73)+17), Variablen!$I$3:$AT$3, 0))="",L73,INDEX(Variablen!$I:$AT, MATCH(M73, Variablen!$A:$A, 0), MATCH((YEAR(D73)+17), Variablen!$I$3:$AT$3, 0))),L73)))*(IF((YEAR(D73)+17)&lt;YEAR(E73),0,IF((YEAR(D73)+17)&gt;YEAR(E73),1,(12-MONTH(E73)+1)/12))) + (Q73)*(IF((YEAR(D73)+17)&lt;YEAR(E73),0,IF((YEAR(D73)+17)&gt;YEAR(E73),1,(12-MONTH(E73)+1)/12))))-((P73)*(IF((YEAR(D73)+17)&lt;YEAR(E73),0,IF((YEAR(D73)+17)&gt;YEAR(E73),1,(12-MONTH(E73)+1)/12))) + (R73)*(IF((YEAR(D73)+17)&lt;YEAR(E73),0,IF((YEAR(D73)+17)&gt;YEAR(E73),1,(12-MONTH(E73)+1)/12))))-(IF(OR(N73="",N73&lt;=0),0,(O73/N73)*(IF(OR(N73="",N73&lt;=0),0,IF((YEAR(D73)+17)&lt;YEAR(E73),0,IF((YEAR(D73)+17)&gt;=YEAR(E73)+N73,0,IF((YEAR(D73)+17)=YEAR(E73),(12-MONTH(E73)+1)/12,1))))))))&gt;0,(((K73)*(IF(M73="",L73,IFERROR(IF(INDEX(Variablen!$I:$AT, MATCH(M73, Variablen!$A:$A, 0), MATCH((YEAR(D73)+17), Variablen!$I$3:$AT$3, 0))="",L73,INDEX(Variablen!$I:$AT, MATCH(M73, Variablen!$A:$A, 0), MATCH((YEAR(D73)+17), Variablen!$I$3:$AT$3, 0))),L73)))*(IF((YEAR(D73)+17)&lt;YEAR(E73),0,IF((YEAR(D73)+17)&gt;YEAR(E73),1,(12-MONTH(E73)+1)/12))) + (Q73)*(IF((YEAR(D73)+17)&lt;YEAR(E73),0,IF((YEAR(D73)+17)&gt;YEAR(E73),1,(12-MONTH(E73)+1)/12))))-((P73)*(IF((YEAR(D73)+17)&lt;YEAR(E73),0,IF((YEAR(D73)+17)&gt;YEAR(E73),1,(12-MONTH(E73)+1)/12))) + (R73)*(IF((YEAR(D73)+17)&lt;YEAR(E73),0,IF((YEAR(D73)+17)&gt;YEAR(E73),1,(12-MONTH(E73)+1)/12))))-(IF(OR(N73="",N73&lt;=0),0,(O73/N73)*(IF(OR(N73="",N73&lt;=0),0,IF((YEAR(D73)+17)&lt;YEAR(E73),0,IF((YEAR(D73)+17)&gt;=YEAR(E73)+N73,0,IF((YEAR(D73)+17)=YEAR(E73),(12-MONTH(E73)+1)/12,1))))))))*TaxRate,0))-IF(17=0,O73,0))</f>
        <v/>
      </c>
      <c r="AK73" s="29">
        <f>IF(A73="","",((K73)*(IF(M73="",L73,IFERROR(IF(INDEX(Variablen!$I:$AT, MATCH(M73, Variablen!$A:$A, 0), MATCH((YEAR(D73)+18), Variablen!$I$3:$AT$3, 0))="",L73,INDEX(Variablen!$I:$AT, MATCH(M73, Variablen!$A:$A, 0), MATCH((YEAR(D73)+18), Variablen!$I$3:$AT$3, 0))),L73)))*(IF((YEAR(D73)+18)&lt;YEAR(E73),0,IF((YEAR(D73)+18)&gt;YEAR(E73),1,(12-MONTH(E73)+1)/12))) + (Q73)*(IF((YEAR(D73)+18)&lt;YEAR(E73),0,IF((YEAR(D73)+18)&gt;YEAR(E73),1,(12-MONTH(E73)+1)/12))))-((P73)*(IF((YEAR(D73)+18)&lt;YEAR(E73),0,IF((YEAR(D73)+18)&gt;YEAR(E73),1,(12-MONTH(E73)+1)/12))) + (R73)*(IF((YEAR(D73)+18)&lt;YEAR(E73),0,IF((YEAR(D73)+18)&gt;YEAR(E73),1,(12-MONTH(E73)+1)/12))))-(IF((((K73)*(IF(M73="",L73,IFERROR(IF(INDEX(Variablen!$I:$AT, MATCH(M73, Variablen!$A:$A, 0), MATCH((YEAR(D73)+18), Variablen!$I$3:$AT$3, 0))="",L73,INDEX(Variablen!$I:$AT, MATCH(M73, Variablen!$A:$A, 0), MATCH((YEAR(D73)+18), Variablen!$I$3:$AT$3, 0))),L73)))*(IF((YEAR(D73)+18)&lt;YEAR(E73),0,IF((YEAR(D73)+18)&gt;YEAR(E73),1,(12-MONTH(E73)+1)/12))) + (Q73)*(IF((YEAR(D73)+18)&lt;YEAR(E73),0,IF((YEAR(D73)+18)&gt;YEAR(E73),1,(12-MONTH(E73)+1)/12))))-((P73)*(IF((YEAR(D73)+18)&lt;YEAR(E73),0,IF((YEAR(D73)+18)&gt;YEAR(E73),1,(12-MONTH(E73)+1)/12))) + (R73)*(IF((YEAR(D73)+18)&lt;YEAR(E73),0,IF((YEAR(D73)+18)&gt;YEAR(E73),1,(12-MONTH(E73)+1)/12))))-(IF(OR(N73="",N73&lt;=0),0,(O73/N73)*(IF(OR(N73="",N73&lt;=0),0,IF((YEAR(D73)+18)&lt;YEAR(E73),0,IF((YEAR(D73)+18)&gt;=YEAR(E73)+N73,0,IF((YEAR(D73)+18)=YEAR(E73),(12-MONTH(E73)+1)/12,1))))))))&gt;0,(((K73)*(IF(M73="",L73,IFERROR(IF(INDEX(Variablen!$I:$AT, MATCH(M73, Variablen!$A:$A, 0), MATCH((YEAR(D73)+18), Variablen!$I$3:$AT$3, 0))="",L73,INDEX(Variablen!$I:$AT, MATCH(M73, Variablen!$A:$A, 0), MATCH((YEAR(D73)+18), Variablen!$I$3:$AT$3, 0))),L73)))*(IF((YEAR(D73)+18)&lt;YEAR(E73),0,IF((YEAR(D73)+18)&gt;YEAR(E73),1,(12-MONTH(E73)+1)/12))) + (Q73)*(IF((YEAR(D73)+18)&lt;YEAR(E73),0,IF((YEAR(D73)+18)&gt;YEAR(E73),1,(12-MONTH(E73)+1)/12))))-((P73)*(IF((YEAR(D73)+18)&lt;YEAR(E73),0,IF((YEAR(D73)+18)&gt;YEAR(E73),1,(12-MONTH(E73)+1)/12))) + (R73)*(IF((YEAR(D73)+18)&lt;YEAR(E73),0,IF((YEAR(D73)+18)&gt;YEAR(E73),1,(12-MONTH(E73)+1)/12))))-(IF(OR(N73="",N73&lt;=0),0,(O73/N73)*(IF(OR(N73="",N73&lt;=0),0,IF((YEAR(D73)+18)&lt;YEAR(E73),0,IF((YEAR(D73)+18)&gt;=YEAR(E73)+N73,0,IF((YEAR(D73)+18)=YEAR(E73),(12-MONTH(E73)+1)/12,1))))))))*TaxRate,0))-IF(18=0,O73,0))</f>
        <v/>
      </c>
      <c r="AL73" s="29">
        <f>IF(A73="","",((K73)*(IF(M73="",L73,IFERROR(IF(INDEX(Variablen!$I:$AT, MATCH(M73, Variablen!$A:$A, 0), MATCH((YEAR(D73)+19), Variablen!$I$3:$AT$3, 0))="",L73,INDEX(Variablen!$I:$AT, MATCH(M73, Variablen!$A:$A, 0), MATCH((YEAR(D73)+19), Variablen!$I$3:$AT$3, 0))),L73)))*(IF((YEAR(D73)+19)&lt;YEAR(E73),0,IF((YEAR(D73)+19)&gt;YEAR(E73),1,(12-MONTH(E73)+1)/12))) + (Q73)*(IF((YEAR(D73)+19)&lt;YEAR(E73),0,IF((YEAR(D73)+19)&gt;YEAR(E73),1,(12-MONTH(E73)+1)/12))))-((P73)*(IF((YEAR(D73)+19)&lt;YEAR(E73),0,IF((YEAR(D73)+19)&gt;YEAR(E73),1,(12-MONTH(E73)+1)/12))) + (R73)*(IF((YEAR(D73)+19)&lt;YEAR(E73),0,IF((YEAR(D73)+19)&gt;YEAR(E73),1,(12-MONTH(E73)+1)/12))))-(IF((((K73)*(IF(M73="",L73,IFERROR(IF(INDEX(Variablen!$I:$AT, MATCH(M73, Variablen!$A:$A, 0), MATCH((YEAR(D73)+19), Variablen!$I$3:$AT$3, 0))="",L73,INDEX(Variablen!$I:$AT, MATCH(M73, Variablen!$A:$A, 0), MATCH((YEAR(D73)+19), Variablen!$I$3:$AT$3, 0))),L73)))*(IF((YEAR(D73)+19)&lt;YEAR(E73),0,IF((YEAR(D73)+19)&gt;YEAR(E73),1,(12-MONTH(E73)+1)/12))) + (Q73)*(IF((YEAR(D73)+19)&lt;YEAR(E73),0,IF((YEAR(D73)+19)&gt;YEAR(E73),1,(12-MONTH(E73)+1)/12))))-((P73)*(IF((YEAR(D73)+19)&lt;YEAR(E73),0,IF((YEAR(D73)+19)&gt;YEAR(E73),1,(12-MONTH(E73)+1)/12))) + (R73)*(IF((YEAR(D73)+19)&lt;YEAR(E73),0,IF((YEAR(D73)+19)&gt;YEAR(E73),1,(12-MONTH(E73)+1)/12))))-(IF(OR(N73="",N73&lt;=0),0,(O73/N73)*(IF(OR(N73="",N73&lt;=0),0,IF((YEAR(D73)+19)&lt;YEAR(E73),0,IF((YEAR(D73)+19)&gt;=YEAR(E73)+N73,0,IF((YEAR(D73)+19)=YEAR(E73),(12-MONTH(E73)+1)/12,1))))))))&gt;0,(((K73)*(IF(M73="",L73,IFERROR(IF(INDEX(Variablen!$I:$AT, MATCH(M73, Variablen!$A:$A, 0), MATCH((YEAR(D73)+19), Variablen!$I$3:$AT$3, 0))="",L73,INDEX(Variablen!$I:$AT, MATCH(M73, Variablen!$A:$A, 0), MATCH((YEAR(D73)+19), Variablen!$I$3:$AT$3, 0))),L73)))*(IF((YEAR(D73)+19)&lt;YEAR(E73),0,IF((YEAR(D73)+19)&gt;YEAR(E73),1,(12-MONTH(E73)+1)/12))) + (Q73)*(IF((YEAR(D73)+19)&lt;YEAR(E73),0,IF((YEAR(D73)+19)&gt;YEAR(E73),1,(12-MONTH(E73)+1)/12))))-((P73)*(IF((YEAR(D73)+19)&lt;YEAR(E73),0,IF((YEAR(D73)+19)&gt;YEAR(E73),1,(12-MONTH(E73)+1)/12))) + (R73)*(IF((YEAR(D73)+19)&lt;YEAR(E73),0,IF((YEAR(D73)+19)&gt;YEAR(E73),1,(12-MONTH(E73)+1)/12))))-(IF(OR(N73="",N73&lt;=0),0,(O73/N73)*(IF(OR(N73="",N73&lt;=0),0,IF((YEAR(D73)+19)&lt;YEAR(E73),0,IF((YEAR(D73)+19)&gt;=YEAR(E73)+N73,0,IF((YEAR(D73)+19)=YEAR(E73),(12-MONTH(E73)+1)/12,1))))))))*TaxRate,0))-IF(19=0,O73,0))</f>
        <v/>
      </c>
      <c r="AM73" s="29">
        <f>IF(A73="","",((K73)*(IF(M73="",L73,IFERROR(IF(INDEX(Variablen!$I:$AT, MATCH(M73, Variablen!$A:$A, 0), MATCH((YEAR(D73)+20), Variablen!$I$3:$AT$3, 0))="",L73,INDEX(Variablen!$I:$AT, MATCH(M73, Variablen!$A:$A, 0), MATCH((YEAR(D73)+20), Variablen!$I$3:$AT$3, 0))),L73)))*(IF((YEAR(D73)+20)&lt;YEAR(E73),0,IF((YEAR(D73)+20)&gt;YEAR(E73),1,(12-MONTH(E73)+1)/12))) + (Q73)*(IF((YEAR(D73)+20)&lt;YEAR(E73),0,IF((YEAR(D73)+20)&gt;YEAR(E73),1,(12-MONTH(E73)+1)/12))))-((P73)*(IF((YEAR(D73)+20)&lt;YEAR(E73),0,IF((YEAR(D73)+20)&gt;YEAR(E73),1,(12-MONTH(E73)+1)/12))) + (R73)*(IF((YEAR(D73)+20)&lt;YEAR(E73),0,IF((YEAR(D73)+20)&gt;YEAR(E73),1,(12-MONTH(E73)+1)/12))))-(IF((((K73)*(IF(M73="",L73,IFERROR(IF(INDEX(Variablen!$I:$AT, MATCH(M73, Variablen!$A:$A, 0), MATCH((YEAR(D73)+20), Variablen!$I$3:$AT$3, 0))="",L73,INDEX(Variablen!$I:$AT, MATCH(M73, Variablen!$A:$A, 0), MATCH((YEAR(D73)+20), Variablen!$I$3:$AT$3, 0))),L73)))*(IF((YEAR(D73)+20)&lt;YEAR(E73),0,IF((YEAR(D73)+20)&gt;YEAR(E73),1,(12-MONTH(E73)+1)/12))) + (Q73)*(IF((YEAR(D73)+20)&lt;YEAR(E73),0,IF((YEAR(D73)+20)&gt;YEAR(E73),1,(12-MONTH(E73)+1)/12))))-((P73)*(IF((YEAR(D73)+20)&lt;YEAR(E73),0,IF((YEAR(D73)+20)&gt;YEAR(E73),1,(12-MONTH(E73)+1)/12))) + (R73)*(IF((YEAR(D73)+20)&lt;YEAR(E73),0,IF((YEAR(D73)+20)&gt;YEAR(E73),1,(12-MONTH(E73)+1)/12))))-(IF(OR(N73="",N73&lt;=0),0,(O73/N73)*(IF(OR(N73="",N73&lt;=0),0,IF((YEAR(D73)+20)&lt;YEAR(E73),0,IF((YEAR(D73)+20)&gt;=YEAR(E73)+N73,0,IF((YEAR(D73)+20)=YEAR(E73),(12-MONTH(E73)+1)/12,1))))))))&gt;0,(((K73)*(IF(M73="",L73,IFERROR(IF(INDEX(Variablen!$I:$AT, MATCH(M73, Variablen!$A:$A, 0), MATCH((YEAR(D73)+20), Variablen!$I$3:$AT$3, 0))="",L73,INDEX(Variablen!$I:$AT, MATCH(M73, Variablen!$A:$A, 0), MATCH((YEAR(D73)+20), Variablen!$I$3:$AT$3, 0))),L73)))*(IF((YEAR(D73)+20)&lt;YEAR(E73),0,IF((YEAR(D73)+20)&gt;YEAR(E73),1,(12-MONTH(E73)+1)/12))) + (Q73)*(IF((YEAR(D73)+20)&lt;YEAR(E73),0,IF((YEAR(D73)+20)&gt;YEAR(E73),1,(12-MONTH(E73)+1)/12))))-((P73)*(IF((YEAR(D73)+20)&lt;YEAR(E73),0,IF((YEAR(D73)+20)&gt;YEAR(E73),1,(12-MONTH(E73)+1)/12))) + (R73)*(IF((YEAR(D73)+20)&lt;YEAR(E73),0,IF((YEAR(D73)+20)&gt;YEAR(E73),1,(12-MONTH(E73)+1)/12))))-(IF(OR(N73="",N73&lt;=0),0,(O73/N73)*(IF(OR(N73="",N73&lt;=0),0,IF((YEAR(D73)+20)&lt;YEAR(E73),0,IF((YEAR(D73)+20)&gt;=YEAR(E73)+N73,0,IF((YEAR(D73)+20)=YEAR(E73),(12-MONTH(E73)+1)/12,1))))))))*TaxRate,0))-IF(20=0,O73,0))</f>
        <v/>
      </c>
      <c r="AN73" s="29">
        <f>IF(A73="","",S73)</f>
        <v/>
      </c>
      <c r="AO73" s="29">
        <f>IF(A73="","",AN73+T73)</f>
        <v/>
      </c>
      <c r="AP73" s="29">
        <f>IF(A73="","",AO73+U73)</f>
        <v/>
      </c>
      <c r="AQ73" s="29">
        <f>IF(A73="","",AP73+V73)</f>
        <v/>
      </c>
      <c r="AR73" s="29">
        <f>IF(A73="","",AQ73+W73)</f>
        <v/>
      </c>
      <c r="AS73" s="29">
        <f>IF(A73="","",AR73+X73)</f>
        <v/>
      </c>
      <c r="AT73" s="29">
        <f>IF(A73="","",AS73+Y73)</f>
        <v/>
      </c>
      <c r="AU73" s="29">
        <f>IF(A73="","",AT73+Z73)</f>
        <v/>
      </c>
      <c r="AV73" s="29">
        <f>IF(A73="","",AU73+AA73)</f>
        <v/>
      </c>
      <c r="AW73" s="29">
        <f>IF(A73="","",AV73+AB73)</f>
        <v/>
      </c>
      <c r="AX73" s="29">
        <f>IF(A73="","",AW73+AC73)</f>
        <v/>
      </c>
      <c r="AY73" s="29">
        <f>IF(A73="","",AX73+AD73)</f>
        <v/>
      </c>
      <c r="AZ73" s="29">
        <f>IF(A73="","",AY73+AE73)</f>
        <v/>
      </c>
      <c r="BA73" s="29">
        <f>IF(A73="","",AZ73+AF73)</f>
        <v/>
      </c>
      <c r="BB73" s="29">
        <f>IF(A73="","",BA73+AG73)</f>
        <v/>
      </c>
      <c r="BC73" s="29">
        <f>IF(A73="","",BB73+AH73)</f>
        <v/>
      </c>
      <c r="BD73" s="29">
        <f>IF(A73="","",BC73+AI73)</f>
        <v/>
      </c>
      <c r="BE73" s="29">
        <f>IF(A73="","",BD73+AJ73)</f>
        <v/>
      </c>
      <c r="BF73" s="29">
        <f>IF(A73="","",BE73+AK73)</f>
        <v/>
      </c>
      <c r="BG73" s="29">
        <f>IF(A73="","",BF73+AL73)</f>
        <v/>
      </c>
      <c r="BH73" s="29">
        <f>IF(A73="","",BG73+AM73)</f>
        <v/>
      </c>
      <c r="BI73" s="36">
        <f>IF(A73="","",(K73)*(IF((YEAR(D73)+0)&lt;YEAR(E73),0,IF((YEAR(D73)+0)&gt;YEAR(E73),1,(12-MONTH(E73)+1)/12)))*(1/(1+DiscountRate)^0))</f>
        <v/>
      </c>
      <c r="BJ73" s="36">
        <f>IF(A73="","",(K73)*(IF((YEAR(D73)+1)&lt;YEAR(E73),0,IF((YEAR(D73)+1)&gt;YEAR(E73),1,(12-MONTH(E73)+1)/12)))*(1/(1+DiscountRate)^1))</f>
        <v/>
      </c>
      <c r="BK73" s="36">
        <f>IF(A73="","",(K73)*(IF((YEAR(D73)+2)&lt;YEAR(E73),0,IF((YEAR(D73)+2)&gt;YEAR(E73),1,(12-MONTH(E73)+1)/12)))*(1/(1+DiscountRate)^2))</f>
        <v/>
      </c>
      <c r="BL73" s="36">
        <f>IF(A73="","",(K73)*(IF((YEAR(D73)+3)&lt;YEAR(E73),0,IF((YEAR(D73)+3)&gt;YEAR(E73),1,(12-MONTH(E73)+1)/12)))*(1/(1+DiscountRate)^3))</f>
        <v/>
      </c>
      <c r="BM73" s="36">
        <f>IF(A73="","",(K73)*(IF((YEAR(D73)+4)&lt;YEAR(E73),0,IF((YEAR(D73)+4)&gt;YEAR(E73),1,(12-MONTH(E73)+1)/12)))*(1/(1+DiscountRate)^4))</f>
        <v/>
      </c>
      <c r="BN73" s="36">
        <f>IF(A73="","",(K73)*(IF((YEAR(D73)+5)&lt;YEAR(E73),0,IF((YEAR(D73)+5)&gt;YEAR(E73),1,(12-MONTH(E73)+1)/12)))*(1/(1+DiscountRate)^5))</f>
        <v/>
      </c>
      <c r="BO73" s="36">
        <f>IF(A73="","",(K73)*(IF((YEAR(D73)+6)&lt;YEAR(E73),0,IF((YEAR(D73)+6)&gt;YEAR(E73),1,(12-MONTH(E73)+1)/12)))*(1/(1+DiscountRate)^6))</f>
        <v/>
      </c>
      <c r="BP73" s="36">
        <f>IF(A73="","",(K73)*(IF((YEAR(D73)+7)&lt;YEAR(E73),0,IF((YEAR(D73)+7)&gt;YEAR(E73),1,(12-MONTH(E73)+1)/12)))*(1/(1+DiscountRate)^7))</f>
        <v/>
      </c>
      <c r="BQ73" s="36">
        <f>IF(A73="","",(K73)*(IF((YEAR(D73)+8)&lt;YEAR(E73),0,IF((YEAR(D73)+8)&gt;YEAR(E73),1,(12-MONTH(E73)+1)/12)))*(1/(1+DiscountRate)^8))</f>
        <v/>
      </c>
      <c r="BR73" s="36">
        <f>IF(A73="","",(K73)*(IF((YEAR(D73)+9)&lt;YEAR(E73),0,IF((YEAR(D73)+9)&gt;YEAR(E73),1,(12-MONTH(E73)+1)/12)))*(1/(1+DiscountRate)^9))</f>
        <v/>
      </c>
      <c r="BS73" s="36">
        <f>IF(A73="","",(K73)*(IF((YEAR(D73)+10)&lt;YEAR(E73),0,IF((YEAR(D73)+10)&gt;YEAR(E73),1,(12-MONTH(E73)+1)/12)))*(1/(1+DiscountRate)^10))</f>
        <v/>
      </c>
      <c r="BT73" s="36">
        <f>IF(A73="","",(K73)*(IF((YEAR(D73)+11)&lt;YEAR(E73),0,IF((YEAR(D73)+11)&gt;YEAR(E73),1,(12-MONTH(E73)+1)/12)))*(1/(1+DiscountRate)^11))</f>
        <v/>
      </c>
      <c r="BU73" s="36">
        <f>IF(A73="","",(K73)*(IF((YEAR(D73)+12)&lt;YEAR(E73),0,IF((YEAR(D73)+12)&gt;YEAR(E73),1,(12-MONTH(E73)+1)/12)))*(1/(1+DiscountRate)^12))</f>
        <v/>
      </c>
      <c r="BV73" s="36">
        <f>IF(A73="","",(K73)*(IF((YEAR(D73)+13)&lt;YEAR(E73),0,IF((YEAR(D73)+13)&gt;YEAR(E73),1,(12-MONTH(E73)+1)/12)))*(1/(1+DiscountRate)^13))</f>
        <v/>
      </c>
      <c r="BW73" s="36">
        <f>IF(A73="","",(K73)*(IF((YEAR(D73)+14)&lt;YEAR(E73),0,IF((YEAR(D73)+14)&gt;YEAR(E73),1,(12-MONTH(E73)+1)/12)))*(1/(1+DiscountRate)^14))</f>
        <v/>
      </c>
      <c r="BX73" s="36">
        <f>IF(A73="","",(K73)*(IF((YEAR(D73)+15)&lt;YEAR(E73),0,IF((YEAR(D73)+15)&gt;YEAR(E73),1,(12-MONTH(E73)+1)/12)))*(1/(1+DiscountRate)^15))</f>
        <v/>
      </c>
      <c r="BY73" s="36">
        <f>IF(A73="","",(K73)*(IF((YEAR(D73)+16)&lt;YEAR(E73),0,IF((YEAR(D73)+16)&gt;YEAR(E73),1,(12-MONTH(E73)+1)/12)))*(1/(1+DiscountRate)^16))</f>
        <v/>
      </c>
      <c r="BZ73" s="36">
        <f>IF(A73="","",(K73)*(IF((YEAR(D73)+17)&lt;YEAR(E73),0,IF((YEAR(D73)+17)&gt;YEAR(E73),1,(12-MONTH(E73)+1)/12)))*(1/(1+DiscountRate)^17))</f>
        <v/>
      </c>
      <c r="CA73" s="36">
        <f>IF(A73="","",(K73)*(IF((YEAR(D73)+18)&lt;YEAR(E73),0,IF((YEAR(D73)+18)&gt;YEAR(E73),1,(12-MONTH(E73)+1)/12)))*(1/(1+DiscountRate)^18))</f>
        <v/>
      </c>
      <c r="CB73" s="36">
        <f>IF(A73="","",(K73)*(IF((YEAR(D73)+19)&lt;YEAR(E73),0,IF((YEAR(D73)+19)&gt;YEAR(E73),1,(12-MONTH(E73)+1)/12)))*(1/(1+DiscountRate)^19))</f>
        <v/>
      </c>
      <c r="CC73" s="36">
        <f>IF(A73="","",(K73)*(IF((YEAR(D73)+20)&lt;YEAR(E73),0,IF((YEAR(D73)+20)&gt;YEAR(E73),1,(12-MONTH(E73)+1)/12)))*(1/(1+DiscountRate)^20))</f>
        <v/>
      </c>
      <c r="CD73" s="29">
        <f>IF(A73="","",S73/(1+DiscountRate)^0+T73/(1+DiscountRate)^1+U73/(1+DiscountRate)^2+V73/(1+DiscountRate)^3+W73/(1+DiscountRate)^4+X73/(1+DiscountRate)^5+Y73/(1+DiscountRate)^6+Z73/(1+DiscountRate)^7+AA73/(1+DiscountRate)^8+AB73/(1+DiscountRate)^9+AC73/(1+DiscountRate)^10+AD73/(1+DiscountRate)^11+AE73/(1+DiscountRate)^12+AF73/(1+DiscountRate)^13+AG73/(1+DiscountRate)^14+AH73/(1+DiscountRate)^15+AI73/(1+DiscountRate)^16+AJ73/(1+DiscountRate)^17+AK73/(1+DiscountRate)^18+AL73/(1+DiscountRate)^19+AM73/(1+DiscountRate)^20)</f>
        <v/>
      </c>
      <c r="CE73" s="37">
        <f>IF(A73="","",IFERROR(IRR(OFFSET(S73,0,0,1,MIN(HorizonYears,20)+1)),"n/a"))</f>
        <v/>
      </c>
      <c r="CF73" s="28">
        <f>IF(A73="","",IFERROR(MATCH(TRUE,OFFSET(AN73,0,0,1,MIN(HorizonYears,20)+1)&gt;=0,0)-1,"n/a"))</f>
        <v/>
      </c>
      <c r="CG73" s="36">
        <f>IF(A73="","",SUM(OFFSET(BI73,0,0,1,MIN(HorizonYears,20)+1)))</f>
        <v/>
      </c>
      <c r="CH73" s="36">
        <f>IF(A73="","",IFERROR(-CD73/CG73,"n/a"))</f>
        <v/>
      </c>
    </row>
    <row r="74">
      <c r="A74" s="6">
        <f>Actions!A72</f>
        <v/>
      </c>
      <c r="B74" s="6">
        <f>Actions!B72</f>
        <v/>
      </c>
      <c r="C74" s="6">
        <f>Actions!D72</f>
        <v/>
      </c>
      <c r="D74" s="35">
        <f>Actions!E72</f>
        <v/>
      </c>
      <c r="E74" s="35">
        <f>Actions!F72</f>
        <v/>
      </c>
      <c r="F74" s="6">
        <f>Actions!G72</f>
        <v/>
      </c>
      <c r="G74" s="6">
        <f>Actions!H72</f>
        <v/>
      </c>
      <c r="H74" s="29">
        <f>Actions!I72</f>
        <v/>
      </c>
      <c r="I74" s="6">
        <f>Actions!J72</f>
        <v/>
      </c>
      <c r="J74" s="16">
        <f>Actions!K72</f>
        <v/>
      </c>
      <c r="K74" s="16">
        <f>IF(A74="","",IF(I74="%",H74*J74,J74))</f>
        <v/>
      </c>
      <c r="L74" s="16">
        <f>Actions!L72</f>
        <v/>
      </c>
      <c r="M74" s="6">
        <f>Actions!M72</f>
        <v/>
      </c>
      <c r="N74" s="28">
        <f>Actions!N72</f>
        <v/>
      </c>
      <c r="O74" s="29">
        <f>Actions!T72</f>
        <v/>
      </c>
      <c r="P74" s="29">
        <f>Actions!Y72</f>
        <v/>
      </c>
      <c r="Q74" s="29">
        <f>Actions!Z72</f>
        <v/>
      </c>
      <c r="R74" s="29">
        <f>Actions!AA72</f>
        <v/>
      </c>
      <c r="S74" s="29">
        <f>IF(A74="","",((K74)*(IF(M74="",L74,IFERROR(IF(INDEX(Variablen!$I:$AT, MATCH(M74, Variablen!$A:$A, 0), MATCH((YEAR(D74)+0), Variablen!$I$3:$AT$3, 0))="",L74,INDEX(Variablen!$I:$AT, MATCH(M74, Variablen!$A:$A, 0), MATCH((YEAR(D74)+0), Variablen!$I$3:$AT$3, 0))),L74)))*(IF((YEAR(D74)+0)&lt;YEAR(E74),0,IF((YEAR(D74)+0)&gt;YEAR(E74),1,(12-MONTH(E74)+1)/12))) + (Q74)*(IF((YEAR(D74)+0)&lt;YEAR(E74),0,IF((YEAR(D74)+0)&gt;YEAR(E74),1,(12-MONTH(E74)+1)/12))))-((P74)*(IF((YEAR(D74)+0)&lt;YEAR(E74),0,IF((YEAR(D74)+0)&gt;YEAR(E74),1,(12-MONTH(E74)+1)/12))) + (R74)*(IF((YEAR(D74)+0)&lt;YEAR(E74),0,IF((YEAR(D74)+0)&gt;YEAR(E74),1,(12-MONTH(E74)+1)/12))))-(IF((((K74)*(IF(M74="",L74,IFERROR(IF(INDEX(Variablen!$I:$AT, MATCH(M74, Variablen!$A:$A, 0), MATCH((YEAR(D74)+0), Variablen!$I$3:$AT$3, 0))="",L74,INDEX(Variablen!$I:$AT, MATCH(M74, Variablen!$A:$A, 0), MATCH((YEAR(D74)+0), Variablen!$I$3:$AT$3, 0))),L74)))*(IF((YEAR(D74)+0)&lt;YEAR(E74),0,IF((YEAR(D74)+0)&gt;YEAR(E74),1,(12-MONTH(E74)+1)/12))) + (Q74)*(IF((YEAR(D74)+0)&lt;YEAR(E74),0,IF((YEAR(D74)+0)&gt;YEAR(E74),1,(12-MONTH(E74)+1)/12))))-((P74)*(IF((YEAR(D74)+0)&lt;YEAR(E74),0,IF((YEAR(D74)+0)&gt;YEAR(E74),1,(12-MONTH(E74)+1)/12))) + (R74)*(IF((YEAR(D74)+0)&lt;YEAR(E74),0,IF((YEAR(D74)+0)&gt;YEAR(E74),1,(12-MONTH(E74)+1)/12))))-(IF(OR(N74="",N74&lt;=0),0,(O74/N74)*(IF(OR(N74="",N74&lt;=0),0,IF((YEAR(D74)+0)&lt;YEAR(E74),0,IF((YEAR(D74)+0)&gt;=YEAR(E74)+N74,0,IF((YEAR(D74)+0)=YEAR(E74),(12-MONTH(E74)+1)/12,1))))))))&gt;0,(((K74)*(IF(M74="",L74,IFERROR(IF(INDEX(Variablen!$I:$AT, MATCH(M74, Variablen!$A:$A, 0), MATCH((YEAR(D74)+0), Variablen!$I$3:$AT$3, 0))="",L74,INDEX(Variablen!$I:$AT, MATCH(M74, Variablen!$A:$A, 0), MATCH((YEAR(D74)+0), Variablen!$I$3:$AT$3, 0))),L74)))*(IF((YEAR(D74)+0)&lt;YEAR(E74),0,IF((YEAR(D74)+0)&gt;YEAR(E74),1,(12-MONTH(E74)+1)/12))) + (Q74)*(IF((YEAR(D74)+0)&lt;YEAR(E74),0,IF((YEAR(D74)+0)&gt;YEAR(E74),1,(12-MONTH(E74)+1)/12))))-((P74)*(IF((YEAR(D74)+0)&lt;YEAR(E74),0,IF((YEAR(D74)+0)&gt;YEAR(E74),1,(12-MONTH(E74)+1)/12))) + (R74)*(IF((YEAR(D74)+0)&lt;YEAR(E74),0,IF((YEAR(D74)+0)&gt;YEAR(E74),1,(12-MONTH(E74)+1)/12))))-(IF(OR(N74="",N74&lt;=0),0,(O74/N74)*(IF(OR(N74="",N74&lt;=0),0,IF((YEAR(D74)+0)&lt;YEAR(E74),0,IF((YEAR(D74)+0)&gt;=YEAR(E74)+N74,0,IF((YEAR(D74)+0)=YEAR(E74),(12-MONTH(E74)+1)/12,1))))))))*TaxRate,0))-IF(0=0,O74,0))</f>
        <v/>
      </c>
      <c r="T74" s="29">
        <f>IF(A74="","",((K74)*(IF(M74="",L74,IFERROR(IF(INDEX(Variablen!$I:$AT, MATCH(M74, Variablen!$A:$A, 0), MATCH((YEAR(D74)+1), Variablen!$I$3:$AT$3, 0))="",L74,INDEX(Variablen!$I:$AT, MATCH(M74, Variablen!$A:$A, 0), MATCH((YEAR(D74)+1), Variablen!$I$3:$AT$3, 0))),L74)))*(IF((YEAR(D74)+1)&lt;YEAR(E74),0,IF((YEAR(D74)+1)&gt;YEAR(E74),1,(12-MONTH(E74)+1)/12))) + (Q74)*(IF((YEAR(D74)+1)&lt;YEAR(E74),0,IF((YEAR(D74)+1)&gt;YEAR(E74),1,(12-MONTH(E74)+1)/12))))-((P74)*(IF((YEAR(D74)+1)&lt;YEAR(E74),0,IF((YEAR(D74)+1)&gt;YEAR(E74),1,(12-MONTH(E74)+1)/12))) + (R74)*(IF((YEAR(D74)+1)&lt;YEAR(E74),0,IF((YEAR(D74)+1)&gt;YEAR(E74),1,(12-MONTH(E74)+1)/12))))-(IF((((K74)*(IF(M74="",L74,IFERROR(IF(INDEX(Variablen!$I:$AT, MATCH(M74, Variablen!$A:$A, 0), MATCH((YEAR(D74)+1), Variablen!$I$3:$AT$3, 0))="",L74,INDEX(Variablen!$I:$AT, MATCH(M74, Variablen!$A:$A, 0), MATCH((YEAR(D74)+1), Variablen!$I$3:$AT$3, 0))),L74)))*(IF((YEAR(D74)+1)&lt;YEAR(E74),0,IF((YEAR(D74)+1)&gt;YEAR(E74),1,(12-MONTH(E74)+1)/12))) + (Q74)*(IF((YEAR(D74)+1)&lt;YEAR(E74),0,IF((YEAR(D74)+1)&gt;YEAR(E74),1,(12-MONTH(E74)+1)/12))))-((P74)*(IF((YEAR(D74)+1)&lt;YEAR(E74),0,IF((YEAR(D74)+1)&gt;YEAR(E74),1,(12-MONTH(E74)+1)/12))) + (R74)*(IF((YEAR(D74)+1)&lt;YEAR(E74),0,IF((YEAR(D74)+1)&gt;YEAR(E74),1,(12-MONTH(E74)+1)/12))))-(IF(OR(N74="",N74&lt;=0),0,(O74/N74)*(IF(OR(N74="",N74&lt;=0),0,IF((YEAR(D74)+1)&lt;YEAR(E74),0,IF((YEAR(D74)+1)&gt;=YEAR(E74)+N74,0,IF((YEAR(D74)+1)=YEAR(E74),(12-MONTH(E74)+1)/12,1))))))))&gt;0,(((K74)*(IF(M74="",L74,IFERROR(IF(INDEX(Variablen!$I:$AT, MATCH(M74, Variablen!$A:$A, 0), MATCH((YEAR(D74)+1), Variablen!$I$3:$AT$3, 0))="",L74,INDEX(Variablen!$I:$AT, MATCH(M74, Variablen!$A:$A, 0), MATCH((YEAR(D74)+1), Variablen!$I$3:$AT$3, 0))),L74)))*(IF((YEAR(D74)+1)&lt;YEAR(E74),0,IF((YEAR(D74)+1)&gt;YEAR(E74),1,(12-MONTH(E74)+1)/12))) + (Q74)*(IF((YEAR(D74)+1)&lt;YEAR(E74),0,IF((YEAR(D74)+1)&gt;YEAR(E74),1,(12-MONTH(E74)+1)/12))))-((P74)*(IF((YEAR(D74)+1)&lt;YEAR(E74),0,IF((YEAR(D74)+1)&gt;YEAR(E74),1,(12-MONTH(E74)+1)/12))) + (R74)*(IF((YEAR(D74)+1)&lt;YEAR(E74),0,IF((YEAR(D74)+1)&gt;YEAR(E74),1,(12-MONTH(E74)+1)/12))))-(IF(OR(N74="",N74&lt;=0),0,(O74/N74)*(IF(OR(N74="",N74&lt;=0),0,IF((YEAR(D74)+1)&lt;YEAR(E74),0,IF((YEAR(D74)+1)&gt;=YEAR(E74)+N74,0,IF((YEAR(D74)+1)=YEAR(E74),(12-MONTH(E74)+1)/12,1))))))))*TaxRate,0))-IF(1=0,O74,0))</f>
        <v/>
      </c>
      <c r="U74" s="29">
        <f>IF(A74="","",((K74)*(IF(M74="",L74,IFERROR(IF(INDEX(Variablen!$I:$AT, MATCH(M74, Variablen!$A:$A, 0), MATCH((YEAR(D74)+2), Variablen!$I$3:$AT$3, 0))="",L74,INDEX(Variablen!$I:$AT, MATCH(M74, Variablen!$A:$A, 0), MATCH((YEAR(D74)+2), Variablen!$I$3:$AT$3, 0))),L74)))*(IF((YEAR(D74)+2)&lt;YEAR(E74),0,IF((YEAR(D74)+2)&gt;YEAR(E74),1,(12-MONTH(E74)+1)/12))) + (Q74)*(IF((YEAR(D74)+2)&lt;YEAR(E74),0,IF((YEAR(D74)+2)&gt;YEAR(E74),1,(12-MONTH(E74)+1)/12))))-((P74)*(IF((YEAR(D74)+2)&lt;YEAR(E74),0,IF((YEAR(D74)+2)&gt;YEAR(E74),1,(12-MONTH(E74)+1)/12))) + (R74)*(IF((YEAR(D74)+2)&lt;YEAR(E74),0,IF((YEAR(D74)+2)&gt;YEAR(E74),1,(12-MONTH(E74)+1)/12))))-(IF((((K74)*(IF(M74="",L74,IFERROR(IF(INDEX(Variablen!$I:$AT, MATCH(M74, Variablen!$A:$A, 0), MATCH((YEAR(D74)+2), Variablen!$I$3:$AT$3, 0))="",L74,INDEX(Variablen!$I:$AT, MATCH(M74, Variablen!$A:$A, 0), MATCH((YEAR(D74)+2), Variablen!$I$3:$AT$3, 0))),L74)))*(IF((YEAR(D74)+2)&lt;YEAR(E74),0,IF((YEAR(D74)+2)&gt;YEAR(E74),1,(12-MONTH(E74)+1)/12))) + (Q74)*(IF((YEAR(D74)+2)&lt;YEAR(E74),0,IF((YEAR(D74)+2)&gt;YEAR(E74),1,(12-MONTH(E74)+1)/12))))-((P74)*(IF((YEAR(D74)+2)&lt;YEAR(E74),0,IF((YEAR(D74)+2)&gt;YEAR(E74),1,(12-MONTH(E74)+1)/12))) + (R74)*(IF((YEAR(D74)+2)&lt;YEAR(E74),0,IF((YEAR(D74)+2)&gt;YEAR(E74),1,(12-MONTH(E74)+1)/12))))-(IF(OR(N74="",N74&lt;=0),0,(O74/N74)*(IF(OR(N74="",N74&lt;=0),0,IF((YEAR(D74)+2)&lt;YEAR(E74),0,IF((YEAR(D74)+2)&gt;=YEAR(E74)+N74,0,IF((YEAR(D74)+2)=YEAR(E74),(12-MONTH(E74)+1)/12,1))))))))&gt;0,(((K74)*(IF(M74="",L74,IFERROR(IF(INDEX(Variablen!$I:$AT, MATCH(M74, Variablen!$A:$A, 0), MATCH((YEAR(D74)+2), Variablen!$I$3:$AT$3, 0))="",L74,INDEX(Variablen!$I:$AT, MATCH(M74, Variablen!$A:$A, 0), MATCH((YEAR(D74)+2), Variablen!$I$3:$AT$3, 0))),L74)))*(IF((YEAR(D74)+2)&lt;YEAR(E74),0,IF((YEAR(D74)+2)&gt;YEAR(E74),1,(12-MONTH(E74)+1)/12))) + (Q74)*(IF((YEAR(D74)+2)&lt;YEAR(E74),0,IF((YEAR(D74)+2)&gt;YEAR(E74),1,(12-MONTH(E74)+1)/12))))-((P74)*(IF((YEAR(D74)+2)&lt;YEAR(E74),0,IF((YEAR(D74)+2)&gt;YEAR(E74),1,(12-MONTH(E74)+1)/12))) + (R74)*(IF((YEAR(D74)+2)&lt;YEAR(E74),0,IF((YEAR(D74)+2)&gt;YEAR(E74),1,(12-MONTH(E74)+1)/12))))-(IF(OR(N74="",N74&lt;=0),0,(O74/N74)*(IF(OR(N74="",N74&lt;=0),0,IF((YEAR(D74)+2)&lt;YEAR(E74),0,IF((YEAR(D74)+2)&gt;=YEAR(E74)+N74,0,IF((YEAR(D74)+2)=YEAR(E74),(12-MONTH(E74)+1)/12,1))))))))*TaxRate,0))-IF(2=0,O74,0))</f>
        <v/>
      </c>
      <c r="V74" s="29">
        <f>IF(A74="","",((K74)*(IF(M74="",L74,IFERROR(IF(INDEX(Variablen!$I:$AT, MATCH(M74, Variablen!$A:$A, 0), MATCH((YEAR(D74)+3), Variablen!$I$3:$AT$3, 0))="",L74,INDEX(Variablen!$I:$AT, MATCH(M74, Variablen!$A:$A, 0), MATCH((YEAR(D74)+3), Variablen!$I$3:$AT$3, 0))),L74)))*(IF((YEAR(D74)+3)&lt;YEAR(E74),0,IF((YEAR(D74)+3)&gt;YEAR(E74),1,(12-MONTH(E74)+1)/12))) + (Q74)*(IF((YEAR(D74)+3)&lt;YEAR(E74),0,IF((YEAR(D74)+3)&gt;YEAR(E74),1,(12-MONTH(E74)+1)/12))))-((P74)*(IF((YEAR(D74)+3)&lt;YEAR(E74),0,IF((YEAR(D74)+3)&gt;YEAR(E74),1,(12-MONTH(E74)+1)/12))) + (R74)*(IF((YEAR(D74)+3)&lt;YEAR(E74),0,IF((YEAR(D74)+3)&gt;YEAR(E74),1,(12-MONTH(E74)+1)/12))))-(IF((((K74)*(IF(M74="",L74,IFERROR(IF(INDEX(Variablen!$I:$AT, MATCH(M74, Variablen!$A:$A, 0), MATCH((YEAR(D74)+3), Variablen!$I$3:$AT$3, 0))="",L74,INDEX(Variablen!$I:$AT, MATCH(M74, Variablen!$A:$A, 0), MATCH((YEAR(D74)+3), Variablen!$I$3:$AT$3, 0))),L74)))*(IF((YEAR(D74)+3)&lt;YEAR(E74),0,IF((YEAR(D74)+3)&gt;YEAR(E74),1,(12-MONTH(E74)+1)/12))) + (Q74)*(IF((YEAR(D74)+3)&lt;YEAR(E74),0,IF((YEAR(D74)+3)&gt;YEAR(E74),1,(12-MONTH(E74)+1)/12))))-((P74)*(IF((YEAR(D74)+3)&lt;YEAR(E74),0,IF((YEAR(D74)+3)&gt;YEAR(E74),1,(12-MONTH(E74)+1)/12))) + (R74)*(IF((YEAR(D74)+3)&lt;YEAR(E74),0,IF((YEAR(D74)+3)&gt;YEAR(E74),1,(12-MONTH(E74)+1)/12))))-(IF(OR(N74="",N74&lt;=0),0,(O74/N74)*(IF(OR(N74="",N74&lt;=0),0,IF((YEAR(D74)+3)&lt;YEAR(E74),0,IF((YEAR(D74)+3)&gt;=YEAR(E74)+N74,0,IF((YEAR(D74)+3)=YEAR(E74),(12-MONTH(E74)+1)/12,1))))))))&gt;0,(((K74)*(IF(M74="",L74,IFERROR(IF(INDEX(Variablen!$I:$AT, MATCH(M74, Variablen!$A:$A, 0), MATCH((YEAR(D74)+3), Variablen!$I$3:$AT$3, 0))="",L74,INDEX(Variablen!$I:$AT, MATCH(M74, Variablen!$A:$A, 0), MATCH((YEAR(D74)+3), Variablen!$I$3:$AT$3, 0))),L74)))*(IF((YEAR(D74)+3)&lt;YEAR(E74),0,IF((YEAR(D74)+3)&gt;YEAR(E74),1,(12-MONTH(E74)+1)/12))) + (Q74)*(IF((YEAR(D74)+3)&lt;YEAR(E74),0,IF((YEAR(D74)+3)&gt;YEAR(E74),1,(12-MONTH(E74)+1)/12))))-((P74)*(IF((YEAR(D74)+3)&lt;YEAR(E74),0,IF((YEAR(D74)+3)&gt;YEAR(E74),1,(12-MONTH(E74)+1)/12))) + (R74)*(IF((YEAR(D74)+3)&lt;YEAR(E74),0,IF((YEAR(D74)+3)&gt;YEAR(E74),1,(12-MONTH(E74)+1)/12))))-(IF(OR(N74="",N74&lt;=0),0,(O74/N74)*(IF(OR(N74="",N74&lt;=0),0,IF((YEAR(D74)+3)&lt;YEAR(E74),0,IF((YEAR(D74)+3)&gt;=YEAR(E74)+N74,0,IF((YEAR(D74)+3)=YEAR(E74),(12-MONTH(E74)+1)/12,1))))))))*TaxRate,0))-IF(3=0,O74,0))</f>
        <v/>
      </c>
      <c r="W74" s="29">
        <f>IF(A74="","",((K74)*(IF(M74="",L74,IFERROR(IF(INDEX(Variablen!$I:$AT, MATCH(M74, Variablen!$A:$A, 0), MATCH((YEAR(D74)+4), Variablen!$I$3:$AT$3, 0))="",L74,INDEX(Variablen!$I:$AT, MATCH(M74, Variablen!$A:$A, 0), MATCH((YEAR(D74)+4), Variablen!$I$3:$AT$3, 0))),L74)))*(IF((YEAR(D74)+4)&lt;YEAR(E74),0,IF((YEAR(D74)+4)&gt;YEAR(E74),1,(12-MONTH(E74)+1)/12))) + (Q74)*(IF((YEAR(D74)+4)&lt;YEAR(E74),0,IF((YEAR(D74)+4)&gt;YEAR(E74),1,(12-MONTH(E74)+1)/12))))-((P74)*(IF((YEAR(D74)+4)&lt;YEAR(E74),0,IF((YEAR(D74)+4)&gt;YEAR(E74),1,(12-MONTH(E74)+1)/12))) + (R74)*(IF((YEAR(D74)+4)&lt;YEAR(E74),0,IF((YEAR(D74)+4)&gt;YEAR(E74),1,(12-MONTH(E74)+1)/12))))-(IF((((K74)*(IF(M74="",L74,IFERROR(IF(INDEX(Variablen!$I:$AT, MATCH(M74, Variablen!$A:$A, 0), MATCH((YEAR(D74)+4), Variablen!$I$3:$AT$3, 0))="",L74,INDEX(Variablen!$I:$AT, MATCH(M74, Variablen!$A:$A, 0), MATCH((YEAR(D74)+4), Variablen!$I$3:$AT$3, 0))),L74)))*(IF((YEAR(D74)+4)&lt;YEAR(E74),0,IF((YEAR(D74)+4)&gt;YEAR(E74),1,(12-MONTH(E74)+1)/12))) + (Q74)*(IF((YEAR(D74)+4)&lt;YEAR(E74),0,IF((YEAR(D74)+4)&gt;YEAR(E74),1,(12-MONTH(E74)+1)/12))))-((P74)*(IF((YEAR(D74)+4)&lt;YEAR(E74),0,IF((YEAR(D74)+4)&gt;YEAR(E74),1,(12-MONTH(E74)+1)/12))) + (R74)*(IF((YEAR(D74)+4)&lt;YEAR(E74),0,IF((YEAR(D74)+4)&gt;YEAR(E74),1,(12-MONTH(E74)+1)/12))))-(IF(OR(N74="",N74&lt;=0),0,(O74/N74)*(IF(OR(N74="",N74&lt;=0),0,IF((YEAR(D74)+4)&lt;YEAR(E74),0,IF((YEAR(D74)+4)&gt;=YEAR(E74)+N74,0,IF((YEAR(D74)+4)=YEAR(E74),(12-MONTH(E74)+1)/12,1))))))))&gt;0,(((K74)*(IF(M74="",L74,IFERROR(IF(INDEX(Variablen!$I:$AT, MATCH(M74, Variablen!$A:$A, 0), MATCH((YEAR(D74)+4), Variablen!$I$3:$AT$3, 0))="",L74,INDEX(Variablen!$I:$AT, MATCH(M74, Variablen!$A:$A, 0), MATCH((YEAR(D74)+4), Variablen!$I$3:$AT$3, 0))),L74)))*(IF((YEAR(D74)+4)&lt;YEAR(E74),0,IF((YEAR(D74)+4)&gt;YEAR(E74),1,(12-MONTH(E74)+1)/12))) + (Q74)*(IF((YEAR(D74)+4)&lt;YEAR(E74),0,IF((YEAR(D74)+4)&gt;YEAR(E74),1,(12-MONTH(E74)+1)/12))))-((P74)*(IF((YEAR(D74)+4)&lt;YEAR(E74),0,IF((YEAR(D74)+4)&gt;YEAR(E74),1,(12-MONTH(E74)+1)/12))) + (R74)*(IF((YEAR(D74)+4)&lt;YEAR(E74),0,IF((YEAR(D74)+4)&gt;YEAR(E74),1,(12-MONTH(E74)+1)/12))))-(IF(OR(N74="",N74&lt;=0),0,(O74/N74)*(IF(OR(N74="",N74&lt;=0),0,IF((YEAR(D74)+4)&lt;YEAR(E74),0,IF((YEAR(D74)+4)&gt;=YEAR(E74)+N74,0,IF((YEAR(D74)+4)=YEAR(E74),(12-MONTH(E74)+1)/12,1))))))))*TaxRate,0))-IF(4=0,O74,0))</f>
        <v/>
      </c>
      <c r="X74" s="29">
        <f>IF(A74="","",((K74)*(IF(M74="",L74,IFERROR(IF(INDEX(Variablen!$I:$AT, MATCH(M74, Variablen!$A:$A, 0), MATCH((YEAR(D74)+5), Variablen!$I$3:$AT$3, 0))="",L74,INDEX(Variablen!$I:$AT, MATCH(M74, Variablen!$A:$A, 0), MATCH((YEAR(D74)+5), Variablen!$I$3:$AT$3, 0))),L74)))*(IF((YEAR(D74)+5)&lt;YEAR(E74),0,IF((YEAR(D74)+5)&gt;YEAR(E74),1,(12-MONTH(E74)+1)/12))) + (Q74)*(IF((YEAR(D74)+5)&lt;YEAR(E74),0,IF((YEAR(D74)+5)&gt;YEAR(E74),1,(12-MONTH(E74)+1)/12))))-((P74)*(IF((YEAR(D74)+5)&lt;YEAR(E74),0,IF((YEAR(D74)+5)&gt;YEAR(E74),1,(12-MONTH(E74)+1)/12))) + (R74)*(IF((YEAR(D74)+5)&lt;YEAR(E74),0,IF((YEAR(D74)+5)&gt;YEAR(E74),1,(12-MONTH(E74)+1)/12))))-(IF((((K74)*(IF(M74="",L74,IFERROR(IF(INDEX(Variablen!$I:$AT, MATCH(M74, Variablen!$A:$A, 0), MATCH((YEAR(D74)+5), Variablen!$I$3:$AT$3, 0))="",L74,INDEX(Variablen!$I:$AT, MATCH(M74, Variablen!$A:$A, 0), MATCH((YEAR(D74)+5), Variablen!$I$3:$AT$3, 0))),L74)))*(IF((YEAR(D74)+5)&lt;YEAR(E74),0,IF((YEAR(D74)+5)&gt;YEAR(E74),1,(12-MONTH(E74)+1)/12))) + (Q74)*(IF((YEAR(D74)+5)&lt;YEAR(E74),0,IF((YEAR(D74)+5)&gt;YEAR(E74),1,(12-MONTH(E74)+1)/12))))-((P74)*(IF((YEAR(D74)+5)&lt;YEAR(E74),0,IF((YEAR(D74)+5)&gt;YEAR(E74),1,(12-MONTH(E74)+1)/12))) + (R74)*(IF((YEAR(D74)+5)&lt;YEAR(E74),0,IF((YEAR(D74)+5)&gt;YEAR(E74),1,(12-MONTH(E74)+1)/12))))-(IF(OR(N74="",N74&lt;=0),0,(O74/N74)*(IF(OR(N74="",N74&lt;=0),0,IF((YEAR(D74)+5)&lt;YEAR(E74),0,IF((YEAR(D74)+5)&gt;=YEAR(E74)+N74,0,IF((YEAR(D74)+5)=YEAR(E74),(12-MONTH(E74)+1)/12,1))))))))&gt;0,(((K74)*(IF(M74="",L74,IFERROR(IF(INDEX(Variablen!$I:$AT, MATCH(M74, Variablen!$A:$A, 0), MATCH((YEAR(D74)+5), Variablen!$I$3:$AT$3, 0))="",L74,INDEX(Variablen!$I:$AT, MATCH(M74, Variablen!$A:$A, 0), MATCH((YEAR(D74)+5), Variablen!$I$3:$AT$3, 0))),L74)))*(IF((YEAR(D74)+5)&lt;YEAR(E74),0,IF((YEAR(D74)+5)&gt;YEAR(E74),1,(12-MONTH(E74)+1)/12))) + (Q74)*(IF((YEAR(D74)+5)&lt;YEAR(E74),0,IF((YEAR(D74)+5)&gt;YEAR(E74),1,(12-MONTH(E74)+1)/12))))-((P74)*(IF((YEAR(D74)+5)&lt;YEAR(E74),0,IF((YEAR(D74)+5)&gt;YEAR(E74),1,(12-MONTH(E74)+1)/12))) + (R74)*(IF((YEAR(D74)+5)&lt;YEAR(E74),0,IF((YEAR(D74)+5)&gt;YEAR(E74),1,(12-MONTH(E74)+1)/12))))-(IF(OR(N74="",N74&lt;=0),0,(O74/N74)*(IF(OR(N74="",N74&lt;=0),0,IF((YEAR(D74)+5)&lt;YEAR(E74),0,IF((YEAR(D74)+5)&gt;=YEAR(E74)+N74,0,IF((YEAR(D74)+5)=YEAR(E74),(12-MONTH(E74)+1)/12,1))))))))*TaxRate,0))-IF(5=0,O74,0))</f>
        <v/>
      </c>
      <c r="Y74" s="29">
        <f>IF(A74="","",((K74)*(IF(M74="",L74,IFERROR(IF(INDEX(Variablen!$I:$AT, MATCH(M74, Variablen!$A:$A, 0), MATCH((YEAR(D74)+6), Variablen!$I$3:$AT$3, 0))="",L74,INDEX(Variablen!$I:$AT, MATCH(M74, Variablen!$A:$A, 0), MATCH((YEAR(D74)+6), Variablen!$I$3:$AT$3, 0))),L74)))*(IF((YEAR(D74)+6)&lt;YEAR(E74),0,IF((YEAR(D74)+6)&gt;YEAR(E74),1,(12-MONTH(E74)+1)/12))) + (Q74)*(IF((YEAR(D74)+6)&lt;YEAR(E74),0,IF((YEAR(D74)+6)&gt;YEAR(E74),1,(12-MONTH(E74)+1)/12))))-((P74)*(IF((YEAR(D74)+6)&lt;YEAR(E74),0,IF((YEAR(D74)+6)&gt;YEAR(E74),1,(12-MONTH(E74)+1)/12))) + (R74)*(IF((YEAR(D74)+6)&lt;YEAR(E74),0,IF((YEAR(D74)+6)&gt;YEAR(E74),1,(12-MONTH(E74)+1)/12))))-(IF((((K74)*(IF(M74="",L74,IFERROR(IF(INDEX(Variablen!$I:$AT, MATCH(M74, Variablen!$A:$A, 0), MATCH((YEAR(D74)+6), Variablen!$I$3:$AT$3, 0))="",L74,INDEX(Variablen!$I:$AT, MATCH(M74, Variablen!$A:$A, 0), MATCH((YEAR(D74)+6), Variablen!$I$3:$AT$3, 0))),L74)))*(IF((YEAR(D74)+6)&lt;YEAR(E74),0,IF((YEAR(D74)+6)&gt;YEAR(E74),1,(12-MONTH(E74)+1)/12))) + (Q74)*(IF((YEAR(D74)+6)&lt;YEAR(E74),0,IF((YEAR(D74)+6)&gt;YEAR(E74),1,(12-MONTH(E74)+1)/12))))-((P74)*(IF((YEAR(D74)+6)&lt;YEAR(E74),0,IF((YEAR(D74)+6)&gt;YEAR(E74),1,(12-MONTH(E74)+1)/12))) + (R74)*(IF((YEAR(D74)+6)&lt;YEAR(E74),0,IF((YEAR(D74)+6)&gt;YEAR(E74),1,(12-MONTH(E74)+1)/12))))-(IF(OR(N74="",N74&lt;=0),0,(O74/N74)*(IF(OR(N74="",N74&lt;=0),0,IF((YEAR(D74)+6)&lt;YEAR(E74),0,IF((YEAR(D74)+6)&gt;=YEAR(E74)+N74,0,IF((YEAR(D74)+6)=YEAR(E74),(12-MONTH(E74)+1)/12,1))))))))&gt;0,(((K74)*(IF(M74="",L74,IFERROR(IF(INDEX(Variablen!$I:$AT, MATCH(M74, Variablen!$A:$A, 0), MATCH((YEAR(D74)+6), Variablen!$I$3:$AT$3, 0))="",L74,INDEX(Variablen!$I:$AT, MATCH(M74, Variablen!$A:$A, 0), MATCH((YEAR(D74)+6), Variablen!$I$3:$AT$3, 0))),L74)))*(IF((YEAR(D74)+6)&lt;YEAR(E74),0,IF((YEAR(D74)+6)&gt;YEAR(E74),1,(12-MONTH(E74)+1)/12))) + (Q74)*(IF((YEAR(D74)+6)&lt;YEAR(E74),0,IF((YEAR(D74)+6)&gt;YEAR(E74),1,(12-MONTH(E74)+1)/12))))-((P74)*(IF((YEAR(D74)+6)&lt;YEAR(E74),0,IF((YEAR(D74)+6)&gt;YEAR(E74),1,(12-MONTH(E74)+1)/12))) + (R74)*(IF((YEAR(D74)+6)&lt;YEAR(E74),0,IF((YEAR(D74)+6)&gt;YEAR(E74),1,(12-MONTH(E74)+1)/12))))-(IF(OR(N74="",N74&lt;=0),0,(O74/N74)*(IF(OR(N74="",N74&lt;=0),0,IF((YEAR(D74)+6)&lt;YEAR(E74),0,IF((YEAR(D74)+6)&gt;=YEAR(E74)+N74,0,IF((YEAR(D74)+6)=YEAR(E74),(12-MONTH(E74)+1)/12,1))))))))*TaxRate,0))-IF(6=0,O74,0))</f>
        <v/>
      </c>
      <c r="Z74" s="29">
        <f>IF(A74="","",((K74)*(IF(M74="",L74,IFERROR(IF(INDEX(Variablen!$I:$AT, MATCH(M74, Variablen!$A:$A, 0), MATCH((YEAR(D74)+7), Variablen!$I$3:$AT$3, 0))="",L74,INDEX(Variablen!$I:$AT, MATCH(M74, Variablen!$A:$A, 0), MATCH((YEAR(D74)+7), Variablen!$I$3:$AT$3, 0))),L74)))*(IF((YEAR(D74)+7)&lt;YEAR(E74),0,IF((YEAR(D74)+7)&gt;YEAR(E74),1,(12-MONTH(E74)+1)/12))) + (Q74)*(IF((YEAR(D74)+7)&lt;YEAR(E74),0,IF((YEAR(D74)+7)&gt;YEAR(E74),1,(12-MONTH(E74)+1)/12))))-((P74)*(IF((YEAR(D74)+7)&lt;YEAR(E74),0,IF((YEAR(D74)+7)&gt;YEAR(E74),1,(12-MONTH(E74)+1)/12))) + (R74)*(IF((YEAR(D74)+7)&lt;YEAR(E74),0,IF((YEAR(D74)+7)&gt;YEAR(E74),1,(12-MONTH(E74)+1)/12))))-(IF((((K74)*(IF(M74="",L74,IFERROR(IF(INDEX(Variablen!$I:$AT, MATCH(M74, Variablen!$A:$A, 0), MATCH((YEAR(D74)+7), Variablen!$I$3:$AT$3, 0))="",L74,INDEX(Variablen!$I:$AT, MATCH(M74, Variablen!$A:$A, 0), MATCH((YEAR(D74)+7), Variablen!$I$3:$AT$3, 0))),L74)))*(IF((YEAR(D74)+7)&lt;YEAR(E74),0,IF((YEAR(D74)+7)&gt;YEAR(E74),1,(12-MONTH(E74)+1)/12))) + (Q74)*(IF((YEAR(D74)+7)&lt;YEAR(E74),0,IF((YEAR(D74)+7)&gt;YEAR(E74),1,(12-MONTH(E74)+1)/12))))-((P74)*(IF((YEAR(D74)+7)&lt;YEAR(E74),0,IF((YEAR(D74)+7)&gt;YEAR(E74),1,(12-MONTH(E74)+1)/12))) + (R74)*(IF((YEAR(D74)+7)&lt;YEAR(E74),0,IF((YEAR(D74)+7)&gt;YEAR(E74),1,(12-MONTH(E74)+1)/12))))-(IF(OR(N74="",N74&lt;=0),0,(O74/N74)*(IF(OR(N74="",N74&lt;=0),0,IF((YEAR(D74)+7)&lt;YEAR(E74),0,IF((YEAR(D74)+7)&gt;=YEAR(E74)+N74,0,IF((YEAR(D74)+7)=YEAR(E74),(12-MONTH(E74)+1)/12,1))))))))&gt;0,(((K74)*(IF(M74="",L74,IFERROR(IF(INDEX(Variablen!$I:$AT, MATCH(M74, Variablen!$A:$A, 0), MATCH((YEAR(D74)+7), Variablen!$I$3:$AT$3, 0))="",L74,INDEX(Variablen!$I:$AT, MATCH(M74, Variablen!$A:$A, 0), MATCH((YEAR(D74)+7), Variablen!$I$3:$AT$3, 0))),L74)))*(IF((YEAR(D74)+7)&lt;YEAR(E74),0,IF((YEAR(D74)+7)&gt;YEAR(E74),1,(12-MONTH(E74)+1)/12))) + (Q74)*(IF((YEAR(D74)+7)&lt;YEAR(E74),0,IF((YEAR(D74)+7)&gt;YEAR(E74),1,(12-MONTH(E74)+1)/12))))-((P74)*(IF((YEAR(D74)+7)&lt;YEAR(E74),0,IF((YEAR(D74)+7)&gt;YEAR(E74),1,(12-MONTH(E74)+1)/12))) + (R74)*(IF((YEAR(D74)+7)&lt;YEAR(E74),0,IF((YEAR(D74)+7)&gt;YEAR(E74),1,(12-MONTH(E74)+1)/12))))-(IF(OR(N74="",N74&lt;=0),0,(O74/N74)*(IF(OR(N74="",N74&lt;=0),0,IF((YEAR(D74)+7)&lt;YEAR(E74),0,IF((YEAR(D74)+7)&gt;=YEAR(E74)+N74,0,IF((YEAR(D74)+7)=YEAR(E74),(12-MONTH(E74)+1)/12,1))))))))*TaxRate,0))-IF(7=0,O74,0))</f>
        <v/>
      </c>
      <c r="AA74" s="29">
        <f>IF(A74="","",((K74)*(IF(M74="",L74,IFERROR(IF(INDEX(Variablen!$I:$AT, MATCH(M74, Variablen!$A:$A, 0), MATCH((YEAR(D74)+8), Variablen!$I$3:$AT$3, 0))="",L74,INDEX(Variablen!$I:$AT, MATCH(M74, Variablen!$A:$A, 0), MATCH((YEAR(D74)+8), Variablen!$I$3:$AT$3, 0))),L74)))*(IF((YEAR(D74)+8)&lt;YEAR(E74),0,IF((YEAR(D74)+8)&gt;YEAR(E74),1,(12-MONTH(E74)+1)/12))) + (Q74)*(IF((YEAR(D74)+8)&lt;YEAR(E74),0,IF((YEAR(D74)+8)&gt;YEAR(E74),1,(12-MONTH(E74)+1)/12))))-((P74)*(IF((YEAR(D74)+8)&lt;YEAR(E74),0,IF((YEAR(D74)+8)&gt;YEAR(E74),1,(12-MONTH(E74)+1)/12))) + (R74)*(IF((YEAR(D74)+8)&lt;YEAR(E74),0,IF((YEAR(D74)+8)&gt;YEAR(E74),1,(12-MONTH(E74)+1)/12))))-(IF((((K74)*(IF(M74="",L74,IFERROR(IF(INDEX(Variablen!$I:$AT, MATCH(M74, Variablen!$A:$A, 0), MATCH((YEAR(D74)+8), Variablen!$I$3:$AT$3, 0))="",L74,INDEX(Variablen!$I:$AT, MATCH(M74, Variablen!$A:$A, 0), MATCH((YEAR(D74)+8), Variablen!$I$3:$AT$3, 0))),L74)))*(IF((YEAR(D74)+8)&lt;YEAR(E74),0,IF((YEAR(D74)+8)&gt;YEAR(E74),1,(12-MONTH(E74)+1)/12))) + (Q74)*(IF((YEAR(D74)+8)&lt;YEAR(E74),0,IF((YEAR(D74)+8)&gt;YEAR(E74),1,(12-MONTH(E74)+1)/12))))-((P74)*(IF((YEAR(D74)+8)&lt;YEAR(E74),0,IF((YEAR(D74)+8)&gt;YEAR(E74),1,(12-MONTH(E74)+1)/12))) + (R74)*(IF((YEAR(D74)+8)&lt;YEAR(E74),0,IF((YEAR(D74)+8)&gt;YEAR(E74),1,(12-MONTH(E74)+1)/12))))-(IF(OR(N74="",N74&lt;=0),0,(O74/N74)*(IF(OR(N74="",N74&lt;=0),0,IF((YEAR(D74)+8)&lt;YEAR(E74),0,IF((YEAR(D74)+8)&gt;=YEAR(E74)+N74,0,IF((YEAR(D74)+8)=YEAR(E74),(12-MONTH(E74)+1)/12,1))))))))&gt;0,(((K74)*(IF(M74="",L74,IFERROR(IF(INDEX(Variablen!$I:$AT, MATCH(M74, Variablen!$A:$A, 0), MATCH((YEAR(D74)+8), Variablen!$I$3:$AT$3, 0))="",L74,INDEX(Variablen!$I:$AT, MATCH(M74, Variablen!$A:$A, 0), MATCH((YEAR(D74)+8), Variablen!$I$3:$AT$3, 0))),L74)))*(IF((YEAR(D74)+8)&lt;YEAR(E74),0,IF((YEAR(D74)+8)&gt;YEAR(E74),1,(12-MONTH(E74)+1)/12))) + (Q74)*(IF((YEAR(D74)+8)&lt;YEAR(E74),0,IF((YEAR(D74)+8)&gt;YEAR(E74),1,(12-MONTH(E74)+1)/12))))-((P74)*(IF((YEAR(D74)+8)&lt;YEAR(E74),0,IF((YEAR(D74)+8)&gt;YEAR(E74),1,(12-MONTH(E74)+1)/12))) + (R74)*(IF((YEAR(D74)+8)&lt;YEAR(E74),0,IF((YEAR(D74)+8)&gt;YEAR(E74),1,(12-MONTH(E74)+1)/12))))-(IF(OR(N74="",N74&lt;=0),0,(O74/N74)*(IF(OR(N74="",N74&lt;=0),0,IF((YEAR(D74)+8)&lt;YEAR(E74),0,IF((YEAR(D74)+8)&gt;=YEAR(E74)+N74,0,IF((YEAR(D74)+8)=YEAR(E74),(12-MONTH(E74)+1)/12,1))))))))*TaxRate,0))-IF(8=0,O74,0))</f>
        <v/>
      </c>
      <c r="AB74" s="29">
        <f>IF(A74="","",((K74)*(IF(M74="",L74,IFERROR(IF(INDEX(Variablen!$I:$AT, MATCH(M74, Variablen!$A:$A, 0), MATCH((YEAR(D74)+9), Variablen!$I$3:$AT$3, 0))="",L74,INDEX(Variablen!$I:$AT, MATCH(M74, Variablen!$A:$A, 0), MATCH((YEAR(D74)+9), Variablen!$I$3:$AT$3, 0))),L74)))*(IF((YEAR(D74)+9)&lt;YEAR(E74),0,IF((YEAR(D74)+9)&gt;YEAR(E74),1,(12-MONTH(E74)+1)/12))) + (Q74)*(IF((YEAR(D74)+9)&lt;YEAR(E74),0,IF((YEAR(D74)+9)&gt;YEAR(E74),1,(12-MONTH(E74)+1)/12))))-((P74)*(IF((YEAR(D74)+9)&lt;YEAR(E74),0,IF((YEAR(D74)+9)&gt;YEAR(E74),1,(12-MONTH(E74)+1)/12))) + (R74)*(IF((YEAR(D74)+9)&lt;YEAR(E74),0,IF((YEAR(D74)+9)&gt;YEAR(E74),1,(12-MONTH(E74)+1)/12))))-(IF((((K74)*(IF(M74="",L74,IFERROR(IF(INDEX(Variablen!$I:$AT, MATCH(M74, Variablen!$A:$A, 0), MATCH((YEAR(D74)+9), Variablen!$I$3:$AT$3, 0))="",L74,INDEX(Variablen!$I:$AT, MATCH(M74, Variablen!$A:$A, 0), MATCH((YEAR(D74)+9), Variablen!$I$3:$AT$3, 0))),L74)))*(IF((YEAR(D74)+9)&lt;YEAR(E74),0,IF((YEAR(D74)+9)&gt;YEAR(E74),1,(12-MONTH(E74)+1)/12))) + (Q74)*(IF((YEAR(D74)+9)&lt;YEAR(E74),0,IF((YEAR(D74)+9)&gt;YEAR(E74),1,(12-MONTH(E74)+1)/12))))-((P74)*(IF((YEAR(D74)+9)&lt;YEAR(E74),0,IF((YEAR(D74)+9)&gt;YEAR(E74),1,(12-MONTH(E74)+1)/12))) + (R74)*(IF((YEAR(D74)+9)&lt;YEAR(E74),0,IF((YEAR(D74)+9)&gt;YEAR(E74),1,(12-MONTH(E74)+1)/12))))-(IF(OR(N74="",N74&lt;=0),0,(O74/N74)*(IF(OR(N74="",N74&lt;=0),0,IF((YEAR(D74)+9)&lt;YEAR(E74),0,IF((YEAR(D74)+9)&gt;=YEAR(E74)+N74,0,IF((YEAR(D74)+9)=YEAR(E74),(12-MONTH(E74)+1)/12,1))))))))&gt;0,(((K74)*(IF(M74="",L74,IFERROR(IF(INDEX(Variablen!$I:$AT, MATCH(M74, Variablen!$A:$A, 0), MATCH((YEAR(D74)+9), Variablen!$I$3:$AT$3, 0))="",L74,INDEX(Variablen!$I:$AT, MATCH(M74, Variablen!$A:$A, 0), MATCH((YEAR(D74)+9), Variablen!$I$3:$AT$3, 0))),L74)))*(IF((YEAR(D74)+9)&lt;YEAR(E74),0,IF((YEAR(D74)+9)&gt;YEAR(E74),1,(12-MONTH(E74)+1)/12))) + (Q74)*(IF((YEAR(D74)+9)&lt;YEAR(E74),0,IF((YEAR(D74)+9)&gt;YEAR(E74),1,(12-MONTH(E74)+1)/12))))-((P74)*(IF((YEAR(D74)+9)&lt;YEAR(E74),0,IF((YEAR(D74)+9)&gt;YEAR(E74),1,(12-MONTH(E74)+1)/12))) + (R74)*(IF((YEAR(D74)+9)&lt;YEAR(E74),0,IF((YEAR(D74)+9)&gt;YEAR(E74),1,(12-MONTH(E74)+1)/12))))-(IF(OR(N74="",N74&lt;=0),0,(O74/N74)*(IF(OR(N74="",N74&lt;=0),0,IF((YEAR(D74)+9)&lt;YEAR(E74),0,IF((YEAR(D74)+9)&gt;=YEAR(E74)+N74,0,IF((YEAR(D74)+9)=YEAR(E74),(12-MONTH(E74)+1)/12,1))))))))*TaxRate,0))-IF(9=0,O74,0))</f>
        <v/>
      </c>
      <c r="AC74" s="29">
        <f>IF(A74="","",((K74)*(IF(M74="",L74,IFERROR(IF(INDEX(Variablen!$I:$AT, MATCH(M74, Variablen!$A:$A, 0), MATCH((YEAR(D74)+10), Variablen!$I$3:$AT$3, 0))="",L74,INDEX(Variablen!$I:$AT, MATCH(M74, Variablen!$A:$A, 0), MATCH((YEAR(D74)+10), Variablen!$I$3:$AT$3, 0))),L74)))*(IF((YEAR(D74)+10)&lt;YEAR(E74),0,IF((YEAR(D74)+10)&gt;YEAR(E74),1,(12-MONTH(E74)+1)/12))) + (Q74)*(IF((YEAR(D74)+10)&lt;YEAR(E74),0,IF((YEAR(D74)+10)&gt;YEAR(E74),1,(12-MONTH(E74)+1)/12))))-((P74)*(IF((YEAR(D74)+10)&lt;YEAR(E74),0,IF((YEAR(D74)+10)&gt;YEAR(E74),1,(12-MONTH(E74)+1)/12))) + (R74)*(IF((YEAR(D74)+10)&lt;YEAR(E74),0,IF((YEAR(D74)+10)&gt;YEAR(E74),1,(12-MONTH(E74)+1)/12))))-(IF((((K74)*(IF(M74="",L74,IFERROR(IF(INDEX(Variablen!$I:$AT, MATCH(M74, Variablen!$A:$A, 0), MATCH((YEAR(D74)+10), Variablen!$I$3:$AT$3, 0))="",L74,INDEX(Variablen!$I:$AT, MATCH(M74, Variablen!$A:$A, 0), MATCH((YEAR(D74)+10), Variablen!$I$3:$AT$3, 0))),L74)))*(IF((YEAR(D74)+10)&lt;YEAR(E74),0,IF((YEAR(D74)+10)&gt;YEAR(E74),1,(12-MONTH(E74)+1)/12))) + (Q74)*(IF((YEAR(D74)+10)&lt;YEAR(E74),0,IF((YEAR(D74)+10)&gt;YEAR(E74),1,(12-MONTH(E74)+1)/12))))-((P74)*(IF((YEAR(D74)+10)&lt;YEAR(E74),0,IF((YEAR(D74)+10)&gt;YEAR(E74),1,(12-MONTH(E74)+1)/12))) + (R74)*(IF((YEAR(D74)+10)&lt;YEAR(E74),0,IF((YEAR(D74)+10)&gt;YEAR(E74),1,(12-MONTH(E74)+1)/12))))-(IF(OR(N74="",N74&lt;=0),0,(O74/N74)*(IF(OR(N74="",N74&lt;=0),0,IF((YEAR(D74)+10)&lt;YEAR(E74),0,IF((YEAR(D74)+10)&gt;=YEAR(E74)+N74,0,IF((YEAR(D74)+10)=YEAR(E74),(12-MONTH(E74)+1)/12,1))))))))&gt;0,(((K74)*(IF(M74="",L74,IFERROR(IF(INDEX(Variablen!$I:$AT, MATCH(M74, Variablen!$A:$A, 0), MATCH((YEAR(D74)+10), Variablen!$I$3:$AT$3, 0))="",L74,INDEX(Variablen!$I:$AT, MATCH(M74, Variablen!$A:$A, 0), MATCH((YEAR(D74)+10), Variablen!$I$3:$AT$3, 0))),L74)))*(IF((YEAR(D74)+10)&lt;YEAR(E74),0,IF((YEAR(D74)+10)&gt;YEAR(E74),1,(12-MONTH(E74)+1)/12))) + (Q74)*(IF((YEAR(D74)+10)&lt;YEAR(E74),0,IF((YEAR(D74)+10)&gt;YEAR(E74),1,(12-MONTH(E74)+1)/12))))-((P74)*(IF((YEAR(D74)+10)&lt;YEAR(E74),0,IF((YEAR(D74)+10)&gt;YEAR(E74),1,(12-MONTH(E74)+1)/12))) + (R74)*(IF((YEAR(D74)+10)&lt;YEAR(E74),0,IF((YEAR(D74)+10)&gt;YEAR(E74),1,(12-MONTH(E74)+1)/12))))-(IF(OR(N74="",N74&lt;=0),0,(O74/N74)*(IF(OR(N74="",N74&lt;=0),0,IF((YEAR(D74)+10)&lt;YEAR(E74),0,IF((YEAR(D74)+10)&gt;=YEAR(E74)+N74,0,IF((YEAR(D74)+10)=YEAR(E74),(12-MONTH(E74)+1)/12,1))))))))*TaxRate,0))-IF(10=0,O74,0))</f>
        <v/>
      </c>
      <c r="AD74" s="29">
        <f>IF(A74="","",((K74)*(IF(M74="",L74,IFERROR(IF(INDEX(Variablen!$I:$AT, MATCH(M74, Variablen!$A:$A, 0), MATCH((YEAR(D74)+11), Variablen!$I$3:$AT$3, 0))="",L74,INDEX(Variablen!$I:$AT, MATCH(M74, Variablen!$A:$A, 0), MATCH((YEAR(D74)+11), Variablen!$I$3:$AT$3, 0))),L74)))*(IF((YEAR(D74)+11)&lt;YEAR(E74),0,IF((YEAR(D74)+11)&gt;YEAR(E74),1,(12-MONTH(E74)+1)/12))) + (Q74)*(IF((YEAR(D74)+11)&lt;YEAR(E74),0,IF((YEAR(D74)+11)&gt;YEAR(E74),1,(12-MONTH(E74)+1)/12))))-((P74)*(IF((YEAR(D74)+11)&lt;YEAR(E74),0,IF((YEAR(D74)+11)&gt;YEAR(E74),1,(12-MONTH(E74)+1)/12))) + (R74)*(IF((YEAR(D74)+11)&lt;YEAR(E74),0,IF((YEAR(D74)+11)&gt;YEAR(E74),1,(12-MONTH(E74)+1)/12))))-(IF((((K74)*(IF(M74="",L74,IFERROR(IF(INDEX(Variablen!$I:$AT, MATCH(M74, Variablen!$A:$A, 0), MATCH((YEAR(D74)+11), Variablen!$I$3:$AT$3, 0))="",L74,INDEX(Variablen!$I:$AT, MATCH(M74, Variablen!$A:$A, 0), MATCH((YEAR(D74)+11), Variablen!$I$3:$AT$3, 0))),L74)))*(IF((YEAR(D74)+11)&lt;YEAR(E74),0,IF((YEAR(D74)+11)&gt;YEAR(E74),1,(12-MONTH(E74)+1)/12))) + (Q74)*(IF((YEAR(D74)+11)&lt;YEAR(E74),0,IF((YEAR(D74)+11)&gt;YEAR(E74),1,(12-MONTH(E74)+1)/12))))-((P74)*(IF((YEAR(D74)+11)&lt;YEAR(E74),0,IF((YEAR(D74)+11)&gt;YEAR(E74),1,(12-MONTH(E74)+1)/12))) + (R74)*(IF((YEAR(D74)+11)&lt;YEAR(E74),0,IF((YEAR(D74)+11)&gt;YEAR(E74),1,(12-MONTH(E74)+1)/12))))-(IF(OR(N74="",N74&lt;=0),0,(O74/N74)*(IF(OR(N74="",N74&lt;=0),0,IF((YEAR(D74)+11)&lt;YEAR(E74),0,IF((YEAR(D74)+11)&gt;=YEAR(E74)+N74,0,IF((YEAR(D74)+11)=YEAR(E74),(12-MONTH(E74)+1)/12,1))))))))&gt;0,(((K74)*(IF(M74="",L74,IFERROR(IF(INDEX(Variablen!$I:$AT, MATCH(M74, Variablen!$A:$A, 0), MATCH((YEAR(D74)+11), Variablen!$I$3:$AT$3, 0))="",L74,INDEX(Variablen!$I:$AT, MATCH(M74, Variablen!$A:$A, 0), MATCH((YEAR(D74)+11), Variablen!$I$3:$AT$3, 0))),L74)))*(IF((YEAR(D74)+11)&lt;YEAR(E74),0,IF((YEAR(D74)+11)&gt;YEAR(E74),1,(12-MONTH(E74)+1)/12))) + (Q74)*(IF((YEAR(D74)+11)&lt;YEAR(E74),0,IF((YEAR(D74)+11)&gt;YEAR(E74),1,(12-MONTH(E74)+1)/12))))-((P74)*(IF((YEAR(D74)+11)&lt;YEAR(E74),0,IF((YEAR(D74)+11)&gt;YEAR(E74),1,(12-MONTH(E74)+1)/12))) + (R74)*(IF((YEAR(D74)+11)&lt;YEAR(E74),0,IF((YEAR(D74)+11)&gt;YEAR(E74),1,(12-MONTH(E74)+1)/12))))-(IF(OR(N74="",N74&lt;=0),0,(O74/N74)*(IF(OR(N74="",N74&lt;=0),0,IF((YEAR(D74)+11)&lt;YEAR(E74),0,IF((YEAR(D74)+11)&gt;=YEAR(E74)+N74,0,IF((YEAR(D74)+11)=YEAR(E74),(12-MONTH(E74)+1)/12,1))))))))*TaxRate,0))-IF(11=0,O74,0))</f>
        <v/>
      </c>
      <c r="AE74" s="29">
        <f>IF(A74="","",((K74)*(IF(M74="",L74,IFERROR(IF(INDEX(Variablen!$I:$AT, MATCH(M74, Variablen!$A:$A, 0), MATCH((YEAR(D74)+12), Variablen!$I$3:$AT$3, 0))="",L74,INDEX(Variablen!$I:$AT, MATCH(M74, Variablen!$A:$A, 0), MATCH((YEAR(D74)+12), Variablen!$I$3:$AT$3, 0))),L74)))*(IF((YEAR(D74)+12)&lt;YEAR(E74),0,IF((YEAR(D74)+12)&gt;YEAR(E74),1,(12-MONTH(E74)+1)/12))) + (Q74)*(IF((YEAR(D74)+12)&lt;YEAR(E74),0,IF((YEAR(D74)+12)&gt;YEAR(E74),1,(12-MONTH(E74)+1)/12))))-((P74)*(IF((YEAR(D74)+12)&lt;YEAR(E74),0,IF((YEAR(D74)+12)&gt;YEAR(E74),1,(12-MONTH(E74)+1)/12))) + (R74)*(IF((YEAR(D74)+12)&lt;YEAR(E74),0,IF((YEAR(D74)+12)&gt;YEAR(E74),1,(12-MONTH(E74)+1)/12))))-(IF((((K74)*(IF(M74="",L74,IFERROR(IF(INDEX(Variablen!$I:$AT, MATCH(M74, Variablen!$A:$A, 0), MATCH((YEAR(D74)+12), Variablen!$I$3:$AT$3, 0))="",L74,INDEX(Variablen!$I:$AT, MATCH(M74, Variablen!$A:$A, 0), MATCH((YEAR(D74)+12), Variablen!$I$3:$AT$3, 0))),L74)))*(IF((YEAR(D74)+12)&lt;YEAR(E74),0,IF((YEAR(D74)+12)&gt;YEAR(E74),1,(12-MONTH(E74)+1)/12))) + (Q74)*(IF((YEAR(D74)+12)&lt;YEAR(E74),0,IF((YEAR(D74)+12)&gt;YEAR(E74),1,(12-MONTH(E74)+1)/12))))-((P74)*(IF((YEAR(D74)+12)&lt;YEAR(E74),0,IF((YEAR(D74)+12)&gt;YEAR(E74),1,(12-MONTH(E74)+1)/12))) + (R74)*(IF((YEAR(D74)+12)&lt;YEAR(E74),0,IF((YEAR(D74)+12)&gt;YEAR(E74),1,(12-MONTH(E74)+1)/12))))-(IF(OR(N74="",N74&lt;=0),0,(O74/N74)*(IF(OR(N74="",N74&lt;=0),0,IF((YEAR(D74)+12)&lt;YEAR(E74),0,IF((YEAR(D74)+12)&gt;=YEAR(E74)+N74,0,IF((YEAR(D74)+12)=YEAR(E74),(12-MONTH(E74)+1)/12,1))))))))&gt;0,(((K74)*(IF(M74="",L74,IFERROR(IF(INDEX(Variablen!$I:$AT, MATCH(M74, Variablen!$A:$A, 0), MATCH((YEAR(D74)+12), Variablen!$I$3:$AT$3, 0))="",L74,INDEX(Variablen!$I:$AT, MATCH(M74, Variablen!$A:$A, 0), MATCH((YEAR(D74)+12), Variablen!$I$3:$AT$3, 0))),L74)))*(IF((YEAR(D74)+12)&lt;YEAR(E74),0,IF((YEAR(D74)+12)&gt;YEAR(E74),1,(12-MONTH(E74)+1)/12))) + (Q74)*(IF((YEAR(D74)+12)&lt;YEAR(E74),0,IF((YEAR(D74)+12)&gt;YEAR(E74),1,(12-MONTH(E74)+1)/12))))-((P74)*(IF((YEAR(D74)+12)&lt;YEAR(E74),0,IF((YEAR(D74)+12)&gt;YEAR(E74),1,(12-MONTH(E74)+1)/12))) + (R74)*(IF((YEAR(D74)+12)&lt;YEAR(E74),0,IF((YEAR(D74)+12)&gt;YEAR(E74),1,(12-MONTH(E74)+1)/12))))-(IF(OR(N74="",N74&lt;=0),0,(O74/N74)*(IF(OR(N74="",N74&lt;=0),0,IF((YEAR(D74)+12)&lt;YEAR(E74),0,IF((YEAR(D74)+12)&gt;=YEAR(E74)+N74,0,IF((YEAR(D74)+12)=YEAR(E74),(12-MONTH(E74)+1)/12,1))))))))*TaxRate,0))-IF(12=0,O74,0))</f>
        <v/>
      </c>
      <c r="AF74" s="29">
        <f>IF(A74="","",((K74)*(IF(M74="",L74,IFERROR(IF(INDEX(Variablen!$I:$AT, MATCH(M74, Variablen!$A:$A, 0), MATCH((YEAR(D74)+13), Variablen!$I$3:$AT$3, 0))="",L74,INDEX(Variablen!$I:$AT, MATCH(M74, Variablen!$A:$A, 0), MATCH((YEAR(D74)+13), Variablen!$I$3:$AT$3, 0))),L74)))*(IF((YEAR(D74)+13)&lt;YEAR(E74),0,IF((YEAR(D74)+13)&gt;YEAR(E74),1,(12-MONTH(E74)+1)/12))) + (Q74)*(IF((YEAR(D74)+13)&lt;YEAR(E74),0,IF((YEAR(D74)+13)&gt;YEAR(E74),1,(12-MONTH(E74)+1)/12))))-((P74)*(IF((YEAR(D74)+13)&lt;YEAR(E74),0,IF((YEAR(D74)+13)&gt;YEAR(E74),1,(12-MONTH(E74)+1)/12))) + (R74)*(IF((YEAR(D74)+13)&lt;YEAR(E74),0,IF((YEAR(D74)+13)&gt;YEAR(E74),1,(12-MONTH(E74)+1)/12))))-(IF((((K74)*(IF(M74="",L74,IFERROR(IF(INDEX(Variablen!$I:$AT, MATCH(M74, Variablen!$A:$A, 0), MATCH((YEAR(D74)+13), Variablen!$I$3:$AT$3, 0))="",L74,INDEX(Variablen!$I:$AT, MATCH(M74, Variablen!$A:$A, 0), MATCH((YEAR(D74)+13), Variablen!$I$3:$AT$3, 0))),L74)))*(IF((YEAR(D74)+13)&lt;YEAR(E74),0,IF((YEAR(D74)+13)&gt;YEAR(E74),1,(12-MONTH(E74)+1)/12))) + (Q74)*(IF((YEAR(D74)+13)&lt;YEAR(E74),0,IF((YEAR(D74)+13)&gt;YEAR(E74),1,(12-MONTH(E74)+1)/12))))-((P74)*(IF((YEAR(D74)+13)&lt;YEAR(E74),0,IF((YEAR(D74)+13)&gt;YEAR(E74),1,(12-MONTH(E74)+1)/12))) + (R74)*(IF((YEAR(D74)+13)&lt;YEAR(E74),0,IF((YEAR(D74)+13)&gt;YEAR(E74),1,(12-MONTH(E74)+1)/12))))-(IF(OR(N74="",N74&lt;=0),0,(O74/N74)*(IF(OR(N74="",N74&lt;=0),0,IF((YEAR(D74)+13)&lt;YEAR(E74),0,IF((YEAR(D74)+13)&gt;=YEAR(E74)+N74,0,IF((YEAR(D74)+13)=YEAR(E74),(12-MONTH(E74)+1)/12,1))))))))&gt;0,(((K74)*(IF(M74="",L74,IFERROR(IF(INDEX(Variablen!$I:$AT, MATCH(M74, Variablen!$A:$A, 0), MATCH((YEAR(D74)+13), Variablen!$I$3:$AT$3, 0))="",L74,INDEX(Variablen!$I:$AT, MATCH(M74, Variablen!$A:$A, 0), MATCH((YEAR(D74)+13), Variablen!$I$3:$AT$3, 0))),L74)))*(IF((YEAR(D74)+13)&lt;YEAR(E74),0,IF((YEAR(D74)+13)&gt;YEAR(E74),1,(12-MONTH(E74)+1)/12))) + (Q74)*(IF((YEAR(D74)+13)&lt;YEAR(E74),0,IF((YEAR(D74)+13)&gt;YEAR(E74),1,(12-MONTH(E74)+1)/12))))-((P74)*(IF((YEAR(D74)+13)&lt;YEAR(E74),0,IF((YEAR(D74)+13)&gt;YEAR(E74),1,(12-MONTH(E74)+1)/12))) + (R74)*(IF((YEAR(D74)+13)&lt;YEAR(E74),0,IF((YEAR(D74)+13)&gt;YEAR(E74),1,(12-MONTH(E74)+1)/12))))-(IF(OR(N74="",N74&lt;=0),0,(O74/N74)*(IF(OR(N74="",N74&lt;=0),0,IF((YEAR(D74)+13)&lt;YEAR(E74),0,IF((YEAR(D74)+13)&gt;=YEAR(E74)+N74,0,IF((YEAR(D74)+13)=YEAR(E74),(12-MONTH(E74)+1)/12,1))))))))*TaxRate,0))-IF(13=0,O74,0))</f>
        <v/>
      </c>
      <c r="AG74" s="29">
        <f>IF(A74="","",((K74)*(IF(M74="",L74,IFERROR(IF(INDEX(Variablen!$I:$AT, MATCH(M74, Variablen!$A:$A, 0), MATCH((YEAR(D74)+14), Variablen!$I$3:$AT$3, 0))="",L74,INDEX(Variablen!$I:$AT, MATCH(M74, Variablen!$A:$A, 0), MATCH((YEAR(D74)+14), Variablen!$I$3:$AT$3, 0))),L74)))*(IF((YEAR(D74)+14)&lt;YEAR(E74),0,IF((YEAR(D74)+14)&gt;YEAR(E74),1,(12-MONTH(E74)+1)/12))) + (Q74)*(IF((YEAR(D74)+14)&lt;YEAR(E74),0,IF((YEAR(D74)+14)&gt;YEAR(E74),1,(12-MONTH(E74)+1)/12))))-((P74)*(IF((YEAR(D74)+14)&lt;YEAR(E74),0,IF((YEAR(D74)+14)&gt;YEAR(E74),1,(12-MONTH(E74)+1)/12))) + (R74)*(IF((YEAR(D74)+14)&lt;YEAR(E74),0,IF((YEAR(D74)+14)&gt;YEAR(E74),1,(12-MONTH(E74)+1)/12))))-(IF((((K74)*(IF(M74="",L74,IFERROR(IF(INDEX(Variablen!$I:$AT, MATCH(M74, Variablen!$A:$A, 0), MATCH((YEAR(D74)+14), Variablen!$I$3:$AT$3, 0))="",L74,INDEX(Variablen!$I:$AT, MATCH(M74, Variablen!$A:$A, 0), MATCH((YEAR(D74)+14), Variablen!$I$3:$AT$3, 0))),L74)))*(IF((YEAR(D74)+14)&lt;YEAR(E74),0,IF((YEAR(D74)+14)&gt;YEAR(E74),1,(12-MONTH(E74)+1)/12))) + (Q74)*(IF((YEAR(D74)+14)&lt;YEAR(E74),0,IF((YEAR(D74)+14)&gt;YEAR(E74),1,(12-MONTH(E74)+1)/12))))-((P74)*(IF((YEAR(D74)+14)&lt;YEAR(E74),0,IF((YEAR(D74)+14)&gt;YEAR(E74),1,(12-MONTH(E74)+1)/12))) + (R74)*(IF((YEAR(D74)+14)&lt;YEAR(E74),0,IF((YEAR(D74)+14)&gt;YEAR(E74),1,(12-MONTH(E74)+1)/12))))-(IF(OR(N74="",N74&lt;=0),0,(O74/N74)*(IF(OR(N74="",N74&lt;=0),0,IF((YEAR(D74)+14)&lt;YEAR(E74),0,IF((YEAR(D74)+14)&gt;=YEAR(E74)+N74,0,IF((YEAR(D74)+14)=YEAR(E74),(12-MONTH(E74)+1)/12,1))))))))&gt;0,(((K74)*(IF(M74="",L74,IFERROR(IF(INDEX(Variablen!$I:$AT, MATCH(M74, Variablen!$A:$A, 0), MATCH((YEAR(D74)+14), Variablen!$I$3:$AT$3, 0))="",L74,INDEX(Variablen!$I:$AT, MATCH(M74, Variablen!$A:$A, 0), MATCH((YEAR(D74)+14), Variablen!$I$3:$AT$3, 0))),L74)))*(IF((YEAR(D74)+14)&lt;YEAR(E74),0,IF((YEAR(D74)+14)&gt;YEAR(E74),1,(12-MONTH(E74)+1)/12))) + (Q74)*(IF((YEAR(D74)+14)&lt;YEAR(E74),0,IF((YEAR(D74)+14)&gt;YEAR(E74),1,(12-MONTH(E74)+1)/12))))-((P74)*(IF((YEAR(D74)+14)&lt;YEAR(E74),0,IF((YEAR(D74)+14)&gt;YEAR(E74),1,(12-MONTH(E74)+1)/12))) + (R74)*(IF((YEAR(D74)+14)&lt;YEAR(E74),0,IF((YEAR(D74)+14)&gt;YEAR(E74),1,(12-MONTH(E74)+1)/12))))-(IF(OR(N74="",N74&lt;=0),0,(O74/N74)*(IF(OR(N74="",N74&lt;=0),0,IF((YEAR(D74)+14)&lt;YEAR(E74),0,IF((YEAR(D74)+14)&gt;=YEAR(E74)+N74,0,IF((YEAR(D74)+14)=YEAR(E74),(12-MONTH(E74)+1)/12,1))))))))*TaxRate,0))-IF(14=0,O74,0))</f>
        <v/>
      </c>
      <c r="AH74" s="29">
        <f>IF(A74="","",((K74)*(IF(M74="",L74,IFERROR(IF(INDEX(Variablen!$I:$AT, MATCH(M74, Variablen!$A:$A, 0), MATCH((YEAR(D74)+15), Variablen!$I$3:$AT$3, 0))="",L74,INDEX(Variablen!$I:$AT, MATCH(M74, Variablen!$A:$A, 0), MATCH((YEAR(D74)+15), Variablen!$I$3:$AT$3, 0))),L74)))*(IF((YEAR(D74)+15)&lt;YEAR(E74),0,IF((YEAR(D74)+15)&gt;YEAR(E74),1,(12-MONTH(E74)+1)/12))) + (Q74)*(IF((YEAR(D74)+15)&lt;YEAR(E74),0,IF((YEAR(D74)+15)&gt;YEAR(E74),1,(12-MONTH(E74)+1)/12))))-((P74)*(IF((YEAR(D74)+15)&lt;YEAR(E74),0,IF((YEAR(D74)+15)&gt;YEAR(E74),1,(12-MONTH(E74)+1)/12))) + (R74)*(IF((YEAR(D74)+15)&lt;YEAR(E74),0,IF((YEAR(D74)+15)&gt;YEAR(E74),1,(12-MONTH(E74)+1)/12))))-(IF((((K74)*(IF(M74="",L74,IFERROR(IF(INDEX(Variablen!$I:$AT, MATCH(M74, Variablen!$A:$A, 0), MATCH((YEAR(D74)+15), Variablen!$I$3:$AT$3, 0))="",L74,INDEX(Variablen!$I:$AT, MATCH(M74, Variablen!$A:$A, 0), MATCH((YEAR(D74)+15), Variablen!$I$3:$AT$3, 0))),L74)))*(IF((YEAR(D74)+15)&lt;YEAR(E74),0,IF((YEAR(D74)+15)&gt;YEAR(E74),1,(12-MONTH(E74)+1)/12))) + (Q74)*(IF((YEAR(D74)+15)&lt;YEAR(E74),0,IF((YEAR(D74)+15)&gt;YEAR(E74),1,(12-MONTH(E74)+1)/12))))-((P74)*(IF((YEAR(D74)+15)&lt;YEAR(E74),0,IF((YEAR(D74)+15)&gt;YEAR(E74),1,(12-MONTH(E74)+1)/12))) + (R74)*(IF((YEAR(D74)+15)&lt;YEAR(E74),0,IF((YEAR(D74)+15)&gt;YEAR(E74),1,(12-MONTH(E74)+1)/12))))-(IF(OR(N74="",N74&lt;=0),0,(O74/N74)*(IF(OR(N74="",N74&lt;=0),0,IF((YEAR(D74)+15)&lt;YEAR(E74),0,IF((YEAR(D74)+15)&gt;=YEAR(E74)+N74,0,IF((YEAR(D74)+15)=YEAR(E74),(12-MONTH(E74)+1)/12,1))))))))&gt;0,(((K74)*(IF(M74="",L74,IFERROR(IF(INDEX(Variablen!$I:$AT, MATCH(M74, Variablen!$A:$A, 0), MATCH((YEAR(D74)+15), Variablen!$I$3:$AT$3, 0))="",L74,INDEX(Variablen!$I:$AT, MATCH(M74, Variablen!$A:$A, 0), MATCH((YEAR(D74)+15), Variablen!$I$3:$AT$3, 0))),L74)))*(IF((YEAR(D74)+15)&lt;YEAR(E74),0,IF((YEAR(D74)+15)&gt;YEAR(E74),1,(12-MONTH(E74)+1)/12))) + (Q74)*(IF((YEAR(D74)+15)&lt;YEAR(E74),0,IF((YEAR(D74)+15)&gt;YEAR(E74),1,(12-MONTH(E74)+1)/12))))-((P74)*(IF((YEAR(D74)+15)&lt;YEAR(E74),0,IF((YEAR(D74)+15)&gt;YEAR(E74),1,(12-MONTH(E74)+1)/12))) + (R74)*(IF((YEAR(D74)+15)&lt;YEAR(E74),0,IF((YEAR(D74)+15)&gt;YEAR(E74),1,(12-MONTH(E74)+1)/12))))-(IF(OR(N74="",N74&lt;=0),0,(O74/N74)*(IF(OR(N74="",N74&lt;=0),0,IF((YEAR(D74)+15)&lt;YEAR(E74),0,IF((YEAR(D74)+15)&gt;=YEAR(E74)+N74,0,IF((YEAR(D74)+15)=YEAR(E74),(12-MONTH(E74)+1)/12,1))))))))*TaxRate,0))-IF(15=0,O74,0))</f>
        <v/>
      </c>
      <c r="AI74" s="29">
        <f>IF(A74="","",((K74)*(IF(M74="",L74,IFERROR(IF(INDEX(Variablen!$I:$AT, MATCH(M74, Variablen!$A:$A, 0), MATCH((YEAR(D74)+16), Variablen!$I$3:$AT$3, 0))="",L74,INDEX(Variablen!$I:$AT, MATCH(M74, Variablen!$A:$A, 0), MATCH((YEAR(D74)+16), Variablen!$I$3:$AT$3, 0))),L74)))*(IF((YEAR(D74)+16)&lt;YEAR(E74),0,IF((YEAR(D74)+16)&gt;YEAR(E74),1,(12-MONTH(E74)+1)/12))) + (Q74)*(IF((YEAR(D74)+16)&lt;YEAR(E74),0,IF((YEAR(D74)+16)&gt;YEAR(E74),1,(12-MONTH(E74)+1)/12))))-((P74)*(IF((YEAR(D74)+16)&lt;YEAR(E74),0,IF((YEAR(D74)+16)&gt;YEAR(E74),1,(12-MONTH(E74)+1)/12))) + (R74)*(IF((YEAR(D74)+16)&lt;YEAR(E74),0,IF((YEAR(D74)+16)&gt;YEAR(E74),1,(12-MONTH(E74)+1)/12))))-(IF((((K74)*(IF(M74="",L74,IFERROR(IF(INDEX(Variablen!$I:$AT, MATCH(M74, Variablen!$A:$A, 0), MATCH((YEAR(D74)+16), Variablen!$I$3:$AT$3, 0))="",L74,INDEX(Variablen!$I:$AT, MATCH(M74, Variablen!$A:$A, 0), MATCH((YEAR(D74)+16), Variablen!$I$3:$AT$3, 0))),L74)))*(IF((YEAR(D74)+16)&lt;YEAR(E74),0,IF((YEAR(D74)+16)&gt;YEAR(E74),1,(12-MONTH(E74)+1)/12))) + (Q74)*(IF((YEAR(D74)+16)&lt;YEAR(E74),0,IF((YEAR(D74)+16)&gt;YEAR(E74),1,(12-MONTH(E74)+1)/12))))-((P74)*(IF((YEAR(D74)+16)&lt;YEAR(E74),0,IF((YEAR(D74)+16)&gt;YEAR(E74),1,(12-MONTH(E74)+1)/12))) + (R74)*(IF((YEAR(D74)+16)&lt;YEAR(E74),0,IF((YEAR(D74)+16)&gt;YEAR(E74),1,(12-MONTH(E74)+1)/12))))-(IF(OR(N74="",N74&lt;=0),0,(O74/N74)*(IF(OR(N74="",N74&lt;=0),0,IF((YEAR(D74)+16)&lt;YEAR(E74),0,IF((YEAR(D74)+16)&gt;=YEAR(E74)+N74,0,IF((YEAR(D74)+16)=YEAR(E74),(12-MONTH(E74)+1)/12,1))))))))&gt;0,(((K74)*(IF(M74="",L74,IFERROR(IF(INDEX(Variablen!$I:$AT, MATCH(M74, Variablen!$A:$A, 0), MATCH((YEAR(D74)+16), Variablen!$I$3:$AT$3, 0))="",L74,INDEX(Variablen!$I:$AT, MATCH(M74, Variablen!$A:$A, 0), MATCH((YEAR(D74)+16), Variablen!$I$3:$AT$3, 0))),L74)))*(IF((YEAR(D74)+16)&lt;YEAR(E74),0,IF((YEAR(D74)+16)&gt;YEAR(E74),1,(12-MONTH(E74)+1)/12))) + (Q74)*(IF((YEAR(D74)+16)&lt;YEAR(E74),0,IF((YEAR(D74)+16)&gt;YEAR(E74),1,(12-MONTH(E74)+1)/12))))-((P74)*(IF((YEAR(D74)+16)&lt;YEAR(E74),0,IF((YEAR(D74)+16)&gt;YEAR(E74),1,(12-MONTH(E74)+1)/12))) + (R74)*(IF((YEAR(D74)+16)&lt;YEAR(E74),0,IF((YEAR(D74)+16)&gt;YEAR(E74),1,(12-MONTH(E74)+1)/12))))-(IF(OR(N74="",N74&lt;=0),0,(O74/N74)*(IF(OR(N74="",N74&lt;=0),0,IF((YEAR(D74)+16)&lt;YEAR(E74),0,IF((YEAR(D74)+16)&gt;=YEAR(E74)+N74,0,IF((YEAR(D74)+16)=YEAR(E74),(12-MONTH(E74)+1)/12,1))))))))*TaxRate,0))-IF(16=0,O74,0))</f>
        <v/>
      </c>
      <c r="AJ74" s="29">
        <f>IF(A74="","",((K74)*(IF(M74="",L74,IFERROR(IF(INDEX(Variablen!$I:$AT, MATCH(M74, Variablen!$A:$A, 0), MATCH((YEAR(D74)+17), Variablen!$I$3:$AT$3, 0))="",L74,INDEX(Variablen!$I:$AT, MATCH(M74, Variablen!$A:$A, 0), MATCH((YEAR(D74)+17), Variablen!$I$3:$AT$3, 0))),L74)))*(IF((YEAR(D74)+17)&lt;YEAR(E74),0,IF((YEAR(D74)+17)&gt;YEAR(E74),1,(12-MONTH(E74)+1)/12))) + (Q74)*(IF((YEAR(D74)+17)&lt;YEAR(E74),0,IF((YEAR(D74)+17)&gt;YEAR(E74),1,(12-MONTH(E74)+1)/12))))-((P74)*(IF((YEAR(D74)+17)&lt;YEAR(E74),0,IF((YEAR(D74)+17)&gt;YEAR(E74),1,(12-MONTH(E74)+1)/12))) + (R74)*(IF((YEAR(D74)+17)&lt;YEAR(E74),0,IF((YEAR(D74)+17)&gt;YEAR(E74),1,(12-MONTH(E74)+1)/12))))-(IF((((K74)*(IF(M74="",L74,IFERROR(IF(INDEX(Variablen!$I:$AT, MATCH(M74, Variablen!$A:$A, 0), MATCH((YEAR(D74)+17), Variablen!$I$3:$AT$3, 0))="",L74,INDEX(Variablen!$I:$AT, MATCH(M74, Variablen!$A:$A, 0), MATCH((YEAR(D74)+17), Variablen!$I$3:$AT$3, 0))),L74)))*(IF((YEAR(D74)+17)&lt;YEAR(E74),0,IF((YEAR(D74)+17)&gt;YEAR(E74),1,(12-MONTH(E74)+1)/12))) + (Q74)*(IF((YEAR(D74)+17)&lt;YEAR(E74),0,IF((YEAR(D74)+17)&gt;YEAR(E74),1,(12-MONTH(E74)+1)/12))))-((P74)*(IF((YEAR(D74)+17)&lt;YEAR(E74),0,IF((YEAR(D74)+17)&gt;YEAR(E74),1,(12-MONTH(E74)+1)/12))) + (R74)*(IF((YEAR(D74)+17)&lt;YEAR(E74),0,IF((YEAR(D74)+17)&gt;YEAR(E74),1,(12-MONTH(E74)+1)/12))))-(IF(OR(N74="",N74&lt;=0),0,(O74/N74)*(IF(OR(N74="",N74&lt;=0),0,IF((YEAR(D74)+17)&lt;YEAR(E74),0,IF((YEAR(D74)+17)&gt;=YEAR(E74)+N74,0,IF((YEAR(D74)+17)=YEAR(E74),(12-MONTH(E74)+1)/12,1))))))))&gt;0,(((K74)*(IF(M74="",L74,IFERROR(IF(INDEX(Variablen!$I:$AT, MATCH(M74, Variablen!$A:$A, 0), MATCH((YEAR(D74)+17), Variablen!$I$3:$AT$3, 0))="",L74,INDEX(Variablen!$I:$AT, MATCH(M74, Variablen!$A:$A, 0), MATCH((YEAR(D74)+17), Variablen!$I$3:$AT$3, 0))),L74)))*(IF((YEAR(D74)+17)&lt;YEAR(E74),0,IF((YEAR(D74)+17)&gt;YEAR(E74),1,(12-MONTH(E74)+1)/12))) + (Q74)*(IF((YEAR(D74)+17)&lt;YEAR(E74),0,IF((YEAR(D74)+17)&gt;YEAR(E74),1,(12-MONTH(E74)+1)/12))))-((P74)*(IF((YEAR(D74)+17)&lt;YEAR(E74),0,IF((YEAR(D74)+17)&gt;YEAR(E74),1,(12-MONTH(E74)+1)/12))) + (R74)*(IF((YEAR(D74)+17)&lt;YEAR(E74),0,IF((YEAR(D74)+17)&gt;YEAR(E74),1,(12-MONTH(E74)+1)/12))))-(IF(OR(N74="",N74&lt;=0),0,(O74/N74)*(IF(OR(N74="",N74&lt;=0),0,IF((YEAR(D74)+17)&lt;YEAR(E74),0,IF((YEAR(D74)+17)&gt;=YEAR(E74)+N74,0,IF((YEAR(D74)+17)=YEAR(E74),(12-MONTH(E74)+1)/12,1))))))))*TaxRate,0))-IF(17=0,O74,0))</f>
        <v/>
      </c>
      <c r="AK74" s="29">
        <f>IF(A74="","",((K74)*(IF(M74="",L74,IFERROR(IF(INDEX(Variablen!$I:$AT, MATCH(M74, Variablen!$A:$A, 0), MATCH((YEAR(D74)+18), Variablen!$I$3:$AT$3, 0))="",L74,INDEX(Variablen!$I:$AT, MATCH(M74, Variablen!$A:$A, 0), MATCH((YEAR(D74)+18), Variablen!$I$3:$AT$3, 0))),L74)))*(IF((YEAR(D74)+18)&lt;YEAR(E74),0,IF((YEAR(D74)+18)&gt;YEAR(E74),1,(12-MONTH(E74)+1)/12))) + (Q74)*(IF((YEAR(D74)+18)&lt;YEAR(E74),0,IF((YEAR(D74)+18)&gt;YEAR(E74),1,(12-MONTH(E74)+1)/12))))-((P74)*(IF((YEAR(D74)+18)&lt;YEAR(E74),0,IF((YEAR(D74)+18)&gt;YEAR(E74),1,(12-MONTH(E74)+1)/12))) + (R74)*(IF((YEAR(D74)+18)&lt;YEAR(E74),0,IF((YEAR(D74)+18)&gt;YEAR(E74),1,(12-MONTH(E74)+1)/12))))-(IF((((K74)*(IF(M74="",L74,IFERROR(IF(INDEX(Variablen!$I:$AT, MATCH(M74, Variablen!$A:$A, 0), MATCH((YEAR(D74)+18), Variablen!$I$3:$AT$3, 0))="",L74,INDEX(Variablen!$I:$AT, MATCH(M74, Variablen!$A:$A, 0), MATCH((YEAR(D74)+18), Variablen!$I$3:$AT$3, 0))),L74)))*(IF((YEAR(D74)+18)&lt;YEAR(E74),0,IF((YEAR(D74)+18)&gt;YEAR(E74),1,(12-MONTH(E74)+1)/12))) + (Q74)*(IF((YEAR(D74)+18)&lt;YEAR(E74),0,IF((YEAR(D74)+18)&gt;YEAR(E74),1,(12-MONTH(E74)+1)/12))))-((P74)*(IF((YEAR(D74)+18)&lt;YEAR(E74),0,IF((YEAR(D74)+18)&gt;YEAR(E74),1,(12-MONTH(E74)+1)/12))) + (R74)*(IF((YEAR(D74)+18)&lt;YEAR(E74),0,IF((YEAR(D74)+18)&gt;YEAR(E74),1,(12-MONTH(E74)+1)/12))))-(IF(OR(N74="",N74&lt;=0),0,(O74/N74)*(IF(OR(N74="",N74&lt;=0),0,IF((YEAR(D74)+18)&lt;YEAR(E74),0,IF((YEAR(D74)+18)&gt;=YEAR(E74)+N74,0,IF((YEAR(D74)+18)=YEAR(E74),(12-MONTH(E74)+1)/12,1))))))))&gt;0,(((K74)*(IF(M74="",L74,IFERROR(IF(INDEX(Variablen!$I:$AT, MATCH(M74, Variablen!$A:$A, 0), MATCH((YEAR(D74)+18), Variablen!$I$3:$AT$3, 0))="",L74,INDEX(Variablen!$I:$AT, MATCH(M74, Variablen!$A:$A, 0), MATCH((YEAR(D74)+18), Variablen!$I$3:$AT$3, 0))),L74)))*(IF((YEAR(D74)+18)&lt;YEAR(E74),0,IF((YEAR(D74)+18)&gt;YEAR(E74),1,(12-MONTH(E74)+1)/12))) + (Q74)*(IF((YEAR(D74)+18)&lt;YEAR(E74),0,IF((YEAR(D74)+18)&gt;YEAR(E74),1,(12-MONTH(E74)+1)/12))))-((P74)*(IF((YEAR(D74)+18)&lt;YEAR(E74),0,IF((YEAR(D74)+18)&gt;YEAR(E74),1,(12-MONTH(E74)+1)/12))) + (R74)*(IF((YEAR(D74)+18)&lt;YEAR(E74),0,IF((YEAR(D74)+18)&gt;YEAR(E74),1,(12-MONTH(E74)+1)/12))))-(IF(OR(N74="",N74&lt;=0),0,(O74/N74)*(IF(OR(N74="",N74&lt;=0),0,IF((YEAR(D74)+18)&lt;YEAR(E74),0,IF((YEAR(D74)+18)&gt;=YEAR(E74)+N74,0,IF((YEAR(D74)+18)=YEAR(E74),(12-MONTH(E74)+1)/12,1))))))))*TaxRate,0))-IF(18=0,O74,0))</f>
        <v/>
      </c>
      <c r="AL74" s="29">
        <f>IF(A74="","",((K74)*(IF(M74="",L74,IFERROR(IF(INDEX(Variablen!$I:$AT, MATCH(M74, Variablen!$A:$A, 0), MATCH((YEAR(D74)+19), Variablen!$I$3:$AT$3, 0))="",L74,INDEX(Variablen!$I:$AT, MATCH(M74, Variablen!$A:$A, 0), MATCH((YEAR(D74)+19), Variablen!$I$3:$AT$3, 0))),L74)))*(IF((YEAR(D74)+19)&lt;YEAR(E74),0,IF((YEAR(D74)+19)&gt;YEAR(E74),1,(12-MONTH(E74)+1)/12))) + (Q74)*(IF((YEAR(D74)+19)&lt;YEAR(E74),0,IF((YEAR(D74)+19)&gt;YEAR(E74),1,(12-MONTH(E74)+1)/12))))-((P74)*(IF((YEAR(D74)+19)&lt;YEAR(E74),0,IF((YEAR(D74)+19)&gt;YEAR(E74),1,(12-MONTH(E74)+1)/12))) + (R74)*(IF((YEAR(D74)+19)&lt;YEAR(E74),0,IF((YEAR(D74)+19)&gt;YEAR(E74),1,(12-MONTH(E74)+1)/12))))-(IF((((K74)*(IF(M74="",L74,IFERROR(IF(INDEX(Variablen!$I:$AT, MATCH(M74, Variablen!$A:$A, 0), MATCH((YEAR(D74)+19), Variablen!$I$3:$AT$3, 0))="",L74,INDEX(Variablen!$I:$AT, MATCH(M74, Variablen!$A:$A, 0), MATCH((YEAR(D74)+19), Variablen!$I$3:$AT$3, 0))),L74)))*(IF((YEAR(D74)+19)&lt;YEAR(E74),0,IF((YEAR(D74)+19)&gt;YEAR(E74),1,(12-MONTH(E74)+1)/12))) + (Q74)*(IF((YEAR(D74)+19)&lt;YEAR(E74),0,IF((YEAR(D74)+19)&gt;YEAR(E74),1,(12-MONTH(E74)+1)/12))))-((P74)*(IF((YEAR(D74)+19)&lt;YEAR(E74),0,IF((YEAR(D74)+19)&gt;YEAR(E74),1,(12-MONTH(E74)+1)/12))) + (R74)*(IF((YEAR(D74)+19)&lt;YEAR(E74),0,IF((YEAR(D74)+19)&gt;YEAR(E74),1,(12-MONTH(E74)+1)/12))))-(IF(OR(N74="",N74&lt;=0),0,(O74/N74)*(IF(OR(N74="",N74&lt;=0),0,IF((YEAR(D74)+19)&lt;YEAR(E74),0,IF((YEAR(D74)+19)&gt;=YEAR(E74)+N74,0,IF((YEAR(D74)+19)=YEAR(E74),(12-MONTH(E74)+1)/12,1))))))))&gt;0,(((K74)*(IF(M74="",L74,IFERROR(IF(INDEX(Variablen!$I:$AT, MATCH(M74, Variablen!$A:$A, 0), MATCH((YEAR(D74)+19), Variablen!$I$3:$AT$3, 0))="",L74,INDEX(Variablen!$I:$AT, MATCH(M74, Variablen!$A:$A, 0), MATCH((YEAR(D74)+19), Variablen!$I$3:$AT$3, 0))),L74)))*(IF((YEAR(D74)+19)&lt;YEAR(E74),0,IF((YEAR(D74)+19)&gt;YEAR(E74),1,(12-MONTH(E74)+1)/12))) + (Q74)*(IF((YEAR(D74)+19)&lt;YEAR(E74),0,IF((YEAR(D74)+19)&gt;YEAR(E74),1,(12-MONTH(E74)+1)/12))))-((P74)*(IF((YEAR(D74)+19)&lt;YEAR(E74),0,IF((YEAR(D74)+19)&gt;YEAR(E74),1,(12-MONTH(E74)+1)/12))) + (R74)*(IF((YEAR(D74)+19)&lt;YEAR(E74),0,IF((YEAR(D74)+19)&gt;YEAR(E74),1,(12-MONTH(E74)+1)/12))))-(IF(OR(N74="",N74&lt;=0),0,(O74/N74)*(IF(OR(N74="",N74&lt;=0),0,IF((YEAR(D74)+19)&lt;YEAR(E74),0,IF((YEAR(D74)+19)&gt;=YEAR(E74)+N74,0,IF((YEAR(D74)+19)=YEAR(E74),(12-MONTH(E74)+1)/12,1))))))))*TaxRate,0))-IF(19=0,O74,0))</f>
        <v/>
      </c>
      <c r="AM74" s="29">
        <f>IF(A74="","",((K74)*(IF(M74="",L74,IFERROR(IF(INDEX(Variablen!$I:$AT, MATCH(M74, Variablen!$A:$A, 0), MATCH((YEAR(D74)+20), Variablen!$I$3:$AT$3, 0))="",L74,INDEX(Variablen!$I:$AT, MATCH(M74, Variablen!$A:$A, 0), MATCH((YEAR(D74)+20), Variablen!$I$3:$AT$3, 0))),L74)))*(IF((YEAR(D74)+20)&lt;YEAR(E74),0,IF((YEAR(D74)+20)&gt;YEAR(E74),1,(12-MONTH(E74)+1)/12))) + (Q74)*(IF((YEAR(D74)+20)&lt;YEAR(E74),0,IF((YEAR(D74)+20)&gt;YEAR(E74),1,(12-MONTH(E74)+1)/12))))-((P74)*(IF((YEAR(D74)+20)&lt;YEAR(E74),0,IF((YEAR(D74)+20)&gt;YEAR(E74),1,(12-MONTH(E74)+1)/12))) + (R74)*(IF((YEAR(D74)+20)&lt;YEAR(E74),0,IF((YEAR(D74)+20)&gt;YEAR(E74),1,(12-MONTH(E74)+1)/12))))-(IF((((K74)*(IF(M74="",L74,IFERROR(IF(INDEX(Variablen!$I:$AT, MATCH(M74, Variablen!$A:$A, 0), MATCH((YEAR(D74)+20), Variablen!$I$3:$AT$3, 0))="",L74,INDEX(Variablen!$I:$AT, MATCH(M74, Variablen!$A:$A, 0), MATCH((YEAR(D74)+20), Variablen!$I$3:$AT$3, 0))),L74)))*(IF((YEAR(D74)+20)&lt;YEAR(E74),0,IF((YEAR(D74)+20)&gt;YEAR(E74),1,(12-MONTH(E74)+1)/12))) + (Q74)*(IF((YEAR(D74)+20)&lt;YEAR(E74),0,IF((YEAR(D74)+20)&gt;YEAR(E74),1,(12-MONTH(E74)+1)/12))))-((P74)*(IF((YEAR(D74)+20)&lt;YEAR(E74),0,IF((YEAR(D74)+20)&gt;YEAR(E74),1,(12-MONTH(E74)+1)/12))) + (R74)*(IF((YEAR(D74)+20)&lt;YEAR(E74),0,IF((YEAR(D74)+20)&gt;YEAR(E74),1,(12-MONTH(E74)+1)/12))))-(IF(OR(N74="",N74&lt;=0),0,(O74/N74)*(IF(OR(N74="",N74&lt;=0),0,IF((YEAR(D74)+20)&lt;YEAR(E74),0,IF((YEAR(D74)+20)&gt;=YEAR(E74)+N74,0,IF((YEAR(D74)+20)=YEAR(E74),(12-MONTH(E74)+1)/12,1))))))))&gt;0,(((K74)*(IF(M74="",L74,IFERROR(IF(INDEX(Variablen!$I:$AT, MATCH(M74, Variablen!$A:$A, 0), MATCH((YEAR(D74)+20), Variablen!$I$3:$AT$3, 0))="",L74,INDEX(Variablen!$I:$AT, MATCH(M74, Variablen!$A:$A, 0), MATCH((YEAR(D74)+20), Variablen!$I$3:$AT$3, 0))),L74)))*(IF((YEAR(D74)+20)&lt;YEAR(E74),0,IF((YEAR(D74)+20)&gt;YEAR(E74),1,(12-MONTH(E74)+1)/12))) + (Q74)*(IF((YEAR(D74)+20)&lt;YEAR(E74),0,IF((YEAR(D74)+20)&gt;YEAR(E74),1,(12-MONTH(E74)+1)/12))))-((P74)*(IF((YEAR(D74)+20)&lt;YEAR(E74),0,IF((YEAR(D74)+20)&gt;YEAR(E74),1,(12-MONTH(E74)+1)/12))) + (R74)*(IF((YEAR(D74)+20)&lt;YEAR(E74),0,IF((YEAR(D74)+20)&gt;YEAR(E74),1,(12-MONTH(E74)+1)/12))))-(IF(OR(N74="",N74&lt;=0),0,(O74/N74)*(IF(OR(N74="",N74&lt;=0),0,IF((YEAR(D74)+20)&lt;YEAR(E74),0,IF((YEAR(D74)+20)&gt;=YEAR(E74)+N74,0,IF((YEAR(D74)+20)=YEAR(E74),(12-MONTH(E74)+1)/12,1))))))))*TaxRate,0))-IF(20=0,O74,0))</f>
        <v/>
      </c>
      <c r="AN74" s="29">
        <f>IF(A74="","",S74)</f>
        <v/>
      </c>
      <c r="AO74" s="29">
        <f>IF(A74="","",AN74+T74)</f>
        <v/>
      </c>
      <c r="AP74" s="29">
        <f>IF(A74="","",AO74+U74)</f>
        <v/>
      </c>
      <c r="AQ74" s="29">
        <f>IF(A74="","",AP74+V74)</f>
        <v/>
      </c>
      <c r="AR74" s="29">
        <f>IF(A74="","",AQ74+W74)</f>
        <v/>
      </c>
      <c r="AS74" s="29">
        <f>IF(A74="","",AR74+X74)</f>
        <v/>
      </c>
      <c r="AT74" s="29">
        <f>IF(A74="","",AS74+Y74)</f>
        <v/>
      </c>
      <c r="AU74" s="29">
        <f>IF(A74="","",AT74+Z74)</f>
        <v/>
      </c>
      <c r="AV74" s="29">
        <f>IF(A74="","",AU74+AA74)</f>
        <v/>
      </c>
      <c r="AW74" s="29">
        <f>IF(A74="","",AV74+AB74)</f>
        <v/>
      </c>
      <c r="AX74" s="29">
        <f>IF(A74="","",AW74+AC74)</f>
        <v/>
      </c>
      <c r="AY74" s="29">
        <f>IF(A74="","",AX74+AD74)</f>
        <v/>
      </c>
      <c r="AZ74" s="29">
        <f>IF(A74="","",AY74+AE74)</f>
        <v/>
      </c>
      <c r="BA74" s="29">
        <f>IF(A74="","",AZ74+AF74)</f>
        <v/>
      </c>
      <c r="BB74" s="29">
        <f>IF(A74="","",BA74+AG74)</f>
        <v/>
      </c>
      <c r="BC74" s="29">
        <f>IF(A74="","",BB74+AH74)</f>
        <v/>
      </c>
      <c r="BD74" s="29">
        <f>IF(A74="","",BC74+AI74)</f>
        <v/>
      </c>
      <c r="BE74" s="29">
        <f>IF(A74="","",BD74+AJ74)</f>
        <v/>
      </c>
      <c r="BF74" s="29">
        <f>IF(A74="","",BE74+AK74)</f>
        <v/>
      </c>
      <c r="BG74" s="29">
        <f>IF(A74="","",BF74+AL74)</f>
        <v/>
      </c>
      <c r="BH74" s="29">
        <f>IF(A74="","",BG74+AM74)</f>
        <v/>
      </c>
      <c r="BI74" s="36">
        <f>IF(A74="","",(K74)*(IF((YEAR(D74)+0)&lt;YEAR(E74),0,IF((YEAR(D74)+0)&gt;YEAR(E74),1,(12-MONTH(E74)+1)/12)))*(1/(1+DiscountRate)^0))</f>
        <v/>
      </c>
      <c r="BJ74" s="36">
        <f>IF(A74="","",(K74)*(IF((YEAR(D74)+1)&lt;YEAR(E74),0,IF((YEAR(D74)+1)&gt;YEAR(E74),1,(12-MONTH(E74)+1)/12)))*(1/(1+DiscountRate)^1))</f>
        <v/>
      </c>
      <c r="BK74" s="36">
        <f>IF(A74="","",(K74)*(IF((YEAR(D74)+2)&lt;YEAR(E74),0,IF((YEAR(D74)+2)&gt;YEAR(E74),1,(12-MONTH(E74)+1)/12)))*(1/(1+DiscountRate)^2))</f>
        <v/>
      </c>
      <c r="BL74" s="36">
        <f>IF(A74="","",(K74)*(IF((YEAR(D74)+3)&lt;YEAR(E74),0,IF((YEAR(D74)+3)&gt;YEAR(E74),1,(12-MONTH(E74)+1)/12)))*(1/(1+DiscountRate)^3))</f>
        <v/>
      </c>
      <c r="BM74" s="36">
        <f>IF(A74="","",(K74)*(IF((YEAR(D74)+4)&lt;YEAR(E74),0,IF((YEAR(D74)+4)&gt;YEAR(E74),1,(12-MONTH(E74)+1)/12)))*(1/(1+DiscountRate)^4))</f>
        <v/>
      </c>
      <c r="BN74" s="36">
        <f>IF(A74="","",(K74)*(IF((YEAR(D74)+5)&lt;YEAR(E74),0,IF((YEAR(D74)+5)&gt;YEAR(E74),1,(12-MONTH(E74)+1)/12)))*(1/(1+DiscountRate)^5))</f>
        <v/>
      </c>
      <c r="BO74" s="36">
        <f>IF(A74="","",(K74)*(IF((YEAR(D74)+6)&lt;YEAR(E74),0,IF((YEAR(D74)+6)&gt;YEAR(E74),1,(12-MONTH(E74)+1)/12)))*(1/(1+DiscountRate)^6))</f>
        <v/>
      </c>
      <c r="BP74" s="36">
        <f>IF(A74="","",(K74)*(IF((YEAR(D74)+7)&lt;YEAR(E74),0,IF((YEAR(D74)+7)&gt;YEAR(E74),1,(12-MONTH(E74)+1)/12)))*(1/(1+DiscountRate)^7))</f>
        <v/>
      </c>
      <c r="BQ74" s="36">
        <f>IF(A74="","",(K74)*(IF((YEAR(D74)+8)&lt;YEAR(E74),0,IF((YEAR(D74)+8)&gt;YEAR(E74),1,(12-MONTH(E74)+1)/12)))*(1/(1+DiscountRate)^8))</f>
        <v/>
      </c>
      <c r="BR74" s="36">
        <f>IF(A74="","",(K74)*(IF((YEAR(D74)+9)&lt;YEAR(E74),0,IF((YEAR(D74)+9)&gt;YEAR(E74),1,(12-MONTH(E74)+1)/12)))*(1/(1+DiscountRate)^9))</f>
        <v/>
      </c>
      <c r="BS74" s="36">
        <f>IF(A74="","",(K74)*(IF((YEAR(D74)+10)&lt;YEAR(E74),0,IF((YEAR(D74)+10)&gt;YEAR(E74),1,(12-MONTH(E74)+1)/12)))*(1/(1+DiscountRate)^10))</f>
        <v/>
      </c>
      <c r="BT74" s="36">
        <f>IF(A74="","",(K74)*(IF((YEAR(D74)+11)&lt;YEAR(E74),0,IF((YEAR(D74)+11)&gt;YEAR(E74),1,(12-MONTH(E74)+1)/12)))*(1/(1+DiscountRate)^11))</f>
        <v/>
      </c>
      <c r="BU74" s="36">
        <f>IF(A74="","",(K74)*(IF((YEAR(D74)+12)&lt;YEAR(E74),0,IF((YEAR(D74)+12)&gt;YEAR(E74),1,(12-MONTH(E74)+1)/12)))*(1/(1+DiscountRate)^12))</f>
        <v/>
      </c>
      <c r="BV74" s="36">
        <f>IF(A74="","",(K74)*(IF((YEAR(D74)+13)&lt;YEAR(E74),0,IF((YEAR(D74)+13)&gt;YEAR(E74),1,(12-MONTH(E74)+1)/12)))*(1/(1+DiscountRate)^13))</f>
        <v/>
      </c>
      <c r="BW74" s="36">
        <f>IF(A74="","",(K74)*(IF((YEAR(D74)+14)&lt;YEAR(E74),0,IF((YEAR(D74)+14)&gt;YEAR(E74),1,(12-MONTH(E74)+1)/12)))*(1/(1+DiscountRate)^14))</f>
        <v/>
      </c>
      <c r="BX74" s="36">
        <f>IF(A74="","",(K74)*(IF((YEAR(D74)+15)&lt;YEAR(E74),0,IF((YEAR(D74)+15)&gt;YEAR(E74),1,(12-MONTH(E74)+1)/12)))*(1/(1+DiscountRate)^15))</f>
        <v/>
      </c>
      <c r="BY74" s="36">
        <f>IF(A74="","",(K74)*(IF((YEAR(D74)+16)&lt;YEAR(E74),0,IF((YEAR(D74)+16)&gt;YEAR(E74),1,(12-MONTH(E74)+1)/12)))*(1/(1+DiscountRate)^16))</f>
        <v/>
      </c>
      <c r="BZ74" s="36">
        <f>IF(A74="","",(K74)*(IF((YEAR(D74)+17)&lt;YEAR(E74),0,IF((YEAR(D74)+17)&gt;YEAR(E74),1,(12-MONTH(E74)+1)/12)))*(1/(1+DiscountRate)^17))</f>
        <v/>
      </c>
      <c r="CA74" s="36">
        <f>IF(A74="","",(K74)*(IF((YEAR(D74)+18)&lt;YEAR(E74),0,IF((YEAR(D74)+18)&gt;YEAR(E74),1,(12-MONTH(E74)+1)/12)))*(1/(1+DiscountRate)^18))</f>
        <v/>
      </c>
      <c r="CB74" s="36">
        <f>IF(A74="","",(K74)*(IF((YEAR(D74)+19)&lt;YEAR(E74),0,IF((YEAR(D74)+19)&gt;YEAR(E74),1,(12-MONTH(E74)+1)/12)))*(1/(1+DiscountRate)^19))</f>
        <v/>
      </c>
      <c r="CC74" s="36">
        <f>IF(A74="","",(K74)*(IF((YEAR(D74)+20)&lt;YEAR(E74),0,IF((YEAR(D74)+20)&gt;YEAR(E74),1,(12-MONTH(E74)+1)/12)))*(1/(1+DiscountRate)^20))</f>
        <v/>
      </c>
      <c r="CD74" s="29">
        <f>IF(A74="","",S74/(1+DiscountRate)^0+T74/(1+DiscountRate)^1+U74/(1+DiscountRate)^2+V74/(1+DiscountRate)^3+W74/(1+DiscountRate)^4+X74/(1+DiscountRate)^5+Y74/(1+DiscountRate)^6+Z74/(1+DiscountRate)^7+AA74/(1+DiscountRate)^8+AB74/(1+DiscountRate)^9+AC74/(1+DiscountRate)^10+AD74/(1+DiscountRate)^11+AE74/(1+DiscountRate)^12+AF74/(1+DiscountRate)^13+AG74/(1+DiscountRate)^14+AH74/(1+DiscountRate)^15+AI74/(1+DiscountRate)^16+AJ74/(1+DiscountRate)^17+AK74/(1+DiscountRate)^18+AL74/(1+DiscountRate)^19+AM74/(1+DiscountRate)^20)</f>
        <v/>
      </c>
      <c r="CE74" s="37">
        <f>IF(A74="","",IFERROR(IRR(OFFSET(S74,0,0,1,MIN(HorizonYears,20)+1)),"n/a"))</f>
        <v/>
      </c>
      <c r="CF74" s="28">
        <f>IF(A74="","",IFERROR(MATCH(TRUE,OFFSET(AN74,0,0,1,MIN(HorizonYears,20)+1)&gt;=0,0)-1,"n/a"))</f>
        <v/>
      </c>
      <c r="CG74" s="36">
        <f>IF(A74="","",SUM(OFFSET(BI74,0,0,1,MIN(HorizonYears,20)+1)))</f>
        <v/>
      </c>
      <c r="CH74" s="36">
        <f>IF(A74="","",IFERROR(-CD74/CG74,"n/a"))</f>
        <v/>
      </c>
    </row>
    <row r="75">
      <c r="A75" s="6">
        <f>Actions!A73</f>
        <v/>
      </c>
      <c r="B75" s="6">
        <f>Actions!B73</f>
        <v/>
      </c>
      <c r="C75" s="6">
        <f>Actions!D73</f>
        <v/>
      </c>
      <c r="D75" s="35">
        <f>Actions!E73</f>
        <v/>
      </c>
      <c r="E75" s="35">
        <f>Actions!F73</f>
        <v/>
      </c>
      <c r="F75" s="6">
        <f>Actions!G73</f>
        <v/>
      </c>
      <c r="G75" s="6">
        <f>Actions!H73</f>
        <v/>
      </c>
      <c r="H75" s="29">
        <f>Actions!I73</f>
        <v/>
      </c>
      <c r="I75" s="6">
        <f>Actions!J73</f>
        <v/>
      </c>
      <c r="J75" s="16">
        <f>Actions!K73</f>
        <v/>
      </c>
      <c r="K75" s="16">
        <f>IF(A75="","",IF(I75="%",H75*J75,J75))</f>
        <v/>
      </c>
      <c r="L75" s="16">
        <f>Actions!L73</f>
        <v/>
      </c>
      <c r="M75" s="6">
        <f>Actions!M73</f>
        <v/>
      </c>
      <c r="N75" s="28">
        <f>Actions!N73</f>
        <v/>
      </c>
      <c r="O75" s="29">
        <f>Actions!T73</f>
        <v/>
      </c>
      <c r="P75" s="29">
        <f>Actions!Y73</f>
        <v/>
      </c>
      <c r="Q75" s="29">
        <f>Actions!Z73</f>
        <v/>
      </c>
      <c r="R75" s="29">
        <f>Actions!AA73</f>
        <v/>
      </c>
      <c r="S75" s="29">
        <f>IF(A75="","",((K75)*(IF(M75="",L75,IFERROR(IF(INDEX(Variablen!$I:$AT, MATCH(M75, Variablen!$A:$A, 0), MATCH((YEAR(D75)+0), Variablen!$I$3:$AT$3, 0))="",L75,INDEX(Variablen!$I:$AT, MATCH(M75, Variablen!$A:$A, 0), MATCH((YEAR(D75)+0), Variablen!$I$3:$AT$3, 0))),L75)))*(IF((YEAR(D75)+0)&lt;YEAR(E75),0,IF((YEAR(D75)+0)&gt;YEAR(E75),1,(12-MONTH(E75)+1)/12))) + (Q75)*(IF((YEAR(D75)+0)&lt;YEAR(E75),0,IF((YEAR(D75)+0)&gt;YEAR(E75),1,(12-MONTH(E75)+1)/12))))-((P75)*(IF((YEAR(D75)+0)&lt;YEAR(E75),0,IF((YEAR(D75)+0)&gt;YEAR(E75),1,(12-MONTH(E75)+1)/12))) + (R75)*(IF((YEAR(D75)+0)&lt;YEAR(E75),0,IF((YEAR(D75)+0)&gt;YEAR(E75),1,(12-MONTH(E75)+1)/12))))-(IF((((K75)*(IF(M75="",L75,IFERROR(IF(INDEX(Variablen!$I:$AT, MATCH(M75, Variablen!$A:$A, 0), MATCH((YEAR(D75)+0), Variablen!$I$3:$AT$3, 0))="",L75,INDEX(Variablen!$I:$AT, MATCH(M75, Variablen!$A:$A, 0), MATCH((YEAR(D75)+0), Variablen!$I$3:$AT$3, 0))),L75)))*(IF((YEAR(D75)+0)&lt;YEAR(E75),0,IF((YEAR(D75)+0)&gt;YEAR(E75),1,(12-MONTH(E75)+1)/12))) + (Q75)*(IF((YEAR(D75)+0)&lt;YEAR(E75),0,IF((YEAR(D75)+0)&gt;YEAR(E75),1,(12-MONTH(E75)+1)/12))))-((P75)*(IF((YEAR(D75)+0)&lt;YEAR(E75),0,IF((YEAR(D75)+0)&gt;YEAR(E75),1,(12-MONTH(E75)+1)/12))) + (R75)*(IF((YEAR(D75)+0)&lt;YEAR(E75),0,IF((YEAR(D75)+0)&gt;YEAR(E75),1,(12-MONTH(E75)+1)/12))))-(IF(OR(N75="",N75&lt;=0),0,(O75/N75)*(IF(OR(N75="",N75&lt;=0),0,IF((YEAR(D75)+0)&lt;YEAR(E75),0,IF((YEAR(D75)+0)&gt;=YEAR(E75)+N75,0,IF((YEAR(D75)+0)=YEAR(E75),(12-MONTH(E75)+1)/12,1))))))))&gt;0,(((K75)*(IF(M75="",L75,IFERROR(IF(INDEX(Variablen!$I:$AT, MATCH(M75, Variablen!$A:$A, 0), MATCH((YEAR(D75)+0), Variablen!$I$3:$AT$3, 0))="",L75,INDEX(Variablen!$I:$AT, MATCH(M75, Variablen!$A:$A, 0), MATCH((YEAR(D75)+0), Variablen!$I$3:$AT$3, 0))),L75)))*(IF((YEAR(D75)+0)&lt;YEAR(E75),0,IF((YEAR(D75)+0)&gt;YEAR(E75),1,(12-MONTH(E75)+1)/12))) + (Q75)*(IF((YEAR(D75)+0)&lt;YEAR(E75),0,IF((YEAR(D75)+0)&gt;YEAR(E75),1,(12-MONTH(E75)+1)/12))))-((P75)*(IF((YEAR(D75)+0)&lt;YEAR(E75),0,IF((YEAR(D75)+0)&gt;YEAR(E75),1,(12-MONTH(E75)+1)/12))) + (R75)*(IF((YEAR(D75)+0)&lt;YEAR(E75),0,IF((YEAR(D75)+0)&gt;YEAR(E75),1,(12-MONTH(E75)+1)/12))))-(IF(OR(N75="",N75&lt;=0),0,(O75/N75)*(IF(OR(N75="",N75&lt;=0),0,IF((YEAR(D75)+0)&lt;YEAR(E75),0,IF((YEAR(D75)+0)&gt;=YEAR(E75)+N75,0,IF((YEAR(D75)+0)=YEAR(E75),(12-MONTH(E75)+1)/12,1))))))))*TaxRate,0))-IF(0=0,O75,0))</f>
        <v/>
      </c>
      <c r="T75" s="29">
        <f>IF(A75="","",((K75)*(IF(M75="",L75,IFERROR(IF(INDEX(Variablen!$I:$AT, MATCH(M75, Variablen!$A:$A, 0), MATCH((YEAR(D75)+1), Variablen!$I$3:$AT$3, 0))="",L75,INDEX(Variablen!$I:$AT, MATCH(M75, Variablen!$A:$A, 0), MATCH((YEAR(D75)+1), Variablen!$I$3:$AT$3, 0))),L75)))*(IF((YEAR(D75)+1)&lt;YEAR(E75),0,IF((YEAR(D75)+1)&gt;YEAR(E75),1,(12-MONTH(E75)+1)/12))) + (Q75)*(IF((YEAR(D75)+1)&lt;YEAR(E75),0,IF((YEAR(D75)+1)&gt;YEAR(E75),1,(12-MONTH(E75)+1)/12))))-((P75)*(IF((YEAR(D75)+1)&lt;YEAR(E75),0,IF((YEAR(D75)+1)&gt;YEAR(E75),1,(12-MONTH(E75)+1)/12))) + (R75)*(IF((YEAR(D75)+1)&lt;YEAR(E75),0,IF((YEAR(D75)+1)&gt;YEAR(E75),1,(12-MONTH(E75)+1)/12))))-(IF((((K75)*(IF(M75="",L75,IFERROR(IF(INDEX(Variablen!$I:$AT, MATCH(M75, Variablen!$A:$A, 0), MATCH((YEAR(D75)+1), Variablen!$I$3:$AT$3, 0))="",L75,INDEX(Variablen!$I:$AT, MATCH(M75, Variablen!$A:$A, 0), MATCH((YEAR(D75)+1), Variablen!$I$3:$AT$3, 0))),L75)))*(IF((YEAR(D75)+1)&lt;YEAR(E75),0,IF((YEAR(D75)+1)&gt;YEAR(E75),1,(12-MONTH(E75)+1)/12))) + (Q75)*(IF((YEAR(D75)+1)&lt;YEAR(E75),0,IF((YEAR(D75)+1)&gt;YEAR(E75),1,(12-MONTH(E75)+1)/12))))-((P75)*(IF((YEAR(D75)+1)&lt;YEAR(E75),0,IF((YEAR(D75)+1)&gt;YEAR(E75),1,(12-MONTH(E75)+1)/12))) + (R75)*(IF((YEAR(D75)+1)&lt;YEAR(E75),0,IF((YEAR(D75)+1)&gt;YEAR(E75),1,(12-MONTH(E75)+1)/12))))-(IF(OR(N75="",N75&lt;=0),0,(O75/N75)*(IF(OR(N75="",N75&lt;=0),0,IF((YEAR(D75)+1)&lt;YEAR(E75),0,IF((YEAR(D75)+1)&gt;=YEAR(E75)+N75,0,IF((YEAR(D75)+1)=YEAR(E75),(12-MONTH(E75)+1)/12,1))))))))&gt;0,(((K75)*(IF(M75="",L75,IFERROR(IF(INDEX(Variablen!$I:$AT, MATCH(M75, Variablen!$A:$A, 0), MATCH((YEAR(D75)+1), Variablen!$I$3:$AT$3, 0))="",L75,INDEX(Variablen!$I:$AT, MATCH(M75, Variablen!$A:$A, 0), MATCH((YEAR(D75)+1), Variablen!$I$3:$AT$3, 0))),L75)))*(IF((YEAR(D75)+1)&lt;YEAR(E75),0,IF((YEAR(D75)+1)&gt;YEAR(E75),1,(12-MONTH(E75)+1)/12))) + (Q75)*(IF((YEAR(D75)+1)&lt;YEAR(E75),0,IF((YEAR(D75)+1)&gt;YEAR(E75),1,(12-MONTH(E75)+1)/12))))-((P75)*(IF((YEAR(D75)+1)&lt;YEAR(E75),0,IF((YEAR(D75)+1)&gt;YEAR(E75),1,(12-MONTH(E75)+1)/12))) + (R75)*(IF((YEAR(D75)+1)&lt;YEAR(E75),0,IF((YEAR(D75)+1)&gt;YEAR(E75),1,(12-MONTH(E75)+1)/12))))-(IF(OR(N75="",N75&lt;=0),0,(O75/N75)*(IF(OR(N75="",N75&lt;=0),0,IF((YEAR(D75)+1)&lt;YEAR(E75),0,IF((YEAR(D75)+1)&gt;=YEAR(E75)+N75,0,IF((YEAR(D75)+1)=YEAR(E75),(12-MONTH(E75)+1)/12,1))))))))*TaxRate,0))-IF(1=0,O75,0))</f>
        <v/>
      </c>
      <c r="U75" s="29">
        <f>IF(A75="","",((K75)*(IF(M75="",L75,IFERROR(IF(INDEX(Variablen!$I:$AT, MATCH(M75, Variablen!$A:$A, 0), MATCH((YEAR(D75)+2), Variablen!$I$3:$AT$3, 0))="",L75,INDEX(Variablen!$I:$AT, MATCH(M75, Variablen!$A:$A, 0), MATCH((YEAR(D75)+2), Variablen!$I$3:$AT$3, 0))),L75)))*(IF((YEAR(D75)+2)&lt;YEAR(E75),0,IF((YEAR(D75)+2)&gt;YEAR(E75),1,(12-MONTH(E75)+1)/12))) + (Q75)*(IF((YEAR(D75)+2)&lt;YEAR(E75),0,IF((YEAR(D75)+2)&gt;YEAR(E75),1,(12-MONTH(E75)+1)/12))))-((P75)*(IF((YEAR(D75)+2)&lt;YEAR(E75),0,IF((YEAR(D75)+2)&gt;YEAR(E75),1,(12-MONTH(E75)+1)/12))) + (R75)*(IF((YEAR(D75)+2)&lt;YEAR(E75),0,IF((YEAR(D75)+2)&gt;YEAR(E75),1,(12-MONTH(E75)+1)/12))))-(IF((((K75)*(IF(M75="",L75,IFERROR(IF(INDEX(Variablen!$I:$AT, MATCH(M75, Variablen!$A:$A, 0), MATCH((YEAR(D75)+2), Variablen!$I$3:$AT$3, 0))="",L75,INDEX(Variablen!$I:$AT, MATCH(M75, Variablen!$A:$A, 0), MATCH((YEAR(D75)+2), Variablen!$I$3:$AT$3, 0))),L75)))*(IF((YEAR(D75)+2)&lt;YEAR(E75),0,IF((YEAR(D75)+2)&gt;YEAR(E75),1,(12-MONTH(E75)+1)/12))) + (Q75)*(IF((YEAR(D75)+2)&lt;YEAR(E75),0,IF((YEAR(D75)+2)&gt;YEAR(E75),1,(12-MONTH(E75)+1)/12))))-((P75)*(IF((YEAR(D75)+2)&lt;YEAR(E75),0,IF((YEAR(D75)+2)&gt;YEAR(E75),1,(12-MONTH(E75)+1)/12))) + (R75)*(IF((YEAR(D75)+2)&lt;YEAR(E75),0,IF((YEAR(D75)+2)&gt;YEAR(E75),1,(12-MONTH(E75)+1)/12))))-(IF(OR(N75="",N75&lt;=0),0,(O75/N75)*(IF(OR(N75="",N75&lt;=0),0,IF((YEAR(D75)+2)&lt;YEAR(E75),0,IF((YEAR(D75)+2)&gt;=YEAR(E75)+N75,0,IF((YEAR(D75)+2)=YEAR(E75),(12-MONTH(E75)+1)/12,1))))))))&gt;0,(((K75)*(IF(M75="",L75,IFERROR(IF(INDEX(Variablen!$I:$AT, MATCH(M75, Variablen!$A:$A, 0), MATCH((YEAR(D75)+2), Variablen!$I$3:$AT$3, 0))="",L75,INDEX(Variablen!$I:$AT, MATCH(M75, Variablen!$A:$A, 0), MATCH((YEAR(D75)+2), Variablen!$I$3:$AT$3, 0))),L75)))*(IF((YEAR(D75)+2)&lt;YEAR(E75),0,IF((YEAR(D75)+2)&gt;YEAR(E75),1,(12-MONTH(E75)+1)/12))) + (Q75)*(IF((YEAR(D75)+2)&lt;YEAR(E75),0,IF((YEAR(D75)+2)&gt;YEAR(E75),1,(12-MONTH(E75)+1)/12))))-((P75)*(IF((YEAR(D75)+2)&lt;YEAR(E75),0,IF((YEAR(D75)+2)&gt;YEAR(E75),1,(12-MONTH(E75)+1)/12))) + (R75)*(IF((YEAR(D75)+2)&lt;YEAR(E75),0,IF((YEAR(D75)+2)&gt;YEAR(E75),1,(12-MONTH(E75)+1)/12))))-(IF(OR(N75="",N75&lt;=0),0,(O75/N75)*(IF(OR(N75="",N75&lt;=0),0,IF((YEAR(D75)+2)&lt;YEAR(E75),0,IF((YEAR(D75)+2)&gt;=YEAR(E75)+N75,0,IF((YEAR(D75)+2)=YEAR(E75),(12-MONTH(E75)+1)/12,1))))))))*TaxRate,0))-IF(2=0,O75,0))</f>
        <v/>
      </c>
      <c r="V75" s="29">
        <f>IF(A75="","",((K75)*(IF(M75="",L75,IFERROR(IF(INDEX(Variablen!$I:$AT, MATCH(M75, Variablen!$A:$A, 0), MATCH((YEAR(D75)+3), Variablen!$I$3:$AT$3, 0))="",L75,INDEX(Variablen!$I:$AT, MATCH(M75, Variablen!$A:$A, 0), MATCH((YEAR(D75)+3), Variablen!$I$3:$AT$3, 0))),L75)))*(IF((YEAR(D75)+3)&lt;YEAR(E75),0,IF((YEAR(D75)+3)&gt;YEAR(E75),1,(12-MONTH(E75)+1)/12))) + (Q75)*(IF((YEAR(D75)+3)&lt;YEAR(E75),0,IF((YEAR(D75)+3)&gt;YEAR(E75),1,(12-MONTH(E75)+1)/12))))-((P75)*(IF((YEAR(D75)+3)&lt;YEAR(E75),0,IF((YEAR(D75)+3)&gt;YEAR(E75),1,(12-MONTH(E75)+1)/12))) + (R75)*(IF((YEAR(D75)+3)&lt;YEAR(E75),0,IF((YEAR(D75)+3)&gt;YEAR(E75),1,(12-MONTH(E75)+1)/12))))-(IF((((K75)*(IF(M75="",L75,IFERROR(IF(INDEX(Variablen!$I:$AT, MATCH(M75, Variablen!$A:$A, 0), MATCH((YEAR(D75)+3), Variablen!$I$3:$AT$3, 0))="",L75,INDEX(Variablen!$I:$AT, MATCH(M75, Variablen!$A:$A, 0), MATCH((YEAR(D75)+3), Variablen!$I$3:$AT$3, 0))),L75)))*(IF((YEAR(D75)+3)&lt;YEAR(E75),0,IF((YEAR(D75)+3)&gt;YEAR(E75),1,(12-MONTH(E75)+1)/12))) + (Q75)*(IF((YEAR(D75)+3)&lt;YEAR(E75),0,IF((YEAR(D75)+3)&gt;YEAR(E75),1,(12-MONTH(E75)+1)/12))))-((P75)*(IF((YEAR(D75)+3)&lt;YEAR(E75),0,IF((YEAR(D75)+3)&gt;YEAR(E75),1,(12-MONTH(E75)+1)/12))) + (R75)*(IF((YEAR(D75)+3)&lt;YEAR(E75),0,IF((YEAR(D75)+3)&gt;YEAR(E75),1,(12-MONTH(E75)+1)/12))))-(IF(OR(N75="",N75&lt;=0),0,(O75/N75)*(IF(OR(N75="",N75&lt;=0),0,IF((YEAR(D75)+3)&lt;YEAR(E75),0,IF((YEAR(D75)+3)&gt;=YEAR(E75)+N75,0,IF((YEAR(D75)+3)=YEAR(E75),(12-MONTH(E75)+1)/12,1))))))))&gt;0,(((K75)*(IF(M75="",L75,IFERROR(IF(INDEX(Variablen!$I:$AT, MATCH(M75, Variablen!$A:$A, 0), MATCH((YEAR(D75)+3), Variablen!$I$3:$AT$3, 0))="",L75,INDEX(Variablen!$I:$AT, MATCH(M75, Variablen!$A:$A, 0), MATCH((YEAR(D75)+3), Variablen!$I$3:$AT$3, 0))),L75)))*(IF((YEAR(D75)+3)&lt;YEAR(E75),0,IF((YEAR(D75)+3)&gt;YEAR(E75),1,(12-MONTH(E75)+1)/12))) + (Q75)*(IF((YEAR(D75)+3)&lt;YEAR(E75),0,IF((YEAR(D75)+3)&gt;YEAR(E75),1,(12-MONTH(E75)+1)/12))))-((P75)*(IF((YEAR(D75)+3)&lt;YEAR(E75),0,IF((YEAR(D75)+3)&gt;YEAR(E75),1,(12-MONTH(E75)+1)/12))) + (R75)*(IF((YEAR(D75)+3)&lt;YEAR(E75),0,IF((YEAR(D75)+3)&gt;YEAR(E75),1,(12-MONTH(E75)+1)/12))))-(IF(OR(N75="",N75&lt;=0),0,(O75/N75)*(IF(OR(N75="",N75&lt;=0),0,IF((YEAR(D75)+3)&lt;YEAR(E75),0,IF((YEAR(D75)+3)&gt;=YEAR(E75)+N75,0,IF((YEAR(D75)+3)=YEAR(E75),(12-MONTH(E75)+1)/12,1))))))))*TaxRate,0))-IF(3=0,O75,0))</f>
        <v/>
      </c>
      <c r="W75" s="29">
        <f>IF(A75="","",((K75)*(IF(M75="",L75,IFERROR(IF(INDEX(Variablen!$I:$AT, MATCH(M75, Variablen!$A:$A, 0), MATCH((YEAR(D75)+4), Variablen!$I$3:$AT$3, 0))="",L75,INDEX(Variablen!$I:$AT, MATCH(M75, Variablen!$A:$A, 0), MATCH((YEAR(D75)+4), Variablen!$I$3:$AT$3, 0))),L75)))*(IF((YEAR(D75)+4)&lt;YEAR(E75),0,IF((YEAR(D75)+4)&gt;YEAR(E75),1,(12-MONTH(E75)+1)/12))) + (Q75)*(IF((YEAR(D75)+4)&lt;YEAR(E75),0,IF((YEAR(D75)+4)&gt;YEAR(E75),1,(12-MONTH(E75)+1)/12))))-((P75)*(IF((YEAR(D75)+4)&lt;YEAR(E75),0,IF((YEAR(D75)+4)&gt;YEAR(E75),1,(12-MONTH(E75)+1)/12))) + (R75)*(IF((YEAR(D75)+4)&lt;YEAR(E75),0,IF((YEAR(D75)+4)&gt;YEAR(E75),1,(12-MONTH(E75)+1)/12))))-(IF((((K75)*(IF(M75="",L75,IFERROR(IF(INDEX(Variablen!$I:$AT, MATCH(M75, Variablen!$A:$A, 0), MATCH((YEAR(D75)+4), Variablen!$I$3:$AT$3, 0))="",L75,INDEX(Variablen!$I:$AT, MATCH(M75, Variablen!$A:$A, 0), MATCH((YEAR(D75)+4), Variablen!$I$3:$AT$3, 0))),L75)))*(IF((YEAR(D75)+4)&lt;YEAR(E75),0,IF((YEAR(D75)+4)&gt;YEAR(E75),1,(12-MONTH(E75)+1)/12))) + (Q75)*(IF((YEAR(D75)+4)&lt;YEAR(E75),0,IF((YEAR(D75)+4)&gt;YEAR(E75),1,(12-MONTH(E75)+1)/12))))-((P75)*(IF((YEAR(D75)+4)&lt;YEAR(E75),0,IF((YEAR(D75)+4)&gt;YEAR(E75),1,(12-MONTH(E75)+1)/12))) + (R75)*(IF((YEAR(D75)+4)&lt;YEAR(E75),0,IF((YEAR(D75)+4)&gt;YEAR(E75),1,(12-MONTH(E75)+1)/12))))-(IF(OR(N75="",N75&lt;=0),0,(O75/N75)*(IF(OR(N75="",N75&lt;=0),0,IF((YEAR(D75)+4)&lt;YEAR(E75),0,IF((YEAR(D75)+4)&gt;=YEAR(E75)+N75,0,IF((YEAR(D75)+4)=YEAR(E75),(12-MONTH(E75)+1)/12,1))))))))&gt;0,(((K75)*(IF(M75="",L75,IFERROR(IF(INDEX(Variablen!$I:$AT, MATCH(M75, Variablen!$A:$A, 0), MATCH((YEAR(D75)+4), Variablen!$I$3:$AT$3, 0))="",L75,INDEX(Variablen!$I:$AT, MATCH(M75, Variablen!$A:$A, 0), MATCH((YEAR(D75)+4), Variablen!$I$3:$AT$3, 0))),L75)))*(IF((YEAR(D75)+4)&lt;YEAR(E75),0,IF((YEAR(D75)+4)&gt;YEAR(E75),1,(12-MONTH(E75)+1)/12))) + (Q75)*(IF((YEAR(D75)+4)&lt;YEAR(E75),0,IF((YEAR(D75)+4)&gt;YEAR(E75),1,(12-MONTH(E75)+1)/12))))-((P75)*(IF((YEAR(D75)+4)&lt;YEAR(E75),0,IF((YEAR(D75)+4)&gt;YEAR(E75),1,(12-MONTH(E75)+1)/12))) + (R75)*(IF((YEAR(D75)+4)&lt;YEAR(E75),0,IF((YEAR(D75)+4)&gt;YEAR(E75),1,(12-MONTH(E75)+1)/12))))-(IF(OR(N75="",N75&lt;=0),0,(O75/N75)*(IF(OR(N75="",N75&lt;=0),0,IF((YEAR(D75)+4)&lt;YEAR(E75),0,IF((YEAR(D75)+4)&gt;=YEAR(E75)+N75,0,IF((YEAR(D75)+4)=YEAR(E75),(12-MONTH(E75)+1)/12,1))))))))*TaxRate,0))-IF(4=0,O75,0))</f>
        <v/>
      </c>
      <c r="X75" s="29">
        <f>IF(A75="","",((K75)*(IF(M75="",L75,IFERROR(IF(INDEX(Variablen!$I:$AT, MATCH(M75, Variablen!$A:$A, 0), MATCH((YEAR(D75)+5), Variablen!$I$3:$AT$3, 0))="",L75,INDEX(Variablen!$I:$AT, MATCH(M75, Variablen!$A:$A, 0), MATCH((YEAR(D75)+5), Variablen!$I$3:$AT$3, 0))),L75)))*(IF((YEAR(D75)+5)&lt;YEAR(E75),0,IF((YEAR(D75)+5)&gt;YEAR(E75),1,(12-MONTH(E75)+1)/12))) + (Q75)*(IF((YEAR(D75)+5)&lt;YEAR(E75),0,IF((YEAR(D75)+5)&gt;YEAR(E75),1,(12-MONTH(E75)+1)/12))))-((P75)*(IF((YEAR(D75)+5)&lt;YEAR(E75),0,IF((YEAR(D75)+5)&gt;YEAR(E75),1,(12-MONTH(E75)+1)/12))) + (R75)*(IF((YEAR(D75)+5)&lt;YEAR(E75),0,IF((YEAR(D75)+5)&gt;YEAR(E75),1,(12-MONTH(E75)+1)/12))))-(IF((((K75)*(IF(M75="",L75,IFERROR(IF(INDEX(Variablen!$I:$AT, MATCH(M75, Variablen!$A:$A, 0), MATCH((YEAR(D75)+5), Variablen!$I$3:$AT$3, 0))="",L75,INDEX(Variablen!$I:$AT, MATCH(M75, Variablen!$A:$A, 0), MATCH((YEAR(D75)+5), Variablen!$I$3:$AT$3, 0))),L75)))*(IF((YEAR(D75)+5)&lt;YEAR(E75),0,IF((YEAR(D75)+5)&gt;YEAR(E75),1,(12-MONTH(E75)+1)/12))) + (Q75)*(IF((YEAR(D75)+5)&lt;YEAR(E75),0,IF((YEAR(D75)+5)&gt;YEAR(E75),1,(12-MONTH(E75)+1)/12))))-((P75)*(IF((YEAR(D75)+5)&lt;YEAR(E75),0,IF((YEAR(D75)+5)&gt;YEAR(E75),1,(12-MONTH(E75)+1)/12))) + (R75)*(IF((YEAR(D75)+5)&lt;YEAR(E75),0,IF((YEAR(D75)+5)&gt;YEAR(E75),1,(12-MONTH(E75)+1)/12))))-(IF(OR(N75="",N75&lt;=0),0,(O75/N75)*(IF(OR(N75="",N75&lt;=0),0,IF((YEAR(D75)+5)&lt;YEAR(E75),0,IF((YEAR(D75)+5)&gt;=YEAR(E75)+N75,0,IF((YEAR(D75)+5)=YEAR(E75),(12-MONTH(E75)+1)/12,1))))))))&gt;0,(((K75)*(IF(M75="",L75,IFERROR(IF(INDEX(Variablen!$I:$AT, MATCH(M75, Variablen!$A:$A, 0), MATCH((YEAR(D75)+5), Variablen!$I$3:$AT$3, 0))="",L75,INDEX(Variablen!$I:$AT, MATCH(M75, Variablen!$A:$A, 0), MATCH((YEAR(D75)+5), Variablen!$I$3:$AT$3, 0))),L75)))*(IF((YEAR(D75)+5)&lt;YEAR(E75),0,IF((YEAR(D75)+5)&gt;YEAR(E75),1,(12-MONTH(E75)+1)/12))) + (Q75)*(IF((YEAR(D75)+5)&lt;YEAR(E75),0,IF((YEAR(D75)+5)&gt;YEAR(E75),1,(12-MONTH(E75)+1)/12))))-((P75)*(IF((YEAR(D75)+5)&lt;YEAR(E75),0,IF((YEAR(D75)+5)&gt;YEAR(E75),1,(12-MONTH(E75)+1)/12))) + (R75)*(IF((YEAR(D75)+5)&lt;YEAR(E75),0,IF((YEAR(D75)+5)&gt;YEAR(E75),1,(12-MONTH(E75)+1)/12))))-(IF(OR(N75="",N75&lt;=0),0,(O75/N75)*(IF(OR(N75="",N75&lt;=0),0,IF((YEAR(D75)+5)&lt;YEAR(E75),0,IF((YEAR(D75)+5)&gt;=YEAR(E75)+N75,0,IF((YEAR(D75)+5)=YEAR(E75),(12-MONTH(E75)+1)/12,1))))))))*TaxRate,0))-IF(5=0,O75,0))</f>
        <v/>
      </c>
      <c r="Y75" s="29">
        <f>IF(A75="","",((K75)*(IF(M75="",L75,IFERROR(IF(INDEX(Variablen!$I:$AT, MATCH(M75, Variablen!$A:$A, 0), MATCH((YEAR(D75)+6), Variablen!$I$3:$AT$3, 0))="",L75,INDEX(Variablen!$I:$AT, MATCH(M75, Variablen!$A:$A, 0), MATCH((YEAR(D75)+6), Variablen!$I$3:$AT$3, 0))),L75)))*(IF((YEAR(D75)+6)&lt;YEAR(E75),0,IF((YEAR(D75)+6)&gt;YEAR(E75),1,(12-MONTH(E75)+1)/12))) + (Q75)*(IF((YEAR(D75)+6)&lt;YEAR(E75),0,IF((YEAR(D75)+6)&gt;YEAR(E75),1,(12-MONTH(E75)+1)/12))))-((P75)*(IF((YEAR(D75)+6)&lt;YEAR(E75),0,IF((YEAR(D75)+6)&gt;YEAR(E75),1,(12-MONTH(E75)+1)/12))) + (R75)*(IF((YEAR(D75)+6)&lt;YEAR(E75),0,IF((YEAR(D75)+6)&gt;YEAR(E75),1,(12-MONTH(E75)+1)/12))))-(IF((((K75)*(IF(M75="",L75,IFERROR(IF(INDEX(Variablen!$I:$AT, MATCH(M75, Variablen!$A:$A, 0), MATCH((YEAR(D75)+6), Variablen!$I$3:$AT$3, 0))="",L75,INDEX(Variablen!$I:$AT, MATCH(M75, Variablen!$A:$A, 0), MATCH((YEAR(D75)+6), Variablen!$I$3:$AT$3, 0))),L75)))*(IF((YEAR(D75)+6)&lt;YEAR(E75),0,IF((YEAR(D75)+6)&gt;YEAR(E75),1,(12-MONTH(E75)+1)/12))) + (Q75)*(IF((YEAR(D75)+6)&lt;YEAR(E75),0,IF((YEAR(D75)+6)&gt;YEAR(E75),1,(12-MONTH(E75)+1)/12))))-((P75)*(IF((YEAR(D75)+6)&lt;YEAR(E75),0,IF((YEAR(D75)+6)&gt;YEAR(E75),1,(12-MONTH(E75)+1)/12))) + (R75)*(IF((YEAR(D75)+6)&lt;YEAR(E75),0,IF((YEAR(D75)+6)&gt;YEAR(E75),1,(12-MONTH(E75)+1)/12))))-(IF(OR(N75="",N75&lt;=0),0,(O75/N75)*(IF(OR(N75="",N75&lt;=0),0,IF((YEAR(D75)+6)&lt;YEAR(E75),0,IF((YEAR(D75)+6)&gt;=YEAR(E75)+N75,0,IF((YEAR(D75)+6)=YEAR(E75),(12-MONTH(E75)+1)/12,1))))))))&gt;0,(((K75)*(IF(M75="",L75,IFERROR(IF(INDEX(Variablen!$I:$AT, MATCH(M75, Variablen!$A:$A, 0), MATCH((YEAR(D75)+6), Variablen!$I$3:$AT$3, 0))="",L75,INDEX(Variablen!$I:$AT, MATCH(M75, Variablen!$A:$A, 0), MATCH((YEAR(D75)+6), Variablen!$I$3:$AT$3, 0))),L75)))*(IF((YEAR(D75)+6)&lt;YEAR(E75),0,IF((YEAR(D75)+6)&gt;YEAR(E75),1,(12-MONTH(E75)+1)/12))) + (Q75)*(IF((YEAR(D75)+6)&lt;YEAR(E75),0,IF((YEAR(D75)+6)&gt;YEAR(E75),1,(12-MONTH(E75)+1)/12))))-((P75)*(IF((YEAR(D75)+6)&lt;YEAR(E75),0,IF((YEAR(D75)+6)&gt;YEAR(E75),1,(12-MONTH(E75)+1)/12))) + (R75)*(IF((YEAR(D75)+6)&lt;YEAR(E75),0,IF((YEAR(D75)+6)&gt;YEAR(E75),1,(12-MONTH(E75)+1)/12))))-(IF(OR(N75="",N75&lt;=0),0,(O75/N75)*(IF(OR(N75="",N75&lt;=0),0,IF((YEAR(D75)+6)&lt;YEAR(E75),0,IF((YEAR(D75)+6)&gt;=YEAR(E75)+N75,0,IF((YEAR(D75)+6)=YEAR(E75),(12-MONTH(E75)+1)/12,1))))))))*TaxRate,0))-IF(6=0,O75,0))</f>
        <v/>
      </c>
      <c r="Z75" s="29">
        <f>IF(A75="","",((K75)*(IF(M75="",L75,IFERROR(IF(INDEX(Variablen!$I:$AT, MATCH(M75, Variablen!$A:$A, 0), MATCH((YEAR(D75)+7), Variablen!$I$3:$AT$3, 0))="",L75,INDEX(Variablen!$I:$AT, MATCH(M75, Variablen!$A:$A, 0), MATCH((YEAR(D75)+7), Variablen!$I$3:$AT$3, 0))),L75)))*(IF((YEAR(D75)+7)&lt;YEAR(E75),0,IF((YEAR(D75)+7)&gt;YEAR(E75),1,(12-MONTH(E75)+1)/12))) + (Q75)*(IF((YEAR(D75)+7)&lt;YEAR(E75),0,IF((YEAR(D75)+7)&gt;YEAR(E75),1,(12-MONTH(E75)+1)/12))))-((P75)*(IF((YEAR(D75)+7)&lt;YEAR(E75),0,IF((YEAR(D75)+7)&gt;YEAR(E75),1,(12-MONTH(E75)+1)/12))) + (R75)*(IF((YEAR(D75)+7)&lt;YEAR(E75),0,IF((YEAR(D75)+7)&gt;YEAR(E75),1,(12-MONTH(E75)+1)/12))))-(IF((((K75)*(IF(M75="",L75,IFERROR(IF(INDEX(Variablen!$I:$AT, MATCH(M75, Variablen!$A:$A, 0), MATCH((YEAR(D75)+7), Variablen!$I$3:$AT$3, 0))="",L75,INDEX(Variablen!$I:$AT, MATCH(M75, Variablen!$A:$A, 0), MATCH((YEAR(D75)+7), Variablen!$I$3:$AT$3, 0))),L75)))*(IF((YEAR(D75)+7)&lt;YEAR(E75),0,IF((YEAR(D75)+7)&gt;YEAR(E75),1,(12-MONTH(E75)+1)/12))) + (Q75)*(IF((YEAR(D75)+7)&lt;YEAR(E75),0,IF((YEAR(D75)+7)&gt;YEAR(E75),1,(12-MONTH(E75)+1)/12))))-((P75)*(IF((YEAR(D75)+7)&lt;YEAR(E75),0,IF((YEAR(D75)+7)&gt;YEAR(E75),1,(12-MONTH(E75)+1)/12))) + (R75)*(IF((YEAR(D75)+7)&lt;YEAR(E75),0,IF((YEAR(D75)+7)&gt;YEAR(E75),1,(12-MONTH(E75)+1)/12))))-(IF(OR(N75="",N75&lt;=0),0,(O75/N75)*(IF(OR(N75="",N75&lt;=0),0,IF((YEAR(D75)+7)&lt;YEAR(E75),0,IF((YEAR(D75)+7)&gt;=YEAR(E75)+N75,0,IF((YEAR(D75)+7)=YEAR(E75),(12-MONTH(E75)+1)/12,1))))))))&gt;0,(((K75)*(IF(M75="",L75,IFERROR(IF(INDEX(Variablen!$I:$AT, MATCH(M75, Variablen!$A:$A, 0), MATCH((YEAR(D75)+7), Variablen!$I$3:$AT$3, 0))="",L75,INDEX(Variablen!$I:$AT, MATCH(M75, Variablen!$A:$A, 0), MATCH((YEAR(D75)+7), Variablen!$I$3:$AT$3, 0))),L75)))*(IF((YEAR(D75)+7)&lt;YEAR(E75),0,IF((YEAR(D75)+7)&gt;YEAR(E75),1,(12-MONTH(E75)+1)/12))) + (Q75)*(IF((YEAR(D75)+7)&lt;YEAR(E75),0,IF((YEAR(D75)+7)&gt;YEAR(E75),1,(12-MONTH(E75)+1)/12))))-((P75)*(IF((YEAR(D75)+7)&lt;YEAR(E75),0,IF((YEAR(D75)+7)&gt;YEAR(E75),1,(12-MONTH(E75)+1)/12))) + (R75)*(IF((YEAR(D75)+7)&lt;YEAR(E75),0,IF((YEAR(D75)+7)&gt;YEAR(E75),1,(12-MONTH(E75)+1)/12))))-(IF(OR(N75="",N75&lt;=0),0,(O75/N75)*(IF(OR(N75="",N75&lt;=0),0,IF((YEAR(D75)+7)&lt;YEAR(E75),0,IF((YEAR(D75)+7)&gt;=YEAR(E75)+N75,0,IF((YEAR(D75)+7)=YEAR(E75),(12-MONTH(E75)+1)/12,1))))))))*TaxRate,0))-IF(7=0,O75,0))</f>
        <v/>
      </c>
      <c r="AA75" s="29">
        <f>IF(A75="","",((K75)*(IF(M75="",L75,IFERROR(IF(INDEX(Variablen!$I:$AT, MATCH(M75, Variablen!$A:$A, 0), MATCH((YEAR(D75)+8), Variablen!$I$3:$AT$3, 0))="",L75,INDEX(Variablen!$I:$AT, MATCH(M75, Variablen!$A:$A, 0), MATCH((YEAR(D75)+8), Variablen!$I$3:$AT$3, 0))),L75)))*(IF((YEAR(D75)+8)&lt;YEAR(E75),0,IF((YEAR(D75)+8)&gt;YEAR(E75),1,(12-MONTH(E75)+1)/12))) + (Q75)*(IF((YEAR(D75)+8)&lt;YEAR(E75),0,IF((YEAR(D75)+8)&gt;YEAR(E75),1,(12-MONTH(E75)+1)/12))))-((P75)*(IF((YEAR(D75)+8)&lt;YEAR(E75),0,IF((YEAR(D75)+8)&gt;YEAR(E75),1,(12-MONTH(E75)+1)/12))) + (R75)*(IF((YEAR(D75)+8)&lt;YEAR(E75),0,IF((YEAR(D75)+8)&gt;YEAR(E75),1,(12-MONTH(E75)+1)/12))))-(IF((((K75)*(IF(M75="",L75,IFERROR(IF(INDEX(Variablen!$I:$AT, MATCH(M75, Variablen!$A:$A, 0), MATCH((YEAR(D75)+8), Variablen!$I$3:$AT$3, 0))="",L75,INDEX(Variablen!$I:$AT, MATCH(M75, Variablen!$A:$A, 0), MATCH((YEAR(D75)+8), Variablen!$I$3:$AT$3, 0))),L75)))*(IF((YEAR(D75)+8)&lt;YEAR(E75),0,IF((YEAR(D75)+8)&gt;YEAR(E75),1,(12-MONTH(E75)+1)/12))) + (Q75)*(IF((YEAR(D75)+8)&lt;YEAR(E75),0,IF((YEAR(D75)+8)&gt;YEAR(E75),1,(12-MONTH(E75)+1)/12))))-((P75)*(IF((YEAR(D75)+8)&lt;YEAR(E75),0,IF((YEAR(D75)+8)&gt;YEAR(E75),1,(12-MONTH(E75)+1)/12))) + (R75)*(IF((YEAR(D75)+8)&lt;YEAR(E75),0,IF((YEAR(D75)+8)&gt;YEAR(E75),1,(12-MONTH(E75)+1)/12))))-(IF(OR(N75="",N75&lt;=0),0,(O75/N75)*(IF(OR(N75="",N75&lt;=0),0,IF((YEAR(D75)+8)&lt;YEAR(E75),0,IF((YEAR(D75)+8)&gt;=YEAR(E75)+N75,0,IF((YEAR(D75)+8)=YEAR(E75),(12-MONTH(E75)+1)/12,1))))))))&gt;0,(((K75)*(IF(M75="",L75,IFERROR(IF(INDEX(Variablen!$I:$AT, MATCH(M75, Variablen!$A:$A, 0), MATCH((YEAR(D75)+8), Variablen!$I$3:$AT$3, 0))="",L75,INDEX(Variablen!$I:$AT, MATCH(M75, Variablen!$A:$A, 0), MATCH((YEAR(D75)+8), Variablen!$I$3:$AT$3, 0))),L75)))*(IF((YEAR(D75)+8)&lt;YEAR(E75),0,IF((YEAR(D75)+8)&gt;YEAR(E75),1,(12-MONTH(E75)+1)/12))) + (Q75)*(IF((YEAR(D75)+8)&lt;YEAR(E75),0,IF((YEAR(D75)+8)&gt;YEAR(E75),1,(12-MONTH(E75)+1)/12))))-((P75)*(IF((YEAR(D75)+8)&lt;YEAR(E75),0,IF((YEAR(D75)+8)&gt;YEAR(E75),1,(12-MONTH(E75)+1)/12))) + (R75)*(IF((YEAR(D75)+8)&lt;YEAR(E75),0,IF((YEAR(D75)+8)&gt;YEAR(E75),1,(12-MONTH(E75)+1)/12))))-(IF(OR(N75="",N75&lt;=0),0,(O75/N75)*(IF(OR(N75="",N75&lt;=0),0,IF((YEAR(D75)+8)&lt;YEAR(E75),0,IF((YEAR(D75)+8)&gt;=YEAR(E75)+N75,0,IF((YEAR(D75)+8)=YEAR(E75),(12-MONTH(E75)+1)/12,1))))))))*TaxRate,0))-IF(8=0,O75,0))</f>
        <v/>
      </c>
      <c r="AB75" s="29">
        <f>IF(A75="","",((K75)*(IF(M75="",L75,IFERROR(IF(INDEX(Variablen!$I:$AT, MATCH(M75, Variablen!$A:$A, 0), MATCH((YEAR(D75)+9), Variablen!$I$3:$AT$3, 0))="",L75,INDEX(Variablen!$I:$AT, MATCH(M75, Variablen!$A:$A, 0), MATCH((YEAR(D75)+9), Variablen!$I$3:$AT$3, 0))),L75)))*(IF((YEAR(D75)+9)&lt;YEAR(E75),0,IF((YEAR(D75)+9)&gt;YEAR(E75),1,(12-MONTH(E75)+1)/12))) + (Q75)*(IF((YEAR(D75)+9)&lt;YEAR(E75),0,IF((YEAR(D75)+9)&gt;YEAR(E75),1,(12-MONTH(E75)+1)/12))))-((P75)*(IF((YEAR(D75)+9)&lt;YEAR(E75),0,IF((YEAR(D75)+9)&gt;YEAR(E75),1,(12-MONTH(E75)+1)/12))) + (R75)*(IF((YEAR(D75)+9)&lt;YEAR(E75),0,IF((YEAR(D75)+9)&gt;YEAR(E75),1,(12-MONTH(E75)+1)/12))))-(IF((((K75)*(IF(M75="",L75,IFERROR(IF(INDEX(Variablen!$I:$AT, MATCH(M75, Variablen!$A:$A, 0), MATCH((YEAR(D75)+9), Variablen!$I$3:$AT$3, 0))="",L75,INDEX(Variablen!$I:$AT, MATCH(M75, Variablen!$A:$A, 0), MATCH((YEAR(D75)+9), Variablen!$I$3:$AT$3, 0))),L75)))*(IF((YEAR(D75)+9)&lt;YEAR(E75),0,IF((YEAR(D75)+9)&gt;YEAR(E75),1,(12-MONTH(E75)+1)/12))) + (Q75)*(IF((YEAR(D75)+9)&lt;YEAR(E75),0,IF((YEAR(D75)+9)&gt;YEAR(E75),1,(12-MONTH(E75)+1)/12))))-((P75)*(IF((YEAR(D75)+9)&lt;YEAR(E75),0,IF((YEAR(D75)+9)&gt;YEAR(E75),1,(12-MONTH(E75)+1)/12))) + (R75)*(IF((YEAR(D75)+9)&lt;YEAR(E75),0,IF((YEAR(D75)+9)&gt;YEAR(E75),1,(12-MONTH(E75)+1)/12))))-(IF(OR(N75="",N75&lt;=0),0,(O75/N75)*(IF(OR(N75="",N75&lt;=0),0,IF((YEAR(D75)+9)&lt;YEAR(E75),0,IF((YEAR(D75)+9)&gt;=YEAR(E75)+N75,0,IF((YEAR(D75)+9)=YEAR(E75),(12-MONTH(E75)+1)/12,1))))))))&gt;0,(((K75)*(IF(M75="",L75,IFERROR(IF(INDEX(Variablen!$I:$AT, MATCH(M75, Variablen!$A:$A, 0), MATCH((YEAR(D75)+9), Variablen!$I$3:$AT$3, 0))="",L75,INDEX(Variablen!$I:$AT, MATCH(M75, Variablen!$A:$A, 0), MATCH((YEAR(D75)+9), Variablen!$I$3:$AT$3, 0))),L75)))*(IF((YEAR(D75)+9)&lt;YEAR(E75),0,IF((YEAR(D75)+9)&gt;YEAR(E75),1,(12-MONTH(E75)+1)/12))) + (Q75)*(IF((YEAR(D75)+9)&lt;YEAR(E75),0,IF((YEAR(D75)+9)&gt;YEAR(E75),1,(12-MONTH(E75)+1)/12))))-((P75)*(IF((YEAR(D75)+9)&lt;YEAR(E75),0,IF((YEAR(D75)+9)&gt;YEAR(E75),1,(12-MONTH(E75)+1)/12))) + (R75)*(IF((YEAR(D75)+9)&lt;YEAR(E75),0,IF((YEAR(D75)+9)&gt;YEAR(E75),1,(12-MONTH(E75)+1)/12))))-(IF(OR(N75="",N75&lt;=0),0,(O75/N75)*(IF(OR(N75="",N75&lt;=0),0,IF((YEAR(D75)+9)&lt;YEAR(E75),0,IF((YEAR(D75)+9)&gt;=YEAR(E75)+N75,0,IF((YEAR(D75)+9)=YEAR(E75),(12-MONTH(E75)+1)/12,1))))))))*TaxRate,0))-IF(9=0,O75,0))</f>
        <v/>
      </c>
      <c r="AC75" s="29">
        <f>IF(A75="","",((K75)*(IF(M75="",L75,IFERROR(IF(INDEX(Variablen!$I:$AT, MATCH(M75, Variablen!$A:$A, 0), MATCH((YEAR(D75)+10), Variablen!$I$3:$AT$3, 0))="",L75,INDEX(Variablen!$I:$AT, MATCH(M75, Variablen!$A:$A, 0), MATCH((YEAR(D75)+10), Variablen!$I$3:$AT$3, 0))),L75)))*(IF((YEAR(D75)+10)&lt;YEAR(E75),0,IF((YEAR(D75)+10)&gt;YEAR(E75),1,(12-MONTH(E75)+1)/12))) + (Q75)*(IF((YEAR(D75)+10)&lt;YEAR(E75),0,IF((YEAR(D75)+10)&gt;YEAR(E75),1,(12-MONTH(E75)+1)/12))))-((P75)*(IF((YEAR(D75)+10)&lt;YEAR(E75),0,IF((YEAR(D75)+10)&gt;YEAR(E75),1,(12-MONTH(E75)+1)/12))) + (R75)*(IF((YEAR(D75)+10)&lt;YEAR(E75),0,IF((YEAR(D75)+10)&gt;YEAR(E75),1,(12-MONTH(E75)+1)/12))))-(IF((((K75)*(IF(M75="",L75,IFERROR(IF(INDEX(Variablen!$I:$AT, MATCH(M75, Variablen!$A:$A, 0), MATCH((YEAR(D75)+10), Variablen!$I$3:$AT$3, 0))="",L75,INDEX(Variablen!$I:$AT, MATCH(M75, Variablen!$A:$A, 0), MATCH((YEAR(D75)+10), Variablen!$I$3:$AT$3, 0))),L75)))*(IF((YEAR(D75)+10)&lt;YEAR(E75),0,IF((YEAR(D75)+10)&gt;YEAR(E75),1,(12-MONTH(E75)+1)/12))) + (Q75)*(IF((YEAR(D75)+10)&lt;YEAR(E75),0,IF((YEAR(D75)+10)&gt;YEAR(E75),1,(12-MONTH(E75)+1)/12))))-((P75)*(IF((YEAR(D75)+10)&lt;YEAR(E75),0,IF((YEAR(D75)+10)&gt;YEAR(E75),1,(12-MONTH(E75)+1)/12))) + (R75)*(IF((YEAR(D75)+10)&lt;YEAR(E75),0,IF((YEAR(D75)+10)&gt;YEAR(E75),1,(12-MONTH(E75)+1)/12))))-(IF(OR(N75="",N75&lt;=0),0,(O75/N75)*(IF(OR(N75="",N75&lt;=0),0,IF((YEAR(D75)+10)&lt;YEAR(E75),0,IF((YEAR(D75)+10)&gt;=YEAR(E75)+N75,0,IF((YEAR(D75)+10)=YEAR(E75),(12-MONTH(E75)+1)/12,1))))))))&gt;0,(((K75)*(IF(M75="",L75,IFERROR(IF(INDEX(Variablen!$I:$AT, MATCH(M75, Variablen!$A:$A, 0), MATCH((YEAR(D75)+10), Variablen!$I$3:$AT$3, 0))="",L75,INDEX(Variablen!$I:$AT, MATCH(M75, Variablen!$A:$A, 0), MATCH((YEAR(D75)+10), Variablen!$I$3:$AT$3, 0))),L75)))*(IF((YEAR(D75)+10)&lt;YEAR(E75),0,IF((YEAR(D75)+10)&gt;YEAR(E75),1,(12-MONTH(E75)+1)/12))) + (Q75)*(IF((YEAR(D75)+10)&lt;YEAR(E75),0,IF((YEAR(D75)+10)&gt;YEAR(E75),1,(12-MONTH(E75)+1)/12))))-((P75)*(IF((YEAR(D75)+10)&lt;YEAR(E75),0,IF((YEAR(D75)+10)&gt;YEAR(E75),1,(12-MONTH(E75)+1)/12))) + (R75)*(IF((YEAR(D75)+10)&lt;YEAR(E75),0,IF((YEAR(D75)+10)&gt;YEAR(E75),1,(12-MONTH(E75)+1)/12))))-(IF(OR(N75="",N75&lt;=0),0,(O75/N75)*(IF(OR(N75="",N75&lt;=0),0,IF((YEAR(D75)+10)&lt;YEAR(E75),0,IF((YEAR(D75)+10)&gt;=YEAR(E75)+N75,0,IF((YEAR(D75)+10)=YEAR(E75),(12-MONTH(E75)+1)/12,1))))))))*TaxRate,0))-IF(10=0,O75,0))</f>
        <v/>
      </c>
      <c r="AD75" s="29">
        <f>IF(A75="","",((K75)*(IF(M75="",L75,IFERROR(IF(INDEX(Variablen!$I:$AT, MATCH(M75, Variablen!$A:$A, 0), MATCH((YEAR(D75)+11), Variablen!$I$3:$AT$3, 0))="",L75,INDEX(Variablen!$I:$AT, MATCH(M75, Variablen!$A:$A, 0), MATCH((YEAR(D75)+11), Variablen!$I$3:$AT$3, 0))),L75)))*(IF((YEAR(D75)+11)&lt;YEAR(E75),0,IF((YEAR(D75)+11)&gt;YEAR(E75),1,(12-MONTH(E75)+1)/12))) + (Q75)*(IF((YEAR(D75)+11)&lt;YEAR(E75),0,IF((YEAR(D75)+11)&gt;YEAR(E75),1,(12-MONTH(E75)+1)/12))))-((P75)*(IF((YEAR(D75)+11)&lt;YEAR(E75),0,IF((YEAR(D75)+11)&gt;YEAR(E75),1,(12-MONTH(E75)+1)/12))) + (R75)*(IF((YEAR(D75)+11)&lt;YEAR(E75),0,IF((YEAR(D75)+11)&gt;YEAR(E75),1,(12-MONTH(E75)+1)/12))))-(IF((((K75)*(IF(M75="",L75,IFERROR(IF(INDEX(Variablen!$I:$AT, MATCH(M75, Variablen!$A:$A, 0), MATCH((YEAR(D75)+11), Variablen!$I$3:$AT$3, 0))="",L75,INDEX(Variablen!$I:$AT, MATCH(M75, Variablen!$A:$A, 0), MATCH((YEAR(D75)+11), Variablen!$I$3:$AT$3, 0))),L75)))*(IF((YEAR(D75)+11)&lt;YEAR(E75),0,IF((YEAR(D75)+11)&gt;YEAR(E75),1,(12-MONTH(E75)+1)/12))) + (Q75)*(IF((YEAR(D75)+11)&lt;YEAR(E75),0,IF((YEAR(D75)+11)&gt;YEAR(E75),1,(12-MONTH(E75)+1)/12))))-((P75)*(IF((YEAR(D75)+11)&lt;YEAR(E75),0,IF((YEAR(D75)+11)&gt;YEAR(E75),1,(12-MONTH(E75)+1)/12))) + (R75)*(IF((YEAR(D75)+11)&lt;YEAR(E75),0,IF((YEAR(D75)+11)&gt;YEAR(E75),1,(12-MONTH(E75)+1)/12))))-(IF(OR(N75="",N75&lt;=0),0,(O75/N75)*(IF(OR(N75="",N75&lt;=0),0,IF((YEAR(D75)+11)&lt;YEAR(E75),0,IF((YEAR(D75)+11)&gt;=YEAR(E75)+N75,0,IF((YEAR(D75)+11)=YEAR(E75),(12-MONTH(E75)+1)/12,1))))))))&gt;0,(((K75)*(IF(M75="",L75,IFERROR(IF(INDEX(Variablen!$I:$AT, MATCH(M75, Variablen!$A:$A, 0), MATCH((YEAR(D75)+11), Variablen!$I$3:$AT$3, 0))="",L75,INDEX(Variablen!$I:$AT, MATCH(M75, Variablen!$A:$A, 0), MATCH((YEAR(D75)+11), Variablen!$I$3:$AT$3, 0))),L75)))*(IF((YEAR(D75)+11)&lt;YEAR(E75),0,IF((YEAR(D75)+11)&gt;YEAR(E75),1,(12-MONTH(E75)+1)/12))) + (Q75)*(IF((YEAR(D75)+11)&lt;YEAR(E75),0,IF((YEAR(D75)+11)&gt;YEAR(E75),1,(12-MONTH(E75)+1)/12))))-((P75)*(IF((YEAR(D75)+11)&lt;YEAR(E75),0,IF((YEAR(D75)+11)&gt;YEAR(E75),1,(12-MONTH(E75)+1)/12))) + (R75)*(IF((YEAR(D75)+11)&lt;YEAR(E75),0,IF((YEAR(D75)+11)&gt;YEAR(E75),1,(12-MONTH(E75)+1)/12))))-(IF(OR(N75="",N75&lt;=0),0,(O75/N75)*(IF(OR(N75="",N75&lt;=0),0,IF((YEAR(D75)+11)&lt;YEAR(E75),0,IF((YEAR(D75)+11)&gt;=YEAR(E75)+N75,0,IF((YEAR(D75)+11)=YEAR(E75),(12-MONTH(E75)+1)/12,1))))))))*TaxRate,0))-IF(11=0,O75,0))</f>
        <v/>
      </c>
      <c r="AE75" s="29">
        <f>IF(A75="","",((K75)*(IF(M75="",L75,IFERROR(IF(INDEX(Variablen!$I:$AT, MATCH(M75, Variablen!$A:$A, 0), MATCH((YEAR(D75)+12), Variablen!$I$3:$AT$3, 0))="",L75,INDEX(Variablen!$I:$AT, MATCH(M75, Variablen!$A:$A, 0), MATCH((YEAR(D75)+12), Variablen!$I$3:$AT$3, 0))),L75)))*(IF((YEAR(D75)+12)&lt;YEAR(E75),0,IF((YEAR(D75)+12)&gt;YEAR(E75),1,(12-MONTH(E75)+1)/12))) + (Q75)*(IF((YEAR(D75)+12)&lt;YEAR(E75),0,IF((YEAR(D75)+12)&gt;YEAR(E75),1,(12-MONTH(E75)+1)/12))))-((P75)*(IF((YEAR(D75)+12)&lt;YEAR(E75),0,IF((YEAR(D75)+12)&gt;YEAR(E75),1,(12-MONTH(E75)+1)/12))) + (R75)*(IF((YEAR(D75)+12)&lt;YEAR(E75),0,IF((YEAR(D75)+12)&gt;YEAR(E75),1,(12-MONTH(E75)+1)/12))))-(IF((((K75)*(IF(M75="",L75,IFERROR(IF(INDEX(Variablen!$I:$AT, MATCH(M75, Variablen!$A:$A, 0), MATCH((YEAR(D75)+12), Variablen!$I$3:$AT$3, 0))="",L75,INDEX(Variablen!$I:$AT, MATCH(M75, Variablen!$A:$A, 0), MATCH((YEAR(D75)+12), Variablen!$I$3:$AT$3, 0))),L75)))*(IF((YEAR(D75)+12)&lt;YEAR(E75),0,IF((YEAR(D75)+12)&gt;YEAR(E75),1,(12-MONTH(E75)+1)/12))) + (Q75)*(IF((YEAR(D75)+12)&lt;YEAR(E75),0,IF((YEAR(D75)+12)&gt;YEAR(E75),1,(12-MONTH(E75)+1)/12))))-((P75)*(IF((YEAR(D75)+12)&lt;YEAR(E75),0,IF((YEAR(D75)+12)&gt;YEAR(E75),1,(12-MONTH(E75)+1)/12))) + (R75)*(IF((YEAR(D75)+12)&lt;YEAR(E75),0,IF((YEAR(D75)+12)&gt;YEAR(E75),1,(12-MONTH(E75)+1)/12))))-(IF(OR(N75="",N75&lt;=0),0,(O75/N75)*(IF(OR(N75="",N75&lt;=0),0,IF((YEAR(D75)+12)&lt;YEAR(E75),0,IF((YEAR(D75)+12)&gt;=YEAR(E75)+N75,0,IF((YEAR(D75)+12)=YEAR(E75),(12-MONTH(E75)+1)/12,1))))))))&gt;0,(((K75)*(IF(M75="",L75,IFERROR(IF(INDEX(Variablen!$I:$AT, MATCH(M75, Variablen!$A:$A, 0), MATCH((YEAR(D75)+12), Variablen!$I$3:$AT$3, 0))="",L75,INDEX(Variablen!$I:$AT, MATCH(M75, Variablen!$A:$A, 0), MATCH((YEAR(D75)+12), Variablen!$I$3:$AT$3, 0))),L75)))*(IF((YEAR(D75)+12)&lt;YEAR(E75),0,IF((YEAR(D75)+12)&gt;YEAR(E75),1,(12-MONTH(E75)+1)/12))) + (Q75)*(IF((YEAR(D75)+12)&lt;YEAR(E75),0,IF((YEAR(D75)+12)&gt;YEAR(E75),1,(12-MONTH(E75)+1)/12))))-((P75)*(IF((YEAR(D75)+12)&lt;YEAR(E75),0,IF((YEAR(D75)+12)&gt;YEAR(E75),1,(12-MONTH(E75)+1)/12))) + (R75)*(IF((YEAR(D75)+12)&lt;YEAR(E75),0,IF((YEAR(D75)+12)&gt;YEAR(E75),1,(12-MONTH(E75)+1)/12))))-(IF(OR(N75="",N75&lt;=0),0,(O75/N75)*(IF(OR(N75="",N75&lt;=0),0,IF((YEAR(D75)+12)&lt;YEAR(E75),0,IF((YEAR(D75)+12)&gt;=YEAR(E75)+N75,0,IF((YEAR(D75)+12)=YEAR(E75),(12-MONTH(E75)+1)/12,1))))))))*TaxRate,0))-IF(12=0,O75,0))</f>
        <v/>
      </c>
      <c r="AF75" s="29">
        <f>IF(A75="","",((K75)*(IF(M75="",L75,IFERROR(IF(INDEX(Variablen!$I:$AT, MATCH(M75, Variablen!$A:$A, 0), MATCH((YEAR(D75)+13), Variablen!$I$3:$AT$3, 0))="",L75,INDEX(Variablen!$I:$AT, MATCH(M75, Variablen!$A:$A, 0), MATCH((YEAR(D75)+13), Variablen!$I$3:$AT$3, 0))),L75)))*(IF((YEAR(D75)+13)&lt;YEAR(E75),0,IF((YEAR(D75)+13)&gt;YEAR(E75),1,(12-MONTH(E75)+1)/12))) + (Q75)*(IF((YEAR(D75)+13)&lt;YEAR(E75),0,IF((YEAR(D75)+13)&gt;YEAR(E75),1,(12-MONTH(E75)+1)/12))))-((P75)*(IF((YEAR(D75)+13)&lt;YEAR(E75),0,IF((YEAR(D75)+13)&gt;YEAR(E75),1,(12-MONTH(E75)+1)/12))) + (R75)*(IF((YEAR(D75)+13)&lt;YEAR(E75),0,IF((YEAR(D75)+13)&gt;YEAR(E75),1,(12-MONTH(E75)+1)/12))))-(IF((((K75)*(IF(M75="",L75,IFERROR(IF(INDEX(Variablen!$I:$AT, MATCH(M75, Variablen!$A:$A, 0), MATCH((YEAR(D75)+13), Variablen!$I$3:$AT$3, 0))="",L75,INDEX(Variablen!$I:$AT, MATCH(M75, Variablen!$A:$A, 0), MATCH((YEAR(D75)+13), Variablen!$I$3:$AT$3, 0))),L75)))*(IF((YEAR(D75)+13)&lt;YEAR(E75),0,IF((YEAR(D75)+13)&gt;YEAR(E75),1,(12-MONTH(E75)+1)/12))) + (Q75)*(IF((YEAR(D75)+13)&lt;YEAR(E75),0,IF((YEAR(D75)+13)&gt;YEAR(E75),1,(12-MONTH(E75)+1)/12))))-((P75)*(IF((YEAR(D75)+13)&lt;YEAR(E75),0,IF((YEAR(D75)+13)&gt;YEAR(E75),1,(12-MONTH(E75)+1)/12))) + (R75)*(IF((YEAR(D75)+13)&lt;YEAR(E75),0,IF((YEAR(D75)+13)&gt;YEAR(E75),1,(12-MONTH(E75)+1)/12))))-(IF(OR(N75="",N75&lt;=0),0,(O75/N75)*(IF(OR(N75="",N75&lt;=0),0,IF((YEAR(D75)+13)&lt;YEAR(E75),0,IF((YEAR(D75)+13)&gt;=YEAR(E75)+N75,0,IF((YEAR(D75)+13)=YEAR(E75),(12-MONTH(E75)+1)/12,1))))))))&gt;0,(((K75)*(IF(M75="",L75,IFERROR(IF(INDEX(Variablen!$I:$AT, MATCH(M75, Variablen!$A:$A, 0), MATCH((YEAR(D75)+13), Variablen!$I$3:$AT$3, 0))="",L75,INDEX(Variablen!$I:$AT, MATCH(M75, Variablen!$A:$A, 0), MATCH((YEAR(D75)+13), Variablen!$I$3:$AT$3, 0))),L75)))*(IF((YEAR(D75)+13)&lt;YEAR(E75),0,IF((YEAR(D75)+13)&gt;YEAR(E75),1,(12-MONTH(E75)+1)/12))) + (Q75)*(IF((YEAR(D75)+13)&lt;YEAR(E75),0,IF((YEAR(D75)+13)&gt;YEAR(E75),1,(12-MONTH(E75)+1)/12))))-((P75)*(IF((YEAR(D75)+13)&lt;YEAR(E75),0,IF((YEAR(D75)+13)&gt;YEAR(E75),1,(12-MONTH(E75)+1)/12))) + (R75)*(IF((YEAR(D75)+13)&lt;YEAR(E75),0,IF((YEAR(D75)+13)&gt;YEAR(E75),1,(12-MONTH(E75)+1)/12))))-(IF(OR(N75="",N75&lt;=0),0,(O75/N75)*(IF(OR(N75="",N75&lt;=0),0,IF((YEAR(D75)+13)&lt;YEAR(E75),0,IF((YEAR(D75)+13)&gt;=YEAR(E75)+N75,0,IF((YEAR(D75)+13)=YEAR(E75),(12-MONTH(E75)+1)/12,1))))))))*TaxRate,0))-IF(13=0,O75,0))</f>
        <v/>
      </c>
      <c r="AG75" s="29">
        <f>IF(A75="","",((K75)*(IF(M75="",L75,IFERROR(IF(INDEX(Variablen!$I:$AT, MATCH(M75, Variablen!$A:$A, 0), MATCH((YEAR(D75)+14), Variablen!$I$3:$AT$3, 0))="",L75,INDEX(Variablen!$I:$AT, MATCH(M75, Variablen!$A:$A, 0), MATCH((YEAR(D75)+14), Variablen!$I$3:$AT$3, 0))),L75)))*(IF((YEAR(D75)+14)&lt;YEAR(E75),0,IF((YEAR(D75)+14)&gt;YEAR(E75),1,(12-MONTH(E75)+1)/12))) + (Q75)*(IF((YEAR(D75)+14)&lt;YEAR(E75),0,IF((YEAR(D75)+14)&gt;YEAR(E75),1,(12-MONTH(E75)+1)/12))))-((P75)*(IF((YEAR(D75)+14)&lt;YEAR(E75),0,IF((YEAR(D75)+14)&gt;YEAR(E75),1,(12-MONTH(E75)+1)/12))) + (R75)*(IF((YEAR(D75)+14)&lt;YEAR(E75),0,IF((YEAR(D75)+14)&gt;YEAR(E75),1,(12-MONTH(E75)+1)/12))))-(IF((((K75)*(IF(M75="",L75,IFERROR(IF(INDEX(Variablen!$I:$AT, MATCH(M75, Variablen!$A:$A, 0), MATCH((YEAR(D75)+14), Variablen!$I$3:$AT$3, 0))="",L75,INDEX(Variablen!$I:$AT, MATCH(M75, Variablen!$A:$A, 0), MATCH((YEAR(D75)+14), Variablen!$I$3:$AT$3, 0))),L75)))*(IF((YEAR(D75)+14)&lt;YEAR(E75),0,IF((YEAR(D75)+14)&gt;YEAR(E75),1,(12-MONTH(E75)+1)/12))) + (Q75)*(IF((YEAR(D75)+14)&lt;YEAR(E75),0,IF((YEAR(D75)+14)&gt;YEAR(E75),1,(12-MONTH(E75)+1)/12))))-((P75)*(IF((YEAR(D75)+14)&lt;YEAR(E75),0,IF((YEAR(D75)+14)&gt;YEAR(E75),1,(12-MONTH(E75)+1)/12))) + (R75)*(IF((YEAR(D75)+14)&lt;YEAR(E75),0,IF((YEAR(D75)+14)&gt;YEAR(E75),1,(12-MONTH(E75)+1)/12))))-(IF(OR(N75="",N75&lt;=0),0,(O75/N75)*(IF(OR(N75="",N75&lt;=0),0,IF((YEAR(D75)+14)&lt;YEAR(E75),0,IF((YEAR(D75)+14)&gt;=YEAR(E75)+N75,0,IF((YEAR(D75)+14)=YEAR(E75),(12-MONTH(E75)+1)/12,1))))))))&gt;0,(((K75)*(IF(M75="",L75,IFERROR(IF(INDEX(Variablen!$I:$AT, MATCH(M75, Variablen!$A:$A, 0), MATCH((YEAR(D75)+14), Variablen!$I$3:$AT$3, 0))="",L75,INDEX(Variablen!$I:$AT, MATCH(M75, Variablen!$A:$A, 0), MATCH((YEAR(D75)+14), Variablen!$I$3:$AT$3, 0))),L75)))*(IF((YEAR(D75)+14)&lt;YEAR(E75),0,IF((YEAR(D75)+14)&gt;YEAR(E75),1,(12-MONTH(E75)+1)/12))) + (Q75)*(IF((YEAR(D75)+14)&lt;YEAR(E75),0,IF((YEAR(D75)+14)&gt;YEAR(E75),1,(12-MONTH(E75)+1)/12))))-((P75)*(IF((YEAR(D75)+14)&lt;YEAR(E75),0,IF((YEAR(D75)+14)&gt;YEAR(E75),1,(12-MONTH(E75)+1)/12))) + (R75)*(IF((YEAR(D75)+14)&lt;YEAR(E75),0,IF((YEAR(D75)+14)&gt;YEAR(E75),1,(12-MONTH(E75)+1)/12))))-(IF(OR(N75="",N75&lt;=0),0,(O75/N75)*(IF(OR(N75="",N75&lt;=0),0,IF((YEAR(D75)+14)&lt;YEAR(E75),0,IF((YEAR(D75)+14)&gt;=YEAR(E75)+N75,0,IF((YEAR(D75)+14)=YEAR(E75),(12-MONTH(E75)+1)/12,1))))))))*TaxRate,0))-IF(14=0,O75,0))</f>
        <v/>
      </c>
      <c r="AH75" s="29">
        <f>IF(A75="","",((K75)*(IF(M75="",L75,IFERROR(IF(INDEX(Variablen!$I:$AT, MATCH(M75, Variablen!$A:$A, 0), MATCH((YEAR(D75)+15), Variablen!$I$3:$AT$3, 0))="",L75,INDEX(Variablen!$I:$AT, MATCH(M75, Variablen!$A:$A, 0), MATCH((YEAR(D75)+15), Variablen!$I$3:$AT$3, 0))),L75)))*(IF((YEAR(D75)+15)&lt;YEAR(E75),0,IF((YEAR(D75)+15)&gt;YEAR(E75),1,(12-MONTH(E75)+1)/12))) + (Q75)*(IF((YEAR(D75)+15)&lt;YEAR(E75),0,IF((YEAR(D75)+15)&gt;YEAR(E75),1,(12-MONTH(E75)+1)/12))))-((P75)*(IF((YEAR(D75)+15)&lt;YEAR(E75),0,IF((YEAR(D75)+15)&gt;YEAR(E75),1,(12-MONTH(E75)+1)/12))) + (R75)*(IF((YEAR(D75)+15)&lt;YEAR(E75),0,IF((YEAR(D75)+15)&gt;YEAR(E75),1,(12-MONTH(E75)+1)/12))))-(IF((((K75)*(IF(M75="",L75,IFERROR(IF(INDEX(Variablen!$I:$AT, MATCH(M75, Variablen!$A:$A, 0), MATCH((YEAR(D75)+15), Variablen!$I$3:$AT$3, 0))="",L75,INDEX(Variablen!$I:$AT, MATCH(M75, Variablen!$A:$A, 0), MATCH((YEAR(D75)+15), Variablen!$I$3:$AT$3, 0))),L75)))*(IF((YEAR(D75)+15)&lt;YEAR(E75),0,IF((YEAR(D75)+15)&gt;YEAR(E75),1,(12-MONTH(E75)+1)/12))) + (Q75)*(IF((YEAR(D75)+15)&lt;YEAR(E75),0,IF((YEAR(D75)+15)&gt;YEAR(E75),1,(12-MONTH(E75)+1)/12))))-((P75)*(IF((YEAR(D75)+15)&lt;YEAR(E75),0,IF((YEAR(D75)+15)&gt;YEAR(E75),1,(12-MONTH(E75)+1)/12))) + (R75)*(IF((YEAR(D75)+15)&lt;YEAR(E75),0,IF((YEAR(D75)+15)&gt;YEAR(E75),1,(12-MONTH(E75)+1)/12))))-(IF(OR(N75="",N75&lt;=0),0,(O75/N75)*(IF(OR(N75="",N75&lt;=0),0,IF((YEAR(D75)+15)&lt;YEAR(E75),0,IF((YEAR(D75)+15)&gt;=YEAR(E75)+N75,0,IF((YEAR(D75)+15)=YEAR(E75),(12-MONTH(E75)+1)/12,1))))))))&gt;0,(((K75)*(IF(M75="",L75,IFERROR(IF(INDEX(Variablen!$I:$AT, MATCH(M75, Variablen!$A:$A, 0), MATCH((YEAR(D75)+15), Variablen!$I$3:$AT$3, 0))="",L75,INDEX(Variablen!$I:$AT, MATCH(M75, Variablen!$A:$A, 0), MATCH((YEAR(D75)+15), Variablen!$I$3:$AT$3, 0))),L75)))*(IF((YEAR(D75)+15)&lt;YEAR(E75),0,IF((YEAR(D75)+15)&gt;YEAR(E75),1,(12-MONTH(E75)+1)/12))) + (Q75)*(IF((YEAR(D75)+15)&lt;YEAR(E75),0,IF((YEAR(D75)+15)&gt;YEAR(E75),1,(12-MONTH(E75)+1)/12))))-((P75)*(IF((YEAR(D75)+15)&lt;YEAR(E75),0,IF((YEAR(D75)+15)&gt;YEAR(E75),1,(12-MONTH(E75)+1)/12))) + (R75)*(IF((YEAR(D75)+15)&lt;YEAR(E75),0,IF((YEAR(D75)+15)&gt;YEAR(E75),1,(12-MONTH(E75)+1)/12))))-(IF(OR(N75="",N75&lt;=0),0,(O75/N75)*(IF(OR(N75="",N75&lt;=0),0,IF((YEAR(D75)+15)&lt;YEAR(E75),0,IF((YEAR(D75)+15)&gt;=YEAR(E75)+N75,0,IF((YEAR(D75)+15)=YEAR(E75),(12-MONTH(E75)+1)/12,1))))))))*TaxRate,0))-IF(15=0,O75,0))</f>
        <v/>
      </c>
      <c r="AI75" s="29">
        <f>IF(A75="","",((K75)*(IF(M75="",L75,IFERROR(IF(INDEX(Variablen!$I:$AT, MATCH(M75, Variablen!$A:$A, 0), MATCH((YEAR(D75)+16), Variablen!$I$3:$AT$3, 0))="",L75,INDEX(Variablen!$I:$AT, MATCH(M75, Variablen!$A:$A, 0), MATCH((YEAR(D75)+16), Variablen!$I$3:$AT$3, 0))),L75)))*(IF((YEAR(D75)+16)&lt;YEAR(E75),0,IF((YEAR(D75)+16)&gt;YEAR(E75),1,(12-MONTH(E75)+1)/12))) + (Q75)*(IF((YEAR(D75)+16)&lt;YEAR(E75),0,IF((YEAR(D75)+16)&gt;YEAR(E75),1,(12-MONTH(E75)+1)/12))))-((P75)*(IF((YEAR(D75)+16)&lt;YEAR(E75),0,IF((YEAR(D75)+16)&gt;YEAR(E75),1,(12-MONTH(E75)+1)/12))) + (R75)*(IF((YEAR(D75)+16)&lt;YEAR(E75),0,IF((YEAR(D75)+16)&gt;YEAR(E75),1,(12-MONTH(E75)+1)/12))))-(IF((((K75)*(IF(M75="",L75,IFERROR(IF(INDEX(Variablen!$I:$AT, MATCH(M75, Variablen!$A:$A, 0), MATCH((YEAR(D75)+16), Variablen!$I$3:$AT$3, 0))="",L75,INDEX(Variablen!$I:$AT, MATCH(M75, Variablen!$A:$A, 0), MATCH((YEAR(D75)+16), Variablen!$I$3:$AT$3, 0))),L75)))*(IF((YEAR(D75)+16)&lt;YEAR(E75),0,IF((YEAR(D75)+16)&gt;YEAR(E75),1,(12-MONTH(E75)+1)/12))) + (Q75)*(IF((YEAR(D75)+16)&lt;YEAR(E75),0,IF((YEAR(D75)+16)&gt;YEAR(E75),1,(12-MONTH(E75)+1)/12))))-((P75)*(IF((YEAR(D75)+16)&lt;YEAR(E75),0,IF((YEAR(D75)+16)&gt;YEAR(E75),1,(12-MONTH(E75)+1)/12))) + (R75)*(IF((YEAR(D75)+16)&lt;YEAR(E75),0,IF((YEAR(D75)+16)&gt;YEAR(E75),1,(12-MONTH(E75)+1)/12))))-(IF(OR(N75="",N75&lt;=0),0,(O75/N75)*(IF(OR(N75="",N75&lt;=0),0,IF((YEAR(D75)+16)&lt;YEAR(E75),0,IF((YEAR(D75)+16)&gt;=YEAR(E75)+N75,0,IF((YEAR(D75)+16)=YEAR(E75),(12-MONTH(E75)+1)/12,1))))))))&gt;0,(((K75)*(IF(M75="",L75,IFERROR(IF(INDEX(Variablen!$I:$AT, MATCH(M75, Variablen!$A:$A, 0), MATCH((YEAR(D75)+16), Variablen!$I$3:$AT$3, 0))="",L75,INDEX(Variablen!$I:$AT, MATCH(M75, Variablen!$A:$A, 0), MATCH((YEAR(D75)+16), Variablen!$I$3:$AT$3, 0))),L75)))*(IF((YEAR(D75)+16)&lt;YEAR(E75),0,IF((YEAR(D75)+16)&gt;YEAR(E75),1,(12-MONTH(E75)+1)/12))) + (Q75)*(IF((YEAR(D75)+16)&lt;YEAR(E75),0,IF((YEAR(D75)+16)&gt;YEAR(E75),1,(12-MONTH(E75)+1)/12))))-((P75)*(IF((YEAR(D75)+16)&lt;YEAR(E75),0,IF((YEAR(D75)+16)&gt;YEAR(E75),1,(12-MONTH(E75)+1)/12))) + (R75)*(IF((YEAR(D75)+16)&lt;YEAR(E75),0,IF((YEAR(D75)+16)&gt;YEAR(E75),1,(12-MONTH(E75)+1)/12))))-(IF(OR(N75="",N75&lt;=0),0,(O75/N75)*(IF(OR(N75="",N75&lt;=0),0,IF((YEAR(D75)+16)&lt;YEAR(E75),0,IF((YEAR(D75)+16)&gt;=YEAR(E75)+N75,0,IF((YEAR(D75)+16)=YEAR(E75),(12-MONTH(E75)+1)/12,1))))))))*TaxRate,0))-IF(16=0,O75,0))</f>
        <v/>
      </c>
      <c r="AJ75" s="29">
        <f>IF(A75="","",((K75)*(IF(M75="",L75,IFERROR(IF(INDEX(Variablen!$I:$AT, MATCH(M75, Variablen!$A:$A, 0), MATCH((YEAR(D75)+17), Variablen!$I$3:$AT$3, 0))="",L75,INDEX(Variablen!$I:$AT, MATCH(M75, Variablen!$A:$A, 0), MATCH((YEAR(D75)+17), Variablen!$I$3:$AT$3, 0))),L75)))*(IF((YEAR(D75)+17)&lt;YEAR(E75),0,IF((YEAR(D75)+17)&gt;YEAR(E75),1,(12-MONTH(E75)+1)/12))) + (Q75)*(IF((YEAR(D75)+17)&lt;YEAR(E75),0,IF((YEAR(D75)+17)&gt;YEAR(E75),1,(12-MONTH(E75)+1)/12))))-((P75)*(IF((YEAR(D75)+17)&lt;YEAR(E75),0,IF((YEAR(D75)+17)&gt;YEAR(E75),1,(12-MONTH(E75)+1)/12))) + (R75)*(IF((YEAR(D75)+17)&lt;YEAR(E75),0,IF((YEAR(D75)+17)&gt;YEAR(E75),1,(12-MONTH(E75)+1)/12))))-(IF((((K75)*(IF(M75="",L75,IFERROR(IF(INDEX(Variablen!$I:$AT, MATCH(M75, Variablen!$A:$A, 0), MATCH((YEAR(D75)+17), Variablen!$I$3:$AT$3, 0))="",L75,INDEX(Variablen!$I:$AT, MATCH(M75, Variablen!$A:$A, 0), MATCH((YEAR(D75)+17), Variablen!$I$3:$AT$3, 0))),L75)))*(IF((YEAR(D75)+17)&lt;YEAR(E75),0,IF((YEAR(D75)+17)&gt;YEAR(E75),1,(12-MONTH(E75)+1)/12))) + (Q75)*(IF((YEAR(D75)+17)&lt;YEAR(E75),0,IF((YEAR(D75)+17)&gt;YEAR(E75),1,(12-MONTH(E75)+1)/12))))-((P75)*(IF((YEAR(D75)+17)&lt;YEAR(E75),0,IF((YEAR(D75)+17)&gt;YEAR(E75),1,(12-MONTH(E75)+1)/12))) + (R75)*(IF((YEAR(D75)+17)&lt;YEAR(E75),0,IF((YEAR(D75)+17)&gt;YEAR(E75),1,(12-MONTH(E75)+1)/12))))-(IF(OR(N75="",N75&lt;=0),0,(O75/N75)*(IF(OR(N75="",N75&lt;=0),0,IF((YEAR(D75)+17)&lt;YEAR(E75),0,IF((YEAR(D75)+17)&gt;=YEAR(E75)+N75,0,IF((YEAR(D75)+17)=YEAR(E75),(12-MONTH(E75)+1)/12,1))))))))&gt;0,(((K75)*(IF(M75="",L75,IFERROR(IF(INDEX(Variablen!$I:$AT, MATCH(M75, Variablen!$A:$A, 0), MATCH((YEAR(D75)+17), Variablen!$I$3:$AT$3, 0))="",L75,INDEX(Variablen!$I:$AT, MATCH(M75, Variablen!$A:$A, 0), MATCH((YEAR(D75)+17), Variablen!$I$3:$AT$3, 0))),L75)))*(IF((YEAR(D75)+17)&lt;YEAR(E75),0,IF((YEAR(D75)+17)&gt;YEAR(E75),1,(12-MONTH(E75)+1)/12))) + (Q75)*(IF((YEAR(D75)+17)&lt;YEAR(E75),0,IF((YEAR(D75)+17)&gt;YEAR(E75),1,(12-MONTH(E75)+1)/12))))-((P75)*(IF((YEAR(D75)+17)&lt;YEAR(E75),0,IF((YEAR(D75)+17)&gt;YEAR(E75),1,(12-MONTH(E75)+1)/12))) + (R75)*(IF((YEAR(D75)+17)&lt;YEAR(E75),0,IF((YEAR(D75)+17)&gt;YEAR(E75),1,(12-MONTH(E75)+1)/12))))-(IF(OR(N75="",N75&lt;=0),0,(O75/N75)*(IF(OR(N75="",N75&lt;=0),0,IF((YEAR(D75)+17)&lt;YEAR(E75),0,IF((YEAR(D75)+17)&gt;=YEAR(E75)+N75,0,IF((YEAR(D75)+17)=YEAR(E75),(12-MONTH(E75)+1)/12,1))))))))*TaxRate,0))-IF(17=0,O75,0))</f>
        <v/>
      </c>
      <c r="AK75" s="29">
        <f>IF(A75="","",((K75)*(IF(M75="",L75,IFERROR(IF(INDEX(Variablen!$I:$AT, MATCH(M75, Variablen!$A:$A, 0), MATCH((YEAR(D75)+18), Variablen!$I$3:$AT$3, 0))="",L75,INDEX(Variablen!$I:$AT, MATCH(M75, Variablen!$A:$A, 0), MATCH((YEAR(D75)+18), Variablen!$I$3:$AT$3, 0))),L75)))*(IF((YEAR(D75)+18)&lt;YEAR(E75),0,IF((YEAR(D75)+18)&gt;YEAR(E75),1,(12-MONTH(E75)+1)/12))) + (Q75)*(IF((YEAR(D75)+18)&lt;YEAR(E75),0,IF((YEAR(D75)+18)&gt;YEAR(E75),1,(12-MONTH(E75)+1)/12))))-((P75)*(IF((YEAR(D75)+18)&lt;YEAR(E75),0,IF((YEAR(D75)+18)&gt;YEAR(E75),1,(12-MONTH(E75)+1)/12))) + (R75)*(IF((YEAR(D75)+18)&lt;YEAR(E75),0,IF((YEAR(D75)+18)&gt;YEAR(E75),1,(12-MONTH(E75)+1)/12))))-(IF((((K75)*(IF(M75="",L75,IFERROR(IF(INDEX(Variablen!$I:$AT, MATCH(M75, Variablen!$A:$A, 0), MATCH((YEAR(D75)+18), Variablen!$I$3:$AT$3, 0))="",L75,INDEX(Variablen!$I:$AT, MATCH(M75, Variablen!$A:$A, 0), MATCH((YEAR(D75)+18), Variablen!$I$3:$AT$3, 0))),L75)))*(IF((YEAR(D75)+18)&lt;YEAR(E75),0,IF((YEAR(D75)+18)&gt;YEAR(E75),1,(12-MONTH(E75)+1)/12))) + (Q75)*(IF((YEAR(D75)+18)&lt;YEAR(E75),0,IF((YEAR(D75)+18)&gt;YEAR(E75),1,(12-MONTH(E75)+1)/12))))-((P75)*(IF((YEAR(D75)+18)&lt;YEAR(E75),0,IF((YEAR(D75)+18)&gt;YEAR(E75),1,(12-MONTH(E75)+1)/12))) + (R75)*(IF((YEAR(D75)+18)&lt;YEAR(E75),0,IF((YEAR(D75)+18)&gt;YEAR(E75),1,(12-MONTH(E75)+1)/12))))-(IF(OR(N75="",N75&lt;=0),0,(O75/N75)*(IF(OR(N75="",N75&lt;=0),0,IF((YEAR(D75)+18)&lt;YEAR(E75),0,IF((YEAR(D75)+18)&gt;=YEAR(E75)+N75,0,IF((YEAR(D75)+18)=YEAR(E75),(12-MONTH(E75)+1)/12,1))))))))&gt;0,(((K75)*(IF(M75="",L75,IFERROR(IF(INDEX(Variablen!$I:$AT, MATCH(M75, Variablen!$A:$A, 0), MATCH((YEAR(D75)+18), Variablen!$I$3:$AT$3, 0))="",L75,INDEX(Variablen!$I:$AT, MATCH(M75, Variablen!$A:$A, 0), MATCH((YEAR(D75)+18), Variablen!$I$3:$AT$3, 0))),L75)))*(IF((YEAR(D75)+18)&lt;YEAR(E75),0,IF((YEAR(D75)+18)&gt;YEAR(E75),1,(12-MONTH(E75)+1)/12))) + (Q75)*(IF((YEAR(D75)+18)&lt;YEAR(E75),0,IF((YEAR(D75)+18)&gt;YEAR(E75),1,(12-MONTH(E75)+1)/12))))-((P75)*(IF((YEAR(D75)+18)&lt;YEAR(E75),0,IF((YEAR(D75)+18)&gt;YEAR(E75),1,(12-MONTH(E75)+1)/12))) + (R75)*(IF((YEAR(D75)+18)&lt;YEAR(E75),0,IF((YEAR(D75)+18)&gt;YEAR(E75),1,(12-MONTH(E75)+1)/12))))-(IF(OR(N75="",N75&lt;=0),0,(O75/N75)*(IF(OR(N75="",N75&lt;=0),0,IF((YEAR(D75)+18)&lt;YEAR(E75),0,IF((YEAR(D75)+18)&gt;=YEAR(E75)+N75,0,IF((YEAR(D75)+18)=YEAR(E75),(12-MONTH(E75)+1)/12,1))))))))*TaxRate,0))-IF(18=0,O75,0))</f>
        <v/>
      </c>
      <c r="AL75" s="29">
        <f>IF(A75="","",((K75)*(IF(M75="",L75,IFERROR(IF(INDEX(Variablen!$I:$AT, MATCH(M75, Variablen!$A:$A, 0), MATCH((YEAR(D75)+19), Variablen!$I$3:$AT$3, 0))="",L75,INDEX(Variablen!$I:$AT, MATCH(M75, Variablen!$A:$A, 0), MATCH((YEAR(D75)+19), Variablen!$I$3:$AT$3, 0))),L75)))*(IF((YEAR(D75)+19)&lt;YEAR(E75),0,IF((YEAR(D75)+19)&gt;YEAR(E75),1,(12-MONTH(E75)+1)/12))) + (Q75)*(IF((YEAR(D75)+19)&lt;YEAR(E75),0,IF((YEAR(D75)+19)&gt;YEAR(E75),1,(12-MONTH(E75)+1)/12))))-((P75)*(IF((YEAR(D75)+19)&lt;YEAR(E75),0,IF((YEAR(D75)+19)&gt;YEAR(E75),1,(12-MONTH(E75)+1)/12))) + (R75)*(IF((YEAR(D75)+19)&lt;YEAR(E75),0,IF((YEAR(D75)+19)&gt;YEAR(E75),1,(12-MONTH(E75)+1)/12))))-(IF((((K75)*(IF(M75="",L75,IFERROR(IF(INDEX(Variablen!$I:$AT, MATCH(M75, Variablen!$A:$A, 0), MATCH((YEAR(D75)+19), Variablen!$I$3:$AT$3, 0))="",L75,INDEX(Variablen!$I:$AT, MATCH(M75, Variablen!$A:$A, 0), MATCH((YEAR(D75)+19), Variablen!$I$3:$AT$3, 0))),L75)))*(IF((YEAR(D75)+19)&lt;YEAR(E75),0,IF((YEAR(D75)+19)&gt;YEAR(E75),1,(12-MONTH(E75)+1)/12))) + (Q75)*(IF((YEAR(D75)+19)&lt;YEAR(E75),0,IF((YEAR(D75)+19)&gt;YEAR(E75),1,(12-MONTH(E75)+1)/12))))-((P75)*(IF((YEAR(D75)+19)&lt;YEAR(E75),0,IF((YEAR(D75)+19)&gt;YEAR(E75),1,(12-MONTH(E75)+1)/12))) + (R75)*(IF((YEAR(D75)+19)&lt;YEAR(E75),0,IF((YEAR(D75)+19)&gt;YEAR(E75),1,(12-MONTH(E75)+1)/12))))-(IF(OR(N75="",N75&lt;=0),0,(O75/N75)*(IF(OR(N75="",N75&lt;=0),0,IF((YEAR(D75)+19)&lt;YEAR(E75),0,IF((YEAR(D75)+19)&gt;=YEAR(E75)+N75,0,IF((YEAR(D75)+19)=YEAR(E75),(12-MONTH(E75)+1)/12,1))))))))&gt;0,(((K75)*(IF(M75="",L75,IFERROR(IF(INDEX(Variablen!$I:$AT, MATCH(M75, Variablen!$A:$A, 0), MATCH((YEAR(D75)+19), Variablen!$I$3:$AT$3, 0))="",L75,INDEX(Variablen!$I:$AT, MATCH(M75, Variablen!$A:$A, 0), MATCH((YEAR(D75)+19), Variablen!$I$3:$AT$3, 0))),L75)))*(IF((YEAR(D75)+19)&lt;YEAR(E75),0,IF((YEAR(D75)+19)&gt;YEAR(E75),1,(12-MONTH(E75)+1)/12))) + (Q75)*(IF((YEAR(D75)+19)&lt;YEAR(E75),0,IF((YEAR(D75)+19)&gt;YEAR(E75),1,(12-MONTH(E75)+1)/12))))-((P75)*(IF((YEAR(D75)+19)&lt;YEAR(E75),0,IF((YEAR(D75)+19)&gt;YEAR(E75),1,(12-MONTH(E75)+1)/12))) + (R75)*(IF((YEAR(D75)+19)&lt;YEAR(E75),0,IF((YEAR(D75)+19)&gt;YEAR(E75),1,(12-MONTH(E75)+1)/12))))-(IF(OR(N75="",N75&lt;=0),0,(O75/N75)*(IF(OR(N75="",N75&lt;=0),0,IF((YEAR(D75)+19)&lt;YEAR(E75),0,IF((YEAR(D75)+19)&gt;=YEAR(E75)+N75,0,IF((YEAR(D75)+19)=YEAR(E75),(12-MONTH(E75)+1)/12,1))))))))*TaxRate,0))-IF(19=0,O75,0))</f>
        <v/>
      </c>
      <c r="AM75" s="29">
        <f>IF(A75="","",((K75)*(IF(M75="",L75,IFERROR(IF(INDEX(Variablen!$I:$AT, MATCH(M75, Variablen!$A:$A, 0), MATCH((YEAR(D75)+20), Variablen!$I$3:$AT$3, 0))="",L75,INDEX(Variablen!$I:$AT, MATCH(M75, Variablen!$A:$A, 0), MATCH((YEAR(D75)+20), Variablen!$I$3:$AT$3, 0))),L75)))*(IF((YEAR(D75)+20)&lt;YEAR(E75),0,IF((YEAR(D75)+20)&gt;YEAR(E75),1,(12-MONTH(E75)+1)/12))) + (Q75)*(IF((YEAR(D75)+20)&lt;YEAR(E75),0,IF((YEAR(D75)+20)&gt;YEAR(E75),1,(12-MONTH(E75)+1)/12))))-((P75)*(IF((YEAR(D75)+20)&lt;YEAR(E75),0,IF((YEAR(D75)+20)&gt;YEAR(E75),1,(12-MONTH(E75)+1)/12))) + (R75)*(IF((YEAR(D75)+20)&lt;YEAR(E75),0,IF((YEAR(D75)+20)&gt;YEAR(E75),1,(12-MONTH(E75)+1)/12))))-(IF((((K75)*(IF(M75="",L75,IFERROR(IF(INDEX(Variablen!$I:$AT, MATCH(M75, Variablen!$A:$A, 0), MATCH((YEAR(D75)+20), Variablen!$I$3:$AT$3, 0))="",L75,INDEX(Variablen!$I:$AT, MATCH(M75, Variablen!$A:$A, 0), MATCH((YEAR(D75)+20), Variablen!$I$3:$AT$3, 0))),L75)))*(IF((YEAR(D75)+20)&lt;YEAR(E75),0,IF((YEAR(D75)+20)&gt;YEAR(E75),1,(12-MONTH(E75)+1)/12))) + (Q75)*(IF((YEAR(D75)+20)&lt;YEAR(E75),0,IF((YEAR(D75)+20)&gt;YEAR(E75),1,(12-MONTH(E75)+1)/12))))-((P75)*(IF((YEAR(D75)+20)&lt;YEAR(E75),0,IF((YEAR(D75)+20)&gt;YEAR(E75),1,(12-MONTH(E75)+1)/12))) + (R75)*(IF((YEAR(D75)+20)&lt;YEAR(E75),0,IF((YEAR(D75)+20)&gt;YEAR(E75),1,(12-MONTH(E75)+1)/12))))-(IF(OR(N75="",N75&lt;=0),0,(O75/N75)*(IF(OR(N75="",N75&lt;=0),0,IF((YEAR(D75)+20)&lt;YEAR(E75),0,IF((YEAR(D75)+20)&gt;=YEAR(E75)+N75,0,IF((YEAR(D75)+20)=YEAR(E75),(12-MONTH(E75)+1)/12,1))))))))&gt;0,(((K75)*(IF(M75="",L75,IFERROR(IF(INDEX(Variablen!$I:$AT, MATCH(M75, Variablen!$A:$A, 0), MATCH((YEAR(D75)+20), Variablen!$I$3:$AT$3, 0))="",L75,INDEX(Variablen!$I:$AT, MATCH(M75, Variablen!$A:$A, 0), MATCH((YEAR(D75)+20), Variablen!$I$3:$AT$3, 0))),L75)))*(IF((YEAR(D75)+20)&lt;YEAR(E75),0,IF((YEAR(D75)+20)&gt;YEAR(E75),1,(12-MONTH(E75)+1)/12))) + (Q75)*(IF((YEAR(D75)+20)&lt;YEAR(E75),0,IF((YEAR(D75)+20)&gt;YEAR(E75),1,(12-MONTH(E75)+1)/12))))-((P75)*(IF((YEAR(D75)+20)&lt;YEAR(E75),0,IF((YEAR(D75)+20)&gt;YEAR(E75),1,(12-MONTH(E75)+1)/12))) + (R75)*(IF((YEAR(D75)+20)&lt;YEAR(E75),0,IF((YEAR(D75)+20)&gt;YEAR(E75),1,(12-MONTH(E75)+1)/12))))-(IF(OR(N75="",N75&lt;=0),0,(O75/N75)*(IF(OR(N75="",N75&lt;=0),0,IF((YEAR(D75)+20)&lt;YEAR(E75),0,IF((YEAR(D75)+20)&gt;=YEAR(E75)+N75,0,IF((YEAR(D75)+20)=YEAR(E75),(12-MONTH(E75)+1)/12,1))))))))*TaxRate,0))-IF(20=0,O75,0))</f>
        <v/>
      </c>
      <c r="AN75" s="29">
        <f>IF(A75="","",S75)</f>
        <v/>
      </c>
      <c r="AO75" s="29">
        <f>IF(A75="","",AN75+T75)</f>
        <v/>
      </c>
      <c r="AP75" s="29">
        <f>IF(A75="","",AO75+U75)</f>
        <v/>
      </c>
      <c r="AQ75" s="29">
        <f>IF(A75="","",AP75+V75)</f>
        <v/>
      </c>
      <c r="AR75" s="29">
        <f>IF(A75="","",AQ75+W75)</f>
        <v/>
      </c>
      <c r="AS75" s="29">
        <f>IF(A75="","",AR75+X75)</f>
        <v/>
      </c>
      <c r="AT75" s="29">
        <f>IF(A75="","",AS75+Y75)</f>
        <v/>
      </c>
      <c r="AU75" s="29">
        <f>IF(A75="","",AT75+Z75)</f>
        <v/>
      </c>
      <c r="AV75" s="29">
        <f>IF(A75="","",AU75+AA75)</f>
        <v/>
      </c>
      <c r="AW75" s="29">
        <f>IF(A75="","",AV75+AB75)</f>
        <v/>
      </c>
      <c r="AX75" s="29">
        <f>IF(A75="","",AW75+AC75)</f>
        <v/>
      </c>
      <c r="AY75" s="29">
        <f>IF(A75="","",AX75+AD75)</f>
        <v/>
      </c>
      <c r="AZ75" s="29">
        <f>IF(A75="","",AY75+AE75)</f>
        <v/>
      </c>
      <c r="BA75" s="29">
        <f>IF(A75="","",AZ75+AF75)</f>
        <v/>
      </c>
      <c r="BB75" s="29">
        <f>IF(A75="","",BA75+AG75)</f>
        <v/>
      </c>
      <c r="BC75" s="29">
        <f>IF(A75="","",BB75+AH75)</f>
        <v/>
      </c>
      <c r="BD75" s="29">
        <f>IF(A75="","",BC75+AI75)</f>
        <v/>
      </c>
      <c r="BE75" s="29">
        <f>IF(A75="","",BD75+AJ75)</f>
        <v/>
      </c>
      <c r="BF75" s="29">
        <f>IF(A75="","",BE75+AK75)</f>
        <v/>
      </c>
      <c r="BG75" s="29">
        <f>IF(A75="","",BF75+AL75)</f>
        <v/>
      </c>
      <c r="BH75" s="29">
        <f>IF(A75="","",BG75+AM75)</f>
        <v/>
      </c>
      <c r="BI75" s="36">
        <f>IF(A75="","",(K75)*(IF((YEAR(D75)+0)&lt;YEAR(E75),0,IF((YEAR(D75)+0)&gt;YEAR(E75),1,(12-MONTH(E75)+1)/12)))*(1/(1+DiscountRate)^0))</f>
        <v/>
      </c>
      <c r="BJ75" s="36">
        <f>IF(A75="","",(K75)*(IF((YEAR(D75)+1)&lt;YEAR(E75),0,IF((YEAR(D75)+1)&gt;YEAR(E75),1,(12-MONTH(E75)+1)/12)))*(1/(1+DiscountRate)^1))</f>
        <v/>
      </c>
      <c r="BK75" s="36">
        <f>IF(A75="","",(K75)*(IF((YEAR(D75)+2)&lt;YEAR(E75),0,IF((YEAR(D75)+2)&gt;YEAR(E75),1,(12-MONTH(E75)+1)/12)))*(1/(1+DiscountRate)^2))</f>
        <v/>
      </c>
      <c r="BL75" s="36">
        <f>IF(A75="","",(K75)*(IF((YEAR(D75)+3)&lt;YEAR(E75),0,IF((YEAR(D75)+3)&gt;YEAR(E75),1,(12-MONTH(E75)+1)/12)))*(1/(1+DiscountRate)^3))</f>
        <v/>
      </c>
      <c r="BM75" s="36">
        <f>IF(A75="","",(K75)*(IF((YEAR(D75)+4)&lt;YEAR(E75),0,IF((YEAR(D75)+4)&gt;YEAR(E75),1,(12-MONTH(E75)+1)/12)))*(1/(1+DiscountRate)^4))</f>
        <v/>
      </c>
      <c r="BN75" s="36">
        <f>IF(A75="","",(K75)*(IF((YEAR(D75)+5)&lt;YEAR(E75),0,IF((YEAR(D75)+5)&gt;YEAR(E75),1,(12-MONTH(E75)+1)/12)))*(1/(1+DiscountRate)^5))</f>
        <v/>
      </c>
      <c r="BO75" s="36">
        <f>IF(A75="","",(K75)*(IF((YEAR(D75)+6)&lt;YEAR(E75),0,IF((YEAR(D75)+6)&gt;YEAR(E75),1,(12-MONTH(E75)+1)/12)))*(1/(1+DiscountRate)^6))</f>
        <v/>
      </c>
      <c r="BP75" s="36">
        <f>IF(A75="","",(K75)*(IF((YEAR(D75)+7)&lt;YEAR(E75),0,IF((YEAR(D75)+7)&gt;YEAR(E75),1,(12-MONTH(E75)+1)/12)))*(1/(1+DiscountRate)^7))</f>
        <v/>
      </c>
      <c r="BQ75" s="36">
        <f>IF(A75="","",(K75)*(IF((YEAR(D75)+8)&lt;YEAR(E75),0,IF((YEAR(D75)+8)&gt;YEAR(E75),1,(12-MONTH(E75)+1)/12)))*(1/(1+DiscountRate)^8))</f>
        <v/>
      </c>
      <c r="BR75" s="36">
        <f>IF(A75="","",(K75)*(IF((YEAR(D75)+9)&lt;YEAR(E75),0,IF((YEAR(D75)+9)&gt;YEAR(E75),1,(12-MONTH(E75)+1)/12)))*(1/(1+DiscountRate)^9))</f>
        <v/>
      </c>
      <c r="BS75" s="36">
        <f>IF(A75="","",(K75)*(IF((YEAR(D75)+10)&lt;YEAR(E75),0,IF((YEAR(D75)+10)&gt;YEAR(E75),1,(12-MONTH(E75)+1)/12)))*(1/(1+DiscountRate)^10))</f>
        <v/>
      </c>
      <c r="BT75" s="36">
        <f>IF(A75="","",(K75)*(IF((YEAR(D75)+11)&lt;YEAR(E75),0,IF((YEAR(D75)+11)&gt;YEAR(E75),1,(12-MONTH(E75)+1)/12)))*(1/(1+DiscountRate)^11))</f>
        <v/>
      </c>
      <c r="BU75" s="36">
        <f>IF(A75="","",(K75)*(IF((YEAR(D75)+12)&lt;YEAR(E75),0,IF((YEAR(D75)+12)&gt;YEAR(E75),1,(12-MONTH(E75)+1)/12)))*(1/(1+DiscountRate)^12))</f>
        <v/>
      </c>
      <c r="BV75" s="36">
        <f>IF(A75="","",(K75)*(IF((YEAR(D75)+13)&lt;YEAR(E75),0,IF((YEAR(D75)+13)&gt;YEAR(E75),1,(12-MONTH(E75)+1)/12)))*(1/(1+DiscountRate)^13))</f>
        <v/>
      </c>
      <c r="BW75" s="36">
        <f>IF(A75="","",(K75)*(IF((YEAR(D75)+14)&lt;YEAR(E75),0,IF((YEAR(D75)+14)&gt;YEAR(E75),1,(12-MONTH(E75)+1)/12)))*(1/(1+DiscountRate)^14))</f>
        <v/>
      </c>
      <c r="BX75" s="36">
        <f>IF(A75="","",(K75)*(IF((YEAR(D75)+15)&lt;YEAR(E75),0,IF((YEAR(D75)+15)&gt;YEAR(E75),1,(12-MONTH(E75)+1)/12)))*(1/(1+DiscountRate)^15))</f>
        <v/>
      </c>
      <c r="BY75" s="36">
        <f>IF(A75="","",(K75)*(IF((YEAR(D75)+16)&lt;YEAR(E75),0,IF((YEAR(D75)+16)&gt;YEAR(E75),1,(12-MONTH(E75)+1)/12)))*(1/(1+DiscountRate)^16))</f>
        <v/>
      </c>
      <c r="BZ75" s="36">
        <f>IF(A75="","",(K75)*(IF((YEAR(D75)+17)&lt;YEAR(E75),0,IF((YEAR(D75)+17)&gt;YEAR(E75),1,(12-MONTH(E75)+1)/12)))*(1/(1+DiscountRate)^17))</f>
        <v/>
      </c>
      <c r="CA75" s="36">
        <f>IF(A75="","",(K75)*(IF((YEAR(D75)+18)&lt;YEAR(E75),0,IF((YEAR(D75)+18)&gt;YEAR(E75),1,(12-MONTH(E75)+1)/12)))*(1/(1+DiscountRate)^18))</f>
        <v/>
      </c>
      <c r="CB75" s="36">
        <f>IF(A75="","",(K75)*(IF((YEAR(D75)+19)&lt;YEAR(E75),0,IF((YEAR(D75)+19)&gt;YEAR(E75),1,(12-MONTH(E75)+1)/12)))*(1/(1+DiscountRate)^19))</f>
        <v/>
      </c>
      <c r="CC75" s="36">
        <f>IF(A75="","",(K75)*(IF((YEAR(D75)+20)&lt;YEAR(E75),0,IF((YEAR(D75)+20)&gt;YEAR(E75),1,(12-MONTH(E75)+1)/12)))*(1/(1+DiscountRate)^20))</f>
        <v/>
      </c>
      <c r="CD75" s="29">
        <f>IF(A75="","",S75/(1+DiscountRate)^0+T75/(1+DiscountRate)^1+U75/(1+DiscountRate)^2+V75/(1+DiscountRate)^3+W75/(1+DiscountRate)^4+X75/(1+DiscountRate)^5+Y75/(1+DiscountRate)^6+Z75/(1+DiscountRate)^7+AA75/(1+DiscountRate)^8+AB75/(1+DiscountRate)^9+AC75/(1+DiscountRate)^10+AD75/(1+DiscountRate)^11+AE75/(1+DiscountRate)^12+AF75/(1+DiscountRate)^13+AG75/(1+DiscountRate)^14+AH75/(1+DiscountRate)^15+AI75/(1+DiscountRate)^16+AJ75/(1+DiscountRate)^17+AK75/(1+DiscountRate)^18+AL75/(1+DiscountRate)^19+AM75/(1+DiscountRate)^20)</f>
        <v/>
      </c>
      <c r="CE75" s="37">
        <f>IF(A75="","",IFERROR(IRR(OFFSET(S75,0,0,1,MIN(HorizonYears,20)+1)),"n/a"))</f>
        <v/>
      </c>
      <c r="CF75" s="28">
        <f>IF(A75="","",IFERROR(MATCH(TRUE,OFFSET(AN75,0,0,1,MIN(HorizonYears,20)+1)&gt;=0,0)-1,"n/a"))</f>
        <v/>
      </c>
      <c r="CG75" s="36">
        <f>IF(A75="","",SUM(OFFSET(BI75,0,0,1,MIN(HorizonYears,20)+1)))</f>
        <v/>
      </c>
      <c r="CH75" s="36">
        <f>IF(A75="","",IFERROR(-CD75/CG75,"n/a"))</f>
        <v/>
      </c>
    </row>
    <row r="76">
      <c r="A76" s="6">
        <f>Actions!A74</f>
        <v/>
      </c>
      <c r="B76" s="6">
        <f>Actions!B74</f>
        <v/>
      </c>
      <c r="C76" s="6">
        <f>Actions!D74</f>
        <v/>
      </c>
      <c r="D76" s="35">
        <f>Actions!E74</f>
        <v/>
      </c>
      <c r="E76" s="35">
        <f>Actions!F74</f>
        <v/>
      </c>
      <c r="F76" s="6">
        <f>Actions!G74</f>
        <v/>
      </c>
      <c r="G76" s="6">
        <f>Actions!H74</f>
        <v/>
      </c>
      <c r="H76" s="29">
        <f>Actions!I74</f>
        <v/>
      </c>
      <c r="I76" s="6">
        <f>Actions!J74</f>
        <v/>
      </c>
      <c r="J76" s="16">
        <f>Actions!K74</f>
        <v/>
      </c>
      <c r="K76" s="16">
        <f>IF(A76="","",IF(I76="%",H76*J76,J76))</f>
        <v/>
      </c>
      <c r="L76" s="16">
        <f>Actions!L74</f>
        <v/>
      </c>
      <c r="M76" s="6">
        <f>Actions!M74</f>
        <v/>
      </c>
      <c r="N76" s="28">
        <f>Actions!N74</f>
        <v/>
      </c>
      <c r="O76" s="29">
        <f>Actions!T74</f>
        <v/>
      </c>
      <c r="P76" s="29">
        <f>Actions!Y74</f>
        <v/>
      </c>
      <c r="Q76" s="29">
        <f>Actions!Z74</f>
        <v/>
      </c>
      <c r="R76" s="29">
        <f>Actions!AA74</f>
        <v/>
      </c>
      <c r="S76" s="29">
        <f>IF(A76="","",((K76)*(IF(M76="",L76,IFERROR(IF(INDEX(Variablen!$I:$AT, MATCH(M76, Variablen!$A:$A, 0), MATCH((YEAR(D76)+0), Variablen!$I$3:$AT$3, 0))="",L76,INDEX(Variablen!$I:$AT, MATCH(M76, Variablen!$A:$A, 0), MATCH((YEAR(D76)+0), Variablen!$I$3:$AT$3, 0))),L76)))*(IF((YEAR(D76)+0)&lt;YEAR(E76),0,IF((YEAR(D76)+0)&gt;YEAR(E76),1,(12-MONTH(E76)+1)/12))) + (Q76)*(IF((YEAR(D76)+0)&lt;YEAR(E76),0,IF((YEAR(D76)+0)&gt;YEAR(E76),1,(12-MONTH(E76)+1)/12))))-((P76)*(IF((YEAR(D76)+0)&lt;YEAR(E76),0,IF((YEAR(D76)+0)&gt;YEAR(E76),1,(12-MONTH(E76)+1)/12))) + (R76)*(IF((YEAR(D76)+0)&lt;YEAR(E76),0,IF((YEAR(D76)+0)&gt;YEAR(E76),1,(12-MONTH(E76)+1)/12))))-(IF((((K76)*(IF(M76="",L76,IFERROR(IF(INDEX(Variablen!$I:$AT, MATCH(M76, Variablen!$A:$A, 0), MATCH((YEAR(D76)+0), Variablen!$I$3:$AT$3, 0))="",L76,INDEX(Variablen!$I:$AT, MATCH(M76, Variablen!$A:$A, 0), MATCH((YEAR(D76)+0), Variablen!$I$3:$AT$3, 0))),L76)))*(IF((YEAR(D76)+0)&lt;YEAR(E76),0,IF((YEAR(D76)+0)&gt;YEAR(E76),1,(12-MONTH(E76)+1)/12))) + (Q76)*(IF((YEAR(D76)+0)&lt;YEAR(E76),0,IF((YEAR(D76)+0)&gt;YEAR(E76),1,(12-MONTH(E76)+1)/12))))-((P76)*(IF((YEAR(D76)+0)&lt;YEAR(E76),0,IF((YEAR(D76)+0)&gt;YEAR(E76),1,(12-MONTH(E76)+1)/12))) + (R76)*(IF((YEAR(D76)+0)&lt;YEAR(E76),0,IF((YEAR(D76)+0)&gt;YEAR(E76),1,(12-MONTH(E76)+1)/12))))-(IF(OR(N76="",N76&lt;=0),0,(O76/N76)*(IF(OR(N76="",N76&lt;=0),0,IF((YEAR(D76)+0)&lt;YEAR(E76),0,IF((YEAR(D76)+0)&gt;=YEAR(E76)+N76,0,IF((YEAR(D76)+0)=YEAR(E76),(12-MONTH(E76)+1)/12,1))))))))&gt;0,(((K76)*(IF(M76="",L76,IFERROR(IF(INDEX(Variablen!$I:$AT, MATCH(M76, Variablen!$A:$A, 0), MATCH((YEAR(D76)+0), Variablen!$I$3:$AT$3, 0))="",L76,INDEX(Variablen!$I:$AT, MATCH(M76, Variablen!$A:$A, 0), MATCH((YEAR(D76)+0), Variablen!$I$3:$AT$3, 0))),L76)))*(IF((YEAR(D76)+0)&lt;YEAR(E76),0,IF((YEAR(D76)+0)&gt;YEAR(E76),1,(12-MONTH(E76)+1)/12))) + (Q76)*(IF((YEAR(D76)+0)&lt;YEAR(E76),0,IF((YEAR(D76)+0)&gt;YEAR(E76),1,(12-MONTH(E76)+1)/12))))-((P76)*(IF((YEAR(D76)+0)&lt;YEAR(E76),0,IF((YEAR(D76)+0)&gt;YEAR(E76),1,(12-MONTH(E76)+1)/12))) + (R76)*(IF((YEAR(D76)+0)&lt;YEAR(E76),0,IF((YEAR(D76)+0)&gt;YEAR(E76),1,(12-MONTH(E76)+1)/12))))-(IF(OR(N76="",N76&lt;=0),0,(O76/N76)*(IF(OR(N76="",N76&lt;=0),0,IF((YEAR(D76)+0)&lt;YEAR(E76),0,IF((YEAR(D76)+0)&gt;=YEAR(E76)+N76,0,IF((YEAR(D76)+0)=YEAR(E76),(12-MONTH(E76)+1)/12,1))))))))*TaxRate,0))-IF(0=0,O76,0))</f>
        <v/>
      </c>
      <c r="T76" s="29">
        <f>IF(A76="","",((K76)*(IF(M76="",L76,IFERROR(IF(INDEX(Variablen!$I:$AT, MATCH(M76, Variablen!$A:$A, 0), MATCH((YEAR(D76)+1), Variablen!$I$3:$AT$3, 0))="",L76,INDEX(Variablen!$I:$AT, MATCH(M76, Variablen!$A:$A, 0), MATCH((YEAR(D76)+1), Variablen!$I$3:$AT$3, 0))),L76)))*(IF((YEAR(D76)+1)&lt;YEAR(E76),0,IF((YEAR(D76)+1)&gt;YEAR(E76),1,(12-MONTH(E76)+1)/12))) + (Q76)*(IF((YEAR(D76)+1)&lt;YEAR(E76),0,IF((YEAR(D76)+1)&gt;YEAR(E76),1,(12-MONTH(E76)+1)/12))))-((P76)*(IF((YEAR(D76)+1)&lt;YEAR(E76),0,IF((YEAR(D76)+1)&gt;YEAR(E76),1,(12-MONTH(E76)+1)/12))) + (R76)*(IF((YEAR(D76)+1)&lt;YEAR(E76),0,IF((YEAR(D76)+1)&gt;YEAR(E76),1,(12-MONTH(E76)+1)/12))))-(IF((((K76)*(IF(M76="",L76,IFERROR(IF(INDEX(Variablen!$I:$AT, MATCH(M76, Variablen!$A:$A, 0), MATCH((YEAR(D76)+1), Variablen!$I$3:$AT$3, 0))="",L76,INDEX(Variablen!$I:$AT, MATCH(M76, Variablen!$A:$A, 0), MATCH((YEAR(D76)+1), Variablen!$I$3:$AT$3, 0))),L76)))*(IF((YEAR(D76)+1)&lt;YEAR(E76),0,IF((YEAR(D76)+1)&gt;YEAR(E76),1,(12-MONTH(E76)+1)/12))) + (Q76)*(IF((YEAR(D76)+1)&lt;YEAR(E76),0,IF((YEAR(D76)+1)&gt;YEAR(E76),1,(12-MONTH(E76)+1)/12))))-((P76)*(IF((YEAR(D76)+1)&lt;YEAR(E76),0,IF((YEAR(D76)+1)&gt;YEAR(E76),1,(12-MONTH(E76)+1)/12))) + (R76)*(IF((YEAR(D76)+1)&lt;YEAR(E76),0,IF((YEAR(D76)+1)&gt;YEAR(E76),1,(12-MONTH(E76)+1)/12))))-(IF(OR(N76="",N76&lt;=0),0,(O76/N76)*(IF(OR(N76="",N76&lt;=0),0,IF((YEAR(D76)+1)&lt;YEAR(E76),0,IF((YEAR(D76)+1)&gt;=YEAR(E76)+N76,0,IF((YEAR(D76)+1)=YEAR(E76),(12-MONTH(E76)+1)/12,1))))))))&gt;0,(((K76)*(IF(M76="",L76,IFERROR(IF(INDEX(Variablen!$I:$AT, MATCH(M76, Variablen!$A:$A, 0), MATCH((YEAR(D76)+1), Variablen!$I$3:$AT$3, 0))="",L76,INDEX(Variablen!$I:$AT, MATCH(M76, Variablen!$A:$A, 0), MATCH((YEAR(D76)+1), Variablen!$I$3:$AT$3, 0))),L76)))*(IF((YEAR(D76)+1)&lt;YEAR(E76),0,IF((YEAR(D76)+1)&gt;YEAR(E76),1,(12-MONTH(E76)+1)/12))) + (Q76)*(IF((YEAR(D76)+1)&lt;YEAR(E76),0,IF((YEAR(D76)+1)&gt;YEAR(E76),1,(12-MONTH(E76)+1)/12))))-((P76)*(IF((YEAR(D76)+1)&lt;YEAR(E76),0,IF((YEAR(D76)+1)&gt;YEAR(E76),1,(12-MONTH(E76)+1)/12))) + (R76)*(IF((YEAR(D76)+1)&lt;YEAR(E76),0,IF((YEAR(D76)+1)&gt;YEAR(E76),1,(12-MONTH(E76)+1)/12))))-(IF(OR(N76="",N76&lt;=0),0,(O76/N76)*(IF(OR(N76="",N76&lt;=0),0,IF((YEAR(D76)+1)&lt;YEAR(E76),0,IF((YEAR(D76)+1)&gt;=YEAR(E76)+N76,0,IF((YEAR(D76)+1)=YEAR(E76),(12-MONTH(E76)+1)/12,1))))))))*TaxRate,0))-IF(1=0,O76,0))</f>
        <v/>
      </c>
      <c r="U76" s="29">
        <f>IF(A76="","",((K76)*(IF(M76="",L76,IFERROR(IF(INDEX(Variablen!$I:$AT, MATCH(M76, Variablen!$A:$A, 0), MATCH((YEAR(D76)+2), Variablen!$I$3:$AT$3, 0))="",L76,INDEX(Variablen!$I:$AT, MATCH(M76, Variablen!$A:$A, 0), MATCH((YEAR(D76)+2), Variablen!$I$3:$AT$3, 0))),L76)))*(IF((YEAR(D76)+2)&lt;YEAR(E76),0,IF((YEAR(D76)+2)&gt;YEAR(E76),1,(12-MONTH(E76)+1)/12))) + (Q76)*(IF((YEAR(D76)+2)&lt;YEAR(E76),0,IF((YEAR(D76)+2)&gt;YEAR(E76),1,(12-MONTH(E76)+1)/12))))-((P76)*(IF((YEAR(D76)+2)&lt;YEAR(E76),0,IF((YEAR(D76)+2)&gt;YEAR(E76),1,(12-MONTH(E76)+1)/12))) + (R76)*(IF((YEAR(D76)+2)&lt;YEAR(E76),0,IF((YEAR(D76)+2)&gt;YEAR(E76),1,(12-MONTH(E76)+1)/12))))-(IF((((K76)*(IF(M76="",L76,IFERROR(IF(INDEX(Variablen!$I:$AT, MATCH(M76, Variablen!$A:$A, 0), MATCH((YEAR(D76)+2), Variablen!$I$3:$AT$3, 0))="",L76,INDEX(Variablen!$I:$AT, MATCH(M76, Variablen!$A:$A, 0), MATCH((YEAR(D76)+2), Variablen!$I$3:$AT$3, 0))),L76)))*(IF((YEAR(D76)+2)&lt;YEAR(E76),0,IF((YEAR(D76)+2)&gt;YEAR(E76),1,(12-MONTH(E76)+1)/12))) + (Q76)*(IF((YEAR(D76)+2)&lt;YEAR(E76),0,IF((YEAR(D76)+2)&gt;YEAR(E76),1,(12-MONTH(E76)+1)/12))))-((P76)*(IF((YEAR(D76)+2)&lt;YEAR(E76),0,IF((YEAR(D76)+2)&gt;YEAR(E76),1,(12-MONTH(E76)+1)/12))) + (R76)*(IF((YEAR(D76)+2)&lt;YEAR(E76),0,IF((YEAR(D76)+2)&gt;YEAR(E76),1,(12-MONTH(E76)+1)/12))))-(IF(OR(N76="",N76&lt;=0),0,(O76/N76)*(IF(OR(N76="",N76&lt;=0),0,IF((YEAR(D76)+2)&lt;YEAR(E76),0,IF((YEAR(D76)+2)&gt;=YEAR(E76)+N76,0,IF((YEAR(D76)+2)=YEAR(E76),(12-MONTH(E76)+1)/12,1))))))))&gt;0,(((K76)*(IF(M76="",L76,IFERROR(IF(INDEX(Variablen!$I:$AT, MATCH(M76, Variablen!$A:$A, 0), MATCH((YEAR(D76)+2), Variablen!$I$3:$AT$3, 0))="",L76,INDEX(Variablen!$I:$AT, MATCH(M76, Variablen!$A:$A, 0), MATCH((YEAR(D76)+2), Variablen!$I$3:$AT$3, 0))),L76)))*(IF((YEAR(D76)+2)&lt;YEAR(E76),0,IF((YEAR(D76)+2)&gt;YEAR(E76),1,(12-MONTH(E76)+1)/12))) + (Q76)*(IF((YEAR(D76)+2)&lt;YEAR(E76),0,IF((YEAR(D76)+2)&gt;YEAR(E76),1,(12-MONTH(E76)+1)/12))))-((P76)*(IF((YEAR(D76)+2)&lt;YEAR(E76),0,IF((YEAR(D76)+2)&gt;YEAR(E76),1,(12-MONTH(E76)+1)/12))) + (R76)*(IF((YEAR(D76)+2)&lt;YEAR(E76),0,IF((YEAR(D76)+2)&gt;YEAR(E76),1,(12-MONTH(E76)+1)/12))))-(IF(OR(N76="",N76&lt;=0),0,(O76/N76)*(IF(OR(N76="",N76&lt;=0),0,IF((YEAR(D76)+2)&lt;YEAR(E76),0,IF((YEAR(D76)+2)&gt;=YEAR(E76)+N76,0,IF((YEAR(D76)+2)=YEAR(E76),(12-MONTH(E76)+1)/12,1))))))))*TaxRate,0))-IF(2=0,O76,0))</f>
        <v/>
      </c>
      <c r="V76" s="29">
        <f>IF(A76="","",((K76)*(IF(M76="",L76,IFERROR(IF(INDEX(Variablen!$I:$AT, MATCH(M76, Variablen!$A:$A, 0), MATCH((YEAR(D76)+3), Variablen!$I$3:$AT$3, 0))="",L76,INDEX(Variablen!$I:$AT, MATCH(M76, Variablen!$A:$A, 0), MATCH((YEAR(D76)+3), Variablen!$I$3:$AT$3, 0))),L76)))*(IF((YEAR(D76)+3)&lt;YEAR(E76),0,IF((YEAR(D76)+3)&gt;YEAR(E76),1,(12-MONTH(E76)+1)/12))) + (Q76)*(IF((YEAR(D76)+3)&lt;YEAR(E76),0,IF((YEAR(D76)+3)&gt;YEAR(E76),1,(12-MONTH(E76)+1)/12))))-((P76)*(IF((YEAR(D76)+3)&lt;YEAR(E76),0,IF((YEAR(D76)+3)&gt;YEAR(E76),1,(12-MONTH(E76)+1)/12))) + (R76)*(IF((YEAR(D76)+3)&lt;YEAR(E76),0,IF((YEAR(D76)+3)&gt;YEAR(E76),1,(12-MONTH(E76)+1)/12))))-(IF((((K76)*(IF(M76="",L76,IFERROR(IF(INDEX(Variablen!$I:$AT, MATCH(M76, Variablen!$A:$A, 0), MATCH((YEAR(D76)+3), Variablen!$I$3:$AT$3, 0))="",L76,INDEX(Variablen!$I:$AT, MATCH(M76, Variablen!$A:$A, 0), MATCH((YEAR(D76)+3), Variablen!$I$3:$AT$3, 0))),L76)))*(IF((YEAR(D76)+3)&lt;YEAR(E76),0,IF((YEAR(D76)+3)&gt;YEAR(E76),1,(12-MONTH(E76)+1)/12))) + (Q76)*(IF((YEAR(D76)+3)&lt;YEAR(E76),0,IF((YEAR(D76)+3)&gt;YEAR(E76),1,(12-MONTH(E76)+1)/12))))-((P76)*(IF((YEAR(D76)+3)&lt;YEAR(E76),0,IF((YEAR(D76)+3)&gt;YEAR(E76),1,(12-MONTH(E76)+1)/12))) + (R76)*(IF((YEAR(D76)+3)&lt;YEAR(E76),0,IF((YEAR(D76)+3)&gt;YEAR(E76),1,(12-MONTH(E76)+1)/12))))-(IF(OR(N76="",N76&lt;=0),0,(O76/N76)*(IF(OR(N76="",N76&lt;=0),0,IF((YEAR(D76)+3)&lt;YEAR(E76),0,IF((YEAR(D76)+3)&gt;=YEAR(E76)+N76,0,IF((YEAR(D76)+3)=YEAR(E76),(12-MONTH(E76)+1)/12,1))))))))&gt;0,(((K76)*(IF(M76="",L76,IFERROR(IF(INDEX(Variablen!$I:$AT, MATCH(M76, Variablen!$A:$A, 0), MATCH((YEAR(D76)+3), Variablen!$I$3:$AT$3, 0))="",L76,INDEX(Variablen!$I:$AT, MATCH(M76, Variablen!$A:$A, 0), MATCH((YEAR(D76)+3), Variablen!$I$3:$AT$3, 0))),L76)))*(IF((YEAR(D76)+3)&lt;YEAR(E76),0,IF((YEAR(D76)+3)&gt;YEAR(E76),1,(12-MONTH(E76)+1)/12))) + (Q76)*(IF((YEAR(D76)+3)&lt;YEAR(E76),0,IF((YEAR(D76)+3)&gt;YEAR(E76),1,(12-MONTH(E76)+1)/12))))-((P76)*(IF((YEAR(D76)+3)&lt;YEAR(E76),0,IF((YEAR(D76)+3)&gt;YEAR(E76),1,(12-MONTH(E76)+1)/12))) + (R76)*(IF((YEAR(D76)+3)&lt;YEAR(E76),0,IF((YEAR(D76)+3)&gt;YEAR(E76),1,(12-MONTH(E76)+1)/12))))-(IF(OR(N76="",N76&lt;=0),0,(O76/N76)*(IF(OR(N76="",N76&lt;=0),0,IF((YEAR(D76)+3)&lt;YEAR(E76),0,IF((YEAR(D76)+3)&gt;=YEAR(E76)+N76,0,IF((YEAR(D76)+3)=YEAR(E76),(12-MONTH(E76)+1)/12,1))))))))*TaxRate,0))-IF(3=0,O76,0))</f>
        <v/>
      </c>
      <c r="W76" s="29">
        <f>IF(A76="","",((K76)*(IF(M76="",L76,IFERROR(IF(INDEX(Variablen!$I:$AT, MATCH(M76, Variablen!$A:$A, 0), MATCH((YEAR(D76)+4), Variablen!$I$3:$AT$3, 0))="",L76,INDEX(Variablen!$I:$AT, MATCH(M76, Variablen!$A:$A, 0), MATCH((YEAR(D76)+4), Variablen!$I$3:$AT$3, 0))),L76)))*(IF((YEAR(D76)+4)&lt;YEAR(E76),0,IF((YEAR(D76)+4)&gt;YEAR(E76),1,(12-MONTH(E76)+1)/12))) + (Q76)*(IF((YEAR(D76)+4)&lt;YEAR(E76),0,IF((YEAR(D76)+4)&gt;YEAR(E76),1,(12-MONTH(E76)+1)/12))))-((P76)*(IF((YEAR(D76)+4)&lt;YEAR(E76),0,IF((YEAR(D76)+4)&gt;YEAR(E76),1,(12-MONTH(E76)+1)/12))) + (R76)*(IF((YEAR(D76)+4)&lt;YEAR(E76),0,IF((YEAR(D76)+4)&gt;YEAR(E76),1,(12-MONTH(E76)+1)/12))))-(IF((((K76)*(IF(M76="",L76,IFERROR(IF(INDEX(Variablen!$I:$AT, MATCH(M76, Variablen!$A:$A, 0), MATCH((YEAR(D76)+4), Variablen!$I$3:$AT$3, 0))="",L76,INDEX(Variablen!$I:$AT, MATCH(M76, Variablen!$A:$A, 0), MATCH((YEAR(D76)+4), Variablen!$I$3:$AT$3, 0))),L76)))*(IF((YEAR(D76)+4)&lt;YEAR(E76),0,IF((YEAR(D76)+4)&gt;YEAR(E76),1,(12-MONTH(E76)+1)/12))) + (Q76)*(IF((YEAR(D76)+4)&lt;YEAR(E76),0,IF((YEAR(D76)+4)&gt;YEAR(E76),1,(12-MONTH(E76)+1)/12))))-((P76)*(IF((YEAR(D76)+4)&lt;YEAR(E76),0,IF((YEAR(D76)+4)&gt;YEAR(E76),1,(12-MONTH(E76)+1)/12))) + (R76)*(IF((YEAR(D76)+4)&lt;YEAR(E76),0,IF((YEAR(D76)+4)&gt;YEAR(E76),1,(12-MONTH(E76)+1)/12))))-(IF(OR(N76="",N76&lt;=0),0,(O76/N76)*(IF(OR(N76="",N76&lt;=0),0,IF((YEAR(D76)+4)&lt;YEAR(E76),0,IF((YEAR(D76)+4)&gt;=YEAR(E76)+N76,0,IF((YEAR(D76)+4)=YEAR(E76),(12-MONTH(E76)+1)/12,1))))))))&gt;0,(((K76)*(IF(M76="",L76,IFERROR(IF(INDEX(Variablen!$I:$AT, MATCH(M76, Variablen!$A:$A, 0), MATCH((YEAR(D76)+4), Variablen!$I$3:$AT$3, 0))="",L76,INDEX(Variablen!$I:$AT, MATCH(M76, Variablen!$A:$A, 0), MATCH((YEAR(D76)+4), Variablen!$I$3:$AT$3, 0))),L76)))*(IF((YEAR(D76)+4)&lt;YEAR(E76),0,IF((YEAR(D76)+4)&gt;YEAR(E76),1,(12-MONTH(E76)+1)/12))) + (Q76)*(IF((YEAR(D76)+4)&lt;YEAR(E76),0,IF((YEAR(D76)+4)&gt;YEAR(E76),1,(12-MONTH(E76)+1)/12))))-((P76)*(IF((YEAR(D76)+4)&lt;YEAR(E76),0,IF((YEAR(D76)+4)&gt;YEAR(E76),1,(12-MONTH(E76)+1)/12))) + (R76)*(IF((YEAR(D76)+4)&lt;YEAR(E76),0,IF((YEAR(D76)+4)&gt;YEAR(E76),1,(12-MONTH(E76)+1)/12))))-(IF(OR(N76="",N76&lt;=0),0,(O76/N76)*(IF(OR(N76="",N76&lt;=0),0,IF((YEAR(D76)+4)&lt;YEAR(E76),0,IF((YEAR(D76)+4)&gt;=YEAR(E76)+N76,0,IF((YEAR(D76)+4)=YEAR(E76),(12-MONTH(E76)+1)/12,1))))))))*TaxRate,0))-IF(4=0,O76,0))</f>
        <v/>
      </c>
      <c r="X76" s="29">
        <f>IF(A76="","",((K76)*(IF(M76="",L76,IFERROR(IF(INDEX(Variablen!$I:$AT, MATCH(M76, Variablen!$A:$A, 0), MATCH((YEAR(D76)+5), Variablen!$I$3:$AT$3, 0))="",L76,INDEX(Variablen!$I:$AT, MATCH(M76, Variablen!$A:$A, 0), MATCH((YEAR(D76)+5), Variablen!$I$3:$AT$3, 0))),L76)))*(IF((YEAR(D76)+5)&lt;YEAR(E76),0,IF((YEAR(D76)+5)&gt;YEAR(E76),1,(12-MONTH(E76)+1)/12))) + (Q76)*(IF((YEAR(D76)+5)&lt;YEAR(E76),0,IF((YEAR(D76)+5)&gt;YEAR(E76),1,(12-MONTH(E76)+1)/12))))-((P76)*(IF((YEAR(D76)+5)&lt;YEAR(E76),0,IF((YEAR(D76)+5)&gt;YEAR(E76),1,(12-MONTH(E76)+1)/12))) + (R76)*(IF((YEAR(D76)+5)&lt;YEAR(E76),0,IF((YEAR(D76)+5)&gt;YEAR(E76),1,(12-MONTH(E76)+1)/12))))-(IF((((K76)*(IF(M76="",L76,IFERROR(IF(INDEX(Variablen!$I:$AT, MATCH(M76, Variablen!$A:$A, 0), MATCH((YEAR(D76)+5), Variablen!$I$3:$AT$3, 0))="",L76,INDEX(Variablen!$I:$AT, MATCH(M76, Variablen!$A:$A, 0), MATCH((YEAR(D76)+5), Variablen!$I$3:$AT$3, 0))),L76)))*(IF((YEAR(D76)+5)&lt;YEAR(E76),0,IF((YEAR(D76)+5)&gt;YEAR(E76),1,(12-MONTH(E76)+1)/12))) + (Q76)*(IF((YEAR(D76)+5)&lt;YEAR(E76),0,IF((YEAR(D76)+5)&gt;YEAR(E76),1,(12-MONTH(E76)+1)/12))))-((P76)*(IF((YEAR(D76)+5)&lt;YEAR(E76),0,IF((YEAR(D76)+5)&gt;YEAR(E76),1,(12-MONTH(E76)+1)/12))) + (R76)*(IF((YEAR(D76)+5)&lt;YEAR(E76),0,IF((YEAR(D76)+5)&gt;YEAR(E76),1,(12-MONTH(E76)+1)/12))))-(IF(OR(N76="",N76&lt;=0),0,(O76/N76)*(IF(OR(N76="",N76&lt;=0),0,IF((YEAR(D76)+5)&lt;YEAR(E76),0,IF((YEAR(D76)+5)&gt;=YEAR(E76)+N76,0,IF((YEAR(D76)+5)=YEAR(E76),(12-MONTH(E76)+1)/12,1))))))))&gt;0,(((K76)*(IF(M76="",L76,IFERROR(IF(INDEX(Variablen!$I:$AT, MATCH(M76, Variablen!$A:$A, 0), MATCH((YEAR(D76)+5), Variablen!$I$3:$AT$3, 0))="",L76,INDEX(Variablen!$I:$AT, MATCH(M76, Variablen!$A:$A, 0), MATCH((YEAR(D76)+5), Variablen!$I$3:$AT$3, 0))),L76)))*(IF((YEAR(D76)+5)&lt;YEAR(E76),0,IF((YEAR(D76)+5)&gt;YEAR(E76),1,(12-MONTH(E76)+1)/12))) + (Q76)*(IF((YEAR(D76)+5)&lt;YEAR(E76),0,IF((YEAR(D76)+5)&gt;YEAR(E76),1,(12-MONTH(E76)+1)/12))))-((P76)*(IF((YEAR(D76)+5)&lt;YEAR(E76),0,IF((YEAR(D76)+5)&gt;YEAR(E76),1,(12-MONTH(E76)+1)/12))) + (R76)*(IF((YEAR(D76)+5)&lt;YEAR(E76),0,IF((YEAR(D76)+5)&gt;YEAR(E76),1,(12-MONTH(E76)+1)/12))))-(IF(OR(N76="",N76&lt;=0),0,(O76/N76)*(IF(OR(N76="",N76&lt;=0),0,IF((YEAR(D76)+5)&lt;YEAR(E76),0,IF((YEAR(D76)+5)&gt;=YEAR(E76)+N76,0,IF((YEAR(D76)+5)=YEAR(E76),(12-MONTH(E76)+1)/12,1))))))))*TaxRate,0))-IF(5=0,O76,0))</f>
        <v/>
      </c>
      <c r="Y76" s="29">
        <f>IF(A76="","",((K76)*(IF(M76="",L76,IFERROR(IF(INDEX(Variablen!$I:$AT, MATCH(M76, Variablen!$A:$A, 0), MATCH((YEAR(D76)+6), Variablen!$I$3:$AT$3, 0))="",L76,INDEX(Variablen!$I:$AT, MATCH(M76, Variablen!$A:$A, 0), MATCH((YEAR(D76)+6), Variablen!$I$3:$AT$3, 0))),L76)))*(IF((YEAR(D76)+6)&lt;YEAR(E76),0,IF((YEAR(D76)+6)&gt;YEAR(E76),1,(12-MONTH(E76)+1)/12))) + (Q76)*(IF((YEAR(D76)+6)&lt;YEAR(E76),0,IF((YEAR(D76)+6)&gt;YEAR(E76),1,(12-MONTH(E76)+1)/12))))-((P76)*(IF((YEAR(D76)+6)&lt;YEAR(E76),0,IF((YEAR(D76)+6)&gt;YEAR(E76),1,(12-MONTH(E76)+1)/12))) + (R76)*(IF((YEAR(D76)+6)&lt;YEAR(E76),0,IF((YEAR(D76)+6)&gt;YEAR(E76),1,(12-MONTH(E76)+1)/12))))-(IF((((K76)*(IF(M76="",L76,IFERROR(IF(INDEX(Variablen!$I:$AT, MATCH(M76, Variablen!$A:$A, 0), MATCH((YEAR(D76)+6), Variablen!$I$3:$AT$3, 0))="",L76,INDEX(Variablen!$I:$AT, MATCH(M76, Variablen!$A:$A, 0), MATCH((YEAR(D76)+6), Variablen!$I$3:$AT$3, 0))),L76)))*(IF((YEAR(D76)+6)&lt;YEAR(E76),0,IF((YEAR(D76)+6)&gt;YEAR(E76),1,(12-MONTH(E76)+1)/12))) + (Q76)*(IF((YEAR(D76)+6)&lt;YEAR(E76),0,IF((YEAR(D76)+6)&gt;YEAR(E76),1,(12-MONTH(E76)+1)/12))))-((P76)*(IF((YEAR(D76)+6)&lt;YEAR(E76),0,IF((YEAR(D76)+6)&gt;YEAR(E76),1,(12-MONTH(E76)+1)/12))) + (R76)*(IF((YEAR(D76)+6)&lt;YEAR(E76),0,IF((YEAR(D76)+6)&gt;YEAR(E76),1,(12-MONTH(E76)+1)/12))))-(IF(OR(N76="",N76&lt;=0),0,(O76/N76)*(IF(OR(N76="",N76&lt;=0),0,IF((YEAR(D76)+6)&lt;YEAR(E76),0,IF((YEAR(D76)+6)&gt;=YEAR(E76)+N76,0,IF((YEAR(D76)+6)=YEAR(E76),(12-MONTH(E76)+1)/12,1))))))))&gt;0,(((K76)*(IF(M76="",L76,IFERROR(IF(INDEX(Variablen!$I:$AT, MATCH(M76, Variablen!$A:$A, 0), MATCH((YEAR(D76)+6), Variablen!$I$3:$AT$3, 0))="",L76,INDEX(Variablen!$I:$AT, MATCH(M76, Variablen!$A:$A, 0), MATCH((YEAR(D76)+6), Variablen!$I$3:$AT$3, 0))),L76)))*(IF((YEAR(D76)+6)&lt;YEAR(E76),0,IF((YEAR(D76)+6)&gt;YEAR(E76),1,(12-MONTH(E76)+1)/12))) + (Q76)*(IF((YEAR(D76)+6)&lt;YEAR(E76),0,IF((YEAR(D76)+6)&gt;YEAR(E76),1,(12-MONTH(E76)+1)/12))))-((P76)*(IF((YEAR(D76)+6)&lt;YEAR(E76),0,IF((YEAR(D76)+6)&gt;YEAR(E76),1,(12-MONTH(E76)+1)/12))) + (R76)*(IF((YEAR(D76)+6)&lt;YEAR(E76),0,IF((YEAR(D76)+6)&gt;YEAR(E76),1,(12-MONTH(E76)+1)/12))))-(IF(OR(N76="",N76&lt;=0),0,(O76/N76)*(IF(OR(N76="",N76&lt;=0),0,IF((YEAR(D76)+6)&lt;YEAR(E76),0,IF((YEAR(D76)+6)&gt;=YEAR(E76)+N76,0,IF((YEAR(D76)+6)=YEAR(E76),(12-MONTH(E76)+1)/12,1))))))))*TaxRate,0))-IF(6=0,O76,0))</f>
        <v/>
      </c>
      <c r="Z76" s="29">
        <f>IF(A76="","",((K76)*(IF(M76="",L76,IFERROR(IF(INDEX(Variablen!$I:$AT, MATCH(M76, Variablen!$A:$A, 0), MATCH((YEAR(D76)+7), Variablen!$I$3:$AT$3, 0))="",L76,INDEX(Variablen!$I:$AT, MATCH(M76, Variablen!$A:$A, 0), MATCH((YEAR(D76)+7), Variablen!$I$3:$AT$3, 0))),L76)))*(IF((YEAR(D76)+7)&lt;YEAR(E76),0,IF((YEAR(D76)+7)&gt;YEAR(E76),1,(12-MONTH(E76)+1)/12))) + (Q76)*(IF((YEAR(D76)+7)&lt;YEAR(E76),0,IF((YEAR(D76)+7)&gt;YEAR(E76),1,(12-MONTH(E76)+1)/12))))-((P76)*(IF((YEAR(D76)+7)&lt;YEAR(E76),0,IF((YEAR(D76)+7)&gt;YEAR(E76),1,(12-MONTH(E76)+1)/12))) + (R76)*(IF((YEAR(D76)+7)&lt;YEAR(E76),0,IF((YEAR(D76)+7)&gt;YEAR(E76),1,(12-MONTH(E76)+1)/12))))-(IF((((K76)*(IF(M76="",L76,IFERROR(IF(INDEX(Variablen!$I:$AT, MATCH(M76, Variablen!$A:$A, 0), MATCH((YEAR(D76)+7), Variablen!$I$3:$AT$3, 0))="",L76,INDEX(Variablen!$I:$AT, MATCH(M76, Variablen!$A:$A, 0), MATCH((YEAR(D76)+7), Variablen!$I$3:$AT$3, 0))),L76)))*(IF((YEAR(D76)+7)&lt;YEAR(E76),0,IF((YEAR(D76)+7)&gt;YEAR(E76),1,(12-MONTH(E76)+1)/12))) + (Q76)*(IF((YEAR(D76)+7)&lt;YEAR(E76),0,IF((YEAR(D76)+7)&gt;YEAR(E76),1,(12-MONTH(E76)+1)/12))))-((P76)*(IF((YEAR(D76)+7)&lt;YEAR(E76),0,IF((YEAR(D76)+7)&gt;YEAR(E76),1,(12-MONTH(E76)+1)/12))) + (R76)*(IF((YEAR(D76)+7)&lt;YEAR(E76),0,IF((YEAR(D76)+7)&gt;YEAR(E76),1,(12-MONTH(E76)+1)/12))))-(IF(OR(N76="",N76&lt;=0),0,(O76/N76)*(IF(OR(N76="",N76&lt;=0),0,IF((YEAR(D76)+7)&lt;YEAR(E76),0,IF((YEAR(D76)+7)&gt;=YEAR(E76)+N76,0,IF((YEAR(D76)+7)=YEAR(E76),(12-MONTH(E76)+1)/12,1))))))))&gt;0,(((K76)*(IF(M76="",L76,IFERROR(IF(INDEX(Variablen!$I:$AT, MATCH(M76, Variablen!$A:$A, 0), MATCH((YEAR(D76)+7), Variablen!$I$3:$AT$3, 0))="",L76,INDEX(Variablen!$I:$AT, MATCH(M76, Variablen!$A:$A, 0), MATCH((YEAR(D76)+7), Variablen!$I$3:$AT$3, 0))),L76)))*(IF((YEAR(D76)+7)&lt;YEAR(E76),0,IF((YEAR(D76)+7)&gt;YEAR(E76),1,(12-MONTH(E76)+1)/12))) + (Q76)*(IF((YEAR(D76)+7)&lt;YEAR(E76),0,IF((YEAR(D76)+7)&gt;YEAR(E76),1,(12-MONTH(E76)+1)/12))))-((P76)*(IF((YEAR(D76)+7)&lt;YEAR(E76),0,IF((YEAR(D76)+7)&gt;YEAR(E76),1,(12-MONTH(E76)+1)/12))) + (R76)*(IF((YEAR(D76)+7)&lt;YEAR(E76),0,IF((YEAR(D76)+7)&gt;YEAR(E76),1,(12-MONTH(E76)+1)/12))))-(IF(OR(N76="",N76&lt;=0),0,(O76/N76)*(IF(OR(N76="",N76&lt;=0),0,IF((YEAR(D76)+7)&lt;YEAR(E76),0,IF((YEAR(D76)+7)&gt;=YEAR(E76)+N76,0,IF((YEAR(D76)+7)=YEAR(E76),(12-MONTH(E76)+1)/12,1))))))))*TaxRate,0))-IF(7=0,O76,0))</f>
        <v/>
      </c>
      <c r="AA76" s="29">
        <f>IF(A76="","",((K76)*(IF(M76="",L76,IFERROR(IF(INDEX(Variablen!$I:$AT, MATCH(M76, Variablen!$A:$A, 0), MATCH((YEAR(D76)+8), Variablen!$I$3:$AT$3, 0))="",L76,INDEX(Variablen!$I:$AT, MATCH(M76, Variablen!$A:$A, 0), MATCH((YEAR(D76)+8), Variablen!$I$3:$AT$3, 0))),L76)))*(IF((YEAR(D76)+8)&lt;YEAR(E76),0,IF((YEAR(D76)+8)&gt;YEAR(E76),1,(12-MONTH(E76)+1)/12))) + (Q76)*(IF((YEAR(D76)+8)&lt;YEAR(E76),0,IF((YEAR(D76)+8)&gt;YEAR(E76),1,(12-MONTH(E76)+1)/12))))-((P76)*(IF((YEAR(D76)+8)&lt;YEAR(E76),0,IF((YEAR(D76)+8)&gt;YEAR(E76),1,(12-MONTH(E76)+1)/12))) + (R76)*(IF((YEAR(D76)+8)&lt;YEAR(E76),0,IF((YEAR(D76)+8)&gt;YEAR(E76),1,(12-MONTH(E76)+1)/12))))-(IF((((K76)*(IF(M76="",L76,IFERROR(IF(INDEX(Variablen!$I:$AT, MATCH(M76, Variablen!$A:$A, 0), MATCH((YEAR(D76)+8), Variablen!$I$3:$AT$3, 0))="",L76,INDEX(Variablen!$I:$AT, MATCH(M76, Variablen!$A:$A, 0), MATCH((YEAR(D76)+8), Variablen!$I$3:$AT$3, 0))),L76)))*(IF((YEAR(D76)+8)&lt;YEAR(E76),0,IF((YEAR(D76)+8)&gt;YEAR(E76),1,(12-MONTH(E76)+1)/12))) + (Q76)*(IF((YEAR(D76)+8)&lt;YEAR(E76),0,IF((YEAR(D76)+8)&gt;YEAR(E76),1,(12-MONTH(E76)+1)/12))))-((P76)*(IF((YEAR(D76)+8)&lt;YEAR(E76),0,IF((YEAR(D76)+8)&gt;YEAR(E76),1,(12-MONTH(E76)+1)/12))) + (R76)*(IF((YEAR(D76)+8)&lt;YEAR(E76),0,IF((YEAR(D76)+8)&gt;YEAR(E76),1,(12-MONTH(E76)+1)/12))))-(IF(OR(N76="",N76&lt;=0),0,(O76/N76)*(IF(OR(N76="",N76&lt;=0),0,IF((YEAR(D76)+8)&lt;YEAR(E76),0,IF((YEAR(D76)+8)&gt;=YEAR(E76)+N76,0,IF((YEAR(D76)+8)=YEAR(E76),(12-MONTH(E76)+1)/12,1))))))))&gt;0,(((K76)*(IF(M76="",L76,IFERROR(IF(INDEX(Variablen!$I:$AT, MATCH(M76, Variablen!$A:$A, 0), MATCH((YEAR(D76)+8), Variablen!$I$3:$AT$3, 0))="",L76,INDEX(Variablen!$I:$AT, MATCH(M76, Variablen!$A:$A, 0), MATCH((YEAR(D76)+8), Variablen!$I$3:$AT$3, 0))),L76)))*(IF((YEAR(D76)+8)&lt;YEAR(E76),0,IF((YEAR(D76)+8)&gt;YEAR(E76),1,(12-MONTH(E76)+1)/12))) + (Q76)*(IF((YEAR(D76)+8)&lt;YEAR(E76),0,IF((YEAR(D76)+8)&gt;YEAR(E76),1,(12-MONTH(E76)+1)/12))))-((P76)*(IF((YEAR(D76)+8)&lt;YEAR(E76),0,IF((YEAR(D76)+8)&gt;YEAR(E76),1,(12-MONTH(E76)+1)/12))) + (R76)*(IF((YEAR(D76)+8)&lt;YEAR(E76),0,IF((YEAR(D76)+8)&gt;YEAR(E76),1,(12-MONTH(E76)+1)/12))))-(IF(OR(N76="",N76&lt;=0),0,(O76/N76)*(IF(OR(N76="",N76&lt;=0),0,IF((YEAR(D76)+8)&lt;YEAR(E76),0,IF((YEAR(D76)+8)&gt;=YEAR(E76)+N76,0,IF((YEAR(D76)+8)=YEAR(E76),(12-MONTH(E76)+1)/12,1))))))))*TaxRate,0))-IF(8=0,O76,0))</f>
        <v/>
      </c>
      <c r="AB76" s="29">
        <f>IF(A76="","",((K76)*(IF(M76="",L76,IFERROR(IF(INDEX(Variablen!$I:$AT, MATCH(M76, Variablen!$A:$A, 0), MATCH((YEAR(D76)+9), Variablen!$I$3:$AT$3, 0))="",L76,INDEX(Variablen!$I:$AT, MATCH(M76, Variablen!$A:$A, 0), MATCH((YEAR(D76)+9), Variablen!$I$3:$AT$3, 0))),L76)))*(IF((YEAR(D76)+9)&lt;YEAR(E76),0,IF((YEAR(D76)+9)&gt;YEAR(E76),1,(12-MONTH(E76)+1)/12))) + (Q76)*(IF((YEAR(D76)+9)&lt;YEAR(E76),0,IF((YEAR(D76)+9)&gt;YEAR(E76),1,(12-MONTH(E76)+1)/12))))-((P76)*(IF((YEAR(D76)+9)&lt;YEAR(E76),0,IF((YEAR(D76)+9)&gt;YEAR(E76),1,(12-MONTH(E76)+1)/12))) + (R76)*(IF((YEAR(D76)+9)&lt;YEAR(E76),0,IF((YEAR(D76)+9)&gt;YEAR(E76),1,(12-MONTH(E76)+1)/12))))-(IF((((K76)*(IF(M76="",L76,IFERROR(IF(INDEX(Variablen!$I:$AT, MATCH(M76, Variablen!$A:$A, 0), MATCH((YEAR(D76)+9), Variablen!$I$3:$AT$3, 0))="",L76,INDEX(Variablen!$I:$AT, MATCH(M76, Variablen!$A:$A, 0), MATCH((YEAR(D76)+9), Variablen!$I$3:$AT$3, 0))),L76)))*(IF((YEAR(D76)+9)&lt;YEAR(E76),0,IF((YEAR(D76)+9)&gt;YEAR(E76),1,(12-MONTH(E76)+1)/12))) + (Q76)*(IF((YEAR(D76)+9)&lt;YEAR(E76),0,IF((YEAR(D76)+9)&gt;YEAR(E76),1,(12-MONTH(E76)+1)/12))))-((P76)*(IF((YEAR(D76)+9)&lt;YEAR(E76),0,IF((YEAR(D76)+9)&gt;YEAR(E76),1,(12-MONTH(E76)+1)/12))) + (R76)*(IF((YEAR(D76)+9)&lt;YEAR(E76),0,IF((YEAR(D76)+9)&gt;YEAR(E76),1,(12-MONTH(E76)+1)/12))))-(IF(OR(N76="",N76&lt;=0),0,(O76/N76)*(IF(OR(N76="",N76&lt;=0),0,IF((YEAR(D76)+9)&lt;YEAR(E76),0,IF((YEAR(D76)+9)&gt;=YEAR(E76)+N76,0,IF((YEAR(D76)+9)=YEAR(E76),(12-MONTH(E76)+1)/12,1))))))))&gt;0,(((K76)*(IF(M76="",L76,IFERROR(IF(INDEX(Variablen!$I:$AT, MATCH(M76, Variablen!$A:$A, 0), MATCH((YEAR(D76)+9), Variablen!$I$3:$AT$3, 0))="",L76,INDEX(Variablen!$I:$AT, MATCH(M76, Variablen!$A:$A, 0), MATCH((YEAR(D76)+9), Variablen!$I$3:$AT$3, 0))),L76)))*(IF((YEAR(D76)+9)&lt;YEAR(E76),0,IF((YEAR(D76)+9)&gt;YEAR(E76),1,(12-MONTH(E76)+1)/12))) + (Q76)*(IF((YEAR(D76)+9)&lt;YEAR(E76),0,IF((YEAR(D76)+9)&gt;YEAR(E76),1,(12-MONTH(E76)+1)/12))))-((P76)*(IF((YEAR(D76)+9)&lt;YEAR(E76),0,IF((YEAR(D76)+9)&gt;YEAR(E76),1,(12-MONTH(E76)+1)/12))) + (R76)*(IF((YEAR(D76)+9)&lt;YEAR(E76),0,IF((YEAR(D76)+9)&gt;YEAR(E76),1,(12-MONTH(E76)+1)/12))))-(IF(OR(N76="",N76&lt;=0),0,(O76/N76)*(IF(OR(N76="",N76&lt;=0),0,IF((YEAR(D76)+9)&lt;YEAR(E76),0,IF((YEAR(D76)+9)&gt;=YEAR(E76)+N76,0,IF((YEAR(D76)+9)=YEAR(E76),(12-MONTH(E76)+1)/12,1))))))))*TaxRate,0))-IF(9=0,O76,0))</f>
        <v/>
      </c>
      <c r="AC76" s="29">
        <f>IF(A76="","",((K76)*(IF(M76="",L76,IFERROR(IF(INDEX(Variablen!$I:$AT, MATCH(M76, Variablen!$A:$A, 0), MATCH((YEAR(D76)+10), Variablen!$I$3:$AT$3, 0))="",L76,INDEX(Variablen!$I:$AT, MATCH(M76, Variablen!$A:$A, 0), MATCH((YEAR(D76)+10), Variablen!$I$3:$AT$3, 0))),L76)))*(IF((YEAR(D76)+10)&lt;YEAR(E76),0,IF((YEAR(D76)+10)&gt;YEAR(E76),1,(12-MONTH(E76)+1)/12))) + (Q76)*(IF((YEAR(D76)+10)&lt;YEAR(E76),0,IF((YEAR(D76)+10)&gt;YEAR(E76),1,(12-MONTH(E76)+1)/12))))-((P76)*(IF((YEAR(D76)+10)&lt;YEAR(E76),0,IF((YEAR(D76)+10)&gt;YEAR(E76),1,(12-MONTH(E76)+1)/12))) + (R76)*(IF((YEAR(D76)+10)&lt;YEAR(E76),0,IF((YEAR(D76)+10)&gt;YEAR(E76),1,(12-MONTH(E76)+1)/12))))-(IF((((K76)*(IF(M76="",L76,IFERROR(IF(INDEX(Variablen!$I:$AT, MATCH(M76, Variablen!$A:$A, 0), MATCH((YEAR(D76)+10), Variablen!$I$3:$AT$3, 0))="",L76,INDEX(Variablen!$I:$AT, MATCH(M76, Variablen!$A:$A, 0), MATCH((YEAR(D76)+10), Variablen!$I$3:$AT$3, 0))),L76)))*(IF((YEAR(D76)+10)&lt;YEAR(E76),0,IF((YEAR(D76)+10)&gt;YEAR(E76),1,(12-MONTH(E76)+1)/12))) + (Q76)*(IF((YEAR(D76)+10)&lt;YEAR(E76),0,IF((YEAR(D76)+10)&gt;YEAR(E76),1,(12-MONTH(E76)+1)/12))))-((P76)*(IF((YEAR(D76)+10)&lt;YEAR(E76),0,IF((YEAR(D76)+10)&gt;YEAR(E76),1,(12-MONTH(E76)+1)/12))) + (R76)*(IF((YEAR(D76)+10)&lt;YEAR(E76),0,IF((YEAR(D76)+10)&gt;YEAR(E76),1,(12-MONTH(E76)+1)/12))))-(IF(OR(N76="",N76&lt;=0),0,(O76/N76)*(IF(OR(N76="",N76&lt;=0),0,IF((YEAR(D76)+10)&lt;YEAR(E76),0,IF((YEAR(D76)+10)&gt;=YEAR(E76)+N76,0,IF((YEAR(D76)+10)=YEAR(E76),(12-MONTH(E76)+1)/12,1))))))))&gt;0,(((K76)*(IF(M76="",L76,IFERROR(IF(INDEX(Variablen!$I:$AT, MATCH(M76, Variablen!$A:$A, 0), MATCH((YEAR(D76)+10), Variablen!$I$3:$AT$3, 0))="",L76,INDEX(Variablen!$I:$AT, MATCH(M76, Variablen!$A:$A, 0), MATCH((YEAR(D76)+10), Variablen!$I$3:$AT$3, 0))),L76)))*(IF((YEAR(D76)+10)&lt;YEAR(E76),0,IF((YEAR(D76)+10)&gt;YEAR(E76),1,(12-MONTH(E76)+1)/12))) + (Q76)*(IF((YEAR(D76)+10)&lt;YEAR(E76),0,IF((YEAR(D76)+10)&gt;YEAR(E76),1,(12-MONTH(E76)+1)/12))))-((P76)*(IF((YEAR(D76)+10)&lt;YEAR(E76),0,IF((YEAR(D76)+10)&gt;YEAR(E76),1,(12-MONTH(E76)+1)/12))) + (R76)*(IF((YEAR(D76)+10)&lt;YEAR(E76),0,IF((YEAR(D76)+10)&gt;YEAR(E76),1,(12-MONTH(E76)+1)/12))))-(IF(OR(N76="",N76&lt;=0),0,(O76/N76)*(IF(OR(N76="",N76&lt;=0),0,IF((YEAR(D76)+10)&lt;YEAR(E76),0,IF((YEAR(D76)+10)&gt;=YEAR(E76)+N76,0,IF((YEAR(D76)+10)=YEAR(E76),(12-MONTH(E76)+1)/12,1))))))))*TaxRate,0))-IF(10=0,O76,0))</f>
        <v/>
      </c>
      <c r="AD76" s="29">
        <f>IF(A76="","",((K76)*(IF(M76="",L76,IFERROR(IF(INDEX(Variablen!$I:$AT, MATCH(M76, Variablen!$A:$A, 0), MATCH((YEAR(D76)+11), Variablen!$I$3:$AT$3, 0))="",L76,INDEX(Variablen!$I:$AT, MATCH(M76, Variablen!$A:$A, 0), MATCH((YEAR(D76)+11), Variablen!$I$3:$AT$3, 0))),L76)))*(IF((YEAR(D76)+11)&lt;YEAR(E76),0,IF((YEAR(D76)+11)&gt;YEAR(E76),1,(12-MONTH(E76)+1)/12))) + (Q76)*(IF((YEAR(D76)+11)&lt;YEAR(E76),0,IF((YEAR(D76)+11)&gt;YEAR(E76),1,(12-MONTH(E76)+1)/12))))-((P76)*(IF((YEAR(D76)+11)&lt;YEAR(E76),0,IF((YEAR(D76)+11)&gt;YEAR(E76),1,(12-MONTH(E76)+1)/12))) + (R76)*(IF((YEAR(D76)+11)&lt;YEAR(E76),0,IF((YEAR(D76)+11)&gt;YEAR(E76),1,(12-MONTH(E76)+1)/12))))-(IF((((K76)*(IF(M76="",L76,IFERROR(IF(INDEX(Variablen!$I:$AT, MATCH(M76, Variablen!$A:$A, 0), MATCH((YEAR(D76)+11), Variablen!$I$3:$AT$3, 0))="",L76,INDEX(Variablen!$I:$AT, MATCH(M76, Variablen!$A:$A, 0), MATCH((YEAR(D76)+11), Variablen!$I$3:$AT$3, 0))),L76)))*(IF((YEAR(D76)+11)&lt;YEAR(E76),0,IF((YEAR(D76)+11)&gt;YEAR(E76),1,(12-MONTH(E76)+1)/12))) + (Q76)*(IF((YEAR(D76)+11)&lt;YEAR(E76),0,IF((YEAR(D76)+11)&gt;YEAR(E76),1,(12-MONTH(E76)+1)/12))))-((P76)*(IF((YEAR(D76)+11)&lt;YEAR(E76),0,IF((YEAR(D76)+11)&gt;YEAR(E76),1,(12-MONTH(E76)+1)/12))) + (R76)*(IF((YEAR(D76)+11)&lt;YEAR(E76),0,IF((YEAR(D76)+11)&gt;YEAR(E76),1,(12-MONTH(E76)+1)/12))))-(IF(OR(N76="",N76&lt;=0),0,(O76/N76)*(IF(OR(N76="",N76&lt;=0),0,IF((YEAR(D76)+11)&lt;YEAR(E76),0,IF((YEAR(D76)+11)&gt;=YEAR(E76)+N76,0,IF((YEAR(D76)+11)=YEAR(E76),(12-MONTH(E76)+1)/12,1))))))))&gt;0,(((K76)*(IF(M76="",L76,IFERROR(IF(INDEX(Variablen!$I:$AT, MATCH(M76, Variablen!$A:$A, 0), MATCH((YEAR(D76)+11), Variablen!$I$3:$AT$3, 0))="",L76,INDEX(Variablen!$I:$AT, MATCH(M76, Variablen!$A:$A, 0), MATCH((YEAR(D76)+11), Variablen!$I$3:$AT$3, 0))),L76)))*(IF((YEAR(D76)+11)&lt;YEAR(E76),0,IF((YEAR(D76)+11)&gt;YEAR(E76),1,(12-MONTH(E76)+1)/12))) + (Q76)*(IF((YEAR(D76)+11)&lt;YEAR(E76),0,IF((YEAR(D76)+11)&gt;YEAR(E76),1,(12-MONTH(E76)+1)/12))))-((P76)*(IF((YEAR(D76)+11)&lt;YEAR(E76),0,IF((YEAR(D76)+11)&gt;YEAR(E76),1,(12-MONTH(E76)+1)/12))) + (R76)*(IF((YEAR(D76)+11)&lt;YEAR(E76),0,IF((YEAR(D76)+11)&gt;YEAR(E76),1,(12-MONTH(E76)+1)/12))))-(IF(OR(N76="",N76&lt;=0),0,(O76/N76)*(IF(OR(N76="",N76&lt;=0),0,IF((YEAR(D76)+11)&lt;YEAR(E76),0,IF((YEAR(D76)+11)&gt;=YEAR(E76)+N76,0,IF((YEAR(D76)+11)=YEAR(E76),(12-MONTH(E76)+1)/12,1))))))))*TaxRate,0))-IF(11=0,O76,0))</f>
        <v/>
      </c>
      <c r="AE76" s="29">
        <f>IF(A76="","",((K76)*(IF(M76="",L76,IFERROR(IF(INDEX(Variablen!$I:$AT, MATCH(M76, Variablen!$A:$A, 0), MATCH((YEAR(D76)+12), Variablen!$I$3:$AT$3, 0))="",L76,INDEX(Variablen!$I:$AT, MATCH(M76, Variablen!$A:$A, 0), MATCH((YEAR(D76)+12), Variablen!$I$3:$AT$3, 0))),L76)))*(IF((YEAR(D76)+12)&lt;YEAR(E76),0,IF((YEAR(D76)+12)&gt;YEAR(E76),1,(12-MONTH(E76)+1)/12))) + (Q76)*(IF((YEAR(D76)+12)&lt;YEAR(E76),0,IF((YEAR(D76)+12)&gt;YEAR(E76),1,(12-MONTH(E76)+1)/12))))-((P76)*(IF((YEAR(D76)+12)&lt;YEAR(E76),0,IF((YEAR(D76)+12)&gt;YEAR(E76),1,(12-MONTH(E76)+1)/12))) + (R76)*(IF((YEAR(D76)+12)&lt;YEAR(E76),0,IF((YEAR(D76)+12)&gt;YEAR(E76),1,(12-MONTH(E76)+1)/12))))-(IF((((K76)*(IF(M76="",L76,IFERROR(IF(INDEX(Variablen!$I:$AT, MATCH(M76, Variablen!$A:$A, 0), MATCH((YEAR(D76)+12), Variablen!$I$3:$AT$3, 0))="",L76,INDEX(Variablen!$I:$AT, MATCH(M76, Variablen!$A:$A, 0), MATCH((YEAR(D76)+12), Variablen!$I$3:$AT$3, 0))),L76)))*(IF((YEAR(D76)+12)&lt;YEAR(E76),0,IF((YEAR(D76)+12)&gt;YEAR(E76),1,(12-MONTH(E76)+1)/12))) + (Q76)*(IF((YEAR(D76)+12)&lt;YEAR(E76),0,IF((YEAR(D76)+12)&gt;YEAR(E76),1,(12-MONTH(E76)+1)/12))))-((P76)*(IF((YEAR(D76)+12)&lt;YEAR(E76),0,IF((YEAR(D76)+12)&gt;YEAR(E76),1,(12-MONTH(E76)+1)/12))) + (R76)*(IF((YEAR(D76)+12)&lt;YEAR(E76),0,IF((YEAR(D76)+12)&gt;YEAR(E76),1,(12-MONTH(E76)+1)/12))))-(IF(OR(N76="",N76&lt;=0),0,(O76/N76)*(IF(OR(N76="",N76&lt;=0),0,IF((YEAR(D76)+12)&lt;YEAR(E76),0,IF((YEAR(D76)+12)&gt;=YEAR(E76)+N76,0,IF((YEAR(D76)+12)=YEAR(E76),(12-MONTH(E76)+1)/12,1))))))))&gt;0,(((K76)*(IF(M76="",L76,IFERROR(IF(INDEX(Variablen!$I:$AT, MATCH(M76, Variablen!$A:$A, 0), MATCH((YEAR(D76)+12), Variablen!$I$3:$AT$3, 0))="",L76,INDEX(Variablen!$I:$AT, MATCH(M76, Variablen!$A:$A, 0), MATCH((YEAR(D76)+12), Variablen!$I$3:$AT$3, 0))),L76)))*(IF((YEAR(D76)+12)&lt;YEAR(E76),0,IF((YEAR(D76)+12)&gt;YEAR(E76),1,(12-MONTH(E76)+1)/12))) + (Q76)*(IF((YEAR(D76)+12)&lt;YEAR(E76),0,IF((YEAR(D76)+12)&gt;YEAR(E76),1,(12-MONTH(E76)+1)/12))))-((P76)*(IF((YEAR(D76)+12)&lt;YEAR(E76),0,IF((YEAR(D76)+12)&gt;YEAR(E76),1,(12-MONTH(E76)+1)/12))) + (R76)*(IF((YEAR(D76)+12)&lt;YEAR(E76),0,IF((YEAR(D76)+12)&gt;YEAR(E76),1,(12-MONTH(E76)+1)/12))))-(IF(OR(N76="",N76&lt;=0),0,(O76/N76)*(IF(OR(N76="",N76&lt;=0),0,IF((YEAR(D76)+12)&lt;YEAR(E76),0,IF((YEAR(D76)+12)&gt;=YEAR(E76)+N76,0,IF((YEAR(D76)+12)=YEAR(E76),(12-MONTH(E76)+1)/12,1))))))))*TaxRate,0))-IF(12=0,O76,0))</f>
        <v/>
      </c>
      <c r="AF76" s="29">
        <f>IF(A76="","",((K76)*(IF(M76="",L76,IFERROR(IF(INDEX(Variablen!$I:$AT, MATCH(M76, Variablen!$A:$A, 0), MATCH((YEAR(D76)+13), Variablen!$I$3:$AT$3, 0))="",L76,INDEX(Variablen!$I:$AT, MATCH(M76, Variablen!$A:$A, 0), MATCH((YEAR(D76)+13), Variablen!$I$3:$AT$3, 0))),L76)))*(IF((YEAR(D76)+13)&lt;YEAR(E76),0,IF((YEAR(D76)+13)&gt;YEAR(E76),1,(12-MONTH(E76)+1)/12))) + (Q76)*(IF((YEAR(D76)+13)&lt;YEAR(E76),0,IF((YEAR(D76)+13)&gt;YEAR(E76),1,(12-MONTH(E76)+1)/12))))-((P76)*(IF((YEAR(D76)+13)&lt;YEAR(E76),0,IF((YEAR(D76)+13)&gt;YEAR(E76),1,(12-MONTH(E76)+1)/12))) + (R76)*(IF((YEAR(D76)+13)&lt;YEAR(E76),0,IF((YEAR(D76)+13)&gt;YEAR(E76),1,(12-MONTH(E76)+1)/12))))-(IF((((K76)*(IF(M76="",L76,IFERROR(IF(INDEX(Variablen!$I:$AT, MATCH(M76, Variablen!$A:$A, 0), MATCH((YEAR(D76)+13), Variablen!$I$3:$AT$3, 0))="",L76,INDEX(Variablen!$I:$AT, MATCH(M76, Variablen!$A:$A, 0), MATCH((YEAR(D76)+13), Variablen!$I$3:$AT$3, 0))),L76)))*(IF((YEAR(D76)+13)&lt;YEAR(E76),0,IF((YEAR(D76)+13)&gt;YEAR(E76),1,(12-MONTH(E76)+1)/12))) + (Q76)*(IF((YEAR(D76)+13)&lt;YEAR(E76),0,IF((YEAR(D76)+13)&gt;YEAR(E76),1,(12-MONTH(E76)+1)/12))))-((P76)*(IF((YEAR(D76)+13)&lt;YEAR(E76),0,IF((YEAR(D76)+13)&gt;YEAR(E76),1,(12-MONTH(E76)+1)/12))) + (R76)*(IF((YEAR(D76)+13)&lt;YEAR(E76),0,IF((YEAR(D76)+13)&gt;YEAR(E76),1,(12-MONTH(E76)+1)/12))))-(IF(OR(N76="",N76&lt;=0),0,(O76/N76)*(IF(OR(N76="",N76&lt;=0),0,IF((YEAR(D76)+13)&lt;YEAR(E76),0,IF((YEAR(D76)+13)&gt;=YEAR(E76)+N76,0,IF((YEAR(D76)+13)=YEAR(E76),(12-MONTH(E76)+1)/12,1))))))))&gt;0,(((K76)*(IF(M76="",L76,IFERROR(IF(INDEX(Variablen!$I:$AT, MATCH(M76, Variablen!$A:$A, 0), MATCH((YEAR(D76)+13), Variablen!$I$3:$AT$3, 0))="",L76,INDEX(Variablen!$I:$AT, MATCH(M76, Variablen!$A:$A, 0), MATCH((YEAR(D76)+13), Variablen!$I$3:$AT$3, 0))),L76)))*(IF((YEAR(D76)+13)&lt;YEAR(E76),0,IF((YEAR(D76)+13)&gt;YEAR(E76),1,(12-MONTH(E76)+1)/12))) + (Q76)*(IF((YEAR(D76)+13)&lt;YEAR(E76),0,IF((YEAR(D76)+13)&gt;YEAR(E76),1,(12-MONTH(E76)+1)/12))))-((P76)*(IF((YEAR(D76)+13)&lt;YEAR(E76),0,IF((YEAR(D76)+13)&gt;YEAR(E76),1,(12-MONTH(E76)+1)/12))) + (R76)*(IF((YEAR(D76)+13)&lt;YEAR(E76),0,IF((YEAR(D76)+13)&gt;YEAR(E76),1,(12-MONTH(E76)+1)/12))))-(IF(OR(N76="",N76&lt;=0),0,(O76/N76)*(IF(OR(N76="",N76&lt;=0),0,IF((YEAR(D76)+13)&lt;YEAR(E76),0,IF((YEAR(D76)+13)&gt;=YEAR(E76)+N76,0,IF((YEAR(D76)+13)=YEAR(E76),(12-MONTH(E76)+1)/12,1))))))))*TaxRate,0))-IF(13=0,O76,0))</f>
        <v/>
      </c>
      <c r="AG76" s="29">
        <f>IF(A76="","",((K76)*(IF(M76="",L76,IFERROR(IF(INDEX(Variablen!$I:$AT, MATCH(M76, Variablen!$A:$A, 0), MATCH((YEAR(D76)+14), Variablen!$I$3:$AT$3, 0))="",L76,INDEX(Variablen!$I:$AT, MATCH(M76, Variablen!$A:$A, 0), MATCH((YEAR(D76)+14), Variablen!$I$3:$AT$3, 0))),L76)))*(IF((YEAR(D76)+14)&lt;YEAR(E76),0,IF((YEAR(D76)+14)&gt;YEAR(E76),1,(12-MONTH(E76)+1)/12))) + (Q76)*(IF((YEAR(D76)+14)&lt;YEAR(E76),0,IF((YEAR(D76)+14)&gt;YEAR(E76),1,(12-MONTH(E76)+1)/12))))-((P76)*(IF((YEAR(D76)+14)&lt;YEAR(E76),0,IF((YEAR(D76)+14)&gt;YEAR(E76),1,(12-MONTH(E76)+1)/12))) + (R76)*(IF((YEAR(D76)+14)&lt;YEAR(E76),0,IF((YEAR(D76)+14)&gt;YEAR(E76),1,(12-MONTH(E76)+1)/12))))-(IF((((K76)*(IF(M76="",L76,IFERROR(IF(INDEX(Variablen!$I:$AT, MATCH(M76, Variablen!$A:$A, 0), MATCH((YEAR(D76)+14), Variablen!$I$3:$AT$3, 0))="",L76,INDEX(Variablen!$I:$AT, MATCH(M76, Variablen!$A:$A, 0), MATCH((YEAR(D76)+14), Variablen!$I$3:$AT$3, 0))),L76)))*(IF((YEAR(D76)+14)&lt;YEAR(E76),0,IF((YEAR(D76)+14)&gt;YEAR(E76),1,(12-MONTH(E76)+1)/12))) + (Q76)*(IF((YEAR(D76)+14)&lt;YEAR(E76),0,IF((YEAR(D76)+14)&gt;YEAR(E76),1,(12-MONTH(E76)+1)/12))))-((P76)*(IF((YEAR(D76)+14)&lt;YEAR(E76),0,IF((YEAR(D76)+14)&gt;YEAR(E76),1,(12-MONTH(E76)+1)/12))) + (R76)*(IF((YEAR(D76)+14)&lt;YEAR(E76),0,IF((YEAR(D76)+14)&gt;YEAR(E76),1,(12-MONTH(E76)+1)/12))))-(IF(OR(N76="",N76&lt;=0),0,(O76/N76)*(IF(OR(N76="",N76&lt;=0),0,IF((YEAR(D76)+14)&lt;YEAR(E76),0,IF((YEAR(D76)+14)&gt;=YEAR(E76)+N76,0,IF((YEAR(D76)+14)=YEAR(E76),(12-MONTH(E76)+1)/12,1))))))))&gt;0,(((K76)*(IF(M76="",L76,IFERROR(IF(INDEX(Variablen!$I:$AT, MATCH(M76, Variablen!$A:$A, 0), MATCH((YEAR(D76)+14), Variablen!$I$3:$AT$3, 0))="",L76,INDEX(Variablen!$I:$AT, MATCH(M76, Variablen!$A:$A, 0), MATCH((YEAR(D76)+14), Variablen!$I$3:$AT$3, 0))),L76)))*(IF((YEAR(D76)+14)&lt;YEAR(E76),0,IF((YEAR(D76)+14)&gt;YEAR(E76),1,(12-MONTH(E76)+1)/12))) + (Q76)*(IF((YEAR(D76)+14)&lt;YEAR(E76),0,IF((YEAR(D76)+14)&gt;YEAR(E76),1,(12-MONTH(E76)+1)/12))))-((P76)*(IF((YEAR(D76)+14)&lt;YEAR(E76),0,IF((YEAR(D76)+14)&gt;YEAR(E76),1,(12-MONTH(E76)+1)/12))) + (R76)*(IF((YEAR(D76)+14)&lt;YEAR(E76),0,IF((YEAR(D76)+14)&gt;YEAR(E76),1,(12-MONTH(E76)+1)/12))))-(IF(OR(N76="",N76&lt;=0),0,(O76/N76)*(IF(OR(N76="",N76&lt;=0),0,IF((YEAR(D76)+14)&lt;YEAR(E76),0,IF((YEAR(D76)+14)&gt;=YEAR(E76)+N76,0,IF((YEAR(D76)+14)=YEAR(E76),(12-MONTH(E76)+1)/12,1))))))))*TaxRate,0))-IF(14=0,O76,0))</f>
        <v/>
      </c>
      <c r="AH76" s="29">
        <f>IF(A76="","",((K76)*(IF(M76="",L76,IFERROR(IF(INDEX(Variablen!$I:$AT, MATCH(M76, Variablen!$A:$A, 0), MATCH((YEAR(D76)+15), Variablen!$I$3:$AT$3, 0))="",L76,INDEX(Variablen!$I:$AT, MATCH(M76, Variablen!$A:$A, 0), MATCH((YEAR(D76)+15), Variablen!$I$3:$AT$3, 0))),L76)))*(IF((YEAR(D76)+15)&lt;YEAR(E76),0,IF((YEAR(D76)+15)&gt;YEAR(E76),1,(12-MONTH(E76)+1)/12))) + (Q76)*(IF((YEAR(D76)+15)&lt;YEAR(E76),0,IF((YEAR(D76)+15)&gt;YEAR(E76),1,(12-MONTH(E76)+1)/12))))-((P76)*(IF((YEAR(D76)+15)&lt;YEAR(E76),0,IF((YEAR(D76)+15)&gt;YEAR(E76),1,(12-MONTH(E76)+1)/12))) + (R76)*(IF((YEAR(D76)+15)&lt;YEAR(E76),0,IF((YEAR(D76)+15)&gt;YEAR(E76),1,(12-MONTH(E76)+1)/12))))-(IF((((K76)*(IF(M76="",L76,IFERROR(IF(INDEX(Variablen!$I:$AT, MATCH(M76, Variablen!$A:$A, 0), MATCH((YEAR(D76)+15), Variablen!$I$3:$AT$3, 0))="",L76,INDEX(Variablen!$I:$AT, MATCH(M76, Variablen!$A:$A, 0), MATCH((YEAR(D76)+15), Variablen!$I$3:$AT$3, 0))),L76)))*(IF((YEAR(D76)+15)&lt;YEAR(E76),0,IF((YEAR(D76)+15)&gt;YEAR(E76),1,(12-MONTH(E76)+1)/12))) + (Q76)*(IF((YEAR(D76)+15)&lt;YEAR(E76),0,IF((YEAR(D76)+15)&gt;YEAR(E76),1,(12-MONTH(E76)+1)/12))))-((P76)*(IF((YEAR(D76)+15)&lt;YEAR(E76),0,IF((YEAR(D76)+15)&gt;YEAR(E76),1,(12-MONTH(E76)+1)/12))) + (R76)*(IF((YEAR(D76)+15)&lt;YEAR(E76),0,IF((YEAR(D76)+15)&gt;YEAR(E76),1,(12-MONTH(E76)+1)/12))))-(IF(OR(N76="",N76&lt;=0),0,(O76/N76)*(IF(OR(N76="",N76&lt;=0),0,IF((YEAR(D76)+15)&lt;YEAR(E76),0,IF((YEAR(D76)+15)&gt;=YEAR(E76)+N76,0,IF((YEAR(D76)+15)=YEAR(E76),(12-MONTH(E76)+1)/12,1))))))))&gt;0,(((K76)*(IF(M76="",L76,IFERROR(IF(INDEX(Variablen!$I:$AT, MATCH(M76, Variablen!$A:$A, 0), MATCH((YEAR(D76)+15), Variablen!$I$3:$AT$3, 0))="",L76,INDEX(Variablen!$I:$AT, MATCH(M76, Variablen!$A:$A, 0), MATCH((YEAR(D76)+15), Variablen!$I$3:$AT$3, 0))),L76)))*(IF((YEAR(D76)+15)&lt;YEAR(E76),0,IF((YEAR(D76)+15)&gt;YEAR(E76),1,(12-MONTH(E76)+1)/12))) + (Q76)*(IF((YEAR(D76)+15)&lt;YEAR(E76),0,IF((YEAR(D76)+15)&gt;YEAR(E76),1,(12-MONTH(E76)+1)/12))))-((P76)*(IF((YEAR(D76)+15)&lt;YEAR(E76),0,IF((YEAR(D76)+15)&gt;YEAR(E76),1,(12-MONTH(E76)+1)/12))) + (R76)*(IF((YEAR(D76)+15)&lt;YEAR(E76),0,IF((YEAR(D76)+15)&gt;YEAR(E76),1,(12-MONTH(E76)+1)/12))))-(IF(OR(N76="",N76&lt;=0),0,(O76/N76)*(IF(OR(N76="",N76&lt;=0),0,IF((YEAR(D76)+15)&lt;YEAR(E76),0,IF((YEAR(D76)+15)&gt;=YEAR(E76)+N76,0,IF((YEAR(D76)+15)=YEAR(E76),(12-MONTH(E76)+1)/12,1))))))))*TaxRate,0))-IF(15=0,O76,0))</f>
        <v/>
      </c>
      <c r="AI76" s="29">
        <f>IF(A76="","",((K76)*(IF(M76="",L76,IFERROR(IF(INDEX(Variablen!$I:$AT, MATCH(M76, Variablen!$A:$A, 0), MATCH((YEAR(D76)+16), Variablen!$I$3:$AT$3, 0))="",L76,INDEX(Variablen!$I:$AT, MATCH(M76, Variablen!$A:$A, 0), MATCH((YEAR(D76)+16), Variablen!$I$3:$AT$3, 0))),L76)))*(IF((YEAR(D76)+16)&lt;YEAR(E76),0,IF((YEAR(D76)+16)&gt;YEAR(E76),1,(12-MONTH(E76)+1)/12))) + (Q76)*(IF((YEAR(D76)+16)&lt;YEAR(E76),0,IF((YEAR(D76)+16)&gt;YEAR(E76),1,(12-MONTH(E76)+1)/12))))-((P76)*(IF((YEAR(D76)+16)&lt;YEAR(E76),0,IF((YEAR(D76)+16)&gt;YEAR(E76),1,(12-MONTH(E76)+1)/12))) + (R76)*(IF((YEAR(D76)+16)&lt;YEAR(E76),0,IF((YEAR(D76)+16)&gt;YEAR(E76),1,(12-MONTH(E76)+1)/12))))-(IF((((K76)*(IF(M76="",L76,IFERROR(IF(INDEX(Variablen!$I:$AT, MATCH(M76, Variablen!$A:$A, 0), MATCH((YEAR(D76)+16), Variablen!$I$3:$AT$3, 0))="",L76,INDEX(Variablen!$I:$AT, MATCH(M76, Variablen!$A:$A, 0), MATCH((YEAR(D76)+16), Variablen!$I$3:$AT$3, 0))),L76)))*(IF((YEAR(D76)+16)&lt;YEAR(E76),0,IF((YEAR(D76)+16)&gt;YEAR(E76),1,(12-MONTH(E76)+1)/12))) + (Q76)*(IF((YEAR(D76)+16)&lt;YEAR(E76),0,IF((YEAR(D76)+16)&gt;YEAR(E76),1,(12-MONTH(E76)+1)/12))))-((P76)*(IF((YEAR(D76)+16)&lt;YEAR(E76),0,IF((YEAR(D76)+16)&gt;YEAR(E76),1,(12-MONTH(E76)+1)/12))) + (R76)*(IF((YEAR(D76)+16)&lt;YEAR(E76),0,IF((YEAR(D76)+16)&gt;YEAR(E76),1,(12-MONTH(E76)+1)/12))))-(IF(OR(N76="",N76&lt;=0),0,(O76/N76)*(IF(OR(N76="",N76&lt;=0),0,IF((YEAR(D76)+16)&lt;YEAR(E76),0,IF((YEAR(D76)+16)&gt;=YEAR(E76)+N76,0,IF((YEAR(D76)+16)=YEAR(E76),(12-MONTH(E76)+1)/12,1))))))))&gt;0,(((K76)*(IF(M76="",L76,IFERROR(IF(INDEX(Variablen!$I:$AT, MATCH(M76, Variablen!$A:$A, 0), MATCH((YEAR(D76)+16), Variablen!$I$3:$AT$3, 0))="",L76,INDEX(Variablen!$I:$AT, MATCH(M76, Variablen!$A:$A, 0), MATCH((YEAR(D76)+16), Variablen!$I$3:$AT$3, 0))),L76)))*(IF((YEAR(D76)+16)&lt;YEAR(E76),0,IF((YEAR(D76)+16)&gt;YEAR(E76),1,(12-MONTH(E76)+1)/12))) + (Q76)*(IF((YEAR(D76)+16)&lt;YEAR(E76),0,IF((YEAR(D76)+16)&gt;YEAR(E76),1,(12-MONTH(E76)+1)/12))))-((P76)*(IF((YEAR(D76)+16)&lt;YEAR(E76),0,IF((YEAR(D76)+16)&gt;YEAR(E76),1,(12-MONTH(E76)+1)/12))) + (R76)*(IF((YEAR(D76)+16)&lt;YEAR(E76),0,IF((YEAR(D76)+16)&gt;YEAR(E76),1,(12-MONTH(E76)+1)/12))))-(IF(OR(N76="",N76&lt;=0),0,(O76/N76)*(IF(OR(N76="",N76&lt;=0),0,IF((YEAR(D76)+16)&lt;YEAR(E76),0,IF((YEAR(D76)+16)&gt;=YEAR(E76)+N76,0,IF((YEAR(D76)+16)=YEAR(E76),(12-MONTH(E76)+1)/12,1))))))))*TaxRate,0))-IF(16=0,O76,0))</f>
        <v/>
      </c>
      <c r="AJ76" s="29">
        <f>IF(A76="","",((K76)*(IF(M76="",L76,IFERROR(IF(INDEX(Variablen!$I:$AT, MATCH(M76, Variablen!$A:$A, 0), MATCH((YEAR(D76)+17), Variablen!$I$3:$AT$3, 0))="",L76,INDEX(Variablen!$I:$AT, MATCH(M76, Variablen!$A:$A, 0), MATCH((YEAR(D76)+17), Variablen!$I$3:$AT$3, 0))),L76)))*(IF((YEAR(D76)+17)&lt;YEAR(E76),0,IF((YEAR(D76)+17)&gt;YEAR(E76),1,(12-MONTH(E76)+1)/12))) + (Q76)*(IF((YEAR(D76)+17)&lt;YEAR(E76),0,IF((YEAR(D76)+17)&gt;YEAR(E76),1,(12-MONTH(E76)+1)/12))))-((P76)*(IF((YEAR(D76)+17)&lt;YEAR(E76),0,IF((YEAR(D76)+17)&gt;YEAR(E76),1,(12-MONTH(E76)+1)/12))) + (R76)*(IF((YEAR(D76)+17)&lt;YEAR(E76),0,IF((YEAR(D76)+17)&gt;YEAR(E76),1,(12-MONTH(E76)+1)/12))))-(IF((((K76)*(IF(M76="",L76,IFERROR(IF(INDEX(Variablen!$I:$AT, MATCH(M76, Variablen!$A:$A, 0), MATCH((YEAR(D76)+17), Variablen!$I$3:$AT$3, 0))="",L76,INDEX(Variablen!$I:$AT, MATCH(M76, Variablen!$A:$A, 0), MATCH((YEAR(D76)+17), Variablen!$I$3:$AT$3, 0))),L76)))*(IF((YEAR(D76)+17)&lt;YEAR(E76),0,IF((YEAR(D76)+17)&gt;YEAR(E76),1,(12-MONTH(E76)+1)/12))) + (Q76)*(IF((YEAR(D76)+17)&lt;YEAR(E76),0,IF((YEAR(D76)+17)&gt;YEAR(E76),1,(12-MONTH(E76)+1)/12))))-((P76)*(IF((YEAR(D76)+17)&lt;YEAR(E76),0,IF((YEAR(D76)+17)&gt;YEAR(E76),1,(12-MONTH(E76)+1)/12))) + (R76)*(IF((YEAR(D76)+17)&lt;YEAR(E76),0,IF((YEAR(D76)+17)&gt;YEAR(E76),1,(12-MONTH(E76)+1)/12))))-(IF(OR(N76="",N76&lt;=0),0,(O76/N76)*(IF(OR(N76="",N76&lt;=0),0,IF((YEAR(D76)+17)&lt;YEAR(E76),0,IF((YEAR(D76)+17)&gt;=YEAR(E76)+N76,0,IF((YEAR(D76)+17)=YEAR(E76),(12-MONTH(E76)+1)/12,1))))))))&gt;0,(((K76)*(IF(M76="",L76,IFERROR(IF(INDEX(Variablen!$I:$AT, MATCH(M76, Variablen!$A:$A, 0), MATCH((YEAR(D76)+17), Variablen!$I$3:$AT$3, 0))="",L76,INDEX(Variablen!$I:$AT, MATCH(M76, Variablen!$A:$A, 0), MATCH((YEAR(D76)+17), Variablen!$I$3:$AT$3, 0))),L76)))*(IF((YEAR(D76)+17)&lt;YEAR(E76),0,IF((YEAR(D76)+17)&gt;YEAR(E76),1,(12-MONTH(E76)+1)/12))) + (Q76)*(IF((YEAR(D76)+17)&lt;YEAR(E76),0,IF((YEAR(D76)+17)&gt;YEAR(E76),1,(12-MONTH(E76)+1)/12))))-((P76)*(IF((YEAR(D76)+17)&lt;YEAR(E76),0,IF((YEAR(D76)+17)&gt;YEAR(E76),1,(12-MONTH(E76)+1)/12))) + (R76)*(IF((YEAR(D76)+17)&lt;YEAR(E76),0,IF((YEAR(D76)+17)&gt;YEAR(E76),1,(12-MONTH(E76)+1)/12))))-(IF(OR(N76="",N76&lt;=0),0,(O76/N76)*(IF(OR(N76="",N76&lt;=0),0,IF((YEAR(D76)+17)&lt;YEAR(E76),0,IF((YEAR(D76)+17)&gt;=YEAR(E76)+N76,0,IF((YEAR(D76)+17)=YEAR(E76),(12-MONTH(E76)+1)/12,1))))))))*TaxRate,0))-IF(17=0,O76,0))</f>
        <v/>
      </c>
      <c r="AK76" s="29">
        <f>IF(A76="","",((K76)*(IF(M76="",L76,IFERROR(IF(INDEX(Variablen!$I:$AT, MATCH(M76, Variablen!$A:$A, 0), MATCH((YEAR(D76)+18), Variablen!$I$3:$AT$3, 0))="",L76,INDEX(Variablen!$I:$AT, MATCH(M76, Variablen!$A:$A, 0), MATCH((YEAR(D76)+18), Variablen!$I$3:$AT$3, 0))),L76)))*(IF((YEAR(D76)+18)&lt;YEAR(E76),0,IF((YEAR(D76)+18)&gt;YEAR(E76),1,(12-MONTH(E76)+1)/12))) + (Q76)*(IF((YEAR(D76)+18)&lt;YEAR(E76),0,IF((YEAR(D76)+18)&gt;YEAR(E76),1,(12-MONTH(E76)+1)/12))))-((P76)*(IF((YEAR(D76)+18)&lt;YEAR(E76),0,IF((YEAR(D76)+18)&gt;YEAR(E76),1,(12-MONTH(E76)+1)/12))) + (R76)*(IF((YEAR(D76)+18)&lt;YEAR(E76),0,IF((YEAR(D76)+18)&gt;YEAR(E76),1,(12-MONTH(E76)+1)/12))))-(IF((((K76)*(IF(M76="",L76,IFERROR(IF(INDEX(Variablen!$I:$AT, MATCH(M76, Variablen!$A:$A, 0), MATCH((YEAR(D76)+18), Variablen!$I$3:$AT$3, 0))="",L76,INDEX(Variablen!$I:$AT, MATCH(M76, Variablen!$A:$A, 0), MATCH((YEAR(D76)+18), Variablen!$I$3:$AT$3, 0))),L76)))*(IF((YEAR(D76)+18)&lt;YEAR(E76),0,IF((YEAR(D76)+18)&gt;YEAR(E76),1,(12-MONTH(E76)+1)/12))) + (Q76)*(IF((YEAR(D76)+18)&lt;YEAR(E76),0,IF((YEAR(D76)+18)&gt;YEAR(E76),1,(12-MONTH(E76)+1)/12))))-((P76)*(IF((YEAR(D76)+18)&lt;YEAR(E76),0,IF((YEAR(D76)+18)&gt;YEAR(E76),1,(12-MONTH(E76)+1)/12))) + (R76)*(IF((YEAR(D76)+18)&lt;YEAR(E76),0,IF((YEAR(D76)+18)&gt;YEAR(E76),1,(12-MONTH(E76)+1)/12))))-(IF(OR(N76="",N76&lt;=0),0,(O76/N76)*(IF(OR(N76="",N76&lt;=0),0,IF((YEAR(D76)+18)&lt;YEAR(E76),0,IF((YEAR(D76)+18)&gt;=YEAR(E76)+N76,0,IF((YEAR(D76)+18)=YEAR(E76),(12-MONTH(E76)+1)/12,1))))))))&gt;0,(((K76)*(IF(M76="",L76,IFERROR(IF(INDEX(Variablen!$I:$AT, MATCH(M76, Variablen!$A:$A, 0), MATCH((YEAR(D76)+18), Variablen!$I$3:$AT$3, 0))="",L76,INDEX(Variablen!$I:$AT, MATCH(M76, Variablen!$A:$A, 0), MATCH((YEAR(D76)+18), Variablen!$I$3:$AT$3, 0))),L76)))*(IF((YEAR(D76)+18)&lt;YEAR(E76),0,IF((YEAR(D76)+18)&gt;YEAR(E76),1,(12-MONTH(E76)+1)/12))) + (Q76)*(IF((YEAR(D76)+18)&lt;YEAR(E76),0,IF((YEAR(D76)+18)&gt;YEAR(E76),1,(12-MONTH(E76)+1)/12))))-((P76)*(IF((YEAR(D76)+18)&lt;YEAR(E76),0,IF((YEAR(D76)+18)&gt;YEAR(E76),1,(12-MONTH(E76)+1)/12))) + (R76)*(IF((YEAR(D76)+18)&lt;YEAR(E76),0,IF((YEAR(D76)+18)&gt;YEAR(E76),1,(12-MONTH(E76)+1)/12))))-(IF(OR(N76="",N76&lt;=0),0,(O76/N76)*(IF(OR(N76="",N76&lt;=0),0,IF((YEAR(D76)+18)&lt;YEAR(E76),0,IF((YEAR(D76)+18)&gt;=YEAR(E76)+N76,0,IF((YEAR(D76)+18)=YEAR(E76),(12-MONTH(E76)+1)/12,1))))))))*TaxRate,0))-IF(18=0,O76,0))</f>
        <v/>
      </c>
      <c r="AL76" s="29">
        <f>IF(A76="","",((K76)*(IF(M76="",L76,IFERROR(IF(INDEX(Variablen!$I:$AT, MATCH(M76, Variablen!$A:$A, 0), MATCH((YEAR(D76)+19), Variablen!$I$3:$AT$3, 0))="",L76,INDEX(Variablen!$I:$AT, MATCH(M76, Variablen!$A:$A, 0), MATCH((YEAR(D76)+19), Variablen!$I$3:$AT$3, 0))),L76)))*(IF((YEAR(D76)+19)&lt;YEAR(E76),0,IF((YEAR(D76)+19)&gt;YEAR(E76),1,(12-MONTH(E76)+1)/12))) + (Q76)*(IF((YEAR(D76)+19)&lt;YEAR(E76),0,IF((YEAR(D76)+19)&gt;YEAR(E76),1,(12-MONTH(E76)+1)/12))))-((P76)*(IF((YEAR(D76)+19)&lt;YEAR(E76),0,IF((YEAR(D76)+19)&gt;YEAR(E76),1,(12-MONTH(E76)+1)/12))) + (R76)*(IF((YEAR(D76)+19)&lt;YEAR(E76),0,IF((YEAR(D76)+19)&gt;YEAR(E76),1,(12-MONTH(E76)+1)/12))))-(IF((((K76)*(IF(M76="",L76,IFERROR(IF(INDEX(Variablen!$I:$AT, MATCH(M76, Variablen!$A:$A, 0), MATCH((YEAR(D76)+19), Variablen!$I$3:$AT$3, 0))="",L76,INDEX(Variablen!$I:$AT, MATCH(M76, Variablen!$A:$A, 0), MATCH((YEAR(D76)+19), Variablen!$I$3:$AT$3, 0))),L76)))*(IF((YEAR(D76)+19)&lt;YEAR(E76),0,IF((YEAR(D76)+19)&gt;YEAR(E76),1,(12-MONTH(E76)+1)/12))) + (Q76)*(IF((YEAR(D76)+19)&lt;YEAR(E76),0,IF((YEAR(D76)+19)&gt;YEAR(E76),1,(12-MONTH(E76)+1)/12))))-((P76)*(IF((YEAR(D76)+19)&lt;YEAR(E76),0,IF((YEAR(D76)+19)&gt;YEAR(E76),1,(12-MONTH(E76)+1)/12))) + (R76)*(IF((YEAR(D76)+19)&lt;YEAR(E76),0,IF((YEAR(D76)+19)&gt;YEAR(E76),1,(12-MONTH(E76)+1)/12))))-(IF(OR(N76="",N76&lt;=0),0,(O76/N76)*(IF(OR(N76="",N76&lt;=0),0,IF((YEAR(D76)+19)&lt;YEAR(E76),0,IF((YEAR(D76)+19)&gt;=YEAR(E76)+N76,0,IF((YEAR(D76)+19)=YEAR(E76),(12-MONTH(E76)+1)/12,1))))))))&gt;0,(((K76)*(IF(M76="",L76,IFERROR(IF(INDEX(Variablen!$I:$AT, MATCH(M76, Variablen!$A:$A, 0), MATCH((YEAR(D76)+19), Variablen!$I$3:$AT$3, 0))="",L76,INDEX(Variablen!$I:$AT, MATCH(M76, Variablen!$A:$A, 0), MATCH((YEAR(D76)+19), Variablen!$I$3:$AT$3, 0))),L76)))*(IF((YEAR(D76)+19)&lt;YEAR(E76),0,IF((YEAR(D76)+19)&gt;YEAR(E76),1,(12-MONTH(E76)+1)/12))) + (Q76)*(IF((YEAR(D76)+19)&lt;YEAR(E76),0,IF((YEAR(D76)+19)&gt;YEAR(E76),1,(12-MONTH(E76)+1)/12))))-((P76)*(IF((YEAR(D76)+19)&lt;YEAR(E76),0,IF((YEAR(D76)+19)&gt;YEAR(E76),1,(12-MONTH(E76)+1)/12))) + (R76)*(IF((YEAR(D76)+19)&lt;YEAR(E76),0,IF((YEAR(D76)+19)&gt;YEAR(E76),1,(12-MONTH(E76)+1)/12))))-(IF(OR(N76="",N76&lt;=0),0,(O76/N76)*(IF(OR(N76="",N76&lt;=0),0,IF((YEAR(D76)+19)&lt;YEAR(E76),0,IF((YEAR(D76)+19)&gt;=YEAR(E76)+N76,0,IF((YEAR(D76)+19)=YEAR(E76),(12-MONTH(E76)+1)/12,1))))))))*TaxRate,0))-IF(19=0,O76,0))</f>
        <v/>
      </c>
      <c r="AM76" s="29">
        <f>IF(A76="","",((K76)*(IF(M76="",L76,IFERROR(IF(INDEX(Variablen!$I:$AT, MATCH(M76, Variablen!$A:$A, 0), MATCH((YEAR(D76)+20), Variablen!$I$3:$AT$3, 0))="",L76,INDEX(Variablen!$I:$AT, MATCH(M76, Variablen!$A:$A, 0), MATCH((YEAR(D76)+20), Variablen!$I$3:$AT$3, 0))),L76)))*(IF((YEAR(D76)+20)&lt;YEAR(E76),0,IF((YEAR(D76)+20)&gt;YEAR(E76),1,(12-MONTH(E76)+1)/12))) + (Q76)*(IF((YEAR(D76)+20)&lt;YEAR(E76),0,IF((YEAR(D76)+20)&gt;YEAR(E76),1,(12-MONTH(E76)+1)/12))))-((P76)*(IF((YEAR(D76)+20)&lt;YEAR(E76),0,IF((YEAR(D76)+20)&gt;YEAR(E76),1,(12-MONTH(E76)+1)/12))) + (R76)*(IF((YEAR(D76)+20)&lt;YEAR(E76),0,IF((YEAR(D76)+20)&gt;YEAR(E76),1,(12-MONTH(E76)+1)/12))))-(IF((((K76)*(IF(M76="",L76,IFERROR(IF(INDEX(Variablen!$I:$AT, MATCH(M76, Variablen!$A:$A, 0), MATCH((YEAR(D76)+20), Variablen!$I$3:$AT$3, 0))="",L76,INDEX(Variablen!$I:$AT, MATCH(M76, Variablen!$A:$A, 0), MATCH((YEAR(D76)+20), Variablen!$I$3:$AT$3, 0))),L76)))*(IF((YEAR(D76)+20)&lt;YEAR(E76),0,IF((YEAR(D76)+20)&gt;YEAR(E76),1,(12-MONTH(E76)+1)/12))) + (Q76)*(IF((YEAR(D76)+20)&lt;YEAR(E76),0,IF((YEAR(D76)+20)&gt;YEAR(E76),1,(12-MONTH(E76)+1)/12))))-((P76)*(IF((YEAR(D76)+20)&lt;YEAR(E76),0,IF((YEAR(D76)+20)&gt;YEAR(E76),1,(12-MONTH(E76)+1)/12))) + (R76)*(IF((YEAR(D76)+20)&lt;YEAR(E76),0,IF((YEAR(D76)+20)&gt;YEAR(E76),1,(12-MONTH(E76)+1)/12))))-(IF(OR(N76="",N76&lt;=0),0,(O76/N76)*(IF(OR(N76="",N76&lt;=0),0,IF((YEAR(D76)+20)&lt;YEAR(E76),0,IF((YEAR(D76)+20)&gt;=YEAR(E76)+N76,0,IF((YEAR(D76)+20)=YEAR(E76),(12-MONTH(E76)+1)/12,1))))))))&gt;0,(((K76)*(IF(M76="",L76,IFERROR(IF(INDEX(Variablen!$I:$AT, MATCH(M76, Variablen!$A:$A, 0), MATCH((YEAR(D76)+20), Variablen!$I$3:$AT$3, 0))="",L76,INDEX(Variablen!$I:$AT, MATCH(M76, Variablen!$A:$A, 0), MATCH((YEAR(D76)+20), Variablen!$I$3:$AT$3, 0))),L76)))*(IF((YEAR(D76)+20)&lt;YEAR(E76),0,IF((YEAR(D76)+20)&gt;YEAR(E76),1,(12-MONTH(E76)+1)/12))) + (Q76)*(IF((YEAR(D76)+20)&lt;YEAR(E76),0,IF((YEAR(D76)+20)&gt;YEAR(E76),1,(12-MONTH(E76)+1)/12))))-((P76)*(IF((YEAR(D76)+20)&lt;YEAR(E76),0,IF((YEAR(D76)+20)&gt;YEAR(E76),1,(12-MONTH(E76)+1)/12))) + (R76)*(IF((YEAR(D76)+20)&lt;YEAR(E76),0,IF((YEAR(D76)+20)&gt;YEAR(E76),1,(12-MONTH(E76)+1)/12))))-(IF(OR(N76="",N76&lt;=0),0,(O76/N76)*(IF(OR(N76="",N76&lt;=0),0,IF((YEAR(D76)+20)&lt;YEAR(E76),0,IF((YEAR(D76)+20)&gt;=YEAR(E76)+N76,0,IF((YEAR(D76)+20)=YEAR(E76),(12-MONTH(E76)+1)/12,1))))))))*TaxRate,0))-IF(20=0,O76,0))</f>
        <v/>
      </c>
      <c r="AN76" s="29">
        <f>IF(A76="","",S76)</f>
        <v/>
      </c>
      <c r="AO76" s="29">
        <f>IF(A76="","",AN76+T76)</f>
        <v/>
      </c>
      <c r="AP76" s="29">
        <f>IF(A76="","",AO76+U76)</f>
        <v/>
      </c>
      <c r="AQ76" s="29">
        <f>IF(A76="","",AP76+V76)</f>
        <v/>
      </c>
      <c r="AR76" s="29">
        <f>IF(A76="","",AQ76+W76)</f>
        <v/>
      </c>
      <c r="AS76" s="29">
        <f>IF(A76="","",AR76+X76)</f>
        <v/>
      </c>
      <c r="AT76" s="29">
        <f>IF(A76="","",AS76+Y76)</f>
        <v/>
      </c>
      <c r="AU76" s="29">
        <f>IF(A76="","",AT76+Z76)</f>
        <v/>
      </c>
      <c r="AV76" s="29">
        <f>IF(A76="","",AU76+AA76)</f>
        <v/>
      </c>
      <c r="AW76" s="29">
        <f>IF(A76="","",AV76+AB76)</f>
        <v/>
      </c>
      <c r="AX76" s="29">
        <f>IF(A76="","",AW76+AC76)</f>
        <v/>
      </c>
      <c r="AY76" s="29">
        <f>IF(A76="","",AX76+AD76)</f>
        <v/>
      </c>
      <c r="AZ76" s="29">
        <f>IF(A76="","",AY76+AE76)</f>
        <v/>
      </c>
      <c r="BA76" s="29">
        <f>IF(A76="","",AZ76+AF76)</f>
        <v/>
      </c>
      <c r="BB76" s="29">
        <f>IF(A76="","",BA76+AG76)</f>
        <v/>
      </c>
      <c r="BC76" s="29">
        <f>IF(A76="","",BB76+AH76)</f>
        <v/>
      </c>
      <c r="BD76" s="29">
        <f>IF(A76="","",BC76+AI76)</f>
        <v/>
      </c>
      <c r="BE76" s="29">
        <f>IF(A76="","",BD76+AJ76)</f>
        <v/>
      </c>
      <c r="BF76" s="29">
        <f>IF(A76="","",BE76+AK76)</f>
        <v/>
      </c>
      <c r="BG76" s="29">
        <f>IF(A76="","",BF76+AL76)</f>
        <v/>
      </c>
      <c r="BH76" s="29">
        <f>IF(A76="","",BG76+AM76)</f>
        <v/>
      </c>
      <c r="BI76" s="36">
        <f>IF(A76="","",(K76)*(IF((YEAR(D76)+0)&lt;YEAR(E76),0,IF((YEAR(D76)+0)&gt;YEAR(E76),1,(12-MONTH(E76)+1)/12)))*(1/(1+DiscountRate)^0))</f>
        <v/>
      </c>
      <c r="BJ76" s="36">
        <f>IF(A76="","",(K76)*(IF((YEAR(D76)+1)&lt;YEAR(E76),0,IF((YEAR(D76)+1)&gt;YEAR(E76),1,(12-MONTH(E76)+1)/12)))*(1/(1+DiscountRate)^1))</f>
        <v/>
      </c>
      <c r="BK76" s="36">
        <f>IF(A76="","",(K76)*(IF((YEAR(D76)+2)&lt;YEAR(E76),0,IF((YEAR(D76)+2)&gt;YEAR(E76),1,(12-MONTH(E76)+1)/12)))*(1/(1+DiscountRate)^2))</f>
        <v/>
      </c>
      <c r="BL76" s="36">
        <f>IF(A76="","",(K76)*(IF((YEAR(D76)+3)&lt;YEAR(E76),0,IF((YEAR(D76)+3)&gt;YEAR(E76),1,(12-MONTH(E76)+1)/12)))*(1/(1+DiscountRate)^3))</f>
        <v/>
      </c>
      <c r="BM76" s="36">
        <f>IF(A76="","",(K76)*(IF((YEAR(D76)+4)&lt;YEAR(E76),0,IF((YEAR(D76)+4)&gt;YEAR(E76),1,(12-MONTH(E76)+1)/12)))*(1/(1+DiscountRate)^4))</f>
        <v/>
      </c>
      <c r="BN76" s="36">
        <f>IF(A76="","",(K76)*(IF((YEAR(D76)+5)&lt;YEAR(E76),0,IF((YEAR(D76)+5)&gt;YEAR(E76),1,(12-MONTH(E76)+1)/12)))*(1/(1+DiscountRate)^5))</f>
        <v/>
      </c>
      <c r="BO76" s="36">
        <f>IF(A76="","",(K76)*(IF((YEAR(D76)+6)&lt;YEAR(E76),0,IF((YEAR(D76)+6)&gt;YEAR(E76),1,(12-MONTH(E76)+1)/12)))*(1/(1+DiscountRate)^6))</f>
        <v/>
      </c>
      <c r="BP76" s="36">
        <f>IF(A76="","",(K76)*(IF((YEAR(D76)+7)&lt;YEAR(E76),0,IF((YEAR(D76)+7)&gt;YEAR(E76),1,(12-MONTH(E76)+1)/12)))*(1/(1+DiscountRate)^7))</f>
        <v/>
      </c>
      <c r="BQ76" s="36">
        <f>IF(A76="","",(K76)*(IF((YEAR(D76)+8)&lt;YEAR(E76),0,IF((YEAR(D76)+8)&gt;YEAR(E76),1,(12-MONTH(E76)+1)/12)))*(1/(1+DiscountRate)^8))</f>
        <v/>
      </c>
      <c r="BR76" s="36">
        <f>IF(A76="","",(K76)*(IF((YEAR(D76)+9)&lt;YEAR(E76),0,IF((YEAR(D76)+9)&gt;YEAR(E76),1,(12-MONTH(E76)+1)/12)))*(1/(1+DiscountRate)^9))</f>
        <v/>
      </c>
      <c r="BS76" s="36">
        <f>IF(A76="","",(K76)*(IF((YEAR(D76)+10)&lt;YEAR(E76),0,IF((YEAR(D76)+10)&gt;YEAR(E76),1,(12-MONTH(E76)+1)/12)))*(1/(1+DiscountRate)^10))</f>
        <v/>
      </c>
      <c r="BT76" s="36">
        <f>IF(A76="","",(K76)*(IF((YEAR(D76)+11)&lt;YEAR(E76),0,IF((YEAR(D76)+11)&gt;YEAR(E76),1,(12-MONTH(E76)+1)/12)))*(1/(1+DiscountRate)^11))</f>
        <v/>
      </c>
      <c r="BU76" s="36">
        <f>IF(A76="","",(K76)*(IF((YEAR(D76)+12)&lt;YEAR(E76),0,IF((YEAR(D76)+12)&gt;YEAR(E76),1,(12-MONTH(E76)+1)/12)))*(1/(1+DiscountRate)^12))</f>
        <v/>
      </c>
      <c r="BV76" s="36">
        <f>IF(A76="","",(K76)*(IF((YEAR(D76)+13)&lt;YEAR(E76),0,IF((YEAR(D76)+13)&gt;YEAR(E76),1,(12-MONTH(E76)+1)/12)))*(1/(1+DiscountRate)^13))</f>
        <v/>
      </c>
      <c r="BW76" s="36">
        <f>IF(A76="","",(K76)*(IF((YEAR(D76)+14)&lt;YEAR(E76),0,IF((YEAR(D76)+14)&gt;YEAR(E76),1,(12-MONTH(E76)+1)/12)))*(1/(1+DiscountRate)^14))</f>
        <v/>
      </c>
      <c r="BX76" s="36">
        <f>IF(A76="","",(K76)*(IF((YEAR(D76)+15)&lt;YEAR(E76),0,IF((YEAR(D76)+15)&gt;YEAR(E76),1,(12-MONTH(E76)+1)/12)))*(1/(1+DiscountRate)^15))</f>
        <v/>
      </c>
      <c r="BY76" s="36">
        <f>IF(A76="","",(K76)*(IF((YEAR(D76)+16)&lt;YEAR(E76),0,IF((YEAR(D76)+16)&gt;YEAR(E76),1,(12-MONTH(E76)+1)/12)))*(1/(1+DiscountRate)^16))</f>
        <v/>
      </c>
      <c r="BZ76" s="36">
        <f>IF(A76="","",(K76)*(IF((YEAR(D76)+17)&lt;YEAR(E76),0,IF((YEAR(D76)+17)&gt;YEAR(E76),1,(12-MONTH(E76)+1)/12)))*(1/(1+DiscountRate)^17))</f>
        <v/>
      </c>
      <c r="CA76" s="36">
        <f>IF(A76="","",(K76)*(IF((YEAR(D76)+18)&lt;YEAR(E76),0,IF((YEAR(D76)+18)&gt;YEAR(E76),1,(12-MONTH(E76)+1)/12)))*(1/(1+DiscountRate)^18))</f>
        <v/>
      </c>
      <c r="CB76" s="36">
        <f>IF(A76="","",(K76)*(IF((YEAR(D76)+19)&lt;YEAR(E76),0,IF((YEAR(D76)+19)&gt;YEAR(E76),1,(12-MONTH(E76)+1)/12)))*(1/(1+DiscountRate)^19))</f>
        <v/>
      </c>
      <c r="CC76" s="36">
        <f>IF(A76="","",(K76)*(IF((YEAR(D76)+20)&lt;YEAR(E76),0,IF((YEAR(D76)+20)&gt;YEAR(E76),1,(12-MONTH(E76)+1)/12)))*(1/(1+DiscountRate)^20))</f>
        <v/>
      </c>
      <c r="CD76" s="29">
        <f>IF(A76="","",S76/(1+DiscountRate)^0+T76/(1+DiscountRate)^1+U76/(1+DiscountRate)^2+V76/(1+DiscountRate)^3+W76/(1+DiscountRate)^4+X76/(1+DiscountRate)^5+Y76/(1+DiscountRate)^6+Z76/(1+DiscountRate)^7+AA76/(1+DiscountRate)^8+AB76/(1+DiscountRate)^9+AC76/(1+DiscountRate)^10+AD76/(1+DiscountRate)^11+AE76/(1+DiscountRate)^12+AF76/(1+DiscountRate)^13+AG76/(1+DiscountRate)^14+AH76/(1+DiscountRate)^15+AI76/(1+DiscountRate)^16+AJ76/(1+DiscountRate)^17+AK76/(1+DiscountRate)^18+AL76/(1+DiscountRate)^19+AM76/(1+DiscountRate)^20)</f>
        <v/>
      </c>
      <c r="CE76" s="37">
        <f>IF(A76="","",IFERROR(IRR(OFFSET(S76,0,0,1,MIN(HorizonYears,20)+1)),"n/a"))</f>
        <v/>
      </c>
      <c r="CF76" s="28">
        <f>IF(A76="","",IFERROR(MATCH(TRUE,OFFSET(AN76,0,0,1,MIN(HorizonYears,20)+1)&gt;=0,0)-1,"n/a"))</f>
        <v/>
      </c>
      <c r="CG76" s="36">
        <f>IF(A76="","",SUM(OFFSET(BI76,0,0,1,MIN(HorizonYears,20)+1)))</f>
        <v/>
      </c>
      <c r="CH76" s="36">
        <f>IF(A76="","",IFERROR(-CD76/CG76,"n/a"))</f>
        <v/>
      </c>
    </row>
    <row r="77">
      <c r="A77" s="6">
        <f>Actions!A75</f>
        <v/>
      </c>
      <c r="B77" s="6">
        <f>Actions!B75</f>
        <v/>
      </c>
      <c r="C77" s="6">
        <f>Actions!D75</f>
        <v/>
      </c>
      <c r="D77" s="35">
        <f>Actions!E75</f>
        <v/>
      </c>
      <c r="E77" s="35">
        <f>Actions!F75</f>
        <v/>
      </c>
      <c r="F77" s="6">
        <f>Actions!G75</f>
        <v/>
      </c>
      <c r="G77" s="6">
        <f>Actions!H75</f>
        <v/>
      </c>
      <c r="H77" s="29">
        <f>Actions!I75</f>
        <v/>
      </c>
      <c r="I77" s="6">
        <f>Actions!J75</f>
        <v/>
      </c>
      <c r="J77" s="16">
        <f>Actions!K75</f>
        <v/>
      </c>
      <c r="K77" s="16">
        <f>IF(A77="","",IF(I77="%",H77*J77,J77))</f>
        <v/>
      </c>
      <c r="L77" s="16">
        <f>Actions!L75</f>
        <v/>
      </c>
      <c r="M77" s="6">
        <f>Actions!M75</f>
        <v/>
      </c>
      <c r="N77" s="28">
        <f>Actions!N75</f>
        <v/>
      </c>
      <c r="O77" s="29">
        <f>Actions!T75</f>
        <v/>
      </c>
      <c r="P77" s="29">
        <f>Actions!Y75</f>
        <v/>
      </c>
      <c r="Q77" s="29">
        <f>Actions!Z75</f>
        <v/>
      </c>
      <c r="R77" s="29">
        <f>Actions!AA75</f>
        <v/>
      </c>
      <c r="S77" s="29">
        <f>IF(A77="","",((K77)*(IF(M77="",L77,IFERROR(IF(INDEX(Variablen!$I:$AT, MATCH(M77, Variablen!$A:$A, 0), MATCH((YEAR(D77)+0), Variablen!$I$3:$AT$3, 0))="",L77,INDEX(Variablen!$I:$AT, MATCH(M77, Variablen!$A:$A, 0), MATCH((YEAR(D77)+0), Variablen!$I$3:$AT$3, 0))),L77)))*(IF((YEAR(D77)+0)&lt;YEAR(E77),0,IF((YEAR(D77)+0)&gt;YEAR(E77),1,(12-MONTH(E77)+1)/12))) + (Q77)*(IF((YEAR(D77)+0)&lt;YEAR(E77),0,IF((YEAR(D77)+0)&gt;YEAR(E77),1,(12-MONTH(E77)+1)/12))))-((P77)*(IF((YEAR(D77)+0)&lt;YEAR(E77),0,IF((YEAR(D77)+0)&gt;YEAR(E77),1,(12-MONTH(E77)+1)/12))) + (R77)*(IF((YEAR(D77)+0)&lt;YEAR(E77),0,IF((YEAR(D77)+0)&gt;YEAR(E77),1,(12-MONTH(E77)+1)/12))))-(IF((((K77)*(IF(M77="",L77,IFERROR(IF(INDEX(Variablen!$I:$AT, MATCH(M77, Variablen!$A:$A, 0), MATCH((YEAR(D77)+0), Variablen!$I$3:$AT$3, 0))="",L77,INDEX(Variablen!$I:$AT, MATCH(M77, Variablen!$A:$A, 0), MATCH((YEAR(D77)+0), Variablen!$I$3:$AT$3, 0))),L77)))*(IF((YEAR(D77)+0)&lt;YEAR(E77),0,IF((YEAR(D77)+0)&gt;YEAR(E77),1,(12-MONTH(E77)+1)/12))) + (Q77)*(IF((YEAR(D77)+0)&lt;YEAR(E77),0,IF((YEAR(D77)+0)&gt;YEAR(E77),1,(12-MONTH(E77)+1)/12))))-((P77)*(IF((YEAR(D77)+0)&lt;YEAR(E77),0,IF((YEAR(D77)+0)&gt;YEAR(E77),1,(12-MONTH(E77)+1)/12))) + (R77)*(IF((YEAR(D77)+0)&lt;YEAR(E77),0,IF((YEAR(D77)+0)&gt;YEAR(E77),1,(12-MONTH(E77)+1)/12))))-(IF(OR(N77="",N77&lt;=0),0,(O77/N77)*(IF(OR(N77="",N77&lt;=0),0,IF((YEAR(D77)+0)&lt;YEAR(E77),0,IF((YEAR(D77)+0)&gt;=YEAR(E77)+N77,0,IF((YEAR(D77)+0)=YEAR(E77),(12-MONTH(E77)+1)/12,1))))))))&gt;0,(((K77)*(IF(M77="",L77,IFERROR(IF(INDEX(Variablen!$I:$AT, MATCH(M77, Variablen!$A:$A, 0), MATCH((YEAR(D77)+0), Variablen!$I$3:$AT$3, 0))="",L77,INDEX(Variablen!$I:$AT, MATCH(M77, Variablen!$A:$A, 0), MATCH((YEAR(D77)+0), Variablen!$I$3:$AT$3, 0))),L77)))*(IF((YEAR(D77)+0)&lt;YEAR(E77),0,IF((YEAR(D77)+0)&gt;YEAR(E77),1,(12-MONTH(E77)+1)/12))) + (Q77)*(IF((YEAR(D77)+0)&lt;YEAR(E77),0,IF((YEAR(D77)+0)&gt;YEAR(E77),1,(12-MONTH(E77)+1)/12))))-((P77)*(IF((YEAR(D77)+0)&lt;YEAR(E77),0,IF((YEAR(D77)+0)&gt;YEAR(E77),1,(12-MONTH(E77)+1)/12))) + (R77)*(IF((YEAR(D77)+0)&lt;YEAR(E77),0,IF((YEAR(D77)+0)&gt;YEAR(E77),1,(12-MONTH(E77)+1)/12))))-(IF(OR(N77="",N77&lt;=0),0,(O77/N77)*(IF(OR(N77="",N77&lt;=0),0,IF((YEAR(D77)+0)&lt;YEAR(E77),0,IF((YEAR(D77)+0)&gt;=YEAR(E77)+N77,0,IF((YEAR(D77)+0)=YEAR(E77),(12-MONTH(E77)+1)/12,1))))))))*TaxRate,0))-IF(0=0,O77,0))</f>
        <v/>
      </c>
      <c r="T77" s="29">
        <f>IF(A77="","",((K77)*(IF(M77="",L77,IFERROR(IF(INDEX(Variablen!$I:$AT, MATCH(M77, Variablen!$A:$A, 0), MATCH((YEAR(D77)+1), Variablen!$I$3:$AT$3, 0))="",L77,INDEX(Variablen!$I:$AT, MATCH(M77, Variablen!$A:$A, 0), MATCH((YEAR(D77)+1), Variablen!$I$3:$AT$3, 0))),L77)))*(IF((YEAR(D77)+1)&lt;YEAR(E77),0,IF((YEAR(D77)+1)&gt;YEAR(E77),1,(12-MONTH(E77)+1)/12))) + (Q77)*(IF((YEAR(D77)+1)&lt;YEAR(E77),0,IF((YEAR(D77)+1)&gt;YEAR(E77),1,(12-MONTH(E77)+1)/12))))-((P77)*(IF((YEAR(D77)+1)&lt;YEAR(E77),0,IF((YEAR(D77)+1)&gt;YEAR(E77),1,(12-MONTH(E77)+1)/12))) + (R77)*(IF((YEAR(D77)+1)&lt;YEAR(E77),0,IF((YEAR(D77)+1)&gt;YEAR(E77),1,(12-MONTH(E77)+1)/12))))-(IF((((K77)*(IF(M77="",L77,IFERROR(IF(INDEX(Variablen!$I:$AT, MATCH(M77, Variablen!$A:$A, 0), MATCH((YEAR(D77)+1), Variablen!$I$3:$AT$3, 0))="",L77,INDEX(Variablen!$I:$AT, MATCH(M77, Variablen!$A:$A, 0), MATCH((YEAR(D77)+1), Variablen!$I$3:$AT$3, 0))),L77)))*(IF((YEAR(D77)+1)&lt;YEAR(E77),0,IF((YEAR(D77)+1)&gt;YEAR(E77),1,(12-MONTH(E77)+1)/12))) + (Q77)*(IF((YEAR(D77)+1)&lt;YEAR(E77),0,IF((YEAR(D77)+1)&gt;YEAR(E77),1,(12-MONTH(E77)+1)/12))))-((P77)*(IF((YEAR(D77)+1)&lt;YEAR(E77),0,IF((YEAR(D77)+1)&gt;YEAR(E77),1,(12-MONTH(E77)+1)/12))) + (R77)*(IF((YEAR(D77)+1)&lt;YEAR(E77),0,IF((YEAR(D77)+1)&gt;YEAR(E77),1,(12-MONTH(E77)+1)/12))))-(IF(OR(N77="",N77&lt;=0),0,(O77/N77)*(IF(OR(N77="",N77&lt;=0),0,IF((YEAR(D77)+1)&lt;YEAR(E77),0,IF((YEAR(D77)+1)&gt;=YEAR(E77)+N77,0,IF((YEAR(D77)+1)=YEAR(E77),(12-MONTH(E77)+1)/12,1))))))))&gt;0,(((K77)*(IF(M77="",L77,IFERROR(IF(INDEX(Variablen!$I:$AT, MATCH(M77, Variablen!$A:$A, 0), MATCH((YEAR(D77)+1), Variablen!$I$3:$AT$3, 0))="",L77,INDEX(Variablen!$I:$AT, MATCH(M77, Variablen!$A:$A, 0), MATCH((YEAR(D77)+1), Variablen!$I$3:$AT$3, 0))),L77)))*(IF((YEAR(D77)+1)&lt;YEAR(E77),0,IF((YEAR(D77)+1)&gt;YEAR(E77),1,(12-MONTH(E77)+1)/12))) + (Q77)*(IF((YEAR(D77)+1)&lt;YEAR(E77),0,IF((YEAR(D77)+1)&gt;YEAR(E77),1,(12-MONTH(E77)+1)/12))))-((P77)*(IF((YEAR(D77)+1)&lt;YEAR(E77),0,IF((YEAR(D77)+1)&gt;YEAR(E77),1,(12-MONTH(E77)+1)/12))) + (R77)*(IF((YEAR(D77)+1)&lt;YEAR(E77),0,IF((YEAR(D77)+1)&gt;YEAR(E77),1,(12-MONTH(E77)+1)/12))))-(IF(OR(N77="",N77&lt;=0),0,(O77/N77)*(IF(OR(N77="",N77&lt;=0),0,IF((YEAR(D77)+1)&lt;YEAR(E77),0,IF((YEAR(D77)+1)&gt;=YEAR(E77)+N77,0,IF((YEAR(D77)+1)=YEAR(E77),(12-MONTH(E77)+1)/12,1))))))))*TaxRate,0))-IF(1=0,O77,0))</f>
        <v/>
      </c>
      <c r="U77" s="29">
        <f>IF(A77="","",((K77)*(IF(M77="",L77,IFERROR(IF(INDEX(Variablen!$I:$AT, MATCH(M77, Variablen!$A:$A, 0), MATCH((YEAR(D77)+2), Variablen!$I$3:$AT$3, 0))="",L77,INDEX(Variablen!$I:$AT, MATCH(M77, Variablen!$A:$A, 0), MATCH((YEAR(D77)+2), Variablen!$I$3:$AT$3, 0))),L77)))*(IF((YEAR(D77)+2)&lt;YEAR(E77),0,IF((YEAR(D77)+2)&gt;YEAR(E77),1,(12-MONTH(E77)+1)/12))) + (Q77)*(IF((YEAR(D77)+2)&lt;YEAR(E77),0,IF((YEAR(D77)+2)&gt;YEAR(E77),1,(12-MONTH(E77)+1)/12))))-((P77)*(IF((YEAR(D77)+2)&lt;YEAR(E77),0,IF((YEAR(D77)+2)&gt;YEAR(E77),1,(12-MONTH(E77)+1)/12))) + (R77)*(IF((YEAR(D77)+2)&lt;YEAR(E77),0,IF((YEAR(D77)+2)&gt;YEAR(E77),1,(12-MONTH(E77)+1)/12))))-(IF((((K77)*(IF(M77="",L77,IFERROR(IF(INDEX(Variablen!$I:$AT, MATCH(M77, Variablen!$A:$A, 0), MATCH((YEAR(D77)+2), Variablen!$I$3:$AT$3, 0))="",L77,INDEX(Variablen!$I:$AT, MATCH(M77, Variablen!$A:$A, 0), MATCH((YEAR(D77)+2), Variablen!$I$3:$AT$3, 0))),L77)))*(IF((YEAR(D77)+2)&lt;YEAR(E77),0,IF((YEAR(D77)+2)&gt;YEAR(E77),1,(12-MONTH(E77)+1)/12))) + (Q77)*(IF((YEAR(D77)+2)&lt;YEAR(E77),0,IF((YEAR(D77)+2)&gt;YEAR(E77),1,(12-MONTH(E77)+1)/12))))-((P77)*(IF((YEAR(D77)+2)&lt;YEAR(E77),0,IF((YEAR(D77)+2)&gt;YEAR(E77),1,(12-MONTH(E77)+1)/12))) + (R77)*(IF((YEAR(D77)+2)&lt;YEAR(E77),0,IF((YEAR(D77)+2)&gt;YEAR(E77),1,(12-MONTH(E77)+1)/12))))-(IF(OR(N77="",N77&lt;=0),0,(O77/N77)*(IF(OR(N77="",N77&lt;=0),0,IF((YEAR(D77)+2)&lt;YEAR(E77),0,IF((YEAR(D77)+2)&gt;=YEAR(E77)+N77,0,IF((YEAR(D77)+2)=YEAR(E77),(12-MONTH(E77)+1)/12,1))))))))&gt;0,(((K77)*(IF(M77="",L77,IFERROR(IF(INDEX(Variablen!$I:$AT, MATCH(M77, Variablen!$A:$A, 0), MATCH((YEAR(D77)+2), Variablen!$I$3:$AT$3, 0))="",L77,INDEX(Variablen!$I:$AT, MATCH(M77, Variablen!$A:$A, 0), MATCH((YEAR(D77)+2), Variablen!$I$3:$AT$3, 0))),L77)))*(IF((YEAR(D77)+2)&lt;YEAR(E77),0,IF((YEAR(D77)+2)&gt;YEAR(E77),1,(12-MONTH(E77)+1)/12))) + (Q77)*(IF((YEAR(D77)+2)&lt;YEAR(E77),0,IF((YEAR(D77)+2)&gt;YEAR(E77),1,(12-MONTH(E77)+1)/12))))-((P77)*(IF((YEAR(D77)+2)&lt;YEAR(E77),0,IF((YEAR(D77)+2)&gt;YEAR(E77),1,(12-MONTH(E77)+1)/12))) + (R77)*(IF((YEAR(D77)+2)&lt;YEAR(E77),0,IF((YEAR(D77)+2)&gt;YEAR(E77),1,(12-MONTH(E77)+1)/12))))-(IF(OR(N77="",N77&lt;=0),0,(O77/N77)*(IF(OR(N77="",N77&lt;=0),0,IF((YEAR(D77)+2)&lt;YEAR(E77),0,IF((YEAR(D77)+2)&gt;=YEAR(E77)+N77,0,IF((YEAR(D77)+2)=YEAR(E77),(12-MONTH(E77)+1)/12,1))))))))*TaxRate,0))-IF(2=0,O77,0))</f>
        <v/>
      </c>
      <c r="V77" s="29">
        <f>IF(A77="","",((K77)*(IF(M77="",L77,IFERROR(IF(INDEX(Variablen!$I:$AT, MATCH(M77, Variablen!$A:$A, 0), MATCH((YEAR(D77)+3), Variablen!$I$3:$AT$3, 0))="",L77,INDEX(Variablen!$I:$AT, MATCH(M77, Variablen!$A:$A, 0), MATCH((YEAR(D77)+3), Variablen!$I$3:$AT$3, 0))),L77)))*(IF((YEAR(D77)+3)&lt;YEAR(E77),0,IF((YEAR(D77)+3)&gt;YEAR(E77),1,(12-MONTH(E77)+1)/12))) + (Q77)*(IF((YEAR(D77)+3)&lt;YEAR(E77),0,IF((YEAR(D77)+3)&gt;YEAR(E77),1,(12-MONTH(E77)+1)/12))))-((P77)*(IF((YEAR(D77)+3)&lt;YEAR(E77),0,IF((YEAR(D77)+3)&gt;YEAR(E77),1,(12-MONTH(E77)+1)/12))) + (R77)*(IF((YEAR(D77)+3)&lt;YEAR(E77),0,IF((YEAR(D77)+3)&gt;YEAR(E77),1,(12-MONTH(E77)+1)/12))))-(IF((((K77)*(IF(M77="",L77,IFERROR(IF(INDEX(Variablen!$I:$AT, MATCH(M77, Variablen!$A:$A, 0), MATCH((YEAR(D77)+3), Variablen!$I$3:$AT$3, 0))="",L77,INDEX(Variablen!$I:$AT, MATCH(M77, Variablen!$A:$A, 0), MATCH((YEAR(D77)+3), Variablen!$I$3:$AT$3, 0))),L77)))*(IF((YEAR(D77)+3)&lt;YEAR(E77),0,IF((YEAR(D77)+3)&gt;YEAR(E77),1,(12-MONTH(E77)+1)/12))) + (Q77)*(IF((YEAR(D77)+3)&lt;YEAR(E77),0,IF((YEAR(D77)+3)&gt;YEAR(E77),1,(12-MONTH(E77)+1)/12))))-((P77)*(IF((YEAR(D77)+3)&lt;YEAR(E77),0,IF((YEAR(D77)+3)&gt;YEAR(E77),1,(12-MONTH(E77)+1)/12))) + (R77)*(IF((YEAR(D77)+3)&lt;YEAR(E77),0,IF((YEAR(D77)+3)&gt;YEAR(E77),1,(12-MONTH(E77)+1)/12))))-(IF(OR(N77="",N77&lt;=0),0,(O77/N77)*(IF(OR(N77="",N77&lt;=0),0,IF((YEAR(D77)+3)&lt;YEAR(E77),0,IF((YEAR(D77)+3)&gt;=YEAR(E77)+N77,0,IF((YEAR(D77)+3)=YEAR(E77),(12-MONTH(E77)+1)/12,1))))))))&gt;0,(((K77)*(IF(M77="",L77,IFERROR(IF(INDEX(Variablen!$I:$AT, MATCH(M77, Variablen!$A:$A, 0), MATCH((YEAR(D77)+3), Variablen!$I$3:$AT$3, 0))="",L77,INDEX(Variablen!$I:$AT, MATCH(M77, Variablen!$A:$A, 0), MATCH((YEAR(D77)+3), Variablen!$I$3:$AT$3, 0))),L77)))*(IF((YEAR(D77)+3)&lt;YEAR(E77),0,IF((YEAR(D77)+3)&gt;YEAR(E77),1,(12-MONTH(E77)+1)/12))) + (Q77)*(IF((YEAR(D77)+3)&lt;YEAR(E77),0,IF((YEAR(D77)+3)&gt;YEAR(E77),1,(12-MONTH(E77)+1)/12))))-((P77)*(IF((YEAR(D77)+3)&lt;YEAR(E77),0,IF((YEAR(D77)+3)&gt;YEAR(E77),1,(12-MONTH(E77)+1)/12))) + (R77)*(IF((YEAR(D77)+3)&lt;YEAR(E77),0,IF((YEAR(D77)+3)&gt;YEAR(E77),1,(12-MONTH(E77)+1)/12))))-(IF(OR(N77="",N77&lt;=0),0,(O77/N77)*(IF(OR(N77="",N77&lt;=0),0,IF((YEAR(D77)+3)&lt;YEAR(E77),0,IF((YEAR(D77)+3)&gt;=YEAR(E77)+N77,0,IF((YEAR(D77)+3)=YEAR(E77),(12-MONTH(E77)+1)/12,1))))))))*TaxRate,0))-IF(3=0,O77,0))</f>
        <v/>
      </c>
      <c r="W77" s="29">
        <f>IF(A77="","",((K77)*(IF(M77="",L77,IFERROR(IF(INDEX(Variablen!$I:$AT, MATCH(M77, Variablen!$A:$A, 0), MATCH((YEAR(D77)+4), Variablen!$I$3:$AT$3, 0))="",L77,INDEX(Variablen!$I:$AT, MATCH(M77, Variablen!$A:$A, 0), MATCH((YEAR(D77)+4), Variablen!$I$3:$AT$3, 0))),L77)))*(IF((YEAR(D77)+4)&lt;YEAR(E77),0,IF((YEAR(D77)+4)&gt;YEAR(E77),1,(12-MONTH(E77)+1)/12))) + (Q77)*(IF((YEAR(D77)+4)&lt;YEAR(E77),0,IF((YEAR(D77)+4)&gt;YEAR(E77),1,(12-MONTH(E77)+1)/12))))-((P77)*(IF((YEAR(D77)+4)&lt;YEAR(E77),0,IF((YEAR(D77)+4)&gt;YEAR(E77),1,(12-MONTH(E77)+1)/12))) + (R77)*(IF((YEAR(D77)+4)&lt;YEAR(E77),0,IF((YEAR(D77)+4)&gt;YEAR(E77),1,(12-MONTH(E77)+1)/12))))-(IF((((K77)*(IF(M77="",L77,IFERROR(IF(INDEX(Variablen!$I:$AT, MATCH(M77, Variablen!$A:$A, 0), MATCH((YEAR(D77)+4), Variablen!$I$3:$AT$3, 0))="",L77,INDEX(Variablen!$I:$AT, MATCH(M77, Variablen!$A:$A, 0), MATCH((YEAR(D77)+4), Variablen!$I$3:$AT$3, 0))),L77)))*(IF((YEAR(D77)+4)&lt;YEAR(E77),0,IF((YEAR(D77)+4)&gt;YEAR(E77),1,(12-MONTH(E77)+1)/12))) + (Q77)*(IF((YEAR(D77)+4)&lt;YEAR(E77),0,IF((YEAR(D77)+4)&gt;YEAR(E77),1,(12-MONTH(E77)+1)/12))))-((P77)*(IF((YEAR(D77)+4)&lt;YEAR(E77),0,IF((YEAR(D77)+4)&gt;YEAR(E77),1,(12-MONTH(E77)+1)/12))) + (R77)*(IF((YEAR(D77)+4)&lt;YEAR(E77),0,IF((YEAR(D77)+4)&gt;YEAR(E77),1,(12-MONTH(E77)+1)/12))))-(IF(OR(N77="",N77&lt;=0),0,(O77/N77)*(IF(OR(N77="",N77&lt;=0),0,IF((YEAR(D77)+4)&lt;YEAR(E77),0,IF((YEAR(D77)+4)&gt;=YEAR(E77)+N77,0,IF((YEAR(D77)+4)=YEAR(E77),(12-MONTH(E77)+1)/12,1))))))))&gt;0,(((K77)*(IF(M77="",L77,IFERROR(IF(INDEX(Variablen!$I:$AT, MATCH(M77, Variablen!$A:$A, 0), MATCH((YEAR(D77)+4), Variablen!$I$3:$AT$3, 0))="",L77,INDEX(Variablen!$I:$AT, MATCH(M77, Variablen!$A:$A, 0), MATCH((YEAR(D77)+4), Variablen!$I$3:$AT$3, 0))),L77)))*(IF((YEAR(D77)+4)&lt;YEAR(E77),0,IF((YEAR(D77)+4)&gt;YEAR(E77),1,(12-MONTH(E77)+1)/12))) + (Q77)*(IF((YEAR(D77)+4)&lt;YEAR(E77),0,IF((YEAR(D77)+4)&gt;YEAR(E77),1,(12-MONTH(E77)+1)/12))))-((P77)*(IF((YEAR(D77)+4)&lt;YEAR(E77),0,IF((YEAR(D77)+4)&gt;YEAR(E77),1,(12-MONTH(E77)+1)/12))) + (R77)*(IF((YEAR(D77)+4)&lt;YEAR(E77),0,IF((YEAR(D77)+4)&gt;YEAR(E77),1,(12-MONTH(E77)+1)/12))))-(IF(OR(N77="",N77&lt;=0),0,(O77/N77)*(IF(OR(N77="",N77&lt;=0),0,IF((YEAR(D77)+4)&lt;YEAR(E77),0,IF((YEAR(D77)+4)&gt;=YEAR(E77)+N77,0,IF((YEAR(D77)+4)=YEAR(E77),(12-MONTH(E77)+1)/12,1))))))))*TaxRate,0))-IF(4=0,O77,0))</f>
        <v/>
      </c>
      <c r="X77" s="29">
        <f>IF(A77="","",((K77)*(IF(M77="",L77,IFERROR(IF(INDEX(Variablen!$I:$AT, MATCH(M77, Variablen!$A:$A, 0), MATCH((YEAR(D77)+5), Variablen!$I$3:$AT$3, 0))="",L77,INDEX(Variablen!$I:$AT, MATCH(M77, Variablen!$A:$A, 0), MATCH((YEAR(D77)+5), Variablen!$I$3:$AT$3, 0))),L77)))*(IF((YEAR(D77)+5)&lt;YEAR(E77),0,IF((YEAR(D77)+5)&gt;YEAR(E77),1,(12-MONTH(E77)+1)/12))) + (Q77)*(IF((YEAR(D77)+5)&lt;YEAR(E77),0,IF((YEAR(D77)+5)&gt;YEAR(E77),1,(12-MONTH(E77)+1)/12))))-((P77)*(IF((YEAR(D77)+5)&lt;YEAR(E77),0,IF((YEAR(D77)+5)&gt;YEAR(E77),1,(12-MONTH(E77)+1)/12))) + (R77)*(IF((YEAR(D77)+5)&lt;YEAR(E77),0,IF((YEAR(D77)+5)&gt;YEAR(E77),1,(12-MONTH(E77)+1)/12))))-(IF((((K77)*(IF(M77="",L77,IFERROR(IF(INDEX(Variablen!$I:$AT, MATCH(M77, Variablen!$A:$A, 0), MATCH((YEAR(D77)+5), Variablen!$I$3:$AT$3, 0))="",L77,INDEX(Variablen!$I:$AT, MATCH(M77, Variablen!$A:$A, 0), MATCH((YEAR(D77)+5), Variablen!$I$3:$AT$3, 0))),L77)))*(IF((YEAR(D77)+5)&lt;YEAR(E77),0,IF((YEAR(D77)+5)&gt;YEAR(E77),1,(12-MONTH(E77)+1)/12))) + (Q77)*(IF((YEAR(D77)+5)&lt;YEAR(E77),0,IF((YEAR(D77)+5)&gt;YEAR(E77),1,(12-MONTH(E77)+1)/12))))-((P77)*(IF((YEAR(D77)+5)&lt;YEAR(E77),0,IF((YEAR(D77)+5)&gt;YEAR(E77),1,(12-MONTH(E77)+1)/12))) + (R77)*(IF((YEAR(D77)+5)&lt;YEAR(E77),0,IF((YEAR(D77)+5)&gt;YEAR(E77),1,(12-MONTH(E77)+1)/12))))-(IF(OR(N77="",N77&lt;=0),0,(O77/N77)*(IF(OR(N77="",N77&lt;=0),0,IF((YEAR(D77)+5)&lt;YEAR(E77),0,IF((YEAR(D77)+5)&gt;=YEAR(E77)+N77,0,IF((YEAR(D77)+5)=YEAR(E77),(12-MONTH(E77)+1)/12,1))))))))&gt;0,(((K77)*(IF(M77="",L77,IFERROR(IF(INDEX(Variablen!$I:$AT, MATCH(M77, Variablen!$A:$A, 0), MATCH((YEAR(D77)+5), Variablen!$I$3:$AT$3, 0))="",L77,INDEX(Variablen!$I:$AT, MATCH(M77, Variablen!$A:$A, 0), MATCH((YEAR(D77)+5), Variablen!$I$3:$AT$3, 0))),L77)))*(IF((YEAR(D77)+5)&lt;YEAR(E77),0,IF((YEAR(D77)+5)&gt;YEAR(E77),1,(12-MONTH(E77)+1)/12))) + (Q77)*(IF((YEAR(D77)+5)&lt;YEAR(E77),0,IF((YEAR(D77)+5)&gt;YEAR(E77),1,(12-MONTH(E77)+1)/12))))-((P77)*(IF((YEAR(D77)+5)&lt;YEAR(E77),0,IF((YEAR(D77)+5)&gt;YEAR(E77),1,(12-MONTH(E77)+1)/12))) + (R77)*(IF((YEAR(D77)+5)&lt;YEAR(E77),0,IF((YEAR(D77)+5)&gt;YEAR(E77),1,(12-MONTH(E77)+1)/12))))-(IF(OR(N77="",N77&lt;=0),0,(O77/N77)*(IF(OR(N77="",N77&lt;=0),0,IF((YEAR(D77)+5)&lt;YEAR(E77),0,IF((YEAR(D77)+5)&gt;=YEAR(E77)+N77,0,IF((YEAR(D77)+5)=YEAR(E77),(12-MONTH(E77)+1)/12,1))))))))*TaxRate,0))-IF(5=0,O77,0))</f>
        <v/>
      </c>
      <c r="Y77" s="29">
        <f>IF(A77="","",((K77)*(IF(M77="",L77,IFERROR(IF(INDEX(Variablen!$I:$AT, MATCH(M77, Variablen!$A:$A, 0), MATCH((YEAR(D77)+6), Variablen!$I$3:$AT$3, 0))="",L77,INDEX(Variablen!$I:$AT, MATCH(M77, Variablen!$A:$A, 0), MATCH((YEAR(D77)+6), Variablen!$I$3:$AT$3, 0))),L77)))*(IF((YEAR(D77)+6)&lt;YEAR(E77),0,IF((YEAR(D77)+6)&gt;YEAR(E77),1,(12-MONTH(E77)+1)/12))) + (Q77)*(IF((YEAR(D77)+6)&lt;YEAR(E77),0,IF((YEAR(D77)+6)&gt;YEAR(E77),1,(12-MONTH(E77)+1)/12))))-((P77)*(IF((YEAR(D77)+6)&lt;YEAR(E77),0,IF((YEAR(D77)+6)&gt;YEAR(E77),1,(12-MONTH(E77)+1)/12))) + (R77)*(IF((YEAR(D77)+6)&lt;YEAR(E77),0,IF((YEAR(D77)+6)&gt;YEAR(E77),1,(12-MONTH(E77)+1)/12))))-(IF((((K77)*(IF(M77="",L77,IFERROR(IF(INDEX(Variablen!$I:$AT, MATCH(M77, Variablen!$A:$A, 0), MATCH((YEAR(D77)+6), Variablen!$I$3:$AT$3, 0))="",L77,INDEX(Variablen!$I:$AT, MATCH(M77, Variablen!$A:$A, 0), MATCH((YEAR(D77)+6), Variablen!$I$3:$AT$3, 0))),L77)))*(IF((YEAR(D77)+6)&lt;YEAR(E77),0,IF((YEAR(D77)+6)&gt;YEAR(E77),1,(12-MONTH(E77)+1)/12))) + (Q77)*(IF((YEAR(D77)+6)&lt;YEAR(E77),0,IF((YEAR(D77)+6)&gt;YEAR(E77),1,(12-MONTH(E77)+1)/12))))-((P77)*(IF((YEAR(D77)+6)&lt;YEAR(E77),0,IF((YEAR(D77)+6)&gt;YEAR(E77),1,(12-MONTH(E77)+1)/12))) + (R77)*(IF((YEAR(D77)+6)&lt;YEAR(E77),0,IF((YEAR(D77)+6)&gt;YEAR(E77),1,(12-MONTH(E77)+1)/12))))-(IF(OR(N77="",N77&lt;=0),0,(O77/N77)*(IF(OR(N77="",N77&lt;=0),0,IF((YEAR(D77)+6)&lt;YEAR(E77),0,IF((YEAR(D77)+6)&gt;=YEAR(E77)+N77,0,IF((YEAR(D77)+6)=YEAR(E77),(12-MONTH(E77)+1)/12,1))))))))&gt;0,(((K77)*(IF(M77="",L77,IFERROR(IF(INDEX(Variablen!$I:$AT, MATCH(M77, Variablen!$A:$A, 0), MATCH((YEAR(D77)+6), Variablen!$I$3:$AT$3, 0))="",L77,INDEX(Variablen!$I:$AT, MATCH(M77, Variablen!$A:$A, 0), MATCH((YEAR(D77)+6), Variablen!$I$3:$AT$3, 0))),L77)))*(IF((YEAR(D77)+6)&lt;YEAR(E77),0,IF((YEAR(D77)+6)&gt;YEAR(E77),1,(12-MONTH(E77)+1)/12))) + (Q77)*(IF((YEAR(D77)+6)&lt;YEAR(E77),0,IF((YEAR(D77)+6)&gt;YEAR(E77),1,(12-MONTH(E77)+1)/12))))-((P77)*(IF((YEAR(D77)+6)&lt;YEAR(E77),0,IF((YEAR(D77)+6)&gt;YEAR(E77),1,(12-MONTH(E77)+1)/12))) + (R77)*(IF((YEAR(D77)+6)&lt;YEAR(E77),0,IF((YEAR(D77)+6)&gt;YEAR(E77),1,(12-MONTH(E77)+1)/12))))-(IF(OR(N77="",N77&lt;=0),0,(O77/N77)*(IF(OR(N77="",N77&lt;=0),0,IF((YEAR(D77)+6)&lt;YEAR(E77),0,IF((YEAR(D77)+6)&gt;=YEAR(E77)+N77,0,IF((YEAR(D77)+6)=YEAR(E77),(12-MONTH(E77)+1)/12,1))))))))*TaxRate,0))-IF(6=0,O77,0))</f>
        <v/>
      </c>
      <c r="Z77" s="29">
        <f>IF(A77="","",((K77)*(IF(M77="",L77,IFERROR(IF(INDEX(Variablen!$I:$AT, MATCH(M77, Variablen!$A:$A, 0), MATCH((YEAR(D77)+7), Variablen!$I$3:$AT$3, 0))="",L77,INDEX(Variablen!$I:$AT, MATCH(M77, Variablen!$A:$A, 0), MATCH((YEAR(D77)+7), Variablen!$I$3:$AT$3, 0))),L77)))*(IF((YEAR(D77)+7)&lt;YEAR(E77),0,IF((YEAR(D77)+7)&gt;YEAR(E77),1,(12-MONTH(E77)+1)/12))) + (Q77)*(IF((YEAR(D77)+7)&lt;YEAR(E77),0,IF((YEAR(D77)+7)&gt;YEAR(E77),1,(12-MONTH(E77)+1)/12))))-((P77)*(IF((YEAR(D77)+7)&lt;YEAR(E77),0,IF((YEAR(D77)+7)&gt;YEAR(E77),1,(12-MONTH(E77)+1)/12))) + (R77)*(IF((YEAR(D77)+7)&lt;YEAR(E77),0,IF((YEAR(D77)+7)&gt;YEAR(E77),1,(12-MONTH(E77)+1)/12))))-(IF((((K77)*(IF(M77="",L77,IFERROR(IF(INDEX(Variablen!$I:$AT, MATCH(M77, Variablen!$A:$A, 0), MATCH((YEAR(D77)+7), Variablen!$I$3:$AT$3, 0))="",L77,INDEX(Variablen!$I:$AT, MATCH(M77, Variablen!$A:$A, 0), MATCH((YEAR(D77)+7), Variablen!$I$3:$AT$3, 0))),L77)))*(IF((YEAR(D77)+7)&lt;YEAR(E77),0,IF((YEAR(D77)+7)&gt;YEAR(E77),1,(12-MONTH(E77)+1)/12))) + (Q77)*(IF((YEAR(D77)+7)&lt;YEAR(E77),0,IF((YEAR(D77)+7)&gt;YEAR(E77),1,(12-MONTH(E77)+1)/12))))-((P77)*(IF((YEAR(D77)+7)&lt;YEAR(E77),0,IF((YEAR(D77)+7)&gt;YEAR(E77),1,(12-MONTH(E77)+1)/12))) + (R77)*(IF((YEAR(D77)+7)&lt;YEAR(E77),0,IF((YEAR(D77)+7)&gt;YEAR(E77),1,(12-MONTH(E77)+1)/12))))-(IF(OR(N77="",N77&lt;=0),0,(O77/N77)*(IF(OR(N77="",N77&lt;=0),0,IF((YEAR(D77)+7)&lt;YEAR(E77),0,IF((YEAR(D77)+7)&gt;=YEAR(E77)+N77,0,IF((YEAR(D77)+7)=YEAR(E77),(12-MONTH(E77)+1)/12,1))))))))&gt;0,(((K77)*(IF(M77="",L77,IFERROR(IF(INDEX(Variablen!$I:$AT, MATCH(M77, Variablen!$A:$A, 0), MATCH((YEAR(D77)+7), Variablen!$I$3:$AT$3, 0))="",L77,INDEX(Variablen!$I:$AT, MATCH(M77, Variablen!$A:$A, 0), MATCH((YEAR(D77)+7), Variablen!$I$3:$AT$3, 0))),L77)))*(IF((YEAR(D77)+7)&lt;YEAR(E77),0,IF((YEAR(D77)+7)&gt;YEAR(E77),1,(12-MONTH(E77)+1)/12))) + (Q77)*(IF((YEAR(D77)+7)&lt;YEAR(E77),0,IF((YEAR(D77)+7)&gt;YEAR(E77),1,(12-MONTH(E77)+1)/12))))-((P77)*(IF((YEAR(D77)+7)&lt;YEAR(E77),0,IF((YEAR(D77)+7)&gt;YEAR(E77),1,(12-MONTH(E77)+1)/12))) + (R77)*(IF((YEAR(D77)+7)&lt;YEAR(E77),0,IF((YEAR(D77)+7)&gt;YEAR(E77),1,(12-MONTH(E77)+1)/12))))-(IF(OR(N77="",N77&lt;=0),0,(O77/N77)*(IF(OR(N77="",N77&lt;=0),0,IF((YEAR(D77)+7)&lt;YEAR(E77),0,IF((YEAR(D77)+7)&gt;=YEAR(E77)+N77,0,IF((YEAR(D77)+7)=YEAR(E77),(12-MONTH(E77)+1)/12,1))))))))*TaxRate,0))-IF(7=0,O77,0))</f>
        <v/>
      </c>
      <c r="AA77" s="29">
        <f>IF(A77="","",((K77)*(IF(M77="",L77,IFERROR(IF(INDEX(Variablen!$I:$AT, MATCH(M77, Variablen!$A:$A, 0), MATCH((YEAR(D77)+8), Variablen!$I$3:$AT$3, 0))="",L77,INDEX(Variablen!$I:$AT, MATCH(M77, Variablen!$A:$A, 0), MATCH((YEAR(D77)+8), Variablen!$I$3:$AT$3, 0))),L77)))*(IF((YEAR(D77)+8)&lt;YEAR(E77),0,IF((YEAR(D77)+8)&gt;YEAR(E77),1,(12-MONTH(E77)+1)/12))) + (Q77)*(IF((YEAR(D77)+8)&lt;YEAR(E77),0,IF((YEAR(D77)+8)&gt;YEAR(E77),1,(12-MONTH(E77)+1)/12))))-((P77)*(IF((YEAR(D77)+8)&lt;YEAR(E77),0,IF((YEAR(D77)+8)&gt;YEAR(E77),1,(12-MONTH(E77)+1)/12))) + (R77)*(IF((YEAR(D77)+8)&lt;YEAR(E77),0,IF((YEAR(D77)+8)&gt;YEAR(E77),1,(12-MONTH(E77)+1)/12))))-(IF((((K77)*(IF(M77="",L77,IFERROR(IF(INDEX(Variablen!$I:$AT, MATCH(M77, Variablen!$A:$A, 0), MATCH((YEAR(D77)+8), Variablen!$I$3:$AT$3, 0))="",L77,INDEX(Variablen!$I:$AT, MATCH(M77, Variablen!$A:$A, 0), MATCH((YEAR(D77)+8), Variablen!$I$3:$AT$3, 0))),L77)))*(IF((YEAR(D77)+8)&lt;YEAR(E77),0,IF((YEAR(D77)+8)&gt;YEAR(E77),1,(12-MONTH(E77)+1)/12))) + (Q77)*(IF((YEAR(D77)+8)&lt;YEAR(E77),0,IF((YEAR(D77)+8)&gt;YEAR(E77),1,(12-MONTH(E77)+1)/12))))-((P77)*(IF((YEAR(D77)+8)&lt;YEAR(E77),0,IF((YEAR(D77)+8)&gt;YEAR(E77),1,(12-MONTH(E77)+1)/12))) + (R77)*(IF((YEAR(D77)+8)&lt;YEAR(E77),0,IF((YEAR(D77)+8)&gt;YEAR(E77),1,(12-MONTH(E77)+1)/12))))-(IF(OR(N77="",N77&lt;=0),0,(O77/N77)*(IF(OR(N77="",N77&lt;=0),0,IF((YEAR(D77)+8)&lt;YEAR(E77),0,IF((YEAR(D77)+8)&gt;=YEAR(E77)+N77,0,IF((YEAR(D77)+8)=YEAR(E77),(12-MONTH(E77)+1)/12,1))))))))&gt;0,(((K77)*(IF(M77="",L77,IFERROR(IF(INDEX(Variablen!$I:$AT, MATCH(M77, Variablen!$A:$A, 0), MATCH((YEAR(D77)+8), Variablen!$I$3:$AT$3, 0))="",L77,INDEX(Variablen!$I:$AT, MATCH(M77, Variablen!$A:$A, 0), MATCH((YEAR(D77)+8), Variablen!$I$3:$AT$3, 0))),L77)))*(IF((YEAR(D77)+8)&lt;YEAR(E77),0,IF((YEAR(D77)+8)&gt;YEAR(E77),1,(12-MONTH(E77)+1)/12))) + (Q77)*(IF((YEAR(D77)+8)&lt;YEAR(E77),0,IF((YEAR(D77)+8)&gt;YEAR(E77),1,(12-MONTH(E77)+1)/12))))-((P77)*(IF((YEAR(D77)+8)&lt;YEAR(E77),0,IF((YEAR(D77)+8)&gt;YEAR(E77),1,(12-MONTH(E77)+1)/12))) + (R77)*(IF((YEAR(D77)+8)&lt;YEAR(E77),0,IF((YEAR(D77)+8)&gt;YEAR(E77),1,(12-MONTH(E77)+1)/12))))-(IF(OR(N77="",N77&lt;=0),0,(O77/N77)*(IF(OR(N77="",N77&lt;=0),0,IF((YEAR(D77)+8)&lt;YEAR(E77),0,IF((YEAR(D77)+8)&gt;=YEAR(E77)+N77,0,IF((YEAR(D77)+8)=YEAR(E77),(12-MONTH(E77)+1)/12,1))))))))*TaxRate,0))-IF(8=0,O77,0))</f>
        <v/>
      </c>
      <c r="AB77" s="29">
        <f>IF(A77="","",((K77)*(IF(M77="",L77,IFERROR(IF(INDEX(Variablen!$I:$AT, MATCH(M77, Variablen!$A:$A, 0), MATCH((YEAR(D77)+9), Variablen!$I$3:$AT$3, 0))="",L77,INDEX(Variablen!$I:$AT, MATCH(M77, Variablen!$A:$A, 0), MATCH((YEAR(D77)+9), Variablen!$I$3:$AT$3, 0))),L77)))*(IF((YEAR(D77)+9)&lt;YEAR(E77),0,IF((YEAR(D77)+9)&gt;YEAR(E77),1,(12-MONTH(E77)+1)/12))) + (Q77)*(IF((YEAR(D77)+9)&lt;YEAR(E77),0,IF((YEAR(D77)+9)&gt;YEAR(E77),1,(12-MONTH(E77)+1)/12))))-((P77)*(IF((YEAR(D77)+9)&lt;YEAR(E77),0,IF((YEAR(D77)+9)&gt;YEAR(E77),1,(12-MONTH(E77)+1)/12))) + (R77)*(IF((YEAR(D77)+9)&lt;YEAR(E77),0,IF((YEAR(D77)+9)&gt;YEAR(E77),1,(12-MONTH(E77)+1)/12))))-(IF((((K77)*(IF(M77="",L77,IFERROR(IF(INDEX(Variablen!$I:$AT, MATCH(M77, Variablen!$A:$A, 0), MATCH((YEAR(D77)+9), Variablen!$I$3:$AT$3, 0))="",L77,INDEX(Variablen!$I:$AT, MATCH(M77, Variablen!$A:$A, 0), MATCH((YEAR(D77)+9), Variablen!$I$3:$AT$3, 0))),L77)))*(IF((YEAR(D77)+9)&lt;YEAR(E77),0,IF((YEAR(D77)+9)&gt;YEAR(E77),1,(12-MONTH(E77)+1)/12))) + (Q77)*(IF((YEAR(D77)+9)&lt;YEAR(E77),0,IF((YEAR(D77)+9)&gt;YEAR(E77),1,(12-MONTH(E77)+1)/12))))-((P77)*(IF((YEAR(D77)+9)&lt;YEAR(E77),0,IF((YEAR(D77)+9)&gt;YEAR(E77),1,(12-MONTH(E77)+1)/12))) + (R77)*(IF((YEAR(D77)+9)&lt;YEAR(E77),0,IF((YEAR(D77)+9)&gt;YEAR(E77),1,(12-MONTH(E77)+1)/12))))-(IF(OR(N77="",N77&lt;=0),0,(O77/N77)*(IF(OR(N77="",N77&lt;=0),0,IF((YEAR(D77)+9)&lt;YEAR(E77),0,IF((YEAR(D77)+9)&gt;=YEAR(E77)+N77,0,IF((YEAR(D77)+9)=YEAR(E77),(12-MONTH(E77)+1)/12,1))))))))&gt;0,(((K77)*(IF(M77="",L77,IFERROR(IF(INDEX(Variablen!$I:$AT, MATCH(M77, Variablen!$A:$A, 0), MATCH((YEAR(D77)+9), Variablen!$I$3:$AT$3, 0))="",L77,INDEX(Variablen!$I:$AT, MATCH(M77, Variablen!$A:$A, 0), MATCH((YEAR(D77)+9), Variablen!$I$3:$AT$3, 0))),L77)))*(IF((YEAR(D77)+9)&lt;YEAR(E77),0,IF((YEAR(D77)+9)&gt;YEAR(E77),1,(12-MONTH(E77)+1)/12))) + (Q77)*(IF((YEAR(D77)+9)&lt;YEAR(E77),0,IF((YEAR(D77)+9)&gt;YEAR(E77),1,(12-MONTH(E77)+1)/12))))-((P77)*(IF((YEAR(D77)+9)&lt;YEAR(E77),0,IF((YEAR(D77)+9)&gt;YEAR(E77),1,(12-MONTH(E77)+1)/12))) + (R77)*(IF((YEAR(D77)+9)&lt;YEAR(E77),0,IF((YEAR(D77)+9)&gt;YEAR(E77),1,(12-MONTH(E77)+1)/12))))-(IF(OR(N77="",N77&lt;=0),0,(O77/N77)*(IF(OR(N77="",N77&lt;=0),0,IF((YEAR(D77)+9)&lt;YEAR(E77),0,IF((YEAR(D77)+9)&gt;=YEAR(E77)+N77,0,IF((YEAR(D77)+9)=YEAR(E77),(12-MONTH(E77)+1)/12,1))))))))*TaxRate,0))-IF(9=0,O77,0))</f>
        <v/>
      </c>
      <c r="AC77" s="29">
        <f>IF(A77="","",((K77)*(IF(M77="",L77,IFERROR(IF(INDEX(Variablen!$I:$AT, MATCH(M77, Variablen!$A:$A, 0), MATCH((YEAR(D77)+10), Variablen!$I$3:$AT$3, 0))="",L77,INDEX(Variablen!$I:$AT, MATCH(M77, Variablen!$A:$A, 0), MATCH((YEAR(D77)+10), Variablen!$I$3:$AT$3, 0))),L77)))*(IF((YEAR(D77)+10)&lt;YEAR(E77),0,IF((YEAR(D77)+10)&gt;YEAR(E77),1,(12-MONTH(E77)+1)/12))) + (Q77)*(IF((YEAR(D77)+10)&lt;YEAR(E77),0,IF((YEAR(D77)+10)&gt;YEAR(E77),1,(12-MONTH(E77)+1)/12))))-((P77)*(IF((YEAR(D77)+10)&lt;YEAR(E77),0,IF((YEAR(D77)+10)&gt;YEAR(E77),1,(12-MONTH(E77)+1)/12))) + (R77)*(IF((YEAR(D77)+10)&lt;YEAR(E77),0,IF((YEAR(D77)+10)&gt;YEAR(E77),1,(12-MONTH(E77)+1)/12))))-(IF((((K77)*(IF(M77="",L77,IFERROR(IF(INDEX(Variablen!$I:$AT, MATCH(M77, Variablen!$A:$A, 0), MATCH((YEAR(D77)+10), Variablen!$I$3:$AT$3, 0))="",L77,INDEX(Variablen!$I:$AT, MATCH(M77, Variablen!$A:$A, 0), MATCH((YEAR(D77)+10), Variablen!$I$3:$AT$3, 0))),L77)))*(IF((YEAR(D77)+10)&lt;YEAR(E77),0,IF((YEAR(D77)+10)&gt;YEAR(E77),1,(12-MONTH(E77)+1)/12))) + (Q77)*(IF((YEAR(D77)+10)&lt;YEAR(E77),0,IF((YEAR(D77)+10)&gt;YEAR(E77),1,(12-MONTH(E77)+1)/12))))-((P77)*(IF((YEAR(D77)+10)&lt;YEAR(E77),0,IF((YEAR(D77)+10)&gt;YEAR(E77),1,(12-MONTH(E77)+1)/12))) + (R77)*(IF((YEAR(D77)+10)&lt;YEAR(E77),0,IF((YEAR(D77)+10)&gt;YEAR(E77),1,(12-MONTH(E77)+1)/12))))-(IF(OR(N77="",N77&lt;=0),0,(O77/N77)*(IF(OR(N77="",N77&lt;=0),0,IF((YEAR(D77)+10)&lt;YEAR(E77),0,IF((YEAR(D77)+10)&gt;=YEAR(E77)+N77,0,IF((YEAR(D77)+10)=YEAR(E77),(12-MONTH(E77)+1)/12,1))))))))&gt;0,(((K77)*(IF(M77="",L77,IFERROR(IF(INDEX(Variablen!$I:$AT, MATCH(M77, Variablen!$A:$A, 0), MATCH((YEAR(D77)+10), Variablen!$I$3:$AT$3, 0))="",L77,INDEX(Variablen!$I:$AT, MATCH(M77, Variablen!$A:$A, 0), MATCH((YEAR(D77)+10), Variablen!$I$3:$AT$3, 0))),L77)))*(IF((YEAR(D77)+10)&lt;YEAR(E77),0,IF((YEAR(D77)+10)&gt;YEAR(E77),1,(12-MONTH(E77)+1)/12))) + (Q77)*(IF((YEAR(D77)+10)&lt;YEAR(E77),0,IF((YEAR(D77)+10)&gt;YEAR(E77),1,(12-MONTH(E77)+1)/12))))-((P77)*(IF((YEAR(D77)+10)&lt;YEAR(E77),0,IF((YEAR(D77)+10)&gt;YEAR(E77),1,(12-MONTH(E77)+1)/12))) + (R77)*(IF((YEAR(D77)+10)&lt;YEAR(E77),0,IF((YEAR(D77)+10)&gt;YEAR(E77),1,(12-MONTH(E77)+1)/12))))-(IF(OR(N77="",N77&lt;=0),0,(O77/N77)*(IF(OR(N77="",N77&lt;=0),0,IF((YEAR(D77)+10)&lt;YEAR(E77),0,IF((YEAR(D77)+10)&gt;=YEAR(E77)+N77,0,IF((YEAR(D77)+10)=YEAR(E77),(12-MONTH(E77)+1)/12,1))))))))*TaxRate,0))-IF(10=0,O77,0))</f>
        <v/>
      </c>
      <c r="AD77" s="29">
        <f>IF(A77="","",((K77)*(IF(M77="",L77,IFERROR(IF(INDEX(Variablen!$I:$AT, MATCH(M77, Variablen!$A:$A, 0), MATCH((YEAR(D77)+11), Variablen!$I$3:$AT$3, 0))="",L77,INDEX(Variablen!$I:$AT, MATCH(M77, Variablen!$A:$A, 0), MATCH((YEAR(D77)+11), Variablen!$I$3:$AT$3, 0))),L77)))*(IF((YEAR(D77)+11)&lt;YEAR(E77),0,IF((YEAR(D77)+11)&gt;YEAR(E77),1,(12-MONTH(E77)+1)/12))) + (Q77)*(IF((YEAR(D77)+11)&lt;YEAR(E77),0,IF((YEAR(D77)+11)&gt;YEAR(E77),1,(12-MONTH(E77)+1)/12))))-((P77)*(IF((YEAR(D77)+11)&lt;YEAR(E77),0,IF((YEAR(D77)+11)&gt;YEAR(E77),1,(12-MONTH(E77)+1)/12))) + (R77)*(IF((YEAR(D77)+11)&lt;YEAR(E77),0,IF((YEAR(D77)+11)&gt;YEAR(E77),1,(12-MONTH(E77)+1)/12))))-(IF((((K77)*(IF(M77="",L77,IFERROR(IF(INDEX(Variablen!$I:$AT, MATCH(M77, Variablen!$A:$A, 0), MATCH((YEAR(D77)+11), Variablen!$I$3:$AT$3, 0))="",L77,INDEX(Variablen!$I:$AT, MATCH(M77, Variablen!$A:$A, 0), MATCH((YEAR(D77)+11), Variablen!$I$3:$AT$3, 0))),L77)))*(IF((YEAR(D77)+11)&lt;YEAR(E77),0,IF((YEAR(D77)+11)&gt;YEAR(E77),1,(12-MONTH(E77)+1)/12))) + (Q77)*(IF((YEAR(D77)+11)&lt;YEAR(E77),0,IF((YEAR(D77)+11)&gt;YEAR(E77),1,(12-MONTH(E77)+1)/12))))-((P77)*(IF((YEAR(D77)+11)&lt;YEAR(E77),0,IF((YEAR(D77)+11)&gt;YEAR(E77),1,(12-MONTH(E77)+1)/12))) + (R77)*(IF((YEAR(D77)+11)&lt;YEAR(E77),0,IF((YEAR(D77)+11)&gt;YEAR(E77),1,(12-MONTH(E77)+1)/12))))-(IF(OR(N77="",N77&lt;=0),0,(O77/N77)*(IF(OR(N77="",N77&lt;=0),0,IF((YEAR(D77)+11)&lt;YEAR(E77),0,IF((YEAR(D77)+11)&gt;=YEAR(E77)+N77,0,IF((YEAR(D77)+11)=YEAR(E77),(12-MONTH(E77)+1)/12,1))))))))&gt;0,(((K77)*(IF(M77="",L77,IFERROR(IF(INDEX(Variablen!$I:$AT, MATCH(M77, Variablen!$A:$A, 0), MATCH((YEAR(D77)+11), Variablen!$I$3:$AT$3, 0))="",L77,INDEX(Variablen!$I:$AT, MATCH(M77, Variablen!$A:$A, 0), MATCH((YEAR(D77)+11), Variablen!$I$3:$AT$3, 0))),L77)))*(IF((YEAR(D77)+11)&lt;YEAR(E77),0,IF((YEAR(D77)+11)&gt;YEAR(E77),1,(12-MONTH(E77)+1)/12))) + (Q77)*(IF((YEAR(D77)+11)&lt;YEAR(E77),0,IF((YEAR(D77)+11)&gt;YEAR(E77),1,(12-MONTH(E77)+1)/12))))-((P77)*(IF((YEAR(D77)+11)&lt;YEAR(E77),0,IF((YEAR(D77)+11)&gt;YEAR(E77),1,(12-MONTH(E77)+1)/12))) + (R77)*(IF((YEAR(D77)+11)&lt;YEAR(E77),0,IF((YEAR(D77)+11)&gt;YEAR(E77),1,(12-MONTH(E77)+1)/12))))-(IF(OR(N77="",N77&lt;=0),0,(O77/N77)*(IF(OR(N77="",N77&lt;=0),0,IF((YEAR(D77)+11)&lt;YEAR(E77),0,IF((YEAR(D77)+11)&gt;=YEAR(E77)+N77,0,IF((YEAR(D77)+11)=YEAR(E77),(12-MONTH(E77)+1)/12,1))))))))*TaxRate,0))-IF(11=0,O77,0))</f>
        <v/>
      </c>
      <c r="AE77" s="29">
        <f>IF(A77="","",((K77)*(IF(M77="",L77,IFERROR(IF(INDEX(Variablen!$I:$AT, MATCH(M77, Variablen!$A:$A, 0), MATCH((YEAR(D77)+12), Variablen!$I$3:$AT$3, 0))="",L77,INDEX(Variablen!$I:$AT, MATCH(M77, Variablen!$A:$A, 0), MATCH((YEAR(D77)+12), Variablen!$I$3:$AT$3, 0))),L77)))*(IF((YEAR(D77)+12)&lt;YEAR(E77),0,IF((YEAR(D77)+12)&gt;YEAR(E77),1,(12-MONTH(E77)+1)/12))) + (Q77)*(IF((YEAR(D77)+12)&lt;YEAR(E77),0,IF((YEAR(D77)+12)&gt;YEAR(E77),1,(12-MONTH(E77)+1)/12))))-((P77)*(IF((YEAR(D77)+12)&lt;YEAR(E77),0,IF((YEAR(D77)+12)&gt;YEAR(E77),1,(12-MONTH(E77)+1)/12))) + (R77)*(IF((YEAR(D77)+12)&lt;YEAR(E77),0,IF((YEAR(D77)+12)&gt;YEAR(E77),1,(12-MONTH(E77)+1)/12))))-(IF((((K77)*(IF(M77="",L77,IFERROR(IF(INDEX(Variablen!$I:$AT, MATCH(M77, Variablen!$A:$A, 0), MATCH((YEAR(D77)+12), Variablen!$I$3:$AT$3, 0))="",L77,INDEX(Variablen!$I:$AT, MATCH(M77, Variablen!$A:$A, 0), MATCH((YEAR(D77)+12), Variablen!$I$3:$AT$3, 0))),L77)))*(IF((YEAR(D77)+12)&lt;YEAR(E77),0,IF((YEAR(D77)+12)&gt;YEAR(E77),1,(12-MONTH(E77)+1)/12))) + (Q77)*(IF((YEAR(D77)+12)&lt;YEAR(E77),0,IF((YEAR(D77)+12)&gt;YEAR(E77),1,(12-MONTH(E77)+1)/12))))-((P77)*(IF((YEAR(D77)+12)&lt;YEAR(E77),0,IF((YEAR(D77)+12)&gt;YEAR(E77),1,(12-MONTH(E77)+1)/12))) + (R77)*(IF((YEAR(D77)+12)&lt;YEAR(E77),0,IF((YEAR(D77)+12)&gt;YEAR(E77),1,(12-MONTH(E77)+1)/12))))-(IF(OR(N77="",N77&lt;=0),0,(O77/N77)*(IF(OR(N77="",N77&lt;=0),0,IF((YEAR(D77)+12)&lt;YEAR(E77),0,IF((YEAR(D77)+12)&gt;=YEAR(E77)+N77,0,IF((YEAR(D77)+12)=YEAR(E77),(12-MONTH(E77)+1)/12,1))))))))&gt;0,(((K77)*(IF(M77="",L77,IFERROR(IF(INDEX(Variablen!$I:$AT, MATCH(M77, Variablen!$A:$A, 0), MATCH((YEAR(D77)+12), Variablen!$I$3:$AT$3, 0))="",L77,INDEX(Variablen!$I:$AT, MATCH(M77, Variablen!$A:$A, 0), MATCH((YEAR(D77)+12), Variablen!$I$3:$AT$3, 0))),L77)))*(IF((YEAR(D77)+12)&lt;YEAR(E77),0,IF((YEAR(D77)+12)&gt;YEAR(E77),1,(12-MONTH(E77)+1)/12))) + (Q77)*(IF((YEAR(D77)+12)&lt;YEAR(E77),0,IF((YEAR(D77)+12)&gt;YEAR(E77),1,(12-MONTH(E77)+1)/12))))-((P77)*(IF((YEAR(D77)+12)&lt;YEAR(E77),0,IF((YEAR(D77)+12)&gt;YEAR(E77),1,(12-MONTH(E77)+1)/12))) + (R77)*(IF((YEAR(D77)+12)&lt;YEAR(E77),0,IF((YEAR(D77)+12)&gt;YEAR(E77),1,(12-MONTH(E77)+1)/12))))-(IF(OR(N77="",N77&lt;=0),0,(O77/N77)*(IF(OR(N77="",N77&lt;=0),0,IF((YEAR(D77)+12)&lt;YEAR(E77),0,IF((YEAR(D77)+12)&gt;=YEAR(E77)+N77,0,IF((YEAR(D77)+12)=YEAR(E77),(12-MONTH(E77)+1)/12,1))))))))*TaxRate,0))-IF(12=0,O77,0))</f>
        <v/>
      </c>
      <c r="AF77" s="29">
        <f>IF(A77="","",((K77)*(IF(M77="",L77,IFERROR(IF(INDEX(Variablen!$I:$AT, MATCH(M77, Variablen!$A:$A, 0), MATCH((YEAR(D77)+13), Variablen!$I$3:$AT$3, 0))="",L77,INDEX(Variablen!$I:$AT, MATCH(M77, Variablen!$A:$A, 0), MATCH((YEAR(D77)+13), Variablen!$I$3:$AT$3, 0))),L77)))*(IF((YEAR(D77)+13)&lt;YEAR(E77),0,IF((YEAR(D77)+13)&gt;YEAR(E77),1,(12-MONTH(E77)+1)/12))) + (Q77)*(IF((YEAR(D77)+13)&lt;YEAR(E77),0,IF((YEAR(D77)+13)&gt;YEAR(E77),1,(12-MONTH(E77)+1)/12))))-((P77)*(IF((YEAR(D77)+13)&lt;YEAR(E77),0,IF((YEAR(D77)+13)&gt;YEAR(E77),1,(12-MONTH(E77)+1)/12))) + (R77)*(IF((YEAR(D77)+13)&lt;YEAR(E77),0,IF((YEAR(D77)+13)&gt;YEAR(E77),1,(12-MONTH(E77)+1)/12))))-(IF((((K77)*(IF(M77="",L77,IFERROR(IF(INDEX(Variablen!$I:$AT, MATCH(M77, Variablen!$A:$A, 0), MATCH((YEAR(D77)+13), Variablen!$I$3:$AT$3, 0))="",L77,INDEX(Variablen!$I:$AT, MATCH(M77, Variablen!$A:$A, 0), MATCH((YEAR(D77)+13), Variablen!$I$3:$AT$3, 0))),L77)))*(IF((YEAR(D77)+13)&lt;YEAR(E77),0,IF((YEAR(D77)+13)&gt;YEAR(E77),1,(12-MONTH(E77)+1)/12))) + (Q77)*(IF((YEAR(D77)+13)&lt;YEAR(E77),0,IF((YEAR(D77)+13)&gt;YEAR(E77),1,(12-MONTH(E77)+1)/12))))-((P77)*(IF((YEAR(D77)+13)&lt;YEAR(E77),0,IF((YEAR(D77)+13)&gt;YEAR(E77),1,(12-MONTH(E77)+1)/12))) + (R77)*(IF((YEAR(D77)+13)&lt;YEAR(E77),0,IF((YEAR(D77)+13)&gt;YEAR(E77),1,(12-MONTH(E77)+1)/12))))-(IF(OR(N77="",N77&lt;=0),0,(O77/N77)*(IF(OR(N77="",N77&lt;=0),0,IF((YEAR(D77)+13)&lt;YEAR(E77),0,IF((YEAR(D77)+13)&gt;=YEAR(E77)+N77,0,IF((YEAR(D77)+13)=YEAR(E77),(12-MONTH(E77)+1)/12,1))))))))&gt;0,(((K77)*(IF(M77="",L77,IFERROR(IF(INDEX(Variablen!$I:$AT, MATCH(M77, Variablen!$A:$A, 0), MATCH((YEAR(D77)+13), Variablen!$I$3:$AT$3, 0))="",L77,INDEX(Variablen!$I:$AT, MATCH(M77, Variablen!$A:$A, 0), MATCH((YEAR(D77)+13), Variablen!$I$3:$AT$3, 0))),L77)))*(IF((YEAR(D77)+13)&lt;YEAR(E77),0,IF((YEAR(D77)+13)&gt;YEAR(E77),1,(12-MONTH(E77)+1)/12))) + (Q77)*(IF((YEAR(D77)+13)&lt;YEAR(E77),0,IF((YEAR(D77)+13)&gt;YEAR(E77),1,(12-MONTH(E77)+1)/12))))-((P77)*(IF((YEAR(D77)+13)&lt;YEAR(E77),0,IF((YEAR(D77)+13)&gt;YEAR(E77),1,(12-MONTH(E77)+1)/12))) + (R77)*(IF((YEAR(D77)+13)&lt;YEAR(E77),0,IF((YEAR(D77)+13)&gt;YEAR(E77),1,(12-MONTH(E77)+1)/12))))-(IF(OR(N77="",N77&lt;=0),0,(O77/N77)*(IF(OR(N77="",N77&lt;=0),0,IF((YEAR(D77)+13)&lt;YEAR(E77),0,IF((YEAR(D77)+13)&gt;=YEAR(E77)+N77,0,IF((YEAR(D77)+13)=YEAR(E77),(12-MONTH(E77)+1)/12,1))))))))*TaxRate,0))-IF(13=0,O77,0))</f>
        <v/>
      </c>
      <c r="AG77" s="29">
        <f>IF(A77="","",((K77)*(IF(M77="",L77,IFERROR(IF(INDEX(Variablen!$I:$AT, MATCH(M77, Variablen!$A:$A, 0), MATCH((YEAR(D77)+14), Variablen!$I$3:$AT$3, 0))="",L77,INDEX(Variablen!$I:$AT, MATCH(M77, Variablen!$A:$A, 0), MATCH((YEAR(D77)+14), Variablen!$I$3:$AT$3, 0))),L77)))*(IF((YEAR(D77)+14)&lt;YEAR(E77),0,IF((YEAR(D77)+14)&gt;YEAR(E77),1,(12-MONTH(E77)+1)/12))) + (Q77)*(IF((YEAR(D77)+14)&lt;YEAR(E77),0,IF((YEAR(D77)+14)&gt;YEAR(E77),1,(12-MONTH(E77)+1)/12))))-((P77)*(IF((YEAR(D77)+14)&lt;YEAR(E77),0,IF((YEAR(D77)+14)&gt;YEAR(E77),1,(12-MONTH(E77)+1)/12))) + (R77)*(IF((YEAR(D77)+14)&lt;YEAR(E77),0,IF((YEAR(D77)+14)&gt;YEAR(E77),1,(12-MONTH(E77)+1)/12))))-(IF((((K77)*(IF(M77="",L77,IFERROR(IF(INDEX(Variablen!$I:$AT, MATCH(M77, Variablen!$A:$A, 0), MATCH((YEAR(D77)+14), Variablen!$I$3:$AT$3, 0))="",L77,INDEX(Variablen!$I:$AT, MATCH(M77, Variablen!$A:$A, 0), MATCH((YEAR(D77)+14), Variablen!$I$3:$AT$3, 0))),L77)))*(IF((YEAR(D77)+14)&lt;YEAR(E77),0,IF((YEAR(D77)+14)&gt;YEAR(E77),1,(12-MONTH(E77)+1)/12))) + (Q77)*(IF((YEAR(D77)+14)&lt;YEAR(E77),0,IF((YEAR(D77)+14)&gt;YEAR(E77),1,(12-MONTH(E77)+1)/12))))-((P77)*(IF((YEAR(D77)+14)&lt;YEAR(E77),0,IF((YEAR(D77)+14)&gt;YEAR(E77),1,(12-MONTH(E77)+1)/12))) + (R77)*(IF((YEAR(D77)+14)&lt;YEAR(E77),0,IF((YEAR(D77)+14)&gt;YEAR(E77),1,(12-MONTH(E77)+1)/12))))-(IF(OR(N77="",N77&lt;=0),0,(O77/N77)*(IF(OR(N77="",N77&lt;=0),0,IF((YEAR(D77)+14)&lt;YEAR(E77),0,IF((YEAR(D77)+14)&gt;=YEAR(E77)+N77,0,IF((YEAR(D77)+14)=YEAR(E77),(12-MONTH(E77)+1)/12,1))))))))&gt;0,(((K77)*(IF(M77="",L77,IFERROR(IF(INDEX(Variablen!$I:$AT, MATCH(M77, Variablen!$A:$A, 0), MATCH((YEAR(D77)+14), Variablen!$I$3:$AT$3, 0))="",L77,INDEX(Variablen!$I:$AT, MATCH(M77, Variablen!$A:$A, 0), MATCH((YEAR(D77)+14), Variablen!$I$3:$AT$3, 0))),L77)))*(IF((YEAR(D77)+14)&lt;YEAR(E77),0,IF((YEAR(D77)+14)&gt;YEAR(E77),1,(12-MONTH(E77)+1)/12))) + (Q77)*(IF((YEAR(D77)+14)&lt;YEAR(E77),0,IF((YEAR(D77)+14)&gt;YEAR(E77),1,(12-MONTH(E77)+1)/12))))-((P77)*(IF((YEAR(D77)+14)&lt;YEAR(E77),0,IF((YEAR(D77)+14)&gt;YEAR(E77),1,(12-MONTH(E77)+1)/12))) + (R77)*(IF((YEAR(D77)+14)&lt;YEAR(E77),0,IF((YEAR(D77)+14)&gt;YEAR(E77),1,(12-MONTH(E77)+1)/12))))-(IF(OR(N77="",N77&lt;=0),0,(O77/N77)*(IF(OR(N77="",N77&lt;=0),0,IF((YEAR(D77)+14)&lt;YEAR(E77),0,IF((YEAR(D77)+14)&gt;=YEAR(E77)+N77,0,IF((YEAR(D77)+14)=YEAR(E77),(12-MONTH(E77)+1)/12,1))))))))*TaxRate,0))-IF(14=0,O77,0))</f>
        <v/>
      </c>
      <c r="AH77" s="29">
        <f>IF(A77="","",((K77)*(IF(M77="",L77,IFERROR(IF(INDEX(Variablen!$I:$AT, MATCH(M77, Variablen!$A:$A, 0), MATCH((YEAR(D77)+15), Variablen!$I$3:$AT$3, 0))="",L77,INDEX(Variablen!$I:$AT, MATCH(M77, Variablen!$A:$A, 0), MATCH((YEAR(D77)+15), Variablen!$I$3:$AT$3, 0))),L77)))*(IF((YEAR(D77)+15)&lt;YEAR(E77),0,IF((YEAR(D77)+15)&gt;YEAR(E77),1,(12-MONTH(E77)+1)/12))) + (Q77)*(IF((YEAR(D77)+15)&lt;YEAR(E77),0,IF((YEAR(D77)+15)&gt;YEAR(E77),1,(12-MONTH(E77)+1)/12))))-((P77)*(IF((YEAR(D77)+15)&lt;YEAR(E77),0,IF((YEAR(D77)+15)&gt;YEAR(E77),1,(12-MONTH(E77)+1)/12))) + (R77)*(IF((YEAR(D77)+15)&lt;YEAR(E77),0,IF((YEAR(D77)+15)&gt;YEAR(E77),1,(12-MONTH(E77)+1)/12))))-(IF((((K77)*(IF(M77="",L77,IFERROR(IF(INDEX(Variablen!$I:$AT, MATCH(M77, Variablen!$A:$A, 0), MATCH((YEAR(D77)+15), Variablen!$I$3:$AT$3, 0))="",L77,INDEX(Variablen!$I:$AT, MATCH(M77, Variablen!$A:$A, 0), MATCH((YEAR(D77)+15), Variablen!$I$3:$AT$3, 0))),L77)))*(IF((YEAR(D77)+15)&lt;YEAR(E77),0,IF((YEAR(D77)+15)&gt;YEAR(E77),1,(12-MONTH(E77)+1)/12))) + (Q77)*(IF((YEAR(D77)+15)&lt;YEAR(E77),0,IF((YEAR(D77)+15)&gt;YEAR(E77),1,(12-MONTH(E77)+1)/12))))-((P77)*(IF((YEAR(D77)+15)&lt;YEAR(E77),0,IF((YEAR(D77)+15)&gt;YEAR(E77),1,(12-MONTH(E77)+1)/12))) + (R77)*(IF((YEAR(D77)+15)&lt;YEAR(E77),0,IF((YEAR(D77)+15)&gt;YEAR(E77),1,(12-MONTH(E77)+1)/12))))-(IF(OR(N77="",N77&lt;=0),0,(O77/N77)*(IF(OR(N77="",N77&lt;=0),0,IF((YEAR(D77)+15)&lt;YEAR(E77),0,IF((YEAR(D77)+15)&gt;=YEAR(E77)+N77,0,IF((YEAR(D77)+15)=YEAR(E77),(12-MONTH(E77)+1)/12,1))))))))&gt;0,(((K77)*(IF(M77="",L77,IFERROR(IF(INDEX(Variablen!$I:$AT, MATCH(M77, Variablen!$A:$A, 0), MATCH((YEAR(D77)+15), Variablen!$I$3:$AT$3, 0))="",L77,INDEX(Variablen!$I:$AT, MATCH(M77, Variablen!$A:$A, 0), MATCH((YEAR(D77)+15), Variablen!$I$3:$AT$3, 0))),L77)))*(IF((YEAR(D77)+15)&lt;YEAR(E77),0,IF((YEAR(D77)+15)&gt;YEAR(E77),1,(12-MONTH(E77)+1)/12))) + (Q77)*(IF((YEAR(D77)+15)&lt;YEAR(E77),0,IF((YEAR(D77)+15)&gt;YEAR(E77),1,(12-MONTH(E77)+1)/12))))-((P77)*(IF((YEAR(D77)+15)&lt;YEAR(E77),0,IF((YEAR(D77)+15)&gt;YEAR(E77),1,(12-MONTH(E77)+1)/12))) + (R77)*(IF((YEAR(D77)+15)&lt;YEAR(E77),0,IF((YEAR(D77)+15)&gt;YEAR(E77),1,(12-MONTH(E77)+1)/12))))-(IF(OR(N77="",N77&lt;=0),0,(O77/N77)*(IF(OR(N77="",N77&lt;=0),0,IF((YEAR(D77)+15)&lt;YEAR(E77),0,IF((YEAR(D77)+15)&gt;=YEAR(E77)+N77,0,IF((YEAR(D77)+15)=YEAR(E77),(12-MONTH(E77)+1)/12,1))))))))*TaxRate,0))-IF(15=0,O77,0))</f>
        <v/>
      </c>
      <c r="AI77" s="29">
        <f>IF(A77="","",((K77)*(IF(M77="",L77,IFERROR(IF(INDEX(Variablen!$I:$AT, MATCH(M77, Variablen!$A:$A, 0), MATCH((YEAR(D77)+16), Variablen!$I$3:$AT$3, 0))="",L77,INDEX(Variablen!$I:$AT, MATCH(M77, Variablen!$A:$A, 0), MATCH((YEAR(D77)+16), Variablen!$I$3:$AT$3, 0))),L77)))*(IF((YEAR(D77)+16)&lt;YEAR(E77),0,IF((YEAR(D77)+16)&gt;YEAR(E77),1,(12-MONTH(E77)+1)/12))) + (Q77)*(IF((YEAR(D77)+16)&lt;YEAR(E77),0,IF((YEAR(D77)+16)&gt;YEAR(E77),1,(12-MONTH(E77)+1)/12))))-((P77)*(IF((YEAR(D77)+16)&lt;YEAR(E77),0,IF((YEAR(D77)+16)&gt;YEAR(E77),1,(12-MONTH(E77)+1)/12))) + (R77)*(IF((YEAR(D77)+16)&lt;YEAR(E77),0,IF((YEAR(D77)+16)&gt;YEAR(E77),1,(12-MONTH(E77)+1)/12))))-(IF((((K77)*(IF(M77="",L77,IFERROR(IF(INDEX(Variablen!$I:$AT, MATCH(M77, Variablen!$A:$A, 0), MATCH((YEAR(D77)+16), Variablen!$I$3:$AT$3, 0))="",L77,INDEX(Variablen!$I:$AT, MATCH(M77, Variablen!$A:$A, 0), MATCH((YEAR(D77)+16), Variablen!$I$3:$AT$3, 0))),L77)))*(IF((YEAR(D77)+16)&lt;YEAR(E77),0,IF((YEAR(D77)+16)&gt;YEAR(E77),1,(12-MONTH(E77)+1)/12))) + (Q77)*(IF((YEAR(D77)+16)&lt;YEAR(E77),0,IF((YEAR(D77)+16)&gt;YEAR(E77),1,(12-MONTH(E77)+1)/12))))-((P77)*(IF((YEAR(D77)+16)&lt;YEAR(E77),0,IF((YEAR(D77)+16)&gt;YEAR(E77),1,(12-MONTH(E77)+1)/12))) + (R77)*(IF((YEAR(D77)+16)&lt;YEAR(E77),0,IF((YEAR(D77)+16)&gt;YEAR(E77),1,(12-MONTH(E77)+1)/12))))-(IF(OR(N77="",N77&lt;=0),0,(O77/N77)*(IF(OR(N77="",N77&lt;=0),0,IF((YEAR(D77)+16)&lt;YEAR(E77),0,IF((YEAR(D77)+16)&gt;=YEAR(E77)+N77,0,IF((YEAR(D77)+16)=YEAR(E77),(12-MONTH(E77)+1)/12,1))))))))&gt;0,(((K77)*(IF(M77="",L77,IFERROR(IF(INDEX(Variablen!$I:$AT, MATCH(M77, Variablen!$A:$A, 0), MATCH((YEAR(D77)+16), Variablen!$I$3:$AT$3, 0))="",L77,INDEX(Variablen!$I:$AT, MATCH(M77, Variablen!$A:$A, 0), MATCH((YEAR(D77)+16), Variablen!$I$3:$AT$3, 0))),L77)))*(IF((YEAR(D77)+16)&lt;YEAR(E77),0,IF((YEAR(D77)+16)&gt;YEAR(E77),1,(12-MONTH(E77)+1)/12))) + (Q77)*(IF((YEAR(D77)+16)&lt;YEAR(E77),0,IF((YEAR(D77)+16)&gt;YEAR(E77),1,(12-MONTH(E77)+1)/12))))-((P77)*(IF((YEAR(D77)+16)&lt;YEAR(E77),0,IF((YEAR(D77)+16)&gt;YEAR(E77),1,(12-MONTH(E77)+1)/12))) + (R77)*(IF((YEAR(D77)+16)&lt;YEAR(E77),0,IF((YEAR(D77)+16)&gt;YEAR(E77),1,(12-MONTH(E77)+1)/12))))-(IF(OR(N77="",N77&lt;=0),0,(O77/N77)*(IF(OR(N77="",N77&lt;=0),0,IF((YEAR(D77)+16)&lt;YEAR(E77),0,IF((YEAR(D77)+16)&gt;=YEAR(E77)+N77,0,IF((YEAR(D77)+16)=YEAR(E77),(12-MONTH(E77)+1)/12,1))))))))*TaxRate,0))-IF(16=0,O77,0))</f>
        <v/>
      </c>
      <c r="AJ77" s="29">
        <f>IF(A77="","",((K77)*(IF(M77="",L77,IFERROR(IF(INDEX(Variablen!$I:$AT, MATCH(M77, Variablen!$A:$A, 0), MATCH((YEAR(D77)+17), Variablen!$I$3:$AT$3, 0))="",L77,INDEX(Variablen!$I:$AT, MATCH(M77, Variablen!$A:$A, 0), MATCH((YEAR(D77)+17), Variablen!$I$3:$AT$3, 0))),L77)))*(IF((YEAR(D77)+17)&lt;YEAR(E77),0,IF((YEAR(D77)+17)&gt;YEAR(E77),1,(12-MONTH(E77)+1)/12))) + (Q77)*(IF((YEAR(D77)+17)&lt;YEAR(E77),0,IF((YEAR(D77)+17)&gt;YEAR(E77),1,(12-MONTH(E77)+1)/12))))-((P77)*(IF((YEAR(D77)+17)&lt;YEAR(E77),0,IF((YEAR(D77)+17)&gt;YEAR(E77),1,(12-MONTH(E77)+1)/12))) + (R77)*(IF((YEAR(D77)+17)&lt;YEAR(E77),0,IF((YEAR(D77)+17)&gt;YEAR(E77),1,(12-MONTH(E77)+1)/12))))-(IF((((K77)*(IF(M77="",L77,IFERROR(IF(INDEX(Variablen!$I:$AT, MATCH(M77, Variablen!$A:$A, 0), MATCH((YEAR(D77)+17), Variablen!$I$3:$AT$3, 0))="",L77,INDEX(Variablen!$I:$AT, MATCH(M77, Variablen!$A:$A, 0), MATCH((YEAR(D77)+17), Variablen!$I$3:$AT$3, 0))),L77)))*(IF((YEAR(D77)+17)&lt;YEAR(E77),0,IF((YEAR(D77)+17)&gt;YEAR(E77),1,(12-MONTH(E77)+1)/12))) + (Q77)*(IF((YEAR(D77)+17)&lt;YEAR(E77),0,IF((YEAR(D77)+17)&gt;YEAR(E77),1,(12-MONTH(E77)+1)/12))))-((P77)*(IF((YEAR(D77)+17)&lt;YEAR(E77),0,IF((YEAR(D77)+17)&gt;YEAR(E77),1,(12-MONTH(E77)+1)/12))) + (R77)*(IF((YEAR(D77)+17)&lt;YEAR(E77),0,IF((YEAR(D77)+17)&gt;YEAR(E77),1,(12-MONTH(E77)+1)/12))))-(IF(OR(N77="",N77&lt;=0),0,(O77/N77)*(IF(OR(N77="",N77&lt;=0),0,IF((YEAR(D77)+17)&lt;YEAR(E77),0,IF((YEAR(D77)+17)&gt;=YEAR(E77)+N77,0,IF((YEAR(D77)+17)=YEAR(E77),(12-MONTH(E77)+1)/12,1))))))))&gt;0,(((K77)*(IF(M77="",L77,IFERROR(IF(INDEX(Variablen!$I:$AT, MATCH(M77, Variablen!$A:$A, 0), MATCH((YEAR(D77)+17), Variablen!$I$3:$AT$3, 0))="",L77,INDEX(Variablen!$I:$AT, MATCH(M77, Variablen!$A:$A, 0), MATCH((YEAR(D77)+17), Variablen!$I$3:$AT$3, 0))),L77)))*(IF((YEAR(D77)+17)&lt;YEAR(E77),0,IF((YEAR(D77)+17)&gt;YEAR(E77),1,(12-MONTH(E77)+1)/12))) + (Q77)*(IF((YEAR(D77)+17)&lt;YEAR(E77),0,IF((YEAR(D77)+17)&gt;YEAR(E77),1,(12-MONTH(E77)+1)/12))))-((P77)*(IF((YEAR(D77)+17)&lt;YEAR(E77),0,IF((YEAR(D77)+17)&gt;YEAR(E77),1,(12-MONTH(E77)+1)/12))) + (R77)*(IF((YEAR(D77)+17)&lt;YEAR(E77),0,IF((YEAR(D77)+17)&gt;YEAR(E77),1,(12-MONTH(E77)+1)/12))))-(IF(OR(N77="",N77&lt;=0),0,(O77/N77)*(IF(OR(N77="",N77&lt;=0),0,IF((YEAR(D77)+17)&lt;YEAR(E77),0,IF((YEAR(D77)+17)&gt;=YEAR(E77)+N77,0,IF((YEAR(D77)+17)=YEAR(E77),(12-MONTH(E77)+1)/12,1))))))))*TaxRate,0))-IF(17=0,O77,0))</f>
        <v/>
      </c>
      <c r="AK77" s="29">
        <f>IF(A77="","",((K77)*(IF(M77="",L77,IFERROR(IF(INDEX(Variablen!$I:$AT, MATCH(M77, Variablen!$A:$A, 0), MATCH((YEAR(D77)+18), Variablen!$I$3:$AT$3, 0))="",L77,INDEX(Variablen!$I:$AT, MATCH(M77, Variablen!$A:$A, 0), MATCH((YEAR(D77)+18), Variablen!$I$3:$AT$3, 0))),L77)))*(IF((YEAR(D77)+18)&lt;YEAR(E77),0,IF((YEAR(D77)+18)&gt;YEAR(E77),1,(12-MONTH(E77)+1)/12))) + (Q77)*(IF((YEAR(D77)+18)&lt;YEAR(E77),0,IF((YEAR(D77)+18)&gt;YEAR(E77),1,(12-MONTH(E77)+1)/12))))-((P77)*(IF((YEAR(D77)+18)&lt;YEAR(E77),0,IF((YEAR(D77)+18)&gt;YEAR(E77),1,(12-MONTH(E77)+1)/12))) + (R77)*(IF((YEAR(D77)+18)&lt;YEAR(E77),0,IF((YEAR(D77)+18)&gt;YEAR(E77),1,(12-MONTH(E77)+1)/12))))-(IF((((K77)*(IF(M77="",L77,IFERROR(IF(INDEX(Variablen!$I:$AT, MATCH(M77, Variablen!$A:$A, 0), MATCH((YEAR(D77)+18), Variablen!$I$3:$AT$3, 0))="",L77,INDEX(Variablen!$I:$AT, MATCH(M77, Variablen!$A:$A, 0), MATCH((YEAR(D77)+18), Variablen!$I$3:$AT$3, 0))),L77)))*(IF((YEAR(D77)+18)&lt;YEAR(E77),0,IF((YEAR(D77)+18)&gt;YEAR(E77),1,(12-MONTH(E77)+1)/12))) + (Q77)*(IF((YEAR(D77)+18)&lt;YEAR(E77),0,IF((YEAR(D77)+18)&gt;YEAR(E77),1,(12-MONTH(E77)+1)/12))))-((P77)*(IF((YEAR(D77)+18)&lt;YEAR(E77),0,IF((YEAR(D77)+18)&gt;YEAR(E77),1,(12-MONTH(E77)+1)/12))) + (R77)*(IF((YEAR(D77)+18)&lt;YEAR(E77),0,IF((YEAR(D77)+18)&gt;YEAR(E77),1,(12-MONTH(E77)+1)/12))))-(IF(OR(N77="",N77&lt;=0),0,(O77/N77)*(IF(OR(N77="",N77&lt;=0),0,IF((YEAR(D77)+18)&lt;YEAR(E77),0,IF((YEAR(D77)+18)&gt;=YEAR(E77)+N77,0,IF((YEAR(D77)+18)=YEAR(E77),(12-MONTH(E77)+1)/12,1))))))))&gt;0,(((K77)*(IF(M77="",L77,IFERROR(IF(INDEX(Variablen!$I:$AT, MATCH(M77, Variablen!$A:$A, 0), MATCH((YEAR(D77)+18), Variablen!$I$3:$AT$3, 0))="",L77,INDEX(Variablen!$I:$AT, MATCH(M77, Variablen!$A:$A, 0), MATCH((YEAR(D77)+18), Variablen!$I$3:$AT$3, 0))),L77)))*(IF((YEAR(D77)+18)&lt;YEAR(E77),0,IF((YEAR(D77)+18)&gt;YEAR(E77),1,(12-MONTH(E77)+1)/12))) + (Q77)*(IF((YEAR(D77)+18)&lt;YEAR(E77),0,IF((YEAR(D77)+18)&gt;YEAR(E77),1,(12-MONTH(E77)+1)/12))))-((P77)*(IF((YEAR(D77)+18)&lt;YEAR(E77),0,IF((YEAR(D77)+18)&gt;YEAR(E77),1,(12-MONTH(E77)+1)/12))) + (R77)*(IF((YEAR(D77)+18)&lt;YEAR(E77),0,IF((YEAR(D77)+18)&gt;YEAR(E77),1,(12-MONTH(E77)+1)/12))))-(IF(OR(N77="",N77&lt;=0),0,(O77/N77)*(IF(OR(N77="",N77&lt;=0),0,IF((YEAR(D77)+18)&lt;YEAR(E77),0,IF((YEAR(D77)+18)&gt;=YEAR(E77)+N77,0,IF((YEAR(D77)+18)=YEAR(E77),(12-MONTH(E77)+1)/12,1))))))))*TaxRate,0))-IF(18=0,O77,0))</f>
        <v/>
      </c>
      <c r="AL77" s="29">
        <f>IF(A77="","",((K77)*(IF(M77="",L77,IFERROR(IF(INDEX(Variablen!$I:$AT, MATCH(M77, Variablen!$A:$A, 0), MATCH((YEAR(D77)+19), Variablen!$I$3:$AT$3, 0))="",L77,INDEX(Variablen!$I:$AT, MATCH(M77, Variablen!$A:$A, 0), MATCH((YEAR(D77)+19), Variablen!$I$3:$AT$3, 0))),L77)))*(IF((YEAR(D77)+19)&lt;YEAR(E77),0,IF((YEAR(D77)+19)&gt;YEAR(E77),1,(12-MONTH(E77)+1)/12))) + (Q77)*(IF((YEAR(D77)+19)&lt;YEAR(E77),0,IF((YEAR(D77)+19)&gt;YEAR(E77),1,(12-MONTH(E77)+1)/12))))-((P77)*(IF((YEAR(D77)+19)&lt;YEAR(E77),0,IF((YEAR(D77)+19)&gt;YEAR(E77),1,(12-MONTH(E77)+1)/12))) + (R77)*(IF((YEAR(D77)+19)&lt;YEAR(E77),0,IF((YEAR(D77)+19)&gt;YEAR(E77),1,(12-MONTH(E77)+1)/12))))-(IF((((K77)*(IF(M77="",L77,IFERROR(IF(INDEX(Variablen!$I:$AT, MATCH(M77, Variablen!$A:$A, 0), MATCH((YEAR(D77)+19), Variablen!$I$3:$AT$3, 0))="",L77,INDEX(Variablen!$I:$AT, MATCH(M77, Variablen!$A:$A, 0), MATCH((YEAR(D77)+19), Variablen!$I$3:$AT$3, 0))),L77)))*(IF((YEAR(D77)+19)&lt;YEAR(E77),0,IF((YEAR(D77)+19)&gt;YEAR(E77),1,(12-MONTH(E77)+1)/12))) + (Q77)*(IF((YEAR(D77)+19)&lt;YEAR(E77),0,IF((YEAR(D77)+19)&gt;YEAR(E77),1,(12-MONTH(E77)+1)/12))))-((P77)*(IF((YEAR(D77)+19)&lt;YEAR(E77),0,IF((YEAR(D77)+19)&gt;YEAR(E77),1,(12-MONTH(E77)+1)/12))) + (R77)*(IF((YEAR(D77)+19)&lt;YEAR(E77),0,IF((YEAR(D77)+19)&gt;YEAR(E77),1,(12-MONTH(E77)+1)/12))))-(IF(OR(N77="",N77&lt;=0),0,(O77/N77)*(IF(OR(N77="",N77&lt;=0),0,IF((YEAR(D77)+19)&lt;YEAR(E77),0,IF((YEAR(D77)+19)&gt;=YEAR(E77)+N77,0,IF((YEAR(D77)+19)=YEAR(E77),(12-MONTH(E77)+1)/12,1))))))))&gt;0,(((K77)*(IF(M77="",L77,IFERROR(IF(INDEX(Variablen!$I:$AT, MATCH(M77, Variablen!$A:$A, 0), MATCH((YEAR(D77)+19), Variablen!$I$3:$AT$3, 0))="",L77,INDEX(Variablen!$I:$AT, MATCH(M77, Variablen!$A:$A, 0), MATCH((YEAR(D77)+19), Variablen!$I$3:$AT$3, 0))),L77)))*(IF((YEAR(D77)+19)&lt;YEAR(E77),0,IF((YEAR(D77)+19)&gt;YEAR(E77),1,(12-MONTH(E77)+1)/12))) + (Q77)*(IF((YEAR(D77)+19)&lt;YEAR(E77),0,IF((YEAR(D77)+19)&gt;YEAR(E77),1,(12-MONTH(E77)+1)/12))))-((P77)*(IF((YEAR(D77)+19)&lt;YEAR(E77),0,IF((YEAR(D77)+19)&gt;YEAR(E77),1,(12-MONTH(E77)+1)/12))) + (R77)*(IF((YEAR(D77)+19)&lt;YEAR(E77),0,IF((YEAR(D77)+19)&gt;YEAR(E77),1,(12-MONTH(E77)+1)/12))))-(IF(OR(N77="",N77&lt;=0),0,(O77/N77)*(IF(OR(N77="",N77&lt;=0),0,IF((YEAR(D77)+19)&lt;YEAR(E77),0,IF((YEAR(D77)+19)&gt;=YEAR(E77)+N77,0,IF((YEAR(D77)+19)=YEAR(E77),(12-MONTH(E77)+1)/12,1))))))))*TaxRate,0))-IF(19=0,O77,0))</f>
        <v/>
      </c>
      <c r="AM77" s="29">
        <f>IF(A77="","",((K77)*(IF(M77="",L77,IFERROR(IF(INDEX(Variablen!$I:$AT, MATCH(M77, Variablen!$A:$A, 0), MATCH((YEAR(D77)+20), Variablen!$I$3:$AT$3, 0))="",L77,INDEX(Variablen!$I:$AT, MATCH(M77, Variablen!$A:$A, 0), MATCH((YEAR(D77)+20), Variablen!$I$3:$AT$3, 0))),L77)))*(IF((YEAR(D77)+20)&lt;YEAR(E77),0,IF((YEAR(D77)+20)&gt;YEAR(E77),1,(12-MONTH(E77)+1)/12))) + (Q77)*(IF((YEAR(D77)+20)&lt;YEAR(E77),0,IF((YEAR(D77)+20)&gt;YEAR(E77),1,(12-MONTH(E77)+1)/12))))-((P77)*(IF((YEAR(D77)+20)&lt;YEAR(E77),0,IF((YEAR(D77)+20)&gt;YEAR(E77),1,(12-MONTH(E77)+1)/12))) + (R77)*(IF((YEAR(D77)+20)&lt;YEAR(E77),0,IF((YEAR(D77)+20)&gt;YEAR(E77),1,(12-MONTH(E77)+1)/12))))-(IF((((K77)*(IF(M77="",L77,IFERROR(IF(INDEX(Variablen!$I:$AT, MATCH(M77, Variablen!$A:$A, 0), MATCH((YEAR(D77)+20), Variablen!$I$3:$AT$3, 0))="",L77,INDEX(Variablen!$I:$AT, MATCH(M77, Variablen!$A:$A, 0), MATCH((YEAR(D77)+20), Variablen!$I$3:$AT$3, 0))),L77)))*(IF((YEAR(D77)+20)&lt;YEAR(E77),0,IF((YEAR(D77)+20)&gt;YEAR(E77),1,(12-MONTH(E77)+1)/12))) + (Q77)*(IF((YEAR(D77)+20)&lt;YEAR(E77),0,IF((YEAR(D77)+20)&gt;YEAR(E77),1,(12-MONTH(E77)+1)/12))))-((P77)*(IF((YEAR(D77)+20)&lt;YEAR(E77),0,IF((YEAR(D77)+20)&gt;YEAR(E77),1,(12-MONTH(E77)+1)/12))) + (R77)*(IF((YEAR(D77)+20)&lt;YEAR(E77),0,IF((YEAR(D77)+20)&gt;YEAR(E77),1,(12-MONTH(E77)+1)/12))))-(IF(OR(N77="",N77&lt;=0),0,(O77/N77)*(IF(OR(N77="",N77&lt;=0),0,IF((YEAR(D77)+20)&lt;YEAR(E77),0,IF((YEAR(D77)+20)&gt;=YEAR(E77)+N77,0,IF((YEAR(D77)+20)=YEAR(E77),(12-MONTH(E77)+1)/12,1))))))))&gt;0,(((K77)*(IF(M77="",L77,IFERROR(IF(INDEX(Variablen!$I:$AT, MATCH(M77, Variablen!$A:$A, 0), MATCH((YEAR(D77)+20), Variablen!$I$3:$AT$3, 0))="",L77,INDEX(Variablen!$I:$AT, MATCH(M77, Variablen!$A:$A, 0), MATCH((YEAR(D77)+20), Variablen!$I$3:$AT$3, 0))),L77)))*(IF((YEAR(D77)+20)&lt;YEAR(E77),0,IF((YEAR(D77)+20)&gt;YEAR(E77),1,(12-MONTH(E77)+1)/12))) + (Q77)*(IF((YEAR(D77)+20)&lt;YEAR(E77),0,IF((YEAR(D77)+20)&gt;YEAR(E77),1,(12-MONTH(E77)+1)/12))))-((P77)*(IF((YEAR(D77)+20)&lt;YEAR(E77),0,IF((YEAR(D77)+20)&gt;YEAR(E77),1,(12-MONTH(E77)+1)/12))) + (R77)*(IF((YEAR(D77)+20)&lt;YEAR(E77),0,IF((YEAR(D77)+20)&gt;YEAR(E77),1,(12-MONTH(E77)+1)/12))))-(IF(OR(N77="",N77&lt;=0),0,(O77/N77)*(IF(OR(N77="",N77&lt;=0),0,IF((YEAR(D77)+20)&lt;YEAR(E77),0,IF((YEAR(D77)+20)&gt;=YEAR(E77)+N77,0,IF((YEAR(D77)+20)=YEAR(E77),(12-MONTH(E77)+1)/12,1))))))))*TaxRate,0))-IF(20=0,O77,0))</f>
        <v/>
      </c>
      <c r="AN77" s="29">
        <f>IF(A77="","",S77)</f>
        <v/>
      </c>
      <c r="AO77" s="29">
        <f>IF(A77="","",AN77+T77)</f>
        <v/>
      </c>
      <c r="AP77" s="29">
        <f>IF(A77="","",AO77+U77)</f>
        <v/>
      </c>
      <c r="AQ77" s="29">
        <f>IF(A77="","",AP77+V77)</f>
        <v/>
      </c>
      <c r="AR77" s="29">
        <f>IF(A77="","",AQ77+W77)</f>
        <v/>
      </c>
      <c r="AS77" s="29">
        <f>IF(A77="","",AR77+X77)</f>
        <v/>
      </c>
      <c r="AT77" s="29">
        <f>IF(A77="","",AS77+Y77)</f>
        <v/>
      </c>
      <c r="AU77" s="29">
        <f>IF(A77="","",AT77+Z77)</f>
        <v/>
      </c>
      <c r="AV77" s="29">
        <f>IF(A77="","",AU77+AA77)</f>
        <v/>
      </c>
      <c r="AW77" s="29">
        <f>IF(A77="","",AV77+AB77)</f>
        <v/>
      </c>
      <c r="AX77" s="29">
        <f>IF(A77="","",AW77+AC77)</f>
        <v/>
      </c>
      <c r="AY77" s="29">
        <f>IF(A77="","",AX77+AD77)</f>
        <v/>
      </c>
      <c r="AZ77" s="29">
        <f>IF(A77="","",AY77+AE77)</f>
        <v/>
      </c>
      <c r="BA77" s="29">
        <f>IF(A77="","",AZ77+AF77)</f>
        <v/>
      </c>
      <c r="BB77" s="29">
        <f>IF(A77="","",BA77+AG77)</f>
        <v/>
      </c>
      <c r="BC77" s="29">
        <f>IF(A77="","",BB77+AH77)</f>
        <v/>
      </c>
      <c r="BD77" s="29">
        <f>IF(A77="","",BC77+AI77)</f>
        <v/>
      </c>
      <c r="BE77" s="29">
        <f>IF(A77="","",BD77+AJ77)</f>
        <v/>
      </c>
      <c r="BF77" s="29">
        <f>IF(A77="","",BE77+AK77)</f>
        <v/>
      </c>
      <c r="BG77" s="29">
        <f>IF(A77="","",BF77+AL77)</f>
        <v/>
      </c>
      <c r="BH77" s="29">
        <f>IF(A77="","",BG77+AM77)</f>
        <v/>
      </c>
      <c r="BI77" s="36">
        <f>IF(A77="","",(K77)*(IF((YEAR(D77)+0)&lt;YEAR(E77),0,IF((YEAR(D77)+0)&gt;YEAR(E77),1,(12-MONTH(E77)+1)/12)))*(1/(1+DiscountRate)^0))</f>
        <v/>
      </c>
      <c r="BJ77" s="36">
        <f>IF(A77="","",(K77)*(IF((YEAR(D77)+1)&lt;YEAR(E77),0,IF((YEAR(D77)+1)&gt;YEAR(E77),1,(12-MONTH(E77)+1)/12)))*(1/(1+DiscountRate)^1))</f>
        <v/>
      </c>
      <c r="BK77" s="36">
        <f>IF(A77="","",(K77)*(IF((YEAR(D77)+2)&lt;YEAR(E77),0,IF((YEAR(D77)+2)&gt;YEAR(E77),1,(12-MONTH(E77)+1)/12)))*(1/(1+DiscountRate)^2))</f>
        <v/>
      </c>
      <c r="BL77" s="36">
        <f>IF(A77="","",(K77)*(IF((YEAR(D77)+3)&lt;YEAR(E77),0,IF((YEAR(D77)+3)&gt;YEAR(E77),1,(12-MONTH(E77)+1)/12)))*(1/(1+DiscountRate)^3))</f>
        <v/>
      </c>
      <c r="BM77" s="36">
        <f>IF(A77="","",(K77)*(IF((YEAR(D77)+4)&lt;YEAR(E77),0,IF((YEAR(D77)+4)&gt;YEAR(E77),1,(12-MONTH(E77)+1)/12)))*(1/(1+DiscountRate)^4))</f>
        <v/>
      </c>
      <c r="BN77" s="36">
        <f>IF(A77="","",(K77)*(IF((YEAR(D77)+5)&lt;YEAR(E77),0,IF((YEAR(D77)+5)&gt;YEAR(E77),1,(12-MONTH(E77)+1)/12)))*(1/(1+DiscountRate)^5))</f>
        <v/>
      </c>
      <c r="BO77" s="36">
        <f>IF(A77="","",(K77)*(IF((YEAR(D77)+6)&lt;YEAR(E77),0,IF((YEAR(D77)+6)&gt;YEAR(E77),1,(12-MONTH(E77)+1)/12)))*(1/(1+DiscountRate)^6))</f>
        <v/>
      </c>
      <c r="BP77" s="36">
        <f>IF(A77="","",(K77)*(IF((YEAR(D77)+7)&lt;YEAR(E77),0,IF((YEAR(D77)+7)&gt;YEAR(E77),1,(12-MONTH(E77)+1)/12)))*(1/(1+DiscountRate)^7))</f>
        <v/>
      </c>
      <c r="BQ77" s="36">
        <f>IF(A77="","",(K77)*(IF((YEAR(D77)+8)&lt;YEAR(E77),0,IF((YEAR(D77)+8)&gt;YEAR(E77),1,(12-MONTH(E77)+1)/12)))*(1/(1+DiscountRate)^8))</f>
        <v/>
      </c>
      <c r="BR77" s="36">
        <f>IF(A77="","",(K77)*(IF((YEAR(D77)+9)&lt;YEAR(E77),0,IF((YEAR(D77)+9)&gt;YEAR(E77),1,(12-MONTH(E77)+1)/12)))*(1/(1+DiscountRate)^9))</f>
        <v/>
      </c>
      <c r="BS77" s="36">
        <f>IF(A77="","",(K77)*(IF((YEAR(D77)+10)&lt;YEAR(E77),0,IF((YEAR(D77)+10)&gt;YEAR(E77),1,(12-MONTH(E77)+1)/12)))*(1/(1+DiscountRate)^10))</f>
        <v/>
      </c>
      <c r="BT77" s="36">
        <f>IF(A77="","",(K77)*(IF((YEAR(D77)+11)&lt;YEAR(E77),0,IF((YEAR(D77)+11)&gt;YEAR(E77),1,(12-MONTH(E77)+1)/12)))*(1/(1+DiscountRate)^11))</f>
        <v/>
      </c>
      <c r="BU77" s="36">
        <f>IF(A77="","",(K77)*(IF((YEAR(D77)+12)&lt;YEAR(E77),0,IF((YEAR(D77)+12)&gt;YEAR(E77),1,(12-MONTH(E77)+1)/12)))*(1/(1+DiscountRate)^12))</f>
        <v/>
      </c>
      <c r="BV77" s="36">
        <f>IF(A77="","",(K77)*(IF((YEAR(D77)+13)&lt;YEAR(E77),0,IF((YEAR(D77)+13)&gt;YEAR(E77),1,(12-MONTH(E77)+1)/12)))*(1/(1+DiscountRate)^13))</f>
        <v/>
      </c>
      <c r="BW77" s="36">
        <f>IF(A77="","",(K77)*(IF((YEAR(D77)+14)&lt;YEAR(E77),0,IF((YEAR(D77)+14)&gt;YEAR(E77),1,(12-MONTH(E77)+1)/12)))*(1/(1+DiscountRate)^14))</f>
        <v/>
      </c>
      <c r="BX77" s="36">
        <f>IF(A77="","",(K77)*(IF((YEAR(D77)+15)&lt;YEAR(E77),0,IF((YEAR(D77)+15)&gt;YEAR(E77),1,(12-MONTH(E77)+1)/12)))*(1/(1+DiscountRate)^15))</f>
        <v/>
      </c>
      <c r="BY77" s="36">
        <f>IF(A77="","",(K77)*(IF((YEAR(D77)+16)&lt;YEAR(E77),0,IF((YEAR(D77)+16)&gt;YEAR(E77),1,(12-MONTH(E77)+1)/12)))*(1/(1+DiscountRate)^16))</f>
        <v/>
      </c>
      <c r="BZ77" s="36">
        <f>IF(A77="","",(K77)*(IF((YEAR(D77)+17)&lt;YEAR(E77),0,IF((YEAR(D77)+17)&gt;YEAR(E77),1,(12-MONTH(E77)+1)/12)))*(1/(1+DiscountRate)^17))</f>
        <v/>
      </c>
      <c r="CA77" s="36">
        <f>IF(A77="","",(K77)*(IF((YEAR(D77)+18)&lt;YEAR(E77),0,IF((YEAR(D77)+18)&gt;YEAR(E77),1,(12-MONTH(E77)+1)/12)))*(1/(1+DiscountRate)^18))</f>
        <v/>
      </c>
      <c r="CB77" s="36">
        <f>IF(A77="","",(K77)*(IF((YEAR(D77)+19)&lt;YEAR(E77),0,IF((YEAR(D77)+19)&gt;YEAR(E77),1,(12-MONTH(E77)+1)/12)))*(1/(1+DiscountRate)^19))</f>
        <v/>
      </c>
      <c r="CC77" s="36">
        <f>IF(A77="","",(K77)*(IF((YEAR(D77)+20)&lt;YEAR(E77),0,IF((YEAR(D77)+20)&gt;YEAR(E77),1,(12-MONTH(E77)+1)/12)))*(1/(1+DiscountRate)^20))</f>
        <v/>
      </c>
      <c r="CD77" s="29">
        <f>IF(A77="","",S77/(1+DiscountRate)^0+T77/(1+DiscountRate)^1+U77/(1+DiscountRate)^2+V77/(1+DiscountRate)^3+W77/(1+DiscountRate)^4+X77/(1+DiscountRate)^5+Y77/(1+DiscountRate)^6+Z77/(1+DiscountRate)^7+AA77/(1+DiscountRate)^8+AB77/(1+DiscountRate)^9+AC77/(1+DiscountRate)^10+AD77/(1+DiscountRate)^11+AE77/(1+DiscountRate)^12+AF77/(1+DiscountRate)^13+AG77/(1+DiscountRate)^14+AH77/(1+DiscountRate)^15+AI77/(1+DiscountRate)^16+AJ77/(1+DiscountRate)^17+AK77/(1+DiscountRate)^18+AL77/(1+DiscountRate)^19+AM77/(1+DiscountRate)^20)</f>
        <v/>
      </c>
      <c r="CE77" s="37">
        <f>IF(A77="","",IFERROR(IRR(OFFSET(S77,0,0,1,MIN(HorizonYears,20)+1)),"n/a"))</f>
        <v/>
      </c>
      <c r="CF77" s="28">
        <f>IF(A77="","",IFERROR(MATCH(TRUE,OFFSET(AN77,0,0,1,MIN(HorizonYears,20)+1)&gt;=0,0)-1,"n/a"))</f>
        <v/>
      </c>
      <c r="CG77" s="36">
        <f>IF(A77="","",SUM(OFFSET(BI77,0,0,1,MIN(HorizonYears,20)+1)))</f>
        <v/>
      </c>
      <c r="CH77" s="36">
        <f>IF(A77="","",IFERROR(-CD77/CG77,"n/a"))</f>
        <v/>
      </c>
    </row>
    <row r="78">
      <c r="A78" s="6">
        <f>Actions!A76</f>
        <v/>
      </c>
      <c r="B78" s="6">
        <f>Actions!B76</f>
        <v/>
      </c>
      <c r="C78" s="6">
        <f>Actions!D76</f>
        <v/>
      </c>
      <c r="D78" s="35">
        <f>Actions!E76</f>
        <v/>
      </c>
      <c r="E78" s="35">
        <f>Actions!F76</f>
        <v/>
      </c>
      <c r="F78" s="6">
        <f>Actions!G76</f>
        <v/>
      </c>
      <c r="G78" s="6">
        <f>Actions!H76</f>
        <v/>
      </c>
      <c r="H78" s="29">
        <f>Actions!I76</f>
        <v/>
      </c>
      <c r="I78" s="6">
        <f>Actions!J76</f>
        <v/>
      </c>
      <c r="J78" s="16">
        <f>Actions!K76</f>
        <v/>
      </c>
      <c r="K78" s="16">
        <f>IF(A78="","",IF(I78="%",H78*J78,J78))</f>
        <v/>
      </c>
      <c r="L78" s="16">
        <f>Actions!L76</f>
        <v/>
      </c>
      <c r="M78" s="6">
        <f>Actions!M76</f>
        <v/>
      </c>
      <c r="N78" s="28">
        <f>Actions!N76</f>
        <v/>
      </c>
      <c r="O78" s="29">
        <f>Actions!T76</f>
        <v/>
      </c>
      <c r="P78" s="29">
        <f>Actions!Y76</f>
        <v/>
      </c>
      <c r="Q78" s="29">
        <f>Actions!Z76</f>
        <v/>
      </c>
      <c r="R78" s="29">
        <f>Actions!AA76</f>
        <v/>
      </c>
      <c r="S78" s="29">
        <f>IF(A78="","",((K78)*(IF(M78="",L78,IFERROR(IF(INDEX(Variablen!$I:$AT, MATCH(M78, Variablen!$A:$A, 0), MATCH((YEAR(D78)+0), Variablen!$I$3:$AT$3, 0))="",L78,INDEX(Variablen!$I:$AT, MATCH(M78, Variablen!$A:$A, 0), MATCH((YEAR(D78)+0), Variablen!$I$3:$AT$3, 0))),L78)))*(IF((YEAR(D78)+0)&lt;YEAR(E78),0,IF((YEAR(D78)+0)&gt;YEAR(E78),1,(12-MONTH(E78)+1)/12))) + (Q78)*(IF((YEAR(D78)+0)&lt;YEAR(E78),0,IF((YEAR(D78)+0)&gt;YEAR(E78),1,(12-MONTH(E78)+1)/12))))-((P78)*(IF((YEAR(D78)+0)&lt;YEAR(E78),0,IF((YEAR(D78)+0)&gt;YEAR(E78),1,(12-MONTH(E78)+1)/12))) + (R78)*(IF((YEAR(D78)+0)&lt;YEAR(E78),0,IF((YEAR(D78)+0)&gt;YEAR(E78),1,(12-MONTH(E78)+1)/12))))-(IF((((K78)*(IF(M78="",L78,IFERROR(IF(INDEX(Variablen!$I:$AT, MATCH(M78, Variablen!$A:$A, 0), MATCH((YEAR(D78)+0), Variablen!$I$3:$AT$3, 0))="",L78,INDEX(Variablen!$I:$AT, MATCH(M78, Variablen!$A:$A, 0), MATCH((YEAR(D78)+0), Variablen!$I$3:$AT$3, 0))),L78)))*(IF((YEAR(D78)+0)&lt;YEAR(E78),0,IF((YEAR(D78)+0)&gt;YEAR(E78),1,(12-MONTH(E78)+1)/12))) + (Q78)*(IF((YEAR(D78)+0)&lt;YEAR(E78),0,IF((YEAR(D78)+0)&gt;YEAR(E78),1,(12-MONTH(E78)+1)/12))))-((P78)*(IF((YEAR(D78)+0)&lt;YEAR(E78),0,IF((YEAR(D78)+0)&gt;YEAR(E78),1,(12-MONTH(E78)+1)/12))) + (R78)*(IF((YEAR(D78)+0)&lt;YEAR(E78),0,IF((YEAR(D78)+0)&gt;YEAR(E78),1,(12-MONTH(E78)+1)/12))))-(IF(OR(N78="",N78&lt;=0),0,(O78/N78)*(IF(OR(N78="",N78&lt;=0),0,IF((YEAR(D78)+0)&lt;YEAR(E78),0,IF((YEAR(D78)+0)&gt;=YEAR(E78)+N78,0,IF((YEAR(D78)+0)=YEAR(E78),(12-MONTH(E78)+1)/12,1))))))))&gt;0,(((K78)*(IF(M78="",L78,IFERROR(IF(INDEX(Variablen!$I:$AT, MATCH(M78, Variablen!$A:$A, 0), MATCH((YEAR(D78)+0), Variablen!$I$3:$AT$3, 0))="",L78,INDEX(Variablen!$I:$AT, MATCH(M78, Variablen!$A:$A, 0), MATCH((YEAR(D78)+0), Variablen!$I$3:$AT$3, 0))),L78)))*(IF((YEAR(D78)+0)&lt;YEAR(E78),0,IF((YEAR(D78)+0)&gt;YEAR(E78),1,(12-MONTH(E78)+1)/12))) + (Q78)*(IF((YEAR(D78)+0)&lt;YEAR(E78),0,IF((YEAR(D78)+0)&gt;YEAR(E78),1,(12-MONTH(E78)+1)/12))))-((P78)*(IF((YEAR(D78)+0)&lt;YEAR(E78),0,IF((YEAR(D78)+0)&gt;YEAR(E78),1,(12-MONTH(E78)+1)/12))) + (R78)*(IF((YEAR(D78)+0)&lt;YEAR(E78),0,IF((YEAR(D78)+0)&gt;YEAR(E78),1,(12-MONTH(E78)+1)/12))))-(IF(OR(N78="",N78&lt;=0),0,(O78/N78)*(IF(OR(N78="",N78&lt;=0),0,IF((YEAR(D78)+0)&lt;YEAR(E78),0,IF((YEAR(D78)+0)&gt;=YEAR(E78)+N78,0,IF((YEAR(D78)+0)=YEAR(E78),(12-MONTH(E78)+1)/12,1))))))))*TaxRate,0))-IF(0=0,O78,0))</f>
        <v/>
      </c>
      <c r="T78" s="29">
        <f>IF(A78="","",((K78)*(IF(M78="",L78,IFERROR(IF(INDEX(Variablen!$I:$AT, MATCH(M78, Variablen!$A:$A, 0), MATCH((YEAR(D78)+1), Variablen!$I$3:$AT$3, 0))="",L78,INDEX(Variablen!$I:$AT, MATCH(M78, Variablen!$A:$A, 0), MATCH((YEAR(D78)+1), Variablen!$I$3:$AT$3, 0))),L78)))*(IF((YEAR(D78)+1)&lt;YEAR(E78),0,IF((YEAR(D78)+1)&gt;YEAR(E78),1,(12-MONTH(E78)+1)/12))) + (Q78)*(IF((YEAR(D78)+1)&lt;YEAR(E78),0,IF((YEAR(D78)+1)&gt;YEAR(E78),1,(12-MONTH(E78)+1)/12))))-((P78)*(IF((YEAR(D78)+1)&lt;YEAR(E78),0,IF((YEAR(D78)+1)&gt;YEAR(E78),1,(12-MONTH(E78)+1)/12))) + (R78)*(IF((YEAR(D78)+1)&lt;YEAR(E78),0,IF((YEAR(D78)+1)&gt;YEAR(E78),1,(12-MONTH(E78)+1)/12))))-(IF((((K78)*(IF(M78="",L78,IFERROR(IF(INDEX(Variablen!$I:$AT, MATCH(M78, Variablen!$A:$A, 0), MATCH((YEAR(D78)+1), Variablen!$I$3:$AT$3, 0))="",L78,INDEX(Variablen!$I:$AT, MATCH(M78, Variablen!$A:$A, 0), MATCH((YEAR(D78)+1), Variablen!$I$3:$AT$3, 0))),L78)))*(IF((YEAR(D78)+1)&lt;YEAR(E78),0,IF((YEAR(D78)+1)&gt;YEAR(E78),1,(12-MONTH(E78)+1)/12))) + (Q78)*(IF((YEAR(D78)+1)&lt;YEAR(E78),0,IF((YEAR(D78)+1)&gt;YEAR(E78),1,(12-MONTH(E78)+1)/12))))-((P78)*(IF((YEAR(D78)+1)&lt;YEAR(E78),0,IF((YEAR(D78)+1)&gt;YEAR(E78),1,(12-MONTH(E78)+1)/12))) + (R78)*(IF((YEAR(D78)+1)&lt;YEAR(E78),0,IF((YEAR(D78)+1)&gt;YEAR(E78),1,(12-MONTH(E78)+1)/12))))-(IF(OR(N78="",N78&lt;=0),0,(O78/N78)*(IF(OR(N78="",N78&lt;=0),0,IF((YEAR(D78)+1)&lt;YEAR(E78),0,IF((YEAR(D78)+1)&gt;=YEAR(E78)+N78,0,IF((YEAR(D78)+1)=YEAR(E78),(12-MONTH(E78)+1)/12,1))))))))&gt;0,(((K78)*(IF(M78="",L78,IFERROR(IF(INDEX(Variablen!$I:$AT, MATCH(M78, Variablen!$A:$A, 0), MATCH((YEAR(D78)+1), Variablen!$I$3:$AT$3, 0))="",L78,INDEX(Variablen!$I:$AT, MATCH(M78, Variablen!$A:$A, 0), MATCH((YEAR(D78)+1), Variablen!$I$3:$AT$3, 0))),L78)))*(IF((YEAR(D78)+1)&lt;YEAR(E78),0,IF((YEAR(D78)+1)&gt;YEAR(E78),1,(12-MONTH(E78)+1)/12))) + (Q78)*(IF((YEAR(D78)+1)&lt;YEAR(E78),0,IF((YEAR(D78)+1)&gt;YEAR(E78),1,(12-MONTH(E78)+1)/12))))-((P78)*(IF((YEAR(D78)+1)&lt;YEAR(E78),0,IF((YEAR(D78)+1)&gt;YEAR(E78),1,(12-MONTH(E78)+1)/12))) + (R78)*(IF((YEAR(D78)+1)&lt;YEAR(E78),0,IF((YEAR(D78)+1)&gt;YEAR(E78),1,(12-MONTH(E78)+1)/12))))-(IF(OR(N78="",N78&lt;=0),0,(O78/N78)*(IF(OR(N78="",N78&lt;=0),0,IF((YEAR(D78)+1)&lt;YEAR(E78),0,IF((YEAR(D78)+1)&gt;=YEAR(E78)+N78,0,IF((YEAR(D78)+1)=YEAR(E78),(12-MONTH(E78)+1)/12,1))))))))*TaxRate,0))-IF(1=0,O78,0))</f>
        <v/>
      </c>
      <c r="U78" s="29">
        <f>IF(A78="","",((K78)*(IF(M78="",L78,IFERROR(IF(INDEX(Variablen!$I:$AT, MATCH(M78, Variablen!$A:$A, 0), MATCH((YEAR(D78)+2), Variablen!$I$3:$AT$3, 0))="",L78,INDEX(Variablen!$I:$AT, MATCH(M78, Variablen!$A:$A, 0), MATCH((YEAR(D78)+2), Variablen!$I$3:$AT$3, 0))),L78)))*(IF((YEAR(D78)+2)&lt;YEAR(E78),0,IF((YEAR(D78)+2)&gt;YEAR(E78),1,(12-MONTH(E78)+1)/12))) + (Q78)*(IF((YEAR(D78)+2)&lt;YEAR(E78),0,IF((YEAR(D78)+2)&gt;YEAR(E78),1,(12-MONTH(E78)+1)/12))))-((P78)*(IF((YEAR(D78)+2)&lt;YEAR(E78),0,IF((YEAR(D78)+2)&gt;YEAR(E78),1,(12-MONTH(E78)+1)/12))) + (R78)*(IF((YEAR(D78)+2)&lt;YEAR(E78),0,IF((YEAR(D78)+2)&gt;YEAR(E78),1,(12-MONTH(E78)+1)/12))))-(IF((((K78)*(IF(M78="",L78,IFERROR(IF(INDEX(Variablen!$I:$AT, MATCH(M78, Variablen!$A:$A, 0), MATCH((YEAR(D78)+2), Variablen!$I$3:$AT$3, 0))="",L78,INDEX(Variablen!$I:$AT, MATCH(M78, Variablen!$A:$A, 0), MATCH((YEAR(D78)+2), Variablen!$I$3:$AT$3, 0))),L78)))*(IF((YEAR(D78)+2)&lt;YEAR(E78),0,IF((YEAR(D78)+2)&gt;YEAR(E78),1,(12-MONTH(E78)+1)/12))) + (Q78)*(IF((YEAR(D78)+2)&lt;YEAR(E78),0,IF((YEAR(D78)+2)&gt;YEAR(E78),1,(12-MONTH(E78)+1)/12))))-((P78)*(IF((YEAR(D78)+2)&lt;YEAR(E78),0,IF((YEAR(D78)+2)&gt;YEAR(E78),1,(12-MONTH(E78)+1)/12))) + (R78)*(IF((YEAR(D78)+2)&lt;YEAR(E78),0,IF((YEAR(D78)+2)&gt;YEAR(E78),1,(12-MONTH(E78)+1)/12))))-(IF(OR(N78="",N78&lt;=0),0,(O78/N78)*(IF(OR(N78="",N78&lt;=0),0,IF((YEAR(D78)+2)&lt;YEAR(E78),0,IF((YEAR(D78)+2)&gt;=YEAR(E78)+N78,0,IF((YEAR(D78)+2)=YEAR(E78),(12-MONTH(E78)+1)/12,1))))))))&gt;0,(((K78)*(IF(M78="",L78,IFERROR(IF(INDEX(Variablen!$I:$AT, MATCH(M78, Variablen!$A:$A, 0), MATCH((YEAR(D78)+2), Variablen!$I$3:$AT$3, 0))="",L78,INDEX(Variablen!$I:$AT, MATCH(M78, Variablen!$A:$A, 0), MATCH((YEAR(D78)+2), Variablen!$I$3:$AT$3, 0))),L78)))*(IF((YEAR(D78)+2)&lt;YEAR(E78),0,IF((YEAR(D78)+2)&gt;YEAR(E78),1,(12-MONTH(E78)+1)/12))) + (Q78)*(IF((YEAR(D78)+2)&lt;YEAR(E78),0,IF((YEAR(D78)+2)&gt;YEAR(E78),1,(12-MONTH(E78)+1)/12))))-((P78)*(IF((YEAR(D78)+2)&lt;YEAR(E78),0,IF((YEAR(D78)+2)&gt;YEAR(E78),1,(12-MONTH(E78)+1)/12))) + (R78)*(IF((YEAR(D78)+2)&lt;YEAR(E78),0,IF((YEAR(D78)+2)&gt;YEAR(E78),1,(12-MONTH(E78)+1)/12))))-(IF(OR(N78="",N78&lt;=0),0,(O78/N78)*(IF(OR(N78="",N78&lt;=0),0,IF((YEAR(D78)+2)&lt;YEAR(E78),0,IF((YEAR(D78)+2)&gt;=YEAR(E78)+N78,0,IF((YEAR(D78)+2)=YEAR(E78),(12-MONTH(E78)+1)/12,1))))))))*TaxRate,0))-IF(2=0,O78,0))</f>
        <v/>
      </c>
      <c r="V78" s="29">
        <f>IF(A78="","",((K78)*(IF(M78="",L78,IFERROR(IF(INDEX(Variablen!$I:$AT, MATCH(M78, Variablen!$A:$A, 0), MATCH((YEAR(D78)+3), Variablen!$I$3:$AT$3, 0))="",L78,INDEX(Variablen!$I:$AT, MATCH(M78, Variablen!$A:$A, 0), MATCH((YEAR(D78)+3), Variablen!$I$3:$AT$3, 0))),L78)))*(IF((YEAR(D78)+3)&lt;YEAR(E78),0,IF((YEAR(D78)+3)&gt;YEAR(E78),1,(12-MONTH(E78)+1)/12))) + (Q78)*(IF((YEAR(D78)+3)&lt;YEAR(E78),0,IF((YEAR(D78)+3)&gt;YEAR(E78),1,(12-MONTH(E78)+1)/12))))-((P78)*(IF((YEAR(D78)+3)&lt;YEAR(E78),0,IF((YEAR(D78)+3)&gt;YEAR(E78),1,(12-MONTH(E78)+1)/12))) + (R78)*(IF((YEAR(D78)+3)&lt;YEAR(E78),0,IF((YEAR(D78)+3)&gt;YEAR(E78),1,(12-MONTH(E78)+1)/12))))-(IF((((K78)*(IF(M78="",L78,IFERROR(IF(INDEX(Variablen!$I:$AT, MATCH(M78, Variablen!$A:$A, 0), MATCH((YEAR(D78)+3), Variablen!$I$3:$AT$3, 0))="",L78,INDEX(Variablen!$I:$AT, MATCH(M78, Variablen!$A:$A, 0), MATCH((YEAR(D78)+3), Variablen!$I$3:$AT$3, 0))),L78)))*(IF((YEAR(D78)+3)&lt;YEAR(E78),0,IF((YEAR(D78)+3)&gt;YEAR(E78),1,(12-MONTH(E78)+1)/12))) + (Q78)*(IF((YEAR(D78)+3)&lt;YEAR(E78),0,IF((YEAR(D78)+3)&gt;YEAR(E78),1,(12-MONTH(E78)+1)/12))))-((P78)*(IF((YEAR(D78)+3)&lt;YEAR(E78),0,IF((YEAR(D78)+3)&gt;YEAR(E78),1,(12-MONTH(E78)+1)/12))) + (R78)*(IF((YEAR(D78)+3)&lt;YEAR(E78),0,IF((YEAR(D78)+3)&gt;YEAR(E78),1,(12-MONTH(E78)+1)/12))))-(IF(OR(N78="",N78&lt;=0),0,(O78/N78)*(IF(OR(N78="",N78&lt;=0),0,IF((YEAR(D78)+3)&lt;YEAR(E78),0,IF((YEAR(D78)+3)&gt;=YEAR(E78)+N78,0,IF((YEAR(D78)+3)=YEAR(E78),(12-MONTH(E78)+1)/12,1))))))))&gt;0,(((K78)*(IF(M78="",L78,IFERROR(IF(INDEX(Variablen!$I:$AT, MATCH(M78, Variablen!$A:$A, 0), MATCH((YEAR(D78)+3), Variablen!$I$3:$AT$3, 0))="",L78,INDEX(Variablen!$I:$AT, MATCH(M78, Variablen!$A:$A, 0), MATCH((YEAR(D78)+3), Variablen!$I$3:$AT$3, 0))),L78)))*(IF((YEAR(D78)+3)&lt;YEAR(E78),0,IF((YEAR(D78)+3)&gt;YEAR(E78),1,(12-MONTH(E78)+1)/12))) + (Q78)*(IF((YEAR(D78)+3)&lt;YEAR(E78),0,IF((YEAR(D78)+3)&gt;YEAR(E78),1,(12-MONTH(E78)+1)/12))))-((P78)*(IF((YEAR(D78)+3)&lt;YEAR(E78),0,IF((YEAR(D78)+3)&gt;YEAR(E78),1,(12-MONTH(E78)+1)/12))) + (R78)*(IF((YEAR(D78)+3)&lt;YEAR(E78),0,IF((YEAR(D78)+3)&gt;YEAR(E78),1,(12-MONTH(E78)+1)/12))))-(IF(OR(N78="",N78&lt;=0),0,(O78/N78)*(IF(OR(N78="",N78&lt;=0),0,IF((YEAR(D78)+3)&lt;YEAR(E78),0,IF((YEAR(D78)+3)&gt;=YEAR(E78)+N78,0,IF((YEAR(D78)+3)=YEAR(E78),(12-MONTH(E78)+1)/12,1))))))))*TaxRate,0))-IF(3=0,O78,0))</f>
        <v/>
      </c>
      <c r="W78" s="29">
        <f>IF(A78="","",((K78)*(IF(M78="",L78,IFERROR(IF(INDEX(Variablen!$I:$AT, MATCH(M78, Variablen!$A:$A, 0), MATCH((YEAR(D78)+4), Variablen!$I$3:$AT$3, 0))="",L78,INDEX(Variablen!$I:$AT, MATCH(M78, Variablen!$A:$A, 0), MATCH((YEAR(D78)+4), Variablen!$I$3:$AT$3, 0))),L78)))*(IF((YEAR(D78)+4)&lt;YEAR(E78),0,IF((YEAR(D78)+4)&gt;YEAR(E78),1,(12-MONTH(E78)+1)/12))) + (Q78)*(IF((YEAR(D78)+4)&lt;YEAR(E78),0,IF((YEAR(D78)+4)&gt;YEAR(E78),1,(12-MONTH(E78)+1)/12))))-((P78)*(IF((YEAR(D78)+4)&lt;YEAR(E78),0,IF((YEAR(D78)+4)&gt;YEAR(E78),1,(12-MONTH(E78)+1)/12))) + (R78)*(IF((YEAR(D78)+4)&lt;YEAR(E78),0,IF((YEAR(D78)+4)&gt;YEAR(E78),1,(12-MONTH(E78)+1)/12))))-(IF((((K78)*(IF(M78="",L78,IFERROR(IF(INDEX(Variablen!$I:$AT, MATCH(M78, Variablen!$A:$A, 0), MATCH((YEAR(D78)+4), Variablen!$I$3:$AT$3, 0))="",L78,INDEX(Variablen!$I:$AT, MATCH(M78, Variablen!$A:$A, 0), MATCH((YEAR(D78)+4), Variablen!$I$3:$AT$3, 0))),L78)))*(IF((YEAR(D78)+4)&lt;YEAR(E78),0,IF((YEAR(D78)+4)&gt;YEAR(E78),1,(12-MONTH(E78)+1)/12))) + (Q78)*(IF((YEAR(D78)+4)&lt;YEAR(E78),0,IF((YEAR(D78)+4)&gt;YEAR(E78),1,(12-MONTH(E78)+1)/12))))-((P78)*(IF((YEAR(D78)+4)&lt;YEAR(E78),0,IF((YEAR(D78)+4)&gt;YEAR(E78),1,(12-MONTH(E78)+1)/12))) + (R78)*(IF((YEAR(D78)+4)&lt;YEAR(E78),0,IF((YEAR(D78)+4)&gt;YEAR(E78),1,(12-MONTH(E78)+1)/12))))-(IF(OR(N78="",N78&lt;=0),0,(O78/N78)*(IF(OR(N78="",N78&lt;=0),0,IF((YEAR(D78)+4)&lt;YEAR(E78),0,IF((YEAR(D78)+4)&gt;=YEAR(E78)+N78,0,IF((YEAR(D78)+4)=YEAR(E78),(12-MONTH(E78)+1)/12,1))))))))&gt;0,(((K78)*(IF(M78="",L78,IFERROR(IF(INDEX(Variablen!$I:$AT, MATCH(M78, Variablen!$A:$A, 0), MATCH((YEAR(D78)+4), Variablen!$I$3:$AT$3, 0))="",L78,INDEX(Variablen!$I:$AT, MATCH(M78, Variablen!$A:$A, 0), MATCH((YEAR(D78)+4), Variablen!$I$3:$AT$3, 0))),L78)))*(IF((YEAR(D78)+4)&lt;YEAR(E78),0,IF((YEAR(D78)+4)&gt;YEAR(E78),1,(12-MONTH(E78)+1)/12))) + (Q78)*(IF((YEAR(D78)+4)&lt;YEAR(E78),0,IF((YEAR(D78)+4)&gt;YEAR(E78),1,(12-MONTH(E78)+1)/12))))-((P78)*(IF((YEAR(D78)+4)&lt;YEAR(E78),0,IF((YEAR(D78)+4)&gt;YEAR(E78),1,(12-MONTH(E78)+1)/12))) + (R78)*(IF((YEAR(D78)+4)&lt;YEAR(E78),0,IF((YEAR(D78)+4)&gt;YEAR(E78),1,(12-MONTH(E78)+1)/12))))-(IF(OR(N78="",N78&lt;=0),0,(O78/N78)*(IF(OR(N78="",N78&lt;=0),0,IF((YEAR(D78)+4)&lt;YEAR(E78),0,IF((YEAR(D78)+4)&gt;=YEAR(E78)+N78,0,IF((YEAR(D78)+4)=YEAR(E78),(12-MONTH(E78)+1)/12,1))))))))*TaxRate,0))-IF(4=0,O78,0))</f>
        <v/>
      </c>
      <c r="X78" s="29">
        <f>IF(A78="","",((K78)*(IF(M78="",L78,IFERROR(IF(INDEX(Variablen!$I:$AT, MATCH(M78, Variablen!$A:$A, 0), MATCH((YEAR(D78)+5), Variablen!$I$3:$AT$3, 0))="",L78,INDEX(Variablen!$I:$AT, MATCH(M78, Variablen!$A:$A, 0), MATCH((YEAR(D78)+5), Variablen!$I$3:$AT$3, 0))),L78)))*(IF((YEAR(D78)+5)&lt;YEAR(E78),0,IF((YEAR(D78)+5)&gt;YEAR(E78),1,(12-MONTH(E78)+1)/12))) + (Q78)*(IF((YEAR(D78)+5)&lt;YEAR(E78),0,IF((YEAR(D78)+5)&gt;YEAR(E78),1,(12-MONTH(E78)+1)/12))))-((P78)*(IF((YEAR(D78)+5)&lt;YEAR(E78),0,IF((YEAR(D78)+5)&gt;YEAR(E78),1,(12-MONTH(E78)+1)/12))) + (R78)*(IF((YEAR(D78)+5)&lt;YEAR(E78),0,IF((YEAR(D78)+5)&gt;YEAR(E78),1,(12-MONTH(E78)+1)/12))))-(IF((((K78)*(IF(M78="",L78,IFERROR(IF(INDEX(Variablen!$I:$AT, MATCH(M78, Variablen!$A:$A, 0), MATCH((YEAR(D78)+5), Variablen!$I$3:$AT$3, 0))="",L78,INDEX(Variablen!$I:$AT, MATCH(M78, Variablen!$A:$A, 0), MATCH((YEAR(D78)+5), Variablen!$I$3:$AT$3, 0))),L78)))*(IF((YEAR(D78)+5)&lt;YEAR(E78),0,IF((YEAR(D78)+5)&gt;YEAR(E78),1,(12-MONTH(E78)+1)/12))) + (Q78)*(IF((YEAR(D78)+5)&lt;YEAR(E78),0,IF((YEAR(D78)+5)&gt;YEAR(E78),1,(12-MONTH(E78)+1)/12))))-((P78)*(IF((YEAR(D78)+5)&lt;YEAR(E78),0,IF((YEAR(D78)+5)&gt;YEAR(E78),1,(12-MONTH(E78)+1)/12))) + (R78)*(IF((YEAR(D78)+5)&lt;YEAR(E78),0,IF((YEAR(D78)+5)&gt;YEAR(E78),1,(12-MONTH(E78)+1)/12))))-(IF(OR(N78="",N78&lt;=0),0,(O78/N78)*(IF(OR(N78="",N78&lt;=0),0,IF((YEAR(D78)+5)&lt;YEAR(E78),0,IF((YEAR(D78)+5)&gt;=YEAR(E78)+N78,0,IF((YEAR(D78)+5)=YEAR(E78),(12-MONTH(E78)+1)/12,1))))))))&gt;0,(((K78)*(IF(M78="",L78,IFERROR(IF(INDEX(Variablen!$I:$AT, MATCH(M78, Variablen!$A:$A, 0), MATCH((YEAR(D78)+5), Variablen!$I$3:$AT$3, 0))="",L78,INDEX(Variablen!$I:$AT, MATCH(M78, Variablen!$A:$A, 0), MATCH((YEAR(D78)+5), Variablen!$I$3:$AT$3, 0))),L78)))*(IF((YEAR(D78)+5)&lt;YEAR(E78),0,IF((YEAR(D78)+5)&gt;YEAR(E78),1,(12-MONTH(E78)+1)/12))) + (Q78)*(IF((YEAR(D78)+5)&lt;YEAR(E78),0,IF((YEAR(D78)+5)&gt;YEAR(E78),1,(12-MONTH(E78)+1)/12))))-((P78)*(IF((YEAR(D78)+5)&lt;YEAR(E78),0,IF((YEAR(D78)+5)&gt;YEAR(E78),1,(12-MONTH(E78)+1)/12))) + (R78)*(IF((YEAR(D78)+5)&lt;YEAR(E78),0,IF((YEAR(D78)+5)&gt;YEAR(E78),1,(12-MONTH(E78)+1)/12))))-(IF(OR(N78="",N78&lt;=0),0,(O78/N78)*(IF(OR(N78="",N78&lt;=0),0,IF((YEAR(D78)+5)&lt;YEAR(E78),0,IF((YEAR(D78)+5)&gt;=YEAR(E78)+N78,0,IF((YEAR(D78)+5)=YEAR(E78),(12-MONTH(E78)+1)/12,1))))))))*TaxRate,0))-IF(5=0,O78,0))</f>
        <v/>
      </c>
      <c r="Y78" s="29">
        <f>IF(A78="","",((K78)*(IF(M78="",L78,IFERROR(IF(INDEX(Variablen!$I:$AT, MATCH(M78, Variablen!$A:$A, 0), MATCH((YEAR(D78)+6), Variablen!$I$3:$AT$3, 0))="",L78,INDEX(Variablen!$I:$AT, MATCH(M78, Variablen!$A:$A, 0), MATCH((YEAR(D78)+6), Variablen!$I$3:$AT$3, 0))),L78)))*(IF((YEAR(D78)+6)&lt;YEAR(E78),0,IF((YEAR(D78)+6)&gt;YEAR(E78),1,(12-MONTH(E78)+1)/12))) + (Q78)*(IF((YEAR(D78)+6)&lt;YEAR(E78),0,IF((YEAR(D78)+6)&gt;YEAR(E78),1,(12-MONTH(E78)+1)/12))))-((P78)*(IF((YEAR(D78)+6)&lt;YEAR(E78),0,IF((YEAR(D78)+6)&gt;YEAR(E78),1,(12-MONTH(E78)+1)/12))) + (R78)*(IF((YEAR(D78)+6)&lt;YEAR(E78),0,IF((YEAR(D78)+6)&gt;YEAR(E78),1,(12-MONTH(E78)+1)/12))))-(IF((((K78)*(IF(M78="",L78,IFERROR(IF(INDEX(Variablen!$I:$AT, MATCH(M78, Variablen!$A:$A, 0), MATCH((YEAR(D78)+6), Variablen!$I$3:$AT$3, 0))="",L78,INDEX(Variablen!$I:$AT, MATCH(M78, Variablen!$A:$A, 0), MATCH((YEAR(D78)+6), Variablen!$I$3:$AT$3, 0))),L78)))*(IF((YEAR(D78)+6)&lt;YEAR(E78),0,IF((YEAR(D78)+6)&gt;YEAR(E78),1,(12-MONTH(E78)+1)/12))) + (Q78)*(IF((YEAR(D78)+6)&lt;YEAR(E78),0,IF((YEAR(D78)+6)&gt;YEAR(E78),1,(12-MONTH(E78)+1)/12))))-((P78)*(IF((YEAR(D78)+6)&lt;YEAR(E78),0,IF((YEAR(D78)+6)&gt;YEAR(E78),1,(12-MONTH(E78)+1)/12))) + (R78)*(IF((YEAR(D78)+6)&lt;YEAR(E78),0,IF((YEAR(D78)+6)&gt;YEAR(E78),1,(12-MONTH(E78)+1)/12))))-(IF(OR(N78="",N78&lt;=0),0,(O78/N78)*(IF(OR(N78="",N78&lt;=0),0,IF((YEAR(D78)+6)&lt;YEAR(E78),0,IF((YEAR(D78)+6)&gt;=YEAR(E78)+N78,0,IF((YEAR(D78)+6)=YEAR(E78),(12-MONTH(E78)+1)/12,1))))))))&gt;0,(((K78)*(IF(M78="",L78,IFERROR(IF(INDEX(Variablen!$I:$AT, MATCH(M78, Variablen!$A:$A, 0), MATCH((YEAR(D78)+6), Variablen!$I$3:$AT$3, 0))="",L78,INDEX(Variablen!$I:$AT, MATCH(M78, Variablen!$A:$A, 0), MATCH((YEAR(D78)+6), Variablen!$I$3:$AT$3, 0))),L78)))*(IF((YEAR(D78)+6)&lt;YEAR(E78),0,IF((YEAR(D78)+6)&gt;YEAR(E78),1,(12-MONTH(E78)+1)/12))) + (Q78)*(IF((YEAR(D78)+6)&lt;YEAR(E78),0,IF((YEAR(D78)+6)&gt;YEAR(E78),1,(12-MONTH(E78)+1)/12))))-((P78)*(IF((YEAR(D78)+6)&lt;YEAR(E78),0,IF((YEAR(D78)+6)&gt;YEAR(E78),1,(12-MONTH(E78)+1)/12))) + (R78)*(IF((YEAR(D78)+6)&lt;YEAR(E78),0,IF((YEAR(D78)+6)&gt;YEAR(E78),1,(12-MONTH(E78)+1)/12))))-(IF(OR(N78="",N78&lt;=0),0,(O78/N78)*(IF(OR(N78="",N78&lt;=0),0,IF((YEAR(D78)+6)&lt;YEAR(E78),0,IF((YEAR(D78)+6)&gt;=YEAR(E78)+N78,0,IF((YEAR(D78)+6)=YEAR(E78),(12-MONTH(E78)+1)/12,1))))))))*TaxRate,0))-IF(6=0,O78,0))</f>
        <v/>
      </c>
      <c r="Z78" s="29">
        <f>IF(A78="","",((K78)*(IF(M78="",L78,IFERROR(IF(INDEX(Variablen!$I:$AT, MATCH(M78, Variablen!$A:$A, 0), MATCH((YEAR(D78)+7), Variablen!$I$3:$AT$3, 0))="",L78,INDEX(Variablen!$I:$AT, MATCH(M78, Variablen!$A:$A, 0), MATCH((YEAR(D78)+7), Variablen!$I$3:$AT$3, 0))),L78)))*(IF((YEAR(D78)+7)&lt;YEAR(E78),0,IF((YEAR(D78)+7)&gt;YEAR(E78),1,(12-MONTH(E78)+1)/12))) + (Q78)*(IF((YEAR(D78)+7)&lt;YEAR(E78),0,IF((YEAR(D78)+7)&gt;YEAR(E78),1,(12-MONTH(E78)+1)/12))))-((P78)*(IF((YEAR(D78)+7)&lt;YEAR(E78),0,IF((YEAR(D78)+7)&gt;YEAR(E78),1,(12-MONTH(E78)+1)/12))) + (R78)*(IF((YEAR(D78)+7)&lt;YEAR(E78),0,IF((YEAR(D78)+7)&gt;YEAR(E78),1,(12-MONTH(E78)+1)/12))))-(IF((((K78)*(IF(M78="",L78,IFERROR(IF(INDEX(Variablen!$I:$AT, MATCH(M78, Variablen!$A:$A, 0), MATCH((YEAR(D78)+7), Variablen!$I$3:$AT$3, 0))="",L78,INDEX(Variablen!$I:$AT, MATCH(M78, Variablen!$A:$A, 0), MATCH((YEAR(D78)+7), Variablen!$I$3:$AT$3, 0))),L78)))*(IF((YEAR(D78)+7)&lt;YEAR(E78),0,IF((YEAR(D78)+7)&gt;YEAR(E78),1,(12-MONTH(E78)+1)/12))) + (Q78)*(IF((YEAR(D78)+7)&lt;YEAR(E78),0,IF((YEAR(D78)+7)&gt;YEAR(E78),1,(12-MONTH(E78)+1)/12))))-((P78)*(IF((YEAR(D78)+7)&lt;YEAR(E78),0,IF((YEAR(D78)+7)&gt;YEAR(E78),1,(12-MONTH(E78)+1)/12))) + (R78)*(IF((YEAR(D78)+7)&lt;YEAR(E78),0,IF((YEAR(D78)+7)&gt;YEAR(E78),1,(12-MONTH(E78)+1)/12))))-(IF(OR(N78="",N78&lt;=0),0,(O78/N78)*(IF(OR(N78="",N78&lt;=0),0,IF((YEAR(D78)+7)&lt;YEAR(E78),0,IF((YEAR(D78)+7)&gt;=YEAR(E78)+N78,0,IF((YEAR(D78)+7)=YEAR(E78),(12-MONTH(E78)+1)/12,1))))))))&gt;0,(((K78)*(IF(M78="",L78,IFERROR(IF(INDEX(Variablen!$I:$AT, MATCH(M78, Variablen!$A:$A, 0), MATCH((YEAR(D78)+7), Variablen!$I$3:$AT$3, 0))="",L78,INDEX(Variablen!$I:$AT, MATCH(M78, Variablen!$A:$A, 0), MATCH((YEAR(D78)+7), Variablen!$I$3:$AT$3, 0))),L78)))*(IF((YEAR(D78)+7)&lt;YEAR(E78),0,IF((YEAR(D78)+7)&gt;YEAR(E78),1,(12-MONTH(E78)+1)/12))) + (Q78)*(IF((YEAR(D78)+7)&lt;YEAR(E78),0,IF((YEAR(D78)+7)&gt;YEAR(E78),1,(12-MONTH(E78)+1)/12))))-((P78)*(IF((YEAR(D78)+7)&lt;YEAR(E78),0,IF((YEAR(D78)+7)&gt;YEAR(E78),1,(12-MONTH(E78)+1)/12))) + (R78)*(IF((YEAR(D78)+7)&lt;YEAR(E78),0,IF((YEAR(D78)+7)&gt;YEAR(E78),1,(12-MONTH(E78)+1)/12))))-(IF(OR(N78="",N78&lt;=0),0,(O78/N78)*(IF(OR(N78="",N78&lt;=0),0,IF((YEAR(D78)+7)&lt;YEAR(E78),0,IF((YEAR(D78)+7)&gt;=YEAR(E78)+N78,0,IF((YEAR(D78)+7)=YEAR(E78),(12-MONTH(E78)+1)/12,1))))))))*TaxRate,0))-IF(7=0,O78,0))</f>
        <v/>
      </c>
      <c r="AA78" s="29">
        <f>IF(A78="","",((K78)*(IF(M78="",L78,IFERROR(IF(INDEX(Variablen!$I:$AT, MATCH(M78, Variablen!$A:$A, 0), MATCH((YEAR(D78)+8), Variablen!$I$3:$AT$3, 0))="",L78,INDEX(Variablen!$I:$AT, MATCH(M78, Variablen!$A:$A, 0), MATCH((YEAR(D78)+8), Variablen!$I$3:$AT$3, 0))),L78)))*(IF((YEAR(D78)+8)&lt;YEAR(E78),0,IF((YEAR(D78)+8)&gt;YEAR(E78),1,(12-MONTH(E78)+1)/12))) + (Q78)*(IF((YEAR(D78)+8)&lt;YEAR(E78),0,IF((YEAR(D78)+8)&gt;YEAR(E78),1,(12-MONTH(E78)+1)/12))))-((P78)*(IF((YEAR(D78)+8)&lt;YEAR(E78),0,IF((YEAR(D78)+8)&gt;YEAR(E78),1,(12-MONTH(E78)+1)/12))) + (R78)*(IF((YEAR(D78)+8)&lt;YEAR(E78),0,IF((YEAR(D78)+8)&gt;YEAR(E78),1,(12-MONTH(E78)+1)/12))))-(IF((((K78)*(IF(M78="",L78,IFERROR(IF(INDEX(Variablen!$I:$AT, MATCH(M78, Variablen!$A:$A, 0), MATCH((YEAR(D78)+8), Variablen!$I$3:$AT$3, 0))="",L78,INDEX(Variablen!$I:$AT, MATCH(M78, Variablen!$A:$A, 0), MATCH((YEAR(D78)+8), Variablen!$I$3:$AT$3, 0))),L78)))*(IF((YEAR(D78)+8)&lt;YEAR(E78),0,IF((YEAR(D78)+8)&gt;YEAR(E78),1,(12-MONTH(E78)+1)/12))) + (Q78)*(IF((YEAR(D78)+8)&lt;YEAR(E78),0,IF((YEAR(D78)+8)&gt;YEAR(E78),1,(12-MONTH(E78)+1)/12))))-((P78)*(IF((YEAR(D78)+8)&lt;YEAR(E78),0,IF((YEAR(D78)+8)&gt;YEAR(E78),1,(12-MONTH(E78)+1)/12))) + (R78)*(IF((YEAR(D78)+8)&lt;YEAR(E78),0,IF((YEAR(D78)+8)&gt;YEAR(E78),1,(12-MONTH(E78)+1)/12))))-(IF(OR(N78="",N78&lt;=0),0,(O78/N78)*(IF(OR(N78="",N78&lt;=0),0,IF((YEAR(D78)+8)&lt;YEAR(E78),0,IF((YEAR(D78)+8)&gt;=YEAR(E78)+N78,0,IF((YEAR(D78)+8)=YEAR(E78),(12-MONTH(E78)+1)/12,1))))))))&gt;0,(((K78)*(IF(M78="",L78,IFERROR(IF(INDEX(Variablen!$I:$AT, MATCH(M78, Variablen!$A:$A, 0), MATCH((YEAR(D78)+8), Variablen!$I$3:$AT$3, 0))="",L78,INDEX(Variablen!$I:$AT, MATCH(M78, Variablen!$A:$A, 0), MATCH((YEAR(D78)+8), Variablen!$I$3:$AT$3, 0))),L78)))*(IF((YEAR(D78)+8)&lt;YEAR(E78),0,IF((YEAR(D78)+8)&gt;YEAR(E78),1,(12-MONTH(E78)+1)/12))) + (Q78)*(IF((YEAR(D78)+8)&lt;YEAR(E78),0,IF((YEAR(D78)+8)&gt;YEAR(E78),1,(12-MONTH(E78)+1)/12))))-((P78)*(IF((YEAR(D78)+8)&lt;YEAR(E78),0,IF((YEAR(D78)+8)&gt;YEAR(E78),1,(12-MONTH(E78)+1)/12))) + (R78)*(IF((YEAR(D78)+8)&lt;YEAR(E78),0,IF((YEAR(D78)+8)&gt;YEAR(E78),1,(12-MONTH(E78)+1)/12))))-(IF(OR(N78="",N78&lt;=0),0,(O78/N78)*(IF(OR(N78="",N78&lt;=0),0,IF((YEAR(D78)+8)&lt;YEAR(E78),0,IF((YEAR(D78)+8)&gt;=YEAR(E78)+N78,0,IF((YEAR(D78)+8)=YEAR(E78),(12-MONTH(E78)+1)/12,1))))))))*TaxRate,0))-IF(8=0,O78,0))</f>
        <v/>
      </c>
      <c r="AB78" s="29">
        <f>IF(A78="","",((K78)*(IF(M78="",L78,IFERROR(IF(INDEX(Variablen!$I:$AT, MATCH(M78, Variablen!$A:$A, 0), MATCH((YEAR(D78)+9), Variablen!$I$3:$AT$3, 0))="",L78,INDEX(Variablen!$I:$AT, MATCH(M78, Variablen!$A:$A, 0), MATCH((YEAR(D78)+9), Variablen!$I$3:$AT$3, 0))),L78)))*(IF((YEAR(D78)+9)&lt;YEAR(E78),0,IF((YEAR(D78)+9)&gt;YEAR(E78),1,(12-MONTH(E78)+1)/12))) + (Q78)*(IF((YEAR(D78)+9)&lt;YEAR(E78),0,IF((YEAR(D78)+9)&gt;YEAR(E78),1,(12-MONTH(E78)+1)/12))))-((P78)*(IF((YEAR(D78)+9)&lt;YEAR(E78),0,IF((YEAR(D78)+9)&gt;YEAR(E78),1,(12-MONTH(E78)+1)/12))) + (R78)*(IF((YEAR(D78)+9)&lt;YEAR(E78),0,IF((YEAR(D78)+9)&gt;YEAR(E78),1,(12-MONTH(E78)+1)/12))))-(IF((((K78)*(IF(M78="",L78,IFERROR(IF(INDEX(Variablen!$I:$AT, MATCH(M78, Variablen!$A:$A, 0), MATCH((YEAR(D78)+9), Variablen!$I$3:$AT$3, 0))="",L78,INDEX(Variablen!$I:$AT, MATCH(M78, Variablen!$A:$A, 0), MATCH((YEAR(D78)+9), Variablen!$I$3:$AT$3, 0))),L78)))*(IF((YEAR(D78)+9)&lt;YEAR(E78),0,IF((YEAR(D78)+9)&gt;YEAR(E78),1,(12-MONTH(E78)+1)/12))) + (Q78)*(IF((YEAR(D78)+9)&lt;YEAR(E78),0,IF((YEAR(D78)+9)&gt;YEAR(E78),1,(12-MONTH(E78)+1)/12))))-((P78)*(IF((YEAR(D78)+9)&lt;YEAR(E78),0,IF((YEAR(D78)+9)&gt;YEAR(E78),1,(12-MONTH(E78)+1)/12))) + (R78)*(IF((YEAR(D78)+9)&lt;YEAR(E78),0,IF((YEAR(D78)+9)&gt;YEAR(E78),1,(12-MONTH(E78)+1)/12))))-(IF(OR(N78="",N78&lt;=0),0,(O78/N78)*(IF(OR(N78="",N78&lt;=0),0,IF((YEAR(D78)+9)&lt;YEAR(E78),0,IF((YEAR(D78)+9)&gt;=YEAR(E78)+N78,0,IF((YEAR(D78)+9)=YEAR(E78),(12-MONTH(E78)+1)/12,1))))))))&gt;0,(((K78)*(IF(M78="",L78,IFERROR(IF(INDEX(Variablen!$I:$AT, MATCH(M78, Variablen!$A:$A, 0), MATCH((YEAR(D78)+9), Variablen!$I$3:$AT$3, 0))="",L78,INDEX(Variablen!$I:$AT, MATCH(M78, Variablen!$A:$A, 0), MATCH((YEAR(D78)+9), Variablen!$I$3:$AT$3, 0))),L78)))*(IF((YEAR(D78)+9)&lt;YEAR(E78),0,IF((YEAR(D78)+9)&gt;YEAR(E78),1,(12-MONTH(E78)+1)/12))) + (Q78)*(IF((YEAR(D78)+9)&lt;YEAR(E78),0,IF((YEAR(D78)+9)&gt;YEAR(E78),1,(12-MONTH(E78)+1)/12))))-((P78)*(IF((YEAR(D78)+9)&lt;YEAR(E78),0,IF((YEAR(D78)+9)&gt;YEAR(E78),1,(12-MONTH(E78)+1)/12))) + (R78)*(IF((YEAR(D78)+9)&lt;YEAR(E78),0,IF((YEAR(D78)+9)&gt;YEAR(E78),1,(12-MONTH(E78)+1)/12))))-(IF(OR(N78="",N78&lt;=0),0,(O78/N78)*(IF(OR(N78="",N78&lt;=0),0,IF((YEAR(D78)+9)&lt;YEAR(E78),0,IF((YEAR(D78)+9)&gt;=YEAR(E78)+N78,0,IF((YEAR(D78)+9)=YEAR(E78),(12-MONTH(E78)+1)/12,1))))))))*TaxRate,0))-IF(9=0,O78,0))</f>
        <v/>
      </c>
      <c r="AC78" s="29">
        <f>IF(A78="","",((K78)*(IF(M78="",L78,IFERROR(IF(INDEX(Variablen!$I:$AT, MATCH(M78, Variablen!$A:$A, 0), MATCH((YEAR(D78)+10), Variablen!$I$3:$AT$3, 0))="",L78,INDEX(Variablen!$I:$AT, MATCH(M78, Variablen!$A:$A, 0), MATCH((YEAR(D78)+10), Variablen!$I$3:$AT$3, 0))),L78)))*(IF((YEAR(D78)+10)&lt;YEAR(E78),0,IF((YEAR(D78)+10)&gt;YEAR(E78),1,(12-MONTH(E78)+1)/12))) + (Q78)*(IF((YEAR(D78)+10)&lt;YEAR(E78),0,IF((YEAR(D78)+10)&gt;YEAR(E78),1,(12-MONTH(E78)+1)/12))))-((P78)*(IF((YEAR(D78)+10)&lt;YEAR(E78),0,IF((YEAR(D78)+10)&gt;YEAR(E78),1,(12-MONTH(E78)+1)/12))) + (R78)*(IF((YEAR(D78)+10)&lt;YEAR(E78),0,IF((YEAR(D78)+10)&gt;YEAR(E78),1,(12-MONTH(E78)+1)/12))))-(IF((((K78)*(IF(M78="",L78,IFERROR(IF(INDEX(Variablen!$I:$AT, MATCH(M78, Variablen!$A:$A, 0), MATCH((YEAR(D78)+10), Variablen!$I$3:$AT$3, 0))="",L78,INDEX(Variablen!$I:$AT, MATCH(M78, Variablen!$A:$A, 0), MATCH((YEAR(D78)+10), Variablen!$I$3:$AT$3, 0))),L78)))*(IF((YEAR(D78)+10)&lt;YEAR(E78),0,IF((YEAR(D78)+10)&gt;YEAR(E78),1,(12-MONTH(E78)+1)/12))) + (Q78)*(IF((YEAR(D78)+10)&lt;YEAR(E78),0,IF((YEAR(D78)+10)&gt;YEAR(E78),1,(12-MONTH(E78)+1)/12))))-((P78)*(IF((YEAR(D78)+10)&lt;YEAR(E78),0,IF((YEAR(D78)+10)&gt;YEAR(E78),1,(12-MONTH(E78)+1)/12))) + (R78)*(IF((YEAR(D78)+10)&lt;YEAR(E78),0,IF((YEAR(D78)+10)&gt;YEAR(E78),1,(12-MONTH(E78)+1)/12))))-(IF(OR(N78="",N78&lt;=0),0,(O78/N78)*(IF(OR(N78="",N78&lt;=0),0,IF((YEAR(D78)+10)&lt;YEAR(E78),0,IF((YEAR(D78)+10)&gt;=YEAR(E78)+N78,0,IF((YEAR(D78)+10)=YEAR(E78),(12-MONTH(E78)+1)/12,1))))))))&gt;0,(((K78)*(IF(M78="",L78,IFERROR(IF(INDEX(Variablen!$I:$AT, MATCH(M78, Variablen!$A:$A, 0), MATCH((YEAR(D78)+10), Variablen!$I$3:$AT$3, 0))="",L78,INDEX(Variablen!$I:$AT, MATCH(M78, Variablen!$A:$A, 0), MATCH((YEAR(D78)+10), Variablen!$I$3:$AT$3, 0))),L78)))*(IF((YEAR(D78)+10)&lt;YEAR(E78),0,IF((YEAR(D78)+10)&gt;YEAR(E78),1,(12-MONTH(E78)+1)/12))) + (Q78)*(IF((YEAR(D78)+10)&lt;YEAR(E78),0,IF((YEAR(D78)+10)&gt;YEAR(E78),1,(12-MONTH(E78)+1)/12))))-((P78)*(IF((YEAR(D78)+10)&lt;YEAR(E78),0,IF((YEAR(D78)+10)&gt;YEAR(E78),1,(12-MONTH(E78)+1)/12))) + (R78)*(IF((YEAR(D78)+10)&lt;YEAR(E78),0,IF((YEAR(D78)+10)&gt;YEAR(E78),1,(12-MONTH(E78)+1)/12))))-(IF(OR(N78="",N78&lt;=0),0,(O78/N78)*(IF(OR(N78="",N78&lt;=0),0,IF((YEAR(D78)+10)&lt;YEAR(E78),0,IF((YEAR(D78)+10)&gt;=YEAR(E78)+N78,0,IF((YEAR(D78)+10)=YEAR(E78),(12-MONTH(E78)+1)/12,1))))))))*TaxRate,0))-IF(10=0,O78,0))</f>
        <v/>
      </c>
      <c r="AD78" s="29">
        <f>IF(A78="","",((K78)*(IF(M78="",L78,IFERROR(IF(INDEX(Variablen!$I:$AT, MATCH(M78, Variablen!$A:$A, 0), MATCH((YEAR(D78)+11), Variablen!$I$3:$AT$3, 0))="",L78,INDEX(Variablen!$I:$AT, MATCH(M78, Variablen!$A:$A, 0), MATCH((YEAR(D78)+11), Variablen!$I$3:$AT$3, 0))),L78)))*(IF((YEAR(D78)+11)&lt;YEAR(E78),0,IF((YEAR(D78)+11)&gt;YEAR(E78),1,(12-MONTH(E78)+1)/12))) + (Q78)*(IF((YEAR(D78)+11)&lt;YEAR(E78),0,IF((YEAR(D78)+11)&gt;YEAR(E78),1,(12-MONTH(E78)+1)/12))))-((P78)*(IF((YEAR(D78)+11)&lt;YEAR(E78),0,IF((YEAR(D78)+11)&gt;YEAR(E78),1,(12-MONTH(E78)+1)/12))) + (R78)*(IF((YEAR(D78)+11)&lt;YEAR(E78),0,IF((YEAR(D78)+11)&gt;YEAR(E78),1,(12-MONTH(E78)+1)/12))))-(IF((((K78)*(IF(M78="",L78,IFERROR(IF(INDEX(Variablen!$I:$AT, MATCH(M78, Variablen!$A:$A, 0), MATCH((YEAR(D78)+11), Variablen!$I$3:$AT$3, 0))="",L78,INDEX(Variablen!$I:$AT, MATCH(M78, Variablen!$A:$A, 0), MATCH((YEAR(D78)+11), Variablen!$I$3:$AT$3, 0))),L78)))*(IF((YEAR(D78)+11)&lt;YEAR(E78),0,IF((YEAR(D78)+11)&gt;YEAR(E78),1,(12-MONTH(E78)+1)/12))) + (Q78)*(IF((YEAR(D78)+11)&lt;YEAR(E78),0,IF((YEAR(D78)+11)&gt;YEAR(E78),1,(12-MONTH(E78)+1)/12))))-((P78)*(IF((YEAR(D78)+11)&lt;YEAR(E78),0,IF((YEAR(D78)+11)&gt;YEAR(E78),1,(12-MONTH(E78)+1)/12))) + (R78)*(IF((YEAR(D78)+11)&lt;YEAR(E78),0,IF((YEAR(D78)+11)&gt;YEAR(E78),1,(12-MONTH(E78)+1)/12))))-(IF(OR(N78="",N78&lt;=0),0,(O78/N78)*(IF(OR(N78="",N78&lt;=0),0,IF((YEAR(D78)+11)&lt;YEAR(E78),0,IF((YEAR(D78)+11)&gt;=YEAR(E78)+N78,0,IF((YEAR(D78)+11)=YEAR(E78),(12-MONTH(E78)+1)/12,1))))))))&gt;0,(((K78)*(IF(M78="",L78,IFERROR(IF(INDEX(Variablen!$I:$AT, MATCH(M78, Variablen!$A:$A, 0), MATCH((YEAR(D78)+11), Variablen!$I$3:$AT$3, 0))="",L78,INDEX(Variablen!$I:$AT, MATCH(M78, Variablen!$A:$A, 0), MATCH((YEAR(D78)+11), Variablen!$I$3:$AT$3, 0))),L78)))*(IF((YEAR(D78)+11)&lt;YEAR(E78),0,IF((YEAR(D78)+11)&gt;YEAR(E78),1,(12-MONTH(E78)+1)/12))) + (Q78)*(IF((YEAR(D78)+11)&lt;YEAR(E78),0,IF((YEAR(D78)+11)&gt;YEAR(E78),1,(12-MONTH(E78)+1)/12))))-((P78)*(IF((YEAR(D78)+11)&lt;YEAR(E78),0,IF((YEAR(D78)+11)&gt;YEAR(E78),1,(12-MONTH(E78)+1)/12))) + (R78)*(IF((YEAR(D78)+11)&lt;YEAR(E78),0,IF((YEAR(D78)+11)&gt;YEAR(E78),1,(12-MONTH(E78)+1)/12))))-(IF(OR(N78="",N78&lt;=0),0,(O78/N78)*(IF(OR(N78="",N78&lt;=0),0,IF((YEAR(D78)+11)&lt;YEAR(E78),0,IF((YEAR(D78)+11)&gt;=YEAR(E78)+N78,0,IF((YEAR(D78)+11)=YEAR(E78),(12-MONTH(E78)+1)/12,1))))))))*TaxRate,0))-IF(11=0,O78,0))</f>
        <v/>
      </c>
      <c r="AE78" s="29">
        <f>IF(A78="","",((K78)*(IF(M78="",L78,IFERROR(IF(INDEX(Variablen!$I:$AT, MATCH(M78, Variablen!$A:$A, 0), MATCH((YEAR(D78)+12), Variablen!$I$3:$AT$3, 0))="",L78,INDEX(Variablen!$I:$AT, MATCH(M78, Variablen!$A:$A, 0), MATCH((YEAR(D78)+12), Variablen!$I$3:$AT$3, 0))),L78)))*(IF((YEAR(D78)+12)&lt;YEAR(E78),0,IF((YEAR(D78)+12)&gt;YEAR(E78),1,(12-MONTH(E78)+1)/12))) + (Q78)*(IF((YEAR(D78)+12)&lt;YEAR(E78),0,IF((YEAR(D78)+12)&gt;YEAR(E78),1,(12-MONTH(E78)+1)/12))))-((P78)*(IF((YEAR(D78)+12)&lt;YEAR(E78),0,IF((YEAR(D78)+12)&gt;YEAR(E78),1,(12-MONTH(E78)+1)/12))) + (R78)*(IF((YEAR(D78)+12)&lt;YEAR(E78),0,IF((YEAR(D78)+12)&gt;YEAR(E78),1,(12-MONTH(E78)+1)/12))))-(IF((((K78)*(IF(M78="",L78,IFERROR(IF(INDEX(Variablen!$I:$AT, MATCH(M78, Variablen!$A:$A, 0), MATCH((YEAR(D78)+12), Variablen!$I$3:$AT$3, 0))="",L78,INDEX(Variablen!$I:$AT, MATCH(M78, Variablen!$A:$A, 0), MATCH((YEAR(D78)+12), Variablen!$I$3:$AT$3, 0))),L78)))*(IF((YEAR(D78)+12)&lt;YEAR(E78),0,IF((YEAR(D78)+12)&gt;YEAR(E78),1,(12-MONTH(E78)+1)/12))) + (Q78)*(IF((YEAR(D78)+12)&lt;YEAR(E78),0,IF((YEAR(D78)+12)&gt;YEAR(E78),1,(12-MONTH(E78)+1)/12))))-((P78)*(IF((YEAR(D78)+12)&lt;YEAR(E78),0,IF((YEAR(D78)+12)&gt;YEAR(E78),1,(12-MONTH(E78)+1)/12))) + (R78)*(IF((YEAR(D78)+12)&lt;YEAR(E78),0,IF((YEAR(D78)+12)&gt;YEAR(E78),1,(12-MONTH(E78)+1)/12))))-(IF(OR(N78="",N78&lt;=0),0,(O78/N78)*(IF(OR(N78="",N78&lt;=0),0,IF((YEAR(D78)+12)&lt;YEAR(E78),0,IF((YEAR(D78)+12)&gt;=YEAR(E78)+N78,0,IF((YEAR(D78)+12)=YEAR(E78),(12-MONTH(E78)+1)/12,1))))))))&gt;0,(((K78)*(IF(M78="",L78,IFERROR(IF(INDEX(Variablen!$I:$AT, MATCH(M78, Variablen!$A:$A, 0), MATCH((YEAR(D78)+12), Variablen!$I$3:$AT$3, 0))="",L78,INDEX(Variablen!$I:$AT, MATCH(M78, Variablen!$A:$A, 0), MATCH((YEAR(D78)+12), Variablen!$I$3:$AT$3, 0))),L78)))*(IF((YEAR(D78)+12)&lt;YEAR(E78),0,IF((YEAR(D78)+12)&gt;YEAR(E78),1,(12-MONTH(E78)+1)/12))) + (Q78)*(IF((YEAR(D78)+12)&lt;YEAR(E78),0,IF((YEAR(D78)+12)&gt;YEAR(E78),1,(12-MONTH(E78)+1)/12))))-((P78)*(IF((YEAR(D78)+12)&lt;YEAR(E78),0,IF((YEAR(D78)+12)&gt;YEAR(E78),1,(12-MONTH(E78)+1)/12))) + (R78)*(IF((YEAR(D78)+12)&lt;YEAR(E78),0,IF((YEAR(D78)+12)&gt;YEAR(E78),1,(12-MONTH(E78)+1)/12))))-(IF(OR(N78="",N78&lt;=0),0,(O78/N78)*(IF(OR(N78="",N78&lt;=0),0,IF((YEAR(D78)+12)&lt;YEAR(E78),0,IF((YEAR(D78)+12)&gt;=YEAR(E78)+N78,0,IF((YEAR(D78)+12)=YEAR(E78),(12-MONTH(E78)+1)/12,1))))))))*TaxRate,0))-IF(12=0,O78,0))</f>
        <v/>
      </c>
      <c r="AF78" s="29">
        <f>IF(A78="","",((K78)*(IF(M78="",L78,IFERROR(IF(INDEX(Variablen!$I:$AT, MATCH(M78, Variablen!$A:$A, 0), MATCH((YEAR(D78)+13), Variablen!$I$3:$AT$3, 0))="",L78,INDEX(Variablen!$I:$AT, MATCH(M78, Variablen!$A:$A, 0), MATCH((YEAR(D78)+13), Variablen!$I$3:$AT$3, 0))),L78)))*(IF((YEAR(D78)+13)&lt;YEAR(E78),0,IF((YEAR(D78)+13)&gt;YEAR(E78),1,(12-MONTH(E78)+1)/12))) + (Q78)*(IF((YEAR(D78)+13)&lt;YEAR(E78),0,IF((YEAR(D78)+13)&gt;YEAR(E78),1,(12-MONTH(E78)+1)/12))))-((P78)*(IF((YEAR(D78)+13)&lt;YEAR(E78),0,IF((YEAR(D78)+13)&gt;YEAR(E78),1,(12-MONTH(E78)+1)/12))) + (R78)*(IF((YEAR(D78)+13)&lt;YEAR(E78),0,IF((YEAR(D78)+13)&gt;YEAR(E78),1,(12-MONTH(E78)+1)/12))))-(IF((((K78)*(IF(M78="",L78,IFERROR(IF(INDEX(Variablen!$I:$AT, MATCH(M78, Variablen!$A:$A, 0), MATCH((YEAR(D78)+13), Variablen!$I$3:$AT$3, 0))="",L78,INDEX(Variablen!$I:$AT, MATCH(M78, Variablen!$A:$A, 0), MATCH((YEAR(D78)+13), Variablen!$I$3:$AT$3, 0))),L78)))*(IF((YEAR(D78)+13)&lt;YEAR(E78),0,IF((YEAR(D78)+13)&gt;YEAR(E78),1,(12-MONTH(E78)+1)/12))) + (Q78)*(IF((YEAR(D78)+13)&lt;YEAR(E78),0,IF((YEAR(D78)+13)&gt;YEAR(E78),1,(12-MONTH(E78)+1)/12))))-((P78)*(IF((YEAR(D78)+13)&lt;YEAR(E78),0,IF((YEAR(D78)+13)&gt;YEAR(E78),1,(12-MONTH(E78)+1)/12))) + (R78)*(IF((YEAR(D78)+13)&lt;YEAR(E78),0,IF((YEAR(D78)+13)&gt;YEAR(E78),1,(12-MONTH(E78)+1)/12))))-(IF(OR(N78="",N78&lt;=0),0,(O78/N78)*(IF(OR(N78="",N78&lt;=0),0,IF((YEAR(D78)+13)&lt;YEAR(E78),0,IF((YEAR(D78)+13)&gt;=YEAR(E78)+N78,0,IF((YEAR(D78)+13)=YEAR(E78),(12-MONTH(E78)+1)/12,1))))))))&gt;0,(((K78)*(IF(M78="",L78,IFERROR(IF(INDEX(Variablen!$I:$AT, MATCH(M78, Variablen!$A:$A, 0), MATCH((YEAR(D78)+13), Variablen!$I$3:$AT$3, 0))="",L78,INDEX(Variablen!$I:$AT, MATCH(M78, Variablen!$A:$A, 0), MATCH((YEAR(D78)+13), Variablen!$I$3:$AT$3, 0))),L78)))*(IF((YEAR(D78)+13)&lt;YEAR(E78),0,IF((YEAR(D78)+13)&gt;YEAR(E78),1,(12-MONTH(E78)+1)/12))) + (Q78)*(IF((YEAR(D78)+13)&lt;YEAR(E78),0,IF((YEAR(D78)+13)&gt;YEAR(E78),1,(12-MONTH(E78)+1)/12))))-((P78)*(IF((YEAR(D78)+13)&lt;YEAR(E78),0,IF((YEAR(D78)+13)&gt;YEAR(E78),1,(12-MONTH(E78)+1)/12))) + (R78)*(IF((YEAR(D78)+13)&lt;YEAR(E78),0,IF((YEAR(D78)+13)&gt;YEAR(E78),1,(12-MONTH(E78)+1)/12))))-(IF(OR(N78="",N78&lt;=0),0,(O78/N78)*(IF(OR(N78="",N78&lt;=0),0,IF((YEAR(D78)+13)&lt;YEAR(E78),0,IF((YEAR(D78)+13)&gt;=YEAR(E78)+N78,0,IF((YEAR(D78)+13)=YEAR(E78),(12-MONTH(E78)+1)/12,1))))))))*TaxRate,0))-IF(13=0,O78,0))</f>
        <v/>
      </c>
      <c r="AG78" s="29">
        <f>IF(A78="","",((K78)*(IF(M78="",L78,IFERROR(IF(INDEX(Variablen!$I:$AT, MATCH(M78, Variablen!$A:$A, 0), MATCH((YEAR(D78)+14), Variablen!$I$3:$AT$3, 0))="",L78,INDEX(Variablen!$I:$AT, MATCH(M78, Variablen!$A:$A, 0), MATCH((YEAR(D78)+14), Variablen!$I$3:$AT$3, 0))),L78)))*(IF((YEAR(D78)+14)&lt;YEAR(E78),0,IF((YEAR(D78)+14)&gt;YEAR(E78),1,(12-MONTH(E78)+1)/12))) + (Q78)*(IF((YEAR(D78)+14)&lt;YEAR(E78),0,IF((YEAR(D78)+14)&gt;YEAR(E78),1,(12-MONTH(E78)+1)/12))))-((P78)*(IF((YEAR(D78)+14)&lt;YEAR(E78),0,IF((YEAR(D78)+14)&gt;YEAR(E78),1,(12-MONTH(E78)+1)/12))) + (R78)*(IF((YEAR(D78)+14)&lt;YEAR(E78),0,IF((YEAR(D78)+14)&gt;YEAR(E78),1,(12-MONTH(E78)+1)/12))))-(IF((((K78)*(IF(M78="",L78,IFERROR(IF(INDEX(Variablen!$I:$AT, MATCH(M78, Variablen!$A:$A, 0), MATCH((YEAR(D78)+14), Variablen!$I$3:$AT$3, 0))="",L78,INDEX(Variablen!$I:$AT, MATCH(M78, Variablen!$A:$A, 0), MATCH((YEAR(D78)+14), Variablen!$I$3:$AT$3, 0))),L78)))*(IF((YEAR(D78)+14)&lt;YEAR(E78),0,IF((YEAR(D78)+14)&gt;YEAR(E78),1,(12-MONTH(E78)+1)/12))) + (Q78)*(IF((YEAR(D78)+14)&lt;YEAR(E78),0,IF((YEAR(D78)+14)&gt;YEAR(E78),1,(12-MONTH(E78)+1)/12))))-((P78)*(IF((YEAR(D78)+14)&lt;YEAR(E78),0,IF((YEAR(D78)+14)&gt;YEAR(E78),1,(12-MONTH(E78)+1)/12))) + (R78)*(IF((YEAR(D78)+14)&lt;YEAR(E78),0,IF((YEAR(D78)+14)&gt;YEAR(E78),1,(12-MONTH(E78)+1)/12))))-(IF(OR(N78="",N78&lt;=0),0,(O78/N78)*(IF(OR(N78="",N78&lt;=0),0,IF((YEAR(D78)+14)&lt;YEAR(E78),0,IF((YEAR(D78)+14)&gt;=YEAR(E78)+N78,0,IF((YEAR(D78)+14)=YEAR(E78),(12-MONTH(E78)+1)/12,1))))))))&gt;0,(((K78)*(IF(M78="",L78,IFERROR(IF(INDEX(Variablen!$I:$AT, MATCH(M78, Variablen!$A:$A, 0), MATCH((YEAR(D78)+14), Variablen!$I$3:$AT$3, 0))="",L78,INDEX(Variablen!$I:$AT, MATCH(M78, Variablen!$A:$A, 0), MATCH((YEAR(D78)+14), Variablen!$I$3:$AT$3, 0))),L78)))*(IF((YEAR(D78)+14)&lt;YEAR(E78),0,IF((YEAR(D78)+14)&gt;YEAR(E78),1,(12-MONTH(E78)+1)/12))) + (Q78)*(IF((YEAR(D78)+14)&lt;YEAR(E78),0,IF((YEAR(D78)+14)&gt;YEAR(E78),1,(12-MONTH(E78)+1)/12))))-((P78)*(IF((YEAR(D78)+14)&lt;YEAR(E78),0,IF((YEAR(D78)+14)&gt;YEAR(E78),1,(12-MONTH(E78)+1)/12))) + (R78)*(IF((YEAR(D78)+14)&lt;YEAR(E78),0,IF((YEAR(D78)+14)&gt;YEAR(E78),1,(12-MONTH(E78)+1)/12))))-(IF(OR(N78="",N78&lt;=0),0,(O78/N78)*(IF(OR(N78="",N78&lt;=0),0,IF((YEAR(D78)+14)&lt;YEAR(E78),0,IF((YEAR(D78)+14)&gt;=YEAR(E78)+N78,0,IF((YEAR(D78)+14)=YEAR(E78),(12-MONTH(E78)+1)/12,1))))))))*TaxRate,0))-IF(14=0,O78,0))</f>
        <v/>
      </c>
      <c r="AH78" s="29">
        <f>IF(A78="","",((K78)*(IF(M78="",L78,IFERROR(IF(INDEX(Variablen!$I:$AT, MATCH(M78, Variablen!$A:$A, 0), MATCH((YEAR(D78)+15), Variablen!$I$3:$AT$3, 0))="",L78,INDEX(Variablen!$I:$AT, MATCH(M78, Variablen!$A:$A, 0), MATCH((YEAR(D78)+15), Variablen!$I$3:$AT$3, 0))),L78)))*(IF((YEAR(D78)+15)&lt;YEAR(E78),0,IF((YEAR(D78)+15)&gt;YEAR(E78),1,(12-MONTH(E78)+1)/12))) + (Q78)*(IF((YEAR(D78)+15)&lt;YEAR(E78),0,IF((YEAR(D78)+15)&gt;YEAR(E78),1,(12-MONTH(E78)+1)/12))))-((P78)*(IF((YEAR(D78)+15)&lt;YEAR(E78),0,IF((YEAR(D78)+15)&gt;YEAR(E78),1,(12-MONTH(E78)+1)/12))) + (R78)*(IF((YEAR(D78)+15)&lt;YEAR(E78),0,IF((YEAR(D78)+15)&gt;YEAR(E78),1,(12-MONTH(E78)+1)/12))))-(IF((((K78)*(IF(M78="",L78,IFERROR(IF(INDEX(Variablen!$I:$AT, MATCH(M78, Variablen!$A:$A, 0), MATCH((YEAR(D78)+15), Variablen!$I$3:$AT$3, 0))="",L78,INDEX(Variablen!$I:$AT, MATCH(M78, Variablen!$A:$A, 0), MATCH((YEAR(D78)+15), Variablen!$I$3:$AT$3, 0))),L78)))*(IF((YEAR(D78)+15)&lt;YEAR(E78),0,IF((YEAR(D78)+15)&gt;YEAR(E78),1,(12-MONTH(E78)+1)/12))) + (Q78)*(IF((YEAR(D78)+15)&lt;YEAR(E78),0,IF((YEAR(D78)+15)&gt;YEAR(E78),1,(12-MONTH(E78)+1)/12))))-((P78)*(IF((YEAR(D78)+15)&lt;YEAR(E78),0,IF((YEAR(D78)+15)&gt;YEAR(E78),1,(12-MONTH(E78)+1)/12))) + (R78)*(IF((YEAR(D78)+15)&lt;YEAR(E78),0,IF((YEAR(D78)+15)&gt;YEAR(E78),1,(12-MONTH(E78)+1)/12))))-(IF(OR(N78="",N78&lt;=0),0,(O78/N78)*(IF(OR(N78="",N78&lt;=0),0,IF((YEAR(D78)+15)&lt;YEAR(E78),0,IF((YEAR(D78)+15)&gt;=YEAR(E78)+N78,0,IF((YEAR(D78)+15)=YEAR(E78),(12-MONTH(E78)+1)/12,1))))))))&gt;0,(((K78)*(IF(M78="",L78,IFERROR(IF(INDEX(Variablen!$I:$AT, MATCH(M78, Variablen!$A:$A, 0), MATCH((YEAR(D78)+15), Variablen!$I$3:$AT$3, 0))="",L78,INDEX(Variablen!$I:$AT, MATCH(M78, Variablen!$A:$A, 0), MATCH((YEAR(D78)+15), Variablen!$I$3:$AT$3, 0))),L78)))*(IF((YEAR(D78)+15)&lt;YEAR(E78),0,IF((YEAR(D78)+15)&gt;YEAR(E78),1,(12-MONTH(E78)+1)/12))) + (Q78)*(IF((YEAR(D78)+15)&lt;YEAR(E78),0,IF((YEAR(D78)+15)&gt;YEAR(E78),1,(12-MONTH(E78)+1)/12))))-((P78)*(IF((YEAR(D78)+15)&lt;YEAR(E78),0,IF((YEAR(D78)+15)&gt;YEAR(E78),1,(12-MONTH(E78)+1)/12))) + (R78)*(IF((YEAR(D78)+15)&lt;YEAR(E78),0,IF((YEAR(D78)+15)&gt;YEAR(E78),1,(12-MONTH(E78)+1)/12))))-(IF(OR(N78="",N78&lt;=0),0,(O78/N78)*(IF(OR(N78="",N78&lt;=0),0,IF((YEAR(D78)+15)&lt;YEAR(E78),0,IF((YEAR(D78)+15)&gt;=YEAR(E78)+N78,0,IF((YEAR(D78)+15)=YEAR(E78),(12-MONTH(E78)+1)/12,1))))))))*TaxRate,0))-IF(15=0,O78,0))</f>
        <v/>
      </c>
      <c r="AI78" s="29">
        <f>IF(A78="","",((K78)*(IF(M78="",L78,IFERROR(IF(INDEX(Variablen!$I:$AT, MATCH(M78, Variablen!$A:$A, 0), MATCH((YEAR(D78)+16), Variablen!$I$3:$AT$3, 0))="",L78,INDEX(Variablen!$I:$AT, MATCH(M78, Variablen!$A:$A, 0), MATCH((YEAR(D78)+16), Variablen!$I$3:$AT$3, 0))),L78)))*(IF((YEAR(D78)+16)&lt;YEAR(E78),0,IF((YEAR(D78)+16)&gt;YEAR(E78),1,(12-MONTH(E78)+1)/12))) + (Q78)*(IF((YEAR(D78)+16)&lt;YEAR(E78),0,IF((YEAR(D78)+16)&gt;YEAR(E78),1,(12-MONTH(E78)+1)/12))))-((P78)*(IF((YEAR(D78)+16)&lt;YEAR(E78),0,IF((YEAR(D78)+16)&gt;YEAR(E78),1,(12-MONTH(E78)+1)/12))) + (R78)*(IF((YEAR(D78)+16)&lt;YEAR(E78),0,IF((YEAR(D78)+16)&gt;YEAR(E78),1,(12-MONTH(E78)+1)/12))))-(IF((((K78)*(IF(M78="",L78,IFERROR(IF(INDEX(Variablen!$I:$AT, MATCH(M78, Variablen!$A:$A, 0), MATCH((YEAR(D78)+16), Variablen!$I$3:$AT$3, 0))="",L78,INDEX(Variablen!$I:$AT, MATCH(M78, Variablen!$A:$A, 0), MATCH((YEAR(D78)+16), Variablen!$I$3:$AT$3, 0))),L78)))*(IF((YEAR(D78)+16)&lt;YEAR(E78),0,IF((YEAR(D78)+16)&gt;YEAR(E78),1,(12-MONTH(E78)+1)/12))) + (Q78)*(IF((YEAR(D78)+16)&lt;YEAR(E78),0,IF((YEAR(D78)+16)&gt;YEAR(E78),1,(12-MONTH(E78)+1)/12))))-((P78)*(IF((YEAR(D78)+16)&lt;YEAR(E78),0,IF((YEAR(D78)+16)&gt;YEAR(E78),1,(12-MONTH(E78)+1)/12))) + (R78)*(IF((YEAR(D78)+16)&lt;YEAR(E78),0,IF((YEAR(D78)+16)&gt;YEAR(E78),1,(12-MONTH(E78)+1)/12))))-(IF(OR(N78="",N78&lt;=0),0,(O78/N78)*(IF(OR(N78="",N78&lt;=0),0,IF((YEAR(D78)+16)&lt;YEAR(E78),0,IF((YEAR(D78)+16)&gt;=YEAR(E78)+N78,0,IF((YEAR(D78)+16)=YEAR(E78),(12-MONTH(E78)+1)/12,1))))))))&gt;0,(((K78)*(IF(M78="",L78,IFERROR(IF(INDEX(Variablen!$I:$AT, MATCH(M78, Variablen!$A:$A, 0), MATCH((YEAR(D78)+16), Variablen!$I$3:$AT$3, 0))="",L78,INDEX(Variablen!$I:$AT, MATCH(M78, Variablen!$A:$A, 0), MATCH((YEAR(D78)+16), Variablen!$I$3:$AT$3, 0))),L78)))*(IF((YEAR(D78)+16)&lt;YEAR(E78),0,IF((YEAR(D78)+16)&gt;YEAR(E78),1,(12-MONTH(E78)+1)/12))) + (Q78)*(IF((YEAR(D78)+16)&lt;YEAR(E78),0,IF((YEAR(D78)+16)&gt;YEAR(E78),1,(12-MONTH(E78)+1)/12))))-((P78)*(IF((YEAR(D78)+16)&lt;YEAR(E78),0,IF((YEAR(D78)+16)&gt;YEAR(E78),1,(12-MONTH(E78)+1)/12))) + (R78)*(IF((YEAR(D78)+16)&lt;YEAR(E78),0,IF((YEAR(D78)+16)&gt;YEAR(E78),1,(12-MONTH(E78)+1)/12))))-(IF(OR(N78="",N78&lt;=0),0,(O78/N78)*(IF(OR(N78="",N78&lt;=0),0,IF((YEAR(D78)+16)&lt;YEAR(E78),0,IF((YEAR(D78)+16)&gt;=YEAR(E78)+N78,0,IF((YEAR(D78)+16)=YEAR(E78),(12-MONTH(E78)+1)/12,1))))))))*TaxRate,0))-IF(16=0,O78,0))</f>
        <v/>
      </c>
      <c r="AJ78" s="29">
        <f>IF(A78="","",((K78)*(IF(M78="",L78,IFERROR(IF(INDEX(Variablen!$I:$AT, MATCH(M78, Variablen!$A:$A, 0), MATCH((YEAR(D78)+17), Variablen!$I$3:$AT$3, 0))="",L78,INDEX(Variablen!$I:$AT, MATCH(M78, Variablen!$A:$A, 0), MATCH((YEAR(D78)+17), Variablen!$I$3:$AT$3, 0))),L78)))*(IF((YEAR(D78)+17)&lt;YEAR(E78),0,IF((YEAR(D78)+17)&gt;YEAR(E78),1,(12-MONTH(E78)+1)/12))) + (Q78)*(IF((YEAR(D78)+17)&lt;YEAR(E78),0,IF((YEAR(D78)+17)&gt;YEAR(E78),1,(12-MONTH(E78)+1)/12))))-((P78)*(IF((YEAR(D78)+17)&lt;YEAR(E78),0,IF((YEAR(D78)+17)&gt;YEAR(E78),1,(12-MONTH(E78)+1)/12))) + (R78)*(IF((YEAR(D78)+17)&lt;YEAR(E78),0,IF((YEAR(D78)+17)&gt;YEAR(E78),1,(12-MONTH(E78)+1)/12))))-(IF((((K78)*(IF(M78="",L78,IFERROR(IF(INDEX(Variablen!$I:$AT, MATCH(M78, Variablen!$A:$A, 0), MATCH((YEAR(D78)+17), Variablen!$I$3:$AT$3, 0))="",L78,INDEX(Variablen!$I:$AT, MATCH(M78, Variablen!$A:$A, 0), MATCH((YEAR(D78)+17), Variablen!$I$3:$AT$3, 0))),L78)))*(IF((YEAR(D78)+17)&lt;YEAR(E78),0,IF((YEAR(D78)+17)&gt;YEAR(E78),1,(12-MONTH(E78)+1)/12))) + (Q78)*(IF((YEAR(D78)+17)&lt;YEAR(E78),0,IF((YEAR(D78)+17)&gt;YEAR(E78),1,(12-MONTH(E78)+1)/12))))-((P78)*(IF((YEAR(D78)+17)&lt;YEAR(E78),0,IF((YEAR(D78)+17)&gt;YEAR(E78),1,(12-MONTH(E78)+1)/12))) + (R78)*(IF((YEAR(D78)+17)&lt;YEAR(E78),0,IF((YEAR(D78)+17)&gt;YEAR(E78),1,(12-MONTH(E78)+1)/12))))-(IF(OR(N78="",N78&lt;=0),0,(O78/N78)*(IF(OR(N78="",N78&lt;=0),0,IF((YEAR(D78)+17)&lt;YEAR(E78),0,IF((YEAR(D78)+17)&gt;=YEAR(E78)+N78,0,IF((YEAR(D78)+17)=YEAR(E78),(12-MONTH(E78)+1)/12,1))))))))&gt;0,(((K78)*(IF(M78="",L78,IFERROR(IF(INDEX(Variablen!$I:$AT, MATCH(M78, Variablen!$A:$A, 0), MATCH((YEAR(D78)+17), Variablen!$I$3:$AT$3, 0))="",L78,INDEX(Variablen!$I:$AT, MATCH(M78, Variablen!$A:$A, 0), MATCH((YEAR(D78)+17), Variablen!$I$3:$AT$3, 0))),L78)))*(IF((YEAR(D78)+17)&lt;YEAR(E78),0,IF((YEAR(D78)+17)&gt;YEAR(E78),1,(12-MONTH(E78)+1)/12))) + (Q78)*(IF((YEAR(D78)+17)&lt;YEAR(E78),0,IF((YEAR(D78)+17)&gt;YEAR(E78),1,(12-MONTH(E78)+1)/12))))-((P78)*(IF((YEAR(D78)+17)&lt;YEAR(E78),0,IF((YEAR(D78)+17)&gt;YEAR(E78),1,(12-MONTH(E78)+1)/12))) + (R78)*(IF((YEAR(D78)+17)&lt;YEAR(E78),0,IF((YEAR(D78)+17)&gt;YEAR(E78),1,(12-MONTH(E78)+1)/12))))-(IF(OR(N78="",N78&lt;=0),0,(O78/N78)*(IF(OR(N78="",N78&lt;=0),0,IF((YEAR(D78)+17)&lt;YEAR(E78),0,IF((YEAR(D78)+17)&gt;=YEAR(E78)+N78,0,IF((YEAR(D78)+17)=YEAR(E78),(12-MONTH(E78)+1)/12,1))))))))*TaxRate,0))-IF(17=0,O78,0))</f>
        <v/>
      </c>
      <c r="AK78" s="29">
        <f>IF(A78="","",((K78)*(IF(M78="",L78,IFERROR(IF(INDEX(Variablen!$I:$AT, MATCH(M78, Variablen!$A:$A, 0), MATCH((YEAR(D78)+18), Variablen!$I$3:$AT$3, 0))="",L78,INDEX(Variablen!$I:$AT, MATCH(M78, Variablen!$A:$A, 0), MATCH((YEAR(D78)+18), Variablen!$I$3:$AT$3, 0))),L78)))*(IF((YEAR(D78)+18)&lt;YEAR(E78),0,IF((YEAR(D78)+18)&gt;YEAR(E78),1,(12-MONTH(E78)+1)/12))) + (Q78)*(IF((YEAR(D78)+18)&lt;YEAR(E78),0,IF((YEAR(D78)+18)&gt;YEAR(E78),1,(12-MONTH(E78)+1)/12))))-((P78)*(IF((YEAR(D78)+18)&lt;YEAR(E78),0,IF((YEAR(D78)+18)&gt;YEAR(E78),1,(12-MONTH(E78)+1)/12))) + (R78)*(IF((YEAR(D78)+18)&lt;YEAR(E78),0,IF((YEAR(D78)+18)&gt;YEAR(E78),1,(12-MONTH(E78)+1)/12))))-(IF((((K78)*(IF(M78="",L78,IFERROR(IF(INDEX(Variablen!$I:$AT, MATCH(M78, Variablen!$A:$A, 0), MATCH((YEAR(D78)+18), Variablen!$I$3:$AT$3, 0))="",L78,INDEX(Variablen!$I:$AT, MATCH(M78, Variablen!$A:$A, 0), MATCH((YEAR(D78)+18), Variablen!$I$3:$AT$3, 0))),L78)))*(IF((YEAR(D78)+18)&lt;YEAR(E78),0,IF((YEAR(D78)+18)&gt;YEAR(E78),1,(12-MONTH(E78)+1)/12))) + (Q78)*(IF((YEAR(D78)+18)&lt;YEAR(E78),0,IF((YEAR(D78)+18)&gt;YEAR(E78),1,(12-MONTH(E78)+1)/12))))-((P78)*(IF((YEAR(D78)+18)&lt;YEAR(E78),0,IF((YEAR(D78)+18)&gt;YEAR(E78),1,(12-MONTH(E78)+1)/12))) + (R78)*(IF((YEAR(D78)+18)&lt;YEAR(E78),0,IF((YEAR(D78)+18)&gt;YEAR(E78),1,(12-MONTH(E78)+1)/12))))-(IF(OR(N78="",N78&lt;=0),0,(O78/N78)*(IF(OR(N78="",N78&lt;=0),0,IF((YEAR(D78)+18)&lt;YEAR(E78),0,IF((YEAR(D78)+18)&gt;=YEAR(E78)+N78,0,IF((YEAR(D78)+18)=YEAR(E78),(12-MONTH(E78)+1)/12,1))))))))&gt;0,(((K78)*(IF(M78="",L78,IFERROR(IF(INDEX(Variablen!$I:$AT, MATCH(M78, Variablen!$A:$A, 0), MATCH((YEAR(D78)+18), Variablen!$I$3:$AT$3, 0))="",L78,INDEX(Variablen!$I:$AT, MATCH(M78, Variablen!$A:$A, 0), MATCH((YEAR(D78)+18), Variablen!$I$3:$AT$3, 0))),L78)))*(IF((YEAR(D78)+18)&lt;YEAR(E78),0,IF((YEAR(D78)+18)&gt;YEAR(E78),1,(12-MONTH(E78)+1)/12))) + (Q78)*(IF((YEAR(D78)+18)&lt;YEAR(E78),0,IF((YEAR(D78)+18)&gt;YEAR(E78),1,(12-MONTH(E78)+1)/12))))-((P78)*(IF((YEAR(D78)+18)&lt;YEAR(E78),0,IF((YEAR(D78)+18)&gt;YEAR(E78),1,(12-MONTH(E78)+1)/12))) + (R78)*(IF((YEAR(D78)+18)&lt;YEAR(E78),0,IF((YEAR(D78)+18)&gt;YEAR(E78),1,(12-MONTH(E78)+1)/12))))-(IF(OR(N78="",N78&lt;=0),0,(O78/N78)*(IF(OR(N78="",N78&lt;=0),0,IF((YEAR(D78)+18)&lt;YEAR(E78),0,IF((YEAR(D78)+18)&gt;=YEAR(E78)+N78,0,IF((YEAR(D78)+18)=YEAR(E78),(12-MONTH(E78)+1)/12,1))))))))*TaxRate,0))-IF(18=0,O78,0))</f>
        <v/>
      </c>
      <c r="AL78" s="29">
        <f>IF(A78="","",((K78)*(IF(M78="",L78,IFERROR(IF(INDEX(Variablen!$I:$AT, MATCH(M78, Variablen!$A:$A, 0), MATCH((YEAR(D78)+19), Variablen!$I$3:$AT$3, 0))="",L78,INDEX(Variablen!$I:$AT, MATCH(M78, Variablen!$A:$A, 0), MATCH((YEAR(D78)+19), Variablen!$I$3:$AT$3, 0))),L78)))*(IF((YEAR(D78)+19)&lt;YEAR(E78),0,IF((YEAR(D78)+19)&gt;YEAR(E78),1,(12-MONTH(E78)+1)/12))) + (Q78)*(IF((YEAR(D78)+19)&lt;YEAR(E78),0,IF((YEAR(D78)+19)&gt;YEAR(E78),1,(12-MONTH(E78)+1)/12))))-((P78)*(IF((YEAR(D78)+19)&lt;YEAR(E78),0,IF((YEAR(D78)+19)&gt;YEAR(E78),1,(12-MONTH(E78)+1)/12))) + (R78)*(IF((YEAR(D78)+19)&lt;YEAR(E78),0,IF((YEAR(D78)+19)&gt;YEAR(E78),1,(12-MONTH(E78)+1)/12))))-(IF((((K78)*(IF(M78="",L78,IFERROR(IF(INDEX(Variablen!$I:$AT, MATCH(M78, Variablen!$A:$A, 0), MATCH((YEAR(D78)+19), Variablen!$I$3:$AT$3, 0))="",L78,INDEX(Variablen!$I:$AT, MATCH(M78, Variablen!$A:$A, 0), MATCH((YEAR(D78)+19), Variablen!$I$3:$AT$3, 0))),L78)))*(IF((YEAR(D78)+19)&lt;YEAR(E78),0,IF((YEAR(D78)+19)&gt;YEAR(E78),1,(12-MONTH(E78)+1)/12))) + (Q78)*(IF((YEAR(D78)+19)&lt;YEAR(E78),0,IF((YEAR(D78)+19)&gt;YEAR(E78),1,(12-MONTH(E78)+1)/12))))-((P78)*(IF((YEAR(D78)+19)&lt;YEAR(E78),0,IF((YEAR(D78)+19)&gt;YEAR(E78),1,(12-MONTH(E78)+1)/12))) + (R78)*(IF((YEAR(D78)+19)&lt;YEAR(E78),0,IF((YEAR(D78)+19)&gt;YEAR(E78),1,(12-MONTH(E78)+1)/12))))-(IF(OR(N78="",N78&lt;=0),0,(O78/N78)*(IF(OR(N78="",N78&lt;=0),0,IF((YEAR(D78)+19)&lt;YEAR(E78),0,IF((YEAR(D78)+19)&gt;=YEAR(E78)+N78,0,IF((YEAR(D78)+19)=YEAR(E78),(12-MONTH(E78)+1)/12,1))))))))&gt;0,(((K78)*(IF(M78="",L78,IFERROR(IF(INDEX(Variablen!$I:$AT, MATCH(M78, Variablen!$A:$A, 0), MATCH((YEAR(D78)+19), Variablen!$I$3:$AT$3, 0))="",L78,INDEX(Variablen!$I:$AT, MATCH(M78, Variablen!$A:$A, 0), MATCH((YEAR(D78)+19), Variablen!$I$3:$AT$3, 0))),L78)))*(IF((YEAR(D78)+19)&lt;YEAR(E78),0,IF((YEAR(D78)+19)&gt;YEAR(E78),1,(12-MONTH(E78)+1)/12))) + (Q78)*(IF((YEAR(D78)+19)&lt;YEAR(E78),0,IF((YEAR(D78)+19)&gt;YEAR(E78),1,(12-MONTH(E78)+1)/12))))-((P78)*(IF((YEAR(D78)+19)&lt;YEAR(E78),0,IF((YEAR(D78)+19)&gt;YEAR(E78),1,(12-MONTH(E78)+1)/12))) + (R78)*(IF((YEAR(D78)+19)&lt;YEAR(E78),0,IF((YEAR(D78)+19)&gt;YEAR(E78),1,(12-MONTH(E78)+1)/12))))-(IF(OR(N78="",N78&lt;=0),0,(O78/N78)*(IF(OR(N78="",N78&lt;=0),0,IF((YEAR(D78)+19)&lt;YEAR(E78),0,IF((YEAR(D78)+19)&gt;=YEAR(E78)+N78,0,IF((YEAR(D78)+19)=YEAR(E78),(12-MONTH(E78)+1)/12,1))))))))*TaxRate,0))-IF(19=0,O78,0))</f>
        <v/>
      </c>
      <c r="AM78" s="29">
        <f>IF(A78="","",((K78)*(IF(M78="",L78,IFERROR(IF(INDEX(Variablen!$I:$AT, MATCH(M78, Variablen!$A:$A, 0), MATCH((YEAR(D78)+20), Variablen!$I$3:$AT$3, 0))="",L78,INDEX(Variablen!$I:$AT, MATCH(M78, Variablen!$A:$A, 0), MATCH((YEAR(D78)+20), Variablen!$I$3:$AT$3, 0))),L78)))*(IF((YEAR(D78)+20)&lt;YEAR(E78),0,IF((YEAR(D78)+20)&gt;YEAR(E78),1,(12-MONTH(E78)+1)/12))) + (Q78)*(IF((YEAR(D78)+20)&lt;YEAR(E78),0,IF((YEAR(D78)+20)&gt;YEAR(E78),1,(12-MONTH(E78)+1)/12))))-((P78)*(IF((YEAR(D78)+20)&lt;YEAR(E78),0,IF((YEAR(D78)+20)&gt;YEAR(E78),1,(12-MONTH(E78)+1)/12))) + (R78)*(IF((YEAR(D78)+20)&lt;YEAR(E78),0,IF((YEAR(D78)+20)&gt;YEAR(E78),1,(12-MONTH(E78)+1)/12))))-(IF((((K78)*(IF(M78="",L78,IFERROR(IF(INDEX(Variablen!$I:$AT, MATCH(M78, Variablen!$A:$A, 0), MATCH((YEAR(D78)+20), Variablen!$I$3:$AT$3, 0))="",L78,INDEX(Variablen!$I:$AT, MATCH(M78, Variablen!$A:$A, 0), MATCH((YEAR(D78)+20), Variablen!$I$3:$AT$3, 0))),L78)))*(IF((YEAR(D78)+20)&lt;YEAR(E78),0,IF((YEAR(D78)+20)&gt;YEAR(E78),1,(12-MONTH(E78)+1)/12))) + (Q78)*(IF((YEAR(D78)+20)&lt;YEAR(E78),0,IF((YEAR(D78)+20)&gt;YEAR(E78),1,(12-MONTH(E78)+1)/12))))-((P78)*(IF((YEAR(D78)+20)&lt;YEAR(E78),0,IF((YEAR(D78)+20)&gt;YEAR(E78),1,(12-MONTH(E78)+1)/12))) + (R78)*(IF((YEAR(D78)+20)&lt;YEAR(E78),0,IF((YEAR(D78)+20)&gt;YEAR(E78),1,(12-MONTH(E78)+1)/12))))-(IF(OR(N78="",N78&lt;=0),0,(O78/N78)*(IF(OR(N78="",N78&lt;=0),0,IF((YEAR(D78)+20)&lt;YEAR(E78),0,IF((YEAR(D78)+20)&gt;=YEAR(E78)+N78,0,IF((YEAR(D78)+20)=YEAR(E78),(12-MONTH(E78)+1)/12,1))))))))&gt;0,(((K78)*(IF(M78="",L78,IFERROR(IF(INDEX(Variablen!$I:$AT, MATCH(M78, Variablen!$A:$A, 0), MATCH((YEAR(D78)+20), Variablen!$I$3:$AT$3, 0))="",L78,INDEX(Variablen!$I:$AT, MATCH(M78, Variablen!$A:$A, 0), MATCH((YEAR(D78)+20), Variablen!$I$3:$AT$3, 0))),L78)))*(IF((YEAR(D78)+20)&lt;YEAR(E78),0,IF((YEAR(D78)+20)&gt;YEAR(E78),1,(12-MONTH(E78)+1)/12))) + (Q78)*(IF((YEAR(D78)+20)&lt;YEAR(E78),0,IF((YEAR(D78)+20)&gt;YEAR(E78),1,(12-MONTH(E78)+1)/12))))-((P78)*(IF((YEAR(D78)+20)&lt;YEAR(E78),0,IF((YEAR(D78)+20)&gt;YEAR(E78),1,(12-MONTH(E78)+1)/12))) + (R78)*(IF((YEAR(D78)+20)&lt;YEAR(E78),0,IF((YEAR(D78)+20)&gt;YEAR(E78),1,(12-MONTH(E78)+1)/12))))-(IF(OR(N78="",N78&lt;=0),0,(O78/N78)*(IF(OR(N78="",N78&lt;=0),0,IF((YEAR(D78)+20)&lt;YEAR(E78),0,IF((YEAR(D78)+20)&gt;=YEAR(E78)+N78,0,IF((YEAR(D78)+20)=YEAR(E78),(12-MONTH(E78)+1)/12,1))))))))*TaxRate,0))-IF(20=0,O78,0))</f>
        <v/>
      </c>
      <c r="AN78" s="29">
        <f>IF(A78="","",S78)</f>
        <v/>
      </c>
      <c r="AO78" s="29">
        <f>IF(A78="","",AN78+T78)</f>
        <v/>
      </c>
      <c r="AP78" s="29">
        <f>IF(A78="","",AO78+U78)</f>
        <v/>
      </c>
      <c r="AQ78" s="29">
        <f>IF(A78="","",AP78+V78)</f>
        <v/>
      </c>
      <c r="AR78" s="29">
        <f>IF(A78="","",AQ78+W78)</f>
        <v/>
      </c>
      <c r="AS78" s="29">
        <f>IF(A78="","",AR78+X78)</f>
        <v/>
      </c>
      <c r="AT78" s="29">
        <f>IF(A78="","",AS78+Y78)</f>
        <v/>
      </c>
      <c r="AU78" s="29">
        <f>IF(A78="","",AT78+Z78)</f>
        <v/>
      </c>
      <c r="AV78" s="29">
        <f>IF(A78="","",AU78+AA78)</f>
        <v/>
      </c>
      <c r="AW78" s="29">
        <f>IF(A78="","",AV78+AB78)</f>
        <v/>
      </c>
      <c r="AX78" s="29">
        <f>IF(A78="","",AW78+AC78)</f>
        <v/>
      </c>
      <c r="AY78" s="29">
        <f>IF(A78="","",AX78+AD78)</f>
        <v/>
      </c>
      <c r="AZ78" s="29">
        <f>IF(A78="","",AY78+AE78)</f>
        <v/>
      </c>
      <c r="BA78" s="29">
        <f>IF(A78="","",AZ78+AF78)</f>
        <v/>
      </c>
      <c r="BB78" s="29">
        <f>IF(A78="","",BA78+AG78)</f>
        <v/>
      </c>
      <c r="BC78" s="29">
        <f>IF(A78="","",BB78+AH78)</f>
        <v/>
      </c>
      <c r="BD78" s="29">
        <f>IF(A78="","",BC78+AI78)</f>
        <v/>
      </c>
      <c r="BE78" s="29">
        <f>IF(A78="","",BD78+AJ78)</f>
        <v/>
      </c>
      <c r="BF78" s="29">
        <f>IF(A78="","",BE78+AK78)</f>
        <v/>
      </c>
      <c r="BG78" s="29">
        <f>IF(A78="","",BF78+AL78)</f>
        <v/>
      </c>
      <c r="BH78" s="29">
        <f>IF(A78="","",BG78+AM78)</f>
        <v/>
      </c>
      <c r="BI78" s="36">
        <f>IF(A78="","",(K78)*(IF((YEAR(D78)+0)&lt;YEAR(E78),0,IF((YEAR(D78)+0)&gt;YEAR(E78),1,(12-MONTH(E78)+1)/12)))*(1/(1+DiscountRate)^0))</f>
        <v/>
      </c>
      <c r="BJ78" s="36">
        <f>IF(A78="","",(K78)*(IF((YEAR(D78)+1)&lt;YEAR(E78),0,IF((YEAR(D78)+1)&gt;YEAR(E78),1,(12-MONTH(E78)+1)/12)))*(1/(1+DiscountRate)^1))</f>
        <v/>
      </c>
      <c r="BK78" s="36">
        <f>IF(A78="","",(K78)*(IF((YEAR(D78)+2)&lt;YEAR(E78),0,IF((YEAR(D78)+2)&gt;YEAR(E78),1,(12-MONTH(E78)+1)/12)))*(1/(1+DiscountRate)^2))</f>
        <v/>
      </c>
      <c r="BL78" s="36">
        <f>IF(A78="","",(K78)*(IF((YEAR(D78)+3)&lt;YEAR(E78),0,IF((YEAR(D78)+3)&gt;YEAR(E78),1,(12-MONTH(E78)+1)/12)))*(1/(1+DiscountRate)^3))</f>
        <v/>
      </c>
      <c r="BM78" s="36">
        <f>IF(A78="","",(K78)*(IF((YEAR(D78)+4)&lt;YEAR(E78),0,IF((YEAR(D78)+4)&gt;YEAR(E78),1,(12-MONTH(E78)+1)/12)))*(1/(1+DiscountRate)^4))</f>
        <v/>
      </c>
      <c r="BN78" s="36">
        <f>IF(A78="","",(K78)*(IF((YEAR(D78)+5)&lt;YEAR(E78),0,IF((YEAR(D78)+5)&gt;YEAR(E78),1,(12-MONTH(E78)+1)/12)))*(1/(1+DiscountRate)^5))</f>
        <v/>
      </c>
      <c r="BO78" s="36">
        <f>IF(A78="","",(K78)*(IF((YEAR(D78)+6)&lt;YEAR(E78),0,IF((YEAR(D78)+6)&gt;YEAR(E78),1,(12-MONTH(E78)+1)/12)))*(1/(1+DiscountRate)^6))</f>
        <v/>
      </c>
      <c r="BP78" s="36">
        <f>IF(A78="","",(K78)*(IF((YEAR(D78)+7)&lt;YEAR(E78),0,IF((YEAR(D78)+7)&gt;YEAR(E78),1,(12-MONTH(E78)+1)/12)))*(1/(1+DiscountRate)^7))</f>
        <v/>
      </c>
      <c r="BQ78" s="36">
        <f>IF(A78="","",(K78)*(IF((YEAR(D78)+8)&lt;YEAR(E78),0,IF((YEAR(D78)+8)&gt;YEAR(E78),1,(12-MONTH(E78)+1)/12)))*(1/(1+DiscountRate)^8))</f>
        <v/>
      </c>
      <c r="BR78" s="36">
        <f>IF(A78="","",(K78)*(IF((YEAR(D78)+9)&lt;YEAR(E78),0,IF((YEAR(D78)+9)&gt;YEAR(E78),1,(12-MONTH(E78)+1)/12)))*(1/(1+DiscountRate)^9))</f>
        <v/>
      </c>
      <c r="BS78" s="36">
        <f>IF(A78="","",(K78)*(IF((YEAR(D78)+10)&lt;YEAR(E78),0,IF((YEAR(D78)+10)&gt;YEAR(E78),1,(12-MONTH(E78)+1)/12)))*(1/(1+DiscountRate)^10))</f>
        <v/>
      </c>
      <c r="BT78" s="36">
        <f>IF(A78="","",(K78)*(IF((YEAR(D78)+11)&lt;YEAR(E78),0,IF((YEAR(D78)+11)&gt;YEAR(E78),1,(12-MONTH(E78)+1)/12)))*(1/(1+DiscountRate)^11))</f>
        <v/>
      </c>
      <c r="BU78" s="36">
        <f>IF(A78="","",(K78)*(IF((YEAR(D78)+12)&lt;YEAR(E78),0,IF((YEAR(D78)+12)&gt;YEAR(E78),1,(12-MONTH(E78)+1)/12)))*(1/(1+DiscountRate)^12))</f>
        <v/>
      </c>
      <c r="BV78" s="36">
        <f>IF(A78="","",(K78)*(IF((YEAR(D78)+13)&lt;YEAR(E78),0,IF((YEAR(D78)+13)&gt;YEAR(E78),1,(12-MONTH(E78)+1)/12)))*(1/(1+DiscountRate)^13))</f>
        <v/>
      </c>
      <c r="BW78" s="36">
        <f>IF(A78="","",(K78)*(IF((YEAR(D78)+14)&lt;YEAR(E78),0,IF((YEAR(D78)+14)&gt;YEAR(E78),1,(12-MONTH(E78)+1)/12)))*(1/(1+DiscountRate)^14))</f>
        <v/>
      </c>
      <c r="BX78" s="36">
        <f>IF(A78="","",(K78)*(IF((YEAR(D78)+15)&lt;YEAR(E78),0,IF((YEAR(D78)+15)&gt;YEAR(E78),1,(12-MONTH(E78)+1)/12)))*(1/(1+DiscountRate)^15))</f>
        <v/>
      </c>
      <c r="BY78" s="36">
        <f>IF(A78="","",(K78)*(IF((YEAR(D78)+16)&lt;YEAR(E78),0,IF((YEAR(D78)+16)&gt;YEAR(E78),1,(12-MONTH(E78)+1)/12)))*(1/(1+DiscountRate)^16))</f>
        <v/>
      </c>
      <c r="BZ78" s="36">
        <f>IF(A78="","",(K78)*(IF((YEAR(D78)+17)&lt;YEAR(E78),0,IF((YEAR(D78)+17)&gt;YEAR(E78),1,(12-MONTH(E78)+1)/12)))*(1/(1+DiscountRate)^17))</f>
        <v/>
      </c>
      <c r="CA78" s="36">
        <f>IF(A78="","",(K78)*(IF((YEAR(D78)+18)&lt;YEAR(E78),0,IF((YEAR(D78)+18)&gt;YEAR(E78),1,(12-MONTH(E78)+1)/12)))*(1/(1+DiscountRate)^18))</f>
        <v/>
      </c>
      <c r="CB78" s="36">
        <f>IF(A78="","",(K78)*(IF((YEAR(D78)+19)&lt;YEAR(E78),0,IF((YEAR(D78)+19)&gt;YEAR(E78),1,(12-MONTH(E78)+1)/12)))*(1/(1+DiscountRate)^19))</f>
        <v/>
      </c>
      <c r="CC78" s="36">
        <f>IF(A78="","",(K78)*(IF((YEAR(D78)+20)&lt;YEAR(E78),0,IF((YEAR(D78)+20)&gt;YEAR(E78),1,(12-MONTH(E78)+1)/12)))*(1/(1+DiscountRate)^20))</f>
        <v/>
      </c>
      <c r="CD78" s="29">
        <f>IF(A78="","",S78/(1+DiscountRate)^0+T78/(1+DiscountRate)^1+U78/(1+DiscountRate)^2+V78/(1+DiscountRate)^3+W78/(1+DiscountRate)^4+X78/(1+DiscountRate)^5+Y78/(1+DiscountRate)^6+Z78/(1+DiscountRate)^7+AA78/(1+DiscountRate)^8+AB78/(1+DiscountRate)^9+AC78/(1+DiscountRate)^10+AD78/(1+DiscountRate)^11+AE78/(1+DiscountRate)^12+AF78/(1+DiscountRate)^13+AG78/(1+DiscountRate)^14+AH78/(1+DiscountRate)^15+AI78/(1+DiscountRate)^16+AJ78/(1+DiscountRate)^17+AK78/(1+DiscountRate)^18+AL78/(1+DiscountRate)^19+AM78/(1+DiscountRate)^20)</f>
        <v/>
      </c>
      <c r="CE78" s="37">
        <f>IF(A78="","",IFERROR(IRR(OFFSET(S78,0,0,1,MIN(HorizonYears,20)+1)),"n/a"))</f>
        <v/>
      </c>
      <c r="CF78" s="28">
        <f>IF(A78="","",IFERROR(MATCH(TRUE,OFFSET(AN78,0,0,1,MIN(HorizonYears,20)+1)&gt;=0,0)-1,"n/a"))</f>
        <v/>
      </c>
      <c r="CG78" s="36">
        <f>IF(A78="","",SUM(OFFSET(BI78,0,0,1,MIN(HorizonYears,20)+1)))</f>
        <v/>
      </c>
      <c r="CH78" s="36">
        <f>IF(A78="","",IFERROR(-CD78/CG78,"n/a"))</f>
        <v/>
      </c>
    </row>
    <row r="79">
      <c r="A79" s="6">
        <f>Actions!A77</f>
        <v/>
      </c>
      <c r="B79" s="6">
        <f>Actions!B77</f>
        <v/>
      </c>
      <c r="C79" s="6">
        <f>Actions!D77</f>
        <v/>
      </c>
      <c r="D79" s="35">
        <f>Actions!E77</f>
        <v/>
      </c>
      <c r="E79" s="35">
        <f>Actions!F77</f>
        <v/>
      </c>
      <c r="F79" s="6">
        <f>Actions!G77</f>
        <v/>
      </c>
      <c r="G79" s="6">
        <f>Actions!H77</f>
        <v/>
      </c>
      <c r="H79" s="29">
        <f>Actions!I77</f>
        <v/>
      </c>
      <c r="I79" s="6">
        <f>Actions!J77</f>
        <v/>
      </c>
      <c r="J79" s="16">
        <f>Actions!K77</f>
        <v/>
      </c>
      <c r="K79" s="16">
        <f>IF(A79="","",IF(I79="%",H79*J79,J79))</f>
        <v/>
      </c>
      <c r="L79" s="16">
        <f>Actions!L77</f>
        <v/>
      </c>
      <c r="M79" s="6">
        <f>Actions!M77</f>
        <v/>
      </c>
      <c r="N79" s="28">
        <f>Actions!N77</f>
        <v/>
      </c>
      <c r="O79" s="29">
        <f>Actions!T77</f>
        <v/>
      </c>
      <c r="P79" s="29">
        <f>Actions!Y77</f>
        <v/>
      </c>
      <c r="Q79" s="29">
        <f>Actions!Z77</f>
        <v/>
      </c>
      <c r="R79" s="29">
        <f>Actions!AA77</f>
        <v/>
      </c>
      <c r="S79" s="29">
        <f>IF(A79="","",((K79)*(IF(M79="",L79,IFERROR(IF(INDEX(Variablen!$I:$AT, MATCH(M79, Variablen!$A:$A, 0), MATCH((YEAR(D79)+0), Variablen!$I$3:$AT$3, 0))="",L79,INDEX(Variablen!$I:$AT, MATCH(M79, Variablen!$A:$A, 0), MATCH((YEAR(D79)+0), Variablen!$I$3:$AT$3, 0))),L79)))*(IF((YEAR(D79)+0)&lt;YEAR(E79),0,IF((YEAR(D79)+0)&gt;YEAR(E79),1,(12-MONTH(E79)+1)/12))) + (Q79)*(IF((YEAR(D79)+0)&lt;YEAR(E79),0,IF((YEAR(D79)+0)&gt;YEAR(E79),1,(12-MONTH(E79)+1)/12))))-((P79)*(IF((YEAR(D79)+0)&lt;YEAR(E79),0,IF((YEAR(D79)+0)&gt;YEAR(E79),1,(12-MONTH(E79)+1)/12))) + (R79)*(IF((YEAR(D79)+0)&lt;YEAR(E79),0,IF((YEAR(D79)+0)&gt;YEAR(E79),1,(12-MONTH(E79)+1)/12))))-(IF((((K79)*(IF(M79="",L79,IFERROR(IF(INDEX(Variablen!$I:$AT, MATCH(M79, Variablen!$A:$A, 0), MATCH((YEAR(D79)+0), Variablen!$I$3:$AT$3, 0))="",L79,INDEX(Variablen!$I:$AT, MATCH(M79, Variablen!$A:$A, 0), MATCH((YEAR(D79)+0), Variablen!$I$3:$AT$3, 0))),L79)))*(IF((YEAR(D79)+0)&lt;YEAR(E79),0,IF((YEAR(D79)+0)&gt;YEAR(E79),1,(12-MONTH(E79)+1)/12))) + (Q79)*(IF((YEAR(D79)+0)&lt;YEAR(E79),0,IF((YEAR(D79)+0)&gt;YEAR(E79),1,(12-MONTH(E79)+1)/12))))-((P79)*(IF((YEAR(D79)+0)&lt;YEAR(E79),0,IF((YEAR(D79)+0)&gt;YEAR(E79),1,(12-MONTH(E79)+1)/12))) + (R79)*(IF((YEAR(D79)+0)&lt;YEAR(E79),0,IF((YEAR(D79)+0)&gt;YEAR(E79),1,(12-MONTH(E79)+1)/12))))-(IF(OR(N79="",N79&lt;=0),0,(O79/N79)*(IF(OR(N79="",N79&lt;=0),0,IF((YEAR(D79)+0)&lt;YEAR(E79),0,IF((YEAR(D79)+0)&gt;=YEAR(E79)+N79,0,IF((YEAR(D79)+0)=YEAR(E79),(12-MONTH(E79)+1)/12,1))))))))&gt;0,(((K79)*(IF(M79="",L79,IFERROR(IF(INDEX(Variablen!$I:$AT, MATCH(M79, Variablen!$A:$A, 0), MATCH((YEAR(D79)+0), Variablen!$I$3:$AT$3, 0))="",L79,INDEX(Variablen!$I:$AT, MATCH(M79, Variablen!$A:$A, 0), MATCH((YEAR(D79)+0), Variablen!$I$3:$AT$3, 0))),L79)))*(IF((YEAR(D79)+0)&lt;YEAR(E79),0,IF((YEAR(D79)+0)&gt;YEAR(E79),1,(12-MONTH(E79)+1)/12))) + (Q79)*(IF((YEAR(D79)+0)&lt;YEAR(E79),0,IF((YEAR(D79)+0)&gt;YEAR(E79),1,(12-MONTH(E79)+1)/12))))-((P79)*(IF((YEAR(D79)+0)&lt;YEAR(E79),0,IF((YEAR(D79)+0)&gt;YEAR(E79),1,(12-MONTH(E79)+1)/12))) + (R79)*(IF((YEAR(D79)+0)&lt;YEAR(E79),0,IF((YEAR(D79)+0)&gt;YEAR(E79),1,(12-MONTH(E79)+1)/12))))-(IF(OR(N79="",N79&lt;=0),0,(O79/N79)*(IF(OR(N79="",N79&lt;=0),0,IF((YEAR(D79)+0)&lt;YEAR(E79),0,IF((YEAR(D79)+0)&gt;=YEAR(E79)+N79,0,IF((YEAR(D79)+0)=YEAR(E79),(12-MONTH(E79)+1)/12,1))))))))*TaxRate,0))-IF(0=0,O79,0))</f>
        <v/>
      </c>
      <c r="T79" s="29">
        <f>IF(A79="","",((K79)*(IF(M79="",L79,IFERROR(IF(INDEX(Variablen!$I:$AT, MATCH(M79, Variablen!$A:$A, 0), MATCH((YEAR(D79)+1), Variablen!$I$3:$AT$3, 0))="",L79,INDEX(Variablen!$I:$AT, MATCH(M79, Variablen!$A:$A, 0), MATCH((YEAR(D79)+1), Variablen!$I$3:$AT$3, 0))),L79)))*(IF((YEAR(D79)+1)&lt;YEAR(E79),0,IF((YEAR(D79)+1)&gt;YEAR(E79),1,(12-MONTH(E79)+1)/12))) + (Q79)*(IF((YEAR(D79)+1)&lt;YEAR(E79),0,IF((YEAR(D79)+1)&gt;YEAR(E79),1,(12-MONTH(E79)+1)/12))))-((P79)*(IF((YEAR(D79)+1)&lt;YEAR(E79),0,IF((YEAR(D79)+1)&gt;YEAR(E79),1,(12-MONTH(E79)+1)/12))) + (R79)*(IF((YEAR(D79)+1)&lt;YEAR(E79),0,IF((YEAR(D79)+1)&gt;YEAR(E79),1,(12-MONTH(E79)+1)/12))))-(IF((((K79)*(IF(M79="",L79,IFERROR(IF(INDEX(Variablen!$I:$AT, MATCH(M79, Variablen!$A:$A, 0), MATCH((YEAR(D79)+1), Variablen!$I$3:$AT$3, 0))="",L79,INDEX(Variablen!$I:$AT, MATCH(M79, Variablen!$A:$A, 0), MATCH((YEAR(D79)+1), Variablen!$I$3:$AT$3, 0))),L79)))*(IF((YEAR(D79)+1)&lt;YEAR(E79),0,IF((YEAR(D79)+1)&gt;YEAR(E79),1,(12-MONTH(E79)+1)/12))) + (Q79)*(IF((YEAR(D79)+1)&lt;YEAR(E79),0,IF((YEAR(D79)+1)&gt;YEAR(E79),1,(12-MONTH(E79)+1)/12))))-((P79)*(IF((YEAR(D79)+1)&lt;YEAR(E79),0,IF((YEAR(D79)+1)&gt;YEAR(E79),1,(12-MONTH(E79)+1)/12))) + (R79)*(IF((YEAR(D79)+1)&lt;YEAR(E79),0,IF((YEAR(D79)+1)&gt;YEAR(E79),1,(12-MONTH(E79)+1)/12))))-(IF(OR(N79="",N79&lt;=0),0,(O79/N79)*(IF(OR(N79="",N79&lt;=0),0,IF((YEAR(D79)+1)&lt;YEAR(E79),0,IF((YEAR(D79)+1)&gt;=YEAR(E79)+N79,0,IF((YEAR(D79)+1)=YEAR(E79),(12-MONTH(E79)+1)/12,1))))))))&gt;0,(((K79)*(IF(M79="",L79,IFERROR(IF(INDEX(Variablen!$I:$AT, MATCH(M79, Variablen!$A:$A, 0), MATCH((YEAR(D79)+1), Variablen!$I$3:$AT$3, 0))="",L79,INDEX(Variablen!$I:$AT, MATCH(M79, Variablen!$A:$A, 0), MATCH((YEAR(D79)+1), Variablen!$I$3:$AT$3, 0))),L79)))*(IF((YEAR(D79)+1)&lt;YEAR(E79),0,IF((YEAR(D79)+1)&gt;YEAR(E79),1,(12-MONTH(E79)+1)/12))) + (Q79)*(IF((YEAR(D79)+1)&lt;YEAR(E79),0,IF((YEAR(D79)+1)&gt;YEAR(E79),1,(12-MONTH(E79)+1)/12))))-((P79)*(IF((YEAR(D79)+1)&lt;YEAR(E79),0,IF((YEAR(D79)+1)&gt;YEAR(E79),1,(12-MONTH(E79)+1)/12))) + (R79)*(IF((YEAR(D79)+1)&lt;YEAR(E79),0,IF((YEAR(D79)+1)&gt;YEAR(E79),1,(12-MONTH(E79)+1)/12))))-(IF(OR(N79="",N79&lt;=0),0,(O79/N79)*(IF(OR(N79="",N79&lt;=0),0,IF((YEAR(D79)+1)&lt;YEAR(E79),0,IF((YEAR(D79)+1)&gt;=YEAR(E79)+N79,0,IF((YEAR(D79)+1)=YEAR(E79),(12-MONTH(E79)+1)/12,1))))))))*TaxRate,0))-IF(1=0,O79,0))</f>
        <v/>
      </c>
      <c r="U79" s="29">
        <f>IF(A79="","",((K79)*(IF(M79="",L79,IFERROR(IF(INDEX(Variablen!$I:$AT, MATCH(M79, Variablen!$A:$A, 0), MATCH((YEAR(D79)+2), Variablen!$I$3:$AT$3, 0))="",L79,INDEX(Variablen!$I:$AT, MATCH(M79, Variablen!$A:$A, 0), MATCH((YEAR(D79)+2), Variablen!$I$3:$AT$3, 0))),L79)))*(IF((YEAR(D79)+2)&lt;YEAR(E79),0,IF((YEAR(D79)+2)&gt;YEAR(E79),1,(12-MONTH(E79)+1)/12))) + (Q79)*(IF((YEAR(D79)+2)&lt;YEAR(E79),0,IF((YEAR(D79)+2)&gt;YEAR(E79),1,(12-MONTH(E79)+1)/12))))-((P79)*(IF((YEAR(D79)+2)&lt;YEAR(E79),0,IF((YEAR(D79)+2)&gt;YEAR(E79),1,(12-MONTH(E79)+1)/12))) + (R79)*(IF((YEAR(D79)+2)&lt;YEAR(E79),0,IF((YEAR(D79)+2)&gt;YEAR(E79),1,(12-MONTH(E79)+1)/12))))-(IF((((K79)*(IF(M79="",L79,IFERROR(IF(INDEX(Variablen!$I:$AT, MATCH(M79, Variablen!$A:$A, 0), MATCH((YEAR(D79)+2), Variablen!$I$3:$AT$3, 0))="",L79,INDEX(Variablen!$I:$AT, MATCH(M79, Variablen!$A:$A, 0), MATCH((YEAR(D79)+2), Variablen!$I$3:$AT$3, 0))),L79)))*(IF((YEAR(D79)+2)&lt;YEAR(E79),0,IF((YEAR(D79)+2)&gt;YEAR(E79),1,(12-MONTH(E79)+1)/12))) + (Q79)*(IF((YEAR(D79)+2)&lt;YEAR(E79),0,IF((YEAR(D79)+2)&gt;YEAR(E79),1,(12-MONTH(E79)+1)/12))))-((P79)*(IF((YEAR(D79)+2)&lt;YEAR(E79),0,IF((YEAR(D79)+2)&gt;YEAR(E79),1,(12-MONTH(E79)+1)/12))) + (R79)*(IF((YEAR(D79)+2)&lt;YEAR(E79),0,IF((YEAR(D79)+2)&gt;YEAR(E79),1,(12-MONTH(E79)+1)/12))))-(IF(OR(N79="",N79&lt;=0),0,(O79/N79)*(IF(OR(N79="",N79&lt;=0),0,IF((YEAR(D79)+2)&lt;YEAR(E79),0,IF((YEAR(D79)+2)&gt;=YEAR(E79)+N79,0,IF((YEAR(D79)+2)=YEAR(E79),(12-MONTH(E79)+1)/12,1))))))))&gt;0,(((K79)*(IF(M79="",L79,IFERROR(IF(INDEX(Variablen!$I:$AT, MATCH(M79, Variablen!$A:$A, 0), MATCH((YEAR(D79)+2), Variablen!$I$3:$AT$3, 0))="",L79,INDEX(Variablen!$I:$AT, MATCH(M79, Variablen!$A:$A, 0), MATCH((YEAR(D79)+2), Variablen!$I$3:$AT$3, 0))),L79)))*(IF((YEAR(D79)+2)&lt;YEAR(E79),0,IF((YEAR(D79)+2)&gt;YEAR(E79),1,(12-MONTH(E79)+1)/12))) + (Q79)*(IF((YEAR(D79)+2)&lt;YEAR(E79),0,IF((YEAR(D79)+2)&gt;YEAR(E79),1,(12-MONTH(E79)+1)/12))))-((P79)*(IF((YEAR(D79)+2)&lt;YEAR(E79),0,IF((YEAR(D79)+2)&gt;YEAR(E79),1,(12-MONTH(E79)+1)/12))) + (R79)*(IF((YEAR(D79)+2)&lt;YEAR(E79),0,IF((YEAR(D79)+2)&gt;YEAR(E79),1,(12-MONTH(E79)+1)/12))))-(IF(OR(N79="",N79&lt;=0),0,(O79/N79)*(IF(OR(N79="",N79&lt;=0),0,IF((YEAR(D79)+2)&lt;YEAR(E79),0,IF((YEAR(D79)+2)&gt;=YEAR(E79)+N79,0,IF((YEAR(D79)+2)=YEAR(E79),(12-MONTH(E79)+1)/12,1))))))))*TaxRate,0))-IF(2=0,O79,0))</f>
        <v/>
      </c>
      <c r="V79" s="29">
        <f>IF(A79="","",((K79)*(IF(M79="",L79,IFERROR(IF(INDEX(Variablen!$I:$AT, MATCH(M79, Variablen!$A:$A, 0), MATCH((YEAR(D79)+3), Variablen!$I$3:$AT$3, 0))="",L79,INDEX(Variablen!$I:$AT, MATCH(M79, Variablen!$A:$A, 0), MATCH((YEAR(D79)+3), Variablen!$I$3:$AT$3, 0))),L79)))*(IF((YEAR(D79)+3)&lt;YEAR(E79),0,IF((YEAR(D79)+3)&gt;YEAR(E79),1,(12-MONTH(E79)+1)/12))) + (Q79)*(IF((YEAR(D79)+3)&lt;YEAR(E79),0,IF((YEAR(D79)+3)&gt;YEAR(E79),1,(12-MONTH(E79)+1)/12))))-((P79)*(IF((YEAR(D79)+3)&lt;YEAR(E79),0,IF((YEAR(D79)+3)&gt;YEAR(E79),1,(12-MONTH(E79)+1)/12))) + (R79)*(IF((YEAR(D79)+3)&lt;YEAR(E79),0,IF((YEAR(D79)+3)&gt;YEAR(E79),1,(12-MONTH(E79)+1)/12))))-(IF((((K79)*(IF(M79="",L79,IFERROR(IF(INDEX(Variablen!$I:$AT, MATCH(M79, Variablen!$A:$A, 0), MATCH((YEAR(D79)+3), Variablen!$I$3:$AT$3, 0))="",L79,INDEX(Variablen!$I:$AT, MATCH(M79, Variablen!$A:$A, 0), MATCH((YEAR(D79)+3), Variablen!$I$3:$AT$3, 0))),L79)))*(IF((YEAR(D79)+3)&lt;YEAR(E79),0,IF((YEAR(D79)+3)&gt;YEAR(E79),1,(12-MONTH(E79)+1)/12))) + (Q79)*(IF((YEAR(D79)+3)&lt;YEAR(E79),0,IF((YEAR(D79)+3)&gt;YEAR(E79),1,(12-MONTH(E79)+1)/12))))-((P79)*(IF((YEAR(D79)+3)&lt;YEAR(E79),0,IF((YEAR(D79)+3)&gt;YEAR(E79),1,(12-MONTH(E79)+1)/12))) + (R79)*(IF((YEAR(D79)+3)&lt;YEAR(E79),0,IF((YEAR(D79)+3)&gt;YEAR(E79),1,(12-MONTH(E79)+1)/12))))-(IF(OR(N79="",N79&lt;=0),0,(O79/N79)*(IF(OR(N79="",N79&lt;=0),0,IF((YEAR(D79)+3)&lt;YEAR(E79),0,IF((YEAR(D79)+3)&gt;=YEAR(E79)+N79,0,IF((YEAR(D79)+3)=YEAR(E79),(12-MONTH(E79)+1)/12,1))))))))&gt;0,(((K79)*(IF(M79="",L79,IFERROR(IF(INDEX(Variablen!$I:$AT, MATCH(M79, Variablen!$A:$A, 0), MATCH((YEAR(D79)+3), Variablen!$I$3:$AT$3, 0))="",L79,INDEX(Variablen!$I:$AT, MATCH(M79, Variablen!$A:$A, 0), MATCH((YEAR(D79)+3), Variablen!$I$3:$AT$3, 0))),L79)))*(IF((YEAR(D79)+3)&lt;YEAR(E79),0,IF((YEAR(D79)+3)&gt;YEAR(E79),1,(12-MONTH(E79)+1)/12))) + (Q79)*(IF((YEAR(D79)+3)&lt;YEAR(E79),0,IF((YEAR(D79)+3)&gt;YEAR(E79),1,(12-MONTH(E79)+1)/12))))-((P79)*(IF((YEAR(D79)+3)&lt;YEAR(E79),0,IF((YEAR(D79)+3)&gt;YEAR(E79),1,(12-MONTH(E79)+1)/12))) + (R79)*(IF((YEAR(D79)+3)&lt;YEAR(E79),0,IF((YEAR(D79)+3)&gt;YEAR(E79),1,(12-MONTH(E79)+1)/12))))-(IF(OR(N79="",N79&lt;=0),0,(O79/N79)*(IF(OR(N79="",N79&lt;=0),0,IF((YEAR(D79)+3)&lt;YEAR(E79),0,IF((YEAR(D79)+3)&gt;=YEAR(E79)+N79,0,IF((YEAR(D79)+3)=YEAR(E79),(12-MONTH(E79)+1)/12,1))))))))*TaxRate,0))-IF(3=0,O79,0))</f>
        <v/>
      </c>
      <c r="W79" s="29">
        <f>IF(A79="","",((K79)*(IF(M79="",L79,IFERROR(IF(INDEX(Variablen!$I:$AT, MATCH(M79, Variablen!$A:$A, 0), MATCH((YEAR(D79)+4), Variablen!$I$3:$AT$3, 0))="",L79,INDEX(Variablen!$I:$AT, MATCH(M79, Variablen!$A:$A, 0), MATCH((YEAR(D79)+4), Variablen!$I$3:$AT$3, 0))),L79)))*(IF((YEAR(D79)+4)&lt;YEAR(E79),0,IF((YEAR(D79)+4)&gt;YEAR(E79),1,(12-MONTH(E79)+1)/12))) + (Q79)*(IF((YEAR(D79)+4)&lt;YEAR(E79),0,IF((YEAR(D79)+4)&gt;YEAR(E79),1,(12-MONTH(E79)+1)/12))))-((P79)*(IF((YEAR(D79)+4)&lt;YEAR(E79),0,IF((YEAR(D79)+4)&gt;YEAR(E79),1,(12-MONTH(E79)+1)/12))) + (R79)*(IF((YEAR(D79)+4)&lt;YEAR(E79),0,IF((YEAR(D79)+4)&gt;YEAR(E79),1,(12-MONTH(E79)+1)/12))))-(IF((((K79)*(IF(M79="",L79,IFERROR(IF(INDEX(Variablen!$I:$AT, MATCH(M79, Variablen!$A:$A, 0), MATCH((YEAR(D79)+4), Variablen!$I$3:$AT$3, 0))="",L79,INDEX(Variablen!$I:$AT, MATCH(M79, Variablen!$A:$A, 0), MATCH((YEAR(D79)+4), Variablen!$I$3:$AT$3, 0))),L79)))*(IF((YEAR(D79)+4)&lt;YEAR(E79),0,IF((YEAR(D79)+4)&gt;YEAR(E79),1,(12-MONTH(E79)+1)/12))) + (Q79)*(IF((YEAR(D79)+4)&lt;YEAR(E79),0,IF((YEAR(D79)+4)&gt;YEAR(E79),1,(12-MONTH(E79)+1)/12))))-((P79)*(IF((YEAR(D79)+4)&lt;YEAR(E79),0,IF((YEAR(D79)+4)&gt;YEAR(E79),1,(12-MONTH(E79)+1)/12))) + (R79)*(IF((YEAR(D79)+4)&lt;YEAR(E79),0,IF((YEAR(D79)+4)&gt;YEAR(E79),1,(12-MONTH(E79)+1)/12))))-(IF(OR(N79="",N79&lt;=0),0,(O79/N79)*(IF(OR(N79="",N79&lt;=0),0,IF((YEAR(D79)+4)&lt;YEAR(E79),0,IF((YEAR(D79)+4)&gt;=YEAR(E79)+N79,0,IF((YEAR(D79)+4)=YEAR(E79),(12-MONTH(E79)+1)/12,1))))))))&gt;0,(((K79)*(IF(M79="",L79,IFERROR(IF(INDEX(Variablen!$I:$AT, MATCH(M79, Variablen!$A:$A, 0), MATCH((YEAR(D79)+4), Variablen!$I$3:$AT$3, 0))="",L79,INDEX(Variablen!$I:$AT, MATCH(M79, Variablen!$A:$A, 0), MATCH((YEAR(D79)+4), Variablen!$I$3:$AT$3, 0))),L79)))*(IF((YEAR(D79)+4)&lt;YEAR(E79),0,IF((YEAR(D79)+4)&gt;YEAR(E79),1,(12-MONTH(E79)+1)/12))) + (Q79)*(IF((YEAR(D79)+4)&lt;YEAR(E79),0,IF((YEAR(D79)+4)&gt;YEAR(E79),1,(12-MONTH(E79)+1)/12))))-((P79)*(IF((YEAR(D79)+4)&lt;YEAR(E79),0,IF((YEAR(D79)+4)&gt;YEAR(E79),1,(12-MONTH(E79)+1)/12))) + (R79)*(IF((YEAR(D79)+4)&lt;YEAR(E79),0,IF((YEAR(D79)+4)&gt;YEAR(E79),1,(12-MONTH(E79)+1)/12))))-(IF(OR(N79="",N79&lt;=0),0,(O79/N79)*(IF(OR(N79="",N79&lt;=0),0,IF((YEAR(D79)+4)&lt;YEAR(E79),0,IF((YEAR(D79)+4)&gt;=YEAR(E79)+N79,0,IF((YEAR(D79)+4)=YEAR(E79),(12-MONTH(E79)+1)/12,1))))))))*TaxRate,0))-IF(4=0,O79,0))</f>
        <v/>
      </c>
      <c r="X79" s="29">
        <f>IF(A79="","",((K79)*(IF(M79="",L79,IFERROR(IF(INDEX(Variablen!$I:$AT, MATCH(M79, Variablen!$A:$A, 0), MATCH((YEAR(D79)+5), Variablen!$I$3:$AT$3, 0))="",L79,INDEX(Variablen!$I:$AT, MATCH(M79, Variablen!$A:$A, 0), MATCH((YEAR(D79)+5), Variablen!$I$3:$AT$3, 0))),L79)))*(IF((YEAR(D79)+5)&lt;YEAR(E79),0,IF((YEAR(D79)+5)&gt;YEAR(E79),1,(12-MONTH(E79)+1)/12))) + (Q79)*(IF((YEAR(D79)+5)&lt;YEAR(E79),0,IF((YEAR(D79)+5)&gt;YEAR(E79),1,(12-MONTH(E79)+1)/12))))-((P79)*(IF((YEAR(D79)+5)&lt;YEAR(E79),0,IF((YEAR(D79)+5)&gt;YEAR(E79),1,(12-MONTH(E79)+1)/12))) + (R79)*(IF((YEAR(D79)+5)&lt;YEAR(E79),0,IF((YEAR(D79)+5)&gt;YEAR(E79),1,(12-MONTH(E79)+1)/12))))-(IF((((K79)*(IF(M79="",L79,IFERROR(IF(INDEX(Variablen!$I:$AT, MATCH(M79, Variablen!$A:$A, 0), MATCH((YEAR(D79)+5), Variablen!$I$3:$AT$3, 0))="",L79,INDEX(Variablen!$I:$AT, MATCH(M79, Variablen!$A:$A, 0), MATCH((YEAR(D79)+5), Variablen!$I$3:$AT$3, 0))),L79)))*(IF((YEAR(D79)+5)&lt;YEAR(E79),0,IF((YEAR(D79)+5)&gt;YEAR(E79),1,(12-MONTH(E79)+1)/12))) + (Q79)*(IF((YEAR(D79)+5)&lt;YEAR(E79),0,IF((YEAR(D79)+5)&gt;YEAR(E79),1,(12-MONTH(E79)+1)/12))))-((P79)*(IF((YEAR(D79)+5)&lt;YEAR(E79),0,IF((YEAR(D79)+5)&gt;YEAR(E79),1,(12-MONTH(E79)+1)/12))) + (R79)*(IF((YEAR(D79)+5)&lt;YEAR(E79),0,IF((YEAR(D79)+5)&gt;YEAR(E79),1,(12-MONTH(E79)+1)/12))))-(IF(OR(N79="",N79&lt;=0),0,(O79/N79)*(IF(OR(N79="",N79&lt;=0),0,IF((YEAR(D79)+5)&lt;YEAR(E79),0,IF((YEAR(D79)+5)&gt;=YEAR(E79)+N79,0,IF((YEAR(D79)+5)=YEAR(E79),(12-MONTH(E79)+1)/12,1))))))))&gt;0,(((K79)*(IF(M79="",L79,IFERROR(IF(INDEX(Variablen!$I:$AT, MATCH(M79, Variablen!$A:$A, 0), MATCH((YEAR(D79)+5), Variablen!$I$3:$AT$3, 0))="",L79,INDEX(Variablen!$I:$AT, MATCH(M79, Variablen!$A:$A, 0), MATCH((YEAR(D79)+5), Variablen!$I$3:$AT$3, 0))),L79)))*(IF((YEAR(D79)+5)&lt;YEAR(E79),0,IF((YEAR(D79)+5)&gt;YEAR(E79),1,(12-MONTH(E79)+1)/12))) + (Q79)*(IF((YEAR(D79)+5)&lt;YEAR(E79),0,IF((YEAR(D79)+5)&gt;YEAR(E79),1,(12-MONTH(E79)+1)/12))))-((P79)*(IF((YEAR(D79)+5)&lt;YEAR(E79),0,IF((YEAR(D79)+5)&gt;YEAR(E79),1,(12-MONTH(E79)+1)/12))) + (R79)*(IF((YEAR(D79)+5)&lt;YEAR(E79),0,IF((YEAR(D79)+5)&gt;YEAR(E79),1,(12-MONTH(E79)+1)/12))))-(IF(OR(N79="",N79&lt;=0),0,(O79/N79)*(IF(OR(N79="",N79&lt;=0),0,IF((YEAR(D79)+5)&lt;YEAR(E79),0,IF((YEAR(D79)+5)&gt;=YEAR(E79)+N79,0,IF((YEAR(D79)+5)=YEAR(E79),(12-MONTH(E79)+1)/12,1))))))))*TaxRate,0))-IF(5=0,O79,0))</f>
        <v/>
      </c>
      <c r="Y79" s="29">
        <f>IF(A79="","",((K79)*(IF(M79="",L79,IFERROR(IF(INDEX(Variablen!$I:$AT, MATCH(M79, Variablen!$A:$A, 0), MATCH((YEAR(D79)+6), Variablen!$I$3:$AT$3, 0))="",L79,INDEX(Variablen!$I:$AT, MATCH(M79, Variablen!$A:$A, 0), MATCH((YEAR(D79)+6), Variablen!$I$3:$AT$3, 0))),L79)))*(IF((YEAR(D79)+6)&lt;YEAR(E79),0,IF((YEAR(D79)+6)&gt;YEAR(E79),1,(12-MONTH(E79)+1)/12))) + (Q79)*(IF((YEAR(D79)+6)&lt;YEAR(E79),0,IF((YEAR(D79)+6)&gt;YEAR(E79),1,(12-MONTH(E79)+1)/12))))-((P79)*(IF((YEAR(D79)+6)&lt;YEAR(E79),0,IF((YEAR(D79)+6)&gt;YEAR(E79),1,(12-MONTH(E79)+1)/12))) + (R79)*(IF((YEAR(D79)+6)&lt;YEAR(E79),0,IF((YEAR(D79)+6)&gt;YEAR(E79),1,(12-MONTH(E79)+1)/12))))-(IF((((K79)*(IF(M79="",L79,IFERROR(IF(INDEX(Variablen!$I:$AT, MATCH(M79, Variablen!$A:$A, 0), MATCH((YEAR(D79)+6), Variablen!$I$3:$AT$3, 0))="",L79,INDEX(Variablen!$I:$AT, MATCH(M79, Variablen!$A:$A, 0), MATCH((YEAR(D79)+6), Variablen!$I$3:$AT$3, 0))),L79)))*(IF((YEAR(D79)+6)&lt;YEAR(E79),0,IF((YEAR(D79)+6)&gt;YEAR(E79),1,(12-MONTH(E79)+1)/12))) + (Q79)*(IF((YEAR(D79)+6)&lt;YEAR(E79),0,IF((YEAR(D79)+6)&gt;YEAR(E79),1,(12-MONTH(E79)+1)/12))))-((P79)*(IF((YEAR(D79)+6)&lt;YEAR(E79),0,IF((YEAR(D79)+6)&gt;YEAR(E79),1,(12-MONTH(E79)+1)/12))) + (R79)*(IF((YEAR(D79)+6)&lt;YEAR(E79),0,IF((YEAR(D79)+6)&gt;YEAR(E79),1,(12-MONTH(E79)+1)/12))))-(IF(OR(N79="",N79&lt;=0),0,(O79/N79)*(IF(OR(N79="",N79&lt;=0),0,IF((YEAR(D79)+6)&lt;YEAR(E79),0,IF((YEAR(D79)+6)&gt;=YEAR(E79)+N79,0,IF((YEAR(D79)+6)=YEAR(E79),(12-MONTH(E79)+1)/12,1))))))))&gt;0,(((K79)*(IF(M79="",L79,IFERROR(IF(INDEX(Variablen!$I:$AT, MATCH(M79, Variablen!$A:$A, 0), MATCH((YEAR(D79)+6), Variablen!$I$3:$AT$3, 0))="",L79,INDEX(Variablen!$I:$AT, MATCH(M79, Variablen!$A:$A, 0), MATCH((YEAR(D79)+6), Variablen!$I$3:$AT$3, 0))),L79)))*(IF((YEAR(D79)+6)&lt;YEAR(E79),0,IF((YEAR(D79)+6)&gt;YEAR(E79),1,(12-MONTH(E79)+1)/12))) + (Q79)*(IF((YEAR(D79)+6)&lt;YEAR(E79),0,IF((YEAR(D79)+6)&gt;YEAR(E79),1,(12-MONTH(E79)+1)/12))))-((P79)*(IF((YEAR(D79)+6)&lt;YEAR(E79),0,IF((YEAR(D79)+6)&gt;YEAR(E79),1,(12-MONTH(E79)+1)/12))) + (R79)*(IF((YEAR(D79)+6)&lt;YEAR(E79),0,IF((YEAR(D79)+6)&gt;YEAR(E79),1,(12-MONTH(E79)+1)/12))))-(IF(OR(N79="",N79&lt;=0),0,(O79/N79)*(IF(OR(N79="",N79&lt;=0),0,IF((YEAR(D79)+6)&lt;YEAR(E79),0,IF((YEAR(D79)+6)&gt;=YEAR(E79)+N79,0,IF((YEAR(D79)+6)=YEAR(E79),(12-MONTH(E79)+1)/12,1))))))))*TaxRate,0))-IF(6=0,O79,0))</f>
        <v/>
      </c>
      <c r="Z79" s="29">
        <f>IF(A79="","",((K79)*(IF(M79="",L79,IFERROR(IF(INDEX(Variablen!$I:$AT, MATCH(M79, Variablen!$A:$A, 0), MATCH((YEAR(D79)+7), Variablen!$I$3:$AT$3, 0))="",L79,INDEX(Variablen!$I:$AT, MATCH(M79, Variablen!$A:$A, 0), MATCH((YEAR(D79)+7), Variablen!$I$3:$AT$3, 0))),L79)))*(IF((YEAR(D79)+7)&lt;YEAR(E79),0,IF((YEAR(D79)+7)&gt;YEAR(E79),1,(12-MONTH(E79)+1)/12))) + (Q79)*(IF((YEAR(D79)+7)&lt;YEAR(E79),0,IF((YEAR(D79)+7)&gt;YEAR(E79),1,(12-MONTH(E79)+1)/12))))-((P79)*(IF((YEAR(D79)+7)&lt;YEAR(E79),0,IF((YEAR(D79)+7)&gt;YEAR(E79),1,(12-MONTH(E79)+1)/12))) + (R79)*(IF((YEAR(D79)+7)&lt;YEAR(E79),0,IF((YEAR(D79)+7)&gt;YEAR(E79),1,(12-MONTH(E79)+1)/12))))-(IF((((K79)*(IF(M79="",L79,IFERROR(IF(INDEX(Variablen!$I:$AT, MATCH(M79, Variablen!$A:$A, 0), MATCH((YEAR(D79)+7), Variablen!$I$3:$AT$3, 0))="",L79,INDEX(Variablen!$I:$AT, MATCH(M79, Variablen!$A:$A, 0), MATCH((YEAR(D79)+7), Variablen!$I$3:$AT$3, 0))),L79)))*(IF((YEAR(D79)+7)&lt;YEAR(E79),0,IF((YEAR(D79)+7)&gt;YEAR(E79),1,(12-MONTH(E79)+1)/12))) + (Q79)*(IF((YEAR(D79)+7)&lt;YEAR(E79),0,IF((YEAR(D79)+7)&gt;YEAR(E79),1,(12-MONTH(E79)+1)/12))))-((P79)*(IF((YEAR(D79)+7)&lt;YEAR(E79),0,IF((YEAR(D79)+7)&gt;YEAR(E79),1,(12-MONTH(E79)+1)/12))) + (R79)*(IF((YEAR(D79)+7)&lt;YEAR(E79),0,IF((YEAR(D79)+7)&gt;YEAR(E79),1,(12-MONTH(E79)+1)/12))))-(IF(OR(N79="",N79&lt;=0),0,(O79/N79)*(IF(OR(N79="",N79&lt;=0),0,IF((YEAR(D79)+7)&lt;YEAR(E79),0,IF((YEAR(D79)+7)&gt;=YEAR(E79)+N79,0,IF((YEAR(D79)+7)=YEAR(E79),(12-MONTH(E79)+1)/12,1))))))))&gt;0,(((K79)*(IF(M79="",L79,IFERROR(IF(INDEX(Variablen!$I:$AT, MATCH(M79, Variablen!$A:$A, 0), MATCH((YEAR(D79)+7), Variablen!$I$3:$AT$3, 0))="",L79,INDEX(Variablen!$I:$AT, MATCH(M79, Variablen!$A:$A, 0), MATCH((YEAR(D79)+7), Variablen!$I$3:$AT$3, 0))),L79)))*(IF((YEAR(D79)+7)&lt;YEAR(E79),0,IF((YEAR(D79)+7)&gt;YEAR(E79),1,(12-MONTH(E79)+1)/12))) + (Q79)*(IF((YEAR(D79)+7)&lt;YEAR(E79),0,IF((YEAR(D79)+7)&gt;YEAR(E79),1,(12-MONTH(E79)+1)/12))))-((P79)*(IF((YEAR(D79)+7)&lt;YEAR(E79),0,IF((YEAR(D79)+7)&gt;YEAR(E79),1,(12-MONTH(E79)+1)/12))) + (R79)*(IF((YEAR(D79)+7)&lt;YEAR(E79),0,IF((YEAR(D79)+7)&gt;YEAR(E79),1,(12-MONTH(E79)+1)/12))))-(IF(OR(N79="",N79&lt;=0),0,(O79/N79)*(IF(OR(N79="",N79&lt;=0),0,IF((YEAR(D79)+7)&lt;YEAR(E79),0,IF((YEAR(D79)+7)&gt;=YEAR(E79)+N79,0,IF((YEAR(D79)+7)=YEAR(E79),(12-MONTH(E79)+1)/12,1))))))))*TaxRate,0))-IF(7=0,O79,0))</f>
        <v/>
      </c>
      <c r="AA79" s="29">
        <f>IF(A79="","",((K79)*(IF(M79="",L79,IFERROR(IF(INDEX(Variablen!$I:$AT, MATCH(M79, Variablen!$A:$A, 0), MATCH((YEAR(D79)+8), Variablen!$I$3:$AT$3, 0))="",L79,INDEX(Variablen!$I:$AT, MATCH(M79, Variablen!$A:$A, 0), MATCH((YEAR(D79)+8), Variablen!$I$3:$AT$3, 0))),L79)))*(IF((YEAR(D79)+8)&lt;YEAR(E79),0,IF((YEAR(D79)+8)&gt;YEAR(E79),1,(12-MONTH(E79)+1)/12))) + (Q79)*(IF((YEAR(D79)+8)&lt;YEAR(E79),0,IF((YEAR(D79)+8)&gt;YEAR(E79),1,(12-MONTH(E79)+1)/12))))-((P79)*(IF((YEAR(D79)+8)&lt;YEAR(E79),0,IF((YEAR(D79)+8)&gt;YEAR(E79),1,(12-MONTH(E79)+1)/12))) + (R79)*(IF((YEAR(D79)+8)&lt;YEAR(E79),0,IF((YEAR(D79)+8)&gt;YEAR(E79),1,(12-MONTH(E79)+1)/12))))-(IF((((K79)*(IF(M79="",L79,IFERROR(IF(INDEX(Variablen!$I:$AT, MATCH(M79, Variablen!$A:$A, 0), MATCH((YEAR(D79)+8), Variablen!$I$3:$AT$3, 0))="",L79,INDEX(Variablen!$I:$AT, MATCH(M79, Variablen!$A:$A, 0), MATCH((YEAR(D79)+8), Variablen!$I$3:$AT$3, 0))),L79)))*(IF((YEAR(D79)+8)&lt;YEAR(E79),0,IF((YEAR(D79)+8)&gt;YEAR(E79),1,(12-MONTH(E79)+1)/12))) + (Q79)*(IF((YEAR(D79)+8)&lt;YEAR(E79),0,IF((YEAR(D79)+8)&gt;YEAR(E79),1,(12-MONTH(E79)+1)/12))))-((P79)*(IF((YEAR(D79)+8)&lt;YEAR(E79),0,IF((YEAR(D79)+8)&gt;YEAR(E79),1,(12-MONTH(E79)+1)/12))) + (R79)*(IF((YEAR(D79)+8)&lt;YEAR(E79),0,IF((YEAR(D79)+8)&gt;YEAR(E79),1,(12-MONTH(E79)+1)/12))))-(IF(OR(N79="",N79&lt;=0),0,(O79/N79)*(IF(OR(N79="",N79&lt;=0),0,IF((YEAR(D79)+8)&lt;YEAR(E79),0,IF((YEAR(D79)+8)&gt;=YEAR(E79)+N79,0,IF((YEAR(D79)+8)=YEAR(E79),(12-MONTH(E79)+1)/12,1))))))))&gt;0,(((K79)*(IF(M79="",L79,IFERROR(IF(INDEX(Variablen!$I:$AT, MATCH(M79, Variablen!$A:$A, 0), MATCH((YEAR(D79)+8), Variablen!$I$3:$AT$3, 0))="",L79,INDEX(Variablen!$I:$AT, MATCH(M79, Variablen!$A:$A, 0), MATCH((YEAR(D79)+8), Variablen!$I$3:$AT$3, 0))),L79)))*(IF((YEAR(D79)+8)&lt;YEAR(E79),0,IF((YEAR(D79)+8)&gt;YEAR(E79),1,(12-MONTH(E79)+1)/12))) + (Q79)*(IF((YEAR(D79)+8)&lt;YEAR(E79),0,IF((YEAR(D79)+8)&gt;YEAR(E79),1,(12-MONTH(E79)+1)/12))))-((P79)*(IF((YEAR(D79)+8)&lt;YEAR(E79),0,IF((YEAR(D79)+8)&gt;YEAR(E79),1,(12-MONTH(E79)+1)/12))) + (R79)*(IF((YEAR(D79)+8)&lt;YEAR(E79),0,IF((YEAR(D79)+8)&gt;YEAR(E79),1,(12-MONTH(E79)+1)/12))))-(IF(OR(N79="",N79&lt;=0),0,(O79/N79)*(IF(OR(N79="",N79&lt;=0),0,IF((YEAR(D79)+8)&lt;YEAR(E79),0,IF((YEAR(D79)+8)&gt;=YEAR(E79)+N79,0,IF((YEAR(D79)+8)=YEAR(E79),(12-MONTH(E79)+1)/12,1))))))))*TaxRate,0))-IF(8=0,O79,0))</f>
        <v/>
      </c>
      <c r="AB79" s="29">
        <f>IF(A79="","",((K79)*(IF(M79="",L79,IFERROR(IF(INDEX(Variablen!$I:$AT, MATCH(M79, Variablen!$A:$A, 0), MATCH((YEAR(D79)+9), Variablen!$I$3:$AT$3, 0))="",L79,INDEX(Variablen!$I:$AT, MATCH(M79, Variablen!$A:$A, 0), MATCH((YEAR(D79)+9), Variablen!$I$3:$AT$3, 0))),L79)))*(IF((YEAR(D79)+9)&lt;YEAR(E79),0,IF((YEAR(D79)+9)&gt;YEAR(E79),1,(12-MONTH(E79)+1)/12))) + (Q79)*(IF((YEAR(D79)+9)&lt;YEAR(E79),0,IF((YEAR(D79)+9)&gt;YEAR(E79),1,(12-MONTH(E79)+1)/12))))-((P79)*(IF((YEAR(D79)+9)&lt;YEAR(E79),0,IF((YEAR(D79)+9)&gt;YEAR(E79),1,(12-MONTH(E79)+1)/12))) + (R79)*(IF((YEAR(D79)+9)&lt;YEAR(E79),0,IF((YEAR(D79)+9)&gt;YEAR(E79),1,(12-MONTH(E79)+1)/12))))-(IF((((K79)*(IF(M79="",L79,IFERROR(IF(INDEX(Variablen!$I:$AT, MATCH(M79, Variablen!$A:$A, 0), MATCH((YEAR(D79)+9), Variablen!$I$3:$AT$3, 0))="",L79,INDEX(Variablen!$I:$AT, MATCH(M79, Variablen!$A:$A, 0), MATCH((YEAR(D79)+9), Variablen!$I$3:$AT$3, 0))),L79)))*(IF((YEAR(D79)+9)&lt;YEAR(E79),0,IF((YEAR(D79)+9)&gt;YEAR(E79),1,(12-MONTH(E79)+1)/12))) + (Q79)*(IF((YEAR(D79)+9)&lt;YEAR(E79),0,IF((YEAR(D79)+9)&gt;YEAR(E79),1,(12-MONTH(E79)+1)/12))))-((P79)*(IF((YEAR(D79)+9)&lt;YEAR(E79),0,IF((YEAR(D79)+9)&gt;YEAR(E79),1,(12-MONTH(E79)+1)/12))) + (R79)*(IF((YEAR(D79)+9)&lt;YEAR(E79),0,IF((YEAR(D79)+9)&gt;YEAR(E79),1,(12-MONTH(E79)+1)/12))))-(IF(OR(N79="",N79&lt;=0),0,(O79/N79)*(IF(OR(N79="",N79&lt;=0),0,IF((YEAR(D79)+9)&lt;YEAR(E79),0,IF((YEAR(D79)+9)&gt;=YEAR(E79)+N79,0,IF((YEAR(D79)+9)=YEAR(E79),(12-MONTH(E79)+1)/12,1))))))))&gt;0,(((K79)*(IF(M79="",L79,IFERROR(IF(INDEX(Variablen!$I:$AT, MATCH(M79, Variablen!$A:$A, 0), MATCH((YEAR(D79)+9), Variablen!$I$3:$AT$3, 0))="",L79,INDEX(Variablen!$I:$AT, MATCH(M79, Variablen!$A:$A, 0), MATCH((YEAR(D79)+9), Variablen!$I$3:$AT$3, 0))),L79)))*(IF((YEAR(D79)+9)&lt;YEAR(E79),0,IF((YEAR(D79)+9)&gt;YEAR(E79),1,(12-MONTH(E79)+1)/12))) + (Q79)*(IF((YEAR(D79)+9)&lt;YEAR(E79),0,IF((YEAR(D79)+9)&gt;YEAR(E79),1,(12-MONTH(E79)+1)/12))))-((P79)*(IF((YEAR(D79)+9)&lt;YEAR(E79),0,IF((YEAR(D79)+9)&gt;YEAR(E79),1,(12-MONTH(E79)+1)/12))) + (R79)*(IF((YEAR(D79)+9)&lt;YEAR(E79),0,IF((YEAR(D79)+9)&gt;YEAR(E79),1,(12-MONTH(E79)+1)/12))))-(IF(OR(N79="",N79&lt;=0),0,(O79/N79)*(IF(OR(N79="",N79&lt;=0),0,IF((YEAR(D79)+9)&lt;YEAR(E79),0,IF((YEAR(D79)+9)&gt;=YEAR(E79)+N79,0,IF((YEAR(D79)+9)=YEAR(E79),(12-MONTH(E79)+1)/12,1))))))))*TaxRate,0))-IF(9=0,O79,0))</f>
        <v/>
      </c>
      <c r="AC79" s="29">
        <f>IF(A79="","",((K79)*(IF(M79="",L79,IFERROR(IF(INDEX(Variablen!$I:$AT, MATCH(M79, Variablen!$A:$A, 0), MATCH((YEAR(D79)+10), Variablen!$I$3:$AT$3, 0))="",L79,INDEX(Variablen!$I:$AT, MATCH(M79, Variablen!$A:$A, 0), MATCH((YEAR(D79)+10), Variablen!$I$3:$AT$3, 0))),L79)))*(IF((YEAR(D79)+10)&lt;YEAR(E79),0,IF((YEAR(D79)+10)&gt;YEAR(E79),1,(12-MONTH(E79)+1)/12))) + (Q79)*(IF((YEAR(D79)+10)&lt;YEAR(E79),0,IF((YEAR(D79)+10)&gt;YEAR(E79),1,(12-MONTH(E79)+1)/12))))-((P79)*(IF((YEAR(D79)+10)&lt;YEAR(E79),0,IF((YEAR(D79)+10)&gt;YEAR(E79),1,(12-MONTH(E79)+1)/12))) + (R79)*(IF((YEAR(D79)+10)&lt;YEAR(E79),0,IF((YEAR(D79)+10)&gt;YEAR(E79),1,(12-MONTH(E79)+1)/12))))-(IF((((K79)*(IF(M79="",L79,IFERROR(IF(INDEX(Variablen!$I:$AT, MATCH(M79, Variablen!$A:$A, 0), MATCH((YEAR(D79)+10), Variablen!$I$3:$AT$3, 0))="",L79,INDEX(Variablen!$I:$AT, MATCH(M79, Variablen!$A:$A, 0), MATCH((YEAR(D79)+10), Variablen!$I$3:$AT$3, 0))),L79)))*(IF((YEAR(D79)+10)&lt;YEAR(E79),0,IF((YEAR(D79)+10)&gt;YEAR(E79),1,(12-MONTH(E79)+1)/12))) + (Q79)*(IF((YEAR(D79)+10)&lt;YEAR(E79),0,IF((YEAR(D79)+10)&gt;YEAR(E79),1,(12-MONTH(E79)+1)/12))))-((P79)*(IF((YEAR(D79)+10)&lt;YEAR(E79),0,IF((YEAR(D79)+10)&gt;YEAR(E79),1,(12-MONTH(E79)+1)/12))) + (R79)*(IF((YEAR(D79)+10)&lt;YEAR(E79),0,IF((YEAR(D79)+10)&gt;YEAR(E79),1,(12-MONTH(E79)+1)/12))))-(IF(OR(N79="",N79&lt;=0),0,(O79/N79)*(IF(OR(N79="",N79&lt;=0),0,IF((YEAR(D79)+10)&lt;YEAR(E79),0,IF((YEAR(D79)+10)&gt;=YEAR(E79)+N79,0,IF((YEAR(D79)+10)=YEAR(E79),(12-MONTH(E79)+1)/12,1))))))))&gt;0,(((K79)*(IF(M79="",L79,IFERROR(IF(INDEX(Variablen!$I:$AT, MATCH(M79, Variablen!$A:$A, 0), MATCH((YEAR(D79)+10), Variablen!$I$3:$AT$3, 0))="",L79,INDEX(Variablen!$I:$AT, MATCH(M79, Variablen!$A:$A, 0), MATCH((YEAR(D79)+10), Variablen!$I$3:$AT$3, 0))),L79)))*(IF((YEAR(D79)+10)&lt;YEAR(E79),0,IF((YEAR(D79)+10)&gt;YEAR(E79),1,(12-MONTH(E79)+1)/12))) + (Q79)*(IF((YEAR(D79)+10)&lt;YEAR(E79),0,IF((YEAR(D79)+10)&gt;YEAR(E79),1,(12-MONTH(E79)+1)/12))))-((P79)*(IF((YEAR(D79)+10)&lt;YEAR(E79),0,IF((YEAR(D79)+10)&gt;YEAR(E79),1,(12-MONTH(E79)+1)/12))) + (R79)*(IF((YEAR(D79)+10)&lt;YEAR(E79),0,IF((YEAR(D79)+10)&gt;YEAR(E79),1,(12-MONTH(E79)+1)/12))))-(IF(OR(N79="",N79&lt;=0),0,(O79/N79)*(IF(OR(N79="",N79&lt;=0),0,IF((YEAR(D79)+10)&lt;YEAR(E79),0,IF((YEAR(D79)+10)&gt;=YEAR(E79)+N79,0,IF((YEAR(D79)+10)=YEAR(E79),(12-MONTH(E79)+1)/12,1))))))))*TaxRate,0))-IF(10=0,O79,0))</f>
        <v/>
      </c>
      <c r="AD79" s="29">
        <f>IF(A79="","",((K79)*(IF(M79="",L79,IFERROR(IF(INDEX(Variablen!$I:$AT, MATCH(M79, Variablen!$A:$A, 0), MATCH((YEAR(D79)+11), Variablen!$I$3:$AT$3, 0))="",L79,INDEX(Variablen!$I:$AT, MATCH(M79, Variablen!$A:$A, 0), MATCH((YEAR(D79)+11), Variablen!$I$3:$AT$3, 0))),L79)))*(IF((YEAR(D79)+11)&lt;YEAR(E79),0,IF((YEAR(D79)+11)&gt;YEAR(E79),1,(12-MONTH(E79)+1)/12))) + (Q79)*(IF((YEAR(D79)+11)&lt;YEAR(E79),0,IF((YEAR(D79)+11)&gt;YEAR(E79),1,(12-MONTH(E79)+1)/12))))-((P79)*(IF((YEAR(D79)+11)&lt;YEAR(E79),0,IF((YEAR(D79)+11)&gt;YEAR(E79),1,(12-MONTH(E79)+1)/12))) + (R79)*(IF((YEAR(D79)+11)&lt;YEAR(E79),0,IF((YEAR(D79)+11)&gt;YEAR(E79),1,(12-MONTH(E79)+1)/12))))-(IF((((K79)*(IF(M79="",L79,IFERROR(IF(INDEX(Variablen!$I:$AT, MATCH(M79, Variablen!$A:$A, 0), MATCH((YEAR(D79)+11), Variablen!$I$3:$AT$3, 0))="",L79,INDEX(Variablen!$I:$AT, MATCH(M79, Variablen!$A:$A, 0), MATCH((YEAR(D79)+11), Variablen!$I$3:$AT$3, 0))),L79)))*(IF((YEAR(D79)+11)&lt;YEAR(E79),0,IF((YEAR(D79)+11)&gt;YEAR(E79),1,(12-MONTH(E79)+1)/12))) + (Q79)*(IF((YEAR(D79)+11)&lt;YEAR(E79),0,IF((YEAR(D79)+11)&gt;YEAR(E79),1,(12-MONTH(E79)+1)/12))))-((P79)*(IF((YEAR(D79)+11)&lt;YEAR(E79),0,IF((YEAR(D79)+11)&gt;YEAR(E79),1,(12-MONTH(E79)+1)/12))) + (R79)*(IF((YEAR(D79)+11)&lt;YEAR(E79),0,IF((YEAR(D79)+11)&gt;YEAR(E79),1,(12-MONTH(E79)+1)/12))))-(IF(OR(N79="",N79&lt;=0),0,(O79/N79)*(IF(OR(N79="",N79&lt;=0),0,IF((YEAR(D79)+11)&lt;YEAR(E79),0,IF((YEAR(D79)+11)&gt;=YEAR(E79)+N79,0,IF((YEAR(D79)+11)=YEAR(E79),(12-MONTH(E79)+1)/12,1))))))))&gt;0,(((K79)*(IF(M79="",L79,IFERROR(IF(INDEX(Variablen!$I:$AT, MATCH(M79, Variablen!$A:$A, 0), MATCH((YEAR(D79)+11), Variablen!$I$3:$AT$3, 0))="",L79,INDEX(Variablen!$I:$AT, MATCH(M79, Variablen!$A:$A, 0), MATCH((YEAR(D79)+11), Variablen!$I$3:$AT$3, 0))),L79)))*(IF((YEAR(D79)+11)&lt;YEAR(E79),0,IF((YEAR(D79)+11)&gt;YEAR(E79),1,(12-MONTH(E79)+1)/12))) + (Q79)*(IF((YEAR(D79)+11)&lt;YEAR(E79),0,IF((YEAR(D79)+11)&gt;YEAR(E79),1,(12-MONTH(E79)+1)/12))))-((P79)*(IF((YEAR(D79)+11)&lt;YEAR(E79),0,IF((YEAR(D79)+11)&gt;YEAR(E79),1,(12-MONTH(E79)+1)/12))) + (R79)*(IF((YEAR(D79)+11)&lt;YEAR(E79),0,IF((YEAR(D79)+11)&gt;YEAR(E79),1,(12-MONTH(E79)+1)/12))))-(IF(OR(N79="",N79&lt;=0),0,(O79/N79)*(IF(OR(N79="",N79&lt;=0),0,IF((YEAR(D79)+11)&lt;YEAR(E79),0,IF((YEAR(D79)+11)&gt;=YEAR(E79)+N79,0,IF((YEAR(D79)+11)=YEAR(E79),(12-MONTH(E79)+1)/12,1))))))))*TaxRate,0))-IF(11=0,O79,0))</f>
        <v/>
      </c>
      <c r="AE79" s="29">
        <f>IF(A79="","",((K79)*(IF(M79="",L79,IFERROR(IF(INDEX(Variablen!$I:$AT, MATCH(M79, Variablen!$A:$A, 0), MATCH((YEAR(D79)+12), Variablen!$I$3:$AT$3, 0))="",L79,INDEX(Variablen!$I:$AT, MATCH(M79, Variablen!$A:$A, 0), MATCH((YEAR(D79)+12), Variablen!$I$3:$AT$3, 0))),L79)))*(IF((YEAR(D79)+12)&lt;YEAR(E79),0,IF((YEAR(D79)+12)&gt;YEAR(E79),1,(12-MONTH(E79)+1)/12))) + (Q79)*(IF((YEAR(D79)+12)&lt;YEAR(E79),0,IF((YEAR(D79)+12)&gt;YEAR(E79),1,(12-MONTH(E79)+1)/12))))-((P79)*(IF((YEAR(D79)+12)&lt;YEAR(E79),0,IF((YEAR(D79)+12)&gt;YEAR(E79),1,(12-MONTH(E79)+1)/12))) + (R79)*(IF((YEAR(D79)+12)&lt;YEAR(E79),0,IF((YEAR(D79)+12)&gt;YEAR(E79),1,(12-MONTH(E79)+1)/12))))-(IF((((K79)*(IF(M79="",L79,IFERROR(IF(INDEX(Variablen!$I:$AT, MATCH(M79, Variablen!$A:$A, 0), MATCH((YEAR(D79)+12), Variablen!$I$3:$AT$3, 0))="",L79,INDEX(Variablen!$I:$AT, MATCH(M79, Variablen!$A:$A, 0), MATCH((YEAR(D79)+12), Variablen!$I$3:$AT$3, 0))),L79)))*(IF((YEAR(D79)+12)&lt;YEAR(E79),0,IF((YEAR(D79)+12)&gt;YEAR(E79),1,(12-MONTH(E79)+1)/12))) + (Q79)*(IF((YEAR(D79)+12)&lt;YEAR(E79),0,IF((YEAR(D79)+12)&gt;YEAR(E79),1,(12-MONTH(E79)+1)/12))))-((P79)*(IF((YEAR(D79)+12)&lt;YEAR(E79),0,IF((YEAR(D79)+12)&gt;YEAR(E79),1,(12-MONTH(E79)+1)/12))) + (R79)*(IF((YEAR(D79)+12)&lt;YEAR(E79),0,IF((YEAR(D79)+12)&gt;YEAR(E79),1,(12-MONTH(E79)+1)/12))))-(IF(OR(N79="",N79&lt;=0),0,(O79/N79)*(IF(OR(N79="",N79&lt;=0),0,IF((YEAR(D79)+12)&lt;YEAR(E79),0,IF((YEAR(D79)+12)&gt;=YEAR(E79)+N79,0,IF((YEAR(D79)+12)=YEAR(E79),(12-MONTH(E79)+1)/12,1))))))))&gt;0,(((K79)*(IF(M79="",L79,IFERROR(IF(INDEX(Variablen!$I:$AT, MATCH(M79, Variablen!$A:$A, 0), MATCH((YEAR(D79)+12), Variablen!$I$3:$AT$3, 0))="",L79,INDEX(Variablen!$I:$AT, MATCH(M79, Variablen!$A:$A, 0), MATCH((YEAR(D79)+12), Variablen!$I$3:$AT$3, 0))),L79)))*(IF((YEAR(D79)+12)&lt;YEAR(E79),0,IF((YEAR(D79)+12)&gt;YEAR(E79),1,(12-MONTH(E79)+1)/12))) + (Q79)*(IF((YEAR(D79)+12)&lt;YEAR(E79),0,IF((YEAR(D79)+12)&gt;YEAR(E79),1,(12-MONTH(E79)+1)/12))))-((P79)*(IF((YEAR(D79)+12)&lt;YEAR(E79),0,IF((YEAR(D79)+12)&gt;YEAR(E79),1,(12-MONTH(E79)+1)/12))) + (R79)*(IF((YEAR(D79)+12)&lt;YEAR(E79),0,IF((YEAR(D79)+12)&gt;YEAR(E79),1,(12-MONTH(E79)+1)/12))))-(IF(OR(N79="",N79&lt;=0),0,(O79/N79)*(IF(OR(N79="",N79&lt;=0),0,IF((YEAR(D79)+12)&lt;YEAR(E79),0,IF((YEAR(D79)+12)&gt;=YEAR(E79)+N79,0,IF((YEAR(D79)+12)=YEAR(E79),(12-MONTH(E79)+1)/12,1))))))))*TaxRate,0))-IF(12=0,O79,0))</f>
        <v/>
      </c>
      <c r="AF79" s="29">
        <f>IF(A79="","",((K79)*(IF(M79="",L79,IFERROR(IF(INDEX(Variablen!$I:$AT, MATCH(M79, Variablen!$A:$A, 0), MATCH((YEAR(D79)+13), Variablen!$I$3:$AT$3, 0))="",L79,INDEX(Variablen!$I:$AT, MATCH(M79, Variablen!$A:$A, 0), MATCH((YEAR(D79)+13), Variablen!$I$3:$AT$3, 0))),L79)))*(IF((YEAR(D79)+13)&lt;YEAR(E79),0,IF((YEAR(D79)+13)&gt;YEAR(E79),1,(12-MONTH(E79)+1)/12))) + (Q79)*(IF((YEAR(D79)+13)&lt;YEAR(E79),0,IF((YEAR(D79)+13)&gt;YEAR(E79),1,(12-MONTH(E79)+1)/12))))-((P79)*(IF((YEAR(D79)+13)&lt;YEAR(E79),0,IF((YEAR(D79)+13)&gt;YEAR(E79),1,(12-MONTH(E79)+1)/12))) + (R79)*(IF((YEAR(D79)+13)&lt;YEAR(E79),0,IF((YEAR(D79)+13)&gt;YEAR(E79),1,(12-MONTH(E79)+1)/12))))-(IF((((K79)*(IF(M79="",L79,IFERROR(IF(INDEX(Variablen!$I:$AT, MATCH(M79, Variablen!$A:$A, 0), MATCH((YEAR(D79)+13), Variablen!$I$3:$AT$3, 0))="",L79,INDEX(Variablen!$I:$AT, MATCH(M79, Variablen!$A:$A, 0), MATCH((YEAR(D79)+13), Variablen!$I$3:$AT$3, 0))),L79)))*(IF((YEAR(D79)+13)&lt;YEAR(E79),0,IF((YEAR(D79)+13)&gt;YEAR(E79),1,(12-MONTH(E79)+1)/12))) + (Q79)*(IF((YEAR(D79)+13)&lt;YEAR(E79),0,IF((YEAR(D79)+13)&gt;YEAR(E79),1,(12-MONTH(E79)+1)/12))))-((P79)*(IF((YEAR(D79)+13)&lt;YEAR(E79),0,IF((YEAR(D79)+13)&gt;YEAR(E79),1,(12-MONTH(E79)+1)/12))) + (R79)*(IF((YEAR(D79)+13)&lt;YEAR(E79),0,IF((YEAR(D79)+13)&gt;YEAR(E79),1,(12-MONTH(E79)+1)/12))))-(IF(OR(N79="",N79&lt;=0),0,(O79/N79)*(IF(OR(N79="",N79&lt;=0),0,IF((YEAR(D79)+13)&lt;YEAR(E79),0,IF((YEAR(D79)+13)&gt;=YEAR(E79)+N79,0,IF((YEAR(D79)+13)=YEAR(E79),(12-MONTH(E79)+1)/12,1))))))))&gt;0,(((K79)*(IF(M79="",L79,IFERROR(IF(INDEX(Variablen!$I:$AT, MATCH(M79, Variablen!$A:$A, 0), MATCH((YEAR(D79)+13), Variablen!$I$3:$AT$3, 0))="",L79,INDEX(Variablen!$I:$AT, MATCH(M79, Variablen!$A:$A, 0), MATCH((YEAR(D79)+13), Variablen!$I$3:$AT$3, 0))),L79)))*(IF((YEAR(D79)+13)&lt;YEAR(E79),0,IF((YEAR(D79)+13)&gt;YEAR(E79),1,(12-MONTH(E79)+1)/12))) + (Q79)*(IF((YEAR(D79)+13)&lt;YEAR(E79),0,IF((YEAR(D79)+13)&gt;YEAR(E79),1,(12-MONTH(E79)+1)/12))))-((P79)*(IF((YEAR(D79)+13)&lt;YEAR(E79),0,IF((YEAR(D79)+13)&gt;YEAR(E79),1,(12-MONTH(E79)+1)/12))) + (R79)*(IF((YEAR(D79)+13)&lt;YEAR(E79),0,IF((YEAR(D79)+13)&gt;YEAR(E79),1,(12-MONTH(E79)+1)/12))))-(IF(OR(N79="",N79&lt;=0),0,(O79/N79)*(IF(OR(N79="",N79&lt;=0),0,IF((YEAR(D79)+13)&lt;YEAR(E79),0,IF((YEAR(D79)+13)&gt;=YEAR(E79)+N79,0,IF((YEAR(D79)+13)=YEAR(E79),(12-MONTH(E79)+1)/12,1))))))))*TaxRate,0))-IF(13=0,O79,0))</f>
        <v/>
      </c>
      <c r="AG79" s="29">
        <f>IF(A79="","",((K79)*(IF(M79="",L79,IFERROR(IF(INDEX(Variablen!$I:$AT, MATCH(M79, Variablen!$A:$A, 0), MATCH((YEAR(D79)+14), Variablen!$I$3:$AT$3, 0))="",L79,INDEX(Variablen!$I:$AT, MATCH(M79, Variablen!$A:$A, 0), MATCH((YEAR(D79)+14), Variablen!$I$3:$AT$3, 0))),L79)))*(IF((YEAR(D79)+14)&lt;YEAR(E79),0,IF((YEAR(D79)+14)&gt;YEAR(E79),1,(12-MONTH(E79)+1)/12))) + (Q79)*(IF((YEAR(D79)+14)&lt;YEAR(E79),0,IF((YEAR(D79)+14)&gt;YEAR(E79),1,(12-MONTH(E79)+1)/12))))-((P79)*(IF((YEAR(D79)+14)&lt;YEAR(E79),0,IF((YEAR(D79)+14)&gt;YEAR(E79),1,(12-MONTH(E79)+1)/12))) + (R79)*(IF((YEAR(D79)+14)&lt;YEAR(E79),0,IF((YEAR(D79)+14)&gt;YEAR(E79),1,(12-MONTH(E79)+1)/12))))-(IF((((K79)*(IF(M79="",L79,IFERROR(IF(INDEX(Variablen!$I:$AT, MATCH(M79, Variablen!$A:$A, 0), MATCH((YEAR(D79)+14), Variablen!$I$3:$AT$3, 0))="",L79,INDEX(Variablen!$I:$AT, MATCH(M79, Variablen!$A:$A, 0), MATCH((YEAR(D79)+14), Variablen!$I$3:$AT$3, 0))),L79)))*(IF((YEAR(D79)+14)&lt;YEAR(E79),0,IF((YEAR(D79)+14)&gt;YEAR(E79),1,(12-MONTH(E79)+1)/12))) + (Q79)*(IF((YEAR(D79)+14)&lt;YEAR(E79),0,IF((YEAR(D79)+14)&gt;YEAR(E79),1,(12-MONTH(E79)+1)/12))))-((P79)*(IF((YEAR(D79)+14)&lt;YEAR(E79),0,IF((YEAR(D79)+14)&gt;YEAR(E79),1,(12-MONTH(E79)+1)/12))) + (R79)*(IF((YEAR(D79)+14)&lt;YEAR(E79),0,IF((YEAR(D79)+14)&gt;YEAR(E79),1,(12-MONTH(E79)+1)/12))))-(IF(OR(N79="",N79&lt;=0),0,(O79/N79)*(IF(OR(N79="",N79&lt;=0),0,IF((YEAR(D79)+14)&lt;YEAR(E79),0,IF((YEAR(D79)+14)&gt;=YEAR(E79)+N79,0,IF((YEAR(D79)+14)=YEAR(E79),(12-MONTH(E79)+1)/12,1))))))))&gt;0,(((K79)*(IF(M79="",L79,IFERROR(IF(INDEX(Variablen!$I:$AT, MATCH(M79, Variablen!$A:$A, 0), MATCH((YEAR(D79)+14), Variablen!$I$3:$AT$3, 0))="",L79,INDEX(Variablen!$I:$AT, MATCH(M79, Variablen!$A:$A, 0), MATCH((YEAR(D79)+14), Variablen!$I$3:$AT$3, 0))),L79)))*(IF((YEAR(D79)+14)&lt;YEAR(E79),0,IF((YEAR(D79)+14)&gt;YEAR(E79),1,(12-MONTH(E79)+1)/12))) + (Q79)*(IF((YEAR(D79)+14)&lt;YEAR(E79),0,IF((YEAR(D79)+14)&gt;YEAR(E79),1,(12-MONTH(E79)+1)/12))))-((P79)*(IF((YEAR(D79)+14)&lt;YEAR(E79),0,IF((YEAR(D79)+14)&gt;YEAR(E79),1,(12-MONTH(E79)+1)/12))) + (R79)*(IF((YEAR(D79)+14)&lt;YEAR(E79),0,IF((YEAR(D79)+14)&gt;YEAR(E79),1,(12-MONTH(E79)+1)/12))))-(IF(OR(N79="",N79&lt;=0),0,(O79/N79)*(IF(OR(N79="",N79&lt;=0),0,IF((YEAR(D79)+14)&lt;YEAR(E79),0,IF((YEAR(D79)+14)&gt;=YEAR(E79)+N79,0,IF((YEAR(D79)+14)=YEAR(E79),(12-MONTH(E79)+1)/12,1))))))))*TaxRate,0))-IF(14=0,O79,0))</f>
        <v/>
      </c>
      <c r="AH79" s="29">
        <f>IF(A79="","",((K79)*(IF(M79="",L79,IFERROR(IF(INDEX(Variablen!$I:$AT, MATCH(M79, Variablen!$A:$A, 0), MATCH((YEAR(D79)+15), Variablen!$I$3:$AT$3, 0))="",L79,INDEX(Variablen!$I:$AT, MATCH(M79, Variablen!$A:$A, 0), MATCH((YEAR(D79)+15), Variablen!$I$3:$AT$3, 0))),L79)))*(IF((YEAR(D79)+15)&lt;YEAR(E79),0,IF((YEAR(D79)+15)&gt;YEAR(E79),1,(12-MONTH(E79)+1)/12))) + (Q79)*(IF((YEAR(D79)+15)&lt;YEAR(E79),0,IF((YEAR(D79)+15)&gt;YEAR(E79),1,(12-MONTH(E79)+1)/12))))-((P79)*(IF((YEAR(D79)+15)&lt;YEAR(E79),0,IF((YEAR(D79)+15)&gt;YEAR(E79),1,(12-MONTH(E79)+1)/12))) + (R79)*(IF((YEAR(D79)+15)&lt;YEAR(E79),0,IF((YEAR(D79)+15)&gt;YEAR(E79),1,(12-MONTH(E79)+1)/12))))-(IF((((K79)*(IF(M79="",L79,IFERROR(IF(INDEX(Variablen!$I:$AT, MATCH(M79, Variablen!$A:$A, 0), MATCH((YEAR(D79)+15), Variablen!$I$3:$AT$3, 0))="",L79,INDEX(Variablen!$I:$AT, MATCH(M79, Variablen!$A:$A, 0), MATCH((YEAR(D79)+15), Variablen!$I$3:$AT$3, 0))),L79)))*(IF((YEAR(D79)+15)&lt;YEAR(E79),0,IF((YEAR(D79)+15)&gt;YEAR(E79),1,(12-MONTH(E79)+1)/12))) + (Q79)*(IF((YEAR(D79)+15)&lt;YEAR(E79),0,IF((YEAR(D79)+15)&gt;YEAR(E79),1,(12-MONTH(E79)+1)/12))))-((P79)*(IF((YEAR(D79)+15)&lt;YEAR(E79),0,IF((YEAR(D79)+15)&gt;YEAR(E79),1,(12-MONTH(E79)+1)/12))) + (R79)*(IF((YEAR(D79)+15)&lt;YEAR(E79),0,IF((YEAR(D79)+15)&gt;YEAR(E79),1,(12-MONTH(E79)+1)/12))))-(IF(OR(N79="",N79&lt;=0),0,(O79/N79)*(IF(OR(N79="",N79&lt;=0),0,IF((YEAR(D79)+15)&lt;YEAR(E79),0,IF((YEAR(D79)+15)&gt;=YEAR(E79)+N79,0,IF((YEAR(D79)+15)=YEAR(E79),(12-MONTH(E79)+1)/12,1))))))))&gt;0,(((K79)*(IF(M79="",L79,IFERROR(IF(INDEX(Variablen!$I:$AT, MATCH(M79, Variablen!$A:$A, 0), MATCH((YEAR(D79)+15), Variablen!$I$3:$AT$3, 0))="",L79,INDEX(Variablen!$I:$AT, MATCH(M79, Variablen!$A:$A, 0), MATCH((YEAR(D79)+15), Variablen!$I$3:$AT$3, 0))),L79)))*(IF((YEAR(D79)+15)&lt;YEAR(E79),0,IF((YEAR(D79)+15)&gt;YEAR(E79),1,(12-MONTH(E79)+1)/12))) + (Q79)*(IF((YEAR(D79)+15)&lt;YEAR(E79),0,IF((YEAR(D79)+15)&gt;YEAR(E79),1,(12-MONTH(E79)+1)/12))))-((P79)*(IF((YEAR(D79)+15)&lt;YEAR(E79),0,IF((YEAR(D79)+15)&gt;YEAR(E79),1,(12-MONTH(E79)+1)/12))) + (R79)*(IF((YEAR(D79)+15)&lt;YEAR(E79),0,IF((YEAR(D79)+15)&gt;YEAR(E79),1,(12-MONTH(E79)+1)/12))))-(IF(OR(N79="",N79&lt;=0),0,(O79/N79)*(IF(OR(N79="",N79&lt;=0),0,IF((YEAR(D79)+15)&lt;YEAR(E79),0,IF((YEAR(D79)+15)&gt;=YEAR(E79)+N79,0,IF((YEAR(D79)+15)=YEAR(E79),(12-MONTH(E79)+1)/12,1))))))))*TaxRate,0))-IF(15=0,O79,0))</f>
        <v/>
      </c>
      <c r="AI79" s="29">
        <f>IF(A79="","",((K79)*(IF(M79="",L79,IFERROR(IF(INDEX(Variablen!$I:$AT, MATCH(M79, Variablen!$A:$A, 0), MATCH((YEAR(D79)+16), Variablen!$I$3:$AT$3, 0))="",L79,INDEX(Variablen!$I:$AT, MATCH(M79, Variablen!$A:$A, 0), MATCH((YEAR(D79)+16), Variablen!$I$3:$AT$3, 0))),L79)))*(IF((YEAR(D79)+16)&lt;YEAR(E79),0,IF((YEAR(D79)+16)&gt;YEAR(E79),1,(12-MONTH(E79)+1)/12))) + (Q79)*(IF((YEAR(D79)+16)&lt;YEAR(E79),0,IF((YEAR(D79)+16)&gt;YEAR(E79),1,(12-MONTH(E79)+1)/12))))-((P79)*(IF((YEAR(D79)+16)&lt;YEAR(E79),0,IF((YEAR(D79)+16)&gt;YEAR(E79),1,(12-MONTH(E79)+1)/12))) + (R79)*(IF((YEAR(D79)+16)&lt;YEAR(E79),0,IF((YEAR(D79)+16)&gt;YEAR(E79),1,(12-MONTH(E79)+1)/12))))-(IF((((K79)*(IF(M79="",L79,IFERROR(IF(INDEX(Variablen!$I:$AT, MATCH(M79, Variablen!$A:$A, 0), MATCH((YEAR(D79)+16), Variablen!$I$3:$AT$3, 0))="",L79,INDEX(Variablen!$I:$AT, MATCH(M79, Variablen!$A:$A, 0), MATCH((YEAR(D79)+16), Variablen!$I$3:$AT$3, 0))),L79)))*(IF((YEAR(D79)+16)&lt;YEAR(E79),0,IF((YEAR(D79)+16)&gt;YEAR(E79),1,(12-MONTH(E79)+1)/12))) + (Q79)*(IF((YEAR(D79)+16)&lt;YEAR(E79),0,IF((YEAR(D79)+16)&gt;YEAR(E79),1,(12-MONTH(E79)+1)/12))))-((P79)*(IF((YEAR(D79)+16)&lt;YEAR(E79),0,IF((YEAR(D79)+16)&gt;YEAR(E79),1,(12-MONTH(E79)+1)/12))) + (R79)*(IF((YEAR(D79)+16)&lt;YEAR(E79),0,IF((YEAR(D79)+16)&gt;YEAR(E79),1,(12-MONTH(E79)+1)/12))))-(IF(OR(N79="",N79&lt;=0),0,(O79/N79)*(IF(OR(N79="",N79&lt;=0),0,IF((YEAR(D79)+16)&lt;YEAR(E79),0,IF((YEAR(D79)+16)&gt;=YEAR(E79)+N79,0,IF((YEAR(D79)+16)=YEAR(E79),(12-MONTH(E79)+1)/12,1))))))))&gt;0,(((K79)*(IF(M79="",L79,IFERROR(IF(INDEX(Variablen!$I:$AT, MATCH(M79, Variablen!$A:$A, 0), MATCH((YEAR(D79)+16), Variablen!$I$3:$AT$3, 0))="",L79,INDEX(Variablen!$I:$AT, MATCH(M79, Variablen!$A:$A, 0), MATCH((YEAR(D79)+16), Variablen!$I$3:$AT$3, 0))),L79)))*(IF((YEAR(D79)+16)&lt;YEAR(E79),0,IF((YEAR(D79)+16)&gt;YEAR(E79),1,(12-MONTH(E79)+1)/12))) + (Q79)*(IF((YEAR(D79)+16)&lt;YEAR(E79),0,IF((YEAR(D79)+16)&gt;YEAR(E79),1,(12-MONTH(E79)+1)/12))))-((P79)*(IF((YEAR(D79)+16)&lt;YEAR(E79),0,IF((YEAR(D79)+16)&gt;YEAR(E79),1,(12-MONTH(E79)+1)/12))) + (R79)*(IF((YEAR(D79)+16)&lt;YEAR(E79),0,IF((YEAR(D79)+16)&gt;YEAR(E79),1,(12-MONTH(E79)+1)/12))))-(IF(OR(N79="",N79&lt;=0),0,(O79/N79)*(IF(OR(N79="",N79&lt;=0),0,IF((YEAR(D79)+16)&lt;YEAR(E79),0,IF((YEAR(D79)+16)&gt;=YEAR(E79)+N79,0,IF((YEAR(D79)+16)=YEAR(E79),(12-MONTH(E79)+1)/12,1))))))))*TaxRate,0))-IF(16=0,O79,0))</f>
        <v/>
      </c>
      <c r="AJ79" s="29">
        <f>IF(A79="","",((K79)*(IF(M79="",L79,IFERROR(IF(INDEX(Variablen!$I:$AT, MATCH(M79, Variablen!$A:$A, 0), MATCH((YEAR(D79)+17), Variablen!$I$3:$AT$3, 0))="",L79,INDEX(Variablen!$I:$AT, MATCH(M79, Variablen!$A:$A, 0), MATCH((YEAR(D79)+17), Variablen!$I$3:$AT$3, 0))),L79)))*(IF((YEAR(D79)+17)&lt;YEAR(E79),0,IF((YEAR(D79)+17)&gt;YEAR(E79),1,(12-MONTH(E79)+1)/12))) + (Q79)*(IF((YEAR(D79)+17)&lt;YEAR(E79),0,IF((YEAR(D79)+17)&gt;YEAR(E79),1,(12-MONTH(E79)+1)/12))))-((P79)*(IF((YEAR(D79)+17)&lt;YEAR(E79),0,IF((YEAR(D79)+17)&gt;YEAR(E79),1,(12-MONTH(E79)+1)/12))) + (R79)*(IF((YEAR(D79)+17)&lt;YEAR(E79),0,IF((YEAR(D79)+17)&gt;YEAR(E79),1,(12-MONTH(E79)+1)/12))))-(IF((((K79)*(IF(M79="",L79,IFERROR(IF(INDEX(Variablen!$I:$AT, MATCH(M79, Variablen!$A:$A, 0), MATCH((YEAR(D79)+17), Variablen!$I$3:$AT$3, 0))="",L79,INDEX(Variablen!$I:$AT, MATCH(M79, Variablen!$A:$A, 0), MATCH((YEAR(D79)+17), Variablen!$I$3:$AT$3, 0))),L79)))*(IF((YEAR(D79)+17)&lt;YEAR(E79),0,IF((YEAR(D79)+17)&gt;YEAR(E79),1,(12-MONTH(E79)+1)/12))) + (Q79)*(IF((YEAR(D79)+17)&lt;YEAR(E79),0,IF((YEAR(D79)+17)&gt;YEAR(E79),1,(12-MONTH(E79)+1)/12))))-((P79)*(IF((YEAR(D79)+17)&lt;YEAR(E79),0,IF((YEAR(D79)+17)&gt;YEAR(E79),1,(12-MONTH(E79)+1)/12))) + (R79)*(IF((YEAR(D79)+17)&lt;YEAR(E79),0,IF((YEAR(D79)+17)&gt;YEAR(E79),1,(12-MONTH(E79)+1)/12))))-(IF(OR(N79="",N79&lt;=0),0,(O79/N79)*(IF(OR(N79="",N79&lt;=0),0,IF((YEAR(D79)+17)&lt;YEAR(E79),0,IF((YEAR(D79)+17)&gt;=YEAR(E79)+N79,0,IF((YEAR(D79)+17)=YEAR(E79),(12-MONTH(E79)+1)/12,1))))))))&gt;0,(((K79)*(IF(M79="",L79,IFERROR(IF(INDEX(Variablen!$I:$AT, MATCH(M79, Variablen!$A:$A, 0), MATCH((YEAR(D79)+17), Variablen!$I$3:$AT$3, 0))="",L79,INDEX(Variablen!$I:$AT, MATCH(M79, Variablen!$A:$A, 0), MATCH((YEAR(D79)+17), Variablen!$I$3:$AT$3, 0))),L79)))*(IF((YEAR(D79)+17)&lt;YEAR(E79),0,IF((YEAR(D79)+17)&gt;YEAR(E79),1,(12-MONTH(E79)+1)/12))) + (Q79)*(IF((YEAR(D79)+17)&lt;YEAR(E79),0,IF((YEAR(D79)+17)&gt;YEAR(E79),1,(12-MONTH(E79)+1)/12))))-((P79)*(IF((YEAR(D79)+17)&lt;YEAR(E79),0,IF((YEAR(D79)+17)&gt;YEAR(E79),1,(12-MONTH(E79)+1)/12))) + (R79)*(IF((YEAR(D79)+17)&lt;YEAR(E79),0,IF((YEAR(D79)+17)&gt;YEAR(E79),1,(12-MONTH(E79)+1)/12))))-(IF(OR(N79="",N79&lt;=0),0,(O79/N79)*(IF(OR(N79="",N79&lt;=0),0,IF((YEAR(D79)+17)&lt;YEAR(E79),0,IF((YEAR(D79)+17)&gt;=YEAR(E79)+N79,0,IF((YEAR(D79)+17)=YEAR(E79),(12-MONTH(E79)+1)/12,1))))))))*TaxRate,0))-IF(17=0,O79,0))</f>
        <v/>
      </c>
      <c r="AK79" s="29">
        <f>IF(A79="","",((K79)*(IF(M79="",L79,IFERROR(IF(INDEX(Variablen!$I:$AT, MATCH(M79, Variablen!$A:$A, 0), MATCH((YEAR(D79)+18), Variablen!$I$3:$AT$3, 0))="",L79,INDEX(Variablen!$I:$AT, MATCH(M79, Variablen!$A:$A, 0), MATCH((YEAR(D79)+18), Variablen!$I$3:$AT$3, 0))),L79)))*(IF((YEAR(D79)+18)&lt;YEAR(E79),0,IF((YEAR(D79)+18)&gt;YEAR(E79),1,(12-MONTH(E79)+1)/12))) + (Q79)*(IF((YEAR(D79)+18)&lt;YEAR(E79),0,IF((YEAR(D79)+18)&gt;YEAR(E79),1,(12-MONTH(E79)+1)/12))))-((P79)*(IF((YEAR(D79)+18)&lt;YEAR(E79),0,IF((YEAR(D79)+18)&gt;YEAR(E79),1,(12-MONTH(E79)+1)/12))) + (R79)*(IF((YEAR(D79)+18)&lt;YEAR(E79),0,IF((YEAR(D79)+18)&gt;YEAR(E79),1,(12-MONTH(E79)+1)/12))))-(IF((((K79)*(IF(M79="",L79,IFERROR(IF(INDEX(Variablen!$I:$AT, MATCH(M79, Variablen!$A:$A, 0), MATCH((YEAR(D79)+18), Variablen!$I$3:$AT$3, 0))="",L79,INDEX(Variablen!$I:$AT, MATCH(M79, Variablen!$A:$A, 0), MATCH((YEAR(D79)+18), Variablen!$I$3:$AT$3, 0))),L79)))*(IF((YEAR(D79)+18)&lt;YEAR(E79),0,IF((YEAR(D79)+18)&gt;YEAR(E79),1,(12-MONTH(E79)+1)/12))) + (Q79)*(IF((YEAR(D79)+18)&lt;YEAR(E79),0,IF((YEAR(D79)+18)&gt;YEAR(E79),1,(12-MONTH(E79)+1)/12))))-((P79)*(IF((YEAR(D79)+18)&lt;YEAR(E79),0,IF((YEAR(D79)+18)&gt;YEAR(E79),1,(12-MONTH(E79)+1)/12))) + (R79)*(IF((YEAR(D79)+18)&lt;YEAR(E79),0,IF((YEAR(D79)+18)&gt;YEAR(E79),1,(12-MONTH(E79)+1)/12))))-(IF(OR(N79="",N79&lt;=0),0,(O79/N79)*(IF(OR(N79="",N79&lt;=0),0,IF((YEAR(D79)+18)&lt;YEAR(E79),0,IF((YEAR(D79)+18)&gt;=YEAR(E79)+N79,0,IF((YEAR(D79)+18)=YEAR(E79),(12-MONTH(E79)+1)/12,1))))))))&gt;0,(((K79)*(IF(M79="",L79,IFERROR(IF(INDEX(Variablen!$I:$AT, MATCH(M79, Variablen!$A:$A, 0), MATCH((YEAR(D79)+18), Variablen!$I$3:$AT$3, 0))="",L79,INDEX(Variablen!$I:$AT, MATCH(M79, Variablen!$A:$A, 0), MATCH((YEAR(D79)+18), Variablen!$I$3:$AT$3, 0))),L79)))*(IF((YEAR(D79)+18)&lt;YEAR(E79),0,IF((YEAR(D79)+18)&gt;YEAR(E79),1,(12-MONTH(E79)+1)/12))) + (Q79)*(IF((YEAR(D79)+18)&lt;YEAR(E79),0,IF((YEAR(D79)+18)&gt;YEAR(E79),1,(12-MONTH(E79)+1)/12))))-((P79)*(IF((YEAR(D79)+18)&lt;YEAR(E79),0,IF((YEAR(D79)+18)&gt;YEAR(E79),1,(12-MONTH(E79)+1)/12))) + (R79)*(IF((YEAR(D79)+18)&lt;YEAR(E79),0,IF((YEAR(D79)+18)&gt;YEAR(E79),1,(12-MONTH(E79)+1)/12))))-(IF(OR(N79="",N79&lt;=0),0,(O79/N79)*(IF(OR(N79="",N79&lt;=0),0,IF((YEAR(D79)+18)&lt;YEAR(E79),0,IF((YEAR(D79)+18)&gt;=YEAR(E79)+N79,0,IF((YEAR(D79)+18)=YEAR(E79),(12-MONTH(E79)+1)/12,1))))))))*TaxRate,0))-IF(18=0,O79,0))</f>
        <v/>
      </c>
      <c r="AL79" s="29">
        <f>IF(A79="","",((K79)*(IF(M79="",L79,IFERROR(IF(INDEX(Variablen!$I:$AT, MATCH(M79, Variablen!$A:$A, 0), MATCH((YEAR(D79)+19), Variablen!$I$3:$AT$3, 0))="",L79,INDEX(Variablen!$I:$AT, MATCH(M79, Variablen!$A:$A, 0), MATCH((YEAR(D79)+19), Variablen!$I$3:$AT$3, 0))),L79)))*(IF((YEAR(D79)+19)&lt;YEAR(E79),0,IF((YEAR(D79)+19)&gt;YEAR(E79),1,(12-MONTH(E79)+1)/12))) + (Q79)*(IF((YEAR(D79)+19)&lt;YEAR(E79),0,IF((YEAR(D79)+19)&gt;YEAR(E79),1,(12-MONTH(E79)+1)/12))))-((P79)*(IF((YEAR(D79)+19)&lt;YEAR(E79),0,IF((YEAR(D79)+19)&gt;YEAR(E79),1,(12-MONTH(E79)+1)/12))) + (R79)*(IF((YEAR(D79)+19)&lt;YEAR(E79),0,IF((YEAR(D79)+19)&gt;YEAR(E79),1,(12-MONTH(E79)+1)/12))))-(IF((((K79)*(IF(M79="",L79,IFERROR(IF(INDEX(Variablen!$I:$AT, MATCH(M79, Variablen!$A:$A, 0), MATCH((YEAR(D79)+19), Variablen!$I$3:$AT$3, 0))="",L79,INDEX(Variablen!$I:$AT, MATCH(M79, Variablen!$A:$A, 0), MATCH((YEAR(D79)+19), Variablen!$I$3:$AT$3, 0))),L79)))*(IF((YEAR(D79)+19)&lt;YEAR(E79),0,IF((YEAR(D79)+19)&gt;YEAR(E79),1,(12-MONTH(E79)+1)/12))) + (Q79)*(IF((YEAR(D79)+19)&lt;YEAR(E79),0,IF((YEAR(D79)+19)&gt;YEAR(E79),1,(12-MONTH(E79)+1)/12))))-((P79)*(IF((YEAR(D79)+19)&lt;YEAR(E79),0,IF((YEAR(D79)+19)&gt;YEAR(E79),1,(12-MONTH(E79)+1)/12))) + (R79)*(IF((YEAR(D79)+19)&lt;YEAR(E79),0,IF((YEAR(D79)+19)&gt;YEAR(E79),1,(12-MONTH(E79)+1)/12))))-(IF(OR(N79="",N79&lt;=0),0,(O79/N79)*(IF(OR(N79="",N79&lt;=0),0,IF((YEAR(D79)+19)&lt;YEAR(E79),0,IF((YEAR(D79)+19)&gt;=YEAR(E79)+N79,0,IF((YEAR(D79)+19)=YEAR(E79),(12-MONTH(E79)+1)/12,1))))))))&gt;0,(((K79)*(IF(M79="",L79,IFERROR(IF(INDEX(Variablen!$I:$AT, MATCH(M79, Variablen!$A:$A, 0), MATCH((YEAR(D79)+19), Variablen!$I$3:$AT$3, 0))="",L79,INDEX(Variablen!$I:$AT, MATCH(M79, Variablen!$A:$A, 0), MATCH((YEAR(D79)+19), Variablen!$I$3:$AT$3, 0))),L79)))*(IF((YEAR(D79)+19)&lt;YEAR(E79),0,IF((YEAR(D79)+19)&gt;YEAR(E79),1,(12-MONTH(E79)+1)/12))) + (Q79)*(IF((YEAR(D79)+19)&lt;YEAR(E79),0,IF((YEAR(D79)+19)&gt;YEAR(E79),1,(12-MONTH(E79)+1)/12))))-((P79)*(IF((YEAR(D79)+19)&lt;YEAR(E79),0,IF((YEAR(D79)+19)&gt;YEAR(E79),1,(12-MONTH(E79)+1)/12))) + (R79)*(IF((YEAR(D79)+19)&lt;YEAR(E79),0,IF((YEAR(D79)+19)&gt;YEAR(E79),1,(12-MONTH(E79)+1)/12))))-(IF(OR(N79="",N79&lt;=0),0,(O79/N79)*(IF(OR(N79="",N79&lt;=0),0,IF((YEAR(D79)+19)&lt;YEAR(E79),0,IF((YEAR(D79)+19)&gt;=YEAR(E79)+N79,0,IF((YEAR(D79)+19)=YEAR(E79),(12-MONTH(E79)+1)/12,1))))))))*TaxRate,0))-IF(19=0,O79,0))</f>
        <v/>
      </c>
      <c r="AM79" s="29">
        <f>IF(A79="","",((K79)*(IF(M79="",L79,IFERROR(IF(INDEX(Variablen!$I:$AT, MATCH(M79, Variablen!$A:$A, 0), MATCH((YEAR(D79)+20), Variablen!$I$3:$AT$3, 0))="",L79,INDEX(Variablen!$I:$AT, MATCH(M79, Variablen!$A:$A, 0), MATCH((YEAR(D79)+20), Variablen!$I$3:$AT$3, 0))),L79)))*(IF((YEAR(D79)+20)&lt;YEAR(E79),0,IF((YEAR(D79)+20)&gt;YEAR(E79),1,(12-MONTH(E79)+1)/12))) + (Q79)*(IF((YEAR(D79)+20)&lt;YEAR(E79),0,IF((YEAR(D79)+20)&gt;YEAR(E79),1,(12-MONTH(E79)+1)/12))))-((P79)*(IF((YEAR(D79)+20)&lt;YEAR(E79),0,IF((YEAR(D79)+20)&gt;YEAR(E79),1,(12-MONTH(E79)+1)/12))) + (R79)*(IF((YEAR(D79)+20)&lt;YEAR(E79),0,IF((YEAR(D79)+20)&gt;YEAR(E79),1,(12-MONTH(E79)+1)/12))))-(IF((((K79)*(IF(M79="",L79,IFERROR(IF(INDEX(Variablen!$I:$AT, MATCH(M79, Variablen!$A:$A, 0), MATCH((YEAR(D79)+20), Variablen!$I$3:$AT$3, 0))="",L79,INDEX(Variablen!$I:$AT, MATCH(M79, Variablen!$A:$A, 0), MATCH((YEAR(D79)+20), Variablen!$I$3:$AT$3, 0))),L79)))*(IF((YEAR(D79)+20)&lt;YEAR(E79),0,IF((YEAR(D79)+20)&gt;YEAR(E79),1,(12-MONTH(E79)+1)/12))) + (Q79)*(IF((YEAR(D79)+20)&lt;YEAR(E79),0,IF((YEAR(D79)+20)&gt;YEAR(E79),1,(12-MONTH(E79)+1)/12))))-((P79)*(IF((YEAR(D79)+20)&lt;YEAR(E79),0,IF((YEAR(D79)+20)&gt;YEAR(E79),1,(12-MONTH(E79)+1)/12))) + (R79)*(IF((YEAR(D79)+20)&lt;YEAR(E79),0,IF((YEAR(D79)+20)&gt;YEAR(E79),1,(12-MONTH(E79)+1)/12))))-(IF(OR(N79="",N79&lt;=0),0,(O79/N79)*(IF(OR(N79="",N79&lt;=0),0,IF((YEAR(D79)+20)&lt;YEAR(E79),0,IF((YEAR(D79)+20)&gt;=YEAR(E79)+N79,0,IF((YEAR(D79)+20)=YEAR(E79),(12-MONTH(E79)+1)/12,1))))))))&gt;0,(((K79)*(IF(M79="",L79,IFERROR(IF(INDEX(Variablen!$I:$AT, MATCH(M79, Variablen!$A:$A, 0), MATCH((YEAR(D79)+20), Variablen!$I$3:$AT$3, 0))="",L79,INDEX(Variablen!$I:$AT, MATCH(M79, Variablen!$A:$A, 0), MATCH((YEAR(D79)+20), Variablen!$I$3:$AT$3, 0))),L79)))*(IF((YEAR(D79)+20)&lt;YEAR(E79),0,IF((YEAR(D79)+20)&gt;YEAR(E79),1,(12-MONTH(E79)+1)/12))) + (Q79)*(IF((YEAR(D79)+20)&lt;YEAR(E79),0,IF((YEAR(D79)+20)&gt;YEAR(E79),1,(12-MONTH(E79)+1)/12))))-((P79)*(IF((YEAR(D79)+20)&lt;YEAR(E79),0,IF((YEAR(D79)+20)&gt;YEAR(E79),1,(12-MONTH(E79)+1)/12))) + (R79)*(IF((YEAR(D79)+20)&lt;YEAR(E79),0,IF((YEAR(D79)+20)&gt;YEAR(E79),1,(12-MONTH(E79)+1)/12))))-(IF(OR(N79="",N79&lt;=0),0,(O79/N79)*(IF(OR(N79="",N79&lt;=0),0,IF((YEAR(D79)+20)&lt;YEAR(E79),0,IF((YEAR(D79)+20)&gt;=YEAR(E79)+N79,0,IF((YEAR(D79)+20)=YEAR(E79),(12-MONTH(E79)+1)/12,1))))))))*TaxRate,0))-IF(20=0,O79,0))</f>
        <v/>
      </c>
      <c r="AN79" s="29">
        <f>IF(A79="","",S79)</f>
        <v/>
      </c>
      <c r="AO79" s="29">
        <f>IF(A79="","",AN79+T79)</f>
        <v/>
      </c>
      <c r="AP79" s="29">
        <f>IF(A79="","",AO79+U79)</f>
        <v/>
      </c>
      <c r="AQ79" s="29">
        <f>IF(A79="","",AP79+V79)</f>
        <v/>
      </c>
      <c r="AR79" s="29">
        <f>IF(A79="","",AQ79+W79)</f>
        <v/>
      </c>
      <c r="AS79" s="29">
        <f>IF(A79="","",AR79+X79)</f>
        <v/>
      </c>
      <c r="AT79" s="29">
        <f>IF(A79="","",AS79+Y79)</f>
        <v/>
      </c>
      <c r="AU79" s="29">
        <f>IF(A79="","",AT79+Z79)</f>
        <v/>
      </c>
      <c r="AV79" s="29">
        <f>IF(A79="","",AU79+AA79)</f>
        <v/>
      </c>
      <c r="AW79" s="29">
        <f>IF(A79="","",AV79+AB79)</f>
        <v/>
      </c>
      <c r="AX79" s="29">
        <f>IF(A79="","",AW79+AC79)</f>
        <v/>
      </c>
      <c r="AY79" s="29">
        <f>IF(A79="","",AX79+AD79)</f>
        <v/>
      </c>
      <c r="AZ79" s="29">
        <f>IF(A79="","",AY79+AE79)</f>
        <v/>
      </c>
      <c r="BA79" s="29">
        <f>IF(A79="","",AZ79+AF79)</f>
        <v/>
      </c>
      <c r="BB79" s="29">
        <f>IF(A79="","",BA79+AG79)</f>
        <v/>
      </c>
      <c r="BC79" s="29">
        <f>IF(A79="","",BB79+AH79)</f>
        <v/>
      </c>
      <c r="BD79" s="29">
        <f>IF(A79="","",BC79+AI79)</f>
        <v/>
      </c>
      <c r="BE79" s="29">
        <f>IF(A79="","",BD79+AJ79)</f>
        <v/>
      </c>
      <c r="BF79" s="29">
        <f>IF(A79="","",BE79+AK79)</f>
        <v/>
      </c>
      <c r="BG79" s="29">
        <f>IF(A79="","",BF79+AL79)</f>
        <v/>
      </c>
      <c r="BH79" s="29">
        <f>IF(A79="","",BG79+AM79)</f>
        <v/>
      </c>
      <c r="BI79" s="36">
        <f>IF(A79="","",(K79)*(IF((YEAR(D79)+0)&lt;YEAR(E79),0,IF((YEAR(D79)+0)&gt;YEAR(E79),1,(12-MONTH(E79)+1)/12)))*(1/(1+DiscountRate)^0))</f>
        <v/>
      </c>
      <c r="BJ79" s="36">
        <f>IF(A79="","",(K79)*(IF((YEAR(D79)+1)&lt;YEAR(E79),0,IF((YEAR(D79)+1)&gt;YEAR(E79),1,(12-MONTH(E79)+1)/12)))*(1/(1+DiscountRate)^1))</f>
        <v/>
      </c>
      <c r="BK79" s="36">
        <f>IF(A79="","",(K79)*(IF((YEAR(D79)+2)&lt;YEAR(E79),0,IF((YEAR(D79)+2)&gt;YEAR(E79),1,(12-MONTH(E79)+1)/12)))*(1/(1+DiscountRate)^2))</f>
        <v/>
      </c>
      <c r="BL79" s="36">
        <f>IF(A79="","",(K79)*(IF((YEAR(D79)+3)&lt;YEAR(E79),0,IF((YEAR(D79)+3)&gt;YEAR(E79),1,(12-MONTH(E79)+1)/12)))*(1/(1+DiscountRate)^3))</f>
        <v/>
      </c>
      <c r="BM79" s="36">
        <f>IF(A79="","",(K79)*(IF((YEAR(D79)+4)&lt;YEAR(E79),0,IF((YEAR(D79)+4)&gt;YEAR(E79),1,(12-MONTH(E79)+1)/12)))*(1/(1+DiscountRate)^4))</f>
        <v/>
      </c>
      <c r="BN79" s="36">
        <f>IF(A79="","",(K79)*(IF((YEAR(D79)+5)&lt;YEAR(E79),0,IF((YEAR(D79)+5)&gt;YEAR(E79),1,(12-MONTH(E79)+1)/12)))*(1/(1+DiscountRate)^5))</f>
        <v/>
      </c>
      <c r="BO79" s="36">
        <f>IF(A79="","",(K79)*(IF((YEAR(D79)+6)&lt;YEAR(E79),0,IF((YEAR(D79)+6)&gt;YEAR(E79),1,(12-MONTH(E79)+1)/12)))*(1/(1+DiscountRate)^6))</f>
        <v/>
      </c>
      <c r="BP79" s="36">
        <f>IF(A79="","",(K79)*(IF((YEAR(D79)+7)&lt;YEAR(E79),0,IF((YEAR(D79)+7)&gt;YEAR(E79),1,(12-MONTH(E79)+1)/12)))*(1/(1+DiscountRate)^7))</f>
        <v/>
      </c>
      <c r="BQ79" s="36">
        <f>IF(A79="","",(K79)*(IF((YEAR(D79)+8)&lt;YEAR(E79),0,IF((YEAR(D79)+8)&gt;YEAR(E79),1,(12-MONTH(E79)+1)/12)))*(1/(1+DiscountRate)^8))</f>
        <v/>
      </c>
      <c r="BR79" s="36">
        <f>IF(A79="","",(K79)*(IF((YEAR(D79)+9)&lt;YEAR(E79),0,IF((YEAR(D79)+9)&gt;YEAR(E79),1,(12-MONTH(E79)+1)/12)))*(1/(1+DiscountRate)^9))</f>
        <v/>
      </c>
      <c r="BS79" s="36">
        <f>IF(A79="","",(K79)*(IF((YEAR(D79)+10)&lt;YEAR(E79),0,IF((YEAR(D79)+10)&gt;YEAR(E79),1,(12-MONTH(E79)+1)/12)))*(1/(1+DiscountRate)^10))</f>
        <v/>
      </c>
      <c r="BT79" s="36">
        <f>IF(A79="","",(K79)*(IF((YEAR(D79)+11)&lt;YEAR(E79),0,IF((YEAR(D79)+11)&gt;YEAR(E79),1,(12-MONTH(E79)+1)/12)))*(1/(1+DiscountRate)^11))</f>
        <v/>
      </c>
      <c r="BU79" s="36">
        <f>IF(A79="","",(K79)*(IF((YEAR(D79)+12)&lt;YEAR(E79),0,IF((YEAR(D79)+12)&gt;YEAR(E79),1,(12-MONTH(E79)+1)/12)))*(1/(1+DiscountRate)^12))</f>
        <v/>
      </c>
      <c r="BV79" s="36">
        <f>IF(A79="","",(K79)*(IF((YEAR(D79)+13)&lt;YEAR(E79),0,IF((YEAR(D79)+13)&gt;YEAR(E79),1,(12-MONTH(E79)+1)/12)))*(1/(1+DiscountRate)^13))</f>
        <v/>
      </c>
      <c r="BW79" s="36">
        <f>IF(A79="","",(K79)*(IF((YEAR(D79)+14)&lt;YEAR(E79),0,IF((YEAR(D79)+14)&gt;YEAR(E79),1,(12-MONTH(E79)+1)/12)))*(1/(1+DiscountRate)^14))</f>
        <v/>
      </c>
      <c r="BX79" s="36">
        <f>IF(A79="","",(K79)*(IF((YEAR(D79)+15)&lt;YEAR(E79),0,IF((YEAR(D79)+15)&gt;YEAR(E79),1,(12-MONTH(E79)+1)/12)))*(1/(1+DiscountRate)^15))</f>
        <v/>
      </c>
      <c r="BY79" s="36">
        <f>IF(A79="","",(K79)*(IF((YEAR(D79)+16)&lt;YEAR(E79),0,IF((YEAR(D79)+16)&gt;YEAR(E79),1,(12-MONTH(E79)+1)/12)))*(1/(1+DiscountRate)^16))</f>
        <v/>
      </c>
      <c r="BZ79" s="36">
        <f>IF(A79="","",(K79)*(IF((YEAR(D79)+17)&lt;YEAR(E79),0,IF((YEAR(D79)+17)&gt;YEAR(E79),1,(12-MONTH(E79)+1)/12)))*(1/(1+DiscountRate)^17))</f>
        <v/>
      </c>
      <c r="CA79" s="36">
        <f>IF(A79="","",(K79)*(IF((YEAR(D79)+18)&lt;YEAR(E79),0,IF((YEAR(D79)+18)&gt;YEAR(E79),1,(12-MONTH(E79)+1)/12)))*(1/(1+DiscountRate)^18))</f>
        <v/>
      </c>
      <c r="CB79" s="36">
        <f>IF(A79="","",(K79)*(IF((YEAR(D79)+19)&lt;YEAR(E79),0,IF((YEAR(D79)+19)&gt;YEAR(E79),1,(12-MONTH(E79)+1)/12)))*(1/(1+DiscountRate)^19))</f>
        <v/>
      </c>
      <c r="CC79" s="36">
        <f>IF(A79="","",(K79)*(IF((YEAR(D79)+20)&lt;YEAR(E79),0,IF((YEAR(D79)+20)&gt;YEAR(E79),1,(12-MONTH(E79)+1)/12)))*(1/(1+DiscountRate)^20))</f>
        <v/>
      </c>
      <c r="CD79" s="29">
        <f>IF(A79="","",S79/(1+DiscountRate)^0+T79/(1+DiscountRate)^1+U79/(1+DiscountRate)^2+V79/(1+DiscountRate)^3+W79/(1+DiscountRate)^4+X79/(1+DiscountRate)^5+Y79/(1+DiscountRate)^6+Z79/(1+DiscountRate)^7+AA79/(1+DiscountRate)^8+AB79/(1+DiscountRate)^9+AC79/(1+DiscountRate)^10+AD79/(1+DiscountRate)^11+AE79/(1+DiscountRate)^12+AF79/(1+DiscountRate)^13+AG79/(1+DiscountRate)^14+AH79/(1+DiscountRate)^15+AI79/(1+DiscountRate)^16+AJ79/(1+DiscountRate)^17+AK79/(1+DiscountRate)^18+AL79/(1+DiscountRate)^19+AM79/(1+DiscountRate)^20)</f>
        <v/>
      </c>
      <c r="CE79" s="37">
        <f>IF(A79="","",IFERROR(IRR(OFFSET(S79,0,0,1,MIN(HorizonYears,20)+1)),"n/a"))</f>
        <v/>
      </c>
      <c r="CF79" s="28">
        <f>IF(A79="","",IFERROR(MATCH(TRUE,OFFSET(AN79,0,0,1,MIN(HorizonYears,20)+1)&gt;=0,0)-1,"n/a"))</f>
        <v/>
      </c>
      <c r="CG79" s="36">
        <f>IF(A79="","",SUM(OFFSET(BI79,0,0,1,MIN(HorizonYears,20)+1)))</f>
        <v/>
      </c>
      <c r="CH79" s="36">
        <f>IF(A79="","",IFERROR(-CD79/CG79,"n/a"))</f>
        <v/>
      </c>
    </row>
    <row r="80">
      <c r="A80" s="6">
        <f>Actions!A78</f>
        <v/>
      </c>
      <c r="B80" s="6">
        <f>Actions!B78</f>
        <v/>
      </c>
      <c r="C80" s="6">
        <f>Actions!D78</f>
        <v/>
      </c>
      <c r="D80" s="35">
        <f>Actions!E78</f>
        <v/>
      </c>
      <c r="E80" s="35">
        <f>Actions!F78</f>
        <v/>
      </c>
      <c r="F80" s="6">
        <f>Actions!G78</f>
        <v/>
      </c>
      <c r="G80" s="6">
        <f>Actions!H78</f>
        <v/>
      </c>
      <c r="H80" s="29">
        <f>Actions!I78</f>
        <v/>
      </c>
      <c r="I80" s="6">
        <f>Actions!J78</f>
        <v/>
      </c>
      <c r="J80" s="16">
        <f>Actions!K78</f>
        <v/>
      </c>
      <c r="K80" s="16">
        <f>IF(A80="","",IF(I80="%",H80*J80,J80))</f>
        <v/>
      </c>
      <c r="L80" s="16">
        <f>Actions!L78</f>
        <v/>
      </c>
      <c r="M80" s="6">
        <f>Actions!M78</f>
        <v/>
      </c>
      <c r="N80" s="28">
        <f>Actions!N78</f>
        <v/>
      </c>
      <c r="O80" s="29">
        <f>Actions!T78</f>
        <v/>
      </c>
      <c r="P80" s="29">
        <f>Actions!Y78</f>
        <v/>
      </c>
      <c r="Q80" s="29">
        <f>Actions!Z78</f>
        <v/>
      </c>
      <c r="R80" s="29">
        <f>Actions!AA78</f>
        <v/>
      </c>
      <c r="S80" s="29">
        <f>IF(A80="","",((K80)*(IF(M80="",L80,IFERROR(IF(INDEX(Variablen!$I:$AT, MATCH(M80, Variablen!$A:$A, 0), MATCH((YEAR(D80)+0), Variablen!$I$3:$AT$3, 0))="",L80,INDEX(Variablen!$I:$AT, MATCH(M80, Variablen!$A:$A, 0), MATCH((YEAR(D80)+0), Variablen!$I$3:$AT$3, 0))),L80)))*(IF((YEAR(D80)+0)&lt;YEAR(E80),0,IF((YEAR(D80)+0)&gt;YEAR(E80),1,(12-MONTH(E80)+1)/12))) + (Q80)*(IF((YEAR(D80)+0)&lt;YEAR(E80),0,IF((YEAR(D80)+0)&gt;YEAR(E80),1,(12-MONTH(E80)+1)/12))))-((P80)*(IF((YEAR(D80)+0)&lt;YEAR(E80),0,IF((YEAR(D80)+0)&gt;YEAR(E80),1,(12-MONTH(E80)+1)/12))) + (R80)*(IF((YEAR(D80)+0)&lt;YEAR(E80),0,IF((YEAR(D80)+0)&gt;YEAR(E80),1,(12-MONTH(E80)+1)/12))))-(IF((((K80)*(IF(M80="",L80,IFERROR(IF(INDEX(Variablen!$I:$AT, MATCH(M80, Variablen!$A:$A, 0), MATCH((YEAR(D80)+0), Variablen!$I$3:$AT$3, 0))="",L80,INDEX(Variablen!$I:$AT, MATCH(M80, Variablen!$A:$A, 0), MATCH((YEAR(D80)+0), Variablen!$I$3:$AT$3, 0))),L80)))*(IF((YEAR(D80)+0)&lt;YEAR(E80),0,IF((YEAR(D80)+0)&gt;YEAR(E80),1,(12-MONTH(E80)+1)/12))) + (Q80)*(IF((YEAR(D80)+0)&lt;YEAR(E80),0,IF((YEAR(D80)+0)&gt;YEAR(E80),1,(12-MONTH(E80)+1)/12))))-((P80)*(IF((YEAR(D80)+0)&lt;YEAR(E80),0,IF((YEAR(D80)+0)&gt;YEAR(E80),1,(12-MONTH(E80)+1)/12))) + (R80)*(IF((YEAR(D80)+0)&lt;YEAR(E80),0,IF((YEAR(D80)+0)&gt;YEAR(E80),1,(12-MONTH(E80)+1)/12))))-(IF(OR(N80="",N80&lt;=0),0,(O80/N80)*(IF(OR(N80="",N80&lt;=0),0,IF((YEAR(D80)+0)&lt;YEAR(E80),0,IF((YEAR(D80)+0)&gt;=YEAR(E80)+N80,0,IF((YEAR(D80)+0)=YEAR(E80),(12-MONTH(E80)+1)/12,1))))))))&gt;0,(((K80)*(IF(M80="",L80,IFERROR(IF(INDEX(Variablen!$I:$AT, MATCH(M80, Variablen!$A:$A, 0), MATCH((YEAR(D80)+0), Variablen!$I$3:$AT$3, 0))="",L80,INDEX(Variablen!$I:$AT, MATCH(M80, Variablen!$A:$A, 0), MATCH((YEAR(D80)+0), Variablen!$I$3:$AT$3, 0))),L80)))*(IF((YEAR(D80)+0)&lt;YEAR(E80),0,IF((YEAR(D80)+0)&gt;YEAR(E80),1,(12-MONTH(E80)+1)/12))) + (Q80)*(IF((YEAR(D80)+0)&lt;YEAR(E80),0,IF((YEAR(D80)+0)&gt;YEAR(E80),1,(12-MONTH(E80)+1)/12))))-((P80)*(IF((YEAR(D80)+0)&lt;YEAR(E80),0,IF((YEAR(D80)+0)&gt;YEAR(E80),1,(12-MONTH(E80)+1)/12))) + (R80)*(IF((YEAR(D80)+0)&lt;YEAR(E80),0,IF((YEAR(D80)+0)&gt;YEAR(E80),1,(12-MONTH(E80)+1)/12))))-(IF(OR(N80="",N80&lt;=0),0,(O80/N80)*(IF(OR(N80="",N80&lt;=0),0,IF((YEAR(D80)+0)&lt;YEAR(E80),0,IF((YEAR(D80)+0)&gt;=YEAR(E80)+N80,0,IF((YEAR(D80)+0)=YEAR(E80),(12-MONTH(E80)+1)/12,1))))))))*TaxRate,0))-IF(0=0,O80,0))</f>
        <v/>
      </c>
      <c r="T80" s="29">
        <f>IF(A80="","",((K80)*(IF(M80="",L80,IFERROR(IF(INDEX(Variablen!$I:$AT, MATCH(M80, Variablen!$A:$A, 0), MATCH((YEAR(D80)+1), Variablen!$I$3:$AT$3, 0))="",L80,INDEX(Variablen!$I:$AT, MATCH(M80, Variablen!$A:$A, 0), MATCH((YEAR(D80)+1), Variablen!$I$3:$AT$3, 0))),L80)))*(IF((YEAR(D80)+1)&lt;YEAR(E80),0,IF((YEAR(D80)+1)&gt;YEAR(E80),1,(12-MONTH(E80)+1)/12))) + (Q80)*(IF((YEAR(D80)+1)&lt;YEAR(E80),0,IF((YEAR(D80)+1)&gt;YEAR(E80),1,(12-MONTH(E80)+1)/12))))-((P80)*(IF((YEAR(D80)+1)&lt;YEAR(E80),0,IF((YEAR(D80)+1)&gt;YEAR(E80),1,(12-MONTH(E80)+1)/12))) + (R80)*(IF((YEAR(D80)+1)&lt;YEAR(E80),0,IF((YEAR(D80)+1)&gt;YEAR(E80),1,(12-MONTH(E80)+1)/12))))-(IF((((K80)*(IF(M80="",L80,IFERROR(IF(INDEX(Variablen!$I:$AT, MATCH(M80, Variablen!$A:$A, 0), MATCH((YEAR(D80)+1), Variablen!$I$3:$AT$3, 0))="",L80,INDEX(Variablen!$I:$AT, MATCH(M80, Variablen!$A:$A, 0), MATCH((YEAR(D80)+1), Variablen!$I$3:$AT$3, 0))),L80)))*(IF((YEAR(D80)+1)&lt;YEAR(E80),0,IF((YEAR(D80)+1)&gt;YEAR(E80),1,(12-MONTH(E80)+1)/12))) + (Q80)*(IF((YEAR(D80)+1)&lt;YEAR(E80),0,IF((YEAR(D80)+1)&gt;YEAR(E80),1,(12-MONTH(E80)+1)/12))))-((P80)*(IF((YEAR(D80)+1)&lt;YEAR(E80),0,IF((YEAR(D80)+1)&gt;YEAR(E80),1,(12-MONTH(E80)+1)/12))) + (R80)*(IF((YEAR(D80)+1)&lt;YEAR(E80),0,IF((YEAR(D80)+1)&gt;YEAR(E80),1,(12-MONTH(E80)+1)/12))))-(IF(OR(N80="",N80&lt;=0),0,(O80/N80)*(IF(OR(N80="",N80&lt;=0),0,IF((YEAR(D80)+1)&lt;YEAR(E80),0,IF((YEAR(D80)+1)&gt;=YEAR(E80)+N80,0,IF((YEAR(D80)+1)=YEAR(E80),(12-MONTH(E80)+1)/12,1))))))))&gt;0,(((K80)*(IF(M80="",L80,IFERROR(IF(INDEX(Variablen!$I:$AT, MATCH(M80, Variablen!$A:$A, 0), MATCH((YEAR(D80)+1), Variablen!$I$3:$AT$3, 0))="",L80,INDEX(Variablen!$I:$AT, MATCH(M80, Variablen!$A:$A, 0), MATCH((YEAR(D80)+1), Variablen!$I$3:$AT$3, 0))),L80)))*(IF((YEAR(D80)+1)&lt;YEAR(E80),0,IF((YEAR(D80)+1)&gt;YEAR(E80),1,(12-MONTH(E80)+1)/12))) + (Q80)*(IF((YEAR(D80)+1)&lt;YEAR(E80),0,IF((YEAR(D80)+1)&gt;YEAR(E80),1,(12-MONTH(E80)+1)/12))))-((P80)*(IF((YEAR(D80)+1)&lt;YEAR(E80),0,IF((YEAR(D80)+1)&gt;YEAR(E80),1,(12-MONTH(E80)+1)/12))) + (R80)*(IF((YEAR(D80)+1)&lt;YEAR(E80),0,IF((YEAR(D80)+1)&gt;YEAR(E80),1,(12-MONTH(E80)+1)/12))))-(IF(OR(N80="",N80&lt;=0),0,(O80/N80)*(IF(OR(N80="",N80&lt;=0),0,IF((YEAR(D80)+1)&lt;YEAR(E80),0,IF((YEAR(D80)+1)&gt;=YEAR(E80)+N80,0,IF((YEAR(D80)+1)=YEAR(E80),(12-MONTH(E80)+1)/12,1))))))))*TaxRate,0))-IF(1=0,O80,0))</f>
        <v/>
      </c>
      <c r="U80" s="29">
        <f>IF(A80="","",((K80)*(IF(M80="",L80,IFERROR(IF(INDEX(Variablen!$I:$AT, MATCH(M80, Variablen!$A:$A, 0), MATCH((YEAR(D80)+2), Variablen!$I$3:$AT$3, 0))="",L80,INDEX(Variablen!$I:$AT, MATCH(M80, Variablen!$A:$A, 0), MATCH((YEAR(D80)+2), Variablen!$I$3:$AT$3, 0))),L80)))*(IF((YEAR(D80)+2)&lt;YEAR(E80),0,IF((YEAR(D80)+2)&gt;YEAR(E80),1,(12-MONTH(E80)+1)/12))) + (Q80)*(IF((YEAR(D80)+2)&lt;YEAR(E80),0,IF((YEAR(D80)+2)&gt;YEAR(E80),1,(12-MONTH(E80)+1)/12))))-((P80)*(IF((YEAR(D80)+2)&lt;YEAR(E80),0,IF((YEAR(D80)+2)&gt;YEAR(E80),1,(12-MONTH(E80)+1)/12))) + (R80)*(IF((YEAR(D80)+2)&lt;YEAR(E80),0,IF((YEAR(D80)+2)&gt;YEAR(E80),1,(12-MONTH(E80)+1)/12))))-(IF((((K80)*(IF(M80="",L80,IFERROR(IF(INDEX(Variablen!$I:$AT, MATCH(M80, Variablen!$A:$A, 0), MATCH((YEAR(D80)+2), Variablen!$I$3:$AT$3, 0))="",L80,INDEX(Variablen!$I:$AT, MATCH(M80, Variablen!$A:$A, 0), MATCH((YEAR(D80)+2), Variablen!$I$3:$AT$3, 0))),L80)))*(IF((YEAR(D80)+2)&lt;YEAR(E80),0,IF((YEAR(D80)+2)&gt;YEAR(E80),1,(12-MONTH(E80)+1)/12))) + (Q80)*(IF((YEAR(D80)+2)&lt;YEAR(E80),0,IF((YEAR(D80)+2)&gt;YEAR(E80),1,(12-MONTH(E80)+1)/12))))-((P80)*(IF((YEAR(D80)+2)&lt;YEAR(E80),0,IF((YEAR(D80)+2)&gt;YEAR(E80),1,(12-MONTH(E80)+1)/12))) + (R80)*(IF((YEAR(D80)+2)&lt;YEAR(E80),0,IF((YEAR(D80)+2)&gt;YEAR(E80),1,(12-MONTH(E80)+1)/12))))-(IF(OR(N80="",N80&lt;=0),0,(O80/N80)*(IF(OR(N80="",N80&lt;=0),0,IF((YEAR(D80)+2)&lt;YEAR(E80),0,IF((YEAR(D80)+2)&gt;=YEAR(E80)+N80,0,IF((YEAR(D80)+2)=YEAR(E80),(12-MONTH(E80)+1)/12,1))))))))&gt;0,(((K80)*(IF(M80="",L80,IFERROR(IF(INDEX(Variablen!$I:$AT, MATCH(M80, Variablen!$A:$A, 0), MATCH((YEAR(D80)+2), Variablen!$I$3:$AT$3, 0))="",L80,INDEX(Variablen!$I:$AT, MATCH(M80, Variablen!$A:$A, 0), MATCH((YEAR(D80)+2), Variablen!$I$3:$AT$3, 0))),L80)))*(IF((YEAR(D80)+2)&lt;YEAR(E80),0,IF((YEAR(D80)+2)&gt;YEAR(E80),1,(12-MONTH(E80)+1)/12))) + (Q80)*(IF((YEAR(D80)+2)&lt;YEAR(E80),0,IF((YEAR(D80)+2)&gt;YEAR(E80),1,(12-MONTH(E80)+1)/12))))-((P80)*(IF((YEAR(D80)+2)&lt;YEAR(E80),0,IF((YEAR(D80)+2)&gt;YEAR(E80),1,(12-MONTH(E80)+1)/12))) + (R80)*(IF((YEAR(D80)+2)&lt;YEAR(E80),0,IF((YEAR(D80)+2)&gt;YEAR(E80),1,(12-MONTH(E80)+1)/12))))-(IF(OR(N80="",N80&lt;=0),0,(O80/N80)*(IF(OR(N80="",N80&lt;=0),0,IF((YEAR(D80)+2)&lt;YEAR(E80),0,IF((YEAR(D80)+2)&gt;=YEAR(E80)+N80,0,IF((YEAR(D80)+2)=YEAR(E80),(12-MONTH(E80)+1)/12,1))))))))*TaxRate,0))-IF(2=0,O80,0))</f>
        <v/>
      </c>
      <c r="V80" s="29">
        <f>IF(A80="","",((K80)*(IF(M80="",L80,IFERROR(IF(INDEX(Variablen!$I:$AT, MATCH(M80, Variablen!$A:$A, 0), MATCH((YEAR(D80)+3), Variablen!$I$3:$AT$3, 0))="",L80,INDEX(Variablen!$I:$AT, MATCH(M80, Variablen!$A:$A, 0), MATCH((YEAR(D80)+3), Variablen!$I$3:$AT$3, 0))),L80)))*(IF((YEAR(D80)+3)&lt;YEAR(E80),0,IF((YEAR(D80)+3)&gt;YEAR(E80),1,(12-MONTH(E80)+1)/12))) + (Q80)*(IF((YEAR(D80)+3)&lt;YEAR(E80),0,IF((YEAR(D80)+3)&gt;YEAR(E80),1,(12-MONTH(E80)+1)/12))))-((P80)*(IF((YEAR(D80)+3)&lt;YEAR(E80),0,IF((YEAR(D80)+3)&gt;YEAR(E80),1,(12-MONTH(E80)+1)/12))) + (R80)*(IF((YEAR(D80)+3)&lt;YEAR(E80),0,IF((YEAR(D80)+3)&gt;YEAR(E80),1,(12-MONTH(E80)+1)/12))))-(IF((((K80)*(IF(M80="",L80,IFERROR(IF(INDEX(Variablen!$I:$AT, MATCH(M80, Variablen!$A:$A, 0), MATCH((YEAR(D80)+3), Variablen!$I$3:$AT$3, 0))="",L80,INDEX(Variablen!$I:$AT, MATCH(M80, Variablen!$A:$A, 0), MATCH((YEAR(D80)+3), Variablen!$I$3:$AT$3, 0))),L80)))*(IF((YEAR(D80)+3)&lt;YEAR(E80),0,IF((YEAR(D80)+3)&gt;YEAR(E80),1,(12-MONTH(E80)+1)/12))) + (Q80)*(IF((YEAR(D80)+3)&lt;YEAR(E80),0,IF((YEAR(D80)+3)&gt;YEAR(E80),1,(12-MONTH(E80)+1)/12))))-((P80)*(IF((YEAR(D80)+3)&lt;YEAR(E80),0,IF((YEAR(D80)+3)&gt;YEAR(E80),1,(12-MONTH(E80)+1)/12))) + (R80)*(IF((YEAR(D80)+3)&lt;YEAR(E80),0,IF((YEAR(D80)+3)&gt;YEAR(E80),1,(12-MONTH(E80)+1)/12))))-(IF(OR(N80="",N80&lt;=0),0,(O80/N80)*(IF(OR(N80="",N80&lt;=0),0,IF((YEAR(D80)+3)&lt;YEAR(E80),0,IF((YEAR(D80)+3)&gt;=YEAR(E80)+N80,0,IF((YEAR(D80)+3)=YEAR(E80),(12-MONTH(E80)+1)/12,1))))))))&gt;0,(((K80)*(IF(M80="",L80,IFERROR(IF(INDEX(Variablen!$I:$AT, MATCH(M80, Variablen!$A:$A, 0), MATCH((YEAR(D80)+3), Variablen!$I$3:$AT$3, 0))="",L80,INDEX(Variablen!$I:$AT, MATCH(M80, Variablen!$A:$A, 0), MATCH((YEAR(D80)+3), Variablen!$I$3:$AT$3, 0))),L80)))*(IF((YEAR(D80)+3)&lt;YEAR(E80),0,IF((YEAR(D80)+3)&gt;YEAR(E80),1,(12-MONTH(E80)+1)/12))) + (Q80)*(IF((YEAR(D80)+3)&lt;YEAR(E80),0,IF((YEAR(D80)+3)&gt;YEAR(E80),1,(12-MONTH(E80)+1)/12))))-((P80)*(IF((YEAR(D80)+3)&lt;YEAR(E80),0,IF((YEAR(D80)+3)&gt;YEAR(E80),1,(12-MONTH(E80)+1)/12))) + (R80)*(IF((YEAR(D80)+3)&lt;YEAR(E80),0,IF((YEAR(D80)+3)&gt;YEAR(E80),1,(12-MONTH(E80)+1)/12))))-(IF(OR(N80="",N80&lt;=0),0,(O80/N80)*(IF(OR(N80="",N80&lt;=0),0,IF((YEAR(D80)+3)&lt;YEAR(E80),0,IF((YEAR(D80)+3)&gt;=YEAR(E80)+N80,0,IF((YEAR(D80)+3)=YEAR(E80),(12-MONTH(E80)+1)/12,1))))))))*TaxRate,0))-IF(3=0,O80,0))</f>
        <v/>
      </c>
      <c r="W80" s="29">
        <f>IF(A80="","",((K80)*(IF(M80="",L80,IFERROR(IF(INDEX(Variablen!$I:$AT, MATCH(M80, Variablen!$A:$A, 0), MATCH((YEAR(D80)+4), Variablen!$I$3:$AT$3, 0))="",L80,INDEX(Variablen!$I:$AT, MATCH(M80, Variablen!$A:$A, 0), MATCH((YEAR(D80)+4), Variablen!$I$3:$AT$3, 0))),L80)))*(IF((YEAR(D80)+4)&lt;YEAR(E80),0,IF((YEAR(D80)+4)&gt;YEAR(E80),1,(12-MONTH(E80)+1)/12))) + (Q80)*(IF((YEAR(D80)+4)&lt;YEAR(E80),0,IF((YEAR(D80)+4)&gt;YEAR(E80),1,(12-MONTH(E80)+1)/12))))-((P80)*(IF((YEAR(D80)+4)&lt;YEAR(E80),0,IF((YEAR(D80)+4)&gt;YEAR(E80),1,(12-MONTH(E80)+1)/12))) + (R80)*(IF((YEAR(D80)+4)&lt;YEAR(E80),0,IF((YEAR(D80)+4)&gt;YEAR(E80),1,(12-MONTH(E80)+1)/12))))-(IF((((K80)*(IF(M80="",L80,IFERROR(IF(INDEX(Variablen!$I:$AT, MATCH(M80, Variablen!$A:$A, 0), MATCH((YEAR(D80)+4), Variablen!$I$3:$AT$3, 0))="",L80,INDEX(Variablen!$I:$AT, MATCH(M80, Variablen!$A:$A, 0), MATCH((YEAR(D80)+4), Variablen!$I$3:$AT$3, 0))),L80)))*(IF((YEAR(D80)+4)&lt;YEAR(E80),0,IF((YEAR(D80)+4)&gt;YEAR(E80),1,(12-MONTH(E80)+1)/12))) + (Q80)*(IF((YEAR(D80)+4)&lt;YEAR(E80),0,IF((YEAR(D80)+4)&gt;YEAR(E80),1,(12-MONTH(E80)+1)/12))))-((P80)*(IF((YEAR(D80)+4)&lt;YEAR(E80),0,IF((YEAR(D80)+4)&gt;YEAR(E80),1,(12-MONTH(E80)+1)/12))) + (R80)*(IF((YEAR(D80)+4)&lt;YEAR(E80),0,IF((YEAR(D80)+4)&gt;YEAR(E80),1,(12-MONTH(E80)+1)/12))))-(IF(OR(N80="",N80&lt;=0),0,(O80/N80)*(IF(OR(N80="",N80&lt;=0),0,IF((YEAR(D80)+4)&lt;YEAR(E80),0,IF((YEAR(D80)+4)&gt;=YEAR(E80)+N80,0,IF((YEAR(D80)+4)=YEAR(E80),(12-MONTH(E80)+1)/12,1))))))))&gt;0,(((K80)*(IF(M80="",L80,IFERROR(IF(INDEX(Variablen!$I:$AT, MATCH(M80, Variablen!$A:$A, 0), MATCH((YEAR(D80)+4), Variablen!$I$3:$AT$3, 0))="",L80,INDEX(Variablen!$I:$AT, MATCH(M80, Variablen!$A:$A, 0), MATCH((YEAR(D80)+4), Variablen!$I$3:$AT$3, 0))),L80)))*(IF((YEAR(D80)+4)&lt;YEAR(E80),0,IF((YEAR(D80)+4)&gt;YEAR(E80),1,(12-MONTH(E80)+1)/12))) + (Q80)*(IF((YEAR(D80)+4)&lt;YEAR(E80),0,IF((YEAR(D80)+4)&gt;YEAR(E80),1,(12-MONTH(E80)+1)/12))))-((P80)*(IF((YEAR(D80)+4)&lt;YEAR(E80),0,IF((YEAR(D80)+4)&gt;YEAR(E80),1,(12-MONTH(E80)+1)/12))) + (R80)*(IF((YEAR(D80)+4)&lt;YEAR(E80),0,IF((YEAR(D80)+4)&gt;YEAR(E80),1,(12-MONTH(E80)+1)/12))))-(IF(OR(N80="",N80&lt;=0),0,(O80/N80)*(IF(OR(N80="",N80&lt;=0),0,IF((YEAR(D80)+4)&lt;YEAR(E80),0,IF((YEAR(D80)+4)&gt;=YEAR(E80)+N80,0,IF((YEAR(D80)+4)=YEAR(E80),(12-MONTH(E80)+1)/12,1))))))))*TaxRate,0))-IF(4=0,O80,0))</f>
        <v/>
      </c>
      <c r="X80" s="29">
        <f>IF(A80="","",((K80)*(IF(M80="",L80,IFERROR(IF(INDEX(Variablen!$I:$AT, MATCH(M80, Variablen!$A:$A, 0), MATCH((YEAR(D80)+5), Variablen!$I$3:$AT$3, 0))="",L80,INDEX(Variablen!$I:$AT, MATCH(M80, Variablen!$A:$A, 0), MATCH((YEAR(D80)+5), Variablen!$I$3:$AT$3, 0))),L80)))*(IF((YEAR(D80)+5)&lt;YEAR(E80),0,IF((YEAR(D80)+5)&gt;YEAR(E80),1,(12-MONTH(E80)+1)/12))) + (Q80)*(IF((YEAR(D80)+5)&lt;YEAR(E80),0,IF((YEAR(D80)+5)&gt;YEAR(E80),1,(12-MONTH(E80)+1)/12))))-((P80)*(IF((YEAR(D80)+5)&lt;YEAR(E80),0,IF((YEAR(D80)+5)&gt;YEAR(E80),1,(12-MONTH(E80)+1)/12))) + (R80)*(IF((YEAR(D80)+5)&lt;YEAR(E80),0,IF((YEAR(D80)+5)&gt;YEAR(E80),1,(12-MONTH(E80)+1)/12))))-(IF((((K80)*(IF(M80="",L80,IFERROR(IF(INDEX(Variablen!$I:$AT, MATCH(M80, Variablen!$A:$A, 0), MATCH((YEAR(D80)+5), Variablen!$I$3:$AT$3, 0))="",L80,INDEX(Variablen!$I:$AT, MATCH(M80, Variablen!$A:$A, 0), MATCH((YEAR(D80)+5), Variablen!$I$3:$AT$3, 0))),L80)))*(IF((YEAR(D80)+5)&lt;YEAR(E80),0,IF((YEAR(D80)+5)&gt;YEAR(E80),1,(12-MONTH(E80)+1)/12))) + (Q80)*(IF((YEAR(D80)+5)&lt;YEAR(E80),0,IF((YEAR(D80)+5)&gt;YEAR(E80),1,(12-MONTH(E80)+1)/12))))-((P80)*(IF((YEAR(D80)+5)&lt;YEAR(E80),0,IF((YEAR(D80)+5)&gt;YEAR(E80),1,(12-MONTH(E80)+1)/12))) + (R80)*(IF((YEAR(D80)+5)&lt;YEAR(E80),0,IF((YEAR(D80)+5)&gt;YEAR(E80),1,(12-MONTH(E80)+1)/12))))-(IF(OR(N80="",N80&lt;=0),0,(O80/N80)*(IF(OR(N80="",N80&lt;=0),0,IF((YEAR(D80)+5)&lt;YEAR(E80),0,IF((YEAR(D80)+5)&gt;=YEAR(E80)+N80,0,IF((YEAR(D80)+5)=YEAR(E80),(12-MONTH(E80)+1)/12,1))))))))&gt;0,(((K80)*(IF(M80="",L80,IFERROR(IF(INDEX(Variablen!$I:$AT, MATCH(M80, Variablen!$A:$A, 0), MATCH((YEAR(D80)+5), Variablen!$I$3:$AT$3, 0))="",L80,INDEX(Variablen!$I:$AT, MATCH(M80, Variablen!$A:$A, 0), MATCH((YEAR(D80)+5), Variablen!$I$3:$AT$3, 0))),L80)))*(IF((YEAR(D80)+5)&lt;YEAR(E80),0,IF((YEAR(D80)+5)&gt;YEAR(E80),1,(12-MONTH(E80)+1)/12))) + (Q80)*(IF((YEAR(D80)+5)&lt;YEAR(E80),0,IF((YEAR(D80)+5)&gt;YEAR(E80),1,(12-MONTH(E80)+1)/12))))-((P80)*(IF((YEAR(D80)+5)&lt;YEAR(E80),0,IF((YEAR(D80)+5)&gt;YEAR(E80),1,(12-MONTH(E80)+1)/12))) + (R80)*(IF((YEAR(D80)+5)&lt;YEAR(E80),0,IF((YEAR(D80)+5)&gt;YEAR(E80),1,(12-MONTH(E80)+1)/12))))-(IF(OR(N80="",N80&lt;=0),0,(O80/N80)*(IF(OR(N80="",N80&lt;=0),0,IF((YEAR(D80)+5)&lt;YEAR(E80),0,IF((YEAR(D80)+5)&gt;=YEAR(E80)+N80,0,IF((YEAR(D80)+5)=YEAR(E80),(12-MONTH(E80)+1)/12,1))))))))*TaxRate,0))-IF(5=0,O80,0))</f>
        <v/>
      </c>
      <c r="Y80" s="29">
        <f>IF(A80="","",((K80)*(IF(M80="",L80,IFERROR(IF(INDEX(Variablen!$I:$AT, MATCH(M80, Variablen!$A:$A, 0), MATCH((YEAR(D80)+6), Variablen!$I$3:$AT$3, 0))="",L80,INDEX(Variablen!$I:$AT, MATCH(M80, Variablen!$A:$A, 0), MATCH((YEAR(D80)+6), Variablen!$I$3:$AT$3, 0))),L80)))*(IF((YEAR(D80)+6)&lt;YEAR(E80),0,IF((YEAR(D80)+6)&gt;YEAR(E80),1,(12-MONTH(E80)+1)/12))) + (Q80)*(IF((YEAR(D80)+6)&lt;YEAR(E80),0,IF((YEAR(D80)+6)&gt;YEAR(E80),1,(12-MONTH(E80)+1)/12))))-((P80)*(IF((YEAR(D80)+6)&lt;YEAR(E80),0,IF((YEAR(D80)+6)&gt;YEAR(E80),1,(12-MONTH(E80)+1)/12))) + (R80)*(IF((YEAR(D80)+6)&lt;YEAR(E80),0,IF((YEAR(D80)+6)&gt;YEAR(E80),1,(12-MONTH(E80)+1)/12))))-(IF((((K80)*(IF(M80="",L80,IFERROR(IF(INDEX(Variablen!$I:$AT, MATCH(M80, Variablen!$A:$A, 0), MATCH((YEAR(D80)+6), Variablen!$I$3:$AT$3, 0))="",L80,INDEX(Variablen!$I:$AT, MATCH(M80, Variablen!$A:$A, 0), MATCH((YEAR(D80)+6), Variablen!$I$3:$AT$3, 0))),L80)))*(IF((YEAR(D80)+6)&lt;YEAR(E80),0,IF((YEAR(D80)+6)&gt;YEAR(E80),1,(12-MONTH(E80)+1)/12))) + (Q80)*(IF((YEAR(D80)+6)&lt;YEAR(E80),0,IF((YEAR(D80)+6)&gt;YEAR(E80),1,(12-MONTH(E80)+1)/12))))-((P80)*(IF((YEAR(D80)+6)&lt;YEAR(E80),0,IF((YEAR(D80)+6)&gt;YEAR(E80),1,(12-MONTH(E80)+1)/12))) + (R80)*(IF((YEAR(D80)+6)&lt;YEAR(E80),0,IF((YEAR(D80)+6)&gt;YEAR(E80),1,(12-MONTH(E80)+1)/12))))-(IF(OR(N80="",N80&lt;=0),0,(O80/N80)*(IF(OR(N80="",N80&lt;=0),0,IF((YEAR(D80)+6)&lt;YEAR(E80),0,IF((YEAR(D80)+6)&gt;=YEAR(E80)+N80,0,IF((YEAR(D80)+6)=YEAR(E80),(12-MONTH(E80)+1)/12,1))))))))&gt;0,(((K80)*(IF(M80="",L80,IFERROR(IF(INDEX(Variablen!$I:$AT, MATCH(M80, Variablen!$A:$A, 0), MATCH((YEAR(D80)+6), Variablen!$I$3:$AT$3, 0))="",L80,INDEX(Variablen!$I:$AT, MATCH(M80, Variablen!$A:$A, 0), MATCH((YEAR(D80)+6), Variablen!$I$3:$AT$3, 0))),L80)))*(IF((YEAR(D80)+6)&lt;YEAR(E80),0,IF((YEAR(D80)+6)&gt;YEAR(E80),1,(12-MONTH(E80)+1)/12))) + (Q80)*(IF((YEAR(D80)+6)&lt;YEAR(E80),0,IF((YEAR(D80)+6)&gt;YEAR(E80),1,(12-MONTH(E80)+1)/12))))-((P80)*(IF((YEAR(D80)+6)&lt;YEAR(E80),0,IF((YEAR(D80)+6)&gt;YEAR(E80),1,(12-MONTH(E80)+1)/12))) + (R80)*(IF((YEAR(D80)+6)&lt;YEAR(E80),0,IF((YEAR(D80)+6)&gt;YEAR(E80),1,(12-MONTH(E80)+1)/12))))-(IF(OR(N80="",N80&lt;=0),0,(O80/N80)*(IF(OR(N80="",N80&lt;=0),0,IF((YEAR(D80)+6)&lt;YEAR(E80),0,IF((YEAR(D80)+6)&gt;=YEAR(E80)+N80,0,IF((YEAR(D80)+6)=YEAR(E80),(12-MONTH(E80)+1)/12,1))))))))*TaxRate,0))-IF(6=0,O80,0))</f>
        <v/>
      </c>
      <c r="Z80" s="29">
        <f>IF(A80="","",((K80)*(IF(M80="",L80,IFERROR(IF(INDEX(Variablen!$I:$AT, MATCH(M80, Variablen!$A:$A, 0), MATCH((YEAR(D80)+7), Variablen!$I$3:$AT$3, 0))="",L80,INDEX(Variablen!$I:$AT, MATCH(M80, Variablen!$A:$A, 0), MATCH((YEAR(D80)+7), Variablen!$I$3:$AT$3, 0))),L80)))*(IF((YEAR(D80)+7)&lt;YEAR(E80),0,IF((YEAR(D80)+7)&gt;YEAR(E80),1,(12-MONTH(E80)+1)/12))) + (Q80)*(IF((YEAR(D80)+7)&lt;YEAR(E80),0,IF((YEAR(D80)+7)&gt;YEAR(E80),1,(12-MONTH(E80)+1)/12))))-((P80)*(IF((YEAR(D80)+7)&lt;YEAR(E80),0,IF((YEAR(D80)+7)&gt;YEAR(E80),1,(12-MONTH(E80)+1)/12))) + (R80)*(IF((YEAR(D80)+7)&lt;YEAR(E80),0,IF((YEAR(D80)+7)&gt;YEAR(E80),1,(12-MONTH(E80)+1)/12))))-(IF((((K80)*(IF(M80="",L80,IFERROR(IF(INDEX(Variablen!$I:$AT, MATCH(M80, Variablen!$A:$A, 0), MATCH((YEAR(D80)+7), Variablen!$I$3:$AT$3, 0))="",L80,INDEX(Variablen!$I:$AT, MATCH(M80, Variablen!$A:$A, 0), MATCH((YEAR(D80)+7), Variablen!$I$3:$AT$3, 0))),L80)))*(IF((YEAR(D80)+7)&lt;YEAR(E80),0,IF((YEAR(D80)+7)&gt;YEAR(E80),1,(12-MONTH(E80)+1)/12))) + (Q80)*(IF((YEAR(D80)+7)&lt;YEAR(E80),0,IF((YEAR(D80)+7)&gt;YEAR(E80),1,(12-MONTH(E80)+1)/12))))-((P80)*(IF((YEAR(D80)+7)&lt;YEAR(E80),0,IF((YEAR(D80)+7)&gt;YEAR(E80),1,(12-MONTH(E80)+1)/12))) + (R80)*(IF((YEAR(D80)+7)&lt;YEAR(E80),0,IF((YEAR(D80)+7)&gt;YEAR(E80),1,(12-MONTH(E80)+1)/12))))-(IF(OR(N80="",N80&lt;=0),0,(O80/N80)*(IF(OR(N80="",N80&lt;=0),0,IF((YEAR(D80)+7)&lt;YEAR(E80),0,IF((YEAR(D80)+7)&gt;=YEAR(E80)+N80,0,IF((YEAR(D80)+7)=YEAR(E80),(12-MONTH(E80)+1)/12,1))))))))&gt;0,(((K80)*(IF(M80="",L80,IFERROR(IF(INDEX(Variablen!$I:$AT, MATCH(M80, Variablen!$A:$A, 0), MATCH((YEAR(D80)+7), Variablen!$I$3:$AT$3, 0))="",L80,INDEX(Variablen!$I:$AT, MATCH(M80, Variablen!$A:$A, 0), MATCH((YEAR(D80)+7), Variablen!$I$3:$AT$3, 0))),L80)))*(IF((YEAR(D80)+7)&lt;YEAR(E80),0,IF((YEAR(D80)+7)&gt;YEAR(E80),1,(12-MONTH(E80)+1)/12))) + (Q80)*(IF((YEAR(D80)+7)&lt;YEAR(E80),0,IF((YEAR(D80)+7)&gt;YEAR(E80),1,(12-MONTH(E80)+1)/12))))-((P80)*(IF((YEAR(D80)+7)&lt;YEAR(E80),0,IF((YEAR(D80)+7)&gt;YEAR(E80),1,(12-MONTH(E80)+1)/12))) + (R80)*(IF((YEAR(D80)+7)&lt;YEAR(E80),0,IF((YEAR(D80)+7)&gt;YEAR(E80),1,(12-MONTH(E80)+1)/12))))-(IF(OR(N80="",N80&lt;=0),0,(O80/N80)*(IF(OR(N80="",N80&lt;=0),0,IF((YEAR(D80)+7)&lt;YEAR(E80),0,IF((YEAR(D80)+7)&gt;=YEAR(E80)+N80,0,IF((YEAR(D80)+7)=YEAR(E80),(12-MONTH(E80)+1)/12,1))))))))*TaxRate,0))-IF(7=0,O80,0))</f>
        <v/>
      </c>
      <c r="AA80" s="29">
        <f>IF(A80="","",((K80)*(IF(M80="",L80,IFERROR(IF(INDEX(Variablen!$I:$AT, MATCH(M80, Variablen!$A:$A, 0), MATCH((YEAR(D80)+8), Variablen!$I$3:$AT$3, 0))="",L80,INDEX(Variablen!$I:$AT, MATCH(M80, Variablen!$A:$A, 0), MATCH((YEAR(D80)+8), Variablen!$I$3:$AT$3, 0))),L80)))*(IF((YEAR(D80)+8)&lt;YEAR(E80),0,IF((YEAR(D80)+8)&gt;YEAR(E80),1,(12-MONTH(E80)+1)/12))) + (Q80)*(IF((YEAR(D80)+8)&lt;YEAR(E80),0,IF((YEAR(D80)+8)&gt;YEAR(E80),1,(12-MONTH(E80)+1)/12))))-((P80)*(IF((YEAR(D80)+8)&lt;YEAR(E80),0,IF((YEAR(D80)+8)&gt;YEAR(E80),1,(12-MONTH(E80)+1)/12))) + (R80)*(IF((YEAR(D80)+8)&lt;YEAR(E80),0,IF((YEAR(D80)+8)&gt;YEAR(E80),1,(12-MONTH(E80)+1)/12))))-(IF((((K80)*(IF(M80="",L80,IFERROR(IF(INDEX(Variablen!$I:$AT, MATCH(M80, Variablen!$A:$A, 0), MATCH((YEAR(D80)+8), Variablen!$I$3:$AT$3, 0))="",L80,INDEX(Variablen!$I:$AT, MATCH(M80, Variablen!$A:$A, 0), MATCH((YEAR(D80)+8), Variablen!$I$3:$AT$3, 0))),L80)))*(IF((YEAR(D80)+8)&lt;YEAR(E80),0,IF((YEAR(D80)+8)&gt;YEAR(E80),1,(12-MONTH(E80)+1)/12))) + (Q80)*(IF((YEAR(D80)+8)&lt;YEAR(E80),0,IF((YEAR(D80)+8)&gt;YEAR(E80),1,(12-MONTH(E80)+1)/12))))-((P80)*(IF((YEAR(D80)+8)&lt;YEAR(E80),0,IF((YEAR(D80)+8)&gt;YEAR(E80),1,(12-MONTH(E80)+1)/12))) + (R80)*(IF((YEAR(D80)+8)&lt;YEAR(E80),0,IF((YEAR(D80)+8)&gt;YEAR(E80),1,(12-MONTH(E80)+1)/12))))-(IF(OR(N80="",N80&lt;=0),0,(O80/N80)*(IF(OR(N80="",N80&lt;=0),0,IF((YEAR(D80)+8)&lt;YEAR(E80),0,IF((YEAR(D80)+8)&gt;=YEAR(E80)+N80,0,IF((YEAR(D80)+8)=YEAR(E80),(12-MONTH(E80)+1)/12,1))))))))&gt;0,(((K80)*(IF(M80="",L80,IFERROR(IF(INDEX(Variablen!$I:$AT, MATCH(M80, Variablen!$A:$A, 0), MATCH((YEAR(D80)+8), Variablen!$I$3:$AT$3, 0))="",L80,INDEX(Variablen!$I:$AT, MATCH(M80, Variablen!$A:$A, 0), MATCH((YEAR(D80)+8), Variablen!$I$3:$AT$3, 0))),L80)))*(IF((YEAR(D80)+8)&lt;YEAR(E80),0,IF((YEAR(D80)+8)&gt;YEAR(E80),1,(12-MONTH(E80)+1)/12))) + (Q80)*(IF((YEAR(D80)+8)&lt;YEAR(E80),0,IF((YEAR(D80)+8)&gt;YEAR(E80),1,(12-MONTH(E80)+1)/12))))-((P80)*(IF((YEAR(D80)+8)&lt;YEAR(E80),0,IF((YEAR(D80)+8)&gt;YEAR(E80),1,(12-MONTH(E80)+1)/12))) + (R80)*(IF((YEAR(D80)+8)&lt;YEAR(E80),0,IF((YEAR(D80)+8)&gt;YEAR(E80),1,(12-MONTH(E80)+1)/12))))-(IF(OR(N80="",N80&lt;=0),0,(O80/N80)*(IF(OR(N80="",N80&lt;=0),0,IF((YEAR(D80)+8)&lt;YEAR(E80),0,IF((YEAR(D80)+8)&gt;=YEAR(E80)+N80,0,IF((YEAR(D80)+8)=YEAR(E80),(12-MONTH(E80)+1)/12,1))))))))*TaxRate,0))-IF(8=0,O80,0))</f>
        <v/>
      </c>
      <c r="AB80" s="29">
        <f>IF(A80="","",((K80)*(IF(M80="",L80,IFERROR(IF(INDEX(Variablen!$I:$AT, MATCH(M80, Variablen!$A:$A, 0), MATCH((YEAR(D80)+9), Variablen!$I$3:$AT$3, 0))="",L80,INDEX(Variablen!$I:$AT, MATCH(M80, Variablen!$A:$A, 0), MATCH((YEAR(D80)+9), Variablen!$I$3:$AT$3, 0))),L80)))*(IF((YEAR(D80)+9)&lt;YEAR(E80),0,IF((YEAR(D80)+9)&gt;YEAR(E80),1,(12-MONTH(E80)+1)/12))) + (Q80)*(IF((YEAR(D80)+9)&lt;YEAR(E80),0,IF((YEAR(D80)+9)&gt;YEAR(E80),1,(12-MONTH(E80)+1)/12))))-((P80)*(IF((YEAR(D80)+9)&lt;YEAR(E80),0,IF((YEAR(D80)+9)&gt;YEAR(E80),1,(12-MONTH(E80)+1)/12))) + (R80)*(IF((YEAR(D80)+9)&lt;YEAR(E80),0,IF((YEAR(D80)+9)&gt;YEAR(E80),1,(12-MONTH(E80)+1)/12))))-(IF((((K80)*(IF(M80="",L80,IFERROR(IF(INDEX(Variablen!$I:$AT, MATCH(M80, Variablen!$A:$A, 0), MATCH((YEAR(D80)+9), Variablen!$I$3:$AT$3, 0))="",L80,INDEX(Variablen!$I:$AT, MATCH(M80, Variablen!$A:$A, 0), MATCH((YEAR(D80)+9), Variablen!$I$3:$AT$3, 0))),L80)))*(IF((YEAR(D80)+9)&lt;YEAR(E80),0,IF((YEAR(D80)+9)&gt;YEAR(E80),1,(12-MONTH(E80)+1)/12))) + (Q80)*(IF((YEAR(D80)+9)&lt;YEAR(E80),0,IF((YEAR(D80)+9)&gt;YEAR(E80),1,(12-MONTH(E80)+1)/12))))-((P80)*(IF((YEAR(D80)+9)&lt;YEAR(E80),0,IF((YEAR(D80)+9)&gt;YEAR(E80),1,(12-MONTH(E80)+1)/12))) + (R80)*(IF((YEAR(D80)+9)&lt;YEAR(E80),0,IF((YEAR(D80)+9)&gt;YEAR(E80),1,(12-MONTH(E80)+1)/12))))-(IF(OR(N80="",N80&lt;=0),0,(O80/N80)*(IF(OR(N80="",N80&lt;=0),0,IF((YEAR(D80)+9)&lt;YEAR(E80),0,IF((YEAR(D80)+9)&gt;=YEAR(E80)+N80,0,IF((YEAR(D80)+9)=YEAR(E80),(12-MONTH(E80)+1)/12,1))))))))&gt;0,(((K80)*(IF(M80="",L80,IFERROR(IF(INDEX(Variablen!$I:$AT, MATCH(M80, Variablen!$A:$A, 0), MATCH((YEAR(D80)+9), Variablen!$I$3:$AT$3, 0))="",L80,INDEX(Variablen!$I:$AT, MATCH(M80, Variablen!$A:$A, 0), MATCH((YEAR(D80)+9), Variablen!$I$3:$AT$3, 0))),L80)))*(IF((YEAR(D80)+9)&lt;YEAR(E80),0,IF((YEAR(D80)+9)&gt;YEAR(E80),1,(12-MONTH(E80)+1)/12))) + (Q80)*(IF((YEAR(D80)+9)&lt;YEAR(E80),0,IF((YEAR(D80)+9)&gt;YEAR(E80),1,(12-MONTH(E80)+1)/12))))-((P80)*(IF((YEAR(D80)+9)&lt;YEAR(E80),0,IF((YEAR(D80)+9)&gt;YEAR(E80),1,(12-MONTH(E80)+1)/12))) + (R80)*(IF((YEAR(D80)+9)&lt;YEAR(E80),0,IF((YEAR(D80)+9)&gt;YEAR(E80),1,(12-MONTH(E80)+1)/12))))-(IF(OR(N80="",N80&lt;=0),0,(O80/N80)*(IF(OR(N80="",N80&lt;=0),0,IF((YEAR(D80)+9)&lt;YEAR(E80),0,IF((YEAR(D80)+9)&gt;=YEAR(E80)+N80,0,IF((YEAR(D80)+9)=YEAR(E80),(12-MONTH(E80)+1)/12,1))))))))*TaxRate,0))-IF(9=0,O80,0))</f>
        <v/>
      </c>
      <c r="AC80" s="29">
        <f>IF(A80="","",((K80)*(IF(M80="",L80,IFERROR(IF(INDEX(Variablen!$I:$AT, MATCH(M80, Variablen!$A:$A, 0), MATCH((YEAR(D80)+10), Variablen!$I$3:$AT$3, 0))="",L80,INDEX(Variablen!$I:$AT, MATCH(M80, Variablen!$A:$A, 0), MATCH((YEAR(D80)+10), Variablen!$I$3:$AT$3, 0))),L80)))*(IF((YEAR(D80)+10)&lt;YEAR(E80),0,IF((YEAR(D80)+10)&gt;YEAR(E80),1,(12-MONTH(E80)+1)/12))) + (Q80)*(IF((YEAR(D80)+10)&lt;YEAR(E80),0,IF((YEAR(D80)+10)&gt;YEAR(E80),1,(12-MONTH(E80)+1)/12))))-((P80)*(IF((YEAR(D80)+10)&lt;YEAR(E80),0,IF((YEAR(D80)+10)&gt;YEAR(E80),1,(12-MONTH(E80)+1)/12))) + (R80)*(IF((YEAR(D80)+10)&lt;YEAR(E80),0,IF((YEAR(D80)+10)&gt;YEAR(E80),1,(12-MONTH(E80)+1)/12))))-(IF((((K80)*(IF(M80="",L80,IFERROR(IF(INDEX(Variablen!$I:$AT, MATCH(M80, Variablen!$A:$A, 0), MATCH((YEAR(D80)+10), Variablen!$I$3:$AT$3, 0))="",L80,INDEX(Variablen!$I:$AT, MATCH(M80, Variablen!$A:$A, 0), MATCH((YEAR(D80)+10), Variablen!$I$3:$AT$3, 0))),L80)))*(IF((YEAR(D80)+10)&lt;YEAR(E80),0,IF((YEAR(D80)+10)&gt;YEAR(E80),1,(12-MONTH(E80)+1)/12))) + (Q80)*(IF((YEAR(D80)+10)&lt;YEAR(E80),0,IF((YEAR(D80)+10)&gt;YEAR(E80),1,(12-MONTH(E80)+1)/12))))-((P80)*(IF((YEAR(D80)+10)&lt;YEAR(E80),0,IF((YEAR(D80)+10)&gt;YEAR(E80),1,(12-MONTH(E80)+1)/12))) + (R80)*(IF((YEAR(D80)+10)&lt;YEAR(E80),0,IF((YEAR(D80)+10)&gt;YEAR(E80),1,(12-MONTH(E80)+1)/12))))-(IF(OR(N80="",N80&lt;=0),0,(O80/N80)*(IF(OR(N80="",N80&lt;=0),0,IF((YEAR(D80)+10)&lt;YEAR(E80),0,IF((YEAR(D80)+10)&gt;=YEAR(E80)+N80,0,IF((YEAR(D80)+10)=YEAR(E80),(12-MONTH(E80)+1)/12,1))))))))&gt;0,(((K80)*(IF(M80="",L80,IFERROR(IF(INDEX(Variablen!$I:$AT, MATCH(M80, Variablen!$A:$A, 0), MATCH((YEAR(D80)+10), Variablen!$I$3:$AT$3, 0))="",L80,INDEX(Variablen!$I:$AT, MATCH(M80, Variablen!$A:$A, 0), MATCH((YEAR(D80)+10), Variablen!$I$3:$AT$3, 0))),L80)))*(IF((YEAR(D80)+10)&lt;YEAR(E80),0,IF((YEAR(D80)+10)&gt;YEAR(E80),1,(12-MONTH(E80)+1)/12))) + (Q80)*(IF((YEAR(D80)+10)&lt;YEAR(E80),0,IF((YEAR(D80)+10)&gt;YEAR(E80),1,(12-MONTH(E80)+1)/12))))-((P80)*(IF((YEAR(D80)+10)&lt;YEAR(E80),0,IF((YEAR(D80)+10)&gt;YEAR(E80),1,(12-MONTH(E80)+1)/12))) + (R80)*(IF((YEAR(D80)+10)&lt;YEAR(E80),0,IF((YEAR(D80)+10)&gt;YEAR(E80),1,(12-MONTH(E80)+1)/12))))-(IF(OR(N80="",N80&lt;=0),0,(O80/N80)*(IF(OR(N80="",N80&lt;=0),0,IF((YEAR(D80)+10)&lt;YEAR(E80),0,IF((YEAR(D80)+10)&gt;=YEAR(E80)+N80,0,IF((YEAR(D80)+10)=YEAR(E80),(12-MONTH(E80)+1)/12,1))))))))*TaxRate,0))-IF(10=0,O80,0))</f>
        <v/>
      </c>
      <c r="AD80" s="29">
        <f>IF(A80="","",((K80)*(IF(M80="",L80,IFERROR(IF(INDEX(Variablen!$I:$AT, MATCH(M80, Variablen!$A:$A, 0), MATCH((YEAR(D80)+11), Variablen!$I$3:$AT$3, 0))="",L80,INDEX(Variablen!$I:$AT, MATCH(M80, Variablen!$A:$A, 0), MATCH((YEAR(D80)+11), Variablen!$I$3:$AT$3, 0))),L80)))*(IF((YEAR(D80)+11)&lt;YEAR(E80),0,IF((YEAR(D80)+11)&gt;YEAR(E80),1,(12-MONTH(E80)+1)/12))) + (Q80)*(IF((YEAR(D80)+11)&lt;YEAR(E80),0,IF((YEAR(D80)+11)&gt;YEAR(E80),1,(12-MONTH(E80)+1)/12))))-((P80)*(IF((YEAR(D80)+11)&lt;YEAR(E80),0,IF((YEAR(D80)+11)&gt;YEAR(E80),1,(12-MONTH(E80)+1)/12))) + (R80)*(IF((YEAR(D80)+11)&lt;YEAR(E80),0,IF((YEAR(D80)+11)&gt;YEAR(E80),1,(12-MONTH(E80)+1)/12))))-(IF((((K80)*(IF(M80="",L80,IFERROR(IF(INDEX(Variablen!$I:$AT, MATCH(M80, Variablen!$A:$A, 0), MATCH((YEAR(D80)+11), Variablen!$I$3:$AT$3, 0))="",L80,INDEX(Variablen!$I:$AT, MATCH(M80, Variablen!$A:$A, 0), MATCH((YEAR(D80)+11), Variablen!$I$3:$AT$3, 0))),L80)))*(IF((YEAR(D80)+11)&lt;YEAR(E80),0,IF((YEAR(D80)+11)&gt;YEAR(E80),1,(12-MONTH(E80)+1)/12))) + (Q80)*(IF((YEAR(D80)+11)&lt;YEAR(E80),0,IF((YEAR(D80)+11)&gt;YEAR(E80),1,(12-MONTH(E80)+1)/12))))-((P80)*(IF((YEAR(D80)+11)&lt;YEAR(E80),0,IF((YEAR(D80)+11)&gt;YEAR(E80),1,(12-MONTH(E80)+1)/12))) + (R80)*(IF((YEAR(D80)+11)&lt;YEAR(E80),0,IF((YEAR(D80)+11)&gt;YEAR(E80),1,(12-MONTH(E80)+1)/12))))-(IF(OR(N80="",N80&lt;=0),0,(O80/N80)*(IF(OR(N80="",N80&lt;=0),0,IF((YEAR(D80)+11)&lt;YEAR(E80),0,IF((YEAR(D80)+11)&gt;=YEAR(E80)+N80,0,IF((YEAR(D80)+11)=YEAR(E80),(12-MONTH(E80)+1)/12,1))))))))&gt;0,(((K80)*(IF(M80="",L80,IFERROR(IF(INDEX(Variablen!$I:$AT, MATCH(M80, Variablen!$A:$A, 0), MATCH((YEAR(D80)+11), Variablen!$I$3:$AT$3, 0))="",L80,INDEX(Variablen!$I:$AT, MATCH(M80, Variablen!$A:$A, 0), MATCH((YEAR(D80)+11), Variablen!$I$3:$AT$3, 0))),L80)))*(IF((YEAR(D80)+11)&lt;YEAR(E80),0,IF((YEAR(D80)+11)&gt;YEAR(E80),1,(12-MONTH(E80)+1)/12))) + (Q80)*(IF((YEAR(D80)+11)&lt;YEAR(E80),0,IF((YEAR(D80)+11)&gt;YEAR(E80),1,(12-MONTH(E80)+1)/12))))-((P80)*(IF((YEAR(D80)+11)&lt;YEAR(E80),0,IF((YEAR(D80)+11)&gt;YEAR(E80),1,(12-MONTH(E80)+1)/12))) + (R80)*(IF((YEAR(D80)+11)&lt;YEAR(E80),0,IF((YEAR(D80)+11)&gt;YEAR(E80),1,(12-MONTH(E80)+1)/12))))-(IF(OR(N80="",N80&lt;=0),0,(O80/N80)*(IF(OR(N80="",N80&lt;=0),0,IF((YEAR(D80)+11)&lt;YEAR(E80),0,IF((YEAR(D80)+11)&gt;=YEAR(E80)+N80,0,IF((YEAR(D80)+11)=YEAR(E80),(12-MONTH(E80)+1)/12,1))))))))*TaxRate,0))-IF(11=0,O80,0))</f>
        <v/>
      </c>
      <c r="AE80" s="29">
        <f>IF(A80="","",((K80)*(IF(M80="",L80,IFERROR(IF(INDEX(Variablen!$I:$AT, MATCH(M80, Variablen!$A:$A, 0), MATCH((YEAR(D80)+12), Variablen!$I$3:$AT$3, 0))="",L80,INDEX(Variablen!$I:$AT, MATCH(M80, Variablen!$A:$A, 0), MATCH((YEAR(D80)+12), Variablen!$I$3:$AT$3, 0))),L80)))*(IF((YEAR(D80)+12)&lt;YEAR(E80),0,IF((YEAR(D80)+12)&gt;YEAR(E80),1,(12-MONTH(E80)+1)/12))) + (Q80)*(IF((YEAR(D80)+12)&lt;YEAR(E80),0,IF((YEAR(D80)+12)&gt;YEAR(E80),1,(12-MONTH(E80)+1)/12))))-((P80)*(IF((YEAR(D80)+12)&lt;YEAR(E80),0,IF((YEAR(D80)+12)&gt;YEAR(E80),1,(12-MONTH(E80)+1)/12))) + (R80)*(IF((YEAR(D80)+12)&lt;YEAR(E80),0,IF((YEAR(D80)+12)&gt;YEAR(E80),1,(12-MONTH(E80)+1)/12))))-(IF((((K80)*(IF(M80="",L80,IFERROR(IF(INDEX(Variablen!$I:$AT, MATCH(M80, Variablen!$A:$A, 0), MATCH((YEAR(D80)+12), Variablen!$I$3:$AT$3, 0))="",L80,INDEX(Variablen!$I:$AT, MATCH(M80, Variablen!$A:$A, 0), MATCH((YEAR(D80)+12), Variablen!$I$3:$AT$3, 0))),L80)))*(IF((YEAR(D80)+12)&lt;YEAR(E80),0,IF((YEAR(D80)+12)&gt;YEAR(E80),1,(12-MONTH(E80)+1)/12))) + (Q80)*(IF((YEAR(D80)+12)&lt;YEAR(E80),0,IF((YEAR(D80)+12)&gt;YEAR(E80),1,(12-MONTH(E80)+1)/12))))-((P80)*(IF((YEAR(D80)+12)&lt;YEAR(E80),0,IF((YEAR(D80)+12)&gt;YEAR(E80),1,(12-MONTH(E80)+1)/12))) + (R80)*(IF((YEAR(D80)+12)&lt;YEAR(E80),0,IF((YEAR(D80)+12)&gt;YEAR(E80),1,(12-MONTH(E80)+1)/12))))-(IF(OR(N80="",N80&lt;=0),0,(O80/N80)*(IF(OR(N80="",N80&lt;=0),0,IF((YEAR(D80)+12)&lt;YEAR(E80),0,IF((YEAR(D80)+12)&gt;=YEAR(E80)+N80,0,IF((YEAR(D80)+12)=YEAR(E80),(12-MONTH(E80)+1)/12,1))))))))&gt;0,(((K80)*(IF(M80="",L80,IFERROR(IF(INDEX(Variablen!$I:$AT, MATCH(M80, Variablen!$A:$A, 0), MATCH((YEAR(D80)+12), Variablen!$I$3:$AT$3, 0))="",L80,INDEX(Variablen!$I:$AT, MATCH(M80, Variablen!$A:$A, 0), MATCH((YEAR(D80)+12), Variablen!$I$3:$AT$3, 0))),L80)))*(IF((YEAR(D80)+12)&lt;YEAR(E80),0,IF((YEAR(D80)+12)&gt;YEAR(E80),1,(12-MONTH(E80)+1)/12))) + (Q80)*(IF((YEAR(D80)+12)&lt;YEAR(E80),0,IF((YEAR(D80)+12)&gt;YEAR(E80),1,(12-MONTH(E80)+1)/12))))-((P80)*(IF((YEAR(D80)+12)&lt;YEAR(E80),0,IF((YEAR(D80)+12)&gt;YEAR(E80),1,(12-MONTH(E80)+1)/12))) + (R80)*(IF((YEAR(D80)+12)&lt;YEAR(E80),0,IF((YEAR(D80)+12)&gt;YEAR(E80),1,(12-MONTH(E80)+1)/12))))-(IF(OR(N80="",N80&lt;=0),0,(O80/N80)*(IF(OR(N80="",N80&lt;=0),0,IF((YEAR(D80)+12)&lt;YEAR(E80),0,IF((YEAR(D80)+12)&gt;=YEAR(E80)+N80,0,IF((YEAR(D80)+12)=YEAR(E80),(12-MONTH(E80)+1)/12,1))))))))*TaxRate,0))-IF(12=0,O80,0))</f>
        <v/>
      </c>
      <c r="AF80" s="29">
        <f>IF(A80="","",((K80)*(IF(M80="",L80,IFERROR(IF(INDEX(Variablen!$I:$AT, MATCH(M80, Variablen!$A:$A, 0), MATCH((YEAR(D80)+13), Variablen!$I$3:$AT$3, 0))="",L80,INDEX(Variablen!$I:$AT, MATCH(M80, Variablen!$A:$A, 0), MATCH((YEAR(D80)+13), Variablen!$I$3:$AT$3, 0))),L80)))*(IF((YEAR(D80)+13)&lt;YEAR(E80),0,IF((YEAR(D80)+13)&gt;YEAR(E80),1,(12-MONTH(E80)+1)/12))) + (Q80)*(IF((YEAR(D80)+13)&lt;YEAR(E80),0,IF((YEAR(D80)+13)&gt;YEAR(E80),1,(12-MONTH(E80)+1)/12))))-((P80)*(IF((YEAR(D80)+13)&lt;YEAR(E80),0,IF((YEAR(D80)+13)&gt;YEAR(E80),1,(12-MONTH(E80)+1)/12))) + (R80)*(IF((YEAR(D80)+13)&lt;YEAR(E80),0,IF((YEAR(D80)+13)&gt;YEAR(E80),1,(12-MONTH(E80)+1)/12))))-(IF((((K80)*(IF(M80="",L80,IFERROR(IF(INDEX(Variablen!$I:$AT, MATCH(M80, Variablen!$A:$A, 0), MATCH((YEAR(D80)+13), Variablen!$I$3:$AT$3, 0))="",L80,INDEX(Variablen!$I:$AT, MATCH(M80, Variablen!$A:$A, 0), MATCH((YEAR(D80)+13), Variablen!$I$3:$AT$3, 0))),L80)))*(IF((YEAR(D80)+13)&lt;YEAR(E80),0,IF((YEAR(D80)+13)&gt;YEAR(E80),1,(12-MONTH(E80)+1)/12))) + (Q80)*(IF((YEAR(D80)+13)&lt;YEAR(E80),0,IF((YEAR(D80)+13)&gt;YEAR(E80),1,(12-MONTH(E80)+1)/12))))-((P80)*(IF((YEAR(D80)+13)&lt;YEAR(E80),0,IF((YEAR(D80)+13)&gt;YEAR(E80),1,(12-MONTH(E80)+1)/12))) + (R80)*(IF((YEAR(D80)+13)&lt;YEAR(E80),0,IF((YEAR(D80)+13)&gt;YEAR(E80),1,(12-MONTH(E80)+1)/12))))-(IF(OR(N80="",N80&lt;=0),0,(O80/N80)*(IF(OR(N80="",N80&lt;=0),0,IF((YEAR(D80)+13)&lt;YEAR(E80),0,IF((YEAR(D80)+13)&gt;=YEAR(E80)+N80,0,IF((YEAR(D80)+13)=YEAR(E80),(12-MONTH(E80)+1)/12,1))))))))&gt;0,(((K80)*(IF(M80="",L80,IFERROR(IF(INDEX(Variablen!$I:$AT, MATCH(M80, Variablen!$A:$A, 0), MATCH((YEAR(D80)+13), Variablen!$I$3:$AT$3, 0))="",L80,INDEX(Variablen!$I:$AT, MATCH(M80, Variablen!$A:$A, 0), MATCH((YEAR(D80)+13), Variablen!$I$3:$AT$3, 0))),L80)))*(IF((YEAR(D80)+13)&lt;YEAR(E80),0,IF((YEAR(D80)+13)&gt;YEAR(E80),1,(12-MONTH(E80)+1)/12))) + (Q80)*(IF((YEAR(D80)+13)&lt;YEAR(E80),0,IF((YEAR(D80)+13)&gt;YEAR(E80),1,(12-MONTH(E80)+1)/12))))-((P80)*(IF((YEAR(D80)+13)&lt;YEAR(E80),0,IF((YEAR(D80)+13)&gt;YEAR(E80),1,(12-MONTH(E80)+1)/12))) + (R80)*(IF((YEAR(D80)+13)&lt;YEAR(E80),0,IF((YEAR(D80)+13)&gt;YEAR(E80),1,(12-MONTH(E80)+1)/12))))-(IF(OR(N80="",N80&lt;=0),0,(O80/N80)*(IF(OR(N80="",N80&lt;=0),0,IF((YEAR(D80)+13)&lt;YEAR(E80),0,IF((YEAR(D80)+13)&gt;=YEAR(E80)+N80,0,IF((YEAR(D80)+13)=YEAR(E80),(12-MONTH(E80)+1)/12,1))))))))*TaxRate,0))-IF(13=0,O80,0))</f>
        <v/>
      </c>
      <c r="AG80" s="29">
        <f>IF(A80="","",((K80)*(IF(M80="",L80,IFERROR(IF(INDEX(Variablen!$I:$AT, MATCH(M80, Variablen!$A:$A, 0), MATCH((YEAR(D80)+14), Variablen!$I$3:$AT$3, 0))="",L80,INDEX(Variablen!$I:$AT, MATCH(M80, Variablen!$A:$A, 0), MATCH((YEAR(D80)+14), Variablen!$I$3:$AT$3, 0))),L80)))*(IF((YEAR(D80)+14)&lt;YEAR(E80),0,IF((YEAR(D80)+14)&gt;YEAR(E80),1,(12-MONTH(E80)+1)/12))) + (Q80)*(IF((YEAR(D80)+14)&lt;YEAR(E80),0,IF((YEAR(D80)+14)&gt;YEAR(E80),1,(12-MONTH(E80)+1)/12))))-((P80)*(IF((YEAR(D80)+14)&lt;YEAR(E80),0,IF((YEAR(D80)+14)&gt;YEAR(E80),1,(12-MONTH(E80)+1)/12))) + (R80)*(IF((YEAR(D80)+14)&lt;YEAR(E80),0,IF((YEAR(D80)+14)&gt;YEAR(E80),1,(12-MONTH(E80)+1)/12))))-(IF((((K80)*(IF(M80="",L80,IFERROR(IF(INDEX(Variablen!$I:$AT, MATCH(M80, Variablen!$A:$A, 0), MATCH((YEAR(D80)+14), Variablen!$I$3:$AT$3, 0))="",L80,INDEX(Variablen!$I:$AT, MATCH(M80, Variablen!$A:$A, 0), MATCH((YEAR(D80)+14), Variablen!$I$3:$AT$3, 0))),L80)))*(IF((YEAR(D80)+14)&lt;YEAR(E80),0,IF((YEAR(D80)+14)&gt;YEAR(E80),1,(12-MONTH(E80)+1)/12))) + (Q80)*(IF((YEAR(D80)+14)&lt;YEAR(E80),0,IF((YEAR(D80)+14)&gt;YEAR(E80),1,(12-MONTH(E80)+1)/12))))-((P80)*(IF((YEAR(D80)+14)&lt;YEAR(E80),0,IF((YEAR(D80)+14)&gt;YEAR(E80),1,(12-MONTH(E80)+1)/12))) + (R80)*(IF((YEAR(D80)+14)&lt;YEAR(E80),0,IF((YEAR(D80)+14)&gt;YEAR(E80),1,(12-MONTH(E80)+1)/12))))-(IF(OR(N80="",N80&lt;=0),0,(O80/N80)*(IF(OR(N80="",N80&lt;=0),0,IF((YEAR(D80)+14)&lt;YEAR(E80),0,IF((YEAR(D80)+14)&gt;=YEAR(E80)+N80,0,IF((YEAR(D80)+14)=YEAR(E80),(12-MONTH(E80)+1)/12,1))))))))&gt;0,(((K80)*(IF(M80="",L80,IFERROR(IF(INDEX(Variablen!$I:$AT, MATCH(M80, Variablen!$A:$A, 0), MATCH((YEAR(D80)+14), Variablen!$I$3:$AT$3, 0))="",L80,INDEX(Variablen!$I:$AT, MATCH(M80, Variablen!$A:$A, 0), MATCH((YEAR(D80)+14), Variablen!$I$3:$AT$3, 0))),L80)))*(IF((YEAR(D80)+14)&lt;YEAR(E80),0,IF((YEAR(D80)+14)&gt;YEAR(E80),1,(12-MONTH(E80)+1)/12))) + (Q80)*(IF((YEAR(D80)+14)&lt;YEAR(E80),0,IF((YEAR(D80)+14)&gt;YEAR(E80),1,(12-MONTH(E80)+1)/12))))-((P80)*(IF((YEAR(D80)+14)&lt;YEAR(E80),0,IF((YEAR(D80)+14)&gt;YEAR(E80),1,(12-MONTH(E80)+1)/12))) + (R80)*(IF((YEAR(D80)+14)&lt;YEAR(E80),0,IF((YEAR(D80)+14)&gt;YEAR(E80),1,(12-MONTH(E80)+1)/12))))-(IF(OR(N80="",N80&lt;=0),0,(O80/N80)*(IF(OR(N80="",N80&lt;=0),0,IF((YEAR(D80)+14)&lt;YEAR(E80),0,IF((YEAR(D80)+14)&gt;=YEAR(E80)+N80,0,IF((YEAR(D80)+14)=YEAR(E80),(12-MONTH(E80)+1)/12,1))))))))*TaxRate,0))-IF(14=0,O80,0))</f>
        <v/>
      </c>
      <c r="AH80" s="29">
        <f>IF(A80="","",((K80)*(IF(M80="",L80,IFERROR(IF(INDEX(Variablen!$I:$AT, MATCH(M80, Variablen!$A:$A, 0), MATCH((YEAR(D80)+15), Variablen!$I$3:$AT$3, 0))="",L80,INDEX(Variablen!$I:$AT, MATCH(M80, Variablen!$A:$A, 0), MATCH((YEAR(D80)+15), Variablen!$I$3:$AT$3, 0))),L80)))*(IF((YEAR(D80)+15)&lt;YEAR(E80),0,IF((YEAR(D80)+15)&gt;YEAR(E80),1,(12-MONTH(E80)+1)/12))) + (Q80)*(IF((YEAR(D80)+15)&lt;YEAR(E80),0,IF((YEAR(D80)+15)&gt;YEAR(E80),1,(12-MONTH(E80)+1)/12))))-((P80)*(IF((YEAR(D80)+15)&lt;YEAR(E80),0,IF((YEAR(D80)+15)&gt;YEAR(E80),1,(12-MONTH(E80)+1)/12))) + (R80)*(IF((YEAR(D80)+15)&lt;YEAR(E80),0,IF((YEAR(D80)+15)&gt;YEAR(E80),1,(12-MONTH(E80)+1)/12))))-(IF((((K80)*(IF(M80="",L80,IFERROR(IF(INDEX(Variablen!$I:$AT, MATCH(M80, Variablen!$A:$A, 0), MATCH((YEAR(D80)+15), Variablen!$I$3:$AT$3, 0))="",L80,INDEX(Variablen!$I:$AT, MATCH(M80, Variablen!$A:$A, 0), MATCH((YEAR(D80)+15), Variablen!$I$3:$AT$3, 0))),L80)))*(IF((YEAR(D80)+15)&lt;YEAR(E80),0,IF((YEAR(D80)+15)&gt;YEAR(E80),1,(12-MONTH(E80)+1)/12))) + (Q80)*(IF((YEAR(D80)+15)&lt;YEAR(E80),0,IF((YEAR(D80)+15)&gt;YEAR(E80),1,(12-MONTH(E80)+1)/12))))-((P80)*(IF((YEAR(D80)+15)&lt;YEAR(E80),0,IF((YEAR(D80)+15)&gt;YEAR(E80),1,(12-MONTH(E80)+1)/12))) + (R80)*(IF((YEAR(D80)+15)&lt;YEAR(E80),0,IF((YEAR(D80)+15)&gt;YEAR(E80),1,(12-MONTH(E80)+1)/12))))-(IF(OR(N80="",N80&lt;=0),0,(O80/N80)*(IF(OR(N80="",N80&lt;=0),0,IF((YEAR(D80)+15)&lt;YEAR(E80),0,IF((YEAR(D80)+15)&gt;=YEAR(E80)+N80,0,IF((YEAR(D80)+15)=YEAR(E80),(12-MONTH(E80)+1)/12,1))))))))&gt;0,(((K80)*(IF(M80="",L80,IFERROR(IF(INDEX(Variablen!$I:$AT, MATCH(M80, Variablen!$A:$A, 0), MATCH((YEAR(D80)+15), Variablen!$I$3:$AT$3, 0))="",L80,INDEX(Variablen!$I:$AT, MATCH(M80, Variablen!$A:$A, 0), MATCH((YEAR(D80)+15), Variablen!$I$3:$AT$3, 0))),L80)))*(IF((YEAR(D80)+15)&lt;YEAR(E80),0,IF((YEAR(D80)+15)&gt;YEAR(E80),1,(12-MONTH(E80)+1)/12))) + (Q80)*(IF((YEAR(D80)+15)&lt;YEAR(E80),0,IF((YEAR(D80)+15)&gt;YEAR(E80),1,(12-MONTH(E80)+1)/12))))-((P80)*(IF((YEAR(D80)+15)&lt;YEAR(E80),0,IF((YEAR(D80)+15)&gt;YEAR(E80),1,(12-MONTH(E80)+1)/12))) + (R80)*(IF((YEAR(D80)+15)&lt;YEAR(E80),0,IF((YEAR(D80)+15)&gt;YEAR(E80),1,(12-MONTH(E80)+1)/12))))-(IF(OR(N80="",N80&lt;=0),0,(O80/N80)*(IF(OR(N80="",N80&lt;=0),0,IF((YEAR(D80)+15)&lt;YEAR(E80),0,IF((YEAR(D80)+15)&gt;=YEAR(E80)+N80,0,IF((YEAR(D80)+15)=YEAR(E80),(12-MONTH(E80)+1)/12,1))))))))*TaxRate,0))-IF(15=0,O80,0))</f>
        <v/>
      </c>
      <c r="AI80" s="29">
        <f>IF(A80="","",((K80)*(IF(M80="",L80,IFERROR(IF(INDEX(Variablen!$I:$AT, MATCH(M80, Variablen!$A:$A, 0), MATCH((YEAR(D80)+16), Variablen!$I$3:$AT$3, 0))="",L80,INDEX(Variablen!$I:$AT, MATCH(M80, Variablen!$A:$A, 0), MATCH((YEAR(D80)+16), Variablen!$I$3:$AT$3, 0))),L80)))*(IF((YEAR(D80)+16)&lt;YEAR(E80),0,IF((YEAR(D80)+16)&gt;YEAR(E80),1,(12-MONTH(E80)+1)/12))) + (Q80)*(IF((YEAR(D80)+16)&lt;YEAR(E80),0,IF((YEAR(D80)+16)&gt;YEAR(E80),1,(12-MONTH(E80)+1)/12))))-((P80)*(IF((YEAR(D80)+16)&lt;YEAR(E80),0,IF((YEAR(D80)+16)&gt;YEAR(E80),1,(12-MONTH(E80)+1)/12))) + (R80)*(IF((YEAR(D80)+16)&lt;YEAR(E80),0,IF((YEAR(D80)+16)&gt;YEAR(E80),1,(12-MONTH(E80)+1)/12))))-(IF((((K80)*(IF(M80="",L80,IFERROR(IF(INDEX(Variablen!$I:$AT, MATCH(M80, Variablen!$A:$A, 0), MATCH((YEAR(D80)+16), Variablen!$I$3:$AT$3, 0))="",L80,INDEX(Variablen!$I:$AT, MATCH(M80, Variablen!$A:$A, 0), MATCH((YEAR(D80)+16), Variablen!$I$3:$AT$3, 0))),L80)))*(IF((YEAR(D80)+16)&lt;YEAR(E80),0,IF((YEAR(D80)+16)&gt;YEAR(E80),1,(12-MONTH(E80)+1)/12))) + (Q80)*(IF((YEAR(D80)+16)&lt;YEAR(E80),0,IF((YEAR(D80)+16)&gt;YEAR(E80),1,(12-MONTH(E80)+1)/12))))-((P80)*(IF((YEAR(D80)+16)&lt;YEAR(E80),0,IF((YEAR(D80)+16)&gt;YEAR(E80),1,(12-MONTH(E80)+1)/12))) + (R80)*(IF((YEAR(D80)+16)&lt;YEAR(E80),0,IF((YEAR(D80)+16)&gt;YEAR(E80),1,(12-MONTH(E80)+1)/12))))-(IF(OR(N80="",N80&lt;=0),0,(O80/N80)*(IF(OR(N80="",N80&lt;=0),0,IF((YEAR(D80)+16)&lt;YEAR(E80),0,IF((YEAR(D80)+16)&gt;=YEAR(E80)+N80,0,IF((YEAR(D80)+16)=YEAR(E80),(12-MONTH(E80)+1)/12,1))))))))&gt;0,(((K80)*(IF(M80="",L80,IFERROR(IF(INDEX(Variablen!$I:$AT, MATCH(M80, Variablen!$A:$A, 0), MATCH((YEAR(D80)+16), Variablen!$I$3:$AT$3, 0))="",L80,INDEX(Variablen!$I:$AT, MATCH(M80, Variablen!$A:$A, 0), MATCH((YEAR(D80)+16), Variablen!$I$3:$AT$3, 0))),L80)))*(IF((YEAR(D80)+16)&lt;YEAR(E80),0,IF((YEAR(D80)+16)&gt;YEAR(E80),1,(12-MONTH(E80)+1)/12))) + (Q80)*(IF((YEAR(D80)+16)&lt;YEAR(E80),0,IF((YEAR(D80)+16)&gt;YEAR(E80),1,(12-MONTH(E80)+1)/12))))-((P80)*(IF((YEAR(D80)+16)&lt;YEAR(E80),0,IF((YEAR(D80)+16)&gt;YEAR(E80),1,(12-MONTH(E80)+1)/12))) + (R80)*(IF((YEAR(D80)+16)&lt;YEAR(E80),0,IF((YEAR(D80)+16)&gt;YEAR(E80),1,(12-MONTH(E80)+1)/12))))-(IF(OR(N80="",N80&lt;=0),0,(O80/N80)*(IF(OR(N80="",N80&lt;=0),0,IF((YEAR(D80)+16)&lt;YEAR(E80),0,IF((YEAR(D80)+16)&gt;=YEAR(E80)+N80,0,IF((YEAR(D80)+16)=YEAR(E80),(12-MONTH(E80)+1)/12,1))))))))*TaxRate,0))-IF(16=0,O80,0))</f>
        <v/>
      </c>
      <c r="AJ80" s="29">
        <f>IF(A80="","",((K80)*(IF(M80="",L80,IFERROR(IF(INDEX(Variablen!$I:$AT, MATCH(M80, Variablen!$A:$A, 0), MATCH((YEAR(D80)+17), Variablen!$I$3:$AT$3, 0))="",L80,INDEX(Variablen!$I:$AT, MATCH(M80, Variablen!$A:$A, 0), MATCH((YEAR(D80)+17), Variablen!$I$3:$AT$3, 0))),L80)))*(IF((YEAR(D80)+17)&lt;YEAR(E80),0,IF((YEAR(D80)+17)&gt;YEAR(E80),1,(12-MONTH(E80)+1)/12))) + (Q80)*(IF((YEAR(D80)+17)&lt;YEAR(E80),0,IF((YEAR(D80)+17)&gt;YEAR(E80),1,(12-MONTH(E80)+1)/12))))-((P80)*(IF((YEAR(D80)+17)&lt;YEAR(E80),0,IF((YEAR(D80)+17)&gt;YEAR(E80),1,(12-MONTH(E80)+1)/12))) + (R80)*(IF((YEAR(D80)+17)&lt;YEAR(E80),0,IF((YEAR(D80)+17)&gt;YEAR(E80),1,(12-MONTH(E80)+1)/12))))-(IF((((K80)*(IF(M80="",L80,IFERROR(IF(INDEX(Variablen!$I:$AT, MATCH(M80, Variablen!$A:$A, 0), MATCH((YEAR(D80)+17), Variablen!$I$3:$AT$3, 0))="",L80,INDEX(Variablen!$I:$AT, MATCH(M80, Variablen!$A:$A, 0), MATCH((YEAR(D80)+17), Variablen!$I$3:$AT$3, 0))),L80)))*(IF((YEAR(D80)+17)&lt;YEAR(E80),0,IF((YEAR(D80)+17)&gt;YEAR(E80),1,(12-MONTH(E80)+1)/12))) + (Q80)*(IF((YEAR(D80)+17)&lt;YEAR(E80),0,IF((YEAR(D80)+17)&gt;YEAR(E80),1,(12-MONTH(E80)+1)/12))))-((P80)*(IF((YEAR(D80)+17)&lt;YEAR(E80),0,IF((YEAR(D80)+17)&gt;YEAR(E80),1,(12-MONTH(E80)+1)/12))) + (R80)*(IF((YEAR(D80)+17)&lt;YEAR(E80),0,IF((YEAR(D80)+17)&gt;YEAR(E80),1,(12-MONTH(E80)+1)/12))))-(IF(OR(N80="",N80&lt;=0),0,(O80/N80)*(IF(OR(N80="",N80&lt;=0),0,IF((YEAR(D80)+17)&lt;YEAR(E80),0,IF((YEAR(D80)+17)&gt;=YEAR(E80)+N80,0,IF((YEAR(D80)+17)=YEAR(E80),(12-MONTH(E80)+1)/12,1))))))))&gt;0,(((K80)*(IF(M80="",L80,IFERROR(IF(INDEX(Variablen!$I:$AT, MATCH(M80, Variablen!$A:$A, 0), MATCH((YEAR(D80)+17), Variablen!$I$3:$AT$3, 0))="",L80,INDEX(Variablen!$I:$AT, MATCH(M80, Variablen!$A:$A, 0), MATCH((YEAR(D80)+17), Variablen!$I$3:$AT$3, 0))),L80)))*(IF((YEAR(D80)+17)&lt;YEAR(E80),0,IF((YEAR(D80)+17)&gt;YEAR(E80),1,(12-MONTH(E80)+1)/12))) + (Q80)*(IF((YEAR(D80)+17)&lt;YEAR(E80),0,IF((YEAR(D80)+17)&gt;YEAR(E80),1,(12-MONTH(E80)+1)/12))))-((P80)*(IF((YEAR(D80)+17)&lt;YEAR(E80),0,IF((YEAR(D80)+17)&gt;YEAR(E80),1,(12-MONTH(E80)+1)/12))) + (R80)*(IF((YEAR(D80)+17)&lt;YEAR(E80),0,IF((YEAR(D80)+17)&gt;YEAR(E80),1,(12-MONTH(E80)+1)/12))))-(IF(OR(N80="",N80&lt;=0),0,(O80/N80)*(IF(OR(N80="",N80&lt;=0),0,IF((YEAR(D80)+17)&lt;YEAR(E80),0,IF((YEAR(D80)+17)&gt;=YEAR(E80)+N80,0,IF((YEAR(D80)+17)=YEAR(E80),(12-MONTH(E80)+1)/12,1))))))))*TaxRate,0))-IF(17=0,O80,0))</f>
        <v/>
      </c>
      <c r="AK80" s="29">
        <f>IF(A80="","",((K80)*(IF(M80="",L80,IFERROR(IF(INDEX(Variablen!$I:$AT, MATCH(M80, Variablen!$A:$A, 0), MATCH((YEAR(D80)+18), Variablen!$I$3:$AT$3, 0))="",L80,INDEX(Variablen!$I:$AT, MATCH(M80, Variablen!$A:$A, 0), MATCH((YEAR(D80)+18), Variablen!$I$3:$AT$3, 0))),L80)))*(IF((YEAR(D80)+18)&lt;YEAR(E80),0,IF((YEAR(D80)+18)&gt;YEAR(E80),1,(12-MONTH(E80)+1)/12))) + (Q80)*(IF((YEAR(D80)+18)&lt;YEAR(E80),0,IF((YEAR(D80)+18)&gt;YEAR(E80),1,(12-MONTH(E80)+1)/12))))-((P80)*(IF((YEAR(D80)+18)&lt;YEAR(E80),0,IF((YEAR(D80)+18)&gt;YEAR(E80),1,(12-MONTH(E80)+1)/12))) + (R80)*(IF((YEAR(D80)+18)&lt;YEAR(E80),0,IF((YEAR(D80)+18)&gt;YEAR(E80),1,(12-MONTH(E80)+1)/12))))-(IF((((K80)*(IF(M80="",L80,IFERROR(IF(INDEX(Variablen!$I:$AT, MATCH(M80, Variablen!$A:$A, 0), MATCH((YEAR(D80)+18), Variablen!$I$3:$AT$3, 0))="",L80,INDEX(Variablen!$I:$AT, MATCH(M80, Variablen!$A:$A, 0), MATCH((YEAR(D80)+18), Variablen!$I$3:$AT$3, 0))),L80)))*(IF((YEAR(D80)+18)&lt;YEAR(E80),0,IF((YEAR(D80)+18)&gt;YEAR(E80),1,(12-MONTH(E80)+1)/12))) + (Q80)*(IF((YEAR(D80)+18)&lt;YEAR(E80),0,IF((YEAR(D80)+18)&gt;YEAR(E80),1,(12-MONTH(E80)+1)/12))))-((P80)*(IF((YEAR(D80)+18)&lt;YEAR(E80),0,IF((YEAR(D80)+18)&gt;YEAR(E80),1,(12-MONTH(E80)+1)/12))) + (R80)*(IF((YEAR(D80)+18)&lt;YEAR(E80),0,IF((YEAR(D80)+18)&gt;YEAR(E80),1,(12-MONTH(E80)+1)/12))))-(IF(OR(N80="",N80&lt;=0),0,(O80/N80)*(IF(OR(N80="",N80&lt;=0),0,IF((YEAR(D80)+18)&lt;YEAR(E80),0,IF((YEAR(D80)+18)&gt;=YEAR(E80)+N80,0,IF((YEAR(D80)+18)=YEAR(E80),(12-MONTH(E80)+1)/12,1))))))))&gt;0,(((K80)*(IF(M80="",L80,IFERROR(IF(INDEX(Variablen!$I:$AT, MATCH(M80, Variablen!$A:$A, 0), MATCH((YEAR(D80)+18), Variablen!$I$3:$AT$3, 0))="",L80,INDEX(Variablen!$I:$AT, MATCH(M80, Variablen!$A:$A, 0), MATCH((YEAR(D80)+18), Variablen!$I$3:$AT$3, 0))),L80)))*(IF((YEAR(D80)+18)&lt;YEAR(E80),0,IF((YEAR(D80)+18)&gt;YEAR(E80),1,(12-MONTH(E80)+1)/12))) + (Q80)*(IF((YEAR(D80)+18)&lt;YEAR(E80),0,IF((YEAR(D80)+18)&gt;YEAR(E80),1,(12-MONTH(E80)+1)/12))))-((P80)*(IF((YEAR(D80)+18)&lt;YEAR(E80),0,IF((YEAR(D80)+18)&gt;YEAR(E80),1,(12-MONTH(E80)+1)/12))) + (R80)*(IF((YEAR(D80)+18)&lt;YEAR(E80),0,IF((YEAR(D80)+18)&gt;YEAR(E80),1,(12-MONTH(E80)+1)/12))))-(IF(OR(N80="",N80&lt;=0),0,(O80/N80)*(IF(OR(N80="",N80&lt;=0),0,IF((YEAR(D80)+18)&lt;YEAR(E80),0,IF((YEAR(D80)+18)&gt;=YEAR(E80)+N80,0,IF((YEAR(D80)+18)=YEAR(E80),(12-MONTH(E80)+1)/12,1))))))))*TaxRate,0))-IF(18=0,O80,0))</f>
        <v/>
      </c>
      <c r="AL80" s="29">
        <f>IF(A80="","",((K80)*(IF(M80="",L80,IFERROR(IF(INDEX(Variablen!$I:$AT, MATCH(M80, Variablen!$A:$A, 0), MATCH((YEAR(D80)+19), Variablen!$I$3:$AT$3, 0))="",L80,INDEX(Variablen!$I:$AT, MATCH(M80, Variablen!$A:$A, 0), MATCH((YEAR(D80)+19), Variablen!$I$3:$AT$3, 0))),L80)))*(IF((YEAR(D80)+19)&lt;YEAR(E80),0,IF((YEAR(D80)+19)&gt;YEAR(E80),1,(12-MONTH(E80)+1)/12))) + (Q80)*(IF((YEAR(D80)+19)&lt;YEAR(E80),0,IF((YEAR(D80)+19)&gt;YEAR(E80),1,(12-MONTH(E80)+1)/12))))-((P80)*(IF((YEAR(D80)+19)&lt;YEAR(E80),0,IF((YEAR(D80)+19)&gt;YEAR(E80),1,(12-MONTH(E80)+1)/12))) + (R80)*(IF((YEAR(D80)+19)&lt;YEAR(E80),0,IF((YEAR(D80)+19)&gt;YEAR(E80),1,(12-MONTH(E80)+1)/12))))-(IF((((K80)*(IF(M80="",L80,IFERROR(IF(INDEX(Variablen!$I:$AT, MATCH(M80, Variablen!$A:$A, 0), MATCH((YEAR(D80)+19), Variablen!$I$3:$AT$3, 0))="",L80,INDEX(Variablen!$I:$AT, MATCH(M80, Variablen!$A:$A, 0), MATCH((YEAR(D80)+19), Variablen!$I$3:$AT$3, 0))),L80)))*(IF((YEAR(D80)+19)&lt;YEAR(E80),0,IF((YEAR(D80)+19)&gt;YEAR(E80),1,(12-MONTH(E80)+1)/12))) + (Q80)*(IF((YEAR(D80)+19)&lt;YEAR(E80),0,IF((YEAR(D80)+19)&gt;YEAR(E80),1,(12-MONTH(E80)+1)/12))))-((P80)*(IF((YEAR(D80)+19)&lt;YEAR(E80),0,IF((YEAR(D80)+19)&gt;YEAR(E80),1,(12-MONTH(E80)+1)/12))) + (R80)*(IF((YEAR(D80)+19)&lt;YEAR(E80),0,IF((YEAR(D80)+19)&gt;YEAR(E80),1,(12-MONTH(E80)+1)/12))))-(IF(OR(N80="",N80&lt;=0),0,(O80/N80)*(IF(OR(N80="",N80&lt;=0),0,IF((YEAR(D80)+19)&lt;YEAR(E80),0,IF((YEAR(D80)+19)&gt;=YEAR(E80)+N80,0,IF((YEAR(D80)+19)=YEAR(E80),(12-MONTH(E80)+1)/12,1))))))))&gt;0,(((K80)*(IF(M80="",L80,IFERROR(IF(INDEX(Variablen!$I:$AT, MATCH(M80, Variablen!$A:$A, 0), MATCH((YEAR(D80)+19), Variablen!$I$3:$AT$3, 0))="",L80,INDEX(Variablen!$I:$AT, MATCH(M80, Variablen!$A:$A, 0), MATCH((YEAR(D80)+19), Variablen!$I$3:$AT$3, 0))),L80)))*(IF((YEAR(D80)+19)&lt;YEAR(E80),0,IF((YEAR(D80)+19)&gt;YEAR(E80),1,(12-MONTH(E80)+1)/12))) + (Q80)*(IF((YEAR(D80)+19)&lt;YEAR(E80),0,IF((YEAR(D80)+19)&gt;YEAR(E80),1,(12-MONTH(E80)+1)/12))))-((P80)*(IF((YEAR(D80)+19)&lt;YEAR(E80),0,IF((YEAR(D80)+19)&gt;YEAR(E80),1,(12-MONTH(E80)+1)/12))) + (R80)*(IF((YEAR(D80)+19)&lt;YEAR(E80),0,IF((YEAR(D80)+19)&gt;YEAR(E80),1,(12-MONTH(E80)+1)/12))))-(IF(OR(N80="",N80&lt;=0),0,(O80/N80)*(IF(OR(N80="",N80&lt;=0),0,IF((YEAR(D80)+19)&lt;YEAR(E80),0,IF((YEAR(D80)+19)&gt;=YEAR(E80)+N80,0,IF((YEAR(D80)+19)=YEAR(E80),(12-MONTH(E80)+1)/12,1))))))))*TaxRate,0))-IF(19=0,O80,0))</f>
        <v/>
      </c>
      <c r="AM80" s="29">
        <f>IF(A80="","",((K80)*(IF(M80="",L80,IFERROR(IF(INDEX(Variablen!$I:$AT, MATCH(M80, Variablen!$A:$A, 0), MATCH((YEAR(D80)+20), Variablen!$I$3:$AT$3, 0))="",L80,INDEX(Variablen!$I:$AT, MATCH(M80, Variablen!$A:$A, 0), MATCH((YEAR(D80)+20), Variablen!$I$3:$AT$3, 0))),L80)))*(IF((YEAR(D80)+20)&lt;YEAR(E80),0,IF((YEAR(D80)+20)&gt;YEAR(E80),1,(12-MONTH(E80)+1)/12))) + (Q80)*(IF((YEAR(D80)+20)&lt;YEAR(E80),0,IF((YEAR(D80)+20)&gt;YEAR(E80),1,(12-MONTH(E80)+1)/12))))-((P80)*(IF((YEAR(D80)+20)&lt;YEAR(E80),0,IF((YEAR(D80)+20)&gt;YEAR(E80),1,(12-MONTH(E80)+1)/12))) + (R80)*(IF((YEAR(D80)+20)&lt;YEAR(E80),0,IF((YEAR(D80)+20)&gt;YEAR(E80),1,(12-MONTH(E80)+1)/12))))-(IF((((K80)*(IF(M80="",L80,IFERROR(IF(INDEX(Variablen!$I:$AT, MATCH(M80, Variablen!$A:$A, 0), MATCH((YEAR(D80)+20), Variablen!$I$3:$AT$3, 0))="",L80,INDEX(Variablen!$I:$AT, MATCH(M80, Variablen!$A:$A, 0), MATCH((YEAR(D80)+20), Variablen!$I$3:$AT$3, 0))),L80)))*(IF((YEAR(D80)+20)&lt;YEAR(E80),0,IF((YEAR(D80)+20)&gt;YEAR(E80),1,(12-MONTH(E80)+1)/12))) + (Q80)*(IF((YEAR(D80)+20)&lt;YEAR(E80),0,IF((YEAR(D80)+20)&gt;YEAR(E80),1,(12-MONTH(E80)+1)/12))))-((P80)*(IF((YEAR(D80)+20)&lt;YEAR(E80),0,IF((YEAR(D80)+20)&gt;YEAR(E80),1,(12-MONTH(E80)+1)/12))) + (R80)*(IF((YEAR(D80)+20)&lt;YEAR(E80),0,IF((YEAR(D80)+20)&gt;YEAR(E80),1,(12-MONTH(E80)+1)/12))))-(IF(OR(N80="",N80&lt;=0),0,(O80/N80)*(IF(OR(N80="",N80&lt;=0),0,IF((YEAR(D80)+20)&lt;YEAR(E80),0,IF((YEAR(D80)+20)&gt;=YEAR(E80)+N80,0,IF((YEAR(D80)+20)=YEAR(E80),(12-MONTH(E80)+1)/12,1))))))))&gt;0,(((K80)*(IF(M80="",L80,IFERROR(IF(INDEX(Variablen!$I:$AT, MATCH(M80, Variablen!$A:$A, 0), MATCH((YEAR(D80)+20), Variablen!$I$3:$AT$3, 0))="",L80,INDEX(Variablen!$I:$AT, MATCH(M80, Variablen!$A:$A, 0), MATCH((YEAR(D80)+20), Variablen!$I$3:$AT$3, 0))),L80)))*(IF((YEAR(D80)+20)&lt;YEAR(E80),0,IF((YEAR(D80)+20)&gt;YEAR(E80),1,(12-MONTH(E80)+1)/12))) + (Q80)*(IF((YEAR(D80)+20)&lt;YEAR(E80),0,IF((YEAR(D80)+20)&gt;YEAR(E80),1,(12-MONTH(E80)+1)/12))))-((P80)*(IF((YEAR(D80)+20)&lt;YEAR(E80),0,IF((YEAR(D80)+20)&gt;YEAR(E80),1,(12-MONTH(E80)+1)/12))) + (R80)*(IF((YEAR(D80)+20)&lt;YEAR(E80),0,IF((YEAR(D80)+20)&gt;YEAR(E80),1,(12-MONTH(E80)+1)/12))))-(IF(OR(N80="",N80&lt;=0),0,(O80/N80)*(IF(OR(N80="",N80&lt;=0),0,IF((YEAR(D80)+20)&lt;YEAR(E80),0,IF((YEAR(D80)+20)&gt;=YEAR(E80)+N80,0,IF((YEAR(D80)+20)=YEAR(E80),(12-MONTH(E80)+1)/12,1))))))))*TaxRate,0))-IF(20=0,O80,0))</f>
        <v/>
      </c>
      <c r="AN80" s="29">
        <f>IF(A80="","",S80)</f>
        <v/>
      </c>
      <c r="AO80" s="29">
        <f>IF(A80="","",AN80+T80)</f>
        <v/>
      </c>
      <c r="AP80" s="29">
        <f>IF(A80="","",AO80+U80)</f>
        <v/>
      </c>
      <c r="AQ80" s="29">
        <f>IF(A80="","",AP80+V80)</f>
        <v/>
      </c>
      <c r="AR80" s="29">
        <f>IF(A80="","",AQ80+W80)</f>
        <v/>
      </c>
      <c r="AS80" s="29">
        <f>IF(A80="","",AR80+X80)</f>
        <v/>
      </c>
      <c r="AT80" s="29">
        <f>IF(A80="","",AS80+Y80)</f>
        <v/>
      </c>
      <c r="AU80" s="29">
        <f>IF(A80="","",AT80+Z80)</f>
        <v/>
      </c>
      <c r="AV80" s="29">
        <f>IF(A80="","",AU80+AA80)</f>
        <v/>
      </c>
      <c r="AW80" s="29">
        <f>IF(A80="","",AV80+AB80)</f>
        <v/>
      </c>
      <c r="AX80" s="29">
        <f>IF(A80="","",AW80+AC80)</f>
        <v/>
      </c>
      <c r="AY80" s="29">
        <f>IF(A80="","",AX80+AD80)</f>
        <v/>
      </c>
      <c r="AZ80" s="29">
        <f>IF(A80="","",AY80+AE80)</f>
        <v/>
      </c>
      <c r="BA80" s="29">
        <f>IF(A80="","",AZ80+AF80)</f>
        <v/>
      </c>
      <c r="BB80" s="29">
        <f>IF(A80="","",BA80+AG80)</f>
        <v/>
      </c>
      <c r="BC80" s="29">
        <f>IF(A80="","",BB80+AH80)</f>
        <v/>
      </c>
      <c r="BD80" s="29">
        <f>IF(A80="","",BC80+AI80)</f>
        <v/>
      </c>
      <c r="BE80" s="29">
        <f>IF(A80="","",BD80+AJ80)</f>
        <v/>
      </c>
      <c r="BF80" s="29">
        <f>IF(A80="","",BE80+AK80)</f>
        <v/>
      </c>
      <c r="BG80" s="29">
        <f>IF(A80="","",BF80+AL80)</f>
        <v/>
      </c>
      <c r="BH80" s="29">
        <f>IF(A80="","",BG80+AM80)</f>
        <v/>
      </c>
      <c r="BI80" s="36">
        <f>IF(A80="","",(K80)*(IF((YEAR(D80)+0)&lt;YEAR(E80),0,IF((YEAR(D80)+0)&gt;YEAR(E80),1,(12-MONTH(E80)+1)/12)))*(1/(1+DiscountRate)^0))</f>
        <v/>
      </c>
      <c r="BJ80" s="36">
        <f>IF(A80="","",(K80)*(IF((YEAR(D80)+1)&lt;YEAR(E80),0,IF((YEAR(D80)+1)&gt;YEAR(E80),1,(12-MONTH(E80)+1)/12)))*(1/(1+DiscountRate)^1))</f>
        <v/>
      </c>
      <c r="BK80" s="36">
        <f>IF(A80="","",(K80)*(IF((YEAR(D80)+2)&lt;YEAR(E80),0,IF((YEAR(D80)+2)&gt;YEAR(E80),1,(12-MONTH(E80)+1)/12)))*(1/(1+DiscountRate)^2))</f>
        <v/>
      </c>
      <c r="BL80" s="36">
        <f>IF(A80="","",(K80)*(IF((YEAR(D80)+3)&lt;YEAR(E80),0,IF((YEAR(D80)+3)&gt;YEAR(E80),1,(12-MONTH(E80)+1)/12)))*(1/(1+DiscountRate)^3))</f>
        <v/>
      </c>
      <c r="BM80" s="36">
        <f>IF(A80="","",(K80)*(IF((YEAR(D80)+4)&lt;YEAR(E80),0,IF((YEAR(D80)+4)&gt;YEAR(E80),1,(12-MONTH(E80)+1)/12)))*(1/(1+DiscountRate)^4))</f>
        <v/>
      </c>
      <c r="BN80" s="36">
        <f>IF(A80="","",(K80)*(IF((YEAR(D80)+5)&lt;YEAR(E80),0,IF((YEAR(D80)+5)&gt;YEAR(E80),1,(12-MONTH(E80)+1)/12)))*(1/(1+DiscountRate)^5))</f>
        <v/>
      </c>
      <c r="BO80" s="36">
        <f>IF(A80="","",(K80)*(IF((YEAR(D80)+6)&lt;YEAR(E80),0,IF((YEAR(D80)+6)&gt;YEAR(E80),1,(12-MONTH(E80)+1)/12)))*(1/(1+DiscountRate)^6))</f>
        <v/>
      </c>
      <c r="BP80" s="36">
        <f>IF(A80="","",(K80)*(IF((YEAR(D80)+7)&lt;YEAR(E80),0,IF((YEAR(D80)+7)&gt;YEAR(E80),1,(12-MONTH(E80)+1)/12)))*(1/(1+DiscountRate)^7))</f>
        <v/>
      </c>
      <c r="BQ80" s="36">
        <f>IF(A80="","",(K80)*(IF((YEAR(D80)+8)&lt;YEAR(E80),0,IF((YEAR(D80)+8)&gt;YEAR(E80),1,(12-MONTH(E80)+1)/12)))*(1/(1+DiscountRate)^8))</f>
        <v/>
      </c>
      <c r="BR80" s="36">
        <f>IF(A80="","",(K80)*(IF((YEAR(D80)+9)&lt;YEAR(E80),0,IF((YEAR(D80)+9)&gt;YEAR(E80),1,(12-MONTH(E80)+1)/12)))*(1/(1+DiscountRate)^9))</f>
        <v/>
      </c>
      <c r="BS80" s="36">
        <f>IF(A80="","",(K80)*(IF((YEAR(D80)+10)&lt;YEAR(E80),0,IF((YEAR(D80)+10)&gt;YEAR(E80),1,(12-MONTH(E80)+1)/12)))*(1/(1+DiscountRate)^10))</f>
        <v/>
      </c>
      <c r="BT80" s="36">
        <f>IF(A80="","",(K80)*(IF((YEAR(D80)+11)&lt;YEAR(E80),0,IF((YEAR(D80)+11)&gt;YEAR(E80),1,(12-MONTH(E80)+1)/12)))*(1/(1+DiscountRate)^11))</f>
        <v/>
      </c>
      <c r="BU80" s="36">
        <f>IF(A80="","",(K80)*(IF((YEAR(D80)+12)&lt;YEAR(E80),0,IF((YEAR(D80)+12)&gt;YEAR(E80),1,(12-MONTH(E80)+1)/12)))*(1/(1+DiscountRate)^12))</f>
        <v/>
      </c>
      <c r="BV80" s="36">
        <f>IF(A80="","",(K80)*(IF((YEAR(D80)+13)&lt;YEAR(E80),0,IF((YEAR(D80)+13)&gt;YEAR(E80),1,(12-MONTH(E80)+1)/12)))*(1/(1+DiscountRate)^13))</f>
        <v/>
      </c>
      <c r="BW80" s="36">
        <f>IF(A80="","",(K80)*(IF((YEAR(D80)+14)&lt;YEAR(E80),0,IF((YEAR(D80)+14)&gt;YEAR(E80),1,(12-MONTH(E80)+1)/12)))*(1/(1+DiscountRate)^14))</f>
        <v/>
      </c>
      <c r="BX80" s="36">
        <f>IF(A80="","",(K80)*(IF((YEAR(D80)+15)&lt;YEAR(E80),0,IF((YEAR(D80)+15)&gt;YEAR(E80),1,(12-MONTH(E80)+1)/12)))*(1/(1+DiscountRate)^15))</f>
        <v/>
      </c>
      <c r="BY80" s="36">
        <f>IF(A80="","",(K80)*(IF((YEAR(D80)+16)&lt;YEAR(E80),0,IF((YEAR(D80)+16)&gt;YEAR(E80),1,(12-MONTH(E80)+1)/12)))*(1/(1+DiscountRate)^16))</f>
        <v/>
      </c>
      <c r="BZ80" s="36">
        <f>IF(A80="","",(K80)*(IF((YEAR(D80)+17)&lt;YEAR(E80),0,IF((YEAR(D80)+17)&gt;YEAR(E80),1,(12-MONTH(E80)+1)/12)))*(1/(1+DiscountRate)^17))</f>
        <v/>
      </c>
      <c r="CA80" s="36">
        <f>IF(A80="","",(K80)*(IF((YEAR(D80)+18)&lt;YEAR(E80),0,IF((YEAR(D80)+18)&gt;YEAR(E80),1,(12-MONTH(E80)+1)/12)))*(1/(1+DiscountRate)^18))</f>
        <v/>
      </c>
      <c r="CB80" s="36">
        <f>IF(A80="","",(K80)*(IF((YEAR(D80)+19)&lt;YEAR(E80),0,IF((YEAR(D80)+19)&gt;YEAR(E80),1,(12-MONTH(E80)+1)/12)))*(1/(1+DiscountRate)^19))</f>
        <v/>
      </c>
      <c r="CC80" s="36">
        <f>IF(A80="","",(K80)*(IF((YEAR(D80)+20)&lt;YEAR(E80),0,IF((YEAR(D80)+20)&gt;YEAR(E80),1,(12-MONTH(E80)+1)/12)))*(1/(1+DiscountRate)^20))</f>
        <v/>
      </c>
      <c r="CD80" s="29">
        <f>IF(A80="","",S80/(1+DiscountRate)^0+T80/(1+DiscountRate)^1+U80/(1+DiscountRate)^2+V80/(1+DiscountRate)^3+W80/(1+DiscountRate)^4+X80/(1+DiscountRate)^5+Y80/(1+DiscountRate)^6+Z80/(1+DiscountRate)^7+AA80/(1+DiscountRate)^8+AB80/(1+DiscountRate)^9+AC80/(1+DiscountRate)^10+AD80/(1+DiscountRate)^11+AE80/(1+DiscountRate)^12+AF80/(1+DiscountRate)^13+AG80/(1+DiscountRate)^14+AH80/(1+DiscountRate)^15+AI80/(1+DiscountRate)^16+AJ80/(1+DiscountRate)^17+AK80/(1+DiscountRate)^18+AL80/(1+DiscountRate)^19+AM80/(1+DiscountRate)^20)</f>
        <v/>
      </c>
      <c r="CE80" s="37">
        <f>IF(A80="","",IFERROR(IRR(OFFSET(S80,0,0,1,MIN(HorizonYears,20)+1)),"n/a"))</f>
        <v/>
      </c>
      <c r="CF80" s="28">
        <f>IF(A80="","",IFERROR(MATCH(TRUE,OFFSET(AN80,0,0,1,MIN(HorizonYears,20)+1)&gt;=0,0)-1,"n/a"))</f>
        <v/>
      </c>
      <c r="CG80" s="36">
        <f>IF(A80="","",SUM(OFFSET(BI80,0,0,1,MIN(HorizonYears,20)+1)))</f>
        <v/>
      </c>
      <c r="CH80" s="36">
        <f>IF(A80="","",IFERROR(-CD80/CG80,"n/a"))</f>
        <v/>
      </c>
    </row>
    <row r="81">
      <c r="A81" s="6">
        <f>Actions!A79</f>
        <v/>
      </c>
      <c r="B81" s="6">
        <f>Actions!B79</f>
        <v/>
      </c>
      <c r="C81" s="6">
        <f>Actions!D79</f>
        <v/>
      </c>
      <c r="D81" s="35">
        <f>Actions!E79</f>
        <v/>
      </c>
      <c r="E81" s="35">
        <f>Actions!F79</f>
        <v/>
      </c>
      <c r="F81" s="6">
        <f>Actions!G79</f>
        <v/>
      </c>
      <c r="G81" s="6">
        <f>Actions!H79</f>
        <v/>
      </c>
      <c r="H81" s="29">
        <f>Actions!I79</f>
        <v/>
      </c>
      <c r="I81" s="6">
        <f>Actions!J79</f>
        <v/>
      </c>
      <c r="J81" s="16">
        <f>Actions!K79</f>
        <v/>
      </c>
      <c r="K81" s="16">
        <f>IF(A81="","",IF(I81="%",H81*J81,J81))</f>
        <v/>
      </c>
      <c r="L81" s="16">
        <f>Actions!L79</f>
        <v/>
      </c>
      <c r="M81" s="6">
        <f>Actions!M79</f>
        <v/>
      </c>
      <c r="N81" s="28">
        <f>Actions!N79</f>
        <v/>
      </c>
      <c r="O81" s="29">
        <f>Actions!T79</f>
        <v/>
      </c>
      <c r="P81" s="29">
        <f>Actions!Y79</f>
        <v/>
      </c>
      <c r="Q81" s="29">
        <f>Actions!Z79</f>
        <v/>
      </c>
      <c r="R81" s="29">
        <f>Actions!AA79</f>
        <v/>
      </c>
      <c r="S81" s="29">
        <f>IF(A81="","",((K81)*(IF(M81="",L81,IFERROR(IF(INDEX(Variablen!$I:$AT, MATCH(M81, Variablen!$A:$A, 0), MATCH((YEAR(D81)+0), Variablen!$I$3:$AT$3, 0))="",L81,INDEX(Variablen!$I:$AT, MATCH(M81, Variablen!$A:$A, 0), MATCH((YEAR(D81)+0), Variablen!$I$3:$AT$3, 0))),L81)))*(IF((YEAR(D81)+0)&lt;YEAR(E81),0,IF((YEAR(D81)+0)&gt;YEAR(E81),1,(12-MONTH(E81)+1)/12))) + (Q81)*(IF((YEAR(D81)+0)&lt;YEAR(E81),0,IF((YEAR(D81)+0)&gt;YEAR(E81),1,(12-MONTH(E81)+1)/12))))-((P81)*(IF((YEAR(D81)+0)&lt;YEAR(E81),0,IF((YEAR(D81)+0)&gt;YEAR(E81),1,(12-MONTH(E81)+1)/12))) + (R81)*(IF((YEAR(D81)+0)&lt;YEAR(E81),0,IF((YEAR(D81)+0)&gt;YEAR(E81),1,(12-MONTH(E81)+1)/12))))-(IF((((K81)*(IF(M81="",L81,IFERROR(IF(INDEX(Variablen!$I:$AT, MATCH(M81, Variablen!$A:$A, 0), MATCH((YEAR(D81)+0), Variablen!$I$3:$AT$3, 0))="",L81,INDEX(Variablen!$I:$AT, MATCH(M81, Variablen!$A:$A, 0), MATCH((YEAR(D81)+0), Variablen!$I$3:$AT$3, 0))),L81)))*(IF((YEAR(D81)+0)&lt;YEAR(E81),0,IF((YEAR(D81)+0)&gt;YEAR(E81),1,(12-MONTH(E81)+1)/12))) + (Q81)*(IF((YEAR(D81)+0)&lt;YEAR(E81),0,IF((YEAR(D81)+0)&gt;YEAR(E81),1,(12-MONTH(E81)+1)/12))))-((P81)*(IF((YEAR(D81)+0)&lt;YEAR(E81),0,IF((YEAR(D81)+0)&gt;YEAR(E81),1,(12-MONTH(E81)+1)/12))) + (R81)*(IF((YEAR(D81)+0)&lt;YEAR(E81),0,IF((YEAR(D81)+0)&gt;YEAR(E81),1,(12-MONTH(E81)+1)/12))))-(IF(OR(N81="",N81&lt;=0),0,(O81/N81)*(IF(OR(N81="",N81&lt;=0),0,IF((YEAR(D81)+0)&lt;YEAR(E81),0,IF((YEAR(D81)+0)&gt;=YEAR(E81)+N81,0,IF((YEAR(D81)+0)=YEAR(E81),(12-MONTH(E81)+1)/12,1))))))))&gt;0,(((K81)*(IF(M81="",L81,IFERROR(IF(INDEX(Variablen!$I:$AT, MATCH(M81, Variablen!$A:$A, 0), MATCH((YEAR(D81)+0), Variablen!$I$3:$AT$3, 0))="",L81,INDEX(Variablen!$I:$AT, MATCH(M81, Variablen!$A:$A, 0), MATCH((YEAR(D81)+0), Variablen!$I$3:$AT$3, 0))),L81)))*(IF((YEAR(D81)+0)&lt;YEAR(E81),0,IF((YEAR(D81)+0)&gt;YEAR(E81),1,(12-MONTH(E81)+1)/12))) + (Q81)*(IF((YEAR(D81)+0)&lt;YEAR(E81),0,IF((YEAR(D81)+0)&gt;YEAR(E81),1,(12-MONTH(E81)+1)/12))))-((P81)*(IF((YEAR(D81)+0)&lt;YEAR(E81),0,IF((YEAR(D81)+0)&gt;YEAR(E81),1,(12-MONTH(E81)+1)/12))) + (R81)*(IF((YEAR(D81)+0)&lt;YEAR(E81),0,IF((YEAR(D81)+0)&gt;YEAR(E81),1,(12-MONTH(E81)+1)/12))))-(IF(OR(N81="",N81&lt;=0),0,(O81/N81)*(IF(OR(N81="",N81&lt;=0),0,IF((YEAR(D81)+0)&lt;YEAR(E81),0,IF((YEAR(D81)+0)&gt;=YEAR(E81)+N81,0,IF((YEAR(D81)+0)=YEAR(E81),(12-MONTH(E81)+1)/12,1))))))))*TaxRate,0))-IF(0=0,O81,0))</f>
        <v/>
      </c>
      <c r="T81" s="29">
        <f>IF(A81="","",((K81)*(IF(M81="",L81,IFERROR(IF(INDEX(Variablen!$I:$AT, MATCH(M81, Variablen!$A:$A, 0), MATCH((YEAR(D81)+1), Variablen!$I$3:$AT$3, 0))="",L81,INDEX(Variablen!$I:$AT, MATCH(M81, Variablen!$A:$A, 0), MATCH((YEAR(D81)+1), Variablen!$I$3:$AT$3, 0))),L81)))*(IF((YEAR(D81)+1)&lt;YEAR(E81),0,IF((YEAR(D81)+1)&gt;YEAR(E81),1,(12-MONTH(E81)+1)/12))) + (Q81)*(IF((YEAR(D81)+1)&lt;YEAR(E81),0,IF((YEAR(D81)+1)&gt;YEAR(E81),1,(12-MONTH(E81)+1)/12))))-((P81)*(IF((YEAR(D81)+1)&lt;YEAR(E81),0,IF((YEAR(D81)+1)&gt;YEAR(E81),1,(12-MONTH(E81)+1)/12))) + (R81)*(IF((YEAR(D81)+1)&lt;YEAR(E81),0,IF((YEAR(D81)+1)&gt;YEAR(E81),1,(12-MONTH(E81)+1)/12))))-(IF((((K81)*(IF(M81="",L81,IFERROR(IF(INDEX(Variablen!$I:$AT, MATCH(M81, Variablen!$A:$A, 0), MATCH((YEAR(D81)+1), Variablen!$I$3:$AT$3, 0))="",L81,INDEX(Variablen!$I:$AT, MATCH(M81, Variablen!$A:$A, 0), MATCH((YEAR(D81)+1), Variablen!$I$3:$AT$3, 0))),L81)))*(IF((YEAR(D81)+1)&lt;YEAR(E81),0,IF((YEAR(D81)+1)&gt;YEAR(E81),1,(12-MONTH(E81)+1)/12))) + (Q81)*(IF((YEAR(D81)+1)&lt;YEAR(E81),0,IF((YEAR(D81)+1)&gt;YEAR(E81),1,(12-MONTH(E81)+1)/12))))-((P81)*(IF((YEAR(D81)+1)&lt;YEAR(E81),0,IF((YEAR(D81)+1)&gt;YEAR(E81),1,(12-MONTH(E81)+1)/12))) + (R81)*(IF((YEAR(D81)+1)&lt;YEAR(E81),0,IF((YEAR(D81)+1)&gt;YEAR(E81),1,(12-MONTH(E81)+1)/12))))-(IF(OR(N81="",N81&lt;=0),0,(O81/N81)*(IF(OR(N81="",N81&lt;=0),0,IF((YEAR(D81)+1)&lt;YEAR(E81),0,IF((YEAR(D81)+1)&gt;=YEAR(E81)+N81,0,IF((YEAR(D81)+1)=YEAR(E81),(12-MONTH(E81)+1)/12,1))))))))&gt;0,(((K81)*(IF(M81="",L81,IFERROR(IF(INDEX(Variablen!$I:$AT, MATCH(M81, Variablen!$A:$A, 0), MATCH((YEAR(D81)+1), Variablen!$I$3:$AT$3, 0))="",L81,INDEX(Variablen!$I:$AT, MATCH(M81, Variablen!$A:$A, 0), MATCH((YEAR(D81)+1), Variablen!$I$3:$AT$3, 0))),L81)))*(IF((YEAR(D81)+1)&lt;YEAR(E81),0,IF((YEAR(D81)+1)&gt;YEAR(E81),1,(12-MONTH(E81)+1)/12))) + (Q81)*(IF((YEAR(D81)+1)&lt;YEAR(E81),0,IF((YEAR(D81)+1)&gt;YEAR(E81),1,(12-MONTH(E81)+1)/12))))-((P81)*(IF((YEAR(D81)+1)&lt;YEAR(E81),0,IF((YEAR(D81)+1)&gt;YEAR(E81),1,(12-MONTH(E81)+1)/12))) + (R81)*(IF((YEAR(D81)+1)&lt;YEAR(E81),0,IF((YEAR(D81)+1)&gt;YEAR(E81),1,(12-MONTH(E81)+1)/12))))-(IF(OR(N81="",N81&lt;=0),0,(O81/N81)*(IF(OR(N81="",N81&lt;=0),0,IF((YEAR(D81)+1)&lt;YEAR(E81),0,IF((YEAR(D81)+1)&gt;=YEAR(E81)+N81,0,IF((YEAR(D81)+1)=YEAR(E81),(12-MONTH(E81)+1)/12,1))))))))*TaxRate,0))-IF(1=0,O81,0))</f>
        <v/>
      </c>
      <c r="U81" s="29">
        <f>IF(A81="","",((K81)*(IF(M81="",L81,IFERROR(IF(INDEX(Variablen!$I:$AT, MATCH(M81, Variablen!$A:$A, 0), MATCH((YEAR(D81)+2), Variablen!$I$3:$AT$3, 0))="",L81,INDEX(Variablen!$I:$AT, MATCH(M81, Variablen!$A:$A, 0), MATCH((YEAR(D81)+2), Variablen!$I$3:$AT$3, 0))),L81)))*(IF((YEAR(D81)+2)&lt;YEAR(E81),0,IF((YEAR(D81)+2)&gt;YEAR(E81),1,(12-MONTH(E81)+1)/12))) + (Q81)*(IF((YEAR(D81)+2)&lt;YEAR(E81),0,IF((YEAR(D81)+2)&gt;YEAR(E81),1,(12-MONTH(E81)+1)/12))))-((P81)*(IF((YEAR(D81)+2)&lt;YEAR(E81),0,IF((YEAR(D81)+2)&gt;YEAR(E81),1,(12-MONTH(E81)+1)/12))) + (R81)*(IF((YEAR(D81)+2)&lt;YEAR(E81),0,IF((YEAR(D81)+2)&gt;YEAR(E81),1,(12-MONTH(E81)+1)/12))))-(IF((((K81)*(IF(M81="",L81,IFERROR(IF(INDEX(Variablen!$I:$AT, MATCH(M81, Variablen!$A:$A, 0), MATCH((YEAR(D81)+2), Variablen!$I$3:$AT$3, 0))="",L81,INDEX(Variablen!$I:$AT, MATCH(M81, Variablen!$A:$A, 0), MATCH((YEAR(D81)+2), Variablen!$I$3:$AT$3, 0))),L81)))*(IF((YEAR(D81)+2)&lt;YEAR(E81),0,IF((YEAR(D81)+2)&gt;YEAR(E81),1,(12-MONTH(E81)+1)/12))) + (Q81)*(IF((YEAR(D81)+2)&lt;YEAR(E81),0,IF((YEAR(D81)+2)&gt;YEAR(E81),1,(12-MONTH(E81)+1)/12))))-((P81)*(IF((YEAR(D81)+2)&lt;YEAR(E81),0,IF((YEAR(D81)+2)&gt;YEAR(E81),1,(12-MONTH(E81)+1)/12))) + (R81)*(IF((YEAR(D81)+2)&lt;YEAR(E81),0,IF((YEAR(D81)+2)&gt;YEAR(E81),1,(12-MONTH(E81)+1)/12))))-(IF(OR(N81="",N81&lt;=0),0,(O81/N81)*(IF(OR(N81="",N81&lt;=0),0,IF((YEAR(D81)+2)&lt;YEAR(E81),0,IF((YEAR(D81)+2)&gt;=YEAR(E81)+N81,0,IF((YEAR(D81)+2)=YEAR(E81),(12-MONTH(E81)+1)/12,1))))))))&gt;0,(((K81)*(IF(M81="",L81,IFERROR(IF(INDEX(Variablen!$I:$AT, MATCH(M81, Variablen!$A:$A, 0), MATCH((YEAR(D81)+2), Variablen!$I$3:$AT$3, 0))="",L81,INDEX(Variablen!$I:$AT, MATCH(M81, Variablen!$A:$A, 0), MATCH((YEAR(D81)+2), Variablen!$I$3:$AT$3, 0))),L81)))*(IF((YEAR(D81)+2)&lt;YEAR(E81),0,IF((YEAR(D81)+2)&gt;YEAR(E81),1,(12-MONTH(E81)+1)/12))) + (Q81)*(IF((YEAR(D81)+2)&lt;YEAR(E81),0,IF((YEAR(D81)+2)&gt;YEAR(E81),1,(12-MONTH(E81)+1)/12))))-((P81)*(IF((YEAR(D81)+2)&lt;YEAR(E81),0,IF((YEAR(D81)+2)&gt;YEAR(E81),1,(12-MONTH(E81)+1)/12))) + (R81)*(IF((YEAR(D81)+2)&lt;YEAR(E81),0,IF((YEAR(D81)+2)&gt;YEAR(E81),1,(12-MONTH(E81)+1)/12))))-(IF(OR(N81="",N81&lt;=0),0,(O81/N81)*(IF(OR(N81="",N81&lt;=0),0,IF((YEAR(D81)+2)&lt;YEAR(E81),0,IF((YEAR(D81)+2)&gt;=YEAR(E81)+N81,0,IF((YEAR(D81)+2)=YEAR(E81),(12-MONTH(E81)+1)/12,1))))))))*TaxRate,0))-IF(2=0,O81,0))</f>
        <v/>
      </c>
      <c r="V81" s="29">
        <f>IF(A81="","",((K81)*(IF(M81="",L81,IFERROR(IF(INDEX(Variablen!$I:$AT, MATCH(M81, Variablen!$A:$A, 0), MATCH((YEAR(D81)+3), Variablen!$I$3:$AT$3, 0))="",L81,INDEX(Variablen!$I:$AT, MATCH(M81, Variablen!$A:$A, 0), MATCH((YEAR(D81)+3), Variablen!$I$3:$AT$3, 0))),L81)))*(IF((YEAR(D81)+3)&lt;YEAR(E81),0,IF((YEAR(D81)+3)&gt;YEAR(E81),1,(12-MONTH(E81)+1)/12))) + (Q81)*(IF((YEAR(D81)+3)&lt;YEAR(E81),0,IF((YEAR(D81)+3)&gt;YEAR(E81),1,(12-MONTH(E81)+1)/12))))-((P81)*(IF((YEAR(D81)+3)&lt;YEAR(E81),0,IF((YEAR(D81)+3)&gt;YEAR(E81),1,(12-MONTH(E81)+1)/12))) + (R81)*(IF((YEAR(D81)+3)&lt;YEAR(E81),0,IF((YEAR(D81)+3)&gt;YEAR(E81),1,(12-MONTH(E81)+1)/12))))-(IF((((K81)*(IF(M81="",L81,IFERROR(IF(INDEX(Variablen!$I:$AT, MATCH(M81, Variablen!$A:$A, 0), MATCH((YEAR(D81)+3), Variablen!$I$3:$AT$3, 0))="",L81,INDEX(Variablen!$I:$AT, MATCH(M81, Variablen!$A:$A, 0), MATCH((YEAR(D81)+3), Variablen!$I$3:$AT$3, 0))),L81)))*(IF((YEAR(D81)+3)&lt;YEAR(E81),0,IF((YEAR(D81)+3)&gt;YEAR(E81),1,(12-MONTH(E81)+1)/12))) + (Q81)*(IF((YEAR(D81)+3)&lt;YEAR(E81),0,IF((YEAR(D81)+3)&gt;YEAR(E81),1,(12-MONTH(E81)+1)/12))))-((P81)*(IF((YEAR(D81)+3)&lt;YEAR(E81),0,IF((YEAR(D81)+3)&gt;YEAR(E81),1,(12-MONTH(E81)+1)/12))) + (R81)*(IF((YEAR(D81)+3)&lt;YEAR(E81),0,IF((YEAR(D81)+3)&gt;YEAR(E81),1,(12-MONTH(E81)+1)/12))))-(IF(OR(N81="",N81&lt;=0),0,(O81/N81)*(IF(OR(N81="",N81&lt;=0),0,IF((YEAR(D81)+3)&lt;YEAR(E81),0,IF((YEAR(D81)+3)&gt;=YEAR(E81)+N81,0,IF((YEAR(D81)+3)=YEAR(E81),(12-MONTH(E81)+1)/12,1))))))))&gt;0,(((K81)*(IF(M81="",L81,IFERROR(IF(INDEX(Variablen!$I:$AT, MATCH(M81, Variablen!$A:$A, 0), MATCH((YEAR(D81)+3), Variablen!$I$3:$AT$3, 0))="",L81,INDEX(Variablen!$I:$AT, MATCH(M81, Variablen!$A:$A, 0), MATCH((YEAR(D81)+3), Variablen!$I$3:$AT$3, 0))),L81)))*(IF((YEAR(D81)+3)&lt;YEAR(E81),0,IF((YEAR(D81)+3)&gt;YEAR(E81),1,(12-MONTH(E81)+1)/12))) + (Q81)*(IF((YEAR(D81)+3)&lt;YEAR(E81),0,IF((YEAR(D81)+3)&gt;YEAR(E81),1,(12-MONTH(E81)+1)/12))))-((P81)*(IF((YEAR(D81)+3)&lt;YEAR(E81),0,IF((YEAR(D81)+3)&gt;YEAR(E81),1,(12-MONTH(E81)+1)/12))) + (R81)*(IF((YEAR(D81)+3)&lt;YEAR(E81),0,IF((YEAR(D81)+3)&gt;YEAR(E81),1,(12-MONTH(E81)+1)/12))))-(IF(OR(N81="",N81&lt;=0),0,(O81/N81)*(IF(OR(N81="",N81&lt;=0),0,IF((YEAR(D81)+3)&lt;YEAR(E81),0,IF((YEAR(D81)+3)&gt;=YEAR(E81)+N81,0,IF((YEAR(D81)+3)=YEAR(E81),(12-MONTH(E81)+1)/12,1))))))))*TaxRate,0))-IF(3=0,O81,0))</f>
        <v/>
      </c>
      <c r="W81" s="29">
        <f>IF(A81="","",((K81)*(IF(M81="",L81,IFERROR(IF(INDEX(Variablen!$I:$AT, MATCH(M81, Variablen!$A:$A, 0), MATCH((YEAR(D81)+4), Variablen!$I$3:$AT$3, 0))="",L81,INDEX(Variablen!$I:$AT, MATCH(M81, Variablen!$A:$A, 0), MATCH((YEAR(D81)+4), Variablen!$I$3:$AT$3, 0))),L81)))*(IF((YEAR(D81)+4)&lt;YEAR(E81),0,IF((YEAR(D81)+4)&gt;YEAR(E81),1,(12-MONTH(E81)+1)/12))) + (Q81)*(IF((YEAR(D81)+4)&lt;YEAR(E81),0,IF((YEAR(D81)+4)&gt;YEAR(E81),1,(12-MONTH(E81)+1)/12))))-((P81)*(IF((YEAR(D81)+4)&lt;YEAR(E81),0,IF((YEAR(D81)+4)&gt;YEAR(E81),1,(12-MONTH(E81)+1)/12))) + (R81)*(IF((YEAR(D81)+4)&lt;YEAR(E81),0,IF((YEAR(D81)+4)&gt;YEAR(E81),1,(12-MONTH(E81)+1)/12))))-(IF((((K81)*(IF(M81="",L81,IFERROR(IF(INDEX(Variablen!$I:$AT, MATCH(M81, Variablen!$A:$A, 0), MATCH((YEAR(D81)+4), Variablen!$I$3:$AT$3, 0))="",L81,INDEX(Variablen!$I:$AT, MATCH(M81, Variablen!$A:$A, 0), MATCH((YEAR(D81)+4), Variablen!$I$3:$AT$3, 0))),L81)))*(IF((YEAR(D81)+4)&lt;YEAR(E81),0,IF((YEAR(D81)+4)&gt;YEAR(E81),1,(12-MONTH(E81)+1)/12))) + (Q81)*(IF((YEAR(D81)+4)&lt;YEAR(E81),0,IF((YEAR(D81)+4)&gt;YEAR(E81),1,(12-MONTH(E81)+1)/12))))-((P81)*(IF((YEAR(D81)+4)&lt;YEAR(E81),0,IF((YEAR(D81)+4)&gt;YEAR(E81),1,(12-MONTH(E81)+1)/12))) + (R81)*(IF((YEAR(D81)+4)&lt;YEAR(E81),0,IF((YEAR(D81)+4)&gt;YEAR(E81),1,(12-MONTH(E81)+1)/12))))-(IF(OR(N81="",N81&lt;=0),0,(O81/N81)*(IF(OR(N81="",N81&lt;=0),0,IF((YEAR(D81)+4)&lt;YEAR(E81),0,IF((YEAR(D81)+4)&gt;=YEAR(E81)+N81,0,IF((YEAR(D81)+4)=YEAR(E81),(12-MONTH(E81)+1)/12,1))))))))&gt;0,(((K81)*(IF(M81="",L81,IFERROR(IF(INDEX(Variablen!$I:$AT, MATCH(M81, Variablen!$A:$A, 0), MATCH((YEAR(D81)+4), Variablen!$I$3:$AT$3, 0))="",L81,INDEX(Variablen!$I:$AT, MATCH(M81, Variablen!$A:$A, 0), MATCH((YEAR(D81)+4), Variablen!$I$3:$AT$3, 0))),L81)))*(IF((YEAR(D81)+4)&lt;YEAR(E81),0,IF((YEAR(D81)+4)&gt;YEAR(E81),1,(12-MONTH(E81)+1)/12))) + (Q81)*(IF((YEAR(D81)+4)&lt;YEAR(E81),0,IF((YEAR(D81)+4)&gt;YEAR(E81),1,(12-MONTH(E81)+1)/12))))-((P81)*(IF((YEAR(D81)+4)&lt;YEAR(E81),0,IF((YEAR(D81)+4)&gt;YEAR(E81),1,(12-MONTH(E81)+1)/12))) + (R81)*(IF((YEAR(D81)+4)&lt;YEAR(E81),0,IF((YEAR(D81)+4)&gt;YEAR(E81),1,(12-MONTH(E81)+1)/12))))-(IF(OR(N81="",N81&lt;=0),0,(O81/N81)*(IF(OR(N81="",N81&lt;=0),0,IF((YEAR(D81)+4)&lt;YEAR(E81),0,IF((YEAR(D81)+4)&gt;=YEAR(E81)+N81,0,IF((YEAR(D81)+4)=YEAR(E81),(12-MONTH(E81)+1)/12,1))))))))*TaxRate,0))-IF(4=0,O81,0))</f>
        <v/>
      </c>
      <c r="X81" s="29">
        <f>IF(A81="","",((K81)*(IF(M81="",L81,IFERROR(IF(INDEX(Variablen!$I:$AT, MATCH(M81, Variablen!$A:$A, 0), MATCH((YEAR(D81)+5), Variablen!$I$3:$AT$3, 0))="",L81,INDEX(Variablen!$I:$AT, MATCH(M81, Variablen!$A:$A, 0), MATCH((YEAR(D81)+5), Variablen!$I$3:$AT$3, 0))),L81)))*(IF((YEAR(D81)+5)&lt;YEAR(E81),0,IF((YEAR(D81)+5)&gt;YEAR(E81),1,(12-MONTH(E81)+1)/12))) + (Q81)*(IF((YEAR(D81)+5)&lt;YEAR(E81),0,IF((YEAR(D81)+5)&gt;YEAR(E81),1,(12-MONTH(E81)+1)/12))))-((P81)*(IF((YEAR(D81)+5)&lt;YEAR(E81),0,IF((YEAR(D81)+5)&gt;YEAR(E81),1,(12-MONTH(E81)+1)/12))) + (R81)*(IF((YEAR(D81)+5)&lt;YEAR(E81),0,IF((YEAR(D81)+5)&gt;YEAR(E81),1,(12-MONTH(E81)+1)/12))))-(IF((((K81)*(IF(M81="",L81,IFERROR(IF(INDEX(Variablen!$I:$AT, MATCH(M81, Variablen!$A:$A, 0), MATCH((YEAR(D81)+5), Variablen!$I$3:$AT$3, 0))="",L81,INDEX(Variablen!$I:$AT, MATCH(M81, Variablen!$A:$A, 0), MATCH((YEAR(D81)+5), Variablen!$I$3:$AT$3, 0))),L81)))*(IF((YEAR(D81)+5)&lt;YEAR(E81),0,IF((YEAR(D81)+5)&gt;YEAR(E81),1,(12-MONTH(E81)+1)/12))) + (Q81)*(IF((YEAR(D81)+5)&lt;YEAR(E81),0,IF((YEAR(D81)+5)&gt;YEAR(E81),1,(12-MONTH(E81)+1)/12))))-((P81)*(IF((YEAR(D81)+5)&lt;YEAR(E81),0,IF((YEAR(D81)+5)&gt;YEAR(E81),1,(12-MONTH(E81)+1)/12))) + (R81)*(IF((YEAR(D81)+5)&lt;YEAR(E81),0,IF((YEAR(D81)+5)&gt;YEAR(E81),1,(12-MONTH(E81)+1)/12))))-(IF(OR(N81="",N81&lt;=0),0,(O81/N81)*(IF(OR(N81="",N81&lt;=0),0,IF((YEAR(D81)+5)&lt;YEAR(E81),0,IF((YEAR(D81)+5)&gt;=YEAR(E81)+N81,0,IF((YEAR(D81)+5)=YEAR(E81),(12-MONTH(E81)+1)/12,1))))))))&gt;0,(((K81)*(IF(M81="",L81,IFERROR(IF(INDEX(Variablen!$I:$AT, MATCH(M81, Variablen!$A:$A, 0), MATCH((YEAR(D81)+5), Variablen!$I$3:$AT$3, 0))="",L81,INDEX(Variablen!$I:$AT, MATCH(M81, Variablen!$A:$A, 0), MATCH((YEAR(D81)+5), Variablen!$I$3:$AT$3, 0))),L81)))*(IF((YEAR(D81)+5)&lt;YEAR(E81),0,IF((YEAR(D81)+5)&gt;YEAR(E81),1,(12-MONTH(E81)+1)/12))) + (Q81)*(IF((YEAR(D81)+5)&lt;YEAR(E81),0,IF((YEAR(D81)+5)&gt;YEAR(E81),1,(12-MONTH(E81)+1)/12))))-((P81)*(IF((YEAR(D81)+5)&lt;YEAR(E81),0,IF((YEAR(D81)+5)&gt;YEAR(E81),1,(12-MONTH(E81)+1)/12))) + (R81)*(IF((YEAR(D81)+5)&lt;YEAR(E81),0,IF((YEAR(D81)+5)&gt;YEAR(E81),1,(12-MONTH(E81)+1)/12))))-(IF(OR(N81="",N81&lt;=0),0,(O81/N81)*(IF(OR(N81="",N81&lt;=0),0,IF((YEAR(D81)+5)&lt;YEAR(E81),0,IF((YEAR(D81)+5)&gt;=YEAR(E81)+N81,0,IF((YEAR(D81)+5)=YEAR(E81),(12-MONTH(E81)+1)/12,1))))))))*TaxRate,0))-IF(5=0,O81,0))</f>
        <v/>
      </c>
      <c r="Y81" s="29">
        <f>IF(A81="","",((K81)*(IF(M81="",L81,IFERROR(IF(INDEX(Variablen!$I:$AT, MATCH(M81, Variablen!$A:$A, 0), MATCH((YEAR(D81)+6), Variablen!$I$3:$AT$3, 0))="",L81,INDEX(Variablen!$I:$AT, MATCH(M81, Variablen!$A:$A, 0), MATCH((YEAR(D81)+6), Variablen!$I$3:$AT$3, 0))),L81)))*(IF((YEAR(D81)+6)&lt;YEAR(E81),0,IF((YEAR(D81)+6)&gt;YEAR(E81),1,(12-MONTH(E81)+1)/12))) + (Q81)*(IF((YEAR(D81)+6)&lt;YEAR(E81),0,IF((YEAR(D81)+6)&gt;YEAR(E81),1,(12-MONTH(E81)+1)/12))))-((P81)*(IF((YEAR(D81)+6)&lt;YEAR(E81),0,IF((YEAR(D81)+6)&gt;YEAR(E81),1,(12-MONTH(E81)+1)/12))) + (R81)*(IF((YEAR(D81)+6)&lt;YEAR(E81),0,IF((YEAR(D81)+6)&gt;YEAR(E81),1,(12-MONTH(E81)+1)/12))))-(IF((((K81)*(IF(M81="",L81,IFERROR(IF(INDEX(Variablen!$I:$AT, MATCH(M81, Variablen!$A:$A, 0), MATCH((YEAR(D81)+6), Variablen!$I$3:$AT$3, 0))="",L81,INDEX(Variablen!$I:$AT, MATCH(M81, Variablen!$A:$A, 0), MATCH((YEAR(D81)+6), Variablen!$I$3:$AT$3, 0))),L81)))*(IF((YEAR(D81)+6)&lt;YEAR(E81),0,IF((YEAR(D81)+6)&gt;YEAR(E81),1,(12-MONTH(E81)+1)/12))) + (Q81)*(IF((YEAR(D81)+6)&lt;YEAR(E81),0,IF((YEAR(D81)+6)&gt;YEAR(E81),1,(12-MONTH(E81)+1)/12))))-((P81)*(IF((YEAR(D81)+6)&lt;YEAR(E81),0,IF((YEAR(D81)+6)&gt;YEAR(E81),1,(12-MONTH(E81)+1)/12))) + (R81)*(IF((YEAR(D81)+6)&lt;YEAR(E81),0,IF((YEAR(D81)+6)&gt;YEAR(E81),1,(12-MONTH(E81)+1)/12))))-(IF(OR(N81="",N81&lt;=0),0,(O81/N81)*(IF(OR(N81="",N81&lt;=0),0,IF((YEAR(D81)+6)&lt;YEAR(E81),0,IF((YEAR(D81)+6)&gt;=YEAR(E81)+N81,0,IF((YEAR(D81)+6)=YEAR(E81),(12-MONTH(E81)+1)/12,1))))))))&gt;0,(((K81)*(IF(M81="",L81,IFERROR(IF(INDEX(Variablen!$I:$AT, MATCH(M81, Variablen!$A:$A, 0), MATCH((YEAR(D81)+6), Variablen!$I$3:$AT$3, 0))="",L81,INDEX(Variablen!$I:$AT, MATCH(M81, Variablen!$A:$A, 0), MATCH((YEAR(D81)+6), Variablen!$I$3:$AT$3, 0))),L81)))*(IF((YEAR(D81)+6)&lt;YEAR(E81),0,IF((YEAR(D81)+6)&gt;YEAR(E81),1,(12-MONTH(E81)+1)/12))) + (Q81)*(IF((YEAR(D81)+6)&lt;YEAR(E81),0,IF((YEAR(D81)+6)&gt;YEAR(E81),1,(12-MONTH(E81)+1)/12))))-((P81)*(IF((YEAR(D81)+6)&lt;YEAR(E81),0,IF((YEAR(D81)+6)&gt;YEAR(E81),1,(12-MONTH(E81)+1)/12))) + (R81)*(IF((YEAR(D81)+6)&lt;YEAR(E81),0,IF((YEAR(D81)+6)&gt;YEAR(E81),1,(12-MONTH(E81)+1)/12))))-(IF(OR(N81="",N81&lt;=0),0,(O81/N81)*(IF(OR(N81="",N81&lt;=0),0,IF((YEAR(D81)+6)&lt;YEAR(E81),0,IF((YEAR(D81)+6)&gt;=YEAR(E81)+N81,0,IF((YEAR(D81)+6)=YEAR(E81),(12-MONTH(E81)+1)/12,1))))))))*TaxRate,0))-IF(6=0,O81,0))</f>
        <v/>
      </c>
      <c r="Z81" s="29">
        <f>IF(A81="","",((K81)*(IF(M81="",L81,IFERROR(IF(INDEX(Variablen!$I:$AT, MATCH(M81, Variablen!$A:$A, 0), MATCH((YEAR(D81)+7), Variablen!$I$3:$AT$3, 0))="",L81,INDEX(Variablen!$I:$AT, MATCH(M81, Variablen!$A:$A, 0), MATCH((YEAR(D81)+7), Variablen!$I$3:$AT$3, 0))),L81)))*(IF((YEAR(D81)+7)&lt;YEAR(E81),0,IF((YEAR(D81)+7)&gt;YEAR(E81),1,(12-MONTH(E81)+1)/12))) + (Q81)*(IF((YEAR(D81)+7)&lt;YEAR(E81),0,IF((YEAR(D81)+7)&gt;YEAR(E81),1,(12-MONTH(E81)+1)/12))))-((P81)*(IF((YEAR(D81)+7)&lt;YEAR(E81),0,IF((YEAR(D81)+7)&gt;YEAR(E81),1,(12-MONTH(E81)+1)/12))) + (R81)*(IF((YEAR(D81)+7)&lt;YEAR(E81),0,IF((YEAR(D81)+7)&gt;YEAR(E81),1,(12-MONTH(E81)+1)/12))))-(IF((((K81)*(IF(M81="",L81,IFERROR(IF(INDEX(Variablen!$I:$AT, MATCH(M81, Variablen!$A:$A, 0), MATCH((YEAR(D81)+7), Variablen!$I$3:$AT$3, 0))="",L81,INDEX(Variablen!$I:$AT, MATCH(M81, Variablen!$A:$A, 0), MATCH((YEAR(D81)+7), Variablen!$I$3:$AT$3, 0))),L81)))*(IF((YEAR(D81)+7)&lt;YEAR(E81),0,IF((YEAR(D81)+7)&gt;YEAR(E81),1,(12-MONTH(E81)+1)/12))) + (Q81)*(IF((YEAR(D81)+7)&lt;YEAR(E81),0,IF((YEAR(D81)+7)&gt;YEAR(E81),1,(12-MONTH(E81)+1)/12))))-((P81)*(IF((YEAR(D81)+7)&lt;YEAR(E81),0,IF((YEAR(D81)+7)&gt;YEAR(E81),1,(12-MONTH(E81)+1)/12))) + (R81)*(IF((YEAR(D81)+7)&lt;YEAR(E81),0,IF((YEAR(D81)+7)&gt;YEAR(E81),1,(12-MONTH(E81)+1)/12))))-(IF(OR(N81="",N81&lt;=0),0,(O81/N81)*(IF(OR(N81="",N81&lt;=0),0,IF((YEAR(D81)+7)&lt;YEAR(E81),0,IF((YEAR(D81)+7)&gt;=YEAR(E81)+N81,0,IF((YEAR(D81)+7)=YEAR(E81),(12-MONTH(E81)+1)/12,1))))))))&gt;0,(((K81)*(IF(M81="",L81,IFERROR(IF(INDEX(Variablen!$I:$AT, MATCH(M81, Variablen!$A:$A, 0), MATCH((YEAR(D81)+7), Variablen!$I$3:$AT$3, 0))="",L81,INDEX(Variablen!$I:$AT, MATCH(M81, Variablen!$A:$A, 0), MATCH((YEAR(D81)+7), Variablen!$I$3:$AT$3, 0))),L81)))*(IF((YEAR(D81)+7)&lt;YEAR(E81),0,IF((YEAR(D81)+7)&gt;YEAR(E81),1,(12-MONTH(E81)+1)/12))) + (Q81)*(IF((YEAR(D81)+7)&lt;YEAR(E81),0,IF((YEAR(D81)+7)&gt;YEAR(E81),1,(12-MONTH(E81)+1)/12))))-((P81)*(IF((YEAR(D81)+7)&lt;YEAR(E81),0,IF((YEAR(D81)+7)&gt;YEAR(E81),1,(12-MONTH(E81)+1)/12))) + (R81)*(IF((YEAR(D81)+7)&lt;YEAR(E81),0,IF((YEAR(D81)+7)&gt;YEAR(E81),1,(12-MONTH(E81)+1)/12))))-(IF(OR(N81="",N81&lt;=0),0,(O81/N81)*(IF(OR(N81="",N81&lt;=0),0,IF((YEAR(D81)+7)&lt;YEAR(E81),0,IF((YEAR(D81)+7)&gt;=YEAR(E81)+N81,0,IF((YEAR(D81)+7)=YEAR(E81),(12-MONTH(E81)+1)/12,1))))))))*TaxRate,0))-IF(7=0,O81,0))</f>
        <v/>
      </c>
      <c r="AA81" s="29">
        <f>IF(A81="","",((K81)*(IF(M81="",L81,IFERROR(IF(INDEX(Variablen!$I:$AT, MATCH(M81, Variablen!$A:$A, 0), MATCH((YEAR(D81)+8), Variablen!$I$3:$AT$3, 0))="",L81,INDEX(Variablen!$I:$AT, MATCH(M81, Variablen!$A:$A, 0), MATCH((YEAR(D81)+8), Variablen!$I$3:$AT$3, 0))),L81)))*(IF((YEAR(D81)+8)&lt;YEAR(E81),0,IF((YEAR(D81)+8)&gt;YEAR(E81),1,(12-MONTH(E81)+1)/12))) + (Q81)*(IF((YEAR(D81)+8)&lt;YEAR(E81),0,IF((YEAR(D81)+8)&gt;YEAR(E81),1,(12-MONTH(E81)+1)/12))))-((P81)*(IF((YEAR(D81)+8)&lt;YEAR(E81),0,IF((YEAR(D81)+8)&gt;YEAR(E81),1,(12-MONTH(E81)+1)/12))) + (R81)*(IF((YEAR(D81)+8)&lt;YEAR(E81),0,IF((YEAR(D81)+8)&gt;YEAR(E81),1,(12-MONTH(E81)+1)/12))))-(IF((((K81)*(IF(M81="",L81,IFERROR(IF(INDEX(Variablen!$I:$AT, MATCH(M81, Variablen!$A:$A, 0), MATCH((YEAR(D81)+8), Variablen!$I$3:$AT$3, 0))="",L81,INDEX(Variablen!$I:$AT, MATCH(M81, Variablen!$A:$A, 0), MATCH((YEAR(D81)+8), Variablen!$I$3:$AT$3, 0))),L81)))*(IF((YEAR(D81)+8)&lt;YEAR(E81),0,IF((YEAR(D81)+8)&gt;YEAR(E81),1,(12-MONTH(E81)+1)/12))) + (Q81)*(IF((YEAR(D81)+8)&lt;YEAR(E81),0,IF((YEAR(D81)+8)&gt;YEAR(E81),1,(12-MONTH(E81)+1)/12))))-((P81)*(IF((YEAR(D81)+8)&lt;YEAR(E81),0,IF((YEAR(D81)+8)&gt;YEAR(E81),1,(12-MONTH(E81)+1)/12))) + (R81)*(IF((YEAR(D81)+8)&lt;YEAR(E81),0,IF((YEAR(D81)+8)&gt;YEAR(E81),1,(12-MONTH(E81)+1)/12))))-(IF(OR(N81="",N81&lt;=0),0,(O81/N81)*(IF(OR(N81="",N81&lt;=0),0,IF((YEAR(D81)+8)&lt;YEAR(E81),0,IF((YEAR(D81)+8)&gt;=YEAR(E81)+N81,0,IF((YEAR(D81)+8)=YEAR(E81),(12-MONTH(E81)+1)/12,1))))))))&gt;0,(((K81)*(IF(M81="",L81,IFERROR(IF(INDEX(Variablen!$I:$AT, MATCH(M81, Variablen!$A:$A, 0), MATCH((YEAR(D81)+8), Variablen!$I$3:$AT$3, 0))="",L81,INDEX(Variablen!$I:$AT, MATCH(M81, Variablen!$A:$A, 0), MATCH((YEAR(D81)+8), Variablen!$I$3:$AT$3, 0))),L81)))*(IF((YEAR(D81)+8)&lt;YEAR(E81),0,IF((YEAR(D81)+8)&gt;YEAR(E81),1,(12-MONTH(E81)+1)/12))) + (Q81)*(IF((YEAR(D81)+8)&lt;YEAR(E81),0,IF((YEAR(D81)+8)&gt;YEAR(E81),1,(12-MONTH(E81)+1)/12))))-((P81)*(IF((YEAR(D81)+8)&lt;YEAR(E81),0,IF((YEAR(D81)+8)&gt;YEAR(E81),1,(12-MONTH(E81)+1)/12))) + (R81)*(IF((YEAR(D81)+8)&lt;YEAR(E81),0,IF((YEAR(D81)+8)&gt;YEAR(E81),1,(12-MONTH(E81)+1)/12))))-(IF(OR(N81="",N81&lt;=0),0,(O81/N81)*(IF(OR(N81="",N81&lt;=0),0,IF((YEAR(D81)+8)&lt;YEAR(E81),0,IF((YEAR(D81)+8)&gt;=YEAR(E81)+N81,0,IF((YEAR(D81)+8)=YEAR(E81),(12-MONTH(E81)+1)/12,1))))))))*TaxRate,0))-IF(8=0,O81,0))</f>
        <v/>
      </c>
      <c r="AB81" s="29">
        <f>IF(A81="","",((K81)*(IF(M81="",L81,IFERROR(IF(INDEX(Variablen!$I:$AT, MATCH(M81, Variablen!$A:$A, 0), MATCH((YEAR(D81)+9), Variablen!$I$3:$AT$3, 0))="",L81,INDEX(Variablen!$I:$AT, MATCH(M81, Variablen!$A:$A, 0), MATCH((YEAR(D81)+9), Variablen!$I$3:$AT$3, 0))),L81)))*(IF((YEAR(D81)+9)&lt;YEAR(E81),0,IF((YEAR(D81)+9)&gt;YEAR(E81),1,(12-MONTH(E81)+1)/12))) + (Q81)*(IF((YEAR(D81)+9)&lt;YEAR(E81),0,IF((YEAR(D81)+9)&gt;YEAR(E81),1,(12-MONTH(E81)+1)/12))))-((P81)*(IF((YEAR(D81)+9)&lt;YEAR(E81),0,IF((YEAR(D81)+9)&gt;YEAR(E81),1,(12-MONTH(E81)+1)/12))) + (R81)*(IF((YEAR(D81)+9)&lt;YEAR(E81),0,IF((YEAR(D81)+9)&gt;YEAR(E81),1,(12-MONTH(E81)+1)/12))))-(IF((((K81)*(IF(M81="",L81,IFERROR(IF(INDEX(Variablen!$I:$AT, MATCH(M81, Variablen!$A:$A, 0), MATCH((YEAR(D81)+9), Variablen!$I$3:$AT$3, 0))="",L81,INDEX(Variablen!$I:$AT, MATCH(M81, Variablen!$A:$A, 0), MATCH((YEAR(D81)+9), Variablen!$I$3:$AT$3, 0))),L81)))*(IF((YEAR(D81)+9)&lt;YEAR(E81),0,IF((YEAR(D81)+9)&gt;YEAR(E81),1,(12-MONTH(E81)+1)/12))) + (Q81)*(IF((YEAR(D81)+9)&lt;YEAR(E81),0,IF((YEAR(D81)+9)&gt;YEAR(E81),1,(12-MONTH(E81)+1)/12))))-((P81)*(IF((YEAR(D81)+9)&lt;YEAR(E81),0,IF((YEAR(D81)+9)&gt;YEAR(E81),1,(12-MONTH(E81)+1)/12))) + (R81)*(IF((YEAR(D81)+9)&lt;YEAR(E81),0,IF((YEAR(D81)+9)&gt;YEAR(E81),1,(12-MONTH(E81)+1)/12))))-(IF(OR(N81="",N81&lt;=0),0,(O81/N81)*(IF(OR(N81="",N81&lt;=0),0,IF((YEAR(D81)+9)&lt;YEAR(E81),0,IF((YEAR(D81)+9)&gt;=YEAR(E81)+N81,0,IF((YEAR(D81)+9)=YEAR(E81),(12-MONTH(E81)+1)/12,1))))))))&gt;0,(((K81)*(IF(M81="",L81,IFERROR(IF(INDEX(Variablen!$I:$AT, MATCH(M81, Variablen!$A:$A, 0), MATCH((YEAR(D81)+9), Variablen!$I$3:$AT$3, 0))="",L81,INDEX(Variablen!$I:$AT, MATCH(M81, Variablen!$A:$A, 0), MATCH((YEAR(D81)+9), Variablen!$I$3:$AT$3, 0))),L81)))*(IF((YEAR(D81)+9)&lt;YEAR(E81),0,IF((YEAR(D81)+9)&gt;YEAR(E81),1,(12-MONTH(E81)+1)/12))) + (Q81)*(IF((YEAR(D81)+9)&lt;YEAR(E81),0,IF((YEAR(D81)+9)&gt;YEAR(E81),1,(12-MONTH(E81)+1)/12))))-((P81)*(IF((YEAR(D81)+9)&lt;YEAR(E81),0,IF((YEAR(D81)+9)&gt;YEAR(E81),1,(12-MONTH(E81)+1)/12))) + (R81)*(IF((YEAR(D81)+9)&lt;YEAR(E81),0,IF((YEAR(D81)+9)&gt;YEAR(E81),1,(12-MONTH(E81)+1)/12))))-(IF(OR(N81="",N81&lt;=0),0,(O81/N81)*(IF(OR(N81="",N81&lt;=0),0,IF((YEAR(D81)+9)&lt;YEAR(E81),0,IF((YEAR(D81)+9)&gt;=YEAR(E81)+N81,0,IF((YEAR(D81)+9)=YEAR(E81),(12-MONTH(E81)+1)/12,1))))))))*TaxRate,0))-IF(9=0,O81,0))</f>
        <v/>
      </c>
      <c r="AC81" s="29">
        <f>IF(A81="","",((K81)*(IF(M81="",L81,IFERROR(IF(INDEX(Variablen!$I:$AT, MATCH(M81, Variablen!$A:$A, 0), MATCH((YEAR(D81)+10), Variablen!$I$3:$AT$3, 0))="",L81,INDEX(Variablen!$I:$AT, MATCH(M81, Variablen!$A:$A, 0), MATCH((YEAR(D81)+10), Variablen!$I$3:$AT$3, 0))),L81)))*(IF((YEAR(D81)+10)&lt;YEAR(E81),0,IF((YEAR(D81)+10)&gt;YEAR(E81),1,(12-MONTH(E81)+1)/12))) + (Q81)*(IF((YEAR(D81)+10)&lt;YEAR(E81),0,IF((YEAR(D81)+10)&gt;YEAR(E81),1,(12-MONTH(E81)+1)/12))))-((P81)*(IF((YEAR(D81)+10)&lt;YEAR(E81),0,IF((YEAR(D81)+10)&gt;YEAR(E81),1,(12-MONTH(E81)+1)/12))) + (R81)*(IF((YEAR(D81)+10)&lt;YEAR(E81),0,IF((YEAR(D81)+10)&gt;YEAR(E81),1,(12-MONTH(E81)+1)/12))))-(IF((((K81)*(IF(M81="",L81,IFERROR(IF(INDEX(Variablen!$I:$AT, MATCH(M81, Variablen!$A:$A, 0), MATCH((YEAR(D81)+10), Variablen!$I$3:$AT$3, 0))="",L81,INDEX(Variablen!$I:$AT, MATCH(M81, Variablen!$A:$A, 0), MATCH((YEAR(D81)+10), Variablen!$I$3:$AT$3, 0))),L81)))*(IF((YEAR(D81)+10)&lt;YEAR(E81),0,IF((YEAR(D81)+10)&gt;YEAR(E81),1,(12-MONTH(E81)+1)/12))) + (Q81)*(IF((YEAR(D81)+10)&lt;YEAR(E81),0,IF((YEAR(D81)+10)&gt;YEAR(E81),1,(12-MONTH(E81)+1)/12))))-((P81)*(IF((YEAR(D81)+10)&lt;YEAR(E81),0,IF((YEAR(D81)+10)&gt;YEAR(E81),1,(12-MONTH(E81)+1)/12))) + (R81)*(IF((YEAR(D81)+10)&lt;YEAR(E81),0,IF((YEAR(D81)+10)&gt;YEAR(E81),1,(12-MONTH(E81)+1)/12))))-(IF(OR(N81="",N81&lt;=0),0,(O81/N81)*(IF(OR(N81="",N81&lt;=0),0,IF((YEAR(D81)+10)&lt;YEAR(E81),0,IF((YEAR(D81)+10)&gt;=YEAR(E81)+N81,0,IF((YEAR(D81)+10)=YEAR(E81),(12-MONTH(E81)+1)/12,1))))))))&gt;0,(((K81)*(IF(M81="",L81,IFERROR(IF(INDEX(Variablen!$I:$AT, MATCH(M81, Variablen!$A:$A, 0), MATCH((YEAR(D81)+10), Variablen!$I$3:$AT$3, 0))="",L81,INDEX(Variablen!$I:$AT, MATCH(M81, Variablen!$A:$A, 0), MATCH((YEAR(D81)+10), Variablen!$I$3:$AT$3, 0))),L81)))*(IF((YEAR(D81)+10)&lt;YEAR(E81),0,IF((YEAR(D81)+10)&gt;YEAR(E81),1,(12-MONTH(E81)+1)/12))) + (Q81)*(IF((YEAR(D81)+10)&lt;YEAR(E81),0,IF((YEAR(D81)+10)&gt;YEAR(E81),1,(12-MONTH(E81)+1)/12))))-((P81)*(IF((YEAR(D81)+10)&lt;YEAR(E81),0,IF((YEAR(D81)+10)&gt;YEAR(E81),1,(12-MONTH(E81)+1)/12))) + (R81)*(IF((YEAR(D81)+10)&lt;YEAR(E81),0,IF((YEAR(D81)+10)&gt;YEAR(E81),1,(12-MONTH(E81)+1)/12))))-(IF(OR(N81="",N81&lt;=0),0,(O81/N81)*(IF(OR(N81="",N81&lt;=0),0,IF((YEAR(D81)+10)&lt;YEAR(E81),0,IF((YEAR(D81)+10)&gt;=YEAR(E81)+N81,0,IF((YEAR(D81)+10)=YEAR(E81),(12-MONTH(E81)+1)/12,1))))))))*TaxRate,0))-IF(10=0,O81,0))</f>
        <v/>
      </c>
      <c r="AD81" s="29">
        <f>IF(A81="","",((K81)*(IF(M81="",L81,IFERROR(IF(INDEX(Variablen!$I:$AT, MATCH(M81, Variablen!$A:$A, 0), MATCH((YEAR(D81)+11), Variablen!$I$3:$AT$3, 0))="",L81,INDEX(Variablen!$I:$AT, MATCH(M81, Variablen!$A:$A, 0), MATCH((YEAR(D81)+11), Variablen!$I$3:$AT$3, 0))),L81)))*(IF((YEAR(D81)+11)&lt;YEAR(E81),0,IF((YEAR(D81)+11)&gt;YEAR(E81),1,(12-MONTH(E81)+1)/12))) + (Q81)*(IF((YEAR(D81)+11)&lt;YEAR(E81),0,IF((YEAR(D81)+11)&gt;YEAR(E81),1,(12-MONTH(E81)+1)/12))))-((P81)*(IF((YEAR(D81)+11)&lt;YEAR(E81),0,IF((YEAR(D81)+11)&gt;YEAR(E81),1,(12-MONTH(E81)+1)/12))) + (R81)*(IF((YEAR(D81)+11)&lt;YEAR(E81),0,IF((YEAR(D81)+11)&gt;YEAR(E81),1,(12-MONTH(E81)+1)/12))))-(IF((((K81)*(IF(M81="",L81,IFERROR(IF(INDEX(Variablen!$I:$AT, MATCH(M81, Variablen!$A:$A, 0), MATCH((YEAR(D81)+11), Variablen!$I$3:$AT$3, 0))="",L81,INDEX(Variablen!$I:$AT, MATCH(M81, Variablen!$A:$A, 0), MATCH((YEAR(D81)+11), Variablen!$I$3:$AT$3, 0))),L81)))*(IF((YEAR(D81)+11)&lt;YEAR(E81),0,IF((YEAR(D81)+11)&gt;YEAR(E81),1,(12-MONTH(E81)+1)/12))) + (Q81)*(IF((YEAR(D81)+11)&lt;YEAR(E81),0,IF((YEAR(D81)+11)&gt;YEAR(E81),1,(12-MONTH(E81)+1)/12))))-((P81)*(IF((YEAR(D81)+11)&lt;YEAR(E81),0,IF((YEAR(D81)+11)&gt;YEAR(E81),1,(12-MONTH(E81)+1)/12))) + (R81)*(IF((YEAR(D81)+11)&lt;YEAR(E81),0,IF((YEAR(D81)+11)&gt;YEAR(E81),1,(12-MONTH(E81)+1)/12))))-(IF(OR(N81="",N81&lt;=0),0,(O81/N81)*(IF(OR(N81="",N81&lt;=0),0,IF((YEAR(D81)+11)&lt;YEAR(E81),0,IF((YEAR(D81)+11)&gt;=YEAR(E81)+N81,0,IF((YEAR(D81)+11)=YEAR(E81),(12-MONTH(E81)+1)/12,1))))))))&gt;0,(((K81)*(IF(M81="",L81,IFERROR(IF(INDEX(Variablen!$I:$AT, MATCH(M81, Variablen!$A:$A, 0), MATCH((YEAR(D81)+11), Variablen!$I$3:$AT$3, 0))="",L81,INDEX(Variablen!$I:$AT, MATCH(M81, Variablen!$A:$A, 0), MATCH((YEAR(D81)+11), Variablen!$I$3:$AT$3, 0))),L81)))*(IF((YEAR(D81)+11)&lt;YEAR(E81),0,IF((YEAR(D81)+11)&gt;YEAR(E81),1,(12-MONTH(E81)+1)/12))) + (Q81)*(IF((YEAR(D81)+11)&lt;YEAR(E81),0,IF((YEAR(D81)+11)&gt;YEAR(E81),1,(12-MONTH(E81)+1)/12))))-((P81)*(IF((YEAR(D81)+11)&lt;YEAR(E81),0,IF((YEAR(D81)+11)&gt;YEAR(E81),1,(12-MONTH(E81)+1)/12))) + (R81)*(IF((YEAR(D81)+11)&lt;YEAR(E81),0,IF((YEAR(D81)+11)&gt;YEAR(E81),1,(12-MONTH(E81)+1)/12))))-(IF(OR(N81="",N81&lt;=0),0,(O81/N81)*(IF(OR(N81="",N81&lt;=0),0,IF((YEAR(D81)+11)&lt;YEAR(E81),0,IF((YEAR(D81)+11)&gt;=YEAR(E81)+N81,0,IF((YEAR(D81)+11)=YEAR(E81),(12-MONTH(E81)+1)/12,1))))))))*TaxRate,0))-IF(11=0,O81,0))</f>
        <v/>
      </c>
      <c r="AE81" s="29">
        <f>IF(A81="","",((K81)*(IF(M81="",L81,IFERROR(IF(INDEX(Variablen!$I:$AT, MATCH(M81, Variablen!$A:$A, 0), MATCH((YEAR(D81)+12), Variablen!$I$3:$AT$3, 0))="",L81,INDEX(Variablen!$I:$AT, MATCH(M81, Variablen!$A:$A, 0), MATCH((YEAR(D81)+12), Variablen!$I$3:$AT$3, 0))),L81)))*(IF((YEAR(D81)+12)&lt;YEAR(E81),0,IF((YEAR(D81)+12)&gt;YEAR(E81),1,(12-MONTH(E81)+1)/12))) + (Q81)*(IF((YEAR(D81)+12)&lt;YEAR(E81),0,IF((YEAR(D81)+12)&gt;YEAR(E81),1,(12-MONTH(E81)+1)/12))))-((P81)*(IF((YEAR(D81)+12)&lt;YEAR(E81),0,IF((YEAR(D81)+12)&gt;YEAR(E81),1,(12-MONTH(E81)+1)/12))) + (R81)*(IF((YEAR(D81)+12)&lt;YEAR(E81),0,IF((YEAR(D81)+12)&gt;YEAR(E81),1,(12-MONTH(E81)+1)/12))))-(IF((((K81)*(IF(M81="",L81,IFERROR(IF(INDEX(Variablen!$I:$AT, MATCH(M81, Variablen!$A:$A, 0), MATCH((YEAR(D81)+12), Variablen!$I$3:$AT$3, 0))="",L81,INDEX(Variablen!$I:$AT, MATCH(M81, Variablen!$A:$A, 0), MATCH((YEAR(D81)+12), Variablen!$I$3:$AT$3, 0))),L81)))*(IF((YEAR(D81)+12)&lt;YEAR(E81),0,IF((YEAR(D81)+12)&gt;YEAR(E81),1,(12-MONTH(E81)+1)/12))) + (Q81)*(IF((YEAR(D81)+12)&lt;YEAR(E81),0,IF((YEAR(D81)+12)&gt;YEAR(E81),1,(12-MONTH(E81)+1)/12))))-((P81)*(IF((YEAR(D81)+12)&lt;YEAR(E81),0,IF((YEAR(D81)+12)&gt;YEAR(E81),1,(12-MONTH(E81)+1)/12))) + (R81)*(IF((YEAR(D81)+12)&lt;YEAR(E81),0,IF((YEAR(D81)+12)&gt;YEAR(E81),1,(12-MONTH(E81)+1)/12))))-(IF(OR(N81="",N81&lt;=0),0,(O81/N81)*(IF(OR(N81="",N81&lt;=0),0,IF((YEAR(D81)+12)&lt;YEAR(E81),0,IF((YEAR(D81)+12)&gt;=YEAR(E81)+N81,0,IF((YEAR(D81)+12)=YEAR(E81),(12-MONTH(E81)+1)/12,1))))))))&gt;0,(((K81)*(IF(M81="",L81,IFERROR(IF(INDEX(Variablen!$I:$AT, MATCH(M81, Variablen!$A:$A, 0), MATCH((YEAR(D81)+12), Variablen!$I$3:$AT$3, 0))="",L81,INDEX(Variablen!$I:$AT, MATCH(M81, Variablen!$A:$A, 0), MATCH((YEAR(D81)+12), Variablen!$I$3:$AT$3, 0))),L81)))*(IF((YEAR(D81)+12)&lt;YEAR(E81),0,IF((YEAR(D81)+12)&gt;YEAR(E81),1,(12-MONTH(E81)+1)/12))) + (Q81)*(IF((YEAR(D81)+12)&lt;YEAR(E81),0,IF((YEAR(D81)+12)&gt;YEAR(E81),1,(12-MONTH(E81)+1)/12))))-((P81)*(IF((YEAR(D81)+12)&lt;YEAR(E81),0,IF((YEAR(D81)+12)&gt;YEAR(E81),1,(12-MONTH(E81)+1)/12))) + (R81)*(IF((YEAR(D81)+12)&lt;YEAR(E81),0,IF((YEAR(D81)+12)&gt;YEAR(E81),1,(12-MONTH(E81)+1)/12))))-(IF(OR(N81="",N81&lt;=0),0,(O81/N81)*(IF(OR(N81="",N81&lt;=0),0,IF((YEAR(D81)+12)&lt;YEAR(E81),0,IF((YEAR(D81)+12)&gt;=YEAR(E81)+N81,0,IF((YEAR(D81)+12)=YEAR(E81),(12-MONTH(E81)+1)/12,1))))))))*TaxRate,0))-IF(12=0,O81,0))</f>
        <v/>
      </c>
      <c r="AF81" s="29">
        <f>IF(A81="","",((K81)*(IF(M81="",L81,IFERROR(IF(INDEX(Variablen!$I:$AT, MATCH(M81, Variablen!$A:$A, 0), MATCH((YEAR(D81)+13), Variablen!$I$3:$AT$3, 0))="",L81,INDEX(Variablen!$I:$AT, MATCH(M81, Variablen!$A:$A, 0), MATCH((YEAR(D81)+13), Variablen!$I$3:$AT$3, 0))),L81)))*(IF((YEAR(D81)+13)&lt;YEAR(E81),0,IF((YEAR(D81)+13)&gt;YEAR(E81),1,(12-MONTH(E81)+1)/12))) + (Q81)*(IF((YEAR(D81)+13)&lt;YEAR(E81),0,IF((YEAR(D81)+13)&gt;YEAR(E81),1,(12-MONTH(E81)+1)/12))))-((P81)*(IF((YEAR(D81)+13)&lt;YEAR(E81),0,IF((YEAR(D81)+13)&gt;YEAR(E81),1,(12-MONTH(E81)+1)/12))) + (R81)*(IF((YEAR(D81)+13)&lt;YEAR(E81),0,IF((YEAR(D81)+13)&gt;YEAR(E81),1,(12-MONTH(E81)+1)/12))))-(IF((((K81)*(IF(M81="",L81,IFERROR(IF(INDEX(Variablen!$I:$AT, MATCH(M81, Variablen!$A:$A, 0), MATCH((YEAR(D81)+13), Variablen!$I$3:$AT$3, 0))="",L81,INDEX(Variablen!$I:$AT, MATCH(M81, Variablen!$A:$A, 0), MATCH((YEAR(D81)+13), Variablen!$I$3:$AT$3, 0))),L81)))*(IF((YEAR(D81)+13)&lt;YEAR(E81),0,IF((YEAR(D81)+13)&gt;YEAR(E81),1,(12-MONTH(E81)+1)/12))) + (Q81)*(IF((YEAR(D81)+13)&lt;YEAR(E81),0,IF((YEAR(D81)+13)&gt;YEAR(E81),1,(12-MONTH(E81)+1)/12))))-((P81)*(IF((YEAR(D81)+13)&lt;YEAR(E81),0,IF((YEAR(D81)+13)&gt;YEAR(E81),1,(12-MONTH(E81)+1)/12))) + (R81)*(IF((YEAR(D81)+13)&lt;YEAR(E81),0,IF((YEAR(D81)+13)&gt;YEAR(E81),1,(12-MONTH(E81)+1)/12))))-(IF(OR(N81="",N81&lt;=0),0,(O81/N81)*(IF(OR(N81="",N81&lt;=0),0,IF((YEAR(D81)+13)&lt;YEAR(E81),0,IF((YEAR(D81)+13)&gt;=YEAR(E81)+N81,0,IF((YEAR(D81)+13)=YEAR(E81),(12-MONTH(E81)+1)/12,1))))))))&gt;0,(((K81)*(IF(M81="",L81,IFERROR(IF(INDEX(Variablen!$I:$AT, MATCH(M81, Variablen!$A:$A, 0), MATCH((YEAR(D81)+13), Variablen!$I$3:$AT$3, 0))="",L81,INDEX(Variablen!$I:$AT, MATCH(M81, Variablen!$A:$A, 0), MATCH((YEAR(D81)+13), Variablen!$I$3:$AT$3, 0))),L81)))*(IF((YEAR(D81)+13)&lt;YEAR(E81),0,IF((YEAR(D81)+13)&gt;YEAR(E81),1,(12-MONTH(E81)+1)/12))) + (Q81)*(IF((YEAR(D81)+13)&lt;YEAR(E81),0,IF((YEAR(D81)+13)&gt;YEAR(E81),1,(12-MONTH(E81)+1)/12))))-((P81)*(IF((YEAR(D81)+13)&lt;YEAR(E81),0,IF((YEAR(D81)+13)&gt;YEAR(E81),1,(12-MONTH(E81)+1)/12))) + (R81)*(IF((YEAR(D81)+13)&lt;YEAR(E81),0,IF((YEAR(D81)+13)&gt;YEAR(E81),1,(12-MONTH(E81)+1)/12))))-(IF(OR(N81="",N81&lt;=0),0,(O81/N81)*(IF(OR(N81="",N81&lt;=0),0,IF((YEAR(D81)+13)&lt;YEAR(E81),0,IF((YEAR(D81)+13)&gt;=YEAR(E81)+N81,0,IF((YEAR(D81)+13)=YEAR(E81),(12-MONTH(E81)+1)/12,1))))))))*TaxRate,0))-IF(13=0,O81,0))</f>
        <v/>
      </c>
      <c r="AG81" s="29">
        <f>IF(A81="","",((K81)*(IF(M81="",L81,IFERROR(IF(INDEX(Variablen!$I:$AT, MATCH(M81, Variablen!$A:$A, 0), MATCH((YEAR(D81)+14), Variablen!$I$3:$AT$3, 0))="",L81,INDEX(Variablen!$I:$AT, MATCH(M81, Variablen!$A:$A, 0), MATCH((YEAR(D81)+14), Variablen!$I$3:$AT$3, 0))),L81)))*(IF((YEAR(D81)+14)&lt;YEAR(E81),0,IF((YEAR(D81)+14)&gt;YEAR(E81),1,(12-MONTH(E81)+1)/12))) + (Q81)*(IF((YEAR(D81)+14)&lt;YEAR(E81),0,IF((YEAR(D81)+14)&gt;YEAR(E81),1,(12-MONTH(E81)+1)/12))))-((P81)*(IF((YEAR(D81)+14)&lt;YEAR(E81),0,IF((YEAR(D81)+14)&gt;YEAR(E81),1,(12-MONTH(E81)+1)/12))) + (R81)*(IF((YEAR(D81)+14)&lt;YEAR(E81),0,IF((YEAR(D81)+14)&gt;YEAR(E81),1,(12-MONTH(E81)+1)/12))))-(IF((((K81)*(IF(M81="",L81,IFERROR(IF(INDEX(Variablen!$I:$AT, MATCH(M81, Variablen!$A:$A, 0), MATCH((YEAR(D81)+14), Variablen!$I$3:$AT$3, 0))="",L81,INDEX(Variablen!$I:$AT, MATCH(M81, Variablen!$A:$A, 0), MATCH((YEAR(D81)+14), Variablen!$I$3:$AT$3, 0))),L81)))*(IF((YEAR(D81)+14)&lt;YEAR(E81),0,IF((YEAR(D81)+14)&gt;YEAR(E81),1,(12-MONTH(E81)+1)/12))) + (Q81)*(IF((YEAR(D81)+14)&lt;YEAR(E81),0,IF((YEAR(D81)+14)&gt;YEAR(E81),1,(12-MONTH(E81)+1)/12))))-((P81)*(IF((YEAR(D81)+14)&lt;YEAR(E81),0,IF((YEAR(D81)+14)&gt;YEAR(E81),1,(12-MONTH(E81)+1)/12))) + (R81)*(IF((YEAR(D81)+14)&lt;YEAR(E81),0,IF((YEAR(D81)+14)&gt;YEAR(E81),1,(12-MONTH(E81)+1)/12))))-(IF(OR(N81="",N81&lt;=0),0,(O81/N81)*(IF(OR(N81="",N81&lt;=0),0,IF((YEAR(D81)+14)&lt;YEAR(E81),0,IF((YEAR(D81)+14)&gt;=YEAR(E81)+N81,0,IF((YEAR(D81)+14)=YEAR(E81),(12-MONTH(E81)+1)/12,1))))))))&gt;0,(((K81)*(IF(M81="",L81,IFERROR(IF(INDEX(Variablen!$I:$AT, MATCH(M81, Variablen!$A:$A, 0), MATCH((YEAR(D81)+14), Variablen!$I$3:$AT$3, 0))="",L81,INDEX(Variablen!$I:$AT, MATCH(M81, Variablen!$A:$A, 0), MATCH((YEAR(D81)+14), Variablen!$I$3:$AT$3, 0))),L81)))*(IF((YEAR(D81)+14)&lt;YEAR(E81),0,IF((YEAR(D81)+14)&gt;YEAR(E81),1,(12-MONTH(E81)+1)/12))) + (Q81)*(IF((YEAR(D81)+14)&lt;YEAR(E81),0,IF((YEAR(D81)+14)&gt;YEAR(E81),1,(12-MONTH(E81)+1)/12))))-((P81)*(IF((YEAR(D81)+14)&lt;YEAR(E81),0,IF((YEAR(D81)+14)&gt;YEAR(E81),1,(12-MONTH(E81)+1)/12))) + (R81)*(IF((YEAR(D81)+14)&lt;YEAR(E81),0,IF((YEAR(D81)+14)&gt;YEAR(E81),1,(12-MONTH(E81)+1)/12))))-(IF(OR(N81="",N81&lt;=0),0,(O81/N81)*(IF(OR(N81="",N81&lt;=0),0,IF((YEAR(D81)+14)&lt;YEAR(E81),0,IF((YEAR(D81)+14)&gt;=YEAR(E81)+N81,0,IF((YEAR(D81)+14)=YEAR(E81),(12-MONTH(E81)+1)/12,1))))))))*TaxRate,0))-IF(14=0,O81,0))</f>
        <v/>
      </c>
      <c r="AH81" s="29">
        <f>IF(A81="","",((K81)*(IF(M81="",L81,IFERROR(IF(INDEX(Variablen!$I:$AT, MATCH(M81, Variablen!$A:$A, 0), MATCH((YEAR(D81)+15), Variablen!$I$3:$AT$3, 0))="",L81,INDEX(Variablen!$I:$AT, MATCH(M81, Variablen!$A:$A, 0), MATCH((YEAR(D81)+15), Variablen!$I$3:$AT$3, 0))),L81)))*(IF((YEAR(D81)+15)&lt;YEAR(E81),0,IF((YEAR(D81)+15)&gt;YEAR(E81),1,(12-MONTH(E81)+1)/12))) + (Q81)*(IF((YEAR(D81)+15)&lt;YEAR(E81),0,IF((YEAR(D81)+15)&gt;YEAR(E81),1,(12-MONTH(E81)+1)/12))))-((P81)*(IF((YEAR(D81)+15)&lt;YEAR(E81),0,IF((YEAR(D81)+15)&gt;YEAR(E81),1,(12-MONTH(E81)+1)/12))) + (R81)*(IF((YEAR(D81)+15)&lt;YEAR(E81),0,IF((YEAR(D81)+15)&gt;YEAR(E81),1,(12-MONTH(E81)+1)/12))))-(IF((((K81)*(IF(M81="",L81,IFERROR(IF(INDEX(Variablen!$I:$AT, MATCH(M81, Variablen!$A:$A, 0), MATCH((YEAR(D81)+15), Variablen!$I$3:$AT$3, 0))="",L81,INDEX(Variablen!$I:$AT, MATCH(M81, Variablen!$A:$A, 0), MATCH((YEAR(D81)+15), Variablen!$I$3:$AT$3, 0))),L81)))*(IF((YEAR(D81)+15)&lt;YEAR(E81),0,IF((YEAR(D81)+15)&gt;YEAR(E81),1,(12-MONTH(E81)+1)/12))) + (Q81)*(IF((YEAR(D81)+15)&lt;YEAR(E81),0,IF((YEAR(D81)+15)&gt;YEAR(E81),1,(12-MONTH(E81)+1)/12))))-((P81)*(IF((YEAR(D81)+15)&lt;YEAR(E81),0,IF((YEAR(D81)+15)&gt;YEAR(E81),1,(12-MONTH(E81)+1)/12))) + (R81)*(IF((YEAR(D81)+15)&lt;YEAR(E81),0,IF((YEAR(D81)+15)&gt;YEAR(E81),1,(12-MONTH(E81)+1)/12))))-(IF(OR(N81="",N81&lt;=0),0,(O81/N81)*(IF(OR(N81="",N81&lt;=0),0,IF((YEAR(D81)+15)&lt;YEAR(E81),0,IF((YEAR(D81)+15)&gt;=YEAR(E81)+N81,0,IF((YEAR(D81)+15)=YEAR(E81),(12-MONTH(E81)+1)/12,1))))))))&gt;0,(((K81)*(IF(M81="",L81,IFERROR(IF(INDEX(Variablen!$I:$AT, MATCH(M81, Variablen!$A:$A, 0), MATCH((YEAR(D81)+15), Variablen!$I$3:$AT$3, 0))="",L81,INDEX(Variablen!$I:$AT, MATCH(M81, Variablen!$A:$A, 0), MATCH((YEAR(D81)+15), Variablen!$I$3:$AT$3, 0))),L81)))*(IF((YEAR(D81)+15)&lt;YEAR(E81),0,IF((YEAR(D81)+15)&gt;YEAR(E81),1,(12-MONTH(E81)+1)/12))) + (Q81)*(IF((YEAR(D81)+15)&lt;YEAR(E81),0,IF((YEAR(D81)+15)&gt;YEAR(E81),1,(12-MONTH(E81)+1)/12))))-((P81)*(IF((YEAR(D81)+15)&lt;YEAR(E81),0,IF((YEAR(D81)+15)&gt;YEAR(E81),1,(12-MONTH(E81)+1)/12))) + (R81)*(IF((YEAR(D81)+15)&lt;YEAR(E81),0,IF((YEAR(D81)+15)&gt;YEAR(E81),1,(12-MONTH(E81)+1)/12))))-(IF(OR(N81="",N81&lt;=0),0,(O81/N81)*(IF(OR(N81="",N81&lt;=0),0,IF((YEAR(D81)+15)&lt;YEAR(E81),0,IF((YEAR(D81)+15)&gt;=YEAR(E81)+N81,0,IF((YEAR(D81)+15)=YEAR(E81),(12-MONTH(E81)+1)/12,1))))))))*TaxRate,0))-IF(15=0,O81,0))</f>
        <v/>
      </c>
      <c r="AI81" s="29">
        <f>IF(A81="","",((K81)*(IF(M81="",L81,IFERROR(IF(INDEX(Variablen!$I:$AT, MATCH(M81, Variablen!$A:$A, 0), MATCH((YEAR(D81)+16), Variablen!$I$3:$AT$3, 0))="",L81,INDEX(Variablen!$I:$AT, MATCH(M81, Variablen!$A:$A, 0), MATCH((YEAR(D81)+16), Variablen!$I$3:$AT$3, 0))),L81)))*(IF((YEAR(D81)+16)&lt;YEAR(E81),0,IF((YEAR(D81)+16)&gt;YEAR(E81),1,(12-MONTH(E81)+1)/12))) + (Q81)*(IF((YEAR(D81)+16)&lt;YEAR(E81),0,IF((YEAR(D81)+16)&gt;YEAR(E81),1,(12-MONTH(E81)+1)/12))))-((P81)*(IF((YEAR(D81)+16)&lt;YEAR(E81),0,IF((YEAR(D81)+16)&gt;YEAR(E81),1,(12-MONTH(E81)+1)/12))) + (R81)*(IF((YEAR(D81)+16)&lt;YEAR(E81),0,IF((YEAR(D81)+16)&gt;YEAR(E81),1,(12-MONTH(E81)+1)/12))))-(IF((((K81)*(IF(M81="",L81,IFERROR(IF(INDEX(Variablen!$I:$AT, MATCH(M81, Variablen!$A:$A, 0), MATCH((YEAR(D81)+16), Variablen!$I$3:$AT$3, 0))="",L81,INDEX(Variablen!$I:$AT, MATCH(M81, Variablen!$A:$A, 0), MATCH((YEAR(D81)+16), Variablen!$I$3:$AT$3, 0))),L81)))*(IF((YEAR(D81)+16)&lt;YEAR(E81),0,IF((YEAR(D81)+16)&gt;YEAR(E81),1,(12-MONTH(E81)+1)/12))) + (Q81)*(IF((YEAR(D81)+16)&lt;YEAR(E81),0,IF((YEAR(D81)+16)&gt;YEAR(E81),1,(12-MONTH(E81)+1)/12))))-((P81)*(IF((YEAR(D81)+16)&lt;YEAR(E81),0,IF((YEAR(D81)+16)&gt;YEAR(E81),1,(12-MONTH(E81)+1)/12))) + (R81)*(IF((YEAR(D81)+16)&lt;YEAR(E81),0,IF((YEAR(D81)+16)&gt;YEAR(E81),1,(12-MONTH(E81)+1)/12))))-(IF(OR(N81="",N81&lt;=0),0,(O81/N81)*(IF(OR(N81="",N81&lt;=0),0,IF((YEAR(D81)+16)&lt;YEAR(E81),0,IF((YEAR(D81)+16)&gt;=YEAR(E81)+N81,0,IF((YEAR(D81)+16)=YEAR(E81),(12-MONTH(E81)+1)/12,1))))))))&gt;0,(((K81)*(IF(M81="",L81,IFERROR(IF(INDEX(Variablen!$I:$AT, MATCH(M81, Variablen!$A:$A, 0), MATCH((YEAR(D81)+16), Variablen!$I$3:$AT$3, 0))="",L81,INDEX(Variablen!$I:$AT, MATCH(M81, Variablen!$A:$A, 0), MATCH((YEAR(D81)+16), Variablen!$I$3:$AT$3, 0))),L81)))*(IF((YEAR(D81)+16)&lt;YEAR(E81),0,IF((YEAR(D81)+16)&gt;YEAR(E81),1,(12-MONTH(E81)+1)/12))) + (Q81)*(IF((YEAR(D81)+16)&lt;YEAR(E81),0,IF((YEAR(D81)+16)&gt;YEAR(E81),1,(12-MONTH(E81)+1)/12))))-((P81)*(IF((YEAR(D81)+16)&lt;YEAR(E81),0,IF((YEAR(D81)+16)&gt;YEAR(E81),1,(12-MONTH(E81)+1)/12))) + (R81)*(IF((YEAR(D81)+16)&lt;YEAR(E81),0,IF((YEAR(D81)+16)&gt;YEAR(E81),1,(12-MONTH(E81)+1)/12))))-(IF(OR(N81="",N81&lt;=0),0,(O81/N81)*(IF(OR(N81="",N81&lt;=0),0,IF((YEAR(D81)+16)&lt;YEAR(E81),0,IF((YEAR(D81)+16)&gt;=YEAR(E81)+N81,0,IF((YEAR(D81)+16)=YEAR(E81),(12-MONTH(E81)+1)/12,1))))))))*TaxRate,0))-IF(16=0,O81,0))</f>
        <v/>
      </c>
      <c r="AJ81" s="29">
        <f>IF(A81="","",((K81)*(IF(M81="",L81,IFERROR(IF(INDEX(Variablen!$I:$AT, MATCH(M81, Variablen!$A:$A, 0), MATCH((YEAR(D81)+17), Variablen!$I$3:$AT$3, 0))="",L81,INDEX(Variablen!$I:$AT, MATCH(M81, Variablen!$A:$A, 0), MATCH((YEAR(D81)+17), Variablen!$I$3:$AT$3, 0))),L81)))*(IF((YEAR(D81)+17)&lt;YEAR(E81),0,IF((YEAR(D81)+17)&gt;YEAR(E81),1,(12-MONTH(E81)+1)/12))) + (Q81)*(IF((YEAR(D81)+17)&lt;YEAR(E81),0,IF((YEAR(D81)+17)&gt;YEAR(E81),1,(12-MONTH(E81)+1)/12))))-((P81)*(IF((YEAR(D81)+17)&lt;YEAR(E81),0,IF((YEAR(D81)+17)&gt;YEAR(E81),1,(12-MONTH(E81)+1)/12))) + (R81)*(IF((YEAR(D81)+17)&lt;YEAR(E81),0,IF((YEAR(D81)+17)&gt;YEAR(E81),1,(12-MONTH(E81)+1)/12))))-(IF((((K81)*(IF(M81="",L81,IFERROR(IF(INDEX(Variablen!$I:$AT, MATCH(M81, Variablen!$A:$A, 0), MATCH((YEAR(D81)+17), Variablen!$I$3:$AT$3, 0))="",L81,INDEX(Variablen!$I:$AT, MATCH(M81, Variablen!$A:$A, 0), MATCH((YEAR(D81)+17), Variablen!$I$3:$AT$3, 0))),L81)))*(IF((YEAR(D81)+17)&lt;YEAR(E81),0,IF((YEAR(D81)+17)&gt;YEAR(E81),1,(12-MONTH(E81)+1)/12))) + (Q81)*(IF((YEAR(D81)+17)&lt;YEAR(E81),0,IF((YEAR(D81)+17)&gt;YEAR(E81),1,(12-MONTH(E81)+1)/12))))-((P81)*(IF((YEAR(D81)+17)&lt;YEAR(E81),0,IF((YEAR(D81)+17)&gt;YEAR(E81),1,(12-MONTH(E81)+1)/12))) + (R81)*(IF((YEAR(D81)+17)&lt;YEAR(E81),0,IF((YEAR(D81)+17)&gt;YEAR(E81),1,(12-MONTH(E81)+1)/12))))-(IF(OR(N81="",N81&lt;=0),0,(O81/N81)*(IF(OR(N81="",N81&lt;=0),0,IF((YEAR(D81)+17)&lt;YEAR(E81),0,IF((YEAR(D81)+17)&gt;=YEAR(E81)+N81,0,IF((YEAR(D81)+17)=YEAR(E81),(12-MONTH(E81)+1)/12,1))))))))&gt;0,(((K81)*(IF(M81="",L81,IFERROR(IF(INDEX(Variablen!$I:$AT, MATCH(M81, Variablen!$A:$A, 0), MATCH((YEAR(D81)+17), Variablen!$I$3:$AT$3, 0))="",L81,INDEX(Variablen!$I:$AT, MATCH(M81, Variablen!$A:$A, 0), MATCH((YEAR(D81)+17), Variablen!$I$3:$AT$3, 0))),L81)))*(IF((YEAR(D81)+17)&lt;YEAR(E81),0,IF((YEAR(D81)+17)&gt;YEAR(E81),1,(12-MONTH(E81)+1)/12))) + (Q81)*(IF((YEAR(D81)+17)&lt;YEAR(E81),0,IF((YEAR(D81)+17)&gt;YEAR(E81),1,(12-MONTH(E81)+1)/12))))-((P81)*(IF((YEAR(D81)+17)&lt;YEAR(E81),0,IF((YEAR(D81)+17)&gt;YEAR(E81),1,(12-MONTH(E81)+1)/12))) + (R81)*(IF((YEAR(D81)+17)&lt;YEAR(E81),0,IF((YEAR(D81)+17)&gt;YEAR(E81),1,(12-MONTH(E81)+1)/12))))-(IF(OR(N81="",N81&lt;=0),0,(O81/N81)*(IF(OR(N81="",N81&lt;=0),0,IF((YEAR(D81)+17)&lt;YEAR(E81),0,IF((YEAR(D81)+17)&gt;=YEAR(E81)+N81,0,IF((YEAR(D81)+17)=YEAR(E81),(12-MONTH(E81)+1)/12,1))))))))*TaxRate,0))-IF(17=0,O81,0))</f>
        <v/>
      </c>
      <c r="AK81" s="29">
        <f>IF(A81="","",((K81)*(IF(M81="",L81,IFERROR(IF(INDEX(Variablen!$I:$AT, MATCH(M81, Variablen!$A:$A, 0), MATCH((YEAR(D81)+18), Variablen!$I$3:$AT$3, 0))="",L81,INDEX(Variablen!$I:$AT, MATCH(M81, Variablen!$A:$A, 0), MATCH((YEAR(D81)+18), Variablen!$I$3:$AT$3, 0))),L81)))*(IF((YEAR(D81)+18)&lt;YEAR(E81),0,IF((YEAR(D81)+18)&gt;YEAR(E81),1,(12-MONTH(E81)+1)/12))) + (Q81)*(IF((YEAR(D81)+18)&lt;YEAR(E81),0,IF((YEAR(D81)+18)&gt;YEAR(E81),1,(12-MONTH(E81)+1)/12))))-((P81)*(IF((YEAR(D81)+18)&lt;YEAR(E81),0,IF((YEAR(D81)+18)&gt;YEAR(E81),1,(12-MONTH(E81)+1)/12))) + (R81)*(IF((YEAR(D81)+18)&lt;YEAR(E81),0,IF((YEAR(D81)+18)&gt;YEAR(E81),1,(12-MONTH(E81)+1)/12))))-(IF((((K81)*(IF(M81="",L81,IFERROR(IF(INDEX(Variablen!$I:$AT, MATCH(M81, Variablen!$A:$A, 0), MATCH((YEAR(D81)+18), Variablen!$I$3:$AT$3, 0))="",L81,INDEX(Variablen!$I:$AT, MATCH(M81, Variablen!$A:$A, 0), MATCH((YEAR(D81)+18), Variablen!$I$3:$AT$3, 0))),L81)))*(IF((YEAR(D81)+18)&lt;YEAR(E81),0,IF((YEAR(D81)+18)&gt;YEAR(E81),1,(12-MONTH(E81)+1)/12))) + (Q81)*(IF((YEAR(D81)+18)&lt;YEAR(E81),0,IF((YEAR(D81)+18)&gt;YEAR(E81),1,(12-MONTH(E81)+1)/12))))-((P81)*(IF((YEAR(D81)+18)&lt;YEAR(E81),0,IF((YEAR(D81)+18)&gt;YEAR(E81),1,(12-MONTH(E81)+1)/12))) + (R81)*(IF((YEAR(D81)+18)&lt;YEAR(E81),0,IF((YEAR(D81)+18)&gt;YEAR(E81),1,(12-MONTH(E81)+1)/12))))-(IF(OR(N81="",N81&lt;=0),0,(O81/N81)*(IF(OR(N81="",N81&lt;=0),0,IF((YEAR(D81)+18)&lt;YEAR(E81),0,IF((YEAR(D81)+18)&gt;=YEAR(E81)+N81,0,IF((YEAR(D81)+18)=YEAR(E81),(12-MONTH(E81)+1)/12,1))))))))&gt;0,(((K81)*(IF(M81="",L81,IFERROR(IF(INDEX(Variablen!$I:$AT, MATCH(M81, Variablen!$A:$A, 0), MATCH((YEAR(D81)+18), Variablen!$I$3:$AT$3, 0))="",L81,INDEX(Variablen!$I:$AT, MATCH(M81, Variablen!$A:$A, 0), MATCH((YEAR(D81)+18), Variablen!$I$3:$AT$3, 0))),L81)))*(IF((YEAR(D81)+18)&lt;YEAR(E81),0,IF((YEAR(D81)+18)&gt;YEAR(E81),1,(12-MONTH(E81)+1)/12))) + (Q81)*(IF((YEAR(D81)+18)&lt;YEAR(E81),0,IF((YEAR(D81)+18)&gt;YEAR(E81),1,(12-MONTH(E81)+1)/12))))-((P81)*(IF((YEAR(D81)+18)&lt;YEAR(E81),0,IF((YEAR(D81)+18)&gt;YEAR(E81),1,(12-MONTH(E81)+1)/12))) + (R81)*(IF((YEAR(D81)+18)&lt;YEAR(E81),0,IF((YEAR(D81)+18)&gt;YEAR(E81),1,(12-MONTH(E81)+1)/12))))-(IF(OR(N81="",N81&lt;=0),0,(O81/N81)*(IF(OR(N81="",N81&lt;=0),0,IF((YEAR(D81)+18)&lt;YEAR(E81),0,IF((YEAR(D81)+18)&gt;=YEAR(E81)+N81,0,IF((YEAR(D81)+18)=YEAR(E81),(12-MONTH(E81)+1)/12,1))))))))*TaxRate,0))-IF(18=0,O81,0))</f>
        <v/>
      </c>
      <c r="AL81" s="29">
        <f>IF(A81="","",((K81)*(IF(M81="",L81,IFERROR(IF(INDEX(Variablen!$I:$AT, MATCH(M81, Variablen!$A:$A, 0), MATCH((YEAR(D81)+19), Variablen!$I$3:$AT$3, 0))="",L81,INDEX(Variablen!$I:$AT, MATCH(M81, Variablen!$A:$A, 0), MATCH((YEAR(D81)+19), Variablen!$I$3:$AT$3, 0))),L81)))*(IF((YEAR(D81)+19)&lt;YEAR(E81),0,IF((YEAR(D81)+19)&gt;YEAR(E81),1,(12-MONTH(E81)+1)/12))) + (Q81)*(IF((YEAR(D81)+19)&lt;YEAR(E81),0,IF((YEAR(D81)+19)&gt;YEAR(E81),1,(12-MONTH(E81)+1)/12))))-((P81)*(IF((YEAR(D81)+19)&lt;YEAR(E81),0,IF((YEAR(D81)+19)&gt;YEAR(E81),1,(12-MONTH(E81)+1)/12))) + (R81)*(IF((YEAR(D81)+19)&lt;YEAR(E81),0,IF((YEAR(D81)+19)&gt;YEAR(E81),1,(12-MONTH(E81)+1)/12))))-(IF((((K81)*(IF(M81="",L81,IFERROR(IF(INDEX(Variablen!$I:$AT, MATCH(M81, Variablen!$A:$A, 0), MATCH((YEAR(D81)+19), Variablen!$I$3:$AT$3, 0))="",L81,INDEX(Variablen!$I:$AT, MATCH(M81, Variablen!$A:$A, 0), MATCH((YEAR(D81)+19), Variablen!$I$3:$AT$3, 0))),L81)))*(IF((YEAR(D81)+19)&lt;YEAR(E81),0,IF((YEAR(D81)+19)&gt;YEAR(E81),1,(12-MONTH(E81)+1)/12))) + (Q81)*(IF((YEAR(D81)+19)&lt;YEAR(E81),0,IF((YEAR(D81)+19)&gt;YEAR(E81),1,(12-MONTH(E81)+1)/12))))-((P81)*(IF((YEAR(D81)+19)&lt;YEAR(E81),0,IF((YEAR(D81)+19)&gt;YEAR(E81),1,(12-MONTH(E81)+1)/12))) + (R81)*(IF((YEAR(D81)+19)&lt;YEAR(E81),0,IF((YEAR(D81)+19)&gt;YEAR(E81),1,(12-MONTH(E81)+1)/12))))-(IF(OR(N81="",N81&lt;=0),0,(O81/N81)*(IF(OR(N81="",N81&lt;=0),0,IF((YEAR(D81)+19)&lt;YEAR(E81),0,IF((YEAR(D81)+19)&gt;=YEAR(E81)+N81,0,IF((YEAR(D81)+19)=YEAR(E81),(12-MONTH(E81)+1)/12,1))))))))&gt;0,(((K81)*(IF(M81="",L81,IFERROR(IF(INDEX(Variablen!$I:$AT, MATCH(M81, Variablen!$A:$A, 0), MATCH((YEAR(D81)+19), Variablen!$I$3:$AT$3, 0))="",L81,INDEX(Variablen!$I:$AT, MATCH(M81, Variablen!$A:$A, 0), MATCH((YEAR(D81)+19), Variablen!$I$3:$AT$3, 0))),L81)))*(IF((YEAR(D81)+19)&lt;YEAR(E81),0,IF((YEAR(D81)+19)&gt;YEAR(E81),1,(12-MONTH(E81)+1)/12))) + (Q81)*(IF((YEAR(D81)+19)&lt;YEAR(E81),0,IF((YEAR(D81)+19)&gt;YEAR(E81),1,(12-MONTH(E81)+1)/12))))-((P81)*(IF((YEAR(D81)+19)&lt;YEAR(E81),0,IF((YEAR(D81)+19)&gt;YEAR(E81),1,(12-MONTH(E81)+1)/12))) + (R81)*(IF((YEAR(D81)+19)&lt;YEAR(E81),0,IF((YEAR(D81)+19)&gt;YEAR(E81),1,(12-MONTH(E81)+1)/12))))-(IF(OR(N81="",N81&lt;=0),0,(O81/N81)*(IF(OR(N81="",N81&lt;=0),0,IF((YEAR(D81)+19)&lt;YEAR(E81),0,IF((YEAR(D81)+19)&gt;=YEAR(E81)+N81,0,IF((YEAR(D81)+19)=YEAR(E81),(12-MONTH(E81)+1)/12,1))))))))*TaxRate,0))-IF(19=0,O81,0))</f>
        <v/>
      </c>
      <c r="AM81" s="29">
        <f>IF(A81="","",((K81)*(IF(M81="",L81,IFERROR(IF(INDEX(Variablen!$I:$AT, MATCH(M81, Variablen!$A:$A, 0), MATCH((YEAR(D81)+20), Variablen!$I$3:$AT$3, 0))="",L81,INDEX(Variablen!$I:$AT, MATCH(M81, Variablen!$A:$A, 0), MATCH((YEAR(D81)+20), Variablen!$I$3:$AT$3, 0))),L81)))*(IF((YEAR(D81)+20)&lt;YEAR(E81),0,IF((YEAR(D81)+20)&gt;YEAR(E81),1,(12-MONTH(E81)+1)/12))) + (Q81)*(IF((YEAR(D81)+20)&lt;YEAR(E81),0,IF((YEAR(D81)+20)&gt;YEAR(E81),1,(12-MONTH(E81)+1)/12))))-((P81)*(IF((YEAR(D81)+20)&lt;YEAR(E81),0,IF((YEAR(D81)+20)&gt;YEAR(E81),1,(12-MONTH(E81)+1)/12))) + (R81)*(IF((YEAR(D81)+20)&lt;YEAR(E81),0,IF((YEAR(D81)+20)&gt;YEAR(E81),1,(12-MONTH(E81)+1)/12))))-(IF((((K81)*(IF(M81="",L81,IFERROR(IF(INDEX(Variablen!$I:$AT, MATCH(M81, Variablen!$A:$A, 0), MATCH((YEAR(D81)+20), Variablen!$I$3:$AT$3, 0))="",L81,INDEX(Variablen!$I:$AT, MATCH(M81, Variablen!$A:$A, 0), MATCH((YEAR(D81)+20), Variablen!$I$3:$AT$3, 0))),L81)))*(IF((YEAR(D81)+20)&lt;YEAR(E81),0,IF((YEAR(D81)+20)&gt;YEAR(E81),1,(12-MONTH(E81)+1)/12))) + (Q81)*(IF((YEAR(D81)+20)&lt;YEAR(E81),0,IF((YEAR(D81)+20)&gt;YEAR(E81),1,(12-MONTH(E81)+1)/12))))-((P81)*(IF((YEAR(D81)+20)&lt;YEAR(E81),0,IF((YEAR(D81)+20)&gt;YEAR(E81),1,(12-MONTH(E81)+1)/12))) + (R81)*(IF((YEAR(D81)+20)&lt;YEAR(E81),0,IF((YEAR(D81)+20)&gt;YEAR(E81),1,(12-MONTH(E81)+1)/12))))-(IF(OR(N81="",N81&lt;=0),0,(O81/N81)*(IF(OR(N81="",N81&lt;=0),0,IF((YEAR(D81)+20)&lt;YEAR(E81),0,IF((YEAR(D81)+20)&gt;=YEAR(E81)+N81,0,IF((YEAR(D81)+20)=YEAR(E81),(12-MONTH(E81)+1)/12,1))))))))&gt;0,(((K81)*(IF(M81="",L81,IFERROR(IF(INDEX(Variablen!$I:$AT, MATCH(M81, Variablen!$A:$A, 0), MATCH((YEAR(D81)+20), Variablen!$I$3:$AT$3, 0))="",L81,INDEX(Variablen!$I:$AT, MATCH(M81, Variablen!$A:$A, 0), MATCH((YEAR(D81)+20), Variablen!$I$3:$AT$3, 0))),L81)))*(IF((YEAR(D81)+20)&lt;YEAR(E81),0,IF((YEAR(D81)+20)&gt;YEAR(E81),1,(12-MONTH(E81)+1)/12))) + (Q81)*(IF((YEAR(D81)+20)&lt;YEAR(E81),0,IF((YEAR(D81)+20)&gt;YEAR(E81),1,(12-MONTH(E81)+1)/12))))-((P81)*(IF((YEAR(D81)+20)&lt;YEAR(E81),0,IF((YEAR(D81)+20)&gt;YEAR(E81),1,(12-MONTH(E81)+1)/12))) + (R81)*(IF((YEAR(D81)+20)&lt;YEAR(E81),0,IF((YEAR(D81)+20)&gt;YEAR(E81),1,(12-MONTH(E81)+1)/12))))-(IF(OR(N81="",N81&lt;=0),0,(O81/N81)*(IF(OR(N81="",N81&lt;=0),0,IF((YEAR(D81)+20)&lt;YEAR(E81),0,IF((YEAR(D81)+20)&gt;=YEAR(E81)+N81,0,IF((YEAR(D81)+20)=YEAR(E81),(12-MONTH(E81)+1)/12,1))))))))*TaxRate,0))-IF(20=0,O81,0))</f>
        <v/>
      </c>
      <c r="AN81" s="29">
        <f>IF(A81="","",S81)</f>
        <v/>
      </c>
      <c r="AO81" s="29">
        <f>IF(A81="","",AN81+T81)</f>
        <v/>
      </c>
      <c r="AP81" s="29">
        <f>IF(A81="","",AO81+U81)</f>
        <v/>
      </c>
      <c r="AQ81" s="29">
        <f>IF(A81="","",AP81+V81)</f>
        <v/>
      </c>
      <c r="AR81" s="29">
        <f>IF(A81="","",AQ81+W81)</f>
        <v/>
      </c>
      <c r="AS81" s="29">
        <f>IF(A81="","",AR81+X81)</f>
        <v/>
      </c>
      <c r="AT81" s="29">
        <f>IF(A81="","",AS81+Y81)</f>
        <v/>
      </c>
      <c r="AU81" s="29">
        <f>IF(A81="","",AT81+Z81)</f>
        <v/>
      </c>
      <c r="AV81" s="29">
        <f>IF(A81="","",AU81+AA81)</f>
        <v/>
      </c>
      <c r="AW81" s="29">
        <f>IF(A81="","",AV81+AB81)</f>
        <v/>
      </c>
      <c r="AX81" s="29">
        <f>IF(A81="","",AW81+AC81)</f>
        <v/>
      </c>
      <c r="AY81" s="29">
        <f>IF(A81="","",AX81+AD81)</f>
        <v/>
      </c>
      <c r="AZ81" s="29">
        <f>IF(A81="","",AY81+AE81)</f>
        <v/>
      </c>
      <c r="BA81" s="29">
        <f>IF(A81="","",AZ81+AF81)</f>
        <v/>
      </c>
      <c r="BB81" s="29">
        <f>IF(A81="","",BA81+AG81)</f>
        <v/>
      </c>
      <c r="BC81" s="29">
        <f>IF(A81="","",BB81+AH81)</f>
        <v/>
      </c>
      <c r="BD81" s="29">
        <f>IF(A81="","",BC81+AI81)</f>
        <v/>
      </c>
      <c r="BE81" s="29">
        <f>IF(A81="","",BD81+AJ81)</f>
        <v/>
      </c>
      <c r="BF81" s="29">
        <f>IF(A81="","",BE81+AK81)</f>
        <v/>
      </c>
      <c r="BG81" s="29">
        <f>IF(A81="","",BF81+AL81)</f>
        <v/>
      </c>
      <c r="BH81" s="29">
        <f>IF(A81="","",BG81+AM81)</f>
        <v/>
      </c>
      <c r="BI81" s="36">
        <f>IF(A81="","",(K81)*(IF((YEAR(D81)+0)&lt;YEAR(E81),0,IF((YEAR(D81)+0)&gt;YEAR(E81),1,(12-MONTH(E81)+1)/12)))*(1/(1+DiscountRate)^0))</f>
        <v/>
      </c>
      <c r="BJ81" s="36">
        <f>IF(A81="","",(K81)*(IF((YEAR(D81)+1)&lt;YEAR(E81),0,IF((YEAR(D81)+1)&gt;YEAR(E81),1,(12-MONTH(E81)+1)/12)))*(1/(1+DiscountRate)^1))</f>
        <v/>
      </c>
      <c r="BK81" s="36">
        <f>IF(A81="","",(K81)*(IF((YEAR(D81)+2)&lt;YEAR(E81),0,IF((YEAR(D81)+2)&gt;YEAR(E81),1,(12-MONTH(E81)+1)/12)))*(1/(1+DiscountRate)^2))</f>
        <v/>
      </c>
      <c r="BL81" s="36">
        <f>IF(A81="","",(K81)*(IF((YEAR(D81)+3)&lt;YEAR(E81),0,IF((YEAR(D81)+3)&gt;YEAR(E81),1,(12-MONTH(E81)+1)/12)))*(1/(1+DiscountRate)^3))</f>
        <v/>
      </c>
      <c r="BM81" s="36">
        <f>IF(A81="","",(K81)*(IF((YEAR(D81)+4)&lt;YEAR(E81),0,IF((YEAR(D81)+4)&gt;YEAR(E81),1,(12-MONTH(E81)+1)/12)))*(1/(1+DiscountRate)^4))</f>
        <v/>
      </c>
      <c r="BN81" s="36">
        <f>IF(A81="","",(K81)*(IF((YEAR(D81)+5)&lt;YEAR(E81),0,IF((YEAR(D81)+5)&gt;YEAR(E81),1,(12-MONTH(E81)+1)/12)))*(1/(1+DiscountRate)^5))</f>
        <v/>
      </c>
      <c r="BO81" s="36">
        <f>IF(A81="","",(K81)*(IF((YEAR(D81)+6)&lt;YEAR(E81),0,IF((YEAR(D81)+6)&gt;YEAR(E81),1,(12-MONTH(E81)+1)/12)))*(1/(1+DiscountRate)^6))</f>
        <v/>
      </c>
      <c r="BP81" s="36">
        <f>IF(A81="","",(K81)*(IF((YEAR(D81)+7)&lt;YEAR(E81),0,IF((YEAR(D81)+7)&gt;YEAR(E81),1,(12-MONTH(E81)+1)/12)))*(1/(1+DiscountRate)^7))</f>
        <v/>
      </c>
      <c r="BQ81" s="36">
        <f>IF(A81="","",(K81)*(IF((YEAR(D81)+8)&lt;YEAR(E81),0,IF((YEAR(D81)+8)&gt;YEAR(E81),1,(12-MONTH(E81)+1)/12)))*(1/(1+DiscountRate)^8))</f>
        <v/>
      </c>
      <c r="BR81" s="36">
        <f>IF(A81="","",(K81)*(IF((YEAR(D81)+9)&lt;YEAR(E81),0,IF((YEAR(D81)+9)&gt;YEAR(E81),1,(12-MONTH(E81)+1)/12)))*(1/(1+DiscountRate)^9))</f>
        <v/>
      </c>
      <c r="BS81" s="36">
        <f>IF(A81="","",(K81)*(IF((YEAR(D81)+10)&lt;YEAR(E81),0,IF((YEAR(D81)+10)&gt;YEAR(E81),1,(12-MONTH(E81)+1)/12)))*(1/(1+DiscountRate)^10))</f>
        <v/>
      </c>
      <c r="BT81" s="36">
        <f>IF(A81="","",(K81)*(IF((YEAR(D81)+11)&lt;YEAR(E81),0,IF((YEAR(D81)+11)&gt;YEAR(E81),1,(12-MONTH(E81)+1)/12)))*(1/(1+DiscountRate)^11))</f>
        <v/>
      </c>
      <c r="BU81" s="36">
        <f>IF(A81="","",(K81)*(IF((YEAR(D81)+12)&lt;YEAR(E81),0,IF((YEAR(D81)+12)&gt;YEAR(E81),1,(12-MONTH(E81)+1)/12)))*(1/(1+DiscountRate)^12))</f>
        <v/>
      </c>
      <c r="BV81" s="36">
        <f>IF(A81="","",(K81)*(IF((YEAR(D81)+13)&lt;YEAR(E81),0,IF((YEAR(D81)+13)&gt;YEAR(E81),1,(12-MONTH(E81)+1)/12)))*(1/(1+DiscountRate)^13))</f>
        <v/>
      </c>
      <c r="BW81" s="36">
        <f>IF(A81="","",(K81)*(IF((YEAR(D81)+14)&lt;YEAR(E81),0,IF((YEAR(D81)+14)&gt;YEAR(E81),1,(12-MONTH(E81)+1)/12)))*(1/(1+DiscountRate)^14))</f>
        <v/>
      </c>
      <c r="BX81" s="36">
        <f>IF(A81="","",(K81)*(IF((YEAR(D81)+15)&lt;YEAR(E81),0,IF((YEAR(D81)+15)&gt;YEAR(E81),1,(12-MONTH(E81)+1)/12)))*(1/(1+DiscountRate)^15))</f>
        <v/>
      </c>
      <c r="BY81" s="36">
        <f>IF(A81="","",(K81)*(IF((YEAR(D81)+16)&lt;YEAR(E81),0,IF((YEAR(D81)+16)&gt;YEAR(E81),1,(12-MONTH(E81)+1)/12)))*(1/(1+DiscountRate)^16))</f>
        <v/>
      </c>
      <c r="BZ81" s="36">
        <f>IF(A81="","",(K81)*(IF((YEAR(D81)+17)&lt;YEAR(E81),0,IF((YEAR(D81)+17)&gt;YEAR(E81),1,(12-MONTH(E81)+1)/12)))*(1/(1+DiscountRate)^17))</f>
        <v/>
      </c>
      <c r="CA81" s="36">
        <f>IF(A81="","",(K81)*(IF((YEAR(D81)+18)&lt;YEAR(E81),0,IF((YEAR(D81)+18)&gt;YEAR(E81),1,(12-MONTH(E81)+1)/12)))*(1/(1+DiscountRate)^18))</f>
        <v/>
      </c>
      <c r="CB81" s="36">
        <f>IF(A81="","",(K81)*(IF((YEAR(D81)+19)&lt;YEAR(E81),0,IF((YEAR(D81)+19)&gt;YEAR(E81),1,(12-MONTH(E81)+1)/12)))*(1/(1+DiscountRate)^19))</f>
        <v/>
      </c>
      <c r="CC81" s="36">
        <f>IF(A81="","",(K81)*(IF((YEAR(D81)+20)&lt;YEAR(E81),0,IF((YEAR(D81)+20)&gt;YEAR(E81),1,(12-MONTH(E81)+1)/12)))*(1/(1+DiscountRate)^20))</f>
        <v/>
      </c>
      <c r="CD81" s="29">
        <f>IF(A81="","",S81/(1+DiscountRate)^0+T81/(1+DiscountRate)^1+U81/(1+DiscountRate)^2+V81/(1+DiscountRate)^3+W81/(1+DiscountRate)^4+X81/(1+DiscountRate)^5+Y81/(1+DiscountRate)^6+Z81/(1+DiscountRate)^7+AA81/(1+DiscountRate)^8+AB81/(1+DiscountRate)^9+AC81/(1+DiscountRate)^10+AD81/(1+DiscountRate)^11+AE81/(1+DiscountRate)^12+AF81/(1+DiscountRate)^13+AG81/(1+DiscountRate)^14+AH81/(1+DiscountRate)^15+AI81/(1+DiscountRate)^16+AJ81/(1+DiscountRate)^17+AK81/(1+DiscountRate)^18+AL81/(1+DiscountRate)^19+AM81/(1+DiscountRate)^20)</f>
        <v/>
      </c>
      <c r="CE81" s="37">
        <f>IF(A81="","",IFERROR(IRR(OFFSET(S81,0,0,1,MIN(HorizonYears,20)+1)),"n/a"))</f>
        <v/>
      </c>
      <c r="CF81" s="28">
        <f>IF(A81="","",IFERROR(MATCH(TRUE,OFFSET(AN81,0,0,1,MIN(HorizonYears,20)+1)&gt;=0,0)-1,"n/a"))</f>
        <v/>
      </c>
      <c r="CG81" s="36">
        <f>IF(A81="","",SUM(OFFSET(BI81,0,0,1,MIN(HorizonYears,20)+1)))</f>
        <v/>
      </c>
      <c r="CH81" s="36">
        <f>IF(A81="","",IFERROR(-CD81/CG81,"n/a"))</f>
        <v/>
      </c>
    </row>
    <row r="82">
      <c r="A82" s="6">
        <f>Actions!A80</f>
        <v/>
      </c>
      <c r="B82" s="6">
        <f>Actions!B80</f>
        <v/>
      </c>
      <c r="C82" s="6">
        <f>Actions!D80</f>
        <v/>
      </c>
      <c r="D82" s="35">
        <f>Actions!E80</f>
        <v/>
      </c>
      <c r="E82" s="35">
        <f>Actions!F80</f>
        <v/>
      </c>
      <c r="F82" s="6">
        <f>Actions!G80</f>
        <v/>
      </c>
      <c r="G82" s="6">
        <f>Actions!H80</f>
        <v/>
      </c>
      <c r="H82" s="29">
        <f>Actions!I80</f>
        <v/>
      </c>
      <c r="I82" s="6">
        <f>Actions!J80</f>
        <v/>
      </c>
      <c r="J82" s="16">
        <f>Actions!K80</f>
        <v/>
      </c>
      <c r="K82" s="16">
        <f>IF(A82="","",IF(I82="%",H82*J82,J82))</f>
        <v/>
      </c>
      <c r="L82" s="16">
        <f>Actions!L80</f>
        <v/>
      </c>
      <c r="M82" s="6">
        <f>Actions!M80</f>
        <v/>
      </c>
      <c r="N82" s="28">
        <f>Actions!N80</f>
        <v/>
      </c>
      <c r="O82" s="29">
        <f>Actions!T80</f>
        <v/>
      </c>
      <c r="P82" s="29">
        <f>Actions!Y80</f>
        <v/>
      </c>
      <c r="Q82" s="29">
        <f>Actions!Z80</f>
        <v/>
      </c>
      <c r="R82" s="29">
        <f>Actions!AA80</f>
        <v/>
      </c>
      <c r="S82" s="29">
        <f>IF(A82="","",((K82)*(IF(M82="",L82,IFERROR(IF(INDEX(Variablen!$I:$AT, MATCH(M82, Variablen!$A:$A, 0), MATCH((YEAR(D82)+0), Variablen!$I$3:$AT$3, 0))="",L82,INDEX(Variablen!$I:$AT, MATCH(M82, Variablen!$A:$A, 0), MATCH((YEAR(D82)+0), Variablen!$I$3:$AT$3, 0))),L82)))*(IF((YEAR(D82)+0)&lt;YEAR(E82),0,IF((YEAR(D82)+0)&gt;YEAR(E82),1,(12-MONTH(E82)+1)/12))) + (Q82)*(IF((YEAR(D82)+0)&lt;YEAR(E82),0,IF((YEAR(D82)+0)&gt;YEAR(E82),1,(12-MONTH(E82)+1)/12))))-((P82)*(IF((YEAR(D82)+0)&lt;YEAR(E82),0,IF((YEAR(D82)+0)&gt;YEAR(E82),1,(12-MONTH(E82)+1)/12))) + (R82)*(IF((YEAR(D82)+0)&lt;YEAR(E82),0,IF((YEAR(D82)+0)&gt;YEAR(E82),1,(12-MONTH(E82)+1)/12))))-(IF((((K82)*(IF(M82="",L82,IFERROR(IF(INDEX(Variablen!$I:$AT, MATCH(M82, Variablen!$A:$A, 0), MATCH((YEAR(D82)+0), Variablen!$I$3:$AT$3, 0))="",L82,INDEX(Variablen!$I:$AT, MATCH(M82, Variablen!$A:$A, 0), MATCH((YEAR(D82)+0), Variablen!$I$3:$AT$3, 0))),L82)))*(IF((YEAR(D82)+0)&lt;YEAR(E82),0,IF((YEAR(D82)+0)&gt;YEAR(E82),1,(12-MONTH(E82)+1)/12))) + (Q82)*(IF((YEAR(D82)+0)&lt;YEAR(E82),0,IF((YEAR(D82)+0)&gt;YEAR(E82),1,(12-MONTH(E82)+1)/12))))-((P82)*(IF((YEAR(D82)+0)&lt;YEAR(E82),0,IF((YEAR(D82)+0)&gt;YEAR(E82),1,(12-MONTH(E82)+1)/12))) + (R82)*(IF((YEAR(D82)+0)&lt;YEAR(E82),0,IF((YEAR(D82)+0)&gt;YEAR(E82),1,(12-MONTH(E82)+1)/12))))-(IF(OR(N82="",N82&lt;=0),0,(O82/N82)*(IF(OR(N82="",N82&lt;=0),0,IF((YEAR(D82)+0)&lt;YEAR(E82),0,IF((YEAR(D82)+0)&gt;=YEAR(E82)+N82,0,IF((YEAR(D82)+0)=YEAR(E82),(12-MONTH(E82)+1)/12,1))))))))&gt;0,(((K82)*(IF(M82="",L82,IFERROR(IF(INDEX(Variablen!$I:$AT, MATCH(M82, Variablen!$A:$A, 0), MATCH((YEAR(D82)+0), Variablen!$I$3:$AT$3, 0))="",L82,INDEX(Variablen!$I:$AT, MATCH(M82, Variablen!$A:$A, 0), MATCH((YEAR(D82)+0), Variablen!$I$3:$AT$3, 0))),L82)))*(IF((YEAR(D82)+0)&lt;YEAR(E82),0,IF((YEAR(D82)+0)&gt;YEAR(E82),1,(12-MONTH(E82)+1)/12))) + (Q82)*(IF((YEAR(D82)+0)&lt;YEAR(E82),0,IF((YEAR(D82)+0)&gt;YEAR(E82),1,(12-MONTH(E82)+1)/12))))-((P82)*(IF((YEAR(D82)+0)&lt;YEAR(E82),0,IF((YEAR(D82)+0)&gt;YEAR(E82),1,(12-MONTH(E82)+1)/12))) + (R82)*(IF((YEAR(D82)+0)&lt;YEAR(E82),0,IF((YEAR(D82)+0)&gt;YEAR(E82),1,(12-MONTH(E82)+1)/12))))-(IF(OR(N82="",N82&lt;=0),0,(O82/N82)*(IF(OR(N82="",N82&lt;=0),0,IF((YEAR(D82)+0)&lt;YEAR(E82),0,IF((YEAR(D82)+0)&gt;=YEAR(E82)+N82,0,IF((YEAR(D82)+0)=YEAR(E82),(12-MONTH(E82)+1)/12,1))))))))*TaxRate,0))-IF(0=0,O82,0))</f>
        <v/>
      </c>
      <c r="T82" s="29">
        <f>IF(A82="","",((K82)*(IF(M82="",L82,IFERROR(IF(INDEX(Variablen!$I:$AT, MATCH(M82, Variablen!$A:$A, 0), MATCH((YEAR(D82)+1), Variablen!$I$3:$AT$3, 0))="",L82,INDEX(Variablen!$I:$AT, MATCH(M82, Variablen!$A:$A, 0), MATCH((YEAR(D82)+1), Variablen!$I$3:$AT$3, 0))),L82)))*(IF((YEAR(D82)+1)&lt;YEAR(E82),0,IF((YEAR(D82)+1)&gt;YEAR(E82),1,(12-MONTH(E82)+1)/12))) + (Q82)*(IF((YEAR(D82)+1)&lt;YEAR(E82),0,IF((YEAR(D82)+1)&gt;YEAR(E82),1,(12-MONTH(E82)+1)/12))))-((P82)*(IF((YEAR(D82)+1)&lt;YEAR(E82),0,IF((YEAR(D82)+1)&gt;YEAR(E82),1,(12-MONTH(E82)+1)/12))) + (R82)*(IF((YEAR(D82)+1)&lt;YEAR(E82),0,IF((YEAR(D82)+1)&gt;YEAR(E82),1,(12-MONTH(E82)+1)/12))))-(IF((((K82)*(IF(M82="",L82,IFERROR(IF(INDEX(Variablen!$I:$AT, MATCH(M82, Variablen!$A:$A, 0), MATCH((YEAR(D82)+1), Variablen!$I$3:$AT$3, 0))="",L82,INDEX(Variablen!$I:$AT, MATCH(M82, Variablen!$A:$A, 0), MATCH((YEAR(D82)+1), Variablen!$I$3:$AT$3, 0))),L82)))*(IF((YEAR(D82)+1)&lt;YEAR(E82),0,IF((YEAR(D82)+1)&gt;YEAR(E82),1,(12-MONTH(E82)+1)/12))) + (Q82)*(IF((YEAR(D82)+1)&lt;YEAR(E82),0,IF((YEAR(D82)+1)&gt;YEAR(E82),1,(12-MONTH(E82)+1)/12))))-((P82)*(IF((YEAR(D82)+1)&lt;YEAR(E82),0,IF((YEAR(D82)+1)&gt;YEAR(E82),1,(12-MONTH(E82)+1)/12))) + (R82)*(IF((YEAR(D82)+1)&lt;YEAR(E82),0,IF((YEAR(D82)+1)&gt;YEAR(E82),1,(12-MONTH(E82)+1)/12))))-(IF(OR(N82="",N82&lt;=0),0,(O82/N82)*(IF(OR(N82="",N82&lt;=0),0,IF((YEAR(D82)+1)&lt;YEAR(E82),0,IF((YEAR(D82)+1)&gt;=YEAR(E82)+N82,0,IF((YEAR(D82)+1)=YEAR(E82),(12-MONTH(E82)+1)/12,1))))))))&gt;0,(((K82)*(IF(M82="",L82,IFERROR(IF(INDEX(Variablen!$I:$AT, MATCH(M82, Variablen!$A:$A, 0), MATCH((YEAR(D82)+1), Variablen!$I$3:$AT$3, 0))="",L82,INDEX(Variablen!$I:$AT, MATCH(M82, Variablen!$A:$A, 0), MATCH((YEAR(D82)+1), Variablen!$I$3:$AT$3, 0))),L82)))*(IF((YEAR(D82)+1)&lt;YEAR(E82),0,IF((YEAR(D82)+1)&gt;YEAR(E82),1,(12-MONTH(E82)+1)/12))) + (Q82)*(IF((YEAR(D82)+1)&lt;YEAR(E82),0,IF((YEAR(D82)+1)&gt;YEAR(E82),1,(12-MONTH(E82)+1)/12))))-((P82)*(IF((YEAR(D82)+1)&lt;YEAR(E82),0,IF((YEAR(D82)+1)&gt;YEAR(E82),1,(12-MONTH(E82)+1)/12))) + (R82)*(IF((YEAR(D82)+1)&lt;YEAR(E82),0,IF((YEAR(D82)+1)&gt;YEAR(E82),1,(12-MONTH(E82)+1)/12))))-(IF(OR(N82="",N82&lt;=0),0,(O82/N82)*(IF(OR(N82="",N82&lt;=0),0,IF((YEAR(D82)+1)&lt;YEAR(E82),0,IF((YEAR(D82)+1)&gt;=YEAR(E82)+N82,0,IF((YEAR(D82)+1)=YEAR(E82),(12-MONTH(E82)+1)/12,1))))))))*TaxRate,0))-IF(1=0,O82,0))</f>
        <v/>
      </c>
      <c r="U82" s="29">
        <f>IF(A82="","",((K82)*(IF(M82="",L82,IFERROR(IF(INDEX(Variablen!$I:$AT, MATCH(M82, Variablen!$A:$A, 0), MATCH((YEAR(D82)+2), Variablen!$I$3:$AT$3, 0))="",L82,INDEX(Variablen!$I:$AT, MATCH(M82, Variablen!$A:$A, 0), MATCH((YEAR(D82)+2), Variablen!$I$3:$AT$3, 0))),L82)))*(IF((YEAR(D82)+2)&lt;YEAR(E82),0,IF((YEAR(D82)+2)&gt;YEAR(E82),1,(12-MONTH(E82)+1)/12))) + (Q82)*(IF((YEAR(D82)+2)&lt;YEAR(E82),0,IF((YEAR(D82)+2)&gt;YEAR(E82),1,(12-MONTH(E82)+1)/12))))-((P82)*(IF((YEAR(D82)+2)&lt;YEAR(E82),0,IF((YEAR(D82)+2)&gt;YEAR(E82),1,(12-MONTH(E82)+1)/12))) + (R82)*(IF((YEAR(D82)+2)&lt;YEAR(E82),0,IF((YEAR(D82)+2)&gt;YEAR(E82),1,(12-MONTH(E82)+1)/12))))-(IF((((K82)*(IF(M82="",L82,IFERROR(IF(INDEX(Variablen!$I:$AT, MATCH(M82, Variablen!$A:$A, 0), MATCH((YEAR(D82)+2), Variablen!$I$3:$AT$3, 0))="",L82,INDEX(Variablen!$I:$AT, MATCH(M82, Variablen!$A:$A, 0), MATCH((YEAR(D82)+2), Variablen!$I$3:$AT$3, 0))),L82)))*(IF((YEAR(D82)+2)&lt;YEAR(E82),0,IF((YEAR(D82)+2)&gt;YEAR(E82),1,(12-MONTH(E82)+1)/12))) + (Q82)*(IF((YEAR(D82)+2)&lt;YEAR(E82),0,IF((YEAR(D82)+2)&gt;YEAR(E82),1,(12-MONTH(E82)+1)/12))))-((P82)*(IF((YEAR(D82)+2)&lt;YEAR(E82),0,IF((YEAR(D82)+2)&gt;YEAR(E82),1,(12-MONTH(E82)+1)/12))) + (R82)*(IF((YEAR(D82)+2)&lt;YEAR(E82),0,IF((YEAR(D82)+2)&gt;YEAR(E82),1,(12-MONTH(E82)+1)/12))))-(IF(OR(N82="",N82&lt;=0),0,(O82/N82)*(IF(OR(N82="",N82&lt;=0),0,IF((YEAR(D82)+2)&lt;YEAR(E82),0,IF((YEAR(D82)+2)&gt;=YEAR(E82)+N82,0,IF((YEAR(D82)+2)=YEAR(E82),(12-MONTH(E82)+1)/12,1))))))))&gt;0,(((K82)*(IF(M82="",L82,IFERROR(IF(INDEX(Variablen!$I:$AT, MATCH(M82, Variablen!$A:$A, 0), MATCH((YEAR(D82)+2), Variablen!$I$3:$AT$3, 0))="",L82,INDEX(Variablen!$I:$AT, MATCH(M82, Variablen!$A:$A, 0), MATCH((YEAR(D82)+2), Variablen!$I$3:$AT$3, 0))),L82)))*(IF((YEAR(D82)+2)&lt;YEAR(E82),0,IF((YEAR(D82)+2)&gt;YEAR(E82),1,(12-MONTH(E82)+1)/12))) + (Q82)*(IF((YEAR(D82)+2)&lt;YEAR(E82),0,IF((YEAR(D82)+2)&gt;YEAR(E82),1,(12-MONTH(E82)+1)/12))))-((P82)*(IF((YEAR(D82)+2)&lt;YEAR(E82),0,IF((YEAR(D82)+2)&gt;YEAR(E82),1,(12-MONTH(E82)+1)/12))) + (R82)*(IF((YEAR(D82)+2)&lt;YEAR(E82),0,IF((YEAR(D82)+2)&gt;YEAR(E82),1,(12-MONTH(E82)+1)/12))))-(IF(OR(N82="",N82&lt;=0),0,(O82/N82)*(IF(OR(N82="",N82&lt;=0),0,IF((YEAR(D82)+2)&lt;YEAR(E82),0,IF((YEAR(D82)+2)&gt;=YEAR(E82)+N82,0,IF((YEAR(D82)+2)=YEAR(E82),(12-MONTH(E82)+1)/12,1))))))))*TaxRate,0))-IF(2=0,O82,0))</f>
        <v/>
      </c>
      <c r="V82" s="29">
        <f>IF(A82="","",((K82)*(IF(M82="",L82,IFERROR(IF(INDEX(Variablen!$I:$AT, MATCH(M82, Variablen!$A:$A, 0), MATCH((YEAR(D82)+3), Variablen!$I$3:$AT$3, 0))="",L82,INDEX(Variablen!$I:$AT, MATCH(M82, Variablen!$A:$A, 0), MATCH((YEAR(D82)+3), Variablen!$I$3:$AT$3, 0))),L82)))*(IF((YEAR(D82)+3)&lt;YEAR(E82),0,IF((YEAR(D82)+3)&gt;YEAR(E82),1,(12-MONTH(E82)+1)/12))) + (Q82)*(IF((YEAR(D82)+3)&lt;YEAR(E82),0,IF((YEAR(D82)+3)&gt;YEAR(E82),1,(12-MONTH(E82)+1)/12))))-((P82)*(IF((YEAR(D82)+3)&lt;YEAR(E82),0,IF((YEAR(D82)+3)&gt;YEAR(E82),1,(12-MONTH(E82)+1)/12))) + (R82)*(IF((YEAR(D82)+3)&lt;YEAR(E82),0,IF((YEAR(D82)+3)&gt;YEAR(E82),1,(12-MONTH(E82)+1)/12))))-(IF((((K82)*(IF(M82="",L82,IFERROR(IF(INDEX(Variablen!$I:$AT, MATCH(M82, Variablen!$A:$A, 0), MATCH((YEAR(D82)+3), Variablen!$I$3:$AT$3, 0))="",L82,INDEX(Variablen!$I:$AT, MATCH(M82, Variablen!$A:$A, 0), MATCH((YEAR(D82)+3), Variablen!$I$3:$AT$3, 0))),L82)))*(IF((YEAR(D82)+3)&lt;YEAR(E82),0,IF((YEAR(D82)+3)&gt;YEAR(E82),1,(12-MONTH(E82)+1)/12))) + (Q82)*(IF((YEAR(D82)+3)&lt;YEAR(E82),0,IF((YEAR(D82)+3)&gt;YEAR(E82),1,(12-MONTH(E82)+1)/12))))-((P82)*(IF((YEAR(D82)+3)&lt;YEAR(E82),0,IF((YEAR(D82)+3)&gt;YEAR(E82),1,(12-MONTH(E82)+1)/12))) + (R82)*(IF((YEAR(D82)+3)&lt;YEAR(E82),0,IF((YEAR(D82)+3)&gt;YEAR(E82),1,(12-MONTH(E82)+1)/12))))-(IF(OR(N82="",N82&lt;=0),0,(O82/N82)*(IF(OR(N82="",N82&lt;=0),0,IF((YEAR(D82)+3)&lt;YEAR(E82),0,IF((YEAR(D82)+3)&gt;=YEAR(E82)+N82,0,IF((YEAR(D82)+3)=YEAR(E82),(12-MONTH(E82)+1)/12,1))))))))&gt;0,(((K82)*(IF(M82="",L82,IFERROR(IF(INDEX(Variablen!$I:$AT, MATCH(M82, Variablen!$A:$A, 0), MATCH((YEAR(D82)+3), Variablen!$I$3:$AT$3, 0))="",L82,INDEX(Variablen!$I:$AT, MATCH(M82, Variablen!$A:$A, 0), MATCH((YEAR(D82)+3), Variablen!$I$3:$AT$3, 0))),L82)))*(IF((YEAR(D82)+3)&lt;YEAR(E82),0,IF((YEAR(D82)+3)&gt;YEAR(E82),1,(12-MONTH(E82)+1)/12))) + (Q82)*(IF((YEAR(D82)+3)&lt;YEAR(E82),0,IF((YEAR(D82)+3)&gt;YEAR(E82),1,(12-MONTH(E82)+1)/12))))-((P82)*(IF((YEAR(D82)+3)&lt;YEAR(E82),0,IF((YEAR(D82)+3)&gt;YEAR(E82),1,(12-MONTH(E82)+1)/12))) + (R82)*(IF((YEAR(D82)+3)&lt;YEAR(E82),0,IF((YEAR(D82)+3)&gt;YEAR(E82),1,(12-MONTH(E82)+1)/12))))-(IF(OR(N82="",N82&lt;=0),0,(O82/N82)*(IF(OR(N82="",N82&lt;=0),0,IF((YEAR(D82)+3)&lt;YEAR(E82),0,IF((YEAR(D82)+3)&gt;=YEAR(E82)+N82,0,IF((YEAR(D82)+3)=YEAR(E82),(12-MONTH(E82)+1)/12,1))))))))*TaxRate,0))-IF(3=0,O82,0))</f>
        <v/>
      </c>
      <c r="W82" s="29">
        <f>IF(A82="","",((K82)*(IF(M82="",L82,IFERROR(IF(INDEX(Variablen!$I:$AT, MATCH(M82, Variablen!$A:$A, 0), MATCH((YEAR(D82)+4), Variablen!$I$3:$AT$3, 0))="",L82,INDEX(Variablen!$I:$AT, MATCH(M82, Variablen!$A:$A, 0), MATCH((YEAR(D82)+4), Variablen!$I$3:$AT$3, 0))),L82)))*(IF((YEAR(D82)+4)&lt;YEAR(E82),0,IF((YEAR(D82)+4)&gt;YEAR(E82),1,(12-MONTH(E82)+1)/12))) + (Q82)*(IF((YEAR(D82)+4)&lt;YEAR(E82),0,IF((YEAR(D82)+4)&gt;YEAR(E82),1,(12-MONTH(E82)+1)/12))))-((P82)*(IF((YEAR(D82)+4)&lt;YEAR(E82),0,IF((YEAR(D82)+4)&gt;YEAR(E82),1,(12-MONTH(E82)+1)/12))) + (R82)*(IF((YEAR(D82)+4)&lt;YEAR(E82),0,IF((YEAR(D82)+4)&gt;YEAR(E82),1,(12-MONTH(E82)+1)/12))))-(IF((((K82)*(IF(M82="",L82,IFERROR(IF(INDEX(Variablen!$I:$AT, MATCH(M82, Variablen!$A:$A, 0), MATCH((YEAR(D82)+4), Variablen!$I$3:$AT$3, 0))="",L82,INDEX(Variablen!$I:$AT, MATCH(M82, Variablen!$A:$A, 0), MATCH((YEAR(D82)+4), Variablen!$I$3:$AT$3, 0))),L82)))*(IF((YEAR(D82)+4)&lt;YEAR(E82),0,IF((YEAR(D82)+4)&gt;YEAR(E82),1,(12-MONTH(E82)+1)/12))) + (Q82)*(IF((YEAR(D82)+4)&lt;YEAR(E82),0,IF((YEAR(D82)+4)&gt;YEAR(E82),1,(12-MONTH(E82)+1)/12))))-((P82)*(IF((YEAR(D82)+4)&lt;YEAR(E82),0,IF((YEAR(D82)+4)&gt;YEAR(E82),1,(12-MONTH(E82)+1)/12))) + (R82)*(IF((YEAR(D82)+4)&lt;YEAR(E82),0,IF((YEAR(D82)+4)&gt;YEAR(E82),1,(12-MONTH(E82)+1)/12))))-(IF(OR(N82="",N82&lt;=0),0,(O82/N82)*(IF(OR(N82="",N82&lt;=0),0,IF((YEAR(D82)+4)&lt;YEAR(E82),0,IF((YEAR(D82)+4)&gt;=YEAR(E82)+N82,0,IF((YEAR(D82)+4)=YEAR(E82),(12-MONTH(E82)+1)/12,1))))))))&gt;0,(((K82)*(IF(M82="",L82,IFERROR(IF(INDEX(Variablen!$I:$AT, MATCH(M82, Variablen!$A:$A, 0), MATCH((YEAR(D82)+4), Variablen!$I$3:$AT$3, 0))="",L82,INDEX(Variablen!$I:$AT, MATCH(M82, Variablen!$A:$A, 0), MATCH((YEAR(D82)+4), Variablen!$I$3:$AT$3, 0))),L82)))*(IF((YEAR(D82)+4)&lt;YEAR(E82),0,IF((YEAR(D82)+4)&gt;YEAR(E82),1,(12-MONTH(E82)+1)/12))) + (Q82)*(IF((YEAR(D82)+4)&lt;YEAR(E82),0,IF((YEAR(D82)+4)&gt;YEAR(E82),1,(12-MONTH(E82)+1)/12))))-((P82)*(IF((YEAR(D82)+4)&lt;YEAR(E82),0,IF((YEAR(D82)+4)&gt;YEAR(E82),1,(12-MONTH(E82)+1)/12))) + (R82)*(IF((YEAR(D82)+4)&lt;YEAR(E82),0,IF((YEAR(D82)+4)&gt;YEAR(E82),1,(12-MONTH(E82)+1)/12))))-(IF(OR(N82="",N82&lt;=0),0,(O82/N82)*(IF(OR(N82="",N82&lt;=0),0,IF((YEAR(D82)+4)&lt;YEAR(E82),0,IF((YEAR(D82)+4)&gt;=YEAR(E82)+N82,0,IF((YEAR(D82)+4)=YEAR(E82),(12-MONTH(E82)+1)/12,1))))))))*TaxRate,0))-IF(4=0,O82,0))</f>
        <v/>
      </c>
      <c r="X82" s="29">
        <f>IF(A82="","",((K82)*(IF(M82="",L82,IFERROR(IF(INDEX(Variablen!$I:$AT, MATCH(M82, Variablen!$A:$A, 0), MATCH((YEAR(D82)+5), Variablen!$I$3:$AT$3, 0))="",L82,INDEX(Variablen!$I:$AT, MATCH(M82, Variablen!$A:$A, 0), MATCH((YEAR(D82)+5), Variablen!$I$3:$AT$3, 0))),L82)))*(IF((YEAR(D82)+5)&lt;YEAR(E82),0,IF((YEAR(D82)+5)&gt;YEAR(E82),1,(12-MONTH(E82)+1)/12))) + (Q82)*(IF((YEAR(D82)+5)&lt;YEAR(E82),0,IF((YEAR(D82)+5)&gt;YEAR(E82),1,(12-MONTH(E82)+1)/12))))-((P82)*(IF((YEAR(D82)+5)&lt;YEAR(E82),0,IF((YEAR(D82)+5)&gt;YEAR(E82),1,(12-MONTH(E82)+1)/12))) + (R82)*(IF((YEAR(D82)+5)&lt;YEAR(E82),0,IF((YEAR(D82)+5)&gt;YEAR(E82),1,(12-MONTH(E82)+1)/12))))-(IF((((K82)*(IF(M82="",L82,IFERROR(IF(INDEX(Variablen!$I:$AT, MATCH(M82, Variablen!$A:$A, 0), MATCH((YEAR(D82)+5), Variablen!$I$3:$AT$3, 0))="",L82,INDEX(Variablen!$I:$AT, MATCH(M82, Variablen!$A:$A, 0), MATCH((YEAR(D82)+5), Variablen!$I$3:$AT$3, 0))),L82)))*(IF((YEAR(D82)+5)&lt;YEAR(E82),0,IF((YEAR(D82)+5)&gt;YEAR(E82),1,(12-MONTH(E82)+1)/12))) + (Q82)*(IF((YEAR(D82)+5)&lt;YEAR(E82),0,IF((YEAR(D82)+5)&gt;YEAR(E82),1,(12-MONTH(E82)+1)/12))))-((P82)*(IF((YEAR(D82)+5)&lt;YEAR(E82),0,IF((YEAR(D82)+5)&gt;YEAR(E82),1,(12-MONTH(E82)+1)/12))) + (R82)*(IF((YEAR(D82)+5)&lt;YEAR(E82),0,IF((YEAR(D82)+5)&gt;YEAR(E82),1,(12-MONTH(E82)+1)/12))))-(IF(OR(N82="",N82&lt;=0),0,(O82/N82)*(IF(OR(N82="",N82&lt;=0),0,IF((YEAR(D82)+5)&lt;YEAR(E82),0,IF((YEAR(D82)+5)&gt;=YEAR(E82)+N82,0,IF((YEAR(D82)+5)=YEAR(E82),(12-MONTH(E82)+1)/12,1))))))))&gt;0,(((K82)*(IF(M82="",L82,IFERROR(IF(INDEX(Variablen!$I:$AT, MATCH(M82, Variablen!$A:$A, 0), MATCH((YEAR(D82)+5), Variablen!$I$3:$AT$3, 0))="",L82,INDEX(Variablen!$I:$AT, MATCH(M82, Variablen!$A:$A, 0), MATCH((YEAR(D82)+5), Variablen!$I$3:$AT$3, 0))),L82)))*(IF((YEAR(D82)+5)&lt;YEAR(E82),0,IF((YEAR(D82)+5)&gt;YEAR(E82),1,(12-MONTH(E82)+1)/12))) + (Q82)*(IF((YEAR(D82)+5)&lt;YEAR(E82),0,IF((YEAR(D82)+5)&gt;YEAR(E82),1,(12-MONTH(E82)+1)/12))))-((P82)*(IF((YEAR(D82)+5)&lt;YEAR(E82),0,IF((YEAR(D82)+5)&gt;YEAR(E82),1,(12-MONTH(E82)+1)/12))) + (R82)*(IF((YEAR(D82)+5)&lt;YEAR(E82),0,IF((YEAR(D82)+5)&gt;YEAR(E82),1,(12-MONTH(E82)+1)/12))))-(IF(OR(N82="",N82&lt;=0),0,(O82/N82)*(IF(OR(N82="",N82&lt;=0),0,IF((YEAR(D82)+5)&lt;YEAR(E82),0,IF((YEAR(D82)+5)&gt;=YEAR(E82)+N82,0,IF((YEAR(D82)+5)=YEAR(E82),(12-MONTH(E82)+1)/12,1))))))))*TaxRate,0))-IF(5=0,O82,0))</f>
        <v/>
      </c>
      <c r="Y82" s="29">
        <f>IF(A82="","",((K82)*(IF(M82="",L82,IFERROR(IF(INDEX(Variablen!$I:$AT, MATCH(M82, Variablen!$A:$A, 0), MATCH((YEAR(D82)+6), Variablen!$I$3:$AT$3, 0))="",L82,INDEX(Variablen!$I:$AT, MATCH(M82, Variablen!$A:$A, 0), MATCH((YEAR(D82)+6), Variablen!$I$3:$AT$3, 0))),L82)))*(IF((YEAR(D82)+6)&lt;YEAR(E82),0,IF((YEAR(D82)+6)&gt;YEAR(E82),1,(12-MONTH(E82)+1)/12))) + (Q82)*(IF((YEAR(D82)+6)&lt;YEAR(E82),0,IF((YEAR(D82)+6)&gt;YEAR(E82),1,(12-MONTH(E82)+1)/12))))-((P82)*(IF((YEAR(D82)+6)&lt;YEAR(E82),0,IF((YEAR(D82)+6)&gt;YEAR(E82),1,(12-MONTH(E82)+1)/12))) + (R82)*(IF((YEAR(D82)+6)&lt;YEAR(E82),0,IF((YEAR(D82)+6)&gt;YEAR(E82),1,(12-MONTH(E82)+1)/12))))-(IF((((K82)*(IF(M82="",L82,IFERROR(IF(INDEX(Variablen!$I:$AT, MATCH(M82, Variablen!$A:$A, 0), MATCH((YEAR(D82)+6), Variablen!$I$3:$AT$3, 0))="",L82,INDEX(Variablen!$I:$AT, MATCH(M82, Variablen!$A:$A, 0), MATCH((YEAR(D82)+6), Variablen!$I$3:$AT$3, 0))),L82)))*(IF((YEAR(D82)+6)&lt;YEAR(E82),0,IF((YEAR(D82)+6)&gt;YEAR(E82),1,(12-MONTH(E82)+1)/12))) + (Q82)*(IF((YEAR(D82)+6)&lt;YEAR(E82),0,IF((YEAR(D82)+6)&gt;YEAR(E82),1,(12-MONTH(E82)+1)/12))))-((P82)*(IF((YEAR(D82)+6)&lt;YEAR(E82),0,IF((YEAR(D82)+6)&gt;YEAR(E82),1,(12-MONTH(E82)+1)/12))) + (R82)*(IF((YEAR(D82)+6)&lt;YEAR(E82),0,IF((YEAR(D82)+6)&gt;YEAR(E82),1,(12-MONTH(E82)+1)/12))))-(IF(OR(N82="",N82&lt;=0),0,(O82/N82)*(IF(OR(N82="",N82&lt;=0),0,IF((YEAR(D82)+6)&lt;YEAR(E82),0,IF((YEAR(D82)+6)&gt;=YEAR(E82)+N82,0,IF((YEAR(D82)+6)=YEAR(E82),(12-MONTH(E82)+1)/12,1))))))))&gt;0,(((K82)*(IF(M82="",L82,IFERROR(IF(INDEX(Variablen!$I:$AT, MATCH(M82, Variablen!$A:$A, 0), MATCH((YEAR(D82)+6), Variablen!$I$3:$AT$3, 0))="",L82,INDEX(Variablen!$I:$AT, MATCH(M82, Variablen!$A:$A, 0), MATCH((YEAR(D82)+6), Variablen!$I$3:$AT$3, 0))),L82)))*(IF((YEAR(D82)+6)&lt;YEAR(E82),0,IF((YEAR(D82)+6)&gt;YEAR(E82),1,(12-MONTH(E82)+1)/12))) + (Q82)*(IF((YEAR(D82)+6)&lt;YEAR(E82),0,IF((YEAR(D82)+6)&gt;YEAR(E82),1,(12-MONTH(E82)+1)/12))))-((P82)*(IF((YEAR(D82)+6)&lt;YEAR(E82),0,IF((YEAR(D82)+6)&gt;YEAR(E82),1,(12-MONTH(E82)+1)/12))) + (R82)*(IF((YEAR(D82)+6)&lt;YEAR(E82),0,IF((YEAR(D82)+6)&gt;YEAR(E82),1,(12-MONTH(E82)+1)/12))))-(IF(OR(N82="",N82&lt;=0),0,(O82/N82)*(IF(OR(N82="",N82&lt;=0),0,IF((YEAR(D82)+6)&lt;YEAR(E82),0,IF((YEAR(D82)+6)&gt;=YEAR(E82)+N82,0,IF((YEAR(D82)+6)=YEAR(E82),(12-MONTH(E82)+1)/12,1))))))))*TaxRate,0))-IF(6=0,O82,0))</f>
        <v/>
      </c>
      <c r="Z82" s="29">
        <f>IF(A82="","",((K82)*(IF(M82="",L82,IFERROR(IF(INDEX(Variablen!$I:$AT, MATCH(M82, Variablen!$A:$A, 0), MATCH((YEAR(D82)+7), Variablen!$I$3:$AT$3, 0))="",L82,INDEX(Variablen!$I:$AT, MATCH(M82, Variablen!$A:$A, 0), MATCH((YEAR(D82)+7), Variablen!$I$3:$AT$3, 0))),L82)))*(IF((YEAR(D82)+7)&lt;YEAR(E82),0,IF((YEAR(D82)+7)&gt;YEAR(E82),1,(12-MONTH(E82)+1)/12))) + (Q82)*(IF((YEAR(D82)+7)&lt;YEAR(E82),0,IF((YEAR(D82)+7)&gt;YEAR(E82),1,(12-MONTH(E82)+1)/12))))-((P82)*(IF((YEAR(D82)+7)&lt;YEAR(E82),0,IF((YEAR(D82)+7)&gt;YEAR(E82),1,(12-MONTH(E82)+1)/12))) + (R82)*(IF((YEAR(D82)+7)&lt;YEAR(E82),0,IF((YEAR(D82)+7)&gt;YEAR(E82),1,(12-MONTH(E82)+1)/12))))-(IF((((K82)*(IF(M82="",L82,IFERROR(IF(INDEX(Variablen!$I:$AT, MATCH(M82, Variablen!$A:$A, 0), MATCH((YEAR(D82)+7), Variablen!$I$3:$AT$3, 0))="",L82,INDEX(Variablen!$I:$AT, MATCH(M82, Variablen!$A:$A, 0), MATCH((YEAR(D82)+7), Variablen!$I$3:$AT$3, 0))),L82)))*(IF((YEAR(D82)+7)&lt;YEAR(E82),0,IF((YEAR(D82)+7)&gt;YEAR(E82),1,(12-MONTH(E82)+1)/12))) + (Q82)*(IF((YEAR(D82)+7)&lt;YEAR(E82),0,IF((YEAR(D82)+7)&gt;YEAR(E82),1,(12-MONTH(E82)+1)/12))))-((P82)*(IF((YEAR(D82)+7)&lt;YEAR(E82),0,IF((YEAR(D82)+7)&gt;YEAR(E82),1,(12-MONTH(E82)+1)/12))) + (R82)*(IF((YEAR(D82)+7)&lt;YEAR(E82),0,IF((YEAR(D82)+7)&gt;YEAR(E82),1,(12-MONTH(E82)+1)/12))))-(IF(OR(N82="",N82&lt;=0),0,(O82/N82)*(IF(OR(N82="",N82&lt;=0),0,IF((YEAR(D82)+7)&lt;YEAR(E82),0,IF((YEAR(D82)+7)&gt;=YEAR(E82)+N82,0,IF((YEAR(D82)+7)=YEAR(E82),(12-MONTH(E82)+1)/12,1))))))))&gt;0,(((K82)*(IF(M82="",L82,IFERROR(IF(INDEX(Variablen!$I:$AT, MATCH(M82, Variablen!$A:$A, 0), MATCH((YEAR(D82)+7), Variablen!$I$3:$AT$3, 0))="",L82,INDEX(Variablen!$I:$AT, MATCH(M82, Variablen!$A:$A, 0), MATCH((YEAR(D82)+7), Variablen!$I$3:$AT$3, 0))),L82)))*(IF((YEAR(D82)+7)&lt;YEAR(E82),0,IF((YEAR(D82)+7)&gt;YEAR(E82),1,(12-MONTH(E82)+1)/12))) + (Q82)*(IF((YEAR(D82)+7)&lt;YEAR(E82),0,IF((YEAR(D82)+7)&gt;YEAR(E82),1,(12-MONTH(E82)+1)/12))))-((P82)*(IF((YEAR(D82)+7)&lt;YEAR(E82),0,IF((YEAR(D82)+7)&gt;YEAR(E82),1,(12-MONTH(E82)+1)/12))) + (R82)*(IF((YEAR(D82)+7)&lt;YEAR(E82),0,IF((YEAR(D82)+7)&gt;YEAR(E82),1,(12-MONTH(E82)+1)/12))))-(IF(OR(N82="",N82&lt;=0),0,(O82/N82)*(IF(OR(N82="",N82&lt;=0),0,IF((YEAR(D82)+7)&lt;YEAR(E82),0,IF((YEAR(D82)+7)&gt;=YEAR(E82)+N82,0,IF((YEAR(D82)+7)=YEAR(E82),(12-MONTH(E82)+1)/12,1))))))))*TaxRate,0))-IF(7=0,O82,0))</f>
        <v/>
      </c>
      <c r="AA82" s="29">
        <f>IF(A82="","",((K82)*(IF(M82="",L82,IFERROR(IF(INDEX(Variablen!$I:$AT, MATCH(M82, Variablen!$A:$A, 0), MATCH((YEAR(D82)+8), Variablen!$I$3:$AT$3, 0))="",L82,INDEX(Variablen!$I:$AT, MATCH(M82, Variablen!$A:$A, 0), MATCH((YEAR(D82)+8), Variablen!$I$3:$AT$3, 0))),L82)))*(IF((YEAR(D82)+8)&lt;YEAR(E82),0,IF((YEAR(D82)+8)&gt;YEAR(E82),1,(12-MONTH(E82)+1)/12))) + (Q82)*(IF((YEAR(D82)+8)&lt;YEAR(E82),0,IF((YEAR(D82)+8)&gt;YEAR(E82),1,(12-MONTH(E82)+1)/12))))-((P82)*(IF((YEAR(D82)+8)&lt;YEAR(E82),0,IF((YEAR(D82)+8)&gt;YEAR(E82),1,(12-MONTH(E82)+1)/12))) + (R82)*(IF((YEAR(D82)+8)&lt;YEAR(E82),0,IF((YEAR(D82)+8)&gt;YEAR(E82),1,(12-MONTH(E82)+1)/12))))-(IF((((K82)*(IF(M82="",L82,IFERROR(IF(INDEX(Variablen!$I:$AT, MATCH(M82, Variablen!$A:$A, 0), MATCH((YEAR(D82)+8), Variablen!$I$3:$AT$3, 0))="",L82,INDEX(Variablen!$I:$AT, MATCH(M82, Variablen!$A:$A, 0), MATCH((YEAR(D82)+8), Variablen!$I$3:$AT$3, 0))),L82)))*(IF((YEAR(D82)+8)&lt;YEAR(E82),0,IF((YEAR(D82)+8)&gt;YEAR(E82),1,(12-MONTH(E82)+1)/12))) + (Q82)*(IF((YEAR(D82)+8)&lt;YEAR(E82),0,IF((YEAR(D82)+8)&gt;YEAR(E82),1,(12-MONTH(E82)+1)/12))))-((P82)*(IF((YEAR(D82)+8)&lt;YEAR(E82),0,IF((YEAR(D82)+8)&gt;YEAR(E82),1,(12-MONTH(E82)+1)/12))) + (R82)*(IF((YEAR(D82)+8)&lt;YEAR(E82),0,IF((YEAR(D82)+8)&gt;YEAR(E82),1,(12-MONTH(E82)+1)/12))))-(IF(OR(N82="",N82&lt;=0),0,(O82/N82)*(IF(OR(N82="",N82&lt;=0),0,IF((YEAR(D82)+8)&lt;YEAR(E82),0,IF((YEAR(D82)+8)&gt;=YEAR(E82)+N82,0,IF((YEAR(D82)+8)=YEAR(E82),(12-MONTH(E82)+1)/12,1))))))))&gt;0,(((K82)*(IF(M82="",L82,IFERROR(IF(INDEX(Variablen!$I:$AT, MATCH(M82, Variablen!$A:$A, 0), MATCH((YEAR(D82)+8), Variablen!$I$3:$AT$3, 0))="",L82,INDEX(Variablen!$I:$AT, MATCH(M82, Variablen!$A:$A, 0), MATCH((YEAR(D82)+8), Variablen!$I$3:$AT$3, 0))),L82)))*(IF((YEAR(D82)+8)&lt;YEAR(E82),0,IF((YEAR(D82)+8)&gt;YEAR(E82),1,(12-MONTH(E82)+1)/12))) + (Q82)*(IF((YEAR(D82)+8)&lt;YEAR(E82),0,IF((YEAR(D82)+8)&gt;YEAR(E82),1,(12-MONTH(E82)+1)/12))))-((P82)*(IF((YEAR(D82)+8)&lt;YEAR(E82),0,IF((YEAR(D82)+8)&gt;YEAR(E82),1,(12-MONTH(E82)+1)/12))) + (R82)*(IF((YEAR(D82)+8)&lt;YEAR(E82),0,IF((YEAR(D82)+8)&gt;YEAR(E82),1,(12-MONTH(E82)+1)/12))))-(IF(OR(N82="",N82&lt;=0),0,(O82/N82)*(IF(OR(N82="",N82&lt;=0),0,IF((YEAR(D82)+8)&lt;YEAR(E82),0,IF((YEAR(D82)+8)&gt;=YEAR(E82)+N82,0,IF((YEAR(D82)+8)=YEAR(E82),(12-MONTH(E82)+1)/12,1))))))))*TaxRate,0))-IF(8=0,O82,0))</f>
        <v/>
      </c>
      <c r="AB82" s="29">
        <f>IF(A82="","",((K82)*(IF(M82="",L82,IFERROR(IF(INDEX(Variablen!$I:$AT, MATCH(M82, Variablen!$A:$A, 0), MATCH((YEAR(D82)+9), Variablen!$I$3:$AT$3, 0))="",L82,INDEX(Variablen!$I:$AT, MATCH(M82, Variablen!$A:$A, 0), MATCH((YEAR(D82)+9), Variablen!$I$3:$AT$3, 0))),L82)))*(IF((YEAR(D82)+9)&lt;YEAR(E82),0,IF((YEAR(D82)+9)&gt;YEAR(E82),1,(12-MONTH(E82)+1)/12))) + (Q82)*(IF((YEAR(D82)+9)&lt;YEAR(E82),0,IF((YEAR(D82)+9)&gt;YEAR(E82),1,(12-MONTH(E82)+1)/12))))-((P82)*(IF((YEAR(D82)+9)&lt;YEAR(E82),0,IF((YEAR(D82)+9)&gt;YEAR(E82),1,(12-MONTH(E82)+1)/12))) + (R82)*(IF((YEAR(D82)+9)&lt;YEAR(E82),0,IF((YEAR(D82)+9)&gt;YEAR(E82),1,(12-MONTH(E82)+1)/12))))-(IF((((K82)*(IF(M82="",L82,IFERROR(IF(INDEX(Variablen!$I:$AT, MATCH(M82, Variablen!$A:$A, 0), MATCH((YEAR(D82)+9), Variablen!$I$3:$AT$3, 0))="",L82,INDEX(Variablen!$I:$AT, MATCH(M82, Variablen!$A:$A, 0), MATCH((YEAR(D82)+9), Variablen!$I$3:$AT$3, 0))),L82)))*(IF((YEAR(D82)+9)&lt;YEAR(E82),0,IF((YEAR(D82)+9)&gt;YEAR(E82),1,(12-MONTH(E82)+1)/12))) + (Q82)*(IF((YEAR(D82)+9)&lt;YEAR(E82),0,IF((YEAR(D82)+9)&gt;YEAR(E82),1,(12-MONTH(E82)+1)/12))))-((P82)*(IF((YEAR(D82)+9)&lt;YEAR(E82),0,IF((YEAR(D82)+9)&gt;YEAR(E82),1,(12-MONTH(E82)+1)/12))) + (R82)*(IF((YEAR(D82)+9)&lt;YEAR(E82),0,IF((YEAR(D82)+9)&gt;YEAR(E82),1,(12-MONTH(E82)+1)/12))))-(IF(OR(N82="",N82&lt;=0),0,(O82/N82)*(IF(OR(N82="",N82&lt;=0),0,IF((YEAR(D82)+9)&lt;YEAR(E82),0,IF((YEAR(D82)+9)&gt;=YEAR(E82)+N82,0,IF((YEAR(D82)+9)=YEAR(E82),(12-MONTH(E82)+1)/12,1))))))))&gt;0,(((K82)*(IF(M82="",L82,IFERROR(IF(INDEX(Variablen!$I:$AT, MATCH(M82, Variablen!$A:$A, 0), MATCH((YEAR(D82)+9), Variablen!$I$3:$AT$3, 0))="",L82,INDEX(Variablen!$I:$AT, MATCH(M82, Variablen!$A:$A, 0), MATCH((YEAR(D82)+9), Variablen!$I$3:$AT$3, 0))),L82)))*(IF((YEAR(D82)+9)&lt;YEAR(E82),0,IF((YEAR(D82)+9)&gt;YEAR(E82),1,(12-MONTH(E82)+1)/12))) + (Q82)*(IF((YEAR(D82)+9)&lt;YEAR(E82),0,IF((YEAR(D82)+9)&gt;YEAR(E82),1,(12-MONTH(E82)+1)/12))))-((P82)*(IF((YEAR(D82)+9)&lt;YEAR(E82),0,IF((YEAR(D82)+9)&gt;YEAR(E82),1,(12-MONTH(E82)+1)/12))) + (R82)*(IF((YEAR(D82)+9)&lt;YEAR(E82),0,IF((YEAR(D82)+9)&gt;YEAR(E82),1,(12-MONTH(E82)+1)/12))))-(IF(OR(N82="",N82&lt;=0),0,(O82/N82)*(IF(OR(N82="",N82&lt;=0),0,IF((YEAR(D82)+9)&lt;YEAR(E82),0,IF((YEAR(D82)+9)&gt;=YEAR(E82)+N82,0,IF((YEAR(D82)+9)=YEAR(E82),(12-MONTH(E82)+1)/12,1))))))))*TaxRate,0))-IF(9=0,O82,0))</f>
        <v/>
      </c>
      <c r="AC82" s="29">
        <f>IF(A82="","",((K82)*(IF(M82="",L82,IFERROR(IF(INDEX(Variablen!$I:$AT, MATCH(M82, Variablen!$A:$A, 0), MATCH((YEAR(D82)+10), Variablen!$I$3:$AT$3, 0))="",L82,INDEX(Variablen!$I:$AT, MATCH(M82, Variablen!$A:$A, 0), MATCH((YEAR(D82)+10), Variablen!$I$3:$AT$3, 0))),L82)))*(IF((YEAR(D82)+10)&lt;YEAR(E82),0,IF((YEAR(D82)+10)&gt;YEAR(E82),1,(12-MONTH(E82)+1)/12))) + (Q82)*(IF((YEAR(D82)+10)&lt;YEAR(E82),0,IF((YEAR(D82)+10)&gt;YEAR(E82),1,(12-MONTH(E82)+1)/12))))-((P82)*(IF((YEAR(D82)+10)&lt;YEAR(E82),0,IF((YEAR(D82)+10)&gt;YEAR(E82),1,(12-MONTH(E82)+1)/12))) + (R82)*(IF((YEAR(D82)+10)&lt;YEAR(E82),0,IF((YEAR(D82)+10)&gt;YEAR(E82),1,(12-MONTH(E82)+1)/12))))-(IF((((K82)*(IF(M82="",L82,IFERROR(IF(INDEX(Variablen!$I:$AT, MATCH(M82, Variablen!$A:$A, 0), MATCH((YEAR(D82)+10), Variablen!$I$3:$AT$3, 0))="",L82,INDEX(Variablen!$I:$AT, MATCH(M82, Variablen!$A:$A, 0), MATCH((YEAR(D82)+10), Variablen!$I$3:$AT$3, 0))),L82)))*(IF((YEAR(D82)+10)&lt;YEAR(E82),0,IF((YEAR(D82)+10)&gt;YEAR(E82),1,(12-MONTH(E82)+1)/12))) + (Q82)*(IF((YEAR(D82)+10)&lt;YEAR(E82),0,IF((YEAR(D82)+10)&gt;YEAR(E82),1,(12-MONTH(E82)+1)/12))))-((P82)*(IF((YEAR(D82)+10)&lt;YEAR(E82),0,IF((YEAR(D82)+10)&gt;YEAR(E82),1,(12-MONTH(E82)+1)/12))) + (R82)*(IF((YEAR(D82)+10)&lt;YEAR(E82),0,IF((YEAR(D82)+10)&gt;YEAR(E82),1,(12-MONTH(E82)+1)/12))))-(IF(OR(N82="",N82&lt;=0),0,(O82/N82)*(IF(OR(N82="",N82&lt;=0),0,IF((YEAR(D82)+10)&lt;YEAR(E82),0,IF((YEAR(D82)+10)&gt;=YEAR(E82)+N82,0,IF((YEAR(D82)+10)=YEAR(E82),(12-MONTH(E82)+1)/12,1))))))))&gt;0,(((K82)*(IF(M82="",L82,IFERROR(IF(INDEX(Variablen!$I:$AT, MATCH(M82, Variablen!$A:$A, 0), MATCH((YEAR(D82)+10), Variablen!$I$3:$AT$3, 0))="",L82,INDEX(Variablen!$I:$AT, MATCH(M82, Variablen!$A:$A, 0), MATCH((YEAR(D82)+10), Variablen!$I$3:$AT$3, 0))),L82)))*(IF((YEAR(D82)+10)&lt;YEAR(E82),0,IF((YEAR(D82)+10)&gt;YEAR(E82),1,(12-MONTH(E82)+1)/12))) + (Q82)*(IF((YEAR(D82)+10)&lt;YEAR(E82),0,IF((YEAR(D82)+10)&gt;YEAR(E82),1,(12-MONTH(E82)+1)/12))))-((P82)*(IF((YEAR(D82)+10)&lt;YEAR(E82),0,IF((YEAR(D82)+10)&gt;YEAR(E82),1,(12-MONTH(E82)+1)/12))) + (R82)*(IF((YEAR(D82)+10)&lt;YEAR(E82),0,IF((YEAR(D82)+10)&gt;YEAR(E82),1,(12-MONTH(E82)+1)/12))))-(IF(OR(N82="",N82&lt;=0),0,(O82/N82)*(IF(OR(N82="",N82&lt;=0),0,IF((YEAR(D82)+10)&lt;YEAR(E82),0,IF((YEAR(D82)+10)&gt;=YEAR(E82)+N82,0,IF((YEAR(D82)+10)=YEAR(E82),(12-MONTH(E82)+1)/12,1))))))))*TaxRate,0))-IF(10=0,O82,0))</f>
        <v/>
      </c>
      <c r="AD82" s="29">
        <f>IF(A82="","",((K82)*(IF(M82="",L82,IFERROR(IF(INDEX(Variablen!$I:$AT, MATCH(M82, Variablen!$A:$A, 0), MATCH((YEAR(D82)+11), Variablen!$I$3:$AT$3, 0))="",L82,INDEX(Variablen!$I:$AT, MATCH(M82, Variablen!$A:$A, 0), MATCH((YEAR(D82)+11), Variablen!$I$3:$AT$3, 0))),L82)))*(IF((YEAR(D82)+11)&lt;YEAR(E82),0,IF((YEAR(D82)+11)&gt;YEAR(E82),1,(12-MONTH(E82)+1)/12))) + (Q82)*(IF((YEAR(D82)+11)&lt;YEAR(E82),0,IF((YEAR(D82)+11)&gt;YEAR(E82),1,(12-MONTH(E82)+1)/12))))-((P82)*(IF((YEAR(D82)+11)&lt;YEAR(E82),0,IF((YEAR(D82)+11)&gt;YEAR(E82),1,(12-MONTH(E82)+1)/12))) + (R82)*(IF((YEAR(D82)+11)&lt;YEAR(E82),0,IF((YEAR(D82)+11)&gt;YEAR(E82),1,(12-MONTH(E82)+1)/12))))-(IF((((K82)*(IF(M82="",L82,IFERROR(IF(INDEX(Variablen!$I:$AT, MATCH(M82, Variablen!$A:$A, 0), MATCH((YEAR(D82)+11), Variablen!$I$3:$AT$3, 0))="",L82,INDEX(Variablen!$I:$AT, MATCH(M82, Variablen!$A:$A, 0), MATCH((YEAR(D82)+11), Variablen!$I$3:$AT$3, 0))),L82)))*(IF((YEAR(D82)+11)&lt;YEAR(E82),0,IF((YEAR(D82)+11)&gt;YEAR(E82),1,(12-MONTH(E82)+1)/12))) + (Q82)*(IF((YEAR(D82)+11)&lt;YEAR(E82),0,IF((YEAR(D82)+11)&gt;YEAR(E82),1,(12-MONTH(E82)+1)/12))))-((P82)*(IF((YEAR(D82)+11)&lt;YEAR(E82),0,IF((YEAR(D82)+11)&gt;YEAR(E82),1,(12-MONTH(E82)+1)/12))) + (R82)*(IF((YEAR(D82)+11)&lt;YEAR(E82),0,IF((YEAR(D82)+11)&gt;YEAR(E82),1,(12-MONTH(E82)+1)/12))))-(IF(OR(N82="",N82&lt;=0),0,(O82/N82)*(IF(OR(N82="",N82&lt;=0),0,IF((YEAR(D82)+11)&lt;YEAR(E82),0,IF((YEAR(D82)+11)&gt;=YEAR(E82)+N82,0,IF((YEAR(D82)+11)=YEAR(E82),(12-MONTH(E82)+1)/12,1))))))))&gt;0,(((K82)*(IF(M82="",L82,IFERROR(IF(INDEX(Variablen!$I:$AT, MATCH(M82, Variablen!$A:$A, 0), MATCH((YEAR(D82)+11), Variablen!$I$3:$AT$3, 0))="",L82,INDEX(Variablen!$I:$AT, MATCH(M82, Variablen!$A:$A, 0), MATCH((YEAR(D82)+11), Variablen!$I$3:$AT$3, 0))),L82)))*(IF((YEAR(D82)+11)&lt;YEAR(E82),0,IF((YEAR(D82)+11)&gt;YEAR(E82),1,(12-MONTH(E82)+1)/12))) + (Q82)*(IF((YEAR(D82)+11)&lt;YEAR(E82),0,IF((YEAR(D82)+11)&gt;YEAR(E82),1,(12-MONTH(E82)+1)/12))))-((P82)*(IF((YEAR(D82)+11)&lt;YEAR(E82),0,IF((YEAR(D82)+11)&gt;YEAR(E82),1,(12-MONTH(E82)+1)/12))) + (R82)*(IF((YEAR(D82)+11)&lt;YEAR(E82),0,IF((YEAR(D82)+11)&gt;YEAR(E82),1,(12-MONTH(E82)+1)/12))))-(IF(OR(N82="",N82&lt;=0),0,(O82/N82)*(IF(OR(N82="",N82&lt;=0),0,IF((YEAR(D82)+11)&lt;YEAR(E82),0,IF((YEAR(D82)+11)&gt;=YEAR(E82)+N82,0,IF((YEAR(D82)+11)=YEAR(E82),(12-MONTH(E82)+1)/12,1))))))))*TaxRate,0))-IF(11=0,O82,0))</f>
        <v/>
      </c>
      <c r="AE82" s="29">
        <f>IF(A82="","",((K82)*(IF(M82="",L82,IFERROR(IF(INDEX(Variablen!$I:$AT, MATCH(M82, Variablen!$A:$A, 0), MATCH((YEAR(D82)+12), Variablen!$I$3:$AT$3, 0))="",L82,INDEX(Variablen!$I:$AT, MATCH(M82, Variablen!$A:$A, 0), MATCH((YEAR(D82)+12), Variablen!$I$3:$AT$3, 0))),L82)))*(IF((YEAR(D82)+12)&lt;YEAR(E82),0,IF((YEAR(D82)+12)&gt;YEAR(E82),1,(12-MONTH(E82)+1)/12))) + (Q82)*(IF((YEAR(D82)+12)&lt;YEAR(E82),0,IF((YEAR(D82)+12)&gt;YEAR(E82),1,(12-MONTH(E82)+1)/12))))-((P82)*(IF((YEAR(D82)+12)&lt;YEAR(E82),0,IF((YEAR(D82)+12)&gt;YEAR(E82),1,(12-MONTH(E82)+1)/12))) + (R82)*(IF((YEAR(D82)+12)&lt;YEAR(E82),0,IF((YEAR(D82)+12)&gt;YEAR(E82),1,(12-MONTH(E82)+1)/12))))-(IF((((K82)*(IF(M82="",L82,IFERROR(IF(INDEX(Variablen!$I:$AT, MATCH(M82, Variablen!$A:$A, 0), MATCH((YEAR(D82)+12), Variablen!$I$3:$AT$3, 0))="",L82,INDEX(Variablen!$I:$AT, MATCH(M82, Variablen!$A:$A, 0), MATCH((YEAR(D82)+12), Variablen!$I$3:$AT$3, 0))),L82)))*(IF((YEAR(D82)+12)&lt;YEAR(E82),0,IF((YEAR(D82)+12)&gt;YEAR(E82),1,(12-MONTH(E82)+1)/12))) + (Q82)*(IF((YEAR(D82)+12)&lt;YEAR(E82),0,IF((YEAR(D82)+12)&gt;YEAR(E82),1,(12-MONTH(E82)+1)/12))))-((P82)*(IF((YEAR(D82)+12)&lt;YEAR(E82),0,IF((YEAR(D82)+12)&gt;YEAR(E82),1,(12-MONTH(E82)+1)/12))) + (R82)*(IF((YEAR(D82)+12)&lt;YEAR(E82),0,IF((YEAR(D82)+12)&gt;YEAR(E82),1,(12-MONTH(E82)+1)/12))))-(IF(OR(N82="",N82&lt;=0),0,(O82/N82)*(IF(OR(N82="",N82&lt;=0),0,IF((YEAR(D82)+12)&lt;YEAR(E82),0,IF((YEAR(D82)+12)&gt;=YEAR(E82)+N82,0,IF((YEAR(D82)+12)=YEAR(E82),(12-MONTH(E82)+1)/12,1))))))))&gt;0,(((K82)*(IF(M82="",L82,IFERROR(IF(INDEX(Variablen!$I:$AT, MATCH(M82, Variablen!$A:$A, 0), MATCH((YEAR(D82)+12), Variablen!$I$3:$AT$3, 0))="",L82,INDEX(Variablen!$I:$AT, MATCH(M82, Variablen!$A:$A, 0), MATCH((YEAR(D82)+12), Variablen!$I$3:$AT$3, 0))),L82)))*(IF((YEAR(D82)+12)&lt;YEAR(E82),0,IF((YEAR(D82)+12)&gt;YEAR(E82),1,(12-MONTH(E82)+1)/12))) + (Q82)*(IF((YEAR(D82)+12)&lt;YEAR(E82),0,IF((YEAR(D82)+12)&gt;YEAR(E82),1,(12-MONTH(E82)+1)/12))))-((P82)*(IF((YEAR(D82)+12)&lt;YEAR(E82),0,IF((YEAR(D82)+12)&gt;YEAR(E82),1,(12-MONTH(E82)+1)/12))) + (R82)*(IF((YEAR(D82)+12)&lt;YEAR(E82),0,IF((YEAR(D82)+12)&gt;YEAR(E82),1,(12-MONTH(E82)+1)/12))))-(IF(OR(N82="",N82&lt;=0),0,(O82/N82)*(IF(OR(N82="",N82&lt;=0),0,IF((YEAR(D82)+12)&lt;YEAR(E82),0,IF((YEAR(D82)+12)&gt;=YEAR(E82)+N82,0,IF((YEAR(D82)+12)=YEAR(E82),(12-MONTH(E82)+1)/12,1))))))))*TaxRate,0))-IF(12=0,O82,0))</f>
        <v/>
      </c>
      <c r="AF82" s="29">
        <f>IF(A82="","",((K82)*(IF(M82="",L82,IFERROR(IF(INDEX(Variablen!$I:$AT, MATCH(M82, Variablen!$A:$A, 0), MATCH((YEAR(D82)+13), Variablen!$I$3:$AT$3, 0))="",L82,INDEX(Variablen!$I:$AT, MATCH(M82, Variablen!$A:$A, 0), MATCH((YEAR(D82)+13), Variablen!$I$3:$AT$3, 0))),L82)))*(IF((YEAR(D82)+13)&lt;YEAR(E82),0,IF((YEAR(D82)+13)&gt;YEAR(E82),1,(12-MONTH(E82)+1)/12))) + (Q82)*(IF((YEAR(D82)+13)&lt;YEAR(E82),0,IF((YEAR(D82)+13)&gt;YEAR(E82),1,(12-MONTH(E82)+1)/12))))-((P82)*(IF((YEAR(D82)+13)&lt;YEAR(E82),0,IF((YEAR(D82)+13)&gt;YEAR(E82),1,(12-MONTH(E82)+1)/12))) + (R82)*(IF((YEAR(D82)+13)&lt;YEAR(E82),0,IF((YEAR(D82)+13)&gt;YEAR(E82),1,(12-MONTH(E82)+1)/12))))-(IF((((K82)*(IF(M82="",L82,IFERROR(IF(INDEX(Variablen!$I:$AT, MATCH(M82, Variablen!$A:$A, 0), MATCH((YEAR(D82)+13), Variablen!$I$3:$AT$3, 0))="",L82,INDEX(Variablen!$I:$AT, MATCH(M82, Variablen!$A:$A, 0), MATCH((YEAR(D82)+13), Variablen!$I$3:$AT$3, 0))),L82)))*(IF((YEAR(D82)+13)&lt;YEAR(E82),0,IF((YEAR(D82)+13)&gt;YEAR(E82),1,(12-MONTH(E82)+1)/12))) + (Q82)*(IF((YEAR(D82)+13)&lt;YEAR(E82),0,IF((YEAR(D82)+13)&gt;YEAR(E82),1,(12-MONTH(E82)+1)/12))))-((P82)*(IF((YEAR(D82)+13)&lt;YEAR(E82),0,IF((YEAR(D82)+13)&gt;YEAR(E82),1,(12-MONTH(E82)+1)/12))) + (R82)*(IF((YEAR(D82)+13)&lt;YEAR(E82),0,IF((YEAR(D82)+13)&gt;YEAR(E82),1,(12-MONTH(E82)+1)/12))))-(IF(OR(N82="",N82&lt;=0),0,(O82/N82)*(IF(OR(N82="",N82&lt;=0),0,IF((YEAR(D82)+13)&lt;YEAR(E82),0,IF((YEAR(D82)+13)&gt;=YEAR(E82)+N82,0,IF((YEAR(D82)+13)=YEAR(E82),(12-MONTH(E82)+1)/12,1))))))))&gt;0,(((K82)*(IF(M82="",L82,IFERROR(IF(INDEX(Variablen!$I:$AT, MATCH(M82, Variablen!$A:$A, 0), MATCH((YEAR(D82)+13), Variablen!$I$3:$AT$3, 0))="",L82,INDEX(Variablen!$I:$AT, MATCH(M82, Variablen!$A:$A, 0), MATCH((YEAR(D82)+13), Variablen!$I$3:$AT$3, 0))),L82)))*(IF((YEAR(D82)+13)&lt;YEAR(E82),0,IF((YEAR(D82)+13)&gt;YEAR(E82),1,(12-MONTH(E82)+1)/12))) + (Q82)*(IF((YEAR(D82)+13)&lt;YEAR(E82),0,IF((YEAR(D82)+13)&gt;YEAR(E82),1,(12-MONTH(E82)+1)/12))))-((P82)*(IF((YEAR(D82)+13)&lt;YEAR(E82),0,IF((YEAR(D82)+13)&gt;YEAR(E82),1,(12-MONTH(E82)+1)/12))) + (R82)*(IF((YEAR(D82)+13)&lt;YEAR(E82),0,IF((YEAR(D82)+13)&gt;YEAR(E82),1,(12-MONTH(E82)+1)/12))))-(IF(OR(N82="",N82&lt;=0),0,(O82/N82)*(IF(OR(N82="",N82&lt;=0),0,IF((YEAR(D82)+13)&lt;YEAR(E82),0,IF((YEAR(D82)+13)&gt;=YEAR(E82)+N82,0,IF((YEAR(D82)+13)=YEAR(E82),(12-MONTH(E82)+1)/12,1))))))))*TaxRate,0))-IF(13=0,O82,0))</f>
        <v/>
      </c>
      <c r="AG82" s="29">
        <f>IF(A82="","",((K82)*(IF(M82="",L82,IFERROR(IF(INDEX(Variablen!$I:$AT, MATCH(M82, Variablen!$A:$A, 0), MATCH((YEAR(D82)+14), Variablen!$I$3:$AT$3, 0))="",L82,INDEX(Variablen!$I:$AT, MATCH(M82, Variablen!$A:$A, 0), MATCH((YEAR(D82)+14), Variablen!$I$3:$AT$3, 0))),L82)))*(IF((YEAR(D82)+14)&lt;YEAR(E82),0,IF((YEAR(D82)+14)&gt;YEAR(E82),1,(12-MONTH(E82)+1)/12))) + (Q82)*(IF((YEAR(D82)+14)&lt;YEAR(E82),0,IF((YEAR(D82)+14)&gt;YEAR(E82),1,(12-MONTH(E82)+1)/12))))-((P82)*(IF((YEAR(D82)+14)&lt;YEAR(E82),0,IF((YEAR(D82)+14)&gt;YEAR(E82),1,(12-MONTH(E82)+1)/12))) + (R82)*(IF((YEAR(D82)+14)&lt;YEAR(E82),0,IF((YEAR(D82)+14)&gt;YEAR(E82),1,(12-MONTH(E82)+1)/12))))-(IF((((K82)*(IF(M82="",L82,IFERROR(IF(INDEX(Variablen!$I:$AT, MATCH(M82, Variablen!$A:$A, 0), MATCH((YEAR(D82)+14), Variablen!$I$3:$AT$3, 0))="",L82,INDEX(Variablen!$I:$AT, MATCH(M82, Variablen!$A:$A, 0), MATCH((YEAR(D82)+14), Variablen!$I$3:$AT$3, 0))),L82)))*(IF((YEAR(D82)+14)&lt;YEAR(E82),0,IF((YEAR(D82)+14)&gt;YEAR(E82),1,(12-MONTH(E82)+1)/12))) + (Q82)*(IF((YEAR(D82)+14)&lt;YEAR(E82),0,IF((YEAR(D82)+14)&gt;YEAR(E82),1,(12-MONTH(E82)+1)/12))))-((P82)*(IF((YEAR(D82)+14)&lt;YEAR(E82),0,IF((YEAR(D82)+14)&gt;YEAR(E82),1,(12-MONTH(E82)+1)/12))) + (R82)*(IF((YEAR(D82)+14)&lt;YEAR(E82),0,IF((YEAR(D82)+14)&gt;YEAR(E82),1,(12-MONTH(E82)+1)/12))))-(IF(OR(N82="",N82&lt;=0),0,(O82/N82)*(IF(OR(N82="",N82&lt;=0),0,IF((YEAR(D82)+14)&lt;YEAR(E82),0,IF((YEAR(D82)+14)&gt;=YEAR(E82)+N82,0,IF((YEAR(D82)+14)=YEAR(E82),(12-MONTH(E82)+1)/12,1))))))))&gt;0,(((K82)*(IF(M82="",L82,IFERROR(IF(INDEX(Variablen!$I:$AT, MATCH(M82, Variablen!$A:$A, 0), MATCH((YEAR(D82)+14), Variablen!$I$3:$AT$3, 0))="",L82,INDEX(Variablen!$I:$AT, MATCH(M82, Variablen!$A:$A, 0), MATCH((YEAR(D82)+14), Variablen!$I$3:$AT$3, 0))),L82)))*(IF((YEAR(D82)+14)&lt;YEAR(E82),0,IF((YEAR(D82)+14)&gt;YEAR(E82),1,(12-MONTH(E82)+1)/12))) + (Q82)*(IF((YEAR(D82)+14)&lt;YEAR(E82),0,IF((YEAR(D82)+14)&gt;YEAR(E82),1,(12-MONTH(E82)+1)/12))))-((P82)*(IF((YEAR(D82)+14)&lt;YEAR(E82),0,IF((YEAR(D82)+14)&gt;YEAR(E82),1,(12-MONTH(E82)+1)/12))) + (R82)*(IF((YEAR(D82)+14)&lt;YEAR(E82),0,IF((YEAR(D82)+14)&gt;YEAR(E82),1,(12-MONTH(E82)+1)/12))))-(IF(OR(N82="",N82&lt;=0),0,(O82/N82)*(IF(OR(N82="",N82&lt;=0),0,IF((YEAR(D82)+14)&lt;YEAR(E82),0,IF((YEAR(D82)+14)&gt;=YEAR(E82)+N82,0,IF((YEAR(D82)+14)=YEAR(E82),(12-MONTH(E82)+1)/12,1))))))))*TaxRate,0))-IF(14=0,O82,0))</f>
        <v/>
      </c>
      <c r="AH82" s="29">
        <f>IF(A82="","",((K82)*(IF(M82="",L82,IFERROR(IF(INDEX(Variablen!$I:$AT, MATCH(M82, Variablen!$A:$A, 0), MATCH((YEAR(D82)+15), Variablen!$I$3:$AT$3, 0))="",L82,INDEX(Variablen!$I:$AT, MATCH(M82, Variablen!$A:$A, 0), MATCH((YEAR(D82)+15), Variablen!$I$3:$AT$3, 0))),L82)))*(IF((YEAR(D82)+15)&lt;YEAR(E82),0,IF((YEAR(D82)+15)&gt;YEAR(E82),1,(12-MONTH(E82)+1)/12))) + (Q82)*(IF((YEAR(D82)+15)&lt;YEAR(E82),0,IF((YEAR(D82)+15)&gt;YEAR(E82),1,(12-MONTH(E82)+1)/12))))-((P82)*(IF((YEAR(D82)+15)&lt;YEAR(E82),0,IF((YEAR(D82)+15)&gt;YEAR(E82),1,(12-MONTH(E82)+1)/12))) + (R82)*(IF((YEAR(D82)+15)&lt;YEAR(E82),0,IF((YEAR(D82)+15)&gt;YEAR(E82),1,(12-MONTH(E82)+1)/12))))-(IF((((K82)*(IF(M82="",L82,IFERROR(IF(INDEX(Variablen!$I:$AT, MATCH(M82, Variablen!$A:$A, 0), MATCH((YEAR(D82)+15), Variablen!$I$3:$AT$3, 0))="",L82,INDEX(Variablen!$I:$AT, MATCH(M82, Variablen!$A:$A, 0), MATCH((YEAR(D82)+15), Variablen!$I$3:$AT$3, 0))),L82)))*(IF((YEAR(D82)+15)&lt;YEAR(E82),0,IF((YEAR(D82)+15)&gt;YEAR(E82),1,(12-MONTH(E82)+1)/12))) + (Q82)*(IF((YEAR(D82)+15)&lt;YEAR(E82),0,IF((YEAR(D82)+15)&gt;YEAR(E82),1,(12-MONTH(E82)+1)/12))))-((P82)*(IF((YEAR(D82)+15)&lt;YEAR(E82),0,IF((YEAR(D82)+15)&gt;YEAR(E82),1,(12-MONTH(E82)+1)/12))) + (R82)*(IF((YEAR(D82)+15)&lt;YEAR(E82),0,IF((YEAR(D82)+15)&gt;YEAR(E82),1,(12-MONTH(E82)+1)/12))))-(IF(OR(N82="",N82&lt;=0),0,(O82/N82)*(IF(OR(N82="",N82&lt;=0),0,IF((YEAR(D82)+15)&lt;YEAR(E82),0,IF((YEAR(D82)+15)&gt;=YEAR(E82)+N82,0,IF((YEAR(D82)+15)=YEAR(E82),(12-MONTH(E82)+1)/12,1))))))))&gt;0,(((K82)*(IF(M82="",L82,IFERROR(IF(INDEX(Variablen!$I:$AT, MATCH(M82, Variablen!$A:$A, 0), MATCH((YEAR(D82)+15), Variablen!$I$3:$AT$3, 0))="",L82,INDEX(Variablen!$I:$AT, MATCH(M82, Variablen!$A:$A, 0), MATCH((YEAR(D82)+15), Variablen!$I$3:$AT$3, 0))),L82)))*(IF((YEAR(D82)+15)&lt;YEAR(E82),0,IF((YEAR(D82)+15)&gt;YEAR(E82),1,(12-MONTH(E82)+1)/12))) + (Q82)*(IF((YEAR(D82)+15)&lt;YEAR(E82),0,IF((YEAR(D82)+15)&gt;YEAR(E82),1,(12-MONTH(E82)+1)/12))))-((P82)*(IF((YEAR(D82)+15)&lt;YEAR(E82),0,IF((YEAR(D82)+15)&gt;YEAR(E82),1,(12-MONTH(E82)+1)/12))) + (R82)*(IF((YEAR(D82)+15)&lt;YEAR(E82),0,IF((YEAR(D82)+15)&gt;YEAR(E82),1,(12-MONTH(E82)+1)/12))))-(IF(OR(N82="",N82&lt;=0),0,(O82/N82)*(IF(OR(N82="",N82&lt;=0),0,IF((YEAR(D82)+15)&lt;YEAR(E82),0,IF((YEAR(D82)+15)&gt;=YEAR(E82)+N82,0,IF((YEAR(D82)+15)=YEAR(E82),(12-MONTH(E82)+1)/12,1))))))))*TaxRate,0))-IF(15=0,O82,0))</f>
        <v/>
      </c>
      <c r="AI82" s="29">
        <f>IF(A82="","",((K82)*(IF(M82="",L82,IFERROR(IF(INDEX(Variablen!$I:$AT, MATCH(M82, Variablen!$A:$A, 0), MATCH((YEAR(D82)+16), Variablen!$I$3:$AT$3, 0))="",L82,INDEX(Variablen!$I:$AT, MATCH(M82, Variablen!$A:$A, 0), MATCH((YEAR(D82)+16), Variablen!$I$3:$AT$3, 0))),L82)))*(IF((YEAR(D82)+16)&lt;YEAR(E82),0,IF((YEAR(D82)+16)&gt;YEAR(E82),1,(12-MONTH(E82)+1)/12))) + (Q82)*(IF((YEAR(D82)+16)&lt;YEAR(E82),0,IF((YEAR(D82)+16)&gt;YEAR(E82),1,(12-MONTH(E82)+1)/12))))-((P82)*(IF((YEAR(D82)+16)&lt;YEAR(E82),0,IF((YEAR(D82)+16)&gt;YEAR(E82),1,(12-MONTH(E82)+1)/12))) + (R82)*(IF((YEAR(D82)+16)&lt;YEAR(E82),0,IF((YEAR(D82)+16)&gt;YEAR(E82),1,(12-MONTH(E82)+1)/12))))-(IF((((K82)*(IF(M82="",L82,IFERROR(IF(INDEX(Variablen!$I:$AT, MATCH(M82, Variablen!$A:$A, 0), MATCH((YEAR(D82)+16), Variablen!$I$3:$AT$3, 0))="",L82,INDEX(Variablen!$I:$AT, MATCH(M82, Variablen!$A:$A, 0), MATCH((YEAR(D82)+16), Variablen!$I$3:$AT$3, 0))),L82)))*(IF((YEAR(D82)+16)&lt;YEAR(E82),0,IF((YEAR(D82)+16)&gt;YEAR(E82),1,(12-MONTH(E82)+1)/12))) + (Q82)*(IF((YEAR(D82)+16)&lt;YEAR(E82),0,IF((YEAR(D82)+16)&gt;YEAR(E82),1,(12-MONTH(E82)+1)/12))))-((P82)*(IF((YEAR(D82)+16)&lt;YEAR(E82),0,IF((YEAR(D82)+16)&gt;YEAR(E82),1,(12-MONTH(E82)+1)/12))) + (R82)*(IF((YEAR(D82)+16)&lt;YEAR(E82),0,IF((YEAR(D82)+16)&gt;YEAR(E82),1,(12-MONTH(E82)+1)/12))))-(IF(OR(N82="",N82&lt;=0),0,(O82/N82)*(IF(OR(N82="",N82&lt;=0),0,IF((YEAR(D82)+16)&lt;YEAR(E82),0,IF((YEAR(D82)+16)&gt;=YEAR(E82)+N82,0,IF((YEAR(D82)+16)=YEAR(E82),(12-MONTH(E82)+1)/12,1))))))))&gt;0,(((K82)*(IF(M82="",L82,IFERROR(IF(INDEX(Variablen!$I:$AT, MATCH(M82, Variablen!$A:$A, 0), MATCH((YEAR(D82)+16), Variablen!$I$3:$AT$3, 0))="",L82,INDEX(Variablen!$I:$AT, MATCH(M82, Variablen!$A:$A, 0), MATCH((YEAR(D82)+16), Variablen!$I$3:$AT$3, 0))),L82)))*(IF((YEAR(D82)+16)&lt;YEAR(E82),0,IF((YEAR(D82)+16)&gt;YEAR(E82),1,(12-MONTH(E82)+1)/12))) + (Q82)*(IF((YEAR(D82)+16)&lt;YEAR(E82),0,IF((YEAR(D82)+16)&gt;YEAR(E82),1,(12-MONTH(E82)+1)/12))))-((P82)*(IF((YEAR(D82)+16)&lt;YEAR(E82),0,IF((YEAR(D82)+16)&gt;YEAR(E82),1,(12-MONTH(E82)+1)/12))) + (R82)*(IF((YEAR(D82)+16)&lt;YEAR(E82),0,IF((YEAR(D82)+16)&gt;YEAR(E82),1,(12-MONTH(E82)+1)/12))))-(IF(OR(N82="",N82&lt;=0),0,(O82/N82)*(IF(OR(N82="",N82&lt;=0),0,IF((YEAR(D82)+16)&lt;YEAR(E82),0,IF((YEAR(D82)+16)&gt;=YEAR(E82)+N82,0,IF((YEAR(D82)+16)=YEAR(E82),(12-MONTH(E82)+1)/12,1))))))))*TaxRate,0))-IF(16=0,O82,0))</f>
        <v/>
      </c>
      <c r="AJ82" s="29">
        <f>IF(A82="","",((K82)*(IF(M82="",L82,IFERROR(IF(INDEX(Variablen!$I:$AT, MATCH(M82, Variablen!$A:$A, 0), MATCH((YEAR(D82)+17), Variablen!$I$3:$AT$3, 0))="",L82,INDEX(Variablen!$I:$AT, MATCH(M82, Variablen!$A:$A, 0), MATCH((YEAR(D82)+17), Variablen!$I$3:$AT$3, 0))),L82)))*(IF((YEAR(D82)+17)&lt;YEAR(E82),0,IF((YEAR(D82)+17)&gt;YEAR(E82),1,(12-MONTH(E82)+1)/12))) + (Q82)*(IF((YEAR(D82)+17)&lt;YEAR(E82),0,IF((YEAR(D82)+17)&gt;YEAR(E82),1,(12-MONTH(E82)+1)/12))))-((P82)*(IF((YEAR(D82)+17)&lt;YEAR(E82),0,IF((YEAR(D82)+17)&gt;YEAR(E82),1,(12-MONTH(E82)+1)/12))) + (R82)*(IF((YEAR(D82)+17)&lt;YEAR(E82),0,IF((YEAR(D82)+17)&gt;YEAR(E82),1,(12-MONTH(E82)+1)/12))))-(IF((((K82)*(IF(M82="",L82,IFERROR(IF(INDEX(Variablen!$I:$AT, MATCH(M82, Variablen!$A:$A, 0), MATCH((YEAR(D82)+17), Variablen!$I$3:$AT$3, 0))="",L82,INDEX(Variablen!$I:$AT, MATCH(M82, Variablen!$A:$A, 0), MATCH((YEAR(D82)+17), Variablen!$I$3:$AT$3, 0))),L82)))*(IF((YEAR(D82)+17)&lt;YEAR(E82),0,IF((YEAR(D82)+17)&gt;YEAR(E82),1,(12-MONTH(E82)+1)/12))) + (Q82)*(IF((YEAR(D82)+17)&lt;YEAR(E82),0,IF((YEAR(D82)+17)&gt;YEAR(E82),1,(12-MONTH(E82)+1)/12))))-((P82)*(IF((YEAR(D82)+17)&lt;YEAR(E82),0,IF((YEAR(D82)+17)&gt;YEAR(E82),1,(12-MONTH(E82)+1)/12))) + (R82)*(IF((YEAR(D82)+17)&lt;YEAR(E82),0,IF((YEAR(D82)+17)&gt;YEAR(E82),1,(12-MONTH(E82)+1)/12))))-(IF(OR(N82="",N82&lt;=0),0,(O82/N82)*(IF(OR(N82="",N82&lt;=0),0,IF((YEAR(D82)+17)&lt;YEAR(E82),0,IF((YEAR(D82)+17)&gt;=YEAR(E82)+N82,0,IF((YEAR(D82)+17)=YEAR(E82),(12-MONTH(E82)+1)/12,1))))))))&gt;0,(((K82)*(IF(M82="",L82,IFERROR(IF(INDEX(Variablen!$I:$AT, MATCH(M82, Variablen!$A:$A, 0), MATCH((YEAR(D82)+17), Variablen!$I$3:$AT$3, 0))="",L82,INDEX(Variablen!$I:$AT, MATCH(M82, Variablen!$A:$A, 0), MATCH((YEAR(D82)+17), Variablen!$I$3:$AT$3, 0))),L82)))*(IF((YEAR(D82)+17)&lt;YEAR(E82),0,IF((YEAR(D82)+17)&gt;YEAR(E82),1,(12-MONTH(E82)+1)/12))) + (Q82)*(IF((YEAR(D82)+17)&lt;YEAR(E82),0,IF((YEAR(D82)+17)&gt;YEAR(E82),1,(12-MONTH(E82)+1)/12))))-((P82)*(IF((YEAR(D82)+17)&lt;YEAR(E82),0,IF((YEAR(D82)+17)&gt;YEAR(E82),1,(12-MONTH(E82)+1)/12))) + (R82)*(IF((YEAR(D82)+17)&lt;YEAR(E82),0,IF((YEAR(D82)+17)&gt;YEAR(E82),1,(12-MONTH(E82)+1)/12))))-(IF(OR(N82="",N82&lt;=0),0,(O82/N82)*(IF(OR(N82="",N82&lt;=0),0,IF((YEAR(D82)+17)&lt;YEAR(E82),0,IF((YEAR(D82)+17)&gt;=YEAR(E82)+N82,0,IF((YEAR(D82)+17)=YEAR(E82),(12-MONTH(E82)+1)/12,1))))))))*TaxRate,0))-IF(17=0,O82,0))</f>
        <v/>
      </c>
      <c r="AK82" s="29">
        <f>IF(A82="","",((K82)*(IF(M82="",L82,IFERROR(IF(INDEX(Variablen!$I:$AT, MATCH(M82, Variablen!$A:$A, 0), MATCH((YEAR(D82)+18), Variablen!$I$3:$AT$3, 0))="",L82,INDEX(Variablen!$I:$AT, MATCH(M82, Variablen!$A:$A, 0), MATCH((YEAR(D82)+18), Variablen!$I$3:$AT$3, 0))),L82)))*(IF((YEAR(D82)+18)&lt;YEAR(E82),0,IF((YEAR(D82)+18)&gt;YEAR(E82),1,(12-MONTH(E82)+1)/12))) + (Q82)*(IF((YEAR(D82)+18)&lt;YEAR(E82),0,IF((YEAR(D82)+18)&gt;YEAR(E82),1,(12-MONTH(E82)+1)/12))))-((P82)*(IF((YEAR(D82)+18)&lt;YEAR(E82),0,IF((YEAR(D82)+18)&gt;YEAR(E82),1,(12-MONTH(E82)+1)/12))) + (R82)*(IF((YEAR(D82)+18)&lt;YEAR(E82),0,IF((YEAR(D82)+18)&gt;YEAR(E82),1,(12-MONTH(E82)+1)/12))))-(IF((((K82)*(IF(M82="",L82,IFERROR(IF(INDEX(Variablen!$I:$AT, MATCH(M82, Variablen!$A:$A, 0), MATCH((YEAR(D82)+18), Variablen!$I$3:$AT$3, 0))="",L82,INDEX(Variablen!$I:$AT, MATCH(M82, Variablen!$A:$A, 0), MATCH((YEAR(D82)+18), Variablen!$I$3:$AT$3, 0))),L82)))*(IF((YEAR(D82)+18)&lt;YEAR(E82),0,IF((YEAR(D82)+18)&gt;YEAR(E82),1,(12-MONTH(E82)+1)/12))) + (Q82)*(IF((YEAR(D82)+18)&lt;YEAR(E82),0,IF((YEAR(D82)+18)&gt;YEAR(E82),1,(12-MONTH(E82)+1)/12))))-((P82)*(IF((YEAR(D82)+18)&lt;YEAR(E82),0,IF((YEAR(D82)+18)&gt;YEAR(E82),1,(12-MONTH(E82)+1)/12))) + (R82)*(IF((YEAR(D82)+18)&lt;YEAR(E82),0,IF((YEAR(D82)+18)&gt;YEAR(E82),1,(12-MONTH(E82)+1)/12))))-(IF(OR(N82="",N82&lt;=0),0,(O82/N82)*(IF(OR(N82="",N82&lt;=0),0,IF((YEAR(D82)+18)&lt;YEAR(E82),0,IF((YEAR(D82)+18)&gt;=YEAR(E82)+N82,0,IF((YEAR(D82)+18)=YEAR(E82),(12-MONTH(E82)+1)/12,1))))))))&gt;0,(((K82)*(IF(M82="",L82,IFERROR(IF(INDEX(Variablen!$I:$AT, MATCH(M82, Variablen!$A:$A, 0), MATCH((YEAR(D82)+18), Variablen!$I$3:$AT$3, 0))="",L82,INDEX(Variablen!$I:$AT, MATCH(M82, Variablen!$A:$A, 0), MATCH((YEAR(D82)+18), Variablen!$I$3:$AT$3, 0))),L82)))*(IF((YEAR(D82)+18)&lt;YEAR(E82),0,IF((YEAR(D82)+18)&gt;YEAR(E82),1,(12-MONTH(E82)+1)/12))) + (Q82)*(IF((YEAR(D82)+18)&lt;YEAR(E82),0,IF((YEAR(D82)+18)&gt;YEAR(E82),1,(12-MONTH(E82)+1)/12))))-((P82)*(IF((YEAR(D82)+18)&lt;YEAR(E82),0,IF((YEAR(D82)+18)&gt;YEAR(E82),1,(12-MONTH(E82)+1)/12))) + (R82)*(IF((YEAR(D82)+18)&lt;YEAR(E82),0,IF((YEAR(D82)+18)&gt;YEAR(E82),1,(12-MONTH(E82)+1)/12))))-(IF(OR(N82="",N82&lt;=0),0,(O82/N82)*(IF(OR(N82="",N82&lt;=0),0,IF((YEAR(D82)+18)&lt;YEAR(E82),0,IF((YEAR(D82)+18)&gt;=YEAR(E82)+N82,0,IF((YEAR(D82)+18)=YEAR(E82),(12-MONTH(E82)+1)/12,1))))))))*TaxRate,0))-IF(18=0,O82,0))</f>
        <v/>
      </c>
      <c r="AL82" s="29">
        <f>IF(A82="","",((K82)*(IF(M82="",L82,IFERROR(IF(INDEX(Variablen!$I:$AT, MATCH(M82, Variablen!$A:$A, 0), MATCH((YEAR(D82)+19), Variablen!$I$3:$AT$3, 0))="",L82,INDEX(Variablen!$I:$AT, MATCH(M82, Variablen!$A:$A, 0), MATCH((YEAR(D82)+19), Variablen!$I$3:$AT$3, 0))),L82)))*(IF((YEAR(D82)+19)&lt;YEAR(E82),0,IF((YEAR(D82)+19)&gt;YEAR(E82),1,(12-MONTH(E82)+1)/12))) + (Q82)*(IF((YEAR(D82)+19)&lt;YEAR(E82),0,IF((YEAR(D82)+19)&gt;YEAR(E82),1,(12-MONTH(E82)+1)/12))))-((P82)*(IF((YEAR(D82)+19)&lt;YEAR(E82),0,IF((YEAR(D82)+19)&gt;YEAR(E82),1,(12-MONTH(E82)+1)/12))) + (R82)*(IF((YEAR(D82)+19)&lt;YEAR(E82),0,IF((YEAR(D82)+19)&gt;YEAR(E82),1,(12-MONTH(E82)+1)/12))))-(IF((((K82)*(IF(M82="",L82,IFERROR(IF(INDEX(Variablen!$I:$AT, MATCH(M82, Variablen!$A:$A, 0), MATCH((YEAR(D82)+19), Variablen!$I$3:$AT$3, 0))="",L82,INDEX(Variablen!$I:$AT, MATCH(M82, Variablen!$A:$A, 0), MATCH((YEAR(D82)+19), Variablen!$I$3:$AT$3, 0))),L82)))*(IF((YEAR(D82)+19)&lt;YEAR(E82),0,IF((YEAR(D82)+19)&gt;YEAR(E82),1,(12-MONTH(E82)+1)/12))) + (Q82)*(IF((YEAR(D82)+19)&lt;YEAR(E82),0,IF((YEAR(D82)+19)&gt;YEAR(E82),1,(12-MONTH(E82)+1)/12))))-((P82)*(IF((YEAR(D82)+19)&lt;YEAR(E82),0,IF((YEAR(D82)+19)&gt;YEAR(E82),1,(12-MONTH(E82)+1)/12))) + (R82)*(IF((YEAR(D82)+19)&lt;YEAR(E82),0,IF((YEAR(D82)+19)&gt;YEAR(E82),1,(12-MONTH(E82)+1)/12))))-(IF(OR(N82="",N82&lt;=0),0,(O82/N82)*(IF(OR(N82="",N82&lt;=0),0,IF((YEAR(D82)+19)&lt;YEAR(E82),0,IF((YEAR(D82)+19)&gt;=YEAR(E82)+N82,0,IF((YEAR(D82)+19)=YEAR(E82),(12-MONTH(E82)+1)/12,1))))))))&gt;0,(((K82)*(IF(M82="",L82,IFERROR(IF(INDEX(Variablen!$I:$AT, MATCH(M82, Variablen!$A:$A, 0), MATCH((YEAR(D82)+19), Variablen!$I$3:$AT$3, 0))="",L82,INDEX(Variablen!$I:$AT, MATCH(M82, Variablen!$A:$A, 0), MATCH((YEAR(D82)+19), Variablen!$I$3:$AT$3, 0))),L82)))*(IF((YEAR(D82)+19)&lt;YEAR(E82),0,IF((YEAR(D82)+19)&gt;YEAR(E82),1,(12-MONTH(E82)+1)/12))) + (Q82)*(IF((YEAR(D82)+19)&lt;YEAR(E82),0,IF((YEAR(D82)+19)&gt;YEAR(E82),1,(12-MONTH(E82)+1)/12))))-((P82)*(IF((YEAR(D82)+19)&lt;YEAR(E82),0,IF((YEAR(D82)+19)&gt;YEAR(E82),1,(12-MONTH(E82)+1)/12))) + (R82)*(IF((YEAR(D82)+19)&lt;YEAR(E82),0,IF((YEAR(D82)+19)&gt;YEAR(E82),1,(12-MONTH(E82)+1)/12))))-(IF(OR(N82="",N82&lt;=0),0,(O82/N82)*(IF(OR(N82="",N82&lt;=0),0,IF((YEAR(D82)+19)&lt;YEAR(E82),0,IF((YEAR(D82)+19)&gt;=YEAR(E82)+N82,0,IF((YEAR(D82)+19)=YEAR(E82),(12-MONTH(E82)+1)/12,1))))))))*TaxRate,0))-IF(19=0,O82,0))</f>
        <v/>
      </c>
      <c r="AM82" s="29">
        <f>IF(A82="","",((K82)*(IF(M82="",L82,IFERROR(IF(INDEX(Variablen!$I:$AT, MATCH(M82, Variablen!$A:$A, 0), MATCH((YEAR(D82)+20), Variablen!$I$3:$AT$3, 0))="",L82,INDEX(Variablen!$I:$AT, MATCH(M82, Variablen!$A:$A, 0), MATCH((YEAR(D82)+20), Variablen!$I$3:$AT$3, 0))),L82)))*(IF((YEAR(D82)+20)&lt;YEAR(E82),0,IF((YEAR(D82)+20)&gt;YEAR(E82),1,(12-MONTH(E82)+1)/12))) + (Q82)*(IF((YEAR(D82)+20)&lt;YEAR(E82),0,IF((YEAR(D82)+20)&gt;YEAR(E82),1,(12-MONTH(E82)+1)/12))))-((P82)*(IF((YEAR(D82)+20)&lt;YEAR(E82),0,IF((YEAR(D82)+20)&gt;YEAR(E82),1,(12-MONTH(E82)+1)/12))) + (R82)*(IF((YEAR(D82)+20)&lt;YEAR(E82),0,IF((YEAR(D82)+20)&gt;YEAR(E82),1,(12-MONTH(E82)+1)/12))))-(IF((((K82)*(IF(M82="",L82,IFERROR(IF(INDEX(Variablen!$I:$AT, MATCH(M82, Variablen!$A:$A, 0), MATCH((YEAR(D82)+20), Variablen!$I$3:$AT$3, 0))="",L82,INDEX(Variablen!$I:$AT, MATCH(M82, Variablen!$A:$A, 0), MATCH((YEAR(D82)+20), Variablen!$I$3:$AT$3, 0))),L82)))*(IF((YEAR(D82)+20)&lt;YEAR(E82),0,IF((YEAR(D82)+20)&gt;YEAR(E82),1,(12-MONTH(E82)+1)/12))) + (Q82)*(IF((YEAR(D82)+20)&lt;YEAR(E82),0,IF((YEAR(D82)+20)&gt;YEAR(E82),1,(12-MONTH(E82)+1)/12))))-((P82)*(IF((YEAR(D82)+20)&lt;YEAR(E82),0,IF((YEAR(D82)+20)&gt;YEAR(E82),1,(12-MONTH(E82)+1)/12))) + (R82)*(IF((YEAR(D82)+20)&lt;YEAR(E82),0,IF((YEAR(D82)+20)&gt;YEAR(E82),1,(12-MONTH(E82)+1)/12))))-(IF(OR(N82="",N82&lt;=0),0,(O82/N82)*(IF(OR(N82="",N82&lt;=0),0,IF((YEAR(D82)+20)&lt;YEAR(E82),0,IF((YEAR(D82)+20)&gt;=YEAR(E82)+N82,0,IF((YEAR(D82)+20)=YEAR(E82),(12-MONTH(E82)+1)/12,1))))))))&gt;0,(((K82)*(IF(M82="",L82,IFERROR(IF(INDEX(Variablen!$I:$AT, MATCH(M82, Variablen!$A:$A, 0), MATCH((YEAR(D82)+20), Variablen!$I$3:$AT$3, 0))="",L82,INDEX(Variablen!$I:$AT, MATCH(M82, Variablen!$A:$A, 0), MATCH((YEAR(D82)+20), Variablen!$I$3:$AT$3, 0))),L82)))*(IF((YEAR(D82)+20)&lt;YEAR(E82),0,IF((YEAR(D82)+20)&gt;YEAR(E82),1,(12-MONTH(E82)+1)/12))) + (Q82)*(IF((YEAR(D82)+20)&lt;YEAR(E82),0,IF((YEAR(D82)+20)&gt;YEAR(E82),1,(12-MONTH(E82)+1)/12))))-((P82)*(IF((YEAR(D82)+20)&lt;YEAR(E82),0,IF((YEAR(D82)+20)&gt;YEAR(E82),1,(12-MONTH(E82)+1)/12))) + (R82)*(IF((YEAR(D82)+20)&lt;YEAR(E82),0,IF((YEAR(D82)+20)&gt;YEAR(E82),1,(12-MONTH(E82)+1)/12))))-(IF(OR(N82="",N82&lt;=0),0,(O82/N82)*(IF(OR(N82="",N82&lt;=0),0,IF((YEAR(D82)+20)&lt;YEAR(E82),0,IF((YEAR(D82)+20)&gt;=YEAR(E82)+N82,0,IF((YEAR(D82)+20)=YEAR(E82),(12-MONTH(E82)+1)/12,1))))))))*TaxRate,0))-IF(20=0,O82,0))</f>
        <v/>
      </c>
      <c r="AN82" s="29">
        <f>IF(A82="","",S82)</f>
        <v/>
      </c>
      <c r="AO82" s="29">
        <f>IF(A82="","",AN82+T82)</f>
        <v/>
      </c>
      <c r="AP82" s="29">
        <f>IF(A82="","",AO82+U82)</f>
        <v/>
      </c>
      <c r="AQ82" s="29">
        <f>IF(A82="","",AP82+V82)</f>
        <v/>
      </c>
      <c r="AR82" s="29">
        <f>IF(A82="","",AQ82+W82)</f>
        <v/>
      </c>
      <c r="AS82" s="29">
        <f>IF(A82="","",AR82+X82)</f>
        <v/>
      </c>
      <c r="AT82" s="29">
        <f>IF(A82="","",AS82+Y82)</f>
        <v/>
      </c>
      <c r="AU82" s="29">
        <f>IF(A82="","",AT82+Z82)</f>
        <v/>
      </c>
      <c r="AV82" s="29">
        <f>IF(A82="","",AU82+AA82)</f>
        <v/>
      </c>
      <c r="AW82" s="29">
        <f>IF(A82="","",AV82+AB82)</f>
        <v/>
      </c>
      <c r="AX82" s="29">
        <f>IF(A82="","",AW82+AC82)</f>
        <v/>
      </c>
      <c r="AY82" s="29">
        <f>IF(A82="","",AX82+AD82)</f>
        <v/>
      </c>
      <c r="AZ82" s="29">
        <f>IF(A82="","",AY82+AE82)</f>
        <v/>
      </c>
      <c r="BA82" s="29">
        <f>IF(A82="","",AZ82+AF82)</f>
        <v/>
      </c>
      <c r="BB82" s="29">
        <f>IF(A82="","",BA82+AG82)</f>
        <v/>
      </c>
      <c r="BC82" s="29">
        <f>IF(A82="","",BB82+AH82)</f>
        <v/>
      </c>
      <c r="BD82" s="29">
        <f>IF(A82="","",BC82+AI82)</f>
        <v/>
      </c>
      <c r="BE82" s="29">
        <f>IF(A82="","",BD82+AJ82)</f>
        <v/>
      </c>
      <c r="BF82" s="29">
        <f>IF(A82="","",BE82+AK82)</f>
        <v/>
      </c>
      <c r="BG82" s="29">
        <f>IF(A82="","",BF82+AL82)</f>
        <v/>
      </c>
      <c r="BH82" s="29">
        <f>IF(A82="","",BG82+AM82)</f>
        <v/>
      </c>
      <c r="BI82" s="36">
        <f>IF(A82="","",(K82)*(IF((YEAR(D82)+0)&lt;YEAR(E82),0,IF((YEAR(D82)+0)&gt;YEAR(E82),1,(12-MONTH(E82)+1)/12)))*(1/(1+DiscountRate)^0))</f>
        <v/>
      </c>
      <c r="BJ82" s="36">
        <f>IF(A82="","",(K82)*(IF((YEAR(D82)+1)&lt;YEAR(E82),0,IF((YEAR(D82)+1)&gt;YEAR(E82),1,(12-MONTH(E82)+1)/12)))*(1/(1+DiscountRate)^1))</f>
        <v/>
      </c>
      <c r="BK82" s="36">
        <f>IF(A82="","",(K82)*(IF((YEAR(D82)+2)&lt;YEAR(E82),0,IF((YEAR(D82)+2)&gt;YEAR(E82),1,(12-MONTH(E82)+1)/12)))*(1/(1+DiscountRate)^2))</f>
        <v/>
      </c>
      <c r="BL82" s="36">
        <f>IF(A82="","",(K82)*(IF((YEAR(D82)+3)&lt;YEAR(E82),0,IF((YEAR(D82)+3)&gt;YEAR(E82),1,(12-MONTH(E82)+1)/12)))*(1/(1+DiscountRate)^3))</f>
        <v/>
      </c>
      <c r="BM82" s="36">
        <f>IF(A82="","",(K82)*(IF((YEAR(D82)+4)&lt;YEAR(E82),0,IF((YEAR(D82)+4)&gt;YEAR(E82),1,(12-MONTH(E82)+1)/12)))*(1/(1+DiscountRate)^4))</f>
        <v/>
      </c>
      <c r="BN82" s="36">
        <f>IF(A82="","",(K82)*(IF((YEAR(D82)+5)&lt;YEAR(E82),0,IF((YEAR(D82)+5)&gt;YEAR(E82),1,(12-MONTH(E82)+1)/12)))*(1/(1+DiscountRate)^5))</f>
        <v/>
      </c>
      <c r="BO82" s="36">
        <f>IF(A82="","",(K82)*(IF((YEAR(D82)+6)&lt;YEAR(E82),0,IF((YEAR(D82)+6)&gt;YEAR(E82),1,(12-MONTH(E82)+1)/12)))*(1/(1+DiscountRate)^6))</f>
        <v/>
      </c>
      <c r="BP82" s="36">
        <f>IF(A82="","",(K82)*(IF((YEAR(D82)+7)&lt;YEAR(E82),0,IF((YEAR(D82)+7)&gt;YEAR(E82),1,(12-MONTH(E82)+1)/12)))*(1/(1+DiscountRate)^7))</f>
        <v/>
      </c>
      <c r="BQ82" s="36">
        <f>IF(A82="","",(K82)*(IF((YEAR(D82)+8)&lt;YEAR(E82),0,IF((YEAR(D82)+8)&gt;YEAR(E82),1,(12-MONTH(E82)+1)/12)))*(1/(1+DiscountRate)^8))</f>
        <v/>
      </c>
      <c r="BR82" s="36">
        <f>IF(A82="","",(K82)*(IF((YEAR(D82)+9)&lt;YEAR(E82),0,IF((YEAR(D82)+9)&gt;YEAR(E82),1,(12-MONTH(E82)+1)/12)))*(1/(1+DiscountRate)^9))</f>
        <v/>
      </c>
      <c r="BS82" s="36">
        <f>IF(A82="","",(K82)*(IF((YEAR(D82)+10)&lt;YEAR(E82),0,IF((YEAR(D82)+10)&gt;YEAR(E82),1,(12-MONTH(E82)+1)/12)))*(1/(1+DiscountRate)^10))</f>
        <v/>
      </c>
      <c r="BT82" s="36">
        <f>IF(A82="","",(K82)*(IF((YEAR(D82)+11)&lt;YEAR(E82),0,IF((YEAR(D82)+11)&gt;YEAR(E82),1,(12-MONTH(E82)+1)/12)))*(1/(1+DiscountRate)^11))</f>
        <v/>
      </c>
      <c r="BU82" s="36">
        <f>IF(A82="","",(K82)*(IF((YEAR(D82)+12)&lt;YEAR(E82),0,IF((YEAR(D82)+12)&gt;YEAR(E82),1,(12-MONTH(E82)+1)/12)))*(1/(1+DiscountRate)^12))</f>
        <v/>
      </c>
      <c r="BV82" s="36">
        <f>IF(A82="","",(K82)*(IF((YEAR(D82)+13)&lt;YEAR(E82),0,IF((YEAR(D82)+13)&gt;YEAR(E82),1,(12-MONTH(E82)+1)/12)))*(1/(1+DiscountRate)^13))</f>
        <v/>
      </c>
      <c r="BW82" s="36">
        <f>IF(A82="","",(K82)*(IF((YEAR(D82)+14)&lt;YEAR(E82),0,IF((YEAR(D82)+14)&gt;YEAR(E82),1,(12-MONTH(E82)+1)/12)))*(1/(1+DiscountRate)^14))</f>
        <v/>
      </c>
      <c r="BX82" s="36">
        <f>IF(A82="","",(K82)*(IF((YEAR(D82)+15)&lt;YEAR(E82),0,IF((YEAR(D82)+15)&gt;YEAR(E82),1,(12-MONTH(E82)+1)/12)))*(1/(1+DiscountRate)^15))</f>
        <v/>
      </c>
      <c r="BY82" s="36">
        <f>IF(A82="","",(K82)*(IF((YEAR(D82)+16)&lt;YEAR(E82),0,IF((YEAR(D82)+16)&gt;YEAR(E82),1,(12-MONTH(E82)+1)/12)))*(1/(1+DiscountRate)^16))</f>
        <v/>
      </c>
      <c r="BZ82" s="36">
        <f>IF(A82="","",(K82)*(IF((YEAR(D82)+17)&lt;YEAR(E82),0,IF((YEAR(D82)+17)&gt;YEAR(E82),1,(12-MONTH(E82)+1)/12)))*(1/(1+DiscountRate)^17))</f>
        <v/>
      </c>
      <c r="CA82" s="36">
        <f>IF(A82="","",(K82)*(IF((YEAR(D82)+18)&lt;YEAR(E82),0,IF((YEAR(D82)+18)&gt;YEAR(E82),1,(12-MONTH(E82)+1)/12)))*(1/(1+DiscountRate)^18))</f>
        <v/>
      </c>
      <c r="CB82" s="36">
        <f>IF(A82="","",(K82)*(IF((YEAR(D82)+19)&lt;YEAR(E82),0,IF((YEAR(D82)+19)&gt;YEAR(E82),1,(12-MONTH(E82)+1)/12)))*(1/(1+DiscountRate)^19))</f>
        <v/>
      </c>
      <c r="CC82" s="36">
        <f>IF(A82="","",(K82)*(IF((YEAR(D82)+20)&lt;YEAR(E82),0,IF((YEAR(D82)+20)&gt;YEAR(E82),1,(12-MONTH(E82)+1)/12)))*(1/(1+DiscountRate)^20))</f>
        <v/>
      </c>
      <c r="CD82" s="29">
        <f>IF(A82="","",S82/(1+DiscountRate)^0+T82/(1+DiscountRate)^1+U82/(1+DiscountRate)^2+V82/(1+DiscountRate)^3+W82/(1+DiscountRate)^4+X82/(1+DiscountRate)^5+Y82/(1+DiscountRate)^6+Z82/(1+DiscountRate)^7+AA82/(1+DiscountRate)^8+AB82/(1+DiscountRate)^9+AC82/(1+DiscountRate)^10+AD82/(1+DiscountRate)^11+AE82/(1+DiscountRate)^12+AF82/(1+DiscountRate)^13+AG82/(1+DiscountRate)^14+AH82/(1+DiscountRate)^15+AI82/(1+DiscountRate)^16+AJ82/(1+DiscountRate)^17+AK82/(1+DiscountRate)^18+AL82/(1+DiscountRate)^19+AM82/(1+DiscountRate)^20)</f>
        <v/>
      </c>
      <c r="CE82" s="37">
        <f>IF(A82="","",IFERROR(IRR(OFFSET(S82,0,0,1,MIN(HorizonYears,20)+1)),"n/a"))</f>
        <v/>
      </c>
      <c r="CF82" s="28">
        <f>IF(A82="","",IFERROR(MATCH(TRUE,OFFSET(AN82,0,0,1,MIN(HorizonYears,20)+1)&gt;=0,0)-1,"n/a"))</f>
        <v/>
      </c>
      <c r="CG82" s="36">
        <f>IF(A82="","",SUM(OFFSET(BI82,0,0,1,MIN(HorizonYears,20)+1)))</f>
        <v/>
      </c>
      <c r="CH82" s="36">
        <f>IF(A82="","",IFERROR(-CD82/CG82,"n/a"))</f>
        <v/>
      </c>
    </row>
    <row r="83">
      <c r="A83" s="6">
        <f>Actions!A81</f>
        <v/>
      </c>
      <c r="B83" s="6">
        <f>Actions!B81</f>
        <v/>
      </c>
      <c r="C83" s="6">
        <f>Actions!D81</f>
        <v/>
      </c>
      <c r="D83" s="35">
        <f>Actions!E81</f>
        <v/>
      </c>
      <c r="E83" s="35">
        <f>Actions!F81</f>
        <v/>
      </c>
      <c r="F83" s="6">
        <f>Actions!G81</f>
        <v/>
      </c>
      <c r="G83" s="6">
        <f>Actions!H81</f>
        <v/>
      </c>
      <c r="H83" s="29">
        <f>Actions!I81</f>
        <v/>
      </c>
      <c r="I83" s="6">
        <f>Actions!J81</f>
        <v/>
      </c>
      <c r="J83" s="16">
        <f>Actions!K81</f>
        <v/>
      </c>
      <c r="K83" s="16">
        <f>IF(A83="","",IF(I83="%",H83*J83,J83))</f>
        <v/>
      </c>
      <c r="L83" s="16">
        <f>Actions!L81</f>
        <v/>
      </c>
      <c r="M83" s="6">
        <f>Actions!M81</f>
        <v/>
      </c>
      <c r="N83" s="28">
        <f>Actions!N81</f>
        <v/>
      </c>
      <c r="O83" s="29">
        <f>Actions!T81</f>
        <v/>
      </c>
      <c r="P83" s="29">
        <f>Actions!Y81</f>
        <v/>
      </c>
      <c r="Q83" s="29">
        <f>Actions!Z81</f>
        <v/>
      </c>
      <c r="R83" s="29">
        <f>Actions!AA81</f>
        <v/>
      </c>
      <c r="S83" s="29">
        <f>IF(A83="","",((K83)*(IF(M83="",L83,IFERROR(IF(INDEX(Variablen!$I:$AT, MATCH(M83, Variablen!$A:$A, 0), MATCH((YEAR(D83)+0), Variablen!$I$3:$AT$3, 0))="",L83,INDEX(Variablen!$I:$AT, MATCH(M83, Variablen!$A:$A, 0), MATCH((YEAR(D83)+0), Variablen!$I$3:$AT$3, 0))),L83)))*(IF((YEAR(D83)+0)&lt;YEAR(E83),0,IF((YEAR(D83)+0)&gt;YEAR(E83),1,(12-MONTH(E83)+1)/12))) + (Q83)*(IF((YEAR(D83)+0)&lt;YEAR(E83),0,IF((YEAR(D83)+0)&gt;YEAR(E83),1,(12-MONTH(E83)+1)/12))))-((P83)*(IF((YEAR(D83)+0)&lt;YEAR(E83),0,IF((YEAR(D83)+0)&gt;YEAR(E83),1,(12-MONTH(E83)+1)/12))) + (R83)*(IF((YEAR(D83)+0)&lt;YEAR(E83),0,IF((YEAR(D83)+0)&gt;YEAR(E83),1,(12-MONTH(E83)+1)/12))))-(IF((((K83)*(IF(M83="",L83,IFERROR(IF(INDEX(Variablen!$I:$AT, MATCH(M83, Variablen!$A:$A, 0), MATCH((YEAR(D83)+0), Variablen!$I$3:$AT$3, 0))="",L83,INDEX(Variablen!$I:$AT, MATCH(M83, Variablen!$A:$A, 0), MATCH((YEAR(D83)+0), Variablen!$I$3:$AT$3, 0))),L83)))*(IF((YEAR(D83)+0)&lt;YEAR(E83),0,IF((YEAR(D83)+0)&gt;YEAR(E83),1,(12-MONTH(E83)+1)/12))) + (Q83)*(IF((YEAR(D83)+0)&lt;YEAR(E83),0,IF((YEAR(D83)+0)&gt;YEAR(E83),1,(12-MONTH(E83)+1)/12))))-((P83)*(IF((YEAR(D83)+0)&lt;YEAR(E83),0,IF((YEAR(D83)+0)&gt;YEAR(E83),1,(12-MONTH(E83)+1)/12))) + (R83)*(IF((YEAR(D83)+0)&lt;YEAR(E83),0,IF((YEAR(D83)+0)&gt;YEAR(E83),1,(12-MONTH(E83)+1)/12))))-(IF(OR(N83="",N83&lt;=0),0,(O83/N83)*(IF(OR(N83="",N83&lt;=0),0,IF((YEAR(D83)+0)&lt;YEAR(E83),0,IF((YEAR(D83)+0)&gt;=YEAR(E83)+N83,0,IF((YEAR(D83)+0)=YEAR(E83),(12-MONTH(E83)+1)/12,1))))))))&gt;0,(((K83)*(IF(M83="",L83,IFERROR(IF(INDEX(Variablen!$I:$AT, MATCH(M83, Variablen!$A:$A, 0), MATCH((YEAR(D83)+0), Variablen!$I$3:$AT$3, 0))="",L83,INDEX(Variablen!$I:$AT, MATCH(M83, Variablen!$A:$A, 0), MATCH((YEAR(D83)+0), Variablen!$I$3:$AT$3, 0))),L83)))*(IF((YEAR(D83)+0)&lt;YEAR(E83),0,IF((YEAR(D83)+0)&gt;YEAR(E83),1,(12-MONTH(E83)+1)/12))) + (Q83)*(IF((YEAR(D83)+0)&lt;YEAR(E83),0,IF((YEAR(D83)+0)&gt;YEAR(E83),1,(12-MONTH(E83)+1)/12))))-((P83)*(IF((YEAR(D83)+0)&lt;YEAR(E83),0,IF((YEAR(D83)+0)&gt;YEAR(E83),1,(12-MONTH(E83)+1)/12))) + (R83)*(IF((YEAR(D83)+0)&lt;YEAR(E83),0,IF((YEAR(D83)+0)&gt;YEAR(E83),1,(12-MONTH(E83)+1)/12))))-(IF(OR(N83="",N83&lt;=0),0,(O83/N83)*(IF(OR(N83="",N83&lt;=0),0,IF((YEAR(D83)+0)&lt;YEAR(E83),0,IF((YEAR(D83)+0)&gt;=YEAR(E83)+N83,0,IF((YEAR(D83)+0)=YEAR(E83),(12-MONTH(E83)+1)/12,1))))))))*TaxRate,0))-IF(0=0,O83,0))</f>
        <v/>
      </c>
      <c r="T83" s="29">
        <f>IF(A83="","",((K83)*(IF(M83="",L83,IFERROR(IF(INDEX(Variablen!$I:$AT, MATCH(M83, Variablen!$A:$A, 0), MATCH((YEAR(D83)+1), Variablen!$I$3:$AT$3, 0))="",L83,INDEX(Variablen!$I:$AT, MATCH(M83, Variablen!$A:$A, 0), MATCH((YEAR(D83)+1), Variablen!$I$3:$AT$3, 0))),L83)))*(IF((YEAR(D83)+1)&lt;YEAR(E83),0,IF((YEAR(D83)+1)&gt;YEAR(E83),1,(12-MONTH(E83)+1)/12))) + (Q83)*(IF((YEAR(D83)+1)&lt;YEAR(E83),0,IF((YEAR(D83)+1)&gt;YEAR(E83),1,(12-MONTH(E83)+1)/12))))-((P83)*(IF((YEAR(D83)+1)&lt;YEAR(E83),0,IF((YEAR(D83)+1)&gt;YEAR(E83),1,(12-MONTH(E83)+1)/12))) + (R83)*(IF((YEAR(D83)+1)&lt;YEAR(E83),0,IF((YEAR(D83)+1)&gt;YEAR(E83),1,(12-MONTH(E83)+1)/12))))-(IF((((K83)*(IF(M83="",L83,IFERROR(IF(INDEX(Variablen!$I:$AT, MATCH(M83, Variablen!$A:$A, 0), MATCH((YEAR(D83)+1), Variablen!$I$3:$AT$3, 0))="",L83,INDEX(Variablen!$I:$AT, MATCH(M83, Variablen!$A:$A, 0), MATCH((YEAR(D83)+1), Variablen!$I$3:$AT$3, 0))),L83)))*(IF((YEAR(D83)+1)&lt;YEAR(E83),0,IF((YEAR(D83)+1)&gt;YEAR(E83),1,(12-MONTH(E83)+1)/12))) + (Q83)*(IF((YEAR(D83)+1)&lt;YEAR(E83),0,IF((YEAR(D83)+1)&gt;YEAR(E83),1,(12-MONTH(E83)+1)/12))))-((P83)*(IF((YEAR(D83)+1)&lt;YEAR(E83),0,IF((YEAR(D83)+1)&gt;YEAR(E83),1,(12-MONTH(E83)+1)/12))) + (R83)*(IF((YEAR(D83)+1)&lt;YEAR(E83),0,IF((YEAR(D83)+1)&gt;YEAR(E83),1,(12-MONTH(E83)+1)/12))))-(IF(OR(N83="",N83&lt;=0),0,(O83/N83)*(IF(OR(N83="",N83&lt;=0),0,IF((YEAR(D83)+1)&lt;YEAR(E83),0,IF((YEAR(D83)+1)&gt;=YEAR(E83)+N83,0,IF((YEAR(D83)+1)=YEAR(E83),(12-MONTH(E83)+1)/12,1))))))))&gt;0,(((K83)*(IF(M83="",L83,IFERROR(IF(INDEX(Variablen!$I:$AT, MATCH(M83, Variablen!$A:$A, 0), MATCH((YEAR(D83)+1), Variablen!$I$3:$AT$3, 0))="",L83,INDEX(Variablen!$I:$AT, MATCH(M83, Variablen!$A:$A, 0), MATCH((YEAR(D83)+1), Variablen!$I$3:$AT$3, 0))),L83)))*(IF((YEAR(D83)+1)&lt;YEAR(E83),0,IF((YEAR(D83)+1)&gt;YEAR(E83),1,(12-MONTH(E83)+1)/12))) + (Q83)*(IF((YEAR(D83)+1)&lt;YEAR(E83),0,IF((YEAR(D83)+1)&gt;YEAR(E83),1,(12-MONTH(E83)+1)/12))))-((P83)*(IF((YEAR(D83)+1)&lt;YEAR(E83),0,IF((YEAR(D83)+1)&gt;YEAR(E83),1,(12-MONTH(E83)+1)/12))) + (R83)*(IF((YEAR(D83)+1)&lt;YEAR(E83),0,IF((YEAR(D83)+1)&gt;YEAR(E83),1,(12-MONTH(E83)+1)/12))))-(IF(OR(N83="",N83&lt;=0),0,(O83/N83)*(IF(OR(N83="",N83&lt;=0),0,IF((YEAR(D83)+1)&lt;YEAR(E83),0,IF((YEAR(D83)+1)&gt;=YEAR(E83)+N83,0,IF((YEAR(D83)+1)=YEAR(E83),(12-MONTH(E83)+1)/12,1))))))))*TaxRate,0))-IF(1=0,O83,0))</f>
        <v/>
      </c>
      <c r="U83" s="29">
        <f>IF(A83="","",((K83)*(IF(M83="",L83,IFERROR(IF(INDEX(Variablen!$I:$AT, MATCH(M83, Variablen!$A:$A, 0), MATCH((YEAR(D83)+2), Variablen!$I$3:$AT$3, 0))="",L83,INDEX(Variablen!$I:$AT, MATCH(M83, Variablen!$A:$A, 0), MATCH((YEAR(D83)+2), Variablen!$I$3:$AT$3, 0))),L83)))*(IF((YEAR(D83)+2)&lt;YEAR(E83),0,IF((YEAR(D83)+2)&gt;YEAR(E83),1,(12-MONTH(E83)+1)/12))) + (Q83)*(IF((YEAR(D83)+2)&lt;YEAR(E83),0,IF((YEAR(D83)+2)&gt;YEAR(E83),1,(12-MONTH(E83)+1)/12))))-((P83)*(IF((YEAR(D83)+2)&lt;YEAR(E83),0,IF((YEAR(D83)+2)&gt;YEAR(E83),1,(12-MONTH(E83)+1)/12))) + (R83)*(IF((YEAR(D83)+2)&lt;YEAR(E83),0,IF((YEAR(D83)+2)&gt;YEAR(E83),1,(12-MONTH(E83)+1)/12))))-(IF((((K83)*(IF(M83="",L83,IFERROR(IF(INDEX(Variablen!$I:$AT, MATCH(M83, Variablen!$A:$A, 0), MATCH((YEAR(D83)+2), Variablen!$I$3:$AT$3, 0))="",L83,INDEX(Variablen!$I:$AT, MATCH(M83, Variablen!$A:$A, 0), MATCH((YEAR(D83)+2), Variablen!$I$3:$AT$3, 0))),L83)))*(IF((YEAR(D83)+2)&lt;YEAR(E83),0,IF((YEAR(D83)+2)&gt;YEAR(E83),1,(12-MONTH(E83)+1)/12))) + (Q83)*(IF((YEAR(D83)+2)&lt;YEAR(E83),0,IF((YEAR(D83)+2)&gt;YEAR(E83),1,(12-MONTH(E83)+1)/12))))-((P83)*(IF((YEAR(D83)+2)&lt;YEAR(E83),0,IF((YEAR(D83)+2)&gt;YEAR(E83),1,(12-MONTH(E83)+1)/12))) + (R83)*(IF((YEAR(D83)+2)&lt;YEAR(E83),0,IF((YEAR(D83)+2)&gt;YEAR(E83),1,(12-MONTH(E83)+1)/12))))-(IF(OR(N83="",N83&lt;=0),0,(O83/N83)*(IF(OR(N83="",N83&lt;=0),0,IF((YEAR(D83)+2)&lt;YEAR(E83),0,IF((YEAR(D83)+2)&gt;=YEAR(E83)+N83,0,IF((YEAR(D83)+2)=YEAR(E83),(12-MONTH(E83)+1)/12,1))))))))&gt;0,(((K83)*(IF(M83="",L83,IFERROR(IF(INDEX(Variablen!$I:$AT, MATCH(M83, Variablen!$A:$A, 0), MATCH((YEAR(D83)+2), Variablen!$I$3:$AT$3, 0))="",L83,INDEX(Variablen!$I:$AT, MATCH(M83, Variablen!$A:$A, 0), MATCH((YEAR(D83)+2), Variablen!$I$3:$AT$3, 0))),L83)))*(IF((YEAR(D83)+2)&lt;YEAR(E83),0,IF((YEAR(D83)+2)&gt;YEAR(E83),1,(12-MONTH(E83)+1)/12))) + (Q83)*(IF((YEAR(D83)+2)&lt;YEAR(E83),0,IF((YEAR(D83)+2)&gt;YEAR(E83),1,(12-MONTH(E83)+1)/12))))-((P83)*(IF((YEAR(D83)+2)&lt;YEAR(E83),0,IF((YEAR(D83)+2)&gt;YEAR(E83),1,(12-MONTH(E83)+1)/12))) + (R83)*(IF((YEAR(D83)+2)&lt;YEAR(E83),0,IF((YEAR(D83)+2)&gt;YEAR(E83),1,(12-MONTH(E83)+1)/12))))-(IF(OR(N83="",N83&lt;=0),0,(O83/N83)*(IF(OR(N83="",N83&lt;=0),0,IF((YEAR(D83)+2)&lt;YEAR(E83),0,IF((YEAR(D83)+2)&gt;=YEAR(E83)+N83,0,IF((YEAR(D83)+2)=YEAR(E83),(12-MONTH(E83)+1)/12,1))))))))*TaxRate,0))-IF(2=0,O83,0))</f>
        <v/>
      </c>
      <c r="V83" s="29">
        <f>IF(A83="","",((K83)*(IF(M83="",L83,IFERROR(IF(INDEX(Variablen!$I:$AT, MATCH(M83, Variablen!$A:$A, 0), MATCH((YEAR(D83)+3), Variablen!$I$3:$AT$3, 0))="",L83,INDEX(Variablen!$I:$AT, MATCH(M83, Variablen!$A:$A, 0), MATCH((YEAR(D83)+3), Variablen!$I$3:$AT$3, 0))),L83)))*(IF((YEAR(D83)+3)&lt;YEAR(E83),0,IF((YEAR(D83)+3)&gt;YEAR(E83),1,(12-MONTH(E83)+1)/12))) + (Q83)*(IF((YEAR(D83)+3)&lt;YEAR(E83),0,IF((YEAR(D83)+3)&gt;YEAR(E83),1,(12-MONTH(E83)+1)/12))))-((P83)*(IF((YEAR(D83)+3)&lt;YEAR(E83),0,IF((YEAR(D83)+3)&gt;YEAR(E83),1,(12-MONTH(E83)+1)/12))) + (R83)*(IF((YEAR(D83)+3)&lt;YEAR(E83),0,IF((YEAR(D83)+3)&gt;YEAR(E83),1,(12-MONTH(E83)+1)/12))))-(IF((((K83)*(IF(M83="",L83,IFERROR(IF(INDEX(Variablen!$I:$AT, MATCH(M83, Variablen!$A:$A, 0), MATCH((YEAR(D83)+3), Variablen!$I$3:$AT$3, 0))="",L83,INDEX(Variablen!$I:$AT, MATCH(M83, Variablen!$A:$A, 0), MATCH((YEAR(D83)+3), Variablen!$I$3:$AT$3, 0))),L83)))*(IF((YEAR(D83)+3)&lt;YEAR(E83),0,IF((YEAR(D83)+3)&gt;YEAR(E83),1,(12-MONTH(E83)+1)/12))) + (Q83)*(IF((YEAR(D83)+3)&lt;YEAR(E83),0,IF((YEAR(D83)+3)&gt;YEAR(E83),1,(12-MONTH(E83)+1)/12))))-((P83)*(IF((YEAR(D83)+3)&lt;YEAR(E83),0,IF((YEAR(D83)+3)&gt;YEAR(E83),1,(12-MONTH(E83)+1)/12))) + (R83)*(IF((YEAR(D83)+3)&lt;YEAR(E83),0,IF((YEAR(D83)+3)&gt;YEAR(E83),1,(12-MONTH(E83)+1)/12))))-(IF(OR(N83="",N83&lt;=0),0,(O83/N83)*(IF(OR(N83="",N83&lt;=0),0,IF((YEAR(D83)+3)&lt;YEAR(E83),0,IF((YEAR(D83)+3)&gt;=YEAR(E83)+N83,0,IF((YEAR(D83)+3)=YEAR(E83),(12-MONTH(E83)+1)/12,1))))))))&gt;0,(((K83)*(IF(M83="",L83,IFERROR(IF(INDEX(Variablen!$I:$AT, MATCH(M83, Variablen!$A:$A, 0), MATCH((YEAR(D83)+3), Variablen!$I$3:$AT$3, 0))="",L83,INDEX(Variablen!$I:$AT, MATCH(M83, Variablen!$A:$A, 0), MATCH((YEAR(D83)+3), Variablen!$I$3:$AT$3, 0))),L83)))*(IF((YEAR(D83)+3)&lt;YEAR(E83),0,IF((YEAR(D83)+3)&gt;YEAR(E83),1,(12-MONTH(E83)+1)/12))) + (Q83)*(IF((YEAR(D83)+3)&lt;YEAR(E83),0,IF((YEAR(D83)+3)&gt;YEAR(E83),1,(12-MONTH(E83)+1)/12))))-((P83)*(IF((YEAR(D83)+3)&lt;YEAR(E83),0,IF((YEAR(D83)+3)&gt;YEAR(E83),1,(12-MONTH(E83)+1)/12))) + (R83)*(IF((YEAR(D83)+3)&lt;YEAR(E83),0,IF((YEAR(D83)+3)&gt;YEAR(E83),1,(12-MONTH(E83)+1)/12))))-(IF(OR(N83="",N83&lt;=0),0,(O83/N83)*(IF(OR(N83="",N83&lt;=0),0,IF((YEAR(D83)+3)&lt;YEAR(E83),0,IF((YEAR(D83)+3)&gt;=YEAR(E83)+N83,0,IF((YEAR(D83)+3)=YEAR(E83),(12-MONTH(E83)+1)/12,1))))))))*TaxRate,0))-IF(3=0,O83,0))</f>
        <v/>
      </c>
      <c r="W83" s="29">
        <f>IF(A83="","",((K83)*(IF(M83="",L83,IFERROR(IF(INDEX(Variablen!$I:$AT, MATCH(M83, Variablen!$A:$A, 0), MATCH((YEAR(D83)+4), Variablen!$I$3:$AT$3, 0))="",L83,INDEX(Variablen!$I:$AT, MATCH(M83, Variablen!$A:$A, 0), MATCH((YEAR(D83)+4), Variablen!$I$3:$AT$3, 0))),L83)))*(IF((YEAR(D83)+4)&lt;YEAR(E83),0,IF((YEAR(D83)+4)&gt;YEAR(E83),1,(12-MONTH(E83)+1)/12))) + (Q83)*(IF((YEAR(D83)+4)&lt;YEAR(E83),0,IF((YEAR(D83)+4)&gt;YEAR(E83),1,(12-MONTH(E83)+1)/12))))-((P83)*(IF((YEAR(D83)+4)&lt;YEAR(E83),0,IF((YEAR(D83)+4)&gt;YEAR(E83),1,(12-MONTH(E83)+1)/12))) + (R83)*(IF((YEAR(D83)+4)&lt;YEAR(E83),0,IF((YEAR(D83)+4)&gt;YEAR(E83),1,(12-MONTH(E83)+1)/12))))-(IF((((K83)*(IF(M83="",L83,IFERROR(IF(INDEX(Variablen!$I:$AT, MATCH(M83, Variablen!$A:$A, 0), MATCH((YEAR(D83)+4), Variablen!$I$3:$AT$3, 0))="",L83,INDEX(Variablen!$I:$AT, MATCH(M83, Variablen!$A:$A, 0), MATCH((YEAR(D83)+4), Variablen!$I$3:$AT$3, 0))),L83)))*(IF((YEAR(D83)+4)&lt;YEAR(E83),0,IF((YEAR(D83)+4)&gt;YEAR(E83),1,(12-MONTH(E83)+1)/12))) + (Q83)*(IF((YEAR(D83)+4)&lt;YEAR(E83),0,IF((YEAR(D83)+4)&gt;YEAR(E83),1,(12-MONTH(E83)+1)/12))))-((P83)*(IF((YEAR(D83)+4)&lt;YEAR(E83),0,IF((YEAR(D83)+4)&gt;YEAR(E83),1,(12-MONTH(E83)+1)/12))) + (R83)*(IF((YEAR(D83)+4)&lt;YEAR(E83),0,IF((YEAR(D83)+4)&gt;YEAR(E83),1,(12-MONTH(E83)+1)/12))))-(IF(OR(N83="",N83&lt;=0),0,(O83/N83)*(IF(OR(N83="",N83&lt;=0),0,IF((YEAR(D83)+4)&lt;YEAR(E83),0,IF((YEAR(D83)+4)&gt;=YEAR(E83)+N83,0,IF((YEAR(D83)+4)=YEAR(E83),(12-MONTH(E83)+1)/12,1))))))))&gt;0,(((K83)*(IF(M83="",L83,IFERROR(IF(INDEX(Variablen!$I:$AT, MATCH(M83, Variablen!$A:$A, 0), MATCH((YEAR(D83)+4), Variablen!$I$3:$AT$3, 0))="",L83,INDEX(Variablen!$I:$AT, MATCH(M83, Variablen!$A:$A, 0), MATCH((YEAR(D83)+4), Variablen!$I$3:$AT$3, 0))),L83)))*(IF((YEAR(D83)+4)&lt;YEAR(E83),0,IF((YEAR(D83)+4)&gt;YEAR(E83),1,(12-MONTH(E83)+1)/12))) + (Q83)*(IF((YEAR(D83)+4)&lt;YEAR(E83),0,IF((YEAR(D83)+4)&gt;YEAR(E83),1,(12-MONTH(E83)+1)/12))))-((P83)*(IF((YEAR(D83)+4)&lt;YEAR(E83),0,IF((YEAR(D83)+4)&gt;YEAR(E83),1,(12-MONTH(E83)+1)/12))) + (R83)*(IF((YEAR(D83)+4)&lt;YEAR(E83),0,IF((YEAR(D83)+4)&gt;YEAR(E83),1,(12-MONTH(E83)+1)/12))))-(IF(OR(N83="",N83&lt;=0),0,(O83/N83)*(IF(OR(N83="",N83&lt;=0),0,IF((YEAR(D83)+4)&lt;YEAR(E83),0,IF((YEAR(D83)+4)&gt;=YEAR(E83)+N83,0,IF((YEAR(D83)+4)=YEAR(E83),(12-MONTH(E83)+1)/12,1))))))))*TaxRate,0))-IF(4=0,O83,0))</f>
        <v/>
      </c>
      <c r="X83" s="29">
        <f>IF(A83="","",((K83)*(IF(M83="",L83,IFERROR(IF(INDEX(Variablen!$I:$AT, MATCH(M83, Variablen!$A:$A, 0), MATCH((YEAR(D83)+5), Variablen!$I$3:$AT$3, 0))="",L83,INDEX(Variablen!$I:$AT, MATCH(M83, Variablen!$A:$A, 0), MATCH((YEAR(D83)+5), Variablen!$I$3:$AT$3, 0))),L83)))*(IF((YEAR(D83)+5)&lt;YEAR(E83),0,IF((YEAR(D83)+5)&gt;YEAR(E83),1,(12-MONTH(E83)+1)/12))) + (Q83)*(IF((YEAR(D83)+5)&lt;YEAR(E83),0,IF((YEAR(D83)+5)&gt;YEAR(E83),1,(12-MONTH(E83)+1)/12))))-((P83)*(IF((YEAR(D83)+5)&lt;YEAR(E83),0,IF((YEAR(D83)+5)&gt;YEAR(E83),1,(12-MONTH(E83)+1)/12))) + (R83)*(IF((YEAR(D83)+5)&lt;YEAR(E83),0,IF((YEAR(D83)+5)&gt;YEAR(E83),1,(12-MONTH(E83)+1)/12))))-(IF((((K83)*(IF(M83="",L83,IFERROR(IF(INDEX(Variablen!$I:$AT, MATCH(M83, Variablen!$A:$A, 0), MATCH((YEAR(D83)+5), Variablen!$I$3:$AT$3, 0))="",L83,INDEX(Variablen!$I:$AT, MATCH(M83, Variablen!$A:$A, 0), MATCH((YEAR(D83)+5), Variablen!$I$3:$AT$3, 0))),L83)))*(IF((YEAR(D83)+5)&lt;YEAR(E83),0,IF((YEAR(D83)+5)&gt;YEAR(E83),1,(12-MONTH(E83)+1)/12))) + (Q83)*(IF((YEAR(D83)+5)&lt;YEAR(E83),0,IF((YEAR(D83)+5)&gt;YEAR(E83),1,(12-MONTH(E83)+1)/12))))-((P83)*(IF((YEAR(D83)+5)&lt;YEAR(E83),0,IF((YEAR(D83)+5)&gt;YEAR(E83),1,(12-MONTH(E83)+1)/12))) + (R83)*(IF((YEAR(D83)+5)&lt;YEAR(E83),0,IF((YEAR(D83)+5)&gt;YEAR(E83),1,(12-MONTH(E83)+1)/12))))-(IF(OR(N83="",N83&lt;=0),0,(O83/N83)*(IF(OR(N83="",N83&lt;=0),0,IF((YEAR(D83)+5)&lt;YEAR(E83),0,IF((YEAR(D83)+5)&gt;=YEAR(E83)+N83,0,IF((YEAR(D83)+5)=YEAR(E83),(12-MONTH(E83)+1)/12,1))))))))&gt;0,(((K83)*(IF(M83="",L83,IFERROR(IF(INDEX(Variablen!$I:$AT, MATCH(M83, Variablen!$A:$A, 0), MATCH((YEAR(D83)+5), Variablen!$I$3:$AT$3, 0))="",L83,INDEX(Variablen!$I:$AT, MATCH(M83, Variablen!$A:$A, 0), MATCH((YEAR(D83)+5), Variablen!$I$3:$AT$3, 0))),L83)))*(IF((YEAR(D83)+5)&lt;YEAR(E83),0,IF((YEAR(D83)+5)&gt;YEAR(E83),1,(12-MONTH(E83)+1)/12))) + (Q83)*(IF((YEAR(D83)+5)&lt;YEAR(E83),0,IF((YEAR(D83)+5)&gt;YEAR(E83),1,(12-MONTH(E83)+1)/12))))-((P83)*(IF((YEAR(D83)+5)&lt;YEAR(E83),0,IF((YEAR(D83)+5)&gt;YEAR(E83),1,(12-MONTH(E83)+1)/12))) + (R83)*(IF((YEAR(D83)+5)&lt;YEAR(E83),0,IF((YEAR(D83)+5)&gt;YEAR(E83),1,(12-MONTH(E83)+1)/12))))-(IF(OR(N83="",N83&lt;=0),0,(O83/N83)*(IF(OR(N83="",N83&lt;=0),0,IF((YEAR(D83)+5)&lt;YEAR(E83),0,IF((YEAR(D83)+5)&gt;=YEAR(E83)+N83,0,IF((YEAR(D83)+5)=YEAR(E83),(12-MONTH(E83)+1)/12,1))))))))*TaxRate,0))-IF(5=0,O83,0))</f>
        <v/>
      </c>
      <c r="Y83" s="29">
        <f>IF(A83="","",((K83)*(IF(M83="",L83,IFERROR(IF(INDEX(Variablen!$I:$AT, MATCH(M83, Variablen!$A:$A, 0), MATCH((YEAR(D83)+6), Variablen!$I$3:$AT$3, 0))="",L83,INDEX(Variablen!$I:$AT, MATCH(M83, Variablen!$A:$A, 0), MATCH((YEAR(D83)+6), Variablen!$I$3:$AT$3, 0))),L83)))*(IF((YEAR(D83)+6)&lt;YEAR(E83),0,IF((YEAR(D83)+6)&gt;YEAR(E83),1,(12-MONTH(E83)+1)/12))) + (Q83)*(IF((YEAR(D83)+6)&lt;YEAR(E83),0,IF((YEAR(D83)+6)&gt;YEAR(E83),1,(12-MONTH(E83)+1)/12))))-((P83)*(IF((YEAR(D83)+6)&lt;YEAR(E83),0,IF((YEAR(D83)+6)&gt;YEAR(E83),1,(12-MONTH(E83)+1)/12))) + (R83)*(IF((YEAR(D83)+6)&lt;YEAR(E83),0,IF((YEAR(D83)+6)&gt;YEAR(E83),1,(12-MONTH(E83)+1)/12))))-(IF((((K83)*(IF(M83="",L83,IFERROR(IF(INDEX(Variablen!$I:$AT, MATCH(M83, Variablen!$A:$A, 0), MATCH((YEAR(D83)+6), Variablen!$I$3:$AT$3, 0))="",L83,INDEX(Variablen!$I:$AT, MATCH(M83, Variablen!$A:$A, 0), MATCH((YEAR(D83)+6), Variablen!$I$3:$AT$3, 0))),L83)))*(IF((YEAR(D83)+6)&lt;YEAR(E83),0,IF((YEAR(D83)+6)&gt;YEAR(E83),1,(12-MONTH(E83)+1)/12))) + (Q83)*(IF((YEAR(D83)+6)&lt;YEAR(E83),0,IF((YEAR(D83)+6)&gt;YEAR(E83),1,(12-MONTH(E83)+1)/12))))-((P83)*(IF((YEAR(D83)+6)&lt;YEAR(E83),0,IF((YEAR(D83)+6)&gt;YEAR(E83),1,(12-MONTH(E83)+1)/12))) + (R83)*(IF((YEAR(D83)+6)&lt;YEAR(E83),0,IF((YEAR(D83)+6)&gt;YEAR(E83),1,(12-MONTH(E83)+1)/12))))-(IF(OR(N83="",N83&lt;=0),0,(O83/N83)*(IF(OR(N83="",N83&lt;=0),0,IF((YEAR(D83)+6)&lt;YEAR(E83),0,IF((YEAR(D83)+6)&gt;=YEAR(E83)+N83,0,IF((YEAR(D83)+6)=YEAR(E83),(12-MONTH(E83)+1)/12,1))))))))&gt;0,(((K83)*(IF(M83="",L83,IFERROR(IF(INDEX(Variablen!$I:$AT, MATCH(M83, Variablen!$A:$A, 0), MATCH((YEAR(D83)+6), Variablen!$I$3:$AT$3, 0))="",L83,INDEX(Variablen!$I:$AT, MATCH(M83, Variablen!$A:$A, 0), MATCH((YEAR(D83)+6), Variablen!$I$3:$AT$3, 0))),L83)))*(IF((YEAR(D83)+6)&lt;YEAR(E83),0,IF((YEAR(D83)+6)&gt;YEAR(E83),1,(12-MONTH(E83)+1)/12))) + (Q83)*(IF((YEAR(D83)+6)&lt;YEAR(E83),0,IF((YEAR(D83)+6)&gt;YEAR(E83),1,(12-MONTH(E83)+1)/12))))-((P83)*(IF((YEAR(D83)+6)&lt;YEAR(E83),0,IF((YEAR(D83)+6)&gt;YEAR(E83),1,(12-MONTH(E83)+1)/12))) + (R83)*(IF((YEAR(D83)+6)&lt;YEAR(E83),0,IF((YEAR(D83)+6)&gt;YEAR(E83),1,(12-MONTH(E83)+1)/12))))-(IF(OR(N83="",N83&lt;=0),0,(O83/N83)*(IF(OR(N83="",N83&lt;=0),0,IF((YEAR(D83)+6)&lt;YEAR(E83),0,IF((YEAR(D83)+6)&gt;=YEAR(E83)+N83,0,IF((YEAR(D83)+6)=YEAR(E83),(12-MONTH(E83)+1)/12,1))))))))*TaxRate,0))-IF(6=0,O83,0))</f>
        <v/>
      </c>
      <c r="Z83" s="29">
        <f>IF(A83="","",((K83)*(IF(M83="",L83,IFERROR(IF(INDEX(Variablen!$I:$AT, MATCH(M83, Variablen!$A:$A, 0), MATCH((YEAR(D83)+7), Variablen!$I$3:$AT$3, 0))="",L83,INDEX(Variablen!$I:$AT, MATCH(M83, Variablen!$A:$A, 0), MATCH((YEAR(D83)+7), Variablen!$I$3:$AT$3, 0))),L83)))*(IF((YEAR(D83)+7)&lt;YEAR(E83),0,IF((YEAR(D83)+7)&gt;YEAR(E83),1,(12-MONTH(E83)+1)/12))) + (Q83)*(IF((YEAR(D83)+7)&lt;YEAR(E83),0,IF((YEAR(D83)+7)&gt;YEAR(E83),1,(12-MONTH(E83)+1)/12))))-((P83)*(IF((YEAR(D83)+7)&lt;YEAR(E83),0,IF((YEAR(D83)+7)&gt;YEAR(E83),1,(12-MONTH(E83)+1)/12))) + (R83)*(IF((YEAR(D83)+7)&lt;YEAR(E83),0,IF((YEAR(D83)+7)&gt;YEAR(E83),1,(12-MONTH(E83)+1)/12))))-(IF((((K83)*(IF(M83="",L83,IFERROR(IF(INDEX(Variablen!$I:$AT, MATCH(M83, Variablen!$A:$A, 0), MATCH((YEAR(D83)+7), Variablen!$I$3:$AT$3, 0))="",L83,INDEX(Variablen!$I:$AT, MATCH(M83, Variablen!$A:$A, 0), MATCH((YEAR(D83)+7), Variablen!$I$3:$AT$3, 0))),L83)))*(IF((YEAR(D83)+7)&lt;YEAR(E83),0,IF((YEAR(D83)+7)&gt;YEAR(E83),1,(12-MONTH(E83)+1)/12))) + (Q83)*(IF((YEAR(D83)+7)&lt;YEAR(E83),0,IF((YEAR(D83)+7)&gt;YEAR(E83),1,(12-MONTH(E83)+1)/12))))-((P83)*(IF((YEAR(D83)+7)&lt;YEAR(E83),0,IF((YEAR(D83)+7)&gt;YEAR(E83),1,(12-MONTH(E83)+1)/12))) + (R83)*(IF((YEAR(D83)+7)&lt;YEAR(E83),0,IF((YEAR(D83)+7)&gt;YEAR(E83),1,(12-MONTH(E83)+1)/12))))-(IF(OR(N83="",N83&lt;=0),0,(O83/N83)*(IF(OR(N83="",N83&lt;=0),0,IF((YEAR(D83)+7)&lt;YEAR(E83),0,IF((YEAR(D83)+7)&gt;=YEAR(E83)+N83,0,IF((YEAR(D83)+7)=YEAR(E83),(12-MONTH(E83)+1)/12,1))))))))&gt;0,(((K83)*(IF(M83="",L83,IFERROR(IF(INDEX(Variablen!$I:$AT, MATCH(M83, Variablen!$A:$A, 0), MATCH((YEAR(D83)+7), Variablen!$I$3:$AT$3, 0))="",L83,INDEX(Variablen!$I:$AT, MATCH(M83, Variablen!$A:$A, 0), MATCH((YEAR(D83)+7), Variablen!$I$3:$AT$3, 0))),L83)))*(IF((YEAR(D83)+7)&lt;YEAR(E83),0,IF((YEAR(D83)+7)&gt;YEAR(E83),1,(12-MONTH(E83)+1)/12))) + (Q83)*(IF((YEAR(D83)+7)&lt;YEAR(E83),0,IF((YEAR(D83)+7)&gt;YEAR(E83),1,(12-MONTH(E83)+1)/12))))-((P83)*(IF((YEAR(D83)+7)&lt;YEAR(E83),0,IF((YEAR(D83)+7)&gt;YEAR(E83),1,(12-MONTH(E83)+1)/12))) + (R83)*(IF((YEAR(D83)+7)&lt;YEAR(E83),0,IF((YEAR(D83)+7)&gt;YEAR(E83),1,(12-MONTH(E83)+1)/12))))-(IF(OR(N83="",N83&lt;=0),0,(O83/N83)*(IF(OR(N83="",N83&lt;=0),0,IF((YEAR(D83)+7)&lt;YEAR(E83),0,IF((YEAR(D83)+7)&gt;=YEAR(E83)+N83,0,IF((YEAR(D83)+7)=YEAR(E83),(12-MONTH(E83)+1)/12,1))))))))*TaxRate,0))-IF(7=0,O83,0))</f>
        <v/>
      </c>
      <c r="AA83" s="29">
        <f>IF(A83="","",((K83)*(IF(M83="",L83,IFERROR(IF(INDEX(Variablen!$I:$AT, MATCH(M83, Variablen!$A:$A, 0), MATCH((YEAR(D83)+8), Variablen!$I$3:$AT$3, 0))="",L83,INDEX(Variablen!$I:$AT, MATCH(M83, Variablen!$A:$A, 0), MATCH((YEAR(D83)+8), Variablen!$I$3:$AT$3, 0))),L83)))*(IF((YEAR(D83)+8)&lt;YEAR(E83),0,IF((YEAR(D83)+8)&gt;YEAR(E83),1,(12-MONTH(E83)+1)/12))) + (Q83)*(IF((YEAR(D83)+8)&lt;YEAR(E83),0,IF((YEAR(D83)+8)&gt;YEAR(E83),1,(12-MONTH(E83)+1)/12))))-((P83)*(IF((YEAR(D83)+8)&lt;YEAR(E83),0,IF((YEAR(D83)+8)&gt;YEAR(E83),1,(12-MONTH(E83)+1)/12))) + (R83)*(IF((YEAR(D83)+8)&lt;YEAR(E83),0,IF((YEAR(D83)+8)&gt;YEAR(E83),1,(12-MONTH(E83)+1)/12))))-(IF((((K83)*(IF(M83="",L83,IFERROR(IF(INDEX(Variablen!$I:$AT, MATCH(M83, Variablen!$A:$A, 0), MATCH((YEAR(D83)+8), Variablen!$I$3:$AT$3, 0))="",L83,INDEX(Variablen!$I:$AT, MATCH(M83, Variablen!$A:$A, 0), MATCH((YEAR(D83)+8), Variablen!$I$3:$AT$3, 0))),L83)))*(IF((YEAR(D83)+8)&lt;YEAR(E83),0,IF((YEAR(D83)+8)&gt;YEAR(E83),1,(12-MONTH(E83)+1)/12))) + (Q83)*(IF((YEAR(D83)+8)&lt;YEAR(E83),0,IF((YEAR(D83)+8)&gt;YEAR(E83),1,(12-MONTH(E83)+1)/12))))-((P83)*(IF((YEAR(D83)+8)&lt;YEAR(E83),0,IF((YEAR(D83)+8)&gt;YEAR(E83),1,(12-MONTH(E83)+1)/12))) + (R83)*(IF((YEAR(D83)+8)&lt;YEAR(E83),0,IF((YEAR(D83)+8)&gt;YEAR(E83),1,(12-MONTH(E83)+1)/12))))-(IF(OR(N83="",N83&lt;=0),0,(O83/N83)*(IF(OR(N83="",N83&lt;=0),0,IF((YEAR(D83)+8)&lt;YEAR(E83),0,IF((YEAR(D83)+8)&gt;=YEAR(E83)+N83,0,IF((YEAR(D83)+8)=YEAR(E83),(12-MONTH(E83)+1)/12,1))))))))&gt;0,(((K83)*(IF(M83="",L83,IFERROR(IF(INDEX(Variablen!$I:$AT, MATCH(M83, Variablen!$A:$A, 0), MATCH((YEAR(D83)+8), Variablen!$I$3:$AT$3, 0))="",L83,INDEX(Variablen!$I:$AT, MATCH(M83, Variablen!$A:$A, 0), MATCH((YEAR(D83)+8), Variablen!$I$3:$AT$3, 0))),L83)))*(IF((YEAR(D83)+8)&lt;YEAR(E83),0,IF((YEAR(D83)+8)&gt;YEAR(E83),1,(12-MONTH(E83)+1)/12))) + (Q83)*(IF((YEAR(D83)+8)&lt;YEAR(E83),0,IF((YEAR(D83)+8)&gt;YEAR(E83),1,(12-MONTH(E83)+1)/12))))-((P83)*(IF((YEAR(D83)+8)&lt;YEAR(E83),0,IF((YEAR(D83)+8)&gt;YEAR(E83),1,(12-MONTH(E83)+1)/12))) + (R83)*(IF((YEAR(D83)+8)&lt;YEAR(E83),0,IF((YEAR(D83)+8)&gt;YEAR(E83),1,(12-MONTH(E83)+1)/12))))-(IF(OR(N83="",N83&lt;=0),0,(O83/N83)*(IF(OR(N83="",N83&lt;=0),0,IF((YEAR(D83)+8)&lt;YEAR(E83),0,IF((YEAR(D83)+8)&gt;=YEAR(E83)+N83,0,IF((YEAR(D83)+8)=YEAR(E83),(12-MONTH(E83)+1)/12,1))))))))*TaxRate,0))-IF(8=0,O83,0))</f>
        <v/>
      </c>
      <c r="AB83" s="29">
        <f>IF(A83="","",((K83)*(IF(M83="",L83,IFERROR(IF(INDEX(Variablen!$I:$AT, MATCH(M83, Variablen!$A:$A, 0), MATCH((YEAR(D83)+9), Variablen!$I$3:$AT$3, 0))="",L83,INDEX(Variablen!$I:$AT, MATCH(M83, Variablen!$A:$A, 0), MATCH((YEAR(D83)+9), Variablen!$I$3:$AT$3, 0))),L83)))*(IF((YEAR(D83)+9)&lt;YEAR(E83),0,IF((YEAR(D83)+9)&gt;YEAR(E83),1,(12-MONTH(E83)+1)/12))) + (Q83)*(IF((YEAR(D83)+9)&lt;YEAR(E83),0,IF((YEAR(D83)+9)&gt;YEAR(E83),1,(12-MONTH(E83)+1)/12))))-((P83)*(IF((YEAR(D83)+9)&lt;YEAR(E83),0,IF((YEAR(D83)+9)&gt;YEAR(E83),1,(12-MONTH(E83)+1)/12))) + (R83)*(IF((YEAR(D83)+9)&lt;YEAR(E83),0,IF((YEAR(D83)+9)&gt;YEAR(E83),1,(12-MONTH(E83)+1)/12))))-(IF((((K83)*(IF(M83="",L83,IFERROR(IF(INDEX(Variablen!$I:$AT, MATCH(M83, Variablen!$A:$A, 0), MATCH((YEAR(D83)+9), Variablen!$I$3:$AT$3, 0))="",L83,INDEX(Variablen!$I:$AT, MATCH(M83, Variablen!$A:$A, 0), MATCH((YEAR(D83)+9), Variablen!$I$3:$AT$3, 0))),L83)))*(IF((YEAR(D83)+9)&lt;YEAR(E83),0,IF((YEAR(D83)+9)&gt;YEAR(E83),1,(12-MONTH(E83)+1)/12))) + (Q83)*(IF((YEAR(D83)+9)&lt;YEAR(E83),0,IF((YEAR(D83)+9)&gt;YEAR(E83),1,(12-MONTH(E83)+1)/12))))-((P83)*(IF((YEAR(D83)+9)&lt;YEAR(E83),0,IF((YEAR(D83)+9)&gt;YEAR(E83),1,(12-MONTH(E83)+1)/12))) + (R83)*(IF((YEAR(D83)+9)&lt;YEAR(E83),0,IF((YEAR(D83)+9)&gt;YEAR(E83),1,(12-MONTH(E83)+1)/12))))-(IF(OR(N83="",N83&lt;=0),0,(O83/N83)*(IF(OR(N83="",N83&lt;=0),0,IF((YEAR(D83)+9)&lt;YEAR(E83),0,IF((YEAR(D83)+9)&gt;=YEAR(E83)+N83,0,IF((YEAR(D83)+9)=YEAR(E83),(12-MONTH(E83)+1)/12,1))))))))&gt;0,(((K83)*(IF(M83="",L83,IFERROR(IF(INDEX(Variablen!$I:$AT, MATCH(M83, Variablen!$A:$A, 0), MATCH((YEAR(D83)+9), Variablen!$I$3:$AT$3, 0))="",L83,INDEX(Variablen!$I:$AT, MATCH(M83, Variablen!$A:$A, 0), MATCH((YEAR(D83)+9), Variablen!$I$3:$AT$3, 0))),L83)))*(IF((YEAR(D83)+9)&lt;YEAR(E83),0,IF((YEAR(D83)+9)&gt;YEAR(E83),1,(12-MONTH(E83)+1)/12))) + (Q83)*(IF((YEAR(D83)+9)&lt;YEAR(E83),0,IF((YEAR(D83)+9)&gt;YEAR(E83),1,(12-MONTH(E83)+1)/12))))-((P83)*(IF((YEAR(D83)+9)&lt;YEAR(E83),0,IF((YEAR(D83)+9)&gt;YEAR(E83),1,(12-MONTH(E83)+1)/12))) + (R83)*(IF((YEAR(D83)+9)&lt;YEAR(E83),0,IF((YEAR(D83)+9)&gt;YEAR(E83),1,(12-MONTH(E83)+1)/12))))-(IF(OR(N83="",N83&lt;=0),0,(O83/N83)*(IF(OR(N83="",N83&lt;=0),0,IF((YEAR(D83)+9)&lt;YEAR(E83),0,IF((YEAR(D83)+9)&gt;=YEAR(E83)+N83,0,IF((YEAR(D83)+9)=YEAR(E83),(12-MONTH(E83)+1)/12,1))))))))*TaxRate,0))-IF(9=0,O83,0))</f>
        <v/>
      </c>
      <c r="AC83" s="29">
        <f>IF(A83="","",((K83)*(IF(M83="",L83,IFERROR(IF(INDEX(Variablen!$I:$AT, MATCH(M83, Variablen!$A:$A, 0), MATCH((YEAR(D83)+10), Variablen!$I$3:$AT$3, 0))="",L83,INDEX(Variablen!$I:$AT, MATCH(M83, Variablen!$A:$A, 0), MATCH((YEAR(D83)+10), Variablen!$I$3:$AT$3, 0))),L83)))*(IF((YEAR(D83)+10)&lt;YEAR(E83),0,IF((YEAR(D83)+10)&gt;YEAR(E83),1,(12-MONTH(E83)+1)/12))) + (Q83)*(IF((YEAR(D83)+10)&lt;YEAR(E83),0,IF((YEAR(D83)+10)&gt;YEAR(E83),1,(12-MONTH(E83)+1)/12))))-((P83)*(IF((YEAR(D83)+10)&lt;YEAR(E83),0,IF((YEAR(D83)+10)&gt;YEAR(E83),1,(12-MONTH(E83)+1)/12))) + (R83)*(IF((YEAR(D83)+10)&lt;YEAR(E83),0,IF((YEAR(D83)+10)&gt;YEAR(E83),1,(12-MONTH(E83)+1)/12))))-(IF((((K83)*(IF(M83="",L83,IFERROR(IF(INDEX(Variablen!$I:$AT, MATCH(M83, Variablen!$A:$A, 0), MATCH((YEAR(D83)+10), Variablen!$I$3:$AT$3, 0))="",L83,INDEX(Variablen!$I:$AT, MATCH(M83, Variablen!$A:$A, 0), MATCH((YEAR(D83)+10), Variablen!$I$3:$AT$3, 0))),L83)))*(IF((YEAR(D83)+10)&lt;YEAR(E83),0,IF((YEAR(D83)+10)&gt;YEAR(E83),1,(12-MONTH(E83)+1)/12))) + (Q83)*(IF((YEAR(D83)+10)&lt;YEAR(E83),0,IF((YEAR(D83)+10)&gt;YEAR(E83),1,(12-MONTH(E83)+1)/12))))-((P83)*(IF((YEAR(D83)+10)&lt;YEAR(E83),0,IF((YEAR(D83)+10)&gt;YEAR(E83),1,(12-MONTH(E83)+1)/12))) + (R83)*(IF((YEAR(D83)+10)&lt;YEAR(E83),0,IF((YEAR(D83)+10)&gt;YEAR(E83),1,(12-MONTH(E83)+1)/12))))-(IF(OR(N83="",N83&lt;=0),0,(O83/N83)*(IF(OR(N83="",N83&lt;=0),0,IF((YEAR(D83)+10)&lt;YEAR(E83),0,IF((YEAR(D83)+10)&gt;=YEAR(E83)+N83,0,IF((YEAR(D83)+10)=YEAR(E83),(12-MONTH(E83)+1)/12,1))))))))&gt;0,(((K83)*(IF(M83="",L83,IFERROR(IF(INDEX(Variablen!$I:$AT, MATCH(M83, Variablen!$A:$A, 0), MATCH((YEAR(D83)+10), Variablen!$I$3:$AT$3, 0))="",L83,INDEX(Variablen!$I:$AT, MATCH(M83, Variablen!$A:$A, 0), MATCH((YEAR(D83)+10), Variablen!$I$3:$AT$3, 0))),L83)))*(IF((YEAR(D83)+10)&lt;YEAR(E83),0,IF((YEAR(D83)+10)&gt;YEAR(E83),1,(12-MONTH(E83)+1)/12))) + (Q83)*(IF((YEAR(D83)+10)&lt;YEAR(E83),0,IF((YEAR(D83)+10)&gt;YEAR(E83),1,(12-MONTH(E83)+1)/12))))-((P83)*(IF((YEAR(D83)+10)&lt;YEAR(E83),0,IF((YEAR(D83)+10)&gt;YEAR(E83),1,(12-MONTH(E83)+1)/12))) + (R83)*(IF((YEAR(D83)+10)&lt;YEAR(E83),0,IF((YEAR(D83)+10)&gt;YEAR(E83),1,(12-MONTH(E83)+1)/12))))-(IF(OR(N83="",N83&lt;=0),0,(O83/N83)*(IF(OR(N83="",N83&lt;=0),0,IF((YEAR(D83)+10)&lt;YEAR(E83),0,IF((YEAR(D83)+10)&gt;=YEAR(E83)+N83,0,IF((YEAR(D83)+10)=YEAR(E83),(12-MONTH(E83)+1)/12,1))))))))*TaxRate,0))-IF(10=0,O83,0))</f>
        <v/>
      </c>
      <c r="AD83" s="29">
        <f>IF(A83="","",((K83)*(IF(M83="",L83,IFERROR(IF(INDEX(Variablen!$I:$AT, MATCH(M83, Variablen!$A:$A, 0), MATCH((YEAR(D83)+11), Variablen!$I$3:$AT$3, 0))="",L83,INDEX(Variablen!$I:$AT, MATCH(M83, Variablen!$A:$A, 0), MATCH((YEAR(D83)+11), Variablen!$I$3:$AT$3, 0))),L83)))*(IF((YEAR(D83)+11)&lt;YEAR(E83),0,IF((YEAR(D83)+11)&gt;YEAR(E83),1,(12-MONTH(E83)+1)/12))) + (Q83)*(IF((YEAR(D83)+11)&lt;YEAR(E83),0,IF((YEAR(D83)+11)&gt;YEAR(E83),1,(12-MONTH(E83)+1)/12))))-((P83)*(IF((YEAR(D83)+11)&lt;YEAR(E83),0,IF((YEAR(D83)+11)&gt;YEAR(E83),1,(12-MONTH(E83)+1)/12))) + (R83)*(IF((YEAR(D83)+11)&lt;YEAR(E83),0,IF((YEAR(D83)+11)&gt;YEAR(E83),1,(12-MONTH(E83)+1)/12))))-(IF((((K83)*(IF(M83="",L83,IFERROR(IF(INDEX(Variablen!$I:$AT, MATCH(M83, Variablen!$A:$A, 0), MATCH((YEAR(D83)+11), Variablen!$I$3:$AT$3, 0))="",L83,INDEX(Variablen!$I:$AT, MATCH(M83, Variablen!$A:$A, 0), MATCH((YEAR(D83)+11), Variablen!$I$3:$AT$3, 0))),L83)))*(IF((YEAR(D83)+11)&lt;YEAR(E83),0,IF((YEAR(D83)+11)&gt;YEAR(E83),1,(12-MONTH(E83)+1)/12))) + (Q83)*(IF((YEAR(D83)+11)&lt;YEAR(E83),0,IF((YEAR(D83)+11)&gt;YEAR(E83),1,(12-MONTH(E83)+1)/12))))-((P83)*(IF((YEAR(D83)+11)&lt;YEAR(E83),0,IF((YEAR(D83)+11)&gt;YEAR(E83),1,(12-MONTH(E83)+1)/12))) + (R83)*(IF((YEAR(D83)+11)&lt;YEAR(E83),0,IF((YEAR(D83)+11)&gt;YEAR(E83),1,(12-MONTH(E83)+1)/12))))-(IF(OR(N83="",N83&lt;=0),0,(O83/N83)*(IF(OR(N83="",N83&lt;=0),0,IF((YEAR(D83)+11)&lt;YEAR(E83),0,IF((YEAR(D83)+11)&gt;=YEAR(E83)+N83,0,IF((YEAR(D83)+11)=YEAR(E83),(12-MONTH(E83)+1)/12,1))))))))&gt;0,(((K83)*(IF(M83="",L83,IFERROR(IF(INDEX(Variablen!$I:$AT, MATCH(M83, Variablen!$A:$A, 0), MATCH((YEAR(D83)+11), Variablen!$I$3:$AT$3, 0))="",L83,INDEX(Variablen!$I:$AT, MATCH(M83, Variablen!$A:$A, 0), MATCH((YEAR(D83)+11), Variablen!$I$3:$AT$3, 0))),L83)))*(IF((YEAR(D83)+11)&lt;YEAR(E83),0,IF((YEAR(D83)+11)&gt;YEAR(E83),1,(12-MONTH(E83)+1)/12))) + (Q83)*(IF((YEAR(D83)+11)&lt;YEAR(E83),0,IF((YEAR(D83)+11)&gt;YEAR(E83),1,(12-MONTH(E83)+1)/12))))-((P83)*(IF((YEAR(D83)+11)&lt;YEAR(E83),0,IF((YEAR(D83)+11)&gt;YEAR(E83),1,(12-MONTH(E83)+1)/12))) + (R83)*(IF((YEAR(D83)+11)&lt;YEAR(E83),0,IF((YEAR(D83)+11)&gt;YEAR(E83),1,(12-MONTH(E83)+1)/12))))-(IF(OR(N83="",N83&lt;=0),0,(O83/N83)*(IF(OR(N83="",N83&lt;=0),0,IF((YEAR(D83)+11)&lt;YEAR(E83),0,IF((YEAR(D83)+11)&gt;=YEAR(E83)+N83,0,IF((YEAR(D83)+11)=YEAR(E83),(12-MONTH(E83)+1)/12,1))))))))*TaxRate,0))-IF(11=0,O83,0))</f>
        <v/>
      </c>
      <c r="AE83" s="29">
        <f>IF(A83="","",((K83)*(IF(M83="",L83,IFERROR(IF(INDEX(Variablen!$I:$AT, MATCH(M83, Variablen!$A:$A, 0), MATCH((YEAR(D83)+12), Variablen!$I$3:$AT$3, 0))="",L83,INDEX(Variablen!$I:$AT, MATCH(M83, Variablen!$A:$A, 0), MATCH((YEAR(D83)+12), Variablen!$I$3:$AT$3, 0))),L83)))*(IF((YEAR(D83)+12)&lt;YEAR(E83),0,IF((YEAR(D83)+12)&gt;YEAR(E83),1,(12-MONTH(E83)+1)/12))) + (Q83)*(IF((YEAR(D83)+12)&lt;YEAR(E83),0,IF((YEAR(D83)+12)&gt;YEAR(E83),1,(12-MONTH(E83)+1)/12))))-((P83)*(IF((YEAR(D83)+12)&lt;YEAR(E83),0,IF((YEAR(D83)+12)&gt;YEAR(E83),1,(12-MONTH(E83)+1)/12))) + (R83)*(IF((YEAR(D83)+12)&lt;YEAR(E83),0,IF((YEAR(D83)+12)&gt;YEAR(E83),1,(12-MONTH(E83)+1)/12))))-(IF((((K83)*(IF(M83="",L83,IFERROR(IF(INDEX(Variablen!$I:$AT, MATCH(M83, Variablen!$A:$A, 0), MATCH((YEAR(D83)+12), Variablen!$I$3:$AT$3, 0))="",L83,INDEX(Variablen!$I:$AT, MATCH(M83, Variablen!$A:$A, 0), MATCH((YEAR(D83)+12), Variablen!$I$3:$AT$3, 0))),L83)))*(IF((YEAR(D83)+12)&lt;YEAR(E83),0,IF((YEAR(D83)+12)&gt;YEAR(E83),1,(12-MONTH(E83)+1)/12))) + (Q83)*(IF((YEAR(D83)+12)&lt;YEAR(E83),0,IF((YEAR(D83)+12)&gt;YEAR(E83),1,(12-MONTH(E83)+1)/12))))-((P83)*(IF((YEAR(D83)+12)&lt;YEAR(E83),0,IF((YEAR(D83)+12)&gt;YEAR(E83),1,(12-MONTH(E83)+1)/12))) + (R83)*(IF((YEAR(D83)+12)&lt;YEAR(E83),0,IF((YEAR(D83)+12)&gt;YEAR(E83),1,(12-MONTH(E83)+1)/12))))-(IF(OR(N83="",N83&lt;=0),0,(O83/N83)*(IF(OR(N83="",N83&lt;=0),0,IF((YEAR(D83)+12)&lt;YEAR(E83),0,IF((YEAR(D83)+12)&gt;=YEAR(E83)+N83,0,IF((YEAR(D83)+12)=YEAR(E83),(12-MONTH(E83)+1)/12,1))))))))&gt;0,(((K83)*(IF(M83="",L83,IFERROR(IF(INDEX(Variablen!$I:$AT, MATCH(M83, Variablen!$A:$A, 0), MATCH((YEAR(D83)+12), Variablen!$I$3:$AT$3, 0))="",L83,INDEX(Variablen!$I:$AT, MATCH(M83, Variablen!$A:$A, 0), MATCH((YEAR(D83)+12), Variablen!$I$3:$AT$3, 0))),L83)))*(IF((YEAR(D83)+12)&lt;YEAR(E83),0,IF((YEAR(D83)+12)&gt;YEAR(E83),1,(12-MONTH(E83)+1)/12))) + (Q83)*(IF((YEAR(D83)+12)&lt;YEAR(E83),0,IF((YEAR(D83)+12)&gt;YEAR(E83),1,(12-MONTH(E83)+1)/12))))-((P83)*(IF((YEAR(D83)+12)&lt;YEAR(E83),0,IF((YEAR(D83)+12)&gt;YEAR(E83),1,(12-MONTH(E83)+1)/12))) + (R83)*(IF((YEAR(D83)+12)&lt;YEAR(E83),0,IF((YEAR(D83)+12)&gt;YEAR(E83),1,(12-MONTH(E83)+1)/12))))-(IF(OR(N83="",N83&lt;=0),0,(O83/N83)*(IF(OR(N83="",N83&lt;=0),0,IF((YEAR(D83)+12)&lt;YEAR(E83),0,IF((YEAR(D83)+12)&gt;=YEAR(E83)+N83,0,IF((YEAR(D83)+12)=YEAR(E83),(12-MONTH(E83)+1)/12,1))))))))*TaxRate,0))-IF(12=0,O83,0))</f>
        <v/>
      </c>
      <c r="AF83" s="29">
        <f>IF(A83="","",((K83)*(IF(M83="",L83,IFERROR(IF(INDEX(Variablen!$I:$AT, MATCH(M83, Variablen!$A:$A, 0), MATCH((YEAR(D83)+13), Variablen!$I$3:$AT$3, 0))="",L83,INDEX(Variablen!$I:$AT, MATCH(M83, Variablen!$A:$A, 0), MATCH((YEAR(D83)+13), Variablen!$I$3:$AT$3, 0))),L83)))*(IF((YEAR(D83)+13)&lt;YEAR(E83),0,IF((YEAR(D83)+13)&gt;YEAR(E83),1,(12-MONTH(E83)+1)/12))) + (Q83)*(IF((YEAR(D83)+13)&lt;YEAR(E83),0,IF((YEAR(D83)+13)&gt;YEAR(E83),1,(12-MONTH(E83)+1)/12))))-((P83)*(IF((YEAR(D83)+13)&lt;YEAR(E83),0,IF((YEAR(D83)+13)&gt;YEAR(E83),1,(12-MONTH(E83)+1)/12))) + (R83)*(IF((YEAR(D83)+13)&lt;YEAR(E83),0,IF((YEAR(D83)+13)&gt;YEAR(E83),1,(12-MONTH(E83)+1)/12))))-(IF((((K83)*(IF(M83="",L83,IFERROR(IF(INDEX(Variablen!$I:$AT, MATCH(M83, Variablen!$A:$A, 0), MATCH((YEAR(D83)+13), Variablen!$I$3:$AT$3, 0))="",L83,INDEX(Variablen!$I:$AT, MATCH(M83, Variablen!$A:$A, 0), MATCH((YEAR(D83)+13), Variablen!$I$3:$AT$3, 0))),L83)))*(IF((YEAR(D83)+13)&lt;YEAR(E83),0,IF((YEAR(D83)+13)&gt;YEAR(E83),1,(12-MONTH(E83)+1)/12))) + (Q83)*(IF((YEAR(D83)+13)&lt;YEAR(E83),0,IF((YEAR(D83)+13)&gt;YEAR(E83),1,(12-MONTH(E83)+1)/12))))-((P83)*(IF((YEAR(D83)+13)&lt;YEAR(E83),0,IF((YEAR(D83)+13)&gt;YEAR(E83),1,(12-MONTH(E83)+1)/12))) + (R83)*(IF((YEAR(D83)+13)&lt;YEAR(E83),0,IF((YEAR(D83)+13)&gt;YEAR(E83),1,(12-MONTH(E83)+1)/12))))-(IF(OR(N83="",N83&lt;=0),0,(O83/N83)*(IF(OR(N83="",N83&lt;=0),0,IF((YEAR(D83)+13)&lt;YEAR(E83),0,IF((YEAR(D83)+13)&gt;=YEAR(E83)+N83,0,IF((YEAR(D83)+13)=YEAR(E83),(12-MONTH(E83)+1)/12,1))))))))&gt;0,(((K83)*(IF(M83="",L83,IFERROR(IF(INDEX(Variablen!$I:$AT, MATCH(M83, Variablen!$A:$A, 0), MATCH((YEAR(D83)+13), Variablen!$I$3:$AT$3, 0))="",L83,INDEX(Variablen!$I:$AT, MATCH(M83, Variablen!$A:$A, 0), MATCH((YEAR(D83)+13), Variablen!$I$3:$AT$3, 0))),L83)))*(IF((YEAR(D83)+13)&lt;YEAR(E83),0,IF((YEAR(D83)+13)&gt;YEAR(E83),1,(12-MONTH(E83)+1)/12))) + (Q83)*(IF((YEAR(D83)+13)&lt;YEAR(E83),0,IF((YEAR(D83)+13)&gt;YEAR(E83),1,(12-MONTH(E83)+1)/12))))-((P83)*(IF((YEAR(D83)+13)&lt;YEAR(E83),0,IF((YEAR(D83)+13)&gt;YEAR(E83),1,(12-MONTH(E83)+1)/12))) + (R83)*(IF((YEAR(D83)+13)&lt;YEAR(E83),0,IF((YEAR(D83)+13)&gt;YEAR(E83),1,(12-MONTH(E83)+1)/12))))-(IF(OR(N83="",N83&lt;=0),0,(O83/N83)*(IF(OR(N83="",N83&lt;=0),0,IF((YEAR(D83)+13)&lt;YEAR(E83),0,IF((YEAR(D83)+13)&gt;=YEAR(E83)+N83,0,IF((YEAR(D83)+13)=YEAR(E83),(12-MONTH(E83)+1)/12,1))))))))*TaxRate,0))-IF(13=0,O83,0))</f>
        <v/>
      </c>
      <c r="AG83" s="29">
        <f>IF(A83="","",((K83)*(IF(M83="",L83,IFERROR(IF(INDEX(Variablen!$I:$AT, MATCH(M83, Variablen!$A:$A, 0), MATCH((YEAR(D83)+14), Variablen!$I$3:$AT$3, 0))="",L83,INDEX(Variablen!$I:$AT, MATCH(M83, Variablen!$A:$A, 0), MATCH((YEAR(D83)+14), Variablen!$I$3:$AT$3, 0))),L83)))*(IF((YEAR(D83)+14)&lt;YEAR(E83),0,IF((YEAR(D83)+14)&gt;YEAR(E83),1,(12-MONTH(E83)+1)/12))) + (Q83)*(IF((YEAR(D83)+14)&lt;YEAR(E83),0,IF((YEAR(D83)+14)&gt;YEAR(E83),1,(12-MONTH(E83)+1)/12))))-((P83)*(IF((YEAR(D83)+14)&lt;YEAR(E83),0,IF((YEAR(D83)+14)&gt;YEAR(E83),1,(12-MONTH(E83)+1)/12))) + (R83)*(IF((YEAR(D83)+14)&lt;YEAR(E83),0,IF((YEAR(D83)+14)&gt;YEAR(E83),1,(12-MONTH(E83)+1)/12))))-(IF((((K83)*(IF(M83="",L83,IFERROR(IF(INDEX(Variablen!$I:$AT, MATCH(M83, Variablen!$A:$A, 0), MATCH((YEAR(D83)+14), Variablen!$I$3:$AT$3, 0))="",L83,INDEX(Variablen!$I:$AT, MATCH(M83, Variablen!$A:$A, 0), MATCH((YEAR(D83)+14), Variablen!$I$3:$AT$3, 0))),L83)))*(IF((YEAR(D83)+14)&lt;YEAR(E83),0,IF((YEAR(D83)+14)&gt;YEAR(E83),1,(12-MONTH(E83)+1)/12))) + (Q83)*(IF((YEAR(D83)+14)&lt;YEAR(E83),0,IF((YEAR(D83)+14)&gt;YEAR(E83),1,(12-MONTH(E83)+1)/12))))-((P83)*(IF((YEAR(D83)+14)&lt;YEAR(E83),0,IF((YEAR(D83)+14)&gt;YEAR(E83),1,(12-MONTH(E83)+1)/12))) + (R83)*(IF((YEAR(D83)+14)&lt;YEAR(E83),0,IF((YEAR(D83)+14)&gt;YEAR(E83),1,(12-MONTH(E83)+1)/12))))-(IF(OR(N83="",N83&lt;=0),0,(O83/N83)*(IF(OR(N83="",N83&lt;=0),0,IF((YEAR(D83)+14)&lt;YEAR(E83),0,IF((YEAR(D83)+14)&gt;=YEAR(E83)+N83,0,IF((YEAR(D83)+14)=YEAR(E83),(12-MONTH(E83)+1)/12,1))))))))&gt;0,(((K83)*(IF(M83="",L83,IFERROR(IF(INDEX(Variablen!$I:$AT, MATCH(M83, Variablen!$A:$A, 0), MATCH((YEAR(D83)+14), Variablen!$I$3:$AT$3, 0))="",L83,INDEX(Variablen!$I:$AT, MATCH(M83, Variablen!$A:$A, 0), MATCH((YEAR(D83)+14), Variablen!$I$3:$AT$3, 0))),L83)))*(IF((YEAR(D83)+14)&lt;YEAR(E83),0,IF((YEAR(D83)+14)&gt;YEAR(E83),1,(12-MONTH(E83)+1)/12))) + (Q83)*(IF((YEAR(D83)+14)&lt;YEAR(E83),0,IF((YEAR(D83)+14)&gt;YEAR(E83),1,(12-MONTH(E83)+1)/12))))-((P83)*(IF((YEAR(D83)+14)&lt;YEAR(E83),0,IF((YEAR(D83)+14)&gt;YEAR(E83),1,(12-MONTH(E83)+1)/12))) + (R83)*(IF((YEAR(D83)+14)&lt;YEAR(E83),0,IF((YEAR(D83)+14)&gt;YEAR(E83),1,(12-MONTH(E83)+1)/12))))-(IF(OR(N83="",N83&lt;=0),0,(O83/N83)*(IF(OR(N83="",N83&lt;=0),0,IF((YEAR(D83)+14)&lt;YEAR(E83),0,IF((YEAR(D83)+14)&gt;=YEAR(E83)+N83,0,IF((YEAR(D83)+14)=YEAR(E83),(12-MONTH(E83)+1)/12,1))))))))*TaxRate,0))-IF(14=0,O83,0))</f>
        <v/>
      </c>
      <c r="AH83" s="29">
        <f>IF(A83="","",((K83)*(IF(M83="",L83,IFERROR(IF(INDEX(Variablen!$I:$AT, MATCH(M83, Variablen!$A:$A, 0), MATCH((YEAR(D83)+15), Variablen!$I$3:$AT$3, 0))="",L83,INDEX(Variablen!$I:$AT, MATCH(M83, Variablen!$A:$A, 0), MATCH((YEAR(D83)+15), Variablen!$I$3:$AT$3, 0))),L83)))*(IF((YEAR(D83)+15)&lt;YEAR(E83),0,IF((YEAR(D83)+15)&gt;YEAR(E83),1,(12-MONTH(E83)+1)/12))) + (Q83)*(IF((YEAR(D83)+15)&lt;YEAR(E83),0,IF((YEAR(D83)+15)&gt;YEAR(E83),1,(12-MONTH(E83)+1)/12))))-((P83)*(IF((YEAR(D83)+15)&lt;YEAR(E83),0,IF((YEAR(D83)+15)&gt;YEAR(E83),1,(12-MONTH(E83)+1)/12))) + (R83)*(IF((YEAR(D83)+15)&lt;YEAR(E83),0,IF((YEAR(D83)+15)&gt;YEAR(E83),1,(12-MONTH(E83)+1)/12))))-(IF((((K83)*(IF(M83="",L83,IFERROR(IF(INDEX(Variablen!$I:$AT, MATCH(M83, Variablen!$A:$A, 0), MATCH((YEAR(D83)+15), Variablen!$I$3:$AT$3, 0))="",L83,INDEX(Variablen!$I:$AT, MATCH(M83, Variablen!$A:$A, 0), MATCH((YEAR(D83)+15), Variablen!$I$3:$AT$3, 0))),L83)))*(IF((YEAR(D83)+15)&lt;YEAR(E83),0,IF((YEAR(D83)+15)&gt;YEAR(E83),1,(12-MONTH(E83)+1)/12))) + (Q83)*(IF((YEAR(D83)+15)&lt;YEAR(E83),0,IF((YEAR(D83)+15)&gt;YEAR(E83),1,(12-MONTH(E83)+1)/12))))-((P83)*(IF((YEAR(D83)+15)&lt;YEAR(E83),0,IF((YEAR(D83)+15)&gt;YEAR(E83),1,(12-MONTH(E83)+1)/12))) + (R83)*(IF((YEAR(D83)+15)&lt;YEAR(E83),0,IF((YEAR(D83)+15)&gt;YEAR(E83),1,(12-MONTH(E83)+1)/12))))-(IF(OR(N83="",N83&lt;=0),0,(O83/N83)*(IF(OR(N83="",N83&lt;=0),0,IF((YEAR(D83)+15)&lt;YEAR(E83),0,IF((YEAR(D83)+15)&gt;=YEAR(E83)+N83,0,IF((YEAR(D83)+15)=YEAR(E83),(12-MONTH(E83)+1)/12,1))))))))&gt;0,(((K83)*(IF(M83="",L83,IFERROR(IF(INDEX(Variablen!$I:$AT, MATCH(M83, Variablen!$A:$A, 0), MATCH((YEAR(D83)+15), Variablen!$I$3:$AT$3, 0))="",L83,INDEX(Variablen!$I:$AT, MATCH(M83, Variablen!$A:$A, 0), MATCH((YEAR(D83)+15), Variablen!$I$3:$AT$3, 0))),L83)))*(IF((YEAR(D83)+15)&lt;YEAR(E83),0,IF((YEAR(D83)+15)&gt;YEAR(E83),1,(12-MONTH(E83)+1)/12))) + (Q83)*(IF((YEAR(D83)+15)&lt;YEAR(E83),0,IF((YEAR(D83)+15)&gt;YEAR(E83),1,(12-MONTH(E83)+1)/12))))-((P83)*(IF((YEAR(D83)+15)&lt;YEAR(E83),0,IF((YEAR(D83)+15)&gt;YEAR(E83),1,(12-MONTH(E83)+1)/12))) + (R83)*(IF((YEAR(D83)+15)&lt;YEAR(E83),0,IF((YEAR(D83)+15)&gt;YEAR(E83),1,(12-MONTH(E83)+1)/12))))-(IF(OR(N83="",N83&lt;=0),0,(O83/N83)*(IF(OR(N83="",N83&lt;=0),0,IF((YEAR(D83)+15)&lt;YEAR(E83),0,IF((YEAR(D83)+15)&gt;=YEAR(E83)+N83,0,IF((YEAR(D83)+15)=YEAR(E83),(12-MONTH(E83)+1)/12,1))))))))*TaxRate,0))-IF(15=0,O83,0))</f>
        <v/>
      </c>
      <c r="AI83" s="29">
        <f>IF(A83="","",((K83)*(IF(M83="",L83,IFERROR(IF(INDEX(Variablen!$I:$AT, MATCH(M83, Variablen!$A:$A, 0), MATCH((YEAR(D83)+16), Variablen!$I$3:$AT$3, 0))="",L83,INDEX(Variablen!$I:$AT, MATCH(M83, Variablen!$A:$A, 0), MATCH((YEAR(D83)+16), Variablen!$I$3:$AT$3, 0))),L83)))*(IF((YEAR(D83)+16)&lt;YEAR(E83),0,IF((YEAR(D83)+16)&gt;YEAR(E83),1,(12-MONTH(E83)+1)/12))) + (Q83)*(IF((YEAR(D83)+16)&lt;YEAR(E83),0,IF((YEAR(D83)+16)&gt;YEAR(E83),1,(12-MONTH(E83)+1)/12))))-((P83)*(IF((YEAR(D83)+16)&lt;YEAR(E83),0,IF((YEAR(D83)+16)&gt;YEAR(E83),1,(12-MONTH(E83)+1)/12))) + (R83)*(IF((YEAR(D83)+16)&lt;YEAR(E83),0,IF((YEAR(D83)+16)&gt;YEAR(E83),1,(12-MONTH(E83)+1)/12))))-(IF((((K83)*(IF(M83="",L83,IFERROR(IF(INDEX(Variablen!$I:$AT, MATCH(M83, Variablen!$A:$A, 0), MATCH((YEAR(D83)+16), Variablen!$I$3:$AT$3, 0))="",L83,INDEX(Variablen!$I:$AT, MATCH(M83, Variablen!$A:$A, 0), MATCH((YEAR(D83)+16), Variablen!$I$3:$AT$3, 0))),L83)))*(IF((YEAR(D83)+16)&lt;YEAR(E83),0,IF((YEAR(D83)+16)&gt;YEAR(E83),1,(12-MONTH(E83)+1)/12))) + (Q83)*(IF((YEAR(D83)+16)&lt;YEAR(E83),0,IF((YEAR(D83)+16)&gt;YEAR(E83),1,(12-MONTH(E83)+1)/12))))-((P83)*(IF((YEAR(D83)+16)&lt;YEAR(E83),0,IF((YEAR(D83)+16)&gt;YEAR(E83),1,(12-MONTH(E83)+1)/12))) + (R83)*(IF((YEAR(D83)+16)&lt;YEAR(E83),0,IF((YEAR(D83)+16)&gt;YEAR(E83),1,(12-MONTH(E83)+1)/12))))-(IF(OR(N83="",N83&lt;=0),0,(O83/N83)*(IF(OR(N83="",N83&lt;=0),0,IF((YEAR(D83)+16)&lt;YEAR(E83),0,IF((YEAR(D83)+16)&gt;=YEAR(E83)+N83,0,IF((YEAR(D83)+16)=YEAR(E83),(12-MONTH(E83)+1)/12,1))))))))&gt;0,(((K83)*(IF(M83="",L83,IFERROR(IF(INDEX(Variablen!$I:$AT, MATCH(M83, Variablen!$A:$A, 0), MATCH((YEAR(D83)+16), Variablen!$I$3:$AT$3, 0))="",L83,INDEX(Variablen!$I:$AT, MATCH(M83, Variablen!$A:$A, 0), MATCH((YEAR(D83)+16), Variablen!$I$3:$AT$3, 0))),L83)))*(IF((YEAR(D83)+16)&lt;YEAR(E83),0,IF((YEAR(D83)+16)&gt;YEAR(E83),1,(12-MONTH(E83)+1)/12))) + (Q83)*(IF((YEAR(D83)+16)&lt;YEAR(E83),0,IF((YEAR(D83)+16)&gt;YEAR(E83),1,(12-MONTH(E83)+1)/12))))-((P83)*(IF((YEAR(D83)+16)&lt;YEAR(E83),0,IF((YEAR(D83)+16)&gt;YEAR(E83),1,(12-MONTH(E83)+1)/12))) + (R83)*(IF((YEAR(D83)+16)&lt;YEAR(E83),0,IF((YEAR(D83)+16)&gt;YEAR(E83),1,(12-MONTH(E83)+1)/12))))-(IF(OR(N83="",N83&lt;=0),0,(O83/N83)*(IF(OR(N83="",N83&lt;=0),0,IF((YEAR(D83)+16)&lt;YEAR(E83),0,IF((YEAR(D83)+16)&gt;=YEAR(E83)+N83,0,IF((YEAR(D83)+16)=YEAR(E83),(12-MONTH(E83)+1)/12,1))))))))*TaxRate,0))-IF(16=0,O83,0))</f>
        <v/>
      </c>
      <c r="AJ83" s="29">
        <f>IF(A83="","",((K83)*(IF(M83="",L83,IFERROR(IF(INDEX(Variablen!$I:$AT, MATCH(M83, Variablen!$A:$A, 0), MATCH((YEAR(D83)+17), Variablen!$I$3:$AT$3, 0))="",L83,INDEX(Variablen!$I:$AT, MATCH(M83, Variablen!$A:$A, 0), MATCH((YEAR(D83)+17), Variablen!$I$3:$AT$3, 0))),L83)))*(IF((YEAR(D83)+17)&lt;YEAR(E83),0,IF((YEAR(D83)+17)&gt;YEAR(E83),1,(12-MONTH(E83)+1)/12))) + (Q83)*(IF((YEAR(D83)+17)&lt;YEAR(E83),0,IF((YEAR(D83)+17)&gt;YEAR(E83),1,(12-MONTH(E83)+1)/12))))-((P83)*(IF((YEAR(D83)+17)&lt;YEAR(E83),0,IF((YEAR(D83)+17)&gt;YEAR(E83),1,(12-MONTH(E83)+1)/12))) + (R83)*(IF((YEAR(D83)+17)&lt;YEAR(E83),0,IF((YEAR(D83)+17)&gt;YEAR(E83),1,(12-MONTH(E83)+1)/12))))-(IF((((K83)*(IF(M83="",L83,IFERROR(IF(INDEX(Variablen!$I:$AT, MATCH(M83, Variablen!$A:$A, 0), MATCH((YEAR(D83)+17), Variablen!$I$3:$AT$3, 0))="",L83,INDEX(Variablen!$I:$AT, MATCH(M83, Variablen!$A:$A, 0), MATCH((YEAR(D83)+17), Variablen!$I$3:$AT$3, 0))),L83)))*(IF((YEAR(D83)+17)&lt;YEAR(E83),0,IF((YEAR(D83)+17)&gt;YEAR(E83),1,(12-MONTH(E83)+1)/12))) + (Q83)*(IF((YEAR(D83)+17)&lt;YEAR(E83),0,IF((YEAR(D83)+17)&gt;YEAR(E83),1,(12-MONTH(E83)+1)/12))))-((P83)*(IF((YEAR(D83)+17)&lt;YEAR(E83),0,IF((YEAR(D83)+17)&gt;YEAR(E83),1,(12-MONTH(E83)+1)/12))) + (R83)*(IF((YEAR(D83)+17)&lt;YEAR(E83),0,IF((YEAR(D83)+17)&gt;YEAR(E83),1,(12-MONTH(E83)+1)/12))))-(IF(OR(N83="",N83&lt;=0),0,(O83/N83)*(IF(OR(N83="",N83&lt;=0),0,IF((YEAR(D83)+17)&lt;YEAR(E83),0,IF((YEAR(D83)+17)&gt;=YEAR(E83)+N83,0,IF((YEAR(D83)+17)=YEAR(E83),(12-MONTH(E83)+1)/12,1))))))))&gt;0,(((K83)*(IF(M83="",L83,IFERROR(IF(INDEX(Variablen!$I:$AT, MATCH(M83, Variablen!$A:$A, 0), MATCH((YEAR(D83)+17), Variablen!$I$3:$AT$3, 0))="",L83,INDEX(Variablen!$I:$AT, MATCH(M83, Variablen!$A:$A, 0), MATCH((YEAR(D83)+17), Variablen!$I$3:$AT$3, 0))),L83)))*(IF((YEAR(D83)+17)&lt;YEAR(E83),0,IF((YEAR(D83)+17)&gt;YEAR(E83),1,(12-MONTH(E83)+1)/12))) + (Q83)*(IF((YEAR(D83)+17)&lt;YEAR(E83),0,IF((YEAR(D83)+17)&gt;YEAR(E83),1,(12-MONTH(E83)+1)/12))))-((P83)*(IF((YEAR(D83)+17)&lt;YEAR(E83),0,IF((YEAR(D83)+17)&gt;YEAR(E83),1,(12-MONTH(E83)+1)/12))) + (R83)*(IF((YEAR(D83)+17)&lt;YEAR(E83),0,IF((YEAR(D83)+17)&gt;YEAR(E83),1,(12-MONTH(E83)+1)/12))))-(IF(OR(N83="",N83&lt;=0),0,(O83/N83)*(IF(OR(N83="",N83&lt;=0),0,IF((YEAR(D83)+17)&lt;YEAR(E83),0,IF((YEAR(D83)+17)&gt;=YEAR(E83)+N83,0,IF((YEAR(D83)+17)=YEAR(E83),(12-MONTH(E83)+1)/12,1))))))))*TaxRate,0))-IF(17=0,O83,0))</f>
        <v/>
      </c>
      <c r="AK83" s="29">
        <f>IF(A83="","",((K83)*(IF(M83="",L83,IFERROR(IF(INDEX(Variablen!$I:$AT, MATCH(M83, Variablen!$A:$A, 0), MATCH((YEAR(D83)+18), Variablen!$I$3:$AT$3, 0))="",L83,INDEX(Variablen!$I:$AT, MATCH(M83, Variablen!$A:$A, 0), MATCH((YEAR(D83)+18), Variablen!$I$3:$AT$3, 0))),L83)))*(IF((YEAR(D83)+18)&lt;YEAR(E83),0,IF((YEAR(D83)+18)&gt;YEAR(E83),1,(12-MONTH(E83)+1)/12))) + (Q83)*(IF((YEAR(D83)+18)&lt;YEAR(E83),0,IF((YEAR(D83)+18)&gt;YEAR(E83),1,(12-MONTH(E83)+1)/12))))-((P83)*(IF((YEAR(D83)+18)&lt;YEAR(E83),0,IF((YEAR(D83)+18)&gt;YEAR(E83),1,(12-MONTH(E83)+1)/12))) + (R83)*(IF((YEAR(D83)+18)&lt;YEAR(E83),0,IF((YEAR(D83)+18)&gt;YEAR(E83),1,(12-MONTH(E83)+1)/12))))-(IF((((K83)*(IF(M83="",L83,IFERROR(IF(INDEX(Variablen!$I:$AT, MATCH(M83, Variablen!$A:$A, 0), MATCH((YEAR(D83)+18), Variablen!$I$3:$AT$3, 0))="",L83,INDEX(Variablen!$I:$AT, MATCH(M83, Variablen!$A:$A, 0), MATCH((YEAR(D83)+18), Variablen!$I$3:$AT$3, 0))),L83)))*(IF((YEAR(D83)+18)&lt;YEAR(E83),0,IF((YEAR(D83)+18)&gt;YEAR(E83),1,(12-MONTH(E83)+1)/12))) + (Q83)*(IF((YEAR(D83)+18)&lt;YEAR(E83),0,IF((YEAR(D83)+18)&gt;YEAR(E83),1,(12-MONTH(E83)+1)/12))))-((P83)*(IF((YEAR(D83)+18)&lt;YEAR(E83),0,IF((YEAR(D83)+18)&gt;YEAR(E83),1,(12-MONTH(E83)+1)/12))) + (R83)*(IF((YEAR(D83)+18)&lt;YEAR(E83),0,IF((YEAR(D83)+18)&gt;YEAR(E83),1,(12-MONTH(E83)+1)/12))))-(IF(OR(N83="",N83&lt;=0),0,(O83/N83)*(IF(OR(N83="",N83&lt;=0),0,IF((YEAR(D83)+18)&lt;YEAR(E83),0,IF((YEAR(D83)+18)&gt;=YEAR(E83)+N83,0,IF((YEAR(D83)+18)=YEAR(E83),(12-MONTH(E83)+1)/12,1))))))))&gt;0,(((K83)*(IF(M83="",L83,IFERROR(IF(INDEX(Variablen!$I:$AT, MATCH(M83, Variablen!$A:$A, 0), MATCH((YEAR(D83)+18), Variablen!$I$3:$AT$3, 0))="",L83,INDEX(Variablen!$I:$AT, MATCH(M83, Variablen!$A:$A, 0), MATCH((YEAR(D83)+18), Variablen!$I$3:$AT$3, 0))),L83)))*(IF((YEAR(D83)+18)&lt;YEAR(E83),0,IF((YEAR(D83)+18)&gt;YEAR(E83),1,(12-MONTH(E83)+1)/12))) + (Q83)*(IF((YEAR(D83)+18)&lt;YEAR(E83),0,IF((YEAR(D83)+18)&gt;YEAR(E83),1,(12-MONTH(E83)+1)/12))))-((P83)*(IF((YEAR(D83)+18)&lt;YEAR(E83),0,IF((YEAR(D83)+18)&gt;YEAR(E83),1,(12-MONTH(E83)+1)/12))) + (R83)*(IF((YEAR(D83)+18)&lt;YEAR(E83),0,IF((YEAR(D83)+18)&gt;YEAR(E83),1,(12-MONTH(E83)+1)/12))))-(IF(OR(N83="",N83&lt;=0),0,(O83/N83)*(IF(OR(N83="",N83&lt;=0),0,IF((YEAR(D83)+18)&lt;YEAR(E83),0,IF((YEAR(D83)+18)&gt;=YEAR(E83)+N83,0,IF((YEAR(D83)+18)=YEAR(E83),(12-MONTH(E83)+1)/12,1))))))))*TaxRate,0))-IF(18=0,O83,0))</f>
        <v/>
      </c>
      <c r="AL83" s="29">
        <f>IF(A83="","",((K83)*(IF(M83="",L83,IFERROR(IF(INDEX(Variablen!$I:$AT, MATCH(M83, Variablen!$A:$A, 0), MATCH((YEAR(D83)+19), Variablen!$I$3:$AT$3, 0))="",L83,INDEX(Variablen!$I:$AT, MATCH(M83, Variablen!$A:$A, 0), MATCH((YEAR(D83)+19), Variablen!$I$3:$AT$3, 0))),L83)))*(IF((YEAR(D83)+19)&lt;YEAR(E83),0,IF((YEAR(D83)+19)&gt;YEAR(E83),1,(12-MONTH(E83)+1)/12))) + (Q83)*(IF((YEAR(D83)+19)&lt;YEAR(E83),0,IF((YEAR(D83)+19)&gt;YEAR(E83),1,(12-MONTH(E83)+1)/12))))-((P83)*(IF((YEAR(D83)+19)&lt;YEAR(E83),0,IF((YEAR(D83)+19)&gt;YEAR(E83),1,(12-MONTH(E83)+1)/12))) + (R83)*(IF((YEAR(D83)+19)&lt;YEAR(E83),0,IF((YEAR(D83)+19)&gt;YEAR(E83),1,(12-MONTH(E83)+1)/12))))-(IF((((K83)*(IF(M83="",L83,IFERROR(IF(INDEX(Variablen!$I:$AT, MATCH(M83, Variablen!$A:$A, 0), MATCH((YEAR(D83)+19), Variablen!$I$3:$AT$3, 0))="",L83,INDEX(Variablen!$I:$AT, MATCH(M83, Variablen!$A:$A, 0), MATCH((YEAR(D83)+19), Variablen!$I$3:$AT$3, 0))),L83)))*(IF((YEAR(D83)+19)&lt;YEAR(E83),0,IF((YEAR(D83)+19)&gt;YEAR(E83),1,(12-MONTH(E83)+1)/12))) + (Q83)*(IF((YEAR(D83)+19)&lt;YEAR(E83),0,IF((YEAR(D83)+19)&gt;YEAR(E83),1,(12-MONTH(E83)+1)/12))))-((P83)*(IF((YEAR(D83)+19)&lt;YEAR(E83),0,IF((YEAR(D83)+19)&gt;YEAR(E83),1,(12-MONTH(E83)+1)/12))) + (R83)*(IF((YEAR(D83)+19)&lt;YEAR(E83),0,IF((YEAR(D83)+19)&gt;YEAR(E83),1,(12-MONTH(E83)+1)/12))))-(IF(OR(N83="",N83&lt;=0),0,(O83/N83)*(IF(OR(N83="",N83&lt;=0),0,IF((YEAR(D83)+19)&lt;YEAR(E83),0,IF((YEAR(D83)+19)&gt;=YEAR(E83)+N83,0,IF((YEAR(D83)+19)=YEAR(E83),(12-MONTH(E83)+1)/12,1))))))))&gt;0,(((K83)*(IF(M83="",L83,IFERROR(IF(INDEX(Variablen!$I:$AT, MATCH(M83, Variablen!$A:$A, 0), MATCH((YEAR(D83)+19), Variablen!$I$3:$AT$3, 0))="",L83,INDEX(Variablen!$I:$AT, MATCH(M83, Variablen!$A:$A, 0), MATCH((YEAR(D83)+19), Variablen!$I$3:$AT$3, 0))),L83)))*(IF((YEAR(D83)+19)&lt;YEAR(E83),0,IF((YEAR(D83)+19)&gt;YEAR(E83),1,(12-MONTH(E83)+1)/12))) + (Q83)*(IF((YEAR(D83)+19)&lt;YEAR(E83),0,IF((YEAR(D83)+19)&gt;YEAR(E83),1,(12-MONTH(E83)+1)/12))))-((P83)*(IF((YEAR(D83)+19)&lt;YEAR(E83),0,IF((YEAR(D83)+19)&gt;YEAR(E83),1,(12-MONTH(E83)+1)/12))) + (R83)*(IF((YEAR(D83)+19)&lt;YEAR(E83),0,IF((YEAR(D83)+19)&gt;YEAR(E83),1,(12-MONTH(E83)+1)/12))))-(IF(OR(N83="",N83&lt;=0),0,(O83/N83)*(IF(OR(N83="",N83&lt;=0),0,IF((YEAR(D83)+19)&lt;YEAR(E83),0,IF((YEAR(D83)+19)&gt;=YEAR(E83)+N83,0,IF((YEAR(D83)+19)=YEAR(E83),(12-MONTH(E83)+1)/12,1))))))))*TaxRate,0))-IF(19=0,O83,0))</f>
        <v/>
      </c>
      <c r="AM83" s="29">
        <f>IF(A83="","",((K83)*(IF(M83="",L83,IFERROR(IF(INDEX(Variablen!$I:$AT, MATCH(M83, Variablen!$A:$A, 0), MATCH((YEAR(D83)+20), Variablen!$I$3:$AT$3, 0))="",L83,INDEX(Variablen!$I:$AT, MATCH(M83, Variablen!$A:$A, 0), MATCH((YEAR(D83)+20), Variablen!$I$3:$AT$3, 0))),L83)))*(IF((YEAR(D83)+20)&lt;YEAR(E83),0,IF((YEAR(D83)+20)&gt;YEAR(E83),1,(12-MONTH(E83)+1)/12))) + (Q83)*(IF((YEAR(D83)+20)&lt;YEAR(E83),0,IF((YEAR(D83)+20)&gt;YEAR(E83),1,(12-MONTH(E83)+1)/12))))-((P83)*(IF((YEAR(D83)+20)&lt;YEAR(E83),0,IF((YEAR(D83)+20)&gt;YEAR(E83),1,(12-MONTH(E83)+1)/12))) + (R83)*(IF((YEAR(D83)+20)&lt;YEAR(E83),0,IF((YEAR(D83)+20)&gt;YEAR(E83),1,(12-MONTH(E83)+1)/12))))-(IF((((K83)*(IF(M83="",L83,IFERROR(IF(INDEX(Variablen!$I:$AT, MATCH(M83, Variablen!$A:$A, 0), MATCH((YEAR(D83)+20), Variablen!$I$3:$AT$3, 0))="",L83,INDEX(Variablen!$I:$AT, MATCH(M83, Variablen!$A:$A, 0), MATCH((YEAR(D83)+20), Variablen!$I$3:$AT$3, 0))),L83)))*(IF((YEAR(D83)+20)&lt;YEAR(E83),0,IF((YEAR(D83)+20)&gt;YEAR(E83),1,(12-MONTH(E83)+1)/12))) + (Q83)*(IF((YEAR(D83)+20)&lt;YEAR(E83),0,IF((YEAR(D83)+20)&gt;YEAR(E83),1,(12-MONTH(E83)+1)/12))))-((P83)*(IF((YEAR(D83)+20)&lt;YEAR(E83),0,IF((YEAR(D83)+20)&gt;YEAR(E83),1,(12-MONTH(E83)+1)/12))) + (R83)*(IF((YEAR(D83)+20)&lt;YEAR(E83),0,IF((YEAR(D83)+20)&gt;YEAR(E83),1,(12-MONTH(E83)+1)/12))))-(IF(OR(N83="",N83&lt;=0),0,(O83/N83)*(IF(OR(N83="",N83&lt;=0),0,IF((YEAR(D83)+20)&lt;YEAR(E83),0,IF((YEAR(D83)+20)&gt;=YEAR(E83)+N83,0,IF((YEAR(D83)+20)=YEAR(E83),(12-MONTH(E83)+1)/12,1))))))))&gt;0,(((K83)*(IF(M83="",L83,IFERROR(IF(INDEX(Variablen!$I:$AT, MATCH(M83, Variablen!$A:$A, 0), MATCH((YEAR(D83)+20), Variablen!$I$3:$AT$3, 0))="",L83,INDEX(Variablen!$I:$AT, MATCH(M83, Variablen!$A:$A, 0), MATCH((YEAR(D83)+20), Variablen!$I$3:$AT$3, 0))),L83)))*(IF((YEAR(D83)+20)&lt;YEAR(E83),0,IF((YEAR(D83)+20)&gt;YEAR(E83),1,(12-MONTH(E83)+1)/12))) + (Q83)*(IF((YEAR(D83)+20)&lt;YEAR(E83),0,IF((YEAR(D83)+20)&gt;YEAR(E83),1,(12-MONTH(E83)+1)/12))))-((P83)*(IF((YEAR(D83)+20)&lt;YEAR(E83),0,IF((YEAR(D83)+20)&gt;YEAR(E83),1,(12-MONTH(E83)+1)/12))) + (R83)*(IF((YEAR(D83)+20)&lt;YEAR(E83),0,IF((YEAR(D83)+20)&gt;YEAR(E83),1,(12-MONTH(E83)+1)/12))))-(IF(OR(N83="",N83&lt;=0),0,(O83/N83)*(IF(OR(N83="",N83&lt;=0),0,IF((YEAR(D83)+20)&lt;YEAR(E83),0,IF((YEAR(D83)+20)&gt;=YEAR(E83)+N83,0,IF((YEAR(D83)+20)=YEAR(E83),(12-MONTH(E83)+1)/12,1))))))))*TaxRate,0))-IF(20=0,O83,0))</f>
        <v/>
      </c>
      <c r="AN83" s="29">
        <f>IF(A83="","",S83)</f>
        <v/>
      </c>
      <c r="AO83" s="29">
        <f>IF(A83="","",AN83+T83)</f>
        <v/>
      </c>
      <c r="AP83" s="29">
        <f>IF(A83="","",AO83+U83)</f>
        <v/>
      </c>
      <c r="AQ83" s="29">
        <f>IF(A83="","",AP83+V83)</f>
        <v/>
      </c>
      <c r="AR83" s="29">
        <f>IF(A83="","",AQ83+W83)</f>
        <v/>
      </c>
      <c r="AS83" s="29">
        <f>IF(A83="","",AR83+X83)</f>
        <v/>
      </c>
      <c r="AT83" s="29">
        <f>IF(A83="","",AS83+Y83)</f>
        <v/>
      </c>
      <c r="AU83" s="29">
        <f>IF(A83="","",AT83+Z83)</f>
        <v/>
      </c>
      <c r="AV83" s="29">
        <f>IF(A83="","",AU83+AA83)</f>
        <v/>
      </c>
      <c r="AW83" s="29">
        <f>IF(A83="","",AV83+AB83)</f>
        <v/>
      </c>
      <c r="AX83" s="29">
        <f>IF(A83="","",AW83+AC83)</f>
        <v/>
      </c>
      <c r="AY83" s="29">
        <f>IF(A83="","",AX83+AD83)</f>
        <v/>
      </c>
      <c r="AZ83" s="29">
        <f>IF(A83="","",AY83+AE83)</f>
        <v/>
      </c>
      <c r="BA83" s="29">
        <f>IF(A83="","",AZ83+AF83)</f>
        <v/>
      </c>
      <c r="BB83" s="29">
        <f>IF(A83="","",BA83+AG83)</f>
        <v/>
      </c>
      <c r="BC83" s="29">
        <f>IF(A83="","",BB83+AH83)</f>
        <v/>
      </c>
      <c r="BD83" s="29">
        <f>IF(A83="","",BC83+AI83)</f>
        <v/>
      </c>
      <c r="BE83" s="29">
        <f>IF(A83="","",BD83+AJ83)</f>
        <v/>
      </c>
      <c r="BF83" s="29">
        <f>IF(A83="","",BE83+AK83)</f>
        <v/>
      </c>
      <c r="BG83" s="29">
        <f>IF(A83="","",BF83+AL83)</f>
        <v/>
      </c>
      <c r="BH83" s="29">
        <f>IF(A83="","",BG83+AM83)</f>
        <v/>
      </c>
      <c r="BI83" s="36">
        <f>IF(A83="","",(K83)*(IF((YEAR(D83)+0)&lt;YEAR(E83),0,IF((YEAR(D83)+0)&gt;YEAR(E83),1,(12-MONTH(E83)+1)/12)))*(1/(1+DiscountRate)^0))</f>
        <v/>
      </c>
      <c r="BJ83" s="36">
        <f>IF(A83="","",(K83)*(IF((YEAR(D83)+1)&lt;YEAR(E83),0,IF((YEAR(D83)+1)&gt;YEAR(E83),1,(12-MONTH(E83)+1)/12)))*(1/(1+DiscountRate)^1))</f>
        <v/>
      </c>
      <c r="BK83" s="36">
        <f>IF(A83="","",(K83)*(IF((YEAR(D83)+2)&lt;YEAR(E83),0,IF((YEAR(D83)+2)&gt;YEAR(E83),1,(12-MONTH(E83)+1)/12)))*(1/(1+DiscountRate)^2))</f>
        <v/>
      </c>
      <c r="BL83" s="36">
        <f>IF(A83="","",(K83)*(IF((YEAR(D83)+3)&lt;YEAR(E83),0,IF((YEAR(D83)+3)&gt;YEAR(E83),1,(12-MONTH(E83)+1)/12)))*(1/(1+DiscountRate)^3))</f>
        <v/>
      </c>
      <c r="BM83" s="36">
        <f>IF(A83="","",(K83)*(IF((YEAR(D83)+4)&lt;YEAR(E83),0,IF((YEAR(D83)+4)&gt;YEAR(E83),1,(12-MONTH(E83)+1)/12)))*(1/(1+DiscountRate)^4))</f>
        <v/>
      </c>
      <c r="BN83" s="36">
        <f>IF(A83="","",(K83)*(IF((YEAR(D83)+5)&lt;YEAR(E83),0,IF((YEAR(D83)+5)&gt;YEAR(E83),1,(12-MONTH(E83)+1)/12)))*(1/(1+DiscountRate)^5))</f>
        <v/>
      </c>
      <c r="BO83" s="36">
        <f>IF(A83="","",(K83)*(IF((YEAR(D83)+6)&lt;YEAR(E83),0,IF((YEAR(D83)+6)&gt;YEAR(E83),1,(12-MONTH(E83)+1)/12)))*(1/(1+DiscountRate)^6))</f>
        <v/>
      </c>
      <c r="BP83" s="36">
        <f>IF(A83="","",(K83)*(IF((YEAR(D83)+7)&lt;YEAR(E83),0,IF((YEAR(D83)+7)&gt;YEAR(E83),1,(12-MONTH(E83)+1)/12)))*(1/(1+DiscountRate)^7))</f>
        <v/>
      </c>
      <c r="BQ83" s="36">
        <f>IF(A83="","",(K83)*(IF((YEAR(D83)+8)&lt;YEAR(E83),0,IF((YEAR(D83)+8)&gt;YEAR(E83),1,(12-MONTH(E83)+1)/12)))*(1/(1+DiscountRate)^8))</f>
        <v/>
      </c>
      <c r="BR83" s="36">
        <f>IF(A83="","",(K83)*(IF((YEAR(D83)+9)&lt;YEAR(E83),0,IF((YEAR(D83)+9)&gt;YEAR(E83),1,(12-MONTH(E83)+1)/12)))*(1/(1+DiscountRate)^9))</f>
        <v/>
      </c>
      <c r="BS83" s="36">
        <f>IF(A83="","",(K83)*(IF((YEAR(D83)+10)&lt;YEAR(E83),0,IF((YEAR(D83)+10)&gt;YEAR(E83),1,(12-MONTH(E83)+1)/12)))*(1/(1+DiscountRate)^10))</f>
        <v/>
      </c>
      <c r="BT83" s="36">
        <f>IF(A83="","",(K83)*(IF((YEAR(D83)+11)&lt;YEAR(E83),0,IF((YEAR(D83)+11)&gt;YEAR(E83),1,(12-MONTH(E83)+1)/12)))*(1/(1+DiscountRate)^11))</f>
        <v/>
      </c>
      <c r="BU83" s="36">
        <f>IF(A83="","",(K83)*(IF((YEAR(D83)+12)&lt;YEAR(E83),0,IF((YEAR(D83)+12)&gt;YEAR(E83),1,(12-MONTH(E83)+1)/12)))*(1/(1+DiscountRate)^12))</f>
        <v/>
      </c>
      <c r="BV83" s="36">
        <f>IF(A83="","",(K83)*(IF((YEAR(D83)+13)&lt;YEAR(E83),0,IF((YEAR(D83)+13)&gt;YEAR(E83),1,(12-MONTH(E83)+1)/12)))*(1/(1+DiscountRate)^13))</f>
        <v/>
      </c>
      <c r="BW83" s="36">
        <f>IF(A83="","",(K83)*(IF((YEAR(D83)+14)&lt;YEAR(E83),0,IF((YEAR(D83)+14)&gt;YEAR(E83),1,(12-MONTH(E83)+1)/12)))*(1/(1+DiscountRate)^14))</f>
        <v/>
      </c>
      <c r="BX83" s="36">
        <f>IF(A83="","",(K83)*(IF((YEAR(D83)+15)&lt;YEAR(E83),0,IF((YEAR(D83)+15)&gt;YEAR(E83),1,(12-MONTH(E83)+1)/12)))*(1/(1+DiscountRate)^15))</f>
        <v/>
      </c>
      <c r="BY83" s="36">
        <f>IF(A83="","",(K83)*(IF((YEAR(D83)+16)&lt;YEAR(E83),0,IF((YEAR(D83)+16)&gt;YEAR(E83),1,(12-MONTH(E83)+1)/12)))*(1/(1+DiscountRate)^16))</f>
        <v/>
      </c>
      <c r="BZ83" s="36">
        <f>IF(A83="","",(K83)*(IF((YEAR(D83)+17)&lt;YEAR(E83),0,IF((YEAR(D83)+17)&gt;YEAR(E83),1,(12-MONTH(E83)+1)/12)))*(1/(1+DiscountRate)^17))</f>
        <v/>
      </c>
      <c r="CA83" s="36">
        <f>IF(A83="","",(K83)*(IF((YEAR(D83)+18)&lt;YEAR(E83),0,IF((YEAR(D83)+18)&gt;YEAR(E83),1,(12-MONTH(E83)+1)/12)))*(1/(1+DiscountRate)^18))</f>
        <v/>
      </c>
      <c r="CB83" s="36">
        <f>IF(A83="","",(K83)*(IF((YEAR(D83)+19)&lt;YEAR(E83),0,IF((YEAR(D83)+19)&gt;YEAR(E83),1,(12-MONTH(E83)+1)/12)))*(1/(1+DiscountRate)^19))</f>
        <v/>
      </c>
      <c r="CC83" s="36">
        <f>IF(A83="","",(K83)*(IF((YEAR(D83)+20)&lt;YEAR(E83),0,IF((YEAR(D83)+20)&gt;YEAR(E83),1,(12-MONTH(E83)+1)/12)))*(1/(1+DiscountRate)^20))</f>
        <v/>
      </c>
      <c r="CD83" s="29">
        <f>IF(A83="","",S83/(1+DiscountRate)^0+T83/(1+DiscountRate)^1+U83/(1+DiscountRate)^2+V83/(1+DiscountRate)^3+W83/(1+DiscountRate)^4+X83/(1+DiscountRate)^5+Y83/(1+DiscountRate)^6+Z83/(1+DiscountRate)^7+AA83/(1+DiscountRate)^8+AB83/(1+DiscountRate)^9+AC83/(1+DiscountRate)^10+AD83/(1+DiscountRate)^11+AE83/(1+DiscountRate)^12+AF83/(1+DiscountRate)^13+AG83/(1+DiscountRate)^14+AH83/(1+DiscountRate)^15+AI83/(1+DiscountRate)^16+AJ83/(1+DiscountRate)^17+AK83/(1+DiscountRate)^18+AL83/(1+DiscountRate)^19+AM83/(1+DiscountRate)^20)</f>
        <v/>
      </c>
      <c r="CE83" s="37">
        <f>IF(A83="","",IFERROR(IRR(OFFSET(S83,0,0,1,MIN(HorizonYears,20)+1)),"n/a"))</f>
        <v/>
      </c>
      <c r="CF83" s="28">
        <f>IF(A83="","",IFERROR(MATCH(TRUE,OFFSET(AN83,0,0,1,MIN(HorizonYears,20)+1)&gt;=0,0)-1,"n/a"))</f>
        <v/>
      </c>
      <c r="CG83" s="36">
        <f>IF(A83="","",SUM(OFFSET(BI83,0,0,1,MIN(HorizonYears,20)+1)))</f>
        <v/>
      </c>
      <c r="CH83" s="36">
        <f>IF(A83="","",IFERROR(-CD83/CG83,"n/a"))</f>
        <v/>
      </c>
    </row>
    <row r="84">
      <c r="A84" s="6">
        <f>Actions!A82</f>
        <v/>
      </c>
      <c r="B84" s="6">
        <f>Actions!B82</f>
        <v/>
      </c>
      <c r="C84" s="6">
        <f>Actions!D82</f>
        <v/>
      </c>
      <c r="D84" s="35">
        <f>Actions!E82</f>
        <v/>
      </c>
      <c r="E84" s="35">
        <f>Actions!F82</f>
        <v/>
      </c>
      <c r="F84" s="6">
        <f>Actions!G82</f>
        <v/>
      </c>
      <c r="G84" s="6">
        <f>Actions!H82</f>
        <v/>
      </c>
      <c r="H84" s="29">
        <f>Actions!I82</f>
        <v/>
      </c>
      <c r="I84" s="6">
        <f>Actions!J82</f>
        <v/>
      </c>
      <c r="J84" s="16">
        <f>Actions!K82</f>
        <v/>
      </c>
      <c r="K84" s="16">
        <f>IF(A84="","",IF(I84="%",H84*J84,J84))</f>
        <v/>
      </c>
      <c r="L84" s="16">
        <f>Actions!L82</f>
        <v/>
      </c>
      <c r="M84" s="6">
        <f>Actions!M82</f>
        <v/>
      </c>
      <c r="N84" s="28">
        <f>Actions!N82</f>
        <v/>
      </c>
      <c r="O84" s="29">
        <f>Actions!T82</f>
        <v/>
      </c>
      <c r="P84" s="29">
        <f>Actions!Y82</f>
        <v/>
      </c>
      <c r="Q84" s="29">
        <f>Actions!Z82</f>
        <v/>
      </c>
      <c r="R84" s="29">
        <f>Actions!AA82</f>
        <v/>
      </c>
      <c r="S84" s="29">
        <f>IF(A84="","",((K84)*(IF(M84="",L84,IFERROR(IF(INDEX(Variablen!$I:$AT, MATCH(M84, Variablen!$A:$A, 0), MATCH((YEAR(D84)+0), Variablen!$I$3:$AT$3, 0))="",L84,INDEX(Variablen!$I:$AT, MATCH(M84, Variablen!$A:$A, 0), MATCH((YEAR(D84)+0), Variablen!$I$3:$AT$3, 0))),L84)))*(IF((YEAR(D84)+0)&lt;YEAR(E84),0,IF((YEAR(D84)+0)&gt;YEAR(E84),1,(12-MONTH(E84)+1)/12))) + (Q84)*(IF((YEAR(D84)+0)&lt;YEAR(E84),0,IF((YEAR(D84)+0)&gt;YEAR(E84),1,(12-MONTH(E84)+1)/12))))-((P84)*(IF((YEAR(D84)+0)&lt;YEAR(E84),0,IF((YEAR(D84)+0)&gt;YEAR(E84),1,(12-MONTH(E84)+1)/12))) + (R84)*(IF((YEAR(D84)+0)&lt;YEAR(E84),0,IF((YEAR(D84)+0)&gt;YEAR(E84),1,(12-MONTH(E84)+1)/12))))-(IF((((K84)*(IF(M84="",L84,IFERROR(IF(INDEX(Variablen!$I:$AT, MATCH(M84, Variablen!$A:$A, 0), MATCH((YEAR(D84)+0), Variablen!$I$3:$AT$3, 0))="",L84,INDEX(Variablen!$I:$AT, MATCH(M84, Variablen!$A:$A, 0), MATCH((YEAR(D84)+0), Variablen!$I$3:$AT$3, 0))),L84)))*(IF((YEAR(D84)+0)&lt;YEAR(E84),0,IF((YEAR(D84)+0)&gt;YEAR(E84),1,(12-MONTH(E84)+1)/12))) + (Q84)*(IF((YEAR(D84)+0)&lt;YEAR(E84),0,IF((YEAR(D84)+0)&gt;YEAR(E84),1,(12-MONTH(E84)+1)/12))))-((P84)*(IF((YEAR(D84)+0)&lt;YEAR(E84),0,IF((YEAR(D84)+0)&gt;YEAR(E84),1,(12-MONTH(E84)+1)/12))) + (R84)*(IF((YEAR(D84)+0)&lt;YEAR(E84),0,IF((YEAR(D84)+0)&gt;YEAR(E84),1,(12-MONTH(E84)+1)/12))))-(IF(OR(N84="",N84&lt;=0),0,(O84/N84)*(IF(OR(N84="",N84&lt;=0),0,IF((YEAR(D84)+0)&lt;YEAR(E84),0,IF((YEAR(D84)+0)&gt;=YEAR(E84)+N84,0,IF((YEAR(D84)+0)=YEAR(E84),(12-MONTH(E84)+1)/12,1))))))))&gt;0,(((K84)*(IF(M84="",L84,IFERROR(IF(INDEX(Variablen!$I:$AT, MATCH(M84, Variablen!$A:$A, 0), MATCH((YEAR(D84)+0), Variablen!$I$3:$AT$3, 0))="",L84,INDEX(Variablen!$I:$AT, MATCH(M84, Variablen!$A:$A, 0), MATCH((YEAR(D84)+0), Variablen!$I$3:$AT$3, 0))),L84)))*(IF((YEAR(D84)+0)&lt;YEAR(E84),0,IF((YEAR(D84)+0)&gt;YEAR(E84),1,(12-MONTH(E84)+1)/12))) + (Q84)*(IF((YEAR(D84)+0)&lt;YEAR(E84),0,IF((YEAR(D84)+0)&gt;YEAR(E84),1,(12-MONTH(E84)+1)/12))))-((P84)*(IF((YEAR(D84)+0)&lt;YEAR(E84),0,IF((YEAR(D84)+0)&gt;YEAR(E84),1,(12-MONTH(E84)+1)/12))) + (R84)*(IF((YEAR(D84)+0)&lt;YEAR(E84),0,IF((YEAR(D84)+0)&gt;YEAR(E84),1,(12-MONTH(E84)+1)/12))))-(IF(OR(N84="",N84&lt;=0),0,(O84/N84)*(IF(OR(N84="",N84&lt;=0),0,IF((YEAR(D84)+0)&lt;YEAR(E84),0,IF((YEAR(D84)+0)&gt;=YEAR(E84)+N84,0,IF((YEAR(D84)+0)=YEAR(E84),(12-MONTH(E84)+1)/12,1))))))))*TaxRate,0))-IF(0=0,O84,0))</f>
        <v/>
      </c>
      <c r="T84" s="29">
        <f>IF(A84="","",((K84)*(IF(M84="",L84,IFERROR(IF(INDEX(Variablen!$I:$AT, MATCH(M84, Variablen!$A:$A, 0), MATCH((YEAR(D84)+1), Variablen!$I$3:$AT$3, 0))="",L84,INDEX(Variablen!$I:$AT, MATCH(M84, Variablen!$A:$A, 0), MATCH((YEAR(D84)+1), Variablen!$I$3:$AT$3, 0))),L84)))*(IF((YEAR(D84)+1)&lt;YEAR(E84),0,IF((YEAR(D84)+1)&gt;YEAR(E84),1,(12-MONTH(E84)+1)/12))) + (Q84)*(IF((YEAR(D84)+1)&lt;YEAR(E84),0,IF((YEAR(D84)+1)&gt;YEAR(E84),1,(12-MONTH(E84)+1)/12))))-((P84)*(IF((YEAR(D84)+1)&lt;YEAR(E84),0,IF((YEAR(D84)+1)&gt;YEAR(E84),1,(12-MONTH(E84)+1)/12))) + (R84)*(IF((YEAR(D84)+1)&lt;YEAR(E84),0,IF((YEAR(D84)+1)&gt;YEAR(E84),1,(12-MONTH(E84)+1)/12))))-(IF((((K84)*(IF(M84="",L84,IFERROR(IF(INDEX(Variablen!$I:$AT, MATCH(M84, Variablen!$A:$A, 0), MATCH((YEAR(D84)+1), Variablen!$I$3:$AT$3, 0))="",L84,INDEX(Variablen!$I:$AT, MATCH(M84, Variablen!$A:$A, 0), MATCH((YEAR(D84)+1), Variablen!$I$3:$AT$3, 0))),L84)))*(IF((YEAR(D84)+1)&lt;YEAR(E84),0,IF((YEAR(D84)+1)&gt;YEAR(E84),1,(12-MONTH(E84)+1)/12))) + (Q84)*(IF((YEAR(D84)+1)&lt;YEAR(E84),0,IF((YEAR(D84)+1)&gt;YEAR(E84),1,(12-MONTH(E84)+1)/12))))-((P84)*(IF((YEAR(D84)+1)&lt;YEAR(E84),0,IF((YEAR(D84)+1)&gt;YEAR(E84),1,(12-MONTH(E84)+1)/12))) + (R84)*(IF((YEAR(D84)+1)&lt;YEAR(E84),0,IF((YEAR(D84)+1)&gt;YEAR(E84),1,(12-MONTH(E84)+1)/12))))-(IF(OR(N84="",N84&lt;=0),0,(O84/N84)*(IF(OR(N84="",N84&lt;=0),0,IF((YEAR(D84)+1)&lt;YEAR(E84),0,IF((YEAR(D84)+1)&gt;=YEAR(E84)+N84,0,IF((YEAR(D84)+1)=YEAR(E84),(12-MONTH(E84)+1)/12,1))))))))&gt;0,(((K84)*(IF(M84="",L84,IFERROR(IF(INDEX(Variablen!$I:$AT, MATCH(M84, Variablen!$A:$A, 0), MATCH((YEAR(D84)+1), Variablen!$I$3:$AT$3, 0))="",L84,INDEX(Variablen!$I:$AT, MATCH(M84, Variablen!$A:$A, 0), MATCH((YEAR(D84)+1), Variablen!$I$3:$AT$3, 0))),L84)))*(IF((YEAR(D84)+1)&lt;YEAR(E84),0,IF((YEAR(D84)+1)&gt;YEAR(E84),1,(12-MONTH(E84)+1)/12))) + (Q84)*(IF((YEAR(D84)+1)&lt;YEAR(E84),0,IF((YEAR(D84)+1)&gt;YEAR(E84),1,(12-MONTH(E84)+1)/12))))-((P84)*(IF((YEAR(D84)+1)&lt;YEAR(E84),0,IF((YEAR(D84)+1)&gt;YEAR(E84),1,(12-MONTH(E84)+1)/12))) + (R84)*(IF((YEAR(D84)+1)&lt;YEAR(E84),0,IF((YEAR(D84)+1)&gt;YEAR(E84),1,(12-MONTH(E84)+1)/12))))-(IF(OR(N84="",N84&lt;=0),0,(O84/N84)*(IF(OR(N84="",N84&lt;=0),0,IF((YEAR(D84)+1)&lt;YEAR(E84),0,IF((YEAR(D84)+1)&gt;=YEAR(E84)+N84,0,IF((YEAR(D84)+1)=YEAR(E84),(12-MONTH(E84)+1)/12,1))))))))*TaxRate,0))-IF(1=0,O84,0))</f>
        <v/>
      </c>
      <c r="U84" s="29">
        <f>IF(A84="","",((K84)*(IF(M84="",L84,IFERROR(IF(INDEX(Variablen!$I:$AT, MATCH(M84, Variablen!$A:$A, 0), MATCH((YEAR(D84)+2), Variablen!$I$3:$AT$3, 0))="",L84,INDEX(Variablen!$I:$AT, MATCH(M84, Variablen!$A:$A, 0), MATCH((YEAR(D84)+2), Variablen!$I$3:$AT$3, 0))),L84)))*(IF((YEAR(D84)+2)&lt;YEAR(E84),0,IF((YEAR(D84)+2)&gt;YEAR(E84),1,(12-MONTH(E84)+1)/12))) + (Q84)*(IF((YEAR(D84)+2)&lt;YEAR(E84),0,IF((YEAR(D84)+2)&gt;YEAR(E84),1,(12-MONTH(E84)+1)/12))))-((P84)*(IF((YEAR(D84)+2)&lt;YEAR(E84),0,IF((YEAR(D84)+2)&gt;YEAR(E84),1,(12-MONTH(E84)+1)/12))) + (R84)*(IF((YEAR(D84)+2)&lt;YEAR(E84),0,IF((YEAR(D84)+2)&gt;YEAR(E84),1,(12-MONTH(E84)+1)/12))))-(IF((((K84)*(IF(M84="",L84,IFERROR(IF(INDEX(Variablen!$I:$AT, MATCH(M84, Variablen!$A:$A, 0), MATCH((YEAR(D84)+2), Variablen!$I$3:$AT$3, 0))="",L84,INDEX(Variablen!$I:$AT, MATCH(M84, Variablen!$A:$A, 0), MATCH((YEAR(D84)+2), Variablen!$I$3:$AT$3, 0))),L84)))*(IF((YEAR(D84)+2)&lt;YEAR(E84),0,IF((YEAR(D84)+2)&gt;YEAR(E84),1,(12-MONTH(E84)+1)/12))) + (Q84)*(IF((YEAR(D84)+2)&lt;YEAR(E84),0,IF((YEAR(D84)+2)&gt;YEAR(E84),1,(12-MONTH(E84)+1)/12))))-((P84)*(IF((YEAR(D84)+2)&lt;YEAR(E84),0,IF((YEAR(D84)+2)&gt;YEAR(E84),1,(12-MONTH(E84)+1)/12))) + (R84)*(IF((YEAR(D84)+2)&lt;YEAR(E84),0,IF((YEAR(D84)+2)&gt;YEAR(E84),1,(12-MONTH(E84)+1)/12))))-(IF(OR(N84="",N84&lt;=0),0,(O84/N84)*(IF(OR(N84="",N84&lt;=0),0,IF((YEAR(D84)+2)&lt;YEAR(E84),0,IF((YEAR(D84)+2)&gt;=YEAR(E84)+N84,0,IF((YEAR(D84)+2)=YEAR(E84),(12-MONTH(E84)+1)/12,1))))))))&gt;0,(((K84)*(IF(M84="",L84,IFERROR(IF(INDEX(Variablen!$I:$AT, MATCH(M84, Variablen!$A:$A, 0), MATCH((YEAR(D84)+2), Variablen!$I$3:$AT$3, 0))="",L84,INDEX(Variablen!$I:$AT, MATCH(M84, Variablen!$A:$A, 0), MATCH((YEAR(D84)+2), Variablen!$I$3:$AT$3, 0))),L84)))*(IF((YEAR(D84)+2)&lt;YEAR(E84),0,IF((YEAR(D84)+2)&gt;YEAR(E84),1,(12-MONTH(E84)+1)/12))) + (Q84)*(IF((YEAR(D84)+2)&lt;YEAR(E84),0,IF((YEAR(D84)+2)&gt;YEAR(E84),1,(12-MONTH(E84)+1)/12))))-((P84)*(IF((YEAR(D84)+2)&lt;YEAR(E84),0,IF((YEAR(D84)+2)&gt;YEAR(E84),1,(12-MONTH(E84)+1)/12))) + (R84)*(IF((YEAR(D84)+2)&lt;YEAR(E84),0,IF((YEAR(D84)+2)&gt;YEAR(E84),1,(12-MONTH(E84)+1)/12))))-(IF(OR(N84="",N84&lt;=0),0,(O84/N84)*(IF(OR(N84="",N84&lt;=0),0,IF((YEAR(D84)+2)&lt;YEAR(E84),0,IF((YEAR(D84)+2)&gt;=YEAR(E84)+N84,0,IF((YEAR(D84)+2)=YEAR(E84),(12-MONTH(E84)+1)/12,1))))))))*TaxRate,0))-IF(2=0,O84,0))</f>
        <v/>
      </c>
      <c r="V84" s="29">
        <f>IF(A84="","",((K84)*(IF(M84="",L84,IFERROR(IF(INDEX(Variablen!$I:$AT, MATCH(M84, Variablen!$A:$A, 0), MATCH((YEAR(D84)+3), Variablen!$I$3:$AT$3, 0))="",L84,INDEX(Variablen!$I:$AT, MATCH(M84, Variablen!$A:$A, 0), MATCH((YEAR(D84)+3), Variablen!$I$3:$AT$3, 0))),L84)))*(IF((YEAR(D84)+3)&lt;YEAR(E84),0,IF((YEAR(D84)+3)&gt;YEAR(E84),1,(12-MONTH(E84)+1)/12))) + (Q84)*(IF((YEAR(D84)+3)&lt;YEAR(E84),0,IF((YEAR(D84)+3)&gt;YEAR(E84),1,(12-MONTH(E84)+1)/12))))-((P84)*(IF((YEAR(D84)+3)&lt;YEAR(E84),0,IF((YEAR(D84)+3)&gt;YEAR(E84),1,(12-MONTH(E84)+1)/12))) + (R84)*(IF((YEAR(D84)+3)&lt;YEAR(E84),0,IF((YEAR(D84)+3)&gt;YEAR(E84),1,(12-MONTH(E84)+1)/12))))-(IF((((K84)*(IF(M84="",L84,IFERROR(IF(INDEX(Variablen!$I:$AT, MATCH(M84, Variablen!$A:$A, 0), MATCH((YEAR(D84)+3), Variablen!$I$3:$AT$3, 0))="",L84,INDEX(Variablen!$I:$AT, MATCH(M84, Variablen!$A:$A, 0), MATCH((YEAR(D84)+3), Variablen!$I$3:$AT$3, 0))),L84)))*(IF((YEAR(D84)+3)&lt;YEAR(E84),0,IF((YEAR(D84)+3)&gt;YEAR(E84),1,(12-MONTH(E84)+1)/12))) + (Q84)*(IF((YEAR(D84)+3)&lt;YEAR(E84),0,IF((YEAR(D84)+3)&gt;YEAR(E84),1,(12-MONTH(E84)+1)/12))))-((P84)*(IF((YEAR(D84)+3)&lt;YEAR(E84),0,IF((YEAR(D84)+3)&gt;YEAR(E84),1,(12-MONTH(E84)+1)/12))) + (R84)*(IF((YEAR(D84)+3)&lt;YEAR(E84),0,IF((YEAR(D84)+3)&gt;YEAR(E84),1,(12-MONTH(E84)+1)/12))))-(IF(OR(N84="",N84&lt;=0),0,(O84/N84)*(IF(OR(N84="",N84&lt;=0),0,IF((YEAR(D84)+3)&lt;YEAR(E84),0,IF((YEAR(D84)+3)&gt;=YEAR(E84)+N84,0,IF((YEAR(D84)+3)=YEAR(E84),(12-MONTH(E84)+1)/12,1))))))))&gt;0,(((K84)*(IF(M84="",L84,IFERROR(IF(INDEX(Variablen!$I:$AT, MATCH(M84, Variablen!$A:$A, 0), MATCH((YEAR(D84)+3), Variablen!$I$3:$AT$3, 0))="",L84,INDEX(Variablen!$I:$AT, MATCH(M84, Variablen!$A:$A, 0), MATCH((YEAR(D84)+3), Variablen!$I$3:$AT$3, 0))),L84)))*(IF((YEAR(D84)+3)&lt;YEAR(E84),0,IF((YEAR(D84)+3)&gt;YEAR(E84),1,(12-MONTH(E84)+1)/12))) + (Q84)*(IF((YEAR(D84)+3)&lt;YEAR(E84),0,IF((YEAR(D84)+3)&gt;YEAR(E84),1,(12-MONTH(E84)+1)/12))))-((P84)*(IF((YEAR(D84)+3)&lt;YEAR(E84),0,IF((YEAR(D84)+3)&gt;YEAR(E84),1,(12-MONTH(E84)+1)/12))) + (R84)*(IF((YEAR(D84)+3)&lt;YEAR(E84),0,IF((YEAR(D84)+3)&gt;YEAR(E84),1,(12-MONTH(E84)+1)/12))))-(IF(OR(N84="",N84&lt;=0),0,(O84/N84)*(IF(OR(N84="",N84&lt;=0),0,IF((YEAR(D84)+3)&lt;YEAR(E84),0,IF((YEAR(D84)+3)&gt;=YEAR(E84)+N84,0,IF((YEAR(D84)+3)=YEAR(E84),(12-MONTH(E84)+1)/12,1))))))))*TaxRate,0))-IF(3=0,O84,0))</f>
        <v/>
      </c>
      <c r="W84" s="29">
        <f>IF(A84="","",((K84)*(IF(M84="",L84,IFERROR(IF(INDEX(Variablen!$I:$AT, MATCH(M84, Variablen!$A:$A, 0), MATCH((YEAR(D84)+4), Variablen!$I$3:$AT$3, 0))="",L84,INDEX(Variablen!$I:$AT, MATCH(M84, Variablen!$A:$A, 0), MATCH((YEAR(D84)+4), Variablen!$I$3:$AT$3, 0))),L84)))*(IF((YEAR(D84)+4)&lt;YEAR(E84),0,IF((YEAR(D84)+4)&gt;YEAR(E84),1,(12-MONTH(E84)+1)/12))) + (Q84)*(IF((YEAR(D84)+4)&lt;YEAR(E84),0,IF((YEAR(D84)+4)&gt;YEAR(E84),1,(12-MONTH(E84)+1)/12))))-((P84)*(IF((YEAR(D84)+4)&lt;YEAR(E84),0,IF((YEAR(D84)+4)&gt;YEAR(E84),1,(12-MONTH(E84)+1)/12))) + (R84)*(IF((YEAR(D84)+4)&lt;YEAR(E84),0,IF((YEAR(D84)+4)&gt;YEAR(E84),1,(12-MONTH(E84)+1)/12))))-(IF((((K84)*(IF(M84="",L84,IFERROR(IF(INDEX(Variablen!$I:$AT, MATCH(M84, Variablen!$A:$A, 0), MATCH((YEAR(D84)+4), Variablen!$I$3:$AT$3, 0))="",L84,INDEX(Variablen!$I:$AT, MATCH(M84, Variablen!$A:$A, 0), MATCH((YEAR(D84)+4), Variablen!$I$3:$AT$3, 0))),L84)))*(IF((YEAR(D84)+4)&lt;YEAR(E84),0,IF((YEAR(D84)+4)&gt;YEAR(E84),1,(12-MONTH(E84)+1)/12))) + (Q84)*(IF((YEAR(D84)+4)&lt;YEAR(E84),0,IF((YEAR(D84)+4)&gt;YEAR(E84),1,(12-MONTH(E84)+1)/12))))-((P84)*(IF((YEAR(D84)+4)&lt;YEAR(E84),0,IF((YEAR(D84)+4)&gt;YEAR(E84),1,(12-MONTH(E84)+1)/12))) + (R84)*(IF((YEAR(D84)+4)&lt;YEAR(E84),0,IF((YEAR(D84)+4)&gt;YEAR(E84),1,(12-MONTH(E84)+1)/12))))-(IF(OR(N84="",N84&lt;=0),0,(O84/N84)*(IF(OR(N84="",N84&lt;=0),0,IF((YEAR(D84)+4)&lt;YEAR(E84),0,IF((YEAR(D84)+4)&gt;=YEAR(E84)+N84,0,IF((YEAR(D84)+4)=YEAR(E84),(12-MONTH(E84)+1)/12,1))))))))&gt;0,(((K84)*(IF(M84="",L84,IFERROR(IF(INDEX(Variablen!$I:$AT, MATCH(M84, Variablen!$A:$A, 0), MATCH((YEAR(D84)+4), Variablen!$I$3:$AT$3, 0))="",L84,INDEX(Variablen!$I:$AT, MATCH(M84, Variablen!$A:$A, 0), MATCH((YEAR(D84)+4), Variablen!$I$3:$AT$3, 0))),L84)))*(IF((YEAR(D84)+4)&lt;YEAR(E84),0,IF((YEAR(D84)+4)&gt;YEAR(E84),1,(12-MONTH(E84)+1)/12))) + (Q84)*(IF((YEAR(D84)+4)&lt;YEAR(E84),0,IF((YEAR(D84)+4)&gt;YEAR(E84),1,(12-MONTH(E84)+1)/12))))-((P84)*(IF((YEAR(D84)+4)&lt;YEAR(E84),0,IF((YEAR(D84)+4)&gt;YEAR(E84),1,(12-MONTH(E84)+1)/12))) + (R84)*(IF((YEAR(D84)+4)&lt;YEAR(E84),0,IF((YEAR(D84)+4)&gt;YEAR(E84),1,(12-MONTH(E84)+1)/12))))-(IF(OR(N84="",N84&lt;=0),0,(O84/N84)*(IF(OR(N84="",N84&lt;=0),0,IF((YEAR(D84)+4)&lt;YEAR(E84),0,IF((YEAR(D84)+4)&gt;=YEAR(E84)+N84,0,IF((YEAR(D84)+4)=YEAR(E84),(12-MONTH(E84)+1)/12,1))))))))*TaxRate,0))-IF(4=0,O84,0))</f>
        <v/>
      </c>
      <c r="X84" s="29">
        <f>IF(A84="","",((K84)*(IF(M84="",L84,IFERROR(IF(INDEX(Variablen!$I:$AT, MATCH(M84, Variablen!$A:$A, 0), MATCH((YEAR(D84)+5), Variablen!$I$3:$AT$3, 0))="",L84,INDEX(Variablen!$I:$AT, MATCH(M84, Variablen!$A:$A, 0), MATCH((YEAR(D84)+5), Variablen!$I$3:$AT$3, 0))),L84)))*(IF((YEAR(D84)+5)&lt;YEAR(E84),0,IF((YEAR(D84)+5)&gt;YEAR(E84),1,(12-MONTH(E84)+1)/12))) + (Q84)*(IF((YEAR(D84)+5)&lt;YEAR(E84),0,IF((YEAR(D84)+5)&gt;YEAR(E84),1,(12-MONTH(E84)+1)/12))))-((P84)*(IF((YEAR(D84)+5)&lt;YEAR(E84),0,IF((YEAR(D84)+5)&gt;YEAR(E84),1,(12-MONTH(E84)+1)/12))) + (R84)*(IF((YEAR(D84)+5)&lt;YEAR(E84),0,IF((YEAR(D84)+5)&gt;YEAR(E84),1,(12-MONTH(E84)+1)/12))))-(IF((((K84)*(IF(M84="",L84,IFERROR(IF(INDEX(Variablen!$I:$AT, MATCH(M84, Variablen!$A:$A, 0), MATCH((YEAR(D84)+5), Variablen!$I$3:$AT$3, 0))="",L84,INDEX(Variablen!$I:$AT, MATCH(M84, Variablen!$A:$A, 0), MATCH((YEAR(D84)+5), Variablen!$I$3:$AT$3, 0))),L84)))*(IF((YEAR(D84)+5)&lt;YEAR(E84),0,IF((YEAR(D84)+5)&gt;YEAR(E84),1,(12-MONTH(E84)+1)/12))) + (Q84)*(IF((YEAR(D84)+5)&lt;YEAR(E84),0,IF((YEAR(D84)+5)&gt;YEAR(E84),1,(12-MONTH(E84)+1)/12))))-((P84)*(IF((YEAR(D84)+5)&lt;YEAR(E84),0,IF((YEAR(D84)+5)&gt;YEAR(E84),1,(12-MONTH(E84)+1)/12))) + (R84)*(IF((YEAR(D84)+5)&lt;YEAR(E84),0,IF((YEAR(D84)+5)&gt;YEAR(E84),1,(12-MONTH(E84)+1)/12))))-(IF(OR(N84="",N84&lt;=0),0,(O84/N84)*(IF(OR(N84="",N84&lt;=0),0,IF((YEAR(D84)+5)&lt;YEAR(E84),0,IF((YEAR(D84)+5)&gt;=YEAR(E84)+N84,0,IF((YEAR(D84)+5)=YEAR(E84),(12-MONTH(E84)+1)/12,1))))))))&gt;0,(((K84)*(IF(M84="",L84,IFERROR(IF(INDEX(Variablen!$I:$AT, MATCH(M84, Variablen!$A:$A, 0), MATCH((YEAR(D84)+5), Variablen!$I$3:$AT$3, 0))="",L84,INDEX(Variablen!$I:$AT, MATCH(M84, Variablen!$A:$A, 0), MATCH((YEAR(D84)+5), Variablen!$I$3:$AT$3, 0))),L84)))*(IF((YEAR(D84)+5)&lt;YEAR(E84),0,IF((YEAR(D84)+5)&gt;YEAR(E84),1,(12-MONTH(E84)+1)/12))) + (Q84)*(IF((YEAR(D84)+5)&lt;YEAR(E84),0,IF((YEAR(D84)+5)&gt;YEAR(E84),1,(12-MONTH(E84)+1)/12))))-((P84)*(IF((YEAR(D84)+5)&lt;YEAR(E84),0,IF((YEAR(D84)+5)&gt;YEAR(E84),1,(12-MONTH(E84)+1)/12))) + (R84)*(IF((YEAR(D84)+5)&lt;YEAR(E84),0,IF((YEAR(D84)+5)&gt;YEAR(E84),1,(12-MONTH(E84)+1)/12))))-(IF(OR(N84="",N84&lt;=0),0,(O84/N84)*(IF(OR(N84="",N84&lt;=0),0,IF((YEAR(D84)+5)&lt;YEAR(E84),0,IF((YEAR(D84)+5)&gt;=YEAR(E84)+N84,0,IF((YEAR(D84)+5)=YEAR(E84),(12-MONTH(E84)+1)/12,1))))))))*TaxRate,0))-IF(5=0,O84,0))</f>
        <v/>
      </c>
      <c r="Y84" s="29">
        <f>IF(A84="","",((K84)*(IF(M84="",L84,IFERROR(IF(INDEX(Variablen!$I:$AT, MATCH(M84, Variablen!$A:$A, 0), MATCH((YEAR(D84)+6), Variablen!$I$3:$AT$3, 0))="",L84,INDEX(Variablen!$I:$AT, MATCH(M84, Variablen!$A:$A, 0), MATCH((YEAR(D84)+6), Variablen!$I$3:$AT$3, 0))),L84)))*(IF((YEAR(D84)+6)&lt;YEAR(E84),0,IF((YEAR(D84)+6)&gt;YEAR(E84),1,(12-MONTH(E84)+1)/12))) + (Q84)*(IF((YEAR(D84)+6)&lt;YEAR(E84),0,IF((YEAR(D84)+6)&gt;YEAR(E84),1,(12-MONTH(E84)+1)/12))))-((P84)*(IF((YEAR(D84)+6)&lt;YEAR(E84),0,IF((YEAR(D84)+6)&gt;YEAR(E84),1,(12-MONTH(E84)+1)/12))) + (R84)*(IF((YEAR(D84)+6)&lt;YEAR(E84),0,IF((YEAR(D84)+6)&gt;YEAR(E84),1,(12-MONTH(E84)+1)/12))))-(IF((((K84)*(IF(M84="",L84,IFERROR(IF(INDEX(Variablen!$I:$AT, MATCH(M84, Variablen!$A:$A, 0), MATCH((YEAR(D84)+6), Variablen!$I$3:$AT$3, 0))="",L84,INDEX(Variablen!$I:$AT, MATCH(M84, Variablen!$A:$A, 0), MATCH((YEAR(D84)+6), Variablen!$I$3:$AT$3, 0))),L84)))*(IF((YEAR(D84)+6)&lt;YEAR(E84),0,IF((YEAR(D84)+6)&gt;YEAR(E84),1,(12-MONTH(E84)+1)/12))) + (Q84)*(IF((YEAR(D84)+6)&lt;YEAR(E84),0,IF((YEAR(D84)+6)&gt;YEAR(E84),1,(12-MONTH(E84)+1)/12))))-((P84)*(IF((YEAR(D84)+6)&lt;YEAR(E84),0,IF((YEAR(D84)+6)&gt;YEAR(E84),1,(12-MONTH(E84)+1)/12))) + (R84)*(IF((YEAR(D84)+6)&lt;YEAR(E84),0,IF((YEAR(D84)+6)&gt;YEAR(E84),1,(12-MONTH(E84)+1)/12))))-(IF(OR(N84="",N84&lt;=0),0,(O84/N84)*(IF(OR(N84="",N84&lt;=0),0,IF((YEAR(D84)+6)&lt;YEAR(E84),0,IF((YEAR(D84)+6)&gt;=YEAR(E84)+N84,0,IF((YEAR(D84)+6)=YEAR(E84),(12-MONTH(E84)+1)/12,1))))))))&gt;0,(((K84)*(IF(M84="",L84,IFERROR(IF(INDEX(Variablen!$I:$AT, MATCH(M84, Variablen!$A:$A, 0), MATCH((YEAR(D84)+6), Variablen!$I$3:$AT$3, 0))="",L84,INDEX(Variablen!$I:$AT, MATCH(M84, Variablen!$A:$A, 0), MATCH((YEAR(D84)+6), Variablen!$I$3:$AT$3, 0))),L84)))*(IF((YEAR(D84)+6)&lt;YEAR(E84),0,IF((YEAR(D84)+6)&gt;YEAR(E84),1,(12-MONTH(E84)+1)/12))) + (Q84)*(IF((YEAR(D84)+6)&lt;YEAR(E84),0,IF((YEAR(D84)+6)&gt;YEAR(E84),1,(12-MONTH(E84)+1)/12))))-((P84)*(IF((YEAR(D84)+6)&lt;YEAR(E84),0,IF((YEAR(D84)+6)&gt;YEAR(E84),1,(12-MONTH(E84)+1)/12))) + (R84)*(IF((YEAR(D84)+6)&lt;YEAR(E84),0,IF((YEAR(D84)+6)&gt;YEAR(E84),1,(12-MONTH(E84)+1)/12))))-(IF(OR(N84="",N84&lt;=0),0,(O84/N84)*(IF(OR(N84="",N84&lt;=0),0,IF((YEAR(D84)+6)&lt;YEAR(E84),0,IF((YEAR(D84)+6)&gt;=YEAR(E84)+N84,0,IF((YEAR(D84)+6)=YEAR(E84),(12-MONTH(E84)+1)/12,1))))))))*TaxRate,0))-IF(6=0,O84,0))</f>
        <v/>
      </c>
      <c r="Z84" s="29">
        <f>IF(A84="","",((K84)*(IF(M84="",L84,IFERROR(IF(INDEX(Variablen!$I:$AT, MATCH(M84, Variablen!$A:$A, 0), MATCH((YEAR(D84)+7), Variablen!$I$3:$AT$3, 0))="",L84,INDEX(Variablen!$I:$AT, MATCH(M84, Variablen!$A:$A, 0), MATCH((YEAR(D84)+7), Variablen!$I$3:$AT$3, 0))),L84)))*(IF((YEAR(D84)+7)&lt;YEAR(E84),0,IF((YEAR(D84)+7)&gt;YEAR(E84),1,(12-MONTH(E84)+1)/12))) + (Q84)*(IF((YEAR(D84)+7)&lt;YEAR(E84),0,IF((YEAR(D84)+7)&gt;YEAR(E84),1,(12-MONTH(E84)+1)/12))))-((P84)*(IF((YEAR(D84)+7)&lt;YEAR(E84),0,IF((YEAR(D84)+7)&gt;YEAR(E84),1,(12-MONTH(E84)+1)/12))) + (R84)*(IF((YEAR(D84)+7)&lt;YEAR(E84),0,IF((YEAR(D84)+7)&gt;YEAR(E84),1,(12-MONTH(E84)+1)/12))))-(IF((((K84)*(IF(M84="",L84,IFERROR(IF(INDEX(Variablen!$I:$AT, MATCH(M84, Variablen!$A:$A, 0), MATCH((YEAR(D84)+7), Variablen!$I$3:$AT$3, 0))="",L84,INDEX(Variablen!$I:$AT, MATCH(M84, Variablen!$A:$A, 0), MATCH((YEAR(D84)+7), Variablen!$I$3:$AT$3, 0))),L84)))*(IF((YEAR(D84)+7)&lt;YEAR(E84),0,IF((YEAR(D84)+7)&gt;YEAR(E84),1,(12-MONTH(E84)+1)/12))) + (Q84)*(IF((YEAR(D84)+7)&lt;YEAR(E84),0,IF((YEAR(D84)+7)&gt;YEAR(E84),1,(12-MONTH(E84)+1)/12))))-((P84)*(IF((YEAR(D84)+7)&lt;YEAR(E84),0,IF((YEAR(D84)+7)&gt;YEAR(E84),1,(12-MONTH(E84)+1)/12))) + (R84)*(IF((YEAR(D84)+7)&lt;YEAR(E84),0,IF((YEAR(D84)+7)&gt;YEAR(E84),1,(12-MONTH(E84)+1)/12))))-(IF(OR(N84="",N84&lt;=0),0,(O84/N84)*(IF(OR(N84="",N84&lt;=0),0,IF((YEAR(D84)+7)&lt;YEAR(E84),0,IF((YEAR(D84)+7)&gt;=YEAR(E84)+N84,0,IF((YEAR(D84)+7)=YEAR(E84),(12-MONTH(E84)+1)/12,1))))))))&gt;0,(((K84)*(IF(M84="",L84,IFERROR(IF(INDEX(Variablen!$I:$AT, MATCH(M84, Variablen!$A:$A, 0), MATCH((YEAR(D84)+7), Variablen!$I$3:$AT$3, 0))="",L84,INDEX(Variablen!$I:$AT, MATCH(M84, Variablen!$A:$A, 0), MATCH((YEAR(D84)+7), Variablen!$I$3:$AT$3, 0))),L84)))*(IF((YEAR(D84)+7)&lt;YEAR(E84),0,IF((YEAR(D84)+7)&gt;YEAR(E84),1,(12-MONTH(E84)+1)/12))) + (Q84)*(IF((YEAR(D84)+7)&lt;YEAR(E84),0,IF((YEAR(D84)+7)&gt;YEAR(E84),1,(12-MONTH(E84)+1)/12))))-((P84)*(IF((YEAR(D84)+7)&lt;YEAR(E84),0,IF((YEAR(D84)+7)&gt;YEAR(E84),1,(12-MONTH(E84)+1)/12))) + (R84)*(IF((YEAR(D84)+7)&lt;YEAR(E84),0,IF((YEAR(D84)+7)&gt;YEAR(E84),1,(12-MONTH(E84)+1)/12))))-(IF(OR(N84="",N84&lt;=0),0,(O84/N84)*(IF(OR(N84="",N84&lt;=0),0,IF((YEAR(D84)+7)&lt;YEAR(E84),0,IF((YEAR(D84)+7)&gt;=YEAR(E84)+N84,0,IF((YEAR(D84)+7)=YEAR(E84),(12-MONTH(E84)+1)/12,1))))))))*TaxRate,0))-IF(7=0,O84,0))</f>
        <v/>
      </c>
      <c r="AA84" s="29">
        <f>IF(A84="","",((K84)*(IF(M84="",L84,IFERROR(IF(INDEX(Variablen!$I:$AT, MATCH(M84, Variablen!$A:$A, 0), MATCH((YEAR(D84)+8), Variablen!$I$3:$AT$3, 0))="",L84,INDEX(Variablen!$I:$AT, MATCH(M84, Variablen!$A:$A, 0), MATCH((YEAR(D84)+8), Variablen!$I$3:$AT$3, 0))),L84)))*(IF((YEAR(D84)+8)&lt;YEAR(E84),0,IF((YEAR(D84)+8)&gt;YEAR(E84),1,(12-MONTH(E84)+1)/12))) + (Q84)*(IF((YEAR(D84)+8)&lt;YEAR(E84),0,IF((YEAR(D84)+8)&gt;YEAR(E84),1,(12-MONTH(E84)+1)/12))))-((P84)*(IF((YEAR(D84)+8)&lt;YEAR(E84),0,IF((YEAR(D84)+8)&gt;YEAR(E84),1,(12-MONTH(E84)+1)/12))) + (R84)*(IF((YEAR(D84)+8)&lt;YEAR(E84),0,IF((YEAR(D84)+8)&gt;YEAR(E84),1,(12-MONTH(E84)+1)/12))))-(IF((((K84)*(IF(M84="",L84,IFERROR(IF(INDEX(Variablen!$I:$AT, MATCH(M84, Variablen!$A:$A, 0), MATCH((YEAR(D84)+8), Variablen!$I$3:$AT$3, 0))="",L84,INDEX(Variablen!$I:$AT, MATCH(M84, Variablen!$A:$A, 0), MATCH((YEAR(D84)+8), Variablen!$I$3:$AT$3, 0))),L84)))*(IF((YEAR(D84)+8)&lt;YEAR(E84),0,IF((YEAR(D84)+8)&gt;YEAR(E84),1,(12-MONTH(E84)+1)/12))) + (Q84)*(IF((YEAR(D84)+8)&lt;YEAR(E84),0,IF((YEAR(D84)+8)&gt;YEAR(E84),1,(12-MONTH(E84)+1)/12))))-((P84)*(IF((YEAR(D84)+8)&lt;YEAR(E84),0,IF((YEAR(D84)+8)&gt;YEAR(E84),1,(12-MONTH(E84)+1)/12))) + (R84)*(IF((YEAR(D84)+8)&lt;YEAR(E84),0,IF((YEAR(D84)+8)&gt;YEAR(E84),1,(12-MONTH(E84)+1)/12))))-(IF(OR(N84="",N84&lt;=0),0,(O84/N84)*(IF(OR(N84="",N84&lt;=0),0,IF((YEAR(D84)+8)&lt;YEAR(E84),0,IF((YEAR(D84)+8)&gt;=YEAR(E84)+N84,0,IF((YEAR(D84)+8)=YEAR(E84),(12-MONTH(E84)+1)/12,1))))))))&gt;0,(((K84)*(IF(M84="",L84,IFERROR(IF(INDEX(Variablen!$I:$AT, MATCH(M84, Variablen!$A:$A, 0), MATCH((YEAR(D84)+8), Variablen!$I$3:$AT$3, 0))="",L84,INDEX(Variablen!$I:$AT, MATCH(M84, Variablen!$A:$A, 0), MATCH((YEAR(D84)+8), Variablen!$I$3:$AT$3, 0))),L84)))*(IF((YEAR(D84)+8)&lt;YEAR(E84),0,IF((YEAR(D84)+8)&gt;YEAR(E84),1,(12-MONTH(E84)+1)/12))) + (Q84)*(IF((YEAR(D84)+8)&lt;YEAR(E84),0,IF((YEAR(D84)+8)&gt;YEAR(E84),1,(12-MONTH(E84)+1)/12))))-((P84)*(IF((YEAR(D84)+8)&lt;YEAR(E84),0,IF((YEAR(D84)+8)&gt;YEAR(E84),1,(12-MONTH(E84)+1)/12))) + (R84)*(IF((YEAR(D84)+8)&lt;YEAR(E84),0,IF((YEAR(D84)+8)&gt;YEAR(E84),1,(12-MONTH(E84)+1)/12))))-(IF(OR(N84="",N84&lt;=0),0,(O84/N84)*(IF(OR(N84="",N84&lt;=0),0,IF((YEAR(D84)+8)&lt;YEAR(E84),0,IF((YEAR(D84)+8)&gt;=YEAR(E84)+N84,0,IF((YEAR(D84)+8)=YEAR(E84),(12-MONTH(E84)+1)/12,1))))))))*TaxRate,0))-IF(8=0,O84,0))</f>
        <v/>
      </c>
      <c r="AB84" s="29">
        <f>IF(A84="","",((K84)*(IF(M84="",L84,IFERROR(IF(INDEX(Variablen!$I:$AT, MATCH(M84, Variablen!$A:$A, 0), MATCH((YEAR(D84)+9), Variablen!$I$3:$AT$3, 0))="",L84,INDEX(Variablen!$I:$AT, MATCH(M84, Variablen!$A:$A, 0), MATCH((YEAR(D84)+9), Variablen!$I$3:$AT$3, 0))),L84)))*(IF((YEAR(D84)+9)&lt;YEAR(E84),0,IF((YEAR(D84)+9)&gt;YEAR(E84),1,(12-MONTH(E84)+1)/12))) + (Q84)*(IF((YEAR(D84)+9)&lt;YEAR(E84),0,IF((YEAR(D84)+9)&gt;YEAR(E84),1,(12-MONTH(E84)+1)/12))))-((P84)*(IF((YEAR(D84)+9)&lt;YEAR(E84),0,IF((YEAR(D84)+9)&gt;YEAR(E84),1,(12-MONTH(E84)+1)/12))) + (R84)*(IF((YEAR(D84)+9)&lt;YEAR(E84),0,IF((YEAR(D84)+9)&gt;YEAR(E84),1,(12-MONTH(E84)+1)/12))))-(IF((((K84)*(IF(M84="",L84,IFERROR(IF(INDEX(Variablen!$I:$AT, MATCH(M84, Variablen!$A:$A, 0), MATCH((YEAR(D84)+9), Variablen!$I$3:$AT$3, 0))="",L84,INDEX(Variablen!$I:$AT, MATCH(M84, Variablen!$A:$A, 0), MATCH((YEAR(D84)+9), Variablen!$I$3:$AT$3, 0))),L84)))*(IF((YEAR(D84)+9)&lt;YEAR(E84),0,IF((YEAR(D84)+9)&gt;YEAR(E84),1,(12-MONTH(E84)+1)/12))) + (Q84)*(IF((YEAR(D84)+9)&lt;YEAR(E84),0,IF((YEAR(D84)+9)&gt;YEAR(E84),1,(12-MONTH(E84)+1)/12))))-((P84)*(IF((YEAR(D84)+9)&lt;YEAR(E84),0,IF((YEAR(D84)+9)&gt;YEAR(E84),1,(12-MONTH(E84)+1)/12))) + (R84)*(IF((YEAR(D84)+9)&lt;YEAR(E84),0,IF((YEAR(D84)+9)&gt;YEAR(E84),1,(12-MONTH(E84)+1)/12))))-(IF(OR(N84="",N84&lt;=0),0,(O84/N84)*(IF(OR(N84="",N84&lt;=0),0,IF((YEAR(D84)+9)&lt;YEAR(E84),0,IF((YEAR(D84)+9)&gt;=YEAR(E84)+N84,0,IF((YEAR(D84)+9)=YEAR(E84),(12-MONTH(E84)+1)/12,1))))))))&gt;0,(((K84)*(IF(M84="",L84,IFERROR(IF(INDEX(Variablen!$I:$AT, MATCH(M84, Variablen!$A:$A, 0), MATCH((YEAR(D84)+9), Variablen!$I$3:$AT$3, 0))="",L84,INDEX(Variablen!$I:$AT, MATCH(M84, Variablen!$A:$A, 0), MATCH((YEAR(D84)+9), Variablen!$I$3:$AT$3, 0))),L84)))*(IF((YEAR(D84)+9)&lt;YEAR(E84),0,IF((YEAR(D84)+9)&gt;YEAR(E84),1,(12-MONTH(E84)+1)/12))) + (Q84)*(IF((YEAR(D84)+9)&lt;YEAR(E84),0,IF((YEAR(D84)+9)&gt;YEAR(E84),1,(12-MONTH(E84)+1)/12))))-((P84)*(IF((YEAR(D84)+9)&lt;YEAR(E84),0,IF((YEAR(D84)+9)&gt;YEAR(E84),1,(12-MONTH(E84)+1)/12))) + (R84)*(IF((YEAR(D84)+9)&lt;YEAR(E84),0,IF((YEAR(D84)+9)&gt;YEAR(E84),1,(12-MONTH(E84)+1)/12))))-(IF(OR(N84="",N84&lt;=0),0,(O84/N84)*(IF(OR(N84="",N84&lt;=0),0,IF((YEAR(D84)+9)&lt;YEAR(E84),0,IF((YEAR(D84)+9)&gt;=YEAR(E84)+N84,0,IF((YEAR(D84)+9)=YEAR(E84),(12-MONTH(E84)+1)/12,1))))))))*TaxRate,0))-IF(9=0,O84,0))</f>
        <v/>
      </c>
      <c r="AC84" s="29">
        <f>IF(A84="","",((K84)*(IF(M84="",L84,IFERROR(IF(INDEX(Variablen!$I:$AT, MATCH(M84, Variablen!$A:$A, 0), MATCH((YEAR(D84)+10), Variablen!$I$3:$AT$3, 0))="",L84,INDEX(Variablen!$I:$AT, MATCH(M84, Variablen!$A:$A, 0), MATCH((YEAR(D84)+10), Variablen!$I$3:$AT$3, 0))),L84)))*(IF((YEAR(D84)+10)&lt;YEAR(E84),0,IF((YEAR(D84)+10)&gt;YEAR(E84),1,(12-MONTH(E84)+1)/12))) + (Q84)*(IF((YEAR(D84)+10)&lt;YEAR(E84),0,IF((YEAR(D84)+10)&gt;YEAR(E84),1,(12-MONTH(E84)+1)/12))))-((P84)*(IF((YEAR(D84)+10)&lt;YEAR(E84),0,IF((YEAR(D84)+10)&gt;YEAR(E84),1,(12-MONTH(E84)+1)/12))) + (R84)*(IF((YEAR(D84)+10)&lt;YEAR(E84),0,IF((YEAR(D84)+10)&gt;YEAR(E84),1,(12-MONTH(E84)+1)/12))))-(IF((((K84)*(IF(M84="",L84,IFERROR(IF(INDEX(Variablen!$I:$AT, MATCH(M84, Variablen!$A:$A, 0), MATCH((YEAR(D84)+10), Variablen!$I$3:$AT$3, 0))="",L84,INDEX(Variablen!$I:$AT, MATCH(M84, Variablen!$A:$A, 0), MATCH((YEAR(D84)+10), Variablen!$I$3:$AT$3, 0))),L84)))*(IF((YEAR(D84)+10)&lt;YEAR(E84),0,IF((YEAR(D84)+10)&gt;YEAR(E84),1,(12-MONTH(E84)+1)/12))) + (Q84)*(IF((YEAR(D84)+10)&lt;YEAR(E84),0,IF((YEAR(D84)+10)&gt;YEAR(E84),1,(12-MONTH(E84)+1)/12))))-((P84)*(IF((YEAR(D84)+10)&lt;YEAR(E84),0,IF((YEAR(D84)+10)&gt;YEAR(E84),1,(12-MONTH(E84)+1)/12))) + (R84)*(IF((YEAR(D84)+10)&lt;YEAR(E84),0,IF((YEAR(D84)+10)&gt;YEAR(E84),1,(12-MONTH(E84)+1)/12))))-(IF(OR(N84="",N84&lt;=0),0,(O84/N84)*(IF(OR(N84="",N84&lt;=0),0,IF((YEAR(D84)+10)&lt;YEAR(E84),0,IF((YEAR(D84)+10)&gt;=YEAR(E84)+N84,0,IF((YEAR(D84)+10)=YEAR(E84),(12-MONTH(E84)+1)/12,1))))))))&gt;0,(((K84)*(IF(M84="",L84,IFERROR(IF(INDEX(Variablen!$I:$AT, MATCH(M84, Variablen!$A:$A, 0), MATCH((YEAR(D84)+10), Variablen!$I$3:$AT$3, 0))="",L84,INDEX(Variablen!$I:$AT, MATCH(M84, Variablen!$A:$A, 0), MATCH((YEAR(D84)+10), Variablen!$I$3:$AT$3, 0))),L84)))*(IF((YEAR(D84)+10)&lt;YEAR(E84),0,IF((YEAR(D84)+10)&gt;YEAR(E84),1,(12-MONTH(E84)+1)/12))) + (Q84)*(IF((YEAR(D84)+10)&lt;YEAR(E84),0,IF((YEAR(D84)+10)&gt;YEAR(E84),1,(12-MONTH(E84)+1)/12))))-((P84)*(IF((YEAR(D84)+10)&lt;YEAR(E84),0,IF((YEAR(D84)+10)&gt;YEAR(E84),1,(12-MONTH(E84)+1)/12))) + (R84)*(IF((YEAR(D84)+10)&lt;YEAR(E84),0,IF((YEAR(D84)+10)&gt;YEAR(E84),1,(12-MONTH(E84)+1)/12))))-(IF(OR(N84="",N84&lt;=0),0,(O84/N84)*(IF(OR(N84="",N84&lt;=0),0,IF((YEAR(D84)+10)&lt;YEAR(E84),0,IF((YEAR(D84)+10)&gt;=YEAR(E84)+N84,0,IF((YEAR(D84)+10)=YEAR(E84),(12-MONTH(E84)+1)/12,1))))))))*TaxRate,0))-IF(10=0,O84,0))</f>
        <v/>
      </c>
      <c r="AD84" s="29">
        <f>IF(A84="","",((K84)*(IF(M84="",L84,IFERROR(IF(INDEX(Variablen!$I:$AT, MATCH(M84, Variablen!$A:$A, 0), MATCH((YEAR(D84)+11), Variablen!$I$3:$AT$3, 0))="",L84,INDEX(Variablen!$I:$AT, MATCH(M84, Variablen!$A:$A, 0), MATCH((YEAR(D84)+11), Variablen!$I$3:$AT$3, 0))),L84)))*(IF((YEAR(D84)+11)&lt;YEAR(E84),0,IF((YEAR(D84)+11)&gt;YEAR(E84),1,(12-MONTH(E84)+1)/12))) + (Q84)*(IF((YEAR(D84)+11)&lt;YEAR(E84),0,IF((YEAR(D84)+11)&gt;YEAR(E84),1,(12-MONTH(E84)+1)/12))))-((P84)*(IF((YEAR(D84)+11)&lt;YEAR(E84),0,IF((YEAR(D84)+11)&gt;YEAR(E84),1,(12-MONTH(E84)+1)/12))) + (R84)*(IF((YEAR(D84)+11)&lt;YEAR(E84),0,IF((YEAR(D84)+11)&gt;YEAR(E84),1,(12-MONTH(E84)+1)/12))))-(IF((((K84)*(IF(M84="",L84,IFERROR(IF(INDEX(Variablen!$I:$AT, MATCH(M84, Variablen!$A:$A, 0), MATCH((YEAR(D84)+11), Variablen!$I$3:$AT$3, 0))="",L84,INDEX(Variablen!$I:$AT, MATCH(M84, Variablen!$A:$A, 0), MATCH((YEAR(D84)+11), Variablen!$I$3:$AT$3, 0))),L84)))*(IF((YEAR(D84)+11)&lt;YEAR(E84),0,IF((YEAR(D84)+11)&gt;YEAR(E84),1,(12-MONTH(E84)+1)/12))) + (Q84)*(IF((YEAR(D84)+11)&lt;YEAR(E84),0,IF((YEAR(D84)+11)&gt;YEAR(E84),1,(12-MONTH(E84)+1)/12))))-((P84)*(IF((YEAR(D84)+11)&lt;YEAR(E84),0,IF((YEAR(D84)+11)&gt;YEAR(E84),1,(12-MONTH(E84)+1)/12))) + (R84)*(IF((YEAR(D84)+11)&lt;YEAR(E84),0,IF((YEAR(D84)+11)&gt;YEAR(E84),1,(12-MONTH(E84)+1)/12))))-(IF(OR(N84="",N84&lt;=0),0,(O84/N84)*(IF(OR(N84="",N84&lt;=0),0,IF((YEAR(D84)+11)&lt;YEAR(E84),0,IF((YEAR(D84)+11)&gt;=YEAR(E84)+N84,0,IF((YEAR(D84)+11)=YEAR(E84),(12-MONTH(E84)+1)/12,1))))))))&gt;0,(((K84)*(IF(M84="",L84,IFERROR(IF(INDEX(Variablen!$I:$AT, MATCH(M84, Variablen!$A:$A, 0), MATCH((YEAR(D84)+11), Variablen!$I$3:$AT$3, 0))="",L84,INDEX(Variablen!$I:$AT, MATCH(M84, Variablen!$A:$A, 0), MATCH((YEAR(D84)+11), Variablen!$I$3:$AT$3, 0))),L84)))*(IF((YEAR(D84)+11)&lt;YEAR(E84),0,IF((YEAR(D84)+11)&gt;YEAR(E84),1,(12-MONTH(E84)+1)/12))) + (Q84)*(IF((YEAR(D84)+11)&lt;YEAR(E84),0,IF((YEAR(D84)+11)&gt;YEAR(E84),1,(12-MONTH(E84)+1)/12))))-((P84)*(IF((YEAR(D84)+11)&lt;YEAR(E84),0,IF((YEAR(D84)+11)&gt;YEAR(E84),1,(12-MONTH(E84)+1)/12))) + (R84)*(IF((YEAR(D84)+11)&lt;YEAR(E84),0,IF((YEAR(D84)+11)&gt;YEAR(E84),1,(12-MONTH(E84)+1)/12))))-(IF(OR(N84="",N84&lt;=0),0,(O84/N84)*(IF(OR(N84="",N84&lt;=0),0,IF((YEAR(D84)+11)&lt;YEAR(E84),0,IF((YEAR(D84)+11)&gt;=YEAR(E84)+N84,0,IF((YEAR(D84)+11)=YEAR(E84),(12-MONTH(E84)+1)/12,1))))))))*TaxRate,0))-IF(11=0,O84,0))</f>
        <v/>
      </c>
      <c r="AE84" s="29">
        <f>IF(A84="","",((K84)*(IF(M84="",L84,IFERROR(IF(INDEX(Variablen!$I:$AT, MATCH(M84, Variablen!$A:$A, 0), MATCH((YEAR(D84)+12), Variablen!$I$3:$AT$3, 0))="",L84,INDEX(Variablen!$I:$AT, MATCH(M84, Variablen!$A:$A, 0), MATCH((YEAR(D84)+12), Variablen!$I$3:$AT$3, 0))),L84)))*(IF((YEAR(D84)+12)&lt;YEAR(E84),0,IF((YEAR(D84)+12)&gt;YEAR(E84),1,(12-MONTH(E84)+1)/12))) + (Q84)*(IF((YEAR(D84)+12)&lt;YEAR(E84),0,IF((YEAR(D84)+12)&gt;YEAR(E84),1,(12-MONTH(E84)+1)/12))))-((P84)*(IF((YEAR(D84)+12)&lt;YEAR(E84),0,IF((YEAR(D84)+12)&gt;YEAR(E84),1,(12-MONTH(E84)+1)/12))) + (R84)*(IF((YEAR(D84)+12)&lt;YEAR(E84),0,IF((YEAR(D84)+12)&gt;YEAR(E84),1,(12-MONTH(E84)+1)/12))))-(IF((((K84)*(IF(M84="",L84,IFERROR(IF(INDEX(Variablen!$I:$AT, MATCH(M84, Variablen!$A:$A, 0), MATCH((YEAR(D84)+12), Variablen!$I$3:$AT$3, 0))="",L84,INDEX(Variablen!$I:$AT, MATCH(M84, Variablen!$A:$A, 0), MATCH((YEAR(D84)+12), Variablen!$I$3:$AT$3, 0))),L84)))*(IF((YEAR(D84)+12)&lt;YEAR(E84),0,IF((YEAR(D84)+12)&gt;YEAR(E84),1,(12-MONTH(E84)+1)/12))) + (Q84)*(IF((YEAR(D84)+12)&lt;YEAR(E84),0,IF((YEAR(D84)+12)&gt;YEAR(E84),1,(12-MONTH(E84)+1)/12))))-((P84)*(IF((YEAR(D84)+12)&lt;YEAR(E84),0,IF((YEAR(D84)+12)&gt;YEAR(E84),1,(12-MONTH(E84)+1)/12))) + (R84)*(IF((YEAR(D84)+12)&lt;YEAR(E84),0,IF((YEAR(D84)+12)&gt;YEAR(E84),1,(12-MONTH(E84)+1)/12))))-(IF(OR(N84="",N84&lt;=0),0,(O84/N84)*(IF(OR(N84="",N84&lt;=0),0,IF((YEAR(D84)+12)&lt;YEAR(E84),0,IF((YEAR(D84)+12)&gt;=YEAR(E84)+N84,0,IF((YEAR(D84)+12)=YEAR(E84),(12-MONTH(E84)+1)/12,1))))))))&gt;0,(((K84)*(IF(M84="",L84,IFERROR(IF(INDEX(Variablen!$I:$AT, MATCH(M84, Variablen!$A:$A, 0), MATCH((YEAR(D84)+12), Variablen!$I$3:$AT$3, 0))="",L84,INDEX(Variablen!$I:$AT, MATCH(M84, Variablen!$A:$A, 0), MATCH((YEAR(D84)+12), Variablen!$I$3:$AT$3, 0))),L84)))*(IF((YEAR(D84)+12)&lt;YEAR(E84),0,IF((YEAR(D84)+12)&gt;YEAR(E84),1,(12-MONTH(E84)+1)/12))) + (Q84)*(IF((YEAR(D84)+12)&lt;YEAR(E84),0,IF((YEAR(D84)+12)&gt;YEAR(E84),1,(12-MONTH(E84)+1)/12))))-((P84)*(IF((YEAR(D84)+12)&lt;YEAR(E84),0,IF((YEAR(D84)+12)&gt;YEAR(E84),1,(12-MONTH(E84)+1)/12))) + (R84)*(IF((YEAR(D84)+12)&lt;YEAR(E84),0,IF((YEAR(D84)+12)&gt;YEAR(E84),1,(12-MONTH(E84)+1)/12))))-(IF(OR(N84="",N84&lt;=0),0,(O84/N84)*(IF(OR(N84="",N84&lt;=0),0,IF((YEAR(D84)+12)&lt;YEAR(E84),0,IF((YEAR(D84)+12)&gt;=YEAR(E84)+N84,0,IF((YEAR(D84)+12)=YEAR(E84),(12-MONTH(E84)+1)/12,1))))))))*TaxRate,0))-IF(12=0,O84,0))</f>
        <v/>
      </c>
      <c r="AF84" s="29">
        <f>IF(A84="","",((K84)*(IF(M84="",L84,IFERROR(IF(INDEX(Variablen!$I:$AT, MATCH(M84, Variablen!$A:$A, 0), MATCH((YEAR(D84)+13), Variablen!$I$3:$AT$3, 0))="",L84,INDEX(Variablen!$I:$AT, MATCH(M84, Variablen!$A:$A, 0), MATCH((YEAR(D84)+13), Variablen!$I$3:$AT$3, 0))),L84)))*(IF((YEAR(D84)+13)&lt;YEAR(E84),0,IF((YEAR(D84)+13)&gt;YEAR(E84),1,(12-MONTH(E84)+1)/12))) + (Q84)*(IF((YEAR(D84)+13)&lt;YEAR(E84),0,IF((YEAR(D84)+13)&gt;YEAR(E84),1,(12-MONTH(E84)+1)/12))))-((P84)*(IF((YEAR(D84)+13)&lt;YEAR(E84),0,IF((YEAR(D84)+13)&gt;YEAR(E84),1,(12-MONTH(E84)+1)/12))) + (R84)*(IF((YEAR(D84)+13)&lt;YEAR(E84),0,IF((YEAR(D84)+13)&gt;YEAR(E84),1,(12-MONTH(E84)+1)/12))))-(IF((((K84)*(IF(M84="",L84,IFERROR(IF(INDEX(Variablen!$I:$AT, MATCH(M84, Variablen!$A:$A, 0), MATCH((YEAR(D84)+13), Variablen!$I$3:$AT$3, 0))="",L84,INDEX(Variablen!$I:$AT, MATCH(M84, Variablen!$A:$A, 0), MATCH((YEAR(D84)+13), Variablen!$I$3:$AT$3, 0))),L84)))*(IF((YEAR(D84)+13)&lt;YEAR(E84),0,IF((YEAR(D84)+13)&gt;YEAR(E84),1,(12-MONTH(E84)+1)/12))) + (Q84)*(IF((YEAR(D84)+13)&lt;YEAR(E84),0,IF((YEAR(D84)+13)&gt;YEAR(E84),1,(12-MONTH(E84)+1)/12))))-((P84)*(IF((YEAR(D84)+13)&lt;YEAR(E84),0,IF((YEAR(D84)+13)&gt;YEAR(E84),1,(12-MONTH(E84)+1)/12))) + (R84)*(IF((YEAR(D84)+13)&lt;YEAR(E84),0,IF((YEAR(D84)+13)&gt;YEAR(E84),1,(12-MONTH(E84)+1)/12))))-(IF(OR(N84="",N84&lt;=0),0,(O84/N84)*(IF(OR(N84="",N84&lt;=0),0,IF((YEAR(D84)+13)&lt;YEAR(E84),0,IF((YEAR(D84)+13)&gt;=YEAR(E84)+N84,0,IF((YEAR(D84)+13)=YEAR(E84),(12-MONTH(E84)+1)/12,1))))))))&gt;0,(((K84)*(IF(M84="",L84,IFERROR(IF(INDEX(Variablen!$I:$AT, MATCH(M84, Variablen!$A:$A, 0), MATCH((YEAR(D84)+13), Variablen!$I$3:$AT$3, 0))="",L84,INDEX(Variablen!$I:$AT, MATCH(M84, Variablen!$A:$A, 0), MATCH((YEAR(D84)+13), Variablen!$I$3:$AT$3, 0))),L84)))*(IF((YEAR(D84)+13)&lt;YEAR(E84),0,IF((YEAR(D84)+13)&gt;YEAR(E84),1,(12-MONTH(E84)+1)/12))) + (Q84)*(IF((YEAR(D84)+13)&lt;YEAR(E84),0,IF((YEAR(D84)+13)&gt;YEAR(E84),1,(12-MONTH(E84)+1)/12))))-((P84)*(IF((YEAR(D84)+13)&lt;YEAR(E84),0,IF((YEAR(D84)+13)&gt;YEAR(E84),1,(12-MONTH(E84)+1)/12))) + (R84)*(IF((YEAR(D84)+13)&lt;YEAR(E84),0,IF((YEAR(D84)+13)&gt;YEAR(E84),1,(12-MONTH(E84)+1)/12))))-(IF(OR(N84="",N84&lt;=0),0,(O84/N84)*(IF(OR(N84="",N84&lt;=0),0,IF((YEAR(D84)+13)&lt;YEAR(E84),0,IF((YEAR(D84)+13)&gt;=YEAR(E84)+N84,0,IF((YEAR(D84)+13)=YEAR(E84),(12-MONTH(E84)+1)/12,1))))))))*TaxRate,0))-IF(13=0,O84,0))</f>
        <v/>
      </c>
      <c r="AG84" s="29">
        <f>IF(A84="","",((K84)*(IF(M84="",L84,IFERROR(IF(INDEX(Variablen!$I:$AT, MATCH(M84, Variablen!$A:$A, 0), MATCH((YEAR(D84)+14), Variablen!$I$3:$AT$3, 0))="",L84,INDEX(Variablen!$I:$AT, MATCH(M84, Variablen!$A:$A, 0), MATCH((YEAR(D84)+14), Variablen!$I$3:$AT$3, 0))),L84)))*(IF((YEAR(D84)+14)&lt;YEAR(E84),0,IF((YEAR(D84)+14)&gt;YEAR(E84),1,(12-MONTH(E84)+1)/12))) + (Q84)*(IF((YEAR(D84)+14)&lt;YEAR(E84),0,IF((YEAR(D84)+14)&gt;YEAR(E84),1,(12-MONTH(E84)+1)/12))))-((P84)*(IF((YEAR(D84)+14)&lt;YEAR(E84),0,IF((YEAR(D84)+14)&gt;YEAR(E84),1,(12-MONTH(E84)+1)/12))) + (R84)*(IF((YEAR(D84)+14)&lt;YEAR(E84),0,IF((YEAR(D84)+14)&gt;YEAR(E84),1,(12-MONTH(E84)+1)/12))))-(IF((((K84)*(IF(M84="",L84,IFERROR(IF(INDEX(Variablen!$I:$AT, MATCH(M84, Variablen!$A:$A, 0), MATCH((YEAR(D84)+14), Variablen!$I$3:$AT$3, 0))="",L84,INDEX(Variablen!$I:$AT, MATCH(M84, Variablen!$A:$A, 0), MATCH((YEAR(D84)+14), Variablen!$I$3:$AT$3, 0))),L84)))*(IF((YEAR(D84)+14)&lt;YEAR(E84),0,IF((YEAR(D84)+14)&gt;YEAR(E84),1,(12-MONTH(E84)+1)/12))) + (Q84)*(IF((YEAR(D84)+14)&lt;YEAR(E84),0,IF((YEAR(D84)+14)&gt;YEAR(E84),1,(12-MONTH(E84)+1)/12))))-((P84)*(IF((YEAR(D84)+14)&lt;YEAR(E84),0,IF((YEAR(D84)+14)&gt;YEAR(E84),1,(12-MONTH(E84)+1)/12))) + (R84)*(IF((YEAR(D84)+14)&lt;YEAR(E84),0,IF((YEAR(D84)+14)&gt;YEAR(E84),1,(12-MONTH(E84)+1)/12))))-(IF(OR(N84="",N84&lt;=0),0,(O84/N84)*(IF(OR(N84="",N84&lt;=0),0,IF((YEAR(D84)+14)&lt;YEAR(E84),0,IF((YEAR(D84)+14)&gt;=YEAR(E84)+N84,0,IF((YEAR(D84)+14)=YEAR(E84),(12-MONTH(E84)+1)/12,1))))))))&gt;0,(((K84)*(IF(M84="",L84,IFERROR(IF(INDEX(Variablen!$I:$AT, MATCH(M84, Variablen!$A:$A, 0), MATCH((YEAR(D84)+14), Variablen!$I$3:$AT$3, 0))="",L84,INDEX(Variablen!$I:$AT, MATCH(M84, Variablen!$A:$A, 0), MATCH((YEAR(D84)+14), Variablen!$I$3:$AT$3, 0))),L84)))*(IF((YEAR(D84)+14)&lt;YEAR(E84),0,IF((YEAR(D84)+14)&gt;YEAR(E84),1,(12-MONTH(E84)+1)/12))) + (Q84)*(IF((YEAR(D84)+14)&lt;YEAR(E84),0,IF((YEAR(D84)+14)&gt;YEAR(E84),1,(12-MONTH(E84)+1)/12))))-((P84)*(IF((YEAR(D84)+14)&lt;YEAR(E84),0,IF((YEAR(D84)+14)&gt;YEAR(E84),1,(12-MONTH(E84)+1)/12))) + (R84)*(IF((YEAR(D84)+14)&lt;YEAR(E84),0,IF((YEAR(D84)+14)&gt;YEAR(E84),1,(12-MONTH(E84)+1)/12))))-(IF(OR(N84="",N84&lt;=0),0,(O84/N84)*(IF(OR(N84="",N84&lt;=0),0,IF((YEAR(D84)+14)&lt;YEAR(E84),0,IF((YEAR(D84)+14)&gt;=YEAR(E84)+N84,0,IF((YEAR(D84)+14)=YEAR(E84),(12-MONTH(E84)+1)/12,1))))))))*TaxRate,0))-IF(14=0,O84,0))</f>
        <v/>
      </c>
      <c r="AH84" s="29">
        <f>IF(A84="","",((K84)*(IF(M84="",L84,IFERROR(IF(INDEX(Variablen!$I:$AT, MATCH(M84, Variablen!$A:$A, 0), MATCH((YEAR(D84)+15), Variablen!$I$3:$AT$3, 0))="",L84,INDEX(Variablen!$I:$AT, MATCH(M84, Variablen!$A:$A, 0), MATCH((YEAR(D84)+15), Variablen!$I$3:$AT$3, 0))),L84)))*(IF((YEAR(D84)+15)&lt;YEAR(E84),0,IF((YEAR(D84)+15)&gt;YEAR(E84),1,(12-MONTH(E84)+1)/12))) + (Q84)*(IF((YEAR(D84)+15)&lt;YEAR(E84),0,IF((YEAR(D84)+15)&gt;YEAR(E84),1,(12-MONTH(E84)+1)/12))))-((P84)*(IF((YEAR(D84)+15)&lt;YEAR(E84),0,IF((YEAR(D84)+15)&gt;YEAR(E84),1,(12-MONTH(E84)+1)/12))) + (R84)*(IF((YEAR(D84)+15)&lt;YEAR(E84),0,IF((YEAR(D84)+15)&gt;YEAR(E84),1,(12-MONTH(E84)+1)/12))))-(IF((((K84)*(IF(M84="",L84,IFERROR(IF(INDEX(Variablen!$I:$AT, MATCH(M84, Variablen!$A:$A, 0), MATCH((YEAR(D84)+15), Variablen!$I$3:$AT$3, 0))="",L84,INDEX(Variablen!$I:$AT, MATCH(M84, Variablen!$A:$A, 0), MATCH((YEAR(D84)+15), Variablen!$I$3:$AT$3, 0))),L84)))*(IF((YEAR(D84)+15)&lt;YEAR(E84),0,IF((YEAR(D84)+15)&gt;YEAR(E84),1,(12-MONTH(E84)+1)/12))) + (Q84)*(IF((YEAR(D84)+15)&lt;YEAR(E84),0,IF((YEAR(D84)+15)&gt;YEAR(E84),1,(12-MONTH(E84)+1)/12))))-((P84)*(IF((YEAR(D84)+15)&lt;YEAR(E84),0,IF((YEAR(D84)+15)&gt;YEAR(E84),1,(12-MONTH(E84)+1)/12))) + (R84)*(IF((YEAR(D84)+15)&lt;YEAR(E84),0,IF((YEAR(D84)+15)&gt;YEAR(E84),1,(12-MONTH(E84)+1)/12))))-(IF(OR(N84="",N84&lt;=0),0,(O84/N84)*(IF(OR(N84="",N84&lt;=0),0,IF((YEAR(D84)+15)&lt;YEAR(E84),0,IF((YEAR(D84)+15)&gt;=YEAR(E84)+N84,0,IF((YEAR(D84)+15)=YEAR(E84),(12-MONTH(E84)+1)/12,1))))))))&gt;0,(((K84)*(IF(M84="",L84,IFERROR(IF(INDEX(Variablen!$I:$AT, MATCH(M84, Variablen!$A:$A, 0), MATCH((YEAR(D84)+15), Variablen!$I$3:$AT$3, 0))="",L84,INDEX(Variablen!$I:$AT, MATCH(M84, Variablen!$A:$A, 0), MATCH((YEAR(D84)+15), Variablen!$I$3:$AT$3, 0))),L84)))*(IF((YEAR(D84)+15)&lt;YEAR(E84),0,IF((YEAR(D84)+15)&gt;YEAR(E84),1,(12-MONTH(E84)+1)/12))) + (Q84)*(IF((YEAR(D84)+15)&lt;YEAR(E84),0,IF((YEAR(D84)+15)&gt;YEAR(E84),1,(12-MONTH(E84)+1)/12))))-((P84)*(IF((YEAR(D84)+15)&lt;YEAR(E84),0,IF((YEAR(D84)+15)&gt;YEAR(E84),1,(12-MONTH(E84)+1)/12))) + (R84)*(IF((YEAR(D84)+15)&lt;YEAR(E84),0,IF((YEAR(D84)+15)&gt;YEAR(E84),1,(12-MONTH(E84)+1)/12))))-(IF(OR(N84="",N84&lt;=0),0,(O84/N84)*(IF(OR(N84="",N84&lt;=0),0,IF((YEAR(D84)+15)&lt;YEAR(E84),0,IF((YEAR(D84)+15)&gt;=YEAR(E84)+N84,0,IF((YEAR(D84)+15)=YEAR(E84),(12-MONTH(E84)+1)/12,1))))))))*TaxRate,0))-IF(15=0,O84,0))</f>
        <v/>
      </c>
      <c r="AI84" s="29">
        <f>IF(A84="","",((K84)*(IF(M84="",L84,IFERROR(IF(INDEX(Variablen!$I:$AT, MATCH(M84, Variablen!$A:$A, 0), MATCH((YEAR(D84)+16), Variablen!$I$3:$AT$3, 0))="",L84,INDEX(Variablen!$I:$AT, MATCH(M84, Variablen!$A:$A, 0), MATCH((YEAR(D84)+16), Variablen!$I$3:$AT$3, 0))),L84)))*(IF((YEAR(D84)+16)&lt;YEAR(E84),0,IF((YEAR(D84)+16)&gt;YEAR(E84),1,(12-MONTH(E84)+1)/12))) + (Q84)*(IF((YEAR(D84)+16)&lt;YEAR(E84),0,IF((YEAR(D84)+16)&gt;YEAR(E84),1,(12-MONTH(E84)+1)/12))))-((P84)*(IF((YEAR(D84)+16)&lt;YEAR(E84),0,IF((YEAR(D84)+16)&gt;YEAR(E84),1,(12-MONTH(E84)+1)/12))) + (R84)*(IF((YEAR(D84)+16)&lt;YEAR(E84),0,IF((YEAR(D84)+16)&gt;YEAR(E84),1,(12-MONTH(E84)+1)/12))))-(IF((((K84)*(IF(M84="",L84,IFERROR(IF(INDEX(Variablen!$I:$AT, MATCH(M84, Variablen!$A:$A, 0), MATCH((YEAR(D84)+16), Variablen!$I$3:$AT$3, 0))="",L84,INDEX(Variablen!$I:$AT, MATCH(M84, Variablen!$A:$A, 0), MATCH((YEAR(D84)+16), Variablen!$I$3:$AT$3, 0))),L84)))*(IF((YEAR(D84)+16)&lt;YEAR(E84),0,IF((YEAR(D84)+16)&gt;YEAR(E84),1,(12-MONTH(E84)+1)/12))) + (Q84)*(IF((YEAR(D84)+16)&lt;YEAR(E84),0,IF((YEAR(D84)+16)&gt;YEAR(E84),1,(12-MONTH(E84)+1)/12))))-((P84)*(IF((YEAR(D84)+16)&lt;YEAR(E84),0,IF((YEAR(D84)+16)&gt;YEAR(E84),1,(12-MONTH(E84)+1)/12))) + (R84)*(IF((YEAR(D84)+16)&lt;YEAR(E84),0,IF((YEAR(D84)+16)&gt;YEAR(E84),1,(12-MONTH(E84)+1)/12))))-(IF(OR(N84="",N84&lt;=0),0,(O84/N84)*(IF(OR(N84="",N84&lt;=0),0,IF((YEAR(D84)+16)&lt;YEAR(E84),0,IF((YEAR(D84)+16)&gt;=YEAR(E84)+N84,0,IF((YEAR(D84)+16)=YEAR(E84),(12-MONTH(E84)+1)/12,1))))))))&gt;0,(((K84)*(IF(M84="",L84,IFERROR(IF(INDEX(Variablen!$I:$AT, MATCH(M84, Variablen!$A:$A, 0), MATCH((YEAR(D84)+16), Variablen!$I$3:$AT$3, 0))="",L84,INDEX(Variablen!$I:$AT, MATCH(M84, Variablen!$A:$A, 0), MATCH((YEAR(D84)+16), Variablen!$I$3:$AT$3, 0))),L84)))*(IF((YEAR(D84)+16)&lt;YEAR(E84),0,IF((YEAR(D84)+16)&gt;YEAR(E84),1,(12-MONTH(E84)+1)/12))) + (Q84)*(IF((YEAR(D84)+16)&lt;YEAR(E84),0,IF((YEAR(D84)+16)&gt;YEAR(E84),1,(12-MONTH(E84)+1)/12))))-((P84)*(IF((YEAR(D84)+16)&lt;YEAR(E84),0,IF((YEAR(D84)+16)&gt;YEAR(E84),1,(12-MONTH(E84)+1)/12))) + (R84)*(IF((YEAR(D84)+16)&lt;YEAR(E84),0,IF((YEAR(D84)+16)&gt;YEAR(E84),1,(12-MONTH(E84)+1)/12))))-(IF(OR(N84="",N84&lt;=0),0,(O84/N84)*(IF(OR(N84="",N84&lt;=0),0,IF((YEAR(D84)+16)&lt;YEAR(E84),0,IF((YEAR(D84)+16)&gt;=YEAR(E84)+N84,0,IF((YEAR(D84)+16)=YEAR(E84),(12-MONTH(E84)+1)/12,1))))))))*TaxRate,0))-IF(16=0,O84,0))</f>
        <v/>
      </c>
      <c r="AJ84" s="29">
        <f>IF(A84="","",((K84)*(IF(M84="",L84,IFERROR(IF(INDEX(Variablen!$I:$AT, MATCH(M84, Variablen!$A:$A, 0), MATCH((YEAR(D84)+17), Variablen!$I$3:$AT$3, 0))="",L84,INDEX(Variablen!$I:$AT, MATCH(M84, Variablen!$A:$A, 0), MATCH((YEAR(D84)+17), Variablen!$I$3:$AT$3, 0))),L84)))*(IF((YEAR(D84)+17)&lt;YEAR(E84),0,IF((YEAR(D84)+17)&gt;YEAR(E84),1,(12-MONTH(E84)+1)/12))) + (Q84)*(IF((YEAR(D84)+17)&lt;YEAR(E84),0,IF((YEAR(D84)+17)&gt;YEAR(E84),1,(12-MONTH(E84)+1)/12))))-((P84)*(IF((YEAR(D84)+17)&lt;YEAR(E84),0,IF((YEAR(D84)+17)&gt;YEAR(E84),1,(12-MONTH(E84)+1)/12))) + (R84)*(IF((YEAR(D84)+17)&lt;YEAR(E84),0,IF((YEAR(D84)+17)&gt;YEAR(E84),1,(12-MONTH(E84)+1)/12))))-(IF((((K84)*(IF(M84="",L84,IFERROR(IF(INDEX(Variablen!$I:$AT, MATCH(M84, Variablen!$A:$A, 0), MATCH((YEAR(D84)+17), Variablen!$I$3:$AT$3, 0))="",L84,INDEX(Variablen!$I:$AT, MATCH(M84, Variablen!$A:$A, 0), MATCH((YEAR(D84)+17), Variablen!$I$3:$AT$3, 0))),L84)))*(IF((YEAR(D84)+17)&lt;YEAR(E84),0,IF((YEAR(D84)+17)&gt;YEAR(E84),1,(12-MONTH(E84)+1)/12))) + (Q84)*(IF((YEAR(D84)+17)&lt;YEAR(E84),0,IF((YEAR(D84)+17)&gt;YEAR(E84),1,(12-MONTH(E84)+1)/12))))-((P84)*(IF((YEAR(D84)+17)&lt;YEAR(E84),0,IF((YEAR(D84)+17)&gt;YEAR(E84),1,(12-MONTH(E84)+1)/12))) + (R84)*(IF((YEAR(D84)+17)&lt;YEAR(E84),0,IF((YEAR(D84)+17)&gt;YEAR(E84),1,(12-MONTH(E84)+1)/12))))-(IF(OR(N84="",N84&lt;=0),0,(O84/N84)*(IF(OR(N84="",N84&lt;=0),0,IF((YEAR(D84)+17)&lt;YEAR(E84),0,IF((YEAR(D84)+17)&gt;=YEAR(E84)+N84,0,IF((YEAR(D84)+17)=YEAR(E84),(12-MONTH(E84)+1)/12,1))))))))&gt;0,(((K84)*(IF(M84="",L84,IFERROR(IF(INDEX(Variablen!$I:$AT, MATCH(M84, Variablen!$A:$A, 0), MATCH((YEAR(D84)+17), Variablen!$I$3:$AT$3, 0))="",L84,INDEX(Variablen!$I:$AT, MATCH(M84, Variablen!$A:$A, 0), MATCH((YEAR(D84)+17), Variablen!$I$3:$AT$3, 0))),L84)))*(IF((YEAR(D84)+17)&lt;YEAR(E84),0,IF((YEAR(D84)+17)&gt;YEAR(E84),1,(12-MONTH(E84)+1)/12))) + (Q84)*(IF((YEAR(D84)+17)&lt;YEAR(E84),0,IF((YEAR(D84)+17)&gt;YEAR(E84),1,(12-MONTH(E84)+1)/12))))-((P84)*(IF((YEAR(D84)+17)&lt;YEAR(E84),0,IF((YEAR(D84)+17)&gt;YEAR(E84),1,(12-MONTH(E84)+1)/12))) + (R84)*(IF((YEAR(D84)+17)&lt;YEAR(E84),0,IF((YEAR(D84)+17)&gt;YEAR(E84),1,(12-MONTH(E84)+1)/12))))-(IF(OR(N84="",N84&lt;=0),0,(O84/N84)*(IF(OR(N84="",N84&lt;=0),0,IF((YEAR(D84)+17)&lt;YEAR(E84),0,IF((YEAR(D84)+17)&gt;=YEAR(E84)+N84,0,IF((YEAR(D84)+17)=YEAR(E84),(12-MONTH(E84)+1)/12,1))))))))*TaxRate,0))-IF(17=0,O84,0))</f>
        <v/>
      </c>
      <c r="AK84" s="29">
        <f>IF(A84="","",((K84)*(IF(M84="",L84,IFERROR(IF(INDEX(Variablen!$I:$AT, MATCH(M84, Variablen!$A:$A, 0), MATCH((YEAR(D84)+18), Variablen!$I$3:$AT$3, 0))="",L84,INDEX(Variablen!$I:$AT, MATCH(M84, Variablen!$A:$A, 0), MATCH((YEAR(D84)+18), Variablen!$I$3:$AT$3, 0))),L84)))*(IF((YEAR(D84)+18)&lt;YEAR(E84),0,IF((YEAR(D84)+18)&gt;YEAR(E84),1,(12-MONTH(E84)+1)/12))) + (Q84)*(IF((YEAR(D84)+18)&lt;YEAR(E84),0,IF((YEAR(D84)+18)&gt;YEAR(E84),1,(12-MONTH(E84)+1)/12))))-((P84)*(IF((YEAR(D84)+18)&lt;YEAR(E84),0,IF((YEAR(D84)+18)&gt;YEAR(E84),1,(12-MONTH(E84)+1)/12))) + (R84)*(IF((YEAR(D84)+18)&lt;YEAR(E84),0,IF((YEAR(D84)+18)&gt;YEAR(E84),1,(12-MONTH(E84)+1)/12))))-(IF((((K84)*(IF(M84="",L84,IFERROR(IF(INDEX(Variablen!$I:$AT, MATCH(M84, Variablen!$A:$A, 0), MATCH((YEAR(D84)+18), Variablen!$I$3:$AT$3, 0))="",L84,INDEX(Variablen!$I:$AT, MATCH(M84, Variablen!$A:$A, 0), MATCH((YEAR(D84)+18), Variablen!$I$3:$AT$3, 0))),L84)))*(IF((YEAR(D84)+18)&lt;YEAR(E84),0,IF((YEAR(D84)+18)&gt;YEAR(E84),1,(12-MONTH(E84)+1)/12))) + (Q84)*(IF((YEAR(D84)+18)&lt;YEAR(E84),0,IF((YEAR(D84)+18)&gt;YEAR(E84),1,(12-MONTH(E84)+1)/12))))-((P84)*(IF((YEAR(D84)+18)&lt;YEAR(E84),0,IF((YEAR(D84)+18)&gt;YEAR(E84),1,(12-MONTH(E84)+1)/12))) + (R84)*(IF((YEAR(D84)+18)&lt;YEAR(E84),0,IF((YEAR(D84)+18)&gt;YEAR(E84),1,(12-MONTH(E84)+1)/12))))-(IF(OR(N84="",N84&lt;=0),0,(O84/N84)*(IF(OR(N84="",N84&lt;=0),0,IF((YEAR(D84)+18)&lt;YEAR(E84),0,IF((YEAR(D84)+18)&gt;=YEAR(E84)+N84,0,IF((YEAR(D84)+18)=YEAR(E84),(12-MONTH(E84)+1)/12,1))))))))&gt;0,(((K84)*(IF(M84="",L84,IFERROR(IF(INDEX(Variablen!$I:$AT, MATCH(M84, Variablen!$A:$A, 0), MATCH((YEAR(D84)+18), Variablen!$I$3:$AT$3, 0))="",L84,INDEX(Variablen!$I:$AT, MATCH(M84, Variablen!$A:$A, 0), MATCH((YEAR(D84)+18), Variablen!$I$3:$AT$3, 0))),L84)))*(IF((YEAR(D84)+18)&lt;YEAR(E84),0,IF((YEAR(D84)+18)&gt;YEAR(E84),1,(12-MONTH(E84)+1)/12))) + (Q84)*(IF((YEAR(D84)+18)&lt;YEAR(E84),0,IF((YEAR(D84)+18)&gt;YEAR(E84),1,(12-MONTH(E84)+1)/12))))-((P84)*(IF((YEAR(D84)+18)&lt;YEAR(E84),0,IF((YEAR(D84)+18)&gt;YEAR(E84),1,(12-MONTH(E84)+1)/12))) + (R84)*(IF((YEAR(D84)+18)&lt;YEAR(E84),0,IF((YEAR(D84)+18)&gt;YEAR(E84),1,(12-MONTH(E84)+1)/12))))-(IF(OR(N84="",N84&lt;=0),0,(O84/N84)*(IF(OR(N84="",N84&lt;=0),0,IF((YEAR(D84)+18)&lt;YEAR(E84),0,IF((YEAR(D84)+18)&gt;=YEAR(E84)+N84,0,IF((YEAR(D84)+18)=YEAR(E84),(12-MONTH(E84)+1)/12,1))))))))*TaxRate,0))-IF(18=0,O84,0))</f>
        <v/>
      </c>
      <c r="AL84" s="29">
        <f>IF(A84="","",((K84)*(IF(M84="",L84,IFERROR(IF(INDEX(Variablen!$I:$AT, MATCH(M84, Variablen!$A:$A, 0), MATCH((YEAR(D84)+19), Variablen!$I$3:$AT$3, 0))="",L84,INDEX(Variablen!$I:$AT, MATCH(M84, Variablen!$A:$A, 0), MATCH((YEAR(D84)+19), Variablen!$I$3:$AT$3, 0))),L84)))*(IF((YEAR(D84)+19)&lt;YEAR(E84),0,IF((YEAR(D84)+19)&gt;YEAR(E84),1,(12-MONTH(E84)+1)/12))) + (Q84)*(IF((YEAR(D84)+19)&lt;YEAR(E84),0,IF((YEAR(D84)+19)&gt;YEAR(E84),1,(12-MONTH(E84)+1)/12))))-((P84)*(IF((YEAR(D84)+19)&lt;YEAR(E84),0,IF((YEAR(D84)+19)&gt;YEAR(E84),1,(12-MONTH(E84)+1)/12))) + (R84)*(IF((YEAR(D84)+19)&lt;YEAR(E84),0,IF((YEAR(D84)+19)&gt;YEAR(E84),1,(12-MONTH(E84)+1)/12))))-(IF((((K84)*(IF(M84="",L84,IFERROR(IF(INDEX(Variablen!$I:$AT, MATCH(M84, Variablen!$A:$A, 0), MATCH((YEAR(D84)+19), Variablen!$I$3:$AT$3, 0))="",L84,INDEX(Variablen!$I:$AT, MATCH(M84, Variablen!$A:$A, 0), MATCH((YEAR(D84)+19), Variablen!$I$3:$AT$3, 0))),L84)))*(IF((YEAR(D84)+19)&lt;YEAR(E84),0,IF((YEAR(D84)+19)&gt;YEAR(E84),1,(12-MONTH(E84)+1)/12))) + (Q84)*(IF((YEAR(D84)+19)&lt;YEAR(E84),0,IF((YEAR(D84)+19)&gt;YEAR(E84),1,(12-MONTH(E84)+1)/12))))-((P84)*(IF((YEAR(D84)+19)&lt;YEAR(E84),0,IF((YEAR(D84)+19)&gt;YEAR(E84),1,(12-MONTH(E84)+1)/12))) + (R84)*(IF((YEAR(D84)+19)&lt;YEAR(E84),0,IF((YEAR(D84)+19)&gt;YEAR(E84),1,(12-MONTH(E84)+1)/12))))-(IF(OR(N84="",N84&lt;=0),0,(O84/N84)*(IF(OR(N84="",N84&lt;=0),0,IF((YEAR(D84)+19)&lt;YEAR(E84),0,IF((YEAR(D84)+19)&gt;=YEAR(E84)+N84,0,IF((YEAR(D84)+19)=YEAR(E84),(12-MONTH(E84)+1)/12,1))))))))&gt;0,(((K84)*(IF(M84="",L84,IFERROR(IF(INDEX(Variablen!$I:$AT, MATCH(M84, Variablen!$A:$A, 0), MATCH((YEAR(D84)+19), Variablen!$I$3:$AT$3, 0))="",L84,INDEX(Variablen!$I:$AT, MATCH(M84, Variablen!$A:$A, 0), MATCH((YEAR(D84)+19), Variablen!$I$3:$AT$3, 0))),L84)))*(IF((YEAR(D84)+19)&lt;YEAR(E84),0,IF((YEAR(D84)+19)&gt;YEAR(E84),1,(12-MONTH(E84)+1)/12))) + (Q84)*(IF((YEAR(D84)+19)&lt;YEAR(E84),0,IF((YEAR(D84)+19)&gt;YEAR(E84),1,(12-MONTH(E84)+1)/12))))-((P84)*(IF((YEAR(D84)+19)&lt;YEAR(E84),0,IF((YEAR(D84)+19)&gt;YEAR(E84),1,(12-MONTH(E84)+1)/12))) + (R84)*(IF((YEAR(D84)+19)&lt;YEAR(E84),0,IF((YEAR(D84)+19)&gt;YEAR(E84),1,(12-MONTH(E84)+1)/12))))-(IF(OR(N84="",N84&lt;=0),0,(O84/N84)*(IF(OR(N84="",N84&lt;=0),0,IF((YEAR(D84)+19)&lt;YEAR(E84),0,IF((YEAR(D84)+19)&gt;=YEAR(E84)+N84,0,IF((YEAR(D84)+19)=YEAR(E84),(12-MONTH(E84)+1)/12,1))))))))*TaxRate,0))-IF(19=0,O84,0))</f>
        <v/>
      </c>
      <c r="AM84" s="29">
        <f>IF(A84="","",((K84)*(IF(M84="",L84,IFERROR(IF(INDEX(Variablen!$I:$AT, MATCH(M84, Variablen!$A:$A, 0), MATCH((YEAR(D84)+20), Variablen!$I$3:$AT$3, 0))="",L84,INDEX(Variablen!$I:$AT, MATCH(M84, Variablen!$A:$A, 0), MATCH((YEAR(D84)+20), Variablen!$I$3:$AT$3, 0))),L84)))*(IF((YEAR(D84)+20)&lt;YEAR(E84),0,IF((YEAR(D84)+20)&gt;YEAR(E84),1,(12-MONTH(E84)+1)/12))) + (Q84)*(IF((YEAR(D84)+20)&lt;YEAR(E84),0,IF((YEAR(D84)+20)&gt;YEAR(E84),1,(12-MONTH(E84)+1)/12))))-((P84)*(IF((YEAR(D84)+20)&lt;YEAR(E84),0,IF((YEAR(D84)+20)&gt;YEAR(E84),1,(12-MONTH(E84)+1)/12))) + (R84)*(IF((YEAR(D84)+20)&lt;YEAR(E84),0,IF((YEAR(D84)+20)&gt;YEAR(E84),1,(12-MONTH(E84)+1)/12))))-(IF((((K84)*(IF(M84="",L84,IFERROR(IF(INDEX(Variablen!$I:$AT, MATCH(M84, Variablen!$A:$A, 0), MATCH((YEAR(D84)+20), Variablen!$I$3:$AT$3, 0))="",L84,INDEX(Variablen!$I:$AT, MATCH(M84, Variablen!$A:$A, 0), MATCH((YEAR(D84)+20), Variablen!$I$3:$AT$3, 0))),L84)))*(IF((YEAR(D84)+20)&lt;YEAR(E84),0,IF((YEAR(D84)+20)&gt;YEAR(E84),1,(12-MONTH(E84)+1)/12))) + (Q84)*(IF((YEAR(D84)+20)&lt;YEAR(E84),0,IF((YEAR(D84)+20)&gt;YEAR(E84),1,(12-MONTH(E84)+1)/12))))-((P84)*(IF((YEAR(D84)+20)&lt;YEAR(E84),0,IF((YEAR(D84)+20)&gt;YEAR(E84),1,(12-MONTH(E84)+1)/12))) + (R84)*(IF((YEAR(D84)+20)&lt;YEAR(E84),0,IF((YEAR(D84)+20)&gt;YEAR(E84),1,(12-MONTH(E84)+1)/12))))-(IF(OR(N84="",N84&lt;=0),0,(O84/N84)*(IF(OR(N84="",N84&lt;=0),0,IF((YEAR(D84)+20)&lt;YEAR(E84),0,IF((YEAR(D84)+20)&gt;=YEAR(E84)+N84,0,IF((YEAR(D84)+20)=YEAR(E84),(12-MONTH(E84)+1)/12,1))))))))&gt;0,(((K84)*(IF(M84="",L84,IFERROR(IF(INDEX(Variablen!$I:$AT, MATCH(M84, Variablen!$A:$A, 0), MATCH((YEAR(D84)+20), Variablen!$I$3:$AT$3, 0))="",L84,INDEX(Variablen!$I:$AT, MATCH(M84, Variablen!$A:$A, 0), MATCH((YEAR(D84)+20), Variablen!$I$3:$AT$3, 0))),L84)))*(IF((YEAR(D84)+20)&lt;YEAR(E84),0,IF((YEAR(D84)+20)&gt;YEAR(E84),1,(12-MONTH(E84)+1)/12))) + (Q84)*(IF((YEAR(D84)+20)&lt;YEAR(E84),0,IF((YEAR(D84)+20)&gt;YEAR(E84),1,(12-MONTH(E84)+1)/12))))-((P84)*(IF((YEAR(D84)+20)&lt;YEAR(E84),0,IF((YEAR(D84)+20)&gt;YEAR(E84),1,(12-MONTH(E84)+1)/12))) + (R84)*(IF((YEAR(D84)+20)&lt;YEAR(E84),0,IF((YEAR(D84)+20)&gt;YEAR(E84),1,(12-MONTH(E84)+1)/12))))-(IF(OR(N84="",N84&lt;=0),0,(O84/N84)*(IF(OR(N84="",N84&lt;=0),0,IF((YEAR(D84)+20)&lt;YEAR(E84),0,IF((YEAR(D84)+20)&gt;=YEAR(E84)+N84,0,IF((YEAR(D84)+20)=YEAR(E84),(12-MONTH(E84)+1)/12,1))))))))*TaxRate,0))-IF(20=0,O84,0))</f>
        <v/>
      </c>
      <c r="AN84" s="29">
        <f>IF(A84="","",S84)</f>
        <v/>
      </c>
      <c r="AO84" s="29">
        <f>IF(A84="","",AN84+T84)</f>
        <v/>
      </c>
      <c r="AP84" s="29">
        <f>IF(A84="","",AO84+U84)</f>
        <v/>
      </c>
      <c r="AQ84" s="29">
        <f>IF(A84="","",AP84+V84)</f>
        <v/>
      </c>
      <c r="AR84" s="29">
        <f>IF(A84="","",AQ84+W84)</f>
        <v/>
      </c>
      <c r="AS84" s="29">
        <f>IF(A84="","",AR84+X84)</f>
        <v/>
      </c>
      <c r="AT84" s="29">
        <f>IF(A84="","",AS84+Y84)</f>
        <v/>
      </c>
      <c r="AU84" s="29">
        <f>IF(A84="","",AT84+Z84)</f>
        <v/>
      </c>
      <c r="AV84" s="29">
        <f>IF(A84="","",AU84+AA84)</f>
        <v/>
      </c>
      <c r="AW84" s="29">
        <f>IF(A84="","",AV84+AB84)</f>
        <v/>
      </c>
      <c r="AX84" s="29">
        <f>IF(A84="","",AW84+AC84)</f>
        <v/>
      </c>
      <c r="AY84" s="29">
        <f>IF(A84="","",AX84+AD84)</f>
        <v/>
      </c>
      <c r="AZ84" s="29">
        <f>IF(A84="","",AY84+AE84)</f>
        <v/>
      </c>
      <c r="BA84" s="29">
        <f>IF(A84="","",AZ84+AF84)</f>
        <v/>
      </c>
      <c r="BB84" s="29">
        <f>IF(A84="","",BA84+AG84)</f>
        <v/>
      </c>
      <c r="BC84" s="29">
        <f>IF(A84="","",BB84+AH84)</f>
        <v/>
      </c>
      <c r="BD84" s="29">
        <f>IF(A84="","",BC84+AI84)</f>
        <v/>
      </c>
      <c r="BE84" s="29">
        <f>IF(A84="","",BD84+AJ84)</f>
        <v/>
      </c>
      <c r="BF84" s="29">
        <f>IF(A84="","",BE84+AK84)</f>
        <v/>
      </c>
      <c r="BG84" s="29">
        <f>IF(A84="","",BF84+AL84)</f>
        <v/>
      </c>
      <c r="BH84" s="29">
        <f>IF(A84="","",BG84+AM84)</f>
        <v/>
      </c>
      <c r="BI84" s="36">
        <f>IF(A84="","",(K84)*(IF((YEAR(D84)+0)&lt;YEAR(E84),0,IF((YEAR(D84)+0)&gt;YEAR(E84),1,(12-MONTH(E84)+1)/12)))*(1/(1+DiscountRate)^0))</f>
        <v/>
      </c>
      <c r="BJ84" s="36">
        <f>IF(A84="","",(K84)*(IF((YEAR(D84)+1)&lt;YEAR(E84),0,IF((YEAR(D84)+1)&gt;YEAR(E84),1,(12-MONTH(E84)+1)/12)))*(1/(1+DiscountRate)^1))</f>
        <v/>
      </c>
      <c r="BK84" s="36">
        <f>IF(A84="","",(K84)*(IF((YEAR(D84)+2)&lt;YEAR(E84),0,IF((YEAR(D84)+2)&gt;YEAR(E84),1,(12-MONTH(E84)+1)/12)))*(1/(1+DiscountRate)^2))</f>
        <v/>
      </c>
      <c r="BL84" s="36">
        <f>IF(A84="","",(K84)*(IF((YEAR(D84)+3)&lt;YEAR(E84),0,IF((YEAR(D84)+3)&gt;YEAR(E84),1,(12-MONTH(E84)+1)/12)))*(1/(1+DiscountRate)^3))</f>
        <v/>
      </c>
      <c r="BM84" s="36">
        <f>IF(A84="","",(K84)*(IF((YEAR(D84)+4)&lt;YEAR(E84),0,IF((YEAR(D84)+4)&gt;YEAR(E84),1,(12-MONTH(E84)+1)/12)))*(1/(1+DiscountRate)^4))</f>
        <v/>
      </c>
      <c r="BN84" s="36">
        <f>IF(A84="","",(K84)*(IF((YEAR(D84)+5)&lt;YEAR(E84),0,IF((YEAR(D84)+5)&gt;YEAR(E84),1,(12-MONTH(E84)+1)/12)))*(1/(1+DiscountRate)^5))</f>
        <v/>
      </c>
      <c r="BO84" s="36">
        <f>IF(A84="","",(K84)*(IF((YEAR(D84)+6)&lt;YEAR(E84),0,IF((YEAR(D84)+6)&gt;YEAR(E84),1,(12-MONTH(E84)+1)/12)))*(1/(1+DiscountRate)^6))</f>
        <v/>
      </c>
      <c r="BP84" s="36">
        <f>IF(A84="","",(K84)*(IF((YEAR(D84)+7)&lt;YEAR(E84),0,IF((YEAR(D84)+7)&gt;YEAR(E84),1,(12-MONTH(E84)+1)/12)))*(1/(1+DiscountRate)^7))</f>
        <v/>
      </c>
      <c r="BQ84" s="36">
        <f>IF(A84="","",(K84)*(IF((YEAR(D84)+8)&lt;YEAR(E84),0,IF((YEAR(D84)+8)&gt;YEAR(E84),1,(12-MONTH(E84)+1)/12)))*(1/(1+DiscountRate)^8))</f>
        <v/>
      </c>
      <c r="BR84" s="36">
        <f>IF(A84="","",(K84)*(IF((YEAR(D84)+9)&lt;YEAR(E84),0,IF((YEAR(D84)+9)&gt;YEAR(E84),1,(12-MONTH(E84)+1)/12)))*(1/(1+DiscountRate)^9))</f>
        <v/>
      </c>
      <c r="BS84" s="36">
        <f>IF(A84="","",(K84)*(IF((YEAR(D84)+10)&lt;YEAR(E84),0,IF((YEAR(D84)+10)&gt;YEAR(E84),1,(12-MONTH(E84)+1)/12)))*(1/(1+DiscountRate)^10))</f>
        <v/>
      </c>
      <c r="BT84" s="36">
        <f>IF(A84="","",(K84)*(IF((YEAR(D84)+11)&lt;YEAR(E84),0,IF((YEAR(D84)+11)&gt;YEAR(E84),1,(12-MONTH(E84)+1)/12)))*(1/(1+DiscountRate)^11))</f>
        <v/>
      </c>
      <c r="BU84" s="36">
        <f>IF(A84="","",(K84)*(IF((YEAR(D84)+12)&lt;YEAR(E84),0,IF((YEAR(D84)+12)&gt;YEAR(E84),1,(12-MONTH(E84)+1)/12)))*(1/(1+DiscountRate)^12))</f>
        <v/>
      </c>
      <c r="BV84" s="36">
        <f>IF(A84="","",(K84)*(IF((YEAR(D84)+13)&lt;YEAR(E84),0,IF((YEAR(D84)+13)&gt;YEAR(E84),1,(12-MONTH(E84)+1)/12)))*(1/(1+DiscountRate)^13))</f>
        <v/>
      </c>
      <c r="BW84" s="36">
        <f>IF(A84="","",(K84)*(IF((YEAR(D84)+14)&lt;YEAR(E84),0,IF((YEAR(D84)+14)&gt;YEAR(E84),1,(12-MONTH(E84)+1)/12)))*(1/(1+DiscountRate)^14))</f>
        <v/>
      </c>
      <c r="BX84" s="36">
        <f>IF(A84="","",(K84)*(IF((YEAR(D84)+15)&lt;YEAR(E84),0,IF((YEAR(D84)+15)&gt;YEAR(E84),1,(12-MONTH(E84)+1)/12)))*(1/(1+DiscountRate)^15))</f>
        <v/>
      </c>
      <c r="BY84" s="36">
        <f>IF(A84="","",(K84)*(IF((YEAR(D84)+16)&lt;YEAR(E84),0,IF((YEAR(D84)+16)&gt;YEAR(E84),1,(12-MONTH(E84)+1)/12)))*(1/(1+DiscountRate)^16))</f>
        <v/>
      </c>
      <c r="BZ84" s="36">
        <f>IF(A84="","",(K84)*(IF((YEAR(D84)+17)&lt;YEAR(E84),0,IF((YEAR(D84)+17)&gt;YEAR(E84),1,(12-MONTH(E84)+1)/12)))*(1/(1+DiscountRate)^17))</f>
        <v/>
      </c>
      <c r="CA84" s="36">
        <f>IF(A84="","",(K84)*(IF((YEAR(D84)+18)&lt;YEAR(E84),0,IF((YEAR(D84)+18)&gt;YEAR(E84),1,(12-MONTH(E84)+1)/12)))*(1/(1+DiscountRate)^18))</f>
        <v/>
      </c>
      <c r="CB84" s="36">
        <f>IF(A84="","",(K84)*(IF((YEAR(D84)+19)&lt;YEAR(E84),0,IF((YEAR(D84)+19)&gt;YEAR(E84),1,(12-MONTH(E84)+1)/12)))*(1/(1+DiscountRate)^19))</f>
        <v/>
      </c>
      <c r="CC84" s="36">
        <f>IF(A84="","",(K84)*(IF((YEAR(D84)+20)&lt;YEAR(E84),0,IF((YEAR(D84)+20)&gt;YEAR(E84),1,(12-MONTH(E84)+1)/12)))*(1/(1+DiscountRate)^20))</f>
        <v/>
      </c>
      <c r="CD84" s="29">
        <f>IF(A84="","",S84/(1+DiscountRate)^0+T84/(1+DiscountRate)^1+U84/(1+DiscountRate)^2+V84/(1+DiscountRate)^3+W84/(1+DiscountRate)^4+X84/(1+DiscountRate)^5+Y84/(1+DiscountRate)^6+Z84/(1+DiscountRate)^7+AA84/(1+DiscountRate)^8+AB84/(1+DiscountRate)^9+AC84/(1+DiscountRate)^10+AD84/(1+DiscountRate)^11+AE84/(1+DiscountRate)^12+AF84/(1+DiscountRate)^13+AG84/(1+DiscountRate)^14+AH84/(1+DiscountRate)^15+AI84/(1+DiscountRate)^16+AJ84/(1+DiscountRate)^17+AK84/(1+DiscountRate)^18+AL84/(1+DiscountRate)^19+AM84/(1+DiscountRate)^20)</f>
        <v/>
      </c>
      <c r="CE84" s="37">
        <f>IF(A84="","",IFERROR(IRR(OFFSET(S84,0,0,1,MIN(HorizonYears,20)+1)),"n/a"))</f>
        <v/>
      </c>
      <c r="CF84" s="28">
        <f>IF(A84="","",IFERROR(MATCH(TRUE,OFFSET(AN84,0,0,1,MIN(HorizonYears,20)+1)&gt;=0,0)-1,"n/a"))</f>
        <v/>
      </c>
      <c r="CG84" s="36">
        <f>IF(A84="","",SUM(OFFSET(BI84,0,0,1,MIN(HorizonYears,20)+1)))</f>
        <v/>
      </c>
      <c r="CH84" s="36">
        <f>IF(A84="","",IFERROR(-CD84/CG84,"n/a"))</f>
        <v/>
      </c>
    </row>
    <row r="85">
      <c r="A85" s="6">
        <f>Actions!A83</f>
        <v/>
      </c>
      <c r="B85" s="6">
        <f>Actions!B83</f>
        <v/>
      </c>
      <c r="C85" s="6">
        <f>Actions!D83</f>
        <v/>
      </c>
      <c r="D85" s="35">
        <f>Actions!E83</f>
        <v/>
      </c>
      <c r="E85" s="35">
        <f>Actions!F83</f>
        <v/>
      </c>
      <c r="F85" s="6">
        <f>Actions!G83</f>
        <v/>
      </c>
      <c r="G85" s="6">
        <f>Actions!H83</f>
        <v/>
      </c>
      <c r="H85" s="29">
        <f>Actions!I83</f>
        <v/>
      </c>
      <c r="I85" s="6">
        <f>Actions!J83</f>
        <v/>
      </c>
      <c r="J85" s="16">
        <f>Actions!K83</f>
        <v/>
      </c>
      <c r="K85" s="16">
        <f>IF(A85="","",IF(I85="%",H85*J85,J85))</f>
        <v/>
      </c>
      <c r="L85" s="16">
        <f>Actions!L83</f>
        <v/>
      </c>
      <c r="M85" s="6">
        <f>Actions!M83</f>
        <v/>
      </c>
      <c r="N85" s="28">
        <f>Actions!N83</f>
        <v/>
      </c>
      <c r="O85" s="29">
        <f>Actions!T83</f>
        <v/>
      </c>
      <c r="P85" s="29">
        <f>Actions!Y83</f>
        <v/>
      </c>
      <c r="Q85" s="29">
        <f>Actions!Z83</f>
        <v/>
      </c>
      <c r="R85" s="29">
        <f>Actions!AA83</f>
        <v/>
      </c>
      <c r="S85" s="29">
        <f>IF(A85="","",((K85)*(IF(M85="",L85,IFERROR(IF(INDEX(Variablen!$I:$AT, MATCH(M85, Variablen!$A:$A, 0), MATCH((YEAR(D85)+0), Variablen!$I$3:$AT$3, 0))="",L85,INDEX(Variablen!$I:$AT, MATCH(M85, Variablen!$A:$A, 0), MATCH((YEAR(D85)+0), Variablen!$I$3:$AT$3, 0))),L85)))*(IF((YEAR(D85)+0)&lt;YEAR(E85),0,IF((YEAR(D85)+0)&gt;YEAR(E85),1,(12-MONTH(E85)+1)/12))) + (Q85)*(IF((YEAR(D85)+0)&lt;YEAR(E85),0,IF((YEAR(D85)+0)&gt;YEAR(E85),1,(12-MONTH(E85)+1)/12))))-((P85)*(IF((YEAR(D85)+0)&lt;YEAR(E85),0,IF((YEAR(D85)+0)&gt;YEAR(E85),1,(12-MONTH(E85)+1)/12))) + (R85)*(IF((YEAR(D85)+0)&lt;YEAR(E85),0,IF((YEAR(D85)+0)&gt;YEAR(E85),1,(12-MONTH(E85)+1)/12))))-(IF((((K85)*(IF(M85="",L85,IFERROR(IF(INDEX(Variablen!$I:$AT, MATCH(M85, Variablen!$A:$A, 0), MATCH((YEAR(D85)+0), Variablen!$I$3:$AT$3, 0))="",L85,INDEX(Variablen!$I:$AT, MATCH(M85, Variablen!$A:$A, 0), MATCH((YEAR(D85)+0), Variablen!$I$3:$AT$3, 0))),L85)))*(IF((YEAR(D85)+0)&lt;YEAR(E85),0,IF((YEAR(D85)+0)&gt;YEAR(E85),1,(12-MONTH(E85)+1)/12))) + (Q85)*(IF((YEAR(D85)+0)&lt;YEAR(E85),0,IF((YEAR(D85)+0)&gt;YEAR(E85),1,(12-MONTH(E85)+1)/12))))-((P85)*(IF((YEAR(D85)+0)&lt;YEAR(E85),0,IF((YEAR(D85)+0)&gt;YEAR(E85),1,(12-MONTH(E85)+1)/12))) + (R85)*(IF((YEAR(D85)+0)&lt;YEAR(E85),0,IF((YEAR(D85)+0)&gt;YEAR(E85),1,(12-MONTH(E85)+1)/12))))-(IF(OR(N85="",N85&lt;=0),0,(O85/N85)*(IF(OR(N85="",N85&lt;=0),0,IF((YEAR(D85)+0)&lt;YEAR(E85),0,IF((YEAR(D85)+0)&gt;=YEAR(E85)+N85,0,IF((YEAR(D85)+0)=YEAR(E85),(12-MONTH(E85)+1)/12,1))))))))&gt;0,(((K85)*(IF(M85="",L85,IFERROR(IF(INDEX(Variablen!$I:$AT, MATCH(M85, Variablen!$A:$A, 0), MATCH((YEAR(D85)+0), Variablen!$I$3:$AT$3, 0))="",L85,INDEX(Variablen!$I:$AT, MATCH(M85, Variablen!$A:$A, 0), MATCH((YEAR(D85)+0), Variablen!$I$3:$AT$3, 0))),L85)))*(IF((YEAR(D85)+0)&lt;YEAR(E85),0,IF((YEAR(D85)+0)&gt;YEAR(E85),1,(12-MONTH(E85)+1)/12))) + (Q85)*(IF((YEAR(D85)+0)&lt;YEAR(E85),0,IF((YEAR(D85)+0)&gt;YEAR(E85),1,(12-MONTH(E85)+1)/12))))-((P85)*(IF((YEAR(D85)+0)&lt;YEAR(E85),0,IF((YEAR(D85)+0)&gt;YEAR(E85),1,(12-MONTH(E85)+1)/12))) + (R85)*(IF((YEAR(D85)+0)&lt;YEAR(E85),0,IF((YEAR(D85)+0)&gt;YEAR(E85),1,(12-MONTH(E85)+1)/12))))-(IF(OR(N85="",N85&lt;=0),0,(O85/N85)*(IF(OR(N85="",N85&lt;=0),0,IF((YEAR(D85)+0)&lt;YEAR(E85),0,IF((YEAR(D85)+0)&gt;=YEAR(E85)+N85,0,IF((YEAR(D85)+0)=YEAR(E85),(12-MONTH(E85)+1)/12,1))))))))*TaxRate,0))-IF(0=0,O85,0))</f>
        <v/>
      </c>
      <c r="T85" s="29">
        <f>IF(A85="","",((K85)*(IF(M85="",L85,IFERROR(IF(INDEX(Variablen!$I:$AT, MATCH(M85, Variablen!$A:$A, 0), MATCH((YEAR(D85)+1), Variablen!$I$3:$AT$3, 0))="",L85,INDEX(Variablen!$I:$AT, MATCH(M85, Variablen!$A:$A, 0), MATCH((YEAR(D85)+1), Variablen!$I$3:$AT$3, 0))),L85)))*(IF((YEAR(D85)+1)&lt;YEAR(E85),0,IF((YEAR(D85)+1)&gt;YEAR(E85),1,(12-MONTH(E85)+1)/12))) + (Q85)*(IF((YEAR(D85)+1)&lt;YEAR(E85),0,IF((YEAR(D85)+1)&gt;YEAR(E85),1,(12-MONTH(E85)+1)/12))))-((P85)*(IF((YEAR(D85)+1)&lt;YEAR(E85),0,IF((YEAR(D85)+1)&gt;YEAR(E85),1,(12-MONTH(E85)+1)/12))) + (R85)*(IF((YEAR(D85)+1)&lt;YEAR(E85),0,IF((YEAR(D85)+1)&gt;YEAR(E85),1,(12-MONTH(E85)+1)/12))))-(IF((((K85)*(IF(M85="",L85,IFERROR(IF(INDEX(Variablen!$I:$AT, MATCH(M85, Variablen!$A:$A, 0), MATCH((YEAR(D85)+1), Variablen!$I$3:$AT$3, 0))="",L85,INDEX(Variablen!$I:$AT, MATCH(M85, Variablen!$A:$A, 0), MATCH((YEAR(D85)+1), Variablen!$I$3:$AT$3, 0))),L85)))*(IF((YEAR(D85)+1)&lt;YEAR(E85),0,IF((YEAR(D85)+1)&gt;YEAR(E85),1,(12-MONTH(E85)+1)/12))) + (Q85)*(IF((YEAR(D85)+1)&lt;YEAR(E85),0,IF((YEAR(D85)+1)&gt;YEAR(E85),1,(12-MONTH(E85)+1)/12))))-((P85)*(IF((YEAR(D85)+1)&lt;YEAR(E85),0,IF((YEAR(D85)+1)&gt;YEAR(E85),1,(12-MONTH(E85)+1)/12))) + (R85)*(IF((YEAR(D85)+1)&lt;YEAR(E85),0,IF((YEAR(D85)+1)&gt;YEAR(E85),1,(12-MONTH(E85)+1)/12))))-(IF(OR(N85="",N85&lt;=0),0,(O85/N85)*(IF(OR(N85="",N85&lt;=0),0,IF((YEAR(D85)+1)&lt;YEAR(E85),0,IF((YEAR(D85)+1)&gt;=YEAR(E85)+N85,0,IF((YEAR(D85)+1)=YEAR(E85),(12-MONTH(E85)+1)/12,1))))))))&gt;0,(((K85)*(IF(M85="",L85,IFERROR(IF(INDEX(Variablen!$I:$AT, MATCH(M85, Variablen!$A:$A, 0), MATCH((YEAR(D85)+1), Variablen!$I$3:$AT$3, 0))="",L85,INDEX(Variablen!$I:$AT, MATCH(M85, Variablen!$A:$A, 0), MATCH((YEAR(D85)+1), Variablen!$I$3:$AT$3, 0))),L85)))*(IF((YEAR(D85)+1)&lt;YEAR(E85),0,IF((YEAR(D85)+1)&gt;YEAR(E85),1,(12-MONTH(E85)+1)/12))) + (Q85)*(IF((YEAR(D85)+1)&lt;YEAR(E85),0,IF((YEAR(D85)+1)&gt;YEAR(E85),1,(12-MONTH(E85)+1)/12))))-((P85)*(IF((YEAR(D85)+1)&lt;YEAR(E85),0,IF((YEAR(D85)+1)&gt;YEAR(E85),1,(12-MONTH(E85)+1)/12))) + (R85)*(IF((YEAR(D85)+1)&lt;YEAR(E85),0,IF((YEAR(D85)+1)&gt;YEAR(E85),1,(12-MONTH(E85)+1)/12))))-(IF(OR(N85="",N85&lt;=0),0,(O85/N85)*(IF(OR(N85="",N85&lt;=0),0,IF((YEAR(D85)+1)&lt;YEAR(E85),0,IF((YEAR(D85)+1)&gt;=YEAR(E85)+N85,0,IF((YEAR(D85)+1)=YEAR(E85),(12-MONTH(E85)+1)/12,1))))))))*TaxRate,0))-IF(1=0,O85,0))</f>
        <v/>
      </c>
      <c r="U85" s="29">
        <f>IF(A85="","",((K85)*(IF(M85="",L85,IFERROR(IF(INDEX(Variablen!$I:$AT, MATCH(M85, Variablen!$A:$A, 0), MATCH((YEAR(D85)+2), Variablen!$I$3:$AT$3, 0))="",L85,INDEX(Variablen!$I:$AT, MATCH(M85, Variablen!$A:$A, 0), MATCH((YEAR(D85)+2), Variablen!$I$3:$AT$3, 0))),L85)))*(IF((YEAR(D85)+2)&lt;YEAR(E85),0,IF((YEAR(D85)+2)&gt;YEAR(E85),1,(12-MONTH(E85)+1)/12))) + (Q85)*(IF((YEAR(D85)+2)&lt;YEAR(E85),0,IF((YEAR(D85)+2)&gt;YEAR(E85),1,(12-MONTH(E85)+1)/12))))-((P85)*(IF((YEAR(D85)+2)&lt;YEAR(E85),0,IF((YEAR(D85)+2)&gt;YEAR(E85),1,(12-MONTH(E85)+1)/12))) + (R85)*(IF((YEAR(D85)+2)&lt;YEAR(E85),0,IF((YEAR(D85)+2)&gt;YEAR(E85),1,(12-MONTH(E85)+1)/12))))-(IF((((K85)*(IF(M85="",L85,IFERROR(IF(INDEX(Variablen!$I:$AT, MATCH(M85, Variablen!$A:$A, 0), MATCH((YEAR(D85)+2), Variablen!$I$3:$AT$3, 0))="",L85,INDEX(Variablen!$I:$AT, MATCH(M85, Variablen!$A:$A, 0), MATCH((YEAR(D85)+2), Variablen!$I$3:$AT$3, 0))),L85)))*(IF((YEAR(D85)+2)&lt;YEAR(E85),0,IF((YEAR(D85)+2)&gt;YEAR(E85),1,(12-MONTH(E85)+1)/12))) + (Q85)*(IF((YEAR(D85)+2)&lt;YEAR(E85),0,IF((YEAR(D85)+2)&gt;YEAR(E85),1,(12-MONTH(E85)+1)/12))))-((P85)*(IF((YEAR(D85)+2)&lt;YEAR(E85),0,IF((YEAR(D85)+2)&gt;YEAR(E85),1,(12-MONTH(E85)+1)/12))) + (R85)*(IF((YEAR(D85)+2)&lt;YEAR(E85),0,IF((YEAR(D85)+2)&gt;YEAR(E85),1,(12-MONTH(E85)+1)/12))))-(IF(OR(N85="",N85&lt;=0),0,(O85/N85)*(IF(OR(N85="",N85&lt;=0),0,IF((YEAR(D85)+2)&lt;YEAR(E85),0,IF((YEAR(D85)+2)&gt;=YEAR(E85)+N85,0,IF((YEAR(D85)+2)=YEAR(E85),(12-MONTH(E85)+1)/12,1))))))))&gt;0,(((K85)*(IF(M85="",L85,IFERROR(IF(INDEX(Variablen!$I:$AT, MATCH(M85, Variablen!$A:$A, 0), MATCH((YEAR(D85)+2), Variablen!$I$3:$AT$3, 0))="",L85,INDEX(Variablen!$I:$AT, MATCH(M85, Variablen!$A:$A, 0), MATCH((YEAR(D85)+2), Variablen!$I$3:$AT$3, 0))),L85)))*(IF((YEAR(D85)+2)&lt;YEAR(E85),0,IF((YEAR(D85)+2)&gt;YEAR(E85),1,(12-MONTH(E85)+1)/12))) + (Q85)*(IF((YEAR(D85)+2)&lt;YEAR(E85),0,IF((YEAR(D85)+2)&gt;YEAR(E85),1,(12-MONTH(E85)+1)/12))))-((P85)*(IF((YEAR(D85)+2)&lt;YEAR(E85),0,IF((YEAR(D85)+2)&gt;YEAR(E85),1,(12-MONTH(E85)+1)/12))) + (R85)*(IF((YEAR(D85)+2)&lt;YEAR(E85),0,IF((YEAR(D85)+2)&gt;YEAR(E85),1,(12-MONTH(E85)+1)/12))))-(IF(OR(N85="",N85&lt;=0),0,(O85/N85)*(IF(OR(N85="",N85&lt;=0),0,IF((YEAR(D85)+2)&lt;YEAR(E85),0,IF((YEAR(D85)+2)&gt;=YEAR(E85)+N85,0,IF((YEAR(D85)+2)=YEAR(E85),(12-MONTH(E85)+1)/12,1))))))))*TaxRate,0))-IF(2=0,O85,0))</f>
        <v/>
      </c>
      <c r="V85" s="29">
        <f>IF(A85="","",((K85)*(IF(M85="",L85,IFERROR(IF(INDEX(Variablen!$I:$AT, MATCH(M85, Variablen!$A:$A, 0), MATCH((YEAR(D85)+3), Variablen!$I$3:$AT$3, 0))="",L85,INDEX(Variablen!$I:$AT, MATCH(M85, Variablen!$A:$A, 0), MATCH((YEAR(D85)+3), Variablen!$I$3:$AT$3, 0))),L85)))*(IF((YEAR(D85)+3)&lt;YEAR(E85),0,IF((YEAR(D85)+3)&gt;YEAR(E85),1,(12-MONTH(E85)+1)/12))) + (Q85)*(IF((YEAR(D85)+3)&lt;YEAR(E85),0,IF((YEAR(D85)+3)&gt;YEAR(E85),1,(12-MONTH(E85)+1)/12))))-((P85)*(IF((YEAR(D85)+3)&lt;YEAR(E85),0,IF((YEAR(D85)+3)&gt;YEAR(E85),1,(12-MONTH(E85)+1)/12))) + (R85)*(IF((YEAR(D85)+3)&lt;YEAR(E85),0,IF((YEAR(D85)+3)&gt;YEAR(E85),1,(12-MONTH(E85)+1)/12))))-(IF((((K85)*(IF(M85="",L85,IFERROR(IF(INDEX(Variablen!$I:$AT, MATCH(M85, Variablen!$A:$A, 0), MATCH((YEAR(D85)+3), Variablen!$I$3:$AT$3, 0))="",L85,INDEX(Variablen!$I:$AT, MATCH(M85, Variablen!$A:$A, 0), MATCH((YEAR(D85)+3), Variablen!$I$3:$AT$3, 0))),L85)))*(IF((YEAR(D85)+3)&lt;YEAR(E85),0,IF((YEAR(D85)+3)&gt;YEAR(E85),1,(12-MONTH(E85)+1)/12))) + (Q85)*(IF((YEAR(D85)+3)&lt;YEAR(E85),0,IF((YEAR(D85)+3)&gt;YEAR(E85),1,(12-MONTH(E85)+1)/12))))-((P85)*(IF((YEAR(D85)+3)&lt;YEAR(E85),0,IF((YEAR(D85)+3)&gt;YEAR(E85),1,(12-MONTH(E85)+1)/12))) + (R85)*(IF((YEAR(D85)+3)&lt;YEAR(E85),0,IF((YEAR(D85)+3)&gt;YEAR(E85),1,(12-MONTH(E85)+1)/12))))-(IF(OR(N85="",N85&lt;=0),0,(O85/N85)*(IF(OR(N85="",N85&lt;=0),0,IF((YEAR(D85)+3)&lt;YEAR(E85),0,IF((YEAR(D85)+3)&gt;=YEAR(E85)+N85,0,IF((YEAR(D85)+3)=YEAR(E85),(12-MONTH(E85)+1)/12,1))))))))&gt;0,(((K85)*(IF(M85="",L85,IFERROR(IF(INDEX(Variablen!$I:$AT, MATCH(M85, Variablen!$A:$A, 0), MATCH((YEAR(D85)+3), Variablen!$I$3:$AT$3, 0))="",L85,INDEX(Variablen!$I:$AT, MATCH(M85, Variablen!$A:$A, 0), MATCH((YEAR(D85)+3), Variablen!$I$3:$AT$3, 0))),L85)))*(IF((YEAR(D85)+3)&lt;YEAR(E85),0,IF((YEAR(D85)+3)&gt;YEAR(E85),1,(12-MONTH(E85)+1)/12))) + (Q85)*(IF((YEAR(D85)+3)&lt;YEAR(E85),0,IF((YEAR(D85)+3)&gt;YEAR(E85),1,(12-MONTH(E85)+1)/12))))-((P85)*(IF((YEAR(D85)+3)&lt;YEAR(E85),0,IF((YEAR(D85)+3)&gt;YEAR(E85),1,(12-MONTH(E85)+1)/12))) + (R85)*(IF((YEAR(D85)+3)&lt;YEAR(E85),0,IF((YEAR(D85)+3)&gt;YEAR(E85),1,(12-MONTH(E85)+1)/12))))-(IF(OR(N85="",N85&lt;=0),0,(O85/N85)*(IF(OR(N85="",N85&lt;=0),0,IF((YEAR(D85)+3)&lt;YEAR(E85),0,IF((YEAR(D85)+3)&gt;=YEAR(E85)+N85,0,IF((YEAR(D85)+3)=YEAR(E85),(12-MONTH(E85)+1)/12,1))))))))*TaxRate,0))-IF(3=0,O85,0))</f>
        <v/>
      </c>
      <c r="W85" s="29">
        <f>IF(A85="","",((K85)*(IF(M85="",L85,IFERROR(IF(INDEX(Variablen!$I:$AT, MATCH(M85, Variablen!$A:$A, 0), MATCH((YEAR(D85)+4), Variablen!$I$3:$AT$3, 0))="",L85,INDEX(Variablen!$I:$AT, MATCH(M85, Variablen!$A:$A, 0), MATCH((YEAR(D85)+4), Variablen!$I$3:$AT$3, 0))),L85)))*(IF((YEAR(D85)+4)&lt;YEAR(E85),0,IF((YEAR(D85)+4)&gt;YEAR(E85),1,(12-MONTH(E85)+1)/12))) + (Q85)*(IF((YEAR(D85)+4)&lt;YEAR(E85),0,IF((YEAR(D85)+4)&gt;YEAR(E85),1,(12-MONTH(E85)+1)/12))))-((P85)*(IF((YEAR(D85)+4)&lt;YEAR(E85),0,IF((YEAR(D85)+4)&gt;YEAR(E85),1,(12-MONTH(E85)+1)/12))) + (R85)*(IF((YEAR(D85)+4)&lt;YEAR(E85),0,IF((YEAR(D85)+4)&gt;YEAR(E85),1,(12-MONTH(E85)+1)/12))))-(IF((((K85)*(IF(M85="",L85,IFERROR(IF(INDEX(Variablen!$I:$AT, MATCH(M85, Variablen!$A:$A, 0), MATCH((YEAR(D85)+4), Variablen!$I$3:$AT$3, 0))="",L85,INDEX(Variablen!$I:$AT, MATCH(M85, Variablen!$A:$A, 0), MATCH((YEAR(D85)+4), Variablen!$I$3:$AT$3, 0))),L85)))*(IF((YEAR(D85)+4)&lt;YEAR(E85),0,IF((YEAR(D85)+4)&gt;YEAR(E85),1,(12-MONTH(E85)+1)/12))) + (Q85)*(IF((YEAR(D85)+4)&lt;YEAR(E85),0,IF((YEAR(D85)+4)&gt;YEAR(E85),1,(12-MONTH(E85)+1)/12))))-((P85)*(IF((YEAR(D85)+4)&lt;YEAR(E85),0,IF((YEAR(D85)+4)&gt;YEAR(E85),1,(12-MONTH(E85)+1)/12))) + (R85)*(IF((YEAR(D85)+4)&lt;YEAR(E85),0,IF((YEAR(D85)+4)&gt;YEAR(E85),1,(12-MONTH(E85)+1)/12))))-(IF(OR(N85="",N85&lt;=0),0,(O85/N85)*(IF(OR(N85="",N85&lt;=0),0,IF((YEAR(D85)+4)&lt;YEAR(E85),0,IF((YEAR(D85)+4)&gt;=YEAR(E85)+N85,0,IF((YEAR(D85)+4)=YEAR(E85),(12-MONTH(E85)+1)/12,1))))))))&gt;0,(((K85)*(IF(M85="",L85,IFERROR(IF(INDEX(Variablen!$I:$AT, MATCH(M85, Variablen!$A:$A, 0), MATCH((YEAR(D85)+4), Variablen!$I$3:$AT$3, 0))="",L85,INDEX(Variablen!$I:$AT, MATCH(M85, Variablen!$A:$A, 0), MATCH((YEAR(D85)+4), Variablen!$I$3:$AT$3, 0))),L85)))*(IF((YEAR(D85)+4)&lt;YEAR(E85),0,IF((YEAR(D85)+4)&gt;YEAR(E85),1,(12-MONTH(E85)+1)/12))) + (Q85)*(IF((YEAR(D85)+4)&lt;YEAR(E85),0,IF((YEAR(D85)+4)&gt;YEAR(E85),1,(12-MONTH(E85)+1)/12))))-((P85)*(IF((YEAR(D85)+4)&lt;YEAR(E85),0,IF((YEAR(D85)+4)&gt;YEAR(E85),1,(12-MONTH(E85)+1)/12))) + (R85)*(IF((YEAR(D85)+4)&lt;YEAR(E85),0,IF((YEAR(D85)+4)&gt;YEAR(E85),1,(12-MONTH(E85)+1)/12))))-(IF(OR(N85="",N85&lt;=0),0,(O85/N85)*(IF(OR(N85="",N85&lt;=0),0,IF((YEAR(D85)+4)&lt;YEAR(E85),0,IF((YEAR(D85)+4)&gt;=YEAR(E85)+N85,0,IF((YEAR(D85)+4)=YEAR(E85),(12-MONTH(E85)+1)/12,1))))))))*TaxRate,0))-IF(4=0,O85,0))</f>
        <v/>
      </c>
      <c r="X85" s="29">
        <f>IF(A85="","",((K85)*(IF(M85="",L85,IFERROR(IF(INDEX(Variablen!$I:$AT, MATCH(M85, Variablen!$A:$A, 0), MATCH((YEAR(D85)+5), Variablen!$I$3:$AT$3, 0))="",L85,INDEX(Variablen!$I:$AT, MATCH(M85, Variablen!$A:$A, 0), MATCH((YEAR(D85)+5), Variablen!$I$3:$AT$3, 0))),L85)))*(IF((YEAR(D85)+5)&lt;YEAR(E85),0,IF((YEAR(D85)+5)&gt;YEAR(E85),1,(12-MONTH(E85)+1)/12))) + (Q85)*(IF((YEAR(D85)+5)&lt;YEAR(E85),0,IF((YEAR(D85)+5)&gt;YEAR(E85),1,(12-MONTH(E85)+1)/12))))-((P85)*(IF((YEAR(D85)+5)&lt;YEAR(E85),0,IF((YEAR(D85)+5)&gt;YEAR(E85),1,(12-MONTH(E85)+1)/12))) + (R85)*(IF((YEAR(D85)+5)&lt;YEAR(E85),0,IF((YEAR(D85)+5)&gt;YEAR(E85),1,(12-MONTH(E85)+1)/12))))-(IF((((K85)*(IF(M85="",L85,IFERROR(IF(INDEX(Variablen!$I:$AT, MATCH(M85, Variablen!$A:$A, 0), MATCH((YEAR(D85)+5), Variablen!$I$3:$AT$3, 0))="",L85,INDEX(Variablen!$I:$AT, MATCH(M85, Variablen!$A:$A, 0), MATCH((YEAR(D85)+5), Variablen!$I$3:$AT$3, 0))),L85)))*(IF((YEAR(D85)+5)&lt;YEAR(E85),0,IF((YEAR(D85)+5)&gt;YEAR(E85),1,(12-MONTH(E85)+1)/12))) + (Q85)*(IF((YEAR(D85)+5)&lt;YEAR(E85),0,IF((YEAR(D85)+5)&gt;YEAR(E85),1,(12-MONTH(E85)+1)/12))))-((P85)*(IF((YEAR(D85)+5)&lt;YEAR(E85),0,IF((YEAR(D85)+5)&gt;YEAR(E85),1,(12-MONTH(E85)+1)/12))) + (R85)*(IF((YEAR(D85)+5)&lt;YEAR(E85),0,IF((YEAR(D85)+5)&gt;YEAR(E85),1,(12-MONTH(E85)+1)/12))))-(IF(OR(N85="",N85&lt;=0),0,(O85/N85)*(IF(OR(N85="",N85&lt;=0),0,IF((YEAR(D85)+5)&lt;YEAR(E85),0,IF((YEAR(D85)+5)&gt;=YEAR(E85)+N85,0,IF((YEAR(D85)+5)=YEAR(E85),(12-MONTH(E85)+1)/12,1))))))))&gt;0,(((K85)*(IF(M85="",L85,IFERROR(IF(INDEX(Variablen!$I:$AT, MATCH(M85, Variablen!$A:$A, 0), MATCH((YEAR(D85)+5), Variablen!$I$3:$AT$3, 0))="",L85,INDEX(Variablen!$I:$AT, MATCH(M85, Variablen!$A:$A, 0), MATCH((YEAR(D85)+5), Variablen!$I$3:$AT$3, 0))),L85)))*(IF((YEAR(D85)+5)&lt;YEAR(E85),0,IF((YEAR(D85)+5)&gt;YEAR(E85),1,(12-MONTH(E85)+1)/12))) + (Q85)*(IF((YEAR(D85)+5)&lt;YEAR(E85),0,IF((YEAR(D85)+5)&gt;YEAR(E85),1,(12-MONTH(E85)+1)/12))))-((P85)*(IF((YEAR(D85)+5)&lt;YEAR(E85),0,IF((YEAR(D85)+5)&gt;YEAR(E85),1,(12-MONTH(E85)+1)/12))) + (R85)*(IF((YEAR(D85)+5)&lt;YEAR(E85),0,IF((YEAR(D85)+5)&gt;YEAR(E85),1,(12-MONTH(E85)+1)/12))))-(IF(OR(N85="",N85&lt;=0),0,(O85/N85)*(IF(OR(N85="",N85&lt;=0),0,IF((YEAR(D85)+5)&lt;YEAR(E85),0,IF((YEAR(D85)+5)&gt;=YEAR(E85)+N85,0,IF((YEAR(D85)+5)=YEAR(E85),(12-MONTH(E85)+1)/12,1))))))))*TaxRate,0))-IF(5=0,O85,0))</f>
        <v/>
      </c>
      <c r="Y85" s="29">
        <f>IF(A85="","",((K85)*(IF(M85="",L85,IFERROR(IF(INDEX(Variablen!$I:$AT, MATCH(M85, Variablen!$A:$A, 0), MATCH((YEAR(D85)+6), Variablen!$I$3:$AT$3, 0))="",L85,INDEX(Variablen!$I:$AT, MATCH(M85, Variablen!$A:$A, 0), MATCH((YEAR(D85)+6), Variablen!$I$3:$AT$3, 0))),L85)))*(IF((YEAR(D85)+6)&lt;YEAR(E85),0,IF((YEAR(D85)+6)&gt;YEAR(E85),1,(12-MONTH(E85)+1)/12))) + (Q85)*(IF((YEAR(D85)+6)&lt;YEAR(E85),0,IF((YEAR(D85)+6)&gt;YEAR(E85),1,(12-MONTH(E85)+1)/12))))-((P85)*(IF((YEAR(D85)+6)&lt;YEAR(E85),0,IF((YEAR(D85)+6)&gt;YEAR(E85),1,(12-MONTH(E85)+1)/12))) + (R85)*(IF((YEAR(D85)+6)&lt;YEAR(E85),0,IF((YEAR(D85)+6)&gt;YEAR(E85),1,(12-MONTH(E85)+1)/12))))-(IF((((K85)*(IF(M85="",L85,IFERROR(IF(INDEX(Variablen!$I:$AT, MATCH(M85, Variablen!$A:$A, 0), MATCH((YEAR(D85)+6), Variablen!$I$3:$AT$3, 0))="",L85,INDEX(Variablen!$I:$AT, MATCH(M85, Variablen!$A:$A, 0), MATCH((YEAR(D85)+6), Variablen!$I$3:$AT$3, 0))),L85)))*(IF((YEAR(D85)+6)&lt;YEAR(E85),0,IF((YEAR(D85)+6)&gt;YEAR(E85),1,(12-MONTH(E85)+1)/12))) + (Q85)*(IF((YEAR(D85)+6)&lt;YEAR(E85),0,IF((YEAR(D85)+6)&gt;YEAR(E85),1,(12-MONTH(E85)+1)/12))))-((P85)*(IF((YEAR(D85)+6)&lt;YEAR(E85),0,IF((YEAR(D85)+6)&gt;YEAR(E85),1,(12-MONTH(E85)+1)/12))) + (R85)*(IF((YEAR(D85)+6)&lt;YEAR(E85),0,IF((YEAR(D85)+6)&gt;YEAR(E85),1,(12-MONTH(E85)+1)/12))))-(IF(OR(N85="",N85&lt;=0),0,(O85/N85)*(IF(OR(N85="",N85&lt;=0),0,IF((YEAR(D85)+6)&lt;YEAR(E85),0,IF((YEAR(D85)+6)&gt;=YEAR(E85)+N85,0,IF((YEAR(D85)+6)=YEAR(E85),(12-MONTH(E85)+1)/12,1))))))))&gt;0,(((K85)*(IF(M85="",L85,IFERROR(IF(INDEX(Variablen!$I:$AT, MATCH(M85, Variablen!$A:$A, 0), MATCH((YEAR(D85)+6), Variablen!$I$3:$AT$3, 0))="",L85,INDEX(Variablen!$I:$AT, MATCH(M85, Variablen!$A:$A, 0), MATCH((YEAR(D85)+6), Variablen!$I$3:$AT$3, 0))),L85)))*(IF((YEAR(D85)+6)&lt;YEAR(E85),0,IF((YEAR(D85)+6)&gt;YEAR(E85),1,(12-MONTH(E85)+1)/12))) + (Q85)*(IF((YEAR(D85)+6)&lt;YEAR(E85),0,IF((YEAR(D85)+6)&gt;YEAR(E85),1,(12-MONTH(E85)+1)/12))))-((P85)*(IF((YEAR(D85)+6)&lt;YEAR(E85),0,IF((YEAR(D85)+6)&gt;YEAR(E85),1,(12-MONTH(E85)+1)/12))) + (R85)*(IF((YEAR(D85)+6)&lt;YEAR(E85),0,IF((YEAR(D85)+6)&gt;YEAR(E85),1,(12-MONTH(E85)+1)/12))))-(IF(OR(N85="",N85&lt;=0),0,(O85/N85)*(IF(OR(N85="",N85&lt;=0),0,IF((YEAR(D85)+6)&lt;YEAR(E85),0,IF((YEAR(D85)+6)&gt;=YEAR(E85)+N85,0,IF((YEAR(D85)+6)=YEAR(E85),(12-MONTH(E85)+1)/12,1))))))))*TaxRate,0))-IF(6=0,O85,0))</f>
        <v/>
      </c>
      <c r="Z85" s="29">
        <f>IF(A85="","",((K85)*(IF(M85="",L85,IFERROR(IF(INDEX(Variablen!$I:$AT, MATCH(M85, Variablen!$A:$A, 0), MATCH((YEAR(D85)+7), Variablen!$I$3:$AT$3, 0))="",L85,INDEX(Variablen!$I:$AT, MATCH(M85, Variablen!$A:$A, 0), MATCH((YEAR(D85)+7), Variablen!$I$3:$AT$3, 0))),L85)))*(IF((YEAR(D85)+7)&lt;YEAR(E85),0,IF((YEAR(D85)+7)&gt;YEAR(E85),1,(12-MONTH(E85)+1)/12))) + (Q85)*(IF((YEAR(D85)+7)&lt;YEAR(E85),0,IF((YEAR(D85)+7)&gt;YEAR(E85),1,(12-MONTH(E85)+1)/12))))-((P85)*(IF((YEAR(D85)+7)&lt;YEAR(E85),0,IF((YEAR(D85)+7)&gt;YEAR(E85),1,(12-MONTH(E85)+1)/12))) + (R85)*(IF((YEAR(D85)+7)&lt;YEAR(E85),0,IF((YEAR(D85)+7)&gt;YEAR(E85),1,(12-MONTH(E85)+1)/12))))-(IF((((K85)*(IF(M85="",L85,IFERROR(IF(INDEX(Variablen!$I:$AT, MATCH(M85, Variablen!$A:$A, 0), MATCH((YEAR(D85)+7), Variablen!$I$3:$AT$3, 0))="",L85,INDEX(Variablen!$I:$AT, MATCH(M85, Variablen!$A:$A, 0), MATCH((YEAR(D85)+7), Variablen!$I$3:$AT$3, 0))),L85)))*(IF((YEAR(D85)+7)&lt;YEAR(E85),0,IF((YEAR(D85)+7)&gt;YEAR(E85),1,(12-MONTH(E85)+1)/12))) + (Q85)*(IF((YEAR(D85)+7)&lt;YEAR(E85),0,IF((YEAR(D85)+7)&gt;YEAR(E85),1,(12-MONTH(E85)+1)/12))))-((P85)*(IF((YEAR(D85)+7)&lt;YEAR(E85),0,IF((YEAR(D85)+7)&gt;YEAR(E85),1,(12-MONTH(E85)+1)/12))) + (R85)*(IF((YEAR(D85)+7)&lt;YEAR(E85),0,IF((YEAR(D85)+7)&gt;YEAR(E85),1,(12-MONTH(E85)+1)/12))))-(IF(OR(N85="",N85&lt;=0),0,(O85/N85)*(IF(OR(N85="",N85&lt;=0),0,IF((YEAR(D85)+7)&lt;YEAR(E85),0,IF((YEAR(D85)+7)&gt;=YEAR(E85)+N85,0,IF((YEAR(D85)+7)=YEAR(E85),(12-MONTH(E85)+1)/12,1))))))))&gt;0,(((K85)*(IF(M85="",L85,IFERROR(IF(INDEX(Variablen!$I:$AT, MATCH(M85, Variablen!$A:$A, 0), MATCH((YEAR(D85)+7), Variablen!$I$3:$AT$3, 0))="",L85,INDEX(Variablen!$I:$AT, MATCH(M85, Variablen!$A:$A, 0), MATCH((YEAR(D85)+7), Variablen!$I$3:$AT$3, 0))),L85)))*(IF((YEAR(D85)+7)&lt;YEAR(E85),0,IF((YEAR(D85)+7)&gt;YEAR(E85),1,(12-MONTH(E85)+1)/12))) + (Q85)*(IF((YEAR(D85)+7)&lt;YEAR(E85),0,IF((YEAR(D85)+7)&gt;YEAR(E85),1,(12-MONTH(E85)+1)/12))))-((P85)*(IF((YEAR(D85)+7)&lt;YEAR(E85),0,IF((YEAR(D85)+7)&gt;YEAR(E85),1,(12-MONTH(E85)+1)/12))) + (R85)*(IF((YEAR(D85)+7)&lt;YEAR(E85),0,IF((YEAR(D85)+7)&gt;YEAR(E85),1,(12-MONTH(E85)+1)/12))))-(IF(OR(N85="",N85&lt;=0),0,(O85/N85)*(IF(OR(N85="",N85&lt;=0),0,IF((YEAR(D85)+7)&lt;YEAR(E85),0,IF((YEAR(D85)+7)&gt;=YEAR(E85)+N85,0,IF((YEAR(D85)+7)=YEAR(E85),(12-MONTH(E85)+1)/12,1))))))))*TaxRate,0))-IF(7=0,O85,0))</f>
        <v/>
      </c>
      <c r="AA85" s="29">
        <f>IF(A85="","",((K85)*(IF(M85="",L85,IFERROR(IF(INDEX(Variablen!$I:$AT, MATCH(M85, Variablen!$A:$A, 0), MATCH((YEAR(D85)+8), Variablen!$I$3:$AT$3, 0))="",L85,INDEX(Variablen!$I:$AT, MATCH(M85, Variablen!$A:$A, 0), MATCH((YEAR(D85)+8), Variablen!$I$3:$AT$3, 0))),L85)))*(IF((YEAR(D85)+8)&lt;YEAR(E85),0,IF((YEAR(D85)+8)&gt;YEAR(E85),1,(12-MONTH(E85)+1)/12))) + (Q85)*(IF((YEAR(D85)+8)&lt;YEAR(E85),0,IF((YEAR(D85)+8)&gt;YEAR(E85),1,(12-MONTH(E85)+1)/12))))-((P85)*(IF((YEAR(D85)+8)&lt;YEAR(E85),0,IF((YEAR(D85)+8)&gt;YEAR(E85),1,(12-MONTH(E85)+1)/12))) + (R85)*(IF((YEAR(D85)+8)&lt;YEAR(E85),0,IF((YEAR(D85)+8)&gt;YEAR(E85),1,(12-MONTH(E85)+1)/12))))-(IF((((K85)*(IF(M85="",L85,IFERROR(IF(INDEX(Variablen!$I:$AT, MATCH(M85, Variablen!$A:$A, 0), MATCH((YEAR(D85)+8), Variablen!$I$3:$AT$3, 0))="",L85,INDEX(Variablen!$I:$AT, MATCH(M85, Variablen!$A:$A, 0), MATCH((YEAR(D85)+8), Variablen!$I$3:$AT$3, 0))),L85)))*(IF((YEAR(D85)+8)&lt;YEAR(E85),0,IF((YEAR(D85)+8)&gt;YEAR(E85),1,(12-MONTH(E85)+1)/12))) + (Q85)*(IF((YEAR(D85)+8)&lt;YEAR(E85),0,IF((YEAR(D85)+8)&gt;YEAR(E85),1,(12-MONTH(E85)+1)/12))))-((P85)*(IF((YEAR(D85)+8)&lt;YEAR(E85),0,IF((YEAR(D85)+8)&gt;YEAR(E85),1,(12-MONTH(E85)+1)/12))) + (R85)*(IF((YEAR(D85)+8)&lt;YEAR(E85),0,IF((YEAR(D85)+8)&gt;YEAR(E85),1,(12-MONTH(E85)+1)/12))))-(IF(OR(N85="",N85&lt;=0),0,(O85/N85)*(IF(OR(N85="",N85&lt;=0),0,IF((YEAR(D85)+8)&lt;YEAR(E85),0,IF((YEAR(D85)+8)&gt;=YEAR(E85)+N85,0,IF((YEAR(D85)+8)=YEAR(E85),(12-MONTH(E85)+1)/12,1))))))))&gt;0,(((K85)*(IF(M85="",L85,IFERROR(IF(INDEX(Variablen!$I:$AT, MATCH(M85, Variablen!$A:$A, 0), MATCH((YEAR(D85)+8), Variablen!$I$3:$AT$3, 0))="",L85,INDEX(Variablen!$I:$AT, MATCH(M85, Variablen!$A:$A, 0), MATCH((YEAR(D85)+8), Variablen!$I$3:$AT$3, 0))),L85)))*(IF((YEAR(D85)+8)&lt;YEAR(E85),0,IF((YEAR(D85)+8)&gt;YEAR(E85),1,(12-MONTH(E85)+1)/12))) + (Q85)*(IF((YEAR(D85)+8)&lt;YEAR(E85),0,IF((YEAR(D85)+8)&gt;YEAR(E85),1,(12-MONTH(E85)+1)/12))))-((P85)*(IF((YEAR(D85)+8)&lt;YEAR(E85),0,IF((YEAR(D85)+8)&gt;YEAR(E85),1,(12-MONTH(E85)+1)/12))) + (R85)*(IF((YEAR(D85)+8)&lt;YEAR(E85),0,IF((YEAR(D85)+8)&gt;YEAR(E85),1,(12-MONTH(E85)+1)/12))))-(IF(OR(N85="",N85&lt;=0),0,(O85/N85)*(IF(OR(N85="",N85&lt;=0),0,IF((YEAR(D85)+8)&lt;YEAR(E85),0,IF((YEAR(D85)+8)&gt;=YEAR(E85)+N85,0,IF((YEAR(D85)+8)=YEAR(E85),(12-MONTH(E85)+1)/12,1))))))))*TaxRate,0))-IF(8=0,O85,0))</f>
        <v/>
      </c>
      <c r="AB85" s="29">
        <f>IF(A85="","",((K85)*(IF(M85="",L85,IFERROR(IF(INDEX(Variablen!$I:$AT, MATCH(M85, Variablen!$A:$A, 0), MATCH((YEAR(D85)+9), Variablen!$I$3:$AT$3, 0))="",L85,INDEX(Variablen!$I:$AT, MATCH(M85, Variablen!$A:$A, 0), MATCH((YEAR(D85)+9), Variablen!$I$3:$AT$3, 0))),L85)))*(IF((YEAR(D85)+9)&lt;YEAR(E85),0,IF((YEAR(D85)+9)&gt;YEAR(E85),1,(12-MONTH(E85)+1)/12))) + (Q85)*(IF((YEAR(D85)+9)&lt;YEAR(E85),0,IF((YEAR(D85)+9)&gt;YEAR(E85),1,(12-MONTH(E85)+1)/12))))-((P85)*(IF((YEAR(D85)+9)&lt;YEAR(E85),0,IF((YEAR(D85)+9)&gt;YEAR(E85),1,(12-MONTH(E85)+1)/12))) + (R85)*(IF((YEAR(D85)+9)&lt;YEAR(E85),0,IF((YEAR(D85)+9)&gt;YEAR(E85),1,(12-MONTH(E85)+1)/12))))-(IF((((K85)*(IF(M85="",L85,IFERROR(IF(INDEX(Variablen!$I:$AT, MATCH(M85, Variablen!$A:$A, 0), MATCH((YEAR(D85)+9), Variablen!$I$3:$AT$3, 0))="",L85,INDEX(Variablen!$I:$AT, MATCH(M85, Variablen!$A:$A, 0), MATCH((YEAR(D85)+9), Variablen!$I$3:$AT$3, 0))),L85)))*(IF((YEAR(D85)+9)&lt;YEAR(E85),0,IF((YEAR(D85)+9)&gt;YEAR(E85),1,(12-MONTH(E85)+1)/12))) + (Q85)*(IF((YEAR(D85)+9)&lt;YEAR(E85),0,IF((YEAR(D85)+9)&gt;YEAR(E85),1,(12-MONTH(E85)+1)/12))))-((P85)*(IF((YEAR(D85)+9)&lt;YEAR(E85),0,IF((YEAR(D85)+9)&gt;YEAR(E85),1,(12-MONTH(E85)+1)/12))) + (R85)*(IF((YEAR(D85)+9)&lt;YEAR(E85),0,IF((YEAR(D85)+9)&gt;YEAR(E85),1,(12-MONTH(E85)+1)/12))))-(IF(OR(N85="",N85&lt;=0),0,(O85/N85)*(IF(OR(N85="",N85&lt;=0),0,IF((YEAR(D85)+9)&lt;YEAR(E85),0,IF((YEAR(D85)+9)&gt;=YEAR(E85)+N85,0,IF((YEAR(D85)+9)=YEAR(E85),(12-MONTH(E85)+1)/12,1))))))))&gt;0,(((K85)*(IF(M85="",L85,IFERROR(IF(INDEX(Variablen!$I:$AT, MATCH(M85, Variablen!$A:$A, 0), MATCH((YEAR(D85)+9), Variablen!$I$3:$AT$3, 0))="",L85,INDEX(Variablen!$I:$AT, MATCH(M85, Variablen!$A:$A, 0), MATCH((YEAR(D85)+9), Variablen!$I$3:$AT$3, 0))),L85)))*(IF((YEAR(D85)+9)&lt;YEAR(E85),0,IF((YEAR(D85)+9)&gt;YEAR(E85),1,(12-MONTH(E85)+1)/12))) + (Q85)*(IF((YEAR(D85)+9)&lt;YEAR(E85),0,IF((YEAR(D85)+9)&gt;YEAR(E85),1,(12-MONTH(E85)+1)/12))))-((P85)*(IF((YEAR(D85)+9)&lt;YEAR(E85),0,IF((YEAR(D85)+9)&gt;YEAR(E85),1,(12-MONTH(E85)+1)/12))) + (R85)*(IF((YEAR(D85)+9)&lt;YEAR(E85),0,IF((YEAR(D85)+9)&gt;YEAR(E85),1,(12-MONTH(E85)+1)/12))))-(IF(OR(N85="",N85&lt;=0),0,(O85/N85)*(IF(OR(N85="",N85&lt;=0),0,IF((YEAR(D85)+9)&lt;YEAR(E85),0,IF((YEAR(D85)+9)&gt;=YEAR(E85)+N85,0,IF((YEAR(D85)+9)=YEAR(E85),(12-MONTH(E85)+1)/12,1))))))))*TaxRate,0))-IF(9=0,O85,0))</f>
        <v/>
      </c>
      <c r="AC85" s="29">
        <f>IF(A85="","",((K85)*(IF(M85="",L85,IFERROR(IF(INDEX(Variablen!$I:$AT, MATCH(M85, Variablen!$A:$A, 0), MATCH((YEAR(D85)+10), Variablen!$I$3:$AT$3, 0))="",L85,INDEX(Variablen!$I:$AT, MATCH(M85, Variablen!$A:$A, 0), MATCH((YEAR(D85)+10), Variablen!$I$3:$AT$3, 0))),L85)))*(IF((YEAR(D85)+10)&lt;YEAR(E85),0,IF((YEAR(D85)+10)&gt;YEAR(E85),1,(12-MONTH(E85)+1)/12))) + (Q85)*(IF((YEAR(D85)+10)&lt;YEAR(E85),0,IF((YEAR(D85)+10)&gt;YEAR(E85),1,(12-MONTH(E85)+1)/12))))-((P85)*(IF((YEAR(D85)+10)&lt;YEAR(E85),0,IF((YEAR(D85)+10)&gt;YEAR(E85),1,(12-MONTH(E85)+1)/12))) + (R85)*(IF((YEAR(D85)+10)&lt;YEAR(E85),0,IF((YEAR(D85)+10)&gt;YEAR(E85),1,(12-MONTH(E85)+1)/12))))-(IF((((K85)*(IF(M85="",L85,IFERROR(IF(INDEX(Variablen!$I:$AT, MATCH(M85, Variablen!$A:$A, 0), MATCH((YEAR(D85)+10), Variablen!$I$3:$AT$3, 0))="",L85,INDEX(Variablen!$I:$AT, MATCH(M85, Variablen!$A:$A, 0), MATCH((YEAR(D85)+10), Variablen!$I$3:$AT$3, 0))),L85)))*(IF((YEAR(D85)+10)&lt;YEAR(E85),0,IF((YEAR(D85)+10)&gt;YEAR(E85),1,(12-MONTH(E85)+1)/12))) + (Q85)*(IF((YEAR(D85)+10)&lt;YEAR(E85),0,IF((YEAR(D85)+10)&gt;YEAR(E85),1,(12-MONTH(E85)+1)/12))))-((P85)*(IF((YEAR(D85)+10)&lt;YEAR(E85),0,IF((YEAR(D85)+10)&gt;YEAR(E85),1,(12-MONTH(E85)+1)/12))) + (R85)*(IF((YEAR(D85)+10)&lt;YEAR(E85),0,IF((YEAR(D85)+10)&gt;YEAR(E85),1,(12-MONTH(E85)+1)/12))))-(IF(OR(N85="",N85&lt;=0),0,(O85/N85)*(IF(OR(N85="",N85&lt;=0),0,IF((YEAR(D85)+10)&lt;YEAR(E85),0,IF((YEAR(D85)+10)&gt;=YEAR(E85)+N85,0,IF((YEAR(D85)+10)=YEAR(E85),(12-MONTH(E85)+1)/12,1))))))))&gt;0,(((K85)*(IF(M85="",L85,IFERROR(IF(INDEX(Variablen!$I:$AT, MATCH(M85, Variablen!$A:$A, 0), MATCH((YEAR(D85)+10), Variablen!$I$3:$AT$3, 0))="",L85,INDEX(Variablen!$I:$AT, MATCH(M85, Variablen!$A:$A, 0), MATCH((YEAR(D85)+10), Variablen!$I$3:$AT$3, 0))),L85)))*(IF((YEAR(D85)+10)&lt;YEAR(E85),0,IF((YEAR(D85)+10)&gt;YEAR(E85),1,(12-MONTH(E85)+1)/12))) + (Q85)*(IF((YEAR(D85)+10)&lt;YEAR(E85),0,IF((YEAR(D85)+10)&gt;YEAR(E85),1,(12-MONTH(E85)+1)/12))))-((P85)*(IF((YEAR(D85)+10)&lt;YEAR(E85),0,IF((YEAR(D85)+10)&gt;YEAR(E85),1,(12-MONTH(E85)+1)/12))) + (R85)*(IF((YEAR(D85)+10)&lt;YEAR(E85),0,IF((YEAR(D85)+10)&gt;YEAR(E85),1,(12-MONTH(E85)+1)/12))))-(IF(OR(N85="",N85&lt;=0),0,(O85/N85)*(IF(OR(N85="",N85&lt;=0),0,IF((YEAR(D85)+10)&lt;YEAR(E85),0,IF((YEAR(D85)+10)&gt;=YEAR(E85)+N85,0,IF((YEAR(D85)+10)=YEAR(E85),(12-MONTH(E85)+1)/12,1))))))))*TaxRate,0))-IF(10=0,O85,0))</f>
        <v/>
      </c>
      <c r="AD85" s="29">
        <f>IF(A85="","",((K85)*(IF(M85="",L85,IFERROR(IF(INDEX(Variablen!$I:$AT, MATCH(M85, Variablen!$A:$A, 0), MATCH((YEAR(D85)+11), Variablen!$I$3:$AT$3, 0))="",L85,INDEX(Variablen!$I:$AT, MATCH(M85, Variablen!$A:$A, 0), MATCH((YEAR(D85)+11), Variablen!$I$3:$AT$3, 0))),L85)))*(IF((YEAR(D85)+11)&lt;YEAR(E85),0,IF((YEAR(D85)+11)&gt;YEAR(E85),1,(12-MONTH(E85)+1)/12))) + (Q85)*(IF((YEAR(D85)+11)&lt;YEAR(E85),0,IF((YEAR(D85)+11)&gt;YEAR(E85),1,(12-MONTH(E85)+1)/12))))-((P85)*(IF((YEAR(D85)+11)&lt;YEAR(E85),0,IF((YEAR(D85)+11)&gt;YEAR(E85),1,(12-MONTH(E85)+1)/12))) + (R85)*(IF((YEAR(D85)+11)&lt;YEAR(E85),0,IF((YEAR(D85)+11)&gt;YEAR(E85),1,(12-MONTH(E85)+1)/12))))-(IF((((K85)*(IF(M85="",L85,IFERROR(IF(INDEX(Variablen!$I:$AT, MATCH(M85, Variablen!$A:$A, 0), MATCH((YEAR(D85)+11), Variablen!$I$3:$AT$3, 0))="",L85,INDEX(Variablen!$I:$AT, MATCH(M85, Variablen!$A:$A, 0), MATCH((YEAR(D85)+11), Variablen!$I$3:$AT$3, 0))),L85)))*(IF((YEAR(D85)+11)&lt;YEAR(E85),0,IF((YEAR(D85)+11)&gt;YEAR(E85),1,(12-MONTH(E85)+1)/12))) + (Q85)*(IF((YEAR(D85)+11)&lt;YEAR(E85),0,IF((YEAR(D85)+11)&gt;YEAR(E85),1,(12-MONTH(E85)+1)/12))))-((P85)*(IF((YEAR(D85)+11)&lt;YEAR(E85),0,IF((YEAR(D85)+11)&gt;YEAR(E85),1,(12-MONTH(E85)+1)/12))) + (R85)*(IF((YEAR(D85)+11)&lt;YEAR(E85),0,IF((YEAR(D85)+11)&gt;YEAR(E85),1,(12-MONTH(E85)+1)/12))))-(IF(OR(N85="",N85&lt;=0),0,(O85/N85)*(IF(OR(N85="",N85&lt;=0),0,IF((YEAR(D85)+11)&lt;YEAR(E85),0,IF((YEAR(D85)+11)&gt;=YEAR(E85)+N85,0,IF((YEAR(D85)+11)=YEAR(E85),(12-MONTH(E85)+1)/12,1))))))))&gt;0,(((K85)*(IF(M85="",L85,IFERROR(IF(INDEX(Variablen!$I:$AT, MATCH(M85, Variablen!$A:$A, 0), MATCH((YEAR(D85)+11), Variablen!$I$3:$AT$3, 0))="",L85,INDEX(Variablen!$I:$AT, MATCH(M85, Variablen!$A:$A, 0), MATCH((YEAR(D85)+11), Variablen!$I$3:$AT$3, 0))),L85)))*(IF((YEAR(D85)+11)&lt;YEAR(E85),0,IF((YEAR(D85)+11)&gt;YEAR(E85),1,(12-MONTH(E85)+1)/12))) + (Q85)*(IF((YEAR(D85)+11)&lt;YEAR(E85),0,IF((YEAR(D85)+11)&gt;YEAR(E85),1,(12-MONTH(E85)+1)/12))))-((P85)*(IF((YEAR(D85)+11)&lt;YEAR(E85),0,IF((YEAR(D85)+11)&gt;YEAR(E85),1,(12-MONTH(E85)+1)/12))) + (R85)*(IF((YEAR(D85)+11)&lt;YEAR(E85),0,IF((YEAR(D85)+11)&gt;YEAR(E85),1,(12-MONTH(E85)+1)/12))))-(IF(OR(N85="",N85&lt;=0),0,(O85/N85)*(IF(OR(N85="",N85&lt;=0),0,IF((YEAR(D85)+11)&lt;YEAR(E85),0,IF((YEAR(D85)+11)&gt;=YEAR(E85)+N85,0,IF((YEAR(D85)+11)=YEAR(E85),(12-MONTH(E85)+1)/12,1))))))))*TaxRate,0))-IF(11=0,O85,0))</f>
        <v/>
      </c>
      <c r="AE85" s="29">
        <f>IF(A85="","",((K85)*(IF(M85="",L85,IFERROR(IF(INDEX(Variablen!$I:$AT, MATCH(M85, Variablen!$A:$A, 0), MATCH((YEAR(D85)+12), Variablen!$I$3:$AT$3, 0))="",L85,INDEX(Variablen!$I:$AT, MATCH(M85, Variablen!$A:$A, 0), MATCH((YEAR(D85)+12), Variablen!$I$3:$AT$3, 0))),L85)))*(IF((YEAR(D85)+12)&lt;YEAR(E85),0,IF((YEAR(D85)+12)&gt;YEAR(E85),1,(12-MONTH(E85)+1)/12))) + (Q85)*(IF((YEAR(D85)+12)&lt;YEAR(E85),0,IF((YEAR(D85)+12)&gt;YEAR(E85),1,(12-MONTH(E85)+1)/12))))-((P85)*(IF((YEAR(D85)+12)&lt;YEAR(E85),0,IF((YEAR(D85)+12)&gt;YEAR(E85),1,(12-MONTH(E85)+1)/12))) + (R85)*(IF((YEAR(D85)+12)&lt;YEAR(E85),0,IF((YEAR(D85)+12)&gt;YEAR(E85),1,(12-MONTH(E85)+1)/12))))-(IF((((K85)*(IF(M85="",L85,IFERROR(IF(INDEX(Variablen!$I:$AT, MATCH(M85, Variablen!$A:$A, 0), MATCH((YEAR(D85)+12), Variablen!$I$3:$AT$3, 0))="",L85,INDEX(Variablen!$I:$AT, MATCH(M85, Variablen!$A:$A, 0), MATCH((YEAR(D85)+12), Variablen!$I$3:$AT$3, 0))),L85)))*(IF((YEAR(D85)+12)&lt;YEAR(E85),0,IF((YEAR(D85)+12)&gt;YEAR(E85),1,(12-MONTH(E85)+1)/12))) + (Q85)*(IF((YEAR(D85)+12)&lt;YEAR(E85),0,IF((YEAR(D85)+12)&gt;YEAR(E85),1,(12-MONTH(E85)+1)/12))))-((P85)*(IF((YEAR(D85)+12)&lt;YEAR(E85),0,IF((YEAR(D85)+12)&gt;YEAR(E85),1,(12-MONTH(E85)+1)/12))) + (R85)*(IF((YEAR(D85)+12)&lt;YEAR(E85),0,IF((YEAR(D85)+12)&gt;YEAR(E85),1,(12-MONTH(E85)+1)/12))))-(IF(OR(N85="",N85&lt;=0),0,(O85/N85)*(IF(OR(N85="",N85&lt;=0),0,IF((YEAR(D85)+12)&lt;YEAR(E85),0,IF((YEAR(D85)+12)&gt;=YEAR(E85)+N85,0,IF((YEAR(D85)+12)=YEAR(E85),(12-MONTH(E85)+1)/12,1))))))))&gt;0,(((K85)*(IF(M85="",L85,IFERROR(IF(INDEX(Variablen!$I:$AT, MATCH(M85, Variablen!$A:$A, 0), MATCH((YEAR(D85)+12), Variablen!$I$3:$AT$3, 0))="",L85,INDEX(Variablen!$I:$AT, MATCH(M85, Variablen!$A:$A, 0), MATCH((YEAR(D85)+12), Variablen!$I$3:$AT$3, 0))),L85)))*(IF((YEAR(D85)+12)&lt;YEAR(E85),0,IF((YEAR(D85)+12)&gt;YEAR(E85),1,(12-MONTH(E85)+1)/12))) + (Q85)*(IF((YEAR(D85)+12)&lt;YEAR(E85),0,IF((YEAR(D85)+12)&gt;YEAR(E85),1,(12-MONTH(E85)+1)/12))))-((P85)*(IF((YEAR(D85)+12)&lt;YEAR(E85),0,IF((YEAR(D85)+12)&gt;YEAR(E85),1,(12-MONTH(E85)+1)/12))) + (R85)*(IF((YEAR(D85)+12)&lt;YEAR(E85),0,IF((YEAR(D85)+12)&gt;YEAR(E85),1,(12-MONTH(E85)+1)/12))))-(IF(OR(N85="",N85&lt;=0),0,(O85/N85)*(IF(OR(N85="",N85&lt;=0),0,IF((YEAR(D85)+12)&lt;YEAR(E85),0,IF((YEAR(D85)+12)&gt;=YEAR(E85)+N85,0,IF((YEAR(D85)+12)=YEAR(E85),(12-MONTH(E85)+1)/12,1))))))))*TaxRate,0))-IF(12=0,O85,0))</f>
        <v/>
      </c>
      <c r="AF85" s="29">
        <f>IF(A85="","",((K85)*(IF(M85="",L85,IFERROR(IF(INDEX(Variablen!$I:$AT, MATCH(M85, Variablen!$A:$A, 0), MATCH((YEAR(D85)+13), Variablen!$I$3:$AT$3, 0))="",L85,INDEX(Variablen!$I:$AT, MATCH(M85, Variablen!$A:$A, 0), MATCH((YEAR(D85)+13), Variablen!$I$3:$AT$3, 0))),L85)))*(IF((YEAR(D85)+13)&lt;YEAR(E85),0,IF((YEAR(D85)+13)&gt;YEAR(E85),1,(12-MONTH(E85)+1)/12))) + (Q85)*(IF((YEAR(D85)+13)&lt;YEAR(E85),0,IF((YEAR(D85)+13)&gt;YEAR(E85),1,(12-MONTH(E85)+1)/12))))-((P85)*(IF((YEAR(D85)+13)&lt;YEAR(E85),0,IF((YEAR(D85)+13)&gt;YEAR(E85),1,(12-MONTH(E85)+1)/12))) + (R85)*(IF((YEAR(D85)+13)&lt;YEAR(E85),0,IF((YEAR(D85)+13)&gt;YEAR(E85),1,(12-MONTH(E85)+1)/12))))-(IF((((K85)*(IF(M85="",L85,IFERROR(IF(INDEX(Variablen!$I:$AT, MATCH(M85, Variablen!$A:$A, 0), MATCH((YEAR(D85)+13), Variablen!$I$3:$AT$3, 0))="",L85,INDEX(Variablen!$I:$AT, MATCH(M85, Variablen!$A:$A, 0), MATCH((YEAR(D85)+13), Variablen!$I$3:$AT$3, 0))),L85)))*(IF((YEAR(D85)+13)&lt;YEAR(E85),0,IF((YEAR(D85)+13)&gt;YEAR(E85),1,(12-MONTH(E85)+1)/12))) + (Q85)*(IF((YEAR(D85)+13)&lt;YEAR(E85),0,IF((YEAR(D85)+13)&gt;YEAR(E85),1,(12-MONTH(E85)+1)/12))))-((P85)*(IF((YEAR(D85)+13)&lt;YEAR(E85),0,IF((YEAR(D85)+13)&gt;YEAR(E85),1,(12-MONTH(E85)+1)/12))) + (R85)*(IF((YEAR(D85)+13)&lt;YEAR(E85),0,IF((YEAR(D85)+13)&gt;YEAR(E85),1,(12-MONTH(E85)+1)/12))))-(IF(OR(N85="",N85&lt;=0),0,(O85/N85)*(IF(OR(N85="",N85&lt;=0),0,IF((YEAR(D85)+13)&lt;YEAR(E85),0,IF((YEAR(D85)+13)&gt;=YEAR(E85)+N85,0,IF((YEAR(D85)+13)=YEAR(E85),(12-MONTH(E85)+1)/12,1))))))))&gt;0,(((K85)*(IF(M85="",L85,IFERROR(IF(INDEX(Variablen!$I:$AT, MATCH(M85, Variablen!$A:$A, 0), MATCH((YEAR(D85)+13), Variablen!$I$3:$AT$3, 0))="",L85,INDEX(Variablen!$I:$AT, MATCH(M85, Variablen!$A:$A, 0), MATCH((YEAR(D85)+13), Variablen!$I$3:$AT$3, 0))),L85)))*(IF((YEAR(D85)+13)&lt;YEAR(E85),0,IF((YEAR(D85)+13)&gt;YEAR(E85),1,(12-MONTH(E85)+1)/12))) + (Q85)*(IF((YEAR(D85)+13)&lt;YEAR(E85),0,IF((YEAR(D85)+13)&gt;YEAR(E85),1,(12-MONTH(E85)+1)/12))))-((P85)*(IF((YEAR(D85)+13)&lt;YEAR(E85),0,IF((YEAR(D85)+13)&gt;YEAR(E85),1,(12-MONTH(E85)+1)/12))) + (R85)*(IF((YEAR(D85)+13)&lt;YEAR(E85),0,IF((YEAR(D85)+13)&gt;YEAR(E85),1,(12-MONTH(E85)+1)/12))))-(IF(OR(N85="",N85&lt;=0),0,(O85/N85)*(IF(OR(N85="",N85&lt;=0),0,IF((YEAR(D85)+13)&lt;YEAR(E85),0,IF((YEAR(D85)+13)&gt;=YEAR(E85)+N85,0,IF((YEAR(D85)+13)=YEAR(E85),(12-MONTH(E85)+1)/12,1))))))))*TaxRate,0))-IF(13=0,O85,0))</f>
        <v/>
      </c>
      <c r="AG85" s="29">
        <f>IF(A85="","",((K85)*(IF(M85="",L85,IFERROR(IF(INDEX(Variablen!$I:$AT, MATCH(M85, Variablen!$A:$A, 0), MATCH((YEAR(D85)+14), Variablen!$I$3:$AT$3, 0))="",L85,INDEX(Variablen!$I:$AT, MATCH(M85, Variablen!$A:$A, 0), MATCH((YEAR(D85)+14), Variablen!$I$3:$AT$3, 0))),L85)))*(IF((YEAR(D85)+14)&lt;YEAR(E85),0,IF((YEAR(D85)+14)&gt;YEAR(E85),1,(12-MONTH(E85)+1)/12))) + (Q85)*(IF((YEAR(D85)+14)&lt;YEAR(E85),0,IF((YEAR(D85)+14)&gt;YEAR(E85),1,(12-MONTH(E85)+1)/12))))-((P85)*(IF((YEAR(D85)+14)&lt;YEAR(E85),0,IF((YEAR(D85)+14)&gt;YEAR(E85),1,(12-MONTH(E85)+1)/12))) + (R85)*(IF((YEAR(D85)+14)&lt;YEAR(E85),0,IF((YEAR(D85)+14)&gt;YEAR(E85),1,(12-MONTH(E85)+1)/12))))-(IF((((K85)*(IF(M85="",L85,IFERROR(IF(INDEX(Variablen!$I:$AT, MATCH(M85, Variablen!$A:$A, 0), MATCH((YEAR(D85)+14), Variablen!$I$3:$AT$3, 0))="",L85,INDEX(Variablen!$I:$AT, MATCH(M85, Variablen!$A:$A, 0), MATCH((YEAR(D85)+14), Variablen!$I$3:$AT$3, 0))),L85)))*(IF((YEAR(D85)+14)&lt;YEAR(E85),0,IF((YEAR(D85)+14)&gt;YEAR(E85),1,(12-MONTH(E85)+1)/12))) + (Q85)*(IF((YEAR(D85)+14)&lt;YEAR(E85),0,IF((YEAR(D85)+14)&gt;YEAR(E85),1,(12-MONTH(E85)+1)/12))))-((P85)*(IF((YEAR(D85)+14)&lt;YEAR(E85),0,IF((YEAR(D85)+14)&gt;YEAR(E85),1,(12-MONTH(E85)+1)/12))) + (R85)*(IF((YEAR(D85)+14)&lt;YEAR(E85),0,IF((YEAR(D85)+14)&gt;YEAR(E85),1,(12-MONTH(E85)+1)/12))))-(IF(OR(N85="",N85&lt;=0),0,(O85/N85)*(IF(OR(N85="",N85&lt;=0),0,IF((YEAR(D85)+14)&lt;YEAR(E85),0,IF((YEAR(D85)+14)&gt;=YEAR(E85)+N85,0,IF((YEAR(D85)+14)=YEAR(E85),(12-MONTH(E85)+1)/12,1))))))))&gt;0,(((K85)*(IF(M85="",L85,IFERROR(IF(INDEX(Variablen!$I:$AT, MATCH(M85, Variablen!$A:$A, 0), MATCH((YEAR(D85)+14), Variablen!$I$3:$AT$3, 0))="",L85,INDEX(Variablen!$I:$AT, MATCH(M85, Variablen!$A:$A, 0), MATCH((YEAR(D85)+14), Variablen!$I$3:$AT$3, 0))),L85)))*(IF((YEAR(D85)+14)&lt;YEAR(E85),0,IF((YEAR(D85)+14)&gt;YEAR(E85),1,(12-MONTH(E85)+1)/12))) + (Q85)*(IF((YEAR(D85)+14)&lt;YEAR(E85),0,IF((YEAR(D85)+14)&gt;YEAR(E85),1,(12-MONTH(E85)+1)/12))))-((P85)*(IF((YEAR(D85)+14)&lt;YEAR(E85),0,IF((YEAR(D85)+14)&gt;YEAR(E85),1,(12-MONTH(E85)+1)/12))) + (R85)*(IF((YEAR(D85)+14)&lt;YEAR(E85),0,IF((YEAR(D85)+14)&gt;YEAR(E85),1,(12-MONTH(E85)+1)/12))))-(IF(OR(N85="",N85&lt;=0),0,(O85/N85)*(IF(OR(N85="",N85&lt;=0),0,IF((YEAR(D85)+14)&lt;YEAR(E85),0,IF((YEAR(D85)+14)&gt;=YEAR(E85)+N85,0,IF((YEAR(D85)+14)=YEAR(E85),(12-MONTH(E85)+1)/12,1))))))))*TaxRate,0))-IF(14=0,O85,0))</f>
        <v/>
      </c>
      <c r="AH85" s="29">
        <f>IF(A85="","",((K85)*(IF(M85="",L85,IFERROR(IF(INDEX(Variablen!$I:$AT, MATCH(M85, Variablen!$A:$A, 0), MATCH((YEAR(D85)+15), Variablen!$I$3:$AT$3, 0))="",L85,INDEX(Variablen!$I:$AT, MATCH(M85, Variablen!$A:$A, 0), MATCH((YEAR(D85)+15), Variablen!$I$3:$AT$3, 0))),L85)))*(IF((YEAR(D85)+15)&lt;YEAR(E85),0,IF((YEAR(D85)+15)&gt;YEAR(E85),1,(12-MONTH(E85)+1)/12))) + (Q85)*(IF((YEAR(D85)+15)&lt;YEAR(E85),0,IF((YEAR(D85)+15)&gt;YEAR(E85),1,(12-MONTH(E85)+1)/12))))-((P85)*(IF((YEAR(D85)+15)&lt;YEAR(E85),0,IF((YEAR(D85)+15)&gt;YEAR(E85),1,(12-MONTH(E85)+1)/12))) + (R85)*(IF((YEAR(D85)+15)&lt;YEAR(E85),0,IF((YEAR(D85)+15)&gt;YEAR(E85),1,(12-MONTH(E85)+1)/12))))-(IF((((K85)*(IF(M85="",L85,IFERROR(IF(INDEX(Variablen!$I:$AT, MATCH(M85, Variablen!$A:$A, 0), MATCH((YEAR(D85)+15), Variablen!$I$3:$AT$3, 0))="",L85,INDEX(Variablen!$I:$AT, MATCH(M85, Variablen!$A:$A, 0), MATCH((YEAR(D85)+15), Variablen!$I$3:$AT$3, 0))),L85)))*(IF((YEAR(D85)+15)&lt;YEAR(E85),0,IF((YEAR(D85)+15)&gt;YEAR(E85),1,(12-MONTH(E85)+1)/12))) + (Q85)*(IF((YEAR(D85)+15)&lt;YEAR(E85),0,IF((YEAR(D85)+15)&gt;YEAR(E85),1,(12-MONTH(E85)+1)/12))))-((P85)*(IF((YEAR(D85)+15)&lt;YEAR(E85),0,IF((YEAR(D85)+15)&gt;YEAR(E85),1,(12-MONTH(E85)+1)/12))) + (R85)*(IF((YEAR(D85)+15)&lt;YEAR(E85),0,IF((YEAR(D85)+15)&gt;YEAR(E85),1,(12-MONTH(E85)+1)/12))))-(IF(OR(N85="",N85&lt;=0),0,(O85/N85)*(IF(OR(N85="",N85&lt;=0),0,IF((YEAR(D85)+15)&lt;YEAR(E85),0,IF((YEAR(D85)+15)&gt;=YEAR(E85)+N85,0,IF((YEAR(D85)+15)=YEAR(E85),(12-MONTH(E85)+1)/12,1))))))))&gt;0,(((K85)*(IF(M85="",L85,IFERROR(IF(INDEX(Variablen!$I:$AT, MATCH(M85, Variablen!$A:$A, 0), MATCH((YEAR(D85)+15), Variablen!$I$3:$AT$3, 0))="",L85,INDEX(Variablen!$I:$AT, MATCH(M85, Variablen!$A:$A, 0), MATCH((YEAR(D85)+15), Variablen!$I$3:$AT$3, 0))),L85)))*(IF((YEAR(D85)+15)&lt;YEAR(E85),0,IF((YEAR(D85)+15)&gt;YEAR(E85),1,(12-MONTH(E85)+1)/12))) + (Q85)*(IF((YEAR(D85)+15)&lt;YEAR(E85),0,IF((YEAR(D85)+15)&gt;YEAR(E85),1,(12-MONTH(E85)+1)/12))))-((P85)*(IF((YEAR(D85)+15)&lt;YEAR(E85),0,IF((YEAR(D85)+15)&gt;YEAR(E85),1,(12-MONTH(E85)+1)/12))) + (R85)*(IF((YEAR(D85)+15)&lt;YEAR(E85),0,IF((YEAR(D85)+15)&gt;YEAR(E85),1,(12-MONTH(E85)+1)/12))))-(IF(OR(N85="",N85&lt;=0),0,(O85/N85)*(IF(OR(N85="",N85&lt;=0),0,IF((YEAR(D85)+15)&lt;YEAR(E85),0,IF((YEAR(D85)+15)&gt;=YEAR(E85)+N85,0,IF((YEAR(D85)+15)=YEAR(E85),(12-MONTH(E85)+1)/12,1))))))))*TaxRate,0))-IF(15=0,O85,0))</f>
        <v/>
      </c>
      <c r="AI85" s="29">
        <f>IF(A85="","",((K85)*(IF(M85="",L85,IFERROR(IF(INDEX(Variablen!$I:$AT, MATCH(M85, Variablen!$A:$A, 0), MATCH((YEAR(D85)+16), Variablen!$I$3:$AT$3, 0))="",L85,INDEX(Variablen!$I:$AT, MATCH(M85, Variablen!$A:$A, 0), MATCH((YEAR(D85)+16), Variablen!$I$3:$AT$3, 0))),L85)))*(IF((YEAR(D85)+16)&lt;YEAR(E85),0,IF((YEAR(D85)+16)&gt;YEAR(E85),1,(12-MONTH(E85)+1)/12))) + (Q85)*(IF((YEAR(D85)+16)&lt;YEAR(E85),0,IF((YEAR(D85)+16)&gt;YEAR(E85),1,(12-MONTH(E85)+1)/12))))-((P85)*(IF((YEAR(D85)+16)&lt;YEAR(E85),0,IF((YEAR(D85)+16)&gt;YEAR(E85),1,(12-MONTH(E85)+1)/12))) + (R85)*(IF((YEAR(D85)+16)&lt;YEAR(E85),0,IF((YEAR(D85)+16)&gt;YEAR(E85),1,(12-MONTH(E85)+1)/12))))-(IF((((K85)*(IF(M85="",L85,IFERROR(IF(INDEX(Variablen!$I:$AT, MATCH(M85, Variablen!$A:$A, 0), MATCH((YEAR(D85)+16), Variablen!$I$3:$AT$3, 0))="",L85,INDEX(Variablen!$I:$AT, MATCH(M85, Variablen!$A:$A, 0), MATCH((YEAR(D85)+16), Variablen!$I$3:$AT$3, 0))),L85)))*(IF((YEAR(D85)+16)&lt;YEAR(E85),0,IF((YEAR(D85)+16)&gt;YEAR(E85),1,(12-MONTH(E85)+1)/12))) + (Q85)*(IF((YEAR(D85)+16)&lt;YEAR(E85),0,IF((YEAR(D85)+16)&gt;YEAR(E85),1,(12-MONTH(E85)+1)/12))))-((P85)*(IF((YEAR(D85)+16)&lt;YEAR(E85),0,IF((YEAR(D85)+16)&gt;YEAR(E85),1,(12-MONTH(E85)+1)/12))) + (R85)*(IF((YEAR(D85)+16)&lt;YEAR(E85),0,IF((YEAR(D85)+16)&gt;YEAR(E85),1,(12-MONTH(E85)+1)/12))))-(IF(OR(N85="",N85&lt;=0),0,(O85/N85)*(IF(OR(N85="",N85&lt;=0),0,IF((YEAR(D85)+16)&lt;YEAR(E85),0,IF((YEAR(D85)+16)&gt;=YEAR(E85)+N85,0,IF((YEAR(D85)+16)=YEAR(E85),(12-MONTH(E85)+1)/12,1))))))))&gt;0,(((K85)*(IF(M85="",L85,IFERROR(IF(INDEX(Variablen!$I:$AT, MATCH(M85, Variablen!$A:$A, 0), MATCH((YEAR(D85)+16), Variablen!$I$3:$AT$3, 0))="",L85,INDEX(Variablen!$I:$AT, MATCH(M85, Variablen!$A:$A, 0), MATCH((YEAR(D85)+16), Variablen!$I$3:$AT$3, 0))),L85)))*(IF((YEAR(D85)+16)&lt;YEAR(E85),0,IF((YEAR(D85)+16)&gt;YEAR(E85),1,(12-MONTH(E85)+1)/12))) + (Q85)*(IF((YEAR(D85)+16)&lt;YEAR(E85),0,IF((YEAR(D85)+16)&gt;YEAR(E85),1,(12-MONTH(E85)+1)/12))))-((P85)*(IF((YEAR(D85)+16)&lt;YEAR(E85),0,IF((YEAR(D85)+16)&gt;YEAR(E85),1,(12-MONTH(E85)+1)/12))) + (R85)*(IF((YEAR(D85)+16)&lt;YEAR(E85),0,IF((YEAR(D85)+16)&gt;YEAR(E85),1,(12-MONTH(E85)+1)/12))))-(IF(OR(N85="",N85&lt;=0),0,(O85/N85)*(IF(OR(N85="",N85&lt;=0),0,IF((YEAR(D85)+16)&lt;YEAR(E85),0,IF((YEAR(D85)+16)&gt;=YEAR(E85)+N85,0,IF((YEAR(D85)+16)=YEAR(E85),(12-MONTH(E85)+1)/12,1))))))))*TaxRate,0))-IF(16=0,O85,0))</f>
        <v/>
      </c>
      <c r="AJ85" s="29">
        <f>IF(A85="","",((K85)*(IF(M85="",L85,IFERROR(IF(INDEX(Variablen!$I:$AT, MATCH(M85, Variablen!$A:$A, 0), MATCH((YEAR(D85)+17), Variablen!$I$3:$AT$3, 0))="",L85,INDEX(Variablen!$I:$AT, MATCH(M85, Variablen!$A:$A, 0), MATCH((YEAR(D85)+17), Variablen!$I$3:$AT$3, 0))),L85)))*(IF((YEAR(D85)+17)&lt;YEAR(E85),0,IF((YEAR(D85)+17)&gt;YEAR(E85),1,(12-MONTH(E85)+1)/12))) + (Q85)*(IF((YEAR(D85)+17)&lt;YEAR(E85),0,IF((YEAR(D85)+17)&gt;YEAR(E85),1,(12-MONTH(E85)+1)/12))))-((P85)*(IF((YEAR(D85)+17)&lt;YEAR(E85),0,IF((YEAR(D85)+17)&gt;YEAR(E85),1,(12-MONTH(E85)+1)/12))) + (R85)*(IF((YEAR(D85)+17)&lt;YEAR(E85),0,IF((YEAR(D85)+17)&gt;YEAR(E85),1,(12-MONTH(E85)+1)/12))))-(IF((((K85)*(IF(M85="",L85,IFERROR(IF(INDEX(Variablen!$I:$AT, MATCH(M85, Variablen!$A:$A, 0), MATCH((YEAR(D85)+17), Variablen!$I$3:$AT$3, 0))="",L85,INDEX(Variablen!$I:$AT, MATCH(M85, Variablen!$A:$A, 0), MATCH((YEAR(D85)+17), Variablen!$I$3:$AT$3, 0))),L85)))*(IF((YEAR(D85)+17)&lt;YEAR(E85),0,IF((YEAR(D85)+17)&gt;YEAR(E85),1,(12-MONTH(E85)+1)/12))) + (Q85)*(IF((YEAR(D85)+17)&lt;YEAR(E85),0,IF((YEAR(D85)+17)&gt;YEAR(E85),1,(12-MONTH(E85)+1)/12))))-((P85)*(IF((YEAR(D85)+17)&lt;YEAR(E85),0,IF((YEAR(D85)+17)&gt;YEAR(E85),1,(12-MONTH(E85)+1)/12))) + (R85)*(IF((YEAR(D85)+17)&lt;YEAR(E85),0,IF((YEAR(D85)+17)&gt;YEAR(E85),1,(12-MONTH(E85)+1)/12))))-(IF(OR(N85="",N85&lt;=0),0,(O85/N85)*(IF(OR(N85="",N85&lt;=0),0,IF((YEAR(D85)+17)&lt;YEAR(E85),0,IF((YEAR(D85)+17)&gt;=YEAR(E85)+N85,0,IF((YEAR(D85)+17)=YEAR(E85),(12-MONTH(E85)+1)/12,1))))))))&gt;0,(((K85)*(IF(M85="",L85,IFERROR(IF(INDEX(Variablen!$I:$AT, MATCH(M85, Variablen!$A:$A, 0), MATCH((YEAR(D85)+17), Variablen!$I$3:$AT$3, 0))="",L85,INDEX(Variablen!$I:$AT, MATCH(M85, Variablen!$A:$A, 0), MATCH((YEAR(D85)+17), Variablen!$I$3:$AT$3, 0))),L85)))*(IF((YEAR(D85)+17)&lt;YEAR(E85),0,IF((YEAR(D85)+17)&gt;YEAR(E85),1,(12-MONTH(E85)+1)/12))) + (Q85)*(IF((YEAR(D85)+17)&lt;YEAR(E85),0,IF((YEAR(D85)+17)&gt;YEAR(E85),1,(12-MONTH(E85)+1)/12))))-((P85)*(IF((YEAR(D85)+17)&lt;YEAR(E85),0,IF((YEAR(D85)+17)&gt;YEAR(E85),1,(12-MONTH(E85)+1)/12))) + (R85)*(IF((YEAR(D85)+17)&lt;YEAR(E85),0,IF((YEAR(D85)+17)&gt;YEAR(E85),1,(12-MONTH(E85)+1)/12))))-(IF(OR(N85="",N85&lt;=0),0,(O85/N85)*(IF(OR(N85="",N85&lt;=0),0,IF((YEAR(D85)+17)&lt;YEAR(E85),0,IF((YEAR(D85)+17)&gt;=YEAR(E85)+N85,0,IF((YEAR(D85)+17)=YEAR(E85),(12-MONTH(E85)+1)/12,1))))))))*TaxRate,0))-IF(17=0,O85,0))</f>
        <v/>
      </c>
      <c r="AK85" s="29">
        <f>IF(A85="","",((K85)*(IF(M85="",L85,IFERROR(IF(INDEX(Variablen!$I:$AT, MATCH(M85, Variablen!$A:$A, 0), MATCH((YEAR(D85)+18), Variablen!$I$3:$AT$3, 0))="",L85,INDEX(Variablen!$I:$AT, MATCH(M85, Variablen!$A:$A, 0), MATCH((YEAR(D85)+18), Variablen!$I$3:$AT$3, 0))),L85)))*(IF((YEAR(D85)+18)&lt;YEAR(E85),0,IF((YEAR(D85)+18)&gt;YEAR(E85),1,(12-MONTH(E85)+1)/12))) + (Q85)*(IF((YEAR(D85)+18)&lt;YEAR(E85),0,IF((YEAR(D85)+18)&gt;YEAR(E85),1,(12-MONTH(E85)+1)/12))))-((P85)*(IF((YEAR(D85)+18)&lt;YEAR(E85),0,IF((YEAR(D85)+18)&gt;YEAR(E85),1,(12-MONTH(E85)+1)/12))) + (R85)*(IF((YEAR(D85)+18)&lt;YEAR(E85),0,IF((YEAR(D85)+18)&gt;YEAR(E85),1,(12-MONTH(E85)+1)/12))))-(IF((((K85)*(IF(M85="",L85,IFERROR(IF(INDEX(Variablen!$I:$AT, MATCH(M85, Variablen!$A:$A, 0), MATCH((YEAR(D85)+18), Variablen!$I$3:$AT$3, 0))="",L85,INDEX(Variablen!$I:$AT, MATCH(M85, Variablen!$A:$A, 0), MATCH((YEAR(D85)+18), Variablen!$I$3:$AT$3, 0))),L85)))*(IF((YEAR(D85)+18)&lt;YEAR(E85),0,IF((YEAR(D85)+18)&gt;YEAR(E85),1,(12-MONTH(E85)+1)/12))) + (Q85)*(IF((YEAR(D85)+18)&lt;YEAR(E85),0,IF((YEAR(D85)+18)&gt;YEAR(E85),1,(12-MONTH(E85)+1)/12))))-((P85)*(IF((YEAR(D85)+18)&lt;YEAR(E85),0,IF((YEAR(D85)+18)&gt;YEAR(E85),1,(12-MONTH(E85)+1)/12))) + (R85)*(IF((YEAR(D85)+18)&lt;YEAR(E85),0,IF((YEAR(D85)+18)&gt;YEAR(E85),1,(12-MONTH(E85)+1)/12))))-(IF(OR(N85="",N85&lt;=0),0,(O85/N85)*(IF(OR(N85="",N85&lt;=0),0,IF((YEAR(D85)+18)&lt;YEAR(E85),0,IF((YEAR(D85)+18)&gt;=YEAR(E85)+N85,0,IF((YEAR(D85)+18)=YEAR(E85),(12-MONTH(E85)+1)/12,1))))))))&gt;0,(((K85)*(IF(M85="",L85,IFERROR(IF(INDEX(Variablen!$I:$AT, MATCH(M85, Variablen!$A:$A, 0), MATCH((YEAR(D85)+18), Variablen!$I$3:$AT$3, 0))="",L85,INDEX(Variablen!$I:$AT, MATCH(M85, Variablen!$A:$A, 0), MATCH((YEAR(D85)+18), Variablen!$I$3:$AT$3, 0))),L85)))*(IF((YEAR(D85)+18)&lt;YEAR(E85),0,IF((YEAR(D85)+18)&gt;YEAR(E85),1,(12-MONTH(E85)+1)/12))) + (Q85)*(IF((YEAR(D85)+18)&lt;YEAR(E85),0,IF((YEAR(D85)+18)&gt;YEAR(E85),1,(12-MONTH(E85)+1)/12))))-((P85)*(IF((YEAR(D85)+18)&lt;YEAR(E85),0,IF((YEAR(D85)+18)&gt;YEAR(E85),1,(12-MONTH(E85)+1)/12))) + (R85)*(IF((YEAR(D85)+18)&lt;YEAR(E85),0,IF((YEAR(D85)+18)&gt;YEAR(E85),1,(12-MONTH(E85)+1)/12))))-(IF(OR(N85="",N85&lt;=0),0,(O85/N85)*(IF(OR(N85="",N85&lt;=0),0,IF((YEAR(D85)+18)&lt;YEAR(E85),0,IF((YEAR(D85)+18)&gt;=YEAR(E85)+N85,0,IF((YEAR(D85)+18)=YEAR(E85),(12-MONTH(E85)+1)/12,1))))))))*TaxRate,0))-IF(18=0,O85,0))</f>
        <v/>
      </c>
      <c r="AL85" s="29">
        <f>IF(A85="","",((K85)*(IF(M85="",L85,IFERROR(IF(INDEX(Variablen!$I:$AT, MATCH(M85, Variablen!$A:$A, 0), MATCH((YEAR(D85)+19), Variablen!$I$3:$AT$3, 0))="",L85,INDEX(Variablen!$I:$AT, MATCH(M85, Variablen!$A:$A, 0), MATCH((YEAR(D85)+19), Variablen!$I$3:$AT$3, 0))),L85)))*(IF((YEAR(D85)+19)&lt;YEAR(E85),0,IF((YEAR(D85)+19)&gt;YEAR(E85),1,(12-MONTH(E85)+1)/12))) + (Q85)*(IF((YEAR(D85)+19)&lt;YEAR(E85),0,IF((YEAR(D85)+19)&gt;YEAR(E85),1,(12-MONTH(E85)+1)/12))))-((P85)*(IF((YEAR(D85)+19)&lt;YEAR(E85),0,IF((YEAR(D85)+19)&gt;YEAR(E85),1,(12-MONTH(E85)+1)/12))) + (R85)*(IF((YEAR(D85)+19)&lt;YEAR(E85),0,IF((YEAR(D85)+19)&gt;YEAR(E85),1,(12-MONTH(E85)+1)/12))))-(IF((((K85)*(IF(M85="",L85,IFERROR(IF(INDEX(Variablen!$I:$AT, MATCH(M85, Variablen!$A:$A, 0), MATCH((YEAR(D85)+19), Variablen!$I$3:$AT$3, 0))="",L85,INDEX(Variablen!$I:$AT, MATCH(M85, Variablen!$A:$A, 0), MATCH((YEAR(D85)+19), Variablen!$I$3:$AT$3, 0))),L85)))*(IF((YEAR(D85)+19)&lt;YEAR(E85),0,IF((YEAR(D85)+19)&gt;YEAR(E85),1,(12-MONTH(E85)+1)/12))) + (Q85)*(IF((YEAR(D85)+19)&lt;YEAR(E85),0,IF((YEAR(D85)+19)&gt;YEAR(E85),1,(12-MONTH(E85)+1)/12))))-((P85)*(IF((YEAR(D85)+19)&lt;YEAR(E85),0,IF((YEAR(D85)+19)&gt;YEAR(E85),1,(12-MONTH(E85)+1)/12))) + (R85)*(IF((YEAR(D85)+19)&lt;YEAR(E85),0,IF((YEAR(D85)+19)&gt;YEAR(E85),1,(12-MONTH(E85)+1)/12))))-(IF(OR(N85="",N85&lt;=0),0,(O85/N85)*(IF(OR(N85="",N85&lt;=0),0,IF((YEAR(D85)+19)&lt;YEAR(E85),0,IF((YEAR(D85)+19)&gt;=YEAR(E85)+N85,0,IF((YEAR(D85)+19)=YEAR(E85),(12-MONTH(E85)+1)/12,1))))))))&gt;0,(((K85)*(IF(M85="",L85,IFERROR(IF(INDEX(Variablen!$I:$AT, MATCH(M85, Variablen!$A:$A, 0), MATCH((YEAR(D85)+19), Variablen!$I$3:$AT$3, 0))="",L85,INDEX(Variablen!$I:$AT, MATCH(M85, Variablen!$A:$A, 0), MATCH((YEAR(D85)+19), Variablen!$I$3:$AT$3, 0))),L85)))*(IF((YEAR(D85)+19)&lt;YEAR(E85),0,IF((YEAR(D85)+19)&gt;YEAR(E85),1,(12-MONTH(E85)+1)/12))) + (Q85)*(IF((YEAR(D85)+19)&lt;YEAR(E85),0,IF((YEAR(D85)+19)&gt;YEAR(E85),1,(12-MONTH(E85)+1)/12))))-((P85)*(IF((YEAR(D85)+19)&lt;YEAR(E85),0,IF((YEAR(D85)+19)&gt;YEAR(E85),1,(12-MONTH(E85)+1)/12))) + (R85)*(IF((YEAR(D85)+19)&lt;YEAR(E85),0,IF((YEAR(D85)+19)&gt;YEAR(E85),1,(12-MONTH(E85)+1)/12))))-(IF(OR(N85="",N85&lt;=0),0,(O85/N85)*(IF(OR(N85="",N85&lt;=0),0,IF((YEAR(D85)+19)&lt;YEAR(E85),0,IF((YEAR(D85)+19)&gt;=YEAR(E85)+N85,0,IF((YEAR(D85)+19)=YEAR(E85),(12-MONTH(E85)+1)/12,1))))))))*TaxRate,0))-IF(19=0,O85,0))</f>
        <v/>
      </c>
      <c r="AM85" s="29">
        <f>IF(A85="","",((K85)*(IF(M85="",L85,IFERROR(IF(INDEX(Variablen!$I:$AT, MATCH(M85, Variablen!$A:$A, 0), MATCH((YEAR(D85)+20), Variablen!$I$3:$AT$3, 0))="",L85,INDEX(Variablen!$I:$AT, MATCH(M85, Variablen!$A:$A, 0), MATCH((YEAR(D85)+20), Variablen!$I$3:$AT$3, 0))),L85)))*(IF((YEAR(D85)+20)&lt;YEAR(E85),0,IF((YEAR(D85)+20)&gt;YEAR(E85),1,(12-MONTH(E85)+1)/12))) + (Q85)*(IF((YEAR(D85)+20)&lt;YEAR(E85),0,IF((YEAR(D85)+20)&gt;YEAR(E85),1,(12-MONTH(E85)+1)/12))))-((P85)*(IF((YEAR(D85)+20)&lt;YEAR(E85),0,IF((YEAR(D85)+20)&gt;YEAR(E85),1,(12-MONTH(E85)+1)/12))) + (R85)*(IF((YEAR(D85)+20)&lt;YEAR(E85),0,IF((YEAR(D85)+20)&gt;YEAR(E85),1,(12-MONTH(E85)+1)/12))))-(IF((((K85)*(IF(M85="",L85,IFERROR(IF(INDEX(Variablen!$I:$AT, MATCH(M85, Variablen!$A:$A, 0), MATCH((YEAR(D85)+20), Variablen!$I$3:$AT$3, 0))="",L85,INDEX(Variablen!$I:$AT, MATCH(M85, Variablen!$A:$A, 0), MATCH((YEAR(D85)+20), Variablen!$I$3:$AT$3, 0))),L85)))*(IF((YEAR(D85)+20)&lt;YEAR(E85),0,IF((YEAR(D85)+20)&gt;YEAR(E85),1,(12-MONTH(E85)+1)/12))) + (Q85)*(IF((YEAR(D85)+20)&lt;YEAR(E85),0,IF((YEAR(D85)+20)&gt;YEAR(E85),1,(12-MONTH(E85)+1)/12))))-((P85)*(IF((YEAR(D85)+20)&lt;YEAR(E85),0,IF((YEAR(D85)+20)&gt;YEAR(E85),1,(12-MONTH(E85)+1)/12))) + (R85)*(IF((YEAR(D85)+20)&lt;YEAR(E85),0,IF((YEAR(D85)+20)&gt;YEAR(E85),1,(12-MONTH(E85)+1)/12))))-(IF(OR(N85="",N85&lt;=0),0,(O85/N85)*(IF(OR(N85="",N85&lt;=0),0,IF((YEAR(D85)+20)&lt;YEAR(E85),0,IF((YEAR(D85)+20)&gt;=YEAR(E85)+N85,0,IF((YEAR(D85)+20)=YEAR(E85),(12-MONTH(E85)+1)/12,1))))))))&gt;0,(((K85)*(IF(M85="",L85,IFERROR(IF(INDEX(Variablen!$I:$AT, MATCH(M85, Variablen!$A:$A, 0), MATCH((YEAR(D85)+20), Variablen!$I$3:$AT$3, 0))="",L85,INDEX(Variablen!$I:$AT, MATCH(M85, Variablen!$A:$A, 0), MATCH((YEAR(D85)+20), Variablen!$I$3:$AT$3, 0))),L85)))*(IF((YEAR(D85)+20)&lt;YEAR(E85),0,IF((YEAR(D85)+20)&gt;YEAR(E85),1,(12-MONTH(E85)+1)/12))) + (Q85)*(IF((YEAR(D85)+20)&lt;YEAR(E85),0,IF((YEAR(D85)+20)&gt;YEAR(E85),1,(12-MONTH(E85)+1)/12))))-((P85)*(IF((YEAR(D85)+20)&lt;YEAR(E85),0,IF((YEAR(D85)+20)&gt;YEAR(E85),1,(12-MONTH(E85)+1)/12))) + (R85)*(IF((YEAR(D85)+20)&lt;YEAR(E85),0,IF((YEAR(D85)+20)&gt;YEAR(E85),1,(12-MONTH(E85)+1)/12))))-(IF(OR(N85="",N85&lt;=0),0,(O85/N85)*(IF(OR(N85="",N85&lt;=0),0,IF((YEAR(D85)+20)&lt;YEAR(E85),0,IF((YEAR(D85)+20)&gt;=YEAR(E85)+N85,0,IF((YEAR(D85)+20)=YEAR(E85),(12-MONTH(E85)+1)/12,1))))))))*TaxRate,0))-IF(20=0,O85,0))</f>
        <v/>
      </c>
      <c r="AN85" s="29">
        <f>IF(A85="","",S85)</f>
        <v/>
      </c>
      <c r="AO85" s="29">
        <f>IF(A85="","",AN85+T85)</f>
        <v/>
      </c>
      <c r="AP85" s="29">
        <f>IF(A85="","",AO85+U85)</f>
        <v/>
      </c>
      <c r="AQ85" s="29">
        <f>IF(A85="","",AP85+V85)</f>
        <v/>
      </c>
      <c r="AR85" s="29">
        <f>IF(A85="","",AQ85+W85)</f>
        <v/>
      </c>
      <c r="AS85" s="29">
        <f>IF(A85="","",AR85+X85)</f>
        <v/>
      </c>
      <c r="AT85" s="29">
        <f>IF(A85="","",AS85+Y85)</f>
        <v/>
      </c>
      <c r="AU85" s="29">
        <f>IF(A85="","",AT85+Z85)</f>
        <v/>
      </c>
      <c r="AV85" s="29">
        <f>IF(A85="","",AU85+AA85)</f>
        <v/>
      </c>
      <c r="AW85" s="29">
        <f>IF(A85="","",AV85+AB85)</f>
        <v/>
      </c>
      <c r="AX85" s="29">
        <f>IF(A85="","",AW85+AC85)</f>
        <v/>
      </c>
      <c r="AY85" s="29">
        <f>IF(A85="","",AX85+AD85)</f>
        <v/>
      </c>
      <c r="AZ85" s="29">
        <f>IF(A85="","",AY85+AE85)</f>
        <v/>
      </c>
      <c r="BA85" s="29">
        <f>IF(A85="","",AZ85+AF85)</f>
        <v/>
      </c>
      <c r="BB85" s="29">
        <f>IF(A85="","",BA85+AG85)</f>
        <v/>
      </c>
      <c r="BC85" s="29">
        <f>IF(A85="","",BB85+AH85)</f>
        <v/>
      </c>
      <c r="BD85" s="29">
        <f>IF(A85="","",BC85+AI85)</f>
        <v/>
      </c>
      <c r="BE85" s="29">
        <f>IF(A85="","",BD85+AJ85)</f>
        <v/>
      </c>
      <c r="BF85" s="29">
        <f>IF(A85="","",BE85+AK85)</f>
        <v/>
      </c>
      <c r="BG85" s="29">
        <f>IF(A85="","",BF85+AL85)</f>
        <v/>
      </c>
      <c r="BH85" s="29">
        <f>IF(A85="","",BG85+AM85)</f>
        <v/>
      </c>
      <c r="BI85" s="36">
        <f>IF(A85="","",(K85)*(IF((YEAR(D85)+0)&lt;YEAR(E85),0,IF((YEAR(D85)+0)&gt;YEAR(E85),1,(12-MONTH(E85)+1)/12)))*(1/(1+DiscountRate)^0))</f>
        <v/>
      </c>
      <c r="BJ85" s="36">
        <f>IF(A85="","",(K85)*(IF((YEAR(D85)+1)&lt;YEAR(E85),0,IF((YEAR(D85)+1)&gt;YEAR(E85),1,(12-MONTH(E85)+1)/12)))*(1/(1+DiscountRate)^1))</f>
        <v/>
      </c>
      <c r="BK85" s="36">
        <f>IF(A85="","",(K85)*(IF((YEAR(D85)+2)&lt;YEAR(E85),0,IF((YEAR(D85)+2)&gt;YEAR(E85),1,(12-MONTH(E85)+1)/12)))*(1/(1+DiscountRate)^2))</f>
        <v/>
      </c>
      <c r="BL85" s="36">
        <f>IF(A85="","",(K85)*(IF((YEAR(D85)+3)&lt;YEAR(E85),0,IF((YEAR(D85)+3)&gt;YEAR(E85),1,(12-MONTH(E85)+1)/12)))*(1/(1+DiscountRate)^3))</f>
        <v/>
      </c>
      <c r="BM85" s="36">
        <f>IF(A85="","",(K85)*(IF((YEAR(D85)+4)&lt;YEAR(E85),0,IF((YEAR(D85)+4)&gt;YEAR(E85),1,(12-MONTH(E85)+1)/12)))*(1/(1+DiscountRate)^4))</f>
        <v/>
      </c>
      <c r="BN85" s="36">
        <f>IF(A85="","",(K85)*(IF((YEAR(D85)+5)&lt;YEAR(E85),0,IF((YEAR(D85)+5)&gt;YEAR(E85),1,(12-MONTH(E85)+1)/12)))*(1/(1+DiscountRate)^5))</f>
        <v/>
      </c>
      <c r="BO85" s="36">
        <f>IF(A85="","",(K85)*(IF((YEAR(D85)+6)&lt;YEAR(E85),0,IF((YEAR(D85)+6)&gt;YEAR(E85),1,(12-MONTH(E85)+1)/12)))*(1/(1+DiscountRate)^6))</f>
        <v/>
      </c>
      <c r="BP85" s="36">
        <f>IF(A85="","",(K85)*(IF((YEAR(D85)+7)&lt;YEAR(E85),0,IF((YEAR(D85)+7)&gt;YEAR(E85),1,(12-MONTH(E85)+1)/12)))*(1/(1+DiscountRate)^7))</f>
        <v/>
      </c>
      <c r="BQ85" s="36">
        <f>IF(A85="","",(K85)*(IF((YEAR(D85)+8)&lt;YEAR(E85),0,IF((YEAR(D85)+8)&gt;YEAR(E85),1,(12-MONTH(E85)+1)/12)))*(1/(1+DiscountRate)^8))</f>
        <v/>
      </c>
      <c r="BR85" s="36">
        <f>IF(A85="","",(K85)*(IF((YEAR(D85)+9)&lt;YEAR(E85),0,IF((YEAR(D85)+9)&gt;YEAR(E85),1,(12-MONTH(E85)+1)/12)))*(1/(1+DiscountRate)^9))</f>
        <v/>
      </c>
      <c r="BS85" s="36">
        <f>IF(A85="","",(K85)*(IF((YEAR(D85)+10)&lt;YEAR(E85),0,IF((YEAR(D85)+10)&gt;YEAR(E85),1,(12-MONTH(E85)+1)/12)))*(1/(1+DiscountRate)^10))</f>
        <v/>
      </c>
      <c r="BT85" s="36">
        <f>IF(A85="","",(K85)*(IF((YEAR(D85)+11)&lt;YEAR(E85),0,IF((YEAR(D85)+11)&gt;YEAR(E85),1,(12-MONTH(E85)+1)/12)))*(1/(1+DiscountRate)^11))</f>
        <v/>
      </c>
      <c r="BU85" s="36">
        <f>IF(A85="","",(K85)*(IF((YEAR(D85)+12)&lt;YEAR(E85),0,IF((YEAR(D85)+12)&gt;YEAR(E85),1,(12-MONTH(E85)+1)/12)))*(1/(1+DiscountRate)^12))</f>
        <v/>
      </c>
      <c r="BV85" s="36">
        <f>IF(A85="","",(K85)*(IF((YEAR(D85)+13)&lt;YEAR(E85),0,IF((YEAR(D85)+13)&gt;YEAR(E85),1,(12-MONTH(E85)+1)/12)))*(1/(1+DiscountRate)^13))</f>
        <v/>
      </c>
      <c r="BW85" s="36">
        <f>IF(A85="","",(K85)*(IF((YEAR(D85)+14)&lt;YEAR(E85),0,IF((YEAR(D85)+14)&gt;YEAR(E85),1,(12-MONTH(E85)+1)/12)))*(1/(1+DiscountRate)^14))</f>
        <v/>
      </c>
      <c r="BX85" s="36">
        <f>IF(A85="","",(K85)*(IF((YEAR(D85)+15)&lt;YEAR(E85),0,IF((YEAR(D85)+15)&gt;YEAR(E85),1,(12-MONTH(E85)+1)/12)))*(1/(1+DiscountRate)^15))</f>
        <v/>
      </c>
      <c r="BY85" s="36">
        <f>IF(A85="","",(K85)*(IF((YEAR(D85)+16)&lt;YEAR(E85),0,IF((YEAR(D85)+16)&gt;YEAR(E85),1,(12-MONTH(E85)+1)/12)))*(1/(1+DiscountRate)^16))</f>
        <v/>
      </c>
      <c r="BZ85" s="36">
        <f>IF(A85="","",(K85)*(IF((YEAR(D85)+17)&lt;YEAR(E85),0,IF((YEAR(D85)+17)&gt;YEAR(E85),1,(12-MONTH(E85)+1)/12)))*(1/(1+DiscountRate)^17))</f>
        <v/>
      </c>
      <c r="CA85" s="36">
        <f>IF(A85="","",(K85)*(IF((YEAR(D85)+18)&lt;YEAR(E85),0,IF((YEAR(D85)+18)&gt;YEAR(E85),1,(12-MONTH(E85)+1)/12)))*(1/(1+DiscountRate)^18))</f>
        <v/>
      </c>
      <c r="CB85" s="36">
        <f>IF(A85="","",(K85)*(IF((YEAR(D85)+19)&lt;YEAR(E85),0,IF((YEAR(D85)+19)&gt;YEAR(E85),1,(12-MONTH(E85)+1)/12)))*(1/(1+DiscountRate)^19))</f>
        <v/>
      </c>
      <c r="CC85" s="36">
        <f>IF(A85="","",(K85)*(IF((YEAR(D85)+20)&lt;YEAR(E85),0,IF((YEAR(D85)+20)&gt;YEAR(E85),1,(12-MONTH(E85)+1)/12)))*(1/(1+DiscountRate)^20))</f>
        <v/>
      </c>
      <c r="CD85" s="29">
        <f>IF(A85="","",S85/(1+DiscountRate)^0+T85/(1+DiscountRate)^1+U85/(1+DiscountRate)^2+V85/(1+DiscountRate)^3+W85/(1+DiscountRate)^4+X85/(1+DiscountRate)^5+Y85/(1+DiscountRate)^6+Z85/(1+DiscountRate)^7+AA85/(1+DiscountRate)^8+AB85/(1+DiscountRate)^9+AC85/(1+DiscountRate)^10+AD85/(1+DiscountRate)^11+AE85/(1+DiscountRate)^12+AF85/(1+DiscountRate)^13+AG85/(1+DiscountRate)^14+AH85/(1+DiscountRate)^15+AI85/(1+DiscountRate)^16+AJ85/(1+DiscountRate)^17+AK85/(1+DiscountRate)^18+AL85/(1+DiscountRate)^19+AM85/(1+DiscountRate)^20)</f>
        <v/>
      </c>
      <c r="CE85" s="37">
        <f>IF(A85="","",IFERROR(IRR(OFFSET(S85,0,0,1,MIN(HorizonYears,20)+1)),"n/a"))</f>
        <v/>
      </c>
      <c r="CF85" s="28">
        <f>IF(A85="","",IFERROR(MATCH(TRUE,OFFSET(AN85,0,0,1,MIN(HorizonYears,20)+1)&gt;=0,0)-1,"n/a"))</f>
        <v/>
      </c>
      <c r="CG85" s="36">
        <f>IF(A85="","",SUM(OFFSET(BI85,0,0,1,MIN(HorizonYears,20)+1)))</f>
        <v/>
      </c>
      <c r="CH85" s="36">
        <f>IF(A85="","",IFERROR(-CD85/CG85,"n/a"))</f>
        <v/>
      </c>
    </row>
    <row r="86">
      <c r="A86" s="6">
        <f>Actions!A84</f>
        <v/>
      </c>
      <c r="B86" s="6">
        <f>Actions!B84</f>
        <v/>
      </c>
      <c r="C86" s="6">
        <f>Actions!D84</f>
        <v/>
      </c>
      <c r="D86" s="35">
        <f>Actions!E84</f>
        <v/>
      </c>
      <c r="E86" s="35">
        <f>Actions!F84</f>
        <v/>
      </c>
      <c r="F86" s="6">
        <f>Actions!G84</f>
        <v/>
      </c>
      <c r="G86" s="6">
        <f>Actions!H84</f>
        <v/>
      </c>
      <c r="H86" s="29">
        <f>Actions!I84</f>
        <v/>
      </c>
      <c r="I86" s="6">
        <f>Actions!J84</f>
        <v/>
      </c>
      <c r="J86" s="16">
        <f>Actions!K84</f>
        <v/>
      </c>
      <c r="K86" s="16">
        <f>IF(A86="","",IF(I86="%",H86*J86,J86))</f>
        <v/>
      </c>
      <c r="L86" s="16">
        <f>Actions!L84</f>
        <v/>
      </c>
      <c r="M86" s="6">
        <f>Actions!M84</f>
        <v/>
      </c>
      <c r="N86" s="28">
        <f>Actions!N84</f>
        <v/>
      </c>
      <c r="O86" s="29">
        <f>Actions!T84</f>
        <v/>
      </c>
      <c r="P86" s="29">
        <f>Actions!Y84</f>
        <v/>
      </c>
      <c r="Q86" s="29">
        <f>Actions!Z84</f>
        <v/>
      </c>
      <c r="R86" s="29">
        <f>Actions!AA84</f>
        <v/>
      </c>
      <c r="S86" s="29">
        <f>IF(A86="","",((K86)*(IF(M86="",L86,IFERROR(IF(INDEX(Variablen!$I:$AT, MATCH(M86, Variablen!$A:$A, 0), MATCH((YEAR(D86)+0), Variablen!$I$3:$AT$3, 0))="",L86,INDEX(Variablen!$I:$AT, MATCH(M86, Variablen!$A:$A, 0), MATCH((YEAR(D86)+0), Variablen!$I$3:$AT$3, 0))),L86)))*(IF((YEAR(D86)+0)&lt;YEAR(E86),0,IF((YEAR(D86)+0)&gt;YEAR(E86),1,(12-MONTH(E86)+1)/12))) + (Q86)*(IF((YEAR(D86)+0)&lt;YEAR(E86),0,IF((YEAR(D86)+0)&gt;YEAR(E86),1,(12-MONTH(E86)+1)/12))))-((P86)*(IF((YEAR(D86)+0)&lt;YEAR(E86),0,IF((YEAR(D86)+0)&gt;YEAR(E86),1,(12-MONTH(E86)+1)/12))) + (R86)*(IF((YEAR(D86)+0)&lt;YEAR(E86),0,IF((YEAR(D86)+0)&gt;YEAR(E86),1,(12-MONTH(E86)+1)/12))))-(IF((((K86)*(IF(M86="",L86,IFERROR(IF(INDEX(Variablen!$I:$AT, MATCH(M86, Variablen!$A:$A, 0), MATCH((YEAR(D86)+0), Variablen!$I$3:$AT$3, 0))="",L86,INDEX(Variablen!$I:$AT, MATCH(M86, Variablen!$A:$A, 0), MATCH((YEAR(D86)+0), Variablen!$I$3:$AT$3, 0))),L86)))*(IF((YEAR(D86)+0)&lt;YEAR(E86),0,IF((YEAR(D86)+0)&gt;YEAR(E86),1,(12-MONTH(E86)+1)/12))) + (Q86)*(IF((YEAR(D86)+0)&lt;YEAR(E86),0,IF((YEAR(D86)+0)&gt;YEAR(E86),1,(12-MONTH(E86)+1)/12))))-((P86)*(IF((YEAR(D86)+0)&lt;YEAR(E86),0,IF((YEAR(D86)+0)&gt;YEAR(E86),1,(12-MONTH(E86)+1)/12))) + (R86)*(IF((YEAR(D86)+0)&lt;YEAR(E86),0,IF((YEAR(D86)+0)&gt;YEAR(E86),1,(12-MONTH(E86)+1)/12))))-(IF(OR(N86="",N86&lt;=0),0,(O86/N86)*(IF(OR(N86="",N86&lt;=0),0,IF((YEAR(D86)+0)&lt;YEAR(E86),0,IF((YEAR(D86)+0)&gt;=YEAR(E86)+N86,0,IF((YEAR(D86)+0)=YEAR(E86),(12-MONTH(E86)+1)/12,1))))))))&gt;0,(((K86)*(IF(M86="",L86,IFERROR(IF(INDEX(Variablen!$I:$AT, MATCH(M86, Variablen!$A:$A, 0), MATCH((YEAR(D86)+0), Variablen!$I$3:$AT$3, 0))="",L86,INDEX(Variablen!$I:$AT, MATCH(M86, Variablen!$A:$A, 0), MATCH((YEAR(D86)+0), Variablen!$I$3:$AT$3, 0))),L86)))*(IF((YEAR(D86)+0)&lt;YEAR(E86),0,IF((YEAR(D86)+0)&gt;YEAR(E86),1,(12-MONTH(E86)+1)/12))) + (Q86)*(IF((YEAR(D86)+0)&lt;YEAR(E86),0,IF((YEAR(D86)+0)&gt;YEAR(E86),1,(12-MONTH(E86)+1)/12))))-((P86)*(IF((YEAR(D86)+0)&lt;YEAR(E86),0,IF((YEAR(D86)+0)&gt;YEAR(E86),1,(12-MONTH(E86)+1)/12))) + (R86)*(IF((YEAR(D86)+0)&lt;YEAR(E86),0,IF((YEAR(D86)+0)&gt;YEAR(E86),1,(12-MONTH(E86)+1)/12))))-(IF(OR(N86="",N86&lt;=0),0,(O86/N86)*(IF(OR(N86="",N86&lt;=0),0,IF((YEAR(D86)+0)&lt;YEAR(E86),0,IF((YEAR(D86)+0)&gt;=YEAR(E86)+N86,0,IF((YEAR(D86)+0)=YEAR(E86),(12-MONTH(E86)+1)/12,1))))))))*TaxRate,0))-IF(0=0,O86,0))</f>
        <v/>
      </c>
      <c r="T86" s="29">
        <f>IF(A86="","",((K86)*(IF(M86="",L86,IFERROR(IF(INDEX(Variablen!$I:$AT, MATCH(M86, Variablen!$A:$A, 0), MATCH((YEAR(D86)+1), Variablen!$I$3:$AT$3, 0))="",L86,INDEX(Variablen!$I:$AT, MATCH(M86, Variablen!$A:$A, 0), MATCH((YEAR(D86)+1), Variablen!$I$3:$AT$3, 0))),L86)))*(IF((YEAR(D86)+1)&lt;YEAR(E86),0,IF((YEAR(D86)+1)&gt;YEAR(E86),1,(12-MONTH(E86)+1)/12))) + (Q86)*(IF((YEAR(D86)+1)&lt;YEAR(E86),0,IF((YEAR(D86)+1)&gt;YEAR(E86),1,(12-MONTH(E86)+1)/12))))-((P86)*(IF((YEAR(D86)+1)&lt;YEAR(E86),0,IF((YEAR(D86)+1)&gt;YEAR(E86),1,(12-MONTH(E86)+1)/12))) + (R86)*(IF((YEAR(D86)+1)&lt;YEAR(E86),0,IF((YEAR(D86)+1)&gt;YEAR(E86),1,(12-MONTH(E86)+1)/12))))-(IF((((K86)*(IF(M86="",L86,IFERROR(IF(INDEX(Variablen!$I:$AT, MATCH(M86, Variablen!$A:$A, 0), MATCH((YEAR(D86)+1), Variablen!$I$3:$AT$3, 0))="",L86,INDEX(Variablen!$I:$AT, MATCH(M86, Variablen!$A:$A, 0), MATCH((YEAR(D86)+1), Variablen!$I$3:$AT$3, 0))),L86)))*(IF((YEAR(D86)+1)&lt;YEAR(E86),0,IF((YEAR(D86)+1)&gt;YEAR(E86),1,(12-MONTH(E86)+1)/12))) + (Q86)*(IF((YEAR(D86)+1)&lt;YEAR(E86),0,IF((YEAR(D86)+1)&gt;YEAR(E86),1,(12-MONTH(E86)+1)/12))))-((P86)*(IF((YEAR(D86)+1)&lt;YEAR(E86),0,IF((YEAR(D86)+1)&gt;YEAR(E86),1,(12-MONTH(E86)+1)/12))) + (R86)*(IF((YEAR(D86)+1)&lt;YEAR(E86),0,IF((YEAR(D86)+1)&gt;YEAR(E86),1,(12-MONTH(E86)+1)/12))))-(IF(OR(N86="",N86&lt;=0),0,(O86/N86)*(IF(OR(N86="",N86&lt;=0),0,IF((YEAR(D86)+1)&lt;YEAR(E86),0,IF((YEAR(D86)+1)&gt;=YEAR(E86)+N86,0,IF((YEAR(D86)+1)=YEAR(E86),(12-MONTH(E86)+1)/12,1))))))))&gt;0,(((K86)*(IF(M86="",L86,IFERROR(IF(INDEX(Variablen!$I:$AT, MATCH(M86, Variablen!$A:$A, 0), MATCH((YEAR(D86)+1), Variablen!$I$3:$AT$3, 0))="",L86,INDEX(Variablen!$I:$AT, MATCH(M86, Variablen!$A:$A, 0), MATCH((YEAR(D86)+1), Variablen!$I$3:$AT$3, 0))),L86)))*(IF((YEAR(D86)+1)&lt;YEAR(E86),0,IF((YEAR(D86)+1)&gt;YEAR(E86),1,(12-MONTH(E86)+1)/12))) + (Q86)*(IF((YEAR(D86)+1)&lt;YEAR(E86),0,IF((YEAR(D86)+1)&gt;YEAR(E86),1,(12-MONTH(E86)+1)/12))))-((P86)*(IF((YEAR(D86)+1)&lt;YEAR(E86),0,IF((YEAR(D86)+1)&gt;YEAR(E86),1,(12-MONTH(E86)+1)/12))) + (R86)*(IF((YEAR(D86)+1)&lt;YEAR(E86),0,IF((YEAR(D86)+1)&gt;YEAR(E86),1,(12-MONTH(E86)+1)/12))))-(IF(OR(N86="",N86&lt;=0),0,(O86/N86)*(IF(OR(N86="",N86&lt;=0),0,IF((YEAR(D86)+1)&lt;YEAR(E86),0,IF((YEAR(D86)+1)&gt;=YEAR(E86)+N86,0,IF((YEAR(D86)+1)=YEAR(E86),(12-MONTH(E86)+1)/12,1))))))))*TaxRate,0))-IF(1=0,O86,0))</f>
        <v/>
      </c>
      <c r="U86" s="29">
        <f>IF(A86="","",((K86)*(IF(M86="",L86,IFERROR(IF(INDEX(Variablen!$I:$AT, MATCH(M86, Variablen!$A:$A, 0), MATCH((YEAR(D86)+2), Variablen!$I$3:$AT$3, 0))="",L86,INDEX(Variablen!$I:$AT, MATCH(M86, Variablen!$A:$A, 0), MATCH((YEAR(D86)+2), Variablen!$I$3:$AT$3, 0))),L86)))*(IF((YEAR(D86)+2)&lt;YEAR(E86),0,IF((YEAR(D86)+2)&gt;YEAR(E86),1,(12-MONTH(E86)+1)/12))) + (Q86)*(IF((YEAR(D86)+2)&lt;YEAR(E86),0,IF((YEAR(D86)+2)&gt;YEAR(E86),1,(12-MONTH(E86)+1)/12))))-((P86)*(IF((YEAR(D86)+2)&lt;YEAR(E86),0,IF((YEAR(D86)+2)&gt;YEAR(E86),1,(12-MONTH(E86)+1)/12))) + (R86)*(IF((YEAR(D86)+2)&lt;YEAR(E86),0,IF((YEAR(D86)+2)&gt;YEAR(E86),1,(12-MONTH(E86)+1)/12))))-(IF((((K86)*(IF(M86="",L86,IFERROR(IF(INDEX(Variablen!$I:$AT, MATCH(M86, Variablen!$A:$A, 0), MATCH((YEAR(D86)+2), Variablen!$I$3:$AT$3, 0))="",L86,INDEX(Variablen!$I:$AT, MATCH(M86, Variablen!$A:$A, 0), MATCH((YEAR(D86)+2), Variablen!$I$3:$AT$3, 0))),L86)))*(IF((YEAR(D86)+2)&lt;YEAR(E86),0,IF((YEAR(D86)+2)&gt;YEAR(E86),1,(12-MONTH(E86)+1)/12))) + (Q86)*(IF((YEAR(D86)+2)&lt;YEAR(E86),0,IF((YEAR(D86)+2)&gt;YEAR(E86),1,(12-MONTH(E86)+1)/12))))-((P86)*(IF((YEAR(D86)+2)&lt;YEAR(E86),0,IF((YEAR(D86)+2)&gt;YEAR(E86),1,(12-MONTH(E86)+1)/12))) + (R86)*(IF((YEAR(D86)+2)&lt;YEAR(E86),0,IF((YEAR(D86)+2)&gt;YEAR(E86),1,(12-MONTH(E86)+1)/12))))-(IF(OR(N86="",N86&lt;=0),0,(O86/N86)*(IF(OR(N86="",N86&lt;=0),0,IF((YEAR(D86)+2)&lt;YEAR(E86),0,IF((YEAR(D86)+2)&gt;=YEAR(E86)+N86,0,IF((YEAR(D86)+2)=YEAR(E86),(12-MONTH(E86)+1)/12,1))))))))&gt;0,(((K86)*(IF(M86="",L86,IFERROR(IF(INDEX(Variablen!$I:$AT, MATCH(M86, Variablen!$A:$A, 0), MATCH((YEAR(D86)+2), Variablen!$I$3:$AT$3, 0))="",L86,INDEX(Variablen!$I:$AT, MATCH(M86, Variablen!$A:$A, 0), MATCH((YEAR(D86)+2), Variablen!$I$3:$AT$3, 0))),L86)))*(IF((YEAR(D86)+2)&lt;YEAR(E86),0,IF((YEAR(D86)+2)&gt;YEAR(E86),1,(12-MONTH(E86)+1)/12))) + (Q86)*(IF((YEAR(D86)+2)&lt;YEAR(E86),0,IF((YEAR(D86)+2)&gt;YEAR(E86),1,(12-MONTH(E86)+1)/12))))-((P86)*(IF((YEAR(D86)+2)&lt;YEAR(E86),0,IF((YEAR(D86)+2)&gt;YEAR(E86),1,(12-MONTH(E86)+1)/12))) + (R86)*(IF((YEAR(D86)+2)&lt;YEAR(E86),0,IF((YEAR(D86)+2)&gt;YEAR(E86),1,(12-MONTH(E86)+1)/12))))-(IF(OR(N86="",N86&lt;=0),0,(O86/N86)*(IF(OR(N86="",N86&lt;=0),0,IF((YEAR(D86)+2)&lt;YEAR(E86),0,IF((YEAR(D86)+2)&gt;=YEAR(E86)+N86,0,IF((YEAR(D86)+2)=YEAR(E86),(12-MONTH(E86)+1)/12,1))))))))*TaxRate,0))-IF(2=0,O86,0))</f>
        <v/>
      </c>
      <c r="V86" s="29">
        <f>IF(A86="","",((K86)*(IF(M86="",L86,IFERROR(IF(INDEX(Variablen!$I:$AT, MATCH(M86, Variablen!$A:$A, 0), MATCH((YEAR(D86)+3), Variablen!$I$3:$AT$3, 0))="",L86,INDEX(Variablen!$I:$AT, MATCH(M86, Variablen!$A:$A, 0), MATCH((YEAR(D86)+3), Variablen!$I$3:$AT$3, 0))),L86)))*(IF((YEAR(D86)+3)&lt;YEAR(E86),0,IF((YEAR(D86)+3)&gt;YEAR(E86),1,(12-MONTH(E86)+1)/12))) + (Q86)*(IF((YEAR(D86)+3)&lt;YEAR(E86),0,IF((YEAR(D86)+3)&gt;YEAR(E86),1,(12-MONTH(E86)+1)/12))))-((P86)*(IF((YEAR(D86)+3)&lt;YEAR(E86),0,IF((YEAR(D86)+3)&gt;YEAR(E86),1,(12-MONTH(E86)+1)/12))) + (R86)*(IF((YEAR(D86)+3)&lt;YEAR(E86),0,IF((YEAR(D86)+3)&gt;YEAR(E86),1,(12-MONTH(E86)+1)/12))))-(IF((((K86)*(IF(M86="",L86,IFERROR(IF(INDEX(Variablen!$I:$AT, MATCH(M86, Variablen!$A:$A, 0), MATCH((YEAR(D86)+3), Variablen!$I$3:$AT$3, 0))="",L86,INDEX(Variablen!$I:$AT, MATCH(M86, Variablen!$A:$A, 0), MATCH((YEAR(D86)+3), Variablen!$I$3:$AT$3, 0))),L86)))*(IF((YEAR(D86)+3)&lt;YEAR(E86),0,IF((YEAR(D86)+3)&gt;YEAR(E86),1,(12-MONTH(E86)+1)/12))) + (Q86)*(IF((YEAR(D86)+3)&lt;YEAR(E86),0,IF((YEAR(D86)+3)&gt;YEAR(E86),1,(12-MONTH(E86)+1)/12))))-((P86)*(IF((YEAR(D86)+3)&lt;YEAR(E86),0,IF((YEAR(D86)+3)&gt;YEAR(E86),1,(12-MONTH(E86)+1)/12))) + (R86)*(IF((YEAR(D86)+3)&lt;YEAR(E86),0,IF((YEAR(D86)+3)&gt;YEAR(E86),1,(12-MONTH(E86)+1)/12))))-(IF(OR(N86="",N86&lt;=0),0,(O86/N86)*(IF(OR(N86="",N86&lt;=0),0,IF((YEAR(D86)+3)&lt;YEAR(E86),0,IF((YEAR(D86)+3)&gt;=YEAR(E86)+N86,0,IF((YEAR(D86)+3)=YEAR(E86),(12-MONTH(E86)+1)/12,1))))))))&gt;0,(((K86)*(IF(M86="",L86,IFERROR(IF(INDEX(Variablen!$I:$AT, MATCH(M86, Variablen!$A:$A, 0), MATCH((YEAR(D86)+3), Variablen!$I$3:$AT$3, 0))="",L86,INDEX(Variablen!$I:$AT, MATCH(M86, Variablen!$A:$A, 0), MATCH((YEAR(D86)+3), Variablen!$I$3:$AT$3, 0))),L86)))*(IF((YEAR(D86)+3)&lt;YEAR(E86),0,IF((YEAR(D86)+3)&gt;YEAR(E86),1,(12-MONTH(E86)+1)/12))) + (Q86)*(IF((YEAR(D86)+3)&lt;YEAR(E86),0,IF((YEAR(D86)+3)&gt;YEAR(E86),1,(12-MONTH(E86)+1)/12))))-((P86)*(IF((YEAR(D86)+3)&lt;YEAR(E86),0,IF((YEAR(D86)+3)&gt;YEAR(E86),1,(12-MONTH(E86)+1)/12))) + (R86)*(IF((YEAR(D86)+3)&lt;YEAR(E86),0,IF((YEAR(D86)+3)&gt;YEAR(E86),1,(12-MONTH(E86)+1)/12))))-(IF(OR(N86="",N86&lt;=0),0,(O86/N86)*(IF(OR(N86="",N86&lt;=0),0,IF((YEAR(D86)+3)&lt;YEAR(E86),0,IF((YEAR(D86)+3)&gt;=YEAR(E86)+N86,0,IF((YEAR(D86)+3)=YEAR(E86),(12-MONTH(E86)+1)/12,1))))))))*TaxRate,0))-IF(3=0,O86,0))</f>
        <v/>
      </c>
      <c r="W86" s="29">
        <f>IF(A86="","",((K86)*(IF(M86="",L86,IFERROR(IF(INDEX(Variablen!$I:$AT, MATCH(M86, Variablen!$A:$A, 0), MATCH((YEAR(D86)+4), Variablen!$I$3:$AT$3, 0))="",L86,INDEX(Variablen!$I:$AT, MATCH(M86, Variablen!$A:$A, 0), MATCH((YEAR(D86)+4), Variablen!$I$3:$AT$3, 0))),L86)))*(IF((YEAR(D86)+4)&lt;YEAR(E86),0,IF((YEAR(D86)+4)&gt;YEAR(E86),1,(12-MONTH(E86)+1)/12))) + (Q86)*(IF((YEAR(D86)+4)&lt;YEAR(E86),0,IF((YEAR(D86)+4)&gt;YEAR(E86),1,(12-MONTH(E86)+1)/12))))-((P86)*(IF((YEAR(D86)+4)&lt;YEAR(E86),0,IF((YEAR(D86)+4)&gt;YEAR(E86),1,(12-MONTH(E86)+1)/12))) + (R86)*(IF((YEAR(D86)+4)&lt;YEAR(E86),0,IF((YEAR(D86)+4)&gt;YEAR(E86),1,(12-MONTH(E86)+1)/12))))-(IF((((K86)*(IF(M86="",L86,IFERROR(IF(INDEX(Variablen!$I:$AT, MATCH(M86, Variablen!$A:$A, 0), MATCH((YEAR(D86)+4), Variablen!$I$3:$AT$3, 0))="",L86,INDEX(Variablen!$I:$AT, MATCH(M86, Variablen!$A:$A, 0), MATCH((YEAR(D86)+4), Variablen!$I$3:$AT$3, 0))),L86)))*(IF((YEAR(D86)+4)&lt;YEAR(E86),0,IF((YEAR(D86)+4)&gt;YEAR(E86),1,(12-MONTH(E86)+1)/12))) + (Q86)*(IF((YEAR(D86)+4)&lt;YEAR(E86),0,IF((YEAR(D86)+4)&gt;YEAR(E86),1,(12-MONTH(E86)+1)/12))))-((P86)*(IF((YEAR(D86)+4)&lt;YEAR(E86),0,IF((YEAR(D86)+4)&gt;YEAR(E86),1,(12-MONTH(E86)+1)/12))) + (R86)*(IF((YEAR(D86)+4)&lt;YEAR(E86),0,IF((YEAR(D86)+4)&gt;YEAR(E86),1,(12-MONTH(E86)+1)/12))))-(IF(OR(N86="",N86&lt;=0),0,(O86/N86)*(IF(OR(N86="",N86&lt;=0),0,IF((YEAR(D86)+4)&lt;YEAR(E86),0,IF((YEAR(D86)+4)&gt;=YEAR(E86)+N86,0,IF((YEAR(D86)+4)=YEAR(E86),(12-MONTH(E86)+1)/12,1))))))))&gt;0,(((K86)*(IF(M86="",L86,IFERROR(IF(INDEX(Variablen!$I:$AT, MATCH(M86, Variablen!$A:$A, 0), MATCH((YEAR(D86)+4), Variablen!$I$3:$AT$3, 0))="",L86,INDEX(Variablen!$I:$AT, MATCH(M86, Variablen!$A:$A, 0), MATCH((YEAR(D86)+4), Variablen!$I$3:$AT$3, 0))),L86)))*(IF((YEAR(D86)+4)&lt;YEAR(E86),0,IF((YEAR(D86)+4)&gt;YEAR(E86),1,(12-MONTH(E86)+1)/12))) + (Q86)*(IF((YEAR(D86)+4)&lt;YEAR(E86),0,IF((YEAR(D86)+4)&gt;YEAR(E86),1,(12-MONTH(E86)+1)/12))))-((P86)*(IF((YEAR(D86)+4)&lt;YEAR(E86),0,IF((YEAR(D86)+4)&gt;YEAR(E86),1,(12-MONTH(E86)+1)/12))) + (R86)*(IF((YEAR(D86)+4)&lt;YEAR(E86),0,IF((YEAR(D86)+4)&gt;YEAR(E86),1,(12-MONTH(E86)+1)/12))))-(IF(OR(N86="",N86&lt;=0),0,(O86/N86)*(IF(OR(N86="",N86&lt;=0),0,IF((YEAR(D86)+4)&lt;YEAR(E86),0,IF((YEAR(D86)+4)&gt;=YEAR(E86)+N86,0,IF((YEAR(D86)+4)=YEAR(E86),(12-MONTH(E86)+1)/12,1))))))))*TaxRate,0))-IF(4=0,O86,0))</f>
        <v/>
      </c>
      <c r="X86" s="29">
        <f>IF(A86="","",((K86)*(IF(M86="",L86,IFERROR(IF(INDEX(Variablen!$I:$AT, MATCH(M86, Variablen!$A:$A, 0), MATCH((YEAR(D86)+5), Variablen!$I$3:$AT$3, 0))="",L86,INDEX(Variablen!$I:$AT, MATCH(M86, Variablen!$A:$A, 0), MATCH((YEAR(D86)+5), Variablen!$I$3:$AT$3, 0))),L86)))*(IF((YEAR(D86)+5)&lt;YEAR(E86),0,IF((YEAR(D86)+5)&gt;YEAR(E86),1,(12-MONTH(E86)+1)/12))) + (Q86)*(IF((YEAR(D86)+5)&lt;YEAR(E86),0,IF((YEAR(D86)+5)&gt;YEAR(E86),1,(12-MONTH(E86)+1)/12))))-((P86)*(IF((YEAR(D86)+5)&lt;YEAR(E86),0,IF((YEAR(D86)+5)&gt;YEAR(E86),1,(12-MONTH(E86)+1)/12))) + (R86)*(IF((YEAR(D86)+5)&lt;YEAR(E86),0,IF((YEAR(D86)+5)&gt;YEAR(E86),1,(12-MONTH(E86)+1)/12))))-(IF((((K86)*(IF(M86="",L86,IFERROR(IF(INDEX(Variablen!$I:$AT, MATCH(M86, Variablen!$A:$A, 0), MATCH((YEAR(D86)+5), Variablen!$I$3:$AT$3, 0))="",L86,INDEX(Variablen!$I:$AT, MATCH(M86, Variablen!$A:$A, 0), MATCH((YEAR(D86)+5), Variablen!$I$3:$AT$3, 0))),L86)))*(IF((YEAR(D86)+5)&lt;YEAR(E86),0,IF((YEAR(D86)+5)&gt;YEAR(E86),1,(12-MONTH(E86)+1)/12))) + (Q86)*(IF((YEAR(D86)+5)&lt;YEAR(E86),0,IF((YEAR(D86)+5)&gt;YEAR(E86),1,(12-MONTH(E86)+1)/12))))-((P86)*(IF((YEAR(D86)+5)&lt;YEAR(E86),0,IF((YEAR(D86)+5)&gt;YEAR(E86),1,(12-MONTH(E86)+1)/12))) + (R86)*(IF((YEAR(D86)+5)&lt;YEAR(E86),0,IF((YEAR(D86)+5)&gt;YEAR(E86),1,(12-MONTH(E86)+1)/12))))-(IF(OR(N86="",N86&lt;=0),0,(O86/N86)*(IF(OR(N86="",N86&lt;=0),0,IF((YEAR(D86)+5)&lt;YEAR(E86),0,IF((YEAR(D86)+5)&gt;=YEAR(E86)+N86,0,IF((YEAR(D86)+5)=YEAR(E86),(12-MONTH(E86)+1)/12,1))))))))&gt;0,(((K86)*(IF(M86="",L86,IFERROR(IF(INDEX(Variablen!$I:$AT, MATCH(M86, Variablen!$A:$A, 0), MATCH((YEAR(D86)+5), Variablen!$I$3:$AT$3, 0))="",L86,INDEX(Variablen!$I:$AT, MATCH(M86, Variablen!$A:$A, 0), MATCH((YEAR(D86)+5), Variablen!$I$3:$AT$3, 0))),L86)))*(IF((YEAR(D86)+5)&lt;YEAR(E86),0,IF((YEAR(D86)+5)&gt;YEAR(E86),1,(12-MONTH(E86)+1)/12))) + (Q86)*(IF((YEAR(D86)+5)&lt;YEAR(E86),0,IF((YEAR(D86)+5)&gt;YEAR(E86),1,(12-MONTH(E86)+1)/12))))-((P86)*(IF((YEAR(D86)+5)&lt;YEAR(E86),0,IF((YEAR(D86)+5)&gt;YEAR(E86),1,(12-MONTH(E86)+1)/12))) + (R86)*(IF((YEAR(D86)+5)&lt;YEAR(E86),0,IF((YEAR(D86)+5)&gt;YEAR(E86),1,(12-MONTH(E86)+1)/12))))-(IF(OR(N86="",N86&lt;=0),0,(O86/N86)*(IF(OR(N86="",N86&lt;=0),0,IF((YEAR(D86)+5)&lt;YEAR(E86),0,IF((YEAR(D86)+5)&gt;=YEAR(E86)+N86,0,IF((YEAR(D86)+5)=YEAR(E86),(12-MONTH(E86)+1)/12,1))))))))*TaxRate,0))-IF(5=0,O86,0))</f>
        <v/>
      </c>
      <c r="Y86" s="29">
        <f>IF(A86="","",((K86)*(IF(M86="",L86,IFERROR(IF(INDEX(Variablen!$I:$AT, MATCH(M86, Variablen!$A:$A, 0), MATCH((YEAR(D86)+6), Variablen!$I$3:$AT$3, 0))="",L86,INDEX(Variablen!$I:$AT, MATCH(M86, Variablen!$A:$A, 0), MATCH((YEAR(D86)+6), Variablen!$I$3:$AT$3, 0))),L86)))*(IF((YEAR(D86)+6)&lt;YEAR(E86),0,IF((YEAR(D86)+6)&gt;YEAR(E86),1,(12-MONTH(E86)+1)/12))) + (Q86)*(IF((YEAR(D86)+6)&lt;YEAR(E86),0,IF((YEAR(D86)+6)&gt;YEAR(E86),1,(12-MONTH(E86)+1)/12))))-((P86)*(IF((YEAR(D86)+6)&lt;YEAR(E86),0,IF((YEAR(D86)+6)&gt;YEAR(E86),1,(12-MONTH(E86)+1)/12))) + (R86)*(IF((YEAR(D86)+6)&lt;YEAR(E86),0,IF((YEAR(D86)+6)&gt;YEAR(E86),1,(12-MONTH(E86)+1)/12))))-(IF((((K86)*(IF(M86="",L86,IFERROR(IF(INDEX(Variablen!$I:$AT, MATCH(M86, Variablen!$A:$A, 0), MATCH((YEAR(D86)+6), Variablen!$I$3:$AT$3, 0))="",L86,INDEX(Variablen!$I:$AT, MATCH(M86, Variablen!$A:$A, 0), MATCH((YEAR(D86)+6), Variablen!$I$3:$AT$3, 0))),L86)))*(IF((YEAR(D86)+6)&lt;YEAR(E86),0,IF((YEAR(D86)+6)&gt;YEAR(E86),1,(12-MONTH(E86)+1)/12))) + (Q86)*(IF((YEAR(D86)+6)&lt;YEAR(E86),0,IF((YEAR(D86)+6)&gt;YEAR(E86),1,(12-MONTH(E86)+1)/12))))-((P86)*(IF((YEAR(D86)+6)&lt;YEAR(E86),0,IF((YEAR(D86)+6)&gt;YEAR(E86),1,(12-MONTH(E86)+1)/12))) + (R86)*(IF((YEAR(D86)+6)&lt;YEAR(E86),0,IF((YEAR(D86)+6)&gt;YEAR(E86),1,(12-MONTH(E86)+1)/12))))-(IF(OR(N86="",N86&lt;=0),0,(O86/N86)*(IF(OR(N86="",N86&lt;=0),0,IF((YEAR(D86)+6)&lt;YEAR(E86),0,IF((YEAR(D86)+6)&gt;=YEAR(E86)+N86,0,IF((YEAR(D86)+6)=YEAR(E86),(12-MONTH(E86)+1)/12,1))))))))&gt;0,(((K86)*(IF(M86="",L86,IFERROR(IF(INDEX(Variablen!$I:$AT, MATCH(M86, Variablen!$A:$A, 0), MATCH((YEAR(D86)+6), Variablen!$I$3:$AT$3, 0))="",L86,INDEX(Variablen!$I:$AT, MATCH(M86, Variablen!$A:$A, 0), MATCH((YEAR(D86)+6), Variablen!$I$3:$AT$3, 0))),L86)))*(IF((YEAR(D86)+6)&lt;YEAR(E86),0,IF((YEAR(D86)+6)&gt;YEAR(E86),1,(12-MONTH(E86)+1)/12))) + (Q86)*(IF((YEAR(D86)+6)&lt;YEAR(E86),0,IF((YEAR(D86)+6)&gt;YEAR(E86),1,(12-MONTH(E86)+1)/12))))-((P86)*(IF((YEAR(D86)+6)&lt;YEAR(E86),0,IF((YEAR(D86)+6)&gt;YEAR(E86),1,(12-MONTH(E86)+1)/12))) + (R86)*(IF((YEAR(D86)+6)&lt;YEAR(E86),0,IF((YEAR(D86)+6)&gt;YEAR(E86),1,(12-MONTH(E86)+1)/12))))-(IF(OR(N86="",N86&lt;=0),0,(O86/N86)*(IF(OR(N86="",N86&lt;=0),0,IF((YEAR(D86)+6)&lt;YEAR(E86),0,IF((YEAR(D86)+6)&gt;=YEAR(E86)+N86,0,IF((YEAR(D86)+6)=YEAR(E86),(12-MONTH(E86)+1)/12,1))))))))*TaxRate,0))-IF(6=0,O86,0))</f>
        <v/>
      </c>
      <c r="Z86" s="29">
        <f>IF(A86="","",((K86)*(IF(M86="",L86,IFERROR(IF(INDEX(Variablen!$I:$AT, MATCH(M86, Variablen!$A:$A, 0), MATCH((YEAR(D86)+7), Variablen!$I$3:$AT$3, 0))="",L86,INDEX(Variablen!$I:$AT, MATCH(M86, Variablen!$A:$A, 0), MATCH((YEAR(D86)+7), Variablen!$I$3:$AT$3, 0))),L86)))*(IF((YEAR(D86)+7)&lt;YEAR(E86),0,IF((YEAR(D86)+7)&gt;YEAR(E86),1,(12-MONTH(E86)+1)/12))) + (Q86)*(IF((YEAR(D86)+7)&lt;YEAR(E86),0,IF((YEAR(D86)+7)&gt;YEAR(E86),1,(12-MONTH(E86)+1)/12))))-((P86)*(IF((YEAR(D86)+7)&lt;YEAR(E86),0,IF((YEAR(D86)+7)&gt;YEAR(E86),1,(12-MONTH(E86)+1)/12))) + (R86)*(IF((YEAR(D86)+7)&lt;YEAR(E86),0,IF((YEAR(D86)+7)&gt;YEAR(E86),1,(12-MONTH(E86)+1)/12))))-(IF((((K86)*(IF(M86="",L86,IFERROR(IF(INDEX(Variablen!$I:$AT, MATCH(M86, Variablen!$A:$A, 0), MATCH((YEAR(D86)+7), Variablen!$I$3:$AT$3, 0))="",L86,INDEX(Variablen!$I:$AT, MATCH(M86, Variablen!$A:$A, 0), MATCH((YEAR(D86)+7), Variablen!$I$3:$AT$3, 0))),L86)))*(IF((YEAR(D86)+7)&lt;YEAR(E86),0,IF((YEAR(D86)+7)&gt;YEAR(E86),1,(12-MONTH(E86)+1)/12))) + (Q86)*(IF((YEAR(D86)+7)&lt;YEAR(E86),0,IF((YEAR(D86)+7)&gt;YEAR(E86),1,(12-MONTH(E86)+1)/12))))-((P86)*(IF((YEAR(D86)+7)&lt;YEAR(E86),0,IF((YEAR(D86)+7)&gt;YEAR(E86),1,(12-MONTH(E86)+1)/12))) + (R86)*(IF((YEAR(D86)+7)&lt;YEAR(E86),0,IF((YEAR(D86)+7)&gt;YEAR(E86),1,(12-MONTH(E86)+1)/12))))-(IF(OR(N86="",N86&lt;=0),0,(O86/N86)*(IF(OR(N86="",N86&lt;=0),0,IF((YEAR(D86)+7)&lt;YEAR(E86),0,IF((YEAR(D86)+7)&gt;=YEAR(E86)+N86,0,IF((YEAR(D86)+7)=YEAR(E86),(12-MONTH(E86)+1)/12,1))))))))&gt;0,(((K86)*(IF(M86="",L86,IFERROR(IF(INDEX(Variablen!$I:$AT, MATCH(M86, Variablen!$A:$A, 0), MATCH((YEAR(D86)+7), Variablen!$I$3:$AT$3, 0))="",L86,INDEX(Variablen!$I:$AT, MATCH(M86, Variablen!$A:$A, 0), MATCH((YEAR(D86)+7), Variablen!$I$3:$AT$3, 0))),L86)))*(IF((YEAR(D86)+7)&lt;YEAR(E86),0,IF((YEAR(D86)+7)&gt;YEAR(E86),1,(12-MONTH(E86)+1)/12))) + (Q86)*(IF((YEAR(D86)+7)&lt;YEAR(E86),0,IF((YEAR(D86)+7)&gt;YEAR(E86),1,(12-MONTH(E86)+1)/12))))-((P86)*(IF((YEAR(D86)+7)&lt;YEAR(E86),0,IF((YEAR(D86)+7)&gt;YEAR(E86),1,(12-MONTH(E86)+1)/12))) + (R86)*(IF((YEAR(D86)+7)&lt;YEAR(E86),0,IF((YEAR(D86)+7)&gt;YEAR(E86),1,(12-MONTH(E86)+1)/12))))-(IF(OR(N86="",N86&lt;=0),0,(O86/N86)*(IF(OR(N86="",N86&lt;=0),0,IF((YEAR(D86)+7)&lt;YEAR(E86),0,IF((YEAR(D86)+7)&gt;=YEAR(E86)+N86,0,IF((YEAR(D86)+7)=YEAR(E86),(12-MONTH(E86)+1)/12,1))))))))*TaxRate,0))-IF(7=0,O86,0))</f>
        <v/>
      </c>
      <c r="AA86" s="29">
        <f>IF(A86="","",((K86)*(IF(M86="",L86,IFERROR(IF(INDEX(Variablen!$I:$AT, MATCH(M86, Variablen!$A:$A, 0), MATCH((YEAR(D86)+8), Variablen!$I$3:$AT$3, 0))="",L86,INDEX(Variablen!$I:$AT, MATCH(M86, Variablen!$A:$A, 0), MATCH((YEAR(D86)+8), Variablen!$I$3:$AT$3, 0))),L86)))*(IF((YEAR(D86)+8)&lt;YEAR(E86),0,IF((YEAR(D86)+8)&gt;YEAR(E86),1,(12-MONTH(E86)+1)/12))) + (Q86)*(IF((YEAR(D86)+8)&lt;YEAR(E86),0,IF((YEAR(D86)+8)&gt;YEAR(E86),1,(12-MONTH(E86)+1)/12))))-((P86)*(IF((YEAR(D86)+8)&lt;YEAR(E86),0,IF((YEAR(D86)+8)&gt;YEAR(E86),1,(12-MONTH(E86)+1)/12))) + (R86)*(IF((YEAR(D86)+8)&lt;YEAR(E86),0,IF((YEAR(D86)+8)&gt;YEAR(E86),1,(12-MONTH(E86)+1)/12))))-(IF((((K86)*(IF(M86="",L86,IFERROR(IF(INDEX(Variablen!$I:$AT, MATCH(M86, Variablen!$A:$A, 0), MATCH((YEAR(D86)+8), Variablen!$I$3:$AT$3, 0))="",L86,INDEX(Variablen!$I:$AT, MATCH(M86, Variablen!$A:$A, 0), MATCH((YEAR(D86)+8), Variablen!$I$3:$AT$3, 0))),L86)))*(IF((YEAR(D86)+8)&lt;YEAR(E86),0,IF((YEAR(D86)+8)&gt;YEAR(E86),1,(12-MONTH(E86)+1)/12))) + (Q86)*(IF((YEAR(D86)+8)&lt;YEAR(E86),0,IF((YEAR(D86)+8)&gt;YEAR(E86),1,(12-MONTH(E86)+1)/12))))-((P86)*(IF((YEAR(D86)+8)&lt;YEAR(E86),0,IF((YEAR(D86)+8)&gt;YEAR(E86),1,(12-MONTH(E86)+1)/12))) + (R86)*(IF((YEAR(D86)+8)&lt;YEAR(E86),0,IF((YEAR(D86)+8)&gt;YEAR(E86),1,(12-MONTH(E86)+1)/12))))-(IF(OR(N86="",N86&lt;=0),0,(O86/N86)*(IF(OR(N86="",N86&lt;=0),0,IF((YEAR(D86)+8)&lt;YEAR(E86),0,IF((YEAR(D86)+8)&gt;=YEAR(E86)+N86,0,IF((YEAR(D86)+8)=YEAR(E86),(12-MONTH(E86)+1)/12,1))))))))&gt;0,(((K86)*(IF(M86="",L86,IFERROR(IF(INDEX(Variablen!$I:$AT, MATCH(M86, Variablen!$A:$A, 0), MATCH((YEAR(D86)+8), Variablen!$I$3:$AT$3, 0))="",L86,INDEX(Variablen!$I:$AT, MATCH(M86, Variablen!$A:$A, 0), MATCH((YEAR(D86)+8), Variablen!$I$3:$AT$3, 0))),L86)))*(IF((YEAR(D86)+8)&lt;YEAR(E86),0,IF((YEAR(D86)+8)&gt;YEAR(E86),1,(12-MONTH(E86)+1)/12))) + (Q86)*(IF((YEAR(D86)+8)&lt;YEAR(E86),0,IF((YEAR(D86)+8)&gt;YEAR(E86),1,(12-MONTH(E86)+1)/12))))-((P86)*(IF((YEAR(D86)+8)&lt;YEAR(E86),0,IF((YEAR(D86)+8)&gt;YEAR(E86),1,(12-MONTH(E86)+1)/12))) + (R86)*(IF((YEAR(D86)+8)&lt;YEAR(E86),0,IF((YEAR(D86)+8)&gt;YEAR(E86),1,(12-MONTH(E86)+1)/12))))-(IF(OR(N86="",N86&lt;=0),0,(O86/N86)*(IF(OR(N86="",N86&lt;=0),0,IF((YEAR(D86)+8)&lt;YEAR(E86),0,IF((YEAR(D86)+8)&gt;=YEAR(E86)+N86,0,IF((YEAR(D86)+8)=YEAR(E86),(12-MONTH(E86)+1)/12,1))))))))*TaxRate,0))-IF(8=0,O86,0))</f>
        <v/>
      </c>
      <c r="AB86" s="29">
        <f>IF(A86="","",((K86)*(IF(M86="",L86,IFERROR(IF(INDEX(Variablen!$I:$AT, MATCH(M86, Variablen!$A:$A, 0), MATCH((YEAR(D86)+9), Variablen!$I$3:$AT$3, 0))="",L86,INDEX(Variablen!$I:$AT, MATCH(M86, Variablen!$A:$A, 0), MATCH((YEAR(D86)+9), Variablen!$I$3:$AT$3, 0))),L86)))*(IF((YEAR(D86)+9)&lt;YEAR(E86),0,IF((YEAR(D86)+9)&gt;YEAR(E86),1,(12-MONTH(E86)+1)/12))) + (Q86)*(IF((YEAR(D86)+9)&lt;YEAR(E86),0,IF((YEAR(D86)+9)&gt;YEAR(E86),1,(12-MONTH(E86)+1)/12))))-((P86)*(IF((YEAR(D86)+9)&lt;YEAR(E86),0,IF((YEAR(D86)+9)&gt;YEAR(E86),1,(12-MONTH(E86)+1)/12))) + (R86)*(IF((YEAR(D86)+9)&lt;YEAR(E86),0,IF((YEAR(D86)+9)&gt;YEAR(E86),1,(12-MONTH(E86)+1)/12))))-(IF((((K86)*(IF(M86="",L86,IFERROR(IF(INDEX(Variablen!$I:$AT, MATCH(M86, Variablen!$A:$A, 0), MATCH((YEAR(D86)+9), Variablen!$I$3:$AT$3, 0))="",L86,INDEX(Variablen!$I:$AT, MATCH(M86, Variablen!$A:$A, 0), MATCH((YEAR(D86)+9), Variablen!$I$3:$AT$3, 0))),L86)))*(IF((YEAR(D86)+9)&lt;YEAR(E86),0,IF((YEAR(D86)+9)&gt;YEAR(E86),1,(12-MONTH(E86)+1)/12))) + (Q86)*(IF((YEAR(D86)+9)&lt;YEAR(E86),0,IF((YEAR(D86)+9)&gt;YEAR(E86),1,(12-MONTH(E86)+1)/12))))-((P86)*(IF((YEAR(D86)+9)&lt;YEAR(E86),0,IF((YEAR(D86)+9)&gt;YEAR(E86),1,(12-MONTH(E86)+1)/12))) + (R86)*(IF((YEAR(D86)+9)&lt;YEAR(E86),0,IF((YEAR(D86)+9)&gt;YEAR(E86),1,(12-MONTH(E86)+1)/12))))-(IF(OR(N86="",N86&lt;=0),0,(O86/N86)*(IF(OR(N86="",N86&lt;=0),0,IF((YEAR(D86)+9)&lt;YEAR(E86),0,IF((YEAR(D86)+9)&gt;=YEAR(E86)+N86,0,IF((YEAR(D86)+9)=YEAR(E86),(12-MONTH(E86)+1)/12,1))))))))&gt;0,(((K86)*(IF(M86="",L86,IFERROR(IF(INDEX(Variablen!$I:$AT, MATCH(M86, Variablen!$A:$A, 0), MATCH((YEAR(D86)+9), Variablen!$I$3:$AT$3, 0))="",L86,INDEX(Variablen!$I:$AT, MATCH(M86, Variablen!$A:$A, 0), MATCH((YEAR(D86)+9), Variablen!$I$3:$AT$3, 0))),L86)))*(IF((YEAR(D86)+9)&lt;YEAR(E86),0,IF((YEAR(D86)+9)&gt;YEAR(E86),1,(12-MONTH(E86)+1)/12))) + (Q86)*(IF((YEAR(D86)+9)&lt;YEAR(E86),0,IF((YEAR(D86)+9)&gt;YEAR(E86),1,(12-MONTH(E86)+1)/12))))-((P86)*(IF((YEAR(D86)+9)&lt;YEAR(E86),0,IF((YEAR(D86)+9)&gt;YEAR(E86),1,(12-MONTH(E86)+1)/12))) + (R86)*(IF((YEAR(D86)+9)&lt;YEAR(E86),0,IF((YEAR(D86)+9)&gt;YEAR(E86),1,(12-MONTH(E86)+1)/12))))-(IF(OR(N86="",N86&lt;=0),0,(O86/N86)*(IF(OR(N86="",N86&lt;=0),0,IF((YEAR(D86)+9)&lt;YEAR(E86),0,IF((YEAR(D86)+9)&gt;=YEAR(E86)+N86,0,IF((YEAR(D86)+9)=YEAR(E86),(12-MONTH(E86)+1)/12,1))))))))*TaxRate,0))-IF(9=0,O86,0))</f>
        <v/>
      </c>
      <c r="AC86" s="29">
        <f>IF(A86="","",((K86)*(IF(M86="",L86,IFERROR(IF(INDEX(Variablen!$I:$AT, MATCH(M86, Variablen!$A:$A, 0), MATCH((YEAR(D86)+10), Variablen!$I$3:$AT$3, 0))="",L86,INDEX(Variablen!$I:$AT, MATCH(M86, Variablen!$A:$A, 0), MATCH((YEAR(D86)+10), Variablen!$I$3:$AT$3, 0))),L86)))*(IF((YEAR(D86)+10)&lt;YEAR(E86),0,IF((YEAR(D86)+10)&gt;YEAR(E86),1,(12-MONTH(E86)+1)/12))) + (Q86)*(IF((YEAR(D86)+10)&lt;YEAR(E86),0,IF((YEAR(D86)+10)&gt;YEAR(E86),1,(12-MONTH(E86)+1)/12))))-((P86)*(IF((YEAR(D86)+10)&lt;YEAR(E86),0,IF((YEAR(D86)+10)&gt;YEAR(E86),1,(12-MONTH(E86)+1)/12))) + (R86)*(IF((YEAR(D86)+10)&lt;YEAR(E86),0,IF((YEAR(D86)+10)&gt;YEAR(E86),1,(12-MONTH(E86)+1)/12))))-(IF((((K86)*(IF(M86="",L86,IFERROR(IF(INDEX(Variablen!$I:$AT, MATCH(M86, Variablen!$A:$A, 0), MATCH((YEAR(D86)+10), Variablen!$I$3:$AT$3, 0))="",L86,INDEX(Variablen!$I:$AT, MATCH(M86, Variablen!$A:$A, 0), MATCH((YEAR(D86)+10), Variablen!$I$3:$AT$3, 0))),L86)))*(IF((YEAR(D86)+10)&lt;YEAR(E86),0,IF((YEAR(D86)+10)&gt;YEAR(E86),1,(12-MONTH(E86)+1)/12))) + (Q86)*(IF((YEAR(D86)+10)&lt;YEAR(E86),0,IF((YEAR(D86)+10)&gt;YEAR(E86),1,(12-MONTH(E86)+1)/12))))-((P86)*(IF((YEAR(D86)+10)&lt;YEAR(E86),0,IF((YEAR(D86)+10)&gt;YEAR(E86),1,(12-MONTH(E86)+1)/12))) + (R86)*(IF((YEAR(D86)+10)&lt;YEAR(E86),0,IF((YEAR(D86)+10)&gt;YEAR(E86),1,(12-MONTH(E86)+1)/12))))-(IF(OR(N86="",N86&lt;=0),0,(O86/N86)*(IF(OR(N86="",N86&lt;=0),0,IF((YEAR(D86)+10)&lt;YEAR(E86),0,IF((YEAR(D86)+10)&gt;=YEAR(E86)+N86,0,IF((YEAR(D86)+10)=YEAR(E86),(12-MONTH(E86)+1)/12,1))))))))&gt;0,(((K86)*(IF(M86="",L86,IFERROR(IF(INDEX(Variablen!$I:$AT, MATCH(M86, Variablen!$A:$A, 0), MATCH((YEAR(D86)+10), Variablen!$I$3:$AT$3, 0))="",L86,INDEX(Variablen!$I:$AT, MATCH(M86, Variablen!$A:$A, 0), MATCH((YEAR(D86)+10), Variablen!$I$3:$AT$3, 0))),L86)))*(IF((YEAR(D86)+10)&lt;YEAR(E86),0,IF((YEAR(D86)+10)&gt;YEAR(E86),1,(12-MONTH(E86)+1)/12))) + (Q86)*(IF((YEAR(D86)+10)&lt;YEAR(E86),0,IF((YEAR(D86)+10)&gt;YEAR(E86),1,(12-MONTH(E86)+1)/12))))-((P86)*(IF((YEAR(D86)+10)&lt;YEAR(E86),0,IF((YEAR(D86)+10)&gt;YEAR(E86),1,(12-MONTH(E86)+1)/12))) + (R86)*(IF((YEAR(D86)+10)&lt;YEAR(E86),0,IF((YEAR(D86)+10)&gt;YEAR(E86),1,(12-MONTH(E86)+1)/12))))-(IF(OR(N86="",N86&lt;=0),0,(O86/N86)*(IF(OR(N86="",N86&lt;=0),0,IF((YEAR(D86)+10)&lt;YEAR(E86),0,IF((YEAR(D86)+10)&gt;=YEAR(E86)+N86,0,IF((YEAR(D86)+10)=YEAR(E86),(12-MONTH(E86)+1)/12,1))))))))*TaxRate,0))-IF(10=0,O86,0))</f>
        <v/>
      </c>
      <c r="AD86" s="29">
        <f>IF(A86="","",((K86)*(IF(M86="",L86,IFERROR(IF(INDEX(Variablen!$I:$AT, MATCH(M86, Variablen!$A:$A, 0), MATCH((YEAR(D86)+11), Variablen!$I$3:$AT$3, 0))="",L86,INDEX(Variablen!$I:$AT, MATCH(M86, Variablen!$A:$A, 0), MATCH((YEAR(D86)+11), Variablen!$I$3:$AT$3, 0))),L86)))*(IF((YEAR(D86)+11)&lt;YEAR(E86),0,IF((YEAR(D86)+11)&gt;YEAR(E86),1,(12-MONTH(E86)+1)/12))) + (Q86)*(IF((YEAR(D86)+11)&lt;YEAR(E86),0,IF((YEAR(D86)+11)&gt;YEAR(E86),1,(12-MONTH(E86)+1)/12))))-((P86)*(IF((YEAR(D86)+11)&lt;YEAR(E86),0,IF((YEAR(D86)+11)&gt;YEAR(E86),1,(12-MONTH(E86)+1)/12))) + (R86)*(IF((YEAR(D86)+11)&lt;YEAR(E86),0,IF((YEAR(D86)+11)&gt;YEAR(E86),1,(12-MONTH(E86)+1)/12))))-(IF((((K86)*(IF(M86="",L86,IFERROR(IF(INDEX(Variablen!$I:$AT, MATCH(M86, Variablen!$A:$A, 0), MATCH((YEAR(D86)+11), Variablen!$I$3:$AT$3, 0))="",L86,INDEX(Variablen!$I:$AT, MATCH(M86, Variablen!$A:$A, 0), MATCH((YEAR(D86)+11), Variablen!$I$3:$AT$3, 0))),L86)))*(IF((YEAR(D86)+11)&lt;YEAR(E86),0,IF((YEAR(D86)+11)&gt;YEAR(E86),1,(12-MONTH(E86)+1)/12))) + (Q86)*(IF((YEAR(D86)+11)&lt;YEAR(E86),0,IF((YEAR(D86)+11)&gt;YEAR(E86),1,(12-MONTH(E86)+1)/12))))-((P86)*(IF((YEAR(D86)+11)&lt;YEAR(E86),0,IF((YEAR(D86)+11)&gt;YEAR(E86),1,(12-MONTH(E86)+1)/12))) + (R86)*(IF((YEAR(D86)+11)&lt;YEAR(E86),0,IF((YEAR(D86)+11)&gt;YEAR(E86),1,(12-MONTH(E86)+1)/12))))-(IF(OR(N86="",N86&lt;=0),0,(O86/N86)*(IF(OR(N86="",N86&lt;=0),0,IF((YEAR(D86)+11)&lt;YEAR(E86),0,IF((YEAR(D86)+11)&gt;=YEAR(E86)+N86,0,IF((YEAR(D86)+11)=YEAR(E86),(12-MONTH(E86)+1)/12,1))))))))&gt;0,(((K86)*(IF(M86="",L86,IFERROR(IF(INDEX(Variablen!$I:$AT, MATCH(M86, Variablen!$A:$A, 0), MATCH((YEAR(D86)+11), Variablen!$I$3:$AT$3, 0))="",L86,INDEX(Variablen!$I:$AT, MATCH(M86, Variablen!$A:$A, 0), MATCH((YEAR(D86)+11), Variablen!$I$3:$AT$3, 0))),L86)))*(IF((YEAR(D86)+11)&lt;YEAR(E86),0,IF((YEAR(D86)+11)&gt;YEAR(E86),1,(12-MONTH(E86)+1)/12))) + (Q86)*(IF((YEAR(D86)+11)&lt;YEAR(E86),0,IF((YEAR(D86)+11)&gt;YEAR(E86),1,(12-MONTH(E86)+1)/12))))-((P86)*(IF((YEAR(D86)+11)&lt;YEAR(E86),0,IF((YEAR(D86)+11)&gt;YEAR(E86),1,(12-MONTH(E86)+1)/12))) + (R86)*(IF((YEAR(D86)+11)&lt;YEAR(E86),0,IF((YEAR(D86)+11)&gt;YEAR(E86),1,(12-MONTH(E86)+1)/12))))-(IF(OR(N86="",N86&lt;=0),0,(O86/N86)*(IF(OR(N86="",N86&lt;=0),0,IF((YEAR(D86)+11)&lt;YEAR(E86),0,IF((YEAR(D86)+11)&gt;=YEAR(E86)+N86,0,IF((YEAR(D86)+11)=YEAR(E86),(12-MONTH(E86)+1)/12,1))))))))*TaxRate,0))-IF(11=0,O86,0))</f>
        <v/>
      </c>
      <c r="AE86" s="29">
        <f>IF(A86="","",((K86)*(IF(M86="",L86,IFERROR(IF(INDEX(Variablen!$I:$AT, MATCH(M86, Variablen!$A:$A, 0), MATCH((YEAR(D86)+12), Variablen!$I$3:$AT$3, 0))="",L86,INDEX(Variablen!$I:$AT, MATCH(M86, Variablen!$A:$A, 0), MATCH((YEAR(D86)+12), Variablen!$I$3:$AT$3, 0))),L86)))*(IF((YEAR(D86)+12)&lt;YEAR(E86),0,IF((YEAR(D86)+12)&gt;YEAR(E86),1,(12-MONTH(E86)+1)/12))) + (Q86)*(IF((YEAR(D86)+12)&lt;YEAR(E86),0,IF((YEAR(D86)+12)&gt;YEAR(E86),1,(12-MONTH(E86)+1)/12))))-((P86)*(IF((YEAR(D86)+12)&lt;YEAR(E86),0,IF((YEAR(D86)+12)&gt;YEAR(E86),1,(12-MONTH(E86)+1)/12))) + (R86)*(IF((YEAR(D86)+12)&lt;YEAR(E86),0,IF((YEAR(D86)+12)&gt;YEAR(E86),1,(12-MONTH(E86)+1)/12))))-(IF((((K86)*(IF(M86="",L86,IFERROR(IF(INDEX(Variablen!$I:$AT, MATCH(M86, Variablen!$A:$A, 0), MATCH((YEAR(D86)+12), Variablen!$I$3:$AT$3, 0))="",L86,INDEX(Variablen!$I:$AT, MATCH(M86, Variablen!$A:$A, 0), MATCH((YEAR(D86)+12), Variablen!$I$3:$AT$3, 0))),L86)))*(IF((YEAR(D86)+12)&lt;YEAR(E86),0,IF((YEAR(D86)+12)&gt;YEAR(E86),1,(12-MONTH(E86)+1)/12))) + (Q86)*(IF((YEAR(D86)+12)&lt;YEAR(E86),0,IF((YEAR(D86)+12)&gt;YEAR(E86),1,(12-MONTH(E86)+1)/12))))-((P86)*(IF((YEAR(D86)+12)&lt;YEAR(E86),0,IF((YEAR(D86)+12)&gt;YEAR(E86),1,(12-MONTH(E86)+1)/12))) + (R86)*(IF((YEAR(D86)+12)&lt;YEAR(E86),0,IF((YEAR(D86)+12)&gt;YEAR(E86),1,(12-MONTH(E86)+1)/12))))-(IF(OR(N86="",N86&lt;=0),0,(O86/N86)*(IF(OR(N86="",N86&lt;=0),0,IF((YEAR(D86)+12)&lt;YEAR(E86),0,IF((YEAR(D86)+12)&gt;=YEAR(E86)+N86,0,IF((YEAR(D86)+12)=YEAR(E86),(12-MONTH(E86)+1)/12,1))))))))&gt;0,(((K86)*(IF(M86="",L86,IFERROR(IF(INDEX(Variablen!$I:$AT, MATCH(M86, Variablen!$A:$A, 0), MATCH((YEAR(D86)+12), Variablen!$I$3:$AT$3, 0))="",L86,INDEX(Variablen!$I:$AT, MATCH(M86, Variablen!$A:$A, 0), MATCH((YEAR(D86)+12), Variablen!$I$3:$AT$3, 0))),L86)))*(IF((YEAR(D86)+12)&lt;YEAR(E86),0,IF((YEAR(D86)+12)&gt;YEAR(E86),1,(12-MONTH(E86)+1)/12))) + (Q86)*(IF((YEAR(D86)+12)&lt;YEAR(E86),0,IF((YEAR(D86)+12)&gt;YEAR(E86),1,(12-MONTH(E86)+1)/12))))-((P86)*(IF((YEAR(D86)+12)&lt;YEAR(E86),0,IF((YEAR(D86)+12)&gt;YEAR(E86),1,(12-MONTH(E86)+1)/12))) + (R86)*(IF((YEAR(D86)+12)&lt;YEAR(E86),0,IF((YEAR(D86)+12)&gt;YEAR(E86),1,(12-MONTH(E86)+1)/12))))-(IF(OR(N86="",N86&lt;=0),0,(O86/N86)*(IF(OR(N86="",N86&lt;=0),0,IF((YEAR(D86)+12)&lt;YEAR(E86),0,IF((YEAR(D86)+12)&gt;=YEAR(E86)+N86,0,IF((YEAR(D86)+12)=YEAR(E86),(12-MONTH(E86)+1)/12,1))))))))*TaxRate,0))-IF(12=0,O86,0))</f>
        <v/>
      </c>
      <c r="AF86" s="29">
        <f>IF(A86="","",((K86)*(IF(M86="",L86,IFERROR(IF(INDEX(Variablen!$I:$AT, MATCH(M86, Variablen!$A:$A, 0), MATCH((YEAR(D86)+13), Variablen!$I$3:$AT$3, 0))="",L86,INDEX(Variablen!$I:$AT, MATCH(M86, Variablen!$A:$A, 0), MATCH((YEAR(D86)+13), Variablen!$I$3:$AT$3, 0))),L86)))*(IF((YEAR(D86)+13)&lt;YEAR(E86),0,IF((YEAR(D86)+13)&gt;YEAR(E86),1,(12-MONTH(E86)+1)/12))) + (Q86)*(IF((YEAR(D86)+13)&lt;YEAR(E86),0,IF((YEAR(D86)+13)&gt;YEAR(E86),1,(12-MONTH(E86)+1)/12))))-((P86)*(IF((YEAR(D86)+13)&lt;YEAR(E86),0,IF((YEAR(D86)+13)&gt;YEAR(E86),1,(12-MONTH(E86)+1)/12))) + (R86)*(IF((YEAR(D86)+13)&lt;YEAR(E86),0,IF((YEAR(D86)+13)&gt;YEAR(E86),1,(12-MONTH(E86)+1)/12))))-(IF((((K86)*(IF(M86="",L86,IFERROR(IF(INDEX(Variablen!$I:$AT, MATCH(M86, Variablen!$A:$A, 0), MATCH((YEAR(D86)+13), Variablen!$I$3:$AT$3, 0))="",L86,INDEX(Variablen!$I:$AT, MATCH(M86, Variablen!$A:$A, 0), MATCH((YEAR(D86)+13), Variablen!$I$3:$AT$3, 0))),L86)))*(IF((YEAR(D86)+13)&lt;YEAR(E86),0,IF((YEAR(D86)+13)&gt;YEAR(E86),1,(12-MONTH(E86)+1)/12))) + (Q86)*(IF((YEAR(D86)+13)&lt;YEAR(E86),0,IF((YEAR(D86)+13)&gt;YEAR(E86),1,(12-MONTH(E86)+1)/12))))-((P86)*(IF((YEAR(D86)+13)&lt;YEAR(E86),0,IF((YEAR(D86)+13)&gt;YEAR(E86),1,(12-MONTH(E86)+1)/12))) + (R86)*(IF((YEAR(D86)+13)&lt;YEAR(E86),0,IF((YEAR(D86)+13)&gt;YEAR(E86),1,(12-MONTH(E86)+1)/12))))-(IF(OR(N86="",N86&lt;=0),0,(O86/N86)*(IF(OR(N86="",N86&lt;=0),0,IF((YEAR(D86)+13)&lt;YEAR(E86),0,IF((YEAR(D86)+13)&gt;=YEAR(E86)+N86,0,IF((YEAR(D86)+13)=YEAR(E86),(12-MONTH(E86)+1)/12,1))))))))&gt;0,(((K86)*(IF(M86="",L86,IFERROR(IF(INDEX(Variablen!$I:$AT, MATCH(M86, Variablen!$A:$A, 0), MATCH((YEAR(D86)+13), Variablen!$I$3:$AT$3, 0))="",L86,INDEX(Variablen!$I:$AT, MATCH(M86, Variablen!$A:$A, 0), MATCH((YEAR(D86)+13), Variablen!$I$3:$AT$3, 0))),L86)))*(IF((YEAR(D86)+13)&lt;YEAR(E86),0,IF((YEAR(D86)+13)&gt;YEAR(E86),1,(12-MONTH(E86)+1)/12))) + (Q86)*(IF((YEAR(D86)+13)&lt;YEAR(E86),0,IF((YEAR(D86)+13)&gt;YEAR(E86),1,(12-MONTH(E86)+1)/12))))-((P86)*(IF((YEAR(D86)+13)&lt;YEAR(E86),0,IF((YEAR(D86)+13)&gt;YEAR(E86),1,(12-MONTH(E86)+1)/12))) + (R86)*(IF((YEAR(D86)+13)&lt;YEAR(E86),0,IF((YEAR(D86)+13)&gt;YEAR(E86),1,(12-MONTH(E86)+1)/12))))-(IF(OR(N86="",N86&lt;=0),0,(O86/N86)*(IF(OR(N86="",N86&lt;=0),0,IF((YEAR(D86)+13)&lt;YEAR(E86),0,IF((YEAR(D86)+13)&gt;=YEAR(E86)+N86,0,IF((YEAR(D86)+13)=YEAR(E86),(12-MONTH(E86)+1)/12,1))))))))*TaxRate,0))-IF(13=0,O86,0))</f>
        <v/>
      </c>
      <c r="AG86" s="29">
        <f>IF(A86="","",((K86)*(IF(M86="",L86,IFERROR(IF(INDEX(Variablen!$I:$AT, MATCH(M86, Variablen!$A:$A, 0), MATCH((YEAR(D86)+14), Variablen!$I$3:$AT$3, 0))="",L86,INDEX(Variablen!$I:$AT, MATCH(M86, Variablen!$A:$A, 0), MATCH((YEAR(D86)+14), Variablen!$I$3:$AT$3, 0))),L86)))*(IF((YEAR(D86)+14)&lt;YEAR(E86),0,IF((YEAR(D86)+14)&gt;YEAR(E86),1,(12-MONTH(E86)+1)/12))) + (Q86)*(IF((YEAR(D86)+14)&lt;YEAR(E86),0,IF((YEAR(D86)+14)&gt;YEAR(E86),1,(12-MONTH(E86)+1)/12))))-((P86)*(IF((YEAR(D86)+14)&lt;YEAR(E86),0,IF((YEAR(D86)+14)&gt;YEAR(E86),1,(12-MONTH(E86)+1)/12))) + (R86)*(IF((YEAR(D86)+14)&lt;YEAR(E86),0,IF((YEAR(D86)+14)&gt;YEAR(E86),1,(12-MONTH(E86)+1)/12))))-(IF((((K86)*(IF(M86="",L86,IFERROR(IF(INDEX(Variablen!$I:$AT, MATCH(M86, Variablen!$A:$A, 0), MATCH((YEAR(D86)+14), Variablen!$I$3:$AT$3, 0))="",L86,INDEX(Variablen!$I:$AT, MATCH(M86, Variablen!$A:$A, 0), MATCH((YEAR(D86)+14), Variablen!$I$3:$AT$3, 0))),L86)))*(IF((YEAR(D86)+14)&lt;YEAR(E86),0,IF((YEAR(D86)+14)&gt;YEAR(E86),1,(12-MONTH(E86)+1)/12))) + (Q86)*(IF((YEAR(D86)+14)&lt;YEAR(E86),0,IF((YEAR(D86)+14)&gt;YEAR(E86),1,(12-MONTH(E86)+1)/12))))-((P86)*(IF((YEAR(D86)+14)&lt;YEAR(E86),0,IF((YEAR(D86)+14)&gt;YEAR(E86),1,(12-MONTH(E86)+1)/12))) + (R86)*(IF((YEAR(D86)+14)&lt;YEAR(E86),0,IF((YEAR(D86)+14)&gt;YEAR(E86),1,(12-MONTH(E86)+1)/12))))-(IF(OR(N86="",N86&lt;=0),0,(O86/N86)*(IF(OR(N86="",N86&lt;=0),0,IF((YEAR(D86)+14)&lt;YEAR(E86),0,IF((YEAR(D86)+14)&gt;=YEAR(E86)+N86,0,IF((YEAR(D86)+14)=YEAR(E86),(12-MONTH(E86)+1)/12,1))))))))&gt;0,(((K86)*(IF(M86="",L86,IFERROR(IF(INDEX(Variablen!$I:$AT, MATCH(M86, Variablen!$A:$A, 0), MATCH((YEAR(D86)+14), Variablen!$I$3:$AT$3, 0))="",L86,INDEX(Variablen!$I:$AT, MATCH(M86, Variablen!$A:$A, 0), MATCH((YEAR(D86)+14), Variablen!$I$3:$AT$3, 0))),L86)))*(IF((YEAR(D86)+14)&lt;YEAR(E86),0,IF((YEAR(D86)+14)&gt;YEAR(E86),1,(12-MONTH(E86)+1)/12))) + (Q86)*(IF((YEAR(D86)+14)&lt;YEAR(E86),0,IF((YEAR(D86)+14)&gt;YEAR(E86),1,(12-MONTH(E86)+1)/12))))-((P86)*(IF((YEAR(D86)+14)&lt;YEAR(E86),0,IF((YEAR(D86)+14)&gt;YEAR(E86),1,(12-MONTH(E86)+1)/12))) + (R86)*(IF((YEAR(D86)+14)&lt;YEAR(E86),0,IF((YEAR(D86)+14)&gt;YEAR(E86),1,(12-MONTH(E86)+1)/12))))-(IF(OR(N86="",N86&lt;=0),0,(O86/N86)*(IF(OR(N86="",N86&lt;=0),0,IF((YEAR(D86)+14)&lt;YEAR(E86),0,IF((YEAR(D86)+14)&gt;=YEAR(E86)+N86,0,IF((YEAR(D86)+14)=YEAR(E86),(12-MONTH(E86)+1)/12,1))))))))*TaxRate,0))-IF(14=0,O86,0))</f>
        <v/>
      </c>
      <c r="AH86" s="29">
        <f>IF(A86="","",((K86)*(IF(M86="",L86,IFERROR(IF(INDEX(Variablen!$I:$AT, MATCH(M86, Variablen!$A:$A, 0), MATCH((YEAR(D86)+15), Variablen!$I$3:$AT$3, 0))="",L86,INDEX(Variablen!$I:$AT, MATCH(M86, Variablen!$A:$A, 0), MATCH((YEAR(D86)+15), Variablen!$I$3:$AT$3, 0))),L86)))*(IF((YEAR(D86)+15)&lt;YEAR(E86),0,IF((YEAR(D86)+15)&gt;YEAR(E86),1,(12-MONTH(E86)+1)/12))) + (Q86)*(IF((YEAR(D86)+15)&lt;YEAR(E86),0,IF((YEAR(D86)+15)&gt;YEAR(E86),1,(12-MONTH(E86)+1)/12))))-((P86)*(IF((YEAR(D86)+15)&lt;YEAR(E86),0,IF((YEAR(D86)+15)&gt;YEAR(E86),1,(12-MONTH(E86)+1)/12))) + (R86)*(IF((YEAR(D86)+15)&lt;YEAR(E86),0,IF((YEAR(D86)+15)&gt;YEAR(E86),1,(12-MONTH(E86)+1)/12))))-(IF((((K86)*(IF(M86="",L86,IFERROR(IF(INDEX(Variablen!$I:$AT, MATCH(M86, Variablen!$A:$A, 0), MATCH((YEAR(D86)+15), Variablen!$I$3:$AT$3, 0))="",L86,INDEX(Variablen!$I:$AT, MATCH(M86, Variablen!$A:$A, 0), MATCH((YEAR(D86)+15), Variablen!$I$3:$AT$3, 0))),L86)))*(IF((YEAR(D86)+15)&lt;YEAR(E86),0,IF((YEAR(D86)+15)&gt;YEAR(E86),1,(12-MONTH(E86)+1)/12))) + (Q86)*(IF((YEAR(D86)+15)&lt;YEAR(E86),0,IF((YEAR(D86)+15)&gt;YEAR(E86),1,(12-MONTH(E86)+1)/12))))-((P86)*(IF((YEAR(D86)+15)&lt;YEAR(E86),0,IF((YEAR(D86)+15)&gt;YEAR(E86),1,(12-MONTH(E86)+1)/12))) + (R86)*(IF((YEAR(D86)+15)&lt;YEAR(E86),0,IF((YEAR(D86)+15)&gt;YEAR(E86),1,(12-MONTH(E86)+1)/12))))-(IF(OR(N86="",N86&lt;=0),0,(O86/N86)*(IF(OR(N86="",N86&lt;=0),0,IF((YEAR(D86)+15)&lt;YEAR(E86),0,IF((YEAR(D86)+15)&gt;=YEAR(E86)+N86,0,IF((YEAR(D86)+15)=YEAR(E86),(12-MONTH(E86)+1)/12,1))))))))&gt;0,(((K86)*(IF(M86="",L86,IFERROR(IF(INDEX(Variablen!$I:$AT, MATCH(M86, Variablen!$A:$A, 0), MATCH((YEAR(D86)+15), Variablen!$I$3:$AT$3, 0))="",L86,INDEX(Variablen!$I:$AT, MATCH(M86, Variablen!$A:$A, 0), MATCH((YEAR(D86)+15), Variablen!$I$3:$AT$3, 0))),L86)))*(IF((YEAR(D86)+15)&lt;YEAR(E86),0,IF((YEAR(D86)+15)&gt;YEAR(E86),1,(12-MONTH(E86)+1)/12))) + (Q86)*(IF((YEAR(D86)+15)&lt;YEAR(E86),0,IF((YEAR(D86)+15)&gt;YEAR(E86),1,(12-MONTH(E86)+1)/12))))-((P86)*(IF((YEAR(D86)+15)&lt;YEAR(E86),0,IF((YEAR(D86)+15)&gt;YEAR(E86),1,(12-MONTH(E86)+1)/12))) + (R86)*(IF((YEAR(D86)+15)&lt;YEAR(E86),0,IF((YEAR(D86)+15)&gt;YEAR(E86),1,(12-MONTH(E86)+1)/12))))-(IF(OR(N86="",N86&lt;=0),0,(O86/N86)*(IF(OR(N86="",N86&lt;=0),0,IF((YEAR(D86)+15)&lt;YEAR(E86),0,IF((YEAR(D86)+15)&gt;=YEAR(E86)+N86,0,IF((YEAR(D86)+15)=YEAR(E86),(12-MONTH(E86)+1)/12,1))))))))*TaxRate,0))-IF(15=0,O86,0))</f>
        <v/>
      </c>
      <c r="AI86" s="29">
        <f>IF(A86="","",((K86)*(IF(M86="",L86,IFERROR(IF(INDEX(Variablen!$I:$AT, MATCH(M86, Variablen!$A:$A, 0), MATCH((YEAR(D86)+16), Variablen!$I$3:$AT$3, 0))="",L86,INDEX(Variablen!$I:$AT, MATCH(M86, Variablen!$A:$A, 0), MATCH((YEAR(D86)+16), Variablen!$I$3:$AT$3, 0))),L86)))*(IF((YEAR(D86)+16)&lt;YEAR(E86),0,IF((YEAR(D86)+16)&gt;YEAR(E86),1,(12-MONTH(E86)+1)/12))) + (Q86)*(IF((YEAR(D86)+16)&lt;YEAR(E86),0,IF((YEAR(D86)+16)&gt;YEAR(E86),1,(12-MONTH(E86)+1)/12))))-((P86)*(IF((YEAR(D86)+16)&lt;YEAR(E86),0,IF((YEAR(D86)+16)&gt;YEAR(E86),1,(12-MONTH(E86)+1)/12))) + (R86)*(IF((YEAR(D86)+16)&lt;YEAR(E86),0,IF((YEAR(D86)+16)&gt;YEAR(E86),1,(12-MONTH(E86)+1)/12))))-(IF((((K86)*(IF(M86="",L86,IFERROR(IF(INDEX(Variablen!$I:$AT, MATCH(M86, Variablen!$A:$A, 0), MATCH((YEAR(D86)+16), Variablen!$I$3:$AT$3, 0))="",L86,INDEX(Variablen!$I:$AT, MATCH(M86, Variablen!$A:$A, 0), MATCH((YEAR(D86)+16), Variablen!$I$3:$AT$3, 0))),L86)))*(IF((YEAR(D86)+16)&lt;YEAR(E86),0,IF((YEAR(D86)+16)&gt;YEAR(E86),1,(12-MONTH(E86)+1)/12))) + (Q86)*(IF((YEAR(D86)+16)&lt;YEAR(E86),0,IF((YEAR(D86)+16)&gt;YEAR(E86),1,(12-MONTH(E86)+1)/12))))-((P86)*(IF((YEAR(D86)+16)&lt;YEAR(E86),0,IF((YEAR(D86)+16)&gt;YEAR(E86),1,(12-MONTH(E86)+1)/12))) + (R86)*(IF((YEAR(D86)+16)&lt;YEAR(E86),0,IF((YEAR(D86)+16)&gt;YEAR(E86),1,(12-MONTH(E86)+1)/12))))-(IF(OR(N86="",N86&lt;=0),0,(O86/N86)*(IF(OR(N86="",N86&lt;=0),0,IF((YEAR(D86)+16)&lt;YEAR(E86),0,IF((YEAR(D86)+16)&gt;=YEAR(E86)+N86,0,IF((YEAR(D86)+16)=YEAR(E86),(12-MONTH(E86)+1)/12,1))))))))&gt;0,(((K86)*(IF(M86="",L86,IFERROR(IF(INDEX(Variablen!$I:$AT, MATCH(M86, Variablen!$A:$A, 0), MATCH((YEAR(D86)+16), Variablen!$I$3:$AT$3, 0))="",L86,INDEX(Variablen!$I:$AT, MATCH(M86, Variablen!$A:$A, 0), MATCH((YEAR(D86)+16), Variablen!$I$3:$AT$3, 0))),L86)))*(IF((YEAR(D86)+16)&lt;YEAR(E86),0,IF((YEAR(D86)+16)&gt;YEAR(E86),1,(12-MONTH(E86)+1)/12))) + (Q86)*(IF((YEAR(D86)+16)&lt;YEAR(E86),0,IF((YEAR(D86)+16)&gt;YEAR(E86),1,(12-MONTH(E86)+1)/12))))-((P86)*(IF((YEAR(D86)+16)&lt;YEAR(E86),0,IF((YEAR(D86)+16)&gt;YEAR(E86),1,(12-MONTH(E86)+1)/12))) + (R86)*(IF((YEAR(D86)+16)&lt;YEAR(E86),0,IF((YEAR(D86)+16)&gt;YEAR(E86),1,(12-MONTH(E86)+1)/12))))-(IF(OR(N86="",N86&lt;=0),0,(O86/N86)*(IF(OR(N86="",N86&lt;=0),0,IF((YEAR(D86)+16)&lt;YEAR(E86),0,IF((YEAR(D86)+16)&gt;=YEAR(E86)+N86,0,IF((YEAR(D86)+16)=YEAR(E86),(12-MONTH(E86)+1)/12,1))))))))*TaxRate,0))-IF(16=0,O86,0))</f>
        <v/>
      </c>
      <c r="AJ86" s="29">
        <f>IF(A86="","",((K86)*(IF(M86="",L86,IFERROR(IF(INDEX(Variablen!$I:$AT, MATCH(M86, Variablen!$A:$A, 0), MATCH((YEAR(D86)+17), Variablen!$I$3:$AT$3, 0))="",L86,INDEX(Variablen!$I:$AT, MATCH(M86, Variablen!$A:$A, 0), MATCH((YEAR(D86)+17), Variablen!$I$3:$AT$3, 0))),L86)))*(IF((YEAR(D86)+17)&lt;YEAR(E86),0,IF((YEAR(D86)+17)&gt;YEAR(E86),1,(12-MONTH(E86)+1)/12))) + (Q86)*(IF((YEAR(D86)+17)&lt;YEAR(E86),0,IF((YEAR(D86)+17)&gt;YEAR(E86),1,(12-MONTH(E86)+1)/12))))-((P86)*(IF((YEAR(D86)+17)&lt;YEAR(E86),0,IF((YEAR(D86)+17)&gt;YEAR(E86),1,(12-MONTH(E86)+1)/12))) + (R86)*(IF((YEAR(D86)+17)&lt;YEAR(E86),0,IF((YEAR(D86)+17)&gt;YEAR(E86),1,(12-MONTH(E86)+1)/12))))-(IF((((K86)*(IF(M86="",L86,IFERROR(IF(INDEX(Variablen!$I:$AT, MATCH(M86, Variablen!$A:$A, 0), MATCH((YEAR(D86)+17), Variablen!$I$3:$AT$3, 0))="",L86,INDEX(Variablen!$I:$AT, MATCH(M86, Variablen!$A:$A, 0), MATCH((YEAR(D86)+17), Variablen!$I$3:$AT$3, 0))),L86)))*(IF((YEAR(D86)+17)&lt;YEAR(E86),0,IF((YEAR(D86)+17)&gt;YEAR(E86),1,(12-MONTH(E86)+1)/12))) + (Q86)*(IF((YEAR(D86)+17)&lt;YEAR(E86),0,IF((YEAR(D86)+17)&gt;YEAR(E86),1,(12-MONTH(E86)+1)/12))))-((P86)*(IF((YEAR(D86)+17)&lt;YEAR(E86),0,IF((YEAR(D86)+17)&gt;YEAR(E86),1,(12-MONTH(E86)+1)/12))) + (R86)*(IF((YEAR(D86)+17)&lt;YEAR(E86),0,IF((YEAR(D86)+17)&gt;YEAR(E86),1,(12-MONTH(E86)+1)/12))))-(IF(OR(N86="",N86&lt;=0),0,(O86/N86)*(IF(OR(N86="",N86&lt;=0),0,IF((YEAR(D86)+17)&lt;YEAR(E86),0,IF((YEAR(D86)+17)&gt;=YEAR(E86)+N86,0,IF((YEAR(D86)+17)=YEAR(E86),(12-MONTH(E86)+1)/12,1))))))))&gt;0,(((K86)*(IF(M86="",L86,IFERROR(IF(INDEX(Variablen!$I:$AT, MATCH(M86, Variablen!$A:$A, 0), MATCH((YEAR(D86)+17), Variablen!$I$3:$AT$3, 0))="",L86,INDEX(Variablen!$I:$AT, MATCH(M86, Variablen!$A:$A, 0), MATCH((YEAR(D86)+17), Variablen!$I$3:$AT$3, 0))),L86)))*(IF((YEAR(D86)+17)&lt;YEAR(E86),0,IF((YEAR(D86)+17)&gt;YEAR(E86),1,(12-MONTH(E86)+1)/12))) + (Q86)*(IF((YEAR(D86)+17)&lt;YEAR(E86),0,IF((YEAR(D86)+17)&gt;YEAR(E86),1,(12-MONTH(E86)+1)/12))))-((P86)*(IF((YEAR(D86)+17)&lt;YEAR(E86),0,IF((YEAR(D86)+17)&gt;YEAR(E86),1,(12-MONTH(E86)+1)/12))) + (R86)*(IF((YEAR(D86)+17)&lt;YEAR(E86),0,IF((YEAR(D86)+17)&gt;YEAR(E86),1,(12-MONTH(E86)+1)/12))))-(IF(OR(N86="",N86&lt;=0),0,(O86/N86)*(IF(OR(N86="",N86&lt;=0),0,IF((YEAR(D86)+17)&lt;YEAR(E86),0,IF((YEAR(D86)+17)&gt;=YEAR(E86)+N86,0,IF((YEAR(D86)+17)=YEAR(E86),(12-MONTH(E86)+1)/12,1))))))))*TaxRate,0))-IF(17=0,O86,0))</f>
        <v/>
      </c>
      <c r="AK86" s="29">
        <f>IF(A86="","",((K86)*(IF(M86="",L86,IFERROR(IF(INDEX(Variablen!$I:$AT, MATCH(M86, Variablen!$A:$A, 0), MATCH((YEAR(D86)+18), Variablen!$I$3:$AT$3, 0))="",L86,INDEX(Variablen!$I:$AT, MATCH(M86, Variablen!$A:$A, 0), MATCH((YEAR(D86)+18), Variablen!$I$3:$AT$3, 0))),L86)))*(IF((YEAR(D86)+18)&lt;YEAR(E86),0,IF((YEAR(D86)+18)&gt;YEAR(E86),1,(12-MONTH(E86)+1)/12))) + (Q86)*(IF((YEAR(D86)+18)&lt;YEAR(E86),0,IF((YEAR(D86)+18)&gt;YEAR(E86),1,(12-MONTH(E86)+1)/12))))-((P86)*(IF((YEAR(D86)+18)&lt;YEAR(E86),0,IF((YEAR(D86)+18)&gt;YEAR(E86),1,(12-MONTH(E86)+1)/12))) + (R86)*(IF((YEAR(D86)+18)&lt;YEAR(E86),0,IF((YEAR(D86)+18)&gt;YEAR(E86),1,(12-MONTH(E86)+1)/12))))-(IF((((K86)*(IF(M86="",L86,IFERROR(IF(INDEX(Variablen!$I:$AT, MATCH(M86, Variablen!$A:$A, 0), MATCH((YEAR(D86)+18), Variablen!$I$3:$AT$3, 0))="",L86,INDEX(Variablen!$I:$AT, MATCH(M86, Variablen!$A:$A, 0), MATCH((YEAR(D86)+18), Variablen!$I$3:$AT$3, 0))),L86)))*(IF((YEAR(D86)+18)&lt;YEAR(E86),0,IF((YEAR(D86)+18)&gt;YEAR(E86),1,(12-MONTH(E86)+1)/12))) + (Q86)*(IF((YEAR(D86)+18)&lt;YEAR(E86),0,IF((YEAR(D86)+18)&gt;YEAR(E86),1,(12-MONTH(E86)+1)/12))))-((P86)*(IF((YEAR(D86)+18)&lt;YEAR(E86),0,IF((YEAR(D86)+18)&gt;YEAR(E86),1,(12-MONTH(E86)+1)/12))) + (R86)*(IF((YEAR(D86)+18)&lt;YEAR(E86),0,IF((YEAR(D86)+18)&gt;YEAR(E86),1,(12-MONTH(E86)+1)/12))))-(IF(OR(N86="",N86&lt;=0),0,(O86/N86)*(IF(OR(N86="",N86&lt;=0),0,IF((YEAR(D86)+18)&lt;YEAR(E86),0,IF((YEAR(D86)+18)&gt;=YEAR(E86)+N86,0,IF((YEAR(D86)+18)=YEAR(E86),(12-MONTH(E86)+1)/12,1))))))))&gt;0,(((K86)*(IF(M86="",L86,IFERROR(IF(INDEX(Variablen!$I:$AT, MATCH(M86, Variablen!$A:$A, 0), MATCH((YEAR(D86)+18), Variablen!$I$3:$AT$3, 0))="",L86,INDEX(Variablen!$I:$AT, MATCH(M86, Variablen!$A:$A, 0), MATCH((YEAR(D86)+18), Variablen!$I$3:$AT$3, 0))),L86)))*(IF((YEAR(D86)+18)&lt;YEAR(E86),0,IF((YEAR(D86)+18)&gt;YEAR(E86),1,(12-MONTH(E86)+1)/12))) + (Q86)*(IF((YEAR(D86)+18)&lt;YEAR(E86),0,IF((YEAR(D86)+18)&gt;YEAR(E86),1,(12-MONTH(E86)+1)/12))))-((P86)*(IF((YEAR(D86)+18)&lt;YEAR(E86),0,IF((YEAR(D86)+18)&gt;YEAR(E86),1,(12-MONTH(E86)+1)/12))) + (R86)*(IF((YEAR(D86)+18)&lt;YEAR(E86),0,IF((YEAR(D86)+18)&gt;YEAR(E86),1,(12-MONTH(E86)+1)/12))))-(IF(OR(N86="",N86&lt;=0),0,(O86/N86)*(IF(OR(N86="",N86&lt;=0),0,IF((YEAR(D86)+18)&lt;YEAR(E86),0,IF((YEAR(D86)+18)&gt;=YEAR(E86)+N86,0,IF((YEAR(D86)+18)=YEAR(E86),(12-MONTH(E86)+1)/12,1))))))))*TaxRate,0))-IF(18=0,O86,0))</f>
        <v/>
      </c>
      <c r="AL86" s="29">
        <f>IF(A86="","",((K86)*(IF(M86="",L86,IFERROR(IF(INDEX(Variablen!$I:$AT, MATCH(M86, Variablen!$A:$A, 0), MATCH((YEAR(D86)+19), Variablen!$I$3:$AT$3, 0))="",L86,INDEX(Variablen!$I:$AT, MATCH(M86, Variablen!$A:$A, 0), MATCH((YEAR(D86)+19), Variablen!$I$3:$AT$3, 0))),L86)))*(IF((YEAR(D86)+19)&lt;YEAR(E86),0,IF((YEAR(D86)+19)&gt;YEAR(E86),1,(12-MONTH(E86)+1)/12))) + (Q86)*(IF((YEAR(D86)+19)&lt;YEAR(E86),0,IF((YEAR(D86)+19)&gt;YEAR(E86),1,(12-MONTH(E86)+1)/12))))-((P86)*(IF((YEAR(D86)+19)&lt;YEAR(E86),0,IF((YEAR(D86)+19)&gt;YEAR(E86),1,(12-MONTH(E86)+1)/12))) + (R86)*(IF((YEAR(D86)+19)&lt;YEAR(E86),0,IF((YEAR(D86)+19)&gt;YEAR(E86),1,(12-MONTH(E86)+1)/12))))-(IF((((K86)*(IF(M86="",L86,IFERROR(IF(INDEX(Variablen!$I:$AT, MATCH(M86, Variablen!$A:$A, 0), MATCH((YEAR(D86)+19), Variablen!$I$3:$AT$3, 0))="",L86,INDEX(Variablen!$I:$AT, MATCH(M86, Variablen!$A:$A, 0), MATCH((YEAR(D86)+19), Variablen!$I$3:$AT$3, 0))),L86)))*(IF((YEAR(D86)+19)&lt;YEAR(E86),0,IF((YEAR(D86)+19)&gt;YEAR(E86),1,(12-MONTH(E86)+1)/12))) + (Q86)*(IF((YEAR(D86)+19)&lt;YEAR(E86),0,IF((YEAR(D86)+19)&gt;YEAR(E86),1,(12-MONTH(E86)+1)/12))))-((P86)*(IF((YEAR(D86)+19)&lt;YEAR(E86),0,IF((YEAR(D86)+19)&gt;YEAR(E86),1,(12-MONTH(E86)+1)/12))) + (R86)*(IF((YEAR(D86)+19)&lt;YEAR(E86),0,IF((YEAR(D86)+19)&gt;YEAR(E86),1,(12-MONTH(E86)+1)/12))))-(IF(OR(N86="",N86&lt;=0),0,(O86/N86)*(IF(OR(N86="",N86&lt;=0),0,IF((YEAR(D86)+19)&lt;YEAR(E86),0,IF((YEAR(D86)+19)&gt;=YEAR(E86)+N86,0,IF((YEAR(D86)+19)=YEAR(E86),(12-MONTH(E86)+1)/12,1))))))))&gt;0,(((K86)*(IF(M86="",L86,IFERROR(IF(INDEX(Variablen!$I:$AT, MATCH(M86, Variablen!$A:$A, 0), MATCH((YEAR(D86)+19), Variablen!$I$3:$AT$3, 0))="",L86,INDEX(Variablen!$I:$AT, MATCH(M86, Variablen!$A:$A, 0), MATCH((YEAR(D86)+19), Variablen!$I$3:$AT$3, 0))),L86)))*(IF((YEAR(D86)+19)&lt;YEAR(E86),0,IF((YEAR(D86)+19)&gt;YEAR(E86),1,(12-MONTH(E86)+1)/12))) + (Q86)*(IF((YEAR(D86)+19)&lt;YEAR(E86),0,IF((YEAR(D86)+19)&gt;YEAR(E86),1,(12-MONTH(E86)+1)/12))))-((P86)*(IF((YEAR(D86)+19)&lt;YEAR(E86),0,IF((YEAR(D86)+19)&gt;YEAR(E86),1,(12-MONTH(E86)+1)/12))) + (R86)*(IF((YEAR(D86)+19)&lt;YEAR(E86),0,IF((YEAR(D86)+19)&gt;YEAR(E86),1,(12-MONTH(E86)+1)/12))))-(IF(OR(N86="",N86&lt;=0),0,(O86/N86)*(IF(OR(N86="",N86&lt;=0),0,IF((YEAR(D86)+19)&lt;YEAR(E86),0,IF((YEAR(D86)+19)&gt;=YEAR(E86)+N86,0,IF((YEAR(D86)+19)=YEAR(E86),(12-MONTH(E86)+1)/12,1))))))))*TaxRate,0))-IF(19=0,O86,0))</f>
        <v/>
      </c>
      <c r="AM86" s="29">
        <f>IF(A86="","",((K86)*(IF(M86="",L86,IFERROR(IF(INDEX(Variablen!$I:$AT, MATCH(M86, Variablen!$A:$A, 0), MATCH((YEAR(D86)+20), Variablen!$I$3:$AT$3, 0))="",L86,INDEX(Variablen!$I:$AT, MATCH(M86, Variablen!$A:$A, 0), MATCH((YEAR(D86)+20), Variablen!$I$3:$AT$3, 0))),L86)))*(IF((YEAR(D86)+20)&lt;YEAR(E86),0,IF((YEAR(D86)+20)&gt;YEAR(E86),1,(12-MONTH(E86)+1)/12))) + (Q86)*(IF((YEAR(D86)+20)&lt;YEAR(E86),0,IF((YEAR(D86)+20)&gt;YEAR(E86),1,(12-MONTH(E86)+1)/12))))-((P86)*(IF((YEAR(D86)+20)&lt;YEAR(E86),0,IF((YEAR(D86)+20)&gt;YEAR(E86),1,(12-MONTH(E86)+1)/12))) + (R86)*(IF((YEAR(D86)+20)&lt;YEAR(E86),0,IF((YEAR(D86)+20)&gt;YEAR(E86),1,(12-MONTH(E86)+1)/12))))-(IF((((K86)*(IF(M86="",L86,IFERROR(IF(INDEX(Variablen!$I:$AT, MATCH(M86, Variablen!$A:$A, 0), MATCH((YEAR(D86)+20), Variablen!$I$3:$AT$3, 0))="",L86,INDEX(Variablen!$I:$AT, MATCH(M86, Variablen!$A:$A, 0), MATCH((YEAR(D86)+20), Variablen!$I$3:$AT$3, 0))),L86)))*(IF((YEAR(D86)+20)&lt;YEAR(E86),0,IF((YEAR(D86)+20)&gt;YEAR(E86),1,(12-MONTH(E86)+1)/12))) + (Q86)*(IF((YEAR(D86)+20)&lt;YEAR(E86),0,IF((YEAR(D86)+20)&gt;YEAR(E86),1,(12-MONTH(E86)+1)/12))))-((P86)*(IF((YEAR(D86)+20)&lt;YEAR(E86),0,IF((YEAR(D86)+20)&gt;YEAR(E86),1,(12-MONTH(E86)+1)/12))) + (R86)*(IF((YEAR(D86)+20)&lt;YEAR(E86),0,IF((YEAR(D86)+20)&gt;YEAR(E86),1,(12-MONTH(E86)+1)/12))))-(IF(OR(N86="",N86&lt;=0),0,(O86/N86)*(IF(OR(N86="",N86&lt;=0),0,IF((YEAR(D86)+20)&lt;YEAR(E86),0,IF((YEAR(D86)+20)&gt;=YEAR(E86)+N86,0,IF((YEAR(D86)+20)=YEAR(E86),(12-MONTH(E86)+1)/12,1))))))))&gt;0,(((K86)*(IF(M86="",L86,IFERROR(IF(INDEX(Variablen!$I:$AT, MATCH(M86, Variablen!$A:$A, 0), MATCH((YEAR(D86)+20), Variablen!$I$3:$AT$3, 0))="",L86,INDEX(Variablen!$I:$AT, MATCH(M86, Variablen!$A:$A, 0), MATCH((YEAR(D86)+20), Variablen!$I$3:$AT$3, 0))),L86)))*(IF((YEAR(D86)+20)&lt;YEAR(E86),0,IF((YEAR(D86)+20)&gt;YEAR(E86),1,(12-MONTH(E86)+1)/12))) + (Q86)*(IF((YEAR(D86)+20)&lt;YEAR(E86),0,IF((YEAR(D86)+20)&gt;YEAR(E86),1,(12-MONTH(E86)+1)/12))))-((P86)*(IF((YEAR(D86)+20)&lt;YEAR(E86),0,IF((YEAR(D86)+20)&gt;YEAR(E86),1,(12-MONTH(E86)+1)/12))) + (R86)*(IF((YEAR(D86)+20)&lt;YEAR(E86),0,IF((YEAR(D86)+20)&gt;YEAR(E86),1,(12-MONTH(E86)+1)/12))))-(IF(OR(N86="",N86&lt;=0),0,(O86/N86)*(IF(OR(N86="",N86&lt;=0),0,IF((YEAR(D86)+20)&lt;YEAR(E86),0,IF((YEAR(D86)+20)&gt;=YEAR(E86)+N86,0,IF((YEAR(D86)+20)=YEAR(E86),(12-MONTH(E86)+1)/12,1))))))))*TaxRate,0))-IF(20=0,O86,0))</f>
        <v/>
      </c>
      <c r="AN86" s="29">
        <f>IF(A86="","",S86)</f>
        <v/>
      </c>
      <c r="AO86" s="29">
        <f>IF(A86="","",AN86+T86)</f>
        <v/>
      </c>
      <c r="AP86" s="29">
        <f>IF(A86="","",AO86+U86)</f>
        <v/>
      </c>
      <c r="AQ86" s="29">
        <f>IF(A86="","",AP86+V86)</f>
        <v/>
      </c>
      <c r="AR86" s="29">
        <f>IF(A86="","",AQ86+W86)</f>
        <v/>
      </c>
      <c r="AS86" s="29">
        <f>IF(A86="","",AR86+X86)</f>
        <v/>
      </c>
      <c r="AT86" s="29">
        <f>IF(A86="","",AS86+Y86)</f>
        <v/>
      </c>
      <c r="AU86" s="29">
        <f>IF(A86="","",AT86+Z86)</f>
        <v/>
      </c>
      <c r="AV86" s="29">
        <f>IF(A86="","",AU86+AA86)</f>
        <v/>
      </c>
      <c r="AW86" s="29">
        <f>IF(A86="","",AV86+AB86)</f>
        <v/>
      </c>
      <c r="AX86" s="29">
        <f>IF(A86="","",AW86+AC86)</f>
        <v/>
      </c>
      <c r="AY86" s="29">
        <f>IF(A86="","",AX86+AD86)</f>
        <v/>
      </c>
      <c r="AZ86" s="29">
        <f>IF(A86="","",AY86+AE86)</f>
        <v/>
      </c>
      <c r="BA86" s="29">
        <f>IF(A86="","",AZ86+AF86)</f>
        <v/>
      </c>
      <c r="BB86" s="29">
        <f>IF(A86="","",BA86+AG86)</f>
        <v/>
      </c>
      <c r="BC86" s="29">
        <f>IF(A86="","",BB86+AH86)</f>
        <v/>
      </c>
      <c r="BD86" s="29">
        <f>IF(A86="","",BC86+AI86)</f>
        <v/>
      </c>
      <c r="BE86" s="29">
        <f>IF(A86="","",BD86+AJ86)</f>
        <v/>
      </c>
      <c r="BF86" s="29">
        <f>IF(A86="","",BE86+AK86)</f>
        <v/>
      </c>
      <c r="BG86" s="29">
        <f>IF(A86="","",BF86+AL86)</f>
        <v/>
      </c>
      <c r="BH86" s="29">
        <f>IF(A86="","",BG86+AM86)</f>
        <v/>
      </c>
      <c r="BI86" s="36">
        <f>IF(A86="","",(K86)*(IF((YEAR(D86)+0)&lt;YEAR(E86),0,IF((YEAR(D86)+0)&gt;YEAR(E86),1,(12-MONTH(E86)+1)/12)))*(1/(1+DiscountRate)^0))</f>
        <v/>
      </c>
      <c r="BJ86" s="36">
        <f>IF(A86="","",(K86)*(IF((YEAR(D86)+1)&lt;YEAR(E86),0,IF((YEAR(D86)+1)&gt;YEAR(E86),1,(12-MONTH(E86)+1)/12)))*(1/(1+DiscountRate)^1))</f>
        <v/>
      </c>
      <c r="BK86" s="36">
        <f>IF(A86="","",(K86)*(IF((YEAR(D86)+2)&lt;YEAR(E86),0,IF((YEAR(D86)+2)&gt;YEAR(E86),1,(12-MONTH(E86)+1)/12)))*(1/(1+DiscountRate)^2))</f>
        <v/>
      </c>
      <c r="BL86" s="36">
        <f>IF(A86="","",(K86)*(IF((YEAR(D86)+3)&lt;YEAR(E86),0,IF((YEAR(D86)+3)&gt;YEAR(E86),1,(12-MONTH(E86)+1)/12)))*(1/(1+DiscountRate)^3))</f>
        <v/>
      </c>
      <c r="BM86" s="36">
        <f>IF(A86="","",(K86)*(IF((YEAR(D86)+4)&lt;YEAR(E86),0,IF((YEAR(D86)+4)&gt;YEAR(E86),1,(12-MONTH(E86)+1)/12)))*(1/(1+DiscountRate)^4))</f>
        <v/>
      </c>
      <c r="BN86" s="36">
        <f>IF(A86="","",(K86)*(IF((YEAR(D86)+5)&lt;YEAR(E86),0,IF((YEAR(D86)+5)&gt;YEAR(E86),1,(12-MONTH(E86)+1)/12)))*(1/(1+DiscountRate)^5))</f>
        <v/>
      </c>
      <c r="BO86" s="36">
        <f>IF(A86="","",(K86)*(IF((YEAR(D86)+6)&lt;YEAR(E86),0,IF((YEAR(D86)+6)&gt;YEAR(E86),1,(12-MONTH(E86)+1)/12)))*(1/(1+DiscountRate)^6))</f>
        <v/>
      </c>
      <c r="BP86" s="36">
        <f>IF(A86="","",(K86)*(IF((YEAR(D86)+7)&lt;YEAR(E86),0,IF((YEAR(D86)+7)&gt;YEAR(E86),1,(12-MONTH(E86)+1)/12)))*(1/(1+DiscountRate)^7))</f>
        <v/>
      </c>
      <c r="BQ86" s="36">
        <f>IF(A86="","",(K86)*(IF((YEAR(D86)+8)&lt;YEAR(E86),0,IF((YEAR(D86)+8)&gt;YEAR(E86),1,(12-MONTH(E86)+1)/12)))*(1/(1+DiscountRate)^8))</f>
        <v/>
      </c>
      <c r="BR86" s="36">
        <f>IF(A86="","",(K86)*(IF((YEAR(D86)+9)&lt;YEAR(E86),0,IF((YEAR(D86)+9)&gt;YEAR(E86),1,(12-MONTH(E86)+1)/12)))*(1/(1+DiscountRate)^9))</f>
        <v/>
      </c>
      <c r="BS86" s="36">
        <f>IF(A86="","",(K86)*(IF((YEAR(D86)+10)&lt;YEAR(E86),0,IF((YEAR(D86)+10)&gt;YEAR(E86),1,(12-MONTH(E86)+1)/12)))*(1/(1+DiscountRate)^10))</f>
        <v/>
      </c>
      <c r="BT86" s="36">
        <f>IF(A86="","",(K86)*(IF((YEAR(D86)+11)&lt;YEAR(E86),0,IF((YEAR(D86)+11)&gt;YEAR(E86),1,(12-MONTH(E86)+1)/12)))*(1/(1+DiscountRate)^11))</f>
        <v/>
      </c>
      <c r="BU86" s="36">
        <f>IF(A86="","",(K86)*(IF((YEAR(D86)+12)&lt;YEAR(E86),0,IF((YEAR(D86)+12)&gt;YEAR(E86),1,(12-MONTH(E86)+1)/12)))*(1/(1+DiscountRate)^12))</f>
        <v/>
      </c>
      <c r="BV86" s="36">
        <f>IF(A86="","",(K86)*(IF((YEAR(D86)+13)&lt;YEAR(E86),0,IF((YEAR(D86)+13)&gt;YEAR(E86),1,(12-MONTH(E86)+1)/12)))*(1/(1+DiscountRate)^13))</f>
        <v/>
      </c>
      <c r="BW86" s="36">
        <f>IF(A86="","",(K86)*(IF((YEAR(D86)+14)&lt;YEAR(E86),0,IF((YEAR(D86)+14)&gt;YEAR(E86),1,(12-MONTH(E86)+1)/12)))*(1/(1+DiscountRate)^14))</f>
        <v/>
      </c>
      <c r="BX86" s="36">
        <f>IF(A86="","",(K86)*(IF((YEAR(D86)+15)&lt;YEAR(E86),0,IF((YEAR(D86)+15)&gt;YEAR(E86),1,(12-MONTH(E86)+1)/12)))*(1/(1+DiscountRate)^15))</f>
        <v/>
      </c>
      <c r="BY86" s="36">
        <f>IF(A86="","",(K86)*(IF((YEAR(D86)+16)&lt;YEAR(E86),0,IF((YEAR(D86)+16)&gt;YEAR(E86),1,(12-MONTH(E86)+1)/12)))*(1/(1+DiscountRate)^16))</f>
        <v/>
      </c>
      <c r="BZ86" s="36">
        <f>IF(A86="","",(K86)*(IF((YEAR(D86)+17)&lt;YEAR(E86),0,IF((YEAR(D86)+17)&gt;YEAR(E86),1,(12-MONTH(E86)+1)/12)))*(1/(1+DiscountRate)^17))</f>
        <v/>
      </c>
      <c r="CA86" s="36">
        <f>IF(A86="","",(K86)*(IF((YEAR(D86)+18)&lt;YEAR(E86),0,IF((YEAR(D86)+18)&gt;YEAR(E86),1,(12-MONTH(E86)+1)/12)))*(1/(1+DiscountRate)^18))</f>
        <v/>
      </c>
      <c r="CB86" s="36">
        <f>IF(A86="","",(K86)*(IF((YEAR(D86)+19)&lt;YEAR(E86),0,IF((YEAR(D86)+19)&gt;YEAR(E86),1,(12-MONTH(E86)+1)/12)))*(1/(1+DiscountRate)^19))</f>
        <v/>
      </c>
      <c r="CC86" s="36">
        <f>IF(A86="","",(K86)*(IF((YEAR(D86)+20)&lt;YEAR(E86),0,IF((YEAR(D86)+20)&gt;YEAR(E86),1,(12-MONTH(E86)+1)/12)))*(1/(1+DiscountRate)^20))</f>
        <v/>
      </c>
      <c r="CD86" s="29">
        <f>IF(A86="","",S86/(1+DiscountRate)^0+T86/(1+DiscountRate)^1+U86/(1+DiscountRate)^2+V86/(1+DiscountRate)^3+W86/(1+DiscountRate)^4+X86/(1+DiscountRate)^5+Y86/(1+DiscountRate)^6+Z86/(1+DiscountRate)^7+AA86/(1+DiscountRate)^8+AB86/(1+DiscountRate)^9+AC86/(1+DiscountRate)^10+AD86/(1+DiscountRate)^11+AE86/(1+DiscountRate)^12+AF86/(1+DiscountRate)^13+AG86/(1+DiscountRate)^14+AH86/(1+DiscountRate)^15+AI86/(1+DiscountRate)^16+AJ86/(1+DiscountRate)^17+AK86/(1+DiscountRate)^18+AL86/(1+DiscountRate)^19+AM86/(1+DiscountRate)^20)</f>
        <v/>
      </c>
      <c r="CE86" s="37">
        <f>IF(A86="","",IFERROR(IRR(OFFSET(S86,0,0,1,MIN(HorizonYears,20)+1)),"n/a"))</f>
        <v/>
      </c>
      <c r="CF86" s="28">
        <f>IF(A86="","",IFERROR(MATCH(TRUE,OFFSET(AN86,0,0,1,MIN(HorizonYears,20)+1)&gt;=0,0)-1,"n/a"))</f>
        <v/>
      </c>
      <c r="CG86" s="36">
        <f>IF(A86="","",SUM(OFFSET(BI86,0,0,1,MIN(HorizonYears,20)+1)))</f>
        <v/>
      </c>
      <c r="CH86" s="36">
        <f>IF(A86="","",IFERROR(-CD86/CG86,"n/a"))</f>
        <v/>
      </c>
    </row>
    <row r="87">
      <c r="A87" s="6">
        <f>Actions!A85</f>
        <v/>
      </c>
      <c r="B87" s="6">
        <f>Actions!B85</f>
        <v/>
      </c>
      <c r="C87" s="6">
        <f>Actions!D85</f>
        <v/>
      </c>
      <c r="D87" s="35">
        <f>Actions!E85</f>
        <v/>
      </c>
      <c r="E87" s="35">
        <f>Actions!F85</f>
        <v/>
      </c>
      <c r="F87" s="6">
        <f>Actions!G85</f>
        <v/>
      </c>
      <c r="G87" s="6">
        <f>Actions!H85</f>
        <v/>
      </c>
      <c r="H87" s="29">
        <f>Actions!I85</f>
        <v/>
      </c>
      <c r="I87" s="6">
        <f>Actions!J85</f>
        <v/>
      </c>
      <c r="J87" s="16">
        <f>Actions!K85</f>
        <v/>
      </c>
      <c r="K87" s="16">
        <f>IF(A87="","",IF(I87="%",H87*J87,J87))</f>
        <v/>
      </c>
      <c r="L87" s="16">
        <f>Actions!L85</f>
        <v/>
      </c>
      <c r="M87" s="6">
        <f>Actions!M85</f>
        <v/>
      </c>
      <c r="N87" s="28">
        <f>Actions!N85</f>
        <v/>
      </c>
      <c r="O87" s="29">
        <f>Actions!T85</f>
        <v/>
      </c>
      <c r="P87" s="29">
        <f>Actions!Y85</f>
        <v/>
      </c>
      <c r="Q87" s="29">
        <f>Actions!Z85</f>
        <v/>
      </c>
      <c r="R87" s="29">
        <f>Actions!AA85</f>
        <v/>
      </c>
      <c r="S87" s="29">
        <f>IF(A87="","",((K87)*(IF(M87="",L87,IFERROR(IF(INDEX(Variablen!$I:$AT, MATCH(M87, Variablen!$A:$A, 0), MATCH((YEAR(D87)+0), Variablen!$I$3:$AT$3, 0))="",L87,INDEX(Variablen!$I:$AT, MATCH(M87, Variablen!$A:$A, 0), MATCH((YEAR(D87)+0), Variablen!$I$3:$AT$3, 0))),L87)))*(IF((YEAR(D87)+0)&lt;YEAR(E87),0,IF((YEAR(D87)+0)&gt;YEAR(E87),1,(12-MONTH(E87)+1)/12))) + (Q87)*(IF((YEAR(D87)+0)&lt;YEAR(E87),0,IF((YEAR(D87)+0)&gt;YEAR(E87),1,(12-MONTH(E87)+1)/12))))-((P87)*(IF((YEAR(D87)+0)&lt;YEAR(E87),0,IF((YEAR(D87)+0)&gt;YEAR(E87),1,(12-MONTH(E87)+1)/12))) + (R87)*(IF((YEAR(D87)+0)&lt;YEAR(E87),0,IF((YEAR(D87)+0)&gt;YEAR(E87),1,(12-MONTH(E87)+1)/12))))-(IF((((K87)*(IF(M87="",L87,IFERROR(IF(INDEX(Variablen!$I:$AT, MATCH(M87, Variablen!$A:$A, 0), MATCH((YEAR(D87)+0), Variablen!$I$3:$AT$3, 0))="",L87,INDEX(Variablen!$I:$AT, MATCH(M87, Variablen!$A:$A, 0), MATCH((YEAR(D87)+0), Variablen!$I$3:$AT$3, 0))),L87)))*(IF((YEAR(D87)+0)&lt;YEAR(E87),0,IF((YEAR(D87)+0)&gt;YEAR(E87),1,(12-MONTH(E87)+1)/12))) + (Q87)*(IF((YEAR(D87)+0)&lt;YEAR(E87),0,IF((YEAR(D87)+0)&gt;YEAR(E87),1,(12-MONTH(E87)+1)/12))))-((P87)*(IF((YEAR(D87)+0)&lt;YEAR(E87),0,IF((YEAR(D87)+0)&gt;YEAR(E87),1,(12-MONTH(E87)+1)/12))) + (R87)*(IF((YEAR(D87)+0)&lt;YEAR(E87),0,IF((YEAR(D87)+0)&gt;YEAR(E87),1,(12-MONTH(E87)+1)/12))))-(IF(OR(N87="",N87&lt;=0),0,(O87/N87)*(IF(OR(N87="",N87&lt;=0),0,IF((YEAR(D87)+0)&lt;YEAR(E87),0,IF((YEAR(D87)+0)&gt;=YEAR(E87)+N87,0,IF((YEAR(D87)+0)=YEAR(E87),(12-MONTH(E87)+1)/12,1))))))))&gt;0,(((K87)*(IF(M87="",L87,IFERROR(IF(INDEX(Variablen!$I:$AT, MATCH(M87, Variablen!$A:$A, 0), MATCH((YEAR(D87)+0), Variablen!$I$3:$AT$3, 0))="",L87,INDEX(Variablen!$I:$AT, MATCH(M87, Variablen!$A:$A, 0), MATCH((YEAR(D87)+0), Variablen!$I$3:$AT$3, 0))),L87)))*(IF((YEAR(D87)+0)&lt;YEAR(E87),0,IF((YEAR(D87)+0)&gt;YEAR(E87),1,(12-MONTH(E87)+1)/12))) + (Q87)*(IF((YEAR(D87)+0)&lt;YEAR(E87),0,IF((YEAR(D87)+0)&gt;YEAR(E87),1,(12-MONTH(E87)+1)/12))))-((P87)*(IF((YEAR(D87)+0)&lt;YEAR(E87),0,IF((YEAR(D87)+0)&gt;YEAR(E87),1,(12-MONTH(E87)+1)/12))) + (R87)*(IF((YEAR(D87)+0)&lt;YEAR(E87),0,IF((YEAR(D87)+0)&gt;YEAR(E87),1,(12-MONTH(E87)+1)/12))))-(IF(OR(N87="",N87&lt;=0),0,(O87/N87)*(IF(OR(N87="",N87&lt;=0),0,IF((YEAR(D87)+0)&lt;YEAR(E87),0,IF((YEAR(D87)+0)&gt;=YEAR(E87)+N87,0,IF((YEAR(D87)+0)=YEAR(E87),(12-MONTH(E87)+1)/12,1))))))))*TaxRate,0))-IF(0=0,O87,0))</f>
        <v/>
      </c>
      <c r="T87" s="29">
        <f>IF(A87="","",((K87)*(IF(M87="",L87,IFERROR(IF(INDEX(Variablen!$I:$AT, MATCH(M87, Variablen!$A:$A, 0), MATCH((YEAR(D87)+1), Variablen!$I$3:$AT$3, 0))="",L87,INDEX(Variablen!$I:$AT, MATCH(M87, Variablen!$A:$A, 0), MATCH((YEAR(D87)+1), Variablen!$I$3:$AT$3, 0))),L87)))*(IF((YEAR(D87)+1)&lt;YEAR(E87),0,IF((YEAR(D87)+1)&gt;YEAR(E87),1,(12-MONTH(E87)+1)/12))) + (Q87)*(IF((YEAR(D87)+1)&lt;YEAR(E87),0,IF((YEAR(D87)+1)&gt;YEAR(E87),1,(12-MONTH(E87)+1)/12))))-((P87)*(IF((YEAR(D87)+1)&lt;YEAR(E87),0,IF((YEAR(D87)+1)&gt;YEAR(E87),1,(12-MONTH(E87)+1)/12))) + (R87)*(IF((YEAR(D87)+1)&lt;YEAR(E87),0,IF((YEAR(D87)+1)&gt;YEAR(E87),1,(12-MONTH(E87)+1)/12))))-(IF((((K87)*(IF(M87="",L87,IFERROR(IF(INDEX(Variablen!$I:$AT, MATCH(M87, Variablen!$A:$A, 0), MATCH((YEAR(D87)+1), Variablen!$I$3:$AT$3, 0))="",L87,INDEX(Variablen!$I:$AT, MATCH(M87, Variablen!$A:$A, 0), MATCH((YEAR(D87)+1), Variablen!$I$3:$AT$3, 0))),L87)))*(IF((YEAR(D87)+1)&lt;YEAR(E87),0,IF((YEAR(D87)+1)&gt;YEAR(E87),1,(12-MONTH(E87)+1)/12))) + (Q87)*(IF((YEAR(D87)+1)&lt;YEAR(E87),0,IF((YEAR(D87)+1)&gt;YEAR(E87),1,(12-MONTH(E87)+1)/12))))-((P87)*(IF((YEAR(D87)+1)&lt;YEAR(E87),0,IF((YEAR(D87)+1)&gt;YEAR(E87),1,(12-MONTH(E87)+1)/12))) + (R87)*(IF((YEAR(D87)+1)&lt;YEAR(E87),0,IF((YEAR(D87)+1)&gt;YEAR(E87),1,(12-MONTH(E87)+1)/12))))-(IF(OR(N87="",N87&lt;=0),0,(O87/N87)*(IF(OR(N87="",N87&lt;=0),0,IF((YEAR(D87)+1)&lt;YEAR(E87),0,IF((YEAR(D87)+1)&gt;=YEAR(E87)+N87,0,IF((YEAR(D87)+1)=YEAR(E87),(12-MONTH(E87)+1)/12,1))))))))&gt;0,(((K87)*(IF(M87="",L87,IFERROR(IF(INDEX(Variablen!$I:$AT, MATCH(M87, Variablen!$A:$A, 0), MATCH((YEAR(D87)+1), Variablen!$I$3:$AT$3, 0))="",L87,INDEX(Variablen!$I:$AT, MATCH(M87, Variablen!$A:$A, 0), MATCH((YEAR(D87)+1), Variablen!$I$3:$AT$3, 0))),L87)))*(IF((YEAR(D87)+1)&lt;YEAR(E87),0,IF((YEAR(D87)+1)&gt;YEAR(E87),1,(12-MONTH(E87)+1)/12))) + (Q87)*(IF((YEAR(D87)+1)&lt;YEAR(E87),0,IF((YEAR(D87)+1)&gt;YEAR(E87),1,(12-MONTH(E87)+1)/12))))-((P87)*(IF((YEAR(D87)+1)&lt;YEAR(E87),0,IF((YEAR(D87)+1)&gt;YEAR(E87),1,(12-MONTH(E87)+1)/12))) + (R87)*(IF((YEAR(D87)+1)&lt;YEAR(E87),0,IF((YEAR(D87)+1)&gt;YEAR(E87),1,(12-MONTH(E87)+1)/12))))-(IF(OR(N87="",N87&lt;=0),0,(O87/N87)*(IF(OR(N87="",N87&lt;=0),0,IF((YEAR(D87)+1)&lt;YEAR(E87),0,IF((YEAR(D87)+1)&gt;=YEAR(E87)+N87,0,IF((YEAR(D87)+1)=YEAR(E87),(12-MONTH(E87)+1)/12,1))))))))*TaxRate,0))-IF(1=0,O87,0))</f>
        <v/>
      </c>
      <c r="U87" s="29">
        <f>IF(A87="","",((K87)*(IF(M87="",L87,IFERROR(IF(INDEX(Variablen!$I:$AT, MATCH(M87, Variablen!$A:$A, 0), MATCH((YEAR(D87)+2), Variablen!$I$3:$AT$3, 0))="",L87,INDEX(Variablen!$I:$AT, MATCH(M87, Variablen!$A:$A, 0), MATCH((YEAR(D87)+2), Variablen!$I$3:$AT$3, 0))),L87)))*(IF((YEAR(D87)+2)&lt;YEAR(E87),0,IF((YEAR(D87)+2)&gt;YEAR(E87),1,(12-MONTH(E87)+1)/12))) + (Q87)*(IF((YEAR(D87)+2)&lt;YEAR(E87),0,IF((YEAR(D87)+2)&gt;YEAR(E87),1,(12-MONTH(E87)+1)/12))))-((P87)*(IF((YEAR(D87)+2)&lt;YEAR(E87),0,IF((YEAR(D87)+2)&gt;YEAR(E87),1,(12-MONTH(E87)+1)/12))) + (R87)*(IF((YEAR(D87)+2)&lt;YEAR(E87),0,IF((YEAR(D87)+2)&gt;YEAR(E87),1,(12-MONTH(E87)+1)/12))))-(IF((((K87)*(IF(M87="",L87,IFERROR(IF(INDEX(Variablen!$I:$AT, MATCH(M87, Variablen!$A:$A, 0), MATCH((YEAR(D87)+2), Variablen!$I$3:$AT$3, 0))="",L87,INDEX(Variablen!$I:$AT, MATCH(M87, Variablen!$A:$A, 0), MATCH((YEAR(D87)+2), Variablen!$I$3:$AT$3, 0))),L87)))*(IF((YEAR(D87)+2)&lt;YEAR(E87),0,IF((YEAR(D87)+2)&gt;YEAR(E87),1,(12-MONTH(E87)+1)/12))) + (Q87)*(IF((YEAR(D87)+2)&lt;YEAR(E87),0,IF((YEAR(D87)+2)&gt;YEAR(E87),1,(12-MONTH(E87)+1)/12))))-((P87)*(IF((YEAR(D87)+2)&lt;YEAR(E87),0,IF((YEAR(D87)+2)&gt;YEAR(E87),1,(12-MONTH(E87)+1)/12))) + (R87)*(IF((YEAR(D87)+2)&lt;YEAR(E87),0,IF((YEAR(D87)+2)&gt;YEAR(E87),1,(12-MONTH(E87)+1)/12))))-(IF(OR(N87="",N87&lt;=0),0,(O87/N87)*(IF(OR(N87="",N87&lt;=0),0,IF((YEAR(D87)+2)&lt;YEAR(E87),0,IF((YEAR(D87)+2)&gt;=YEAR(E87)+N87,0,IF((YEAR(D87)+2)=YEAR(E87),(12-MONTH(E87)+1)/12,1))))))))&gt;0,(((K87)*(IF(M87="",L87,IFERROR(IF(INDEX(Variablen!$I:$AT, MATCH(M87, Variablen!$A:$A, 0), MATCH((YEAR(D87)+2), Variablen!$I$3:$AT$3, 0))="",L87,INDEX(Variablen!$I:$AT, MATCH(M87, Variablen!$A:$A, 0), MATCH((YEAR(D87)+2), Variablen!$I$3:$AT$3, 0))),L87)))*(IF((YEAR(D87)+2)&lt;YEAR(E87),0,IF((YEAR(D87)+2)&gt;YEAR(E87),1,(12-MONTH(E87)+1)/12))) + (Q87)*(IF((YEAR(D87)+2)&lt;YEAR(E87),0,IF((YEAR(D87)+2)&gt;YEAR(E87),1,(12-MONTH(E87)+1)/12))))-((P87)*(IF((YEAR(D87)+2)&lt;YEAR(E87),0,IF((YEAR(D87)+2)&gt;YEAR(E87),1,(12-MONTH(E87)+1)/12))) + (R87)*(IF((YEAR(D87)+2)&lt;YEAR(E87),0,IF((YEAR(D87)+2)&gt;YEAR(E87),1,(12-MONTH(E87)+1)/12))))-(IF(OR(N87="",N87&lt;=0),0,(O87/N87)*(IF(OR(N87="",N87&lt;=0),0,IF((YEAR(D87)+2)&lt;YEAR(E87),0,IF((YEAR(D87)+2)&gt;=YEAR(E87)+N87,0,IF((YEAR(D87)+2)=YEAR(E87),(12-MONTH(E87)+1)/12,1))))))))*TaxRate,0))-IF(2=0,O87,0))</f>
        <v/>
      </c>
      <c r="V87" s="29">
        <f>IF(A87="","",((K87)*(IF(M87="",L87,IFERROR(IF(INDEX(Variablen!$I:$AT, MATCH(M87, Variablen!$A:$A, 0), MATCH((YEAR(D87)+3), Variablen!$I$3:$AT$3, 0))="",L87,INDEX(Variablen!$I:$AT, MATCH(M87, Variablen!$A:$A, 0), MATCH((YEAR(D87)+3), Variablen!$I$3:$AT$3, 0))),L87)))*(IF((YEAR(D87)+3)&lt;YEAR(E87),0,IF((YEAR(D87)+3)&gt;YEAR(E87),1,(12-MONTH(E87)+1)/12))) + (Q87)*(IF((YEAR(D87)+3)&lt;YEAR(E87),0,IF((YEAR(D87)+3)&gt;YEAR(E87),1,(12-MONTH(E87)+1)/12))))-((P87)*(IF((YEAR(D87)+3)&lt;YEAR(E87),0,IF((YEAR(D87)+3)&gt;YEAR(E87),1,(12-MONTH(E87)+1)/12))) + (R87)*(IF((YEAR(D87)+3)&lt;YEAR(E87),0,IF((YEAR(D87)+3)&gt;YEAR(E87),1,(12-MONTH(E87)+1)/12))))-(IF((((K87)*(IF(M87="",L87,IFERROR(IF(INDEX(Variablen!$I:$AT, MATCH(M87, Variablen!$A:$A, 0), MATCH((YEAR(D87)+3), Variablen!$I$3:$AT$3, 0))="",L87,INDEX(Variablen!$I:$AT, MATCH(M87, Variablen!$A:$A, 0), MATCH((YEAR(D87)+3), Variablen!$I$3:$AT$3, 0))),L87)))*(IF((YEAR(D87)+3)&lt;YEAR(E87),0,IF((YEAR(D87)+3)&gt;YEAR(E87),1,(12-MONTH(E87)+1)/12))) + (Q87)*(IF((YEAR(D87)+3)&lt;YEAR(E87),0,IF((YEAR(D87)+3)&gt;YEAR(E87),1,(12-MONTH(E87)+1)/12))))-((P87)*(IF((YEAR(D87)+3)&lt;YEAR(E87),0,IF((YEAR(D87)+3)&gt;YEAR(E87),1,(12-MONTH(E87)+1)/12))) + (R87)*(IF((YEAR(D87)+3)&lt;YEAR(E87),0,IF((YEAR(D87)+3)&gt;YEAR(E87),1,(12-MONTH(E87)+1)/12))))-(IF(OR(N87="",N87&lt;=0),0,(O87/N87)*(IF(OR(N87="",N87&lt;=0),0,IF((YEAR(D87)+3)&lt;YEAR(E87),0,IF((YEAR(D87)+3)&gt;=YEAR(E87)+N87,0,IF((YEAR(D87)+3)=YEAR(E87),(12-MONTH(E87)+1)/12,1))))))))&gt;0,(((K87)*(IF(M87="",L87,IFERROR(IF(INDEX(Variablen!$I:$AT, MATCH(M87, Variablen!$A:$A, 0), MATCH((YEAR(D87)+3), Variablen!$I$3:$AT$3, 0))="",L87,INDEX(Variablen!$I:$AT, MATCH(M87, Variablen!$A:$A, 0), MATCH((YEAR(D87)+3), Variablen!$I$3:$AT$3, 0))),L87)))*(IF((YEAR(D87)+3)&lt;YEAR(E87),0,IF((YEAR(D87)+3)&gt;YEAR(E87),1,(12-MONTH(E87)+1)/12))) + (Q87)*(IF((YEAR(D87)+3)&lt;YEAR(E87),0,IF((YEAR(D87)+3)&gt;YEAR(E87),1,(12-MONTH(E87)+1)/12))))-((P87)*(IF((YEAR(D87)+3)&lt;YEAR(E87),0,IF((YEAR(D87)+3)&gt;YEAR(E87),1,(12-MONTH(E87)+1)/12))) + (R87)*(IF((YEAR(D87)+3)&lt;YEAR(E87),0,IF((YEAR(D87)+3)&gt;YEAR(E87),1,(12-MONTH(E87)+1)/12))))-(IF(OR(N87="",N87&lt;=0),0,(O87/N87)*(IF(OR(N87="",N87&lt;=0),0,IF((YEAR(D87)+3)&lt;YEAR(E87),0,IF((YEAR(D87)+3)&gt;=YEAR(E87)+N87,0,IF((YEAR(D87)+3)=YEAR(E87),(12-MONTH(E87)+1)/12,1))))))))*TaxRate,0))-IF(3=0,O87,0))</f>
        <v/>
      </c>
      <c r="W87" s="29">
        <f>IF(A87="","",((K87)*(IF(M87="",L87,IFERROR(IF(INDEX(Variablen!$I:$AT, MATCH(M87, Variablen!$A:$A, 0), MATCH((YEAR(D87)+4), Variablen!$I$3:$AT$3, 0))="",L87,INDEX(Variablen!$I:$AT, MATCH(M87, Variablen!$A:$A, 0), MATCH((YEAR(D87)+4), Variablen!$I$3:$AT$3, 0))),L87)))*(IF((YEAR(D87)+4)&lt;YEAR(E87),0,IF((YEAR(D87)+4)&gt;YEAR(E87),1,(12-MONTH(E87)+1)/12))) + (Q87)*(IF((YEAR(D87)+4)&lt;YEAR(E87),0,IF((YEAR(D87)+4)&gt;YEAR(E87),1,(12-MONTH(E87)+1)/12))))-((P87)*(IF((YEAR(D87)+4)&lt;YEAR(E87),0,IF((YEAR(D87)+4)&gt;YEAR(E87),1,(12-MONTH(E87)+1)/12))) + (R87)*(IF((YEAR(D87)+4)&lt;YEAR(E87),0,IF((YEAR(D87)+4)&gt;YEAR(E87),1,(12-MONTH(E87)+1)/12))))-(IF((((K87)*(IF(M87="",L87,IFERROR(IF(INDEX(Variablen!$I:$AT, MATCH(M87, Variablen!$A:$A, 0), MATCH((YEAR(D87)+4), Variablen!$I$3:$AT$3, 0))="",L87,INDEX(Variablen!$I:$AT, MATCH(M87, Variablen!$A:$A, 0), MATCH((YEAR(D87)+4), Variablen!$I$3:$AT$3, 0))),L87)))*(IF((YEAR(D87)+4)&lt;YEAR(E87),0,IF((YEAR(D87)+4)&gt;YEAR(E87),1,(12-MONTH(E87)+1)/12))) + (Q87)*(IF((YEAR(D87)+4)&lt;YEAR(E87),0,IF((YEAR(D87)+4)&gt;YEAR(E87),1,(12-MONTH(E87)+1)/12))))-((P87)*(IF((YEAR(D87)+4)&lt;YEAR(E87),0,IF((YEAR(D87)+4)&gt;YEAR(E87),1,(12-MONTH(E87)+1)/12))) + (R87)*(IF((YEAR(D87)+4)&lt;YEAR(E87),0,IF((YEAR(D87)+4)&gt;YEAR(E87),1,(12-MONTH(E87)+1)/12))))-(IF(OR(N87="",N87&lt;=0),0,(O87/N87)*(IF(OR(N87="",N87&lt;=0),0,IF((YEAR(D87)+4)&lt;YEAR(E87),0,IF((YEAR(D87)+4)&gt;=YEAR(E87)+N87,0,IF((YEAR(D87)+4)=YEAR(E87),(12-MONTH(E87)+1)/12,1))))))))&gt;0,(((K87)*(IF(M87="",L87,IFERROR(IF(INDEX(Variablen!$I:$AT, MATCH(M87, Variablen!$A:$A, 0), MATCH((YEAR(D87)+4), Variablen!$I$3:$AT$3, 0))="",L87,INDEX(Variablen!$I:$AT, MATCH(M87, Variablen!$A:$A, 0), MATCH((YEAR(D87)+4), Variablen!$I$3:$AT$3, 0))),L87)))*(IF((YEAR(D87)+4)&lt;YEAR(E87),0,IF((YEAR(D87)+4)&gt;YEAR(E87),1,(12-MONTH(E87)+1)/12))) + (Q87)*(IF((YEAR(D87)+4)&lt;YEAR(E87),0,IF((YEAR(D87)+4)&gt;YEAR(E87),1,(12-MONTH(E87)+1)/12))))-((P87)*(IF((YEAR(D87)+4)&lt;YEAR(E87),0,IF((YEAR(D87)+4)&gt;YEAR(E87),1,(12-MONTH(E87)+1)/12))) + (R87)*(IF((YEAR(D87)+4)&lt;YEAR(E87),0,IF((YEAR(D87)+4)&gt;YEAR(E87),1,(12-MONTH(E87)+1)/12))))-(IF(OR(N87="",N87&lt;=0),0,(O87/N87)*(IF(OR(N87="",N87&lt;=0),0,IF((YEAR(D87)+4)&lt;YEAR(E87),0,IF((YEAR(D87)+4)&gt;=YEAR(E87)+N87,0,IF((YEAR(D87)+4)=YEAR(E87),(12-MONTH(E87)+1)/12,1))))))))*TaxRate,0))-IF(4=0,O87,0))</f>
        <v/>
      </c>
      <c r="X87" s="29">
        <f>IF(A87="","",((K87)*(IF(M87="",L87,IFERROR(IF(INDEX(Variablen!$I:$AT, MATCH(M87, Variablen!$A:$A, 0), MATCH((YEAR(D87)+5), Variablen!$I$3:$AT$3, 0))="",L87,INDEX(Variablen!$I:$AT, MATCH(M87, Variablen!$A:$A, 0), MATCH((YEAR(D87)+5), Variablen!$I$3:$AT$3, 0))),L87)))*(IF((YEAR(D87)+5)&lt;YEAR(E87),0,IF((YEAR(D87)+5)&gt;YEAR(E87),1,(12-MONTH(E87)+1)/12))) + (Q87)*(IF((YEAR(D87)+5)&lt;YEAR(E87),0,IF((YEAR(D87)+5)&gt;YEAR(E87),1,(12-MONTH(E87)+1)/12))))-((P87)*(IF((YEAR(D87)+5)&lt;YEAR(E87),0,IF((YEAR(D87)+5)&gt;YEAR(E87),1,(12-MONTH(E87)+1)/12))) + (R87)*(IF((YEAR(D87)+5)&lt;YEAR(E87),0,IF((YEAR(D87)+5)&gt;YEAR(E87),1,(12-MONTH(E87)+1)/12))))-(IF((((K87)*(IF(M87="",L87,IFERROR(IF(INDEX(Variablen!$I:$AT, MATCH(M87, Variablen!$A:$A, 0), MATCH((YEAR(D87)+5), Variablen!$I$3:$AT$3, 0))="",L87,INDEX(Variablen!$I:$AT, MATCH(M87, Variablen!$A:$A, 0), MATCH((YEAR(D87)+5), Variablen!$I$3:$AT$3, 0))),L87)))*(IF((YEAR(D87)+5)&lt;YEAR(E87),0,IF((YEAR(D87)+5)&gt;YEAR(E87),1,(12-MONTH(E87)+1)/12))) + (Q87)*(IF((YEAR(D87)+5)&lt;YEAR(E87),0,IF((YEAR(D87)+5)&gt;YEAR(E87),1,(12-MONTH(E87)+1)/12))))-((P87)*(IF((YEAR(D87)+5)&lt;YEAR(E87),0,IF((YEAR(D87)+5)&gt;YEAR(E87),1,(12-MONTH(E87)+1)/12))) + (R87)*(IF((YEAR(D87)+5)&lt;YEAR(E87),0,IF((YEAR(D87)+5)&gt;YEAR(E87),1,(12-MONTH(E87)+1)/12))))-(IF(OR(N87="",N87&lt;=0),0,(O87/N87)*(IF(OR(N87="",N87&lt;=0),0,IF((YEAR(D87)+5)&lt;YEAR(E87),0,IF((YEAR(D87)+5)&gt;=YEAR(E87)+N87,0,IF((YEAR(D87)+5)=YEAR(E87),(12-MONTH(E87)+1)/12,1))))))))&gt;0,(((K87)*(IF(M87="",L87,IFERROR(IF(INDEX(Variablen!$I:$AT, MATCH(M87, Variablen!$A:$A, 0), MATCH((YEAR(D87)+5), Variablen!$I$3:$AT$3, 0))="",L87,INDEX(Variablen!$I:$AT, MATCH(M87, Variablen!$A:$A, 0), MATCH((YEAR(D87)+5), Variablen!$I$3:$AT$3, 0))),L87)))*(IF((YEAR(D87)+5)&lt;YEAR(E87),0,IF((YEAR(D87)+5)&gt;YEAR(E87),1,(12-MONTH(E87)+1)/12))) + (Q87)*(IF((YEAR(D87)+5)&lt;YEAR(E87),0,IF((YEAR(D87)+5)&gt;YEAR(E87),1,(12-MONTH(E87)+1)/12))))-((P87)*(IF((YEAR(D87)+5)&lt;YEAR(E87),0,IF((YEAR(D87)+5)&gt;YEAR(E87),1,(12-MONTH(E87)+1)/12))) + (R87)*(IF((YEAR(D87)+5)&lt;YEAR(E87),0,IF((YEAR(D87)+5)&gt;YEAR(E87),1,(12-MONTH(E87)+1)/12))))-(IF(OR(N87="",N87&lt;=0),0,(O87/N87)*(IF(OR(N87="",N87&lt;=0),0,IF((YEAR(D87)+5)&lt;YEAR(E87),0,IF((YEAR(D87)+5)&gt;=YEAR(E87)+N87,0,IF((YEAR(D87)+5)=YEAR(E87),(12-MONTH(E87)+1)/12,1))))))))*TaxRate,0))-IF(5=0,O87,0))</f>
        <v/>
      </c>
      <c r="Y87" s="29">
        <f>IF(A87="","",((K87)*(IF(M87="",L87,IFERROR(IF(INDEX(Variablen!$I:$AT, MATCH(M87, Variablen!$A:$A, 0), MATCH((YEAR(D87)+6), Variablen!$I$3:$AT$3, 0))="",L87,INDEX(Variablen!$I:$AT, MATCH(M87, Variablen!$A:$A, 0), MATCH((YEAR(D87)+6), Variablen!$I$3:$AT$3, 0))),L87)))*(IF((YEAR(D87)+6)&lt;YEAR(E87),0,IF((YEAR(D87)+6)&gt;YEAR(E87),1,(12-MONTH(E87)+1)/12))) + (Q87)*(IF((YEAR(D87)+6)&lt;YEAR(E87),0,IF((YEAR(D87)+6)&gt;YEAR(E87),1,(12-MONTH(E87)+1)/12))))-((P87)*(IF((YEAR(D87)+6)&lt;YEAR(E87),0,IF((YEAR(D87)+6)&gt;YEAR(E87),1,(12-MONTH(E87)+1)/12))) + (R87)*(IF((YEAR(D87)+6)&lt;YEAR(E87),0,IF((YEAR(D87)+6)&gt;YEAR(E87),1,(12-MONTH(E87)+1)/12))))-(IF((((K87)*(IF(M87="",L87,IFERROR(IF(INDEX(Variablen!$I:$AT, MATCH(M87, Variablen!$A:$A, 0), MATCH((YEAR(D87)+6), Variablen!$I$3:$AT$3, 0))="",L87,INDEX(Variablen!$I:$AT, MATCH(M87, Variablen!$A:$A, 0), MATCH((YEAR(D87)+6), Variablen!$I$3:$AT$3, 0))),L87)))*(IF((YEAR(D87)+6)&lt;YEAR(E87),0,IF((YEAR(D87)+6)&gt;YEAR(E87),1,(12-MONTH(E87)+1)/12))) + (Q87)*(IF((YEAR(D87)+6)&lt;YEAR(E87),0,IF((YEAR(D87)+6)&gt;YEAR(E87),1,(12-MONTH(E87)+1)/12))))-((P87)*(IF((YEAR(D87)+6)&lt;YEAR(E87),0,IF((YEAR(D87)+6)&gt;YEAR(E87),1,(12-MONTH(E87)+1)/12))) + (R87)*(IF((YEAR(D87)+6)&lt;YEAR(E87),0,IF((YEAR(D87)+6)&gt;YEAR(E87),1,(12-MONTH(E87)+1)/12))))-(IF(OR(N87="",N87&lt;=0),0,(O87/N87)*(IF(OR(N87="",N87&lt;=0),0,IF((YEAR(D87)+6)&lt;YEAR(E87),0,IF((YEAR(D87)+6)&gt;=YEAR(E87)+N87,0,IF((YEAR(D87)+6)=YEAR(E87),(12-MONTH(E87)+1)/12,1))))))))&gt;0,(((K87)*(IF(M87="",L87,IFERROR(IF(INDEX(Variablen!$I:$AT, MATCH(M87, Variablen!$A:$A, 0), MATCH((YEAR(D87)+6), Variablen!$I$3:$AT$3, 0))="",L87,INDEX(Variablen!$I:$AT, MATCH(M87, Variablen!$A:$A, 0), MATCH((YEAR(D87)+6), Variablen!$I$3:$AT$3, 0))),L87)))*(IF((YEAR(D87)+6)&lt;YEAR(E87),0,IF((YEAR(D87)+6)&gt;YEAR(E87),1,(12-MONTH(E87)+1)/12))) + (Q87)*(IF((YEAR(D87)+6)&lt;YEAR(E87),0,IF((YEAR(D87)+6)&gt;YEAR(E87),1,(12-MONTH(E87)+1)/12))))-((P87)*(IF((YEAR(D87)+6)&lt;YEAR(E87),0,IF((YEAR(D87)+6)&gt;YEAR(E87),1,(12-MONTH(E87)+1)/12))) + (R87)*(IF((YEAR(D87)+6)&lt;YEAR(E87),0,IF((YEAR(D87)+6)&gt;YEAR(E87),1,(12-MONTH(E87)+1)/12))))-(IF(OR(N87="",N87&lt;=0),0,(O87/N87)*(IF(OR(N87="",N87&lt;=0),0,IF((YEAR(D87)+6)&lt;YEAR(E87),0,IF((YEAR(D87)+6)&gt;=YEAR(E87)+N87,0,IF((YEAR(D87)+6)=YEAR(E87),(12-MONTH(E87)+1)/12,1))))))))*TaxRate,0))-IF(6=0,O87,0))</f>
        <v/>
      </c>
      <c r="Z87" s="29">
        <f>IF(A87="","",((K87)*(IF(M87="",L87,IFERROR(IF(INDEX(Variablen!$I:$AT, MATCH(M87, Variablen!$A:$A, 0), MATCH((YEAR(D87)+7), Variablen!$I$3:$AT$3, 0))="",L87,INDEX(Variablen!$I:$AT, MATCH(M87, Variablen!$A:$A, 0), MATCH((YEAR(D87)+7), Variablen!$I$3:$AT$3, 0))),L87)))*(IF((YEAR(D87)+7)&lt;YEAR(E87),0,IF((YEAR(D87)+7)&gt;YEAR(E87),1,(12-MONTH(E87)+1)/12))) + (Q87)*(IF((YEAR(D87)+7)&lt;YEAR(E87),0,IF((YEAR(D87)+7)&gt;YEAR(E87),1,(12-MONTH(E87)+1)/12))))-((P87)*(IF((YEAR(D87)+7)&lt;YEAR(E87),0,IF((YEAR(D87)+7)&gt;YEAR(E87),1,(12-MONTH(E87)+1)/12))) + (R87)*(IF((YEAR(D87)+7)&lt;YEAR(E87),0,IF((YEAR(D87)+7)&gt;YEAR(E87),1,(12-MONTH(E87)+1)/12))))-(IF((((K87)*(IF(M87="",L87,IFERROR(IF(INDEX(Variablen!$I:$AT, MATCH(M87, Variablen!$A:$A, 0), MATCH((YEAR(D87)+7), Variablen!$I$3:$AT$3, 0))="",L87,INDEX(Variablen!$I:$AT, MATCH(M87, Variablen!$A:$A, 0), MATCH((YEAR(D87)+7), Variablen!$I$3:$AT$3, 0))),L87)))*(IF((YEAR(D87)+7)&lt;YEAR(E87),0,IF((YEAR(D87)+7)&gt;YEAR(E87),1,(12-MONTH(E87)+1)/12))) + (Q87)*(IF((YEAR(D87)+7)&lt;YEAR(E87),0,IF((YEAR(D87)+7)&gt;YEAR(E87),1,(12-MONTH(E87)+1)/12))))-((P87)*(IF((YEAR(D87)+7)&lt;YEAR(E87),0,IF((YEAR(D87)+7)&gt;YEAR(E87),1,(12-MONTH(E87)+1)/12))) + (R87)*(IF((YEAR(D87)+7)&lt;YEAR(E87),0,IF((YEAR(D87)+7)&gt;YEAR(E87),1,(12-MONTH(E87)+1)/12))))-(IF(OR(N87="",N87&lt;=0),0,(O87/N87)*(IF(OR(N87="",N87&lt;=0),0,IF((YEAR(D87)+7)&lt;YEAR(E87),0,IF((YEAR(D87)+7)&gt;=YEAR(E87)+N87,0,IF((YEAR(D87)+7)=YEAR(E87),(12-MONTH(E87)+1)/12,1))))))))&gt;0,(((K87)*(IF(M87="",L87,IFERROR(IF(INDEX(Variablen!$I:$AT, MATCH(M87, Variablen!$A:$A, 0), MATCH((YEAR(D87)+7), Variablen!$I$3:$AT$3, 0))="",L87,INDEX(Variablen!$I:$AT, MATCH(M87, Variablen!$A:$A, 0), MATCH((YEAR(D87)+7), Variablen!$I$3:$AT$3, 0))),L87)))*(IF((YEAR(D87)+7)&lt;YEAR(E87),0,IF((YEAR(D87)+7)&gt;YEAR(E87),1,(12-MONTH(E87)+1)/12))) + (Q87)*(IF((YEAR(D87)+7)&lt;YEAR(E87),0,IF((YEAR(D87)+7)&gt;YEAR(E87),1,(12-MONTH(E87)+1)/12))))-((P87)*(IF((YEAR(D87)+7)&lt;YEAR(E87),0,IF((YEAR(D87)+7)&gt;YEAR(E87),1,(12-MONTH(E87)+1)/12))) + (R87)*(IF((YEAR(D87)+7)&lt;YEAR(E87),0,IF((YEAR(D87)+7)&gt;YEAR(E87),1,(12-MONTH(E87)+1)/12))))-(IF(OR(N87="",N87&lt;=0),0,(O87/N87)*(IF(OR(N87="",N87&lt;=0),0,IF((YEAR(D87)+7)&lt;YEAR(E87),0,IF((YEAR(D87)+7)&gt;=YEAR(E87)+N87,0,IF((YEAR(D87)+7)=YEAR(E87),(12-MONTH(E87)+1)/12,1))))))))*TaxRate,0))-IF(7=0,O87,0))</f>
        <v/>
      </c>
      <c r="AA87" s="29">
        <f>IF(A87="","",((K87)*(IF(M87="",L87,IFERROR(IF(INDEX(Variablen!$I:$AT, MATCH(M87, Variablen!$A:$A, 0), MATCH((YEAR(D87)+8), Variablen!$I$3:$AT$3, 0))="",L87,INDEX(Variablen!$I:$AT, MATCH(M87, Variablen!$A:$A, 0), MATCH((YEAR(D87)+8), Variablen!$I$3:$AT$3, 0))),L87)))*(IF((YEAR(D87)+8)&lt;YEAR(E87),0,IF((YEAR(D87)+8)&gt;YEAR(E87),1,(12-MONTH(E87)+1)/12))) + (Q87)*(IF((YEAR(D87)+8)&lt;YEAR(E87),0,IF((YEAR(D87)+8)&gt;YEAR(E87),1,(12-MONTH(E87)+1)/12))))-((P87)*(IF((YEAR(D87)+8)&lt;YEAR(E87),0,IF((YEAR(D87)+8)&gt;YEAR(E87),1,(12-MONTH(E87)+1)/12))) + (R87)*(IF((YEAR(D87)+8)&lt;YEAR(E87),0,IF((YEAR(D87)+8)&gt;YEAR(E87),1,(12-MONTH(E87)+1)/12))))-(IF((((K87)*(IF(M87="",L87,IFERROR(IF(INDEX(Variablen!$I:$AT, MATCH(M87, Variablen!$A:$A, 0), MATCH((YEAR(D87)+8), Variablen!$I$3:$AT$3, 0))="",L87,INDEX(Variablen!$I:$AT, MATCH(M87, Variablen!$A:$A, 0), MATCH((YEAR(D87)+8), Variablen!$I$3:$AT$3, 0))),L87)))*(IF((YEAR(D87)+8)&lt;YEAR(E87),0,IF((YEAR(D87)+8)&gt;YEAR(E87),1,(12-MONTH(E87)+1)/12))) + (Q87)*(IF((YEAR(D87)+8)&lt;YEAR(E87),0,IF((YEAR(D87)+8)&gt;YEAR(E87),1,(12-MONTH(E87)+1)/12))))-((P87)*(IF((YEAR(D87)+8)&lt;YEAR(E87),0,IF((YEAR(D87)+8)&gt;YEAR(E87),1,(12-MONTH(E87)+1)/12))) + (R87)*(IF((YEAR(D87)+8)&lt;YEAR(E87),0,IF((YEAR(D87)+8)&gt;YEAR(E87),1,(12-MONTH(E87)+1)/12))))-(IF(OR(N87="",N87&lt;=0),0,(O87/N87)*(IF(OR(N87="",N87&lt;=0),0,IF((YEAR(D87)+8)&lt;YEAR(E87),0,IF((YEAR(D87)+8)&gt;=YEAR(E87)+N87,0,IF((YEAR(D87)+8)=YEAR(E87),(12-MONTH(E87)+1)/12,1))))))))&gt;0,(((K87)*(IF(M87="",L87,IFERROR(IF(INDEX(Variablen!$I:$AT, MATCH(M87, Variablen!$A:$A, 0), MATCH((YEAR(D87)+8), Variablen!$I$3:$AT$3, 0))="",L87,INDEX(Variablen!$I:$AT, MATCH(M87, Variablen!$A:$A, 0), MATCH((YEAR(D87)+8), Variablen!$I$3:$AT$3, 0))),L87)))*(IF((YEAR(D87)+8)&lt;YEAR(E87),0,IF((YEAR(D87)+8)&gt;YEAR(E87),1,(12-MONTH(E87)+1)/12))) + (Q87)*(IF((YEAR(D87)+8)&lt;YEAR(E87),0,IF((YEAR(D87)+8)&gt;YEAR(E87),1,(12-MONTH(E87)+1)/12))))-((P87)*(IF((YEAR(D87)+8)&lt;YEAR(E87),0,IF((YEAR(D87)+8)&gt;YEAR(E87),1,(12-MONTH(E87)+1)/12))) + (R87)*(IF((YEAR(D87)+8)&lt;YEAR(E87),0,IF((YEAR(D87)+8)&gt;YEAR(E87),1,(12-MONTH(E87)+1)/12))))-(IF(OR(N87="",N87&lt;=0),0,(O87/N87)*(IF(OR(N87="",N87&lt;=0),0,IF((YEAR(D87)+8)&lt;YEAR(E87),0,IF((YEAR(D87)+8)&gt;=YEAR(E87)+N87,0,IF((YEAR(D87)+8)=YEAR(E87),(12-MONTH(E87)+1)/12,1))))))))*TaxRate,0))-IF(8=0,O87,0))</f>
        <v/>
      </c>
      <c r="AB87" s="29">
        <f>IF(A87="","",((K87)*(IF(M87="",L87,IFERROR(IF(INDEX(Variablen!$I:$AT, MATCH(M87, Variablen!$A:$A, 0), MATCH((YEAR(D87)+9), Variablen!$I$3:$AT$3, 0))="",L87,INDEX(Variablen!$I:$AT, MATCH(M87, Variablen!$A:$A, 0), MATCH((YEAR(D87)+9), Variablen!$I$3:$AT$3, 0))),L87)))*(IF((YEAR(D87)+9)&lt;YEAR(E87),0,IF((YEAR(D87)+9)&gt;YEAR(E87),1,(12-MONTH(E87)+1)/12))) + (Q87)*(IF((YEAR(D87)+9)&lt;YEAR(E87),0,IF((YEAR(D87)+9)&gt;YEAR(E87),1,(12-MONTH(E87)+1)/12))))-((P87)*(IF((YEAR(D87)+9)&lt;YEAR(E87),0,IF((YEAR(D87)+9)&gt;YEAR(E87),1,(12-MONTH(E87)+1)/12))) + (R87)*(IF((YEAR(D87)+9)&lt;YEAR(E87),0,IF((YEAR(D87)+9)&gt;YEAR(E87),1,(12-MONTH(E87)+1)/12))))-(IF((((K87)*(IF(M87="",L87,IFERROR(IF(INDEX(Variablen!$I:$AT, MATCH(M87, Variablen!$A:$A, 0), MATCH((YEAR(D87)+9), Variablen!$I$3:$AT$3, 0))="",L87,INDEX(Variablen!$I:$AT, MATCH(M87, Variablen!$A:$A, 0), MATCH((YEAR(D87)+9), Variablen!$I$3:$AT$3, 0))),L87)))*(IF((YEAR(D87)+9)&lt;YEAR(E87),0,IF((YEAR(D87)+9)&gt;YEAR(E87),1,(12-MONTH(E87)+1)/12))) + (Q87)*(IF((YEAR(D87)+9)&lt;YEAR(E87),0,IF((YEAR(D87)+9)&gt;YEAR(E87),1,(12-MONTH(E87)+1)/12))))-((P87)*(IF((YEAR(D87)+9)&lt;YEAR(E87),0,IF((YEAR(D87)+9)&gt;YEAR(E87),1,(12-MONTH(E87)+1)/12))) + (R87)*(IF((YEAR(D87)+9)&lt;YEAR(E87),0,IF((YEAR(D87)+9)&gt;YEAR(E87),1,(12-MONTH(E87)+1)/12))))-(IF(OR(N87="",N87&lt;=0),0,(O87/N87)*(IF(OR(N87="",N87&lt;=0),0,IF((YEAR(D87)+9)&lt;YEAR(E87),0,IF((YEAR(D87)+9)&gt;=YEAR(E87)+N87,0,IF((YEAR(D87)+9)=YEAR(E87),(12-MONTH(E87)+1)/12,1))))))))&gt;0,(((K87)*(IF(M87="",L87,IFERROR(IF(INDEX(Variablen!$I:$AT, MATCH(M87, Variablen!$A:$A, 0), MATCH((YEAR(D87)+9), Variablen!$I$3:$AT$3, 0))="",L87,INDEX(Variablen!$I:$AT, MATCH(M87, Variablen!$A:$A, 0), MATCH((YEAR(D87)+9), Variablen!$I$3:$AT$3, 0))),L87)))*(IF((YEAR(D87)+9)&lt;YEAR(E87),0,IF((YEAR(D87)+9)&gt;YEAR(E87),1,(12-MONTH(E87)+1)/12))) + (Q87)*(IF((YEAR(D87)+9)&lt;YEAR(E87),0,IF((YEAR(D87)+9)&gt;YEAR(E87),1,(12-MONTH(E87)+1)/12))))-((P87)*(IF((YEAR(D87)+9)&lt;YEAR(E87),0,IF((YEAR(D87)+9)&gt;YEAR(E87),1,(12-MONTH(E87)+1)/12))) + (R87)*(IF((YEAR(D87)+9)&lt;YEAR(E87),0,IF((YEAR(D87)+9)&gt;YEAR(E87),1,(12-MONTH(E87)+1)/12))))-(IF(OR(N87="",N87&lt;=0),0,(O87/N87)*(IF(OR(N87="",N87&lt;=0),0,IF((YEAR(D87)+9)&lt;YEAR(E87),0,IF((YEAR(D87)+9)&gt;=YEAR(E87)+N87,0,IF((YEAR(D87)+9)=YEAR(E87),(12-MONTH(E87)+1)/12,1))))))))*TaxRate,0))-IF(9=0,O87,0))</f>
        <v/>
      </c>
      <c r="AC87" s="29">
        <f>IF(A87="","",((K87)*(IF(M87="",L87,IFERROR(IF(INDEX(Variablen!$I:$AT, MATCH(M87, Variablen!$A:$A, 0), MATCH((YEAR(D87)+10), Variablen!$I$3:$AT$3, 0))="",L87,INDEX(Variablen!$I:$AT, MATCH(M87, Variablen!$A:$A, 0), MATCH((YEAR(D87)+10), Variablen!$I$3:$AT$3, 0))),L87)))*(IF((YEAR(D87)+10)&lt;YEAR(E87),0,IF((YEAR(D87)+10)&gt;YEAR(E87),1,(12-MONTH(E87)+1)/12))) + (Q87)*(IF((YEAR(D87)+10)&lt;YEAR(E87),0,IF((YEAR(D87)+10)&gt;YEAR(E87),1,(12-MONTH(E87)+1)/12))))-((P87)*(IF((YEAR(D87)+10)&lt;YEAR(E87),0,IF((YEAR(D87)+10)&gt;YEAR(E87),1,(12-MONTH(E87)+1)/12))) + (R87)*(IF((YEAR(D87)+10)&lt;YEAR(E87),0,IF((YEAR(D87)+10)&gt;YEAR(E87),1,(12-MONTH(E87)+1)/12))))-(IF((((K87)*(IF(M87="",L87,IFERROR(IF(INDEX(Variablen!$I:$AT, MATCH(M87, Variablen!$A:$A, 0), MATCH((YEAR(D87)+10), Variablen!$I$3:$AT$3, 0))="",L87,INDEX(Variablen!$I:$AT, MATCH(M87, Variablen!$A:$A, 0), MATCH((YEAR(D87)+10), Variablen!$I$3:$AT$3, 0))),L87)))*(IF((YEAR(D87)+10)&lt;YEAR(E87),0,IF((YEAR(D87)+10)&gt;YEAR(E87),1,(12-MONTH(E87)+1)/12))) + (Q87)*(IF((YEAR(D87)+10)&lt;YEAR(E87),0,IF((YEAR(D87)+10)&gt;YEAR(E87),1,(12-MONTH(E87)+1)/12))))-((P87)*(IF((YEAR(D87)+10)&lt;YEAR(E87),0,IF((YEAR(D87)+10)&gt;YEAR(E87),1,(12-MONTH(E87)+1)/12))) + (R87)*(IF((YEAR(D87)+10)&lt;YEAR(E87),0,IF((YEAR(D87)+10)&gt;YEAR(E87),1,(12-MONTH(E87)+1)/12))))-(IF(OR(N87="",N87&lt;=0),0,(O87/N87)*(IF(OR(N87="",N87&lt;=0),0,IF((YEAR(D87)+10)&lt;YEAR(E87),0,IF((YEAR(D87)+10)&gt;=YEAR(E87)+N87,0,IF((YEAR(D87)+10)=YEAR(E87),(12-MONTH(E87)+1)/12,1))))))))&gt;0,(((K87)*(IF(M87="",L87,IFERROR(IF(INDEX(Variablen!$I:$AT, MATCH(M87, Variablen!$A:$A, 0), MATCH((YEAR(D87)+10), Variablen!$I$3:$AT$3, 0))="",L87,INDEX(Variablen!$I:$AT, MATCH(M87, Variablen!$A:$A, 0), MATCH((YEAR(D87)+10), Variablen!$I$3:$AT$3, 0))),L87)))*(IF((YEAR(D87)+10)&lt;YEAR(E87),0,IF((YEAR(D87)+10)&gt;YEAR(E87),1,(12-MONTH(E87)+1)/12))) + (Q87)*(IF((YEAR(D87)+10)&lt;YEAR(E87),0,IF((YEAR(D87)+10)&gt;YEAR(E87),1,(12-MONTH(E87)+1)/12))))-((P87)*(IF((YEAR(D87)+10)&lt;YEAR(E87),0,IF((YEAR(D87)+10)&gt;YEAR(E87),1,(12-MONTH(E87)+1)/12))) + (R87)*(IF((YEAR(D87)+10)&lt;YEAR(E87),0,IF((YEAR(D87)+10)&gt;YEAR(E87),1,(12-MONTH(E87)+1)/12))))-(IF(OR(N87="",N87&lt;=0),0,(O87/N87)*(IF(OR(N87="",N87&lt;=0),0,IF((YEAR(D87)+10)&lt;YEAR(E87),0,IF((YEAR(D87)+10)&gt;=YEAR(E87)+N87,0,IF((YEAR(D87)+10)=YEAR(E87),(12-MONTH(E87)+1)/12,1))))))))*TaxRate,0))-IF(10=0,O87,0))</f>
        <v/>
      </c>
      <c r="AD87" s="29">
        <f>IF(A87="","",((K87)*(IF(M87="",L87,IFERROR(IF(INDEX(Variablen!$I:$AT, MATCH(M87, Variablen!$A:$A, 0), MATCH((YEAR(D87)+11), Variablen!$I$3:$AT$3, 0))="",L87,INDEX(Variablen!$I:$AT, MATCH(M87, Variablen!$A:$A, 0), MATCH((YEAR(D87)+11), Variablen!$I$3:$AT$3, 0))),L87)))*(IF((YEAR(D87)+11)&lt;YEAR(E87),0,IF((YEAR(D87)+11)&gt;YEAR(E87),1,(12-MONTH(E87)+1)/12))) + (Q87)*(IF((YEAR(D87)+11)&lt;YEAR(E87),0,IF((YEAR(D87)+11)&gt;YEAR(E87),1,(12-MONTH(E87)+1)/12))))-((P87)*(IF((YEAR(D87)+11)&lt;YEAR(E87),0,IF((YEAR(D87)+11)&gt;YEAR(E87),1,(12-MONTH(E87)+1)/12))) + (R87)*(IF((YEAR(D87)+11)&lt;YEAR(E87),0,IF((YEAR(D87)+11)&gt;YEAR(E87),1,(12-MONTH(E87)+1)/12))))-(IF((((K87)*(IF(M87="",L87,IFERROR(IF(INDEX(Variablen!$I:$AT, MATCH(M87, Variablen!$A:$A, 0), MATCH((YEAR(D87)+11), Variablen!$I$3:$AT$3, 0))="",L87,INDEX(Variablen!$I:$AT, MATCH(M87, Variablen!$A:$A, 0), MATCH((YEAR(D87)+11), Variablen!$I$3:$AT$3, 0))),L87)))*(IF((YEAR(D87)+11)&lt;YEAR(E87),0,IF((YEAR(D87)+11)&gt;YEAR(E87),1,(12-MONTH(E87)+1)/12))) + (Q87)*(IF((YEAR(D87)+11)&lt;YEAR(E87),0,IF((YEAR(D87)+11)&gt;YEAR(E87),1,(12-MONTH(E87)+1)/12))))-((P87)*(IF((YEAR(D87)+11)&lt;YEAR(E87),0,IF((YEAR(D87)+11)&gt;YEAR(E87),1,(12-MONTH(E87)+1)/12))) + (R87)*(IF((YEAR(D87)+11)&lt;YEAR(E87),0,IF((YEAR(D87)+11)&gt;YEAR(E87),1,(12-MONTH(E87)+1)/12))))-(IF(OR(N87="",N87&lt;=0),0,(O87/N87)*(IF(OR(N87="",N87&lt;=0),0,IF((YEAR(D87)+11)&lt;YEAR(E87),0,IF((YEAR(D87)+11)&gt;=YEAR(E87)+N87,0,IF((YEAR(D87)+11)=YEAR(E87),(12-MONTH(E87)+1)/12,1))))))))&gt;0,(((K87)*(IF(M87="",L87,IFERROR(IF(INDEX(Variablen!$I:$AT, MATCH(M87, Variablen!$A:$A, 0), MATCH((YEAR(D87)+11), Variablen!$I$3:$AT$3, 0))="",L87,INDEX(Variablen!$I:$AT, MATCH(M87, Variablen!$A:$A, 0), MATCH((YEAR(D87)+11), Variablen!$I$3:$AT$3, 0))),L87)))*(IF((YEAR(D87)+11)&lt;YEAR(E87),0,IF((YEAR(D87)+11)&gt;YEAR(E87),1,(12-MONTH(E87)+1)/12))) + (Q87)*(IF((YEAR(D87)+11)&lt;YEAR(E87),0,IF((YEAR(D87)+11)&gt;YEAR(E87),1,(12-MONTH(E87)+1)/12))))-((P87)*(IF((YEAR(D87)+11)&lt;YEAR(E87),0,IF((YEAR(D87)+11)&gt;YEAR(E87),1,(12-MONTH(E87)+1)/12))) + (R87)*(IF((YEAR(D87)+11)&lt;YEAR(E87),0,IF((YEAR(D87)+11)&gt;YEAR(E87),1,(12-MONTH(E87)+1)/12))))-(IF(OR(N87="",N87&lt;=0),0,(O87/N87)*(IF(OR(N87="",N87&lt;=0),0,IF((YEAR(D87)+11)&lt;YEAR(E87),0,IF((YEAR(D87)+11)&gt;=YEAR(E87)+N87,0,IF((YEAR(D87)+11)=YEAR(E87),(12-MONTH(E87)+1)/12,1))))))))*TaxRate,0))-IF(11=0,O87,0))</f>
        <v/>
      </c>
      <c r="AE87" s="29">
        <f>IF(A87="","",((K87)*(IF(M87="",L87,IFERROR(IF(INDEX(Variablen!$I:$AT, MATCH(M87, Variablen!$A:$A, 0), MATCH((YEAR(D87)+12), Variablen!$I$3:$AT$3, 0))="",L87,INDEX(Variablen!$I:$AT, MATCH(M87, Variablen!$A:$A, 0), MATCH((YEAR(D87)+12), Variablen!$I$3:$AT$3, 0))),L87)))*(IF((YEAR(D87)+12)&lt;YEAR(E87),0,IF((YEAR(D87)+12)&gt;YEAR(E87),1,(12-MONTH(E87)+1)/12))) + (Q87)*(IF((YEAR(D87)+12)&lt;YEAR(E87),0,IF((YEAR(D87)+12)&gt;YEAR(E87),1,(12-MONTH(E87)+1)/12))))-((P87)*(IF((YEAR(D87)+12)&lt;YEAR(E87),0,IF((YEAR(D87)+12)&gt;YEAR(E87),1,(12-MONTH(E87)+1)/12))) + (R87)*(IF((YEAR(D87)+12)&lt;YEAR(E87),0,IF((YEAR(D87)+12)&gt;YEAR(E87),1,(12-MONTH(E87)+1)/12))))-(IF((((K87)*(IF(M87="",L87,IFERROR(IF(INDEX(Variablen!$I:$AT, MATCH(M87, Variablen!$A:$A, 0), MATCH((YEAR(D87)+12), Variablen!$I$3:$AT$3, 0))="",L87,INDEX(Variablen!$I:$AT, MATCH(M87, Variablen!$A:$A, 0), MATCH((YEAR(D87)+12), Variablen!$I$3:$AT$3, 0))),L87)))*(IF((YEAR(D87)+12)&lt;YEAR(E87),0,IF((YEAR(D87)+12)&gt;YEAR(E87),1,(12-MONTH(E87)+1)/12))) + (Q87)*(IF((YEAR(D87)+12)&lt;YEAR(E87),0,IF((YEAR(D87)+12)&gt;YEAR(E87),1,(12-MONTH(E87)+1)/12))))-((P87)*(IF((YEAR(D87)+12)&lt;YEAR(E87),0,IF((YEAR(D87)+12)&gt;YEAR(E87),1,(12-MONTH(E87)+1)/12))) + (R87)*(IF((YEAR(D87)+12)&lt;YEAR(E87),0,IF((YEAR(D87)+12)&gt;YEAR(E87),1,(12-MONTH(E87)+1)/12))))-(IF(OR(N87="",N87&lt;=0),0,(O87/N87)*(IF(OR(N87="",N87&lt;=0),0,IF((YEAR(D87)+12)&lt;YEAR(E87),0,IF((YEAR(D87)+12)&gt;=YEAR(E87)+N87,0,IF((YEAR(D87)+12)=YEAR(E87),(12-MONTH(E87)+1)/12,1))))))))&gt;0,(((K87)*(IF(M87="",L87,IFERROR(IF(INDEX(Variablen!$I:$AT, MATCH(M87, Variablen!$A:$A, 0), MATCH((YEAR(D87)+12), Variablen!$I$3:$AT$3, 0))="",L87,INDEX(Variablen!$I:$AT, MATCH(M87, Variablen!$A:$A, 0), MATCH((YEAR(D87)+12), Variablen!$I$3:$AT$3, 0))),L87)))*(IF((YEAR(D87)+12)&lt;YEAR(E87),0,IF((YEAR(D87)+12)&gt;YEAR(E87),1,(12-MONTH(E87)+1)/12))) + (Q87)*(IF((YEAR(D87)+12)&lt;YEAR(E87),0,IF((YEAR(D87)+12)&gt;YEAR(E87),1,(12-MONTH(E87)+1)/12))))-((P87)*(IF((YEAR(D87)+12)&lt;YEAR(E87),0,IF((YEAR(D87)+12)&gt;YEAR(E87),1,(12-MONTH(E87)+1)/12))) + (R87)*(IF((YEAR(D87)+12)&lt;YEAR(E87),0,IF((YEAR(D87)+12)&gt;YEAR(E87),1,(12-MONTH(E87)+1)/12))))-(IF(OR(N87="",N87&lt;=0),0,(O87/N87)*(IF(OR(N87="",N87&lt;=0),0,IF((YEAR(D87)+12)&lt;YEAR(E87),0,IF((YEAR(D87)+12)&gt;=YEAR(E87)+N87,0,IF((YEAR(D87)+12)=YEAR(E87),(12-MONTH(E87)+1)/12,1))))))))*TaxRate,0))-IF(12=0,O87,0))</f>
        <v/>
      </c>
      <c r="AF87" s="29">
        <f>IF(A87="","",((K87)*(IF(M87="",L87,IFERROR(IF(INDEX(Variablen!$I:$AT, MATCH(M87, Variablen!$A:$A, 0), MATCH((YEAR(D87)+13), Variablen!$I$3:$AT$3, 0))="",L87,INDEX(Variablen!$I:$AT, MATCH(M87, Variablen!$A:$A, 0), MATCH((YEAR(D87)+13), Variablen!$I$3:$AT$3, 0))),L87)))*(IF((YEAR(D87)+13)&lt;YEAR(E87),0,IF((YEAR(D87)+13)&gt;YEAR(E87),1,(12-MONTH(E87)+1)/12))) + (Q87)*(IF((YEAR(D87)+13)&lt;YEAR(E87),0,IF((YEAR(D87)+13)&gt;YEAR(E87),1,(12-MONTH(E87)+1)/12))))-((P87)*(IF((YEAR(D87)+13)&lt;YEAR(E87),0,IF((YEAR(D87)+13)&gt;YEAR(E87),1,(12-MONTH(E87)+1)/12))) + (R87)*(IF((YEAR(D87)+13)&lt;YEAR(E87),0,IF((YEAR(D87)+13)&gt;YEAR(E87),1,(12-MONTH(E87)+1)/12))))-(IF((((K87)*(IF(M87="",L87,IFERROR(IF(INDEX(Variablen!$I:$AT, MATCH(M87, Variablen!$A:$A, 0), MATCH((YEAR(D87)+13), Variablen!$I$3:$AT$3, 0))="",L87,INDEX(Variablen!$I:$AT, MATCH(M87, Variablen!$A:$A, 0), MATCH((YEAR(D87)+13), Variablen!$I$3:$AT$3, 0))),L87)))*(IF((YEAR(D87)+13)&lt;YEAR(E87),0,IF((YEAR(D87)+13)&gt;YEAR(E87),1,(12-MONTH(E87)+1)/12))) + (Q87)*(IF((YEAR(D87)+13)&lt;YEAR(E87),0,IF((YEAR(D87)+13)&gt;YEAR(E87),1,(12-MONTH(E87)+1)/12))))-((P87)*(IF((YEAR(D87)+13)&lt;YEAR(E87),0,IF((YEAR(D87)+13)&gt;YEAR(E87),1,(12-MONTH(E87)+1)/12))) + (R87)*(IF((YEAR(D87)+13)&lt;YEAR(E87),0,IF((YEAR(D87)+13)&gt;YEAR(E87),1,(12-MONTH(E87)+1)/12))))-(IF(OR(N87="",N87&lt;=0),0,(O87/N87)*(IF(OR(N87="",N87&lt;=0),0,IF((YEAR(D87)+13)&lt;YEAR(E87),0,IF((YEAR(D87)+13)&gt;=YEAR(E87)+N87,0,IF((YEAR(D87)+13)=YEAR(E87),(12-MONTH(E87)+1)/12,1))))))))&gt;0,(((K87)*(IF(M87="",L87,IFERROR(IF(INDEX(Variablen!$I:$AT, MATCH(M87, Variablen!$A:$A, 0), MATCH((YEAR(D87)+13), Variablen!$I$3:$AT$3, 0))="",L87,INDEX(Variablen!$I:$AT, MATCH(M87, Variablen!$A:$A, 0), MATCH((YEAR(D87)+13), Variablen!$I$3:$AT$3, 0))),L87)))*(IF((YEAR(D87)+13)&lt;YEAR(E87),0,IF((YEAR(D87)+13)&gt;YEAR(E87),1,(12-MONTH(E87)+1)/12))) + (Q87)*(IF((YEAR(D87)+13)&lt;YEAR(E87),0,IF((YEAR(D87)+13)&gt;YEAR(E87),1,(12-MONTH(E87)+1)/12))))-((P87)*(IF((YEAR(D87)+13)&lt;YEAR(E87),0,IF((YEAR(D87)+13)&gt;YEAR(E87),1,(12-MONTH(E87)+1)/12))) + (R87)*(IF((YEAR(D87)+13)&lt;YEAR(E87),0,IF((YEAR(D87)+13)&gt;YEAR(E87),1,(12-MONTH(E87)+1)/12))))-(IF(OR(N87="",N87&lt;=0),0,(O87/N87)*(IF(OR(N87="",N87&lt;=0),0,IF((YEAR(D87)+13)&lt;YEAR(E87),0,IF((YEAR(D87)+13)&gt;=YEAR(E87)+N87,0,IF((YEAR(D87)+13)=YEAR(E87),(12-MONTH(E87)+1)/12,1))))))))*TaxRate,0))-IF(13=0,O87,0))</f>
        <v/>
      </c>
      <c r="AG87" s="29">
        <f>IF(A87="","",((K87)*(IF(M87="",L87,IFERROR(IF(INDEX(Variablen!$I:$AT, MATCH(M87, Variablen!$A:$A, 0), MATCH((YEAR(D87)+14), Variablen!$I$3:$AT$3, 0))="",L87,INDEX(Variablen!$I:$AT, MATCH(M87, Variablen!$A:$A, 0), MATCH((YEAR(D87)+14), Variablen!$I$3:$AT$3, 0))),L87)))*(IF((YEAR(D87)+14)&lt;YEAR(E87),0,IF((YEAR(D87)+14)&gt;YEAR(E87),1,(12-MONTH(E87)+1)/12))) + (Q87)*(IF((YEAR(D87)+14)&lt;YEAR(E87),0,IF((YEAR(D87)+14)&gt;YEAR(E87),1,(12-MONTH(E87)+1)/12))))-((P87)*(IF((YEAR(D87)+14)&lt;YEAR(E87),0,IF((YEAR(D87)+14)&gt;YEAR(E87),1,(12-MONTH(E87)+1)/12))) + (R87)*(IF((YEAR(D87)+14)&lt;YEAR(E87),0,IF((YEAR(D87)+14)&gt;YEAR(E87),1,(12-MONTH(E87)+1)/12))))-(IF((((K87)*(IF(M87="",L87,IFERROR(IF(INDEX(Variablen!$I:$AT, MATCH(M87, Variablen!$A:$A, 0), MATCH((YEAR(D87)+14), Variablen!$I$3:$AT$3, 0))="",L87,INDEX(Variablen!$I:$AT, MATCH(M87, Variablen!$A:$A, 0), MATCH((YEAR(D87)+14), Variablen!$I$3:$AT$3, 0))),L87)))*(IF((YEAR(D87)+14)&lt;YEAR(E87),0,IF((YEAR(D87)+14)&gt;YEAR(E87),1,(12-MONTH(E87)+1)/12))) + (Q87)*(IF((YEAR(D87)+14)&lt;YEAR(E87),0,IF((YEAR(D87)+14)&gt;YEAR(E87),1,(12-MONTH(E87)+1)/12))))-((P87)*(IF((YEAR(D87)+14)&lt;YEAR(E87),0,IF((YEAR(D87)+14)&gt;YEAR(E87),1,(12-MONTH(E87)+1)/12))) + (R87)*(IF((YEAR(D87)+14)&lt;YEAR(E87),0,IF((YEAR(D87)+14)&gt;YEAR(E87),1,(12-MONTH(E87)+1)/12))))-(IF(OR(N87="",N87&lt;=0),0,(O87/N87)*(IF(OR(N87="",N87&lt;=0),0,IF((YEAR(D87)+14)&lt;YEAR(E87),0,IF((YEAR(D87)+14)&gt;=YEAR(E87)+N87,0,IF((YEAR(D87)+14)=YEAR(E87),(12-MONTH(E87)+1)/12,1))))))))&gt;0,(((K87)*(IF(M87="",L87,IFERROR(IF(INDEX(Variablen!$I:$AT, MATCH(M87, Variablen!$A:$A, 0), MATCH((YEAR(D87)+14), Variablen!$I$3:$AT$3, 0))="",L87,INDEX(Variablen!$I:$AT, MATCH(M87, Variablen!$A:$A, 0), MATCH((YEAR(D87)+14), Variablen!$I$3:$AT$3, 0))),L87)))*(IF((YEAR(D87)+14)&lt;YEAR(E87),0,IF((YEAR(D87)+14)&gt;YEAR(E87),1,(12-MONTH(E87)+1)/12))) + (Q87)*(IF((YEAR(D87)+14)&lt;YEAR(E87),0,IF((YEAR(D87)+14)&gt;YEAR(E87),1,(12-MONTH(E87)+1)/12))))-((P87)*(IF((YEAR(D87)+14)&lt;YEAR(E87),0,IF((YEAR(D87)+14)&gt;YEAR(E87),1,(12-MONTH(E87)+1)/12))) + (R87)*(IF((YEAR(D87)+14)&lt;YEAR(E87),0,IF((YEAR(D87)+14)&gt;YEAR(E87),1,(12-MONTH(E87)+1)/12))))-(IF(OR(N87="",N87&lt;=0),0,(O87/N87)*(IF(OR(N87="",N87&lt;=0),0,IF((YEAR(D87)+14)&lt;YEAR(E87),0,IF((YEAR(D87)+14)&gt;=YEAR(E87)+N87,0,IF((YEAR(D87)+14)=YEAR(E87),(12-MONTH(E87)+1)/12,1))))))))*TaxRate,0))-IF(14=0,O87,0))</f>
        <v/>
      </c>
      <c r="AH87" s="29">
        <f>IF(A87="","",((K87)*(IF(M87="",L87,IFERROR(IF(INDEX(Variablen!$I:$AT, MATCH(M87, Variablen!$A:$A, 0), MATCH((YEAR(D87)+15), Variablen!$I$3:$AT$3, 0))="",L87,INDEX(Variablen!$I:$AT, MATCH(M87, Variablen!$A:$A, 0), MATCH((YEAR(D87)+15), Variablen!$I$3:$AT$3, 0))),L87)))*(IF((YEAR(D87)+15)&lt;YEAR(E87),0,IF((YEAR(D87)+15)&gt;YEAR(E87),1,(12-MONTH(E87)+1)/12))) + (Q87)*(IF((YEAR(D87)+15)&lt;YEAR(E87),0,IF((YEAR(D87)+15)&gt;YEAR(E87),1,(12-MONTH(E87)+1)/12))))-((P87)*(IF((YEAR(D87)+15)&lt;YEAR(E87),0,IF((YEAR(D87)+15)&gt;YEAR(E87),1,(12-MONTH(E87)+1)/12))) + (R87)*(IF((YEAR(D87)+15)&lt;YEAR(E87),0,IF((YEAR(D87)+15)&gt;YEAR(E87),1,(12-MONTH(E87)+1)/12))))-(IF((((K87)*(IF(M87="",L87,IFERROR(IF(INDEX(Variablen!$I:$AT, MATCH(M87, Variablen!$A:$A, 0), MATCH((YEAR(D87)+15), Variablen!$I$3:$AT$3, 0))="",L87,INDEX(Variablen!$I:$AT, MATCH(M87, Variablen!$A:$A, 0), MATCH((YEAR(D87)+15), Variablen!$I$3:$AT$3, 0))),L87)))*(IF((YEAR(D87)+15)&lt;YEAR(E87),0,IF((YEAR(D87)+15)&gt;YEAR(E87),1,(12-MONTH(E87)+1)/12))) + (Q87)*(IF((YEAR(D87)+15)&lt;YEAR(E87),0,IF((YEAR(D87)+15)&gt;YEAR(E87),1,(12-MONTH(E87)+1)/12))))-((P87)*(IF((YEAR(D87)+15)&lt;YEAR(E87),0,IF((YEAR(D87)+15)&gt;YEAR(E87),1,(12-MONTH(E87)+1)/12))) + (R87)*(IF((YEAR(D87)+15)&lt;YEAR(E87),0,IF((YEAR(D87)+15)&gt;YEAR(E87),1,(12-MONTH(E87)+1)/12))))-(IF(OR(N87="",N87&lt;=0),0,(O87/N87)*(IF(OR(N87="",N87&lt;=0),0,IF((YEAR(D87)+15)&lt;YEAR(E87),0,IF((YEAR(D87)+15)&gt;=YEAR(E87)+N87,0,IF((YEAR(D87)+15)=YEAR(E87),(12-MONTH(E87)+1)/12,1))))))))&gt;0,(((K87)*(IF(M87="",L87,IFERROR(IF(INDEX(Variablen!$I:$AT, MATCH(M87, Variablen!$A:$A, 0), MATCH((YEAR(D87)+15), Variablen!$I$3:$AT$3, 0))="",L87,INDEX(Variablen!$I:$AT, MATCH(M87, Variablen!$A:$A, 0), MATCH((YEAR(D87)+15), Variablen!$I$3:$AT$3, 0))),L87)))*(IF((YEAR(D87)+15)&lt;YEAR(E87),0,IF((YEAR(D87)+15)&gt;YEAR(E87),1,(12-MONTH(E87)+1)/12))) + (Q87)*(IF((YEAR(D87)+15)&lt;YEAR(E87),0,IF((YEAR(D87)+15)&gt;YEAR(E87),1,(12-MONTH(E87)+1)/12))))-((P87)*(IF((YEAR(D87)+15)&lt;YEAR(E87),0,IF((YEAR(D87)+15)&gt;YEAR(E87),1,(12-MONTH(E87)+1)/12))) + (R87)*(IF((YEAR(D87)+15)&lt;YEAR(E87),0,IF((YEAR(D87)+15)&gt;YEAR(E87),1,(12-MONTH(E87)+1)/12))))-(IF(OR(N87="",N87&lt;=0),0,(O87/N87)*(IF(OR(N87="",N87&lt;=0),0,IF((YEAR(D87)+15)&lt;YEAR(E87),0,IF((YEAR(D87)+15)&gt;=YEAR(E87)+N87,0,IF((YEAR(D87)+15)=YEAR(E87),(12-MONTH(E87)+1)/12,1))))))))*TaxRate,0))-IF(15=0,O87,0))</f>
        <v/>
      </c>
      <c r="AI87" s="29">
        <f>IF(A87="","",((K87)*(IF(M87="",L87,IFERROR(IF(INDEX(Variablen!$I:$AT, MATCH(M87, Variablen!$A:$A, 0), MATCH((YEAR(D87)+16), Variablen!$I$3:$AT$3, 0))="",L87,INDEX(Variablen!$I:$AT, MATCH(M87, Variablen!$A:$A, 0), MATCH((YEAR(D87)+16), Variablen!$I$3:$AT$3, 0))),L87)))*(IF((YEAR(D87)+16)&lt;YEAR(E87),0,IF((YEAR(D87)+16)&gt;YEAR(E87),1,(12-MONTH(E87)+1)/12))) + (Q87)*(IF((YEAR(D87)+16)&lt;YEAR(E87),0,IF((YEAR(D87)+16)&gt;YEAR(E87),1,(12-MONTH(E87)+1)/12))))-((P87)*(IF((YEAR(D87)+16)&lt;YEAR(E87),0,IF((YEAR(D87)+16)&gt;YEAR(E87),1,(12-MONTH(E87)+1)/12))) + (R87)*(IF((YEAR(D87)+16)&lt;YEAR(E87),0,IF((YEAR(D87)+16)&gt;YEAR(E87),1,(12-MONTH(E87)+1)/12))))-(IF((((K87)*(IF(M87="",L87,IFERROR(IF(INDEX(Variablen!$I:$AT, MATCH(M87, Variablen!$A:$A, 0), MATCH((YEAR(D87)+16), Variablen!$I$3:$AT$3, 0))="",L87,INDEX(Variablen!$I:$AT, MATCH(M87, Variablen!$A:$A, 0), MATCH((YEAR(D87)+16), Variablen!$I$3:$AT$3, 0))),L87)))*(IF((YEAR(D87)+16)&lt;YEAR(E87),0,IF((YEAR(D87)+16)&gt;YEAR(E87),1,(12-MONTH(E87)+1)/12))) + (Q87)*(IF((YEAR(D87)+16)&lt;YEAR(E87),0,IF((YEAR(D87)+16)&gt;YEAR(E87),1,(12-MONTH(E87)+1)/12))))-((P87)*(IF((YEAR(D87)+16)&lt;YEAR(E87),0,IF((YEAR(D87)+16)&gt;YEAR(E87),1,(12-MONTH(E87)+1)/12))) + (R87)*(IF((YEAR(D87)+16)&lt;YEAR(E87),0,IF((YEAR(D87)+16)&gt;YEAR(E87),1,(12-MONTH(E87)+1)/12))))-(IF(OR(N87="",N87&lt;=0),0,(O87/N87)*(IF(OR(N87="",N87&lt;=0),0,IF((YEAR(D87)+16)&lt;YEAR(E87),0,IF((YEAR(D87)+16)&gt;=YEAR(E87)+N87,0,IF((YEAR(D87)+16)=YEAR(E87),(12-MONTH(E87)+1)/12,1))))))))&gt;0,(((K87)*(IF(M87="",L87,IFERROR(IF(INDEX(Variablen!$I:$AT, MATCH(M87, Variablen!$A:$A, 0), MATCH((YEAR(D87)+16), Variablen!$I$3:$AT$3, 0))="",L87,INDEX(Variablen!$I:$AT, MATCH(M87, Variablen!$A:$A, 0), MATCH((YEAR(D87)+16), Variablen!$I$3:$AT$3, 0))),L87)))*(IF((YEAR(D87)+16)&lt;YEAR(E87),0,IF((YEAR(D87)+16)&gt;YEAR(E87),1,(12-MONTH(E87)+1)/12))) + (Q87)*(IF((YEAR(D87)+16)&lt;YEAR(E87),0,IF((YEAR(D87)+16)&gt;YEAR(E87),1,(12-MONTH(E87)+1)/12))))-((P87)*(IF((YEAR(D87)+16)&lt;YEAR(E87),0,IF((YEAR(D87)+16)&gt;YEAR(E87),1,(12-MONTH(E87)+1)/12))) + (R87)*(IF((YEAR(D87)+16)&lt;YEAR(E87),0,IF((YEAR(D87)+16)&gt;YEAR(E87),1,(12-MONTH(E87)+1)/12))))-(IF(OR(N87="",N87&lt;=0),0,(O87/N87)*(IF(OR(N87="",N87&lt;=0),0,IF((YEAR(D87)+16)&lt;YEAR(E87),0,IF((YEAR(D87)+16)&gt;=YEAR(E87)+N87,0,IF((YEAR(D87)+16)=YEAR(E87),(12-MONTH(E87)+1)/12,1))))))))*TaxRate,0))-IF(16=0,O87,0))</f>
        <v/>
      </c>
      <c r="AJ87" s="29">
        <f>IF(A87="","",((K87)*(IF(M87="",L87,IFERROR(IF(INDEX(Variablen!$I:$AT, MATCH(M87, Variablen!$A:$A, 0), MATCH((YEAR(D87)+17), Variablen!$I$3:$AT$3, 0))="",L87,INDEX(Variablen!$I:$AT, MATCH(M87, Variablen!$A:$A, 0), MATCH((YEAR(D87)+17), Variablen!$I$3:$AT$3, 0))),L87)))*(IF((YEAR(D87)+17)&lt;YEAR(E87),0,IF((YEAR(D87)+17)&gt;YEAR(E87),1,(12-MONTH(E87)+1)/12))) + (Q87)*(IF((YEAR(D87)+17)&lt;YEAR(E87),0,IF((YEAR(D87)+17)&gt;YEAR(E87),1,(12-MONTH(E87)+1)/12))))-((P87)*(IF((YEAR(D87)+17)&lt;YEAR(E87),0,IF((YEAR(D87)+17)&gt;YEAR(E87),1,(12-MONTH(E87)+1)/12))) + (R87)*(IF((YEAR(D87)+17)&lt;YEAR(E87),0,IF((YEAR(D87)+17)&gt;YEAR(E87),1,(12-MONTH(E87)+1)/12))))-(IF((((K87)*(IF(M87="",L87,IFERROR(IF(INDEX(Variablen!$I:$AT, MATCH(M87, Variablen!$A:$A, 0), MATCH((YEAR(D87)+17), Variablen!$I$3:$AT$3, 0))="",L87,INDEX(Variablen!$I:$AT, MATCH(M87, Variablen!$A:$A, 0), MATCH((YEAR(D87)+17), Variablen!$I$3:$AT$3, 0))),L87)))*(IF((YEAR(D87)+17)&lt;YEAR(E87),0,IF((YEAR(D87)+17)&gt;YEAR(E87),1,(12-MONTH(E87)+1)/12))) + (Q87)*(IF((YEAR(D87)+17)&lt;YEAR(E87),0,IF((YEAR(D87)+17)&gt;YEAR(E87),1,(12-MONTH(E87)+1)/12))))-((P87)*(IF((YEAR(D87)+17)&lt;YEAR(E87),0,IF((YEAR(D87)+17)&gt;YEAR(E87),1,(12-MONTH(E87)+1)/12))) + (R87)*(IF((YEAR(D87)+17)&lt;YEAR(E87),0,IF((YEAR(D87)+17)&gt;YEAR(E87),1,(12-MONTH(E87)+1)/12))))-(IF(OR(N87="",N87&lt;=0),0,(O87/N87)*(IF(OR(N87="",N87&lt;=0),0,IF((YEAR(D87)+17)&lt;YEAR(E87),0,IF((YEAR(D87)+17)&gt;=YEAR(E87)+N87,0,IF((YEAR(D87)+17)=YEAR(E87),(12-MONTH(E87)+1)/12,1))))))))&gt;0,(((K87)*(IF(M87="",L87,IFERROR(IF(INDEX(Variablen!$I:$AT, MATCH(M87, Variablen!$A:$A, 0), MATCH((YEAR(D87)+17), Variablen!$I$3:$AT$3, 0))="",L87,INDEX(Variablen!$I:$AT, MATCH(M87, Variablen!$A:$A, 0), MATCH((YEAR(D87)+17), Variablen!$I$3:$AT$3, 0))),L87)))*(IF((YEAR(D87)+17)&lt;YEAR(E87),0,IF((YEAR(D87)+17)&gt;YEAR(E87),1,(12-MONTH(E87)+1)/12))) + (Q87)*(IF((YEAR(D87)+17)&lt;YEAR(E87),0,IF((YEAR(D87)+17)&gt;YEAR(E87),1,(12-MONTH(E87)+1)/12))))-((P87)*(IF((YEAR(D87)+17)&lt;YEAR(E87),0,IF((YEAR(D87)+17)&gt;YEAR(E87),1,(12-MONTH(E87)+1)/12))) + (R87)*(IF((YEAR(D87)+17)&lt;YEAR(E87),0,IF((YEAR(D87)+17)&gt;YEAR(E87),1,(12-MONTH(E87)+1)/12))))-(IF(OR(N87="",N87&lt;=0),0,(O87/N87)*(IF(OR(N87="",N87&lt;=0),0,IF((YEAR(D87)+17)&lt;YEAR(E87),0,IF((YEAR(D87)+17)&gt;=YEAR(E87)+N87,0,IF((YEAR(D87)+17)=YEAR(E87),(12-MONTH(E87)+1)/12,1))))))))*TaxRate,0))-IF(17=0,O87,0))</f>
        <v/>
      </c>
      <c r="AK87" s="29">
        <f>IF(A87="","",((K87)*(IF(M87="",L87,IFERROR(IF(INDEX(Variablen!$I:$AT, MATCH(M87, Variablen!$A:$A, 0), MATCH((YEAR(D87)+18), Variablen!$I$3:$AT$3, 0))="",L87,INDEX(Variablen!$I:$AT, MATCH(M87, Variablen!$A:$A, 0), MATCH((YEAR(D87)+18), Variablen!$I$3:$AT$3, 0))),L87)))*(IF((YEAR(D87)+18)&lt;YEAR(E87),0,IF((YEAR(D87)+18)&gt;YEAR(E87),1,(12-MONTH(E87)+1)/12))) + (Q87)*(IF((YEAR(D87)+18)&lt;YEAR(E87),0,IF((YEAR(D87)+18)&gt;YEAR(E87),1,(12-MONTH(E87)+1)/12))))-((P87)*(IF((YEAR(D87)+18)&lt;YEAR(E87),0,IF((YEAR(D87)+18)&gt;YEAR(E87),1,(12-MONTH(E87)+1)/12))) + (R87)*(IF((YEAR(D87)+18)&lt;YEAR(E87),0,IF((YEAR(D87)+18)&gt;YEAR(E87),1,(12-MONTH(E87)+1)/12))))-(IF((((K87)*(IF(M87="",L87,IFERROR(IF(INDEX(Variablen!$I:$AT, MATCH(M87, Variablen!$A:$A, 0), MATCH((YEAR(D87)+18), Variablen!$I$3:$AT$3, 0))="",L87,INDEX(Variablen!$I:$AT, MATCH(M87, Variablen!$A:$A, 0), MATCH((YEAR(D87)+18), Variablen!$I$3:$AT$3, 0))),L87)))*(IF((YEAR(D87)+18)&lt;YEAR(E87),0,IF((YEAR(D87)+18)&gt;YEAR(E87),1,(12-MONTH(E87)+1)/12))) + (Q87)*(IF((YEAR(D87)+18)&lt;YEAR(E87),0,IF((YEAR(D87)+18)&gt;YEAR(E87),1,(12-MONTH(E87)+1)/12))))-((P87)*(IF((YEAR(D87)+18)&lt;YEAR(E87),0,IF((YEAR(D87)+18)&gt;YEAR(E87),1,(12-MONTH(E87)+1)/12))) + (R87)*(IF((YEAR(D87)+18)&lt;YEAR(E87),0,IF((YEAR(D87)+18)&gt;YEAR(E87),1,(12-MONTH(E87)+1)/12))))-(IF(OR(N87="",N87&lt;=0),0,(O87/N87)*(IF(OR(N87="",N87&lt;=0),0,IF((YEAR(D87)+18)&lt;YEAR(E87),0,IF((YEAR(D87)+18)&gt;=YEAR(E87)+N87,0,IF((YEAR(D87)+18)=YEAR(E87),(12-MONTH(E87)+1)/12,1))))))))&gt;0,(((K87)*(IF(M87="",L87,IFERROR(IF(INDEX(Variablen!$I:$AT, MATCH(M87, Variablen!$A:$A, 0), MATCH((YEAR(D87)+18), Variablen!$I$3:$AT$3, 0))="",L87,INDEX(Variablen!$I:$AT, MATCH(M87, Variablen!$A:$A, 0), MATCH((YEAR(D87)+18), Variablen!$I$3:$AT$3, 0))),L87)))*(IF((YEAR(D87)+18)&lt;YEAR(E87),0,IF((YEAR(D87)+18)&gt;YEAR(E87),1,(12-MONTH(E87)+1)/12))) + (Q87)*(IF((YEAR(D87)+18)&lt;YEAR(E87),0,IF((YEAR(D87)+18)&gt;YEAR(E87),1,(12-MONTH(E87)+1)/12))))-((P87)*(IF((YEAR(D87)+18)&lt;YEAR(E87),0,IF((YEAR(D87)+18)&gt;YEAR(E87),1,(12-MONTH(E87)+1)/12))) + (R87)*(IF((YEAR(D87)+18)&lt;YEAR(E87),0,IF((YEAR(D87)+18)&gt;YEAR(E87),1,(12-MONTH(E87)+1)/12))))-(IF(OR(N87="",N87&lt;=0),0,(O87/N87)*(IF(OR(N87="",N87&lt;=0),0,IF((YEAR(D87)+18)&lt;YEAR(E87),0,IF((YEAR(D87)+18)&gt;=YEAR(E87)+N87,0,IF((YEAR(D87)+18)=YEAR(E87),(12-MONTH(E87)+1)/12,1))))))))*TaxRate,0))-IF(18=0,O87,0))</f>
        <v/>
      </c>
      <c r="AL87" s="29">
        <f>IF(A87="","",((K87)*(IF(M87="",L87,IFERROR(IF(INDEX(Variablen!$I:$AT, MATCH(M87, Variablen!$A:$A, 0), MATCH((YEAR(D87)+19), Variablen!$I$3:$AT$3, 0))="",L87,INDEX(Variablen!$I:$AT, MATCH(M87, Variablen!$A:$A, 0), MATCH((YEAR(D87)+19), Variablen!$I$3:$AT$3, 0))),L87)))*(IF((YEAR(D87)+19)&lt;YEAR(E87),0,IF((YEAR(D87)+19)&gt;YEAR(E87),1,(12-MONTH(E87)+1)/12))) + (Q87)*(IF((YEAR(D87)+19)&lt;YEAR(E87),0,IF((YEAR(D87)+19)&gt;YEAR(E87),1,(12-MONTH(E87)+1)/12))))-((P87)*(IF((YEAR(D87)+19)&lt;YEAR(E87),0,IF((YEAR(D87)+19)&gt;YEAR(E87),1,(12-MONTH(E87)+1)/12))) + (R87)*(IF((YEAR(D87)+19)&lt;YEAR(E87),0,IF((YEAR(D87)+19)&gt;YEAR(E87),1,(12-MONTH(E87)+1)/12))))-(IF((((K87)*(IF(M87="",L87,IFERROR(IF(INDEX(Variablen!$I:$AT, MATCH(M87, Variablen!$A:$A, 0), MATCH((YEAR(D87)+19), Variablen!$I$3:$AT$3, 0))="",L87,INDEX(Variablen!$I:$AT, MATCH(M87, Variablen!$A:$A, 0), MATCH((YEAR(D87)+19), Variablen!$I$3:$AT$3, 0))),L87)))*(IF((YEAR(D87)+19)&lt;YEAR(E87),0,IF((YEAR(D87)+19)&gt;YEAR(E87),1,(12-MONTH(E87)+1)/12))) + (Q87)*(IF((YEAR(D87)+19)&lt;YEAR(E87),0,IF((YEAR(D87)+19)&gt;YEAR(E87),1,(12-MONTH(E87)+1)/12))))-((P87)*(IF((YEAR(D87)+19)&lt;YEAR(E87),0,IF((YEAR(D87)+19)&gt;YEAR(E87),1,(12-MONTH(E87)+1)/12))) + (R87)*(IF((YEAR(D87)+19)&lt;YEAR(E87),0,IF((YEAR(D87)+19)&gt;YEAR(E87),1,(12-MONTH(E87)+1)/12))))-(IF(OR(N87="",N87&lt;=0),0,(O87/N87)*(IF(OR(N87="",N87&lt;=0),0,IF((YEAR(D87)+19)&lt;YEAR(E87),0,IF((YEAR(D87)+19)&gt;=YEAR(E87)+N87,0,IF((YEAR(D87)+19)=YEAR(E87),(12-MONTH(E87)+1)/12,1))))))))&gt;0,(((K87)*(IF(M87="",L87,IFERROR(IF(INDEX(Variablen!$I:$AT, MATCH(M87, Variablen!$A:$A, 0), MATCH((YEAR(D87)+19), Variablen!$I$3:$AT$3, 0))="",L87,INDEX(Variablen!$I:$AT, MATCH(M87, Variablen!$A:$A, 0), MATCH((YEAR(D87)+19), Variablen!$I$3:$AT$3, 0))),L87)))*(IF((YEAR(D87)+19)&lt;YEAR(E87),0,IF((YEAR(D87)+19)&gt;YEAR(E87),1,(12-MONTH(E87)+1)/12))) + (Q87)*(IF((YEAR(D87)+19)&lt;YEAR(E87),0,IF((YEAR(D87)+19)&gt;YEAR(E87),1,(12-MONTH(E87)+1)/12))))-((P87)*(IF((YEAR(D87)+19)&lt;YEAR(E87),0,IF((YEAR(D87)+19)&gt;YEAR(E87),1,(12-MONTH(E87)+1)/12))) + (R87)*(IF((YEAR(D87)+19)&lt;YEAR(E87),0,IF((YEAR(D87)+19)&gt;YEAR(E87),1,(12-MONTH(E87)+1)/12))))-(IF(OR(N87="",N87&lt;=0),0,(O87/N87)*(IF(OR(N87="",N87&lt;=0),0,IF((YEAR(D87)+19)&lt;YEAR(E87),0,IF((YEAR(D87)+19)&gt;=YEAR(E87)+N87,0,IF((YEAR(D87)+19)=YEAR(E87),(12-MONTH(E87)+1)/12,1))))))))*TaxRate,0))-IF(19=0,O87,0))</f>
        <v/>
      </c>
      <c r="AM87" s="29">
        <f>IF(A87="","",((K87)*(IF(M87="",L87,IFERROR(IF(INDEX(Variablen!$I:$AT, MATCH(M87, Variablen!$A:$A, 0), MATCH((YEAR(D87)+20), Variablen!$I$3:$AT$3, 0))="",L87,INDEX(Variablen!$I:$AT, MATCH(M87, Variablen!$A:$A, 0), MATCH((YEAR(D87)+20), Variablen!$I$3:$AT$3, 0))),L87)))*(IF((YEAR(D87)+20)&lt;YEAR(E87),0,IF((YEAR(D87)+20)&gt;YEAR(E87),1,(12-MONTH(E87)+1)/12))) + (Q87)*(IF((YEAR(D87)+20)&lt;YEAR(E87),0,IF((YEAR(D87)+20)&gt;YEAR(E87),1,(12-MONTH(E87)+1)/12))))-((P87)*(IF((YEAR(D87)+20)&lt;YEAR(E87),0,IF((YEAR(D87)+20)&gt;YEAR(E87),1,(12-MONTH(E87)+1)/12))) + (R87)*(IF((YEAR(D87)+20)&lt;YEAR(E87),0,IF((YEAR(D87)+20)&gt;YEAR(E87),1,(12-MONTH(E87)+1)/12))))-(IF((((K87)*(IF(M87="",L87,IFERROR(IF(INDEX(Variablen!$I:$AT, MATCH(M87, Variablen!$A:$A, 0), MATCH((YEAR(D87)+20), Variablen!$I$3:$AT$3, 0))="",L87,INDEX(Variablen!$I:$AT, MATCH(M87, Variablen!$A:$A, 0), MATCH((YEAR(D87)+20), Variablen!$I$3:$AT$3, 0))),L87)))*(IF((YEAR(D87)+20)&lt;YEAR(E87),0,IF((YEAR(D87)+20)&gt;YEAR(E87),1,(12-MONTH(E87)+1)/12))) + (Q87)*(IF((YEAR(D87)+20)&lt;YEAR(E87),0,IF((YEAR(D87)+20)&gt;YEAR(E87),1,(12-MONTH(E87)+1)/12))))-((P87)*(IF((YEAR(D87)+20)&lt;YEAR(E87),0,IF((YEAR(D87)+20)&gt;YEAR(E87),1,(12-MONTH(E87)+1)/12))) + (R87)*(IF((YEAR(D87)+20)&lt;YEAR(E87),0,IF((YEAR(D87)+20)&gt;YEAR(E87),1,(12-MONTH(E87)+1)/12))))-(IF(OR(N87="",N87&lt;=0),0,(O87/N87)*(IF(OR(N87="",N87&lt;=0),0,IF((YEAR(D87)+20)&lt;YEAR(E87),0,IF((YEAR(D87)+20)&gt;=YEAR(E87)+N87,0,IF((YEAR(D87)+20)=YEAR(E87),(12-MONTH(E87)+1)/12,1))))))))&gt;0,(((K87)*(IF(M87="",L87,IFERROR(IF(INDEX(Variablen!$I:$AT, MATCH(M87, Variablen!$A:$A, 0), MATCH((YEAR(D87)+20), Variablen!$I$3:$AT$3, 0))="",L87,INDEX(Variablen!$I:$AT, MATCH(M87, Variablen!$A:$A, 0), MATCH((YEAR(D87)+20), Variablen!$I$3:$AT$3, 0))),L87)))*(IF((YEAR(D87)+20)&lt;YEAR(E87),0,IF((YEAR(D87)+20)&gt;YEAR(E87),1,(12-MONTH(E87)+1)/12))) + (Q87)*(IF((YEAR(D87)+20)&lt;YEAR(E87),0,IF((YEAR(D87)+20)&gt;YEAR(E87),1,(12-MONTH(E87)+1)/12))))-((P87)*(IF((YEAR(D87)+20)&lt;YEAR(E87),0,IF((YEAR(D87)+20)&gt;YEAR(E87),1,(12-MONTH(E87)+1)/12))) + (R87)*(IF((YEAR(D87)+20)&lt;YEAR(E87),0,IF((YEAR(D87)+20)&gt;YEAR(E87),1,(12-MONTH(E87)+1)/12))))-(IF(OR(N87="",N87&lt;=0),0,(O87/N87)*(IF(OR(N87="",N87&lt;=0),0,IF((YEAR(D87)+20)&lt;YEAR(E87),0,IF((YEAR(D87)+20)&gt;=YEAR(E87)+N87,0,IF((YEAR(D87)+20)=YEAR(E87),(12-MONTH(E87)+1)/12,1))))))))*TaxRate,0))-IF(20=0,O87,0))</f>
        <v/>
      </c>
      <c r="AN87" s="29">
        <f>IF(A87="","",S87)</f>
        <v/>
      </c>
      <c r="AO87" s="29">
        <f>IF(A87="","",AN87+T87)</f>
        <v/>
      </c>
      <c r="AP87" s="29">
        <f>IF(A87="","",AO87+U87)</f>
        <v/>
      </c>
      <c r="AQ87" s="29">
        <f>IF(A87="","",AP87+V87)</f>
        <v/>
      </c>
      <c r="AR87" s="29">
        <f>IF(A87="","",AQ87+W87)</f>
        <v/>
      </c>
      <c r="AS87" s="29">
        <f>IF(A87="","",AR87+X87)</f>
        <v/>
      </c>
      <c r="AT87" s="29">
        <f>IF(A87="","",AS87+Y87)</f>
        <v/>
      </c>
      <c r="AU87" s="29">
        <f>IF(A87="","",AT87+Z87)</f>
        <v/>
      </c>
      <c r="AV87" s="29">
        <f>IF(A87="","",AU87+AA87)</f>
        <v/>
      </c>
      <c r="AW87" s="29">
        <f>IF(A87="","",AV87+AB87)</f>
        <v/>
      </c>
      <c r="AX87" s="29">
        <f>IF(A87="","",AW87+AC87)</f>
        <v/>
      </c>
      <c r="AY87" s="29">
        <f>IF(A87="","",AX87+AD87)</f>
        <v/>
      </c>
      <c r="AZ87" s="29">
        <f>IF(A87="","",AY87+AE87)</f>
        <v/>
      </c>
      <c r="BA87" s="29">
        <f>IF(A87="","",AZ87+AF87)</f>
        <v/>
      </c>
      <c r="BB87" s="29">
        <f>IF(A87="","",BA87+AG87)</f>
        <v/>
      </c>
      <c r="BC87" s="29">
        <f>IF(A87="","",BB87+AH87)</f>
        <v/>
      </c>
      <c r="BD87" s="29">
        <f>IF(A87="","",BC87+AI87)</f>
        <v/>
      </c>
      <c r="BE87" s="29">
        <f>IF(A87="","",BD87+AJ87)</f>
        <v/>
      </c>
      <c r="BF87" s="29">
        <f>IF(A87="","",BE87+AK87)</f>
        <v/>
      </c>
      <c r="BG87" s="29">
        <f>IF(A87="","",BF87+AL87)</f>
        <v/>
      </c>
      <c r="BH87" s="29">
        <f>IF(A87="","",BG87+AM87)</f>
        <v/>
      </c>
      <c r="BI87" s="36">
        <f>IF(A87="","",(K87)*(IF((YEAR(D87)+0)&lt;YEAR(E87),0,IF((YEAR(D87)+0)&gt;YEAR(E87),1,(12-MONTH(E87)+1)/12)))*(1/(1+DiscountRate)^0))</f>
        <v/>
      </c>
      <c r="BJ87" s="36">
        <f>IF(A87="","",(K87)*(IF((YEAR(D87)+1)&lt;YEAR(E87),0,IF((YEAR(D87)+1)&gt;YEAR(E87),1,(12-MONTH(E87)+1)/12)))*(1/(1+DiscountRate)^1))</f>
        <v/>
      </c>
      <c r="BK87" s="36">
        <f>IF(A87="","",(K87)*(IF((YEAR(D87)+2)&lt;YEAR(E87),0,IF((YEAR(D87)+2)&gt;YEAR(E87),1,(12-MONTH(E87)+1)/12)))*(1/(1+DiscountRate)^2))</f>
        <v/>
      </c>
      <c r="BL87" s="36">
        <f>IF(A87="","",(K87)*(IF((YEAR(D87)+3)&lt;YEAR(E87),0,IF((YEAR(D87)+3)&gt;YEAR(E87),1,(12-MONTH(E87)+1)/12)))*(1/(1+DiscountRate)^3))</f>
        <v/>
      </c>
      <c r="BM87" s="36">
        <f>IF(A87="","",(K87)*(IF((YEAR(D87)+4)&lt;YEAR(E87),0,IF((YEAR(D87)+4)&gt;YEAR(E87),1,(12-MONTH(E87)+1)/12)))*(1/(1+DiscountRate)^4))</f>
        <v/>
      </c>
      <c r="BN87" s="36">
        <f>IF(A87="","",(K87)*(IF((YEAR(D87)+5)&lt;YEAR(E87),0,IF((YEAR(D87)+5)&gt;YEAR(E87),1,(12-MONTH(E87)+1)/12)))*(1/(1+DiscountRate)^5))</f>
        <v/>
      </c>
      <c r="BO87" s="36">
        <f>IF(A87="","",(K87)*(IF((YEAR(D87)+6)&lt;YEAR(E87),0,IF((YEAR(D87)+6)&gt;YEAR(E87),1,(12-MONTH(E87)+1)/12)))*(1/(1+DiscountRate)^6))</f>
        <v/>
      </c>
      <c r="BP87" s="36">
        <f>IF(A87="","",(K87)*(IF((YEAR(D87)+7)&lt;YEAR(E87),0,IF((YEAR(D87)+7)&gt;YEAR(E87),1,(12-MONTH(E87)+1)/12)))*(1/(1+DiscountRate)^7))</f>
        <v/>
      </c>
      <c r="BQ87" s="36">
        <f>IF(A87="","",(K87)*(IF((YEAR(D87)+8)&lt;YEAR(E87),0,IF((YEAR(D87)+8)&gt;YEAR(E87),1,(12-MONTH(E87)+1)/12)))*(1/(1+DiscountRate)^8))</f>
        <v/>
      </c>
      <c r="BR87" s="36">
        <f>IF(A87="","",(K87)*(IF((YEAR(D87)+9)&lt;YEAR(E87),0,IF((YEAR(D87)+9)&gt;YEAR(E87),1,(12-MONTH(E87)+1)/12)))*(1/(1+DiscountRate)^9))</f>
        <v/>
      </c>
      <c r="BS87" s="36">
        <f>IF(A87="","",(K87)*(IF((YEAR(D87)+10)&lt;YEAR(E87),0,IF((YEAR(D87)+10)&gt;YEAR(E87),1,(12-MONTH(E87)+1)/12)))*(1/(1+DiscountRate)^10))</f>
        <v/>
      </c>
      <c r="BT87" s="36">
        <f>IF(A87="","",(K87)*(IF((YEAR(D87)+11)&lt;YEAR(E87),0,IF((YEAR(D87)+11)&gt;YEAR(E87),1,(12-MONTH(E87)+1)/12)))*(1/(1+DiscountRate)^11))</f>
        <v/>
      </c>
      <c r="BU87" s="36">
        <f>IF(A87="","",(K87)*(IF((YEAR(D87)+12)&lt;YEAR(E87),0,IF((YEAR(D87)+12)&gt;YEAR(E87),1,(12-MONTH(E87)+1)/12)))*(1/(1+DiscountRate)^12))</f>
        <v/>
      </c>
      <c r="BV87" s="36">
        <f>IF(A87="","",(K87)*(IF((YEAR(D87)+13)&lt;YEAR(E87),0,IF((YEAR(D87)+13)&gt;YEAR(E87),1,(12-MONTH(E87)+1)/12)))*(1/(1+DiscountRate)^13))</f>
        <v/>
      </c>
      <c r="BW87" s="36">
        <f>IF(A87="","",(K87)*(IF((YEAR(D87)+14)&lt;YEAR(E87),0,IF((YEAR(D87)+14)&gt;YEAR(E87),1,(12-MONTH(E87)+1)/12)))*(1/(1+DiscountRate)^14))</f>
        <v/>
      </c>
      <c r="BX87" s="36">
        <f>IF(A87="","",(K87)*(IF((YEAR(D87)+15)&lt;YEAR(E87),0,IF((YEAR(D87)+15)&gt;YEAR(E87),1,(12-MONTH(E87)+1)/12)))*(1/(1+DiscountRate)^15))</f>
        <v/>
      </c>
      <c r="BY87" s="36">
        <f>IF(A87="","",(K87)*(IF((YEAR(D87)+16)&lt;YEAR(E87),0,IF((YEAR(D87)+16)&gt;YEAR(E87),1,(12-MONTH(E87)+1)/12)))*(1/(1+DiscountRate)^16))</f>
        <v/>
      </c>
      <c r="BZ87" s="36">
        <f>IF(A87="","",(K87)*(IF((YEAR(D87)+17)&lt;YEAR(E87),0,IF((YEAR(D87)+17)&gt;YEAR(E87),1,(12-MONTH(E87)+1)/12)))*(1/(1+DiscountRate)^17))</f>
        <v/>
      </c>
      <c r="CA87" s="36">
        <f>IF(A87="","",(K87)*(IF((YEAR(D87)+18)&lt;YEAR(E87),0,IF((YEAR(D87)+18)&gt;YEAR(E87),1,(12-MONTH(E87)+1)/12)))*(1/(1+DiscountRate)^18))</f>
        <v/>
      </c>
      <c r="CB87" s="36">
        <f>IF(A87="","",(K87)*(IF((YEAR(D87)+19)&lt;YEAR(E87),0,IF((YEAR(D87)+19)&gt;YEAR(E87),1,(12-MONTH(E87)+1)/12)))*(1/(1+DiscountRate)^19))</f>
        <v/>
      </c>
      <c r="CC87" s="36">
        <f>IF(A87="","",(K87)*(IF((YEAR(D87)+20)&lt;YEAR(E87),0,IF((YEAR(D87)+20)&gt;YEAR(E87),1,(12-MONTH(E87)+1)/12)))*(1/(1+DiscountRate)^20))</f>
        <v/>
      </c>
      <c r="CD87" s="29">
        <f>IF(A87="","",S87/(1+DiscountRate)^0+T87/(1+DiscountRate)^1+U87/(1+DiscountRate)^2+V87/(1+DiscountRate)^3+W87/(1+DiscountRate)^4+X87/(1+DiscountRate)^5+Y87/(1+DiscountRate)^6+Z87/(1+DiscountRate)^7+AA87/(1+DiscountRate)^8+AB87/(1+DiscountRate)^9+AC87/(1+DiscountRate)^10+AD87/(1+DiscountRate)^11+AE87/(1+DiscountRate)^12+AF87/(1+DiscountRate)^13+AG87/(1+DiscountRate)^14+AH87/(1+DiscountRate)^15+AI87/(1+DiscountRate)^16+AJ87/(1+DiscountRate)^17+AK87/(1+DiscountRate)^18+AL87/(1+DiscountRate)^19+AM87/(1+DiscountRate)^20)</f>
        <v/>
      </c>
      <c r="CE87" s="37">
        <f>IF(A87="","",IFERROR(IRR(OFFSET(S87,0,0,1,MIN(HorizonYears,20)+1)),"n/a"))</f>
        <v/>
      </c>
      <c r="CF87" s="28">
        <f>IF(A87="","",IFERROR(MATCH(TRUE,OFFSET(AN87,0,0,1,MIN(HorizonYears,20)+1)&gt;=0,0)-1,"n/a"))</f>
        <v/>
      </c>
      <c r="CG87" s="36">
        <f>IF(A87="","",SUM(OFFSET(BI87,0,0,1,MIN(HorizonYears,20)+1)))</f>
        <v/>
      </c>
      <c r="CH87" s="36">
        <f>IF(A87="","",IFERROR(-CD87/CG87,"n/a"))</f>
        <v/>
      </c>
    </row>
    <row r="88">
      <c r="A88" s="6">
        <f>Actions!A86</f>
        <v/>
      </c>
      <c r="B88" s="6">
        <f>Actions!B86</f>
        <v/>
      </c>
      <c r="C88" s="6">
        <f>Actions!D86</f>
        <v/>
      </c>
      <c r="D88" s="35">
        <f>Actions!E86</f>
        <v/>
      </c>
      <c r="E88" s="35">
        <f>Actions!F86</f>
        <v/>
      </c>
      <c r="F88" s="6">
        <f>Actions!G86</f>
        <v/>
      </c>
      <c r="G88" s="6">
        <f>Actions!H86</f>
        <v/>
      </c>
      <c r="H88" s="29">
        <f>Actions!I86</f>
        <v/>
      </c>
      <c r="I88" s="6">
        <f>Actions!J86</f>
        <v/>
      </c>
      <c r="J88" s="16">
        <f>Actions!K86</f>
        <v/>
      </c>
      <c r="K88" s="16">
        <f>IF(A88="","",IF(I88="%",H88*J88,J88))</f>
        <v/>
      </c>
      <c r="L88" s="16">
        <f>Actions!L86</f>
        <v/>
      </c>
      <c r="M88" s="6">
        <f>Actions!M86</f>
        <v/>
      </c>
      <c r="N88" s="28">
        <f>Actions!N86</f>
        <v/>
      </c>
      <c r="O88" s="29">
        <f>Actions!T86</f>
        <v/>
      </c>
      <c r="P88" s="29">
        <f>Actions!Y86</f>
        <v/>
      </c>
      <c r="Q88" s="29">
        <f>Actions!Z86</f>
        <v/>
      </c>
      <c r="R88" s="29">
        <f>Actions!AA86</f>
        <v/>
      </c>
      <c r="S88" s="29">
        <f>IF(A88="","",((K88)*(IF(M88="",L88,IFERROR(IF(INDEX(Variablen!$I:$AT, MATCH(M88, Variablen!$A:$A, 0), MATCH((YEAR(D88)+0), Variablen!$I$3:$AT$3, 0))="",L88,INDEX(Variablen!$I:$AT, MATCH(M88, Variablen!$A:$A, 0), MATCH((YEAR(D88)+0), Variablen!$I$3:$AT$3, 0))),L88)))*(IF((YEAR(D88)+0)&lt;YEAR(E88),0,IF((YEAR(D88)+0)&gt;YEAR(E88),1,(12-MONTH(E88)+1)/12))) + (Q88)*(IF((YEAR(D88)+0)&lt;YEAR(E88),0,IF((YEAR(D88)+0)&gt;YEAR(E88),1,(12-MONTH(E88)+1)/12))))-((P88)*(IF((YEAR(D88)+0)&lt;YEAR(E88),0,IF((YEAR(D88)+0)&gt;YEAR(E88),1,(12-MONTH(E88)+1)/12))) + (R88)*(IF((YEAR(D88)+0)&lt;YEAR(E88),0,IF((YEAR(D88)+0)&gt;YEAR(E88),1,(12-MONTH(E88)+1)/12))))-(IF((((K88)*(IF(M88="",L88,IFERROR(IF(INDEX(Variablen!$I:$AT, MATCH(M88, Variablen!$A:$A, 0), MATCH((YEAR(D88)+0), Variablen!$I$3:$AT$3, 0))="",L88,INDEX(Variablen!$I:$AT, MATCH(M88, Variablen!$A:$A, 0), MATCH((YEAR(D88)+0), Variablen!$I$3:$AT$3, 0))),L88)))*(IF((YEAR(D88)+0)&lt;YEAR(E88),0,IF((YEAR(D88)+0)&gt;YEAR(E88),1,(12-MONTH(E88)+1)/12))) + (Q88)*(IF((YEAR(D88)+0)&lt;YEAR(E88),0,IF((YEAR(D88)+0)&gt;YEAR(E88),1,(12-MONTH(E88)+1)/12))))-((P88)*(IF((YEAR(D88)+0)&lt;YEAR(E88),0,IF((YEAR(D88)+0)&gt;YEAR(E88),1,(12-MONTH(E88)+1)/12))) + (R88)*(IF((YEAR(D88)+0)&lt;YEAR(E88),0,IF((YEAR(D88)+0)&gt;YEAR(E88),1,(12-MONTH(E88)+1)/12))))-(IF(OR(N88="",N88&lt;=0),0,(O88/N88)*(IF(OR(N88="",N88&lt;=0),0,IF((YEAR(D88)+0)&lt;YEAR(E88),0,IF((YEAR(D88)+0)&gt;=YEAR(E88)+N88,0,IF((YEAR(D88)+0)=YEAR(E88),(12-MONTH(E88)+1)/12,1))))))))&gt;0,(((K88)*(IF(M88="",L88,IFERROR(IF(INDEX(Variablen!$I:$AT, MATCH(M88, Variablen!$A:$A, 0), MATCH((YEAR(D88)+0), Variablen!$I$3:$AT$3, 0))="",L88,INDEX(Variablen!$I:$AT, MATCH(M88, Variablen!$A:$A, 0), MATCH((YEAR(D88)+0), Variablen!$I$3:$AT$3, 0))),L88)))*(IF((YEAR(D88)+0)&lt;YEAR(E88),0,IF((YEAR(D88)+0)&gt;YEAR(E88),1,(12-MONTH(E88)+1)/12))) + (Q88)*(IF((YEAR(D88)+0)&lt;YEAR(E88),0,IF((YEAR(D88)+0)&gt;YEAR(E88),1,(12-MONTH(E88)+1)/12))))-((P88)*(IF((YEAR(D88)+0)&lt;YEAR(E88),0,IF((YEAR(D88)+0)&gt;YEAR(E88),1,(12-MONTH(E88)+1)/12))) + (R88)*(IF((YEAR(D88)+0)&lt;YEAR(E88),0,IF((YEAR(D88)+0)&gt;YEAR(E88),1,(12-MONTH(E88)+1)/12))))-(IF(OR(N88="",N88&lt;=0),0,(O88/N88)*(IF(OR(N88="",N88&lt;=0),0,IF((YEAR(D88)+0)&lt;YEAR(E88),0,IF((YEAR(D88)+0)&gt;=YEAR(E88)+N88,0,IF((YEAR(D88)+0)=YEAR(E88),(12-MONTH(E88)+1)/12,1))))))))*TaxRate,0))-IF(0=0,O88,0))</f>
        <v/>
      </c>
      <c r="T88" s="29">
        <f>IF(A88="","",((K88)*(IF(M88="",L88,IFERROR(IF(INDEX(Variablen!$I:$AT, MATCH(M88, Variablen!$A:$A, 0), MATCH((YEAR(D88)+1), Variablen!$I$3:$AT$3, 0))="",L88,INDEX(Variablen!$I:$AT, MATCH(M88, Variablen!$A:$A, 0), MATCH((YEAR(D88)+1), Variablen!$I$3:$AT$3, 0))),L88)))*(IF((YEAR(D88)+1)&lt;YEAR(E88),0,IF((YEAR(D88)+1)&gt;YEAR(E88),1,(12-MONTH(E88)+1)/12))) + (Q88)*(IF((YEAR(D88)+1)&lt;YEAR(E88),0,IF((YEAR(D88)+1)&gt;YEAR(E88),1,(12-MONTH(E88)+1)/12))))-((P88)*(IF((YEAR(D88)+1)&lt;YEAR(E88),0,IF((YEAR(D88)+1)&gt;YEAR(E88),1,(12-MONTH(E88)+1)/12))) + (R88)*(IF((YEAR(D88)+1)&lt;YEAR(E88),0,IF((YEAR(D88)+1)&gt;YEAR(E88),1,(12-MONTH(E88)+1)/12))))-(IF((((K88)*(IF(M88="",L88,IFERROR(IF(INDEX(Variablen!$I:$AT, MATCH(M88, Variablen!$A:$A, 0), MATCH((YEAR(D88)+1), Variablen!$I$3:$AT$3, 0))="",L88,INDEX(Variablen!$I:$AT, MATCH(M88, Variablen!$A:$A, 0), MATCH((YEAR(D88)+1), Variablen!$I$3:$AT$3, 0))),L88)))*(IF((YEAR(D88)+1)&lt;YEAR(E88),0,IF((YEAR(D88)+1)&gt;YEAR(E88),1,(12-MONTH(E88)+1)/12))) + (Q88)*(IF((YEAR(D88)+1)&lt;YEAR(E88),0,IF((YEAR(D88)+1)&gt;YEAR(E88),1,(12-MONTH(E88)+1)/12))))-((P88)*(IF((YEAR(D88)+1)&lt;YEAR(E88),0,IF((YEAR(D88)+1)&gt;YEAR(E88),1,(12-MONTH(E88)+1)/12))) + (R88)*(IF((YEAR(D88)+1)&lt;YEAR(E88),0,IF((YEAR(D88)+1)&gt;YEAR(E88),1,(12-MONTH(E88)+1)/12))))-(IF(OR(N88="",N88&lt;=0),0,(O88/N88)*(IF(OR(N88="",N88&lt;=0),0,IF((YEAR(D88)+1)&lt;YEAR(E88),0,IF((YEAR(D88)+1)&gt;=YEAR(E88)+N88,0,IF((YEAR(D88)+1)=YEAR(E88),(12-MONTH(E88)+1)/12,1))))))))&gt;0,(((K88)*(IF(M88="",L88,IFERROR(IF(INDEX(Variablen!$I:$AT, MATCH(M88, Variablen!$A:$A, 0), MATCH((YEAR(D88)+1), Variablen!$I$3:$AT$3, 0))="",L88,INDEX(Variablen!$I:$AT, MATCH(M88, Variablen!$A:$A, 0), MATCH((YEAR(D88)+1), Variablen!$I$3:$AT$3, 0))),L88)))*(IF((YEAR(D88)+1)&lt;YEAR(E88),0,IF((YEAR(D88)+1)&gt;YEAR(E88),1,(12-MONTH(E88)+1)/12))) + (Q88)*(IF((YEAR(D88)+1)&lt;YEAR(E88),0,IF((YEAR(D88)+1)&gt;YEAR(E88),1,(12-MONTH(E88)+1)/12))))-((P88)*(IF((YEAR(D88)+1)&lt;YEAR(E88),0,IF((YEAR(D88)+1)&gt;YEAR(E88),1,(12-MONTH(E88)+1)/12))) + (R88)*(IF((YEAR(D88)+1)&lt;YEAR(E88),0,IF((YEAR(D88)+1)&gt;YEAR(E88),1,(12-MONTH(E88)+1)/12))))-(IF(OR(N88="",N88&lt;=0),0,(O88/N88)*(IF(OR(N88="",N88&lt;=0),0,IF((YEAR(D88)+1)&lt;YEAR(E88),0,IF((YEAR(D88)+1)&gt;=YEAR(E88)+N88,0,IF((YEAR(D88)+1)=YEAR(E88),(12-MONTH(E88)+1)/12,1))))))))*TaxRate,0))-IF(1=0,O88,0))</f>
        <v/>
      </c>
      <c r="U88" s="29">
        <f>IF(A88="","",((K88)*(IF(M88="",L88,IFERROR(IF(INDEX(Variablen!$I:$AT, MATCH(M88, Variablen!$A:$A, 0), MATCH((YEAR(D88)+2), Variablen!$I$3:$AT$3, 0))="",L88,INDEX(Variablen!$I:$AT, MATCH(M88, Variablen!$A:$A, 0), MATCH((YEAR(D88)+2), Variablen!$I$3:$AT$3, 0))),L88)))*(IF((YEAR(D88)+2)&lt;YEAR(E88),0,IF((YEAR(D88)+2)&gt;YEAR(E88),1,(12-MONTH(E88)+1)/12))) + (Q88)*(IF((YEAR(D88)+2)&lt;YEAR(E88),0,IF((YEAR(D88)+2)&gt;YEAR(E88),1,(12-MONTH(E88)+1)/12))))-((P88)*(IF((YEAR(D88)+2)&lt;YEAR(E88),0,IF((YEAR(D88)+2)&gt;YEAR(E88),1,(12-MONTH(E88)+1)/12))) + (R88)*(IF((YEAR(D88)+2)&lt;YEAR(E88),0,IF((YEAR(D88)+2)&gt;YEAR(E88),1,(12-MONTH(E88)+1)/12))))-(IF((((K88)*(IF(M88="",L88,IFERROR(IF(INDEX(Variablen!$I:$AT, MATCH(M88, Variablen!$A:$A, 0), MATCH((YEAR(D88)+2), Variablen!$I$3:$AT$3, 0))="",L88,INDEX(Variablen!$I:$AT, MATCH(M88, Variablen!$A:$A, 0), MATCH((YEAR(D88)+2), Variablen!$I$3:$AT$3, 0))),L88)))*(IF((YEAR(D88)+2)&lt;YEAR(E88),0,IF((YEAR(D88)+2)&gt;YEAR(E88),1,(12-MONTH(E88)+1)/12))) + (Q88)*(IF((YEAR(D88)+2)&lt;YEAR(E88),0,IF((YEAR(D88)+2)&gt;YEAR(E88),1,(12-MONTH(E88)+1)/12))))-((P88)*(IF((YEAR(D88)+2)&lt;YEAR(E88),0,IF((YEAR(D88)+2)&gt;YEAR(E88),1,(12-MONTH(E88)+1)/12))) + (R88)*(IF((YEAR(D88)+2)&lt;YEAR(E88),0,IF((YEAR(D88)+2)&gt;YEAR(E88),1,(12-MONTH(E88)+1)/12))))-(IF(OR(N88="",N88&lt;=0),0,(O88/N88)*(IF(OR(N88="",N88&lt;=0),0,IF((YEAR(D88)+2)&lt;YEAR(E88),0,IF((YEAR(D88)+2)&gt;=YEAR(E88)+N88,0,IF((YEAR(D88)+2)=YEAR(E88),(12-MONTH(E88)+1)/12,1))))))))&gt;0,(((K88)*(IF(M88="",L88,IFERROR(IF(INDEX(Variablen!$I:$AT, MATCH(M88, Variablen!$A:$A, 0), MATCH((YEAR(D88)+2), Variablen!$I$3:$AT$3, 0))="",L88,INDEX(Variablen!$I:$AT, MATCH(M88, Variablen!$A:$A, 0), MATCH((YEAR(D88)+2), Variablen!$I$3:$AT$3, 0))),L88)))*(IF((YEAR(D88)+2)&lt;YEAR(E88),0,IF((YEAR(D88)+2)&gt;YEAR(E88),1,(12-MONTH(E88)+1)/12))) + (Q88)*(IF((YEAR(D88)+2)&lt;YEAR(E88),0,IF((YEAR(D88)+2)&gt;YEAR(E88),1,(12-MONTH(E88)+1)/12))))-((P88)*(IF((YEAR(D88)+2)&lt;YEAR(E88),0,IF((YEAR(D88)+2)&gt;YEAR(E88),1,(12-MONTH(E88)+1)/12))) + (R88)*(IF((YEAR(D88)+2)&lt;YEAR(E88),0,IF((YEAR(D88)+2)&gt;YEAR(E88),1,(12-MONTH(E88)+1)/12))))-(IF(OR(N88="",N88&lt;=0),0,(O88/N88)*(IF(OR(N88="",N88&lt;=0),0,IF((YEAR(D88)+2)&lt;YEAR(E88),0,IF((YEAR(D88)+2)&gt;=YEAR(E88)+N88,0,IF((YEAR(D88)+2)=YEAR(E88),(12-MONTH(E88)+1)/12,1))))))))*TaxRate,0))-IF(2=0,O88,0))</f>
        <v/>
      </c>
      <c r="V88" s="29">
        <f>IF(A88="","",((K88)*(IF(M88="",L88,IFERROR(IF(INDEX(Variablen!$I:$AT, MATCH(M88, Variablen!$A:$A, 0), MATCH((YEAR(D88)+3), Variablen!$I$3:$AT$3, 0))="",L88,INDEX(Variablen!$I:$AT, MATCH(M88, Variablen!$A:$A, 0), MATCH((YEAR(D88)+3), Variablen!$I$3:$AT$3, 0))),L88)))*(IF((YEAR(D88)+3)&lt;YEAR(E88),0,IF((YEAR(D88)+3)&gt;YEAR(E88),1,(12-MONTH(E88)+1)/12))) + (Q88)*(IF((YEAR(D88)+3)&lt;YEAR(E88),0,IF((YEAR(D88)+3)&gt;YEAR(E88),1,(12-MONTH(E88)+1)/12))))-((P88)*(IF((YEAR(D88)+3)&lt;YEAR(E88),0,IF((YEAR(D88)+3)&gt;YEAR(E88),1,(12-MONTH(E88)+1)/12))) + (R88)*(IF((YEAR(D88)+3)&lt;YEAR(E88),0,IF((YEAR(D88)+3)&gt;YEAR(E88),1,(12-MONTH(E88)+1)/12))))-(IF((((K88)*(IF(M88="",L88,IFERROR(IF(INDEX(Variablen!$I:$AT, MATCH(M88, Variablen!$A:$A, 0), MATCH((YEAR(D88)+3), Variablen!$I$3:$AT$3, 0))="",L88,INDEX(Variablen!$I:$AT, MATCH(M88, Variablen!$A:$A, 0), MATCH((YEAR(D88)+3), Variablen!$I$3:$AT$3, 0))),L88)))*(IF((YEAR(D88)+3)&lt;YEAR(E88),0,IF((YEAR(D88)+3)&gt;YEAR(E88),1,(12-MONTH(E88)+1)/12))) + (Q88)*(IF((YEAR(D88)+3)&lt;YEAR(E88),0,IF((YEAR(D88)+3)&gt;YEAR(E88),1,(12-MONTH(E88)+1)/12))))-((P88)*(IF((YEAR(D88)+3)&lt;YEAR(E88),0,IF((YEAR(D88)+3)&gt;YEAR(E88),1,(12-MONTH(E88)+1)/12))) + (R88)*(IF((YEAR(D88)+3)&lt;YEAR(E88),0,IF((YEAR(D88)+3)&gt;YEAR(E88),1,(12-MONTH(E88)+1)/12))))-(IF(OR(N88="",N88&lt;=0),0,(O88/N88)*(IF(OR(N88="",N88&lt;=0),0,IF((YEAR(D88)+3)&lt;YEAR(E88),0,IF((YEAR(D88)+3)&gt;=YEAR(E88)+N88,0,IF((YEAR(D88)+3)=YEAR(E88),(12-MONTH(E88)+1)/12,1))))))))&gt;0,(((K88)*(IF(M88="",L88,IFERROR(IF(INDEX(Variablen!$I:$AT, MATCH(M88, Variablen!$A:$A, 0), MATCH((YEAR(D88)+3), Variablen!$I$3:$AT$3, 0))="",L88,INDEX(Variablen!$I:$AT, MATCH(M88, Variablen!$A:$A, 0), MATCH((YEAR(D88)+3), Variablen!$I$3:$AT$3, 0))),L88)))*(IF((YEAR(D88)+3)&lt;YEAR(E88),0,IF((YEAR(D88)+3)&gt;YEAR(E88),1,(12-MONTH(E88)+1)/12))) + (Q88)*(IF((YEAR(D88)+3)&lt;YEAR(E88),0,IF((YEAR(D88)+3)&gt;YEAR(E88),1,(12-MONTH(E88)+1)/12))))-((P88)*(IF((YEAR(D88)+3)&lt;YEAR(E88),0,IF((YEAR(D88)+3)&gt;YEAR(E88),1,(12-MONTH(E88)+1)/12))) + (R88)*(IF((YEAR(D88)+3)&lt;YEAR(E88),0,IF((YEAR(D88)+3)&gt;YEAR(E88),1,(12-MONTH(E88)+1)/12))))-(IF(OR(N88="",N88&lt;=0),0,(O88/N88)*(IF(OR(N88="",N88&lt;=0),0,IF((YEAR(D88)+3)&lt;YEAR(E88),0,IF((YEAR(D88)+3)&gt;=YEAR(E88)+N88,0,IF((YEAR(D88)+3)=YEAR(E88),(12-MONTH(E88)+1)/12,1))))))))*TaxRate,0))-IF(3=0,O88,0))</f>
        <v/>
      </c>
      <c r="W88" s="29">
        <f>IF(A88="","",((K88)*(IF(M88="",L88,IFERROR(IF(INDEX(Variablen!$I:$AT, MATCH(M88, Variablen!$A:$A, 0), MATCH((YEAR(D88)+4), Variablen!$I$3:$AT$3, 0))="",L88,INDEX(Variablen!$I:$AT, MATCH(M88, Variablen!$A:$A, 0), MATCH((YEAR(D88)+4), Variablen!$I$3:$AT$3, 0))),L88)))*(IF((YEAR(D88)+4)&lt;YEAR(E88),0,IF((YEAR(D88)+4)&gt;YEAR(E88),1,(12-MONTH(E88)+1)/12))) + (Q88)*(IF((YEAR(D88)+4)&lt;YEAR(E88),0,IF((YEAR(D88)+4)&gt;YEAR(E88),1,(12-MONTH(E88)+1)/12))))-((P88)*(IF((YEAR(D88)+4)&lt;YEAR(E88),0,IF((YEAR(D88)+4)&gt;YEAR(E88),1,(12-MONTH(E88)+1)/12))) + (R88)*(IF((YEAR(D88)+4)&lt;YEAR(E88),0,IF((YEAR(D88)+4)&gt;YEAR(E88),1,(12-MONTH(E88)+1)/12))))-(IF((((K88)*(IF(M88="",L88,IFERROR(IF(INDEX(Variablen!$I:$AT, MATCH(M88, Variablen!$A:$A, 0), MATCH((YEAR(D88)+4), Variablen!$I$3:$AT$3, 0))="",L88,INDEX(Variablen!$I:$AT, MATCH(M88, Variablen!$A:$A, 0), MATCH((YEAR(D88)+4), Variablen!$I$3:$AT$3, 0))),L88)))*(IF((YEAR(D88)+4)&lt;YEAR(E88),0,IF((YEAR(D88)+4)&gt;YEAR(E88),1,(12-MONTH(E88)+1)/12))) + (Q88)*(IF((YEAR(D88)+4)&lt;YEAR(E88),0,IF((YEAR(D88)+4)&gt;YEAR(E88),1,(12-MONTH(E88)+1)/12))))-((P88)*(IF((YEAR(D88)+4)&lt;YEAR(E88),0,IF((YEAR(D88)+4)&gt;YEAR(E88),1,(12-MONTH(E88)+1)/12))) + (R88)*(IF((YEAR(D88)+4)&lt;YEAR(E88),0,IF((YEAR(D88)+4)&gt;YEAR(E88),1,(12-MONTH(E88)+1)/12))))-(IF(OR(N88="",N88&lt;=0),0,(O88/N88)*(IF(OR(N88="",N88&lt;=0),0,IF((YEAR(D88)+4)&lt;YEAR(E88),0,IF((YEAR(D88)+4)&gt;=YEAR(E88)+N88,0,IF((YEAR(D88)+4)=YEAR(E88),(12-MONTH(E88)+1)/12,1))))))))&gt;0,(((K88)*(IF(M88="",L88,IFERROR(IF(INDEX(Variablen!$I:$AT, MATCH(M88, Variablen!$A:$A, 0), MATCH((YEAR(D88)+4), Variablen!$I$3:$AT$3, 0))="",L88,INDEX(Variablen!$I:$AT, MATCH(M88, Variablen!$A:$A, 0), MATCH((YEAR(D88)+4), Variablen!$I$3:$AT$3, 0))),L88)))*(IF((YEAR(D88)+4)&lt;YEAR(E88),0,IF((YEAR(D88)+4)&gt;YEAR(E88),1,(12-MONTH(E88)+1)/12))) + (Q88)*(IF((YEAR(D88)+4)&lt;YEAR(E88),0,IF((YEAR(D88)+4)&gt;YEAR(E88),1,(12-MONTH(E88)+1)/12))))-((P88)*(IF((YEAR(D88)+4)&lt;YEAR(E88),0,IF((YEAR(D88)+4)&gt;YEAR(E88),1,(12-MONTH(E88)+1)/12))) + (R88)*(IF((YEAR(D88)+4)&lt;YEAR(E88),0,IF((YEAR(D88)+4)&gt;YEAR(E88),1,(12-MONTH(E88)+1)/12))))-(IF(OR(N88="",N88&lt;=0),0,(O88/N88)*(IF(OR(N88="",N88&lt;=0),0,IF((YEAR(D88)+4)&lt;YEAR(E88),0,IF((YEAR(D88)+4)&gt;=YEAR(E88)+N88,0,IF((YEAR(D88)+4)=YEAR(E88),(12-MONTH(E88)+1)/12,1))))))))*TaxRate,0))-IF(4=0,O88,0))</f>
        <v/>
      </c>
      <c r="X88" s="29">
        <f>IF(A88="","",((K88)*(IF(M88="",L88,IFERROR(IF(INDEX(Variablen!$I:$AT, MATCH(M88, Variablen!$A:$A, 0), MATCH((YEAR(D88)+5), Variablen!$I$3:$AT$3, 0))="",L88,INDEX(Variablen!$I:$AT, MATCH(M88, Variablen!$A:$A, 0), MATCH((YEAR(D88)+5), Variablen!$I$3:$AT$3, 0))),L88)))*(IF((YEAR(D88)+5)&lt;YEAR(E88),0,IF((YEAR(D88)+5)&gt;YEAR(E88),1,(12-MONTH(E88)+1)/12))) + (Q88)*(IF((YEAR(D88)+5)&lt;YEAR(E88),0,IF((YEAR(D88)+5)&gt;YEAR(E88),1,(12-MONTH(E88)+1)/12))))-((P88)*(IF((YEAR(D88)+5)&lt;YEAR(E88),0,IF((YEAR(D88)+5)&gt;YEAR(E88),1,(12-MONTH(E88)+1)/12))) + (R88)*(IF((YEAR(D88)+5)&lt;YEAR(E88),0,IF((YEAR(D88)+5)&gt;YEAR(E88),1,(12-MONTH(E88)+1)/12))))-(IF((((K88)*(IF(M88="",L88,IFERROR(IF(INDEX(Variablen!$I:$AT, MATCH(M88, Variablen!$A:$A, 0), MATCH((YEAR(D88)+5), Variablen!$I$3:$AT$3, 0))="",L88,INDEX(Variablen!$I:$AT, MATCH(M88, Variablen!$A:$A, 0), MATCH((YEAR(D88)+5), Variablen!$I$3:$AT$3, 0))),L88)))*(IF((YEAR(D88)+5)&lt;YEAR(E88),0,IF((YEAR(D88)+5)&gt;YEAR(E88),1,(12-MONTH(E88)+1)/12))) + (Q88)*(IF((YEAR(D88)+5)&lt;YEAR(E88),0,IF((YEAR(D88)+5)&gt;YEAR(E88),1,(12-MONTH(E88)+1)/12))))-((P88)*(IF((YEAR(D88)+5)&lt;YEAR(E88),0,IF((YEAR(D88)+5)&gt;YEAR(E88),1,(12-MONTH(E88)+1)/12))) + (R88)*(IF((YEAR(D88)+5)&lt;YEAR(E88),0,IF((YEAR(D88)+5)&gt;YEAR(E88),1,(12-MONTH(E88)+1)/12))))-(IF(OR(N88="",N88&lt;=0),0,(O88/N88)*(IF(OR(N88="",N88&lt;=0),0,IF((YEAR(D88)+5)&lt;YEAR(E88),0,IF((YEAR(D88)+5)&gt;=YEAR(E88)+N88,0,IF((YEAR(D88)+5)=YEAR(E88),(12-MONTH(E88)+1)/12,1))))))))&gt;0,(((K88)*(IF(M88="",L88,IFERROR(IF(INDEX(Variablen!$I:$AT, MATCH(M88, Variablen!$A:$A, 0), MATCH((YEAR(D88)+5), Variablen!$I$3:$AT$3, 0))="",L88,INDEX(Variablen!$I:$AT, MATCH(M88, Variablen!$A:$A, 0), MATCH((YEAR(D88)+5), Variablen!$I$3:$AT$3, 0))),L88)))*(IF((YEAR(D88)+5)&lt;YEAR(E88),0,IF((YEAR(D88)+5)&gt;YEAR(E88),1,(12-MONTH(E88)+1)/12))) + (Q88)*(IF((YEAR(D88)+5)&lt;YEAR(E88),0,IF((YEAR(D88)+5)&gt;YEAR(E88),1,(12-MONTH(E88)+1)/12))))-((P88)*(IF((YEAR(D88)+5)&lt;YEAR(E88),0,IF((YEAR(D88)+5)&gt;YEAR(E88),1,(12-MONTH(E88)+1)/12))) + (R88)*(IF((YEAR(D88)+5)&lt;YEAR(E88),0,IF((YEAR(D88)+5)&gt;YEAR(E88),1,(12-MONTH(E88)+1)/12))))-(IF(OR(N88="",N88&lt;=0),0,(O88/N88)*(IF(OR(N88="",N88&lt;=0),0,IF((YEAR(D88)+5)&lt;YEAR(E88),0,IF((YEAR(D88)+5)&gt;=YEAR(E88)+N88,0,IF((YEAR(D88)+5)=YEAR(E88),(12-MONTH(E88)+1)/12,1))))))))*TaxRate,0))-IF(5=0,O88,0))</f>
        <v/>
      </c>
      <c r="Y88" s="29">
        <f>IF(A88="","",((K88)*(IF(M88="",L88,IFERROR(IF(INDEX(Variablen!$I:$AT, MATCH(M88, Variablen!$A:$A, 0), MATCH((YEAR(D88)+6), Variablen!$I$3:$AT$3, 0))="",L88,INDEX(Variablen!$I:$AT, MATCH(M88, Variablen!$A:$A, 0), MATCH((YEAR(D88)+6), Variablen!$I$3:$AT$3, 0))),L88)))*(IF((YEAR(D88)+6)&lt;YEAR(E88),0,IF((YEAR(D88)+6)&gt;YEAR(E88),1,(12-MONTH(E88)+1)/12))) + (Q88)*(IF((YEAR(D88)+6)&lt;YEAR(E88),0,IF((YEAR(D88)+6)&gt;YEAR(E88),1,(12-MONTH(E88)+1)/12))))-((P88)*(IF((YEAR(D88)+6)&lt;YEAR(E88),0,IF((YEAR(D88)+6)&gt;YEAR(E88),1,(12-MONTH(E88)+1)/12))) + (R88)*(IF((YEAR(D88)+6)&lt;YEAR(E88),0,IF((YEAR(D88)+6)&gt;YEAR(E88),1,(12-MONTH(E88)+1)/12))))-(IF((((K88)*(IF(M88="",L88,IFERROR(IF(INDEX(Variablen!$I:$AT, MATCH(M88, Variablen!$A:$A, 0), MATCH((YEAR(D88)+6), Variablen!$I$3:$AT$3, 0))="",L88,INDEX(Variablen!$I:$AT, MATCH(M88, Variablen!$A:$A, 0), MATCH((YEAR(D88)+6), Variablen!$I$3:$AT$3, 0))),L88)))*(IF((YEAR(D88)+6)&lt;YEAR(E88),0,IF((YEAR(D88)+6)&gt;YEAR(E88),1,(12-MONTH(E88)+1)/12))) + (Q88)*(IF((YEAR(D88)+6)&lt;YEAR(E88),0,IF((YEAR(D88)+6)&gt;YEAR(E88),1,(12-MONTH(E88)+1)/12))))-((P88)*(IF((YEAR(D88)+6)&lt;YEAR(E88),0,IF((YEAR(D88)+6)&gt;YEAR(E88),1,(12-MONTH(E88)+1)/12))) + (R88)*(IF((YEAR(D88)+6)&lt;YEAR(E88),0,IF((YEAR(D88)+6)&gt;YEAR(E88),1,(12-MONTH(E88)+1)/12))))-(IF(OR(N88="",N88&lt;=0),0,(O88/N88)*(IF(OR(N88="",N88&lt;=0),0,IF((YEAR(D88)+6)&lt;YEAR(E88),0,IF((YEAR(D88)+6)&gt;=YEAR(E88)+N88,0,IF((YEAR(D88)+6)=YEAR(E88),(12-MONTH(E88)+1)/12,1))))))))&gt;0,(((K88)*(IF(M88="",L88,IFERROR(IF(INDEX(Variablen!$I:$AT, MATCH(M88, Variablen!$A:$A, 0), MATCH((YEAR(D88)+6), Variablen!$I$3:$AT$3, 0))="",L88,INDEX(Variablen!$I:$AT, MATCH(M88, Variablen!$A:$A, 0), MATCH((YEAR(D88)+6), Variablen!$I$3:$AT$3, 0))),L88)))*(IF((YEAR(D88)+6)&lt;YEAR(E88),0,IF((YEAR(D88)+6)&gt;YEAR(E88),1,(12-MONTH(E88)+1)/12))) + (Q88)*(IF((YEAR(D88)+6)&lt;YEAR(E88),0,IF((YEAR(D88)+6)&gt;YEAR(E88),1,(12-MONTH(E88)+1)/12))))-((P88)*(IF((YEAR(D88)+6)&lt;YEAR(E88),0,IF((YEAR(D88)+6)&gt;YEAR(E88),1,(12-MONTH(E88)+1)/12))) + (R88)*(IF((YEAR(D88)+6)&lt;YEAR(E88),0,IF((YEAR(D88)+6)&gt;YEAR(E88),1,(12-MONTH(E88)+1)/12))))-(IF(OR(N88="",N88&lt;=0),0,(O88/N88)*(IF(OR(N88="",N88&lt;=0),0,IF((YEAR(D88)+6)&lt;YEAR(E88),0,IF((YEAR(D88)+6)&gt;=YEAR(E88)+N88,0,IF((YEAR(D88)+6)=YEAR(E88),(12-MONTH(E88)+1)/12,1))))))))*TaxRate,0))-IF(6=0,O88,0))</f>
        <v/>
      </c>
      <c r="Z88" s="29">
        <f>IF(A88="","",((K88)*(IF(M88="",L88,IFERROR(IF(INDEX(Variablen!$I:$AT, MATCH(M88, Variablen!$A:$A, 0), MATCH((YEAR(D88)+7), Variablen!$I$3:$AT$3, 0))="",L88,INDEX(Variablen!$I:$AT, MATCH(M88, Variablen!$A:$A, 0), MATCH((YEAR(D88)+7), Variablen!$I$3:$AT$3, 0))),L88)))*(IF((YEAR(D88)+7)&lt;YEAR(E88),0,IF((YEAR(D88)+7)&gt;YEAR(E88),1,(12-MONTH(E88)+1)/12))) + (Q88)*(IF((YEAR(D88)+7)&lt;YEAR(E88),0,IF((YEAR(D88)+7)&gt;YEAR(E88),1,(12-MONTH(E88)+1)/12))))-((P88)*(IF((YEAR(D88)+7)&lt;YEAR(E88),0,IF((YEAR(D88)+7)&gt;YEAR(E88),1,(12-MONTH(E88)+1)/12))) + (R88)*(IF((YEAR(D88)+7)&lt;YEAR(E88),0,IF((YEAR(D88)+7)&gt;YEAR(E88),1,(12-MONTH(E88)+1)/12))))-(IF((((K88)*(IF(M88="",L88,IFERROR(IF(INDEX(Variablen!$I:$AT, MATCH(M88, Variablen!$A:$A, 0), MATCH((YEAR(D88)+7), Variablen!$I$3:$AT$3, 0))="",L88,INDEX(Variablen!$I:$AT, MATCH(M88, Variablen!$A:$A, 0), MATCH((YEAR(D88)+7), Variablen!$I$3:$AT$3, 0))),L88)))*(IF((YEAR(D88)+7)&lt;YEAR(E88),0,IF((YEAR(D88)+7)&gt;YEAR(E88),1,(12-MONTH(E88)+1)/12))) + (Q88)*(IF((YEAR(D88)+7)&lt;YEAR(E88),0,IF((YEAR(D88)+7)&gt;YEAR(E88),1,(12-MONTH(E88)+1)/12))))-((P88)*(IF((YEAR(D88)+7)&lt;YEAR(E88),0,IF((YEAR(D88)+7)&gt;YEAR(E88),1,(12-MONTH(E88)+1)/12))) + (R88)*(IF((YEAR(D88)+7)&lt;YEAR(E88),0,IF((YEAR(D88)+7)&gt;YEAR(E88),1,(12-MONTH(E88)+1)/12))))-(IF(OR(N88="",N88&lt;=0),0,(O88/N88)*(IF(OR(N88="",N88&lt;=0),0,IF((YEAR(D88)+7)&lt;YEAR(E88),0,IF((YEAR(D88)+7)&gt;=YEAR(E88)+N88,0,IF((YEAR(D88)+7)=YEAR(E88),(12-MONTH(E88)+1)/12,1))))))))&gt;0,(((K88)*(IF(M88="",L88,IFERROR(IF(INDEX(Variablen!$I:$AT, MATCH(M88, Variablen!$A:$A, 0), MATCH((YEAR(D88)+7), Variablen!$I$3:$AT$3, 0))="",L88,INDEX(Variablen!$I:$AT, MATCH(M88, Variablen!$A:$A, 0), MATCH((YEAR(D88)+7), Variablen!$I$3:$AT$3, 0))),L88)))*(IF((YEAR(D88)+7)&lt;YEAR(E88),0,IF((YEAR(D88)+7)&gt;YEAR(E88),1,(12-MONTH(E88)+1)/12))) + (Q88)*(IF((YEAR(D88)+7)&lt;YEAR(E88),0,IF((YEAR(D88)+7)&gt;YEAR(E88),1,(12-MONTH(E88)+1)/12))))-((P88)*(IF((YEAR(D88)+7)&lt;YEAR(E88),0,IF((YEAR(D88)+7)&gt;YEAR(E88),1,(12-MONTH(E88)+1)/12))) + (R88)*(IF((YEAR(D88)+7)&lt;YEAR(E88),0,IF((YEAR(D88)+7)&gt;YEAR(E88),1,(12-MONTH(E88)+1)/12))))-(IF(OR(N88="",N88&lt;=0),0,(O88/N88)*(IF(OR(N88="",N88&lt;=0),0,IF((YEAR(D88)+7)&lt;YEAR(E88),0,IF((YEAR(D88)+7)&gt;=YEAR(E88)+N88,0,IF((YEAR(D88)+7)=YEAR(E88),(12-MONTH(E88)+1)/12,1))))))))*TaxRate,0))-IF(7=0,O88,0))</f>
        <v/>
      </c>
      <c r="AA88" s="29">
        <f>IF(A88="","",((K88)*(IF(M88="",L88,IFERROR(IF(INDEX(Variablen!$I:$AT, MATCH(M88, Variablen!$A:$A, 0), MATCH((YEAR(D88)+8), Variablen!$I$3:$AT$3, 0))="",L88,INDEX(Variablen!$I:$AT, MATCH(M88, Variablen!$A:$A, 0), MATCH((YEAR(D88)+8), Variablen!$I$3:$AT$3, 0))),L88)))*(IF((YEAR(D88)+8)&lt;YEAR(E88),0,IF((YEAR(D88)+8)&gt;YEAR(E88),1,(12-MONTH(E88)+1)/12))) + (Q88)*(IF((YEAR(D88)+8)&lt;YEAR(E88),0,IF((YEAR(D88)+8)&gt;YEAR(E88),1,(12-MONTH(E88)+1)/12))))-((P88)*(IF((YEAR(D88)+8)&lt;YEAR(E88),0,IF((YEAR(D88)+8)&gt;YEAR(E88),1,(12-MONTH(E88)+1)/12))) + (R88)*(IF((YEAR(D88)+8)&lt;YEAR(E88),0,IF((YEAR(D88)+8)&gt;YEAR(E88),1,(12-MONTH(E88)+1)/12))))-(IF((((K88)*(IF(M88="",L88,IFERROR(IF(INDEX(Variablen!$I:$AT, MATCH(M88, Variablen!$A:$A, 0), MATCH((YEAR(D88)+8), Variablen!$I$3:$AT$3, 0))="",L88,INDEX(Variablen!$I:$AT, MATCH(M88, Variablen!$A:$A, 0), MATCH((YEAR(D88)+8), Variablen!$I$3:$AT$3, 0))),L88)))*(IF((YEAR(D88)+8)&lt;YEAR(E88),0,IF((YEAR(D88)+8)&gt;YEAR(E88),1,(12-MONTH(E88)+1)/12))) + (Q88)*(IF((YEAR(D88)+8)&lt;YEAR(E88),0,IF((YEAR(D88)+8)&gt;YEAR(E88),1,(12-MONTH(E88)+1)/12))))-((P88)*(IF((YEAR(D88)+8)&lt;YEAR(E88),0,IF((YEAR(D88)+8)&gt;YEAR(E88),1,(12-MONTH(E88)+1)/12))) + (R88)*(IF((YEAR(D88)+8)&lt;YEAR(E88),0,IF((YEAR(D88)+8)&gt;YEAR(E88),1,(12-MONTH(E88)+1)/12))))-(IF(OR(N88="",N88&lt;=0),0,(O88/N88)*(IF(OR(N88="",N88&lt;=0),0,IF((YEAR(D88)+8)&lt;YEAR(E88),0,IF((YEAR(D88)+8)&gt;=YEAR(E88)+N88,0,IF((YEAR(D88)+8)=YEAR(E88),(12-MONTH(E88)+1)/12,1))))))))&gt;0,(((K88)*(IF(M88="",L88,IFERROR(IF(INDEX(Variablen!$I:$AT, MATCH(M88, Variablen!$A:$A, 0), MATCH((YEAR(D88)+8), Variablen!$I$3:$AT$3, 0))="",L88,INDEX(Variablen!$I:$AT, MATCH(M88, Variablen!$A:$A, 0), MATCH((YEAR(D88)+8), Variablen!$I$3:$AT$3, 0))),L88)))*(IF((YEAR(D88)+8)&lt;YEAR(E88),0,IF((YEAR(D88)+8)&gt;YEAR(E88),1,(12-MONTH(E88)+1)/12))) + (Q88)*(IF((YEAR(D88)+8)&lt;YEAR(E88),0,IF((YEAR(D88)+8)&gt;YEAR(E88),1,(12-MONTH(E88)+1)/12))))-((P88)*(IF((YEAR(D88)+8)&lt;YEAR(E88),0,IF((YEAR(D88)+8)&gt;YEAR(E88),1,(12-MONTH(E88)+1)/12))) + (R88)*(IF((YEAR(D88)+8)&lt;YEAR(E88),0,IF((YEAR(D88)+8)&gt;YEAR(E88),1,(12-MONTH(E88)+1)/12))))-(IF(OR(N88="",N88&lt;=0),0,(O88/N88)*(IF(OR(N88="",N88&lt;=0),0,IF((YEAR(D88)+8)&lt;YEAR(E88),0,IF((YEAR(D88)+8)&gt;=YEAR(E88)+N88,0,IF((YEAR(D88)+8)=YEAR(E88),(12-MONTH(E88)+1)/12,1))))))))*TaxRate,0))-IF(8=0,O88,0))</f>
        <v/>
      </c>
      <c r="AB88" s="29">
        <f>IF(A88="","",((K88)*(IF(M88="",L88,IFERROR(IF(INDEX(Variablen!$I:$AT, MATCH(M88, Variablen!$A:$A, 0), MATCH((YEAR(D88)+9), Variablen!$I$3:$AT$3, 0))="",L88,INDEX(Variablen!$I:$AT, MATCH(M88, Variablen!$A:$A, 0), MATCH((YEAR(D88)+9), Variablen!$I$3:$AT$3, 0))),L88)))*(IF((YEAR(D88)+9)&lt;YEAR(E88),0,IF((YEAR(D88)+9)&gt;YEAR(E88),1,(12-MONTH(E88)+1)/12))) + (Q88)*(IF((YEAR(D88)+9)&lt;YEAR(E88),0,IF((YEAR(D88)+9)&gt;YEAR(E88),1,(12-MONTH(E88)+1)/12))))-((P88)*(IF((YEAR(D88)+9)&lt;YEAR(E88),0,IF((YEAR(D88)+9)&gt;YEAR(E88),1,(12-MONTH(E88)+1)/12))) + (R88)*(IF((YEAR(D88)+9)&lt;YEAR(E88),0,IF((YEAR(D88)+9)&gt;YEAR(E88),1,(12-MONTH(E88)+1)/12))))-(IF((((K88)*(IF(M88="",L88,IFERROR(IF(INDEX(Variablen!$I:$AT, MATCH(M88, Variablen!$A:$A, 0), MATCH((YEAR(D88)+9), Variablen!$I$3:$AT$3, 0))="",L88,INDEX(Variablen!$I:$AT, MATCH(M88, Variablen!$A:$A, 0), MATCH((YEAR(D88)+9), Variablen!$I$3:$AT$3, 0))),L88)))*(IF((YEAR(D88)+9)&lt;YEAR(E88),0,IF((YEAR(D88)+9)&gt;YEAR(E88),1,(12-MONTH(E88)+1)/12))) + (Q88)*(IF((YEAR(D88)+9)&lt;YEAR(E88),0,IF((YEAR(D88)+9)&gt;YEAR(E88),1,(12-MONTH(E88)+1)/12))))-((P88)*(IF((YEAR(D88)+9)&lt;YEAR(E88),0,IF((YEAR(D88)+9)&gt;YEAR(E88),1,(12-MONTH(E88)+1)/12))) + (R88)*(IF((YEAR(D88)+9)&lt;YEAR(E88),0,IF((YEAR(D88)+9)&gt;YEAR(E88),1,(12-MONTH(E88)+1)/12))))-(IF(OR(N88="",N88&lt;=0),0,(O88/N88)*(IF(OR(N88="",N88&lt;=0),0,IF((YEAR(D88)+9)&lt;YEAR(E88),0,IF((YEAR(D88)+9)&gt;=YEAR(E88)+N88,0,IF((YEAR(D88)+9)=YEAR(E88),(12-MONTH(E88)+1)/12,1))))))))&gt;0,(((K88)*(IF(M88="",L88,IFERROR(IF(INDEX(Variablen!$I:$AT, MATCH(M88, Variablen!$A:$A, 0), MATCH((YEAR(D88)+9), Variablen!$I$3:$AT$3, 0))="",L88,INDEX(Variablen!$I:$AT, MATCH(M88, Variablen!$A:$A, 0), MATCH((YEAR(D88)+9), Variablen!$I$3:$AT$3, 0))),L88)))*(IF((YEAR(D88)+9)&lt;YEAR(E88),0,IF((YEAR(D88)+9)&gt;YEAR(E88),1,(12-MONTH(E88)+1)/12))) + (Q88)*(IF((YEAR(D88)+9)&lt;YEAR(E88),0,IF((YEAR(D88)+9)&gt;YEAR(E88),1,(12-MONTH(E88)+1)/12))))-((P88)*(IF((YEAR(D88)+9)&lt;YEAR(E88),0,IF((YEAR(D88)+9)&gt;YEAR(E88),1,(12-MONTH(E88)+1)/12))) + (R88)*(IF((YEAR(D88)+9)&lt;YEAR(E88),0,IF((YEAR(D88)+9)&gt;YEAR(E88),1,(12-MONTH(E88)+1)/12))))-(IF(OR(N88="",N88&lt;=0),0,(O88/N88)*(IF(OR(N88="",N88&lt;=0),0,IF((YEAR(D88)+9)&lt;YEAR(E88),0,IF((YEAR(D88)+9)&gt;=YEAR(E88)+N88,0,IF((YEAR(D88)+9)=YEAR(E88),(12-MONTH(E88)+1)/12,1))))))))*TaxRate,0))-IF(9=0,O88,0))</f>
        <v/>
      </c>
      <c r="AC88" s="29">
        <f>IF(A88="","",((K88)*(IF(M88="",L88,IFERROR(IF(INDEX(Variablen!$I:$AT, MATCH(M88, Variablen!$A:$A, 0), MATCH((YEAR(D88)+10), Variablen!$I$3:$AT$3, 0))="",L88,INDEX(Variablen!$I:$AT, MATCH(M88, Variablen!$A:$A, 0), MATCH((YEAR(D88)+10), Variablen!$I$3:$AT$3, 0))),L88)))*(IF((YEAR(D88)+10)&lt;YEAR(E88),0,IF((YEAR(D88)+10)&gt;YEAR(E88),1,(12-MONTH(E88)+1)/12))) + (Q88)*(IF((YEAR(D88)+10)&lt;YEAR(E88),0,IF((YEAR(D88)+10)&gt;YEAR(E88),1,(12-MONTH(E88)+1)/12))))-((P88)*(IF((YEAR(D88)+10)&lt;YEAR(E88),0,IF((YEAR(D88)+10)&gt;YEAR(E88),1,(12-MONTH(E88)+1)/12))) + (R88)*(IF((YEAR(D88)+10)&lt;YEAR(E88),0,IF((YEAR(D88)+10)&gt;YEAR(E88),1,(12-MONTH(E88)+1)/12))))-(IF((((K88)*(IF(M88="",L88,IFERROR(IF(INDEX(Variablen!$I:$AT, MATCH(M88, Variablen!$A:$A, 0), MATCH((YEAR(D88)+10), Variablen!$I$3:$AT$3, 0))="",L88,INDEX(Variablen!$I:$AT, MATCH(M88, Variablen!$A:$A, 0), MATCH((YEAR(D88)+10), Variablen!$I$3:$AT$3, 0))),L88)))*(IF((YEAR(D88)+10)&lt;YEAR(E88),0,IF((YEAR(D88)+10)&gt;YEAR(E88),1,(12-MONTH(E88)+1)/12))) + (Q88)*(IF((YEAR(D88)+10)&lt;YEAR(E88),0,IF((YEAR(D88)+10)&gt;YEAR(E88),1,(12-MONTH(E88)+1)/12))))-((P88)*(IF((YEAR(D88)+10)&lt;YEAR(E88),0,IF((YEAR(D88)+10)&gt;YEAR(E88),1,(12-MONTH(E88)+1)/12))) + (R88)*(IF((YEAR(D88)+10)&lt;YEAR(E88),0,IF((YEAR(D88)+10)&gt;YEAR(E88),1,(12-MONTH(E88)+1)/12))))-(IF(OR(N88="",N88&lt;=0),0,(O88/N88)*(IF(OR(N88="",N88&lt;=0),0,IF((YEAR(D88)+10)&lt;YEAR(E88),0,IF((YEAR(D88)+10)&gt;=YEAR(E88)+N88,0,IF((YEAR(D88)+10)=YEAR(E88),(12-MONTH(E88)+1)/12,1))))))))&gt;0,(((K88)*(IF(M88="",L88,IFERROR(IF(INDEX(Variablen!$I:$AT, MATCH(M88, Variablen!$A:$A, 0), MATCH((YEAR(D88)+10), Variablen!$I$3:$AT$3, 0))="",L88,INDEX(Variablen!$I:$AT, MATCH(M88, Variablen!$A:$A, 0), MATCH((YEAR(D88)+10), Variablen!$I$3:$AT$3, 0))),L88)))*(IF((YEAR(D88)+10)&lt;YEAR(E88),0,IF((YEAR(D88)+10)&gt;YEAR(E88),1,(12-MONTH(E88)+1)/12))) + (Q88)*(IF((YEAR(D88)+10)&lt;YEAR(E88),0,IF((YEAR(D88)+10)&gt;YEAR(E88),1,(12-MONTH(E88)+1)/12))))-((P88)*(IF((YEAR(D88)+10)&lt;YEAR(E88),0,IF((YEAR(D88)+10)&gt;YEAR(E88),1,(12-MONTH(E88)+1)/12))) + (R88)*(IF((YEAR(D88)+10)&lt;YEAR(E88),0,IF((YEAR(D88)+10)&gt;YEAR(E88),1,(12-MONTH(E88)+1)/12))))-(IF(OR(N88="",N88&lt;=0),0,(O88/N88)*(IF(OR(N88="",N88&lt;=0),0,IF((YEAR(D88)+10)&lt;YEAR(E88),0,IF((YEAR(D88)+10)&gt;=YEAR(E88)+N88,0,IF((YEAR(D88)+10)=YEAR(E88),(12-MONTH(E88)+1)/12,1))))))))*TaxRate,0))-IF(10=0,O88,0))</f>
        <v/>
      </c>
      <c r="AD88" s="29">
        <f>IF(A88="","",((K88)*(IF(M88="",L88,IFERROR(IF(INDEX(Variablen!$I:$AT, MATCH(M88, Variablen!$A:$A, 0), MATCH((YEAR(D88)+11), Variablen!$I$3:$AT$3, 0))="",L88,INDEX(Variablen!$I:$AT, MATCH(M88, Variablen!$A:$A, 0), MATCH((YEAR(D88)+11), Variablen!$I$3:$AT$3, 0))),L88)))*(IF((YEAR(D88)+11)&lt;YEAR(E88),0,IF((YEAR(D88)+11)&gt;YEAR(E88),1,(12-MONTH(E88)+1)/12))) + (Q88)*(IF((YEAR(D88)+11)&lt;YEAR(E88),0,IF((YEAR(D88)+11)&gt;YEAR(E88),1,(12-MONTH(E88)+1)/12))))-((P88)*(IF((YEAR(D88)+11)&lt;YEAR(E88),0,IF((YEAR(D88)+11)&gt;YEAR(E88),1,(12-MONTH(E88)+1)/12))) + (R88)*(IF((YEAR(D88)+11)&lt;YEAR(E88),0,IF((YEAR(D88)+11)&gt;YEAR(E88),1,(12-MONTH(E88)+1)/12))))-(IF((((K88)*(IF(M88="",L88,IFERROR(IF(INDEX(Variablen!$I:$AT, MATCH(M88, Variablen!$A:$A, 0), MATCH((YEAR(D88)+11), Variablen!$I$3:$AT$3, 0))="",L88,INDEX(Variablen!$I:$AT, MATCH(M88, Variablen!$A:$A, 0), MATCH((YEAR(D88)+11), Variablen!$I$3:$AT$3, 0))),L88)))*(IF((YEAR(D88)+11)&lt;YEAR(E88),0,IF((YEAR(D88)+11)&gt;YEAR(E88),1,(12-MONTH(E88)+1)/12))) + (Q88)*(IF((YEAR(D88)+11)&lt;YEAR(E88),0,IF((YEAR(D88)+11)&gt;YEAR(E88),1,(12-MONTH(E88)+1)/12))))-((P88)*(IF((YEAR(D88)+11)&lt;YEAR(E88),0,IF((YEAR(D88)+11)&gt;YEAR(E88),1,(12-MONTH(E88)+1)/12))) + (R88)*(IF((YEAR(D88)+11)&lt;YEAR(E88),0,IF((YEAR(D88)+11)&gt;YEAR(E88),1,(12-MONTH(E88)+1)/12))))-(IF(OR(N88="",N88&lt;=0),0,(O88/N88)*(IF(OR(N88="",N88&lt;=0),0,IF((YEAR(D88)+11)&lt;YEAR(E88),0,IF((YEAR(D88)+11)&gt;=YEAR(E88)+N88,0,IF((YEAR(D88)+11)=YEAR(E88),(12-MONTH(E88)+1)/12,1))))))))&gt;0,(((K88)*(IF(M88="",L88,IFERROR(IF(INDEX(Variablen!$I:$AT, MATCH(M88, Variablen!$A:$A, 0), MATCH((YEAR(D88)+11), Variablen!$I$3:$AT$3, 0))="",L88,INDEX(Variablen!$I:$AT, MATCH(M88, Variablen!$A:$A, 0), MATCH((YEAR(D88)+11), Variablen!$I$3:$AT$3, 0))),L88)))*(IF((YEAR(D88)+11)&lt;YEAR(E88),0,IF((YEAR(D88)+11)&gt;YEAR(E88),1,(12-MONTH(E88)+1)/12))) + (Q88)*(IF((YEAR(D88)+11)&lt;YEAR(E88),0,IF((YEAR(D88)+11)&gt;YEAR(E88),1,(12-MONTH(E88)+1)/12))))-((P88)*(IF((YEAR(D88)+11)&lt;YEAR(E88),0,IF((YEAR(D88)+11)&gt;YEAR(E88),1,(12-MONTH(E88)+1)/12))) + (R88)*(IF((YEAR(D88)+11)&lt;YEAR(E88),0,IF((YEAR(D88)+11)&gt;YEAR(E88),1,(12-MONTH(E88)+1)/12))))-(IF(OR(N88="",N88&lt;=0),0,(O88/N88)*(IF(OR(N88="",N88&lt;=0),0,IF((YEAR(D88)+11)&lt;YEAR(E88),0,IF((YEAR(D88)+11)&gt;=YEAR(E88)+N88,0,IF((YEAR(D88)+11)=YEAR(E88),(12-MONTH(E88)+1)/12,1))))))))*TaxRate,0))-IF(11=0,O88,0))</f>
        <v/>
      </c>
      <c r="AE88" s="29">
        <f>IF(A88="","",((K88)*(IF(M88="",L88,IFERROR(IF(INDEX(Variablen!$I:$AT, MATCH(M88, Variablen!$A:$A, 0), MATCH((YEAR(D88)+12), Variablen!$I$3:$AT$3, 0))="",L88,INDEX(Variablen!$I:$AT, MATCH(M88, Variablen!$A:$A, 0), MATCH((YEAR(D88)+12), Variablen!$I$3:$AT$3, 0))),L88)))*(IF((YEAR(D88)+12)&lt;YEAR(E88),0,IF((YEAR(D88)+12)&gt;YEAR(E88),1,(12-MONTH(E88)+1)/12))) + (Q88)*(IF((YEAR(D88)+12)&lt;YEAR(E88),0,IF((YEAR(D88)+12)&gt;YEAR(E88),1,(12-MONTH(E88)+1)/12))))-((P88)*(IF((YEAR(D88)+12)&lt;YEAR(E88),0,IF((YEAR(D88)+12)&gt;YEAR(E88),1,(12-MONTH(E88)+1)/12))) + (R88)*(IF((YEAR(D88)+12)&lt;YEAR(E88),0,IF((YEAR(D88)+12)&gt;YEAR(E88),1,(12-MONTH(E88)+1)/12))))-(IF((((K88)*(IF(M88="",L88,IFERROR(IF(INDEX(Variablen!$I:$AT, MATCH(M88, Variablen!$A:$A, 0), MATCH((YEAR(D88)+12), Variablen!$I$3:$AT$3, 0))="",L88,INDEX(Variablen!$I:$AT, MATCH(M88, Variablen!$A:$A, 0), MATCH((YEAR(D88)+12), Variablen!$I$3:$AT$3, 0))),L88)))*(IF((YEAR(D88)+12)&lt;YEAR(E88),0,IF((YEAR(D88)+12)&gt;YEAR(E88),1,(12-MONTH(E88)+1)/12))) + (Q88)*(IF((YEAR(D88)+12)&lt;YEAR(E88),0,IF((YEAR(D88)+12)&gt;YEAR(E88),1,(12-MONTH(E88)+1)/12))))-((P88)*(IF((YEAR(D88)+12)&lt;YEAR(E88),0,IF((YEAR(D88)+12)&gt;YEAR(E88),1,(12-MONTH(E88)+1)/12))) + (R88)*(IF((YEAR(D88)+12)&lt;YEAR(E88),0,IF((YEAR(D88)+12)&gt;YEAR(E88),1,(12-MONTH(E88)+1)/12))))-(IF(OR(N88="",N88&lt;=0),0,(O88/N88)*(IF(OR(N88="",N88&lt;=0),0,IF((YEAR(D88)+12)&lt;YEAR(E88),0,IF((YEAR(D88)+12)&gt;=YEAR(E88)+N88,0,IF((YEAR(D88)+12)=YEAR(E88),(12-MONTH(E88)+1)/12,1))))))))&gt;0,(((K88)*(IF(M88="",L88,IFERROR(IF(INDEX(Variablen!$I:$AT, MATCH(M88, Variablen!$A:$A, 0), MATCH((YEAR(D88)+12), Variablen!$I$3:$AT$3, 0))="",L88,INDEX(Variablen!$I:$AT, MATCH(M88, Variablen!$A:$A, 0), MATCH((YEAR(D88)+12), Variablen!$I$3:$AT$3, 0))),L88)))*(IF((YEAR(D88)+12)&lt;YEAR(E88),0,IF((YEAR(D88)+12)&gt;YEAR(E88),1,(12-MONTH(E88)+1)/12))) + (Q88)*(IF((YEAR(D88)+12)&lt;YEAR(E88),0,IF((YEAR(D88)+12)&gt;YEAR(E88),1,(12-MONTH(E88)+1)/12))))-((P88)*(IF((YEAR(D88)+12)&lt;YEAR(E88),0,IF((YEAR(D88)+12)&gt;YEAR(E88),1,(12-MONTH(E88)+1)/12))) + (R88)*(IF((YEAR(D88)+12)&lt;YEAR(E88),0,IF((YEAR(D88)+12)&gt;YEAR(E88),1,(12-MONTH(E88)+1)/12))))-(IF(OR(N88="",N88&lt;=0),0,(O88/N88)*(IF(OR(N88="",N88&lt;=0),0,IF((YEAR(D88)+12)&lt;YEAR(E88),0,IF((YEAR(D88)+12)&gt;=YEAR(E88)+N88,0,IF((YEAR(D88)+12)=YEAR(E88),(12-MONTH(E88)+1)/12,1))))))))*TaxRate,0))-IF(12=0,O88,0))</f>
        <v/>
      </c>
      <c r="AF88" s="29">
        <f>IF(A88="","",((K88)*(IF(M88="",L88,IFERROR(IF(INDEX(Variablen!$I:$AT, MATCH(M88, Variablen!$A:$A, 0), MATCH((YEAR(D88)+13), Variablen!$I$3:$AT$3, 0))="",L88,INDEX(Variablen!$I:$AT, MATCH(M88, Variablen!$A:$A, 0), MATCH((YEAR(D88)+13), Variablen!$I$3:$AT$3, 0))),L88)))*(IF((YEAR(D88)+13)&lt;YEAR(E88),0,IF((YEAR(D88)+13)&gt;YEAR(E88),1,(12-MONTH(E88)+1)/12))) + (Q88)*(IF((YEAR(D88)+13)&lt;YEAR(E88),0,IF((YEAR(D88)+13)&gt;YEAR(E88),1,(12-MONTH(E88)+1)/12))))-((P88)*(IF((YEAR(D88)+13)&lt;YEAR(E88),0,IF((YEAR(D88)+13)&gt;YEAR(E88),1,(12-MONTH(E88)+1)/12))) + (R88)*(IF((YEAR(D88)+13)&lt;YEAR(E88),0,IF((YEAR(D88)+13)&gt;YEAR(E88),1,(12-MONTH(E88)+1)/12))))-(IF((((K88)*(IF(M88="",L88,IFERROR(IF(INDEX(Variablen!$I:$AT, MATCH(M88, Variablen!$A:$A, 0), MATCH((YEAR(D88)+13), Variablen!$I$3:$AT$3, 0))="",L88,INDEX(Variablen!$I:$AT, MATCH(M88, Variablen!$A:$A, 0), MATCH((YEAR(D88)+13), Variablen!$I$3:$AT$3, 0))),L88)))*(IF((YEAR(D88)+13)&lt;YEAR(E88),0,IF((YEAR(D88)+13)&gt;YEAR(E88),1,(12-MONTH(E88)+1)/12))) + (Q88)*(IF((YEAR(D88)+13)&lt;YEAR(E88),0,IF((YEAR(D88)+13)&gt;YEAR(E88),1,(12-MONTH(E88)+1)/12))))-((P88)*(IF((YEAR(D88)+13)&lt;YEAR(E88),0,IF((YEAR(D88)+13)&gt;YEAR(E88),1,(12-MONTH(E88)+1)/12))) + (R88)*(IF((YEAR(D88)+13)&lt;YEAR(E88),0,IF((YEAR(D88)+13)&gt;YEAR(E88),1,(12-MONTH(E88)+1)/12))))-(IF(OR(N88="",N88&lt;=0),0,(O88/N88)*(IF(OR(N88="",N88&lt;=0),0,IF((YEAR(D88)+13)&lt;YEAR(E88),0,IF((YEAR(D88)+13)&gt;=YEAR(E88)+N88,0,IF((YEAR(D88)+13)=YEAR(E88),(12-MONTH(E88)+1)/12,1))))))))&gt;0,(((K88)*(IF(M88="",L88,IFERROR(IF(INDEX(Variablen!$I:$AT, MATCH(M88, Variablen!$A:$A, 0), MATCH((YEAR(D88)+13), Variablen!$I$3:$AT$3, 0))="",L88,INDEX(Variablen!$I:$AT, MATCH(M88, Variablen!$A:$A, 0), MATCH((YEAR(D88)+13), Variablen!$I$3:$AT$3, 0))),L88)))*(IF((YEAR(D88)+13)&lt;YEAR(E88),0,IF((YEAR(D88)+13)&gt;YEAR(E88),1,(12-MONTH(E88)+1)/12))) + (Q88)*(IF((YEAR(D88)+13)&lt;YEAR(E88),0,IF((YEAR(D88)+13)&gt;YEAR(E88),1,(12-MONTH(E88)+1)/12))))-((P88)*(IF((YEAR(D88)+13)&lt;YEAR(E88),0,IF((YEAR(D88)+13)&gt;YEAR(E88),1,(12-MONTH(E88)+1)/12))) + (R88)*(IF((YEAR(D88)+13)&lt;YEAR(E88),0,IF((YEAR(D88)+13)&gt;YEAR(E88),1,(12-MONTH(E88)+1)/12))))-(IF(OR(N88="",N88&lt;=0),0,(O88/N88)*(IF(OR(N88="",N88&lt;=0),0,IF((YEAR(D88)+13)&lt;YEAR(E88),0,IF((YEAR(D88)+13)&gt;=YEAR(E88)+N88,0,IF((YEAR(D88)+13)=YEAR(E88),(12-MONTH(E88)+1)/12,1))))))))*TaxRate,0))-IF(13=0,O88,0))</f>
        <v/>
      </c>
      <c r="AG88" s="29">
        <f>IF(A88="","",((K88)*(IF(M88="",L88,IFERROR(IF(INDEX(Variablen!$I:$AT, MATCH(M88, Variablen!$A:$A, 0), MATCH((YEAR(D88)+14), Variablen!$I$3:$AT$3, 0))="",L88,INDEX(Variablen!$I:$AT, MATCH(M88, Variablen!$A:$A, 0), MATCH((YEAR(D88)+14), Variablen!$I$3:$AT$3, 0))),L88)))*(IF((YEAR(D88)+14)&lt;YEAR(E88),0,IF((YEAR(D88)+14)&gt;YEAR(E88),1,(12-MONTH(E88)+1)/12))) + (Q88)*(IF((YEAR(D88)+14)&lt;YEAR(E88),0,IF((YEAR(D88)+14)&gt;YEAR(E88),1,(12-MONTH(E88)+1)/12))))-((P88)*(IF((YEAR(D88)+14)&lt;YEAR(E88),0,IF((YEAR(D88)+14)&gt;YEAR(E88),1,(12-MONTH(E88)+1)/12))) + (R88)*(IF((YEAR(D88)+14)&lt;YEAR(E88),0,IF((YEAR(D88)+14)&gt;YEAR(E88),1,(12-MONTH(E88)+1)/12))))-(IF((((K88)*(IF(M88="",L88,IFERROR(IF(INDEX(Variablen!$I:$AT, MATCH(M88, Variablen!$A:$A, 0), MATCH((YEAR(D88)+14), Variablen!$I$3:$AT$3, 0))="",L88,INDEX(Variablen!$I:$AT, MATCH(M88, Variablen!$A:$A, 0), MATCH((YEAR(D88)+14), Variablen!$I$3:$AT$3, 0))),L88)))*(IF((YEAR(D88)+14)&lt;YEAR(E88),0,IF((YEAR(D88)+14)&gt;YEAR(E88),1,(12-MONTH(E88)+1)/12))) + (Q88)*(IF((YEAR(D88)+14)&lt;YEAR(E88),0,IF((YEAR(D88)+14)&gt;YEAR(E88),1,(12-MONTH(E88)+1)/12))))-((P88)*(IF((YEAR(D88)+14)&lt;YEAR(E88),0,IF((YEAR(D88)+14)&gt;YEAR(E88),1,(12-MONTH(E88)+1)/12))) + (R88)*(IF((YEAR(D88)+14)&lt;YEAR(E88),0,IF((YEAR(D88)+14)&gt;YEAR(E88),1,(12-MONTH(E88)+1)/12))))-(IF(OR(N88="",N88&lt;=0),0,(O88/N88)*(IF(OR(N88="",N88&lt;=0),0,IF((YEAR(D88)+14)&lt;YEAR(E88),0,IF((YEAR(D88)+14)&gt;=YEAR(E88)+N88,0,IF((YEAR(D88)+14)=YEAR(E88),(12-MONTH(E88)+1)/12,1))))))))&gt;0,(((K88)*(IF(M88="",L88,IFERROR(IF(INDEX(Variablen!$I:$AT, MATCH(M88, Variablen!$A:$A, 0), MATCH((YEAR(D88)+14), Variablen!$I$3:$AT$3, 0))="",L88,INDEX(Variablen!$I:$AT, MATCH(M88, Variablen!$A:$A, 0), MATCH((YEAR(D88)+14), Variablen!$I$3:$AT$3, 0))),L88)))*(IF((YEAR(D88)+14)&lt;YEAR(E88),0,IF((YEAR(D88)+14)&gt;YEAR(E88),1,(12-MONTH(E88)+1)/12))) + (Q88)*(IF((YEAR(D88)+14)&lt;YEAR(E88),0,IF((YEAR(D88)+14)&gt;YEAR(E88),1,(12-MONTH(E88)+1)/12))))-((P88)*(IF((YEAR(D88)+14)&lt;YEAR(E88),0,IF((YEAR(D88)+14)&gt;YEAR(E88),1,(12-MONTH(E88)+1)/12))) + (R88)*(IF((YEAR(D88)+14)&lt;YEAR(E88),0,IF((YEAR(D88)+14)&gt;YEAR(E88),1,(12-MONTH(E88)+1)/12))))-(IF(OR(N88="",N88&lt;=0),0,(O88/N88)*(IF(OR(N88="",N88&lt;=0),0,IF((YEAR(D88)+14)&lt;YEAR(E88),0,IF((YEAR(D88)+14)&gt;=YEAR(E88)+N88,0,IF((YEAR(D88)+14)=YEAR(E88),(12-MONTH(E88)+1)/12,1))))))))*TaxRate,0))-IF(14=0,O88,0))</f>
        <v/>
      </c>
      <c r="AH88" s="29">
        <f>IF(A88="","",((K88)*(IF(M88="",L88,IFERROR(IF(INDEX(Variablen!$I:$AT, MATCH(M88, Variablen!$A:$A, 0), MATCH((YEAR(D88)+15), Variablen!$I$3:$AT$3, 0))="",L88,INDEX(Variablen!$I:$AT, MATCH(M88, Variablen!$A:$A, 0), MATCH((YEAR(D88)+15), Variablen!$I$3:$AT$3, 0))),L88)))*(IF((YEAR(D88)+15)&lt;YEAR(E88),0,IF((YEAR(D88)+15)&gt;YEAR(E88),1,(12-MONTH(E88)+1)/12))) + (Q88)*(IF((YEAR(D88)+15)&lt;YEAR(E88),0,IF((YEAR(D88)+15)&gt;YEAR(E88),1,(12-MONTH(E88)+1)/12))))-((P88)*(IF((YEAR(D88)+15)&lt;YEAR(E88),0,IF((YEAR(D88)+15)&gt;YEAR(E88),1,(12-MONTH(E88)+1)/12))) + (R88)*(IF((YEAR(D88)+15)&lt;YEAR(E88),0,IF((YEAR(D88)+15)&gt;YEAR(E88),1,(12-MONTH(E88)+1)/12))))-(IF((((K88)*(IF(M88="",L88,IFERROR(IF(INDEX(Variablen!$I:$AT, MATCH(M88, Variablen!$A:$A, 0), MATCH((YEAR(D88)+15), Variablen!$I$3:$AT$3, 0))="",L88,INDEX(Variablen!$I:$AT, MATCH(M88, Variablen!$A:$A, 0), MATCH((YEAR(D88)+15), Variablen!$I$3:$AT$3, 0))),L88)))*(IF((YEAR(D88)+15)&lt;YEAR(E88),0,IF((YEAR(D88)+15)&gt;YEAR(E88),1,(12-MONTH(E88)+1)/12))) + (Q88)*(IF((YEAR(D88)+15)&lt;YEAR(E88),0,IF((YEAR(D88)+15)&gt;YEAR(E88),1,(12-MONTH(E88)+1)/12))))-((P88)*(IF((YEAR(D88)+15)&lt;YEAR(E88),0,IF((YEAR(D88)+15)&gt;YEAR(E88),1,(12-MONTH(E88)+1)/12))) + (R88)*(IF((YEAR(D88)+15)&lt;YEAR(E88),0,IF((YEAR(D88)+15)&gt;YEAR(E88),1,(12-MONTH(E88)+1)/12))))-(IF(OR(N88="",N88&lt;=0),0,(O88/N88)*(IF(OR(N88="",N88&lt;=0),0,IF((YEAR(D88)+15)&lt;YEAR(E88),0,IF((YEAR(D88)+15)&gt;=YEAR(E88)+N88,0,IF((YEAR(D88)+15)=YEAR(E88),(12-MONTH(E88)+1)/12,1))))))))&gt;0,(((K88)*(IF(M88="",L88,IFERROR(IF(INDEX(Variablen!$I:$AT, MATCH(M88, Variablen!$A:$A, 0), MATCH((YEAR(D88)+15), Variablen!$I$3:$AT$3, 0))="",L88,INDEX(Variablen!$I:$AT, MATCH(M88, Variablen!$A:$A, 0), MATCH((YEAR(D88)+15), Variablen!$I$3:$AT$3, 0))),L88)))*(IF((YEAR(D88)+15)&lt;YEAR(E88),0,IF((YEAR(D88)+15)&gt;YEAR(E88),1,(12-MONTH(E88)+1)/12))) + (Q88)*(IF((YEAR(D88)+15)&lt;YEAR(E88),0,IF((YEAR(D88)+15)&gt;YEAR(E88),1,(12-MONTH(E88)+1)/12))))-((P88)*(IF((YEAR(D88)+15)&lt;YEAR(E88),0,IF((YEAR(D88)+15)&gt;YEAR(E88),1,(12-MONTH(E88)+1)/12))) + (R88)*(IF((YEAR(D88)+15)&lt;YEAR(E88),0,IF((YEAR(D88)+15)&gt;YEAR(E88),1,(12-MONTH(E88)+1)/12))))-(IF(OR(N88="",N88&lt;=0),0,(O88/N88)*(IF(OR(N88="",N88&lt;=0),0,IF((YEAR(D88)+15)&lt;YEAR(E88),0,IF((YEAR(D88)+15)&gt;=YEAR(E88)+N88,0,IF((YEAR(D88)+15)=YEAR(E88),(12-MONTH(E88)+1)/12,1))))))))*TaxRate,0))-IF(15=0,O88,0))</f>
        <v/>
      </c>
      <c r="AI88" s="29">
        <f>IF(A88="","",((K88)*(IF(M88="",L88,IFERROR(IF(INDEX(Variablen!$I:$AT, MATCH(M88, Variablen!$A:$A, 0), MATCH((YEAR(D88)+16), Variablen!$I$3:$AT$3, 0))="",L88,INDEX(Variablen!$I:$AT, MATCH(M88, Variablen!$A:$A, 0), MATCH((YEAR(D88)+16), Variablen!$I$3:$AT$3, 0))),L88)))*(IF((YEAR(D88)+16)&lt;YEAR(E88),0,IF((YEAR(D88)+16)&gt;YEAR(E88),1,(12-MONTH(E88)+1)/12))) + (Q88)*(IF((YEAR(D88)+16)&lt;YEAR(E88),0,IF((YEAR(D88)+16)&gt;YEAR(E88),1,(12-MONTH(E88)+1)/12))))-((P88)*(IF((YEAR(D88)+16)&lt;YEAR(E88),0,IF((YEAR(D88)+16)&gt;YEAR(E88),1,(12-MONTH(E88)+1)/12))) + (R88)*(IF((YEAR(D88)+16)&lt;YEAR(E88),0,IF((YEAR(D88)+16)&gt;YEAR(E88),1,(12-MONTH(E88)+1)/12))))-(IF((((K88)*(IF(M88="",L88,IFERROR(IF(INDEX(Variablen!$I:$AT, MATCH(M88, Variablen!$A:$A, 0), MATCH((YEAR(D88)+16), Variablen!$I$3:$AT$3, 0))="",L88,INDEX(Variablen!$I:$AT, MATCH(M88, Variablen!$A:$A, 0), MATCH((YEAR(D88)+16), Variablen!$I$3:$AT$3, 0))),L88)))*(IF((YEAR(D88)+16)&lt;YEAR(E88),0,IF((YEAR(D88)+16)&gt;YEAR(E88),1,(12-MONTH(E88)+1)/12))) + (Q88)*(IF((YEAR(D88)+16)&lt;YEAR(E88),0,IF((YEAR(D88)+16)&gt;YEAR(E88),1,(12-MONTH(E88)+1)/12))))-((P88)*(IF((YEAR(D88)+16)&lt;YEAR(E88),0,IF((YEAR(D88)+16)&gt;YEAR(E88),1,(12-MONTH(E88)+1)/12))) + (R88)*(IF((YEAR(D88)+16)&lt;YEAR(E88),0,IF((YEAR(D88)+16)&gt;YEAR(E88),1,(12-MONTH(E88)+1)/12))))-(IF(OR(N88="",N88&lt;=0),0,(O88/N88)*(IF(OR(N88="",N88&lt;=0),0,IF((YEAR(D88)+16)&lt;YEAR(E88),0,IF((YEAR(D88)+16)&gt;=YEAR(E88)+N88,0,IF((YEAR(D88)+16)=YEAR(E88),(12-MONTH(E88)+1)/12,1))))))))&gt;0,(((K88)*(IF(M88="",L88,IFERROR(IF(INDEX(Variablen!$I:$AT, MATCH(M88, Variablen!$A:$A, 0), MATCH((YEAR(D88)+16), Variablen!$I$3:$AT$3, 0))="",L88,INDEX(Variablen!$I:$AT, MATCH(M88, Variablen!$A:$A, 0), MATCH((YEAR(D88)+16), Variablen!$I$3:$AT$3, 0))),L88)))*(IF((YEAR(D88)+16)&lt;YEAR(E88),0,IF((YEAR(D88)+16)&gt;YEAR(E88),1,(12-MONTH(E88)+1)/12))) + (Q88)*(IF((YEAR(D88)+16)&lt;YEAR(E88),0,IF((YEAR(D88)+16)&gt;YEAR(E88),1,(12-MONTH(E88)+1)/12))))-((P88)*(IF((YEAR(D88)+16)&lt;YEAR(E88),0,IF((YEAR(D88)+16)&gt;YEAR(E88),1,(12-MONTH(E88)+1)/12))) + (R88)*(IF((YEAR(D88)+16)&lt;YEAR(E88),0,IF((YEAR(D88)+16)&gt;YEAR(E88),1,(12-MONTH(E88)+1)/12))))-(IF(OR(N88="",N88&lt;=0),0,(O88/N88)*(IF(OR(N88="",N88&lt;=0),0,IF((YEAR(D88)+16)&lt;YEAR(E88),0,IF((YEAR(D88)+16)&gt;=YEAR(E88)+N88,0,IF((YEAR(D88)+16)=YEAR(E88),(12-MONTH(E88)+1)/12,1))))))))*TaxRate,0))-IF(16=0,O88,0))</f>
        <v/>
      </c>
      <c r="AJ88" s="29">
        <f>IF(A88="","",((K88)*(IF(M88="",L88,IFERROR(IF(INDEX(Variablen!$I:$AT, MATCH(M88, Variablen!$A:$A, 0), MATCH((YEAR(D88)+17), Variablen!$I$3:$AT$3, 0))="",L88,INDEX(Variablen!$I:$AT, MATCH(M88, Variablen!$A:$A, 0), MATCH((YEAR(D88)+17), Variablen!$I$3:$AT$3, 0))),L88)))*(IF((YEAR(D88)+17)&lt;YEAR(E88),0,IF((YEAR(D88)+17)&gt;YEAR(E88),1,(12-MONTH(E88)+1)/12))) + (Q88)*(IF((YEAR(D88)+17)&lt;YEAR(E88),0,IF((YEAR(D88)+17)&gt;YEAR(E88),1,(12-MONTH(E88)+1)/12))))-((P88)*(IF((YEAR(D88)+17)&lt;YEAR(E88),0,IF((YEAR(D88)+17)&gt;YEAR(E88),1,(12-MONTH(E88)+1)/12))) + (R88)*(IF((YEAR(D88)+17)&lt;YEAR(E88),0,IF((YEAR(D88)+17)&gt;YEAR(E88),1,(12-MONTH(E88)+1)/12))))-(IF((((K88)*(IF(M88="",L88,IFERROR(IF(INDEX(Variablen!$I:$AT, MATCH(M88, Variablen!$A:$A, 0), MATCH((YEAR(D88)+17), Variablen!$I$3:$AT$3, 0))="",L88,INDEX(Variablen!$I:$AT, MATCH(M88, Variablen!$A:$A, 0), MATCH((YEAR(D88)+17), Variablen!$I$3:$AT$3, 0))),L88)))*(IF((YEAR(D88)+17)&lt;YEAR(E88),0,IF((YEAR(D88)+17)&gt;YEAR(E88),1,(12-MONTH(E88)+1)/12))) + (Q88)*(IF((YEAR(D88)+17)&lt;YEAR(E88),0,IF((YEAR(D88)+17)&gt;YEAR(E88),1,(12-MONTH(E88)+1)/12))))-((P88)*(IF((YEAR(D88)+17)&lt;YEAR(E88),0,IF((YEAR(D88)+17)&gt;YEAR(E88),1,(12-MONTH(E88)+1)/12))) + (R88)*(IF((YEAR(D88)+17)&lt;YEAR(E88),0,IF((YEAR(D88)+17)&gt;YEAR(E88),1,(12-MONTH(E88)+1)/12))))-(IF(OR(N88="",N88&lt;=0),0,(O88/N88)*(IF(OR(N88="",N88&lt;=0),0,IF((YEAR(D88)+17)&lt;YEAR(E88),0,IF((YEAR(D88)+17)&gt;=YEAR(E88)+N88,0,IF((YEAR(D88)+17)=YEAR(E88),(12-MONTH(E88)+1)/12,1))))))))&gt;0,(((K88)*(IF(M88="",L88,IFERROR(IF(INDEX(Variablen!$I:$AT, MATCH(M88, Variablen!$A:$A, 0), MATCH((YEAR(D88)+17), Variablen!$I$3:$AT$3, 0))="",L88,INDEX(Variablen!$I:$AT, MATCH(M88, Variablen!$A:$A, 0), MATCH((YEAR(D88)+17), Variablen!$I$3:$AT$3, 0))),L88)))*(IF((YEAR(D88)+17)&lt;YEAR(E88),0,IF((YEAR(D88)+17)&gt;YEAR(E88),1,(12-MONTH(E88)+1)/12))) + (Q88)*(IF((YEAR(D88)+17)&lt;YEAR(E88),0,IF((YEAR(D88)+17)&gt;YEAR(E88),1,(12-MONTH(E88)+1)/12))))-((P88)*(IF((YEAR(D88)+17)&lt;YEAR(E88),0,IF((YEAR(D88)+17)&gt;YEAR(E88),1,(12-MONTH(E88)+1)/12))) + (R88)*(IF((YEAR(D88)+17)&lt;YEAR(E88),0,IF((YEAR(D88)+17)&gt;YEAR(E88),1,(12-MONTH(E88)+1)/12))))-(IF(OR(N88="",N88&lt;=0),0,(O88/N88)*(IF(OR(N88="",N88&lt;=0),0,IF((YEAR(D88)+17)&lt;YEAR(E88),0,IF((YEAR(D88)+17)&gt;=YEAR(E88)+N88,0,IF((YEAR(D88)+17)=YEAR(E88),(12-MONTH(E88)+1)/12,1))))))))*TaxRate,0))-IF(17=0,O88,0))</f>
        <v/>
      </c>
      <c r="AK88" s="29">
        <f>IF(A88="","",((K88)*(IF(M88="",L88,IFERROR(IF(INDEX(Variablen!$I:$AT, MATCH(M88, Variablen!$A:$A, 0), MATCH((YEAR(D88)+18), Variablen!$I$3:$AT$3, 0))="",L88,INDEX(Variablen!$I:$AT, MATCH(M88, Variablen!$A:$A, 0), MATCH((YEAR(D88)+18), Variablen!$I$3:$AT$3, 0))),L88)))*(IF((YEAR(D88)+18)&lt;YEAR(E88),0,IF((YEAR(D88)+18)&gt;YEAR(E88),1,(12-MONTH(E88)+1)/12))) + (Q88)*(IF((YEAR(D88)+18)&lt;YEAR(E88),0,IF((YEAR(D88)+18)&gt;YEAR(E88),1,(12-MONTH(E88)+1)/12))))-((P88)*(IF((YEAR(D88)+18)&lt;YEAR(E88),0,IF((YEAR(D88)+18)&gt;YEAR(E88),1,(12-MONTH(E88)+1)/12))) + (R88)*(IF((YEAR(D88)+18)&lt;YEAR(E88),0,IF((YEAR(D88)+18)&gt;YEAR(E88),1,(12-MONTH(E88)+1)/12))))-(IF((((K88)*(IF(M88="",L88,IFERROR(IF(INDEX(Variablen!$I:$AT, MATCH(M88, Variablen!$A:$A, 0), MATCH((YEAR(D88)+18), Variablen!$I$3:$AT$3, 0))="",L88,INDEX(Variablen!$I:$AT, MATCH(M88, Variablen!$A:$A, 0), MATCH((YEAR(D88)+18), Variablen!$I$3:$AT$3, 0))),L88)))*(IF((YEAR(D88)+18)&lt;YEAR(E88),0,IF((YEAR(D88)+18)&gt;YEAR(E88),1,(12-MONTH(E88)+1)/12))) + (Q88)*(IF((YEAR(D88)+18)&lt;YEAR(E88),0,IF((YEAR(D88)+18)&gt;YEAR(E88),1,(12-MONTH(E88)+1)/12))))-((P88)*(IF((YEAR(D88)+18)&lt;YEAR(E88),0,IF((YEAR(D88)+18)&gt;YEAR(E88),1,(12-MONTH(E88)+1)/12))) + (R88)*(IF((YEAR(D88)+18)&lt;YEAR(E88),0,IF((YEAR(D88)+18)&gt;YEAR(E88),1,(12-MONTH(E88)+1)/12))))-(IF(OR(N88="",N88&lt;=0),0,(O88/N88)*(IF(OR(N88="",N88&lt;=0),0,IF((YEAR(D88)+18)&lt;YEAR(E88),0,IF((YEAR(D88)+18)&gt;=YEAR(E88)+N88,0,IF((YEAR(D88)+18)=YEAR(E88),(12-MONTH(E88)+1)/12,1))))))))&gt;0,(((K88)*(IF(M88="",L88,IFERROR(IF(INDEX(Variablen!$I:$AT, MATCH(M88, Variablen!$A:$A, 0), MATCH((YEAR(D88)+18), Variablen!$I$3:$AT$3, 0))="",L88,INDEX(Variablen!$I:$AT, MATCH(M88, Variablen!$A:$A, 0), MATCH((YEAR(D88)+18), Variablen!$I$3:$AT$3, 0))),L88)))*(IF((YEAR(D88)+18)&lt;YEAR(E88),0,IF((YEAR(D88)+18)&gt;YEAR(E88),1,(12-MONTH(E88)+1)/12))) + (Q88)*(IF((YEAR(D88)+18)&lt;YEAR(E88),0,IF((YEAR(D88)+18)&gt;YEAR(E88),1,(12-MONTH(E88)+1)/12))))-((P88)*(IF((YEAR(D88)+18)&lt;YEAR(E88),0,IF((YEAR(D88)+18)&gt;YEAR(E88),1,(12-MONTH(E88)+1)/12))) + (R88)*(IF((YEAR(D88)+18)&lt;YEAR(E88),0,IF((YEAR(D88)+18)&gt;YEAR(E88),1,(12-MONTH(E88)+1)/12))))-(IF(OR(N88="",N88&lt;=0),0,(O88/N88)*(IF(OR(N88="",N88&lt;=0),0,IF((YEAR(D88)+18)&lt;YEAR(E88),0,IF((YEAR(D88)+18)&gt;=YEAR(E88)+N88,0,IF((YEAR(D88)+18)=YEAR(E88),(12-MONTH(E88)+1)/12,1))))))))*TaxRate,0))-IF(18=0,O88,0))</f>
        <v/>
      </c>
      <c r="AL88" s="29">
        <f>IF(A88="","",((K88)*(IF(M88="",L88,IFERROR(IF(INDEX(Variablen!$I:$AT, MATCH(M88, Variablen!$A:$A, 0), MATCH((YEAR(D88)+19), Variablen!$I$3:$AT$3, 0))="",L88,INDEX(Variablen!$I:$AT, MATCH(M88, Variablen!$A:$A, 0), MATCH((YEAR(D88)+19), Variablen!$I$3:$AT$3, 0))),L88)))*(IF((YEAR(D88)+19)&lt;YEAR(E88),0,IF((YEAR(D88)+19)&gt;YEAR(E88),1,(12-MONTH(E88)+1)/12))) + (Q88)*(IF((YEAR(D88)+19)&lt;YEAR(E88),0,IF((YEAR(D88)+19)&gt;YEAR(E88),1,(12-MONTH(E88)+1)/12))))-((P88)*(IF((YEAR(D88)+19)&lt;YEAR(E88),0,IF((YEAR(D88)+19)&gt;YEAR(E88),1,(12-MONTH(E88)+1)/12))) + (R88)*(IF((YEAR(D88)+19)&lt;YEAR(E88),0,IF((YEAR(D88)+19)&gt;YEAR(E88),1,(12-MONTH(E88)+1)/12))))-(IF((((K88)*(IF(M88="",L88,IFERROR(IF(INDEX(Variablen!$I:$AT, MATCH(M88, Variablen!$A:$A, 0), MATCH((YEAR(D88)+19), Variablen!$I$3:$AT$3, 0))="",L88,INDEX(Variablen!$I:$AT, MATCH(M88, Variablen!$A:$A, 0), MATCH((YEAR(D88)+19), Variablen!$I$3:$AT$3, 0))),L88)))*(IF((YEAR(D88)+19)&lt;YEAR(E88),0,IF((YEAR(D88)+19)&gt;YEAR(E88),1,(12-MONTH(E88)+1)/12))) + (Q88)*(IF((YEAR(D88)+19)&lt;YEAR(E88),0,IF((YEAR(D88)+19)&gt;YEAR(E88),1,(12-MONTH(E88)+1)/12))))-((P88)*(IF((YEAR(D88)+19)&lt;YEAR(E88),0,IF((YEAR(D88)+19)&gt;YEAR(E88),1,(12-MONTH(E88)+1)/12))) + (R88)*(IF((YEAR(D88)+19)&lt;YEAR(E88),0,IF((YEAR(D88)+19)&gt;YEAR(E88),1,(12-MONTH(E88)+1)/12))))-(IF(OR(N88="",N88&lt;=0),0,(O88/N88)*(IF(OR(N88="",N88&lt;=0),0,IF((YEAR(D88)+19)&lt;YEAR(E88),0,IF((YEAR(D88)+19)&gt;=YEAR(E88)+N88,0,IF((YEAR(D88)+19)=YEAR(E88),(12-MONTH(E88)+1)/12,1))))))))&gt;0,(((K88)*(IF(M88="",L88,IFERROR(IF(INDEX(Variablen!$I:$AT, MATCH(M88, Variablen!$A:$A, 0), MATCH((YEAR(D88)+19), Variablen!$I$3:$AT$3, 0))="",L88,INDEX(Variablen!$I:$AT, MATCH(M88, Variablen!$A:$A, 0), MATCH((YEAR(D88)+19), Variablen!$I$3:$AT$3, 0))),L88)))*(IF((YEAR(D88)+19)&lt;YEAR(E88),0,IF((YEAR(D88)+19)&gt;YEAR(E88),1,(12-MONTH(E88)+1)/12))) + (Q88)*(IF((YEAR(D88)+19)&lt;YEAR(E88),0,IF((YEAR(D88)+19)&gt;YEAR(E88),1,(12-MONTH(E88)+1)/12))))-((P88)*(IF((YEAR(D88)+19)&lt;YEAR(E88),0,IF((YEAR(D88)+19)&gt;YEAR(E88),1,(12-MONTH(E88)+1)/12))) + (R88)*(IF((YEAR(D88)+19)&lt;YEAR(E88),0,IF((YEAR(D88)+19)&gt;YEAR(E88),1,(12-MONTH(E88)+1)/12))))-(IF(OR(N88="",N88&lt;=0),0,(O88/N88)*(IF(OR(N88="",N88&lt;=0),0,IF((YEAR(D88)+19)&lt;YEAR(E88),0,IF((YEAR(D88)+19)&gt;=YEAR(E88)+N88,0,IF((YEAR(D88)+19)=YEAR(E88),(12-MONTH(E88)+1)/12,1))))))))*TaxRate,0))-IF(19=0,O88,0))</f>
        <v/>
      </c>
      <c r="AM88" s="29">
        <f>IF(A88="","",((K88)*(IF(M88="",L88,IFERROR(IF(INDEX(Variablen!$I:$AT, MATCH(M88, Variablen!$A:$A, 0), MATCH((YEAR(D88)+20), Variablen!$I$3:$AT$3, 0))="",L88,INDEX(Variablen!$I:$AT, MATCH(M88, Variablen!$A:$A, 0), MATCH((YEAR(D88)+20), Variablen!$I$3:$AT$3, 0))),L88)))*(IF((YEAR(D88)+20)&lt;YEAR(E88),0,IF((YEAR(D88)+20)&gt;YEAR(E88),1,(12-MONTH(E88)+1)/12))) + (Q88)*(IF((YEAR(D88)+20)&lt;YEAR(E88),0,IF((YEAR(D88)+20)&gt;YEAR(E88),1,(12-MONTH(E88)+1)/12))))-((P88)*(IF((YEAR(D88)+20)&lt;YEAR(E88),0,IF((YEAR(D88)+20)&gt;YEAR(E88),1,(12-MONTH(E88)+1)/12))) + (R88)*(IF((YEAR(D88)+20)&lt;YEAR(E88),0,IF((YEAR(D88)+20)&gt;YEAR(E88),1,(12-MONTH(E88)+1)/12))))-(IF((((K88)*(IF(M88="",L88,IFERROR(IF(INDEX(Variablen!$I:$AT, MATCH(M88, Variablen!$A:$A, 0), MATCH((YEAR(D88)+20), Variablen!$I$3:$AT$3, 0))="",L88,INDEX(Variablen!$I:$AT, MATCH(M88, Variablen!$A:$A, 0), MATCH((YEAR(D88)+20), Variablen!$I$3:$AT$3, 0))),L88)))*(IF((YEAR(D88)+20)&lt;YEAR(E88),0,IF((YEAR(D88)+20)&gt;YEAR(E88),1,(12-MONTH(E88)+1)/12))) + (Q88)*(IF((YEAR(D88)+20)&lt;YEAR(E88),0,IF((YEAR(D88)+20)&gt;YEAR(E88),1,(12-MONTH(E88)+1)/12))))-((P88)*(IF((YEAR(D88)+20)&lt;YEAR(E88),0,IF((YEAR(D88)+20)&gt;YEAR(E88),1,(12-MONTH(E88)+1)/12))) + (R88)*(IF((YEAR(D88)+20)&lt;YEAR(E88),0,IF((YEAR(D88)+20)&gt;YEAR(E88),1,(12-MONTH(E88)+1)/12))))-(IF(OR(N88="",N88&lt;=0),0,(O88/N88)*(IF(OR(N88="",N88&lt;=0),0,IF((YEAR(D88)+20)&lt;YEAR(E88),0,IF((YEAR(D88)+20)&gt;=YEAR(E88)+N88,0,IF((YEAR(D88)+20)=YEAR(E88),(12-MONTH(E88)+1)/12,1))))))))&gt;0,(((K88)*(IF(M88="",L88,IFERROR(IF(INDEX(Variablen!$I:$AT, MATCH(M88, Variablen!$A:$A, 0), MATCH((YEAR(D88)+20), Variablen!$I$3:$AT$3, 0))="",L88,INDEX(Variablen!$I:$AT, MATCH(M88, Variablen!$A:$A, 0), MATCH((YEAR(D88)+20), Variablen!$I$3:$AT$3, 0))),L88)))*(IF((YEAR(D88)+20)&lt;YEAR(E88),0,IF((YEAR(D88)+20)&gt;YEAR(E88),1,(12-MONTH(E88)+1)/12))) + (Q88)*(IF((YEAR(D88)+20)&lt;YEAR(E88),0,IF((YEAR(D88)+20)&gt;YEAR(E88),1,(12-MONTH(E88)+1)/12))))-((P88)*(IF((YEAR(D88)+20)&lt;YEAR(E88),0,IF((YEAR(D88)+20)&gt;YEAR(E88),1,(12-MONTH(E88)+1)/12))) + (R88)*(IF((YEAR(D88)+20)&lt;YEAR(E88),0,IF((YEAR(D88)+20)&gt;YEAR(E88),1,(12-MONTH(E88)+1)/12))))-(IF(OR(N88="",N88&lt;=0),0,(O88/N88)*(IF(OR(N88="",N88&lt;=0),0,IF((YEAR(D88)+20)&lt;YEAR(E88),0,IF((YEAR(D88)+20)&gt;=YEAR(E88)+N88,0,IF((YEAR(D88)+20)=YEAR(E88),(12-MONTH(E88)+1)/12,1))))))))*TaxRate,0))-IF(20=0,O88,0))</f>
        <v/>
      </c>
      <c r="AN88" s="29">
        <f>IF(A88="","",S88)</f>
        <v/>
      </c>
      <c r="AO88" s="29">
        <f>IF(A88="","",AN88+T88)</f>
        <v/>
      </c>
      <c r="AP88" s="29">
        <f>IF(A88="","",AO88+U88)</f>
        <v/>
      </c>
      <c r="AQ88" s="29">
        <f>IF(A88="","",AP88+V88)</f>
        <v/>
      </c>
      <c r="AR88" s="29">
        <f>IF(A88="","",AQ88+W88)</f>
        <v/>
      </c>
      <c r="AS88" s="29">
        <f>IF(A88="","",AR88+X88)</f>
        <v/>
      </c>
      <c r="AT88" s="29">
        <f>IF(A88="","",AS88+Y88)</f>
        <v/>
      </c>
      <c r="AU88" s="29">
        <f>IF(A88="","",AT88+Z88)</f>
        <v/>
      </c>
      <c r="AV88" s="29">
        <f>IF(A88="","",AU88+AA88)</f>
        <v/>
      </c>
      <c r="AW88" s="29">
        <f>IF(A88="","",AV88+AB88)</f>
        <v/>
      </c>
      <c r="AX88" s="29">
        <f>IF(A88="","",AW88+AC88)</f>
        <v/>
      </c>
      <c r="AY88" s="29">
        <f>IF(A88="","",AX88+AD88)</f>
        <v/>
      </c>
      <c r="AZ88" s="29">
        <f>IF(A88="","",AY88+AE88)</f>
        <v/>
      </c>
      <c r="BA88" s="29">
        <f>IF(A88="","",AZ88+AF88)</f>
        <v/>
      </c>
      <c r="BB88" s="29">
        <f>IF(A88="","",BA88+AG88)</f>
        <v/>
      </c>
      <c r="BC88" s="29">
        <f>IF(A88="","",BB88+AH88)</f>
        <v/>
      </c>
      <c r="BD88" s="29">
        <f>IF(A88="","",BC88+AI88)</f>
        <v/>
      </c>
      <c r="BE88" s="29">
        <f>IF(A88="","",BD88+AJ88)</f>
        <v/>
      </c>
      <c r="BF88" s="29">
        <f>IF(A88="","",BE88+AK88)</f>
        <v/>
      </c>
      <c r="BG88" s="29">
        <f>IF(A88="","",BF88+AL88)</f>
        <v/>
      </c>
      <c r="BH88" s="29">
        <f>IF(A88="","",BG88+AM88)</f>
        <v/>
      </c>
      <c r="BI88" s="36">
        <f>IF(A88="","",(K88)*(IF((YEAR(D88)+0)&lt;YEAR(E88),0,IF((YEAR(D88)+0)&gt;YEAR(E88),1,(12-MONTH(E88)+1)/12)))*(1/(1+DiscountRate)^0))</f>
        <v/>
      </c>
      <c r="BJ88" s="36">
        <f>IF(A88="","",(K88)*(IF((YEAR(D88)+1)&lt;YEAR(E88),0,IF((YEAR(D88)+1)&gt;YEAR(E88),1,(12-MONTH(E88)+1)/12)))*(1/(1+DiscountRate)^1))</f>
        <v/>
      </c>
      <c r="BK88" s="36">
        <f>IF(A88="","",(K88)*(IF((YEAR(D88)+2)&lt;YEAR(E88),0,IF((YEAR(D88)+2)&gt;YEAR(E88),1,(12-MONTH(E88)+1)/12)))*(1/(1+DiscountRate)^2))</f>
        <v/>
      </c>
      <c r="BL88" s="36">
        <f>IF(A88="","",(K88)*(IF((YEAR(D88)+3)&lt;YEAR(E88),0,IF((YEAR(D88)+3)&gt;YEAR(E88),1,(12-MONTH(E88)+1)/12)))*(1/(1+DiscountRate)^3))</f>
        <v/>
      </c>
      <c r="BM88" s="36">
        <f>IF(A88="","",(K88)*(IF((YEAR(D88)+4)&lt;YEAR(E88),0,IF((YEAR(D88)+4)&gt;YEAR(E88),1,(12-MONTH(E88)+1)/12)))*(1/(1+DiscountRate)^4))</f>
        <v/>
      </c>
      <c r="BN88" s="36">
        <f>IF(A88="","",(K88)*(IF((YEAR(D88)+5)&lt;YEAR(E88),0,IF((YEAR(D88)+5)&gt;YEAR(E88),1,(12-MONTH(E88)+1)/12)))*(1/(1+DiscountRate)^5))</f>
        <v/>
      </c>
      <c r="BO88" s="36">
        <f>IF(A88="","",(K88)*(IF((YEAR(D88)+6)&lt;YEAR(E88),0,IF((YEAR(D88)+6)&gt;YEAR(E88),1,(12-MONTH(E88)+1)/12)))*(1/(1+DiscountRate)^6))</f>
        <v/>
      </c>
      <c r="BP88" s="36">
        <f>IF(A88="","",(K88)*(IF((YEAR(D88)+7)&lt;YEAR(E88),0,IF((YEAR(D88)+7)&gt;YEAR(E88),1,(12-MONTH(E88)+1)/12)))*(1/(1+DiscountRate)^7))</f>
        <v/>
      </c>
      <c r="BQ88" s="36">
        <f>IF(A88="","",(K88)*(IF((YEAR(D88)+8)&lt;YEAR(E88),0,IF((YEAR(D88)+8)&gt;YEAR(E88),1,(12-MONTH(E88)+1)/12)))*(1/(1+DiscountRate)^8))</f>
        <v/>
      </c>
      <c r="BR88" s="36">
        <f>IF(A88="","",(K88)*(IF((YEAR(D88)+9)&lt;YEAR(E88),0,IF((YEAR(D88)+9)&gt;YEAR(E88),1,(12-MONTH(E88)+1)/12)))*(1/(1+DiscountRate)^9))</f>
        <v/>
      </c>
      <c r="BS88" s="36">
        <f>IF(A88="","",(K88)*(IF((YEAR(D88)+10)&lt;YEAR(E88),0,IF((YEAR(D88)+10)&gt;YEAR(E88),1,(12-MONTH(E88)+1)/12)))*(1/(1+DiscountRate)^10))</f>
        <v/>
      </c>
      <c r="BT88" s="36">
        <f>IF(A88="","",(K88)*(IF((YEAR(D88)+11)&lt;YEAR(E88),0,IF((YEAR(D88)+11)&gt;YEAR(E88),1,(12-MONTH(E88)+1)/12)))*(1/(1+DiscountRate)^11))</f>
        <v/>
      </c>
      <c r="BU88" s="36">
        <f>IF(A88="","",(K88)*(IF((YEAR(D88)+12)&lt;YEAR(E88),0,IF((YEAR(D88)+12)&gt;YEAR(E88),1,(12-MONTH(E88)+1)/12)))*(1/(1+DiscountRate)^12))</f>
        <v/>
      </c>
      <c r="BV88" s="36">
        <f>IF(A88="","",(K88)*(IF((YEAR(D88)+13)&lt;YEAR(E88),0,IF((YEAR(D88)+13)&gt;YEAR(E88),1,(12-MONTH(E88)+1)/12)))*(1/(1+DiscountRate)^13))</f>
        <v/>
      </c>
      <c r="BW88" s="36">
        <f>IF(A88="","",(K88)*(IF((YEAR(D88)+14)&lt;YEAR(E88),0,IF((YEAR(D88)+14)&gt;YEAR(E88),1,(12-MONTH(E88)+1)/12)))*(1/(1+DiscountRate)^14))</f>
        <v/>
      </c>
      <c r="BX88" s="36">
        <f>IF(A88="","",(K88)*(IF((YEAR(D88)+15)&lt;YEAR(E88),0,IF((YEAR(D88)+15)&gt;YEAR(E88),1,(12-MONTH(E88)+1)/12)))*(1/(1+DiscountRate)^15))</f>
        <v/>
      </c>
      <c r="BY88" s="36">
        <f>IF(A88="","",(K88)*(IF((YEAR(D88)+16)&lt;YEAR(E88),0,IF((YEAR(D88)+16)&gt;YEAR(E88),1,(12-MONTH(E88)+1)/12)))*(1/(1+DiscountRate)^16))</f>
        <v/>
      </c>
      <c r="BZ88" s="36">
        <f>IF(A88="","",(K88)*(IF((YEAR(D88)+17)&lt;YEAR(E88),0,IF((YEAR(D88)+17)&gt;YEAR(E88),1,(12-MONTH(E88)+1)/12)))*(1/(1+DiscountRate)^17))</f>
        <v/>
      </c>
      <c r="CA88" s="36">
        <f>IF(A88="","",(K88)*(IF((YEAR(D88)+18)&lt;YEAR(E88),0,IF((YEAR(D88)+18)&gt;YEAR(E88),1,(12-MONTH(E88)+1)/12)))*(1/(1+DiscountRate)^18))</f>
        <v/>
      </c>
      <c r="CB88" s="36">
        <f>IF(A88="","",(K88)*(IF((YEAR(D88)+19)&lt;YEAR(E88),0,IF((YEAR(D88)+19)&gt;YEAR(E88),1,(12-MONTH(E88)+1)/12)))*(1/(1+DiscountRate)^19))</f>
        <v/>
      </c>
      <c r="CC88" s="36">
        <f>IF(A88="","",(K88)*(IF((YEAR(D88)+20)&lt;YEAR(E88),0,IF((YEAR(D88)+20)&gt;YEAR(E88),1,(12-MONTH(E88)+1)/12)))*(1/(1+DiscountRate)^20))</f>
        <v/>
      </c>
      <c r="CD88" s="29">
        <f>IF(A88="","",S88/(1+DiscountRate)^0+T88/(1+DiscountRate)^1+U88/(1+DiscountRate)^2+V88/(1+DiscountRate)^3+W88/(1+DiscountRate)^4+X88/(1+DiscountRate)^5+Y88/(1+DiscountRate)^6+Z88/(1+DiscountRate)^7+AA88/(1+DiscountRate)^8+AB88/(1+DiscountRate)^9+AC88/(1+DiscountRate)^10+AD88/(1+DiscountRate)^11+AE88/(1+DiscountRate)^12+AF88/(1+DiscountRate)^13+AG88/(1+DiscountRate)^14+AH88/(1+DiscountRate)^15+AI88/(1+DiscountRate)^16+AJ88/(1+DiscountRate)^17+AK88/(1+DiscountRate)^18+AL88/(1+DiscountRate)^19+AM88/(1+DiscountRate)^20)</f>
        <v/>
      </c>
      <c r="CE88" s="37">
        <f>IF(A88="","",IFERROR(IRR(OFFSET(S88,0,0,1,MIN(HorizonYears,20)+1)),"n/a"))</f>
        <v/>
      </c>
      <c r="CF88" s="28">
        <f>IF(A88="","",IFERROR(MATCH(TRUE,OFFSET(AN88,0,0,1,MIN(HorizonYears,20)+1)&gt;=0,0)-1,"n/a"))</f>
        <v/>
      </c>
      <c r="CG88" s="36">
        <f>IF(A88="","",SUM(OFFSET(BI88,0,0,1,MIN(HorizonYears,20)+1)))</f>
        <v/>
      </c>
      <c r="CH88" s="36">
        <f>IF(A88="","",IFERROR(-CD88/CG88,"n/a"))</f>
        <v/>
      </c>
    </row>
    <row r="89">
      <c r="A89" s="6">
        <f>Actions!A87</f>
        <v/>
      </c>
      <c r="B89" s="6">
        <f>Actions!B87</f>
        <v/>
      </c>
      <c r="C89" s="6">
        <f>Actions!D87</f>
        <v/>
      </c>
      <c r="D89" s="35">
        <f>Actions!E87</f>
        <v/>
      </c>
      <c r="E89" s="35">
        <f>Actions!F87</f>
        <v/>
      </c>
      <c r="F89" s="6">
        <f>Actions!G87</f>
        <v/>
      </c>
      <c r="G89" s="6">
        <f>Actions!H87</f>
        <v/>
      </c>
      <c r="H89" s="29">
        <f>Actions!I87</f>
        <v/>
      </c>
      <c r="I89" s="6">
        <f>Actions!J87</f>
        <v/>
      </c>
      <c r="J89" s="16">
        <f>Actions!K87</f>
        <v/>
      </c>
      <c r="K89" s="16">
        <f>IF(A89="","",IF(I89="%",H89*J89,J89))</f>
        <v/>
      </c>
      <c r="L89" s="16">
        <f>Actions!L87</f>
        <v/>
      </c>
      <c r="M89" s="6">
        <f>Actions!M87</f>
        <v/>
      </c>
      <c r="N89" s="28">
        <f>Actions!N87</f>
        <v/>
      </c>
      <c r="O89" s="29">
        <f>Actions!T87</f>
        <v/>
      </c>
      <c r="P89" s="29">
        <f>Actions!Y87</f>
        <v/>
      </c>
      <c r="Q89" s="29">
        <f>Actions!Z87</f>
        <v/>
      </c>
      <c r="R89" s="29">
        <f>Actions!AA87</f>
        <v/>
      </c>
      <c r="S89" s="29">
        <f>IF(A89="","",((K89)*(IF(M89="",L89,IFERROR(IF(INDEX(Variablen!$I:$AT, MATCH(M89, Variablen!$A:$A, 0), MATCH((YEAR(D89)+0), Variablen!$I$3:$AT$3, 0))="",L89,INDEX(Variablen!$I:$AT, MATCH(M89, Variablen!$A:$A, 0), MATCH((YEAR(D89)+0), Variablen!$I$3:$AT$3, 0))),L89)))*(IF((YEAR(D89)+0)&lt;YEAR(E89),0,IF((YEAR(D89)+0)&gt;YEAR(E89),1,(12-MONTH(E89)+1)/12))) + (Q89)*(IF((YEAR(D89)+0)&lt;YEAR(E89),0,IF((YEAR(D89)+0)&gt;YEAR(E89),1,(12-MONTH(E89)+1)/12))))-((P89)*(IF((YEAR(D89)+0)&lt;YEAR(E89),0,IF((YEAR(D89)+0)&gt;YEAR(E89),1,(12-MONTH(E89)+1)/12))) + (R89)*(IF((YEAR(D89)+0)&lt;YEAR(E89),0,IF((YEAR(D89)+0)&gt;YEAR(E89),1,(12-MONTH(E89)+1)/12))))-(IF((((K89)*(IF(M89="",L89,IFERROR(IF(INDEX(Variablen!$I:$AT, MATCH(M89, Variablen!$A:$A, 0), MATCH((YEAR(D89)+0), Variablen!$I$3:$AT$3, 0))="",L89,INDEX(Variablen!$I:$AT, MATCH(M89, Variablen!$A:$A, 0), MATCH((YEAR(D89)+0), Variablen!$I$3:$AT$3, 0))),L89)))*(IF((YEAR(D89)+0)&lt;YEAR(E89),0,IF((YEAR(D89)+0)&gt;YEAR(E89),1,(12-MONTH(E89)+1)/12))) + (Q89)*(IF((YEAR(D89)+0)&lt;YEAR(E89),0,IF((YEAR(D89)+0)&gt;YEAR(E89),1,(12-MONTH(E89)+1)/12))))-((P89)*(IF((YEAR(D89)+0)&lt;YEAR(E89),0,IF((YEAR(D89)+0)&gt;YEAR(E89),1,(12-MONTH(E89)+1)/12))) + (R89)*(IF((YEAR(D89)+0)&lt;YEAR(E89),0,IF((YEAR(D89)+0)&gt;YEAR(E89),1,(12-MONTH(E89)+1)/12))))-(IF(OR(N89="",N89&lt;=0),0,(O89/N89)*(IF(OR(N89="",N89&lt;=0),0,IF((YEAR(D89)+0)&lt;YEAR(E89),0,IF((YEAR(D89)+0)&gt;=YEAR(E89)+N89,0,IF((YEAR(D89)+0)=YEAR(E89),(12-MONTH(E89)+1)/12,1))))))))&gt;0,(((K89)*(IF(M89="",L89,IFERROR(IF(INDEX(Variablen!$I:$AT, MATCH(M89, Variablen!$A:$A, 0), MATCH((YEAR(D89)+0), Variablen!$I$3:$AT$3, 0))="",L89,INDEX(Variablen!$I:$AT, MATCH(M89, Variablen!$A:$A, 0), MATCH((YEAR(D89)+0), Variablen!$I$3:$AT$3, 0))),L89)))*(IF((YEAR(D89)+0)&lt;YEAR(E89),0,IF((YEAR(D89)+0)&gt;YEAR(E89),1,(12-MONTH(E89)+1)/12))) + (Q89)*(IF((YEAR(D89)+0)&lt;YEAR(E89),0,IF((YEAR(D89)+0)&gt;YEAR(E89),1,(12-MONTH(E89)+1)/12))))-((P89)*(IF((YEAR(D89)+0)&lt;YEAR(E89),0,IF((YEAR(D89)+0)&gt;YEAR(E89),1,(12-MONTH(E89)+1)/12))) + (R89)*(IF((YEAR(D89)+0)&lt;YEAR(E89),0,IF((YEAR(D89)+0)&gt;YEAR(E89),1,(12-MONTH(E89)+1)/12))))-(IF(OR(N89="",N89&lt;=0),0,(O89/N89)*(IF(OR(N89="",N89&lt;=0),0,IF((YEAR(D89)+0)&lt;YEAR(E89),0,IF((YEAR(D89)+0)&gt;=YEAR(E89)+N89,0,IF((YEAR(D89)+0)=YEAR(E89),(12-MONTH(E89)+1)/12,1))))))))*TaxRate,0))-IF(0=0,O89,0))</f>
        <v/>
      </c>
      <c r="T89" s="29">
        <f>IF(A89="","",((K89)*(IF(M89="",L89,IFERROR(IF(INDEX(Variablen!$I:$AT, MATCH(M89, Variablen!$A:$A, 0), MATCH((YEAR(D89)+1), Variablen!$I$3:$AT$3, 0))="",L89,INDEX(Variablen!$I:$AT, MATCH(M89, Variablen!$A:$A, 0), MATCH((YEAR(D89)+1), Variablen!$I$3:$AT$3, 0))),L89)))*(IF((YEAR(D89)+1)&lt;YEAR(E89),0,IF((YEAR(D89)+1)&gt;YEAR(E89),1,(12-MONTH(E89)+1)/12))) + (Q89)*(IF((YEAR(D89)+1)&lt;YEAR(E89),0,IF((YEAR(D89)+1)&gt;YEAR(E89),1,(12-MONTH(E89)+1)/12))))-((P89)*(IF((YEAR(D89)+1)&lt;YEAR(E89),0,IF((YEAR(D89)+1)&gt;YEAR(E89),1,(12-MONTH(E89)+1)/12))) + (R89)*(IF((YEAR(D89)+1)&lt;YEAR(E89),0,IF((YEAR(D89)+1)&gt;YEAR(E89),1,(12-MONTH(E89)+1)/12))))-(IF((((K89)*(IF(M89="",L89,IFERROR(IF(INDEX(Variablen!$I:$AT, MATCH(M89, Variablen!$A:$A, 0), MATCH((YEAR(D89)+1), Variablen!$I$3:$AT$3, 0))="",L89,INDEX(Variablen!$I:$AT, MATCH(M89, Variablen!$A:$A, 0), MATCH((YEAR(D89)+1), Variablen!$I$3:$AT$3, 0))),L89)))*(IF((YEAR(D89)+1)&lt;YEAR(E89),0,IF((YEAR(D89)+1)&gt;YEAR(E89),1,(12-MONTH(E89)+1)/12))) + (Q89)*(IF((YEAR(D89)+1)&lt;YEAR(E89),0,IF((YEAR(D89)+1)&gt;YEAR(E89),1,(12-MONTH(E89)+1)/12))))-((P89)*(IF((YEAR(D89)+1)&lt;YEAR(E89),0,IF((YEAR(D89)+1)&gt;YEAR(E89),1,(12-MONTH(E89)+1)/12))) + (R89)*(IF((YEAR(D89)+1)&lt;YEAR(E89),0,IF((YEAR(D89)+1)&gt;YEAR(E89),1,(12-MONTH(E89)+1)/12))))-(IF(OR(N89="",N89&lt;=0),0,(O89/N89)*(IF(OR(N89="",N89&lt;=0),0,IF((YEAR(D89)+1)&lt;YEAR(E89),0,IF((YEAR(D89)+1)&gt;=YEAR(E89)+N89,0,IF((YEAR(D89)+1)=YEAR(E89),(12-MONTH(E89)+1)/12,1))))))))&gt;0,(((K89)*(IF(M89="",L89,IFERROR(IF(INDEX(Variablen!$I:$AT, MATCH(M89, Variablen!$A:$A, 0), MATCH((YEAR(D89)+1), Variablen!$I$3:$AT$3, 0))="",L89,INDEX(Variablen!$I:$AT, MATCH(M89, Variablen!$A:$A, 0), MATCH((YEAR(D89)+1), Variablen!$I$3:$AT$3, 0))),L89)))*(IF((YEAR(D89)+1)&lt;YEAR(E89),0,IF((YEAR(D89)+1)&gt;YEAR(E89),1,(12-MONTH(E89)+1)/12))) + (Q89)*(IF((YEAR(D89)+1)&lt;YEAR(E89),0,IF((YEAR(D89)+1)&gt;YEAR(E89),1,(12-MONTH(E89)+1)/12))))-((P89)*(IF((YEAR(D89)+1)&lt;YEAR(E89),0,IF((YEAR(D89)+1)&gt;YEAR(E89),1,(12-MONTH(E89)+1)/12))) + (R89)*(IF((YEAR(D89)+1)&lt;YEAR(E89),0,IF((YEAR(D89)+1)&gt;YEAR(E89),1,(12-MONTH(E89)+1)/12))))-(IF(OR(N89="",N89&lt;=0),0,(O89/N89)*(IF(OR(N89="",N89&lt;=0),0,IF((YEAR(D89)+1)&lt;YEAR(E89),0,IF((YEAR(D89)+1)&gt;=YEAR(E89)+N89,0,IF((YEAR(D89)+1)=YEAR(E89),(12-MONTH(E89)+1)/12,1))))))))*TaxRate,0))-IF(1=0,O89,0))</f>
        <v/>
      </c>
      <c r="U89" s="29">
        <f>IF(A89="","",((K89)*(IF(M89="",L89,IFERROR(IF(INDEX(Variablen!$I:$AT, MATCH(M89, Variablen!$A:$A, 0), MATCH((YEAR(D89)+2), Variablen!$I$3:$AT$3, 0))="",L89,INDEX(Variablen!$I:$AT, MATCH(M89, Variablen!$A:$A, 0), MATCH((YEAR(D89)+2), Variablen!$I$3:$AT$3, 0))),L89)))*(IF((YEAR(D89)+2)&lt;YEAR(E89),0,IF((YEAR(D89)+2)&gt;YEAR(E89),1,(12-MONTH(E89)+1)/12))) + (Q89)*(IF((YEAR(D89)+2)&lt;YEAR(E89),0,IF((YEAR(D89)+2)&gt;YEAR(E89),1,(12-MONTH(E89)+1)/12))))-((P89)*(IF((YEAR(D89)+2)&lt;YEAR(E89),0,IF((YEAR(D89)+2)&gt;YEAR(E89),1,(12-MONTH(E89)+1)/12))) + (R89)*(IF((YEAR(D89)+2)&lt;YEAR(E89),0,IF((YEAR(D89)+2)&gt;YEAR(E89),1,(12-MONTH(E89)+1)/12))))-(IF((((K89)*(IF(M89="",L89,IFERROR(IF(INDEX(Variablen!$I:$AT, MATCH(M89, Variablen!$A:$A, 0), MATCH((YEAR(D89)+2), Variablen!$I$3:$AT$3, 0))="",L89,INDEX(Variablen!$I:$AT, MATCH(M89, Variablen!$A:$A, 0), MATCH((YEAR(D89)+2), Variablen!$I$3:$AT$3, 0))),L89)))*(IF((YEAR(D89)+2)&lt;YEAR(E89),0,IF((YEAR(D89)+2)&gt;YEAR(E89),1,(12-MONTH(E89)+1)/12))) + (Q89)*(IF((YEAR(D89)+2)&lt;YEAR(E89),0,IF((YEAR(D89)+2)&gt;YEAR(E89),1,(12-MONTH(E89)+1)/12))))-((P89)*(IF((YEAR(D89)+2)&lt;YEAR(E89),0,IF((YEAR(D89)+2)&gt;YEAR(E89),1,(12-MONTH(E89)+1)/12))) + (R89)*(IF((YEAR(D89)+2)&lt;YEAR(E89),0,IF((YEAR(D89)+2)&gt;YEAR(E89),1,(12-MONTH(E89)+1)/12))))-(IF(OR(N89="",N89&lt;=0),0,(O89/N89)*(IF(OR(N89="",N89&lt;=0),0,IF((YEAR(D89)+2)&lt;YEAR(E89),0,IF((YEAR(D89)+2)&gt;=YEAR(E89)+N89,0,IF((YEAR(D89)+2)=YEAR(E89),(12-MONTH(E89)+1)/12,1))))))))&gt;0,(((K89)*(IF(M89="",L89,IFERROR(IF(INDEX(Variablen!$I:$AT, MATCH(M89, Variablen!$A:$A, 0), MATCH((YEAR(D89)+2), Variablen!$I$3:$AT$3, 0))="",L89,INDEX(Variablen!$I:$AT, MATCH(M89, Variablen!$A:$A, 0), MATCH((YEAR(D89)+2), Variablen!$I$3:$AT$3, 0))),L89)))*(IF((YEAR(D89)+2)&lt;YEAR(E89),0,IF((YEAR(D89)+2)&gt;YEAR(E89),1,(12-MONTH(E89)+1)/12))) + (Q89)*(IF((YEAR(D89)+2)&lt;YEAR(E89),0,IF((YEAR(D89)+2)&gt;YEAR(E89),1,(12-MONTH(E89)+1)/12))))-((P89)*(IF((YEAR(D89)+2)&lt;YEAR(E89),0,IF((YEAR(D89)+2)&gt;YEAR(E89),1,(12-MONTH(E89)+1)/12))) + (R89)*(IF((YEAR(D89)+2)&lt;YEAR(E89),0,IF((YEAR(D89)+2)&gt;YEAR(E89),1,(12-MONTH(E89)+1)/12))))-(IF(OR(N89="",N89&lt;=0),0,(O89/N89)*(IF(OR(N89="",N89&lt;=0),0,IF((YEAR(D89)+2)&lt;YEAR(E89),0,IF((YEAR(D89)+2)&gt;=YEAR(E89)+N89,0,IF((YEAR(D89)+2)=YEAR(E89),(12-MONTH(E89)+1)/12,1))))))))*TaxRate,0))-IF(2=0,O89,0))</f>
        <v/>
      </c>
      <c r="V89" s="29">
        <f>IF(A89="","",((K89)*(IF(M89="",L89,IFERROR(IF(INDEX(Variablen!$I:$AT, MATCH(M89, Variablen!$A:$A, 0), MATCH((YEAR(D89)+3), Variablen!$I$3:$AT$3, 0))="",L89,INDEX(Variablen!$I:$AT, MATCH(M89, Variablen!$A:$A, 0), MATCH((YEAR(D89)+3), Variablen!$I$3:$AT$3, 0))),L89)))*(IF((YEAR(D89)+3)&lt;YEAR(E89),0,IF((YEAR(D89)+3)&gt;YEAR(E89),1,(12-MONTH(E89)+1)/12))) + (Q89)*(IF((YEAR(D89)+3)&lt;YEAR(E89),0,IF((YEAR(D89)+3)&gt;YEAR(E89),1,(12-MONTH(E89)+1)/12))))-((P89)*(IF((YEAR(D89)+3)&lt;YEAR(E89),0,IF((YEAR(D89)+3)&gt;YEAR(E89),1,(12-MONTH(E89)+1)/12))) + (R89)*(IF((YEAR(D89)+3)&lt;YEAR(E89),0,IF((YEAR(D89)+3)&gt;YEAR(E89),1,(12-MONTH(E89)+1)/12))))-(IF((((K89)*(IF(M89="",L89,IFERROR(IF(INDEX(Variablen!$I:$AT, MATCH(M89, Variablen!$A:$A, 0), MATCH((YEAR(D89)+3), Variablen!$I$3:$AT$3, 0))="",L89,INDEX(Variablen!$I:$AT, MATCH(M89, Variablen!$A:$A, 0), MATCH((YEAR(D89)+3), Variablen!$I$3:$AT$3, 0))),L89)))*(IF((YEAR(D89)+3)&lt;YEAR(E89),0,IF((YEAR(D89)+3)&gt;YEAR(E89),1,(12-MONTH(E89)+1)/12))) + (Q89)*(IF((YEAR(D89)+3)&lt;YEAR(E89),0,IF((YEAR(D89)+3)&gt;YEAR(E89),1,(12-MONTH(E89)+1)/12))))-((P89)*(IF((YEAR(D89)+3)&lt;YEAR(E89),0,IF((YEAR(D89)+3)&gt;YEAR(E89),1,(12-MONTH(E89)+1)/12))) + (R89)*(IF((YEAR(D89)+3)&lt;YEAR(E89),0,IF((YEAR(D89)+3)&gt;YEAR(E89),1,(12-MONTH(E89)+1)/12))))-(IF(OR(N89="",N89&lt;=0),0,(O89/N89)*(IF(OR(N89="",N89&lt;=0),0,IF((YEAR(D89)+3)&lt;YEAR(E89),0,IF((YEAR(D89)+3)&gt;=YEAR(E89)+N89,0,IF((YEAR(D89)+3)=YEAR(E89),(12-MONTH(E89)+1)/12,1))))))))&gt;0,(((K89)*(IF(M89="",L89,IFERROR(IF(INDEX(Variablen!$I:$AT, MATCH(M89, Variablen!$A:$A, 0), MATCH((YEAR(D89)+3), Variablen!$I$3:$AT$3, 0))="",L89,INDEX(Variablen!$I:$AT, MATCH(M89, Variablen!$A:$A, 0), MATCH((YEAR(D89)+3), Variablen!$I$3:$AT$3, 0))),L89)))*(IF((YEAR(D89)+3)&lt;YEAR(E89),0,IF((YEAR(D89)+3)&gt;YEAR(E89),1,(12-MONTH(E89)+1)/12))) + (Q89)*(IF((YEAR(D89)+3)&lt;YEAR(E89),0,IF((YEAR(D89)+3)&gt;YEAR(E89),1,(12-MONTH(E89)+1)/12))))-((P89)*(IF((YEAR(D89)+3)&lt;YEAR(E89),0,IF((YEAR(D89)+3)&gt;YEAR(E89),1,(12-MONTH(E89)+1)/12))) + (R89)*(IF((YEAR(D89)+3)&lt;YEAR(E89),0,IF((YEAR(D89)+3)&gt;YEAR(E89),1,(12-MONTH(E89)+1)/12))))-(IF(OR(N89="",N89&lt;=0),0,(O89/N89)*(IF(OR(N89="",N89&lt;=0),0,IF((YEAR(D89)+3)&lt;YEAR(E89),0,IF((YEAR(D89)+3)&gt;=YEAR(E89)+N89,0,IF((YEAR(D89)+3)=YEAR(E89),(12-MONTH(E89)+1)/12,1))))))))*TaxRate,0))-IF(3=0,O89,0))</f>
        <v/>
      </c>
      <c r="W89" s="29">
        <f>IF(A89="","",((K89)*(IF(M89="",L89,IFERROR(IF(INDEX(Variablen!$I:$AT, MATCH(M89, Variablen!$A:$A, 0), MATCH((YEAR(D89)+4), Variablen!$I$3:$AT$3, 0))="",L89,INDEX(Variablen!$I:$AT, MATCH(M89, Variablen!$A:$A, 0), MATCH((YEAR(D89)+4), Variablen!$I$3:$AT$3, 0))),L89)))*(IF((YEAR(D89)+4)&lt;YEAR(E89),0,IF((YEAR(D89)+4)&gt;YEAR(E89),1,(12-MONTH(E89)+1)/12))) + (Q89)*(IF((YEAR(D89)+4)&lt;YEAR(E89),0,IF((YEAR(D89)+4)&gt;YEAR(E89),1,(12-MONTH(E89)+1)/12))))-((P89)*(IF((YEAR(D89)+4)&lt;YEAR(E89),0,IF((YEAR(D89)+4)&gt;YEAR(E89),1,(12-MONTH(E89)+1)/12))) + (R89)*(IF((YEAR(D89)+4)&lt;YEAR(E89),0,IF((YEAR(D89)+4)&gt;YEAR(E89),1,(12-MONTH(E89)+1)/12))))-(IF((((K89)*(IF(M89="",L89,IFERROR(IF(INDEX(Variablen!$I:$AT, MATCH(M89, Variablen!$A:$A, 0), MATCH((YEAR(D89)+4), Variablen!$I$3:$AT$3, 0))="",L89,INDEX(Variablen!$I:$AT, MATCH(M89, Variablen!$A:$A, 0), MATCH((YEAR(D89)+4), Variablen!$I$3:$AT$3, 0))),L89)))*(IF((YEAR(D89)+4)&lt;YEAR(E89),0,IF((YEAR(D89)+4)&gt;YEAR(E89),1,(12-MONTH(E89)+1)/12))) + (Q89)*(IF((YEAR(D89)+4)&lt;YEAR(E89),0,IF((YEAR(D89)+4)&gt;YEAR(E89),1,(12-MONTH(E89)+1)/12))))-((P89)*(IF((YEAR(D89)+4)&lt;YEAR(E89),0,IF((YEAR(D89)+4)&gt;YEAR(E89),1,(12-MONTH(E89)+1)/12))) + (R89)*(IF((YEAR(D89)+4)&lt;YEAR(E89),0,IF((YEAR(D89)+4)&gt;YEAR(E89),1,(12-MONTH(E89)+1)/12))))-(IF(OR(N89="",N89&lt;=0),0,(O89/N89)*(IF(OR(N89="",N89&lt;=0),0,IF((YEAR(D89)+4)&lt;YEAR(E89),0,IF((YEAR(D89)+4)&gt;=YEAR(E89)+N89,0,IF((YEAR(D89)+4)=YEAR(E89),(12-MONTH(E89)+1)/12,1))))))))&gt;0,(((K89)*(IF(M89="",L89,IFERROR(IF(INDEX(Variablen!$I:$AT, MATCH(M89, Variablen!$A:$A, 0), MATCH((YEAR(D89)+4), Variablen!$I$3:$AT$3, 0))="",L89,INDEX(Variablen!$I:$AT, MATCH(M89, Variablen!$A:$A, 0), MATCH((YEAR(D89)+4), Variablen!$I$3:$AT$3, 0))),L89)))*(IF((YEAR(D89)+4)&lt;YEAR(E89),0,IF((YEAR(D89)+4)&gt;YEAR(E89),1,(12-MONTH(E89)+1)/12))) + (Q89)*(IF((YEAR(D89)+4)&lt;YEAR(E89),0,IF((YEAR(D89)+4)&gt;YEAR(E89),1,(12-MONTH(E89)+1)/12))))-((P89)*(IF((YEAR(D89)+4)&lt;YEAR(E89),0,IF((YEAR(D89)+4)&gt;YEAR(E89),1,(12-MONTH(E89)+1)/12))) + (R89)*(IF((YEAR(D89)+4)&lt;YEAR(E89),0,IF((YEAR(D89)+4)&gt;YEAR(E89),1,(12-MONTH(E89)+1)/12))))-(IF(OR(N89="",N89&lt;=0),0,(O89/N89)*(IF(OR(N89="",N89&lt;=0),0,IF((YEAR(D89)+4)&lt;YEAR(E89),0,IF((YEAR(D89)+4)&gt;=YEAR(E89)+N89,0,IF((YEAR(D89)+4)=YEAR(E89),(12-MONTH(E89)+1)/12,1))))))))*TaxRate,0))-IF(4=0,O89,0))</f>
        <v/>
      </c>
      <c r="X89" s="29">
        <f>IF(A89="","",((K89)*(IF(M89="",L89,IFERROR(IF(INDEX(Variablen!$I:$AT, MATCH(M89, Variablen!$A:$A, 0), MATCH((YEAR(D89)+5), Variablen!$I$3:$AT$3, 0))="",L89,INDEX(Variablen!$I:$AT, MATCH(M89, Variablen!$A:$A, 0), MATCH((YEAR(D89)+5), Variablen!$I$3:$AT$3, 0))),L89)))*(IF((YEAR(D89)+5)&lt;YEAR(E89),0,IF((YEAR(D89)+5)&gt;YEAR(E89),1,(12-MONTH(E89)+1)/12))) + (Q89)*(IF((YEAR(D89)+5)&lt;YEAR(E89),0,IF((YEAR(D89)+5)&gt;YEAR(E89),1,(12-MONTH(E89)+1)/12))))-((P89)*(IF((YEAR(D89)+5)&lt;YEAR(E89),0,IF((YEAR(D89)+5)&gt;YEAR(E89),1,(12-MONTH(E89)+1)/12))) + (R89)*(IF((YEAR(D89)+5)&lt;YEAR(E89),0,IF((YEAR(D89)+5)&gt;YEAR(E89),1,(12-MONTH(E89)+1)/12))))-(IF((((K89)*(IF(M89="",L89,IFERROR(IF(INDEX(Variablen!$I:$AT, MATCH(M89, Variablen!$A:$A, 0), MATCH((YEAR(D89)+5), Variablen!$I$3:$AT$3, 0))="",L89,INDEX(Variablen!$I:$AT, MATCH(M89, Variablen!$A:$A, 0), MATCH((YEAR(D89)+5), Variablen!$I$3:$AT$3, 0))),L89)))*(IF((YEAR(D89)+5)&lt;YEAR(E89),0,IF((YEAR(D89)+5)&gt;YEAR(E89),1,(12-MONTH(E89)+1)/12))) + (Q89)*(IF((YEAR(D89)+5)&lt;YEAR(E89),0,IF((YEAR(D89)+5)&gt;YEAR(E89),1,(12-MONTH(E89)+1)/12))))-((P89)*(IF((YEAR(D89)+5)&lt;YEAR(E89),0,IF((YEAR(D89)+5)&gt;YEAR(E89),1,(12-MONTH(E89)+1)/12))) + (R89)*(IF((YEAR(D89)+5)&lt;YEAR(E89),0,IF((YEAR(D89)+5)&gt;YEAR(E89),1,(12-MONTH(E89)+1)/12))))-(IF(OR(N89="",N89&lt;=0),0,(O89/N89)*(IF(OR(N89="",N89&lt;=0),0,IF((YEAR(D89)+5)&lt;YEAR(E89),0,IF((YEAR(D89)+5)&gt;=YEAR(E89)+N89,0,IF((YEAR(D89)+5)=YEAR(E89),(12-MONTH(E89)+1)/12,1))))))))&gt;0,(((K89)*(IF(M89="",L89,IFERROR(IF(INDEX(Variablen!$I:$AT, MATCH(M89, Variablen!$A:$A, 0), MATCH((YEAR(D89)+5), Variablen!$I$3:$AT$3, 0))="",L89,INDEX(Variablen!$I:$AT, MATCH(M89, Variablen!$A:$A, 0), MATCH((YEAR(D89)+5), Variablen!$I$3:$AT$3, 0))),L89)))*(IF((YEAR(D89)+5)&lt;YEAR(E89),0,IF((YEAR(D89)+5)&gt;YEAR(E89),1,(12-MONTH(E89)+1)/12))) + (Q89)*(IF((YEAR(D89)+5)&lt;YEAR(E89),0,IF((YEAR(D89)+5)&gt;YEAR(E89),1,(12-MONTH(E89)+1)/12))))-((P89)*(IF((YEAR(D89)+5)&lt;YEAR(E89),0,IF((YEAR(D89)+5)&gt;YEAR(E89),1,(12-MONTH(E89)+1)/12))) + (R89)*(IF((YEAR(D89)+5)&lt;YEAR(E89),0,IF((YEAR(D89)+5)&gt;YEAR(E89),1,(12-MONTH(E89)+1)/12))))-(IF(OR(N89="",N89&lt;=0),0,(O89/N89)*(IF(OR(N89="",N89&lt;=0),0,IF((YEAR(D89)+5)&lt;YEAR(E89),0,IF((YEAR(D89)+5)&gt;=YEAR(E89)+N89,0,IF((YEAR(D89)+5)=YEAR(E89),(12-MONTH(E89)+1)/12,1))))))))*TaxRate,0))-IF(5=0,O89,0))</f>
        <v/>
      </c>
      <c r="Y89" s="29">
        <f>IF(A89="","",((K89)*(IF(M89="",L89,IFERROR(IF(INDEX(Variablen!$I:$AT, MATCH(M89, Variablen!$A:$A, 0), MATCH((YEAR(D89)+6), Variablen!$I$3:$AT$3, 0))="",L89,INDEX(Variablen!$I:$AT, MATCH(M89, Variablen!$A:$A, 0), MATCH((YEAR(D89)+6), Variablen!$I$3:$AT$3, 0))),L89)))*(IF((YEAR(D89)+6)&lt;YEAR(E89),0,IF((YEAR(D89)+6)&gt;YEAR(E89),1,(12-MONTH(E89)+1)/12))) + (Q89)*(IF((YEAR(D89)+6)&lt;YEAR(E89),0,IF((YEAR(D89)+6)&gt;YEAR(E89),1,(12-MONTH(E89)+1)/12))))-((P89)*(IF((YEAR(D89)+6)&lt;YEAR(E89),0,IF((YEAR(D89)+6)&gt;YEAR(E89),1,(12-MONTH(E89)+1)/12))) + (R89)*(IF((YEAR(D89)+6)&lt;YEAR(E89),0,IF((YEAR(D89)+6)&gt;YEAR(E89),1,(12-MONTH(E89)+1)/12))))-(IF((((K89)*(IF(M89="",L89,IFERROR(IF(INDEX(Variablen!$I:$AT, MATCH(M89, Variablen!$A:$A, 0), MATCH((YEAR(D89)+6), Variablen!$I$3:$AT$3, 0))="",L89,INDEX(Variablen!$I:$AT, MATCH(M89, Variablen!$A:$A, 0), MATCH((YEAR(D89)+6), Variablen!$I$3:$AT$3, 0))),L89)))*(IF((YEAR(D89)+6)&lt;YEAR(E89),0,IF((YEAR(D89)+6)&gt;YEAR(E89),1,(12-MONTH(E89)+1)/12))) + (Q89)*(IF((YEAR(D89)+6)&lt;YEAR(E89),0,IF((YEAR(D89)+6)&gt;YEAR(E89),1,(12-MONTH(E89)+1)/12))))-((P89)*(IF((YEAR(D89)+6)&lt;YEAR(E89),0,IF((YEAR(D89)+6)&gt;YEAR(E89),1,(12-MONTH(E89)+1)/12))) + (R89)*(IF((YEAR(D89)+6)&lt;YEAR(E89),0,IF((YEAR(D89)+6)&gt;YEAR(E89),1,(12-MONTH(E89)+1)/12))))-(IF(OR(N89="",N89&lt;=0),0,(O89/N89)*(IF(OR(N89="",N89&lt;=0),0,IF((YEAR(D89)+6)&lt;YEAR(E89),0,IF((YEAR(D89)+6)&gt;=YEAR(E89)+N89,0,IF((YEAR(D89)+6)=YEAR(E89),(12-MONTH(E89)+1)/12,1))))))))&gt;0,(((K89)*(IF(M89="",L89,IFERROR(IF(INDEX(Variablen!$I:$AT, MATCH(M89, Variablen!$A:$A, 0), MATCH((YEAR(D89)+6), Variablen!$I$3:$AT$3, 0))="",L89,INDEX(Variablen!$I:$AT, MATCH(M89, Variablen!$A:$A, 0), MATCH((YEAR(D89)+6), Variablen!$I$3:$AT$3, 0))),L89)))*(IF((YEAR(D89)+6)&lt;YEAR(E89),0,IF((YEAR(D89)+6)&gt;YEAR(E89),1,(12-MONTH(E89)+1)/12))) + (Q89)*(IF((YEAR(D89)+6)&lt;YEAR(E89),0,IF((YEAR(D89)+6)&gt;YEAR(E89),1,(12-MONTH(E89)+1)/12))))-((P89)*(IF((YEAR(D89)+6)&lt;YEAR(E89),0,IF((YEAR(D89)+6)&gt;YEAR(E89),1,(12-MONTH(E89)+1)/12))) + (R89)*(IF((YEAR(D89)+6)&lt;YEAR(E89),0,IF((YEAR(D89)+6)&gt;YEAR(E89),1,(12-MONTH(E89)+1)/12))))-(IF(OR(N89="",N89&lt;=0),0,(O89/N89)*(IF(OR(N89="",N89&lt;=0),0,IF((YEAR(D89)+6)&lt;YEAR(E89),0,IF((YEAR(D89)+6)&gt;=YEAR(E89)+N89,0,IF((YEAR(D89)+6)=YEAR(E89),(12-MONTH(E89)+1)/12,1))))))))*TaxRate,0))-IF(6=0,O89,0))</f>
        <v/>
      </c>
      <c r="Z89" s="29">
        <f>IF(A89="","",((K89)*(IF(M89="",L89,IFERROR(IF(INDEX(Variablen!$I:$AT, MATCH(M89, Variablen!$A:$A, 0), MATCH((YEAR(D89)+7), Variablen!$I$3:$AT$3, 0))="",L89,INDEX(Variablen!$I:$AT, MATCH(M89, Variablen!$A:$A, 0), MATCH((YEAR(D89)+7), Variablen!$I$3:$AT$3, 0))),L89)))*(IF((YEAR(D89)+7)&lt;YEAR(E89),0,IF((YEAR(D89)+7)&gt;YEAR(E89),1,(12-MONTH(E89)+1)/12))) + (Q89)*(IF((YEAR(D89)+7)&lt;YEAR(E89),0,IF((YEAR(D89)+7)&gt;YEAR(E89),1,(12-MONTH(E89)+1)/12))))-((P89)*(IF((YEAR(D89)+7)&lt;YEAR(E89),0,IF((YEAR(D89)+7)&gt;YEAR(E89),1,(12-MONTH(E89)+1)/12))) + (R89)*(IF((YEAR(D89)+7)&lt;YEAR(E89),0,IF((YEAR(D89)+7)&gt;YEAR(E89),1,(12-MONTH(E89)+1)/12))))-(IF((((K89)*(IF(M89="",L89,IFERROR(IF(INDEX(Variablen!$I:$AT, MATCH(M89, Variablen!$A:$A, 0), MATCH((YEAR(D89)+7), Variablen!$I$3:$AT$3, 0))="",L89,INDEX(Variablen!$I:$AT, MATCH(M89, Variablen!$A:$A, 0), MATCH((YEAR(D89)+7), Variablen!$I$3:$AT$3, 0))),L89)))*(IF((YEAR(D89)+7)&lt;YEAR(E89),0,IF((YEAR(D89)+7)&gt;YEAR(E89),1,(12-MONTH(E89)+1)/12))) + (Q89)*(IF((YEAR(D89)+7)&lt;YEAR(E89),0,IF((YEAR(D89)+7)&gt;YEAR(E89),1,(12-MONTH(E89)+1)/12))))-((P89)*(IF((YEAR(D89)+7)&lt;YEAR(E89),0,IF((YEAR(D89)+7)&gt;YEAR(E89),1,(12-MONTH(E89)+1)/12))) + (R89)*(IF((YEAR(D89)+7)&lt;YEAR(E89),0,IF((YEAR(D89)+7)&gt;YEAR(E89),1,(12-MONTH(E89)+1)/12))))-(IF(OR(N89="",N89&lt;=0),0,(O89/N89)*(IF(OR(N89="",N89&lt;=0),0,IF((YEAR(D89)+7)&lt;YEAR(E89),0,IF((YEAR(D89)+7)&gt;=YEAR(E89)+N89,0,IF((YEAR(D89)+7)=YEAR(E89),(12-MONTH(E89)+1)/12,1))))))))&gt;0,(((K89)*(IF(M89="",L89,IFERROR(IF(INDEX(Variablen!$I:$AT, MATCH(M89, Variablen!$A:$A, 0), MATCH((YEAR(D89)+7), Variablen!$I$3:$AT$3, 0))="",L89,INDEX(Variablen!$I:$AT, MATCH(M89, Variablen!$A:$A, 0), MATCH((YEAR(D89)+7), Variablen!$I$3:$AT$3, 0))),L89)))*(IF((YEAR(D89)+7)&lt;YEAR(E89),0,IF((YEAR(D89)+7)&gt;YEAR(E89),1,(12-MONTH(E89)+1)/12))) + (Q89)*(IF((YEAR(D89)+7)&lt;YEAR(E89),0,IF((YEAR(D89)+7)&gt;YEAR(E89),1,(12-MONTH(E89)+1)/12))))-((P89)*(IF((YEAR(D89)+7)&lt;YEAR(E89),0,IF((YEAR(D89)+7)&gt;YEAR(E89),1,(12-MONTH(E89)+1)/12))) + (R89)*(IF((YEAR(D89)+7)&lt;YEAR(E89),0,IF((YEAR(D89)+7)&gt;YEAR(E89),1,(12-MONTH(E89)+1)/12))))-(IF(OR(N89="",N89&lt;=0),0,(O89/N89)*(IF(OR(N89="",N89&lt;=0),0,IF((YEAR(D89)+7)&lt;YEAR(E89),0,IF((YEAR(D89)+7)&gt;=YEAR(E89)+N89,0,IF((YEAR(D89)+7)=YEAR(E89),(12-MONTH(E89)+1)/12,1))))))))*TaxRate,0))-IF(7=0,O89,0))</f>
        <v/>
      </c>
      <c r="AA89" s="29">
        <f>IF(A89="","",((K89)*(IF(M89="",L89,IFERROR(IF(INDEX(Variablen!$I:$AT, MATCH(M89, Variablen!$A:$A, 0), MATCH((YEAR(D89)+8), Variablen!$I$3:$AT$3, 0))="",L89,INDEX(Variablen!$I:$AT, MATCH(M89, Variablen!$A:$A, 0), MATCH((YEAR(D89)+8), Variablen!$I$3:$AT$3, 0))),L89)))*(IF((YEAR(D89)+8)&lt;YEAR(E89),0,IF((YEAR(D89)+8)&gt;YEAR(E89),1,(12-MONTH(E89)+1)/12))) + (Q89)*(IF((YEAR(D89)+8)&lt;YEAR(E89),0,IF((YEAR(D89)+8)&gt;YEAR(E89),1,(12-MONTH(E89)+1)/12))))-((P89)*(IF((YEAR(D89)+8)&lt;YEAR(E89),0,IF((YEAR(D89)+8)&gt;YEAR(E89),1,(12-MONTH(E89)+1)/12))) + (R89)*(IF((YEAR(D89)+8)&lt;YEAR(E89),0,IF((YEAR(D89)+8)&gt;YEAR(E89),1,(12-MONTH(E89)+1)/12))))-(IF((((K89)*(IF(M89="",L89,IFERROR(IF(INDEX(Variablen!$I:$AT, MATCH(M89, Variablen!$A:$A, 0), MATCH((YEAR(D89)+8), Variablen!$I$3:$AT$3, 0))="",L89,INDEX(Variablen!$I:$AT, MATCH(M89, Variablen!$A:$A, 0), MATCH((YEAR(D89)+8), Variablen!$I$3:$AT$3, 0))),L89)))*(IF((YEAR(D89)+8)&lt;YEAR(E89),0,IF((YEAR(D89)+8)&gt;YEAR(E89),1,(12-MONTH(E89)+1)/12))) + (Q89)*(IF((YEAR(D89)+8)&lt;YEAR(E89),0,IF((YEAR(D89)+8)&gt;YEAR(E89),1,(12-MONTH(E89)+1)/12))))-((P89)*(IF((YEAR(D89)+8)&lt;YEAR(E89),0,IF((YEAR(D89)+8)&gt;YEAR(E89),1,(12-MONTH(E89)+1)/12))) + (R89)*(IF((YEAR(D89)+8)&lt;YEAR(E89),0,IF((YEAR(D89)+8)&gt;YEAR(E89),1,(12-MONTH(E89)+1)/12))))-(IF(OR(N89="",N89&lt;=0),0,(O89/N89)*(IF(OR(N89="",N89&lt;=0),0,IF((YEAR(D89)+8)&lt;YEAR(E89),0,IF((YEAR(D89)+8)&gt;=YEAR(E89)+N89,0,IF((YEAR(D89)+8)=YEAR(E89),(12-MONTH(E89)+1)/12,1))))))))&gt;0,(((K89)*(IF(M89="",L89,IFERROR(IF(INDEX(Variablen!$I:$AT, MATCH(M89, Variablen!$A:$A, 0), MATCH((YEAR(D89)+8), Variablen!$I$3:$AT$3, 0))="",L89,INDEX(Variablen!$I:$AT, MATCH(M89, Variablen!$A:$A, 0), MATCH((YEAR(D89)+8), Variablen!$I$3:$AT$3, 0))),L89)))*(IF((YEAR(D89)+8)&lt;YEAR(E89),0,IF((YEAR(D89)+8)&gt;YEAR(E89),1,(12-MONTH(E89)+1)/12))) + (Q89)*(IF((YEAR(D89)+8)&lt;YEAR(E89),0,IF((YEAR(D89)+8)&gt;YEAR(E89),1,(12-MONTH(E89)+1)/12))))-((P89)*(IF((YEAR(D89)+8)&lt;YEAR(E89),0,IF((YEAR(D89)+8)&gt;YEAR(E89),1,(12-MONTH(E89)+1)/12))) + (R89)*(IF((YEAR(D89)+8)&lt;YEAR(E89),0,IF((YEAR(D89)+8)&gt;YEAR(E89),1,(12-MONTH(E89)+1)/12))))-(IF(OR(N89="",N89&lt;=0),0,(O89/N89)*(IF(OR(N89="",N89&lt;=0),0,IF((YEAR(D89)+8)&lt;YEAR(E89),0,IF((YEAR(D89)+8)&gt;=YEAR(E89)+N89,0,IF((YEAR(D89)+8)=YEAR(E89),(12-MONTH(E89)+1)/12,1))))))))*TaxRate,0))-IF(8=0,O89,0))</f>
        <v/>
      </c>
      <c r="AB89" s="29">
        <f>IF(A89="","",((K89)*(IF(M89="",L89,IFERROR(IF(INDEX(Variablen!$I:$AT, MATCH(M89, Variablen!$A:$A, 0), MATCH((YEAR(D89)+9), Variablen!$I$3:$AT$3, 0))="",L89,INDEX(Variablen!$I:$AT, MATCH(M89, Variablen!$A:$A, 0), MATCH((YEAR(D89)+9), Variablen!$I$3:$AT$3, 0))),L89)))*(IF((YEAR(D89)+9)&lt;YEAR(E89),0,IF((YEAR(D89)+9)&gt;YEAR(E89),1,(12-MONTH(E89)+1)/12))) + (Q89)*(IF((YEAR(D89)+9)&lt;YEAR(E89),0,IF((YEAR(D89)+9)&gt;YEAR(E89),1,(12-MONTH(E89)+1)/12))))-((P89)*(IF((YEAR(D89)+9)&lt;YEAR(E89),0,IF((YEAR(D89)+9)&gt;YEAR(E89),1,(12-MONTH(E89)+1)/12))) + (R89)*(IF((YEAR(D89)+9)&lt;YEAR(E89),0,IF((YEAR(D89)+9)&gt;YEAR(E89),1,(12-MONTH(E89)+1)/12))))-(IF((((K89)*(IF(M89="",L89,IFERROR(IF(INDEX(Variablen!$I:$AT, MATCH(M89, Variablen!$A:$A, 0), MATCH((YEAR(D89)+9), Variablen!$I$3:$AT$3, 0))="",L89,INDEX(Variablen!$I:$AT, MATCH(M89, Variablen!$A:$A, 0), MATCH((YEAR(D89)+9), Variablen!$I$3:$AT$3, 0))),L89)))*(IF((YEAR(D89)+9)&lt;YEAR(E89),0,IF((YEAR(D89)+9)&gt;YEAR(E89),1,(12-MONTH(E89)+1)/12))) + (Q89)*(IF((YEAR(D89)+9)&lt;YEAR(E89),0,IF((YEAR(D89)+9)&gt;YEAR(E89),1,(12-MONTH(E89)+1)/12))))-((P89)*(IF((YEAR(D89)+9)&lt;YEAR(E89),0,IF((YEAR(D89)+9)&gt;YEAR(E89),1,(12-MONTH(E89)+1)/12))) + (R89)*(IF((YEAR(D89)+9)&lt;YEAR(E89),0,IF((YEAR(D89)+9)&gt;YEAR(E89),1,(12-MONTH(E89)+1)/12))))-(IF(OR(N89="",N89&lt;=0),0,(O89/N89)*(IF(OR(N89="",N89&lt;=0),0,IF((YEAR(D89)+9)&lt;YEAR(E89),0,IF((YEAR(D89)+9)&gt;=YEAR(E89)+N89,0,IF((YEAR(D89)+9)=YEAR(E89),(12-MONTH(E89)+1)/12,1))))))))&gt;0,(((K89)*(IF(M89="",L89,IFERROR(IF(INDEX(Variablen!$I:$AT, MATCH(M89, Variablen!$A:$A, 0), MATCH((YEAR(D89)+9), Variablen!$I$3:$AT$3, 0))="",L89,INDEX(Variablen!$I:$AT, MATCH(M89, Variablen!$A:$A, 0), MATCH((YEAR(D89)+9), Variablen!$I$3:$AT$3, 0))),L89)))*(IF((YEAR(D89)+9)&lt;YEAR(E89),0,IF((YEAR(D89)+9)&gt;YEAR(E89),1,(12-MONTH(E89)+1)/12))) + (Q89)*(IF((YEAR(D89)+9)&lt;YEAR(E89),0,IF((YEAR(D89)+9)&gt;YEAR(E89),1,(12-MONTH(E89)+1)/12))))-((P89)*(IF((YEAR(D89)+9)&lt;YEAR(E89),0,IF((YEAR(D89)+9)&gt;YEAR(E89),1,(12-MONTH(E89)+1)/12))) + (R89)*(IF((YEAR(D89)+9)&lt;YEAR(E89),0,IF((YEAR(D89)+9)&gt;YEAR(E89),1,(12-MONTH(E89)+1)/12))))-(IF(OR(N89="",N89&lt;=0),0,(O89/N89)*(IF(OR(N89="",N89&lt;=0),0,IF((YEAR(D89)+9)&lt;YEAR(E89),0,IF((YEAR(D89)+9)&gt;=YEAR(E89)+N89,0,IF((YEAR(D89)+9)=YEAR(E89),(12-MONTH(E89)+1)/12,1))))))))*TaxRate,0))-IF(9=0,O89,0))</f>
        <v/>
      </c>
      <c r="AC89" s="29">
        <f>IF(A89="","",((K89)*(IF(M89="",L89,IFERROR(IF(INDEX(Variablen!$I:$AT, MATCH(M89, Variablen!$A:$A, 0), MATCH((YEAR(D89)+10), Variablen!$I$3:$AT$3, 0))="",L89,INDEX(Variablen!$I:$AT, MATCH(M89, Variablen!$A:$A, 0), MATCH((YEAR(D89)+10), Variablen!$I$3:$AT$3, 0))),L89)))*(IF((YEAR(D89)+10)&lt;YEAR(E89),0,IF((YEAR(D89)+10)&gt;YEAR(E89),1,(12-MONTH(E89)+1)/12))) + (Q89)*(IF((YEAR(D89)+10)&lt;YEAR(E89),0,IF((YEAR(D89)+10)&gt;YEAR(E89),1,(12-MONTH(E89)+1)/12))))-((P89)*(IF((YEAR(D89)+10)&lt;YEAR(E89),0,IF((YEAR(D89)+10)&gt;YEAR(E89),1,(12-MONTH(E89)+1)/12))) + (R89)*(IF((YEAR(D89)+10)&lt;YEAR(E89),0,IF((YEAR(D89)+10)&gt;YEAR(E89),1,(12-MONTH(E89)+1)/12))))-(IF((((K89)*(IF(M89="",L89,IFERROR(IF(INDEX(Variablen!$I:$AT, MATCH(M89, Variablen!$A:$A, 0), MATCH((YEAR(D89)+10), Variablen!$I$3:$AT$3, 0))="",L89,INDEX(Variablen!$I:$AT, MATCH(M89, Variablen!$A:$A, 0), MATCH((YEAR(D89)+10), Variablen!$I$3:$AT$3, 0))),L89)))*(IF((YEAR(D89)+10)&lt;YEAR(E89),0,IF((YEAR(D89)+10)&gt;YEAR(E89),1,(12-MONTH(E89)+1)/12))) + (Q89)*(IF((YEAR(D89)+10)&lt;YEAR(E89),0,IF((YEAR(D89)+10)&gt;YEAR(E89),1,(12-MONTH(E89)+1)/12))))-((P89)*(IF((YEAR(D89)+10)&lt;YEAR(E89),0,IF((YEAR(D89)+10)&gt;YEAR(E89),1,(12-MONTH(E89)+1)/12))) + (R89)*(IF((YEAR(D89)+10)&lt;YEAR(E89),0,IF((YEAR(D89)+10)&gt;YEAR(E89),1,(12-MONTH(E89)+1)/12))))-(IF(OR(N89="",N89&lt;=0),0,(O89/N89)*(IF(OR(N89="",N89&lt;=0),0,IF((YEAR(D89)+10)&lt;YEAR(E89),0,IF((YEAR(D89)+10)&gt;=YEAR(E89)+N89,0,IF((YEAR(D89)+10)=YEAR(E89),(12-MONTH(E89)+1)/12,1))))))))&gt;0,(((K89)*(IF(M89="",L89,IFERROR(IF(INDEX(Variablen!$I:$AT, MATCH(M89, Variablen!$A:$A, 0), MATCH((YEAR(D89)+10), Variablen!$I$3:$AT$3, 0))="",L89,INDEX(Variablen!$I:$AT, MATCH(M89, Variablen!$A:$A, 0), MATCH((YEAR(D89)+10), Variablen!$I$3:$AT$3, 0))),L89)))*(IF((YEAR(D89)+10)&lt;YEAR(E89),0,IF((YEAR(D89)+10)&gt;YEAR(E89),1,(12-MONTH(E89)+1)/12))) + (Q89)*(IF((YEAR(D89)+10)&lt;YEAR(E89),0,IF((YEAR(D89)+10)&gt;YEAR(E89),1,(12-MONTH(E89)+1)/12))))-((P89)*(IF((YEAR(D89)+10)&lt;YEAR(E89),0,IF((YEAR(D89)+10)&gt;YEAR(E89),1,(12-MONTH(E89)+1)/12))) + (R89)*(IF((YEAR(D89)+10)&lt;YEAR(E89),0,IF((YEAR(D89)+10)&gt;YEAR(E89),1,(12-MONTH(E89)+1)/12))))-(IF(OR(N89="",N89&lt;=0),0,(O89/N89)*(IF(OR(N89="",N89&lt;=0),0,IF((YEAR(D89)+10)&lt;YEAR(E89),0,IF((YEAR(D89)+10)&gt;=YEAR(E89)+N89,0,IF((YEAR(D89)+10)=YEAR(E89),(12-MONTH(E89)+1)/12,1))))))))*TaxRate,0))-IF(10=0,O89,0))</f>
        <v/>
      </c>
      <c r="AD89" s="29">
        <f>IF(A89="","",((K89)*(IF(M89="",L89,IFERROR(IF(INDEX(Variablen!$I:$AT, MATCH(M89, Variablen!$A:$A, 0), MATCH((YEAR(D89)+11), Variablen!$I$3:$AT$3, 0))="",L89,INDEX(Variablen!$I:$AT, MATCH(M89, Variablen!$A:$A, 0), MATCH((YEAR(D89)+11), Variablen!$I$3:$AT$3, 0))),L89)))*(IF((YEAR(D89)+11)&lt;YEAR(E89),0,IF((YEAR(D89)+11)&gt;YEAR(E89),1,(12-MONTH(E89)+1)/12))) + (Q89)*(IF((YEAR(D89)+11)&lt;YEAR(E89),0,IF((YEAR(D89)+11)&gt;YEAR(E89),1,(12-MONTH(E89)+1)/12))))-((P89)*(IF((YEAR(D89)+11)&lt;YEAR(E89),0,IF((YEAR(D89)+11)&gt;YEAR(E89),1,(12-MONTH(E89)+1)/12))) + (R89)*(IF((YEAR(D89)+11)&lt;YEAR(E89),0,IF((YEAR(D89)+11)&gt;YEAR(E89),1,(12-MONTH(E89)+1)/12))))-(IF((((K89)*(IF(M89="",L89,IFERROR(IF(INDEX(Variablen!$I:$AT, MATCH(M89, Variablen!$A:$A, 0), MATCH((YEAR(D89)+11), Variablen!$I$3:$AT$3, 0))="",L89,INDEX(Variablen!$I:$AT, MATCH(M89, Variablen!$A:$A, 0), MATCH((YEAR(D89)+11), Variablen!$I$3:$AT$3, 0))),L89)))*(IF((YEAR(D89)+11)&lt;YEAR(E89),0,IF((YEAR(D89)+11)&gt;YEAR(E89),1,(12-MONTH(E89)+1)/12))) + (Q89)*(IF((YEAR(D89)+11)&lt;YEAR(E89),0,IF((YEAR(D89)+11)&gt;YEAR(E89),1,(12-MONTH(E89)+1)/12))))-((P89)*(IF((YEAR(D89)+11)&lt;YEAR(E89),0,IF((YEAR(D89)+11)&gt;YEAR(E89),1,(12-MONTH(E89)+1)/12))) + (R89)*(IF((YEAR(D89)+11)&lt;YEAR(E89),0,IF((YEAR(D89)+11)&gt;YEAR(E89),1,(12-MONTH(E89)+1)/12))))-(IF(OR(N89="",N89&lt;=0),0,(O89/N89)*(IF(OR(N89="",N89&lt;=0),0,IF((YEAR(D89)+11)&lt;YEAR(E89),0,IF((YEAR(D89)+11)&gt;=YEAR(E89)+N89,0,IF((YEAR(D89)+11)=YEAR(E89),(12-MONTH(E89)+1)/12,1))))))))&gt;0,(((K89)*(IF(M89="",L89,IFERROR(IF(INDEX(Variablen!$I:$AT, MATCH(M89, Variablen!$A:$A, 0), MATCH((YEAR(D89)+11), Variablen!$I$3:$AT$3, 0))="",L89,INDEX(Variablen!$I:$AT, MATCH(M89, Variablen!$A:$A, 0), MATCH((YEAR(D89)+11), Variablen!$I$3:$AT$3, 0))),L89)))*(IF((YEAR(D89)+11)&lt;YEAR(E89),0,IF((YEAR(D89)+11)&gt;YEAR(E89),1,(12-MONTH(E89)+1)/12))) + (Q89)*(IF((YEAR(D89)+11)&lt;YEAR(E89),0,IF((YEAR(D89)+11)&gt;YEAR(E89),1,(12-MONTH(E89)+1)/12))))-((P89)*(IF((YEAR(D89)+11)&lt;YEAR(E89),0,IF((YEAR(D89)+11)&gt;YEAR(E89),1,(12-MONTH(E89)+1)/12))) + (R89)*(IF((YEAR(D89)+11)&lt;YEAR(E89),0,IF((YEAR(D89)+11)&gt;YEAR(E89),1,(12-MONTH(E89)+1)/12))))-(IF(OR(N89="",N89&lt;=0),0,(O89/N89)*(IF(OR(N89="",N89&lt;=0),0,IF((YEAR(D89)+11)&lt;YEAR(E89),0,IF((YEAR(D89)+11)&gt;=YEAR(E89)+N89,0,IF((YEAR(D89)+11)=YEAR(E89),(12-MONTH(E89)+1)/12,1))))))))*TaxRate,0))-IF(11=0,O89,0))</f>
        <v/>
      </c>
      <c r="AE89" s="29">
        <f>IF(A89="","",((K89)*(IF(M89="",L89,IFERROR(IF(INDEX(Variablen!$I:$AT, MATCH(M89, Variablen!$A:$A, 0), MATCH((YEAR(D89)+12), Variablen!$I$3:$AT$3, 0))="",L89,INDEX(Variablen!$I:$AT, MATCH(M89, Variablen!$A:$A, 0), MATCH((YEAR(D89)+12), Variablen!$I$3:$AT$3, 0))),L89)))*(IF((YEAR(D89)+12)&lt;YEAR(E89),0,IF((YEAR(D89)+12)&gt;YEAR(E89),1,(12-MONTH(E89)+1)/12))) + (Q89)*(IF((YEAR(D89)+12)&lt;YEAR(E89),0,IF((YEAR(D89)+12)&gt;YEAR(E89),1,(12-MONTH(E89)+1)/12))))-((P89)*(IF((YEAR(D89)+12)&lt;YEAR(E89),0,IF((YEAR(D89)+12)&gt;YEAR(E89),1,(12-MONTH(E89)+1)/12))) + (R89)*(IF((YEAR(D89)+12)&lt;YEAR(E89),0,IF((YEAR(D89)+12)&gt;YEAR(E89),1,(12-MONTH(E89)+1)/12))))-(IF((((K89)*(IF(M89="",L89,IFERROR(IF(INDEX(Variablen!$I:$AT, MATCH(M89, Variablen!$A:$A, 0), MATCH((YEAR(D89)+12), Variablen!$I$3:$AT$3, 0))="",L89,INDEX(Variablen!$I:$AT, MATCH(M89, Variablen!$A:$A, 0), MATCH((YEAR(D89)+12), Variablen!$I$3:$AT$3, 0))),L89)))*(IF((YEAR(D89)+12)&lt;YEAR(E89),0,IF((YEAR(D89)+12)&gt;YEAR(E89),1,(12-MONTH(E89)+1)/12))) + (Q89)*(IF((YEAR(D89)+12)&lt;YEAR(E89),0,IF((YEAR(D89)+12)&gt;YEAR(E89),1,(12-MONTH(E89)+1)/12))))-((P89)*(IF((YEAR(D89)+12)&lt;YEAR(E89),0,IF((YEAR(D89)+12)&gt;YEAR(E89),1,(12-MONTH(E89)+1)/12))) + (R89)*(IF((YEAR(D89)+12)&lt;YEAR(E89),0,IF((YEAR(D89)+12)&gt;YEAR(E89),1,(12-MONTH(E89)+1)/12))))-(IF(OR(N89="",N89&lt;=0),0,(O89/N89)*(IF(OR(N89="",N89&lt;=0),0,IF((YEAR(D89)+12)&lt;YEAR(E89),0,IF((YEAR(D89)+12)&gt;=YEAR(E89)+N89,0,IF((YEAR(D89)+12)=YEAR(E89),(12-MONTH(E89)+1)/12,1))))))))&gt;0,(((K89)*(IF(M89="",L89,IFERROR(IF(INDEX(Variablen!$I:$AT, MATCH(M89, Variablen!$A:$A, 0), MATCH((YEAR(D89)+12), Variablen!$I$3:$AT$3, 0))="",L89,INDEX(Variablen!$I:$AT, MATCH(M89, Variablen!$A:$A, 0), MATCH((YEAR(D89)+12), Variablen!$I$3:$AT$3, 0))),L89)))*(IF((YEAR(D89)+12)&lt;YEAR(E89),0,IF((YEAR(D89)+12)&gt;YEAR(E89),1,(12-MONTH(E89)+1)/12))) + (Q89)*(IF((YEAR(D89)+12)&lt;YEAR(E89),0,IF((YEAR(D89)+12)&gt;YEAR(E89),1,(12-MONTH(E89)+1)/12))))-((P89)*(IF((YEAR(D89)+12)&lt;YEAR(E89),0,IF((YEAR(D89)+12)&gt;YEAR(E89),1,(12-MONTH(E89)+1)/12))) + (R89)*(IF((YEAR(D89)+12)&lt;YEAR(E89),0,IF((YEAR(D89)+12)&gt;YEAR(E89),1,(12-MONTH(E89)+1)/12))))-(IF(OR(N89="",N89&lt;=0),0,(O89/N89)*(IF(OR(N89="",N89&lt;=0),0,IF((YEAR(D89)+12)&lt;YEAR(E89),0,IF((YEAR(D89)+12)&gt;=YEAR(E89)+N89,0,IF((YEAR(D89)+12)=YEAR(E89),(12-MONTH(E89)+1)/12,1))))))))*TaxRate,0))-IF(12=0,O89,0))</f>
        <v/>
      </c>
      <c r="AF89" s="29">
        <f>IF(A89="","",((K89)*(IF(M89="",L89,IFERROR(IF(INDEX(Variablen!$I:$AT, MATCH(M89, Variablen!$A:$A, 0), MATCH((YEAR(D89)+13), Variablen!$I$3:$AT$3, 0))="",L89,INDEX(Variablen!$I:$AT, MATCH(M89, Variablen!$A:$A, 0), MATCH((YEAR(D89)+13), Variablen!$I$3:$AT$3, 0))),L89)))*(IF((YEAR(D89)+13)&lt;YEAR(E89),0,IF((YEAR(D89)+13)&gt;YEAR(E89),1,(12-MONTH(E89)+1)/12))) + (Q89)*(IF((YEAR(D89)+13)&lt;YEAR(E89),0,IF((YEAR(D89)+13)&gt;YEAR(E89),1,(12-MONTH(E89)+1)/12))))-((P89)*(IF((YEAR(D89)+13)&lt;YEAR(E89),0,IF((YEAR(D89)+13)&gt;YEAR(E89),1,(12-MONTH(E89)+1)/12))) + (R89)*(IF((YEAR(D89)+13)&lt;YEAR(E89),0,IF((YEAR(D89)+13)&gt;YEAR(E89),1,(12-MONTH(E89)+1)/12))))-(IF((((K89)*(IF(M89="",L89,IFERROR(IF(INDEX(Variablen!$I:$AT, MATCH(M89, Variablen!$A:$A, 0), MATCH((YEAR(D89)+13), Variablen!$I$3:$AT$3, 0))="",L89,INDEX(Variablen!$I:$AT, MATCH(M89, Variablen!$A:$A, 0), MATCH((YEAR(D89)+13), Variablen!$I$3:$AT$3, 0))),L89)))*(IF((YEAR(D89)+13)&lt;YEAR(E89),0,IF((YEAR(D89)+13)&gt;YEAR(E89),1,(12-MONTH(E89)+1)/12))) + (Q89)*(IF((YEAR(D89)+13)&lt;YEAR(E89),0,IF((YEAR(D89)+13)&gt;YEAR(E89),1,(12-MONTH(E89)+1)/12))))-((P89)*(IF((YEAR(D89)+13)&lt;YEAR(E89),0,IF((YEAR(D89)+13)&gt;YEAR(E89),1,(12-MONTH(E89)+1)/12))) + (R89)*(IF((YEAR(D89)+13)&lt;YEAR(E89),0,IF((YEAR(D89)+13)&gt;YEAR(E89),1,(12-MONTH(E89)+1)/12))))-(IF(OR(N89="",N89&lt;=0),0,(O89/N89)*(IF(OR(N89="",N89&lt;=0),0,IF((YEAR(D89)+13)&lt;YEAR(E89),0,IF((YEAR(D89)+13)&gt;=YEAR(E89)+N89,0,IF((YEAR(D89)+13)=YEAR(E89),(12-MONTH(E89)+1)/12,1))))))))&gt;0,(((K89)*(IF(M89="",L89,IFERROR(IF(INDEX(Variablen!$I:$AT, MATCH(M89, Variablen!$A:$A, 0), MATCH((YEAR(D89)+13), Variablen!$I$3:$AT$3, 0))="",L89,INDEX(Variablen!$I:$AT, MATCH(M89, Variablen!$A:$A, 0), MATCH((YEAR(D89)+13), Variablen!$I$3:$AT$3, 0))),L89)))*(IF((YEAR(D89)+13)&lt;YEAR(E89),0,IF((YEAR(D89)+13)&gt;YEAR(E89),1,(12-MONTH(E89)+1)/12))) + (Q89)*(IF((YEAR(D89)+13)&lt;YEAR(E89),0,IF((YEAR(D89)+13)&gt;YEAR(E89),1,(12-MONTH(E89)+1)/12))))-((P89)*(IF((YEAR(D89)+13)&lt;YEAR(E89),0,IF((YEAR(D89)+13)&gt;YEAR(E89),1,(12-MONTH(E89)+1)/12))) + (R89)*(IF((YEAR(D89)+13)&lt;YEAR(E89),0,IF((YEAR(D89)+13)&gt;YEAR(E89),1,(12-MONTH(E89)+1)/12))))-(IF(OR(N89="",N89&lt;=0),0,(O89/N89)*(IF(OR(N89="",N89&lt;=0),0,IF((YEAR(D89)+13)&lt;YEAR(E89),0,IF((YEAR(D89)+13)&gt;=YEAR(E89)+N89,0,IF((YEAR(D89)+13)=YEAR(E89),(12-MONTH(E89)+1)/12,1))))))))*TaxRate,0))-IF(13=0,O89,0))</f>
        <v/>
      </c>
      <c r="AG89" s="29">
        <f>IF(A89="","",((K89)*(IF(M89="",L89,IFERROR(IF(INDEX(Variablen!$I:$AT, MATCH(M89, Variablen!$A:$A, 0), MATCH((YEAR(D89)+14), Variablen!$I$3:$AT$3, 0))="",L89,INDEX(Variablen!$I:$AT, MATCH(M89, Variablen!$A:$A, 0), MATCH((YEAR(D89)+14), Variablen!$I$3:$AT$3, 0))),L89)))*(IF((YEAR(D89)+14)&lt;YEAR(E89),0,IF((YEAR(D89)+14)&gt;YEAR(E89),1,(12-MONTH(E89)+1)/12))) + (Q89)*(IF((YEAR(D89)+14)&lt;YEAR(E89),0,IF((YEAR(D89)+14)&gt;YEAR(E89),1,(12-MONTH(E89)+1)/12))))-((P89)*(IF((YEAR(D89)+14)&lt;YEAR(E89),0,IF((YEAR(D89)+14)&gt;YEAR(E89),1,(12-MONTH(E89)+1)/12))) + (R89)*(IF((YEAR(D89)+14)&lt;YEAR(E89),0,IF((YEAR(D89)+14)&gt;YEAR(E89),1,(12-MONTH(E89)+1)/12))))-(IF((((K89)*(IF(M89="",L89,IFERROR(IF(INDEX(Variablen!$I:$AT, MATCH(M89, Variablen!$A:$A, 0), MATCH((YEAR(D89)+14), Variablen!$I$3:$AT$3, 0))="",L89,INDEX(Variablen!$I:$AT, MATCH(M89, Variablen!$A:$A, 0), MATCH((YEAR(D89)+14), Variablen!$I$3:$AT$3, 0))),L89)))*(IF((YEAR(D89)+14)&lt;YEAR(E89),0,IF((YEAR(D89)+14)&gt;YEAR(E89),1,(12-MONTH(E89)+1)/12))) + (Q89)*(IF((YEAR(D89)+14)&lt;YEAR(E89),0,IF((YEAR(D89)+14)&gt;YEAR(E89),1,(12-MONTH(E89)+1)/12))))-((P89)*(IF((YEAR(D89)+14)&lt;YEAR(E89),0,IF((YEAR(D89)+14)&gt;YEAR(E89),1,(12-MONTH(E89)+1)/12))) + (R89)*(IF((YEAR(D89)+14)&lt;YEAR(E89),0,IF((YEAR(D89)+14)&gt;YEAR(E89),1,(12-MONTH(E89)+1)/12))))-(IF(OR(N89="",N89&lt;=0),0,(O89/N89)*(IF(OR(N89="",N89&lt;=0),0,IF((YEAR(D89)+14)&lt;YEAR(E89),0,IF((YEAR(D89)+14)&gt;=YEAR(E89)+N89,0,IF((YEAR(D89)+14)=YEAR(E89),(12-MONTH(E89)+1)/12,1))))))))&gt;0,(((K89)*(IF(M89="",L89,IFERROR(IF(INDEX(Variablen!$I:$AT, MATCH(M89, Variablen!$A:$A, 0), MATCH((YEAR(D89)+14), Variablen!$I$3:$AT$3, 0))="",L89,INDEX(Variablen!$I:$AT, MATCH(M89, Variablen!$A:$A, 0), MATCH((YEAR(D89)+14), Variablen!$I$3:$AT$3, 0))),L89)))*(IF((YEAR(D89)+14)&lt;YEAR(E89),0,IF((YEAR(D89)+14)&gt;YEAR(E89),1,(12-MONTH(E89)+1)/12))) + (Q89)*(IF((YEAR(D89)+14)&lt;YEAR(E89),0,IF((YEAR(D89)+14)&gt;YEAR(E89),1,(12-MONTH(E89)+1)/12))))-((P89)*(IF((YEAR(D89)+14)&lt;YEAR(E89),0,IF((YEAR(D89)+14)&gt;YEAR(E89),1,(12-MONTH(E89)+1)/12))) + (R89)*(IF((YEAR(D89)+14)&lt;YEAR(E89),0,IF((YEAR(D89)+14)&gt;YEAR(E89),1,(12-MONTH(E89)+1)/12))))-(IF(OR(N89="",N89&lt;=0),0,(O89/N89)*(IF(OR(N89="",N89&lt;=0),0,IF((YEAR(D89)+14)&lt;YEAR(E89),0,IF((YEAR(D89)+14)&gt;=YEAR(E89)+N89,0,IF((YEAR(D89)+14)=YEAR(E89),(12-MONTH(E89)+1)/12,1))))))))*TaxRate,0))-IF(14=0,O89,0))</f>
        <v/>
      </c>
      <c r="AH89" s="29">
        <f>IF(A89="","",((K89)*(IF(M89="",L89,IFERROR(IF(INDEX(Variablen!$I:$AT, MATCH(M89, Variablen!$A:$A, 0), MATCH((YEAR(D89)+15), Variablen!$I$3:$AT$3, 0))="",L89,INDEX(Variablen!$I:$AT, MATCH(M89, Variablen!$A:$A, 0), MATCH((YEAR(D89)+15), Variablen!$I$3:$AT$3, 0))),L89)))*(IF((YEAR(D89)+15)&lt;YEAR(E89),0,IF((YEAR(D89)+15)&gt;YEAR(E89),1,(12-MONTH(E89)+1)/12))) + (Q89)*(IF((YEAR(D89)+15)&lt;YEAR(E89),0,IF((YEAR(D89)+15)&gt;YEAR(E89),1,(12-MONTH(E89)+1)/12))))-((P89)*(IF((YEAR(D89)+15)&lt;YEAR(E89),0,IF((YEAR(D89)+15)&gt;YEAR(E89),1,(12-MONTH(E89)+1)/12))) + (R89)*(IF((YEAR(D89)+15)&lt;YEAR(E89),0,IF((YEAR(D89)+15)&gt;YEAR(E89),1,(12-MONTH(E89)+1)/12))))-(IF((((K89)*(IF(M89="",L89,IFERROR(IF(INDEX(Variablen!$I:$AT, MATCH(M89, Variablen!$A:$A, 0), MATCH((YEAR(D89)+15), Variablen!$I$3:$AT$3, 0))="",L89,INDEX(Variablen!$I:$AT, MATCH(M89, Variablen!$A:$A, 0), MATCH((YEAR(D89)+15), Variablen!$I$3:$AT$3, 0))),L89)))*(IF((YEAR(D89)+15)&lt;YEAR(E89),0,IF((YEAR(D89)+15)&gt;YEAR(E89),1,(12-MONTH(E89)+1)/12))) + (Q89)*(IF((YEAR(D89)+15)&lt;YEAR(E89),0,IF((YEAR(D89)+15)&gt;YEAR(E89),1,(12-MONTH(E89)+1)/12))))-((P89)*(IF((YEAR(D89)+15)&lt;YEAR(E89),0,IF((YEAR(D89)+15)&gt;YEAR(E89),1,(12-MONTH(E89)+1)/12))) + (R89)*(IF((YEAR(D89)+15)&lt;YEAR(E89),0,IF((YEAR(D89)+15)&gt;YEAR(E89),1,(12-MONTH(E89)+1)/12))))-(IF(OR(N89="",N89&lt;=0),0,(O89/N89)*(IF(OR(N89="",N89&lt;=0),0,IF((YEAR(D89)+15)&lt;YEAR(E89),0,IF((YEAR(D89)+15)&gt;=YEAR(E89)+N89,0,IF((YEAR(D89)+15)=YEAR(E89),(12-MONTH(E89)+1)/12,1))))))))&gt;0,(((K89)*(IF(M89="",L89,IFERROR(IF(INDEX(Variablen!$I:$AT, MATCH(M89, Variablen!$A:$A, 0), MATCH((YEAR(D89)+15), Variablen!$I$3:$AT$3, 0))="",L89,INDEX(Variablen!$I:$AT, MATCH(M89, Variablen!$A:$A, 0), MATCH((YEAR(D89)+15), Variablen!$I$3:$AT$3, 0))),L89)))*(IF((YEAR(D89)+15)&lt;YEAR(E89),0,IF((YEAR(D89)+15)&gt;YEAR(E89),1,(12-MONTH(E89)+1)/12))) + (Q89)*(IF((YEAR(D89)+15)&lt;YEAR(E89),0,IF((YEAR(D89)+15)&gt;YEAR(E89),1,(12-MONTH(E89)+1)/12))))-((P89)*(IF((YEAR(D89)+15)&lt;YEAR(E89),0,IF((YEAR(D89)+15)&gt;YEAR(E89),1,(12-MONTH(E89)+1)/12))) + (R89)*(IF((YEAR(D89)+15)&lt;YEAR(E89),0,IF((YEAR(D89)+15)&gt;YEAR(E89),1,(12-MONTH(E89)+1)/12))))-(IF(OR(N89="",N89&lt;=0),0,(O89/N89)*(IF(OR(N89="",N89&lt;=0),0,IF((YEAR(D89)+15)&lt;YEAR(E89),0,IF((YEAR(D89)+15)&gt;=YEAR(E89)+N89,0,IF((YEAR(D89)+15)=YEAR(E89),(12-MONTH(E89)+1)/12,1))))))))*TaxRate,0))-IF(15=0,O89,0))</f>
        <v/>
      </c>
      <c r="AI89" s="29">
        <f>IF(A89="","",((K89)*(IF(M89="",L89,IFERROR(IF(INDEX(Variablen!$I:$AT, MATCH(M89, Variablen!$A:$A, 0), MATCH((YEAR(D89)+16), Variablen!$I$3:$AT$3, 0))="",L89,INDEX(Variablen!$I:$AT, MATCH(M89, Variablen!$A:$A, 0), MATCH((YEAR(D89)+16), Variablen!$I$3:$AT$3, 0))),L89)))*(IF((YEAR(D89)+16)&lt;YEAR(E89),0,IF((YEAR(D89)+16)&gt;YEAR(E89),1,(12-MONTH(E89)+1)/12))) + (Q89)*(IF((YEAR(D89)+16)&lt;YEAR(E89),0,IF((YEAR(D89)+16)&gt;YEAR(E89),1,(12-MONTH(E89)+1)/12))))-((P89)*(IF((YEAR(D89)+16)&lt;YEAR(E89),0,IF((YEAR(D89)+16)&gt;YEAR(E89),1,(12-MONTH(E89)+1)/12))) + (R89)*(IF((YEAR(D89)+16)&lt;YEAR(E89),0,IF((YEAR(D89)+16)&gt;YEAR(E89),1,(12-MONTH(E89)+1)/12))))-(IF((((K89)*(IF(M89="",L89,IFERROR(IF(INDEX(Variablen!$I:$AT, MATCH(M89, Variablen!$A:$A, 0), MATCH((YEAR(D89)+16), Variablen!$I$3:$AT$3, 0))="",L89,INDEX(Variablen!$I:$AT, MATCH(M89, Variablen!$A:$A, 0), MATCH((YEAR(D89)+16), Variablen!$I$3:$AT$3, 0))),L89)))*(IF((YEAR(D89)+16)&lt;YEAR(E89),0,IF((YEAR(D89)+16)&gt;YEAR(E89),1,(12-MONTH(E89)+1)/12))) + (Q89)*(IF((YEAR(D89)+16)&lt;YEAR(E89),0,IF((YEAR(D89)+16)&gt;YEAR(E89),1,(12-MONTH(E89)+1)/12))))-((P89)*(IF((YEAR(D89)+16)&lt;YEAR(E89),0,IF((YEAR(D89)+16)&gt;YEAR(E89),1,(12-MONTH(E89)+1)/12))) + (R89)*(IF((YEAR(D89)+16)&lt;YEAR(E89),0,IF((YEAR(D89)+16)&gt;YEAR(E89),1,(12-MONTH(E89)+1)/12))))-(IF(OR(N89="",N89&lt;=0),0,(O89/N89)*(IF(OR(N89="",N89&lt;=0),0,IF((YEAR(D89)+16)&lt;YEAR(E89),0,IF((YEAR(D89)+16)&gt;=YEAR(E89)+N89,0,IF((YEAR(D89)+16)=YEAR(E89),(12-MONTH(E89)+1)/12,1))))))))&gt;0,(((K89)*(IF(M89="",L89,IFERROR(IF(INDEX(Variablen!$I:$AT, MATCH(M89, Variablen!$A:$A, 0), MATCH((YEAR(D89)+16), Variablen!$I$3:$AT$3, 0))="",L89,INDEX(Variablen!$I:$AT, MATCH(M89, Variablen!$A:$A, 0), MATCH((YEAR(D89)+16), Variablen!$I$3:$AT$3, 0))),L89)))*(IF((YEAR(D89)+16)&lt;YEAR(E89),0,IF((YEAR(D89)+16)&gt;YEAR(E89),1,(12-MONTH(E89)+1)/12))) + (Q89)*(IF((YEAR(D89)+16)&lt;YEAR(E89),0,IF((YEAR(D89)+16)&gt;YEAR(E89),1,(12-MONTH(E89)+1)/12))))-((P89)*(IF((YEAR(D89)+16)&lt;YEAR(E89),0,IF((YEAR(D89)+16)&gt;YEAR(E89),1,(12-MONTH(E89)+1)/12))) + (R89)*(IF((YEAR(D89)+16)&lt;YEAR(E89),0,IF((YEAR(D89)+16)&gt;YEAR(E89),1,(12-MONTH(E89)+1)/12))))-(IF(OR(N89="",N89&lt;=0),0,(O89/N89)*(IF(OR(N89="",N89&lt;=0),0,IF((YEAR(D89)+16)&lt;YEAR(E89),0,IF((YEAR(D89)+16)&gt;=YEAR(E89)+N89,0,IF((YEAR(D89)+16)=YEAR(E89),(12-MONTH(E89)+1)/12,1))))))))*TaxRate,0))-IF(16=0,O89,0))</f>
        <v/>
      </c>
      <c r="AJ89" s="29">
        <f>IF(A89="","",((K89)*(IF(M89="",L89,IFERROR(IF(INDEX(Variablen!$I:$AT, MATCH(M89, Variablen!$A:$A, 0), MATCH((YEAR(D89)+17), Variablen!$I$3:$AT$3, 0))="",L89,INDEX(Variablen!$I:$AT, MATCH(M89, Variablen!$A:$A, 0), MATCH((YEAR(D89)+17), Variablen!$I$3:$AT$3, 0))),L89)))*(IF((YEAR(D89)+17)&lt;YEAR(E89),0,IF((YEAR(D89)+17)&gt;YEAR(E89),1,(12-MONTH(E89)+1)/12))) + (Q89)*(IF((YEAR(D89)+17)&lt;YEAR(E89),0,IF((YEAR(D89)+17)&gt;YEAR(E89),1,(12-MONTH(E89)+1)/12))))-((P89)*(IF((YEAR(D89)+17)&lt;YEAR(E89),0,IF((YEAR(D89)+17)&gt;YEAR(E89),1,(12-MONTH(E89)+1)/12))) + (R89)*(IF((YEAR(D89)+17)&lt;YEAR(E89),0,IF((YEAR(D89)+17)&gt;YEAR(E89),1,(12-MONTH(E89)+1)/12))))-(IF((((K89)*(IF(M89="",L89,IFERROR(IF(INDEX(Variablen!$I:$AT, MATCH(M89, Variablen!$A:$A, 0), MATCH((YEAR(D89)+17), Variablen!$I$3:$AT$3, 0))="",L89,INDEX(Variablen!$I:$AT, MATCH(M89, Variablen!$A:$A, 0), MATCH((YEAR(D89)+17), Variablen!$I$3:$AT$3, 0))),L89)))*(IF((YEAR(D89)+17)&lt;YEAR(E89),0,IF((YEAR(D89)+17)&gt;YEAR(E89),1,(12-MONTH(E89)+1)/12))) + (Q89)*(IF((YEAR(D89)+17)&lt;YEAR(E89),0,IF((YEAR(D89)+17)&gt;YEAR(E89),1,(12-MONTH(E89)+1)/12))))-((P89)*(IF((YEAR(D89)+17)&lt;YEAR(E89),0,IF((YEAR(D89)+17)&gt;YEAR(E89),1,(12-MONTH(E89)+1)/12))) + (R89)*(IF((YEAR(D89)+17)&lt;YEAR(E89),0,IF((YEAR(D89)+17)&gt;YEAR(E89),1,(12-MONTH(E89)+1)/12))))-(IF(OR(N89="",N89&lt;=0),0,(O89/N89)*(IF(OR(N89="",N89&lt;=0),0,IF((YEAR(D89)+17)&lt;YEAR(E89),0,IF((YEAR(D89)+17)&gt;=YEAR(E89)+N89,0,IF((YEAR(D89)+17)=YEAR(E89),(12-MONTH(E89)+1)/12,1))))))))&gt;0,(((K89)*(IF(M89="",L89,IFERROR(IF(INDEX(Variablen!$I:$AT, MATCH(M89, Variablen!$A:$A, 0), MATCH((YEAR(D89)+17), Variablen!$I$3:$AT$3, 0))="",L89,INDEX(Variablen!$I:$AT, MATCH(M89, Variablen!$A:$A, 0), MATCH((YEAR(D89)+17), Variablen!$I$3:$AT$3, 0))),L89)))*(IF((YEAR(D89)+17)&lt;YEAR(E89),0,IF((YEAR(D89)+17)&gt;YEAR(E89),1,(12-MONTH(E89)+1)/12))) + (Q89)*(IF((YEAR(D89)+17)&lt;YEAR(E89),0,IF((YEAR(D89)+17)&gt;YEAR(E89),1,(12-MONTH(E89)+1)/12))))-((P89)*(IF((YEAR(D89)+17)&lt;YEAR(E89),0,IF((YEAR(D89)+17)&gt;YEAR(E89),1,(12-MONTH(E89)+1)/12))) + (R89)*(IF((YEAR(D89)+17)&lt;YEAR(E89),0,IF((YEAR(D89)+17)&gt;YEAR(E89),1,(12-MONTH(E89)+1)/12))))-(IF(OR(N89="",N89&lt;=0),0,(O89/N89)*(IF(OR(N89="",N89&lt;=0),0,IF((YEAR(D89)+17)&lt;YEAR(E89),0,IF((YEAR(D89)+17)&gt;=YEAR(E89)+N89,0,IF((YEAR(D89)+17)=YEAR(E89),(12-MONTH(E89)+1)/12,1))))))))*TaxRate,0))-IF(17=0,O89,0))</f>
        <v/>
      </c>
      <c r="AK89" s="29">
        <f>IF(A89="","",((K89)*(IF(M89="",L89,IFERROR(IF(INDEX(Variablen!$I:$AT, MATCH(M89, Variablen!$A:$A, 0), MATCH((YEAR(D89)+18), Variablen!$I$3:$AT$3, 0))="",L89,INDEX(Variablen!$I:$AT, MATCH(M89, Variablen!$A:$A, 0), MATCH((YEAR(D89)+18), Variablen!$I$3:$AT$3, 0))),L89)))*(IF((YEAR(D89)+18)&lt;YEAR(E89),0,IF((YEAR(D89)+18)&gt;YEAR(E89),1,(12-MONTH(E89)+1)/12))) + (Q89)*(IF((YEAR(D89)+18)&lt;YEAR(E89),0,IF((YEAR(D89)+18)&gt;YEAR(E89),1,(12-MONTH(E89)+1)/12))))-((P89)*(IF((YEAR(D89)+18)&lt;YEAR(E89),0,IF((YEAR(D89)+18)&gt;YEAR(E89),1,(12-MONTH(E89)+1)/12))) + (R89)*(IF((YEAR(D89)+18)&lt;YEAR(E89),0,IF((YEAR(D89)+18)&gt;YEAR(E89),1,(12-MONTH(E89)+1)/12))))-(IF((((K89)*(IF(M89="",L89,IFERROR(IF(INDEX(Variablen!$I:$AT, MATCH(M89, Variablen!$A:$A, 0), MATCH((YEAR(D89)+18), Variablen!$I$3:$AT$3, 0))="",L89,INDEX(Variablen!$I:$AT, MATCH(M89, Variablen!$A:$A, 0), MATCH((YEAR(D89)+18), Variablen!$I$3:$AT$3, 0))),L89)))*(IF((YEAR(D89)+18)&lt;YEAR(E89),0,IF((YEAR(D89)+18)&gt;YEAR(E89),1,(12-MONTH(E89)+1)/12))) + (Q89)*(IF((YEAR(D89)+18)&lt;YEAR(E89),0,IF((YEAR(D89)+18)&gt;YEAR(E89),1,(12-MONTH(E89)+1)/12))))-((P89)*(IF((YEAR(D89)+18)&lt;YEAR(E89),0,IF((YEAR(D89)+18)&gt;YEAR(E89),1,(12-MONTH(E89)+1)/12))) + (R89)*(IF((YEAR(D89)+18)&lt;YEAR(E89),0,IF((YEAR(D89)+18)&gt;YEAR(E89),1,(12-MONTH(E89)+1)/12))))-(IF(OR(N89="",N89&lt;=0),0,(O89/N89)*(IF(OR(N89="",N89&lt;=0),0,IF((YEAR(D89)+18)&lt;YEAR(E89),0,IF((YEAR(D89)+18)&gt;=YEAR(E89)+N89,0,IF((YEAR(D89)+18)=YEAR(E89),(12-MONTH(E89)+1)/12,1))))))))&gt;0,(((K89)*(IF(M89="",L89,IFERROR(IF(INDEX(Variablen!$I:$AT, MATCH(M89, Variablen!$A:$A, 0), MATCH((YEAR(D89)+18), Variablen!$I$3:$AT$3, 0))="",L89,INDEX(Variablen!$I:$AT, MATCH(M89, Variablen!$A:$A, 0), MATCH((YEAR(D89)+18), Variablen!$I$3:$AT$3, 0))),L89)))*(IF((YEAR(D89)+18)&lt;YEAR(E89),0,IF((YEAR(D89)+18)&gt;YEAR(E89),1,(12-MONTH(E89)+1)/12))) + (Q89)*(IF((YEAR(D89)+18)&lt;YEAR(E89),0,IF((YEAR(D89)+18)&gt;YEAR(E89),1,(12-MONTH(E89)+1)/12))))-((P89)*(IF((YEAR(D89)+18)&lt;YEAR(E89),0,IF((YEAR(D89)+18)&gt;YEAR(E89),1,(12-MONTH(E89)+1)/12))) + (R89)*(IF((YEAR(D89)+18)&lt;YEAR(E89),0,IF((YEAR(D89)+18)&gt;YEAR(E89),1,(12-MONTH(E89)+1)/12))))-(IF(OR(N89="",N89&lt;=0),0,(O89/N89)*(IF(OR(N89="",N89&lt;=0),0,IF((YEAR(D89)+18)&lt;YEAR(E89),0,IF((YEAR(D89)+18)&gt;=YEAR(E89)+N89,0,IF((YEAR(D89)+18)=YEAR(E89),(12-MONTH(E89)+1)/12,1))))))))*TaxRate,0))-IF(18=0,O89,0))</f>
        <v/>
      </c>
      <c r="AL89" s="29">
        <f>IF(A89="","",((K89)*(IF(M89="",L89,IFERROR(IF(INDEX(Variablen!$I:$AT, MATCH(M89, Variablen!$A:$A, 0), MATCH((YEAR(D89)+19), Variablen!$I$3:$AT$3, 0))="",L89,INDEX(Variablen!$I:$AT, MATCH(M89, Variablen!$A:$A, 0), MATCH((YEAR(D89)+19), Variablen!$I$3:$AT$3, 0))),L89)))*(IF((YEAR(D89)+19)&lt;YEAR(E89),0,IF((YEAR(D89)+19)&gt;YEAR(E89),1,(12-MONTH(E89)+1)/12))) + (Q89)*(IF((YEAR(D89)+19)&lt;YEAR(E89),0,IF((YEAR(D89)+19)&gt;YEAR(E89),1,(12-MONTH(E89)+1)/12))))-((P89)*(IF((YEAR(D89)+19)&lt;YEAR(E89),0,IF((YEAR(D89)+19)&gt;YEAR(E89),1,(12-MONTH(E89)+1)/12))) + (R89)*(IF((YEAR(D89)+19)&lt;YEAR(E89),0,IF((YEAR(D89)+19)&gt;YEAR(E89),1,(12-MONTH(E89)+1)/12))))-(IF((((K89)*(IF(M89="",L89,IFERROR(IF(INDEX(Variablen!$I:$AT, MATCH(M89, Variablen!$A:$A, 0), MATCH((YEAR(D89)+19), Variablen!$I$3:$AT$3, 0))="",L89,INDEX(Variablen!$I:$AT, MATCH(M89, Variablen!$A:$A, 0), MATCH((YEAR(D89)+19), Variablen!$I$3:$AT$3, 0))),L89)))*(IF((YEAR(D89)+19)&lt;YEAR(E89),0,IF((YEAR(D89)+19)&gt;YEAR(E89),1,(12-MONTH(E89)+1)/12))) + (Q89)*(IF((YEAR(D89)+19)&lt;YEAR(E89),0,IF((YEAR(D89)+19)&gt;YEAR(E89),1,(12-MONTH(E89)+1)/12))))-((P89)*(IF((YEAR(D89)+19)&lt;YEAR(E89),0,IF((YEAR(D89)+19)&gt;YEAR(E89),1,(12-MONTH(E89)+1)/12))) + (R89)*(IF((YEAR(D89)+19)&lt;YEAR(E89),0,IF((YEAR(D89)+19)&gt;YEAR(E89),1,(12-MONTH(E89)+1)/12))))-(IF(OR(N89="",N89&lt;=0),0,(O89/N89)*(IF(OR(N89="",N89&lt;=0),0,IF((YEAR(D89)+19)&lt;YEAR(E89),0,IF((YEAR(D89)+19)&gt;=YEAR(E89)+N89,0,IF((YEAR(D89)+19)=YEAR(E89),(12-MONTH(E89)+1)/12,1))))))))&gt;0,(((K89)*(IF(M89="",L89,IFERROR(IF(INDEX(Variablen!$I:$AT, MATCH(M89, Variablen!$A:$A, 0), MATCH((YEAR(D89)+19), Variablen!$I$3:$AT$3, 0))="",L89,INDEX(Variablen!$I:$AT, MATCH(M89, Variablen!$A:$A, 0), MATCH((YEAR(D89)+19), Variablen!$I$3:$AT$3, 0))),L89)))*(IF((YEAR(D89)+19)&lt;YEAR(E89),0,IF((YEAR(D89)+19)&gt;YEAR(E89),1,(12-MONTH(E89)+1)/12))) + (Q89)*(IF((YEAR(D89)+19)&lt;YEAR(E89),0,IF((YEAR(D89)+19)&gt;YEAR(E89),1,(12-MONTH(E89)+1)/12))))-((P89)*(IF((YEAR(D89)+19)&lt;YEAR(E89),0,IF((YEAR(D89)+19)&gt;YEAR(E89),1,(12-MONTH(E89)+1)/12))) + (R89)*(IF((YEAR(D89)+19)&lt;YEAR(E89),0,IF((YEAR(D89)+19)&gt;YEAR(E89),1,(12-MONTH(E89)+1)/12))))-(IF(OR(N89="",N89&lt;=0),0,(O89/N89)*(IF(OR(N89="",N89&lt;=0),0,IF((YEAR(D89)+19)&lt;YEAR(E89),0,IF((YEAR(D89)+19)&gt;=YEAR(E89)+N89,0,IF((YEAR(D89)+19)=YEAR(E89),(12-MONTH(E89)+1)/12,1))))))))*TaxRate,0))-IF(19=0,O89,0))</f>
        <v/>
      </c>
      <c r="AM89" s="29">
        <f>IF(A89="","",((K89)*(IF(M89="",L89,IFERROR(IF(INDEX(Variablen!$I:$AT, MATCH(M89, Variablen!$A:$A, 0), MATCH((YEAR(D89)+20), Variablen!$I$3:$AT$3, 0))="",L89,INDEX(Variablen!$I:$AT, MATCH(M89, Variablen!$A:$A, 0), MATCH((YEAR(D89)+20), Variablen!$I$3:$AT$3, 0))),L89)))*(IF((YEAR(D89)+20)&lt;YEAR(E89),0,IF((YEAR(D89)+20)&gt;YEAR(E89),1,(12-MONTH(E89)+1)/12))) + (Q89)*(IF((YEAR(D89)+20)&lt;YEAR(E89),0,IF((YEAR(D89)+20)&gt;YEAR(E89),1,(12-MONTH(E89)+1)/12))))-((P89)*(IF((YEAR(D89)+20)&lt;YEAR(E89),0,IF((YEAR(D89)+20)&gt;YEAR(E89),1,(12-MONTH(E89)+1)/12))) + (R89)*(IF((YEAR(D89)+20)&lt;YEAR(E89),0,IF((YEAR(D89)+20)&gt;YEAR(E89),1,(12-MONTH(E89)+1)/12))))-(IF((((K89)*(IF(M89="",L89,IFERROR(IF(INDEX(Variablen!$I:$AT, MATCH(M89, Variablen!$A:$A, 0), MATCH((YEAR(D89)+20), Variablen!$I$3:$AT$3, 0))="",L89,INDEX(Variablen!$I:$AT, MATCH(M89, Variablen!$A:$A, 0), MATCH((YEAR(D89)+20), Variablen!$I$3:$AT$3, 0))),L89)))*(IF((YEAR(D89)+20)&lt;YEAR(E89),0,IF((YEAR(D89)+20)&gt;YEAR(E89),1,(12-MONTH(E89)+1)/12))) + (Q89)*(IF((YEAR(D89)+20)&lt;YEAR(E89),0,IF((YEAR(D89)+20)&gt;YEAR(E89),1,(12-MONTH(E89)+1)/12))))-((P89)*(IF((YEAR(D89)+20)&lt;YEAR(E89),0,IF((YEAR(D89)+20)&gt;YEAR(E89),1,(12-MONTH(E89)+1)/12))) + (R89)*(IF((YEAR(D89)+20)&lt;YEAR(E89),0,IF((YEAR(D89)+20)&gt;YEAR(E89),1,(12-MONTH(E89)+1)/12))))-(IF(OR(N89="",N89&lt;=0),0,(O89/N89)*(IF(OR(N89="",N89&lt;=0),0,IF((YEAR(D89)+20)&lt;YEAR(E89),0,IF((YEAR(D89)+20)&gt;=YEAR(E89)+N89,0,IF((YEAR(D89)+20)=YEAR(E89),(12-MONTH(E89)+1)/12,1))))))))&gt;0,(((K89)*(IF(M89="",L89,IFERROR(IF(INDEX(Variablen!$I:$AT, MATCH(M89, Variablen!$A:$A, 0), MATCH((YEAR(D89)+20), Variablen!$I$3:$AT$3, 0))="",L89,INDEX(Variablen!$I:$AT, MATCH(M89, Variablen!$A:$A, 0), MATCH((YEAR(D89)+20), Variablen!$I$3:$AT$3, 0))),L89)))*(IF((YEAR(D89)+20)&lt;YEAR(E89),0,IF((YEAR(D89)+20)&gt;YEAR(E89),1,(12-MONTH(E89)+1)/12))) + (Q89)*(IF((YEAR(D89)+20)&lt;YEAR(E89),0,IF((YEAR(D89)+20)&gt;YEAR(E89),1,(12-MONTH(E89)+1)/12))))-((P89)*(IF((YEAR(D89)+20)&lt;YEAR(E89),0,IF((YEAR(D89)+20)&gt;YEAR(E89),1,(12-MONTH(E89)+1)/12))) + (R89)*(IF((YEAR(D89)+20)&lt;YEAR(E89),0,IF((YEAR(D89)+20)&gt;YEAR(E89),1,(12-MONTH(E89)+1)/12))))-(IF(OR(N89="",N89&lt;=0),0,(O89/N89)*(IF(OR(N89="",N89&lt;=0),0,IF((YEAR(D89)+20)&lt;YEAR(E89),0,IF((YEAR(D89)+20)&gt;=YEAR(E89)+N89,0,IF((YEAR(D89)+20)=YEAR(E89),(12-MONTH(E89)+1)/12,1))))))))*TaxRate,0))-IF(20=0,O89,0))</f>
        <v/>
      </c>
      <c r="AN89" s="29">
        <f>IF(A89="","",S89)</f>
        <v/>
      </c>
      <c r="AO89" s="29">
        <f>IF(A89="","",AN89+T89)</f>
        <v/>
      </c>
      <c r="AP89" s="29">
        <f>IF(A89="","",AO89+U89)</f>
        <v/>
      </c>
      <c r="AQ89" s="29">
        <f>IF(A89="","",AP89+V89)</f>
        <v/>
      </c>
      <c r="AR89" s="29">
        <f>IF(A89="","",AQ89+W89)</f>
        <v/>
      </c>
      <c r="AS89" s="29">
        <f>IF(A89="","",AR89+X89)</f>
        <v/>
      </c>
      <c r="AT89" s="29">
        <f>IF(A89="","",AS89+Y89)</f>
        <v/>
      </c>
      <c r="AU89" s="29">
        <f>IF(A89="","",AT89+Z89)</f>
        <v/>
      </c>
      <c r="AV89" s="29">
        <f>IF(A89="","",AU89+AA89)</f>
        <v/>
      </c>
      <c r="AW89" s="29">
        <f>IF(A89="","",AV89+AB89)</f>
        <v/>
      </c>
      <c r="AX89" s="29">
        <f>IF(A89="","",AW89+AC89)</f>
        <v/>
      </c>
      <c r="AY89" s="29">
        <f>IF(A89="","",AX89+AD89)</f>
        <v/>
      </c>
      <c r="AZ89" s="29">
        <f>IF(A89="","",AY89+AE89)</f>
        <v/>
      </c>
      <c r="BA89" s="29">
        <f>IF(A89="","",AZ89+AF89)</f>
        <v/>
      </c>
      <c r="BB89" s="29">
        <f>IF(A89="","",BA89+AG89)</f>
        <v/>
      </c>
      <c r="BC89" s="29">
        <f>IF(A89="","",BB89+AH89)</f>
        <v/>
      </c>
      <c r="BD89" s="29">
        <f>IF(A89="","",BC89+AI89)</f>
        <v/>
      </c>
      <c r="BE89" s="29">
        <f>IF(A89="","",BD89+AJ89)</f>
        <v/>
      </c>
      <c r="BF89" s="29">
        <f>IF(A89="","",BE89+AK89)</f>
        <v/>
      </c>
      <c r="BG89" s="29">
        <f>IF(A89="","",BF89+AL89)</f>
        <v/>
      </c>
      <c r="BH89" s="29">
        <f>IF(A89="","",BG89+AM89)</f>
        <v/>
      </c>
      <c r="BI89" s="36">
        <f>IF(A89="","",(K89)*(IF((YEAR(D89)+0)&lt;YEAR(E89),0,IF((YEAR(D89)+0)&gt;YEAR(E89),1,(12-MONTH(E89)+1)/12)))*(1/(1+DiscountRate)^0))</f>
        <v/>
      </c>
      <c r="BJ89" s="36">
        <f>IF(A89="","",(K89)*(IF((YEAR(D89)+1)&lt;YEAR(E89),0,IF((YEAR(D89)+1)&gt;YEAR(E89),1,(12-MONTH(E89)+1)/12)))*(1/(1+DiscountRate)^1))</f>
        <v/>
      </c>
      <c r="BK89" s="36">
        <f>IF(A89="","",(K89)*(IF((YEAR(D89)+2)&lt;YEAR(E89),0,IF((YEAR(D89)+2)&gt;YEAR(E89),1,(12-MONTH(E89)+1)/12)))*(1/(1+DiscountRate)^2))</f>
        <v/>
      </c>
      <c r="BL89" s="36">
        <f>IF(A89="","",(K89)*(IF((YEAR(D89)+3)&lt;YEAR(E89),0,IF((YEAR(D89)+3)&gt;YEAR(E89),1,(12-MONTH(E89)+1)/12)))*(1/(1+DiscountRate)^3))</f>
        <v/>
      </c>
      <c r="BM89" s="36">
        <f>IF(A89="","",(K89)*(IF((YEAR(D89)+4)&lt;YEAR(E89),0,IF((YEAR(D89)+4)&gt;YEAR(E89),1,(12-MONTH(E89)+1)/12)))*(1/(1+DiscountRate)^4))</f>
        <v/>
      </c>
      <c r="BN89" s="36">
        <f>IF(A89="","",(K89)*(IF((YEAR(D89)+5)&lt;YEAR(E89),0,IF((YEAR(D89)+5)&gt;YEAR(E89),1,(12-MONTH(E89)+1)/12)))*(1/(1+DiscountRate)^5))</f>
        <v/>
      </c>
      <c r="BO89" s="36">
        <f>IF(A89="","",(K89)*(IF((YEAR(D89)+6)&lt;YEAR(E89),0,IF((YEAR(D89)+6)&gt;YEAR(E89),1,(12-MONTH(E89)+1)/12)))*(1/(1+DiscountRate)^6))</f>
        <v/>
      </c>
      <c r="BP89" s="36">
        <f>IF(A89="","",(K89)*(IF((YEAR(D89)+7)&lt;YEAR(E89),0,IF((YEAR(D89)+7)&gt;YEAR(E89),1,(12-MONTH(E89)+1)/12)))*(1/(1+DiscountRate)^7))</f>
        <v/>
      </c>
      <c r="BQ89" s="36">
        <f>IF(A89="","",(K89)*(IF((YEAR(D89)+8)&lt;YEAR(E89),0,IF((YEAR(D89)+8)&gt;YEAR(E89),1,(12-MONTH(E89)+1)/12)))*(1/(1+DiscountRate)^8))</f>
        <v/>
      </c>
      <c r="BR89" s="36">
        <f>IF(A89="","",(K89)*(IF((YEAR(D89)+9)&lt;YEAR(E89),0,IF((YEAR(D89)+9)&gt;YEAR(E89),1,(12-MONTH(E89)+1)/12)))*(1/(1+DiscountRate)^9))</f>
        <v/>
      </c>
      <c r="BS89" s="36">
        <f>IF(A89="","",(K89)*(IF((YEAR(D89)+10)&lt;YEAR(E89),0,IF((YEAR(D89)+10)&gt;YEAR(E89),1,(12-MONTH(E89)+1)/12)))*(1/(1+DiscountRate)^10))</f>
        <v/>
      </c>
      <c r="BT89" s="36">
        <f>IF(A89="","",(K89)*(IF((YEAR(D89)+11)&lt;YEAR(E89),0,IF((YEAR(D89)+11)&gt;YEAR(E89),1,(12-MONTH(E89)+1)/12)))*(1/(1+DiscountRate)^11))</f>
        <v/>
      </c>
      <c r="BU89" s="36">
        <f>IF(A89="","",(K89)*(IF((YEAR(D89)+12)&lt;YEAR(E89),0,IF((YEAR(D89)+12)&gt;YEAR(E89),1,(12-MONTH(E89)+1)/12)))*(1/(1+DiscountRate)^12))</f>
        <v/>
      </c>
      <c r="BV89" s="36">
        <f>IF(A89="","",(K89)*(IF((YEAR(D89)+13)&lt;YEAR(E89),0,IF((YEAR(D89)+13)&gt;YEAR(E89),1,(12-MONTH(E89)+1)/12)))*(1/(1+DiscountRate)^13))</f>
        <v/>
      </c>
      <c r="BW89" s="36">
        <f>IF(A89="","",(K89)*(IF((YEAR(D89)+14)&lt;YEAR(E89),0,IF((YEAR(D89)+14)&gt;YEAR(E89),1,(12-MONTH(E89)+1)/12)))*(1/(1+DiscountRate)^14))</f>
        <v/>
      </c>
      <c r="BX89" s="36">
        <f>IF(A89="","",(K89)*(IF((YEAR(D89)+15)&lt;YEAR(E89),0,IF((YEAR(D89)+15)&gt;YEAR(E89),1,(12-MONTH(E89)+1)/12)))*(1/(1+DiscountRate)^15))</f>
        <v/>
      </c>
      <c r="BY89" s="36">
        <f>IF(A89="","",(K89)*(IF((YEAR(D89)+16)&lt;YEAR(E89),0,IF((YEAR(D89)+16)&gt;YEAR(E89),1,(12-MONTH(E89)+1)/12)))*(1/(1+DiscountRate)^16))</f>
        <v/>
      </c>
      <c r="BZ89" s="36">
        <f>IF(A89="","",(K89)*(IF((YEAR(D89)+17)&lt;YEAR(E89),0,IF((YEAR(D89)+17)&gt;YEAR(E89),1,(12-MONTH(E89)+1)/12)))*(1/(1+DiscountRate)^17))</f>
        <v/>
      </c>
      <c r="CA89" s="36">
        <f>IF(A89="","",(K89)*(IF((YEAR(D89)+18)&lt;YEAR(E89),0,IF((YEAR(D89)+18)&gt;YEAR(E89),1,(12-MONTH(E89)+1)/12)))*(1/(1+DiscountRate)^18))</f>
        <v/>
      </c>
      <c r="CB89" s="36">
        <f>IF(A89="","",(K89)*(IF((YEAR(D89)+19)&lt;YEAR(E89),0,IF((YEAR(D89)+19)&gt;YEAR(E89),1,(12-MONTH(E89)+1)/12)))*(1/(1+DiscountRate)^19))</f>
        <v/>
      </c>
      <c r="CC89" s="36">
        <f>IF(A89="","",(K89)*(IF((YEAR(D89)+20)&lt;YEAR(E89),0,IF((YEAR(D89)+20)&gt;YEAR(E89),1,(12-MONTH(E89)+1)/12)))*(1/(1+DiscountRate)^20))</f>
        <v/>
      </c>
      <c r="CD89" s="29">
        <f>IF(A89="","",S89/(1+DiscountRate)^0+T89/(1+DiscountRate)^1+U89/(1+DiscountRate)^2+V89/(1+DiscountRate)^3+W89/(1+DiscountRate)^4+X89/(1+DiscountRate)^5+Y89/(1+DiscountRate)^6+Z89/(1+DiscountRate)^7+AA89/(1+DiscountRate)^8+AB89/(1+DiscountRate)^9+AC89/(1+DiscountRate)^10+AD89/(1+DiscountRate)^11+AE89/(1+DiscountRate)^12+AF89/(1+DiscountRate)^13+AG89/(1+DiscountRate)^14+AH89/(1+DiscountRate)^15+AI89/(1+DiscountRate)^16+AJ89/(1+DiscountRate)^17+AK89/(1+DiscountRate)^18+AL89/(1+DiscountRate)^19+AM89/(1+DiscountRate)^20)</f>
        <v/>
      </c>
      <c r="CE89" s="37">
        <f>IF(A89="","",IFERROR(IRR(OFFSET(S89,0,0,1,MIN(HorizonYears,20)+1)),"n/a"))</f>
        <v/>
      </c>
      <c r="CF89" s="28">
        <f>IF(A89="","",IFERROR(MATCH(TRUE,OFFSET(AN89,0,0,1,MIN(HorizonYears,20)+1)&gt;=0,0)-1,"n/a"))</f>
        <v/>
      </c>
      <c r="CG89" s="36">
        <f>IF(A89="","",SUM(OFFSET(BI89,0,0,1,MIN(HorizonYears,20)+1)))</f>
        <v/>
      </c>
      <c r="CH89" s="36">
        <f>IF(A89="","",IFERROR(-CD89/CG89,"n/a"))</f>
        <v/>
      </c>
    </row>
    <row r="90">
      <c r="A90" s="6">
        <f>Actions!A88</f>
        <v/>
      </c>
      <c r="B90" s="6">
        <f>Actions!B88</f>
        <v/>
      </c>
      <c r="C90" s="6">
        <f>Actions!D88</f>
        <v/>
      </c>
      <c r="D90" s="35">
        <f>Actions!E88</f>
        <v/>
      </c>
      <c r="E90" s="35">
        <f>Actions!F88</f>
        <v/>
      </c>
      <c r="F90" s="6">
        <f>Actions!G88</f>
        <v/>
      </c>
      <c r="G90" s="6">
        <f>Actions!H88</f>
        <v/>
      </c>
      <c r="H90" s="29">
        <f>Actions!I88</f>
        <v/>
      </c>
      <c r="I90" s="6">
        <f>Actions!J88</f>
        <v/>
      </c>
      <c r="J90" s="16">
        <f>Actions!K88</f>
        <v/>
      </c>
      <c r="K90" s="16">
        <f>IF(A90="","",IF(I90="%",H90*J90,J90))</f>
        <v/>
      </c>
      <c r="L90" s="16">
        <f>Actions!L88</f>
        <v/>
      </c>
      <c r="M90" s="6">
        <f>Actions!M88</f>
        <v/>
      </c>
      <c r="N90" s="28">
        <f>Actions!N88</f>
        <v/>
      </c>
      <c r="O90" s="29">
        <f>Actions!T88</f>
        <v/>
      </c>
      <c r="P90" s="29">
        <f>Actions!Y88</f>
        <v/>
      </c>
      <c r="Q90" s="29">
        <f>Actions!Z88</f>
        <v/>
      </c>
      <c r="R90" s="29">
        <f>Actions!AA88</f>
        <v/>
      </c>
      <c r="S90" s="29">
        <f>IF(A90="","",((K90)*(IF(M90="",L90,IFERROR(IF(INDEX(Variablen!$I:$AT, MATCH(M90, Variablen!$A:$A, 0), MATCH((YEAR(D90)+0), Variablen!$I$3:$AT$3, 0))="",L90,INDEX(Variablen!$I:$AT, MATCH(M90, Variablen!$A:$A, 0), MATCH((YEAR(D90)+0), Variablen!$I$3:$AT$3, 0))),L90)))*(IF((YEAR(D90)+0)&lt;YEAR(E90),0,IF((YEAR(D90)+0)&gt;YEAR(E90),1,(12-MONTH(E90)+1)/12))) + (Q90)*(IF((YEAR(D90)+0)&lt;YEAR(E90),0,IF((YEAR(D90)+0)&gt;YEAR(E90),1,(12-MONTH(E90)+1)/12))))-((P90)*(IF((YEAR(D90)+0)&lt;YEAR(E90),0,IF((YEAR(D90)+0)&gt;YEAR(E90),1,(12-MONTH(E90)+1)/12))) + (R90)*(IF((YEAR(D90)+0)&lt;YEAR(E90),0,IF((YEAR(D90)+0)&gt;YEAR(E90),1,(12-MONTH(E90)+1)/12))))-(IF((((K90)*(IF(M90="",L90,IFERROR(IF(INDEX(Variablen!$I:$AT, MATCH(M90, Variablen!$A:$A, 0), MATCH((YEAR(D90)+0), Variablen!$I$3:$AT$3, 0))="",L90,INDEX(Variablen!$I:$AT, MATCH(M90, Variablen!$A:$A, 0), MATCH((YEAR(D90)+0), Variablen!$I$3:$AT$3, 0))),L90)))*(IF((YEAR(D90)+0)&lt;YEAR(E90),0,IF((YEAR(D90)+0)&gt;YEAR(E90),1,(12-MONTH(E90)+1)/12))) + (Q90)*(IF((YEAR(D90)+0)&lt;YEAR(E90),0,IF((YEAR(D90)+0)&gt;YEAR(E90),1,(12-MONTH(E90)+1)/12))))-((P90)*(IF((YEAR(D90)+0)&lt;YEAR(E90),0,IF((YEAR(D90)+0)&gt;YEAR(E90),1,(12-MONTH(E90)+1)/12))) + (R90)*(IF((YEAR(D90)+0)&lt;YEAR(E90),0,IF((YEAR(D90)+0)&gt;YEAR(E90),1,(12-MONTH(E90)+1)/12))))-(IF(OR(N90="",N90&lt;=0),0,(O90/N90)*(IF(OR(N90="",N90&lt;=0),0,IF((YEAR(D90)+0)&lt;YEAR(E90),0,IF((YEAR(D90)+0)&gt;=YEAR(E90)+N90,0,IF((YEAR(D90)+0)=YEAR(E90),(12-MONTH(E90)+1)/12,1))))))))&gt;0,(((K90)*(IF(M90="",L90,IFERROR(IF(INDEX(Variablen!$I:$AT, MATCH(M90, Variablen!$A:$A, 0), MATCH((YEAR(D90)+0), Variablen!$I$3:$AT$3, 0))="",L90,INDEX(Variablen!$I:$AT, MATCH(M90, Variablen!$A:$A, 0), MATCH((YEAR(D90)+0), Variablen!$I$3:$AT$3, 0))),L90)))*(IF((YEAR(D90)+0)&lt;YEAR(E90),0,IF((YEAR(D90)+0)&gt;YEAR(E90),1,(12-MONTH(E90)+1)/12))) + (Q90)*(IF((YEAR(D90)+0)&lt;YEAR(E90),0,IF((YEAR(D90)+0)&gt;YEAR(E90),1,(12-MONTH(E90)+1)/12))))-((P90)*(IF((YEAR(D90)+0)&lt;YEAR(E90),0,IF((YEAR(D90)+0)&gt;YEAR(E90),1,(12-MONTH(E90)+1)/12))) + (R90)*(IF((YEAR(D90)+0)&lt;YEAR(E90),0,IF((YEAR(D90)+0)&gt;YEAR(E90),1,(12-MONTH(E90)+1)/12))))-(IF(OR(N90="",N90&lt;=0),0,(O90/N90)*(IF(OR(N90="",N90&lt;=0),0,IF((YEAR(D90)+0)&lt;YEAR(E90),0,IF((YEAR(D90)+0)&gt;=YEAR(E90)+N90,0,IF((YEAR(D90)+0)=YEAR(E90),(12-MONTH(E90)+1)/12,1))))))))*TaxRate,0))-IF(0=0,O90,0))</f>
        <v/>
      </c>
      <c r="T90" s="29">
        <f>IF(A90="","",((K90)*(IF(M90="",L90,IFERROR(IF(INDEX(Variablen!$I:$AT, MATCH(M90, Variablen!$A:$A, 0), MATCH((YEAR(D90)+1), Variablen!$I$3:$AT$3, 0))="",L90,INDEX(Variablen!$I:$AT, MATCH(M90, Variablen!$A:$A, 0), MATCH((YEAR(D90)+1), Variablen!$I$3:$AT$3, 0))),L90)))*(IF((YEAR(D90)+1)&lt;YEAR(E90),0,IF((YEAR(D90)+1)&gt;YEAR(E90),1,(12-MONTH(E90)+1)/12))) + (Q90)*(IF((YEAR(D90)+1)&lt;YEAR(E90),0,IF((YEAR(D90)+1)&gt;YEAR(E90),1,(12-MONTH(E90)+1)/12))))-((P90)*(IF((YEAR(D90)+1)&lt;YEAR(E90),0,IF((YEAR(D90)+1)&gt;YEAR(E90),1,(12-MONTH(E90)+1)/12))) + (R90)*(IF((YEAR(D90)+1)&lt;YEAR(E90),0,IF((YEAR(D90)+1)&gt;YEAR(E90),1,(12-MONTH(E90)+1)/12))))-(IF((((K90)*(IF(M90="",L90,IFERROR(IF(INDEX(Variablen!$I:$AT, MATCH(M90, Variablen!$A:$A, 0), MATCH((YEAR(D90)+1), Variablen!$I$3:$AT$3, 0))="",L90,INDEX(Variablen!$I:$AT, MATCH(M90, Variablen!$A:$A, 0), MATCH((YEAR(D90)+1), Variablen!$I$3:$AT$3, 0))),L90)))*(IF((YEAR(D90)+1)&lt;YEAR(E90),0,IF((YEAR(D90)+1)&gt;YEAR(E90),1,(12-MONTH(E90)+1)/12))) + (Q90)*(IF((YEAR(D90)+1)&lt;YEAR(E90),0,IF((YEAR(D90)+1)&gt;YEAR(E90),1,(12-MONTH(E90)+1)/12))))-((P90)*(IF((YEAR(D90)+1)&lt;YEAR(E90),0,IF((YEAR(D90)+1)&gt;YEAR(E90),1,(12-MONTH(E90)+1)/12))) + (R90)*(IF((YEAR(D90)+1)&lt;YEAR(E90),0,IF((YEAR(D90)+1)&gt;YEAR(E90),1,(12-MONTH(E90)+1)/12))))-(IF(OR(N90="",N90&lt;=0),0,(O90/N90)*(IF(OR(N90="",N90&lt;=0),0,IF((YEAR(D90)+1)&lt;YEAR(E90),0,IF((YEAR(D90)+1)&gt;=YEAR(E90)+N90,0,IF((YEAR(D90)+1)=YEAR(E90),(12-MONTH(E90)+1)/12,1))))))))&gt;0,(((K90)*(IF(M90="",L90,IFERROR(IF(INDEX(Variablen!$I:$AT, MATCH(M90, Variablen!$A:$A, 0), MATCH((YEAR(D90)+1), Variablen!$I$3:$AT$3, 0))="",L90,INDEX(Variablen!$I:$AT, MATCH(M90, Variablen!$A:$A, 0), MATCH((YEAR(D90)+1), Variablen!$I$3:$AT$3, 0))),L90)))*(IF((YEAR(D90)+1)&lt;YEAR(E90),0,IF((YEAR(D90)+1)&gt;YEAR(E90),1,(12-MONTH(E90)+1)/12))) + (Q90)*(IF((YEAR(D90)+1)&lt;YEAR(E90),0,IF((YEAR(D90)+1)&gt;YEAR(E90),1,(12-MONTH(E90)+1)/12))))-((P90)*(IF((YEAR(D90)+1)&lt;YEAR(E90),0,IF((YEAR(D90)+1)&gt;YEAR(E90),1,(12-MONTH(E90)+1)/12))) + (R90)*(IF((YEAR(D90)+1)&lt;YEAR(E90),0,IF((YEAR(D90)+1)&gt;YEAR(E90),1,(12-MONTH(E90)+1)/12))))-(IF(OR(N90="",N90&lt;=0),0,(O90/N90)*(IF(OR(N90="",N90&lt;=0),0,IF((YEAR(D90)+1)&lt;YEAR(E90),0,IF((YEAR(D90)+1)&gt;=YEAR(E90)+N90,0,IF((YEAR(D90)+1)=YEAR(E90),(12-MONTH(E90)+1)/12,1))))))))*TaxRate,0))-IF(1=0,O90,0))</f>
        <v/>
      </c>
      <c r="U90" s="29">
        <f>IF(A90="","",((K90)*(IF(M90="",L90,IFERROR(IF(INDEX(Variablen!$I:$AT, MATCH(M90, Variablen!$A:$A, 0), MATCH((YEAR(D90)+2), Variablen!$I$3:$AT$3, 0))="",L90,INDEX(Variablen!$I:$AT, MATCH(M90, Variablen!$A:$A, 0), MATCH((YEAR(D90)+2), Variablen!$I$3:$AT$3, 0))),L90)))*(IF((YEAR(D90)+2)&lt;YEAR(E90),0,IF((YEAR(D90)+2)&gt;YEAR(E90),1,(12-MONTH(E90)+1)/12))) + (Q90)*(IF((YEAR(D90)+2)&lt;YEAR(E90),0,IF((YEAR(D90)+2)&gt;YEAR(E90),1,(12-MONTH(E90)+1)/12))))-((P90)*(IF((YEAR(D90)+2)&lt;YEAR(E90),0,IF((YEAR(D90)+2)&gt;YEAR(E90),1,(12-MONTH(E90)+1)/12))) + (R90)*(IF((YEAR(D90)+2)&lt;YEAR(E90),0,IF((YEAR(D90)+2)&gt;YEAR(E90),1,(12-MONTH(E90)+1)/12))))-(IF((((K90)*(IF(M90="",L90,IFERROR(IF(INDEX(Variablen!$I:$AT, MATCH(M90, Variablen!$A:$A, 0), MATCH((YEAR(D90)+2), Variablen!$I$3:$AT$3, 0))="",L90,INDEX(Variablen!$I:$AT, MATCH(M90, Variablen!$A:$A, 0), MATCH((YEAR(D90)+2), Variablen!$I$3:$AT$3, 0))),L90)))*(IF((YEAR(D90)+2)&lt;YEAR(E90),0,IF((YEAR(D90)+2)&gt;YEAR(E90),1,(12-MONTH(E90)+1)/12))) + (Q90)*(IF((YEAR(D90)+2)&lt;YEAR(E90),0,IF((YEAR(D90)+2)&gt;YEAR(E90),1,(12-MONTH(E90)+1)/12))))-((P90)*(IF((YEAR(D90)+2)&lt;YEAR(E90),0,IF((YEAR(D90)+2)&gt;YEAR(E90),1,(12-MONTH(E90)+1)/12))) + (R90)*(IF((YEAR(D90)+2)&lt;YEAR(E90),0,IF((YEAR(D90)+2)&gt;YEAR(E90),1,(12-MONTH(E90)+1)/12))))-(IF(OR(N90="",N90&lt;=0),0,(O90/N90)*(IF(OR(N90="",N90&lt;=0),0,IF((YEAR(D90)+2)&lt;YEAR(E90),0,IF((YEAR(D90)+2)&gt;=YEAR(E90)+N90,0,IF((YEAR(D90)+2)=YEAR(E90),(12-MONTH(E90)+1)/12,1))))))))&gt;0,(((K90)*(IF(M90="",L90,IFERROR(IF(INDEX(Variablen!$I:$AT, MATCH(M90, Variablen!$A:$A, 0), MATCH((YEAR(D90)+2), Variablen!$I$3:$AT$3, 0))="",L90,INDEX(Variablen!$I:$AT, MATCH(M90, Variablen!$A:$A, 0), MATCH((YEAR(D90)+2), Variablen!$I$3:$AT$3, 0))),L90)))*(IF((YEAR(D90)+2)&lt;YEAR(E90),0,IF((YEAR(D90)+2)&gt;YEAR(E90),1,(12-MONTH(E90)+1)/12))) + (Q90)*(IF((YEAR(D90)+2)&lt;YEAR(E90),0,IF((YEAR(D90)+2)&gt;YEAR(E90),1,(12-MONTH(E90)+1)/12))))-((P90)*(IF((YEAR(D90)+2)&lt;YEAR(E90),0,IF((YEAR(D90)+2)&gt;YEAR(E90),1,(12-MONTH(E90)+1)/12))) + (R90)*(IF((YEAR(D90)+2)&lt;YEAR(E90),0,IF((YEAR(D90)+2)&gt;YEAR(E90),1,(12-MONTH(E90)+1)/12))))-(IF(OR(N90="",N90&lt;=0),0,(O90/N90)*(IF(OR(N90="",N90&lt;=0),0,IF((YEAR(D90)+2)&lt;YEAR(E90),0,IF((YEAR(D90)+2)&gt;=YEAR(E90)+N90,0,IF((YEAR(D90)+2)=YEAR(E90),(12-MONTH(E90)+1)/12,1))))))))*TaxRate,0))-IF(2=0,O90,0))</f>
        <v/>
      </c>
      <c r="V90" s="29">
        <f>IF(A90="","",((K90)*(IF(M90="",L90,IFERROR(IF(INDEX(Variablen!$I:$AT, MATCH(M90, Variablen!$A:$A, 0), MATCH((YEAR(D90)+3), Variablen!$I$3:$AT$3, 0))="",L90,INDEX(Variablen!$I:$AT, MATCH(M90, Variablen!$A:$A, 0), MATCH((YEAR(D90)+3), Variablen!$I$3:$AT$3, 0))),L90)))*(IF((YEAR(D90)+3)&lt;YEAR(E90),0,IF((YEAR(D90)+3)&gt;YEAR(E90),1,(12-MONTH(E90)+1)/12))) + (Q90)*(IF((YEAR(D90)+3)&lt;YEAR(E90),0,IF((YEAR(D90)+3)&gt;YEAR(E90),1,(12-MONTH(E90)+1)/12))))-((P90)*(IF((YEAR(D90)+3)&lt;YEAR(E90),0,IF((YEAR(D90)+3)&gt;YEAR(E90),1,(12-MONTH(E90)+1)/12))) + (R90)*(IF((YEAR(D90)+3)&lt;YEAR(E90),0,IF((YEAR(D90)+3)&gt;YEAR(E90),1,(12-MONTH(E90)+1)/12))))-(IF((((K90)*(IF(M90="",L90,IFERROR(IF(INDEX(Variablen!$I:$AT, MATCH(M90, Variablen!$A:$A, 0), MATCH((YEAR(D90)+3), Variablen!$I$3:$AT$3, 0))="",L90,INDEX(Variablen!$I:$AT, MATCH(M90, Variablen!$A:$A, 0), MATCH((YEAR(D90)+3), Variablen!$I$3:$AT$3, 0))),L90)))*(IF((YEAR(D90)+3)&lt;YEAR(E90),0,IF((YEAR(D90)+3)&gt;YEAR(E90),1,(12-MONTH(E90)+1)/12))) + (Q90)*(IF((YEAR(D90)+3)&lt;YEAR(E90),0,IF((YEAR(D90)+3)&gt;YEAR(E90),1,(12-MONTH(E90)+1)/12))))-((P90)*(IF((YEAR(D90)+3)&lt;YEAR(E90),0,IF((YEAR(D90)+3)&gt;YEAR(E90),1,(12-MONTH(E90)+1)/12))) + (R90)*(IF((YEAR(D90)+3)&lt;YEAR(E90),0,IF((YEAR(D90)+3)&gt;YEAR(E90),1,(12-MONTH(E90)+1)/12))))-(IF(OR(N90="",N90&lt;=0),0,(O90/N90)*(IF(OR(N90="",N90&lt;=0),0,IF((YEAR(D90)+3)&lt;YEAR(E90),0,IF((YEAR(D90)+3)&gt;=YEAR(E90)+N90,0,IF((YEAR(D90)+3)=YEAR(E90),(12-MONTH(E90)+1)/12,1))))))))&gt;0,(((K90)*(IF(M90="",L90,IFERROR(IF(INDEX(Variablen!$I:$AT, MATCH(M90, Variablen!$A:$A, 0), MATCH((YEAR(D90)+3), Variablen!$I$3:$AT$3, 0))="",L90,INDEX(Variablen!$I:$AT, MATCH(M90, Variablen!$A:$A, 0), MATCH((YEAR(D90)+3), Variablen!$I$3:$AT$3, 0))),L90)))*(IF((YEAR(D90)+3)&lt;YEAR(E90),0,IF((YEAR(D90)+3)&gt;YEAR(E90),1,(12-MONTH(E90)+1)/12))) + (Q90)*(IF((YEAR(D90)+3)&lt;YEAR(E90),0,IF((YEAR(D90)+3)&gt;YEAR(E90),1,(12-MONTH(E90)+1)/12))))-((P90)*(IF((YEAR(D90)+3)&lt;YEAR(E90),0,IF((YEAR(D90)+3)&gt;YEAR(E90),1,(12-MONTH(E90)+1)/12))) + (R90)*(IF((YEAR(D90)+3)&lt;YEAR(E90),0,IF((YEAR(D90)+3)&gt;YEAR(E90),1,(12-MONTH(E90)+1)/12))))-(IF(OR(N90="",N90&lt;=0),0,(O90/N90)*(IF(OR(N90="",N90&lt;=0),0,IF((YEAR(D90)+3)&lt;YEAR(E90),0,IF((YEAR(D90)+3)&gt;=YEAR(E90)+N90,0,IF((YEAR(D90)+3)=YEAR(E90),(12-MONTH(E90)+1)/12,1))))))))*TaxRate,0))-IF(3=0,O90,0))</f>
        <v/>
      </c>
      <c r="W90" s="29">
        <f>IF(A90="","",((K90)*(IF(M90="",L90,IFERROR(IF(INDEX(Variablen!$I:$AT, MATCH(M90, Variablen!$A:$A, 0), MATCH((YEAR(D90)+4), Variablen!$I$3:$AT$3, 0))="",L90,INDEX(Variablen!$I:$AT, MATCH(M90, Variablen!$A:$A, 0), MATCH((YEAR(D90)+4), Variablen!$I$3:$AT$3, 0))),L90)))*(IF((YEAR(D90)+4)&lt;YEAR(E90),0,IF((YEAR(D90)+4)&gt;YEAR(E90),1,(12-MONTH(E90)+1)/12))) + (Q90)*(IF((YEAR(D90)+4)&lt;YEAR(E90),0,IF((YEAR(D90)+4)&gt;YEAR(E90),1,(12-MONTH(E90)+1)/12))))-((P90)*(IF((YEAR(D90)+4)&lt;YEAR(E90),0,IF((YEAR(D90)+4)&gt;YEAR(E90),1,(12-MONTH(E90)+1)/12))) + (R90)*(IF((YEAR(D90)+4)&lt;YEAR(E90),0,IF((YEAR(D90)+4)&gt;YEAR(E90),1,(12-MONTH(E90)+1)/12))))-(IF((((K90)*(IF(M90="",L90,IFERROR(IF(INDEX(Variablen!$I:$AT, MATCH(M90, Variablen!$A:$A, 0), MATCH((YEAR(D90)+4), Variablen!$I$3:$AT$3, 0))="",L90,INDEX(Variablen!$I:$AT, MATCH(M90, Variablen!$A:$A, 0), MATCH((YEAR(D90)+4), Variablen!$I$3:$AT$3, 0))),L90)))*(IF((YEAR(D90)+4)&lt;YEAR(E90),0,IF((YEAR(D90)+4)&gt;YEAR(E90),1,(12-MONTH(E90)+1)/12))) + (Q90)*(IF((YEAR(D90)+4)&lt;YEAR(E90),0,IF((YEAR(D90)+4)&gt;YEAR(E90),1,(12-MONTH(E90)+1)/12))))-((P90)*(IF((YEAR(D90)+4)&lt;YEAR(E90),0,IF((YEAR(D90)+4)&gt;YEAR(E90),1,(12-MONTH(E90)+1)/12))) + (R90)*(IF((YEAR(D90)+4)&lt;YEAR(E90),0,IF((YEAR(D90)+4)&gt;YEAR(E90),1,(12-MONTH(E90)+1)/12))))-(IF(OR(N90="",N90&lt;=0),0,(O90/N90)*(IF(OR(N90="",N90&lt;=0),0,IF((YEAR(D90)+4)&lt;YEAR(E90),0,IF((YEAR(D90)+4)&gt;=YEAR(E90)+N90,0,IF((YEAR(D90)+4)=YEAR(E90),(12-MONTH(E90)+1)/12,1))))))))&gt;0,(((K90)*(IF(M90="",L90,IFERROR(IF(INDEX(Variablen!$I:$AT, MATCH(M90, Variablen!$A:$A, 0), MATCH((YEAR(D90)+4), Variablen!$I$3:$AT$3, 0))="",L90,INDEX(Variablen!$I:$AT, MATCH(M90, Variablen!$A:$A, 0), MATCH((YEAR(D90)+4), Variablen!$I$3:$AT$3, 0))),L90)))*(IF((YEAR(D90)+4)&lt;YEAR(E90),0,IF((YEAR(D90)+4)&gt;YEAR(E90),1,(12-MONTH(E90)+1)/12))) + (Q90)*(IF((YEAR(D90)+4)&lt;YEAR(E90),0,IF((YEAR(D90)+4)&gt;YEAR(E90),1,(12-MONTH(E90)+1)/12))))-((P90)*(IF((YEAR(D90)+4)&lt;YEAR(E90),0,IF((YEAR(D90)+4)&gt;YEAR(E90),1,(12-MONTH(E90)+1)/12))) + (R90)*(IF((YEAR(D90)+4)&lt;YEAR(E90),0,IF((YEAR(D90)+4)&gt;YEAR(E90),1,(12-MONTH(E90)+1)/12))))-(IF(OR(N90="",N90&lt;=0),0,(O90/N90)*(IF(OR(N90="",N90&lt;=0),0,IF((YEAR(D90)+4)&lt;YEAR(E90),0,IF((YEAR(D90)+4)&gt;=YEAR(E90)+N90,0,IF((YEAR(D90)+4)=YEAR(E90),(12-MONTH(E90)+1)/12,1))))))))*TaxRate,0))-IF(4=0,O90,0))</f>
        <v/>
      </c>
      <c r="X90" s="29">
        <f>IF(A90="","",((K90)*(IF(M90="",L90,IFERROR(IF(INDEX(Variablen!$I:$AT, MATCH(M90, Variablen!$A:$A, 0), MATCH((YEAR(D90)+5), Variablen!$I$3:$AT$3, 0))="",L90,INDEX(Variablen!$I:$AT, MATCH(M90, Variablen!$A:$A, 0), MATCH((YEAR(D90)+5), Variablen!$I$3:$AT$3, 0))),L90)))*(IF((YEAR(D90)+5)&lt;YEAR(E90),0,IF((YEAR(D90)+5)&gt;YEAR(E90),1,(12-MONTH(E90)+1)/12))) + (Q90)*(IF((YEAR(D90)+5)&lt;YEAR(E90),0,IF((YEAR(D90)+5)&gt;YEAR(E90),1,(12-MONTH(E90)+1)/12))))-((P90)*(IF((YEAR(D90)+5)&lt;YEAR(E90),0,IF((YEAR(D90)+5)&gt;YEAR(E90),1,(12-MONTH(E90)+1)/12))) + (R90)*(IF((YEAR(D90)+5)&lt;YEAR(E90),0,IF((YEAR(D90)+5)&gt;YEAR(E90),1,(12-MONTH(E90)+1)/12))))-(IF((((K90)*(IF(M90="",L90,IFERROR(IF(INDEX(Variablen!$I:$AT, MATCH(M90, Variablen!$A:$A, 0), MATCH((YEAR(D90)+5), Variablen!$I$3:$AT$3, 0))="",L90,INDEX(Variablen!$I:$AT, MATCH(M90, Variablen!$A:$A, 0), MATCH((YEAR(D90)+5), Variablen!$I$3:$AT$3, 0))),L90)))*(IF((YEAR(D90)+5)&lt;YEAR(E90),0,IF((YEAR(D90)+5)&gt;YEAR(E90),1,(12-MONTH(E90)+1)/12))) + (Q90)*(IF((YEAR(D90)+5)&lt;YEAR(E90),0,IF((YEAR(D90)+5)&gt;YEAR(E90),1,(12-MONTH(E90)+1)/12))))-((P90)*(IF((YEAR(D90)+5)&lt;YEAR(E90),0,IF((YEAR(D90)+5)&gt;YEAR(E90),1,(12-MONTH(E90)+1)/12))) + (R90)*(IF((YEAR(D90)+5)&lt;YEAR(E90),0,IF((YEAR(D90)+5)&gt;YEAR(E90),1,(12-MONTH(E90)+1)/12))))-(IF(OR(N90="",N90&lt;=0),0,(O90/N90)*(IF(OR(N90="",N90&lt;=0),0,IF((YEAR(D90)+5)&lt;YEAR(E90),0,IF((YEAR(D90)+5)&gt;=YEAR(E90)+N90,0,IF((YEAR(D90)+5)=YEAR(E90),(12-MONTH(E90)+1)/12,1))))))))&gt;0,(((K90)*(IF(M90="",L90,IFERROR(IF(INDEX(Variablen!$I:$AT, MATCH(M90, Variablen!$A:$A, 0), MATCH((YEAR(D90)+5), Variablen!$I$3:$AT$3, 0))="",L90,INDEX(Variablen!$I:$AT, MATCH(M90, Variablen!$A:$A, 0), MATCH((YEAR(D90)+5), Variablen!$I$3:$AT$3, 0))),L90)))*(IF((YEAR(D90)+5)&lt;YEAR(E90),0,IF((YEAR(D90)+5)&gt;YEAR(E90),1,(12-MONTH(E90)+1)/12))) + (Q90)*(IF((YEAR(D90)+5)&lt;YEAR(E90),0,IF((YEAR(D90)+5)&gt;YEAR(E90),1,(12-MONTH(E90)+1)/12))))-((P90)*(IF((YEAR(D90)+5)&lt;YEAR(E90),0,IF((YEAR(D90)+5)&gt;YEAR(E90),1,(12-MONTH(E90)+1)/12))) + (R90)*(IF((YEAR(D90)+5)&lt;YEAR(E90),0,IF((YEAR(D90)+5)&gt;YEAR(E90),1,(12-MONTH(E90)+1)/12))))-(IF(OR(N90="",N90&lt;=0),0,(O90/N90)*(IF(OR(N90="",N90&lt;=0),0,IF((YEAR(D90)+5)&lt;YEAR(E90),0,IF((YEAR(D90)+5)&gt;=YEAR(E90)+N90,0,IF((YEAR(D90)+5)=YEAR(E90),(12-MONTH(E90)+1)/12,1))))))))*TaxRate,0))-IF(5=0,O90,0))</f>
        <v/>
      </c>
      <c r="Y90" s="29">
        <f>IF(A90="","",((K90)*(IF(M90="",L90,IFERROR(IF(INDEX(Variablen!$I:$AT, MATCH(M90, Variablen!$A:$A, 0), MATCH((YEAR(D90)+6), Variablen!$I$3:$AT$3, 0))="",L90,INDEX(Variablen!$I:$AT, MATCH(M90, Variablen!$A:$A, 0), MATCH((YEAR(D90)+6), Variablen!$I$3:$AT$3, 0))),L90)))*(IF((YEAR(D90)+6)&lt;YEAR(E90),0,IF((YEAR(D90)+6)&gt;YEAR(E90),1,(12-MONTH(E90)+1)/12))) + (Q90)*(IF((YEAR(D90)+6)&lt;YEAR(E90),0,IF((YEAR(D90)+6)&gt;YEAR(E90),1,(12-MONTH(E90)+1)/12))))-((P90)*(IF((YEAR(D90)+6)&lt;YEAR(E90),0,IF((YEAR(D90)+6)&gt;YEAR(E90),1,(12-MONTH(E90)+1)/12))) + (R90)*(IF((YEAR(D90)+6)&lt;YEAR(E90),0,IF((YEAR(D90)+6)&gt;YEAR(E90),1,(12-MONTH(E90)+1)/12))))-(IF((((K90)*(IF(M90="",L90,IFERROR(IF(INDEX(Variablen!$I:$AT, MATCH(M90, Variablen!$A:$A, 0), MATCH((YEAR(D90)+6), Variablen!$I$3:$AT$3, 0))="",L90,INDEX(Variablen!$I:$AT, MATCH(M90, Variablen!$A:$A, 0), MATCH((YEAR(D90)+6), Variablen!$I$3:$AT$3, 0))),L90)))*(IF((YEAR(D90)+6)&lt;YEAR(E90),0,IF((YEAR(D90)+6)&gt;YEAR(E90),1,(12-MONTH(E90)+1)/12))) + (Q90)*(IF((YEAR(D90)+6)&lt;YEAR(E90),0,IF((YEAR(D90)+6)&gt;YEAR(E90),1,(12-MONTH(E90)+1)/12))))-((P90)*(IF((YEAR(D90)+6)&lt;YEAR(E90),0,IF((YEAR(D90)+6)&gt;YEAR(E90),1,(12-MONTH(E90)+1)/12))) + (R90)*(IF((YEAR(D90)+6)&lt;YEAR(E90),0,IF((YEAR(D90)+6)&gt;YEAR(E90),1,(12-MONTH(E90)+1)/12))))-(IF(OR(N90="",N90&lt;=0),0,(O90/N90)*(IF(OR(N90="",N90&lt;=0),0,IF((YEAR(D90)+6)&lt;YEAR(E90),0,IF((YEAR(D90)+6)&gt;=YEAR(E90)+N90,0,IF((YEAR(D90)+6)=YEAR(E90),(12-MONTH(E90)+1)/12,1))))))))&gt;0,(((K90)*(IF(M90="",L90,IFERROR(IF(INDEX(Variablen!$I:$AT, MATCH(M90, Variablen!$A:$A, 0), MATCH((YEAR(D90)+6), Variablen!$I$3:$AT$3, 0))="",L90,INDEX(Variablen!$I:$AT, MATCH(M90, Variablen!$A:$A, 0), MATCH((YEAR(D90)+6), Variablen!$I$3:$AT$3, 0))),L90)))*(IF((YEAR(D90)+6)&lt;YEAR(E90),0,IF((YEAR(D90)+6)&gt;YEAR(E90),1,(12-MONTH(E90)+1)/12))) + (Q90)*(IF((YEAR(D90)+6)&lt;YEAR(E90),0,IF((YEAR(D90)+6)&gt;YEAR(E90),1,(12-MONTH(E90)+1)/12))))-((P90)*(IF((YEAR(D90)+6)&lt;YEAR(E90),0,IF((YEAR(D90)+6)&gt;YEAR(E90),1,(12-MONTH(E90)+1)/12))) + (R90)*(IF((YEAR(D90)+6)&lt;YEAR(E90),0,IF((YEAR(D90)+6)&gt;YEAR(E90),1,(12-MONTH(E90)+1)/12))))-(IF(OR(N90="",N90&lt;=0),0,(O90/N90)*(IF(OR(N90="",N90&lt;=0),0,IF((YEAR(D90)+6)&lt;YEAR(E90),0,IF((YEAR(D90)+6)&gt;=YEAR(E90)+N90,0,IF((YEAR(D90)+6)=YEAR(E90),(12-MONTH(E90)+1)/12,1))))))))*TaxRate,0))-IF(6=0,O90,0))</f>
        <v/>
      </c>
      <c r="Z90" s="29">
        <f>IF(A90="","",((K90)*(IF(M90="",L90,IFERROR(IF(INDEX(Variablen!$I:$AT, MATCH(M90, Variablen!$A:$A, 0), MATCH((YEAR(D90)+7), Variablen!$I$3:$AT$3, 0))="",L90,INDEX(Variablen!$I:$AT, MATCH(M90, Variablen!$A:$A, 0), MATCH((YEAR(D90)+7), Variablen!$I$3:$AT$3, 0))),L90)))*(IF((YEAR(D90)+7)&lt;YEAR(E90),0,IF((YEAR(D90)+7)&gt;YEAR(E90),1,(12-MONTH(E90)+1)/12))) + (Q90)*(IF((YEAR(D90)+7)&lt;YEAR(E90),0,IF((YEAR(D90)+7)&gt;YEAR(E90),1,(12-MONTH(E90)+1)/12))))-((P90)*(IF((YEAR(D90)+7)&lt;YEAR(E90),0,IF((YEAR(D90)+7)&gt;YEAR(E90),1,(12-MONTH(E90)+1)/12))) + (R90)*(IF((YEAR(D90)+7)&lt;YEAR(E90),0,IF((YEAR(D90)+7)&gt;YEAR(E90),1,(12-MONTH(E90)+1)/12))))-(IF((((K90)*(IF(M90="",L90,IFERROR(IF(INDEX(Variablen!$I:$AT, MATCH(M90, Variablen!$A:$A, 0), MATCH((YEAR(D90)+7), Variablen!$I$3:$AT$3, 0))="",L90,INDEX(Variablen!$I:$AT, MATCH(M90, Variablen!$A:$A, 0), MATCH((YEAR(D90)+7), Variablen!$I$3:$AT$3, 0))),L90)))*(IF((YEAR(D90)+7)&lt;YEAR(E90),0,IF((YEAR(D90)+7)&gt;YEAR(E90),1,(12-MONTH(E90)+1)/12))) + (Q90)*(IF((YEAR(D90)+7)&lt;YEAR(E90),0,IF((YEAR(D90)+7)&gt;YEAR(E90),1,(12-MONTH(E90)+1)/12))))-((P90)*(IF((YEAR(D90)+7)&lt;YEAR(E90),0,IF((YEAR(D90)+7)&gt;YEAR(E90),1,(12-MONTH(E90)+1)/12))) + (R90)*(IF((YEAR(D90)+7)&lt;YEAR(E90),0,IF((YEAR(D90)+7)&gt;YEAR(E90),1,(12-MONTH(E90)+1)/12))))-(IF(OR(N90="",N90&lt;=0),0,(O90/N90)*(IF(OR(N90="",N90&lt;=0),0,IF((YEAR(D90)+7)&lt;YEAR(E90),0,IF((YEAR(D90)+7)&gt;=YEAR(E90)+N90,0,IF((YEAR(D90)+7)=YEAR(E90),(12-MONTH(E90)+1)/12,1))))))))&gt;0,(((K90)*(IF(M90="",L90,IFERROR(IF(INDEX(Variablen!$I:$AT, MATCH(M90, Variablen!$A:$A, 0), MATCH((YEAR(D90)+7), Variablen!$I$3:$AT$3, 0))="",L90,INDEX(Variablen!$I:$AT, MATCH(M90, Variablen!$A:$A, 0), MATCH((YEAR(D90)+7), Variablen!$I$3:$AT$3, 0))),L90)))*(IF((YEAR(D90)+7)&lt;YEAR(E90),0,IF((YEAR(D90)+7)&gt;YEAR(E90),1,(12-MONTH(E90)+1)/12))) + (Q90)*(IF((YEAR(D90)+7)&lt;YEAR(E90),0,IF((YEAR(D90)+7)&gt;YEAR(E90),1,(12-MONTH(E90)+1)/12))))-((P90)*(IF((YEAR(D90)+7)&lt;YEAR(E90),0,IF((YEAR(D90)+7)&gt;YEAR(E90),1,(12-MONTH(E90)+1)/12))) + (R90)*(IF((YEAR(D90)+7)&lt;YEAR(E90),0,IF((YEAR(D90)+7)&gt;YEAR(E90),1,(12-MONTH(E90)+1)/12))))-(IF(OR(N90="",N90&lt;=0),0,(O90/N90)*(IF(OR(N90="",N90&lt;=0),0,IF((YEAR(D90)+7)&lt;YEAR(E90),0,IF((YEAR(D90)+7)&gt;=YEAR(E90)+N90,0,IF((YEAR(D90)+7)=YEAR(E90),(12-MONTH(E90)+1)/12,1))))))))*TaxRate,0))-IF(7=0,O90,0))</f>
        <v/>
      </c>
      <c r="AA90" s="29">
        <f>IF(A90="","",((K90)*(IF(M90="",L90,IFERROR(IF(INDEX(Variablen!$I:$AT, MATCH(M90, Variablen!$A:$A, 0), MATCH((YEAR(D90)+8), Variablen!$I$3:$AT$3, 0))="",L90,INDEX(Variablen!$I:$AT, MATCH(M90, Variablen!$A:$A, 0), MATCH((YEAR(D90)+8), Variablen!$I$3:$AT$3, 0))),L90)))*(IF((YEAR(D90)+8)&lt;YEAR(E90),0,IF((YEAR(D90)+8)&gt;YEAR(E90),1,(12-MONTH(E90)+1)/12))) + (Q90)*(IF((YEAR(D90)+8)&lt;YEAR(E90),0,IF((YEAR(D90)+8)&gt;YEAR(E90),1,(12-MONTH(E90)+1)/12))))-((P90)*(IF((YEAR(D90)+8)&lt;YEAR(E90),0,IF((YEAR(D90)+8)&gt;YEAR(E90),1,(12-MONTH(E90)+1)/12))) + (R90)*(IF((YEAR(D90)+8)&lt;YEAR(E90),0,IF((YEAR(D90)+8)&gt;YEAR(E90),1,(12-MONTH(E90)+1)/12))))-(IF((((K90)*(IF(M90="",L90,IFERROR(IF(INDEX(Variablen!$I:$AT, MATCH(M90, Variablen!$A:$A, 0), MATCH((YEAR(D90)+8), Variablen!$I$3:$AT$3, 0))="",L90,INDEX(Variablen!$I:$AT, MATCH(M90, Variablen!$A:$A, 0), MATCH((YEAR(D90)+8), Variablen!$I$3:$AT$3, 0))),L90)))*(IF((YEAR(D90)+8)&lt;YEAR(E90),0,IF((YEAR(D90)+8)&gt;YEAR(E90),1,(12-MONTH(E90)+1)/12))) + (Q90)*(IF((YEAR(D90)+8)&lt;YEAR(E90),0,IF((YEAR(D90)+8)&gt;YEAR(E90),1,(12-MONTH(E90)+1)/12))))-((P90)*(IF((YEAR(D90)+8)&lt;YEAR(E90),0,IF((YEAR(D90)+8)&gt;YEAR(E90),1,(12-MONTH(E90)+1)/12))) + (R90)*(IF((YEAR(D90)+8)&lt;YEAR(E90),0,IF((YEAR(D90)+8)&gt;YEAR(E90),1,(12-MONTH(E90)+1)/12))))-(IF(OR(N90="",N90&lt;=0),0,(O90/N90)*(IF(OR(N90="",N90&lt;=0),0,IF((YEAR(D90)+8)&lt;YEAR(E90),0,IF((YEAR(D90)+8)&gt;=YEAR(E90)+N90,0,IF((YEAR(D90)+8)=YEAR(E90),(12-MONTH(E90)+1)/12,1))))))))&gt;0,(((K90)*(IF(M90="",L90,IFERROR(IF(INDEX(Variablen!$I:$AT, MATCH(M90, Variablen!$A:$A, 0), MATCH((YEAR(D90)+8), Variablen!$I$3:$AT$3, 0))="",L90,INDEX(Variablen!$I:$AT, MATCH(M90, Variablen!$A:$A, 0), MATCH((YEAR(D90)+8), Variablen!$I$3:$AT$3, 0))),L90)))*(IF((YEAR(D90)+8)&lt;YEAR(E90),0,IF((YEAR(D90)+8)&gt;YEAR(E90),1,(12-MONTH(E90)+1)/12))) + (Q90)*(IF((YEAR(D90)+8)&lt;YEAR(E90),0,IF((YEAR(D90)+8)&gt;YEAR(E90),1,(12-MONTH(E90)+1)/12))))-((P90)*(IF((YEAR(D90)+8)&lt;YEAR(E90),0,IF((YEAR(D90)+8)&gt;YEAR(E90),1,(12-MONTH(E90)+1)/12))) + (R90)*(IF((YEAR(D90)+8)&lt;YEAR(E90),0,IF((YEAR(D90)+8)&gt;YEAR(E90),1,(12-MONTH(E90)+1)/12))))-(IF(OR(N90="",N90&lt;=0),0,(O90/N90)*(IF(OR(N90="",N90&lt;=0),0,IF((YEAR(D90)+8)&lt;YEAR(E90),0,IF((YEAR(D90)+8)&gt;=YEAR(E90)+N90,0,IF((YEAR(D90)+8)=YEAR(E90),(12-MONTH(E90)+1)/12,1))))))))*TaxRate,0))-IF(8=0,O90,0))</f>
        <v/>
      </c>
      <c r="AB90" s="29">
        <f>IF(A90="","",((K90)*(IF(M90="",L90,IFERROR(IF(INDEX(Variablen!$I:$AT, MATCH(M90, Variablen!$A:$A, 0), MATCH((YEAR(D90)+9), Variablen!$I$3:$AT$3, 0))="",L90,INDEX(Variablen!$I:$AT, MATCH(M90, Variablen!$A:$A, 0), MATCH((YEAR(D90)+9), Variablen!$I$3:$AT$3, 0))),L90)))*(IF((YEAR(D90)+9)&lt;YEAR(E90),0,IF((YEAR(D90)+9)&gt;YEAR(E90),1,(12-MONTH(E90)+1)/12))) + (Q90)*(IF((YEAR(D90)+9)&lt;YEAR(E90),0,IF((YEAR(D90)+9)&gt;YEAR(E90),1,(12-MONTH(E90)+1)/12))))-((P90)*(IF((YEAR(D90)+9)&lt;YEAR(E90),0,IF((YEAR(D90)+9)&gt;YEAR(E90),1,(12-MONTH(E90)+1)/12))) + (R90)*(IF((YEAR(D90)+9)&lt;YEAR(E90),0,IF((YEAR(D90)+9)&gt;YEAR(E90),1,(12-MONTH(E90)+1)/12))))-(IF((((K90)*(IF(M90="",L90,IFERROR(IF(INDEX(Variablen!$I:$AT, MATCH(M90, Variablen!$A:$A, 0), MATCH((YEAR(D90)+9), Variablen!$I$3:$AT$3, 0))="",L90,INDEX(Variablen!$I:$AT, MATCH(M90, Variablen!$A:$A, 0), MATCH((YEAR(D90)+9), Variablen!$I$3:$AT$3, 0))),L90)))*(IF((YEAR(D90)+9)&lt;YEAR(E90),0,IF((YEAR(D90)+9)&gt;YEAR(E90),1,(12-MONTH(E90)+1)/12))) + (Q90)*(IF((YEAR(D90)+9)&lt;YEAR(E90),0,IF((YEAR(D90)+9)&gt;YEAR(E90),1,(12-MONTH(E90)+1)/12))))-((P90)*(IF((YEAR(D90)+9)&lt;YEAR(E90),0,IF((YEAR(D90)+9)&gt;YEAR(E90),1,(12-MONTH(E90)+1)/12))) + (R90)*(IF((YEAR(D90)+9)&lt;YEAR(E90),0,IF((YEAR(D90)+9)&gt;YEAR(E90),1,(12-MONTH(E90)+1)/12))))-(IF(OR(N90="",N90&lt;=0),0,(O90/N90)*(IF(OR(N90="",N90&lt;=0),0,IF((YEAR(D90)+9)&lt;YEAR(E90),0,IF((YEAR(D90)+9)&gt;=YEAR(E90)+N90,0,IF((YEAR(D90)+9)=YEAR(E90),(12-MONTH(E90)+1)/12,1))))))))&gt;0,(((K90)*(IF(M90="",L90,IFERROR(IF(INDEX(Variablen!$I:$AT, MATCH(M90, Variablen!$A:$A, 0), MATCH((YEAR(D90)+9), Variablen!$I$3:$AT$3, 0))="",L90,INDEX(Variablen!$I:$AT, MATCH(M90, Variablen!$A:$A, 0), MATCH((YEAR(D90)+9), Variablen!$I$3:$AT$3, 0))),L90)))*(IF((YEAR(D90)+9)&lt;YEAR(E90),0,IF((YEAR(D90)+9)&gt;YEAR(E90),1,(12-MONTH(E90)+1)/12))) + (Q90)*(IF((YEAR(D90)+9)&lt;YEAR(E90),0,IF((YEAR(D90)+9)&gt;YEAR(E90),1,(12-MONTH(E90)+1)/12))))-((P90)*(IF((YEAR(D90)+9)&lt;YEAR(E90),0,IF((YEAR(D90)+9)&gt;YEAR(E90),1,(12-MONTH(E90)+1)/12))) + (R90)*(IF((YEAR(D90)+9)&lt;YEAR(E90),0,IF((YEAR(D90)+9)&gt;YEAR(E90),1,(12-MONTH(E90)+1)/12))))-(IF(OR(N90="",N90&lt;=0),0,(O90/N90)*(IF(OR(N90="",N90&lt;=0),0,IF((YEAR(D90)+9)&lt;YEAR(E90),0,IF((YEAR(D90)+9)&gt;=YEAR(E90)+N90,0,IF((YEAR(D90)+9)=YEAR(E90),(12-MONTH(E90)+1)/12,1))))))))*TaxRate,0))-IF(9=0,O90,0))</f>
        <v/>
      </c>
      <c r="AC90" s="29">
        <f>IF(A90="","",((K90)*(IF(M90="",L90,IFERROR(IF(INDEX(Variablen!$I:$AT, MATCH(M90, Variablen!$A:$A, 0), MATCH((YEAR(D90)+10), Variablen!$I$3:$AT$3, 0))="",L90,INDEX(Variablen!$I:$AT, MATCH(M90, Variablen!$A:$A, 0), MATCH((YEAR(D90)+10), Variablen!$I$3:$AT$3, 0))),L90)))*(IF((YEAR(D90)+10)&lt;YEAR(E90),0,IF((YEAR(D90)+10)&gt;YEAR(E90),1,(12-MONTH(E90)+1)/12))) + (Q90)*(IF((YEAR(D90)+10)&lt;YEAR(E90),0,IF((YEAR(D90)+10)&gt;YEAR(E90),1,(12-MONTH(E90)+1)/12))))-((P90)*(IF((YEAR(D90)+10)&lt;YEAR(E90),0,IF((YEAR(D90)+10)&gt;YEAR(E90),1,(12-MONTH(E90)+1)/12))) + (R90)*(IF((YEAR(D90)+10)&lt;YEAR(E90),0,IF((YEAR(D90)+10)&gt;YEAR(E90),1,(12-MONTH(E90)+1)/12))))-(IF((((K90)*(IF(M90="",L90,IFERROR(IF(INDEX(Variablen!$I:$AT, MATCH(M90, Variablen!$A:$A, 0), MATCH((YEAR(D90)+10), Variablen!$I$3:$AT$3, 0))="",L90,INDEX(Variablen!$I:$AT, MATCH(M90, Variablen!$A:$A, 0), MATCH((YEAR(D90)+10), Variablen!$I$3:$AT$3, 0))),L90)))*(IF((YEAR(D90)+10)&lt;YEAR(E90),0,IF((YEAR(D90)+10)&gt;YEAR(E90),1,(12-MONTH(E90)+1)/12))) + (Q90)*(IF((YEAR(D90)+10)&lt;YEAR(E90),0,IF((YEAR(D90)+10)&gt;YEAR(E90),1,(12-MONTH(E90)+1)/12))))-((P90)*(IF((YEAR(D90)+10)&lt;YEAR(E90),0,IF((YEAR(D90)+10)&gt;YEAR(E90),1,(12-MONTH(E90)+1)/12))) + (R90)*(IF((YEAR(D90)+10)&lt;YEAR(E90),0,IF((YEAR(D90)+10)&gt;YEAR(E90),1,(12-MONTH(E90)+1)/12))))-(IF(OR(N90="",N90&lt;=0),0,(O90/N90)*(IF(OR(N90="",N90&lt;=0),0,IF((YEAR(D90)+10)&lt;YEAR(E90),0,IF((YEAR(D90)+10)&gt;=YEAR(E90)+N90,0,IF((YEAR(D90)+10)=YEAR(E90),(12-MONTH(E90)+1)/12,1))))))))&gt;0,(((K90)*(IF(M90="",L90,IFERROR(IF(INDEX(Variablen!$I:$AT, MATCH(M90, Variablen!$A:$A, 0), MATCH((YEAR(D90)+10), Variablen!$I$3:$AT$3, 0))="",L90,INDEX(Variablen!$I:$AT, MATCH(M90, Variablen!$A:$A, 0), MATCH((YEAR(D90)+10), Variablen!$I$3:$AT$3, 0))),L90)))*(IF((YEAR(D90)+10)&lt;YEAR(E90),0,IF((YEAR(D90)+10)&gt;YEAR(E90),1,(12-MONTH(E90)+1)/12))) + (Q90)*(IF((YEAR(D90)+10)&lt;YEAR(E90),0,IF((YEAR(D90)+10)&gt;YEAR(E90),1,(12-MONTH(E90)+1)/12))))-((P90)*(IF((YEAR(D90)+10)&lt;YEAR(E90),0,IF((YEAR(D90)+10)&gt;YEAR(E90),1,(12-MONTH(E90)+1)/12))) + (R90)*(IF((YEAR(D90)+10)&lt;YEAR(E90),0,IF((YEAR(D90)+10)&gt;YEAR(E90),1,(12-MONTH(E90)+1)/12))))-(IF(OR(N90="",N90&lt;=0),0,(O90/N90)*(IF(OR(N90="",N90&lt;=0),0,IF((YEAR(D90)+10)&lt;YEAR(E90),0,IF((YEAR(D90)+10)&gt;=YEAR(E90)+N90,0,IF((YEAR(D90)+10)=YEAR(E90),(12-MONTH(E90)+1)/12,1))))))))*TaxRate,0))-IF(10=0,O90,0))</f>
        <v/>
      </c>
      <c r="AD90" s="29">
        <f>IF(A90="","",((K90)*(IF(M90="",L90,IFERROR(IF(INDEX(Variablen!$I:$AT, MATCH(M90, Variablen!$A:$A, 0), MATCH((YEAR(D90)+11), Variablen!$I$3:$AT$3, 0))="",L90,INDEX(Variablen!$I:$AT, MATCH(M90, Variablen!$A:$A, 0), MATCH((YEAR(D90)+11), Variablen!$I$3:$AT$3, 0))),L90)))*(IF((YEAR(D90)+11)&lt;YEAR(E90),0,IF((YEAR(D90)+11)&gt;YEAR(E90),1,(12-MONTH(E90)+1)/12))) + (Q90)*(IF((YEAR(D90)+11)&lt;YEAR(E90),0,IF((YEAR(D90)+11)&gt;YEAR(E90),1,(12-MONTH(E90)+1)/12))))-((P90)*(IF((YEAR(D90)+11)&lt;YEAR(E90),0,IF((YEAR(D90)+11)&gt;YEAR(E90),1,(12-MONTH(E90)+1)/12))) + (R90)*(IF((YEAR(D90)+11)&lt;YEAR(E90),0,IF((YEAR(D90)+11)&gt;YEAR(E90),1,(12-MONTH(E90)+1)/12))))-(IF((((K90)*(IF(M90="",L90,IFERROR(IF(INDEX(Variablen!$I:$AT, MATCH(M90, Variablen!$A:$A, 0), MATCH((YEAR(D90)+11), Variablen!$I$3:$AT$3, 0))="",L90,INDEX(Variablen!$I:$AT, MATCH(M90, Variablen!$A:$A, 0), MATCH((YEAR(D90)+11), Variablen!$I$3:$AT$3, 0))),L90)))*(IF((YEAR(D90)+11)&lt;YEAR(E90),0,IF((YEAR(D90)+11)&gt;YEAR(E90),1,(12-MONTH(E90)+1)/12))) + (Q90)*(IF((YEAR(D90)+11)&lt;YEAR(E90),0,IF((YEAR(D90)+11)&gt;YEAR(E90),1,(12-MONTH(E90)+1)/12))))-((P90)*(IF((YEAR(D90)+11)&lt;YEAR(E90),0,IF((YEAR(D90)+11)&gt;YEAR(E90),1,(12-MONTH(E90)+1)/12))) + (R90)*(IF((YEAR(D90)+11)&lt;YEAR(E90),0,IF((YEAR(D90)+11)&gt;YEAR(E90),1,(12-MONTH(E90)+1)/12))))-(IF(OR(N90="",N90&lt;=0),0,(O90/N90)*(IF(OR(N90="",N90&lt;=0),0,IF((YEAR(D90)+11)&lt;YEAR(E90),0,IF((YEAR(D90)+11)&gt;=YEAR(E90)+N90,0,IF((YEAR(D90)+11)=YEAR(E90),(12-MONTH(E90)+1)/12,1))))))))&gt;0,(((K90)*(IF(M90="",L90,IFERROR(IF(INDEX(Variablen!$I:$AT, MATCH(M90, Variablen!$A:$A, 0), MATCH((YEAR(D90)+11), Variablen!$I$3:$AT$3, 0))="",L90,INDEX(Variablen!$I:$AT, MATCH(M90, Variablen!$A:$A, 0), MATCH((YEAR(D90)+11), Variablen!$I$3:$AT$3, 0))),L90)))*(IF((YEAR(D90)+11)&lt;YEAR(E90),0,IF((YEAR(D90)+11)&gt;YEAR(E90),1,(12-MONTH(E90)+1)/12))) + (Q90)*(IF((YEAR(D90)+11)&lt;YEAR(E90),0,IF((YEAR(D90)+11)&gt;YEAR(E90),1,(12-MONTH(E90)+1)/12))))-((P90)*(IF((YEAR(D90)+11)&lt;YEAR(E90),0,IF((YEAR(D90)+11)&gt;YEAR(E90),1,(12-MONTH(E90)+1)/12))) + (R90)*(IF((YEAR(D90)+11)&lt;YEAR(E90),0,IF((YEAR(D90)+11)&gt;YEAR(E90),1,(12-MONTH(E90)+1)/12))))-(IF(OR(N90="",N90&lt;=0),0,(O90/N90)*(IF(OR(N90="",N90&lt;=0),0,IF((YEAR(D90)+11)&lt;YEAR(E90),0,IF((YEAR(D90)+11)&gt;=YEAR(E90)+N90,0,IF((YEAR(D90)+11)=YEAR(E90),(12-MONTH(E90)+1)/12,1))))))))*TaxRate,0))-IF(11=0,O90,0))</f>
        <v/>
      </c>
      <c r="AE90" s="29">
        <f>IF(A90="","",((K90)*(IF(M90="",L90,IFERROR(IF(INDEX(Variablen!$I:$AT, MATCH(M90, Variablen!$A:$A, 0), MATCH((YEAR(D90)+12), Variablen!$I$3:$AT$3, 0))="",L90,INDEX(Variablen!$I:$AT, MATCH(M90, Variablen!$A:$A, 0), MATCH((YEAR(D90)+12), Variablen!$I$3:$AT$3, 0))),L90)))*(IF((YEAR(D90)+12)&lt;YEAR(E90),0,IF((YEAR(D90)+12)&gt;YEAR(E90),1,(12-MONTH(E90)+1)/12))) + (Q90)*(IF((YEAR(D90)+12)&lt;YEAR(E90),0,IF((YEAR(D90)+12)&gt;YEAR(E90),1,(12-MONTH(E90)+1)/12))))-((P90)*(IF((YEAR(D90)+12)&lt;YEAR(E90),0,IF((YEAR(D90)+12)&gt;YEAR(E90),1,(12-MONTH(E90)+1)/12))) + (R90)*(IF((YEAR(D90)+12)&lt;YEAR(E90),0,IF((YEAR(D90)+12)&gt;YEAR(E90),1,(12-MONTH(E90)+1)/12))))-(IF((((K90)*(IF(M90="",L90,IFERROR(IF(INDEX(Variablen!$I:$AT, MATCH(M90, Variablen!$A:$A, 0), MATCH((YEAR(D90)+12), Variablen!$I$3:$AT$3, 0))="",L90,INDEX(Variablen!$I:$AT, MATCH(M90, Variablen!$A:$A, 0), MATCH((YEAR(D90)+12), Variablen!$I$3:$AT$3, 0))),L90)))*(IF((YEAR(D90)+12)&lt;YEAR(E90),0,IF((YEAR(D90)+12)&gt;YEAR(E90),1,(12-MONTH(E90)+1)/12))) + (Q90)*(IF((YEAR(D90)+12)&lt;YEAR(E90),0,IF((YEAR(D90)+12)&gt;YEAR(E90),1,(12-MONTH(E90)+1)/12))))-((P90)*(IF((YEAR(D90)+12)&lt;YEAR(E90),0,IF((YEAR(D90)+12)&gt;YEAR(E90),1,(12-MONTH(E90)+1)/12))) + (R90)*(IF((YEAR(D90)+12)&lt;YEAR(E90),0,IF((YEAR(D90)+12)&gt;YEAR(E90),1,(12-MONTH(E90)+1)/12))))-(IF(OR(N90="",N90&lt;=0),0,(O90/N90)*(IF(OR(N90="",N90&lt;=0),0,IF((YEAR(D90)+12)&lt;YEAR(E90),0,IF((YEAR(D90)+12)&gt;=YEAR(E90)+N90,0,IF((YEAR(D90)+12)=YEAR(E90),(12-MONTH(E90)+1)/12,1))))))))&gt;0,(((K90)*(IF(M90="",L90,IFERROR(IF(INDEX(Variablen!$I:$AT, MATCH(M90, Variablen!$A:$A, 0), MATCH((YEAR(D90)+12), Variablen!$I$3:$AT$3, 0))="",L90,INDEX(Variablen!$I:$AT, MATCH(M90, Variablen!$A:$A, 0), MATCH((YEAR(D90)+12), Variablen!$I$3:$AT$3, 0))),L90)))*(IF((YEAR(D90)+12)&lt;YEAR(E90),0,IF((YEAR(D90)+12)&gt;YEAR(E90),1,(12-MONTH(E90)+1)/12))) + (Q90)*(IF((YEAR(D90)+12)&lt;YEAR(E90),0,IF((YEAR(D90)+12)&gt;YEAR(E90),1,(12-MONTH(E90)+1)/12))))-((P90)*(IF((YEAR(D90)+12)&lt;YEAR(E90),0,IF((YEAR(D90)+12)&gt;YEAR(E90),1,(12-MONTH(E90)+1)/12))) + (R90)*(IF((YEAR(D90)+12)&lt;YEAR(E90),0,IF((YEAR(D90)+12)&gt;YEAR(E90),1,(12-MONTH(E90)+1)/12))))-(IF(OR(N90="",N90&lt;=0),0,(O90/N90)*(IF(OR(N90="",N90&lt;=0),0,IF((YEAR(D90)+12)&lt;YEAR(E90),0,IF((YEAR(D90)+12)&gt;=YEAR(E90)+N90,0,IF((YEAR(D90)+12)=YEAR(E90),(12-MONTH(E90)+1)/12,1))))))))*TaxRate,0))-IF(12=0,O90,0))</f>
        <v/>
      </c>
      <c r="AF90" s="29">
        <f>IF(A90="","",((K90)*(IF(M90="",L90,IFERROR(IF(INDEX(Variablen!$I:$AT, MATCH(M90, Variablen!$A:$A, 0), MATCH((YEAR(D90)+13), Variablen!$I$3:$AT$3, 0))="",L90,INDEX(Variablen!$I:$AT, MATCH(M90, Variablen!$A:$A, 0), MATCH((YEAR(D90)+13), Variablen!$I$3:$AT$3, 0))),L90)))*(IF((YEAR(D90)+13)&lt;YEAR(E90),0,IF((YEAR(D90)+13)&gt;YEAR(E90),1,(12-MONTH(E90)+1)/12))) + (Q90)*(IF((YEAR(D90)+13)&lt;YEAR(E90),0,IF((YEAR(D90)+13)&gt;YEAR(E90),1,(12-MONTH(E90)+1)/12))))-((P90)*(IF((YEAR(D90)+13)&lt;YEAR(E90),0,IF((YEAR(D90)+13)&gt;YEAR(E90),1,(12-MONTH(E90)+1)/12))) + (R90)*(IF((YEAR(D90)+13)&lt;YEAR(E90),0,IF((YEAR(D90)+13)&gt;YEAR(E90),1,(12-MONTH(E90)+1)/12))))-(IF((((K90)*(IF(M90="",L90,IFERROR(IF(INDEX(Variablen!$I:$AT, MATCH(M90, Variablen!$A:$A, 0), MATCH((YEAR(D90)+13), Variablen!$I$3:$AT$3, 0))="",L90,INDEX(Variablen!$I:$AT, MATCH(M90, Variablen!$A:$A, 0), MATCH((YEAR(D90)+13), Variablen!$I$3:$AT$3, 0))),L90)))*(IF((YEAR(D90)+13)&lt;YEAR(E90),0,IF((YEAR(D90)+13)&gt;YEAR(E90),1,(12-MONTH(E90)+1)/12))) + (Q90)*(IF((YEAR(D90)+13)&lt;YEAR(E90),0,IF((YEAR(D90)+13)&gt;YEAR(E90),1,(12-MONTH(E90)+1)/12))))-((P90)*(IF((YEAR(D90)+13)&lt;YEAR(E90),0,IF((YEAR(D90)+13)&gt;YEAR(E90),1,(12-MONTH(E90)+1)/12))) + (R90)*(IF((YEAR(D90)+13)&lt;YEAR(E90),0,IF((YEAR(D90)+13)&gt;YEAR(E90),1,(12-MONTH(E90)+1)/12))))-(IF(OR(N90="",N90&lt;=0),0,(O90/N90)*(IF(OR(N90="",N90&lt;=0),0,IF((YEAR(D90)+13)&lt;YEAR(E90),0,IF((YEAR(D90)+13)&gt;=YEAR(E90)+N90,0,IF((YEAR(D90)+13)=YEAR(E90),(12-MONTH(E90)+1)/12,1))))))))&gt;0,(((K90)*(IF(M90="",L90,IFERROR(IF(INDEX(Variablen!$I:$AT, MATCH(M90, Variablen!$A:$A, 0), MATCH((YEAR(D90)+13), Variablen!$I$3:$AT$3, 0))="",L90,INDEX(Variablen!$I:$AT, MATCH(M90, Variablen!$A:$A, 0), MATCH((YEAR(D90)+13), Variablen!$I$3:$AT$3, 0))),L90)))*(IF((YEAR(D90)+13)&lt;YEAR(E90),0,IF((YEAR(D90)+13)&gt;YEAR(E90),1,(12-MONTH(E90)+1)/12))) + (Q90)*(IF((YEAR(D90)+13)&lt;YEAR(E90),0,IF((YEAR(D90)+13)&gt;YEAR(E90),1,(12-MONTH(E90)+1)/12))))-((P90)*(IF((YEAR(D90)+13)&lt;YEAR(E90),0,IF((YEAR(D90)+13)&gt;YEAR(E90),1,(12-MONTH(E90)+1)/12))) + (R90)*(IF((YEAR(D90)+13)&lt;YEAR(E90),0,IF((YEAR(D90)+13)&gt;YEAR(E90),1,(12-MONTH(E90)+1)/12))))-(IF(OR(N90="",N90&lt;=0),0,(O90/N90)*(IF(OR(N90="",N90&lt;=0),0,IF((YEAR(D90)+13)&lt;YEAR(E90),0,IF((YEAR(D90)+13)&gt;=YEAR(E90)+N90,0,IF((YEAR(D90)+13)=YEAR(E90),(12-MONTH(E90)+1)/12,1))))))))*TaxRate,0))-IF(13=0,O90,0))</f>
        <v/>
      </c>
      <c r="AG90" s="29">
        <f>IF(A90="","",((K90)*(IF(M90="",L90,IFERROR(IF(INDEX(Variablen!$I:$AT, MATCH(M90, Variablen!$A:$A, 0), MATCH((YEAR(D90)+14), Variablen!$I$3:$AT$3, 0))="",L90,INDEX(Variablen!$I:$AT, MATCH(M90, Variablen!$A:$A, 0), MATCH((YEAR(D90)+14), Variablen!$I$3:$AT$3, 0))),L90)))*(IF((YEAR(D90)+14)&lt;YEAR(E90),0,IF((YEAR(D90)+14)&gt;YEAR(E90),1,(12-MONTH(E90)+1)/12))) + (Q90)*(IF((YEAR(D90)+14)&lt;YEAR(E90),0,IF((YEAR(D90)+14)&gt;YEAR(E90),1,(12-MONTH(E90)+1)/12))))-((P90)*(IF((YEAR(D90)+14)&lt;YEAR(E90),0,IF((YEAR(D90)+14)&gt;YEAR(E90),1,(12-MONTH(E90)+1)/12))) + (R90)*(IF((YEAR(D90)+14)&lt;YEAR(E90),0,IF((YEAR(D90)+14)&gt;YEAR(E90),1,(12-MONTH(E90)+1)/12))))-(IF((((K90)*(IF(M90="",L90,IFERROR(IF(INDEX(Variablen!$I:$AT, MATCH(M90, Variablen!$A:$A, 0), MATCH((YEAR(D90)+14), Variablen!$I$3:$AT$3, 0))="",L90,INDEX(Variablen!$I:$AT, MATCH(M90, Variablen!$A:$A, 0), MATCH((YEAR(D90)+14), Variablen!$I$3:$AT$3, 0))),L90)))*(IF((YEAR(D90)+14)&lt;YEAR(E90),0,IF((YEAR(D90)+14)&gt;YEAR(E90),1,(12-MONTH(E90)+1)/12))) + (Q90)*(IF((YEAR(D90)+14)&lt;YEAR(E90),0,IF((YEAR(D90)+14)&gt;YEAR(E90),1,(12-MONTH(E90)+1)/12))))-((P90)*(IF((YEAR(D90)+14)&lt;YEAR(E90),0,IF((YEAR(D90)+14)&gt;YEAR(E90),1,(12-MONTH(E90)+1)/12))) + (R90)*(IF((YEAR(D90)+14)&lt;YEAR(E90),0,IF((YEAR(D90)+14)&gt;YEAR(E90),1,(12-MONTH(E90)+1)/12))))-(IF(OR(N90="",N90&lt;=0),0,(O90/N90)*(IF(OR(N90="",N90&lt;=0),0,IF((YEAR(D90)+14)&lt;YEAR(E90),0,IF((YEAR(D90)+14)&gt;=YEAR(E90)+N90,0,IF((YEAR(D90)+14)=YEAR(E90),(12-MONTH(E90)+1)/12,1))))))))&gt;0,(((K90)*(IF(M90="",L90,IFERROR(IF(INDEX(Variablen!$I:$AT, MATCH(M90, Variablen!$A:$A, 0), MATCH((YEAR(D90)+14), Variablen!$I$3:$AT$3, 0))="",L90,INDEX(Variablen!$I:$AT, MATCH(M90, Variablen!$A:$A, 0), MATCH((YEAR(D90)+14), Variablen!$I$3:$AT$3, 0))),L90)))*(IF((YEAR(D90)+14)&lt;YEAR(E90),0,IF((YEAR(D90)+14)&gt;YEAR(E90),1,(12-MONTH(E90)+1)/12))) + (Q90)*(IF((YEAR(D90)+14)&lt;YEAR(E90),0,IF((YEAR(D90)+14)&gt;YEAR(E90),1,(12-MONTH(E90)+1)/12))))-((P90)*(IF((YEAR(D90)+14)&lt;YEAR(E90),0,IF((YEAR(D90)+14)&gt;YEAR(E90),1,(12-MONTH(E90)+1)/12))) + (R90)*(IF((YEAR(D90)+14)&lt;YEAR(E90),0,IF((YEAR(D90)+14)&gt;YEAR(E90),1,(12-MONTH(E90)+1)/12))))-(IF(OR(N90="",N90&lt;=0),0,(O90/N90)*(IF(OR(N90="",N90&lt;=0),0,IF((YEAR(D90)+14)&lt;YEAR(E90),0,IF((YEAR(D90)+14)&gt;=YEAR(E90)+N90,0,IF((YEAR(D90)+14)=YEAR(E90),(12-MONTH(E90)+1)/12,1))))))))*TaxRate,0))-IF(14=0,O90,0))</f>
        <v/>
      </c>
      <c r="AH90" s="29">
        <f>IF(A90="","",((K90)*(IF(M90="",L90,IFERROR(IF(INDEX(Variablen!$I:$AT, MATCH(M90, Variablen!$A:$A, 0), MATCH((YEAR(D90)+15), Variablen!$I$3:$AT$3, 0))="",L90,INDEX(Variablen!$I:$AT, MATCH(M90, Variablen!$A:$A, 0), MATCH((YEAR(D90)+15), Variablen!$I$3:$AT$3, 0))),L90)))*(IF((YEAR(D90)+15)&lt;YEAR(E90),0,IF((YEAR(D90)+15)&gt;YEAR(E90),1,(12-MONTH(E90)+1)/12))) + (Q90)*(IF((YEAR(D90)+15)&lt;YEAR(E90),0,IF((YEAR(D90)+15)&gt;YEAR(E90),1,(12-MONTH(E90)+1)/12))))-((P90)*(IF((YEAR(D90)+15)&lt;YEAR(E90),0,IF((YEAR(D90)+15)&gt;YEAR(E90),1,(12-MONTH(E90)+1)/12))) + (R90)*(IF((YEAR(D90)+15)&lt;YEAR(E90),0,IF((YEAR(D90)+15)&gt;YEAR(E90),1,(12-MONTH(E90)+1)/12))))-(IF((((K90)*(IF(M90="",L90,IFERROR(IF(INDEX(Variablen!$I:$AT, MATCH(M90, Variablen!$A:$A, 0), MATCH((YEAR(D90)+15), Variablen!$I$3:$AT$3, 0))="",L90,INDEX(Variablen!$I:$AT, MATCH(M90, Variablen!$A:$A, 0), MATCH((YEAR(D90)+15), Variablen!$I$3:$AT$3, 0))),L90)))*(IF((YEAR(D90)+15)&lt;YEAR(E90),0,IF((YEAR(D90)+15)&gt;YEAR(E90),1,(12-MONTH(E90)+1)/12))) + (Q90)*(IF((YEAR(D90)+15)&lt;YEAR(E90),0,IF((YEAR(D90)+15)&gt;YEAR(E90),1,(12-MONTH(E90)+1)/12))))-((P90)*(IF((YEAR(D90)+15)&lt;YEAR(E90),0,IF((YEAR(D90)+15)&gt;YEAR(E90),1,(12-MONTH(E90)+1)/12))) + (R90)*(IF((YEAR(D90)+15)&lt;YEAR(E90),0,IF((YEAR(D90)+15)&gt;YEAR(E90),1,(12-MONTH(E90)+1)/12))))-(IF(OR(N90="",N90&lt;=0),0,(O90/N90)*(IF(OR(N90="",N90&lt;=0),0,IF((YEAR(D90)+15)&lt;YEAR(E90),0,IF((YEAR(D90)+15)&gt;=YEAR(E90)+N90,0,IF((YEAR(D90)+15)=YEAR(E90),(12-MONTH(E90)+1)/12,1))))))))&gt;0,(((K90)*(IF(M90="",L90,IFERROR(IF(INDEX(Variablen!$I:$AT, MATCH(M90, Variablen!$A:$A, 0), MATCH((YEAR(D90)+15), Variablen!$I$3:$AT$3, 0))="",L90,INDEX(Variablen!$I:$AT, MATCH(M90, Variablen!$A:$A, 0), MATCH((YEAR(D90)+15), Variablen!$I$3:$AT$3, 0))),L90)))*(IF((YEAR(D90)+15)&lt;YEAR(E90),0,IF((YEAR(D90)+15)&gt;YEAR(E90),1,(12-MONTH(E90)+1)/12))) + (Q90)*(IF((YEAR(D90)+15)&lt;YEAR(E90),0,IF((YEAR(D90)+15)&gt;YEAR(E90),1,(12-MONTH(E90)+1)/12))))-((P90)*(IF((YEAR(D90)+15)&lt;YEAR(E90),0,IF((YEAR(D90)+15)&gt;YEAR(E90),1,(12-MONTH(E90)+1)/12))) + (R90)*(IF((YEAR(D90)+15)&lt;YEAR(E90),0,IF((YEAR(D90)+15)&gt;YEAR(E90),1,(12-MONTH(E90)+1)/12))))-(IF(OR(N90="",N90&lt;=0),0,(O90/N90)*(IF(OR(N90="",N90&lt;=0),0,IF((YEAR(D90)+15)&lt;YEAR(E90),0,IF((YEAR(D90)+15)&gt;=YEAR(E90)+N90,0,IF((YEAR(D90)+15)=YEAR(E90),(12-MONTH(E90)+1)/12,1))))))))*TaxRate,0))-IF(15=0,O90,0))</f>
        <v/>
      </c>
      <c r="AI90" s="29">
        <f>IF(A90="","",((K90)*(IF(M90="",L90,IFERROR(IF(INDEX(Variablen!$I:$AT, MATCH(M90, Variablen!$A:$A, 0), MATCH((YEAR(D90)+16), Variablen!$I$3:$AT$3, 0))="",L90,INDEX(Variablen!$I:$AT, MATCH(M90, Variablen!$A:$A, 0), MATCH((YEAR(D90)+16), Variablen!$I$3:$AT$3, 0))),L90)))*(IF((YEAR(D90)+16)&lt;YEAR(E90),0,IF((YEAR(D90)+16)&gt;YEAR(E90),1,(12-MONTH(E90)+1)/12))) + (Q90)*(IF((YEAR(D90)+16)&lt;YEAR(E90),0,IF((YEAR(D90)+16)&gt;YEAR(E90),1,(12-MONTH(E90)+1)/12))))-((P90)*(IF((YEAR(D90)+16)&lt;YEAR(E90),0,IF((YEAR(D90)+16)&gt;YEAR(E90),1,(12-MONTH(E90)+1)/12))) + (R90)*(IF((YEAR(D90)+16)&lt;YEAR(E90),0,IF((YEAR(D90)+16)&gt;YEAR(E90),1,(12-MONTH(E90)+1)/12))))-(IF((((K90)*(IF(M90="",L90,IFERROR(IF(INDEX(Variablen!$I:$AT, MATCH(M90, Variablen!$A:$A, 0), MATCH((YEAR(D90)+16), Variablen!$I$3:$AT$3, 0))="",L90,INDEX(Variablen!$I:$AT, MATCH(M90, Variablen!$A:$A, 0), MATCH((YEAR(D90)+16), Variablen!$I$3:$AT$3, 0))),L90)))*(IF((YEAR(D90)+16)&lt;YEAR(E90),0,IF((YEAR(D90)+16)&gt;YEAR(E90),1,(12-MONTH(E90)+1)/12))) + (Q90)*(IF((YEAR(D90)+16)&lt;YEAR(E90),0,IF((YEAR(D90)+16)&gt;YEAR(E90),1,(12-MONTH(E90)+1)/12))))-((P90)*(IF((YEAR(D90)+16)&lt;YEAR(E90),0,IF((YEAR(D90)+16)&gt;YEAR(E90),1,(12-MONTH(E90)+1)/12))) + (R90)*(IF((YEAR(D90)+16)&lt;YEAR(E90),0,IF((YEAR(D90)+16)&gt;YEAR(E90),1,(12-MONTH(E90)+1)/12))))-(IF(OR(N90="",N90&lt;=0),0,(O90/N90)*(IF(OR(N90="",N90&lt;=0),0,IF((YEAR(D90)+16)&lt;YEAR(E90),0,IF((YEAR(D90)+16)&gt;=YEAR(E90)+N90,0,IF((YEAR(D90)+16)=YEAR(E90),(12-MONTH(E90)+1)/12,1))))))))&gt;0,(((K90)*(IF(M90="",L90,IFERROR(IF(INDEX(Variablen!$I:$AT, MATCH(M90, Variablen!$A:$A, 0), MATCH((YEAR(D90)+16), Variablen!$I$3:$AT$3, 0))="",L90,INDEX(Variablen!$I:$AT, MATCH(M90, Variablen!$A:$A, 0), MATCH((YEAR(D90)+16), Variablen!$I$3:$AT$3, 0))),L90)))*(IF((YEAR(D90)+16)&lt;YEAR(E90),0,IF((YEAR(D90)+16)&gt;YEAR(E90),1,(12-MONTH(E90)+1)/12))) + (Q90)*(IF((YEAR(D90)+16)&lt;YEAR(E90),0,IF((YEAR(D90)+16)&gt;YEAR(E90),1,(12-MONTH(E90)+1)/12))))-((P90)*(IF((YEAR(D90)+16)&lt;YEAR(E90),0,IF((YEAR(D90)+16)&gt;YEAR(E90),1,(12-MONTH(E90)+1)/12))) + (R90)*(IF((YEAR(D90)+16)&lt;YEAR(E90),0,IF((YEAR(D90)+16)&gt;YEAR(E90),1,(12-MONTH(E90)+1)/12))))-(IF(OR(N90="",N90&lt;=0),0,(O90/N90)*(IF(OR(N90="",N90&lt;=0),0,IF((YEAR(D90)+16)&lt;YEAR(E90),0,IF((YEAR(D90)+16)&gt;=YEAR(E90)+N90,0,IF((YEAR(D90)+16)=YEAR(E90),(12-MONTH(E90)+1)/12,1))))))))*TaxRate,0))-IF(16=0,O90,0))</f>
        <v/>
      </c>
      <c r="AJ90" s="29">
        <f>IF(A90="","",((K90)*(IF(M90="",L90,IFERROR(IF(INDEX(Variablen!$I:$AT, MATCH(M90, Variablen!$A:$A, 0), MATCH((YEAR(D90)+17), Variablen!$I$3:$AT$3, 0))="",L90,INDEX(Variablen!$I:$AT, MATCH(M90, Variablen!$A:$A, 0), MATCH((YEAR(D90)+17), Variablen!$I$3:$AT$3, 0))),L90)))*(IF((YEAR(D90)+17)&lt;YEAR(E90),0,IF((YEAR(D90)+17)&gt;YEAR(E90),1,(12-MONTH(E90)+1)/12))) + (Q90)*(IF((YEAR(D90)+17)&lt;YEAR(E90),0,IF((YEAR(D90)+17)&gt;YEAR(E90),1,(12-MONTH(E90)+1)/12))))-((P90)*(IF((YEAR(D90)+17)&lt;YEAR(E90),0,IF((YEAR(D90)+17)&gt;YEAR(E90),1,(12-MONTH(E90)+1)/12))) + (R90)*(IF((YEAR(D90)+17)&lt;YEAR(E90),0,IF((YEAR(D90)+17)&gt;YEAR(E90),1,(12-MONTH(E90)+1)/12))))-(IF((((K90)*(IF(M90="",L90,IFERROR(IF(INDEX(Variablen!$I:$AT, MATCH(M90, Variablen!$A:$A, 0), MATCH((YEAR(D90)+17), Variablen!$I$3:$AT$3, 0))="",L90,INDEX(Variablen!$I:$AT, MATCH(M90, Variablen!$A:$A, 0), MATCH((YEAR(D90)+17), Variablen!$I$3:$AT$3, 0))),L90)))*(IF((YEAR(D90)+17)&lt;YEAR(E90),0,IF((YEAR(D90)+17)&gt;YEAR(E90),1,(12-MONTH(E90)+1)/12))) + (Q90)*(IF((YEAR(D90)+17)&lt;YEAR(E90),0,IF((YEAR(D90)+17)&gt;YEAR(E90),1,(12-MONTH(E90)+1)/12))))-((P90)*(IF((YEAR(D90)+17)&lt;YEAR(E90),0,IF((YEAR(D90)+17)&gt;YEAR(E90),1,(12-MONTH(E90)+1)/12))) + (R90)*(IF((YEAR(D90)+17)&lt;YEAR(E90),0,IF((YEAR(D90)+17)&gt;YEAR(E90),1,(12-MONTH(E90)+1)/12))))-(IF(OR(N90="",N90&lt;=0),0,(O90/N90)*(IF(OR(N90="",N90&lt;=0),0,IF((YEAR(D90)+17)&lt;YEAR(E90),0,IF((YEAR(D90)+17)&gt;=YEAR(E90)+N90,0,IF((YEAR(D90)+17)=YEAR(E90),(12-MONTH(E90)+1)/12,1))))))))&gt;0,(((K90)*(IF(M90="",L90,IFERROR(IF(INDEX(Variablen!$I:$AT, MATCH(M90, Variablen!$A:$A, 0), MATCH((YEAR(D90)+17), Variablen!$I$3:$AT$3, 0))="",L90,INDEX(Variablen!$I:$AT, MATCH(M90, Variablen!$A:$A, 0), MATCH((YEAR(D90)+17), Variablen!$I$3:$AT$3, 0))),L90)))*(IF((YEAR(D90)+17)&lt;YEAR(E90),0,IF((YEAR(D90)+17)&gt;YEAR(E90),1,(12-MONTH(E90)+1)/12))) + (Q90)*(IF((YEAR(D90)+17)&lt;YEAR(E90),0,IF((YEAR(D90)+17)&gt;YEAR(E90),1,(12-MONTH(E90)+1)/12))))-((P90)*(IF((YEAR(D90)+17)&lt;YEAR(E90),0,IF((YEAR(D90)+17)&gt;YEAR(E90),1,(12-MONTH(E90)+1)/12))) + (R90)*(IF((YEAR(D90)+17)&lt;YEAR(E90),0,IF((YEAR(D90)+17)&gt;YEAR(E90),1,(12-MONTH(E90)+1)/12))))-(IF(OR(N90="",N90&lt;=0),0,(O90/N90)*(IF(OR(N90="",N90&lt;=0),0,IF((YEAR(D90)+17)&lt;YEAR(E90),0,IF((YEAR(D90)+17)&gt;=YEAR(E90)+N90,0,IF((YEAR(D90)+17)=YEAR(E90),(12-MONTH(E90)+1)/12,1))))))))*TaxRate,0))-IF(17=0,O90,0))</f>
        <v/>
      </c>
      <c r="AK90" s="29">
        <f>IF(A90="","",((K90)*(IF(M90="",L90,IFERROR(IF(INDEX(Variablen!$I:$AT, MATCH(M90, Variablen!$A:$A, 0), MATCH((YEAR(D90)+18), Variablen!$I$3:$AT$3, 0))="",L90,INDEX(Variablen!$I:$AT, MATCH(M90, Variablen!$A:$A, 0), MATCH((YEAR(D90)+18), Variablen!$I$3:$AT$3, 0))),L90)))*(IF((YEAR(D90)+18)&lt;YEAR(E90),0,IF((YEAR(D90)+18)&gt;YEAR(E90),1,(12-MONTH(E90)+1)/12))) + (Q90)*(IF((YEAR(D90)+18)&lt;YEAR(E90),0,IF((YEAR(D90)+18)&gt;YEAR(E90),1,(12-MONTH(E90)+1)/12))))-((P90)*(IF((YEAR(D90)+18)&lt;YEAR(E90),0,IF((YEAR(D90)+18)&gt;YEAR(E90),1,(12-MONTH(E90)+1)/12))) + (R90)*(IF((YEAR(D90)+18)&lt;YEAR(E90),0,IF((YEAR(D90)+18)&gt;YEAR(E90),1,(12-MONTH(E90)+1)/12))))-(IF((((K90)*(IF(M90="",L90,IFERROR(IF(INDEX(Variablen!$I:$AT, MATCH(M90, Variablen!$A:$A, 0), MATCH((YEAR(D90)+18), Variablen!$I$3:$AT$3, 0))="",L90,INDEX(Variablen!$I:$AT, MATCH(M90, Variablen!$A:$A, 0), MATCH((YEAR(D90)+18), Variablen!$I$3:$AT$3, 0))),L90)))*(IF((YEAR(D90)+18)&lt;YEAR(E90),0,IF((YEAR(D90)+18)&gt;YEAR(E90),1,(12-MONTH(E90)+1)/12))) + (Q90)*(IF((YEAR(D90)+18)&lt;YEAR(E90),0,IF((YEAR(D90)+18)&gt;YEAR(E90),1,(12-MONTH(E90)+1)/12))))-((P90)*(IF((YEAR(D90)+18)&lt;YEAR(E90),0,IF((YEAR(D90)+18)&gt;YEAR(E90),1,(12-MONTH(E90)+1)/12))) + (R90)*(IF((YEAR(D90)+18)&lt;YEAR(E90),0,IF((YEAR(D90)+18)&gt;YEAR(E90),1,(12-MONTH(E90)+1)/12))))-(IF(OR(N90="",N90&lt;=0),0,(O90/N90)*(IF(OR(N90="",N90&lt;=0),0,IF((YEAR(D90)+18)&lt;YEAR(E90),0,IF((YEAR(D90)+18)&gt;=YEAR(E90)+N90,0,IF((YEAR(D90)+18)=YEAR(E90),(12-MONTH(E90)+1)/12,1))))))))&gt;0,(((K90)*(IF(M90="",L90,IFERROR(IF(INDEX(Variablen!$I:$AT, MATCH(M90, Variablen!$A:$A, 0), MATCH((YEAR(D90)+18), Variablen!$I$3:$AT$3, 0))="",L90,INDEX(Variablen!$I:$AT, MATCH(M90, Variablen!$A:$A, 0), MATCH((YEAR(D90)+18), Variablen!$I$3:$AT$3, 0))),L90)))*(IF((YEAR(D90)+18)&lt;YEAR(E90),0,IF((YEAR(D90)+18)&gt;YEAR(E90),1,(12-MONTH(E90)+1)/12))) + (Q90)*(IF((YEAR(D90)+18)&lt;YEAR(E90),0,IF((YEAR(D90)+18)&gt;YEAR(E90),1,(12-MONTH(E90)+1)/12))))-((P90)*(IF((YEAR(D90)+18)&lt;YEAR(E90),0,IF((YEAR(D90)+18)&gt;YEAR(E90),1,(12-MONTH(E90)+1)/12))) + (R90)*(IF((YEAR(D90)+18)&lt;YEAR(E90),0,IF((YEAR(D90)+18)&gt;YEAR(E90),1,(12-MONTH(E90)+1)/12))))-(IF(OR(N90="",N90&lt;=0),0,(O90/N90)*(IF(OR(N90="",N90&lt;=0),0,IF((YEAR(D90)+18)&lt;YEAR(E90),0,IF((YEAR(D90)+18)&gt;=YEAR(E90)+N90,0,IF((YEAR(D90)+18)=YEAR(E90),(12-MONTH(E90)+1)/12,1))))))))*TaxRate,0))-IF(18=0,O90,0))</f>
        <v/>
      </c>
      <c r="AL90" s="29">
        <f>IF(A90="","",((K90)*(IF(M90="",L90,IFERROR(IF(INDEX(Variablen!$I:$AT, MATCH(M90, Variablen!$A:$A, 0), MATCH((YEAR(D90)+19), Variablen!$I$3:$AT$3, 0))="",L90,INDEX(Variablen!$I:$AT, MATCH(M90, Variablen!$A:$A, 0), MATCH((YEAR(D90)+19), Variablen!$I$3:$AT$3, 0))),L90)))*(IF((YEAR(D90)+19)&lt;YEAR(E90),0,IF((YEAR(D90)+19)&gt;YEAR(E90),1,(12-MONTH(E90)+1)/12))) + (Q90)*(IF((YEAR(D90)+19)&lt;YEAR(E90),0,IF((YEAR(D90)+19)&gt;YEAR(E90),1,(12-MONTH(E90)+1)/12))))-((P90)*(IF((YEAR(D90)+19)&lt;YEAR(E90),0,IF((YEAR(D90)+19)&gt;YEAR(E90),1,(12-MONTH(E90)+1)/12))) + (R90)*(IF((YEAR(D90)+19)&lt;YEAR(E90),0,IF((YEAR(D90)+19)&gt;YEAR(E90),1,(12-MONTH(E90)+1)/12))))-(IF((((K90)*(IF(M90="",L90,IFERROR(IF(INDEX(Variablen!$I:$AT, MATCH(M90, Variablen!$A:$A, 0), MATCH((YEAR(D90)+19), Variablen!$I$3:$AT$3, 0))="",L90,INDEX(Variablen!$I:$AT, MATCH(M90, Variablen!$A:$A, 0), MATCH((YEAR(D90)+19), Variablen!$I$3:$AT$3, 0))),L90)))*(IF((YEAR(D90)+19)&lt;YEAR(E90),0,IF((YEAR(D90)+19)&gt;YEAR(E90),1,(12-MONTH(E90)+1)/12))) + (Q90)*(IF((YEAR(D90)+19)&lt;YEAR(E90),0,IF((YEAR(D90)+19)&gt;YEAR(E90),1,(12-MONTH(E90)+1)/12))))-((P90)*(IF((YEAR(D90)+19)&lt;YEAR(E90),0,IF((YEAR(D90)+19)&gt;YEAR(E90),1,(12-MONTH(E90)+1)/12))) + (R90)*(IF((YEAR(D90)+19)&lt;YEAR(E90),0,IF((YEAR(D90)+19)&gt;YEAR(E90),1,(12-MONTH(E90)+1)/12))))-(IF(OR(N90="",N90&lt;=0),0,(O90/N90)*(IF(OR(N90="",N90&lt;=0),0,IF((YEAR(D90)+19)&lt;YEAR(E90),0,IF((YEAR(D90)+19)&gt;=YEAR(E90)+N90,0,IF((YEAR(D90)+19)=YEAR(E90),(12-MONTH(E90)+1)/12,1))))))))&gt;0,(((K90)*(IF(M90="",L90,IFERROR(IF(INDEX(Variablen!$I:$AT, MATCH(M90, Variablen!$A:$A, 0), MATCH((YEAR(D90)+19), Variablen!$I$3:$AT$3, 0))="",L90,INDEX(Variablen!$I:$AT, MATCH(M90, Variablen!$A:$A, 0), MATCH((YEAR(D90)+19), Variablen!$I$3:$AT$3, 0))),L90)))*(IF((YEAR(D90)+19)&lt;YEAR(E90),0,IF((YEAR(D90)+19)&gt;YEAR(E90),1,(12-MONTH(E90)+1)/12))) + (Q90)*(IF((YEAR(D90)+19)&lt;YEAR(E90),0,IF((YEAR(D90)+19)&gt;YEAR(E90),1,(12-MONTH(E90)+1)/12))))-((P90)*(IF((YEAR(D90)+19)&lt;YEAR(E90),0,IF((YEAR(D90)+19)&gt;YEAR(E90),1,(12-MONTH(E90)+1)/12))) + (R90)*(IF((YEAR(D90)+19)&lt;YEAR(E90),0,IF((YEAR(D90)+19)&gt;YEAR(E90),1,(12-MONTH(E90)+1)/12))))-(IF(OR(N90="",N90&lt;=0),0,(O90/N90)*(IF(OR(N90="",N90&lt;=0),0,IF((YEAR(D90)+19)&lt;YEAR(E90),0,IF((YEAR(D90)+19)&gt;=YEAR(E90)+N90,0,IF((YEAR(D90)+19)=YEAR(E90),(12-MONTH(E90)+1)/12,1))))))))*TaxRate,0))-IF(19=0,O90,0))</f>
        <v/>
      </c>
      <c r="AM90" s="29">
        <f>IF(A90="","",((K90)*(IF(M90="",L90,IFERROR(IF(INDEX(Variablen!$I:$AT, MATCH(M90, Variablen!$A:$A, 0), MATCH((YEAR(D90)+20), Variablen!$I$3:$AT$3, 0))="",L90,INDEX(Variablen!$I:$AT, MATCH(M90, Variablen!$A:$A, 0), MATCH((YEAR(D90)+20), Variablen!$I$3:$AT$3, 0))),L90)))*(IF((YEAR(D90)+20)&lt;YEAR(E90),0,IF((YEAR(D90)+20)&gt;YEAR(E90),1,(12-MONTH(E90)+1)/12))) + (Q90)*(IF((YEAR(D90)+20)&lt;YEAR(E90),0,IF((YEAR(D90)+20)&gt;YEAR(E90),1,(12-MONTH(E90)+1)/12))))-((P90)*(IF((YEAR(D90)+20)&lt;YEAR(E90),0,IF((YEAR(D90)+20)&gt;YEAR(E90),1,(12-MONTH(E90)+1)/12))) + (R90)*(IF((YEAR(D90)+20)&lt;YEAR(E90),0,IF((YEAR(D90)+20)&gt;YEAR(E90),1,(12-MONTH(E90)+1)/12))))-(IF((((K90)*(IF(M90="",L90,IFERROR(IF(INDEX(Variablen!$I:$AT, MATCH(M90, Variablen!$A:$A, 0), MATCH((YEAR(D90)+20), Variablen!$I$3:$AT$3, 0))="",L90,INDEX(Variablen!$I:$AT, MATCH(M90, Variablen!$A:$A, 0), MATCH((YEAR(D90)+20), Variablen!$I$3:$AT$3, 0))),L90)))*(IF((YEAR(D90)+20)&lt;YEAR(E90),0,IF((YEAR(D90)+20)&gt;YEAR(E90),1,(12-MONTH(E90)+1)/12))) + (Q90)*(IF((YEAR(D90)+20)&lt;YEAR(E90),0,IF((YEAR(D90)+20)&gt;YEAR(E90),1,(12-MONTH(E90)+1)/12))))-((P90)*(IF((YEAR(D90)+20)&lt;YEAR(E90),0,IF((YEAR(D90)+20)&gt;YEAR(E90),1,(12-MONTH(E90)+1)/12))) + (R90)*(IF((YEAR(D90)+20)&lt;YEAR(E90),0,IF((YEAR(D90)+20)&gt;YEAR(E90),1,(12-MONTH(E90)+1)/12))))-(IF(OR(N90="",N90&lt;=0),0,(O90/N90)*(IF(OR(N90="",N90&lt;=0),0,IF((YEAR(D90)+20)&lt;YEAR(E90),0,IF((YEAR(D90)+20)&gt;=YEAR(E90)+N90,0,IF((YEAR(D90)+20)=YEAR(E90),(12-MONTH(E90)+1)/12,1))))))))&gt;0,(((K90)*(IF(M90="",L90,IFERROR(IF(INDEX(Variablen!$I:$AT, MATCH(M90, Variablen!$A:$A, 0), MATCH((YEAR(D90)+20), Variablen!$I$3:$AT$3, 0))="",L90,INDEX(Variablen!$I:$AT, MATCH(M90, Variablen!$A:$A, 0), MATCH((YEAR(D90)+20), Variablen!$I$3:$AT$3, 0))),L90)))*(IF((YEAR(D90)+20)&lt;YEAR(E90),0,IF((YEAR(D90)+20)&gt;YEAR(E90),1,(12-MONTH(E90)+1)/12))) + (Q90)*(IF((YEAR(D90)+20)&lt;YEAR(E90),0,IF((YEAR(D90)+20)&gt;YEAR(E90),1,(12-MONTH(E90)+1)/12))))-((P90)*(IF((YEAR(D90)+20)&lt;YEAR(E90),0,IF((YEAR(D90)+20)&gt;YEAR(E90),1,(12-MONTH(E90)+1)/12))) + (R90)*(IF((YEAR(D90)+20)&lt;YEAR(E90),0,IF((YEAR(D90)+20)&gt;YEAR(E90),1,(12-MONTH(E90)+1)/12))))-(IF(OR(N90="",N90&lt;=0),0,(O90/N90)*(IF(OR(N90="",N90&lt;=0),0,IF((YEAR(D90)+20)&lt;YEAR(E90),0,IF((YEAR(D90)+20)&gt;=YEAR(E90)+N90,0,IF((YEAR(D90)+20)=YEAR(E90),(12-MONTH(E90)+1)/12,1))))))))*TaxRate,0))-IF(20=0,O90,0))</f>
        <v/>
      </c>
      <c r="AN90" s="29">
        <f>IF(A90="","",S90)</f>
        <v/>
      </c>
      <c r="AO90" s="29">
        <f>IF(A90="","",AN90+T90)</f>
        <v/>
      </c>
      <c r="AP90" s="29">
        <f>IF(A90="","",AO90+U90)</f>
        <v/>
      </c>
      <c r="AQ90" s="29">
        <f>IF(A90="","",AP90+V90)</f>
        <v/>
      </c>
      <c r="AR90" s="29">
        <f>IF(A90="","",AQ90+W90)</f>
        <v/>
      </c>
      <c r="AS90" s="29">
        <f>IF(A90="","",AR90+X90)</f>
        <v/>
      </c>
      <c r="AT90" s="29">
        <f>IF(A90="","",AS90+Y90)</f>
        <v/>
      </c>
      <c r="AU90" s="29">
        <f>IF(A90="","",AT90+Z90)</f>
        <v/>
      </c>
      <c r="AV90" s="29">
        <f>IF(A90="","",AU90+AA90)</f>
        <v/>
      </c>
      <c r="AW90" s="29">
        <f>IF(A90="","",AV90+AB90)</f>
        <v/>
      </c>
      <c r="AX90" s="29">
        <f>IF(A90="","",AW90+AC90)</f>
        <v/>
      </c>
      <c r="AY90" s="29">
        <f>IF(A90="","",AX90+AD90)</f>
        <v/>
      </c>
      <c r="AZ90" s="29">
        <f>IF(A90="","",AY90+AE90)</f>
        <v/>
      </c>
      <c r="BA90" s="29">
        <f>IF(A90="","",AZ90+AF90)</f>
        <v/>
      </c>
      <c r="BB90" s="29">
        <f>IF(A90="","",BA90+AG90)</f>
        <v/>
      </c>
      <c r="BC90" s="29">
        <f>IF(A90="","",BB90+AH90)</f>
        <v/>
      </c>
      <c r="BD90" s="29">
        <f>IF(A90="","",BC90+AI90)</f>
        <v/>
      </c>
      <c r="BE90" s="29">
        <f>IF(A90="","",BD90+AJ90)</f>
        <v/>
      </c>
      <c r="BF90" s="29">
        <f>IF(A90="","",BE90+AK90)</f>
        <v/>
      </c>
      <c r="BG90" s="29">
        <f>IF(A90="","",BF90+AL90)</f>
        <v/>
      </c>
      <c r="BH90" s="29">
        <f>IF(A90="","",BG90+AM90)</f>
        <v/>
      </c>
      <c r="BI90" s="36">
        <f>IF(A90="","",(K90)*(IF((YEAR(D90)+0)&lt;YEAR(E90),0,IF((YEAR(D90)+0)&gt;YEAR(E90),1,(12-MONTH(E90)+1)/12)))*(1/(1+DiscountRate)^0))</f>
        <v/>
      </c>
      <c r="BJ90" s="36">
        <f>IF(A90="","",(K90)*(IF((YEAR(D90)+1)&lt;YEAR(E90),0,IF((YEAR(D90)+1)&gt;YEAR(E90),1,(12-MONTH(E90)+1)/12)))*(1/(1+DiscountRate)^1))</f>
        <v/>
      </c>
      <c r="BK90" s="36">
        <f>IF(A90="","",(K90)*(IF((YEAR(D90)+2)&lt;YEAR(E90),0,IF((YEAR(D90)+2)&gt;YEAR(E90),1,(12-MONTH(E90)+1)/12)))*(1/(1+DiscountRate)^2))</f>
        <v/>
      </c>
      <c r="BL90" s="36">
        <f>IF(A90="","",(K90)*(IF((YEAR(D90)+3)&lt;YEAR(E90),0,IF((YEAR(D90)+3)&gt;YEAR(E90),1,(12-MONTH(E90)+1)/12)))*(1/(1+DiscountRate)^3))</f>
        <v/>
      </c>
      <c r="BM90" s="36">
        <f>IF(A90="","",(K90)*(IF((YEAR(D90)+4)&lt;YEAR(E90),0,IF((YEAR(D90)+4)&gt;YEAR(E90),1,(12-MONTH(E90)+1)/12)))*(1/(1+DiscountRate)^4))</f>
        <v/>
      </c>
      <c r="BN90" s="36">
        <f>IF(A90="","",(K90)*(IF((YEAR(D90)+5)&lt;YEAR(E90),0,IF((YEAR(D90)+5)&gt;YEAR(E90),1,(12-MONTH(E90)+1)/12)))*(1/(1+DiscountRate)^5))</f>
        <v/>
      </c>
      <c r="BO90" s="36">
        <f>IF(A90="","",(K90)*(IF((YEAR(D90)+6)&lt;YEAR(E90),0,IF((YEAR(D90)+6)&gt;YEAR(E90),1,(12-MONTH(E90)+1)/12)))*(1/(1+DiscountRate)^6))</f>
        <v/>
      </c>
      <c r="BP90" s="36">
        <f>IF(A90="","",(K90)*(IF((YEAR(D90)+7)&lt;YEAR(E90),0,IF((YEAR(D90)+7)&gt;YEAR(E90),1,(12-MONTH(E90)+1)/12)))*(1/(1+DiscountRate)^7))</f>
        <v/>
      </c>
      <c r="BQ90" s="36">
        <f>IF(A90="","",(K90)*(IF((YEAR(D90)+8)&lt;YEAR(E90),0,IF((YEAR(D90)+8)&gt;YEAR(E90),1,(12-MONTH(E90)+1)/12)))*(1/(1+DiscountRate)^8))</f>
        <v/>
      </c>
      <c r="BR90" s="36">
        <f>IF(A90="","",(K90)*(IF((YEAR(D90)+9)&lt;YEAR(E90),0,IF((YEAR(D90)+9)&gt;YEAR(E90),1,(12-MONTH(E90)+1)/12)))*(1/(1+DiscountRate)^9))</f>
        <v/>
      </c>
      <c r="BS90" s="36">
        <f>IF(A90="","",(K90)*(IF((YEAR(D90)+10)&lt;YEAR(E90),0,IF((YEAR(D90)+10)&gt;YEAR(E90),1,(12-MONTH(E90)+1)/12)))*(1/(1+DiscountRate)^10))</f>
        <v/>
      </c>
      <c r="BT90" s="36">
        <f>IF(A90="","",(K90)*(IF((YEAR(D90)+11)&lt;YEAR(E90),0,IF((YEAR(D90)+11)&gt;YEAR(E90),1,(12-MONTH(E90)+1)/12)))*(1/(1+DiscountRate)^11))</f>
        <v/>
      </c>
      <c r="BU90" s="36">
        <f>IF(A90="","",(K90)*(IF((YEAR(D90)+12)&lt;YEAR(E90),0,IF((YEAR(D90)+12)&gt;YEAR(E90),1,(12-MONTH(E90)+1)/12)))*(1/(1+DiscountRate)^12))</f>
        <v/>
      </c>
      <c r="BV90" s="36">
        <f>IF(A90="","",(K90)*(IF((YEAR(D90)+13)&lt;YEAR(E90),0,IF((YEAR(D90)+13)&gt;YEAR(E90),1,(12-MONTH(E90)+1)/12)))*(1/(1+DiscountRate)^13))</f>
        <v/>
      </c>
      <c r="BW90" s="36">
        <f>IF(A90="","",(K90)*(IF((YEAR(D90)+14)&lt;YEAR(E90),0,IF((YEAR(D90)+14)&gt;YEAR(E90),1,(12-MONTH(E90)+1)/12)))*(1/(1+DiscountRate)^14))</f>
        <v/>
      </c>
      <c r="BX90" s="36">
        <f>IF(A90="","",(K90)*(IF((YEAR(D90)+15)&lt;YEAR(E90),0,IF((YEAR(D90)+15)&gt;YEAR(E90),1,(12-MONTH(E90)+1)/12)))*(1/(1+DiscountRate)^15))</f>
        <v/>
      </c>
      <c r="BY90" s="36">
        <f>IF(A90="","",(K90)*(IF((YEAR(D90)+16)&lt;YEAR(E90),0,IF((YEAR(D90)+16)&gt;YEAR(E90),1,(12-MONTH(E90)+1)/12)))*(1/(1+DiscountRate)^16))</f>
        <v/>
      </c>
      <c r="BZ90" s="36">
        <f>IF(A90="","",(K90)*(IF((YEAR(D90)+17)&lt;YEAR(E90),0,IF((YEAR(D90)+17)&gt;YEAR(E90),1,(12-MONTH(E90)+1)/12)))*(1/(1+DiscountRate)^17))</f>
        <v/>
      </c>
      <c r="CA90" s="36">
        <f>IF(A90="","",(K90)*(IF((YEAR(D90)+18)&lt;YEAR(E90),0,IF((YEAR(D90)+18)&gt;YEAR(E90),1,(12-MONTH(E90)+1)/12)))*(1/(1+DiscountRate)^18))</f>
        <v/>
      </c>
      <c r="CB90" s="36">
        <f>IF(A90="","",(K90)*(IF((YEAR(D90)+19)&lt;YEAR(E90),0,IF((YEAR(D90)+19)&gt;YEAR(E90),1,(12-MONTH(E90)+1)/12)))*(1/(1+DiscountRate)^19))</f>
        <v/>
      </c>
      <c r="CC90" s="36">
        <f>IF(A90="","",(K90)*(IF((YEAR(D90)+20)&lt;YEAR(E90),0,IF((YEAR(D90)+20)&gt;YEAR(E90),1,(12-MONTH(E90)+1)/12)))*(1/(1+DiscountRate)^20))</f>
        <v/>
      </c>
      <c r="CD90" s="29">
        <f>IF(A90="","",S90/(1+DiscountRate)^0+T90/(1+DiscountRate)^1+U90/(1+DiscountRate)^2+V90/(1+DiscountRate)^3+W90/(1+DiscountRate)^4+X90/(1+DiscountRate)^5+Y90/(1+DiscountRate)^6+Z90/(1+DiscountRate)^7+AA90/(1+DiscountRate)^8+AB90/(1+DiscountRate)^9+AC90/(1+DiscountRate)^10+AD90/(1+DiscountRate)^11+AE90/(1+DiscountRate)^12+AF90/(1+DiscountRate)^13+AG90/(1+DiscountRate)^14+AH90/(1+DiscountRate)^15+AI90/(1+DiscountRate)^16+AJ90/(1+DiscountRate)^17+AK90/(1+DiscountRate)^18+AL90/(1+DiscountRate)^19+AM90/(1+DiscountRate)^20)</f>
        <v/>
      </c>
      <c r="CE90" s="37">
        <f>IF(A90="","",IFERROR(IRR(OFFSET(S90,0,0,1,MIN(HorizonYears,20)+1)),"n/a"))</f>
        <v/>
      </c>
      <c r="CF90" s="28">
        <f>IF(A90="","",IFERROR(MATCH(TRUE,OFFSET(AN90,0,0,1,MIN(HorizonYears,20)+1)&gt;=0,0)-1,"n/a"))</f>
        <v/>
      </c>
      <c r="CG90" s="36">
        <f>IF(A90="","",SUM(OFFSET(BI90,0,0,1,MIN(HorizonYears,20)+1)))</f>
        <v/>
      </c>
      <c r="CH90" s="36">
        <f>IF(A90="","",IFERROR(-CD90/CG90,"n/a"))</f>
        <v/>
      </c>
    </row>
    <row r="91">
      <c r="A91" s="6">
        <f>Actions!A89</f>
        <v/>
      </c>
      <c r="B91" s="6">
        <f>Actions!B89</f>
        <v/>
      </c>
      <c r="C91" s="6">
        <f>Actions!D89</f>
        <v/>
      </c>
      <c r="D91" s="35">
        <f>Actions!E89</f>
        <v/>
      </c>
      <c r="E91" s="35">
        <f>Actions!F89</f>
        <v/>
      </c>
      <c r="F91" s="6">
        <f>Actions!G89</f>
        <v/>
      </c>
      <c r="G91" s="6">
        <f>Actions!H89</f>
        <v/>
      </c>
      <c r="H91" s="29">
        <f>Actions!I89</f>
        <v/>
      </c>
      <c r="I91" s="6">
        <f>Actions!J89</f>
        <v/>
      </c>
      <c r="J91" s="16">
        <f>Actions!K89</f>
        <v/>
      </c>
      <c r="K91" s="16">
        <f>IF(A91="","",IF(I91="%",H91*J91,J91))</f>
        <v/>
      </c>
      <c r="L91" s="16">
        <f>Actions!L89</f>
        <v/>
      </c>
      <c r="M91" s="6">
        <f>Actions!M89</f>
        <v/>
      </c>
      <c r="N91" s="28">
        <f>Actions!N89</f>
        <v/>
      </c>
      <c r="O91" s="29">
        <f>Actions!T89</f>
        <v/>
      </c>
      <c r="P91" s="29">
        <f>Actions!Y89</f>
        <v/>
      </c>
      <c r="Q91" s="29">
        <f>Actions!Z89</f>
        <v/>
      </c>
      <c r="R91" s="29">
        <f>Actions!AA89</f>
        <v/>
      </c>
      <c r="S91" s="29">
        <f>IF(A91="","",((K91)*(IF(M91="",L91,IFERROR(IF(INDEX(Variablen!$I:$AT, MATCH(M91, Variablen!$A:$A, 0), MATCH((YEAR(D91)+0), Variablen!$I$3:$AT$3, 0))="",L91,INDEX(Variablen!$I:$AT, MATCH(M91, Variablen!$A:$A, 0), MATCH((YEAR(D91)+0), Variablen!$I$3:$AT$3, 0))),L91)))*(IF((YEAR(D91)+0)&lt;YEAR(E91),0,IF((YEAR(D91)+0)&gt;YEAR(E91),1,(12-MONTH(E91)+1)/12))) + (Q91)*(IF((YEAR(D91)+0)&lt;YEAR(E91),0,IF((YEAR(D91)+0)&gt;YEAR(E91),1,(12-MONTH(E91)+1)/12))))-((P91)*(IF((YEAR(D91)+0)&lt;YEAR(E91),0,IF((YEAR(D91)+0)&gt;YEAR(E91),1,(12-MONTH(E91)+1)/12))) + (R91)*(IF((YEAR(D91)+0)&lt;YEAR(E91),0,IF((YEAR(D91)+0)&gt;YEAR(E91),1,(12-MONTH(E91)+1)/12))))-(IF((((K91)*(IF(M91="",L91,IFERROR(IF(INDEX(Variablen!$I:$AT, MATCH(M91, Variablen!$A:$A, 0), MATCH((YEAR(D91)+0), Variablen!$I$3:$AT$3, 0))="",L91,INDEX(Variablen!$I:$AT, MATCH(M91, Variablen!$A:$A, 0), MATCH((YEAR(D91)+0), Variablen!$I$3:$AT$3, 0))),L91)))*(IF((YEAR(D91)+0)&lt;YEAR(E91),0,IF((YEAR(D91)+0)&gt;YEAR(E91),1,(12-MONTH(E91)+1)/12))) + (Q91)*(IF((YEAR(D91)+0)&lt;YEAR(E91),0,IF((YEAR(D91)+0)&gt;YEAR(E91),1,(12-MONTH(E91)+1)/12))))-((P91)*(IF((YEAR(D91)+0)&lt;YEAR(E91),0,IF((YEAR(D91)+0)&gt;YEAR(E91),1,(12-MONTH(E91)+1)/12))) + (R91)*(IF((YEAR(D91)+0)&lt;YEAR(E91),0,IF((YEAR(D91)+0)&gt;YEAR(E91),1,(12-MONTH(E91)+1)/12))))-(IF(OR(N91="",N91&lt;=0),0,(O91/N91)*(IF(OR(N91="",N91&lt;=0),0,IF((YEAR(D91)+0)&lt;YEAR(E91),0,IF((YEAR(D91)+0)&gt;=YEAR(E91)+N91,0,IF((YEAR(D91)+0)=YEAR(E91),(12-MONTH(E91)+1)/12,1))))))))&gt;0,(((K91)*(IF(M91="",L91,IFERROR(IF(INDEX(Variablen!$I:$AT, MATCH(M91, Variablen!$A:$A, 0), MATCH((YEAR(D91)+0), Variablen!$I$3:$AT$3, 0))="",L91,INDEX(Variablen!$I:$AT, MATCH(M91, Variablen!$A:$A, 0), MATCH((YEAR(D91)+0), Variablen!$I$3:$AT$3, 0))),L91)))*(IF((YEAR(D91)+0)&lt;YEAR(E91),0,IF((YEAR(D91)+0)&gt;YEAR(E91),1,(12-MONTH(E91)+1)/12))) + (Q91)*(IF((YEAR(D91)+0)&lt;YEAR(E91),0,IF((YEAR(D91)+0)&gt;YEAR(E91),1,(12-MONTH(E91)+1)/12))))-((P91)*(IF((YEAR(D91)+0)&lt;YEAR(E91),0,IF((YEAR(D91)+0)&gt;YEAR(E91),1,(12-MONTH(E91)+1)/12))) + (R91)*(IF((YEAR(D91)+0)&lt;YEAR(E91),0,IF((YEAR(D91)+0)&gt;YEAR(E91),1,(12-MONTH(E91)+1)/12))))-(IF(OR(N91="",N91&lt;=0),0,(O91/N91)*(IF(OR(N91="",N91&lt;=0),0,IF((YEAR(D91)+0)&lt;YEAR(E91),0,IF((YEAR(D91)+0)&gt;=YEAR(E91)+N91,0,IF((YEAR(D91)+0)=YEAR(E91),(12-MONTH(E91)+1)/12,1))))))))*TaxRate,0))-IF(0=0,O91,0))</f>
        <v/>
      </c>
      <c r="T91" s="29">
        <f>IF(A91="","",((K91)*(IF(M91="",L91,IFERROR(IF(INDEX(Variablen!$I:$AT, MATCH(M91, Variablen!$A:$A, 0), MATCH((YEAR(D91)+1), Variablen!$I$3:$AT$3, 0))="",L91,INDEX(Variablen!$I:$AT, MATCH(M91, Variablen!$A:$A, 0), MATCH((YEAR(D91)+1), Variablen!$I$3:$AT$3, 0))),L91)))*(IF((YEAR(D91)+1)&lt;YEAR(E91),0,IF((YEAR(D91)+1)&gt;YEAR(E91),1,(12-MONTH(E91)+1)/12))) + (Q91)*(IF((YEAR(D91)+1)&lt;YEAR(E91),0,IF((YEAR(D91)+1)&gt;YEAR(E91),1,(12-MONTH(E91)+1)/12))))-((P91)*(IF((YEAR(D91)+1)&lt;YEAR(E91),0,IF((YEAR(D91)+1)&gt;YEAR(E91),1,(12-MONTH(E91)+1)/12))) + (R91)*(IF((YEAR(D91)+1)&lt;YEAR(E91),0,IF((YEAR(D91)+1)&gt;YEAR(E91),1,(12-MONTH(E91)+1)/12))))-(IF((((K91)*(IF(M91="",L91,IFERROR(IF(INDEX(Variablen!$I:$AT, MATCH(M91, Variablen!$A:$A, 0), MATCH((YEAR(D91)+1), Variablen!$I$3:$AT$3, 0))="",L91,INDEX(Variablen!$I:$AT, MATCH(M91, Variablen!$A:$A, 0), MATCH((YEAR(D91)+1), Variablen!$I$3:$AT$3, 0))),L91)))*(IF((YEAR(D91)+1)&lt;YEAR(E91),0,IF((YEAR(D91)+1)&gt;YEAR(E91),1,(12-MONTH(E91)+1)/12))) + (Q91)*(IF((YEAR(D91)+1)&lt;YEAR(E91),0,IF((YEAR(D91)+1)&gt;YEAR(E91),1,(12-MONTH(E91)+1)/12))))-((P91)*(IF((YEAR(D91)+1)&lt;YEAR(E91),0,IF((YEAR(D91)+1)&gt;YEAR(E91),1,(12-MONTH(E91)+1)/12))) + (R91)*(IF((YEAR(D91)+1)&lt;YEAR(E91),0,IF((YEAR(D91)+1)&gt;YEAR(E91),1,(12-MONTH(E91)+1)/12))))-(IF(OR(N91="",N91&lt;=0),0,(O91/N91)*(IF(OR(N91="",N91&lt;=0),0,IF((YEAR(D91)+1)&lt;YEAR(E91),0,IF((YEAR(D91)+1)&gt;=YEAR(E91)+N91,0,IF((YEAR(D91)+1)=YEAR(E91),(12-MONTH(E91)+1)/12,1))))))))&gt;0,(((K91)*(IF(M91="",L91,IFERROR(IF(INDEX(Variablen!$I:$AT, MATCH(M91, Variablen!$A:$A, 0), MATCH((YEAR(D91)+1), Variablen!$I$3:$AT$3, 0))="",L91,INDEX(Variablen!$I:$AT, MATCH(M91, Variablen!$A:$A, 0), MATCH((YEAR(D91)+1), Variablen!$I$3:$AT$3, 0))),L91)))*(IF((YEAR(D91)+1)&lt;YEAR(E91),0,IF((YEAR(D91)+1)&gt;YEAR(E91),1,(12-MONTH(E91)+1)/12))) + (Q91)*(IF((YEAR(D91)+1)&lt;YEAR(E91),0,IF((YEAR(D91)+1)&gt;YEAR(E91),1,(12-MONTH(E91)+1)/12))))-((P91)*(IF((YEAR(D91)+1)&lt;YEAR(E91),0,IF((YEAR(D91)+1)&gt;YEAR(E91),1,(12-MONTH(E91)+1)/12))) + (R91)*(IF((YEAR(D91)+1)&lt;YEAR(E91),0,IF((YEAR(D91)+1)&gt;YEAR(E91),1,(12-MONTH(E91)+1)/12))))-(IF(OR(N91="",N91&lt;=0),0,(O91/N91)*(IF(OR(N91="",N91&lt;=0),0,IF((YEAR(D91)+1)&lt;YEAR(E91),0,IF((YEAR(D91)+1)&gt;=YEAR(E91)+N91,0,IF((YEAR(D91)+1)=YEAR(E91),(12-MONTH(E91)+1)/12,1))))))))*TaxRate,0))-IF(1=0,O91,0))</f>
        <v/>
      </c>
      <c r="U91" s="29">
        <f>IF(A91="","",((K91)*(IF(M91="",L91,IFERROR(IF(INDEX(Variablen!$I:$AT, MATCH(M91, Variablen!$A:$A, 0), MATCH((YEAR(D91)+2), Variablen!$I$3:$AT$3, 0))="",L91,INDEX(Variablen!$I:$AT, MATCH(M91, Variablen!$A:$A, 0), MATCH((YEAR(D91)+2), Variablen!$I$3:$AT$3, 0))),L91)))*(IF((YEAR(D91)+2)&lt;YEAR(E91),0,IF((YEAR(D91)+2)&gt;YEAR(E91),1,(12-MONTH(E91)+1)/12))) + (Q91)*(IF((YEAR(D91)+2)&lt;YEAR(E91),0,IF((YEAR(D91)+2)&gt;YEAR(E91),1,(12-MONTH(E91)+1)/12))))-((P91)*(IF((YEAR(D91)+2)&lt;YEAR(E91),0,IF((YEAR(D91)+2)&gt;YEAR(E91),1,(12-MONTH(E91)+1)/12))) + (R91)*(IF((YEAR(D91)+2)&lt;YEAR(E91),0,IF((YEAR(D91)+2)&gt;YEAR(E91),1,(12-MONTH(E91)+1)/12))))-(IF((((K91)*(IF(M91="",L91,IFERROR(IF(INDEX(Variablen!$I:$AT, MATCH(M91, Variablen!$A:$A, 0), MATCH((YEAR(D91)+2), Variablen!$I$3:$AT$3, 0))="",L91,INDEX(Variablen!$I:$AT, MATCH(M91, Variablen!$A:$A, 0), MATCH((YEAR(D91)+2), Variablen!$I$3:$AT$3, 0))),L91)))*(IF((YEAR(D91)+2)&lt;YEAR(E91),0,IF((YEAR(D91)+2)&gt;YEAR(E91),1,(12-MONTH(E91)+1)/12))) + (Q91)*(IF((YEAR(D91)+2)&lt;YEAR(E91),0,IF((YEAR(D91)+2)&gt;YEAR(E91),1,(12-MONTH(E91)+1)/12))))-((P91)*(IF((YEAR(D91)+2)&lt;YEAR(E91),0,IF((YEAR(D91)+2)&gt;YEAR(E91),1,(12-MONTH(E91)+1)/12))) + (R91)*(IF((YEAR(D91)+2)&lt;YEAR(E91),0,IF((YEAR(D91)+2)&gt;YEAR(E91),1,(12-MONTH(E91)+1)/12))))-(IF(OR(N91="",N91&lt;=0),0,(O91/N91)*(IF(OR(N91="",N91&lt;=0),0,IF((YEAR(D91)+2)&lt;YEAR(E91),0,IF((YEAR(D91)+2)&gt;=YEAR(E91)+N91,0,IF((YEAR(D91)+2)=YEAR(E91),(12-MONTH(E91)+1)/12,1))))))))&gt;0,(((K91)*(IF(M91="",L91,IFERROR(IF(INDEX(Variablen!$I:$AT, MATCH(M91, Variablen!$A:$A, 0), MATCH((YEAR(D91)+2), Variablen!$I$3:$AT$3, 0))="",L91,INDEX(Variablen!$I:$AT, MATCH(M91, Variablen!$A:$A, 0), MATCH((YEAR(D91)+2), Variablen!$I$3:$AT$3, 0))),L91)))*(IF((YEAR(D91)+2)&lt;YEAR(E91),0,IF((YEAR(D91)+2)&gt;YEAR(E91),1,(12-MONTH(E91)+1)/12))) + (Q91)*(IF((YEAR(D91)+2)&lt;YEAR(E91),0,IF((YEAR(D91)+2)&gt;YEAR(E91),1,(12-MONTH(E91)+1)/12))))-((P91)*(IF((YEAR(D91)+2)&lt;YEAR(E91),0,IF((YEAR(D91)+2)&gt;YEAR(E91),1,(12-MONTH(E91)+1)/12))) + (R91)*(IF((YEAR(D91)+2)&lt;YEAR(E91),0,IF((YEAR(D91)+2)&gt;YEAR(E91),1,(12-MONTH(E91)+1)/12))))-(IF(OR(N91="",N91&lt;=0),0,(O91/N91)*(IF(OR(N91="",N91&lt;=0),0,IF((YEAR(D91)+2)&lt;YEAR(E91),0,IF((YEAR(D91)+2)&gt;=YEAR(E91)+N91,0,IF((YEAR(D91)+2)=YEAR(E91),(12-MONTH(E91)+1)/12,1))))))))*TaxRate,0))-IF(2=0,O91,0))</f>
        <v/>
      </c>
      <c r="V91" s="29">
        <f>IF(A91="","",((K91)*(IF(M91="",L91,IFERROR(IF(INDEX(Variablen!$I:$AT, MATCH(M91, Variablen!$A:$A, 0), MATCH((YEAR(D91)+3), Variablen!$I$3:$AT$3, 0))="",L91,INDEX(Variablen!$I:$AT, MATCH(M91, Variablen!$A:$A, 0), MATCH((YEAR(D91)+3), Variablen!$I$3:$AT$3, 0))),L91)))*(IF((YEAR(D91)+3)&lt;YEAR(E91),0,IF((YEAR(D91)+3)&gt;YEAR(E91),1,(12-MONTH(E91)+1)/12))) + (Q91)*(IF((YEAR(D91)+3)&lt;YEAR(E91),0,IF((YEAR(D91)+3)&gt;YEAR(E91),1,(12-MONTH(E91)+1)/12))))-((P91)*(IF((YEAR(D91)+3)&lt;YEAR(E91),0,IF((YEAR(D91)+3)&gt;YEAR(E91),1,(12-MONTH(E91)+1)/12))) + (R91)*(IF((YEAR(D91)+3)&lt;YEAR(E91),0,IF((YEAR(D91)+3)&gt;YEAR(E91),1,(12-MONTH(E91)+1)/12))))-(IF((((K91)*(IF(M91="",L91,IFERROR(IF(INDEX(Variablen!$I:$AT, MATCH(M91, Variablen!$A:$A, 0), MATCH((YEAR(D91)+3), Variablen!$I$3:$AT$3, 0))="",L91,INDEX(Variablen!$I:$AT, MATCH(M91, Variablen!$A:$A, 0), MATCH((YEAR(D91)+3), Variablen!$I$3:$AT$3, 0))),L91)))*(IF((YEAR(D91)+3)&lt;YEAR(E91),0,IF((YEAR(D91)+3)&gt;YEAR(E91),1,(12-MONTH(E91)+1)/12))) + (Q91)*(IF((YEAR(D91)+3)&lt;YEAR(E91),0,IF((YEAR(D91)+3)&gt;YEAR(E91),1,(12-MONTH(E91)+1)/12))))-((P91)*(IF((YEAR(D91)+3)&lt;YEAR(E91),0,IF((YEAR(D91)+3)&gt;YEAR(E91),1,(12-MONTH(E91)+1)/12))) + (R91)*(IF((YEAR(D91)+3)&lt;YEAR(E91),0,IF((YEAR(D91)+3)&gt;YEAR(E91),1,(12-MONTH(E91)+1)/12))))-(IF(OR(N91="",N91&lt;=0),0,(O91/N91)*(IF(OR(N91="",N91&lt;=0),0,IF((YEAR(D91)+3)&lt;YEAR(E91),0,IF((YEAR(D91)+3)&gt;=YEAR(E91)+N91,0,IF((YEAR(D91)+3)=YEAR(E91),(12-MONTH(E91)+1)/12,1))))))))&gt;0,(((K91)*(IF(M91="",L91,IFERROR(IF(INDEX(Variablen!$I:$AT, MATCH(M91, Variablen!$A:$A, 0), MATCH((YEAR(D91)+3), Variablen!$I$3:$AT$3, 0))="",L91,INDEX(Variablen!$I:$AT, MATCH(M91, Variablen!$A:$A, 0), MATCH((YEAR(D91)+3), Variablen!$I$3:$AT$3, 0))),L91)))*(IF((YEAR(D91)+3)&lt;YEAR(E91),0,IF((YEAR(D91)+3)&gt;YEAR(E91),1,(12-MONTH(E91)+1)/12))) + (Q91)*(IF((YEAR(D91)+3)&lt;YEAR(E91),0,IF((YEAR(D91)+3)&gt;YEAR(E91),1,(12-MONTH(E91)+1)/12))))-((P91)*(IF((YEAR(D91)+3)&lt;YEAR(E91),0,IF((YEAR(D91)+3)&gt;YEAR(E91),1,(12-MONTH(E91)+1)/12))) + (R91)*(IF((YEAR(D91)+3)&lt;YEAR(E91),0,IF((YEAR(D91)+3)&gt;YEAR(E91),1,(12-MONTH(E91)+1)/12))))-(IF(OR(N91="",N91&lt;=0),0,(O91/N91)*(IF(OR(N91="",N91&lt;=0),0,IF((YEAR(D91)+3)&lt;YEAR(E91),0,IF((YEAR(D91)+3)&gt;=YEAR(E91)+N91,0,IF((YEAR(D91)+3)=YEAR(E91),(12-MONTH(E91)+1)/12,1))))))))*TaxRate,0))-IF(3=0,O91,0))</f>
        <v/>
      </c>
      <c r="W91" s="29">
        <f>IF(A91="","",((K91)*(IF(M91="",L91,IFERROR(IF(INDEX(Variablen!$I:$AT, MATCH(M91, Variablen!$A:$A, 0), MATCH((YEAR(D91)+4), Variablen!$I$3:$AT$3, 0))="",L91,INDEX(Variablen!$I:$AT, MATCH(M91, Variablen!$A:$A, 0), MATCH((YEAR(D91)+4), Variablen!$I$3:$AT$3, 0))),L91)))*(IF((YEAR(D91)+4)&lt;YEAR(E91),0,IF((YEAR(D91)+4)&gt;YEAR(E91),1,(12-MONTH(E91)+1)/12))) + (Q91)*(IF((YEAR(D91)+4)&lt;YEAR(E91),0,IF((YEAR(D91)+4)&gt;YEAR(E91),1,(12-MONTH(E91)+1)/12))))-((P91)*(IF((YEAR(D91)+4)&lt;YEAR(E91),0,IF((YEAR(D91)+4)&gt;YEAR(E91),1,(12-MONTH(E91)+1)/12))) + (R91)*(IF((YEAR(D91)+4)&lt;YEAR(E91),0,IF((YEAR(D91)+4)&gt;YEAR(E91),1,(12-MONTH(E91)+1)/12))))-(IF((((K91)*(IF(M91="",L91,IFERROR(IF(INDEX(Variablen!$I:$AT, MATCH(M91, Variablen!$A:$A, 0), MATCH((YEAR(D91)+4), Variablen!$I$3:$AT$3, 0))="",L91,INDEX(Variablen!$I:$AT, MATCH(M91, Variablen!$A:$A, 0), MATCH((YEAR(D91)+4), Variablen!$I$3:$AT$3, 0))),L91)))*(IF((YEAR(D91)+4)&lt;YEAR(E91),0,IF((YEAR(D91)+4)&gt;YEAR(E91),1,(12-MONTH(E91)+1)/12))) + (Q91)*(IF((YEAR(D91)+4)&lt;YEAR(E91),0,IF((YEAR(D91)+4)&gt;YEAR(E91),1,(12-MONTH(E91)+1)/12))))-((P91)*(IF((YEAR(D91)+4)&lt;YEAR(E91),0,IF((YEAR(D91)+4)&gt;YEAR(E91),1,(12-MONTH(E91)+1)/12))) + (R91)*(IF((YEAR(D91)+4)&lt;YEAR(E91),0,IF((YEAR(D91)+4)&gt;YEAR(E91),1,(12-MONTH(E91)+1)/12))))-(IF(OR(N91="",N91&lt;=0),0,(O91/N91)*(IF(OR(N91="",N91&lt;=0),0,IF((YEAR(D91)+4)&lt;YEAR(E91),0,IF((YEAR(D91)+4)&gt;=YEAR(E91)+N91,0,IF((YEAR(D91)+4)=YEAR(E91),(12-MONTH(E91)+1)/12,1))))))))&gt;0,(((K91)*(IF(M91="",L91,IFERROR(IF(INDEX(Variablen!$I:$AT, MATCH(M91, Variablen!$A:$A, 0), MATCH((YEAR(D91)+4), Variablen!$I$3:$AT$3, 0))="",L91,INDEX(Variablen!$I:$AT, MATCH(M91, Variablen!$A:$A, 0), MATCH((YEAR(D91)+4), Variablen!$I$3:$AT$3, 0))),L91)))*(IF((YEAR(D91)+4)&lt;YEAR(E91),0,IF((YEAR(D91)+4)&gt;YEAR(E91),1,(12-MONTH(E91)+1)/12))) + (Q91)*(IF((YEAR(D91)+4)&lt;YEAR(E91),0,IF((YEAR(D91)+4)&gt;YEAR(E91),1,(12-MONTH(E91)+1)/12))))-((P91)*(IF((YEAR(D91)+4)&lt;YEAR(E91),0,IF((YEAR(D91)+4)&gt;YEAR(E91),1,(12-MONTH(E91)+1)/12))) + (R91)*(IF((YEAR(D91)+4)&lt;YEAR(E91),0,IF((YEAR(D91)+4)&gt;YEAR(E91),1,(12-MONTH(E91)+1)/12))))-(IF(OR(N91="",N91&lt;=0),0,(O91/N91)*(IF(OR(N91="",N91&lt;=0),0,IF((YEAR(D91)+4)&lt;YEAR(E91),0,IF((YEAR(D91)+4)&gt;=YEAR(E91)+N91,0,IF((YEAR(D91)+4)=YEAR(E91),(12-MONTH(E91)+1)/12,1))))))))*TaxRate,0))-IF(4=0,O91,0))</f>
        <v/>
      </c>
      <c r="X91" s="29">
        <f>IF(A91="","",((K91)*(IF(M91="",L91,IFERROR(IF(INDEX(Variablen!$I:$AT, MATCH(M91, Variablen!$A:$A, 0), MATCH((YEAR(D91)+5), Variablen!$I$3:$AT$3, 0))="",L91,INDEX(Variablen!$I:$AT, MATCH(M91, Variablen!$A:$A, 0), MATCH((YEAR(D91)+5), Variablen!$I$3:$AT$3, 0))),L91)))*(IF((YEAR(D91)+5)&lt;YEAR(E91),0,IF((YEAR(D91)+5)&gt;YEAR(E91),1,(12-MONTH(E91)+1)/12))) + (Q91)*(IF((YEAR(D91)+5)&lt;YEAR(E91),0,IF((YEAR(D91)+5)&gt;YEAR(E91),1,(12-MONTH(E91)+1)/12))))-((P91)*(IF((YEAR(D91)+5)&lt;YEAR(E91),0,IF((YEAR(D91)+5)&gt;YEAR(E91),1,(12-MONTH(E91)+1)/12))) + (R91)*(IF((YEAR(D91)+5)&lt;YEAR(E91),0,IF((YEAR(D91)+5)&gt;YEAR(E91),1,(12-MONTH(E91)+1)/12))))-(IF((((K91)*(IF(M91="",L91,IFERROR(IF(INDEX(Variablen!$I:$AT, MATCH(M91, Variablen!$A:$A, 0), MATCH((YEAR(D91)+5), Variablen!$I$3:$AT$3, 0))="",L91,INDEX(Variablen!$I:$AT, MATCH(M91, Variablen!$A:$A, 0), MATCH((YEAR(D91)+5), Variablen!$I$3:$AT$3, 0))),L91)))*(IF((YEAR(D91)+5)&lt;YEAR(E91),0,IF((YEAR(D91)+5)&gt;YEAR(E91),1,(12-MONTH(E91)+1)/12))) + (Q91)*(IF((YEAR(D91)+5)&lt;YEAR(E91),0,IF((YEAR(D91)+5)&gt;YEAR(E91),1,(12-MONTH(E91)+1)/12))))-((P91)*(IF((YEAR(D91)+5)&lt;YEAR(E91),0,IF((YEAR(D91)+5)&gt;YEAR(E91),1,(12-MONTH(E91)+1)/12))) + (R91)*(IF((YEAR(D91)+5)&lt;YEAR(E91),0,IF((YEAR(D91)+5)&gt;YEAR(E91),1,(12-MONTH(E91)+1)/12))))-(IF(OR(N91="",N91&lt;=0),0,(O91/N91)*(IF(OR(N91="",N91&lt;=0),0,IF((YEAR(D91)+5)&lt;YEAR(E91),0,IF((YEAR(D91)+5)&gt;=YEAR(E91)+N91,0,IF((YEAR(D91)+5)=YEAR(E91),(12-MONTH(E91)+1)/12,1))))))))&gt;0,(((K91)*(IF(M91="",L91,IFERROR(IF(INDEX(Variablen!$I:$AT, MATCH(M91, Variablen!$A:$A, 0), MATCH((YEAR(D91)+5), Variablen!$I$3:$AT$3, 0))="",L91,INDEX(Variablen!$I:$AT, MATCH(M91, Variablen!$A:$A, 0), MATCH((YEAR(D91)+5), Variablen!$I$3:$AT$3, 0))),L91)))*(IF((YEAR(D91)+5)&lt;YEAR(E91),0,IF((YEAR(D91)+5)&gt;YEAR(E91),1,(12-MONTH(E91)+1)/12))) + (Q91)*(IF((YEAR(D91)+5)&lt;YEAR(E91),0,IF((YEAR(D91)+5)&gt;YEAR(E91),1,(12-MONTH(E91)+1)/12))))-((P91)*(IF((YEAR(D91)+5)&lt;YEAR(E91),0,IF((YEAR(D91)+5)&gt;YEAR(E91),1,(12-MONTH(E91)+1)/12))) + (R91)*(IF((YEAR(D91)+5)&lt;YEAR(E91),0,IF((YEAR(D91)+5)&gt;YEAR(E91),1,(12-MONTH(E91)+1)/12))))-(IF(OR(N91="",N91&lt;=0),0,(O91/N91)*(IF(OR(N91="",N91&lt;=0),0,IF((YEAR(D91)+5)&lt;YEAR(E91),0,IF((YEAR(D91)+5)&gt;=YEAR(E91)+N91,0,IF((YEAR(D91)+5)=YEAR(E91),(12-MONTH(E91)+1)/12,1))))))))*TaxRate,0))-IF(5=0,O91,0))</f>
        <v/>
      </c>
      <c r="Y91" s="29">
        <f>IF(A91="","",((K91)*(IF(M91="",L91,IFERROR(IF(INDEX(Variablen!$I:$AT, MATCH(M91, Variablen!$A:$A, 0), MATCH((YEAR(D91)+6), Variablen!$I$3:$AT$3, 0))="",L91,INDEX(Variablen!$I:$AT, MATCH(M91, Variablen!$A:$A, 0), MATCH((YEAR(D91)+6), Variablen!$I$3:$AT$3, 0))),L91)))*(IF((YEAR(D91)+6)&lt;YEAR(E91),0,IF((YEAR(D91)+6)&gt;YEAR(E91),1,(12-MONTH(E91)+1)/12))) + (Q91)*(IF((YEAR(D91)+6)&lt;YEAR(E91),0,IF((YEAR(D91)+6)&gt;YEAR(E91),1,(12-MONTH(E91)+1)/12))))-((P91)*(IF((YEAR(D91)+6)&lt;YEAR(E91),0,IF((YEAR(D91)+6)&gt;YEAR(E91),1,(12-MONTH(E91)+1)/12))) + (R91)*(IF((YEAR(D91)+6)&lt;YEAR(E91),0,IF((YEAR(D91)+6)&gt;YEAR(E91),1,(12-MONTH(E91)+1)/12))))-(IF((((K91)*(IF(M91="",L91,IFERROR(IF(INDEX(Variablen!$I:$AT, MATCH(M91, Variablen!$A:$A, 0), MATCH((YEAR(D91)+6), Variablen!$I$3:$AT$3, 0))="",L91,INDEX(Variablen!$I:$AT, MATCH(M91, Variablen!$A:$A, 0), MATCH((YEAR(D91)+6), Variablen!$I$3:$AT$3, 0))),L91)))*(IF((YEAR(D91)+6)&lt;YEAR(E91),0,IF((YEAR(D91)+6)&gt;YEAR(E91),1,(12-MONTH(E91)+1)/12))) + (Q91)*(IF((YEAR(D91)+6)&lt;YEAR(E91),0,IF((YEAR(D91)+6)&gt;YEAR(E91),1,(12-MONTH(E91)+1)/12))))-((P91)*(IF((YEAR(D91)+6)&lt;YEAR(E91),0,IF((YEAR(D91)+6)&gt;YEAR(E91),1,(12-MONTH(E91)+1)/12))) + (R91)*(IF((YEAR(D91)+6)&lt;YEAR(E91),0,IF((YEAR(D91)+6)&gt;YEAR(E91),1,(12-MONTH(E91)+1)/12))))-(IF(OR(N91="",N91&lt;=0),0,(O91/N91)*(IF(OR(N91="",N91&lt;=0),0,IF((YEAR(D91)+6)&lt;YEAR(E91),0,IF((YEAR(D91)+6)&gt;=YEAR(E91)+N91,0,IF((YEAR(D91)+6)=YEAR(E91),(12-MONTH(E91)+1)/12,1))))))))&gt;0,(((K91)*(IF(M91="",L91,IFERROR(IF(INDEX(Variablen!$I:$AT, MATCH(M91, Variablen!$A:$A, 0), MATCH((YEAR(D91)+6), Variablen!$I$3:$AT$3, 0))="",L91,INDEX(Variablen!$I:$AT, MATCH(M91, Variablen!$A:$A, 0), MATCH((YEAR(D91)+6), Variablen!$I$3:$AT$3, 0))),L91)))*(IF((YEAR(D91)+6)&lt;YEAR(E91),0,IF((YEAR(D91)+6)&gt;YEAR(E91),1,(12-MONTH(E91)+1)/12))) + (Q91)*(IF((YEAR(D91)+6)&lt;YEAR(E91),0,IF((YEAR(D91)+6)&gt;YEAR(E91),1,(12-MONTH(E91)+1)/12))))-((P91)*(IF((YEAR(D91)+6)&lt;YEAR(E91),0,IF((YEAR(D91)+6)&gt;YEAR(E91),1,(12-MONTH(E91)+1)/12))) + (R91)*(IF((YEAR(D91)+6)&lt;YEAR(E91),0,IF((YEAR(D91)+6)&gt;YEAR(E91),1,(12-MONTH(E91)+1)/12))))-(IF(OR(N91="",N91&lt;=0),0,(O91/N91)*(IF(OR(N91="",N91&lt;=0),0,IF((YEAR(D91)+6)&lt;YEAR(E91),0,IF((YEAR(D91)+6)&gt;=YEAR(E91)+N91,0,IF((YEAR(D91)+6)=YEAR(E91),(12-MONTH(E91)+1)/12,1))))))))*TaxRate,0))-IF(6=0,O91,0))</f>
        <v/>
      </c>
      <c r="Z91" s="29">
        <f>IF(A91="","",((K91)*(IF(M91="",L91,IFERROR(IF(INDEX(Variablen!$I:$AT, MATCH(M91, Variablen!$A:$A, 0), MATCH((YEAR(D91)+7), Variablen!$I$3:$AT$3, 0))="",L91,INDEX(Variablen!$I:$AT, MATCH(M91, Variablen!$A:$A, 0), MATCH((YEAR(D91)+7), Variablen!$I$3:$AT$3, 0))),L91)))*(IF((YEAR(D91)+7)&lt;YEAR(E91),0,IF((YEAR(D91)+7)&gt;YEAR(E91),1,(12-MONTH(E91)+1)/12))) + (Q91)*(IF((YEAR(D91)+7)&lt;YEAR(E91),0,IF((YEAR(D91)+7)&gt;YEAR(E91),1,(12-MONTH(E91)+1)/12))))-((P91)*(IF((YEAR(D91)+7)&lt;YEAR(E91),0,IF((YEAR(D91)+7)&gt;YEAR(E91),1,(12-MONTH(E91)+1)/12))) + (R91)*(IF((YEAR(D91)+7)&lt;YEAR(E91),0,IF((YEAR(D91)+7)&gt;YEAR(E91),1,(12-MONTH(E91)+1)/12))))-(IF((((K91)*(IF(M91="",L91,IFERROR(IF(INDEX(Variablen!$I:$AT, MATCH(M91, Variablen!$A:$A, 0), MATCH((YEAR(D91)+7), Variablen!$I$3:$AT$3, 0))="",L91,INDEX(Variablen!$I:$AT, MATCH(M91, Variablen!$A:$A, 0), MATCH((YEAR(D91)+7), Variablen!$I$3:$AT$3, 0))),L91)))*(IF((YEAR(D91)+7)&lt;YEAR(E91),0,IF((YEAR(D91)+7)&gt;YEAR(E91),1,(12-MONTH(E91)+1)/12))) + (Q91)*(IF((YEAR(D91)+7)&lt;YEAR(E91),0,IF((YEAR(D91)+7)&gt;YEAR(E91),1,(12-MONTH(E91)+1)/12))))-((P91)*(IF((YEAR(D91)+7)&lt;YEAR(E91),0,IF((YEAR(D91)+7)&gt;YEAR(E91),1,(12-MONTH(E91)+1)/12))) + (R91)*(IF((YEAR(D91)+7)&lt;YEAR(E91),0,IF((YEAR(D91)+7)&gt;YEAR(E91),1,(12-MONTH(E91)+1)/12))))-(IF(OR(N91="",N91&lt;=0),0,(O91/N91)*(IF(OR(N91="",N91&lt;=0),0,IF((YEAR(D91)+7)&lt;YEAR(E91),0,IF((YEAR(D91)+7)&gt;=YEAR(E91)+N91,0,IF((YEAR(D91)+7)=YEAR(E91),(12-MONTH(E91)+1)/12,1))))))))&gt;0,(((K91)*(IF(M91="",L91,IFERROR(IF(INDEX(Variablen!$I:$AT, MATCH(M91, Variablen!$A:$A, 0), MATCH((YEAR(D91)+7), Variablen!$I$3:$AT$3, 0))="",L91,INDEX(Variablen!$I:$AT, MATCH(M91, Variablen!$A:$A, 0), MATCH((YEAR(D91)+7), Variablen!$I$3:$AT$3, 0))),L91)))*(IF((YEAR(D91)+7)&lt;YEAR(E91),0,IF((YEAR(D91)+7)&gt;YEAR(E91),1,(12-MONTH(E91)+1)/12))) + (Q91)*(IF((YEAR(D91)+7)&lt;YEAR(E91),0,IF((YEAR(D91)+7)&gt;YEAR(E91),1,(12-MONTH(E91)+1)/12))))-((P91)*(IF((YEAR(D91)+7)&lt;YEAR(E91),0,IF((YEAR(D91)+7)&gt;YEAR(E91),1,(12-MONTH(E91)+1)/12))) + (R91)*(IF((YEAR(D91)+7)&lt;YEAR(E91),0,IF((YEAR(D91)+7)&gt;YEAR(E91),1,(12-MONTH(E91)+1)/12))))-(IF(OR(N91="",N91&lt;=0),0,(O91/N91)*(IF(OR(N91="",N91&lt;=0),0,IF((YEAR(D91)+7)&lt;YEAR(E91),0,IF((YEAR(D91)+7)&gt;=YEAR(E91)+N91,0,IF((YEAR(D91)+7)=YEAR(E91),(12-MONTH(E91)+1)/12,1))))))))*TaxRate,0))-IF(7=0,O91,0))</f>
        <v/>
      </c>
      <c r="AA91" s="29">
        <f>IF(A91="","",((K91)*(IF(M91="",L91,IFERROR(IF(INDEX(Variablen!$I:$AT, MATCH(M91, Variablen!$A:$A, 0), MATCH((YEAR(D91)+8), Variablen!$I$3:$AT$3, 0))="",L91,INDEX(Variablen!$I:$AT, MATCH(M91, Variablen!$A:$A, 0), MATCH((YEAR(D91)+8), Variablen!$I$3:$AT$3, 0))),L91)))*(IF((YEAR(D91)+8)&lt;YEAR(E91),0,IF((YEAR(D91)+8)&gt;YEAR(E91),1,(12-MONTH(E91)+1)/12))) + (Q91)*(IF((YEAR(D91)+8)&lt;YEAR(E91),0,IF((YEAR(D91)+8)&gt;YEAR(E91),1,(12-MONTH(E91)+1)/12))))-((P91)*(IF((YEAR(D91)+8)&lt;YEAR(E91),0,IF((YEAR(D91)+8)&gt;YEAR(E91),1,(12-MONTH(E91)+1)/12))) + (R91)*(IF((YEAR(D91)+8)&lt;YEAR(E91),0,IF((YEAR(D91)+8)&gt;YEAR(E91),1,(12-MONTH(E91)+1)/12))))-(IF((((K91)*(IF(M91="",L91,IFERROR(IF(INDEX(Variablen!$I:$AT, MATCH(M91, Variablen!$A:$A, 0), MATCH((YEAR(D91)+8), Variablen!$I$3:$AT$3, 0))="",L91,INDEX(Variablen!$I:$AT, MATCH(M91, Variablen!$A:$A, 0), MATCH((YEAR(D91)+8), Variablen!$I$3:$AT$3, 0))),L91)))*(IF((YEAR(D91)+8)&lt;YEAR(E91),0,IF((YEAR(D91)+8)&gt;YEAR(E91),1,(12-MONTH(E91)+1)/12))) + (Q91)*(IF((YEAR(D91)+8)&lt;YEAR(E91),0,IF((YEAR(D91)+8)&gt;YEAR(E91),1,(12-MONTH(E91)+1)/12))))-((P91)*(IF((YEAR(D91)+8)&lt;YEAR(E91),0,IF((YEAR(D91)+8)&gt;YEAR(E91),1,(12-MONTH(E91)+1)/12))) + (R91)*(IF((YEAR(D91)+8)&lt;YEAR(E91),0,IF((YEAR(D91)+8)&gt;YEAR(E91),1,(12-MONTH(E91)+1)/12))))-(IF(OR(N91="",N91&lt;=0),0,(O91/N91)*(IF(OR(N91="",N91&lt;=0),0,IF((YEAR(D91)+8)&lt;YEAR(E91),0,IF((YEAR(D91)+8)&gt;=YEAR(E91)+N91,0,IF((YEAR(D91)+8)=YEAR(E91),(12-MONTH(E91)+1)/12,1))))))))&gt;0,(((K91)*(IF(M91="",L91,IFERROR(IF(INDEX(Variablen!$I:$AT, MATCH(M91, Variablen!$A:$A, 0), MATCH((YEAR(D91)+8), Variablen!$I$3:$AT$3, 0))="",L91,INDEX(Variablen!$I:$AT, MATCH(M91, Variablen!$A:$A, 0), MATCH((YEAR(D91)+8), Variablen!$I$3:$AT$3, 0))),L91)))*(IF((YEAR(D91)+8)&lt;YEAR(E91),0,IF((YEAR(D91)+8)&gt;YEAR(E91),1,(12-MONTH(E91)+1)/12))) + (Q91)*(IF((YEAR(D91)+8)&lt;YEAR(E91),0,IF((YEAR(D91)+8)&gt;YEAR(E91),1,(12-MONTH(E91)+1)/12))))-((P91)*(IF((YEAR(D91)+8)&lt;YEAR(E91),0,IF((YEAR(D91)+8)&gt;YEAR(E91),1,(12-MONTH(E91)+1)/12))) + (R91)*(IF((YEAR(D91)+8)&lt;YEAR(E91),0,IF((YEAR(D91)+8)&gt;YEAR(E91),1,(12-MONTH(E91)+1)/12))))-(IF(OR(N91="",N91&lt;=0),0,(O91/N91)*(IF(OR(N91="",N91&lt;=0),0,IF((YEAR(D91)+8)&lt;YEAR(E91),0,IF((YEAR(D91)+8)&gt;=YEAR(E91)+N91,0,IF((YEAR(D91)+8)=YEAR(E91),(12-MONTH(E91)+1)/12,1))))))))*TaxRate,0))-IF(8=0,O91,0))</f>
        <v/>
      </c>
      <c r="AB91" s="29">
        <f>IF(A91="","",((K91)*(IF(M91="",L91,IFERROR(IF(INDEX(Variablen!$I:$AT, MATCH(M91, Variablen!$A:$A, 0), MATCH((YEAR(D91)+9), Variablen!$I$3:$AT$3, 0))="",L91,INDEX(Variablen!$I:$AT, MATCH(M91, Variablen!$A:$A, 0), MATCH((YEAR(D91)+9), Variablen!$I$3:$AT$3, 0))),L91)))*(IF((YEAR(D91)+9)&lt;YEAR(E91),0,IF((YEAR(D91)+9)&gt;YEAR(E91),1,(12-MONTH(E91)+1)/12))) + (Q91)*(IF((YEAR(D91)+9)&lt;YEAR(E91),0,IF((YEAR(D91)+9)&gt;YEAR(E91),1,(12-MONTH(E91)+1)/12))))-((P91)*(IF((YEAR(D91)+9)&lt;YEAR(E91),0,IF((YEAR(D91)+9)&gt;YEAR(E91),1,(12-MONTH(E91)+1)/12))) + (R91)*(IF((YEAR(D91)+9)&lt;YEAR(E91),0,IF((YEAR(D91)+9)&gt;YEAR(E91),1,(12-MONTH(E91)+1)/12))))-(IF((((K91)*(IF(M91="",L91,IFERROR(IF(INDEX(Variablen!$I:$AT, MATCH(M91, Variablen!$A:$A, 0), MATCH((YEAR(D91)+9), Variablen!$I$3:$AT$3, 0))="",L91,INDEX(Variablen!$I:$AT, MATCH(M91, Variablen!$A:$A, 0), MATCH((YEAR(D91)+9), Variablen!$I$3:$AT$3, 0))),L91)))*(IF((YEAR(D91)+9)&lt;YEAR(E91),0,IF((YEAR(D91)+9)&gt;YEAR(E91),1,(12-MONTH(E91)+1)/12))) + (Q91)*(IF((YEAR(D91)+9)&lt;YEAR(E91),0,IF((YEAR(D91)+9)&gt;YEAR(E91),1,(12-MONTH(E91)+1)/12))))-((P91)*(IF((YEAR(D91)+9)&lt;YEAR(E91),0,IF((YEAR(D91)+9)&gt;YEAR(E91),1,(12-MONTH(E91)+1)/12))) + (R91)*(IF((YEAR(D91)+9)&lt;YEAR(E91),0,IF((YEAR(D91)+9)&gt;YEAR(E91),1,(12-MONTH(E91)+1)/12))))-(IF(OR(N91="",N91&lt;=0),0,(O91/N91)*(IF(OR(N91="",N91&lt;=0),0,IF((YEAR(D91)+9)&lt;YEAR(E91),0,IF((YEAR(D91)+9)&gt;=YEAR(E91)+N91,0,IF((YEAR(D91)+9)=YEAR(E91),(12-MONTH(E91)+1)/12,1))))))))&gt;0,(((K91)*(IF(M91="",L91,IFERROR(IF(INDEX(Variablen!$I:$AT, MATCH(M91, Variablen!$A:$A, 0), MATCH((YEAR(D91)+9), Variablen!$I$3:$AT$3, 0))="",L91,INDEX(Variablen!$I:$AT, MATCH(M91, Variablen!$A:$A, 0), MATCH((YEAR(D91)+9), Variablen!$I$3:$AT$3, 0))),L91)))*(IF((YEAR(D91)+9)&lt;YEAR(E91),0,IF((YEAR(D91)+9)&gt;YEAR(E91),1,(12-MONTH(E91)+1)/12))) + (Q91)*(IF((YEAR(D91)+9)&lt;YEAR(E91),0,IF((YEAR(D91)+9)&gt;YEAR(E91),1,(12-MONTH(E91)+1)/12))))-((P91)*(IF((YEAR(D91)+9)&lt;YEAR(E91),0,IF((YEAR(D91)+9)&gt;YEAR(E91),1,(12-MONTH(E91)+1)/12))) + (R91)*(IF((YEAR(D91)+9)&lt;YEAR(E91),0,IF((YEAR(D91)+9)&gt;YEAR(E91),1,(12-MONTH(E91)+1)/12))))-(IF(OR(N91="",N91&lt;=0),0,(O91/N91)*(IF(OR(N91="",N91&lt;=0),0,IF((YEAR(D91)+9)&lt;YEAR(E91),0,IF((YEAR(D91)+9)&gt;=YEAR(E91)+N91,0,IF((YEAR(D91)+9)=YEAR(E91),(12-MONTH(E91)+1)/12,1))))))))*TaxRate,0))-IF(9=0,O91,0))</f>
        <v/>
      </c>
      <c r="AC91" s="29">
        <f>IF(A91="","",((K91)*(IF(M91="",L91,IFERROR(IF(INDEX(Variablen!$I:$AT, MATCH(M91, Variablen!$A:$A, 0), MATCH((YEAR(D91)+10), Variablen!$I$3:$AT$3, 0))="",L91,INDEX(Variablen!$I:$AT, MATCH(M91, Variablen!$A:$A, 0), MATCH((YEAR(D91)+10), Variablen!$I$3:$AT$3, 0))),L91)))*(IF((YEAR(D91)+10)&lt;YEAR(E91),0,IF((YEAR(D91)+10)&gt;YEAR(E91),1,(12-MONTH(E91)+1)/12))) + (Q91)*(IF((YEAR(D91)+10)&lt;YEAR(E91),0,IF((YEAR(D91)+10)&gt;YEAR(E91),1,(12-MONTH(E91)+1)/12))))-((P91)*(IF((YEAR(D91)+10)&lt;YEAR(E91),0,IF((YEAR(D91)+10)&gt;YEAR(E91),1,(12-MONTH(E91)+1)/12))) + (R91)*(IF((YEAR(D91)+10)&lt;YEAR(E91),0,IF((YEAR(D91)+10)&gt;YEAR(E91),1,(12-MONTH(E91)+1)/12))))-(IF((((K91)*(IF(M91="",L91,IFERROR(IF(INDEX(Variablen!$I:$AT, MATCH(M91, Variablen!$A:$A, 0), MATCH((YEAR(D91)+10), Variablen!$I$3:$AT$3, 0))="",L91,INDEX(Variablen!$I:$AT, MATCH(M91, Variablen!$A:$A, 0), MATCH((YEAR(D91)+10), Variablen!$I$3:$AT$3, 0))),L91)))*(IF((YEAR(D91)+10)&lt;YEAR(E91),0,IF((YEAR(D91)+10)&gt;YEAR(E91),1,(12-MONTH(E91)+1)/12))) + (Q91)*(IF((YEAR(D91)+10)&lt;YEAR(E91),0,IF((YEAR(D91)+10)&gt;YEAR(E91),1,(12-MONTH(E91)+1)/12))))-((P91)*(IF((YEAR(D91)+10)&lt;YEAR(E91),0,IF((YEAR(D91)+10)&gt;YEAR(E91),1,(12-MONTH(E91)+1)/12))) + (R91)*(IF((YEAR(D91)+10)&lt;YEAR(E91),0,IF((YEAR(D91)+10)&gt;YEAR(E91),1,(12-MONTH(E91)+1)/12))))-(IF(OR(N91="",N91&lt;=0),0,(O91/N91)*(IF(OR(N91="",N91&lt;=0),0,IF((YEAR(D91)+10)&lt;YEAR(E91),0,IF((YEAR(D91)+10)&gt;=YEAR(E91)+N91,0,IF((YEAR(D91)+10)=YEAR(E91),(12-MONTH(E91)+1)/12,1))))))))&gt;0,(((K91)*(IF(M91="",L91,IFERROR(IF(INDEX(Variablen!$I:$AT, MATCH(M91, Variablen!$A:$A, 0), MATCH((YEAR(D91)+10), Variablen!$I$3:$AT$3, 0))="",L91,INDEX(Variablen!$I:$AT, MATCH(M91, Variablen!$A:$A, 0), MATCH((YEAR(D91)+10), Variablen!$I$3:$AT$3, 0))),L91)))*(IF((YEAR(D91)+10)&lt;YEAR(E91),0,IF((YEAR(D91)+10)&gt;YEAR(E91),1,(12-MONTH(E91)+1)/12))) + (Q91)*(IF((YEAR(D91)+10)&lt;YEAR(E91),0,IF((YEAR(D91)+10)&gt;YEAR(E91),1,(12-MONTH(E91)+1)/12))))-((P91)*(IF((YEAR(D91)+10)&lt;YEAR(E91),0,IF((YEAR(D91)+10)&gt;YEAR(E91),1,(12-MONTH(E91)+1)/12))) + (R91)*(IF((YEAR(D91)+10)&lt;YEAR(E91),0,IF((YEAR(D91)+10)&gt;YEAR(E91),1,(12-MONTH(E91)+1)/12))))-(IF(OR(N91="",N91&lt;=0),0,(O91/N91)*(IF(OR(N91="",N91&lt;=0),0,IF((YEAR(D91)+10)&lt;YEAR(E91),0,IF((YEAR(D91)+10)&gt;=YEAR(E91)+N91,0,IF((YEAR(D91)+10)=YEAR(E91),(12-MONTH(E91)+1)/12,1))))))))*TaxRate,0))-IF(10=0,O91,0))</f>
        <v/>
      </c>
      <c r="AD91" s="29">
        <f>IF(A91="","",((K91)*(IF(M91="",L91,IFERROR(IF(INDEX(Variablen!$I:$AT, MATCH(M91, Variablen!$A:$A, 0), MATCH((YEAR(D91)+11), Variablen!$I$3:$AT$3, 0))="",L91,INDEX(Variablen!$I:$AT, MATCH(M91, Variablen!$A:$A, 0), MATCH((YEAR(D91)+11), Variablen!$I$3:$AT$3, 0))),L91)))*(IF((YEAR(D91)+11)&lt;YEAR(E91),0,IF((YEAR(D91)+11)&gt;YEAR(E91),1,(12-MONTH(E91)+1)/12))) + (Q91)*(IF((YEAR(D91)+11)&lt;YEAR(E91),0,IF((YEAR(D91)+11)&gt;YEAR(E91),1,(12-MONTH(E91)+1)/12))))-((P91)*(IF((YEAR(D91)+11)&lt;YEAR(E91),0,IF((YEAR(D91)+11)&gt;YEAR(E91),1,(12-MONTH(E91)+1)/12))) + (R91)*(IF((YEAR(D91)+11)&lt;YEAR(E91),0,IF((YEAR(D91)+11)&gt;YEAR(E91),1,(12-MONTH(E91)+1)/12))))-(IF((((K91)*(IF(M91="",L91,IFERROR(IF(INDEX(Variablen!$I:$AT, MATCH(M91, Variablen!$A:$A, 0), MATCH((YEAR(D91)+11), Variablen!$I$3:$AT$3, 0))="",L91,INDEX(Variablen!$I:$AT, MATCH(M91, Variablen!$A:$A, 0), MATCH((YEAR(D91)+11), Variablen!$I$3:$AT$3, 0))),L91)))*(IF((YEAR(D91)+11)&lt;YEAR(E91),0,IF((YEAR(D91)+11)&gt;YEAR(E91),1,(12-MONTH(E91)+1)/12))) + (Q91)*(IF((YEAR(D91)+11)&lt;YEAR(E91),0,IF((YEAR(D91)+11)&gt;YEAR(E91),1,(12-MONTH(E91)+1)/12))))-((P91)*(IF((YEAR(D91)+11)&lt;YEAR(E91),0,IF((YEAR(D91)+11)&gt;YEAR(E91),1,(12-MONTH(E91)+1)/12))) + (R91)*(IF((YEAR(D91)+11)&lt;YEAR(E91),0,IF((YEAR(D91)+11)&gt;YEAR(E91),1,(12-MONTH(E91)+1)/12))))-(IF(OR(N91="",N91&lt;=0),0,(O91/N91)*(IF(OR(N91="",N91&lt;=0),0,IF((YEAR(D91)+11)&lt;YEAR(E91),0,IF((YEAR(D91)+11)&gt;=YEAR(E91)+N91,0,IF((YEAR(D91)+11)=YEAR(E91),(12-MONTH(E91)+1)/12,1))))))))&gt;0,(((K91)*(IF(M91="",L91,IFERROR(IF(INDEX(Variablen!$I:$AT, MATCH(M91, Variablen!$A:$A, 0), MATCH((YEAR(D91)+11), Variablen!$I$3:$AT$3, 0))="",L91,INDEX(Variablen!$I:$AT, MATCH(M91, Variablen!$A:$A, 0), MATCH((YEAR(D91)+11), Variablen!$I$3:$AT$3, 0))),L91)))*(IF((YEAR(D91)+11)&lt;YEAR(E91),0,IF((YEAR(D91)+11)&gt;YEAR(E91),1,(12-MONTH(E91)+1)/12))) + (Q91)*(IF((YEAR(D91)+11)&lt;YEAR(E91),0,IF((YEAR(D91)+11)&gt;YEAR(E91),1,(12-MONTH(E91)+1)/12))))-((P91)*(IF((YEAR(D91)+11)&lt;YEAR(E91),0,IF((YEAR(D91)+11)&gt;YEAR(E91),1,(12-MONTH(E91)+1)/12))) + (R91)*(IF((YEAR(D91)+11)&lt;YEAR(E91),0,IF((YEAR(D91)+11)&gt;YEAR(E91),1,(12-MONTH(E91)+1)/12))))-(IF(OR(N91="",N91&lt;=0),0,(O91/N91)*(IF(OR(N91="",N91&lt;=0),0,IF((YEAR(D91)+11)&lt;YEAR(E91),0,IF((YEAR(D91)+11)&gt;=YEAR(E91)+N91,0,IF((YEAR(D91)+11)=YEAR(E91),(12-MONTH(E91)+1)/12,1))))))))*TaxRate,0))-IF(11=0,O91,0))</f>
        <v/>
      </c>
      <c r="AE91" s="29">
        <f>IF(A91="","",((K91)*(IF(M91="",L91,IFERROR(IF(INDEX(Variablen!$I:$AT, MATCH(M91, Variablen!$A:$A, 0), MATCH((YEAR(D91)+12), Variablen!$I$3:$AT$3, 0))="",L91,INDEX(Variablen!$I:$AT, MATCH(M91, Variablen!$A:$A, 0), MATCH((YEAR(D91)+12), Variablen!$I$3:$AT$3, 0))),L91)))*(IF((YEAR(D91)+12)&lt;YEAR(E91),0,IF((YEAR(D91)+12)&gt;YEAR(E91),1,(12-MONTH(E91)+1)/12))) + (Q91)*(IF((YEAR(D91)+12)&lt;YEAR(E91),0,IF((YEAR(D91)+12)&gt;YEAR(E91),1,(12-MONTH(E91)+1)/12))))-((P91)*(IF((YEAR(D91)+12)&lt;YEAR(E91),0,IF((YEAR(D91)+12)&gt;YEAR(E91),1,(12-MONTH(E91)+1)/12))) + (R91)*(IF((YEAR(D91)+12)&lt;YEAR(E91),0,IF((YEAR(D91)+12)&gt;YEAR(E91),1,(12-MONTH(E91)+1)/12))))-(IF((((K91)*(IF(M91="",L91,IFERROR(IF(INDEX(Variablen!$I:$AT, MATCH(M91, Variablen!$A:$A, 0), MATCH((YEAR(D91)+12), Variablen!$I$3:$AT$3, 0))="",L91,INDEX(Variablen!$I:$AT, MATCH(M91, Variablen!$A:$A, 0), MATCH((YEAR(D91)+12), Variablen!$I$3:$AT$3, 0))),L91)))*(IF((YEAR(D91)+12)&lt;YEAR(E91),0,IF((YEAR(D91)+12)&gt;YEAR(E91),1,(12-MONTH(E91)+1)/12))) + (Q91)*(IF((YEAR(D91)+12)&lt;YEAR(E91),0,IF((YEAR(D91)+12)&gt;YEAR(E91),1,(12-MONTH(E91)+1)/12))))-((P91)*(IF((YEAR(D91)+12)&lt;YEAR(E91),0,IF((YEAR(D91)+12)&gt;YEAR(E91),1,(12-MONTH(E91)+1)/12))) + (R91)*(IF((YEAR(D91)+12)&lt;YEAR(E91),0,IF((YEAR(D91)+12)&gt;YEAR(E91),1,(12-MONTH(E91)+1)/12))))-(IF(OR(N91="",N91&lt;=0),0,(O91/N91)*(IF(OR(N91="",N91&lt;=0),0,IF((YEAR(D91)+12)&lt;YEAR(E91),0,IF((YEAR(D91)+12)&gt;=YEAR(E91)+N91,0,IF((YEAR(D91)+12)=YEAR(E91),(12-MONTH(E91)+1)/12,1))))))))&gt;0,(((K91)*(IF(M91="",L91,IFERROR(IF(INDEX(Variablen!$I:$AT, MATCH(M91, Variablen!$A:$A, 0), MATCH((YEAR(D91)+12), Variablen!$I$3:$AT$3, 0))="",L91,INDEX(Variablen!$I:$AT, MATCH(M91, Variablen!$A:$A, 0), MATCH((YEAR(D91)+12), Variablen!$I$3:$AT$3, 0))),L91)))*(IF((YEAR(D91)+12)&lt;YEAR(E91),0,IF((YEAR(D91)+12)&gt;YEAR(E91),1,(12-MONTH(E91)+1)/12))) + (Q91)*(IF((YEAR(D91)+12)&lt;YEAR(E91),0,IF((YEAR(D91)+12)&gt;YEAR(E91),1,(12-MONTH(E91)+1)/12))))-((P91)*(IF((YEAR(D91)+12)&lt;YEAR(E91),0,IF((YEAR(D91)+12)&gt;YEAR(E91),1,(12-MONTH(E91)+1)/12))) + (R91)*(IF((YEAR(D91)+12)&lt;YEAR(E91),0,IF((YEAR(D91)+12)&gt;YEAR(E91),1,(12-MONTH(E91)+1)/12))))-(IF(OR(N91="",N91&lt;=0),0,(O91/N91)*(IF(OR(N91="",N91&lt;=0),0,IF((YEAR(D91)+12)&lt;YEAR(E91),0,IF((YEAR(D91)+12)&gt;=YEAR(E91)+N91,0,IF((YEAR(D91)+12)=YEAR(E91),(12-MONTH(E91)+1)/12,1))))))))*TaxRate,0))-IF(12=0,O91,0))</f>
        <v/>
      </c>
      <c r="AF91" s="29">
        <f>IF(A91="","",((K91)*(IF(M91="",L91,IFERROR(IF(INDEX(Variablen!$I:$AT, MATCH(M91, Variablen!$A:$A, 0), MATCH((YEAR(D91)+13), Variablen!$I$3:$AT$3, 0))="",L91,INDEX(Variablen!$I:$AT, MATCH(M91, Variablen!$A:$A, 0), MATCH((YEAR(D91)+13), Variablen!$I$3:$AT$3, 0))),L91)))*(IF((YEAR(D91)+13)&lt;YEAR(E91),0,IF((YEAR(D91)+13)&gt;YEAR(E91),1,(12-MONTH(E91)+1)/12))) + (Q91)*(IF((YEAR(D91)+13)&lt;YEAR(E91),0,IF((YEAR(D91)+13)&gt;YEAR(E91),1,(12-MONTH(E91)+1)/12))))-((P91)*(IF((YEAR(D91)+13)&lt;YEAR(E91),0,IF((YEAR(D91)+13)&gt;YEAR(E91),1,(12-MONTH(E91)+1)/12))) + (R91)*(IF((YEAR(D91)+13)&lt;YEAR(E91),0,IF((YEAR(D91)+13)&gt;YEAR(E91),1,(12-MONTH(E91)+1)/12))))-(IF((((K91)*(IF(M91="",L91,IFERROR(IF(INDEX(Variablen!$I:$AT, MATCH(M91, Variablen!$A:$A, 0), MATCH((YEAR(D91)+13), Variablen!$I$3:$AT$3, 0))="",L91,INDEX(Variablen!$I:$AT, MATCH(M91, Variablen!$A:$A, 0), MATCH((YEAR(D91)+13), Variablen!$I$3:$AT$3, 0))),L91)))*(IF((YEAR(D91)+13)&lt;YEAR(E91),0,IF((YEAR(D91)+13)&gt;YEAR(E91),1,(12-MONTH(E91)+1)/12))) + (Q91)*(IF((YEAR(D91)+13)&lt;YEAR(E91),0,IF((YEAR(D91)+13)&gt;YEAR(E91),1,(12-MONTH(E91)+1)/12))))-((P91)*(IF((YEAR(D91)+13)&lt;YEAR(E91),0,IF((YEAR(D91)+13)&gt;YEAR(E91),1,(12-MONTH(E91)+1)/12))) + (R91)*(IF((YEAR(D91)+13)&lt;YEAR(E91),0,IF((YEAR(D91)+13)&gt;YEAR(E91),1,(12-MONTH(E91)+1)/12))))-(IF(OR(N91="",N91&lt;=0),0,(O91/N91)*(IF(OR(N91="",N91&lt;=0),0,IF((YEAR(D91)+13)&lt;YEAR(E91),0,IF((YEAR(D91)+13)&gt;=YEAR(E91)+N91,0,IF((YEAR(D91)+13)=YEAR(E91),(12-MONTH(E91)+1)/12,1))))))))&gt;0,(((K91)*(IF(M91="",L91,IFERROR(IF(INDEX(Variablen!$I:$AT, MATCH(M91, Variablen!$A:$A, 0), MATCH((YEAR(D91)+13), Variablen!$I$3:$AT$3, 0))="",L91,INDEX(Variablen!$I:$AT, MATCH(M91, Variablen!$A:$A, 0), MATCH((YEAR(D91)+13), Variablen!$I$3:$AT$3, 0))),L91)))*(IF((YEAR(D91)+13)&lt;YEAR(E91),0,IF((YEAR(D91)+13)&gt;YEAR(E91),1,(12-MONTH(E91)+1)/12))) + (Q91)*(IF((YEAR(D91)+13)&lt;YEAR(E91),0,IF((YEAR(D91)+13)&gt;YEAR(E91),1,(12-MONTH(E91)+1)/12))))-((P91)*(IF((YEAR(D91)+13)&lt;YEAR(E91),0,IF((YEAR(D91)+13)&gt;YEAR(E91),1,(12-MONTH(E91)+1)/12))) + (R91)*(IF((YEAR(D91)+13)&lt;YEAR(E91),0,IF((YEAR(D91)+13)&gt;YEAR(E91),1,(12-MONTH(E91)+1)/12))))-(IF(OR(N91="",N91&lt;=0),0,(O91/N91)*(IF(OR(N91="",N91&lt;=0),0,IF((YEAR(D91)+13)&lt;YEAR(E91),0,IF((YEAR(D91)+13)&gt;=YEAR(E91)+N91,0,IF((YEAR(D91)+13)=YEAR(E91),(12-MONTH(E91)+1)/12,1))))))))*TaxRate,0))-IF(13=0,O91,0))</f>
        <v/>
      </c>
      <c r="AG91" s="29">
        <f>IF(A91="","",((K91)*(IF(M91="",L91,IFERROR(IF(INDEX(Variablen!$I:$AT, MATCH(M91, Variablen!$A:$A, 0), MATCH((YEAR(D91)+14), Variablen!$I$3:$AT$3, 0))="",L91,INDEX(Variablen!$I:$AT, MATCH(M91, Variablen!$A:$A, 0), MATCH((YEAR(D91)+14), Variablen!$I$3:$AT$3, 0))),L91)))*(IF((YEAR(D91)+14)&lt;YEAR(E91),0,IF((YEAR(D91)+14)&gt;YEAR(E91),1,(12-MONTH(E91)+1)/12))) + (Q91)*(IF((YEAR(D91)+14)&lt;YEAR(E91),0,IF((YEAR(D91)+14)&gt;YEAR(E91),1,(12-MONTH(E91)+1)/12))))-((P91)*(IF((YEAR(D91)+14)&lt;YEAR(E91),0,IF((YEAR(D91)+14)&gt;YEAR(E91),1,(12-MONTH(E91)+1)/12))) + (R91)*(IF((YEAR(D91)+14)&lt;YEAR(E91),0,IF((YEAR(D91)+14)&gt;YEAR(E91),1,(12-MONTH(E91)+1)/12))))-(IF((((K91)*(IF(M91="",L91,IFERROR(IF(INDEX(Variablen!$I:$AT, MATCH(M91, Variablen!$A:$A, 0), MATCH((YEAR(D91)+14), Variablen!$I$3:$AT$3, 0))="",L91,INDEX(Variablen!$I:$AT, MATCH(M91, Variablen!$A:$A, 0), MATCH((YEAR(D91)+14), Variablen!$I$3:$AT$3, 0))),L91)))*(IF((YEAR(D91)+14)&lt;YEAR(E91),0,IF((YEAR(D91)+14)&gt;YEAR(E91),1,(12-MONTH(E91)+1)/12))) + (Q91)*(IF((YEAR(D91)+14)&lt;YEAR(E91),0,IF((YEAR(D91)+14)&gt;YEAR(E91),1,(12-MONTH(E91)+1)/12))))-((P91)*(IF((YEAR(D91)+14)&lt;YEAR(E91),0,IF((YEAR(D91)+14)&gt;YEAR(E91),1,(12-MONTH(E91)+1)/12))) + (R91)*(IF((YEAR(D91)+14)&lt;YEAR(E91),0,IF((YEAR(D91)+14)&gt;YEAR(E91),1,(12-MONTH(E91)+1)/12))))-(IF(OR(N91="",N91&lt;=0),0,(O91/N91)*(IF(OR(N91="",N91&lt;=0),0,IF((YEAR(D91)+14)&lt;YEAR(E91),0,IF((YEAR(D91)+14)&gt;=YEAR(E91)+N91,0,IF((YEAR(D91)+14)=YEAR(E91),(12-MONTH(E91)+1)/12,1))))))))&gt;0,(((K91)*(IF(M91="",L91,IFERROR(IF(INDEX(Variablen!$I:$AT, MATCH(M91, Variablen!$A:$A, 0), MATCH((YEAR(D91)+14), Variablen!$I$3:$AT$3, 0))="",L91,INDEX(Variablen!$I:$AT, MATCH(M91, Variablen!$A:$A, 0), MATCH((YEAR(D91)+14), Variablen!$I$3:$AT$3, 0))),L91)))*(IF((YEAR(D91)+14)&lt;YEAR(E91),0,IF((YEAR(D91)+14)&gt;YEAR(E91),1,(12-MONTH(E91)+1)/12))) + (Q91)*(IF((YEAR(D91)+14)&lt;YEAR(E91),0,IF((YEAR(D91)+14)&gt;YEAR(E91),1,(12-MONTH(E91)+1)/12))))-((P91)*(IF((YEAR(D91)+14)&lt;YEAR(E91),0,IF((YEAR(D91)+14)&gt;YEAR(E91),1,(12-MONTH(E91)+1)/12))) + (R91)*(IF((YEAR(D91)+14)&lt;YEAR(E91),0,IF((YEAR(D91)+14)&gt;YEAR(E91),1,(12-MONTH(E91)+1)/12))))-(IF(OR(N91="",N91&lt;=0),0,(O91/N91)*(IF(OR(N91="",N91&lt;=0),0,IF((YEAR(D91)+14)&lt;YEAR(E91),0,IF((YEAR(D91)+14)&gt;=YEAR(E91)+N91,0,IF((YEAR(D91)+14)=YEAR(E91),(12-MONTH(E91)+1)/12,1))))))))*TaxRate,0))-IF(14=0,O91,0))</f>
        <v/>
      </c>
      <c r="AH91" s="29">
        <f>IF(A91="","",((K91)*(IF(M91="",L91,IFERROR(IF(INDEX(Variablen!$I:$AT, MATCH(M91, Variablen!$A:$A, 0), MATCH((YEAR(D91)+15), Variablen!$I$3:$AT$3, 0))="",L91,INDEX(Variablen!$I:$AT, MATCH(M91, Variablen!$A:$A, 0), MATCH((YEAR(D91)+15), Variablen!$I$3:$AT$3, 0))),L91)))*(IF((YEAR(D91)+15)&lt;YEAR(E91),0,IF((YEAR(D91)+15)&gt;YEAR(E91),1,(12-MONTH(E91)+1)/12))) + (Q91)*(IF((YEAR(D91)+15)&lt;YEAR(E91),0,IF((YEAR(D91)+15)&gt;YEAR(E91),1,(12-MONTH(E91)+1)/12))))-((P91)*(IF((YEAR(D91)+15)&lt;YEAR(E91),0,IF((YEAR(D91)+15)&gt;YEAR(E91),1,(12-MONTH(E91)+1)/12))) + (R91)*(IF((YEAR(D91)+15)&lt;YEAR(E91),0,IF((YEAR(D91)+15)&gt;YEAR(E91),1,(12-MONTH(E91)+1)/12))))-(IF((((K91)*(IF(M91="",L91,IFERROR(IF(INDEX(Variablen!$I:$AT, MATCH(M91, Variablen!$A:$A, 0), MATCH((YEAR(D91)+15), Variablen!$I$3:$AT$3, 0))="",L91,INDEX(Variablen!$I:$AT, MATCH(M91, Variablen!$A:$A, 0), MATCH((YEAR(D91)+15), Variablen!$I$3:$AT$3, 0))),L91)))*(IF((YEAR(D91)+15)&lt;YEAR(E91),0,IF((YEAR(D91)+15)&gt;YEAR(E91),1,(12-MONTH(E91)+1)/12))) + (Q91)*(IF((YEAR(D91)+15)&lt;YEAR(E91),0,IF((YEAR(D91)+15)&gt;YEAR(E91),1,(12-MONTH(E91)+1)/12))))-((P91)*(IF((YEAR(D91)+15)&lt;YEAR(E91),0,IF((YEAR(D91)+15)&gt;YEAR(E91),1,(12-MONTH(E91)+1)/12))) + (R91)*(IF((YEAR(D91)+15)&lt;YEAR(E91),0,IF((YEAR(D91)+15)&gt;YEAR(E91),1,(12-MONTH(E91)+1)/12))))-(IF(OR(N91="",N91&lt;=0),0,(O91/N91)*(IF(OR(N91="",N91&lt;=0),0,IF((YEAR(D91)+15)&lt;YEAR(E91),0,IF((YEAR(D91)+15)&gt;=YEAR(E91)+N91,0,IF((YEAR(D91)+15)=YEAR(E91),(12-MONTH(E91)+1)/12,1))))))))&gt;0,(((K91)*(IF(M91="",L91,IFERROR(IF(INDEX(Variablen!$I:$AT, MATCH(M91, Variablen!$A:$A, 0), MATCH((YEAR(D91)+15), Variablen!$I$3:$AT$3, 0))="",L91,INDEX(Variablen!$I:$AT, MATCH(M91, Variablen!$A:$A, 0), MATCH((YEAR(D91)+15), Variablen!$I$3:$AT$3, 0))),L91)))*(IF((YEAR(D91)+15)&lt;YEAR(E91),0,IF((YEAR(D91)+15)&gt;YEAR(E91),1,(12-MONTH(E91)+1)/12))) + (Q91)*(IF((YEAR(D91)+15)&lt;YEAR(E91),0,IF((YEAR(D91)+15)&gt;YEAR(E91),1,(12-MONTH(E91)+1)/12))))-((P91)*(IF((YEAR(D91)+15)&lt;YEAR(E91),0,IF((YEAR(D91)+15)&gt;YEAR(E91),1,(12-MONTH(E91)+1)/12))) + (R91)*(IF((YEAR(D91)+15)&lt;YEAR(E91),0,IF((YEAR(D91)+15)&gt;YEAR(E91),1,(12-MONTH(E91)+1)/12))))-(IF(OR(N91="",N91&lt;=0),0,(O91/N91)*(IF(OR(N91="",N91&lt;=0),0,IF((YEAR(D91)+15)&lt;YEAR(E91),0,IF((YEAR(D91)+15)&gt;=YEAR(E91)+N91,0,IF((YEAR(D91)+15)=YEAR(E91),(12-MONTH(E91)+1)/12,1))))))))*TaxRate,0))-IF(15=0,O91,0))</f>
        <v/>
      </c>
      <c r="AI91" s="29">
        <f>IF(A91="","",((K91)*(IF(M91="",L91,IFERROR(IF(INDEX(Variablen!$I:$AT, MATCH(M91, Variablen!$A:$A, 0), MATCH((YEAR(D91)+16), Variablen!$I$3:$AT$3, 0))="",L91,INDEX(Variablen!$I:$AT, MATCH(M91, Variablen!$A:$A, 0), MATCH((YEAR(D91)+16), Variablen!$I$3:$AT$3, 0))),L91)))*(IF((YEAR(D91)+16)&lt;YEAR(E91),0,IF((YEAR(D91)+16)&gt;YEAR(E91),1,(12-MONTH(E91)+1)/12))) + (Q91)*(IF((YEAR(D91)+16)&lt;YEAR(E91),0,IF((YEAR(D91)+16)&gt;YEAR(E91),1,(12-MONTH(E91)+1)/12))))-((P91)*(IF((YEAR(D91)+16)&lt;YEAR(E91),0,IF((YEAR(D91)+16)&gt;YEAR(E91),1,(12-MONTH(E91)+1)/12))) + (R91)*(IF((YEAR(D91)+16)&lt;YEAR(E91),0,IF((YEAR(D91)+16)&gt;YEAR(E91),1,(12-MONTH(E91)+1)/12))))-(IF((((K91)*(IF(M91="",L91,IFERROR(IF(INDEX(Variablen!$I:$AT, MATCH(M91, Variablen!$A:$A, 0), MATCH((YEAR(D91)+16), Variablen!$I$3:$AT$3, 0))="",L91,INDEX(Variablen!$I:$AT, MATCH(M91, Variablen!$A:$A, 0), MATCH((YEAR(D91)+16), Variablen!$I$3:$AT$3, 0))),L91)))*(IF((YEAR(D91)+16)&lt;YEAR(E91),0,IF((YEAR(D91)+16)&gt;YEAR(E91),1,(12-MONTH(E91)+1)/12))) + (Q91)*(IF((YEAR(D91)+16)&lt;YEAR(E91),0,IF((YEAR(D91)+16)&gt;YEAR(E91),1,(12-MONTH(E91)+1)/12))))-((P91)*(IF((YEAR(D91)+16)&lt;YEAR(E91),0,IF((YEAR(D91)+16)&gt;YEAR(E91),1,(12-MONTH(E91)+1)/12))) + (R91)*(IF((YEAR(D91)+16)&lt;YEAR(E91),0,IF((YEAR(D91)+16)&gt;YEAR(E91),1,(12-MONTH(E91)+1)/12))))-(IF(OR(N91="",N91&lt;=0),0,(O91/N91)*(IF(OR(N91="",N91&lt;=0),0,IF((YEAR(D91)+16)&lt;YEAR(E91),0,IF((YEAR(D91)+16)&gt;=YEAR(E91)+N91,0,IF((YEAR(D91)+16)=YEAR(E91),(12-MONTH(E91)+1)/12,1))))))))&gt;0,(((K91)*(IF(M91="",L91,IFERROR(IF(INDEX(Variablen!$I:$AT, MATCH(M91, Variablen!$A:$A, 0), MATCH((YEAR(D91)+16), Variablen!$I$3:$AT$3, 0))="",L91,INDEX(Variablen!$I:$AT, MATCH(M91, Variablen!$A:$A, 0), MATCH((YEAR(D91)+16), Variablen!$I$3:$AT$3, 0))),L91)))*(IF((YEAR(D91)+16)&lt;YEAR(E91),0,IF((YEAR(D91)+16)&gt;YEAR(E91),1,(12-MONTH(E91)+1)/12))) + (Q91)*(IF((YEAR(D91)+16)&lt;YEAR(E91),0,IF((YEAR(D91)+16)&gt;YEAR(E91),1,(12-MONTH(E91)+1)/12))))-((P91)*(IF((YEAR(D91)+16)&lt;YEAR(E91),0,IF((YEAR(D91)+16)&gt;YEAR(E91),1,(12-MONTH(E91)+1)/12))) + (R91)*(IF((YEAR(D91)+16)&lt;YEAR(E91),0,IF((YEAR(D91)+16)&gt;YEAR(E91),1,(12-MONTH(E91)+1)/12))))-(IF(OR(N91="",N91&lt;=0),0,(O91/N91)*(IF(OR(N91="",N91&lt;=0),0,IF((YEAR(D91)+16)&lt;YEAR(E91),0,IF((YEAR(D91)+16)&gt;=YEAR(E91)+N91,0,IF((YEAR(D91)+16)=YEAR(E91),(12-MONTH(E91)+1)/12,1))))))))*TaxRate,0))-IF(16=0,O91,0))</f>
        <v/>
      </c>
      <c r="AJ91" s="29">
        <f>IF(A91="","",((K91)*(IF(M91="",L91,IFERROR(IF(INDEX(Variablen!$I:$AT, MATCH(M91, Variablen!$A:$A, 0), MATCH((YEAR(D91)+17), Variablen!$I$3:$AT$3, 0))="",L91,INDEX(Variablen!$I:$AT, MATCH(M91, Variablen!$A:$A, 0), MATCH((YEAR(D91)+17), Variablen!$I$3:$AT$3, 0))),L91)))*(IF((YEAR(D91)+17)&lt;YEAR(E91),0,IF((YEAR(D91)+17)&gt;YEAR(E91),1,(12-MONTH(E91)+1)/12))) + (Q91)*(IF((YEAR(D91)+17)&lt;YEAR(E91),0,IF((YEAR(D91)+17)&gt;YEAR(E91),1,(12-MONTH(E91)+1)/12))))-((P91)*(IF((YEAR(D91)+17)&lt;YEAR(E91),0,IF((YEAR(D91)+17)&gt;YEAR(E91),1,(12-MONTH(E91)+1)/12))) + (R91)*(IF((YEAR(D91)+17)&lt;YEAR(E91),0,IF((YEAR(D91)+17)&gt;YEAR(E91),1,(12-MONTH(E91)+1)/12))))-(IF((((K91)*(IF(M91="",L91,IFERROR(IF(INDEX(Variablen!$I:$AT, MATCH(M91, Variablen!$A:$A, 0), MATCH((YEAR(D91)+17), Variablen!$I$3:$AT$3, 0))="",L91,INDEX(Variablen!$I:$AT, MATCH(M91, Variablen!$A:$A, 0), MATCH((YEAR(D91)+17), Variablen!$I$3:$AT$3, 0))),L91)))*(IF((YEAR(D91)+17)&lt;YEAR(E91),0,IF((YEAR(D91)+17)&gt;YEAR(E91),1,(12-MONTH(E91)+1)/12))) + (Q91)*(IF((YEAR(D91)+17)&lt;YEAR(E91),0,IF((YEAR(D91)+17)&gt;YEAR(E91),1,(12-MONTH(E91)+1)/12))))-((P91)*(IF((YEAR(D91)+17)&lt;YEAR(E91),0,IF((YEAR(D91)+17)&gt;YEAR(E91),1,(12-MONTH(E91)+1)/12))) + (R91)*(IF((YEAR(D91)+17)&lt;YEAR(E91),0,IF((YEAR(D91)+17)&gt;YEAR(E91),1,(12-MONTH(E91)+1)/12))))-(IF(OR(N91="",N91&lt;=0),0,(O91/N91)*(IF(OR(N91="",N91&lt;=0),0,IF((YEAR(D91)+17)&lt;YEAR(E91),0,IF((YEAR(D91)+17)&gt;=YEAR(E91)+N91,0,IF((YEAR(D91)+17)=YEAR(E91),(12-MONTH(E91)+1)/12,1))))))))&gt;0,(((K91)*(IF(M91="",L91,IFERROR(IF(INDEX(Variablen!$I:$AT, MATCH(M91, Variablen!$A:$A, 0), MATCH((YEAR(D91)+17), Variablen!$I$3:$AT$3, 0))="",L91,INDEX(Variablen!$I:$AT, MATCH(M91, Variablen!$A:$A, 0), MATCH((YEAR(D91)+17), Variablen!$I$3:$AT$3, 0))),L91)))*(IF((YEAR(D91)+17)&lt;YEAR(E91),0,IF((YEAR(D91)+17)&gt;YEAR(E91),1,(12-MONTH(E91)+1)/12))) + (Q91)*(IF((YEAR(D91)+17)&lt;YEAR(E91),0,IF((YEAR(D91)+17)&gt;YEAR(E91),1,(12-MONTH(E91)+1)/12))))-((P91)*(IF((YEAR(D91)+17)&lt;YEAR(E91),0,IF((YEAR(D91)+17)&gt;YEAR(E91),1,(12-MONTH(E91)+1)/12))) + (R91)*(IF((YEAR(D91)+17)&lt;YEAR(E91),0,IF((YEAR(D91)+17)&gt;YEAR(E91),1,(12-MONTH(E91)+1)/12))))-(IF(OR(N91="",N91&lt;=0),0,(O91/N91)*(IF(OR(N91="",N91&lt;=0),0,IF((YEAR(D91)+17)&lt;YEAR(E91),0,IF((YEAR(D91)+17)&gt;=YEAR(E91)+N91,0,IF((YEAR(D91)+17)=YEAR(E91),(12-MONTH(E91)+1)/12,1))))))))*TaxRate,0))-IF(17=0,O91,0))</f>
        <v/>
      </c>
      <c r="AK91" s="29">
        <f>IF(A91="","",((K91)*(IF(M91="",L91,IFERROR(IF(INDEX(Variablen!$I:$AT, MATCH(M91, Variablen!$A:$A, 0), MATCH((YEAR(D91)+18), Variablen!$I$3:$AT$3, 0))="",L91,INDEX(Variablen!$I:$AT, MATCH(M91, Variablen!$A:$A, 0), MATCH((YEAR(D91)+18), Variablen!$I$3:$AT$3, 0))),L91)))*(IF((YEAR(D91)+18)&lt;YEAR(E91),0,IF((YEAR(D91)+18)&gt;YEAR(E91),1,(12-MONTH(E91)+1)/12))) + (Q91)*(IF((YEAR(D91)+18)&lt;YEAR(E91),0,IF((YEAR(D91)+18)&gt;YEAR(E91),1,(12-MONTH(E91)+1)/12))))-((P91)*(IF((YEAR(D91)+18)&lt;YEAR(E91),0,IF((YEAR(D91)+18)&gt;YEAR(E91),1,(12-MONTH(E91)+1)/12))) + (R91)*(IF((YEAR(D91)+18)&lt;YEAR(E91),0,IF((YEAR(D91)+18)&gt;YEAR(E91),1,(12-MONTH(E91)+1)/12))))-(IF((((K91)*(IF(M91="",L91,IFERROR(IF(INDEX(Variablen!$I:$AT, MATCH(M91, Variablen!$A:$A, 0), MATCH((YEAR(D91)+18), Variablen!$I$3:$AT$3, 0))="",L91,INDEX(Variablen!$I:$AT, MATCH(M91, Variablen!$A:$A, 0), MATCH((YEAR(D91)+18), Variablen!$I$3:$AT$3, 0))),L91)))*(IF((YEAR(D91)+18)&lt;YEAR(E91),0,IF((YEAR(D91)+18)&gt;YEAR(E91),1,(12-MONTH(E91)+1)/12))) + (Q91)*(IF((YEAR(D91)+18)&lt;YEAR(E91),0,IF((YEAR(D91)+18)&gt;YEAR(E91),1,(12-MONTH(E91)+1)/12))))-((P91)*(IF((YEAR(D91)+18)&lt;YEAR(E91),0,IF((YEAR(D91)+18)&gt;YEAR(E91),1,(12-MONTH(E91)+1)/12))) + (R91)*(IF((YEAR(D91)+18)&lt;YEAR(E91),0,IF((YEAR(D91)+18)&gt;YEAR(E91),1,(12-MONTH(E91)+1)/12))))-(IF(OR(N91="",N91&lt;=0),0,(O91/N91)*(IF(OR(N91="",N91&lt;=0),0,IF((YEAR(D91)+18)&lt;YEAR(E91),0,IF((YEAR(D91)+18)&gt;=YEAR(E91)+N91,0,IF((YEAR(D91)+18)=YEAR(E91),(12-MONTH(E91)+1)/12,1))))))))&gt;0,(((K91)*(IF(M91="",L91,IFERROR(IF(INDEX(Variablen!$I:$AT, MATCH(M91, Variablen!$A:$A, 0), MATCH((YEAR(D91)+18), Variablen!$I$3:$AT$3, 0))="",L91,INDEX(Variablen!$I:$AT, MATCH(M91, Variablen!$A:$A, 0), MATCH((YEAR(D91)+18), Variablen!$I$3:$AT$3, 0))),L91)))*(IF((YEAR(D91)+18)&lt;YEAR(E91),0,IF((YEAR(D91)+18)&gt;YEAR(E91),1,(12-MONTH(E91)+1)/12))) + (Q91)*(IF((YEAR(D91)+18)&lt;YEAR(E91),0,IF((YEAR(D91)+18)&gt;YEAR(E91),1,(12-MONTH(E91)+1)/12))))-((P91)*(IF((YEAR(D91)+18)&lt;YEAR(E91),0,IF((YEAR(D91)+18)&gt;YEAR(E91),1,(12-MONTH(E91)+1)/12))) + (R91)*(IF((YEAR(D91)+18)&lt;YEAR(E91),0,IF((YEAR(D91)+18)&gt;YEAR(E91),1,(12-MONTH(E91)+1)/12))))-(IF(OR(N91="",N91&lt;=0),0,(O91/N91)*(IF(OR(N91="",N91&lt;=0),0,IF((YEAR(D91)+18)&lt;YEAR(E91),0,IF((YEAR(D91)+18)&gt;=YEAR(E91)+N91,0,IF((YEAR(D91)+18)=YEAR(E91),(12-MONTH(E91)+1)/12,1))))))))*TaxRate,0))-IF(18=0,O91,0))</f>
        <v/>
      </c>
      <c r="AL91" s="29">
        <f>IF(A91="","",((K91)*(IF(M91="",L91,IFERROR(IF(INDEX(Variablen!$I:$AT, MATCH(M91, Variablen!$A:$A, 0), MATCH((YEAR(D91)+19), Variablen!$I$3:$AT$3, 0))="",L91,INDEX(Variablen!$I:$AT, MATCH(M91, Variablen!$A:$A, 0), MATCH((YEAR(D91)+19), Variablen!$I$3:$AT$3, 0))),L91)))*(IF((YEAR(D91)+19)&lt;YEAR(E91),0,IF((YEAR(D91)+19)&gt;YEAR(E91),1,(12-MONTH(E91)+1)/12))) + (Q91)*(IF((YEAR(D91)+19)&lt;YEAR(E91),0,IF((YEAR(D91)+19)&gt;YEAR(E91),1,(12-MONTH(E91)+1)/12))))-((P91)*(IF((YEAR(D91)+19)&lt;YEAR(E91),0,IF((YEAR(D91)+19)&gt;YEAR(E91),1,(12-MONTH(E91)+1)/12))) + (R91)*(IF((YEAR(D91)+19)&lt;YEAR(E91),0,IF((YEAR(D91)+19)&gt;YEAR(E91),1,(12-MONTH(E91)+1)/12))))-(IF((((K91)*(IF(M91="",L91,IFERROR(IF(INDEX(Variablen!$I:$AT, MATCH(M91, Variablen!$A:$A, 0), MATCH((YEAR(D91)+19), Variablen!$I$3:$AT$3, 0))="",L91,INDEX(Variablen!$I:$AT, MATCH(M91, Variablen!$A:$A, 0), MATCH((YEAR(D91)+19), Variablen!$I$3:$AT$3, 0))),L91)))*(IF((YEAR(D91)+19)&lt;YEAR(E91),0,IF((YEAR(D91)+19)&gt;YEAR(E91),1,(12-MONTH(E91)+1)/12))) + (Q91)*(IF((YEAR(D91)+19)&lt;YEAR(E91),0,IF((YEAR(D91)+19)&gt;YEAR(E91),1,(12-MONTH(E91)+1)/12))))-((P91)*(IF((YEAR(D91)+19)&lt;YEAR(E91),0,IF((YEAR(D91)+19)&gt;YEAR(E91),1,(12-MONTH(E91)+1)/12))) + (R91)*(IF((YEAR(D91)+19)&lt;YEAR(E91),0,IF((YEAR(D91)+19)&gt;YEAR(E91),1,(12-MONTH(E91)+1)/12))))-(IF(OR(N91="",N91&lt;=0),0,(O91/N91)*(IF(OR(N91="",N91&lt;=0),0,IF((YEAR(D91)+19)&lt;YEAR(E91),0,IF((YEAR(D91)+19)&gt;=YEAR(E91)+N91,0,IF((YEAR(D91)+19)=YEAR(E91),(12-MONTH(E91)+1)/12,1))))))))&gt;0,(((K91)*(IF(M91="",L91,IFERROR(IF(INDEX(Variablen!$I:$AT, MATCH(M91, Variablen!$A:$A, 0), MATCH((YEAR(D91)+19), Variablen!$I$3:$AT$3, 0))="",L91,INDEX(Variablen!$I:$AT, MATCH(M91, Variablen!$A:$A, 0), MATCH((YEAR(D91)+19), Variablen!$I$3:$AT$3, 0))),L91)))*(IF((YEAR(D91)+19)&lt;YEAR(E91),0,IF((YEAR(D91)+19)&gt;YEAR(E91),1,(12-MONTH(E91)+1)/12))) + (Q91)*(IF((YEAR(D91)+19)&lt;YEAR(E91),0,IF((YEAR(D91)+19)&gt;YEAR(E91),1,(12-MONTH(E91)+1)/12))))-((P91)*(IF((YEAR(D91)+19)&lt;YEAR(E91),0,IF((YEAR(D91)+19)&gt;YEAR(E91),1,(12-MONTH(E91)+1)/12))) + (R91)*(IF((YEAR(D91)+19)&lt;YEAR(E91),0,IF((YEAR(D91)+19)&gt;YEAR(E91),1,(12-MONTH(E91)+1)/12))))-(IF(OR(N91="",N91&lt;=0),0,(O91/N91)*(IF(OR(N91="",N91&lt;=0),0,IF((YEAR(D91)+19)&lt;YEAR(E91),0,IF((YEAR(D91)+19)&gt;=YEAR(E91)+N91,0,IF((YEAR(D91)+19)=YEAR(E91),(12-MONTH(E91)+1)/12,1))))))))*TaxRate,0))-IF(19=0,O91,0))</f>
        <v/>
      </c>
      <c r="AM91" s="29">
        <f>IF(A91="","",((K91)*(IF(M91="",L91,IFERROR(IF(INDEX(Variablen!$I:$AT, MATCH(M91, Variablen!$A:$A, 0), MATCH((YEAR(D91)+20), Variablen!$I$3:$AT$3, 0))="",L91,INDEX(Variablen!$I:$AT, MATCH(M91, Variablen!$A:$A, 0), MATCH((YEAR(D91)+20), Variablen!$I$3:$AT$3, 0))),L91)))*(IF((YEAR(D91)+20)&lt;YEAR(E91),0,IF((YEAR(D91)+20)&gt;YEAR(E91),1,(12-MONTH(E91)+1)/12))) + (Q91)*(IF((YEAR(D91)+20)&lt;YEAR(E91),0,IF((YEAR(D91)+20)&gt;YEAR(E91),1,(12-MONTH(E91)+1)/12))))-((P91)*(IF((YEAR(D91)+20)&lt;YEAR(E91),0,IF((YEAR(D91)+20)&gt;YEAR(E91),1,(12-MONTH(E91)+1)/12))) + (R91)*(IF((YEAR(D91)+20)&lt;YEAR(E91),0,IF((YEAR(D91)+20)&gt;YEAR(E91),1,(12-MONTH(E91)+1)/12))))-(IF((((K91)*(IF(M91="",L91,IFERROR(IF(INDEX(Variablen!$I:$AT, MATCH(M91, Variablen!$A:$A, 0), MATCH((YEAR(D91)+20), Variablen!$I$3:$AT$3, 0))="",L91,INDEX(Variablen!$I:$AT, MATCH(M91, Variablen!$A:$A, 0), MATCH((YEAR(D91)+20), Variablen!$I$3:$AT$3, 0))),L91)))*(IF((YEAR(D91)+20)&lt;YEAR(E91),0,IF((YEAR(D91)+20)&gt;YEAR(E91),1,(12-MONTH(E91)+1)/12))) + (Q91)*(IF((YEAR(D91)+20)&lt;YEAR(E91),0,IF((YEAR(D91)+20)&gt;YEAR(E91),1,(12-MONTH(E91)+1)/12))))-((P91)*(IF((YEAR(D91)+20)&lt;YEAR(E91),0,IF((YEAR(D91)+20)&gt;YEAR(E91),1,(12-MONTH(E91)+1)/12))) + (R91)*(IF((YEAR(D91)+20)&lt;YEAR(E91),0,IF((YEAR(D91)+20)&gt;YEAR(E91),1,(12-MONTH(E91)+1)/12))))-(IF(OR(N91="",N91&lt;=0),0,(O91/N91)*(IF(OR(N91="",N91&lt;=0),0,IF((YEAR(D91)+20)&lt;YEAR(E91),0,IF((YEAR(D91)+20)&gt;=YEAR(E91)+N91,0,IF((YEAR(D91)+20)=YEAR(E91),(12-MONTH(E91)+1)/12,1))))))))&gt;0,(((K91)*(IF(M91="",L91,IFERROR(IF(INDEX(Variablen!$I:$AT, MATCH(M91, Variablen!$A:$A, 0), MATCH((YEAR(D91)+20), Variablen!$I$3:$AT$3, 0))="",L91,INDEX(Variablen!$I:$AT, MATCH(M91, Variablen!$A:$A, 0), MATCH((YEAR(D91)+20), Variablen!$I$3:$AT$3, 0))),L91)))*(IF((YEAR(D91)+20)&lt;YEAR(E91),0,IF((YEAR(D91)+20)&gt;YEAR(E91),1,(12-MONTH(E91)+1)/12))) + (Q91)*(IF((YEAR(D91)+20)&lt;YEAR(E91),0,IF((YEAR(D91)+20)&gt;YEAR(E91),1,(12-MONTH(E91)+1)/12))))-((P91)*(IF((YEAR(D91)+20)&lt;YEAR(E91),0,IF((YEAR(D91)+20)&gt;YEAR(E91),1,(12-MONTH(E91)+1)/12))) + (R91)*(IF((YEAR(D91)+20)&lt;YEAR(E91),0,IF((YEAR(D91)+20)&gt;YEAR(E91),1,(12-MONTH(E91)+1)/12))))-(IF(OR(N91="",N91&lt;=0),0,(O91/N91)*(IF(OR(N91="",N91&lt;=0),0,IF((YEAR(D91)+20)&lt;YEAR(E91),0,IF((YEAR(D91)+20)&gt;=YEAR(E91)+N91,0,IF((YEAR(D91)+20)=YEAR(E91),(12-MONTH(E91)+1)/12,1))))))))*TaxRate,0))-IF(20=0,O91,0))</f>
        <v/>
      </c>
      <c r="AN91" s="29">
        <f>IF(A91="","",S91)</f>
        <v/>
      </c>
      <c r="AO91" s="29">
        <f>IF(A91="","",AN91+T91)</f>
        <v/>
      </c>
      <c r="AP91" s="29">
        <f>IF(A91="","",AO91+U91)</f>
        <v/>
      </c>
      <c r="AQ91" s="29">
        <f>IF(A91="","",AP91+V91)</f>
        <v/>
      </c>
      <c r="AR91" s="29">
        <f>IF(A91="","",AQ91+W91)</f>
        <v/>
      </c>
      <c r="AS91" s="29">
        <f>IF(A91="","",AR91+X91)</f>
        <v/>
      </c>
      <c r="AT91" s="29">
        <f>IF(A91="","",AS91+Y91)</f>
        <v/>
      </c>
      <c r="AU91" s="29">
        <f>IF(A91="","",AT91+Z91)</f>
        <v/>
      </c>
      <c r="AV91" s="29">
        <f>IF(A91="","",AU91+AA91)</f>
        <v/>
      </c>
      <c r="AW91" s="29">
        <f>IF(A91="","",AV91+AB91)</f>
        <v/>
      </c>
      <c r="AX91" s="29">
        <f>IF(A91="","",AW91+AC91)</f>
        <v/>
      </c>
      <c r="AY91" s="29">
        <f>IF(A91="","",AX91+AD91)</f>
        <v/>
      </c>
      <c r="AZ91" s="29">
        <f>IF(A91="","",AY91+AE91)</f>
        <v/>
      </c>
      <c r="BA91" s="29">
        <f>IF(A91="","",AZ91+AF91)</f>
        <v/>
      </c>
      <c r="BB91" s="29">
        <f>IF(A91="","",BA91+AG91)</f>
        <v/>
      </c>
      <c r="BC91" s="29">
        <f>IF(A91="","",BB91+AH91)</f>
        <v/>
      </c>
      <c r="BD91" s="29">
        <f>IF(A91="","",BC91+AI91)</f>
        <v/>
      </c>
      <c r="BE91" s="29">
        <f>IF(A91="","",BD91+AJ91)</f>
        <v/>
      </c>
      <c r="BF91" s="29">
        <f>IF(A91="","",BE91+AK91)</f>
        <v/>
      </c>
      <c r="BG91" s="29">
        <f>IF(A91="","",BF91+AL91)</f>
        <v/>
      </c>
      <c r="BH91" s="29">
        <f>IF(A91="","",BG91+AM91)</f>
        <v/>
      </c>
      <c r="BI91" s="36">
        <f>IF(A91="","",(K91)*(IF((YEAR(D91)+0)&lt;YEAR(E91),0,IF((YEAR(D91)+0)&gt;YEAR(E91),1,(12-MONTH(E91)+1)/12)))*(1/(1+DiscountRate)^0))</f>
        <v/>
      </c>
      <c r="BJ91" s="36">
        <f>IF(A91="","",(K91)*(IF((YEAR(D91)+1)&lt;YEAR(E91),0,IF((YEAR(D91)+1)&gt;YEAR(E91),1,(12-MONTH(E91)+1)/12)))*(1/(1+DiscountRate)^1))</f>
        <v/>
      </c>
      <c r="BK91" s="36">
        <f>IF(A91="","",(K91)*(IF((YEAR(D91)+2)&lt;YEAR(E91),0,IF((YEAR(D91)+2)&gt;YEAR(E91),1,(12-MONTH(E91)+1)/12)))*(1/(1+DiscountRate)^2))</f>
        <v/>
      </c>
      <c r="BL91" s="36">
        <f>IF(A91="","",(K91)*(IF((YEAR(D91)+3)&lt;YEAR(E91),0,IF((YEAR(D91)+3)&gt;YEAR(E91),1,(12-MONTH(E91)+1)/12)))*(1/(1+DiscountRate)^3))</f>
        <v/>
      </c>
      <c r="BM91" s="36">
        <f>IF(A91="","",(K91)*(IF((YEAR(D91)+4)&lt;YEAR(E91),0,IF((YEAR(D91)+4)&gt;YEAR(E91),1,(12-MONTH(E91)+1)/12)))*(1/(1+DiscountRate)^4))</f>
        <v/>
      </c>
      <c r="BN91" s="36">
        <f>IF(A91="","",(K91)*(IF((YEAR(D91)+5)&lt;YEAR(E91),0,IF((YEAR(D91)+5)&gt;YEAR(E91),1,(12-MONTH(E91)+1)/12)))*(1/(1+DiscountRate)^5))</f>
        <v/>
      </c>
      <c r="BO91" s="36">
        <f>IF(A91="","",(K91)*(IF((YEAR(D91)+6)&lt;YEAR(E91),0,IF((YEAR(D91)+6)&gt;YEAR(E91),1,(12-MONTH(E91)+1)/12)))*(1/(1+DiscountRate)^6))</f>
        <v/>
      </c>
      <c r="BP91" s="36">
        <f>IF(A91="","",(K91)*(IF((YEAR(D91)+7)&lt;YEAR(E91),0,IF((YEAR(D91)+7)&gt;YEAR(E91),1,(12-MONTH(E91)+1)/12)))*(1/(1+DiscountRate)^7))</f>
        <v/>
      </c>
      <c r="BQ91" s="36">
        <f>IF(A91="","",(K91)*(IF((YEAR(D91)+8)&lt;YEAR(E91),0,IF((YEAR(D91)+8)&gt;YEAR(E91),1,(12-MONTH(E91)+1)/12)))*(1/(1+DiscountRate)^8))</f>
        <v/>
      </c>
      <c r="BR91" s="36">
        <f>IF(A91="","",(K91)*(IF((YEAR(D91)+9)&lt;YEAR(E91),0,IF((YEAR(D91)+9)&gt;YEAR(E91),1,(12-MONTH(E91)+1)/12)))*(1/(1+DiscountRate)^9))</f>
        <v/>
      </c>
      <c r="BS91" s="36">
        <f>IF(A91="","",(K91)*(IF((YEAR(D91)+10)&lt;YEAR(E91),0,IF((YEAR(D91)+10)&gt;YEAR(E91),1,(12-MONTH(E91)+1)/12)))*(1/(1+DiscountRate)^10))</f>
        <v/>
      </c>
      <c r="BT91" s="36">
        <f>IF(A91="","",(K91)*(IF((YEAR(D91)+11)&lt;YEAR(E91),0,IF((YEAR(D91)+11)&gt;YEAR(E91),1,(12-MONTH(E91)+1)/12)))*(1/(1+DiscountRate)^11))</f>
        <v/>
      </c>
      <c r="BU91" s="36">
        <f>IF(A91="","",(K91)*(IF((YEAR(D91)+12)&lt;YEAR(E91),0,IF((YEAR(D91)+12)&gt;YEAR(E91),1,(12-MONTH(E91)+1)/12)))*(1/(1+DiscountRate)^12))</f>
        <v/>
      </c>
      <c r="BV91" s="36">
        <f>IF(A91="","",(K91)*(IF((YEAR(D91)+13)&lt;YEAR(E91),0,IF((YEAR(D91)+13)&gt;YEAR(E91),1,(12-MONTH(E91)+1)/12)))*(1/(1+DiscountRate)^13))</f>
        <v/>
      </c>
      <c r="BW91" s="36">
        <f>IF(A91="","",(K91)*(IF((YEAR(D91)+14)&lt;YEAR(E91),0,IF((YEAR(D91)+14)&gt;YEAR(E91),1,(12-MONTH(E91)+1)/12)))*(1/(1+DiscountRate)^14))</f>
        <v/>
      </c>
      <c r="BX91" s="36">
        <f>IF(A91="","",(K91)*(IF((YEAR(D91)+15)&lt;YEAR(E91),0,IF((YEAR(D91)+15)&gt;YEAR(E91),1,(12-MONTH(E91)+1)/12)))*(1/(1+DiscountRate)^15))</f>
        <v/>
      </c>
      <c r="BY91" s="36">
        <f>IF(A91="","",(K91)*(IF((YEAR(D91)+16)&lt;YEAR(E91),0,IF((YEAR(D91)+16)&gt;YEAR(E91),1,(12-MONTH(E91)+1)/12)))*(1/(1+DiscountRate)^16))</f>
        <v/>
      </c>
      <c r="BZ91" s="36">
        <f>IF(A91="","",(K91)*(IF((YEAR(D91)+17)&lt;YEAR(E91),0,IF((YEAR(D91)+17)&gt;YEAR(E91),1,(12-MONTH(E91)+1)/12)))*(1/(1+DiscountRate)^17))</f>
        <v/>
      </c>
      <c r="CA91" s="36">
        <f>IF(A91="","",(K91)*(IF((YEAR(D91)+18)&lt;YEAR(E91),0,IF((YEAR(D91)+18)&gt;YEAR(E91),1,(12-MONTH(E91)+1)/12)))*(1/(1+DiscountRate)^18))</f>
        <v/>
      </c>
      <c r="CB91" s="36">
        <f>IF(A91="","",(K91)*(IF((YEAR(D91)+19)&lt;YEAR(E91),0,IF((YEAR(D91)+19)&gt;YEAR(E91),1,(12-MONTH(E91)+1)/12)))*(1/(1+DiscountRate)^19))</f>
        <v/>
      </c>
      <c r="CC91" s="36">
        <f>IF(A91="","",(K91)*(IF((YEAR(D91)+20)&lt;YEAR(E91),0,IF((YEAR(D91)+20)&gt;YEAR(E91),1,(12-MONTH(E91)+1)/12)))*(1/(1+DiscountRate)^20))</f>
        <v/>
      </c>
      <c r="CD91" s="29">
        <f>IF(A91="","",S91/(1+DiscountRate)^0+T91/(1+DiscountRate)^1+U91/(1+DiscountRate)^2+V91/(1+DiscountRate)^3+W91/(1+DiscountRate)^4+X91/(1+DiscountRate)^5+Y91/(1+DiscountRate)^6+Z91/(1+DiscountRate)^7+AA91/(1+DiscountRate)^8+AB91/(1+DiscountRate)^9+AC91/(1+DiscountRate)^10+AD91/(1+DiscountRate)^11+AE91/(1+DiscountRate)^12+AF91/(1+DiscountRate)^13+AG91/(1+DiscountRate)^14+AH91/(1+DiscountRate)^15+AI91/(1+DiscountRate)^16+AJ91/(1+DiscountRate)^17+AK91/(1+DiscountRate)^18+AL91/(1+DiscountRate)^19+AM91/(1+DiscountRate)^20)</f>
        <v/>
      </c>
      <c r="CE91" s="37">
        <f>IF(A91="","",IFERROR(IRR(OFFSET(S91,0,0,1,MIN(HorizonYears,20)+1)),"n/a"))</f>
        <v/>
      </c>
      <c r="CF91" s="28">
        <f>IF(A91="","",IFERROR(MATCH(TRUE,OFFSET(AN91,0,0,1,MIN(HorizonYears,20)+1)&gt;=0,0)-1,"n/a"))</f>
        <v/>
      </c>
      <c r="CG91" s="36">
        <f>IF(A91="","",SUM(OFFSET(BI91,0,0,1,MIN(HorizonYears,20)+1)))</f>
        <v/>
      </c>
      <c r="CH91" s="36">
        <f>IF(A91="","",IFERROR(-CD91/CG91,"n/a"))</f>
        <v/>
      </c>
    </row>
    <row r="92">
      <c r="A92" s="6">
        <f>Actions!A90</f>
        <v/>
      </c>
      <c r="B92" s="6">
        <f>Actions!B90</f>
        <v/>
      </c>
      <c r="C92" s="6">
        <f>Actions!D90</f>
        <v/>
      </c>
      <c r="D92" s="35">
        <f>Actions!E90</f>
        <v/>
      </c>
      <c r="E92" s="35">
        <f>Actions!F90</f>
        <v/>
      </c>
      <c r="F92" s="6">
        <f>Actions!G90</f>
        <v/>
      </c>
      <c r="G92" s="6">
        <f>Actions!H90</f>
        <v/>
      </c>
      <c r="H92" s="29">
        <f>Actions!I90</f>
        <v/>
      </c>
      <c r="I92" s="6">
        <f>Actions!J90</f>
        <v/>
      </c>
      <c r="J92" s="16">
        <f>Actions!K90</f>
        <v/>
      </c>
      <c r="K92" s="16">
        <f>IF(A92="","",IF(I92="%",H92*J92,J92))</f>
        <v/>
      </c>
      <c r="L92" s="16">
        <f>Actions!L90</f>
        <v/>
      </c>
      <c r="M92" s="6">
        <f>Actions!M90</f>
        <v/>
      </c>
      <c r="N92" s="28">
        <f>Actions!N90</f>
        <v/>
      </c>
      <c r="O92" s="29">
        <f>Actions!T90</f>
        <v/>
      </c>
      <c r="P92" s="29">
        <f>Actions!Y90</f>
        <v/>
      </c>
      <c r="Q92" s="29">
        <f>Actions!Z90</f>
        <v/>
      </c>
      <c r="R92" s="29">
        <f>Actions!AA90</f>
        <v/>
      </c>
      <c r="S92" s="29">
        <f>IF(A92="","",((K92)*(IF(M92="",L92,IFERROR(IF(INDEX(Variablen!$I:$AT, MATCH(M92, Variablen!$A:$A, 0), MATCH((YEAR(D92)+0), Variablen!$I$3:$AT$3, 0))="",L92,INDEX(Variablen!$I:$AT, MATCH(M92, Variablen!$A:$A, 0), MATCH((YEAR(D92)+0), Variablen!$I$3:$AT$3, 0))),L92)))*(IF((YEAR(D92)+0)&lt;YEAR(E92),0,IF((YEAR(D92)+0)&gt;YEAR(E92),1,(12-MONTH(E92)+1)/12))) + (Q92)*(IF((YEAR(D92)+0)&lt;YEAR(E92),0,IF((YEAR(D92)+0)&gt;YEAR(E92),1,(12-MONTH(E92)+1)/12))))-((P92)*(IF((YEAR(D92)+0)&lt;YEAR(E92),0,IF((YEAR(D92)+0)&gt;YEAR(E92),1,(12-MONTH(E92)+1)/12))) + (R92)*(IF((YEAR(D92)+0)&lt;YEAR(E92),0,IF((YEAR(D92)+0)&gt;YEAR(E92),1,(12-MONTH(E92)+1)/12))))-(IF((((K92)*(IF(M92="",L92,IFERROR(IF(INDEX(Variablen!$I:$AT, MATCH(M92, Variablen!$A:$A, 0), MATCH((YEAR(D92)+0), Variablen!$I$3:$AT$3, 0))="",L92,INDEX(Variablen!$I:$AT, MATCH(M92, Variablen!$A:$A, 0), MATCH((YEAR(D92)+0), Variablen!$I$3:$AT$3, 0))),L92)))*(IF((YEAR(D92)+0)&lt;YEAR(E92),0,IF((YEAR(D92)+0)&gt;YEAR(E92),1,(12-MONTH(E92)+1)/12))) + (Q92)*(IF((YEAR(D92)+0)&lt;YEAR(E92),0,IF((YEAR(D92)+0)&gt;YEAR(E92),1,(12-MONTH(E92)+1)/12))))-((P92)*(IF((YEAR(D92)+0)&lt;YEAR(E92),0,IF((YEAR(D92)+0)&gt;YEAR(E92),1,(12-MONTH(E92)+1)/12))) + (R92)*(IF((YEAR(D92)+0)&lt;YEAR(E92),0,IF((YEAR(D92)+0)&gt;YEAR(E92),1,(12-MONTH(E92)+1)/12))))-(IF(OR(N92="",N92&lt;=0),0,(O92/N92)*(IF(OR(N92="",N92&lt;=0),0,IF((YEAR(D92)+0)&lt;YEAR(E92),0,IF((YEAR(D92)+0)&gt;=YEAR(E92)+N92,0,IF((YEAR(D92)+0)=YEAR(E92),(12-MONTH(E92)+1)/12,1))))))))&gt;0,(((K92)*(IF(M92="",L92,IFERROR(IF(INDEX(Variablen!$I:$AT, MATCH(M92, Variablen!$A:$A, 0), MATCH((YEAR(D92)+0), Variablen!$I$3:$AT$3, 0))="",L92,INDEX(Variablen!$I:$AT, MATCH(M92, Variablen!$A:$A, 0), MATCH((YEAR(D92)+0), Variablen!$I$3:$AT$3, 0))),L92)))*(IF((YEAR(D92)+0)&lt;YEAR(E92),0,IF((YEAR(D92)+0)&gt;YEAR(E92),1,(12-MONTH(E92)+1)/12))) + (Q92)*(IF((YEAR(D92)+0)&lt;YEAR(E92),0,IF((YEAR(D92)+0)&gt;YEAR(E92),1,(12-MONTH(E92)+1)/12))))-((P92)*(IF((YEAR(D92)+0)&lt;YEAR(E92),0,IF((YEAR(D92)+0)&gt;YEAR(E92),1,(12-MONTH(E92)+1)/12))) + (R92)*(IF((YEAR(D92)+0)&lt;YEAR(E92),0,IF((YEAR(D92)+0)&gt;YEAR(E92),1,(12-MONTH(E92)+1)/12))))-(IF(OR(N92="",N92&lt;=0),0,(O92/N92)*(IF(OR(N92="",N92&lt;=0),0,IF((YEAR(D92)+0)&lt;YEAR(E92),0,IF((YEAR(D92)+0)&gt;=YEAR(E92)+N92,0,IF((YEAR(D92)+0)=YEAR(E92),(12-MONTH(E92)+1)/12,1))))))))*TaxRate,0))-IF(0=0,O92,0))</f>
        <v/>
      </c>
      <c r="T92" s="29">
        <f>IF(A92="","",((K92)*(IF(M92="",L92,IFERROR(IF(INDEX(Variablen!$I:$AT, MATCH(M92, Variablen!$A:$A, 0), MATCH((YEAR(D92)+1), Variablen!$I$3:$AT$3, 0))="",L92,INDEX(Variablen!$I:$AT, MATCH(M92, Variablen!$A:$A, 0), MATCH((YEAR(D92)+1), Variablen!$I$3:$AT$3, 0))),L92)))*(IF((YEAR(D92)+1)&lt;YEAR(E92),0,IF((YEAR(D92)+1)&gt;YEAR(E92),1,(12-MONTH(E92)+1)/12))) + (Q92)*(IF((YEAR(D92)+1)&lt;YEAR(E92),0,IF((YEAR(D92)+1)&gt;YEAR(E92),1,(12-MONTH(E92)+1)/12))))-((P92)*(IF((YEAR(D92)+1)&lt;YEAR(E92),0,IF((YEAR(D92)+1)&gt;YEAR(E92),1,(12-MONTH(E92)+1)/12))) + (R92)*(IF((YEAR(D92)+1)&lt;YEAR(E92),0,IF((YEAR(D92)+1)&gt;YEAR(E92),1,(12-MONTH(E92)+1)/12))))-(IF((((K92)*(IF(M92="",L92,IFERROR(IF(INDEX(Variablen!$I:$AT, MATCH(M92, Variablen!$A:$A, 0), MATCH((YEAR(D92)+1), Variablen!$I$3:$AT$3, 0))="",L92,INDEX(Variablen!$I:$AT, MATCH(M92, Variablen!$A:$A, 0), MATCH((YEAR(D92)+1), Variablen!$I$3:$AT$3, 0))),L92)))*(IF((YEAR(D92)+1)&lt;YEAR(E92),0,IF((YEAR(D92)+1)&gt;YEAR(E92),1,(12-MONTH(E92)+1)/12))) + (Q92)*(IF((YEAR(D92)+1)&lt;YEAR(E92),0,IF((YEAR(D92)+1)&gt;YEAR(E92),1,(12-MONTH(E92)+1)/12))))-((P92)*(IF((YEAR(D92)+1)&lt;YEAR(E92),0,IF((YEAR(D92)+1)&gt;YEAR(E92),1,(12-MONTH(E92)+1)/12))) + (R92)*(IF((YEAR(D92)+1)&lt;YEAR(E92),0,IF((YEAR(D92)+1)&gt;YEAR(E92),1,(12-MONTH(E92)+1)/12))))-(IF(OR(N92="",N92&lt;=0),0,(O92/N92)*(IF(OR(N92="",N92&lt;=0),0,IF((YEAR(D92)+1)&lt;YEAR(E92),0,IF((YEAR(D92)+1)&gt;=YEAR(E92)+N92,0,IF((YEAR(D92)+1)=YEAR(E92),(12-MONTH(E92)+1)/12,1))))))))&gt;0,(((K92)*(IF(M92="",L92,IFERROR(IF(INDEX(Variablen!$I:$AT, MATCH(M92, Variablen!$A:$A, 0), MATCH((YEAR(D92)+1), Variablen!$I$3:$AT$3, 0))="",L92,INDEX(Variablen!$I:$AT, MATCH(M92, Variablen!$A:$A, 0), MATCH((YEAR(D92)+1), Variablen!$I$3:$AT$3, 0))),L92)))*(IF((YEAR(D92)+1)&lt;YEAR(E92),0,IF((YEAR(D92)+1)&gt;YEAR(E92),1,(12-MONTH(E92)+1)/12))) + (Q92)*(IF((YEAR(D92)+1)&lt;YEAR(E92),0,IF((YEAR(D92)+1)&gt;YEAR(E92),1,(12-MONTH(E92)+1)/12))))-((P92)*(IF((YEAR(D92)+1)&lt;YEAR(E92),0,IF((YEAR(D92)+1)&gt;YEAR(E92),1,(12-MONTH(E92)+1)/12))) + (R92)*(IF((YEAR(D92)+1)&lt;YEAR(E92),0,IF((YEAR(D92)+1)&gt;YEAR(E92),1,(12-MONTH(E92)+1)/12))))-(IF(OR(N92="",N92&lt;=0),0,(O92/N92)*(IF(OR(N92="",N92&lt;=0),0,IF((YEAR(D92)+1)&lt;YEAR(E92),0,IF((YEAR(D92)+1)&gt;=YEAR(E92)+N92,0,IF((YEAR(D92)+1)=YEAR(E92),(12-MONTH(E92)+1)/12,1))))))))*TaxRate,0))-IF(1=0,O92,0))</f>
        <v/>
      </c>
      <c r="U92" s="29">
        <f>IF(A92="","",((K92)*(IF(M92="",L92,IFERROR(IF(INDEX(Variablen!$I:$AT, MATCH(M92, Variablen!$A:$A, 0), MATCH((YEAR(D92)+2), Variablen!$I$3:$AT$3, 0))="",L92,INDEX(Variablen!$I:$AT, MATCH(M92, Variablen!$A:$A, 0), MATCH((YEAR(D92)+2), Variablen!$I$3:$AT$3, 0))),L92)))*(IF((YEAR(D92)+2)&lt;YEAR(E92),0,IF((YEAR(D92)+2)&gt;YEAR(E92),1,(12-MONTH(E92)+1)/12))) + (Q92)*(IF((YEAR(D92)+2)&lt;YEAR(E92),0,IF((YEAR(D92)+2)&gt;YEAR(E92),1,(12-MONTH(E92)+1)/12))))-((P92)*(IF((YEAR(D92)+2)&lt;YEAR(E92),0,IF((YEAR(D92)+2)&gt;YEAR(E92),1,(12-MONTH(E92)+1)/12))) + (R92)*(IF((YEAR(D92)+2)&lt;YEAR(E92),0,IF((YEAR(D92)+2)&gt;YEAR(E92),1,(12-MONTH(E92)+1)/12))))-(IF((((K92)*(IF(M92="",L92,IFERROR(IF(INDEX(Variablen!$I:$AT, MATCH(M92, Variablen!$A:$A, 0), MATCH((YEAR(D92)+2), Variablen!$I$3:$AT$3, 0))="",L92,INDEX(Variablen!$I:$AT, MATCH(M92, Variablen!$A:$A, 0), MATCH((YEAR(D92)+2), Variablen!$I$3:$AT$3, 0))),L92)))*(IF((YEAR(D92)+2)&lt;YEAR(E92),0,IF((YEAR(D92)+2)&gt;YEAR(E92),1,(12-MONTH(E92)+1)/12))) + (Q92)*(IF((YEAR(D92)+2)&lt;YEAR(E92),0,IF((YEAR(D92)+2)&gt;YEAR(E92),1,(12-MONTH(E92)+1)/12))))-((P92)*(IF((YEAR(D92)+2)&lt;YEAR(E92),0,IF((YEAR(D92)+2)&gt;YEAR(E92),1,(12-MONTH(E92)+1)/12))) + (R92)*(IF((YEAR(D92)+2)&lt;YEAR(E92),0,IF((YEAR(D92)+2)&gt;YEAR(E92),1,(12-MONTH(E92)+1)/12))))-(IF(OR(N92="",N92&lt;=0),0,(O92/N92)*(IF(OR(N92="",N92&lt;=0),0,IF((YEAR(D92)+2)&lt;YEAR(E92),0,IF((YEAR(D92)+2)&gt;=YEAR(E92)+N92,0,IF((YEAR(D92)+2)=YEAR(E92),(12-MONTH(E92)+1)/12,1))))))))&gt;0,(((K92)*(IF(M92="",L92,IFERROR(IF(INDEX(Variablen!$I:$AT, MATCH(M92, Variablen!$A:$A, 0), MATCH((YEAR(D92)+2), Variablen!$I$3:$AT$3, 0))="",L92,INDEX(Variablen!$I:$AT, MATCH(M92, Variablen!$A:$A, 0), MATCH((YEAR(D92)+2), Variablen!$I$3:$AT$3, 0))),L92)))*(IF((YEAR(D92)+2)&lt;YEAR(E92),0,IF((YEAR(D92)+2)&gt;YEAR(E92),1,(12-MONTH(E92)+1)/12))) + (Q92)*(IF((YEAR(D92)+2)&lt;YEAR(E92),0,IF((YEAR(D92)+2)&gt;YEAR(E92),1,(12-MONTH(E92)+1)/12))))-((P92)*(IF((YEAR(D92)+2)&lt;YEAR(E92),0,IF((YEAR(D92)+2)&gt;YEAR(E92),1,(12-MONTH(E92)+1)/12))) + (R92)*(IF((YEAR(D92)+2)&lt;YEAR(E92),0,IF((YEAR(D92)+2)&gt;YEAR(E92),1,(12-MONTH(E92)+1)/12))))-(IF(OR(N92="",N92&lt;=0),0,(O92/N92)*(IF(OR(N92="",N92&lt;=0),0,IF((YEAR(D92)+2)&lt;YEAR(E92),0,IF((YEAR(D92)+2)&gt;=YEAR(E92)+N92,0,IF((YEAR(D92)+2)=YEAR(E92),(12-MONTH(E92)+1)/12,1))))))))*TaxRate,0))-IF(2=0,O92,0))</f>
        <v/>
      </c>
      <c r="V92" s="29">
        <f>IF(A92="","",((K92)*(IF(M92="",L92,IFERROR(IF(INDEX(Variablen!$I:$AT, MATCH(M92, Variablen!$A:$A, 0), MATCH((YEAR(D92)+3), Variablen!$I$3:$AT$3, 0))="",L92,INDEX(Variablen!$I:$AT, MATCH(M92, Variablen!$A:$A, 0), MATCH((YEAR(D92)+3), Variablen!$I$3:$AT$3, 0))),L92)))*(IF((YEAR(D92)+3)&lt;YEAR(E92),0,IF((YEAR(D92)+3)&gt;YEAR(E92),1,(12-MONTH(E92)+1)/12))) + (Q92)*(IF((YEAR(D92)+3)&lt;YEAR(E92),0,IF((YEAR(D92)+3)&gt;YEAR(E92),1,(12-MONTH(E92)+1)/12))))-((P92)*(IF((YEAR(D92)+3)&lt;YEAR(E92),0,IF((YEAR(D92)+3)&gt;YEAR(E92),1,(12-MONTH(E92)+1)/12))) + (R92)*(IF((YEAR(D92)+3)&lt;YEAR(E92),0,IF((YEAR(D92)+3)&gt;YEAR(E92),1,(12-MONTH(E92)+1)/12))))-(IF((((K92)*(IF(M92="",L92,IFERROR(IF(INDEX(Variablen!$I:$AT, MATCH(M92, Variablen!$A:$A, 0), MATCH((YEAR(D92)+3), Variablen!$I$3:$AT$3, 0))="",L92,INDEX(Variablen!$I:$AT, MATCH(M92, Variablen!$A:$A, 0), MATCH((YEAR(D92)+3), Variablen!$I$3:$AT$3, 0))),L92)))*(IF((YEAR(D92)+3)&lt;YEAR(E92),0,IF((YEAR(D92)+3)&gt;YEAR(E92),1,(12-MONTH(E92)+1)/12))) + (Q92)*(IF((YEAR(D92)+3)&lt;YEAR(E92),0,IF((YEAR(D92)+3)&gt;YEAR(E92),1,(12-MONTH(E92)+1)/12))))-((P92)*(IF((YEAR(D92)+3)&lt;YEAR(E92),0,IF((YEAR(D92)+3)&gt;YEAR(E92),1,(12-MONTH(E92)+1)/12))) + (R92)*(IF((YEAR(D92)+3)&lt;YEAR(E92),0,IF((YEAR(D92)+3)&gt;YEAR(E92),1,(12-MONTH(E92)+1)/12))))-(IF(OR(N92="",N92&lt;=0),0,(O92/N92)*(IF(OR(N92="",N92&lt;=0),0,IF((YEAR(D92)+3)&lt;YEAR(E92),0,IF((YEAR(D92)+3)&gt;=YEAR(E92)+N92,0,IF((YEAR(D92)+3)=YEAR(E92),(12-MONTH(E92)+1)/12,1))))))))&gt;0,(((K92)*(IF(M92="",L92,IFERROR(IF(INDEX(Variablen!$I:$AT, MATCH(M92, Variablen!$A:$A, 0), MATCH((YEAR(D92)+3), Variablen!$I$3:$AT$3, 0))="",L92,INDEX(Variablen!$I:$AT, MATCH(M92, Variablen!$A:$A, 0), MATCH((YEAR(D92)+3), Variablen!$I$3:$AT$3, 0))),L92)))*(IF((YEAR(D92)+3)&lt;YEAR(E92),0,IF((YEAR(D92)+3)&gt;YEAR(E92),1,(12-MONTH(E92)+1)/12))) + (Q92)*(IF((YEAR(D92)+3)&lt;YEAR(E92),0,IF((YEAR(D92)+3)&gt;YEAR(E92),1,(12-MONTH(E92)+1)/12))))-((P92)*(IF((YEAR(D92)+3)&lt;YEAR(E92),0,IF((YEAR(D92)+3)&gt;YEAR(E92),1,(12-MONTH(E92)+1)/12))) + (R92)*(IF((YEAR(D92)+3)&lt;YEAR(E92),0,IF((YEAR(D92)+3)&gt;YEAR(E92),1,(12-MONTH(E92)+1)/12))))-(IF(OR(N92="",N92&lt;=0),0,(O92/N92)*(IF(OR(N92="",N92&lt;=0),0,IF((YEAR(D92)+3)&lt;YEAR(E92),0,IF((YEAR(D92)+3)&gt;=YEAR(E92)+N92,0,IF((YEAR(D92)+3)=YEAR(E92),(12-MONTH(E92)+1)/12,1))))))))*TaxRate,0))-IF(3=0,O92,0))</f>
        <v/>
      </c>
      <c r="W92" s="29">
        <f>IF(A92="","",((K92)*(IF(M92="",L92,IFERROR(IF(INDEX(Variablen!$I:$AT, MATCH(M92, Variablen!$A:$A, 0), MATCH((YEAR(D92)+4), Variablen!$I$3:$AT$3, 0))="",L92,INDEX(Variablen!$I:$AT, MATCH(M92, Variablen!$A:$A, 0), MATCH((YEAR(D92)+4), Variablen!$I$3:$AT$3, 0))),L92)))*(IF((YEAR(D92)+4)&lt;YEAR(E92),0,IF((YEAR(D92)+4)&gt;YEAR(E92),1,(12-MONTH(E92)+1)/12))) + (Q92)*(IF((YEAR(D92)+4)&lt;YEAR(E92),0,IF((YEAR(D92)+4)&gt;YEAR(E92),1,(12-MONTH(E92)+1)/12))))-((P92)*(IF((YEAR(D92)+4)&lt;YEAR(E92),0,IF((YEAR(D92)+4)&gt;YEAR(E92),1,(12-MONTH(E92)+1)/12))) + (R92)*(IF((YEAR(D92)+4)&lt;YEAR(E92),0,IF((YEAR(D92)+4)&gt;YEAR(E92),1,(12-MONTH(E92)+1)/12))))-(IF((((K92)*(IF(M92="",L92,IFERROR(IF(INDEX(Variablen!$I:$AT, MATCH(M92, Variablen!$A:$A, 0), MATCH((YEAR(D92)+4), Variablen!$I$3:$AT$3, 0))="",L92,INDEX(Variablen!$I:$AT, MATCH(M92, Variablen!$A:$A, 0), MATCH((YEAR(D92)+4), Variablen!$I$3:$AT$3, 0))),L92)))*(IF((YEAR(D92)+4)&lt;YEAR(E92),0,IF((YEAR(D92)+4)&gt;YEAR(E92),1,(12-MONTH(E92)+1)/12))) + (Q92)*(IF((YEAR(D92)+4)&lt;YEAR(E92),0,IF((YEAR(D92)+4)&gt;YEAR(E92),1,(12-MONTH(E92)+1)/12))))-((P92)*(IF((YEAR(D92)+4)&lt;YEAR(E92),0,IF((YEAR(D92)+4)&gt;YEAR(E92),1,(12-MONTH(E92)+1)/12))) + (R92)*(IF((YEAR(D92)+4)&lt;YEAR(E92),0,IF((YEAR(D92)+4)&gt;YEAR(E92),1,(12-MONTH(E92)+1)/12))))-(IF(OR(N92="",N92&lt;=0),0,(O92/N92)*(IF(OR(N92="",N92&lt;=0),0,IF((YEAR(D92)+4)&lt;YEAR(E92),0,IF((YEAR(D92)+4)&gt;=YEAR(E92)+N92,0,IF((YEAR(D92)+4)=YEAR(E92),(12-MONTH(E92)+1)/12,1))))))))&gt;0,(((K92)*(IF(M92="",L92,IFERROR(IF(INDEX(Variablen!$I:$AT, MATCH(M92, Variablen!$A:$A, 0), MATCH((YEAR(D92)+4), Variablen!$I$3:$AT$3, 0))="",L92,INDEX(Variablen!$I:$AT, MATCH(M92, Variablen!$A:$A, 0), MATCH((YEAR(D92)+4), Variablen!$I$3:$AT$3, 0))),L92)))*(IF((YEAR(D92)+4)&lt;YEAR(E92),0,IF((YEAR(D92)+4)&gt;YEAR(E92),1,(12-MONTH(E92)+1)/12))) + (Q92)*(IF((YEAR(D92)+4)&lt;YEAR(E92),0,IF((YEAR(D92)+4)&gt;YEAR(E92),1,(12-MONTH(E92)+1)/12))))-((P92)*(IF((YEAR(D92)+4)&lt;YEAR(E92),0,IF((YEAR(D92)+4)&gt;YEAR(E92),1,(12-MONTH(E92)+1)/12))) + (R92)*(IF((YEAR(D92)+4)&lt;YEAR(E92),0,IF((YEAR(D92)+4)&gt;YEAR(E92),1,(12-MONTH(E92)+1)/12))))-(IF(OR(N92="",N92&lt;=0),0,(O92/N92)*(IF(OR(N92="",N92&lt;=0),0,IF((YEAR(D92)+4)&lt;YEAR(E92),0,IF((YEAR(D92)+4)&gt;=YEAR(E92)+N92,0,IF((YEAR(D92)+4)=YEAR(E92),(12-MONTH(E92)+1)/12,1))))))))*TaxRate,0))-IF(4=0,O92,0))</f>
        <v/>
      </c>
      <c r="X92" s="29">
        <f>IF(A92="","",((K92)*(IF(M92="",L92,IFERROR(IF(INDEX(Variablen!$I:$AT, MATCH(M92, Variablen!$A:$A, 0), MATCH((YEAR(D92)+5), Variablen!$I$3:$AT$3, 0))="",L92,INDEX(Variablen!$I:$AT, MATCH(M92, Variablen!$A:$A, 0), MATCH((YEAR(D92)+5), Variablen!$I$3:$AT$3, 0))),L92)))*(IF((YEAR(D92)+5)&lt;YEAR(E92),0,IF((YEAR(D92)+5)&gt;YEAR(E92),1,(12-MONTH(E92)+1)/12))) + (Q92)*(IF((YEAR(D92)+5)&lt;YEAR(E92),0,IF((YEAR(D92)+5)&gt;YEAR(E92),1,(12-MONTH(E92)+1)/12))))-((P92)*(IF((YEAR(D92)+5)&lt;YEAR(E92),0,IF((YEAR(D92)+5)&gt;YEAR(E92),1,(12-MONTH(E92)+1)/12))) + (R92)*(IF((YEAR(D92)+5)&lt;YEAR(E92),0,IF((YEAR(D92)+5)&gt;YEAR(E92),1,(12-MONTH(E92)+1)/12))))-(IF((((K92)*(IF(M92="",L92,IFERROR(IF(INDEX(Variablen!$I:$AT, MATCH(M92, Variablen!$A:$A, 0), MATCH((YEAR(D92)+5), Variablen!$I$3:$AT$3, 0))="",L92,INDEX(Variablen!$I:$AT, MATCH(M92, Variablen!$A:$A, 0), MATCH((YEAR(D92)+5), Variablen!$I$3:$AT$3, 0))),L92)))*(IF((YEAR(D92)+5)&lt;YEAR(E92),0,IF((YEAR(D92)+5)&gt;YEAR(E92),1,(12-MONTH(E92)+1)/12))) + (Q92)*(IF((YEAR(D92)+5)&lt;YEAR(E92),0,IF((YEAR(D92)+5)&gt;YEAR(E92),1,(12-MONTH(E92)+1)/12))))-((P92)*(IF((YEAR(D92)+5)&lt;YEAR(E92),0,IF((YEAR(D92)+5)&gt;YEAR(E92),1,(12-MONTH(E92)+1)/12))) + (R92)*(IF((YEAR(D92)+5)&lt;YEAR(E92),0,IF((YEAR(D92)+5)&gt;YEAR(E92),1,(12-MONTH(E92)+1)/12))))-(IF(OR(N92="",N92&lt;=0),0,(O92/N92)*(IF(OR(N92="",N92&lt;=0),0,IF((YEAR(D92)+5)&lt;YEAR(E92),0,IF((YEAR(D92)+5)&gt;=YEAR(E92)+N92,0,IF((YEAR(D92)+5)=YEAR(E92),(12-MONTH(E92)+1)/12,1))))))))&gt;0,(((K92)*(IF(M92="",L92,IFERROR(IF(INDEX(Variablen!$I:$AT, MATCH(M92, Variablen!$A:$A, 0), MATCH((YEAR(D92)+5), Variablen!$I$3:$AT$3, 0))="",L92,INDEX(Variablen!$I:$AT, MATCH(M92, Variablen!$A:$A, 0), MATCH((YEAR(D92)+5), Variablen!$I$3:$AT$3, 0))),L92)))*(IF((YEAR(D92)+5)&lt;YEAR(E92),0,IF((YEAR(D92)+5)&gt;YEAR(E92),1,(12-MONTH(E92)+1)/12))) + (Q92)*(IF((YEAR(D92)+5)&lt;YEAR(E92),0,IF((YEAR(D92)+5)&gt;YEAR(E92),1,(12-MONTH(E92)+1)/12))))-((P92)*(IF((YEAR(D92)+5)&lt;YEAR(E92),0,IF((YEAR(D92)+5)&gt;YEAR(E92),1,(12-MONTH(E92)+1)/12))) + (R92)*(IF((YEAR(D92)+5)&lt;YEAR(E92),0,IF((YEAR(D92)+5)&gt;YEAR(E92),1,(12-MONTH(E92)+1)/12))))-(IF(OR(N92="",N92&lt;=0),0,(O92/N92)*(IF(OR(N92="",N92&lt;=0),0,IF((YEAR(D92)+5)&lt;YEAR(E92),0,IF((YEAR(D92)+5)&gt;=YEAR(E92)+N92,0,IF((YEAR(D92)+5)=YEAR(E92),(12-MONTH(E92)+1)/12,1))))))))*TaxRate,0))-IF(5=0,O92,0))</f>
        <v/>
      </c>
      <c r="Y92" s="29">
        <f>IF(A92="","",((K92)*(IF(M92="",L92,IFERROR(IF(INDEX(Variablen!$I:$AT, MATCH(M92, Variablen!$A:$A, 0), MATCH((YEAR(D92)+6), Variablen!$I$3:$AT$3, 0))="",L92,INDEX(Variablen!$I:$AT, MATCH(M92, Variablen!$A:$A, 0), MATCH((YEAR(D92)+6), Variablen!$I$3:$AT$3, 0))),L92)))*(IF((YEAR(D92)+6)&lt;YEAR(E92),0,IF((YEAR(D92)+6)&gt;YEAR(E92),1,(12-MONTH(E92)+1)/12))) + (Q92)*(IF((YEAR(D92)+6)&lt;YEAR(E92),0,IF((YEAR(D92)+6)&gt;YEAR(E92),1,(12-MONTH(E92)+1)/12))))-((P92)*(IF((YEAR(D92)+6)&lt;YEAR(E92),0,IF((YEAR(D92)+6)&gt;YEAR(E92),1,(12-MONTH(E92)+1)/12))) + (R92)*(IF((YEAR(D92)+6)&lt;YEAR(E92),0,IF((YEAR(D92)+6)&gt;YEAR(E92),1,(12-MONTH(E92)+1)/12))))-(IF((((K92)*(IF(M92="",L92,IFERROR(IF(INDEX(Variablen!$I:$AT, MATCH(M92, Variablen!$A:$A, 0), MATCH((YEAR(D92)+6), Variablen!$I$3:$AT$3, 0))="",L92,INDEX(Variablen!$I:$AT, MATCH(M92, Variablen!$A:$A, 0), MATCH((YEAR(D92)+6), Variablen!$I$3:$AT$3, 0))),L92)))*(IF((YEAR(D92)+6)&lt;YEAR(E92),0,IF((YEAR(D92)+6)&gt;YEAR(E92),1,(12-MONTH(E92)+1)/12))) + (Q92)*(IF((YEAR(D92)+6)&lt;YEAR(E92),0,IF((YEAR(D92)+6)&gt;YEAR(E92),1,(12-MONTH(E92)+1)/12))))-((P92)*(IF((YEAR(D92)+6)&lt;YEAR(E92),0,IF((YEAR(D92)+6)&gt;YEAR(E92),1,(12-MONTH(E92)+1)/12))) + (R92)*(IF((YEAR(D92)+6)&lt;YEAR(E92),0,IF((YEAR(D92)+6)&gt;YEAR(E92),1,(12-MONTH(E92)+1)/12))))-(IF(OR(N92="",N92&lt;=0),0,(O92/N92)*(IF(OR(N92="",N92&lt;=0),0,IF((YEAR(D92)+6)&lt;YEAR(E92),0,IF((YEAR(D92)+6)&gt;=YEAR(E92)+N92,0,IF((YEAR(D92)+6)=YEAR(E92),(12-MONTH(E92)+1)/12,1))))))))&gt;0,(((K92)*(IF(M92="",L92,IFERROR(IF(INDEX(Variablen!$I:$AT, MATCH(M92, Variablen!$A:$A, 0), MATCH((YEAR(D92)+6), Variablen!$I$3:$AT$3, 0))="",L92,INDEX(Variablen!$I:$AT, MATCH(M92, Variablen!$A:$A, 0), MATCH((YEAR(D92)+6), Variablen!$I$3:$AT$3, 0))),L92)))*(IF((YEAR(D92)+6)&lt;YEAR(E92),0,IF((YEAR(D92)+6)&gt;YEAR(E92),1,(12-MONTH(E92)+1)/12))) + (Q92)*(IF((YEAR(D92)+6)&lt;YEAR(E92),0,IF((YEAR(D92)+6)&gt;YEAR(E92),1,(12-MONTH(E92)+1)/12))))-((P92)*(IF((YEAR(D92)+6)&lt;YEAR(E92),0,IF((YEAR(D92)+6)&gt;YEAR(E92),1,(12-MONTH(E92)+1)/12))) + (R92)*(IF((YEAR(D92)+6)&lt;YEAR(E92),0,IF((YEAR(D92)+6)&gt;YEAR(E92),1,(12-MONTH(E92)+1)/12))))-(IF(OR(N92="",N92&lt;=0),0,(O92/N92)*(IF(OR(N92="",N92&lt;=0),0,IF((YEAR(D92)+6)&lt;YEAR(E92),0,IF((YEAR(D92)+6)&gt;=YEAR(E92)+N92,0,IF((YEAR(D92)+6)=YEAR(E92),(12-MONTH(E92)+1)/12,1))))))))*TaxRate,0))-IF(6=0,O92,0))</f>
        <v/>
      </c>
      <c r="Z92" s="29">
        <f>IF(A92="","",((K92)*(IF(M92="",L92,IFERROR(IF(INDEX(Variablen!$I:$AT, MATCH(M92, Variablen!$A:$A, 0), MATCH((YEAR(D92)+7), Variablen!$I$3:$AT$3, 0))="",L92,INDEX(Variablen!$I:$AT, MATCH(M92, Variablen!$A:$A, 0), MATCH((YEAR(D92)+7), Variablen!$I$3:$AT$3, 0))),L92)))*(IF((YEAR(D92)+7)&lt;YEAR(E92),0,IF((YEAR(D92)+7)&gt;YEAR(E92),1,(12-MONTH(E92)+1)/12))) + (Q92)*(IF((YEAR(D92)+7)&lt;YEAR(E92),0,IF((YEAR(D92)+7)&gt;YEAR(E92),1,(12-MONTH(E92)+1)/12))))-((P92)*(IF((YEAR(D92)+7)&lt;YEAR(E92),0,IF((YEAR(D92)+7)&gt;YEAR(E92),1,(12-MONTH(E92)+1)/12))) + (R92)*(IF((YEAR(D92)+7)&lt;YEAR(E92),0,IF((YEAR(D92)+7)&gt;YEAR(E92),1,(12-MONTH(E92)+1)/12))))-(IF((((K92)*(IF(M92="",L92,IFERROR(IF(INDEX(Variablen!$I:$AT, MATCH(M92, Variablen!$A:$A, 0), MATCH((YEAR(D92)+7), Variablen!$I$3:$AT$3, 0))="",L92,INDEX(Variablen!$I:$AT, MATCH(M92, Variablen!$A:$A, 0), MATCH((YEAR(D92)+7), Variablen!$I$3:$AT$3, 0))),L92)))*(IF((YEAR(D92)+7)&lt;YEAR(E92),0,IF((YEAR(D92)+7)&gt;YEAR(E92),1,(12-MONTH(E92)+1)/12))) + (Q92)*(IF((YEAR(D92)+7)&lt;YEAR(E92),0,IF((YEAR(D92)+7)&gt;YEAR(E92),1,(12-MONTH(E92)+1)/12))))-((P92)*(IF((YEAR(D92)+7)&lt;YEAR(E92),0,IF((YEAR(D92)+7)&gt;YEAR(E92),1,(12-MONTH(E92)+1)/12))) + (R92)*(IF((YEAR(D92)+7)&lt;YEAR(E92),0,IF((YEAR(D92)+7)&gt;YEAR(E92),1,(12-MONTH(E92)+1)/12))))-(IF(OR(N92="",N92&lt;=0),0,(O92/N92)*(IF(OR(N92="",N92&lt;=0),0,IF((YEAR(D92)+7)&lt;YEAR(E92),0,IF((YEAR(D92)+7)&gt;=YEAR(E92)+N92,0,IF((YEAR(D92)+7)=YEAR(E92),(12-MONTH(E92)+1)/12,1))))))))&gt;0,(((K92)*(IF(M92="",L92,IFERROR(IF(INDEX(Variablen!$I:$AT, MATCH(M92, Variablen!$A:$A, 0), MATCH((YEAR(D92)+7), Variablen!$I$3:$AT$3, 0))="",L92,INDEX(Variablen!$I:$AT, MATCH(M92, Variablen!$A:$A, 0), MATCH((YEAR(D92)+7), Variablen!$I$3:$AT$3, 0))),L92)))*(IF((YEAR(D92)+7)&lt;YEAR(E92),0,IF((YEAR(D92)+7)&gt;YEAR(E92),1,(12-MONTH(E92)+1)/12))) + (Q92)*(IF((YEAR(D92)+7)&lt;YEAR(E92),0,IF((YEAR(D92)+7)&gt;YEAR(E92),1,(12-MONTH(E92)+1)/12))))-((P92)*(IF((YEAR(D92)+7)&lt;YEAR(E92),0,IF((YEAR(D92)+7)&gt;YEAR(E92),1,(12-MONTH(E92)+1)/12))) + (R92)*(IF((YEAR(D92)+7)&lt;YEAR(E92),0,IF((YEAR(D92)+7)&gt;YEAR(E92),1,(12-MONTH(E92)+1)/12))))-(IF(OR(N92="",N92&lt;=0),0,(O92/N92)*(IF(OR(N92="",N92&lt;=0),0,IF((YEAR(D92)+7)&lt;YEAR(E92),0,IF((YEAR(D92)+7)&gt;=YEAR(E92)+N92,0,IF((YEAR(D92)+7)=YEAR(E92),(12-MONTH(E92)+1)/12,1))))))))*TaxRate,0))-IF(7=0,O92,0))</f>
        <v/>
      </c>
      <c r="AA92" s="29">
        <f>IF(A92="","",((K92)*(IF(M92="",L92,IFERROR(IF(INDEX(Variablen!$I:$AT, MATCH(M92, Variablen!$A:$A, 0), MATCH((YEAR(D92)+8), Variablen!$I$3:$AT$3, 0))="",L92,INDEX(Variablen!$I:$AT, MATCH(M92, Variablen!$A:$A, 0), MATCH((YEAR(D92)+8), Variablen!$I$3:$AT$3, 0))),L92)))*(IF((YEAR(D92)+8)&lt;YEAR(E92),0,IF((YEAR(D92)+8)&gt;YEAR(E92),1,(12-MONTH(E92)+1)/12))) + (Q92)*(IF((YEAR(D92)+8)&lt;YEAR(E92),0,IF((YEAR(D92)+8)&gt;YEAR(E92),1,(12-MONTH(E92)+1)/12))))-((P92)*(IF((YEAR(D92)+8)&lt;YEAR(E92),0,IF((YEAR(D92)+8)&gt;YEAR(E92),1,(12-MONTH(E92)+1)/12))) + (R92)*(IF((YEAR(D92)+8)&lt;YEAR(E92),0,IF((YEAR(D92)+8)&gt;YEAR(E92),1,(12-MONTH(E92)+1)/12))))-(IF((((K92)*(IF(M92="",L92,IFERROR(IF(INDEX(Variablen!$I:$AT, MATCH(M92, Variablen!$A:$A, 0), MATCH((YEAR(D92)+8), Variablen!$I$3:$AT$3, 0))="",L92,INDEX(Variablen!$I:$AT, MATCH(M92, Variablen!$A:$A, 0), MATCH((YEAR(D92)+8), Variablen!$I$3:$AT$3, 0))),L92)))*(IF((YEAR(D92)+8)&lt;YEAR(E92),0,IF((YEAR(D92)+8)&gt;YEAR(E92),1,(12-MONTH(E92)+1)/12))) + (Q92)*(IF((YEAR(D92)+8)&lt;YEAR(E92),0,IF((YEAR(D92)+8)&gt;YEAR(E92),1,(12-MONTH(E92)+1)/12))))-((P92)*(IF((YEAR(D92)+8)&lt;YEAR(E92),0,IF((YEAR(D92)+8)&gt;YEAR(E92),1,(12-MONTH(E92)+1)/12))) + (R92)*(IF((YEAR(D92)+8)&lt;YEAR(E92),0,IF((YEAR(D92)+8)&gt;YEAR(E92),1,(12-MONTH(E92)+1)/12))))-(IF(OR(N92="",N92&lt;=0),0,(O92/N92)*(IF(OR(N92="",N92&lt;=0),0,IF((YEAR(D92)+8)&lt;YEAR(E92),0,IF((YEAR(D92)+8)&gt;=YEAR(E92)+N92,0,IF((YEAR(D92)+8)=YEAR(E92),(12-MONTH(E92)+1)/12,1))))))))&gt;0,(((K92)*(IF(M92="",L92,IFERROR(IF(INDEX(Variablen!$I:$AT, MATCH(M92, Variablen!$A:$A, 0), MATCH((YEAR(D92)+8), Variablen!$I$3:$AT$3, 0))="",L92,INDEX(Variablen!$I:$AT, MATCH(M92, Variablen!$A:$A, 0), MATCH((YEAR(D92)+8), Variablen!$I$3:$AT$3, 0))),L92)))*(IF((YEAR(D92)+8)&lt;YEAR(E92),0,IF((YEAR(D92)+8)&gt;YEAR(E92),1,(12-MONTH(E92)+1)/12))) + (Q92)*(IF((YEAR(D92)+8)&lt;YEAR(E92),0,IF((YEAR(D92)+8)&gt;YEAR(E92),1,(12-MONTH(E92)+1)/12))))-((P92)*(IF((YEAR(D92)+8)&lt;YEAR(E92),0,IF((YEAR(D92)+8)&gt;YEAR(E92),1,(12-MONTH(E92)+1)/12))) + (R92)*(IF((YEAR(D92)+8)&lt;YEAR(E92),0,IF((YEAR(D92)+8)&gt;YEAR(E92),1,(12-MONTH(E92)+1)/12))))-(IF(OR(N92="",N92&lt;=0),0,(O92/N92)*(IF(OR(N92="",N92&lt;=0),0,IF((YEAR(D92)+8)&lt;YEAR(E92),0,IF((YEAR(D92)+8)&gt;=YEAR(E92)+N92,0,IF((YEAR(D92)+8)=YEAR(E92),(12-MONTH(E92)+1)/12,1))))))))*TaxRate,0))-IF(8=0,O92,0))</f>
        <v/>
      </c>
      <c r="AB92" s="29">
        <f>IF(A92="","",((K92)*(IF(M92="",L92,IFERROR(IF(INDEX(Variablen!$I:$AT, MATCH(M92, Variablen!$A:$A, 0), MATCH((YEAR(D92)+9), Variablen!$I$3:$AT$3, 0))="",L92,INDEX(Variablen!$I:$AT, MATCH(M92, Variablen!$A:$A, 0), MATCH((YEAR(D92)+9), Variablen!$I$3:$AT$3, 0))),L92)))*(IF((YEAR(D92)+9)&lt;YEAR(E92),0,IF((YEAR(D92)+9)&gt;YEAR(E92),1,(12-MONTH(E92)+1)/12))) + (Q92)*(IF((YEAR(D92)+9)&lt;YEAR(E92),0,IF((YEAR(D92)+9)&gt;YEAR(E92),1,(12-MONTH(E92)+1)/12))))-((P92)*(IF((YEAR(D92)+9)&lt;YEAR(E92),0,IF((YEAR(D92)+9)&gt;YEAR(E92),1,(12-MONTH(E92)+1)/12))) + (R92)*(IF((YEAR(D92)+9)&lt;YEAR(E92),0,IF((YEAR(D92)+9)&gt;YEAR(E92),1,(12-MONTH(E92)+1)/12))))-(IF((((K92)*(IF(M92="",L92,IFERROR(IF(INDEX(Variablen!$I:$AT, MATCH(M92, Variablen!$A:$A, 0), MATCH((YEAR(D92)+9), Variablen!$I$3:$AT$3, 0))="",L92,INDEX(Variablen!$I:$AT, MATCH(M92, Variablen!$A:$A, 0), MATCH((YEAR(D92)+9), Variablen!$I$3:$AT$3, 0))),L92)))*(IF((YEAR(D92)+9)&lt;YEAR(E92),0,IF((YEAR(D92)+9)&gt;YEAR(E92),1,(12-MONTH(E92)+1)/12))) + (Q92)*(IF((YEAR(D92)+9)&lt;YEAR(E92),0,IF((YEAR(D92)+9)&gt;YEAR(E92),1,(12-MONTH(E92)+1)/12))))-((P92)*(IF((YEAR(D92)+9)&lt;YEAR(E92),0,IF((YEAR(D92)+9)&gt;YEAR(E92),1,(12-MONTH(E92)+1)/12))) + (R92)*(IF((YEAR(D92)+9)&lt;YEAR(E92),0,IF((YEAR(D92)+9)&gt;YEAR(E92),1,(12-MONTH(E92)+1)/12))))-(IF(OR(N92="",N92&lt;=0),0,(O92/N92)*(IF(OR(N92="",N92&lt;=0),0,IF((YEAR(D92)+9)&lt;YEAR(E92),0,IF((YEAR(D92)+9)&gt;=YEAR(E92)+N92,0,IF((YEAR(D92)+9)=YEAR(E92),(12-MONTH(E92)+1)/12,1))))))))&gt;0,(((K92)*(IF(M92="",L92,IFERROR(IF(INDEX(Variablen!$I:$AT, MATCH(M92, Variablen!$A:$A, 0), MATCH((YEAR(D92)+9), Variablen!$I$3:$AT$3, 0))="",L92,INDEX(Variablen!$I:$AT, MATCH(M92, Variablen!$A:$A, 0), MATCH((YEAR(D92)+9), Variablen!$I$3:$AT$3, 0))),L92)))*(IF((YEAR(D92)+9)&lt;YEAR(E92),0,IF((YEAR(D92)+9)&gt;YEAR(E92),1,(12-MONTH(E92)+1)/12))) + (Q92)*(IF((YEAR(D92)+9)&lt;YEAR(E92),0,IF((YEAR(D92)+9)&gt;YEAR(E92),1,(12-MONTH(E92)+1)/12))))-((P92)*(IF((YEAR(D92)+9)&lt;YEAR(E92),0,IF((YEAR(D92)+9)&gt;YEAR(E92),1,(12-MONTH(E92)+1)/12))) + (R92)*(IF((YEAR(D92)+9)&lt;YEAR(E92),0,IF((YEAR(D92)+9)&gt;YEAR(E92),1,(12-MONTH(E92)+1)/12))))-(IF(OR(N92="",N92&lt;=0),0,(O92/N92)*(IF(OR(N92="",N92&lt;=0),0,IF((YEAR(D92)+9)&lt;YEAR(E92),0,IF((YEAR(D92)+9)&gt;=YEAR(E92)+N92,0,IF((YEAR(D92)+9)=YEAR(E92),(12-MONTH(E92)+1)/12,1))))))))*TaxRate,0))-IF(9=0,O92,0))</f>
        <v/>
      </c>
      <c r="AC92" s="29">
        <f>IF(A92="","",((K92)*(IF(M92="",L92,IFERROR(IF(INDEX(Variablen!$I:$AT, MATCH(M92, Variablen!$A:$A, 0), MATCH((YEAR(D92)+10), Variablen!$I$3:$AT$3, 0))="",L92,INDEX(Variablen!$I:$AT, MATCH(M92, Variablen!$A:$A, 0), MATCH((YEAR(D92)+10), Variablen!$I$3:$AT$3, 0))),L92)))*(IF((YEAR(D92)+10)&lt;YEAR(E92),0,IF((YEAR(D92)+10)&gt;YEAR(E92),1,(12-MONTH(E92)+1)/12))) + (Q92)*(IF((YEAR(D92)+10)&lt;YEAR(E92),0,IF((YEAR(D92)+10)&gt;YEAR(E92),1,(12-MONTH(E92)+1)/12))))-((P92)*(IF((YEAR(D92)+10)&lt;YEAR(E92),0,IF((YEAR(D92)+10)&gt;YEAR(E92),1,(12-MONTH(E92)+1)/12))) + (R92)*(IF((YEAR(D92)+10)&lt;YEAR(E92),0,IF((YEAR(D92)+10)&gt;YEAR(E92),1,(12-MONTH(E92)+1)/12))))-(IF((((K92)*(IF(M92="",L92,IFERROR(IF(INDEX(Variablen!$I:$AT, MATCH(M92, Variablen!$A:$A, 0), MATCH((YEAR(D92)+10), Variablen!$I$3:$AT$3, 0))="",L92,INDEX(Variablen!$I:$AT, MATCH(M92, Variablen!$A:$A, 0), MATCH((YEAR(D92)+10), Variablen!$I$3:$AT$3, 0))),L92)))*(IF((YEAR(D92)+10)&lt;YEAR(E92),0,IF((YEAR(D92)+10)&gt;YEAR(E92),1,(12-MONTH(E92)+1)/12))) + (Q92)*(IF((YEAR(D92)+10)&lt;YEAR(E92),0,IF((YEAR(D92)+10)&gt;YEAR(E92),1,(12-MONTH(E92)+1)/12))))-((P92)*(IF((YEAR(D92)+10)&lt;YEAR(E92),0,IF((YEAR(D92)+10)&gt;YEAR(E92),1,(12-MONTH(E92)+1)/12))) + (R92)*(IF((YEAR(D92)+10)&lt;YEAR(E92),0,IF((YEAR(D92)+10)&gt;YEAR(E92),1,(12-MONTH(E92)+1)/12))))-(IF(OR(N92="",N92&lt;=0),0,(O92/N92)*(IF(OR(N92="",N92&lt;=0),0,IF((YEAR(D92)+10)&lt;YEAR(E92),0,IF((YEAR(D92)+10)&gt;=YEAR(E92)+N92,0,IF((YEAR(D92)+10)=YEAR(E92),(12-MONTH(E92)+1)/12,1))))))))&gt;0,(((K92)*(IF(M92="",L92,IFERROR(IF(INDEX(Variablen!$I:$AT, MATCH(M92, Variablen!$A:$A, 0), MATCH((YEAR(D92)+10), Variablen!$I$3:$AT$3, 0))="",L92,INDEX(Variablen!$I:$AT, MATCH(M92, Variablen!$A:$A, 0), MATCH((YEAR(D92)+10), Variablen!$I$3:$AT$3, 0))),L92)))*(IF((YEAR(D92)+10)&lt;YEAR(E92),0,IF((YEAR(D92)+10)&gt;YEAR(E92),1,(12-MONTH(E92)+1)/12))) + (Q92)*(IF((YEAR(D92)+10)&lt;YEAR(E92),0,IF((YEAR(D92)+10)&gt;YEAR(E92),1,(12-MONTH(E92)+1)/12))))-((P92)*(IF((YEAR(D92)+10)&lt;YEAR(E92),0,IF((YEAR(D92)+10)&gt;YEAR(E92),1,(12-MONTH(E92)+1)/12))) + (R92)*(IF((YEAR(D92)+10)&lt;YEAR(E92),0,IF((YEAR(D92)+10)&gt;YEAR(E92),1,(12-MONTH(E92)+1)/12))))-(IF(OR(N92="",N92&lt;=0),0,(O92/N92)*(IF(OR(N92="",N92&lt;=0),0,IF((YEAR(D92)+10)&lt;YEAR(E92),0,IF((YEAR(D92)+10)&gt;=YEAR(E92)+N92,0,IF((YEAR(D92)+10)=YEAR(E92),(12-MONTH(E92)+1)/12,1))))))))*TaxRate,0))-IF(10=0,O92,0))</f>
        <v/>
      </c>
      <c r="AD92" s="29">
        <f>IF(A92="","",((K92)*(IF(M92="",L92,IFERROR(IF(INDEX(Variablen!$I:$AT, MATCH(M92, Variablen!$A:$A, 0), MATCH((YEAR(D92)+11), Variablen!$I$3:$AT$3, 0))="",L92,INDEX(Variablen!$I:$AT, MATCH(M92, Variablen!$A:$A, 0), MATCH((YEAR(D92)+11), Variablen!$I$3:$AT$3, 0))),L92)))*(IF((YEAR(D92)+11)&lt;YEAR(E92),0,IF((YEAR(D92)+11)&gt;YEAR(E92),1,(12-MONTH(E92)+1)/12))) + (Q92)*(IF((YEAR(D92)+11)&lt;YEAR(E92),0,IF((YEAR(D92)+11)&gt;YEAR(E92),1,(12-MONTH(E92)+1)/12))))-((P92)*(IF((YEAR(D92)+11)&lt;YEAR(E92),0,IF((YEAR(D92)+11)&gt;YEAR(E92),1,(12-MONTH(E92)+1)/12))) + (R92)*(IF((YEAR(D92)+11)&lt;YEAR(E92),0,IF((YEAR(D92)+11)&gt;YEAR(E92),1,(12-MONTH(E92)+1)/12))))-(IF((((K92)*(IF(M92="",L92,IFERROR(IF(INDEX(Variablen!$I:$AT, MATCH(M92, Variablen!$A:$A, 0), MATCH((YEAR(D92)+11), Variablen!$I$3:$AT$3, 0))="",L92,INDEX(Variablen!$I:$AT, MATCH(M92, Variablen!$A:$A, 0), MATCH((YEAR(D92)+11), Variablen!$I$3:$AT$3, 0))),L92)))*(IF((YEAR(D92)+11)&lt;YEAR(E92),0,IF((YEAR(D92)+11)&gt;YEAR(E92),1,(12-MONTH(E92)+1)/12))) + (Q92)*(IF((YEAR(D92)+11)&lt;YEAR(E92),0,IF((YEAR(D92)+11)&gt;YEAR(E92),1,(12-MONTH(E92)+1)/12))))-((P92)*(IF((YEAR(D92)+11)&lt;YEAR(E92),0,IF((YEAR(D92)+11)&gt;YEAR(E92),1,(12-MONTH(E92)+1)/12))) + (R92)*(IF((YEAR(D92)+11)&lt;YEAR(E92),0,IF((YEAR(D92)+11)&gt;YEAR(E92),1,(12-MONTH(E92)+1)/12))))-(IF(OR(N92="",N92&lt;=0),0,(O92/N92)*(IF(OR(N92="",N92&lt;=0),0,IF((YEAR(D92)+11)&lt;YEAR(E92),0,IF((YEAR(D92)+11)&gt;=YEAR(E92)+N92,0,IF((YEAR(D92)+11)=YEAR(E92),(12-MONTH(E92)+1)/12,1))))))))&gt;0,(((K92)*(IF(M92="",L92,IFERROR(IF(INDEX(Variablen!$I:$AT, MATCH(M92, Variablen!$A:$A, 0), MATCH((YEAR(D92)+11), Variablen!$I$3:$AT$3, 0))="",L92,INDEX(Variablen!$I:$AT, MATCH(M92, Variablen!$A:$A, 0), MATCH((YEAR(D92)+11), Variablen!$I$3:$AT$3, 0))),L92)))*(IF((YEAR(D92)+11)&lt;YEAR(E92),0,IF((YEAR(D92)+11)&gt;YEAR(E92),1,(12-MONTH(E92)+1)/12))) + (Q92)*(IF((YEAR(D92)+11)&lt;YEAR(E92),0,IF((YEAR(D92)+11)&gt;YEAR(E92),1,(12-MONTH(E92)+1)/12))))-((P92)*(IF((YEAR(D92)+11)&lt;YEAR(E92),0,IF((YEAR(D92)+11)&gt;YEAR(E92),1,(12-MONTH(E92)+1)/12))) + (R92)*(IF((YEAR(D92)+11)&lt;YEAR(E92),0,IF((YEAR(D92)+11)&gt;YEAR(E92),1,(12-MONTH(E92)+1)/12))))-(IF(OR(N92="",N92&lt;=0),0,(O92/N92)*(IF(OR(N92="",N92&lt;=0),0,IF((YEAR(D92)+11)&lt;YEAR(E92),0,IF((YEAR(D92)+11)&gt;=YEAR(E92)+N92,0,IF((YEAR(D92)+11)=YEAR(E92),(12-MONTH(E92)+1)/12,1))))))))*TaxRate,0))-IF(11=0,O92,0))</f>
        <v/>
      </c>
      <c r="AE92" s="29">
        <f>IF(A92="","",((K92)*(IF(M92="",L92,IFERROR(IF(INDEX(Variablen!$I:$AT, MATCH(M92, Variablen!$A:$A, 0), MATCH((YEAR(D92)+12), Variablen!$I$3:$AT$3, 0))="",L92,INDEX(Variablen!$I:$AT, MATCH(M92, Variablen!$A:$A, 0), MATCH((YEAR(D92)+12), Variablen!$I$3:$AT$3, 0))),L92)))*(IF((YEAR(D92)+12)&lt;YEAR(E92),0,IF((YEAR(D92)+12)&gt;YEAR(E92),1,(12-MONTH(E92)+1)/12))) + (Q92)*(IF((YEAR(D92)+12)&lt;YEAR(E92),0,IF((YEAR(D92)+12)&gt;YEAR(E92),1,(12-MONTH(E92)+1)/12))))-((P92)*(IF((YEAR(D92)+12)&lt;YEAR(E92),0,IF((YEAR(D92)+12)&gt;YEAR(E92),1,(12-MONTH(E92)+1)/12))) + (R92)*(IF((YEAR(D92)+12)&lt;YEAR(E92),0,IF((YEAR(D92)+12)&gt;YEAR(E92),1,(12-MONTH(E92)+1)/12))))-(IF((((K92)*(IF(M92="",L92,IFERROR(IF(INDEX(Variablen!$I:$AT, MATCH(M92, Variablen!$A:$A, 0), MATCH((YEAR(D92)+12), Variablen!$I$3:$AT$3, 0))="",L92,INDEX(Variablen!$I:$AT, MATCH(M92, Variablen!$A:$A, 0), MATCH((YEAR(D92)+12), Variablen!$I$3:$AT$3, 0))),L92)))*(IF((YEAR(D92)+12)&lt;YEAR(E92),0,IF((YEAR(D92)+12)&gt;YEAR(E92),1,(12-MONTH(E92)+1)/12))) + (Q92)*(IF((YEAR(D92)+12)&lt;YEAR(E92),0,IF((YEAR(D92)+12)&gt;YEAR(E92),1,(12-MONTH(E92)+1)/12))))-((P92)*(IF((YEAR(D92)+12)&lt;YEAR(E92),0,IF((YEAR(D92)+12)&gt;YEAR(E92),1,(12-MONTH(E92)+1)/12))) + (R92)*(IF((YEAR(D92)+12)&lt;YEAR(E92),0,IF((YEAR(D92)+12)&gt;YEAR(E92),1,(12-MONTH(E92)+1)/12))))-(IF(OR(N92="",N92&lt;=0),0,(O92/N92)*(IF(OR(N92="",N92&lt;=0),0,IF((YEAR(D92)+12)&lt;YEAR(E92),0,IF((YEAR(D92)+12)&gt;=YEAR(E92)+N92,0,IF((YEAR(D92)+12)=YEAR(E92),(12-MONTH(E92)+1)/12,1))))))))&gt;0,(((K92)*(IF(M92="",L92,IFERROR(IF(INDEX(Variablen!$I:$AT, MATCH(M92, Variablen!$A:$A, 0), MATCH((YEAR(D92)+12), Variablen!$I$3:$AT$3, 0))="",L92,INDEX(Variablen!$I:$AT, MATCH(M92, Variablen!$A:$A, 0), MATCH((YEAR(D92)+12), Variablen!$I$3:$AT$3, 0))),L92)))*(IF((YEAR(D92)+12)&lt;YEAR(E92),0,IF((YEAR(D92)+12)&gt;YEAR(E92),1,(12-MONTH(E92)+1)/12))) + (Q92)*(IF((YEAR(D92)+12)&lt;YEAR(E92),0,IF((YEAR(D92)+12)&gt;YEAR(E92),1,(12-MONTH(E92)+1)/12))))-((P92)*(IF((YEAR(D92)+12)&lt;YEAR(E92),0,IF((YEAR(D92)+12)&gt;YEAR(E92),1,(12-MONTH(E92)+1)/12))) + (R92)*(IF((YEAR(D92)+12)&lt;YEAR(E92),0,IF((YEAR(D92)+12)&gt;YEAR(E92),1,(12-MONTH(E92)+1)/12))))-(IF(OR(N92="",N92&lt;=0),0,(O92/N92)*(IF(OR(N92="",N92&lt;=0),0,IF((YEAR(D92)+12)&lt;YEAR(E92),0,IF((YEAR(D92)+12)&gt;=YEAR(E92)+N92,0,IF((YEAR(D92)+12)=YEAR(E92),(12-MONTH(E92)+1)/12,1))))))))*TaxRate,0))-IF(12=0,O92,0))</f>
        <v/>
      </c>
      <c r="AF92" s="29">
        <f>IF(A92="","",((K92)*(IF(M92="",L92,IFERROR(IF(INDEX(Variablen!$I:$AT, MATCH(M92, Variablen!$A:$A, 0), MATCH((YEAR(D92)+13), Variablen!$I$3:$AT$3, 0))="",L92,INDEX(Variablen!$I:$AT, MATCH(M92, Variablen!$A:$A, 0), MATCH((YEAR(D92)+13), Variablen!$I$3:$AT$3, 0))),L92)))*(IF((YEAR(D92)+13)&lt;YEAR(E92),0,IF((YEAR(D92)+13)&gt;YEAR(E92),1,(12-MONTH(E92)+1)/12))) + (Q92)*(IF((YEAR(D92)+13)&lt;YEAR(E92),0,IF((YEAR(D92)+13)&gt;YEAR(E92),1,(12-MONTH(E92)+1)/12))))-((P92)*(IF((YEAR(D92)+13)&lt;YEAR(E92),0,IF((YEAR(D92)+13)&gt;YEAR(E92),1,(12-MONTH(E92)+1)/12))) + (R92)*(IF((YEAR(D92)+13)&lt;YEAR(E92),0,IF((YEAR(D92)+13)&gt;YEAR(E92),1,(12-MONTH(E92)+1)/12))))-(IF((((K92)*(IF(M92="",L92,IFERROR(IF(INDEX(Variablen!$I:$AT, MATCH(M92, Variablen!$A:$A, 0), MATCH((YEAR(D92)+13), Variablen!$I$3:$AT$3, 0))="",L92,INDEX(Variablen!$I:$AT, MATCH(M92, Variablen!$A:$A, 0), MATCH((YEAR(D92)+13), Variablen!$I$3:$AT$3, 0))),L92)))*(IF((YEAR(D92)+13)&lt;YEAR(E92),0,IF((YEAR(D92)+13)&gt;YEAR(E92),1,(12-MONTH(E92)+1)/12))) + (Q92)*(IF((YEAR(D92)+13)&lt;YEAR(E92),0,IF((YEAR(D92)+13)&gt;YEAR(E92),1,(12-MONTH(E92)+1)/12))))-((P92)*(IF((YEAR(D92)+13)&lt;YEAR(E92),0,IF((YEAR(D92)+13)&gt;YEAR(E92),1,(12-MONTH(E92)+1)/12))) + (R92)*(IF((YEAR(D92)+13)&lt;YEAR(E92),0,IF((YEAR(D92)+13)&gt;YEAR(E92),1,(12-MONTH(E92)+1)/12))))-(IF(OR(N92="",N92&lt;=0),0,(O92/N92)*(IF(OR(N92="",N92&lt;=0),0,IF((YEAR(D92)+13)&lt;YEAR(E92),0,IF((YEAR(D92)+13)&gt;=YEAR(E92)+N92,0,IF((YEAR(D92)+13)=YEAR(E92),(12-MONTH(E92)+1)/12,1))))))))&gt;0,(((K92)*(IF(M92="",L92,IFERROR(IF(INDEX(Variablen!$I:$AT, MATCH(M92, Variablen!$A:$A, 0), MATCH((YEAR(D92)+13), Variablen!$I$3:$AT$3, 0))="",L92,INDEX(Variablen!$I:$AT, MATCH(M92, Variablen!$A:$A, 0), MATCH((YEAR(D92)+13), Variablen!$I$3:$AT$3, 0))),L92)))*(IF((YEAR(D92)+13)&lt;YEAR(E92),0,IF((YEAR(D92)+13)&gt;YEAR(E92),1,(12-MONTH(E92)+1)/12))) + (Q92)*(IF((YEAR(D92)+13)&lt;YEAR(E92),0,IF((YEAR(D92)+13)&gt;YEAR(E92),1,(12-MONTH(E92)+1)/12))))-((P92)*(IF((YEAR(D92)+13)&lt;YEAR(E92),0,IF((YEAR(D92)+13)&gt;YEAR(E92),1,(12-MONTH(E92)+1)/12))) + (R92)*(IF((YEAR(D92)+13)&lt;YEAR(E92),0,IF((YEAR(D92)+13)&gt;YEAR(E92),1,(12-MONTH(E92)+1)/12))))-(IF(OR(N92="",N92&lt;=0),0,(O92/N92)*(IF(OR(N92="",N92&lt;=0),0,IF((YEAR(D92)+13)&lt;YEAR(E92),0,IF((YEAR(D92)+13)&gt;=YEAR(E92)+N92,0,IF((YEAR(D92)+13)=YEAR(E92),(12-MONTH(E92)+1)/12,1))))))))*TaxRate,0))-IF(13=0,O92,0))</f>
        <v/>
      </c>
      <c r="AG92" s="29">
        <f>IF(A92="","",((K92)*(IF(M92="",L92,IFERROR(IF(INDEX(Variablen!$I:$AT, MATCH(M92, Variablen!$A:$A, 0), MATCH((YEAR(D92)+14), Variablen!$I$3:$AT$3, 0))="",L92,INDEX(Variablen!$I:$AT, MATCH(M92, Variablen!$A:$A, 0), MATCH((YEAR(D92)+14), Variablen!$I$3:$AT$3, 0))),L92)))*(IF((YEAR(D92)+14)&lt;YEAR(E92),0,IF((YEAR(D92)+14)&gt;YEAR(E92),1,(12-MONTH(E92)+1)/12))) + (Q92)*(IF((YEAR(D92)+14)&lt;YEAR(E92),0,IF((YEAR(D92)+14)&gt;YEAR(E92),1,(12-MONTH(E92)+1)/12))))-((P92)*(IF((YEAR(D92)+14)&lt;YEAR(E92),0,IF((YEAR(D92)+14)&gt;YEAR(E92),1,(12-MONTH(E92)+1)/12))) + (R92)*(IF((YEAR(D92)+14)&lt;YEAR(E92),0,IF((YEAR(D92)+14)&gt;YEAR(E92),1,(12-MONTH(E92)+1)/12))))-(IF((((K92)*(IF(M92="",L92,IFERROR(IF(INDEX(Variablen!$I:$AT, MATCH(M92, Variablen!$A:$A, 0), MATCH((YEAR(D92)+14), Variablen!$I$3:$AT$3, 0))="",L92,INDEX(Variablen!$I:$AT, MATCH(M92, Variablen!$A:$A, 0), MATCH((YEAR(D92)+14), Variablen!$I$3:$AT$3, 0))),L92)))*(IF((YEAR(D92)+14)&lt;YEAR(E92),0,IF((YEAR(D92)+14)&gt;YEAR(E92),1,(12-MONTH(E92)+1)/12))) + (Q92)*(IF((YEAR(D92)+14)&lt;YEAR(E92),0,IF((YEAR(D92)+14)&gt;YEAR(E92),1,(12-MONTH(E92)+1)/12))))-((P92)*(IF((YEAR(D92)+14)&lt;YEAR(E92),0,IF((YEAR(D92)+14)&gt;YEAR(E92),1,(12-MONTH(E92)+1)/12))) + (R92)*(IF((YEAR(D92)+14)&lt;YEAR(E92),0,IF((YEAR(D92)+14)&gt;YEAR(E92),1,(12-MONTH(E92)+1)/12))))-(IF(OR(N92="",N92&lt;=0),0,(O92/N92)*(IF(OR(N92="",N92&lt;=0),0,IF((YEAR(D92)+14)&lt;YEAR(E92),0,IF((YEAR(D92)+14)&gt;=YEAR(E92)+N92,0,IF((YEAR(D92)+14)=YEAR(E92),(12-MONTH(E92)+1)/12,1))))))))&gt;0,(((K92)*(IF(M92="",L92,IFERROR(IF(INDEX(Variablen!$I:$AT, MATCH(M92, Variablen!$A:$A, 0), MATCH((YEAR(D92)+14), Variablen!$I$3:$AT$3, 0))="",L92,INDEX(Variablen!$I:$AT, MATCH(M92, Variablen!$A:$A, 0), MATCH((YEAR(D92)+14), Variablen!$I$3:$AT$3, 0))),L92)))*(IF((YEAR(D92)+14)&lt;YEAR(E92),0,IF((YEAR(D92)+14)&gt;YEAR(E92),1,(12-MONTH(E92)+1)/12))) + (Q92)*(IF((YEAR(D92)+14)&lt;YEAR(E92),0,IF((YEAR(D92)+14)&gt;YEAR(E92),1,(12-MONTH(E92)+1)/12))))-((P92)*(IF((YEAR(D92)+14)&lt;YEAR(E92),0,IF((YEAR(D92)+14)&gt;YEAR(E92),1,(12-MONTH(E92)+1)/12))) + (R92)*(IF((YEAR(D92)+14)&lt;YEAR(E92),0,IF((YEAR(D92)+14)&gt;YEAR(E92),1,(12-MONTH(E92)+1)/12))))-(IF(OR(N92="",N92&lt;=0),0,(O92/N92)*(IF(OR(N92="",N92&lt;=0),0,IF((YEAR(D92)+14)&lt;YEAR(E92),0,IF((YEAR(D92)+14)&gt;=YEAR(E92)+N92,0,IF((YEAR(D92)+14)=YEAR(E92),(12-MONTH(E92)+1)/12,1))))))))*TaxRate,0))-IF(14=0,O92,0))</f>
        <v/>
      </c>
      <c r="AH92" s="29">
        <f>IF(A92="","",((K92)*(IF(M92="",L92,IFERROR(IF(INDEX(Variablen!$I:$AT, MATCH(M92, Variablen!$A:$A, 0), MATCH((YEAR(D92)+15), Variablen!$I$3:$AT$3, 0))="",L92,INDEX(Variablen!$I:$AT, MATCH(M92, Variablen!$A:$A, 0), MATCH((YEAR(D92)+15), Variablen!$I$3:$AT$3, 0))),L92)))*(IF((YEAR(D92)+15)&lt;YEAR(E92),0,IF((YEAR(D92)+15)&gt;YEAR(E92),1,(12-MONTH(E92)+1)/12))) + (Q92)*(IF((YEAR(D92)+15)&lt;YEAR(E92),0,IF((YEAR(D92)+15)&gt;YEAR(E92),1,(12-MONTH(E92)+1)/12))))-((P92)*(IF((YEAR(D92)+15)&lt;YEAR(E92),0,IF((YEAR(D92)+15)&gt;YEAR(E92),1,(12-MONTH(E92)+1)/12))) + (R92)*(IF((YEAR(D92)+15)&lt;YEAR(E92),0,IF((YEAR(D92)+15)&gt;YEAR(E92),1,(12-MONTH(E92)+1)/12))))-(IF((((K92)*(IF(M92="",L92,IFERROR(IF(INDEX(Variablen!$I:$AT, MATCH(M92, Variablen!$A:$A, 0), MATCH((YEAR(D92)+15), Variablen!$I$3:$AT$3, 0))="",L92,INDEX(Variablen!$I:$AT, MATCH(M92, Variablen!$A:$A, 0), MATCH((YEAR(D92)+15), Variablen!$I$3:$AT$3, 0))),L92)))*(IF((YEAR(D92)+15)&lt;YEAR(E92),0,IF((YEAR(D92)+15)&gt;YEAR(E92),1,(12-MONTH(E92)+1)/12))) + (Q92)*(IF((YEAR(D92)+15)&lt;YEAR(E92),0,IF((YEAR(D92)+15)&gt;YEAR(E92),1,(12-MONTH(E92)+1)/12))))-((P92)*(IF((YEAR(D92)+15)&lt;YEAR(E92),0,IF((YEAR(D92)+15)&gt;YEAR(E92),1,(12-MONTH(E92)+1)/12))) + (R92)*(IF((YEAR(D92)+15)&lt;YEAR(E92),0,IF((YEAR(D92)+15)&gt;YEAR(E92),1,(12-MONTH(E92)+1)/12))))-(IF(OR(N92="",N92&lt;=0),0,(O92/N92)*(IF(OR(N92="",N92&lt;=0),0,IF((YEAR(D92)+15)&lt;YEAR(E92),0,IF((YEAR(D92)+15)&gt;=YEAR(E92)+N92,0,IF((YEAR(D92)+15)=YEAR(E92),(12-MONTH(E92)+1)/12,1))))))))&gt;0,(((K92)*(IF(M92="",L92,IFERROR(IF(INDEX(Variablen!$I:$AT, MATCH(M92, Variablen!$A:$A, 0), MATCH((YEAR(D92)+15), Variablen!$I$3:$AT$3, 0))="",L92,INDEX(Variablen!$I:$AT, MATCH(M92, Variablen!$A:$A, 0), MATCH((YEAR(D92)+15), Variablen!$I$3:$AT$3, 0))),L92)))*(IF((YEAR(D92)+15)&lt;YEAR(E92),0,IF((YEAR(D92)+15)&gt;YEAR(E92),1,(12-MONTH(E92)+1)/12))) + (Q92)*(IF((YEAR(D92)+15)&lt;YEAR(E92),0,IF((YEAR(D92)+15)&gt;YEAR(E92),1,(12-MONTH(E92)+1)/12))))-((P92)*(IF((YEAR(D92)+15)&lt;YEAR(E92),0,IF((YEAR(D92)+15)&gt;YEAR(E92),1,(12-MONTH(E92)+1)/12))) + (R92)*(IF((YEAR(D92)+15)&lt;YEAR(E92),0,IF((YEAR(D92)+15)&gt;YEAR(E92),1,(12-MONTH(E92)+1)/12))))-(IF(OR(N92="",N92&lt;=0),0,(O92/N92)*(IF(OR(N92="",N92&lt;=0),0,IF((YEAR(D92)+15)&lt;YEAR(E92),0,IF((YEAR(D92)+15)&gt;=YEAR(E92)+N92,0,IF((YEAR(D92)+15)=YEAR(E92),(12-MONTH(E92)+1)/12,1))))))))*TaxRate,0))-IF(15=0,O92,0))</f>
        <v/>
      </c>
      <c r="AI92" s="29">
        <f>IF(A92="","",((K92)*(IF(M92="",L92,IFERROR(IF(INDEX(Variablen!$I:$AT, MATCH(M92, Variablen!$A:$A, 0), MATCH((YEAR(D92)+16), Variablen!$I$3:$AT$3, 0))="",L92,INDEX(Variablen!$I:$AT, MATCH(M92, Variablen!$A:$A, 0), MATCH((YEAR(D92)+16), Variablen!$I$3:$AT$3, 0))),L92)))*(IF((YEAR(D92)+16)&lt;YEAR(E92),0,IF((YEAR(D92)+16)&gt;YEAR(E92),1,(12-MONTH(E92)+1)/12))) + (Q92)*(IF((YEAR(D92)+16)&lt;YEAR(E92),0,IF((YEAR(D92)+16)&gt;YEAR(E92),1,(12-MONTH(E92)+1)/12))))-((P92)*(IF((YEAR(D92)+16)&lt;YEAR(E92),0,IF((YEAR(D92)+16)&gt;YEAR(E92),1,(12-MONTH(E92)+1)/12))) + (R92)*(IF((YEAR(D92)+16)&lt;YEAR(E92),0,IF((YEAR(D92)+16)&gt;YEAR(E92),1,(12-MONTH(E92)+1)/12))))-(IF((((K92)*(IF(M92="",L92,IFERROR(IF(INDEX(Variablen!$I:$AT, MATCH(M92, Variablen!$A:$A, 0), MATCH((YEAR(D92)+16), Variablen!$I$3:$AT$3, 0))="",L92,INDEX(Variablen!$I:$AT, MATCH(M92, Variablen!$A:$A, 0), MATCH((YEAR(D92)+16), Variablen!$I$3:$AT$3, 0))),L92)))*(IF((YEAR(D92)+16)&lt;YEAR(E92),0,IF((YEAR(D92)+16)&gt;YEAR(E92),1,(12-MONTH(E92)+1)/12))) + (Q92)*(IF((YEAR(D92)+16)&lt;YEAR(E92),0,IF((YEAR(D92)+16)&gt;YEAR(E92),1,(12-MONTH(E92)+1)/12))))-((P92)*(IF((YEAR(D92)+16)&lt;YEAR(E92),0,IF((YEAR(D92)+16)&gt;YEAR(E92),1,(12-MONTH(E92)+1)/12))) + (R92)*(IF((YEAR(D92)+16)&lt;YEAR(E92),0,IF((YEAR(D92)+16)&gt;YEAR(E92),1,(12-MONTH(E92)+1)/12))))-(IF(OR(N92="",N92&lt;=0),0,(O92/N92)*(IF(OR(N92="",N92&lt;=0),0,IF((YEAR(D92)+16)&lt;YEAR(E92),0,IF((YEAR(D92)+16)&gt;=YEAR(E92)+N92,0,IF((YEAR(D92)+16)=YEAR(E92),(12-MONTH(E92)+1)/12,1))))))))&gt;0,(((K92)*(IF(M92="",L92,IFERROR(IF(INDEX(Variablen!$I:$AT, MATCH(M92, Variablen!$A:$A, 0), MATCH((YEAR(D92)+16), Variablen!$I$3:$AT$3, 0))="",L92,INDEX(Variablen!$I:$AT, MATCH(M92, Variablen!$A:$A, 0), MATCH((YEAR(D92)+16), Variablen!$I$3:$AT$3, 0))),L92)))*(IF((YEAR(D92)+16)&lt;YEAR(E92),0,IF((YEAR(D92)+16)&gt;YEAR(E92),1,(12-MONTH(E92)+1)/12))) + (Q92)*(IF((YEAR(D92)+16)&lt;YEAR(E92),0,IF((YEAR(D92)+16)&gt;YEAR(E92),1,(12-MONTH(E92)+1)/12))))-((P92)*(IF((YEAR(D92)+16)&lt;YEAR(E92),0,IF((YEAR(D92)+16)&gt;YEAR(E92),1,(12-MONTH(E92)+1)/12))) + (R92)*(IF((YEAR(D92)+16)&lt;YEAR(E92),0,IF((YEAR(D92)+16)&gt;YEAR(E92),1,(12-MONTH(E92)+1)/12))))-(IF(OR(N92="",N92&lt;=0),0,(O92/N92)*(IF(OR(N92="",N92&lt;=0),0,IF((YEAR(D92)+16)&lt;YEAR(E92),0,IF((YEAR(D92)+16)&gt;=YEAR(E92)+N92,0,IF((YEAR(D92)+16)=YEAR(E92),(12-MONTH(E92)+1)/12,1))))))))*TaxRate,0))-IF(16=0,O92,0))</f>
        <v/>
      </c>
      <c r="AJ92" s="29">
        <f>IF(A92="","",((K92)*(IF(M92="",L92,IFERROR(IF(INDEX(Variablen!$I:$AT, MATCH(M92, Variablen!$A:$A, 0), MATCH((YEAR(D92)+17), Variablen!$I$3:$AT$3, 0))="",L92,INDEX(Variablen!$I:$AT, MATCH(M92, Variablen!$A:$A, 0), MATCH((YEAR(D92)+17), Variablen!$I$3:$AT$3, 0))),L92)))*(IF((YEAR(D92)+17)&lt;YEAR(E92),0,IF((YEAR(D92)+17)&gt;YEAR(E92),1,(12-MONTH(E92)+1)/12))) + (Q92)*(IF((YEAR(D92)+17)&lt;YEAR(E92),0,IF((YEAR(D92)+17)&gt;YEAR(E92),1,(12-MONTH(E92)+1)/12))))-((P92)*(IF((YEAR(D92)+17)&lt;YEAR(E92),0,IF((YEAR(D92)+17)&gt;YEAR(E92),1,(12-MONTH(E92)+1)/12))) + (R92)*(IF((YEAR(D92)+17)&lt;YEAR(E92),0,IF((YEAR(D92)+17)&gt;YEAR(E92),1,(12-MONTH(E92)+1)/12))))-(IF((((K92)*(IF(M92="",L92,IFERROR(IF(INDEX(Variablen!$I:$AT, MATCH(M92, Variablen!$A:$A, 0), MATCH((YEAR(D92)+17), Variablen!$I$3:$AT$3, 0))="",L92,INDEX(Variablen!$I:$AT, MATCH(M92, Variablen!$A:$A, 0), MATCH((YEAR(D92)+17), Variablen!$I$3:$AT$3, 0))),L92)))*(IF((YEAR(D92)+17)&lt;YEAR(E92),0,IF((YEAR(D92)+17)&gt;YEAR(E92),1,(12-MONTH(E92)+1)/12))) + (Q92)*(IF((YEAR(D92)+17)&lt;YEAR(E92),0,IF((YEAR(D92)+17)&gt;YEAR(E92),1,(12-MONTH(E92)+1)/12))))-((P92)*(IF((YEAR(D92)+17)&lt;YEAR(E92),0,IF((YEAR(D92)+17)&gt;YEAR(E92),1,(12-MONTH(E92)+1)/12))) + (R92)*(IF((YEAR(D92)+17)&lt;YEAR(E92),0,IF((YEAR(D92)+17)&gt;YEAR(E92),1,(12-MONTH(E92)+1)/12))))-(IF(OR(N92="",N92&lt;=0),0,(O92/N92)*(IF(OR(N92="",N92&lt;=0),0,IF((YEAR(D92)+17)&lt;YEAR(E92),0,IF((YEAR(D92)+17)&gt;=YEAR(E92)+N92,0,IF((YEAR(D92)+17)=YEAR(E92),(12-MONTH(E92)+1)/12,1))))))))&gt;0,(((K92)*(IF(M92="",L92,IFERROR(IF(INDEX(Variablen!$I:$AT, MATCH(M92, Variablen!$A:$A, 0), MATCH((YEAR(D92)+17), Variablen!$I$3:$AT$3, 0))="",L92,INDEX(Variablen!$I:$AT, MATCH(M92, Variablen!$A:$A, 0), MATCH((YEAR(D92)+17), Variablen!$I$3:$AT$3, 0))),L92)))*(IF((YEAR(D92)+17)&lt;YEAR(E92),0,IF((YEAR(D92)+17)&gt;YEAR(E92),1,(12-MONTH(E92)+1)/12))) + (Q92)*(IF((YEAR(D92)+17)&lt;YEAR(E92),0,IF((YEAR(D92)+17)&gt;YEAR(E92),1,(12-MONTH(E92)+1)/12))))-((P92)*(IF((YEAR(D92)+17)&lt;YEAR(E92),0,IF((YEAR(D92)+17)&gt;YEAR(E92),1,(12-MONTH(E92)+1)/12))) + (R92)*(IF((YEAR(D92)+17)&lt;YEAR(E92),0,IF((YEAR(D92)+17)&gt;YEAR(E92),1,(12-MONTH(E92)+1)/12))))-(IF(OR(N92="",N92&lt;=0),0,(O92/N92)*(IF(OR(N92="",N92&lt;=0),0,IF((YEAR(D92)+17)&lt;YEAR(E92),0,IF((YEAR(D92)+17)&gt;=YEAR(E92)+N92,0,IF((YEAR(D92)+17)=YEAR(E92),(12-MONTH(E92)+1)/12,1))))))))*TaxRate,0))-IF(17=0,O92,0))</f>
        <v/>
      </c>
      <c r="AK92" s="29">
        <f>IF(A92="","",((K92)*(IF(M92="",L92,IFERROR(IF(INDEX(Variablen!$I:$AT, MATCH(M92, Variablen!$A:$A, 0), MATCH((YEAR(D92)+18), Variablen!$I$3:$AT$3, 0))="",L92,INDEX(Variablen!$I:$AT, MATCH(M92, Variablen!$A:$A, 0), MATCH((YEAR(D92)+18), Variablen!$I$3:$AT$3, 0))),L92)))*(IF((YEAR(D92)+18)&lt;YEAR(E92),0,IF((YEAR(D92)+18)&gt;YEAR(E92),1,(12-MONTH(E92)+1)/12))) + (Q92)*(IF((YEAR(D92)+18)&lt;YEAR(E92),0,IF((YEAR(D92)+18)&gt;YEAR(E92),1,(12-MONTH(E92)+1)/12))))-((P92)*(IF((YEAR(D92)+18)&lt;YEAR(E92),0,IF((YEAR(D92)+18)&gt;YEAR(E92),1,(12-MONTH(E92)+1)/12))) + (R92)*(IF((YEAR(D92)+18)&lt;YEAR(E92),0,IF((YEAR(D92)+18)&gt;YEAR(E92),1,(12-MONTH(E92)+1)/12))))-(IF((((K92)*(IF(M92="",L92,IFERROR(IF(INDEX(Variablen!$I:$AT, MATCH(M92, Variablen!$A:$A, 0), MATCH((YEAR(D92)+18), Variablen!$I$3:$AT$3, 0))="",L92,INDEX(Variablen!$I:$AT, MATCH(M92, Variablen!$A:$A, 0), MATCH((YEAR(D92)+18), Variablen!$I$3:$AT$3, 0))),L92)))*(IF((YEAR(D92)+18)&lt;YEAR(E92),0,IF((YEAR(D92)+18)&gt;YEAR(E92),1,(12-MONTH(E92)+1)/12))) + (Q92)*(IF((YEAR(D92)+18)&lt;YEAR(E92),0,IF((YEAR(D92)+18)&gt;YEAR(E92),1,(12-MONTH(E92)+1)/12))))-((P92)*(IF((YEAR(D92)+18)&lt;YEAR(E92),0,IF((YEAR(D92)+18)&gt;YEAR(E92),1,(12-MONTH(E92)+1)/12))) + (R92)*(IF((YEAR(D92)+18)&lt;YEAR(E92),0,IF((YEAR(D92)+18)&gt;YEAR(E92),1,(12-MONTH(E92)+1)/12))))-(IF(OR(N92="",N92&lt;=0),0,(O92/N92)*(IF(OR(N92="",N92&lt;=0),0,IF((YEAR(D92)+18)&lt;YEAR(E92),0,IF((YEAR(D92)+18)&gt;=YEAR(E92)+N92,0,IF((YEAR(D92)+18)=YEAR(E92),(12-MONTH(E92)+1)/12,1))))))))&gt;0,(((K92)*(IF(M92="",L92,IFERROR(IF(INDEX(Variablen!$I:$AT, MATCH(M92, Variablen!$A:$A, 0), MATCH((YEAR(D92)+18), Variablen!$I$3:$AT$3, 0))="",L92,INDEX(Variablen!$I:$AT, MATCH(M92, Variablen!$A:$A, 0), MATCH((YEAR(D92)+18), Variablen!$I$3:$AT$3, 0))),L92)))*(IF((YEAR(D92)+18)&lt;YEAR(E92),0,IF((YEAR(D92)+18)&gt;YEAR(E92),1,(12-MONTH(E92)+1)/12))) + (Q92)*(IF((YEAR(D92)+18)&lt;YEAR(E92),0,IF((YEAR(D92)+18)&gt;YEAR(E92),1,(12-MONTH(E92)+1)/12))))-((P92)*(IF((YEAR(D92)+18)&lt;YEAR(E92),0,IF((YEAR(D92)+18)&gt;YEAR(E92),1,(12-MONTH(E92)+1)/12))) + (R92)*(IF((YEAR(D92)+18)&lt;YEAR(E92),0,IF((YEAR(D92)+18)&gt;YEAR(E92),1,(12-MONTH(E92)+1)/12))))-(IF(OR(N92="",N92&lt;=0),0,(O92/N92)*(IF(OR(N92="",N92&lt;=0),0,IF((YEAR(D92)+18)&lt;YEAR(E92),0,IF((YEAR(D92)+18)&gt;=YEAR(E92)+N92,0,IF((YEAR(D92)+18)=YEAR(E92),(12-MONTH(E92)+1)/12,1))))))))*TaxRate,0))-IF(18=0,O92,0))</f>
        <v/>
      </c>
      <c r="AL92" s="29">
        <f>IF(A92="","",((K92)*(IF(M92="",L92,IFERROR(IF(INDEX(Variablen!$I:$AT, MATCH(M92, Variablen!$A:$A, 0), MATCH((YEAR(D92)+19), Variablen!$I$3:$AT$3, 0))="",L92,INDEX(Variablen!$I:$AT, MATCH(M92, Variablen!$A:$A, 0), MATCH((YEAR(D92)+19), Variablen!$I$3:$AT$3, 0))),L92)))*(IF((YEAR(D92)+19)&lt;YEAR(E92),0,IF((YEAR(D92)+19)&gt;YEAR(E92),1,(12-MONTH(E92)+1)/12))) + (Q92)*(IF((YEAR(D92)+19)&lt;YEAR(E92),0,IF((YEAR(D92)+19)&gt;YEAR(E92),1,(12-MONTH(E92)+1)/12))))-((P92)*(IF((YEAR(D92)+19)&lt;YEAR(E92),0,IF((YEAR(D92)+19)&gt;YEAR(E92),1,(12-MONTH(E92)+1)/12))) + (R92)*(IF((YEAR(D92)+19)&lt;YEAR(E92),0,IF((YEAR(D92)+19)&gt;YEAR(E92),1,(12-MONTH(E92)+1)/12))))-(IF((((K92)*(IF(M92="",L92,IFERROR(IF(INDEX(Variablen!$I:$AT, MATCH(M92, Variablen!$A:$A, 0), MATCH((YEAR(D92)+19), Variablen!$I$3:$AT$3, 0))="",L92,INDEX(Variablen!$I:$AT, MATCH(M92, Variablen!$A:$A, 0), MATCH((YEAR(D92)+19), Variablen!$I$3:$AT$3, 0))),L92)))*(IF((YEAR(D92)+19)&lt;YEAR(E92),0,IF((YEAR(D92)+19)&gt;YEAR(E92),1,(12-MONTH(E92)+1)/12))) + (Q92)*(IF((YEAR(D92)+19)&lt;YEAR(E92),0,IF((YEAR(D92)+19)&gt;YEAR(E92),1,(12-MONTH(E92)+1)/12))))-((P92)*(IF((YEAR(D92)+19)&lt;YEAR(E92),0,IF((YEAR(D92)+19)&gt;YEAR(E92),1,(12-MONTH(E92)+1)/12))) + (R92)*(IF((YEAR(D92)+19)&lt;YEAR(E92),0,IF((YEAR(D92)+19)&gt;YEAR(E92),1,(12-MONTH(E92)+1)/12))))-(IF(OR(N92="",N92&lt;=0),0,(O92/N92)*(IF(OR(N92="",N92&lt;=0),0,IF((YEAR(D92)+19)&lt;YEAR(E92),0,IF((YEAR(D92)+19)&gt;=YEAR(E92)+N92,0,IF((YEAR(D92)+19)=YEAR(E92),(12-MONTH(E92)+1)/12,1))))))))&gt;0,(((K92)*(IF(M92="",L92,IFERROR(IF(INDEX(Variablen!$I:$AT, MATCH(M92, Variablen!$A:$A, 0), MATCH((YEAR(D92)+19), Variablen!$I$3:$AT$3, 0))="",L92,INDEX(Variablen!$I:$AT, MATCH(M92, Variablen!$A:$A, 0), MATCH((YEAR(D92)+19), Variablen!$I$3:$AT$3, 0))),L92)))*(IF((YEAR(D92)+19)&lt;YEAR(E92),0,IF((YEAR(D92)+19)&gt;YEAR(E92),1,(12-MONTH(E92)+1)/12))) + (Q92)*(IF((YEAR(D92)+19)&lt;YEAR(E92),0,IF((YEAR(D92)+19)&gt;YEAR(E92),1,(12-MONTH(E92)+1)/12))))-((P92)*(IF((YEAR(D92)+19)&lt;YEAR(E92),0,IF((YEAR(D92)+19)&gt;YEAR(E92),1,(12-MONTH(E92)+1)/12))) + (R92)*(IF((YEAR(D92)+19)&lt;YEAR(E92),0,IF((YEAR(D92)+19)&gt;YEAR(E92),1,(12-MONTH(E92)+1)/12))))-(IF(OR(N92="",N92&lt;=0),0,(O92/N92)*(IF(OR(N92="",N92&lt;=0),0,IF((YEAR(D92)+19)&lt;YEAR(E92),0,IF((YEAR(D92)+19)&gt;=YEAR(E92)+N92,0,IF((YEAR(D92)+19)=YEAR(E92),(12-MONTH(E92)+1)/12,1))))))))*TaxRate,0))-IF(19=0,O92,0))</f>
        <v/>
      </c>
      <c r="AM92" s="29">
        <f>IF(A92="","",((K92)*(IF(M92="",L92,IFERROR(IF(INDEX(Variablen!$I:$AT, MATCH(M92, Variablen!$A:$A, 0), MATCH((YEAR(D92)+20), Variablen!$I$3:$AT$3, 0))="",L92,INDEX(Variablen!$I:$AT, MATCH(M92, Variablen!$A:$A, 0), MATCH((YEAR(D92)+20), Variablen!$I$3:$AT$3, 0))),L92)))*(IF((YEAR(D92)+20)&lt;YEAR(E92),0,IF((YEAR(D92)+20)&gt;YEAR(E92),1,(12-MONTH(E92)+1)/12))) + (Q92)*(IF((YEAR(D92)+20)&lt;YEAR(E92),0,IF((YEAR(D92)+20)&gt;YEAR(E92),1,(12-MONTH(E92)+1)/12))))-((P92)*(IF((YEAR(D92)+20)&lt;YEAR(E92),0,IF((YEAR(D92)+20)&gt;YEAR(E92),1,(12-MONTH(E92)+1)/12))) + (R92)*(IF((YEAR(D92)+20)&lt;YEAR(E92),0,IF((YEAR(D92)+20)&gt;YEAR(E92),1,(12-MONTH(E92)+1)/12))))-(IF((((K92)*(IF(M92="",L92,IFERROR(IF(INDEX(Variablen!$I:$AT, MATCH(M92, Variablen!$A:$A, 0), MATCH((YEAR(D92)+20), Variablen!$I$3:$AT$3, 0))="",L92,INDEX(Variablen!$I:$AT, MATCH(M92, Variablen!$A:$A, 0), MATCH((YEAR(D92)+20), Variablen!$I$3:$AT$3, 0))),L92)))*(IF((YEAR(D92)+20)&lt;YEAR(E92),0,IF((YEAR(D92)+20)&gt;YEAR(E92),1,(12-MONTH(E92)+1)/12))) + (Q92)*(IF((YEAR(D92)+20)&lt;YEAR(E92),0,IF((YEAR(D92)+20)&gt;YEAR(E92),1,(12-MONTH(E92)+1)/12))))-((P92)*(IF((YEAR(D92)+20)&lt;YEAR(E92),0,IF((YEAR(D92)+20)&gt;YEAR(E92),1,(12-MONTH(E92)+1)/12))) + (R92)*(IF((YEAR(D92)+20)&lt;YEAR(E92),0,IF((YEAR(D92)+20)&gt;YEAR(E92),1,(12-MONTH(E92)+1)/12))))-(IF(OR(N92="",N92&lt;=0),0,(O92/N92)*(IF(OR(N92="",N92&lt;=0),0,IF((YEAR(D92)+20)&lt;YEAR(E92),0,IF((YEAR(D92)+20)&gt;=YEAR(E92)+N92,0,IF((YEAR(D92)+20)=YEAR(E92),(12-MONTH(E92)+1)/12,1))))))))&gt;0,(((K92)*(IF(M92="",L92,IFERROR(IF(INDEX(Variablen!$I:$AT, MATCH(M92, Variablen!$A:$A, 0), MATCH((YEAR(D92)+20), Variablen!$I$3:$AT$3, 0))="",L92,INDEX(Variablen!$I:$AT, MATCH(M92, Variablen!$A:$A, 0), MATCH((YEAR(D92)+20), Variablen!$I$3:$AT$3, 0))),L92)))*(IF((YEAR(D92)+20)&lt;YEAR(E92),0,IF((YEAR(D92)+20)&gt;YEAR(E92),1,(12-MONTH(E92)+1)/12))) + (Q92)*(IF((YEAR(D92)+20)&lt;YEAR(E92),0,IF((YEAR(D92)+20)&gt;YEAR(E92),1,(12-MONTH(E92)+1)/12))))-((P92)*(IF((YEAR(D92)+20)&lt;YEAR(E92),0,IF((YEAR(D92)+20)&gt;YEAR(E92),1,(12-MONTH(E92)+1)/12))) + (R92)*(IF((YEAR(D92)+20)&lt;YEAR(E92),0,IF((YEAR(D92)+20)&gt;YEAR(E92),1,(12-MONTH(E92)+1)/12))))-(IF(OR(N92="",N92&lt;=0),0,(O92/N92)*(IF(OR(N92="",N92&lt;=0),0,IF((YEAR(D92)+20)&lt;YEAR(E92),0,IF((YEAR(D92)+20)&gt;=YEAR(E92)+N92,0,IF((YEAR(D92)+20)=YEAR(E92),(12-MONTH(E92)+1)/12,1))))))))*TaxRate,0))-IF(20=0,O92,0))</f>
        <v/>
      </c>
      <c r="AN92" s="29">
        <f>IF(A92="","",S92)</f>
        <v/>
      </c>
      <c r="AO92" s="29">
        <f>IF(A92="","",AN92+T92)</f>
        <v/>
      </c>
      <c r="AP92" s="29">
        <f>IF(A92="","",AO92+U92)</f>
        <v/>
      </c>
      <c r="AQ92" s="29">
        <f>IF(A92="","",AP92+V92)</f>
        <v/>
      </c>
      <c r="AR92" s="29">
        <f>IF(A92="","",AQ92+W92)</f>
        <v/>
      </c>
      <c r="AS92" s="29">
        <f>IF(A92="","",AR92+X92)</f>
        <v/>
      </c>
      <c r="AT92" s="29">
        <f>IF(A92="","",AS92+Y92)</f>
        <v/>
      </c>
      <c r="AU92" s="29">
        <f>IF(A92="","",AT92+Z92)</f>
        <v/>
      </c>
      <c r="AV92" s="29">
        <f>IF(A92="","",AU92+AA92)</f>
        <v/>
      </c>
      <c r="AW92" s="29">
        <f>IF(A92="","",AV92+AB92)</f>
        <v/>
      </c>
      <c r="AX92" s="29">
        <f>IF(A92="","",AW92+AC92)</f>
        <v/>
      </c>
      <c r="AY92" s="29">
        <f>IF(A92="","",AX92+AD92)</f>
        <v/>
      </c>
      <c r="AZ92" s="29">
        <f>IF(A92="","",AY92+AE92)</f>
        <v/>
      </c>
      <c r="BA92" s="29">
        <f>IF(A92="","",AZ92+AF92)</f>
        <v/>
      </c>
      <c r="BB92" s="29">
        <f>IF(A92="","",BA92+AG92)</f>
        <v/>
      </c>
      <c r="BC92" s="29">
        <f>IF(A92="","",BB92+AH92)</f>
        <v/>
      </c>
      <c r="BD92" s="29">
        <f>IF(A92="","",BC92+AI92)</f>
        <v/>
      </c>
      <c r="BE92" s="29">
        <f>IF(A92="","",BD92+AJ92)</f>
        <v/>
      </c>
      <c r="BF92" s="29">
        <f>IF(A92="","",BE92+AK92)</f>
        <v/>
      </c>
      <c r="BG92" s="29">
        <f>IF(A92="","",BF92+AL92)</f>
        <v/>
      </c>
      <c r="BH92" s="29">
        <f>IF(A92="","",BG92+AM92)</f>
        <v/>
      </c>
      <c r="BI92" s="36">
        <f>IF(A92="","",(K92)*(IF((YEAR(D92)+0)&lt;YEAR(E92),0,IF((YEAR(D92)+0)&gt;YEAR(E92),1,(12-MONTH(E92)+1)/12)))*(1/(1+DiscountRate)^0))</f>
        <v/>
      </c>
      <c r="BJ92" s="36">
        <f>IF(A92="","",(K92)*(IF((YEAR(D92)+1)&lt;YEAR(E92),0,IF((YEAR(D92)+1)&gt;YEAR(E92),1,(12-MONTH(E92)+1)/12)))*(1/(1+DiscountRate)^1))</f>
        <v/>
      </c>
      <c r="BK92" s="36">
        <f>IF(A92="","",(K92)*(IF((YEAR(D92)+2)&lt;YEAR(E92),0,IF((YEAR(D92)+2)&gt;YEAR(E92),1,(12-MONTH(E92)+1)/12)))*(1/(1+DiscountRate)^2))</f>
        <v/>
      </c>
      <c r="BL92" s="36">
        <f>IF(A92="","",(K92)*(IF((YEAR(D92)+3)&lt;YEAR(E92),0,IF((YEAR(D92)+3)&gt;YEAR(E92),1,(12-MONTH(E92)+1)/12)))*(1/(1+DiscountRate)^3))</f>
        <v/>
      </c>
      <c r="BM92" s="36">
        <f>IF(A92="","",(K92)*(IF((YEAR(D92)+4)&lt;YEAR(E92),0,IF((YEAR(D92)+4)&gt;YEAR(E92),1,(12-MONTH(E92)+1)/12)))*(1/(1+DiscountRate)^4))</f>
        <v/>
      </c>
      <c r="BN92" s="36">
        <f>IF(A92="","",(K92)*(IF((YEAR(D92)+5)&lt;YEAR(E92),0,IF((YEAR(D92)+5)&gt;YEAR(E92),1,(12-MONTH(E92)+1)/12)))*(1/(1+DiscountRate)^5))</f>
        <v/>
      </c>
      <c r="BO92" s="36">
        <f>IF(A92="","",(K92)*(IF((YEAR(D92)+6)&lt;YEAR(E92),0,IF((YEAR(D92)+6)&gt;YEAR(E92),1,(12-MONTH(E92)+1)/12)))*(1/(1+DiscountRate)^6))</f>
        <v/>
      </c>
      <c r="BP92" s="36">
        <f>IF(A92="","",(K92)*(IF((YEAR(D92)+7)&lt;YEAR(E92),0,IF((YEAR(D92)+7)&gt;YEAR(E92),1,(12-MONTH(E92)+1)/12)))*(1/(1+DiscountRate)^7))</f>
        <v/>
      </c>
      <c r="BQ92" s="36">
        <f>IF(A92="","",(K92)*(IF((YEAR(D92)+8)&lt;YEAR(E92),0,IF((YEAR(D92)+8)&gt;YEAR(E92),1,(12-MONTH(E92)+1)/12)))*(1/(1+DiscountRate)^8))</f>
        <v/>
      </c>
      <c r="BR92" s="36">
        <f>IF(A92="","",(K92)*(IF((YEAR(D92)+9)&lt;YEAR(E92),0,IF((YEAR(D92)+9)&gt;YEAR(E92),1,(12-MONTH(E92)+1)/12)))*(1/(1+DiscountRate)^9))</f>
        <v/>
      </c>
      <c r="BS92" s="36">
        <f>IF(A92="","",(K92)*(IF((YEAR(D92)+10)&lt;YEAR(E92),0,IF((YEAR(D92)+10)&gt;YEAR(E92),1,(12-MONTH(E92)+1)/12)))*(1/(1+DiscountRate)^10))</f>
        <v/>
      </c>
      <c r="BT92" s="36">
        <f>IF(A92="","",(K92)*(IF((YEAR(D92)+11)&lt;YEAR(E92),0,IF((YEAR(D92)+11)&gt;YEAR(E92),1,(12-MONTH(E92)+1)/12)))*(1/(1+DiscountRate)^11))</f>
        <v/>
      </c>
      <c r="BU92" s="36">
        <f>IF(A92="","",(K92)*(IF((YEAR(D92)+12)&lt;YEAR(E92),0,IF((YEAR(D92)+12)&gt;YEAR(E92),1,(12-MONTH(E92)+1)/12)))*(1/(1+DiscountRate)^12))</f>
        <v/>
      </c>
      <c r="BV92" s="36">
        <f>IF(A92="","",(K92)*(IF((YEAR(D92)+13)&lt;YEAR(E92),0,IF((YEAR(D92)+13)&gt;YEAR(E92),1,(12-MONTH(E92)+1)/12)))*(1/(1+DiscountRate)^13))</f>
        <v/>
      </c>
      <c r="BW92" s="36">
        <f>IF(A92="","",(K92)*(IF((YEAR(D92)+14)&lt;YEAR(E92),0,IF((YEAR(D92)+14)&gt;YEAR(E92),1,(12-MONTH(E92)+1)/12)))*(1/(1+DiscountRate)^14))</f>
        <v/>
      </c>
      <c r="BX92" s="36">
        <f>IF(A92="","",(K92)*(IF((YEAR(D92)+15)&lt;YEAR(E92),0,IF((YEAR(D92)+15)&gt;YEAR(E92),1,(12-MONTH(E92)+1)/12)))*(1/(1+DiscountRate)^15))</f>
        <v/>
      </c>
      <c r="BY92" s="36">
        <f>IF(A92="","",(K92)*(IF((YEAR(D92)+16)&lt;YEAR(E92),0,IF((YEAR(D92)+16)&gt;YEAR(E92),1,(12-MONTH(E92)+1)/12)))*(1/(1+DiscountRate)^16))</f>
        <v/>
      </c>
      <c r="BZ92" s="36">
        <f>IF(A92="","",(K92)*(IF((YEAR(D92)+17)&lt;YEAR(E92),0,IF((YEAR(D92)+17)&gt;YEAR(E92),1,(12-MONTH(E92)+1)/12)))*(1/(1+DiscountRate)^17))</f>
        <v/>
      </c>
      <c r="CA92" s="36">
        <f>IF(A92="","",(K92)*(IF((YEAR(D92)+18)&lt;YEAR(E92),0,IF((YEAR(D92)+18)&gt;YEAR(E92),1,(12-MONTH(E92)+1)/12)))*(1/(1+DiscountRate)^18))</f>
        <v/>
      </c>
      <c r="CB92" s="36">
        <f>IF(A92="","",(K92)*(IF((YEAR(D92)+19)&lt;YEAR(E92),0,IF((YEAR(D92)+19)&gt;YEAR(E92),1,(12-MONTH(E92)+1)/12)))*(1/(1+DiscountRate)^19))</f>
        <v/>
      </c>
      <c r="CC92" s="36">
        <f>IF(A92="","",(K92)*(IF((YEAR(D92)+20)&lt;YEAR(E92),0,IF((YEAR(D92)+20)&gt;YEAR(E92),1,(12-MONTH(E92)+1)/12)))*(1/(1+DiscountRate)^20))</f>
        <v/>
      </c>
      <c r="CD92" s="29">
        <f>IF(A92="","",S92/(1+DiscountRate)^0+T92/(1+DiscountRate)^1+U92/(1+DiscountRate)^2+V92/(1+DiscountRate)^3+W92/(1+DiscountRate)^4+X92/(1+DiscountRate)^5+Y92/(1+DiscountRate)^6+Z92/(1+DiscountRate)^7+AA92/(1+DiscountRate)^8+AB92/(1+DiscountRate)^9+AC92/(1+DiscountRate)^10+AD92/(1+DiscountRate)^11+AE92/(1+DiscountRate)^12+AF92/(1+DiscountRate)^13+AG92/(1+DiscountRate)^14+AH92/(1+DiscountRate)^15+AI92/(1+DiscountRate)^16+AJ92/(1+DiscountRate)^17+AK92/(1+DiscountRate)^18+AL92/(1+DiscountRate)^19+AM92/(1+DiscountRate)^20)</f>
        <v/>
      </c>
      <c r="CE92" s="37">
        <f>IF(A92="","",IFERROR(IRR(OFFSET(S92,0,0,1,MIN(HorizonYears,20)+1)),"n/a"))</f>
        <v/>
      </c>
      <c r="CF92" s="28">
        <f>IF(A92="","",IFERROR(MATCH(TRUE,OFFSET(AN92,0,0,1,MIN(HorizonYears,20)+1)&gt;=0,0)-1,"n/a"))</f>
        <v/>
      </c>
      <c r="CG92" s="36">
        <f>IF(A92="","",SUM(OFFSET(BI92,0,0,1,MIN(HorizonYears,20)+1)))</f>
        <v/>
      </c>
      <c r="CH92" s="36">
        <f>IF(A92="","",IFERROR(-CD92/CG92,"n/a"))</f>
        <v/>
      </c>
    </row>
    <row r="93">
      <c r="A93" s="6">
        <f>Actions!A91</f>
        <v/>
      </c>
      <c r="B93" s="6">
        <f>Actions!B91</f>
        <v/>
      </c>
      <c r="C93" s="6">
        <f>Actions!D91</f>
        <v/>
      </c>
      <c r="D93" s="35">
        <f>Actions!E91</f>
        <v/>
      </c>
      <c r="E93" s="35">
        <f>Actions!F91</f>
        <v/>
      </c>
      <c r="F93" s="6">
        <f>Actions!G91</f>
        <v/>
      </c>
      <c r="G93" s="6">
        <f>Actions!H91</f>
        <v/>
      </c>
      <c r="H93" s="29">
        <f>Actions!I91</f>
        <v/>
      </c>
      <c r="I93" s="6">
        <f>Actions!J91</f>
        <v/>
      </c>
      <c r="J93" s="16">
        <f>Actions!K91</f>
        <v/>
      </c>
      <c r="K93" s="16">
        <f>IF(A93="","",IF(I93="%",H93*J93,J93))</f>
        <v/>
      </c>
      <c r="L93" s="16">
        <f>Actions!L91</f>
        <v/>
      </c>
      <c r="M93" s="6">
        <f>Actions!M91</f>
        <v/>
      </c>
      <c r="N93" s="28">
        <f>Actions!N91</f>
        <v/>
      </c>
      <c r="O93" s="29">
        <f>Actions!T91</f>
        <v/>
      </c>
      <c r="P93" s="29">
        <f>Actions!Y91</f>
        <v/>
      </c>
      <c r="Q93" s="29">
        <f>Actions!Z91</f>
        <v/>
      </c>
      <c r="R93" s="29">
        <f>Actions!AA91</f>
        <v/>
      </c>
      <c r="S93" s="29">
        <f>IF(A93="","",((K93)*(IF(M93="",L93,IFERROR(IF(INDEX(Variablen!$I:$AT, MATCH(M93, Variablen!$A:$A, 0), MATCH((YEAR(D93)+0), Variablen!$I$3:$AT$3, 0))="",L93,INDEX(Variablen!$I:$AT, MATCH(M93, Variablen!$A:$A, 0), MATCH((YEAR(D93)+0), Variablen!$I$3:$AT$3, 0))),L93)))*(IF((YEAR(D93)+0)&lt;YEAR(E93),0,IF((YEAR(D93)+0)&gt;YEAR(E93),1,(12-MONTH(E93)+1)/12))) + (Q93)*(IF((YEAR(D93)+0)&lt;YEAR(E93),0,IF((YEAR(D93)+0)&gt;YEAR(E93),1,(12-MONTH(E93)+1)/12))))-((P93)*(IF((YEAR(D93)+0)&lt;YEAR(E93),0,IF((YEAR(D93)+0)&gt;YEAR(E93),1,(12-MONTH(E93)+1)/12))) + (R93)*(IF((YEAR(D93)+0)&lt;YEAR(E93),0,IF((YEAR(D93)+0)&gt;YEAR(E93),1,(12-MONTH(E93)+1)/12))))-(IF((((K93)*(IF(M93="",L93,IFERROR(IF(INDEX(Variablen!$I:$AT, MATCH(M93, Variablen!$A:$A, 0), MATCH((YEAR(D93)+0), Variablen!$I$3:$AT$3, 0))="",L93,INDEX(Variablen!$I:$AT, MATCH(M93, Variablen!$A:$A, 0), MATCH((YEAR(D93)+0), Variablen!$I$3:$AT$3, 0))),L93)))*(IF((YEAR(D93)+0)&lt;YEAR(E93),0,IF((YEAR(D93)+0)&gt;YEAR(E93),1,(12-MONTH(E93)+1)/12))) + (Q93)*(IF((YEAR(D93)+0)&lt;YEAR(E93),0,IF((YEAR(D93)+0)&gt;YEAR(E93),1,(12-MONTH(E93)+1)/12))))-((P93)*(IF((YEAR(D93)+0)&lt;YEAR(E93),0,IF((YEAR(D93)+0)&gt;YEAR(E93),1,(12-MONTH(E93)+1)/12))) + (R93)*(IF((YEAR(D93)+0)&lt;YEAR(E93),0,IF((YEAR(D93)+0)&gt;YEAR(E93),1,(12-MONTH(E93)+1)/12))))-(IF(OR(N93="",N93&lt;=0),0,(O93/N93)*(IF(OR(N93="",N93&lt;=0),0,IF((YEAR(D93)+0)&lt;YEAR(E93),0,IF((YEAR(D93)+0)&gt;=YEAR(E93)+N93,0,IF((YEAR(D93)+0)=YEAR(E93),(12-MONTH(E93)+1)/12,1))))))))&gt;0,(((K93)*(IF(M93="",L93,IFERROR(IF(INDEX(Variablen!$I:$AT, MATCH(M93, Variablen!$A:$A, 0), MATCH((YEAR(D93)+0), Variablen!$I$3:$AT$3, 0))="",L93,INDEX(Variablen!$I:$AT, MATCH(M93, Variablen!$A:$A, 0), MATCH((YEAR(D93)+0), Variablen!$I$3:$AT$3, 0))),L93)))*(IF((YEAR(D93)+0)&lt;YEAR(E93),0,IF((YEAR(D93)+0)&gt;YEAR(E93),1,(12-MONTH(E93)+1)/12))) + (Q93)*(IF((YEAR(D93)+0)&lt;YEAR(E93),0,IF((YEAR(D93)+0)&gt;YEAR(E93),1,(12-MONTH(E93)+1)/12))))-((P93)*(IF((YEAR(D93)+0)&lt;YEAR(E93),0,IF((YEAR(D93)+0)&gt;YEAR(E93),1,(12-MONTH(E93)+1)/12))) + (R93)*(IF((YEAR(D93)+0)&lt;YEAR(E93),0,IF((YEAR(D93)+0)&gt;YEAR(E93),1,(12-MONTH(E93)+1)/12))))-(IF(OR(N93="",N93&lt;=0),0,(O93/N93)*(IF(OR(N93="",N93&lt;=0),0,IF((YEAR(D93)+0)&lt;YEAR(E93),0,IF((YEAR(D93)+0)&gt;=YEAR(E93)+N93,0,IF((YEAR(D93)+0)=YEAR(E93),(12-MONTH(E93)+1)/12,1))))))))*TaxRate,0))-IF(0=0,O93,0))</f>
        <v/>
      </c>
      <c r="T93" s="29">
        <f>IF(A93="","",((K93)*(IF(M93="",L93,IFERROR(IF(INDEX(Variablen!$I:$AT, MATCH(M93, Variablen!$A:$A, 0), MATCH((YEAR(D93)+1), Variablen!$I$3:$AT$3, 0))="",L93,INDEX(Variablen!$I:$AT, MATCH(M93, Variablen!$A:$A, 0), MATCH((YEAR(D93)+1), Variablen!$I$3:$AT$3, 0))),L93)))*(IF((YEAR(D93)+1)&lt;YEAR(E93),0,IF((YEAR(D93)+1)&gt;YEAR(E93),1,(12-MONTH(E93)+1)/12))) + (Q93)*(IF((YEAR(D93)+1)&lt;YEAR(E93),0,IF((YEAR(D93)+1)&gt;YEAR(E93),1,(12-MONTH(E93)+1)/12))))-((P93)*(IF((YEAR(D93)+1)&lt;YEAR(E93),0,IF((YEAR(D93)+1)&gt;YEAR(E93),1,(12-MONTH(E93)+1)/12))) + (R93)*(IF((YEAR(D93)+1)&lt;YEAR(E93),0,IF((YEAR(D93)+1)&gt;YEAR(E93),1,(12-MONTH(E93)+1)/12))))-(IF((((K93)*(IF(M93="",L93,IFERROR(IF(INDEX(Variablen!$I:$AT, MATCH(M93, Variablen!$A:$A, 0), MATCH((YEAR(D93)+1), Variablen!$I$3:$AT$3, 0))="",L93,INDEX(Variablen!$I:$AT, MATCH(M93, Variablen!$A:$A, 0), MATCH((YEAR(D93)+1), Variablen!$I$3:$AT$3, 0))),L93)))*(IF((YEAR(D93)+1)&lt;YEAR(E93),0,IF((YEAR(D93)+1)&gt;YEAR(E93),1,(12-MONTH(E93)+1)/12))) + (Q93)*(IF((YEAR(D93)+1)&lt;YEAR(E93),0,IF((YEAR(D93)+1)&gt;YEAR(E93),1,(12-MONTH(E93)+1)/12))))-((P93)*(IF((YEAR(D93)+1)&lt;YEAR(E93),0,IF((YEAR(D93)+1)&gt;YEAR(E93),1,(12-MONTH(E93)+1)/12))) + (R93)*(IF((YEAR(D93)+1)&lt;YEAR(E93),0,IF((YEAR(D93)+1)&gt;YEAR(E93),1,(12-MONTH(E93)+1)/12))))-(IF(OR(N93="",N93&lt;=0),0,(O93/N93)*(IF(OR(N93="",N93&lt;=0),0,IF((YEAR(D93)+1)&lt;YEAR(E93),0,IF((YEAR(D93)+1)&gt;=YEAR(E93)+N93,0,IF((YEAR(D93)+1)=YEAR(E93),(12-MONTH(E93)+1)/12,1))))))))&gt;0,(((K93)*(IF(M93="",L93,IFERROR(IF(INDEX(Variablen!$I:$AT, MATCH(M93, Variablen!$A:$A, 0), MATCH((YEAR(D93)+1), Variablen!$I$3:$AT$3, 0))="",L93,INDEX(Variablen!$I:$AT, MATCH(M93, Variablen!$A:$A, 0), MATCH((YEAR(D93)+1), Variablen!$I$3:$AT$3, 0))),L93)))*(IF((YEAR(D93)+1)&lt;YEAR(E93),0,IF((YEAR(D93)+1)&gt;YEAR(E93),1,(12-MONTH(E93)+1)/12))) + (Q93)*(IF((YEAR(D93)+1)&lt;YEAR(E93),0,IF((YEAR(D93)+1)&gt;YEAR(E93),1,(12-MONTH(E93)+1)/12))))-((P93)*(IF((YEAR(D93)+1)&lt;YEAR(E93),0,IF((YEAR(D93)+1)&gt;YEAR(E93),1,(12-MONTH(E93)+1)/12))) + (R93)*(IF((YEAR(D93)+1)&lt;YEAR(E93),0,IF((YEAR(D93)+1)&gt;YEAR(E93),1,(12-MONTH(E93)+1)/12))))-(IF(OR(N93="",N93&lt;=0),0,(O93/N93)*(IF(OR(N93="",N93&lt;=0),0,IF((YEAR(D93)+1)&lt;YEAR(E93),0,IF((YEAR(D93)+1)&gt;=YEAR(E93)+N93,0,IF((YEAR(D93)+1)=YEAR(E93),(12-MONTH(E93)+1)/12,1))))))))*TaxRate,0))-IF(1=0,O93,0))</f>
        <v/>
      </c>
      <c r="U93" s="29">
        <f>IF(A93="","",((K93)*(IF(M93="",L93,IFERROR(IF(INDEX(Variablen!$I:$AT, MATCH(M93, Variablen!$A:$A, 0), MATCH((YEAR(D93)+2), Variablen!$I$3:$AT$3, 0))="",L93,INDEX(Variablen!$I:$AT, MATCH(M93, Variablen!$A:$A, 0), MATCH((YEAR(D93)+2), Variablen!$I$3:$AT$3, 0))),L93)))*(IF((YEAR(D93)+2)&lt;YEAR(E93),0,IF((YEAR(D93)+2)&gt;YEAR(E93),1,(12-MONTH(E93)+1)/12))) + (Q93)*(IF((YEAR(D93)+2)&lt;YEAR(E93),0,IF((YEAR(D93)+2)&gt;YEAR(E93),1,(12-MONTH(E93)+1)/12))))-((P93)*(IF((YEAR(D93)+2)&lt;YEAR(E93),0,IF((YEAR(D93)+2)&gt;YEAR(E93),1,(12-MONTH(E93)+1)/12))) + (R93)*(IF((YEAR(D93)+2)&lt;YEAR(E93),0,IF((YEAR(D93)+2)&gt;YEAR(E93),1,(12-MONTH(E93)+1)/12))))-(IF((((K93)*(IF(M93="",L93,IFERROR(IF(INDEX(Variablen!$I:$AT, MATCH(M93, Variablen!$A:$A, 0), MATCH((YEAR(D93)+2), Variablen!$I$3:$AT$3, 0))="",L93,INDEX(Variablen!$I:$AT, MATCH(M93, Variablen!$A:$A, 0), MATCH((YEAR(D93)+2), Variablen!$I$3:$AT$3, 0))),L93)))*(IF((YEAR(D93)+2)&lt;YEAR(E93),0,IF((YEAR(D93)+2)&gt;YEAR(E93),1,(12-MONTH(E93)+1)/12))) + (Q93)*(IF((YEAR(D93)+2)&lt;YEAR(E93),0,IF((YEAR(D93)+2)&gt;YEAR(E93),1,(12-MONTH(E93)+1)/12))))-((P93)*(IF((YEAR(D93)+2)&lt;YEAR(E93),0,IF((YEAR(D93)+2)&gt;YEAR(E93),1,(12-MONTH(E93)+1)/12))) + (R93)*(IF((YEAR(D93)+2)&lt;YEAR(E93),0,IF((YEAR(D93)+2)&gt;YEAR(E93),1,(12-MONTH(E93)+1)/12))))-(IF(OR(N93="",N93&lt;=0),0,(O93/N93)*(IF(OR(N93="",N93&lt;=0),0,IF((YEAR(D93)+2)&lt;YEAR(E93),0,IF((YEAR(D93)+2)&gt;=YEAR(E93)+N93,0,IF((YEAR(D93)+2)=YEAR(E93),(12-MONTH(E93)+1)/12,1))))))))&gt;0,(((K93)*(IF(M93="",L93,IFERROR(IF(INDEX(Variablen!$I:$AT, MATCH(M93, Variablen!$A:$A, 0), MATCH((YEAR(D93)+2), Variablen!$I$3:$AT$3, 0))="",L93,INDEX(Variablen!$I:$AT, MATCH(M93, Variablen!$A:$A, 0), MATCH((YEAR(D93)+2), Variablen!$I$3:$AT$3, 0))),L93)))*(IF((YEAR(D93)+2)&lt;YEAR(E93),0,IF((YEAR(D93)+2)&gt;YEAR(E93),1,(12-MONTH(E93)+1)/12))) + (Q93)*(IF((YEAR(D93)+2)&lt;YEAR(E93),0,IF((YEAR(D93)+2)&gt;YEAR(E93),1,(12-MONTH(E93)+1)/12))))-((P93)*(IF((YEAR(D93)+2)&lt;YEAR(E93),0,IF((YEAR(D93)+2)&gt;YEAR(E93),1,(12-MONTH(E93)+1)/12))) + (R93)*(IF((YEAR(D93)+2)&lt;YEAR(E93),0,IF((YEAR(D93)+2)&gt;YEAR(E93),1,(12-MONTH(E93)+1)/12))))-(IF(OR(N93="",N93&lt;=0),0,(O93/N93)*(IF(OR(N93="",N93&lt;=0),0,IF((YEAR(D93)+2)&lt;YEAR(E93),0,IF((YEAR(D93)+2)&gt;=YEAR(E93)+N93,0,IF((YEAR(D93)+2)=YEAR(E93),(12-MONTH(E93)+1)/12,1))))))))*TaxRate,0))-IF(2=0,O93,0))</f>
        <v/>
      </c>
      <c r="V93" s="29">
        <f>IF(A93="","",((K93)*(IF(M93="",L93,IFERROR(IF(INDEX(Variablen!$I:$AT, MATCH(M93, Variablen!$A:$A, 0), MATCH((YEAR(D93)+3), Variablen!$I$3:$AT$3, 0))="",L93,INDEX(Variablen!$I:$AT, MATCH(M93, Variablen!$A:$A, 0), MATCH((YEAR(D93)+3), Variablen!$I$3:$AT$3, 0))),L93)))*(IF((YEAR(D93)+3)&lt;YEAR(E93),0,IF((YEAR(D93)+3)&gt;YEAR(E93),1,(12-MONTH(E93)+1)/12))) + (Q93)*(IF((YEAR(D93)+3)&lt;YEAR(E93),0,IF((YEAR(D93)+3)&gt;YEAR(E93),1,(12-MONTH(E93)+1)/12))))-((P93)*(IF((YEAR(D93)+3)&lt;YEAR(E93),0,IF((YEAR(D93)+3)&gt;YEAR(E93),1,(12-MONTH(E93)+1)/12))) + (R93)*(IF((YEAR(D93)+3)&lt;YEAR(E93),0,IF((YEAR(D93)+3)&gt;YEAR(E93),1,(12-MONTH(E93)+1)/12))))-(IF((((K93)*(IF(M93="",L93,IFERROR(IF(INDEX(Variablen!$I:$AT, MATCH(M93, Variablen!$A:$A, 0), MATCH((YEAR(D93)+3), Variablen!$I$3:$AT$3, 0))="",L93,INDEX(Variablen!$I:$AT, MATCH(M93, Variablen!$A:$A, 0), MATCH((YEAR(D93)+3), Variablen!$I$3:$AT$3, 0))),L93)))*(IF((YEAR(D93)+3)&lt;YEAR(E93),0,IF((YEAR(D93)+3)&gt;YEAR(E93),1,(12-MONTH(E93)+1)/12))) + (Q93)*(IF((YEAR(D93)+3)&lt;YEAR(E93),0,IF((YEAR(D93)+3)&gt;YEAR(E93),1,(12-MONTH(E93)+1)/12))))-((P93)*(IF((YEAR(D93)+3)&lt;YEAR(E93),0,IF((YEAR(D93)+3)&gt;YEAR(E93),1,(12-MONTH(E93)+1)/12))) + (R93)*(IF((YEAR(D93)+3)&lt;YEAR(E93),0,IF((YEAR(D93)+3)&gt;YEAR(E93),1,(12-MONTH(E93)+1)/12))))-(IF(OR(N93="",N93&lt;=0),0,(O93/N93)*(IF(OR(N93="",N93&lt;=0),0,IF((YEAR(D93)+3)&lt;YEAR(E93),0,IF((YEAR(D93)+3)&gt;=YEAR(E93)+N93,0,IF((YEAR(D93)+3)=YEAR(E93),(12-MONTH(E93)+1)/12,1))))))))&gt;0,(((K93)*(IF(M93="",L93,IFERROR(IF(INDEX(Variablen!$I:$AT, MATCH(M93, Variablen!$A:$A, 0), MATCH((YEAR(D93)+3), Variablen!$I$3:$AT$3, 0))="",L93,INDEX(Variablen!$I:$AT, MATCH(M93, Variablen!$A:$A, 0), MATCH((YEAR(D93)+3), Variablen!$I$3:$AT$3, 0))),L93)))*(IF((YEAR(D93)+3)&lt;YEAR(E93),0,IF((YEAR(D93)+3)&gt;YEAR(E93),1,(12-MONTH(E93)+1)/12))) + (Q93)*(IF((YEAR(D93)+3)&lt;YEAR(E93),0,IF((YEAR(D93)+3)&gt;YEAR(E93),1,(12-MONTH(E93)+1)/12))))-((P93)*(IF((YEAR(D93)+3)&lt;YEAR(E93),0,IF((YEAR(D93)+3)&gt;YEAR(E93),1,(12-MONTH(E93)+1)/12))) + (R93)*(IF((YEAR(D93)+3)&lt;YEAR(E93),0,IF((YEAR(D93)+3)&gt;YEAR(E93),1,(12-MONTH(E93)+1)/12))))-(IF(OR(N93="",N93&lt;=0),0,(O93/N93)*(IF(OR(N93="",N93&lt;=0),0,IF((YEAR(D93)+3)&lt;YEAR(E93),0,IF((YEAR(D93)+3)&gt;=YEAR(E93)+N93,0,IF((YEAR(D93)+3)=YEAR(E93),(12-MONTH(E93)+1)/12,1))))))))*TaxRate,0))-IF(3=0,O93,0))</f>
        <v/>
      </c>
      <c r="W93" s="29">
        <f>IF(A93="","",((K93)*(IF(M93="",L93,IFERROR(IF(INDEX(Variablen!$I:$AT, MATCH(M93, Variablen!$A:$A, 0), MATCH((YEAR(D93)+4), Variablen!$I$3:$AT$3, 0))="",L93,INDEX(Variablen!$I:$AT, MATCH(M93, Variablen!$A:$A, 0), MATCH((YEAR(D93)+4), Variablen!$I$3:$AT$3, 0))),L93)))*(IF((YEAR(D93)+4)&lt;YEAR(E93),0,IF((YEAR(D93)+4)&gt;YEAR(E93),1,(12-MONTH(E93)+1)/12))) + (Q93)*(IF((YEAR(D93)+4)&lt;YEAR(E93),0,IF((YEAR(D93)+4)&gt;YEAR(E93),1,(12-MONTH(E93)+1)/12))))-((P93)*(IF((YEAR(D93)+4)&lt;YEAR(E93),0,IF((YEAR(D93)+4)&gt;YEAR(E93),1,(12-MONTH(E93)+1)/12))) + (R93)*(IF((YEAR(D93)+4)&lt;YEAR(E93),0,IF((YEAR(D93)+4)&gt;YEAR(E93),1,(12-MONTH(E93)+1)/12))))-(IF((((K93)*(IF(M93="",L93,IFERROR(IF(INDEX(Variablen!$I:$AT, MATCH(M93, Variablen!$A:$A, 0), MATCH((YEAR(D93)+4), Variablen!$I$3:$AT$3, 0))="",L93,INDEX(Variablen!$I:$AT, MATCH(M93, Variablen!$A:$A, 0), MATCH((YEAR(D93)+4), Variablen!$I$3:$AT$3, 0))),L93)))*(IF((YEAR(D93)+4)&lt;YEAR(E93),0,IF((YEAR(D93)+4)&gt;YEAR(E93),1,(12-MONTH(E93)+1)/12))) + (Q93)*(IF((YEAR(D93)+4)&lt;YEAR(E93),0,IF((YEAR(D93)+4)&gt;YEAR(E93),1,(12-MONTH(E93)+1)/12))))-((P93)*(IF((YEAR(D93)+4)&lt;YEAR(E93),0,IF((YEAR(D93)+4)&gt;YEAR(E93),1,(12-MONTH(E93)+1)/12))) + (R93)*(IF((YEAR(D93)+4)&lt;YEAR(E93),0,IF((YEAR(D93)+4)&gt;YEAR(E93),1,(12-MONTH(E93)+1)/12))))-(IF(OR(N93="",N93&lt;=0),0,(O93/N93)*(IF(OR(N93="",N93&lt;=0),0,IF((YEAR(D93)+4)&lt;YEAR(E93),0,IF((YEAR(D93)+4)&gt;=YEAR(E93)+N93,0,IF((YEAR(D93)+4)=YEAR(E93),(12-MONTH(E93)+1)/12,1))))))))&gt;0,(((K93)*(IF(M93="",L93,IFERROR(IF(INDEX(Variablen!$I:$AT, MATCH(M93, Variablen!$A:$A, 0), MATCH((YEAR(D93)+4), Variablen!$I$3:$AT$3, 0))="",L93,INDEX(Variablen!$I:$AT, MATCH(M93, Variablen!$A:$A, 0), MATCH((YEAR(D93)+4), Variablen!$I$3:$AT$3, 0))),L93)))*(IF((YEAR(D93)+4)&lt;YEAR(E93),0,IF((YEAR(D93)+4)&gt;YEAR(E93),1,(12-MONTH(E93)+1)/12))) + (Q93)*(IF((YEAR(D93)+4)&lt;YEAR(E93),0,IF((YEAR(D93)+4)&gt;YEAR(E93),1,(12-MONTH(E93)+1)/12))))-((P93)*(IF((YEAR(D93)+4)&lt;YEAR(E93),0,IF((YEAR(D93)+4)&gt;YEAR(E93),1,(12-MONTH(E93)+1)/12))) + (R93)*(IF((YEAR(D93)+4)&lt;YEAR(E93),0,IF((YEAR(D93)+4)&gt;YEAR(E93),1,(12-MONTH(E93)+1)/12))))-(IF(OR(N93="",N93&lt;=0),0,(O93/N93)*(IF(OR(N93="",N93&lt;=0),0,IF((YEAR(D93)+4)&lt;YEAR(E93),0,IF((YEAR(D93)+4)&gt;=YEAR(E93)+N93,0,IF((YEAR(D93)+4)=YEAR(E93),(12-MONTH(E93)+1)/12,1))))))))*TaxRate,0))-IF(4=0,O93,0))</f>
        <v/>
      </c>
      <c r="X93" s="29">
        <f>IF(A93="","",((K93)*(IF(M93="",L93,IFERROR(IF(INDEX(Variablen!$I:$AT, MATCH(M93, Variablen!$A:$A, 0), MATCH((YEAR(D93)+5), Variablen!$I$3:$AT$3, 0))="",L93,INDEX(Variablen!$I:$AT, MATCH(M93, Variablen!$A:$A, 0), MATCH((YEAR(D93)+5), Variablen!$I$3:$AT$3, 0))),L93)))*(IF((YEAR(D93)+5)&lt;YEAR(E93),0,IF((YEAR(D93)+5)&gt;YEAR(E93),1,(12-MONTH(E93)+1)/12))) + (Q93)*(IF((YEAR(D93)+5)&lt;YEAR(E93),0,IF((YEAR(D93)+5)&gt;YEAR(E93),1,(12-MONTH(E93)+1)/12))))-((P93)*(IF((YEAR(D93)+5)&lt;YEAR(E93),0,IF((YEAR(D93)+5)&gt;YEAR(E93),1,(12-MONTH(E93)+1)/12))) + (R93)*(IF((YEAR(D93)+5)&lt;YEAR(E93),0,IF((YEAR(D93)+5)&gt;YEAR(E93),1,(12-MONTH(E93)+1)/12))))-(IF((((K93)*(IF(M93="",L93,IFERROR(IF(INDEX(Variablen!$I:$AT, MATCH(M93, Variablen!$A:$A, 0), MATCH((YEAR(D93)+5), Variablen!$I$3:$AT$3, 0))="",L93,INDEX(Variablen!$I:$AT, MATCH(M93, Variablen!$A:$A, 0), MATCH((YEAR(D93)+5), Variablen!$I$3:$AT$3, 0))),L93)))*(IF((YEAR(D93)+5)&lt;YEAR(E93),0,IF((YEAR(D93)+5)&gt;YEAR(E93),1,(12-MONTH(E93)+1)/12))) + (Q93)*(IF((YEAR(D93)+5)&lt;YEAR(E93),0,IF((YEAR(D93)+5)&gt;YEAR(E93),1,(12-MONTH(E93)+1)/12))))-((P93)*(IF((YEAR(D93)+5)&lt;YEAR(E93),0,IF((YEAR(D93)+5)&gt;YEAR(E93),1,(12-MONTH(E93)+1)/12))) + (R93)*(IF((YEAR(D93)+5)&lt;YEAR(E93),0,IF((YEAR(D93)+5)&gt;YEAR(E93),1,(12-MONTH(E93)+1)/12))))-(IF(OR(N93="",N93&lt;=0),0,(O93/N93)*(IF(OR(N93="",N93&lt;=0),0,IF((YEAR(D93)+5)&lt;YEAR(E93),0,IF((YEAR(D93)+5)&gt;=YEAR(E93)+N93,0,IF((YEAR(D93)+5)=YEAR(E93),(12-MONTH(E93)+1)/12,1))))))))&gt;0,(((K93)*(IF(M93="",L93,IFERROR(IF(INDEX(Variablen!$I:$AT, MATCH(M93, Variablen!$A:$A, 0), MATCH((YEAR(D93)+5), Variablen!$I$3:$AT$3, 0))="",L93,INDEX(Variablen!$I:$AT, MATCH(M93, Variablen!$A:$A, 0), MATCH((YEAR(D93)+5), Variablen!$I$3:$AT$3, 0))),L93)))*(IF((YEAR(D93)+5)&lt;YEAR(E93),0,IF((YEAR(D93)+5)&gt;YEAR(E93),1,(12-MONTH(E93)+1)/12))) + (Q93)*(IF((YEAR(D93)+5)&lt;YEAR(E93),0,IF((YEAR(D93)+5)&gt;YEAR(E93),1,(12-MONTH(E93)+1)/12))))-((P93)*(IF((YEAR(D93)+5)&lt;YEAR(E93),0,IF((YEAR(D93)+5)&gt;YEAR(E93),1,(12-MONTH(E93)+1)/12))) + (R93)*(IF((YEAR(D93)+5)&lt;YEAR(E93),0,IF((YEAR(D93)+5)&gt;YEAR(E93),1,(12-MONTH(E93)+1)/12))))-(IF(OR(N93="",N93&lt;=0),0,(O93/N93)*(IF(OR(N93="",N93&lt;=0),0,IF((YEAR(D93)+5)&lt;YEAR(E93),0,IF((YEAR(D93)+5)&gt;=YEAR(E93)+N93,0,IF((YEAR(D93)+5)=YEAR(E93),(12-MONTH(E93)+1)/12,1))))))))*TaxRate,0))-IF(5=0,O93,0))</f>
        <v/>
      </c>
      <c r="Y93" s="29">
        <f>IF(A93="","",((K93)*(IF(M93="",L93,IFERROR(IF(INDEX(Variablen!$I:$AT, MATCH(M93, Variablen!$A:$A, 0), MATCH((YEAR(D93)+6), Variablen!$I$3:$AT$3, 0))="",L93,INDEX(Variablen!$I:$AT, MATCH(M93, Variablen!$A:$A, 0), MATCH((YEAR(D93)+6), Variablen!$I$3:$AT$3, 0))),L93)))*(IF((YEAR(D93)+6)&lt;YEAR(E93),0,IF((YEAR(D93)+6)&gt;YEAR(E93),1,(12-MONTH(E93)+1)/12))) + (Q93)*(IF((YEAR(D93)+6)&lt;YEAR(E93),0,IF((YEAR(D93)+6)&gt;YEAR(E93),1,(12-MONTH(E93)+1)/12))))-((P93)*(IF((YEAR(D93)+6)&lt;YEAR(E93),0,IF((YEAR(D93)+6)&gt;YEAR(E93),1,(12-MONTH(E93)+1)/12))) + (R93)*(IF((YEAR(D93)+6)&lt;YEAR(E93),0,IF((YEAR(D93)+6)&gt;YEAR(E93),1,(12-MONTH(E93)+1)/12))))-(IF((((K93)*(IF(M93="",L93,IFERROR(IF(INDEX(Variablen!$I:$AT, MATCH(M93, Variablen!$A:$A, 0), MATCH((YEAR(D93)+6), Variablen!$I$3:$AT$3, 0))="",L93,INDEX(Variablen!$I:$AT, MATCH(M93, Variablen!$A:$A, 0), MATCH((YEAR(D93)+6), Variablen!$I$3:$AT$3, 0))),L93)))*(IF((YEAR(D93)+6)&lt;YEAR(E93),0,IF((YEAR(D93)+6)&gt;YEAR(E93),1,(12-MONTH(E93)+1)/12))) + (Q93)*(IF((YEAR(D93)+6)&lt;YEAR(E93),0,IF((YEAR(D93)+6)&gt;YEAR(E93),1,(12-MONTH(E93)+1)/12))))-((P93)*(IF((YEAR(D93)+6)&lt;YEAR(E93),0,IF((YEAR(D93)+6)&gt;YEAR(E93),1,(12-MONTH(E93)+1)/12))) + (R93)*(IF((YEAR(D93)+6)&lt;YEAR(E93),0,IF((YEAR(D93)+6)&gt;YEAR(E93),1,(12-MONTH(E93)+1)/12))))-(IF(OR(N93="",N93&lt;=0),0,(O93/N93)*(IF(OR(N93="",N93&lt;=0),0,IF((YEAR(D93)+6)&lt;YEAR(E93),0,IF((YEAR(D93)+6)&gt;=YEAR(E93)+N93,0,IF((YEAR(D93)+6)=YEAR(E93),(12-MONTH(E93)+1)/12,1))))))))&gt;0,(((K93)*(IF(M93="",L93,IFERROR(IF(INDEX(Variablen!$I:$AT, MATCH(M93, Variablen!$A:$A, 0), MATCH((YEAR(D93)+6), Variablen!$I$3:$AT$3, 0))="",L93,INDEX(Variablen!$I:$AT, MATCH(M93, Variablen!$A:$A, 0), MATCH((YEAR(D93)+6), Variablen!$I$3:$AT$3, 0))),L93)))*(IF((YEAR(D93)+6)&lt;YEAR(E93),0,IF((YEAR(D93)+6)&gt;YEAR(E93),1,(12-MONTH(E93)+1)/12))) + (Q93)*(IF((YEAR(D93)+6)&lt;YEAR(E93),0,IF((YEAR(D93)+6)&gt;YEAR(E93),1,(12-MONTH(E93)+1)/12))))-((P93)*(IF((YEAR(D93)+6)&lt;YEAR(E93),0,IF((YEAR(D93)+6)&gt;YEAR(E93),1,(12-MONTH(E93)+1)/12))) + (R93)*(IF((YEAR(D93)+6)&lt;YEAR(E93),0,IF((YEAR(D93)+6)&gt;YEAR(E93),1,(12-MONTH(E93)+1)/12))))-(IF(OR(N93="",N93&lt;=0),0,(O93/N93)*(IF(OR(N93="",N93&lt;=0),0,IF((YEAR(D93)+6)&lt;YEAR(E93),0,IF((YEAR(D93)+6)&gt;=YEAR(E93)+N93,0,IF((YEAR(D93)+6)=YEAR(E93),(12-MONTH(E93)+1)/12,1))))))))*TaxRate,0))-IF(6=0,O93,0))</f>
        <v/>
      </c>
      <c r="Z93" s="29">
        <f>IF(A93="","",((K93)*(IF(M93="",L93,IFERROR(IF(INDEX(Variablen!$I:$AT, MATCH(M93, Variablen!$A:$A, 0), MATCH((YEAR(D93)+7), Variablen!$I$3:$AT$3, 0))="",L93,INDEX(Variablen!$I:$AT, MATCH(M93, Variablen!$A:$A, 0), MATCH((YEAR(D93)+7), Variablen!$I$3:$AT$3, 0))),L93)))*(IF((YEAR(D93)+7)&lt;YEAR(E93),0,IF((YEAR(D93)+7)&gt;YEAR(E93),1,(12-MONTH(E93)+1)/12))) + (Q93)*(IF((YEAR(D93)+7)&lt;YEAR(E93),0,IF((YEAR(D93)+7)&gt;YEAR(E93),1,(12-MONTH(E93)+1)/12))))-((P93)*(IF((YEAR(D93)+7)&lt;YEAR(E93),0,IF((YEAR(D93)+7)&gt;YEAR(E93),1,(12-MONTH(E93)+1)/12))) + (R93)*(IF((YEAR(D93)+7)&lt;YEAR(E93),0,IF((YEAR(D93)+7)&gt;YEAR(E93),1,(12-MONTH(E93)+1)/12))))-(IF((((K93)*(IF(M93="",L93,IFERROR(IF(INDEX(Variablen!$I:$AT, MATCH(M93, Variablen!$A:$A, 0), MATCH((YEAR(D93)+7), Variablen!$I$3:$AT$3, 0))="",L93,INDEX(Variablen!$I:$AT, MATCH(M93, Variablen!$A:$A, 0), MATCH((YEAR(D93)+7), Variablen!$I$3:$AT$3, 0))),L93)))*(IF((YEAR(D93)+7)&lt;YEAR(E93),0,IF((YEAR(D93)+7)&gt;YEAR(E93),1,(12-MONTH(E93)+1)/12))) + (Q93)*(IF((YEAR(D93)+7)&lt;YEAR(E93),0,IF((YEAR(D93)+7)&gt;YEAR(E93),1,(12-MONTH(E93)+1)/12))))-((P93)*(IF((YEAR(D93)+7)&lt;YEAR(E93),0,IF((YEAR(D93)+7)&gt;YEAR(E93),1,(12-MONTH(E93)+1)/12))) + (R93)*(IF((YEAR(D93)+7)&lt;YEAR(E93),0,IF((YEAR(D93)+7)&gt;YEAR(E93),1,(12-MONTH(E93)+1)/12))))-(IF(OR(N93="",N93&lt;=0),0,(O93/N93)*(IF(OR(N93="",N93&lt;=0),0,IF((YEAR(D93)+7)&lt;YEAR(E93),0,IF((YEAR(D93)+7)&gt;=YEAR(E93)+N93,0,IF((YEAR(D93)+7)=YEAR(E93),(12-MONTH(E93)+1)/12,1))))))))&gt;0,(((K93)*(IF(M93="",L93,IFERROR(IF(INDEX(Variablen!$I:$AT, MATCH(M93, Variablen!$A:$A, 0), MATCH((YEAR(D93)+7), Variablen!$I$3:$AT$3, 0))="",L93,INDEX(Variablen!$I:$AT, MATCH(M93, Variablen!$A:$A, 0), MATCH((YEAR(D93)+7), Variablen!$I$3:$AT$3, 0))),L93)))*(IF((YEAR(D93)+7)&lt;YEAR(E93),0,IF((YEAR(D93)+7)&gt;YEAR(E93),1,(12-MONTH(E93)+1)/12))) + (Q93)*(IF((YEAR(D93)+7)&lt;YEAR(E93),0,IF((YEAR(D93)+7)&gt;YEAR(E93),1,(12-MONTH(E93)+1)/12))))-((P93)*(IF((YEAR(D93)+7)&lt;YEAR(E93),0,IF((YEAR(D93)+7)&gt;YEAR(E93),1,(12-MONTH(E93)+1)/12))) + (R93)*(IF((YEAR(D93)+7)&lt;YEAR(E93),0,IF((YEAR(D93)+7)&gt;YEAR(E93),1,(12-MONTH(E93)+1)/12))))-(IF(OR(N93="",N93&lt;=0),0,(O93/N93)*(IF(OR(N93="",N93&lt;=0),0,IF((YEAR(D93)+7)&lt;YEAR(E93),0,IF((YEAR(D93)+7)&gt;=YEAR(E93)+N93,0,IF((YEAR(D93)+7)=YEAR(E93),(12-MONTH(E93)+1)/12,1))))))))*TaxRate,0))-IF(7=0,O93,0))</f>
        <v/>
      </c>
      <c r="AA93" s="29">
        <f>IF(A93="","",((K93)*(IF(M93="",L93,IFERROR(IF(INDEX(Variablen!$I:$AT, MATCH(M93, Variablen!$A:$A, 0), MATCH((YEAR(D93)+8), Variablen!$I$3:$AT$3, 0))="",L93,INDEX(Variablen!$I:$AT, MATCH(M93, Variablen!$A:$A, 0), MATCH((YEAR(D93)+8), Variablen!$I$3:$AT$3, 0))),L93)))*(IF((YEAR(D93)+8)&lt;YEAR(E93),0,IF((YEAR(D93)+8)&gt;YEAR(E93),1,(12-MONTH(E93)+1)/12))) + (Q93)*(IF((YEAR(D93)+8)&lt;YEAR(E93),0,IF((YEAR(D93)+8)&gt;YEAR(E93),1,(12-MONTH(E93)+1)/12))))-((P93)*(IF((YEAR(D93)+8)&lt;YEAR(E93),0,IF((YEAR(D93)+8)&gt;YEAR(E93),1,(12-MONTH(E93)+1)/12))) + (R93)*(IF((YEAR(D93)+8)&lt;YEAR(E93),0,IF((YEAR(D93)+8)&gt;YEAR(E93),1,(12-MONTH(E93)+1)/12))))-(IF((((K93)*(IF(M93="",L93,IFERROR(IF(INDEX(Variablen!$I:$AT, MATCH(M93, Variablen!$A:$A, 0), MATCH((YEAR(D93)+8), Variablen!$I$3:$AT$3, 0))="",L93,INDEX(Variablen!$I:$AT, MATCH(M93, Variablen!$A:$A, 0), MATCH((YEAR(D93)+8), Variablen!$I$3:$AT$3, 0))),L93)))*(IF((YEAR(D93)+8)&lt;YEAR(E93),0,IF((YEAR(D93)+8)&gt;YEAR(E93),1,(12-MONTH(E93)+1)/12))) + (Q93)*(IF((YEAR(D93)+8)&lt;YEAR(E93),0,IF((YEAR(D93)+8)&gt;YEAR(E93),1,(12-MONTH(E93)+1)/12))))-((P93)*(IF((YEAR(D93)+8)&lt;YEAR(E93),0,IF((YEAR(D93)+8)&gt;YEAR(E93),1,(12-MONTH(E93)+1)/12))) + (R93)*(IF((YEAR(D93)+8)&lt;YEAR(E93),0,IF((YEAR(D93)+8)&gt;YEAR(E93),1,(12-MONTH(E93)+1)/12))))-(IF(OR(N93="",N93&lt;=0),0,(O93/N93)*(IF(OR(N93="",N93&lt;=0),0,IF((YEAR(D93)+8)&lt;YEAR(E93),0,IF((YEAR(D93)+8)&gt;=YEAR(E93)+N93,0,IF((YEAR(D93)+8)=YEAR(E93),(12-MONTH(E93)+1)/12,1))))))))&gt;0,(((K93)*(IF(M93="",L93,IFERROR(IF(INDEX(Variablen!$I:$AT, MATCH(M93, Variablen!$A:$A, 0), MATCH((YEAR(D93)+8), Variablen!$I$3:$AT$3, 0))="",L93,INDEX(Variablen!$I:$AT, MATCH(M93, Variablen!$A:$A, 0), MATCH((YEAR(D93)+8), Variablen!$I$3:$AT$3, 0))),L93)))*(IF((YEAR(D93)+8)&lt;YEAR(E93),0,IF((YEAR(D93)+8)&gt;YEAR(E93),1,(12-MONTH(E93)+1)/12))) + (Q93)*(IF((YEAR(D93)+8)&lt;YEAR(E93),0,IF((YEAR(D93)+8)&gt;YEAR(E93),1,(12-MONTH(E93)+1)/12))))-((P93)*(IF((YEAR(D93)+8)&lt;YEAR(E93),0,IF((YEAR(D93)+8)&gt;YEAR(E93),1,(12-MONTH(E93)+1)/12))) + (R93)*(IF((YEAR(D93)+8)&lt;YEAR(E93),0,IF((YEAR(D93)+8)&gt;YEAR(E93),1,(12-MONTH(E93)+1)/12))))-(IF(OR(N93="",N93&lt;=0),0,(O93/N93)*(IF(OR(N93="",N93&lt;=0),0,IF((YEAR(D93)+8)&lt;YEAR(E93),0,IF((YEAR(D93)+8)&gt;=YEAR(E93)+N93,0,IF((YEAR(D93)+8)=YEAR(E93),(12-MONTH(E93)+1)/12,1))))))))*TaxRate,0))-IF(8=0,O93,0))</f>
        <v/>
      </c>
      <c r="AB93" s="29">
        <f>IF(A93="","",((K93)*(IF(M93="",L93,IFERROR(IF(INDEX(Variablen!$I:$AT, MATCH(M93, Variablen!$A:$A, 0), MATCH((YEAR(D93)+9), Variablen!$I$3:$AT$3, 0))="",L93,INDEX(Variablen!$I:$AT, MATCH(M93, Variablen!$A:$A, 0), MATCH((YEAR(D93)+9), Variablen!$I$3:$AT$3, 0))),L93)))*(IF((YEAR(D93)+9)&lt;YEAR(E93),0,IF((YEAR(D93)+9)&gt;YEAR(E93),1,(12-MONTH(E93)+1)/12))) + (Q93)*(IF((YEAR(D93)+9)&lt;YEAR(E93),0,IF((YEAR(D93)+9)&gt;YEAR(E93),1,(12-MONTH(E93)+1)/12))))-((P93)*(IF((YEAR(D93)+9)&lt;YEAR(E93),0,IF((YEAR(D93)+9)&gt;YEAR(E93),1,(12-MONTH(E93)+1)/12))) + (R93)*(IF((YEAR(D93)+9)&lt;YEAR(E93),0,IF((YEAR(D93)+9)&gt;YEAR(E93),1,(12-MONTH(E93)+1)/12))))-(IF((((K93)*(IF(M93="",L93,IFERROR(IF(INDEX(Variablen!$I:$AT, MATCH(M93, Variablen!$A:$A, 0), MATCH((YEAR(D93)+9), Variablen!$I$3:$AT$3, 0))="",L93,INDEX(Variablen!$I:$AT, MATCH(M93, Variablen!$A:$A, 0), MATCH((YEAR(D93)+9), Variablen!$I$3:$AT$3, 0))),L93)))*(IF((YEAR(D93)+9)&lt;YEAR(E93),0,IF((YEAR(D93)+9)&gt;YEAR(E93),1,(12-MONTH(E93)+1)/12))) + (Q93)*(IF((YEAR(D93)+9)&lt;YEAR(E93),0,IF((YEAR(D93)+9)&gt;YEAR(E93),1,(12-MONTH(E93)+1)/12))))-((P93)*(IF((YEAR(D93)+9)&lt;YEAR(E93),0,IF((YEAR(D93)+9)&gt;YEAR(E93),1,(12-MONTH(E93)+1)/12))) + (R93)*(IF((YEAR(D93)+9)&lt;YEAR(E93),0,IF((YEAR(D93)+9)&gt;YEAR(E93),1,(12-MONTH(E93)+1)/12))))-(IF(OR(N93="",N93&lt;=0),0,(O93/N93)*(IF(OR(N93="",N93&lt;=0),0,IF((YEAR(D93)+9)&lt;YEAR(E93),0,IF((YEAR(D93)+9)&gt;=YEAR(E93)+N93,0,IF((YEAR(D93)+9)=YEAR(E93),(12-MONTH(E93)+1)/12,1))))))))&gt;0,(((K93)*(IF(M93="",L93,IFERROR(IF(INDEX(Variablen!$I:$AT, MATCH(M93, Variablen!$A:$A, 0), MATCH((YEAR(D93)+9), Variablen!$I$3:$AT$3, 0))="",L93,INDEX(Variablen!$I:$AT, MATCH(M93, Variablen!$A:$A, 0), MATCH((YEAR(D93)+9), Variablen!$I$3:$AT$3, 0))),L93)))*(IF((YEAR(D93)+9)&lt;YEAR(E93),0,IF((YEAR(D93)+9)&gt;YEAR(E93),1,(12-MONTH(E93)+1)/12))) + (Q93)*(IF((YEAR(D93)+9)&lt;YEAR(E93),0,IF((YEAR(D93)+9)&gt;YEAR(E93),1,(12-MONTH(E93)+1)/12))))-((P93)*(IF((YEAR(D93)+9)&lt;YEAR(E93),0,IF((YEAR(D93)+9)&gt;YEAR(E93),1,(12-MONTH(E93)+1)/12))) + (R93)*(IF((YEAR(D93)+9)&lt;YEAR(E93),0,IF((YEAR(D93)+9)&gt;YEAR(E93),1,(12-MONTH(E93)+1)/12))))-(IF(OR(N93="",N93&lt;=0),0,(O93/N93)*(IF(OR(N93="",N93&lt;=0),0,IF((YEAR(D93)+9)&lt;YEAR(E93),0,IF((YEAR(D93)+9)&gt;=YEAR(E93)+N93,0,IF((YEAR(D93)+9)=YEAR(E93),(12-MONTH(E93)+1)/12,1))))))))*TaxRate,0))-IF(9=0,O93,0))</f>
        <v/>
      </c>
      <c r="AC93" s="29">
        <f>IF(A93="","",((K93)*(IF(M93="",L93,IFERROR(IF(INDEX(Variablen!$I:$AT, MATCH(M93, Variablen!$A:$A, 0), MATCH((YEAR(D93)+10), Variablen!$I$3:$AT$3, 0))="",L93,INDEX(Variablen!$I:$AT, MATCH(M93, Variablen!$A:$A, 0), MATCH((YEAR(D93)+10), Variablen!$I$3:$AT$3, 0))),L93)))*(IF((YEAR(D93)+10)&lt;YEAR(E93),0,IF((YEAR(D93)+10)&gt;YEAR(E93),1,(12-MONTH(E93)+1)/12))) + (Q93)*(IF((YEAR(D93)+10)&lt;YEAR(E93),0,IF((YEAR(D93)+10)&gt;YEAR(E93),1,(12-MONTH(E93)+1)/12))))-((P93)*(IF((YEAR(D93)+10)&lt;YEAR(E93),0,IF((YEAR(D93)+10)&gt;YEAR(E93),1,(12-MONTH(E93)+1)/12))) + (R93)*(IF((YEAR(D93)+10)&lt;YEAR(E93),0,IF((YEAR(D93)+10)&gt;YEAR(E93),1,(12-MONTH(E93)+1)/12))))-(IF((((K93)*(IF(M93="",L93,IFERROR(IF(INDEX(Variablen!$I:$AT, MATCH(M93, Variablen!$A:$A, 0), MATCH((YEAR(D93)+10), Variablen!$I$3:$AT$3, 0))="",L93,INDEX(Variablen!$I:$AT, MATCH(M93, Variablen!$A:$A, 0), MATCH((YEAR(D93)+10), Variablen!$I$3:$AT$3, 0))),L93)))*(IF((YEAR(D93)+10)&lt;YEAR(E93),0,IF((YEAR(D93)+10)&gt;YEAR(E93),1,(12-MONTH(E93)+1)/12))) + (Q93)*(IF((YEAR(D93)+10)&lt;YEAR(E93),0,IF((YEAR(D93)+10)&gt;YEAR(E93),1,(12-MONTH(E93)+1)/12))))-((P93)*(IF((YEAR(D93)+10)&lt;YEAR(E93),0,IF((YEAR(D93)+10)&gt;YEAR(E93),1,(12-MONTH(E93)+1)/12))) + (R93)*(IF((YEAR(D93)+10)&lt;YEAR(E93),0,IF((YEAR(D93)+10)&gt;YEAR(E93),1,(12-MONTH(E93)+1)/12))))-(IF(OR(N93="",N93&lt;=0),0,(O93/N93)*(IF(OR(N93="",N93&lt;=0),0,IF((YEAR(D93)+10)&lt;YEAR(E93),0,IF((YEAR(D93)+10)&gt;=YEAR(E93)+N93,0,IF((YEAR(D93)+10)=YEAR(E93),(12-MONTH(E93)+1)/12,1))))))))&gt;0,(((K93)*(IF(M93="",L93,IFERROR(IF(INDEX(Variablen!$I:$AT, MATCH(M93, Variablen!$A:$A, 0), MATCH((YEAR(D93)+10), Variablen!$I$3:$AT$3, 0))="",L93,INDEX(Variablen!$I:$AT, MATCH(M93, Variablen!$A:$A, 0), MATCH((YEAR(D93)+10), Variablen!$I$3:$AT$3, 0))),L93)))*(IF((YEAR(D93)+10)&lt;YEAR(E93),0,IF((YEAR(D93)+10)&gt;YEAR(E93),1,(12-MONTH(E93)+1)/12))) + (Q93)*(IF((YEAR(D93)+10)&lt;YEAR(E93),0,IF((YEAR(D93)+10)&gt;YEAR(E93),1,(12-MONTH(E93)+1)/12))))-((P93)*(IF((YEAR(D93)+10)&lt;YEAR(E93),0,IF((YEAR(D93)+10)&gt;YEAR(E93),1,(12-MONTH(E93)+1)/12))) + (R93)*(IF((YEAR(D93)+10)&lt;YEAR(E93),0,IF((YEAR(D93)+10)&gt;YEAR(E93),1,(12-MONTH(E93)+1)/12))))-(IF(OR(N93="",N93&lt;=0),0,(O93/N93)*(IF(OR(N93="",N93&lt;=0),0,IF((YEAR(D93)+10)&lt;YEAR(E93),0,IF((YEAR(D93)+10)&gt;=YEAR(E93)+N93,0,IF((YEAR(D93)+10)=YEAR(E93),(12-MONTH(E93)+1)/12,1))))))))*TaxRate,0))-IF(10=0,O93,0))</f>
        <v/>
      </c>
      <c r="AD93" s="29">
        <f>IF(A93="","",((K93)*(IF(M93="",L93,IFERROR(IF(INDEX(Variablen!$I:$AT, MATCH(M93, Variablen!$A:$A, 0), MATCH((YEAR(D93)+11), Variablen!$I$3:$AT$3, 0))="",L93,INDEX(Variablen!$I:$AT, MATCH(M93, Variablen!$A:$A, 0), MATCH((YEAR(D93)+11), Variablen!$I$3:$AT$3, 0))),L93)))*(IF((YEAR(D93)+11)&lt;YEAR(E93),0,IF((YEAR(D93)+11)&gt;YEAR(E93),1,(12-MONTH(E93)+1)/12))) + (Q93)*(IF((YEAR(D93)+11)&lt;YEAR(E93),0,IF((YEAR(D93)+11)&gt;YEAR(E93),1,(12-MONTH(E93)+1)/12))))-((P93)*(IF((YEAR(D93)+11)&lt;YEAR(E93),0,IF((YEAR(D93)+11)&gt;YEAR(E93),1,(12-MONTH(E93)+1)/12))) + (R93)*(IF((YEAR(D93)+11)&lt;YEAR(E93),0,IF((YEAR(D93)+11)&gt;YEAR(E93),1,(12-MONTH(E93)+1)/12))))-(IF((((K93)*(IF(M93="",L93,IFERROR(IF(INDEX(Variablen!$I:$AT, MATCH(M93, Variablen!$A:$A, 0), MATCH((YEAR(D93)+11), Variablen!$I$3:$AT$3, 0))="",L93,INDEX(Variablen!$I:$AT, MATCH(M93, Variablen!$A:$A, 0), MATCH((YEAR(D93)+11), Variablen!$I$3:$AT$3, 0))),L93)))*(IF((YEAR(D93)+11)&lt;YEAR(E93),0,IF((YEAR(D93)+11)&gt;YEAR(E93),1,(12-MONTH(E93)+1)/12))) + (Q93)*(IF((YEAR(D93)+11)&lt;YEAR(E93),0,IF((YEAR(D93)+11)&gt;YEAR(E93),1,(12-MONTH(E93)+1)/12))))-((P93)*(IF((YEAR(D93)+11)&lt;YEAR(E93),0,IF((YEAR(D93)+11)&gt;YEAR(E93),1,(12-MONTH(E93)+1)/12))) + (R93)*(IF((YEAR(D93)+11)&lt;YEAR(E93),0,IF((YEAR(D93)+11)&gt;YEAR(E93),1,(12-MONTH(E93)+1)/12))))-(IF(OR(N93="",N93&lt;=0),0,(O93/N93)*(IF(OR(N93="",N93&lt;=0),0,IF((YEAR(D93)+11)&lt;YEAR(E93),0,IF((YEAR(D93)+11)&gt;=YEAR(E93)+N93,0,IF((YEAR(D93)+11)=YEAR(E93),(12-MONTH(E93)+1)/12,1))))))))&gt;0,(((K93)*(IF(M93="",L93,IFERROR(IF(INDEX(Variablen!$I:$AT, MATCH(M93, Variablen!$A:$A, 0), MATCH((YEAR(D93)+11), Variablen!$I$3:$AT$3, 0))="",L93,INDEX(Variablen!$I:$AT, MATCH(M93, Variablen!$A:$A, 0), MATCH((YEAR(D93)+11), Variablen!$I$3:$AT$3, 0))),L93)))*(IF((YEAR(D93)+11)&lt;YEAR(E93),0,IF((YEAR(D93)+11)&gt;YEAR(E93),1,(12-MONTH(E93)+1)/12))) + (Q93)*(IF((YEAR(D93)+11)&lt;YEAR(E93),0,IF((YEAR(D93)+11)&gt;YEAR(E93),1,(12-MONTH(E93)+1)/12))))-((P93)*(IF((YEAR(D93)+11)&lt;YEAR(E93),0,IF((YEAR(D93)+11)&gt;YEAR(E93),1,(12-MONTH(E93)+1)/12))) + (R93)*(IF((YEAR(D93)+11)&lt;YEAR(E93),0,IF((YEAR(D93)+11)&gt;YEAR(E93),1,(12-MONTH(E93)+1)/12))))-(IF(OR(N93="",N93&lt;=0),0,(O93/N93)*(IF(OR(N93="",N93&lt;=0),0,IF((YEAR(D93)+11)&lt;YEAR(E93),0,IF((YEAR(D93)+11)&gt;=YEAR(E93)+N93,0,IF((YEAR(D93)+11)=YEAR(E93),(12-MONTH(E93)+1)/12,1))))))))*TaxRate,0))-IF(11=0,O93,0))</f>
        <v/>
      </c>
      <c r="AE93" s="29">
        <f>IF(A93="","",((K93)*(IF(M93="",L93,IFERROR(IF(INDEX(Variablen!$I:$AT, MATCH(M93, Variablen!$A:$A, 0), MATCH((YEAR(D93)+12), Variablen!$I$3:$AT$3, 0))="",L93,INDEX(Variablen!$I:$AT, MATCH(M93, Variablen!$A:$A, 0), MATCH((YEAR(D93)+12), Variablen!$I$3:$AT$3, 0))),L93)))*(IF((YEAR(D93)+12)&lt;YEAR(E93),0,IF((YEAR(D93)+12)&gt;YEAR(E93),1,(12-MONTH(E93)+1)/12))) + (Q93)*(IF((YEAR(D93)+12)&lt;YEAR(E93),0,IF((YEAR(D93)+12)&gt;YEAR(E93),1,(12-MONTH(E93)+1)/12))))-((P93)*(IF((YEAR(D93)+12)&lt;YEAR(E93),0,IF((YEAR(D93)+12)&gt;YEAR(E93),1,(12-MONTH(E93)+1)/12))) + (R93)*(IF((YEAR(D93)+12)&lt;YEAR(E93),0,IF((YEAR(D93)+12)&gt;YEAR(E93),1,(12-MONTH(E93)+1)/12))))-(IF((((K93)*(IF(M93="",L93,IFERROR(IF(INDEX(Variablen!$I:$AT, MATCH(M93, Variablen!$A:$A, 0), MATCH((YEAR(D93)+12), Variablen!$I$3:$AT$3, 0))="",L93,INDEX(Variablen!$I:$AT, MATCH(M93, Variablen!$A:$A, 0), MATCH((YEAR(D93)+12), Variablen!$I$3:$AT$3, 0))),L93)))*(IF((YEAR(D93)+12)&lt;YEAR(E93),0,IF((YEAR(D93)+12)&gt;YEAR(E93),1,(12-MONTH(E93)+1)/12))) + (Q93)*(IF((YEAR(D93)+12)&lt;YEAR(E93),0,IF((YEAR(D93)+12)&gt;YEAR(E93),1,(12-MONTH(E93)+1)/12))))-((P93)*(IF((YEAR(D93)+12)&lt;YEAR(E93),0,IF((YEAR(D93)+12)&gt;YEAR(E93),1,(12-MONTH(E93)+1)/12))) + (R93)*(IF((YEAR(D93)+12)&lt;YEAR(E93),0,IF((YEAR(D93)+12)&gt;YEAR(E93),1,(12-MONTH(E93)+1)/12))))-(IF(OR(N93="",N93&lt;=0),0,(O93/N93)*(IF(OR(N93="",N93&lt;=0),0,IF((YEAR(D93)+12)&lt;YEAR(E93),0,IF((YEAR(D93)+12)&gt;=YEAR(E93)+N93,0,IF((YEAR(D93)+12)=YEAR(E93),(12-MONTH(E93)+1)/12,1))))))))&gt;0,(((K93)*(IF(M93="",L93,IFERROR(IF(INDEX(Variablen!$I:$AT, MATCH(M93, Variablen!$A:$A, 0), MATCH((YEAR(D93)+12), Variablen!$I$3:$AT$3, 0))="",L93,INDEX(Variablen!$I:$AT, MATCH(M93, Variablen!$A:$A, 0), MATCH((YEAR(D93)+12), Variablen!$I$3:$AT$3, 0))),L93)))*(IF((YEAR(D93)+12)&lt;YEAR(E93),0,IF((YEAR(D93)+12)&gt;YEAR(E93),1,(12-MONTH(E93)+1)/12))) + (Q93)*(IF((YEAR(D93)+12)&lt;YEAR(E93),0,IF((YEAR(D93)+12)&gt;YEAR(E93),1,(12-MONTH(E93)+1)/12))))-((P93)*(IF((YEAR(D93)+12)&lt;YEAR(E93),0,IF((YEAR(D93)+12)&gt;YEAR(E93),1,(12-MONTH(E93)+1)/12))) + (R93)*(IF((YEAR(D93)+12)&lt;YEAR(E93),0,IF((YEAR(D93)+12)&gt;YEAR(E93),1,(12-MONTH(E93)+1)/12))))-(IF(OR(N93="",N93&lt;=0),0,(O93/N93)*(IF(OR(N93="",N93&lt;=0),0,IF((YEAR(D93)+12)&lt;YEAR(E93),0,IF((YEAR(D93)+12)&gt;=YEAR(E93)+N93,0,IF((YEAR(D93)+12)=YEAR(E93),(12-MONTH(E93)+1)/12,1))))))))*TaxRate,0))-IF(12=0,O93,0))</f>
        <v/>
      </c>
      <c r="AF93" s="29">
        <f>IF(A93="","",((K93)*(IF(M93="",L93,IFERROR(IF(INDEX(Variablen!$I:$AT, MATCH(M93, Variablen!$A:$A, 0), MATCH((YEAR(D93)+13), Variablen!$I$3:$AT$3, 0))="",L93,INDEX(Variablen!$I:$AT, MATCH(M93, Variablen!$A:$A, 0), MATCH((YEAR(D93)+13), Variablen!$I$3:$AT$3, 0))),L93)))*(IF((YEAR(D93)+13)&lt;YEAR(E93),0,IF((YEAR(D93)+13)&gt;YEAR(E93),1,(12-MONTH(E93)+1)/12))) + (Q93)*(IF((YEAR(D93)+13)&lt;YEAR(E93),0,IF((YEAR(D93)+13)&gt;YEAR(E93),1,(12-MONTH(E93)+1)/12))))-((P93)*(IF((YEAR(D93)+13)&lt;YEAR(E93),0,IF((YEAR(D93)+13)&gt;YEAR(E93),1,(12-MONTH(E93)+1)/12))) + (R93)*(IF((YEAR(D93)+13)&lt;YEAR(E93),0,IF((YEAR(D93)+13)&gt;YEAR(E93),1,(12-MONTH(E93)+1)/12))))-(IF((((K93)*(IF(M93="",L93,IFERROR(IF(INDEX(Variablen!$I:$AT, MATCH(M93, Variablen!$A:$A, 0), MATCH((YEAR(D93)+13), Variablen!$I$3:$AT$3, 0))="",L93,INDEX(Variablen!$I:$AT, MATCH(M93, Variablen!$A:$A, 0), MATCH((YEAR(D93)+13), Variablen!$I$3:$AT$3, 0))),L93)))*(IF((YEAR(D93)+13)&lt;YEAR(E93),0,IF((YEAR(D93)+13)&gt;YEAR(E93),1,(12-MONTH(E93)+1)/12))) + (Q93)*(IF((YEAR(D93)+13)&lt;YEAR(E93),0,IF((YEAR(D93)+13)&gt;YEAR(E93),1,(12-MONTH(E93)+1)/12))))-((P93)*(IF((YEAR(D93)+13)&lt;YEAR(E93),0,IF((YEAR(D93)+13)&gt;YEAR(E93),1,(12-MONTH(E93)+1)/12))) + (R93)*(IF((YEAR(D93)+13)&lt;YEAR(E93),0,IF((YEAR(D93)+13)&gt;YEAR(E93),1,(12-MONTH(E93)+1)/12))))-(IF(OR(N93="",N93&lt;=0),0,(O93/N93)*(IF(OR(N93="",N93&lt;=0),0,IF((YEAR(D93)+13)&lt;YEAR(E93),0,IF((YEAR(D93)+13)&gt;=YEAR(E93)+N93,0,IF((YEAR(D93)+13)=YEAR(E93),(12-MONTH(E93)+1)/12,1))))))))&gt;0,(((K93)*(IF(M93="",L93,IFERROR(IF(INDEX(Variablen!$I:$AT, MATCH(M93, Variablen!$A:$A, 0), MATCH((YEAR(D93)+13), Variablen!$I$3:$AT$3, 0))="",L93,INDEX(Variablen!$I:$AT, MATCH(M93, Variablen!$A:$A, 0), MATCH((YEAR(D93)+13), Variablen!$I$3:$AT$3, 0))),L93)))*(IF((YEAR(D93)+13)&lt;YEAR(E93),0,IF((YEAR(D93)+13)&gt;YEAR(E93),1,(12-MONTH(E93)+1)/12))) + (Q93)*(IF((YEAR(D93)+13)&lt;YEAR(E93),0,IF((YEAR(D93)+13)&gt;YEAR(E93),1,(12-MONTH(E93)+1)/12))))-((P93)*(IF((YEAR(D93)+13)&lt;YEAR(E93),0,IF((YEAR(D93)+13)&gt;YEAR(E93),1,(12-MONTH(E93)+1)/12))) + (R93)*(IF((YEAR(D93)+13)&lt;YEAR(E93),0,IF((YEAR(D93)+13)&gt;YEAR(E93),1,(12-MONTH(E93)+1)/12))))-(IF(OR(N93="",N93&lt;=0),0,(O93/N93)*(IF(OR(N93="",N93&lt;=0),0,IF((YEAR(D93)+13)&lt;YEAR(E93),0,IF((YEAR(D93)+13)&gt;=YEAR(E93)+N93,0,IF((YEAR(D93)+13)=YEAR(E93),(12-MONTH(E93)+1)/12,1))))))))*TaxRate,0))-IF(13=0,O93,0))</f>
        <v/>
      </c>
      <c r="AG93" s="29">
        <f>IF(A93="","",((K93)*(IF(M93="",L93,IFERROR(IF(INDEX(Variablen!$I:$AT, MATCH(M93, Variablen!$A:$A, 0), MATCH((YEAR(D93)+14), Variablen!$I$3:$AT$3, 0))="",L93,INDEX(Variablen!$I:$AT, MATCH(M93, Variablen!$A:$A, 0), MATCH((YEAR(D93)+14), Variablen!$I$3:$AT$3, 0))),L93)))*(IF((YEAR(D93)+14)&lt;YEAR(E93),0,IF((YEAR(D93)+14)&gt;YEAR(E93),1,(12-MONTH(E93)+1)/12))) + (Q93)*(IF((YEAR(D93)+14)&lt;YEAR(E93),0,IF((YEAR(D93)+14)&gt;YEAR(E93),1,(12-MONTH(E93)+1)/12))))-((P93)*(IF((YEAR(D93)+14)&lt;YEAR(E93),0,IF((YEAR(D93)+14)&gt;YEAR(E93),1,(12-MONTH(E93)+1)/12))) + (R93)*(IF((YEAR(D93)+14)&lt;YEAR(E93),0,IF((YEAR(D93)+14)&gt;YEAR(E93),1,(12-MONTH(E93)+1)/12))))-(IF((((K93)*(IF(M93="",L93,IFERROR(IF(INDEX(Variablen!$I:$AT, MATCH(M93, Variablen!$A:$A, 0), MATCH((YEAR(D93)+14), Variablen!$I$3:$AT$3, 0))="",L93,INDEX(Variablen!$I:$AT, MATCH(M93, Variablen!$A:$A, 0), MATCH((YEAR(D93)+14), Variablen!$I$3:$AT$3, 0))),L93)))*(IF((YEAR(D93)+14)&lt;YEAR(E93),0,IF((YEAR(D93)+14)&gt;YEAR(E93),1,(12-MONTH(E93)+1)/12))) + (Q93)*(IF((YEAR(D93)+14)&lt;YEAR(E93),0,IF((YEAR(D93)+14)&gt;YEAR(E93),1,(12-MONTH(E93)+1)/12))))-((P93)*(IF((YEAR(D93)+14)&lt;YEAR(E93),0,IF((YEAR(D93)+14)&gt;YEAR(E93),1,(12-MONTH(E93)+1)/12))) + (R93)*(IF((YEAR(D93)+14)&lt;YEAR(E93),0,IF((YEAR(D93)+14)&gt;YEAR(E93),1,(12-MONTH(E93)+1)/12))))-(IF(OR(N93="",N93&lt;=0),0,(O93/N93)*(IF(OR(N93="",N93&lt;=0),0,IF((YEAR(D93)+14)&lt;YEAR(E93),0,IF((YEAR(D93)+14)&gt;=YEAR(E93)+N93,0,IF((YEAR(D93)+14)=YEAR(E93),(12-MONTH(E93)+1)/12,1))))))))&gt;0,(((K93)*(IF(M93="",L93,IFERROR(IF(INDEX(Variablen!$I:$AT, MATCH(M93, Variablen!$A:$A, 0), MATCH((YEAR(D93)+14), Variablen!$I$3:$AT$3, 0))="",L93,INDEX(Variablen!$I:$AT, MATCH(M93, Variablen!$A:$A, 0), MATCH((YEAR(D93)+14), Variablen!$I$3:$AT$3, 0))),L93)))*(IF((YEAR(D93)+14)&lt;YEAR(E93),0,IF((YEAR(D93)+14)&gt;YEAR(E93),1,(12-MONTH(E93)+1)/12))) + (Q93)*(IF((YEAR(D93)+14)&lt;YEAR(E93),0,IF((YEAR(D93)+14)&gt;YEAR(E93),1,(12-MONTH(E93)+1)/12))))-((P93)*(IF((YEAR(D93)+14)&lt;YEAR(E93),0,IF((YEAR(D93)+14)&gt;YEAR(E93),1,(12-MONTH(E93)+1)/12))) + (R93)*(IF((YEAR(D93)+14)&lt;YEAR(E93),0,IF((YEAR(D93)+14)&gt;YEAR(E93),1,(12-MONTH(E93)+1)/12))))-(IF(OR(N93="",N93&lt;=0),0,(O93/N93)*(IF(OR(N93="",N93&lt;=0),0,IF((YEAR(D93)+14)&lt;YEAR(E93),0,IF((YEAR(D93)+14)&gt;=YEAR(E93)+N93,0,IF((YEAR(D93)+14)=YEAR(E93),(12-MONTH(E93)+1)/12,1))))))))*TaxRate,0))-IF(14=0,O93,0))</f>
        <v/>
      </c>
      <c r="AH93" s="29">
        <f>IF(A93="","",((K93)*(IF(M93="",L93,IFERROR(IF(INDEX(Variablen!$I:$AT, MATCH(M93, Variablen!$A:$A, 0), MATCH((YEAR(D93)+15), Variablen!$I$3:$AT$3, 0))="",L93,INDEX(Variablen!$I:$AT, MATCH(M93, Variablen!$A:$A, 0), MATCH((YEAR(D93)+15), Variablen!$I$3:$AT$3, 0))),L93)))*(IF((YEAR(D93)+15)&lt;YEAR(E93),0,IF((YEAR(D93)+15)&gt;YEAR(E93),1,(12-MONTH(E93)+1)/12))) + (Q93)*(IF((YEAR(D93)+15)&lt;YEAR(E93),0,IF((YEAR(D93)+15)&gt;YEAR(E93),1,(12-MONTH(E93)+1)/12))))-((P93)*(IF((YEAR(D93)+15)&lt;YEAR(E93),0,IF((YEAR(D93)+15)&gt;YEAR(E93),1,(12-MONTH(E93)+1)/12))) + (R93)*(IF((YEAR(D93)+15)&lt;YEAR(E93),0,IF((YEAR(D93)+15)&gt;YEAR(E93),1,(12-MONTH(E93)+1)/12))))-(IF((((K93)*(IF(M93="",L93,IFERROR(IF(INDEX(Variablen!$I:$AT, MATCH(M93, Variablen!$A:$A, 0), MATCH((YEAR(D93)+15), Variablen!$I$3:$AT$3, 0))="",L93,INDEX(Variablen!$I:$AT, MATCH(M93, Variablen!$A:$A, 0), MATCH((YEAR(D93)+15), Variablen!$I$3:$AT$3, 0))),L93)))*(IF((YEAR(D93)+15)&lt;YEAR(E93),0,IF((YEAR(D93)+15)&gt;YEAR(E93),1,(12-MONTH(E93)+1)/12))) + (Q93)*(IF((YEAR(D93)+15)&lt;YEAR(E93),0,IF((YEAR(D93)+15)&gt;YEAR(E93),1,(12-MONTH(E93)+1)/12))))-((P93)*(IF((YEAR(D93)+15)&lt;YEAR(E93),0,IF((YEAR(D93)+15)&gt;YEAR(E93),1,(12-MONTH(E93)+1)/12))) + (R93)*(IF((YEAR(D93)+15)&lt;YEAR(E93),0,IF((YEAR(D93)+15)&gt;YEAR(E93),1,(12-MONTH(E93)+1)/12))))-(IF(OR(N93="",N93&lt;=0),0,(O93/N93)*(IF(OR(N93="",N93&lt;=0),0,IF((YEAR(D93)+15)&lt;YEAR(E93),0,IF((YEAR(D93)+15)&gt;=YEAR(E93)+N93,0,IF((YEAR(D93)+15)=YEAR(E93),(12-MONTH(E93)+1)/12,1))))))))&gt;0,(((K93)*(IF(M93="",L93,IFERROR(IF(INDEX(Variablen!$I:$AT, MATCH(M93, Variablen!$A:$A, 0), MATCH((YEAR(D93)+15), Variablen!$I$3:$AT$3, 0))="",L93,INDEX(Variablen!$I:$AT, MATCH(M93, Variablen!$A:$A, 0), MATCH((YEAR(D93)+15), Variablen!$I$3:$AT$3, 0))),L93)))*(IF((YEAR(D93)+15)&lt;YEAR(E93),0,IF((YEAR(D93)+15)&gt;YEAR(E93),1,(12-MONTH(E93)+1)/12))) + (Q93)*(IF((YEAR(D93)+15)&lt;YEAR(E93),0,IF((YEAR(D93)+15)&gt;YEAR(E93),1,(12-MONTH(E93)+1)/12))))-((P93)*(IF((YEAR(D93)+15)&lt;YEAR(E93),0,IF((YEAR(D93)+15)&gt;YEAR(E93),1,(12-MONTH(E93)+1)/12))) + (R93)*(IF((YEAR(D93)+15)&lt;YEAR(E93),0,IF((YEAR(D93)+15)&gt;YEAR(E93),1,(12-MONTH(E93)+1)/12))))-(IF(OR(N93="",N93&lt;=0),0,(O93/N93)*(IF(OR(N93="",N93&lt;=0),0,IF((YEAR(D93)+15)&lt;YEAR(E93),0,IF((YEAR(D93)+15)&gt;=YEAR(E93)+N93,0,IF((YEAR(D93)+15)=YEAR(E93),(12-MONTH(E93)+1)/12,1))))))))*TaxRate,0))-IF(15=0,O93,0))</f>
        <v/>
      </c>
      <c r="AI93" s="29">
        <f>IF(A93="","",((K93)*(IF(M93="",L93,IFERROR(IF(INDEX(Variablen!$I:$AT, MATCH(M93, Variablen!$A:$A, 0), MATCH((YEAR(D93)+16), Variablen!$I$3:$AT$3, 0))="",L93,INDEX(Variablen!$I:$AT, MATCH(M93, Variablen!$A:$A, 0), MATCH((YEAR(D93)+16), Variablen!$I$3:$AT$3, 0))),L93)))*(IF((YEAR(D93)+16)&lt;YEAR(E93),0,IF((YEAR(D93)+16)&gt;YEAR(E93),1,(12-MONTH(E93)+1)/12))) + (Q93)*(IF((YEAR(D93)+16)&lt;YEAR(E93),0,IF((YEAR(D93)+16)&gt;YEAR(E93),1,(12-MONTH(E93)+1)/12))))-((P93)*(IF((YEAR(D93)+16)&lt;YEAR(E93),0,IF((YEAR(D93)+16)&gt;YEAR(E93),1,(12-MONTH(E93)+1)/12))) + (R93)*(IF((YEAR(D93)+16)&lt;YEAR(E93),0,IF((YEAR(D93)+16)&gt;YEAR(E93),1,(12-MONTH(E93)+1)/12))))-(IF((((K93)*(IF(M93="",L93,IFERROR(IF(INDEX(Variablen!$I:$AT, MATCH(M93, Variablen!$A:$A, 0), MATCH((YEAR(D93)+16), Variablen!$I$3:$AT$3, 0))="",L93,INDEX(Variablen!$I:$AT, MATCH(M93, Variablen!$A:$A, 0), MATCH((YEAR(D93)+16), Variablen!$I$3:$AT$3, 0))),L93)))*(IF((YEAR(D93)+16)&lt;YEAR(E93),0,IF((YEAR(D93)+16)&gt;YEAR(E93),1,(12-MONTH(E93)+1)/12))) + (Q93)*(IF((YEAR(D93)+16)&lt;YEAR(E93),0,IF((YEAR(D93)+16)&gt;YEAR(E93),1,(12-MONTH(E93)+1)/12))))-((P93)*(IF((YEAR(D93)+16)&lt;YEAR(E93),0,IF((YEAR(D93)+16)&gt;YEAR(E93),1,(12-MONTH(E93)+1)/12))) + (R93)*(IF((YEAR(D93)+16)&lt;YEAR(E93),0,IF((YEAR(D93)+16)&gt;YEAR(E93),1,(12-MONTH(E93)+1)/12))))-(IF(OR(N93="",N93&lt;=0),0,(O93/N93)*(IF(OR(N93="",N93&lt;=0),0,IF((YEAR(D93)+16)&lt;YEAR(E93),0,IF((YEAR(D93)+16)&gt;=YEAR(E93)+N93,0,IF((YEAR(D93)+16)=YEAR(E93),(12-MONTH(E93)+1)/12,1))))))))&gt;0,(((K93)*(IF(M93="",L93,IFERROR(IF(INDEX(Variablen!$I:$AT, MATCH(M93, Variablen!$A:$A, 0), MATCH((YEAR(D93)+16), Variablen!$I$3:$AT$3, 0))="",L93,INDEX(Variablen!$I:$AT, MATCH(M93, Variablen!$A:$A, 0), MATCH((YEAR(D93)+16), Variablen!$I$3:$AT$3, 0))),L93)))*(IF((YEAR(D93)+16)&lt;YEAR(E93),0,IF((YEAR(D93)+16)&gt;YEAR(E93),1,(12-MONTH(E93)+1)/12))) + (Q93)*(IF((YEAR(D93)+16)&lt;YEAR(E93),0,IF((YEAR(D93)+16)&gt;YEAR(E93),1,(12-MONTH(E93)+1)/12))))-((P93)*(IF((YEAR(D93)+16)&lt;YEAR(E93),0,IF((YEAR(D93)+16)&gt;YEAR(E93),1,(12-MONTH(E93)+1)/12))) + (R93)*(IF((YEAR(D93)+16)&lt;YEAR(E93),0,IF((YEAR(D93)+16)&gt;YEAR(E93),1,(12-MONTH(E93)+1)/12))))-(IF(OR(N93="",N93&lt;=0),0,(O93/N93)*(IF(OR(N93="",N93&lt;=0),0,IF((YEAR(D93)+16)&lt;YEAR(E93),0,IF((YEAR(D93)+16)&gt;=YEAR(E93)+N93,0,IF((YEAR(D93)+16)=YEAR(E93),(12-MONTH(E93)+1)/12,1))))))))*TaxRate,0))-IF(16=0,O93,0))</f>
        <v/>
      </c>
      <c r="AJ93" s="29">
        <f>IF(A93="","",((K93)*(IF(M93="",L93,IFERROR(IF(INDEX(Variablen!$I:$AT, MATCH(M93, Variablen!$A:$A, 0), MATCH((YEAR(D93)+17), Variablen!$I$3:$AT$3, 0))="",L93,INDEX(Variablen!$I:$AT, MATCH(M93, Variablen!$A:$A, 0), MATCH((YEAR(D93)+17), Variablen!$I$3:$AT$3, 0))),L93)))*(IF((YEAR(D93)+17)&lt;YEAR(E93),0,IF((YEAR(D93)+17)&gt;YEAR(E93),1,(12-MONTH(E93)+1)/12))) + (Q93)*(IF((YEAR(D93)+17)&lt;YEAR(E93),0,IF((YEAR(D93)+17)&gt;YEAR(E93),1,(12-MONTH(E93)+1)/12))))-((P93)*(IF((YEAR(D93)+17)&lt;YEAR(E93),0,IF((YEAR(D93)+17)&gt;YEAR(E93),1,(12-MONTH(E93)+1)/12))) + (R93)*(IF((YEAR(D93)+17)&lt;YEAR(E93),0,IF((YEAR(D93)+17)&gt;YEAR(E93),1,(12-MONTH(E93)+1)/12))))-(IF((((K93)*(IF(M93="",L93,IFERROR(IF(INDEX(Variablen!$I:$AT, MATCH(M93, Variablen!$A:$A, 0), MATCH((YEAR(D93)+17), Variablen!$I$3:$AT$3, 0))="",L93,INDEX(Variablen!$I:$AT, MATCH(M93, Variablen!$A:$A, 0), MATCH((YEAR(D93)+17), Variablen!$I$3:$AT$3, 0))),L93)))*(IF((YEAR(D93)+17)&lt;YEAR(E93),0,IF((YEAR(D93)+17)&gt;YEAR(E93),1,(12-MONTH(E93)+1)/12))) + (Q93)*(IF((YEAR(D93)+17)&lt;YEAR(E93),0,IF((YEAR(D93)+17)&gt;YEAR(E93),1,(12-MONTH(E93)+1)/12))))-((P93)*(IF((YEAR(D93)+17)&lt;YEAR(E93),0,IF((YEAR(D93)+17)&gt;YEAR(E93),1,(12-MONTH(E93)+1)/12))) + (R93)*(IF((YEAR(D93)+17)&lt;YEAR(E93),0,IF((YEAR(D93)+17)&gt;YEAR(E93),1,(12-MONTH(E93)+1)/12))))-(IF(OR(N93="",N93&lt;=0),0,(O93/N93)*(IF(OR(N93="",N93&lt;=0),0,IF((YEAR(D93)+17)&lt;YEAR(E93),0,IF((YEAR(D93)+17)&gt;=YEAR(E93)+N93,0,IF((YEAR(D93)+17)=YEAR(E93),(12-MONTH(E93)+1)/12,1))))))))&gt;0,(((K93)*(IF(M93="",L93,IFERROR(IF(INDEX(Variablen!$I:$AT, MATCH(M93, Variablen!$A:$A, 0), MATCH((YEAR(D93)+17), Variablen!$I$3:$AT$3, 0))="",L93,INDEX(Variablen!$I:$AT, MATCH(M93, Variablen!$A:$A, 0), MATCH((YEAR(D93)+17), Variablen!$I$3:$AT$3, 0))),L93)))*(IF((YEAR(D93)+17)&lt;YEAR(E93),0,IF((YEAR(D93)+17)&gt;YEAR(E93),1,(12-MONTH(E93)+1)/12))) + (Q93)*(IF((YEAR(D93)+17)&lt;YEAR(E93),0,IF((YEAR(D93)+17)&gt;YEAR(E93),1,(12-MONTH(E93)+1)/12))))-((P93)*(IF((YEAR(D93)+17)&lt;YEAR(E93),0,IF((YEAR(D93)+17)&gt;YEAR(E93),1,(12-MONTH(E93)+1)/12))) + (R93)*(IF((YEAR(D93)+17)&lt;YEAR(E93),0,IF((YEAR(D93)+17)&gt;YEAR(E93),1,(12-MONTH(E93)+1)/12))))-(IF(OR(N93="",N93&lt;=0),0,(O93/N93)*(IF(OR(N93="",N93&lt;=0),0,IF((YEAR(D93)+17)&lt;YEAR(E93),0,IF((YEAR(D93)+17)&gt;=YEAR(E93)+N93,0,IF((YEAR(D93)+17)=YEAR(E93),(12-MONTH(E93)+1)/12,1))))))))*TaxRate,0))-IF(17=0,O93,0))</f>
        <v/>
      </c>
      <c r="AK93" s="29">
        <f>IF(A93="","",((K93)*(IF(M93="",L93,IFERROR(IF(INDEX(Variablen!$I:$AT, MATCH(M93, Variablen!$A:$A, 0), MATCH((YEAR(D93)+18), Variablen!$I$3:$AT$3, 0))="",L93,INDEX(Variablen!$I:$AT, MATCH(M93, Variablen!$A:$A, 0), MATCH((YEAR(D93)+18), Variablen!$I$3:$AT$3, 0))),L93)))*(IF((YEAR(D93)+18)&lt;YEAR(E93),0,IF((YEAR(D93)+18)&gt;YEAR(E93),1,(12-MONTH(E93)+1)/12))) + (Q93)*(IF((YEAR(D93)+18)&lt;YEAR(E93),0,IF((YEAR(D93)+18)&gt;YEAR(E93),1,(12-MONTH(E93)+1)/12))))-((P93)*(IF((YEAR(D93)+18)&lt;YEAR(E93),0,IF((YEAR(D93)+18)&gt;YEAR(E93),1,(12-MONTH(E93)+1)/12))) + (R93)*(IF((YEAR(D93)+18)&lt;YEAR(E93),0,IF((YEAR(D93)+18)&gt;YEAR(E93),1,(12-MONTH(E93)+1)/12))))-(IF((((K93)*(IF(M93="",L93,IFERROR(IF(INDEX(Variablen!$I:$AT, MATCH(M93, Variablen!$A:$A, 0), MATCH((YEAR(D93)+18), Variablen!$I$3:$AT$3, 0))="",L93,INDEX(Variablen!$I:$AT, MATCH(M93, Variablen!$A:$A, 0), MATCH((YEAR(D93)+18), Variablen!$I$3:$AT$3, 0))),L93)))*(IF((YEAR(D93)+18)&lt;YEAR(E93),0,IF((YEAR(D93)+18)&gt;YEAR(E93),1,(12-MONTH(E93)+1)/12))) + (Q93)*(IF((YEAR(D93)+18)&lt;YEAR(E93),0,IF((YEAR(D93)+18)&gt;YEAR(E93),1,(12-MONTH(E93)+1)/12))))-((P93)*(IF((YEAR(D93)+18)&lt;YEAR(E93),0,IF((YEAR(D93)+18)&gt;YEAR(E93),1,(12-MONTH(E93)+1)/12))) + (R93)*(IF((YEAR(D93)+18)&lt;YEAR(E93),0,IF((YEAR(D93)+18)&gt;YEAR(E93),1,(12-MONTH(E93)+1)/12))))-(IF(OR(N93="",N93&lt;=0),0,(O93/N93)*(IF(OR(N93="",N93&lt;=0),0,IF((YEAR(D93)+18)&lt;YEAR(E93),0,IF((YEAR(D93)+18)&gt;=YEAR(E93)+N93,0,IF((YEAR(D93)+18)=YEAR(E93),(12-MONTH(E93)+1)/12,1))))))))&gt;0,(((K93)*(IF(M93="",L93,IFERROR(IF(INDEX(Variablen!$I:$AT, MATCH(M93, Variablen!$A:$A, 0), MATCH((YEAR(D93)+18), Variablen!$I$3:$AT$3, 0))="",L93,INDEX(Variablen!$I:$AT, MATCH(M93, Variablen!$A:$A, 0), MATCH((YEAR(D93)+18), Variablen!$I$3:$AT$3, 0))),L93)))*(IF((YEAR(D93)+18)&lt;YEAR(E93),0,IF((YEAR(D93)+18)&gt;YEAR(E93),1,(12-MONTH(E93)+1)/12))) + (Q93)*(IF((YEAR(D93)+18)&lt;YEAR(E93),0,IF((YEAR(D93)+18)&gt;YEAR(E93),1,(12-MONTH(E93)+1)/12))))-((P93)*(IF((YEAR(D93)+18)&lt;YEAR(E93),0,IF((YEAR(D93)+18)&gt;YEAR(E93),1,(12-MONTH(E93)+1)/12))) + (R93)*(IF((YEAR(D93)+18)&lt;YEAR(E93),0,IF((YEAR(D93)+18)&gt;YEAR(E93),1,(12-MONTH(E93)+1)/12))))-(IF(OR(N93="",N93&lt;=0),0,(O93/N93)*(IF(OR(N93="",N93&lt;=0),0,IF((YEAR(D93)+18)&lt;YEAR(E93),0,IF((YEAR(D93)+18)&gt;=YEAR(E93)+N93,0,IF((YEAR(D93)+18)=YEAR(E93),(12-MONTH(E93)+1)/12,1))))))))*TaxRate,0))-IF(18=0,O93,0))</f>
        <v/>
      </c>
      <c r="AL93" s="29">
        <f>IF(A93="","",((K93)*(IF(M93="",L93,IFERROR(IF(INDEX(Variablen!$I:$AT, MATCH(M93, Variablen!$A:$A, 0), MATCH((YEAR(D93)+19), Variablen!$I$3:$AT$3, 0))="",L93,INDEX(Variablen!$I:$AT, MATCH(M93, Variablen!$A:$A, 0), MATCH((YEAR(D93)+19), Variablen!$I$3:$AT$3, 0))),L93)))*(IF((YEAR(D93)+19)&lt;YEAR(E93),0,IF((YEAR(D93)+19)&gt;YEAR(E93),1,(12-MONTH(E93)+1)/12))) + (Q93)*(IF((YEAR(D93)+19)&lt;YEAR(E93),0,IF((YEAR(D93)+19)&gt;YEAR(E93),1,(12-MONTH(E93)+1)/12))))-((P93)*(IF((YEAR(D93)+19)&lt;YEAR(E93),0,IF((YEAR(D93)+19)&gt;YEAR(E93),1,(12-MONTH(E93)+1)/12))) + (R93)*(IF((YEAR(D93)+19)&lt;YEAR(E93),0,IF((YEAR(D93)+19)&gt;YEAR(E93),1,(12-MONTH(E93)+1)/12))))-(IF((((K93)*(IF(M93="",L93,IFERROR(IF(INDEX(Variablen!$I:$AT, MATCH(M93, Variablen!$A:$A, 0), MATCH((YEAR(D93)+19), Variablen!$I$3:$AT$3, 0))="",L93,INDEX(Variablen!$I:$AT, MATCH(M93, Variablen!$A:$A, 0), MATCH((YEAR(D93)+19), Variablen!$I$3:$AT$3, 0))),L93)))*(IF((YEAR(D93)+19)&lt;YEAR(E93),0,IF((YEAR(D93)+19)&gt;YEAR(E93),1,(12-MONTH(E93)+1)/12))) + (Q93)*(IF((YEAR(D93)+19)&lt;YEAR(E93),0,IF((YEAR(D93)+19)&gt;YEAR(E93),1,(12-MONTH(E93)+1)/12))))-((P93)*(IF((YEAR(D93)+19)&lt;YEAR(E93),0,IF((YEAR(D93)+19)&gt;YEAR(E93),1,(12-MONTH(E93)+1)/12))) + (R93)*(IF((YEAR(D93)+19)&lt;YEAR(E93),0,IF((YEAR(D93)+19)&gt;YEAR(E93),1,(12-MONTH(E93)+1)/12))))-(IF(OR(N93="",N93&lt;=0),0,(O93/N93)*(IF(OR(N93="",N93&lt;=0),0,IF((YEAR(D93)+19)&lt;YEAR(E93),0,IF((YEAR(D93)+19)&gt;=YEAR(E93)+N93,0,IF((YEAR(D93)+19)=YEAR(E93),(12-MONTH(E93)+1)/12,1))))))))&gt;0,(((K93)*(IF(M93="",L93,IFERROR(IF(INDEX(Variablen!$I:$AT, MATCH(M93, Variablen!$A:$A, 0), MATCH((YEAR(D93)+19), Variablen!$I$3:$AT$3, 0))="",L93,INDEX(Variablen!$I:$AT, MATCH(M93, Variablen!$A:$A, 0), MATCH((YEAR(D93)+19), Variablen!$I$3:$AT$3, 0))),L93)))*(IF((YEAR(D93)+19)&lt;YEAR(E93),0,IF((YEAR(D93)+19)&gt;YEAR(E93),1,(12-MONTH(E93)+1)/12))) + (Q93)*(IF((YEAR(D93)+19)&lt;YEAR(E93),0,IF((YEAR(D93)+19)&gt;YEAR(E93),1,(12-MONTH(E93)+1)/12))))-((P93)*(IF((YEAR(D93)+19)&lt;YEAR(E93),0,IF((YEAR(D93)+19)&gt;YEAR(E93),1,(12-MONTH(E93)+1)/12))) + (R93)*(IF((YEAR(D93)+19)&lt;YEAR(E93),0,IF((YEAR(D93)+19)&gt;YEAR(E93),1,(12-MONTH(E93)+1)/12))))-(IF(OR(N93="",N93&lt;=0),0,(O93/N93)*(IF(OR(N93="",N93&lt;=0),0,IF((YEAR(D93)+19)&lt;YEAR(E93),0,IF((YEAR(D93)+19)&gt;=YEAR(E93)+N93,0,IF((YEAR(D93)+19)=YEAR(E93),(12-MONTH(E93)+1)/12,1))))))))*TaxRate,0))-IF(19=0,O93,0))</f>
        <v/>
      </c>
      <c r="AM93" s="29">
        <f>IF(A93="","",((K93)*(IF(M93="",L93,IFERROR(IF(INDEX(Variablen!$I:$AT, MATCH(M93, Variablen!$A:$A, 0), MATCH((YEAR(D93)+20), Variablen!$I$3:$AT$3, 0))="",L93,INDEX(Variablen!$I:$AT, MATCH(M93, Variablen!$A:$A, 0), MATCH((YEAR(D93)+20), Variablen!$I$3:$AT$3, 0))),L93)))*(IF((YEAR(D93)+20)&lt;YEAR(E93),0,IF((YEAR(D93)+20)&gt;YEAR(E93),1,(12-MONTH(E93)+1)/12))) + (Q93)*(IF((YEAR(D93)+20)&lt;YEAR(E93),0,IF((YEAR(D93)+20)&gt;YEAR(E93),1,(12-MONTH(E93)+1)/12))))-((P93)*(IF((YEAR(D93)+20)&lt;YEAR(E93),0,IF((YEAR(D93)+20)&gt;YEAR(E93),1,(12-MONTH(E93)+1)/12))) + (R93)*(IF((YEAR(D93)+20)&lt;YEAR(E93),0,IF((YEAR(D93)+20)&gt;YEAR(E93),1,(12-MONTH(E93)+1)/12))))-(IF((((K93)*(IF(M93="",L93,IFERROR(IF(INDEX(Variablen!$I:$AT, MATCH(M93, Variablen!$A:$A, 0), MATCH((YEAR(D93)+20), Variablen!$I$3:$AT$3, 0))="",L93,INDEX(Variablen!$I:$AT, MATCH(M93, Variablen!$A:$A, 0), MATCH((YEAR(D93)+20), Variablen!$I$3:$AT$3, 0))),L93)))*(IF((YEAR(D93)+20)&lt;YEAR(E93),0,IF((YEAR(D93)+20)&gt;YEAR(E93),1,(12-MONTH(E93)+1)/12))) + (Q93)*(IF((YEAR(D93)+20)&lt;YEAR(E93),0,IF((YEAR(D93)+20)&gt;YEAR(E93),1,(12-MONTH(E93)+1)/12))))-((P93)*(IF((YEAR(D93)+20)&lt;YEAR(E93),0,IF((YEAR(D93)+20)&gt;YEAR(E93),1,(12-MONTH(E93)+1)/12))) + (R93)*(IF((YEAR(D93)+20)&lt;YEAR(E93),0,IF((YEAR(D93)+20)&gt;YEAR(E93),1,(12-MONTH(E93)+1)/12))))-(IF(OR(N93="",N93&lt;=0),0,(O93/N93)*(IF(OR(N93="",N93&lt;=0),0,IF((YEAR(D93)+20)&lt;YEAR(E93),0,IF((YEAR(D93)+20)&gt;=YEAR(E93)+N93,0,IF((YEAR(D93)+20)=YEAR(E93),(12-MONTH(E93)+1)/12,1))))))))&gt;0,(((K93)*(IF(M93="",L93,IFERROR(IF(INDEX(Variablen!$I:$AT, MATCH(M93, Variablen!$A:$A, 0), MATCH((YEAR(D93)+20), Variablen!$I$3:$AT$3, 0))="",L93,INDEX(Variablen!$I:$AT, MATCH(M93, Variablen!$A:$A, 0), MATCH((YEAR(D93)+20), Variablen!$I$3:$AT$3, 0))),L93)))*(IF((YEAR(D93)+20)&lt;YEAR(E93),0,IF((YEAR(D93)+20)&gt;YEAR(E93),1,(12-MONTH(E93)+1)/12))) + (Q93)*(IF((YEAR(D93)+20)&lt;YEAR(E93),0,IF((YEAR(D93)+20)&gt;YEAR(E93),1,(12-MONTH(E93)+1)/12))))-((P93)*(IF((YEAR(D93)+20)&lt;YEAR(E93),0,IF((YEAR(D93)+20)&gt;YEAR(E93),1,(12-MONTH(E93)+1)/12))) + (R93)*(IF((YEAR(D93)+20)&lt;YEAR(E93),0,IF((YEAR(D93)+20)&gt;YEAR(E93),1,(12-MONTH(E93)+1)/12))))-(IF(OR(N93="",N93&lt;=0),0,(O93/N93)*(IF(OR(N93="",N93&lt;=0),0,IF((YEAR(D93)+20)&lt;YEAR(E93),0,IF((YEAR(D93)+20)&gt;=YEAR(E93)+N93,0,IF((YEAR(D93)+20)=YEAR(E93),(12-MONTH(E93)+1)/12,1))))))))*TaxRate,0))-IF(20=0,O93,0))</f>
        <v/>
      </c>
      <c r="AN93" s="29">
        <f>IF(A93="","",S93)</f>
        <v/>
      </c>
      <c r="AO93" s="29">
        <f>IF(A93="","",AN93+T93)</f>
        <v/>
      </c>
      <c r="AP93" s="29">
        <f>IF(A93="","",AO93+U93)</f>
        <v/>
      </c>
      <c r="AQ93" s="29">
        <f>IF(A93="","",AP93+V93)</f>
        <v/>
      </c>
      <c r="AR93" s="29">
        <f>IF(A93="","",AQ93+W93)</f>
        <v/>
      </c>
      <c r="AS93" s="29">
        <f>IF(A93="","",AR93+X93)</f>
        <v/>
      </c>
      <c r="AT93" s="29">
        <f>IF(A93="","",AS93+Y93)</f>
        <v/>
      </c>
      <c r="AU93" s="29">
        <f>IF(A93="","",AT93+Z93)</f>
        <v/>
      </c>
      <c r="AV93" s="29">
        <f>IF(A93="","",AU93+AA93)</f>
        <v/>
      </c>
      <c r="AW93" s="29">
        <f>IF(A93="","",AV93+AB93)</f>
        <v/>
      </c>
      <c r="AX93" s="29">
        <f>IF(A93="","",AW93+AC93)</f>
        <v/>
      </c>
      <c r="AY93" s="29">
        <f>IF(A93="","",AX93+AD93)</f>
        <v/>
      </c>
      <c r="AZ93" s="29">
        <f>IF(A93="","",AY93+AE93)</f>
        <v/>
      </c>
      <c r="BA93" s="29">
        <f>IF(A93="","",AZ93+AF93)</f>
        <v/>
      </c>
      <c r="BB93" s="29">
        <f>IF(A93="","",BA93+AG93)</f>
        <v/>
      </c>
      <c r="BC93" s="29">
        <f>IF(A93="","",BB93+AH93)</f>
        <v/>
      </c>
      <c r="BD93" s="29">
        <f>IF(A93="","",BC93+AI93)</f>
        <v/>
      </c>
      <c r="BE93" s="29">
        <f>IF(A93="","",BD93+AJ93)</f>
        <v/>
      </c>
      <c r="BF93" s="29">
        <f>IF(A93="","",BE93+AK93)</f>
        <v/>
      </c>
      <c r="BG93" s="29">
        <f>IF(A93="","",BF93+AL93)</f>
        <v/>
      </c>
      <c r="BH93" s="29">
        <f>IF(A93="","",BG93+AM93)</f>
        <v/>
      </c>
      <c r="BI93" s="36">
        <f>IF(A93="","",(K93)*(IF((YEAR(D93)+0)&lt;YEAR(E93),0,IF((YEAR(D93)+0)&gt;YEAR(E93),1,(12-MONTH(E93)+1)/12)))*(1/(1+DiscountRate)^0))</f>
        <v/>
      </c>
      <c r="BJ93" s="36">
        <f>IF(A93="","",(K93)*(IF((YEAR(D93)+1)&lt;YEAR(E93),0,IF((YEAR(D93)+1)&gt;YEAR(E93),1,(12-MONTH(E93)+1)/12)))*(1/(1+DiscountRate)^1))</f>
        <v/>
      </c>
      <c r="BK93" s="36">
        <f>IF(A93="","",(K93)*(IF((YEAR(D93)+2)&lt;YEAR(E93),0,IF((YEAR(D93)+2)&gt;YEAR(E93),1,(12-MONTH(E93)+1)/12)))*(1/(1+DiscountRate)^2))</f>
        <v/>
      </c>
      <c r="BL93" s="36">
        <f>IF(A93="","",(K93)*(IF((YEAR(D93)+3)&lt;YEAR(E93),0,IF((YEAR(D93)+3)&gt;YEAR(E93),1,(12-MONTH(E93)+1)/12)))*(1/(1+DiscountRate)^3))</f>
        <v/>
      </c>
      <c r="BM93" s="36">
        <f>IF(A93="","",(K93)*(IF((YEAR(D93)+4)&lt;YEAR(E93),0,IF((YEAR(D93)+4)&gt;YEAR(E93),1,(12-MONTH(E93)+1)/12)))*(1/(1+DiscountRate)^4))</f>
        <v/>
      </c>
      <c r="BN93" s="36">
        <f>IF(A93="","",(K93)*(IF((YEAR(D93)+5)&lt;YEAR(E93),0,IF((YEAR(D93)+5)&gt;YEAR(E93),1,(12-MONTH(E93)+1)/12)))*(1/(1+DiscountRate)^5))</f>
        <v/>
      </c>
      <c r="BO93" s="36">
        <f>IF(A93="","",(K93)*(IF((YEAR(D93)+6)&lt;YEAR(E93),0,IF((YEAR(D93)+6)&gt;YEAR(E93),1,(12-MONTH(E93)+1)/12)))*(1/(1+DiscountRate)^6))</f>
        <v/>
      </c>
      <c r="BP93" s="36">
        <f>IF(A93="","",(K93)*(IF((YEAR(D93)+7)&lt;YEAR(E93),0,IF((YEAR(D93)+7)&gt;YEAR(E93),1,(12-MONTH(E93)+1)/12)))*(1/(1+DiscountRate)^7))</f>
        <v/>
      </c>
      <c r="BQ93" s="36">
        <f>IF(A93="","",(K93)*(IF((YEAR(D93)+8)&lt;YEAR(E93),0,IF((YEAR(D93)+8)&gt;YEAR(E93),1,(12-MONTH(E93)+1)/12)))*(1/(1+DiscountRate)^8))</f>
        <v/>
      </c>
      <c r="BR93" s="36">
        <f>IF(A93="","",(K93)*(IF((YEAR(D93)+9)&lt;YEAR(E93),0,IF((YEAR(D93)+9)&gt;YEAR(E93),1,(12-MONTH(E93)+1)/12)))*(1/(1+DiscountRate)^9))</f>
        <v/>
      </c>
      <c r="BS93" s="36">
        <f>IF(A93="","",(K93)*(IF((YEAR(D93)+10)&lt;YEAR(E93),0,IF((YEAR(D93)+10)&gt;YEAR(E93),1,(12-MONTH(E93)+1)/12)))*(1/(1+DiscountRate)^10))</f>
        <v/>
      </c>
      <c r="BT93" s="36">
        <f>IF(A93="","",(K93)*(IF((YEAR(D93)+11)&lt;YEAR(E93),0,IF((YEAR(D93)+11)&gt;YEAR(E93),1,(12-MONTH(E93)+1)/12)))*(1/(1+DiscountRate)^11))</f>
        <v/>
      </c>
      <c r="BU93" s="36">
        <f>IF(A93="","",(K93)*(IF((YEAR(D93)+12)&lt;YEAR(E93),0,IF((YEAR(D93)+12)&gt;YEAR(E93),1,(12-MONTH(E93)+1)/12)))*(1/(1+DiscountRate)^12))</f>
        <v/>
      </c>
      <c r="BV93" s="36">
        <f>IF(A93="","",(K93)*(IF((YEAR(D93)+13)&lt;YEAR(E93),0,IF((YEAR(D93)+13)&gt;YEAR(E93),1,(12-MONTH(E93)+1)/12)))*(1/(1+DiscountRate)^13))</f>
        <v/>
      </c>
      <c r="BW93" s="36">
        <f>IF(A93="","",(K93)*(IF((YEAR(D93)+14)&lt;YEAR(E93),0,IF((YEAR(D93)+14)&gt;YEAR(E93),1,(12-MONTH(E93)+1)/12)))*(1/(1+DiscountRate)^14))</f>
        <v/>
      </c>
      <c r="BX93" s="36">
        <f>IF(A93="","",(K93)*(IF((YEAR(D93)+15)&lt;YEAR(E93),0,IF((YEAR(D93)+15)&gt;YEAR(E93),1,(12-MONTH(E93)+1)/12)))*(1/(1+DiscountRate)^15))</f>
        <v/>
      </c>
      <c r="BY93" s="36">
        <f>IF(A93="","",(K93)*(IF((YEAR(D93)+16)&lt;YEAR(E93),0,IF((YEAR(D93)+16)&gt;YEAR(E93),1,(12-MONTH(E93)+1)/12)))*(1/(1+DiscountRate)^16))</f>
        <v/>
      </c>
      <c r="BZ93" s="36">
        <f>IF(A93="","",(K93)*(IF((YEAR(D93)+17)&lt;YEAR(E93),0,IF((YEAR(D93)+17)&gt;YEAR(E93),1,(12-MONTH(E93)+1)/12)))*(1/(1+DiscountRate)^17))</f>
        <v/>
      </c>
      <c r="CA93" s="36">
        <f>IF(A93="","",(K93)*(IF((YEAR(D93)+18)&lt;YEAR(E93),0,IF((YEAR(D93)+18)&gt;YEAR(E93),1,(12-MONTH(E93)+1)/12)))*(1/(1+DiscountRate)^18))</f>
        <v/>
      </c>
      <c r="CB93" s="36">
        <f>IF(A93="","",(K93)*(IF((YEAR(D93)+19)&lt;YEAR(E93),0,IF((YEAR(D93)+19)&gt;YEAR(E93),1,(12-MONTH(E93)+1)/12)))*(1/(1+DiscountRate)^19))</f>
        <v/>
      </c>
      <c r="CC93" s="36">
        <f>IF(A93="","",(K93)*(IF((YEAR(D93)+20)&lt;YEAR(E93),0,IF((YEAR(D93)+20)&gt;YEAR(E93),1,(12-MONTH(E93)+1)/12)))*(1/(1+DiscountRate)^20))</f>
        <v/>
      </c>
      <c r="CD93" s="29">
        <f>IF(A93="","",S93/(1+DiscountRate)^0+T93/(1+DiscountRate)^1+U93/(1+DiscountRate)^2+V93/(1+DiscountRate)^3+W93/(1+DiscountRate)^4+X93/(1+DiscountRate)^5+Y93/(1+DiscountRate)^6+Z93/(1+DiscountRate)^7+AA93/(1+DiscountRate)^8+AB93/(1+DiscountRate)^9+AC93/(1+DiscountRate)^10+AD93/(1+DiscountRate)^11+AE93/(1+DiscountRate)^12+AF93/(1+DiscountRate)^13+AG93/(1+DiscountRate)^14+AH93/(1+DiscountRate)^15+AI93/(1+DiscountRate)^16+AJ93/(1+DiscountRate)^17+AK93/(1+DiscountRate)^18+AL93/(1+DiscountRate)^19+AM93/(1+DiscountRate)^20)</f>
        <v/>
      </c>
      <c r="CE93" s="37">
        <f>IF(A93="","",IFERROR(IRR(OFFSET(S93,0,0,1,MIN(HorizonYears,20)+1)),"n/a"))</f>
        <v/>
      </c>
      <c r="CF93" s="28">
        <f>IF(A93="","",IFERROR(MATCH(TRUE,OFFSET(AN93,0,0,1,MIN(HorizonYears,20)+1)&gt;=0,0)-1,"n/a"))</f>
        <v/>
      </c>
      <c r="CG93" s="36">
        <f>IF(A93="","",SUM(OFFSET(BI93,0,0,1,MIN(HorizonYears,20)+1)))</f>
        <v/>
      </c>
      <c r="CH93" s="36">
        <f>IF(A93="","",IFERROR(-CD93/CG93,"n/a"))</f>
        <v/>
      </c>
    </row>
    <row r="94">
      <c r="A94" s="6">
        <f>Actions!A92</f>
        <v/>
      </c>
      <c r="B94" s="6">
        <f>Actions!B92</f>
        <v/>
      </c>
      <c r="C94" s="6">
        <f>Actions!D92</f>
        <v/>
      </c>
      <c r="D94" s="35">
        <f>Actions!E92</f>
        <v/>
      </c>
      <c r="E94" s="35">
        <f>Actions!F92</f>
        <v/>
      </c>
      <c r="F94" s="6">
        <f>Actions!G92</f>
        <v/>
      </c>
      <c r="G94" s="6">
        <f>Actions!H92</f>
        <v/>
      </c>
      <c r="H94" s="29">
        <f>Actions!I92</f>
        <v/>
      </c>
      <c r="I94" s="6">
        <f>Actions!J92</f>
        <v/>
      </c>
      <c r="J94" s="16">
        <f>Actions!K92</f>
        <v/>
      </c>
      <c r="K94" s="16">
        <f>IF(A94="","",IF(I94="%",H94*J94,J94))</f>
        <v/>
      </c>
      <c r="L94" s="16">
        <f>Actions!L92</f>
        <v/>
      </c>
      <c r="M94" s="6">
        <f>Actions!M92</f>
        <v/>
      </c>
      <c r="N94" s="28">
        <f>Actions!N92</f>
        <v/>
      </c>
      <c r="O94" s="29">
        <f>Actions!T92</f>
        <v/>
      </c>
      <c r="P94" s="29">
        <f>Actions!Y92</f>
        <v/>
      </c>
      <c r="Q94" s="29">
        <f>Actions!Z92</f>
        <v/>
      </c>
      <c r="R94" s="29">
        <f>Actions!AA92</f>
        <v/>
      </c>
      <c r="S94" s="29">
        <f>IF(A94="","",((K94)*(IF(M94="",L94,IFERROR(IF(INDEX(Variablen!$I:$AT, MATCH(M94, Variablen!$A:$A, 0), MATCH((YEAR(D94)+0), Variablen!$I$3:$AT$3, 0))="",L94,INDEX(Variablen!$I:$AT, MATCH(M94, Variablen!$A:$A, 0), MATCH((YEAR(D94)+0), Variablen!$I$3:$AT$3, 0))),L94)))*(IF((YEAR(D94)+0)&lt;YEAR(E94),0,IF((YEAR(D94)+0)&gt;YEAR(E94),1,(12-MONTH(E94)+1)/12))) + (Q94)*(IF((YEAR(D94)+0)&lt;YEAR(E94),0,IF((YEAR(D94)+0)&gt;YEAR(E94),1,(12-MONTH(E94)+1)/12))))-((P94)*(IF((YEAR(D94)+0)&lt;YEAR(E94),0,IF((YEAR(D94)+0)&gt;YEAR(E94),1,(12-MONTH(E94)+1)/12))) + (R94)*(IF((YEAR(D94)+0)&lt;YEAR(E94),0,IF((YEAR(D94)+0)&gt;YEAR(E94),1,(12-MONTH(E94)+1)/12))))-(IF((((K94)*(IF(M94="",L94,IFERROR(IF(INDEX(Variablen!$I:$AT, MATCH(M94, Variablen!$A:$A, 0), MATCH((YEAR(D94)+0), Variablen!$I$3:$AT$3, 0))="",L94,INDEX(Variablen!$I:$AT, MATCH(M94, Variablen!$A:$A, 0), MATCH((YEAR(D94)+0), Variablen!$I$3:$AT$3, 0))),L94)))*(IF((YEAR(D94)+0)&lt;YEAR(E94),0,IF((YEAR(D94)+0)&gt;YEAR(E94),1,(12-MONTH(E94)+1)/12))) + (Q94)*(IF((YEAR(D94)+0)&lt;YEAR(E94),0,IF((YEAR(D94)+0)&gt;YEAR(E94),1,(12-MONTH(E94)+1)/12))))-((P94)*(IF((YEAR(D94)+0)&lt;YEAR(E94),0,IF((YEAR(D94)+0)&gt;YEAR(E94),1,(12-MONTH(E94)+1)/12))) + (R94)*(IF((YEAR(D94)+0)&lt;YEAR(E94),0,IF((YEAR(D94)+0)&gt;YEAR(E94),1,(12-MONTH(E94)+1)/12))))-(IF(OR(N94="",N94&lt;=0),0,(O94/N94)*(IF(OR(N94="",N94&lt;=0),0,IF((YEAR(D94)+0)&lt;YEAR(E94),0,IF((YEAR(D94)+0)&gt;=YEAR(E94)+N94,0,IF((YEAR(D94)+0)=YEAR(E94),(12-MONTH(E94)+1)/12,1))))))))&gt;0,(((K94)*(IF(M94="",L94,IFERROR(IF(INDEX(Variablen!$I:$AT, MATCH(M94, Variablen!$A:$A, 0), MATCH((YEAR(D94)+0), Variablen!$I$3:$AT$3, 0))="",L94,INDEX(Variablen!$I:$AT, MATCH(M94, Variablen!$A:$A, 0), MATCH((YEAR(D94)+0), Variablen!$I$3:$AT$3, 0))),L94)))*(IF((YEAR(D94)+0)&lt;YEAR(E94),0,IF((YEAR(D94)+0)&gt;YEAR(E94),1,(12-MONTH(E94)+1)/12))) + (Q94)*(IF((YEAR(D94)+0)&lt;YEAR(E94),0,IF((YEAR(D94)+0)&gt;YEAR(E94),1,(12-MONTH(E94)+1)/12))))-((P94)*(IF((YEAR(D94)+0)&lt;YEAR(E94),0,IF((YEAR(D94)+0)&gt;YEAR(E94),1,(12-MONTH(E94)+1)/12))) + (R94)*(IF((YEAR(D94)+0)&lt;YEAR(E94),0,IF((YEAR(D94)+0)&gt;YEAR(E94),1,(12-MONTH(E94)+1)/12))))-(IF(OR(N94="",N94&lt;=0),0,(O94/N94)*(IF(OR(N94="",N94&lt;=0),0,IF((YEAR(D94)+0)&lt;YEAR(E94),0,IF((YEAR(D94)+0)&gt;=YEAR(E94)+N94,0,IF((YEAR(D94)+0)=YEAR(E94),(12-MONTH(E94)+1)/12,1))))))))*TaxRate,0))-IF(0=0,O94,0))</f>
        <v/>
      </c>
      <c r="T94" s="29">
        <f>IF(A94="","",((K94)*(IF(M94="",L94,IFERROR(IF(INDEX(Variablen!$I:$AT, MATCH(M94, Variablen!$A:$A, 0), MATCH((YEAR(D94)+1), Variablen!$I$3:$AT$3, 0))="",L94,INDEX(Variablen!$I:$AT, MATCH(M94, Variablen!$A:$A, 0), MATCH((YEAR(D94)+1), Variablen!$I$3:$AT$3, 0))),L94)))*(IF((YEAR(D94)+1)&lt;YEAR(E94),0,IF((YEAR(D94)+1)&gt;YEAR(E94),1,(12-MONTH(E94)+1)/12))) + (Q94)*(IF((YEAR(D94)+1)&lt;YEAR(E94),0,IF((YEAR(D94)+1)&gt;YEAR(E94),1,(12-MONTH(E94)+1)/12))))-((P94)*(IF((YEAR(D94)+1)&lt;YEAR(E94),0,IF((YEAR(D94)+1)&gt;YEAR(E94),1,(12-MONTH(E94)+1)/12))) + (R94)*(IF((YEAR(D94)+1)&lt;YEAR(E94),0,IF((YEAR(D94)+1)&gt;YEAR(E94),1,(12-MONTH(E94)+1)/12))))-(IF((((K94)*(IF(M94="",L94,IFERROR(IF(INDEX(Variablen!$I:$AT, MATCH(M94, Variablen!$A:$A, 0), MATCH((YEAR(D94)+1), Variablen!$I$3:$AT$3, 0))="",L94,INDEX(Variablen!$I:$AT, MATCH(M94, Variablen!$A:$A, 0), MATCH((YEAR(D94)+1), Variablen!$I$3:$AT$3, 0))),L94)))*(IF((YEAR(D94)+1)&lt;YEAR(E94),0,IF((YEAR(D94)+1)&gt;YEAR(E94),1,(12-MONTH(E94)+1)/12))) + (Q94)*(IF((YEAR(D94)+1)&lt;YEAR(E94),0,IF((YEAR(D94)+1)&gt;YEAR(E94),1,(12-MONTH(E94)+1)/12))))-((P94)*(IF((YEAR(D94)+1)&lt;YEAR(E94),0,IF((YEAR(D94)+1)&gt;YEAR(E94),1,(12-MONTH(E94)+1)/12))) + (R94)*(IF((YEAR(D94)+1)&lt;YEAR(E94),0,IF((YEAR(D94)+1)&gt;YEAR(E94),1,(12-MONTH(E94)+1)/12))))-(IF(OR(N94="",N94&lt;=0),0,(O94/N94)*(IF(OR(N94="",N94&lt;=0),0,IF((YEAR(D94)+1)&lt;YEAR(E94),0,IF((YEAR(D94)+1)&gt;=YEAR(E94)+N94,0,IF((YEAR(D94)+1)=YEAR(E94),(12-MONTH(E94)+1)/12,1))))))))&gt;0,(((K94)*(IF(M94="",L94,IFERROR(IF(INDEX(Variablen!$I:$AT, MATCH(M94, Variablen!$A:$A, 0), MATCH((YEAR(D94)+1), Variablen!$I$3:$AT$3, 0))="",L94,INDEX(Variablen!$I:$AT, MATCH(M94, Variablen!$A:$A, 0), MATCH((YEAR(D94)+1), Variablen!$I$3:$AT$3, 0))),L94)))*(IF((YEAR(D94)+1)&lt;YEAR(E94),0,IF((YEAR(D94)+1)&gt;YEAR(E94),1,(12-MONTH(E94)+1)/12))) + (Q94)*(IF((YEAR(D94)+1)&lt;YEAR(E94),0,IF((YEAR(D94)+1)&gt;YEAR(E94),1,(12-MONTH(E94)+1)/12))))-((P94)*(IF((YEAR(D94)+1)&lt;YEAR(E94),0,IF((YEAR(D94)+1)&gt;YEAR(E94),1,(12-MONTH(E94)+1)/12))) + (R94)*(IF((YEAR(D94)+1)&lt;YEAR(E94),0,IF((YEAR(D94)+1)&gt;YEAR(E94),1,(12-MONTH(E94)+1)/12))))-(IF(OR(N94="",N94&lt;=0),0,(O94/N94)*(IF(OR(N94="",N94&lt;=0),0,IF((YEAR(D94)+1)&lt;YEAR(E94),0,IF((YEAR(D94)+1)&gt;=YEAR(E94)+N94,0,IF((YEAR(D94)+1)=YEAR(E94),(12-MONTH(E94)+1)/12,1))))))))*TaxRate,0))-IF(1=0,O94,0))</f>
        <v/>
      </c>
      <c r="U94" s="29">
        <f>IF(A94="","",((K94)*(IF(M94="",L94,IFERROR(IF(INDEX(Variablen!$I:$AT, MATCH(M94, Variablen!$A:$A, 0), MATCH((YEAR(D94)+2), Variablen!$I$3:$AT$3, 0))="",L94,INDEX(Variablen!$I:$AT, MATCH(M94, Variablen!$A:$A, 0), MATCH((YEAR(D94)+2), Variablen!$I$3:$AT$3, 0))),L94)))*(IF((YEAR(D94)+2)&lt;YEAR(E94),0,IF((YEAR(D94)+2)&gt;YEAR(E94),1,(12-MONTH(E94)+1)/12))) + (Q94)*(IF((YEAR(D94)+2)&lt;YEAR(E94),0,IF((YEAR(D94)+2)&gt;YEAR(E94),1,(12-MONTH(E94)+1)/12))))-((P94)*(IF((YEAR(D94)+2)&lt;YEAR(E94),0,IF((YEAR(D94)+2)&gt;YEAR(E94),1,(12-MONTH(E94)+1)/12))) + (R94)*(IF((YEAR(D94)+2)&lt;YEAR(E94),0,IF((YEAR(D94)+2)&gt;YEAR(E94),1,(12-MONTH(E94)+1)/12))))-(IF((((K94)*(IF(M94="",L94,IFERROR(IF(INDEX(Variablen!$I:$AT, MATCH(M94, Variablen!$A:$A, 0), MATCH((YEAR(D94)+2), Variablen!$I$3:$AT$3, 0))="",L94,INDEX(Variablen!$I:$AT, MATCH(M94, Variablen!$A:$A, 0), MATCH((YEAR(D94)+2), Variablen!$I$3:$AT$3, 0))),L94)))*(IF((YEAR(D94)+2)&lt;YEAR(E94),0,IF((YEAR(D94)+2)&gt;YEAR(E94),1,(12-MONTH(E94)+1)/12))) + (Q94)*(IF((YEAR(D94)+2)&lt;YEAR(E94),0,IF((YEAR(D94)+2)&gt;YEAR(E94),1,(12-MONTH(E94)+1)/12))))-((P94)*(IF((YEAR(D94)+2)&lt;YEAR(E94),0,IF((YEAR(D94)+2)&gt;YEAR(E94),1,(12-MONTH(E94)+1)/12))) + (R94)*(IF((YEAR(D94)+2)&lt;YEAR(E94),0,IF((YEAR(D94)+2)&gt;YEAR(E94),1,(12-MONTH(E94)+1)/12))))-(IF(OR(N94="",N94&lt;=0),0,(O94/N94)*(IF(OR(N94="",N94&lt;=0),0,IF((YEAR(D94)+2)&lt;YEAR(E94),0,IF((YEAR(D94)+2)&gt;=YEAR(E94)+N94,0,IF((YEAR(D94)+2)=YEAR(E94),(12-MONTH(E94)+1)/12,1))))))))&gt;0,(((K94)*(IF(M94="",L94,IFERROR(IF(INDEX(Variablen!$I:$AT, MATCH(M94, Variablen!$A:$A, 0), MATCH((YEAR(D94)+2), Variablen!$I$3:$AT$3, 0))="",L94,INDEX(Variablen!$I:$AT, MATCH(M94, Variablen!$A:$A, 0), MATCH((YEAR(D94)+2), Variablen!$I$3:$AT$3, 0))),L94)))*(IF((YEAR(D94)+2)&lt;YEAR(E94),0,IF((YEAR(D94)+2)&gt;YEAR(E94),1,(12-MONTH(E94)+1)/12))) + (Q94)*(IF((YEAR(D94)+2)&lt;YEAR(E94),0,IF((YEAR(D94)+2)&gt;YEAR(E94),1,(12-MONTH(E94)+1)/12))))-((P94)*(IF((YEAR(D94)+2)&lt;YEAR(E94),0,IF((YEAR(D94)+2)&gt;YEAR(E94),1,(12-MONTH(E94)+1)/12))) + (R94)*(IF((YEAR(D94)+2)&lt;YEAR(E94),0,IF((YEAR(D94)+2)&gt;YEAR(E94),1,(12-MONTH(E94)+1)/12))))-(IF(OR(N94="",N94&lt;=0),0,(O94/N94)*(IF(OR(N94="",N94&lt;=0),0,IF((YEAR(D94)+2)&lt;YEAR(E94),0,IF((YEAR(D94)+2)&gt;=YEAR(E94)+N94,0,IF((YEAR(D94)+2)=YEAR(E94),(12-MONTH(E94)+1)/12,1))))))))*TaxRate,0))-IF(2=0,O94,0))</f>
        <v/>
      </c>
      <c r="V94" s="29">
        <f>IF(A94="","",((K94)*(IF(M94="",L94,IFERROR(IF(INDEX(Variablen!$I:$AT, MATCH(M94, Variablen!$A:$A, 0), MATCH((YEAR(D94)+3), Variablen!$I$3:$AT$3, 0))="",L94,INDEX(Variablen!$I:$AT, MATCH(M94, Variablen!$A:$A, 0), MATCH((YEAR(D94)+3), Variablen!$I$3:$AT$3, 0))),L94)))*(IF((YEAR(D94)+3)&lt;YEAR(E94),0,IF((YEAR(D94)+3)&gt;YEAR(E94),1,(12-MONTH(E94)+1)/12))) + (Q94)*(IF((YEAR(D94)+3)&lt;YEAR(E94),0,IF((YEAR(D94)+3)&gt;YEAR(E94),1,(12-MONTH(E94)+1)/12))))-((P94)*(IF((YEAR(D94)+3)&lt;YEAR(E94),0,IF((YEAR(D94)+3)&gt;YEAR(E94),1,(12-MONTH(E94)+1)/12))) + (R94)*(IF((YEAR(D94)+3)&lt;YEAR(E94),0,IF((YEAR(D94)+3)&gt;YEAR(E94),1,(12-MONTH(E94)+1)/12))))-(IF((((K94)*(IF(M94="",L94,IFERROR(IF(INDEX(Variablen!$I:$AT, MATCH(M94, Variablen!$A:$A, 0), MATCH((YEAR(D94)+3), Variablen!$I$3:$AT$3, 0))="",L94,INDEX(Variablen!$I:$AT, MATCH(M94, Variablen!$A:$A, 0), MATCH((YEAR(D94)+3), Variablen!$I$3:$AT$3, 0))),L94)))*(IF((YEAR(D94)+3)&lt;YEAR(E94),0,IF((YEAR(D94)+3)&gt;YEAR(E94),1,(12-MONTH(E94)+1)/12))) + (Q94)*(IF((YEAR(D94)+3)&lt;YEAR(E94),0,IF((YEAR(D94)+3)&gt;YEAR(E94),1,(12-MONTH(E94)+1)/12))))-((P94)*(IF((YEAR(D94)+3)&lt;YEAR(E94),0,IF((YEAR(D94)+3)&gt;YEAR(E94),1,(12-MONTH(E94)+1)/12))) + (R94)*(IF((YEAR(D94)+3)&lt;YEAR(E94),0,IF((YEAR(D94)+3)&gt;YEAR(E94),1,(12-MONTH(E94)+1)/12))))-(IF(OR(N94="",N94&lt;=0),0,(O94/N94)*(IF(OR(N94="",N94&lt;=0),0,IF((YEAR(D94)+3)&lt;YEAR(E94),0,IF((YEAR(D94)+3)&gt;=YEAR(E94)+N94,0,IF((YEAR(D94)+3)=YEAR(E94),(12-MONTH(E94)+1)/12,1))))))))&gt;0,(((K94)*(IF(M94="",L94,IFERROR(IF(INDEX(Variablen!$I:$AT, MATCH(M94, Variablen!$A:$A, 0), MATCH((YEAR(D94)+3), Variablen!$I$3:$AT$3, 0))="",L94,INDEX(Variablen!$I:$AT, MATCH(M94, Variablen!$A:$A, 0), MATCH((YEAR(D94)+3), Variablen!$I$3:$AT$3, 0))),L94)))*(IF((YEAR(D94)+3)&lt;YEAR(E94),0,IF((YEAR(D94)+3)&gt;YEAR(E94),1,(12-MONTH(E94)+1)/12))) + (Q94)*(IF((YEAR(D94)+3)&lt;YEAR(E94),0,IF((YEAR(D94)+3)&gt;YEAR(E94),1,(12-MONTH(E94)+1)/12))))-((P94)*(IF((YEAR(D94)+3)&lt;YEAR(E94),0,IF((YEAR(D94)+3)&gt;YEAR(E94),1,(12-MONTH(E94)+1)/12))) + (R94)*(IF((YEAR(D94)+3)&lt;YEAR(E94),0,IF((YEAR(D94)+3)&gt;YEAR(E94),1,(12-MONTH(E94)+1)/12))))-(IF(OR(N94="",N94&lt;=0),0,(O94/N94)*(IF(OR(N94="",N94&lt;=0),0,IF((YEAR(D94)+3)&lt;YEAR(E94),0,IF((YEAR(D94)+3)&gt;=YEAR(E94)+N94,0,IF((YEAR(D94)+3)=YEAR(E94),(12-MONTH(E94)+1)/12,1))))))))*TaxRate,0))-IF(3=0,O94,0))</f>
        <v/>
      </c>
      <c r="W94" s="29">
        <f>IF(A94="","",((K94)*(IF(M94="",L94,IFERROR(IF(INDEX(Variablen!$I:$AT, MATCH(M94, Variablen!$A:$A, 0), MATCH((YEAR(D94)+4), Variablen!$I$3:$AT$3, 0))="",L94,INDEX(Variablen!$I:$AT, MATCH(M94, Variablen!$A:$A, 0), MATCH((YEAR(D94)+4), Variablen!$I$3:$AT$3, 0))),L94)))*(IF((YEAR(D94)+4)&lt;YEAR(E94),0,IF((YEAR(D94)+4)&gt;YEAR(E94),1,(12-MONTH(E94)+1)/12))) + (Q94)*(IF((YEAR(D94)+4)&lt;YEAR(E94),0,IF((YEAR(D94)+4)&gt;YEAR(E94),1,(12-MONTH(E94)+1)/12))))-((P94)*(IF((YEAR(D94)+4)&lt;YEAR(E94),0,IF((YEAR(D94)+4)&gt;YEAR(E94),1,(12-MONTH(E94)+1)/12))) + (R94)*(IF((YEAR(D94)+4)&lt;YEAR(E94),0,IF((YEAR(D94)+4)&gt;YEAR(E94),1,(12-MONTH(E94)+1)/12))))-(IF((((K94)*(IF(M94="",L94,IFERROR(IF(INDEX(Variablen!$I:$AT, MATCH(M94, Variablen!$A:$A, 0), MATCH((YEAR(D94)+4), Variablen!$I$3:$AT$3, 0))="",L94,INDEX(Variablen!$I:$AT, MATCH(M94, Variablen!$A:$A, 0), MATCH((YEAR(D94)+4), Variablen!$I$3:$AT$3, 0))),L94)))*(IF((YEAR(D94)+4)&lt;YEAR(E94),0,IF((YEAR(D94)+4)&gt;YEAR(E94),1,(12-MONTH(E94)+1)/12))) + (Q94)*(IF((YEAR(D94)+4)&lt;YEAR(E94),0,IF((YEAR(D94)+4)&gt;YEAR(E94),1,(12-MONTH(E94)+1)/12))))-((P94)*(IF((YEAR(D94)+4)&lt;YEAR(E94),0,IF((YEAR(D94)+4)&gt;YEAR(E94),1,(12-MONTH(E94)+1)/12))) + (R94)*(IF((YEAR(D94)+4)&lt;YEAR(E94),0,IF((YEAR(D94)+4)&gt;YEAR(E94),1,(12-MONTH(E94)+1)/12))))-(IF(OR(N94="",N94&lt;=0),0,(O94/N94)*(IF(OR(N94="",N94&lt;=0),0,IF((YEAR(D94)+4)&lt;YEAR(E94),0,IF((YEAR(D94)+4)&gt;=YEAR(E94)+N94,0,IF((YEAR(D94)+4)=YEAR(E94),(12-MONTH(E94)+1)/12,1))))))))&gt;0,(((K94)*(IF(M94="",L94,IFERROR(IF(INDEX(Variablen!$I:$AT, MATCH(M94, Variablen!$A:$A, 0), MATCH((YEAR(D94)+4), Variablen!$I$3:$AT$3, 0))="",L94,INDEX(Variablen!$I:$AT, MATCH(M94, Variablen!$A:$A, 0), MATCH((YEAR(D94)+4), Variablen!$I$3:$AT$3, 0))),L94)))*(IF((YEAR(D94)+4)&lt;YEAR(E94),0,IF((YEAR(D94)+4)&gt;YEAR(E94),1,(12-MONTH(E94)+1)/12))) + (Q94)*(IF((YEAR(D94)+4)&lt;YEAR(E94),0,IF((YEAR(D94)+4)&gt;YEAR(E94),1,(12-MONTH(E94)+1)/12))))-((P94)*(IF((YEAR(D94)+4)&lt;YEAR(E94),0,IF((YEAR(D94)+4)&gt;YEAR(E94),1,(12-MONTH(E94)+1)/12))) + (R94)*(IF((YEAR(D94)+4)&lt;YEAR(E94),0,IF((YEAR(D94)+4)&gt;YEAR(E94),1,(12-MONTH(E94)+1)/12))))-(IF(OR(N94="",N94&lt;=0),0,(O94/N94)*(IF(OR(N94="",N94&lt;=0),0,IF((YEAR(D94)+4)&lt;YEAR(E94),0,IF((YEAR(D94)+4)&gt;=YEAR(E94)+N94,0,IF((YEAR(D94)+4)=YEAR(E94),(12-MONTH(E94)+1)/12,1))))))))*TaxRate,0))-IF(4=0,O94,0))</f>
        <v/>
      </c>
      <c r="X94" s="29">
        <f>IF(A94="","",((K94)*(IF(M94="",L94,IFERROR(IF(INDEX(Variablen!$I:$AT, MATCH(M94, Variablen!$A:$A, 0), MATCH((YEAR(D94)+5), Variablen!$I$3:$AT$3, 0))="",L94,INDEX(Variablen!$I:$AT, MATCH(M94, Variablen!$A:$A, 0), MATCH((YEAR(D94)+5), Variablen!$I$3:$AT$3, 0))),L94)))*(IF((YEAR(D94)+5)&lt;YEAR(E94),0,IF((YEAR(D94)+5)&gt;YEAR(E94),1,(12-MONTH(E94)+1)/12))) + (Q94)*(IF((YEAR(D94)+5)&lt;YEAR(E94),0,IF((YEAR(D94)+5)&gt;YEAR(E94),1,(12-MONTH(E94)+1)/12))))-((P94)*(IF((YEAR(D94)+5)&lt;YEAR(E94),0,IF((YEAR(D94)+5)&gt;YEAR(E94),1,(12-MONTH(E94)+1)/12))) + (R94)*(IF((YEAR(D94)+5)&lt;YEAR(E94),0,IF((YEAR(D94)+5)&gt;YEAR(E94),1,(12-MONTH(E94)+1)/12))))-(IF((((K94)*(IF(M94="",L94,IFERROR(IF(INDEX(Variablen!$I:$AT, MATCH(M94, Variablen!$A:$A, 0), MATCH((YEAR(D94)+5), Variablen!$I$3:$AT$3, 0))="",L94,INDEX(Variablen!$I:$AT, MATCH(M94, Variablen!$A:$A, 0), MATCH((YEAR(D94)+5), Variablen!$I$3:$AT$3, 0))),L94)))*(IF((YEAR(D94)+5)&lt;YEAR(E94),0,IF((YEAR(D94)+5)&gt;YEAR(E94),1,(12-MONTH(E94)+1)/12))) + (Q94)*(IF((YEAR(D94)+5)&lt;YEAR(E94),0,IF((YEAR(D94)+5)&gt;YEAR(E94),1,(12-MONTH(E94)+1)/12))))-((P94)*(IF((YEAR(D94)+5)&lt;YEAR(E94),0,IF((YEAR(D94)+5)&gt;YEAR(E94),1,(12-MONTH(E94)+1)/12))) + (R94)*(IF((YEAR(D94)+5)&lt;YEAR(E94),0,IF((YEAR(D94)+5)&gt;YEAR(E94),1,(12-MONTH(E94)+1)/12))))-(IF(OR(N94="",N94&lt;=0),0,(O94/N94)*(IF(OR(N94="",N94&lt;=0),0,IF((YEAR(D94)+5)&lt;YEAR(E94),0,IF((YEAR(D94)+5)&gt;=YEAR(E94)+N94,0,IF((YEAR(D94)+5)=YEAR(E94),(12-MONTH(E94)+1)/12,1))))))))&gt;0,(((K94)*(IF(M94="",L94,IFERROR(IF(INDEX(Variablen!$I:$AT, MATCH(M94, Variablen!$A:$A, 0), MATCH((YEAR(D94)+5), Variablen!$I$3:$AT$3, 0))="",L94,INDEX(Variablen!$I:$AT, MATCH(M94, Variablen!$A:$A, 0), MATCH((YEAR(D94)+5), Variablen!$I$3:$AT$3, 0))),L94)))*(IF((YEAR(D94)+5)&lt;YEAR(E94),0,IF((YEAR(D94)+5)&gt;YEAR(E94),1,(12-MONTH(E94)+1)/12))) + (Q94)*(IF((YEAR(D94)+5)&lt;YEAR(E94),0,IF((YEAR(D94)+5)&gt;YEAR(E94),1,(12-MONTH(E94)+1)/12))))-((P94)*(IF((YEAR(D94)+5)&lt;YEAR(E94),0,IF((YEAR(D94)+5)&gt;YEAR(E94),1,(12-MONTH(E94)+1)/12))) + (R94)*(IF((YEAR(D94)+5)&lt;YEAR(E94),0,IF((YEAR(D94)+5)&gt;YEAR(E94),1,(12-MONTH(E94)+1)/12))))-(IF(OR(N94="",N94&lt;=0),0,(O94/N94)*(IF(OR(N94="",N94&lt;=0),0,IF((YEAR(D94)+5)&lt;YEAR(E94),0,IF((YEAR(D94)+5)&gt;=YEAR(E94)+N94,0,IF((YEAR(D94)+5)=YEAR(E94),(12-MONTH(E94)+1)/12,1))))))))*TaxRate,0))-IF(5=0,O94,0))</f>
        <v/>
      </c>
      <c r="Y94" s="29">
        <f>IF(A94="","",((K94)*(IF(M94="",L94,IFERROR(IF(INDEX(Variablen!$I:$AT, MATCH(M94, Variablen!$A:$A, 0), MATCH((YEAR(D94)+6), Variablen!$I$3:$AT$3, 0))="",L94,INDEX(Variablen!$I:$AT, MATCH(M94, Variablen!$A:$A, 0), MATCH((YEAR(D94)+6), Variablen!$I$3:$AT$3, 0))),L94)))*(IF((YEAR(D94)+6)&lt;YEAR(E94),0,IF((YEAR(D94)+6)&gt;YEAR(E94),1,(12-MONTH(E94)+1)/12))) + (Q94)*(IF((YEAR(D94)+6)&lt;YEAR(E94),0,IF((YEAR(D94)+6)&gt;YEAR(E94),1,(12-MONTH(E94)+1)/12))))-((P94)*(IF((YEAR(D94)+6)&lt;YEAR(E94),0,IF((YEAR(D94)+6)&gt;YEAR(E94),1,(12-MONTH(E94)+1)/12))) + (R94)*(IF((YEAR(D94)+6)&lt;YEAR(E94),0,IF((YEAR(D94)+6)&gt;YEAR(E94),1,(12-MONTH(E94)+1)/12))))-(IF((((K94)*(IF(M94="",L94,IFERROR(IF(INDEX(Variablen!$I:$AT, MATCH(M94, Variablen!$A:$A, 0), MATCH((YEAR(D94)+6), Variablen!$I$3:$AT$3, 0))="",L94,INDEX(Variablen!$I:$AT, MATCH(M94, Variablen!$A:$A, 0), MATCH((YEAR(D94)+6), Variablen!$I$3:$AT$3, 0))),L94)))*(IF((YEAR(D94)+6)&lt;YEAR(E94),0,IF((YEAR(D94)+6)&gt;YEAR(E94),1,(12-MONTH(E94)+1)/12))) + (Q94)*(IF((YEAR(D94)+6)&lt;YEAR(E94),0,IF((YEAR(D94)+6)&gt;YEAR(E94),1,(12-MONTH(E94)+1)/12))))-((P94)*(IF((YEAR(D94)+6)&lt;YEAR(E94),0,IF((YEAR(D94)+6)&gt;YEAR(E94),1,(12-MONTH(E94)+1)/12))) + (R94)*(IF((YEAR(D94)+6)&lt;YEAR(E94),0,IF((YEAR(D94)+6)&gt;YEAR(E94),1,(12-MONTH(E94)+1)/12))))-(IF(OR(N94="",N94&lt;=0),0,(O94/N94)*(IF(OR(N94="",N94&lt;=0),0,IF((YEAR(D94)+6)&lt;YEAR(E94),0,IF((YEAR(D94)+6)&gt;=YEAR(E94)+N94,0,IF((YEAR(D94)+6)=YEAR(E94),(12-MONTH(E94)+1)/12,1))))))))&gt;0,(((K94)*(IF(M94="",L94,IFERROR(IF(INDEX(Variablen!$I:$AT, MATCH(M94, Variablen!$A:$A, 0), MATCH((YEAR(D94)+6), Variablen!$I$3:$AT$3, 0))="",L94,INDEX(Variablen!$I:$AT, MATCH(M94, Variablen!$A:$A, 0), MATCH((YEAR(D94)+6), Variablen!$I$3:$AT$3, 0))),L94)))*(IF((YEAR(D94)+6)&lt;YEAR(E94),0,IF((YEAR(D94)+6)&gt;YEAR(E94),1,(12-MONTH(E94)+1)/12))) + (Q94)*(IF((YEAR(D94)+6)&lt;YEAR(E94),0,IF((YEAR(D94)+6)&gt;YEAR(E94),1,(12-MONTH(E94)+1)/12))))-((P94)*(IF((YEAR(D94)+6)&lt;YEAR(E94),0,IF((YEAR(D94)+6)&gt;YEAR(E94),1,(12-MONTH(E94)+1)/12))) + (R94)*(IF((YEAR(D94)+6)&lt;YEAR(E94),0,IF((YEAR(D94)+6)&gt;YEAR(E94),1,(12-MONTH(E94)+1)/12))))-(IF(OR(N94="",N94&lt;=0),0,(O94/N94)*(IF(OR(N94="",N94&lt;=0),0,IF((YEAR(D94)+6)&lt;YEAR(E94),0,IF((YEAR(D94)+6)&gt;=YEAR(E94)+N94,0,IF((YEAR(D94)+6)=YEAR(E94),(12-MONTH(E94)+1)/12,1))))))))*TaxRate,0))-IF(6=0,O94,0))</f>
        <v/>
      </c>
      <c r="Z94" s="29">
        <f>IF(A94="","",((K94)*(IF(M94="",L94,IFERROR(IF(INDEX(Variablen!$I:$AT, MATCH(M94, Variablen!$A:$A, 0), MATCH((YEAR(D94)+7), Variablen!$I$3:$AT$3, 0))="",L94,INDEX(Variablen!$I:$AT, MATCH(M94, Variablen!$A:$A, 0), MATCH((YEAR(D94)+7), Variablen!$I$3:$AT$3, 0))),L94)))*(IF((YEAR(D94)+7)&lt;YEAR(E94),0,IF((YEAR(D94)+7)&gt;YEAR(E94),1,(12-MONTH(E94)+1)/12))) + (Q94)*(IF((YEAR(D94)+7)&lt;YEAR(E94),0,IF((YEAR(D94)+7)&gt;YEAR(E94),1,(12-MONTH(E94)+1)/12))))-((P94)*(IF((YEAR(D94)+7)&lt;YEAR(E94),0,IF((YEAR(D94)+7)&gt;YEAR(E94),1,(12-MONTH(E94)+1)/12))) + (R94)*(IF((YEAR(D94)+7)&lt;YEAR(E94),0,IF((YEAR(D94)+7)&gt;YEAR(E94),1,(12-MONTH(E94)+1)/12))))-(IF((((K94)*(IF(M94="",L94,IFERROR(IF(INDEX(Variablen!$I:$AT, MATCH(M94, Variablen!$A:$A, 0), MATCH((YEAR(D94)+7), Variablen!$I$3:$AT$3, 0))="",L94,INDEX(Variablen!$I:$AT, MATCH(M94, Variablen!$A:$A, 0), MATCH((YEAR(D94)+7), Variablen!$I$3:$AT$3, 0))),L94)))*(IF((YEAR(D94)+7)&lt;YEAR(E94),0,IF((YEAR(D94)+7)&gt;YEAR(E94),1,(12-MONTH(E94)+1)/12))) + (Q94)*(IF((YEAR(D94)+7)&lt;YEAR(E94),0,IF((YEAR(D94)+7)&gt;YEAR(E94),1,(12-MONTH(E94)+1)/12))))-((P94)*(IF((YEAR(D94)+7)&lt;YEAR(E94),0,IF((YEAR(D94)+7)&gt;YEAR(E94),1,(12-MONTH(E94)+1)/12))) + (R94)*(IF((YEAR(D94)+7)&lt;YEAR(E94),0,IF((YEAR(D94)+7)&gt;YEAR(E94),1,(12-MONTH(E94)+1)/12))))-(IF(OR(N94="",N94&lt;=0),0,(O94/N94)*(IF(OR(N94="",N94&lt;=0),0,IF((YEAR(D94)+7)&lt;YEAR(E94),0,IF((YEAR(D94)+7)&gt;=YEAR(E94)+N94,0,IF((YEAR(D94)+7)=YEAR(E94),(12-MONTH(E94)+1)/12,1))))))))&gt;0,(((K94)*(IF(M94="",L94,IFERROR(IF(INDEX(Variablen!$I:$AT, MATCH(M94, Variablen!$A:$A, 0), MATCH((YEAR(D94)+7), Variablen!$I$3:$AT$3, 0))="",L94,INDEX(Variablen!$I:$AT, MATCH(M94, Variablen!$A:$A, 0), MATCH((YEAR(D94)+7), Variablen!$I$3:$AT$3, 0))),L94)))*(IF((YEAR(D94)+7)&lt;YEAR(E94),0,IF((YEAR(D94)+7)&gt;YEAR(E94),1,(12-MONTH(E94)+1)/12))) + (Q94)*(IF((YEAR(D94)+7)&lt;YEAR(E94),0,IF((YEAR(D94)+7)&gt;YEAR(E94),1,(12-MONTH(E94)+1)/12))))-((P94)*(IF((YEAR(D94)+7)&lt;YEAR(E94),0,IF((YEAR(D94)+7)&gt;YEAR(E94),1,(12-MONTH(E94)+1)/12))) + (R94)*(IF((YEAR(D94)+7)&lt;YEAR(E94),0,IF((YEAR(D94)+7)&gt;YEAR(E94),1,(12-MONTH(E94)+1)/12))))-(IF(OR(N94="",N94&lt;=0),0,(O94/N94)*(IF(OR(N94="",N94&lt;=0),0,IF((YEAR(D94)+7)&lt;YEAR(E94),0,IF((YEAR(D94)+7)&gt;=YEAR(E94)+N94,0,IF((YEAR(D94)+7)=YEAR(E94),(12-MONTH(E94)+1)/12,1))))))))*TaxRate,0))-IF(7=0,O94,0))</f>
        <v/>
      </c>
      <c r="AA94" s="29">
        <f>IF(A94="","",((K94)*(IF(M94="",L94,IFERROR(IF(INDEX(Variablen!$I:$AT, MATCH(M94, Variablen!$A:$A, 0), MATCH((YEAR(D94)+8), Variablen!$I$3:$AT$3, 0))="",L94,INDEX(Variablen!$I:$AT, MATCH(M94, Variablen!$A:$A, 0), MATCH((YEAR(D94)+8), Variablen!$I$3:$AT$3, 0))),L94)))*(IF((YEAR(D94)+8)&lt;YEAR(E94),0,IF((YEAR(D94)+8)&gt;YEAR(E94),1,(12-MONTH(E94)+1)/12))) + (Q94)*(IF((YEAR(D94)+8)&lt;YEAR(E94),0,IF((YEAR(D94)+8)&gt;YEAR(E94),1,(12-MONTH(E94)+1)/12))))-((P94)*(IF((YEAR(D94)+8)&lt;YEAR(E94),0,IF((YEAR(D94)+8)&gt;YEAR(E94),1,(12-MONTH(E94)+1)/12))) + (R94)*(IF((YEAR(D94)+8)&lt;YEAR(E94),0,IF((YEAR(D94)+8)&gt;YEAR(E94),1,(12-MONTH(E94)+1)/12))))-(IF((((K94)*(IF(M94="",L94,IFERROR(IF(INDEX(Variablen!$I:$AT, MATCH(M94, Variablen!$A:$A, 0), MATCH((YEAR(D94)+8), Variablen!$I$3:$AT$3, 0))="",L94,INDEX(Variablen!$I:$AT, MATCH(M94, Variablen!$A:$A, 0), MATCH((YEAR(D94)+8), Variablen!$I$3:$AT$3, 0))),L94)))*(IF((YEAR(D94)+8)&lt;YEAR(E94),0,IF((YEAR(D94)+8)&gt;YEAR(E94),1,(12-MONTH(E94)+1)/12))) + (Q94)*(IF((YEAR(D94)+8)&lt;YEAR(E94),0,IF((YEAR(D94)+8)&gt;YEAR(E94),1,(12-MONTH(E94)+1)/12))))-((P94)*(IF((YEAR(D94)+8)&lt;YEAR(E94),0,IF((YEAR(D94)+8)&gt;YEAR(E94),1,(12-MONTH(E94)+1)/12))) + (R94)*(IF((YEAR(D94)+8)&lt;YEAR(E94),0,IF((YEAR(D94)+8)&gt;YEAR(E94),1,(12-MONTH(E94)+1)/12))))-(IF(OR(N94="",N94&lt;=0),0,(O94/N94)*(IF(OR(N94="",N94&lt;=0),0,IF((YEAR(D94)+8)&lt;YEAR(E94),0,IF((YEAR(D94)+8)&gt;=YEAR(E94)+N94,0,IF((YEAR(D94)+8)=YEAR(E94),(12-MONTH(E94)+1)/12,1))))))))&gt;0,(((K94)*(IF(M94="",L94,IFERROR(IF(INDEX(Variablen!$I:$AT, MATCH(M94, Variablen!$A:$A, 0), MATCH((YEAR(D94)+8), Variablen!$I$3:$AT$3, 0))="",L94,INDEX(Variablen!$I:$AT, MATCH(M94, Variablen!$A:$A, 0), MATCH((YEAR(D94)+8), Variablen!$I$3:$AT$3, 0))),L94)))*(IF((YEAR(D94)+8)&lt;YEAR(E94),0,IF((YEAR(D94)+8)&gt;YEAR(E94),1,(12-MONTH(E94)+1)/12))) + (Q94)*(IF((YEAR(D94)+8)&lt;YEAR(E94),0,IF((YEAR(D94)+8)&gt;YEAR(E94),1,(12-MONTH(E94)+1)/12))))-((P94)*(IF((YEAR(D94)+8)&lt;YEAR(E94),0,IF((YEAR(D94)+8)&gt;YEAR(E94),1,(12-MONTH(E94)+1)/12))) + (R94)*(IF((YEAR(D94)+8)&lt;YEAR(E94),0,IF((YEAR(D94)+8)&gt;YEAR(E94),1,(12-MONTH(E94)+1)/12))))-(IF(OR(N94="",N94&lt;=0),0,(O94/N94)*(IF(OR(N94="",N94&lt;=0),0,IF((YEAR(D94)+8)&lt;YEAR(E94),0,IF((YEAR(D94)+8)&gt;=YEAR(E94)+N94,0,IF((YEAR(D94)+8)=YEAR(E94),(12-MONTH(E94)+1)/12,1))))))))*TaxRate,0))-IF(8=0,O94,0))</f>
        <v/>
      </c>
      <c r="AB94" s="29">
        <f>IF(A94="","",((K94)*(IF(M94="",L94,IFERROR(IF(INDEX(Variablen!$I:$AT, MATCH(M94, Variablen!$A:$A, 0), MATCH((YEAR(D94)+9), Variablen!$I$3:$AT$3, 0))="",L94,INDEX(Variablen!$I:$AT, MATCH(M94, Variablen!$A:$A, 0), MATCH((YEAR(D94)+9), Variablen!$I$3:$AT$3, 0))),L94)))*(IF((YEAR(D94)+9)&lt;YEAR(E94),0,IF((YEAR(D94)+9)&gt;YEAR(E94),1,(12-MONTH(E94)+1)/12))) + (Q94)*(IF((YEAR(D94)+9)&lt;YEAR(E94),0,IF((YEAR(D94)+9)&gt;YEAR(E94),1,(12-MONTH(E94)+1)/12))))-((P94)*(IF((YEAR(D94)+9)&lt;YEAR(E94),0,IF((YEAR(D94)+9)&gt;YEAR(E94),1,(12-MONTH(E94)+1)/12))) + (R94)*(IF((YEAR(D94)+9)&lt;YEAR(E94),0,IF((YEAR(D94)+9)&gt;YEAR(E94),1,(12-MONTH(E94)+1)/12))))-(IF((((K94)*(IF(M94="",L94,IFERROR(IF(INDEX(Variablen!$I:$AT, MATCH(M94, Variablen!$A:$A, 0), MATCH((YEAR(D94)+9), Variablen!$I$3:$AT$3, 0))="",L94,INDEX(Variablen!$I:$AT, MATCH(M94, Variablen!$A:$A, 0), MATCH((YEAR(D94)+9), Variablen!$I$3:$AT$3, 0))),L94)))*(IF((YEAR(D94)+9)&lt;YEAR(E94),0,IF((YEAR(D94)+9)&gt;YEAR(E94),1,(12-MONTH(E94)+1)/12))) + (Q94)*(IF((YEAR(D94)+9)&lt;YEAR(E94),0,IF((YEAR(D94)+9)&gt;YEAR(E94),1,(12-MONTH(E94)+1)/12))))-((P94)*(IF((YEAR(D94)+9)&lt;YEAR(E94),0,IF((YEAR(D94)+9)&gt;YEAR(E94),1,(12-MONTH(E94)+1)/12))) + (R94)*(IF((YEAR(D94)+9)&lt;YEAR(E94),0,IF((YEAR(D94)+9)&gt;YEAR(E94),1,(12-MONTH(E94)+1)/12))))-(IF(OR(N94="",N94&lt;=0),0,(O94/N94)*(IF(OR(N94="",N94&lt;=0),0,IF((YEAR(D94)+9)&lt;YEAR(E94),0,IF((YEAR(D94)+9)&gt;=YEAR(E94)+N94,0,IF((YEAR(D94)+9)=YEAR(E94),(12-MONTH(E94)+1)/12,1))))))))&gt;0,(((K94)*(IF(M94="",L94,IFERROR(IF(INDEX(Variablen!$I:$AT, MATCH(M94, Variablen!$A:$A, 0), MATCH((YEAR(D94)+9), Variablen!$I$3:$AT$3, 0))="",L94,INDEX(Variablen!$I:$AT, MATCH(M94, Variablen!$A:$A, 0), MATCH((YEAR(D94)+9), Variablen!$I$3:$AT$3, 0))),L94)))*(IF((YEAR(D94)+9)&lt;YEAR(E94),0,IF((YEAR(D94)+9)&gt;YEAR(E94),1,(12-MONTH(E94)+1)/12))) + (Q94)*(IF((YEAR(D94)+9)&lt;YEAR(E94),0,IF((YEAR(D94)+9)&gt;YEAR(E94),1,(12-MONTH(E94)+1)/12))))-((P94)*(IF((YEAR(D94)+9)&lt;YEAR(E94),0,IF((YEAR(D94)+9)&gt;YEAR(E94),1,(12-MONTH(E94)+1)/12))) + (R94)*(IF((YEAR(D94)+9)&lt;YEAR(E94),0,IF((YEAR(D94)+9)&gt;YEAR(E94),1,(12-MONTH(E94)+1)/12))))-(IF(OR(N94="",N94&lt;=0),0,(O94/N94)*(IF(OR(N94="",N94&lt;=0),0,IF((YEAR(D94)+9)&lt;YEAR(E94),0,IF((YEAR(D94)+9)&gt;=YEAR(E94)+N94,0,IF((YEAR(D94)+9)=YEAR(E94),(12-MONTH(E94)+1)/12,1))))))))*TaxRate,0))-IF(9=0,O94,0))</f>
        <v/>
      </c>
      <c r="AC94" s="29">
        <f>IF(A94="","",((K94)*(IF(M94="",L94,IFERROR(IF(INDEX(Variablen!$I:$AT, MATCH(M94, Variablen!$A:$A, 0), MATCH((YEAR(D94)+10), Variablen!$I$3:$AT$3, 0))="",L94,INDEX(Variablen!$I:$AT, MATCH(M94, Variablen!$A:$A, 0), MATCH((YEAR(D94)+10), Variablen!$I$3:$AT$3, 0))),L94)))*(IF((YEAR(D94)+10)&lt;YEAR(E94),0,IF((YEAR(D94)+10)&gt;YEAR(E94),1,(12-MONTH(E94)+1)/12))) + (Q94)*(IF((YEAR(D94)+10)&lt;YEAR(E94),0,IF((YEAR(D94)+10)&gt;YEAR(E94),1,(12-MONTH(E94)+1)/12))))-((P94)*(IF((YEAR(D94)+10)&lt;YEAR(E94),0,IF((YEAR(D94)+10)&gt;YEAR(E94),1,(12-MONTH(E94)+1)/12))) + (R94)*(IF((YEAR(D94)+10)&lt;YEAR(E94),0,IF((YEAR(D94)+10)&gt;YEAR(E94),1,(12-MONTH(E94)+1)/12))))-(IF((((K94)*(IF(M94="",L94,IFERROR(IF(INDEX(Variablen!$I:$AT, MATCH(M94, Variablen!$A:$A, 0), MATCH((YEAR(D94)+10), Variablen!$I$3:$AT$3, 0))="",L94,INDEX(Variablen!$I:$AT, MATCH(M94, Variablen!$A:$A, 0), MATCH((YEAR(D94)+10), Variablen!$I$3:$AT$3, 0))),L94)))*(IF((YEAR(D94)+10)&lt;YEAR(E94),0,IF((YEAR(D94)+10)&gt;YEAR(E94),1,(12-MONTH(E94)+1)/12))) + (Q94)*(IF((YEAR(D94)+10)&lt;YEAR(E94),0,IF((YEAR(D94)+10)&gt;YEAR(E94),1,(12-MONTH(E94)+1)/12))))-((P94)*(IF((YEAR(D94)+10)&lt;YEAR(E94),0,IF((YEAR(D94)+10)&gt;YEAR(E94),1,(12-MONTH(E94)+1)/12))) + (R94)*(IF((YEAR(D94)+10)&lt;YEAR(E94),0,IF((YEAR(D94)+10)&gt;YEAR(E94),1,(12-MONTH(E94)+1)/12))))-(IF(OR(N94="",N94&lt;=0),0,(O94/N94)*(IF(OR(N94="",N94&lt;=0),0,IF((YEAR(D94)+10)&lt;YEAR(E94),0,IF((YEAR(D94)+10)&gt;=YEAR(E94)+N94,0,IF((YEAR(D94)+10)=YEAR(E94),(12-MONTH(E94)+1)/12,1))))))))&gt;0,(((K94)*(IF(M94="",L94,IFERROR(IF(INDEX(Variablen!$I:$AT, MATCH(M94, Variablen!$A:$A, 0), MATCH((YEAR(D94)+10), Variablen!$I$3:$AT$3, 0))="",L94,INDEX(Variablen!$I:$AT, MATCH(M94, Variablen!$A:$A, 0), MATCH((YEAR(D94)+10), Variablen!$I$3:$AT$3, 0))),L94)))*(IF((YEAR(D94)+10)&lt;YEAR(E94),0,IF((YEAR(D94)+10)&gt;YEAR(E94),1,(12-MONTH(E94)+1)/12))) + (Q94)*(IF((YEAR(D94)+10)&lt;YEAR(E94),0,IF((YEAR(D94)+10)&gt;YEAR(E94),1,(12-MONTH(E94)+1)/12))))-((P94)*(IF((YEAR(D94)+10)&lt;YEAR(E94),0,IF((YEAR(D94)+10)&gt;YEAR(E94),1,(12-MONTH(E94)+1)/12))) + (R94)*(IF((YEAR(D94)+10)&lt;YEAR(E94),0,IF((YEAR(D94)+10)&gt;YEAR(E94),1,(12-MONTH(E94)+1)/12))))-(IF(OR(N94="",N94&lt;=0),0,(O94/N94)*(IF(OR(N94="",N94&lt;=0),0,IF((YEAR(D94)+10)&lt;YEAR(E94),0,IF((YEAR(D94)+10)&gt;=YEAR(E94)+N94,0,IF((YEAR(D94)+10)=YEAR(E94),(12-MONTH(E94)+1)/12,1))))))))*TaxRate,0))-IF(10=0,O94,0))</f>
        <v/>
      </c>
      <c r="AD94" s="29">
        <f>IF(A94="","",((K94)*(IF(M94="",L94,IFERROR(IF(INDEX(Variablen!$I:$AT, MATCH(M94, Variablen!$A:$A, 0), MATCH((YEAR(D94)+11), Variablen!$I$3:$AT$3, 0))="",L94,INDEX(Variablen!$I:$AT, MATCH(M94, Variablen!$A:$A, 0), MATCH((YEAR(D94)+11), Variablen!$I$3:$AT$3, 0))),L94)))*(IF((YEAR(D94)+11)&lt;YEAR(E94),0,IF((YEAR(D94)+11)&gt;YEAR(E94),1,(12-MONTH(E94)+1)/12))) + (Q94)*(IF((YEAR(D94)+11)&lt;YEAR(E94),0,IF((YEAR(D94)+11)&gt;YEAR(E94),1,(12-MONTH(E94)+1)/12))))-((P94)*(IF((YEAR(D94)+11)&lt;YEAR(E94),0,IF((YEAR(D94)+11)&gt;YEAR(E94),1,(12-MONTH(E94)+1)/12))) + (R94)*(IF((YEAR(D94)+11)&lt;YEAR(E94),0,IF((YEAR(D94)+11)&gt;YEAR(E94),1,(12-MONTH(E94)+1)/12))))-(IF((((K94)*(IF(M94="",L94,IFERROR(IF(INDEX(Variablen!$I:$AT, MATCH(M94, Variablen!$A:$A, 0), MATCH((YEAR(D94)+11), Variablen!$I$3:$AT$3, 0))="",L94,INDEX(Variablen!$I:$AT, MATCH(M94, Variablen!$A:$A, 0), MATCH((YEAR(D94)+11), Variablen!$I$3:$AT$3, 0))),L94)))*(IF((YEAR(D94)+11)&lt;YEAR(E94),0,IF((YEAR(D94)+11)&gt;YEAR(E94),1,(12-MONTH(E94)+1)/12))) + (Q94)*(IF((YEAR(D94)+11)&lt;YEAR(E94),0,IF((YEAR(D94)+11)&gt;YEAR(E94),1,(12-MONTH(E94)+1)/12))))-((P94)*(IF((YEAR(D94)+11)&lt;YEAR(E94),0,IF((YEAR(D94)+11)&gt;YEAR(E94),1,(12-MONTH(E94)+1)/12))) + (R94)*(IF((YEAR(D94)+11)&lt;YEAR(E94),0,IF((YEAR(D94)+11)&gt;YEAR(E94),1,(12-MONTH(E94)+1)/12))))-(IF(OR(N94="",N94&lt;=0),0,(O94/N94)*(IF(OR(N94="",N94&lt;=0),0,IF((YEAR(D94)+11)&lt;YEAR(E94),0,IF((YEAR(D94)+11)&gt;=YEAR(E94)+N94,0,IF((YEAR(D94)+11)=YEAR(E94),(12-MONTH(E94)+1)/12,1))))))))&gt;0,(((K94)*(IF(M94="",L94,IFERROR(IF(INDEX(Variablen!$I:$AT, MATCH(M94, Variablen!$A:$A, 0), MATCH((YEAR(D94)+11), Variablen!$I$3:$AT$3, 0))="",L94,INDEX(Variablen!$I:$AT, MATCH(M94, Variablen!$A:$A, 0), MATCH((YEAR(D94)+11), Variablen!$I$3:$AT$3, 0))),L94)))*(IF((YEAR(D94)+11)&lt;YEAR(E94),0,IF((YEAR(D94)+11)&gt;YEAR(E94),1,(12-MONTH(E94)+1)/12))) + (Q94)*(IF((YEAR(D94)+11)&lt;YEAR(E94),0,IF((YEAR(D94)+11)&gt;YEAR(E94),1,(12-MONTH(E94)+1)/12))))-((P94)*(IF((YEAR(D94)+11)&lt;YEAR(E94),0,IF((YEAR(D94)+11)&gt;YEAR(E94),1,(12-MONTH(E94)+1)/12))) + (R94)*(IF((YEAR(D94)+11)&lt;YEAR(E94),0,IF((YEAR(D94)+11)&gt;YEAR(E94),1,(12-MONTH(E94)+1)/12))))-(IF(OR(N94="",N94&lt;=0),0,(O94/N94)*(IF(OR(N94="",N94&lt;=0),0,IF((YEAR(D94)+11)&lt;YEAR(E94),0,IF((YEAR(D94)+11)&gt;=YEAR(E94)+N94,0,IF((YEAR(D94)+11)=YEAR(E94),(12-MONTH(E94)+1)/12,1))))))))*TaxRate,0))-IF(11=0,O94,0))</f>
        <v/>
      </c>
      <c r="AE94" s="29">
        <f>IF(A94="","",((K94)*(IF(M94="",L94,IFERROR(IF(INDEX(Variablen!$I:$AT, MATCH(M94, Variablen!$A:$A, 0), MATCH((YEAR(D94)+12), Variablen!$I$3:$AT$3, 0))="",L94,INDEX(Variablen!$I:$AT, MATCH(M94, Variablen!$A:$A, 0), MATCH((YEAR(D94)+12), Variablen!$I$3:$AT$3, 0))),L94)))*(IF((YEAR(D94)+12)&lt;YEAR(E94),0,IF((YEAR(D94)+12)&gt;YEAR(E94),1,(12-MONTH(E94)+1)/12))) + (Q94)*(IF((YEAR(D94)+12)&lt;YEAR(E94),0,IF((YEAR(D94)+12)&gt;YEAR(E94),1,(12-MONTH(E94)+1)/12))))-((P94)*(IF((YEAR(D94)+12)&lt;YEAR(E94),0,IF((YEAR(D94)+12)&gt;YEAR(E94),1,(12-MONTH(E94)+1)/12))) + (R94)*(IF((YEAR(D94)+12)&lt;YEAR(E94),0,IF((YEAR(D94)+12)&gt;YEAR(E94),1,(12-MONTH(E94)+1)/12))))-(IF((((K94)*(IF(M94="",L94,IFERROR(IF(INDEX(Variablen!$I:$AT, MATCH(M94, Variablen!$A:$A, 0), MATCH((YEAR(D94)+12), Variablen!$I$3:$AT$3, 0))="",L94,INDEX(Variablen!$I:$AT, MATCH(M94, Variablen!$A:$A, 0), MATCH((YEAR(D94)+12), Variablen!$I$3:$AT$3, 0))),L94)))*(IF((YEAR(D94)+12)&lt;YEAR(E94),0,IF((YEAR(D94)+12)&gt;YEAR(E94),1,(12-MONTH(E94)+1)/12))) + (Q94)*(IF((YEAR(D94)+12)&lt;YEAR(E94),0,IF((YEAR(D94)+12)&gt;YEAR(E94),1,(12-MONTH(E94)+1)/12))))-((P94)*(IF((YEAR(D94)+12)&lt;YEAR(E94),0,IF((YEAR(D94)+12)&gt;YEAR(E94),1,(12-MONTH(E94)+1)/12))) + (R94)*(IF((YEAR(D94)+12)&lt;YEAR(E94),0,IF((YEAR(D94)+12)&gt;YEAR(E94),1,(12-MONTH(E94)+1)/12))))-(IF(OR(N94="",N94&lt;=0),0,(O94/N94)*(IF(OR(N94="",N94&lt;=0),0,IF((YEAR(D94)+12)&lt;YEAR(E94),0,IF((YEAR(D94)+12)&gt;=YEAR(E94)+N94,0,IF((YEAR(D94)+12)=YEAR(E94),(12-MONTH(E94)+1)/12,1))))))))&gt;0,(((K94)*(IF(M94="",L94,IFERROR(IF(INDEX(Variablen!$I:$AT, MATCH(M94, Variablen!$A:$A, 0), MATCH((YEAR(D94)+12), Variablen!$I$3:$AT$3, 0))="",L94,INDEX(Variablen!$I:$AT, MATCH(M94, Variablen!$A:$A, 0), MATCH((YEAR(D94)+12), Variablen!$I$3:$AT$3, 0))),L94)))*(IF((YEAR(D94)+12)&lt;YEAR(E94),0,IF((YEAR(D94)+12)&gt;YEAR(E94),1,(12-MONTH(E94)+1)/12))) + (Q94)*(IF((YEAR(D94)+12)&lt;YEAR(E94),0,IF((YEAR(D94)+12)&gt;YEAR(E94),1,(12-MONTH(E94)+1)/12))))-((P94)*(IF((YEAR(D94)+12)&lt;YEAR(E94),0,IF((YEAR(D94)+12)&gt;YEAR(E94),1,(12-MONTH(E94)+1)/12))) + (R94)*(IF((YEAR(D94)+12)&lt;YEAR(E94),0,IF((YEAR(D94)+12)&gt;YEAR(E94),1,(12-MONTH(E94)+1)/12))))-(IF(OR(N94="",N94&lt;=0),0,(O94/N94)*(IF(OR(N94="",N94&lt;=0),0,IF((YEAR(D94)+12)&lt;YEAR(E94),0,IF((YEAR(D94)+12)&gt;=YEAR(E94)+N94,0,IF((YEAR(D94)+12)=YEAR(E94),(12-MONTH(E94)+1)/12,1))))))))*TaxRate,0))-IF(12=0,O94,0))</f>
        <v/>
      </c>
      <c r="AF94" s="29">
        <f>IF(A94="","",((K94)*(IF(M94="",L94,IFERROR(IF(INDEX(Variablen!$I:$AT, MATCH(M94, Variablen!$A:$A, 0), MATCH((YEAR(D94)+13), Variablen!$I$3:$AT$3, 0))="",L94,INDEX(Variablen!$I:$AT, MATCH(M94, Variablen!$A:$A, 0), MATCH((YEAR(D94)+13), Variablen!$I$3:$AT$3, 0))),L94)))*(IF((YEAR(D94)+13)&lt;YEAR(E94),0,IF((YEAR(D94)+13)&gt;YEAR(E94),1,(12-MONTH(E94)+1)/12))) + (Q94)*(IF((YEAR(D94)+13)&lt;YEAR(E94),0,IF((YEAR(D94)+13)&gt;YEAR(E94),1,(12-MONTH(E94)+1)/12))))-((P94)*(IF((YEAR(D94)+13)&lt;YEAR(E94),0,IF((YEAR(D94)+13)&gt;YEAR(E94),1,(12-MONTH(E94)+1)/12))) + (R94)*(IF((YEAR(D94)+13)&lt;YEAR(E94),0,IF((YEAR(D94)+13)&gt;YEAR(E94),1,(12-MONTH(E94)+1)/12))))-(IF((((K94)*(IF(M94="",L94,IFERROR(IF(INDEX(Variablen!$I:$AT, MATCH(M94, Variablen!$A:$A, 0), MATCH((YEAR(D94)+13), Variablen!$I$3:$AT$3, 0))="",L94,INDEX(Variablen!$I:$AT, MATCH(M94, Variablen!$A:$A, 0), MATCH((YEAR(D94)+13), Variablen!$I$3:$AT$3, 0))),L94)))*(IF((YEAR(D94)+13)&lt;YEAR(E94),0,IF((YEAR(D94)+13)&gt;YEAR(E94),1,(12-MONTH(E94)+1)/12))) + (Q94)*(IF((YEAR(D94)+13)&lt;YEAR(E94),0,IF((YEAR(D94)+13)&gt;YEAR(E94),1,(12-MONTH(E94)+1)/12))))-((P94)*(IF((YEAR(D94)+13)&lt;YEAR(E94),0,IF((YEAR(D94)+13)&gt;YEAR(E94),1,(12-MONTH(E94)+1)/12))) + (R94)*(IF((YEAR(D94)+13)&lt;YEAR(E94),0,IF((YEAR(D94)+13)&gt;YEAR(E94),1,(12-MONTH(E94)+1)/12))))-(IF(OR(N94="",N94&lt;=0),0,(O94/N94)*(IF(OR(N94="",N94&lt;=0),0,IF((YEAR(D94)+13)&lt;YEAR(E94),0,IF((YEAR(D94)+13)&gt;=YEAR(E94)+N94,0,IF((YEAR(D94)+13)=YEAR(E94),(12-MONTH(E94)+1)/12,1))))))))&gt;0,(((K94)*(IF(M94="",L94,IFERROR(IF(INDEX(Variablen!$I:$AT, MATCH(M94, Variablen!$A:$A, 0), MATCH((YEAR(D94)+13), Variablen!$I$3:$AT$3, 0))="",L94,INDEX(Variablen!$I:$AT, MATCH(M94, Variablen!$A:$A, 0), MATCH((YEAR(D94)+13), Variablen!$I$3:$AT$3, 0))),L94)))*(IF((YEAR(D94)+13)&lt;YEAR(E94),0,IF((YEAR(D94)+13)&gt;YEAR(E94),1,(12-MONTH(E94)+1)/12))) + (Q94)*(IF((YEAR(D94)+13)&lt;YEAR(E94),0,IF((YEAR(D94)+13)&gt;YEAR(E94),1,(12-MONTH(E94)+1)/12))))-((P94)*(IF((YEAR(D94)+13)&lt;YEAR(E94),0,IF((YEAR(D94)+13)&gt;YEAR(E94),1,(12-MONTH(E94)+1)/12))) + (R94)*(IF((YEAR(D94)+13)&lt;YEAR(E94),0,IF((YEAR(D94)+13)&gt;YEAR(E94),1,(12-MONTH(E94)+1)/12))))-(IF(OR(N94="",N94&lt;=0),0,(O94/N94)*(IF(OR(N94="",N94&lt;=0),0,IF((YEAR(D94)+13)&lt;YEAR(E94),0,IF((YEAR(D94)+13)&gt;=YEAR(E94)+N94,0,IF((YEAR(D94)+13)=YEAR(E94),(12-MONTH(E94)+1)/12,1))))))))*TaxRate,0))-IF(13=0,O94,0))</f>
        <v/>
      </c>
      <c r="AG94" s="29">
        <f>IF(A94="","",((K94)*(IF(M94="",L94,IFERROR(IF(INDEX(Variablen!$I:$AT, MATCH(M94, Variablen!$A:$A, 0), MATCH((YEAR(D94)+14), Variablen!$I$3:$AT$3, 0))="",L94,INDEX(Variablen!$I:$AT, MATCH(M94, Variablen!$A:$A, 0), MATCH((YEAR(D94)+14), Variablen!$I$3:$AT$3, 0))),L94)))*(IF((YEAR(D94)+14)&lt;YEAR(E94),0,IF((YEAR(D94)+14)&gt;YEAR(E94),1,(12-MONTH(E94)+1)/12))) + (Q94)*(IF((YEAR(D94)+14)&lt;YEAR(E94),0,IF((YEAR(D94)+14)&gt;YEAR(E94),1,(12-MONTH(E94)+1)/12))))-((P94)*(IF((YEAR(D94)+14)&lt;YEAR(E94),0,IF((YEAR(D94)+14)&gt;YEAR(E94),1,(12-MONTH(E94)+1)/12))) + (R94)*(IF((YEAR(D94)+14)&lt;YEAR(E94),0,IF((YEAR(D94)+14)&gt;YEAR(E94),1,(12-MONTH(E94)+1)/12))))-(IF((((K94)*(IF(M94="",L94,IFERROR(IF(INDEX(Variablen!$I:$AT, MATCH(M94, Variablen!$A:$A, 0), MATCH((YEAR(D94)+14), Variablen!$I$3:$AT$3, 0))="",L94,INDEX(Variablen!$I:$AT, MATCH(M94, Variablen!$A:$A, 0), MATCH((YEAR(D94)+14), Variablen!$I$3:$AT$3, 0))),L94)))*(IF((YEAR(D94)+14)&lt;YEAR(E94),0,IF((YEAR(D94)+14)&gt;YEAR(E94),1,(12-MONTH(E94)+1)/12))) + (Q94)*(IF((YEAR(D94)+14)&lt;YEAR(E94),0,IF((YEAR(D94)+14)&gt;YEAR(E94),1,(12-MONTH(E94)+1)/12))))-((P94)*(IF((YEAR(D94)+14)&lt;YEAR(E94),0,IF((YEAR(D94)+14)&gt;YEAR(E94),1,(12-MONTH(E94)+1)/12))) + (R94)*(IF((YEAR(D94)+14)&lt;YEAR(E94),0,IF((YEAR(D94)+14)&gt;YEAR(E94),1,(12-MONTH(E94)+1)/12))))-(IF(OR(N94="",N94&lt;=0),0,(O94/N94)*(IF(OR(N94="",N94&lt;=0),0,IF((YEAR(D94)+14)&lt;YEAR(E94),0,IF((YEAR(D94)+14)&gt;=YEAR(E94)+N94,0,IF((YEAR(D94)+14)=YEAR(E94),(12-MONTH(E94)+1)/12,1))))))))&gt;0,(((K94)*(IF(M94="",L94,IFERROR(IF(INDEX(Variablen!$I:$AT, MATCH(M94, Variablen!$A:$A, 0), MATCH((YEAR(D94)+14), Variablen!$I$3:$AT$3, 0))="",L94,INDEX(Variablen!$I:$AT, MATCH(M94, Variablen!$A:$A, 0), MATCH((YEAR(D94)+14), Variablen!$I$3:$AT$3, 0))),L94)))*(IF((YEAR(D94)+14)&lt;YEAR(E94),0,IF((YEAR(D94)+14)&gt;YEAR(E94),1,(12-MONTH(E94)+1)/12))) + (Q94)*(IF((YEAR(D94)+14)&lt;YEAR(E94),0,IF((YEAR(D94)+14)&gt;YEAR(E94),1,(12-MONTH(E94)+1)/12))))-((P94)*(IF((YEAR(D94)+14)&lt;YEAR(E94),0,IF((YEAR(D94)+14)&gt;YEAR(E94),1,(12-MONTH(E94)+1)/12))) + (R94)*(IF((YEAR(D94)+14)&lt;YEAR(E94),0,IF((YEAR(D94)+14)&gt;YEAR(E94),1,(12-MONTH(E94)+1)/12))))-(IF(OR(N94="",N94&lt;=0),0,(O94/N94)*(IF(OR(N94="",N94&lt;=0),0,IF((YEAR(D94)+14)&lt;YEAR(E94),0,IF((YEAR(D94)+14)&gt;=YEAR(E94)+N94,0,IF((YEAR(D94)+14)=YEAR(E94),(12-MONTH(E94)+1)/12,1))))))))*TaxRate,0))-IF(14=0,O94,0))</f>
        <v/>
      </c>
      <c r="AH94" s="29">
        <f>IF(A94="","",((K94)*(IF(M94="",L94,IFERROR(IF(INDEX(Variablen!$I:$AT, MATCH(M94, Variablen!$A:$A, 0), MATCH((YEAR(D94)+15), Variablen!$I$3:$AT$3, 0))="",L94,INDEX(Variablen!$I:$AT, MATCH(M94, Variablen!$A:$A, 0), MATCH((YEAR(D94)+15), Variablen!$I$3:$AT$3, 0))),L94)))*(IF((YEAR(D94)+15)&lt;YEAR(E94),0,IF((YEAR(D94)+15)&gt;YEAR(E94),1,(12-MONTH(E94)+1)/12))) + (Q94)*(IF((YEAR(D94)+15)&lt;YEAR(E94),0,IF((YEAR(D94)+15)&gt;YEAR(E94),1,(12-MONTH(E94)+1)/12))))-((P94)*(IF((YEAR(D94)+15)&lt;YEAR(E94),0,IF((YEAR(D94)+15)&gt;YEAR(E94),1,(12-MONTH(E94)+1)/12))) + (R94)*(IF((YEAR(D94)+15)&lt;YEAR(E94),0,IF((YEAR(D94)+15)&gt;YEAR(E94),1,(12-MONTH(E94)+1)/12))))-(IF((((K94)*(IF(M94="",L94,IFERROR(IF(INDEX(Variablen!$I:$AT, MATCH(M94, Variablen!$A:$A, 0), MATCH((YEAR(D94)+15), Variablen!$I$3:$AT$3, 0))="",L94,INDEX(Variablen!$I:$AT, MATCH(M94, Variablen!$A:$A, 0), MATCH((YEAR(D94)+15), Variablen!$I$3:$AT$3, 0))),L94)))*(IF((YEAR(D94)+15)&lt;YEAR(E94),0,IF((YEAR(D94)+15)&gt;YEAR(E94),1,(12-MONTH(E94)+1)/12))) + (Q94)*(IF((YEAR(D94)+15)&lt;YEAR(E94),0,IF((YEAR(D94)+15)&gt;YEAR(E94),1,(12-MONTH(E94)+1)/12))))-((P94)*(IF((YEAR(D94)+15)&lt;YEAR(E94),0,IF((YEAR(D94)+15)&gt;YEAR(E94),1,(12-MONTH(E94)+1)/12))) + (R94)*(IF((YEAR(D94)+15)&lt;YEAR(E94),0,IF((YEAR(D94)+15)&gt;YEAR(E94),1,(12-MONTH(E94)+1)/12))))-(IF(OR(N94="",N94&lt;=0),0,(O94/N94)*(IF(OR(N94="",N94&lt;=0),0,IF((YEAR(D94)+15)&lt;YEAR(E94),0,IF((YEAR(D94)+15)&gt;=YEAR(E94)+N94,0,IF((YEAR(D94)+15)=YEAR(E94),(12-MONTH(E94)+1)/12,1))))))))&gt;0,(((K94)*(IF(M94="",L94,IFERROR(IF(INDEX(Variablen!$I:$AT, MATCH(M94, Variablen!$A:$A, 0), MATCH((YEAR(D94)+15), Variablen!$I$3:$AT$3, 0))="",L94,INDEX(Variablen!$I:$AT, MATCH(M94, Variablen!$A:$A, 0), MATCH((YEAR(D94)+15), Variablen!$I$3:$AT$3, 0))),L94)))*(IF((YEAR(D94)+15)&lt;YEAR(E94),0,IF((YEAR(D94)+15)&gt;YEAR(E94),1,(12-MONTH(E94)+1)/12))) + (Q94)*(IF((YEAR(D94)+15)&lt;YEAR(E94),0,IF((YEAR(D94)+15)&gt;YEAR(E94),1,(12-MONTH(E94)+1)/12))))-((P94)*(IF((YEAR(D94)+15)&lt;YEAR(E94),0,IF((YEAR(D94)+15)&gt;YEAR(E94),1,(12-MONTH(E94)+1)/12))) + (R94)*(IF((YEAR(D94)+15)&lt;YEAR(E94),0,IF((YEAR(D94)+15)&gt;YEAR(E94),1,(12-MONTH(E94)+1)/12))))-(IF(OR(N94="",N94&lt;=0),0,(O94/N94)*(IF(OR(N94="",N94&lt;=0),0,IF((YEAR(D94)+15)&lt;YEAR(E94),0,IF((YEAR(D94)+15)&gt;=YEAR(E94)+N94,0,IF((YEAR(D94)+15)=YEAR(E94),(12-MONTH(E94)+1)/12,1))))))))*TaxRate,0))-IF(15=0,O94,0))</f>
        <v/>
      </c>
      <c r="AI94" s="29">
        <f>IF(A94="","",((K94)*(IF(M94="",L94,IFERROR(IF(INDEX(Variablen!$I:$AT, MATCH(M94, Variablen!$A:$A, 0), MATCH((YEAR(D94)+16), Variablen!$I$3:$AT$3, 0))="",L94,INDEX(Variablen!$I:$AT, MATCH(M94, Variablen!$A:$A, 0), MATCH((YEAR(D94)+16), Variablen!$I$3:$AT$3, 0))),L94)))*(IF((YEAR(D94)+16)&lt;YEAR(E94),0,IF((YEAR(D94)+16)&gt;YEAR(E94),1,(12-MONTH(E94)+1)/12))) + (Q94)*(IF((YEAR(D94)+16)&lt;YEAR(E94),0,IF((YEAR(D94)+16)&gt;YEAR(E94),1,(12-MONTH(E94)+1)/12))))-((P94)*(IF((YEAR(D94)+16)&lt;YEAR(E94),0,IF((YEAR(D94)+16)&gt;YEAR(E94),1,(12-MONTH(E94)+1)/12))) + (R94)*(IF((YEAR(D94)+16)&lt;YEAR(E94),0,IF((YEAR(D94)+16)&gt;YEAR(E94),1,(12-MONTH(E94)+1)/12))))-(IF((((K94)*(IF(M94="",L94,IFERROR(IF(INDEX(Variablen!$I:$AT, MATCH(M94, Variablen!$A:$A, 0), MATCH((YEAR(D94)+16), Variablen!$I$3:$AT$3, 0))="",L94,INDEX(Variablen!$I:$AT, MATCH(M94, Variablen!$A:$A, 0), MATCH((YEAR(D94)+16), Variablen!$I$3:$AT$3, 0))),L94)))*(IF((YEAR(D94)+16)&lt;YEAR(E94),0,IF((YEAR(D94)+16)&gt;YEAR(E94),1,(12-MONTH(E94)+1)/12))) + (Q94)*(IF((YEAR(D94)+16)&lt;YEAR(E94),0,IF((YEAR(D94)+16)&gt;YEAR(E94),1,(12-MONTH(E94)+1)/12))))-((P94)*(IF((YEAR(D94)+16)&lt;YEAR(E94),0,IF((YEAR(D94)+16)&gt;YEAR(E94),1,(12-MONTH(E94)+1)/12))) + (R94)*(IF((YEAR(D94)+16)&lt;YEAR(E94),0,IF((YEAR(D94)+16)&gt;YEAR(E94),1,(12-MONTH(E94)+1)/12))))-(IF(OR(N94="",N94&lt;=0),0,(O94/N94)*(IF(OR(N94="",N94&lt;=0),0,IF((YEAR(D94)+16)&lt;YEAR(E94),0,IF((YEAR(D94)+16)&gt;=YEAR(E94)+N94,0,IF((YEAR(D94)+16)=YEAR(E94),(12-MONTH(E94)+1)/12,1))))))))&gt;0,(((K94)*(IF(M94="",L94,IFERROR(IF(INDEX(Variablen!$I:$AT, MATCH(M94, Variablen!$A:$A, 0), MATCH((YEAR(D94)+16), Variablen!$I$3:$AT$3, 0))="",L94,INDEX(Variablen!$I:$AT, MATCH(M94, Variablen!$A:$A, 0), MATCH((YEAR(D94)+16), Variablen!$I$3:$AT$3, 0))),L94)))*(IF((YEAR(D94)+16)&lt;YEAR(E94),0,IF((YEAR(D94)+16)&gt;YEAR(E94),1,(12-MONTH(E94)+1)/12))) + (Q94)*(IF((YEAR(D94)+16)&lt;YEAR(E94),0,IF((YEAR(D94)+16)&gt;YEAR(E94),1,(12-MONTH(E94)+1)/12))))-((P94)*(IF((YEAR(D94)+16)&lt;YEAR(E94),0,IF((YEAR(D94)+16)&gt;YEAR(E94),1,(12-MONTH(E94)+1)/12))) + (R94)*(IF((YEAR(D94)+16)&lt;YEAR(E94),0,IF((YEAR(D94)+16)&gt;YEAR(E94),1,(12-MONTH(E94)+1)/12))))-(IF(OR(N94="",N94&lt;=0),0,(O94/N94)*(IF(OR(N94="",N94&lt;=0),0,IF((YEAR(D94)+16)&lt;YEAR(E94),0,IF((YEAR(D94)+16)&gt;=YEAR(E94)+N94,0,IF((YEAR(D94)+16)=YEAR(E94),(12-MONTH(E94)+1)/12,1))))))))*TaxRate,0))-IF(16=0,O94,0))</f>
        <v/>
      </c>
      <c r="AJ94" s="29">
        <f>IF(A94="","",((K94)*(IF(M94="",L94,IFERROR(IF(INDEX(Variablen!$I:$AT, MATCH(M94, Variablen!$A:$A, 0), MATCH((YEAR(D94)+17), Variablen!$I$3:$AT$3, 0))="",L94,INDEX(Variablen!$I:$AT, MATCH(M94, Variablen!$A:$A, 0), MATCH((YEAR(D94)+17), Variablen!$I$3:$AT$3, 0))),L94)))*(IF((YEAR(D94)+17)&lt;YEAR(E94),0,IF((YEAR(D94)+17)&gt;YEAR(E94),1,(12-MONTH(E94)+1)/12))) + (Q94)*(IF((YEAR(D94)+17)&lt;YEAR(E94),0,IF((YEAR(D94)+17)&gt;YEAR(E94),1,(12-MONTH(E94)+1)/12))))-((P94)*(IF((YEAR(D94)+17)&lt;YEAR(E94),0,IF((YEAR(D94)+17)&gt;YEAR(E94),1,(12-MONTH(E94)+1)/12))) + (R94)*(IF((YEAR(D94)+17)&lt;YEAR(E94),0,IF((YEAR(D94)+17)&gt;YEAR(E94),1,(12-MONTH(E94)+1)/12))))-(IF((((K94)*(IF(M94="",L94,IFERROR(IF(INDEX(Variablen!$I:$AT, MATCH(M94, Variablen!$A:$A, 0), MATCH((YEAR(D94)+17), Variablen!$I$3:$AT$3, 0))="",L94,INDEX(Variablen!$I:$AT, MATCH(M94, Variablen!$A:$A, 0), MATCH((YEAR(D94)+17), Variablen!$I$3:$AT$3, 0))),L94)))*(IF((YEAR(D94)+17)&lt;YEAR(E94),0,IF((YEAR(D94)+17)&gt;YEAR(E94),1,(12-MONTH(E94)+1)/12))) + (Q94)*(IF((YEAR(D94)+17)&lt;YEAR(E94),0,IF((YEAR(D94)+17)&gt;YEAR(E94),1,(12-MONTH(E94)+1)/12))))-((P94)*(IF((YEAR(D94)+17)&lt;YEAR(E94),0,IF((YEAR(D94)+17)&gt;YEAR(E94),1,(12-MONTH(E94)+1)/12))) + (R94)*(IF((YEAR(D94)+17)&lt;YEAR(E94),0,IF((YEAR(D94)+17)&gt;YEAR(E94),1,(12-MONTH(E94)+1)/12))))-(IF(OR(N94="",N94&lt;=0),0,(O94/N94)*(IF(OR(N94="",N94&lt;=0),0,IF((YEAR(D94)+17)&lt;YEAR(E94),0,IF((YEAR(D94)+17)&gt;=YEAR(E94)+N94,0,IF((YEAR(D94)+17)=YEAR(E94),(12-MONTH(E94)+1)/12,1))))))))&gt;0,(((K94)*(IF(M94="",L94,IFERROR(IF(INDEX(Variablen!$I:$AT, MATCH(M94, Variablen!$A:$A, 0), MATCH((YEAR(D94)+17), Variablen!$I$3:$AT$3, 0))="",L94,INDEX(Variablen!$I:$AT, MATCH(M94, Variablen!$A:$A, 0), MATCH((YEAR(D94)+17), Variablen!$I$3:$AT$3, 0))),L94)))*(IF((YEAR(D94)+17)&lt;YEAR(E94),0,IF((YEAR(D94)+17)&gt;YEAR(E94),1,(12-MONTH(E94)+1)/12))) + (Q94)*(IF((YEAR(D94)+17)&lt;YEAR(E94),0,IF((YEAR(D94)+17)&gt;YEAR(E94),1,(12-MONTH(E94)+1)/12))))-((P94)*(IF((YEAR(D94)+17)&lt;YEAR(E94),0,IF((YEAR(D94)+17)&gt;YEAR(E94),1,(12-MONTH(E94)+1)/12))) + (R94)*(IF((YEAR(D94)+17)&lt;YEAR(E94),0,IF((YEAR(D94)+17)&gt;YEAR(E94),1,(12-MONTH(E94)+1)/12))))-(IF(OR(N94="",N94&lt;=0),0,(O94/N94)*(IF(OR(N94="",N94&lt;=0),0,IF((YEAR(D94)+17)&lt;YEAR(E94),0,IF((YEAR(D94)+17)&gt;=YEAR(E94)+N94,0,IF((YEAR(D94)+17)=YEAR(E94),(12-MONTH(E94)+1)/12,1))))))))*TaxRate,0))-IF(17=0,O94,0))</f>
        <v/>
      </c>
      <c r="AK94" s="29">
        <f>IF(A94="","",((K94)*(IF(M94="",L94,IFERROR(IF(INDEX(Variablen!$I:$AT, MATCH(M94, Variablen!$A:$A, 0), MATCH((YEAR(D94)+18), Variablen!$I$3:$AT$3, 0))="",L94,INDEX(Variablen!$I:$AT, MATCH(M94, Variablen!$A:$A, 0), MATCH((YEAR(D94)+18), Variablen!$I$3:$AT$3, 0))),L94)))*(IF((YEAR(D94)+18)&lt;YEAR(E94),0,IF((YEAR(D94)+18)&gt;YEAR(E94),1,(12-MONTH(E94)+1)/12))) + (Q94)*(IF((YEAR(D94)+18)&lt;YEAR(E94),0,IF((YEAR(D94)+18)&gt;YEAR(E94),1,(12-MONTH(E94)+1)/12))))-((P94)*(IF((YEAR(D94)+18)&lt;YEAR(E94),0,IF((YEAR(D94)+18)&gt;YEAR(E94),1,(12-MONTH(E94)+1)/12))) + (R94)*(IF((YEAR(D94)+18)&lt;YEAR(E94),0,IF((YEAR(D94)+18)&gt;YEAR(E94),1,(12-MONTH(E94)+1)/12))))-(IF((((K94)*(IF(M94="",L94,IFERROR(IF(INDEX(Variablen!$I:$AT, MATCH(M94, Variablen!$A:$A, 0), MATCH((YEAR(D94)+18), Variablen!$I$3:$AT$3, 0))="",L94,INDEX(Variablen!$I:$AT, MATCH(M94, Variablen!$A:$A, 0), MATCH((YEAR(D94)+18), Variablen!$I$3:$AT$3, 0))),L94)))*(IF((YEAR(D94)+18)&lt;YEAR(E94),0,IF((YEAR(D94)+18)&gt;YEAR(E94),1,(12-MONTH(E94)+1)/12))) + (Q94)*(IF((YEAR(D94)+18)&lt;YEAR(E94),0,IF((YEAR(D94)+18)&gt;YEAR(E94),1,(12-MONTH(E94)+1)/12))))-((P94)*(IF((YEAR(D94)+18)&lt;YEAR(E94),0,IF((YEAR(D94)+18)&gt;YEAR(E94),1,(12-MONTH(E94)+1)/12))) + (R94)*(IF((YEAR(D94)+18)&lt;YEAR(E94),0,IF((YEAR(D94)+18)&gt;YEAR(E94),1,(12-MONTH(E94)+1)/12))))-(IF(OR(N94="",N94&lt;=0),0,(O94/N94)*(IF(OR(N94="",N94&lt;=0),0,IF((YEAR(D94)+18)&lt;YEAR(E94),0,IF((YEAR(D94)+18)&gt;=YEAR(E94)+N94,0,IF((YEAR(D94)+18)=YEAR(E94),(12-MONTH(E94)+1)/12,1))))))))&gt;0,(((K94)*(IF(M94="",L94,IFERROR(IF(INDEX(Variablen!$I:$AT, MATCH(M94, Variablen!$A:$A, 0), MATCH((YEAR(D94)+18), Variablen!$I$3:$AT$3, 0))="",L94,INDEX(Variablen!$I:$AT, MATCH(M94, Variablen!$A:$A, 0), MATCH((YEAR(D94)+18), Variablen!$I$3:$AT$3, 0))),L94)))*(IF((YEAR(D94)+18)&lt;YEAR(E94),0,IF((YEAR(D94)+18)&gt;YEAR(E94),1,(12-MONTH(E94)+1)/12))) + (Q94)*(IF((YEAR(D94)+18)&lt;YEAR(E94),0,IF((YEAR(D94)+18)&gt;YEAR(E94),1,(12-MONTH(E94)+1)/12))))-((P94)*(IF((YEAR(D94)+18)&lt;YEAR(E94),0,IF((YEAR(D94)+18)&gt;YEAR(E94),1,(12-MONTH(E94)+1)/12))) + (R94)*(IF((YEAR(D94)+18)&lt;YEAR(E94),0,IF((YEAR(D94)+18)&gt;YEAR(E94),1,(12-MONTH(E94)+1)/12))))-(IF(OR(N94="",N94&lt;=0),0,(O94/N94)*(IF(OR(N94="",N94&lt;=0),0,IF((YEAR(D94)+18)&lt;YEAR(E94),0,IF((YEAR(D94)+18)&gt;=YEAR(E94)+N94,0,IF((YEAR(D94)+18)=YEAR(E94),(12-MONTH(E94)+1)/12,1))))))))*TaxRate,0))-IF(18=0,O94,0))</f>
        <v/>
      </c>
      <c r="AL94" s="29">
        <f>IF(A94="","",((K94)*(IF(M94="",L94,IFERROR(IF(INDEX(Variablen!$I:$AT, MATCH(M94, Variablen!$A:$A, 0), MATCH((YEAR(D94)+19), Variablen!$I$3:$AT$3, 0))="",L94,INDEX(Variablen!$I:$AT, MATCH(M94, Variablen!$A:$A, 0), MATCH((YEAR(D94)+19), Variablen!$I$3:$AT$3, 0))),L94)))*(IF((YEAR(D94)+19)&lt;YEAR(E94),0,IF((YEAR(D94)+19)&gt;YEAR(E94),1,(12-MONTH(E94)+1)/12))) + (Q94)*(IF((YEAR(D94)+19)&lt;YEAR(E94),0,IF((YEAR(D94)+19)&gt;YEAR(E94),1,(12-MONTH(E94)+1)/12))))-((P94)*(IF((YEAR(D94)+19)&lt;YEAR(E94),0,IF((YEAR(D94)+19)&gt;YEAR(E94),1,(12-MONTH(E94)+1)/12))) + (R94)*(IF((YEAR(D94)+19)&lt;YEAR(E94),0,IF((YEAR(D94)+19)&gt;YEAR(E94),1,(12-MONTH(E94)+1)/12))))-(IF((((K94)*(IF(M94="",L94,IFERROR(IF(INDEX(Variablen!$I:$AT, MATCH(M94, Variablen!$A:$A, 0), MATCH((YEAR(D94)+19), Variablen!$I$3:$AT$3, 0))="",L94,INDEX(Variablen!$I:$AT, MATCH(M94, Variablen!$A:$A, 0), MATCH((YEAR(D94)+19), Variablen!$I$3:$AT$3, 0))),L94)))*(IF((YEAR(D94)+19)&lt;YEAR(E94),0,IF((YEAR(D94)+19)&gt;YEAR(E94),1,(12-MONTH(E94)+1)/12))) + (Q94)*(IF((YEAR(D94)+19)&lt;YEAR(E94),0,IF((YEAR(D94)+19)&gt;YEAR(E94),1,(12-MONTH(E94)+1)/12))))-((P94)*(IF((YEAR(D94)+19)&lt;YEAR(E94),0,IF((YEAR(D94)+19)&gt;YEAR(E94),1,(12-MONTH(E94)+1)/12))) + (R94)*(IF((YEAR(D94)+19)&lt;YEAR(E94),0,IF((YEAR(D94)+19)&gt;YEAR(E94),1,(12-MONTH(E94)+1)/12))))-(IF(OR(N94="",N94&lt;=0),0,(O94/N94)*(IF(OR(N94="",N94&lt;=0),0,IF((YEAR(D94)+19)&lt;YEAR(E94),0,IF((YEAR(D94)+19)&gt;=YEAR(E94)+N94,0,IF((YEAR(D94)+19)=YEAR(E94),(12-MONTH(E94)+1)/12,1))))))))&gt;0,(((K94)*(IF(M94="",L94,IFERROR(IF(INDEX(Variablen!$I:$AT, MATCH(M94, Variablen!$A:$A, 0), MATCH((YEAR(D94)+19), Variablen!$I$3:$AT$3, 0))="",L94,INDEX(Variablen!$I:$AT, MATCH(M94, Variablen!$A:$A, 0), MATCH((YEAR(D94)+19), Variablen!$I$3:$AT$3, 0))),L94)))*(IF((YEAR(D94)+19)&lt;YEAR(E94),0,IF((YEAR(D94)+19)&gt;YEAR(E94),1,(12-MONTH(E94)+1)/12))) + (Q94)*(IF((YEAR(D94)+19)&lt;YEAR(E94),0,IF((YEAR(D94)+19)&gt;YEAR(E94),1,(12-MONTH(E94)+1)/12))))-((P94)*(IF((YEAR(D94)+19)&lt;YEAR(E94),0,IF((YEAR(D94)+19)&gt;YEAR(E94),1,(12-MONTH(E94)+1)/12))) + (R94)*(IF((YEAR(D94)+19)&lt;YEAR(E94),0,IF((YEAR(D94)+19)&gt;YEAR(E94),1,(12-MONTH(E94)+1)/12))))-(IF(OR(N94="",N94&lt;=0),0,(O94/N94)*(IF(OR(N94="",N94&lt;=0),0,IF((YEAR(D94)+19)&lt;YEAR(E94),0,IF((YEAR(D94)+19)&gt;=YEAR(E94)+N94,0,IF((YEAR(D94)+19)=YEAR(E94),(12-MONTH(E94)+1)/12,1))))))))*TaxRate,0))-IF(19=0,O94,0))</f>
        <v/>
      </c>
      <c r="AM94" s="29">
        <f>IF(A94="","",((K94)*(IF(M94="",L94,IFERROR(IF(INDEX(Variablen!$I:$AT, MATCH(M94, Variablen!$A:$A, 0), MATCH((YEAR(D94)+20), Variablen!$I$3:$AT$3, 0))="",L94,INDEX(Variablen!$I:$AT, MATCH(M94, Variablen!$A:$A, 0), MATCH((YEAR(D94)+20), Variablen!$I$3:$AT$3, 0))),L94)))*(IF((YEAR(D94)+20)&lt;YEAR(E94),0,IF((YEAR(D94)+20)&gt;YEAR(E94),1,(12-MONTH(E94)+1)/12))) + (Q94)*(IF((YEAR(D94)+20)&lt;YEAR(E94),0,IF((YEAR(D94)+20)&gt;YEAR(E94),1,(12-MONTH(E94)+1)/12))))-((P94)*(IF((YEAR(D94)+20)&lt;YEAR(E94),0,IF((YEAR(D94)+20)&gt;YEAR(E94),1,(12-MONTH(E94)+1)/12))) + (R94)*(IF((YEAR(D94)+20)&lt;YEAR(E94),0,IF((YEAR(D94)+20)&gt;YEAR(E94),1,(12-MONTH(E94)+1)/12))))-(IF((((K94)*(IF(M94="",L94,IFERROR(IF(INDEX(Variablen!$I:$AT, MATCH(M94, Variablen!$A:$A, 0), MATCH((YEAR(D94)+20), Variablen!$I$3:$AT$3, 0))="",L94,INDEX(Variablen!$I:$AT, MATCH(M94, Variablen!$A:$A, 0), MATCH((YEAR(D94)+20), Variablen!$I$3:$AT$3, 0))),L94)))*(IF((YEAR(D94)+20)&lt;YEAR(E94),0,IF((YEAR(D94)+20)&gt;YEAR(E94),1,(12-MONTH(E94)+1)/12))) + (Q94)*(IF((YEAR(D94)+20)&lt;YEAR(E94),0,IF((YEAR(D94)+20)&gt;YEAR(E94),1,(12-MONTH(E94)+1)/12))))-((P94)*(IF((YEAR(D94)+20)&lt;YEAR(E94),0,IF((YEAR(D94)+20)&gt;YEAR(E94),1,(12-MONTH(E94)+1)/12))) + (R94)*(IF((YEAR(D94)+20)&lt;YEAR(E94),0,IF((YEAR(D94)+20)&gt;YEAR(E94),1,(12-MONTH(E94)+1)/12))))-(IF(OR(N94="",N94&lt;=0),0,(O94/N94)*(IF(OR(N94="",N94&lt;=0),0,IF((YEAR(D94)+20)&lt;YEAR(E94),0,IF((YEAR(D94)+20)&gt;=YEAR(E94)+N94,0,IF((YEAR(D94)+20)=YEAR(E94),(12-MONTH(E94)+1)/12,1))))))))&gt;0,(((K94)*(IF(M94="",L94,IFERROR(IF(INDEX(Variablen!$I:$AT, MATCH(M94, Variablen!$A:$A, 0), MATCH((YEAR(D94)+20), Variablen!$I$3:$AT$3, 0))="",L94,INDEX(Variablen!$I:$AT, MATCH(M94, Variablen!$A:$A, 0), MATCH((YEAR(D94)+20), Variablen!$I$3:$AT$3, 0))),L94)))*(IF((YEAR(D94)+20)&lt;YEAR(E94),0,IF((YEAR(D94)+20)&gt;YEAR(E94),1,(12-MONTH(E94)+1)/12))) + (Q94)*(IF((YEAR(D94)+20)&lt;YEAR(E94),0,IF((YEAR(D94)+20)&gt;YEAR(E94),1,(12-MONTH(E94)+1)/12))))-((P94)*(IF((YEAR(D94)+20)&lt;YEAR(E94),0,IF((YEAR(D94)+20)&gt;YEAR(E94),1,(12-MONTH(E94)+1)/12))) + (R94)*(IF((YEAR(D94)+20)&lt;YEAR(E94),0,IF((YEAR(D94)+20)&gt;YEAR(E94),1,(12-MONTH(E94)+1)/12))))-(IF(OR(N94="",N94&lt;=0),0,(O94/N94)*(IF(OR(N94="",N94&lt;=0),0,IF((YEAR(D94)+20)&lt;YEAR(E94),0,IF((YEAR(D94)+20)&gt;=YEAR(E94)+N94,0,IF((YEAR(D94)+20)=YEAR(E94),(12-MONTH(E94)+1)/12,1))))))))*TaxRate,0))-IF(20=0,O94,0))</f>
        <v/>
      </c>
      <c r="AN94" s="29">
        <f>IF(A94="","",S94)</f>
        <v/>
      </c>
      <c r="AO94" s="29">
        <f>IF(A94="","",AN94+T94)</f>
        <v/>
      </c>
      <c r="AP94" s="29">
        <f>IF(A94="","",AO94+U94)</f>
        <v/>
      </c>
      <c r="AQ94" s="29">
        <f>IF(A94="","",AP94+V94)</f>
        <v/>
      </c>
      <c r="AR94" s="29">
        <f>IF(A94="","",AQ94+W94)</f>
        <v/>
      </c>
      <c r="AS94" s="29">
        <f>IF(A94="","",AR94+X94)</f>
        <v/>
      </c>
      <c r="AT94" s="29">
        <f>IF(A94="","",AS94+Y94)</f>
        <v/>
      </c>
      <c r="AU94" s="29">
        <f>IF(A94="","",AT94+Z94)</f>
        <v/>
      </c>
      <c r="AV94" s="29">
        <f>IF(A94="","",AU94+AA94)</f>
        <v/>
      </c>
      <c r="AW94" s="29">
        <f>IF(A94="","",AV94+AB94)</f>
        <v/>
      </c>
      <c r="AX94" s="29">
        <f>IF(A94="","",AW94+AC94)</f>
        <v/>
      </c>
      <c r="AY94" s="29">
        <f>IF(A94="","",AX94+AD94)</f>
        <v/>
      </c>
      <c r="AZ94" s="29">
        <f>IF(A94="","",AY94+AE94)</f>
        <v/>
      </c>
      <c r="BA94" s="29">
        <f>IF(A94="","",AZ94+AF94)</f>
        <v/>
      </c>
      <c r="BB94" s="29">
        <f>IF(A94="","",BA94+AG94)</f>
        <v/>
      </c>
      <c r="BC94" s="29">
        <f>IF(A94="","",BB94+AH94)</f>
        <v/>
      </c>
      <c r="BD94" s="29">
        <f>IF(A94="","",BC94+AI94)</f>
        <v/>
      </c>
      <c r="BE94" s="29">
        <f>IF(A94="","",BD94+AJ94)</f>
        <v/>
      </c>
      <c r="BF94" s="29">
        <f>IF(A94="","",BE94+AK94)</f>
        <v/>
      </c>
      <c r="BG94" s="29">
        <f>IF(A94="","",BF94+AL94)</f>
        <v/>
      </c>
      <c r="BH94" s="29">
        <f>IF(A94="","",BG94+AM94)</f>
        <v/>
      </c>
      <c r="BI94" s="36">
        <f>IF(A94="","",(K94)*(IF((YEAR(D94)+0)&lt;YEAR(E94),0,IF((YEAR(D94)+0)&gt;YEAR(E94),1,(12-MONTH(E94)+1)/12)))*(1/(1+DiscountRate)^0))</f>
        <v/>
      </c>
      <c r="BJ94" s="36">
        <f>IF(A94="","",(K94)*(IF((YEAR(D94)+1)&lt;YEAR(E94),0,IF((YEAR(D94)+1)&gt;YEAR(E94),1,(12-MONTH(E94)+1)/12)))*(1/(1+DiscountRate)^1))</f>
        <v/>
      </c>
      <c r="BK94" s="36">
        <f>IF(A94="","",(K94)*(IF((YEAR(D94)+2)&lt;YEAR(E94),0,IF((YEAR(D94)+2)&gt;YEAR(E94),1,(12-MONTH(E94)+1)/12)))*(1/(1+DiscountRate)^2))</f>
        <v/>
      </c>
      <c r="BL94" s="36">
        <f>IF(A94="","",(K94)*(IF((YEAR(D94)+3)&lt;YEAR(E94),0,IF((YEAR(D94)+3)&gt;YEAR(E94),1,(12-MONTH(E94)+1)/12)))*(1/(1+DiscountRate)^3))</f>
        <v/>
      </c>
      <c r="BM94" s="36">
        <f>IF(A94="","",(K94)*(IF((YEAR(D94)+4)&lt;YEAR(E94),0,IF((YEAR(D94)+4)&gt;YEAR(E94),1,(12-MONTH(E94)+1)/12)))*(1/(1+DiscountRate)^4))</f>
        <v/>
      </c>
      <c r="BN94" s="36">
        <f>IF(A94="","",(K94)*(IF((YEAR(D94)+5)&lt;YEAR(E94),0,IF((YEAR(D94)+5)&gt;YEAR(E94),1,(12-MONTH(E94)+1)/12)))*(1/(1+DiscountRate)^5))</f>
        <v/>
      </c>
      <c r="BO94" s="36">
        <f>IF(A94="","",(K94)*(IF((YEAR(D94)+6)&lt;YEAR(E94),0,IF((YEAR(D94)+6)&gt;YEAR(E94),1,(12-MONTH(E94)+1)/12)))*(1/(1+DiscountRate)^6))</f>
        <v/>
      </c>
      <c r="BP94" s="36">
        <f>IF(A94="","",(K94)*(IF((YEAR(D94)+7)&lt;YEAR(E94),0,IF((YEAR(D94)+7)&gt;YEAR(E94),1,(12-MONTH(E94)+1)/12)))*(1/(1+DiscountRate)^7))</f>
        <v/>
      </c>
      <c r="BQ94" s="36">
        <f>IF(A94="","",(K94)*(IF((YEAR(D94)+8)&lt;YEAR(E94),0,IF((YEAR(D94)+8)&gt;YEAR(E94),1,(12-MONTH(E94)+1)/12)))*(1/(1+DiscountRate)^8))</f>
        <v/>
      </c>
      <c r="BR94" s="36">
        <f>IF(A94="","",(K94)*(IF((YEAR(D94)+9)&lt;YEAR(E94),0,IF((YEAR(D94)+9)&gt;YEAR(E94),1,(12-MONTH(E94)+1)/12)))*(1/(1+DiscountRate)^9))</f>
        <v/>
      </c>
      <c r="BS94" s="36">
        <f>IF(A94="","",(K94)*(IF((YEAR(D94)+10)&lt;YEAR(E94),0,IF((YEAR(D94)+10)&gt;YEAR(E94),1,(12-MONTH(E94)+1)/12)))*(1/(1+DiscountRate)^10))</f>
        <v/>
      </c>
      <c r="BT94" s="36">
        <f>IF(A94="","",(K94)*(IF((YEAR(D94)+11)&lt;YEAR(E94),0,IF((YEAR(D94)+11)&gt;YEAR(E94),1,(12-MONTH(E94)+1)/12)))*(1/(1+DiscountRate)^11))</f>
        <v/>
      </c>
      <c r="BU94" s="36">
        <f>IF(A94="","",(K94)*(IF((YEAR(D94)+12)&lt;YEAR(E94),0,IF((YEAR(D94)+12)&gt;YEAR(E94),1,(12-MONTH(E94)+1)/12)))*(1/(1+DiscountRate)^12))</f>
        <v/>
      </c>
      <c r="BV94" s="36">
        <f>IF(A94="","",(K94)*(IF((YEAR(D94)+13)&lt;YEAR(E94),0,IF((YEAR(D94)+13)&gt;YEAR(E94),1,(12-MONTH(E94)+1)/12)))*(1/(1+DiscountRate)^13))</f>
        <v/>
      </c>
      <c r="BW94" s="36">
        <f>IF(A94="","",(K94)*(IF((YEAR(D94)+14)&lt;YEAR(E94),0,IF((YEAR(D94)+14)&gt;YEAR(E94),1,(12-MONTH(E94)+1)/12)))*(1/(1+DiscountRate)^14))</f>
        <v/>
      </c>
      <c r="BX94" s="36">
        <f>IF(A94="","",(K94)*(IF((YEAR(D94)+15)&lt;YEAR(E94),0,IF((YEAR(D94)+15)&gt;YEAR(E94),1,(12-MONTH(E94)+1)/12)))*(1/(1+DiscountRate)^15))</f>
        <v/>
      </c>
      <c r="BY94" s="36">
        <f>IF(A94="","",(K94)*(IF((YEAR(D94)+16)&lt;YEAR(E94),0,IF((YEAR(D94)+16)&gt;YEAR(E94),1,(12-MONTH(E94)+1)/12)))*(1/(1+DiscountRate)^16))</f>
        <v/>
      </c>
      <c r="BZ94" s="36">
        <f>IF(A94="","",(K94)*(IF((YEAR(D94)+17)&lt;YEAR(E94),0,IF((YEAR(D94)+17)&gt;YEAR(E94),1,(12-MONTH(E94)+1)/12)))*(1/(1+DiscountRate)^17))</f>
        <v/>
      </c>
      <c r="CA94" s="36">
        <f>IF(A94="","",(K94)*(IF((YEAR(D94)+18)&lt;YEAR(E94),0,IF((YEAR(D94)+18)&gt;YEAR(E94),1,(12-MONTH(E94)+1)/12)))*(1/(1+DiscountRate)^18))</f>
        <v/>
      </c>
      <c r="CB94" s="36">
        <f>IF(A94="","",(K94)*(IF((YEAR(D94)+19)&lt;YEAR(E94),0,IF((YEAR(D94)+19)&gt;YEAR(E94),1,(12-MONTH(E94)+1)/12)))*(1/(1+DiscountRate)^19))</f>
        <v/>
      </c>
      <c r="CC94" s="36">
        <f>IF(A94="","",(K94)*(IF((YEAR(D94)+20)&lt;YEAR(E94),0,IF((YEAR(D94)+20)&gt;YEAR(E94),1,(12-MONTH(E94)+1)/12)))*(1/(1+DiscountRate)^20))</f>
        <v/>
      </c>
      <c r="CD94" s="29">
        <f>IF(A94="","",S94/(1+DiscountRate)^0+T94/(1+DiscountRate)^1+U94/(1+DiscountRate)^2+V94/(1+DiscountRate)^3+W94/(1+DiscountRate)^4+X94/(1+DiscountRate)^5+Y94/(1+DiscountRate)^6+Z94/(1+DiscountRate)^7+AA94/(1+DiscountRate)^8+AB94/(1+DiscountRate)^9+AC94/(1+DiscountRate)^10+AD94/(1+DiscountRate)^11+AE94/(1+DiscountRate)^12+AF94/(1+DiscountRate)^13+AG94/(1+DiscountRate)^14+AH94/(1+DiscountRate)^15+AI94/(1+DiscountRate)^16+AJ94/(1+DiscountRate)^17+AK94/(1+DiscountRate)^18+AL94/(1+DiscountRate)^19+AM94/(1+DiscountRate)^20)</f>
        <v/>
      </c>
      <c r="CE94" s="37">
        <f>IF(A94="","",IFERROR(IRR(OFFSET(S94,0,0,1,MIN(HorizonYears,20)+1)),"n/a"))</f>
        <v/>
      </c>
      <c r="CF94" s="28">
        <f>IF(A94="","",IFERROR(MATCH(TRUE,OFFSET(AN94,0,0,1,MIN(HorizonYears,20)+1)&gt;=0,0)-1,"n/a"))</f>
        <v/>
      </c>
      <c r="CG94" s="36">
        <f>IF(A94="","",SUM(OFFSET(BI94,0,0,1,MIN(HorizonYears,20)+1)))</f>
        <v/>
      </c>
      <c r="CH94" s="36">
        <f>IF(A94="","",IFERROR(-CD94/CG94,"n/a"))</f>
        <v/>
      </c>
    </row>
    <row r="95">
      <c r="A95" s="6">
        <f>Actions!A93</f>
        <v/>
      </c>
      <c r="B95" s="6">
        <f>Actions!B93</f>
        <v/>
      </c>
      <c r="C95" s="6">
        <f>Actions!D93</f>
        <v/>
      </c>
      <c r="D95" s="35">
        <f>Actions!E93</f>
        <v/>
      </c>
      <c r="E95" s="35">
        <f>Actions!F93</f>
        <v/>
      </c>
      <c r="F95" s="6">
        <f>Actions!G93</f>
        <v/>
      </c>
      <c r="G95" s="6">
        <f>Actions!H93</f>
        <v/>
      </c>
      <c r="H95" s="29">
        <f>Actions!I93</f>
        <v/>
      </c>
      <c r="I95" s="6">
        <f>Actions!J93</f>
        <v/>
      </c>
      <c r="J95" s="16">
        <f>Actions!K93</f>
        <v/>
      </c>
      <c r="K95" s="16">
        <f>IF(A95="","",IF(I95="%",H95*J95,J95))</f>
        <v/>
      </c>
      <c r="L95" s="16">
        <f>Actions!L93</f>
        <v/>
      </c>
      <c r="M95" s="6">
        <f>Actions!M93</f>
        <v/>
      </c>
      <c r="N95" s="28">
        <f>Actions!N93</f>
        <v/>
      </c>
      <c r="O95" s="29">
        <f>Actions!T93</f>
        <v/>
      </c>
      <c r="P95" s="29">
        <f>Actions!Y93</f>
        <v/>
      </c>
      <c r="Q95" s="29">
        <f>Actions!Z93</f>
        <v/>
      </c>
      <c r="R95" s="29">
        <f>Actions!AA93</f>
        <v/>
      </c>
      <c r="S95" s="29">
        <f>IF(A95="","",((K95)*(IF(M95="",L95,IFERROR(IF(INDEX(Variablen!$I:$AT, MATCH(M95, Variablen!$A:$A, 0), MATCH((YEAR(D95)+0), Variablen!$I$3:$AT$3, 0))="",L95,INDEX(Variablen!$I:$AT, MATCH(M95, Variablen!$A:$A, 0), MATCH((YEAR(D95)+0), Variablen!$I$3:$AT$3, 0))),L95)))*(IF((YEAR(D95)+0)&lt;YEAR(E95),0,IF((YEAR(D95)+0)&gt;YEAR(E95),1,(12-MONTH(E95)+1)/12))) + (Q95)*(IF((YEAR(D95)+0)&lt;YEAR(E95),0,IF((YEAR(D95)+0)&gt;YEAR(E95),1,(12-MONTH(E95)+1)/12))))-((P95)*(IF((YEAR(D95)+0)&lt;YEAR(E95),0,IF((YEAR(D95)+0)&gt;YEAR(E95),1,(12-MONTH(E95)+1)/12))) + (R95)*(IF((YEAR(D95)+0)&lt;YEAR(E95),0,IF((YEAR(D95)+0)&gt;YEAR(E95),1,(12-MONTH(E95)+1)/12))))-(IF((((K95)*(IF(M95="",L95,IFERROR(IF(INDEX(Variablen!$I:$AT, MATCH(M95, Variablen!$A:$A, 0), MATCH((YEAR(D95)+0), Variablen!$I$3:$AT$3, 0))="",L95,INDEX(Variablen!$I:$AT, MATCH(M95, Variablen!$A:$A, 0), MATCH((YEAR(D95)+0), Variablen!$I$3:$AT$3, 0))),L95)))*(IF((YEAR(D95)+0)&lt;YEAR(E95),0,IF((YEAR(D95)+0)&gt;YEAR(E95),1,(12-MONTH(E95)+1)/12))) + (Q95)*(IF((YEAR(D95)+0)&lt;YEAR(E95),0,IF((YEAR(D95)+0)&gt;YEAR(E95),1,(12-MONTH(E95)+1)/12))))-((P95)*(IF((YEAR(D95)+0)&lt;YEAR(E95),0,IF((YEAR(D95)+0)&gt;YEAR(E95),1,(12-MONTH(E95)+1)/12))) + (R95)*(IF((YEAR(D95)+0)&lt;YEAR(E95),0,IF((YEAR(D95)+0)&gt;YEAR(E95),1,(12-MONTH(E95)+1)/12))))-(IF(OR(N95="",N95&lt;=0),0,(O95/N95)*(IF(OR(N95="",N95&lt;=0),0,IF((YEAR(D95)+0)&lt;YEAR(E95),0,IF((YEAR(D95)+0)&gt;=YEAR(E95)+N95,0,IF((YEAR(D95)+0)=YEAR(E95),(12-MONTH(E95)+1)/12,1))))))))&gt;0,(((K95)*(IF(M95="",L95,IFERROR(IF(INDEX(Variablen!$I:$AT, MATCH(M95, Variablen!$A:$A, 0), MATCH((YEAR(D95)+0), Variablen!$I$3:$AT$3, 0))="",L95,INDEX(Variablen!$I:$AT, MATCH(M95, Variablen!$A:$A, 0), MATCH((YEAR(D95)+0), Variablen!$I$3:$AT$3, 0))),L95)))*(IF((YEAR(D95)+0)&lt;YEAR(E95),0,IF((YEAR(D95)+0)&gt;YEAR(E95),1,(12-MONTH(E95)+1)/12))) + (Q95)*(IF((YEAR(D95)+0)&lt;YEAR(E95),0,IF((YEAR(D95)+0)&gt;YEAR(E95),1,(12-MONTH(E95)+1)/12))))-((P95)*(IF((YEAR(D95)+0)&lt;YEAR(E95),0,IF((YEAR(D95)+0)&gt;YEAR(E95),1,(12-MONTH(E95)+1)/12))) + (R95)*(IF((YEAR(D95)+0)&lt;YEAR(E95),0,IF((YEAR(D95)+0)&gt;YEAR(E95),1,(12-MONTH(E95)+1)/12))))-(IF(OR(N95="",N95&lt;=0),0,(O95/N95)*(IF(OR(N95="",N95&lt;=0),0,IF((YEAR(D95)+0)&lt;YEAR(E95),0,IF((YEAR(D95)+0)&gt;=YEAR(E95)+N95,0,IF((YEAR(D95)+0)=YEAR(E95),(12-MONTH(E95)+1)/12,1))))))))*TaxRate,0))-IF(0=0,O95,0))</f>
        <v/>
      </c>
      <c r="T95" s="29">
        <f>IF(A95="","",((K95)*(IF(M95="",L95,IFERROR(IF(INDEX(Variablen!$I:$AT, MATCH(M95, Variablen!$A:$A, 0), MATCH((YEAR(D95)+1), Variablen!$I$3:$AT$3, 0))="",L95,INDEX(Variablen!$I:$AT, MATCH(M95, Variablen!$A:$A, 0), MATCH((YEAR(D95)+1), Variablen!$I$3:$AT$3, 0))),L95)))*(IF((YEAR(D95)+1)&lt;YEAR(E95),0,IF((YEAR(D95)+1)&gt;YEAR(E95),1,(12-MONTH(E95)+1)/12))) + (Q95)*(IF((YEAR(D95)+1)&lt;YEAR(E95),0,IF((YEAR(D95)+1)&gt;YEAR(E95),1,(12-MONTH(E95)+1)/12))))-((P95)*(IF((YEAR(D95)+1)&lt;YEAR(E95),0,IF((YEAR(D95)+1)&gt;YEAR(E95),1,(12-MONTH(E95)+1)/12))) + (R95)*(IF((YEAR(D95)+1)&lt;YEAR(E95),0,IF((YEAR(D95)+1)&gt;YEAR(E95),1,(12-MONTH(E95)+1)/12))))-(IF((((K95)*(IF(M95="",L95,IFERROR(IF(INDEX(Variablen!$I:$AT, MATCH(M95, Variablen!$A:$A, 0), MATCH((YEAR(D95)+1), Variablen!$I$3:$AT$3, 0))="",L95,INDEX(Variablen!$I:$AT, MATCH(M95, Variablen!$A:$A, 0), MATCH((YEAR(D95)+1), Variablen!$I$3:$AT$3, 0))),L95)))*(IF((YEAR(D95)+1)&lt;YEAR(E95),0,IF((YEAR(D95)+1)&gt;YEAR(E95),1,(12-MONTH(E95)+1)/12))) + (Q95)*(IF((YEAR(D95)+1)&lt;YEAR(E95),0,IF((YEAR(D95)+1)&gt;YEAR(E95),1,(12-MONTH(E95)+1)/12))))-((P95)*(IF((YEAR(D95)+1)&lt;YEAR(E95),0,IF((YEAR(D95)+1)&gt;YEAR(E95),1,(12-MONTH(E95)+1)/12))) + (R95)*(IF((YEAR(D95)+1)&lt;YEAR(E95),0,IF((YEAR(D95)+1)&gt;YEAR(E95),1,(12-MONTH(E95)+1)/12))))-(IF(OR(N95="",N95&lt;=0),0,(O95/N95)*(IF(OR(N95="",N95&lt;=0),0,IF((YEAR(D95)+1)&lt;YEAR(E95),0,IF((YEAR(D95)+1)&gt;=YEAR(E95)+N95,0,IF((YEAR(D95)+1)=YEAR(E95),(12-MONTH(E95)+1)/12,1))))))))&gt;0,(((K95)*(IF(M95="",L95,IFERROR(IF(INDEX(Variablen!$I:$AT, MATCH(M95, Variablen!$A:$A, 0), MATCH((YEAR(D95)+1), Variablen!$I$3:$AT$3, 0))="",L95,INDEX(Variablen!$I:$AT, MATCH(M95, Variablen!$A:$A, 0), MATCH((YEAR(D95)+1), Variablen!$I$3:$AT$3, 0))),L95)))*(IF((YEAR(D95)+1)&lt;YEAR(E95),0,IF((YEAR(D95)+1)&gt;YEAR(E95),1,(12-MONTH(E95)+1)/12))) + (Q95)*(IF((YEAR(D95)+1)&lt;YEAR(E95),0,IF((YEAR(D95)+1)&gt;YEAR(E95),1,(12-MONTH(E95)+1)/12))))-((P95)*(IF((YEAR(D95)+1)&lt;YEAR(E95),0,IF((YEAR(D95)+1)&gt;YEAR(E95),1,(12-MONTH(E95)+1)/12))) + (R95)*(IF((YEAR(D95)+1)&lt;YEAR(E95),0,IF((YEAR(D95)+1)&gt;YEAR(E95),1,(12-MONTH(E95)+1)/12))))-(IF(OR(N95="",N95&lt;=0),0,(O95/N95)*(IF(OR(N95="",N95&lt;=0),0,IF((YEAR(D95)+1)&lt;YEAR(E95),0,IF((YEAR(D95)+1)&gt;=YEAR(E95)+N95,0,IF((YEAR(D95)+1)=YEAR(E95),(12-MONTH(E95)+1)/12,1))))))))*TaxRate,0))-IF(1=0,O95,0))</f>
        <v/>
      </c>
      <c r="U95" s="29">
        <f>IF(A95="","",((K95)*(IF(M95="",L95,IFERROR(IF(INDEX(Variablen!$I:$AT, MATCH(M95, Variablen!$A:$A, 0), MATCH((YEAR(D95)+2), Variablen!$I$3:$AT$3, 0))="",L95,INDEX(Variablen!$I:$AT, MATCH(M95, Variablen!$A:$A, 0), MATCH((YEAR(D95)+2), Variablen!$I$3:$AT$3, 0))),L95)))*(IF((YEAR(D95)+2)&lt;YEAR(E95),0,IF((YEAR(D95)+2)&gt;YEAR(E95),1,(12-MONTH(E95)+1)/12))) + (Q95)*(IF((YEAR(D95)+2)&lt;YEAR(E95),0,IF((YEAR(D95)+2)&gt;YEAR(E95),1,(12-MONTH(E95)+1)/12))))-((P95)*(IF((YEAR(D95)+2)&lt;YEAR(E95),0,IF((YEAR(D95)+2)&gt;YEAR(E95),1,(12-MONTH(E95)+1)/12))) + (R95)*(IF((YEAR(D95)+2)&lt;YEAR(E95),0,IF((YEAR(D95)+2)&gt;YEAR(E95),1,(12-MONTH(E95)+1)/12))))-(IF((((K95)*(IF(M95="",L95,IFERROR(IF(INDEX(Variablen!$I:$AT, MATCH(M95, Variablen!$A:$A, 0), MATCH((YEAR(D95)+2), Variablen!$I$3:$AT$3, 0))="",L95,INDEX(Variablen!$I:$AT, MATCH(M95, Variablen!$A:$A, 0), MATCH((YEAR(D95)+2), Variablen!$I$3:$AT$3, 0))),L95)))*(IF((YEAR(D95)+2)&lt;YEAR(E95),0,IF((YEAR(D95)+2)&gt;YEAR(E95),1,(12-MONTH(E95)+1)/12))) + (Q95)*(IF((YEAR(D95)+2)&lt;YEAR(E95),0,IF((YEAR(D95)+2)&gt;YEAR(E95),1,(12-MONTH(E95)+1)/12))))-((P95)*(IF((YEAR(D95)+2)&lt;YEAR(E95),0,IF((YEAR(D95)+2)&gt;YEAR(E95),1,(12-MONTH(E95)+1)/12))) + (R95)*(IF((YEAR(D95)+2)&lt;YEAR(E95),0,IF((YEAR(D95)+2)&gt;YEAR(E95),1,(12-MONTH(E95)+1)/12))))-(IF(OR(N95="",N95&lt;=0),0,(O95/N95)*(IF(OR(N95="",N95&lt;=0),0,IF((YEAR(D95)+2)&lt;YEAR(E95),0,IF((YEAR(D95)+2)&gt;=YEAR(E95)+N95,0,IF((YEAR(D95)+2)=YEAR(E95),(12-MONTH(E95)+1)/12,1))))))))&gt;0,(((K95)*(IF(M95="",L95,IFERROR(IF(INDEX(Variablen!$I:$AT, MATCH(M95, Variablen!$A:$A, 0), MATCH((YEAR(D95)+2), Variablen!$I$3:$AT$3, 0))="",L95,INDEX(Variablen!$I:$AT, MATCH(M95, Variablen!$A:$A, 0), MATCH((YEAR(D95)+2), Variablen!$I$3:$AT$3, 0))),L95)))*(IF((YEAR(D95)+2)&lt;YEAR(E95),0,IF((YEAR(D95)+2)&gt;YEAR(E95),1,(12-MONTH(E95)+1)/12))) + (Q95)*(IF((YEAR(D95)+2)&lt;YEAR(E95),0,IF((YEAR(D95)+2)&gt;YEAR(E95),1,(12-MONTH(E95)+1)/12))))-((P95)*(IF((YEAR(D95)+2)&lt;YEAR(E95),0,IF((YEAR(D95)+2)&gt;YEAR(E95),1,(12-MONTH(E95)+1)/12))) + (R95)*(IF((YEAR(D95)+2)&lt;YEAR(E95),0,IF((YEAR(D95)+2)&gt;YEAR(E95),1,(12-MONTH(E95)+1)/12))))-(IF(OR(N95="",N95&lt;=0),0,(O95/N95)*(IF(OR(N95="",N95&lt;=0),0,IF((YEAR(D95)+2)&lt;YEAR(E95),0,IF((YEAR(D95)+2)&gt;=YEAR(E95)+N95,0,IF((YEAR(D95)+2)=YEAR(E95),(12-MONTH(E95)+1)/12,1))))))))*TaxRate,0))-IF(2=0,O95,0))</f>
        <v/>
      </c>
      <c r="V95" s="29">
        <f>IF(A95="","",((K95)*(IF(M95="",L95,IFERROR(IF(INDEX(Variablen!$I:$AT, MATCH(M95, Variablen!$A:$A, 0), MATCH((YEAR(D95)+3), Variablen!$I$3:$AT$3, 0))="",L95,INDEX(Variablen!$I:$AT, MATCH(M95, Variablen!$A:$A, 0), MATCH((YEAR(D95)+3), Variablen!$I$3:$AT$3, 0))),L95)))*(IF((YEAR(D95)+3)&lt;YEAR(E95),0,IF((YEAR(D95)+3)&gt;YEAR(E95),1,(12-MONTH(E95)+1)/12))) + (Q95)*(IF((YEAR(D95)+3)&lt;YEAR(E95),0,IF((YEAR(D95)+3)&gt;YEAR(E95),1,(12-MONTH(E95)+1)/12))))-((P95)*(IF((YEAR(D95)+3)&lt;YEAR(E95),0,IF((YEAR(D95)+3)&gt;YEAR(E95),1,(12-MONTH(E95)+1)/12))) + (R95)*(IF((YEAR(D95)+3)&lt;YEAR(E95),0,IF((YEAR(D95)+3)&gt;YEAR(E95),1,(12-MONTH(E95)+1)/12))))-(IF((((K95)*(IF(M95="",L95,IFERROR(IF(INDEX(Variablen!$I:$AT, MATCH(M95, Variablen!$A:$A, 0), MATCH((YEAR(D95)+3), Variablen!$I$3:$AT$3, 0))="",L95,INDEX(Variablen!$I:$AT, MATCH(M95, Variablen!$A:$A, 0), MATCH((YEAR(D95)+3), Variablen!$I$3:$AT$3, 0))),L95)))*(IF((YEAR(D95)+3)&lt;YEAR(E95),0,IF((YEAR(D95)+3)&gt;YEAR(E95),1,(12-MONTH(E95)+1)/12))) + (Q95)*(IF((YEAR(D95)+3)&lt;YEAR(E95),0,IF((YEAR(D95)+3)&gt;YEAR(E95),1,(12-MONTH(E95)+1)/12))))-((P95)*(IF((YEAR(D95)+3)&lt;YEAR(E95),0,IF((YEAR(D95)+3)&gt;YEAR(E95),1,(12-MONTH(E95)+1)/12))) + (R95)*(IF((YEAR(D95)+3)&lt;YEAR(E95),0,IF((YEAR(D95)+3)&gt;YEAR(E95),1,(12-MONTH(E95)+1)/12))))-(IF(OR(N95="",N95&lt;=0),0,(O95/N95)*(IF(OR(N95="",N95&lt;=0),0,IF((YEAR(D95)+3)&lt;YEAR(E95),0,IF((YEAR(D95)+3)&gt;=YEAR(E95)+N95,0,IF((YEAR(D95)+3)=YEAR(E95),(12-MONTH(E95)+1)/12,1))))))))&gt;0,(((K95)*(IF(M95="",L95,IFERROR(IF(INDEX(Variablen!$I:$AT, MATCH(M95, Variablen!$A:$A, 0), MATCH((YEAR(D95)+3), Variablen!$I$3:$AT$3, 0))="",L95,INDEX(Variablen!$I:$AT, MATCH(M95, Variablen!$A:$A, 0), MATCH((YEAR(D95)+3), Variablen!$I$3:$AT$3, 0))),L95)))*(IF((YEAR(D95)+3)&lt;YEAR(E95),0,IF((YEAR(D95)+3)&gt;YEAR(E95),1,(12-MONTH(E95)+1)/12))) + (Q95)*(IF((YEAR(D95)+3)&lt;YEAR(E95),0,IF((YEAR(D95)+3)&gt;YEAR(E95),1,(12-MONTH(E95)+1)/12))))-((P95)*(IF((YEAR(D95)+3)&lt;YEAR(E95),0,IF((YEAR(D95)+3)&gt;YEAR(E95),1,(12-MONTH(E95)+1)/12))) + (R95)*(IF((YEAR(D95)+3)&lt;YEAR(E95),0,IF((YEAR(D95)+3)&gt;YEAR(E95),1,(12-MONTH(E95)+1)/12))))-(IF(OR(N95="",N95&lt;=0),0,(O95/N95)*(IF(OR(N95="",N95&lt;=0),0,IF((YEAR(D95)+3)&lt;YEAR(E95),0,IF((YEAR(D95)+3)&gt;=YEAR(E95)+N95,0,IF((YEAR(D95)+3)=YEAR(E95),(12-MONTH(E95)+1)/12,1))))))))*TaxRate,0))-IF(3=0,O95,0))</f>
        <v/>
      </c>
      <c r="W95" s="29">
        <f>IF(A95="","",((K95)*(IF(M95="",L95,IFERROR(IF(INDEX(Variablen!$I:$AT, MATCH(M95, Variablen!$A:$A, 0), MATCH((YEAR(D95)+4), Variablen!$I$3:$AT$3, 0))="",L95,INDEX(Variablen!$I:$AT, MATCH(M95, Variablen!$A:$A, 0), MATCH((YEAR(D95)+4), Variablen!$I$3:$AT$3, 0))),L95)))*(IF((YEAR(D95)+4)&lt;YEAR(E95),0,IF((YEAR(D95)+4)&gt;YEAR(E95),1,(12-MONTH(E95)+1)/12))) + (Q95)*(IF((YEAR(D95)+4)&lt;YEAR(E95),0,IF((YEAR(D95)+4)&gt;YEAR(E95),1,(12-MONTH(E95)+1)/12))))-((P95)*(IF((YEAR(D95)+4)&lt;YEAR(E95),0,IF((YEAR(D95)+4)&gt;YEAR(E95),1,(12-MONTH(E95)+1)/12))) + (R95)*(IF((YEAR(D95)+4)&lt;YEAR(E95),0,IF((YEAR(D95)+4)&gt;YEAR(E95),1,(12-MONTH(E95)+1)/12))))-(IF((((K95)*(IF(M95="",L95,IFERROR(IF(INDEX(Variablen!$I:$AT, MATCH(M95, Variablen!$A:$A, 0), MATCH((YEAR(D95)+4), Variablen!$I$3:$AT$3, 0))="",L95,INDEX(Variablen!$I:$AT, MATCH(M95, Variablen!$A:$A, 0), MATCH((YEAR(D95)+4), Variablen!$I$3:$AT$3, 0))),L95)))*(IF((YEAR(D95)+4)&lt;YEAR(E95),0,IF((YEAR(D95)+4)&gt;YEAR(E95),1,(12-MONTH(E95)+1)/12))) + (Q95)*(IF((YEAR(D95)+4)&lt;YEAR(E95),0,IF((YEAR(D95)+4)&gt;YEAR(E95),1,(12-MONTH(E95)+1)/12))))-((P95)*(IF((YEAR(D95)+4)&lt;YEAR(E95),0,IF((YEAR(D95)+4)&gt;YEAR(E95),1,(12-MONTH(E95)+1)/12))) + (R95)*(IF((YEAR(D95)+4)&lt;YEAR(E95),0,IF((YEAR(D95)+4)&gt;YEAR(E95),1,(12-MONTH(E95)+1)/12))))-(IF(OR(N95="",N95&lt;=0),0,(O95/N95)*(IF(OR(N95="",N95&lt;=0),0,IF((YEAR(D95)+4)&lt;YEAR(E95),0,IF((YEAR(D95)+4)&gt;=YEAR(E95)+N95,0,IF((YEAR(D95)+4)=YEAR(E95),(12-MONTH(E95)+1)/12,1))))))))&gt;0,(((K95)*(IF(M95="",L95,IFERROR(IF(INDEX(Variablen!$I:$AT, MATCH(M95, Variablen!$A:$A, 0), MATCH((YEAR(D95)+4), Variablen!$I$3:$AT$3, 0))="",L95,INDEX(Variablen!$I:$AT, MATCH(M95, Variablen!$A:$A, 0), MATCH((YEAR(D95)+4), Variablen!$I$3:$AT$3, 0))),L95)))*(IF((YEAR(D95)+4)&lt;YEAR(E95),0,IF((YEAR(D95)+4)&gt;YEAR(E95),1,(12-MONTH(E95)+1)/12))) + (Q95)*(IF((YEAR(D95)+4)&lt;YEAR(E95),0,IF((YEAR(D95)+4)&gt;YEAR(E95),1,(12-MONTH(E95)+1)/12))))-((P95)*(IF((YEAR(D95)+4)&lt;YEAR(E95),0,IF((YEAR(D95)+4)&gt;YEAR(E95),1,(12-MONTH(E95)+1)/12))) + (R95)*(IF((YEAR(D95)+4)&lt;YEAR(E95),0,IF((YEAR(D95)+4)&gt;YEAR(E95),1,(12-MONTH(E95)+1)/12))))-(IF(OR(N95="",N95&lt;=0),0,(O95/N95)*(IF(OR(N95="",N95&lt;=0),0,IF((YEAR(D95)+4)&lt;YEAR(E95),0,IF((YEAR(D95)+4)&gt;=YEAR(E95)+N95,0,IF((YEAR(D95)+4)=YEAR(E95),(12-MONTH(E95)+1)/12,1))))))))*TaxRate,0))-IF(4=0,O95,0))</f>
        <v/>
      </c>
      <c r="X95" s="29">
        <f>IF(A95="","",((K95)*(IF(M95="",L95,IFERROR(IF(INDEX(Variablen!$I:$AT, MATCH(M95, Variablen!$A:$A, 0), MATCH((YEAR(D95)+5), Variablen!$I$3:$AT$3, 0))="",L95,INDEX(Variablen!$I:$AT, MATCH(M95, Variablen!$A:$A, 0), MATCH((YEAR(D95)+5), Variablen!$I$3:$AT$3, 0))),L95)))*(IF((YEAR(D95)+5)&lt;YEAR(E95),0,IF((YEAR(D95)+5)&gt;YEAR(E95),1,(12-MONTH(E95)+1)/12))) + (Q95)*(IF((YEAR(D95)+5)&lt;YEAR(E95),0,IF((YEAR(D95)+5)&gt;YEAR(E95),1,(12-MONTH(E95)+1)/12))))-((P95)*(IF((YEAR(D95)+5)&lt;YEAR(E95),0,IF((YEAR(D95)+5)&gt;YEAR(E95),1,(12-MONTH(E95)+1)/12))) + (R95)*(IF((YEAR(D95)+5)&lt;YEAR(E95),0,IF((YEAR(D95)+5)&gt;YEAR(E95),1,(12-MONTH(E95)+1)/12))))-(IF((((K95)*(IF(M95="",L95,IFERROR(IF(INDEX(Variablen!$I:$AT, MATCH(M95, Variablen!$A:$A, 0), MATCH((YEAR(D95)+5), Variablen!$I$3:$AT$3, 0))="",L95,INDEX(Variablen!$I:$AT, MATCH(M95, Variablen!$A:$A, 0), MATCH((YEAR(D95)+5), Variablen!$I$3:$AT$3, 0))),L95)))*(IF((YEAR(D95)+5)&lt;YEAR(E95),0,IF((YEAR(D95)+5)&gt;YEAR(E95),1,(12-MONTH(E95)+1)/12))) + (Q95)*(IF((YEAR(D95)+5)&lt;YEAR(E95),0,IF((YEAR(D95)+5)&gt;YEAR(E95),1,(12-MONTH(E95)+1)/12))))-((P95)*(IF((YEAR(D95)+5)&lt;YEAR(E95),0,IF((YEAR(D95)+5)&gt;YEAR(E95),1,(12-MONTH(E95)+1)/12))) + (R95)*(IF((YEAR(D95)+5)&lt;YEAR(E95),0,IF((YEAR(D95)+5)&gt;YEAR(E95),1,(12-MONTH(E95)+1)/12))))-(IF(OR(N95="",N95&lt;=0),0,(O95/N95)*(IF(OR(N95="",N95&lt;=0),0,IF((YEAR(D95)+5)&lt;YEAR(E95),0,IF((YEAR(D95)+5)&gt;=YEAR(E95)+N95,0,IF((YEAR(D95)+5)=YEAR(E95),(12-MONTH(E95)+1)/12,1))))))))&gt;0,(((K95)*(IF(M95="",L95,IFERROR(IF(INDEX(Variablen!$I:$AT, MATCH(M95, Variablen!$A:$A, 0), MATCH((YEAR(D95)+5), Variablen!$I$3:$AT$3, 0))="",L95,INDEX(Variablen!$I:$AT, MATCH(M95, Variablen!$A:$A, 0), MATCH((YEAR(D95)+5), Variablen!$I$3:$AT$3, 0))),L95)))*(IF((YEAR(D95)+5)&lt;YEAR(E95),0,IF((YEAR(D95)+5)&gt;YEAR(E95),1,(12-MONTH(E95)+1)/12))) + (Q95)*(IF((YEAR(D95)+5)&lt;YEAR(E95),0,IF((YEAR(D95)+5)&gt;YEAR(E95),1,(12-MONTH(E95)+1)/12))))-((P95)*(IF((YEAR(D95)+5)&lt;YEAR(E95),0,IF((YEAR(D95)+5)&gt;YEAR(E95),1,(12-MONTH(E95)+1)/12))) + (R95)*(IF((YEAR(D95)+5)&lt;YEAR(E95),0,IF((YEAR(D95)+5)&gt;YEAR(E95),1,(12-MONTH(E95)+1)/12))))-(IF(OR(N95="",N95&lt;=0),0,(O95/N95)*(IF(OR(N95="",N95&lt;=0),0,IF((YEAR(D95)+5)&lt;YEAR(E95),0,IF((YEAR(D95)+5)&gt;=YEAR(E95)+N95,0,IF((YEAR(D95)+5)=YEAR(E95),(12-MONTH(E95)+1)/12,1))))))))*TaxRate,0))-IF(5=0,O95,0))</f>
        <v/>
      </c>
      <c r="Y95" s="29">
        <f>IF(A95="","",((K95)*(IF(M95="",L95,IFERROR(IF(INDEX(Variablen!$I:$AT, MATCH(M95, Variablen!$A:$A, 0), MATCH((YEAR(D95)+6), Variablen!$I$3:$AT$3, 0))="",L95,INDEX(Variablen!$I:$AT, MATCH(M95, Variablen!$A:$A, 0), MATCH((YEAR(D95)+6), Variablen!$I$3:$AT$3, 0))),L95)))*(IF((YEAR(D95)+6)&lt;YEAR(E95),0,IF((YEAR(D95)+6)&gt;YEAR(E95),1,(12-MONTH(E95)+1)/12))) + (Q95)*(IF((YEAR(D95)+6)&lt;YEAR(E95),0,IF((YEAR(D95)+6)&gt;YEAR(E95),1,(12-MONTH(E95)+1)/12))))-((P95)*(IF((YEAR(D95)+6)&lt;YEAR(E95),0,IF((YEAR(D95)+6)&gt;YEAR(E95),1,(12-MONTH(E95)+1)/12))) + (R95)*(IF((YEAR(D95)+6)&lt;YEAR(E95),0,IF((YEAR(D95)+6)&gt;YEAR(E95),1,(12-MONTH(E95)+1)/12))))-(IF((((K95)*(IF(M95="",L95,IFERROR(IF(INDEX(Variablen!$I:$AT, MATCH(M95, Variablen!$A:$A, 0), MATCH((YEAR(D95)+6), Variablen!$I$3:$AT$3, 0))="",L95,INDEX(Variablen!$I:$AT, MATCH(M95, Variablen!$A:$A, 0), MATCH((YEAR(D95)+6), Variablen!$I$3:$AT$3, 0))),L95)))*(IF((YEAR(D95)+6)&lt;YEAR(E95),0,IF((YEAR(D95)+6)&gt;YEAR(E95),1,(12-MONTH(E95)+1)/12))) + (Q95)*(IF((YEAR(D95)+6)&lt;YEAR(E95),0,IF((YEAR(D95)+6)&gt;YEAR(E95),1,(12-MONTH(E95)+1)/12))))-((P95)*(IF((YEAR(D95)+6)&lt;YEAR(E95),0,IF((YEAR(D95)+6)&gt;YEAR(E95),1,(12-MONTH(E95)+1)/12))) + (R95)*(IF((YEAR(D95)+6)&lt;YEAR(E95),0,IF((YEAR(D95)+6)&gt;YEAR(E95),1,(12-MONTH(E95)+1)/12))))-(IF(OR(N95="",N95&lt;=0),0,(O95/N95)*(IF(OR(N95="",N95&lt;=0),0,IF((YEAR(D95)+6)&lt;YEAR(E95),0,IF((YEAR(D95)+6)&gt;=YEAR(E95)+N95,0,IF((YEAR(D95)+6)=YEAR(E95),(12-MONTH(E95)+1)/12,1))))))))&gt;0,(((K95)*(IF(M95="",L95,IFERROR(IF(INDEX(Variablen!$I:$AT, MATCH(M95, Variablen!$A:$A, 0), MATCH((YEAR(D95)+6), Variablen!$I$3:$AT$3, 0))="",L95,INDEX(Variablen!$I:$AT, MATCH(M95, Variablen!$A:$A, 0), MATCH((YEAR(D95)+6), Variablen!$I$3:$AT$3, 0))),L95)))*(IF((YEAR(D95)+6)&lt;YEAR(E95),0,IF((YEAR(D95)+6)&gt;YEAR(E95),1,(12-MONTH(E95)+1)/12))) + (Q95)*(IF((YEAR(D95)+6)&lt;YEAR(E95),0,IF((YEAR(D95)+6)&gt;YEAR(E95),1,(12-MONTH(E95)+1)/12))))-((P95)*(IF((YEAR(D95)+6)&lt;YEAR(E95),0,IF((YEAR(D95)+6)&gt;YEAR(E95),1,(12-MONTH(E95)+1)/12))) + (R95)*(IF((YEAR(D95)+6)&lt;YEAR(E95),0,IF((YEAR(D95)+6)&gt;YEAR(E95),1,(12-MONTH(E95)+1)/12))))-(IF(OR(N95="",N95&lt;=0),0,(O95/N95)*(IF(OR(N95="",N95&lt;=0),0,IF((YEAR(D95)+6)&lt;YEAR(E95),0,IF((YEAR(D95)+6)&gt;=YEAR(E95)+N95,0,IF((YEAR(D95)+6)=YEAR(E95),(12-MONTH(E95)+1)/12,1))))))))*TaxRate,0))-IF(6=0,O95,0))</f>
        <v/>
      </c>
      <c r="Z95" s="29">
        <f>IF(A95="","",((K95)*(IF(M95="",L95,IFERROR(IF(INDEX(Variablen!$I:$AT, MATCH(M95, Variablen!$A:$A, 0), MATCH((YEAR(D95)+7), Variablen!$I$3:$AT$3, 0))="",L95,INDEX(Variablen!$I:$AT, MATCH(M95, Variablen!$A:$A, 0), MATCH((YEAR(D95)+7), Variablen!$I$3:$AT$3, 0))),L95)))*(IF((YEAR(D95)+7)&lt;YEAR(E95),0,IF((YEAR(D95)+7)&gt;YEAR(E95),1,(12-MONTH(E95)+1)/12))) + (Q95)*(IF((YEAR(D95)+7)&lt;YEAR(E95),0,IF((YEAR(D95)+7)&gt;YEAR(E95),1,(12-MONTH(E95)+1)/12))))-((P95)*(IF((YEAR(D95)+7)&lt;YEAR(E95),0,IF((YEAR(D95)+7)&gt;YEAR(E95),1,(12-MONTH(E95)+1)/12))) + (R95)*(IF((YEAR(D95)+7)&lt;YEAR(E95),0,IF((YEAR(D95)+7)&gt;YEAR(E95),1,(12-MONTH(E95)+1)/12))))-(IF((((K95)*(IF(M95="",L95,IFERROR(IF(INDEX(Variablen!$I:$AT, MATCH(M95, Variablen!$A:$A, 0), MATCH((YEAR(D95)+7), Variablen!$I$3:$AT$3, 0))="",L95,INDEX(Variablen!$I:$AT, MATCH(M95, Variablen!$A:$A, 0), MATCH((YEAR(D95)+7), Variablen!$I$3:$AT$3, 0))),L95)))*(IF((YEAR(D95)+7)&lt;YEAR(E95),0,IF((YEAR(D95)+7)&gt;YEAR(E95),1,(12-MONTH(E95)+1)/12))) + (Q95)*(IF((YEAR(D95)+7)&lt;YEAR(E95),0,IF((YEAR(D95)+7)&gt;YEAR(E95),1,(12-MONTH(E95)+1)/12))))-((P95)*(IF((YEAR(D95)+7)&lt;YEAR(E95),0,IF((YEAR(D95)+7)&gt;YEAR(E95),1,(12-MONTH(E95)+1)/12))) + (R95)*(IF((YEAR(D95)+7)&lt;YEAR(E95),0,IF((YEAR(D95)+7)&gt;YEAR(E95),1,(12-MONTH(E95)+1)/12))))-(IF(OR(N95="",N95&lt;=0),0,(O95/N95)*(IF(OR(N95="",N95&lt;=0),0,IF((YEAR(D95)+7)&lt;YEAR(E95),0,IF((YEAR(D95)+7)&gt;=YEAR(E95)+N95,0,IF((YEAR(D95)+7)=YEAR(E95),(12-MONTH(E95)+1)/12,1))))))))&gt;0,(((K95)*(IF(M95="",L95,IFERROR(IF(INDEX(Variablen!$I:$AT, MATCH(M95, Variablen!$A:$A, 0), MATCH((YEAR(D95)+7), Variablen!$I$3:$AT$3, 0))="",L95,INDEX(Variablen!$I:$AT, MATCH(M95, Variablen!$A:$A, 0), MATCH((YEAR(D95)+7), Variablen!$I$3:$AT$3, 0))),L95)))*(IF((YEAR(D95)+7)&lt;YEAR(E95),0,IF((YEAR(D95)+7)&gt;YEAR(E95),1,(12-MONTH(E95)+1)/12))) + (Q95)*(IF((YEAR(D95)+7)&lt;YEAR(E95),0,IF((YEAR(D95)+7)&gt;YEAR(E95),1,(12-MONTH(E95)+1)/12))))-((P95)*(IF((YEAR(D95)+7)&lt;YEAR(E95),0,IF((YEAR(D95)+7)&gt;YEAR(E95),1,(12-MONTH(E95)+1)/12))) + (R95)*(IF((YEAR(D95)+7)&lt;YEAR(E95),0,IF((YEAR(D95)+7)&gt;YEAR(E95),1,(12-MONTH(E95)+1)/12))))-(IF(OR(N95="",N95&lt;=0),0,(O95/N95)*(IF(OR(N95="",N95&lt;=0),0,IF((YEAR(D95)+7)&lt;YEAR(E95),0,IF((YEAR(D95)+7)&gt;=YEAR(E95)+N95,0,IF((YEAR(D95)+7)=YEAR(E95),(12-MONTH(E95)+1)/12,1))))))))*TaxRate,0))-IF(7=0,O95,0))</f>
        <v/>
      </c>
      <c r="AA95" s="29">
        <f>IF(A95="","",((K95)*(IF(M95="",L95,IFERROR(IF(INDEX(Variablen!$I:$AT, MATCH(M95, Variablen!$A:$A, 0), MATCH((YEAR(D95)+8), Variablen!$I$3:$AT$3, 0))="",L95,INDEX(Variablen!$I:$AT, MATCH(M95, Variablen!$A:$A, 0), MATCH((YEAR(D95)+8), Variablen!$I$3:$AT$3, 0))),L95)))*(IF((YEAR(D95)+8)&lt;YEAR(E95),0,IF((YEAR(D95)+8)&gt;YEAR(E95),1,(12-MONTH(E95)+1)/12))) + (Q95)*(IF((YEAR(D95)+8)&lt;YEAR(E95),0,IF((YEAR(D95)+8)&gt;YEAR(E95),1,(12-MONTH(E95)+1)/12))))-((P95)*(IF((YEAR(D95)+8)&lt;YEAR(E95),0,IF((YEAR(D95)+8)&gt;YEAR(E95),1,(12-MONTH(E95)+1)/12))) + (R95)*(IF((YEAR(D95)+8)&lt;YEAR(E95),0,IF((YEAR(D95)+8)&gt;YEAR(E95),1,(12-MONTH(E95)+1)/12))))-(IF((((K95)*(IF(M95="",L95,IFERROR(IF(INDEX(Variablen!$I:$AT, MATCH(M95, Variablen!$A:$A, 0), MATCH((YEAR(D95)+8), Variablen!$I$3:$AT$3, 0))="",L95,INDEX(Variablen!$I:$AT, MATCH(M95, Variablen!$A:$A, 0), MATCH((YEAR(D95)+8), Variablen!$I$3:$AT$3, 0))),L95)))*(IF((YEAR(D95)+8)&lt;YEAR(E95),0,IF((YEAR(D95)+8)&gt;YEAR(E95),1,(12-MONTH(E95)+1)/12))) + (Q95)*(IF((YEAR(D95)+8)&lt;YEAR(E95),0,IF((YEAR(D95)+8)&gt;YEAR(E95),1,(12-MONTH(E95)+1)/12))))-((P95)*(IF((YEAR(D95)+8)&lt;YEAR(E95),0,IF((YEAR(D95)+8)&gt;YEAR(E95),1,(12-MONTH(E95)+1)/12))) + (R95)*(IF((YEAR(D95)+8)&lt;YEAR(E95),0,IF((YEAR(D95)+8)&gt;YEAR(E95),1,(12-MONTH(E95)+1)/12))))-(IF(OR(N95="",N95&lt;=0),0,(O95/N95)*(IF(OR(N95="",N95&lt;=0),0,IF((YEAR(D95)+8)&lt;YEAR(E95),0,IF((YEAR(D95)+8)&gt;=YEAR(E95)+N95,0,IF((YEAR(D95)+8)=YEAR(E95),(12-MONTH(E95)+1)/12,1))))))))&gt;0,(((K95)*(IF(M95="",L95,IFERROR(IF(INDEX(Variablen!$I:$AT, MATCH(M95, Variablen!$A:$A, 0), MATCH((YEAR(D95)+8), Variablen!$I$3:$AT$3, 0))="",L95,INDEX(Variablen!$I:$AT, MATCH(M95, Variablen!$A:$A, 0), MATCH((YEAR(D95)+8), Variablen!$I$3:$AT$3, 0))),L95)))*(IF((YEAR(D95)+8)&lt;YEAR(E95),0,IF((YEAR(D95)+8)&gt;YEAR(E95),1,(12-MONTH(E95)+1)/12))) + (Q95)*(IF((YEAR(D95)+8)&lt;YEAR(E95),0,IF((YEAR(D95)+8)&gt;YEAR(E95),1,(12-MONTH(E95)+1)/12))))-((P95)*(IF((YEAR(D95)+8)&lt;YEAR(E95),0,IF((YEAR(D95)+8)&gt;YEAR(E95),1,(12-MONTH(E95)+1)/12))) + (R95)*(IF((YEAR(D95)+8)&lt;YEAR(E95),0,IF((YEAR(D95)+8)&gt;YEAR(E95),1,(12-MONTH(E95)+1)/12))))-(IF(OR(N95="",N95&lt;=0),0,(O95/N95)*(IF(OR(N95="",N95&lt;=0),0,IF((YEAR(D95)+8)&lt;YEAR(E95),0,IF((YEAR(D95)+8)&gt;=YEAR(E95)+N95,0,IF((YEAR(D95)+8)=YEAR(E95),(12-MONTH(E95)+1)/12,1))))))))*TaxRate,0))-IF(8=0,O95,0))</f>
        <v/>
      </c>
      <c r="AB95" s="29">
        <f>IF(A95="","",((K95)*(IF(M95="",L95,IFERROR(IF(INDEX(Variablen!$I:$AT, MATCH(M95, Variablen!$A:$A, 0), MATCH((YEAR(D95)+9), Variablen!$I$3:$AT$3, 0))="",L95,INDEX(Variablen!$I:$AT, MATCH(M95, Variablen!$A:$A, 0), MATCH((YEAR(D95)+9), Variablen!$I$3:$AT$3, 0))),L95)))*(IF((YEAR(D95)+9)&lt;YEAR(E95),0,IF((YEAR(D95)+9)&gt;YEAR(E95),1,(12-MONTH(E95)+1)/12))) + (Q95)*(IF((YEAR(D95)+9)&lt;YEAR(E95),0,IF((YEAR(D95)+9)&gt;YEAR(E95),1,(12-MONTH(E95)+1)/12))))-((P95)*(IF((YEAR(D95)+9)&lt;YEAR(E95),0,IF((YEAR(D95)+9)&gt;YEAR(E95),1,(12-MONTH(E95)+1)/12))) + (R95)*(IF((YEAR(D95)+9)&lt;YEAR(E95),0,IF((YEAR(D95)+9)&gt;YEAR(E95),1,(12-MONTH(E95)+1)/12))))-(IF((((K95)*(IF(M95="",L95,IFERROR(IF(INDEX(Variablen!$I:$AT, MATCH(M95, Variablen!$A:$A, 0), MATCH((YEAR(D95)+9), Variablen!$I$3:$AT$3, 0))="",L95,INDEX(Variablen!$I:$AT, MATCH(M95, Variablen!$A:$A, 0), MATCH((YEAR(D95)+9), Variablen!$I$3:$AT$3, 0))),L95)))*(IF((YEAR(D95)+9)&lt;YEAR(E95),0,IF((YEAR(D95)+9)&gt;YEAR(E95),1,(12-MONTH(E95)+1)/12))) + (Q95)*(IF((YEAR(D95)+9)&lt;YEAR(E95),0,IF((YEAR(D95)+9)&gt;YEAR(E95),1,(12-MONTH(E95)+1)/12))))-((P95)*(IF((YEAR(D95)+9)&lt;YEAR(E95),0,IF((YEAR(D95)+9)&gt;YEAR(E95),1,(12-MONTH(E95)+1)/12))) + (R95)*(IF((YEAR(D95)+9)&lt;YEAR(E95),0,IF((YEAR(D95)+9)&gt;YEAR(E95),1,(12-MONTH(E95)+1)/12))))-(IF(OR(N95="",N95&lt;=0),0,(O95/N95)*(IF(OR(N95="",N95&lt;=0),0,IF((YEAR(D95)+9)&lt;YEAR(E95),0,IF((YEAR(D95)+9)&gt;=YEAR(E95)+N95,0,IF((YEAR(D95)+9)=YEAR(E95),(12-MONTH(E95)+1)/12,1))))))))&gt;0,(((K95)*(IF(M95="",L95,IFERROR(IF(INDEX(Variablen!$I:$AT, MATCH(M95, Variablen!$A:$A, 0), MATCH((YEAR(D95)+9), Variablen!$I$3:$AT$3, 0))="",L95,INDEX(Variablen!$I:$AT, MATCH(M95, Variablen!$A:$A, 0), MATCH((YEAR(D95)+9), Variablen!$I$3:$AT$3, 0))),L95)))*(IF((YEAR(D95)+9)&lt;YEAR(E95),0,IF((YEAR(D95)+9)&gt;YEAR(E95),1,(12-MONTH(E95)+1)/12))) + (Q95)*(IF((YEAR(D95)+9)&lt;YEAR(E95),0,IF((YEAR(D95)+9)&gt;YEAR(E95),1,(12-MONTH(E95)+1)/12))))-((P95)*(IF((YEAR(D95)+9)&lt;YEAR(E95),0,IF((YEAR(D95)+9)&gt;YEAR(E95),1,(12-MONTH(E95)+1)/12))) + (R95)*(IF((YEAR(D95)+9)&lt;YEAR(E95),0,IF((YEAR(D95)+9)&gt;YEAR(E95),1,(12-MONTH(E95)+1)/12))))-(IF(OR(N95="",N95&lt;=0),0,(O95/N95)*(IF(OR(N95="",N95&lt;=0),0,IF((YEAR(D95)+9)&lt;YEAR(E95),0,IF((YEAR(D95)+9)&gt;=YEAR(E95)+N95,0,IF((YEAR(D95)+9)=YEAR(E95),(12-MONTH(E95)+1)/12,1))))))))*TaxRate,0))-IF(9=0,O95,0))</f>
        <v/>
      </c>
      <c r="AC95" s="29">
        <f>IF(A95="","",((K95)*(IF(M95="",L95,IFERROR(IF(INDEX(Variablen!$I:$AT, MATCH(M95, Variablen!$A:$A, 0), MATCH((YEAR(D95)+10), Variablen!$I$3:$AT$3, 0))="",L95,INDEX(Variablen!$I:$AT, MATCH(M95, Variablen!$A:$A, 0), MATCH((YEAR(D95)+10), Variablen!$I$3:$AT$3, 0))),L95)))*(IF((YEAR(D95)+10)&lt;YEAR(E95),0,IF((YEAR(D95)+10)&gt;YEAR(E95),1,(12-MONTH(E95)+1)/12))) + (Q95)*(IF((YEAR(D95)+10)&lt;YEAR(E95),0,IF((YEAR(D95)+10)&gt;YEAR(E95),1,(12-MONTH(E95)+1)/12))))-((P95)*(IF((YEAR(D95)+10)&lt;YEAR(E95),0,IF((YEAR(D95)+10)&gt;YEAR(E95),1,(12-MONTH(E95)+1)/12))) + (R95)*(IF((YEAR(D95)+10)&lt;YEAR(E95),0,IF((YEAR(D95)+10)&gt;YEAR(E95),1,(12-MONTH(E95)+1)/12))))-(IF((((K95)*(IF(M95="",L95,IFERROR(IF(INDEX(Variablen!$I:$AT, MATCH(M95, Variablen!$A:$A, 0), MATCH((YEAR(D95)+10), Variablen!$I$3:$AT$3, 0))="",L95,INDEX(Variablen!$I:$AT, MATCH(M95, Variablen!$A:$A, 0), MATCH((YEAR(D95)+10), Variablen!$I$3:$AT$3, 0))),L95)))*(IF((YEAR(D95)+10)&lt;YEAR(E95),0,IF((YEAR(D95)+10)&gt;YEAR(E95),1,(12-MONTH(E95)+1)/12))) + (Q95)*(IF((YEAR(D95)+10)&lt;YEAR(E95),0,IF((YEAR(D95)+10)&gt;YEAR(E95),1,(12-MONTH(E95)+1)/12))))-((P95)*(IF((YEAR(D95)+10)&lt;YEAR(E95),0,IF((YEAR(D95)+10)&gt;YEAR(E95),1,(12-MONTH(E95)+1)/12))) + (R95)*(IF((YEAR(D95)+10)&lt;YEAR(E95),0,IF((YEAR(D95)+10)&gt;YEAR(E95),1,(12-MONTH(E95)+1)/12))))-(IF(OR(N95="",N95&lt;=0),0,(O95/N95)*(IF(OR(N95="",N95&lt;=0),0,IF((YEAR(D95)+10)&lt;YEAR(E95),0,IF((YEAR(D95)+10)&gt;=YEAR(E95)+N95,0,IF((YEAR(D95)+10)=YEAR(E95),(12-MONTH(E95)+1)/12,1))))))))&gt;0,(((K95)*(IF(M95="",L95,IFERROR(IF(INDEX(Variablen!$I:$AT, MATCH(M95, Variablen!$A:$A, 0), MATCH((YEAR(D95)+10), Variablen!$I$3:$AT$3, 0))="",L95,INDEX(Variablen!$I:$AT, MATCH(M95, Variablen!$A:$A, 0), MATCH((YEAR(D95)+10), Variablen!$I$3:$AT$3, 0))),L95)))*(IF((YEAR(D95)+10)&lt;YEAR(E95),0,IF((YEAR(D95)+10)&gt;YEAR(E95),1,(12-MONTH(E95)+1)/12))) + (Q95)*(IF((YEAR(D95)+10)&lt;YEAR(E95),0,IF((YEAR(D95)+10)&gt;YEAR(E95),1,(12-MONTH(E95)+1)/12))))-((P95)*(IF((YEAR(D95)+10)&lt;YEAR(E95),0,IF((YEAR(D95)+10)&gt;YEAR(E95),1,(12-MONTH(E95)+1)/12))) + (R95)*(IF((YEAR(D95)+10)&lt;YEAR(E95),0,IF((YEAR(D95)+10)&gt;YEAR(E95),1,(12-MONTH(E95)+1)/12))))-(IF(OR(N95="",N95&lt;=0),0,(O95/N95)*(IF(OR(N95="",N95&lt;=0),0,IF((YEAR(D95)+10)&lt;YEAR(E95),0,IF((YEAR(D95)+10)&gt;=YEAR(E95)+N95,0,IF((YEAR(D95)+10)=YEAR(E95),(12-MONTH(E95)+1)/12,1))))))))*TaxRate,0))-IF(10=0,O95,0))</f>
        <v/>
      </c>
      <c r="AD95" s="29">
        <f>IF(A95="","",((K95)*(IF(M95="",L95,IFERROR(IF(INDEX(Variablen!$I:$AT, MATCH(M95, Variablen!$A:$A, 0), MATCH((YEAR(D95)+11), Variablen!$I$3:$AT$3, 0))="",L95,INDEX(Variablen!$I:$AT, MATCH(M95, Variablen!$A:$A, 0), MATCH((YEAR(D95)+11), Variablen!$I$3:$AT$3, 0))),L95)))*(IF((YEAR(D95)+11)&lt;YEAR(E95),0,IF((YEAR(D95)+11)&gt;YEAR(E95),1,(12-MONTH(E95)+1)/12))) + (Q95)*(IF((YEAR(D95)+11)&lt;YEAR(E95),0,IF((YEAR(D95)+11)&gt;YEAR(E95),1,(12-MONTH(E95)+1)/12))))-((P95)*(IF((YEAR(D95)+11)&lt;YEAR(E95),0,IF((YEAR(D95)+11)&gt;YEAR(E95),1,(12-MONTH(E95)+1)/12))) + (R95)*(IF((YEAR(D95)+11)&lt;YEAR(E95),0,IF((YEAR(D95)+11)&gt;YEAR(E95),1,(12-MONTH(E95)+1)/12))))-(IF((((K95)*(IF(M95="",L95,IFERROR(IF(INDEX(Variablen!$I:$AT, MATCH(M95, Variablen!$A:$A, 0), MATCH((YEAR(D95)+11), Variablen!$I$3:$AT$3, 0))="",L95,INDEX(Variablen!$I:$AT, MATCH(M95, Variablen!$A:$A, 0), MATCH((YEAR(D95)+11), Variablen!$I$3:$AT$3, 0))),L95)))*(IF((YEAR(D95)+11)&lt;YEAR(E95),0,IF((YEAR(D95)+11)&gt;YEAR(E95),1,(12-MONTH(E95)+1)/12))) + (Q95)*(IF((YEAR(D95)+11)&lt;YEAR(E95),0,IF((YEAR(D95)+11)&gt;YEAR(E95),1,(12-MONTH(E95)+1)/12))))-((P95)*(IF((YEAR(D95)+11)&lt;YEAR(E95),0,IF((YEAR(D95)+11)&gt;YEAR(E95),1,(12-MONTH(E95)+1)/12))) + (R95)*(IF((YEAR(D95)+11)&lt;YEAR(E95),0,IF((YEAR(D95)+11)&gt;YEAR(E95),1,(12-MONTH(E95)+1)/12))))-(IF(OR(N95="",N95&lt;=0),0,(O95/N95)*(IF(OR(N95="",N95&lt;=0),0,IF((YEAR(D95)+11)&lt;YEAR(E95),0,IF((YEAR(D95)+11)&gt;=YEAR(E95)+N95,0,IF((YEAR(D95)+11)=YEAR(E95),(12-MONTH(E95)+1)/12,1))))))))&gt;0,(((K95)*(IF(M95="",L95,IFERROR(IF(INDEX(Variablen!$I:$AT, MATCH(M95, Variablen!$A:$A, 0), MATCH((YEAR(D95)+11), Variablen!$I$3:$AT$3, 0))="",L95,INDEX(Variablen!$I:$AT, MATCH(M95, Variablen!$A:$A, 0), MATCH((YEAR(D95)+11), Variablen!$I$3:$AT$3, 0))),L95)))*(IF((YEAR(D95)+11)&lt;YEAR(E95),0,IF((YEAR(D95)+11)&gt;YEAR(E95),1,(12-MONTH(E95)+1)/12))) + (Q95)*(IF((YEAR(D95)+11)&lt;YEAR(E95),0,IF((YEAR(D95)+11)&gt;YEAR(E95),1,(12-MONTH(E95)+1)/12))))-((P95)*(IF((YEAR(D95)+11)&lt;YEAR(E95),0,IF((YEAR(D95)+11)&gt;YEAR(E95),1,(12-MONTH(E95)+1)/12))) + (R95)*(IF((YEAR(D95)+11)&lt;YEAR(E95),0,IF((YEAR(D95)+11)&gt;YEAR(E95),1,(12-MONTH(E95)+1)/12))))-(IF(OR(N95="",N95&lt;=0),0,(O95/N95)*(IF(OR(N95="",N95&lt;=0),0,IF((YEAR(D95)+11)&lt;YEAR(E95),0,IF((YEAR(D95)+11)&gt;=YEAR(E95)+N95,0,IF((YEAR(D95)+11)=YEAR(E95),(12-MONTH(E95)+1)/12,1))))))))*TaxRate,0))-IF(11=0,O95,0))</f>
        <v/>
      </c>
      <c r="AE95" s="29">
        <f>IF(A95="","",((K95)*(IF(M95="",L95,IFERROR(IF(INDEX(Variablen!$I:$AT, MATCH(M95, Variablen!$A:$A, 0), MATCH((YEAR(D95)+12), Variablen!$I$3:$AT$3, 0))="",L95,INDEX(Variablen!$I:$AT, MATCH(M95, Variablen!$A:$A, 0), MATCH((YEAR(D95)+12), Variablen!$I$3:$AT$3, 0))),L95)))*(IF((YEAR(D95)+12)&lt;YEAR(E95),0,IF((YEAR(D95)+12)&gt;YEAR(E95),1,(12-MONTH(E95)+1)/12))) + (Q95)*(IF((YEAR(D95)+12)&lt;YEAR(E95),0,IF((YEAR(D95)+12)&gt;YEAR(E95),1,(12-MONTH(E95)+1)/12))))-((P95)*(IF((YEAR(D95)+12)&lt;YEAR(E95),0,IF((YEAR(D95)+12)&gt;YEAR(E95),1,(12-MONTH(E95)+1)/12))) + (R95)*(IF((YEAR(D95)+12)&lt;YEAR(E95),0,IF((YEAR(D95)+12)&gt;YEAR(E95),1,(12-MONTH(E95)+1)/12))))-(IF((((K95)*(IF(M95="",L95,IFERROR(IF(INDEX(Variablen!$I:$AT, MATCH(M95, Variablen!$A:$A, 0), MATCH((YEAR(D95)+12), Variablen!$I$3:$AT$3, 0))="",L95,INDEX(Variablen!$I:$AT, MATCH(M95, Variablen!$A:$A, 0), MATCH((YEAR(D95)+12), Variablen!$I$3:$AT$3, 0))),L95)))*(IF((YEAR(D95)+12)&lt;YEAR(E95),0,IF((YEAR(D95)+12)&gt;YEAR(E95),1,(12-MONTH(E95)+1)/12))) + (Q95)*(IF((YEAR(D95)+12)&lt;YEAR(E95),0,IF((YEAR(D95)+12)&gt;YEAR(E95),1,(12-MONTH(E95)+1)/12))))-((P95)*(IF((YEAR(D95)+12)&lt;YEAR(E95),0,IF((YEAR(D95)+12)&gt;YEAR(E95),1,(12-MONTH(E95)+1)/12))) + (R95)*(IF((YEAR(D95)+12)&lt;YEAR(E95),0,IF((YEAR(D95)+12)&gt;YEAR(E95),1,(12-MONTH(E95)+1)/12))))-(IF(OR(N95="",N95&lt;=0),0,(O95/N95)*(IF(OR(N95="",N95&lt;=0),0,IF((YEAR(D95)+12)&lt;YEAR(E95),0,IF((YEAR(D95)+12)&gt;=YEAR(E95)+N95,0,IF((YEAR(D95)+12)=YEAR(E95),(12-MONTH(E95)+1)/12,1))))))))&gt;0,(((K95)*(IF(M95="",L95,IFERROR(IF(INDEX(Variablen!$I:$AT, MATCH(M95, Variablen!$A:$A, 0), MATCH((YEAR(D95)+12), Variablen!$I$3:$AT$3, 0))="",L95,INDEX(Variablen!$I:$AT, MATCH(M95, Variablen!$A:$A, 0), MATCH((YEAR(D95)+12), Variablen!$I$3:$AT$3, 0))),L95)))*(IF((YEAR(D95)+12)&lt;YEAR(E95),0,IF((YEAR(D95)+12)&gt;YEAR(E95),1,(12-MONTH(E95)+1)/12))) + (Q95)*(IF((YEAR(D95)+12)&lt;YEAR(E95),0,IF((YEAR(D95)+12)&gt;YEAR(E95),1,(12-MONTH(E95)+1)/12))))-((P95)*(IF((YEAR(D95)+12)&lt;YEAR(E95),0,IF((YEAR(D95)+12)&gt;YEAR(E95),1,(12-MONTH(E95)+1)/12))) + (R95)*(IF((YEAR(D95)+12)&lt;YEAR(E95),0,IF((YEAR(D95)+12)&gt;YEAR(E95),1,(12-MONTH(E95)+1)/12))))-(IF(OR(N95="",N95&lt;=0),0,(O95/N95)*(IF(OR(N95="",N95&lt;=0),0,IF((YEAR(D95)+12)&lt;YEAR(E95),0,IF((YEAR(D95)+12)&gt;=YEAR(E95)+N95,0,IF((YEAR(D95)+12)=YEAR(E95),(12-MONTH(E95)+1)/12,1))))))))*TaxRate,0))-IF(12=0,O95,0))</f>
        <v/>
      </c>
      <c r="AF95" s="29">
        <f>IF(A95="","",((K95)*(IF(M95="",L95,IFERROR(IF(INDEX(Variablen!$I:$AT, MATCH(M95, Variablen!$A:$A, 0), MATCH((YEAR(D95)+13), Variablen!$I$3:$AT$3, 0))="",L95,INDEX(Variablen!$I:$AT, MATCH(M95, Variablen!$A:$A, 0), MATCH((YEAR(D95)+13), Variablen!$I$3:$AT$3, 0))),L95)))*(IF((YEAR(D95)+13)&lt;YEAR(E95),0,IF((YEAR(D95)+13)&gt;YEAR(E95),1,(12-MONTH(E95)+1)/12))) + (Q95)*(IF((YEAR(D95)+13)&lt;YEAR(E95),0,IF((YEAR(D95)+13)&gt;YEAR(E95),1,(12-MONTH(E95)+1)/12))))-((P95)*(IF((YEAR(D95)+13)&lt;YEAR(E95),0,IF((YEAR(D95)+13)&gt;YEAR(E95),1,(12-MONTH(E95)+1)/12))) + (R95)*(IF((YEAR(D95)+13)&lt;YEAR(E95),0,IF((YEAR(D95)+13)&gt;YEAR(E95),1,(12-MONTH(E95)+1)/12))))-(IF((((K95)*(IF(M95="",L95,IFERROR(IF(INDEX(Variablen!$I:$AT, MATCH(M95, Variablen!$A:$A, 0), MATCH((YEAR(D95)+13), Variablen!$I$3:$AT$3, 0))="",L95,INDEX(Variablen!$I:$AT, MATCH(M95, Variablen!$A:$A, 0), MATCH((YEAR(D95)+13), Variablen!$I$3:$AT$3, 0))),L95)))*(IF((YEAR(D95)+13)&lt;YEAR(E95),0,IF((YEAR(D95)+13)&gt;YEAR(E95),1,(12-MONTH(E95)+1)/12))) + (Q95)*(IF((YEAR(D95)+13)&lt;YEAR(E95),0,IF((YEAR(D95)+13)&gt;YEAR(E95),1,(12-MONTH(E95)+1)/12))))-((P95)*(IF((YEAR(D95)+13)&lt;YEAR(E95),0,IF((YEAR(D95)+13)&gt;YEAR(E95),1,(12-MONTH(E95)+1)/12))) + (R95)*(IF((YEAR(D95)+13)&lt;YEAR(E95),0,IF((YEAR(D95)+13)&gt;YEAR(E95),1,(12-MONTH(E95)+1)/12))))-(IF(OR(N95="",N95&lt;=0),0,(O95/N95)*(IF(OR(N95="",N95&lt;=0),0,IF((YEAR(D95)+13)&lt;YEAR(E95),0,IF((YEAR(D95)+13)&gt;=YEAR(E95)+N95,0,IF((YEAR(D95)+13)=YEAR(E95),(12-MONTH(E95)+1)/12,1))))))))&gt;0,(((K95)*(IF(M95="",L95,IFERROR(IF(INDEX(Variablen!$I:$AT, MATCH(M95, Variablen!$A:$A, 0), MATCH((YEAR(D95)+13), Variablen!$I$3:$AT$3, 0))="",L95,INDEX(Variablen!$I:$AT, MATCH(M95, Variablen!$A:$A, 0), MATCH((YEAR(D95)+13), Variablen!$I$3:$AT$3, 0))),L95)))*(IF((YEAR(D95)+13)&lt;YEAR(E95),0,IF((YEAR(D95)+13)&gt;YEAR(E95),1,(12-MONTH(E95)+1)/12))) + (Q95)*(IF((YEAR(D95)+13)&lt;YEAR(E95),0,IF((YEAR(D95)+13)&gt;YEAR(E95),1,(12-MONTH(E95)+1)/12))))-((P95)*(IF((YEAR(D95)+13)&lt;YEAR(E95),0,IF((YEAR(D95)+13)&gt;YEAR(E95),1,(12-MONTH(E95)+1)/12))) + (R95)*(IF((YEAR(D95)+13)&lt;YEAR(E95),0,IF((YEAR(D95)+13)&gt;YEAR(E95),1,(12-MONTH(E95)+1)/12))))-(IF(OR(N95="",N95&lt;=0),0,(O95/N95)*(IF(OR(N95="",N95&lt;=0),0,IF((YEAR(D95)+13)&lt;YEAR(E95),0,IF((YEAR(D95)+13)&gt;=YEAR(E95)+N95,0,IF((YEAR(D95)+13)=YEAR(E95),(12-MONTH(E95)+1)/12,1))))))))*TaxRate,0))-IF(13=0,O95,0))</f>
        <v/>
      </c>
      <c r="AG95" s="29">
        <f>IF(A95="","",((K95)*(IF(M95="",L95,IFERROR(IF(INDEX(Variablen!$I:$AT, MATCH(M95, Variablen!$A:$A, 0), MATCH((YEAR(D95)+14), Variablen!$I$3:$AT$3, 0))="",L95,INDEX(Variablen!$I:$AT, MATCH(M95, Variablen!$A:$A, 0), MATCH((YEAR(D95)+14), Variablen!$I$3:$AT$3, 0))),L95)))*(IF((YEAR(D95)+14)&lt;YEAR(E95),0,IF((YEAR(D95)+14)&gt;YEAR(E95),1,(12-MONTH(E95)+1)/12))) + (Q95)*(IF((YEAR(D95)+14)&lt;YEAR(E95),0,IF((YEAR(D95)+14)&gt;YEAR(E95),1,(12-MONTH(E95)+1)/12))))-((P95)*(IF((YEAR(D95)+14)&lt;YEAR(E95),0,IF((YEAR(D95)+14)&gt;YEAR(E95),1,(12-MONTH(E95)+1)/12))) + (R95)*(IF((YEAR(D95)+14)&lt;YEAR(E95),0,IF((YEAR(D95)+14)&gt;YEAR(E95),1,(12-MONTH(E95)+1)/12))))-(IF((((K95)*(IF(M95="",L95,IFERROR(IF(INDEX(Variablen!$I:$AT, MATCH(M95, Variablen!$A:$A, 0), MATCH((YEAR(D95)+14), Variablen!$I$3:$AT$3, 0))="",L95,INDEX(Variablen!$I:$AT, MATCH(M95, Variablen!$A:$A, 0), MATCH((YEAR(D95)+14), Variablen!$I$3:$AT$3, 0))),L95)))*(IF((YEAR(D95)+14)&lt;YEAR(E95),0,IF((YEAR(D95)+14)&gt;YEAR(E95),1,(12-MONTH(E95)+1)/12))) + (Q95)*(IF((YEAR(D95)+14)&lt;YEAR(E95),0,IF((YEAR(D95)+14)&gt;YEAR(E95),1,(12-MONTH(E95)+1)/12))))-((P95)*(IF((YEAR(D95)+14)&lt;YEAR(E95),0,IF((YEAR(D95)+14)&gt;YEAR(E95),1,(12-MONTH(E95)+1)/12))) + (R95)*(IF((YEAR(D95)+14)&lt;YEAR(E95),0,IF((YEAR(D95)+14)&gt;YEAR(E95),1,(12-MONTH(E95)+1)/12))))-(IF(OR(N95="",N95&lt;=0),0,(O95/N95)*(IF(OR(N95="",N95&lt;=0),0,IF((YEAR(D95)+14)&lt;YEAR(E95),0,IF((YEAR(D95)+14)&gt;=YEAR(E95)+N95,0,IF((YEAR(D95)+14)=YEAR(E95),(12-MONTH(E95)+1)/12,1))))))))&gt;0,(((K95)*(IF(M95="",L95,IFERROR(IF(INDEX(Variablen!$I:$AT, MATCH(M95, Variablen!$A:$A, 0), MATCH((YEAR(D95)+14), Variablen!$I$3:$AT$3, 0))="",L95,INDEX(Variablen!$I:$AT, MATCH(M95, Variablen!$A:$A, 0), MATCH((YEAR(D95)+14), Variablen!$I$3:$AT$3, 0))),L95)))*(IF((YEAR(D95)+14)&lt;YEAR(E95),0,IF((YEAR(D95)+14)&gt;YEAR(E95),1,(12-MONTH(E95)+1)/12))) + (Q95)*(IF((YEAR(D95)+14)&lt;YEAR(E95),0,IF((YEAR(D95)+14)&gt;YEAR(E95),1,(12-MONTH(E95)+1)/12))))-((P95)*(IF((YEAR(D95)+14)&lt;YEAR(E95),0,IF((YEAR(D95)+14)&gt;YEAR(E95),1,(12-MONTH(E95)+1)/12))) + (R95)*(IF((YEAR(D95)+14)&lt;YEAR(E95),0,IF((YEAR(D95)+14)&gt;YEAR(E95),1,(12-MONTH(E95)+1)/12))))-(IF(OR(N95="",N95&lt;=0),0,(O95/N95)*(IF(OR(N95="",N95&lt;=0),0,IF((YEAR(D95)+14)&lt;YEAR(E95),0,IF((YEAR(D95)+14)&gt;=YEAR(E95)+N95,0,IF((YEAR(D95)+14)=YEAR(E95),(12-MONTH(E95)+1)/12,1))))))))*TaxRate,0))-IF(14=0,O95,0))</f>
        <v/>
      </c>
      <c r="AH95" s="29">
        <f>IF(A95="","",((K95)*(IF(M95="",L95,IFERROR(IF(INDEX(Variablen!$I:$AT, MATCH(M95, Variablen!$A:$A, 0), MATCH((YEAR(D95)+15), Variablen!$I$3:$AT$3, 0))="",L95,INDEX(Variablen!$I:$AT, MATCH(M95, Variablen!$A:$A, 0), MATCH((YEAR(D95)+15), Variablen!$I$3:$AT$3, 0))),L95)))*(IF((YEAR(D95)+15)&lt;YEAR(E95),0,IF((YEAR(D95)+15)&gt;YEAR(E95),1,(12-MONTH(E95)+1)/12))) + (Q95)*(IF((YEAR(D95)+15)&lt;YEAR(E95),0,IF((YEAR(D95)+15)&gt;YEAR(E95),1,(12-MONTH(E95)+1)/12))))-((P95)*(IF((YEAR(D95)+15)&lt;YEAR(E95),0,IF((YEAR(D95)+15)&gt;YEAR(E95),1,(12-MONTH(E95)+1)/12))) + (R95)*(IF((YEAR(D95)+15)&lt;YEAR(E95),0,IF((YEAR(D95)+15)&gt;YEAR(E95),1,(12-MONTH(E95)+1)/12))))-(IF((((K95)*(IF(M95="",L95,IFERROR(IF(INDEX(Variablen!$I:$AT, MATCH(M95, Variablen!$A:$A, 0), MATCH((YEAR(D95)+15), Variablen!$I$3:$AT$3, 0))="",L95,INDEX(Variablen!$I:$AT, MATCH(M95, Variablen!$A:$A, 0), MATCH((YEAR(D95)+15), Variablen!$I$3:$AT$3, 0))),L95)))*(IF((YEAR(D95)+15)&lt;YEAR(E95),0,IF((YEAR(D95)+15)&gt;YEAR(E95),1,(12-MONTH(E95)+1)/12))) + (Q95)*(IF((YEAR(D95)+15)&lt;YEAR(E95),0,IF((YEAR(D95)+15)&gt;YEAR(E95),1,(12-MONTH(E95)+1)/12))))-((P95)*(IF((YEAR(D95)+15)&lt;YEAR(E95),0,IF((YEAR(D95)+15)&gt;YEAR(E95),1,(12-MONTH(E95)+1)/12))) + (R95)*(IF((YEAR(D95)+15)&lt;YEAR(E95),0,IF((YEAR(D95)+15)&gt;YEAR(E95),1,(12-MONTH(E95)+1)/12))))-(IF(OR(N95="",N95&lt;=0),0,(O95/N95)*(IF(OR(N95="",N95&lt;=0),0,IF((YEAR(D95)+15)&lt;YEAR(E95),0,IF((YEAR(D95)+15)&gt;=YEAR(E95)+N95,0,IF((YEAR(D95)+15)=YEAR(E95),(12-MONTH(E95)+1)/12,1))))))))&gt;0,(((K95)*(IF(M95="",L95,IFERROR(IF(INDEX(Variablen!$I:$AT, MATCH(M95, Variablen!$A:$A, 0), MATCH((YEAR(D95)+15), Variablen!$I$3:$AT$3, 0))="",L95,INDEX(Variablen!$I:$AT, MATCH(M95, Variablen!$A:$A, 0), MATCH((YEAR(D95)+15), Variablen!$I$3:$AT$3, 0))),L95)))*(IF((YEAR(D95)+15)&lt;YEAR(E95),0,IF((YEAR(D95)+15)&gt;YEAR(E95),1,(12-MONTH(E95)+1)/12))) + (Q95)*(IF((YEAR(D95)+15)&lt;YEAR(E95),0,IF((YEAR(D95)+15)&gt;YEAR(E95),1,(12-MONTH(E95)+1)/12))))-((P95)*(IF((YEAR(D95)+15)&lt;YEAR(E95),0,IF((YEAR(D95)+15)&gt;YEAR(E95),1,(12-MONTH(E95)+1)/12))) + (R95)*(IF((YEAR(D95)+15)&lt;YEAR(E95),0,IF((YEAR(D95)+15)&gt;YEAR(E95),1,(12-MONTH(E95)+1)/12))))-(IF(OR(N95="",N95&lt;=0),0,(O95/N95)*(IF(OR(N95="",N95&lt;=0),0,IF((YEAR(D95)+15)&lt;YEAR(E95),0,IF((YEAR(D95)+15)&gt;=YEAR(E95)+N95,0,IF((YEAR(D95)+15)=YEAR(E95),(12-MONTH(E95)+1)/12,1))))))))*TaxRate,0))-IF(15=0,O95,0))</f>
        <v/>
      </c>
      <c r="AI95" s="29">
        <f>IF(A95="","",((K95)*(IF(M95="",L95,IFERROR(IF(INDEX(Variablen!$I:$AT, MATCH(M95, Variablen!$A:$A, 0), MATCH((YEAR(D95)+16), Variablen!$I$3:$AT$3, 0))="",L95,INDEX(Variablen!$I:$AT, MATCH(M95, Variablen!$A:$A, 0), MATCH((YEAR(D95)+16), Variablen!$I$3:$AT$3, 0))),L95)))*(IF((YEAR(D95)+16)&lt;YEAR(E95),0,IF((YEAR(D95)+16)&gt;YEAR(E95),1,(12-MONTH(E95)+1)/12))) + (Q95)*(IF((YEAR(D95)+16)&lt;YEAR(E95),0,IF((YEAR(D95)+16)&gt;YEAR(E95),1,(12-MONTH(E95)+1)/12))))-((P95)*(IF((YEAR(D95)+16)&lt;YEAR(E95),0,IF((YEAR(D95)+16)&gt;YEAR(E95),1,(12-MONTH(E95)+1)/12))) + (R95)*(IF((YEAR(D95)+16)&lt;YEAR(E95),0,IF((YEAR(D95)+16)&gt;YEAR(E95),1,(12-MONTH(E95)+1)/12))))-(IF((((K95)*(IF(M95="",L95,IFERROR(IF(INDEX(Variablen!$I:$AT, MATCH(M95, Variablen!$A:$A, 0), MATCH((YEAR(D95)+16), Variablen!$I$3:$AT$3, 0))="",L95,INDEX(Variablen!$I:$AT, MATCH(M95, Variablen!$A:$A, 0), MATCH((YEAR(D95)+16), Variablen!$I$3:$AT$3, 0))),L95)))*(IF((YEAR(D95)+16)&lt;YEAR(E95),0,IF((YEAR(D95)+16)&gt;YEAR(E95),1,(12-MONTH(E95)+1)/12))) + (Q95)*(IF((YEAR(D95)+16)&lt;YEAR(E95),0,IF((YEAR(D95)+16)&gt;YEAR(E95),1,(12-MONTH(E95)+1)/12))))-((P95)*(IF((YEAR(D95)+16)&lt;YEAR(E95),0,IF((YEAR(D95)+16)&gt;YEAR(E95),1,(12-MONTH(E95)+1)/12))) + (R95)*(IF((YEAR(D95)+16)&lt;YEAR(E95),0,IF((YEAR(D95)+16)&gt;YEAR(E95),1,(12-MONTH(E95)+1)/12))))-(IF(OR(N95="",N95&lt;=0),0,(O95/N95)*(IF(OR(N95="",N95&lt;=0),0,IF((YEAR(D95)+16)&lt;YEAR(E95),0,IF((YEAR(D95)+16)&gt;=YEAR(E95)+N95,0,IF((YEAR(D95)+16)=YEAR(E95),(12-MONTH(E95)+1)/12,1))))))))&gt;0,(((K95)*(IF(M95="",L95,IFERROR(IF(INDEX(Variablen!$I:$AT, MATCH(M95, Variablen!$A:$A, 0), MATCH((YEAR(D95)+16), Variablen!$I$3:$AT$3, 0))="",L95,INDEX(Variablen!$I:$AT, MATCH(M95, Variablen!$A:$A, 0), MATCH((YEAR(D95)+16), Variablen!$I$3:$AT$3, 0))),L95)))*(IF((YEAR(D95)+16)&lt;YEAR(E95),0,IF((YEAR(D95)+16)&gt;YEAR(E95),1,(12-MONTH(E95)+1)/12))) + (Q95)*(IF((YEAR(D95)+16)&lt;YEAR(E95),0,IF((YEAR(D95)+16)&gt;YEAR(E95),1,(12-MONTH(E95)+1)/12))))-((P95)*(IF((YEAR(D95)+16)&lt;YEAR(E95),0,IF((YEAR(D95)+16)&gt;YEAR(E95),1,(12-MONTH(E95)+1)/12))) + (R95)*(IF((YEAR(D95)+16)&lt;YEAR(E95),0,IF((YEAR(D95)+16)&gt;YEAR(E95),1,(12-MONTH(E95)+1)/12))))-(IF(OR(N95="",N95&lt;=0),0,(O95/N95)*(IF(OR(N95="",N95&lt;=0),0,IF((YEAR(D95)+16)&lt;YEAR(E95),0,IF((YEAR(D95)+16)&gt;=YEAR(E95)+N95,0,IF((YEAR(D95)+16)=YEAR(E95),(12-MONTH(E95)+1)/12,1))))))))*TaxRate,0))-IF(16=0,O95,0))</f>
        <v/>
      </c>
      <c r="AJ95" s="29">
        <f>IF(A95="","",((K95)*(IF(M95="",L95,IFERROR(IF(INDEX(Variablen!$I:$AT, MATCH(M95, Variablen!$A:$A, 0), MATCH((YEAR(D95)+17), Variablen!$I$3:$AT$3, 0))="",L95,INDEX(Variablen!$I:$AT, MATCH(M95, Variablen!$A:$A, 0), MATCH((YEAR(D95)+17), Variablen!$I$3:$AT$3, 0))),L95)))*(IF((YEAR(D95)+17)&lt;YEAR(E95),0,IF((YEAR(D95)+17)&gt;YEAR(E95),1,(12-MONTH(E95)+1)/12))) + (Q95)*(IF((YEAR(D95)+17)&lt;YEAR(E95),0,IF((YEAR(D95)+17)&gt;YEAR(E95),1,(12-MONTH(E95)+1)/12))))-((P95)*(IF((YEAR(D95)+17)&lt;YEAR(E95),0,IF((YEAR(D95)+17)&gt;YEAR(E95),1,(12-MONTH(E95)+1)/12))) + (R95)*(IF((YEAR(D95)+17)&lt;YEAR(E95),0,IF((YEAR(D95)+17)&gt;YEAR(E95),1,(12-MONTH(E95)+1)/12))))-(IF((((K95)*(IF(M95="",L95,IFERROR(IF(INDEX(Variablen!$I:$AT, MATCH(M95, Variablen!$A:$A, 0), MATCH((YEAR(D95)+17), Variablen!$I$3:$AT$3, 0))="",L95,INDEX(Variablen!$I:$AT, MATCH(M95, Variablen!$A:$A, 0), MATCH((YEAR(D95)+17), Variablen!$I$3:$AT$3, 0))),L95)))*(IF((YEAR(D95)+17)&lt;YEAR(E95),0,IF((YEAR(D95)+17)&gt;YEAR(E95),1,(12-MONTH(E95)+1)/12))) + (Q95)*(IF((YEAR(D95)+17)&lt;YEAR(E95),0,IF((YEAR(D95)+17)&gt;YEAR(E95),1,(12-MONTH(E95)+1)/12))))-((P95)*(IF((YEAR(D95)+17)&lt;YEAR(E95),0,IF((YEAR(D95)+17)&gt;YEAR(E95),1,(12-MONTH(E95)+1)/12))) + (R95)*(IF((YEAR(D95)+17)&lt;YEAR(E95),0,IF((YEAR(D95)+17)&gt;YEAR(E95),1,(12-MONTH(E95)+1)/12))))-(IF(OR(N95="",N95&lt;=0),0,(O95/N95)*(IF(OR(N95="",N95&lt;=0),0,IF((YEAR(D95)+17)&lt;YEAR(E95),0,IF((YEAR(D95)+17)&gt;=YEAR(E95)+N95,0,IF((YEAR(D95)+17)=YEAR(E95),(12-MONTH(E95)+1)/12,1))))))))&gt;0,(((K95)*(IF(M95="",L95,IFERROR(IF(INDEX(Variablen!$I:$AT, MATCH(M95, Variablen!$A:$A, 0), MATCH((YEAR(D95)+17), Variablen!$I$3:$AT$3, 0))="",L95,INDEX(Variablen!$I:$AT, MATCH(M95, Variablen!$A:$A, 0), MATCH((YEAR(D95)+17), Variablen!$I$3:$AT$3, 0))),L95)))*(IF((YEAR(D95)+17)&lt;YEAR(E95),0,IF((YEAR(D95)+17)&gt;YEAR(E95),1,(12-MONTH(E95)+1)/12))) + (Q95)*(IF((YEAR(D95)+17)&lt;YEAR(E95),0,IF((YEAR(D95)+17)&gt;YEAR(E95),1,(12-MONTH(E95)+1)/12))))-((P95)*(IF((YEAR(D95)+17)&lt;YEAR(E95),0,IF((YEAR(D95)+17)&gt;YEAR(E95),1,(12-MONTH(E95)+1)/12))) + (R95)*(IF((YEAR(D95)+17)&lt;YEAR(E95),0,IF((YEAR(D95)+17)&gt;YEAR(E95),1,(12-MONTH(E95)+1)/12))))-(IF(OR(N95="",N95&lt;=0),0,(O95/N95)*(IF(OR(N95="",N95&lt;=0),0,IF((YEAR(D95)+17)&lt;YEAR(E95),0,IF((YEAR(D95)+17)&gt;=YEAR(E95)+N95,0,IF((YEAR(D95)+17)=YEAR(E95),(12-MONTH(E95)+1)/12,1))))))))*TaxRate,0))-IF(17=0,O95,0))</f>
        <v/>
      </c>
      <c r="AK95" s="29">
        <f>IF(A95="","",((K95)*(IF(M95="",L95,IFERROR(IF(INDEX(Variablen!$I:$AT, MATCH(M95, Variablen!$A:$A, 0), MATCH((YEAR(D95)+18), Variablen!$I$3:$AT$3, 0))="",L95,INDEX(Variablen!$I:$AT, MATCH(M95, Variablen!$A:$A, 0), MATCH((YEAR(D95)+18), Variablen!$I$3:$AT$3, 0))),L95)))*(IF((YEAR(D95)+18)&lt;YEAR(E95),0,IF((YEAR(D95)+18)&gt;YEAR(E95),1,(12-MONTH(E95)+1)/12))) + (Q95)*(IF((YEAR(D95)+18)&lt;YEAR(E95),0,IF((YEAR(D95)+18)&gt;YEAR(E95),1,(12-MONTH(E95)+1)/12))))-((P95)*(IF((YEAR(D95)+18)&lt;YEAR(E95),0,IF((YEAR(D95)+18)&gt;YEAR(E95),1,(12-MONTH(E95)+1)/12))) + (R95)*(IF((YEAR(D95)+18)&lt;YEAR(E95),0,IF((YEAR(D95)+18)&gt;YEAR(E95),1,(12-MONTH(E95)+1)/12))))-(IF((((K95)*(IF(M95="",L95,IFERROR(IF(INDEX(Variablen!$I:$AT, MATCH(M95, Variablen!$A:$A, 0), MATCH((YEAR(D95)+18), Variablen!$I$3:$AT$3, 0))="",L95,INDEX(Variablen!$I:$AT, MATCH(M95, Variablen!$A:$A, 0), MATCH((YEAR(D95)+18), Variablen!$I$3:$AT$3, 0))),L95)))*(IF((YEAR(D95)+18)&lt;YEAR(E95),0,IF((YEAR(D95)+18)&gt;YEAR(E95),1,(12-MONTH(E95)+1)/12))) + (Q95)*(IF((YEAR(D95)+18)&lt;YEAR(E95),0,IF((YEAR(D95)+18)&gt;YEAR(E95),1,(12-MONTH(E95)+1)/12))))-((P95)*(IF((YEAR(D95)+18)&lt;YEAR(E95),0,IF((YEAR(D95)+18)&gt;YEAR(E95),1,(12-MONTH(E95)+1)/12))) + (R95)*(IF((YEAR(D95)+18)&lt;YEAR(E95),0,IF((YEAR(D95)+18)&gt;YEAR(E95),1,(12-MONTH(E95)+1)/12))))-(IF(OR(N95="",N95&lt;=0),0,(O95/N95)*(IF(OR(N95="",N95&lt;=0),0,IF((YEAR(D95)+18)&lt;YEAR(E95),0,IF((YEAR(D95)+18)&gt;=YEAR(E95)+N95,0,IF((YEAR(D95)+18)=YEAR(E95),(12-MONTH(E95)+1)/12,1))))))))&gt;0,(((K95)*(IF(M95="",L95,IFERROR(IF(INDEX(Variablen!$I:$AT, MATCH(M95, Variablen!$A:$A, 0), MATCH((YEAR(D95)+18), Variablen!$I$3:$AT$3, 0))="",L95,INDEX(Variablen!$I:$AT, MATCH(M95, Variablen!$A:$A, 0), MATCH((YEAR(D95)+18), Variablen!$I$3:$AT$3, 0))),L95)))*(IF((YEAR(D95)+18)&lt;YEAR(E95),0,IF((YEAR(D95)+18)&gt;YEAR(E95),1,(12-MONTH(E95)+1)/12))) + (Q95)*(IF((YEAR(D95)+18)&lt;YEAR(E95),0,IF((YEAR(D95)+18)&gt;YEAR(E95),1,(12-MONTH(E95)+1)/12))))-((P95)*(IF((YEAR(D95)+18)&lt;YEAR(E95),0,IF((YEAR(D95)+18)&gt;YEAR(E95),1,(12-MONTH(E95)+1)/12))) + (R95)*(IF((YEAR(D95)+18)&lt;YEAR(E95),0,IF((YEAR(D95)+18)&gt;YEAR(E95),1,(12-MONTH(E95)+1)/12))))-(IF(OR(N95="",N95&lt;=0),0,(O95/N95)*(IF(OR(N95="",N95&lt;=0),0,IF((YEAR(D95)+18)&lt;YEAR(E95),0,IF((YEAR(D95)+18)&gt;=YEAR(E95)+N95,0,IF((YEAR(D95)+18)=YEAR(E95),(12-MONTH(E95)+1)/12,1))))))))*TaxRate,0))-IF(18=0,O95,0))</f>
        <v/>
      </c>
      <c r="AL95" s="29">
        <f>IF(A95="","",((K95)*(IF(M95="",L95,IFERROR(IF(INDEX(Variablen!$I:$AT, MATCH(M95, Variablen!$A:$A, 0), MATCH((YEAR(D95)+19), Variablen!$I$3:$AT$3, 0))="",L95,INDEX(Variablen!$I:$AT, MATCH(M95, Variablen!$A:$A, 0), MATCH((YEAR(D95)+19), Variablen!$I$3:$AT$3, 0))),L95)))*(IF((YEAR(D95)+19)&lt;YEAR(E95),0,IF((YEAR(D95)+19)&gt;YEAR(E95),1,(12-MONTH(E95)+1)/12))) + (Q95)*(IF((YEAR(D95)+19)&lt;YEAR(E95),0,IF((YEAR(D95)+19)&gt;YEAR(E95),1,(12-MONTH(E95)+1)/12))))-((P95)*(IF((YEAR(D95)+19)&lt;YEAR(E95),0,IF((YEAR(D95)+19)&gt;YEAR(E95),1,(12-MONTH(E95)+1)/12))) + (R95)*(IF((YEAR(D95)+19)&lt;YEAR(E95),0,IF((YEAR(D95)+19)&gt;YEAR(E95),1,(12-MONTH(E95)+1)/12))))-(IF((((K95)*(IF(M95="",L95,IFERROR(IF(INDEX(Variablen!$I:$AT, MATCH(M95, Variablen!$A:$A, 0), MATCH((YEAR(D95)+19), Variablen!$I$3:$AT$3, 0))="",L95,INDEX(Variablen!$I:$AT, MATCH(M95, Variablen!$A:$A, 0), MATCH((YEAR(D95)+19), Variablen!$I$3:$AT$3, 0))),L95)))*(IF((YEAR(D95)+19)&lt;YEAR(E95),0,IF((YEAR(D95)+19)&gt;YEAR(E95),1,(12-MONTH(E95)+1)/12))) + (Q95)*(IF((YEAR(D95)+19)&lt;YEAR(E95),0,IF((YEAR(D95)+19)&gt;YEAR(E95),1,(12-MONTH(E95)+1)/12))))-((P95)*(IF((YEAR(D95)+19)&lt;YEAR(E95),0,IF((YEAR(D95)+19)&gt;YEAR(E95),1,(12-MONTH(E95)+1)/12))) + (R95)*(IF((YEAR(D95)+19)&lt;YEAR(E95),0,IF((YEAR(D95)+19)&gt;YEAR(E95),1,(12-MONTH(E95)+1)/12))))-(IF(OR(N95="",N95&lt;=0),0,(O95/N95)*(IF(OR(N95="",N95&lt;=0),0,IF((YEAR(D95)+19)&lt;YEAR(E95),0,IF((YEAR(D95)+19)&gt;=YEAR(E95)+N95,0,IF((YEAR(D95)+19)=YEAR(E95),(12-MONTH(E95)+1)/12,1))))))))&gt;0,(((K95)*(IF(M95="",L95,IFERROR(IF(INDEX(Variablen!$I:$AT, MATCH(M95, Variablen!$A:$A, 0), MATCH((YEAR(D95)+19), Variablen!$I$3:$AT$3, 0))="",L95,INDEX(Variablen!$I:$AT, MATCH(M95, Variablen!$A:$A, 0), MATCH((YEAR(D95)+19), Variablen!$I$3:$AT$3, 0))),L95)))*(IF((YEAR(D95)+19)&lt;YEAR(E95),0,IF((YEAR(D95)+19)&gt;YEAR(E95),1,(12-MONTH(E95)+1)/12))) + (Q95)*(IF((YEAR(D95)+19)&lt;YEAR(E95),0,IF((YEAR(D95)+19)&gt;YEAR(E95),1,(12-MONTH(E95)+1)/12))))-((P95)*(IF((YEAR(D95)+19)&lt;YEAR(E95),0,IF((YEAR(D95)+19)&gt;YEAR(E95),1,(12-MONTH(E95)+1)/12))) + (R95)*(IF((YEAR(D95)+19)&lt;YEAR(E95),0,IF((YEAR(D95)+19)&gt;YEAR(E95),1,(12-MONTH(E95)+1)/12))))-(IF(OR(N95="",N95&lt;=0),0,(O95/N95)*(IF(OR(N95="",N95&lt;=0),0,IF((YEAR(D95)+19)&lt;YEAR(E95),0,IF((YEAR(D95)+19)&gt;=YEAR(E95)+N95,0,IF((YEAR(D95)+19)=YEAR(E95),(12-MONTH(E95)+1)/12,1))))))))*TaxRate,0))-IF(19=0,O95,0))</f>
        <v/>
      </c>
      <c r="AM95" s="29">
        <f>IF(A95="","",((K95)*(IF(M95="",L95,IFERROR(IF(INDEX(Variablen!$I:$AT, MATCH(M95, Variablen!$A:$A, 0), MATCH((YEAR(D95)+20), Variablen!$I$3:$AT$3, 0))="",L95,INDEX(Variablen!$I:$AT, MATCH(M95, Variablen!$A:$A, 0), MATCH((YEAR(D95)+20), Variablen!$I$3:$AT$3, 0))),L95)))*(IF((YEAR(D95)+20)&lt;YEAR(E95),0,IF((YEAR(D95)+20)&gt;YEAR(E95),1,(12-MONTH(E95)+1)/12))) + (Q95)*(IF((YEAR(D95)+20)&lt;YEAR(E95),0,IF((YEAR(D95)+20)&gt;YEAR(E95),1,(12-MONTH(E95)+1)/12))))-((P95)*(IF((YEAR(D95)+20)&lt;YEAR(E95),0,IF((YEAR(D95)+20)&gt;YEAR(E95),1,(12-MONTH(E95)+1)/12))) + (R95)*(IF((YEAR(D95)+20)&lt;YEAR(E95),0,IF((YEAR(D95)+20)&gt;YEAR(E95),1,(12-MONTH(E95)+1)/12))))-(IF((((K95)*(IF(M95="",L95,IFERROR(IF(INDEX(Variablen!$I:$AT, MATCH(M95, Variablen!$A:$A, 0), MATCH((YEAR(D95)+20), Variablen!$I$3:$AT$3, 0))="",L95,INDEX(Variablen!$I:$AT, MATCH(M95, Variablen!$A:$A, 0), MATCH((YEAR(D95)+20), Variablen!$I$3:$AT$3, 0))),L95)))*(IF((YEAR(D95)+20)&lt;YEAR(E95),0,IF((YEAR(D95)+20)&gt;YEAR(E95),1,(12-MONTH(E95)+1)/12))) + (Q95)*(IF((YEAR(D95)+20)&lt;YEAR(E95),0,IF((YEAR(D95)+20)&gt;YEAR(E95),1,(12-MONTH(E95)+1)/12))))-((P95)*(IF((YEAR(D95)+20)&lt;YEAR(E95),0,IF((YEAR(D95)+20)&gt;YEAR(E95),1,(12-MONTH(E95)+1)/12))) + (R95)*(IF((YEAR(D95)+20)&lt;YEAR(E95),0,IF((YEAR(D95)+20)&gt;YEAR(E95),1,(12-MONTH(E95)+1)/12))))-(IF(OR(N95="",N95&lt;=0),0,(O95/N95)*(IF(OR(N95="",N95&lt;=0),0,IF((YEAR(D95)+20)&lt;YEAR(E95),0,IF((YEAR(D95)+20)&gt;=YEAR(E95)+N95,0,IF((YEAR(D95)+20)=YEAR(E95),(12-MONTH(E95)+1)/12,1))))))))&gt;0,(((K95)*(IF(M95="",L95,IFERROR(IF(INDEX(Variablen!$I:$AT, MATCH(M95, Variablen!$A:$A, 0), MATCH((YEAR(D95)+20), Variablen!$I$3:$AT$3, 0))="",L95,INDEX(Variablen!$I:$AT, MATCH(M95, Variablen!$A:$A, 0), MATCH((YEAR(D95)+20), Variablen!$I$3:$AT$3, 0))),L95)))*(IF((YEAR(D95)+20)&lt;YEAR(E95),0,IF((YEAR(D95)+20)&gt;YEAR(E95),1,(12-MONTH(E95)+1)/12))) + (Q95)*(IF((YEAR(D95)+20)&lt;YEAR(E95),0,IF((YEAR(D95)+20)&gt;YEAR(E95),1,(12-MONTH(E95)+1)/12))))-((P95)*(IF((YEAR(D95)+20)&lt;YEAR(E95),0,IF((YEAR(D95)+20)&gt;YEAR(E95),1,(12-MONTH(E95)+1)/12))) + (R95)*(IF((YEAR(D95)+20)&lt;YEAR(E95),0,IF((YEAR(D95)+20)&gt;YEAR(E95),1,(12-MONTH(E95)+1)/12))))-(IF(OR(N95="",N95&lt;=0),0,(O95/N95)*(IF(OR(N95="",N95&lt;=0),0,IF((YEAR(D95)+20)&lt;YEAR(E95),0,IF((YEAR(D95)+20)&gt;=YEAR(E95)+N95,0,IF((YEAR(D95)+20)=YEAR(E95),(12-MONTH(E95)+1)/12,1))))))))*TaxRate,0))-IF(20=0,O95,0))</f>
        <v/>
      </c>
      <c r="AN95" s="29">
        <f>IF(A95="","",S95)</f>
        <v/>
      </c>
      <c r="AO95" s="29">
        <f>IF(A95="","",AN95+T95)</f>
        <v/>
      </c>
      <c r="AP95" s="29">
        <f>IF(A95="","",AO95+U95)</f>
        <v/>
      </c>
      <c r="AQ95" s="29">
        <f>IF(A95="","",AP95+V95)</f>
        <v/>
      </c>
      <c r="AR95" s="29">
        <f>IF(A95="","",AQ95+W95)</f>
        <v/>
      </c>
      <c r="AS95" s="29">
        <f>IF(A95="","",AR95+X95)</f>
        <v/>
      </c>
      <c r="AT95" s="29">
        <f>IF(A95="","",AS95+Y95)</f>
        <v/>
      </c>
      <c r="AU95" s="29">
        <f>IF(A95="","",AT95+Z95)</f>
        <v/>
      </c>
      <c r="AV95" s="29">
        <f>IF(A95="","",AU95+AA95)</f>
        <v/>
      </c>
      <c r="AW95" s="29">
        <f>IF(A95="","",AV95+AB95)</f>
        <v/>
      </c>
      <c r="AX95" s="29">
        <f>IF(A95="","",AW95+AC95)</f>
        <v/>
      </c>
      <c r="AY95" s="29">
        <f>IF(A95="","",AX95+AD95)</f>
        <v/>
      </c>
      <c r="AZ95" s="29">
        <f>IF(A95="","",AY95+AE95)</f>
        <v/>
      </c>
      <c r="BA95" s="29">
        <f>IF(A95="","",AZ95+AF95)</f>
        <v/>
      </c>
      <c r="BB95" s="29">
        <f>IF(A95="","",BA95+AG95)</f>
        <v/>
      </c>
      <c r="BC95" s="29">
        <f>IF(A95="","",BB95+AH95)</f>
        <v/>
      </c>
      <c r="BD95" s="29">
        <f>IF(A95="","",BC95+AI95)</f>
        <v/>
      </c>
      <c r="BE95" s="29">
        <f>IF(A95="","",BD95+AJ95)</f>
        <v/>
      </c>
      <c r="BF95" s="29">
        <f>IF(A95="","",BE95+AK95)</f>
        <v/>
      </c>
      <c r="BG95" s="29">
        <f>IF(A95="","",BF95+AL95)</f>
        <v/>
      </c>
      <c r="BH95" s="29">
        <f>IF(A95="","",BG95+AM95)</f>
        <v/>
      </c>
      <c r="BI95" s="36">
        <f>IF(A95="","",(K95)*(IF((YEAR(D95)+0)&lt;YEAR(E95),0,IF((YEAR(D95)+0)&gt;YEAR(E95),1,(12-MONTH(E95)+1)/12)))*(1/(1+DiscountRate)^0))</f>
        <v/>
      </c>
      <c r="BJ95" s="36">
        <f>IF(A95="","",(K95)*(IF((YEAR(D95)+1)&lt;YEAR(E95),0,IF((YEAR(D95)+1)&gt;YEAR(E95),1,(12-MONTH(E95)+1)/12)))*(1/(1+DiscountRate)^1))</f>
        <v/>
      </c>
      <c r="BK95" s="36">
        <f>IF(A95="","",(K95)*(IF((YEAR(D95)+2)&lt;YEAR(E95),0,IF((YEAR(D95)+2)&gt;YEAR(E95),1,(12-MONTH(E95)+1)/12)))*(1/(1+DiscountRate)^2))</f>
        <v/>
      </c>
      <c r="BL95" s="36">
        <f>IF(A95="","",(K95)*(IF((YEAR(D95)+3)&lt;YEAR(E95),0,IF((YEAR(D95)+3)&gt;YEAR(E95),1,(12-MONTH(E95)+1)/12)))*(1/(1+DiscountRate)^3))</f>
        <v/>
      </c>
      <c r="BM95" s="36">
        <f>IF(A95="","",(K95)*(IF((YEAR(D95)+4)&lt;YEAR(E95),0,IF((YEAR(D95)+4)&gt;YEAR(E95),1,(12-MONTH(E95)+1)/12)))*(1/(1+DiscountRate)^4))</f>
        <v/>
      </c>
      <c r="BN95" s="36">
        <f>IF(A95="","",(K95)*(IF((YEAR(D95)+5)&lt;YEAR(E95),0,IF((YEAR(D95)+5)&gt;YEAR(E95),1,(12-MONTH(E95)+1)/12)))*(1/(1+DiscountRate)^5))</f>
        <v/>
      </c>
      <c r="BO95" s="36">
        <f>IF(A95="","",(K95)*(IF((YEAR(D95)+6)&lt;YEAR(E95),0,IF((YEAR(D95)+6)&gt;YEAR(E95),1,(12-MONTH(E95)+1)/12)))*(1/(1+DiscountRate)^6))</f>
        <v/>
      </c>
      <c r="BP95" s="36">
        <f>IF(A95="","",(K95)*(IF((YEAR(D95)+7)&lt;YEAR(E95),0,IF((YEAR(D95)+7)&gt;YEAR(E95),1,(12-MONTH(E95)+1)/12)))*(1/(1+DiscountRate)^7))</f>
        <v/>
      </c>
      <c r="BQ95" s="36">
        <f>IF(A95="","",(K95)*(IF((YEAR(D95)+8)&lt;YEAR(E95),0,IF((YEAR(D95)+8)&gt;YEAR(E95),1,(12-MONTH(E95)+1)/12)))*(1/(1+DiscountRate)^8))</f>
        <v/>
      </c>
      <c r="BR95" s="36">
        <f>IF(A95="","",(K95)*(IF((YEAR(D95)+9)&lt;YEAR(E95),0,IF((YEAR(D95)+9)&gt;YEAR(E95),1,(12-MONTH(E95)+1)/12)))*(1/(1+DiscountRate)^9))</f>
        <v/>
      </c>
      <c r="BS95" s="36">
        <f>IF(A95="","",(K95)*(IF((YEAR(D95)+10)&lt;YEAR(E95),0,IF((YEAR(D95)+10)&gt;YEAR(E95),1,(12-MONTH(E95)+1)/12)))*(1/(1+DiscountRate)^10))</f>
        <v/>
      </c>
      <c r="BT95" s="36">
        <f>IF(A95="","",(K95)*(IF((YEAR(D95)+11)&lt;YEAR(E95),0,IF((YEAR(D95)+11)&gt;YEAR(E95),1,(12-MONTH(E95)+1)/12)))*(1/(1+DiscountRate)^11))</f>
        <v/>
      </c>
      <c r="BU95" s="36">
        <f>IF(A95="","",(K95)*(IF((YEAR(D95)+12)&lt;YEAR(E95),0,IF((YEAR(D95)+12)&gt;YEAR(E95),1,(12-MONTH(E95)+1)/12)))*(1/(1+DiscountRate)^12))</f>
        <v/>
      </c>
      <c r="BV95" s="36">
        <f>IF(A95="","",(K95)*(IF((YEAR(D95)+13)&lt;YEAR(E95),0,IF((YEAR(D95)+13)&gt;YEAR(E95),1,(12-MONTH(E95)+1)/12)))*(1/(1+DiscountRate)^13))</f>
        <v/>
      </c>
      <c r="BW95" s="36">
        <f>IF(A95="","",(K95)*(IF((YEAR(D95)+14)&lt;YEAR(E95),0,IF((YEAR(D95)+14)&gt;YEAR(E95),1,(12-MONTH(E95)+1)/12)))*(1/(1+DiscountRate)^14))</f>
        <v/>
      </c>
      <c r="BX95" s="36">
        <f>IF(A95="","",(K95)*(IF((YEAR(D95)+15)&lt;YEAR(E95),0,IF((YEAR(D95)+15)&gt;YEAR(E95),1,(12-MONTH(E95)+1)/12)))*(1/(1+DiscountRate)^15))</f>
        <v/>
      </c>
      <c r="BY95" s="36">
        <f>IF(A95="","",(K95)*(IF((YEAR(D95)+16)&lt;YEAR(E95),0,IF((YEAR(D95)+16)&gt;YEAR(E95),1,(12-MONTH(E95)+1)/12)))*(1/(1+DiscountRate)^16))</f>
        <v/>
      </c>
      <c r="BZ95" s="36">
        <f>IF(A95="","",(K95)*(IF((YEAR(D95)+17)&lt;YEAR(E95),0,IF((YEAR(D95)+17)&gt;YEAR(E95),1,(12-MONTH(E95)+1)/12)))*(1/(1+DiscountRate)^17))</f>
        <v/>
      </c>
      <c r="CA95" s="36">
        <f>IF(A95="","",(K95)*(IF((YEAR(D95)+18)&lt;YEAR(E95),0,IF((YEAR(D95)+18)&gt;YEAR(E95),1,(12-MONTH(E95)+1)/12)))*(1/(1+DiscountRate)^18))</f>
        <v/>
      </c>
      <c r="CB95" s="36">
        <f>IF(A95="","",(K95)*(IF((YEAR(D95)+19)&lt;YEAR(E95),0,IF((YEAR(D95)+19)&gt;YEAR(E95),1,(12-MONTH(E95)+1)/12)))*(1/(1+DiscountRate)^19))</f>
        <v/>
      </c>
      <c r="CC95" s="36">
        <f>IF(A95="","",(K95)*(IF((YEAR(D95)+20)&lt;YEAR(E95),0,IF((YEAR(D95)+20)&gt;YEAR(E95),1,(12-MONTH(E95)+1)/12)))*(1/(1+DiscountRate)^20))</f>
        <v/>
      </c>
      <c r="CD95" s="29">
        <f>IF(A95="","",S95/(1+DiscountRate)^0+T95/(1+DiscountRate)^1+U95/(1+DiscountRate)^2+V95/(1+DiscountRate)^3+W95/(1+DiscountRate)^4+X95/(1+DiscountRate)^5+Y95/(1+DiscountRate)^6+Z95/(1+DiscountRate)^7+AA95/(1+DiscountRate)^8+AB95/(1+DiscountRate)^9+AC95/(1+DiscountRate)^10+AD95/(1+DiscountRate)^11+AE95/(1+DiscountRate)^12+AF95/(1+DiscountRate)^13+AG95/(1+DiscountRate)^14+AH95/(1+DiscountRate)^15+AI95/(1+DiscountRate)^16+AJ95/(1+DiscountRate)^17+AK95/(1+DiscountRate)^18+AL95/(1+DiscountRate)^19+AM95/(1+DiscountRate)^20)</f>
        <v/>
      </c>
      <c r="CE95" s="37">
        <f>IF(A95="","",IFERROR(IRR(OFFSET(S95,0,0,1,MIN(HorizonYears,20)+1)),"n/a"))</f>
        <v/>
      </c>
      <c r="CF95" s="28">
        <f>IF(A95="","",IFERROR(MATCH(TRUE,OFFSET(AN95,0,0,1,MIN(HorizonYears,20)+1)&gt;=0,0)-1,"n/a"))</f>
        <v/>
      </c>
      <c r="CG95" s="36">
        <f>IF(A95="","",SUM(OFFSET(BI95,0,0,1,MIN(HorizonYears,20)+1)))</f>
        <v/>
      </c>
      <c r="CH95" s="36">
        <f>IF(A95="","",IFERROR(-CD95/CG95,"n/a"))</f>
        <v/>
      </c>
    </row>
    <row r="96">
      <c r="A96" s="6">
        <f>Actions!A94</f>
        <v/>
      </c>
      <c r="B96" s="6">
        <f>Actions!B94</f>
        <v/>
      </c>
      <c r="C96" s="6">
        <f>Actions!D94</f>
        <v/>
      </c>
      <c r="D96" s="35">
        <f>Actions!E94</f>
        <v/>
      </c>
      <c r="E96" s="35">
        <f>Actions!F94</f>
        <v/>
      </c>
      <c r="F96" s="6">
        <f>Actions!G94</f>
        <v/>
      </c>
      <c r="G96" s="6">
        <f>Actions!H94</f>
        <v/>
      </c>
      <c r="H96" s="29">
        <f>Actions!I94</f>
        <v/>
      </c>
      <c r="I96" s="6">
        <f>Actions!J94</f>
        <v/>
      </c>
      <c r="J96" s="16">
        <f>Actions!K94</f>
        <v/>
      </c>
      <c r="K96" s="16">
        <f>IF(A96="","",IF(I96="%",H96*J96,J96))</f>
        <v/>
      </c>
      <c r="L96" s="16">
        <f>Actions!L94</f>
        <v/>
      </c>
      <c r="M96" s="6">
        <f>Actions!M94</f>
        <v/>
      </c>
      <c r="N96" s="28">
        <f>Actions!N94</f>
        <v/>
      </c>
      <c r="O96" s="29">
        <f>Actions!T94</f>
        <v/>
      </c>
      <c r="P96" s="29">
        <f>Actions!Y94</f>
        <v/>
      </c>
      <c r="Q96" s="29">
        <f>Actions!Z94</f>
        <v/>
      </c>
      <c r="R96" s="29">
        <f>Actions!AA94</f>
        <v/>
      </c>
      <c r="S96" s="29">
        <f>IF(A96="","",((K96)*(IF(M96="",L96,IFERROR(IF(INDEX(Variablen!$I:$AT, MATCH(M96, Variablen!$A:$A, 0), MATCH((YEAR(D96)+0), Variablen!$I$3:$AT$3, 0))="",L96,INDEX(Variablen!$I:$AT, MATCH(M96, Variablen!$A:$A, 0), MATCH((YEAR(D96)+0), Variablen!$I$3:$AT$3, 0))),L96)))*(IF((YEAR(D96)+0)&lt;YEAR(E96),0,IF((YEAR(D96)+0)&gt;YEAR(E96),1,(12-MONTH(E96)+1)/12))) + (Q96)*(IF((YEAR(D96)+0)&lt;YEAR(E96),0,IF((YEAR(D96)+0)&gt;YEAR(E96),1,(12-MONTH(E96)+1)/12))))-((P96)*(IF((YEAR(D96)+0)&lt;YEAR(E96),0,IF((YEAR(D96)+0)&gt;YEAR(E96),1,(12-MONTH(E96)+1)/12))) + (R96)*(IF((YEAR(D96)+0)&lt;YEAR(E96),0,IF((YEAR(D96)+0)&gt;YEAR(E96),1,(12-MONTH(E96)+1)/12))))-(IF((((K96)*(IF(M96="",L96,IFERROR(IF(INDEX(Variablen!$I:$AT, MATCH(M96, Variablen!$A:$A, 0), MATCH((YEAR(D96)+0), Variablen!$I$3:$AT$3, 0))="",L96,INDEX(Variablen!$I:$AT, MATCH(M96, Variablen!$A:$A, 0), MATCH((YEAR(D96)+0), Variablen!$I$3:$AT$3, 0))),L96)))*(IF((YEAR(D96)+0)&lt;YEAR(E96),0,IF((YEAR(D96)+0)&gt;YEAR(E96),1,(12-MONTH(E96)+1)/12))) + (Q96)*(IF((YEAR(D96)+0)&lt;YEAR(E96),0,IF((YEAR(D96)+0)&gt;YEAR(E96),1,(12-MONTH(E96)+1)/12))))-((P96)*(IF((YEAR(D96)+0)&lt;YEAR(E96),0,IF((YEAR(D96)+0)&gt;YEAR(E96),1,(12-MONTH(E96)+1)/12))) + (R96)*(IF((YEAR(D96)+0)&lt;YEAR(E96),0,IF((YEAR(D96)+0)&gt;YEAR(E96),1,(12-MONTH(E96)+1)/12))))-(IF(OR(N96="",N96&lt;=0),0,(O96/N96)*(IF(OR(N96="",N96&lt;=0),0,IF((YEAR(D96)+0)&lt;YEAR(E96),0,IF((YEAR(D96)+0)&gt;=YEAR(E96)+N96,0,IF((YEAR(D96)+0)=YEAR(E96),(12-MONTH(E96)+1)/12,1))))))))&gt;0,(((K96)*(IF(M96="",L96,IFERROR(IF(INDEX(Variablen!$I:$AT, MATCH(M96, Variablen!$A:$A, 0), MATCH((YEAR(D96)+0), Variablen!$I$3:$AT$3, 0))="",L96,INDEX(Variablen!$I:$AT, MATCH(M96, Variablen!$A:$A, 0), MATCH((YEAR(D96)+0), Variablen!$I$3:$AT$3, 0))),L96)))*(IF((YEAR(D96)+0)&lt;YEAR(E96),0,IF((YEAR(D96)+0)&gt;YEAR(E96),1,(12-MONTH(E96)+1)/12))) + (Q96)*(IF((YEAR(D96)+0)&lt;YEAR(E96),0,IF((YEAR(D96)+0)&gt;YEAR(E96),1,(12-MONTH(E96)+1)/12))))-((P96)*(IF((YEAR(D96)+0)&lt;YEAR(E96),0,IF((YEAR(D96)+0)&gt;YEAR(E96),1,(12-MONTH(E96)+1)/12))) + (R96)*(IF((YEAR(D96)+0)&lt;YEAR(E96),0,IF((YEAR(D96)+0)&gt;YEAR(E96),1,(12-MONTH(E96)+1)/12))))-(IF(OR(N96="",N96&lt;=0),0,(O96/N96)*(IF(OR(N96="",N96&lt;=0),0,IF((YEAR(D96)+0)&lt;YEAR(E96),0,IF((YEAR(D96)+0)&gt;=YEAR(E96)+N96,0,IF((YEAR(D96)+0)=YEAR(E96),(12-MONTH(E96)+1)/12,1))))))))*TaxRate,0))-IF(0=0,O96,0))</f>
        <v/>
      </c>
      <c r="T96" s="29">
        <f>IF(A96="","",((K96)*(IF(M96="",L96,IFERROR(IF(INDEX(Variablen!$I:$AT, MATCH(M96, Variablen!$A:$A, 0), MATCH((YEAR(D96)+1), Variablen!$I$3:$AT$3, 0))="",L96,INDEX(Variablen!$I:$AT, MATCH(M96, Variablen!$A:$A, 0), MATCH((YEAR(D96)+1), Variablen!$I$3:$AT$3, 0))),L96)))*(IF((YEAR(D96)+1)&lt;YEAR(E96),0,IF((YEAR(D96)+1)&gt;YEAR(E96),1,(12-MONTH(E96)+1)/12))) + (Q96)*(IF((YEAR(D96)+1)&lt;YEAR(E96),0,IF((YEAR(D96)+1)&gt;YEAR(E96),1,(12-MONTH(E96)+1)/12))))-((P96)*(IF((YEAR(D96)+1)&lt;YEAR(E96),0,IF((YEAR(D96)+1)&gt;YEAR(E96),1,(12-MONTH(E96)+1)/12))) + (R96)*(IF((YEAR(D96)+1)&lt;YEAR(E96),0,IF((YEAR(D96)+1)&gt;YEAR(E96),1,(12-MONTH(E96)+1)/12))))-(IF((((K96)*(IF(M96="",L96,IFERROR(IF(INDEX(Variablen!$I:$AT, MATCH(M96, Variablen!$A:$A, 0), MATCH((YEAR(D96)+1), Variablen!$I$3:$AT$3, 0))="",L96,INDEX(Variablen!$I:$AT, MATCH(M96, Variablen!$A:$A, 0), MATCH((YEAR(D96)+1), Variablen!$I$3:$AT$3, 0))),L96)))*(IF((YEAR(D96)+1)&lt;YEAR(E96),0,IF((YEAR(D96)+1)&gt;YEAR(E96),1,(12-MONTH(E96)+1)/12))) + (Q96)*(IF((YEAR(D96)+1)&lt;YEAR(E96),0,IF((YEAR(D96)+1)&gt;YEAR(E96),1,(12-MONTH(E96)+1)/12))))-((P96)*(IF((YEAR(D96)+1)&lt;YEAR(E96),0,IF((YEAR(D96)+1)&gt;YEAR(E96),1,(12-MONTH(E96)+1)/12))) + (R96)*(IF((YEAR(D96)+1)&lt;YEAR(E96),0,IF((YEAR(D96)+1)&gt;YEAR(E96),1,(12-MONTH(E96)+1)/12))))-(IF(OR(N96="",N96&lt;=0),0,(O96/N96)*(IF(OR(N96="",N96&lt;=0),0,IF((YEAR(D96)+1)&lt;YEAR(E96),0,IF((YEAR(D96)+1)&gt;=YEAR(E96)+N96,0,IF((YEAR(D96)+1)=YEAR(E96),(12-MONTH(E96)+1)/12,1))))))))&gt;0,(((K96)*(IF(M96="",L96,IFERROR(IF(INDEX(Variablen!$I:$AT, MATCH(M96, Variablen!$A:$A, 0), MATCH((YEAR(D96)+1), Variablen!$I$3:$AT$3, 0))="",L96,INDEX(Variablen!$I:$AT, MATCH(M96, Variablen!$A:$A, 0), MATCH((YEAR(D96)+1), Variablen!$I$3:$AT$3, 0))),L96)))*(IF((YEAR(D96)+1)&lt;YEAR(E96),0,IF((YEAR(D96)+1)&gt;YEAR(E96),1,(12-MONTH(E96)+1)/12))) + (Q96)*(IF((YEAR(D96)+1)&lt;YEAR(E96),0,IF((YEAR(D96)+1)&gt;YEAR(E96),1,(12-MONTH(E96)+1)/12))))-((P96)*(IF((YEAR(D96)+1)&lt;YEAR(E96),0,IF((YEAR(D96)+1)&gt;YEAR(E96),1,(12-MONTH(E96)+1)/12))) + (R96)*(IF((YEAR(D96)+1)&lt;YEAR(E96),0,IF((YEAR(D96)+1)&gt;YEAR(E96),1,(12-MONTH(E96)+1)/12))))-(IF(OR(N96="",N96&lt;=0),0,(O96/N96)*(IF(OR(N96="",N96&lt;=0),0,IF((YEAR(D96)+1)&lt;YEAR(E96),0,IF((YEAR(D96)+1)&gt;=YEAR(E96)+N96,0,IF((YEAR(D96)+1)=YEAR(E96),(12-MONTH(E96)+1)/12,1))))))))*TaxRate,0))-IF(1=0,O96,0))</f>
        <v/>
      </c>
      <c r="U96" s="29">
        <f>IF(A96="","",((K96)*(IF(M96="",L96,IFERROR(IF(INDEX(Variablen!$I:$AT, MATCH(M96, Variablen!$A:$A, 0), MATCH((YEAR(D96)+2), Variablen!$I$3:$AT$3, 0))="",L96,INDEX(Variablen!$I:$AT, MATCH(M96, Variablen!$A:$A, 0), MATCH((YEAR(D96)+2), Variablen!$I$3:$AT$3, 0))),L96)))*(IF((YEAR(D96)+2)&lt;YEAR(E96),0,IF((YEAR(D96)+2)&gt;YEAR(E96),1,(12-MONTH(E96)+1)/12))) + (Q96)*(IF((YEAR(D96)+2)&lt;YEAR(E96),0,IF((YEAR(D96)+2)&gt;YEAR(E96),1,(12-MONTH(E96)+1)/12))))-((P96)*(IF((YEAR(D96)+2)&lt;YEAR(E96),0,IF((YEAR(D96)+2)&gt;YEAR(E96),1,(12-MONTH(E96)+1)/12))) + (R96)*(IF((YEAR(D96)+2)&lt;YEAR(E96),0,IF((YEAR(D96)+2)&gt;YEAR(E96),1,(12-MONTH(E96)+1)/12))))-(IF((((K96)*(IF(M96="",L96,IFERROR(IF(INDEX(Variablen!$I:$AT, MATCH(M96, Variablen!$A:$A, 0), MATCH((YEAR(D96)+2), Variablen!$I$3:$AT$3, 0))="",L96,INDEX(Variablen!$I:$AT, MATCH(M96, Variablen!$A:$A, 0), MATCH((YEAR(D96)+2), Variablen!$I$3:$AT$3, 0))),L96)))*(IF((YEAR(D96)+2)&lt;YEAR(E96),0,IF((YEAR(D96)+2)&gt;YEAR(E96),1,(12-MONTH(E96)+1)/12))) + (Q96)*(IF((YEAR(D96)+2)&lt;YEAR(E96),0,IF((YEAR(D96)+2)&gt;YEAR(E96),1,(12-MONTH(E96)+1)/12))))-((P96)*(IF((YEAR(D96)+2)&lt;YEAR(E96),0,IF((YEAR(D96)+2)&gt;YEAR(E96),1,(12-MONTH(E96)+1)/12))) + (R96)*(IF((YEAR(D96)+2)&lt;YEAR(E96),0,IF((YEAR(D96)+2)&gt;YEAR(E96),1,(12-MONTH(E96)+1)/12))))-(IF(OR(N96="",N96&lt;=0),0,(O96/N96)*(IF(OR(N96="",N96&lt;=0),0,IF((YEAR(D96)+2)&lt;YEAR(E96),0,IF((YEAR(D96)+2)&gt;=YEAR(E96)+N96,0,IF((YEAR(D96)+2)=YEAR(E96),(12-MONTH(E96)+1)/12,1))))))))&gt;0,(((K96)*(IF(M96="",L96,IFERROR(IF(INDEX(Variablen!$I:$AT, MATCH(M96, Variablen!$A:$A, 0), MATCH((YEAR(D96)+2), Variablen!$I$3:$AT$3, 0))="",L96,INDEX(Variablen!$I:$AT, MATCH(M96, Variablen!$A:$A, 0), MATCH((YEAR(D96)+2), Variablen!$I$3:$AT$3, 0))),L96)))*(IF((YEAR(D96)+2)&lt;YEAR(E96),0,IF((YEAR(D96)+2)&gt;YEAR(E96),1,(12-MONTH(E96)+1)/12))) + (Q96)*(IF((YEAR(D96)+2)&lt;YEAR(E96),0,IF((YEAR(D96)+2)&gt;YEAR(E96),1,(12-MONTH(E96)+1)/12))))-((P96)*(IF((YEAR(D96)+2)&lt;YEAR(E96),0,IF((YEAR(D96)+2)&gt;YEAR(E96),1,(12-MONTH(E96)+1)/12))) + (R96)*(IF((YEAR(D96)+2)&lt;YEAR(E96),0,IF((YEAR(D96)+2)&gt;YEAR(E96),1,(12-MONTH(E96)+1)/12))))-(IF(OR(N96="",N96&lt;=0),0,(O96/N96)*(IF(OR(N96="",N96&lt;=0),0,IF((YEAR(D96)+2)&lt;YEAR(E96),0,IF((YEAR(D96)+2)&gt;=YEAR(E96)+N96,0,IF((YEAR(D96)+2)=YEAR(E96),(12-MONTH(E96)+1)/12,1))))))))*TaxRate,0))-IF(2=0,O96,0))</f>
        <v/>
      </c>
      <c r="V96" s="29">
        <f>IF(A96="","",((K96)*(IF(M96="",L96,IFERROR(IF(INDEX(Variablen!$I:$AT, MATCH(M96, Variablen!$A:$A, 0), MATCH((YEAR(D96)+3), Variablen!$I$3:$AT$3, 0))="",L96,INDEX(Variablen!$I:$AT, MATCH(M96, Variablen!$A:$A, 0), MATCH((YEAR(D96)+3), Variablen!$I$3:$AT$3, 0))),L96)))*(IF((YEAR(D96)+3)&lt;YEAR(E96),0,IF((YEAR(D96)+3)&gt;YEAR(E96),1,(12-MONTH(E96)+1)/12))) + (Q96)*(IF((YEAR(D96)+3)&lt;YEAR(E96),0,IF((YEAR(D96)+3)&gt;YEAR(E96),1,(12-MONTH(E96)+1)/12))))-((P96)*(IF((YEAR(D96)+3)&lt;YEAR(E96),0,IF((YEAR(D96)+3)&gt;YEAR(E96),1,(12-MONTH(E96)+1)/12))) + (R96)*(IF((YEAR(D96)+3)&lt;YEAR(E96),0,IF((YEAR(D96)+3)&gt;YEAR(E96),1,(12-MONTH(E96)+1)/12))))-(IF((((K96)*(IF(M96="",L96,IFERROR(IF(INDEX(Variablen!$I:$AT, MATCH(M96, Variablen!$A:$A, 0), MATCH((YEAR(D96)+3), Variablen!$I$3:$AT$3, 0))="",L96,INDEX(Variablen!$I:$AT, MATCH(M96, Variablen!$A:$A, 0), MATCH((YEAR(D96)+3), Variablen!$I$3:$AT$3, 0))),L96)))*(IF((YEAR(D96)+3)&lt;YEAR(E96),0,IF((YEAR(D96)+3)&gt;YEAR(E96),1,(12-MONTH(E96)+1)/12))) + (Q96)*(IF((YEAR(D96)+3)&lt;YEAR(E96),0,IF((YEAR(D96)+3)&gt;YEAR(E96),1,(12-MONTH(E96)+1)/12))))-((P96)*(IF((YEAR(D96)+3)&lt;YEAR(E96),0,IF((YEAR(D96)+3)&gt;YEAR(E96),1,(12-MONTH(E96)+1)/12))) + (R96)*(IF((YEAR(D96)+3)&lt;YEAR(E96),0,IF((YEAR(D96)+3)&gt;YEAR(E96),1,(12-MONTH(E96)+1)/12))))-(IF(OR(N96="",N96&lt;=0),0,(O96/N96)*(IF(OR(N96="",N96&lt;=0),0,IF((YEAR(D96)+3)&lt;YEAR(E96),0,IF((YEAR(D96)+3)&gt;=YEAR(E96)+N96,0,IF((YEAR(D96)+3)=YEAR(E96),(12-MONTH(E96)+1)/12,1))))))))&gt;0,(((K96)*(IF(M96="",L96,IFERROR(IF(INDEX(Variablen!$I:$AT, MATCH(M96, Variablen!$A:$A, 0), MATCH((YEAR(D96)+3), Variablen!$I$3:$AT$3, 0))="",L96,INDEX(Variablen!$I:$AT, MATCH(M96, Variablen!$A:$A, 0), MATCH((YEAR(D96)+3), Variablen!$I$3:$AT$3, 0))),L96)))*(IF((YEAR(D96)+3)&lt;YEAR(E96),0,IF((YEAR(D96)+3)&gt;YEAR(E96),1,(12-MONTH(E96)+1)/12))) + (Q96)*(IF((YEAR(D96)+3)&lt;YEAR(E96),0,IF((YEAR(D96)+3)&gt;YEAR(E96),1,(12-MONTH(E96)+1)/12))))-((P96)*(IF((YEAR(D96)+3)&lt;YEAR(E96),0,IF((YEAR(D96)+3)&gt;YEAR(E96),1,(12-MONTH(E96)+1)/12))) + (R96)*(IF((YEAR(D96)+3)&lt;YEAR(E96),0,IF((YEAR(D96)+3)&gt;YEAR(E96),1,(12-MONTH(E96)+1)/12))))-(IF(OR(N96="",N96&lt;=0),0,(O96/N96)*(IF(OR(N96="",N96&lt;=0),0,IF((YEAR(D96)+3)&lt;YEAR(E96),0,IF((YEAR(D96)+3)&gt;=YEAR(E96)+N96,0,IF((YEAR(D96)+3)=YEAR(E96),(12-MONTH(E96)+1)/12,1))))))))*TaxRate,0))-IF(3=0,O96,0))</f>
        <v/>
      </c>
      <c r="W96" s="29">
        <f>IF(A96="","",((K96)*(IF(M96="",L96,IFERROR(IF(INDEX(Variablen!$I:$AT, MATCH(M96, Variablen!$A:$A, 0), MATCH((YEAR(D96)+4), Variablen!$I$3:$AT$3, 0))="",L96,INDEX(Variablen!$I:$AT, MATCH(M96, Variablen!$A:$A, 0), MATCH((YEAR(D96)+4), Variablen!$I$3:$AT$3, 0))),L96)))*(IF((YEAR(D96)+4)&lt;YEAR(E96),0,IF((YEAR(D96)+4)&gt;YEAR(E96),1,(12-MONTH(E96)+1)/12))) + (Q96)*(IF((YEAR(D96)+4)&lt;YEAR(E96),0,IF((YEAR(D96)+4)&gt;YEAR(E96),1,(12-MONTH(E96)+1)/12))))-((P96)*(IF((YEAR(D96)+4)&lt;YEAR(E96),0,IF((YEAR(D96)+4)&gt;YEAR(E96),1,(12-MONTH(E96)+1)/12))) + (R96)*(IF((YEAR(D96)+4)&lt;YEAR(E96),0,IF((YEAR(D96)+4)&gt;YEAR(E96),1,(12-MONTH(E96)+1)/12))))-(IF((((K96)*(IF(M96="",L96,IFERROR(IF(INDEX(Variablen!$I:$AT, MATCH(M96, Variablen!$A:$A, 0), MATCH((YEAR(D96)+4), Variablen!$I$3:$AT$3, 0))="",L96,INDEX(Variablen!$I:$AT, MATCH(M96, Variablen!$A:$A, 0), MATCH((YEAR(D96)+4), Variablen!$I$3:$AT$3, 0))),L96)))*(IF((YEAR(D96)+4)&lt;YEAR(E96),0,IF((YEAR(D96)+4)&gt;YEAR(E96),1,(12-MONTH(E96)+1)/12))) + (Q96)*(IF((YEAR(D96)+4)&lt;YEAR(E96),0,IF((YEAR(D96)+4)&gt;YEAR(E96),1,(12-MONTH(E96)+1)/12))))-((P96)*(IF((YEAR(D96)+4)&lt;YEAR(E96),0,IF((YEAR(D96)+4)&gt;YEAR(E96),1,(12-MONTH(E96)+1)/12))) + (R96)*(IF((YEAR(D96)+4)&lt;YEAR(E96),0,IF((YEAR(D96)+4)&gt;YEAR(E96),1,(12-MONTH(E96)+1)/12))))-(IF(OR(N96="",N96&lt;=0),0,(O96/N96)*(IF(OR(N96="",N96&lt;=0),0,IF((YEAR(D96)+4)&lt;YEAR(E96),0,IF((YEAR(D96)+4)&gt;=YEAR(E96)+N96,0,IF((YEAR(D96)+4)=YEAR(E96),(12-MONTH(E96)+1)/12,1))))))))&gt;0,(((K96)*(IF(M96="",L96,IFERROR(IF(INDEX(Variablen!$I:$AT, MATCH(M96, Variablen!$A:$A, 0), MATCH((YEAR(D96)+4), Variablen!$I$3:$AT$3, 0))="",L96,INDEX(Variablen!$I:$AT, MATCH(M96, Variablen!$A:$A, 0), MATCH((YEAR(D96)+4), Variablen!$I$3:$AT$3, 0))),L96)))*(IF((YEAR(D96)+4)&lt;YEAR(E96),0,IF((YEAR(D96)+4)&gt;YEAR(E96),1,(12-MONTH(E96)+1)/12))) + (Q96)*(IF((YEAR(D96)+4)&lt;YEAR(E96),0,IF((YEAR(D96)+4)&gt;YEAR(E96),1,(12-MONTH(E96)+1)/12))))-((P96)*(IF((YEAR(D96)+4)&lt;YEAR(E96),0,IF((YEAR(D96)+4)&gt;YEAR(E96),1,(12-MONTH(E96)+1)/12))) + (R96)*(IF((YEAR(D96)+4)&lt;YEAR(E96),0,IF((YEAR(D96)+4)&gt;YEAR(E96),1,(12-MONTH(E96)+1)/12))))-(IF(OR(N96="",N96&lt;=0),0,(O96/N96)*(IF(OR(N96="",N96&lt;=0),0,IF((YEAR(D96)+4)&lt;YEAR(E96),0,IF((YEAR(D96)+4)&gt;=YEAR(E96)+N96,0,IF((YEAR(D96)+4)=YEAR(E96),(12-MONTH(E96)+1)/12,1))))))))*TaxRate,0))-IF(4=0,O96,0))</f>
        <v/>
      </c>
      <c r="X96" s="29">
        <f>IF(A96="","",((K96)*(IF(M96="",L96,IFERROR(IF(INDEX(Variablen!$I:$AT, MATCH(M96, Variablen!$A:$A, 0), MATCH((YEAR(D96)+5), Variablen!$I$3:$AT$3, 0))="",L96,INDEX(Variablen!$I:$AT, MATCH(M96, Variablen!$A:$A, 0), MATCH((YEAR(D96)+5), Variablen!$I$3:$AT$3, 0))),L96)))*(IF((YEAR(D96)+5)&lt;YEAR(E96),0,IF((YEAR(D96)+5)&gt;YEAR(E96),1,(12-MONTH(E96)+1)/12))) + (Q96)*(IF((YEAR(D96)+5)&lt;YEAR(E96),0,IF((YEAR(D96)+5)&gt;YEAR(E96),1,(12-MONTH(E96)+1)/12))))-((P96)*(IF((YEAR(D96)+5)&lt;YEAR(E96),0,IF((YEAR(D96)+5)&gt;YEAR(E96),1,(12-MONTH(E96)+1)/12))) + (R96)*(IF((YEAR(D96)+5)&lt;YEAR(E96),0,IF((YEAR(D96)+5)&gt;YEAR(E96),1,(12-MONTH(E96)+1)/12))))-(IF((((K96)*(IF(M96="",L96,IFERROR(IF(INDEX(Variablen!$I:$AT, MATCH(M96, Variablen!$A:$A, 0), MATCH((YEAR(D96)+5), Variablen!$I$3:$AT$3, 0))="",L96,INDEX(Variablen!$I:$AT, MATCH(M96, Variablen!$A:$A, 0), MATCH((YEAR(D96)+5), Variablen!$I$3:$AT$3, 0))),L96)))*(IF((YEAR(D96)+5)&lt;YEAR(E96),0,IF((YEAR(D96)+5)&gt;YEAR(E96),1,(12-MONTH(E96)+1)/12))) + (Q96)*(IF((YEAR(D96)+5)&lt;YEAR(E96),0,IF((YEAR(D96)+5)&gt;YEAR(E96),1,(12-MONTH(E96)+1)/12))))-((P96)*(IF((YEAR(D96)+5)&lt;YEAR(E96),0,IF((YEAR(D96)+5)&gt;YEAR(E96),1,(12-MONTH(E96)+1)/12))) + (R96)*(IF((YEAR(D96)+5)&lt;YEAR(E96),0,IF((YEAR(D96)+5)&gt;YEAR(E96),1,(12-MONTH(E96)+1)/12))))-(IF(OR(N96="",N96&lt;=0),0,(O96/N96)*(IF(OR(N96="",N96&lt;=0),0,IF((YEAR(D96)+5)&lt;YEAR(E96),0,IF((YEAR(D96)+5)&gt;=YEAR(E96)+N96,0,IF((YEAR(D96)+5)=YEAR(E96),(12-MONTH(E96)+1)/12,1))))))))&gt;0,(((K96)*(IF(M96="",L96,IFERROR(IF(INDEX(Variablen!$I:$AT, MATCH(M96, Variablen!$A:$A, 0), MATCH((YEAR(D96)+5), Variablen!$I$3:$AT$3, 0))="",L96,INDEX(Variablen!$I:$AT, MATCH(M96, Variablen!$A:$A, 0), MATCH((YEAR(D96)+5), Variablen!$I$3:$AT$3, 0))),L96)))*(IF((YEAR(D96)+5)&lt;YEAR(E96),0,IF((YEAR(D96)+5)&gt;YEAR(E96),1,(12-MONTH(E96)+1)/12))) + (Q96)*(IF((YEAR(D96)+5)&lt;YEAR(E96),0,IF((YEAR(D96)+5)&gt;YEAR(E96),1,(12-MONTH(E96)+1)/12))))-((P96)*(IF((YEAR(D96)+5)&lt;YEAR(E96),0,IF((YEAR(D96)+5)&gt;YEAR(E96),1,(12-MONTH(E96)+1)/12))) + (R96)*(IF((YEAR(D96)+5)&lt;YEAR(E96),0,IF((YEAR(D96)+5)&gt;YEAR(E96),1,(12-MONTH(E96)+1)/12))))-(IF(OR(N96="",N96&lt;=0),0,(O96/N96)*(IF(OR(N96="",N96&lt;=0),0,IF((YEAR(D96)+5)&lt;YEAR(E96),0,IF((YEAR(D96)+5)&gt;=YEAR(E96)+N96,0,IF((YEAR(D96)+5)=YEAR(E96),(12-MONTH(E96)+1)/12,1))))))))*TaxRate,0))-IF(5=0,O96,0))</f>
        <v/>
      </c>
      <c r="Y96" s="29">
        <f>IF(A96="","",((K96)*(IF(M96="",L96,IFERROR(IF(INDEX(Variablen!$I:$AT, MATCH(M96, Variablen!$A:$A, 0), MATCH((YEAR(D96)+6), Variablen!$I$3:$AT$3, 0))="",L96,INDEX(Variablen!$I:$AT, MATCH(M96, Variablen!$A:$A, 0), MATCH((YEAR(D96)+6), Variablen!$I$3:$AT$3, 0))),L96)))*(IF((YEAR(D96)+6)&lt;YEAR(E96),0,IF((YEAR(D96)+6)&gt;YEAR(E96),1,(12-MONTH(E96)+1)/12))) + (Q96)*(IF((YEAR(D96)+6)&lt;YEAR(E96),0,IF((YEAR(D96)+6)&gt;YEAR(E96),1,(12-MONTH(E96)+1)/12))))-((P96)*(IF((YEAR(D96)+6)&lt;YEAR(E96),0,IF((YEAR(D96)+6)&gt;YEAR(E96),1,(12-MONTH(E96)+1)/12))) + (R96)*(IF((YEAR(D96)+6)&lt;YEAR(E96),0,IF((YEAR(D96)+6)&gt;YEAR(E96),1,(12-MONTH(E96)+1)/12))))-(IF((((K96)*(IF(M96="",L96,IFERROR(IF(INDEX(Variablen!$I:$AT, MATCH(M96, Variablen!$A:$A, 0), MATCH((YEAR(D96)+6), Variablen!$I$3:$AT$3, 0))="",L96,INDEX(Variablen!$I:$AT, MATCH(M96, Variablen!$A:$A, 0), MATCH((YEAR(D96)+6), Variablen!$I$3:$AT$3, 0))),L96)))*(IF((YEAR(D96)+6)&lt;YEAR(E96),0,IF((YEAR(D96)+6)&gt;YEAR(E96),1,(12-MONTH(E96)+1)/12))) + (Q96)*(IF((YEAR(D96)+6)&lt;YEAR(E96),0,IF((YEAR(D96)+6)&gt;YEAR(E96),1,(12-MONTH(E96)+1)/12))))-((P96)*(IF((YEAR(D96)+6)&lt;YEAR(E96),0,IF((YEAR(D96)+6)&gt;YEAR(E96),1,(12-MONTH(E96)+1)/12))) + (R96)*(IF((YEAR(D96)+6)&lt;YEAR(E96),0,IF((YEAR(D96)+6)&gt;YEAR(E96),1,(12-MONTH(E96)+1)/12))))-(IF(OR(N96="",N96&lt;=0),0,(O96/N96)*(IF(OR(N96="",N96&lt;=0),0,IF((YEAR(D96)+6)&lt;YEAR(E96),0,IF((YEAR(D96)+6)&gt;=YEAR(E96)+N96,0,IF((YEAR(D96)+6)=YEAR(E96),(12-MONTH(E96)+1)/12,1))))))))&gt;0,(((K96)*(IF(M96="",L96,IFERROR(IF(INDEX(Variablen!$I:$AT, MATCH(M96, Variablen!$A:$A, 0), MATCH((YEAR(D96)+6), Variablen!$I$3:$AT$3, 0))="",L96,INDEX(Variablen!$I:$AT, MATCH(M96, Variablen!$A:$A, 0), MATCH((YEAR(D96)+6), Variablen!$I$3:$AT$3, 0))),L96)))*(IF((YEAR(D96)+6)&lt;YEAR(E96),0,IF((YEAR(D96)+6)&gt;YEAR(E96),1,(12-MONTH(E96)+1)/12))) + (Q96)*(IF((YEAR(D96)+6)&lt;YEAR(E96),0,IF((YEAR(D96)+6)&gt;YEAR(E96),1,(12-MONTH(E96)+1)/12))))-((P96)*(IF((YEAR(D96)+6)&lt;YEAR(E96),0,IF((YEAR(D96)+6)&gt;YEAR(E96),1,(12-MONTH(E96)+1)/12))) + (R96)*(IF((YEAR(D96)+6)&lt;YEAR(E96),0,IF((YEAR(D96)+6)&gt;YEAR(E96),1,(12-MONTH(E96)+1)/12))))-(IF(OR(N96="",N96&lt;=0),0,(O96/N96)*(IF(OR(N96="",N96&lt;=0),0,IF((YEAR(D96)+6)&lt;YEAR(E96),0,IF((YEAR(D96)+6)&gt;=YEAR(E96)+N96,0,IF((YEAR(D96)+6)=YEAR(E96),(12-MONTH(E96)+1)/12,1))))))))*TaxRate,0))-IF(6=0,O96,0))</f>
        <v/>
      </c>
      <c r="Z96" s="29">
        <f>IF(A96="","",((K96)*(IF(M96="",L96,IFERROR(IF(INDEX(Variablen!$I:$AT, MATCH(M96, Variablen!$A:$A, 0), MATCH((YEAR(D96)+7), Variablen!$I$3:$AT$3, 0))="",L96,INDEX(Variablen!$I:$AT, MATCH(M96, Variablen!$A:$A, 0), MATCH((YEAR(D96)+7), Variablen!$I$3:$AT$3, 0))),L96)))*(IF((YEAR(D96)+7)&lt;YEAR(E96),0,IF((YEAR(D96)+7)&gt;YEAR(E96),1,(12-MONTH(E96)+1)/12))) + (Q96)*(IF((YEAR(D96)+7)&lt;YEAR(E96),0,IF((YEAR(D96)+7)&gt;YEAR(E96),1,(12-MONTH(E96)+1)/12))))-((P96)*(IF((YEAR(D96)+7)&lt;YEAR(E96),0,IF((YEAR(D96)+7)&gt;YEAR(E96),1,(12-MONTH(E96)+1)/12))) + (R96)*(IF((YEAR(D96)+7)&lt;YEAR(E96),0,IF((YEAR(D96)+7)&gt;YEAR(E96),1,(12-MONTH(E96)+1)/12))))-(IF((((K96)*(IF(M96="",L96,IFERROR(IF(INDEX(Variablen!$I:$AT, MATCH(M96, Variablen!$A:$A, 0), MATCH((YEAR(D96)+7), Variablen!$I$3:$AT$3, 0))="",L96,INDEX(Variablen!$I:$AT, MATCH(M96, Variablen!$A:$A, 0), MATCH((YEAR(D96)+7), Variablen!$I$3:$AT$3, 0))),L96)))*(IF((YEAR(D96)+7)&lt;YEAR(E96),0,IF((YEAR(D96)+7)&gt;YEAR(E96),1,(12-MONTH(E96)+1)/12))) + (Q96)*(IF((YEAR(D96)+7)&lt;YEAR(E96),0,IF((YEAR(D96)+7)&gt;YEAR(E96),1,(12-MONTH(E96)+1)/12))))-((P96)*(IF((YEAR(D96)+7)&lt;YEAR(E96),0,IF((YEAR(D96)+7)&gt;YEAR(E96),1,(12-MONTH(E96)+1)/12))) + (R96)*(IF((YEAR(D96)+7)&lt;YEAR(E96),0,IF((YEAR(D96)+7)&gt;YEAR(E96),1,(12-MONTH(E96)+1)/12))))-(IF(OR(N96="",N96&lt;=0),0,(O96/N96)*(IF(OR(N96="",N96&lt;=0),0,IF((YEAR(D96)+7)&lt;YEAR(E96),0,IF((YEAR(D96)+7)&gt;=YEAR(E96)+N96,0,IF((YEAR(D96)+7)=YEAR(E96),(12-MONTH(E96)+1)/12,1))))))))&gt;0,(((K96)*(IF(M96="",L96,IFERROR(IF(INDEX(Variablen!$I:$AT, MATCH(M96, Variablen!$A:$A, 0), MATCH((YEAR(D96)+7), Variablen!$I$3:$AT$3, 0))="",L96,INDEX(Variablen!$I:$AT, MATCH(M96, Variablen!$A:$A, 0), MATCH((YEAR(D96)+7), Variablen!$I$3:$AT$3, 0))),L96)))*(IF((YEAR(D96)+7)&lt;YEAR(E96),0,IF((YEAR(D96)+7)&gt;YEAR(E96),1,(12-MONTH(E96)+1)/12))) + (Q96)*(IF((YEAR(D96)+7)&lt;YEAR(E96),0,IF((YEAR(D96)+7)&gt;YEAR(E96),1,(12-MONTH(E96)+1)/12))))-((P96)*(IF((YEAR(D96)+7)&lt;YEAR(E96),0,IF((YEAR(D96)+7)&gt;YEAR(E96),1,(12-MONTH(E96)+1)/12))) + (R96)*(IF((YEAR(D96)+7)&lt;YEAR(E96),0,IF((YEAR(D96)+7)&gt;YEAR(E96),1,(12-MONTH(E96)+1)/12))))-(IF(OR(N96="",N96&lt;=0),0,(O96/N96)*(IF(OR(N96="",N96&lt;=0),0,IF((YEAR(D96)+7)&lt;YEAR(E96),0,IF((YEAR(D96)+7)&gt;=YEAR(E96)+N96,0,IF((YEAR(D96)+7)=YEAR(E96),(12-MONTH(E96)+1)/12,1))))))))*TaxRate,0))-IF(7=0,O96,0))</f>
        <v/>
      </c>
      <c r="AA96" s="29">
        <f>IF(A96="","",((K96)*(IF(M96="",L96,IFERROR(IF(INDEX(Variablen!$I:$AT, MATCH(M96, Variablen!$A:$A, 0), MATCH((YEAR(D96)+8), Variablen!$I$3:$AT$3, 0))="",L96,INDEX(Variablen!$I:$AT, MATCH(M96, Variablen!$A:$A, 0), MATCH((YEAR(D96)+8), Variablen!$I$3:$AT$3, 0))),L96)))*(IF((YEAR(D96)+8)&lt;YEAR(E96),0,IF((YEAR(D96)+8)&gt;YEAR(E96),1,(12-MONTH(E96)+1)/12))) + (Q96)*(IF((YEAR(D96)+8)&lt;YEAR(E96),0,IF((YEAR(D96)+8)&gt;YEAR(E96),1,(12-MONTH(E96)+1)/12))))-((P96)*(IF((YEAR(D96)+8)&lt;YEAR(E96),0,IF((YEAR(D96)+8)&gt;YEAR(E96),1,(12-MONTH(E96)+1)/12))) + (R96)*(IF((YEAR(D96)+8)&lt;YEAR(E96),0,IF((YEAR(D96)+8)&gt;YEAR(E96),1,(12-MONTH(E96)+1)/12))))-(IF((((K96)*(IF(M96="",L96,IFERROR(IF(INDEX(Variablen!$I:$AT, MATCH(M96, Variablen!$A:$A, 0), MATCH((YEAR(D96)+8), Variablen!$I$3:$AT$3, 0))="",L96,INDEX(Variablen!$I:$AT, MATCH(M96, Variablen!$A:$A, 0), MATCH((YEAR(D96)+8), Variablen!$I$3:$AT$3, 0))),L96)))*(IF((YEAR(D96)+8)&lt;YEAR(E96),0,IF((YEAR(D96)+8)&gt;YEAR(E96),1,(12-MONTH(E96)+1)/12))) + (Q96)*(IF((YEAR(D96)+8)&lt;YEAR(E96),0,IF((YEAR(D96)+8)&gt;YEAR(E96),1,(12-MONTH(E96)+1)/12))))-((P96)*(IF((YEAR(D96)+8)&lt;YEAR(E96),0,IF((YEAR(D96)+8)&gt;YEAR(E96),1,(12-MONTH(E96)+1)/12))) + (R96)*(IF((YEAR(D96)+8)&lt;YEAR(E96),0,IF((YEAR(D96)+8)&gt;YEAR(E96),1,(12-MONTH(E96)+1)/12))))-(IF(OR(N96="",N96&lt;=0),0,(O96/N96)*(IF(OR(N96="",N96&lt;=0),0,IF((YEAR(D96)+8)&lt;YEAR(E96),0,IF((YEAR(D96)+8)&gt;=YEAR(E96)+N96,0,IF((YEAR(D96)+8)=YEAR(E96),(12-MONTH(E96)+1)/12,1))))))))&gt;0,(((K96)*(IF(M96="",L96,IFERROR(IF(INDEX(Variablen!$I:$AT, MATCH(M96, Variablen!$A:$A, 0), MATCH((YEAR(D96)+8), Variablen!$I$3:$AT$3, 0))="",L96,INDEX(Variablen!$I:$AT, MATCH(M96, Variablen!$A:$A, 0), MATCH((YEAR(D96)+8), Variablen!$I$3:$AT$3, 0))),L96)))*(IF((YEAR(D96)+8)&lt;YEAR(E96),0,IF((YEAR(D96)+8)&gt;YEAR(E96),1,(12-MONTH(E96)+1)/12))) + (Q96)*(IF((YEAR(D96)+8)&lt;YEAR(E96),0,IF((YEAR(D96)+8)&gt;YEAR(E96),1,(12-MONTH(E96)+1)/12))))-((P96)*(IF((YEAR(D96)+8)&lt;YEAR(E96),0,IF((YEAR(D96)+8)&gt;YEAR(E96),1,(12-MONTH(E96)+1)/12))) + (R96)*(IF((YEAR(D96)+8)&lt;YEAR(E96),0,IF((YEAR(D96)+8)&gt;YEAR(E96),1,(12-MONTH(E96)+1)/12))))-(IF(OR(N96="",N96&lt;=0),0,(O96/N96)*(IF(OR(N96="",N96&lt;=0),0,IF((YEAR(D96)+8)&lt;YEAR(E96),0,IF((YEAR(D96)+8)&gt;=YEAR(E96)+N96,0,IF((YEAR(D96)+8)=YEAR(E96),(12-MONTH(E96)+1)/12,1))))))))*TaxRate,0))-IF(8=0,O96,0))</f>
        <v/>
      </c>
      <c r="AB96" s="29">
        <f>IF(A96="","",((K96)*(IF(M96="",L96,IFERROR(IF(INDEX(Variablen!$I:$AT, MATCH(M96, Variablen!$A:$A, 0), MATCH((YEAR(D96)+9), Variablen!$I$3:$AT$3, 0))="",L96,INDEX(Variablen!$I:$AT, MATCH(M96, Variablen!$A:$A, 0), MATCH((YEAR(D96)+9), Variablen!$I$3:$AT$3, 0))),L96)))*(IF((YEAR(D96)+9)&lt;YEAR(E96),0,IF((YEAR(D96)+9)&gt;YEAR(E96),1,(12-MONTH(E96)+1)/12))) + (Q96)*(IF((YEAR(D96)+9)&lt;YEAR(E96),0,IF((YEAR(D96)+9)&gt;YEAR(E96),1,(12-MONTH(E96)+1)/12))))-((P96)*(IF((YEAR(D96)+9)&lt;YEAR(E96),0,IF((YEAR(D96)+9)&gt;YEAR(E96),1,(12-MONTH(E96)+1)/12))) + (R96)*(IF((YEAR(D96)+9)&lt;YEAR(E96),0,IF((YEAR(D96)+9)&gt;YEAR(E96),1,(12-MONTH(E96)+1)/12))))-(IF((((K96)*(IF(M96="",L96,IFERROR(IF(INDEX(Variablen!$I:$AT, MATCH(M96, Variablen!$A:$A, 0), MATCH((YEAR(D96)+9), Variablen!$I$3:$AT$3, 0))="",L96,INDEX(Variablen!$I:$AT, MATCH(M96, Variablen!$A:$A, 0), MATCH((YEAR(D96)+9), Variablen!$I$3:$AT$3, 0))),L96)))*(IF((YEAR(D96)+9)&lt;YEAR(E96),0,IF((YEAR(D96)+9)&gt;YEAR(E96),1,(12-MONTH(E96)+1)/12))) + (Q96)*(IF((YEAR(D96)+9)&lt;YEAR(E96),0,IF((YEAR(D96)+9)&gt;YEAR(E96),1,(12-MONTH(E96)+1)/12))))-((P96)*(IF((YEAR(D96)+9)&lt;YEAR(E96),0,IF((YEAR(D96)+9)&gt;YEAR(E96),1,(12-MONTH(E96)+1)/12))) + (R96)*(IF((YEAR(D96)+9)&lt;YEAR(E96),0,IF((YEAR(D96)+9)&gt;YEAR(E96),1,(12-MONTH(E96)+1)/12))))-(IF(OR(N96="",N96&lt;=0),0,(O96/N96)*(IF(OR(N96="",N96&lt;=0),0,IF((YEAR(D96)+9)&lt;YEAR(E96),0,IF((YEAR(D96)+9)&gt;=YEAR(E96)+N96,0,IF((YEAR(D96)+9)=YEAR(E96),(12-MONTH(E96)+1)/12,1))))))))&gt;0,(((K96)*(IF(M96="",L96,IFERROR(IF(INDEX(Variablen!$I:$AT, MATCH(M96, Variablen!$A:$A, 0), MATCH((YEAR(D96)+9), Variablen!$I$3:$AT$3, 0))="",L96,INDEX(Variablen!$I:$AT, MATCH(M96, Variablen!$A:$A, 0), MATCH((YEAR(D96)+9), Variablen!$I$3:$AT$3, 0))),L96)))*(IF((YEAR(D96)+9)&lt;YEAR(E96),0,IF((YEAR(D96)+9)&gt;YEAR(E96),1,(12-MONTH(E96)+1)/12))) + (Q96)*(IF((YEAR(D96)+9)&lt;YEAR(E96),0,IF((YEAR(D96)+9)&gt;YEAR(E96),1,(12-MONTH(E96)+1)/12))))-((P96)*(IF((YEAR(D96)+9)&lt;YEAR(E96),0,IF((YEAR(D96)+9)&gt;YEAR(E96),1,(12-MONTH(E96)+1)/12))) + (R96)*(IF((YEAR(D96)+9)&lt;YEAR(E96),0,IF((YEAR(D96)+9)&gt;YEAR(E96),1,(12-MONTH(E96)+1)/12))))-(IF(OR(N96="",N96&lt;=0),0,(O96/N96)*(IF(OR(N96="",N96&lt;=0),0,IF((YEAR(D96)+9)&lt;YEAR(E96),0,IF((YEAR(D96)+9)&gt;=YEAR(E96)+N96,0,IF((YEAR(D96)+9)=YEAR(E96),(12-MONTH(E96)+1)/12,1))))))))*TaxRate,0))-IF(9=0,O96,0))</f>
        <v/>
      </c>
      <c r="AC96" s="29">
        <f>IF(A96="","",((K96)*(IF(M96="",L96,IFERROR(IF(INDEX(Variablen!$I:$AT, MATCH(M96, Variablen!$A:$A, 0), MATCH((YEAR(D96)+10), Variablen!$I$3:$AT$3, 0))="",L96,INDEX(Variablen!$I:$AT, MATCH(M96, Variablen!$A:$A, 0), MATCH((YEAR(D96)+10), Variablen!$I$3:$AT$3, 0))),L96)))*(IF((YEAR(D96)+10)&lt;YEAR(E96),0,IF((YEAR(D96)+10)&gt;YEAR(E96),1,(12-MONTH(E96)+1)/12))) + (Q96)*(IF((YEAR(D96)+10)&lt;YEAR(E96),0,IF((YEAR(D96)+10)&gt;YEAR(E96),1,(12-MONTH(E96)+1)/12))))-((P96)*(IF((YEAR(D96)+10)&lt;YEAR(E96),0,IF((YEAR(D96)+10)&gt;YEAR(E96),1,(12-MONTH(E96)+1)/12))) + (R96)*(IF((YEAR(D96)+10)&lt;YEAR(E96),0,IF((YEAR(D96)+10)&gt;YEAR(E96),1,(12-MONTH(E96)+1)/12))))-(IF((((K96)*(IF(M96="",L96,IFERROR(IF(INDEX(Variablen!$I:$AT, MATCH(M96, Variablen!$A:$A, 0), MATCH((YEAR(D96)+10), Variablen!$I$3:$AT$3, 0))="",L96,INDEX(Variablen!$I:$AT, MATCH(M96, Variablen!$A:$A, 0), MATCH((YEAR(D96)+10), Variablen!$I$3:$AT$3, 0))),L96)))*(IF((YEAR(D96)+10)&lt;YEAR(E96),0,IF((YEAR(D96)+10)&gt;YEAR(E96),1,(12-MONTH(E96)+1)/12))) + (Q96)*(IF((YEAR(D96)+10)&lt;YEAR(E96),0,IF((YEAR(D96)+10)&gt;YEAR(E96),1,(12-MONTH(E96)+1)/12))))-((P96)*(IF((YEAR(D96)+10)&lt;YEAR(E96),0,IF((YEAR(D96)+10)&gt;YEAR(E96),1,(12-MONTH(E96)+1)/12))) + (R96)*(IF((YEAR(D96)+10)&lt;YEAR(E96),0,IF((YEAR(D96)+10)&gt;YEAR(E96),1,(12-MONTH(E96)+1)/12))))-(IF(OR(N96="",N96&lt;=0),0,(O96/N96)*(IF(OR(N96="",N96&lt;=0),0,IF((YEAR(D96)+10)&lt;YEAR(E96),0,IF((YEAR(D96)+10)&gt;=YEAR(E96)+N96,0,IF((YEAR(D96)+10)=YEAR(E96),(12-MONTH(E96)+1)/12,1))))))))&gt;0,(((K96)*(IF(M96="",L96,IFERROR(IF(INDEX(Variablen!$I:$AT, MATCH(M96, Variablen!$A:$A, 0), MATCH((YEAR(D96)+10), Variablen!$I$3:$AT$3, 0))="",L96,INDEX(Variablen!$I:$AT, MATCH(M96, Variablen!$A:$A, 0), MATCH((YEAR(D96)+10), Variablen!$I$3:$AT$3, 0))),L96)))*(IF((YEAR(D96)+10)&lt;YEAR(E96),0,IF((YEAR(D96)+10)&gt;YEAR(E96),1,(12-MONTH(E96)+1)/12))) + (Q96)*(IF((YEAR(D96)+10)&lt;YEAR(E96),0,IF((YEAR(D96)+10)&gt;YEAR(E96),1,(12-MONTH(E96)+1)/12))))-((P96)*(IF((YEAR(D96)+10)&lt;YEAR(E96),0,IF((YEAR(D96)+10)&gt;YEAR(E96),1,(12-MONTH(E96)+1)/12))) + (R96)*(IF((YEAR(D96)+10)&lt;YEAR(E96),0,IF((YEAR(D96)+10)&gt;YEAR(E96),1,(12-MONTH(E96)+1)/12))))-(IF(OR(N96="",N96&lt;=0),0,(O96/N96)*(IF(OR(N96="",N96&lt;=0),0,IF((YEAR(D96)+10)&lt;YEAR(E96),0,IF((YEAR(D96)+10)&gt;=YEAR(E96)+N96,0,IF((YEAR(D96)+10)=YEAR(E96),(12-MONTH(E96)+1)/12,1))))))))*TaxRate,0))-IF(10=0,O96,0))</f>
        <v/>
      </c>
      <c r="AD96" s="29">
        <f>IF(A96="","",((K96)*(IF(M96="",L96,IFERROR(IF(INDEX(Variablen!$I:$AT, MATCH(M96, Variablen!$A:$A, 0), MATCH((YEAR(D96)+11), Variablen!$I$3:$AT$3, 0))="",L96,INDEX(Variablen!$I:$AT, MATCH(M96, Variablen!$A:$A, 0), MATCH((YEAR(D96)+11), Variablen!$I$3:$AT$3, 0))),L96)))*(IF((YEAR(D96)+11)&lt;YEAR(E96),0,IF((YEAR(D96)+11)&gt;YEAR(E96),1,(12-MONTH(E96)+1)/12))) + (Q96)*(IF((YEAR(D96)+11)&lt;YEAR(E96),0,IF((YEAR(D96)+11)&gt;YEAR(E96),1,(12-MONTH(E96)+1)/12))))-((P96)*(IF((YEAR(D96)+11)&lt;YEAR(E96),0,IF((YEAR(D96)+11)&gt;YEAR(E96),1,(12-MONTH(E96)+1)/12))) + (R96)*(IF((YEAR(D96)+11)&lt;YEAR(E96),0,IF((YEAR(D96)+11)&gt;YEAR(E96),1,(12-MONTH(E96)+1)/12))))-(IF((((K96)*(IF(M96="",L96,IFERROR(IF(INDEX(Variablen!$I:$AT, MATCH(M96, Variablen!$A:$A, 0), MATCH((YEAR(D96)+11), Variablen!$I$3:$AT$3, 0))="",L96,INDEX(Variablen!$I:$AT, MATCH(M96, Variablen!$A:$A, 0), MATCH((YEAR(D96)+11), Variablen!$I$3:$AT$3, 0))),L96)))*(IF((YEAR(D96)+11)&lt;YEAR(E96),0,IF((YEAR(D96)+11)&gt;YEAR(E96),1,(12-MONTH(E96)+1)/12))) + (Q96)*(IF((YEAR(D96)+11)&lt;YEAR(E96),0,IF((YEAR(D96)+11)&gt;YEAR(E96),1,(12-MONTH(E96)+1)/12))))-((P96)*(IF((YEAR(D96)+11)&lt;YEAR(E96),0,IF((YEAR(D96)+11)&gt;YEAR(E96),1,(12-MONTH(E96)+1)/12))) + (R96)*(IF((YEAR(D96)+11)&lt;YEAR(E96),0,IF((YEAR(D96)+11)&gt;YEAR(E96),1,(12-MONTH(E96)+1)/12))))-(IF(OR(N96="",N96&lt;=0),0,(O96/N96)*(IF(OR(N96="",N96&lt;=0),0,IF((YEAR(D96)+11)&lt;YEAR(E96),0,IF((YEAR(D96)+11)&gt;=YEAR(E96)+N96,0,IF((YEAR(D96)+11)=YEAR(E96),(12-MONTH(E96)+1)/12,1))))))))&gt;0,(((K96)*(IF(M96="",L96,IFERROR(IF(INDEX(Variablen!$I:$AT, MATCH(M96, Variablen!$A:$A, 0), MATCH((YEAR(D96)+11), Variablen!$I$3:$AT$3, 0))="",L96,INDEX(Variablen!$I:$AT, MATCH(M96, Variablen!$A:$A, 0), MATCH((YEAR(D96)+11), Variablen!$I$3:$AT$3, 0))),L96)))*(IF((YEAR(D96)+11)&lt;YEAR(E96),0,IF((YEAR(D96)+11)&gt;YEAR(E96),1,(12-MONTH(E96)+1)/12))) + (Q96)*(IF((YEAR(D96)+11)&lt;YEAR(E96),0,IF((YEAR(D96)+11)&gt;YEAR(E96),1,(12-MONTH(E96)+1)/12))))-((P96)*(IF((YEAR(D96)+11)&lt;YEAR(E96),0,IF((YEAR(D96)+11)&gt;YEAR(E96),1,(12-MONTH(E96)+1)/12))) + (R96)*(IF((YEAR(D96)+11)&lt;YEAR(E96),0,IF((YEAR(D96)+11)&gt;YEAR(E96),1,(12-MONTH(E96)+1)/12))))-(IF(OR(N96="",N96&lt;=0),0,(O96/N96)*(IF(OR(N96="",N96&lt;=0),0,IF((YEAR(D96)+11)&lt;YEAR(E96),0,IF((YEAR(D96)+11)&gt;=YEAR(E96)+N96,0,IF((YEAR(D96)+11)=YEAR(E96),(12-MONTH(E96)+1)/12,1))))))))*TaxRate,0))-IF(11=0,O96,0))</f>
        <v/>
      </c>
      <c r="AE96" s="29">
        <f>IF(A96="","",((K96)*(IF(M96="",L96,IFERROR(IF(INDEX(Variablen!$I:$AT, MATCH(M96, Variablen!$A:$A, 0), MATCH((YEAR(D96)+12), Variablen!$I$3:$AT$3, 0))="",L96,INDEX(Variablen!$I:$AT, MATCH(M96, Variablen!$A:$A, 0), MATCH((YEAR(D96)+12), Variablen!$I$3:$AT$3, 0))),L96)))*(IF((YEAR(D96)+12)&lt;YEAR(E96),0,IF((YEAR(D96)+12)&gt;YEAR(E96),1,(12-MONTH(E96)+1)/12))) + (Q96)*(IF((YEAR(D96)+12)&lt;YEAR(E96),0,IF((YEAR(D96)+12)&gt;YEAR(E96),1,(12-MONTH(E96)+1)/12))))-((P96)*(IF((YEAR(D96)+12)&lt;YEAR(E96),0,IF((YEAR(D96)+12)&gt;YEAR(E96),1,(12-MONTH(E96)+1)/12))) + (R96)*(IF((YEAR(D96)+12)&lt;YEAR(E96),0,IF((YEAR(D96)+12)&gt;YEAR(E96),1,(12-MONTH(E96)+1)/12))))-(IF((((K96)*(IF(M96="",L96,IFERROR(IF(INDEX(Variablen!$I:$AT, MATCH(M96, Variablen!$A:$A, 0), MATCH((YEAR(D96)+12), Variablen!$I$3:$AT$3, 0))="",L96,INDEX(Variablen!$I:$AT, MATCH(M96, Variablen!$A:$A, 0), MATCH((YEAR(D96)+12), Variablen!$I$3:$AT$3, 0))),L96)))*(IF((YEAR(D96)+12)&lt;YEAR(E96),0,IF((YEAR(D96)+12)&gt;YEAR(E96),1,(12-MONTH(E96)+1)/12))) + (Q96)*(IF((YEAR(D96)+12)&lt;YEAR(E96),0,IF((YEAR(D96)+12)&gt;YEAR(E96),1,(12-MONTH(E96)+1)/12))))-((P96)*(IF((YEAR(D96)+12)&lt;YEAR(E96),0,IF((YEAR(D96)+12)&gt;YEAR(E96),1,(12-MONTH(E96)+1)/12))) + (R96)*(IF((YEAR(D96)+12)&lt;YEAR(E96),0,IF((YEAR(D96)+12)&gt;YEAR(E96),1,(12-MONTH(E96)+1)/12))))-(IF(OR(N96="",N96&lt;=0),0,(O96/N96)*(IF(OR(N96="",N96&lt;=0),0,IF((YEAR(D96)+12)&lt;YEAR(E96),0,IF((YEAR(D96)+12)&gt;=YEAR(E96)+N96,0,IF((YEAR(D96)+12)=YEAR(E96),(12-MONTH(E96)+1)/12,1))))))))&gt;0,(((K96)*(IF(M96="",L96,IFERROR(IF(INDEX(Variablen!$I:$AT, MATCH(M96, Variablen!$A:$A, 0), MATCH((YEAR(D96)+12), Variablen!$I$3:$AT$3, 0))="",L96,INDEX(Variablen!$I:$AT, MATCH(M96, Variablen!$A:$A, 0), MATCH((YEAR(D96)+12), Variablen!$I$3:$AT$3, 0))),L96)))*(IF((YEAR(D96)+12)&lt;YEAR(E96),0,IF((YEAR(D96)+12)&gt;YEAR(E96),1,(12-MONTH(E96)+1)/12))) + (Q96)*(IF((YEAR(D96)+12)&lt;YEAR(E96),0,IF((YEAR(D96)+12)&gt;YEAR(E96),1,(12-MONTH(E96)+1)/12))))-((P96)*(IF((YEAR(D96)+12)&lt;YEAR(E96),0,IF((YEAR(D96)+12)&gt;YEAR(E96),1,(12-MONTH(E96)+1)/12))) + (R96)*(IF((YEAR(D96)+12)&lt;YEAR(E96),0,IF((YEAR(D96)+12)&gt;YEAR(E96),1,(12-MONTH(E96)+1)/12))))-(IF(OR(N96="",N96&lt;=0),0,(O96/N96)*(IF(OR(N96="",N96&lt;=0),0,IF((YEAR(D96)+12)&lt;YEAR(E96),0,IF((YEAR(D96)+12)&gt;=YEAR(E96)+N96,0,IF((YEAR(D96)+12)=YEAR(E96),(12-MONTH(E96)+1)/12,1))))))))*TaxRate,0))-IF(12=0,O96,0))</f>
        <v/>
      </c>
      <c r="AF96" s="29">
        <f>IF(A96="","",((K96)*(IF(M96="",L96,IFERROR(IF(INDEX(Variablen!$I:$AT, MATCH(M96, Variablen!$A:$A, 0), MATCH((YEAR(D96)+13), Variablen!$I$3:$AT$3, 0))="",L96,INDEX(Variablen!$I:$AT, MATCH(M96, Variablen!$A:$A, 0), MATCH((YEAR(D96)+13), Variablen!$I$3:$AT$3, 0))),L96)))*(IF((YEAR(D96)+13)&lt;YEAR(E96),0,IF((YEAR(D96)+13)&gt;YEAR(E96),1,(12-MONTH(E96)+1)/12))) + (Q96)*(IF((YEAR(D96)+13)&lt;YEAR(E96),0,IF((YEAR(D96)+13)&gt;YEAR(E96),1,(12-MONTH(E96)+1)/12))))-((P96)*(IF((YEAR(D96)+13)&lt;YEAR(E96),0,IF((YEAR(D96)+13)&gt;YEAR(E96),1,(12-MONTH(E96)+1)/12))) + (R96)*(IF((YEAR(D96)+13)&lt;YEAR(E96),0,IF((YEAR(D96)+13)&gt;YEAR(E96),1,(12-MONTH(E96)+1)/12))))-(IF((((K96)*(IF(M96="",L96,IFERROR(IF(INDEX(Variablen!$I:$AT, MATCH(M96, Variablen!$A:$A, 0), MATCH((YEAR(D96)+13), Variablen!$I$3:$AT$3, 0))="",L96,INDEX(Variablen!$I:$AT, MATCH(M96, Variablen!$A:$A, 0), MATCH((YEAR(D96)+13), Variablen!$I$3:$AT$3, 0))),L96)))*(IF((YEAR(D96)+13)&lt;YEAR(E96),0,IF((YEAR(D96)+13)&gt;YEAR(E96),1,(12-MONTH(E96)+1)/12))) + (Q96)*(IF((YEAR(D96)+13)&lt;YEAR(E96),0,IF((YEAR(D96)+13)&gt;YEAR(E96),1,(12-MONTH(E96)+1)/12))))-((P96)*(IF((YEAR(D96)+13)&lt;YEAR(E96),0,IF((YEAR(D96)+13)&gt;YEAR(E96),1,(12-MONTH(E96)+1)/12))) + (R96)*(IF((YEAR(D96)+13)&lt;YEAR(E96),0,IF((YEAR(D96)+13)&gt;YEAR(E96),1,(12-MONTH(E96)+1)/12))))-(IF(OR(N96="",N96&lt;=0),0,(O96/N96)*(IF(OR(N96="",N96&lt;=0),0,IF((YEAR(D96)+13)&lt;YEAR(E96),0,IF((YEAR(D96)+13)&gt;=YEAR(E96)+N96,0,IF((YEAR(D96)+13)=YEAR(E96),(12-MONTH(E96)+1)/12,1))))))))&gt;0,(((K96)*(IF(M96="",L96,IFERROR(IF(INDEX(Variablen!$I:$AT, MATCH(M96, Variablen!$A:$A, 0), MATCH((YEAR(D96)+13), Variablen!$I$3:$AT$3, 0))="",L96,INDEX(Variablen!$I:$AT, MATCH(M96, Variablen!$A:$A, 0), MATCH((YEAR(D96)+13), Variablen!$I$3:$AT$3, 0))),L96)))*(IF((YEAR(D96)+13)&lt;YEAR(E96),0,IF((YEAR(D96)+13)&gt;YEAR(E96),1,(12-MONTH(E96)+1)/12))) + (Q96)*(IF((YEAR(D96)+13)&lt;YEAR(E96),0,IF((YEAR(D96)+13)&gt;YEAR(E96),1,(12-MONTH(E96)+1)/12))))-((P96)*(IF((YEAR(D96)+13)&lt;YEAR(E96),0,IF((YEAR(D96)+13)&gt;YEAR(E96),1,(12-MONTH(E96)+1)/12))) + (R96)*(IF((YEAR(D96)+13)&lt;YEAR(E96),0,IF((YEAR(D96)+13)&gt;YEAR(E96),1,(12-MONTH(E96)+1)/12))))-(IF(OR(N96="",N96&lt;=0),0,(O96/N96)*(IF(OR(N96="",N96&lt;=0),0,IF((YEAR(D96)+13)&lt;YEAR(E96),0,IF((YEAR(D96)+13)&gt;=YEAR(E96)+N96,0,IF((YEAR(D96)+13)=YEAR(E96),(12-MONTH(E96)+1)/12,1))))))))*TaxRate,0))-IF(13=0,O96,0))</f>
        <v/>
      </c>
      <c r="AG96" s="29">
        <f>IF(A96="","",((K96)*(IF(M96="",L96,IFERROR(IF(INDEX(Variablen!$I:$AT, MATCH(M96, Variablen!$A:$A, 0), MATCH((YEAR(D96)+14), Variablen!$I$3:$AT$3, 0))="",L96,INDEX(Variablen!$I:$AT, MATCH(M96, Variablen!$A:$A, 0), MATCH((YEAR(D96)+14), Variablen!$I$3:$AT$3, 0))),L96)))*(IF((YEAR(D96)+14)&lt;YEAR(E96),0,IF((YEAR(D96)+14)&gt;YEAR(E96),1,(12-MONTH(E96)+1)/12))) + (Q96)*(IF((YEAR(D96)+14)&lt;YEAR(E96),0,IF((YEAR(D96)+14)&gt;YEAR(E96),1,(12-MONTH(E96)+1)/12))))-((P96)*(IF((YEAR(D96)+14)&lt;YEAR(E96),0,IF((YEAR(D96)+14)&gt;YEAR(E96),1,(12-MONTH(E96)+1)/12))) + (R96)*(IF((YEAR(D96)+14)&lt;YEAR(E96),0,IF((YEAR(D96)+14)&gt;YEAR(E96),1,(12-MONTH(E96)+1)/12))))-(IF((((K96)*(IF(M96="",L96,IFERROR(IF(INDEX(Variablen!$I:$AT, MATCH(M96, Variablen!$A:$A, 0), MATCH((YEAR(D96)+14), Variablen!$I$3:$AT$3, 0))="",L96,INDEX(Variablen!$I:$AT, MATCH(M96, Variablen!$A:$A, 0), MATCH((YEAR(D96)+14), Variablen!$I$3:$AT$3, 0))),L96)))*(IF((YEAR(D96)+14)&lt;YEAR(E96),0,IF((YEAR(D96)+14)&gt;YEAR(E96),1,(12-MONTH(E96)+1)/12))) + (Q96)*(IF((YEAR(D96)+14)&lt;YEAR(E96),0,IF((YEAR(D96)+14)&gt;YEAR(E96),1,(12-MONTH(E96)+1)/12))))-((P96)*(IF((YEAR(D96)+14)&lt;YEAR(E96),0,IF((YEAR(D96)+14)&gt;YEAR(E96),1,(12-MONTH(E96)+1)/12))) + (R96)*(IF((YEAR(D96)+14)&lt;YEAR(E96),0,IF((YEAR(D96)+14)&gt;YEAR(E96),1,(12-MONTH(E96)+1)/12))))-(IF(OR(N96="",N96&lt;=0),0,(O96/N96)*(IF(OR(N96="",N96&lt;=0),0,IF((YEAR(D96)+14)&lt;YEAR(E96),0,IF((YEAR(D96)+14)&gt;=YEAR(E96)+N96,0,IF((YEAR(D96)+14)=YEAR(E96),(12-MONTH(E96)+1)/12,1))))))))&gt;0,(((K96)*(IF(M96="",L96,IFERROR(IF(INDEX(Variablen!$I:$AT, MATCH(M96, Variablen!$A:$A, 0), MATCH((YEAR(D96)+14), Variablen!$I$3:$AT$3, 0))="",L96,INDEX(Variablen!$I:$AT, MATCH(M96, Variablen!$A:$A, 0), MATCH((YEAR(D96)+14), Variablen!$I$3:$AT$3, 0))),L96)))*(IF((YEAR(D96)+14)&lt;YEAR(E96),0,IF((YEAR(D96)+14)&gt;YEAR(E96),1,(12-MONTH(E96)+1)/12))) + (Q96)*(IF((YEAR(D96)+14)&lt;YEAR(E96),0,IF((YEAR(D96)+14)&gt;YEAR(E96),1,(12-MONTH(E96)+1)/12))))-((P96)*(IF((YEAR(D96)+14)&lt;YEAR(E96),0,IF((YEAR(D96)+14)&gt;YEAR(E96),1,(12-MONTH(E96)+1)/12))) + (R96)*(IF((YEAR(D96)+14)&lt;YEAR(E96),0,IF((YEAR(D96)+14)&gt;YEAR(E96),1,(12-MONTH(E96)+1)/12))))-(IF(OR(N96="",N96&lt;=0),0,(O96/N96)*(IF(OR(N96="",N96&lt;=0),0,IF((YEAR(D96)+14)&lt;YEAR(E96),0,IF((YEAR(D96)+14)&gt;=YEAR(E96)+N96,0,IF((YEAR(D96)+14)=YEAR(E96),(12-MONTH(E96)+1)/12,1))))))))*TaxRate,0))-IF(14=0,O96,0))</f>
        <v/>
      </c>
      <c r="AH96" s="29">
        <f>IF(A96="","",((K96)*(IF(M96="",L96,IFERROR(IF(INDEX(Variablen!$I:$AT, MATCH(M96, Variablen!$A:$A, 0), MATCH((YEAR(D96)+15), Variablen!$I$3:$AT$3, 0))="",L96,INDEX(Variablen!$I:$AT, MATCH(M96, Variablen!$A:$A, 0), MATCH((YEAR(D96)+15), Variablen!$I$3:$AT$3, 0))),L96)))*(IF((YEAR(D96)+15)&lt;YEAR(E96),0,IF((YEAR(D96)+15)&gt;YEAR(E96),1,(12-MONTH(E96)+1)/12))) + (Q96)*(IF((YEAR(D96)+15)&lt;YEAR(E96),0,IF((YEAR(D96)+15)&gt;YEAR(E96),1,(12-MONTH(E96)+1)/12))))-((P96)*(IF((YEAR(D96)+15)&lt;YEAR(E96),0,IF((YEAR(D96)+15)&gt;YEAR(E96),1,(12-MONTH(E96)+1)/12))) + (R96)*(IF((YEAR(D96)+15)&lt;YEAR(E96),0,IF((YEAR(D96)+15)&gt;YEAR(E96),1,(12-MONTH(E96)+1)/12))))-(IF((((K96)*(IF(M96="",L96,IFERROR(IF(INDEX(Variablen!$I:$AT, MATCH(M96, Variablen!$A:$A, 0), MATCH((YEAR(D96)+15), Variablen!$I$3:$AT$3, 0))="",L96,INDEX(Variablen!$I:$AT, MATCH(M96, Variablen!$A:$A, 0), MATCH((YEAR(D96)+15), Variablen!$I$3:$AT$3, 0))),L96)))*(IF((YEAR(D96)+15)&lt;YEAR(E96),0,IF((YEAR(D96)+15)&gt;YEAR(E96),1,(12-MONTH(E96)+1)/12))) + (Q96)*(IF((YEAR(D96)+15)&lt;YEAR(E96),0,IF((YEAR(D96)+15)&gt;YEAR(E96),1,(12-MONTH(E96)+1)/12))))-((P96)*(IF((YEAR(D96)+15)&lt;YEAR(E96),0,IF((YEAR(D96)+15)&gt;YEAR(E96),1,(12-MONTH(E96)+1)/12))) + (R96)*(IF((YEAR(D96)+15)&lt;YEAR(E96),0,IF((YEAR(D96)+15)&gt;YEAR(E96),1,(12-MONTH(E96)+1)/12))))-(IF(OR(N96="",N96&lt;=0),0,(O96/N96)*(IF(OR(N96="",N96&lt;=0),0,IF((YEAR(D96)+15)&lt;YEAR(E96),0,IF((YEAR(D96)+15)&gt;=YEAR(E96)+N96,0,IF((YEAR(D96)+15)=YEAR(E96),(12-MONTH(E96)+1)/12,1))))))))&gt;0,(((K96)*(IF(M96="",L96,IFERROR(IF(INDEX(Variablen!$I:$AT, MATCH(M96, Variablen!$A:$A, 0), MATCH((YEAR(D96)+15), Variablen!$I$3:$AT$3, 0))="",L96,INDEX(Variablen!$I:$AT, MATCH(M96, Variablen!$A:$A, 0), MATCH((YEAR(D96)+15), Variablen!$I$3:$AT$3, 0))),L96)))*(IF((YEAR(D96)+15)&lt;YEAR(E96),0,IF((YEAR(D96)+15)&gt;YEAR(E96),1,(12-MONTH(E96)+1)/12))) + (Q96)*(IF((YEAR(D96)+15)&lt;YEAR(E96),0,IF((YEAR(D96)+15)&gt;YEAR(E96),1,(12-MONTH(E96)+1)/12))))-((P96)*(IF((YEAR(D96)+15)&lt;YEAR(E96),0,IF((YEAR(D96)+15)&gt;YEAR(E96),1,(12-MONTH(E96)+1)/12))) + (R96)*(IF((YEAR(D96)+15)&lt;YEAR(E96),0,IF((YEAR(D96)+15)&gt;YEAR(E96),1,(12-MONTH(E96)+1)/12))))-(IF(OR(N96="",N96&lt;=0),0,(O96/N96)*(IF(OR(N96="",N96&lt;=0),0,IF((YEAR(D96)+15)&lt;YEAR(E96),0,IF((YEAR(D96)+15)&gt;=YEAR(E96)+N96,0,IF((YEAR(D96)+15)=YEAR(E96),(12-MONTH(E96)+1)/12,1))))))))*TaxRate,0))-IF(15=0,O96,0))</f>
        <v/>
      </c>
      <c r="AI96" s="29">
        <f>IF(A96="","",((K96)*(IF(M96="",L96,IFERROR(IF(INDEX(Variablen!$I:$AT, MATCH(M96, Variablen!$A:$A, 0), MATCH((YEAR(D96)+16), Variablen!$I$3:$AT$3, 0))="",L96,INDEX(Variablen!$I:$AT, MATCH(M96, Variablen!$A:$A, 0), MATCH((YEAR(D96)+16), Variablen!$I$3:$AT$3, 0))),L96)))*(IF((YEAR(D96)+16)&lt;YEAR(E96),0,IF((YEAR(D96)+16)&gt;YEAR(E96),1,(12-MONTH(E96)+1)/12))) + (Q96)*(IF((YEAR(D96)+16)&lt;YEAR(E96),0,IF((YEAR(D96)+16)&gt;YEAR(E96),1,(12-MONTH(E96)+1)/12))))-((P96)*(IF((YEAR(D96)+16)&lt;YEAR(E96),0,IF((YEAR(D96)+16)&gt;YEAR(E96),1,(12-MONTH(E96)+1)/12))) + (R96)*(IF((YEAR(D96)+16)&lt;YEAR(E96),0,IF((YEAR(D96)+16)&gt;YEAR(E96),1,(12-MONTH(E96)+1)/12))))-(IF((((K96)*(IF(M96="",L96,IFERROR(IF(INDEX(Variablen!$I:$AT, MATCH(M96, Variablen!$A:$A, 0), MATCH((YEAR(D96)+16), Variablen!$I$3:$AT$3, 0))="",L96,INDEX(Variablen!$I:$AT, MATCH(M96, Variablen!$A:$A, 0), MATCH((YEAR(D96)+16), Variablen!$I$3:$AT$3, 0))),L96)))*(IF((YEAR(D96)+16)&lt;YEAR(E96),0,IF((YEAR(D96)+16)&gt;YEAR(E96),1,(12-MONTH(E96)+1)/12))) + (Q96)*(IF((YEAR(D96)+16)&lt;YEAR(E96),0,IF((YEAR(D96)+16)&gt;YEAR(E96),1,(12-MONTH(E96)+1)/12))))-((P96)*(IF((YEAR(D96)+16)&lt;YEAR(E96),0,IF((YEAR(D96)+16)&gt;YEAR(E96),1,(12-MONTH(E96)+1)/12))) + (R96)*(IF((YEAR(D96)+16)&lt;YEAR(E96),0,IF((YEAR(D96)+16)&gt;YEAR(E96),1,(12-MONTH(E96)+1)/12))))-(IF(OR(N96="",N96&lt;=0),0,(O96/N96)*(IF(OR(N96="",N96&lt;=0),0,IF((YEAR(D96)+16)&lt;YEAR(E96),0,IF((YEAR(D96)+16)&gt;=YEAR(E96)+N96,0,IF((YEAR(D96)+16)=YEAR(E96),(12-MONTH(E96)+1)/12,1))))))))&gt;0,(((K96)*(IF(M96="",L96,IFERROR(IF(INDEX(Variablen!$I:$AT, MATCH(M96, Variablen!$A:$A, 0), MATCH((YEAR(D96)+16), Variablen!$I$3:$AT$3, 0))="",L96,INDEX(Variablen!$I:$AT, MATCH(M96, Variablen!$A:$A, 0), MATCH((YEAR(D96)+16), Variablen!$I$3:$AT$3, 0))),L96)))*(IF((YEAR(D96)+16)&lt;YEAR(E96),0,IF((YEAR(D96)+16)&gt;YEAR(E96),1,(12-MONTH(E96)+1)/12))) + (Q96)*(IF((YEAR(D96)+16)&lt;YEAR(E96),0,IF((YEAR(D96)+16)&gt;YEAR(E96),1,(12-MONTH(E96)+1)/12))))-((P96)*(IF((YEAR(D96)+16)&lt;YEAR(E96),0,IF((YEAR(D96)+16)&gt;YEAR(E96),1,(12-MONTH(E96)+1)/12))) + (R96)*(IF((YEAR(D96)+16)&lt;YEAR(E96),0,IF((YEAR(D96)+16)&gt;YEAR(E96),1,(12-MONTH(E96)+1)/12))))-(IF(OR(N96="",N96&lt;=0),0,(O96/N96)*(IF(OR(N96="",N96&lt;=0),0,IF((YEAR(D96)+16)&lt;YEAR(E96),0,IF((YEAR(D96)+16)&gt;=YEAR(E96)+N96,0,IF((YEAR(D96)+16)=YEAR(E96),(12-MONTH(E96)+1)/12,1))))))))*TaxRate,0))-IF(16=0,O96,0))</f>
        <v/>
      </c>
      <c r="AJ96" s="29">
        <f>IF(A96="","",((K96)*(IF(M96="",L96,IFERROR(IF(INDEX(Variablen!$I:$AT, MATCH(M96, Variablen!$A:$A, 0), MATCH((YEAR(D96)+17), Variablen!$I$3:$AT$3, 0))="",L96,INDEX(Variablen!$I:$AT, MATCH(M96, Variablen!$A:$A, 0), MATCH((YEAR(D96)+17), Variablen!$I$3:$AT$3, 0))),L96)))*(IF((YEAR(D96)+17)&lt;YEAR(E96),0,IF((YEAR(D96)+17)&gt;YEAR(E96),1,(12-MONTH(E96)+1)/12))) + (Q96)*(IF((YEAR(D96)+17)&lt;YEAR(E96),0,IF((YEAR(D96)+17)&gt;YEAR(E96),1,(12-MONTH(E96)+1)/12))))-((P96)*(IF((YEAR(D96)+17)&lt;YEAR(E96),0,IF((YEAR(D96)+17)&gt;YEAR(E96),1,(12-MONTH(E96)+1)/12))) + (R96)*(IF((YEAR(D96)+17)&lt;YEAR(E96),0,IF((YEAR(D96)+17)&gt;YEAR(E96),1,(12-MONTH(E96)+1)/12))))-(IF((((K96)*(IF(M96="",L96,IFERROR(IF(INDEX(Variablen!$I:$AT, MATCH(M96, Variablen!$A:$A, 0), MATCH((YEAR(D96)+17), Variablen!$I$3:$AT$3, 0))="",L96,INDEX(Variablen!$I:$AT, MATCH(M96, Variablen!$A:$A, 0), MATCH((YEAR(D96)+17), Variablen!$I$3:$AT$3, 0))),L96)))*(IF((YEAR(D96)+17)&lt;YEAR(E96),0,IF((YEAR(D96)+17)&gt;YEAR(E96),1,(12-MONTH(E96)+1)/12))) + (Q96)*(IF((YEAR(D96)+17)&lt;YEAR(E96),0,IF((YEAR(D96)+17)&gt;YEAR(E96),1,(12-MONTH(E96)+1)/12))))-((P96)*(IF((YEAR(D96)+17)&lt;YEAR(E96),0,IF((YEAR(D96)+17)&gt;YEAR(E96),1,(12-MONTH(E96)+1)/12))) + (R96)*(IF((YEAR(D96)+17)&lt;YEAR(E96),0,IF((YEAR(D96)+17)&gt;YEAR(E96),1,(12-MONTH(E96)+1)/12))))-(IF(OR(N96="",N96&lt;=0),0,(O96/N96)*(IF(OR(N96="",N96&lt;=0),0,IF((YEAR(D96)+17)&lt;YEAR(E96),0,IF((YEAR(D96)+17)&gt;=YEAR(E96)+N96,0,IF((YEAR(D96)+17)=YEAR(E96),(12-MONTH(E96)+1)/12,1))))))))&gt;0,(((K96)*(IF(M96="",L96,IFERROR(IF(INDEX(Variablen!$I:$AT, MATCH(M96, Variablen!$A:$A, 0), MATCH((YEAR(D96)+17), Variablen!$I$3:$AT$3, 0))="",L96,INDEX(Variablen!$I:$AT, MATCH(M96, Variablen!$A:$A, 0), MATCH((YEAR(D96)+17), Variablen!$I$3:$AT$3, 0))),L96)))*(IF((YEAR(D96)+17)&lt;YEAR(E96),0,IF((YEAR(D96)+17)&gt;YEAR(E96),1,(12-MONTH(E96)+1)/12))) + (Q96)*(IF((YEAR(D96)+17)&lt;YEAR(E96),0,IF((YEAR(D96)+17)&gt;YEAR(E96),1,(12-MONTH(E96)+1)/12))))-((P96)*(IF((YEAR(D96)+17)&lt;YEAR(E96),0,IF((YEAR(D96)+17)&gt;YEAR(E96),1,(12-MONTH(E96)+1)/12))) + (R96)*(IF((YEAR(D96)+17)&lt;YEAR(E96),0,IF((YEAR(D96)+17)&gt;YEAR(E96),1,(12-MONTH(E96)+1)/12))))-(IF(OR(N96="",N96&lt;=0),0,(O96/N96)*(IF(OR(N96="",N96&lt;=0),0,IF((YEAR(D96)+17)&lt;YEAR(E96),0,IF((YEAR(D96)+17)&gt;=YEAR(E96)+N96,0,IF((YEAR(D96)+17)=YEAR(E96),(12-MONTH(E96)+1)/12,1))))))))*TaxRate,0))-IF(17=0,O96,0))</f>
        <v/>
      </c>
      <c r="AK96" s="29">
        <f>IF(A96="","",((K96)*(IF(M96="",L96,IFERROR(IF(INDEX(Variablen!$I:$AT, MATCH(M96, Variablen!$A:$A, 0), MATCH((YEAR(D96)+18), Variablen!$I$3:$AT$3, 0))="",L96,INDEX(Variablen!$I:$AT, MATCH(M96, Variablen!$A:$A, 0), MATCH((YEAR(D96)+18), Variablen!$I$3:$AT$3, 0))),L96)))*(IF((YEAR(D96)+18)&lt;YEAR(E96),0,IF((YEAR(D96)+18)&gt;YEAR(E96),1,(12-MONTH(E96)+1)/12))) + (Q96)*(IF((YEAR(D96)+18)&lt;YEAR(E96),0,IF((YEAR(D96)+18)&gt;YEAR(E96),1,(12-MONTH(E96)+1)/12))))-((P96)*(IF((YEAR(D96)+18)&lt;YEAR(E96),0,IF((YEAR(D96)+18)&gt;YEAR(E96),1,(12-MONTH(E96)+1)/12))) + (R96)*(IF((YEAR(D96)+18)&lt;YEAR(E96),0,IF((YEAR(D96)+18)&gt;YEAR(E96),1,(12-MONTH(E96)+1)/12))))-(IF((((K96)*(IF(M96="",L96,IFERROR(IF(INDEX(Variablen!$I:$AT, MATCH(M96, Variablen!$A:$A, 0), MATCH((YEAR(D96)+18), Variablen!$I$3:$AT$3, 0))="",L96,INDEX(Variablen!$I:$AT, MATCH(M96, Variablen!$A:$A, 0), MATCH((YEAR(D96)+18), Variablen!$I$3:$AT$3, 0))),L96)))*(IF((YEAR(D96)+18)&lt;YEAR(E96),0,IF((YEAR(D96)+18)&gt;YEAR(E96),1,(12-MONTH(E96)+1)/12))) + (Q96)*(IF((YEAR(D96)+18)&lt;YEAR(E96),0,IF((YEAR(D96)+18)&gt;YEAR(E96),1,(12-MONTH(E96)+1)/12))))-((P96)*(IF((YEAR(D96)+18)&lt;YEAR(E96),0,IF((YEAR(D96)+18)&gt;YEAR(E96),1,(12-MONTH(E96)+1)/12))) + (R96)*(IF((YEAR(D96)+18)&lt;YEAR(E96),0,IF((YEAR(D96)+18)&gt;YEAR(E96),1,(12-MONTH(E96)+1)/12))))-(IF(OR(N96="",N96&lt;=0),0,(O96/N96)*(IF(OR(N96="",N96&lt;=0),0,IF((YEAR(D96)+18)&lt;YEAR(E96),0,IF((YEAR(D96)+18)&gt;=YEAR(E96)+N96,0,IF((YEAR(D96)+18)=YEAR(E96),(12-MONTH(E96)+1)/12,1))))))))&gt;0,(((K96)*(IF(M96="",L96,IFERROR(IF(INDEX(Variablen!$I:$AT, MATCH(M96, Variablen!$A:$A, 0), MATCH((YEAR(D96)+18), Variablen!$I$3:$AT$3, 0))="",L96,INDEX(Variablen!$I:$AT, MATCH(M96, Variablen!$A:$A, 0), MATCH((YEAR(D96)+18), Variablen!$I$3:$AT$3, 0))),L96)))*(IF((YEAR(D96)+18)&lt;YEAR(E96),0,IF((YEAR(D96)+18)&gt;YEAR(E96),1,(12-MONTH(E96)+1)/12))) + (Q96)*(IF((YEAR(D96)+18)&lt;YEAR(E96),0,IF((YEAR(D96)+18)&gt;YEAR(E96),1,(12-MONTH(E96)+1)/12))))-((P96)*(IF((YEAR(D96)+18)&lt;YEAR(E96),0,IF((YEAR(D96)+18)&gt;YEAR(E96),1,(12-MONTH(E96)+1)/12))) + (R96)*(IF((YEAR(D96)+18)&lt;YEAR(E96),0,IF((YEAR(D96)+18)&gt;YEAR(E96),1,(12-MONTH(E96)+1)/12))))-(IF(OR(N96="",N96&lt;=0),0,(O96/N96)*(IF(OR(N96="",N96&lt;=0),0,IF((YEAR(D96)+18)&lt;YEAR(E96),0,IF((YEAR(D96)+18)&gt;=YEAR(E96)+N96,0,IF((YEAR(D96)+18)=YEAR(E96),(12-MONTH(E96)+1)/12,1))))))))*TaxRate,0))-IF(18=0,O96,0))</f>
        <v/>
      </c>
      <c r="AL96" s="29">
        <f>IF(A96="","",((K96)*(IF(M96="",L96,IFERROR(IF(INDEX(Variablen!$I:$AT, MATCH(M96, Variablen!$A:$A, 0), MATCH((YEAR(D96)+19), Variablen!$I$3:$AT$3, 0))="",L96,INDEX(Variablen!$I:$AT, MATCH(M96, Variablen!$A:$A, 0), MATCH((YEAR(D96)+19), Variablen!$I$3:$AT$3, 0))),L96)))*(IF((YEAR(D96)+19)&lt;YEAR(E96),0,IF((YEAR(D96)+19)&gt;YEAR(E96),1,(12-MONTH(E96)+1)/12))) + (Q96)*(IF((YEAR(D96)+19)&lt;YEAR(E96),0,IF((YEAR(D96)+19)&gt;YEAR(E96),1,(12-MONTH(E96)+1)/12))))-((P96)*(IF((YEAR(D96)+19)&lt;YEAR(E96),0,IF((YEAR(D96)+19)&gt;YEAR(E96),1,(12-MONTH(E96)+1)/12))) + (R96)*(IF((YEAR(D96)+19)&lt;YEAR(E96),0,IF((YEAR(D96)+19)&gt;YEAR(E96),1,(12-MONTH(E96)+1)/12))))-(IF((((K96)*(IF(M96="",L96,IFERROR(IF(INDEX(Variablen!$I:$AT, MATCH(M96, Variablen!$A:$A, 0), MATCH((YEAR(D96)+19), Variablen!$I$3:$AT$3, 0))="",L96,INDEX(Variablen!$I:$AT, MATCH(M96, Variablen!$A:$A, 0), MATCH((YEAR(D96)+19), Variablen!$I$3:$AT$3, 0))),L96)))*(IF((YEAR(D96)+19)&lt;YEAR(E96),0,IF((YEAR(D96)+19)&gt;YEAR(E96),1,(12-MONTH(E96)+1)/12))) + (Q96)*(IF((YEAR(D96)+19)&lt;YEAR(E96),0,IF((YEAR(D96)+19)&gt;YEAR(E96),1,(12-MONTH(E96)+1)/12))))-((P96)*(IF((YEAR(D96)+19)&lt;YEAR(E96),0,IF((YEAR(D96)+19)&gt;YEAR(E96),1,(12-MONTH(E96)+1)/12))) + (R96)*(IF((YEAR(D96)+19)&lt;YEAR(E96),0,IF((YEAR(D96)+19)&gt;YEAR(E96),1,(12-MONTH(E96)+1)/12))))-(IF(OR(N96="",N96&lt;=0),0,(O96/N96)*(IF(OR(N96="",N96&lt;=0),0,IF((YEAR(D96)+19)&lt;YEAR(E96),0,IF((YEAR(D96)+19)&gt;=YEAR(E96)+N96,0,IF((YEAR(D96)+19)=YEAR(E96),(12-MONTH(E96)+1)/12,1))))))))&gt;0,(((K96)*(IF(M96="",L96,IFERROR(IF(INDEX(Variablen!$I:$AT, MATCH(M96, Variablen!$A:$A, 0), MATCH((YEAR(D96)+19), Variablen!$I$3:$AT$3, 0))="",L96,INDEX(Variablen!$I:$AT, MATCH(M96, Variablen!$A:$A, 0), MATCH((YEAR(D96)+19), Variablen!$I$3:$AT$3, 0))),L96)))*(IF((YEAR(D96)+19)&lt;YEAR(E96),0,IF((YEAR(D96)+19)&gt;YEAR(E96),1,(12-MONTH(E96)+1)/12))) + (Q96)*(IF((YEAR(D96)+19)&lt;YEAR(E96),0,IF((YEAR(D96)+19)&gt;YEAR(E96),1,(12-MONTH(E96)+1)/12))))-((P96)*(IF((YEAR(D96)+19)&lt;YEAR(E96),0,IF((YEAR(D96)+19)&gt;YEAR(E96),1,(12-MONTH(E96)+1)/12))) + (R96)*(IF((YEAR(D96)+19)&lt;YEAR(E96),0,IF((YEAR(D96)+19)&gt;YEAR(E96),1,(12-MONTH(E96)+1)/12))))-(IF(OR(N96="",N96&lt;=0),0,(O96/N96)*(IF(OR(N96="",N96&lt;=0),0,IF((YEAR(D96)+19)&lt;YEAR(E96),0,IF((YEAR(D96)+19)&gt;=YEAR(E96)+N96,0,IF((YEAR(D96)+19)=YEAR(E96),(12-MONTH(E96)+1)/12,1))))))))*TaxRate,0))-IF(19=0,O96,0))</f>
        <v/>
      </c>
      <c r="AM96" s="29">
        <f>IF(A96="","",((K96)*(IF(M96="",L96,IFERROR(IF(INDEX(Variablen!$I:$AT, MATCH(M96, Variablen!$A:$A, 0), MATCH((YEAR(D96)+20), Variablen!$I$3:$AT$3, 0))="",L96,INDEX(Variablen!$I:$AT, MATCH(M96, Variablen!$A:$A, 0), MATCH((YEAR(D96)+20), Variablen!$I$3:$AT$3, 0))),L96)))*(IF((YEAR(D96)+20)&lt;YEAR(E96),0,IF((YEAR(D96)+20)&gt;YEAR(E96),1,(12-MONTH(E96)+1)/12))) + (Q96)*(IF((YEAR(D96)+20)&lt;YEAR(E96),0,IF((YEAR(D96)+20)&gt;YEAR(E96),1,(12-MONTH(E96)+1)/12))))-((P96)*(IF((YEAR(D96)+20)&lt;YEAR(E96),0,IF((YEAR(D96)+20)&gt;YEAR(E96),1,(12-MONTH(E96)+1)/12))) + (R96)*(IF((YEAR(D96)+20)&lt;YEAR(E96),0,IF((YEAR(D96)+20)&gt;YEAR(E96),1,(12-MONTH(E96)+1)/12))))-(IF((((K96)*(IF(M96="",L96,IFERROR(IF(INDEX(Variablen!$I:$AT, MATCH(M96, Variablen!$A:$A, 0), MATCH((YEAR(D96)+20), Variablen!$I$3:$AT$3, 0))="",L96,INDEX(Variablen!$I:$AT, MATCH(M96, Variablen!$A:$A, 0), MATCH((YEAR(D96)+20), Variablen!$I$3:$AT$3, 0))),L96)))*(IF((YEAR(D96)+20)&lt;YEAR(E96),0,IF((YEAR(D96)+20)&gt;YEAR(E96),1,(12-MONTH(E96)+1)/12))) + (Q96)*(IF((YEAR(D96)+20)&lt;YEAR(E96),0,IF((YEAR(D96)+20)&gt;YEAR(E96),1,(12-MONTH(E96)+1)/12))))-((P96)*(IF((YEAR(D96)+20)&lt;YEAR(E96),0,IF((YEAR(D96)+20)&gt;YEAR(E96),1,(12-MONTH(E96)+1)/12))) + (R96)*(IF((YEAR(D96)+20)&lt;YEAR(E96),0,IF((YEAR(D96)+20)&gt;YEAR(E96),1,(12-MONTH(E96)+1)/12))))-(IF(OR(N96="",N96&lt;=0),0,(O96/N96)*(IF(OR(N96="",N96&lt;=0),0,IF((YEAR(D96)+20)&lt;YEAR(E96),0,IF((YEAR(D96)+20)&gt;=YEAR(E96)+N96,0,IF((YEAR(D96)+20)=YEAR(E96),(12-MONTH(E96)+1)/12,1))))))))&gt;0,(((K96)*(IF(M96="",L96,IFERROR(IF(INDEX(Variablen!$I:$AT, MATCH(M96, Variablen!$A:$A, 0), MATCH((YEAR(D96)+20), Variablen!$I$3:$AT$3, 0))="",L96,INDEX(Variablen!$I:$AT, MATCH(M96, Variablen!$A:$A, 0), MATCH((YEAR(D96)+20), Variablen!$I$3:$AT$3, 0))),L96)))*(IF((YEAR(D96)+20)&lt;YEAR(E96),0,IF((YEAR(D96)+20)&gt;YEAR(E96),1,(12-MONTH(E96)+1)/12))) + (Q96)*(IF((YEAR(D96)+20)&lt;YEAR(E96),0,IF((YEAR(D96)+20)&gt;YEAR(E96),1,(12-MONTH(E96)+1)/12))))-((P96)*(IF((YEAR(D96)+20)&lt;YEAR(E96),0,IF((YEAR(D96)+20)&gt;YEAR(E96),1,(12-MONTH(E96)+1)/12))) + (R96)*(IF((YEAR(D96)+20)&lt;YEAR(E96),0,IF((YEAR(D96)+20)&gt;YEAR(E96),1,(12-MONTH(E96)+1)/12))))-(IF(OR(N96="",N96&lt;=0),0,(O96/N96)*(IF(OR(N96="",N96&lt;=0),0,IF((YEAR(D96)+20)&lt;YEAR(E96),0,IF((YEAR(D96)+20)&gt;=YEAR(E96)+N96,0,IF((YEAR(D96)+20)=YEAR(E96),(12-MONTH(E96)+1)/12,1))))))))*TaxRate,0))-IF(20=0,O96,0))</f>
        <v/>
      </c>
      <c r="AN96" s="29">
        <f>IF(A96="","",S96)</f>
        <v/>
      </c>
      <c r="AO96" s="29">
        <f>IF(A96="","",AN96+T96)</f>
        <v/>
      </c>
      <c r="AP96" s="29">
        <f>IF(A96="","",AO96+U96)</f>
        <v/>
      </c>
      <c r="AQ96" s="29">
        <f>IF(A96="","",AP96+V96)</f>
        <v/>
      </c>
      <c r="AR96" s="29">
        <f>IF(A96="","",AQ96+W96)</f>
        <v/>
      </c>
      <c r="AS96" s="29">
        <f>IF(A96="","",AR96+X96)</f>
        <v/>
      </c>
      <c r="AT96" s="29">
        <f>IF(A96="","",AS96+Y96)</f>
        <v/>
      </c>
      <c r="AU96" s="29">
        <f>IF(A96="","",AT96+Z96)</f>
        <v/>
      </c>
      <c r="AV96" s="29">
        <f>IF(A96="","",AU96+AA96)</f>
        <v/>
      </c>
      <c r="AW96" s="29">
        <f>IF(A96="","",AV96+AB96)</f>
        <v/>
      </c>
      <c r="AX96" s="29">
        <f>IF(A96="","",AW96+AC96)</f>
        <v/>
      </c>
      <c r="AY96" s="29">
        <f>IF(A96="","",AX96+AD96)</f>
        <v/>
      </c>
      <c r="AZ96" s="29">
        <f>IF(A96="","",AY96+AE96)</f>
        <v/>
      </c>
      <c r="BA96" s="29">
        <f>IF(A96="","",AZ96+AF96)</f>
        <v/>
      </c>
      <c r="BB96" s="29">
        <f>IF(A96="","",BA96+AG96)</f>
        <v/>
      </c>
      <c r="BC96" s="29">
        <f>IF(A96="","",BB96+AH96)</f>
        <v/>
      </c>
      <c r="BD96" s="29">
        <f>IF(A96="","",BC96+AI96)</f>
        <v/>
      </c>
      <c r="BE96" s="29">
        <f>IF(A96="","",BD96+AJ96)</f>
        <v/>
      </c>
      <c r="BF96" s="29">
        <f>IF(A96="","",BE96+AK96)</f>
        <v/>
      </c>
      <c r="BG96" s="29">
        <f>IF(A96="","",BF96+AL96)</f>
        <v/>
      </c>
      <c r="BH96" s="29">
        <f>IF(A96="","",BG96+AM96)</f>
        <v/>
      </c>
      <c r="BI96" s="36">
        <f>IF(A96="","",(K96)*(IF((YEAR(D96)+0)&lt;YEAR(E96),0,IF((YEAR(D96)+0)&gt;YEAR(E96),1,(12-MONTH(E96)+1)/12)))*(1/(1+DiscountRate)^0))</f>
        <v/>
      </c>
      <c r="BJ96" s="36">
        <f>IF(A96="","",(K96)*(IF((YEAR(D96)+1)&lt;YEAR(E96),0,IF((YEAR(D96)+1)&gt;YEAR(E96),1,(12-MONTH(E96)+1)/12)))*(1/(1+DiscountRate)^1))</f>
        <v/>
      </c>
      <c r="BK96" s="36">
        <f>IF(A96="","",(K96)*(IF((YEAR(D96)+2)&lt;YEAR(E96),0,IF((YEAR(D96)+2)&gt;YEAR(E96),1,(12-MONTH(E96)+1)/12)))*(1/(1+DiscountRate)^2))</f>
        <v/>
      </c>
      <c r="BL96" s="36">
        <f>IF(A96="","",(K96)*(IF((YEAR(D96)+3)&lt;YEAR(E96),0,IF((YEAR(D96)+3)&gt;YEAR(E96),1,(12-MONTH(E96)+1)/12)))*(1/(1+DiscountRate)^3))</f>
        <v/>
      </c>
      <c r="BM96" s="36">
        <f>IF(A96="","",(K96)*(IF((YEAR(D96)+4)&lt;YEAR(E96),0,IF((YEAR(D96)+4)&gt;YEAR(E96),1,(12-MONTH(E96)+1)/12)))*(1/(1+DiscountRate)^4))</f>
        <v/>
      </c>
      <c r="BN96" s="36">
        <f>IF(A96="","",(K96)*(IF((YEAR(D96)+5)&lt;YEAR(E96),0,IF((YEAR(D96)+5)&gt;YEAR(E96),1,(12-MONTH(E96)+1)/12)))*(1/(1+DiscountRate)^5))</f>
        <v/>
      </c>
      <c r="BO96" s="36">
        <f>IF(A96="","",(K96)*(IF((YEAR(D96)+6)&lt;YEAR(E96),0,IF((YEAR(D96)+6)&gt;YEAR(E96),1,(12-MONTH(E96)+1)/12)))*(1/(1+DiscountRate)^6))</f>
        <v/>
      </c>
      <c r="BP96" s="36">
        <f>IF(A96="","",(K96)*(IF((YEAR(D96)+7)&lt;YEAR(E96),0,IF((YEAR(D96)+7)&gt;YEAR(E96),1,(12-MONTH(E96)+1)/12)))*(1/(1+DiscountRate)^7))</f>
        <v/>
      </c>
      <c r="BQ96" s="36">
        <f>IF(A96="","",(K96)*(IF((YEAR(D96)+8)&lt;YEAR(E96),0,IF((YEAR(D96)+8)&gt;YEAR(E96),1,(12-MONTH(E96)+1)/12)))*(1/(1+DiscountRate)^8))</f>
        <v/>
      </c>
      <c r="BR96" s="36">
        <f>IF(A96="","",(K96)*(IF((YEAR(D96)+9)&lt;YEAR(E96),0,IF((YEAR(D96)+9)&gt;YEAR(E96),1,(12-MONTH(E96)+1)/12)))*(1/(1+DiscountRate)^9))</f>
        <v/>
      </c>
      <c r="BS96" s="36">
        <f>IF(A96="","",(K96)*(IF((YEAR(D96)+10)&lt;YEAR(E96),0,IF((YEAR(D96)+10)&gt;YEAR(E96),1,(12-MONTH(E96)+1)/12)))*(1/(1+DiscountRate)^10))</f>
        <v/>
      </c>
      <c r="BT96" s="36">
        <f>IF(A96="","",(K96)*(IF((YEAR(D96)+11)&lt;YEAR(E96),0,IF((YEAR(D96)+11)&gt;YEAR(E96),1,(12-MONTH(E96)+1)/12)))*(1/(1+DiscountRate)^11))</f>
        <v/>
      </c>
      <c r="BU96" s="36">
        <f>IF(A96="","",(K96)*(IF((YEAR(D96)+12)&lt;YEAR(E96),0,IF((YEAR(D96)+12)&gt;YEAR(E96),1,(12-MONTH(E96)+1)/12)))*(1/(1+DiscountRate)^12))</f>
        <v/>
      </c>
      <c r="BV96" s="36">
        <f>IF(A96="","",(K96)*(IF((YEAR(D96)+13)&lt;YEAR(E96),0,IF((YEAR(D96)+13)&gt;YEAR(E96),1,(12-MONTH(E96)+1)/12)))*(1/(1+DiscountRate)^13))</f>
        <v/>
      </c>
      <c r="BW96" s="36">
        <f>IF(A96="","",(K96)*(IF((YEAR(D96)+14)&lt;YEAR(E96),0,IF((YEAR(D96)+14)&gt;YEAR(E96),1,(12-MONTH(E96)+1)/12)))*(1/(1+DiscountRate)^14))</f>
        <v/>
      </c>
      <c r="BX96" s="36">
        <f>IF(A96="","",(K96)*(IF((YEAR(D96)+15)&lt;YEAR(E96),0,IF((YEAR(D96)+15)&gt;YEAR(E96),1,(12-MONTH(E96)+1)/12)))*(1/(1+DiscountRate)^15))</f>
        <v/>
      </c>
      <c r="BY96" s="36">
        <f>IF(A96="","",(K96)*(IF((YEAR(D96)+16)&lt;YEAR(E96),0,IF((YEAR(D96)+16)&gt;YEAR(E96),1,(12-MONTH(E96)+1)/12)))*(1/(1+DiscountRate)^16))</f>
        <v/>
      </c>
      <c r="BZ96" s="36">
        <f>IF(A96="","",(K96)*(IF((YEAR(D96)+17)&lt;YEAR(E96),0,IF((YEAR(D96)+17)&gt;YEAR(E96),1,(12-MONTH(E96)+1)/12)))*(1/(1+DiscountRate)^17))</f>
        <v/>
      </c>
      <c r="CA96" s="36">
        <f>IF(A96="","",(K96)*(IF((YEAR(D96)+18)&lt;YEAR(E96),0,IF((YEAR(D96)+18)&gt;YEAR(E96),1,(12-MONTH(E96)+1)/12)))*(1/(1+DiscountRate)^18))</f>
        <v/>
      </c>
      <c r="CB96" s="36">
        <f>IF(A96="","",(K96)*(IF((YEAR(D96)+19)&lt;YEAR(E96),0,IF((YEAR(D96)+19)&gt;YEAR(E96),1,(12-MONTH(E96)+1)/12)))*(1/(1+DiscountRate)^19))</f>
        <v/>
      </c>
      <c r="CC96" s="36">
        <f>IF(A96="","",(K96)*(IF((YEAR(D96)+20)&lt;YEAR(E96),0,IF((YEAR(D96)+20)&gt;YEAR(E96),1,(12-MONTH(E96)+1)/12)))*(1/(1+DiscountRate)^20))</f>
        <v/>
      </c>
      <c r="CD96" s="29">
        <f>IF(A96="","",S96/(1+DiscountRate)^0+T96/(1+DiscountRate)^1+U96/(1+DiscountRate)^2+V96/(1+DiscountRate)^3+W96/(1+DiscountRate)^4+X96/(1+DiscountRate)^5+Y96/(1+DiscountRate)^6+Z96/(1+DiscountRate)^7+AA96/(1+DiscountRate)^8+AB96/(1+DiscountRate)^9+AC96/(1+DiscountRate)^10+AD96/(1+DiscountRate)^11+AE96/(1+DiscountRate)^12+AF96/(1+DiscountRate)^13+AG96/(1+DiscountRate)^14+AH96/(1+DiscountRate)^15+AI96/(1+DiscountRate)^16+AJ96/(1+DiscountRate)^17+AK96/(1+DiscountRate)^18+AL96/(1+DiscountRate)^19+AM96/(1+DiscountRate)^20)</f>
        <v/>
      </c>
      <c r="CE96" s="37">
        <f>IF(A96="","",IFERROR(IRR(OFFSET(S96,0,0,1,MIN(HorizonYears,20)+1)),"n/a"))</f>
        <v/>
      </c>
      <c r="CF96" s="28">
        <f>IF(A96="","",IFERROR(MATCH(TRUE,OFFSET(AN96,0,0,1,MIN(HorizonYears,20)+1)&gt;=0,0)-1,"n/a"))</f>
        <v/>
      </c>
      <c r="CG96" s="36">
        <f>IF(A96="","",SUM(OFFSET(BI96,0,0,1,MIN(HorizonYears,20)+1)))</f>
        <v/>
      </c>
      <c r="CH96" s="36">
        <f>IF(A96="","",IFERROR(-CD96/CG96,"n/a"))</f>
        <v/>
      </c>
    </row>
    <row r="97">
      <c r="A97" s="6">
        <f>Actions!A95</f>
        <v/>
      </c>
      <c r="B97" s="6">
        <f>Actions!B95</f>
        <v/>
      </c>
      <c r="C97" s="6">
        <f>Actions!D95</f>
        <v/>
      </c>
      <c r="D97" s="35">
        <f>Actions!E95</f>
        <v/>
      </c>
      <c r="E97" s="35">
        <f>Actions!F95</f>
        <v/>
      </c>
      <c r="F97" s="6">
        <f>Actions!G95</f>
        <v/>
      </c>
      <c r="G97" s="6">
        <f>Actions!H95</f>
        <v/>
      </c>
      <c r="H97" s="29">
        <f>Actions!I95</f>
        <v/>
      </c>
      <c r="I97" s="6">
        <f>Actions!J95</f>
        <v/>
      </c>
      <c r="J97" s="16">
        <f>Actions!K95</f>
        <v/>
      </c>
      <c r="K97" s="16">
        <f>IF(A97="","",IF(I97="%",H97*J97,J97))</f>
        <v/>
      </c>
      <c r="L97" s="16">
        <f>Actions!L95</f>
        <v/>
      </c>
      <c r="M97" s="6">
        <f>Actions!M95</f>
        <v/>
      </c>
      <c r="N97" s="28">
        <f>Actions!N95</f>
        <v/>
      </c>
      <c r="O97" s="29">
        <f>Actions!T95</f>
        <v/>
      </c>
      <c r="P97" s="29">
        <f>Actions!Y95</f>
        <v/>
      </c>
      <c r="Q97" s="29">
        <f>Actions!Z95</f>
        <v/>
      </c>
      <c r="R97" s="29">
        <f>Actions!AA95</f>
        <v/>
      </c>
      <c r="S97" s="29">
        <f>IF(A97="","",((K97)*(IF(M97="",L97,IFERROR(IF(INDEX(Variablen!$I:$AT, MATCH(M97, Variablen!$A:$A, 0), MATCH((YEAR(D97)+0), Variablen!$I$3:$AT$3, 0))="",L97,INDEX(Variablen!$I:$AT, MATCH(M97, Variablen!$A:$A, 0), MATCH((YEAR(D97)+0), Variablen!$I$3:$AT$3, 0))),L97)))*(IF((YEAR(D97)+0)&lt;YEAR(E97),0,IF((YEAR(D97)+0)&gt;YEAR(E97),1,(12-MONTH(E97)+1)/12))) + (Q97)*(IF((YEAR(D97)+0)&lt;YEAR(E97),0,IF((YEAR(D97)+0)&gt;YEAR(E97),1,(12-MONTH(E97)+1)/12))))-((P97)*(IF((YEAR(D97)+0)&lt;YEAR(E97),0,IF((YEAR(D97)+0)&gt;YEAR(E97),1,(12-MONTH(E97)+1)/12))) + (R97)*(IF((YEAR(D97)+0)&lt;YEAR(E97),0,IF((YEAR(D97)+0)&gt;YEAR(E97),1,(12-MONTH(E97)+1)/12))))-(IF((((K97)*(IF(M97="",L97,IFERROR(IF(INDEX(Variablen!$I:$AT, MATCH(M97, Variablen!$A:$A, 0), MATCH((YEAR(D97)+0), Variablen!$I$3:$AT$3, 0))="",L97,INDEX(Variablen!$I:$AT, MATCH(M97, Variablen!$A:$A, 0), MATCH((YEAR(D97)+0), Variablen!$I$3:$AT$3, 0))),L97)))*(IF((YEAR(D97)+0)&lt;YEAR(E97),0,IF((YEAR(D97)+0)&gt;YEAR(E97),1,(12-MONTH(E97)+1)/12))) + (Q97)*(IF((YEAR(D97)+0)&lt;YEAR(E97),0,IF((YEAR(D97)+0)&gt;YEAR(E97),1,(12-MONTH(E97)+1)/12))))-((P97)*(IF((YEAR(D97)+0)&lt;YEAR(E97),0,IF((YEAR(D97)+0)&gt;YEAR(E97),1,(12-MONTH(E97)+1)/12))) + (R97)*(IF((YEAR(D97)+0)&lt;YEAR(E97),0,IF((YEAR(D97)+0)&gt;YEAR(E97),1,(12-MONTH(E97)+1)/12))))-(IF(OR(N97="",N97&lt;=0),0,(O97/N97)*(IF(OR(N97="",N97&lt;=0),0,IF((YEAR(D97)+0)&lt;YEAR(E97),0,IF((YEAR(D97)+0)&gt;=YEAR(E97)+N97,0,IF((YEAR(D97)+0)=YEAR(E97),(12-MONTH(E97)+1)/12,1))))))))&gt;0,(((K97)*(IF(M97="",L97,IFERROR(IF(INDEX(Variablen!$I:$AT, MATCH(M97, Variablen!$A:$A, 0), MATCH((YEAR(D97)+0), Variablen!$I$3:$AT$3, 0))="",L97,INDEX(Variablen!$I:$AT, MATCH(M97, Variablen!$A:$A, 0), MATCH((YEAR(D97)+0), Variablen!$I$3:$AT$3, 0))),L97)))*(IF((YEAR(D97)+0)&lt;YEAR(E97),0,IF((YEAR(D97)+0)&gt;YEAR(E97),1,(12-MONTH(E97)+1)/12))) + (Q97)*(IF((YEAR(D97)+0)&lt;YEAR(E97),0,IF((YEAR(D97)+0)&gt;YEAR(E97),1,(12-MONTH(E97)+1)/12))))-((P97)*(IF((YEAR(D97)+0)&lt;YEAR(E97),0,IF((YEAR(D97)+0)&gt;YEAR(E97),1,(12-MONTH(E97)+1)/12))) + (R97)*(IF((YEAR(D97)+0)&lt;YEAR(E97),0,IF((YEAR(D97)+0)&gt;YEAR(E97),1,(12-MONTH(E97)+1)/12))))-(IF(OR(N97="",N97&lt;=0),0,(O97/N97)*(IF(OR(N97="",N97&lt;=0),0,IF((YEAR(D97)+0)&lt;YEAR(E97),0,IF((YEAR(D97)+0)&gt;=YEAR(E97)+N97,0,IF((YEAR(D97)+0)=YEAR(E97),(12-MONTH(E97)+1)/12,1))))))))*TaxRate,0))-IF(0=0,O97,0))</f>
        <v/>
      </c>
      <c r="T97" s="29">
        <f>IF(A97="","",((K97)*(IF(M97="",L97,IFERROR(IF(INDEX(Variablen!$I:$AT, MATCH(M97, Variablen!$A:$A, 0), MATCH((YEAR(D97)+1), Variablen!$I$3:$AT$3, 0))="",L97,INDEX(Variablen!$I:$AT, MATCH(M97, Variablen!$A:$A, 0), MATCH((YEAR(D97)+1), Variablen!$I$3:$AT$3, 0))),L97)))*(IF((YEAR(D97)+1)&lt;YEAR(E97),0,IF((YEAR(D97)+1)&gt;YEAR(E97),1,(12-MONTH(E97)+1)/12))) + (Q97)*(IF((YEAR(D97)+1)&lt;YEAR(E97),0,IF((YEAR(D97)+1)&gt;YEAR(E97),1,(12-MONTH(E97)+1)/12))))-((P97)*(IF((YEAR(D97)+1)&lt;YEAR(E97),0,IF((YEAR(D97)+1)&gt;YEAR(E97),1,(12-MONTH(E97)+1)/12))) + (R97)*(IF((YEAR(D97)+1)&lt;YEAR(E97),0,IF((YEAR(D97)+1)&gt;YEAR(E97),1,(12-MONTH(E97)+1)/12))))-(IF((((K97)*(IF(M97="",L97,IFERROR(IF(INDEX(Variablen!$I:$AT, MATCH(M97, Variablen!$A:$A, 0), MATCH((YEAR(D97)+1), Variablen!$I$3:$AT$3, 0))="",L97,INDEX(Variablen!$I:$AT, MATCH(M97, Variablen!$A:$A, 0), MATCH((YEAR(D97)+1), Variablen!$I$3:$AT$3, 0))),L97)))*(IF((YEAR(D97)+1)&lt;YEAR(E97),0,IF((YEAR(D97)+1)&gt;YEAR(E97),1,(12-MONTH(E97)+1)/12))) + (Q97)*(IF((YEAR(D97)+1)&lt;YEAR(E97),0,IF((YEAR(D97)+1)&gt;YEAR(E97),1,(12-MONTH(E97)+1)/12))))-((P97)*(IF((YEAR(D97)+1)&lt;YEAR(E97),0,IF((YEAR(D97)+1)&gt;YEAR(E97),1,(12-MONTH(E97)+1)/12))) + (R97)*(IF((YEAR(D97)+1)&lt;YEAR(E97),0,IF((YEAR(D97)+1)&gt;YEAR(E97),1,(12-MONTH(E97)+1)/12))))-(IF(OR(N97="",N97&lt;=0),0,(O97/N97)*(IF(OR(N97="",N97&lt;=0),0,IF((YEAR(D97)+1)&lt;YEAR(E97),0,IF((YEAR(D97)+1)&gt;=YEAR(E97)+N97,0,IF((YEAR(D97)+1)=YEAR(E97),(12-MONTH(E97)+1)/12,1))))))))&gt;0,(((K97)*(IF(M97="",L97,IFERROR(IF(INDEX(Variablen!$I:$AT, MATCH(M97, Variablen!$A:$A, 0), MATCH((YEAR(D97)+1), Variablen!$I$3:$AT$3, 0))="",L97,INDEX(Variablen!$I:$AT, MATCH(M97, Variablen!$A:$A, 0), MATCH((YEAR(D97)+1), Variablen!$I$3:$AT$3, 0))),L97)))*(IF((YEAR(D97)+1)&lt;YEAR(E97),0,IF((YEAR(D97)+1)&gt;YEAR(E97),1,(12-MONTH(E97)+1)/12))) + (Q97)*(IF((YEAR(D97)+1)&lt;YEAR(E97),0,IF((YEAR(D97)+1)&gt;YEAR(E97),1,(12-MONTH(E97)+1)/12))))-((P97)*(IF((YEAR(D97)+1)&lt;YEAR(E97),0,IF((YEAR(D97)+1)&gt;YEAR(E97),1,(12-MONTH(E97)+1)/12))) + (R97)*(IF((YEAR(D97)+1)&lt;YEAR(E97),0,IF((YEAR(D97)+1)&gt;YEAR(E97),1,(12-MONTH(E97)+1)/12))))-(IF(OR(N97="",N97&lt;=0),0,(O97/N97)*(IF(OR(N97="",N97&lt;=0),0,IF((YEAR(D97)+1)&lt;YEAR(E97),0,IF((YEAR(D97)+1)&gt;=YEAR(E97)+N97,0,IF((YEAR(D97)+1)=YEAR(E97),(12-MONTH(E97)+1)/12,1))))))))*TaxRate,0))-IF(1=0,O97,0))</f>
        <v/>
      </c>
      <c r="U97" s="29">
        <f>IF(A97="","",((K97)*(IF(M97="",L97,IFERROR(IF(INDEX(Variablen!$I:$AT, MATCH(M97, Variablen!$A:$A, 0), MATCH((YEAR(D97)+2), Variablen!$I$3:$AT$3, 0))="",L97,INDEX(Variablen!$I:$AT, MATCH(M97, Variablen!$A:$A, 0), MATCH((YEAR(D97)+2), Variablen!$I$3:$AT$3, 0))),L97)))*(IF((YEAR(D97)+2)&lt;YEAR(E97),0,IF((YEAR(D97)+2)&gt;YEAR(E97),1,(12-MONTH(E97)+1)/12))) + (Q97)*(IF((YEAR(D97)+2)&lt;YEAR(E97),0,IF((YEAR(D97)+2)&gt;YEAR(E97),1,(12-MONTH(E97)+1)/12))))-((P97)*(IF((YEAR(D97)+2)&lt;YEAR(E97),0,IF((YEAR(D97)+2)&gt;YEAR(E97),1,(12-MONTH(E97)+1)/12))) + (R97)*(IF((YEAR(D97)+2)&lt;YEAR(E97),0,IF((YEAR(D97)+2)&gt;YEAR(E97),1,(12-MONTH(E97)+1)/12))))-(IF((((K97)*(IF(M97="",L97,IFERROR(IF(INDEX(Variablen!$I:$AT, MATCH(M97, Variablen!$A:$A, 0), MATCH((YEAR(D97)+2), Variablen!$I$3:$AT$3, 0))="",L97,INDEX(Variablen!$I:$AT, MATCH(M97, Variablen!$A:$A, 0), MATCH((YEAR(D97)+2), Variablen!$I$3:$AT$3, 0))),L97)))*(IF((YEAR(D97)+2)&lt;YEAR(E97),0,IF((YEAR(D97)+2)&gt;YEAR(E97),1,(12-MONTH(E97)+1)/12))) + (Q97)*(IF((YEAR(D97)+2)&lt;YEAR(E97),0,IF((YEAR(D97)+2)&gt;YEAR(E97),1,(12-MONTH(E97)+1)/12))))-((P97)*(IF((YEAR(D97)+2)&lt;YEAR(E97),0,IF((YEAR(D97)+2)&gt;YEAR(E97),1,(12-MONTH(E97)+1)/12))) + (R97)*(IF((YEAR(D97)+2)&lt;YEAR(E97),0,IF((YEAR(D97)+2)&gt;YEAR(E97),1,(12-MONTH(E97)+1)/12))))-(IF(OR(N97="",N97&lt;=0),0,(O97/N97)*(IF(OR(N97="",N97&lt;=0),0,IF((YEAR(D97)+2)&lt;YEAR(E97),0,IF((YEAR(D97)+2)&gt;=YEAR(E97)+N97,0,IF((YEAR(D97)+2)=YEAR(E97),(12-MONTH(E97)+1)/12,1))))))))&gt;0,(((K97)*(IF(M97="",L97,IFERROR(IF(INDEX(Variablen!$I:$AT, MATCH(M97, Variablen!$A:$A, 0), MATCH((YEAR(D97)+2), Variablen!$I$3:$AT$3, 0))="",L97,INDEX(Variablen!$I:$AT, MATCH(M97, Variablen!$A:$A, 0), MATCH((YEAR(D97)+2), Variablen!$I$3:$AT$3, 0))),L97)))*(IF((YEAR(D97)+2)&lt;YEAR(E97),0,IF((YEAR(D97)+2)&gt;YEAR(E97),1,(12-MONTH(E97)+1)/12))) + (Q97)*(IF((YEAR(D97)+2)&lt;YEAR(E97),0,IF((YEAR(D97)+2)&gt;YEAR(E97),1,(12-MONTH(E97)+1)/12))))-((P97)*(IF((YEAR(D97)+2)&lt;YEAR(E97),0,IF((YEAR(D97)+2)&gt;YEAR(E97),1,(12-MONTH(E97)+1)/12))) + (R97)*(IF((YEAR(D97)+2)&lt;YEAR(E97),0,IF((YEAR(D97)+2)&gt;YEAR(E97),1,(12-MONTH(E97)+1)/12))))-(IF(OR(N97="",N97&lt;=0),0,(O97/N97)*(IF(OR(N97="",N97&lt;=0),0,IF((YEAR(D97)+2)&lt;YEAR(E97),0,IF((YEAR(D97)+2)&gt;=YEAR(E97)+N97,0,IF((YEAR(D97)+2)=YEAR(E97),(12-MONTH(E97)+1)/12,1))))))))*TaxRate,0))-IF(2=0,O97,0))</f>
        <v/>
      </c>
      <c r="V97" s="29">
        <f>IF(A97="","",((K97)*(IF(M97="",L97,IFERROR(IF(INDEX(Variablen!$I:$AT, MATCH(M97, Variablen!$A:$A, 0), MATCH((YEAR(D97)+3), Variablen!$I$3:$AT$3, 0))="",L97,INDEX(Variablen!$I:$AT, MATCH(M97, Variablen!$A:$A, 0), MATCH((YEAR(D97)+3), Variablen!$I$3:$AT$3, 0))),L97)))*(IF((YEAR(D97)+3)&lt;YEAR(E97),0,IF((YEAR(D97)+3)&gt;YEAR(E97),1,(12-MONTH(E97)+1)/12))) + (Q97)*(IF((YEAR(D97)+3)&lt;YEAR(E97),0,IF((YEAR(D97)+3)&gt;YEAR(E97),1,(12-MONTH(E97)+1)/12))))-((P97)*(IF((YEAR(D97)+3)&lt;YEAR(E97),0,IF((YEAR(D97)+3)&gt;YEAR(E97),1,(12-MONTH(E97)+1)/12))) + (R97)*(IF((YEAR(D97)+3)&lt;YEAR(E97),0,IF((YEAR(D97)+3)&gt;YEAR(E97),1,(12-MONTH(E97)+1)/12))))-(IF((((K97)*(IF(M97="",L97,IFERROR(IF(INDEX(Variablen!$I:$AT, MATCH(M97, Variablen!$A:$A, 0), MATCH((YEAR(D97)+3), Variablen!$I$3:$AT$3, 0))="",L97,INDEX(Variablen!$I:$AT, MATCH(M97, Variablen!$A:$A, 0), MATCH((YEAR(D97)+3), Variablen!$I$3:$AT$3, 0))),L97)))*(IF((YEAR(D97)+3)&lt;YEAR(E97),0,IF((YEAR(D97)+3)&gt;YEAR(E97),1,(12-MONTH(E97)+1)/12))) + (Q97)*(IF((YEAR(D97)+3)&lt;YEAR(E97),0,IF((YEAR(D97)+3)&gt;YEAR(E97),1,(12-MONTH(E97)+1)/12))))-((P97)*(IF((YEAR(D97)+3)&lt;YEAR(E97),0,IF((YEAR(D97)+3)&gt;YEAR(E97),1,(12-MONTH(E97)+1)/12))) + (R97)*(IF((YEAR(D97)+3)&lt;YEAR(E97),0,IF((YEAR(D97)+3)&gt;YEAR(E97),1,(12-MONTH(E97)+1)/12))))-(IF(OR(N97="",N97&lt;=0),0,(O97/N97)*(IF(OR(N97="",N97&lt;=0),0,IF((YEAR(D97)+3)&lt;YEAR(E97),0,IF((YEAR(D97)+3)&gt;=YEAR(E97)+N97,0,IF((YEAR(D97)+3)=YEAR(E97),(12-MONTH(E97)+1)/12,1))))))))&gt;0,(((K97)*(IF(M97="",L97,IFERROR(IF(INDEX(Variablen!$I:$AT, MATCH(M97, Variablen!$A:$A, 0), MATCH((YEAR(D97)+3), Variablen!$I$3:$AT$3, 0))="",L97,INDEX(Variablen!$I:$AT, MATCH(M97, Variablen!$A:$A, 0), MATCH((YEAR(D97)+3), Variablen!$I$3:$AT$3, 0))),L97)))*(IF((YEAR(D97)+3)&lt;YEAR(E97),0,IF((YEAR(D97)+3)&gt;YEAR(E97),1,(12-MONTH(E97)+1)/12))) + (Q97)*(IF((YEAR(D97)+3)&lt;YEAR(E97),0,IF((YEAR(D97)+3)&gt;YEAR(E97),1,(12-MONTH(E97)+1)/12))))-((P97)*(IF((YEAR(D97)+3)&lt;YEAR(E97),0,IF((YEAR(D97)+3)&gt;YEAR(E97),1,(12-MONTH(E97)+1)/12))) + (R97)*(IF((YEAR(D97)+3)&lt;YEAR(E97),0,IF((YEAR(D97)+3)&gt;YEAR(E97),1,(12-MONTH(E97)+1)/12))))-(IF(OR(N97="",N97&lt;=0),0,(O97/N97)*(IF(OR(N97="",N97&lt;=0),0,IF((YEAR(D97)+3)&lt;YEAR(E97),0,IF((YEAR(D97)+3)&gt;=YEAR(E97)+N97,0,IF((YEAR(D97)+3)=YEAR(E97),(12-MONTH(E97)+1)/12,1))))))))*TaxRate,0))-IF(3=0,O97,0))</f>
        <v/>
      </c>
      <c r="W97" s="29">
        <f>IF(A97="","",((K97)*(IF(M97="",L97,IFERROR(IF(INDEX(Variablen!$I:$AT, MATCH(M97, Variablen!$A:$A, 0), MATCH((YEAR(D97)+4), Variablen!$I$3:$AT$3, 0))="",L97,INDEX(Variablen!$I:$AT, MATCH(M97, Variablen!$A:$A, 0), MATCH((YEAR(D97)+4), Variablen!$I$3:$AT$3, 0))),L97)))*(IF((YEAR(D97)+4)&lt;YEAR(E97),0,IF((YEAR(D97)+4)&gt;YEAR(E97),1,(12-MONTH(E97)+1)/12))) + (Q97)*(IF((YEAR(D97)+4)&lt;YEAR(E97),0,IF((YEAR(D97)+4)&gt;YEAR(E97),1,(12-MONTH(E97)+1)/12))))-((P97)*(IF((YEAR(D97)+4)&lt;YEAR(E97),0,IF((YEAR(D97)+4)&gt;YEAR(E97),1,(12-MONTH(E97)+1)/12))) + (R97)*(IF((YEAR(D97)+4)&lt;YEAR(E97),0,IF((YEAR(D97)+4)&gt;YEAR(E97),1,(12-MONTH(E97)+1)/12))))-(IF((((K97)*(IF(M97="",L97,IFERROR(IF(INDEX(Variablen!$I:$AT, MATCH(M97, Variablen!$A:$A, 0), MATCH((YEAR(D97)+4), Variablen!$I$3:$AT$3, 0))="",L97,INDEX(Variablen!$I:$AT, MATCH(M97, Variablen!$A:$A, 0), MATCH((YEAR(D97)+4), Variablen!$I$3:$AT$3, 0))),L97)))*(IF((YEAR(D97)+4)&lt;YEAR(E97),0,IF((YEAR(D97)+4)&gt;YEAR(E97),1,(12-MONTH(E97)+1)/12))) + (Q97)*(IF((YEAR(D97)+4)&lt;YEAR(E97),0,IF((YEAR(D97)+4)&gt;YEAR(E97),1,(12-MONTH(E97)+1)/12))))-((P97)*(IF((YEAR(D97)+4)&lt;YEAR(E97),0,IF((YEAR(D97)+4)&gt;YEAR(E97),1,(12-MONTH(E97)+1)/12))) + (R97)*(IF((YEAR(D97)+4)&lt;YEAR(E97),0,IF((YEAR(D97)+4)&gt;YEAR(E97),1,(12-MONTH(E97)+1)/12))))-(IF(OR(N97="",N97&lt;=0),0,(O97/N97)*(IF(OR(N97="",N97&lt;=0),0,IF((YEAR(D97)+4)&lt;YEAR(E97),0,IF((YEAR(D97)+4)&gt;=YEAR(E97)+N97,0,IF((YEAR(D97)+4)=YEAR(E97),(12-MONTH(E97)+1)/12,1))))))))&gt;0,(((K97)*(IF(M97="",L97,IFERROR(IF(INDEX(Variablen!$I:$AT, MATCH(M97, Variablen!$A:$A, 0), MATCH((YEAR(D97)+4), Variablen!$I$3:$AT$3, 0))="",L97,INDEX(Variablen!$I:$AT, MATCH(M97, Variablen!$A:$A, 0), MATCH((YEAR(D97)+4), Variablen!$I$3:$AT$3, 0))),L97)))*(IF((YEAR(D97)+4)&lt;YEAR(E97),0,IF((YEAR(D97)+4)&gt;YEAR(E97),1,(12-MONTH(E97)+1)/12))) + (Q97)*(IF((YEAR(D97)+4)&lt;YEAR(E97),0,IF((YEAR(D97)+4)&gt;YEAR(E97),1,(12-MONTH(E97)+1)/12))))-((P97)*(IF((YEAR(D97)+4)&lt;YEAR(E97),0,IF((YEAR(D97)+4)&gt;YEAR(E97),1,(12-MONTH(E97)+1)/12))) + (R97)*(IF((YEAR(D97)+4)&lt;YEAR(E97),0,IF((YEAR(D97)+4)&gt;YEAR(E97),1,(12-MONTH(E97)+1)/12))))-(IF(OR(N97="",N97&lt;=0),0,(O97/N97)*(IF(OR(N97="",N97&lt;=0),0,IF((YEAR(D97)+4)&lt;YEAR(E97),0,IF((YEAR(D97)+4)&gt;=YEAR(E97)+N97,0,IF((YEAR(D97)+4)=YEAR(E97),(12-MONTH(E97)+1)/12,1))))))))*TaxRate,0))-IF(4=0,O97,0))</f>
        <v/>
      </c>
      <c r="X97" s="29">
        <f>IF(A97="","",((K97)*(IF(M97="",L97,IFERROR(IF(INDEX(Variablen!$I:$AT, MATCH(M97, Variablen!$A:$A, 0), MATCH((YEAR(D97)+5), Variablen!$I$3:$AT$3, 0))="",L97,INDEX(Variablen!$I:$AT, MATCH(M97, Variablen!$A:$A, 0), MATCH((YEAR(D97)+5), Variablen!$I$3:$AT$3, 0))),L97)))*(IF((YEAR(D97)+5)&lt;YEAR(E97),0,IF((YEAR(D97)+5)&gt;YEAR(E97),1,(12-MONTH(E97)+1)/12))) + (Q97)*(IF((YEAR(D97)+5)&lt;YEAR(E97),0,IF((YEAR(D97)+5)&gt;YEAR(E97),1,(12-MONTH(E97)+1)/12))))-((P97)*(IF((YEAR(D97)+5)&lt;YEAR(E97),0,IF((YEAR(D97)+5)&gt;YEAR(E97),1,(12-MONTH(E97)+1)/12))) + (R97)*(IF((YEAR(D97)+5)&lt;YEAR(E97),0,IF((YEAR(D97)+5)&gt;YEAR(E97),1,(12-MONTH(E97)+1)/12))))-(IF((((K97)*(IF(M97="",L97,IFERROR(IF(INDEX(Variablen!$I:$AT, MATCH(M97, Variablen!$A:$A, 0), MATCH((YEAR(D97)+5), Variablen!$I$3:$AT$3, 0))="",L97,INDEX(Variablen!$I:$AT, MATCH(M97, Variablen!$A:$A, 0), MATCH((YEAR(D97)+5), Variablen!$I$3:$AT$3, 0))),L97)))*(IF((YEAR(D97)+5)&lt;YEAR(E97),0,IF((YEAR(D97)+5)&gt;YEAR(E97),1,(12-MONTH(E97)+1)/12))) + (Q97)*(IF((YEAR(D97)+5)&lt;YEAR(E97),0,IF((YEAR(D97)+5)&gt;YEAR(E97),1,(12-MONTH(E97)+1)/12))))-((P97)*(IF((YEAR(D97)+5)&lt;YEAR(E97),0,IF((YEAR(D97)+5)&gt;YEAR(E97),1,(12-MONTH(E97)+1)/12))) + (R97)*(IF((YEAR(D97)+5)&lt;YEAR(E97),0,IF((YEAR(D97)+5)&gt;YEAR(E97),1,(12-MONTH(E97)+1)/12))))-(IF(OR(N97="",N97&lt;=0),0,(O97/N97)*(IF(OR(N97="",N97&lt;=0),0,IF((YEAR(D97)+5)&lt;YEAR(E97),0,IF((YEAR(D97)+5)&gt;=YEAR(E97)+N97,0,IF((YEAR(D97)+5)=YEAR(E97),(12-MONTH(E97)+1)/12,1))))))))&gt;0,(((K97)*(IF(M97="",L97,IFERROR(IF(INDEX(Variablen!$I:$AT, MATCH(M97, Variablen!$A:$A, 0), MATCH((YEAR(D97)+5), Variablen!$I$3:$AT$3, 0))="",L97,INDEX(Variablen!$I:$AT, MATCH(M97, Variablen!$A:$A, 0), MATCH((YEAR(D97)+5), Variablen!$I$3:$AT$3, 0))),L97)))*(IF((YEAR(D97)+5)&lt;YEAR(E97),0,IF((YEAR(D97)+5)&gt;YEAR(E97),1,(12-MONTH(E97)+1)/12))) + (Q97)*(IF((YEAR(D97)+5)&lt;YEAR(E97),0,IF((YEAR(D97)+5)&gt;YEAR(E97),1,(12-MONTH(E97)+1)/12))))-((P97)*(IF((YEAR(D97)+5)&lt;YEAR(E97),0,IF((YEAR(D97)+5)&gt;YEAR(E97),1,(12-MONTH(E97)+1)/12))) + (R97)*(IF((YEAR(D97)+5)&lt;YEAR(E97),0,IF((YEAR(D97)+5)&gt;YEAR(E97),1,(12-MONTH(E97)+1)/12))))-(IF(OR(N97="",N97&lt;=0),0,(O97/N97)*(IF(OR(N97="",N97&lt;=0),0,IF((YEAR(D97)+5)&lt;YEAR(E97),0,IF((YEAR(D97)+5)&gt;=YEAR(E97)+N97,0,IF((YEAR(D97)+5)=YEAR(E97),(12-MONTH(E97)+1)/12,1))))))))*TaxRate,0))-IF(5=0,O97,0))</f>
        <v/>
      </c>
      <c r="Y97" s="29">
        <f>IF(A97="","",((K97)*(IF(M97="",L97,IFERROR(IF(INDEX(Variablen!$I:$AT, MATCH(M97, Variablen!$A:$A, 0), MATCH((YEAR(D97)+6), Variablen!$I$3:$AT$3, 0))="",L97,INDEX(Variablen!$I:$AT, MATCH(M97, Variablen!$A:$A, 0), MATCH((YEAR(D97)+6), Variablen!$I$3:$AT$3, 0))),L97)))*(IF((YEAR(D97)+6)&lt;YEAR(E97),0,IF((YEAR(D97)+6)&gt;YEAR(E97),1,(12-MONTH(E97)+1)/12))) + (Q97)*(IF((YEAR(D97)+6)&lt;YEAR(E97),0,IF((YEAR(D97)+6)&gt;YEAR(E97),1,(12-MONTH(E97)+1)/12))))-((P97)*(IF((YEAR(D97)+6)&lt;YEAR(E97),0,IF((YEAR(D97)+6)&gt;YEAR(E97),1,(12-MONTH(E97)+1)/12))) + (R97)*(IF((YEAR(D97)+6)&lt;YEAR(E97),0,IF((YEAR(D97)+6)&gt;YEAR(E97),1,(12-MONTH(E97)+1)/12))))-(IF((((K97)*(IF(M97="",L97,IFERROR(IF(INDEX(Variablen!$I:$AT, MATCH(M97, Variablen!$A:$A, 0), MATCH((YEAR(D97)+6), Variablen!$I$3:$AT$3, 0))="",L97,INDEX(Variablen!$I:$AT, MATCH(M97, Variablen!$A:$A, 0), MATCH((YEAR(D97)+6), Variablen!$I$3:$AT$3, 0))),L97)))*(IF((YEAR(D97)+6)&lt;YEAR(E97),0,IF((YEAR(D97)+6)&gt;YEAR(E97),1,(12-MONTH(E97)+1)/12))) + (Q97)*(IF((YEAR(D97)+6)&lt;YEAR(E97),0,IF((YEAR(D97)+6)&gt;YEAR(E97),1,(12-MONTH(E97)+1)/12))))-((P97)*(IF((YEAR(D97)+6)&lt;YEAR(E97),0,IF((YEAR(D97)+6)&gt;YEAR(E97),1,(12-MONTH(E97)+1)/12))) + (R97)*(IF((YEAR(D97)+6)&lt;YEAR(E97),0,IF((YEAR(D97)+6)&gt;YEAR(E97),1,(12-MONTH(E97)+1)/12))))-(IF(OR(N97="",N97&lt;=0),0,(O97/N97)*(IF(OR(N97="",N97&lt;=0),0,IF((YEAR(D97)+6)&lt;YEAR(E97),0,IF((YEAR(D97)+6)&gt;=YEAR(E97)+N97,0,IF((YEAR(D97)+6)=YEAR(E97),(12-MONTH(E97)+1)/12,1))))))))&gt;0,(((K97)*(IF(M97="",L97,IFERROR(IF(INDEX(Variablen!$I:$AT, MATCH(M97, Variablen!$A:$A, 0), MATCH((YEAR(D97)+6), Variablen!$I$3:$AT$3, 0))="",L97,INDEX(Variablen!$I:$AT, MATCH(M97, Variablen!$A:$A, 0), MATCH((YEAR(D97)+6), Variablen!$I$3:$AT$3, 0))),L97)))*(IF((YEAR(D97)+6)&lt;YEAR(E97),0,IF((YEAR(D97)+6)&gt;YEAR(E97),1,(12-MONTH(E97)+1)/12))) + (Q97)*(IF((YEAR(D97)+6)&lt;YEAR(E97),0,IF((YEAR(D97)+6)&gt;YEAR(E97),1,(12-MONTH(E97)+1)/12))))-((P97)*(IF((YEAR(D97)+6)&lt;YEAR(E97),0,IF((YEAR(D97)+6)&gt;YEAR(E97),1,(12-MONTH(E97)+1)/12))) + (R97)*(IF((YEAR(D97)+6)&lt;YEAR(E97),0,IF((YEAR(D97)+6)&gt;YEAR(E97),1,(12-MONTH(E97)+1)/12))))-(IF(OR(N97="",N97&lt;=0),0,(O97/N97)*(IF(OR(N97="",N97&lt;=0),0,IF((YEAR(D97)+6)&lt;YEAR(E97),0,IF((YEAR(D97)+6)&gt;=YEAR(E97)+N97,0,IF((YEAR(D97)+6)=YEAR(E97),(12-MONTH(E97)+1)/12,1))))))))*TaxRate,0))-IF(6=0,O97,0))</f>
        <v/>
      </c>
      <c r="Z97" s="29">
        <f>IF(A97="","",((K97)*(IF(M97="",L97,IFERROR(IF(INDEX(Variablen!$I:$AT, MATCH(M97, Variablen!$A:$A, 0), MATCH((YEAR(D97)+7), Variablen!$I$3:$AT$3, 0))="",L97,INDEX(Variablen!$I:$AT, MATCH(M97, Variablen!$A:$A, 0), MATCH((YEAR(D97)+7), Variablen!$I$3:$AT$3, 0))),L97)))*(IF((YEAR(D97)+7)&lt;YEAR(E97),0,IF((YEAR(D97)+7)&gt;YEAR(E97),1,(12-MONTH(E97)+1)/12))) + (Q97)*(IF((YEAR(D97)+7)&lt;YEAR(E97),0,IF((YEAR(D97)+7)&gt;YEAR(E97),1,(12-MONTH(E97)+1)/12))))-((P97)*(IF((YEAR(D97)+7)&lt;YEAR(E97),0,IF((YEAR(D97)+7)&gt;YEAR(E97),1,(12-MONTH(E97)+1)/12))) + (R97)*(IF((YEAR(D97)+7)&lt;YEAR(E97),0,IF((YEAR(D97)+7)&gt;YEAR(E97),1,(12-MONTH(E97)+1)/12))))-(IF((((K97)*(IF(M97="",L97,IFERROR(IF(INDEX(Variablen!$I:$AT, MATCH(M97, Variablen!$A:$A, 0), MATCH((YEAR(D97)+7), Variablen!$I$3:$AT$3, 0))="",L97,INDEX(Variablen!$I:$AT, MATCH(M97, Variablen!$A:$A, 0), MATCH((YEAR(D97)+7), Variablen!$I$3:$AT$3, 0))),L97)))*(IF((YEAR(D97)+7)&lt;YEAR(E97),0,IF((YEAR(D97)+7)&gt;YEAR(E97),1,(12-MONTH(E97)+1)/12))) + (Q97)*(IF((YEAR(D97)+7)&lt;YEAR(E97),0,IF((YEAR(D97)+7)&gt;YEAR(E97),1,(12-MONTH(E97)+1)/12))))-((P97)*(IF((YEAR(D97)+7)&lt;YEAR(E97),0,IF((YEAR(D97)+7)&gt;YEAR(E97),1,(12-MONTH(E97)+1)/12))) + (R97)*(IF((YEAR(D97)+7)&lt;YEAR(E97),0,IF((YEAR(D97)+7)&gt;YEAR(E97),1,(12-MONTH(E97)+1)/12))))-(IF(OR(N97="",N97&lt;=0),0,(O97/N97)*(IF(OR(N97="",N97&lt;=0),0,IF((YEAR(D97)+7)&lt;YEAR(E97),0,IF((YEAR(D97)+7)&gt;=YEAR(E97)+N97,0,IF((YEAR(D97)+7)=YEAR(E97),(12-MONTH(E97)+1)/12,1))))))))&gt;0,(((K97)*(IF(M97="",L97,IFERROR(IF(INDEX(Variablen!$I:$AT, MATCH(M97, Variablen!$A:$A, 0), MATCH((YEAR(D97)+7), Variablen!$I$3:$AT$3, 0))="",L97,INDEX(Variablen!$I:$AT, MATCH(M97, Variablen!$A:$A, 0), MATCH((YEAR(D97)+7), Variablen!$I$3:$AT$3, 0))),L97)))*(IF((YEAR(D97)+7)&lt;YEAR(E97),0,IF((YEAR(D97)+7)&gt;YEAR(E97),1,(12-MONTH(E97)+1)/12))) + (Q97)*(IF((YEAR(D97)+7)&lt;YEAR(E97),0,IF((YEAR(D97)+7)&gt;YEAR(E97),1,(12-MONTH(E97)+1)/12))))-((P97)*(IF((YEAR(D97)+7)&lt;YEAR(E97),0,IF((YEAR(D97)+7)&gt;YEAR(E97),1,(12-MONTH(E97)+1)/12))) + (R97)*(IF((YEAR(D97)+7)&lt;YEAR(E97),0,IF((YEAR(D97)+7)&gt;YEAR(E97),1,(12-MONTH(E97)+1)/12))))-(IF(OR(N97="",N97&lt;=0),0,(O97/N97)*(IF(OR(N97="",N97&lt;=0),0,IF((YEAR(D97)+7)&lt;YEAR(E97),0,IF((YEAR(D97)+7)&gt;=YEAR(E97)+N97,0,IF((YEAR(D97)+7)=YEAR(E97),(12-MONTH(E97)+1)/12,1))))))))*TaxRate,0))-IF(7=0,O97,0))</f>
        <v/>
      </c>
      <c r="AA97" s="29">
        <f>IF(A97="","",((K97)*(IF(M97="",L97,IFERROR(IF(INDEX(Variablen!$I:$AT, MATCH(M97, Variablen!$A:$A, 0), MATCH((YEAR(D97)+8), Variablen!$I$3:$AT$3, 0))="",L97,INDEX(Variablen!$I:$AT, MATCH(M97, Variablen!$A:$A, 0), MATCH((YEAR(D97)+8), Variablen!$I$3:$AT$3, 0))),L97)))*(IF((YEAR(D97)+8)&lt;YEAR(E97),0,IF((YEAR(D97)+8)&gt;YEAR(E97),1,(12-MONTH(E97)+1)/12))) + (Q97)*(IF((YEAR(D97)+8)&lt;YEAR(E97),0,IF((YEAR(D97)+8)&gt;YEAR(E97),1,(12-MONTH(E97)+1)/12))))-((P97)*(IF((YEAR(D97)+8)&lt;YEAR(E97),0,IF((YEAR(D97)+8)&gt;YEAR(E97),1,(12-MONTH(E97)+1)/12))) + (R97)*(IF((YEAR(D97)+8)&lt;YEAR(E97),0,IF((YEAR(D97)+8)&gt;YEAR(E97),1,(12-MONTH(E97)+1)/12))))-(IF((((K97)*(IF(M97="",L97,IFERROR(IF(INDEX(Variablen!$I:$AT, MATCH(M97, Variablen!$A:$A, 0), MATCH((YEAR(D97)+8), Variablen!$I$3:$AT$3, 0))="",L97,INDEX(Variablen!$I:$AT, MATCH(M97, Variablen!$A:$A, 0), MATCH((YEAR(D97)+8), Variablen!$I$3:$AT$3, 0))),L97)))*(IF((YEAR(D97)+8)&lt;YEAR(E97),0,IF((YEAR(D97)+8)&gt;YEAR(E97),1,(12-MONTH(E97)+1)/12))) + (Q97)*(IF((YEAR(D97)+8)&lt;YEAR(E97),0,IF((YEAR(D97)+8)&gt;YEAR(E97),1,(12-MONTH(E97)+1)/12))))-((P97)*(IF((YEAR(D97)+8)&lt;YEAR(E97),0,IF((YEAR(D97)+8)&gt;YEAR(E97),1,(12-MONTH(E97)+1)/12))) + (R97)*(IF((YEAR(D97)+8)&lt;YEAR(E97),0,IF((YEAR(D97)+8)&gt;YEAR(E97),1,(12-MONTH(E97)+1)/12))))-(IF(OR(N97="",N97&lt;=0),0,(O97/N97)*(IF(OR(N97="",N97&lt;=0),0,IF((YEAR(D97)+8)&lt;YEAR(E97),0,IF((YEAR(D97)+8)&gt;=YEAR(E97)+N97,0,IF((YEAR(D97)+8)=YEAR(E97),(12-MONTH(E97)+1)/12,1))))))))&gt;0,(((K97)*(IF(M97="",L97,IFERROR(IF(INDEX(Variablen!$I:$AT, MATCH(M97, Variablen!$A:$A, 0), MATCH((YEAR(D97)+8), Variablen!$I$3:$AT$3, 0))="",L97,INDEX(Variablen!$I:$AT, MATCH(M97, Variablen!$A:$A, 0), MATCH((YEAR(D97)+8), Variablen!$I$3:$AT$3, 0))),L97)))*(IF((YEAR(D97)+8)&lt;YEAR(E97),0,IF((YEAR(D97)+8)&gt;YEAR(E97),1,(12-MONTH(E97)+1)/12))) + (Q97)*(IF((YEAR(D97)+8)&lt;YEAR(E97),0,IF((YEAR(D97)+8)&gt;YEAR(E97),1,(12-MONTH(E97)+1)/12))))-((P97)*(IF((YEAR(D97)+8)&lt;YEAR(E97),0,IF((YEAR(D97)+8)&gt;YEAR(E97),1,(12-MONTH(E97)+1)/12))) + (R97)*(IF((YEAR(D97)+8)&lt;YEAR(E97),0,IF((YEAR(D97)+8)&gt;YEAR(E97),1,(12-MONTH(E97)+1)/12))))-(IF(OR(N97="",N97&lt;=0),0,(O97/N97)*(IF(OR(N97="",N97&lt;=0),0,IF((YEAR(D97)+8)&lt;YEAR(E97),0,IF((YEAR(D97)+8)&gt;=YEAR(E97)+N97,0,IF((YEAR(D97)+8)=YEAR(E97),(12-MONTH(E97)+1)/12,1))))))))*TaxRate,0))-IF(8=0,O97,0))</f>
        <v/>
      </c>
      <c r="AB97" s="29">
        <f>IF(A97="","",((K97)*(IF(M97="",L97,IFERROR(IF(INDEX(Variablen!$I:$AT, MATCH(M97, Variablen!$A:$A, 0), MATCH((YEAR(D97)+9), Variablen!$I$3:$AT$3, 0))="",L97,INDEX(Variablen!$I:$AT, MATCH(M97, Variablen!$A:$A, 0), MATCH((YEAR(D97)+9), Variablen!$I$3:$AT$3, 0))),L97)))*(IF((YEAR(D97)+9)&lt;YEAR(E97),0,IF((YEAR(D97)+9)&gt;YEAR(E97),1,(12-MONTH(E97)+1)/12))) + (Q97)*(IF((YEAR(D97)+9)&lt;YEAR(E97),0,IF((YEAR(D97)+9)&gt;YEAR(E97),1,(12-MONTH(E97)+1)/12))))-((P97)*(IF((YEAR(D97)+9)&lt;YEAR(E97),0,IF((YEAR(D97)+9)&gt;YEAR(E97),1,(12-MONTH(E97)+1)/12))) + (R97)*(IF((YEAR(D97)+9)&lt;YEAR(E97),0,IF((YEAR(D97)+9)&gt;YEAR(E97),1,(12-MONTH(E97)+1)/12))))-(IF((((K97)*(IF(M97="",L97,IFERROR(IF(INDEX(Variablen!$I:$AT, MATCH(M97, Variablen!$A:$A, 0), MATCH((YEAR(D97)+9), Variablen!$I$3:$AT$3, 0))="",L97,INDEX(Variablen!$I:$AT, MATCH(M97, Variablen!$A:$A, 0), MATCH((YEAR(D97)+9), Variablen!$I$3:$AT$3, 0))),L97)))*(IF((YEAR(D97)+9)&lt;YEAR(E97),0,IF((YEAR(D97)+9)&gt;YEAR(E97),1,(12-MONTH(E97)+1)/12))) + (Q97)*(IF((YEAR(D97)+9)&lt;YEAR(E97),0,IF((YEAR(D97)+9)&gt;YEAR(E97),1,(12-MONTH(E97)+1)/12))))-((P97)*(IF((YEAR(D97)+9)&lt;YEAR(E97),0,IF((YEAR(D97)+9)&gt;YEAR(E97),1,(12-MONTH(E97)+1)/12))) + (R97)*(IF((YEAR(D97)+9)&lt;YEAR(E97),0,IF((YEAR(D97)+9)&gt;YEAR(E97),1,(12-MONTH(E97)+1)/12))))-(IF(OR(N97="",N97&lt;=0),0,(O97/N97)*(IF(OR(N97="",N97&lt;=0),0,IF((YEAR(D97)+9)&lt;YEAR(E97),0,IF((YEAR(D97)+9)&gt;=YEAR(E97)+N97,0,IF((YEAR(D97)+9)=YEAR(E97),(12-MONTH(E97)+1)/12,1))))))))&gt;0,(((K97)*(IF(M97="",L97,IFERROR(IF(INDEX(Variablen!$I:$AT, MATCH(M97, Variablen!$A:$A, 0), MATCH((YEAR(D97)+9), Variablen!$I$3:$AT$3, 0))="",L97,INDEX(Variablen!$I:$AT, MATCH(M97, Variablen!$A:$A, 0), MATCH((YEAR(D97)+9), Variablen!$I$3:$AT$3, 0))),L97)))*(IF((YEAR(D97)+9)&lt;YEAR(E97),0,IF((YEAR(D97)+9)&gt;YEAR(E97),1,(12-MONTH(E97)+1)/12))) + (Q97)*(IF((YEAR(D97)+9)&lt;YEAR(E97),0,IF((YEAR(D97)+9)&gt;YEAR(E97),1,(12-MONTH(E97)+1)/12))))-((P97)*(IF((YEAR(D97)+9)&lt;YEAR(E97),0,IF((YEAR(D97)+9)&gt;YEAR(E97),1,(12-MONTH(E97)+1)/12))) + (R97)*(IF((YEAR(D97)+9)&lt;YEAR(E97),0,IF((YEAR(D97)+9)&gt;YEAR(E97),1,(12-MONTH(E97)+1)/12))))-(IF(OR(N97="",N97&lt;=0),0,(O97/N97)*(IF(OR(N97="",N97&lt;=0),0,IF((YEAR(D97)+9)&lt;YEAR(E97),0,IF((YEAR(D97)+9)&gt;=YEAR(E97)+N97,0,IF((YEAR(D97)+9)=YEAR(E97),(12-MONTH(E97)+1)/12,1))))))))*TaxRate,0))-IF(9=0,O97,0))</f>
        <v/>
      </c>
      <c r="AC97" s="29">
        <f>IF(A97="","",((K97)*(IF(M97="",L97,IFERROR(IF(INDEX(Variablen!$I:$AT, MATCH(M97, Variablen!$A:$A, 0), MATCH((YEAR(D97)+10), Variablen!$I$3:$AT$3, 0))="",L97,INDEX(Variablen!$I:$AT, MATCH(M97, Variablen!$A:$A, 0), MATCH((YEAR(D97)+10), Variablen!$I$3:$AT$3, 0))),L97)))*(IF((YEAR(D97)+10)&lt;YEAR(E97),0,IF((YEAR(D97)+10)&gt;YEAR(E97),1,(12-MONTH(E97)+1)/12))) + (Q97)*(IF((YEAR(D97)+10)&lt;YEAR(E97),0,IF((YEAR(D97)+10)&gt;YEAR(E97),1,(12-MONTH(E97)+1)/12))))-((P97)*(IF((YEAR(D97)+10)&lt;YEAR(E97),0,IF((YEAR(D97)+10)&gt;YEAR(E97),1,(12-MONTH(E97)+1)/12))) + (R97)*(IF((YEAR(D97)+10)&lt;YEAR(E97),0,IF((YEAR(D97)+10)&gt;YEAR(E97),1,(12-MONTH(E97)+1)/12))))-(IF((((K97)*(IF(M97="",L97,IFERROR(IF(INDEX(Variablen!$I:$AT, MATCH(M97, Variablen!$A:$A, 0), MATCH((YEAR(D97)+10), Variablen!$I$3:$AT$3, 0))="",L97,INDEX(Variablen!$I:$AT, MATCH(M97, Variablen!$A:$A, 0), MATCH((YEAR(D97)+10), Variablen!$I$3:$AT$3, 0))),L97)))*(IF((YEAR(D97)+10)&lt;YEAR(E97),0,IF((YEAR(D97)+10)&gt;YEAR(E97),1,(12-MONTH(E97)+1)/12))) + (Q97)*(IF((YEAR(D97)+10)&lt;YEAR(E97),0,IF((YEAR(D97)+10)&gt;YEAR(E97),1,(12-MONTH(E97)+1)/12))))-((P97)*(IF((YEAR(D97)+10)&lt;YEAR(E97),0,IF((YEAR(D97)+10)&gt;YEAR(E97),1,(12-MONTH(E97)+1)/12))) + (R97)*(IF((YEAR(D97)+10)&lt;YEAR(E97),0,IF((YEAR(D97)+10)&gt;YEAR(E97),1,(12-MONTH(E97)+1)/12))))-(IF(OR(N97="",N97&lt;=0),0,(O97/N97)*(IF(OR(N97="",N97&lt;=0),0,IF((YEAR(D97)+10)&lt;YEAR(E97),0,IF((YEAR(D97)+10)&gt;=YEAR(E97)+N97,0,IF((YEAR(D97)+10)=YEAR(E97),(12-MONTH(E97)+1)/12,1))))))))&gt;0,(((K97)*(IF(M97="",L97,IFERROR(IF(INDEX(Variablen!$I:$AT, MATCH(M97, Variablen!$A:$A, 0), MATCH((YEAR(D97)+10), Variablen!$I$3:$AT$3, 0))="",L97,INDEX(Variablen!$I:$AT, MATCH(M97, Variablen!$A:$A, 0), MATCH((YEAR(D97)+10), Variablen!$I$3:$AT$3, 0))),L97)))*(IF((YEAR(D97)+10)&lt;YEAR(E97),0,IF((YEAR(D97)+10)&gt;YEAR(E97),1,(12-MONTH(E97)+1)/12))) + (Q97)*(IF((YEAR(D97)+10)&lt;YEAR(E97),0,IF((YEAR(D97)+10)&gt;YEAR(E97),1,(12-MONTH(E97)+1)/12))))-((P97)*(IF((YEAR(D97)+10)&lt;YEAR(E97),0,IF((YEAR(D97)+10)&gt;YEAR(E97),1,(12-MONTH(E97)+1)/12))) + (R97)*(IF((YEAR(D97)+10)&lt;YEAR(E97),0,IF((YEAR(D97)+10)&gt;YEAR(E97),1,(12-MONTH(E97)+1)/12))))-(IF(OR(N97="",N97&lt;=0),0,(O97/N97)*(IF(OR(N97="",N97&lt;=0),0,IF((YEAR(D97)+10)&lt;YEAR(E97),0,IF((YEAR(D97)+10)&gt;=YEAR(E97)+N97,0,IF((YEAR(D97)+10)=YEAR(E97),(12-MONTH(E97)+1)/12,1))))))))*TaxRate,0))-IF(10=0,O97,0))</f>
        <v/>
      </c>
      <c r="AD97" s="29">
        <f>IF(A97="","",((K97)*(IF(M97="",L97,IFERROR(IF(INDEX(Variablen!$I:$AT, MATCH(M97, Variablen!$A:$A, 0), MATCH((YEAR(D97)+11), Variablen!$I$3:$AT$3, 0))="",L97,INDEX(Variablen!$I:$AT, MATCH(M97, Variablen!$A:$A, 0), MATCH((YEAR(D97)+11), Variablen!$I$3:$AT$3, 0))),L97)))*(IF((YEAR(D97)+11)&lt;YEAR(E97),0,IF((YEAR(D97)+11)&gt;YEAR(E97),1,(12-MONTH(E97)+1)/12))) + (Q97)*(IF((YEAR(D97)+11)&lt;YEAR(E97),0,IF((YEAR(D97)+11)&gt;YEAR(E97),1,(12-MONTH(E97)+1)/12))))-((P97)*(IF((YEAR(D97)+11)&lt;YEAR(E97),0,IF((YEAR(D97)+11)&gt;YEAR(E97),1,(12-MONTH(E97)+1)/12))) + (R97)*(IF((YEAR(D97)+11)&lt;YEAR(E97),0,IF((YEAR(D97)+11)&gt;YEAR(E97),1,(12-MONTH(E97)+1)/12))))-(IF((((K97)*(IF(M97="",L97,IFERROR(IF(INDEX(Variablen!$I:$AT, MATCH(M97, Variablen!$A:$A, 0), MATCH((YEAR(D97)+11), Variablen!$I$3:$AT$3, 0))="",L97,INDEX(Variablen!$I:$AT, MATCH(M97, Variablen!$A:$A, 0), MATCH((YEAR(D97)+11), Variablen!$I$3:$AT$3, 0))),L97)))*(IF((YEAR(D97)+11)&lt;YEAR(E97),0,IF((YEAR(D97)+11)&gt;YEAR(E97),1,(12-MONTH(E97)+1)/12))) + (Q97)*(IF((YEAR(D97)+11)&lt;YEAR(E97),0,IF((YEAR(D97)+11)&gt;YEAR(E97),1,(12-MONTH(E97)+1)/12))))-((P97)*(IF((YEAR(D97)+11)&lt;YEAR(E97),0,IF((YEAR(D97)+11)&gt;YEAR(E97),1,(12-MONTH(E97)+1)/12))) + (R97)*(IF((YEAR(D97)+11)&lt;YEAR(E97),0,IF((YEAR(D97)+11)&gt;YEAR(E97),1,(12-MONTH(E97)+1)/12))))-(IF(OR(N97="",N97&lt;=0),0,(O97/N97)*(IF(OR(N97="",N97&lt;=0),0,IF((YEAR(D97)+11)&lt;YEAR(E97),0,IF((YEAR(D97)+11)&gt;=YEAR(E97)+N97,0,IF((YEAR(D97)+11)=YEAR(E97),(12-MONTH(E97)+1)/12,1))))))))&gt;0,(((K97)*(IF(M97="",L97,IFERROR(IF(INDEX(Variablen!$I:$AT, MATCH(M97, Variablen!$A:$A, 0), MATCH((YEAR(D97)+11), Variablen!$I$3:$AT$3, 0))="",L97,INDEX(Variablen!$I:$AT, MATCH(M97, Variablen!$A:$A, 0), MATCH((YEAR(D97)+11), Variablen!$I$3:$AT$3, 0))),L97)))*(IF((YEAR(D97)+11)&lt;YEAR(E97),0,IF((YEAR(D97)+11)&gt;YEAR(E97),1,(12-MONTH(E97)+1)/12))) + (Q97)*(IF((YEAR(D97)+11)&lt;YEAR(E97),0,IF((YEAR(D97)+11)&gt;YEAR(E97),1,(12-MONTH(E97)+1)/12))))-((P97)*(IF((YEAR(D97)+11)&lt;YEAR(E97),0,IF((YEAR(D97)+11)&gt;YEAR(E97),1,(12-MONTH(E97)+1)/12))) + (R97)*(IF((YEAR(D97)+11)&lt;YEAR(E97),0,IF((YEAR(D97)+11)&gt;YEAR(E97),1,(12-MONTH(E97)+1)/12))))-(IF(OR(N97="",N97&lt;=0),0,(O97/N97)*(IF(OR(N97="",N97&lt;=0),0,IF((YEAR(D97)+11)&lt;YEAR(E97),0,IF((YEAR(D97)+11)&gt;=YEAR(E97)+N97,0,IF((YEAR(D97)+11)=YEAR(E97),(12-MONTH(E97)+1)/12,1))))))))*TaxRate,0))-IF(11=0,O97,0))</f>
        <v/>
      </c>
      <c r="AE97" s="29">
        <f>IF(A97="","",((K97)*(IF(M97="",L97,IFERROR(IF(INDEX(Variablen!$I:$AT, MATCH(M97, Variablen!$A:$A, 0), MATCH((YEAR(D97)+12), Variablen!$I$3:$AT$3, 0))="",L97,INDEX(Variablen!$I:$AT, MATCH(M97, Variablen!$A:$A, 0), MATCH((YEAR(D97)+12), Variablen!$I$3:$AT$3, 0))),L97)))*(IF((YEAR(D97)+12)&lt;YEAR(E97),0,IF((YEAR(D97)+12)&gt;YEAR(E97),1,(12-MONTH(E97)+1)/12))) + (Q97)*(IF((YEAR(D97)+12)&lt;YEAR(E97),0,IF((YEAR(D97)+12)&gt;YEAR(E97),1,(12-MONTH(E97)+1)/12))))-((P97)*(IF((YEAR(D97)+12)&lt;YEAR(E97),0,IF((YEAR(D97)+12)&gt;YEAR(E97),1,(12-MONTH(E97)+1)/12))) + (R97)*(IF((YEAR(D97)+12)&lt;YEAR(E97),0,IF((YEAR(D97)+12)&gt;YEAR(E97),1,(12-MONTH(E97)+1)/12))))-(IF((((K97)*(IF(M97="",L97,IFERROR(IF(INDEX(Variablen!$I:$AT, MATCH(M97, Variablen!$A:$A, 0), MATCH((YEAR(D97)+12), Variablen!$I$3:$AT$3, 0))="",L97,INDEX(Variablen!$I:$AT, MATCH(M97, Variablen!$A:$A, 0), MATCH((YEAR(D97)+12), Variablen!$I$3:$AT$3, 0))),L97)))*(IF((YEAR(D97)+12)&lt;YEAR(E97),0,IF((YEAR(D97)+12)&gt;YEAR(E97),1,(12-MONTH(E97)+1)/12))) + (Q97)*(IF((YEAR(D97)+12)&lt;YEAR(E97),0,IF((YEAR(D97)+12)&gt;YEAR(E97),1,(12-MONTH(E97)+1)/12))))-((P97)*(IF((YEAR(D97)+12)&lt;YEAR(E97),0,IF((YEAR(D97)+12)&gt;YEAR(E97),1,(12-MONTH(E97)+1)/12))) + (R97)*(IF((YEAR(D97)+12)&lt;YEAR(E97),0,IF((YEAR(D97)+12)&gt;YEAR(E97),1,(12-MONTH(E97)+1)/12))))-(IF(OR(N97="",N97&lt;=0),0,(O97/N97)*(IF(OR(N97="",N97&lt;=0),0,IF((YEAR(D97)+12)&lt;YEAR(E97),0,IF((YEAR(D97)+12)&gt;=YEAR(E97)+N97,0,IF((YEAR(D97)+12)=YEAR(E97),(12-MONTH(E97)+1)/12,1))))))))&gt;0,(((K97)*(IF(M97="",L97,IFERROR(IF(INDEX(Variablen!$I:$AT, MATCH(M97, Variablen!$A:$A, 0), MATCH((YEAR(D97)+12), Variablen!$I$3:$AT$3, 0))="",L97,INDEX(Variablen!$I:$AT, MATCH(M97, Variablen!$A:$A, 0), MATCH((YEAR(D97)+12), Variablen!$I$3:$AT$3, 0))),L97)))*(IF((YEAR(D97)+12)&lt;YEAR(E97),0,IF((YEAR(D97)+12)&gt;YEAR(E97),1,(12-MONTH(E97)+1)/12))) + (Q97)*(IF((YEAR(D97)+12)&lt;YEAR(E97),0,IF((YEAR(D97)+12)&gt;YEAR(E97),1,(12-MONTH(E97)+1)/12))))-((P97)*(IF((YEAR(D97)+12)&lt;YEAR(E97),0,IF((YEAR(D97)+12)&gt;YEAR(E97),1,(12-MONTH(E97)+1)/12))) + (R97)*(IF((YEAR(D97)+12)&lt;YEAR(E97),0,IF((YEAR(D97)+12)&gt;YEAR(E97),1,(12-MONTH(E97)+1)/12))))-(IF(OR(N97="",N97&lt;=0),0,(O97/N97)*(IF(OR(N97="",N97&lt;=0),0,IF((YEAR(D97)+12)&lt;YEAR(E97),0,IF((YEAR(D97)+12)&gt;=YEAR(E97)+N97,0,IF((YEAR(D97)+12)=YEAR(E97),(12-MONTH(E97)+1)/12,1))))))))*TaxRate,0))-IF(12=0,O97,0))</f>
        <v/>
      </c>
      <c r="AF97" s="29">
        <f>IF(A97="","",((K97)*(IF(M97="",L97,IFERROR(IF(INDEX(Variablen!$I:$AT, MATCH(M97, Variablen!$A:$A, 0), MATCH((YEAR(D97)+13), Variablen!$I$3:$AT$3, 0))="",L97,INDEX(Variablen!$I:$AT, MATCH(M97, Variablen!$A:$A, 0), MATCH((YEAR(D97)+13), Variablen!$I$3:$AT$3, 0))),L97)))*(IF((YEAR(D97)+13)&lt;YEAR(E97),0,IF((YEAR(D97)+13)&gt;YEAR(E97),1,(12-MONTH(E97)+1)/12))) + (Q97)*(IF((YEAR(D97)+13)&lt;YEAR(E97),0,IF((YEAR(D97)+13)&gt;YEAR(E97),1,(12-MONTH(E97)+1)/12))))-((P97)*(IF((YEAR(D97)+13)&lt;YEAR(E97),0,IF((YEAR(D97)+13)&gt;YEAR(E97),1,(12-MONTH(E97)+1)/12))) + (R97)*(IF((YEAR(D97)+13)&lt;YEAR(E97),0,IF((YEAR(D97)+13)&gt;YEAR(E97),1,(12-MONTH(E97)+1)/12))))-(IF((((K97)*(IF(M97="",L97,IFERROR(IF(INDEX(Variablen!$I:$AT, MATCH(M97, Variablen!$A:$A, 0), MATCH((YEAR(D97)+13), Variablen!$I$3:$AT$3, 0))="",L97,INDEX(Variablen!$I:$AT, MATCH(M97, Variablen!$A:$A, 0), MATCH((YEAR(D97)+13), Variablen!$I$3:$AT$3, 0))),L97)))*(IF((YEAR(D97)+13)&lt;YEAR(E97),0,IF((YEAR(D97)+13)&gt;YEAR(E97),1,(12-MONTH(E97)+1)/12))) + (Q97)*(IF((YEAR(D97)+13)&lt;YEAR(E97),0,IF((YEAR(D97)+13)&gt;YEAR(E97),1,(12-MONTH(E97)+1)/12))))-((P97)*(IF((YEAR(D97)+13)&lt;YEAR(E97),0,IF((YEAR(D97)+13)&gt;YEAR(E97),1,(12-MONTH(E97)+1)/12))) + (R97)*(IF((YEAR(D97)+13)&lt;YEAR(E97),0,IF((YEAR(D97)+13)&gt;YEAR(E97),1,(12-MONTH(E97)+1)/12))))-(IF(OR(N97="",N97&lt;=0),0,(O97/N97)*(IF(OR(N97="",N97&lt;=0),0,IF((YEAR(D97)+13)&lt;YEAR(E97),0,IF((YEAR(D97)+13)&gt;=YEAR(E97)+N97,0,IF((YEAR(D97)+13)=YEAR(E97),(12-MONTH(E97)+1)/12,1))))))))&gt;0,(((K97)*(IF(M97="",L97,IFERROR(IF(INDEX(Variablen!$I:$AT, MATCH(M97, Variablen!$A:$A, 0), MATCH((YEAR(D97)+13), Variablen!$I$3:$AT$3, 0))="",L97,INDEX(Variablen!$I:$AT, MATCH(M97, Variablen!$A:$A, 0), MATCH((YEAR(D97)+13), Variablen!$I$3:$AT$3, 0))),L97)))*(IF((YEAR(D97)+13)&lt;YEAR(E97),0,IF((YEAR(D97)+13)&gt;YEAR(E97),1,(12-MONTH(E97)+1)/12))) + (Q97)*(IF((YEAR(D97)+13)&lt;YEAR(E97),0,IF((YEAR(D97)+13)&gt;YEAR(E97),1,(12-MONTH(E97)+1)/12))))-((P97)*(IF((YEAR(D97)+13)&lt;YEAR(E97),0,IF((YEAR(D97)+13)&gt;YEAR(E97),1,(12-MONTH(E97)+1)/12))) + (R97)*(IF((YEAR(D97)+13)&lt;YEAR(E97),0,IF((YEAR(D97)+13)&gt;YEAR(E97),1,(12-MONTH(E97)+1)/12))))-(IF(OR(N97="",N97&lt;=0),0,(O97/N97)*(IF(OR(N97="",N97&lt;=0),0,IF((YEAR(D97)+13)&lt;YEAR(E97),0,IF((YEAR(D97)+13)&gt;=YEAR(E97)+N97,0,IF((YEAR(D97)+13)=YEAR(E97),(12-MONTH(E97)+1)/12,1))))))))*TaxRate,0))-IF(13=0,O97,0))</f>
        <v/>
      </c>
      <c r="AG97" s="29">
        <f>IF(A97="","",((K97)*(IF(M97="",L97,IFERROR(IF(INDEX(Variablen!$I:$AT, MATCH(M97, Variablen!$A:$A, 0), MATCH((YEAR(D97)+14), Variablen!$I$3:$AT$3, 0))="",L97,INDEX(Variablen!$I:$AT, MATCH(M97, Variablen!$A:$A, 0), MATCH((YEAR(D97)+14), Variablen!$I$3:$AT$3, 0))),L97)))*(IF((YEAR(D97)+14)&lt;YEAR(E97),0,IF((YEAR(D97)+14)&gt;YEAR(E97),1,(12-MONTH(E97)+1)/12))) + (Q97)*(IF((YEAR(D97)+14)&lt;YEAR(E97),0,IF((YEAR(D97)+14)&gt;YEAR(E97),1,(12-MONTH(E97)+1)/12))))-((P97)*(IF((YEAR(D97)+14)&lt;YEAR(E97),0,IF((YEAR(D97)+14)&gt;YEAR(E97),1,(12-MONTH(E97)+1)/12))) + (R97)*(IF((YEAR(D97)+14)&lt;YEAR(E97),0,IF((YEAR(D97)+14)&gt;YEAR(E97),1,(12-MONTH(E97)+1)/12))))-(IF((((K97)*(IF(M97="",L97,IFERROR(IF(INDEX(Variablen!$I:$AT, MATCH(M97, Variablen!$A:$A, 0), MATCH((YEAR(D97)+14), Variablen!$I$3:$AT$3, 0))="",L97,INDEX(Variablen!$I:$AT, MATCH(M97, Variablen!$A:$A, 0), MATCH((YEAR(D97)+14), Variablen!$I$3:$AT$3, 0))),L97)))*(IF((YEAR(D97)+14)&lt;YEAR(E97),0,IF((YEAR(D97)+14)&gt;YEAR(E97),1,(12-MONTH(E97)+1)/12))) + (Q97)*(IF((YEAR(D97)+14)&lt;YEAR(E97),0,IF((YEAR(D97)+14)&gt;YEAR(E97),1,(12-MONTH(E97)+1)/12))))-((P97)*(IF((YEAR(D97)+14)&lt;YEAR(E97),0,IF((YEAR(D97)+14)&gt;YEAR(E97),1,(12-MONTH(E97)+1)/12))) + (R97)*(IF((YEAR(D97)+14)&lt;YEAR(E97),0,IF((YEAR(D97)+14)&gt;YEAR(E97),1,(12-MONTH(E97)+1)/12))))-(IF(OR(N97="",N97&lt;=0),0,(O97/N97)*(IF(OR(N97="",N97&lt;=0),0,IF((YEAR(D97)+14)&lt;YEAR(E97),0,IF((YEAR(D97)+14)&gt;=YEAR(E97)+N97,0,IF((YEAR(D97)+14)=YEAR(E97),(12-MONTH(E97)+1)/12,1))))))))&gt;0,(((K97)*(IF(M97="",L97,IFERROR(IF(INDEX(Variablen!$I:$AT, MATCH(M97, Variablen!$A:$A, 0), MATCH((YEAR(D97)+14), Variablen!$I$3:$AT$3, 0))="",L97,INDEX(Variablen!$I:$AT, MATCH(M97, Variablen!$A:$A, 0), MATCH((YEAR(D97)+14), Variablen!$I$3:$AT$3, 0))),L97)))*(IF((YEAR(D97)+14)&lt;YEAR(E97),0,IF((YEAR(D97)+14)&gt;YEAR(E97),1,(12-MONTH(E97)+1)/12))) + (Q97)*(IF((YEAR(D97)+14)&lt;YEAR(E97),0,IF((YEAR(D97)+14)&gt;YEAR(E97),1,(12-MONTH(E97)+1)/12))))-((P97)*(IF((YEAR(D97)+14)&lt;YEAR(E97),0,IF((YEAR(D97)+14)&gt;YEAR(E97),1,(12-MONTH(E97)+1)/12))) + (R97)*(IF((YEAR(D97)+14)&lt;YEAR(E97),0,IF((YEAR(D97)+14)&gt;YEAR(E97),1,(12-MONTH(E97)+1)/12))))-(IF(OR(N97="",N97&lt;=0),0,(O97/N97)*(IF(OR(N97="",N97&lt;=0),0,IF((YEAR(D97)+14)&lt;YEAR(E97),0,IF((YEAR(D97)+14)&gt;=YEAR(E97)+N97,0,IF((YEAR(D97)+14)=YEAR(E97),(12-MONTH(E97)+1)/12,1))))))))*TaxRate,0))-IF(14=0,O97,0))</f>
        <v/>
      </c>
      <c r="AH97" s="29">
        <f>IF(A97="","",((K97)*(IF(M97="",L97,IFERROR(IF(INDEX(Variablen!$I:$AT, MATCH(M97, Variablen!$A:$A, 0), MATCH((YEAR(D97)+15), Variablen!$I$3:$AT$3, 0))="",L97,INDEX(Variablen!$I:$AT, MATCH(M97, Variablen!$A:$A, 0), MATCH((YEAR(D97)+15), Variablen!$I$3:$AT$3, 0))),L97)))*(IF((YEAR(D97)+15)&lt;YEAR(E97),0,IF((YEAR(D97)+15)&gt;YEAR(E97),1,(12-MONTH(E97)+1)/12))) + (Q97)*(IF((YEAR(D97)+15)&lt;YEAR(E97),0,IF((YEAR(D97)+15)&gt;YEAR(E97),1,(12-MONTH(E97)+1)/12))))-((P97)*(IF((YEAR(D97)+15)&lt;YEAR(E97),0,IF((YEAR(D97)+15)&gt;YEAR(E97),1,(12-MONTH(E97)+1)/12))) + (R97)*(IF((YEAR(D97)+15)&lt;YEAR(E97),0,IF((YEAR(D97)+15)&gt;YEAR(E97),1,(12-MONTH(E97)+1)/12))))-(IF((((K97)*(IF(M97="",L97,IFERROR(IF(INDEX(Variablen!$I:$AT, MATCH(M97, Variablen!$A:$A, 0), MATCH((YEAR(D97)+15), Variablen!$I$3:$AT$3, 0))="",L97,INDEX(Variablen!$I:$AT, MATCH(M97, Variablen!$A:$A, 0), MATCH((YEAR(D97)+15), Variablen!$I$3:$AT$3, 0))),L97)))*(IF((YEAR(D97)+15)&lt;YEAR(E97),0,IF((YEAR(D97)+15)&gt;YEAR(E97),1,(12-MONTH(E97)+1)/12))) + (Q97)*(IF((YEAR(D97)+15)&lt;YEAR(E97),0,IF((YEAR(D97)+15)&gt;YEAR(E97),1,(12-MONTH(E97)+1)/12))))-((P97)*(IF((YEAR(D97)+15)&lt;YEAR(E97),0,IF((YEAR(D97)+15)&gt;YEAR(E97),1,(12-MONTH(E97)+1)/12))) + (R97)*(IF((YEAR(D97)+15)&lt;YEAR(E97),0,IF((YEAR(D97)+15)&gt;YEAR(E97),1,(12-MONTH(E97)+1)/12))))-(IF(OR(N97="",N97&lt;=0),0,(O97/N97)*(IF(OR(N97="",N97&lt;=0),0,IF((YEAR(D97)+15)&lt;YEAR(E97),0,IF((YEAR(D97)+15)&gt;=YEAR(E97)+N97,0,IF((YEAR(D97)+15)=YEAR(E97),(12-MONTH(E97)+1)/12,1))))))))&gt;0,(((K97)*(IF(M97="",L97,IFERROR(IF(INDEX(Variablen!$I:$AT, MATCH(M97, Variablen!$A:$A, 0), MATCH((YEAR(D97)+15), Variablen!$I$3:$AT$3, 0))="",L97,INDEX(Variablen!$I:$AT, MATCH(M97, Variablen!$A:$A, 0), MATCH((YEAR(D97)+15), Variablen!$I$3:$AT$3, 0))),L97)))*(IF((YEAR(D97)+15)&lt;YEAR(E97),0,IF((YEAR(D97)+15)&gt;YEAR(E97),1,(12-MONTH(E97)+1)/12))) + (Q97)*(IF((YEAR(D97)+15)&lt;YEAR(E97),0,IF((YEAR(D97)+15)&gt;YEAR(E97),1,(12-MONTH(E97)+1)/12))))-((P97)*(IF((YEAR(D97)+15)&lt;YEAR(E97),0,IF((YEAR(D97)+15)&gt;YEAR(E97),1,(12-MONTH(E97)+1)/12))) + (R97)*(IF((YEAR(D97)+15)&lt;YEAR(E97),0,IF((YEAR(D97)+15)&gt;YEAR(E97),1,(12-MONTH(E97)+1)/12))))-(IF(OR(N97="",N97&lt;=0),0,(O97/N97)*(IF(OR(N97="",N97&lt;=0),0,IF((YEAR(D97)+15)&lt;YEAR(E97),0,IF((YEAR(D97)+15)&gt;=YEAR(E97)+N97,0,IF((YEAR(D97)+15)=YEAR(E97),(12-MONTH(E97)+1)/12,1))))))))*TaxRate,0))-IF(15=0,O97,0))</f>
        <v/>
      </c>
      <c r="AI97" s="29">
        <f>IF(A97="","",((K97)*(IF(M97="",L97,IFERROR(IF(INDEX(Variablen!$I:$AT, MATCH(M97, Variablen!$A:$A, 0), MATCH((YEAR(D97)+16), Variablen!$I$3:$AT$3, 0))="",L97,INDEX(Variablen!$I:$AT, MATCH(M97, Variablen!$A:$A, 0), MATCH((YEAR(D97)+16), Variablen!$I$3:$AT$3, 0))),L97)))*(IF((YEAR(D97)+16)&lt;YEAR(E97),0,IF((YEAR(D97)+16)&gt;YEAR(E97),1,(12-MONTH(E97)+1)/12))) + (Q97)*(IF((YEAR(D97)+16)&lt;YEAR(E97),0,IF((YEAR(D97)+16)&gt;YEAR(E97),1,(12-MONTH(E97)+1)/12))))-((P97)*(IF((YEAR(D97)+16)&lt;YEAR(E97),0,IF((YEAR(D97)+16)&gt;YEAR(E97),1,(12-MONTH(E97)+1)/12))) + (R97)*(IF((YEAR(D97)+16)&lt;YEAR(E97),0,IF((YEAR(D97)+16)&gt;YEAR(E97),1,(12-MONTH(E97)+1)/12))))-(IF((((K97)*(IF(M97="",L97,IFERROR(IF(INDEX(Variablen!$I:$AT, MATCH(M97, Variablen!$A:$A, 0), MATCH((YEAR(D97)+16), Variablen!$I$3:$AT$3, 0))="",L97,INDEX(Variablen!$I:$AT, MATCH(M97, Variablen!$A:$A, 0), MATCH((YEAR(D97)+16), Variablen!$I$3:$AT$3, 0))),L97)))*(IF((YEAR(D97)+16)&lt;YEAR(E97),0,IF((YEAR(D97)+16)&gt;YEAR(E97),1,(12-MONTH(E97)+1)/12))) + (Q97)*(IF((YEAR(D97)+16)&lt;YEAR(E97),0,IF((YEAR(D97)+16)&gt;YEAR(E97),1,(12-MONTH(E97)+1)/12))))-((P97)*(IF((YEAR(D97)+16)&lt;YEAR(E97),0,IF((YEAR(D97)+16)&gt;YEAR(E97),1,(12-MONTH(E97)+1)/12))) + (R97)*(IF((YEAR(D97)+16)&lt;YEAR(E97),0,IF((YEAR(D97)+16)&gt;YEAR(E97),1,(12-MONTH(E97)+1)/12))))-(IF(OR(N97="",N97&lt;=0),0,(O97/N97)*(IF(OR(N97="",N97&lt;=0),0,IF((YEAR(D97)+16)&lt;YEAR(E97),0,IF((YEAR(D97)+16)&gt;=YEAR(E97)+N97,0,IF((YEAR(D97)+16)=YEAR(E97),(12-MONTH(E97)+1)/12,1))))))))&gt;0,(((K97)*(IF(M97="",L97,IFERROR(IF(INDEX(Variablen!$I:$AT, MATCH(M97, Variablen!$A:$A, 0), MATCH((YEAR(D97)+16), Variablen!$I$3:$AT$3, 0))="",L97,INDEX(Variablen!$I:$AT, MATCH(M97, Variablen!$A:$A, 0), MATCH((YEAR(D97)+16), Variablen!$I$3:$AT$3, 0))),L97)))*(IF((YEAR(D97)+16)&lt;YEAR(E97),0,IF((YEAR(D97)+16)&gt;YEAR(E97),1,(12-MONTH(E97)+1)/12))) + (Q97)*(IF((YEAR(D97)+16)&lt;YEAR(E97),0,IF((YEAR(D97)+16)&gt;YEAR(E97),1,(12-MONTH(E97)+1)/12))))-((P97)*(IF((YEAR(D97)+16)&lt;YEAR(E97),0,IF((YEAR(D97)+16)&gt;YEAR(E97),1,(12-MONTH(E97)+1)/12))) + (R97)*(IF((YEAR(D97)+16)&lt;YEAR(E97),0,IF((YEAR(D97)+16)&gt;YEAR(E97),1,(12-MONTH(E97)+1)/12))))-(IF(OR(N97="",N97&lt;=0),0,(O97/N97)*(IF(OR(N97="",N97&lt;=0),0,IF((YEAR(D97)+16)&lt;YEAR(E97),0,IF((YEAR(D97)+16)&gt;=YEAR(E97)+N97,0,IF((YEAR(D97)+16)=YEAR(E97),(12-MONTH(E97)+1)/12,1))))))))*TaxRate,0))-IF(16=0,O97,0))</f>
        <v/>
      </c>
      <c r="AJ97" s="29">
        <f>IF(A97="","",((K97)*(IF(M97="",L97,IFERROR(IF(INDEX(Variablen!$I:$AT, MATCH(M97, Variablen!$A:$A, 0), MATCH((YEAR(D97)+17), Variablen!$I$3:$AT$3, 0))="",L97,INDEX(Variablen!$I:$AT, MATCH(M97, Variablen!$A:$A, 0), MATCH((YEAR(D97)+17), Variablen!$I$3:$AT$3, 0))),L97)))*(IF((YEAR(D97)+17)&lt;YEAR(E97),0,IF((YEAR(D97)+17)&gt;YEAR(E97),1,(12-MONTH(E97)+1)/12))) + (Q97)*(IF((YEAR(D97)+17)&lt;YEAR(E97),0,IF((YEAR(D97)+17)&gt;YEAR(E97),1,(12-MONTH(E97)+1)/12))))-((P97)*(IF((YEAR(D97)+17)&lt;YEAR(E97),0,IF((YEAR(D97)+17)&gt;YEAR(E97),1,(12-MONTH(E97)+1)/12))) + (R97)*(IF((YEAR(D97)+17)&lt;YEAR(E97),0,IF((YEAR(D97)+17)&gt;YEAR(E97),1,(12-MONTH(E97)+1)/12))))-(IF((((K97)*(IF(M97="",L97,IFERROR(IF(INDEX(Variablen!$I:$AT, MATCH(M97, Variablen!$A:$A, 0), MATCH((YEAR(D97)+17), Variablen!$I$3:$AT$3, 0))="",L97,INDEX(Variablen!$I:$AT, MATCH(M97, Variablen!$A:$A, 0), MATCH((YEAR(D97)+17), Variablen!$I$3:$AT$3, 0))),L97)))*(IF((YEAR(D97)+17)&lt;YEAR(E97),0,IF((YEAR(D97)+17)&gt;YEAR(E97),1,(12-MONTH(E97)+1)/12))) + (Q97)*(IF((YEAR(D97)+17)&lt;YEAR(E97),0,IF((YEAR(D97)+17)&gt;YEAR(E97),1,(12-MONTH(E97)+1)/12))))-((P97)*(IF((YEAR(D97)+17)&lt;YEAR(E97),0,IF((YEAR(D97)+17)&gt;YEAR(E97),1,(12-MONTH(E97)+1)/12))) + (R97)*(IF((YEAR(D97)+17)&lt;YEAR(E97),0,IF((YEAR(D97)+17)&gt;YEAR(E97),1,(12-MONTH(E97)+1)/12))))-(IF(OR(N97="",N97&lt;=0),0,(O97/N97)*(IF(OR(N97="",N97&lt;=0),0,IF((YEAR(D97)+17)&lt;YEAR(E97),0,IF((YEAR(D97)+17)&gt;=YEAR(E97)+N97,0,IF((YEAR(D97)+17)=YEAR(E97),(12-MONTH(E97)+1)/12,1))))))))&gt;0,(((K97)*(IF(M97="",L97,IFERROR(IF(INDEX(Variablen!$I:$AT, MATCH(M97, Variablen!$A:$A, 0), MATCH((YEAR(D97)+17), Variablen!$I$3:$AT$3, 0))="",L97,INDEX(Variablen!$I:$AT, MATCH(M97, Variablen!$A:$A, 0), MATCH((YEAR(D97)+17), Variablen!$I$3:$AT$3, 0))),L97)))*(IF((YEAR(D97)+17)&lt;YEAR(E97),0,IF((YEAR(D97)+17)&gt;YEAR(E97),1,(12-MONTH(E97)+1)/12))) + (Q97)*(IF((YEAR(D97)+17)&lt;YEAR(E97),0,IF((YEAR(D97)+17)&gt;YEAR(E97),1,(12-MONTH(E97)+1)/12))))-((P97)*(IF((YEAR(D97)+17)&lt;YEAR(E97),0,IF((YEAR(D97)+17)&gt;YEAR(E97),1,(12-MONTH(E97)+1)/12))) + (R97)*(IF((YEAR(D97)+17)&lt;YEAR(E97),0,IF((YEAR(D97)+17)&gt;YEAR(E97),1,(12-MONTH(E97)+1)/12))))-(IF(OR(N97="",N97&lt;=0),0,(O97/N97)*(IF(OR(N97="",N97&lt;=0),0,IF((YEAR(D97)+17)&lt;YEAR(E97),0,IF((YEAR(D97)+17)&gt;=YEAR(E97)+N97,0,IF((YEAR(D97)+17)=YEAR(E97),(12-MONTH(E97)+1)/12,1))))))))*TaxRate,0))-IF(17=0,O97,0))</f>
        <v/>
      </c>
      <c r="AK97" s="29">
        <f>IF(A97="","",((K97)*(IF(M97="",L97,IFERROR(IF(INDEX(Variablen!$I:$AT, MATCH(M97, Variablen!$A:$A, 0), MATCH((YEAR(D97)+18), Variablen!$I$3:$AT$3, 0))="",L97,INDEX(Variablen!$I:$AT, MATCH(M97, Variablen!$A:$A, 0), MATCH((YEAR(D97)+18), Variablen!$I$3:$AT$3, 0))),L97)))*(IF((YEAR(D97)+18)&lt;YEAR(E97),0,IF((YEAR(D97)+18)&gt;YEAR(E97),1,(12-MONTH(E97)+1)/12))) + (Q97)*(IF((YEAR(D97)+18)&lt;YEAR(E97),0,IF((YEAR(D97)+18)&gt;YEAR(E97),1,(12-MONTH(E97)+1)/12))))-((P97)*(IF((YEAR(D97)+18)&lt;YEAR(E97),0,IF((YEAR(D97)+18)&gt;YEAR(E97),1,(12-MONTH(E97)+1)/12))) + (R97)*(IF((YEAR(D97)+18)&lt;YEAR(E97),0,IF((YEAR(D97)+18)&gt;YEAR(E97),1,(12-MONTH(E97)+1)/12))))-(IF((((K97)*(IF(M97="",L97,IFERROR(IF(INDEX(Variablen!$I:$AT, MATCH(M97, Variablen!$A:$A, 0), MATCH((YEAR(D97)+18), Variablen!$I$3:$AT$3, 0))="",L97,INDEX(Variablen!$I:$AT, MATCH(M97, Variablen!$A:$A, 0), MATCH((YEAR(D97)+18), Variablen!$I$3:$AT$3, 0))),L97)))*(IF((YEAR(D97)+18)&lt;YEAR(E97),0,IF((YEAR(D97)+18)&gt;YEAR(E97),1,(12-MONTH(E97)+1)/12))) + (Q97)*(IF((YEAR(D97)+18)&lt;YEAR(E97),0,IF((YEAR(D97)+18)&gt;YEAR(E97),1,(12-MONTH(E97)+1)/12))))-((P97)*(IF((YEAR(D97)+18)&lt;YEAR(E97),0,IF((YEAR(D97)+18)&gt;YEAR(E97),1,(12-MONTH(E97)+1)/12))) + (R97)*(IF((YEAR(D97)+18)&lt;YEAR(E97),0,IF((YEAR(D97)+18)&gt;YEAR(E97),1,(12-MONTH(E97)+1)/12))))-(IF(OR(N97="",N97&lt;=0),0,(O97/N97)*(IF(OR(N97="",N97&lt;=0),0,IF((YEAR(D97)+18)&lt;YEAR(E97),0,IF((YEAR(D97)+18)&gt;=YEAR(E97)+N97,0,IF((YEAR(D97)+18)=YEAR(E97),(12-MONTH(E97)+1)/12,1))))))))&gt;0,(((K97)*(IF(M97="",L97,IFERROR(IF(INDEX(Variablen!$I:$AT, MATCH(M97, Variablen!$A:$A, 0), MATCH((YEAR(D97)+18), Variablen!$I$3:$AT$3, 0))="",L97,INDEX(Variablen!$I:$AT, MATCH(M97, Variablen!$A:$A, 0), MATCH((YEAR(D97)+18), Variablen!$I$3:$AT$3, 0))),L97)))*(IF((YEAR(D97)+18)&lt;YEAR(E97),0,IF((YEAR(D97)+18)&gt;YEAR(E97),1,(12-MONTH(E97)+1)/12))) + (Q97)*(IF((YEAR(D97)+18)&lt;YEAR(E97),0,IF((YEAR(D97)+18)&gt;YEAR(E97),1,(12-MONTH(E97)+1)/12))))-((P97)*(IF((YEAR(D97)+18)&lt;YEAR(E97),0,IF((YEAR(D97)+18)&gt;YEAR(E97),1,(12-MONTH(E97)+1)/12))) + (R97)*(IF((YEAR(D97)+18)&lt;YEAR(E97),0,IF((YEAR(D97)+18)&gt;YEAR(E97),1,(12-MONTH(E97)+1)/12))))-(IF(OR(N97="",N97&lt;=0),0,(O97/N97)*(IF(OR(N97="",N97&lt;=0),0,IF((YEAR(D97)+18)&lt;YEAR(E97),0,IF((YEAR(D97)+18)&gt;=YEAR(E97)+N97,0,IF((YEAR(D97)+18)=YEAR(E97),(12-MONTH(E97)+1)/12,1))))))))*TaxRate,0))-IF(18=0,O97,0))</f>
        <v/>
      </c>
      <c r="AL97" s="29">
        <f>IF(A97="","",((K97)*(IF(M97="",L97,IFERROR(IF(INDEX(Variablen!$I:$AT, MATCH(M97, Variablen!$A:$A, 0), MATCH((YEAR(D97)+19), Variablen!$I$3:$AT$3, 0))="",L97,INDEX(Variablen!$I:$AT, MATCH(M97, Variablen!$A:$A, 0), MATCH((YEAR(D97)+19), Variablen!$I$3:$AT$3, 0))),L97)))*(IF((YEAR(D97)+19)&lt;YEAR(E97),0,IF((YEAR(D97)+19)&gt;YEAR(E97),1,(12-MONTH(E97)+1)/12))) + (Q97)*(IF((YEAR(D97)+19)&lt;YEAR(E97),0,IF((YEAR(D97)+19)&gt;YEAR(E97),1,(12-MONTH(E97)+1)/12))))-((P97)*(IF((YEAR(D97)+19)&lt;YEAR(E97),0,IF((YEAR(D97)+19)&gt;YEAR(E97),1,(12-MONTH(E97)+1)/12))) + (R97)*(IF((YEAR(D97)+19)&lt;YEAR(E97),0,IF((YEAR(D97)+19)&gt;YEAR(E97),1,(12-MONTH(E97)+1)/12))))-(IF((((K97)*(IF(M97="",L97,IFERROR(IF(INDEX(Variablen!$I:$AT, MATCH(M97, Variablen!$A:$A, 0), MATCH((YEAR(D97)+19), Variablen!$I$3:$AT$3, 0))="",L97,INDEX(Variablen!$I:$AT, MATCH(M97, Variablen!$A:$A, 0), MATCH((YEAR(D97)+19), Variablen!$I$3:$AT$3, 0))),L97)))*(IF((YEAR(D97)+19)&lt;YEAR(E97),0,IF((YEAR(D97)+19)&gt;YEAR(E97),1,(12-MONTH(E97)+1)/12))) + (Q97)*(IF((YEAR(D97)+19)&lt;YEAR(E97),0,IF((YEAR(D97)+19)&gt;YEAR(E97),1,(12-MONTH(E97)+1)/12))))-((P97)*(IF((YEAR(D97)+19)&lt;YEAR(E97),0,IF((YEAR(D97)+19)&gt;YEAR(E97),1,(12-MONTH(E97)+1)/12))) + (R97)*(IF((YEAR(D97)+19)&lt;YEAR(E97),0,IF((YEAR(D97)+19)&gt;YEAR(E97),1,(12-MONTH(E97)+1)/12))))-(IF(OR(N97="",N97&lt;=0),0,(O97/N97)*(IF(OR(N97="",N97&lt;=0),0,IF((YEAR(D97)+19)&lt;YEAR(E97),0,IF((YEAR(D97)+19)&gt;=YEAR(E97)+N97,0,IF((YEAR(D97)+19)=YEAR(E97),(12-MONTH(E97)+1)/12,1))))))))&gt;0,(((K97)*(IF(M97="",L97,IFERROR(IF(INDEX(Variablen!$I:$AT, MATCH(M97, Variablen!$A:$A, 0), MATCH((YEAR(D97)+19), Variablen!$I$3:$AT$3, 0))="",L97,INDEX(Variablen!$I:$AT, MATCH(M97, Variablen!$A:$A, 0), MATCH((YEAR(D97)+19), Variablen!$I$3:$AT$3, 0))),L97)))*(IF((YEAR(D97)+19)&lt;YEAR(E97),0,IF((YEAR(D97)+19)&gt;YEAR(E97),1,(12-MONTH(E97)+1)/12))) + (Q97)*(IF((YEAR(D97)+19)&lt;YEAR(E97),0,IF((YEAR(D97)+19)&gt;YEAR(E97),1,(12-MONTH(E97)+1)/12))))-((P97)*(IF((YEAR(D97)+19)&lt;YEAR(E97),0,IF((YEAR(D97)+19)&gt;YEAR(E97),1,(12-MONTH(E97)+1)/12))) + (R97)*(IF((YEAR(D97)+19)&lt;YEAR(E97),0,IF((YEAR(D97)+19)&gt;YEAR(E97),1,(12-MONTH(E97)+1)/12))))-(IF(OR(N97="",N97&lt;=0),0,(O97/N97)*(IF(OR(N97="",N97&lt;=0),0,IF((YEAR(D97)+19)&lt;YEAR(E97),0,IF((YEAR(D97)+19)&gt;=YEAR(E97)+N97,0,IF((YEAR(D97)+19)=YEAR(E97),(12-MONTH(E97)+1)/12,1))))))))*TaxRate,0))-IF(19=0,O97,0))</f>
        <v/>
      </c>
      <c r="AM97" s="29">
        <f>IF(A97="","",((K97)*(IF(M97="",L97,IFERROR(IF(INDEX(Variablen!$I:$AT, MATCH(M97, Variablen!$A:$A, 0), MATCH((YEAR(D97)+20), Variablen!$I$3:$AT$3, 0))="",L97,INDEX(Variablen!$I:$AT, MATCH(M97, Variablen!$A:$A, 0), MATCH((YEAR(D97)+20), Variablen!$I$3:$AT$3, 0))),L97)))*(IF((YEAR(D97)+20)&lt;YEAR(E97),0,IF((YEAR(D97)+20)&gt;YEAR(E97),1,(12-MONTH(E97)+1)/12))) + (Q97)*(IF((YEAR(D97)+20)&lt;YEAR(E97),0,IF((YEAR(D97)+20)&gt;YEAR(E97),1,(12-MONTH(E97)+1)/12))))-((P97)*(IF((YEAR(D97)+20)&lt;YEAR(E97),0,IF((YEAR(D97)+20)&gt;YEAR(E97),1,(12-MONTH(E97)+1)/12))) + (R97)*(IF((YEAR(D97)+20)&lt;YEAR(E97),0,IF((YEAR(D97)+20)&gt;YEAR(E97),1,(12-MONTH(E97)+1)/12))))-(IF((((K97)*(IF(M97="",L97,IFERROR(IF(INDEX(Variablen!$I:$AT, MATCH(M97, Variablen!$A:$A, 0), MATCH((YEAR(D97)+20), Variablen!$I$3:$AT$3, 0))="",L97,INDEX(Variablen!$I:$AT, MATCH(M97, Variablen!$A:$A, 0), MATCH((YEAR(D97)+20), Variablen!$I$3:$AT$3, 0))),L97)))*(IF((YEAR(D97)+20)&lt;YEAR(E97),0,IF((YEAR(D97)+20)&gt;YEAR(E97),1,(12-MONTH(E97)+1)/12))) + (Q97)*(IF((YEAR(D97)+20)&lt;YEAR(E97),0,IF((YEAR(D97)+20)&gt;YEAR(E97),1,(12-MONTH(E97)+1)/12))))-((P97)*(IF((YEAR(D97)+20)&lt;YEAR(E97),0,IF((YEAR(D97)+20)&gt;YEAR(E97),1,(12-MONTH(E97)+1)/12))) + (R97)*(IF((YEAR(D97)+20)&lt;YEAR(E97),0,IF((YEAR(D97)+20)&gt;YEAR(E97),1,(12-MONTH(E97)+1)/12))))-(IF(OR(N97="",N97&lt;=0),0,(O97/N97)*(IF(OR(N97="",N97&lt;=0),0,IF((YEAR(D97)+20)&lt;YEAR(E97),0,IF((YEAR(D97)+20)&gt;=YEAR(E97)+N97,0,IF((YEAR(D97)+20)=YEAR(E97),(12-MONTH(E97)+1)/12,1))))))))&gt;0,(((K97)*(IF(M97="",L97,IFERROR(IF(INDEX(Variablen!$I:$AT, MATCH(M97, Variablen!$A:$A, 0), MATCH((YEAR(D97)+20), Variablen!$I$3:$AT$3, 0))="",L97,INDEX(Variablen!$I:$AT, MATCH(M97, Variablen!$A:$A, 0), MATCH((YEAR(D97)+20), Variablen!$I$3:$AT$3, 0))),L97)))*(IF((YEAR(D97)+20)&lt;YEAR(E97),0,IF((YEAR(D97)+20)&gt;YEAR(E97),1,(12-MONTH(E97)+1)/12))) + (Q97)*(IF((YEAR(D97)+20)&lt;YEAR(E97),0,IF((YEAR(D97)+20)&gt;YEAR(E97),1,(12-MONTH(E97)+1)/12))))-((P97)*(IF((YEAR(D97)+20)&lt;YEAR(E97),0,IF((YEAR(D97)+20)&gt;YEAR(E97),1,(12-MONTH(E97)+1)/12))) + (R97)*(IF((YEAR(D97)+20)&lt;YEAR(E97),0,IF((YEAR(D97)+20)&gt;YEAR(E97),1,(12-MONTH(E97)+1)/12))))-(IF(OR(N97="",N97&lt;=0),0,(O97/N97)*(IF(OR(N97="",N97&lt;=0),0,IF((YEAR(D97)+20)&lt;YEAR(E97),0,IF((YEAR(D97)+20)&gt;=YEAR(E97)+N97,0,IF((YEAR(D97)+20)=YEAR(E97),(12-MONTH(E97)+1)/12,1))))))))*TaxRate,0))-IF(20=0,O97,0))</f>
        <v/>
      </c>
      <c r="AN97" s="29">
        <f>IF(A97="","",S97)</f>
        <v/>
      </c>
      <c r="AO97" s="29">
        <f>IF(A97="","",AN97+T97)</f>
        <v/>
      </c>
      <c r="AP97" s="29">
        <f>IF(A97="","",AO97+U97)</f>
        <v/>
      </c>
      <c r="AQ97" s="29">
        <f>IF(A97="","",AP97+V97)</f>
        <v/>
      </c>
      <c r="AR97" s="29">
        <f>IF(A97="","",AQ97+W97)</f>
        <v/>
      </c>
      <c r="AS97" s="29">
        <f>IF(A97="","",AR97+X97)</f>
        <v/>
      </c>
      <c r="AT97" s="29">
        <f>IF(A97="","",AS97+Y97)</f>
        <v/>
      </c>
      <c r="AU97" s="29">
        <f>IF(A97="","",AT97+Z97)</f>
        <v/>
      </c>
      <c r="AV97" s="29">
        <f>IF(A97="","",AU97+AA97)</f>
        <v/>
      </c>
      <c r="AW97" s="29">
        <f>IF(A97="","",AV97+AB97)</f>
        <v/>
      </c>
      <c r="AX97" s="29">
        <f>IF(A97="","",AW97+AC97)</f>
        <v/>
      </c>
      <c r="AY97" s="29">
        <f>IF(A97="","",AX97+AD97)</f>
        <v/>
      </c>
      <c r="AZ97" s="29">
        <f>IF(A97="","",AY97+AE97)</f>
        <v/>
      </c>
      <c r="BA97" s="29">
        <f>IF(A97="","",AZ97+AF97)</f>
        <v/>
      </c>
      <c r="BB97" s="29">
        <f>IF(A97="","",BA97+AG97)</f>
        <v/>
      </c>
      <c r="BC97" s="29">
        <f>IF(A97="","",BB97+AH97)</f>
        <v/>
      </c>
      <c r="BD97" s="29">
        <f>IF(A97="","",BC97+AI97)</f>
        <v/>
      </c>
      <c r="BE97" s="29">
        <f>IF(A97="","",BD97+AJ97)</f>
        <v/>
      </c>
      <c r="BF97" s="29">
        <f>IF(A97="","",BE97+AK97)</f>
        <v/>
      </c>
      <c r="BG97" s="29">
        <f>IF(A97="","",BF97+AL97)</f>
        <v/>
      </c>
      <c r="BH97" s="29">
        <f>IF(A97="","",BG97+AM97)</f>
        <v/>
      </c>
      <c r="BI97" s="36">
        <f>IF(A97="","",(K97)*(IF((YEAR(D97)+0)&lt;YEAR(E97),0,IF((YEAR(D97)+0)&gt;YEAR(E97),1,(12-MONTH(E97)+1)/12)))*(1/(1+DiscountRate)^0))</f>
        <v/>
      </c>
      <c r="BJ97" s="36">
        <f>IF(A97="","",(K97)*(IF((YEAR(D97)+1)&lt;YEAR(E97),0,IF((YEAR(D97)+1)&gt;YEAR(E97),1,(12-MONTH(E97)+1)/12)))*(1/(1+DiscountRate)^1))</f>
        <v/>
      </c>
      <c r="BK97" s="36">
        <f>IF(A97="","",(K97)*(IF((YEAR(D97)+2)&lt;YEAR(E97),0,IF((YEAR(D97)+2)&gt;YEAR(E97),1,(12-MONTH(E97)+1)/12)))*(1/(1+DiscountRate)^2))</f>
        <v/>
      </c>
      <c r="BL97" s="36">
        <f>IF(A97="","",(K97)*(IF((YEAR(D97)+3)&lt;YEAR(E97),0,IF((YEAR(D97)+3)&gt;YEAR(E97),1,(12-MONTH(E97)+1)/12)))*(1/(1+DiscountRate)^3))</f>
        <v/>
      </c>
      <c r="BM97" s="36">
        <f>IF(A97="","",(K97)*(IF((YEAR(D97)+4)&lt;YEAR(E97),0,IF((YEAR(D97)+4)&gt;YEAR(E97),1,(12-MONTH(E97)+1)/12)))*(1/(1+DiscountRate)^4))</f>
        <v/>
      </c>
      <c r="BN97" s="36">
        <f>IF(A97="","",(K97)*(IF((YEAR(D97)+5)&lt;YEAR(E97),0,IF((YEAR(D97)+5)&gt;YEAR(E97),1,(12-MONTH(E97)+1)/12)))*(1/(1+DiscountRate)^5))</f>
        <v/>
      </c>
      <c r="BO97" s="36">
        <f>IF(A97="","",(K97)*(IF((YEAR(D97)+6)&lt;YEAR(E97),0,IF((YEAR(D97)+6)&gt;YEAR(E97),1,(12-MONTH(E97)+1)/12)))*(1/(1+DiscountRate)^6))</f>
        <v/>
      </c>
      <c r="BP97" s="36">
        <f>IF(A97="","",(K97)*(IF((YEAR(D97)+7)&lt;YEAR(E97),0,IF((YEAR(D97)+7)&gt;YEAR(E97),1,(12-MONTH(E97)+1)/12)))*(1/(1+DiscountRate)^7))</f>
        <v/>
      </c>
      <c r="BQ97" s="36">
        <f>IF(A97="","",(K97)*(IF((YEAR(D97)+8)&lt;YEAR(E97),0,IF((YEAR(D97)+8)&gt;YEAR(E97),1,(12-MONTH(E97)+1)/12)))*(1/(1+DiscountRate)^8))</f>
        <v/>
      </c>
      <c r="BR97" s="36">
        <f>IF(A97="","",(K97)*(IF((YEAR(D97)+9)&lt;YEAR(E97),0,IF((YEAR(D97)+9)&gt;YEAR(E97),1,(12-MONTH(E97)+1)/12)))*(1/(1+DiscountRate)^9))</f>
        <v/>
      </c>
      <c r="BS97" s="36">
        <f>IF(A97="","",(K97)*(IF((YEAR(D97)+10)&lt;YEAR(E97),0,IF((YEAR(D97)+10)&gt;YEAR(E97),1,(12-MONTH(E97)+1)/12)))*(1/(1+DiscountRate)^10))</f>
        <v/>
      </c>
      <c r="BT97" s="36">
        <f>IF(A97="","",(K97)*(IF((YEAR(D97)+11)&lt;YEAR(E97),0,IF((YEAR(D97)+11)&gt;YEAR(E97),1,(12-MONTH(E97)+1)/12)))*(1/(1+DiscountRate)^11))</f>
        <v/>
      </c>
      <c r="BU97" s="36">
        <f>IF(A97="","",(K97)*(IF((YEAR(D97)+12)&lt;YEAR(E97),0,IF((YEAR(D97)+12)&gt;YEAR(E97),1,(12-MONTH(E97)+1)/12)))*(1/(1+DiscountRate)^12))</f>
        <v/>
      </c>
      <c r="BV97" s="36">
        <f>IF(A97="","",(K97)*(IF((YEAR(D97)+13)&lt;YEAR(E97),0,IF((YEAR(D97)+13)&gt;YEAR(E97),1,(12-MONTH(E97)+1)/12)))*(1/(1+DiscountRate)^13))</f>
        <v/>
      </c>
      <c r="BW97" s="36">
        <f>IF(A97="","",(K97)*(IF((YEAR(D97)+14)&lt;YEAR(E97),0,IF((YEAR(D97)+14)&gt;YEAR(E97),1,(12-MONTH(E97)+1)/12)))*(1/(1+DiscountRate)^14))</f>
        <v/>
      </c>
      <c r="BX97" s="36">
        <f>IF(A97="","",(K97)*(IF((YEAR(D97)+15)&lt;YEAR(E97),0,IF((YEAR(D97)+15)&gt;YEAR(E97),1,(12-MONTH(E97)+1)/12)))*(1/(1+DiscountRate)^15))</f>
        <v/>
      </c>
      <c r="BY97" s="36">
        <f>IF(A97="","",(K97)*(IF((YEAR(D97)+16)&lt;YEAR(E97),0,IF((YEAR(D97)+16)&gt;YEAR(E97),1,(12-MONTH(E97)+1)/12)))*(1/(1+DiscountRate)^16))</f>
        <v/>
      </c>
      <c r="BZ97" s="36">
        <f>IF(A97="","",(K97)*(IF((YEAR(D97)+17)&lt;YEAR(E97),0,IF((YEAR(D97)+17)&gt;YEAR(E97),1,(12-MONTH(E97)+1)/12)))*(1/(1+DiscountRate)^17))</f>
        <v/>
      </c>
      <c r="CA97" s="36">
        <f>IF(A97="","",(K97)*(IF((YEAR(D97)+18)&lt;YEAR(E97),0,IF((YEAR(D97)+18)&gt;YEAR(E97),1,(12-MONTH(E97)+1)/12)))*(1/(1+DiscountRate)^18))</f>
        <v/>
      </c>
      <c r="CB97" s="36">
        <f>IF(A97="","",(K97)*(IF((YEAR(D97)+19)&lt;YEAR(E97),0,IF((YEAR(D97)+19)&gt;YEAR(E97),1,(12-MONTH(E97)+1)/12)))*(1/(1+DiscountRate)^19))</f>
        <v/>
      </c>
      <c r="CC97" s="36">
        <f>IF(A97="","",(K97)*(IF((YEAR(D97)+20)&lt;YEAR(E97),0,IF((YEAR(D97)+20)&gt;YEAR(E97),1,(12-MONTH(E97)+1)/12)))*(1/(1+DiscountRate)^20))</f>
        <v/>
      </c>
      <c r="CD97" s="29">
        <f>IF(A97="","",S97/(1+DiscountRate)^0+T97/(1+DiscountRate)^1+U97/(1+DiscountRate)^2+V97/(1+DiscountRate)^3+W97/(1+DiscountRate)^4+X97/(1+DiscountRate)^5+Y97/(1+DiscountRate)^6+Z97/(1+DiscountRate)^7+AA97/(1+DiscountRate)^8+AB97/(1+DiscountRate)^9+AC97/(1+DiscountRate)^10+AD97/(1+DiscountRate)^11+AE97/(1+DiscountRate)^12+AF97/(1+DiscountRate)^13+AG97/(1+DiscountRate)^14+AH97/(1+DiscountRate)^15+AI97/(1+DiscountRate)^16+AJ97/(1+DiscountRate)^17+AK97/(1+DiscountRate)^18+AL97/(1+DiscountRate)^19+AM97/(1+DiscountRate)^20)</f>
        <v/>
      </c>
      <c r="CE97" s="37">
        <f>IF(A97="","",IFERROR(IRR(OFFSET(S97,0,0,1,MIN(HorizonYears,20)+1)),"n/a"))</f>
        <v/>
      </c>
      <c r="CF97" s="28">
        <f>IF(A97="","",IFERROR(MATCH(TRUE,OFFSET(AN97,0,0,1,MIN(HorizonYears,20)+1)&gt;=0,0)-1,"n/a"))</f>
        <v/>
      </c>
      <c r="CG97" s="36">
        <f>IF(A97="","",SUM(OFFSET(BI97,0,0,1,MIN(HorizonYears,20)+1)))</f>
        <v/>
      </c>
      <c r="CH97" s="36">
        <f>IF(A97="","",IFERROR(-CD97/CG97,"n/a"))</f>
        <v/>
      </c>
    </row>
    <row r="98">
      <c r="A98" s="6">
        <f>Actions!A96</f>
        <v/>
      </c>
      <c r="B98" s="6">
        <f>Actions!B96</f>
        <v/>
      </c>
      <c r="C98" s="6">
        <f>Actions!D96</f>
        <v/>
      </c>
      <c r="D98" s="35">
        <f>Actions!E96</f>
        <v/>
      </c>
      <c r="E98" s="35">
        <f>Actions!F96</f>
        <v/>
      </c>
      <c r="F98" s="6">
        <f>Actions!G96</f>
        <v/>
      </c>
      <c r="G98" s="6">
        <f>Actions!H96</f>
        <v/>
      </c>
      <c r="H98" s="29">
        <f>Actions!I96</f>
        <v/>
      </c>
      <c r="I98" s="6">
        <f>Actions!J96</f>
        <v/>
      </c>
      <c r="J98" s="16">
        <f>Actions!K96</f>
        <v/>
      </c>
      <c r="K98" s="16">
        <f>IF(A98="","",IF(I98="%",H98*J98,J98))</f>
        <v/>
      </c>
      <c r="L98" s="16">
        <f>Actions!L96</f>
        <v/>
      </c>
      <c r="M98" s="6">
        <f>Actions!M96</f>
        <v/>
      </c>
      <c r="N98" s="28">
        <f>Actions!N96</f>
        <v/>
      </c>
      <c r="O98" s="29">
        <f>Actions!T96</f>
        <v/>
      </c>
      <c r="P98" s="29">
        <f>Actions!Y96</f>
        <v/>
      </c>
      <c r="Q98" s="29">
        <f>Actions!Z96</f>
        <v/>
      </c>
      <c r="R98" s="29">
        <f>Actions!AA96</f>
        <v/>
      </c>
      <c r="S98" s="29">
        <f>IF(A98="","",((K98)*(IF(M98="",L98,IFERROR(IF(INDEX(Variablen!$I:$AT, MATCH(M98, Variablen!$A:$A, 0), MATCH((YEAR(D98)+0), Variablen!$I$3:$AT$3, 0))="",L98,INDEX(Variablen!$I:$AT, MATCH(M98, Variablen!$A:$A, 0), MATCH((YEAR(D98)+0), Variablen!$I$3:$AT$3, 0))),L98)))*(IF((YEAR(D98)+0)&lt;YEAR(E98),0,IF((YEAR(D98)+0)&gt;YEAR(E98),1,(12-MONTH(E98)+1)/12))) + (Q98)*(IF((YEAR(D98)+0)&lt;YEAR(E98),0,IF((YEAR(D98)+0)&gt;YEAR(E98),1,(12-MONTH(E98)+1)/12))))-((P98)*(IF((YEAR(D98)+0)&lt;YEAR(E98),0,IF((YEAR(D98)+0)&gt;YEAR(E98),1,(12-MONTH(E98)+1)/12))) + (R98)*(IF((YEAR(D98)+0)&lt;YEAR(E98),0,IF((YEAR(D98)+0)&gt;YEAR(E98),1,(12-MONTH(E98)+1)/12))))-(IF((((K98)*(IF(M98="",L98,IFERROR(IF(INDEX(Variablen!$I:$AT, MATCH(M98, Variablen!$A:$A, 0), MATCH((YEAR(D98)+0), Variablen!$I$3:$AT$3, 0))="",L98,INDEX(Variablen!$I:$AT, MATCH(M98, Variablen!$A:$A, 0), MATCH((YEAR(D98)+0), Variablen!$I$3:$AT$3, 0))),L98)))*(IF((YEAR(D98)+0)&lt;YEAR(E98),0,IF((YEAR(D98)+0)&gt;YEAR(E98),1,(12-MONTH(E98)+1)/12))) + (Q98)*(IF((YEAR(D98)+0)&lt;YEAR(E98),0,IF((YEAR(D98)+0)&gt;YEAR(E98),1,(12-MONTH(E98)+1)/12))))-((P98)*(IF((YEAR(D98)+0)&lt;YEAR(E98),0,IF((YEAR(D98)+0)&gt;YEAR(E98),1,(12-MONTH(E98)+1)/12))) + (R98)*(IF((YEAR(D98)+0)&lt;YEAR(E98),0,IF((YEAR(D98)+0)&gt;YEAR(E98),1,(12-MONTH(E98)+1)/12))))-(IF(OR(N98="",N98&lt;=0),0,(O98/N98)*(IF(OR(N98="",N98&lt;=0),0,IF((YEAR(D98)+0)&lt;YEAR(E98),0,IF((YEAR(D98)+0)&gt;=YEAR(E98)+N98,0,IF((YEAR(D98)+0)=YEAR(E98),(12-MONTH(E98)+1)/12,1))))))))&gt;0,(((K98)*(IF(M98="",L98,IFERROR(IF(INDEX(Variablen!$I:$AT, MATCH(M98, Variablen!$A:$A, 0), MATCH((YEAR(D98)+0), Variablen!$I$3:$AT$3, 0))="",L98,INDEX(Variablen!$I:$AT, MATCH(M98, Variablen!$A:$A, 0), MATCH((YEAR(D98)+0), Variablen!$I$3:$AT$3, 0))),L98)))*(IF((YEAR(D98)+0)&lt;YEAR(E98),0,IF((YEAR(D98)+0)&gt;YEAR(E98),1,(12-MONTH(E98)+1)/12))) + (Q98)*(IF((YEAR(D98)+0)&lt;YEAR(E98),0,IF((YEAR(D98)+0)&gt;YEAR(E98),1,(12-MONTH(E98)+1)/12))))-((P98)*(IF((YEAR(D98)+0)&lt;YEAR(E98),0,IF((YEAR(D98)+0)&gt;YEAR(E98),1,(12-MONTH(E98)+1)/12))) + (R98)*(IF((YEAR(D98)+0)&lt;YEAR(E98),0,IF((YEAR(D98)+0)&gt;YEAR(E98),1,(12-MONTH(E98)+1)/12))))-(IF(OR(N98="",N98&lt;=0),0,(O98/N98)*(IF(OR(N98="",N98&lt;=0),0,IF((YEAR(D98)+0)&lt;YEAR(E98),0,IF((YEAR(D98)+0)&gt;=YEAR(E98)+N98,0,IF((YEAR(D98)+0)=YEAR(E98),(12-MONTH(E98)+1)/12,1))))))))*TaxRate,0))-IF(0=0,O98,0))</f>
        <v/>
      </c>
      <c r="T98" s="29">
        <f>IF(A98="","",((K98)*(IF(M98="",L98,IFERROR(IF(INDEX(Variablen!$I:$AT, MATCH(M98, Variablen!$A:$A, 0), MATCH((YEAR(D98)+1), Variablen!$I$3:$AT$3, 0))="",L98,INDEX(Variablen!$I:$AT, MATCH(M98, Variablen!$A:$A, 0), MATCH((YEAR(D98)+1), Variablen!$I$3:$AT$3, 0))),L98)))*(IF((YEAR(D98)+1)&lt;YEAR(E98),0,IF((YEAR(D98)+1)&gt;YEAR(E98),1,(12-MONTH(E98)+1)/12))) + (Q98)*(IF((YEAR(D98)+1)&lt;YEAR(E98),0,IF((YEAR(D98)+1)&gt;YEAR(E98),1,(12-MONTH(E98)+1)/12))))-((P98)*(IF((YEAR(D98)+1)&lt;YEAR(E98),0,IF((YEAR(D98)+1)&gt;YEAR(E98),1,(12-MONTH(E98)+1)/12))) + (R98)*(IF((YEAR(D98)+1)&lt;YEAR(E98),0,IF((YEAR(D98)+1)&gt;YEAR(E98),1,(12-MONTH(E98)+1)/12))))-(IF((((K98)*(IF(M98="",L98,IFERROR(IF(INDEX(Variablen!$I:$AT, MATCH(M98, Variablen!$A:$A, 0), MATCH((YEAR(D98)+1), Variablen!$I$3:$AT$3, 0))="",L98,INDEX(Variablen!$I:$AT, MATCH(M98, Variablen!$A:$A, 0), MATCH((YEAR(D98)+1), Variablen!$I$3:$AT$3, 0))),L98)))*(IF((YEAR(D98)+1)&lt;YEAR(E98),0,IF((YEAR(D98)+1)&gt;YEAR(E98),1,(12-MONTH(E98)+1)/12))) + (Q98)*(IF((YEAR(D98)+1)&lt;YEAR(E98),0,IF((YEAR(D98)+1)&gt;YEAR(E98),1,(12-MONTH(E98)+1)/12))))-((P98)*(IF((YEAR(D98)+1)&lt;YEAR(E98),0,IF((YEAR(D98)+1)&gt;YEAR(E98),1,(12-MONTH(E98)+1)/12))) + (R98)*(IF((YEAR(D98)+1)&lt;YEAR(E98),0,IF((YEAR(D98)+1)&gt;YEAR(E98),1,(12-MONTH(E98)+1)/12))))-(IF(OR(N98="",N98&lt;=0),0,(O98/N98)*(IF(OR(N98="",N98&lt;=0),0,IF((YEAR(D98)+1)&lt;YEAR(E98),0,IF((YEAR(D98)+1)&gt;=YEAR(E98)+N98,0,IF((YEAR(D98)+1)=YEAR(E98),(12-MONTH(E98)+1)/12,1))))))))&gt;0,(((K98)*(IF(M98="",L98,IFERROR(IF(INDEX(Variablen!$I:$AT, MATCH(M98, Variablen!$A:$A, 0), MATCH((YEAR(D98)+1), Variablen!$I$3:$AT$3, 0))="",L98,INDEX(Variablen!$I:$AT, MATCH(M98, Variablen!$A:$A, 0), MATCH((YEAR(D98)+1), Variablen!$I$3:$AT$3, 0))),L98)))*(IF((YEAR(D98)+1)&lt;YEAR(E98),0,IF((YEAR(D98)+1)&gt;YEAR(E98),1,(12-MONTH(E98)+1)/12))) + (Q98)*(IF((YEAR(D98)+1)&lt;YEAR(E98),0,IF((YEAR(D98)+1)&gt;YEAR(E98),1,(12-MONTH(E98)+1)/12))))-((P98)*(IF((YEAR(D98)+1)&lt;YEAR(E98),0,IF((YEAR(D98)+1)&gt;YEAR(E98),1,(12-MONTH(E98)+1)/12))) + (R98)*(IF((YEAR(D98)+1)&lt;YEAR(E98),0,IF((YEAR(D98)+1)&gt;YEAR(E98),1,(12-MONTH(E98)+1)/12))))-(IF(OR(N98="",N98&lt;=0),0,(O98/N98)*(IF(OR(N98="",N98&lt;=0),0,IF((YEAR(D98)+1)&lt;YEAR(E98),0,IF((YEAR(D98)+1)&gt;=YEAR(E98)+N98,0,IF((YEAR(D98)+1)=YEAR(E98),(12-MONTH(E98)+1)/12,1))))))))*TaxRate,0))-IF(1=0,O98,0))</f>
        <v/>
      </c>
      <c r="U98" s="29">
        <f>IF(A98="","",((K98)*(IF(M98="",L98,IFERROR(IF(INDEX(Variablen!$I:$AT, MATCH(M98, Variablen!$A:$A, 0), MATCH((YEAR(D98)+2), Variablen!$I$3:$AT$3, 0))="",L98,INDEX(Variablen!$I:$AT, MATCH(M98, Variablen!$A:$A, 0), MATCH((YEAR(D98)+2), Variablen!$I$3:$AT$3, 0))),L98)))*(IF((YEAR(D98)+2)&lt;YEAR(E98),0,IF((YEAR(D98)+2)&gt;YEAR(E98),1,(12-MONTH(E98)+1)/12))) + (Q98)*(IF((YEAR(D98)+2)&lt;YEAR(E98),0,IF((YEAR(D98)+2)&gt;YEAR(E98),1,(12-MONTH(E98)+1)/12))))-((P98)*(IF((YEAR(D98)+2)&lt;YEAR(E98),0,IF((YEAR(D98)+2)&gt;YEAR(E98),1,(12-MONTH(E98)+1)/12))) + (R98)*(IF((YEAR(D98)+2)&lt;YEAR(E98),0,IF((YEAR(D98)+2)&gt;YEAR(E98),1,(12-MONTH(E98)+1)/12))))-(IF((((K98)*(IF(M98="",L98,IFERROR(IF(INDEX(Variablen!$I:$AT, MATCH(M98, Variablen!$A:$A, 0), MATCH((YEAR(D98)+2), Variablen!$I$3:$AT$3, 0))="",L98,INDEX(Variablen!$I:$AT, MATCH(M98, Variablen!$A:$A, 0), MATCH((YEAR(D98)+2), Variablen!$I$3:$AT$3, 0))),L98)))*(IF((YEAR(D98)+2)&lt;YEAR(E98),0,IF((YEAR(D98)+2)&gt;YEAR(E98),1,(12-MONTH(E98)+1)/12))) + (Q98)*(IF((YEAR(D98)+2)&lt;YEAR(E98),0,IF((YEAR(D98)+2)&gt;YEAR(E98),1,(12-MONTH(E98)+1)/12))))-((P98)*(IF((YEAR(D98)+2)&lt;YEAR(E98),0,IF((YEAR(D98)+2)&gt;YEAR(E98),1,(12-MONTH(E98)+1)/12))) + (R98)*(IF((YEAR(D98)+2)&lt;YEAR(E98),0,IF((YEAR(D98)+2)&gt;YEAR(E98),1,(12-MONTH(E98)+1)/12))))-(IF(OR(N98="",N98&lt;=0),0,(O98/N98)*(IF(OR(N98="",N98&lt;=0),0,IF((YEAR(D98)+2)&lt;YEAR(E98),0,IF((YEAR(D98)+2)&gt;=YEAR(E98)+N98,0,IF((YEAR(D98)+2)=YEAR(E98),(12-MONTH(E98)+1)/12,1))))))))&gt;0,(((K98)*(IF(M98="",L98,IFERROR(IF(INDEX(Variablen!$I:$AT, MATCH(M98, Variablen!$A:$A, 0), MATCH((YEAR(D98)+2), Variablen!$I$3:$AT$3, 0))="",L98,INDEX(Variablen!$I:$AT, MATCH(M98, Variablen!$A:$A, 0), MATCH((YEAR(D98)+2), Variablen!$I$3:$AT$3, 0))),L98)))*(IF((YEAR(D98)+2)&lt;YEAR(E98),0,IF((YEAR(D98)+2)&gt;YEAR(E98),1,(12-MONTH(E98)+1)/12))) + (Q98)*(IF((YEAR(D98)+2)&lt;YEAR(E98),0,IF((YEAR(D98)+2)&gt;YEAR(E98),1,(12-MONTH(E98)+1)/12))))-((P98)*(IF((YEAR(D98)+2)&lt;YEAR(E98),0,IF((YEAR(D98)+2)&gt;YEAR(E98),1,(12-MONTH(E98)+1)/12))) + (R98)*(IF((YEAR(D98)+2)&lt;YEAR(E98),0,IF((YEAR(D98)+2)&gt;YEAR(E98),1,(12-MONTH(E98)+1)/12))))-(IF(OR(N98="",N98&lt;=0),0,(O98/N98)*(IF(OR(N98="",N98&lt;=0),0,IF((YEAR(D98)+2)&lt;YEAR(E98),0,IF((YEAR(D98)+2)&gt;=YEAR(E98)+N98,0,IF((YEAR(D98)+2)=YEAR(E98),(12-MONTH(E98)+1)/12,1))))))))*TaxRate,0))-IF(2=0,O98,0))</f>
        <v/>
      </c>
      <c r="V98" s="29">
        <f>IF(A98="","",((K98)*(IF(M98="",L98,IFERROR(IF(INDEX(Variablen!$I:$AT, MATCH(M98, Variablen!$A:$A, 0), MATCH((YEAR(D98)+3), Variablen!$I$3:$AT$3, 0))="",L98,INDEX(Variablen!$I:$AT, MATCH(M98, Variablen!$A:$A, 0), MATCH((YEAR(D98)+3), Variablen!$I$3:$AT$3, 0))),L98)))*(IF((YEAR(D98)+3)&lt;YEAR(E98),0,IF((YEAR(D98)+3)&gt;YEAR(E98),1,(12-MONTH(E98)+1)/12))) + (Q98)*(IF((YEAR(D98)+3)&lt;YEAR(E98),0,IF((YEAR(D98)+3)&gt;YEAR(E98),1,(12-MONTH(E98)+1)/12))))-((P98)*(IF((YEAR(D98)+3)&lt;YEAR(E98),0,IF((YEAR(D98)+3)&gt;YEAR(E98),1,(12-MONTH(E98)+1)/12))) + (R98)*(IF((YEAR(D98)+3)&lt;YEAR(E98),0,IF((YEAR(D98)+3)&gt;YEAR(E98),1,(12-MONTH(E98)+1)/12))))-(IF((((K98)*(IF(M98="",L98,IFERROR(IF(INDEX(Variablen!$I:$AT, MATCH(M98, Variablen!$A:$A, 0), MATCH((YEAR(D98)+3), Variablen!$I$3:$AT$3, 0))="",L98,INDEX(Variablen!$I:$AT, MATCH(M98, Variablen!$A:$A, 0), MATCH((YEAR(D98)+3), Variablen!$I$3:$AT$3, 0))),L98)))*(IF((YEAR(D98)+3)&lt;YEAR(E98),0,IF((YEAR(D98)+3)&gt;YEAR(E98),1,(12-MONTH(E98)+1)/12))) + (Q98)*(IF((YEAR(D98)+3)&lt;YEAR(E98),0,IF((YEAR(D98)+3)&gt;YEAR(E98),1,(12-MONTH(E98)+1)/12))))-((P98)*(IF((YEAR(D98)+3)&lt;YEAR(E98),0,IF((YEAR(D98)+3)&gt;YEAR(E98),1,(12-MONTH(E98)+1)/12))) + (R98)*(IF((YEAR(D98)+3)&lt;YEAR(E98),0,IF((YEAR(D98)+3)&gt;YEAR(E98),1,(12-MONTH(E98)+1)/12))))-(IF(OR(N98="",N98&lt;=0),0,(O98/N98)*(IF(OR(N98="",N98&lt;=0),0,IF((YEAR(D98)+3)&lt;YEAR(E98),0,IF((YEAR(D98)+3)&gt;=YEAR(E98)+N98,0,IF((YEAR(D98)+3)=YEAR(E98),(12-MONTH(E98)+1)/12,1))))))))&gt;0,(((K98)*(IF(M98="",L98,IFERROR(IF(INDEX(Variablen!$I:$AT, MATCH(M98, Variablen!$A:$A, 0), MATCH((YEAR(D98)+3), Variablen!$I$3:$AT$3, 0))="",L98,INDEX(Variablen!$I:$AT, MATCH(M98, Variablen!$A:$A, 0), MATCH((YEAR(D98)+3), Variablen!$I$3:$AT$3, 0))),L98)))*(IF((YEAR(D98)+3)&lt;YEAR(E98),0,IF((YEAR(D98)+3)&gt;YEAR(E98),1,(12-MONTH(E98)+1)/12))) + (Q98)*(IF((YEAR(D98)+3)&lt;YEAR(E98),0,IF((YEAR(D98)+3)&gt;YEAR(E98),1,(12-MONTH(E98)+1)/12))))-((P98)*(IF((YEAR(D98)+3)&lt;YEAR(E98),0,IF((YEAR(D98)+3)&gt;YEAR(E98),1,(12-MONTH(E98)+1)/12))) + (R98)*(IF((YEAR(D98)+3)&lt;YEAR(E98),0,IF((YEAR(D98)+3)&gt;YEAR(E98),1,(12-MONTH(E98)+1)/12))))-(IF(OR(N98="",N98&lt;=0),0,(O98/N98)*(IF(OR(N98="",N98&lt;=0),0,IF((YEAR(D98)+3)&lt;YEAR(E98),0,IF((YEAR(D98)+3)&gt;=YEAR(E98)+N98,0,IF((YEAR(D98)+3)=YEAR(E98),(12-MONTH(E98)+1)/12,1))))))))*TaxRate,0))-IF(3=0,O98,0))</f>
        <v/>
      </c>
      <c r="W98" s="29">
        <f>IF(A98="","",((K98)*(IF(M98="",L98,IFERROR(IF(INDEX(Variablen!$I:$AT, MATCH(M98, Variablen!$A:$A, 0), MATCH((YEAR(D98)+4), Variablen!$I$3:$AT$3, 0))="",L98,INDEX(Variablen!$I:$AT, MATCH(M98, Variablen!$A:$A, 0), MATCH((YEAR(D98)+4), Variablen!$I$3:$AT$3, 0))),L98)))*(IF((YEAR(D98)+4)&lt;YEAR(E98),0,IF((YEAR(D98)+4)&gt;YEAR(E98),1,(12-MONTH(E98)+1)/12))) + (Q98)*(IF((YEAR(D98)+4)&lt;YEAR(E98),0,IF((YEAR(D98)+4)&gt;YEAR(E98),1,(12-MONTH(E98)+1)/12))))-((P98)*(IF((YEAR(D98)+4)&lt;YEAR(E98),0,IF((YEAR(D98)+4)&gt;YEAR(E98),1,(12-MONTH(E98)+1)/12))) + (R98)*(IF((YEAR(D98)+4)&lt;YEAR(E98),0,IF((YEAR(D98)+4)&gt;YEAR(E98),1,(12-MONTH(E98)+1)/12))))-(IF((((K98)*(IF(M98="",L98,IFERROR(IF(INDEX(Variablen!$I:$AT, MATCH(M98, Variablen!$A:$A, 0), MATCH((YEAR(D98)+4), Variablen!$I$3:$AT$3, 0))="",L98,INDEX(Variablen!$I:$AT, MATCH(M98, Variablen!$A:$A, 0), MATCH((YEAR(D98)+4), Variablen!$I$3:$AT$3, 0))),L98)))*(IF((YEAR(D98)+4)&lt;YEAR(E98),0,IF((YEAR(D98)+4)&gt;YEAR(E98),1,(12-MONTH(E98)+1)/12))) + (Q98)*(IF((YEAR(D98)+4)&lt;YEAR(E98),0,IF((YEAR(D98)+4)&gt;YEAR(E98),1,(12-MONTH(E98)+1)/12))))-((P98)*(IF((YEAR(D98)+4)&lt;YEAR(E98),0,IF((YEAR(D98)+4)&gt;YEAR(E98),1,(12-MONTH(E98)+1)/12))) + (R98)*(IF((YEAR(D98)+4)&lt;YEAR(E98),0,IF((YEAR(D98)+4)&gt;YEAR(E98),1,(12-MONTH(E98)+1)/12))))-(IF(OR(N98="",N98&lt;=0),0,(O98/N98)*(IF(OR(N98="",N98&lt;=0),0,IF((YEAR(D98)+4)&lt;YEAR(E98),0,IF((YEAR(D98)+4)&gt;=YEAR(E98)+N98,0,IF((YEAR(D98)+4)=YEAR(E98),(12-MONTH(E98)+1)/12,1))))))))&gt;0,(((K98)*(IF(M98="",L98,IFERROR(IF(INDEX(Variablen!$I:$AT, MATCH(M98, Variablen!$A:$A, 0), MATCH((YEAR(D98)+4), Variablen!$I$3:$AT$3, 0))="",L98,INDEX(Variablen!$I:$AT, MATCH(M98, Variablen!$A:$A, 0), MATCH((YEAR(D98)+4), Variablen!$I$3:$AT$3, 0))),L98)))*(IF((YEAR(D98)+4)&lt;YEAR(E98),0,IF((YEAR(D98)+4)&gt;YEAR(E98),1,(12-MONTH(E98)+1)/12))) + (Q98)*(IF((YEAR(D98)+4)&lt;YEAR(E98),0,IF((YEAR(D98)+4)&gt;YEAR(E98),1,(12-MONTH(E98)+1)/12))))-((P98)*(IF((YEAR(D98)+4)&lt;YEAR(E98),0,IF((YEAR(D98)+4)&gt;YEAR(E98),1,(12-MONTH(E98)+1)/12))) + (R98)*(IF((YEAR(D98)+4)&lt;YEAR(E98),0,IF((YEAR(D98)+4)&gt;YEAR(E98),1,(12-MONTH(E98)+1)/12))))-(IF(OR(N98="",N98&lt;=0),0,(O98/N98)*(IF(OR(N98="",N98&lt;=0),0,IF((YEAR(D98)+4)&lt;YEAR(E98),0,IF((YEAR(D98)+4)&gt;=YEAR(E98)+N98,0,IF((YEAR(D98)+4)=YEAR(E98),(12-MONTH(E98)+1)/12,1))))))))*TaxRate,0))-IF(4=0,O98,0))</f>
        <v/>
      </c>
      <c r="X98" s="29">
        <f>IF(A98="","",((K98)*(IF(M98="",L98,IFERROR(IF(INDEX(Variablen!$I:$AT, MATCH(M98, Variablen!$A:$A, 0), MATCH((YEAR(D98)+5), Variablen!$I$3:$AT$3, 0))="",L98,INDEX(Variablen!$I:$AT, MATCH(M98, Variablen!$A:$A, 0), MATCH((YEAR(D98)+5), Variablen!$I$3:$AT$3, 0))),L98)))*(IF((YEAR(D98)+5)&lt;YEAR(E98),0,IF((YEAR(D98)+5)&gt;YEAR(E98),1,(12-MONTH(E98)+1)/12))) + (Q98)*(IF((YEAR(D98)+5)&lt;YEAR(E98),0,IF((YEAR(D98)+5)&gt;YEAR(E98),1,(12-MONTH(E98)+1)/12))))-((P98)*(IF((YEAR(D98)+5)&lt;YEAR(E98),0,IF((YEAR(D98)+5)&gt;YEAR(E98),1,(12-MONTH(E98)+1)/12))) + (R98)*(IF((YEAR(D98)+5)&lt;YEAR(E98),0,IF((YEAR(D98)+5)&gt;YEAR(E98),1,(12-MONTH(E98)+1)/12))))-(IF((((K98)*(IF(M98="",L98,IFERROR(IF(INDEX(Variablen!$I:$AT, MATCH(M98, Variablen!$A:$A, 0), MATCH((YEAR(D98)+5), Variablen!$I$3:$AT$3, 0))="",L98,INDEX(Variablen!$I:$AT, MATCH(M98, Variablen!$A:$A, 0), MATCH((YEAR(D98)+5), Variablen!$I$3:$AT$3, 0))),L98)))*(IF((YEAR(D98)+5)&lt;YEAR(E98),0,IF((YEAR(D98)+5)&gt;YEAR(E98),1,(12-MONTH(E98)+1)/12))) + (Q98)*(IF((YEAR(D98)+5)&lt;YEAR(E98),0,IF((YEAR(D98)+5)&gt;YEAR(E98),1,(12-MONTH(E98)+1)/12))))-((P98)*(IF((YEAR(D98)+5)&lt;YEAR(E98),0,IF((YEAR(D98)+5)&gt;YEAR(E98),1,(12-MONTH(E98)+1)/12))) + (R98)*(IF((YEAR(D98)+5)&lt;YEAR(E98),0,IF((YEAR(D98)+5)&gt;YEAR(E98),1,(12-MONTH(E98)+1)/12))))-(IF(OR(N98="",N98&lt;=0),0,(O98/N98)*(IF(OR(N98="",N98&lt;=0),0,IF((YEAR(D98)+5)&lt;YEAR(E98),0,IF((YEAR(D98)+5)&gt;=YEAR(E98)+N98,0,IF((YEAR(D98)+5)=YEAR(E98),(12-MONTH(E98)+1)/12,1))))))))&gt;0,(((K98)*(IF(M98="",L98,IFERROR(IF(INDEX(Variablen!$I:$AT, MATCH(M98, Variablen!$A:$A, 0), MATCH((YEAR(D98)+5), Variablen!$I$3:$AT$3, 0))="",L98,INDEX(Variablen!$I:$AT, MATCH(M98, Variablen!$A:$A, 0), MATCH((YEAR(D98)+5), Variablen!$I$3:$AT$3, 0))),L98)))*(IF((YEAR(D98)+5)&lt;YEAR(E98),0,IF((YEAR(D98)+5)&gt;YEAR(E98),1,(12-MONTH(E98)+1)/12))) + (Q98)*(IF((YEAR(D98)+5)&lt;YEAR(E98),0,IF((YEAR(D98)+5)&gt;YEAR(E98),1,(12-MONTH(E98)+1)/12))))-((P98)*(IF((YEAR(D98)+5)&lt;YEAR(E98),0,IF((YEAR(D98)+5)&gt;YEAR(E98),1,(12-MONTH(E98)+1)/12))) + (R98)*(IF((YEAR(D98)+5)&lt;YEAR(E98),0,IF((YEAR(D98)+5)&gt;YEAR(E98),1,(12-MONTH(E98)+1)/12))))-(IF(OR(N98="",N98&lt;=0),0,(O98/N98)*(IF(OR(N98="",N98&lt;=0),0,IF((YEAR(D98)+5)&lt;YEAR(E98),0,IF((YEAR(D98)+5)&gt;=YEAR(E98)+N98,0,IF((YEAR(D98)+5)=YEAR(E98),(12-MONTH(E98)+1)/12,1))))))))*TaxRate,0))-IF(5=0,O98,0))</f>
        <v/>
      </c>
      <c r="Y98" s="29">
        <f>IF(A98="","",((K98)*(IF(M98="",L98,IFERROR(IF(INDEX(Variablen!$I:$AT, MATCH(M98, Variablen!$A:$A, 0), MATCH((YEAR(D98)+6), Variablen!$I$3:$AT$3, 0))="",L98,INDEX(Variablen!$I:$AT, MATCH(M98, Variablen!$A:$A, 0), MATCH((YEAR(D98)+6), Variablen!$I$3:$AT$3, 0))),L98)))*(IF((YEAR(D98)+6)&lt;YEAR(E98),0,IF((YEAR(D98)+6)&gt;YEAR(E98),1,(12-MONTH(E98)+1)/12))) + (Q98)*(IF((YEAR(D98)+6)&lt;YEAR(E98),0,IF((YEAR(D98)+6)&gt;YEAR(E98),1,(12-MONTH(E98)+1)/12))))-((P98)*(IF((YEAR(D98)+6)&lt;YEAR(E98),0,IF((YEAR(D98)+6)&gt;YEAR(E98),1,(12-MONTH(E98)+1)/12))) + (R98)*(IF((YEAR(D98)+6)&lt;YEAR(E98),0,IF((YEAR(D98)+6)&gt;YEAR(E98),1,(12-MONTH(E98)+1)/12))))-(IF((((K98)*(IF(M98="",L98,IFERROR(IF(INDEX(Variablen!$I:$AT, MATCH(M98, Variablen!$A:$A, 0), MATCH((YEAR(D98)+6), Variablen!$I$3:$AT$3, 0))="",L98,INDEX(Variablen!$I:$AT, MATCH(M98, Variablen!$A:$A, 0), MATCH((YEAR(D98)+6), Variablen!$I$3:$AT$3, 0))),L98)))*(IF((YEAR(D98)+6)&lt;YEAR(E98),0,IF((YEAR(D98)+6)&gt;YEAR(E98),1,(12-MONTH(E98)+1)/12))) + (Q98)*(IF((YEAR(D98)+6)&lt;YEAR(E98),0,IF((YEAR(D98)+6)&gt;YEAR(E98),1,(12-MONTH(E98)+1)/12))))-((P98)*(IF((YEAR(D98)+6)&lt;YEAR(E98),0,IF((YEAR(D98)+6)&gt;YEAR(E98),1,(12-MONTH(E98)+1)/12))) + (R98)*(IF((YEAR(D98)+6)&lt;YEAR(E98),0,IF((YEAR(D98)+6)&gt;YEAR(E98),1,(12-MONTH(E98)+1)/12))))-(IF(OR(N98="",N98&lt;=0),0,(O98/N98)*(IF(OR(N98="",N98&lt;=0),0,IF((YEAR(D98)+6)&lt;YEAR(E98),0,IF((YEAR(D98)+6)&gt;=YEAR(E98)+N98,0,IF((YEAR(D98)+6)=YEAR(E98),(12-MONTH(E98)+1)/12,1))))))))&gt;0,(((K98)*(IF(M98="",L98,IFERROR(IF(INDEX(Variablen!$I:$AT, MATCH(M98, Variablen!$A:$A, 0), MATCH((YEAR(D98)+6), Variablen!$I$3:$AT$3, 0))="",L98,INDEX(Variablen!$I:$AT, MATCH(M98, Variablen!$A:$A, 0), MATCH((YEAR(D98)+6), Variablen!$I$3:$AT$3, 0))),L98)))*(IF((YEAR(D98)+6)&lt;YEAR(E98),0,IF((YEAR(D98)+6)&gt;YEAR(E98),1,(12-MONTH(E98)+1)/12))) + (Q98)*(IF((YEAR(D98)+6)&lt;YEAR(E98),0,IF((YEAR(D98)+6)&gt;YEAR(E98),1,(12-MONTH(E98)+1)/12))))-((P98)*(IF((YEAR(D98)+6)&lt;YEAR(E98),0,IF((YEAR(D98)+6)&gt;YEAR(E98),1,(12-MONTH(E98)+1)/12))) + (R98)*(IF((YEAR(D98)+6)&lt;YEAR(E98),0,IF((YEAR(D98)+6)&gt;YEAR(E98),1,(12-MONTH(E98)+1)/12))))-(IF(OR(N98="",N98&lt;=0),0,(O98/N98)*(IF(OR(N98="",N98&lt;=0),0,IF((YEAR(D98)+6)&lt;YEAR(E98),0,IF((YEAR(D98)+6)&gt;=YEAR(E98)+N98,0,IF((YEAR(D98)+6)=YEAR(E98),(12-MONTH(E98)+1)/12,1))))))))*TaxRate,0))-IF(6=0,O98,0))</f>
        <v/>
      </c>
      <c r="Z98" s="29">
        <f>IF(A98="","",((K98)*(IF(M98="",L98,IFERROR(IF(INDEX(Variablen!$I:$AT, MATCH(M98, Variablen!$A:$A, 0), MATCH((YEAR(D98)+7), Variablen!$I$3:$AT$3, 0))="",L98,INDEX(Variablen!$I:$AT, MATCH(M98, Variablen!$A:$A, 0), MATCH((YEAR(D98)+7), Variablen!$I$3:$AT$3, 0))),L98)))*(IF((YEAR(D98)+7)&lt;YEAR(E98),0,IF((YEAR(D98)+7)&gt;YEAR(E98),1,(12-MONTH(E98)+1)/12))) + (Q98)*(IF((YEAR(D98)+7)&lt;YEAR(E98),0,IF((YEAR(D98)+7)&gt;YEAR(E98),1,(12-MONTH(E98)+1)/12))))-((P98)*(IF((YEAR(D98)+7)&lt;YEAR(E98),0,IF((YEAR(D98)+7)&gt;YEAR(E98),1,(12-MONTH(E98)+1)/12))) + (R98)*(IF((YEAR(D98)+7)&lt;YEAR(E98),0,IF((YEAR(D98)+7)&gt;YEAR(E98),1,(12-MONTH(E98)+1)/12))))-(IF((((K98)*(IF(M98="",L98,IFERROR(IF(INDEX(Variablen!$I:$AT, MATCH(M98, Variablen!$A:$A, 0), MATCH((YEAR(D98)+7), Variablen!$I$3:$AT$3, 0))="",L98,INDEX(Variablen!$I:$AT, MATCH(M98, Variablen!$A:$A, 0), MATCH((YEAR(D98)+7), Variablen!$I$3:$AT$3, 0))),L98)))*(IF((YEAR(D98)+7)&lt;YEAR(E98),0,IF((YEAR(D98)+7)&gt;YEAR(E98),1,(12-MONTH(E98)+1)/12))) + (Q98)*(IF((YEAR(D98)+7)&lt;YEAR(E98),0,IF((YEAR(D98)+7)&gt;YEAR(E98),1,(12-MONTH(E98)+1)/12))))-((P98)*(IF((YEAR(D98)+7)&lt;YEAR(E98),0,IF((YEAR(D98)+7)&gt;YEAR(E98),1,(12-MONTH(E98)+1)/12))) + (R98)*(IF((YEAR(D98)+7)&lt;YEAR(E98),0,IF((YEAR(D98)+7)&gt;YEAR(E98),1,(12-MONTH(E98)+1)/12))))-(IF(OR(N98="",N98&lt;=0),0,(O98/N98)*(IF(OR(N98="",N98&lt;=0),0,IF((YEAR(D98)+7)&lt;YEAR(E98),0,IF((YEAR(D98)+7)&gt;=YEAR(E98)+N98,0,IF((YEAR(D98)+7)=YEAR(E98),(12-MONTH(E98)+1)/12,1))))))))&gt;0,(((K98)*(IF(M98="",L98,IFERROR(IF(INDEX(Variablen!$I:$AT, MATCH(M98, Variablen!$A:$A, 0), MATCH((YEAR(D98)+7), Variablen!$I$3:$AT$3, 0))="",L98,INDEX(Variablen!$I:$AT, MATCH(M98, Variablen!$A:$A, 0), MATCH((YEAR(D98)+7), Variablen!$I$3:$AT$3, 0))),L98)))*(IF((YEAR(D98)+7)&lt;YEAR(E98),0,IF((YEAR(D98)+7)&gt;YEAR(E98),1,(12-MONTH(E98)+1)/12))) + (Q98)*(IF((YEAR(D98)+7)&lt;YEAR(E98),0,IF((YEAR(D98)+7)&gt;YEAR(E98),1,(12-MONTH(E98)+1)/12))))-((P98)*(IF((YEAR(D98)+7)&lt;YEAR(E98),0,IF((YEAR(D98)+7)&gt;YEAR(E98),1,(12-MONTH(E98)+1)/12))) + (R98)*(IF((YEAR(D98)+7)&lt;YEAR(E98),0,IF((YEAR(D98)+7)&gt;YEAR(E98),1,(12-MONTH(E98)+1)/12))))-(IF(OR(N98="",N98&lt;=0),0,(O98/N98)*(IF(OR(N98="",N98&lt;=0),0,IF((YEAR(D98)+7)&lt;YEAR(E98),0,IF((YEAR(D98)+7)&gt;=YEAR(E98)+N98,0,IF((YEAR(D98)+7)=YEAR(E98),(12-MONTH(E98)+1)/12,1))))))))*TaxRate,0))-IF(7=0,O98,0))</f>
        <v/>
      </c>
      <c r="AA98" s="29">
        <f>IF(A98="","",((K98)*(IF(M98="",L98,IFERROR(IF(INDEX(Variablen!$I:$AT, MATCH(M98, Variablen!$A:$A, 0), MATCH((YEAR(D98)+8), Variablen!$I$3:$AT$3, 0))="",L98,INDEX(Variablen!$I:$AT, MATCH(M98, Variablen!$A:$A, 0), MATCH((YEAR(D98)+8), Variablen!$I$3:$AT$3, 0))),L98)))*(IF((YEAR(D98)+8)&lt;YEAR(E98),0,IF((YEAR(D98)+8)&gt;YEAR(E98),1,(12-MONTH(E98)+1)/12))) + (Q98)*(IF((YEAR(D98)+8)&lt;YEAR(E98),0,IF((YEAR(D98)+8)&gt;YEAR(E98),1,(12-MONTH(E98)+1)/12))))-((P98)*(IF((YEAR(D98)+8)&lt;YEAR(E98),0,IF((YEAR(D98)+8)&gt;YEAR(E98),1,(12-MONTH(E98)+1)/12))) + (R98)*(IF((YEAR(D98)+8)&lt;YEAR(E98),0,IF((YEAR(D98)+8)&gt;YEAR(E98),1,(12-MONTH(E98)+1)/12))))-(IF((((K98)*(IF(M98="",L98,IFERROR(IF(INDEX(Variablen!$I:$AT, MATCH(M98, Variablen!$A:$A, 0), MATCH((YEAR(D98)+8), Variablen!$I$3:$AT$3, 0))="",L98,INDEX(Variablen!$I:$AT, MATCH(M98, Variablen!$A:$A, 0), MATCH((YEAR(D98)+8), Variablen!$I$3:$AT$3, 0))),L98)))*(IF((YEAR(D98)+8)&lt;YEAR(E98),0,IF((YEAR(D98)+8)&gt;YEAR(E98),1,(12-MONTH(E98)+1)/12))) + (Q98)*(IF((YEAR(D98)+8)&lt;YEAR(E98),0,IF((YEAR(D98)+8)&gt;YEAR(E98),1,(12-MONTH(E98)+1)/12))))-((P98)*(IF((YEAR(D98)+8)&lt;YEAR(E98),0,IF((YEAR(D98)+8)&gt;YEAR(E98),1,(12-MONTH(E98)+1)/12))) + (R98)*(IF((YEAR(D98)+8)&lt;YEAR(E98),0,IF((YEAR(D98)+8)&gt;YEAR(E98),1,(12-MONTH(E98)+1)/12))))-(IF(OR(N98="",N98&lt;=0),0,(O98/N98)*(IF(OR(N98="",N98&lt;=0),0,IF((YEAR(D98)+8)&lt;YEAR(E98),0,IF((YEAR(D98)+8)&gt;=YEAR(E98)+N98,0,IF((YEAR(D98)+8)=YEAR(E98),(12-MONTH(E98)+1)/12,1))))))))&gt;0,(((K98)*(IF(M98="",L98,IFERROR(IF(INDEX(Variablen!$I:$AT, MATCH(M98, Variablen!$A:$A, 0), MATCH((YEAR(D98)+8), Variablen!$I$3:$AT$3, 0))="",L98,INDEX(Variablen!$I:$AT, MATCH(M98, Variablen!$A:$A, 0), MATCH((YEAR(D98)+8), Variablen!$I$3:$AT$3, 0))),L98)))*(IF((YEAR(D98)+8)&lt;YEAR(E98),0,IF((YEAR(D98)+8)&gt;YEAR(E98),1,(12-MONTH(E98)+1)/12))) + (Q98)*(IF((YEAR(D98)+8)&lt;YEAR(E98),0,IF((YEAR(D98)+8)&gt;YEAR(E98),1,(12-MONTH(E98)+1)/12))))-((P98)*(IF((YEAR(D98)+8)&lt;YEAR(E98),0,IF((YEAR(D98)+8)&gt;YEAR(E98),1,(12-MONTH(E98)+1)/12))) + (R98)*(IF((YEAR(D98)+8)&lt;YEAR(E98),0,IF((YEAR(D98)+8)&gt;YEAR(E98),1,(12-MONTH(E98)+1)/12))))-(IF(OR(N98="",N98&lt;=0),0,(O98/N98)*(IF(OR(N98="",N98&lt;=0),0,IF((YEAR(D98)+8)&lt;YEAR(E98),0,IF((YEAR(D98)+8)&gt;=YEAR(E98)+N98,0,IF((YEAR(D98)+8)=YEAR(E98),(12-MONTH(E98)+1)/12,1))))))))*TaxRate,0))-IF(8=0,O98,0))</f>
        <v/>
      </c>
      <c r="AB98" s="29">
        <f>IF(A98="","",((K98)*(IF(M98="",L98,IFERROR(IF(INDEX(Variablen!$I:$AT, MATCH(M98, Variablen!$A:$A, 0), MATCH((YEAR(D98)+9), Variablen!$I$3:$AT$3, 0))="",L98,INDEX(Variablen!$I:$AT, MATCH(M98, Variablen!$A:$A, 0), MATCH((YEAR(D98)+9), Variablen!$I$3:$AT$3, 0))),L98)))*(IF((YEAR(D98)+9)&lt;YEAR(E98),0,IF((YEAR(D98)+9)&gt;YEAR(E98),1,(12-MONTH(E98)+1)/12))) + (Q98)*(IF((YEAR(D98)+9)&lt;YEAR(E98),0,IF((YEAR(D98)+9)&gt;YEAR(E98),1,(12-MONTH(E98)+1)/12))))-((P98)*(IF((YEAR(D98)+9)&lt;YEAR(E98),0,IF((YEAR(D98)+9)&gt;YEAR(E98),1,(12-MONTH(E98)+1)/12))) + (R98)*(IF((YEAR(D98)+9)&lt;YEAR(E98),0,IF((YEAR(D98)+9)&gt;YEAR(E98),1,(12-MONTH(E98)+1)/12))))-(IF((((K98)*(IF(M98="",L98,IFERROR(IF(INDEX(Variablen!$I:$AT, MATCH(M98, Variablen!$A:$A, 0), MATCH((YEAR(D98)+9), Variablen!$I$3:$AT$3, 0))="",L98,INDEX(Variablen!$I:$AT, MATCH(M98, Variablen!$A:$A, 0), MATCH((YEAR(D98)+9), Variablen!$I$3:$AT$3, 0))),L98)))*(IF((YEAR(D98)+9)&lt;YEAR(E98),0,IF((YEAR(D98)+9)&gt;YEAR(E98),1,(12-MONTH(E98)+1)/12))) + (Q98)*(IF((YEAR(D98)+9)&lt;YEAR(E98),0,IF((YEAR(D98)+9)&gt;YEAR(E98),1,(12-MONTH(E98)+1)/12))))-((P98)*(IF((YEAR(D98)+9)&lt;YEAR(E98),0,IF((YEAR(D98)+9)&gt;YEAR(E98),1,(12-MONTH(E98)+1)/12))) + (R98)*(IF((YEAR(D98)+9)&lt;YEAR(E98),0,IF((YEAR(D98)+9)&gt;YEAR(E98),1,(12-MONTH(E98)+1)/12))))-(IF(OR(N98="",N98&lt;=0),0,(O98/N98)*(IF(OR(N98="",N98&lt;=0),0,IF((YEAR(D98)+9)&lt;YEAR(E98),0,IF((YEAR(D98)+9)&gt;=YEAR(E98)+N98,0,IF((YEAR(D98)+9)=YEAR(E98),(12-MONTH(E98)+1)/12,1))))))))&gt;0,(((K98)*(IF(M98="",L98,IFERROR(IF(INDEX(Variablen!$I:$AT, MATCH(M98, Variablen!$A:$A, 0), MATCH((YEAR(D98)+9), Variablen!$I$3:$AT$3, 0))="",L98,INDEX(Variablen!$I:$AT, MATCH(M98, Variablen!$A:$A, 0), MATCH((YEAR(D98)+9), Variablen!$I$3:$AT$3, 0))),L98)))*(IF((YEAR(D98)+9)&lt;YEAR(E98),0,IF((YEAR(D98)+9)&gt;YEAR(E98),1,(12-MONTH(E98)+1)/12))) + (Q98)*(IF((YEAR(D98)+9)&lt;YEAR(E98),0,IF((YEAR(D98)+9)&gt;YEAR(E98),1,(12-MONTH(E98)+1)/12))))-((P98)*(IF((YEAR(D98)+9)&lt;YEAR(E98),0,IF((YEAR(D98)+9)&gt;YEAR(E98),1,(12-MONTH(E98)+1)/12))) + (R98)*(IF((YEAR(D98)+9)&lt;YEAR(E98),0,IF((YEAR(D98)+9)&gt;YEAR(E98),1,(12-MONTH(E98)+1)/12))))-(IF(OR(N98="",N98&lt;=0),0,(O98/N98)*(IF(OR(N98="",N98&lt;=0),0,IF((YEAR(D98)+9)&lt;YEAR(E98),0,IF((YEAR(D98)+9)&gt;=YEAR(E98)+N98,0,IF((YEAR(D98)+9)=YEAR(E98),(12-MONTH(E98)+1)/12,1))))))))*TaxRate,0))-IF(9=0,O98,0))</f>
        <v/>
      </c>
      <c r="AC98" s="29">
        <f>IF(A98="","",((K98)*(IF(M98="",L98,IFERROR(IF(INDEX(Variablen!$I:$AT, MATCH(M98, Variablen!$A:$A, 0), MATCH((YEAR(D98)+10), Variablen!$I$3:$AT$3, 0))="",L98,INDEX(Variablen!$I:$AT, MATCH(M98, Variablen!$A:$A, 0), MATCH((YEAR(D98)+10), Variablen!$I$3:$AT$3, 0))),L98)))*(IF((YEAR(D98)+10)&lt;YEAR(E98),0,IF((YEAR(D98)+10)&gt;YEAR(E98),1,(12-MONTH(E98)+1)/12))) + (Q98)*(IF((YEAR(D98)+10)&lt;YEAR(E98),0,IF((YEAR(D98)+10)&gt;YEAR(E98),1,(12-MONTH(E98)+1)/12))))-((P98)*(IF((YEAR(D98)+10)&lt;YEAR(E98),0,IF((YEAR(D98)+10)&gt;YEAR(E98),1,(12-MONTH(E98)+1)/12))) + (R98)*(IF((YEAR(D98)+10)&lt;YEAR(E98),0,IF((YEAR(D98)+10)&gt;YEAR(E98),1,(12-MONTH(E98)+1)/12))))-(IF((((K98)*(IF(M98="",L98,IFERROR(IF(INDEX(Variablen!$I:$AT, MATCH(M98, Variablen!$A:$A, 0), MATCH((YEAR(D98)+10), Variablen!$I$3:$AT$3, 0))="",L98,INDEX(Variablen!$I:$AT, MATCH(M98, Variablen!$A:$A, 0), MATCH((YEAR(D98)+10), Variablen!$I$3:$AT$3, 0))),L98)))*(IF((YEAR(D98)+10)&lt;YEAR(E98),0,IF((YEAR(D98)+10)&gt;YEAR(E98),1,(12-MONTH(E98)+1)/12))) + (Q98)*(IF((YEAR(D98)+10)&lt;YEAR(E98),0,IF((YEAR(D98)+10)&gt;YEAR(E98),1,(12-MONTH(E98)+1)/12))))-((P98)*(IF((YEAR(D98)+10)&lt;YEAR(E98),0,IF((YEAR(D98)+10)&gt;YEAR(E98),1,(12-MONTH(E98)+1)/12))) + (R98)*(IF((YEAR(D98)+10)&lt;YEAR(E98),0,IF((YEAR(D98)+10)&gt;YEAR(E98),1,(12-MONTH(E98)+1)/12))))-(IF(OR(N98="",N98&lt;=0),0,(O98/N98)*(IF(OR(N98="",N98&lt;=0),0,IF((YEAR(D98)+10)&lt;YEAR(E98),0,IF((YEAR(D98)+10)&gt;=YEAR(E98)+N98,0,IF((YEAR(D98)+10)=YEAR(E98),(12-MONTH(E98)+1)/12,1))))))))&gt;0,(((K98)*(IF(M98="",L98,IFERROR(IF(INDEX(Variablen!$I:$AT, MATCH(M98, Variablen!$A:$A, 0), MATCH((YEAR(D98)+10), Variablen!$I$3:$AT$3, 0))="",L98,INDEX(Variablen!$I:$AT, MATCH(M98, Variablen!$A:$A, 0), MATCH((YEAR(D98)+10), Variablen!$I$3:$AT$3, 0))),L98)))*(IF((YEAR(D98)+10)&lt;YEAR(E98),0,IF((YEAR(D98)+10)&gt;YEAR(E98),1,(12-MONTH(E98)+1)/12))) + (Q98)*(IF((YEAR(D98)+10)&lt;YEAR(E98),0,IF((YEAR(D98)+10)&gt;YEAR(E98),1,(12-MONTH(E98)+1)/12))))-((P98)*(IF((YEAR(D98)+10)&lt;YEAR(E98),0,IF((YEAR(D98)+10)&gt;YEAR(E98),1,(12-MONTH(E98)+1)/12))) + (R98)*(IF((YEAR(D98)+10)&lt;YEAR(E98),0,IF((YEAR(D98)+10)&gt;YEAR(E98),1,(12-MONTH(E98)+1)/12))))-(IF(OR(N98="",N98&lt;=0),0,(O98/N98)*(IF(OR(N98="",N98&lt;=0),0,IF((YEAR(D98)+10)&lt;YEAR(E98),0,IF((YEAR(D98)+10)&gt;=YEAR(E98)+N98,0,IF((YEAR(D98)+10)=YEAR(E98),(12-MONTH(E98)+1)/12,1))))))))*TaxRate,0))-IF(10=0,O98,0))</f>
        <v/>
      </c>
      <c r="AD98" s="29">
        <f>IF(A98="","",((K98)*(IF(M98="",L98,IFERROR(IF(INDEX(Variablen!$I:$AT, MATCH(M98, Variablen!$A:$A, 0), MATCH((YEAR(D98)+11), Variablen!$I$3:$AT$3, 0))="",L98,INDEX(Variablen!$I:$AT, MATCH(M98, Variablen!$A:$A, 0), MATCH((YEAR(D98)+11), Variablen!$I$3:$AT$3, 0))),L98)))*(IF((YEAR(D98)+11)&lt;YEAR(E98),0,IF((YEAR(D98)+11)&gt;YEAR(E98),1,(12-MONTH(E98)+1)/12))) + (Q98)*(IF((YEAR(D98)+11)&lt;YEAR(E98),0,IF((YEAR(D98)+11)&gt;YEAR(E98),1,(12-MONTH(E98)+1)/12))))-((P98)*(IF((YEAR(D98)+11)&lt;YEAR(E98),0,IF((YEAR(D98)+11)&gt;YEAR(E98),1,(12-MONTH(E98)+1)/12))) + (R98)*(IF((YEAR(D98)+11)&lt;YEAR(E98),0,IF((YEAR(D98)+11)&gt;YEAR(E98),1,(12-MONTH(E98)+1)/12))))-(IF((((K98)*(IF(M98="",L98,IFERROR(IF(INDEX(Variablen!$I:$AT, MATCH(M98, Variablen!$A:$A, 0), MATCH((YEAR(D98)+11), Variablen!$I$3:$AT$3, 0))="",L98,INDEX(Variablen!$I:$AT, MATCH(M98, Variablen!$A:$A, 0), MATCH((YEAR(D98)+11), Variablen!$I$3:$AT$3, 0))),L98)))*(IF((YEAR(D98)+11)&lt;YEAR(E98),0,IF((YEAR(D98)+11)&gt;YEAR(E98),1,(12-MONTH(E98)+1)/12))) + (Q98)*(IF((YEAR(D98)+11)&lt;YEAR(E98),0,IF((YEAR(D98)+11)&gt;YEAR(E98),1,(12-MONTH(E98)+1)/12))))-((P98)*(IF((YEAR(D98)+11)&lt;YEAR(E98),0,IF((YEAR(D98)+11)&gt;YEAR(E98),1,(12-MONTH(E98)+1)/12))) + (R98)*(IF((YEAR(D98)+11)&lt;YEAR(E98),0,IF((YEAR(D98)+11)&gt;YEAR(E98),1,(12-MONTH(E98)+1)/12))))-(IF(OR(N98="",N98&lt;=0),0,(O98/N98)*(IF(OR(N98="",N98&lt;=0),0,IF((YEAR(D98)+11)&lt;YEAR(E98),0,IF((YEAR(D98)+11)&gt;=YEAR(E98)+N98,0,IF((YEAR(D98)+11)=YEAR(E98),(12-MONTH(E98)+1)/12,1))))))))&gt;0,(((K98)*(IF(M98="",L98,IFERROR(IF(INDEX(Variablen!$I:$AT, MATCH(M98, Variablen!$A:$A, 0), MATCH((YEAR(D98)+11), Variablen!$I$3:$AT$3, 0))="",L98,INDEX(Variablen!$I:$AT, MATCH(M98, Variablen!$A:$A, 0), MATCH((YEAR(D98)+11), Variablen!$I$3:$AT$3, 0))),L98)))*(IF((YEAR(D98)+11)&lt;YEAR(E98),0,IF((YEAR(D98)+11)&gt;YEAR(E98),1,(12-MONTH(E98)+1)/12))) + (Q98)*(IF((YEAR(D98)+11)&lt;YEAR(E98),0,IF((YEAR(D98)+11)&gt;YEAR(E98),1,(12-MONTH(E98)+1)/12))))-((P98)*(IF((YEAR(D98)+11)&lt;YEAR(E98),0,IF((YEAR(D98)+11)&gt;YEAR(E98),1,(12-MONTH(E98)+1)/12))) + (R98)*(IF((YEAR(D98)+11)&lt;YEAR(E98),0,IF((YEAR(D98)+11)&gt;YEAR(E98),1,(12-MONTH(E98)+1)/12))))-(IF(OR(N98="",N98&lt;=0),0,(O98/N98)*(IF(OR(N98="",N98&lt;=0),0,IF((YEAR(D98)+11)&lt;YEAR(E98),0,IF((YEAR(D98)+11)&gt;=YEAR(E98)+N98,0,IF((YEAR(D98)+11)=YEAR(E98),(12-MONTH(E98)+1)/12,1))))))))*TaxRate,0))-IF(11=0,O98,0))</f>
        <v/>
      </c>
      <c r="AE98" s="29">
        <f>IF(A98="","",((K98)*(IF(M98="",L98,IFERROR(IF(INDEX(Variablen!$I:$AT, MATCH(M98, Variablen!$A:$A, 0), MATCH((YEAR(D98)+12), Variablen!$I$3:$AT$3, 0))="",L98,INDEX(Variablen!$I:$AT, MATCH(M98, Variablen!$A:$A, 0), MATCH((YEAR(D98)+12), Variablen!$I$3:$AT$3, 0))),L98)))*(IF((YEAR(D98)+12)&lt;YEAR(E98),0,IF((YEAR(D98)+12)&gt;YEAR(E98),1,(12-MONTH(E98)+1)/12))) + (Q98)*(IF((YEAR(D98)+12)&lt;YEAR(E98),0,IF((YEAR(D98)+12)&gt;YEAR(E98),1,(12-MONTH(E98)+1)/12))))-((P98)*(IF((YEAR(D98)+12)&lt;YEAR(E98),0,IF((YEAR(D98)+12)&gt;YEAR(E98),1,(12-MONTH(E98)+1)/12))) + (R98)*(IF((YEAR(D98)+12)&lt;YEAR(E98),0,IF((YEAR(D98)+12)&gt;YEAR(E98),1,(12-MONTH(E98)+1)/12))))-(IF((((K98)*(IF(M98="",L98,IFERROR(IF(INDEX(Variablen!$I:$AT, MATCH(M98, Variablen!$A:$A, 0), MATCH((YEAR(D98)+12), Variablen!$I$3:$AT$3, 0))="",L98,INDEX(Variablen!$I:$AT, MATCH(M98, Variablen!$A:$A, 0), MATCH((YEAR(D98)+12), Variablen!$I$3:$AT$3, 0))),L98)))*(IF((YEAR(D98)+12)&lt;YEAR(E98),0,IF((YEAR(D98)+12)&gt;YEAR(E98),1,(12-MONTH(E98)+1)/12))) + (Q98)*(IF((YEAR(D98)+12)&lt;YEAR(E98),0,IF((YEAR(D98)+12)&gt;YEAR(E98),1,(12-MONTH(E98)+1)/12))))-((P98)*(IF((YEAR(D98)+12)&lt;YEAR(E98),0,IF((YEAR(D98)+12)&gt;YEAR(E98),1,(12-MONTH(E98)+1)/12))) + (R98)*(IF((YEAR(D98)+12)&lt;YEAR(E98),0,IF((YEAR(D98)+12)&gt;YEAR(E98),1,(12-MONTH(E98)+1)/12))))-(IF(OR(N98="",N98&lt;=0),0,(O98/N98)*(IF(OR(N98="",N98&lt;=0),0,IF((YEAR(D98)+12)&lt;YEAR(E98),0,IF((YEAR(D98)+12)&gt;=YEAR(E98)+N98,0,IF((YEAR(D98)+12)=YEAR(E98),(12-MONTH(E98)+1)/12,1))))))))&gt;0,(((K98)*(IF(M98="",L98,IFERROR(IF(INDEX(Variablen!$I:$AT, MATCH(M98, Variablen!$A:$A, 0), MATCH((YEAR(D98)+12), Variablen!$I$3:$AT$3, 0))="",L98,INDEX(Variablen!$I:$AT, MATCH(M98, Variablen!$A:$A, 0), MATCH((YEAR(D98)+12), Variablen!$I$3:$AT$3, 0))),L98)))*(IF((YEAR(D98)+12)&lt;YEAR(E98),0,IF((YEAR(D98)+12)&gt;YEAR(E98),1,(12-MONTH(E98)+1)/12))) + (Q98)*(IF((YEAR(D98)+12)&lt;YEAR(E98),0,IF((YEAR(D98)+12)&gt;YEAR(E98),1,(12-MONTH(E98)+1)/12))))-((P98)*(IF((YEAR(D98)+12)&lt;YEAR(E98),0,IF((YEAR(D98)+12)&gt;YEAR(E98),1,(12-MONTH(E98)+1)/12))) + (R98)*(IF((YEAR(D98)+12)&lt;YEAR(E98),0,IF((YEAR(D98)+12)&gt;YEAR(E98),1,(12-MONTH(E98)+1)/12))))-(IF(OR(N98="",N98&lt;=0),0,(O98/N98)*(IF(OR(N98="",N98&lt;=0),0,IF((YEAR(D98)+12)&lt;YEAR(E98),0,IF((YEAR(D98)+12)&gt;=YEAR(E98)+N98,0,IF((YEAR(D98)+12)=YEAR(E98),(12-MONTH(E98)+1)/12,1))))))))*TaxRate,0))-IF(12=0,O98,0))</f>
        <v/>
      </c>
      <c r="AF98" s="29">
        <f>IF(A98="","",((K98)*(IF(M98="",L98,IFERROR(IF(INDEX(Variablen!$I:$AT, MATCH(M98, Variablen!$A:$A, 0), MATCH((YEAR(D98)+13), Variablen!$I$3:$AT$3, 0))="",L98,INDEX(Variablen!$I:$AT, MATCH(M98, Variablen!$A:$A, 0), MATCH((YEAR(D98)+13), Variablen!$I$3:$AT$3, 0))),L98)))*(IF((YEAR(D98)+13)&lt;YEAR(E98),0,IF((YEAR(D98)+13)&gt;YEAR(E98),1,(12-MONTH(E98)+1)/12))) + (Q98)*(IF((YEAR(D98)+13)&lt;YEAR(E98),0,IF((YEAR(D98)+13)&gt;YEAR(E98),1,(12-MONTH(E98)+1)/12))))-((P98)*(IF((YEAR(D98)+13)&lt;YEAR(E98),0,IF((YEAR(D98)+13)&gt;YEAR(E98),1,(12-MONTH(E98)+1)/12))) + (R98)*(IF((YEAR(D98)+13)&lt;YEAR(E98),0,IF((YEAR(D98)+13)&gt;YEAR(E98),1,(12-MONTH(E98)+1)/12))))-(IF((((K98)*(IF(M98="",L98,IFERROR(IF(INDEX(Variablen!$I:$AT, MATCH(M98, Variablen!$A:$A, 0), MATCH((YEAR(D98)+13), Variablen!$I$3:$AT$3, 0))="",L98,INDEX(Variablen!$I:$AT, MATCH(M98, Variablen!$A:$A, 0), MATCH((YEAR(D98)+13), Variablen!$I$3:$AT$3, 0))),L98)))*(IF((YEAR(D98)+13)&lt;YEAR(E98),0,IF((YEAR(D98)+13)&gt;YEAR(E98),1,(12-MONTH(E98)+1)/12))) + (Q98)*(IF((YEAR(D98)+13)&lt;YEAR(E98),0,IF((YEAR(D98)+13)&gt;YEAR(E98),1,(12-MONTH(E98)+1)/12))))-((P98)*(IF((YEAR(D98)+13)&lt;YEAR(E98),0,IF((YEAR(D98)+13)&gt;YEAR(E98),1,(12-MONTH(E98)+1)/12))) + (R98)*(IF((YEAR(D98)+13)&lt;YEAR(E98),0,IF((YEAR(D98)+13)&gt;YEAR(E98),1,(12-MONTH(E98)+1)/12))))-(IF(OR(N98="",N98&lt;=0),0,(O98/N98)*(IF(OR(N98="",N98&lt;=0),0,IF((YEAR(D98)+13)&lt;YEAR(E98),0,IF((YEAR(D98)+13)&gt;=YEAR(E98)+N98,0,IF((YEAR(D98)+13)=YEAR(E98),(12-MONTH(E98)+1)/12,1))))))))&gt;0,(((K98)*(IF(M98="",L98,IFERROR(IF(INDEX(Variablen!$I:$AT, MATCH(M98, Variablen!$A:$A, 0), MATCH((YEAR(D98)+13), Variablen!$I$3:$AT$3, 0))="",L98,INDEX(Variablen!$I:$AT, MATCH(M98, Variablen!$A:$A, 0), MATCH((YEAR(D98)+13), Variablen!$I$3:$AT$3, 0))),L98)))*(IF((YEAR(D98)+13)&lt;YEAR(E98),0,IF((YEAR(D98)+13)&gt;YEAR(E98),1,(12-MONTH(E98)+1)/12))) + (Q98)*(IF((YEAR(D98)+13)&lt;YEAR(E98),0,IF((YEAR(D98)+13)&gt;YEAR(E98),1,(12-MONTH(E98)+1)/12))))-((P98)*(IF((YEAR(D98)+13)&lt;YEAR(E98),0,IF((YEAR(D98)+13)&gt;YEAR(E98),1,(12-MONTH(E98)+1)/12))) + (R98)*(IF((YEAR(D98)+13)&lt;YEAR(E98),0,IF((YEAR(D98)+13)&gt;YEAR(E98),1,(12-MONTH(E98)+1)/12))))-(IF(OR(N98="",N98&lt;=0),0,(O98/N98)*(IF(OR(N98="",N98&lt;=0),0,IF((YEAR(D98)+13)&lt;YEAR(E98),0,IF((YEAR(D98)+13)&gt;=YEAR(E98)+N98,0,IF((YEAR(D98)+13)=YEAR(E98),(12-MONTH(E98)+1)/12,1))))))))*TaxRate,0))-IF(13=0,O98,0))</f>
        <v/>
      </c>
      <c r="AG98" s="29">
        <f>IF(A98="","",((K98)*(IF(M98="",L98,IFERROR(IF(INDEX(Variablen!$I:$AT, MATCH(M98, Variablen!$A:$A, 0), MATCH((YEAR(D98)+14), Variablen!$I$3:$AT$3, 0))="",L98,INDEX(Variablen!$I:$AT, MATCH(M98, Variablen!$A:$A, 0), MATCH((YEAR(D98)+14), Variablen!$I$3:$AT$3, 0))),L98)))*(IF((YEAR(D98)+14)&lt;YEAR(E98),0,IF((YEAR(D98)+14)&gt;YEAR(E98),1,(12-MONTH(E98)+1)/12))) + (Q98)*(IF((YEAR(D98)+14)&lt;YEAR(E98),0,IF((YEAR(D98)+14)&gt;YEAR(E98),1,(12-MONTH(E98)+1)/12))))-((P98)*(IF((YEAR(D98)+14)&lt;YEAR(E98),0,IF((YEAR(D98)+14)&gt;YEAR(E98),1,(12-MONTH(E98)+1)/12))) + (R98)*(IF((YEAR(D98)+14)&lt;YEAR(E98),0,IF((YEAR(D98)+14)&gt;YEAR(E98),1,(12-MONTH(E98)+1)/12))))-(IF((((K98)*(IF(M98="",L98,IFERROR(IF(INDEX(Variablen!$I:$AT, MATCH(M98, Variablen!$A:$A, 0), MATCH((YEAR(D98)+14), Variablen!$I$3:$AT$3, 0))="",L98,INDEX(Variablen!$I:$AT, MATCH(M98, Variablen!$A:$A, 0), MATCH((YEAR(D98)+14), Variablen!$I$3:$AT$3, 0))),L98)))*(IF((YEAR(D98)+14)&lt;YEAR(E98),0,IF((YEAR(D98)+14)&gt;YEAR(E98),1,(12-MONTH(E98)+1)/12))) + (Q98)*(IF((YEAR(D98)+14)&lt;YEAR(E98),0,IF((YEAR(D98)+14)&gt;YEAR(E98),1,(12-MONTH(E98)+1)/12))))-((P98)*(IF((YEAR(D98)+14)&lt;YEAR(E98),0,IF((YEAR(D98)+14)&gt;YEAR(E98),1,(12-MONTH(E98)+1)/12))) + (R98)*(IF((YEAR(D98)+14)&lt;YEAR(E98),0,IF((YEAR(D98)+14)&gt;YEAR(E98),1,(12-MONTH(E98)+1)/12))))-(IF(OR(N98="",N98&lt;=0),0,(O98/N98)*(IF(OR(N98="",N98&lt;=0),0,IF((YEAR(D98)+14)&lt;YEAR(E98),0,IF((YEAR(D98)+14)&gt;=YEAR(E98)+N98,0,IF((YEAR(D98)+14)=YEAR(E98),(12-MONTH(E98)+1)/12,1))))))))&gt;0,(((K98)*(IF(M98="",L98,IFERROR(IF(INDEX(Variablen!$I:$AT, MATCH(M98, Variablen!$A:$A, 0), MATCH((YEAR(D98)+14), Variablen!$I$3:$AT$3, 0))="",L98,INDEX(Variablen!$I:$AT, MATCH(M98, Variablen!$A:$A, 0), MATCH((YEAR(D98)+14), Variablen!$I$3:$AT$3, 0))),L98)))*(IF((YEAR(D98)+14)&lt;YEAR(E98),0,IF((YEAR(D98)+14)&gt;YEAR(E98),1,(12-MONTH(E98)+1)/12))) + (Q98)*(IF((YEAR(D98)+14)&lt;YEAR(E98),0,IF((YEAR(D98)+14)&gt;YEAR(E98),1,(12-MONTH(E98)+1)/12))))-((P98)*(IF((YEAR(D98)+14)&lt;YEAR(E98),0,IF((YEAR(D98)+14)&gt;YEAR(E98),1,(12-MONTH(E98)+1)/12))) + (R98)*(IF((YEAR(D98)+14)&lt;YEAR(E98),0,IF((YEAR(D98)+14)&gt;YEAR(E98),1,(12-MONTH(E98)+1)/12))))-(IF(OR(N98="",N98&lt;=0),0,(O98/N98)*(IF(OR(N98="",N98&lt;=0),0,IF((YEAR(D98)+14)&lt;YEAR(E98),0,IF((YEAR(D98)+14)&gt;=YEAR(E98)+N98,0,IF((YEAR(D98)+14)=YEAR(E98),(12-MONTH(E98)+1)/12,1))))))))*TaxRate,0))-IF(14=0,O98,0))</f>
        <v/>
      </c>
      <c r="AH98" s="29">
        <f>IF(A98="","",((K98)*(IF(M98="",L98,IFERROR(IF(INDEX(Variablen!$I:$AT, MATCH(M98, Variablen!$A:$A, 0), MATCH((YEAR(D98)+15), Variablen!$I$3:$AT$3, 0))="",L98,INDEX(Variablen!$I:$AT, MATCH(M98, Variablen!$A:$A, 0), MATCH((YEAR(D98)+15), Variablen!$I$3:$AT$3, 0))),L98)))*(IF((YEAR(D98)+15)&lt;YEAR(E98),0,IF((YEAR(D98)+15)&gt;YEAR(E98),1,(12-MONTH(E98)+1)/12))) + (Q98)*(IF((YEAR(D98)+15)&lt;YEAR(E98),0,IF((YEAR(D98)+15)&gt;YEAR(E98),1,(12-MONTH(E98)+1)/12))))-((P98)*(IF((YEAR(D98)+15)&lt;YEAR(E98),0,IF((YEAR(D98)+15)&gt;YEAR(E98),1,(12-MONTH(E98)+1)/12))) + (R98)*(IF((YEAR(D98)+15)&lt;YEAR(E98),0,IF((YEAR(D98)+15)&gt;YEAR(E98),1,(12-MONTH(E98)+1)/12))))-(IF((((K98)*(IF(M98="",L98,IFERROR(IF(INDEX(Variablen!$I:$AT, MATCH(M98, Variablen!$A:$A, 0), MATCH((YEAR(D98)+15), Variablen!$I$3:$AT$3, 0))="",L98,INDEX(Variablen!$I:$AT, MATCH(M98, Variablen!$A:$A, 0), MATCH((YEAR(D98)+15), Variablen!$I$3:$AT$3, 0))),L98)))*(IF((YEAR(D98)+15)&lt;YEAR(E98),0,IF((YEAR(D98)+15)&gt;YEAR(E98),1,(12-MONTH(E98)+1)/12))) + (Q98)*(IF((YEAR(D98)+15)&lt;YEAR(E98),0,IF((YEAR(D98)+15)&gt;YEAR(E98),1,(12-MONTH(E98)+1)/12))))-((P98)*(IF((YEAR(D98)+15)&lt;YEAR(E98),0,IF((YEAR(D98)+15)&gt;YEAR(E98),1,(12-MONTH(E98)+1)/12))) + (R98)*(IF((YEAR(D98)+15)&lt;YEAR(E98),0,IF((YEAR(D98)+15)&gt;YEAR(E98),1,(12-MONTH(E98)+1)/12))))-(IF(OR(N98="",N98&lt;=0),0,(O98/N98)*(IF(OR(N98="",N98&lt;=0),0,IF((YEAR(D98)+15)&lt;YEAR(E98),0,IF((YEAR(D98)+15)&gt;=YEAR(E98)+N98,0,IF((YEAR(D98)+15)=YEAR(E98),(12-MONTH(E98)+1)/12,1))))))))&gt;0,(((K98)*(IF(M98="",L98,IFERROR(IF(INDEX(Variablen!$I:$AT, MATCH(M98, Variablen!$A:$A, 0), MATCH((YEAR(D98)+15), Variablen!$I$3:$AT$3, 0))="",L98,INDEX(Variablen!$I:$AT, MATCH(M98, Variablen!$A:$A, 0), MATCH((YEAR(D98)+15), Variablen!$I$3:$AT$3, 0))),L98)))*(IF((YEAR(D98)+15)&lt;YEAR(E98),0,IF((YEAR(D98)+15)&gt;YEAR(E98),1,(12-MONTH(E98)+1)/12))) + (Q98)*(IF((YEAR(D98)+15)&lt;YEAR(E98),0,IF((YEAR(D98)+15)&gt;YEAR(E98),1,(12-MONTH(E98)+1)/12))))-((P98)*(IF((YEAR(D98)+15)&lt;YEAR(E98),0,IF((YEAR(D98)+15)&gt;YEAR(E98),1,(12-MONTH(E98)+1)/12))) + (R98)*(IF((YEAR(D98)+15)&lt;YEAR(E98),0,IF((YEAR(D98)+15)&gt;YEAR(E98),1,(12-MONTH(E98)+1)/12))))-(IF(OR(N98="",N98&lt;=0),0,(O98/N98)*(IF(OR(N98="",N98&lt;=0),0,IF((YEAR(D98)+15)&lt;YEAR(E98),0,IF((YEAR(D98)+15)&gt;=YEAR(E98)+N98,0,IF((YEAR(D98)+15)=YEAR(E98),(12-MONTH(E98)+1)/12,1))))))))*TaxRate,0))-IF(15=0,O98,0))</f>
        <v/>
      </c>
      <c r="AI98" s="29">
        <f>IF(A98="","",((K98)*(IF(M98="",L98,IFERROR(IF(INDEX(Variablen!$I:$AT, MATCH(M98, Variablen!$A:$A, 0), MATCH((YEAR(D98)+16), Variablen!$I$3:$AT$3, 0))="",L98,INDEX(Variablen!$I:$AT, MATCH(M98, Variablen!$A:$A, 0), MATCH((YEAR(D98)+16), Variablen!$I$3:$AT$3, 0))),L98)))*(IF((YEAR(D98)+16)&lt;YEAR(E98),0,IF((YEAR(D98)+16)&gt;YEAR(E98),1,(12-MONTH(E98)+1)/12))) + (Q98)*(IF((YEAR(D98)+16)&lt;YEAR(E98),0,IF((YEAR(D98)+16)&gt;YEAR(E98),1,(12-MONTH(E98)+1)/12))))-((P98)*(IF((YEAR(D98)+16)&lt;YEAR(E98),0,IF((YEAR(D98)+16)&gt;YEAR(E98),1,(12-MONTH(E98)+1)/12))) + (R98)*(IF((YEAR(D98)+16)&lt;YEAR(E98),0,IF((YEAR(D98)+16)&gt;YEAR(E98),1,(12-MONTH(E98)+1)/12))))-(IF((((K98)*(IF(M98="",L98,IFERROR(IF(INDEX(Variablen!$I:$AT, MATCH(M98, Variablen!$A:$A, 0), MATCH((YEAR(D98)+16), Variablen!$I$3:$AT$3, 0))="",L98,INDEX(Variablen!$I:$AT, MATCH(M98, Variablen!$A:$A, 0), MATCH((YEAR(D98)+16), Variablen!$I$3:$AT$3, 0))),L98)))*(IF((YEAR(D98)+16)&lt;YEAR(E98),0,IF((YEAR(D98)+16)&gt;YEAR(E98),1,(12-MONTH(E98)+1)/12))) + (Q98)*(IF((YEAR(D98)+16)&lt;YEAR(E98),0,IF((YEAR(D98)+16)&gt;YEAR(E98),1,(12-MONTH(E98)+1)/12))))-((P98)*(IF((YEAR(D98)+16)&lt;YEAR(E98),0,IF((YEAR(D98)+16)&gt;YEAR(E98),1,(12-MONTH(E98)+1)/12))) + (R98)*(IF((YEAR(D98)+16)&lt;YEAR(E98),0,IF((YEAR(D98)+16)&gt;YEAR(E98),1,(12-MONTH(E98)+1)/12))))-(IF(OR(N98="",N98&lt;=0),0,(O98/N98)*(IF(OR(N98="",N98&lt;=0),0,IF((YEAR(D98)+16)&lt;YEAR(E98),0,IF((YEAR(D98)+16)&gt;=YEAR(E98)+N98,0,IF((YEAR(D98)+16)=YEAR(E98),(12-MONTH(E98)+1)/12,1))))))))&gt;0,(((K98)*(IF(M98="",L98,IFERROR(IF(INDEX(Variablen!$I:$AT, MATCH(M98, Variablen!$A:$A, 0), MATCH((YEAR(D98)+16), Variablen!$I$3:$AT$3, 0))="",L98,INDEX(Variablen!$I:$AT, MATCH(M98, Variablen!$A:$A, 0), MATCH((YEAR(D98)+16), Variablen!$I$3:$AT$3, 0))),L98)))*(IF((YEAR(D98)+16)&lt;YEAR(E98),0,IF((YEAR(D98)+16)&gt;YEAR(E98),1,(12-MONTH(E98)+1)/12))) + (Q98)*(IF((YEAR(D98)+16)&lt;YEAR(E98),0,IF((YEAR(D98)+16)&gt;YEAR(E98),1,(12-MONTH(E98)+1)/12))))-((P98)*(IF((YEAR(D98)+16)&lt;YEAR(E98),0,IF((YEAR(D98)+16)&gt;YEAR(E98),1,(12-MONTH(E98)+1)/12))) + (R98)*(IF((YEAR(D98)+16)&lt;YEAR(E98),0,IF((YEAR(D98)+16)&gt;YEAR(E98),1,(12-MONTH(E98)+1)/12))))-(IF(OR(N98="",N98&lt;=0),0,(O98/N98)*(IF(OR(N98="",N98&lt;=0),0,IF((YEAR(D98)+16)&lt;YEAR(E98),0,IF((YEAR(D98)+16)&gt;=YEAR(E98)+N98,0,IF((YEAR(D98)+16)=YEAR(E98),(12-MONTH(E98)+1)/12,1))))))))*TaxRate,0))-IF(16=0,O98,0))</f>
        <v/>
      </c>
      <c r="AJ98" s="29">
        <f>IF(A98="","",((K98)*(IF(M98="",L98,IFERROR(IF(INDEX(Variablen!$I:$AT, MATCH(M98, Variablen!$A:$A, 0), MATCH((YEAR(D98)+17), Variablen!$I$3:$AT$3, 0))="",L98,INDEX(Variablen!$I:$AT, MATCH(M98, Variablen!$A:$A, 0), MATCH((YEAR(D98)+17), Variablen!$I$3:$AT$3, 0))),L98)))*(IF((YEAR(D98)+17)&lt;YEAR(E98),0,IF((YEAR(D98)+17)&gt;YEAR(E98),1,(12-MONTH(E98)+1)/12))) + (Q98)*(IF((YEAR(D98)+17)&lt;YEAR(E98),0,IF((YEAR(D98)+17)&gt;YEAR(E98),1,(12-MONTH(E98)+1)/12))))-((P98)*(IF((YEAR(D98)+17)&lt;YEAR(E98),0,IF((YEAR(D98)+17)&gt;YEAR(E98),1,(12-MONTH(E98)+1)/12))) + (R98)*(IF((YEAR(D98)+17)&lt;YEAR(E98),0,IF((YEAR(D98)+17)&gt;YEAR(E98),1,(12-MONTH(E98)+1)/12))))-(IF((((K98)*(IF(M98="",L98,IFERROR(IF(INDEX(Variablen!$I:$AT, MATCH(M98, Variablen!$A:$A, 0), MATCH((YEAR(D98)+17), Variablen!$I$3:$AT$3, 0))="",L98,INDEX(Variablen!$I:$AT, MATCH(M98, Variablen!$A:$A, 0), MATCH((YEAR(D98)+17), Variablen!$I$3:$AT$3, 0))),L98)))*(IF((YEAR(D98)+17)&lt;YEAR(E98),0,IF((YEAR(D98)+17)&gt;YEAR(E98),1,(12-MONTH(E98)+1)/12))) + (Q98)*(IF((YEAR(D98)+17)&lt;YEAR(E98),0,IF((YEAR(D98)+17)&gt;YEAR(E98),1,(12-MONTH(E98)+1)/12))))-((P98)*(IF((YEAR(D98)+17)&lt;YEAR(E98),0,IF((YEAR(D98)+17)&gt;YEAR(E98),1,(12-MONTH(E98)+1)/12))) + (R98)*(IF((YEAR(D98)+17)&lt;YEAR(E98),0,IF((YEAR(D98)+17)&gt;YEAR(E98),1,(12-MONTH(E98)+1)/12))))-(IF(OR(N98="",N98&lt;=0),0,(O98/N98)*(IF(OR(N98="",N98&lt;=0),0,IF((YEAR(D98)+17)&lt;YEAR(E98),0,IF((YEAR(D98)+17)&gt;=YEAR(E98)+N98,0,IF((YEAR(D98)+17)=YEAR(E98),(12-MONTH(E98)+1)/12,1))))))))&gt;0,(((K98)*(IF(M98="",L98,IFERROR(IF(INDEX(Variablen!$I:$AT, MATCH(M98, Variablen!$A:$A, 0), MATCH((YEAR(D98)+17), Variablen!$I$3:$AT$3, 0))="",L98,INDEX(Variablen!$I:$AT, MATCH(M98, Variablen!$A:$A, 0), MATCH((YEAR(D98)+17), Variablen!$I$3:$AT$3, 0))),L98)))*(IF((YEAR(D98)+17)&lt;YEAR(E98),0,IF((YEAR(D98)+17)&gt;YEAR(E98),1,(12-MONTH(E98)+1)/12))) + (Q98)*(IF((YEAR(D98)+17)&lt;YEAR(E98),0,IF((YEAR(D98)+17)&gt;YEAR(E98),1,(12-MONTH(E98)+1)/12))))-((P98)*(IF((YEAR(D98)+17)&lt;YEAR(E98),0,IF((YEAR(D98)+17)&gt;YEAR(E98),1,(12-MONTH(E98)+1)/12))) + (R98)*(IF((YEAR(D98)+17)&lt;YEAR(E98),0,IF((YEAR(D98)+17)&gt;YEAR(E98),1,(12-MONTH(E98)+1)/12))))-(IF(OR(N98="",N98&lt;=0),0,(O98/N98)*(IF(OR(N98="",N98&lt;=0),0,IF((YEAR(D98)+17)&lt;YEAR(E98),0,IF((YEAR(D98)+17)&gt;=YEAR(E98)+N98,0,IF((YEAR(D98)+17)=YEAR(E98),(12-MONTH(E98)+1)/12,1))))))))*TaxRate,0))-IF(17=0,O98,0))</f>
        <v/>
      </c>
      <c r="AK98" s="29">
        <f>IF(A98="","",((K98)*(IF(M98="",L98,IFERROR(IF(INDEX(Variablen!$I:$AT, MATCH(M98, Variablen!$A:$A, 0), MATCH((YEAR(D98)+18), Variablen!$I$3:$AT$3, 0))="",L98,INDEX(Variablen!$I:$AT, MATCH(M98, Variablen!$A:$A, 0), MATCH((YEAR(D98)+18), Variablen!$I$3:$AT$3, 0))),L98)))*(IF((YEAR(D98)+18)&lt;YEAR(E98),0,IF((YEAR(D98)+18)&gt;YEAR(E98),1,(12-MONTH(E98)+1)/12))) + (Q98)*(IF((YEAR(D98)+18)&lt;YEAR(E98),0,IF((YEAR(D98)+18)&gt;YEAR(E98),1,(12-MONTH(E98)+1)/12))))-((P98)*(IF((YEAR(D98)+18)&lt;YEAR(E98),0,IF((YEAR(D98)+18)&gt;YEAR(E98),1,(12-MONTH(E98)+1)/12))) + (R98)*(IF((YEAR(D98)+18)&lt;YEAR(E98),0,IF((YEAR(D98)+18)&gt;YEAR(E98),1,(12-MONTH(E98)+1)/12))))-(IF((((K98)*(IF(M98="",L98,IFERROR(IF(INDEX(Variablen!$I:$AT, MATCH(M98, Variablen!$A:$A, 0), MATCH((YEAR(D98)+18), Variablen!$I$3:$AT$3, 0))="",L98,INDEX(Variablen!$I:$AT, MATCH(M98, Variablen!$A:$A, 0), MATCH((YEAR(D98)+18), Variablen!$I$3:$AT$3, 0))),L98)))*(IF((YEAR(D98)+18)&lt;YEAR(E98),0,IF((YEAR(D98)+18)&gt;YEAR(E98),1,(12-MONTH(E98)+1)/12))) + (Q98)*(IF((YEAR(D98)+18)&lt;YEAR(E98),0,IF((YEAR(D98)+18)&gt;YEAR(E98),1,(12-MONTH(E98)+1)/12))))-((P98)*(IF((YEAR(D98)+18)&lt;YEAR(E98),0,IF((YEAR(D98)+18)&gt;YEAR(E98),1,(12-MONTH(E98)+1)/12))) + (R98)*(IF((YEAR(D98)+18)&lt;YEAR(E98),0,IF((YEAR(D98)+18)&gt;YEAR(E98),1,(12-MONTH(E98)+1)/12))))-(IF(OR(N98="",N98&lt;=0),0,(O98/N98)*(IF(OR(N98="",N98&lt;=0),0,IF((YEAR(D98)+18)&lt;YEAR(E98),0,IF((YEAR(D98)+18)&gt;=YEAR(E98)+N98,0,IF((YEAR(D98)+18)=YEAR(E98),(12-MONTH(E98)+1)/12,1))))))))&gt;0,(((K98)*(IF(M98="",L98,IFERROR(IF(INDEX(Variablen!$I:$AT, MATCH(M98, Variablen!$A:$A, 0), MATCH((YEAR(D98)+18), Variablen!$I$3:$AT$3, 0))="",L98,INDEX(Variablen!$I:$AT, MATCH(M98, Variablen!$A:$A, 0), MATCH((YEAR(D98)+18), Variablen!$I$3:$AT$3, 0))),L98)))*(IF((YEAR(D98)+18)&lt;YEAR(E98),0,IF((YEAR(D98)+18)&gt;YEAR(E98),1,(12-MONTH(E98)+1)/12))) + (Q98)*(IF((YEAR(D98)+18)&lt;YEAR(E98),0,IF((YEAR(D98)+18)&gt;YEAR(E98),1,(12-MONTH(E98)+1)/12))))-((P98)*(IF((YEAR(D98)+18)&lt;YEAR(E98),0,IF((YEAR(D98)+18)&gt;YEAR(E98),1,(12-MONTH(E98)+1)/12))) + (R98)*(IF((YEAR(D98)+18)&lt;YEAR(E98),0,IF((YEAR(D98)+18)&gt;YEAR(E98),1,(12-MONTH(E98)+1)/12))))-(IF(OR(N98="",N98&lt;=0),0,(O98/N98)*(IF(OR(N98="",N98&lt;=0),0,IF((YEAR(D98)+18)&lt;YEAR(E98),0,IF((YEAR(D98)+18)&gt;=YEAR(E98)+N98,0,IF((YEAR(D98)+18)=YEAR(E98),(12-MONTH(E98)+1)/12,1))))))))*TaxRate,0))-IF(18=0,O98,0))</f>
        <v/>
      </c>
      <c r="AL98" s="29">
        <f>IF(A98="","",((K98)*(IF(M98="",L98,IFERROR(IF(INDEX(Variablen!$I:$AT, MATCH(M98, Variablen!$A:$A, 0), MATCH((YEAR(D98)+19), Variablen!$I$3:$AT$3, 0))="",L98,INDEX(Variablen!$I:$AT, MATCH(M98, Variablen!$A:$A, 0), MATCH((YEAR(D98)+19), Variablen!$I$3:$AT$3, 0))),L98)))*(IF((YEAR(D98)+19)&lt;YEAR(E98),0,IF((YEAR(D98)+19)&gt;YEAR(E98),1,(12-MONTH(E98)+1)/12))) + (Q98)*(IF((YEAR(D98)+19)&lt;YEAR(E98),0,IF((YEAR(D98)+19)&gt;YEAR(E98),1,(12-MONTH(E98)+1)/12))))-((P98)*(IF((YEAR(D98)+19)&lt;YEAR(E98),0,IF((YEAR(D98)+19)&gt;YEAR(E98),1,(12-MONTH(E98)+1)/12))) + (R98)*(IF((YEAR(D98)+19)&lt;YEAR(E98),0,IF((YEAR(D98)+19)&gt;YEAR(E98),1,(12-MONTH(E98)+1)/12))))-(IF((((K98)*(IF(M98="",L98,IFERROR(IF(INDEX(Variablen!$I:$AT, MATCH(M98, Variablen!$A:$A, 0), MATCH((YEAR(D98)+19), Variablen!$I$3:$AT$3, 0))="",L98,INDEX(Variablen!$I:$AT, MATCH(M98, Variablen!$A:$A, 0), MATCH((YEAR(D98)+19), Variablen!$I$3:$AT$3, 0))),L98)))*(IF((YEAR(D98)+19)&lt;YEAR(E98),0,IF((YEAR(D98)+19)&gt;YEAR(E98),1,(12-MONTH(E98)+1)/12))) + (Q98)*(IF((YEAR(D98)+19)&lt;YEAR(E98),0,IF((YEAR(D98)+19)&gt;YEAR(E98),1,(12-MONTH(E98)+1)/12))))-((P98)*(IF((YEAR(D98)+19)&lt;YEAR(E98),0,IF((YEAR(D98)+19)&gt;YEAR(E98),1,(12-MONTH(E98)+1)/12))) + (R98)*(IF((YEAR(D98)+19)&lt;YEAR(E98),0,IF((YEAR(D98)+19)&gt;YEAR(E98),1,(12-MONTH(E98)+1)/12))))-(IF(OR(N98="",N98&lt;=0),0,(O98/N98)*(IF(OR(N98="",N98&lt;=0),0,IF((YEAR(D98)+19)&lt;YEAR(E98),0,IF((YEAR(D98)+19)&gt;=YEAR(E98)+N98,0,IF((YEAR(D98)+19)=YEAR(E98),(12-MONTH(E98)+1)/12,1))))))))&gt;0,(((K98)*(IF(M98="",L98,IFERROR(IF(INDEX(Variablen!$I:$AT, MATCH(M98, Variablen!$A:$A, 0), MATCH((YEAR(D98)+19), Variablen!$I$3:$AT$3, 0))="",L98,INDEX(Variablen!$I:$AT, MATCH(M98, Variablen!$A:$A, 0), MATCH((YEAR(D98)+19), Variablen!$I$3:$AT$3, 0))),L98)))*(IF((YEAR(D98)+19)&lt;YEAR(E98),0,IF((YEAR(D98)+19)&gt;YEAR(E98),1,(12-MONTH(E98)+1)/12))) + (Q98)*(IF((YEAR(D98)+19)&lt;YEAR(E98),0,IF((YEAR(D98)+19)&gt;YEAR(E98),1,(12-MONTH(E98)+1)/12))))-((P98)*(IF((YEAR(D98)+19)&lt;YEAR(E98),0,IF((YEAR(D98)+19)&gt;YEAR(E98),1,(12-MONTH(E98)+1)/12))) + (R98)*(IF((YEAR(D98)+19)&lt;YEAR(E98),0,IF((YEAR(D98)+19)&gt;YEAR(E98),1,(12-MONTH(E98)+1)/12))))-(IF(OR(N98="",N98&lt;=0),0,(O98/N98)*(IF(OR(N98="",N98&lt;=0),0,IF((YEAR(D98)+19)&lt;YEAR(E98),0,IF((YEAR(D98)+19)&gt;=YEAR(E98)+N98,0,IF((YEAR(D98)+19)=YEAR(E98),(12-MONTH(E98)+1)/12,1))))))))*TaxRate,0))-IF(19=0,O98,0))</f>
        <v/>
      </c>
      <c r="AM98" s="29">
        <f>IF(A98="","",((K98)*(IF(M98="",L98,IFERROR(IF(INDEX(Variablen!$I:$AT, MATCH(M98, Variablen!$A:$A, 0), MATCH((YEAR(D98)+20), Variablen!$I$3:$AT$3, 0))="",L98,INDEX(Variablen!$I:$AT, MATCH(M98, Variablen!$A:$A, 0), MATCH((YEAR(D98)+20), Variablen!$I$3:$AT$3, 0))),L98)))*(IF((YEAR(D98)+20)&lt;YEAR(E98),0,IF((YEAR(D98)+20)&gt;YEAR(E98),1,(12-MONTH(E98)+1)/12))) + (Q98)*(IF((YEAR(D98)+20)&lt;YEAR(E98),0,IF((YEAR(D98)+20)&gt;YEAR(E98),1,(12-MONTH(E98)+1)/12))))-((P98)*(IF((YEAR(D98)+20)&lt;YEAR(E98),0,IF((YEAR(D98)+20)&gt;YEAR(E98),1,(12-MONTH(E98)+1)/12))) + (R98)*(IF((YEAR(D98)+20)&lt;YEAR(E98),0,IF((YEAR(D98)+20)&gt;YEAR(E98),1,(12-MONTH(E98)+1)/12))))-(IF((((K98)*(IF(M98="",L98,IFERROR(IF(INDEX(Variablen!$I:$AT, MATCH(M98, Variablen!$A:$A, 0), MATCH((YEAR(D98)+20), Variablen!$I$3:$AT$3, 0))="",L98,INDEX(Variablen!$I:$AT, MATCH(M98, Variablen!$A:$A, 0), MATCH((YEAR(D98)+20), Variablen!$I$3:$AT$3, 0))),L98)))*(IF((YEAR(D98)+20)&lt;YEAR(E98),0,IF((YEAR(D98)+20)&gt;YEAR(E98),1,(12-MONTH(E98)+1)/12))) + (Q98)*(IF((YEAR(D98)+20)&lt;YEAR(E98),0,IF((YEAR(D98)+20)&gt;YEAR(E98),1,(12-MONTH(E98)+1)/12))))-((P98)*(IF((YEAR(D98)+20)&lt;YEAR(E98),0,IF((YEAR(D98)+20)&gt;YEAR(E98),1,(12-MONTH(E98)+1)/12))) + (R98)*(IF((YEAR(D98)+20)&lt;YEAR(E98),0,IF((YEAR(D98)+20)&gt;YEAR(E98),1,(12-MONTH(E98)+1)/12))))-(IF(OR(N98="",N98&lt;=0),0,(O98/N98)*(IF(OR(N98="",N98&lt;=0),0,IF((YEAR(D98)+20)&lt;YEAR(E98),0,IF((YEAR(D98)+20)&gt;=YEAR(E98)+N98,0,IF((YEAR(D98)+20)=YEAR(E98),(12-MONTH(E98)+1)/12,1))))))))&gt;0,(((K98)*(IF(M98="",L98,IFERROR(IF(INDEX(Variablen!$I:$AT, MATCH(M98, Variablen!$A:$A, 0), MATCH((YEAR(D98)+20), Variablen!$I$3:$AT$3, 0))="",L98,INDEX(Variablen!$I:$AT, MATCH(M98, Variablen!$A:$A, 0), MATCH((YEAR(D98)+20), Variablen!$I$3:$AT$3, 0))),L98)))*(IF((YEAR(D98)+20)&lt;YEAR(E98),0,IF((YEAR(D98)+20)&gt;YEAR(E98),1,(12-MONTH(E98)+1)/12))) + (Q98)*(IF((YEAR(D98)+20)&lt;YEAR(E98),0,IF((YEAR(D98)+20)&gt;YEAR(E98),1,(12-MONTH(E98)+1)/12))))-((P98)*(IF((YEAR(D98)+20)&lt;YEAR(E98),0,IF((YEAR(D98)+20)&gt;YEAR(E98),1,(12-MONTH(E98)+1)/12))) + (R98)*(IF((YEAR(D98)+20)&lt;YEAR(E98),0,IF((YEAR(D98)+20)&gt;YEAR(E98),1,(12-MONTH(E98)+1)/12))))-(IF(OR(N98="",N98&lt;=0),0,(O98/N98)*(IF(OR(N98="",N98&lt;=0),0,IF((YEAR(D98)+20)&lt;YEAR(E98),0,IF((YEAR(D98)+20)&gt;=YEAR(E98)+N98,0,IF((YEAR(D98)+20)=YEAR(E98),(12-MONTH(E98)+1)/12,1))))))))*TaxRate,0))-IF(20=0,O98,0))</f>
        <v/>
      </c>
      <c r="AN98" s="29">
        <f>IF(A98="","",S98)</f>
        <v/>
      </c>
      <c r="AO98" s="29">
        <f>IF(A98="","",AN98+T98)</f>
        <v/>
      </c>
      <c r="AP98" s="29">
        <f>IF(A98="","",AO98+U98)</f>
        <v/>
      </c>
      <c r="AQ98" s="29">
        <f>IF(A98="","",AP98+V98)</f>
        <v/>
      </c>
      <c r="AR98" s="29">
        <f>IF(A98="","",AQ98+W98)</f>
        <v/>
      </c>
      <c r="AS98" s="29">
        <f>IF(A98="","",AR98+X98)</f>
        <v/>
      </c>
      <c r="AT98" s="29">
        <f>IF(A98="","",AS98+Y98)</f>
        <v/>
      </c>
      <c r="AU98" s="29">
        <f>IF(A98="","",AT98+Z98)</f>
        <v/>
      </c>
      <c r="AV98" s="29">
        <f>IF(A98="","",AU98+AA98)</f>
        <v/>
      </c>
      <c r="AW98" s="29">
        <f>IF(A98="","",AV98+AB98)</f>
        <v/>
      </c>
      <c r="AX98" s="29">
        <f>IF(A98="","",AW98+AC98)</f>
        <v/>
      </c>
      <c r="AY98" s="29">
        <f>IF(A98="","",AX98+AD98)</f>
        <v/>
      </c>
      <c r="AZ98" s="29">
        <f>IF(A98="","",AY98+AE98)</f>
        <v/>
      </c>
      <c r="BA98" s="29">
        <f>IF(A98="","",AZ98+AF98)</f>
        <v/>
      </c>
      <c r="BB98" s="29">
        <f>IF(A98="","",BA98+AG98)</f>
        <v/>
      </c>
      <c r="BC98" s="29">
        <f>IF(A98="","",BB98+AH98)</f>
        <v/>
      </c>
      <c r="BD98" s="29">
        <f>IF(A98="","",BC98+AI98)</f>
        <v/>
      </c>
      <c r="BE98" s="29">
        <f>IF(A98="","",BD98+AJ98)</f>
        <v/>
      </c>
      <c r="BF98" s="29">
        <f>IF(A98="","",BE98+AK98)</f>
        <v/>
      </c>
      <c r="BG98" s="29">
        <f>IF(A98="","",BF98+AL98)</f>
        <v/>
      </c>
      <c r="BH98" s="29">
        <f>IF(A98="","",BG98+AM98)</f>
        <v/>
      </c>
      <c r="BI98" s="36">
        <f>IF(A98="","",(K98)*(IF((YEAR(D98)+0)&lt;YEAR(E98),0,IF((YEAR(D98)+0)&gt;YEAR(E98),1,(12-MONTH(E98)+1)/12)))*(1/(1+DiscountRate)^0))</f>
        <v/>
      </c>
      <c r="BJ98" s="36">
        <f>IF(A98="","",(K98)*(IF((YEAR(D98)+1)&lt;YEAR(E98),0,IF((YEAR(D98)+1)&gt;YEAR(E98),1,(12-MONTH(E98)+1)/12)))*(1/(1+DiscountRate)^1))</f>
        <v/>
      </c>
      <c r="BK98" s="36">
        <f>IF(A98="","",(K98)*(IF((YEAR(D98)+2)&lt;YEAR(E98),0,IF((YEAR(D98)+2)&gt;YEAR(E98),1,(12-MONTH(E98)+1)/12)))*(1/(1+DiscountRate)^2))</f>
        <v/>
      </c>
      <c r="BL98" s="36">
        <f>IF(A98="","",(K98)*(IF((YEAR(D98)+3)&lt;YEAR(E98),0,IF((YEAR(D98)+3)&gt;YEAR(E98),1,(12-MONTH(E98)+1)/12)))*(1/(1+DiscountRate)^3))</f>
        <v/>
      </c>
      <c r="BM98" s="36">
        <f>IF(A98="","",(K98)*(IF((YEAR(D98)+4)&lt;YEAR(E98),0,IF((YEAR(D98)+4)&gt;YEAR(E98),1,(12-MONTH(E98)+1)/12)))*(1/(1+DiscountRate)^4))</f>
        <v/>
      </c>
      <c r="BN98" s="36">
        <f>IF(A98="","",(K98)*(IF((YEAR(D98)+5)&lt;YEAR(E98),0,IF((YEAR(D98)+5)&gt;YEAR(E98),1,(12-MONTH(E98)+1)/12)))*(1/(1+DiscountRate)^5))</f>
        <v/>
      </c>
      <c r="BO98" s="36">
        <f>IF(A98="","",(K98)*(IF((YEAR(D98)+6)&lt;YEAR(E98),0,IF((YEAR(D98)+6)&gt;YEAR(E98),1,(12-MONTH(E98)+1)/12)))*(1/(1+DiscountRate)^6))</f>
        <v/>
      </c>
      <c r="BP98" s="36">
        <f>IF(A98="","",(K98)*(IF((YEAR(D98)+7)&lt;YEAR(E98),0,IF((YEAR(D98)+7)&gt;YEAR(E98),1,(12-MONTH(E98)+1)/12)))*(1/(1+DiscountRate)^7))</f>
        <v/>
      </c>
      <c r="BQ98" s="36">
        <f>IF(A98="","",(K98)*(IF((YEAR(D98)+8)&lt;YEAR(E98),0,IF((YEAR(D98)+8)&gt;YEAR(E98),1,(12-MONTH(E98)+1)/12)))*(1/(1+DiscountRate)^8))</f>
        <v/>
      </c>
      <c r="BR98" s="36">
        <f>IF(A98="","",(K98)*(IF((YEAR(D98)+9)&lt;YEAR(E98),0,IF((YEAR(D98)+9)&gt;YEAR(E98),1,(12-MONTH(E98)+1)/12)))*(1/(1+DiscountRate)^9))</f>
        <v/>
      </c>
      <c r="BS98" s="36">
        <f>IF(A98="","",(K98)*(IF((YEAR(D98)+10)&lt;YEAR(E98),0,IF((YEAR(D98)+10)&gt;YEAR(E98),1,(12-MONTH(E98)+1)/12)))*(1/(1+DiscountRate)^10))</f>
        <v/>
      </c>
      <c r="BT98" s="36">
        <f>IF(A98="","",(K98)*(IF((YEAR(D98)+11)&lt;YEAR(E98),0,IF((YEAR(D98)+11)&gt;YEAR(E98),1,(12-MONTH(E98)+1)/12)))*(1/(1+DiscountRate)^11))</f>
        <v/>
      </c>
      <c r="BU98" s="36">
        <f>IF(A98="","",(K98)*(IF((YEAR(D98)+12)&lt;YEAR(E98),0,IF((YEAR(D98)+12)&gt;YEAR(E98),1,(12-MONTH(E98)+1)/12)))*(1/(1+DiscountRate)^12))</f>
        <v/>
      </c>
      <c r="BV98" s="36">
        <f>IF(A98="","",(K98)*(IF((YEAR(D98)+13)&lt;YEAR(E98),0,IF((YEAR(D98)+13)&gt;YEAR(E98),1,(12-MONTH(E98)+1)/12)))*(1/(1+DiscountRate)^13))</f>
        <v/>
      </c>
      <c r="BW98" s="36">
        <f>IF(A98="","",(K98)*(IF((YEAR(D98)+14)&lt;YEAR(E98),0,IF((YEAR(D98)+14)&gt;YEAR(E98),1,(12-MONTH(E98)+1)/12)))*(1/(1+DiscountRate)^14))</f>
        <v/>
      </c>
      <c r="BX98" s="36">
        <f>IF(A98="","",(K98)*(IF((YEAR(D98)+15)&lt;YEAR(E98),0,IF((YEAR(D98)+15)&gt;YEAR(E98),1,(12-MONTH(E98)+1)/12)))*(1/(1+DiscountRate)^15))</f>
        <v/>
      </c>
      <c r="BY98" s="36">
        <f>IF(A98="","",(K98)*(IF((YEAR(D98)+16)&lt;YEAR(E98),0,IF((YEAR(D98)+16)&gt;YEAR(E98),1,(12-MONTH(E98)+1)/12)))*(1/(1+DiscountRate)^16))</f>
        <v/>
      </c>
      <c r="BZ98" s="36">
        <f>IF(A98="","",(K98)*(IF((YEAR(D98)+17)&lt;YEAR(E98),0,IF((YEAR(D98)+17)&gt;YEAR(E98),1,(12-MONTH(E98)+1)/12)))*(1/(1+DiscountRate)^17))</f>
        <v/>
      </c>
      <c r="CA98" s="36">
        <f>IF(A98="","",(K98)*(IF((YEAR(D98)+18)&lt;YEAR(E98),0,IF((YEAR(D98)+18)&gt;YEAR(E98),1,(12-MONTH(E98)+1)/12)))*(1/(1+DiscountRate)^18))</f>
        <v/>
      </c>
      <c r="CB98" s="36">
        <f>IF(A98="","",(K98)*(IF((YEAR(D98)+19)&lt;YEAR(E98),0,IF((YEAR(D98)+19)&gt;YEAR(E98),1,(12-MONTH(E98)+1)/12)))*(1/(1+DiscountRate)^19))</f>
        <v/>
      </c>
      <c r="CC98" s="36">
        <f>IF(A98="","",(K98)*(IF((YEAR(D98)+20)&lt;YEAR(E98),0,IF((YEAR(D98)+20)&gt;YEAR(E98),1,(12-MONTH(E98)+1)/12)))*(1/(1+DiscountRate)^20))</f>
        <v/>
      </c>
      <c r="CD98" s="29">
        <f>IF(A98="","",S98/(1+DiscountRate)^0+T98/(1+DiscountRate)^1+U98/(1+DiscountRate)^2+V98/(1+DiscountRate)^3+W98/(1+DiscountRate)^4+X98/(1+DiscountRate)^5+Y98/(1+DiscountRate)^6+Z98/(1+DiscountRate)^7+AA98/(1+DiscountRate)^8+AB98/(1+DiscountRate)^9+AC98/(1+DiscountRate)^10+AD98/(1+DiscountRate)^11+AE98/(1+DiscountRate)^12+AF98/(1+DiscountRate)^13+AG98/(1+DiscountRate)^14+AH98/(1+DiscountRate)^15+AI98/(1+DiscountRate)^16+AJ98/(1+DiscountRate)^17+AK98/(1+DiscountRate)^18+AL98/(1+DiscountRate)^19+AM98/(1+DiscountRate)^20)</f>
        <v/>
      </c>
      <c r="CE98" s="37">
        <f>IF(A98="","",IFERROR(IRR(OFFSET(S98,0,0,1,MIN(HorizonYears,20)+1)),"n/a"))</f>
        <v/>
      </c>
      <c r="CF98" s="28">
        <f>IF(A98="","",IFERROR(MATCH(TRUE,OFFSET(AN98,0,0,1,MIN(HorizonYears,20)+1)&gt;=0,0)-1,"n/a"))</f>
        <v/>
      </c>
      <c r="CG98" s="36">
        <f>IF(A98="","",SUM(OFFSET(BI98,0,0,1,MIN(HorizonYears,20)+1)))</f>
        <v/>
      </c>
      <c r="CH98" s="36">
        <f>IF(A98="","",IFERROR(-CD98/CG98,"n/a"))</f>
        <v/>
      </c>
    </row>
    <row r="99">
      <c r="A99" s="6">
        <f>Actions!A97</f>
        <v/>
      </c>
      <c r="B99" s="6">
        <f>Actions!B97</f>
        <v/>
      </c>
      <c r="C99" s="6">
        <f>Actions!D97</f>
        <v/>
      </c>
      <c r="D99" s="35">
        <f>Actions!E97</f>
        <v/>
      </c>
      <c r="E99" s="35">
        <f>Actions!F97</f>
        <v/>
      </c>
      <c r="F99" s="6">
        <f>Actions!G97</f>
        <v/>
      </c>
      <c r="G99" s="6">
        <f>Actions!H97</f>
        <v/>
      </c>
      <c r="H99" s="29">
        <f>Actions!I97</f>
        <v/>
      </c>
      <c r="I99" s="6">
        <f>Actions!J97</f>
        <v/>
      </c>
      <c r="J99" s="16">
        <f>Actions!K97</f>
        <v/>
      </c>
      <c r="K99" s="16">
        <f>IF(A99="","",IF(I99="%",H99*J99,J99))</f>
        <v/>
      </c>
      <c r="L99" s="16">
        <f>Actions!L97</f>
        <v/>
      </c>
      <c r="M99" s="6">
        <f>Actions!M97</f>
        <v/>
      </c>
      <c r="N99" s="28">
        <f>Actions!N97</f>
        <v/>
      </c>
      <c r="O99" s="29">
        <f>Actions!T97</f>
        <v/>
      </c>
      <c r="P99" s="29">
        <f>Actions!Y97</f>
        <v/>
      </c>
      <c r="Q99" s="29">
        <f>Actions!Z97</f>
        <v/>
      </c>
      <c r="R99" s="29">
        <f>Actions!AA97</f>
        <v/>
      </c>
      <c r="S99" s="29">
        <f>IF(A99="","",((K99)*(IF(M99="",L99,IFERROR(IF(INDEX(Variablen!$I:$AT, MATCH(M99, Variablen!$A:$A, 0), MATCH((YEAR(D99)+0), Variablen!$I$3:$AT$3, 0))="",L99,INDEX(Variablen!$I:$AT, MATCH(M99, Variablen!$A:$A, 0), MATCH((YEAR(D99)+0), Variablen!$I$3:$AT$3, 0))),L99)))*(IF((YEAR(D99)+0)&lt;YEAR(E99),0,IF((YEAR(D99)+0)&gt;YEAR(E99),1,(12-MONTH(E99)+1)/12))) + (Q99)*(IF((YEAR(D99)+0)&lt;YEAR(E99),0,IF((YEAR(D99)+0)&gt;YEAR(E99),1,(12-MONTH(E99)+1)/12))))-((P99)*(IF((YEAR(D99)+0)&lt;YEAR(E99),0,IF((YEAR(D99)+0)&gt;YEAR(E99),1,(12-MONTH(E99)+1)/12))) + (R99)*(IF((YEAR(D99)+0)&lt;YEAR(E99),0,IF((YEAR(D99)+0)&gt;YEAR(E99),1,(12-MONTH(E99)+1)/12))))-(IF((((K99)*(IF(M99="",L99,IFERROR(IF(INDEX(Variablen!$I:$AT, MATCH(M99, Variablen!$A:$A, 0), MATCH((YEAR(D99)+0), Variablen!$I$3:$AT$3, 0))="",L99,INDEX(Variablen!$I:$AT, MATCH(M99, Variablen!$A:$A, 0), MATCH((YEAR(D99)+0), Variablen!$I$3:$AT$3, 0))),L99)))*(IF((YEAR(D99)+0)&lt;YEAR(E99),0,IF((YEAR(D99)+0)&gt;YEAR(E99),1,(12-MONTH(E99)+1)/12))) + (Q99)*(IF((YEAR(D99)+0)&lt;YEAR(E99),0,IF((YEAR(D99)+0)&gt;YEAR(E99),1,(12-MONTH(E99)+1)/12))))-((P99)*(IF((YEAR(D99)+0)&lt;YEAR(E99),0,IF((YEAR(D99)+0)&gt;YEAR(E99),1,(12-MONTH(E99)+1)/12))) + (R99)*(IF((YEAR(D99)+0)&lt;YEAR(E99),0,IF((YEAR(D99)+0)&gt;YEAR(E99),1,(12-MONTH(E99)+1)/12))))-(IF(OR(N99="",N99&lt;=0),0,(O99/N99)*(IF(OR(N99="",N99&lt;=0),0,IF((YEAR(D99)+0)&lt;YEAR(E99),0,IF((YEAR(D99)+0)&gt;=YEAR(E99)+N99,0,IF((YEAR(D99)+0)=YEAR(E99),(12-MONTH(E99)+1)/12,1))))))))&gt;0,(((K99)*(IF(M99="",L99,IFERROR(IF(INDEX(Variablen!$I:$AT, MATCH(M99, Variablen!$A:$A, 0), MATCH((YEAR(D99)+0), Variablen!$I$3:$AT$3, 0))="",L99,INDEX(Variablen!$I:$AT, MATCH(M99, Variablen!$A:$A, 0), MATCH((YEAR(D99)+0), Variablen!$I$3:$AT$3, 0))),L99)))*(IF((YEAR(D99)+0)&lt;YEAR(E99),0,IF((YEAR(D99)+0)&gt;YEAR(E99),1,(12-MONTH(E99)+1)/12))) + (Q99)*(IF((YEAR(D99)+0)&lt;YEAR(E99),0,IF((YEAR(D99)+0)&gt;YEAR(E99),1,(12-MONTH(E99)+1)/12))))-((P99)*(IF((YEAR(D99)+0)&lt;YEAR(E99),0,IF((YEAR(D99)+0)&gt;YEAR(E99),1,(12-MONTH(E99)+1)/12))) + (R99)*(IF((YEAR(D99)+0)&lt;YEAR(E99),0,IF((YEAR(D99)+0)&gt;YEAR(E99),1,(12-MONTH(E99)+1)/12))))-(IF(OR(N99="",N99&lt;=0),0,(O99/N99)*(IF(OR(N99="",N99&lt;=0),0,IF((YEAR(D99)+0)&lt;YEAR(E99),0,IF((YEAR(D99)+0)&gt;=YEAR(E99)+N99,0,IF((YEAR(D99)+0)=YEAR(E99),(12-MONTH(E99)+1)/12,1))))))))*TaxRate,0))-IF(0=0,O99,0))</f>
        <v/>
      </c>
      <c r="T99" s="29">
        <f>IF(A99="","",((K99)*(IF(M99="",L99,IFERROR(IF(INDEX(Variablen!$I:$AT, MATCH(M99, Variablen!$A:$A, 0), MATCH((YEAR(D99)+1), Variablen!$I$3:$AT$3, 0))="",L99,INDEX(Variablen!$I:$AT, MATCH(M99, Variablen!$A:$A, 0), MATCH((YEAR(D99)+1), Variablen!$I$3:$AT$3, 0))),L99)))*(IF((YEAR(D99)+1)&lt;YEAR(E99),0,IF((YEAR(D99)+1)&gt;YEAR(E99),1,(12-MONTH(E99)+1)/12))) + (Q99)*(IF((YEAR(D99)+1)&lt;YEAR(E99),0,IF((YEAR(D99)+1)&gt;YEAR(E99),1,(12-MONTH(E99)+1)/12))))-((P99)*(IF((YEAR(D99)+1)&lt;YEAR(E99),0,IF((YEAR(D99)+1)&gt;YEAR(E99),1,(12-MONTH(E99)+1)/12))) + (R99)*(IF((YEAR(D99)+1)&lt;YEAR(E99),0,IF((YEAR(D99)+1)&gt;YEAR(E99),1,(12-MONTH(E99)+1)/12))))-(IF((((K99)*(IF(M99="",L99,IFERROR(IF(INDEX(Variablen!$I:$AT, MATCH(M99, Variablen!$A:$A, 0), MATCH((YEAR(D99)+1), Variablen!$I$3:$AT$3, 0))="",L99,INDEX(Variablen!$I:$AT, MATCH(M99, Variablen!$A:$A, 0), MATCH((YEAR(D99)+1), Variablen!$I$3:$AT$3, 0))),L99)))*(IF((YEAR(D99)+1)&lt;YEAR(E99),0,IF((YEAR(D99)+1)&gt;YEAR(E99),1,(12-MONTH(E99)+1)/12))) + (Q99)*(IF((YEAR(D99)+1)&lt;YEAR(E99),0,IF((YEAR(D99)+1)&gt;YEAR(E99),1,(12-MONTH(E99)+1)/12))))-((P99)*(IF((YEAR(D99)+1)&lt;YEAR(E99),0,IF((YEAR(D99)+1)&gt;YEAR(E99),1,(12-MONTH(E99)+1)/12))) + (R99)*(IF((YEAR(D99)+1)&lt;YEAR(E99),0,IF((YEAR(D99)+1)&gt;YEAR(E99),1,(12-MONTH(E99)+1)/12))))-(IF(OR(N99="",N99&lt;=0),0,(O99/N99)*(IF(OR(N99="",N99&lt;=0),0,IF((YEAR(D99)+1)&lt;YEAR(E99),0,IF((YEAR(D99)+1)&gt;=YEAR(E99)+N99,0,IF((YEAR(D99)+1)=YEAR(E99),(12-MONTH(E99)+1)/12,1))))))))&gt;0,(((K99)*(IF(M99="",L99,IFERROR(IF(INDEX(Variablen!$I:$AT, MATCH(M99, Variablen!$A:$A, 0), MATCH((YEAR(D99)+1), Variablen!$I$3:$AT$3, 0))="",L99,INDEX(Variablen!$I:$AT, MATCH(M99, Variablen!$A:$A, 0), MATCH((YEAR(D99)+1), Variablen!$I$3:$AT$3, 0))),L99)))*(IF((YEAR(D99)+1)&lt;YEAR(E99),0,IF((YEAR(D99)+1)&gt;YEAR(E99),1,(12-MONTH(E99)+1)/12))) + (Q99)*(IF((YEAR(D99)+1)&lt;YEAR(E99),0,IF((YEAR(D99)+1)&gt;YEAR(E99),1,(12-MONTH(E99)+1)/12))))-((P99)*(IF((YEAR(D99)+1)&lt;YEAR(E99),0,IF((YEAR(D99)+1)&gt;YEAR(E99),1,(12-MONTH(E99)+1)/12))) + (R99)*(IF((YEAR(D99)+1)&lt;YEAR(E99),0,IF((YEAR(D99)+1)&gt;YEAR(E99),1,(12-MONTH(E99)+1)/12))))-(IF(OR(N99="",N99&lt;=0),0,(O99/N99)*(IF(OR(N99="",N99&lt;=0),0,IF((YEAR(D99)+1)&lt;YEAR(E99),0,IF((YEAR(D99)+1)&gt;=YEAR(E99)+N99,0,IF((YEAR(D99)+1)=YEAR(E99),(12-MONTH(E99)+1)/12,1))))))))*TaxRate,0))-IF(1=0,O99,0))</f>
        <v/>
      </c>
      <c r="U99" s="29">
        <f>IF(A99="","",((K99)*(IF(M99="",L99,IFERROR(IF(INDEX(Variablen!$I:$AT, MATCH(M99, Variablen!$A:$A, 0), MATCH((YEAR(D99)+2), Variablen!$I$3:$AT$3, 0))="",L99,INDEX(Variablen!$I:$AT, MATCH(M99, Variablen!$A:$A, 0), MATCH((YEAR(D99)+2), Variablen!$I$3:$AT$3, 0))),L99)))*(IF((YEAR(D99)+2)&lt;YEAR(E99),0,IF((YEAR(D99)+2)&gt;YEAR(E99),1,(12-MONTH(E99)+1)/12))) + (Q99)*(IF((YEAR(D99)+2)&lt;YEAR(E99),0,IF((YEAR(D99)+2)&gt;YEAR(E99),1,(12-MONTH(E99)+1)/12))))-((P99)*(IF((YEAR(D99)+2)&lt;YEAR(E99),0,IF((YEAR(D99)+2)&gt;YEAR(E99),1,(12-MONTH(E99)+1)/12))) + (R99)*(IF((YEAR(D99)+2)&lt;YEAR(E99),0,IF((YEAR(D99)+2)&gt;YEAR(E99),1,(12-MONTH(E99)+1)/12))))-(IF((((K99)*(IF(M99="",L99,IFERROR(IF(INDEX(Variablen!$I:$AT, MATCH(M99, Variablen!$A:$A, 0), MATCH((YEAR(D99)+2), Variablen!$I$3:$AT$3, 0))="",L99,INDEX(Variablen!$I:$AT, MATCH(M99, Variablen!$A:$A, 0), MATCH((YEAR(D99)+2), Variablen!$I$3:$AT$3, 0))),L99)))*(IF((YEAR(D99)+2)&lt;YEAR(E99),0,IF((YEAR(D99)+2)&gt;YEAR(E99),1,(12-MONTH(E99)+1)/12))) + (Q99)*(IF((YEAR(D99)+2)&lt;YEAR(E99),0,IF((YEAR(D99)+2)&gt;YEAR(E99),1,(12-MONTH(E99)+1)/12))))-((P99)*(IF((YEAR(D99)+2)&lt;YEAR(E99),0,IF((YEAR(D99)+2)&gt;YEAR(E99),1,(12-MONTH(E99)+1)/12))) + (R99)*(IF((YEAR(D99)+2)&lt;YEAR(E99),0,IF((YEAR(D99)+2)&gt;YEAR(E99),1,(12-MONTH(E99)+1)/12))))-(IF(OR(N99="",N99&lt;=0),0,(O99/N99)*(IF(OR(N99="",N99&lt;=0),0,IF((YEAR(D99)+2)&lt;YEAR(E99),0,IF((YEAR(D99)+2)&gt;=YEAR(E99)+N99,0,IF((YEAR(D99)+2)=YEAR(E99),(12-MONTH(E99)+1)/12,1))))))))&gt;0,(((K99)*(IF(M99="",L99,IFERROR(IF(INDEX(Variablen!$I:$AT, MATCH(M99, Variablen!$A:$A, 0), MATCH((YEAR(D99)+2), Variablen!$I$3:$AT$3, 0))="",L99,INDEX(Variablen!$I:$AT, MATCH(M99, Variablen!$A:$A, 0), MATCH((YEAR(D99)+2), Variablen!$I$3:$AT$3, 0))),L99)))*(IF((YEAR(D99)+2)&lt;YEAR(E99),0,IF((YEAR(D99)+2)&gt;YEAR(E99),1,(12-MONTH(E99)+1)/12))) + (Q99)*(IF((YEAR(D99)+2)&lt;YEAR(E99),0,IF((YEAR(D99)+2)&gt;YEAR(E99),1,(12-MONTH(E99)+1)/12))))-((P99)*(IF((YEAR(D99)+2)&lt;YEAR(E99),0,IF((YEAR(D99)+2)&gt;YEAR(E99),1,(12-MONTH(E99)+1)/12))) + (R99)*(IF((YEAR(D99)+2)&lt;YEAR(E99),0,IF((YEAR(D99)+2)&gt;YEAR(E99),1,(12-MONTH(E99)+1)/12))))-(IF(OR(N99="",N99&lt;=0),0,(O99/N99)*(IF(OR(N99="",N99&lt;=0),0,IF((YEAR(D99)+2)&lt;YEAR(E99),0,IF((YEAR(D99)+2)&gt;=YEAR(E99)+N99,0,IF((YEAR(D99)+2)=YEAR(E99),(12-MONTH(E99)+1)/12,1))))))))*TaxRate,0))-IF(2=0,O99,0))</f>
        <v/>
      </c>
      <c r="V99" s="29">
        <f>IF(A99="","",((K99)*(IF(M99="",L99,IFERROR(IF(INDEX(Variablen!$I:$AT, MATCH(M99, Variablen!$A:$A, 0), MATCH((YEAR(D99)+3), Variablen!$I$3:$AT$3, 0))="",L99,INDEX(Variablen!$I:$AT, MATCH(M99, Variablen!$A:$A, 0), MATCH((YEAR(D99)+3), Variablen!$I$3:$AT$3, 0))),L99)))*(IF((YEAR(D99)+3)&lt;YEAR(E99),0,IF((YEAR(D99)+3)&gt;YEAR(E99),1,(12-MONTH(E99)+1)/12))) + (Q99)*(IF((YEAR(D99)+3)&lt;YEAR(E99),0,IF((YEAR(D99)+3)&gt;YEAR(E99),1,(12-MONTH(E99)+1)/12))))-((P99)*(IF((YEAR(D99)+3)&lt;YEAR(E99),0,IF((YEAR(D99)+3)&gt;YEAR(E99),1,(12-MONTH(E99)+1)/12))) + (R99)*(IF((YEAR(D99)+3)&lt;YEAR(E99),0,IF((YEAR(D99)+3)&gt;YEAR(E99),1,(12-MONTH(E99)+1)/12))))-(IF((((K99)*(IF(M99="",L99,IFERROR(IF(INDEX(Variablen!$I:$AT, MATCH(M99, Variablen!$A:$A, 0), MATCH((YEAR(D99)+3), Variablen!$I$3:$AT$3, 0))="",L99,INDEX(Variablen!$I:$AT, MATCH(M99, Variablen!$A:$A, 0), MATCH((YEAR(D99)+3), Variablen!$I$3:$AT$3, 0))),L99)))*(IF((YEAR(D99)+3)&lt;YEAR(E99),0,IF((YEAR(D99)+3)&gt;YEAR(E99),1,(12-MONTH(E99)+1)/12))) + (Q99)*(IF((YEAR(D99)+3)&lt;YEAR(E99),0,IF((YEAR(D99)+3)&gt;YEAR(E99),1,(12-MONTH(E99)+1)/12))))-((P99)*(IF((YEAR(D99)+3)&lt;YEAR(E99),0,IF((YEAR(D99)+3)&gt;YEAR(E99),1,(12-MONTH(E99)+1)/12))) + (R99)*(IF((YEAR(D99)+3)&lt;YEAR(E99),0,IF((YEAR(D99)+3)&gt;YEAR(E99),1,(12-MONTH(E99)+1)/12))))-(IF(OR(N99="",N99&lt;=0),0,(O99/N99)*(IF(OR(N99="",N99&lt;=0),0,IF((YEAR(D99)+3)&lt;YEAR(E99),0,IF((YEAR(D99)+3)&gt;=YEAR(E99)+N99,0,IF((YEAR(D99)+3)=YEAR(E99),(12-MONTH(E99)+1)/12,1))))))))&gt;0,(((K99)*(IF(M99="",L99,IFERROR(IF(INDEX(Variablen!$I:$AT, MATCH(M99, Variablen!$A:$A, 0), MATCH((YEAR(D99)+3), Variablen!$I$3:$AT$3, 0))="",L99,INDEX(Variablen!$I:$AT, MATCH(M99, Variablen!$A:$A, 0), MATCH((YEAR(D99)+3), Variablen!$I$3:$AT$3, 0))),L99)))*(IF((YEAR(D99)+3)&lt;YEAR(E99),0,IF((YEAR(D99)+3)&gt;YEAR(E99),1,(12-MONTH(E99)+1)/12))) + (Q99)*(IF((YEAR(D99)+3)&lt;YEAR(E99),0,IF((YEAR(D99)+3)&gt;YEAR(E99),1,(12-MONTH(E99)+1)/12))))-((P99)*(IF((YEAR(D99)+3)&lt;YEAR(E99),0,IF((YEAR(D99)+3)&gt;YEAR(E99),1,(12-MONTH(E99)+1)/12))) + (R99)*(IF((YEAR(D99)+3)&lt;YEAR(E99),0,IF((YEAR(D99)+3)&gt;YEAR(E99),1,(12-MONTH(E99)+1)/12))))-(IF(OR(N99="",N99&lt;=0),0,(O99/N99)*(IF(OR(N99="",N99&lt;=0),0,IF((YEAR(D99)+3)&lt;YEAR(E99),0,IF((YEAR(D99)+3)&gt;=YEAR(E99)+N99,0,IF((YEAR(D99)+3)=YEAR(E99),(12-MONTH(E99)+1)/12,1))))))))*TaxRate,0))-IF(3=0,O99,0))</f>
        <v/>
      </c>
      <c r="W99" s="29">
        <f>IF(A99="","",((K99)*(IF(M99="",L99,IFERROR(IF(INDEX(Variablen!$I:$AT, MATCH(M99, Variablen!$A:$A, 0), MATCH((YEAR(D99)+4), Variablen!$I$3:$AT$3, 0))="",L99,INDEX(Variablen!$I:$AT, MATCH(M99, Variablen!$A:$A, 0), MATCH((YEAR(D99)+4), Variablen!$I$3:$AT$3, 0))),L99)))*(IF((YEAR(D99)+4)&lt;YEAR(E99),0,IF((YEAR(D99)+4)&gt;YEAR(E99),1,(12-MONTH(E99)+1)/12))) + (Q99)*(IF((YEAR(D99)+4)&lt;YEAR(E99),0,IF((YEAR(D99)+4)&gt;YEAR(E99),1,(12-MONTH(E99)+1)/12))))-((P99)*(IF((YEAR(D99)+4)&lt;YEAR(E99),0,IF((YEAR(D99)+4)&gt;YEAR(E99),1,(12-MONTH(E99)+1)/12))) + (R99)*(IF((YEAR(D99)+4)&lt;YEAR(E99),0,IF((YEAR(D99)+4)&gt;YEAR(E99),1,(12-MONTH(E99)+1)/12))))-(IF((((K99)*(IF(M99="",L99,IFERROR(IF(INDEX(Variablen!$I:$AT, MATCH(M99, Variablen!$A:$A, 0), MATCH((YEAR(D99)+4), Variablen!$I$3:$AT$3, 0))="",L99,INDEX(Variablen!$I:$AT, MATCH(M99, Variablen!$A:$A, 0), MATCH((YEAR(D99)+4), Variablen!$I$3:$AT$3, 0))),L99)))*(IF((YEAR(D99)+4)&lt;YEAR(E99),0,IF((YEAR(D99)+4)&gt;YEAR(E99),1,(12-MONTH(E99)+1)/12))) + (Q99)*(IF((YEAR(D99)+4)&lt;YEAR(E99),0,IF((YEAR(D99)+4)&gt;YEAR(E99),1,(12-MONTH(E99)+1)/12))))-((P99)*(IF((YEAR(D99)+4)&lt;YEAR(E99),0,IF((YEAR(D99)+4)&gt;YEAR(E99),1,(12-MONTH(E99)+1)/12))) + (R99)*(IF((YEAR(D99)+4)&lt;YEAR(E99),0,IF((YEAR(D99)+4)&gt;YEAR(E99),1,(12-MONTH(E99)+1)/12))))-(IF(OR(N99="",N99&lt;=0),0,(O99/N99)*(IF(OR(N99="",N99&lt;=0),0,IF((YEAR(D99)+4)&lt;YEAR(E99),0,IF((YEAR(D99)+4)&gt;=YEAR(E99)+N99,0,IF((YEAR(D99)+4)=YEAR(E99),(12-MONTH(E99)+1)/12,1))))))))&gt;0,(((K99)*(IF(M99="",L99,IFERROR(IF(INDEX(Variablen!$I:$AT, MATCH(M99, Variablen!$A:$A, 0), MATCH((YEAR(D99)+4), Variablen!$I$3:$AT$3, 0))="",L99,INDEX(Variablen!$I:$AT, MATCH(M99, Variablen!$A:$A, 0), MATCH((YEAR(D99)+4), Variablen!$I$3:$AT$3, 0))),L99)))*(IF((YEAR(D99)+4)&lt;YEAR(E99),0,IF((YEAR(D99)+4)&gt;YEAR(E99),1,(12-MONTH(E99)+1)/12))) + (Q99)*(IF((YEAR(D99)+4)&lt;YEAR(E99),0,IF((YEAR(D99)+4)&gt;YEAR(E99),1,(12-MONTH(E99)+1)/12))))-((P99)*(IF((YEAR(D99)+4)&lt;YEAR(E99),0,IF((YEAR(D99)+4)&gt;YEAR(E99),1,(12-MONTH(E99)+1)/12))) + (R99)*(IF((YEAR(D99)+4)&lt;YEAR(E99),0,IF((YEAR(D99)+4)&gt;YEAR(E99),1,(12-MONTH(E99)+1)/12))))-(IF(OR(N99="",N99&lt;=0),0,(O99/N99)*(IF(OR(N99="",N99&lt;=0),0,IF((YEAR(D99)+4)&lt;YEAR(E99),0,IF((YEAR(D99)+4)&gt;=YEAR(E99)+N99,0,IF((YEAR(D99)+4)=YEAR(E99),(12-MONTH(E99)+1)/12,1))))))))*TaxRate,0))-IF(4=0,O99,0))</f>
        <v/>
      </c>
      <c r="X99" s="29">
        <f>IF(A99="","",((K99)*(IF(M99="",L99,IFERROR(IF(INDEX(Variablen!$I:$AT, MATCH(M99, Variablen!$A:$A, 0), MATCH((YEAR(D99)+5), Variablen!$I$3:$AT$3, 0))="",L99,INDEX(Variablen!$I:$AT, MATCH(M99, Variablen!$A:$A, 0), MATCH((YEAR(D99)+5), Variablen!$I$3:$AT$3, 0))),L99)))*(IF((YEAR(D99)+5)&lt;YEAR(E99),0,IF((YEAR(D99)+5)&gt;YEAR(E99),1,(12-MONTH(E99)+1)/12))) + (Q99)*(IF((YEAR(D99)+5)&lt;YEAR(E99),0,IF((YEAR(D99)+5)&gt;YEAR(E99),1,(12-MONTH(E99)+1)/12))))-((P99)*(IF((YEAR(D99)+5)&lt;YEAR(E99),0,IF((YEAR(D99)+5)&gt;YEAR(E99),1,(12-MONTH(E99)+1)/12))) + (R99)*(IF((YEAR(D99)+5)&lt;YEAR(E99),0,IF((YEAR(D99)+5)&gt;YEAR(E99),1,(12-MONTH(E99)+1)/12))))-(IF((((K99)*(IF(M99="",L99,IFERROR(IF(INDEX(Variablen!$I:$AT, MATCH(M99, Variablen!$A:$A, 0), MATCH((YEAR(D99)+5), Variablen!$I$3:$AT$3, 0))="",L99,INDEX(Variablen!$I:$AT, MATCH(M99, Variablen!$A:$A, 0), MATCH((YEAR(D99)+5), Variablen!$I$3:$AT$3, 0))),L99)))*(IF((YEAR(D99)+5)&lt;YEAR(E99),0,IF((YEAR(D99)+5)&gt;YEAR(E99),1,(12-MONTH(E99)+1)/12))) + (Q99)*(IF((YEAR(D99)+5)&lt;YEAR(E99),0,IF((YEAR(D99)+5)&gt;YEAR(E99),1,(12-MONTH(E99)+1)/12))))-((P99)*(IF((YEAR(D99)+5)&lt;YEAR(E99),0,IF((YEAR(D99)+5)&gt;YEAR(E99),1,(12-MONTH(E99)+1)/12))) + (R99)*(IF((YEAR(D99)+5)&lt;YEAR(E99),0,IF((YEAR(D99)+5)&gt;YEAR(E99),1,(12-MONTH(E99)+1)/12))))-(IF(OR(N99="",N99&lt;=0),0,(O99/N99)*(IF(OR(N99="",N99&lt;=0),0,IF((YEAR(D99)+5)&lt;YEAR(E99),0,IF((YEAR(D99)+5)&gt;=YEAR(E99)+N99,0,IF((YEAR(D99)+5)=YEAR(E99),(12-MONTH(E99)+1)/12,1))))))))&gt;0,(((K99)*(IF(M99="",L99,IFERROR(IF(INDEX(Variablen!$I:$AT, MATCH(M99, Variablen!$A:$A, 0), MATCH((YEAR(D99)+5), Variablen!$I$3:$AT$3, 0))="",L99,INDEX(Variablen!$I:$AT, MATCH(M99, Variablen!$A:$A, 0), MATCH((YEAR(D99)+5), Variablen!$I$3:$AT$3, 0))),L99)))*(IF((YEAR(D99)+5)&lt;YEAR(E99),0,IF((YEAR(D99)+5)&gt;YEAR(E99),1,(12-MONTH(E99)+1)/12))) + (Q99)*(IF((YEAR(D99)+5)&lt;YEAR(E99),0,IF((YEAR(D99)+5)&gt;YEAR(E99),1,(12-MONTH(E99)+1)/12))))-((P99)*(IF((YEAR(D99)+5)&lt;YEAR(E99),0,IF((YEAR(D99)+5)&gt;YEAR(E99),1,(12-MONTH(E99)+1)/12))) + (R99)*(IF((YEAR(D99)+5)&lt;YEAR(E99),0,IF((YEAR(D99)+5)&gt;YEAR(E99),1,(12-MONTH(E99)+1)/12))))-(IF(OR(N99="",N99&lt;=0),0,(O99/N99)*(IF(OR(N99="",N99&lt;=0),0,IF((YEAR(D99)+5)&lt;YEAR(E99),0,IF((YEAR(D99)+5)&gt;=YEAR(E99)+N99,0,IF((YEAR(D99)+5)=YEAR(E99),(12-MONTH(E99)+1)/12,1))))))))*TaxRate,0))-IF(5=0,O99,0))</f>
        <v/>
      </c>
      <c r="Y99" s="29">
        <f>IF(A99="","",((K99)*(IF(M99="",L99,IFERROR(IF(INDEX(Variablen!$I:$AT, MATCH(M99, Variablen!$A:$A, 0), MATCH((YEAR(D99)+6), Variablen!$I$3:$AT$3, 0))="",L99,INDEX(Variablen!$I:$AT, MATCH(M99, Variablen!$A:$A, 0), MATCH((YEAR(D99)+6), Variablen!$I$3:$AT$3, 0))),L99)))*(IF((YEAR(D99)+6)&lt;YEAR(E99),0,IF((YEAR(D99)+6)&gt;YEAR(E99),1,(12-MONTH(E99)+1)/12))) + (Q99)*(IF((YEAR(D99)+6)&lt;YEAR(E99),0,IF((YEAR(D99)+6)&gt;YEAR(E99),1,(12-MONTH(E99)+1)/12))))-((P99)*(IF((YEAR(D99)+6)&lt;YEAR(E99),0,IF((YEAR(D99)+6)&gt;YEAR(E99),1,(12-MONTH(E99)+1)/12))) + (R99)*(IF((YEAR(D99)+6)&lt;YEAR(E99),0,IF((YEAR(D99)+6)&gt;YEAR(E99),1,(12-MONTH(E99)+1)/12))))-(IF((((K99)*(IF(M99="",L99,IFERROR(IF(INDEX(Variablen!$I:$AT, MATCH(M99, Variablen!$A:$A, 0), MATCH((YEAR(D99)+6), Variablen!$I$3:$AT$3, 0))="",L99,INDEX(Variablen!$I:$AT, MATCH(M99, Variablen!$A:$A, 0), MATCH((YEAR(D99)+6), Variablen!$I$3:$AT$3, 0))),L99)))*(IF((YEAR(D99)+6)&lt;YEAR(E99),0,IF((YEAR(D99)+6)&gt;YEAR(E99),1,(12-MONTH(E99)+1)/12))) + (Q99)*(IF((YEAR(D99)+6)&lt;YEAR(E99),0,IF((YEAR(D99)+6)&gt;YEAR(E99),1,(12-MONTH(E99)+1)/12))))-((P99)*(IF((YEAR(D99)+6)&lt;YEAR(E99),0,IF((YEAR(D99)+6)&gt;YEAR(E99),1,(12-MONTH(E99)+1)/12))) + (R99)*(IF((YEAR(D99)+6)&lt;YEAR(E99),0,IF((YEAR(D99)+6)&gt;YEAR(E99),1,(12-MONTH(E99)+1)/12))))-(IF(OR(N99="",N99&lt;=0),0,(O99/N99)*(IF(OR(N99="",N99&lt;=0),0,IF((YEAR(D99)+6)&lt;YEAR(E99),0,IF((YEAR(D99)+6)&gt;=YEAR(E99)+N99,0,IF((YEAR(D99)+6)=YEAR(E99),(12-MONTH(E99)+1)/12,1))))))))&gt;0,(((K99)*(IF(M99="",L99,IFERROR(IF(INDEX(Variablen!$I:$AT, MATCH(M99, Variablen!$A:$A, 0), MATCH((YEAR(D99)+6), Variablen!$I$3:$AT$3, 0))="",L99,INDEX(Variablen!$I:$AT, MATCH(M99, Variablen!$A:$A, 0), MATCH((YEAR(D99)+6), Variablen!$I$3:$AT$3, 0))),L99)))*(IF((YEAR(D99)+6)&lt;YEAR(E99),0,IF((YEAR(D99)+6)&gt;YEAR(E99),1,(12-MONTH(E99)+1)/12))) + (Q99)*(IF((YEAR(D99)+6)&lt;YEAR(E99),0,IF((YEAR(D99)+6)&gt;YEAR(E99),1,(12-MONTH(E99)+1)/12))))-((P99)*(IF((YEAR(D99)+6)&lt;YEAR(E99),0,IF((YEAR(D99)+6)&gt;YEAR(E99),1,(12-MONTH(E99)+1)/12))) + (R99)*(IF((YEAR(D99)+6)&lt;YEAR(E99),0,IF((YEAR(D99)+6)&gt;YEAR(E99),1,(12-MONTH(E99)+1)/12))))-(IF(OR(N99="",N99&lt;=0),0,(O99/N99)*(IF(OR(N99="",N99&lt;=0),0,IF((YEAR(D99)+6)&lt;YEAR(E99),0,IF((YEAR(D99)+6)&gt;=YEAR(E99)+N99,0,IF((YEAR(D99)+6)=YEAR(E99),(12-MONTH(E99)+1)/12,1))))))))*TaxRate,0))-IF(6=0,O99,0))</f>
        <v/>
      </c>
      <c r="Z99" s="29">
        <f>IF(A99="","",((K99)*(IF(M99="",L99,IFERROR(IF(INDEX(Variablen!$I:$AT, MATCH(M99, Variablen!$A:$A, 0), MATCH((YEAR(D99)+7), Variablen!$I$3:$AT$3, 0))="",L99,INDEX(Variablen!$I:$AT, MATCH(M99, Variablen!$A:$A, 0), MATCH((YEAR(D99)+7), Variablen!$I$3:$AT$3, 0))),L99)))*(IF((YEAR(D99)+7)&lt;YEAR(E99),0,IF((YEAR(D99)+7)&gt;YEAR(E99),1,(12-MONTH(E99)+1)/12))) + (Q99)*(IF((YEAR(D99)+7)&lt;YEAR(E99),0,IF((YEAR(D99)+7)&gt;YEAR(E99),1,(12-MONTH(E99)+1)/12))))-((P99)*(IF((YEAR(D99)+7)&lt;YEAR(E99),0,IF((YEAR(D99)+7)&gt;YEAR(E99),1,(12-MONTH(E99)+1)/12))) + (R99)*(IF((YEAR(D99)+7)&lt;YEAR(E99),0,IF((YEAR(D99)+7)&gt;YEAR(E99),1,(12-MONTH(E99)+1)/12))))-(IF((((K99)*(IF(M99="",L99,IFERROR(IF(INDEX(Variablen!$I:$AT, MATCH(M99, Variablen!$A:$A, 0), MATCH((YEAR(D99)+7), Variablen!$I$3:$AT$3, 0))="",L99,INDEX(Variablen!$I:$AT, MATCH(M99, Variablen!$A:$A, 0), MATCH((YEAR(D99)+7), Variablen!$I$3:$AT$3, 0))),L99)))*(IF((YEAR(D99)+7)&lt;YEAR(E99),0,IF((YEAR(D99)+7)&gt;YEAR(E99),1,(12-MONTH(E99)+1)/12))) + (Q99)*(IF((YEAR(D99)+7)&lt;YEAR(E99),0,IF((YEAR(D99)+7)&gt;YEAR(E99),1,(12-MONTH(E99)+1)/12))))-((P99)*(IF((YEAR(D99)+7)&lt;YEAR(E99),0,IF((YEAR(D99)+7)&gt;YEAR(E99),1,(12-MONTH(E99)+1)/12))) + (R99)*(IF((YEAR(D99)+7)&lt;YEAR(E99),0,IF((YEAR(D99)+7)&gt;YEAR(E99),1,(12-MONTH(E99)+1)/12))))-(IF(OR(N99="",N99&lt;=0),0,(O99/N99)*(IF(OR(N99="",N99&lt;=0),0,IF((YEAR(D99)+7)&lt;YEAR(E99),0,IF((YEAR(D99)+7)&gt;=YEAR(E99)+N99,0,IF((YEAR(D99)+7)=YEAR(E99),(12-MONTH(E99)+1)/12,1))))))))&gt;0,(((K99)*(IF(M99="",L99,IFERROR(IF(INDEX(Variablen!$I:$AT, MATCH(M99, Variablen!$A:$A, 0), MATCH((YEAR(D99)+7), Variablen!$I$3:$AT$3, 0))="",L99,INDEX(Variablen!$I:$AT, MATCH(M99, Variablen!$A:$A, 0), MATCH((YEAR(D99)+7), Variablen!$I$3:$AT$3, 0))),L99)))*(IF((YEAR(D99)+7)&lt;YEAR(E99),0,IF((YEAR(D99)+7)&gt;YEAR(E99),1,(12-MONTH(E99)+1)/12))) + (Q99)*(IF((YEAR(D99)+7)&lt;YEAR(E99),0,IF((YEAR(D99)+7)&gt;YEAR(E99),1,(12-MONTH(E99)+1)/12))))-((P99)*(IF((YEAR(D99)+7)&lt;YEAR(E99),0,IF((YEAR(D99)+7)&gt;YEAR(E99),1,(12-MONTH(E99)+1)/12))) + (R99)*(IF((YEAR(D99)+7)&lt;YEAR(E99),0,IF((YEAR(D99)+7)&gt;YEAR(E99),1,(12-MONTH(E99)+1)/12))))-(IF(OR(N99="",N99&lt;=0),0,(O99/N99)*(IF(OR(N99="",N99&lt;=0),0,IF((YEAR(D99)+7)&lt;YEAR(E99),0,IF((YEAR(D99)+7)&gt;=YEAR(E99)+N99,0,IF((YEAR(D99)+7)=YEAR(E99),(12-MONTH(E99)+1)/12,1))))))))*TaxRate,0))-IF(7=0,O99,0))</f>
        <v/>
      </c>
      <c r="AA99" s="29">
        <f>IF(A99="","",((K99)*(IF(M99="",L99,IFERROR(IF(INDEX(Variablen!$I:$AT, MATCH(M99, Variablen!$A:$A, 0), MATCH((YEAR(D99)+8), Variablen!$I$3:$AT$3, 0))="",L99,INDEX(Variablen!$I:$AT, MATCH(M99, Variablen!$A:$A, 0), MATCH((YEAR(D99)+8), Variablen!$I$3:$AT$3, 0))),L99)))*(IF((YEAR(D99)+8)&lt;YEAR(E99),0,IF((YEAR(D99)+8)&gt;YEAR(E99),1,(12-MONTH(E99)+1)/12))) + (Q99)*(IF((YEAR(D99)+8)&lt;YEAR(E99),0,IF((YEAR(D99)+8)&gt;YEAR(E99),1,(12-MONTH(E99)+1)/12))))-((P99)*(IF((YEAR(D99)+8)&lt;YEAR(E99),0,IF((YEAR(D99)+8)&gt;YEAR(E99),1,(12-MONTH(E99)+1)/12))) + (R99)*(IF((YEAR(D99)+8)&lt;YEAR(E99),0,IF((YEAR(D99)+8)&gt;YEAR(E99),1,(12-MONTH(E99)+1)/12))))-(IF((((K99)*(IF(M99="",L99,IFERROR(IF(INDEX(Variablen!$I:$AT, MATCH(M99, Variablen!$A:$A, 0), MATCH((YEAR(D99)+8), Variablen!$I$3:$AT$3, 0))="",L99,INDEX(Variablen!$I:$AT, MATCH(M99, Variablen!$A:$A, 0), MATCH((YEAR(D99)+8), Variablen!$I$3:$AT$3, 0))),L99)))*(IF((YEAR(D99)+8)&lt;YEAR(E99),0,IF((YEAR(D99)+8)&gt;YEAR(E99),1,(12-MONTH(E99)+1)/12))) + (Q99)*(IF((YEAR(D99)+8)&lt;YEAR(E99),0,IF((YEAR(D99)+8)&gt;YEAR(E99),1,(12-MONTH(E99)+1)/12))))-((P99)*(IF((YEAR(D99)+8)&lt;YEAR(E99),0,IF((YEAR(D99)+8)&gt;YEAR(E99),1,(12-MONTH(E99)+1)/12))) + (R99)*(IF((YEAR(D99)+8)&lt;YEAR(E99),0,IF((YEAR(D99)+8)&gt;YEAR(E99),1,(12-MONTH(E99)+1)/12))))-(IF(OR(N99="",N99&lt;=0),0,(O99/N99)*(IF(OR(N99="",N99&lt;=0),0,IF((YEAR(D99)+8)&lt;YEAR(E99),0,IF((YEAR(D99)+8)&gt;=YEAR(E99)+N99,0,IF((YEAR(D99)+8)=YEAR(E99),(12-MONTH(E99)+1)/12,1))))))))&gt;0,(((K99)*(IF(M99="",L99,IFERROR(IF(INDEX(Variablen!$I:$AT, MATCH(M99, Variablen!$A:$A, 0), MATCH((YEAR(D99)+8), Variablen!$I$3:$AT$3, 0))="",L99,INDEX(Variablen!$I:$AT, MATCH(M99, Variablen!$A:$A, 0), MATCH((YEAR(D99)+8), Variablen!$I$3:$AT$3, 0))),L99)))*(IF((YEAR(D99)+8)&lt;YEAR(E99),0,IF((YEAR(D99)+8)&gt;YEAR(E99),1,(12-MONTH(E99)+1)/12))) + (Q99)*(IF((YEAR(D99)+8)&lt;YEAR(E99),0,IF((YEAR(D99)+8)&gt;YEAR(E99),1,(12-MONTH(E99)+1)/12))))-((P99)*(IF((YEAR(D99)+8)&lt;YEAR(E99),0,IF((YEAR(D99)+8)&gt;YEAR(E99),1,(12-MONTH(E99)+1)/12))) + (R99)*(IF((YEAR(D99)+8)&lt;YEAR(E99),0,IF((YEAR(D99)+8)&gt;YEAR(E99),1,(12-MONTH(E99)+1)/12))))-(IF(OR(N99="",N99&lt;=0),0,(O99/N99)*(IF(OR(N99="",N99&lt;=0),0,IF((YEAR(D99)+8)&lt;YEAR(E99),0,IF((YEAR(D99)+8)&gt;=YEAR(E99)+N99,0,IF((YEAR(D99)+8)=YEAR(E99),(12-MONTH(E99)+1)/12,1))))))))*TaxRate,0))-IF(8=0,O99,0))</f>
        <v/>
      </c>
      <c r="AB99" s="29">
        <f>IF(A99="","",((K99)*(IF(M99="",L99,IFERROR(IF(INDEX(Variablen!$I:$AT, MATCH(M99, Variablen!$A:$A, 0), MATCH((YEAR(D99)+9), Variablen!$I$3:$AT$3, 0))="",L99,INDEX(Variablen!$I:$AT, MATCH(M99, Variablen!$A:$A, 0), MATCH((YEAR(D99)+9), Variablen!$I$3:$AT$3, 0))),L99)))*(IF((YEAR(D99)+9)&lt;YEAR(E99),0,IF((YEAR(D99)+9)&gt;YEAR(E99),1,(12-MONTH(E99)+1)/12))) + (Q99)*(IF((YEAR(D99)+9)&lt;YEAR(E99),0,IF((YEAR(D99)+9)&gt;YEAR(E99),1,(12-MONTH(E99)+1)/12))))-((P99)*(IF((YEAR(D99)+9)&lt;YEAR(E99),0,IF((YEAR(D99)+9)&gt;YEAR(E99),1,(12-MONTH(E99)+1)/12))) + (R99)*(IF((YEAR(D99)+9)&lt;YEAR(E99),0,IF((YEAR(D99)+9)&gt;YEAR(E99),1,(12-MONTH(E99)+1)/12))))-(IF((((K99)*(IF(M99="",L99,IFERROR(IF(INDEX(Variablen!$I:$AT, MATCH(M99, Variablen!$A:$A, 0), MATCH((YEAR(D99)+9), Variablen!$I$3:$AT$3, 0))="",L99,INDEX(Variablen!$I:$AT, MATCH(M99, Variablen!$A:$A, 0), MATCH((YEAR(D99)+9), Variablen!$I$3:$AT$3, 0))),L99)))*(IF((YEAR(D99)+9)&lt;YEAR(E99),0,IF((YEAR(D99)+9)&gt;YEAR(E99),1,(12-MONTH(E99)+1)/12))) + (Q99)*(IF((YEAR(D99)+9)&lt;YEAR(E99),0,IF((YEAR(D99)+9)&gt;YEAR(E99),1,(12-MONTH(E99)+1)/12))))-((P99)*(IF((YEAR(D99)+9)&lt;YEAR(E99),0,IF((YEAR(D99)+9)&gt;YEAR(E99),1,(12-MONTH(E99)+1)/12))) + (R99)*(IF((YEAR(D99)+9)&lt;YEAR(E99),0,IF((YEAR(D99)+9)&gt;YEAR(E99),1,(12-MONTH(E99)+1)/12))))-(IF(OR(N99="",N99&lt;=0),0,(O99/N99)*(IF(OR(N99="",N99&lt;=0),0,IF((YEAR(D99)+9)&lt;YEAR(E99),0,IF((YEAR(D99)+9)&gt;=YEAR(E99)+N99,0,IF((YEAR(D99)+9)=YEAR(E99),(12-MONTH(E99)+1)/12,1))))))))&gt;0,(((K99)*(IF(M99="",L99,IFERROR(IF(INDEX(Variablen!$I:$AT, MATCH(M99, Variablen!$A:$A, 0), MATCH((YEAR(D99)+9), Variablen!$I$3:$AT$3, 0))="",L99,INDEX(Variablen!$I:$AT, MATCH(M99, Variablen!$A:$A, 0), MATCH((YEAR(D99)+9), Variablen!$I$3:$AT$3, 0))),L99)))*(IF((YEAR(D99)+9)&lt;YEAR(E99),0,IF((YEAR(D99)+9)&gt;YEAR(E99),1,(12-MONTH(E99)+1)/12))) + (Q99)*(IF((YEAR(D99)+9)&lt;YEAR(E99),0,IF((YEAR(D99)+9)&gt;YEAR(E99),1,(12-MONTH(E99)+1)/12))))-((P99)*(IF((YEAR(D99)+9)&lt;YEAR(E99),0,IF((YEAR(D99)+9)&gt;YEAR(E99),1,(12-MONTH(E99)+1)/12))) + (R99)*(IF((YEAR(D99)+9)&lt;YEAR(E99),0,IF((YEAR(D99)+9)&gt;YEAR(E99),1,(12-MONTH(E99)+1)/12))))-(IF(OR(N99="",N99&lt;=0),0,(O99/N99)*(IF(OR(N99="",N99&lt;=0),0,IF((YEAR(D99)+9)&lt;YEAR(E99),0,IF((YEAR(D99)+9)&gt;=YEAR(E99)+N99,0,IF((YEAR(D99)+9)=YEAR(E99),(12-MONTH(E99)+1)/12,1))))))))*TaxRate,0))-IF(9=0,O99,0))</f>
        <v/>
      </c>
      <c r="AC99" s="29">
        <f>IF(A99="","",((K99)*(IF(M99="",L99,IFERROR(IF(INDEX(Variablen!$I:$AT, MATCH(M99, Variablen!$A:$A, 0), MATCH((YEAR(D99)+10), Variablen!$I$3:$AT$3, 0))="",L99,INDEX(Variablen!$I:$AT, MATCH(M99, Variablen!$A:$A, 0), MATCH((YEAR(D99)+10), Variablen!$I$3:$AT$3, 0))),L99)))*(IF((YEAR(D99)+10)&lt;YEAR(E99),0,IF((YEAR(D99)+10)&gt;YEAR(E99),1,(12-MONTH(E99)+1)/12))) + (Q99)*(IF((YEAR(D99)+10)&lt;YEAR(E99),0,IF((YEAR(D99)+10)&gt;YEAR(E99),1,(12-MONTH(E99)+1)/12))))-((P99)*(IF((YEAR(D99)+10)&lt;YEAR(E99),0,IF((YEAR(D99)+10)&gt;YEAR(E99),1,(12-MONTH(E99)+1)/12))) + (R99)*(IF((YEAR(D99)+10)&lt;YEAR(E99),0,IF((YEAR(D99)+10)&gt;YEAR(E99),1,(12-MONTH(E99)+1)/12))))-(IF((((K99)*(IF(M99="",L99,IFERROR(IF(INDEX(Variablen!$I:$AT, MATCH(M99, Variablen!$A:$A, 0), MATCH((YEAR(D99)+10), Variablen!$I$3:$AT$3, 0))="",L99,INDEX(Variablen!$I:$AT, MATCH(M99, Variablen!$A:$A, 0), MATCH((YEAR(D99)+10), Variablen!$I$3:$AT$3, 0))),L99)))*(IF((YEAR(D99)+10)&lt;YEAR(E99),0,IF((YEAR(D99)+10)&gt;YEAR(E99),1,(12-MONTH(E99)+1)/12))) + (Q99)*(IF((YEAR(D99)+10)&lt;YEAR(E99),0,IF((YEAR(D99)+10)&gt;YEAR(E99),1,(12-MONTH(E99)+1)/12))))-((P99)*(IF((YEAR(D99)+10)&lt;YEAR(E99),0,IF((YEAR(D99)+10)&gt;YEAR(E99),1,(12-MONTH(E99)+1)/12))) + (R99)*(IF((YEAR(D99)+10)&lt;YEAR(E99),0,IF((YEAR(D99)+10)&gt;YEAR(E99),1,(12-MONTH(E99)+1)/12))))-(IF(OR(N99="",N99&lt;=0),0,(O99/N99)*(IF(OR(N99="",N99&lt;=0),0,IF((YEAR(D99)+10)&lt;YEAR(E99),0,IF((YEAR(D99)+10)&gt;=YEAR(E99)+N99,0,IF((YEAR(D99)+10)=YEAR(E99),(12-MONTH(E99)+1)/12,1))))))))&gt;0,(((K99)*(IF(M99="",L99,IFERROR(IF(INDEX(Variablen!$I:$AT, MATCH(M99, Variablen!$A:$A, 0), MATCH((YEAR(D99)+10), Variablen!$I$3:$AT$3, 0))="",L99,INDEX(Variablen!$I:$AT, MATCH(M99, Variablen!$A:$A, 0), MATCH((YEAR(D99)+10), Variablen!$I$3:$AT$3, 0))),L99)))*(IF((YEAR(D99)+10)&lt;YEAR(E99),0,IF((YEAR(D99)+10)&gt;YEAR(E99),1,(12-MONTH(E99)+1)/12))) + (Q99)*(IF((YEAR(D99)+10)&lt;YEAR(E99),0,IF((YEAR(D99)+10)&gt;YEAR(E99),1,(12-MONTH(E99)+1)/12))))-((P99)*(IF((YEAR(D99)+10)&lt;YEAR(E99),0,IF((YEAR(D99)+10)&gt;YEAR(E99),1,(12-MONTH(E99)+1)/12))) + (R99)*(IF((YEAR(D99)+10)&lt;YEAR(E99),0,IF((YEAR(D99)+10)&gt;YEAR(E99),1,(12-MONTH(E99)+1)/12))))-(IF(OR(N99="",N99&lt;=0),0,(O99/N99)*(IF(OR(N99="",N99&lt;=0),0,IF((YEAR(D99)+10)&lt;YEAR(E99),0,IF((YEAR(D99)+10)&gt;=YEAR(E99)+N99,0,IF((YEAR(D99)+10)=YEAR(E99),(12-MONTH(E99)+1)/12,1))))))))*TaxRate,0))-IF(10=0,O99,0))</f>
        <v/>
      </c>
      <c r="AD99" s="29">
        <f>IF(A99="","",((K99)*(IF(M99="",L99,IFERROR(IF(INDEX(Variablen!$I:$AT, MATCH(M99, Variablen!$A:$A, 0), MATCH((YEAR(D99)+11), Variablen!$I$3:$AT$3, 0))="",L99,INDEX(Variablen!$I:$AT, MATCH(M99, Variablen!$A:$A, 0), MATCH((YEAR(D99)+11), Variablen!$I$3:$AT$3, 0))),L99)))*(IF((YEAR(D99)+11)&lt;YEAR(E99),0,IF((YEAR(D99)+11)&gt;YEAR(E99),1,(12-MONTH(E99)+1)/12))) + (Q99)*(IF((YEAR(D99)+11)&lt;YEAR(E99),0,IF((YEAR(D99)+11)&gt;YEAR(E99),1,(12-MONTH(E99)+1)/12))))-((P99)*(IF((YEAR(D99)+11)&lt;YEAR(E99),0,IF((YEAR(D99)+11)&gt;YEAR(E99),1,(12-MONTH(E99)+1)/12))) + (R99)*(IF((YEAR(D99)+11)&lt;YEAR(E99),0,IF((YEAR(D99)+11)&gt;YEAR(E99),1,(12-MONTH(E99)+1)/12))))-(IF((((K99)*(IF(M99="",L99,IFERROR(IF(INDEX(Variablen!$I:$AT, MATCH(M99, Variablen!$A:$A, 0), MATCH((YEAR(D99)+11), Variablen!$I$3:$AT$3, 0))="",L99,INDEX(Variablen!$I:$AT, MATCH(M99, Variablen!$A:$A, 0), MATCH((YEAR(D99)+11), Variablen!$I$3:$AT$3, 0))),L99)))*(IF((YEAR(D99)+11)&lt;YEAR(E99),0,IF((YEAR(D99)+11)&gt;YEAR(E99),1,(12-MONTH(E99)+1)/12))) + (Q99)*(IF((YEAR(D99)+11)&lt;YEAR(E99),0,IF((YEAR(D99)+11)&gt;YEAR(E99),1,(12-MONTH(E99)+1)/12))))-((P99)*(IF((YEAR(D99)+11)&lt;YEAR(E99),0,IF((YEAR(D99)+11)&gt;YEAR(E99),1,(12-MONTH(E99)+1)/12))) + (R99)*(IF((YEAR(D99)+11)&lt;YEAR(E99),0,IF((YEAR(D99)+11)&gt;YEAR(E99),1,(12-MONTH(E99)+1)/12))))-(IF(OR(N99="",N99&lt;=0),0,(O99/N99)*(IF(OR(N99="",N99&lt;=0),0,IF((YEAR(D99)+11)&lt;YEAR(E99),0,IF((YEAR(D99)+11)&gt;=YEAR(E99)+N99,0,IF((YEAR(D99)+11)=YEAR(E99),(12-MONTH(E99)+1)/12,1))))))))&gt;0,(((K99)*(IF(M99="",L99,IFERROR(IF(INDEX(Variablen!$I:$AT, MATCH(M99, Variablen!$A:$A, 0), MATCH((YEAR(D99)+11), Variablen!$I$3:$AT$3, 0))="",L99,INDEX(Variablen!$I:$AT, MATCH(M99, Variablen!$A:$A, 0), MATCH((YEAR(D99)+11), Variablen!$I$3:$AT$3, 0))),L99)))*(IF((YEAR(D99)+11)&lt;YEAR(E99),0,IF((YEAR(D99)+11)&gt;YEAR(E99),1,(12-MONTH(E99)+1)/12))) + (Q99)*(IF((YEAR(D99)+11)&lt;YEAR(E99),0,IF((YEAR(D99)+11)&gt;YEAR(E99),1,(12-MONTH(E99)+1)/12))))-((P99)*(IF((YEAR(D99)+11)&lt;YEAR(E99),0,IF((YEAR(D99)+11)&gt;YEAR(E99),1,(12-MONTH(E99)+1)/12))) + (R99)*(IF((YEAR(D99)+11)&lt;YEAR(E99),0,IF((YEAR(D99)+11)&gt;YEAR(E99),1,(12-MONTH(E99)+1)/12))))-(IF(OR(N99="",N99&lt;=0),0,(O99/N99)*(IF(OR(N99="",N99&lt;=0),0,IF((YEAR(D99)+11)&lt;YEAR(E99),0,IF((YEAR(D99)+11)&gt;=YEAR(E99)+N99,0,IF((YEAR(D99)+11)=YEAR(E99),(12-MONTH(E99)+1)/12,1))))))))*TaxRate,0))-IF(11=0,O99,0))</f>
        <v/>
      </c>
      <c r="AE99" s="29">
        <f>IF(A99="","",((K99)*(IF(M99="",L99,IFERROR(IF(INDEX(Variablen!$I:$AT, MATCH(M99, Variablen!$A:$A, 0), MATCH((YEAR(D99)+12), Variablen!$I$3:$AT$3, 0))="",L99,INDEX(Variablen!$I:$AT, MATCH(M99, Variablen!$A:$A, 0), MATCH((YEAR(D99)+12), Variablen!$I$3:$AT$3, 0))),L99)))*(IF((YEAR(D99)+12)&lt;YEAR(E99),0,IF((YEAR(D99)+12)&gt;YEAR(E99),1,(12-MONTH(E99)+1)/12))) + (Q99)*(IF((YEAR(D99)+12)&lt;YEAR(E99),0,IF((YEAR(D99)+12)&gt;YEAR(E99),1,(12-MONTH(E99)+1)/12))))-((P99)*(IF((YEAR(D99)+12)&lt;YEAR(E99),0,IF((YEAR(D99)+12)&gt;YEAR(E99),1,(12-MONTH(E99)+1)/12))) + (R99)*(IF((YEAR(D99)+12)&lt;YEAR(E99),0,IF((YEAR(D99)+12)&gt;YEAR(E99),1,(12-MONTH(E99)+1)/12))))-(IF((((K99)*(IF(M99="",L99,IFERROR(IF(INDEX(Variablen!$I:$AT, MATCH(M99, Variablen!$A:$A, 0), MATCH((YEAR(D99)+12), Variablen!$I$3:$AT$3, 0))="",L99,INDEX(Variablen!$I:$AT, MATCH(M99, Variablen!$A:$A, 0), MATCH((YEAR(D99)+12), Variablen!$I$3:$AT$3, 0))),L99)))*(IF((YEAR(D99)+12)&lt;YEAR(E99),0,IF((YEAR(D99)+12)&gt;YEAR(E99),1,(12-MONTH(E99)+1)/12))) + (Q99)*(IF((YEAR(D99)+12)&lt;YEAR(E99),0,IF((YEAR(D99)+12)&gt;YEAR(E99),1,(12-MONTH(E99)+1)/12))))-((P99)*(IF((YEAR(D99)+12)&lt;YEAR(E99),0,IF((YEAR(D99)+12)&gt;YEAR(E99),1,(12-MONTH(E99)+1)/12))) + (R99)*(IF((YEAR(D99)+12)&lt;YEAR(E99),0,IF((YEAR(D99)+12)&gt;YEAR(E99),1,(12-MONTH(E99)+1)/12))))-(IF(OR(N99="",N99&lt;=0),0,(O99/N99)*(IF(OR(N99="",N99&lt;=0),0,IF((YEAR(D99)+12)&lt;YEAR(E99),0,IF((YEAR(D99)+12)&gt;=YEAR(E99)+N99,0,IF((YEAR(D99)+12)=YEAR(E99),(12-MONTH(E99)+1)/12,1))))))))&gt;0,(((K99)*(IF(M99="",L99,IFERROR(IF(INDEX(Variablen!$I:$AT, MATCH(M99, Variablen!$A:$A, 0), MATCH((YEAR(D99)+12), Variablen!$I$3:$AT$3, 0))="",L99,INDEX(Variablen!$I:$AT, MATCH(M99, Variablen!$A:$A, 0), MATCH((YEAR(D99)+12), Variablen!$I$3:$AT$3, 0))),L99)))*(IF((YEAR(D99)+12)&lt;YEAR(E99),0,IF((YEAR(D99)+12)&gt;YEAR(E99),1,(12-MONTH(E99)+1)/12))) + (Q99)*(IF((YEAR(D99)+12)&lt;YEAR(E99),0,IF((YEAR(D99)+12)&gt;YEAR(E99),1,(12-MONTH(E99)+1)/12))))-((P99)*(IF((YEAR(D99)+12)&lt;YEAR(E99),0,IF((YEAR(D99)+12)&gt;YEAR(E99),1,(12-MONTH(E99)+1)/12))) + (R99)*(IF((YEAR(D99)+12)&lt;YEAR(E99),0,IF((YEAR(D99)+12)&gt;YEAR(E99),1,(12-MONTH(E99)+1)/12))))-(IF(OR(N99="",N99&lt;=0),0,(O99/N99)*(IF(OR(N99="",N99&lt;=0),0,IF((YEAR(D99)+12)&lt;YEAR(E99),0,IF((YEAR(D99)+12)&gt;=YEAR(E99)+N99,0,IF((YEAR(D99)+12)=YEAR(E99),(12-MONTH(E99)+1)/12,1))))))))*TaxRate,0))-IF(12=0,O99,0))</f>
        <v/>
      </c>
      <c r="AF99" s="29">
        <f>IF(A99="","",((K99)*(IF(M99="",L99,IFERROR(IF(INDEX(Variablen!$I:$AT, MATCH(M99, Variablen!$A:$A, 0), MATCH((YEAR(D99)+13), Variablen!$I$3:$AT$3, 0))="",L99,INDEX(Variablen!$I:$AT, MATCH(M99, Variablen!$A:$A, 0), MATCH((YEAR(D99)+13), Variablen!$I$3:$AT$3, 0))),L99)))*(IF((YEAR(D99)+13)&lt;YEAR(E99),0,IF((YEAR(D99)+13)&gt;YEAR(E99),1,(12-MONTH(E99)+1)/12))) + (Q99)*(IF((YEAR(D99)+13)&lt;YEAR(E99),0,IF((YEAR(D99)+13)&gt;YEAR(E99),1,(12-MONTH(E99)+1)/12))))-((P99)*(IF((YEAR(D99)+13)&lt;YEAR(E99),0,IF((YEAR(D99)+13)&gt;YEAR(E99),1,(12-MONTH(E99)+1)/12))) + (R99)*(IF((YEAR(D99)+13)&lt;YEAR(E99),0,IF((YEAR(D99)+13)&gt;YEAR(E99),1,(12-MONTH(E99)+1)/12))))-(IF((((K99)*(IF(M99="",L99,IFERROR(IF(INDEX(Variablen!$I:$AT, MATCH(M99, Variablen!$A:$A, 0), MATCH((YEAR(D99)+13), Variablen!$I$3:$AT$3, 0))="",L99,INDEX(Variablen!$I:$AT, MATCH(M99, Variablen!$A:$A, 0), MATCH((YEAR(D99)+13), Variablen!$I$3:$AT$3, 0))),L99)))*(IF((YEAR(D99)+13)&lt;YEAR(E99),0,IF((YEAR(D99)+13)&gt;YEAR(E99),1,(12-MONTH(E99)+1)/12))) + (Q99)*(IF((YEAR(D99)+13)&lt;YEAR(E99),0,IF((YEAR(D99)+13)&gt;YEAR(E99),1,(12-MONTH(E99)+1)/12))))-((P99)*(IF((YEAR(D99)+13)&lt;YEAR(E99),0,IF((YEAR(D99)+13)&gt;YEAR(E99),1,(12-MONTH(E99)+1)/12))) + (R99)*(IF((YEAR(D99)+13)&lt;YEAR(E99),0,IF((YEAR(D99)+13)&gt;YEAR(E99),1,(12-MONTH(E99)+1)/12))))-(IF(OR(N99="",N99&lt;=0),0,(O99/N99)*(IF(OR(N99="",N99&lt;=0),0,IF((YEAR(D99)+13)&lt;YEAR(E99),0,IF((YEAR(D99)+13)&gt;=YEAR(E99)+N99,0,IF((YEAR(D99)+13)=YEAR(E99),(12-MONTH(E99)+1)/12,1))))))))&gt;0,(((K99)*(IF(M99="",L99,IFERROR(IF(INDEX(Variablen!$I:$AT, MATCH(M99, Variablen!$A:$A, 0), MATCH((YEAR(D99)+13), Variablen!$I$3:$AT$3, 0))="",L99,INDEX(Variablen!$I:$AT, MATCH(M99, Variablen!$A:$A, 0), MATCH((YEAR(D99)+13), Variablen!$I$3:$AT$3, 0))),L99)))*(IF((YEAR(D99)+13)&lt;YEAR(E99),0,IF((YEAR(D99)+13)&gt;YEAR(E99),1,(12-MONTH(E99)+1)/12))) + (Q99)*(IF((YEAR(D99)+13)&lt;YEAR(E99),0,IF((YEAR(D99)+13)&gt;YEAR(E99),1,(12-MONTH(E99)+1)/12))))-((P99)*(IF((YEAR(D99)+13)&lt;YEAR(E99),0,IF((YEAR(D99)+13)&gt;YEAR(E99),1,(12-MONTH(E99)+1)/12))) + (R99)*(IF((YEAR(D99)+13)&lt;YEAR(E99),0,IF((YEAR(D99)+13)&gt;YEAR(E99),1,(12-MONTH(E99)+1)/12))))-(IF(OR(N99="",N99&lt;=0),0,(O99/N99)*(IF(OR(N99="",N99&lt;=0),0,IF((YEAR(D99)+13)&lt;YEAR(E99),0,IF((YEAR(D99)+13)&gt;=YEAR(E99)+N99,0,IF((YEAR(D99)+13)=YEAR(E99),(12-MONTH(E99)+1)/12,1))))))))*TaxRate,0))-IF(13=0,O99,0))</f>
        <v/>
      </c>
      <c r="AG99" s="29">
        <f>IF(A99="","",((K99)*(IF(M99="",L99,IFERROR(IF(INDEX(Variablen!$I:$AT, MATCH(M99, Variablen!$A:$A, 0), MATCH((YEAR(D99)+14), Variablen!$I$3:$AT$3, 0))="",L99,INDEX(Variablen!$I:$AT, MATCH(M99, Variablen!$A:$A, 0), MATCH((YEAR(D99)+14), Variablen!$I$3:$AT$3, 0))),L99)))*(IF((YEAR(D99)+14)&lt;YEAR(E99),0,IF((YEAR(D99)+14)&gt;YEAR(E99),1,(12-MONTH(E99)+1)/12))) + (Q99)*(IF((YEAR(D99)+14)&lt;YEAR(E99),0,IF((YEAR(D99)+14)&gt;YEAR(E99),1,(12-MONTH(E99)+1)/12))))-((P99)*(IF((YEAR(D99)+14)&lt;YEAR(E99),0,IF((YEAR(D99)+14)&gt;YEAR(E99),1,(12-MONTH(E99)+1)/12))) + (R99)*(IF((YEAR(D99)+14)&lt;YEAR(E99),0,IF((YEAR(D99)+14)&gt;YEAR(E99),1,(12-MONTH(E99)+1)/12))))-(IF((((K99)*(IF(M99="",L99,IFERROR(IF(INDEX(Variablen!$I:$AT, MATCH(M99, Variablen!$A:$A, 0), MATCH((YEAR(D99)+14), Variablen!$I$3:$AT$3, 0))="",L99,INDEX(Variablen!$I:$AT, MATCH(M99, Variablen!$A:$A, 0), MATCH((YEAR(D99)+14), Variablen!$I$3:$AT$3, 0))),L99)))*(IF((YEAR(D99)+14)&lt;YEAR(E99),0,IF((YEAR(D99)+14)&gt;YEAR(E99),1,(12-MONTH(E99)+1)/12))) + (Q99)*(IF((YEAR(D99)+14)&lt;YEAR(E99),0,IF((YEAR(D99)+14)&gt;YEAR(E99),1,(12-MONTH(E99)+1)/12))))-((P99)*(IF((YEAR(D99)+14)&lt;YEAR(E99),0,IF((YEAR(D99)+14)&gt;YEAR(E99),1,(12-MONTH(E99)+1)/12))) + (R99)*(IF((YEAR(D99)+14)&lt;YEAR(E99),0,IF((YEAR(D99)+14)&gt;YEAR(E99),1,(12-MONTH(E99)+1)/12))))-(IF(OR(N99="",N99&lt;=0),0,(O99/N99)*(IF(OR(N99="",N99&lt;=0),0,IF((YEAR(D99)+14)&lt;YEAR(E99),0,IF((YEAR(D99)+14)&gt;=YEAR(E99)+N99,0,IF((YEAR(D99)+14)=YEAR(E99),(12-MONTH(E99)+1)/12,1))))))))&gt;0,(((K99)*(IF(M99="",L99,IFERROR(IF(INDEX(Variablen!$I:$AT, MATCH(M99, Variablen!$A:$A, 0), MATCH((YEAR(D99)+14), Variablen!$I$3:$AT$3, 0))="",L99,INDEX(Variablen!$I:$AT, MATCH(M99, Variablen!$A:$A, 0), MATCH((YEAR(D99)+14), Variablen!$I$3:$AT$3, 0))),L99)))*(IF((YEAR(D99)+14)&lt;YEAR(E99),0,IF((YEAR(D99)+14)&gt;YEAR(E99),1,(12-MONTH(E99)+1)/12))) + (Q99)*(IF((YEAR(D99)+14)&lt;YEAR(E99),0,IF((YEAR(D99)+14)&gt;YEAR(E99),1,(12-MONTH(E99)+1)/12))))-((P99)*(IF((YEAR(D99)+14)&lt;YEAR(E99),0,IF((YEAR(D99)+14)&gt;YEAR(E99),1,(12-MONTH(E99)+1)/12))) + (R99)*(IF((YEAR(D99)+14)&lt;YEAR(E99),0,IF((YEAR(D99)+14)&gt;YEAR(E99),1,(12-MONTH(E99)+1)/12))))-(IF(OR(N99="",N99&lt;=0),0,(O99/N99)*(IF(OR(N99="",N99&lt;=0),0,IF((YEAR(D99)+14)&lt;YEAR(E99),0,IF((YEAR(D99)+14)&gt;=YEAR(E99)+N99,0,IF((YEAR(D99)+14)=YEAR(E99),(12-MONTH(E99)+1)/12,1))))))))*TaxRate,0))-IF(14=0,O99,0))</f>
        <v/>
      </c>
      <c r="AH99" s="29">
        <f>IF(A99="","",((K99)*(IF(M99="",L99,IFERROR(IF(INDEX(Variablen!$I:$AT, MATCH(M99, Variablen!$A:$A, 0), MATCH((YEAR(D99)+15), Variablen!$I$3:$AT$3, 0))="",L99,INDEX(Variablen!$I:$AT, MATCH(M99, Variablen!$A:$A, 0), MATCH((YEAR(D99)+15), Variablen!$I$3:$AT$3, 0))),L99)))*(IF((YEAR(D99)+15)&lt;YEAR(E99),0,IF((YEAR(D99)+15)&gt;YEAR(E99),1,(12-MONTH(E99)+1)/12))) + (Q99)*(IF((YEAR(D99)+15)&lt;YEAR(E99),0,IF((YEAR(D99)+15)&gt;YEAR(E99),1,(12-MONTH(E99)+1)/12))))-((P99)*(IF((YEAR(D99)+15)&lt;YEAR(E99),0,IF((YEAR(D99)+15)&gt;YEAR(E99),1,(12-MONTH(E99)+1)/12))) + (R99)*(IF((YEAR(D99)+15)&lt;YEAR(E99),0,IF((YEAR(D99)+15)&gt;YEAR(E99),1,(12-MONTH(E99)+1)/12))))-(IF((((K99)*(IF(M99="",L99,IFERROR(IF(INDEX(Variablen!$I:$AT, MATCH(M99, Variablen!$A:$A, 0), MATCH((YEAR(D99)+15), Variablen!$I$3:$AT$3, 0))="",L99,INDEX(Variablen!$I:$AT, MATCH(M99, Variablen!$A:$A, 0), MATCH((YEAR(D99)+15), Variablen!$I$3:$AT$3, 0))),L99)))*(IF((YEAR(D99)+15)&lt;YEAR(E99),0,IF((YEAR(D99)+15)&gt;YEAR(E99),1,(12-MONTH(E99)+1)/12))) + (Q99)*(IF((YEAR(D99)+15)&lt;YEAR(E99),0,IF((YEAR(D99)+15)&gt;YEAR(E99),1,(12-MONTH(E99)+1)/12))))-((P99)*(IF((YEAR(D99)+15)&lt;YEAR(E99),0,IF((YEAR(D99)+15)&gt;YEAR(E99),1,(12-MONTH(E99)+1)/12))) + (R99)*(IF((YEAR(D99)+15)&lt;YEAR(E99),0,IF((YEAR(D99)+15)&gt;YEAR(E99),1,(12-MONTH(E99)+1)/12))))-(IF(OR(N99="",N99&lt;=0),0,(O99/N99)*(IF(OR(N99="",N99&lt;=0),0,IF((YEAR(D99)+15)&lt;YEAR(E99),0,IF((YEAR(D99)+15)&gt;=YEAR(E99)+N99,0,IF((YEAR(D99)+15)=YEAR(E99),(12-MONTH(E99)+1)/12,1))))))))&gt;0,(((K99)*(IF(M99="",L99,IFERROR(IF(INDEX(Variablen!$I:$AT, MATCH(M99, Variablen!$A:$A, 0), MATCH((YEAR(D99)+15), Variablen!$I$3:$AT$3, 0))="",L99,INDEX(Variablen!$I:$AT, MATCH(M99, Variablen!$A:$A, 0), MATCH((YEAR(D99)+15), Variablen!$I$3:$AT$3, 0))),L99)))*(IF((YEAR(D99)+15)&lt;YEAR(E99),0,IF((YEAR(D99)+15)&gt;YEAR(E99),1,(12-MONTH(E99)+1)/12))) + (Q99)*(IF((YEAR(D99)+15)&lt;YEAR(E99),0,IF((YEAR(D99)+15)&gt;YEAR(E99),1,(12-MONTH(E99)+1)/12))))-((P99)*(IF((YEAR(D99)+15)&lt;YEAR(E99),0,IF((YEAR(D99)+15)&gt;YEAR(E99),1,(12-MONTH(E99)+1)/12))) + (R99)*(IF((YEAR(D99)+15)&lt;YEAR(E99),0,IF((YEAR(D99)+15)&gt;YEAR(E99),1,(12-MONTH(E99)+1)/12))))-(IF(OR(N99="",N99&lt;=0),0,(O99/N99)*(IF(OR(N99="",N99&lt;=0),0,IF((YEAR(D99)+15)&lt;YEAR(E99),0,IF((YEAR(D99)+15)&gt;=YEAR(E99)+N99,0,IF((YEAR(D99)+15)=YEAR(E99),(12-MONTH(E99)+1)/12,1))))))))*TaxRate,0))-IF(15=0,O99,0))</f>
        <v/>
      </c>
      <c r="AI99" s="29">
        <f>IF(A99="","",((K99)*(IF(M99="",L99,IFERROR(IF(INDEX(Variablen!$I:$AT, MATCH(M99, Variablen!$A:$A, 0), MATCH((YEAR(D99)+16), Variablen!$I$3:$AT$3, 0))="",L99,INDEX(Variablen!$I:$AT, MATCH(M99, Variablen!$A:$A, 0), MATCH((YEAR(D99)+16), Variablen!$I$3:$AT$3, 0))),L99)))*(IF((YEAR(D99)+16)&lt;YEAR(E99),0,IF((YEAR(D99)+16)&gt;YEAR(E99),1,(12-MONTH(E99)+1)/12))) + (Q99)*(IF((YEAR(D99)+16)&lt;YEAR(E99),0,IF((YEAR(D99)+16)&gt;YEAR(E99),1,(12-MONTH(E99)+1)/12))))-((P99)*(IF((YEAR(D99)+16)&lt;YEAR(E99),0,IF((YEAR(D99)+16)&gt;YEAR(E99),1,(12-MONTH(E99)+1)/12))) + (R99)*(IF((YEAR(D99)+16)&lt;YEAR(E99),0,IF((YEAR(D99)+16)&gt;YEAR(E99),1,(12-MONTH(E99)+1)/12))))-(IF((((K99)*(IF(M99="",L99,IFERROR(IF(INDEX(Variablen!$I:$AT, MATCH(M99, Variablen!$A:$A, 0), MATCH((YEAR(D99)+16), Variablen!$I$3:$AT$3, 0))="",L99,INDEX(Variablen!$I:$AT, MATCH(M99, Variablen!$A:$A, 0), MATCH((YEAR(D99)+16), Variablen!$I$3:$AT$3, 0))),L99)))*(IF((YEAR(D99)+16)&lt;YEAR(E99),0,IF((YEAR(D99)+16)&gt;YEAR(E99),1,(12-MONTH(E99)+1)/12))) + (Q99)*(IF((YEAR(D99)+16)&lt;YEAR(E99),0,IF((YEAR(D99)+16)&gt;YEAR(E99),1,(12-MONTH(E99)+1)/12))))-((P99)*(IF((YEAR(D99)+16)&lt;YEAR(E99),0,IF((YEAR(D99)+16)&gt;YEAR(E99),1,(12-MONTH(E99)+1)/12))) + (R99)*(IF((YEAR(D99)+16)&lt;YEAR(E99),0,IF((YEAR(D99)+16)&gt;YEAR(E99),1,(12-MONTH(E99)+1)/12))))-(IF(OR(N99="",N99&lt;=0),0,(O99/N99)*(IF(OR(N99="",N99&lt;=0),0,IF((YEAR(D99)+16)&lt;YEAR(E99),0,IF((YEAR(D99)+16)&gt;=YEAR(E99)+N99,0,IF((YEAR(D99)+16)=YEAR(E99),(12-MONTH(E99)+1)/12,1))))))))&gt;0,(((K99)*(IF(M99="",L99,IFERROR(IF(INDEX(Variablen!$I:$AT, MATCH(M99, Variablen!$A:$A, 0), MATCH((YEAR(D99)+16), Variablen!$I$3:$AT$3, 0))="",L99,INDEX(Variablen!$I:$AT, MATCH(M99, Variablen!$A:$A, 0), MATCH((YEAR(D99)+16), Variablen!$I$3:$AT$3, 0))),L99)))*(IF((YEAR(D99)+16)&lt;YEAR(E99),0,IF((YEAR(D99)+16)&gt;YEAR(E99),1,(12-MONTH(E99)+1)/12))) + (Q99)*(IF((YEAR(D99)+16)&lt;YEAR(E99),0,IF((YEAR(D99)+16)&gt;YEAR(E99),1,(12-MONTH(E99)+1)/12))))-((P99)*(IF((YEAR(D99)+16)&lt;YEAR(E99),0,IF((YEAR(D99)+16)&gt;YEAR(E99),1,(12-MONTH(E99)+1)/12))) + (R99)*(IF((YEAR(D99)+16)&lt;YEAR(E99),0,IF((YEAR(D99)+16)&gt;YEAR(E99),1,(12-MONTH(E99)+1)/12))))-(IF(OR(N99="",N99&lt;=0),0,(O99/N99)*(IF(OR(N99="",N99&lt;=0),0,IF((YEAR(D99)+16)&lt;YEAR(E99),0,IF((YEAR(D99)+16)&gt;=YEAR(E99)+N99,0,IF((YEAR(D99)+16)=YEAR(E99),(12-MONTH(E99)+1)/12,1))))))))*TaxRate,0))-IF(16=0,O99,0))</f>
        <v/>
      </c>
      <c r="AJ99" s="29">
        <f>IF(A99="","",((K99)*(IF(M99="",L99,IFERROR(IF(INDEX(Variablen!$I:$AT, MATCH(M99, Variablen!$A:$A, 0), MATCH((YEAR(D99)+17), Variablen!$I$3:$AT$3, 0))="",L99,INDEX(Variablen!$I:$AT, MATCH(M99, Variablen!$A:$A, 0), MATCH((YEAR(D99)+17), Variablen!$I$3:$AT$3, 0))),L99)))*(IF((YEAR(D99)+17)&lt;YEAR(E99),0,IF((YEAR(D99)+17)&gt;YEAR(E99),1,(12-MONTH(E99)+1)/12))) + (Q99)*(IF((YEAR(D99)+17)&lt;YEAR(E99),0,IF((YEAR(D99)+17)&gt;YEAR(E99),1,(12-MONTH(E99)+1)/12))))-((P99)*(IF((YEAR(D99)+17)&lt;YEAR(E99),0,IF((YEAR(D99)+17)&gt;YEAR(E99),1,(12-MONTH(E99)+1)/12))) + (R99)*(IF((YEAR(D99)+17)&lt;YEAR(E99),0,IF((YEAR(D99)+17)&gt;YEAR(E99),1,(12-MONTH(E99)+1)/12))))-(IF((((K99)*(IF(M99="",L99,IFERROR(IF(INDEX(Variablen!$I:$AT, MATCH(M99, Variablen!$A:$A, 0), MATCH((YEAR(D99)+17), Variablen!$I$3:$AT$3, 0))="",L99,INDEX(Variablen!$I:$AT, MATCH(M99, Variablen!$A:$A, 0), MATCH((YEAR(D99)+17), Variablen!$I$3:$AT$3, 0))),L99)))*(IF((YEAR(D99)+17)&lt;YEAR(E99),0,IF((YEAR(D99)+17)&gt;YEAR(E99),1,(12-MONTH(E99)+1)/12))) + (Q99)*(IF((YEAR(D99)+17)&lt;YEAR(E99),0,IF((YEAR(D99)+17)&gt;YEAR(E99),1,(12-MONTH(E99)+1)/12))))-((P99)*(IF((YEAR(D99)+17)&lt;YEAR(E99),0,IF((YEAR(D99)+17)&gt;YEAR(E99),1,(12-MONTH(E99)+1)/12))) + (R99)*(IF((YEAR(D99)+17)&lt;YEAR(E99),0,IF((YEAR(D99)+17)&gt;YEAR(E99),1,(12-MONTH(E99)+1)/12))))-(IF(OR(N99="",N99&lt;=0),0,(O99/N99)*(IF(OR(N99="",N99&lt;=0),0,IF((YEAR(D99)+17)&lt;YEAR(E99),0,IF((YEAR(D99)+17)&gt;=YEAR(E99)+N99,0,IF((YEAR(D99)+17)=YEAR(E99),(12-MONTH(E99)+1)/12,1))))))))&gt;0,(((K99)*(IF(M99="",L99,IFERROR(IF(INDEX(Variablen!$I:$AT, MATCH(M99, Variablen!$A:$A, 0), MATCH((YEAR(D99)+17), Variablen!$I$3:$AT$3, 0))="",L99,INDEX(Variablen!$I:$AT, MATCH(M99, Variablen!$A:$A, 0), MATCH((YEAR(D99)+17), Variablen!$I$3:$AT$3, 0))),L99)))*(IF((YEAR(D99)+17)&lt;YEAR(E99),0,IF((YEAR(D99)+17)&gt;YEAR(E99),1,(12-MONTH(E99)+1)/12))) + (Q99)*(IF((YEAR(D99)+17)&lt;YEAR(E99),0,IF((YEAR(D99)+17)&gt;YEAR(E99),1,(12-MONTH(E99)+1)/12))))-((P99)*(IF((YEAR(D99)+17)&lt;YEAR(E99),0,IF((YEAR(D99)+17)&gt;YEAR(E99),1,(12-MONTH(E99)+1)/12))) + (R99)*(IF((YEAR(D99)+17)&lt;YEAR(E99),0,IF((YEAR(D99)+17)&gt;YEAR(E99),1,(12-MONTH(E99)+1)/12))))-(IF(OR(N99="",N99&lt;=0),0,(O99/N99)*(IF(OR(N99="",N99&lt;=0),0,IF((YEAR(D99)+17)&lt;YEAR(E99),0,IF((YEAR(D99)+17)&gt;=YEAR(E99)+N99,0,IF((YEAR(D99)+17)=YEAR(E99),(12-MONTH(E99)+1)/12,1))))))))*TaxRate,0))-IF(17=0,O99,0))</f>
        <v/>
      </c>
      <c r="AK99" s="29">
        <f>IF(A99="","",((K99)*(IF(M99="",L99,IFERROR(IF(INDEX(Variablen!$I:$AT, MATCH(M99, Variablen!$A:$A, 0), MATCH((YEAR(D99)+18), Variablen!$I$3:$AT$3, 0))="",L99,INDEX(Variablen!$I:$AT, MATCH(M99, Variablen!$A:$A, 0), MATCH((YEAR(D99)+18), Variablen!$I$3:$AT$3, 0))),L99)))*(IF((YEAR(D99)+18)&lt;YEAR(E99),0,IF((YEAR(D99)+18)&gt;YEAR(E99),1,(12-MONTH(E99)+1)/12))) + (Q99)*(IF((YEAR(D99)+18)&lt;YEAR(E99),0,IF((YEAR(D99)+18)&gt;YEAR(E99),1,(12-MONTH(E99)+1)/12))))-((P99)*(IF((YEAR(D99)+18)&lt;YEAR(E99),0,IF((YEAR(D99)+18)&gt;YEAR(E99),1,(12-MONTH(E99)+1)/12))) + (R99)*(IF((YEAR(D99)+18)&lt;YEAR(E99),0,IF((YEAR(D99)+18)&gt;YEAR(E99),1,(12-MONTH(E99)+1)/12))))-(IF((((K99)*(IF(M99="",L99,IFERROR(IF(INDEX(Variablen!$I:$AT, MATCH(M99, Variablen!$A:$A, 0), MATCH((YEAR(D99)+18), Variablen!$I$3:$AT$3, 0))="",L99,INDEX(Variablen!$I:$AT, MATCH(M99, Variablen!$A:$A, 0), MATCH((YEAR(D99)+18), Variablen!$I$3:$AT$3, 0))),L99)))*(IF((YEAR(D99)+18)&lt;YEAR(E99),0,IF((YEAR(D99)+18)&gt;YEAR(E99),1,(12-MONTH(E99)+1)/12))) + (Q99)*(IF((YEAR(D99)+18)&lt;YEAR(E99),0,IF((YEAR(D99)+18)&gt;YEAR(E99),1,(12-MONTH(E99)+1)/12))))-((P99)*(IF((YEAR(D99)+18)&lt;YEAR(E99),0,IF((YEAR(D99)+18)&gt;YEAR(E99),1,(12-MONTH(E99)+1)/12))) + (R99)*(IF((YEAR(D99)+18)&lt;YEAR(E99),0,IF((YEAR(D99)+18)&gt;YEAR(E99),1,(12-MONTH(E99)+1)/12))))-(IF(OR(N99="",N99&lt;=0),0,(O99/N99)*(IF(OR(N99="",N99&lt;=0),0,IF((YEAR(D99)+18)&lt;YEAR(E99),0,IF((YEAR(D99)+18)&gt;=YEAR(E99)+N99,0,IF((YEAR(D99)+18)=YEAR(E99),(12-MONTH(E99)+1)/12,1))))))))&gt;0,(((K99)*(IF(M99="",L99,IFERROR(IF(INDEX(Variablen!$I:$AT, MATCH(M99, Variablen!$A:$A, 0), MATCH((YEAR(D99)+18), Variablen!$I$3:$AT$3, 0))="",L99,INDEX(Variablen!$I:$AT, MATCH(M99, Variablen!$A:$A, 0), MATCH((YEAR(D99)+18), Variablen!$I$3:$AT$3, 0))),L99)))*(IF((YEAR(D99)+18)&lt;YEAR(E99),0,IF((YEAR(D99)+18)&gt;YEAR(E99),1,(12-MONTH(E99)+1)/12))) + (Q99)*(IF((YEAR(D99)+18)&lt;YEAR(E99),0,IF((YEAR(D99)+18)&gt;YEAR(E99),1,(12-MONTH(E99)+1)/12))))-((P99)*(IF((YEAR(D99)+18)&lt;YEAR(E99),0,IF((YEAR(D99)+18)&gt;YEAR(E99),1,(12-MONTH(E99)+1)/12))) + (R99)*(IF((YEAR(D99)+18)&lt;YEAR(E99),0,IF((YEAR(D99)+18)&gt;YEAR(E99),1,(12-MONTH(E99)+1)/12))))-(IF(OR(N99="",N99&lt;=0),0,(O99/N99)*(IF(OR(N99="",N99&lt;=0),0,IF((YEAR(D99)+18)&lt;YEAR(E99),0,IF((YEAR(D99)+18)&gt;=YEAR(E99)+N99,0,IF((YEAR(D99)+18)=YEAR(E99),(12-MONTH(E99)+1)/12,1))))))))*TaxRate,0))-IF(18=0,O99,0))</f>
        <v/>
      </c>
      <c r="AL99" s="29">
        <f>IF(A99="","",((K99)*(IF(M99="",L99,IFERROR(IF(INDEX(Variablen!$I:$AT, MATCH(M99, Variablen!$A:$A, 0), MATCH((YEAR(D99)+19), Variablen!$I$3:$AT$3, 0))="",L99,INDEX(Variablen!$I:$AT, MATCH(M99, Variablen!$A:$A, 0), MATCH((YEAR(D99)+19), Variablen!$I$3:$AT$3, 0))),L99)))*(IF((YEAR(D99)+19)&lt;YEAR(E99),0,IF((YEAR(D99)+19)&gt;YEAR(E99),1,(12-MONTH(E99)+1)/12))) + (Q99)*(IF((YEAR(D99)+19)&lt;YEAR(E99),0,IF((YEAR(D99)+19)&gt;YEAR(E99),1,(12-MONTH(E99)+1)/12))))-((P99)*(IF((YEAR(D99)+19)&lt;YEAR(E99),0,IF((YEAR(D99)+19)&gt;YEAR(E99),1,(12-MONTH(E99)+1)/12))) + (R99)*(IF((YEAR(D99)+19)&lt;YEAR(E99),0,IF((YEAR(D99)+19)&gt;YEAR(E99),1,(12-MONTH(E99)+1)/12))))-(IF((((K99)*(IF(M99="",L99,IFERROR(IF(INDEX(Variablen!$I:$AT, MATCH(M99, Variablen!$A:$A, 0), MATCH((YEAR(D99)+19), Variablen!$I$3:$AT$3, 0))="",L99,INDEX(Variablen!$I:$AT, MATCH(M99, Variablen!$A:$A, 0), MATCH((YEAR(D99)+19), Variablen!$I$3:$AT$3, 0))),L99)))*(IF((YEAR(D99)+19)&lt;YEAR(E99),0,IF((YEAR(D99)+19)&gt;YEAR(E99),1,(12-MONTH(E99)+1)/12))) + (Q99)*(IF((YEAR(D99)+19)&lt;YEAR(E99),0,IF((YEAR(D99)+19)&gt;YEAR(E99),1,(12-MONTH(E99)+1)/12))))-((P99)*(IF((YEAR(D99)+19)&lt;YEAR(E99),0,IF((YEAR(D99)+19)&gt;YEAR(E99),1,(12-MONTH(E99)+1)/12))) + (R99)*(IF((YEAR(D99)+19)&lt;YEAR(E99),0,IF((YEAR(D99)+19)&gt;YEAR(E99),1,(12-MONTH(E99)+1)/12))))-(IF(OR(N99="",N99&lt;=0),0,(O99/N99)*(IF(OR(N99="",N99&lt;=0),0,IF((YEAR(D99)+19)&lt;YEAR(E99),0,IF((YEAR(D99)+19)&gt;=YEAR(E99)+N99,0,IF((YEAR(D99)+19)=YEAR(E99),(12-MONTH(E99)+1)/12,1))))))))&gt;0,(((K99)*(IF(M99="",L99,IFERROR(IF(INDEX(Variablen!$I:$AT, MATCH(M99, Variablen!$A:$A, 0), MATCH((YEAR(D99)+19), Variablen!$I$3:$AT$3, 0))="",L99,INDEX(Variablen!$I:$AT, MATCH(M99, Variablen!$A:$A, 0), MATCH((YEAR(D99)+19), Variablen!$I$3:$AT$3, 0))),L99)))*(IF((YEAR(D99)+19)&lt;YEAR(E99),0,IF((YEAR(D99)+19)&gt;YEAR(E99),1,(12-MONTH(E99)+1)/12))) + (Q99)*(IF((YEAR(D99)+19)&lt;YEAR(E99),0,IF((YEAR(D99)+19)&gt;YEAR(E99),1,(12-MONTH(E99)+1)/12))))-((P99)*(IF((YEAR(D99)+19)&lt;YEAR(E99),0,IF((YEAR(D99)+19)&gt;YEAR(E99),1,(12-MONTH(E99)+1)/12))) + (R99)*(IF((YEAR(D99)+19)&lt;YEAR(E99),0,IF((YEAR(D99)+19)&gt;YEAR(E99),1,(12-MONTH(E99)+1)/12))))-(IF(OR(N99="",N99&lt;=0),0,(O99/N99)*(IF(OR(N99="",N99&lt;=0),0,IF((YEAR(D99)+19)&lt;YEAR(E99),0,IF((YEAR(D99)+19)&gt;=YEAR(E99)+N99,0,IF((YEAR(D99)+19)=YEAR(E99),(12-MONTH(E99)+1)/12,1))))))))*TaxRate,0))-IF(19=0,O99,0))</f>
        <v/>
      </c>
      <c r="AM99" s="29">
        <f>IF(A99="","",((K99)*(IF(M99="",L99,IFERROR(IF(INDEX(Variablen!$I:$AT, MATCH(M99, Variablen!$A:$A, 0), MATCH((YEAR(D99)+20), Variablen!$I$3:$AT$3, 0))="",L99,INDEX(Variablen!$I:$AT, MATCH(M99, Variablen!$A:$A, 0), MATCH((YEAR(D99)+20), Variablen!$I$3:$AT$3, 0))),L99)))*(IF((YEAR(D99)+20)&lt;YEAR(E99),0,IF((YEAR(D99)+20)&gt;YEAR(E99),1,(12-MONTH(E99)+1)/12))) + (Q99)*(IF((YEAR(D99)+20)&lt;YEAR(E99),0,IF((YEAR(D99)+20)&gt;YEAR(E99),1,(12-MONTH(E99)+1)/12))))-((P99)*(IF((YEAR(D99)+20)&lt;YEAR(E99),0,IF((YEAR(D99)+20)&gt;YEAR(E99),1,(12-MONTH(E99)+1)/12))) + (R99)*(IF((YEAR(D99)+20)&lt;YEAR(E99),0,IF((YEAR(D99)+20)&gt;YEAR(E99),1,(12-MONTH(E99)+1)/12))))-(IF((((K99)*(IF(M99="",L99,IFERROR(IF(INDEX(Variablen!$I:$AT, MATCH(M99, Variablen!$A:$A, 0), MATCH((YEAR(D99)+20), Variablen!$I$3:$AT$3, 0))="",L99,INDEX(Variablen!$I:$AT, MATCH(M99, Variablen!$A:$A, 0), MATCH((YEAR(D99)+20), Variablen!$I$3:$AT$3, 0))),L99)))*(IF((YEAR(D99)+20)&lt;YEAR(E99),0,IF((YEAR(D99)+20)&gt;YEAR(E99),1,(12-MONTH(E99)+1)/12))) + (Q99)*(IF((YEAR(D99)+20)&lt;YEAR(E99),0,IF((YEAR(D99)+20)&gt;YEAR(E99),1,(12-MONTH(E99)+1)/12))))-((P99)*(IF((YEAR(D99)+20)&lt;YEAR(E99),0,IF((YEAR(D99)+20)&gt;YEAR(E99),1,(12-MONTH(E99)+1)/12))) + (R99)*(IF((YEAR(D99)+20)&lt;YEAR(E99),0,IF((YEAR(D99)+20)&gt;YEAR(E99),1,(12-MONTH(E99)+1)/12))))-(IF(OR(N99="",N99&lt;=0),0,(O99/N99)*(IF(OR(N99="",N99&lt;=0),0,IF((YEAR(D99)+20)&lt;YEAR(E99),0,IF((YEAR(D99)+20)&gt;=YEAR(E99)+N99,0,IF((YEAR(D99)+20)=YEAR(E99),(12-MONTH(E99)+1)/12,1))))))))&gt;0,(((K99)*(IF(M99="",L99,IFERROR(IF(INDEX(Variablen!$I:$AT, MATCH(M99, Variablen!$A:$A, 0), MATCH((YEAR(D99)+20), Variablen!$I$3:$AT$3, 0))="",L99,INDEX(Variablen!$I:$AT, MATCH(M99, Variablen!$A:$A, 0), MATCH((YEAR(D99)+20), Variablen!$I$3:$AT$3, 0))),L99)))*(IF((YEAR(D99)+20)&lt;YEAR(E99),0,IF((YEAR(D99)+20)&gt;YEAR(E99),1,(12-MONTH(E99)+1)/12))) + (Q99)*(IF((YEAR(D99)+20)&lt;YEAR(E99),0,IF((YEAR(D99)+20)&gt;YEAR(E99),1,(12-MONTH(E99)+1)/12))))-((P99)*(IF((YEAR(D99)+20)&lt;YEAR(E99),0,IF((YEAR(D99)+20)&gt;YEAR(E99),1,(12-MONTH(E99)+1)/12))) + (R99)*(IF((YEAR(D99)+20)&lt;YEAR(E99),0,IF((YEAR(D99)+20)&gt;YEAR(E99),1,(12-MONTH(E99)+1)/12))))-(IF(OR(N99="",N99&lt;=0),0,(O99/N99)*(IF(OR(N99="",N99&lt;=0),0,IF((YEAR(D99)+20)&lt;YEAR(E99),0,IF((YEAR(D99)+20)&gt;=YEAR(E99)+N99,0,IF((YEAR(D99)+20)=YEAR(E99),(12-MONTH(E99)+1)/12,1))))))))*TaxRate,0))-IF(20=0,O99,0))</f>
        <v/>
      </c>
      <c r="AN99" s="29">
        <f>IF(A99="","",S99)</f>
        <v/>
      </c>
      <c r="AO99" s="29">
        <f>IF(A99="","",AN99+T99)</f>
        <v/>
      </c>
      <c r="AP99" s="29">
        <f>IF(A99="","",AO99+U99)</f>
        <v/>
      </c>
      <c r="AQ99" s="29">
        <f>IF(A99="","",AP99+V99)</f>
        <v/>
      </c>
      <c r="AR99" s="29">
        <f>IF(A99="","",AQ99+W99)</f>
        <v/>
      </c>
      <c r="AS99" s="29">
        <f>IF(A99="","",AR99+X99)</f>
        <v/>
      </c>
      <c r="AT99" s="29">
        <f>IF(A99="","",AS99+Y99)</f>
        <v/>
      </c>
      <c r="AU99" s="29">
        <f>IF(A99="","",AT99+Z99)</f>
        <v/>
      </c>
      <c r="AV99" s="29">
        <f>IF(A99="","",AU99+AA99)</f>
        <v/>
      </c>
      <c r="AW99" s="29">
        <f>IF(A99="","",AV99+AB99)</f>
        <v/>
      </c>
      <c r="AX99" s="29">
        <f>IF(A99="","",AW99+AC99)</f>
        <v/>
      </c>
      <c r="AY99" s="29">
        <f>IF(A99="","",AX99+AD99)</f>
        <v/>
      </c>
      <c r="AZ99" s="29">
        <f>IF(A99="","",AY99+AE99)</f>
        <v/>
      </c>
      <c r="BA99" s="29">
        <f>IF(A99="","",AZ99+AF99)</f>
        <v/>
      </c>
      <c r="BB99" s="29">
        <f>IF(A99="","",BA99+AG99)</f>
        <v/>
      </c>
      <c r="BC99" s="29">
        <f>IF(A99="","",BB99+AH99)</f>
        <v/>
      </c>
      <c r="BD99" s="29">
        <f>IF(A99="","",BC99+AI99)</f>
        <v/>
      </c>
      <c r="BE99" s="29">
        <f>IF(A99="","",BD99+AJ99)</f>
        <v/>
      </c>
      <c r="BF99" s="29">
        <f>IF(A99="","",BE99+AK99)</f>
        <v/>
      </c>
      <c r="BG99" s="29">
        <f>IF(A99="","",BF99+AL99)</f>
        <v/>
      </c>
      <c r="BH99" s="29">
        <f>IF(A99="","",BG99+AM99)</f>
        <v/>
      </c>
      <c r="BI99" s="36">
        <f>IF(A99="","",(K99)*(IF((YEAR(D99)+0)&lt;YEAR(E99),0,IF((YEAR(D99)+0)&gt;YEAR(E99),1,(12-MONTH(E99)+1)/12)))*(1/(1+DiscountRate)^0))</f>
        <v/>
      </c>
      <c r="BJ99" s="36">
        <f>IF(A99="","",(K99)*(IF((YEAR(D99)+1)&lt;YEAR(E99),0,IF((YEAR(D99)+1)&gt;YEAR(E99),1,(12-MONTH(E99)+1)/12)))*(1/(1+DiscountRate)^1))</f>
        <v/>
      </c>
      <c r="BK99" s="36">
        <f>IF(A99="","",(K99)*(IF((YEAR(D99)+2)&lt;YEAR(E99),0,IF((YEAR(D99)+2)&gt;YEAR(E99),1,(12-MONTH(E99)+1)/12)))*(1/(1+DiscountRate)^2))</f>
        <v/>
      </c>
      <c r="BL99" s="36">
        <f>IF(A99="","",(K99)*(IF((YEAR(D99)+3)&lt;YEAR(E99),0,IF((YEAR(D99)+3)&gt;YEAR(E99),1,(12-MONTH(E99)+1)/12)))*(1/(1+DiscountRate)^3))</f>
        <v/>
      </c>
      <c r="BM99" s="36">
        <f>IF(A99="","",(K99)*(IF((YEAR(D99)+4)&lt;YEAR(E99),0,IF((YEAR(D99)+4)&gt;YEAR(E99),1,(12-MONTH(E99)+1)/12)))*(1/(1+DiscountRate)^4))</f>
        <v/>
      </c>
      <c r="BN99" s="36">
        <f>IF(A99="","",(K99)*(IF((YEAR(D99)+5)&lt;YEAR(E99),0,IF((YEAR(D99)+5)&gt;YEAR(E99),1,(12-MONTH(E99)+1)/12)))*(1/(1+DiscountRate)^5))</f>
        <v/>
      </c>
      <c r="BO99" s="36">
        <f>IF(A99="","",(K99)*(IF((YEAR(D99)+6)&lt;YEAR(E99),0,IF((YEAR(D99)+6)&gt;YEAR(E99),1,(12-MONTH(E99)+1)/12)))*(1/(1+DiscountRate)^6))</f>
        <v/>
      </c>
      <c r="BP99" s="36">
        <f>IF(A99="","",(K99)*(IF((YEAR(D99)+7)&lt;YEAR(E99),0,IF((YEAR(D99)+7)&gt;YEAR(E99),1,(12-MONTH(E99)+1)/12)))*(1/(1+DiscountRate)^7))</f>
        <v/>
      </c>
      <c r="BQ99" s="36">
        <f>IF(A99="","",(K99)*(IF((YEAR(D99)+8)&lt;YEAR(E99),0,IF((YEAR(D99)+8)&gt;YEAR(E99),1,(12-MONTH(E99)+1)/12)))*(1/(1+DiscountRate)^8))</f>
        <v/>
      </c>
      <c r="BR99" s="36">
        <f>IF(A99="","",(K99)*(IF((YEAR(D99)+9)&lt;YEAR(E99),0,IF((YEAR(D99)+9)&gt;YEAR(E99),1,(12-MONTH(E99)+1)/12)))*(1/(1+DiscountRate)^9))</f>
        <v/>
      </c>
      <c r="BS99" s="36">
        <f>IF(A99="","",(K99)*(IF((YEAR(D99)+10)&lt;YEAR(E99),0,IF((YEAR(D99)+10)&gt;YEAR(E99),1,(12-MONTH(E99)+1)/12)))*(1/(1+DiscountRate)^10))</f>
        <v/>
      </c>
      <c r="BT99" s="36">
        <f>IF(A99="","",(K99)*(IF((YEAR(D99)+11)&lt;YEAR(E99),0,IF((YEAR(D99)+11)&gt;YEAR(E99),1,(12-MONTH(E99)+1)/12)))*(1/(1+DiscountRate)^11))</f>
        <v/>
      </c>
      <c r="BU99" s="36">
        <f>IF(A99="","",(K99)*(IF((YEAR(D99)+12)&lt;YEAR(E99),0,IF((YEAR(D99)+12)&gt;YEAR(E99),1,(12-MONTH(E99)+1)/12)))*(1/(1+DiscountRate)^12))</f>
        <v/>
      </c>
      <c r="BV99" s="36">
        <f>IF(A99="","",(K99)*(IF((YEAR(D99)+13)&lt;YEAR(E99),0,IF((YEAR(D99)+13)&gt;YEAR(E99),1,(12-MONTH(E99)+1)/12)))*(1/(1+DiscountRate)^13))</f>
        <v/>
      </c>
      <c r="BW99" s="36">
        <f>IF(A99="","",(K99)*(IF((YEAR(D99)+14)&lt;YEAR(E99),0,IF((YEAR(D99)+14)&gt;YEAR(E99),1,(12-MONTH(E99)+1)/12)))*(1/(1+DiscountRate)^14))</f>
        <v/>
      </c>
      <c r="BX99" s="36">
        <f>IF(A99="","",(K99)*(IF((YEAR(D99)+15)&lt;YEAR(E99),0,IF((YEAR(D99)+15)&gt;YEAR(E99),1,(12-MONTH(E99)+1)/12)))*(1/(1+DiscountRate)^15))</f>
        <v/>
      </c>
      <c r="BY99" s="36">
        <f>IF(A99="","",(K99)*(IF((YEAR(D99)+16)&lt;YEAR(E99),0,IF((YEAR(D99)+16)&gt;YEAR(E99),1,(12-MONTH(E99)+1)/12)))*(1/(1+DiscountRate)^16))</f>
        <v/>
      </c>
      <c r="BZ99" s="36">
        <f>IF(A99="","",(K99)*(IF((YEAR(D99)+17)&lt;YEAR(E99),0,IF((YEAR(D99)+17)&gt;YEAR(E99),1,(12-MONTH(E99)+1)/12)))*(1/(1+DiscountRate)^17))</f>
        <v/>
      </c>
      <c r="CA99" s="36">
        <f>IF(A99="","",(K99)*(IF((YEAR(D99)+18)&lt;YEAR(E99),0,IF((YEAR(D99)+18)&gt;YEAR(E99),1,(12-MONTH(E99)+1)/12)))*(1/(1+DiscountRate)^18))</f>
        <v/>
      </c>
      <c r="CB99" s="36">
        <f>IF(A99="","",(K99)*(IF((YEAR(D99)+19)&lt;YEAR(E99),0,IF((YEAR(D99)+19)&gt;YEAR(E99),1,(12-MONTH(E99)+1)/12)))*(1/(1+DiscountRate)^19))</f>
        <v/>
      </c>
      <c r="CC99" s="36">
        <f>IF(A99="","",(K99)*(IF((YEAR(D99)+20)&lt;YEAR(E99),0,IF((YEAR(D99)+20)&gt;YEAR(E99),1,(12-MONTH(E99)+1)/12)))*(1/(1+DiscountRate)^20))</f>
        <v/>
      </c>
      <c r="CD99" s="29">
        <f>IF(A99="","",S99/(1+DiscountRate)^0+T99/(1+DiscountRate)^1+U99/(1+DiscountRate)^2+V99/(1+DiscountRate)^3+W99/(1+DiscountRate)^4+X99/(1+DiscountRate)^5+Y99/(1+DiscountRate)^6+Z99/(1+DiscountRate)^7+AA99/(1+DiscountRate)^8+AB99/(1+DiscountRate)^9+AC99/(1+DiscountRate)^10+AD99/(1+DiscountRate)^11+AE99/(1+DiscountRate)^12+AF99/(1+DiscountRate)^13+AG99/(1+DiscountRate)^14+AH99/(1+DiscountRate)^15+AI99/(1+DiscountRate)^16+AJ99/(1+DiscountRate)^17+AK99/(1+DiscountRate)^18+AL99/(1+DiscountRate)^19+AM99/(1+DiscountRate)^20)</f>
        <v/>
      </c>
      <c r="CE99" s="37">
        <f>IF(A99="","",IFERROR(IRR(OFFSET(S99,0,0,1,MIN(HorizonYears,20)+1)),"n/a"))</f>
        <v/>
      </c>
      <c r="CF99" s="28">
        <f>IF(A99="","",IFERROR(MATCH(TRUE,OFFSET(AN99,0,0,1,MIN(HorizonYears,20)+1)&gt;=0,0)-1,"n/a"))</f>
        <v/>
      </c>
      <c r="CG99" s="36">
        <f>IF(A99="","",SUM(OFFSET(BI99,0,0,1,MIN(HorizonYears,20)+1)))</f>
        <v/>
      </c>
      <c r="CH99" s="36">
        <f>IF(A99="","",IFERROR(-CD99/CG99,"n/a"))</f>
        <v/>
      </c>
    </row>
    <row r="100">
      <c r="A100" s="6">
        <f>Actions!A98</f>
        <v/>
      </c>
      <c r="B100" s="6">
        <f>Actions!B98</f>
        <v/>
      </c>
      <c r="C100" s="6">
        <f>Actions!D98</f>
        <v/>
      </c>
      <c r="D100" s="35">
        <f>Actions!E98</f>
        <v/>
      </c>
      <c r="E100" s="35">
        <f>Actions!F98</f>
        <v/>
      </c>
      <c r="F100" s="6">
        <f>Actions!G98</f>
        <v/>
      </c>
      <c r="G100" s="6">
        <f>Actions!H98</f>
        <v/>
      </c>
      <c r="H100" s="29">
        <f>Actions!I98</f>
        <v/>
      </c>
      <c r="I100" s="6">
        <f>Actions!J98</f>
        <v/>
      </c>
      <c r="J100" s="16">
        <f>Actions!K98</f>
        <v/>
      </c>
      <c r="K100" s="16">
        <f>IF(A100="","",IF(I100="%",H100*J100,J100))</f>
        <v/>
      </c>
      <c r="L100" s="16">
        <f>Actions!L98</f>
        <v/>
      </c>
      <c r="M100" s="6">
        <f>Actions!M98</f>
        <v/>
      </c>
      <c r="N100" s="28">
        <f>Actions!N98</f>
        <v/>
      </c>
      <c r="O100" s="29">
        <f>Actions!T98</f>
        <v/>
      </c>
      <c r="P100" s="29">
        <f>Actions!Y98</f>
        <v/>
      </c>
      <c r="Q100" s="29">
        <f>Actions!Z98</f>
        <v/>
      </c>
      <c r="R100" s="29">
        <f>Actions!AA98</f>
        <v/>
      </c>
      <c r="S100" s="29">
        <f>IF(A100="","",((K100)*(IF(M100="",L100,IFERROR(IF(INDEX(Variablen!$I:$AT, MATCH(M100, Variablen!$A:$A, 0), MATCH((YEAR(D100)+0), Variablen!$I$3:$AT$3, 0))="",L100,INDEX(Variablen!$I:$AT, MATCH(M100, Variablen!$A:$A, 0), MATCH((YEAR(D100)+0), Variablen!$I$3:$AT$3, 0))),L100)))*(IF((YEAR(D100)+0)&lt;YEAR(E100),0,IF((YEAR(D100)+0)&gt;YEAR(E100),1,(12-MONTH(E100)+1)/12))) + (Q100)*(IF((YEAR(D100)+0)&lt;YEAR(E100),0,IF((YEAR(D100)+0)&gt;YEAR(E100),1,(12-MONTH(E100)+1)/12))))-((P100)*(IF((YEAR(D100)+0)&lt;YEAR(E100),0,IF((YEAR(D100)+0)&gt;YEAR(E100),1,(12-MONTH(E100)+1)/12))) + (R100)*(IF((YEAR(D100)+0)&lt;YEAR(E100),0,IF((YEAR(D100)+0)&gt;YEAR(E100),1,(12-MONTH(E100)+1)/12))))-(IF((((K100)*(IF(M100="",L100,IFERROR(IF(INDEX(Variablen!$I:$AT, MATCH(M100, Variablen!$A:$A, 0), MATCH((YEAR(D100)+0), Variablen!$I$3:$AT$3, 0))="",L100,INDEX(Variablen!$I:$AT, MATCH(M100, Variablen!$A:$A, 0), MATCH((YEAR(D100)+0), Variablen!$I$3:$AT$3, 0))),L100)))*(IF((YEAR(D100)+0)&lt;YEAR(E100),0,IF((YEAR(D100)+0)&gt;YEAR(E100),1,(12-MONTH(E100)+1)/12))) + (Q100)*(IF((YEAR(D100)+0)&lt;YEAR(E100),0,IF((YEAR(D100)+0)&gt;YEAR(E100),1,(12-MONTH(E100)+1)/12))))-((P100)*(IF((YEAR(D100)+0)&lt;YEAR(E100),0,IF((YEAR(D100)+0)&gt;YEAR(E100),1,(12-MONTH(E100)+1)/12))) + (R100)*(IF((YEAR(D100)+0)&lt;YEAR(E100),0,IF((YEAR(D100)+0)&gt;YEAR(E100),1,(12-MONTH(E100)+1)/12))))-(IF(OR(N100="",N100&lt;=0),0,(O100/N100)*(IF(OR(N100="",N100&lt;=0),0,IF((YEAR(D100)+0)&lt;YEAR(E100),0,IF((YEAR(D100)+0)&gt;=YEAR(E100)+N100,0,IF((YEAR(D100)+0)=YEAR(E100),(12-MONTH(E100)+1)/12,1))))))))&gt;0,(((K100)*(IF(M100="",L100,IFERROR(IF(INDEX(Variablen!$I:$AT, MATCH(M100, Variablen!$A:$A, 0), MATCH((YEAR(D100)+0), Variablen!$I$3:$AT$3, 0))="",L100,INDEX(Variablen!$I:$AT, MATCH(M100, Variablen!$A:$A, 0), MATCH((YEAR(D100)+0), Variablen!$I$3:$AT$3, 0))),L100)))*(IF((YEAR(D100)+0)&lt;YEAR(E100),0,IF((YEAR(D100)+0)&gt;YEAR(E100),1,(12-MONTH(E100)+1)/12))) + (Q100)*(IF((YEAR(D100)+0)&lt;YEAR(E100),0,IF((YEAR(D100)+0)&gt;YEAR(E100),1,(12-MONTH(E100)+1)/12))))-((P100)*(IF((YEAR(D100)+0)&lt;YEAR(E100),0,IF((YEAR(D100)+0)&gt;YEAR(E100),1,(12-MONTH(E100)+1)/12))) + (R100)*(IF((YEAR(D100)+0)&lt;YEAR(E100),0,IF((YEAR(D100)+0)&gt;YEAR(E100),1,(12-MONTH(E100)+1)/12))))-(IF(OR(N100="",N100&lt;=0),0,(O100/N100)*(IF(OR(N100="",N100&lt;=0),0,IF((YEAR(D100)+0)&lt;YEAR(E100),0,IF((YEAR(D100)+0)&gt;=YEAR(E100)+N100,0,IF((YEAR(D100)+0)=YEAR(E100),(12-MONTH(E100)+1)/12,1))))))))*TaxRate,0))-IF(0=0,O100,0))</f>
        <v/>
      </c>
      <c r="T100" s="29">
        <f>IF(A100="","",((K100)*(IF(M100="",L100,IFERROR(IF(INDEX(Variablen!$I:$AT, MATCH(M100, Variablen!$A:$A, 0), MATCH((YEAR(D100)+1), Variablen!$I$3:$AT$3, 0))="",L100,INDEX(Variablen!$I:$AT, MATCH(M100, Variablen!$A:$A, 0), MATCH((YEAR(D100)+1), Variablen!$I$3:$AT$3, 0))),L100)))*(IF((YEAR(D100)+1)&lt;YEAR(E100),0,IF((YEAR(D100)+1)&gt;YEAR(E100),1,(12-MONTH(E100)+1)/12))) + (Q100)*(IF((YEAR(D100)+1)&lt;YEAR(E100),0,IF((YEAR(D100)+1)&gt;YEAR(E100),1,(12-MONTH(E100)+1)/12))))-((P100)*(IF((YEAR(D100)+1)&lt;YEAR(E100),0,IF((YEAR(D100)+1)&gt;YEAR(E100),1,(12-MONTH(E100)+1)/12))) + (R100)*(IF((YEAR(D100)+1)&lt;YEAR(E100),0,IF((YEAR(D100)+1)&gt;YEAR(E100),1,(12-MONTH(E100)+1)/12))))-(IF((((K100)*(IF(M100="",L100,IFERROR(IF(INDEX(Variablen!$I:$AT, MATCH(M100, Variablen!$A:$A, 0), MATCH((YEAR(D100)+1), Variablen!$I$3:$AT$3, 0))="",L100,INDEX(Variablen!$I:$AT, MATCH(M100, Variablen!$A:$A, 0), MATCH((YEAR(D100)+1), Variablen!$I$3:$AT$3, 0))),L100)))*(IF((YEAR(D100)+1)&lt;YEAR(E100),0,IF((YEAR(D100)+1)&gt;YEAR(E100),1,(12-MONTH(E100)+1)/12))) + (Q100)*(IF((YEAR(D100)+1)&lt;YEAR(E100),0,IF((YEAR(D100)+1)&gt;YEAR(E100),1,(12-MONTH(E100)+1)/12))))-((P100)*(IF((YEAR(D100)+1)&lt;YEAR(E100),0,IF((YEAR(D100)+1)&gt;YEAR(E100),1,(12-MONTH(E100)+1)/12))) + (R100)*(IF((YEAR(D100)+1)&lt;YEAR(E100),0,IF((YEAR(D100)+1)&gt;YEAR(E100),1,(12-MONTH(E100)+1)/12))))-(IF(OR(N100="",N100&lt;=0),0,(O100/N100)*(IF(OR(N100="",N100&lt;=0),0,IF((YEAR(D100)+1)&lt;YEAR(E100),0,IF((YEAR(D100)+1)&gt;=YEAR(E100)+N100,0,IF((YEAR(D100)+1)=YEAR(E100),(12-MONTH(E100)+1)/12,1))))))))&gt;0,(((K100)*(IF(M100="",L100,IFERROR(IF(INDEX(Variablen!$I:$AT, MATCH(M100, Variablen!$A:$A, 0), MATCH((YEAR(D100)+1), Variablen!$I$3:$AT$3, 0))="",L100,INDEX(Variablen!$I:$AT, MATCH(M100, Variablen!$A:$A, 0), MATCH((YEAR(D100)+1), Variablen!$I$3:$AT$3, 0))),L100)))*(IF((YEAR(D100)+1)&lt;YEAR(E100),0,IF((YEAR(D100)+1)&gt;YEAR(E100),1,(12-MONTH(E100)+1)/12))) + (Q100)*(IF((YEAR(D100)+1)&lt;YEAR(E100),0,IF((YEAR(D100)+1)&gt;YEAR(E100),1,(12-MONTH(E100)+1)/12))))-((P100)*(IF((YEAR(D100)+1)&lt;YEAR(E100),0,IF((YEAR(D100)+1)&gt;YEAR(E100),1,(12-MONTH(E100)+1)/12))) + (R100)*(IF((YEAR(D100)+1)&lt;YEAR(E100),0,IF((YEAR(D100)+1)&gt;YEAR(E100),1,(12-MONTH(E100)+1)/12))))-(IF(OR(N100="",N100&lt;=0),0,(O100/N100)*(IF(OR(N100="",N100&lt;=0),0,IF((YEAR(D100)+1)&lt;YEAR(E100),0,IF((YEAR(D100)+1)&gt;=YEAR(E100)+N100,0,IF((YEAR(D100)+1)=YEAR(E100),(12-MONTH(E100)+1)/12,1))))))))*TaxRate,0))-IF(1=0,O100,0))</f>
        <v/>
      </c>
      <c r="U100" s="29">
        <f>IF(A100="","",((K100)*(IF(M100="",L100,IFERROR(IF(INDEX(Variablen!$I:$AT, MATCH(M100, Variablen!$A:$A, 0), MATCH((YEAR(D100)+2), Variablen!$I$3:$AT$3, 0))="",L100,INDEX(Variablen!$I:$AT, MATCH(M100, Variablen!$A:$A, 0), MATCH((YEAR(D100)+2), Variablen!$I$3:$AT$3, 0))),L100)))*(IF((YEAR(D100)+2)&lt;YEAR(E100),0,IF((YEAR(D100)+2)&gt;YEAR(E100),1,(12-MONTH(E100)+1)/12))) + (Q100)*(IF((YEAR(D100)+2)&lt;YEAR(E100),0,IF((YEAR(D100)+2)&gt;YEAR(E100),1,(12-MONTH(E100)+1)/12))))-((P100)*(IF((YEAR(D100)+2)&lt;YEAR(E100),0,IF((YEAR(D100)+2)&gt;YEAR(E100),1,(12-MONTH(E100)+1)/12))) + (R100)*(IF((YEAR(D100)+2)&lt;YEAR(E100),0,IF((YEAR(D100)+2)&gt;YEAR(E100),1,(12-MONTH(E100)+1)/12))))-(IF((((K100)*(IF(M100="",L100,IFERROR(IF(INDEX(Variablen!$I:$AT, MATCH(M100, Variablen!$A:$A, 0), MATCH((YEAR(D100)+2), Variablen!$I$3:$AT$3, 0))="",L100,INDEX(Variablen!$I:$AT, MATCH(M100, Variablen!$A:$A, 0), MATCH((YEAR(D100)+2), Variablen!$I$3:$AT$3, 0))),L100)))*(IF((YEAR(D100)+2)&lt;YEAR(E100),0,IF((YEAR(D100)+2)&gt;YEAR(E100),1,(12-MONTH(E100)+1)/12))) + (Q100)*(IF((YEAR(D100)+2)&lt;YEAR(E100),0,IF((YEAR(D100)+2)&gt;YEAR(E100),1,(12-MONTH(E100)+1)/12))))-((P100)*(IF((YEAR(D100)+2)&lt;YEAR(E100),0,IF((YEAR(D100)+2)&gt;YEAR(E100),1,(12-MONTH(E100)+1)/12))) + (R100)*(IF((YEAR(D100)+2)&lt;YEAR(E100),0,IF((YEAR(D100)+2)&gt;YEAR(E100),1,(12-MONTH(E100)+1)/12))))-(IF(OR(N100="",N100&lt;=0),0,(O100/N100)*(IF(OR(N100="",N100&lt;=0),0,IF((YEAR(D100)+2)&lt;YEAR(E100),0,IF((YEAR(D100)+2)&gt;=YEAR(E100)+N100,0,IF((YEAR(D100)+2)=YEAR(E100),(12-MONTH(E100)+1)/12,1))))))))&gt;0,(((K100)*(IF(M100="",L100,IFERROR(IF(INDEX(Variablen!$I:$AT, MATCH(M100, Variablen!$A:$A, 0), MATCH((YEAR(D100)+2), Variablen!$I$3:$AT$3, 0))="",L100,INDEX(Variablen!$I:$AT, MATCH(M100, Variablen!$A:$A, 0), MATCH((YEAR(D100)+2), Variablen!$I$3:$AT$3, 0))),L100)))*(IF((YEAR(D100)+2)&lt;YEAR(E100),0,IF((YEAR(D100)+2)&gt;YEAR(E100),1,(12-MONTH(E100)+1)/12))) + (Q100)*(IF((YEAR(D100)+2)&lt;YEAR(E100),0,IF((YEAR(D100)+2)&gt;YEAR(E100),1,(12-MONTH(E100)+1)/12))))-((P100)*(IF((YEAR(D100)+2)&lt;YEAR(E100),0,IF((YEAR(D100)+2)&gt;YEAR(E100),1,(12-MONTH(E100)+1)/12))) + (R100)*(IF((YEAR(D100)+2)&lt;YEAR(E100),0,IF((YEAR(D100)+2)&gt;YEAR(E100),1,(12-MONTH(E100)+1)/12))))-(IF(OR(N100="",N100&lt;=0),0,(O100/N100)*(IF(OR(N100="",N100&lt;=0),0,IF((YEAR(D100)+2)&lt;YEAR(E100),0,IF((YEAR(D100)+2)&gt;=YEAR(E100)+N100,0,IF((YEAR(D100)+2)=YEAR(E100),(12-MONTH(E100)+1)/12,1))))))))*TaxRate,0))-IF(2=0,O100,0))</f>
        <v/>
      </c>
      <c r="V100" s="29">
        <f>IF(A100="","",((K100)*(IF(M100="",L100,IFERROR(IF(INDEX(Variablen!$I:$AT, MATCH(M100, Variablen!$A:$A, 0), MATCH((YEAR(D100)+3), Variablen!$I$3:$AT$3, 0))="",L100,INDEX(Variablen!$I:$AT, MATCH(M100, Variablen!$A:$A, 0), MATCH((YEAR(D100)+3), Variablen!$I$3:$AT$3, 0))),L100)))*(IF((YEAR(D100)+3)&lt;YEAR(E100),0,IF((YEAR(D100)+3)&gt;YEAR(E100),1,(12-MONTH(E100)+1)/12))) + (Q100)*(IF((YEAR(D100)+3)&lt;YEAR(E100),0,IF((YEAR(D100)+3)&gt;YEAR(E100),1,(12-MONTH(E100)+1)/12))))-((P100)*(IF((YEAR(D100)+3)&lt;YEAR(E100),0,IF((YEAR(D100)+3)&gt;YEAR(E100),1,(12-MONTH(E100)+1)/12))) + (R100)*(IF((YEAR(D100)+3)&lt;YEAR(E100),0,IF((YEAR(D100)+3)&gt;YEAR(E100),1,(12-MONTH(E100)+1)/12))))-(IF((((K100)*(IF(M100="",L100,IFERROR(IF(INDEX(Variablen!$I:$AT, MATCH(M100, Variablen!$A:$A, 0), MATCH((YEAR(D100)+3), Variablen!$I$3:$AT$3, 0))="",L100,INDEX(Variablen!$I:$AT, MATCH(M100, Variablen!$A:$A, 0), MATCH((YEAR(D100)+3), Variablen!$I$3:$AT$3, 0))),L100)))*(IF((YEAR(D100)+3)&lt;YEAR(E100),0,IF((YEAR(D100)+3)&gt;YEAR(E100),1,(12-MONTH(E100)+1)/12))) + (Q100)*(IF((YEAR(D100)+3)&lt;YEAR(E100),0,IF((YEAR(D100)+3)&gt;YEAR(E100),1,(12-MONTH(E100)+1)/12))))-((P100)*(IF((YEAR(D100)+3)&lt;YEAR(E100),0,IF((YEAR(D100)+3)&gt;YEAR(E100),1,(12-MONTH(E100)+1)/12))) + (R100)*(IF((YEAR(D100)+3)&lt;YEAR(E100),0,IF((YEAR(D100)+3)&gt;YEAR(E100),1,(12-MONTH(E100)+1)/12))))-(IF(OR(N100="",N100&lt;=0),0,(O100/N100)*(IF(OR(N100="",N100&lt;=0),0,IF((YEAR(D100)+3)&lt;YEAR(E100),0,IF((YEAR(D100)+3)&gt;=YEAR(E100)+N100,0,IF((YEAR(D100)+3)=YEAR(E100),(12-MONTH(E100)+1)/12,1))))))))&gt;0,(((K100)*(IF(M100="",L100,IFERROR(IF(INDEX(Variablen!$I:$AT, MATCH(M100, Variablen!$A:$A, 0), MATCH((YEAR(D100)+3), Variablen!$I$3:$AT$3, 0))="",L100,INDEX(Variablen!$I:$AT, MATCH(M100, Variablen!$A:$A, 0), MATCH((YEAR(D100)+3), Variablen!$I$3:$AT$3, 0))),L100)))*(IF((YEAR(D100)+3)&lt;YEAR(E100),0,IF((YEAR(D100)+3)&gt;YEAR(E100),1,(12-MONTH(E100)+1)/12))) + (Q100)*(IF((YEAR(D100)+3)&lt;YEAR(E100),0,IF((YEAR(D100)+3)&gt;YEAR(E100),1,(12-MONTH(E100)+1)/12))))-((P100)*(IF((YEAR(D100)+3)&lt;YEAR(E100),0,IF((YEAR(D100)+3)&gt;YEAR(E100),1,(12-MONTH(E100)+1)/12))) + (R100)*(IF((YEAR(D100)+3)&lt;YEAR(E100),0,IF((YEAR(D100)+3)&gt;YEAR(E100),1,(12-MONTH(E100)+1)/12))))-(IF(OR(N100="",N100&lt;=0),0,(O100/N100)*(IF(OR(N100="",N100&lt;=0),0,IF((YEAR(D100)+3)&lt;YEAR(E100),0,IF((YEAR(D100)+3)&gt;=YEAR(E100)+N100,0,IF((YEAR(D100)+3)=YEAR(E100),(12-MONTH(E100)+1)/12,1))))))))*TaxRate,0))-IF(3=0,O100,0))</f>
        <v/>
      </c>
      <c r="W100" s="29">
        <f>IF(A100="","",((K100)*(IF(M100="",L100,IFERROR(IF(INDEX(Variablen!$I:$AT, MATCH(M100, Variablen!$A:$A, 0), MATCH((YEAR(D100)+4), Variablen!$I$3:$AT$3, 0))="",L100,INDEX(Variablen!$I:$AT, MATCH(M100, Variablen!$A:$A, 0), MATCH((YEAR(D100)+4), Variablen!$I$3:$AT$3, 0))),L100)))*(IF((YEAR(D100)+4)&lt;YEAR(E100),0,IF((YEAR(D100)+4)&gt;YEAR(E100),1,(12-MONTH(E100)+1)/12))) + (Q100)*(IF((YEAR(D100)+4)&lt;YEAR(E100),0,IF((YEAR(D100)+4)&gt;YEAR(E100),1,(12-MONTH(E100)+1)/12))))-((P100)*(IF((YEAR(D100)+4)&lt;YEAR(E100),0,IF((YEAR(D100)+4)&gt;YEAR(E100),1,(12-MONTH(E100)+1)/12))) + (R100)*(IF((YEAR(D100)+4)&lt;YEAR(E100),0,IF((YEAR(D100)+4)&gt;YEAR(E100),1,(12-MONTH(E100)+1)/12))))-(IF((((K100)*(IF(M100="",L100,IFERROR(IF(INDEX(Variablen!$I:$AT, MATCH(M100, Variablen!$A:$A, 0), MATCH((YEAR(D100)+4), Variablen!$I$3:$AT$3, 0))="",L100,INDEX(Variablen!$I:$AT, MATCH(M100, Variablen!$A:$A, 0), MATCH((YEAR(D100)+4), Variablen!$I$3:$AT$3, 0))),L100)))*(IF((YEAR(D100)+4)&lt;YEAR(E100),0,IF((YEAR(D100)+4)&gt;YEAR(E100),1,(12-MONTH(E100)+1)/12))) + (Q100)*(IF((YEAR(D100)+4)&lt;YEAR(E100),0,IF((YEAR(D100)+4)&gt;YEAR(E100),1,(12-MONTH(E100)+1)/12))))-((P100)*(IF((YEAR(D100)+4)&lt;YEAR(E100),0,IF((YEAR(D100)+4)&gt;YEAR(E100),1,(12-MONTH(E100)+1)/12))) + (R100)*(IF((YEAR(D100)+4)&lt;YEAR(E100),0,IF((YEAR(D100)+4)&gt;YEAR(E100),1,(12-MONTH(E100)+1)/12))))-(IF(OR(N100="",N100&lt;=0),0,(O100/N100)*(IF(OR(N100="",N100&lt;=0),0,IF((YEAR(D100)+4)&lt;YEAR(E100),0,IF((YEAR(D100)+4)&gt;=YEAR(E100)+N100,0,IF((YEAR(D100)+4)=YEAR(E100),(12-MONTH(E100)+1)/12,1))))))))&gt;0,(((K100)*(IF(M100="",L100,IFERROR(IF(INDEX(Variablen!$I:$AT, MATCH(M100, Variablen!$A:$A, 0), MATCH((YEAR(D100)+4), Variablen!$I$3:$AT$3, 0))="",L100,INDEX(Variablen!$I:$AT, MATCH(M100, Variablen!$A:$A, 0), MATCH((YEAR(D100)+4), Variablen!$I$3:$AT$3, 0))),L100)))*(IF((YEAR(D100)+4)&lt;YEAR(E100),0,IF((YEAR(D100)+4)&gt;YEAR(E100),1,(12-MONTH(E100)+1)/12))) + (Q100)*(IF((YEAR(D100)+4)&lt;YEAR(E100),0,IF((YEAR(D100)+4)&gt;YEAR(E100),1,(12-MONTH(E100)+1)/12))))-((P100)*(IF((YEAR(D100)+4)&lt;YEAR(E100),0,IF((YEAR(D100)+4)&gt;YEAR(E100),1,(12-MONTH(E100)+1)/12))) + (R100)*(IF((YEAR(D100)+4)&lt;YEAR(E100),0,IF((YEAR(D100)+4)&gt;YEAR(E100),1,(12-MONTH(E100)+1)/12))))-(IF(OR(N100="",N100&lt;=0),0,(O100/N100)*(IF(OR(N100="",N100&lt;=0),0,IF((YEAR(D100)+4)&lt;YEAR(E100),0,IF((YEAR(D100)+4)&gt;=YEAR(E100)+N100,0,IF((YEAR(D100)+4)=YEAR(E100),(12-MONTH(E100)+1)/12,1))))))))*TaxRate,0))-IF(4=0,O100,0))</f>
        <v/>
      </c>
      <c r="X100" s="29">
        <f>IF(A100="","",((K100)*(IF(M100="",L100,IFERROR(IF(INDEX(Variablen!$I:$AT, MATCH(M100, Variablen!$A:$A, 0), MATCH((YEAR(D100)+5), Variablen!$I$3:$AT$3, 0))="",L100,INDEX(Variablen!$I:$AT, MATCH(M100, Variablen!$A:$A, 0), MATCH((YEAR(D100)+5), Variablen!$I$3:$AT$3, 0))),L100)))*(IF((YEAR(D100)+5)&lt;YEAR(E100),0,IF((YEAR(D100)+5)&gt;YEAR(E100),1,(12-MONTH(E100)+1)/12))) + (Q100)*(IF((YEAR(D100)+5)&lt;YEAR(E100),0,IF((YEAR(D100)+5)&gt;YEAR(E100),1,(12-MONTH(E100)+1)/12))))-((P100)*(IF((YEAR(D100)+5)&lt;YEAR(E100),0,IF((YEAR(D100)+5)&gt;YEAR(E100),1,(12-MONTH(E100)+1)/12))) + (R100)*(IF((YEAR(D100)+5)&lt;YEAR(E100),0,IF((YEAR(D100)+5)&gt;YEAR(E100),1,(12-MONTH(E100)+1)/12))))-(IF((((K100)*(IF(M100="",L100,IFERROR(IF(INDEX(Variablen!$I:$AT, MATCH(M100, Variablen!$A:$A, 0), MATCH((YEAR(D100)+5), Variablen!$I$3:$AT$3, 0))="",L100,INDEX(Variablen!$I:$AT, MATCH(M100, Variablen!$A:$A, 0), MATCH((YEAR(D100)+5), Variablen!$I$3:$AT$3, 0))),L100)))*(IF((YEAR(D100)+5)&lt;YEAR(E100),0,IF((YEAR(D100)+5)&gt;YEAR(E100),1,(12-MONTH(E100)+1)/12))) + (Q100)*(IF((YEAR(D100)+5)&lt;YEAR(E100),0,IF((YEAR(D100)+5)&gt;YEAR(E100),1,(12-MONTH(E100)+1)/12))))-((P100)*(IF((YEAR(D100)+5)&lt;YEAR(E100),0,IF((YEAR(D100)+5)&gt;YEAR(E100),1,(12-MONTH(E100)+1)/12))) + (R100)*(IF((YEAR(D100)+5)&lt;YEAR(E100),0,IF((YEAR(D100)+5)&gt;YEAR(E100),1,(12-MONTH(E100)+1)/12))))-(IF(OR(N100="",N100&lt;=0),0,(O100/N100)*(IF(OR(N100="",N100&lt;=0),0,IF((YEAR(D100)+5)&lt;YEAR(E100),0,IF((YEAR(D100)+5)&gt;=YEAR(E100)+N100,0,IF((YEAR(D100)+5)=YEAR(E100),(12-MONTH(E100)+1)/12,1))))))))&gt;0,(((K100)*(IF(M100="",L100,IFERROR(IF(INDEX(Variablen!$I:$AT, MATCH(M100, Variablen!$A:$A, 0), MATCH((YEAR(D100)+5), Variablen!$I$3:$AT$3, 0))="",L100,INDEX(Variablen!$I:$AT, MATCH(M100, Variablen!$A:$A, 0), MATCH((YEAR(D100)+5), Variablen!$I$3:$AT$3, 0))),L100)))*(IF((YEAR(D100)+5)&lt;YEAR(E100),0,IF((YEAR(D100)+5)&gt;YEAR(E100),1,(12-MONTH(E100)+1)/12))) + (Q100)*(IF((YEAR(D100)+5)&lt;YEAR(E100),0,IF((YEAR(D100)+5)&gt;YEAR(E100),1,(12-MONTH(E100)+1)/12))))-((P100)*(IF((YEAR(D100)+5)&lt;YEAR(E100),0,IF((YEAR(D100)+5)&gt;YEAR(E100),1,(12-MONTH(E100)+1)/12))) + (R100)*(IF((YEAR(D100)+5)&lt;YEAR(E100),0,IF((YEAR(D100)+5)&gt;YEAR(E100),1,(12-MONTH(E100)+1)/12))))-(IF(OR(N100="",N100&lt;=0),0,(O100/N100)*(IF(OR(N100="",N100&lt;=0),0,IF((YEAR(D100)+5)&lt;YEAR(E100),0,IF((YEAR(D100)+5)&gt;=YEAR(E100)+N100,0,IF((YEAR(D100)+5)=YEAR(E100),(12-MONTH(E100)+1)/12,1))))))))*TaxRate,0))-IF(5=0,O100,0))</f>
        <v/>
      </c>
      <c r="Y100" s="29">
        <f>IF(A100="","",((K100)*(IF(M100="",L100,IFERROR(IF(INDEX(Variablen!$I:$AT, MATCH(M100, Variablen!$A:$A, 0), MATCH((YEAR(D100)+6), Variablen!$I$3:$AT$3, 0))="",L100,INDEX(Variablen!$I:$AT, MATCH(M100, Variablen!$A:$A, 0), MATCH((YEAR(D100)+6), Variablen!$I$3:$AT$3, 0))),L100)))*(IF((YEAR(D100)+6)&lt;YEAR(E100),0,IF((YEAR(D100)+6)&gt;YEAR(E100),1,(12-MONTH(E100)+1)/12))) + (Q100)*(IF((YEAR(D100)+6)&lt;YEAR(E100),0,IF((YEAR(D100)+6)&gt;YEAR(E100),1,(12-MONTH(E100)+1)/12))))-((P100)*(IF((YEAR(D100)+6)&lt;YEAR(E100),0,IF((YEAR(D100)+6)&gt;YEAR(E100),1,(12-MONTH(E100)+1)/12))) + (R100)*(IF((YEAR(D100)+6)&lt;YEAR(E100),0,IF((YEAR(D100)+6)&gt;YEAR(E100),1,(12-MONTH(E100)+1)/12))))-(IF((((K100)*(IF(M100="",L100,IFERROR(IF(INDEX(Variablen!$I:$AT, MATCH(M100, Variablen!$A:$A, 0), MATCH((YEAR(D100)+6), Variablen!$I$3:$AT$3, 0))="",L100,INDEX(Variablen!$I:$AT, MATCH(M100, Variablen!$A:$A, 0), MATCH((YEAR(D100)+6), Variablen!$I$3:$AT$3, 0))),L100)))*(IF((YEAR(D100)+6)&lt;YEAR(E100),0,IF((YEAR(D100)+6)&gt;YEAR(E100),1,(12-MONTH(E100)+1)/12))) + (Q100)*(IF((YEAR(D100)+6)&lt;YEAR(E100),0,IF((YEAR(D100)+6)&gt;YEAR(E100),1,(12-MONTH(E100)+1)/12))))-((P100)*(IF((YEAR(D100)+6)&lt;YEAR(E100),0,IF((YEAR(D100)+6)&gt;YEAR(E100),1,(12-MONTH(E100)+1)/12))) + (R100)*(IF((YEAR(D100)+6)&lt;YEAR(E100),0,IF((YEAR(D100)+6)&gt;YEAR(E100),1,(12-MONTH(E100)+1)/12))))-(IF(OR(N100="",N100&lt;=0),0,(O100/N100)*(IF(OR(N100="",N100&lt;=0),0,IF((YEAR(D100)+6)&lt;YEAR(E100),0,IF((YEAR(D100)+6)&gt;=YEAR(E100)+N100,0,IF((YEAR(D100)+6)=YEAR(E100),(12-MONTH(E100)+1)/12,1))))))))&gt;0,(((K100)*(IF(M100="",L100,IFERROR(IF(INDEX(Variablen!$I:$AT, MATCH(M100, Variablen!$A:$A, 0), MATCH((YEAR(D100)+6), Variablen!$I$3:$AT$3, 0))="",L100,INDEX(Variablen!$I:$AT, MATCH(M100, Variablen!$A:$A, 0), MATCH((YEAR(D100)+6), Variablen!$I$3:$AT$3, 0))),L100)))*(IF((YEAR(D100)+6)&lt;YEAR(E100),0,IF((YEAR(D100)+6)&gt;YEAR(E100),1,(12-MONTH(E100)+1)/12))) + (Q100)*(IF((YEAR(D100)+6)&lt;YEAR(E100),0,IF((YEAR(D100)+6)&gt;YEAR(E100),1,(12-MONTH(E100)+1)/12))))-((P100)*(IF((YEAR(D100)+6)&lt;YEAR(E100),0,IF((YEAR(D100)+6)&gt;YEAR(E100),1,(12-MONTH(E100)+1)/12))) + (R100)*(IF((YEAR(D100)+6)&lt;YEAR(E100),0,IF((YEAR(D100)+6)&gt;YEAR(E100),1,(12-MONTH(E100)+1)/12))))-(IF(OR(N100="",N100&lt;=0),0,(O100/N100)*(IF(OR(N100="",N100&lt;=0),0,IF((YEAR(D100)+6)&lt;YEAR(E100),0,IF((YEAR(D100)+6)&gt;=YEAR(E100)+N100,0,IF((YEAR(D100)+6)=YEAR(E100),(12-MONTH(E100)+1)/12,1))))))))*TaxRate,0))-IF(6=0,O100,0))</f>
        <v/>
      </c>
      <c r="Z100" s="29">
        <f>IF(A100="","",((K100)*(IF(M100="",L100,IFERROR(IF(INDEX(Variablen!$I:$AT, MATCH(M100, Variablen!$A:$A, 0), MATCH((YEAR(D100)+7), Variablen!$I$3:$AT$3, 0))="",L100,INDEX(Variablen!$I:$AT, MATCH(M100, Variablen!$A:$A, 0), MATCH((YEAR(D100)+7), Variablen!$I$3:$AT$3, 0))),L100)))*(IF((YEAR(D100)+7)&lt;YEAR(E100),0,IF((YEAR(D100)+7)&gt;YEAR(E100),1,(12-MONTH(E100)+1)/12))) + (Q100)*(IF((YEAR(D100)+7)&lt;YEAR(E100),0,IF((YEAR(D100)+7)&gt;YEAR(E100),1,(12-MONTH(E100)+1)/12))))-((P100)*(IF((YEAR(D100)+7)&lt;YEAR(E100),0,IF((YEAR(D100)+7)&gt;YEAR(E100),1,(12-MONTH(E100)+1)/12))) + (R100)*(IF((YEAR(D100)+7)&lt;YEAR(E100),0,IF((YEAR(D100)+7)&gt;YEAR(E100),1,(12-MONTH(E100)+1)/12))))-(IF((((K100)*(IF(M100="",L100,IFERROR(IF(INDEX(Variablen!$I:$AT, MATCH(M100, Variablen!$A:$A, 0), MATCH((YEAR(D100)+7), Variablen!$I$3:$AT$3, 0))="",L100,INDEX(Variablen!$I:$AT, MATCH(M100, Variablen!$A:$A, 0), MATCH((YEAR(D100)+7), Variablen!$I$3:$AT$3, 0))),L100)))*(IF((YEAR(D100)+7)&lt;YEAR(E100),0,IF((YEAR(D100)+7)&gt;YEAR(E100),1,(12-MONTH(E100)+1)/12))) + (Q100)*(IF((YEAR(D100)+7)&lt;YEAR(E100),0,IF((YEAR(D100)+7)&gt;YEAR(E100),1,(12-MONTH(E100)+1)/12))))-((P100)*(IF((YEAR(D100)+7)&lt;YEAR(E100),0,IF((YEAR(D100)+7)&gt;YEAR(E100),1,(12-MONTH(E100)+1)/12))) + (R100)*(IF((YEAR(D100)+7)&lt;YEAR(E100),0,IF((YEAR(D100)+7)&gt;YEAR(E100),1,(12-MONTH(E100)+1)/12))))-(IF(OR(N100="",N100&lt;=0),0,(O100/N100)*(IF(OR(N100="",N100&lt;=0),0,IF((YEAR(D100)+7)&lt;YEAR(E100),0,IF((YEAR(D100)+7)&gt;=YEAR(E100)+N100,0,IF((YEAR(D100)+7)=YEAR(E100),(12-MONTH(E100)+1)/12,1))))))))&gt;0,(((K100)*(IF(M100="",L100,IFERROR(IF(INDEX(Variablen!$I:$AT, MATCH(M100, Variablen!$A:$A, 0), MATCH((YEAR(D100)+7), Variablen!$I$3:$AT$3, 0))="",L100,INDEX(Variablen!$I:$AT, MATCH(M100, Variablen!$A:$A, 0), MATCH((YEAR(D100)+7), Variablen!$I$3:$AT$3, 0))),L100)))*(IF((YEAR(D100)+7)&lt;YEAR(E100),0,IF((YEAR(D100)+7)&gt;YEAR(E100),1,(12-MONTH(E100)+1)/12))) + (Q100)*(IF((YEAR(D100)+7)&lt;YEAR(E100),0,IF((YEAR(D100)+7)&gt;YEAR(E100),1,(12-MONTH(E100)+1)/12))))-((P100)*(IF((YEAR(D100)+7)&lt;YEAR(E100),0,IF((YEAR(D100)+7)&gt;YEAR(E100),1,(12-MONTH(E100)+1)/12))) + (R100)*(IF((YEAR(D100)+7)&lt;YEAR(E100),0,IF((YEAR(D100)+7)&gt;YEAR(E100),1,(12-MONTH(E100)+1)/12))))-(IF(OR(N100="",N100&lt;=0),0,(O100/N100)*(IF(OR(N100="",N100&lt;=0),0,IF((YEAR(D100)+7)&lt;YEAR(E100),0,IF((YEAR(D100)+7)&gt;=YEAR(E100)+N100,0,IF((YEAR(D100)+7)=YEAR(E100),(12-MONTH(E100)+1)/12,1))))))))*TaxRate,0))-IF(7=0,O100,0))</f>
        <v/>
      </c>
      <c r="AA100" s="29">
        <f>IF(A100="","",((K100)*(IF(M100="",L100,IFERROR(IF(INDEX(Variablen!$I:$AT, MATCH(M100, Variablen!$A:$A, 0), MATCH((YEAR(D100)+8), Variablen!$I$3:$AT$3, 0))="",L100,INDEX(Variablen!$I:$AT, MATCH(M100, Variablen!$A:$A, 0), MATCH((YEAR(D100)+8), Variablen!$I$3:$AT$3, 0))),L100)))*(IF((YEAR(D100)+8)&lt;YEAR(E100),0,IF((YEAR(D100)+8)&gt;YEAR(E100),1,(12-MONTH(E100)+1)/12))) + (Q100)*(IF((YEAR(D100)+8)&lt;YEAR(E100),0,IF((YEAR(D100)+8)&gt;YEAR(E100),1,(12-MONTH(E100)+1)/12))))-((P100)*(IF((YEAR(D100)+8)&lt;YEAR(E100),0,IF((YEAR(D100)+8)&gt;YEAR(E100),1,(12-MONTH(E100)+1)/12))) + (R100)*(IF((YEAR(D100)+8)&lt;YEAR(E100),0,IF((YEAR(D100)+8)&gt;YEAR(E100),1,(12-MONTH(E100)+1)/12))))-(IF((((K100)*(IF(M100="",L100,IFERROR(IF(INDEX(Variablen!$I:$AT, MATCH(M100, Variablen!$A:$A, 0), MATCH((YEAR(D100)+8), Variablen!$I$3:$AT$3, 0))="",L100,INDEX(Variablen!$I:$AT, MATCH(M100, Variablen!$A:$A, 0), MATCH((YEAR(D100)+8), Variablen!$I$3:$AT$3, 0))),L100)))*(IF((YEAR(D100)+8)&lt;YEAR(E100),0,IF((YEAR(D100)+8)&gt;YEAR(E100),1,(12-MONTH(E100)+1)/12))) + (Q100)*(IF((YEAR(D100)+8)&lt;YEAR(E100),0,IF((YEAR(D100)+8)&gt;YEAR(E100),1,(12-MONTH(E100)+1)/12))))-((P100)*(IF((YEAR(D100)+8)&lt;YEAR(E100),0,IF((YEAR(D100)+8)&gt;YEAR(E100),1,(12-MONTH(E100)+1)/12))) + (R100)*(IF((YEAR(D100)+8)&lt;YEAR(E100),0,IF((YEAR(D100)+8)&gt;YEAR(E100),1,(12-MONTH(E100)+1)/12))))-(IF(OR(N100="",N100&lt;=0),0,(O100/N100)*(IF(OR(N100="",N100&lt;=0),0,IF((YEAR(D100)+8)&lt;YEAR(E100),0,IF((YEAR(D100)+8)&gt;=YEAR(E100)+N100,0,IF((YEAR(D100)+8)=YEAR(E100),(12-MONTH(E100)+1)/12,1))))))))&gt;0,(((K100)*(IF(M100="",L100,IFERROR(IF(INDEX(Variablen!$I:$AT, MATCH(M100, Variablen!$A:$A, 0), MATCH((YEAR(D100)+8), Variablen!$I$3:$AT$3, 0))="",L100,INDEX(Variablen!$I:$AT, MATCH(M100, Variablen!$A:$A, 0), MATCH((YEAR(D100)+8), Variablen!$I$3:$AT$3, 0))),L100)))*(IF((YEAR(D100)+8)&lt;YEAR(E100),0,IF((YEAR(D100)+8)&gt;YEAR(E100),1,(12-MONTH(E100)+1)/12))) + (Q100)*(IF((YEAR(D100)+8)&lt;YEAR(E100),0,IF((YEAR(D100)+8)&gt;YEAR(E100),1,(12-MONTH(E100)+1)/12))))-((P100)*(IF((YEAR(D100)+8)&lt;YEAR(E100),0,IF((YEAR(D100)+8)&gt;YEAR(E100),1,(12-MONTH(E100)+1)/12))) + (R100)*(IF((YEAR(D100)+8)&lt;YEAR(E100),0,IF((YEAR(D100)+8)&gt;YEAR(E100),1,(12-MONTH(E100)+1)/12))))-(IF(OR(N100="",N100&lt;=0),0,(O100/N100)*(IF(OR(N100="",N100&lt;=0),0,IF((YEAR(D100)+8)&lt;YEAR(E100),0,IF((YEAR(D100)+8)&gt;=YEAR(E100)+N100,0,IF((YEAR(D100)+8)=YEAR(E100),(12-MONTH(E100)+1)/12,1))))))))*TaxRate,0))-IF(8=0,O100,0))</f>
        <v/>
      </c>
      <c r="AB100" s="29">
        <f>IF(A100="","",((K100)*(IF(M100="",L100,IFERROR(IF(INDEX(Variablen!$I:$AT, MATCH(M100, Variablen!$A:$A, 0), MATCH((YEAR(D100)+9), Variablen!$I$3:$AT$3, 0))="",L100,INDEX(Variablen!$I:$AT, MATCH(M100, Variablen!$A:$A, 0), MATCH((YEAR(D100)+9), Variablen!$I$3:$AT$3, 0))),L100)))*(IF((YEAR(D100)+9)&lt;YEAR(E100),0,IF((YEAR(D100)+9)&gt;YEAR(E100),1,(12-MONTH(E100)+1)/12))) + (Q100)*(IF((YEAR(D100)+9)&lt;YEAR(E100),0,IF((YEAR(D100)+9)&gt;YEAR(E100),1,(12-MONTH(E100)+1)/12))))-((P100)*(IF((YEAR(D100)+9)&lt;YEAR(E100),0,IF((YEAR(D100)+9)&gt;YEAR(E100),1,(12-MONTH(E100)+1)/12))) + (R100)*(IF((YEAR(D100)+9)&lt;YEAR(E100),0,IF((YEAR(D100)+9)&gt;YEAR(E100),1,(12-MONTH(E100)+1)/12))))-(IF((((K100)*(IF(M100="",L100,IFERROR(IF(INDEX(Variablen!$I:$AT, MATCH(M100, Variablen!$A:$A, 0), MATCH((YEAR(D100)+9), Variablen!$I$3:$AT$3, 0))="",L100,INDEX(Variablen!$I:$AT, MATCH(M100, Variablen!$A:$A, 0), MATCH((YEAR(D100)+9), Variablen!$I$3:$AT$3, 0))),L100)))*(IF((YEAR(D100)+9)&lt;YEAR(E100),0,IF((YEAR(D100)+9)&gt;YEAR(E100),1,(12-MONTH(E100)+1)/12))) + (Q100)*(IF((YEAR(D100)+9)&lt;YEAR(E100),0,IF((YEAR(D100)+9)&gt;YEAR(E100),1,(12-MONTH(E100)+1)/12))))-((P100)*(IF((YEAR(D100)+9)&lt;YEAR(E100),0,IF((YEAR(D100)+9)&gt;YEAR(E100),1,(12-MONTH(E100)+1)/12))) + (R100)*(IF((YEAR(D100)+9)&lt;YEAR(E100),0,IF((YEAR(D100)+9)&gt;YEAR(E100),1,(12-MONTH(E100)+1)/12))))-(IF(OR(N100="",N100&lt;=0),0,(O100/N100)*(IF(OR(N100="",N100&lt;=0),0,IF((YEAR(D100)+9)&lt;YEAR(E100),0,IF((YEAR(D100)+9)&gt;=YEAR(E100)+N100,0,IF((YEAR(D100)+9)=YEAR(E100),(12-MONTH(E100)+1)/12,1))))))))&gt;0,(((K100)*(IF(M100="",L100,IFERROR(IF(INDEX(Variablen!$I:$AT, MATCH(M100, Variablen!$A:$A, 0), MATCH((YEAR(D100)+9), Variablen!$I$3:$AT$3, 0))="",L100,INDEX(Variablen!$I:$AT, MATCH(M100, Variablen!$A:$A, 0), MATCH((YEAR(D100)+9), Variablen!$I$3:$AT$3, 0))),L100)))*(IF((YEAR(D100)+9)&lt;YEAR(E100),0,IF((YEAR(D100)+9)&gt;YEAR(E100),1,(12-MONTH(E100)+1)/12))) + (Q100)*(IF((YEAR(D100)+9)&lt;YEAR(E100),0,IF((YEAR(D100)+9)&gt;YEAR(E100),1,(12-MONTH(E100)+1)/12))))-((P100)*(IF((YEAR(D100)+9)&lt;YEAR(E100),0,IF((YEAR(D100)+9)&gt;YEAR(E100),1,(12-MONTH(E100)+1)/12))) + (R100)*(IF((YEAR(D100)+9)&lt;YEAR(E100),0,IF((YEAR(D100)+9)&gt;YEAR(E100),1,(12-MONTH(E100)+1)/12))))-(IF(OR(N100="",N100&lt;=0),0,(O100/N100)*(IF(OR(N100="",N100&lt;=0),0,IF((YEAR(D100)+9)&lt;YEAR(E100),0,IF((YEAR(D100)+9)&gt;=YEAR(E100)+N100,0,IF((YEAR(D100)+9)=YEAR(E100),(12-MONTH(E100)+1)/12,1))))))))*TaxRate,0))-IF(9=0,O100,0))</f>
        <v/>
      </c>
      <c r="AC100" s="29">
        <f>IF(A100="","",((K100)*(IF(M100="",L100,IFERROR(IF(INDEX(Variablen!$I:$AT, MATCH(M100, Variablen!$A:$A, 0), MATCH((YEAR(D100)+10), Variablen!$I$3:$AT$3, 0))="",L100,INDEX(Variablen!$I:$AT, MATCH(M100, Variablen!$A:$A, 0), MATCH((YEAR(D100)+10), Variablen!$I$3:$AT$3, 0))),L100)))*(IF((YEAR(D100)+10)&lt;YEAR(E100),0,IF((YEAR(D100)+10)&gt;YEAR(E100),1,(12-MONTH(E100)+1)/12))) + (Q100)*(IF((YEAR(D100)+10)&lt;YEAR(E100),0,IF((YEAR(D100)+10)&gt;YEAR(E100),1,(12-MONTH(E100)+1)/12))))-((P100)*(IF((YEAR(D100)+10)&lt;YEAR(E100),0,IF((YEAR(D100)+10)&gt;YEAR(E100),1,(12-MONTH(E100)+1)/12))) + (R100)*(IF((YEAR(D100)+10)&lt;YEAR(E100),0,IF((YEAR(D100)+10)&gt;YEAR(E100),1,(12-MONTH(E100)+1)/12))))-(IF((((K100)*(IF(M100="",L100,IFERROR(IF(INDEX(Variablen!$I:$AT, MATCH(M100, Variablen!$A:$A, 0), MATCH((YEAR(D100)+10), Variablen!$I$3:$AT$3, 0))="",L100,INDEX(Variablen!$I:$AT, MATCH(M100, Variablen!$A:$A, 0), MATCH((YEAR(D100)+10), Variablen!$I$3:$AT$3, 0))),L100)))*(IF((YEAR(D100)+10)&lt;YEAR(E100),0,IF((YEAR(D100)+10)&gt;YEAR(E100),1,(12-MONTH(E100)+1)/12))) + (Q100)*(IF((YEAR(D100)+10)&lt;YEAR(E100),0,IF((YEAR(D100)+10)&gt;YEAR(E100),1,(12-MONTH(E100)+1)/12))))-((P100)*(IF((YEAR(D100)+10)&lt;YEAR(E100),0,IF((YEAR(D100)+10)&gt;YEAR(E100),1,(12-MONTH(E100)+1)/12))) + (R100)*(IF((YEAR(D100)+10)&lt;YEAR(E100),0,IF((YEAR(D100)+10)&gt;YEAR(E100),1,(12-MONTH(E100)+1)/12))))-(IF(OR(N100="",N100&lt;=0),0,(O100/N100)*(IF(OR(N100="",N100&lt;=0),0,IF((YEAR(D100)+10)&lt;YEAR(E100),0,IF((YEAR(D100)+10)&gt;=YEAR(E100)+N100,0,IF((YEAR(D100)+10)=YEAR(E100),(12-MONTH(E100)+1)/12,1))))))))&gt;0,(((K100)*(IF(M100="",L100,IFERROR(IF(INDEX(Variablen!$I:$AT, MATCH(M100, Variablen!$A:$A, 0), MATCH((YEAR(D100)+10), Variablen!$I$3:$AT$3, 0))="",L100,INDEX(Variablen!$I:$AT, MATCH(M100, Variablen!$A:$A, 0), MATCH((YEAR(D100)+10), Variablen!$I$3:$AT$3, 0))),L100)))*(IF((YEAR(D100)+10)&lt;YEAR(E100),0,IF((YEAR(D100)+10)&gt;YEAR(E100),1,(12-MONTH(E100)+1)/12))) + (Q100)*(IF((YEAR(D100)+10)&lt;YEAR(E100),0,IF((YEAR(D100)+10)&gt;YEAR(E100),1,(12-MONTH(E100)+1)/12))))-((P100)*(IF((YEAR(D100)+10)&lt;YEAR(E100),0,IF((YEAR(D100)+10)&gt;YEAR(E100),1,(12-MONTH(E100)+1)/12))) + (R100)*(IF((YEAR(D100)+10)&lt;YEAR(E100),0,IF((YEAR(D100)+10)&gt;YEAR(E100),1,(12-MONTH(E100)+1)/12))))-(IF(OR(N100="",N100&lt;=0),0,(O100/N100)*(IF(OR(N100="",N100&lt;=0),0,IF((YEAR(D100)+10)&lt;YEAR(E100),0,IF((YEAR(D100)+10)&gt;=YEAR(E100)+N100,0,IF((YEAR(D100)+10)=YEAR(E100),(12-MONTH(E100)+1)/12,1))))))))*TaxRate,0))-IF(10=0,O100,0))</f>
        <v/>
      </c>
      <c r="AD100" s="29">
        <f>IF(A100="","",((K100)*(IF(M100="",L100,IFERROR(IF(INDEX(Variablen!$I:$AT, MATCH(M100, Variablen!$A:$A, 0), MATCH((YEAR(D100)+11), Variablen!$I$3:$AT$3, 0))="",L100,INDEX(Variablen!$I:$AT, MATCH(M100, Variablen!$A:$A, 0), MATCH((YEAR(D100)+11), Variablen!$I$3:$AT$3, 0))),L100)))*(IF((YEAR(D100)+11)&lt;YEAR(E100),0,IF((YEAR(D100)+11)&gt;YEAR(E100),1,(12-MONTH(E100)+1)/12))) + (Q100)*(IF((YEAR(D100)+11)&lt;YEAR(E100),0,IF((YEAR(D100)+11)&gt;YEAR(E100),1,(12-MONTH(E100)+1)/12))))-((P100)*(IF((YEAR(D100)+11)&lt;YEAR(E100),0,IF((YEAR(D100)+11)&gt;YEAR(E100),1,(12-MONTH(E100)+1)/12))) + (R100)*(IF((YEAR(D100)+11)&lt;YEAR(E100),0,IF((YEAR(D100)+11)&gt;YEAR(E100),1,(12-MONTH(E100)+1)/12))))-(IF((((K100)*(IF(M100="",L100,IFERROR(IF(INDEX(Variablen!$I:$AT, MATCH(M100, Variablen!$A:$A, 0), MATCH((YEAR(D100)+11), Variablen!$I$3:$AT$3, 0))="",L100,INDEX(Variablen!$I:$AT, MATCH(M100, Variablen!$A:$A, 0), MATCH((YEAR(D100)+11), Variablen!$I$3:$AT$3, 0))),L100)))*(IF((YEAR(D100)+11)&lt;YEAR(E100),0,IF((YEAR(D100)+11)&gt;YEAR(E100),1,(12-MONTH(E100)+1)/12))) + (Q100)*(IF((YEAR(D100)+11)&lt;YEAR(E100),0,IF((YEAR(D100)+11)&gt;YEAR(E100),1,(12-MONTH(E100)+1)/12))))-((P100)*(IF((YEAR(D100)+11)&lt;YEAR(E100),0,IF((YEAR(D100)+11)&gt;YEAR(E100),1,(12-MONTH(E100)+1)/12))) + (R100)*(IF((YEAR(D100)+11)&lt;YEAR(E100),0,IF((YEAR(D100)+11)&gt;YEAR(E100),1,(12-MONTH(E100)+1)/12))))-(IF(OR(N100="",N100&lt;=0),0,(O100/N100)*(IF(OR(N100="",N100&lt;=0),0,IF((YEAR(D100)+11)&lt;YEAR(E100),0,IF((YEAR(D100)+11)&gt;=YEAR(E100)+N100,0,IF((YEAR(D100)+11)=YEAR(E100),(12-MONTH(E100)+1)/12,1))))))))&gt;0,(((K100)*(IF(M100="",L100,IFERROR(IF(INDEX(Variablen!$I:$AT, MATCH(M100, Variablen!$A:$A, 0), MATCH((YEAR(D100)+11), Variablen!$I$3:$AT$3, 0))="",L100,INDEX(Variablen!$I:$AT, MATCH(M100, Variablen!$A:$A, 0), MATCH((YEAR(D100)+11), Variablen!$I$3:$AT$3, 0))),L100)))*(IF((YEAR(D100)+11)&lt;YEAR(E100),0,IF((YEAR(D100)+11)&gt;YEAR(E100),1,(12-MONTH(E100)+1)/12))) + (Q100)*(IF((YEAR(D100)+11)&lt;YEAR(E100),0,IF((YEAR(D100)+11)&gt;YEAR(E100),1,(12-MONTH(E100)+1)/12))))-((P100)*(IF((YEAR(D100)+11)&lt;YEAR(E100),0,IF((YEAR(D100)+11)&gt;YEAR(E100),1,(12-MONTH(E100)+1)/12))) + (R100)*(IF((YEAR(D100)+11)&lt;YEAR(E100),0,IF((YEAR(D100)+11)&gt;YEAR(E100),1,(12-MONTH(E100)+1)/12))))-(IF(OR(N100="",N100&lt;=0),0,(O100/N100)*(IF(OR(N100="",N100&lt;=0),0,IF((YEAR(D100)+11)&lt;YEAR(E100),0,IF((YEAR(D100)+11)&gt;=YEAR(E100)+N100,0,IF((YEAR(D100)+11)=YEAR(E100),(12-MONTH(E100)+1)/12,1))))))))*TaxRate,0))-IF(11=0,O100,0))</f>
        <v/>
      </c>
      <c r="AE100" s="29">
        <f>IF(A100="","",((K100)*(IF(M100="",L100,IFERROR(IF(INDEX(Variablen!$I:$AT, MATCH(M100, Variablen!$A:$A, 0), MATCH((YEAR(D100)+12), Variablen!$I$3:$AT$3, 0))="",L100,INDEX(Variablen!$I:$AT, MATCH(M100, Variablen!$A:$A, 0), MATCH((YEAR(D100)+12), Variablen!$I$3:$AT$3, 0))),L100)))*(IF((YEAR(D100)+12)&lt;YEAR(E100),0,IF((YEAR(D100)+12)&gt;YEAR(E100),1,(12-MONTH(E100)+1)/12))) + (Q100)*(IF((YEAR(D100)+12)&lt;YEAR(E100),0,IF((YEAR(D100)+12)&gt;YEAR(E100),1,(12-MONTH(E100)+1)/12))))-((P100)*(IF((YEAR(D100)+12)&lt;YEAR(E100),0,IF((YEAR(D100)+12)&gt;YEAR(E100),1,(12-MONTH(E100)+1)/12))) + (R100)*(IF((YEAR(D100)+12)&lt;YEAR(E100),0,IF((YEAR(D100)+12)&gt;YEAR(E100),1,(12-MONTH(E100)+1)/12))))-(IF((((K100)*(IF(M100="",L100,IFERROR(IF(INDEX(Variablen!$I:$AT, MATCH(M100, Variablen!$A:$A, 0), MATCH((YEAR(D100)+12), Variablen!$I$3:$AT$3, 0))="",L100,INDEX(Variablen!$I:$AT, MATCH(M100, Variablen!$A:$A, 0), MATCH((YEAR(D100)+12), Variablen!$I$3:$AT$3, 0))),L100)))*(IF((YEAR(D100)+12)&lt;YEAR(E100),0,IF((YEAR(D100)+12)&gt;YEAR(E100),1,(12-MONTH(E100)+1)/12))) + (Q100)*(IF((YEAR(D100)+12)&lt;YEAR(E100),0,IF((YEAR(D100)+12)&gt;YEAR(E100),1,(12-MONTH(E100)+1)/12))))-((P100)*(IF((YEAR(D100)+12)&lt;YEAR(E100),0,IF((YEAR(D100)+12)&gt;YEAR(E100),1,(12-MONTH(E100)+1)/12))) + (R100)*(IF((YEAR(D100)+12)&lt;YEAR(E100),0,IF((YEAR(D100)+12)&gt;YEAR(E100),1,(12-MONTH(E100)+1)/12))))-(IF(OR(N100="",N100&lt;=0),0,(O100/N100)*(IF(OR(N100="",N100&lt;=0),0,IF((YEAR(D100)+12)&lt;YEAR(E100),0,IF((YEAR(D100)+12)&gt;=YEAR(E100)+N100,0,IF((YEAR(D100)+12)=YEAR(E100),(12-MONTH(E100)+1)/12,1))))))))&gt;0,(((K100)*(IF(M100="",L100,IFERROR(IF(INDEX(Variablen!$I:$AT, MATCH(M100, Variablen!$A:$A, 0), MATCH((YEAR(D100)+12), Variablen!$I$3:$AT$3, 0))="",L100,INDEX(Variablen!$I:$AT, MATCH(M100, Variablen!$A:$A, 0), MATCH((YEAR(D100)+12), Variablen!$I$3:$AT$3, 0))),L100)))*(IF((YEAR(D100)+12)&lt;YEAR(E100),0,IF((YEAR(D100)+12)&gt;YEAR(E100),1,(12-MONTH(E100)+1)/12))) + (Q100)*(IF((YEAR(D100)+12)&lt;YEAR(E100),0,IF((YEAR(D100)+12)&gt;YEAR(E100),1,(12-MONTH(E100)+1)/12))))-((P100)*(IF((YEAR(D100)+12)&lt;YEAR(E100),0,IF((YEAR(D100)+12)&gt;YEAR(E100),1,(12-MONTH(E100)+1)/12))) + (R100)*(IF((YEAR(D100)+12)&lt;YEAR(E100),0,IF((YEAR(D100)+12)&gt;YEAR(E100),1,(12-MONTH(E100)+1)/12))))-(IF(OR(N100="",N100&lt;=0),0,(O100/N100)*(IF(OR(N100="",N100&lt;=0),0,IF((YEAR(D100)+12)&lt;YEAR(E100),0,IF((YEAR(D100)+12)&gt;=YEAR(E100)+N100,0,IF((YEAR(D100)+12)=YEAR(E100),(12-MONTH(E100)+1)/12,1))))))))*TaxRate,0))-IF(12=0,O100,0))</f>
        <v/>
      </c>
      <c r="AF100" s="29">
        <f>IF(A100="","",((K100)*(IF(M100="",L100,IFERROR(IF(INDEX(Variablen!$I:$AT, MATCH(M100, Variablen!$A:$A, 0), MATCH((YEAR(D100)+13), Variablen!$I$3:$AT$3, 0))="",L100,INDEX(Variablen!$I:$AT, MATCH(M100, Variablen!$A:$A, 0), MATCH((YEAR(D100)+13), Variablen!$I$3:$AT$3, 0))),L100)))*(IF((YEAR(D100)+13)&lt;YEAR(E100),0,IF((YEAR(D100)+13)&gt;YEAR(E100),1,(12-MONTH(E100)+1)/12))) + (Q100)*(IF((YEAR(D100)+13)&lt;YEAR(E100),0,IF((YEAR(D100)+13)&gt;YEAR(E100),1,(12-MONTH(E100)+1)/12))))-((P100)*(IF((YEAR(D100)+13)&lt;YEAR(E100),0,IF((YEAR(D100)+13)&gt;YEAR(E100),1,(12-MONTH(E100)+1)/12))) + (R100)*(IF((YEAR(D100)+13)&lt;YEAR(E100),0,IF((YEAR(D100)+13)&gt;YEAR(E100),1,(12-MONTH(E100)+1)/12))))-(IF((((K100)*(IF(M100="",L100,IFERROR(IF(INDEX(Variablen!$I:$AT, MATCH(M100, Variablen!$A:$A, 0), MATCH((YEAR(D100)+13), Variablen!$I$3:$AT$3, 0))="",L100,INDEX(Variablen!$I:$AT, MATCH(M100, Variablen!$A:$A, 0), MATCH((YEAR(D100)+13), Variablen!$I$3:$AT$3, 0))),L100)))*(IF((YEAR(D100)+13)&lt;YEAR(E100),0,IF((YEAR(D100)+13)&gt;YEAR(E100),1,(12-MONTH(E100)+1)/12))) + (Q100)*(IF((YEAR(D100)+13)&lt;YEAR(E100),0,IF((YEAR(D100)+13)&gt;YEAR(E100),1,(12-MONTH(E100)+1)/12))))-((P100)*(IF((YEAR(D100)+13)&lt;YEAR(E100),0,IF((YEAR(D100)+13)&gt;YEAR(E100),1,(12-MONTH(E100)+1)/12))) + (R100)*(IF((YEAR(D100)+13)&lt;YEAR(E100),0,IF((YEAR(D100)+13)&gt;YEAR(E100),1,(12-MONTH(E100)+1)/12))))-(IF(OR(N100="",N100&lt;=0),0,(O100/N100)*(IF(OR(N100="",N100&lt;=0),0,IF((YEAR(D100)+13)&lt;YEAR(E100),0,IF((YEAR(D100)+13)&gt;=YEAR(E100)+N100,0,IF((YEAR(D100)+13)=YEAR(E100),(12-MONTH(E100)+1)/12,1))))))))&gt;0,(((K100)*(IF(M100="",L100,IFERROR(IF(INDEX(Variablen!$I:$AT, MATCH(M100, Variablen!$A:$A, 0), MATCH((YEAR(D100)+13), Variablen!$I$3:$AT$3, 0))="",L100,INDEX(Variablen!$I:$AT, MATCH(M100, Variablen!$A:$A, 0), MATCH((YEAR(D100)+13), Variablen!$I$3:$AT$3, 0))),L100)))*(IF((YEAR(D100)+13)&lt;YEAR(E100),0,IF((YEAR(D100)+13)&gt;YEAR(E100),1,(12-MONTH(E100)+1)/12))) + (Q100)*(IF((YEAR(D100)+13)&lt;YEAR(E100),0,IF((YEAR(D100)+13)&gt;YEAR(E100),1,(12-MONTH(E100)+1)/12))))-((P100)*(IF((YEAR(D100)+13)&lt;YEAR(E100),0,IF((YEAR(D100)+13)&gt;YEAR(E100),1,(12-MONTH(E100)+1)/12))) + (R100)*(IF((YEAR(D100)+13)&lt;YEAR(E100),0,IF((YEAR(D100)+13)&gt;YEAR(E100),1,(12-MONTH(E100)+1)/12))))-(IF(OR(N100="",N100&lt;=0),0,(O100/N100)*(IF(OR(N100="",N100&lt;=0),0,IF((YEAR(D100)+13)&lt;YEAR(E100),0,IF((YEAR(D100)+13)&gt;=YEAR(E100)+N100,0,IF((YEAR(D100)+13)=YEAR(E100),(12-MONTH(E100)+1)/12,1))))))))*TaxRate,0))-IF(13=0,O100,0))</f>
        <v/>
      </c>
      <c r="AG100" s="29">
        <f>IF(A100="","",((K100)*(IF(M100="",L100,IFERROR(IF(INDEX(Variablen!$I:$AT, MATCH(M100, Variablen!$A:$A, 0), MATCH((YEAR(D100)+14), Variablen!$I$3:$AT$3, 0))="",L100,INDEX(Variablen!$I:$AT, MATCH(M100, Variablen!$A:$A, 0), MATCH((YEAR(D100)+14), Variablen!$I$3:$AT$3, 0))),L100)))*(IF((YEAR(D100)+14)&lt;YEAR(E100),0,IF((YEAR(D100)+14)&gt;YEAR(E100),1,(12-MONTH(E100)+1)/12))) + (Q100)*(IF((YEAR(D100)+14)&lt;YEAR(E100),0,IF((YEAR(D100)+14)&gt;YEAR(E100),1,(12-MONTH(E100)+1)/12))))-((P100)*(IF((YEAR(D100)+14)&lt;YEAR(E100),0,IF((YEAR(D100)+14)&gt;YEAR(E100),1,(12-MONTH(E100)+1)/12))) + (R100)*(IF((YEAR(D100)+14)&lt;YEAR(E100),0,IF((YEAR(D100)+14)&gt;YEAR(E100),1,(12-MONTH(E100)+1)/12))))-(IF((((K100)*(IF(M100="",L100,IFERROR(IF(INDEX(Variablen!$I:$AT, MATCH(M100, Variablen!$A:$A, 0), MATCH((YEAR(D100)+14), Variablen!$I$3:$AT$3, 0))="",L100,INDEX(Variablen!$I:$AT, MATCH(M100, Variablen!$A:$A, 0), MATCH((YEAR(D100)+14), Variablen!$I$3:$AT$3, 0))),L100)))*(IF((YEAR(D100)+14)&lt;YEAR(E100),0,IF((YEAR(D100)+14)&gt;YEAR(E100),1,(12-MONTH(E100)+1)/12))) + (Q100)*(IF((YEAR(D100)+14)&lt;YEAR(E100),0,IF((YEAR(D100)+14)&gt;YEAR(E100),1,(12-MONTH(E100)+1)/12))))-((P100)*(IF((YEAR(D100)+14)&lt;YEAR(E100),0,IF((YEAR(D100)+14)&gt;YEAR(E100),1,(12-MONTH(E100)+1)/12))) + (R100)*(IF((YEAR(D100)+14)&lt;YEAR(E100),0,IF((YEAR(D100)+14)&gt;YEAR(E100),1,(12-MONTH(E100)+1)/12))))-(IF(OR(N100="",N100&lt;=0),0,(O100/N100)*(IF(OR(N100="",N100&lt;=0),0,IF((YEAR(D100)+14)&lt;YEAR(E100),0,IF((YEAR(D100)+14)&gt;=YEAR(E100)+N100,0,IF((YEAR(D100)+14)=YEAR(E100),(12-MONTH(E100)+1)/12,1))))))))&gt;0,(((K100)*(IF(M100="",L100,IFERROR(IF(INDEX(Variablen!$I:$AT, MATCH(M100, Variablen!$A:$A, 0), MATCH((YEAR(D100)+14), Variablen!$I$3:$AT$3, 0))="",L100,INDEX(Variablen!$I:$AT, MATCH(M100, Variablen!$A:$A, 0), MATCH((YEAR(D100)+14), Variablen!$I$3:$AT$3, 0))),L100)))*(IF((YEAR(D100)+14)&lt;YEAR(E100),0,IF((YEAR(D100)+14)&gt;YEAR(E100),1,(12-MONTH(E100)+1)/12))) + (Q100)*(IF((YEAR(D100)+14)&lt;YEAR(E100),0,IF((YEAR(D100)+14)&gt;YEAR(E100),1,(12-MONTH(E100)+1)/12))))-((P100)*(IF((YEAR(D100)+14)&lt;YEAR(E100),0,IF((YEAR(D100)+14)&gt;YEAR(E100),1,(12-MONTH(E100)+1)/12))) + (R100)*(IF((YEAR(D100)+14)&lt;YEAR(E100),0,IF((YEAR(D100)+14)&gt;YEAR(E100),1,(12-MONTH(E100)+1)/12))))-(IF(OR(N100="",N100&lt;=0),0,(O100/N100)*(IF(OR(N100="",N100&lt;=0),0,IF((YEAR(D100)+14)&lt;YEAR(E100),0,IF((YEAR(D100)+14)&gt;=YEAR(E100)+N100,0,IF((YEAR(D100)+14)=YEAR(E100),(12-MONTH(E100)+1)/12,1))))))))*TaxRate,0))-IF(14=0,O100,0))</f>
        <v/>
      </c>
      <c r="AH100" s="29">
        <f>IF(A100="","",((K100)*(IF(M100="",L100,IFERROR(IF(INDEX(Variablen!$I:$AT, MATCH(M100, Variablen!$A:$A, 0), MATCH((YEAR(D100)+15), Variablen!$I$3:$AT$3, 0))="",L100,INDEX(Variablen!$I:$AT, MATCH(M100, Variablen!$A:$A, 0), MATCH((YEAR(D100)+15), Variablen!$I$3:$AT$3, 0))),L100)))*(IF((YEAR(D100)+15)&lt;YEAR(E100),0,IF((YEAR(D100)+15)&gt;YEAR(E100),1,(12-MONTH(E100)+1)/12))) + (Q100)*(IF((YEAR(D100)+15)&lt;YEAR(E100),0,IF((YEAR(D100)+15)&gt;YEAR(E100),1,(12-MONTH(E100)+1)/12))))-((P100)*(IF((YEAR(D100)+15)&lt;YEAR(E100),0,IF((YEAR(D100)+15)&gt;YEAR(E100),1,(12-MONTH(E100)+1)/12))) + (R100)*(IF((YEAR(D100)+15)&lt;YEAR(E100),0,IF((YEAR(D100)+15)&gt;YEAR(E100),1,(12-MONTH(E100)+1)/12))))-(IF((((K100)*(IF(M100="",L100,IFERROR(IF(INDEX(Variablen!$I:$AT, MATCH(M100, Variablen!$A:$A, 0), MATCH((YEAR(D100)+15), Variablen!$I$3:$AT$3, 0))="",L100,INDEX(Variablen!$I:$AT, MATCH(M100, Variablen!$A:$A, 0), MATCH((YEAR(D100)+15), Variablen!$I$3:$AT$3, 0))),L100)))*(IF((YEAR(D100)+15)&lt;YEAR(E100),0,IF((YEAR(D100)+15)&gt;YEAR(E100),1,(12-MONTH(E100)+1)/12))) + (Q100)*(IF((YEAR(D100)+15)&lt;YEAR(E100),0,IF((YEAR(D100)+15)&gt;YEAR(E100),1,(12-MONTH(E100)+1)/12))))-((P100)*(IF((YEAR(D100)+15)&lt;YEAR(E100),0,IF((YEAR(D100)+15)&gt;YEAR(E100),1,(12-MONTH(E100)+1)/12))) + (R100)*(IF((YEAR(D100)+15)&lt;YEAR(E100),0,IF((YEAR(D100)+15)&gt;YEAR(E100),1,(12-MONTH(E100)+1)/12))))-(IF(OR(N100="",N100&lt;=0),0,(O100/N100)*(IF(OR(N100="",N100&lt;=0),0,IF((YEAR(D100)+15)&lt;YEAR(E100),0,IF((YEAR(D100)+15)&gt;=YEAR(E100)+N100,0,IF((YEAR(D100)+15)=YEAR(E100),(12-MONTH(E100)+1)/12,1))))))))&gt;0,(((K100)*(IF(M100="",L100,IFERROR(IF(INDEX(Variablen!$I:$AT, MATCH(M100, Variablen!$A:$A, 0), MATCH((YEAR(D100)+15), Variablen!$I$3:$AT$3, 0))="",L100,INDEX(Variablen!$I:$AT, MATCH(M100, Variablen!$A:$A, 0), MATCH((YEAR(D100)+15), Variablen!$I$3:$AT$3, 0))),L100)))*(IF((YEAR(D100)+15)&lt;YEAR(E100),0,IF((YEAR(D100)+15)&gt;YEAR(E100),1,(12-MONTH(E100)+1)/12))) + (Q100)*(IF((YEAR(D100)+15)&lt;YEAR(E100),0,IF((YEAR(D100)+15)&gt;YEAR(E100),1,(12-MONTH(E100)+1)/12))))-((P100)*(IF((YEAR(D100)+15)&lt;YEAR(E100),0,IF((YEAR(D100)+15)&gt;YEAR(E100),1,(12-MONTH(E100)+1)/12))) + (R100)*(IF((YEAR(D100)+15)&lt;YEAR(E100),0,IF((YEAR(D100)+15)&gt;YEAR(E100),1,(12-MONTH(E100)+1)/12))))-(IF(OR(N100="",N100&lt;=0),0,(O100/N100)*(IF(OR(N100="",N100&lt;=0),0,IF((YEAR(D100)+15)&lt;YEAR(E100),0,IF((YEAR(D100)+15)&gt;=YEAR(E100)+N100,0,IF((YEAR(D100)+15)=YEAR(E100),(12-MONTH(E100)+1)/12,1))))))))*TaxRate,0))-IF(15=0,O100,0))</f>
        <v/>
      </c>
      <c r="AI100" s="29">
        <f>IF(A100="","",((K100)*(IF(M100="",L100,IFERROR(IF(INDEX(Variablen!$I:$AT, MATCH(M100, Variablen!$A:$A, 0), MATCH((YEAR(D100)+16), Variablen!$I$3:$AT$3, 0))="",L100,INDEX(Variablen!$I:$AT, MATCH(M100, Variablen!$A:$A, 0), MATCH((YEAR(D100)+16), Variablen!$I$3:$AT$3, 0))),L100)))*(IF((YEAR(D100)+16)&lt;YEAR(E100),0,IF((YEAR(D100)+16)&gt;YEAR(E100),1,(12-MONTH(E100)+1)/12))) + (Q100)*(IF((YEAR(D100)+16)&lt;YEAR(E100),0,IF((YEAR(D100)+16)&gt;YEAR(E100),1,(12-MONTH(E100)+1)/12))))-((P100)*(IF((YEAR(D100)+16)&lt;YEAR(E100),0,IF((YEAR(D100)+16)&gt;YEAR(E100),1,(12-MONTH(E100)+1)/12))) + (R100)*(IF((YEAR(D100)+16)&lt;YEAR(E100),0,IF((YEAR(D100)+16)&gt;YEAR(E100),1,(12-MONTH(E100)+1)/12))))-(IF((((K100)*(IF(M100="",L100,IFERROR(IF(INDEX(Variablen!$I:$AT, MATCH(M100, Variablen!$A:$A, 0), MATCH((YEAR(D100)+16), Variablen!$I$3:$AT$3, 0))="",L100,INDEX(Variablen!$I:$AT, MATCH(M100, Variablen!$A:$A, 0), MATCH((YEAR(D100)+16), Variablen!$I$3:$AT$3, 0))),L100)))*(IF((YEAR(D100)+16)&lt;YEAR(E100),0,IF((YEAR(D100)+16)&gt;YEAR(E100),1,(12-MONTH(E100)+1)/12))) + (Q100)*(IF((YEAR(D100)+16)&lt;YEAR(E100),0,IF((YEAR(D100)+16)&gt;YEAR(E100),1,(12-MONTH(E100)+1)/12))))-((P100)*(IF((YEAR(D100)+16)&lt;YEAR(E100),0,IF((YEAR(D100)+16)&gt;YEAR(E100),1,(12-MONTH(E100)+1)/12))) + (R100)*(IF((YEAR(D100)+16)&lt;YEAR(E100),0,IF((YEAR(D100)+16)&gt;YEAR(E100),1,(12-MONTH(E100)+1)/12))))-(IF(OR(N100="",N100&lt;=0),0,(O100/N100)*(IF(OR(N100="",N100&lt;=0),0,IF((YEAR(D100)+16)&lt;YEAR(E100),0,IF((YEAR(D100)+16)&gt;=YEAR(E100)+N100,0,IF((YEAR(D100)+16)=YEAR(E100),(12-MONTH(E100)+1)/12,1))))))))&gt;0,(((K100)*(IF(M100="",L100,IFERROR(IF(INDEX(Variablen!$I:$AT, MATCH(M100, Variablen!$A:$A, 0), MATCH((YEAR(D100)+16), Variablen!$I$3:$AT$3, 0))="",L100,INDEX(Variablen!$I:$AT, MATCH(M100, Variablen!$A:$A, 0), MATCH((YEAR(D100)+16), Variablen!$I$3:$AT$3, 0))),L100)))*(IF((YEAR(D100)+16)&lt;YEAR(E100),0,IF((YEAR(D100)+16)&gt;YEAR(E100),1,(12-MONTH(E100)+1)/12))) + (Q100)*(IF((YEAR(D100)+16)&lt;YEAR(E100),0,IF((YEAR(D100)+16)&gt;YEAR(E100),1,(12-MONTH(E100)+1)/12))))-((P100)*(IF((YEAR(D100)+16)&lt;YEAR(E100),0,IF((YEAR(D100)+16)&gt;YEAR(E100),1,(12-MONTH(E100)+1)/12))) + (R100)*(IF((YEAR(D100)+16)&lt;YEAR(E100),0,IF((YEAR(D100)+16)&gt;YEAR(E100),1,(12-MONTH(E100)+1)/12))))-(IF(OR(N100="",N100&lt;=0),0,(O100/N100)*(IF(OR(N100="",N100&lt;=0),0,IF((YEAR(D100)+16)&lt;YEAR(E100),0,IF((YEAR(D100)+16)&gt;=YEAR(E100)+N100,0,IF((YEAR(D100)+16)=YEAR(E100),(12-MONTH(E100)+1)/12,1))))))))*TaxRate,0))-IF(16=0,O100,0))</f>
        <v/>
      </c>
      <c r="AJ100" s="29">
        <f>IF(A100="","",((K100)*(IF(M100="",L100,IFERROR(IF(INDEX(Variablen!$I:$AT, MATCH(M100, Variablen!$A:$A, 0), MATCH((YEAR(D100)+17), Variablen!$I$3:$AT$3, 0))="",L100,INDEX(Variablen!$I:$AT, MATCH(M100, Variablen!$A:$A, 0), MATCH((YEAR(D100)+17), Variablen!$I$3:$AT$3, 0))),L100)))*(IF((YEAR(D100)+17)&lt;YEAR(E100),0,IF((YEAR(D100)+17)&gt;YEAR(E100),1,(12-MONTH(E100)+1)/12))) + (Q100)*(IF((YEAR(D100)+17)&lt;YEAR(E100),0,IF((YEAR(D100)+17)&gt;YEAR(E100),1,(12-MONTH(E100)+1)/12))))-((P100)*(IF((YEAR(D100)+17)&lt;YEAR(E100),0,IF((YEAR(D100)+17)&gt;YEAR(E100),1,(12-MONTH(E100)+1)/12))) + (R100)*(IF((YEAR(D100)+17)&lt;YEAR(E100),0,IF((YEAR(D100)+17)&gt;YEAR(E100),1,(12-MONTH(E100)+1)/12))))-(IF((((K100)*(IF(M100="",L100,IFERROR(IF(INDEX(Variablen!$I:$AT, MATCH(M100, Variablen!$A:$A, 0), MATCH((YEAR(D100)+17), Variablen!$I$3:$AT$3, 0))="",L100,INDEX(Variablen!$I:$AT, MATCH(M100, Variablen!$A:$A, 0), MATCH((YEAR(D100)+17), Variablen!$I$3:$AT$3, 0))),L100)))*(IF((YEAR(D100)+17)&lt;YEAR(E100),0,IF((YEAR(D100)+17)&gt;YEAR(E100),1,(12-MONTH(E100)+1)/12))) + (Q100)*(IF((YEAR(D100)+17)&lt;YEAR(E100),0,IF((YEAR(D100)+17)&gt;YEAR(E100),1,(12-MONTH(E100)+1)/12))))-((P100)*(IF((YEAR(D100)+17)&lt;YEAR(E100),0,IF((YEAR(D100)+17)&gt;YEAR(E100),1,(12-MONTH(E100)+1)/12))) + (R100)*(IF((YEAR(D100)+17)&lt;YEAR(E100),0,IF((YEAR(D100)+17)&gt;YEAR(E100),1,(12-MONTH(E100)+1)/12))))-(IF(OR(N100="",N100&lt;=0),0,(O100/N100)*(IF(OR(N100="",N100&lt;=0),0,IF((YEAR(D100)+17)&lt;YEAR(E100),0,IF((YEAR(D100)+17)&gt;=YEAR(E100)+N100,0,IF((YEAR(D100)+17)=YEAR(E100),(12-MONTH(E100)+1)/12,1))))))))&gt;0,(((K100)*(IF(M100="",L100,IFERROR(IF(INDEX(Variablen!$I:$AT, MATCH(M100, Variablen!$A:$A, 0), MATCH((YEAR(D100)+17), Variablen!$I$3:$AT$3, 0))="",L100,INDEX(Variablen!$I:$AT, MATCH(M100, Variablen!$A:$A, 0), MATCH((YEAR(D100)+17), Variablen!$I$3:$AT$3, 0))),L100)))*(IF((YEAR(D100)+17)&lt;YEAR(E100),0,IF((YEAR(D100)+17)&gt;YEAR(E100),1,(12-MONTH(E100)+1)/12))) + (Q100)*(IF((YEAR(D100)+17)&lt;YEAR(E100),0,IF((YEAR(D100)+17)&gt;YEAR(E100),1,(12-MONTH(E100)+1)/12))))-((P100)*(IF((YEAR(D100)+17)&lt;YEAR(E100),0,IF((YEAR(D100)+17)&gt;YEAR(E100),1,(12-MONTH(E100)+1)/12))) + (R100)*(IF((YEAR(D100)+17)&lt;YEAR(E100),0,IF((YEAR(D100)+17)&gt;YEAR(E100),1,(12-MONTH(E100)+1)/12))))-(IF(OR(N100="",N100&lt;=0),0,(O100/N100)*(IF(OR(N100="",N100&lt;=0),0,IF((YEAR(D100)+17)&lt;YEAR(E100),0,IF((YEAR(D100)+17)&gt;=YEAR(E100)+N100,0,IF((YEAR(D100)+17)=YEAR(E100),(12-MONTH(E100)+1)/12,1))))))))*TaxRate,0))-IF(17=0,O100,0))</f>
        <v/>
      </c>
      <c r="AK100" s="29">
        <f>IF(A100="","",((K100)*(IF(M100="",L100,IFERROR(IF(INDEX(Variablen!$I:$AT, MATCH(M100, Variablen!$A:$A, 0), MATCH((YEAR(D100)+18), Variablen!$I$3:$AT$3, 0))="",L100,INDEX(Variablen!$I:$AT, MATCH(M100, Variablen!$A:$A, 0), MATCH((YEAR(D100)+18), Variablen!$I$3:$AT$3, 0))),L100)))*(IF((YEAR(D100)+18)&lt;YEAR(E100),0,IF((YEAR(D100)+18)&gt;YEAR(E100),1,(12-MONTH(E100)+1)/12))) + (Q100)*(IF((YEAR(D100)+18)&lt;YEAR(E100),0,IF((YEAR(D100)+18)&gt;YEAR(E100),1,(12-MONTH(E100)+1)/12))))-((P100)*(IF((YEAR(D100)+18)&lt;YEAR(E100),0,IF((YEAR(D100)+18)&gt;YEAR(E100),1,(12-MONTH(E100)+1)/12))) + (R100)*(IF((YEAR(D100)+18)&lt;YEAR(E100),0,IF((YEAR(D100)+18)&gt;YEAR(E100),1,(12-MONTH(E100)+1)/12))))-(IF((((K100)*(IF(M100="",L100,IFERROR(IF(INDEX(Variablen!$I:$AT, MATCH(M100, Variablen!$A:$A, 0), MATCH((YEAR(D100)+18), Variablen!$I$3:$AT$3, 0))="",L100,INDEX(Variablen!$I:$AT, MATCH(M100, Variablen!$A:$A, 0), MATCH((YEAR(D100)+18), Variablen!$I$3:$AT$3, 0))),L100)))*(IF((YEAR(D100)+18)&lt;YEAR(E100),0,IF((YEAR(D100)+18)&gt;YEAR(E100),1,(12-MONTH(E100)+1)/12))) + (Q100)*(IF((YEAR(D100)+18)&lt;YEAR(E100),0,IF((YEAR(D100)+18)&gt;YEAR(E100),1,(12-MONTH(E100)+1)/12))))-((P100)*(IF((YEAR(D100)+18)&lt;YEAR(E100),0,IF((YEAR(D100)+18)&gt;YEAR(E100),1,(12-MONTH(E100)+1)/12))) + (R100)*(IF((YEAR(D100)+18)&lt;YEAR(E100),0,IF((YEAR(D100)+18)&gt;YEAR(E100),1,(12-MONTH(E100)+1)/12))))-(IF(OR(N100="",N100&lt;=0),0,(O100/N100)*(IF(OR(N100="",N100&lt;=0),0,IF((YEAR(D100)+18)&lt;YEAR(E100),0,IF((YEAR(D100)+18)&gt;=YEAR(E100)+N100,0,IF((YEAR(D100)+18)=YEAR(E100),(12-MONTH(E100)+1)/12,1))))))))&gt;0,(((K100)*(IF(M100="",L100,IFERROR(IF(INDEX(Variablen!$I:$AT, MATCH(M100, Variablen!$A:$A, 0), MATCH((YEAR(D100)+18), Variablen!$I$3:$AT$3, 0))="",L100,INDEX(Variablen!$I:$AT, MATCH(M100, Variablen!$A:$A, 0), MATCH((YEAR(D100)+18), Variablen!$I$3:$AT$3, 0))),L100)))*(IF((YEAR(D100)+18)&lt;YEAR(E100),0,IF((YEAR(D100)+18)&gt;YEAR(E100),1,(12-MONTH(E100)+1)/12))) + (Q100)*(IF((YEAR(D100)+18)&lt;YEAR(E100),0,IF((YEAR(D100)+18)&gt;YEAR(E100),1,(12-MONTH(E100)+1)/12))))-((P100)*(IF((YEAR(D100)+18)&lt;YEAR(E100),0,IF((YEAR(D100)+18)&gt;YEAR(E100),1,(12-MONTH(E100)+1)/12))) + (R100)*(IF((YEAR(D100)+18)&lt;YEAR(E100),0,IF((YEAR(D100)+18)&gt;YEAR(E100),1,(12-MONTH(E100)+1)/12))))-(IF(OR(N100="",N100&lt;=0),0,(O100/N100)*(IF(OR(N100="",N100&lt;=0),0,IF((YEAR(D100)+18)&lt;YEAR(E100),0,IF((YEAR(D100)+18)&gt;=YEAR(E100)+N100,0,IF((YEAR(D100)+18)=YEAR(E100),(12-MONTH(E100)+1)/12,1))))))))*TaxRate,0))-IF(18=0,O100,0))</f>
        <v/>
      </c>
      <c r="AL100" s="29">
        <f>IF(A100="","",((K100)*(IF(M100="",L100,IFERROR(IF(INDEX(Variablen!$I:$AT, MATCH(M100, Variablen!$A:$A, 0), MATCH((YEAR(D100)+19), Variablen!$I$3:$AT$3, 0))="",L100,INDEX(Variablen!$I:$AT, MATCH(M100, Variablen!$A:$A, 0), MATCH((YEAR(D100)+19), Variablen!$I$3:$AT$3, 0))),L100)))*(IF((YEAR(D100)+19)&lt;YEAR(E100),0,IF((YEAR(D100)+19)&gt;YEAR(E100),1,(12-MONTH(E100)+1)/12))) + (Q100)*(IF((YEAR(D100)+19)&lt;YEAR(E100),0,IF((YEAR(D100)+19)&gt;YEAR(E100),1,(12-MONTH(E100)+1)/12))))-((P100)*(IF((YEAR(D100)+19)&lt;YEAR(E100),0,IF((YEAR(D100)+19)&gt;YEAR(E100),1,(12-MONTH(E100)+1)/12))) + (R100)*(IF((YEAR(D100)+19)&lt;YEAR(E100),0,IF((YEAR(D100)+19)&gt;YEAR(E100),1,(12-MONTH(E100)+1)/12))))-(IF((((K100)*(IF(M100="",L100,IFERROR(IF(INDEX(Variablen!$I:$AT, MATCH(M100, Variablen!$A:$A, 0), MATCH((YEAR(D100)+19), Variablen!$I$3:$AT$3, 0))="",L100,INDEX(Variablen!$I:$AT, MATCH(M100, Variablen!$A:$A, 0), MATCH((YEAR(D100)+19), Variablen!$I$3:$AT$3, 0))),L100)))*(IF((YEAR(D100)+19)&lt;YEAR(E100),0,IF((YEAR(D100)+19)&gt;YEAR(E100),1,(12-MONTH(E100)+1)/12))) + (Q100)*(IF((YEAR(D100)+19)&lt;YEAR(E100),0,IF((YEAR(D100)+19)&gt;YEAR(E100),1,(12-MONTH(E100)+1)/12))))-((P100)*(IF((YEAR(D100)+19)&lt;YEAR(E100),0,IF((YEAR(D100)+19)&gt;YEAR(E100),1,(12-MONTH(E100)+1)/12))) + (R100)*(IF((YEAR(D100)+19)&lt;YEAR(E100),0,IF((YEAR(D100)+19)&gt;YEAR(E100),1,(12-MONTH(E100)+1)/12))))-(IF(OR(N100="",N100&lt;=0),0,(O100/N100)*(IF(OR(N100="",N100&lt;=0),0,IF((YEAR(D100)+19)&lt;YEAR(E100),0,IF((YEAR(D100)+19)&gt;=YEAR(E100)+N100,0,IF((YEAR(D100)+19)=YEAR(E100),(12-MONTH(E100)+1)/12,1))))))))&gt;0,(((K100)*(IF(M100="",L100,IFERROR(IF(INDEX(Variablen!$I:$AT, MATCH(M100, Variablen!$A:$A, 0), MATCH((YEAR(D100)+19), Variablen!$I$3:$AT$3, 0))="",L100,INDEX(Variablen!$I:$AT, MATCH(M100, Variablen!$A:$A, 0), MATCH((YEAR(D100)+19), Variablen!$I$3:$AT$3, 0))),L100)))*(IF((YEAR(D100)+19)&lt;YEAR(E100),0,IF((YEAR(D100)+19)&gt;YEAR(E100),1,(12-MONTH(E100)+1)/12))) + (Q100)*(IF((YEAR(D100)+19)&lt;YEAR(E100),0,IF((YEAR(D100)+19)&gt;YEAR(E100),1,(12-MONTH(E100)+1)/12))))-((P100)*(IF((YEAR(D100)+19)&lt;YEAR(E100),0,IF((YEAR(D100)+19)&gt;YEAR(E100),1,(12-MONTH(E100)+1)/12))) + (R100)*(IF((YEAR(D100)+19)&lt;YEAR(E100),0,IF((YEAR(D100)+19)&gt;YEAR(E100),1,(12-MONTH(E100)+1)/12))))-(IF(OR(N100="",N100&lt;=0),0,(O100/N100)*(IF(OR(N100="",N100&lt;=0),0,IF((YEAR(D100)+19)&lt;YEAR(E100),0,IF((YEAR(D100)+19)&gt;=YEAR(E100)+N100,0,IF((YEAR(D100)+19)=YEAR(E100),(12-MONTH(E100)+1)/12,1))))))))*TaxRate,0))-IF(19=0,O100,0))</f>
        <v/>
      </c>
      <c r="AM100" s="29">
        <f>IF(A100="","",((K100)*(IF(M100="",L100,IFERROR(IF(INDEX(Variablen!$I:$AT, MATCH(M100, Variablen!$A:$A, 0), MATCH((YEAR(D100)+20), Variablen!$I$3:$AT$3, 0))="",L100,INDEX(Variablen!$I:$AT, MATCH(M100, Variablen!$A:$A, 0), MATCH((YEAR(D100)+20), Variablen!$I$3:$AT$3, 0))),L100)))*(IF((YEAR(D100)+20)&lt;YEAR(E100),0,IF((YEAR(D100)+20)&gt;YEAR(E100),1,(12-MONTH(E100)+1)/12))) + (Q100)*(IF((YEAR(D100)+20)&lt;YEAR(E100),0,IF((YEAR(D100)+20)&gt;YEAR(E100),1,(12-MONTH(E100)+1)/12))))-((P100)*(IF((YEAR(D100)+20)&lt;YEAR(E100),0,IF((YEAR(D100)+20)&gt;YEAR(E100),1,(12-MONTH(E100)+1)/12))) + (R100)*(IF((YEAR(D100)+20)&lt;YEAR(E100),0,IF((YEAR(D100)+20)&gt;YEAR(E100),1,(12-MONTH(E100)+1)/12))))-(IF((((K100)*(IF(M100="",L100,IFERROR(IF(INDEX(Variablen!$I:$AT, MATCH(M100, Variablen!$A:$A, 0), MATCH((YEAR(D100)+20), Variablen!$I$3:$AT$3, 0))="",L100,INDEX(Variablen!$I:$AT, MATCH(M100, Variablen!$A:$A, 0), MATCH((YEAR(D100)+20), Variablen!$I$3:$AT$3, 0))),L100)))*(IF((YEAR(D100)+20)&lt;YEAR(E100),0,IF((YEAR(D100)+20)&gt;YEAR(E100),1,(12-MONTH(E100)+1)/12))) + (Q100)*(IF((YEAR(D100)+20)&lt;YEAR(E100),0,IF((YEAR(D100)+20)&gt;YEAR(E100),1,(12-MONTH(E100)+1)/12))))-((P100)*(IF((YEAR(D100)+20)&lt;YEAR(E100),0,IF((YEAR(D100)+20)&gt;YEAR(E100),1,(12-MONTH(E100)+1)/12))) + (R100)*(IF((YEAR(D100)+20)&lt;YEAR(E100),0,IF((YEAR(D100)+20)&gt;YEAR(E100),1,(12-MONTH(E100)+1)/12))))-(IF(OR(N100="",N100&lt;=0),0,(O100/N100)*(IF(OR(N100="",N100&lt;=0),0,IF((YEAR(D100)+20)&lt;YEAR(E100),0,IF((YEAR(D100)+20)&gt;=YEAR(E100)+N100,0,IF((YEAR(D100)+20)=YEAR(E100),(12-MONTH(E100)+1)/12,1))))))))&gt;0,(((K100)*(IF(M100="",L100,IFERROR(IF(INDEX(Variablen!$I:$AT, MATCH(M100, Variablen!$A:$A, 0), MATCH((YEAR(D100)+20), Variablen!$I$3:$AT$3, 0))="",L100,INDEX(Variablen!$I:$AT, MATCH(M100, Variablen!$A:$A, 0), MATCH((YEAR(D100)+20), Variablen!$I$3:$AT$3, 0))),L100)))*(IF((YEAR(D100)+20)&lt;YEAR(E100),0,IF((YEAR(D100)+20)&gt;YEAR(E100),1,(12-MONTH(E100)+1)/12))) + (Q100)*(IF((YEAR(D100)+20)&lt;YEAR(E100),0,IF((YEAR(D100)+20)&gt;YEAR(E100),1,(12-MONTH(E100)+1)/12))))-((P100)*(IF((YEAR(D100)+20)&lt;YEAR(E100),0,IF((YEAR(D100)+20)&gt;YEAR(E100),1,(12-MONTH(E100)+1)/12))) + (R100)*(IF((YEAR(D100)+20)&lt;YEAR(E100),0,IF((YEAR(D100)+20)&gt;YEAR(E100),1,(12-MONTH(E100)+1)/12))))-(IF(OR(N100="",N100&lt;=0),0,(O100/N100)*(IF(OR(N100="",N100&lt;=0),0,IF((YEAR(D100)+20)&lt;YEAR(E100),0,IF((YEAR(D100)+20)&gt;=YEAR(E100)+N100,0,IF((YEAR(D100)+20)=YEAR(E100),(12-MONTH(E100)+1)/12,1))))))))*TaxRate,0))-IF(20=0,O100,0))</f>
        <v/>
      </c>
      <c r="AN100" s="29">
        <f>IF(A100="","",S100)</f>
        <v/>
      </c>
      <c r="AO100" s="29">
        <f>IF(A100="","",AN100+T100)</f>
        <v/>
      </c>
      <c r="AP100" s="29">
        <f>IF(A100="","",AO100+U100)</f>
        <v/>
      </c>
      <c r="AQ100" s="29">
        <f>IF(A100="","",AP100+V100)</f>
        <v/>
      </c>
      <c r="AR100" s="29">
        <f>IF(A100="","",AQ100+W100)</f>
        <v/>
      </c>
      <c r="AS100" s="29">
        <f>IF(A100="","",AR100+X100)</f>
        <v/>
      </c>
      <c r="AT100" s="29">
        <f>IF(A100="","",AS100+Y100)</f>
        <v/>
      </c>
      <c r="AU100" s="29">
        <f>IF(A100="","",AT100+Z100)</f>
        <v/>
      </c>
      <c r="AV100" s="29">
        <f>IF(A100="","",AU100+AA100)</f>
        <v/>
      </c>
      <c r="AW100" s="29">
        <f>IF(A100="","",AV100+AB100)</f>
        <v/>
      </c>
      <c r="AX100" s="29">
        <f>IF(A100="","",AW100+AC100)</f>
        <v/>
      </c>
      <c r="AY100" s="29">
        <f>IF(A100="","",AX100+AD100)</f>
        <v/>
      </c>
      <c r="AZ100" s="29">
        <f>IF(A100="","",AY100+AE100)</f>
        <v/>
      </c>
      <c r="BA100" s="29">
        <f>IF(A100="","",AZ100+AF100)</f>
        <v/>
      </c>
      <c r="BB100" s="29">
        <f>IF(A100="","",BA100+AG100)</f>
        <v/>
      </c>
      <c r="BC100" s="29">
        <f>IF(A100="","",BB100+AH100)</f>
        <v/>
      </c>
      <c r="BD100" s="29">
        <f>IF(A100="","",BC100+AI100)</f>
        <v/>
      </c>
      <c r="BE100" s="29">
        <f>IF(A100="","",BD100+AJ100)</f>
        <v/>
      </c>
      <c r="BF100" s="29">
        <f>IF(A100="","",BE100+AK100)</f>
        <v/>
      </c>
      <c r="BG100" s="29">
        <f>IF(A100="","",BF100+AL100)</f>
        <v/>
      </c>
      <c r="BH100" s="29">
        <f>IF(A100="","",BG100+AM100)</f>
        <v/>
      </c>
      <c r="BI100" s="36">
        <f>IF(A100="","",(K100)*(IF((YEAR(D100)+0)&lt;YEAR(E100),0,IF((YEAR(D100)+0)&gt;YEAR(E100),1,(12-MONTH(E100)+1)/12)))*(1/(1+DiscountRate)^0))</f>
        <v/>
      </c>
      <c r="BJ100" s="36">
        <f>IF(A100="","",(K100)*(IF((YEAR(D100)+1)&lt;YEAR(E100),0,IF((YEAR(D100)+1)&gt;YEAR(E100),1,(12-MONTH(E100)+1)/12)))*(1/(1+DiscountRate)^1))</f>
        <v/>
      </c>
      <c r="BK100" s="36">
        <f>IF(A100="","",(K100)*(IF((YEAR(D100)+2)&lt;YEAR(E100),0,IF((YEAR(D100)+2)&gt;YEAR(E100),1,(12-MONTH(E100)+1)/12)))*(1/(1+DiscountRate)^2))</f>
        <v/>
      </c>
      <c r="BL100" s="36">
        <f>IF(A100="","",(K100)*(IF((YEAR(D100)+3)&lt;YEAR(E100),0,IF((YEAR(D100)+3)&gt;YEAR(E100),1,(12-MONTH(E100)+1)/12)))*(1/(1+DiscountRate)^3))</f>
        <v/>
      </c>
      <c r="BM100" s="36">
        <f>IF(A100="","",(K100)*(IF((YEAR(D100)+4)&lt;YEAR(E100),0,IF((YEAR(D100)+4)&gt;YEAR(E100),1,(12-MONTH(E100)+1)/12)))*(1/(1+DiscountRate)^4))</f>
        <v/>
      </c>
      <c r="BN100" s="36">
        <f>IF(A100="","",(K100)*(IF((YEAR(D100)+5)&lt;YEAR(E100),0,IF((YEAR(D100)+5)&gt;YEAR(E100),1,(12-MONTH(E100)+1)/12)))*(1/(1+DiscountRate)^5))</f>
        <v/>
      </c>
      <c r="BO100" s="36">
        <f>IF(A100="","",(K100)*(IF((YEAR(D100)+6)&lt;YEAR(E100),0,IF((YEAR(D100)+6)&gt;YEAR(E100),1,(12-MONTH(E100)+1)/12)))*(1/(1+DiscountRate)^6))</f>
        <v/>
      </c>
      <c r="BP100" s="36">
        <f>IF(A100="","",(K100)*(IF((YEAR(D100)+7)&lt;YEAR(E100),0,IF((YEAR(D100)+7)&gt;YEAR(E100),1,(12-MONTH(E100)+1)/12)))*(1/(1+DiscountRate)^7))</f>
        <v/>
      </c>
      <c r="BQ100" s="36">
        <f>IF(A100="","",(K100)*(IF((YEAR(D100)+8)&lt;YEAR(E100),0,IF((YEAR(D100)+8)&gt;YEAR(E100),1,(12-MONTH(E100)+1)/12)))*(1/(1+DiscountRate)^8))</f>
        <v/>
      </c>
      <c r="BR100" s="36">
        <f>IF(A100="","",(K100)*(IF((YEAR(D100)+9)&lt;YEAR(E100),0,IF((YEAR(D100)+9)&gt;YEAR(E100),1,(12-MONTH(E100)+1)/12)))*(1/(1+DiscountRate)^9))</f>
        <v/>
      </c>
      <c r="BS100" s="36">
        <f>IF(A100="","",(K100)*(IF((YEAR(D100)+10)&lt;YEAR(E100),0,IF((YEAR(D100)+10)&gt;YEAR(E100),1,(12-MONTH(E100)+1)/12)))*(1/(1+DiscountRate)^10))</f>
        <v/>
      </c>
      <c r="BT100" s="36">
        <f>IF(A100="","",(K100)*(IF((YEAR(D100)+11)&lt;YEAR(E100),0,IF((YEAR(D100)+11)&gt;YEAR(E100),1,(12-MONTH(E100)+1)/12)))*(1/(1+DiscountRate)^11))</f>
        <v/>
      </c>
      <c r="BU100" s="36">
        <f>IF(A100="","",(K100)*(IF((YEAR(D100)+12)&lt;YEAR(E100),0,IF((YEAR(D100)+12)&gt;YEAR(E100),1,(12-MONTH(E100)+1)/12)))*(1/(1+DiscountRate)^12))</f>
        <v/>
      </c>
      <c r="BV100" s="36">
        <f>IF(A100="","",(K100)*(IF((YEAR(D100)+13)&lt;YEAR(E100),0,IF((YEAR(D100)+13)&gt;YEAR(E100),1,(12-MONTH(E100)+1)/12)))*(1/(1+DiscountRate)^13))</f>
        <v/>
      </c>
      <c r="BW100" s="36">
        <f>IF(A100="","",(K100)*(IF((YEAR(D100)+14)&lt;YEAR(E100),0,IF((YEAR(D100)+14)&gt;YEAR(E100),1,(12-MONTH(E100)+1)/12)))*(1/(1+DiscountRate)^14))</f>
        <v/>
      </c>
      <c r="BX100" s="36">
        <f>IF(A100="","",(K100)*(IF((YEAR(D100)+15)&lt;YEAR(E100),0,IF((YEAR(D100)+15)&gt;YEAR(E100),1,(12-MONTH(E100)+1)/12)))*(1/(1+DiscountRate)^15))</f>
        <v/>
      </c>
      <c r="BY100" s="36">
        <f>IF(A100="","",(K100)*(IF((YEAR(D100)+16)&lt;YEAR(E100),0,IF((YEAR(D100)+16)&gt;YEAR(E100),1,(12-MONTH(E100)+1)/12)))*(1/(1+DiscountRate)^16))</f>
        <v/>
      </c>
      <c r="BZ100" s="36">
        <f>IF(A100="","",(K100)*(IF((YEAR(D100)+17)&lt;YEAR(E100),0,IF((YEAR(D100)+17)&gt;YEAR(E100),1,(12-MONTH(E100)+1)/12)))*(1/(1+DiscountRate)^17))</f>
        <v/>
      </c>
      <c r="CA100" s="36">
        <f>IF(A100="","",(K100)*(IF((YEAR(D100)+18)&lt;YEAR(E100),0,IF((YEAR(D100)+18)&gt;YEAR(E100),1,(12-MONTH(E100)+1)/12)))*(1/(1+DiscountRate)^18))</f>
        <v/>
      </c>
      <c r="CB100" s="36">
        <f>IF(A100="","",(K100)*(IF((YEAR(D100)+19)&lt;YEAR(E100),0,IF((YEAR(D100)+19)&gt;YEAR(E100),1,(12-MONTH(E100)+1)/12)))*(1/(1+DiscountRate)^19))</f>
        <v/>
      </c>
      <c r="CC100" s="36">
        <f>IF(A100="","",(K100)*(IF((YEAR(D100)+20)&lt;YEAR(E100),0,IF((YEAR(D100)+20)&gt;YEAR(E100),1,(12-MONTH(E100)+1)/12)))*(1/(1+DiscountRate)^20))</f>
        <v/>
      </c>
      <c r="CD100" s="29">
        <f>IF(A100="","",S100/(1+DiscountRate)^0+T100/(1+DiscountRate)^1+U100/(1+DiscountRate)^2+V100/(1+DiscountRate)^3+W100/(1+DiscountRate)^4+X100/(1+DiscountRate)^5+Y100/(1+DiscountRate)^6+Z100/(1+DiscountRate)^7+AA100/(1+DiscountRate)^8+AB100/(1+DiscountRate)^9+AC100/(1+DiscountRate)^10+AD100/(1+DiscountRate)^11+AE100/(1+DiscountRate)^12+AF100/(1+DiscountRate)^13+AG100/(1+DiscountRate)^14+AH100/(1+DiscountRate)^15+AI100/(1+DiscountRate)^16+AJ100/(1+DiscountRate)^17+AK100/(1+DiscountRate)^18+AL100/(1+DiscountRate)^19+AM100/(1+DiscountRate)^20)</f>
        <v/>
      </c>
      <c r="CE100" s="37">
        <f>IF(A100="","",IFERROR(IRR(OFFSET(S100,0,0,1,MIN(HorizonYears,20)+1)),"n/a"))</f>
        <v/>
      </c>
      <c r="CF100" s="28">
        <f>IF(A100="","",IFERROR(MATCH(TRUE,OFFSET(AN100,0,0,1,MIN(HorizonYears,20)+1)&gt;=0,0)-1,"n/a"))</f>
        <v/>
      </c>
      <c r="CG100" s="36">
        <f>IF(A100="","",SUM(OFFSET(BI100,0,0,1,MIN(HorizonYears,20)+1)))</f>
        <v/>
      </c>
      <c r="CH100" s="36">
        <f>IF(A100="","",IFERROR(-CD100/CG100,"n/a"))</f>
        <v/>
      </c>
    </row>
    <row r="101">
      <c r="A101" s="6">
        <f>Actions!A99</f>
        <v/>
      </c>
      <c r="B101" s="6">
        <f>Actions!B99</f>
        <v/>
      </c>
      <c r="C101" s="6">
        <f>Actions!D99</f>
        <v/>
      </c>
      <c r="D101" s="35">
        <f>Actions!E99</f>
        <v/>
      </c>
      <c r="E101" s="35">
        <f>Actions!F99</f>
        <v/>
      </c>
      <c r="F101" s="6">
        <f>Actions!G99</f>
        <v/>
      </c>
      <c r="G101" s="6">
        <f>Actions!H99</f>
        <v/>
      </c>
      <c r="H101" s="29">
        <f>Actions!I99</f>
        <v/>
      </c>
      <c r="I101" s="6">
        <f>Actions!J99</f>
        <v/>
      </c>
      <c r="J101" s="16">
        <f>Actions!K99</f>
        <v/>
      </c>
      <c r="K101" s="16">
        <f>IF(A101="","",IF(I101="%",H101*J101,J101))</f>
        <v/>
      </c>
      <c r="L101" s="16">
        <f>Actions!L99</f>
        <v/>
      </c>
      <c r="M101" s="6">
        <f>Actions!M99</f>
        <v/>
      </c>
      <c r="N101" s="28">
        <f>Actions!N99</f>
        <v/>
      </c>
      <c r="O101" s="29">
        <f>Actions!T99</f>
        <v/>
      </c>
      <c r="P101" s="29">
        <f>Actions!Y99</f>
        <v/>
      </c>
      <c r="Q101" s="29">
        <f>Actions!Z99</f>
        <v/>
      </c>
      <c r="R101" s="29">
        <f>Actions!AA99</f>
        <v/>
      </c>
      <c r="S101" s="29">
        <f>IF(A101="","",((K101)*(IF(M101="",L101,IFERROR(IF(INDEX(Variablen!$I:$AT, MATCH(M101, Variablen!$A:$A, 0), MATCH((YEAR(D101)+0), Variablen!$I$3:$AT$3, 0))="",L101,INDEX(Variablen!$I:$AT, MATCH(M101, Variablen!$A:$A, 0), MATCH((YEAR(D101)+0), Variablen!$I$3:$AT$3, 0))),L101)))*(IF((YEAR(D101)+0)&lt;YEAR(E101),0,IF((YEAR(D101)+0)&gt;YEAR(E101),1,(12-MONTH(E101)+1)/12))) + (Q101)*(IF((YEAR(D101)+0)&lt;YEAR(E101),0,IF((YEAR(D101)+0)&gt;YEAR(E101),1,(12-MONTH(E101)+1)/12))))-((P101)*(IF((YEAR(D101)+0)&lt;YEAR(E101),0,IF((YEAR(D101)+0)&gt;YEAR(E101),1,(12-MONTH(E101)+1)/12))) + (R101)*(IF((YEAR(D101)+0)&lt;YEAR(E101),0,IF((YEAR(D101)+0)&gt;YEAR(E101),1,(12-MONTH(E101)+1)/12))))-(IF((((K101)*(IF(M101="",L101,IFERROR(IF(INDEX(Variablen!$I:$AT, MATCH(M101, Variablen!$A:$A, 0), MATCH((YEAR(D101)+0), Variablen!$I$3:$AT$3, 0))="",L101,INDEX(Variablen!$I:$AT, MATCH(M101, Variablen!$A:$A, 0), MATCH((YEAR(D101)+0), Variablen!$I$3:$AT$3, 0))),L101)))*(IF((YEAR(D101)+0)&lt;YEAR(E101),0,IF((YEAR(D101)+0)&gt;YEAR(E101),1,(12-MONTH(E101)+1)/12))) + (Q101)*(IF((YEAR(D101)+0)&lt;YEAR(E101),0,IF((YEAR(D101)+0)&gt;YEAR(E101),1,(12-MONTH(E101)+1)/12))))-((P101)*(IF((YEAR(D101)+0)&lt;YEAR(E101),0,IF((YEAR(D101)+0)&gt;YEAR(E101),1,(12-MONTH(E101)+1)/12))) + (R101)*(IF((YEAR(D101)+0)&lt;YEAR(E101),0,IF((YEAR(D101)+0)&gt;YEAR(E101),1,(12-MONTH(E101)+1)/12))))-(IF(OR(N101="",N101&lt;=0),0,(O101/N101)*(IF(OR(N101="",N101&lt;=0),0,IF((YEAR(D101)+0)&lt;YEAR(E101),0,IF((YEAR(D101)+0)&gt;=YEAR(E101)+N101,0,IF((YEAR(D101)+0)=YEAR(E101),(12-MONTH(E101)+1)/12,1))))))))&gt;0,(((K101)*(IF(M101="",L101,IFERROR(IF(INDEX(Variablen!$I:$AT, MATCH(M101, Variablen!$A:$A, 0), MATCH((YEAR(D101)+0), Variablen!$I$3:$AT$3, 0))="",L101,INDEX(Variablen!$I:$AT, MATCH(M101, Variablen!$A:$A, 0), MATCH((YEAR(D101)+0), Variablen!$I$3:$AT$3, 0))),L101)))*(IF((YEAR(D101)+0)&lt;YEAR(E101),0,IF((YEAR(D101)+0)&gt;YEAR(E101),1,(12-MONTH(E101)+1)/12))) + (Q101)*(IF((YEAR(D101)+0)&lt;YEAR(E101),0,IF((YEAR(D101)+0)&gt;YEAR(E101),1,(12-MONTH(E101)+1)/12))))-((P101)*(IF((YEAR(D101)+0)&lt;YEAR(E101),0,IF((YEAR(D101)+0)&gt;YEAR(E101),1,(12-MONTH(E101)+1)/12))) + (R101)*(IF((YEAR(D101)+0)&lt;YEAR(E101),0,IF((YEAR(D101)+0)&gt;YEAR(E101),1,(12-MONTH(E101)+1)/12))))-(IF(OR(N101="",N101&lt;=0),0,(O101/N101)*(IF(OR(N101="",N101&lt;=0),0,IF((YEAR(D101)+0)&lt;YEAR(E101),0,IF((YEAR(D101)+0)&gt;=YEAR(E101)+N101,0,IF((YEAR(D101)+0)=YEAR(E101),(12-MONTH(E101)+1)/12,1))))))))*TaxRate,0))-IF(0=0,O101,0))</f>
        <v/>
      </c>
      <c r="T101" s="29">
        <f>IF(A101="","",((K101)*(IF(M101="",L101,IFERROR(IF(INDEX(Variablen!$I:$AT, MATCH(M101, Variablen!$A:$A, 0), MATCH((YEAR(D101)+1), Variablen!$I$3:$AT$3, 0))="",L101,INDEX(Variablen!$I:$AT, MATCH(M101, Variablen!$A:$A, 0), MATCH((YEAR(D101)+1), Variablen!$I$3:$AT$3, 0))),L101)))*(IF((YEAR(D101)+1)&lt;YEAR(E101),0,IF((YEAR(D101)+1)&gt;YEAR(E101),1,(12-MONTH(E101)+1)/12))) + (Q101)*(IF((YEAR(D101)+1)&lt;YEAR(E101),0,IF((YEAR(D101)+1)&gt;YEAR(E101),1,(12-MONTH(E101)+1)/12))))-((P101)*(IF((YEAR(D101)+1)&lt;YEAR(E101),0,IF((YEAR(D101)+1)&gt;YEAR(E101),1,(12-MONTH(E101)+1)/12))) + (R101)*(IF((YEAR(D101)+1)&lt;YEAR(E101),0,IF((YEAR(D101)+1)&gt;YEAR(E101),1,(12-MONTH(E101)+1)/12))))-(IF((((K101)*(IF(M101="",L101,IFERROR(IF(INDEX(Variablen!$I:$AT, MATCH(M101, Variablen!$A:$A, 0), MATCH((YEAR(D101)+1), Variablen!$I$3:$AT$3, 0))="",L101,INDEX(Variablen!$I:$AT, MATCH(M101, Variablen!$A:$A, 0), MATCH((YEAR(D101)+1), Variablen!$I$3:$AT$3, 0))),L101)))*(IF((YEAR(D101)+1)&lt;YEAR(E101),0,IF((YEAR(D101)+1)&gt;YEAR(E101),1,(12-MONTH(E101)+1)/12))) + (Q101)*(IF((YEAR(D101)+1)&lt;YEAR(E101),0,IF((YEAR(D101)+1)&gt;YEAR(E101),1,(12-MONTH(E101)+1)/12))))-((P101)*(IF((YEAR(D101)+1)&lt;YEAR(E101),0,IF((YEAR(D101)+1)&gt;YEAR(E101),1,(12-MONTH(E101)+1)/12))) + (R101)*(IF((YEAR(D101)+1)&lt;YEAR(E101),0,IF((YEAR(D101)+1)&gt;YEAR(E101),1,(12-MONTH(E101)+1)/12))))-(IF(OR(N101="",N101&lt;=0),0,(O101/N101)*(IF(OR(N101="",N101&lt;=0),0,IF((YEAR(D101)+1)&lt;YEAR(E101),0,IF((YEAR(D101)+1)&gt;=YEAR(E101)+N101,0,IF((YEAR(D101)+1)=YEAR(E101),(12-MONTH(E101)+1)/12,1))))))))&gt;0,(((K101)*(IF(M101="",L101,IFERROR(IF(INDEX(Variablen!$I:$AT, MATCH(M101, Variablen!$A:$A, 0), MATCH((YEAR(D101)+1), Variablen!$I$3:$AT$3, 0))="",L101,INDEX(Variablen!$I:$AT, MATCH(M101, Variablen!$A:$A, 0), MATCH((YEAR(D101)+1), Variablen!$I$3:$AT$3, 0))),L101)))*(IF((YEAR(D101)+1)&lt;YEAR(E101),0,IF((YEAR(D101)+1)&gt;YEAR(E101),1,(12-MONTH(E101)+1)/12))) + (Q101)*(IF((YEAR(D101)+1)&lt;YEAR(E101),0,IF((YEAR(D101)+1)&gt;YEAR(E101),1,(12-MONTH(E101)+1)/12))))-((P101)*(IF((YEAR(D101)+1)&lt;YEAR(E101),0,IF((YEAR(D101)+1)&gt;YEAR(E101),1,(12-MONTH(E101)+1)/12))) + (R101)*(IF((YEAR(D101)+1)&lt;YEAR(E101),0,IF((YEAR(D101)+1)&gt;YEAR(E101),1,(12-MONTH(E101)+1)/12))))-(IF(OR(N101="",N101&lt;=0),0,(O101/N101)*(IF(OR(N101="",N101&lt;=0),0,IF((YEAR(D101)+1)&lt;YEAR(E101),0,IF((YEAR(D101)+1)&gt;=YEAR(E101)+N101,0,IF((YEAR(D101)+1)=YEAR(E101),(12-MONTH(E101)+1)/12,1))))))))*TaxRate,0))-IF(1=0,O101,0))</f>
        <v/>
      </c>
      <c r="U101" s="29">
        <f>IF(A101="","",((K101)*(IF(M101="",L101,IFERROR(IF(INDEX(Variablen!$I:$AT, MATCH(M101, Variablen!$A:$A, 0), MATCH((YEAR(D101)+2), Variablen!$I$3:$AT$3, 0))="",L101,INDEX(Variablen!$I:$AT, MATCH(M101, Variablen!$A:$A, 0), MATCH((YEAR(D101)+2), Variablen!$I$3:$AT$3, 0))),L101)))*(IF((YEAR(D101)+2)&lt;YEAR(E101),0,IF((YEAR(D101)+2)&gt;YEAR(E101),1,(12-MONTH(E101)+1)/12))) + (Q101)*(IF((YEAR(D101)+2)&lt;YEAR(E101),0,IF((YEAR(D101)+2)&gt;YEAR(E101),1,(12-MONTH(E101)+1)/12))))-((P101)*(IF((YEAR(D101)+2)&lt;YEAR(E101),0,IF((YEAR(D101)+2)&gt;YEAR(E101),1,(12-MONTH(E101)+1)/12))) + (R101)*(IF((YEAR(D101)+2)&lt;YEAR(E101),0,IF((YEAR(D101)+2)&gt;YEAR(E101),1,(12-MONTH(E101)+1)/12))))-(IF((((K101)*(IF(M101="",L101,IFERROR(IF(INDEX(Variablen!$I:$AT, MATCH(M101, Variablen!$A:$A, 0), MATCH((YEAR(D101)+2), Variablen!$I$3:$AT$3, 0))="",L101,INDEX(Variablen!$I:$AT, MATCH(M101, Variablen!$A:$A, 0), MATCH((YEAR(D101)+2), Variablen!$I$3:$AT$3, 0))),L101)))*(IF((YEAR(D101)+2)&lt;YEAR(E101),0,IF((YEAR(D101)+2)&gt;YEAR(E101),1,(12-MONTH(E101)+1)/12))) + (Q101)*(IF((YEAR(D101)+2)&lt;YEAR(E101),0,IF((YEAR(D101)+2)&gt;YEAR(E101),1,(12-MONTH(E101)+1)/12))))-((P101)*(IF((YEAR(D101)+2)&lt;YEAR(E101),0,IF((YEAR(D101)+2)&gt;YEAR(E101),1,(12-MONTH(E101)+1)/12))) + (R101)*(IF((YEAR(D101)+2)&lt;YEAR(E101),0,IF((YEAR(D101)+2)&gt;YEAR(E101),1,(12-MONTH(E101)+1)/12))))-(IF(OR(N101="",N101&lt;=0),0,(O101/N101)*(IF(OR(N101="",N101&lt;=0),0,IF((YEAR(D101)+2)&lt;YEAR(E101),0,IF((YEAR(D101)+2)&gt;=YEAR(E101)+N101,0,IF((YEAR(D101)+2)=YEAR(E101),(12-MONTH(E101)+1)/12,1))))))))&gt;0,(((K101)*(IF(M101="",L101,IFERROR(IF(INDEX(Variablen!$I:$AT, MATCH(M101, Variablen!$A:$A, 0), MATCH((YEAR(D101)+2), Variablen!$I$3:$AT$3, 0))="",L101,INDEX(Variablen!$I:$AT, MATCH(M101, Variablen!$A:$A, 0), MATCH((YEAR(D101)+2), Variablen!$I$3:$AT$3, 0))),L101)))*(IF((YEAR(D101)+2)&lt;YEAR(E101),0,IF((YEAR(D101)+2)&gt;YEAR(E101),1,(12-MONTH(E101)+1)/12))) + (Q101)*(IF((YEAR(D101)+2)&lt;YEAR(E101),0,IF((YEAR(D101)+2)&gt;YEAR(E101),1,(12-MONTH(E101)+1)/12))))-((P101)*(IF((YEAR(D101)+2)&lt;YEAR(E101),0,IF((YEAR(D101)+2)&gt;YEAR(E101),1,(12-MONTH(E101)+1)/12))) + (R101)*(IF((YEAR(D101)+2)&lt;YEAR(E101),0,IF((YEAR(D101)+2)&gt;YEAR(E101),1,(12-MONTH(E101)+1)/12))))-(IF(OR(N101="",N101&lt;=0),0,(O101/N101)*(IF(OR(N101="",N101&lt;=0),0,IF((YEAR(D101)+2)&lt;YEAR(E101),0,IF((YEAR(D101)+2)&gt;=YEAR(E101)+N101,0,IF((YEAR(D101)+2)=YEAR(E101),(12-MONTH(E101)+1)/12,1))))))))*TaxRate,0))-IF(2=0,O101,0))</f>
        <v/>
      </c>
      <c r="V101" s="29">
        <f>IF(A101="","",((K101)*(IF(M101="",L101,IFERROR(IF(INDEX(Variablen!$I:$AT, MATCH(M101, Variablen!$A:$A, 0), MATCH((YEAR(D101)+3), Variablen!$I$3:$AT$3, 0))="",L101,INDEX(Variablen!$I:$AT, MATCH(M101, Variablen!$A:$A, 0), MATCH((YEAR(D101)+3), Variablen!$I$3:$AT$3, 0))),L101)))*(IF((YEAR(D101)+3)&lt;YEAR(E101),0,IF((YEAR(D101)+3)&gt;YEAR(E101),1,(12-MONTH(E101)+1)/12))) + (Q101)*(IF((YEAR(D101)+3)&lt;YEAR(E101),0,IF((YEAR(D101)+3)&gt;YEAR(E101),1,(12-MONTH(E101)+1)/12))))-((P101)*(IF((YEAR(D101)+3)&lt;YEAR(E101),0,IF((YEAR(D101)+3)&gt;YEAR(E101),1,(12-MONTH(E101)+1)/12))) + (R101)*(IF((YEAR(D101)+3)&lt;YEAR(E101),0,IF((YEAR(D101)+3)&gt;YEAR(E101),1,(12-MONTH(E101)+1)/12))))-(IF((((K101)*(IF(M101="",L101,IFERROR(IF(INDEX(Variablen!$I:$AT, MATCH(M101, Variablen!$A:$A, 0), MATCH((YEAR(D101)+3), Variablen!$I$3:$AT$3, 0))="",L101,INDEX(Variablen!$I:$AT, MATCH(M101, Variablen!$A:$A, 0), MATCH((YEAR(D101)+3), Variablen!$I$3:$AT$3, 0))),L101)))*(IF((YEAR(D101)+3)&lt;YEAR(E101),0,IF((YEAR(D101)+3)&gt;YEAR(E101),1,(12-MONTH(E101)+1)/12))) + (Q101)*(IF((YEAR(D101)+3)&lt;YEAR(E101),0,IF((YEAR(D101)+3)&gt;YEAR(E101),1,(12-MONTH(E101)+1)/12))))-((P101)*(IF((YEAR(D101)+3)&lt;YEAR(E101),0,IF((YEAR(D101)+3)&gt;YEAR(E101),1,(12-MONTH(E101)+1)/12))) + (R101)*(IF((YEAR(D101)+3)&lt;YEAR(E101),0,IF((YEAR(D101)+3)&gt;YEAR(E101),1,(12-MONTH(E101)+1)/12))))-(IF(OR(N101="",N101&lt;=0),0,(O101/N101)*(IF(OR(N101="",N101&lt;=0),0,IF((YEAR(D101)+3)&lt;YEAR(E101),0,IF((YEAR(D101)+3)&gt;=YEAR(E101)+N101,0,IF((YEAR(D101)+3)=YEAR(E101),(12-MONTH(E101)+1)/12,1))))))))&gt;0,(((K101)*(IF(M101="",L101,IFERROR(IF(INDEX(Variablen!$I:$AT, MATCH(M101, Variablen!$A:$A, 0), MATCH((YEAR(D101)+3), Variablen!$I$3:$AT$3, 0))="",L101,INDEX(Variablen!$I:$AT, MATCH(M101, Variablen!$A:$A, 0), MATCH((YEAR(D101)+3), Variablen!$I$3:$AT$3, 0))),L101)))*(IF((YEAR(D101)+3)&lt;YEAR(E101),0,IF((YEAR(D101)+3)&gt;YEAR(E101),1,(12-MONTH(E101)+1)/12))) + (Q101)*(IF((YEAR(D101)+3)&lt;YEAR(E101),0,IF((YEAR(D101)+3)&gt;YEAR(E101),1,(12-MONTH(E101)+1)/12))))-((P101)*(IF((YEAR(D101)+3)&lt;YEAR(E101),0,IF((YEAR(D101)+3)&gt;YEAR(E101),1,(12-MONTH(E101)+1)/12))) + (R101)*(IF((YEAR(D101)+3)&lt;YEAR(E101),0,IF((YEAR(D101)+3)&gt;YEAR(E101),1,(12-MONTH(E101)+1)/12))))-(IF(OR(N101="",N101&lt;=0),0,(O101/N101)*(IF(OR(N101="",N101&lt;=0),0,IF((YEAR(D101)+3)&lt;YEAR(E101),0,IF((YEAR(D101)+3)&gt;=YEAR(E101)+N101,0,IF((YEAR(D101)+3)=YEAR(E101),(12-MONTH(E101)+1)/12,1))))))))*TaxRate,0))-IF(3=0,O101,0))</f>
        <v/>
      </c>
      <c r="W101" s="29">
        <f>IF(A101="","",((K101)*(IF(M101="",L101,IFERROR(IF(INDEX(Variablen!$I:$AT, MATCH(M101, Variablen!$A:$A, 0), MATCH((YEAR(D101)+4), Variablen!$I$3:$AT$3, 0))="",L101,INDEX(Variablen!$I:$AT, MATCH(M101, Variablen!$A:$A, 0), MATCH((YEAR(D101)+4), Variablen!$I$3:$AT$3, 0))),L101)))*(IF((YEAR(D101)+4)&lt;YEAR(E101),0,IF((YEAR(D101)+4)&gt;YEAR(E101),1,(12-MONTH(E101)+1)/12))) + (Q101)*(IF((YEAR(D101)+4)&lt;YEAR(E101),0,IF((YEAR(D101)+4)&gt;YEAR(E101),1,(12-MONTH(E101)+1)/12))))-((P101)*(IF((YEAR(D101)+4)&lt;YEAR(E101),0,IF((YEAR(D101)+4)&gt;YEAR(E101),1,(12-MONTH(E101)+1)/12))) + (R101)*(IF((YEAR(D101)+4)&lt;YEAR(E101),0,IF((YEAR(D101)+4)&gt;YEAR(E101),1,(12-MONTH(E101)+1)/12))))-(IF((((K101)*(IF(M101="",L101,IFERROR(IF(INDEX(Variablen!$I:$AT, MATCH(M101, Variablen!$A:$A, 0), MATCH((YEAR(D101)+4), Variablen!$I$3:$AT$3, 0))="",L101,INDEX(Variablen!$I:$AT, MATCH(M101, Variablen!$A:$A, 0), MATCH((YEAR(D101)+4), Variablen!$I$3:$AT$3, 0))),L101)))*(IF((YEAR(D101)+4)&lt;YEAR(E101),0,IF((YEAR(D101)+4)&gt;YEAR(E101),1,(12-MONTH(E101)+1)/12))) + (Q101)*(IF((YEAR(D101)+4)&lt;YEAR(E101),0,IF((YEAR(D101)+4)&gt;YEAR(E101),1,(12-MONTH(E101)+1)/12))))-((P101)*(IF((YEAR(D101)+4)&lt;YEAR(E101),0,IF((YEAR(D101)+4)&gt;YEAR(E101),1,(12-MONTH(E101)+1)/12))) + (R101)*(IF((YEAR(D101)+4)&lt;YEAR(E101),0,IF((YEAR(D101)+4)&gt;YEAR(E101),1,(12-MONTH(E101)+1)/12))))-(IF(OR(N101="",N101&lt;=0),0,(O101/N101)*(IF(OR(N101="",N101&lt;=0),0,IF((YEAR(D101)+4)&lt;YEAR(E101),0,IF((YEAR(D101)+4)&gt;=YEAR(E101)+N101,0,IF((YEAR(D101)+4)=YEAR(E101),(12-MONTH(E101)+1)/12,1))))))))&gt;0,(((K101)*(IF(M101="",L101,IFERROR(IF(INDEX(Variablen!$I:$AT, MATCH(M101, Variablen!$A:$A, 0), MATCH((YEAR(D101)+4), Variablen!$I$3:$AT$3, 0))="",L101,INDEX(Variablen!$I:$AT, MATCH(M101, Variablen!$A:$A, 0), MATCH((YEAR(D101)+4), Variablen!$I$3:$AT$3, 0))),L101)))*(IF((YEAR(D101)+4)&lt;YEAR(E101),0,IF((YEAR(D101)+4)&gt;YEAR(E101),1,(12-MONTH(E101)+1)/12))) + (Q101)*(IF((YEAR(D101)+4)&lt;YEAR(E101),0,IF((YEAR(D101)+4)&gt;YEAR(E101),1,(12-MONTH(E101)+1)/12))))-((P101)*(IF((YEAR(D101)+4)&lt;YEAR(E101),0,IF((YEAR(D101)+4)&gt;YEAR(E101),1,(12-MONTH(E101)+1)/12))) + (R101)*(IF((YEAR(D101)+4)&lt;YEAR(E101),0,IF((YEAR(D101)+4)&gt;YEAR(E101),1,(12-MONTH(E101)+1)/12))))-(IF(OR(N101="",N101&lt;=0),0,(O101/N101)*(IF(OR(N101="",N101&lt;=0),0,IF((YEAR(D101)+4)&lt;YEAR(E101),0,IF((YEAR(D101)+4)&gt;=YEAR(E101)+N101,0,IF((YEAR(D101)+4)=YEAR(E101),(12-MONTH(E101)+1)/12,1))))))))*TaxRate,0))-IF(4=0,O101,0))</f>
        <v/>
      </c>
      <c r="X101" s="29">
        <f>IF(A101="","",((K101)*(IF(M101="",L101,IFERROR(IF(INDEX(Variablen!$I:$AT, MATCH(M101, Variablen!$A:$A, 0), MATCH((YEAR(D101)+5), Variablen!$I$3:$AT$3, 0))="",L101,INDEX(Variablen!$I:$AT, MATCH(M101, Variablen!$A:$A, 0), MATCH((YEAR(D101)+5), Variablen!$I$3:$AT$3, 0))),L101)))*(IF((YEAR(D101)+5)&lt;YEAR(E101),0,IF((YEAR(D101)+5)&gt;YEAR(E101),1,(12-MONTH(E101)+1)/12))) + (Q101)*(IF((YEAR(D101)+5)&lt;YEAR(E101),0,IF((YEAR(D101)+5)&gt;YEAR(E101),1,(12-MONTH(E101)+1)/12))))-((P101)*(IF((YEAR(D101)+5)&lt;YEAR(E101),0,IF((YEAR(D101)+5)&gt;YEAR(E101),1,(12-MONTH(E101)+1)/12))) + (R101)*(IF((YEAR(D101)+5)&lt;YEAR(E101),0,IF((YEAR(D101)+5)&gt;YEAR(E101),1,(12-MONTH(E101)+1)/12))))-(IF((((K101)*(IF(M101="",L101,IFERROR(IF(INDEX(Variablen!$I:$AT, MATCH(M101, Variablen!$A:$A, 0), MATCH((YEAR(D101)+5), Variablen!$I$3:$AT$3, 0))="",L101,INDEX(Variablen!$I:$AT, MATCH(M101, Variablen!$A:$A, 0), MATCH((YEAR(D101)+5), Variablen!$I$3:$AT$3, 0))),L101)))*(IF((YEAR(D101)+5)&lt;YEAR(E101),0,IF((YEAR(D101)+5)&gt;YEAR(E101),1,(12-MONTH(E101)+1)/12))) + (Q101)*(IF((YEAR(D101)+5)&lt;YEAR(E101),0,IF((YEAR(D101)+5)&gt;YEAR(E101),1,(12-MONTH(E101)+1)/12))))-((P101)*(IF((YEAR(D101)+5)&lt;YEAR(E101),0,IF((YEAR(D101)+5)&gt;YEAR(E101),1,(12-MONTH(E101)+1)/12))) + (R101)*(IF((YEAR(D101)+5)&lt;YEAR(E101),0,IF((YEAR(D101)+5)&gt;YEAR(E101),1,(12-MONTH(E101)+1)/12))))-(IF(OR(N101="",N101&lt;=0),0,(O101/N101)*(IF(OR(N101="",N101&lt;=0),0,IF((YEAR(D101)+5)&lt;YEAR(E101),0,IF((YEAR(D101)+5)&gt;=YEAR(E101)+N101,0,IF((YEAR(D101)+5)=YEAR(E101),(12-MONTH(E101)+1)/12,1))))))))&gt;0,(((K101)*(IF(M101="",L101,IFERROR(IF(INDEX(Variablen!$I:$AT, MATCH(M101, Variablen!$A:$A, 0), MATCH((YEAR(D101)+5), Variablen!$I$3:$AT$3, 0))="",L101,INDEX(Variablen!$I:$AT, MATCH(M101, Variablen!$A:$A, 0), MATCH((YEAR(D101)+5), Variablen!$I$3:$AT$3, 0))),L101)))*(IF((YEAR(D101)+5)&lt;YEAR(E101),0,IF((YEAR(D101)+5)&gt;YEAR(E101),1,(12-MONTH(E101)+1)/12))) + (Q101)*(IF((YEAR(D101)+5)&lt;YEAR(E101),0,IF((YEAR(D101)+5)&gt;YEAR(E101),1,(12-MONTH(E101)+1)/12))))-((P101)*(IF((YEAR(D101)+5)&lt;YEAR(E101),0,IF((YEAR(D101)+5)&gt;YEAR(E101),1,(12-MONTH(E101)+1)/12))) + (R101)*(IF((YEAR(D101)+5)&lt;YEAR(E101),0,IF((YEAR(D101)+5)&gt;YEAR(E101),1,(12-MONTH(E101)+1)/12))))-(IF(OR(N101="",N101&lt;=0),0,(O101/N101)*(IF(OR(N101="",N101&lt;=0),0,IF((YEAR(D101)+5)&lt;YEAR(E101),0,IF((YEAR(D101)+5)&gt;=YEAR(E101)+N101,0,IF((YEAR(D101)+5)=YEAR(E101),(12-MONTH(E101)+1)/12,1))))))))*TaxRate,0))-IF(5=0,O101,0))</f>
        <v/>
      </c>
      <c r="Y101" s="29">
        <f>IF(A101="","",((K101)*(IF(M101="",L101,IFERROR(IF(INDEX(Variablen!$I:$AT, MATCH(M101, Variablen!$A:$A, 0), MATCH((YEAR(D101)+6), Variablen!$I$3:$AT$3, 0))="",L101,INDEX(Variablen!$I:$AT, MATCH(M101, Variablen!$A:$A, 0), MATCH((YEAR(D101)+6), Variablen!$I$3:$AT$3, 0))),L101)))*(IF((YEAR(D101)+6)&lt;YEAR(E101),0,IF((YEAR(D101)+6)&gt;YEAR(E101),1,(12-MONTH(E101)+1)/12))) + (Q101)*(IF((YEAR(D101)+6)&lt;YEAR(E101),0,IF((YEAR(D101)+6)&gt;YEAR(E101),1,(12-MONTH(E101)+1)/12))))-((P101)*(IF((YEAR(D101)+6)&lt;YEAR(E101),0,IF((YEAR(D101)+6)&gt;YEAR(E101),1,(12-MONTH(E101)+1)/12))) + (R101)*(IF((YEAR(D101)+6)&lt;YEAR(E101),0,IF((YEAR(D101)+6)&gt;YEAR(E101),1,(12-MONTH(E101)+1)/12))))-(IF((((K101)*(IF(M101="",L101,IFERROR(IF(INDEX(Variablen!$I:$AT, MATCH(M101, Variablen!$A:$A, 0), MATCH((YEAR(D101)+6), Variablen!$I$3:$AT$3, 0))="",L101,INDEX(Variablen!$I:$AT, MATCH(M101, Variablen!$A:$A, 0), MATCH((YEAR(D101)+6), Variablen!$I$3:$AT$3, 0))),L101)))*(IF((YEAR(D101)+6)&lt;YEAR(E101),0,IF((YEAR(D101)+6)&gt;YEAR(E101),1,(12-MONTH(E101)+1)/12))) + (Q101)*(IF((YEAR(D101)+6)&lt;YEAR(E101),0,IF((YEAR(D101)+6)&gt;YEAR(E101),1,(12-MONTH(E101)+1)/12))))-((P101)*(IF((YEAR(D101)+6)&lt;YEAR(E101),0,IF((YEAR(D101)+6)&gt;YEAR(E101),1,(12-MONTH(E101)+1)/12))) + (R101)*(IF((YEAR(D101)+6)&lt;YEAR(E101),0,IF((YEAR(D101)+6)&gt;YEAR(E101),1,(12-MONTH(E101)+1)/12))))-(IF(OR(N101="",N101&lt;=0),0,(O101/N101)*(IF(OR(N101="",N101&lt;=0),0,IF((YEAR(D101)+6)&lt;YEAR(E101),0,IF((YEAR(D101)+6)&gt;=YEAR(E101)+N101,0,IF((YEAR(D101)+6)=YEAR(E101),(12-MONTH(E101)+1)/12,1))))))))&gt;0,(((K101)*(IF(M101="",L101,IFERROR(IF(INDEX(Variablen!$I:$AT, MATCH(M101, Variablen!$A:$A, 0), MATCH((YEAR(D101)+6), Variablen!$I$3:$AT$3, 0))="",L101,INDEX(Variablen!$I:$AT, MATCH(M101, Variablen!$A:$A, 0), MATCH((YEAR(D101)+6), Variablen!$I$3:$AT$3, 0))),L101)))*(IF((YEAR(D101)+6)&lt;YEAR(E101),0,IF((YEAR(D101)+6)&gt;YEAR(E101),1,(12-MONTH(E101)+1)/12))) + (Q101)*(IF((YEAR(D101)+6)&lt;YEAR(E101),0,IF((YEAR(D101)+6)&gt;YEAR(E101),1,(12-MONTH(E101)+1)/12))))-((P101)*(IF((YEAR(D101)+6)&lt;YEAR(E101),0,IF((YEAR(D101)+6)&gt;YEAR(E101),1,(12-MONTH(E101)+1)/12))) + (R101)*(IF((YEAR(D101)+6)&lt;YEAR(E101),0,IF((YEAR(D101)+6)&gt;YEAR(E101),1,(12-MONTH(E101)+1)/12))))-(IF(OR(N101="",N101&lt;=0),0,(O101/N101)*(IF(OR(N101="",N101&lt;=0),0,IF((YEAR(D101)+6)&lt;YEAR(E101),0,IF((YEAR(D101)+6)&gt;=YEAR(E101)+N101,0,IF((YEAR(D101)+6)=YEAR(E101),(12-MONTH(E101)+1)/12,1))))))))*TaxRate,0))-IF(6=0,O101,0))</f>
        <v/>
      </c>
      <c r="Z101" s="29">
        <f>IF(A101="","",((K101)*(IF(M101="",L101,IFERROR(IF(INDEX(Variablen!$I:$AT, MATCH(M101, Variablen!$A:$A, 0), MATCH((YEAR(D101)+7), Variablen!$I$3:$AT$3, 0))="",L101,INDEX(Variablen!$I:$AT, MATCH(M101, Variablen!$A:$A, 0), MATCH((YEAR(D101)+7), Variablen!$I$3:$AT$3, 0))),L101)))*(IF((YEAR(D101)+7)&lt;YEAR(E101),0,IF((YEAR(D101)+7)&gt;YEAR(E101),1,(12-MONTH(E101)+1)/12))) + (Q101)*(IF((YEAR(D101)+7)&lt;YEAR(E101),0,IF((YEAR(D101)+7)&gt;YEAR(E101),1,(12-MONTH(E101)+1)/12))))-((P101)*(IF((YEAR(D101)+7)&lt;YEAR(E101),0,IF((YEAR(D101)+7)&gt;YEAR(E101),1,(12-MONTH(E101)+1)/12))) + (R101)*(IF((YEAR(D101)+7)&lt;YEAR(E101),0,IF((YEAR(D101)+7)&gt;YEAR(E101),1,(12-MONTH(E101)+1)/12))))-(IF((((K101)*(IF(M101="",L101,IFERROR(IF(INDEX(Variablen!$I:$AT, MATCH(M101, Variablen!$A:$A, 0), MATCH((YEAR(D101)+7), Variablen!$I$3:$AT$3, 0))="",L101,INDEX(Variablen!$I:$AT, MATCH(M101, Variablen!$A:$A, 0), MATCH((YEAR(D101)+7), Variablen!$I$3:$AT$3, 0))),L101)))*(IF((YEAR(D101)+7)&lt;YEAR(E101),0,IF((YEAR(D101)+7)&gt;YEAR(E101),1,(12-MONTH(E101)+1)/12))) + (Q101)*(IF((YEAR(D101)+7)&lt;YEAR(E101),0,IF((YEAR(D101)+7)&gt;YEAR(E101),1,(12-MONTH(E101)+1)/12))))-((P101)*(IF((YEAR(D101)+7)&lt;YEAR(E101),0,IF((YEAR(D101)+7)&gt;YEAR(E101),1,(12-MONTH(E101)+1)/12))) + (R101)*(IF((YEAR(D101)+7)&lt;YEAR(E101),0,IF((YEAR(D101)+7)&gt;YEAR(E101),1,(12-MONTH(E101)+1)/12))))-(IF(OR(N101="",N101&lt;=0),0,(O101/N101)*(IF(OR(N101="",N101&lt;=0),0,IF((YEAR(D101)+7)&lt;YEAR(E101),0,IF((YEAR(D101)+7)&gt;=YEAR(E101)+N101,0,IF((YEAR(D101)+7)=YEAR(E101),(12-MONTH(E101)+1)/12,1))))))))&gt;0,(((K101)*(IF(M101="",L101,IFERROR(IF(INDEX(Variablen!$I:$AT, MATCH(M101, Variablen!$A:$A, 0), MATCH((YEAR(D101)+7), Variablen!$I$3:$AT$3, 0))="",L101,INDEX(Variablen!$I:$AT, MATCH(M101, Variablen!$A:$A, 0), MATCH((YEAR(D101)+7), Variablen!$I$3:$AT$3, 0))),L101)))*(IF((YEAR(D101)+7)&lt;YEAR(E101),0,IF((YEAR(D101)+7)&gt;YEAR(E101),1,(12-MONTH(E101)+1)/12))) + (Q101)*(IF((YEAR(D101)+7)&lt;YEAR(E101),0,IF((YEAR(D101)+7)&gt;YEAR(E101),1,(12-MONTH(E101)+1)/12))))-((P101)*(IF((YEAR(D101)+7)&lt;YEAR(E101),0,IF((YEAR(D101)+7)&gt;YEAR(E101),1,(12-MONTH(E101)+1)/12))) + (R101)*(IF((YEAR(D101)+7)&lt;YEAR(E101),0,IF((YEAR(D101)+7)&gt;YEAR(E101),1,(12-MONTH(E101)+1)/12))))-(IF(OR(N101="",N101&lt;=0),0,(O101/N101)*(IF(OR(N101="",N101&lt;=0),0,IF((YEAR(D101)+7)&lt;YEAR(E101),0,IF((YEAR(D101)+7)&gt;=YEAR(E101)+N101,0,IF((YEAR(D101)+7)=YEAR(E101),(12-MONTH(E101)+1)/12,1))))))))*TaxRate,0))-IF(7=0,O101,0))</f>
        <v/>
      </c>
      <c r="AA101" s="29">
        <f>IF(A101="","",((K101)*(IF(M101="",L101,IFERROR(IF(INDEX(Variablen!$I:$AT, MATCH(M101, Variablen!$A:$A, 0), MATCH((YEAR(D101)+8), Variablen!$I$3:$AT$3, 0))="",L101,INDEX(Variablen!$I:$AT, MATCH(M101, Variablen!$A:$A, 0), MATCH((YEAR(D101)+8), Variablen!$I$3:$AT$3, 0))),L101)))*(IF((YEAR(D101)+8)&lt;YEAR(E101),0,IF((YEAR(D101)+8)&gt;YEAR(E101),1,(12-MONTH(E101)+1)/12))) + (Q101)*(IF((YEAR(D101)+8)&lt;YEAR(E101),0,IF((YEAR(D101)+8)&gt;YEAR(E101),1,(12-MONTH(E101)+1)/12))))-((P101)*(IF((YEAR(D101)+8)&lt;YEAR(E101),0,IF((YEAR(D101)+8)&gt;YEAR(E101),1,(12-MONTH(E101)+1)/12))) + (R101)*(IF((YEAR(D101)+8)&lt;YEAR(E101),0,IF((YEAR(D101)+8)&gt;YEAR(E101),1,(12-MONTH(E101)+1)/12))))-(IF((((K101)*(IF(M101="",L101,IFERROR(IF(INDEX(Variablen!$I:$AT, MATCH(M101, Variablen!$A:$A, 0), MATCH((YEAR(D101)+8), Variablen!$I$3:$AT$3, 0))="",L101,INDEX(Variablen!$I:$AT, MATCH(M101, Variablen!$A:$A, 0), MATCH((YEAR(D101)+8), Variablen!$I$3:$AT$3, 0))),L101)))*(IF((YEAR(D101)+8)&lt;YEAR(E101),0,IF((YEAR(D101)+8)&gt;YEAR(E101),1,(12-MONTH(E101)+1)/12))) + (Q101)*(IF((YEAR(D101)+8)&lt;YEAR(E101),0,IF((YEAR(D101)+8)&gt;YEAR(E101),1,(12-MONTH(E101)+1)/12))))-((P101)*(IF((YEAR(D101)+8)&lt;YEAR(E101),0,IF((YEAR(D101)+8)&gt;YEAR(E101),1,(12-MONTH(E101)+1)/12))) + (R101)*(IF((YEAR(D101)+8)&lt;YEAR(E101),0,IF((YEAR(D101)+8)&gt;YEAR(E101),1,(12-MONTH(E101)+1)/12))))-(IF(OR(N101="",N101&lt;=0),0,(O101/N101)*(IF(OR(N101="",N101&lt;=0),0,IF((YEAR(D101)+8)&lt;YEAR(E101),0,IF((YEAR(D101)+8)&gt;=YEAR(E101)+N101,0,IF((YEAR(D101)+8)=YEAR(E101),(12-MONTH(E101)+1)/12,1))))))))&gt;0,(((K101)*(IF(M101="",L101,IFERROR(IF(INDEX(Variablen!$I:$AT, MATCH(M101, Variablen!$A:$A, 0), MATCH((YEAR(D101)+8), Variablen!$I$3:$AT$3, 0))="",L101,INDEX(Variablen!$I:$AT, MATCH(M101, Variablen!$A:$A, 0), MATCH((YEAR(D101)+8), Variablen!$I$3:$AT$3, 0))),L101)))*(IF((YEAR(D101)+8)&lt;YEAR(E101),0,IF((YEAR(D101)+8)&gt;YEAR(E101),1,(12-MONTH(E101)+1)/12))) + (Q101)*(IF((YEAR(D101)+8)&lt;YEAR(E101),0,IF((YEAR(D101)+8)&gt;YEAR(E101),1,(12-MONTH(E101)+1)/12))))-((P101)*(IF((YEAR(D101)+8)&lt;YEAR(E101),0,IF((YEAR(D101)+8)&gt;YEAR(E101),1,(12-MONTH(E101)+1)/12))) + (R101)*(IF((YEAR(D101)+8)&lt;YEAR(E101),0,IF((YEAR(D101)+8)&gt;YEAR(E101),1,(12-MONTH(E101)+1)/12))))-(IF(OR(N101="",N101&lt;=0),0,(O101/N101)*(IF(OR(N101="",N101&lt;=0),0,IF((YEAR(D101)+8)&lt;YEAR(E101),0,IF((YEAR(D101)+8)&gt;=YEAR(E101)+N101,0,IF((YEAR(D101)+8)=YEAR(E101),(12-MONTH(E101)+1)/12,1))))))))*TaxRate,0))-IF(8=0,O101,0))</f>
        <v/>
      </c>
      <c r="AB101" s="29">
        <f>IF(A101="","",((K101)*(IF(M101="",L101,IFERROR(IF(INDEX(Variablen!$I:$AT, MATCH(M101, Variablen!$A:$A, 0), MATCH((YEAR(D101)+9), Variablen!$I$3:$AT$3, 0))="",L101,INDEX(Variablen!$I:$AT, MATCH(M101, Variablen!$A:$A, 0), MATCH((YEAR(D101)+9), Variablen!$I$3:$AT$3, 0))),L101)))*(IF((YEAR(D101)+9)&lt;YEAR(E101),0,IF((YEAR(D101)+9)&gt;YEAR(E101),1,(12-MONTH(E101)+1)/12))) + (Q101)*(IF((YEAR(D101)+9)&lt;YEAR(E101),0,IF((YEAR(D101)+9)&gt;YEAR(E101),1,(12-MONTH(E101)+1)/12))))-((P101)*(IF((YEAR(D101)+9)&lt;YEAR(E101),0,IF((YEAR(D101)+9)&gt;YEAR(E101),1,(12-MONTH(E101)+1)/12))) + (R101)*(IF((YEAR(D101)+9)&lt;YEAR(E101),0,IF((YEAR(D101)+9)&gt;YEAR(E101),1,(12-MONTH(E101)+1)/12))))-(IF((((K101)*(IF(M101="",L101,IFERROR(IF(INDEX(Variablen!$I:$AT, MATCH(M101, Variablen!$A:$A, 0), MATCH((YEAR(D101)+9), Variablen!$I$3:$AT$3, 0))="",L101,INDEX(Variablen!$I:$AT, MATCH(M101, Variablen!$A:$A, 0), MATCH((YEAR(D101)+9), Variablen!$I$3:$AT$3, 0))),L101)))*(IF((YEAR(D101)+9)&lt;YEAR(E101),0,IF((YEAR(D101)+9)&gt;YEAR(E101),1,(12-MONTH(E101)+1)/12))) + (Q101)*(IF((YEAR(D101)+9)&lt;YEAR(E101),0,IF((YEAR(D101)+9)&gt;YEAR(E101),1,(12-MONTH(E101)+1)/12))))-((P101)*(IF((YEAR(D101)+9)&lt;YEAR(E101),0,IF((YEAR(D101)+9)&gt;YEAR(E101),1,(12-MONTH(E101)+1)/12))) + (R101)*(IF((YEAR(D101)+9)&lt;YEAR(E101),0,IF((YEAR(D101)+9)&gt;YEAR(E101),1,(12-MONTH(E101)+1)/12))))-(IF(OR(N101="",N101&lt;=0),0,(O101/N101)*(IF(OR(N101="",N101&lt;=0),0,IF((YEAR(D101)+9)&lt;YEAR(E101),0,IF((YEAR(D101)+9)&gt;=YEAR(E101)+N101,0,IF((YEAR(D101)+9)=YEAR(E101),(12-MONTH(E101)+1)/12,1))))))))&gt;0,(((K101)*(IF(M101="",L101,IFERROR(IF(INDEX(Variablen!$I:$AT, MATCH(M101, Variablen!$A:$A, 0), MATCH((YEAR(D101)+9), Variablen!$I$3:$AT$3, 0))="",L101,INDEX(Variablen!$I:$AT, MATCH(M101, Variablen!$A:$A, 0), MATCH((YEAR(D101)+9), Variablen!$I$3:$AT$3, 0))),L101)))*(IF((YEAR(D101)+9)&lt;YEAR(E101),0,IF((YEAR(D101)+9)&gt;YEAR(E101),1,(12-MONTH(E101)+1)/12))) + (Q101)*(IF((YEAR(D101)+9)&lt;YEAR(E101),0,IF((YEAR(D101)+9)&gt;YEAR(E101),1,(12-MONTH(E101)+1)/12))))-((P101)*(IF((YEAR(D101)+9)&lt;YEAR(E101),0,IF((YEAR(D101)+9)&gt;YEAR(E101),1,(12-MONTH(E101)+1)/12))) + (R101)*(IF((YEAR(D101)+9)&lt;YEAR(E101),0,IF((YEAR(D101)+9)&gt;YEAR(E101),1,(12-MONTH(E101)+1)/12))))-(IF(OR(N101="",N101&lt;=0),0,(O101/N101)*(IF(OR(N101="",N101&lt;=0),0,IF((YEAR(D101)+9)&lt;YEAR(E101),0,IF((YEAR(D101)+9)&gt;=YEAR(E101)+N101,0,IF((YEAR(D101)+9)=YEAR(E101),(12-MONTH(E101)+1)/12,1))))))))*TaxRate,0))-IF(9=0,O101,0))</f>
        <v/>
      </c>
      <c r="AC101" s="29">
        <f>IF(A101="","",((K101)*(IF(M101="",L101,IFERROR(IF(INDEX(Variablen!$I:$AT, MATCH(M101, Variablen!$A:$A, 0), MATCH((YEAR(D101)+10), Variablen!$I$3:$AT$3, 0))="",L101,INDEX(Variablen!$I:$AT, MATCH(M101, Variablen!$A:$A, 0), MATCH((YEAR(D101)+10), Variablen!$I$3:$AT$3, 0))),L101)))*(IF((YEAR(D101)+10)&lt;YEAR(E101),0,IF((YEAR(D101)+10)&gt;YEAR(E101),1,(12-MONTH(E101)+1)/12))) + (Q101)*(IF((YEAR(D101)+10)&lt;YEAR(E101),0,IF((YEAR(D101)+10)&gt;YEAR(E101),1,(12-MONTH(E101)+1)/12))))-((P101)*(IF((YEAR(D101)+10)&lt;YEAR(E101),0,IF((YEAR(D101)+10)&gt;YEAR(E101),1,(12-MONTH(E101)+1)/12))) + (R101)*(IF((YEAR(D101)+10)&lt;YEAR(E101),0,IF((YEAR(D101)+10)&gt;YEAR(E101),1,(12-MONTH(E101)+1)/12))))-(IF((((K101)*(IF(M101="",L101,IFERROR(IF(INDEX(Variablen!$I:$AT, MATCH(M101, Variablen!$A:$A, 0), MATCH((YEAR(D101)+10), Variablen!$I$3:$AT$3, 0))="",L101,INDEX(Variablen!$I:$AT, MATCH(M101, Variablen!$A:$A, 0), MATCH((YEAR(D101)+10), Variablen!$I$3:$AT$3, 0))),L101)))*(IF((YEAR(D101)+10)&lt;YEAR(E101),0,IF((YEAR(D101)+10)&gt;YEAR(E101),1,(12-MONTH(E101)+1)/12))) + (Q101)*(IF((YEAR(D101)+10)&lt;YEAR(E101),0,IF((YEAR(D101)+10)&gt;YEAR(E101),1,(12-MONTH(E101)+1)/12))))-((P101)*(IF((YEAR(D101)+10)&lt;YEAR(E101),0,IF((YEAR(D101)+10)&gt;YEAR(E101),1,(12-MONTH(E101)+1)/12))) + (R101)*(IF((YEAR(D101)+10)&lt;YEAR(E101),0,IF((YEAR(D101)+10)&gt;YEAR(E101),1,(12-MONTH(E101)+1)/12))))-(IF(OR(N101="",N101&lt;=0),0,(O101/N101)*(IF(OR(N101="",N101&lt;=0),0,IF((YEAR(D101)+10)&lt;YEAR(E101),0,IF((YEAR(D101)+10)&gt;=YEAR(E101)+N101,0,IF((YEAR(D101)+10)=YEAR(E101),(12-MONTH(E101)+1)/12,1))))))))&gt;0,(((K101)*(IF(M101="",L101,IFERROR(IF(INDEX(Variablen!$I:$AT, MATCH(M101, Variablen!$A:$A, 0), MATCH((YEAR(D101)+10), Variablen!$I$3:$AT$3, 0))="",L101,INDEX(Variablen!$I:$AT, MATCH(M101, Variablen!$A:$A, 0), MATCH((YEAR(D101)+10), Variablen!$I$3:$AT$3, 0))),L101)))*(IF((YEAR(D101)+10)&lt;YEAR(E101),0,IF((YEAR(D101)+10)&gt;YEAR(E101),1,(12-MONTH(E101)+1)/12))) + (Q101)*(IF((YEAR(D101)+10)&lt;YEAR(E101),0,IF((YEAR(D101)+10)&gt;YEAR(E101),1,(12-MONTH(E101)+1)/12))))-((P101)*(IF((YEAR(D101)+10)&lt;YEAR(E101),0,IF((YEAR(D101)+10)&gt;YEAR(E101),1,(12-MONTH(E101)+1)/12))) + (R101)*(IF((YEAR(D101)+10)&lt;YEAR(E101),0,IF((YEAR(D101)+10)&gt;YEAR(E101),1,(12-MONTH(E101)+1)/12))))-(IF(OR(N101="",N101&lt;=0),0,(O101/N101)*(IF(OR(N101="",N101&lt;=0),0,IF((YEAR(D101)+10)&lt;YEAR(E101),0,IF((YEAR(D101)+10)&gt;=YEAR(E101)+N101,0,IF((YEAR(D101)+10)=YEAR(E101),(12-MONTH(E101)+1)/12,1))))))))*TaxRate,0))-IF(10=0,O101,0))</f>
        <v/>
      </c>
      <c r="AD101" s="29">
        <f>IF(A101="","",((K101)*(IF(M101="",L101,IFERROR(IF(INDEX(Variablen!$I:$AT, MATCH(M101, Variablen!$A:$A, 0), MATCH((YEAR(D101)+11), Variablen!$I$3:$AT$3, 0))="",L101,INDEX(Variablen!$I:$AT, MATCH(M101, Variablen!$A:$A, 0), MATCH((YEAR(D101)+11), Variablen!$I$3:$AT$3, 0))),L101)))*(IF((YEAR(D101)+11)&lt;YEAR(E101),0,IF((YEAR(D101)+11)&gt;YEAR(E101),1,(12-MONTH(E101)+1)/12))) + (Q101)*(IF((YEAR(D101)+11)&lt;YEAR(E101),0,IF((YEAR(D101)+11)&gt;YEAR(E101),1,(12-MONTH(E101)+1)/12))))-((P101)*(IF((YEAR(D101)+11)&lt;YEAR(E101),0,IF((YEAR(D101)+11)&gt;YEAR(E101),1,(12-MONTH(E101)+1)/12))) + (R101)*(IF((YEAR(D101)+11)&lt;YEAR(E101),0,IF((YEAR(D101)+11)&gt;YEAR(E101),1,(12-MONTH(E101)+1)/12))))-(IF((((K101)*(IF(M101="",L101,IFERROR(IF(INDEX(Variablen!$I:$AT, MATCH(M101, Variablen!$A:$A, 0), MATCH((YEAR(D101)+11), Variablen!$I$3:$AT$3, 0))="",L101,INDEX(Variablen!$I:$AT, MATCH(M101, Variablen!$A:$A, 0), MATCH((YEAR(D101)+11), Variablen!$I$3:$AT$3, 0))),L101)))*(IF((YEAR(D101)+11)&lt;YEAR(E101),0,IF((YEAR(D101)+11)&gt;YEAR(E101),1,(12-MONTH(E101)+1)/12))) + (Q101)*(IF((YEAR(D101)+11)&lt;YEAR(E101),0,IF((YEAR(D101)+11)&gt;YEAR(E101),1,(12-MONTH(E101)+1)/12))))-((P101)*(IF((YEAR(D101)+11)&lt;YEAR(E101),0,IF((YEAR(D101)+11)&gt;YEAR(E101),1,(12-MONTH(E101)+1)/12))) + (R101)*(IF((YEAR(D101)+11)&lt;YEAR(E101),0,IF((YEAR(D101)+11)&gt;YEAR(E101),1,(12-MONTH(E101)+1)/12))))-(IF(OR(N101="",N101&lt;=0),0,(O101/N101)*(IF(OR(N101="",N101&lt;=0),0,IF((YEAR(D101)+11)&lt;YEAR(E101),0,IF((YEAR(D101)+11)&gt;=YEAR(E101)+N101,0,IF((YEAR(D101)+11)=YEAR(E101),(12-MONTH(E101)+1)/12,1))))))))&gt;0,(((K101)*(IF(M101="",L101,IFERROR(IF(INDEX(Variablen!$I:$AT, MATCH(M101, Variablen!$A:$A, 0), MATCH((YEAR(D101)+11), Variablen!$I$3:$AT$3, 0))="",L101,INDEX(Variablen!$I:$AT, MATCH(M101, Variablen!$A:$A, 0), MATCH((YEAR(D101)+11), Variablen!$I$3:$AT$3, 0))),L101)))*(IF((YEAR(D101)+11)&lt;YEAR(E101),0,IF((YEAR(D101)+11)&gt;YEAR(E101),1,(12-MONTH(E101)+1)/12))) + (Q101)*(IF((YEAR(D101)+11)&lt;YEAR(E101),0,IF((YEAR(D101)+11)&gt;YEAR(E101),1,(12-MONTH(E101)+1)/12))))-((P101)*(IF((YEAR(D101)+11)&lt;YEAR(E101),0,IF((YEAR(D101)+11)&gt;YEAR(E101),1,(12-MONTH(E101)+1)/12))) + (R101)*(IF((YEAR(D101)+11)&lt;YEAR(E101),0,IF((YEAR(D101)+11)&gt;YEAR(E101),1,(12-MONTH(E101)+1)/12))))-(IF(OR(N101="",N101&lt;=0),0,(O101/N101)*(IF(OR(N101="",N101&lt;=0),0,IF((YEAR(D101)+11)&lt;YEAR(E101),0,IF((YEAR(D101)+11)&gt;=YEAR(E101)+N101,0,IF((YEAR(D101)+11)=YEAR(E101),(12-MONTH(E101)+1)/12,1))))))))*TaxRate,0))-IF(11=0,O101,0))</f>
        <v/>
      </c>
      <c r="AE101" s="29">
        <f>IF(A101="","",((K101)*(IF(M101="",L101,IFERROR(IF(INDEX(Variablen!$I:$AT, MATCH(M101, Variablen!$A:$A, 0), MATCH((YEAR(D101)+12), Variablen!$I$3:$AT$3, 0))="",L101,INDEX(Variablen!$I:$AT, MATCH(M101, Variablen!$A:$A, 0), MATCH((YEAR(D101)+12), Variablen!$I$3:$AT$3, 0))),L101)))*(IF((YEAR(D101)+12)&lt;YEAR(E101),0,IF((YEAR(D101)+12)&gt;YEAR(E101),1,(12-MONTH(E101)+1)/12))) + (Q101)*(IF((YEAR(D101)+12)&lt;YEAR(E101),0,IF((YEAR(D101)+12)&gt;YEAR(E101),1,(12-MONTH(E101)+1)/12))))-((P101)*(IF((YEAR(D101)+12)&lt;YEAR(E101),0,IF((YEAR(D101)+12)&gt;YEAR(E101),1,(12-MONTH(E101)+1)/12))) + (R101)*(IF((YEAR(D101)+12)&lt;YEAR(E101),0,IF((YEAR(D101)+12)&gt;YEAR(E101),1,(12-MONTH(E101)+1)/12))))-(IF((((K101)*(IF(M101="",L101,IFERROR(IF(INDEX(Variablen!$I:$AT, MATCH(M101, Variablen!$A:$A, 0), MATCH((YEAR(D101)+12), Variablen!$I$3:$AT$3, 0))="",L101,INDEX(Variablen!$I:$AT, MATCH(M101, Variablen!$A:$A, 0), MATCH((YEAR(D101)+12), Variablen!$I$3:$AT$3, 0))),L101)))*(IF((YEAR(D101)+12)&lt;YEAR(E101),0,IF((YEAR(D101)+12)&gt;YEAR(E101),1,(12-MONTH(E101)+1)/12))) + (Q101)*(IF((YEAR(D101)+12)&lt;YEAR(E101),0,IF((YEAR(D101)+12)&gt;YEAR(E101),1,(12-MONTH(E101)+1)/12))))-((P101)*(IF((YEAR(D101)+12)&lt;YEAR(E101),0,IF((YEAR(D101)+12)&gt;YEAR(E101),1,(12-MONTH(E101)+1)/12))) + (R101)*(IF((YEAR(D101)+12)&lt;YEAR(E101),0,IF((YEAR(D101)+12)&gt;YEAR(E101),1,(12-MONTH(E101)+1)/12))))-(IF(OR(N101="",N101&lt;=0),0,(O101/N101)*(IF(OR(N101="",N101&lt;=0),0,IF((YEAR(D101)+12)&lt;YEAR(E101),0,IF((YEAR(D101)+12)&gt;=YEAR(E101)+N101,0,IF((YEAR(D101)+12)=YEAR(E101),(12-MONTH(E101)+1)/12,1))))))))&gt;0,(((K101)*(IF(M101="",L101,IFERROR(IF(INDEX(Variablen!$I:$AT, MATCH(M101, Variablen!$A:$A, 0), MATCH((YEAR(D101)+12), Variablen!$I$3:$AT$3, 0))="",L101,INDEX(Variablen!$I:$AT, MATCH(M101, Variablen!$A:$A, 0), MATCH((YEAR(D101)+12), Variablen!$I$3:$AT$3, 0))),L101)))*(IF((YEAR(D101)+12)&lt;YEAR(E101),0,IF((YEAR(D101)+12)&gt;YEAR(E101),1,(12-MONTH(E101)+1)/12))) + (Q101)*(IF((YEAR(D101)+12)&lt;YEAR(E101),0,IF((YEAR(D101)+12)&gt;YEAR(E101),1,(12-MONTH(E101)+1)/12))))-((P101)*(IF((YEAR(D101)+12)&lt;YEAR(E101),0,IF((YEAR(D101)+12)&gt;YEAR(E101),1,(12-MONTH(E101)+1)/12))) + (R101)*(IF((YEAR(D101)+12)&lt;YEAR(E101),0,IF((YEAR(D101)+12)&gt;YEAR(E101),1,(12-MONTH(E101)+1)/12))))-(IF(OR(N101="",N101&lt;=0),0,(O101/N101)*(IF(OR(N101="",N101&lt;=0),0,IF((YEAR(D101)+12)&lt;YEAR(E101),0,IF((YEAR(D101)+12)&gt;=YEAR(E101)+N101,0,IF((YEAR(D101)+12)=YEAR(E101),(12-MONTH(E101)+1)/12,1))))))))*TaxRate,0))-IF(12=0,O101,0))</f>
        <v/>
      </c>
      <c r="AF101" s="29">
        <f>IF(A101="","",((K101)*(IF(M101="",L101,IFERROR(IF(INDEX(Variablen!$I:$AT, MATCH(M101, Variablen!$A:$A, 0), MATCH((YEAR(D101)+13), Variablen!$I$3:$AT$3, 0))="",L101,INDEX(Variablen!$I:$AT, MATCH(M101, Variablen!$A:$A, 0), MATCH((YEAR(D101)+13), Variablen!$I$3:$AT$3, 0))),L101)))*(IF((YEAR(D101)+13)&lt;YEAR(E101),0,IF((YEAR(D101)+13)&gt;YEAR(E101),1,(12-MONTH(E101)+1)/12))) + (Q101)*(IF((YEAR(D101)+13)&lt;YEAR(E101),0,IF((YEAR(D101)+13)&gt;YEAR(E101),1,(12-MONTH(E101)+1)/12))))-((P101)*(IF((YEAR(D101)+13)&lt;YEAR(E101),0,IF((YEAR(D101)+13)&gt;YEAR(E101),1,(12-MONTH(E101)+1)/12))) + (R101)*(IF((YEAR(D101)+13)&lt;YEAR(E101),0,IF((YEAR(D101)+13)&gt;YEAR(E101),1,(12-MONTH(E101)+1)/12))))-(IF((((K101)*(IF(M101="",L101,IFERROR(IF(INDEX(Variablen!$I:$AT, MATCH(M101, Variablen!$A:$A, 0), MATCH((YEAR(D101)+13), Variablen!$I$3:$AT$3, 0))="",L101,INDEX(Variablen!$I:$AT, MATCH(M101, Variablen!$A:$A, 0), MATCH((YEAR(D101)+13), Variablen!$I$3:$AT$3, 0))),L101)))*(IF((YEAR(D101)+13)&lt;YEAR(E101),0,IF((YEAR(D101)+13)&gt;YEAR(E101),1,(12-MONTH(E101)+1)/12))) + (Q101)*(IF((YEAR(D101)+13)&lt;YEAR(E101),0,IF((YEAR(D101)+13)&gt;YEAR(E101),1,(12-MONTH(E101)+1)/12))))-((P101)*(IF((YEAR(D101)+13)&lt;YEAR(E101),0,IF((YEAR(D101)+13)&gt;YEAR(E101),1,(12-MONTH(E101)+1)/12))) + (R101)*(IF((YEAR(D101)+13)&lt;YEAR(E101),0,IF((YEAR(D101)+13)&gt;YEAR(E101),1,(12-MONTH(E101)+1)/12))))-(IF(OR(N101="",N101&lt;=0),0,(O101/N101)*(IF(OR(N101="",N101&lt;=0),0,IF((YEAR(D101)+13)&lt;YEAR(E101),0,IF((YEAR(D101)+13)&gt;=YEAR(E101)+N101,0,IF((YEAR(D101)+13)=YEAR(E101),(12-MONTH(E101)+1)/12,1))))))))&gt;0,(((K101)*(IF(M101="",L101,IFERROR(IF(INDEX(Variablen!$I:$AT, MATCH(M101, Variablen!$A:$A, 0), MATCH((YEAR(D101)+13), Variablen!$I$3:$AT$3, 0))="",L101,INDEX(Variablen!$I:$AT, MATCH(M101, Variablen!$A:$A, 0), MATCH((YEAR(D101)+13), Variablen!$I$3:$AT$3, 0))),L101)))*(IF((YEAR(D101)+13)&lt;YEAR(E101),0,IF((YEAR(D101)+13)&gt;YEAR(E101),1,(12-MONTH(E101)+1)/12))) + (Q101)*(IF((YEAR(D101)+13)&lt;YEAR(E101),0,IF((YEAR(D101)+13)&gt;YEAR(E101),1,(12-MONTH(E101)+1)/12))))-((P101)*(IF((YEAR(D101)+13)&lt;YEAR(E101),0,IF((YEAR(D101)+13)&gt;YEAR(E101),1,(12-MONTH(E101)+1)/12))) + (R101)*(IF((YEAR(D101)+13)&lt;YEAR(E101),0,IF((YEAR(D101)+13)&gt;YEAR(E101),1,(12-MONTH(E101)+1)/12))))-(IF(OR(N101="",N101&lt;=0),0,(O101/N101)*(IF(OR(N101="",N101&lt;=0),0,IF((YEAR(D101)+13)&lt;YEAR(E101),0,IF((YEAR(D101)+13)&gt;=YEAR(E101)+N101,0,IF((YEAR(D101)+13)=YEAR(E101),(12-MONTH(E101)+1)/12,1))))))))*TaxRate,0))-IF(13=0,O101,0))</f>
        <v/>
      </c>
      <c r="AG101" s="29">
        <f>IF(A101="","",((K101)*(IF(M101="",L101,IFERROR(IF(INDEX(Variablen!$I:$AT, MATCH(M101, Variablen!$A:$A, 0), MATCH((YEAR(D101)+14), Variablen!$I$3:$AT$3, 0))="",L101,INDEX(Variablen!$I:$AT, MATCH(M101, Variablen!$A:$A, 0), MATCH((YEAR(D101)+14), Variablen!$I$3:$AT$3, 0))),L101)))*(IF((YEAR(D101)+14)&lt;YEAR(E101),0,IF((YEAR(D101)+14)&gt;YEAR(E101),1,(12-MONTH(E101)+1)/12))) + (Q101)*(IF((YEAR(D101)+14)&lt;YEAR(E101),0,IF((YEAR(D101)+14)&gt;YEAR(E101),1,(12-MONTH(E101)+1)/12))))-((P101)*(IF((YEAR(D101)+14)&lt;YEAR(E101),0,IF((YEAR(D101)+14)&gt;YEAR(E101),1,(12-MONTH(E101)+1)/12))) + (R101)*(IF((YEAR(D101)+14)&lt;YEAR(E101),0,IF((YEAR(D101)+14)&gt;YEAR(E101),1,(12-MONTH(E101)+1)/12))))-(IF((((K101)*(IF(M101="",L101,IFERROR(IF(INDEX(Variablen!$I:$AT, MATCH(M101, Variablen!$A:$A, 0), MATCH((YEAR(D101)+14), Variablen!$I$3:$AT$3, 0))="",L101,INDEX(Variablen!$I:$AT, MATCH(M101, Variablen!$A:$A, 0), MATCH((YEAR(D101)+14), Variablen!$I$3:$AT$3, 0))),L101)))*(IF((YEAR(D101)+14)&lt;YEAR(E101),0,IF((YEAR(D101)+14)&gt;YEAR(E101),1,(12-MONTH(E101)+1)/12))) + (Q101)*(IF((YEAR(D101)+14)&lt;YEAR(E101),0,IF((YEAR(D101)+14)&gt;YEAR(E101),1,(12-MONTH(E101)+1)/12))))-((P101)*(IF((YEAR(D101)+14)&lt;YEAR(E101),0,IF((YEAR(D101)+14)&gt;YEAR(E101),1,(12-MONTH(E101)+1)/12))) + (R101)*(IF((YEAR(D101)+14)&lt;YEAR(E101),0,IF((YEAR(D101)+14)&gt;YEAR(E101),1,(12-MONTH(E101)+1)/12))))-(IF(OR(N101="",N101&lt;=0),0,(O101/N101)*(IF(OR(N101="",N101&lt;=0),0,IF((YEAR(D101)+14)&lt;YEAR(E101),0,IF((YEAR(D101)+14)&gt;=YEAR(E101)+N101,0,IF((YEAR(D101)+14)=YEAR(E101),(12-MONTH(E101)+1)/12,1))))))))&gt;0,(((K101)*(IF(M101="",L101,IFERROR(IF(INDEX(Variablen!$I:$AT, MATCH(M101, Variablen!$A:$A, 0), MATCH((YEAR(D101)+14), Variablen!$I$3:$AT$3, 0))="",L101,INDEX(Variablen!$I:$AT, MATCH(M101, Variablen!$A:$A, 0), MATCH((YEAR(D101)+14), Variablen!$I$3:$AT$3, 0))),L101)))*(IF((YEAR(D101)+14)&lt;YEAR(E101),0,IF((YEAR(D101)+14)&gt;YEAR(E101),1,(12-MONTH(E101)+1)/12))) + (Q101)*(IF((YEAR(D101)+14)&lt;YEAR(E101),0,IF((YEAR(D101)+14)&gt;YEAR(E101),1,(12-MONTH(E101)+1)/12))))-((P101)*(IF((YEAR(D101)+14)&lt;YEAR(E101),0,IF((YEAR(D101)+14)&gt;YEAR(E101),1,(12-MONTH(E101)+1)/12))) + (R101)*(IF((YEAR(D101)+14)&lt;YEAR(E101),0,IF((YEAR(D101)+14)&gt;YEAR(E101),1,(12-MONTH(E101)+1)/12))))-(IF(OR(N101="",N101&lt;=0),0,(O101/N101)*(IF(OR(N101="",N101&lt;=0),0,IF((YEAR(D101)+14)&lt;YEAR(E101),0,IF((YEAR(D101)+14)&gt;=YEAR(E101)+N101,0,IF((YEAR(D101)+14)=YEAR(E101),(12-MONTH(E101)+1)/12,1))))))))*TaxRate,0))-IF(14=0,O101,0))</f>
        <v/>
      </c>
      <c r="AH101" s="29">
        <f>IF(A101="","",((K101)*(IF(M101="",L101,IFERROR(IF(INDEX(Variablen!$I:$AT, MATCH(M101, Variablen!$A:$A, 0), MATCH((YEAR(D101)+15), Variablen!$I$3:$AT$3, 0))="",L101,INDEX(Variablen!$I:$AT, MATCH(M101, Variablen!$A:$A, 0), MATCH((YEAR(D101)+15), Variablen!$I$3:$AT$3, 0))),L101)))*(IF((YEAR(D101)+15)&lt;YEAR(E101),0,IF((YEAR(D101)+15)&gt;YEAR(E101),1,(12-MONTH(E101)+1)/12))) + (Q101)*(IF((YEAR(D101)+15)&lt;YEAR(E101),0,IF((YEAR(D101)+15)&gt;YEAR(E101),1,(12-MONTH(E101)+1)/12))))-((P101)*(IF((YEAR(D101)+15)&lt;YEAR(E101),0,IF((YEAR(D101)+15)&gt;YEAR(E101),1,(12-MONTH(E101)+1)/12))) + (R101)*(IF((YEAR(D101)+15)&lt;YEAR(E101),0,IF((YEAR(D101)+15)&gt;YEAR(E101),1,(12-MONTH(E101)+1)/12))))-(IF((((K101)*(IF(M101="",L101,IFERROR(IF(INDEX(Variablen!$I:$AT, MATCH(M101, Variablen!$A:$A, 0), MATCH((YEAR(D101)+15), Variablen!$I$3:$AT$3, 0))="",L101,INDEX(Variablen!$I:$AT, MATCH(M101, Variablen!$A:$A, 0), MATCH((YEAR(D101)+15), Variablen!$I$3:$AT$3, 0))),L101)))*(IF((YEAR(D101)+15)&lt;YEAR(E101),0,IF((YEAR(D101)+15)&gt;YEAR(E101),1,(12-MONTH(E101)+1)/12))) + (Q101)*(IF((YEAR(D101)+15)&lt;YEAR(E101),0,IF((YEAR(D101)+15)&gt;YEAR(E101),1,(12-MONTH(E101)+1)/12))))-((P101)*(IF((YEAR(D101)+15)&lt;YEAR(E101),0,IF((YEAR(D101)+15)&gt;YEAR(E101),1,(12-MONTH(E101)+1)/12))) + (R101)*(IF((YEAR(D101)+15)&lt;YEAR(E101),0,IF((YEAR(D101)+15)&gt;YEAR(E101),1,(12-MONTH(E101)+1)/12))))-(IF(OR(N101="",N101&lt;=0),0,(O101/N101)*(IF(OR(N101="",N101&lt;=0),0,IF((YEAR(D101)+15)&lt;YEAR(E101),0,IF((YEAR(D101)+15)&gt;=YEAR(E101)+N101,0,IF((YEAR(D101)+15)=YEAR(E101),(12-MONTH(E101)+1)/12,1))))))))&gt;0,(((K101)*(IF(M101="",L101,IFERROR(IF(INDEX(Variablen!$I:$AT, MATCH(M101, Variablen!$A:$A, 0), MATCH((YEAR(D101)+15), Variablen!$I$3:$AT$3, 0))="",L101,INDEX(Variablen!$I:$AT, MATCH(M101, Variablen!$A:$A, 0), MATCH((YEAR(D101)+15), Variablen!$I$3:$AT$3, 0))),L101)))*(IF((YEAR(D101)+15)&lt;YEAR(E101),0,IF((YEAR(D101)+15)&gt;YEAR(E101),1,(12-MONTH(E101)+1)/12))) + (Q101)*(IF((YEAR(D101)+15)&lt;YEAR(E101),0,IF((YEAR(D101)+15)&gt;YEAR(E101),1,(12-MONTH(E101)+1)/12))))-((P101)*(IF((YEAR(D101)+15)&lt;YEAR(E101),0,IF((YEAR(D101)+15)&gt;YEAR(E101),1,(12-MONTH(E101)+1)/12))) + (R101)*(IF((YEAR(D101)+15)&lt;YEAR(E101),0,IF((YEAR(D101)+15)&gt;YEAR(E101),1,(12-MONTH(E101)+1)/12))))-(IF(OR(N101="",N101&lt;=0),0,(O101/N101)*(IF(OR(N101="",N101&lt;=0),0,IF((YEAR(D101)+15)&lt;YEAR(E101),0,IF((YEAR(D101)+15)&gt;=YEAR(E101)+N101,0,IF((YEAR(D101)+15)=YEAR(E101),(12-MONTH(E101)+1)/12,1))))))))*TaxRate,0))-IF(15=0,O101,0))</f>
        <v/>
      </c>
      <c r="AI101" s="29">
        <f>IF(A101="","",((K101)*(IF(M101="",L101,IFERROR(IF(INDEX(Variablen!$I:$AT, MATCH(M101, Variablen!$A:$A, 0), MATCH((YEAR(D101)+16), Variablen!$I$3:$AT$3, 0))="",L101,INDEX(Variablen!$I:$AT, MATCH(M101, Variablen!$A:$A, 0), MATCH((YEAR(D101)+16), Variablen!$I$3:$AT$3, 0))),L101)))*(IF((YEAR(D101)+16)&lt;YEAR(E101),0,IF((YEAR(D101)+16)&gt;YEAR(E101),1,(12-MONTH(E101)+1)/12))) + (Q101)*(IF((YEAR(D101)+16)&lt;YEAR(E101),0,IF((YEAR(D101)+16)&gt;YEAR(E101),1,(12-MONTH(E101)+1)/12))))-((P101)*(IF((YEAR(D101)+16)&lt;YEAR(E101),0,IF((YEAR(D101)+16)&gt;YEAR(E101),1,(12-MONTH(E101)+1)/12))) + (R101)*(IF((YEAR(D101)+16)&lt;YEAR(E101),0,IF((YEAR(D101)+16)&gt;YEAR(E101),1,(12-MONTH(E101)+1)/12))))-(IF((((K101)*(IF(M101="",L101,IFERROR(IF(INDEX(Variablen!$I:$AT, MATCH(M101, Variablen!$A:$A, 0), MATCH((YEAR(D101)+16), Variablen!$I$3:$AT$3, 0))="",L101,INDEX(Variablen!$I:$AT, MATCH(M101, Variablen!$A:$A, 0), MATCH((YEAR(D101)+16), Variablen!$I$3:$AT$3, 0))),L101)))*(IF((YEAR(D101)+16)&lt;YEAR(E101),0,IF((YEAR(D101)+16)&gt;YEAR(E101),1,(12-MONTH(E101)+1)/12))) + (Q101)*(IF((YEAR(D101)+16)&lt;YEAR(E101),0,IF((YEAR(D101)+16)&gt;YEAR(E101),1,(12-MONTH(E101)+1)/12))))-((P101)*(IF((YEAR(D101)+16)&lt;YEAR(E101),0,IF((YEAR(D101)+16)&gt;YEAR(E101),1,(12-MONTH(E101)+1)/12))) + (R101)*(IF((YEAR(D101)+16)&lt;YEAR(E101),0,IF((YEAR(D101)+16)&gt;YEAR(E101),1,(12-MONTH(E101)+1)/12))))-(IF(OR(N101="",N101&lt;=0),0,(O101/N101)*(IF(OR(N101="",N101&lt;=0),0,IF((YEAR(D101)+16)&lt;YEAR(E101),0,IF((YEAR(D101)+16)&gt;=YEAR(E101)+N101,0,IF((YEAR(D101)+16)=YEAR(E101),(12-MONTH(E101)+1)/12,1))))))))&gt;0,(((K101)*(IF(M101="",L101,IFERROR(IF(INDEX(Variablen!$I:$AT, MATCH(M101, Variablen!$A:$A, 0), MATCH((YEAR(D101)+16), Variablen!$I$3:$AT$3, 0))="",L101,INDEX(Variablen!$I:$AT, MATCH(M101, Variablen!$A:$A, 0), MATCH((YEAR(D101)+16), Variablen!$I$3:$AT$3, 0))),L101)))*(IF((YEAR(D101)+16)&lt;YEAR(E101),0,IF((YEAR(D101)+16)&gt;YEAR(E101),1,(12-MONTH(E101)+1)/12))) + (Q101)*(IF((YEAR(D101)+16)&lt;YEAR(E101),0,IF((YEAR(D101)+16)&gt;YEAR(E101),1,(12-MONTH(E101)+1)/12))))-((P101)*(IF((YEAR(D101)+16)&lt;YEAR(E101),0,IF((YEAR(D101)+16)&gt;YEAR(E101),1,(12-MONTH(E101)+1)/12))) + (R101)*(IF((YEAR(D101)+16)&lt;YEAR(E101),0,IF((YEAR(D101)+16)&gt;YEAR(E101),1,(12-MONTH(E101)+1)/12))))-(IF(OR(N101="",N101&lt;=0),0,(O101/N101)*(IF(OR(N101="",N101&lt;=0),0,IF((YEAR(D101)+16)&lt;YEAR(E101),0,IF((YEAR(D101)+16)&gt;=YEAR(E101)+N101,0,IF((YEAR(D101)+16)=YEAR(E101),(12-MONTH(E101)+1)/12,1))))))))*TaxRate,0))-IF(16=0,O101,0))</f>
        <v/>
      </c>
      <c r="AJ101" s="29">
        <f>IF(A101="","",((K101)*(IF(M101="",L101,IFERROR(IF(INDEX(Variablen!$I:$AT, MATCH(M101, Variablen!$A:$A, 0), MATCH((YEAR(D101)+17), Variablen!$I$3:$AT$3, 0))="",L101,INDEX(Variablen!$I:$AT, MATCH(M101, Variablen!$A:$A, 0), MATCH((YEAR(D101)+17), Variablen!$I$3:$AT$3, 0))),L101)))*(IF((YEAR(D101)+17)&lt;YEAR(E101),0,IF((YEAR(D101)+17)&gt;YEAR(E101),1,(12-MONTH(E101)+1)/12))) + (Q101)*(IF((YEAR(D101)+17)&lt;YEAR(E101),0,IF((YEAR(D101)+17)&gt;YEAR(E101),1,(12-MONTH(E101)+1)/12))))-((P101)*(IF((YEAR(D101)+17)&lt;YEAR(E101),0,IF((YEAR(D101)+17)&gt;YEAR(E101),1,(12-MONTH(E101)+1)/12))) + (R101)*(IF((YEAR(D101)+17)&lt;YEAR(E101),0,IF((YEAR(D101)+17)&gt;YEAR(E101),1,(12-MONTH(E101)+1)/12))))-(IF((((K101)*(IF(M101="",L101,IFERROR(IF(INDEX(Variablen!$I:$AT, MATCH(M101, Variablen!$A:$A, 0), MATCH((YEAR(D101)+17), Variablen!$I$3:$AT$3, 0))="",L101,INDEX(Variablen!$I:$AT, MATCH(M101, Variablen!$A:$A, 0), MATCH((YEAR(D101)+17), Variablen!$I$3:$AT$3, 0))),L101)))*(IF((YEAR(D101)+17)&lt;YEAR(E101),0,IF((YEAR(D101)+17)&gt;YEAR(E101),1,(12-MONTH(E101)+1)/12))) + (Q101)*(IF((YEAR(D101)+17)&lt;YEAR(E101),0,IF((YEAR(D101)+17)&gt;YEAR(E101),1,(12-MONTH(E101)+1)/12))))-((P101)*(IF((YEAR(D101)+17)&lt;YEAR(E101),0,IF((YEAR(D101)+17)&gt;YEAR(E101),1,(12-MONTH(E101)+1)/12))) + (R101)*(IF((YEAR(D101)+17)&lt;YEAR(E101),0,IF((YEAR(D101)+17)&gt;YEAR(E101),1,(12-MONTH(E101)+1)/12))))-(IF(OR(N101="",N101&lt;=0),0,(O101/N101)*(IF(OR(N101="",N101&lt;=0),0,IF((YEAR(D101)+17)&lt;YEAR(E101),0,IF((YEAR(D101)+17)&gt;=YEAR(E101)+N101,0,IF((YEAR(D101)+17)=YEAR(E101),(12-MONTH(E101)+1)/12,1))))))))&gt;0,(((K101)*(IF(M101="",L101,IFERROR(IF(INDEX(Variablen!$I:$AT, MATCH(M101, Variablen!$A:$A, 0), MATCH((YEAR(D101)+17), Variablen!$I$3:$AT$3, 0))="",L101,INDEX(Variablen!$I:$AT, MATCH(M101, Variablen!$A:$A, 0), MATCH((YEAR(D101)+17), Variablen!$I$3:$AT$3, 0))),L101)))*(IF((YEAR(D101)+17)&lt;YEAR(E101),0,IF((YEAR(D101)+17)&gt;YEAR(E101),1,(12-MONTH(E101)+1)/12))) + (Q101)*(IF((YEAR(D101)+17)&lt;YEAR(E101),0,IF((YEAR(D101)+17)&gt;YEAR(E101),1,(12-MONTH(E101)+1)/12))))-((P101)*(IF((YEAR(D101)+17)&lt;YEAR(E101),0,IF((YEAR(D101)+17)&gt;YEAR(E101),1,(12-MONTH(E101)+1)/12))) + (R101)*(IF((YEAR(D101)+17)&lt;YEAR(E101),0,IF((YEAR(D101)+17)&gt;YEAR(E101),1,(12-MONTH(E101)+1)/12))))-(IF(OR(N101="",N101&lt;=0),0,(O101/N101)*(IF(OR(N101="",N101&lt;=0),0,IF((YEAR(D101)+17)&lt;YEAR(E101),0,IF((YEAR(D101)+17)&gt;=YEAR(E101)+N101,0,IF((YEAR(D101)+17)=YEAR(E101),(12-MONTH(E101)+1)/12,1))))))))*TaxRate,0))-IF(17=0,O101,0))</f>
        <v/>
      </c>
      <c r="AK101" s="29">
        <f>IF(A101="","",((K101)*(IF(M101="",L101,IFERROR(IF(INDEX(Variablen!$I:$AT, MATCH(M101, Variablen!$A:$A, 0), MATCH((YEAR(D101)+18), Variablen!$I$3:$AT$3, 0))="",L101,INDEX(Variablen!$I:$AT, MATCH(M101, Variablen!$A:$A, 0), MATCH((YEAR(D101)+18), Variablen!$I$3:$AT$3, 0))),L101)))*(IF((YEAR(D101)+18)&lt;YEAR(E101),0,IF((YEAR(D101)+18)&gt;YEAR(E101),1,(12-MONTH(E101)+1)/12))) + (Q101)*(IF((YEAR(D101)+18)&lt;YEAR(E101),0,IF((YEAR(D101)+18)&gt;YEAR(E101),1,(12-MONTH(E101)+1)/12))))-((P101)*(IF((YEAR(D101)+18)&lt;YEAR(E101),0,IF((YEAR(D101)+18)&gt;YEAR(E101),1,(12-MONTH(E101)+1)/12))) + (R101)*(IF((YEAR(D101)+18)&lt;YEAR(E101),0,IF((YEAR(D101)+18)&gt;YEAR(E101),1,(12-MONTH(E101)+1)/12))))-(IF((((K101)*(IF(M101="",L101,IFERROR(IF(INDEX(Variablen!$I:$AT, MATCH(M101, Variablen!$A:$A, 0), MATCH((YEAR(D101)+18), Variablen!$I$3:$AT$3, 0))="",L101,INDEX(Variablen!$I:$AT, MATCH(M101, Variablen!$A:$A, 0), MATCH((YEAR(D101)+18), Variablen!$I$3:$AT$3, 0))),L101)))*(IF((YEAR(D101)+18)&lt;YEAR(E101),0,IF((YEAR(D101)+18)&gt;YEAR(E101),1,(12-MONTH(E101)+1)/12))) + (Q101)*(IF((YEAR(D101)+18)&lt;YEAR(E101),0,IF((YEAR(D101)+18)&gt;YEAR(E101),1,(12-MONTH(E101)+1)/12))))-((P101)*(IF((YEAR(D101)+18)&lt;YEAR(E101),0,IF((YEAR(D101)+18)&gt;YEAR(E101),1,(12-MONTH(E101)+1)/12))) + (R101)*(IF((YEAR(D101)+18)&lt;YEAR(E101),0,IF((YEAR(D101)+18)&gt;YEAR(E101),1,(12-MONTH(E101)+1)/12))))-(IF(OR(N101="",N101&lt;=0),0,(O101/N101)*(IF(OR(N101="",N101&lt;=0),0,IF((YEAR(D101)+18)&lt;YEAR(E101),0,IF((YEAR(D101)+18)&gt;=YEAR(E101)+N101,0,IF((YEAR(D101)+18)=YEAR(E101),(12-MONTH(E101)+1)/12,1))))))))&gt;0,(((K101)*(IF(M101="",L101,IFERROR(IF(INDEX(Variablen!$I:$AT, MATCH(M101, Variablen!$A:$A, 0), MATCH((YEAR(D101)+18), Variablen!$I$3:$AT$3, 0))="",L101,INDEX(Variablen!$I:$AT, MATCH(M101, Variablen!$A:$A, 0), MATCH((YEAR(D101)+18), Variablen!$I$3:$AT$3, 0))),L101)))*(IF((YEAR(D101)+18)&lt;YEAR(E101),0,IF((YEAR(D101)+18)&gt;YEAR(E101),1,(12-MONTH(E101)+1)/12))) + (Q101)*(IF((YEAR(D101)+18)&lt;YEAR(E101),0,IF((YEAR(D101)+18)&gt;YEAR(E101),1,(12-MONTH(E101)+1)/12))))-((P101)*(IF((YEAR(D101)+18)&lt;YEAR(E101),0,IF((YEAR(D101)+18)&gt;YEAR(E101),1,(12-MONTH(E101)+1)/12))) + (R101)*(IF((YEAR(D101)+18)&lt;YEAR(E101),0,IF((YEAR(D101)+18)&gt;YEAR(E101),1,(12-MONTH(E101)+1)/12))))-(IF(OR(N101="",N101&lt;=0),0,(O101/N101)*(IF(OR(N101="",N101&lt;=0),0,IF((YEAR(D101)+18)&lt;YEAR(E101),0,IF((YEAR(D101)+18)&gt;=YEAR(E101)+N101,0,IF((YEAR(D101)+18)=YEAR(E101),(12-MONTH(E101)+1)/12,1))))))))*TaxRate,0))-IF(18=0,O101,0))</f>
        <v/>
      </c>
      <c r="AL101" s="29">
        <f>IF(A101="","",((K101)*(IF(M101="",L101,IFERROR(IF(INDEX(Variablen!$I:$AT, MATCH(M101, Variablen!$A:$A, 0), MATCH((YEAR(D101)+19), Variablen!$I$3:$AT$3, 0))="",L101,INDEX(Variablen!$I:$AT, MATCH(M101, Variablen!$A:$A, 0), MATCH((YEAR(D101)+19), Variablen!$I$3:$AT$3, 0))),L101)))*(IF((YEAR(D101)+19)&lt;YEAR(E101),0,IF((YEAR(D101)+19)&gt;YEAR(E101),1,(12-MONTH(E101)+1)/12))) + (Q101)*(IF((YEAR(D101)+19)&lt;YEAR(E101),0,IF((YEAR(D101)+19)&gt;YEAR(E101),1,(12-MONTH(E101)+1)/12))))-((P101)*(IF((YEAR(D101)+19)&lt;YEAR(E101),0,IF((YEAR(D101)+19)&gt;YEAR(E101),1,(12-MONTH(E101)+1)/12))) + (R101)*(IF((YEAR(D101)+19)&lt;YEAR(E101),0,IF((YEAR(D101)+19)&gt;YEAR(E101),1,(12-MONTH(E101)+1)/12))))-(IF((((K101)*(IF(M101="",L101,IFERROR(IF(INDEX(Variablen!$I:$AT, MATCH(M101, Variablen!$A:$A, 0), MATCH((YEAR(D101)+19), Variablen!$I$3:$AT$3, 0))="",L101,INDEX(Variablen!$I:$AT, MATCH(M101, Variablen!$A:$A, 0), MATCH((YEAR(D101)+19), Variablen!$I$3:$AT$3, 0))),L101)))*(IF((YEAR(D101)+19)&lt;YEAR(E101),0,IF((YEAR(D101)+19)&gt;YEAR(E101),1,(12-MONTH(E101)+1)/12))) + (Q101)*(IF((YEAR(D101)+19)&lt;YEAR(E101),0,IF((YEAR(D101)+19)&gt;YEAR(E101),1,(12-MONTH(E101)+1)/12))))-((P101)*(IF((YEAR(D101)+19)&lt;YEAR(E101),0,IF((YEAR(D101)+19)&gt;YEAR(E101),1,(12-MONTH(E101)+1)/12))) + (R101)*(IF((YEAR(D101)+19)&lt;YEAR(E101),0,IF((YEAR(D101)+19)&gt;YEAR(E101),1,(12-MONTH(E101)+1)/12))))-(IF(OR(N101="",N101&lt;=0),0,(O101/N101)*(IF(OR(N101="",N101&lt;=0),0,IF((YEAR(D101)+19)&lt;YEAR(E101),0,IF((YEAR(D101)+19)&gt;=YEAR(E101)+N101,0,IF((YEAR(D101)+19)=YEAR(E101),(12-MONTH(E101)+1)/12,1))))))))&gt;0,(((K101)*(IF(M101="",L101,IFERROR(IF(INDEX(Variablen!$I:$AT, MATCH(M101, Variablen!$A:$A, 0), MATCH((YEAR(D101)+19), Variablen!$I$3:$AT$3, 0))="",L101,INDEX(Variablen!$I:$AT, MATCH(M101, Variablen!$A:$A, 0), MATCH((YEAR(D101)+19), Variablen!$I$3:$AT$3, 0))),L101)))*(IF((YEAR(D101)+19)&lt;YEAR(E101),0,IF((YEAR(D101)+19)&gt;YEAR(E101),1,(12-MONTH(E101)+1)/12))) + (Q101)*(IF((YEAR(D101)+19)&lt;YEAR(E101),0,IF((YEAR(D101)+19)&gt;YEAR(E101),1,(12-MONTH(E101)+1)/12))))-((P101)*(IF((YEAR(D101)+19)&lt;YEAR(E101),0,IF((YEAR(D101)+19)&gt;YEAR(E101),1,(12-MONTH(E101)+1)/12))) + (R101)*(IF((YEAR(D101)+19)&lt;YEAR(E101),0,IF((YEAR(D101)+19)&gt;YEAR(E101),1,(12-MONTH(E101)+1)/12))))-(IF(OR(N101="",N101&lt;=0),0,(O101/N101)*(IF(OR(N101="",N101&lt;=0),0,IF((YEAR(D101)+19)&lt;YEAR(E101),0,IF((YEAR(D101)+19)&gt;=YEAR(E101)+N101,0,IF((YEAR(D101)+19)=YEAR(E101),(12-MONTH(E101)+1)/12,1))))))))*TaxRate,0))-IF(19=0,O101,0))</f>
        <v/>
      </c>
      <c r="AM101" s="29">
        <f>IF(A101="","",((K101)*(IF(M101="",L101,IFERROR(IF(INDEX(Variablen!$I:$AT, MATCH(M101, Variablen!$A:$A, 0), MATCH((YEAR(D101)+20), Variablen!$I$3:$AT$3, 0))="",L101,INDEX(Variablen!$I:$AT, MATCH(M101, Variablen!$A:$A, 0), MATCH((YEAR(D101)+20), Variablen!$I$3:$AT$3, 0))),L101)))*(IF((YEAR(D101)+20)&lt;YEAR(E101),0,IF((YEAR(D101)+20)&gt;YEAR(E101),1,(12-MONTH(E101)+1)/12))) + (Q101)*(IF((YEAR(D101)+20)&lt;YEAR(E101),0,IF((YEAR(D101)+20)&gt;YEAR(E101),1,(12-MONTH(E101)+1)/12))))-((P101)*(IF((YEAR(D101)+20)&lt;YEAR(E101),0,IF((YEAR(D101)+20)&gt;YEAR(E101),1,(12-MONTH(E101)+1)/12))) + (R101)*(IF((YEAR(D101)+20)&lt;YEAR(E101),0,IF((YEAR(D101)+20)&gt;YEAR(E101),1,(12-MONTH(E101)+1)/12))))-(IF((((K101)*(IF(M101="",L101,IFERROR(IF(INDEX(Variablen!$I:$AT, MATCH(M101, Variablen!$A:$A, 0), MATCH((YEAR(D101)+20), Variablen!$I$3:$AT$3, 0))="",L101,INDEX(Variablen!$I:$AT, MATCH(M101, Variablen!$A:$A, 0), MATCH((YEAR(D101)+20), Variablen!$I$3:$AT$3, 0))),L101)))*(IF((YEAR(D101)+20)&lt;YEAR(E101),0,IF((YEAR(D101)+20)&gt;YEAR(E101),1,(12-MONTH(E101)+1)/12))) + (Q101)*(IF((YEAR(D101)+20)&lt;YEAR(E101),0,IF((YEAR(D101)+20)&gt;YEAR(E101),1,(12-MONTH(E101)+1)/12))))-((P101)*(IF((YEAR(D101)+20)&lt;YEAR(E101),0,IF((YEAR(D101)+20)&gt;YEAR(E101),1,(12-MONTH(E101)+1)/12))) + (R101)*(IF((YEAR(D101)+20)&lt;YEAR(E101),0,IF((YEAR(D101)+20)&gt;YEAR(E101),1,(12-MONTH(E101)+1)/12))))-(IF(OR(N101="",N101&lt;=0),0,(O101/N101)*(IF(OR(N101="",N101&lt;=0),0,IF((YEAR(D101)+20)&lt;YEAR(E101),0,IF((YEAR(D101)+20)&gt;=YEAR(E101)+N101,0,IF((YEAR(D101)+20)=YEAR(E101),(12-MONTH(E101)+1)/12,1))))))))&gt;0,(((K101)*(IF(M101="",L101,IFERROR(IF(INDEX(Variablen!$I:$AT, MATCH(M101, Variablen!$A:$A, 0), MATCH((YEAR(D101)+20), Variablen!$I$3:$AT$3, 0))="",L101,INDEX(Variablen!$I:$AT, MATCH(M101, Variablen!$A:$A, 0), MATCH((YEAR(D101)+20), Variablen!$I$3:$AT$3, 0))),L101)))*(IF((YEAR(D101)+20)&lt;YEAR(E101),0,IF((YEAR(D101)+20)&gt;YEAR(E101),1,(12-MONTH(E101)+1)/12))) + (Q101)*(IF((YEAR(D101)+20)&lt;YEAR(E101),0,IF((YEAR(D101)+20)&gt;YEAR(E101),1,(12-MONTH(E101)+1)/12))))-((P101)*(IF((YEAR(D101)+20)&lt;YEAR(E101),0,IF((YEAR(D101)+20)&gt;YEAR(E101),1,(12-MONTH(E101)+1)/12))) + (R101)*(IF((YEAR(D101)+20)&lt;YEAR(E101),0,IF((YEAR(D101)+20)&gt;YEAR(E101),1,(12-MONTH(E101)+1)/12))))-(IF(OR(N101="",N101&lt;=0),0,(O101/N101)*(IF(OR(N101="",N101&lt;=0),0,IF((YEAR(D101)+20)&lt;YEAR(E101),0,IF((YEAR(D101)+20)&gt;=YEAR(E101)+N101,0,IF((YEAR(D101)+20)=YEAR(E101),(12-MONTH(E101)+1)/12,1))))))))*TaxRate,0))-IF(20=0,O101,0))</f>
        <v/>
      </c>
      <c r="AN101" s="29">
        <f>IF(A101="","",S101)</f>
        <v/>
      </c>
      <c r="AO101" s="29">
        <f>IF(A101="","",AN101+T101)</f>
        <v/>
      </c>
      <c r="AP101" s="29">
        <f>IF(A101="","",AO101+U101)</f>
        <v/>
      </c>
      <c r="AQ101" s="29">
        <f>IF(A101="","",AP101+V101)</f>
        <v/>
      </c>
      <c r="AR101" s="29">
        <f>IF(A101="","",AQ101+W101)</f>
        <v/>
      </c>
      <c r="AS101" s="29">
        <f>IF(A101="","",AR101+X101)</f>
        <v/>
      </c>
      <c r="AT101" s="29">
        <f>IF(A101="","",AS101+Y101)</f>
        <v/>
      </c>
      <c r="AU101" s="29">
        <f>IF(A101="","",AT101+Z101)</f>
        <v/>
      </c>
      <c r="AV101" s="29">
        <f>IF(A101="","",AU101+AA101)</f>
        <v/>
      </c>
      <c r="AW101" s="29">
        <f>IF(A101="","",AV101+AB101)</f>
        <v/>
      </c>
      <c r="AX101" s="29">
        <f>IF(A101="","",AW101+AC101)</f>
        <v/>
      </c>
      <c r="AY101" s="29">
        <f>IF(A101="","",AX101+AD101)</f>
        <v/>
      </c>
      <c r="AZ101" s="29">
        <f>IF(A101="","",AY101+AE101)</f>
        <v/>
      </c>
      <c r="BA101" s="29">
        <f>IF(A101="","",AZ101+AF101)</f>
        <v/>
      </c>
      <c r="BB101" s="29">
        <f>IF(A101="","",BA101+AG101)</f>
        <v/>
      </c>
      <c r="BC101" s="29">
        <f>IF(A101="","",BB101+AH101)</f>
        <v/>
      </c>
      <c r="BD101" s="29">
        <f>IF(A101="","",BC101+AI101)</f>
        <v/>
      </c>
      <c r="BE101" s="29">
        <f>IF(A101="","",BD101+AJ101)</f>
        <v/>
      </c>
      <c r="BF101" s="29">
        <f>IF(A101="","",BE101+AK101)</f>
        <v/>
      </c>
      <c r="BG101" s="29">
        <f>IF(A101="","",BF101+AL101)</f>
        <v/>
      </c>
      <c r="BH101" s="29">
        <f>IF(A101="","",BG101+AM101)</f>
        <v/>
      </c>
      <c r="BI101" s="36">
        <f>IF(A101="","",(K101)*(IF((YEAR(D101)+0)&lt;YEAR(E101),0,IF((YEAR(D101)+0)&gt;YEAR(E101),1,(12-MONTH(E101)+1)/12)))*(1/(1+DiscountRate)^0))</f>
        <v/>
      </c>
      <c r="BJ101" s="36">
        <f>IF(A101="","",(K101)*(IF((YEAR(D101)+1)&lt;YEAR(E101),0,IF((YEAR(D101)+1)&gt;YEAR(E101),1,(12-MONTH(E101)+1)/12)))*(1/(1+DiscountRate)^1))</f>
        <v/>
      </c>
      <c r="BK101" s="36">
        <f>IF(A101="","",(K101)*(IF((YEAR(D101)+2)&lt;YEAR(E101),0,IF((YEAR(D101)+2)&gt;YEAR(E101),1,(12-MONTH(E101)+1)/12)))*(1/(1+DiscountRate)^2))</f>
        <v/>
      </c>
      <c r="BL101" s="36">
        <f>IF(A101="","",(K101)*(IF((YEAR(D101)+3)&lt;YEAR(E101),0,IF((YEAR(D101)+3)&gt;YEAR(E101),1,(12-MONTH(E101)+1)/12)))*(1/(1+DiscountRate)^3))</f>
        <v/>
      </c>
      <c r="BM101" s="36">
        <f>IF(A101="","",(K101)*(IF((YEAR(D101)+4)&lt;YEAR(E101),0,IF((YEAR(D101)+4)&gt;YEAR(E101),1,(12-MONTH(E101)+1)/12)))*(1/(1+DiscountRate)^4))</f>
        <v/>
      </c>
      <c r="BN101" s="36">
        <f>IF(A101="","",(K101)*(IF((YEAR(D101)+5)&lt;YEAR(E101),0,IF((YEAR(D101)+5)&gt;YEAR(E101),1,(12-MONTH(E101)+1)/12)))*(1/(1+DiscountRate)^5))</f>
        <v/>
      </c>
      <c r="BO101" s="36">
        <f>IF(A101="","",(K101)*(IF((YEAR(D101)+6)&lt;YEAR(E101),0,IF((YEAR(D101)+6)&gt;YEAR(E101),1,(12-MONTH(E101)+1)/12)))*(1/(1+DiscountRate)^6))</f>
        <v/>
      </c>
      <c r="BP101" s="36">
        <f>IF(A101="","",(K101)*(IF((YEAR(D101)+7)&lt;YEAR(E101),0,IF((YEAR(D101)+7)&gt;YEAR(E101),1,(12-MONTH(E101)+1)/12)))*(1/(1+DiscountRate)^7))</f>
        <v/>
      </c>
      <c r="BQ101" s="36">
        <f>IF(A101="","",(K101)*(IF((YEAR(D101)+8)&lt;YEAR(E101),0,IF((YEAR(D101)+8)&gt;YEAR(E101),1,(12-MONTH(E101)+1)/12)))*(1/(1+DiscountRate)^8))</f>
        <v/>
      </c>
      <c r="BR101" s="36">
        <f>IF(A101="","",(K101)*(IF((YEAR(D101)+9)&lt;YEAR(E101),0,IF((YEAR(D101)+9)&gt;YEAR(E101),1,(12-MONTH(E101)+1)/12)))*(1/(1+DiscountRate)^9))</f>
        <v/>
      </c>
      <c r="BS101" s="36">
        <f>IF(A101="","",(K101)*(IF((YEAR(D101)+10)&lt;YEAR(E101),0,IF((YEAR(D101)+10)&gt;YEAR(E101),1,(12-MONTH(E101)+1)/12)))*(1/(1+DiscountRate)^10))</f>
        <v/>
      </c>
      <c r="BT101" s="36">
        <f>IF(A101="","",(K101)*(IF((YEAR(D101)+11)&lt;YEAR(E101),0,IF((YEAR(D101)+11)&gt;YEAR(E101),1,(12-MONTH(E101)+1)/12)))*(1/(1+DiscountRate)^11))</f>
        <v/>
      </c>
      <c r="BU101" s="36">
        <f>IF(A101="","",(K101)*(IF((YEAR(D101)+12)&lt;YEAR(E101),0,IF((YEAR(D101)+12)&gt;YEAR(E101),1,(12-MONTH(E101)+1)/12)))*(1/(1+DiscountRate)^12))</f>
        <v/>
      </c>
      <c r="BV101" s="36">
        <f>IF(A101="","",(K101)*(IF((YEAR(D101)+13)&lt;YEAR(E101),0,IF((YEAR(D101)+13)&gt;YEAR(E101),1,(12-MONTH(E101)+1)/12)))*(1/(1+DiscountRate)^13))</f>
        <v/>
      </c>
      <c r="BW101" s="36">
        <f>IF(A101="","",(K101)*(IF((YEAR(D101)+14)&lt;YEAR(E101),0,IF((YEAR(D101)+14)&gt;YEAR(E101),1,(12-MONTH(E101)+1)/12)))*(1/(1+DiscountRate)^14))</f>
        <v/>
      </c>
      <c r="BX101" s="36">
        <f>IF(A101="","",(K101)*(IF((YEAR(D101)+15)&lt;YEAR(E101),0,IF((YEAR(D101)+15)&gt;YEAR(E101),1,(12-MONTH(E101)+1)/12)))*(1/(1+DiscountRate)^15))</f>
        <v/>
      </c>
      <c r="BY101" s="36">
        <f>IF(A101="","",(K101)*(IF((YEAR(D101)+16)&lt;YEAR(E101),0,IF((YEAR(D101)+16)&gt;YEAR(E101),1,(12-MONTH(E101)+1)/12)))*(1/(1+DiscountRate)^16))</f>
        <v/>
      </c>
      <c r="BZ101" s="36">
        <f>IF(A101="","",(K101)*(IF((YEAR(D101)+17)&lt;YEAR(E101),0,IF((YEAR(D101)+17)&gt;YEAR(E101),1,(12-MONTH(E101)+1)/12)))*(1/(1+DiscountRate)^17))</f>
        <v/>
      </c>
      <c r="CA101" s="36">
        <f>IF(A101="","",(K101)*(IF((YEAR(D101)+18)&lt;YEAR(E101),0,IF((YEAR(D101)+18)&gt;YEAR(E101),1,(12-MONTH(E101)+1)/12)))*(1/(1+DiscountRate)^18))</f>
        <v/>
      </c>
      <c r="CB101" s="36">
        <f>IF(A101="","",(K101)*(IF((YEAR(D101)+19)&lt;YEAR(E101),0,IF((YEAR(D101)+19)&gt;YEAR(E101),1,(12-MONTH(E101)+1)/12)))*(1/(1+DiscountRate)^19))</f>
        <v/>
      </c>
      <c r="CC101" s="36">
        <f>IF(A101="","",(K101)*(IF((YEAR(D101)+20)&lt;YEAR(E101),0,IF((YEAR(D101)+20)&gt;YEAR(E101),1,(12-MONTH(E101)+1)/12)))*(1/(1+DiscountRate)^20))</f>
        <v/>
      </c>
      <c r="CD101" s="29">
        <f>IF(A101="","",S101/(1+DiscountRate)^0+T101/(1+DiscountRate)^1+U101/(1+DiscountRate)^2+V101/(1+DiscountRate)^3+W101/(1+DiscountRate)^4+X101/(1+DiscountRate)^5+Y101/(1+DiscountRate)^6+Z101/(1+DiscountRate)^7+AA101/(1+DiscountRate)^8+AB101/(1+DiscountRate)^9+AC101/(1+DiscountRate)^10+AD101/(1+DiscountRate)^11+AE101/(1+DiscountRate)^12+AF101/(1+DiscountRate)^13+AG101/(1+DiscountRate)^14+AH101/(1+DiscountRate)^15+AI101/(1+DiscountRate)^16+AJ101/(1+DiscountRate)^17+AK101/(1+DiscountRate)^18+AL101/(1+DiscountRate)^19+AM101/(1+DiscountRate)^20)</f>
        <v/>
      </c>
      <c r="CE101" s="37">
        <f>IF(A101="","",IFERROR(IRR(OFFSET(S101,0,0,1,MIN(HorizonYears,20)+1)),"n/a"))</f>
        <v/>
      </c>
      <c r="CF101" s="28">
        <f>IF(A101="","",IFERROR(MATCH(TRUE,OFFSET(AN101,0,0,1,MIN(HorizonYears,20)+1)&gt;=0,0)-1,"n/a"))</f>
        <v/>
      </c>
      <c r="CG101" s="36">
        <f>IF(A101="","",SUM(OFFSET(BI101,0,0,1,MIN(HorizonYears,20)+1)))</f>
        <v/>
      </c>
      <c r="CH101" s="36">
        <f>IF(A101="","",IFERROR(-CD101/CG101,"n/a"))</f>
        <v/>
      </c>
    </row>
    <row r="102">
      <c r="A102" s="6">
        <f>Actions!A100</f>
        <v/>
      </c>
      <c r="B102" s="6">
        <f>Actions!B100</f>
        <v/>
      </c>
      <c r="C102" s="6">
        <f>Actions!D100</f>
        <v/>
      </c>
      <c r="D102" s="35">
        <f>Actions!E100</f>
        <v/>
      </c>
      <c r="E102" s="35">
        <f>Actions!F100</f>
        <v/>
      </c>
      <c r="F102" s="6">
        <f>Actions!G100</f>
        <v/>
      </c>
      <c r="G102" s="6">
        <f>Actions!H100</f>
        <v/>
      </c>
      <c r="H102" s="29">
        <f>Actions!I100</f>
        <v/>
      </c>
      <c r="I102" s="6">
        <f>Actions!J100</f>
        <v/>
      </c>
      <c r="J102" s="16">
        <f>Actions!K100</f>
        <v/>
      </c>
      <c r="K102" s="16">
        <f>IF(A102="","",IF(I102="%",H102*J102,J102))</f>
        <v/>
      </c>
      <c r="L102" s="16">
        <f>Actions!L100</f>
        <v/>
      </c>
      <c r="M102" s="6">
        <f>Actions!M100</f>
        <v/>
      </c>
      <c r="N102" s="28">
        <f>Actions!N100</f>
        <v/>
      </c>
      <c r="O102" s="29">
        <f>Actions!T100</f>
        <v/>
      </c>
      <c r="P102" s="29">
        <f>Actions!Y100</f>
        <v/>
      </c>
      <c r="Q102" s="29">
        <f>Actions!Z100</f>
        <v/>
      </c>
      <c r="R102" s="29">
        <f>Actions!AA100</f>
        <v/>
      </c>
      <c r="S102" s="29">
        <f>IF(A102="","",((K102)*(IF(M102="",L102,IFERROR(IF(INDEX(Variablen!$I:$AT, MATCH(M102, Variablen!$A:$A, 0), MATCH((YEAR(D102)+0), Variablen!$I$3:$AT$3, 0))="",L102,INDEX(Variablen!$I:$AT, MATCH(M102, Variablen!$A:$A, 0), MATCH((YEAR(D102)+0), Variablen!$I$3:$AT$3, 0))),L102)))*(IF((YEAR(D102)+0)&lt;YEAR(E102),0,IF((YEAR(D102)+0)&gt;YEAR(E102),1,(12-MONTH(E102)+1)/12))) + (Q102)*(IF((YEAR(D102)+0)&lt;YEAR(E102),0,IF((YEAR(D102)+0)&gt;YEAR(E102),1,(12-MONTH(E102)+1)/12))))-((P102)*(IF((YEAR(D102)+0)&lt;YEAR(E102),0,IF((YEAR(D102)+0)&gt;YEAR(E102),1,(12-MONTH(E102)+1)/12))) + (R102)*(IF((YEAR(D102)+0)&lt;YEAR(E102),0,IF((YEAR(D102)+0)&gt;YEAR(E102),1,(12-MONTH(E102)+1)/12))))-(IF((((K102)*(IF(M102="",L102,IFERROR(IF(INDEX(Variablen!$I:$AT, MATCH(M102, Variablen!$A:$A, 0), MATCH((YEAR(D102)+0), Variablen!$I$3:$AT$3, 0))="",L102,INDEX(Variablen!$I:$AT, MATCH(M102, Variablen!$A:$A, 0), MATCH((YEAR(D102)+0), Variablen!$I$3:$AT$3, 0))),L102)))*(IF((YEAR(D102)+0)&lt;YEAR(E102),0,IF((YEAR(D102)+0)&gt;YEAR(E102),1,(12-MONTH(E102)+1)/12))) + (Q102)*(IF((YEAR(D102)+0)&lt;YEAR(E102),0,IF((YEAR(D102)+0)&gt;YEAR(E102),1,(12-MONTH(E102)+1)/12))))-((P102)*(IF((YEAR(D102)+0)&lt;YEAR(E102),0,IF((YEAR(D102)+0)&gt;YEAR(E102),1,(12-MONTH(E102)+1)/12))) + (R102)*(IF((YEAR(D102)+0)&lt;YEAR(E102),0,IF((YEAR(D102)+0)&gt;YEAR(E102),1,(12-MONTH(E102)+1)/12))))-(IF(OR(N102="",N102&lt;=0),0,(O102/N102)*(IF(OR(N102="",N102&lt;=0),0,IF((YEAR(D102)+0)&lt;YEAR(E102),0,IF((YEAR(D102)+0)&gt;=YEAR(E102)+N102,0,IF((YEAR(D102)+0)=YEAR(E102),(12-MONTH(E102)+1)/12,1))))))))&gt;0,(((K102)*(IF(M102="",L102,IFERROR(IF(INDEX(Variablen!$I:$AT, MATCH(M102, Variablen!$A:$A, 0), MATCH((YEAR(D102)+0), Variablen!$I$3:$AT$3, 0))="",L102,INDEX(Variablen!$I:$AT, MATCH(M102, Variablen!$A:$A, 0), MATCH((YEAR(D102)+0), Variablen!$I$3:$AT$3, 0))),L102)))*(IF((YEAR(D102)+0)&lt;YEAR(E102),0,IF((YEAR(D102)+0)&gt;YEAR(E102),1,(12-MONTH(E102)+1)/12))) + (Q102)*(IF((YEAR(D102)+0)&lt;YEAR(E102),0,IF((YEAR(D102)+0)&gt;YEAR(E102),1,(12-MONTH(E102)+1)/12))))-((P102)*(IF((YEAR(D102)+0)&lt;YEAR(E102),0,IF((YEAR(D102)+0)&gt;YEAR(E102),1,(12-MONTH(E102)+1)/12))) + (R102)*(IF((YEAR(D102)+0)&lt;YEAR(E102),0,IF((YEAR(D102)+0)&gt;YEAR(E102),1,(12-MONTH(E102)+1)/12))))-(IF(OR(N102="",N102&lt;=0),0,(O102/N102)*(IF(OR(N102="",N102&lt;=0),0,IF((YEAR(D102)+0)&lt;YEAR(E102),0,IF((YEAR(D102)+0)&gt;=YEAR(E102)+N102,0,IF((YEAR(D102)+0)=YEAR(E102),(12-MONTH(E102)+1)/12,1))))))))*TaxRate,0))-IF(0=0,O102,0))</f>
        <v/>
      </c>
      <c r="T102" s="29">
        <f>IF(A102="","",((K102)*(IF(M102="",L102,IFERROR(IF(INDEX(Variablen!$I:$AT, MATCH(M102, Variablen!$A:$A, 0), MATCH((YEAR(D102)+1), Variablen!$I$3:$AT$3, 0))="",L102,INDEX(Variablen!$I:$AT, MATCH(M102, Variablen!$A:$A, 0), MATCH((YEAR(D102)+1), Variablen!$I$3:$AT$3, 0))),L102)))*(IF((YEAR(D102)+1)&lt;YEAR(E102),0,IF((YEAR(D102)+1)&gt;YEAR(E102),1,(12-MONTH(E102)+1)/12))) + (Q102)*(IF((YEAR(D102)+1)&lt;YEAR(E102),0,IF((YEAR(D102)+1)&gt;YEAR(E102),1,(12-MONTH(E102)+1)/12))))-((P102)*(IF((YEAR(D102)+1)&lt;YEAR(E102),0,IF((YEAR(D102)+1)&gt;YEAR(E102),1,(12-MONTH(E102)+1)/12))) + (R102)*(IF((YEAR(D102)+1)&lt;YEAR(E102),0,IF((YEAR(D102)+1)&gt;YEAR(E102),1,(12-MONTH(E102)+1)/12))))-(IF((((K102)*(IF(M102="",L102,IFERROR(IF(INDEX(Variablen!$I:$AT, MATCH(M102, Variablen!$A:$A, 0), MATCH((YEAR(D102)+1), Variablen!$I$3:$AT$3, 0))="",L102,INDEX(Variablen!$I:$AT, MATCH(M102, Variablen!$A:$A, 0), MATCH((YEAR(D102)+1), Variablen!$I$3:$AT$3, 0))),L102)))*(IF((YEAR(D102)+1)&lt;YEAR(E102),0,IF((YEAR(D102)+1)&gt;YEAR(E102),1,(12-MONTH(E102)+1)/12))) + (Q102)*(IF((YEAR(D102)+1)&lt;YEAR(E102),0,IF((YEAR(D102)+1)&gt;YEAR(E102),1,(12-MONTH(E102)+1)/12))))-((P102)*(IF((YEAR(D102)+1)&lt;YEAR(E102),0,IF((YEAR(D102)+1)&gt;YEAR(E102),1,(12-MONTH(E102)+1)/12))) + (R102)*(IF((YEAR(D102)+1)&lt;YEAR(E102),0,IF((YEAR(D102)+1)&gt;YEAR(E102),1,(12-MONTH(E102)+1)/12))))-(IF(OR(N102="",N102&lt;=0),0,(O102/N102)*(IF(OR(N102="",N102&lt;=0),0,IF((YEAR(D102)+1)&lt;YEAR(E102),0,IF((YEAR(D102)+1)&gt;=YEAR(E102)+N102,0,IF((YEAR(D102)+1)=YEAR(E102),(12-MONTH(E102)+1)/12,1))))))))&gt;0,(((K102)*(IF(M102="",L102,IFERROR(IF(INDEX(Variablen!$I:$AT, MATCH(M102, Variablen!$A:$A, 0), MATCH((YEAR(D102)+1), Variablen!$I$3:$AT$3, 0))="",L102,INDEX(Variablen!$I:$AT, MATCH(M102, Variablen!$A:$A, 0), MATCH((YEAR(D102)+1), Variablen!$I$3:$AT$3, 0))),L102)))*(IF((YEAR(D102)+1)&lt;YEAR(E102),0,IF((YEAR(D102)+1)&gt;YEAR(E102),1,(12-MONTH(E102)+1)/12))) + (Q102)*(IF((YEAR(D102)+1)&lt;YEAR(E102),0,IF((YEAR(D102)+1)&gt;YEAR(E102),1,(12-MONTH(E102)+1)/12))))-((P102)*(IF((YEAR(D102)+1)&lt;YEAR(E102),0,IF((YEAR(D102)+1)&gt;YEAR(E102),1,(12-MONTH(E102)+1)/12))) + (R102)*(IF((YEAR(D102)+1)&lt;YEAR(E102),0,IF((YEAR(D102)+1)&gt;YEAR(E102),1,(12-MONTH(E102)+1)/12))))-(IF(OR(N102="",N102&lt;=0),0,(O102/N102)*(IF(OR(N102="",N102&lt;=0),0,IF((YEAR(D102)+1)&lt;YEAR(E102),0,IF((YEAR(D102)+1)&gt;=YEAR(E102)+N102,0,IF((YEAR(D102)+1)=YEAR(E102),(12-MONTH(E102)+1)/12,1))))))))*TaxRate,0))-IF(1=0,O102,0))</f>
        <v/>
      </c>
      <c r="U102" s="29">
        <f>IF(A102="","",((K102)*(IF(M102="",L102,IFERROR(IF(INDEX(Variablen!$I:$AT, MATCH(M102, Variablen!$A:$A, 0), MATCH((YEAR(D102)+2), Variablen!$I$3:$AT$3, 0))="",L102,INDEX(Variablen!$I:$AT, MATCH(M102, Variablen!$A:$A, 0), MATCH((YEAR(D102)+2), Variablen!$I$3:$AT$3, 0))),L102)))*(IF((YEAR(D102)+2)&lt;YEAR(E102),0,IF((YEAR(D102)+2)&gt;YEAR(E102),1,(12-MONTH(E102)+1)/12))) + (Q102)*(IF((YEAR(D102)+2)&lt;YEAR(E102),0,IF((YEAR(D102)+2)&gt;YEAR(E102),1,(12-MONTH(E102)+1)/12))))-((P102)*(IF((YEAR(D102)+2)&lt;YEAR(E102),0,IF((YEAR(D102)+2)&gt;YEAR(E102),1,(12-MONTH(E102)+1)/12))) + (R102)*(IF((YEAR(D102)+2)&lt;YEAR(E102),0,IF((YEAR(D102)+2)&gt;YEAR(E102),1,(12-MONTH(E102)+1)/12))))-(IF((((K102)*(IF(M102="",L102,IFERROR(IF(INDEX(Variablen!$I:$AT, MATCH(M102, Variablen!$A:$A, 0), MATCH((YEAR(D102)+2), Variablen!$I$3:$AT$3, 0))="",L102,INDEX(Variablen!$I:$AT, MATCH(M102, Variablen!$A:$A, 0), MATCH((YEAR(D102)+2), Variablen!$I$3:$AT$3, 0))),L102)))*(IF((YEAR(D102)+2)&lt;YEAR(E102),0,IF((YEAR(D102)+2)&gt;YEAR(E102),1,(12-MONTH(E102)+1)/12))) + (Q102)*(IF((YEAR(D102)+2)&lt;YEAR(E102),0,IF((YEAR(D102)+2)&gt;YEAR(E102),1,(12-MONTH(E102)+1)/12))))-((P102)*(IF((YEAR(D102)+2)&lt;YEAR(E102),0,IF((YEAR(D102)+2)&gt;YEAR(E102),1,(12-MONTH(E102)+1)/12))) + (R102)*(IF((YEAR(D102)+2)&lt;YEAR(E102),0,IF((YEAR(D102)+2)&gt;YEAR(E102),1,(12-MONTH(E102)+1)/12))))-(IF(OR(N102="",N102&lt;=0),0,(O102/N102)*(IF(OR(N102="",N102&lt;=0),0,IF((YEAR(D102)+2)&lt;YEAR(E102),0,IF((YEAR(D102)+2)&gt;=YEAR(E102)+N102,0,IF((YEAR(D102)+2)=YEAR(E102),(12-MONTH(E102)+1)/12,1))))))))&gt;0,(((K102)*(IF(M102="",L102,IFERROR(IF(INDEX(Variablen!$I:$AT, MATCH(M102, Variablen!$A:$A, 0), MATCH((YEAR(D102)+2), Variablen!$I$3:$AT$3, 0))="",L102,INDEX(Variablen!$I:$AT, MATCH(M102, Variablen!$A:$A, 0), MATCH((YEAR(D102)+2), Variablen!$I$3:$AT$3, 0))),L102)))*(IF((YEAR(D102)+2)&lt;YEAR(E102),0,IF((YEAR(D102)+2)&gt;YEAR(E102),1,(12-MONTH(E102)+1)/12))) + (Q102)*(IF((YEAR(D102)+2)&lt;YEAR(E102),0,IF((YEAR(D102)+2)&gt;YEAR(E102),1,(12-MONTH(E102)+1)/12))))-((P102)*(IF((YEAR(D102)+2)&lt;YEAR(E102),0,IF((YEAR(D102)+2)&gt;YEAR(E102),1,(12-MONTH(E102)+1)/12))) + (R102)*(IF((YEAR(D102)+2)&lt;YEAR(E102),0,IF((YEAR(D102)+2)&gt;YEAR(E102),1,(12-MONTH(E102)+1)/12))))-(IF(OR(N102="",N102&lt;=0),0,(O102/N102)*(IF(OR(N102="",N102&lt;=0),0,IF((YEAR(D102)+2)&lt;YEAR(E102),0,IF((YEAR(D102)+2)&gt;=YEAR(E102)+N102,0,IF((YEAR(D102)+2)=YEAR(E102),(12-MONTH(E102)+1)/12,1))))))))*TaxRate,0))-IF(2=0,O102,0))</f>
        <v/>
      </c>
      <c r="V102" s="29">
        <f>IF(A102="","",((K102)*(IF(M102="",L102,IFERROR(IF(INDEX(Variablen!$I:$AT, MATCH(M102, Variablen!$A:$A, 0), MATCH((YEAR(D102)+3), Variablen!$I$3:$AT$3, 0))="",L102,INDEX(Variablen!$I:$AT, MATCH(M102, Variablen!$A:$A, 0), MATCH((YEAR(D102)+3), Variablen!$I$3:$AT$3, 0))),L102)))*(IF((YEAR(D102)+3)&lt;YEAR(E102),0,IF((YEAR(D102)+3)&gt;YEAR(E102),1,(12-MONTH(E102)+1)/12))) + (Q102)*(IF((YEAR(D102)+3)&lt;YEAR(E102),0,IF((YEAR(D102)+3)&gt;YEAR(E102),1,(12-MONTH(E102)+1)/12))))-((P102)*(IF((YEAR(D102)+3)&lt;YEAR(E102),0,IF((YEAR(D102)+3)&gt;YEAR(E102),1,(12-MONTH(E102)+1)/12))) + (R102)*(IF((YEAR(D102)+3)&lt;YEAR(E102),0,IF((YEAR(D102)+3)&gt;YEAR(E102),1,(12-MONTH(E102)+1)/12))))-(IF((((K102)*(IF(M102="",L102,IFERROR(IF(INDEX(Variablen!$I:$AT, MATCH(M102, Variablen!$A:$A, 0), MATCH((YEAR(D102)+3), Variablen!$I$3:$AT$3, 0))="",L102,INDEX(Variablen!$I:$AT, MATCH(M102, Variablen!$A:$A, 0), MATCH((YEAR(D102)+3), Variablen!$I$3:$AT$3, 0))),L102)))*(IF((YEAR(D102)+3)&lt;YEAR(E102),0,IF((YEAR(D102)+3)&gt;YEAR(E102),1,(12-MONTH(E102)+1)/12))) + (Q102)*(IF((YEAR(D102)+3)&lt;YEAR(E102),0,IF((YEAR(D102)+3)&gt;YEAR(E102),1,(12-MONTH(E102)+1)/12))))-((P102)*(IF((YEAR(D102)+3)&lt;YEAR(E102),0,IF((YEAR(D102)+3)&gt;YEAR(E102),1,(12-MONTH(E102)+1)/12))) + (R102)*(IF((YEAR(D102)+3)&lt;YEAR(E102),0,IF((YEAR(D102)+3)&gt;YEAR(E102),1,(12-MONTH(E102)+1)/12))))-(IF(OR(N102="",N102&lt;=0),0,(O102/N102)*(IF(OR(N102="",N102&lt;=0),0,IF((YEAR(D102)+3)&lt;YEAR(E102),0,IF((YEAR(D102)+3)&gt;=YEAR(E102)+N102,0,IF((YEAR(D102)+3)=YEAR(E102),(12-MONTH(E102)+1)/12,1))))))))&gt;0,(((K102)*(IF(M102="",L102,IFERROR(IF(INDEX(Variablen!$I:$AT, MATCH(M102, Variablen!$A:$A, 0), MATCH((YEAR(D102)+3), Variablen!$I$3:$AT$3, 0))="",L102,INDEX(Variablen!$I:$AT, MATCH(M102, Variablen!$A:$A, 0), MATCH((YEAR(D102)+3), Variablen!$I$3:$AT$3, 0))),L102)))*(IF((YEAR(D102)+3)&lt;YEAR(E102),0,IF((YEAR(D102)+3)&gt;YEAR(E102),1,(12-MONTH(E102)+1)/12))) + (Q102)*(IF((YEAR(D102)+3)&lt;YEAR(E102),0,IF((YEAR(D102)+3)&gt;YEAR(E102),1,(12-MONTH(E102)+1)/12))))-((P102)*(IF((YEAR(D102)+3)&lt;YEAR(E102),0,IF((YEAR(D102)+3)&gt;YEAR(E102),1,(12-MONTH(E102)+1)/12))) + (R102)*(IF((YEAR(D102)+3)&lt;YEAR(E102),0,IF((YEAR(D102)+3)&gt;YEAR(E102),1,(12-MONTH(E102)+1)/12))))-(IF(OR(N102="",N102&lt;=0),0,(O102/N102)*(IF(OR(N102="",N102&lt;=0),0,IF((YEAR(D102)+3)&lt;YEAR(E102),0,IF((YEAR(D102)+3)&gt;=YEAR(E102)+N102,0,IF((YEAR(D102)+3)=YEAR(E102),(12-MONTH(E102)+1)/12,1))))))))*TaxRate,0))-IF(3=0,O102,0))</f>
        <v/>
      </c>
      <c r="W102" s="29">
        <f>IF(A102="","",((K102)*(IF(M102="",L102,IFERROR(IF(INDEX(Variablen!$I:$AT, MATCH(M102, Variablen!$A:$A, 0), MATCH((YEAR(D102)+4), Variablen!$I$3:$AT$3, 0))="",L102,INDEX(Variablen!$I:$AT, MATCH(M102, Variablen!$A:$A, 0), MATCH((YEAR(D102)+4), Variablen!$I$3:$AT$3, 0))),L102)))*(IF((YEAR(D102)+4)&lt;YEAR(E102),0,IF((YEAR(D102)+4)&gt;YEAR(E102),1,(12-MONTH(E102)+1)/12))) + (Q102)*(IF((YEAR(D102)+4)&lt;YEAR(E102),0,IF((YEAR(D102)+4)&gt;YEAR(E102),1,(12-MONTH(E102)+1)/12))))-((P102)*(IF((YEAR(D102)+4)&lt;YEAR(E102),0,IF((YEAR(D102)+4)&gt;YEAR(E102),1,(12-MONTH(E102)+1)/12))) + (R102)*(IF((YEAR(D102)+4)&lt;YEAR(E102),0,IF((YEAR(D102)+4)&gt;YEAR(E102),1,(12-MONTH(E102)+1)/12))))-(IF((((K102)*(IF(M102="",L102,IFERROR(IF(INDEX(Variablen!$I:$AT, MATCH(M102, Variablen!$A:$A, 0), MATCH((YEAR(D102)+4), Variablen!$I$3:$AT$3, 0))="",L102,INDEX(Variablen!$I:$AT, MATCH(M102, Variablen!$A:$A, 0), MATCH((YEAR(D102)+4), Variablen!$I$3:$AT$3, 0))),L102)))*(IF((YEAR(D102)+4)&lt;YEAR(E102),0,IF((YEAR(D102)+4)&gt;YEAR(E102),1,(12-MONTH(E102)+1)/12))) + (Q102)*(IF((YEAR(D102)+4)&lt;YEAR(E102),0,IF((YEAR(D102)+4)&gt;YEAR(E102),1,(12-MONTH(E102)+1)/12))))-((P102)*(IF((YEAR(D102)+4)&lt;YEAR(E102),0,IF((YEAR(D102)+4)&gt;YEAR(E102),1,(12-MONTH(E102)+1)/12))) + (R102)*(IF((YEAR(D102)+4)&lt;YEAR(E102),0,IF((YEAR(D102)+4)&gt;YEAR(E102),1,(12-MONTH(E102)+1)/12))))-(IF(OR(N102="",N102&lt;=0),0,(O102/N102)*(IF(OR(N102="",N102&lt;=0),0,IF((YEAR(D102)+4)&lt;YEAR(E102),0,IF((YEAR(D102)+4)&gt;=YEAR(E102)+N102,0,IF((YEAR(D102)+4)=YEAR(E102),(12-MONTH(E102)+1)/12,1))))))))&gt;0,(((K102)*(IF(M102="",L102,IFERROR(IF(INDEX(Variablen!$I:$AT, MATCH(M102, Variablen!$A:$A, 0), MATCH((YEAR(D102)+4), Variablen!$I$3:$AT$3, 0))="",L102,INDEX(Variablen!$I:$AT, MATCH(M102, Variablen!$A:$A, 0), MATCH((YEAR(D102)+4), Variablen!$I$3:$AT$3, 0))),L102)))*(IF((YEAR(D102)+4)&lt;YEAR(E102),0,IF((YEAR(D102)+4)&gt;YEAR(E102),1,(12-MONTH(E102)+1)/12))) + (Q102)*(IF((YEAR(D102)+4)&lt;YEAR(E102),0,IF((YEAR(D102)+4)&gt;YEAR(E102),1,(12-MONTH(E102)+1)/12))))-((P102)*(IF((YEAR(D102)+4)&lt;YEAR(E102),0,IF((YEAR(D102)+4)&gt;YEAR(E102),1,(12-MONTH(E102)+1)/12))) + (R102)*(IF((YEAR(D102)+4)&lt;YEAR(E102),0,IF((YEAR(D102)+4)&gt;YEAR(E102),1,(12-MONTH(E102)+1)/12))))-(IF(OR(N102="",N102&lt;=0),0,(O102/N102)*(IF(OR(N102="",N102&lt;=0),0,IF((YEAR(D102)+4)&lt;YEAR(E102),0,IF((YEAR(D102)+4)&gt;=YEAR(E102)+N102,0,IF((YEAR(D102)+4)=YEAR(E102),(12-MONTH(E102)+1)/12,1))))))))*TaxRate,0))-IF(4=0,O102,0))</f>
        <v/>
      </c>
      <c r="X102" s="29">
        <f>IF(A102="","",((K102)*(IF(M102="",L102,IFERROR(IF(INDEX(Variablen!$I:$AT, MATCH(M102, Variablen!$A:$A, 0), MATCH((YEAR(D102)+5), Variablen!$I$3:$AT$3, 0))="",L102,INDEX(Variablen!$I:$AT, MATCH(M102, Variablen!$A:$A, 0), MATCH((YEAR(D102)+5), Variablen!$I$3:$AT$3, 0))),L102)))*(IF((YEAR(D102)+5)&lt;YEAR(E102),0,IF((YEAR(D102)+5)&gt;YEAR(E102),1,(12-MONTH(E102)+1)/12))) + (Q102)*(IF((YEAR(D102)+5)&lt;YEAR(E102),0,IF((YEAR(D102)+5)&gt;YEAR(E102),1,(12-MONTH(E102)+1)/12))))-((P102)*(IF((YEAR(D102)+5)&lt;YEAR(E102),0,IF((YEAR(D102)+5)&gt;YEAR(E102),1,(12-MONTH(E102)+1)/12))) + (R102)*(IF((YEAR(D102)+5)&lt;YEAR(E102),0,IF((YEAR(D102)+5)&gt;YEAR(E102),1,(12-MONTH(E102)+1)/12))))-(IF((((K102)*(IF(M102="",L102,IFERROR(IF(INDEX(Variablen!$I:$AT, MATCH(M102, Variablen!$A:$A, 0), MATCH((YEAR(D102)+5), Variablen!$I$3:$AT$3, 0))="",L102,INDEX(Variablen!$I:$AT, MATCH(M102, Variablen!$A:$A, 0), MATCH((YEAR(D102)+5), Variablen!$I$3:$AT$3, 0))),L102)))*(IF((YEAR(D102)+5)&lt;YEAR(E102),0,IF((YEAR(D102)+5)&gt;YEAR(E102),1,(12-MONTH(E102)+1)/12))) + (Q102)*(IF((YEAR(D102)+5)&lt;YEAR(E102),0,IF((YEAR(D102)+5)&gt;YEAR(E102),1,(12-MONTH(E102)+1)/12))))-((P102)*(IF((YEAR(D102)+5)&lt;YEAR(E102),0,IF((YEAR(D102)+5)&gt;YEAR(E102),1,(12-MONTH(E102)+1)/12))) + (R102)*(IF((YEAR(D102)+5)&lt;YEAR(E102),0,IF((YEAR(D102)+5)&gt;YEAR(E102),1,(12-MONTH(E102)+1)/12))))-(IF(OR(N102="",N102&lt;=0),0,(O102/N102)*(IF(OR(N102="",N102&lt;=0),0,IF((YEAR(D102)+5)&lt;YEAR(E102),0,IF((YEAR(D102)+5)&gt;=YEAR(E102)+N102,0,IF((YEAR(D102)+5)=YEAR(E102),(12-MONTH(E102)+1)/12,1))))))))&gt;0,(((K102)*(IF(M102="",L102,IFERROR(IF(INDEX(Variablen!$I:$AT, MATCH(M102, Variablen!$A:$A, 0), MATCH((YEAR(D102)+5), Variablen!$I$3:$AT$3, 0))="",L102,INDEX(Variablen!$I:$AT, MATCH(M102, Variablen!$A:$A, 0), MATCH((YEAR(D102)+5), Variablen!$I$3:$AT$3, 0))),L102)))*(IF((YEAR(D102)+5)&lt;YEAR(E102),0,IF((YEAR(D102)+5)&gt;YEAR(E102),1,(12-MONTH(E102)+1)/12))) + (Q102)*(IF((YEAR(D102)+5)&lt;YEAR(E102),0,IF((YEAR(D102)+5)&gt;YEAR(E102),1,(12-MONTH(E102)+1)/12))))-((P102)*(IF((YEAR(D102)+5)&lt;YEAR(E102),0,IF((YEAR(D102)+5)&gt;YEAR(E102),1,(12-MONTH(E102)+1)/12))) + (R102)*(IF((YEAR(D102)+5)&lt;YEAR(E102),0,IF((YEAR(D102)+5)&gt;YEAR(E102),1,(12-MONTH(E102)+1)/12))))-(IF(OR(N102="",N102&lt;=0),0,(O102/N102)*(IF(OR(N102="",N102&lt;=0),0,IF((YEAR(D102)+5)&lt;YEAR(E102),0,IF((YEAR(D102)+5)&gt;=YEAR(E102)+N102,0,IF((YEAR(D102)+5)=YEAR(E102),(12-MONTH(E102)+1)/12,1))))))))*TaxRate,0))-IF(5=0,O102,0))</f>
        <v/>
      </c>
      <c r="Y102" s="29">
        <f>IF(A102="","",((K102)*(IF(M102="",L102,IFERROR(IF(INDEX(Variablen!$I:$AT, MATCH(M102, Variablen!$A:$A, 0), MATCH((YEAR(D102)+6), Variablen!$I$3:$AT$3, 0))="",L102,INDEX(Variablen!$I:$AT, MATCH(M102, Variablen!$A:$A, 0), MATCH((YEAR(D102)+6), Variablen!$I$3:$AT$3, 0))),L102)))*(IF((YEAR(D102)+6)&lt;YEAR(E102),0,IF((YEAR(D102)+6)&gt;YEAR(E102),1,(12-MONTH(E102)+1)/12))) + (Q102)*(IF((YEAR(D102)+6)&lt;YEAR(E102),0,IF((YEAR(D102)+6)&gt;YEAR(E102),1,(12-MONTH(E102)+1)/12))))-((P102)*(IF((YEAR(D102)+6)&lt;YEAR(E102),0,IF((YEAR(D102)+6)&gt;YEAR(E102),1,(12-MONTH(E102)+1)/12))) + (R102)*(IF((YEAR(D102)+6)&lt;YEAR(E102),0,IF((YEAR(D102)+6)&gt;YEAR(E102),1,(12-MONTH(E102)+1)/12))))-(IF((((K102)*(IF(M102="",L102,IFERROR(IF(INDEX(Variablen!$I:$AT, MATCH(M102, Variablen!$A:$A, 0), MATCH((YEAR(D102)+6), Variablen!$I$3:$AT$3, 0))="",L102,INDEX(Variablen!$I:$AT, MATCH(M102, Variablen!$A:$A, 0), MATCH((YEAR(D102)+6), Variablen!$I$3:$AT$3, 0))),L102)))*(IF((YEAR(D102)+6)&lt;YEAR(E102),0,IF((YEAR(D102)+6)&gt;YEAR(E102),1,(12-MONTH(E102)+1)/12))) + (Q102)*(IF((YEAR(D102)+6)&lt;YEAR(E102),0,IF((YEAR(D102)+6)&gt;YEAR(E102),1,(12-MONTH(E102)+1)/12))))-((P102)*(IF((YEAR(D102)+6)&lt;YEAR(E102),0,IF((YEAR(D102)+6)&gt;YEAR(E102),1,(12-MONTH(E102)+1)/12))) + (R102)*(IF((YEAR(D102)+6)&lt;YEAR(E102),0,IF((YEAR(D102)+6)&gt;YEAR(E102),1,(12-MONTH(E102)+1)/12))))-(IF(OR(N102="",N102&lt;=0),0,(O102/N102)*(IF(OR(N102="",N102&lt;=0),0,IF((YEAR(D102)+6)&lt;YEAR(E102),0,IF((YEAR(D102)+6)&gt;=YEAR(E102)+N102,0,IF((YEAR(D102)+6)=YEAR(E102),(12-MONTH(E102)+1)/12,1))))))))&gt;0,(((K102)*(IF(M102="",L102,IFERROR(IF(INDEX(Variablen!$I:$AT, MATCH(M102, Variablen!$A:$A, 0), MATCH((YEAR(D102)+6), Variablen!$I$3:$AT$3, 0))="",L102,INDEX(Variablen!$I:$AT, MATCH(M102, Variablen!$A:$A, 0), MATCH((YEAR(D102)+6), Variablen!$I$3:$AT$3, 0))),L102)))*(IF((YEAR(D102)+6)&lt;YEAR(E102),0,IF((YEAR(D102)+6)&gt;YEAR(E102),1,(12-MONTH(E102)+1)/12))) + (Q102)*(IF((YEAR(D102)+6)&lt;YEAR(E102),0,IF((YEAR(D102)+6)&gt;YEAR(E102),1,(12-MONTH(E102)+1)/12))))-((P102)*(IF((YEAR(D102)+6)&lt;YEAR(E102),0,IF((YEAR(D102)+6)&gt;YEAR(E102),1,(12-MONTH(E102)+1)/12))) + (R102)*(IF((YEAR(D102)+6)&lt;YEAR(E102),0,IF((YEAR(D102)+6)&gt;YEAR(E102),1,(12-MONTH(E102)+1)/12))))-(IF(OR(N102="",N102&lt;=0),0,(O102/N102)*(IF(OR(N102="",N102&lt;=0),0,IF((YEAR(D102)+6)&lt;YEAR(E102),0,IF((YEAR(D102)+6)&gt;=YEAR(E102)+N102,0,IF((YEAR(D102)+6)=YEAR(E102),(12-MONTH(E102)+1)/12,1))))))))*TaxRate,0))-IF(6=0,O102,0))</f>
        <v/>
      </c>
      <c r="Z102" s="29">
        <f>IF(A102="","",((K102)*(IF(M102="",L102,IFERROR(IF(INDEX(Variablen!$I:$AT, MATCH(M102, Variablen!$A:$A, 0), MATCH((YEAR(D102)+7), Variablen!$I$3:$AT$3, 0))="",L102,INDEX(Variablen!$I:$AT, MATCH(M102, Variablen!$A:$A, 0), MATCH((YEAR(D102)+7), Variablen!$I$3:$AT$3, 0))),L102)))*(IF((YEAR(D102)+7)&lt;YEAR(E102),0,IF((YEAR(D102)+7)&gt;YEAR(E102),1,(12-MONTH(E102)+1)/12))) + (Q102)*(IF((YEAR(D102)+7)&lt;YEAR(E102),0,IF((YEAR(D102)+7)&gt;YEAR(E102),1,(12-MONTH(E102)+1)/12))))-((P102)*(IF((YEAR(D102)+7)&lt;YEAR(E102),0,IF((YEAR(D102)+7)&gt;YEAR(E102),1,(12-MONTH(E102)+1)/12))) + (R102)*(IF((YEAR(D102)+7)&lt;YEAR(E102),0,IF((YEAR(D102)+7)&gt;YEAR(E102),1,(12-MONTH(E102)+1)/12))))-(IF((((K102)*(IF(M102="",L102,IFERROR(IF(INDEX(Variablen!$I:$AT, MATCH(M102, Variablen!$A:$A, 0), MATCH((YEAR(D102)+7), Variablen!$I$3:$AT$3, 0))="",L102,INDEX(Variablen!$I:$AT, MATCH(M102, Variablen!$A:$A, 0), MATCH((YEAR(D102)+7), Variablen!$I$3:$AT$3, 0))),L102)))*(IF((YEAR(D102)+7)&lt;YEAR(E102),0,IF((YEAR(D102)+7)&gt;YEAR(E102),1,(12-MONTH(E102)+1)/12))) + (Q102)*(IF((YEAR(D102)+7)&lt;YEAR(E102),0,IF((YEAR(D102)+7)&gt;YEAR(E102),1,(12-MONTH(E102)+1)/12))))-((P102)*(IF((YEAR(D102)+7)&lt;YEAR(E102),0,IF((YEAR(D102)+7)&gt;YEAR(E102),1,(12-MONTH(E102)+1)/12))) + (R102)*(IF((YEAR(D102)+7)&lt;YEAR(E102),0,IF((YEAR(D102)+7)&gt;YEAR(E102),1,(12-MONTH(E102)+1)/12))))-(IF(OR(N102="",N102&lt;=0),0,(O102/N102)*(IF(OR(N102="",N102&lt;=0),0,IF((YEAR(D102)+7)&lt;YEAR(E102),0,IF((YEAR(D102)+7)&gt;=YEAR(E102)+N102,0,IF((YEAR(D102)+7)=YEAR(E102),(12-MONTH(E102)+1)/12,1))))))))&gt;0,(((K102)*(IF(M102="",L102,IFERROR(IF(INDEX(Variablen!$I:$AT, MATCH(M102, Variablen!$A:$A, 0), MATCH((YEAR(D102)+7), Variablen!$I$3:$AT$3, 0))="",L102,INDEX(Variablen!$I:$AT, MATCH(M102, Variablen!$A:$A, 0), MATCH((YEAR(D102)+7), Variablen!$I$3:$AT$3, 0))),L102)))*(IF((YEAR(D102)+7)&lt;YEAR(E102),0,IF((YEAR(D102)+7)&gt;YEAR(E102),1,(12-MONTH(E102)+1)/12))) + (Q102)*(IF((YEAR(D102)+7)&lt;YEAR(E102),0,IF((YEAR(D102)+7)&gt;YEAR(E102),1,(12-MONTH(E102)+1)/12))))-((P102)*(IF((YEAR(D102)+7)&lt;YEAR(E102),0,IF((YEAR(D102)+7)&gt;YEAR(E102),1,(12-MONTH(E102)+1)/12))) + (R102)*(IF((YEAR(D102)+7)&lt;YEAR(E102),0,IF((YEAR(D102)+7)&gt;YEAR(E102),1,(12-MONTH(E102)+1)/12))))-(IF(OR(N102="",N102&lt;=0),0,(O102/N102)*(IF(OR(N102="",N102&lt;=0),0,IF((YEAR(D102)+7)&lt;YEAR(E102),0,IF((YEAR(D102)+7)&gt;=YEAR(E102)+N102,0,IF((YEAR(D102)+7)=YEAR(E102),(12-MONTH(E102)+1)/12,1))))))))*TaxRate,0))-IF(7=0,O102,0))</f>
        <v/>
      </c>
      <c r="AA102" s="29">
        <f>IF(A102="","",((K102)*(IF(M102="",L102,IFERROR(IF(INDEX(Variablen!$I:$AT, MATCH(M102, Variablen!$A:$A, 0), MATCH((YEAR(D102)+8), Variablen!$I$3:$AT$3, 0))="",L102,INDEX(Variablen!$I:$AT, MATCH(M102, Variablen!$A:$A, 0), MATCH((YEAR(D102)+8), Variablen!$I$3:$AT$3, 0))),L102)))*(IF((YEAR(D102)+8)&lt;YEAR(E102),0,IF((YEAR(D102)+8)&gt;YEAR(E102),1,(12-MONTH(E102)+1)/12))) + (Q102)*(IF((YEAR(D102)+8)&lt;YEAR(E102),0,IF((YEAR(D102)+8)&gt;YEAR(E102),1,(12-MONTH(E102)+1)/12))))-((P102)*(IF((YEAR(D102)+8)&lt;YEAR(E102),0,IF((YEAR(D102)+8)&gt;YEAR(E102),1,(12-MONTH(E102)+1)/12))) + (R102)*(IF((YEAR(D102)+8)&lt;YEAR(E102),0,IF((YEAR(D102)+8)&gt;YEAR(E102),1,(12-MONTH(E102)+1)/12))))-(IF((((K102)*(IF(M102="",L102,IFERROR(IF(INDEX(Variablen!$I:$AT, MATCH(M102, Variablen!$A:$A, 0), MATCH((YEAR(D102)+8), Variablen!$I$3:$AT$3, 0))="",L102,INDEX(Variablen!$I:$AT, MATCH(M102, Variablen!$A:$A, 0), MATCH((YEAR(D102)+8), Variablen!$I$3:$AT$3, 0))),L102)))*(IF((YEAR(D102)+8)&lt;YEAR(E102),0,IF((YEAR(D102)+8)&gt;YEAR(E102),1,(12-MONTH(E102)+1)/12))) + (Q102)*(IF((YEAR(D102)+8)&lt;YEAR(E102),0,IF((YEAR(D102)+8)&gt;YEAR(E102),1,(12-MONTH(E102)+1)/12))))-((P102)*(IF((YEAR(D102)+8)&lt;YEAR(E102),0,IF((YEAR(D102)+8)&gt;YEAR(E102),1,(12-MONTH(E102)+1)/12))) + (R102)*(IF((YEAR(D102)+8)&lt;YEAR(E102),0,IF((YEAR(D102)+8)&gt;YEAR(E102),1,(12-MONTH(E102)+1)/12))))-(IF(OR(N102="",N102&lt;=0),0,(O102/N102)*(IF(OR(N102="",N102&lt;=0),0,IF((YEAR(D102)+8)&lt;YEAR(E102),0,IF((YEAR(D102)+8)&gt;=YEAR(E102)+N102,0,IF((YEAR(D102)+8)=YEAR(E102),(12-MONTH(E102)+1)/12,1))))))))&gt;0,(((K102)*(IF(M102="",L102,IFERROR(IF(INDEX(Variablen!$I:$AT, MATCH(M102, Variablen!$A:$A, 0), MATCH((YEAR(D102)+8), Variablen!$I$3:$AT$3, 0))="",L102,INDEX(Variablen!$I:$AT, MATCH(M102, Variablen!$A:$A, 0), MATCH((YEAR(D102)+8), Variablen!$I$3:$AT$3, 0))),L102)))*(IF((YEAR(D102)+8)&lt;YEAR(E102),0,IF((YEAR(D102)+8)&gt;YEAR(E102),1,(12-MONTH(E102)+1)/12))) + (Q102)*(IF((YEAR(D102)+8)&lt;YEAR(E102),0,IF((YEAR(D102)+8)&gt;YEAR(E102),1,(12-MONTH(E102)+1)/12))))-((P102)*(IF((YEAR(D102)+8)&lt;YEAR(E102),0,IF((YEAR(D102)+8)&gt;YEAR(E102),1,(12-MONTH(E102)+1)/12))) + (R102)*(IF((YEAR(D102)+8)&lt;YEAR(E102),0,IF((YEAR(D102)+8)&gt;YEAR(E102),1,(12-MONTH(E102)+1)/12))))-(IF(OR(N102="",N102&lt;=0),0,(O102/N102)*(IF(OR(N102="",N102&lt;=0),0,IF((YEAR(D102)+8)&lt;YEAR(E102),0,IF((YEAR(D102)+8)&gt;=YEAR(E102)+N102,0,IF((YEAR(D102)+8)=YEAR(E102),(12-MONTH(E102)+1)/12,1))))))))*TaxRate,0))-IF(8=0,O102,0))</f>
        <v/>
      </c>
      <c r="AB102" s="29">
        <f>IF(A102="","",((K102)*(IF(M102="",L102,IFERROR(IF(INDEX(Variablen!$I:$AT, MATCH(M102, Variablen!$A:$A, 0), MATCH((YEAR(D102)+9), Variablen!$I$3:$AT$3, 0))="",L102,INDEX(Variablen!$I:$AT, MATCH(M102, Variablen!$A:$A, 0), MATCH((YEAR(D102)+9), Variablen!$I$3:$AT$3, 0))),L102)))*(IF((YEAR(D102)+9)&lt;YEAR(E102),0,IF((YEAR(D102)+9)&gt;YEAR(E102),1,(12-MONTH(E102)+1)/12))) + (Q102)*(IF((YEAR(D102)+9)&lt;YEAR(E102),0,IF((YEAR(D102)+9)&gt;YEAR(E102),1,(12-MONTH(E102)+1)/12))))-((P102)*(IF((YEAR(D102)+9)&lt;YEAR(E102),0,IF((YEAR(D102)+9)&gt;YEAR(E102),1,(12-MONTH(E102)+1)/12))) + (R102)*(IF((YEAR(D102)+9)&lt;YEAR(E102),0,IF((YEAR(D102)+9)&gt;YEAR(E102),1,(12-MONTH(E102)+1)/12))))-(IF((((K102)*(IF(M102="",L102,IFERROR(IF(INDEX(Variablen!$I:$AT, MATCH(M102, Variablen!$A:$A, 0), MATCH((YEAR(D102)+9), Variablen!$I$3:$AT$3, 0))="",L102,INDEX(Variablen!$I:$AT, MATCH(M102, Variablen!$A:$A, 0), MATCH((YEAR(D102)+9), Variablen!$I$3:$AT$3, 0))),L102)))*(IF((YEAR(D102)+9)&lt;YEAR(E102),0,IF((YEAR(D102)+9)&gt;YEAR(E102),1,(12-MONTH(E102)+1)/12))) + (Q102)*(IF((YEAR(D102)+9)&lt;YEAR(E102),0,IF((YEAR(D102)+9)&gt;YEAR(E102),1,(12-MONTH(E102)+1)/12))))-((P102)*(IF((YEAR(D102)+9)&lt;YEAR(E102),0,IF((YEAR(D102)+9)&gt;YEAR(E102),1,(12-MONTH(E102)+1)/12))) + (R102)*(IF((YEAR(D102)+9)&lt;YEAR(E102),0,IF((YEAR(D102)+9)&gt;YEAR(E102),1,(12-MONTH(E102)+1)/12))))-(IF(OR(N102="",N102&lt;=0),0,(O102/N102)*(IF(OR(N102="",N102&lt;=0),0,IF((YEAR(D102)+9)&lt;YEAR(E102),0,IF((YEAR(D102)+9)&gt;=YEAR(E102)+N102,0,IF((YEAR(D102)+9)=YEAR(E102),(12-MONTH(E102)+1)/12,1))))))))&gt;0,(((K102)*(IF(M102="",L102,IFERROR(IF(INDEX(Variablen!$I:$AT, MATCH(M102, Variablen!$A:$A, 0), MATCH((YEAR(D102)+9), Variablen!$I$3:$AT$3, 0))="",L102,INDEX(Variablen!$I:$AT, MATCH(M102, Variablen!$A:$A, 0), MATCH((YEAR(D102)+9), Variablen!$I$3:$AT$3, 0))),L102)))*(IF((YEAR(D102)+9)&lt;YEAR(E102),0,IF((YEAR(D102)+9)&gt;YEAR(E102),1,(12-MONTH(E102)+1)/12))) + (Q102)*(IF((YEAR(D102)+9)&lt;YEAR(E102),0,IF((YEAR(D102)+9)&gt;YEAR(E102),1,(12-MONTH(E102)+1)/12))))-((P102)*(IF((YEAR(D102)+9)&lt;YEAR(E102),0,IF((YEAR(D102)+9)&gt;YEAR(E102),1,(12-MONTH(E102)+1)/12))) + (R102)*(IF((YEAR(D102)+9)&lt;YEAR(E102),0,IF((YEAR(D102)+9)&gt;YEAR(E102),1,(12-MONTH(E102)+1)/12))))-(IF(OR(N102="",N102&lt;=0),0,(O102/N102)*(IF(OR(N102="",N102&lt;=0),0,IF((YEAR(D102)+9)&lt;YEAR(E102),0,IF((YEAR(D102)+9)&gt;=YEAR(E102)+N102,0,IF((YEAR(D102)+9)=YEAR(E102),(12-MONTH(E102)+1)/12,1))))))))*TaxRate,0))-IF(9=0,O102,0))</f>
        <v/>
      </c>
      <c r="AC102" s="29">
        <f>IF(A102="","",((K102)*(IF(M102="",L102,IFERROR(IF(INDEX(Variablen!$I:$AT, MATCH(M102, Variablen!$A:$A, 0), MATCH((YEAR(D102)+10), Variablen!$I$3:$AT$3, 0))="",L102,INDEX(Variablen!$I:$AT, MATCH(M102, Variablen!$A:$A, 0), MATCH((YEAR(D102)+10), Variablen!$I$3:$AT$3, 0))),L102)))*(IF((YEAR(D102)+10)&lt;YEAR(E102),0,IF((YEAR(D102)+10)&gt;YEAR(E102),1,(12-MONTH(E102)+1)/12))) + (Q102)*(IF((YEAR(D102)+10)&lt;YEAR(E102),0,IF((YEAR(D102)+10)&gt;YEAR(E102),1,(12-MONTH(E102)+1)/12))))-((P102)*(IF((YEAR(D102)+10)&lt;YEAR(E102),0,IF((YEAR(D102)+10)&gt;YEAR(E102),1,(12-MONTH(E102)+1)/12))) + (R102)*(IF((YEAR(D102)+10)&lt;YEAR(E102),0,IF((YEAR(D102)+10)&gt;YEAR(E102),1,(12-MONTH(E102)+1)/12))))-(IF((((K102)*(IF(M102="",L102,IFERROR(IF(INDEX(Variablen!$I:$AT, MATCH(M102, Variablen!$A:$A, 0), MATCH((YEAR(D102)+10), Variablen!$I$3:$AT$3, 0))="",L102,INDEX(Variablen!$I:$AT, MATCH(M102, Variablen!$A:$A, 0), MATCH((YEAR(D102)+10), Variablen!$I$3:$AT$3, 0))),L102)))*(IF((YEAR(D102)+10)&lt;YEAR(E102),0,IF((YEAR(D102)+10)&gt;YEAR(E102),1,(12-MONTH(E102)+1)/12))) + (Q102)*(IF((YEAR(D102)+10)&lt;YEAR(E102),0,IF((YEAR(D102)+10)&gt;YEAR(E102),1,(12-MONTH(E102)+1)/12))))-((P102)*(IF((YEAR(D102)+10)&lt;YEAR(E102),0,IF((YEAR(D102)+10)&gt;YEAR(E102),1,(12-MONTH(E102)+1)/12))) + (R102)*(IF((YEAR(D102)+10)&lt;YEAR(E102),0,IF((YEAR(D102)+10)&gt;YEAR(E102),1,(12-MONTH(E102)+1)/12))))-(IF(OR(N102="",N102&lt;=0),0,(O102/N102)*(IF(OR(N102="",N102&lt;=0),0,IF((YEAR(D102)+10)&lt;YEAR(E102),0,IF((YEAR(D102)+10)&gt;=YEAR(E102)+N102,0,IF((YEAR(D102)+10)=YEAR(E102),(12-MONTH(E102)+1)/12,1))))))))&gt;0,(((K102)*(IF(M102="",L102,IFERROR(IF(INDEX(Variablen!$I:$AT, MATCH(M102, Variablen!$A:$A, 0), MATCH((YEAR(D102)+10), Variablen!$I$3:$AT$3, 0))="",L102,INDEX(Variablen!$I:$AT, MATCH(M102, Variablen!$A:$A, 0), MATCH((YEAR(D102)+10), Variablen!$I$3:$AT$3, 0))),L102)))*(IF((YEAR(D102)+10)&lt;YEAR(E102),0,IF((YEAR(D102)+10)&gt;YEAR(E102),1,(12-MONTH(E102)+1)/12))) + (Q102)*(IF((YEAR(D102)+10)&lt;YEAR(E102),0,IF((YEAR(D102)+10)&gt;YEAR(E102),1,(12-MONTH(E102)+1)/12))))-((P102)*(IF((YEAR(D102)+10)&lt;YEAR(E102),0,IF((YEAR(D102)+10)&gt;YEAR(E102),1,(12-MONTH(E102)+1)/12))) + (R102)*(IF((YEAR(D102)+10)&lt;YEAR(E102),0,IF((YEAR(D102)+10)&gt;YEAR(E102),1,(12-MONTH(E102)+1)/12))))-(IF(OR(N102="",N102&lt;=0),0,(O102/N102)*(IF(OR(N102="",N102&lt;=0),0,IF((YEAR(D102)+10)&lt;YEAR(E102),0,IF((YEAR(D102)+10)&gt;=YEAR(E102)+N102,0,IF((YEAR(D102)+10)=YEAR(E102),(12-MONTH(E102)+1)/12,1))))))))*TaxRate,0))-IF(10=0,O102,0))</f>
        <v/>
      </c>
      <c r="AD102" s="29">
        <f>IF(A102="","",((K102)*(IF(M102="",L102,IFERROR(IF(INDEX(Variablen!$I:$AT, MATCH(M102, Variablen!$A:$A, 0), MATCH((YEAR(D102)+11), Variablen!$I$3:$AT$3, 0))="",L102,INDEX(Variablen!$I:$AT, MATCH(M102, Variablen!$A:$A, 0), MATCH((YEAR(D102)+11), Variablen!$I$3:$AT$3, 0))),L102)))*(IF((YEAR(D102)+11)&lt;YEAR(E102),0,IF((YEAR(D102)+11)&gt;YEAR(E102),1,(12-MONTH(E102)+1)/12))) + (Q102)*(IF((YEAR(D102)+11)&lt;YEAR(E102),0,IF((YEAR(D102)+11)&gt;YEAR(E102),1,(12-MONTH(E102)+1)/12))))-((P102)*(IF((YEAR(D102)+11)&lt;YEAR(E102),0,IF((YEAR(D102)+11)&gt;YEAR(E102),1,(12-MONTH(E102)+1)/12))) + (R102)*(IF((YEAR(D102)+11)&lt;YEAR(E102),0,IF((YEAR(D102)+11)&gt;YEAR(E102),1,(12-MONTH(E102)+1)/12))))-(IF((((K102)*(IF(M102="",L102,IFERROR(IF(INDEX(Variablen!$I:$AT, MATCH(M102, Variablen!$A:$A, 0), MATCH((YEAR(D102)+11), Variablen!$I$3:$AT$3, 0))="",L102,INDEX(Variablen!$I:$AT, MATCH(M102, Variablen!$A:$A, 0), MATCH((YEAR(D102)+11), Variablen!$I$3:$AT$3, 0))),L102)))*(IF((YEAR(D102)+11)&lt;YEAR(E102),0,IF((YEAR(D102)+11)&gt;YEAR(E102),1,(12-MONTH(E102)+1)/12))) + (Q102)*(IF((YEAR(D102)+11)&lt;YEAR(E102),0,IF((YEAR(D102)+11)&gt;YEAR(E102),1,(12-MONTH(E102)+1)/12))))-((P102)*(IF((YEAR(D102)+11)&lt;YEAR(E102),0,IF((YEAR(D102)+11)&gt;YEAR(E102),1,(12-MONTH(E102)+1)/12))) + (R102)*(IF((YEAR(D102)+11)&lt;YEAR(E102),0,IF((YEAR(D102)+11)&gt;YEAR(E102),1,(12-MONTH(E102)+1)/12))))-(IF(OR(N102="",N102&lt;=0),0,(O102/N102)*(IF(OR(N102="",N102&lt;=0),0,IF((YEAR(D102)+11)&lt;YEAR(E102),0,IF((YEAR(D102)+11)&gt;=YEAR(E102)+N102,0,IF((YEAR(D102)+11)=YEAR(E102),(12-MONTH(E102)+1)/12,1))))))))&gt;0,(((K102)*(IF(M102="",L102,IFERROR(IF(INDEX(Variablen!$I:$AT, MATCH(M102, Variablen!$A:$A, 0), MATCH((YEAR(D102)+11), Variablen!$I$3:$AT$3, 0))="",L102,INDEX(Variablen!$I:$AT, MATCH(M102, Variablen!$A:$A, 0), MATCH((YEAR(D102)+11), Variablen!$I$3:$AT$3, 0))),L102)))*(IF((YEAR(D102)+11)&lt;YEAR(E102),0,IF((YEAR(D102)+11)&gt;YEAR(E102),1,(12-MONTH(E102)+1)/12))) + (Q102)*(IF((YEAR(D102)+11)&lt;YEAR(E102),0,IF((YEAR(D102)+11)&gt;YEAR(E102),1,(12-MONTH(E102)+1)/12))))-((P102)*(IF((YEAR(D102)+11)&lt;YEAR(E102),0,IF((YEAR(D102)+11)&gt;YEAR(E102),1,(12-MONTH(E102)+1)/12))) + (R102)*(IF((YEAR(D102)+11)&lt;YEAR(E102),0,IF((YEAR(D102)+11)&gt;YEAR(E102),1,(12-MONTH(E102)+1)/12))))-(IF(OR(N102="",N102&lt;=0),0,(O102/N102)*(IF(OR(N102="",N102&lt;=0),0,IF((YEAR(D102)+11)&lt;YEAR(E102),0,IF((YEAR(D102)+11)&gt;=YEAR(E102)+N102,0,IF((YEAR(D102)+11)=YEAR(E102),(12-MONTH(E102)+1)/12,1))))))))*TaxRate,0))-IF(11=0,O102,0))</f>
        <v/>
      </c>
      <c r="AE102" s="29">
        <f>IF(A102="","",((K102)*(IF(M102="",L102,IFERROR(IF(INDEX(Variablen!$I:$AT, MATCH(M102, Variablen!$A:$A, 0), MATCH((YEAR(D102)+12), Variablen!$I$3:$AT$3, 0))="",L102,INDEX(Variablen!$I:$AT, MATCH(M102, Variablen!$A:$A, 0), MATCH((YEAR(D102)+12), Variablen!$I$3:$AT$3, 0))),L102)))*(IF((YEAR(D102)+12)&lt;YEAR(E102),0,IF((YEAR(D102)+12)&gt;YEAR(E102),1,(12-MONTH(E102)+1)/12))) + (Q102)*(IF((YEAR(D102)+12)&lt;YEAR(E102),0,IF((YEAR(D102)+12)&gt;YEAR(E102),1,(12-MONTH(E102)+1)/12))))-((P102)*(IF((YEAR(D102)+12)&lt;YEAR(E102),0,IF((YEAR(D102)+12)&gt;YEAR(E102),1,(12-MONTH(E102)+1)/12))) + (R102)*(IF((YEAR(D102)+12)&lt;YEAR(E102),0,IF((YEAR(D102)+12)&gt;YEAR(E102),1,(12-MONTH(E102)+1)/12))))-(IF((((K102)*(IF(M102="",L102,IFERROR(IF(INDEX(Variablen!$I:$AT, MATCH(M102, Variablen!$A:$A, 0), MATCH((YEAR(D102)+12), Variablen!$I$3:$AT$3, 0))="",L102,INDEX(Variablen!$I:$AT, MATCH(M102, Variablen!$A:$A, 0), MATCH((YEAR(D102)+12), Variablen!$I$3:$AT$3, 0))),L102)))*(IF((YEAR(D102)+12)&lt;YEAR(E102),0,IF((YEAR(D102)+12)&gt;YEAR(E102),1,(12-MONTH(E102)+1)/12))) + (Q102)*(IF((YEAR(D102)+12)&lt;YEAR(E102),0,IF((YEAR(D102)+12)&gt;YEAR(E102),1,(12-MONTH(E102)+1)/12))))-((P102)*(IF((YEAR(D102)+12)&lt;YEAR(E102),0,IF((YEAR(D102)+12)&gt;YEAR(E102),1,(12-MONTH(E102)+1)/12))) + (R102)*(IF((YEAR(D102)+12)&lt;YEAR(E102),0,IF((YEAR(D102)+12)&gt;YEAR(E102),1,(12-MONTH(E102)+1)/12))))-(IF(OR(N102="",N102&lt;=0),0,(O102/N102)*(IF(OR(N102="",N102&lt;=0),0,IF((YEAR(D102)+12)&lt;YEAR(E102),0,IF((YEAR(D102)+12)&gt;=YEAR(E102)+N102,0,IF((YEAR(D102)+12)=YEAR(E102),(12-MONTH(E102)+1)/12,1))))))))&gt;0,(((K102)*(IF(M102="",L102,IFERROR(IF(INDEX(Variablen!$I:$AT, MATCH(M102, Variablen!$A:$A, 0), MATCH((YEAR(D102)+12), Variablen!$I$3:$AT$3, 0))="",L102,INDEX(Variablen!$I:$AT, MATCH(M102, Variablen!$A:$A, 0), MATCH((YEAR(D102)+12), Variablen!$I$3:$AT$3, 0))),L102)))*(IF((YEAR(D102)+12)&lt;YEAR(E102),0,IF((YEAR(D102)+12)&gt;YEAR(E102),1,(12-MONTH(E102)+1)/12))) + (Q102)*(IF((YEAR(D102)+12)&lt;YEAR(E102),0,IF((YEAR(D102)+12)&gt;YEAR(E102),1,(12-MONTH(E102)+1)/12))))-((P102)*(IF((YEAR(D102)+12)&lt;YEAR(E102),0,IF((YEAR(D102)+12)&gt;YEAR(E102),1,(12-MONTH(E102)+1)/12))) + (R102)*(IF((YEAR(D102)+12)&lt;YEAR(E102),0,IF((YEAR(D102)+12)&gt;YEAR(E102),1,(12-MONTH(E102)+1)/12))))-(IF(OR(N102="",N102&lt;=0),0,(O102/N102)*(IF(OR(N102="",N102&lt;=0),0,IF((YEAR(D102)+12)&lt;YEAR(E102),0,IF((YEAR(D102)+12)&gt;=YEAR(E102)+N102,0,IF((YEAR(D102)+12)=YEAR(E102),(12-MONTH(E102)+1)/12,1))))))))*TaxRate,0))-IF(12=0,O102,0))</f>
        <v/>
      </c>
      <c r="AF102" s="29">
        <f>IF(A102="","",((K102)*(IF(M102="",L102,IFERROR(IF(INDEX(Variablen!$I:$AT, MATCH(M102, Variablen!$A:$A, 0), MATCH((YEAR(D102)+13), Variablen!$I$3:$AT$3, 0))="",L102,INDEX(Variablen!$I:$AT, MATCH(M102, Variablen!$A:$A, 0), MATCH((YEAR(D102)+13), Variablen!$I$3:$AT$3, 0))),L102)))*(IF((YEAR(D102)+13)&lt;YEAR(E102),0,IF((YEAR(D102)+13)&gt;YEAR(E102),1,(12-MONTH(E102)+1)/12))) + (Q102)*(IF((YEAR(D102)+13)&lt;YEAR(E102),0,IF((YEAR(D102)+13)&gt;YEAR(E102),1,(12-MONTH(E102)+1)/12))))-((P102)*(IF((YEAR(D102)+13)&lt;YEAR(E102),0,IF((YEAR(D102)+13)&gt;YEAR(E102),1,(12-MONTH(E102)+1)/12))) + (R102)*(IF((YEAR(D102)+13)&lt;YEAR(E102),0,IF((YEAR(D102)+13)&gt;YEAR(E102),1,(12-MONTH(E102)+1)/12))))-(IF((((K102)*(IF(M102="",L102,IFERROR(IF(INDEX(Variablen!$I:$AT, MATCH(M102, Variablen!$A:$A, 0), MATCH((YEAR(D102)+13), Variablen!$I$3:$AT$3, 0))="",L102,INDEX(Variablen!$I:$AT, MATCH(M102, Variablen!$A:$A, 0), MATCH((YEAR(D102)+13), Variablen!$I$3:$AT$3, 0))),L102)))*(IF((YEAR(D102)+13)&lt;YEAR(E102),0,IF((YEAR(D102)+13)&gt;YEAR(E102),1,(12-MONTH(E102)+1)/12))) + (Q102)*(IF((YEAR(D102)+13)&lt;YEAR(E102),0,IF((YEAR(D102)+13)&gt;YEAR(E102),1,(12-MONTH(E102)+1)/12))))-((P102)*(IF((YEAR(D102)+13)&lt;YEAR(E102),0,IF((YEAR(D102)+13)&gt;YEAR(E102),1,(12-MONTH(E102)+1)/12))) + (R102)*(IF((YEAR(D102)+13)&lt;YEAR(E102),0,IF((YEAR(D102)+13)&gt;YEAR(E102),1,(12-MONTH(E102)+1)/12))))-(IF(OR(N102="",N102&lt;=0),0,(O102/N102)*(IF(OR(N102="",N102&lt;=0),0,IF((YEAR(D102)+13)&lt;YEAR(E102),0,IF((YEAR(D102)+13)&gt;=YEAR(E102)+N102,0,IF((YEAR(D102)+13)=YEAR(E102),(12-MONTH(E102)+1)/12,1))))))))&gt;0,(((K102)*(IF(M102="",L102,IFERROR(IF(INDEX(Variablen!$I:$AT, MATCH(M102, Variablen!$A:$A, 0), MATCH((YEAR(D102)+13), Variablen!$I$3:$AT$3, 0))="",L102,INDEX(Variablen!$I:$AT, MATCH(M102, Variablen!$A:$A, 0), MATCH((YEAR(D102)+13), Variablen!$I$3:$AT$3, 0))),L102)))*(IF((YEAR(D102)+13)&lt;YEAR(E102),0,IF((YEAR(D102)+13)&gt;YEAR(E102),1,(12-MONTH(E102)+1)/12))) + (Q102)*(IF((YEAR(D102)+13)&lt;YEAR(E102),0,IF((YEAR(D102)+13)&gt;YEAR(E102),1,(12-MONTH(E102)+1)/12))))-((P102)*(IF((YEAR(D102)+13)&lt;YEAR(E102),0,IF((YEAR(D102)+13)&gt;YEAR(E102),1,(12-MONTH(E102)+1)/12))) + (R102)*(IF((YEAR(D102)+13)&lt;YEAR(E102),0,IF((YEAR(D102)+13)&gt;YEAR(E102),1,(12-MONTH(E102)+1)/12))))-(IF(OR(N102="",N102&lt;=0),0,(O102/N102)*(IF(OR(N102="",N102&lt;=0),0,IF((YEAR(D102)+13)&lt;YEAR(E102),0,IF((YEAR(D102)+13)&gt;=YEAR(E102)+N102,0,IF((YEAR(D102)+13)=YEAR(E102),(12-MONTH(E102)+1)/12,1))))))))*TaxRate,0))-IF(13=0,O102,0))</f>
        <v/>
      </c>
      <c r="AG102" s="29">
        <f>IF(A102="","",((K102)*(IF(M102="",L102,IFERROR(IF(INDEX(Variablen!$I:$AT, MATCH(M102, Variablen!$A:$A, 0), MATCH((YEAR(D102)+14), Variablen!$I$3:$AT$3, 0))="",L102,INDEX(Variablen!$I:$AT, MATCH(M102, Variablen!$A:$A, 0), MATCH((YEAR(D102)+14), Variablen!$I$3:$AT$3, 0))),L102)))*(IF((YEAR(D102)+14)&lt;YEAR(E102),0,IF((YEAR(D102)+14)&gt;YEAR(E102),1,(12-MONTH(E102)+1)/12))) + (Q102)*(IF((YEAR(D102)+14)&lt;YEAR(E102),0,IF((YEAR(D102)+14)&gt;YEAR(E102),1,(12-MONTH(E102)+1)/12))))-((P102)*(IF((YEAR(D102)+14)&lt;YEAR(E102),0,IF((YEAR(D102)+14)&gt;YEAR(E102),1,(12-MONTH(E102)+1)/12))) + (R102)*(IF((YEAR(D102)+14)&lt;YEAR(E102),0,IF((YEAR(D102)+14)&gt;YEAR(E102),1,(12-MONTH(E102)+1)/12))))-(IF((((K102)*(IF(M102="",L102,IFERROR(IF(INDEX(Variablen!$I:$AT, MATCH(M102, Variablen!$A:$A, 0), MATCH((YEAR(D102)+14), Variablen!$I$3:$AT$3, 0))="",L102,INDEX(Variablen!$I:$AT, MATCH(M102, Variablen!$A:$A, 0), MATCH((YEAR(D102)+14), Variablen!$I$3:$AT$3, 0))),L102)))*(IF((YEAR(D102)+14)&lt;YEAR(E102),0,IF((YEAR(D102)+14)&gt;YEAR(E102),1,(12-MONTH(E102)+1)/12))) + (Q102)*(IF((YEAR(D102)+14)&lt;YEAR(E102),0,IF((YEAR(D102)+14)&gt;YEAR(E102),1,(12-MONTH(E102)+1)/12))))-((P102)*(IF((YEAR(D102)+14)&lt;YEAR(E102),0,IF((YEAR(D102)+14)&gt;YEAR(E102),1,(12-MONTH(E102)+1)/12))) + (R102)*(IF((YEAR(D102)+14)&lt;YEAR(E102),0,IF((YEAR(D102)+14)&gt;YEAR(E102),1,(12-MONTH(E102)+1)/12))))-(IF(OR(N102="",N102&lt;=0),0,(O102/N102)*(IF(OR(N102="",N102&lt;=0),0,IF((YEAR(D102)+14)&lt;YEAR(E102),0,IF((YEAR(D102)+14)&gt;=YEAR(E102)+N102,0,IF((YEAR(D102)+14)=YEAR(E102),(12-MONTH(E102)+1)/12,1))))))))&gt;0,(((K102)*(IF(M102="",L102,IFERROR(IF(INDEX(Variablen!$I:$AT, MATCH(M102, Variablen!$A:$A, 0), MATCH((YEAR(D102)+14), Variablen!$I$3:$AT$3, 0))="",L102,INDEX(Variablen!$I:$AT, MATCH(M102, Variablen!$A:$A, 0), MATCH((YEAR(D102)+14), Variablen!$I$3:$AT$3, 0))),L102)))*(IF((YEAR(D102)+14)&lt;YEAR(E102),0,IF((YEAR(D102)+14)&gt;YEAR(E102),1,(12-MONTH(E102)+1)/12))) + (Q102)*(IF((YEAR(D102)+14)&lt;YEAR(E102),0,IF((YEAR(D102)+14)&gt;YEAR(E102),1,(12-MONTH(E102)+1)/12))))-((P102)*(IF((YEAR(D102)+14)&lt;YEAR(E102),0,IF((YEAR(D102)+14)&gt;YEAR(E102),1,(12-MONTH(E102)+1)/12))) + (R102)*(IF((YEAR(D102)+14)&lt;YEAR(E102),0,IF((YEAR(D102)+14)&gt;YEAR(E102),1,(12-MONTH(E102)+1)/12))))-(IF(OR(N102="",N102&lt;=0),0,(O102/N102)*(IF(OR(N102="",N102&lt;=0),0,IF((YEAR(D102)+14)&lt;YEAR(E102),0,IF((YEAR(D102)+14)&gt;=YEAR(E102)+N102,0,IF((YEAR(D102)+14)=YEAR(E102),(12-MONTH(E102)+1)/12,1))))))))*TaxRate,0))-IF(14=0,O102,0))</f>
        <v/>
      </c>
      <c r="AH102" s="29">
        <f>IF(A102="","",((K102)*(IF(M102="",L102,IFERROR(IF(INDEX(Variablen!$I:$AT, MATCH(M102, Variablen!$A:$A, 0), MATCH((YEAR(D102)+15), Variablen!$I$3:$AT$3, 0))="",L102,INDEX(Variablen!$I:$AT, MATCH(M102, Variablen!$A:$A, 0), MATCH((YEAR(D102)+15), Variablen!$I$3:$AT$3, 0))),L102)))*(IF((YEAR(D102)+15)&lt;YEAR(E102),0,IF((YEAR(D102)+15)&gt;YEAR(E102),1,(12-MONTH(E102)+1)/12))) + (Q102)*(IF((YEAR(D102)+15)&lt;YEAR(E102),0,IF((YEAR(D102)+15)&gt;YEAR(E102),1,(12-MONTH(E102)+1)/12))))-((P102)*(IF((YEAR(D102)+15)&lt;YEAR(E102),0,IF((YEAR(D102)+15)&gt;YEAR(E102),1,(12-MONTH(E102)+1)/12))) + (R102)*(IF((YEAR(D102)+15)&lt;YEAR(E102),0,IF((YEAR(D102)+15)&gt;YEAR(E102),1,(12-MONTH(E102)+1)/12))))-(IF((((K102)*(IF(M102="",L102,IFERROR(IF(INDEX(Variablen!$I:$AT, MATCH(M102, Variablen!$A:$A, 0), MATCH((YEAR(D102)+15), Variablen!$I$3:$AT$3, 0))="",L102,INDEX(Variablen!$I:$AT, MATCH(M102, Variablen!$A:$A, 0), MATCH((YEAR(D102)+15), Variablen!$I$3:$AT$3, 0))),L102)))*(IF((YEAR(D102)+15)&lt;YEAR(E102),0,IF((YEAR(D102)+15)&gt;YEAR(E102),1,(12-MONTH(E102)+1)/12))) + (Q102)*(IF((YEAR(D102)+15)&lt;YEAR(E102),0,IF((YEAR(D102)+15)&gt;YEAR(E102),1,(12-MONTH(E102)+1)/12))))-((P102)*(IF((YEAR(D102)+15)&lt;YEAR(E102),0,IF((YEAR(D102)+15)&gt;YEAR(E102),1,(12-MONTH(E102)+1)/12))) + (R102)*(IF((YEAR(D102)+15)&lt;YEAR(E102),0,IF((YEAR(D102)+15)&gt;YEAR(E102),1,(12-MONTH(E102)+1)/12))))-(IF(OR(N102="",N102&lt;=0),0,(O102/N102)*(IF(OR(N102="",N102&lt;=0),0,IF((YEAR(D102)+15)&lt;YEAR(E102),0,IF((YEAR(D102)+15)&gt;=YEAR(E102)+N102,0,IF((YEAR(D102)+15)=YEAR(E102),(12-MONTH(E102)+1)/12,1))))))))&gt;0,(((K102)*(IF(M102="",L102,IFERROR(IF(INDEX(Variablen!$I:$AT, MATCH(M102, Variablen!$A:$A, 0), MATCH((YEAR(D102)+15), Variablen!$I$3:$AT$3, 0))="",L102,INDEX(Variablen!$I:$AT, MATCH(M102, Variablen!$A:$A, 0), MATCH((YEAR(D102)+15), Variablen!$I$3:$AT$3, 0))),L102)))*(IF((YEAR(D102)+15)&lt;YEAR(E102),0,IF((YEAR(D102)+15)&gt;YEAR(E102),1,(12-MONTH(E102)+1)/12))) + (Q102)*(IF((YEAR(D102)+15)&lt;YEAR(E102),0,IF((YEAR(D102)+15)&gt;YEAR(E102),1,(12-MONTH(E102)+1)/12))))-((P102)*(IF((YEAR(D102)+15)&lt;YEAR(E102),0,IF((YEAR(D102)+15)&gt;YEAR(E102),1,(12-MONTH(E102)+1)/12))) + (R102)*(IF((YEAR(D102)+15)&lt;YEAR(E102),0,IF((YEAR(D102)+15)&gt;YEAR(E102),1,(12-MONTH(E102)+1)/12))))-(IF(OR(N102="",N102&lt;=0),0,(O102/N102)*(IF(OR(N102="",N102&lt;=0),0,IF((YEAR(D102)+15)&lt;YEAR(E102),0,IF((YEAR(D102)+15)&gt;=YEAR(E102)+N102,0,IF((YEAR(D102)+15)=YEAR(E102),(12-MONTH(E102)+1)/12,1))))))))*TaxRate,0))-IF(15=0,O102,0))</f>
        <v/>
      </c>
      <c r="AI102" s="29">
        <f>IF(A102="","",((K102)*(IF(M102="",L102,IFERROR(IF(INDEX(Variablen!$I:$AT, MATCH(M102, Variablen!$A:$A, 0), MATCH((YEAR(D102)+16), Variablen!$I$3:$AT$3, 0))="",L102,INDEX(Variablen!$I:$AT, MATCH(M102, Variablen!$A:$A, 0), MATCH((YEAR(D102)+16), Variablen!$I$3:$AT$3, 0))),L102)))*(IF((YEAR(D102)+16)&lt;YEAR(E102),0,IF((YEAR(D102)+16)&gt;YEAR(E102),1,(12-MONTH(E102)+1)/12))) + (Q102)*(IF((YEAR(D102)+16)&lt;YEAR(E102),0,IF((YEAR(D102)+16)&gt;YEAR(E102),1,(12-MONTH(E102)+1)/12))))-((P102)*(IF((YEAR(D102)+16)&lt;YEAR(E102),0,IF((YEAR(D102)+16)&gt;YEAR(E102),1,(12-MONTH(E102)+1)/12))) + (R102)*(IF((YEAR(D102)+16)&lt;YEAR(E102),0,IF((YEAR(D102)+16)&gt;YEAR(E102),1,(12-MONTH(E102)+1)/12))))-(IF((((K102)*(IF(M102="",L102,IFERROR(IF(INDEX(Variablen!$I:$AT, MATCH(M102, Variablen!$A:$A, 0), MATCH((YEAR(D102)+16), Variablen!$I$3:$AT$3, 0))="",L102,INDEX(Variablen!$I:$AT, MATCH(M102, Variablen!$A:$A, 0), MATCH((YEAR(D102)+16), Variablen!$I$3:$AT$3, 0))),L102)))*(IF((YEAR(D102)+16)&lt;YEAR(E102),0,IF((YEAR(D102)+16)&gt;YEAR(E102),1,(12-MONTH(E102)+1)/12))) + (Q102)*(IF((YEAR(D102)+16)&lt;YEAR(E102),0,IF((YEAR(D102)+16)&gt;YEAR(E102),1,(12-MONTH(E102)+1)/12))))-((P102)*(IF((YEAR(D102)+16)&lt;YEAR(E102),0,IF((YEAR(D102)+16)&gt;YEAR(E102),1,(12-MONTH(E102)+1)/12))) + (R102)*(IF((YEAR(D102)+16)&lt;YEAR(E102),0,IF((YEAR(D102)+16)&gt;YEAR(E102),1,(12-MONTH(E102)+1)/12))))-(IF(OR(N102="",N102&lt;=0),0,(O102/N102)*(IF(OR(N102="",N102&lt;=0),0,IF((YEAR(D102)+16)&lt;YEAR(E102),0,IF((YEAR(D102)+16)&gt;=YEAR(E102)+N102,0,IF((YEAR(D102)+16)=YEAR(E102),(12-MONTH(E102)+1)/12,1))))))))&gt;0,(((K102)*(IF(M102="",L102,IFERROR(IF(INDEX(Variablen!$I:$AT, MATCH(M102, Variablen!$A:$A, 0), MATCH((YEAR(D102)+16), Variablen!$I$3:$AT$3, 0))="",L102,INDEX(Variablen!$I:$AT, MATCH(M102, Variablen!$A:$A, 0), MATCH((YEAR(D102)+16), Variablen!$I$3:$AT$3, 0))),L102)))*(IF((YEAR(D102)+16)&lt;YEAR(E102),0,IF((YEAR(D102)+16)&gt;YEAR(E102),1,(12-MONTH(E102)+1)/12))) + (Q102)*(IF((YEAR(D102)+16)&lt;YEAR(E102),0,IF((YEAR(D102)+16)&gt;YEAR(E102),1,(12-MONTH(E102)+1)/12))))-((P102)*(IF((YEAR(D102)+16)&lt;YEAR(E102),0,IF((YEAR(D102)+16)&gt;YEAR(E102),1,(12-MONTH(E102)+1)/12))) + (R102)*(IF((YEAR(D102)+16)&lt;YEAR(E102),0,IF((YEAR(D102)+16)&gt;YEAR(E102),1,(12-MONTH(E102)+1)/12))))-(IF(OR(N102="",N102&lt;=0),0,(O102/N102)*(IF(OR(N102="",N102&lt;=0),0,IF((YEAR(D102)+16)&lt;YEAR(E102),0,IF((YEAR(D102)+16)&gt;=YEAR(E102)+N102,0,IF((YEAR(D102)+16)=YEAR(E102),(12-MONTH(E102)+1)/12,1))))))))*TaxRate,0))-IF(16=0,O102,0))</f>
        <v/>
      </c>
      <c r="AJ102" s="29">
        <f>IF(A102="","",((K102)*(IF(M102="",L102,IFERROR(IF(INDEX(Variablen!$I:$AT, MATCH(M102, Variablen!$A:$A, 0), MATCH((YEAR(D102)+17), Variablen!$I$3:$AT$3, 0))="",L102,INDEX(Variablen!$I:$AT, MATCH(M102, Variablen!$A:$A, 0), MATCH((YEAR(D102)+17), Variablen!$I$3:$AT$3, 0))),L102)))*(IF((YEAR(D102)+17)&lt;YEAR(E102),0,IF((YEAR(D102)+17)&gt;YEAR(E102),1,(12-MONTH(E102)+1)/12))) + (Q102)*(IF((YEAR(D102)+17)&lt;YEAR(E102),0,IF((YEAR(D102)+17)&gt;YEAR(E102),1,(12-MONTH(E102)+1)/12))))-((P102)*(IF((YEAR(D102)+17)&lt;YEAR(E102),0,IF((YEAR(D102)+17)&gt;YEAR(E102),1,(12-MONTH(E102)+1)/12))) + (R102)*(IF((YEAR(D102)+17)&lt;YEAR(E102),0,IF((YEAR(D102)+17)&gt;YEAR(E102),1,(12-MONTH(E102)+1)/12))))-(IF((((K102)*(IF(M102="",L102,IFERROR(IF(INDEX(Variablen!$I:$AT, MATCH(M102, Variablen!$A:$A, 0), MATCH((YEAR(D102)+17), Variablen!$I$3:$AT$3, 0))="",L102,INDEX(Variablen!$I:$AT, MATCH(M102, Variablen!$A:$A, 0), MATCH((YEAR(D102)+17), Variablen!$I$3:$AT$3, 0))),L102)))*(IF((YEAR(D102)+17)&lt;YEAR(E102),0,IF((YEAR(D102)+17)&gt;YEAR(E102),1,(12-MONTH(E102)+1)/12))) + (Q102)*(IF((YEAR(D102)+17)&lt;YEAR(E102),0,IF((YEAR(D102)+17)&gt;YEAR(E102),1,(12-MONTH(E102)+1)/12))))-((P102)*(IF((YEAR(D102)+17)&lt;YEAR(E102),0,IF((YEAR(D102)+17)&gt;YEAR(E102),1,(12-MONTH(E102)+1)/12))) + (R102)*(IF((YEAR(D102)+17)&lt;YEAR(E102),0,IF((YEAR(D102)+17)&gt;YEAR(E102),1,(12-MONTH(E102)+1)/12))))-(IF(OR(N102="",N102&lt;=0),0,(O102/N102)*(IF(OR(N102="",N102&lt;=0),0,IF((YEAR(D102)+17)&lt;YEAR(E102),0,IF((YEAR(D102)+17)&gt;=YEAR(E102)+N102,0,IF((YEAR(D102)+17)=YEAR(E102),(12-MONTH(E102)+1)/12,1))))))))&gt;0,(((K102)*(IF(M102="",L102,IFERROR(IF(INDEX(Variablen!$I:$AT, MATCH(M102, Variablen!$A:$A, 0), MATCH((YEAR(D102)+17), Variablen!$I$3:$AT$3, 0))="",L102,INDEX(Variablen!$I:$AT, MATCH(M102, Variablen!$A:$A, 0), MATCH((YEAR(D102)+17), Variablen!$I$3:$AT$3, 0))),L102)))*(IF((YEAR(D102)+17)&lt;YEAR(E102),0,IF((YEAR(D102)+17)&gt;YEAR(E102),1,(12-MONTH(E102)+1)/12))) + (Q102)*(IF((YEAR(D102)+17)&lt;YEAR(E102),0,IF((YEAR(D102)+17)&gt;YEAR(E102),1,(12-MONTH(E102)+1)/12))))-((P102)*(IF((YEAR(D102)+17)&lt;YEAR(E102),0,IF((YEAR(D102)+17)&gt;YEAR(E102),1,(12-MONTH(E102)+1)/12))) + (R102)*(IF((YEAR(D102)+17)&lt;YEAR(E102),0,IF((YEAR(D102)+17)&gt;YEAR(E102),1,(12-MONTH(E102)+1)/12))))-(IF(OR(N102="",N102&lt;=0),0,(O102/N102)*(IF(OR(N102="",N102&lt;=0),0,IF((YEAR(D102)+17)&lt;YEAR(E102),0,IF((YEAR(D102)+17)&gt;=YEAR(E102)+N102,0,IF((YEAR(D102)+17)=YEAR(E102),(12-MONTH(E102)+1)/12,1))))))))*TaxRate,0))-IF(17=0,O102,0))</f>
        <v/>
      </c>
      <c r="AK102" s="29">
        <f>IF(A102="","",((K102)*(IF(M102="",L102,IFERROR(IF(INDEX(Variablen!$I:$AT, MATCH(M102, Variablen!$A:$A, 0), MATCH((YEAR(D102)+18), Variablen!$I$3:$AT$3, 0))="",L102,INDEX(Variablen!$I:$AT, MATCH(M102, Variablen!$A:$A, 0), MATCH((YEAR(D102)+18), Variablen!$I$3:$AT$3, 0))),L102)))*(IF((YEAR(D102)+18)&lt;YEAR(E102),0,IF((YEAR(D102)+18)&gt;YEAR(E102),1,(12-MONTH(E102)+1)/12))) + (Q102)*(IF((YEAR(D102)+18)&lt;YEAR(E102),0,IF((YEAR(D102)+18)&gt;YEAR(E102),1,(12-MONTH(E102)+1)/12))))-((P102)*(IF((YEAR(D102)+18)&lt;YEAR(E102),0,IF((YEAR(D102)+18)&gt;YEAR(E102),1,(12-MONTH(E102)+1)/12))) + (R102)*(IF((YEAR(D102)+18)&lt;YEAR(E102),0,IF((YEAR(D102)+18)&gt;YEAR(E102),1,(12-MONTH(E102)+1)/12))))-(IF((((K102)*(IF(M102="",L102,IFERROR(IF(INDEX(Variablen!$I:$AT, MATCH(M102, Variablen!$A:$A, 0), MATCH((YEAR(D102)+18), Variablen!$I$3:$AT$3, 0))="",L102,INDEX(Variablen!$I:$AT, MATCH(M102, Variablen!$A:$A, 0), MATCH((YEAR(D102)+18), Variablen!$I$3:$AT$3, 0))),L102)))*(IF((YEAR(D102)+18)&lt;YEAR(E102),0,IF((YEAR(D102)+18)&gt;YEAR(E102),1,(12-MONTH(E102)+1)/12))) + (Q102)*(IF((YEAR(D102)+18)&lt;YEAR(E102),0,IF((YEAR(D102)+18)&gt;YEAR(E102),1,(12-MONTH(E102)+1)/12))))-((P102)*(IF((YEAR(D102)+18)&lt;YEAR(E102),0,IF((YEAR(D102)+18)&gt;YEAR(E102),1,(12-MONTH(E102)+1)/12))) + (R102)*(IF((YEAR(D102)+18)&lt;YEAR(E102),0,IF((YEAR(D102)+18)&gt;YEAR(E102),1,(12-MONTH(E102)+1)/12))))-(IF(OR(N102="",N102&lt;=0),0,(O102/N102)*(IF(OR(N102="",N102&lt;=0),0,IF((YEAR(D102)+18)&lt;YEAR(E102),0,IF((YEAR(D102)+18)&gt;=YEAR(E102)+N102,0,IF((YEAR(D102)+18)=YEAR(E102),(12-MONTH(E102)+1)/12,1))))))))&gt;0,(((K102)*(IF(M102="",L102,IFERROR(IF(INDEX(Variablen!$I:$AT, MATCH(M102, Variablen!$A:$A, 0), MATCH((YEAR(D102)+18), Variablen!$I$3:$AT$3, 0))="",L102,INDEX(Variablen!$I:$AT, MATCH(M102, Variablen!$A:$A, 0), MATCH((YEAR(D102)+18), Variablen!$I$3:$AT$3, 0))),L102)))*(IF((YEAR(D102)+18)&lt;YEAR(E102),0,IF((YEAR(D102)+18)&gt;YEAR(E102),1,(12-MONTH(E102)+1)/12))) + (Q102)*(IF((YEAR(D102)+18)&lt;YEAR(E102),0,IF((YEAR(D102)+18)&gt;YEAR(E102),1,(12-MONTH(E102)+1)/12))))-((P102)*(IF((YEAR(D102)+18)&lt;YEAR(E102),0,IF((YEAR(D102)+18)&gt;YEAR(E102),1,(12-MONTH(E102)+1)/12))) + (R102)*(IF((YEAR(D102)+18)&lt;YEAR(E102),0,IF((YEAR(D102)+18)&gt;YEAR(E102),1,(12-MONTH(E102)+1)/12))))-(IF(OR(N102="",N102&lt;=0),0,(O102/N102)*(IF(OR(N102="",N102&lt;=0),0,IF((YEAR(D102)+18)&lt;YEAR(E102),0,IF((YEAR(D102)+18)&gt;=YEAR(E102)+N102,0,IF((YEAR(D102)+18)=YEAR(E102),(12-MONTH(E102)+1)/12,1))))))))*TaxRate,0))-IF(18=0,O102,0))</f>
        <v/>
      </c>
      <c r="AL102" s="29">
        <f>IF(A102="","",((K102)*(IF(M102="",L102,IFERROR(IF(INDEX(Variablen!$I:$AT, MATCH(M102, Variablen!$A:$A, 0), MATCH((YEAR(D102)+19), Variablen!$I$3:$AT$3, 0))="",L102,INDEX(Variablen!$I:$AT, MATCH(M102, Variablen!$A:$A, 0), MATCH((YEAR(D102)+19), Variablen!$I$3:$AT$3, 0))),L102)))*(IF((YEAR(D102)+19)&lt;YEAR(E102),0,IF((YEAR(D102)+19)&gt;YEAR(E102),1,(12-MONTH(E102)+1)/12))) + (Q102)*(IF((YEAR(D102)+19)&lt;YEAR(E102),0,IF((YEAR(D102)+19)&gt;YEAR(E102),1,(12-MONTH(E102)+1)/12))))-((P102)*(IF((YEAR(D102)+19)&lt;YEAR(E102),0,IF((YEAR(D102)+19)&gt;YEAR(E102),1,(12-MONTH(E102)+1)/12))) + (R102)*(IF((YEAR(D102)+19)&lt;YEAR(E102),0,IF((YEAR(D102)+19)&gt;YEAR(E102),1,(12-MONTH(E102)+1)/12))))-(IF((((K102)*(IF(M102="",L102,IFERROR(IF(INDEX(Variablen!$I:$AT, MATCH(M102, Variablen!$A:$A, 0), MATCH((YEAR(D102)+19), Variablen!$I$3:$AT$3, 0))="",L102,INDEX(Variablen!$I:$AT, MATCH(M102, Variablen!$A:$A, 0), MATCH((YEAR(D102)+19), Variablen!$I$3:$AT$3, 0))),L102)))*(IF((YEAR(D102)+19)&lt;YEAR(E102),0,IF((YEAR(D102)+19)&gt;YEAR(E102),1,(12-MONTH(E102)+1)/12))) + (Q102)*(IF((YEAR(D102)+19)&lt;YEAR(E102),0,IF((YEAR(D102)+19)&gt;YEAR(E102),1,(12-MONTH(E102)+1)/12))))-((P102)*(IF((YEAR(D102)+19)&lt;YEAR(E102),0,IF((YEAR(D102)+19)&gt;YEAR(E102),1,(12-MONTH(E102)+1)/12))) + (R102)*(IF((YEAR(D102)+19)&lt;YEAR(E102),0,IF((YEAR(D102)+19)&gt;YEAR(E102),1,(12-MONTH(E102)+1)/12))))-(IF(OR(N102="",N102&lt;=0),0,(O102/N102)*(IF(OR(N102="",N102&lt;=0),0,IF((YEAR(D102)+19)&lt;YEAR(E102),0,IF((YEAR(D102)+19)&gt;=YEAR(E102)+N102,0,IF((YEAR(D102)+19)=YEAR(E102),(12-MONTH(E102)+1)/12,1))))))))&gt;0,(((K102)*(IF(M102="",L102,IFERROR(IF(INDEX(Variablen!$I:$AT, MATCH(M102, Variablen!$A:$A, 0), MATCH((YEAR(D102)+19), Variablen!$I$3:$AT$3, 0))="",L102,INDEX(Variablen!$I:$AT, MATCH(M102, Variablen!$A:$A, 0), MATCH((YEAR(D102)+19), Variablen!$I$3:$AT$3, 0))),L102)))*(IF((YEAR(D102)+19)&lt;YEAR(E102),0,IF((YEAR(D102)+19)&gt;YEAR(E102),1,(12-MONTH(E102)+1)/12))) + (Q102)*(IF((YEAR(D102)+19)&lt;YEAR(E102),0,IF((YEAR(D102)+19)&gt;YEAR(E102),1,(12-MONTH(E102)+1)/12))))-((P102)*(IF((YEAR(D102)+19)&lt;YEAR(E102),0,IF((YEAR(D102)+19)&gt;YEAR(E102),1,(12-MONTH(E102)+1)/12))) + (R102)*(IF((YEAR(D102)+19)&lt;YEAR(E102),0,IF((YEAR(D102)+19)&gt;YEAR(E102),1,(12-MONTH(E102)+1)/12))))-(IF(OR(N102="",N102&lt;=0),0,(O102/N102)*(IF(OR(N102="",N102&lt;=0),0,IF((YEAR(D102)+19)&lt;YEAR(E102),0,IF((YEAR(D102)+19)&gt;=YEAR(E102)+N102,0,IF((YEAR(D102)+19)=YEAR(E102),(12-MONTH(E102)+1)/12,1))))))))*TaxRate,0))-IF(19=0,O102,0))</f>
        <v/>
      </c>
      <c r="AM102" s="29">
        <f>IF(A102="","",((K102)*(IF(M102="",L102,IFERROR(IF(INDEX(Variablen!$I:$AT, MATCH(M102, Variablen!$A:$A, 0), MATCH((YEAR(D102)+20), Variablen!$I$3:$AT$3, 0))="",L102,INDEX(Variablen!$I:$AT, MATCH(M102, Variablen!$A:$A, 0), MATCH((YEAR(D102)+20), Variablen!$I$3:$AT$3, 0))),L102)))*(IF((YEAR(D102)+20)&lt;YEAR(E102),0,IF((YEAR(D102)+20)&gt;YEAR(E102),1,(12-MONTH(E102)+1)/12))) + (Q102)*(IF((YEAR(D102)+20)&lt;YEAR(E102),0,IF((YEAR(D102)+20)&gt;YEAR(E102),1,(12-MONTH(E102)+1)/12))))-((P102)*(IF((YEAR(D102)+20)&lt;YEAR(E102),0,IF((YEAR(D102)+20)&gt;YEAR(E102),1,(12-MONTH(E102)+1)/12))) + (R102)*(IF((YEAR(D102)+20)&lt;YEAR(E102),0,IF((YEAR(D102)+20)&gt;YEAR(E102),1,(12-MONTH(E102)+1)/12))))-(IF((((K102)*(IF(M102="",L102,IFERROR(IF(INDEX(Variablen!$I:$AT, MATCH(M102, Variablen!$A:$A, 0), MATCH((YEAR(D102)+20), Variablen!$I$3:$AT$3, 0))="",L102,INDEX(Variablen!$I:$AT, MATCH(M102, Variablen!$A:$A, 0), MATCH((YEAR(D102)+20), Variablen!$I$3:$AT$3, 0))),L102)))*(IF((YEAR(D102)+20)&lt;YEAR(E102),0,IF((YEAR(D102)+20)&gt;YEAR(E102),1,(12-MONTH(E102)+1)/12))) + (Q102)*(IF((YEAR(D102)+20)&lt;YEAR(E102),0,IF((YEAR(D102)+20)&gt;YEAR(E102),1,(12-MONTH(E102)+1)/12))))-((P102)*(IF((YEAR(D102)+20)&lt;YEAR(E102),0,IF((YEAR(D102)+20)&gt;YEAR(E102),1,(12-MONTH(E102)+1)/12))) + (R102)*(IF((YEAR(D102)+20)&lt;YEAR(E102),0,IF((YEAR(D102)+20)&gt;YEAR(E102),1,(12-MONTH(E102)+1)/12))))-(IF(OR(N102="",N102&lt;=0),0,(O102/N102)*(IF(OR(N102="",N102&lt;=0),0,IF((YEAR(D102)+20)&lt;YEAR(E102),0,IF((YEAR(D102)+20)&gt;=YEAR(E102)+N102,0,IF((YEAR(D102)+20)=YEAR(E102),(12-MONTH(E102)+1)/12,1))))))))&gt;0,(((K102)*(IF(M102="",L102,IFERROR(IF(INDEX(Variablen!$I:$AT, MATCH(M102, Variablen!$A:$A, 0), MATCH((YEAR(D102)+20), Variablen!$I$3:$AT$3, 0))="",L102,INDEX(Variablen!$I:$AT, MATCH(M102, Variablen!$A:$A, 0), MATCH((YEAR(D102)+20), Variablen!$I$3:$AT$3, 0))),L102)))*(IF((YEAR(D102)+20)&lt;YEAR(E102),0,IF((YEAR(D102)+20)&gt;YEAR(E102),1,(12-MONTH(E102)+1)/12))) + (Q102)*(IF((YEAR(D102)+20)&lt;YEAR(E102),0,IF((YEAR(D102)+20)&gt;YEAR(E102),1,(12-MONTH(E102)+1)/12))))-((P102)*(IF((YEAR(D102)+20)&lt;YEAR(E102),0,IF((YEAR(D102)+20)&gt;YEAR(E102),1,(12-MONTH(E102)+1)/12))) + (R102)*(IF((YEAR(D102)+20)&lt;YEAR(E102),0,IF((YEAR(D102)+20)&gt;YEAR(E102),1,(12-MONTH(E102)+1)/12))))-(IF(OR(N102="",N102&lt;=0),0,(O102/N102)*(IF(OR(N102="",N102&lt;=0),0,IF((YEAR(D102)+20)&lt;YEAR(E102),0,IF((YEAR(D102)+20)&gt;=YEAR(E102)+N102,0,IF((YEAR(D102)+20)=YEAR(E102),(12-MONTH(E102)+1)/12,1))))))))*TaxRate,0))-IF(20=0,O102,0))</f>
        <v/>
      </c>
      <c r="AN102" s="29">
        <f>IF(A102="","",S102)</f>
        <v/>
      </c>
      <c r="AO102" s="29">
        <f>IF(A102="","",AN102+T102)</f>
        <v/>
      </c>
      <c r="AP102" s="29">
        <f>IF(A102="","",AO102+U102)</f>
        <v/>
      </c>
      <c r="AQ102" s="29">
        <f>IF(A102="","",AP102+V102)</f>
        <v/>
      </c>
      <c r="AR102" s="29">
        <f>IF(A102="","",AQ102+W102)</f>
        <v/>
      </c>
      <c r="AS102" s="29">
        <f>IF(A102="","",AR102+X102)</f>
        <v/>
      </c>
      <c r="AT102" s="29">
        <f>IF(A102="","",AS102+Y102)</f>
        <v/>
      </c>
      <c r="AU102" s="29">
        <f>IF(A102="","",AT102+Z102)</f>
        <v/>
      </c>
      <c r="AV102" s="29">
        <f>IF(A102="","",AU102+AA102)</f>
        <v/>
      </c>
      <c r="AW102" s="29">
        <f>IF(A102="","",AV102+AB102)</f>
        <v/>
      </c>
      <c r="AX102" s="29">
        <f>IF(A102="","",AW102+AC102)</f>
        <v/>
      </c>
      <c r="AY102" s="29">
        <f>IF(A102="","",AX102+AD102)</f>
        <v/>
      </c>
      <c r="AZ102" s="29">
        <f>IF(A102="","",AY102+AE102)</f>
        <v/>
      </c>
      <c r="BA102" s="29">
        <f>IF(A102="","",AZ102+AF102)</f>
        <v/>
      </c>
      <c r="BB102" s="29">
        <f>IF(A102="","",BA102+AG102)</f>
        <v/>
      </c>
      <c r="BC102" s="29">
        <f>IF(A102="","",BB102+AH102)</f>
        <v/>
      </c>
      <c r="BD102" s="29">
        <f>IF(A102="","",BC102+AI102)</f>
        <v/>
      </c>
      <c r="BE102" s="29">
        <f>IF(A102="","",BD102+AJ102)</f>
        <v/>
      </c>
      <c r="BF102" s="29">
        <f>IF(A102="","",BE102+AK102)</f>
        <v/>
      </c>
      <c r="BG102" s="29">
        <f>IF(A102="","",BF102+AL102)</f>
        <v/>
      </c>
      <c r="BH102" s="29">
        <f>IF(A102="","",BG102+AM102)</f>
        <v/>
      </c>
      <c r="BI102" s="36">
        <f>IF(A102="","",(K102)*(IF((YEAR(D102)+0)&lt;YEAR(E102),0,IF((YEAR(D102)+0)&gt;YEAR(E102),1,(12-MONTH(E102)+1)/12)))*(1/(1+DiscountRate)^0))</f>
        <v/>
      </c>
      <c r="BJ102" s="36">
        <f>IF(A102="","",(K102)*(IF((YEAR(D102)+1)&lt;YEAR(E102),0,IF((YEAR(D102)+1)&gt;YEAR(E102),1,(12-MONTH(E102)+1)/12)))*(1/(1+DiscountRate)^1))</f>
        <v/>
      </c>
      <c r="BK102" s="36">
        <f>IF(A102="","",(K102)*(IF((YEAR(D102)+2)&lt;YEAR(E102),0,IF((YEAR(D102)+2)&gt;YEAR(E102),1,(12-MONTH(E102)+1)/12)))*(1/(1+DiscountRate)^2))</f>
        <v/>
      </c>
      <c r="BL102" s="36">
        <f>IF(A102="","",(K102)*(IF((YEAR(D102)+3)&lt;YEAR(E102),0,IF((YEAR(D102)+3)&gt;YEAR(E102),1,(12-MONTH(E102)+1)/12)))*(1/(1+DiscountRate)^3))</f>
        <v/>
      </c>
      <c r="BM102" s="36">
        <f>IF(A102="","",(K102)*(IF((YEAR(D102)+4)&lt;YEAR(E102),0,IF((YEAR(D102)+4)&gt;YEAR(E102),1,(12-MONTH(E102)+1)/12)))*(1/(1+DiscountRate)^4))</f>
        <v/>
      </c>
      <c r="BN102" s="36">
        <f>IF(A102="","",(K102)*(IF((YEAR(D102)+5)&lt;YEAR(E102),0,IF((YEAR(D102)+5)&gt;YEAR(E102),1,(12-MONTH(E102)+1)/12)))*(1/(1+DiscountRate)^5))</f>
        <v/>
      </c>
      <c r="BO102" s="36">
        <f>IF(A102="","",(K102)*(IF((YEAR(D102)+6)&lt;YEAR(E102),0,IF((YEAR(D102)+6)&gt;YEAR(E102),1,(12-MONTH(E102)+1)/12)))*(1/(1+DiscountRate)^6))</f>
        <v/>
      </c>
      <c r="BP102" s="36">
        <f>IF(A102="","",(K102)*(IF((YEAR(D102)+7)&lt;YEAR(E102),0,IF((YEAR(D102)+7)&gt;YEAR(E102),1,(12-MONTH(E102)+1)/12)))*(1/(1+DiscountRate)^7))</f>
        <v/>
      </c>
      <c r="BQ102" s="36">
        <f>IF(A102="","",(K102)*(IF((YEAR(D102)+8)&lt;YEAR(E102),0,IF((YEAR(D102)+8)&gt;YEAR(E102),1,(12-MONTH(E102)+1)/12)))*(1/(1+DiscountRate)^8))</f>
        <v/>
      </c>
      <c r="BR102" s="36">
        <f>IF(A102="","",(K102)*(IF((YEAR(D102)+9)&lt;YEAR(E102),0,IF((YEAR(D102)+9)&gt;YEAR(E102),1,(12-MONTH(E102)+1)/12)))*(1/(1+DiscountRate)^9))</f>
        <v/>
      </c>
      <c r="BS102" s="36">
        <f>IF(A102="","",(K102)*(IF((YEAR(D102)+10)&lt;YEAR(E102),0,IF((YEAR(D102)+10)&gt;YEAR(E102),1,(12-MONTH(E102)+1)/12)))*(1/(1+DiscountRate)^10))</f>
        <v/>
      </c>
      <c r="BT102" s="36">
        <f>IF(A102="","",(K102)*(IF((YEAR(D102)+11)&lt;YEAR(E102),0,IF((YEAR(D102)+11)&gt;YEAR(E102),1,(12-MONTH(E102)+1)/12)))*(1/(1+DiscountRate)^11))</f>
        <v/>
      </c>
      <c r="BU102" s="36">
        <f>IF(A102="","",(K102)*(IF((YEAR(D102)+12)&lt;YEAR(E102),0,IF((YEAR(D102)+12)&gt;YEAR(E102),1,(12-MONTH(E102)+1)/12)))*(1/(1+DiscountRate)^12))</f>
        <v/>
      </c>
      <c r="BV102" s="36">
        <f>IF(A102="","",(K102)*(IF((YEAR(D102)+13)&lt;YEAR(E102),0,IF((YEAR(D102)+13)&gt;YEAR(E102),1,(12-MONTH(E102)+1)/12)))*(1/(1+DiscountRate)^13))</f>
        <v/>
      </c>
      <c r="BW102" s="36">
        <f>IF(A102="","",(K102)*(IF((YEAR(D102)+14)&lt;YEAR(E102),0,IF((YEAR(D102)+14)&gt;YEAR(E102),1,(12-MONTH(E102)+1)/12)))*(1/(1+DiscountRate)^14))</f>
        <v/>
      </c>
      <c r="BX102" s="36">
        <f>IF(A102="","",(K102)*(IF((YEAR(D102)+15)&lt;YEAR(E102),0,IF((YEAR(D102)+15)&gt;YEAR(E102),1,(12-MONTH(E102)+1)/12)))*(1/(1+DiscountRate)^15))</f>
        <v/>
      </c>
      <c r="BY102" s="36">
        <f>IF(A102="","",(K102)*(IF((YEAR(D102)+16)&lt;YEAR(E102),0,IF((YEAR(D102)+16)&gt;YEAR(E102),1,(12-MONTH(E102)+1)/12)))*(1/(1+DiscountRate)^16))</f>
        <v/>
      </c>
      <c r="BZ102" s="36">
        <f>IF(A102="","",(K102)*(IF((YEAR(D102)+17)&lt;YEAR(E102),0,IF((YEAR(D102)+17)&gt;YEAR(E102),1,(12-MONTH(E102)+1)/12)))*(1/(1+DiscountRate)^17))</f>
        <v/>
      </c>
      <c r="CA102" s="36">
        <f>IF(A102="","",(K102)*(IF((YEAR(D102)+18)&lt;YEAR(E102),0,IF((YEAR(D102)+18)&gt;YEAR(E102),1,(12-MONTH(E102)+1)/12)))*(1/(1+DiscountRate)^18))</f>
        <v/>
      </c>
      <c r="CB102" s="36">
        <f>IF(A102="","",(K102)*(IF((YEAR(D102)+19)&lt;YEAR(E102),0,IF((YEAR(D102)+19)&gt;YEAR(E102),1,(12-MONTH(E102)+1)/12)))*(1/(1+DiscountRate)^19))</f>
        <v/>
      </c>
      <c r="CC102" s="36">
        <f>IF(A102="","",(K102)*(IF((YEAR(D102)+20)&lt;YEAR(E102),0,IF((YEAR(D102)+20)&gt;YEAR(E102),1,(12-MONTH(E102)+1)/12)))*(1/(1+DiscountRate)^20))</f>
        <v/>
      </c>
      <c r="CD102" s="29">
        <f>IF(A102="","",S102/(1+DiscountRate)^0+T102/(1+DiscountRate)^1+U102/(1+DiscountRate)^2+V102/(1+DiscountRate)^3+W102/(1+DiscountRate)^4+X102/(1+DiscountRate)^5+Y102/(1+DiscountRate)^6+Z102/(1+DiscountRate)^7+AA102/(1+DiscountRate)^8+AB102/(1+DiscountRate)^9+AC102/(1+DiscountRate)^10+AD102/(1+DiscountRate)^11+AE102/(1+DiscountRate)^12+AF102/(1+DiscountRate)^13+AG102/(1+DiscountRate)^14+AH102/(1+DiscountRate)^15+AI102/(1+DiscountRate)^16+AJ102/(1+DiscountRate)^17+AK102/(1+DiscountRate)^18+AL102/(1+DiscountRate)^19+AM102/(1+DiscountRate)^20)</f>
        <v/>
      </c>
      <c r="CE102" s="37">
        <f>IF(A102="","",IFERROR(IRR(OFFSET(S102,0,0,1,MIN(HorizonYears,20)+1)),"n/a"))</f>
        <v/>
      </c>
      <c r="CF102" s="28">
        <f>IF(A102="","",IFERROR(MATCH(TRUE,OFFSET(AN102,0,0,1,MIN(HorizonYears,20)+1)&gt;=0,0)-1,"n/a"))</f>
        <v/>
      </c>
      <c r="CG102" s="36">
        <f>IF(A102="","",SUM(OFFSET(BI102,0,0,1,MIN(HorizonYears,20)+1)))</f>
        <v/>
      </c>
      <c r="CH102" s="36">
        <f>IF(A102="","",IFERROR(-CD102/CG102,"n/a"))</f>
        <v/>
      </c>
    </row>
    <row r="103">
      <c r="A103" s="6">
        <f>Actions!A101</f>
        <v/>
      </c>
      <c r="B103" s="6">
        <f>Actions!B101</f>
        <v/>
      </c>
      <c r="C103" s="6">
        <f>Actions!D101</f>
        <v/>
      </c>
      <c r="D103" s="35">
        <f>Actions!E101</f>
        <v/>
      </c>
      <c r="E103" s="35">
        <f>Actions!F101</f>
        <v/>
      </c>
      <c r="F103" s="6">
        <f>Actions!G101</f>
        <v/>
      </c>
      <c r="G103" s="6">
        <f>Actions!H101</f>
        <v/>
      </c>
      <c r="H103" s="29">
        <f>Actions!I101</f>
        <v/>
      </c>
      <c r="I103" s="6">
        <f>Actions!J101</f>
        <v/>
      </c>
      <c r="J103" s="16">
        <f>Actions!K101</f>
        <v/>
      </c>
      <c r="K103" s="16">
        <f>IF(A103="","",IF(I103="%",H103*J103,J103))</f>
        <v/>
      </c>
      <c r="L103" s="16">
        <f>Actions!L101</f>
        <v/>
      </c>
      <c r="M103" s="6">
        <f>Actions!M101</f>
        <v/>
      </c>
      <c r="N103" s="28">
        <f>Actions!N101</f>
        <v/>
      </c>
      <c r="O103" s="29">
        <f>Actions!T101</f>
        <v/>
      </c>
      <c r="P103" s="29">
        <f>Actions!Y101</f>
        <v/>
      </c>
      <c r="Q103" s="29">
        <f>Actions!Z101</f>
        <v/>
      </c>
      <c r="R103" s="29">
        <f>Actions!AA101</f>
        <v/>
      </c>
      <c r="S103" s="29">
        <f>IF(A103="","",((K103)*(IF(M103="",L103,IFERROR(IF(INDEX(Variablen!$I:$AT, MATCH(M103, Variablen!$A:$A, 0), MATCH((YEAR(D103)+0), Variablen!$I$3:$AT$3, 0))="",L103,INDEX(Variablen!$I:$AT, MATCH(M103, Variablen!$A:$A, 0), MATCH((YEAR(D103)+0), Variablen!$I$3:$AT$3, 0))),L103)))*(IF((YEAR(D103)+0)&lt;YEAR(E103),0,IF((YEAR(D103)+0)&gt;YEAR(E103),1,(12-MONTH(E103)+1)/12))) + (Q103)*(IF((YEAR(D103)+0)&lt;YEAR(E103),0,IF((YEAR(D103)+0)&gt;YEAR(E103),1,(12-MONTH(E103)+1)/12))))-((P103)*(IF((YEAR(D103)+0)&lt;YEAR(E103),0,IF((YEAR(D103)+0)&gt;YEAR(E103),1,(12-MONTH(E103)+1)/12))) + (R103)*(IF((YEAR(D103)+0)&lt;YEAR(E103),0,IF((YEAR(D103)+0)&gt;YEAR(E103),1,(12-MONTH(E103)+1)/12))))-(IF((((K103)*(IF(M103="",L103,IFERROR(IF(INDEX(Variablen!$I:$AT, MATCH(M103, Variablen!$A:$A, 0), MATCH((YEAR(D103)+0), Variablen!$I$3:$AT$3, 0))="",L103,INDEX(Variablen!$I:$AT, MATCH(M103, Variablen!$A:$A, 0), MATCH((YEAR(D103)+0), Variablen!$I$3:$AT$3, 0))),L103)))*(IF((YEAR(D103)+0)&lt;YEAR(E103),0,IF((YEAR(D103)+0)&gt;YEAR(E103),1,(12-MONTH(E103)+1)/12))) + (Q103)*(IF((YEAR(D103)+0)&lt;YEAR(E103),0,IF((YEAR(D103)+0)&gt;YEAR(E103),1,(12-MONTH(E103)+1)/12))))-((P103)*(IF((YEAR(D103)+0)&lt;YEAR(E103),0,IF((YEAR(D103)+0)&gt;YEAR(E103),1,(12-MONTH(E103)+1)/12))) + (R103)*(IF((YEAR(D103)+0)&lt;YEAR(E103),0,IF((YEAR(D103)+0)&gt;YEAR(E103),1,(12-MONTH(E103)+1)/12))))-(IF(OR(N103="",N103&lt;=0),0,(O103/N103)*(IF(OR(N103="",N103&lt;=0),0,IF((YEAR(D103)+0)&lt;YEAR(E103),0,IF((YEAR(D103)+0)&gt;=YEAR(E103)+N103,0,IF((YEAR(D103)+0)=YEAR(E103),(12-MONTH(E103)+1)/12,1))))))))&gt;0,(((K103)*(IF(M103="",L103,IFERROR(IF(INDEX(Variablen!$I:$AT, MATCH(M103, Variablen!$A:$A, 0), MATCH((YEAR(D103)+0), Variablen!$I$3:$AT$3, 0))="",L103,INDEX(Variablen!$I:$AT, MATCH(M103, Variablen!$A:$A, 0), MATCH((YEAR(D103)+0), Variablen!$I$3:$AT$3, 0))),L103)))*(IF((YEAR(D103)+0)&lt;YEAR(E103),0,IF((YEAR(D103)+0)&gt;YEAR(E103),1,(12-MONTH(E103)+1)/12))) + (Q103)*(IF((YEAR(D103)+0)&lt;YEAR(E103),0,IF((YEAR(D103)+0)&gt;YEAR(E103),1,(12-MONTH(E103)+1)/12))))-((P103)*(IF((YEAR(D103)+0)&lt;YEAR(E103),0,IF((YEAR(D103)+0)&gt;YEAR(E103),1,(12-MONTH(E103)+1)/12))) + (R103)*(IF((YEAR(D103)+0)&lt;YEAR(E103),0,IF((YEAR(D103)+0)&gt;YEAR(E103),1,(12-MONTH(E103)+1)/12))))-(IF(OR(N103="",N103&lt;=0),0,(O103/N103)*(IF(OR(N103="",N103&lt;=0),0,IF((YEAR(D103)+0)&lt;YEAR(E103),0,IF((YEAR(D103)+0)&gt;=YEAR(E103)+N103,0,IF((YEAR(D103)+0)=YEAR(E103),(12-MONTH(E103)+1)/12,1))))))))*TaxRate,0))-IF(0=0,O103,0))</f>
        <v/>
      </c>
      <c r="T103" s="29">
        <f>IF(A103="","",((K103)*(IF(M103="",L103,IFERROR(IF(INDEX(Variablen!$I:$AT, MATCH(M103, Variablen!$A:$A, 0), MATCH((YEAR(D103)+1), Variablen!$I$3:$AT$3, 0))="",L103,INDEX(Variablen!$I:$AT, MATCH(M103, Variablen!$A:$A, 0), MATCH((YEAR(D103)+1), Variablen!$I$3:$AT$3, 0))),L103)))*(IF((YEAR(D103)+1)&lt;YEAR(E103),0,IF((YEAR(D103)+1)&gt;YEAR(E103),1,(12-MONTH(E103)+1)/12))) + (Q103)*(IF((YEAR(D103)+1)&lt;YEAR(E103),0,IF((YEAR(D103)+1)&gt;YEAR(E103),1,(12-MONTH(E103)+1)/12))))-((P103)*(IF((YEAR(D103)+1)&lt;YEAR(E103),0,IF((YEAR(D103)+1)&gt;YEAR(E103),1,(12-MONTH(E103)+1)/12))) + (R103)*(IF((YEAR(D103)+1)&lt;YEAR(E103),0,IF((YEAR(D103)+1)&gt;YEAR(E103),1,(12-MONTH(E103)+1)/12))))-(IF((((K103)*(IF(M103="",L103,IFERROR(IF(INDEX(Variablen!$I:$AT, MATCH(M103, Variablen!$A:$A, 0), MATCH((YEAR(D103)+1), Variablen!$I$3:$AT$3, 0))="",L103,INDEX(Variablen!$I:$AT, MATCH(M103, Variablen!$A:$A, 0), MATCH((YEAR(D103)+1), Variablen!$I$3:$AT$3, 0))),L103)))*(IF((YEAR(D103)+1)&lt;YEAR(E103),0,IF((YEAR(D103)+1)&gt;YEAR(E103),1,(12-MONTH(E103)+1)/12))) + (Q103)*(IF((YEAR(D103)+1)&lt;YEAR(E103),0,IF((YEAR(D103)+1)&gt;YEAR(E103),1,(12-MONTH(E103)+1)/12))))-((P103)*(IF((YEAR(D103)+1)&lt;YEAR(E103),0,IF((YEAR(D103)+1)&gt;YEAR(E103),1,(12-MONTH(E103)+1)/12))) + (R103)*(IF((YEAR(D103)+1)&lt;YEAR(E103),0,IF((YEAR(D103)+1)&gt;YEAR(E103),1,(12-MONTH(E103)+1)/12))))-(IF(OR(N103="",N103&lt;=0),0,(O103/N103)*(IF(OR(N103="",N103&lt;=0),0,IF((YEAR(D103)+1)&lt;YEAR(E103),0,IF((YEAR(D103)+1)&gt;=YEAR(E103)+N103,0,IF((YEAR(D103)+1)=YEAR(E103),(12-MONTH(E103)+1)/12,1))))))))&gt;0,(((K103)*(IF(M103="",L103,IFERROR(IF(INDEX(Variablen!$I:$AT, MATCH(M103, Variablen!$A:$A, 0), MATCH((YEAR(D103)+1), Variablen!$I$3:$AT$3, 0))="",L103,INDEX(Variablen!$I:$AT, MATCH(M103, Variablen!$A:$A, 0), MATCH((YEAR(D103)+1), Variablen!$I$3:$AT$3, 0))),L103)))*(IF((YEAR(D103)+1)&lt;YEAR(E103),0,IF((YEAR(D103)+1)&gt;YEAR(E103),1,(12-MONTH(E103)+1)/12))) + (Q103)*(IF((YEAR(D103)+1)&lt;YEAR(E103),0,IF((YEAR(D103)+1)&gt;YEAR(E103),1,(12-MONTH(E103)+1)/12))))-((P103)*(IF((YEAR(D103)+1)&lt;YEAR(E103),0,IF((YEAR(D103)+1)&gt;YEAR(E103),1,(12-MONTH(E103)+1)/12))) + (R103)*(IF((YEAR(D103)+1)&lt;YEAR(E103),0,IF((YEAR(D103)+1)&gt;YEAR(E103),1,(12-MONTH(E103)+1)/12))))-(IF(OR(N103="",N103&lt;=0),0,(O103/N103)*(IF(OR(N103="",N103&lt;=0),0,IF((YEAR(D103)+1)&lt;YEAR(E103),0,IF((YEAR(D103)+1)&gt;=YEAR(E103)+N103,0,IF((YEAR(D103)+1)=YEAR(E103),(12-MONTH(E103)+1)/12,1))))))))*TaxRate,0))-IF(1=0,O103,0))</f>
        <v/>
      </c>
      <c r="U103" s="29">
        <f>IF(A103="","",((K103)*(IF(M103="",L103,IFERROR(IF(INDEX(Variablen!$I:$AT, MATCH(M103, Variablen!$A:$A, 0), MATCH((YEAR(D103)+2), Variablen!$I$3:$AT$3, 0))="",L103,INDEX(Variablen!$I:$AT, MATCH(M103, Variablen!$A:$A, 0), MATCH((YEAR(D103)+2), Variablen!$I$3:$AT$3, 0))),L103)))*(IF((YEAR(D103)+2)&lt;YEAR(E103),0,IF((YEAR(D103)+2)&gt;YEAR(E103),1,(12-MONTH(E103)+1)/12))) + (Q103)*(IF((YEAR(D103)+2)&lt;YEAR(E103),0,IF((YEAR(D103)+2)&gt;YEAR(E103),1,(12-MONTH(E103)+1)/12))))-((P103)*(IF((YEAR(D103)+2)&lt;YEAR(E103),0,IF((YEAR(D103)+2)&gt;YEAR(E103),1,(12-MONTH(E103)+1)/12))) + (R103)*(IF((YEAR(D103)+2)&lt;YEAR(E103),0,IF((YEAR(D103)+2)&gt;YEAR(E103),1,(12-MONTH(E103)+1)/12))))-(IF((((K103)*(IF(M103="",L103,IFERROR(IF(INDEX(Variablen!$I:$AT, MATCH(M103, Variablen!$A:$A, 0), MATCH((YEAR(D103)+2), Variablen!$I$3:$AT$3, 0))="",L103,INDEX(Variablen!$I:$AT, MATCH(M103, Variablen!$A:$A, 0), MATCH((YEAR(D103)+2), Variablen!$I$3:$AT$3, 0))),L103)))*(IF((YEAR(D103)+2)&lt;YEAR(E103),0,IF((YEAR(D103)+2)&gt;YEAR(E103),1,(12-MONTH(E103)+1)/12))) + (Q103)*(IF((YEAR(D103)+2)&lt;YEAR(E103),0,IF((YEAR(D103)+2)&gt;YEAR(E103),1,(12-MONTH(E103)+1)/12))))-((P103)*(IF((YEAR(D103)+2)&lt;YEAR(E103),0,IF((YEAR(D103)+2)&gt;YEAR(E103),1,(12-MONTH(E103)+1)/12))) + (R103)*(IF((YEAR(D103)+2)&lt;YEAR(E103),0,IF((YEAR(D103)+2)&gt;YEAR(E103),1,(12-MONTH(E103)+1)/12))))-(IF(OR(N103="",N103&lt;=0),0,(O103/N103)*(IF(OR(N103="",N103&lt;=0),0,IF((YEAR(D103)+2)&lt;YEAR(E103),0,IF((YEAR(D103)+2)&gt;=YEAR(E103)+N103,0,IF((YEAR(D103)+2)=YEAR(E103),(12-MONTH(E103)+1)/12,1))))))))&gt;0,(((K103)*(IF(M103="",L103,IFERROR(IF(INDEX(Variablen!$I:$AT, MATCH(M103, Variablen!$A:$A, 0), MATCH((YEAR(D103)+2), Variablen!$I$3:$AT$3, 0))="",L103,INDEX(Variablen!$I:$AT, MATCH(M103, Variablen!$A:$A, 0), MATCH((YEAR(D103)+2), Variablen!$I$3:$AT$3, 0))),L103)))*(IF((YEAR(D103)+2)&lt;YEAR(E103),0,IF((YEAR(D103)+2)&gt;YEAR(E103),1,(12-MONTH(E103)+1)/12))) + (Q103)*(IF((YEAR(D103)+2)&lt;YEAR(E103),0,IF((YEAR(D103)+2)&gt;YEAR(E103),1,(12-MONTH(E103)+1)/12))))-((P103)*(IF((YEAR(D103)+2)&lt;YEAR(E103),0,IF((YEAR(D103)+2)&gt;YEAR(E103),1,(12-MONTH(E103)+1)/12))) + (R103)*(IF((YEAR(D103)+2)&lt;YEAR(E103),0,IF((YEAR(D103)+2)&gt;YEAR(E103),1,(12-MONTH(E103)+1)/12))))-(IF(OR(N103="",N103&lt;=0),0,(O103/N103)*(IF(OR(N103="",N103&lt;=0),0,IF((YEAR(D103)+2)&lt;YEAR(E103),0,IF((YEAR(D103)+2)&gt;=YEAR(E103)+N103,0,IF((YEAR(D103)+2)=YEAR(E103),(12-MONTH(E103)+1)/12,1))))))))*TaxRate,0))-IF(2=0,O103,0))</f>
        <v/>
      </c>
      <c r="V103" s="29">
        <f>IF(A103="","",((K103)*(IF(M103="",L103,IFERROR(IF(INDEX(Variablen!$I:$AT, MATCH(M103, Variablen!$A:$A, 0), MATCH((YEAR(D103)+3), Variablen!$I$3:$AT$3, 0))="",L103,INDEX(Variablen!$I:$AT, MATCH(M103, Variablen!$A:$A, 0), MATCH((YEAR(D103)+3), Variablen!$I$3:$AT$3, 0))),L103)))*(IF((YEAR(D103)+3)&lt;YEAR(E103),0,IF((YEAR(D103)+3)&gt;YEAR(E103),1,(12-MONTH(E103)+1)/12))) + (Q103)*(IF((YEAR(D103)+3)&lt;YEAR(E103),0,IF((YEAR(D103)+3)&gt;YEAR(E103),1,(12-MONTH(E103)+1)/12))))-((P103)*(IF((YEAR(D103)+3)&lt;YEAR(E103),0,IF((YEAR(D103)+3)&gt;YEAR(E103),1,(12-MONTH(E103)+1)/12))) + (R103)*(IF((YEAR(D103)+3)&lt;YEAR(E103),0,IF((YEAR(D103)+3)&gt;YEAR(E103),1,(12-MONTH(E103)+1)/12))))-(IF((((K103)*(IF(M103="",L103,IFERROR(IF(INDEX(Variablen!$I:$AT, MATCH(M103, Variablen!$A:$A, 0), MATCH((YEAR(D103)+3), Variablen!$I$3:$AT$3, 0))="",L103,INDEX(Variablen!$I:$AT, MATCH(M103, Variablen!$A:$A, 0), MATCH((YEAR(D103)+3), Variablen!$I$3:$AT$3, 0))),L103)))*(IF((YEAR(D103)+3)&lt;YEAR(E103),0,IF((YEAR(D103)+3)&gt;YEAR(E103),1,(12-MONTH(E103)+1)/12))) + (Q103)*(IF((YEAR(D103)+3)&lt;YEAR(E103),0,IF((YEAR(D103)+3)&gt;YEAR(E103),1,(12-MONTH(E103)+1)/12))))-((P103)*(IF((YEAR(D103)+3)&lt;YEAR(E103),0,IF((YEAR(D103)+3)&gt;YEAR(E103),1,(12-MONTH(E103)+1)/12))) + (R103)*(IF((YEAR(D103)+3)&lt;YEAR(E103),0,IF((YEAR(D103)+3)&gt;YEAR(E103),1,(12-MONTH(E103)+1)/12))))-(IF(OR(N103="",N103&lt;=0),0,(O103/N103)*(IF(OR(N103="",N103&lt;=0),0,IF((YEAR(D103)+3)&lt;YEAR(E103),0,IF((YEAR(D103)+3)&gt;=YEAR(E103)+N103,0,IF((YEAR(D103)+3)=YEAR(E103),(12-MONTH(E103)+1)/12,1))))))))&gt;0,(((K103)*(IF(M103="",L103,IFERROR(IF(INDEX(Variablen!$I:$AT, MATCH(M103, Variablen!$A:$A, 0), MATCH((YEAR(D103)+3), Variablen!$I$3:$AT$3, 0))="",L103,INDEX(Variablen!$I:$AT, MATCH(M103, Variablen!$A:$A, 0), MATCH((YEAR(D103)+3), Variablen!$I$3:$AT$3, 0))),L103)))*(IF((YEAR(D103)+3)&lt;YEAR(E103),0,IF((YEAR(D103)+3)&gt;YEAR(E103),1,(12-MONTH(E103)+1)/12))) + (Q103)*(IF((YEAR(D103)+3)&lt;YEAR(E103),0,IF((YEAR(D103)+3)&gt;YEAR(E103),1,(12-MONTH(E103)+1)/12))))-((P103)*(IF((YEAR(D103)+3)&lt;YEAR(E103),0,IF((YEAR(D103)+3)&gt;YEAR(E103),1,(12-MONTH(E103)+1)/12))) + (R103)*(IF((YEAR(D103)+3)&lt;YEAR(E103),0,IF((YEAR(D103)+3)&gt;YEAR(E103),1,(12-MONTH(E103)+1)/12))))-(IF(OR(N103="",N103&lt;=0),0,(O103/N103)*(IF(OR(N103="",N103&lt;=0),0,IF((YEAR(D103)+3)&lt;YEAR(E103),0,IF((YEAR(D103)+3)&gt;=YEAR(E103)+N103,0,IF((YEAR(D103)+3)=YEAR(E103),(12-MONTH(E103)+1)/12,1))))))))*TaxRate,0))-IF(3=0,O103,0))</f>
        <v/>
      </c>
      <c r="W103" s="29">
        <f>IF(A103="","",((K103)*(IF(M103="",L103,IFERROR(IF(INDEX(Variablen!$I:$AT, MATCH(M103, Variablen!$A:$A, 0), MATCH((YEAR(D103)+4), Variablen!$I$3:$AT$3, 0))="",L103,INDEX(Variablen!$I:$AT, MATCH(M103, Variablen!$A:$A, 0), MATCH((YEAR(D103)+4), Variablen!$I$3:$AT$3, 0))),L103)))*(IF((YEAR(D103)+4)&lt;YEAR(E103),0,IF((YEAR(D103)+4)&gt;YEAR(E103),1,(12-MONTH(E103)+1)/12))) + (Q103)*(IF((YEAR(D103)+4)&lt;YEAR(E103),0,IF((YEAR(D103)+4)&gt;YEAR(E103),1,(12-MONTH(E103)+1)/12))))-((P103)*(IF((YEAR(D103)+4)&lt;YEAR(E103),0,IF((YEAR(D103)+4)&gt;YEAR(E103),1,(12-MONTH(E103)+1)/12))) + (R103)*(IF((YEAR(D103)+4)&lt;YEAR(E103),0,IF((YEAR(D103)+4)&gt;YEAR(E103),1,(12-MONTH(E103)+1)/12))))-(IF((((K103)*(IF(M103="",L103,IFERROR(IF(INDEX(Variablen!$I:$AT, MATCH(M103, Variablen!$A:$A, 0), MATCH((YEAR(D103)+4), Variablen!$I$3:$AT$3, 0))="",L103,INDEX(Variablen!$I:$AT, MATCH(M103, Variablen!$A:$A, 0), MATCH((YEAR(D103)+4), Variablen!$I$3:$AT$3, 0))),L103)))*(IF((YEAR(D103)+4)&lt;YEAR(E103),0,IF((YEAR(D103)+4)&gt;YEAR(E103),1,(12-MONTH(E103)+1)/12))) + (Q103)*(IF((YEAR(D103)+4)&lt;YEAR(E103),0,IF((YEAR(D103)+4)&gt;YEAR(E103),1,(12-MONTH(E103)+1)/12))))-((P103)*(IF((YEAR(D103)+4)&lt;YEAR(E103),0,IF((YEAR(D103)+4)&gt;YEAR(E103),1,(12-MONTH(E103)+1)/12))) + (R103)*(IF((YEAR(D103)+4)&lt;YEAR(E103),0,IF((YEAR(D103)+4)&gt;YEAR(E103),1,(12-MONTH(E103)+1)/12))))-(IF(OR(N103="",N103&lt;=0),0,(O103/N103)*(IF(OR(N103="",N103&lt;=0),0,IF((YEAR(D103)+4)&lt;YEAR(E103),0,IF((YEAR(D103)+4)&gt;=YEAR(E103)+N103,0,IF((YEAR(D103)+4)=YEAR(E103),(12-MONTH(E103)+1)/12,1))))))))&gt;0,(((K103)*(IF(M103="",L103,IFERROR(IF(INDEX(Variablen!$I:$AT, MATCH(M103, Variablen!$A:$A, 0), MATCH((YEAR(D103)+4), Variablen!$I$3:$AT$3, 0))="",L103,INDEX(Variablen!$I:$AT, MATCH(M103, Variablen!$A:$A, 0), MATCH((YEAR(D103)+4), Variablen!$I$3:$AT$3, 0))),L103)))*(IF((YEAR(D103)+4)&lt;YEAR(E103),0,IF((YEAR(D103)+4)&gt;YEAR(E103),1,(12-MONTH(E103)+1)/12))) + (Q103)*(IF((YEAR(D103)+4)&lt;YEAR(E103),0,IF((YEAR(D103)+4)&gt;YEAR(E103),1,(12-MONTH(E103)+1)/12))))-((P103)*(IF((YEAR(D103)+4)&lt;YEAR(E103),0,IF((YEAR(D103)+4)&gt;YEAR(E103),1,(12-MONTH(E103)+1)/12))) + (R103)*(IF((YEAR(D103)+4)&lt;YEAR(E103),0,IF((YEAR(D103)+4)&gt;YEAR(E103),1,(12-MONTH(E103)+1)/12))))-(IF(OR(N103="",N103&lt;=0),0,(O103/N103)*(IF(OR(N103="",N103&lt;=0),0,IF((YEAR(D103)+4)&lt;YEAR(E103),0,IF((YEAR(D103)+4)&gt;=YEAR(E103)+N103,0,IF((YEAR(D103)+4)=YEAR(E103),(12-MONTH(E103)+1)/12,1))))))))*TaxRate,0))-IF(4=0,O103,0))</f>
        <v/>
      </c>
      <c r="X103" s="29">
        <f>IF(A103="","",((K103)*(IF(M103="",L103,IFERROR(IF(INDEX(Variablen!$I:$AT, MATCH(M103, Variablen!$A:$A, 0), MATCH((YEAR(D103)+5), Variablen!$I$3:$AT$3, 0))="",L103,INDEX(Variablen!$I:$AT, MATCH(M103, Variablen!$A:$A, 0), MATCH((YEAR(D103)+5), Variablen!$I$3:$AT$3, 0))),L103)))*(IF((YEAR(D103)+5)&lt;YEAR(E103),0,IF((YEAR(D103)+5)&gt;YEAR(E103),1,(12-MONTH(E103)+1)/12))) + (Q103)*(IF((YEAR(D103)+5)&lt;YEAR(E103),0,IF((YEAR(D103)+5)&gt;YEAR(E103),1,(12-MONTH(E103)+1)/12))))-((P103)*(IF((YEAR(D103)+5)&lt;YEAR(E103),0,IF((YEAR(D103)+5)&gt;YEAR(E103),1,(12-MONTH(E103)+1)/12))) + (R103)*(IF((YEAR(D103)+5)&lt;YEAR(E103),0,IF((YEAR(D103)+5)&gt;YEAR(E103),1,(12-MONTH(E103)+1)/12))))-(IF((((K103)*(IF(M103="",L103,IFERROR(IF(INDEX(Variablen!$I:$AT, MATCH(M103, Variablen!$A:$A, 0), MATCH((YEAR(D103)+5), Variablen!$I$3:$AT$3, 0))="",L103,INDEX(Variablen!$I:$AT, MATCH(M103, Variablen!$A:$A, 0), MATCH((YEAR(D103)+5), Variablen!$I$3:$AT$3, 0))),L103)))*(IF((YEAR(D103)+5)&lt;YEAR(E103),0,IF((YEAR(D103)+5)&gt;YEAR(E103),1,(12-MONTH(E103)+1)/12))) + (Q103)*(IF((YEAR(D103)+5)&lt;YEAR(E103),0,IF((YEAR(D103)+5)&gt;YEAR(E103),1,(12-MONTH(E103)+1)/12))))-((P103)*(IF((YEAR(D103)+5)&lt;YEAR(E103),0,IF((YEAR(D103)+5)&gt;YEAR(E103),1,(12-MONTH(E103)+1)/12))) + (R103)*(IF((YEAR(D103)+5)&lt;YEAR(E103),0,IF((YEAR(D103)+5)&gt;YEAR(E103),1,(12-MONTH(E103)+1)/12))))-(IF(OR(N103="",N103&lt;=0),0,(O103/N103)*(IF(OR(N103="",N103&lt;=0),0,IF((YEAR(D103)+5)&lt;YEAR(E103),0,IF((YEAR(D103)+5)&gt;=YEAR(E103)+N103,0,IF((YEAR(D103)+5)=YEAR(E103),(12-MONTH(E103)+1)/12,1))))))))&gt;0,(((K103)*(IF(M103="",L103,IFERROR(IF(INDEX(Variablen!$I:$AT, MATCH(M103, Variablen!$A:$A, 0), MATCH((YEAR(D103)+5), Variablen!$I$3:$AT$3, 0))="",L103,INDEX(Variablen!$I:$AT, MATCH(M103, Variablen!$A:$A, 0), MATCH((YEAR(D103)+5), Variablen!$I$3:$AT$3, 0))),L103)))*(IF((YEAR(D103)+5)&lt;YEAR(E103),0,IF((YEAR(D103)+5)&gt;YEAR(E103),1,(12-MONTH(E103)+1)/12))) + (Q103)*(IF((YEAR(D103)+5)&lt;YEAR(E103),0,IF((YEAR(D103)+5)&gt;YEAR(E103),1,(12-MONTH(E103)+1)/12))))-((P103)*(IF((YEAR(D103)+5)&lt;YEAR(E103),0,IF((YEAR(D103)+5)&gt;YEAR(E103),1,(12-MONTH(E103)+1)/12))) + (R103)*(IF((YEAR(D103)+5)&lt;YEAR(E103),0,IF((YEAR(D103)+5)&gt;YEAR(E103),1,(12-MONTH(E103)+1)/12))))-(IF(OR(N103="",N103&lt;=0),0,(O103/N103)*(IF(OR(N103="",N103&lt;=0),0,IF((YEAR(D103)+5)&lt;YEAR(E103),0,IF((YEAR(D103)+5)&gt;=YEAR(E103)+N103,0,IF((YEAR(D103)+5)=YEAR(E103),(12-MONTH(E103)+1)/12,1))))))))*TaxRate,0))-IF(5=0,O103,0))</f>
        <v/>
      </c>
      <c r="Y103" s="29">
        <f>IF(A103="","",((K103)*(IF(M103="",L103,IFERROR(IF(INDEX(Variablen!$I:$AT, MATCH(M103, Variablen!$A:$A, 0), MATCH((YEAR(D103)+6), Variablen!$I$3:$AT$3, 0))="",L103,INDEX(Variablen!$I:$AT, MATCH(M103, Variablen!$A:$A, 0), MATCH((YEAR(D103)+6), Variablen!$I$3:$AT$3, 0))),L103)))*(IF((YEAR(D103)+6)&lt;YEAR(E103),0,IF((YEAR(D103)+6)&gt;YEAR(E103),1,(12-MONTH(E103)+1)/12))) + (Q103)*(IF((YEAR(D103)+6)&lt;YEAR(E103),0,IF((YEAR(D103)+6)&gt;YEAR(E103),1,(12-MONTH(E103)+1)/12))))-((P103)*(IF((YEAR(D103)+6)&lt;YEAR(E103),0,IF((YEAR(D103)+6)&gt;YEAR(E103),1,(12-MONTH(E103)+1)/12))) + (R103)*(IF((YEAR(D103)+6)&lt;YEAR(E103),0,IF((YEAR(D103)+6)&gt;YEAR(E103),1,(12-MONTH(E103)+1)/12))))-(IF((((K103)*(IF(M103="",L103,IFERROR(IF(INDEX(Variablen!$I:$AT, MATCH(M103, Variablen!$A:$A, 0), MATCH((YEAR(D103)+6), Variablen!$I$3:$AT$3, 0))="",L103,INDEX(Variablen!$I:$AT, MATCH(M103, Variablen!$A:$A, 0), MATCH((YEAR(D103)+6), Variablen!$I$3:$AT$3, 0))),L103)))*(IF((YEAR(D103)+6)&lt;YEAR(E103),0,IF((YEAR(D103)+6)&gt;YEAR(E103),1,(12-MONTH(E103)+1)/12))) + (Q103)*(IF((YEAR(D103)+6)&lt;YEAR(E103),0,IF((YEAR(D103)+6)&gt;YEAR(E103),1,(12-MONTH(E103)+1)/12))))-((P103)*(IF((YEAR(D103)+6)&lt;YEAR(E103),0,IF((YEAR(D103)+6)&gt;YEAR(E103),1,(12-MONTH(E103)+1)/12))) + (R103)*(IF((YEAR(D103)+6)&lt;YEAR(E103),0,IF((YEAR(D103)+6)&gt;YEAR(E103),1,(12-MONTH(E103)+1)/12))))-(IF(OR(N103="",N103&lt;=0),0,(O103/N103)*(IF(OR(N103="",N103&lt;=0),0,IF((YEAR(D103)+6)&lt;YEAR(E103),0,IF((YEAR(D103)+6)&gt;=YEAR(E103)+N103,0,IF((YEAR(D103)+6)=YEAR(E103),(12-MONTH(E103)+1)/12,1))))))))&gt;0,(((K103)*(IF(M103="",L103,IFERROR(IF(INDEX(Variablen!$I:$AT, MATCH(M103, Variablen!$A:$A, 0), MATCH((YEAR(D103)+6), Variablen!$I$3:$AT$3, 0))="",L103,INDEX(Variablen!$I:$AT, MATCH(M103, Variablen!$A:$A, 0), MATCH((YEAR(D103)+6), Variablen!$I$3:$AT$3, 0))),L103)))*(IF((YEAR(D103)+6)&lt;YEAR(E103),0,IF((YEAR(D103)+6)&gt;YEAR(E103),1,(12-MONTH(E103)+1)/12))) + (Q103)*(IF((YEAR(D103)+6)&lt;YEAR(E103),0,IF((YEAR(D103)+6)&gt;YEAR(E103),1,(12-MONTH(E103)+1)/12))))-((P103)*(IF((YEAR(D103)+6)&lt;YEAR(E103),0,IF((YEAR(D103)+6)&gt;YEAR(E103),1,(12-MONTH(E103)+1)/12))) + (R103)*(IF((YEAR(D103)+6)&lt;YEAR(E103),0,IF((YEAR(D103)+6)&gt;YEAR(E103),1,(12-MONTH(E103)+1)/12))))-(IF(OR(N103="",N103&lt;=0),0,(O103/N103)*(IF(OR(N103="",N103&lt;=0),0,IF((YEAR(D103)+6)&lt;YEAR(E103),0,IF((YEAR(D103)+6)&gt;=YEAR(E103)+N103,0,IF((YEAR(D103)+6)=YEAR(E103),(12-MONTH(E103)+1)/12,1))))))))*TaxRate,0))-IF(6=0,O103,0))</f>
        <v/>
      </c>
      <c r="Z103" s="29">
        <f>IF(A103="","",((K103)*(IF(M103="",L103,IFERROR(IF(INDEX(Variablen!$I:$AT, MATCH(M103, Variablen!$A:$A, 0), MATCH((YEAR(D103)+7), Variablen!$I$3:$AT$3, 0))="",L103,INDEX(Variablen!$I:$AT, MATCH(M103, Variablen!$A:$A, 0), MATCH((YEAR(D103)+7), Variablen!$I$3:$AT$3, 0))),L103)))*(IF((YEAR(D103)+7)&lt;YEAR(E103),0,IF((YEAR(D103)+7)&gt;YEAR(E103),1,(12-MONTH(E103)+1)/12))) + (Q103)*(IF((YEAR(D103)+7)&lt;YEAR(E103),0,IF((YEAR(D103)+7)&gt;YEAR(E103),1,(12-MONTH(E103)+1)/12))))-((P103)*(IF((YEAR(D103)+7)&lt;YEAR(E103),0,IF((YEAR(D103)+7)&gt;YEAR(E103),1,(12-MONTH(E103)+1)/12))) + (R103)*(IF((YEAR(D103)+7)&lt;YEAR(E103),0,IF((YEAR(D103)+7)&gt;YEAR(E103),1,(12-MONTH(E103)+1)/12))))-(IF((((K103)*(IF(M103="",L103,IFERROR(IF(INDEX(Variablen!$I:$AT, MATCH(M103, Variablen!$A:$A, 0), MATCH((YEAR(D103)+7), Variablen!$I$3:$AT$3, 0))="",L103,INDEX(Variablen!$I:$AT, MATCH(M103, Variablen!$A:$A, 0), MATCH((YEAR(D103)+7), Variablen!$I$3:$AT$3, 0))),L103)))*(IF((YEAR(D103)+7)&lt;YEAR(E103),0,IF((YEAR(D103)+7)&gt;YEAR(E103),1,(12-MONTH(E103)+1)/12))) + (Q103)*(IF((YEAR(D103)+7)&lt;YEAR(E103),0,IF((YEAR(D103)+7)&gt;YEAR(E103),1,(12-MONTH(E103)+1)/12))))-((P103)*(IF((YEAR(D103)+7)&lt;YEAR(E103),0,IF((YEAR(D103)+7)&gt;YEAR(E103),1,(12-MONTH(E103)+1)/12))) + (R103)*(IF((YEAR(D103)+7)&lt;YEAR(E103),0,IF((YEAR(D103)+7)&gt;YEAR(E103),1,(12-MONTH(E103)+1)/12))))-(IF(OR(N103="",N103&lt;=0),0,(O103/N103)*(IF(OR(N103="",N103&lt;=0),0,IF((YEAR(D103)+7)&lt;YEAR(E103),0,IF((YEAR(D103)+7)&gt;=YEAR(E103)+N103,0,IF((YEAR(D103)+7)=YEAR(E103),(12-MONTH(E103)+1)/12,1))))))))&gt;0,(((K103)*(IF(M103="",L103,IFERROR(IF(INDEX(Variablen!$I:$AT, MATCH(M103, Variablen!$A:$A, 0), MATCH((YEAR(D103)+7), Variablen!$I$3:$AT$3, 0))="",L103,INDEX(Variablen!$I:$AT, MATCH(M103, Variablen!$A:$A, 0), MATCH((YEAR(D103)+7), Variablen!$I$3:$AT$3, 0))),L103)))*(IF((YEAR(D103)+7)&lt;YEAR(E103),0,IF((YEAR(D103)+7)&gt;YEAR(E103),1,(12-MONTH(E103)+1)/12))) + (Q103)*(IF((YEAR(D103)+7)&lt;YEAR(E103),0,IF((YEAR(D103)+7)&gt;YEAR(E103),1,(12-MONTH(E103)+1)/12))))-((P103)*(IF((YEAR(D103)+7)&lt;YEAR(E103),0,IF((YEAR(D103)+7)&gt;YEAR(E103),1,(12-MONTH(E103)+1)/12))) + (R103)*(IF((YEAR(D103)+7)&lt;YEAR(E103),0,IF((YEAR(D103)+7)&gt;YEAR(E103),1,(12-MONTH(E103)+1)/12))))-(IF(OR(N103="",N103&lt;=0),0,(O103/N103)*(IF(OR(N103="",N103&lt;=0),0,IF((YEAR(D103)+7)&lt;YEAR(E103),0,IF((YEAR(D103)+7)&gt;=YEAR(E103)+N103,0,IF((YEAR(D103)+7)=YEAR(E103),(12-MONTH(E103)+1)/12,1))))))))*TaxRate,0))-IF(7=0,O103,0))</f>
        <v/>
      </c>
      <c r="AA103" s="29">
        <f>IF(A103="","",((K103)*(IF(M103="",L103,IFERROR(IF(INDEX(Variablen!$I:$AT, MATCH(M103, Variablen!$A:$A, 0), MATCH((YEAR(D103)+8), Variablen!$I$3:$AT$3, 0))="",L103,INDEX(Variablen!$I:$AT, MATCH(M103, Variablen!$A:$A, 0), MATCH((YEAR(D103)+8), Variablen!$I$3:$AT$3, 0))),L103)))*(IF((YEAR(D103)+8)&lt;YEAR(E103),0,IF((YEAR(D103)+8)&gt;YEAR(E103),1,(12-MONTH(E103)+1)/12))) + (Q103)*(IF((YEAR(D103)+8)&lt;YEAR(E103),0,IF((YEAR(D103)+8)&gt;YEAR(E103),1,(12-MONTH(E103)+1)/12))))-((P103)*(IF((YEAR(D103)+8)&lt;YEAR(E103),0,IF((YEAR(D103)+8)&gt;YEAR(E103),1,(12-MONTH(E103)+1)/12))) + (R103)*(IF((YEAR(D103)+8)&lt;YEAR(E103),0,IF((YEAR(D103)+8)&gt;YEAR(E103),1,(12-MONTH(E103)+1)/12))))-(IF((((K103)*(IF(M103="",L103,IFERROR(IF(INDEX(Variablen!$I:$AT, MATCH(M103, Variablen!$A:$A, 0), MATCH((YEAR(D103)+8), Variablen!$I$3:$AT$3, 0))="",L103,INDEX(Variablen!$I:$AT, MATCH(M103, Variablen!$A:$A, 0), MATCH((YEAR(D103)+8), Variablen!$I$3:$AT$3, 0))),L103)))*(IF((YEAR(D103)+8)&lt;YEAR(E103),0,IF((YEAR(D103)+8)&gt;YEAR(E103),1,(12-MONTH(E103)+1)/12))) + (Q103)*(IF((YEAR(D103)+8)&lt;YEAR(E103),0,IF((YEAR(D103)+8)&gt;YEAR(E103),1,(12-MONTH(E103)+1)/12))))-((P103)*(IF((YEAR(D103)+8)&lt;YEAR(E103),0,IF((YEAR(D103)+8)&gt;YEAR(E103),1,(12-MONTH(E103)+1)/12))) + (R103)*(IF((YEAR(D103)+8)&lt;YEAR(E103),0,IF((YEAR(D103)+8)&gt;YEAR(E103),1,(12-MONTH(E103)+1)/12))))-(IF(OR(N103="",N103&lt;=0),0,(O103/N103)*(IF(OR(N103="",N103&lt;=0),0,IF((YEAR(D103)+8)&lt;YEAR(E103),0,IF((YEAR(D103)+8)&gt;=YEAR(E103)+N103,0,IF((YEAR(D103)+8)=YEAR(E103),(12-MONTH(E103)+1)/12,1))))))))&gt;0,(((K103)*(IF(M103="",L103,IFERROR(IF(INDEX(Variablen!$I:$AT, MATCH(M103, Variablen!$A:$A, 0), MATCH((YEAR(D103)+8), Variablen!$I$3:$AT$3, 0))="",L103,INDEX(Variablen!$I:$AT, MATCH(M103, Variablen!$A:$A, 0), MATCH((YEAR(D103)+8), Variablen!$I$3:$AT$3, 0))),L103)))*(IF((YEAR(D103)+8)&lt;YEAR(E103),0,IF((YEAR(D103)+8)&gt;YEAR(E103),1,(12-MONTH(E103)+1)/12))) + (Q103)*(IF((YEAR(D103)+8)&lt;YEAR(E103),0,IF((YEAR(D103)+8)&gt;YEAR(E103),1,(12-MONTH(E103)+1)/12))))-((P103)*(IF((YEAR(D103)+8)&lt;YEAR(E103),0,IF((YEAR(D103)+8)&gt;YEAR(E103),1,(12-MONTH(E103)+1)/12))) + (R103)*(IF((YEAR(D103)+8)&lt;YEAR(E103),0,IF((YEAR(D103)+8)&gt;YEAR(E103),1,(12-MONTH(E103)+1)/12))))-(IF(OR(N103="",N103&lt;=0),0,(O103/N103)*(IF(OR(N103="",N103&lt;=0),0,IF((YEAR(D103)+8)&lt;YEAR(E103),0,IF((YEAR(D103)+8)&gt;=YEAR(E103)+N103,0,IF((YEAR(D103)+8)=YEAR(E103),(12-MONTH(E103)+1)/12,1))))))))*TaxRate,0))-IF(8=0,O103,0))</f>
        <v/>
      </c>
      <c r="AB103" s="29">
        <f>IF(A103="","",((K103)*(IF(M103="",L103,IFERROR(IF(INDEX(Variablen!$I:$AT, MATCH(M103, Variablen!$A:$A, 0), MATCH((YEAR(D103)+9), Variablen!$I$3:$AT$3, 0))="",L103,INDEX(Variablen!$I:$AT, MATCH(M103, Variablen!$A:$A, 0), MATCH((YEAR(D103)+9), Variablen!$I$3:$AT$3, 0))),L103)))*(IF((YEAR(D103)+9)&lt;YEAR(E103),0,IF((YEAR(D103)+9)&gt;YEAR(E103),1,(12-MONTH(E103)+1)/12))) + (Q103)*(IF((YEAR(D103)+9)&lt;YEAR(E103),0,IF((YEAR(D103)+9)&gt;YEAR(E103),1,(12-MONTH(E103)+1)/12))))-((P103)*(IF((YEAR(D103)+9)&lt;YEAR(E103),0,IF((YEAR(D103)+9)&gt;YEAR(E103),1,(12-MONTH(E103)+1)/12))) + (R103)*(IF((YEAR(D103)+9)&lt;YEAR(E103),0,IF((YEAR(D103)+9)&gt;YEAR(E103),1,(12-MONTH(E103)+1)/12))))-(IF((((K103)*(IF(M103="",L103,IFERROR(IF(INDEX(Variablen!$I:$AT, MATCH(M103, Variablen!$A:$A, 0), MATCH((YEAR(D103)+9), Variablen!$I$3:$AT$3, 0))="",L103,INDEX(Variablen!$I:$AT, MATCH(M103, Variablen!$A:$A, 0), MATCH((YEAR(D103)+9), Variablen!$I$3:$AT$3, 0))),L103)))*(IF((YEAR(D103)+9)&lt;YEAR(E103),0,IF((YEAR(D103)+9)&gt;YEAR(E103),1,(12-MONTH(E103)+1)/12))) + (Q103)*(IF((YEAR(D103)+9)&lt;YEAR(E103),0,IF((YEAR(D103)+9)&gt;YEAR(E103),1,(12-MONTH(E103)+1)/12))))-((P103)*(IF((YEAR(D103)+9)&lt;YEAR(E103),0,IF((YEAR(D103)+9)&gt;YEAR(E103),1,(12-MONTH(E103)+1)/12))) + (R103)*(IF((YEAR(D103)+9)&lt;YEAR(E103),0,IF((YEAR(D103)+9)&gt;YEAR(E103),1,(12-MONTH(E103)+1)/12))))-(IF(OR(N103="",N103&lt;=0),0,(O103/N103)*(IF(OR(N103="",N103&lt;=0),0,IF((YEAR(D103)+9)&lt;YEAR(E103),0,IF((YEAR(D103)+9)&gt;=YEAR(E103)+N103,0,IF((YEAR(D103)+9)=YEAR(E103),(12-MONTH(E103)+1)/12,1))))))))&gt;0,(((K103)*(IF(M103="",L103,IFERROR(IF(INDEX(Variablen!$I:$AT, MATCH(M103, Variablen!$A:$A, 0), MATCH((YEAR(D103)+9), Variablen!$I$3:$AT$3, 0))="",L103,INDEX(Variablen!$I:$AT, MATCH(M103, Variablen!$A:$A, 0), MATCH((YEAR(D103)+9), Variablen!$I$3:$AT$3, 0))),L103)))*(IF((YEAR(D103)+9)&lt;YEAR(E103),0,IF((YEAR(D103)+9)&gt;YEAR(E103),1,(12-MONTH(E103)+1)/12))) + (Q103)*(IF((YEAR(D103)+9)&lt;YEAR(E103),0,IF((YEAR(D103)+9)&gt;YEAR(E103),1,(12-MONTH(E103)+1)/12))))-((P103)*(IF((YEAR(D103)+9)&lt;YEAR(E103),0,IF((YEAR(D103)+9)&gt;YEAR(E103),1,(12-MONTH(E103)+1)/12))) + (R103)*(IF((YEAR(D103)+9)&lt;YEAR(E103),0,IF((YEAR(D103)+9)&gt;YEAR(E103),1,(12-MONTH(E103)+1)/12))))-(IF(OR(N103="",N103&lt;=0),0,(O103/N103)*(IF(OR(N103="",N103&lt;=0),0,IF((YEAR(D103)+9)&lt;YEAR(E103),0,IF((YEAR(D103)+9)&gt;=YEAR(E103)+N103,0,IF((YEAR(D103)+9)=YEAR(E103),(12-MONTH(E103)+1)/12,1))))))))*TaxRate,0))-IF(9=0,O103,0))</f>
        <v/>
      </c>
      <c r="AC103" s="29">
        <f>IF(A103="","",((K103)*(IF(M103="",L103,IFERROR(IF(INDEX(Variablen!$I:$AT, MATCH(M103, Variablen!$A:$A, 0), MATCH((YEAR(D103)+10), Variablen!$I$3:$AT$3, 0))="",L103,INDEX(Variablen!$I:$AT, MATCH(M103, Variablen!$A:$A, 0), MATCH((YEAR(D103)+10), Variablen!$I$3:$AT$3, 0))),L103)))*(IF((YEAR(D103)+10)&lt;YEAR(E103),0,IF((YEAR(D103)+10)&gt;YEAR(E103),1,(12-MONTH(E103)+1)/12))) + (Q103)*(IF((YEAR(D103)+10)&lt;YEAR(E103),0,IF((YEAR(D103)+10)&gt;YEAR(E103),1,(12-MONTH(E103)+1)/12))))-((P103)*(IF((YEAR(D103)+10)&lt;YEAR(E103),0,IF((YEAR(D103)+10)&gt;YEAR(E103),1,(12-MONTH(E103)+1)/12))) + (R103)*(IF((YEAR(D103)+10)&lt;YEAR(E103),0,IF((YEAR(D103)+10)&gt;YEAR(E103),1,(12-MONTH(E103)+1)/12))))-(IF((((K103)*(IF(M103="",L103,IFERROR(IF(INDEX(Variablen!$I:$AT, MATCH(M103, Variablen!$A:$A, 0), MATCH((YEAR(D103)+10), Variablen!$I$3:$AT$3, 0))="",L103,INDEX(Variablen!$I:$AT, MATCH(M103, Variablen!$A:$A, 0), MATCH((YEAR(D103)+10), Variablen!$I$3:$AT$3, 0))),L103)))*(IF((YEAR(D103)+10)&lt;YEAR(E103),0,IF((YEAR(D103)+10)&gt;YEAR(E103),1,(12-MONTH(E103)+1)/12))) + (Q103)*(IF((YEAR(D103)+10)&lt;YEAR(E103),0,IF((YEAR(D103)+10)&gt;YEAR(E103),1,(12-MONTH(E103)+1)/12))))-((P103)*(IF((YEAR(D103)+10)&lt;YEAR(E103),0,IF((YEAR(D103)+10)&gt;YEAR(E103),1,(12-MONTH(E103)+1)/12))) + (R103)*(IF((YEAR(D103)+10)&lt;YEAR(E103),0,IF((YEAR(D103)+10)&gt;YEAR(E103),1,(12-MONTH(E103)+1)/12))))-(IF(OR(N103="",N103&lt;=0),0,(O103/N103)*(IF(OR(N103="",N103&lt;=0),0,IF((YEAR(D103)+10)&lt;YEAR(E103),0,IF((YEAR(D103)+10)&gt;=YEAR(E103)+N103,0,IF((YEAR(D103)+10)=YEAR(E103),(12-MONTH(E103)+1)/12,1))))))))&gt;0,(((K103)*(IF(M103="",L103,IFERROR(IF(INDEX(Variablen!$I:$AT, MATCH(M103, Variablen!$A:$A, 0), MATCH((YEAR(D103)+10), Variablen!$I$3:$AT$3, 0))="",L103,INDEX(Variablen!$I:$AT, MATCH(M103, Variablen!$A:$A, 0), MATCH((YEAR(D103)+10), Variablen!$I$3:$AT$3, 0))),L103)))*(IF((YEAR(D103)+10)&lt;YEAR(E103),0,IF((YEAR(D103)+10)&gt;YEAR(E103),1,(12-MONTH(E103)+1)/12))) + (Q103)*(IF((YEAR(D103)+10)&lt;YEAR(E103),0,IF((YEAR(D103)+10)&gt;YEAR(E103),1,(12-MONTH(E103)+1)/12))))-((P103)*(IF((YEAR(D103)+10)&lt;YEAR(E103),0,IF((YEAR(D103)+10)&gt;YEAR(E103),1,(12-MONTH(E103)+1)/12))) + (R103)*(IF((YEAR(D103)+10)&lt;YEAR(E103),0,IF((YEAR(D103)+10)&gt;YEAR(E103),1,(12-MONTH(E103)+1)/12))))-(IF(OR(N103="",N103&lt;=0),0,(O103/N103)*(IF(OR(N103="",N103&lt;=0),0,IF((YEAR(D103)+10)&lt;YEAR(E103),0,IF((YEAR(D103)+10)&gt;=YEAR(E103)+N103,0,IF((YEAR(D103)+10)=YEAR(E103),(12-MONTH(E103)+1)/12,1))))))))*TaxRate,0))-IF(10=0,O103,0))</f>
        <v/>
      </c>
      <c r="AD103" s="29">
        <f>IF(A103="","",((K103)*(IF(M103="",L103,IFERROR(IF(INDEX(Variablen!$I:$AT, MATCH(M103, Variablen!$A:$A, 0), MATCH((YEAR(D103)+11), Variablen!$I$3:$AT$3, 0))="",L103,INDEX(Variablen!$I:$AT, MATCH(M103, Variablen!$A:$A, 0), MATCH((YEAR(D103)+11), Variablen!$I$3:$AT$3, 0))),L103)))*(IF((YEAR(D103)+11)&lt;YEAR(E103),0,IF((YEAR(D103)+11)&gt;YEAR(E103),1,(12-MONTH(E103)+1)/12))) + (Q103)*(IF((YEAR(D103)+11)&lt;YEAR(E103),0,IF((YEAR(D103)+11)&gt;YEAR(E103),1,(12-MONTH(E103)+1)/12))))-((P103)*(IF((YEAR(D103)+11)&lt;YEAR(E103),0,IF((YEAR(D103)+11)&gt;YEAR(E103),1,(12-MONTH(E103)+1)/12))) + (R103)*(IF((YEAR(D103)+11)&lt;YEAR(E103),0,IF((YEAR(D103)+11)&gt;YEAR(E103),1,(12-MONTH(E103)+1)/12))))-(IF((((K103)*(IF(M103="",L103,IFERROR(IF(INDEX(Variablen!$I:$AT, MATCH(M103, Variablen!$A:$A, 0), MATCH((YEAR(D103)+11), Variablen!$I$3:$AT$3, 0))="",L103,INDEX(Variablen!$I:$AT, MATCH(M103, Variablen!$A:$A, 0), MATCH((YEAR(D103)+11), Variablen!$I$3:$AT$3, 0))),L103)))*(IF((YEAR(D103)+11)&lt;YEAR(E103),0,IF((YEAR(D103)+11)&gt;YEAR(E103),1,(12-MONTH(E103)+1)/12))) + (Q103)*(IF((YEAR(D103)+11)&lt;YEAR(E103),0,IF((YEAR(D103)+11)&gt;YEAR(E103),1,(12-MONTH(E103)+1)/12))))-((P103)*(IF((YEAR(D103)+11)&lt;YEAR(E103),0,IF((YEAR(D103)+11)&gt;YEAR(E103),1,(12-MONTH(E103)+1)/12))) + (R103)*(IF((YEAR(D103)+11)&lt;YEAR(E103),0,IF((YEAR(D103)+11)&gt;YEAR(E103),1,(12-MONTH(E103)+1)/12))))-(IF(OR(N103="",N103&lt;=0),0,(O103/N103)*(IF(OR(N103="",N103&lt;=0),0,IF((YEAR(D103)+11)&lt;YEAR(E103),0,IF((YEAR(D103)+11)&gt;=YEAR(E103)+N103,0,IF((YEAR(D103)+11)=YEAR(E103),(12-MONTH(E103)+1)/12,1))))))))&gt;0,(((K103)*(IF(M103="",L103,IFERROR(IF(INDEX(Variablen!$I:$AT, MATCH(M103, Variablen!$A:$A, 0), MATCH((YEAR(D103)+11), Variablen!$I$3:$AT$3, 0))="",L103,INDEX(Variablen!$I:$AT, MATCH(M103, Variablen!$A:$A, 0), MATCH((YEAR(D103)+11), Variablen!$I$3:$AT$3, 0))),L103)))*(IF((YEAR(D103)+11)&lt;YEAR(E103),0,IF((YEAR(D103)+11)&gt;YEAR(E103),1,(12-MONTH(E103)+1)/12))) + (Q103)*(IF((YEAR(D103)+11)&lt;YEAR(E103),0,IF((YEAR(D103)+11)&gt;YEAR(E103),1,(12-MONTH(E103)+1)/12))))-((P103)*(IF((YEAR(D103)+11)&lt;YEAR(E103),0,IF((YEAR(D103)+11)&gt;YEAR(E103),1,(12-MONTH(E103)+1)/12))) + (R103)*(IF((YEAR(D103)+11)&lt;YEAR(E103),0,IF((YEAR(D103)+11)&gt;YEAR(E103),1,(12-MONTH(E103)+1)/12))))-(IF(OR(N103="",N103&lt;=0),0,(O103/N103)*(IF(OR(N103="",N103&lt;=0),0,IF((YEAR(D103)+11)&lt;YEAR(E103),0,IF((YEAR(D103)+11)&gt;=YEAR(E103)+N103,0,IF((YEAR(D103)+11)=YEAR(E103),(12-MONTH(E103)+1)/12,1))))))))*TaxRate,0))-IF(11=0,O103,0))</f>
        <v/>
      </c>
      <c r="AE103" s="29">
        <f>IF(A103="","",((K103)*(IF(M103="",L103,IFERROR(IF(INDEX(Variablen!$I:$AT, MATCH(M103, Variablen!$A:$A, 0), MATCH((YEAR(D103)+12), Variablen!$I$3:$AT$3, 0))="",L103,INDEX(Variablen!$I:$AT, MATCH(M103, Variablen!$A:$A, 0), MATCH((YEAR(D103)+12), Variablen!$I$3:$AT$3, 0))),L103)))*(IF((YEAR(D103)+12)&lt;YEAR(E103),0,IF((YEAR(D103)+12)&gt;YEAR(E103),1,(12-MONTH(E103)+1)/12))) + (Q103)*(IF((YEAR(D103)+12)&lt;YEAR(E103),0,IF((YEAR(D103)+12)&gt;YEAR(E103),1,(12-MONTH(E103)+1)/12))))-((P103)*(IF((YEAR(D103)+12)&lt;YEAR(E103),0,IF((YEAR(D103)+12)&gt;YEAR(E103),1,(12-MONTH(E103)+1)/12))) + (R103)*(IF((YEAR(D103)+12)&lt;YEAR(E103),0,IF((YEAR(D103)+12)&gt;YEAR(E103),1,(12-MONTH(E103)+1)/12))))-(IF((((K103)*(IF(M103="",L103,IFERROR(IF(INDEX(Variablen!$I:$AT, MATCH(M103, Variablen!$A:$A, 0), MATCH((YEAR(D103)+12), Variablen!$I$3:$AT$3, 0))="",L103,INDEX(Variablen!$I:$AT, MATCH(M103, Variablen!$A:$A, 0), MATCH((YEAR(D103)+12), Variablen!$I$3:$AT$3, 0))),L103)))*(IF((YEAR(D103)+12)&lt;YEAR(E103),0,IF((YEAR(D103)+12)&gt;YEAR(E103),1,(12-MONTH(E103)+1)/12))) + (Q103)*(IF((YEAR(D103)+12)&lt;YEAR(E103),0,IF((YEAR(D103)+12)&gt;YEAR(E103),1,(12-MONTH(E103)+1)/12))))-((P103)*(IF((YEAR(D103)+12)&lt;YEAR(E103),0,IF((YEAR(D103)+12)&gt;YEAR(E103),1,(12-MONTH(E103)+1)/12))) + (R103)*(IF((YEAR(D103)+12)&lt;YEAR(E103),0,IF((YEAR(D103)+12)&gt;YEAR(E103),1,(12-MONTH(E103)+1)/12))))-(IF(OR(N103="",N103&lt;=0),0,(O103/N103)*(IF(OR(N103="",N103&lt;=0),0,IF((YEAR(D103)+12)&lt;YEAR(E103),0,IF((YEAR(D103)+12)&gt;=YEAR(E103)+N103,0,IF((YEAR(D103)+12)=YEAR(E103),(12-MONTH(E103)+1)/12,1))))))))&gt;0,(((K103)*(IF(M103="",L103,IFERROR(IF(INDEX(Variablen!$I:$AT, MATCH(M103, Variablen!$A:$A, 0), MATCH((YEAR(D103)+12), Variablen!$I$3:$AT$3, 0))="",L103,INDEX(Variablen!$I:$AT, MATCH(M103, Variablen!$A:$A, 0), MATCH((YEAR(D103)+12), Variablen!$I$3:$AT$3, 0))),L103)))*(IF((YEAR(D103)+12)&lt;YEAR(E103),0,IF((YEAR(D103)+12)&gt;YEAR(E103),1,(12-MONTH(E103)+1)/12))) + (Q103)*(IF((YEAR(D103)+12)&lt;YEAR(E103),0,IF((YEAR(D103)+12)&gt;YEAR(E103),1,(12-MONTH(E103)+1)/12))))-((P103)*(IF((YEAR(D103)+12)&lt;YEAR(E103),0,IF((YEAR(D103)+12)&gt;YEAR(E103),1,(12-MONTH(E103)+1)/12))) + (R103)*(IF((YEAR(D103)+12)&lt;YEAR(E103),0,IF((YEAR(D103)+12)&gt;YEAR(E103),1,(12-MONTH(E103)+1)/12))))-(IF(OR(N103="",N103&lt;=0),0,(O103/N103)*(IF(OR(N103="",N103&lt;=0),0,IF((YEAR(D103)+12)&lt;YEAR(E103),0,IF((YEAR(D103)+12)&gt;=YEAR(E103)+N103,0,IF((YEAR(D103)+12)=YEAR(E103),(12-MONTH(E103)+1)/12,1))))))))*TaxRate,0))-IF(12=0,O103,0))</f>
        <v/>
      </c>
      <c r="AF103" s="29">
        <f>IF(A103="","",((K103)*(IF(M103="",L103,IFERROR(IF(INDEX(Variablen!$I:$AT, MATCH(M103, Variablen!$A:$A, 0), MATCH((YEAR(D103)+13), Variablen!$I$3:$AT$3, 0))="",L103,INDEX(Variablen!$I:$AT, MATCH(M103, Variablen!$A:$A, 0), MATCH((YEAR(D103)+13), Variablen!$I$3:$AT$3, 0))),L103)))*(IF((YEAR(D103)+13)&lt;YEAR(E103),0,IF((YEAR(D103)+13)&gt;YEAR(E103),1,(12-MONTH(E103)+1)/12))) + (Q103)*(IF((YEAR(D103)+13)&lt;YEAR(E103),0,IF((YEAR(D103)+13)&gt;YEAR(E103),1,(12-MONTH(E103)+1)/12))))-((P103)*(IF((YEAR(D103)+13)&lt;YEAR(E103),0,IF((YEAR(D103)+13)&gt;YEAR(E103),1,(12-MONTH(E103)+1)/12))) + (R103)*(IF((YEAR(D103)+13)&lt;YEAR(E103),0,IF((YEAR(D103)+13)&gt;YEAR(E103),1,(12-MONTH(E103)+1)/12))))-(IF((((K103)*(IF(M103="",L103,IFERROR(IF(INDEX(Variablen!$I:$AT, MATCH(M103, Variablen!$A:$A, 0), MATCH((YEAR(D103)+13), Variablen!$I$3:$AT$3, 0))="",L103,INDEX(Variablen!$I:$AT, MATCH(M103, Variablen!$A:$A, 0), MATCH((YEAR(D103)+13), Variablen!$I$3:$AT$3, 0))),L103)))*(IF((YEAR(D103)+13)&lt;YEAR(E103),0,IF((YEAR(D103)+13)&gt;YEAR(E103),1,(12-MONTH(E103)+1)/12))) + (Q103)*(IF((YEAR(D103)+13)&lt;YEAR(E103),0,IF((YEAR(D103)+13)&gt;YEAR(E103),1,(12-MONTH(E103)+1)/12))))-((P103)*(IF((YEAR(D103)+13)&lt;YEAR(E103),0,IF((YEAR(D103)+13)&gt;YEAR(E103),1,(12-MONTH(E103)+1)/12))) + (R103)*(IF((YEAR(D103)+13)&lt;YEAR(E103),0,IF((YEAR(D103)+13)&gt;YEAR(E103),1,(12-MONTH(E103)+1)/12))))-(IF(OR(N103="",N103&lt;=0),0,(O103/N103)*(IF(OR(N103="",N103&lt;=0),0,IF((YEAR(D103)+13)&lt;YEAR(E103),0,IF((YEAR(D103)+13)&gt;=YEAR(E103)+N103,0,IF((YEAR(D103)+13)=YEAR(E103),(12-MONTH(E103)+1)/12,1))))))))&gt;0,(((K103)*(IF(M103="",L103,IFERROR(IF(INDEX(Variablen!$I:$AT, MATCH(M103, Variablen!$A:$A, 0), MATCH((YEAR(D103)+13), Variablen!$I$3:$AT$3, 0))="",L103,INDEX(Variablen!$I:$AT, MATCH(M103, Variablen!$A:$A, 0), MATCH((YEAR(D103)+13), Variablen!$I$3:$AT$3, 0))),L103)))*(IF((YEAR(D103)+13)&lt;YEAR(E103),0,IF((YEAR(D103)+13)&gt;YEAR(E103),1,(12-MONTH(E103)+1)/12))) + (Q103)*(IF((YEAR(D103)+13)&lt;YEAR(E103),0,IF((YEAR(D103)+13)&gt;YEAR(E103),1,(12-MONTH(E103)+1)/12))))-((P103)*(IF((YEAR(D103)+13)&lt;YEAR(E103),0,IF((YEAR(D103)+13)&gt;YEAR(E103),1,(12-MONTH(E103)+1)/12))) + (R103)*(IF((YEAR(D103)+13)&lt;YEAR(E103),0,IF((YEAR(D103)+13)&gt;YEAR(E103),1,(12-MONTH(E103)+1)/12))))-(IF(OR(N103="",N103&lt;=0),0,(O103/N103)*(IF(OR(N103="",N103&lt;=0),0,IF((YEAR(D103)+13)&lt;YEAR(E103),0,IF((YEAR(D103)+13)&gt;=YEAR(E103)+N103,0,IF((YEAR(D103)+13)=YEAR(E103),(12-MONTH(E103)+1)/12,1))))))))*TaxRate,0))-IF(13=0,O103,0))</f>
        <v/>
      </c>
      <c r="AG103" s="29">
        <f>IF(A103="","",((K103)*(IF(M103="",L103,IFERROR(IF(INDEX(Variablen!$I:$AT, MATCH(M103, Variablen!$A:$A, 0), MATCH((YEAR(D103)+14), Variablen!$I$3:$AT$3, 0))="",L103,INDEX(Variablen!$I:$AT, MATCH(M103, Variablen!$A:$A, 0), MATCH((YEAR(D103)+14), Variablen!$I$3:$AT$3, 0))),L103)))*(IF((YEAR(D103)+14)&lt;YEAR(E103),0,IF((YEAR(D103)+14)&gt;YEAR(E103),1,(12-MONTH(E103)+1)/12))) + (Q103)*(IF((YEAR(D103)+14)&lt;YEAR(E103),0,IF((YEAR(D103)+14)&gt;YEAR(E103),1,(12-MONTH(E103)+1)/12))))-((P103)*(IF((YEAR(D103)+14)&lt;YEAR(E103),0,IF((YEAR(D103)+14)&gt;YEAR(E103),1,(12-MONTH(E103)+1)/12))) + (R103)*(IF((YEAR(D103)+14)&lt;YEAR(E103),0,IF((YEAR(D103)+14)&gt;YEAR(E103),1,(12-MONTH(E103)+1)/12))))-(IF((((K103)*(IF(M103="",L103,IFERROR(IF(INDEX(Variablen!$I:$AT, MATCH(M103, Variablen!$A:$A, 0), MATCH((YEAR(D103)+14), Variablen!$I$3:$AT$3, 0))="",L103,INDEX(Variablen!$I:$AT, MATCH(M103, Variablen!$A:$A, 0), MATCH((YEAR(D103)+14), Variablen!$I$3:$AT$3, 0))),L103)))*(IF((YEAR(D103)+14)&lt;YEAR(E103),0,IF((YEAR(D103)+14)&gt;YEAR(E103),1,(12-MONTH(E103)+1)/12))) + (Q103)*(IF((YEAR(D103)+14)&lt;YEAR(E103),0,IF((YEAR(D103)+14)&gt;YEAR(E103),1,(12-MONTH(E103)+1)/12))))-((P103)*(IF((YEAR(D103)+14)&lt;YEAR(E103),0,IF((YEAR(D103)+14)&gt;YEAR(E103),1,(12-MONTH(E103)+1)/12))) + (R103)*(IF((YEAR(D103)+14)&lt;YEAR(E103),0,IF((YEAR(D103)+14)&gt;YEAR(E103),1,(12-MONTH(E103)+1)/12))))-(IF(OR(N103="",N103&lt;=0),0,(O103/N103)*(IF(OR(N103="",N103&lt;=0),0,IF((YEAR(D103)+14)&lt;YEAR(E103),0,IF((YEAR(D103)+14)&gt;=YEAR(E103)+N103,0,IF((YEAR(D103)+14)=YEAR(E103),(12-MONTH(E103)+1)/12,1))))))))&gt;0,(((K103)*(IF(M103="",L103,IFERROR(IF(INDEX(Variablen!$I:$AT, MATCH(M103, Variablen!$A:$A, 0), MATCH((YEAR(D103)+14), Variablen!$I$3:$AT$3, 0))="",L103,INDEX(Variablen!$I:$AT, MATCH(M103, Variablen!$A:$A, 0), MATCH((YEAR(D103)+14), Variablen!$I$3:$AT$3, 0))),L103)))*(IF((YEAR(D103)+14)&lt;YEAR(E103),0,IF((YEAR(D103)+14)&gt;YEAR(E103),1,(12-MONTH(E103)+1)/12))) + (Q103)*(IF((YEAR(D103)+14)&lt;YEAR(E103),0,IF((YEAR(D103)+14)&gt;YEAR(E103),1,(12-MONTH(E103)+1)/12))))-((P103)*(IF((YEAR(D103)+14)&lt;YEAR(E103),0,IF((YEAR(D103)+14)&gt;YEAR(E103),1,(12-MONTH(E103)+1)/12))) + (R103)*(IF((YEAR(D103)+14)&lt;YEAR(E103),0,IF((YEAR(D103)+14)&gt;YEAR(E103),1,(12-MONTH(E103)+1)/12))))-(IF(OR(N103="",N103&lt;=0),0,(O103/N103)*(IF(OR(N103="",N103&lt;=0),0,IF((YEAR(D103)+14)&lt;YEAR(E103),0,IF((YEAR(D103)+14)&gt;=YEAR(E103)+N103,0,IF((YEAR(D103)+14)=YEAR(E103),(12-MONTH(E103)+1)/12,1))))))))*TaxRate,0))-IF(14=0,O103,0))</f>
        <v/>
      </c>
      <c r="AH103" s="29">
        <f>IF(A103="","",((K103)*(IF(M103="",L103,IFERROR(IF(INDEX(Variablen!$I:$AT, MATCH(M103, Variablen!$A:$A, 0), MATCH((YEAR(D103)+15), Variablen!$I$3:$AT$3, 0))="",L103,INDEX(Variablen!$I:$AT, MATCH(M103, Variablen!$A:$A, 0), MATCH((YEAR(D103)+15), Variablen!$I$3:$AT$3, 0))),L103)))*(IF((YEAR(D103)+15)&lt;YEAR(E103),0,IF((YEAR(D103)+15)&gt;YEAR(E103),1,(12-MONTH(E103)+1)/12))) + (Q103)*(IF((YEAR(D103)+15)&lt;YEAR(E103),0,IF((YEAR(D103)+15)&gt;YEAR(E103),1,(12-MONTH(E103)+1)/12))))-((P103)*(IF((YEAR(D103)+15)&lt;YEAR(E103),0,IF((YEAR(D103)+15)&gt;YEAR(E103),1,(12-MONTH(E103)+1)/12))) + (R103)*(IF((YEAR(D103)+15)&lt;YEAR(E103),0,IF((YEAR(D103)+15)&gt;YEAR(E103),1,(12-MONTH(E103)+1)/12))))-(IF((((K103)*(IF(M103="",L103,IFERROR(IF(INDEX(Variablen!$I:$AT, MATCH(M103, Variablen!$A:$A, 0), MATCH((YEAR(D103)+15), Variablen!$I$3:$AT$3, 0))="",L103,INDEX(Variablen!$I:$AT, MATCH(M103, Variablen!$A:$A, 0), MATCH((YEAR(D103)+15), Variablen!$I$3:$AT$3, 0))),L103)))*(IF((YEAR(D103)+15)&lt;YEAR(E103),0,IF((YEAR(D103)+15)&gt;YEAR(E103),1,(12-MONTH(E103)+1)/12))) + (Q103)*(IF((YEAR(D103)+15)&lt;YEAR(E103),0,IF((YEAR(D103)+15)&gt;YEAR(E103),1,(12-MONTH(E103)+1)/12))))-((P103)*(IF((YEAR(D103)+15)&lt;YEAR(E103),0,IF((YEAR(D103)+15)&gt;YEAR(E103),1,(12-MONTH(E103)+1)/12))) + (R103)*(IF((YEAR(D103)+15)&lt;YEAR(E103),0,IF((YEAR(D103)+15)&gt;YEAR(E103),1,(12-MONTH(E103)+1)/12))))-(IF(OR(N103="",N103&lt;=0),0,(O103/N103)*(IF(OR(N103="",N103&lt;=0),0,IF((YEAR(D103)+15)&lt;YEAR(E103),0,IF((YEAR(D103)+15)&gt;=YEAR(E103)+N103,0,IF((YEAR(D103)+15)=YEAR(E103),(12-MONTH(E103)+1)/12,1))))))))&gt;0,(((K103)*(IF(M103="",L103,IFERROR(IF(INDEX(Variablen!$I:$AT, MATCH(M103, Variablen!$A:$A, 0), MATCH((YEAR(D103)+15), Variablen!$I$3:$AT$3, 0))="",L103,INDEX(Variablen!$I:$AT, MATCH(M103, Variablen!$A:$A, 0), MATCH((YEAR(D103)+15), Variablen!$I$3:$AT$3, 0))),L103)))*(IF((YEAR(D103)+15)&lt;YEAR(E103),0,IF((YEAR(D103)+15)&gt;YEAR(E103),1,(12-MONTH(E103)+1)/12))) + (Q103)*(IF((YEAR(D103)+15)&lt;YEAR(E103),0,IF((YEAR(D103)+15)&gt;YEAR(E103),1,(12-MONTH(E103)+1)/12))))-((P103)*(IF((YEAR(D103)+15)&lt;YEAR(E103),0,IF((YEAR(D103)+15)&gt;YEAR(E103),1,(12-MONTH(E103)+1)/12))) + (R103)*(IF((YEAR(D103)+15)&lt;YEAR(E103),0,IF((YEAR(D103)+15)&gt;YEAR(E103),1,(12-MONTH(E103)+1)/12))))-(IF(OR(N103="",N103&lt;=0),0,(O103/N103)*(IF(OR(N103="",N103&lt;=0),0,IF((YEAR(D103)+15)&lt;YEAR(E103),0,IF((YEAR(D103)+15)&gt;=YEAR(E103)+N103,0,IF((YEAR(D103)+15)=YEAR(E103),(12-MONTH(E103)+1)/12,1))))))))*TaxRate,0))-IF(15=0,O103,0))</f>
        <v/>
      </c>
      <c r="AI103" s="29">
        <f>IF(A103="","",((K103)*(IF(M103="",L103,IFERROR(IF(INDEX(Variablen!$I:$AT, MATCH(M103, Variablen!$A:$A, 0), MATCH((YEAR(D103)+16), Variablen!$I$3:$AT$3, 0))="",L103,INDEX(Variablen!$I:$AT, MATCH(M103, Variablen!$A:$A, 0), MATCH((YEAR(D103)+16), Variablen!$I$3:$AT$3, 0))),L103)))*(IF((YEAR(D103)+16)&lt;YEAR(E103),0,IF((YEAR(D103)+16)&gt;YEAR(E103),1,(12-MONTH(E103)+1)/12))) + (Q103)*(IF((YEAR(D103)+16)&lt;YEAR(E103),0,IF((YEAR(D103)+16)&gt;YEAR(E103),1,(12-MONTH(E103)+1)/12))))-((P103)*(IF((YEAR(D103)+16)&lt;YEAR(E103),0,IF((YEAR(D103)+16)&gt;YEAR(E103),1,(12-MONTH(E103)+1)/12))) + (R103)*(IF((YEAR(D103)+16)&lt;YEAR(E103),0,IF((YEAR(D103)+16)&gt;YEAR(E103),1,(12-MONTH(E103)+1)/12))))-(IF((((K103)*(IF(M103="",L103,IFERROR(IF(INDEX(Variablen!$I:$AT, MATCH(M103, Variablen!$A:$A, 0), MATCH((YEAR(D103)+16), Variablen!$I$3:$AT$3, 0))="",L103,INDEX(Variablen!$I:$AT, MATCH(M103, Variablen!$A:$A, 0), MATCH((YEAR(D103)+16), Variablen!$I$3:$AT$3, 0))),L103)))*(IF((YEAR(D103)+16)&lt;YEAR(E103),0,IF((YEAR(D103)+16)&gt;YEAR(E103),1,(12-MONTH(E103)+1)/12))) + (Q103)*(IF((YEAR(D103)+16)&lt;YEAR(E103),0,IF((YEAR(D103)+16)&gt;YEAR(E103),1,(12-MONTH(E103)+1)/12))))-((P103)*(IF((YEAR(D103)+16)&lt;YEAR(E103),0,IF((YEAR(D103)+16)&gt;YEAR(E103),1,(12-MONTH(E103)+1)/12))) + (R103)*(IF((YEAR(D103)+16)&lt;YEAR(E103),0,IF((YEAR(D103)+16)&gt;YEAR(E103),1,(12-MONTH(E103)+1)/12))))-(IF(OR(N103="",N103&lt;=0),0,(O103/N103)*(IF(OR(N103="",N103&lt;=0),0,IF((YEAR(D103)+16)&lt;YEAR(E103),0,IF((YEAR(D103)+16)&gt;=YEAR(E103)+N103,0,IF((YEAR(D103)+16)=YEAR(E103),(12-MONTH(E103)+1)/12,1))))))))&gt;0,(((K103)*(IF(M103="",L103,IFERROR(IF(INDEX(Variablen!$I:$AT, MATCH(M103, Variablen!$A:$A, 0), MATCH((YEAR(D103)+16), Variablen!$I$3:$AT$3, 0))="",L103,INDEX(Variablen!$I:$AT, MATCH(M103, Variablen!$A:$A, 0), MATCH((YEAR(D103)+16), Variablen!$I$3:$AT$3, 0))),L103)))*(IF((YEAR(D103)+16)&lt;YEAR(E103),0,IF((YEAR(D103)+16)&gt;YEAR(E103),1,(12-MONTH(E103)+1)/12))) + (Q103)*(IF((YEAR(D103)+16)&lt;YEAR(E103),0,IF((YEAR(D103)+16)&gt;YEAR(E103),1,(12-MONTH(E103)+1)/12))))-((P103)*(IF((YEAR(D103)+16)&lt;YEAR(E103),0,IF((YEAR(D103)+16)&gt;YEAR(E103),1,(12-MONTH(E103)+1)/12))) + (R103)*(IF((YEAR(D103)+16)&lt;YEAR(E103),0,IF((YEAR(D103)+16)&gt;YEAR(E103),1,(12-MONTH(E103)+1)/12))))-(IF(OR(N103="",N103&lt;=0),0,(O103/N103)*(IF(OR(N103="",N103&lt;=0),0,IF((YEAR(D103)+16)&lt;YEAR(E103),0,IF((YEAR(D103)+16)&gt;=YEAR(E103)+N103,0,IF((YEAR(D103)+16)=YEAR(E103),(12-MONTH(E103)+1)/12,1))))))))*TaxRate,0))-IF(16=0,O103,0))</f>
        <v/>
      </c>
      <c r="AJ103" s="29">
        <f>IF(A103="","",((K103)*(IF(M103="",L103,IFERROR(IF(INDEX(Variablen!$I:$AT, MATCH(M103, Variablen!$A:$A, 0), MATCH((YEAR(D103)+17), Variablen!$I$3:$AT$3, 0))="",L103,INDEX(Variablen!$I:$AT, MATCH(M103, Variablen!$A:$A, 0), MATCH((YEAR(D103)+17), Variablen!$I$3:$AT$3, 0))),L103)))*(IF((YEAR(D103)+17)&lt;YEAR(E103),0,IF((YEAR(D103)+17)&gt;YEAR(E103),1,(12-MONTH(E103)+1)/12))) + (Q103)*(IF((YEAR(D103)+17)&lt;YEAR(E103),0,IF((YEAR(D103)+17)&gt;YEAR(E103),1,(12-MONTH(E103)+1)/12))))-((P103)*(IF((YEAR(D103)+17)&lt;YEAR(E103),0,IF((YEAR(D103)+17)&gt;YEAR(E103),1,(12-MONTH(E103)+1)/12))) + (R103)*(IF((YEAR(D103)+17)&lt;YEAR(E103),0,IF((YEAR(D103)+17)&gt;YEAR(E103),1,(12-MONTH(E103)+1)/12))))-(IF((((K103)*(IF(M103="",L103,IFERROR(IF(INDEX(Variablen!$I:$AT, MATCH(M103, Variablen!$A:$A, 0), MATCH((YEAR(D103)+17), Variablen!$I$3:$AT$3, 0))="",L103,INDEX(Variablen!$I:$AT, MATCH(M103, Variablen!$A:$A, 0), MATCH((YEAR(D103)+17), Variablen!$I$3:$AT$3, 0))),L103)))*(IF((YEAR(D103)+17)&lt;YEAR(E103),0,IF((YEAR(D103)+17)&gt;YEAR(E103),1,(12-MONTH(E103)+1)/12))) + (Q103)*(IF((YEAR(D103)+17)&lt;YEAR(E103),0,IF((YEAR(D103)+17)&gt;YEAR(E103),1,(12-MONTH(E103)+1)/12))))-((P103)*(IF((YEAR(D103)+17)&lt;YEAR(E103),0,IF((YEAR(D103)+17)&gt;YEAR(E103),1,(12-MONTH(E103)+1)/12))) + (R103)*(IF((YEAR(D103)+17)&lt;YEAR(E103),0,IF((YEAR(D103)+17)&gt;YEAR(E103),1,(12-MONTH(E103)+1)/12))))-(IF(OR(N103="",N103&lt;=0),0,(O103/N103)*(IF(OR(N103="",N103&lt;=0),0,IF((YEAR(D103)+17)&lt;YEAR(E103),0,IF((YEAR(D103)+17)&gt;=YEAR(E103)+N103,0,IF((YEAR(D103)+17)=YEAR(E103),(12-MONTH(E103)+1)/12,1))))))))&gt;0,(((K103)*(IF(M103="",L103,IFERROR(IF(INDEX(Variablen!$I:$AT, MATCH(M103, Variablen!$A:$A, 0), MATCH((YEAR(D103)+17), Variablen!$I$3:$AT$3, 0))="",L103,INDEX(Variablen!$I:$AT, MATCH(M103, Variablen!$A:$A, 0), MATCH((YEAR(D103)+17), Variablen!$I$3:$AT$3, 0))),L103)))*(IF((YEAR(D103)+17)&lt;YEAR(E103),0,IF((YEAR(D103)+17)&gt;YEAR(E103),1,(12-MONTH(E103)+1)/12))) + (Q103)*(IF((YEAR(D103)+17)&lt;YEAR(E103),0,IF((YEAR(D103)+17)&gt;YEAR(E103),1,(12-MONTH(E103)+1)/12))))-((P103)*(IF((YEAR(D103)+17)&lt;YEAR(E103),0,IF((YEAR(D103)+17)&gt;YEAR(E103),1,(12-MONTH(E103)+1)/12))) + (R103)*(IF((YEAR(D103)+17)&lt;YEAR(E103),0,IF((YEAR(D103)+17)&gt;YEAR(E103),1,(12-MONTH(E103)+1)/12))))-(IF(OR(N103="",N103&lt;=0),0,(O103/N103)*(IF(OR(N103="",N103&lt;=0),0,IF((YEAR(D103)+17)&lt;YEAR(E103),0,IF((YEAR(D103)+17)&gt;=YEAR(E103)+N103,0,IF((YEAR(D103)+17)=YEAR(E103),(12-MONTH(E103)+1)/12,1))))))))*TaxRate,0))-IF(17=0,O103,0))</f>
        <v/>
      </c>
      <c r="AK103" s="29">
        <f>IF(A103="","",((K103)*(IF(M103="",L103,IFERROR(IF(INDEX(Variablen!$I:$AT, MATCH(M103, Variablen!$A:$A, 0), MATCH((YEAR(D103)+18), Variablen!$I$3:$AT$3, 0))="",L103,INDEX(Variablen!$I:$AT, MATCH(M103, Variablen!$A:$A, 0), MATCH((YEAR(D103)+18), Variablen!$I$3:$AT$3, 0))),L103)))*(IF((YEAR(D103)+18)&lt;YEAR(E103),0,IF((YEAR(D103)+18)&gt;YEAR(E103),1,(12-MONTH(E103)+1)/12))) + (Q103)*(IF((YEAR(D103)+18)&lt;YEAR(E103),0,IF((YEAR(D103)+18)&gt;YEAR(E103),1,(12-MONTH(E103)+1)/12))))-((P103)*(IF((YEAR(D103)+18)&lt;YEAR(E103),0,IF((YEAR(D103)+18)&gt;YEAR(E103),1,(12-MONTH(E103)+1)/12))) + (R103)*(IF((YEAR(D103)+18)&lt;YEAR(E103),0,IF((YEAR(D103)+18)&gt;YEAR(E103),1,(12-MONTH(E103)+1)/12))))-(IF((((K103)*(IF(M103="",L103,IFERROR(IF(INDEX(Variablen!$I:$AT, MATCH(M103, Variablen!$A:$A, 0), MATCH((YEAR(D103)+18), Variablen!$I$3:$AT$3, 0))="",L103,INDEX(Variablen!$I:$AT, MATCH(M103, Variablen!$A:$A, 0), MATCH((YEAR(D103)+18), Variablen!$I$3:$AT$3, 0))),L103)))*(IF((YEAR(D103)+18)&lt;YEAR(E103),0,IF((YEAR(D103)+18)&gt;YEAR(E103),1,(12-MONTH(E103)+1)/12))) + (Q103)*(IF((YEAR(D103)+18)&lt;YEAR(E103),0,IF((YEAR(D103)+18)&gt;YEAR(E103),1,(12-MONTH(E103)+1)/12))))-((P103)*(IF((YEAR(D103)+18)&lt;YEAR(E103),0,IF((YEAR(D103)+18)&gt;YEAR(E103),1,(12-MONTH(E103)+1)/12))) + (R103)*(IF((YEAR(D103)+18)&lt;YEAR(E103),0,IF((YEAR(D103)+18)&gt;YEAR(E103),1,(12-MONTH(E103)+1)/12))))-(IF(OR(N103="",N103&lt;=0),0,(O103/N103)*(IF(OR(N103="",N103&lt;=0),0,IF((YEAR(D103)+18)&lt;YEAR(E103),0,IF((YEAR(D103)+18)&gt;=YEAR(E103)+N103,0,IF((YEAR(D103)+18)=YEAR(E103),(12-MONTH(E103)+1)/12,1))))))))&gt;0,(((K103)*(IF(M103="",L103,IFERROR(IF(INDEX(Variablen!$I:$AT, MATCH(M103, Variablen!$A:$A, 0), MATCH((YEAR(D103)+18), Variablen!$I$3:$AT$3, 0))="",L103,INDEX(Variablen!$I:$AT, MATCH(M103, Variablen!$A:$A, 0), MATCH((YEAR(D103)+18), Variablen!$I$3:$AT$3, 0))),L103)))*(IF((YEAR(D103)+18)&lt;YEAR(E103),0,IF((YEAR(D103)+18)&gt;YEAR(E103),1,(12-MONTH(E103)+1)/12))) + (Q103)*(IF((YEAR(D103)+18)&lt;YEAR(E103),0,IF((YEAR(D103)+18)&gt;YEAR(E103),1,(12-MONTH(E103)+1)/12))))-((P103)*(IF((YEAR(D103)+18)&lt;YEAR(E103),0,IF((YEAR(D103)+18)&gt;YEAR(E103),1,(12-MONTH(E103)+1)/12))) + (R103)*(IF((YEAR(D103)+18)&lt;YEAR(E103),0,IF((YEAR(D103)+18)&gt;YEAR(E103),1,(12-MONTH(E103)+1)/12))))-(IF(OR(N103="",N103&lt;=0),0,(O103/N103)*(IF(OR(N103="",N103&lt;=0),0,IF((YEAR(D103)+18)&lt;YEAR(E103),0,IF((YEAR(D103)+18)&gt;=YEAR(E103)+N103,0,IF((YEAR(D103)+18)=YEAR(E103),(12-MONTH(E103)+1)/12,1))))))))*TaxRate,0))-IF(18=0,O103,0))</f>
        <v/>
      </c>
      <c r="AL103" s="29">
        <f>IF(A103="","",((K103)*(IF(M103="",L103,IFERROR(IF(INDEX(Variablen!$I:$AT, MATCH(M103, Variablen!$A:$A, 0), MATCH((YEAR(D103)+19), Variablen!$I$3:$AT$3, 0))="",L103,INDEX(Variablen!$I:$AT, MATCH(M103, Variablen!$A:$A, 0), MATCH((YEAR(D103)+19), Variablen!$I$3:$AT$3, 0))),L103)))*(IF((YEAR(D103)+19)&lt;YEAR(E103),0,IF((YEAR(D103)+19)&gt;YEAR(E103),1,(12-MONTH(E103)+1)/12))) + (Q103)*(IF((YEAR(D103)+19)&lt;YEAR(E103),0,IF((YEAR(D103)+19)&gt;YEAR(E103),1,(12-MONTH(E103)+1)/12))))-((P103)*(IF((YEAR(D103)+19)&lt;YEAR(E103),0,IF((YEAR(D103)+19)&gt;YEAR(E103),1,(12-MONTH(E103)+1)/12))) + (R103)*(IF((YEAR(D103)+19)&lt;YEAR(E103),0,IF((YEAR(D103)+19)&gt;YEAR(E103),1,(12-MONTH(E103)+1)/12))))-(IF((((K103)*(IF(M103="",L103,IFERROR(IF(INDEX(Variablen!$I:$AT, MATCH(M103, Variablen!$A:$A, 0), MATCH((YEAR(D103)+19), Variablen!$I$3:$AT$3, 0))="",L103,INDEX(Variablen!$I:$AT, MATCH(M103, Variablen!$A:$A, 0), MATCH((YEAR(D103)+19), Variablen!$I$3:$AT$3, 0))),L103)))*(IF((YEAR(D103)+19)&lt;YEAR(E103),0,IF((YEAR(D103)+19)&gt;YEAR(E103),1,(12-MONTH(E103)+1)/12))) + (Q103)*(IF((YEAR(D103)+19)&lt;YEAR(E103),0,IF((YEAR(D103)+19)&gt;YEAR(E103),1,(12-MONTH(E103)+1)/12))))-((P103)*(IF((YEAR(D103)+19)&lt;YEAR(E103),0,IF((YEAR(D103)+19)&gt;YEAR(E103),1,(12-MONTH(E103)+1)/12))) + (R103)*(IF((YEAR(D103)+19)&lt;YEAR(E103),0,IF((YEAR(D103)+19)&gt;YEAR(E103),1,(12-MONTH(E103)+1)/12))))-(IF(OR(N103="",N103&lt;=0),0,(O103/N103)*(IF(OR(N103="",N103&lt;=0),0,IF((YEAR(D103)+19)&lt;YEAR(E103),0,IF((YEAR(D103)+19)&gt;=YEAR(E103)+N103,0,IF((YEAR(D103)+19)=YEAR(E103),(12-MONTH(E103)+1)/12,1))))))))&gt;0,(((K103)*(IF(M103="",L103,IFERROR(IF(INDEX(Variablen!$I:$AT, MATCH(M103, Variablen!$A:$A, 0), MATCH((YEAR(D103)+19), Variablen!$I$3:$AT$3, 0))="",L103,INDEX(Variablen!$I:$AT, MATCH(M103, Variablen!$A:$A, 0), MATCH((YEAR(D103)+19), Variablen!$I$3:$AT$3, 0))),L103)))*(IF((YEAR(D103)+19)&lt;YEAR(E103),0,IF((YEAR(D103)+19)&gt;YEAR(E103),1,(12-MONTH(E103)+1)/12))) + (Q103)*(IF((YEAR(D103)+19)&lt;YEAR(E103),0,IF((YEAR(D103)+19)&gt;YEAR(E103),1,(12-MONTH(E103)+1)/12))))-((P103)*(IF((YEAR(D103)+19)&lt;YEAR(E103),0,IF((YEAR(D103)+19)&gt;YEAR(E103),1,(12-MONTH(E103)+1)/12))) + (R103)*(IF((YEAR(D103)+19)&lt;YEAR(E103),0,IF((YEAR(D103)+19)&gt;YEAR(E103),1,(12-MONTH(E103)+1)/12))))-(IF(OR(N103="",N103&lt;=0),0,(O103/N103)*(IF(OR(N103="",N103&lt;=0),0,IF((YEAR(D103)+19)&lt;YEAR(E103),0,IF((YEAR(D103)+19)&gt;=YEAR(E103)+N103,0,IF((YEAR(D103)+19)=YEAR(E103),(12-MONTH(E103)+1)/12,1))))))))*TaxRate,0))-IF(19=0,O103,0))</f>
        <v/>
      </c>
      <c r="AM103" s="29">
        <f>IF(A103="","",((K103)*(IF(M103="",L103,IFERROR(IF(INDEX(Variablen!$I:$AT, MATCH(M103, Variablen!$A:$A, 0), MATCH((YEAR(D103)+20), Variablen!$I$3:$AT$3, 0))="",L103,INDEX(Variablen!$I:$AT, MATCH(M103, Variablen!$A:$A, 0), MATCH((YEAR(D103)+20), Variablen!$I$3:$AT$3, 0))),L103)))*(IF((YEAR(D103)+20)&lt;YEAR(E103),0,IF((YEAR(D103)+20)&gt;YEAR(E103),1,(12-MONTH(E103)+1)/12))) + (Q103)*(IF((YEAR(D103)+20)&lt;YEAR(E103),0,IF((YEAR(D103)+20)&gt;YEAR(E103),1,(12-MONTH(E103)+1)/12))))-((P103)*(IF((YEAR(D103)+20)&lt;YEAR(E103),0,IF((YEAR(D103)+20)&gt;YEAR(E103),1,(12-MONTH(E103)+1)/12))) + (R103)*(IF((YEAR(D103)+20)&lt;YEAR(E103),0,IF((YEAR(D103)+20)&gt;YEAR(E103),1,(12-MONTH(E103)+1)/12))))-(IF((((K103)*(IF(M103="",L103,IFERROR(IF(INDEX(Variablen!$I:$AT, MATCH(M103, Variablen!$A:$A, 0), MATCH((YEAR(D103)+20), Variablen!$I$3:$AT$3, 0))="",L103,INDEX(Variablen!$I:$AT, MATCH(M103, Variablen!$A:$A, 0), MATCH((YEAR(D103)+20), Variablen!$I$3:$AT$3, 0))),L103)))*(IF((YEAR(D103)+20)&lt;YEAR(E103),0,IF((YEAR(D103)+20)&gt;YEAR(E103),1,(12-MONTH(E103)+1)/12))) + (Q103)*(IF((YEAR(D103)+20)&lt;YEAR(E103),0,IF((YEAR(D103)+20)&gt;YEAR(E103),1,(12-MONTH(E103)+1)/12))))-((P103)*(IF((YEAR(D103)+20)&lt;YEAR(E103),0,IF((YEAR(D103)+20)&gt;YEAR(E103),1,(12-MONTH(E103)+1)/12))) + (R103)*(IF((YEAR(D103)+20)&lt;YEAR(E103),0,IF((YEAR(D103)+20)&gt;YEAR(E103),1,(12-MONTH(E103)+1)/12))))-(IF(OR(N103="",N103&lt;=0),0,(O103/N103)*(IF(OR(N103="",N103&lt;=0),0,IF((YEAR(D103)+20)&lt;YEAR(E103),0,IF((YEAR(D103)+20)&gt;=YEAR(E103)+N103,0,IF((YEAR(D103)+20)=YEAR(E103),(12-MONTH(E103)+1)/12,1))))))))&gt;0,(((K103)*(IF(M103="",L103,IFERROR(IF(INDEX(Variablen!$I:$AT, MATCH(M103, Variablen!$A:$A, 0), MATCH((YEAR(D103)+20), Variablen!$I$3:$AT$3, 0))="",L103,INDEX(Variablen!$I:$AT, MATCH(M103, Variablen!$A:$A, 0), MATCH((YEAR(D103)+20), Variablen!$I$3:$AT$3, 0))),L103)))*(IF((YEAR(D103)+20)&lt;YEAR(E103),0,IF((YEAR(D103)+20)&gt;YEAR(E103),1,(12-MONTH(E103)+1)/12))) + (Q103)*(IF((YEAR(D103)+20)&lt;YEAR(E103),0,IF((YEAR(D103)+20)&gt;YEAR(E103),1,(12-MONTH(E103)+1)/12))))-((P103)*(IF((YEAR(D103)+20)&lt;YEAR(E103),0,IF((YEAR(D103)+20)&gt;YEAR(E103),1,(12-MONTH(E103)+1)/12))) + (R103)*(IF((YEAR(D103)+20)&lt;YEAR(E103),0,IF((YEAR(D103)+20)&gt;YEAR(E103),1,(12-MONTH(E103)+1)/12))))-(IF(OR(N103="",N103&lt;=0),0,(O103/N103)*(IF(OR(N103="",N103&lt;=0),0,IF((YEAR(D103)+20)&lt;YEAR(E103),0,IF((YEAR(D103)+20)&gt;=YEAR(E103)+N103,0,IF((YEAR(D103)+20)=YEAR(E103),(12-MONTH(E103)+1)/12,1))))))))*TaxRate,0))-IF(20=0,O103,0))</f>
        <v/>
      </c>
      <c r="AN103" s="29">
        <f>IF(A103="","",S103)</f>
        <v/>
      </c>
      <c r="AO103" s="29">
        <f>IF(A103="","",AN103+T103)</f>
        <v/>
      </c>
      <c r="AP103" s="29">
        <f>IF(A103="","",AO103+U103)</f>
        <v/>
      </c>
      <c r="AQ103" s="29">
        <f>IF(A103="","",AP103+V103)</f>
        <v/>
      </c>
      <c r="AR103" s="29">
        <f>IF(A103="","",AQ103+W103)</f>
        <v/>
      </c>
      <c r="AS103" s="29">
        <f>IF(A103="","",AR103+X103)</f>
        <v/>
      </c>
      <c r="AT103" s="29">
        <f>IF(A103="","",AS103+Y103)</f>
        <v/>
      </c>
      <c r="AU103" s="29">
        <f>IF(A103="","",AT103+Z103)</f>
        <v/>
      </c>
      <c r="AV103" s="29">
        <f>IF(A103="","",AU103+AA103)</f>
        <v/>
      </c>
      <c r="AW103" s="29">
        <f>IF(A103="","",AV103+AB103)</f>
        <v/>
      </c>
      <c r="AX103" s="29">
        <f>IF(A103="","",AW103+AC103)</f>
        <v/>
      </c>
      <c r="AY103" s="29">
        <f>IF(A103="","",AX103+AD103)</f>
        <v/>
      </c>
      <c r="AZ103" s="29">
        <f>IF(A103="","",AY103+AE103)</f>
        <v/>
      </c>
      <c r="BA103" s="29">
        <f>IF(A103="","",AZ103+AF103)</f>
        <v/>
      </c>
      <c r="BB103" s="29">
        <f>IF(A103="","",BA103+AG103)</f>
        <v/>
      </c>
      <c r="BC103" s="29">
        <f>IF(A103="","",BB103+AH103)</f>
        <v/>
      </c>
      <c r="BD103" s="29">
        <f>IF(A103="","",BC103+AI103)</f>
        <v/>
      </c>
      <c r="BE103" s="29">
        <f>IF(A103="","",BD103+AJ103)</f>
        <v/>
      </c>
      <c r="BF103" s="29">
        <f>IF(A103="","",BE103+AK103)</f>
        <v/>
      </c>
      <c r="BG103" s="29">
        <f>IF(A103="","",BF103+AL103)</f>
        <v/>
      </c>
      <c r="BH103" s="29">
        <f>IF(A103="","",BG103+AM103)</f>
        <v/>
      </c>
      <c r="BI103" s="36">
        <f>IF(A103="","",(K103)*(IF((YEAR(D103)+0)&lt;YEAR(E103),0,IF((YEAR(D103)+0)&gt;YEAR(E103),1,(12-MONTH(E103)+1)/12)))*(1/(1+DiscountRate)^0))</f>
        <v/>
      </c>
      <c r="BJ103" s="36">
        <f>IF(A103="","",(K103)*(IF((YEAR(D103)+1)&lt;YEAR(E103),0,IF((YEAR(D103)+1)&gt;YEAR(E103),1,(12-MONTH(E103)+1)/12)))*(1/(1+DiscountRate)^1))</f>
        <v/>
      </c>
      <c r="BK103" s="36">
        <f>IF(A103="","",(K103)*(IF((YEAR(D103)+2)&lt;YEAR(E103),0,IF((YEAR(D103)+2)&gt;YEAR(E103),1,(12-MONTH(E103)+1)/12)))*(1/(1+DiscountRate)^2))</f>
        <v/>
      </c>
      <c r="BL103" s="36">
        <f>IF(A103="","",(K103)*(IF((YEAR(D103)+3)&lt;YEAR(E103),0,IF((YEAR(D103)+3)&gt;YEAR(E103),1,(12-MONTH(E103)+1)/12)))*(1/(1+DiscountRate)^3))</f>
        <v/>
      </c>
      <c r="BM103" s="36">
        <f>IF(A103="","",(K103)*(IF((YEAR(D103)+4)&lt;YEAR(E103),0,IF((YEAR(D103)+4)&gt;YEAR(E103),1,(12-MONTH(E103)+1)/12)))*(1/(1+DiscountRate)^4))</f>
        <v/>
      </c>
      <c r="BN103" s="36">
        <f>IF(A103="","",(K103)*(IF((YEAR(D103)+5)&lt;YEAR(E103),0,IF((YEAR(D103)+5)&gt;YEAR(E103),1,(12-MONTH(E103)+1)/12)))*(1/(1+DiscountRate)^5))</f>
        <v/>
      </c>
      <c r="BO103" s="36">
        <f>IF(A103="","",(K103)*(IF((YEAR(D103)+6)&lt;YEAR(E103),0,IF((YEAR(D103)+6)&gt;YEAR(E103),1,(12-MONTH(E103)+1)/12)))*(1/(1+DiscountRate)^6))</f>
        <v/>
      </c>
      <c r="BP103" s="36">
        <f>IF(A103="","",(K103)*(IF((YEAR(D103)+7)&lt;YEAR(E103),0,IF((YEAR(D103)+7)&gt;YEAR(E103),1,(12-MONTH(E103)+1)/12)))*(1/(1+DiscountRate)^7))</f>
        <v/>
      </c>
      <c r="BQ103" s="36">
        <f>IF(A103="","",(K103)*(IF((YEAR(D103)+8)&lt;YEAR(E103),0,IF((YEAR(D103)+8)&gt;YEAR(E103),1,(12-MONTH(E103)+1)/12)))*(1/(1+DiscountRate)^8))</f>
        <v/>
      </c>
      <c r="BR103" s="36">
        <f>IF(A103="","",(K103)*(IF((YEAR(D103)+9)&lt;YEAR(E103),0,IF((YEAR(D103)+9)&gt;YEAR(E103),1,(12-MONTH(E103)+1)/12)))*(1/(1+DiscountRate)^9))</f>
        <v/>
      </c>
      <c r="BS103" s="36">
        <f>IF(A103="","",(K103)*(IF((YEAR(D103)+10)&lt;YEAR(E103),0,IF((YEAR(D103)+10)&gt;YEAR(E103),1,(12-MONTH(E103)+1)/12)))*(1/(1+DiscountRate)^10))</f>
        <v/>
      </c>
      <c r="BT103" s="36">
        <f>IF(A103="","",(K103)*(IF((YEAR(D103)+11)&lt;YEAR(E103),0,IF((YEAR(D103)+11)&gt;YEAR(E103),1,(12-MONTH(E103)+1)/12)))*(1/(1+DiscountRate)^11))</f>
        <v/>
      </c>
      <c r="BU103" s="36">
        <f>IF(A103="","",(K103)*(IF((YEAR(D103)+12)&lt;YEAR(E103),0,IF((YEAR(D103)+12)&gt;YEAR(E103),1,(12-MONTH(E103)+1)/12)))*(1/(1+DiscountRate)^12))</f>
        <v/>
      </c>
      <c r="BV103" s="36">
        <f>IF(A103="","",(K103)*(IF((YEAR(D103)+13)&lt;YEAR(E103),0,IF((YEAR(D103)+13)&gt;YEAR(E103),1,(12-MONTH(E103)+1)/12)))*(1/(1+DiscountRate)^13))</f>
        <v/>
      </c>
      <c r="BW103" s="36">
        <f>IF(A103="","",(K103)*(IF((YEAR(D103)+14)&lt;YEAR(E103),0,IF((YEAR(D103)+14)&gt;YEAR(E103),1,(12-MONTH(E103)+1)/12)))*(1/(1+DiscountRate)^14))</f>
        <v/>
      </c>
      <c r="BX103" s="36">
        <f>IF(A103="","",(K103)*(IF((YEAR(D103)+15)&lt;YEAR(E103),0,IF((YEAR(D103)+15)&gt;YEAR(E103),1,(12-MONTH(E103)+1)/12)))*(1/(1+DiscountRate)^15))</f>
        <v/>
      </c>
      <c r="BY103" s="36">
        <f>IF(A103="","",(K103)*(IF((YEAR(D103)+16)&lt;YEAR(E103),0,IF((YEAR(D103)+16)&gt;YEAR(E103),1,(12-MONTH(E103)+1)/12)))*(1/(1+DiscountRate)^16))</f>
        <v/>
      </c>
      <c r="BZ103" s="36">
        <f>IF(A103="","",(K103)*(IF((YEAR(D103)+17)&lt;YEAR(E103),0,IF((YEAR(D103)+17)&gt;YEAR(E103),1,(12-MONTH(E103)+1)/12)))*(1/(1+DiscountRate)^17))</f>
        <v/>
      </c>
      <c r="CA103" s="36">
        <f>IF(A103="","",(K103)*(IF((YEAR(D103)+18)&lt;YEAR(E103),0,IF((YEAR(D103)+18)&gt;YEAR(E103),1,(12-MONTH(E103)+1)/12)))*(1/(1+DiscountRate)^18))</f>
        <v/>
      </c>
      <c r="CB103" s="36">
        <f>IF(A103="","",(K103)*(IF((YEAR(D103)+19)&lt;YEAR(E103),0,IF((YEAR(D103)+19)&gt;YEAR(E103),1,(12-MONTH(E103)+1)/12)))*(1/(1+DiscountRate)^19))</f>
        <v/>
      </c>
      <c r="CC103" s="36">
        <f>IF(A103="","",(K103)*(IF((YEAR(D103)+20)&lt;YEAR(E103),0,IF((YEAR(D103)+20)&gt;YEAR(E103),1,(12-MONTH(E103)+1)/12)))*(1/(1+DiscountRate)^20))</f>
        <v/>
      </c>
      <c r="CD103" s="29">
        <f>IF(A103="","",S103/(1+DiscountRate)^0+T103/(1+DiscountRate)^1+U103/(1+DiscountRate)^2+V103/(1+DiscountRate)^3+W103/(1+DiscountRate)^4+X103/(1+DiscountRate)^5+Y103/(1+DiscountRate)^6+Z103/(1+DiscountRate)^7+AA103/(1+DiscountRate)^8+AB103/(1+DiscountRate)^9+AC103/(1+DiscountRate)^10+AD103/(1+DiscountRate)^11+AE103/(1+DiscountRate)^12+AF103/(1+DiscountRate)^13+AG103/(1+DiscountRate)^14+AH103/(1+DiscountRate)^15+AI103/(1+DiscountRate)^16+AJ103/(1+DiscountRate)^17+AK103/(1+DiscountRate)^18+AL103/(1+DiscountRate)^19+AM103/(1+DiscountRate)^20)</f>
        <v/>
      </c>
      <c r="CE103" s="37">
        <f>IF(A103="","",IFERROR(IRR(OFFSET(S103,0,0,1,MIN(HorizonYears,20)+1)),"n/a"))</f>
        <v/>
      </c>
      <c r="CF103" s="28">
        <f>IF(A103="","",IFERROR(MATCH(TRUE,OFFSET(AN103,0,0,1,MIN(HorizonYears,20)+1)&gt;=0,0)-1,"n/a"))</f>
        <v/>
      </c>
      <c r="CG103" s="36">
        <f>IF(A103="","",SUM(OFFSET(BI103,0,0,1,MIN(HorizonYears,20)+1)))</f>
        <v/>
      </c>
      <c r="CH103" s="36">
        <f>IF(A103="","",IFERROR(-CD103/CG103,"n/a"))</f>
        <v/>
      </c>
    </row>
    <row r="104">
      <c r="A104" s="6">
        <f>Actions!A102</f>
        <v/>
      </c>
      <c r="B104" s="6">
        <f>Actions!B102</f>
        <v/>
      </c>
      <c r="C104" s="6">
        <f>Actions!D102</f>
        <v/>
      </c>
      <c r="D104" s="35">
        <f>Actions!E102</f>
        <v/>
      </c>
      <c r="E104" s="35">
        <f>Actions!F102</f>
        <v/>
      </c>
      <c r="F104" s="6">
        <f>Actions!G102</f>
        <v/>
      </c>
      <c r="G104" s="6">
        <f>Actions!H102</f>
        <v/>
      </c>
      <c r="H104" s="29">
        <f>Actions!I102</f>
        <v/>
      </c>
      <c r="I104" s="6">
        <f>Actions!J102</f>
        <v/>
      </c>
      <c r="J104" s="16">
        <f>Actions!K102</f>
        <v/>
      </c>
      <c r="K104" s="16">
        <f>IF(A104="","",IF(I104="%",H104*J104,J104))</f>
        <v/>
      </c>
      <c r="L104" s="16">
        <f>Actions!L102</f>
        <v/>
      </c>
      <c r="M104" s="6">
        <f>Actions!M102</f>
        <v/>
      </c>
      <c r="N104" s="28">
        <f>Actions!N102</f>
        <v/>
      </c>
      <c r="O104" s="29">
        <f>Actions!T102</f>
        <v/>
      </c>
      <c r="P104" s="29">
        <f>Actions!Y102</f>
        <v/>
      </c>
      <c r="Q104" s="29">
        <f>Actions!Z102</f>
        <v/>
      </c>
      <c r="R104" s="29">
        <f>Actions!AA102</f>
        <v/>
      </c>
      <c r="S104" s="29">
        <f>IF(A104="","",((K104)*(IF(M104="",L104,IFERROR(IF(INDEX(Variablen!$I:$AT, MATCH(M104, Variablen!$A:$A, 0), MATCH((YEAR(D104)+0), Variablen!$I$3:$AT$3, 0))="",L104,INDEX(Variablen!$I:$AT, MATCH(M104, Variablen!$A:$A, 0), MATCH((YEAR(D104)+0), Variablen!$I$3:$AT$3, 0))),L104)))*(IF((YEAR(D104)+0)&lt;YEAR(E104),0,IF((YEAR(D104)+0)&gt;YEAR(E104),1,(12-MONTH(E104)+1)/12))) + (Q104)*(IF((YEAR(D104)+0)&lt;YEAR(E104),0,IF((YEAR(D104)+0)&gt;YEAR(E104),1,(12-MONTH(E104)+1)/12))))-((P104)*(IF((YEAR(D104)+0)&lt;YEAR(E104),0,IF((YEAR(D104)+0)&gt;YEAR(E104),1,(12-MONTH(E104)+1)/12))) + (R104)*(IF((YEAR(D104)+0)&lt;YEAR(E104),0,IF((YEAR(D104)+0)&gt;YEAR(E104),1,(12-MONTH(E104)+1)/12))))-(IF((((K104)*(IF(M104="",L104,IFERROR(IF(INDEX(Variablen!$I:$AT, MATCH(M104, Variablen!$A:$A, 0), MATCH((YEAR(D104)+0), Variablen!$I$3:$AT$3, 0))="",L104,INDEX(Variablen!$I:$AT, MATCH(M104, Variablen!$A:$A, 0), MATCH((YEAR(D104)+0), Variablen!$I$3:$AT$3, 0))),L104)))*(IF((YEAR(D104)+0)&lt;YEAR(E104),0,IF((YEAR(D104)+0)&gt;YEAR(E104),1,(12-MONTH(E104)+1)/12))) + (Q104)*(IF((YEAR(D104)+0)&lt;YEAR(E104),0,IF((YEAR(D104)+0)&gt;YEAR(E104),1,(12-MONTH(E104)+1)/12))))-((P104)*(IF((YEAR(D104)+0)&lt;YEAR(E104),0,IF((YEAR(D104)+0)&gt;YEAR(E104),1,(12-MONTH(E104)+1)/12))) + (R104)*(IF((YEAR(D104)+0)&lt;YEAR(E104),0,IF((YEAR(D104)+0)&gt;YEAR(E104),1,(12-MONTH(E104)+1)/12))))-(IF(OR(N104="",N104&lt;=0),0,(O104/N104)*(IF(OR(N104="",N104&lt;=0),0,IF((YEAR(D104)+0)&lt;YEAR(E104),0,IF((YEAR(D104)+0)&gt;=YEAR(E104)+N104,0,IF((YEAR(D104)+0)=YEAR(E104),(12-MONTH(E104)+1)/12,1))))))))&gt;0,(((K104)*(IF(M104="",L104,IFERROR(IF(INDEX(Variablen!$I:$AT, MATCH(M104, Variablen!$A:$A, 0), MATCH((YEAR(D104)+0), Variablen!$I$3:$AT$3, 0))="",L104,INDEX(Variablen!$I:$AT, MATCH(M104, Variablen!$A:$A, 0), MATCH((YEAR(D104)+0), Variablen!$I$3:$AT$3, 0))),L104)))*(IF((YEAR(D104)+0)&lt;YEAR(E104),0,IF((YEAR(D104)+0)&gt;YEAR(E104),1,(12-MONTH(E104)+1)/12))) + (Q104)*(IF((YEAR(D104)+0)&lt;YEAR(E104),0,IF((YEAR(D104)+0)&gt;YEAR(E104),1,(12-MONTH(E104)+1)/12))))-((P104)*(IF((YEAR(D104)+0)&lt;YEAR(E104),0,IF((YEAR(D104)+0)&gt;YEAR(E104),1,(12-MONTH(E104)+1)/12))) + (R104)*(IF((YEAR(D104)+0)&lt;YEAR(E104),0,IF((YEAR(D104)+0)&gt;YEAR(E104),1,(12-MONTH(E104)+1)/12))))-(IF(OR(N104="",N104&lt;=0),0,(O104/N104)*(IF(OR(N104="",N104&lt;=0),0,IF((YEAR(D104)+0)&lt;YEAR(E104),0,IF((YEAR(D104)+0)&gt;=YEAR(E104)+N104,0,IF((YEAR(D104)+0)=YEAR(E104),(12-MONTH(E104)+1)/12,1))))))))*TaxRate,0))-IF(0=0,O104,0))</f>
        <v/>
      </c>
      <c r="T104" s="29">
        <f>IF(A104="","",((K104)*(IF(M104="",L104,IFERROR(IF(INDEX(Variablen!$I:$AT, MATCH(M104, Variablen!$A:$A, 0), MATCH((YEAR(D104)+1), Variablen!$I$3:$AT$3, 0))="",L104,INDEX(Variablen!$I:$AT, MATCH(M104, Variablen!$A:$A, 0), MATCH((YEAR(D104)+1), Variablen!$I$3:$AT$3, 0))),L104)))*(IF((YEAR(D104)+1)&lt;YEAR(E104),0,IF((YEAR(D104)+1)&gt;YEAR(E104),1,(12-MONTH(E104)+1)/12))) + (Q104)*(IF((YEAR(D104)+1)&lt;YEAR(E104),0,IF((YEAR(D104)+1)&gt;YEAR(E104),1,(12-MONTH(E104)+1)/12))))-((P104)*(IF((YEAR(D104)+1)&lt;YEAR(E104),0,IF((YEAR(D104)+1)&gt;YEAR(E104),1,(12-MONTH(E104)+1)/12))) + (R104)*(IF((YEAR(D104)+1)&lt;YEAR(E104),0,IF((YEAR(D104)+1)&gt;YEAR(E104),1,(12-MONTH(E104)+1)/12))))-(IF((((K104)*(IF(M104="",L104,IFERROR(IF(INDEX(Variablen!$I:$AT, MATCH(M104, Variablen!$A:$A, 0), MATCH((YEAR(D104)+1), Variablen!$I$3:$AT$3, 0))="",L104,INDEX(Variablen!$I:$AT, MATCH(M104, Variablen!$A:$A, 0), MATCH((YEAR(D104)+1), Variablen!$I$3:$AT$3, 0))),L104)))*(IF((YEAR(D104)+1)&lt;YEAR(E104),0,IF((YEAR(D104)+1)&gt;YEAR(E104),1,(12-MONTH(E104)+1)/12))) + (Q104)*(IF((YEAR(D104)+1)&lt;YEAR(E104),0,IF((YEAR(D104)+1)&gt;YEAR(E104),1,(12-MONTH(E104)+1)/12))))-((P104)*(IF((YEAR(D104)+1)&lt;YEAR(E104),0,IF((YEAR(D104)+1)&gt;YEAR(E104),1,(12-MONTH(E104)+1)/12))) + (R104)*(IF((YEAR(D104)+1)&lt;YEAR(E104),0,IF((YEAR(D104)+1)&gt;YEAR(E104),1,(12-MONTH(E104)+1)/12))))-(IF(OR(N104="",N104&lt;=0),0,(O104/N104)*(IF(OR(N104="",N104&lt;=0),0,IF((YEAR(D104)+1)&lt;YEAR(E104),0,IF((YEAR(D104)+1)&gt;=YEAR(E104)+N104,0,IF((YEAR(D104)+1)=YEAR(E104),(12-MONTH(E104)+1)/12,1))))))))&gt;0,(((K104)*(IF(M104="",L104,IFERROR(IF(INDEX(Variablen!$I:$AT, MATCH(M104, Variablen!$A:$A, 0), MATCH((YEAR(D104)+1), Variablen!$I$3:$AT$3, 0))="",L104,INDEX(Variablen!$I:$AT, MATCH(M104, Variablen!$A:$A, 0), MATCH((YEAR(D104)+1), Variablen!$I$3:$AT$3, 0))),L104)))*(IF((YEAR(D104)+1)&lt;YEAR(E104),0,IF((YEAR(D104)+1)&gt;YEAR(E104),1,(12-MONTH(E104)+1)/12))) + (Q104)*(IF((YEAR(D104)+1)&lt;YEAR(E104),0,IF((YEAR(D104)+1)&gt;YEAR(E104),1,(12-MONTH(E104)+1)/12))))-((P104)*(IF((YEAR(D104)+1)&lt;YEAR(E104),0,IF((YEAR(D104)+1)&gt;YEAR(E104),1,(12-MONTH(E104)+1)/12))) + (R104)*(IF((YEAR(D104)+1)&lt;YEAR(E104),0,IF((YEAR(D104)+1)&gt;YEAR(E104),1,(12-MONTH(E104)+1)/12))))-(IF(OR(N104="",N104&lt;=0),0,(O104/N104)*(IF(OR(N104="",N104&lt;=0),0,IF((YEAR(D104)+1)&lt;YEAR(E104),0,IF((YEAR(D104)+1)&gt;=YEAR(E104)+N104,0,IF((YEAR(D104)+1)=YEAR(E104),(12-MONTH(E104)+1)/12,1))))))))*TaxRate,0))-IF(1=0,O104,0))</f>
        <v/>
      </c>
      <c r="U104" s="29">
        <f>IF(A104="","",((K104)*(IF(M104="",L104,IFERROR(IF(INDEX(Variablen!$I:$AT, MATCH(M104, Variablen!$A:$A, 0), MATCH((YEAR(D104)+2), Variablen!$I$3:$AT$3, 0))="",L104,INDEX(Variablen!$I:$AT, MATCH(M104, Variablen!$A:$A, 0), MATCH((YEAR(D104)+2), Variablen!$I$3:$AT$3, 0))),L104)))*(IF((YEAR(D104)+2)&lt;YEAR(E104),0,IF((YEAR(D104)+2)&gt;YEAR(E104),1,(12-MONTH(E104)+1)/12))) + (Q104)*(IF((YEAR(D104)+2)&lt;YEAR(E104),0,IF((YEAR(D104)+2)&gt;YEAR(E104),1,(12-MONTH(E104)+1)/12))))-((P104)*(IF((YEAR(D104)+2)&lt;YEAR(E104),0,IF((YEAR(D104)+2)&gt;YEAR(E104),1,(12-MONTH(E104)+1)/12))) + (R104)*(IF((YEAR(D104)+2)&lt;YEAR(E104),0,IF((YEAR(D104)+2)&gt;YEAR(E104),1,(12-MONTH(E104)+1)/12))))-(IF((((K104)*(IF(M104="",L104,IFERROR(IF(INDEX(Variablen!$I:$AT, MATCH(M104, Variablen!$A:$A, 0), MATCH((YEAR(D104)+2), Variablen!$I$3:$AT$3, 0))="",L104,INDEX(Variablen!$I:$AT, MATCH(M104, Variablen!$A:$A, 0), MATCH((YEAR(D104)+2), Variablen!$I$3:$AT$3, 0))),L104)))*(IF((YEAR(D104)+2)&lt;YEAR(E104),0,IF((YEAR(D104)+2)&gt;YEAR(E104),1,(12-MONTH(E104)+1)/12))) + (Q104)*(IF((YEAR(D104)+2)&lt;YEAR(E104),0,IF((YEAR(D104)+2)&gt;YEAR(E104),1,(12-MONTH(E104)+1)/12))))-((P104)*(IF((YEAR(D104)+2)&lt;YEAR(E104),0,IF((YEAR(D104)+2)&gt;YEAR(E104),1,(12-MONTH(E104)+1)/12))) + (R104)*(IF((YEAR(D104)+2)&lt;YEAR(E104),0,IF((YEAR(D104)+2)&gt;YEAR(E104),1,(12-MONTH(E104)+1)/12))))-(IF(OR(N104="",N104&lt;=0),0,(O104/N104)*(IF(OR(N104="",N104&lt;=0),0,IF((YEAR(D104)+2)&lt;YEAR(E104),0,IF((YEAR(D104)+2)&gt;=YEAR(E104)+N104,0,IF((YEAR(D104)+2)=YEAR(E104),(12-MONTH(E104)+1)/12,1))))))))&gt;0,(((K104)*(IF(M104="",L104,IFERROR(IF(INDEX(Variablen!$I:$AT, MATCH(M104, Variablen!$A:$A, 0), MATCH((YEAR(D104)+2), Variablen!$I$3:$AT$3, 0))="",L104,INDEX(Variablen!$I:$AT, MATCH(M104, Variablen!$A:$A, 0), MATCH((YEAR(D104)+2), Variablen!$I$3:$AT$3, 0))),L104)))*(IF((YEAR(D104)+2)&lt;YEAR(E104),0,IF((YEAR(D104)+2)&gt;YEAR(E104),1,(12-MONTH(E104)+1)/12))) + (Q104)*(IF((YEAR(D104)+2)&lt;YEAR(E104),0,IF((YEAR(D104)+2)&gt;YEAR(E104),1,(12-MONTH(E104)+1)/12))))-((P104)*(IF((YEAR(D104)+2)&lt;YEAR(E104),0,IF((YEAR(D104)+2)&gt;YEAR(E104),1,(12-MONTH(E104)+1)/12))) + (R104)*(IF((YEAR(D104)+2)&lt;YEAR(E104),0,IF((YEAR(D104)+2)&gt;YEAR(E104),1,(12-MONTH(E104)+1)/12))))-(IF(OR(N104="",N104&lt;=0),0,(O104/N104)*(IF(OR(N104="",N104&lt;=0),0,IF((YEAR(D104)+2)&lt;YEAR(E104),0,IF((YEAR(D104)+2)&gt;=YEAR(E104)+N104,0,IF((YEAR(D104)+2)=YEAR(E104),(12-MONTH(E104)+1)/12,1))))))))*TaxRate,0))-IF(2=0,O104,0))</f>
        <v/>
      </c>
      <c r="V104" s="29">
        <f>IF(A104="","",((K104)*(IF(M104="",L104,IFERROR(IF(INDEX(Variablen!$I:$AT, MATCH(M104, Variablen!$A:$A, 0), MATCH((YEAR(D104)+3), Variablen!$I$3:$AT$3, 0))="",L104,INDEX(Variablen!$I:$AT, MATCH(M104, Variablen!$A:$A, 0), MATCH((YEAR(D104)+3), Variablen!$I$3:$AT$3, 0))),L104)))*(IF((YEAR(D104)+3)&lt;YEAR(E104),0,IF((YEAR(D104)+3)&gt;YEAR(E104),1,(12-MONTH(E104)+1)/12))) + (Q104)*(IF((YEAR(D104)+3)&lt;YEAR(E104),0,IF((YEAR(D104)+3)&gt;YEAR(E104),1,(12-MONTH(E104)+1)/12))))-((P104)*(IF((YEAR(D104)+3)&lt;YEAR(E104),0,IF((YEAR(D104)+3)&gt;YEAR(E104),1,(12-MONTH(E104)+1)/12))) + (R104)*(IF((YEAR(D104)+3)&lt;YEAR(E104),0,IF((YEAR(D104)+3)&gt;YEAR(E104),1,(12-MONTH(E104)+1)/12))))-(IF((((K104)*(IF(M104="",L104,IFERROR(IF(INDEX(Variablen!$I:$AT, MATCH(M104, Variablen!$A:$A, 0), MATCH((YEAR(D104)+3), Variablen!$I$3:$AT$3, 0))="",L104,INDEX(Variablen!$I:$AT, MATCH(M104, Variablen!$A:$A, 0), MATCH((YEAR(D104)+3), Variablen!$I$3:$AT$3, 0))),L104)))*(IF((YEAR(D104)+3)&lt;YEAR(E104),0,IF((YEAR(D104)+3)&gt;YEAR(E104),1,(12-MONTH(E104)+1)/12))) + (Q104)*(IF((YEAR(D104)+3)&lt;YEAR(E104),0,IF((YEAR(D104)+3)&gt;YEAR(E104),1,(12-MONTH(E104)+1)/12))))-((P104)*(IF((YEAR(D104)+3)&lt;YEAR(E104),0,IF((YEAR(D104)+3)&gt;YEAR(E104),1,(12-MONTH(E104)+1)/12))) + (R104)*(IF((YEAR(D104)+3)&lt;YEAR(E104),0,IF((YEAR(D104)+3)&gt;YEAR(E104),1,(12-MONTH(E104)+1)/12))))-(IF(OR(N104="",N104&lt;=0),0,(O104/N104)*(IF(OR(N104="",N104&lt;=0),0,IF((YEAR(D104)+3)&lt;YEAR(E104),0,IF((YEAR(D104)+3)&gt;=YEAR(E104)+N104,0,IF((YEAR(D104)+3)=YEAR(E104),(12-MONTH(E104)+1)/12,1))))))))&gt;0,(((K104)*(IF(M104="",L104,IFERROR(IF(INDEX(Variablen!$I:$AT, MATCH(M104, Variablen!$A:$A, 0), MATCH((YEAR(D104)+3), Variablen!$I$3:$AT$3, 0))="",L104,INDEX(Variablen!$I:$AT, MATCH(M104, Variablen!$A:$A, 0), MATCH((YEAR(D104)+3), Variablen!$I$3:$AT$3, 0))),L104)))*(IF((YEAR(D104)+3)&lt;YEAR(E104),0,IF((YEAR(D104)+3)&gt;YEAR(E104),1,(12-MONTH(E104)+1)/12))) + (Q104)*(IF((YEAR(D104)+3)&lt;YEAR(E104),0,IF((YEAR(D104)+3)&gt;YEAR(E104),1,(12-MONTH(E104)+1)/12))))-((P104)*(IF((YEAR(D104)+3)&lt;YEAR(E104),0,IF((YEAR(D104)+3)&gt;YEAR(E104),1,(12-MONTH(E104)+1)/12))) + (R104)*(IF((YEAR(D104)+3)&lt;YEAR(E104),0,IF((YEAR(D104)+3)&gt;YEAR(E104),1,(12-MONTH(E104)+1)/12))))-(IF(OR(N104="",N104&lt;=0),0,(O104/N104)*(IF(OR(N104="",N104&lt;=0),0,IF((YEAR(D104)+3)&lt;YEAR(E104),0,IF((YEAR(D104)+3)&gt;=YEAR(E104)+N104,0,IF((YEAR(D104)+3)=YEAR(E104),(12-MONTH(E104)+1)/12,1))))))))*TaxRate,0))-IF(3=0,O104,0))</f>
        <v/>
      </c>
      <c r="W104" s="29">
        <f>IF(A104="","",((K104)*(IF(M104="",L104,IFERROR(IF(INDEX(Variablen!$I:$AT, MATCH(M104, Variablen!$A:$A, 0), MATCH((YEAR(D104)+4), Variablen!$I$3:$AT$3, 0))="",L104,INDEX(Variablen!$I:$AT, MATCH(M104, Variablen!$A:$A, 0), MATCH((YEAR(D104)+4), Variablen!$I$3:$AT$3, 0))),L104)))*(IF((YEAR(D104)+4)&lt;YEAR(E104),0,IF((YEAR(D104)+4)&gt;YEAR(E104),1,(12-MONTH(E104)+1)/12))) + (Q104)*(IF((YEAR(D104)+4)&lt;YEAR(E104),0,IF((YEAR(D104)+4)&gt;YEAR(E104),1,(12-MONTH(E104)+1)/12))))-((P104)*(IF((YEAR(D104)+4)&lt;YEAR(E104),0,IF((YEAR(D104)+4)&gt;YEAR(E104),1,(12-MONTH(E104)+1)/12))) + (R104)*(IF((YEAR(D104)+4)&lt;YEAR(E104),0,IF((YEAR(D104)+4)&gt;YEAR(E104),1,(12-MONTH(E104)+1)/12))))-(IF((((K104)*(IF(M104="",L104,IFERROR(IF(INDEX(Variablen!$I:$AT, MATCH(M104, Variablen!$A:$A, 0), MATCH((YEAR(D104)+4), Variablen!$I$3:$AT$3, 0))="",L104,INDEX(Variablen!$I:$AT, MATCH(M104, Variablen!$A:$A, 0), MATCH((YEAR(D104)+4), Variablen!$I$3:$AT$3, 0))),L104)))*(IF((YEAR(D104)+4)&lt;YEAR(E104),0,IF((YEAR(D104)+4)&gt;YEAR(E104),1,(12-MONTH(E104)+1)/12))) + (Q104)*(IF((YEAR(D104)+4)&lt;YEAR(E104),0,IF((YEAR(D104)+4)&gt;YEAR(E104),1,(12-MONTH(E104)+1)/12))))-((P104)*(IF((YEAR(D104)+4)&lt;YEAR(E104),0,IF((YEAR(D104)+4)&gt;YEAR(E104),1,(12-MONTH(E104)+1)/12))) + (R104)*(IF((YEAR(D104)+4)&lt;YEAR(E104),0,IF((YEAR(D104)+4)&gt;YEAR(E104),1,(12-MONTH(E104)+1)/12))))-(IF(OR(N104="",N104&lt;=0),0,(O104/N104)*(IF(OR(N104="",N104&lt;=0),0,IF((YEAR(D104)+4)&lt;YEAR(E104),0,IF((YEAR(D104)+4)&gt;=YEAR(E104)+N104,0,IF((YEAR(D104)+4)=YEAR(E104),(12-MONTH(E104)+1)/12,1))))))))&gt;0,(((K104)*(IF(M104="",L104,IFERROR(IF(INDEX(Variablen!$I:$AT, MATCH(M104, Variablen!$A:$A, 0), MATCH((YEAR(D104)+4), Variablen!$I$3:$AT$3, 0))="",L104,INDEX(Variablen!$I:$AT, MATCH(M104, Variablen!$A:$A, 0), MATCH((YEAR(D104)+4), Variablen!$I$3:$AT$3, 0))),L104)))*(IF((YEAR(D104)+4)&lt;YEAR(E104),0,IF((YEAR(D104)+4)&gt;YEAR(E104),1,(12-MONTH(E104)+1)/12))) + (Q104)*(IF((YEAR(D104)+4)&lt;YEAR(E104),0,IF((YEAR(D104)+4)&gt;YEAR(E104),1,(12-MONTH(E104)+1)/12))))-((P104)*(IF((YEAR(D104)+4)&lt;YEAR(E104),0,IF((YEAR(D104)+4)&gt;YEAR(E104),1,(12-MONTH(E104)+1)/12))) + (R104)*(IF((YEAR(D104)+4)&lt;YEAR(E104),0,IF((YEAR(D104)+4)&gt;YEAR(E104),1,(12-MONTH(E104)+1)/12))))-(IF(OR(N104="",N104&lt;=0),0,(O104/N104)*(IF(OR(N104="",N104&lt;=0),0,IF((YEAR(D104)+4)&lt;YEAR(E104),0,IF((YEAR(D104)+4)&gt;=YEAR(E104)+N104,0,IF((YEAR(D104)+4)=YEAR(E104),(12-MONTH(E104)+1)/12,1))))))))*TaxRate,0))-IF(4=0,O104,0))</f>
        <v/>
      </c>
      <c r="X104" s="29">
        <f>IF(A104="","",((K104)*(IF(M104="",L104,IFERROR(IF(INDEX(Variablen!$I:$AT, MATCH(M104, Variablen!$A:$A, 0), MATCH((YEAR(D104)+5), Variablen!$I$3:$AT$3, 0))="",L104,INDEX(Variablen!$I:$AT, MATCH(M104, Variablen!$A:$A, 0), MATCH((YEAR(D104)+5), Variablen!$I$3:$AT$3, 0))),L104)))*(IF((YEAR(D104)+5)&lt;YEAR(E104),0,IF((YEAR(D104)+5)&gt;YEAR(E104),1,(12-MONTH(E104)+1)/12))) + (Q104)*(IF((YEAR(D104)+5)&lt;YEAR(E104),0,IF((YEAR(D104)+5)&gt;YEAR(E104),1,(12-MONTH(E104)+1)/12))))-((P104)*(IF((YEAR(D104)+5)&lt;YEAR(E104),0,IF((YEAR(D104)+5)&gt;YEAR(E104),1,(12-MONTH(E104)+1)/12))) + (R104)*(IF((YEAR(D104)+5)&lt;YEAR(E104),0,IF((YEAR(D104)+5)&gt;YEAR(E104),1,(12-MONTH(E104)+1)/12))))-(IF((((K104)*(IF(M104="",L104,IFERROR(IF(INDEX(Variablen!$I:$AT, MATCH(M104, Variablen!$A:$A, 0), MATCH((YEAR(D104)+5), Variablen!$I$3:$AT$3, 0))="",L104,INDEX(Variablen!$I:$AT, MATCH(M104, Variablen!$A:$A, 0), MATCH((YEAR(D104)+5), Variablen!$I$3:$AT$3, 0))),L104)))*(IF((YEAR(D104)+5)&lt;YEAR(E104),0,IF((YEAR(D104)+5)&gt;YEAR(E104),1,(12-MONTH(E104)+1)/12))) + (Q104)*(IF((YEAR(D104)+5)&lt;YEAR(E104),0,IF((YEAR(D104)+5)&gt;YEAR(E104),1,(12-MONTH(E104)+1)/12))))-((P104)*(IF((YEAR(D104)+5)&lt;YEAR(E104),0,IF((YEAR(D104)+5)&gt;YEAR(E104),1,(12-MONTH(E104)+1)/12))) + (R104)*(IF((YEAR(D104)+5)&lt;YEAR(E104),0,IF((YEAR(D104)+5)&gt;YEAR(E104),1,(12-MONTH(E104)+1)/12))))-(IF(OR(N104="",N104&lt;=0),0,(O104/N104)*(IF(OR(N104="",N104&lt;=0),0,IF((YEAR(D104)+5)&lt;YEAR(E104),0,IF((YEAR(D104)+5)&gt;=YEAR(E104)+N104,0,IF((YEAR(D104)+5)=YEAR(E104),(12-MONTH(E104)+1)/12,1))))))))&gt;0,(((K104)*(IF(M104="",L104,IFERROR(IF(INDEX(Variablen!$I:$AT, MATCH(M104, Variablen!$A:$A, 0), MATCH((YEAR(D104)+5), Variablen!$I$3:$AT$3, 0))="",L104,INDEX(Variablen!$I:$AT, MATCH(M104, Variablen!$A:$A, 0), MATCH((YEAR(D104)+5), Variablen!$I$3:$AT$3, 0))),L104)))*(IF((YEAR(D104)+5)&lt;YEAR(E104),0,IF((YEAR(D104)+5)&gt;YEAR(E104),1,(12-MONTH(E104)+1)/12))) + (Q104)*(IF((YEAR(D104)+5)&lt;YEAR(E104),0,IF((YEAR(D104)+5)&gt;YEAR(E104),1,(12-MONTH(E104)+1)/12))))-((P104)*(IF((YEAR(D104)+5)&lt;YEAR(E104),0,IF((YEAR(D104)+5)&gt;YEAR(E104),1,(12-MONTH(E104)+1)/12))) + (R104)*(IF((YEAR(D104)+5)&lt;YEAR(E104),0,IF((YEAR(D104)+5)&gt;YEAR(E104),1,(12-MONTH(E104)+1)/12))))-(IF(OR(N104="",N104&lt;=0),0,(O104/N104)*(IF(OR(N104="",N104&lt;=0),0,IF((YEAR(D104)+5)&lt;YEAR(E104),0,IF((YEAR(D104)+5)&gt;=YEAR(E104)+N104,0,IF((YEAR(D104)+5)=YEAR(E104),(12-MONTH(E104)+1)/12,1))))))))*TaxRate,0))-IF(5=0,O104,0))</f>
        <v/>
      </c>
      <c r="Y104" s="29">
        <f>IF(A104="","",((K104)*(IF(M104="",L104,IFERROR(IF(INDEX(Variablen!$I:$AT, MATCH(M104, Variablen!$A:$A, 0), MATCH((YEAR(D104)+6), Variablen!$I$3:$AT$3, 0))="",L104,INDEX(Variablen!$I:$AT, MATCH(M104, Variablen!$A:$A, 0), MATCH((YEAR(D104)+6), Variablen!$I$3:$AT$3, 0))),L104)))*(IF((YEAR(D104)+6)&lt;YEAR(E104),0,IF((YEAR(D104)+6)&gt;YEAR(E104),1,(12-MONTH(E104)+1)/12))) + (Q104)*(IF((YEAR(D104)+6)&lt;YEAR(E104),0,IF((YEAR(D104)+6)&gt;YEAR(E104),1,(12-MONTH(E104)+1)/12))))-((P104)*(IF((YEAR(D104)+6)&lt;YEAR(E104),0,IF((YEAR(D104)+6)&gt;YEAR(E104),1,(12-MONTH(E104)+1)/12))) + (R104)*(IF((YEAR(D104)+6)&lt;YEAR(E104),0,IF((YEAR(D104)+6)&gt;YEAR(E104),1,(12-MONTH(E104)+1)/12))))-(IF((((K104)*(IF(M104="",L104,IFERROR(IF(INDEX(Variablen!$I:$AT, MATCH(M104, Variablen!$A:$A, 0), MATCH((YEAR(D104)+6), Variablen!$I$3:$AT$3, 0))="",L104,INDEX(Variablen!$I:$AT, MATCH(M104, Variablen!$A:$A, 0), MATCH((YEAR(D104)+6), Variablen!$I$3:$AT$3, 0))),L104)))*(IF((YEAR(D104)+6)&lt;YEAR(E104),0,IF((YEAR(D104)+6)&gt;YEAR(E104),1,(12-MONTH(E104)+1)/12))) + (Q104)*(IF((YEAR(D104)+6)&lt;YEAR(E104),0,IF((YEAR(D104)+6)&gt;YEAR(E104),1,(12-MONTH(E104)+1)/12))))-((P104)*(IF((YEAR(D104)+6)&lt;YEAR(E104),0,IF((YEAR(D104)+6)&gt;YEAR(E104),1,(12-MONTH(E104)+1)/12))) + (R104)*(IF((YEAR(D104)+6)&lt;YEAR(E104),0,IF((YEAR(D104)+6)&gt;YEAR(E104),1,(12-MONTH(E104)+1)/12))))-(IF(OR(N104="",N104&lt;=0),0,(O104/N104)*(IF(OR(N104="",N104&lt;=0),0,IF((YEAR(D104)+6)&lt;YEAR(E104),0,IF((YEAR(D104)+6)&gt;=YEAR(E104)+N104,0,IF((YEAR(D104)+6)=YEAR(E104),(12-MONTH(E104)+1)/12,1))))))))&gt;0,(((K104)*(IF(M104="",L104,IFERROR(IF(INDEX(Variablen!$I:$AT, MATCH(M104, Variablen!$A:$A, 0), MATCH((YEAR(D104)+6), Variablen!$I$3:$AT$3, 0))="",L104,INDEX(Variablen!$I:$AT, MATCH(M104, Variablen!$A:$A, 0), MATCH((YEAR(D104)+6), Variablen!$I$3:$AT$3, 0))),L104)))*(IF((YEAR(D104)+6)&lt;YEAR(E104),0,IF((YEAR(D104)+6)&gt;YEAR(E104),1,(12-MONTH(E104)+1)/12))) + (Q104)*(IF((YEAR(D104)+6)&lt;YEAR(E104),0,IF((YEAR(D104)+6)&gt;YEAR(E104),1,(12-MONTH(E104)+1)/12))))-((P104)*(IF((YEAR(D104)+6)&lt;YEAR(E104),0,IF((YEAR(D104)+6)&gt;YEAR(E104),1,(12-MONTH(E104)+1)/12))) + (R104)*(IF((YEAR(D104)+6)&lt;YEAR(E104),0,IF((YEAR(D104)+6)&gt;YEAR(E104),1,(12-MONTH(E104)+1)/12))))-(IF(OR(N104="",N104&lt;=0),0,(O104/N104)*(IF(OR(N104="",N104&lt;=0),0,IF((YEAR(D104)+6)&lt;YEAR(E104),0,IF((YEAR(D104)+6)&gt;=YEAR(E104)+N104,0,IF((YEAR(D104)+6)=YEAR(E104),(12-MONTH(E104)+1)/12,1))))))))*TaxRate,0))-IF(6=0,O104,0))</f>
        <v/>
      </c>
      <c r="Z104" s="29">
        <f>IF(A104="","",((K104)*(IF(M104="",L104,IFERROR(IF(INDEX(Variablen!$I:$AT, MATCH(M104, Variablen!$A:$A, 0), MATCH((YEAR(D104)+7), Variablen!$I$3:$AT$3, 0))="",L104,INDEX(Variablen!$I:$AT, MATCH(M104, Variablen!$A:$A, 0), MATCH((YEAR(D104)+7), Variablen!$I$3:$AT$3, 0))),L104)))*(IF((YEAR(D104)+7)&lt;YEAR(E104),0,IF((YEAR(D104)+7)&gt;YEAR(E104),1,(12-MONTH(E104)+1)/12))) + (Q104)*(IF((YEAR(D104)+7)&lt;YEAR(E104),0,IF((YEAR(D104)+7)&gt;YEAR(E104),1,(12-MONTH(E104)+1)/12))))-((P104)*(IF((YEAR(D104)+7)&lt;YEAR(E104),0,IF((YEAR(D104)+7)&gt;YEAR(E104),1,(12-MONTH(E104)+1)/12))) + (R104)*(IF((YEAR(D104)+7)&lt;YEAR(E104),0,IF((YEAR(D104)+7)&gt;YEAR(E104),1,(12-MONTH(E104)+1)/12))))-(IF((((K104)*(IF(M104="",L104,IFERROR(IF(INDEX(Variablen!$I:$AT, MATCH(M104, Variablen!$A:$A, 0), MATCH((YEAR(D104)+7), Variablen!$I$3:$AT$3, 0))="",L104,INDEX(Variablen!$I:$AT, MATCH(M104, Variablen!$A:$A, 0), MATCH((YEAR(D104)+7), Variablen!$I$3:$AT$3, 0))),L104)))*(IF((YEAR(D104)+7)&lt;YEAR(E104),0,IF((YEAR(D104)+7)&gt;YEAR(E104),1,(12-MONTH(E104)+1)/12))) + (Q104)*(IF((YEAR(D104)+7)&lt;YEAR(E104),0,IF((YEAR(D104)+7)&gt;YEAR(E104),1,(12-MONTH(E104)+1)/12))))-((P104)*(IF((YEAR(D104)+7)&lt;YEAR(E104),0,IF((YEAR(D104)+7)&gt;YEAR(E104),1,(12-MONTH(E104)+1)/12))) + (R104)*(IF((YEAR(D104)+7)&lt;YEAR(E104),0,IF((YEAR(D104)+7)&gt;YEAR(E104),1,(12-MONTH(E104)+1)/12))))-(IF(OR(N104="",N104&lt;=0),0,(O104/N104)*(IF(OR(N104="",N104&lt;=0),0,IF((YEAR(D104)+7)&lt;YEAR(E104),0,IF((YEAR(D104)+7)&gt;=YEAR(E104)+N104,0,IF((YEAR(D104)+7)=YEAR(E104),(12-MONTH(E104)+1)/12,1))))))))&gt;0,(((K104)*(IF(M104="",L104,IFERROR(IF(INDEX(Variablen!$I:$AT, MATCH(M104, Variablen!$A:$A, 0), MATCH((YEAR(D104)+7), Variablen!$I$3:$AT$3, 0))="",L104,INDEX(Variablen!$I:$AT, MATCH(M104, Variablen!$A:$A, 0), MATCH((YEAR(D104)+7), Variablen!$I$3:$AT$3, 0))),L104)))*(IF((YEAR(D104)+7)&lt;YEAR(E104),0,IF((YEAR(D104)+7)&gt;YEAR(E104),1,(12-MONTH(E104)+1)/12))) + (Q104)*(IF((YEAR(D104)+7)&lt;YEAR(E104),0,IF((YEAR(D104)+7)&gt;YEAR(E104),1,(12-MONTH(E104)+1)/12))))-((P104)*(IF((YEAR(D104)+7)&lt;YEAR(E104),0,IF((YEAR(D104)+7)&gt;YEAR(E104),1,(12-MONTH(E104)+1)/12))) + (R104)*(IF((YEAR(D104)+7)&lt;YEAR(E104),0,IF((YEAR(D104)+7)&gt;YEAR(E104),1,(12-MONTH(E104)+1)/12))))-(IF(OR(N104="",N104&lt;=0),0,(O104/N104)*(IF(OR(N104="",N104&lt;=0),0,IF((YEAR(D104)+7)&lt;YEAR(E104),0,IF((YEAR(D104)+7)&gt;=YEAR(E104)+N104,0,IF((YEAR(D104)+7)=YEAR(E104),(12-MONTH(E104)+1)/12,1))))))))*TaxRate,0))-IF(7=0,O104,0))</f>
        <v/>
      </c>
      <c r="AA104" s="29">
        <f>IF(A104="","",((K104)*(IF(M104="",L104,IFERROR(IF(INDEX(Variablen!$I:$AT, MATCH(M104, Variablen!$A:$A, 0), MATCH((YEAR(D104)+8), Variablen!$I$3:$AT$3, 0))="",L104,INDEX(Variablen!$I:$AT, MATCH(M104, Variablen!$A:$A, 0), MATCH((YEAR(D104)+8), Variablen!$I$3:$AT$3, 0))),L104)))*(IF((YEAR(D104)+8)&lt;YEAR(E104),0,IF((YEAR(D104)+8)&gt;YEAR(E104),1,(12-MONTH(E104)+1)/12))) + (Q104)*(IF((YEAR(D104)+8)&lt;YEAR(E104),0,IF((YEAR(D104)+8)&gt;YEAR(E104),1,(12-MONTH(E104)+1)/12))))-((P104)*(IF((YEAR(D104)+8)&lt;YEAR(E104),0,IF((YEAR(D104)+8)&gt;YEAR(E104),1,(12-MONTH(E104)+1)/12))) + (R104)*(IF((YEAR(D104)+8)&lt;YEAR(E104),0,IF((YEAR(D104)+8)&gt;YEAR(E104),1,(12-MONTH(E104)+1)/12))))-(IF((((K104)*(IF(M104="",L104,IFERROR(IF(INDEX(Variablen!$I:$AT, MATCH(M104, Variablen!$A:$A, 0), MATCH((YEAR(D104)+8), Variablen!$I$3:$AT$3, 0))="",L104,INDEX(Variablen!$I:$AT, MATCH(M104, Variablen!$A:$A, 0), MATCH((YEAR(D104)+8), Variablen!$I$3:$AT$3, 0))),L104)))*(IF((YEAR(D104)+8)&lt;YEAR(E104),0,IF((YEAR(D104)+8)&gt;YEAR(E104),1,(12-MONTH(E104)+1)/12))) + (Q104)*(IF((YEAR(D104)+8)&lt;YEAR(E104),0,IF((YEAR(D104)+8)&gt;YEAR(E104),1,(12-MONTH(E104)+1)/12))))-((P104)*(IF((YEAR(D104)+8)&lt;YEAR(E104),0,IF((YEAR(D104)+8)&gt;YEAR(E104),1,(12-MONTH(E104)+1)/12))) + (R104)*(IF((YEAR(D104)+8)&lt;YEAR(E104),0,IF((YEAR(D104)+8)&gt;YEAR(E104),1,(12-MONTH(E104)+1)/12))))-(IF(OR(N104="",N104&lt;=0),0,(O104/N104)*(IF(OR(N104="",N104&lt;=0),0,IF((YEAR(D104)+8)&lt;YEAR(E104),0,IF((YEAR(D104)+8)&gt;=YEAR(E104)+N104,0,IF((YEAR(D104)+8)=YEAR(E104),(12-MONTH(E104)+1)/12,1))))))))&gt;0,(((K104)*(IF(M104="",L104,IFERROR(IF(INDEX(Variablen!$I:$AT, MATCH(M104, Variablen!$A:$A, 0), MATCH((YEAR(D104)+8), Variablen!$I$3:$AT$3, 0))="",L104,INDEX(Variablen!$I:$AT, MATCH(M104, Variablen!$A:$A, 0), MATCH((YEAR(D104)+8), Variablen!$I$3:$AT$3, 0))),L104)))*(IF((YEAR(D104)+8)&lt;YEAR(E104),0,IF((YEAR(D104)+8)&gt;YEAR(E104),1,(12-MONTH(E104)+1)/12))) + (Q104)*(IF((YEAR(D104)+8)&lt;YEAR(E104),0,IF((YEAR(D104)+8)&gt;YEAR(E104),1,(12-MONTH(E104)+1)/12))))-((P104)*(IF((YEAR(D104)+8)&lt;YEAR(E104),0,IF((YEAR(D104)+8)&gt;YEAR(E104),1,(12-MONTH(E104)+1)/12))) + (R104)*(IF((YEAR(D104)+8)&lt;YEAR(E104),0,IF((YEAR(D104)+8)&gt;YEAR(E104),1,(12-MONTH(E104)+1)/12))))-(IF(OR(N104="",N104&lt;=0),0,(O104/N104)*(IF(OR(N104="",N104&lt;=0),0,IF((YEAR(D104)+8)&lt;YEAR(E104),0,IF((YEAR(D104)+8)&gt;=YEAR(E104)+N104,0,IF((YEAR(D104)+8)=YEAR(E104),(12-MONTH(E104)+1)/12,1))))))))*TaxRate,0))-IF(8=0,O104,0))</f>
        <v/>
      </c>
      <c r="AB104" s="29">
        <f>IF(A104="","",((K104)*(IF(M104="",L104,IFERROR(IF(INDEX(Variablen!$I:$AT, MATCH(M104, Variablen!$A:$A, 0), MATCH((YEAR(D104)+9), Variablen!$I$3:$AT$3, 0))="",L104,INDEX(Variablen!$I:$AT, MATCH(M104, Variablen!$A:$A, 0), MATCH((YEAR(D104)+9), Variablen!$I$3:$AT$3, 0))),L104)))*(IF((YEAR(D104)+9)&lt;YEAR(E104),0,IF((YEAR(D104)+9)&gt;YEAR(E104),1,(12-MONTH(E104)+1)/12))) + (Q104)*(IF((YEAR(D104)+9)&lt;YEAR(E104),0,IF((YEAR(D104)+9)&gt;YEAR(E104),1,(12-MONTH(E104)+1)/12))))-((P104)*(IF((YEAR(D104)+9)&lt;YEAR(E104),0,IF((YEAR(D104)+9)&gt;YEAR(E104),1,(12-MONTH(E104)+1)/12))) + (R104)*(IF((YEAR(D104)+9)&lt;YEAR(E104),0,IF((YEAR(D104)+9)&gt;YEAR(E104),1,(12-MONTH(E104)+1)/12))))-(IF((((K104)*(IF(M104="",L104,IFERROR(IF(INDEX(Variablen!$I:$AT, MATCH(M104, Variablen!$A:$A, 0), MATCH((YEAR(D104)+9), Variablen!$I$3:$AT$3, 0))="",L104,INDEX(Variablen!$I:$AT, MATCH(M104, Variablen!$A:$A, 0), MATCH((YEAR(D104)+9), Variablen!$I$3:$AT$3, 0))),L104)))*(IF((YEAR(D104)+9)&lt;YEAR(E104),0,IF((YEAR(D104)+9)&gt;YEAR(E104),1,(12-MONTH(E104)+1)/12))) + (Q104)*(IF((YEAR(D104)+9)&lt;YEAR(E104),0,IF((YEAR(D104)+9)&gt;YEAR(E104),1,(12-MONTH(E104)+1)/12))))-((P104)*(IF((YEAR(D104)+9)&lt;YEAR(E104),0,IF((YEAR(D104)+9)&gt;YEAR(E104),1,(12-MONTH(E104)+1)/12))) + (R104)*(IF((YEAR(D104)+9)&lt;YEAR(E104),0,IF((YEAR(D104)+9)&gt;YEAR(E104),1,(12-MONTH(E104)+1)/12))))-(IF(OR(N104="",N104&lt;=0),0,(O104/N104)*(IF(OR(N104="",N104&lt;=0),0,IF((YEAR(D104)+9)&lt;YEAR(E104),0,IF((YEAR(D104)+9)&gt;=YEAR(E104)+N104,0,IF((YEAR(D104)+9)=YEAR(E104),(12-MONTH(E104)+1)/12,1))))))))&gt;0,(((K104)*(IF(M104="",L104,IFERROR(IF(INDEX(Variablen!$I:$AT, MATCH(M104, Variablen!$A:$A, 0), MATCH((YEAR(D104)+9), Variablen!$I$3:$AT$3, 0))="",L104,INDEX(Variablen!$I:$AT, MATCH(M104, Variablen!$A:$A, 0), MATCH((YEAR(D104)+9), Variablen!$I$3:$AT$3, 0))),L104)))*(IF((YEAR(D104)+9)&lt;YEAR(E104),0,IF((YEAR(D104)+9)&gt;YEAR(E104),1,(12-MONTH(E104)+1)/12))) + (Q104)*(IF((YEAR(D104)+9)&lt;YEAR(E104),0,IF((YEAR(D104)+9)&gt;YEAR(E104),1,(12-MONTH(E104)+1)/12))))-((P104)*(IF((YEAR(D104)+9)&lt;YEAR(E104),0,IF((YEAR(D104)+9)&gt;YEAR(E104),1,(12-MONTH(E104)+1)/12))) + (R104)*(IF((YEAR(D104)+9)&lt;YEAR(E104),0,IF((YEAR(D104)+9)&gt;YEAR(E104),1,(12-MONTH(E104)+1)/12))))-(IF(OR(N104="",N104&lt;=0),0,(O104/N104)*(IF(OR(N104="",N104&lt;=0),0,IF((YEAR(D104)+9)&lt;YEAR(E104),0,IF((YEAR(D104)+9)&gt;=YEAR(E104)+N104,0,IF((YEAR(D104)+9)=YEAR(E104),(12-MONTH(E104)+1)/12,1))))))))*TaxRate,0))-IF(9=0,O104,0))</f>
        <v/>
      </c>
      <c r="AC104" s="29">
        <f>IF(A104="","",((K104)*(IF(M104="",L104,IFERROR(IF(INDEX(Variablen!$I:$AT, MATCH(M104, Variablen!$A:$A, 0), MATCH((YEAR(D104)+10), Variablen!$I$3:$AT$3, 0))="",L104,INDEX(Variablen!$I:$AT, MATCH(M104, Variablen!$A:$A, 0), MATCH((YEAR(D104)+10), Variablen!$I$3:$AT$3, 0))),L104)))*(IF((YEAR(D104)+10)&lt;YEAR(E104),0,IF((YEAR(D104)+10)&gt;YEAR(E104),1,(12-MONTH(E104)+1)/12))) + (Q104)*(IF((YEAR(D104)+10)&lt;YEAR(E104),0,IF((YEAR(D104)+10)&gt;YEAR(E104),1,(12-MONTH(E104)+1)/12))))-((P104)*(IF((YEAR(D104)+10)&lt;YEAR(E104),0,IF((YEAR(D104)+10)&gt;YEAR(E104),1,(12-MONTH(E104)+1)/12))) + (R104)*(IF((YEAR(D104)+10)&lt;YEAR(E104),0,IF((YEAR(D104)+10)&gt;YEAR(E104),1,(12-MONTH(E104)+1)/12))))-(IF((((K104)*(IF(M104="",L104,IFERROR(IF(INDEX(Variablen!$I:$AT, MATCH(M104, Variablen!$A:$A, 0), MATCH((YEAR(D104)+10), Variablen!$I$3:$AT$3, 0))="",L104,INDEX(Variablen!$I:$AT, MATCH(M104, Variablen!$A:$A, 0), MATCH((YEAR(D104)+10), Variablen!$I$3:$AT$3, 0))),L104)))*(IF((YEAR(D104)+10)&lt;YEAR(E104),0,IF((YEAR(D104)+10)&gt;YEAR(E104),1,(12-MONTH(E104)+1)/12))) + (Q104)*(IF((YEAR(D104)+10)&lt;YEAR(E104),0,IF((YEAR(D104)+10)&gt;YEAR(E104),1,(12-MONTH(E104)+1)/12))))-((P104)*(IF((YEAR(D104)+10)&lt;YEAR(E104),0,IF((YEAR(D104)+10)&gt;YEAR(E104),1,(12-MONTH(E104)+1)/12))) + (R104)*(IF((YEAR(D104)+10)&lt;YEAR(E104),0,IF((YEAR(D104)+10)&gt;YEAR(E104),1,(12-MONTH(E104)+1)/12))))-(IF(OR(N104="",N104&lt;=0),0,(O104/N104)*(IF(OR(N104="",N104&lt;=0),0,IF((YEAR(D104)+10)&lt;YEAR(E104),0,IF((YEAR(D104)+10)&gt;=YEAR(E104)+N104,0,IF((YEAR(D104)+10)=YEAR(E104),(12-MONTH(E104)+1)/12,1))))))))&gt;0,(((K104)*(IF(M104="",L104,IFERROR(IF(INDEX(Variablen!$I:$AT, MATCH(M104, Variablen!$A:$A, 0), MATCH((YEAR(D104)+10), Variablen!$I$3:$AT$3, 0))="",L104,INDEX(Variablen!$I:$AT, MATCH(M104, Variablen!$A:$A, 0), MATCH((YEAR(D104)+10), Variablen!$I$3:$AT$3, 0))),L104)))*(IF((YEAR(D104)+10)&lt;YEAR(E104),0,IF((YEAR(D104)+10)&gt;YEAR(E104),1,(12-MONTH(E104)+1)/12))) + (Q104)*(IF((YEAR(D104)+10)&lt;YEAR(E104),0,IF((YEAR(D104)+10)&gt;YEAR(E104),1,(12-MONTH(E104)+1)/12))))-((P104)*(IF((YEAR(D104)+10)&lt;YEAR(E104),0,IF((YEAR(D104)+10)&gt;YEAR(E104),1,(12-MONTH(E104)+1)/12))) + (R104)*(IF((YEAR(D104)+10)&lt;YEAR(E104),0,IF((YEAR(D104)+10)&gt;YEAR(E104),1,(12-MONTH(E104)+1)/12))))-(IF(OR(N104="",N104&lt;=0),0,(O104/N104)*(IF(OR(N104="",N104&lt;=0),0,IF((YEAR(D104)+10)&lt;YEAR(E104),0,IF((YEAR(D104)+10)&gt;=YEAR(E104)+N104,0,IF((YEAR(D104)+10)=YEAR(E104),(12-MONTH(E104)+1)/12,1))))))))*TaxRate,0))-IF(10=0,O104,0))</f>
        <v/>
      </c>
      <c r="AD104" s="29">
        <f>IF(A104="","",((K104)*(IF(M104="",L104,IFERROR(IF(INDEX(Variablen!$I:$AT, MATCH(M104, Variablen!$A:$A, 0), MATCH((YEAR(D104)+11), Variablen!$I$3:$AT$3, 0))="",L104,INDEX(Variablen!$I:$AT, MATCH(M104, Variablen!$A:$A, 0), MATCH((YEAR(D104)+11), Variablen!$I$3:$AT$3, 0))),L104)))*(IF((YEAR(D104)+11)&lt;YEAR(E104),0,IF((YEAR(D104)+11)&gt;YEAR(E104),1,(12-MONTH(E104)+1)/12))) + (Q104)*(IF((YEAR(D104)+11)&lt;YEAR(E104),0,IF((YEAR(D104)+11)&gt;YEAR(E104),1,(12-MONTH(E104)+1)/12))))-((P104)*(IF((YEAR(D104)+11)&lt;YEAR(E104),0,IF((YEAR(D104)+11)&gt;YEAR(E104),1,(12-MONTH(E104)+1)/12))) + (R104)*(IF((YEAR(D104)+11)&lt;YEAR(E104),0,IF((YEAR(D104)+11)&gt;YEAR(E104),1,(12-MONTH(E104)+1)/12))))-(IF((((K104)*(IF(M104="",L104,IFERROR(IF(INDEX(Variablen!$I:$AT, MATCH(M104, Variablen!$A:$A, 0), MATCH((YEAR(D104)+11), Variablen!$I$3:$AT$3, 0))="",L104,INDEX(Variablen!$I:$AT, MATCH(M104, Variablen!$A:$A, 0), MATCH((YEAR(D104)+11), Variablen!$I$3:$AT$3, 0))),L104)))*(IF((YEAR(D104)+11)&lt;YEAR(E104),0,IF((YEAR(D104)+11)&gt;YEAR(E104),1,(12-MONTH(E104)+1)/12))) + (Q104)*(IF((YEAR(D104)+11)&lt;YEAR(E104),0,IF((YEAR(D104)+11)&gt;YEAR(E104),1,(12-MONTH(E104)+1)/12))))-((P104)*(IF((YEAR(D104)+11)&lt;YEAR(E104),0,IF((YEAR(D104)+11)&gt;YEAR(E104),1,(12-MONTH(E104)+1)/12))) + (R104)*(IF((YEAR(D104)+11)&lt;YEAR(E104),0,IF((YEAR(D104)+11)&gt;YEAR(E104),1,(12-MONTH(E104)+1)/12))))-(IF(OR(N104="",N104&lt;=0),0,(O104/N104)*(IF(OR(N104="",N104&lt;=0),0,IF((YEAR(D104)+11)&lt;YEAR(E104),0,IF((YEAR(D104)+11)&gt;=YEAR(E104)+N104,0,IF((YEAR(D104)+11)=YEAR(E104),(12-MONTH(E104)+1)/12,1))))))))&gt;0,(((K104)*(IF(M104="",L104,IFERROR(IF(INDEX(Variablen!$I:$AT, MATCH(M104, Variablen!$A:$A, 0), MATCH((YEAR(D104)+11), Variablen!$I$3:$AT$3, 0))="",L104,INDEX(Variablen!$I:$AT, MATCH(M104, Variablen!$A:$A, 0), MATCH((YEAR(D104)+11), Variablen!$I$3:$AT$3, 0))),L104)))*(IF((YEAR(D104)+11)&lt;YEAR(E104),0,IF((YEAR(D104)+11)&gt;YEAR(E104),1,(12-MONTH(E104)+1)/12))) + (Q104)*(IF((YEAR(D104)+11)&lt;YEAR(E104),0,IF((YEAR(D104)+11)&gt;YEAR(E104),1,(12-MONTH(E104)+1)/12))))-((P104)*(IF((YEAR(D104)+11)&lt;YEAR(E104),0,IF((YEAR(D104)+11)&gt;YEAR(E104),1,(12-MONTH(E104)+1)/12))) + (R104)*(IF((YEAR(D104)+11)&lt;YEAR(E104),0,IF((YEAR(D104)+11)&gt;YEAR(E104),1,(12-MONTH(E104)+1)/12))))-(IF(OR(N104="",N104&lt;=0),0,(O104/N104)*(IF(OR(N104="",N104&lt;=0),0,IF((YEAR(D104)+11)&lt;YEAR(E104),0,IF((YEAR(D104)+11)&gt;=YEAR(E104)+N104,0,IF((YEAR(D104)+11)=YEAR(E104),(12-MONTH(E104)+1)/12,1))))))))*TaxRate,0))-IF(11=0,O104,0))</f>
        <v/>
      </c>
      <c r="AE104" s="29">
        <f>IF(A104="","",((K104)*(IF(M104="",L104,IFERROR(IF(INDEX(Variablen!$I:$AT, MATCH(M104, Variablen!$A:$A, 0), MATCH((YEAR(D104)+12), Variablen!$I$3:$AT$3, 0))="",L104,INDEX(Variablen!$I:$AT, MATCH(M104, Variablen!$A:$A, 0), MATCH((YEAR(D104)+12), Variablen!$I$3:$AT$3, 0))),L104)))*(IF((YEAR(D104)+12)&lt;YEAR(E104),0,IF((YEAR(D104)+12)&gt;YEAR(E104),1,(12-MONTH(E104)+1)/12))) + (Q104)*(IF((YEAR(D104)+12)&lt;YEAR(E104),0,IF((YEAR(D104)+12)&gt;YEAR(E104),1,(12-MONTH(E104)+1)/12))))-((P104)*(IF((YEAR(D104)+12)&lt;YEAR(E104),0,IF((YEAR(D104)+12)&gt;YEAR(E104),1,(12-MONTH(E104)+1)/12))) + (R104)*(IF((YEAR(D104)+12)&lt;YEAR(E104),0,IF((YEAR(D104)+12)&gt;YEAR(E104),1,(12-MONTH(E104)+1)/12))))-(IF((((K104)*(IF(M104="",L104,IFERROR(IF(INDEX(Variablen!$I:$AT, MATCH(M104, Variablen!$A:$A, 0), MATCH((YEAR(D104)+12), Variablen!$I$3:$AT$3, 0))="",L104,INDEX(Variablen!$I:$AT, MATCH(M104, Variablen!$A:$A, 0), MATCH((YEAR(D104)+12), Variablen!$I$3:$AT$3, 0))),L104)))*(IF((YEAR(D104)+12)&lt;YEAR(E104),0,IF((YEAR(D104)+12)&gt;YEAR(E104),1,(12-MONTH(E104)+1)/12))) + (Q104)*(IF((YEAR(D104)+12)&lt;YEAR(E104),0,IF((YEAR(D104)+12)&gt;YEAR(E104),1,(12-MONTH(E104)+1)/12))))-((P104)*(IF((YEAR(D104)+12)&lt;YEAR(E104),0,IF((YEAR(D104)+12)&gt;YEAR(E104),1,(12-MONTH(E104)+1)/12))) + (R104)*(IF((YEAR(D104)+12)&lt;YEAR(E104),0,IF((YEAR(D104)+12)&gt;YEAR(E104),1,(12-MONTH(E104)+1)/12))))-(IF(OR(N104="",N104&lt;=0),0,(O104/N104)*(IF(OR(N104="",N104&lt;=0),0,IF((YEAR(D104)+12)&lt;YEAR(E104),0,IF((YEAR(D104)+12)&gt;=YEAR(E104)+N104,0,IF((YEAR(D104)+12)=YEAR(E104),(12-MONTH(E104)+1)/12,1))))))))&gt;0,(((K104)*(IF(M104="",L104,IFERROR(IF(INDEX(Variablen!$I:$AT, MATCH(M104, Variablen!$A:$A, 0), MATCH((YEAR(D104)+12), Variablen!$I$3:$AT$3, 0))="",L104,INDEX(Variablen!$I:$AT, MATCH(M104, Variablen!$A:$A, 0), MATCH((YEAR(D104)+12), Variablen!$I$3:$AT$3, 0))),L104)))*(IF((YEAR(D104)+12)&lt;YEAR(E104),0,IF((YEAR(D104)+12)&gt;YEAR(E104),1,(12-MONTH(E104)+1)/12))) + (Q104)*(IF((YEAR(D104)+12)&lt;YEAR(E104),0,IF((YEAR(D104)+12)&gt;YEAR(E104),1,(12-MONTH(E104)+1)/12))))-((P104)*(IF((YEAR(D104)+12)&lt;YEAR(E104),0,IF((YEAR(D104)+12)&gt;YEAR(E104),1,(12-MONTH(E104)+1)/12))) + (R104)*(IF((YEAR(D104)+12)&lt;YEAR(E104),0,IF((YEAR(D104)+12)&gt;YEAR(E104),1,(12-MONTH(E104)+1)/12))))-(IF(OR(N104="",N104&lt;=0),0,(O104/N104)*(IF(OR(N104="",N104&lt;=0),0,IF((YEAR(D104)+12)&lt;YEAR(E104),0,IF((YEAR(D104)+12)&gt;=YEAR(E104)+N104,0,IF((YEAR(D104)+12)=YEAR(E104),(12-MONTH(E104)+1)/12,1))))))))*TaxRate,0))-IF(12=0,O104,0))</f>
        <v/>
      </c>
      <c r="AF104" s="29">
        <f>IF(A104="","",((K104)*(IF(M104="",L104,IFERROR(IF(INDEX(Variablen!$I:$AT, MATCH(M104, Variablen!$A:$A, 0), MATCH((YEAR(D104)+13), Variablen!$I$3:$AT$3, 0))="",L104,INDEX(Variablen!$I:$AT, MATCH(M104, Variablen!$A:$A, 0), MATCH((YEAR(D104)+13), Variablen!$I$3:$AT$3, 0))),L104)))*(IF((YEAR(D104)+13)&lt;YEAR(E104),0,IF((YEAR(D104)+13)&gt;YEAR(E104),1,(12-MONTH(E104)+1)/12))) + (Q104)*(IF((YEAR(D104)+13)&lt;YEAR(E104),0,IF((YEAR(D104)+13)&gt;YEAR(E104),1,(12-MONTH(E104)+1)/12))))-((P104)*(IF((YEAR(D104)+13)&lt;YEAR(E104),0,IF((YEAR(D104)+13)&gt;YEAR(E104),1,(12-MONTH(E104)+1)/12))) + (R104)*(IF((YEAR(D104)+13)&lt;YEAR(E104),0,IF((YEAR(D104)+13)&gt;YEAR(E104),1,(12-MONTH(E104)+1)/12))))-(IF((((K104)*(IF(M104="",L104,IFERROR(IF(INDEX(Variablen!$I:$AT, MATCH(M104, Variablen!$A:$A, 0), MATCH((YEAR(D104)+13), Variablen!$I$3:$AT$3, 0))="",L104,INDEX(Variablen!$I:$AT, MATCH(M104, Variablen!$A:$A, 0), MATCH((YEAR(D104)+13), Variablen!$I$3:$AT$3, 0))),L104)))*(IF((YEAR(D104)+13)&lt;YEAR(E104),0,IF((YEAR(D104)+13)&gt;YEAR(E104),1,(12-MONTH(E104)+1)/12))) + (Q104)*(IF((YEAR(D104)+13)&lt;YEAR(E104),0,IF((YEAR(D104)+13)&gt;YEAR(E104),1,(12-MONTH(E104)+1)/12))))-((P104)*(IF((YEAR(D104)+13)&lt;YEAR(E104),0,IF((YEAR(D104)+13)&gt;YEAR(E104),1,(12-MONTH(E104)+1)/12))) + (R104)*(IF((YEAR(D104)+13)&lt;YEAR(E104),0,IF((YEAR(D104)+13)&gt;YEAR(E104),1,(12-MONTH(E104)+1)/12))))-(IF(OR(N104="",N104&lt;=0),0,(O104/N104)*(IF(OR(N104="",N104&lt;=0),0,IF((YEAR(D104)+13)&lt;YEAR(E104),0,IF((YEAR(D104)+13)&gt;=YEAR(E104)+N104,0,IF((YEAR(D104)+13)=YEAR(E104),(12-MONTH(E104)+1)/12,1))))))))&gt;0,(((K104)*(IF(M104="",L104,IFERROR(IF(INDEX(Variablen!$I:$AT, MATCH(M104, Variablen!$A:$A, 0), MATCH((YEAR(D104)+13), Variablen!$I$3:$AT$3, 0))="",L104,INDEX(Variablen!$I:$AT, MATCH(M104, Variablen!$A:$A, 0), MATCH((YEAR(D104)+13), Variablen!$I$3:$AT$3, 0))),L104)))*(IF((YEAR(D104)+13)&lt;YEAR(E104),0,IF((YEAR(D104)+13)&gt;YEAR(E104),1,(12-MONTH(E104)+1)/12))) + (Q104)*(IF((YEAR(D104)+13)&lt;YEAR(E104),0,IF((YEAR(D104)+13)&gt;YEAR(E104),1,(12-MONTH(E104)+1)/12))))-((P104)*(IF((YEAR(D104)+13)&lt;YEAR(E104),0,IF((YEAR(D104)+13)&gt;YEAR(E104),1,(12-MONTH(E104)+1)/12))) + (R104)*(IF((YEAR(D104)+13)&lt;YEAR(E104),0,IF((YEAR(D104)+13)&gt;YEAR(E104),1,(12-MONTH(E104)+1)/12))))-(IF(OR(N104="",N104&lt;=0),0,(O104/N104)*(IF(OR(N104="",N104&lt;=0),0,IF((YEAR(D104)+13)&lt;YEAR(E104),0,IF((YEAR(D104)+13)&gt;=YEAR(E104)+N104,0,IF((YEAR(D104)+13)=YEAR(E104),(12-MONTH(E104)+1)/12,1))))))))*TaxRate,0))-IF(13=0,O104,0))</f>
        <v/>
      </c>
      <c r="AG104" s="29">
        <f>IF(A104="","",((K104)*(IF(M104="",L104,IFERROR(IF(INDEX(Variablen!$I:$AT, MATCH(M104, Variablen!$A:$A, 0), MATCH((YEAR(D104)+14), Variablen!$I$3:$AT$3, 0))="",L104,INDEX(Variablen!$I:$AT, MATCH(M104, Variablen!$A:$A, 0), MATCH((YEAR(D104)+14), Variablen!$I$3:$AT$3, 0))),L104)))*(IF((YEAR(D104)+14)&lt;YEAR(E104),0,IF((YEAR(D104)+14)&gt;YEAR(E104),1,(12-MONTH(E104)+1)/12))) + (Q104)*(IF((YEAR(D104)+14)&lt;YEAR(E104),0,IF((YEAR(D104)+14)&gt;YEAR(E104),1,(12-MONTH(E104)+1)/12))))-((P104)*(IF((YEAR(D104)+14)&lt;YEAR(E104),0,IF((YEAR(D104)+14)&gt;YEAR(E104),1,(12-MONTH(E104)+1)/12))) + (R104)*(IF((YEAR(D104)+14)&lt;YEAR(E104),0,IF((YEAR(D104)+14)&gt;YEAR(E104),1,(12-MONTH(E104)+1)/12))))-(IF((((K104)*(IF(M104="",L104,IFERROR(IF(INDEX(Variablen!$I:$AT, MATCH(M104, Variablen!$A:$A, 0), MATCH((YEAR(D104)+14), Variablen!$I$3:$AT$3, 0))="",L104,INDEX(Variablen!$I:$AT, MATCH(M104, Variablen!$A:$A, 0), MATCH((YEAR(D104)+14), Variablen!$I$3:$AT$3, 0))),L104)))*(IF((YEAR(D104)+14)&lt;YEAR(E104),0,IF((YEAR(D104)+14)&gt;YEAR(E104),1,(12-MONTH(E104)+1)/12))) + (Q104)*(IF((YEAR(D104)+14)&lt;YEAR(E104),0,IF((YEAR(D104)+14)&gt;YEAR(E104),1,(12-MONTH(E104)+1)/12))))-((P104)*(IF((YEAR(D104)+14)&lt;YEAR(E104),0,IF((YEAR(D104)+14)&gt;YEAR(E104),1,(12-MONTH(E104)+1)/12))) + (R104)*(IF((YEAR(D104)+14)&lt;YEAR(E104),0,IF((YEAR(D104)+14)&gt;YEAR(E104),1,(12-MONTH(E104)+1)/12))))-(IF(OR(N104="",N104&lt;=0),0,(O104/N104)*(IF(OR(N104="",N104&lt;=0),0,IF((YEAR(D104)+14)&lt;YEAR(E104),0,IF((YEAR(D104)+14)&gt;=YEAR(E104)+N104,0,IF((YEAR(D104)+14)=YEAR(E104),(12-MONTH(E104)+1)/12,1))))))))&gt;0,(((K104)*(IF(M104="",L104,IFERROR(IF(INDEX(Variablen!$I:$AT, MATCH(M104, Variablen!$A:$A, 0), MATCH((YEAR(D104)+14), Variablen!$I$3:$AT$3, 0))="",L104,INDEX(Variablen!$I:$AT, MATCH(M104, Variablen!$A:$A, 0), MATCH((YEAR(D104)+14), Variablen!$I$3:$AT$3, 0))),L104)))*(IF((YEAR(D104)+14)&lt;YEAR(E104),0,IF((YEAR(D104)+14)&gt;YEAR(E104),1,(12-MONTH(E104)+1)/12))) + (Q104)*(IF((YEAR(D104)+14)&lt;YEAR(E104),0,IF((YEAR(D104)+14)&gt;YEAR(E104),1,(12-MONTH(E104)+1)/12))))-((P104)*(IF((YEAR(D104)+14)&lt;YEAR(E104),0,IF((YEAR(D104)+14)&gt;YEAR(E104),1,(12-MONTH(E104)+1)/12))) + (R104)*(IF((YEAR(D104)+14)&lt;YEAR(E104),0,IF((YEAR(D104)+14)&gt;YEAR(E104),1,(12-MONTH(E104)+1)/12))))-(IF(OR(N104="",N104&lt;=0),0,(O104/N104)*(IF(OR(N104="",N104&lt;=0),0,IF((YEAR(D104)+14)&lt;YEAR(E104),0,IF((YEAR(D104)+14)&gt;=YEAR(E104)+N104,0,IF((YEAR(D104)+14)=YEAR(E104),(12-MONTH(E104)+1)/12,1))))))))*TaxRate,0))-IF(14=0,O104,0))</f>
        <v/>
      </c>
      <c r="AH104" s="29">
        <f>IF(A104="","",((K104)*(IF(M104="",L104,IFERROR(IF(INDEX(Variablen!$I:$AT, MATCH(M104, Variablen!$A:$A, 0), MATCH((YEAR(D104)+15), Variablen!$I$3:$AT$3, 0))="",L104,INDEX(Variablen!$I:$AT, MATCH(M104, Variablen!$A:$A, 0), MATCH((YEAR(D104)+15), Variablen!$I$3:$AT$3, 0))),L104)))*(IF((YEAR(D104)+15)&lt;YEAR(E104),0,IF((YEAR(D104)+15)&gt;YEAR(E104),1,(12-MONTH(E104)+1)/12))) + (Q104)*(IF((YEAR(D104)+15)&lt;YEAR(E104),0,IF((YEAR(D104)+15)&gt;YEAR(E104),1,(12-MONTH(E104)+1)/12))))-((P104)*(IF((YEAR(D104)+15)&lt;YEAR(E104),0,IF((YEAR(D104)+15)&gt;YEAR(E104),1,(12-MONTH(E104)+1)/12))) + (R104)*(IF((YEAR(D104)+15)&lt;YEAR(E104),0,IF((YEAR(D104)+15)&gt;YEAR(E104),1,(12-MONTH(E104)+1)/12))))-(IF((((K104)*(IF(M104="",L104,IFERROR(IF(INDEX(Variablen!$I:$AT, MATCH(M104, Variablen!$A:$A, 0), MATCH((YEAR(D104)+15), Variablen!$I$3:$AT$3, 0))="",L104,INDEX(Variablen!$I:$AT, MATCH(M104, Variablen!$A:$A, 0), MATCH((YEAR(D104)+15), Variablen!$I$3:$AT$3, 0))),L104)))*(IF((YEAR(D104)+15)&lt;YEAR(E104),0,IF((YEAR(D104)+15)&gt;YEAR(E104),1,(12-MONTH(E104)+1)/12))) + (Q104)*(IF((YEAR(D104)+15)&lt;YEAR(E104),0,IF((YEAR(D104)+15)&gt;YEAR(E104),1,(12-MONTH(E104)+1)/12))))-((P104)*(IF((YEAR(D104)+15)&lt;YEAR(E104),0,IF((YEAR(D104)+15)&gt;YEAR(E104),1,(12-MONTH(E104)+1)/12))) + (R104)*(IF((YEAR(D104)+15)&lt;YEAR(E104),0,IF((YEAR(D104)+15)&gt;YEAR(E104),1,(12-MONTH(E104)+1)/12))))-(IF(OR(N104="",N104&lt;=0),0,(O104/N104)*(IF(OR(N104="",N104&lt;=0),0,IF((YEAR(D104)+15)&lt;YEAR(E104),0,IF((YEAR(D104)+15)&gt;=YEAR(E104)+N104,0,IF((YEAR(D104)+15)=YEAR(E104),(12-MONTH(E104)+1)/12,1))))))))&gt;0,(((K104)*(IF(M104="",L104,IFERROR(IF(INDEX(Variablen!$I:$AT, MATCH(M104, Variablen!$A:$A, 0), MATCH((YEAR(D104)+15), Variablen!$I$3:$AT$3, 0))="",L104,INDEX(Variablen!$I:$AT, MATCH(M104, Variablen!$A:$A, 0), MATCH((YEAR(D104)+15), Variablen!$I$3:$AT$3, 0))),L104)))*(IF((YEAR(D104)+15)&lt;YEAR(E104),0,IF((YEAR(D104)+15)&gt;YEAR(E104),1,(12-MONTH(E104)+1)/12))) + (Q104)*(IF((YEAR(D104)+15)&lt;YEAR(E104),0,IF((YEAR(D104)+15)&gt;YEAR(E104),1,(12-MONTH(E104)+1)/12))))-((P104)*(IF((YEAR(D104)+15)&lt;YEAR(E104),0,IF((YEAR(D104)+15)&gt;YEAR(E104),1,(12-MONTH(E104)+1)/12))) + (R104)*(IF((YEAR(D104)+15)&lt;YEAR(E104),0,IF((YEAR(D104)+15)&gt;YEAR(E104),1,(12-MONTH(E104)+1)/12))))-(IF(OR(N104="",N104&lt;=0),0,(O104/N104)*(IF(OR(N104="",N104&lt;=0),0,IF((YEAR(D104)+15)&lt;YEAR(E104),0,IF((YEAR(D104)+15)&gt;=YEAR(E104)+N104,0,IF((YEAR(D104)+15)=YEAR(E104),(12-MONTH(E104)+1)/12,1))))))))*TaxRate,0))-IF(15=0,O104,0))</f>
        <v/>
      </c>
      <c r="AI104" s="29">
        <f>IF(A104="","",((K104)*(IF(M104="",L104,IFERROR(IF(INDEX(Variablen!$I:$AT, MATCH(M104, Variablen!$A:$A, 0), MATCH((YEAR(D104)+16), Variablen!$I$3:$AT$3, 0))="",L104,INDEX(Variablen!$I:$AT, MATCH(M104, Variablen!$A:$A, 0), MATCH((YEAR(D104)+16), Variablen!$I$3:$AT$3, 0))),L104)))*(IF((YEAR(D104)+16)&lt;YEAR(E104),0,IF((YEAR(D104)+16)&gt;YEAR(E104),1,(12-MONTH(E104)+1)/12))) + (Q104)*(IF((YEAR(D104)+16)&lt;YEAR(E104),0,IF((YEAR(D104)+16)&gt;YEAR(E104),1,(12-MONTH(E104)+1)/12))))-((P104)*(IF((YEAR(D104)+16)&lt;YEAR(E104),0,IF((YEAR(D104)+16)&gt;YEAR(E104),1,(12-MONTH(E104)+1)/12))) + (R104)*(IF((YEAR(D104)+16)&lt;YEAR(E104),0,IF((YEAR(D104)+16)&gt;YEAR(E104),1,(12-MONTH(E104)+1)/12))))-(IF((((K104)*(IF(M104="",L104,IFERROR(IF(INDEX(Variablen!$I:$AT, MATCH(M104, Variablen!$A:$A, 0), MATCH((YEAR(D104)+16), Variablen!$I$3:$AT$3, 0))="",L104,INDEX(Variablen!$I:$AT, MATCH(M104, Variablen!$A:$A, 0), MATCH((YEAR(D104)+16), Variablen!$I$3:$AT$3, 0))),L104)))*(IF((YEAR(D104)+16)&lt;YEAR(E104),0,IF((YEAR(D104)+16)&gt;YEAR(E104),1,(12-MONTH(E104)+1)/12))) + (Q104)*(IF((YEAR(D104)+16)&lt;YEAR(E104),0,IF((YEAR(D104)+16)&gt;YEAR(E104),1,(12-MONTH(E104)+1)/12))))-((P104)*(IF((YEAR(D104)+16)&lt;YEAR(E104),0,IF((YEAR(D104)+16)&gt;YEAR(E104),1,(12-MONTH(E104)+1)/12))) + (R104)*(IF((YEAR(D104)+16)&lt;YEAR(E104),0,IF((YEAR(D104)+16)&gt;YEAR(E104),1,(12-MONTH(E104)+1)/12))))-(IF(OR(N104="",N104&lt;=0),0,(O104/N104)*(IF(OR(N104="",N104&lt;=0),0,IF((YEAR(D104)+16)&lt;YEAR(E104),0,IF((YEAR(D104)+16)&gt;=YEAR(E104)+N104,0,IF((YEAR(D104)+16)=YEAR(E104),(12-MONTH(E104)+1)/12,1))))))))&gt;0,(((K104)*(IF(M104="",L104,IFERROR(IF(INDEX(Variablen!$I:$AT, MATCH(M104, Variablen!$A:$A, 0), MATCH((YEAR(D104)+16), Variablen!$I$3:$AT$3, 0))="",L104,INDEX(Variablen!$I:$AT, MATCH(M104, Variablen!$A:$A, 0), MATCH((YEAR(D104)+16), Variablen!$I$3:$AT$3, 0))),L104)))*(IF((YEAR(D104)+16)&lt;YEAR(E104),0,IF((YEAR(D104)+16)&gt;YEAR(E104),1,(12-MONTH(E104)+1)/12))) + (Q104)*(IF((YEAR(D104)+16)&lt;YEAR(E104),0,IF((YEAR(D104)+16)&gt;YEAR(E104),1,(12-MONTH(E104)+1)/12))))-((P104)*(IF((YEAR(D104)+16)&lt;YEAR(E104),0,IF((YEAR(D104)+16)&gt;YEAR(E104),1,(12-MONTH(E104)+1)/12))) + (R104)*(IF((YEAR(D104)+16)&lt;YEAR(E104),0,IF((YEAR(D104)+16)&gt;YEAR(E104),1,(12-MONTH(E104)+1)/12))))-(IF(OR(N104="",N104&lt;=0),0,(O104/N104)*(IF(OR(N104="",N104&lt;=0),0,IF((YEAR(D104)+16)&lt;YEAR(E104),0,IF((YEAR(D104)+16)&gt;=YEAR(E104)+N104,0,IF((YEAR(D104)+16)=YEAR(E104),(12-MONTH(E104)+1)/12,1))))))))*TaxRate,0))-IF(16=0,O104,0))</f>
        <v/>
      </c>
      <c r="AJ104" s="29">
        <f>IF(A104="","",((K104)*(IF(M104="",L104,IFERROR(IF(INDEX(Variablen!$I:$AT, MATCH(M104, Variablen!$A:$A, 0), MATCH((YEAR(D104)+17), Variablen!$I$3:$AT$3, 0))="",L104,INDEX(Variablen!$I:$AT, MATCH(M104, Variablen!$A:$A, 0), MATCH((YEAR(D104)+17), Variablen!$I$3:$AT$3, 0))),L104)))*(IF((YEAR(D104)+17)&lt;YEAR(E104),0,IF((YEAR(D104)+17)&gt;YEAR(E104),1,(12-MONTH(E104)+1)/12))) + (Q104)*(IF((YEAR(D104)+17)&lt;YEAR(E104),0,IF((YEAR(D104)+17)&gt;YEAR(E104),1,(12-MONTH(E104)+1)/12))))-((P104)*(IF((YEAR(D104)+17)&lt;YEAR(E104),0,IF((YEAR(D104)+17)&gt;YEAR(E104),1,(12-MONTH(E104)+1)/12))) + (R104)*(IF((YEAR(D104)+17)&lt;YEAR(E104),0,IF((YEAR(D104)+17)&gt;YEAR(E104),1,(12-MONTH(E104)+1)/12))))-(IF((((K104)*(IF(M104="",L104,IFERROR(IF(INDEX(Variablen!$I:$AT, MATCH(M104, Variablen!$A:$A, 0), MATCH((YEAR(D104)+17), Variablen!$I$3:$AT$3, 0))="",L104,INDEX(Variablen!$I:$AT, MATCH(M104, Variablen!$A:$A, 0), MATCH((YEAR(D104)+17), Variablen!$I$3:$AT$3, 0))),L104)))*(IF((YEAR(D104)+17)&lt;YEAR(E104),0,IF((YEAR(D104)+17)&gt;YEAR(E104),1,(12-MONTH(E104)+1)/12))) + (Q104)*(IF((YEAR(D104)+17)&lt;YEAR(E104),0,IF((YEAR(D104)+17)&gt;YEAR(E104),1,(12-MONTH(E104)+1)/12))))-((P104)*(IF((YEAR(D104)+17)&lt;YEAR(E104),0,IF((YEAR(D104)+17)&gt;YEAR(E104),1,(12-MONTH(E104)+1)/12))) + (R104)*(IF((YEAR(D104)+17)&lt;YEAR(E104),0,IF((YEAR(D104)+17)&gt;YEAR(E104),1,(12-MONTH(E104)+1)/12))))-(IF(OR(N104="",N104&lt;=0),0,(O104/N104)*(IF(OR(N104="",N104&lt;=0),0,IF((YEAR(D104)+17)&lt;YEAR(E104),0,IF((YEAR(D104)+17)&gt;=YEAR(E104)+N104,0,IF((YEAR(D104)+17)=YEAR(E104),(12-MONTH(E104)+1)/12,1))))))))&gt;0,(((K104)*(IF(M104="",L104,IFERROR(IF(INDEX(Variablen!$I:$AT, MATCH(M104, Variablen!$A:$A, 0), MATCH((YEAR(D104)+17), Variablen!$I$3:$AT$3, 0))="",L104,INDEX(Variablen!$I:$AT, MATCH(M104, Variablen!$A:$A, 0), MATCH((YEAR(D104)+17), Variablen!$I$3:$AT$3, 0))),L104)))*(IF((YEAR(D104)+17)&lt;YEAR(E104),0,IF((YEAR(D104)+17)&gt;YEAR(E104),1,(12-MONTH(E104)+1)/12))) + (Q104)*(IF((YEAR(D104)+17)&lt;YEAR(E104),0,IF((YEAR(D104)+17)&gt;YEAR(E104),1,(12-MONTH(E104)+1)/12))))-((P104)*(IF((YEAR(D104)+17)&lt;YEAR(E104),0,IF((YEAR(D104)+17)&gt;YEAR(E104),1,(12-MONTH(E104)+1)/12))) + (R104)*(IF((YEAR(D104)+17)&lt;YEAR(E104),0,IF((YEAR(D104)+17)&gt;YEAR(E104),1,(12-MONTH(E104)+1)/12))))-(IF(OR(N104="",N104&lt;=0),0,(O104/N104)*(IF(OR(N104="",N104&lt;=0),0,IF((YEAR(D104)+17)&lt;YEAR(E104),0,IF((YEAR(D104)+17)&gt;=YEAR(E104)+N104,0,IF((YEAR(D104)+17)=YEAR(E104),(12-MONTH(E104)+1)/12,1))))))))*TaxRate,0))-IF(17=0,O104,0))</f>
        <v/>
      </c>
      <c r="AK104" s="29">
        <f>IF(A104="","",((K104)*(IF(M104="",L104,IFERROR(IF(INDEX(Variablen!$I:$AT, MATCH(M104, Variablen!$A:$A, 0), MATCH((YEAR(D104)+18), Variablen!$I$3:$AT$3, 0))="",L104,INDEX(Variablen!$I:$AT, MATCH(M104, Variablen!$A:$A, 0), MATCH((YEAR(D104)+18), Variablen!$I$3:$AT$3, 0))),L104)))*(IF((YEAR(D104)+18)&lt;YEAR(E104),0,IF((YEAR(D104)+18)&gt;YEAR(E104),1,(12-MONTH(E104)+1)/12))) + (Q104)*(IF((YEAR(D104)+18)&lt;YEAR(E104),0,IF((YEAR(D104)+18)&gt;YEAR(E104),1,(12-MONTH(E104)+1)/12))))-((P104)*(IF((YEAR(D104)+18)&lt;YEAR(E104),0,IF((YEAR(D104)+18)&gt;YEAR(E104),1,(12-MONTH(E104)+1)/12))) + (R104)*(IF((YEAR(D104)+18)&lt;YEAR(E104),0,IF((YEAR(D104)+18)&gt;YEAR(E104),1,(12-MONTH(E104)+1)/12))))-(IF((((K104)*(IF(M104="",L104,IFERROR(IF(INDEX(Variablen!$I:$AT, MATCH(M104, Variablen!$A:$A, 0), MATCH((YEAR(D104)+18), Variablen!$I$3:$AT$3, 0))="",L104,INDEX(Variablen!$I:$AT, MATCH(M104, Variablen!$A:$A, 0), MATCH((YEAR(D104)+18), Variablen!$I$3:$AT$3, 0))),L104)))*(IF((YEAR(D104)+18)&lt;YEAR(E104),0,IF((YEAR(D104)+18)&gt;YEAR(E104),1,(12-MONTH(E104)+1)/12))) + (Q104)*(IF((YEAR(D104)+18)&lt;YEAR(E104),0,IF((YEAR(D104)+18)&gt;YEAR(E104),1,(12-MONTH(E104)+1)/12))))-((P104)*(IF((YEAR(D104)+18)&lt;YEAR(E104),0,IF((YEAR(D104)+18)&gt;YEAR(E104),1,(12-MONTH(E104)+1)/12))) + (R104)*(IF((YEAR(D104)+18)&lt;YEAR(E104),0,IF((YEAR(D104)+18)&gt;YEAR(E104),1,(12-MONTH(E104)+1)/12))))-(IF(OR(N104="",N104&lt;=0),0,(O104/N104)*(IF(OR(N104="",N104&lt;=0),0,IF((YEAR(D104)+18)&lt;YEAR(E104),0,IF((YEAR(D104)+18)&gt;=YEAR(E104)+N104,0,IF((YEAR(D104)+18)=YEAR(E104),(12-MONTH(E104)+1)/12,1))))))))&gt;0,(((K104)*(IF(M104="",L104,IFERROR(IF(INDEX(Variablen!$I:$AT, MATCH(M104, Variablen!$A:$A, 0), MATCH((YEAR(D104)+18), Variablen!$I$3:$AT$3, 0))="",L104,INDEX(Variablen!$I:$AT, MATCH(M104, Variablen!$A:$A, 0), MATCH((YEAR(D104)+18), Variablen!$I$3:$AT$3, 0))),L104)))*(IF((YEAR(D104)+18)&lt;YEAR(E104),0,IF((YEAR(D104)+18)&gt;YEAR(E104),1,(12-MONTH(E104)+1)/12))) + (Q104)*(IF((YEAR(D104)+18)&lt;YEAR(E104),0,IF((YEAR(D104)+18)&gt;YEAR(E104),1,(12-MONTH(E104)+1)/12))))-((P104)*(IF((YEAR(D104)+18)&lt;YEAR(E104),0,IF((YEAR(D104)+18)&gt;YEAR(E104),1,(12-MONTH(E104)+1)/12))) + (R104)*(IF((YEAR(D104)+18)&lt;YEAR(E104),0,IF((YEAR(D104)+18)&gt;YEAR(E104),1,(12-MONTH(E104)+1)/12))))-(IF(OR(N104="",N104&lt;=0),0,(O104/N104)*(IF(OR(N104="",N104&lt;=0),0,IF((YEAR(D104)+18)&lt;YEAR(E104),0,IF((YEAR(D104)+18)&gt;=YEAR(E104)+N104,0,IF((YEAR(D104)+18)=YEAR(E104),(12-MONTH(E104)+1)/12,1))))))))*TaxRate,0))-IF(18=0,O104,0))</f>
        <v/>
      </c>
      <c r="AL104" s="29">
        <f>IF(A104="","",((K104)*(IF(M104="",L104,IFERROR(IF(INDEX(Variablen!$I:$AT, MATCH(M104, Variablen!$A:$A, 0), MATCH((YEAR(D104)+19), Variablen!$I$3:$AT$3, 0))="",L104,INDEX(Variablen!$I:$AT, MATCH(M104, Variablen!$A:$A, 0), MATCH((YEAR(D104)+19), Variablen!$I$3:$AT$3, 0))),L104)))*(IF((YEAR(D104)+19)&lt;YEAR(E104),0,IF((YEAR(D104)+19)&gt;YEAR(E104),1,(12-MONTH(E104)+1)/12))) + (Q104)*(IF((YEAR(D104)+19)&lt;YEAR(E104),0,IF((YEAR(D104)+19)&gt;YEAR(E104),1,(12-MONTH(E104)+1)/12))))-((P104)*(IF((YEAR(D104)+19)&lt;YEAR(E104),0,IF((YEAR(D104)+19)&gt;YEAR(E104),1,(12-MONTH(E104)+1)/12))) + (R104)*(IF((YEAR(D104)+19)&lt;YEAR(E104),0,IF((YEAR(D104)+19)&gt;YEAR(E104),1,(12-MONTH(E104)+1)/12))))-(IF((((K104)*(IF(M104="",L104,IFERROR(IF(INDEX(Variablen!$I:$AT, MATCH(M104, Variablen!$A:$A, 0), MATCH((YEAR(D104)+19), Variablen!$I$3:$AT$3, 0))="",L104,INDEX(Variablen!$I:$AT, MATCH(M104, Variablen!$A:$A, 0), MATCH((YEAR(D104)+19), Variablen!$I$3:$AT$3, 0))),L104)))*(IF((YEAR(D104)+19)&lt;YEAR(E104),0,IF((YEAR(D104)+19)&gt;YEAR(E104),1,(12-MONTH(E104)+1)/12))) + (Q104)*(IF((YEAR(D104)+19)&lt;YEAR(E104),0,IF((YEAR(D104)+19)&gt;YEAR(E104),1,(12-MONTH(E104)+1)/12))))-((P104)*(IF((YEAR(D104)+19)&lt;YEAR(E104),0,IF((YEAR(D104)+19)&gt;YEAR(E104),1,(12-MONTH(E104)+1)/12))) + (R104)*(IF((YEAR(D104)+19)&lt;YEAR(E104),0,IF((YEAR(D104)+19)&gt;YEAR(E104),1,(12-MONTH(E104)+1)/12))))-(IF(OR(N104="",N104&lt;=0),0,(O104/N104)*(IF(OR(N104="",N104&lt;=0),0,IF((YEAR(D104)+19)&lt;YEAR(E104),0,IF((YEAR(D104)+19)&gt;=YEAR(E104)+N104,0,IF((YEAR(D104)+19)=YEAR(E104),(12-MONTH(E104)+1)/12,1))))))))&gt;0,(((K104)*(IF(M104="",L104,IFERROR(IF(INDEX(Variablen!$I:$AT, MATCH(M104, Variablen!$A:$A, 0), MATCH((YEAR(D104)+19), Variablen!$I$3:$AT$3, 0))="",L104,INDEX(Variablen!$I:$AT, MATCH(M104, Variablen!$A:$A, 0), MATCH((YEAR(D104)+19), Variablen!$I$3:$AT$3, 0))),L104)))*(IF((YEAR(D104)+19)&lt;YEAR(E104),0,IF((YEAR(D104)+19)&gt;YEAR(E104),1,(12-MONTH(E104)+1)/12))) + (Q104)*(IF((YEAR(D104)+19)&lt;YEAR(E104),0,IF((YEAR(D104)+19)&gt;YEAR(E104),1,(12-MONTH(E104)+1)/12))))-((P104)*(IF((YEAR(D104)+19)&lt;YEAR(E104),0,IF((YEAR(D104)+19)&gt;YEAR(E104),1,(12-MONTH(E104)+1)/12))) + (R104)*(IF((YEAR(D104)+19)&lt;YEAR(E104),0,IF((YEAR(D104)+19)&gt;YEAR(E104),1,(12-MONTH(E104)+1)/12))))-(IF(OR(N104="",N104&lt;=0),0,(O104/N104)*(IF(OR(N104="",N104&lt;=0),0,IF((YEAR(D104)+19)&lt;YEAR(E104),0,IF((YEAR(D104)+19)&gt;=YEAR(E104)+N104,0,IF((YEAR(D104)+19)=YEAR(E104),(12-MONTH(E104)+1)/12,1))))))))*TaxRate,0))-IF(19=0,O104,0))</f>
        <v/>
      </c>
      <c r="AM104" s="29">
        <f>IF(A104="","",((K104)*(IF(M104="",L104,IFERROR(IF(INDEX(Variablen!$I:$AT, MATCH(M104, Variablen!$A:$A, 0), MATCH((YEAR(D104)+20), Variablen!$I$3:$AT$3, 0))="",L104,INDEX(Variablen!$I:$AT, MATCH(M104, Variablen!$A:$A, 0), MATCH((YEAR(D104)+20), Variablen!$I$3:$AT$3, 0))),L104)))*(IF((YEAR(D104)+20)&lt;YEAR(E104),0,IF((YEAR(D104)+20)&gt;YEAR(E104),1,(12-MONTH(E104)+1)/12))) + (Q104)*(IF((YEAR(D104)+20)&lt;YEAR(E104),0,IF((YEAR(D104)+20)&gt;YEAR(E104),1,(12-MONTH(E104)+1)/12))))-((P104)*(IF((YEAR(D104)+20)&lt;YEAR(E104),0,IF((YEAR(D104)+20)&gt;YEAR(E104),1,(12-MONTH(E104)+1)/12))) + (R104)*(IF((YEAR(D104)+20)&lt;YEAR(E104),0,IF((YEAR(D104)+20)&gt;YEAR(E104),1,(12-MONTH(E104)+1)/12))))-(IF((((K104)*(IF(M104="",L104,IFERROR(IF(INDEX(Variablen!$I:$AT, MATCH(M104, Variablen!$A:$A, 0), MATCH((YEAR(D104)+20), Variablen!$I$3:$AT$3, 0))="",L104,INDEX(Variablen!$I:$AT, MATCH(M104, Variablen!$A:$A, 0), MATCH((YEAR(D104)+20), Variablen!$I$3:$AT$3, 0))),L104)))*(IF((YEAR(D104)+20)&lt;YEAR(E104),0,IF((YEAR(D104)+20)&gt;YEAR(E104),1,(12-MONTH(E104)+1)/12))) + (Q104)*(IF((YEAR(D104)+20)&lt;YEAR(E104),0,IF((YEAR(D104)+20)&gt;YEAR(E104),1,(12-MONTH(E104)+1)/12))))-((P104)*(IF((YEAR(D104)+20)&lt;YEAR(E104),0,IF((YEAR(D104)+20)&gt;YEAR(E104),1,(12-MONTH(E104)+1)/12))) + (R104)*(IF((YEAR(D104)+20)&lt;YEAR(E104),0,IF((YEAR(D104)+20)&gt;YEAR(E104),1,(12-MONTH(E104)+1)/12))))-(IF(OR(N104="",N104&lt;=0),0,(O104/N104)*(IF(OR(N104="",N104&lt;=0),0,IF((YEAR(D104)+20)&lt;YEAR(E104),0,IF((YEAR(D104)+20)&gt;=YEAR(E104)+N104,0,IF((YEAR(D104)+20)=YEAR(E104),(12-MONTH(E104)+1)/12,1))))))))&gt;0,(((K104)*(IF(M104="",L104,IFERROR(IF(INDEX(Variablen!$I:$AT, MATCH(M104, Variablen!$A:$A, 0), MATCH((YEAR(D104)+20), Variablen!$I$3:$AT$3, 0))="",L104,INDEX(Variablen!$I:$AT, MATCH(M104, Variablen!$A:$A, 0), MATCH((YEAR(D104)+20), Variablen!$I$3:$AT$3, 0))),L104)))*(IF((YEAR(D104)+20)&lt;YEAR(E104),0,IF((YEAR(D104)+20)&gt;YEAR(E104),1,(12-MONTH(E104)+1)/12))) + (Q104)*(IF((YEAR(D104)+20)&lt;YEAR(E104),0,IF((YEAR(D104)+20)&gt;YEAR(E104),1,(12-MONTH(E104)+1)/12))))-((P104)*(IF((YEAR(D104)+20)&lt;YEAR(E104),0,IF((YEAR(D104)+20)&gt;YEAR(E104),1,(12-MONTH(E104)+1)/12))) + (R104)*(IF((YEAR(D104)+20)&lt;YEAR(E104),0,IF((YEAR(D104)+20)&gt;YEAR(E104),1,(12-MONTH(E104)+1)/12))))-(IF(OR(N104="",N104&lt;=0),0,(O104/N104)*(IF(OR(N104="",N104&lt;=0),0,IF((YEAR(D104)+20)&lt;YEAR(E104),0,IF((YEAR(D104)+20)&gt;=YEAR(E104)+N104,0,IF((YEAR(D104)+20)=YEAR(E104),(12-MONTH(E104)+1)/12,1))))))))*TaxRate,0))-IF(20=0,O104,0))</f>
        <v/>
      </c>
      <c r="AN104" s="29">
        <f>IF(A104="","",S104)</f>
        <v/>
      </c>
      <c r="AO104" s="29">
        <f>IF(A104="","",AN104+T104)</f>
        <v/>
      </c>
      <c r="AP104" s="29">
        <f>IF(A104="","",AO104+U104)</f>
        <v/>
      </c>
      <c r="AQ104" s="29">
        <f>IF(A104="","",AP104+V104)</f>
        <v/>
      </c>
      <c r="AR104" s="29">
        <f>IF(A104="","",AQ104+W104)</f>
        <v/>
      </c>
      <c r="AS104" s="29">
        <f>IF(A104="","",AR104+X104)</f>
        <v/>
      </c>
      <c r="AT104" s="29">
        <f>IF(A104="","",AS104+Y104)</f>
        <v/>
      </c>
      <c r="AU104" s="29">
        <f>IF(A104="","",AT104+Z104)</f>
        <v/>
      </c>
      <c r="AV104" s="29">
        <f>IF(A104="","",AU104+AA104)</f>
        <v/>
      </c>
      <c r="AW104" s="29">
        <f>IF(A104="","",AV104+AB104)</f>
        <v/>
      </c>
      <c r="AX104" s="29">
        <f>IF(A104="","",AW104+AC104)</f>
        <v/>
      </c>
      <c r="AY104" s="29">
        <f>IF(A104="","",AX104+AD104)</f>
        <v/>
      </c>
      <c r="AZ104" s="29">
        <f>IF(A104="","",AY104+AE104)</f>
        <v/>
      </c>
      <c r="BA104" s="29">
        <f>IF(A104="","",AZ104+AF104)</f>
        <v/>
      </c>
      <c r="BB104" s="29">
        <f>IF(A104="","",BA104+AG104)</f>
        <v/>
      </c>
      <c r="BC104" s="29">
        <f>IF(A104="","",BB104+AH104)</f>
        <v/>
      </c>
      <c r="BD104" s="29">
        <f>IF(A104="","",BC104+AI104)</f>
        <v/>
      </c>
      <c r="BE104" s="29">
        <f>IF(A104="","",BD104+AJ104)</f>
        <v/>
      </c>
      <c r="BF104" s="29">
        <f>IF(A104="","",BE104+AK104)</f>
        <v/>
      </c>
      <c r="BG104" s="29">
        <f>IF(A104="","",BF104+AL104)</f>
        <v/>
      </c>
      <c r="BH104" s="29">
        <f>IF(A104="","",BG104+AM104)</f>
        <v/>
      </c>
      <c r="BI104" s="36">
        <f>IF(A104="","",(K104)*(IF((YEAR(D104)+0)&lt;YEAR(E104),0,IF((YEAR(D104)+0)&gt;YEAR(E104),1,(12-MONTH(E104)+1)/12)))*(1/(1+DiscountRate)^0))</f>
        <v/>
      </c>
      <c r="BJ104" s="36">
        <f>IF(A104="","",(K104)*(IF((YEAR(D104)+1)&lt;YEAR(E104),0,IF((YEAR(D104)+1)&gt;YEAR(E104),1,(12-MONTH(E104)+1)/12)))*(1/(1+DiscountRate)^1))</f>
        <v/>
      </c>
      <c r="BK104" s="36">
        <f>IF(A104="","",(K104)*(IF((YEAR(D104)+2)&lt;YEAR(E104),0,IF((YEAR(D104)+2)&gt;YEAR(E104),1,(12-MONTH(E104)+1)/12)))*(1/(1+DiscountRate)^2))</f>
        <v/>
      </c>
      <c r="BL104" s="36">
        <f>IF(A104="","",(K104)*(IF((YEAR(D104)+3)&lt;YEAR(E104),0,IF((YEAR(D104)+3)&gt;YEAR(E104),1,(12-MONTH(E104)+1)/12)))*(1/(1+DiscountRate)^3))</f>
        <v/>
      </c>
      <c r="BM104" s="36">
        <f>IF(A104="","",(K104)*(IF((YEAR(D104)+4)&lt;YEAR(E104),0,IF((YEAR(D104)+4)&gt;YEAR(E104),1,(12-MONTH(E104)+1)/12)))*(1/(1+DiscountRate)^4))</f>
        <v/>
      </c>
      <c r="BN104" s="36">
        <f>IF(A104="","",(K104)*(IF((YEAR(D104)+5)&lt;YEAR(E104),0,IF((YEAR(D104)+5)&gt;YEAR(E104),1,(12-MONTH(E104)+1)/12)))*(1/(1+DiscountRate)^5))</f>
        <v/>
      </c>
      <c r="BO104" s="36">
        <f>IF(A104="","",(K104)*(IF((YEAR(D104)+6)&lt;YEAR(E104),0,IF((YEAR(D104)+6)&gt;YEAR(E104),1,(12-MONTH(E104)+1)/12)))*(1/(1+DiscountRate)^6))</f>
        <v/>
      </c>
      <c r="BP104" s="36">
        <f>IF(A104="","",(K104)*(IF((YEAR(D104)+7)&lt;YEAR(E104),0,IF((YEAR(D104)+7)&gt;YEAR(E104),1,(12-MONTH(E104)+1)/12)))*(1/(1+DiscountRate)^7))</f>
        <v/>
      </c>
      <c r="BQ104" s="36">
        <f>IF(A104="","",(K104)*(IF((YEAR(D104)+8)&lt;YEAR(E104),0,IF((YEAR(D104)+8)&gt;YEAR(E104),1,(12-MONTH(E104)+1)/12)))*(1/(1+DiscountRate)^8))</f>
        <v/>
      </c>
      <c r="BR104" s="36">
        <f>IF(A104="","",(K104)*(IF((YEAR(D104)+9)&lt;YEAR(E104),0,IF((YEAR(D104)+9)&gt;YEAR(E104),1,(12-MONTH(E104)+1)/12)))*(1/(1+DiscountRate)^9))</f>
        <v/>
      </c>
      <c r="BS104" s="36">
        <f>IF(A104="","",(K104)*(IF((YEAR(D104)+10)&lt;YEAR(E104),0,IF((YEAR(D104)+10)&gt;YEAR(E104),1,(12-MONTH(E104)+1)/12)))*(1/(1+DiscountRate)^10))</f>
        <v/>
      </c>
      <c r="BT104" s="36">
        <f>IF(A104="","",(K104)*(IF((YEAR(D104)+11)&lt;YEAR(E104),0,IF((YEAR(D104)+11)&gt;YEAR(E104),1,(12-MONTH(E104)+1)/12)))*(1/(1+DiscountRate)^11))</f>
        <v/>
      </c>
      <c r="BU104" s="36">
        <f>IF(A104="","",(K104)*(IF((YEAR(D104)+12)&lt;YEAR(E104),0,IF((YEAR(D104)+12)&gt;YEAR(E104),1,(12-MONTH(E104)+1)/12)))*(1/(1+DiscountRate)^12))</f>
        <v/>
      </c>
      <c r="BV104" s="36">
        <f>IF(A104="","",(K104)*(IF((YEAR(D104)+13)&lt;YEAR(E104),0,IF((YEAR(D104)+13)&gt;YEAR(E104),1,(12-MONTH(E104)+1)/12)))*(1/(1+DiscountRate)^13))</f>
        <v/>
      </c>
      <c r="BW104" s="36">
        <f>IF(A104="","",(K104)*(IF((YEAR(D104)+14)&lt;YEAR(E104),0,IF((YEAR(D104)+14)&gt;YEAR(E104),1,(12-MONTH(E104)+1)/12)))*(1/(1+DiscountRate)^14))</f>
        <v/>
      </c>
      <c r="BX104" s="36">
        <f>IF(A104="","",(K104)*(IF((YEAR(D104)+15)&lt;YEAR(E104),0,IF((YEAR(D104)+15)&gt;YEAR(E104),1,(12-MONTH(E104)+1)/12)))*(1/(1+DiscountRate)^15))</f>
        <v/>
      </c>
      <c r="BY104" s="36">
        <f>IF(A104="","",(K104)*(IF((YEAR(D104)+16)&lt;YEAR(E104),0,IF((YEAR(D104)+16)&gt;YEAR(E104),1,(12-MONTH(E104)+1)/12)))*(1/(1+DiscountRate)^16))</f>
        <v/>
      </c>
      <c r="BZ104" s="36">
        <f>IF(A104="","",(K104)*(IF((YEAR(D104)+17)&lt;YEAR(E104),0,IF((YEAR(D104)+17)&gt;YEAR(E104),1,(12-MONTH(E104)+1)/12)))*(1/(1+DiscountRate)^17))</f>
        <v/>
      </c>
      <c r="CA104" s="36">
        <f>IF(A104="","",(K104)*(IF((YEAR(D104)+18)&lt;YEAR(E104),0,IF((YEAR(D104)+18)&gt;YEAR(E104),1,(12-MONTH(E104)+1)/12)))*(1/(1+DiscountRate)^18))</f>
        <v/>
      </c>
      <c r="CB104" s="36">
        <f>IF(A104="","",(K104)*(IF((YEAR(D104)+19)&lt;YEAR(E104),0,IF((YEAR(D104)+19)&gt;YEAR(E104),1,(12-MONTH(E104)+1)/12)))*(1/(1+DiscountRate)^19))</f>
        <v/>
      </c>
      <c r="CC104" s="36">
        <f>IF(A104="","",(K104)*(IF((YEAR(D104)+20)&lt;YEAR(E104),0,IF((YEAR(D104)+20)&gt;YEAR(E104),1,(12-MONTH(E104)+1)/12)))*(1/(1+DiscountRate)^20))</f>
        <v/>
      </c>
      <c r="CD104" s="29">
        <f>IF(A104="","",S104/(1+DiscountRate)^0+T104/(1+DiscountRate)^1+U104/(1+DiscountRate)^2+V104/(1+DiscountRate)^3+W104/(1+DiscountRate)^4+X104/(1+DiscountRate)^5+Y104/(1+DiscountRate)^6+Z104/(1+DiscountRate)^7+AA104/(1+DiscountRate)^8+AB104/(1+DiscountRate)^9+AC104/(1+DiscountRate)^10+AD104/(1+DiscountRate)^11+AE104/(1+DiscountRate)^12+AF104/(1+DiscountRate)^13+AG104/(1+DiscountRate)^14+AH104/(1+DiscountRate)^15+AI104/(1+DiscountRate)^16+AJ104/(1+DiscountRate)^17+AK104/(1+DiscountRate)^18+AL104/(1+DiscountRate)^19+AM104/(1+DiscountRate)^20)</f>
        <v/>
      </c>
      <c r="CE104" s="37">
        <f>IF(A104="","",IFERROR(IRR(OFFSET(S104,0,0,1,MIN(HorizonYears,20)+1)),"n/a"))</f>
        <v/>
      </c>
      <c r="CF104" s="28">
        <f>IF(A104="","",IFERROR(MATCH(TRUE,OFFSET(AN104,0,0,1,MIN(HorizonYears,20)+1)&gt;=0,0)-1,"n/a"))</f>
        <v/>
      </c>
      <c r="CG104" s="36">
        <f>IF(A104="","",SUM(OFFSET(BI104,0,0,1,MIN(HorizonYears,20)+1)))</f>
        <v/>
      </c>
      <c r="CH104" s="36">
        <f>IF(A104="","",IFERROR(-CD104/CG104,"n/a"))</f>
        <v/>
      </c>
    </row>
    <row r="105">
      <c r="A105" s="6">
        <f>Actions!A103</f>
        <v/>
      </c>
      <c r="B105" s="6">
        <f>Actions!B103</f>
        <v/>
      </c>
      <c r="C105" s="6">
        <f>Actions!D103</f>
        <v/>
      </c>
      <c r="D105" s="35">
        <f>Actions!E103</f>
        <v/>
      </c>
      <c r="E105" s="35">
        <f>Actions!F103</f>
        <v/>
      </c>
      <c r="F105" s="6">
        <f>Actions!G103</f>
        <v/>
      </c>
      <c r="G105" s="6">
        <f>Actions!H103</f>
        <v/>
      </c>
      <c r="H105" s="29">
        <f>Actions!I103</f>
        <v/>
      </c>
      <c r="I105" s="6">
        <f>Actions!J103</f>
        <v/>
      </c>
      <c r="J105" s="16">
        <f>Actions!K103</f>
        <v/>
      </c>
      <c r="K105" s="16">
        <f>IF(A105="","",IF(I105="%",H105*J105,J105))</f>
        <v/>
      </c>
      <c r="L105" s="16">
        <f>Actions!L103</f>
        <v/>
      </c>
      <c r="M105" s="6">
        <f>Actions!M103</f>
        <v/>
      </c>
      <c r="N105" s="28">
        <f>Actions!N103</f>
        <v/>
      </c>
      <c r="O105" s="29">
        <f>Actions!T103</f>
        <v/>
      </c>
      <c r="P105" s="29">
        <f>Actions!Y103</f>
        <v/>
      </c>
      <c r="Q105" s="29">
        <f>Actions!Z103</f>
        <v/>
      </c>
      <c r="R105" s="29">
        <f>Actions!AA103</f>
        <v/>
      </c>
      <c r="S105" s="29">
        <f>IF(A105="","",((K105)*(IF(M105="",L105,IFERROR(IF(INDEX(Variablen!$I:$AT, MATCH(M105, Variablen!$A:$A, 0), MATCH((YEAR(D105)+0), Variablen!$I$3:$AT$3, 0))="",L105,INDEX(Variablen!$I:$AT, MATCH(M105, Variablen!$A:$A, 0), MATCH((YEAR(D105)+0), Variablen!$I$3:$AT$3, 0))),L105)))*(IF((YEAR(D105)+0)&lt;YEAR(E105),0,IF((YEAR(D105)+0)&gt;YEAR(E105),1,(12-MONTH(E105)+1)/12))) + (Q105)*(IF((YEAR(D105)+0)&lt;YEAR(E105),0,IF((YEAR(D105)+0)&gt;YEAR(E105),1,(12-MONTH(E105)+1)/12))))-((P105)*(IF((YEAR(D105)+0)&lt;YEAR(E105),0,IF((YEAR(D105)+0)&gt;YEAR(E105),1,(12-MONTH(E105)+1)/12))) + (R105)*(IF((YEAR(D105)+0)&lt;YEAR(E105),0,IF((YEAR(D105)+0)&gt;YEAR(E105),1,(12-MONTH(E105)+1)/12))))-(IF((((K105)*(IF(M105="",L105,IFERROR(IF(INDEX(Variablen!$I:$AT, MATCH(M105, Variablen!$A:$A, 0), MATCH((YEAR(D105)+0), Variablen!$I$3:$AT$3, 0))="",L105,INDEX(Variablen!$I:$AT, MATCH(M105, Variablen!$A:$A, 0), MATCH((YEAR(D105)+0), Variablen!$I$3:$AT$3, 0))),L105)))*(IF((YEAR(D105)+0)&lt;YEAR(E105),0,IF((YEAR(D105)+0)&gt;YEAR(E105),1,(12-MONTH(E105)+1)/12))) + (Q105)*(IF((YEAR(D105)+0)&lt;YEAR(E105),0,IF((YEAR(D105)+0)&gt;YEAR(E105),1,(12-MONTH(E105)+1)/12))))-((P105)*(IF((YEAR(D105)+0)&lt;YEAR(E105),0,IF((YEAR(D105)+0)&gt;YEAR(E105),1,(12-MONTH(E105)+1)/12))) + (R105)*(IF((YEAR(D105)+0)&lt;YEAR(E105),0,IF((YEAR(D105)+0)&gt;YEAR(E105),1,(12-MONTH(E105)+1)/12))))-(IF(OR(N105="",N105&lt;=0),0,(O105/N105)*(IF(OR(N105="",N105&lt;=0),0,IF((YEAR(D105)+0)&lt;YEAR(E105),0,IF((YEAR(D105)+0)&gt;=YEAR(E105)+N105,0,IF((YEAR(D105)+0)=YEAR(E105),(12-MONTH(E105)+1)/12,1))))))))&gt;0,(((K105)*(IF(M105="",L105,IFERROR(IF(INDEX(Variablen!$I:$AT, MATCH(M105, Variablen!$A:$A, 0), MATCH((YEAR(D105)+0), Variablen!$I$3:$AT$3, 0))="",L105,INDEX(Variablen!$I:$AT, MATCH(M105, Variablen!$A:$A, 0), MATCH((YEAR(D105)+0), Variablen!$I$3:$AT$3, 0))),L105)))*(IF((YEAR(D105)+0)&lt;YEAR(E105),0,IF((YEAR(D105)+0)&gt;YEAR(E105),1,(12-MONTH(E105)+1)/12))) + (Q105)*(IF((YEAR(D105)+0)&lt;YEAR(E105),0,IF((YEAR(D105)+0)&gt;YEAR(E105),1,(12-MONTH(E105)+1)/12))))-((P105)*(IF((YEAR(D105)+0)&lt;YEAR(E105),0,IF((YEAR(D105)+0)&gt;YEAR(E105),1,(12-MONTH(E105)+1)/12))) + (R105)*(IF((YEAR(D105)+0)&lt;YEAR(E105),0,IF((YEAR(D105)+0)&gt;YEAR(E105),1,(12-MONTH(E105)+1)/12))))-(IF(OR(N105="",N105&lt;=0),0,(O105/N105)*(IF(OR(N105="",N105&lt;=0),0,IF((YEAR(D105)+0)&lt;YEAR(E105),0,IF((YEAR(D105)+0)&gt;=YEAR(E105)+N105,0,IF((YEAR(D105)+0)=YEAR(E105),(12-MONTH(E105)+1)/12,1))))))))*TaxRate,0))-IF(0=0,O105,0))</f>
        <v/>
      </c>
      <c r="T105" s="29">
        <f>IF(A105="","",((K105)*(IF(M105="",L105,IFERROR(IF(INDEX(Variablen!$I:$AT, MATCH(M105, Variablen!$A:$A, 0), MATCH((YEAR(D105)+1), Variablen!$I$3:$AT$3, 0))="",L105,INDEX(Variablen!$I:$AT, MATCH(M105, Variablen!$A:$A, 0), MATCH((YEAR(D105)+1), Variablen!$I$3:$AT$3, 0))),L105)))*(IF((YEAR(D105)+1)&lt;YEAR(E105),0,IF((YEAR(D105)+1)&gt;YEAR(E105),1,(12-MONTH(E105)+1)/12))) + (Q105)*(IF((YEAR(D105)+1)&lt;YEAR(E105),0,IF((YEAR(D105)+1)&gt;YEAR(E105),1,(12-MONTH(E105)+1)/12))))-((P105)*(IF((YEAR(D105)+1)&lt;YEAR(E105),0,IF((YEAR(D105)+1)&gt;YEAR(E105),1,(12-MONTH(E105)+1)/12))) + (R105)*(IF((YEAR(D105)+1)&lt;YEAR(E105),0,IF((YEAR(D105)+1)&gt;YEAR(E105),1,(12-MONTH(E105)+1)/12))))-(IF((((K105)*(IF(M105="",L105,IFERROR(IF(INDEX(Variablen!$I:$AT, MATCH(M105, Variablen!$A:$A, 0), MATCH((YEAR(D105)+1), Variablen!$I$3:$AT$3, 0))="",L105,INDEX(Variablen!$I:$AT, MATCH(M105, Variablen!$A:$A, 0), MATCH((YEAR(D105)+1), Variablen!$I$3:$AT$3, 0))),L105)))*(IF((YEAR(D105)+1)&lt;YEAR(E105),0,IF((YEAR(D105)+1)&gt;YEAR(E105),1,(12-MONTH(E105)+1)/12))) + (Q105)*(IF((YEAR(D105)+1)&lt;YEAR(E105),0,IF((YEAR(D105)+1)&gt;YEAR(E105),1,(12-MONTH(E105)+1)/12))))-((P105)*(IF((YEAR(D105)+1)&lt;YEAR(E105),0,IF((YEAR(D105)+1)&gt;YEAR(E105),1,(12-MONTH(E105)+1)/12))) + (R105)*(IF((YEAR(D105)+1)&lt;YEAR(E105),0,IF((YEAR(D105)+1)&gt;YEAR(E105),1,(12-MONTH(E105)+1)/12))))-(IF(OR(N105="",N105&lt;=0),0,(O105/N105)*(IF(OR(N105="",N105&lt;=0),0,IF((YEAR(D105)+1)&lt;YEAR(E105),0,IF((YEAR(D105)+1)&gt;=YEAR(E105)+N105,0,IF((YEAR(D105)+1)=YEAR(E105),(12-MONTH(E105)+1)/12,1))))))))&gt;0,(((K105)*(IF(M105="",L105,IFERROR(IF(INDEX(Variablen!$I:$AT, MATCH(M105, Variablen!$A:$A, 0), MATCH((YEAR(D105)+1), Variablen!$I$3:$AT$3, 0))="",L105,INDEX(Variablen!$I:$AT, MATCH(M105, Variablen!$A:$A, 0), MATCH((YEAR(D105)+1), Variablen!$I$3:$AT$3, 0))),L105)))*(IF((YEAR(D105)+1)&lt;YEAR(E105),0,IF((YEAR(D105)+1)&gt;YEAR(E105),1,(12-MONTH(E105)+1)/12))) + (Q105)*(IF((YEAR(D105)+1)&lt;YEAR(E105),0,IF((YEAR(D105)+1)&gt;YEAR(E105),1,(12-MONTH(E105)+1)/12))))-((P105)*(IF((YEAR(D105)+1)&lt;YEAR(E105),0,IF((YEAR(D105)+1)&gt;YEAR(E105),1,(12-MONTH(E105)+1)/12))) + (R105)*(IF((YEAR(D105)+1)&lt;YEAR(E105),0,IF((YEAR(D105)+1)&gt;YEAR(E105),1,(12-MONTH(E105)+1)/12))))-(IF(OR(N105="",N105&lt;=0),0,(O105/N105)*(IF(OR(N105="",N105&lt;=0),0,IF((YEAR(D105)+1)&lt;YEAR(E105),0,IF((YEAR(D105)+1)&gt;=YEAR(E105)+N105,0,IF((YEAR(D105)+1)=YEAR(E105),(12-MONTH(E105)+1)/12,1))))))))*TaxRate,0))-IF(1=0,O105,0))</f>
        <v/>
      </c>
      <c r="U105" s="29">
        <f>IF(A105="","",((K105)*(IF(M105="",L105,IFERROR(IF(INDEX(Variablen!$I:$AT, MATCH(M105, Variablen!$A:$A, 0), MATCH((YEAR(D105)+2), Variablen!$I$3:$AT$3, 0))="",L105,INDEX(Variablen!$I:$AT, MATCH(M105, Variablen!$A:$A, 0), MATCH((YEAR(D105)+2), Variablen!$I$3:$AT$3, 0))),L105)))*(IF((YEAR(D105)+2)&lt;YEAR(E105),0,IF((YEAR(D105)+2)&gt;YEAR(E105),1,(12-MONTH(E105)+1)/12))) + (Q105)*(IF((YEAR(D105)+2)&lt;YEAR(E105),0,IF((YEAR(D105)+2)&gt;YEAR(E105),1,(12-MONTH(E105)+1)/12))))-((P105)*(IF((YEAR(D105)+2)&lt;YEAR(E105),0,IF((YEAR(D105)+2)&gt;YEAR(E105),1,(12-MONTH(E105)+1)/12))) + (R105)*(IF((YEAR(D105)+2)&lt;YEAR(E105),0,IF((YEAR(D105)+2)&gt;YEAR(E105),1,(12-MONTH(E105)+1)/12))))-(IF((((K105)*(IF(M105="",L105,IFERROR(IF(INDEX(Variablen!$I:$AT, MATCH(M105, Variablen!$A:$A, 0), MATCH((YEAR(D105)+2), Variablen!$I$3:$AT$3, 0))="",L105,INDEX(Variablen!$I:$AT, MATCH(M105, Variablen!$A:$A, 0), MATCH((YEAR(D105)+2), Variablen!$I$3:$AT$3, 0))),L105)))*(IF((YEAR(D105)+2)&lt;YEAR(E105),0,IF((YEAR(D105)+2)&gt;YEAR(E105),1,(12-MONTH(E105)+1)/12))) + (Q105)*(IF((YEAR(D105)+2)&lt;YEAR(E105),0,IF((YEAR(D105)+2)&gt;YEAR(E105),1,(12-MONTH(E105)+1)/12))))-((P105)*(IF((YEAR(D105)+2)&lt;YEAR(E105),0,IF((YEAR(D105)+2)&gt;YEAR(E105),1,(12-MONTH(E105)+1)/12))) + (R105)*(IF((YEAR(D105)+2)&lt;YEAR(E105),0,IF((YEAR(D105)+2)&gt;YEAR(E105),1,(12-MONTH(E105)+1)/12))))-(IF(OR(N105="",N105&lt;=0),0,(O105/N105)*(IF(OR(N105="",N105&lt;=0),0,IF((YEAR(D105)+2)&lt;YEAR(E105),0,IF((YEAR(D105)+2)&gt;=YEAR(E105)+N105,0,IF((YEAR(D105)+2)=YEAR(E105),(12-MONTH(E105)+1)/12,1))))))))&gt;0,(((K105)*(IF(M105="",L105,IFERROR(IF(INDEX(Variablen!$I:$AT, MATCH(M105, Variablen!$A:$A, 0), MATCH((YEAR(D105)+2), Variablen!$I$3:$AT$3, 0))="",L105,INDEX(Variablen!$I:$AT, MATCH(M105, Variablen!$A:$A, 0), MATCH((YEAR(D105)+2), Variablen!$I$3:$AT$3, 0))),L105)))*(IF((YEAR(D105)+2)&lt;YEAR(E105),0,IF((YEAR(D105)+2)&gt;YEAR(E105),1,(12-MONTH(E105)+1)/12))) + (Q105)*(IF((YEAR(D105)+2)&lt;YEAR(E105),0,IF((YEAR(D105)+2)&gt;YEAR(E105),1,(12-MONTH(E105)+1)/12))))-((P105)*(IF((YEAR(D105)+2)&lt;YEAR(E105),0,IF((YEAR(D105)+2)&gt;YEAR(E105),1,(12-MONTH(E105)+1)/12))) + (R105)*(IF((YEAR(D105)+2)&lt;YEAR(E105),0,IF((YEAR(D105)+2)&gt;YEAR(E105),1,(12-MONTH(E105)+1)/12))))-(IF(OR(N105="",N105&lt;=0),0,(O105/N105)*(IF(OR(N105="",N105&lt;=0),0,IF((YEAR(D105)+2)&lt;YEAR(E105),0,IF((YEAR(D105)+2)&gt;=YEAR(E105)+N105,0,IF((YEAR(D105)+2)=YEAR(E105),(12-MONTH(E105)+1)/12,1))))))))*TaxRate,0))-IF(2=0,O105,0))</f>
        <v/>
      </c>
      <c r="V105" s="29">
        <f>IF(A105="","",((K105)*(IF(M105="",L105,IFERROR(IF(INDEX(Variablen!$I:$AT, MATCH(M105, Variablen!$A:$A, 0), MATCH((YEAR(D105)+3), Variablen!$I$3:$AT$3, 0))="",L105,INDEX(Variablen!$I:$AT, MATCH(M105, Variablen!$A:$A, 0), MATCH((YEAR(D105)+3), Variablen!$I$3:$AT$3, 0))),L105)))*(IF((YEAR(D105)+3)&lt;YEAR(E105),0,IF((YEAR(D105)+3)&gt;YEAR(E105),1,(12-MONTH(E105)+1)/12))) + (Q105)*(IF((YEAR(D105)+3)&lt;YEAR(E105),0,IF((YEAR(D105)+3)&gt;YEAR(E105),1,(12-MONTH(E105)+1)/12))))-((P105)*(IF((YEAR(D105)+3)&lt;YEAR(E105),0,IF((YEAR(D105)+3)&gt;YEAR(E105),1,(12-MONTH(E105)+1)/12))) + (R105)*(IF((YEAR(D105)+3)&lt;YEAR(E105),0,IF((YEAR(D105)+3)&gt;YEAR(E105),1,(12-MONTH(E105)+1)/12))))-(IF((((K105)*(IF(M105="",L105,IFERROR(IF(INDEX(Variablen!$I:$AT, MATCH(M105, Variablen!$A:$A, 0), MATCH((YEAR(D105)+3), Variablen!$I$3:$AT$3, 0))="",L105,INDEX(Variablen!$I:$AT, MATCH(M105, Variablen!$A:$A, 0), MATCH((YEAR(D105)+3), Variablen!$I$3:$AT$3, 0))),L105)))*(IF((YEAR(D105)+3)&lt;YEAR(E105),0,IF((YEAR(D105)+3)&gt;YEAR(E105),1,(12-MONTH(E105)+1)/12))) + (Q105)*(IF((YEAR(D105)+3)&lt;YEAR(E105),0,IF((YEAR(D105)+3)&gt;YEAR(E105),1,(12-MONTH(E105)+1)/12))))-((P105)*(IF((YEAR(D105)+3)&lt;YEAR(E105),0,IF((YEAR(D105)+3)&gt;YEAR(E105),1,(12-MONTH(E105)+1)/12))) + (R105)*(IF((YEAR(D105)+3)&lt;YEAR(E105),0,IF((YEAR(D105)+3)&gt;YEAR(E105),1,(12-MONTH(E105)+1)/12))))-(IF(OR(N105="",N105&lt;=0),0,(O105/N105)*(IF(OR(N105="",N105&lt;=0),0,IF((YEAR(D105)+3)&lt;YEAR(E105),0,IF((YEAR(D105)+3)&gt;=YEAR(E105)+N105,0,IF((YEAR(D105)+3)=YEAR(E105),(12-MONTH(E105)+1)/12,1))))))))&gt;0,(((K105)*(IF(M105="",L105,IFERROR(IF(INDEX(Variablen!$I:$AT, MATCH(M105, Variablen!$A:$A, 0), MATCH((YEAR(D105)+3), Variablen!$I$3:$AT$3, 0))="",L105,INDEX(Variablen!$I:$AT, MATCH(M105, Variablen!$A:$A, 0), MATCH((YEAR(D105)+3), Variablen!$I$3:$AT$3, 0))),L105)))*(IF((YEAR(D105)+3)&lt;YEAR(E105),0,IF((YEAR(D105)+3)&gt;YEAR(E105),1,(12-MONTH(E105)+1)/12))) + (Q105)*(IF((YEAR(D105)+3)&lt;YEAR(E105),0,IF((YEAR(D105)+3)&gt;YEAR(E105),1,(12-MONTH(E105)+1)/12))))-((P105)*(IF((YEAR(D105)+3)&lt;YEAR(E105),0,IF((YEAR(D105)+3)&gt;YEAR(E105),1,(12-MONTH(E105)+1)/12))) + (R105)*(IF((YEAR(D105)+3)&lt;YEAR(E105),0,IF((YEAR(D105)+3)&gt;YEAR(E105),1,(12-MONTH(E105)+1)/12))))-(IF(OR(N105="",N105&lt;=0),0,(O105/N105)*(IF(OR(N105="",N105&lt;=0),0,IF((YEAR(D105)+3)&lt;YEAR(E105),0,IF((YEAR(D105)+3)&gt;=YEAR(E105)+N105,0,IF((YEAR(D105)+3)=YEAR(E105),(12-MONTH(E105)+1)/12,1))))))))*TaxRate,0))-IF(3=0,O105,0))</f>
        <v/>
      </c>
      <c r="W105" s="29">
        <f>IF(A105="","",((K105)*(IF(M105="",L105,IFERROR(IF(INDEX(Variablen!$I:$AT, MATCH(M105, Variablen!$A:$A, 0), MATCH((YEAR(D105)+4), Variablen!$I$3:$AT$3, 0))="",L105,INDEX(Variablen!$I:$AT, MATCH(M105, Variablen!$A:$A, 0), MATCH((YEAR(D105)+4), Variablen!$I$3:$AT$3, 0))),L105)))*(IF((YEAR(D105)+4)&lt;YEAR(E105),0,IF((YEAR(D105)+4)&gt;YEAR(E105),1,(12-MONTH(E105)+1)/12))) + (Q105)*(IF((YEAR(D105)+4)&lt;YEAR(E105),0,IF((YEAR(D105)+4)&gt;YEAR(E105),1,(12-MONTH(E105)+1)/12))))-((P105)*(IF((YEAR(D105)+4)&lt;YEAR(E105),0,IF((YEAR(D105)+4)&gt;YEAR(E105),1,(12-MONTH(E105)+1)/12))) + (R105)*(IF((YEAR(D105)+4)&lt;YEAR(E105),0,IF((YEAR(D105)+4)&gt;YEAR(E105),1,(12-MONTH(E105)+1)/12))))-(IF((((K105)*(IF(M105="",L105,IFERROR(IF(INDEX(Variablen!$I:$AT, MATCH(M105, Variablen!$A:$A, 0), MATCH((YEAR(D105)+4), Variablen!$I$3:$AT$3, 0))="",L105,INDEX(Variablen!$I:$AT, MATCH(M105, Variablen!$A:$A, 0), MATCH((YEAR(D105)+4), Variablen!$I$3:$AT$3, 0))),L105)))*(IF((YEAR(D105)+4)&lt;YEAR(E105),0,IF((YEAR(D105)+4)&gt;YEAR(E105),1,(12-MONTH(E105)+1)/12))) + (Q105)*(IF((YEAR(D105)+4)&lt;YEAR(E105),0,IF((YEAR(D105)+4)&gt;YEAR(E105),1,(12-MONTH(E105)+1)/12))))-((P105)*(IF((YEAR(D105)+4)&lt;YEAR(E105),0,IF((YEAR(D105)+4)&gt;YEAR(E105),1,(12-MONTH(E105)+1)/12))) + (R105)*(IF((YEAR(D105)+4)&lt;YEAR(E105),0,IF((YEAR(D105)+4)&gt;YEAR(E105),1,(12-MONTH(E105)+1)/12))))-(IF(OR(N105="",N105&lt;=0),0,(O105/N105)*(IF(OR(N105="",N105&lt;=0),0,IF((YEAR(D105)+4)&lt;YEAR(E105),0,IF((YEAR(D105)+4)&gt;=YEAR(E105)+N105,0,IF((YEAR(D105)+4)=YEAR(E105),(12-MONTH(E105)+1)/12,1))))))))&gt;0,(((K105)*(IF(M105="",L105,IFERROR(IF(INDEX(Variablen!$I:$AT, MATCH(M105, Variablen!$A:$A, 0), MATCH((YEAR(D105)+4), Variablen!$I$3:$AT$3, 0))="",L105,INDEX(Variablen!$I:$AT, MATCH(M105, Variablen!$A:$A, 0), MATCH((YEAR(D105)+4), Variablen!$I$3:$AT$3, 0))),L105)))*(IF((YEAR(D105)+4)&lt;YEAR(E105),0,IF((YEAR(D105)+4)&gt;YEAR(E105),1,(12-MONTH(E105)+1)/12))) + (Q105)*(IF((YEAR(D105)+4)&lt;YEAR(E105),0,IF((YEAR(D105)+4)&gt;YEAR(E105),1,(12-MONTH(E105)+1)/12))))-((P105)*(IF((YEAR(D105)+4)&lt;YEAR(E105),0,IF((YEAR(D105)+4)&gt;YEAR(E105),1,(12-MONTH(E105)+1)/12))) + (R105)*(IF((YEAR(D105)+4)&lt;YEAR(E105),0,IF((YEAR(D105)+4)&gt;YEAR(E105),1,(12-MONTH(E105)+1)/12))))-(IF(OR(N105="",N105&lt;=0),0,(O105/N105)*(IF(OR(N105="",N105&lt;=0),0,IF((YEAR(D105)+4)&lt;YEAR(E105),0,IF((YEAR(D105)+4)&gt;=YEAR(E105)+N105,0,IF((YEAR(D105)+4)=YEAR(E105),(12-MONTH(E105)+1)/12,1))))))))*TaxRate,0))-IF(4=0,O105,0))</f>
        <v/>
      </c>
      <c r="X105" s="29">
        <f>IF(A105="","",((K105)*(IF(M105="",L105,IFERROR(IF(INDEX(Variablen!$I:$AT, MATCH(M105, Variablen!$A:$A, 0), MATCH((YEAR(D105)+5), Variablen!$I$3:$AT$3, 0))="",L105,INDEX(Variablen!$I:$AT, MATCH(M105, Variablen!$A:$A, 0), MATCH((YEAR(D105)+5), Variablen!$I$3:$AT$3, 0))),L105)))*(IF((YEAR(D105)+5)&lt;YEAR(E105),0,IF((YEAR(D105)+5)&gt;YEAR(E105),1,(12-MONTH(E105)+1)/12))) + (Q105)*(IF((YEAR(D105)+5)&lt;YEAR(E105),0,IF((YEAR(D105)+5)&gt;YEAR(E105),1,(12-MONTH(E105)+1)/12))))-((P105)*(IF((YEAR(D105)+5)&lt;YEAR(E105),0,IF((YEAR(D105)+5)&gt;YEAR(E105),1,(12-MONTH(E105)+1)/12))) + (R105)*(IF((YEAR(D105)+5)&lt;YEAR(E105),0,IF((YEAR(D105)+5)&gt;YEAR(E105),1,(12-MONTH(E105)+1)/12))))-(IF((((K105)*(IF(M105="",L105,IFERROR(IF(INDEX(Variablen!$I:$AT, MATCH(M105, Variablen!$A:$A, 0), MATCH((YEAR(D105)+5), Variablen!$I$3:$AT$3, 0))="",L105,INDEX(Variablen!$I:$AT, MATCH(M105, Variablen!$A:$A, 0), MATCH((YEAR(D105)+5), Variablen!$I$3:$AT$3, 0))),L105)))*(IF((YEAR(D105)+5)&lt;YEAR(E105),0,IF((YEAR(D105)+5)&gt;YEAR(E105),1,(12-MONTH(E105)+1)/12))) + (Q105)*(IF((YEAR(D105)+5)&lt;YEAR(E105),0,IF((YEAR(D105)+5)&gt;YEAR(E105),1,(12-MONTH(E105)+1)/12))))-((P105)*(IF((YEAR(D105)+5)&lt;YEAR(E105),0,IF((YEAR(D105)+5)&gt;YEAR(E105),1,(12-MONTH(E105)+1)/12))) + (R105)*(IF((YEAR(D105)+5)&lt;YEAR(E105),0,IF((YEAR(D105)+5)&gt;YEAR(E105),1,(12-MONTH(E105)+1)/12))))-(IF(OR(N105="",N105&lt;=0),0,(O105/N105)*(IF(OR(N105="",N105&lt;=0),0,IF((YEAR(D105)+5)&lt;YEAR(E105),0,IF((YEAR(D105)+5)&gt;=YEAR(E105)+N105,0,IF((YEAR(D105)+5)=YEAR(E105),(12-MONTH(E105)+1)/12,1))))))))&gt;0,(((K105)*(IF(M105="",L105,IFERROR(IF(INDEX(Variablen!$I:$AT, MATCH(M105, Variablen!$A:$A, 0), MATCH((YEAR(D105)+5), Variablen!$I$3:$AT$3, 0))="",L105,INDEX(Variablen!$I:$AT, MATCH(M105, Variablen!$A:$A, 0), MATCH((YEAR(D105)+5), Variablen!$I$3:$AT$3, 0))),L105)))*(IF((YEAR(D105)+5)&lt;YEAR(E105),0,IF((YEAR(D105)+5)&gt;YEAR(E105),1,(12-MONTH(E105)+1)/12))) + (Q105)*(IF((YEAR(D105)+5)&lt;YEAR(E105),0,IF((YEAR(D105)+5)&gt;YEAR(E105),1,(12-MONTH(E105)+1)/12))))-((P105)*(IF((YEAR(D105)+5)&lt;YEAR(E105),0,IF((YEAR(D105)+5)&gt;YEAR(E105),1,(12-MONTH(E105)+1)/12))) + (R105)*(IF((YEAR(D105)+5)&lt;YEAR(E105),0,IF((YEAR(D105)+5)&gt;YEAR(E105),1,(12-MONTH(E105)+1)/12))))-(IF(OR(N105="",N105&lt;=0),0,(O105/N105)*(IF(OR(N105="",N105&lt;=0),0,IF((YEAR(D105)+5)&lt;YEAR(E105),0,IF((YEAR(D105)+5)&gt;=YEAR(E105)+N105,0,IF((YEAR(D105)+5)=YEAR(E105),(12-MONTH(E105)+1)/12,1))))))))*TaxRate,0))-IF(5=0,O105,0))</f>
        <v/>
      </c>
      <c r="Y105" s="29">
        <f>IF(A105="","",((K105)*(IF(M105="",L105,IFERROR(IF(INDEX(Variablen!$I:$AT, MATCH(M105, Variablen!$A:$A, 0), MATCH((YEAR(D105)+6), Variablen!$I$3:$AT$3, 0))="",L105,INDEX(Variablen!$I:$AT, MATCH(M105, Variablen!$A:$A, 0), MATCH((YEAR(D105)+6), Variablen!$I$3:$AT$3, 0))),L105)))*(IF((YEAR(D105)+6)&lt;YEAR(E105),0,IF((YEAR(D105)+6)&gt;YEAR(E105),1,(12-MONTH(E105)+1)/12))) + (Q105)*(IF((YEAR(D105)+6)&lt;YEAR(E105),0,IF((YEAR(D105)+6)&gt;YEAR(E105),1,(12-MONTH(E105)+1)/12))))-((P105)*(IF((YEAR(D105)+6)&lt;YEAR(E105),0,IF((YEAR(D105)+6)&gt;YEAR(E105),1,(12-MONTH(E105)+1)/12))) + (R105)*(IF((YEAR(D105)+6)&lt;YEAR(E105),0,IF((YEAR(D105)+6)&gt;YEAR(E105),1,(12-MONTH(E105)+1)/12))))-(IF((((K105)*(IF(M105="",L105,IFERROR(IF(INDEX(Variablen!$I:$AT, MATCH(M105, Variablen!$A:$A, 0), MATCH((YEAR(D105)+6), Variablen!$I$3:$AT$3, 0))="",L105,INDEX(Variablen!$I:$AT, MATCH(M105, Variablen!$A:$A, 0), MATCH((YEAR(D105)+6), Variablen!$I$3:$AT$3, 0))),L105)))*(IF((YEAR(D105)+6)&lt;YEAR(E105),0,IF((YEAR(D105)+6)&gt;YEAR(E105),1,(12-MONTH(E105)+1)/12))) + (Q105)*(IF((YEAR(D105)+6)&lt;YEAR(E105),0,IF((YEAR(D105)+6)&gt;YEAR(E105),1,(12-MONTH(E105)+1)/12))))-((P105)*(IF((YEAR(D105)+6)&lt;YEAR(E105),0,IF((YEAR(D105)+6)&gt;YEAR(E105),1,(12-MONTH(E105)+1)/12))) + (R105)*(IF((YEAR(D105)+6)&lt;YEAR(E105),0,IF((YEAR(D105)+6)&gt;YEAR(E105),1,(12-MONTH(E105)+1)/12))))-(IF(OR(N105="",N105&lt;=0),0,(O105/N105)*(IF(OR(N105="",N105&lt;=0),0,IF((YEAR(D105)+6)&lt;YEAR(E105),0,IF((YEAR(D105)+6)&gt;=YEAR(E105)+N105,0,IF((YEAR(D105)+6)=YEAR(E105),(12-MONTH(E105)+1)/12,1))))))))&gt;0,(((K105)*(IF(M105="",L105,IFERROR(IF(INDEX(Variablen!$I:$AT, MATCH(M105, Variablen!$A:$A, 0), MATCH((YEAR(D105)+6), Variablen!$I$3:$AT$3, 0))="",L105,INDEX(Variablen!$I:$AT, MATCH(M105, Variablen!$A:$A, 0), MATCH((YEAR(D105)+6), Variablen!$I$3:$AT$3, 0))),L105)))*(IF((YEAR(D105)+6)&lt;YEAR(E105),0,IF((YEAR(D105)+6)&gt;YEAR(E105),1,(12-MONTH(E105)+1)/12))) + (Q105)*(IF((YEAR(D105)+6)&lt;YEAR(E105),0,IF((YEAR(D105)+6)&gt;YEAR(E105),1,(12-MONTH(E105)+1)/12))))-((P105)*(IF((YEAR(D105)+6)&lt;YEAR(E105),0,IF((YEAR(D105)+6)&gt;YEAR(E105),1,(12-MONTH(E105)+1)/12))) + (R105)*(IF((YEAR(D105)+6)&lt;YEAR(E105),0,IF((YEAR(D105)+6)&gt;YEAR(E105),1,(12-MONTH(E105)+1)/12))))-(IF(OR(N105="",N105&lt;=0),0,(O105/N105)*(IF(OR(N105="",N105&lt;=0),0,IF((YEAR(D105)+6)&lt;YEAR(E105),0,IF((YEAR(D105)+6)&gt;=YEAR(E105)+N105,0,IF((YEAR(D105)+6)=YEAR(E105),(12-MONTH(E105)+1)/12,1))))))))*TaxRate,0))-IF(6=0,O105,0))</f>
        <v/>
      </c>
      <c r="Z105" s="29">
        <f>IF(A105="","",((K105)*(IF(M105="",L105,IFERROR(IF(INDEX(Variablen!$I:$AT, MATCH(M105, Variablen!$A:$A, 0), MATCH((YEAR(D105)+7), Variablen!$I$3:$AT$3, 0))="",L105,INDEX(Variablen!$I:$AT, MATCH(M105, Variablen!$A:$A, 0), MATCH((YEAR(D105)+7), Variablen!$I$3:$AT$3, 0))),L105)))*(IF((YEAR(D105)+7)&lt;YEAR(E105),0,IF((YEAR(D105)+7)&gt;YEAR(E105),1,(12-MONTH(E105)+1)/12))) + (Q105)*(IF((YEAR(D105)+7)&lt;YEAR(E105),0,IF((YEAR(D105)+7)&gt;YEAR(E105),1,(12-MONTH(E105)+1)/12))))-((P105)*(IF((YEAR(D105)+7)&lt;YEAR(E105),0,IF((YEAR(D105)+7)&gt;YEAR(E105),1,(12-MONTH(E105)+1)/12))) + (R105)*(IF((YEAR(D105)+7)&lt;YEAR(E105),0,IF((YEAR(D105)+7)&gt;YEAR(E105),1,(12-MONTH(E105)+1)/12))))-(IF((((K105)*(IF(M105="",L105,IFERROR(IF(INDEX(Variablen!$I:$AT, MATCH(M105, Variablen!$A:$A, 0), MATCH((YEAR(D105)+7), Variablen!$I$3:$AT$3, 0))="",L105,INDEX(Variablen!$I:$AT, MATCH(M105, Variablen!$A:$A, 0), MATCH((YEAR(D105)+7), Variablen!$I$3:$AT$3, 0))),L105)))*(IF((YEAR(D105)+7)&lt;YEAR(E105),0,IF((YEAR(D105)+7)&gt;YEAR(E105),1,(12-MONTH(E105)+1)/12))) + (Q105)*(IF((YEAR(D105)+7)&lt;YEAR(E105),0,IF((YEAR(D105)+7)&gt;YEAR(E105),1,(12-MONTH(E105)+1)/12))))-((P105)*(IF((YEAR(D105)+7)&lt;YEAR(E105),0,IF((YEAR(D105)+7)&gt;YEAR(E105),1,(12-MONTH(E105)+1)/12))) + (R105)*(IF((YEAR(D105)+7)&lt;YEAR(E105),0,IF((YEAR(D105)+7)&gt;YEAR(E105),1,(12-MONTH(E105)+1)/12))))-(IF(OR(N105="",N105&lt;=0),0,(O105/N105)*(IF(OR(N105="",N105&lt;=0),0,IF((YEAR(D105)+7)&lt;YEAR(E105),0,IF((YEAR(D105)+7)&gt;=YEAR(E105)+N105,0,IF((YEAR(D105)+7)=YEAR(E105),(12-MONTH(E105)+1)/12,1))))))))&gt;0,(((K105)*(IF(M105="",L105,IFERROR(IF(INDEX(Variablen!$I:$AT, MATCH(M105, Variablen!$A:$A, 0), MATCH((YEAR(D105)+7), Variablen!$I$3:$AT$3, 0))="",L105,INDEX(Variablen!$I:$AT, MATCH(M105, Variablen!$A:$A, 0), MATCH((YEAR(D105)+7), Variablen!$I$3:$AT$3, 0))),L105)))*(IF((YEAR(D105)+7)&lt;YEAR(E105),0,IF((YEAR(D105)+7)&gt;YEAR(E105),1,(12-MONTH(E105)+1)/12))) + (Q105)*(IF((YEAR(D105)+7)&lt;YEAR(E105),0,IF((YEAR(D105)+7)&gt;YEAR(E105),1,(12-MONTH(E105)+1)/12))))-((P105)*(IF((YEAR(D105)+7)&lt;YEAR(E105),0,IF((YEAR(D105)+7)&gt;YEAR(E105),1,(12-MONTH(E105)+1)/12))) + (R105)*(IF((YEAR(D105)+7)&lt;YEAR(E105),0,IF((YEAR(D105)+7)&gt;YEAR(E105),1,(12-MONTH(E105)+1)/12))))-(IF(OR(N105="",N105&lt;=0),0,(O105/N105)*(IF(OR(N105="",N105&lt;=0),0,IF((YEAR(D105)+7)&lt;YEAR(E105),0,IF((YEAR(D105)+7)&gt;=YEAR(E105)+N105,0,IF((YEAR(D105)+7)=YEAR(E105),(12-MONTH(E105)+1)/12,1))))))))*TaxRate,0))-IF(7=0,O105,0))</f>
        <v/>
      </c>
      <c r="AA105" s="29">
        <f>IF(A105="","",((K105)*(IF(M105="",L105,IFERROR(IF(INDEX(Variablen!$I:$AT, MATCH(M105, Variablen!$A:$A, 0), MATCH((YEAR(D105)+8), Variablen!$I$3:$AT$3, 0))="",L105,INDEX(Variablen!$I:$AT, MATCH(M105, Variablen!$A:$A, 0), MATCH((YEAR(D105)+8), Variablen!$I$3:$AT$3, 0))),L105)))*(IF((YEAR(D105)+8)&lt;YEAR(E105),0,IF((YEAR(D105)+8)&gt;YEAR(E105),1,(12-MONTH(E105)+1)/12))) + (Q105)*(IF((YEAR(D105)+8)&lt;YEAR(E105),0,IF((YEAR(D105)+8)&gt;YEAR(E105),1,(12-MONTH(E105)+1)/12))))-((P105)*(IF((YEAR(D105)+8)&lt;YEAR(E105),0,IF((YEAR(D105)+8)&gt;YEAR(E105),1,(12-MONTH(E105)+1)/12))) + (R105)*(IF((YEAR(D105)+8)&lt;YEAR(E105),0,IF((YEAR(D105)+8)&gt;YEAR(E105),1,(12-MONTH(E105)+1)/12))))-(IF((((K105)*(IF(M105="",L105,IFERROR(IF(INDEX(Variablen!$I:$AT, MATCH(M105, Variablen!$A:$A, 0), MATCH((YEAR(D105)+8), Variablen!$I$3:$AT$3, 0))="",L105,INDEX(Variablen!$I:$AT, MATCH(M105, Variablen!$A:$A, 0), MATCH((YEAR(D105)+8), Variablen!$I$3:$AT$3, 0))),L105)))*(IF((YEAR(D105)+8)&lt;YEAR(E105),0,IF((YEAR(D105)+8)&gt;YEAR(E105),1,(12-MONTH(E105)+1)/12))) + (Q105)*(IF((YEAR(D105)+8)&lt;YEAR(E105),0,IF((YEAR(D105)+8)&gt;YEAR(E105),1,(12-MONTH(E105)+1)/12))))-((P105)*(IF((YEAR(D105)+8)&lt;YEAR(E105),0,IF((YEAR(D105)+8)&gt;YEAR(E105),1,(12-MONTH(E105)+1)/12))) + (R105)*(IF((YEAR(D105)+8)&lt;YEAR(E105),0,IF((YEAR(D105)+8)&gt;YEAR(E105),1,(12-MONTH(E105)+1)/12))))-(IF(OR(N105="",N105&lt;=0),0,(O105/N105)*(IF(OR(N105="",N105&lt;=0),0,IF((YEAR(D105)+8)&lt;YEAR(E105),0,IF((YEAR(D105)+8)&gt;=YEAR(E105)+N105,0,IF((YEAR(D105)+8)=YEAR(E105),(12-MONTH(E105)+1)/12,1))))))))&gt;0,(((K105)*(IF(M105="",L105,IFERROR(IF(INDEX(Variablen!$I:$AT, MATCH(M105, Variablen!$A:$A, 0), MATCH((YEAR(D105)+8), Variablen!$I$3:$AT$3, 0))="",L105,INDEX(Variablen!$I:$AT, MATCH(M105, Variablen!$A:$A, 0), MATCH((YEAR(D105)+8), Variablen!$I$3:$AT$3, 0))),L105)))*(IF((YEAR(D105)+8)&lt;YEAR(E105),0,IF((YEAR(D105)+8)&gt;YEAR(E105),1,(12-MONTH(E105)+1)/12))) + (Q105)*(IF((YEAR(D105)+8)&lt;YEAR(E105),0,IF((YEAR(D105)+8)&gt;YEAR(E105),1,(12-MONTH(E105)+1)/12))))-((P105)*(IF((YEAR(D105)+8)&lt;YEAR(E105),0,IF((YEAR(D105)+8)&gt;YEAR(E105),1,(12-MONTH(E105)+1)/12))) + (R105)*(IF((YEAR(D105)+8)&lt;YEAR(E105),0,IF((YEAR(D105)+8)&gt;YEAR(E105),1,(12-MONTH(E105)+1)/12))))-(IF(OR(N105="",N105&lt;=0),0,(O105/N105)*(IF(OR(N105="",N105&lt;=0),0,IF((YEAR(D105)+8)&lt;YEAR(E105),0,IF((YEAR(D105)+8)&gt;=YEAR(E105)+N105,0,IF((YEAR(D105)+8)=YEAR(E105),(12-MONTH(E105)+1)/12,1))))))))*TaxRate,0))-IF(8=0,O105,0))</f>
        <v/>
      </c>
      <c r="AB105" s="29">
        <f>IF(A105="","",((K105)*(IF(M105="",L105,IFERROR(IF(INDEX(Variablen!$I:$AT, MATCH(M105, Variablen!$A:$A, 0), MATCH((YEAR(D105)+9), Variablen!$I$3:$AT$3, 0))="",L105,INDEX(Variablen!$I:$AT, MATCH(M105, Variablen!$A:$A, 0), MATCH((YEAR(D105)+9), Variablen!$I$3:$AT$3, 0))),L105)))*(IF((YEAR(D105)+9)&lt;YEAR(E105),0,IF((YEAR(D105)+9)&gt;YEAR(E105),1,(12-MONTH(E105)+1)/12))) + (Q105)*(IF((YEAR(D105)+9)&lt;YEAR(E105),0,IF((YEAR(D105)+9)&gt;YEAR(E105),1,(12-MONTH(E105)+1)/12))))-((P105)*(IF((YEAR(D105)+9)&lt;YEAR(E105),0,IF((YEAR(D105)+9)&gt;YEAR(E105),1,(12-MONTH(E105)+1)/12))) + (R105)*(IF((YEAR(D105)+9)&lt;YEAR(E105),0,IF((YEAR(D105)+9)&gt;YEAR(E105),1,(12-MONTH(E105)+1)/12))))-(IF((((K105)*(IF(M105="",L105,IFERROR(IF(INDEX(Variablen!$I:$AT, MATCH(M105, Variablen!$A:$A, 0), MATCH((YEAR(D105)+9), Variablen!$I$3:$AT$3, 0))="",L105,INDEX(Variablen!$I:$AT, MATCH(M105, Variablen!$A:$A, 0), MATCH((YEAR(D105)+9), Variablen!$I$3:$AT$3, 0))),L105)))*(IF((YEAR(D105)+9)&lt;YEAR(E105),0,IF((YEAR(D105)+9)&gt;YEAR(E105),1,(12-MONTH(E105)+1)/12))) + (Q105)*(IF((YEAR(D105)+9)&lt;YEAR(E105),0,IF((YEAR(D105)+9)&gt;YEAR(E105),1,(12-MONTH(E105)+1)/12))))-((P105)*(IF((YEAR(D105)+9)&lt;YEAR(E105),0,IF((YEAR(D105)+9)&gt;YEAR(E105),1,(12-MONTH(E105)+1)/12))) + (R105)*(IF((YEAR(D105)+9)&lt;YEAR(E105),0,IF((YEAR(D105)+9)&gt;YEAR(E105),1,(12-MONTH(E105)+1)/12))))-(IF(OR(N105="",N105&lt;=0),0,(O105/N105)*(IF(OR(N105="",N105&lt;=0),0,IF((YEAR(D105)+9)&lt;YEAR(E105),0,IF((YEAR(D105)+9)&gt;=YEAR(E105)+N105,0,IF((YEAR(D105)+9)=YEAR(E105),(12-MONTH(E105)+1)/12,1))))))))&gt;0,(((K105)*(IF(M105="",L105,IFERROR(IF(INDEX(Variablen!$I:$AT, MATCH(M105, Variablen!$A:$A, 0), MATCH((YEAR(D105)+9), Variablen!$I$3:$AT$3, 0))="",L105,INDEX(Variablen!$I:$AT, MATCH(M105, Variablen!$A:$A, 0), MATCH((YEAR(D105)+9), Variablen!$I$3:$AT$3, 0))),L105)))*(IF((YEAR(D105)+9)&lt;YEAR(E105),0,IF((YEAR(D105)+9)&gt;YEAR(E105),1,(12-MONTH(E105)+1)/12))) + (Q105)*(IF((YEAR(D105)+9)&lt;YEAR(E105),0,IF((YEAR(D105)+9)&gt;YEAR(E105),1,(12-MONTH(E105)+1)/12))))-((P105)*(IF((YEAR(D105)+9)&lt;YEAR(E105),0,IF((YEAR(D105)+9)&gt;YEAR(E105),1,(12-MONTH(E105)+1)/12))) + (R105)*(IF((YEAR(D105)+9)&lt;YEAR(E105),0,IF((YEAR(D105)+9)&gt;YEAR(E105),1,(12-MONTH(E105)+1)/12))))-(IF(OR(N105="",N105&lt;=0),0,(O105/N105)*(IF(OR(N105="",N105&lt;=0),0,IF((YEAR(D105)+9)&lt;YEAR(E105),0,IF((YEAR(D105)+9)&gt;=YEAR(E105)+N105,0,IF((YEAR(D105)+9)=YEAR(E105),(12-MONTH(E105)+1)/12,1))))))))*TaxRate,0))-IF(9=0,O105,0))</f>
        <v/>
      </c>
      <c r="AC105" s="29">
        <f>IF(A105="","",((K105)*(IF(M105="",L105,IFERROR(IF(INDEX(Variablen!$I:$AT, MATCH(M105, Variablen!$A:$A, 0), MATCH((YEAR(D105)+10), Variablen!$I$3:$AT$3, 0))="",L105,INDEX(Variablen!$I:$AT, MATCH(M105, Variablen!$A:$A, 0), MATCH((YEAR(D105)+10), Variablen!$I$3:$AT$3, 0))),L105)))*(IF((YEAR(D105)+10)&lt;YEAR(E105),0,IF((YEAR(D105)+10)&gt;YEAR(E105),1,(12-MONTH(E105)+1)/12))) + (Q105)*(IF((YEAR(D105)+10)&lt;YEAR(E105),0,IF((YEAR(D105)+10)&gt;YEAR(E105),1,(12-MONTH(E105)+1)/12))))-((P105)*(IF((YEAR(D105)+10)&lt;YEAR(E105),0,IF((YEAR(D105)+10)&gt;YEAR(E105),1,(12-MONTH(E105)+1)/12))) + (R105)*(IF((YEAR(D105)+10)&lt;YEAR(E105),0,IF((YEAR(D105)+10)&gt;YEAR(E105),1,(12-MONTH(E105)+1)/12))))-(IF((((K105)*(IF(M105="",L105,IFERROR(IF(INDEX(Variablen!$I:$AT, MATCH(M105, Variablen!$A:$A, 0), MATCH((YEAR(D105)+10), Variablen!$I$3:$AT$3, 0))="",L105,INDEX(Variablen!$I:$AT, MATCH(M105, Variablen!$A:$A, 0), MATCH((YEAR(D105)+10), Variablen!$I$3:$AT$3, 0))),L105)))*(IF((YEAR(D105)+10)&lt;YEAR(E105),0,IF((YEAR(D105)+10)&gt;YEAR(E105),1,(12-MONTH(E105)+1)/12))) + (Q105)*(IF((YEAR(D105)+10)&lt;YEAR(E105),0,IF((YEAR(D105)+10)&gt;YEAR(E105),1,(12-MONTH(E105)+1)/12))))-((P105)*(IF((YEAR(D105)+10)&lt;YEAR(E105),0,IF((YEAR(D105)+10)&gt;YEAR(E105),1,(12-MONTH(E105)+1)/12))) + (R105)*(IF((YEAR(D105)+10)&lt;YEAR(E105),0,IF((YEAR(D105)+10)&gt;YEAR(E105),1,(12-MONTH(E105)+1)/12))))-(IF(OR(N105="",N105&lt;=0),0,(O105/N105)*(IF(OR(N105="",N105&lt;=0),0,IF((YEAR(D105)+10)&lt;YEAR(E105),0,IF((YEAR(D105)+10)&gt;=YEAR(E105)+N105,0,IF((YEAR(D105)+10)=YEAR(E105),(12-MONTH(E105)+1)/12,1))))))))&gt;0,(((K105)*(IF(M105="",L105,IFERROR(IF(INDEX(Variablen!$I:$AT, MATCH(M105, Variablen!$A:$A, 0), MATCH((YEAR(D105)+10), Variablen!$I$3:$AT$3, 0))="",L105,INDEX(Variablen!$I:$AT, MATCH(M105, Variablen!$A:$A, 0), MATCH((YEAR(D105)+10), Variablen!$I$3:$AT$3, 0))),L105)))*(IF((YEAR(D105)+10)&lt;YEAR(E105),0,IF((YEAR(D105)+10)&gt;YEAR(E105),1,(12-MONTH(E105)+1)/12))) + (Q105)*(IF((YEAR(D105)+10)&lt;YEAR(E105),0,IF((YEAR(D105)+10)&gt;YEAR(E105),1,(12-MONTH(E105)+1)/12))))-((P105)*(IF((YEAR(D105)+10)&lt;YEAR(E105),0,IF((YEAR(D105)+10)&gt;YEAR(E105),1,(12-MONTH(E105)+1)/12))) + (R105)*(IF((YEAR(D105)+10)&lt;YEAR(E105),0,IF((YEAR(D105)+10)&gt;YEAR(E105),1,(12-MONTH(E105)+1)/12))))-(IF(OR(N105="",N105&lt;=0),0,(O105/N105)*(IF(OR(N105="",N105&lt;=0),0,IF((YEAR(D105)+10)&lt;YEAR(E105),0,IF((YEAR(D105)+10)&gt;=YEAR(E105)+N105,0,IF((YEAR(D105)+10)=YEAR(E105),(12-MONTH(E105)+1)/12,1))))))))*TaxRate,0))-IF(10=0,O105,0))</f>
        <v/>
      </c>
      <c r="AD105" s="29">
        <f>IF(A105="","",((K105)*(IF(M105="",L105,IFERROR(IF(INDEX(Variablen!$I:$AT, MATCH(M105, Variablen!$A:$A, 0), MATCH((YEAR(D105)+11), Variablen!$I$3:$AT$3, 0))="",L105,INDEX(Variablen!$I:$AT, MATCH(M105, Variablen!$A:$A, 0), MATCH((YEAR(D105)+11), Variablen!$I$3:$AT$3, 0))),L105)))*(IF((YEAR(D105)+11)&lt;YEAR(E105),0,IF((YEAR(D105)+11)&gt;YEAR(E105),1,(12-MONTH(E105)+1)/12))) + (Q105)*(IF((YEAR(D105)+11)&lt;YEAR(E105),0,IF((YEAR(D105)+11)&gt;YEAR(E105),1,(12-MONTH(E105)+1)/12))))-((P105)*(IF((YEAR(D105)+11)&lt;YEAR(E105),0,IF((YEAR(D105)+11)&gt;YEAR(E105),1,(12-MONTH(E105)+1)/12))) + (R105)*(IF((YEAR(D105)+11)&lt;YEAR(E105),0,IF((YEAR(D105)+11)&gt;YEAR(E105),1,(12-MONTH(E105)+1)/12))))-(IF((((K105)*(IF(M105="",L105,IFERROR(IF(INDEX(Variablen!$I:$AT, MATCH(M105, Variablen!$A:$A, 0), MATCH((YEAR(D105)+11), Variablen!$I$3:$AT$3, 0))="",L105,INDEX(Variablen!$I:$AT, MATCH(M105, Variablen!$A:$A, 0), MATCH((YEAR(D105)+11), Variablen!$I$3:$AT$3, 0))),L105)))*(IF((YEAR(D105)+11)&lt;YEAR(E105),0,IF((YEAR(D105)+11)&gt;YEAR(E105),1,(12-MONTH(E105)+1)/12))) + (Q105)*(IF((YEAR(D105)+11)&lt;YEAR(E105),0,IF((YEAR(D105)+11)&gt;YEAR(E105),1,(12-MONTH(E105)+1)/12))))-((P105)*(IF((YEAR(D105)+11)&lt;YEAR(E105),0,IF((YEAR(D105)+11)&gt;YEAR(E105),1,(12-MONTH(E105)+1)/12))) + (R105)*(IF((YEAR(D105)+11)&lt;YEAR(E105),0,IF((YEAR(D105)+11)&gt;YEAR(E105),1,(12-MONTH(E105)+1)/12))))-(IF(OR(N105="",N105&lt;=0),0,(O105/N105)*(IF(OR(N105="",N105&lt;=0),0,IF((YEAR(D105)+11)&lt;YEAR(E105),0,IF((YEAR(D105)+11)&gt;=YEAR(E105)+N105,0,IF((YEAR(D105)+11)=YEAR(E105),(12-MONTH(E105)+1)/12,1))))))))&gt;0,(((K105)*(IF(M105="",L105,IFERROR(IF(INDEX(Variablen!$I:$AT, MATCH(M105, Variablen!$A:$A, 0), MATCH((YEAR(D105)+11), Variablen!$I$3:$AT$3, 0))="",L105,INDEX(Variablen!$I:$AT, MATCH(M105, Variablen!$A:$A, 0), MATCH((YEAR(D105)+11), Variablen!$I$3:$AT$3, 0))),L105)))*(IF((YEAR(D105)+11)&lt;YEAR(E105),0,IF((YEAR(D105)+11)&gt;YEAR(E105),1,(12-MONTH(E105)+1)/12))) + (Q105)*(IF((YEAR(D105)+11)&lt;YEAR(E105),0,IF((YEAR(D105)+11)&gt;YEAR(E105),1,(12-MONTH(E105)+1)/12))))-((P105)*(IF((YEAR(D105)+11)&lt;YEAR(E105),0,IF((YEAR(D105)+11)&gt;YEAR(E105),1,(12-MONTH(E105)+1)/12))) + (R105)*(IF((YEAR(D105)+11)&lt;YEAR(E105),0,IF((YEAR(D105)+11)&gt;YEAR(E105),1,(12-MONTH(E105)+1)/12))))-(IF(OR(N105="",N105&lt;=0),0,(O105/N105)*(IF(OR(N105="",N105&lt;=0),0,IF((YEAR(D105)+11)&lt;YEAR(E105),0,IF((YEAR(D105)+11)&gt;=YEAR(E105)+N105,0,IF((YEAR(D105)+11)=YEAR(E105),(12-MONTH(E105)+1)/12,1))))))))*TaxRate,0))-IF(11=0,O105,0))</f>
        <v/>
      </c>
      <c r="AE105" s="29">
        <f>IF(A105="","",((K105)*(IF(M105="",L105,IFERROR(IF(INDEX(Variablen!$I:$AT, MATCH(M105, Variablen!$A:$A, 0), MATCH((YEAR(D105)+12), Variablen!$I$3:$AT$3, 0))="",L105,INDEX(Variablen!$I:$AT, MATCH(M105, Variablen!$A:$A, 0), MATCH((YEAR(D105)+12), Variablen!$I$3:$AT$3, 0))),L105)))*(IF((YEAR(D105)+12)&lt;YEAR(E105),0,IF((YEAR(D105)+12)&gt;YEAR(E105),1,(12-MONTH(E105)+1)/12))) + (Q105)*(IF((YEAR(D105)+12)&lt;YEAR(E105),0,IF((YEAR(D105)+12)&gt;YEAR(E105),1,(12-MONTH(E105)+1)/12))))-((P105)*(IF((YEAR(D105)+12)&lt;YEAR(E105),0,IF((YEAR(D105)+12)&gt;YEAR(E105),1,(12-MONTH(E105)+1)/12))) + (R105)*(IF((YEAR(D105)+12)&lt;YEAR(E105),0,IF((YEAR(D105)+12)&gt;YEAR(E105),1,(12-MONTH(E105)+1)/12))))-(IF((((K105)*(IF(M105="",L105,IFERROR(IF(INDEX(Variablen!$I:$AT, MATCH(M105, Variablen!$A:$A, 0), MATCH((YEAR(D105)+12), Variablen!$I$3:$AT$3, 0))="",L105,INDEX(Variablen!$I:$AT, MATCH(M105, Variablen!$A:$A, 0), MATCH((YEAR(D105)+12), Variablen!$I$3:$AT$3, 0))),L105)))*(IF((YEAR(D105)+12)&lt;YEAR(E105),0,IF((YEAR(D105)+12)&gt;YEAR(E105),1,(12-MONTH(E105)+1)/12))) + (Q105)*(IF((YEAR(D105)+12)&lt;YEAR(E105),0,IF((YEAR(D105)+12)&gt;YEAR(E105),1,(12-MONTH(E105)+1)/12))))-((P105)*(IF((YEAR(D105)+12)&lt;YEAR(E105),0,IF((YEAR(D105)+12)&gt;YEAR(E105),1,(12-MONTH(E105)+1)/12))) + (R105)*(IF((YEAR(D105)+12)&lt;YEAR(E105),0,IF((YEAR(D105)+12)&gt;YEAR(E105),1,(12-MONTH(E105)+1)/12))))-(IF(OR(N105="",N105&lt;=0),0,(O105/N105)*(IF(OR(N105="",N105&lt;=0),0,IF((YEAR(D105)+12)&lt;YEAR(E105),0,IF((YEAR(D105)+12)&gt;=YEAR(E105)+N105,0,IF((YEAR(D105)+12)=YEAR(E105),(12-MONTH(E105)+1)/12,1))))))))&gt;0,(((K105)*(IF(M105="",L105,IFERROR(IF(INDEX(Variablen!$I:$AT, MATCH(M105, Variablen!$A:$A, 0), MATCH((YEAR(D105)+12), Variablen!$I$3:$AT$3, 0))="",L105,INDEX(Variablen!$I:$AT, MATCH(M105, Variablen!$A:$A, 0), MATCH((YEAR(D105)+12), Variablen!$I$3:$AT$3, 0))),L105)))*(IF((YEAR(D105)+12)&lt;YEAR(E105),0,IF((YEAR(D105)+12)&gt;YEAR(E105),1,(12-MONTH(E105)+1)/12))) + (Q105)*(IF((YEAR(D105)+12)&lt;YEAR(E105),0,IF((YEAR(D105)+12)&gt;YEAR(E105),1,(12-MONTH(E105)+1)/12))))-((P105)*(IF((YEAR(D105)+12)&lt;YEAR(E105),0,IF((YEAR(D105)+12)&gt;YEAR(E105),1,(12-MONTH(E105)+1)/12))) + (R105)*(IF((YEAR(D105)+12)&lt;YEAR(E105),0,IF((YEAR(D105)+12)&gt;YEAR(E105),1,(12-MONTH(E105)+1)/12))))-(IF(OR(N105="",N105&lt;=0),0,(O105/N105)*(IF(OR(N105="",N105&lt;=0),0,IF((YEAR(D105)+12)&lt;YEAR(E105),0,IF((YEAR(D105)+12)&gt;=YEAR(E105)+N105,0,IF((YEAR(D105)+12)=YEAR(E105),(12-MONTH(E105)+1)/12,1))))))))*TaxRate,0))-IF(12=0,O105,0))</f>
        <v/>
      </c>
      <c r="AF105" s="29">
        <f>IF(A105="","",((K105)*(IF(M105="",L105,IFERROR(IF(INDEX(Variablen!$I:$AT, MATCH(M105, Variablen!$A:$A, 0), MATCH((YEAR(D105)+13), Variablen!$I$3:$AT$3, 0))="",L105,INDEX(Variablen!$I:$AT, MATCH(M105, Variablen!$A:$A, 0), MATCH((YEAR(D105)+13), Variablen!$I$3:$AT$3, 0))),L105)))*(IF((YEAR(D105)+13)&lt;YEAR(E105),0,IF((YEAR(D105)+13)&gt;YEAR(E105),1,(12-MONTH(E105)+1)/12))) + (Q105)*(IF((YEAR(D105)+13)&lt;YEAR(E105),0,IF((YEAR(D105)+13)&gt;YEAR(E105),1,(12-MONTH(E105)+1)/12))))-((P105)*(IF((YEAR(D105)+13)&lt;YEAR(E105),0,IF((YEAR(D105)+13)&gt;YEAR(E105),1,(12-MONTH(E105)+1)/12))) + (R105)*(IF((YEAR(D105)+13)&lt;YEAR(E105),0,IF((YEAR(D105)+13)&gt;YEAR(E105),1,(12-MONTH(E105)+1)/12))))-(IF((((K105)*(IF(M105="",L105,IFERROR(IF(INDEX(Variablen!$I:$AT, MATCH(M105, Variablen!$A:$A, 0), MATCH((YEAR(D105)+13), Variablen!$I$3:$AT$3, 0))="",L105,INDEX(Variablen!$I:$AT, MATCH(M105, Variablen!$A:$A, 0), MATCH((YEAR(D105)+13), Variablen!$I$3:$AT$3, 0))),L105)))*(IF((YEAR(D105)+13)&lt;YEAR(E105),0,IF((YEAR(D105)+13)&gt;YEAR(E105),1,(12-MONTH(E105)+1)/12))) + (Q105)*(IF((YEAR(D105)+13)&lt;YEAR(E105),0,IF((YEAR(D105)+13)&gt;YEAR(E105),1,(12-MONTH(E105)+1)/12))))-((P105)*(IF((YEAR(D105)+13)&lt;YEAR(E105),0,IF((YEAR(D105)+13)&gt;YEAR(E105),1,(12-MONTH(E105)+1)/12))) + (R105)*(IF((YEAR(D105)+13)&lt;YEAR(E105),0,IF((YEAR(D105)+13)&gt;YEAR(E105),1,(12-MONTH(E105)+1)/12))))-(IF(OR(N105="",N105&lt;=0),0,(O105/N105)*(IF(OR(N105="",N105&lt;=0),0,IF((YEAR(D105)+13)&lt;YEAR(E105),0,IF((YEAR(D105)+13)&gt;=YEAR(E105)+N105,0,IF((YEAR(D105)+13)=YEAR(E105),(12-MONTH(E105)+1)/12,1))))))))&gt;0,(((K105)*(IF(M105="",L105,IFERROR(IF(INDEX(Variablen!$I:$AT, MATCH(M105, Variablen!$A:$A, 0), MATCH((YEAR(D105)+13), Variablen!$I$3:$AT$3, 0))="",L105,INDEX(Variablen!$I:$AT, MATCH(M105, Variablen!$A:$A, 0), MATCH((YEAR(D105)+13), Variablen!$I$3:$AT$3, 0))),L105)))*(IF((YEAR(D105)+13)&lt;YEAR(E105),0,IF((YEAR(D105)+13)&gt;YEAR(E105),1,(12-MONTH(E105)+1)/12))) + (Q105)*(IF((YEAR(D105)+13)&lt;YEAR(E105),0,IF((YEAR(D105)+13)&gt;YEAR(E105),1,(12-MONTH(E105)+1)/12))))-((P105)*(IF((YEAR(D105)+13)&lt;YEAR(E105),0,IF((YEAR(D105)+13)&gt;YEAR(E105),1,(12-MONTH(E105)+1)/12))) + (R105)*(IF((YEAR(D105)+13)&lt;YEAR(E105),0,IF((YEAR(D105)+13)&gt;YEAR(E105),1,(12-MONTH(E105)+1)/12))))-(IF(OR(N105="",N105&lt;=0),0,(O105/N105)*(IF(OR(N105="",N105&lt;=0),0,IF((YEAR(D105)+13)&lt;YEAR(E105),0,IF((YEAR(D105)+13)&gt;=YEAR(E105)+N105,0,IF((YEAR(D105)+13)=YEAR(E105),(12-MONTH(E105)+1)/12,1))))))))*TaxRate,0))-IF(13=0,O105,0))</f>
        <v/>
      </c>
      <c r="AG105" s="29">
        <f>IF(A105="","",((K105)*(IF(M105="",L105,IFERROR(IF(INDEX(Variablen!$I:$AT, MATCH(M105, Variablen!$A:$A, 0), MATCH((YEAR(D105)+14), Variablen!$I$3:$AT$3, 0))="",L105,INDEX(Variablen!$I:$AT, MATCH(M105, Variablen!$A:$A, 0), MATCH((YEAR(D105)+14), Variablen!$I$3:$AT$3, 0))),L105)))*(IF((YEAR(D105)+14)&lt;YEAR(E105),0,IF((YEAR(D105)+14)&gt;YEAR(E105),1,(12-MONTH(E105)+1)/12))) + (Q105)*(IF((YEAR(D105)+14)&lt;YEAR(E105),0,IF((YEAR(D105)+14)&gt;YEAR(E105),1,(12-MONTH(E105)+1)/12))))-((P105)*(IF((YEAR(D105)+14)&lt;YEAR(E105),0,IF((YEAR(D105)+14)&gt;YEAR(E105),1,(12-MONTH(E105)+1)/12))) + (R105)*(IF((YEAR(D105)+14)&lt;YEAR(E105),0,IF((YEAR(D105)+14)&gt;YEAR(E105),1,(12-MONTH(E105)+1)/12))))-(IF((((K105)*(IF(M105="",L105,IFERROR(IF(INDEX(Variablen!$I:$AT, MATCH(M105, Variablen!$A:$A, 0), MATCH((YEAR(D105)+14), Variablen!$I$3:$AT$3, 0))="",L105,INDEX(Variablen!$I:$AT, MATCH(M105, Variablen!$A:$A, 0), MATCH((YEAR(D105)+14), Variablen!$I$3:$AT$3, 0))),L105)))*(IF((YEAR(D105)+14)&lt;YEAR(E105),0,IF((YEAR(D105)+14)&gt;YEAR(E105),1,(12-MONTH(E105)+1)/12))) + (Q105)*(IF((YEAR(D105)+14)&lt;YEAR(E105),0,IF((YEAR(D105)+14)&gt;YEAR(E105),1,(12-MONTH(E105)+1)/12))))-((P105)*(IF((YEAR(D105)+14)&lt;YEAR(E105),0,IF((YEAR(D105)+14)&gt;YEAR(E105),1,(12-MONTH(E105)+1)/12))) + (R105)*(IF((YEAR(D105)+14)&lt;YEAR(E105),0,IF((YEAR(D105)+14)&gt;YEAR(E105),1,(12-MONTH(E105)+1)/12))))-(IF(OR(N105="",N105&lt;=0),0,(O105/N105)*(IF(OR(N105="",N105&lt;=0),0,IF((YEAR(D105)+14)&lt;YEAR(E105),0,IF((YEAR(D105)+14)&gt;=YEAR(E105)+N105,0,IF((YEAR(D105)+14)=YEAR(E105),(12-MONTH(E105)+1)/12,1))))))))&gt;0,(((K105)*(IF(M105="",L105,IFERROR(IF(INDEX(Variablen!$I:$AT, MATCH(M105, Variablen!$A:$A, 0), MATCH((YEAR(D105)+14), Variablen!$I$3:$AT$3, 0))="",L105,INDEX(Variablen!$I:$AT, MATCH(M105, Variablen!$A:$A, 0), MATCH((YEAR(D105)+14), Variablen!$I$3:$AT$3, 0))),L105)))*(IF((YEAR(D105)+14)&lt;YEAR(E105),0,IF((YEAR(D105)+14)&gt;YEAR(E105),1,(12-MONTH(E105)+1)/12))) + (Q105)*(IF((YEAR(D105)+14)&lt;YEAR(E105),0,IF((YEAR(D105)+14)&gt;YEAR(E105),1,(12-MONTH(E105)+1)/12))))-((P105)*(IF((YEAR(D105)+14)&lt;YEAR(E105),0,IF((YEAR(D105)+14)&gt;YEAR(E105),1,(12-MONTH(E105)+1)/12))) + (R105)*(IF((YEAR(D105)+14)&lt;YEAR(E105),0,IF((YEAR(D105)+14)&gt;YEAR(E105),1,(12-MONTH(E105)+1)/12))))-(IF(OR(N105="",N105&lt;=0),0,(O105/N105)*(IF(OR(N105="",N105&lt;=0),0,IF((YEAR(D105)+14)&lt;YEAR(E105),0,IF((YEAR(D105)+14)&gt;=YEAR(E105)+N105,0,IF((YEAR(D105)+14)=YEAR(E105),(12-MONTH(E105)+1)/12,1))))))))*TaxRate,0))-IF(14=0,O105,0))</f>
        <v/>
      </c>
      <c r="AH105" s="29">
        <f>IF(A105="","",((K105)*(IF(M105="",L105,IFERROR(IF(INDEX(Variablen!$I:$AT, MATCH(M105, Variablen!$A:$A, 0), MATCH((YEAR(D105)+15), Variablen!$I$3:$AT$3, 0))="",L105,INDEX(Variablen!$I:$AT, MATCH(M105, Variablen!$A:$A, 0), MATCH((YEAR(D105)+15), Variablen!$I$3:$AT$3, 0))),L105)))*(IF((YEAR(D105)+15)&lt;YEAR(E105),0,IF((YEAR(D105)+15)&gt;YEAR(E105),1,(12-MONTH(E105)+1)/12))) + (Q105)*(IF((YEAR(D105)+15)&lt;YEAR(E105),0,IF((YEAR(D105)+15)&gt;YEAR(E105),1,(12-MONTH(E105)+1)/12))))-((P105)*(IF((YEAR(D105)+15)&lt;YEAR(E105),0,IF((YEAR(D105)+15)&gt;YEAR(E105),1,(12-MONTH(E105)+1)/12))) + (R105)*(IF((YEAR(D105)+15)&lt;YEAR(E105),0,IF((YEAR(D105)+15)&gt;YEAR(E105),1,(12-MONTH(E105)+1)/12))))-(IF((((K105)*(IF(M105="",L105,IFERROR(IF(INDEX(Variablen!$I:$AT, MATCH(M105, Variablen!$A:$A, 0), MATCH((YEAR(D105)+15), Variablen!$I$3:$AT$3, 0))="",L105,INDEX(Variablen!$I:$AT, MATCH(M105, Variablen!$A:$A, 0), MATCH((YEAR(D105)+15), Variablen!$I$3:$AT$3, 0))),L105)))*(IF((YEAR(D105)+15)&lt;YEAR(E105),0,IF((YEAR(D105)+15)&gt;YEAR(E105),1,(12-MONTH(E105)+1)/12))) + (Q105)*(IF((YEAR(D105)+15)&lt;YEAR(E105),0,IF((YEAR(D105)+15)&gt;YEAR(E105),1,(12-MONTH(E105)+1)/12))))-((P105)*(IF((YEAR(D105)+15)&lt;YEAR(E105),0,IF((YEAR(D105)+15)&gt;YEAR(E105),1,(12-MONTH(E105)+1)/12))) + (R105)*(IF((YEAR(D105)+15)&lt;YEAR(E105),0,IF((YEAR(D105)+15)&gt;YEAR(E105),1,(12-MONTH(E105)+1)/12))))-(IF(OR(N105="",N105&lt;=0),0,(O105/N105)*(IF(OR(N105="",N105&lt;=0),0,IF((YEAR(D105)+15)&lt;YEAR(E105),0,IF((YEAR(D105)+15)&gt;=YEAR(E105)+N105,0,IF((YEAR(D105)+15)=YEAR(E105),(12-MONTH(E105)+1)/12,1))))))))&gt;0,(((K105)*(IF(M105="",L105,IFERROR(IF(INDEX(Variablen!$I:$AT, MATCH(M105, Variablen!$A:$A, 0), MATCH((YEAR(D105)+15), Variablen!$I$3:$AT$3, 0))="",L105,INDEX(Variablen!$I:$AT, MATCH(M105, Variablen!$A:$A, 0), MATCH((YEAR(D105)+15), Variablen!$I$3:$AT$3, 0))),L105)))*(IF((YEAR(D105)+15)&lt;YEAR(E105),0,IF((YEAR(D105)+15)&gt;YEAR(E105),1,(12-MONTH(E105)+1)/12))) + (Q105)*(IF((YEAR(D105)+15)&lt;YEAR(E105),0,IF((YEAR(D105)+15)&gt;YEAR(E105),1,(12-MONTH(E105)+1)/12))))-((P105)*(IF((YEAR(D105)+15)&lt;YEAR(E105),0,IF((YEAR(D105)+15)&gt;YEAR(E105),1,(12-MONTH(E105)+1)/12))) + (R105)*(IF((YEAR(D105)+15)&lt;YEAR(E105),0,IF((YEAR(D105)+15)&gt;YEAR(E105),1,(12-MONTH(E105)+1)/12))))-(IF(OR(N105="",N105&lt;=0),0,(O105/N105)*(IF(OR(N105="",N105&lt;=0),0,IF((YEAR(D105)+15)&lt;YEAR(E105),0,IF((YEAR(D105)+15)&gt;=YEAR(E105)+N105,0,IF((YEAR(D105)+15)=YEAR(E105),(12-MONTH(E105)+1)/12,1))))))))*TaxRate,0))-IF(15=0,O105,0))</f>
        <v/>
      </c>
      <c r="AI105" s="29">
        <f>IF(A105="","",((K105)*(IF(M105="",L105,IFERROR(IF(INDEX(Variablen!$I:$AT, MATCH(M105, Variablen!$A:$A, 0), MATCH((YEAR(D105)+16), Variablen!$I$3:$AT$3, 0))="",L105,INDEX(Variablen!$I:$AT, MATCH(M105, Variablen!$A:$A, 0), MATCH((YEAR(D105)+16), Variablen!$I$3:$AT$3, 0))),L105)))*(IF((YEAR(D105)+16)&lt;YEAR(E105),0,IF((YEAR(D105)+16)&gt;YEAR(E105),1,(12-MONTH(E105)+1)/12))) + (Q105)*(IF((YEAR(D105)+16)&lt;YEAR(E105),0,IF((YEAR(D105)+16)&gt;YEAR(E105),1,(12-MONTH(E105)+1)/12))))-((P105)*(IF((YEAR(D105)+16)&lt;YEAR(E105),0,IF((YEAR(D105)+16)&gt;YEAR(E105),1,(12-MONTH(E105)+1)/12))) + (R105)*(IF((YEAR(D105)+16)&lt;YEAR(E105),0,IF((YEAR(D105)+16)&gt;YEAR(E105),1,(12-MONTH(E105)+1)/12))))-(IF((((K105)*(IF(M105="",L105,IFERROR(IF(INDEX(Variablen!$I:$AT, MATCH(M105, Variablen!$A:$A, 0), MATCH((YEAR(D105)+16), Variablen!$I$3:$AT$3, 0))="",L105,INDEX(Variablen!$I:$AT, MATCH(M105, Variablen!$A:$A, 0), MATCH((YEAR(D105)+16), Variablen!$I$3:$AT$3, 0))),L105)))*(IF((YEAR(D105)+16)&lt;YEAR(E105),0,IF((YEAR(D105)+16)&gt;YEAR(E105),1,(12-MONTH(E105)+1)/12))) + (Q105)*(IF((YEAR(D105)+16)&lt;YEAR(E105),0,IF((YEAR(D105)+16)&gt;YEAR(E105),1,(12-MONTH(E105)+1)/12))))-((P105)*(IF((YEAR(D105)+16)&lt;YEAR(E105),0,IF((YEAR(D105)+16)&gt;YEAR(E105),1,(12-MONTH(E105)+1)/12))) + (R105)*(IF((YEAR(D105)+16)&lt;YEAR(E105),0,IF((YEAR(D105)+16)&gt;YEAR(E105),1,(12-MONTH(E105)+1)/12))))-(IF(OR(N105="",N105&lt;=0),0,(O105/N105)*(IF(OR(N105="",N105&lt;=0),0,IF((YEAR(D105)+16)&lt;YEAR(E105),0,IF((YEAR(D105)+16)&gt;=YEAR(E105)+N105,0,IF((YEAR(D105)+16)=YEAR(E105),(12-MONTH(E105)+1)/12,1))))))))&gt;0,(((K105)*(IF(M105="",L105,IFERROR(IF(INDEX(Variablen!$I:$AT, MATCH(M105, Variablen!$A:$A, 0), MATCH((YEAR(D105)+16), Variablen!$I$3:$AT$3, 0))="",L105,INDEX(Variablen!$I:$AT, MATCH(M105, Variablen!$A:$A, 0), MATCH((YEAR(D105)+16), Variablen!$I$3:$AT$3, 0))),L105)))*(IF((YEAR(D105)+16)&lt;YEAR(E105),0,IF((YEAR(D105)+16)&gt;YEAR(E105),1,(12-MONTH(E105)+1)/12))) + (Q105)*(IF((YEAR(D105)+16)&lt;YEAR(E105),0,IF((YEAR(D105)+16)&gt;YEAR(E105),1,(12-MONTH(E105)+1)/12))))-((P105)*(IF((YEAR(D105)+16)&lt;YEAR(E105),0,IF((YEAR(D105)+16)&gt;YEAR(E105),1,(12-MONTH(E105)+1)/12))) + (R105)*(IF((YEAR(D105)+16)&lt;YEAR(E105),0,IF((YEAR(D105)+16)&gt;YEAR(E105),1,(12-MONTH(E105)+1)/12))))-(IF(OR(N105="",N105&lt;=0),0,(O105/N105)*(IF(OR(N105="",N105&lt;=0),0,IF((YEAR(D105)+16)&lt;YEAR(E105),0,IF((YEAR(D105)+16)&gt;=YEAR(E105)+N105,0,IF((YEAR(D105)+16)=YEAR(E105),(12-MONTH(E105)+1)/12,1))))))))*TaxRate,0))-IF(16=0,O105,0))</f>
        <v/>
      </c>
      <c r="AJ105" s="29">
        <f>IF(A105="","",((K105)*(IF(M105="",L105,IFERROR(IF(INDEX(Variablen!$I:$AT, MATCH(M105, Variablen!$A:$A, 0), MATCH((YEAR(D105)+17), Variablen!$I$3:$AT$3, 0))="",L105,INDEX(Variablen!$I:$AT, MATCH(M105, Variablen!$A:$A, 0), MATCH((YEAR(D105)+17), Variablen!$I$3:$AT$3, 0))),L105)))*(IF((YEAR(D105)+17)&lt;YEAR(E105),0,IF((YEAR(D105)+17)&gt;YEAR(E105),1,(12-MONTH(E105)+1)/12))) + (Q105)*(IF((YEAR(D105)+17)&lt;YEAR(E105),0,IF((YEAR(D105)+17)&gt;YEAR(E105),1,(12-MONTH(E105)+1)/12))))-((P105)*(IF((YEAR(D105)+17)&lt;YEAR(E105),0,IF((YEAR(D105)+17)&gt;YEAR(E105),1,(12-MONTH(E105)+1)/12))) + (R105)*(IF((YEAR(D105)+17)&lt;YEAR(E105),0,IF((YEAR(D105)+17)&gt;YEAR(E105),1,(12-MONTH(E105)+1)/12))))-(IF((((K105)*(IF(M105="",L105,IFERROR(IF(INDEX(Variablen!$I:$AT, MATCH(M105, Variablen!$A:$A, 0), MATCH((YEAR(D105)+17), Variablen!$I$3:$AT$3, 0))="",L105,INDEX(Variablen!$I:$AT, MATCH(M105, Variablen!$A:$A, 0), MATCH((YEAR(D105)+17), Variablen!$I$3:$AT$3, 0))),L105)))*(IF((YEAR(D105)+17)&lt;YEAR(E105),0,IF((YEAR(D105)+17)&gt;YEAR(E105),1,(12-MONTH(E105)+1)/12))) + (Q105)*(IF((YEAR(D105)+17)&lt;YEAR(E105),0,IF((YEAR(D105)+17)&gt;YEAR(E105),1,(12-MONTH(E105)+1)/12))))-((P105)*(IF((YEAR(D105)+17)&lt;YEAR(E105),0,IF((YEAR(D105)+17)&gt;YEAR(E105),1,(12-MONTH(E105)+1)/12))) + (R105)*(IF((YEAR(D105)+17)&lt;YEAR(E105),0,IF((YEAR(D105)+17)&gt;YEAR(E105),1,(12-MONTH(E105)+1)/12))))-(IF(OR(N105="",N105&lt;=0),0,(O105/N105)*(IF(OR(N105="",N105&lt;=0),0,IF((YEAR(D105)+17)&lt;YEAR(E105),0,IF((YEAR(D105)+17)&gt;=YEAR(E105)+N105,0,IF((YEAR(D105)+17)=YEAR(E105),(12-MONTH(E105)+1)/12,1))))))))&gt;0,(((K105)*(IF(M105="",L105,IFERROR(IF(INDEX(Variablen!$I:$AT, MATCH(M105, Variablen!$A:$A, 0), MATCH((YEAR(D105)+17), Variablen!$I$3:$AT$3, 0))="",L105,INDEX(Variablen!$I:$AT, MATCH(M105, Variablen!$A:$A, 0), MATCH((YEAR(D105)+17), Variablen!$I$3:$AT$3, 0))),L105)))*(IF((YEAR(D105)+17)&lt;YEAR(E105),0,IF((YEAR(D105)+17)&gt;YEAR(E105),1,(12-MONTH(E105)+1)/12))) + (Q105)*(IF((YEAR(D105)+17)&lt;YEAR(E105),0,IF((YEAR(D105)+17)&gt;YEAR(E105),1,(12-MONTH(E105)+1)/12))))-((P105)*(IF((YEAR(D105)+17)&lt;YEAR(E105),0,IF((YEAR(D105)+17)&gt;YEAR(E105),1,(12-MONTH(E105)+1)/12))) + (R105)*(IF((YEAR(D105)+17)&lt;YEAR(E105),0,IF((YEAR(D105)+17)&gt;YEAR(E105),1,(12-MONTH(E105)+1)/12))))-(IF(OR(N105="",N105&lt;=0),0,(O105/N105)*(IF(OR(N105="",N105&lt;=0),0,IF((YEAR(D105)+17)&lt;YEAR(E105),0,IF((YEAR(D105)+17)&gt;=YEAR(E105)+N105,0,IF((YEAR(D105)+17)=YEAR(E105),(12-MONTH(E105)+1)/12,1))))))))*TaxRate,0))-IF(17=0,O105,0))</f>
        <v/>
      </c>
      <c r="AK105" s="29">
        <f>IF(A105="","",((K105)*(IF(M105="",L105,IFERROR(IF(INDEX(Variablen!$I:$AT, MATCH(M105, Variablen!$A:$A, 0), MATCH((YEAR(D105)+18), Variablen!$I$3:$AT$3, 0))="",L105,INDEX(Variablen!$I:$AT, MATCH(M105, Variablen!$A:$A, 0), MATCH((YEAR(D105)+18), Variablen!$I$3:$AT$3, 0))),L105)))*(IF((YEAR(D105)+18)&lt;YEAR(E105),0,IF((YEAR(D105)+18)&gt;YEAR(E105),1,(12-MONTH(E105)+1)/12))) + (Q105)*(IF((YEAR(D105)+18)&lt;YEAR(E105),0,IF((YEAR(D105)+18)&gt;YEAR(E105),1,(12-MONTH(E105)+1)/12))))-((P105)*(IF((YEAR(D105)+18)&lt;YEAR(E105),0,IF((YEAR(D105)+18)&gt;YEAR(E105),1,(12-MONTH(E105)+1)/12))) + (R105)*(IF((YEAR(D105)+18)&lt;YEAR(E105),0,IF((YEAR(D105)+18)&gt;YEAR(E105),1,(12-MONTH(E105)+1)/12))))-(IF((((K105)*(IF(M105="",L105,IFERROR(IF(INDEX(Variablen!$I:$AT, MATCH(M105, Variablen!$A:$A, 0), MATCH((YEAR(D105)+18), Variablen!$I$3:$AT$3, 0))="",L105,INDEX(Variablen!$I:$AT, MATCH(M105, Variablen!$A:$A, 0), MATCH((YEAR(D105)+18), Variablen!$I$3:$AT$3, 0))),L105)))*(IF((YEAR(D105)+18)&lt;YEAR(E105),0,IF((YEAR(D105)+18)&gt;YEAR(E105),1,(12-MONTH(E105)+1)/12))) + (Q105)*(IF((YEAR(D105)+18)&lt;YEAR(E105),0,IF((YEAR(D105)+18)&gt;YEAR(E105),1,(12-MONTH(E105)+1)/12))))-((P105)*(IF((YEAR(D105)+18)&lt;YEAR(E105),0,IF((YEAR(D105)+18)&gt;YEAR(E105),1,(12-MONTH(E105)+1)/12))) + (R105)*(IF((YEAR(D105)+18)&lt;YEAR(E105),0,IF((YEAR(D105)+18)&gt;YEAR(E105),1,(12-MONTH(E105)+1)/12))))-(IF(OR(N105="",N105&lt;=0),0,(O105/N105)*(IF(OR(N105="",N105&lt;=0),0,IF((YEAR(D105)+18)&lt;YEAR(E105),0,IF((YEAR(D105)+18)&gt;=YEAR(E105)+N105,0,IF((YEAR(D105)+18)=YEAR(E105),(12-MONTH(E105)+1)/12,1))))))))&gt;0,(((K105)*(IF(M105="",L105,IFERROR(IF(INDEX(Variablen!$I:$AT, MATCH(M105, Variablen!$A:$A, 0), MATCH((YEAR(D105)+18), Variablen!$I$3:$AT$3, 0))="",L105,INDEX(Variablen!$I:$AT, MATCH(M105, Variablen!$A:$A, 0), MATCH((YEAR(D105)+18), Variablen!$I$3:$AT$3, 0))),L105)))*(IF((YEAR(D105)+18)&lt;YEAR(E105),0,IF((YEAR(D105)+18)&gt;YEAR(E105),1,(12-MONTH(E105)+1)/12))) + (Q105)*(IF((YEAR(D105)+18)&lt;YEAR(E105),0,IF((YEAR(D105)+18)&gt;YEAR(E105),1,(12-MONTH(E105)+1)/12))))-((P105)*(IF((YEAR(D105)+18)&lt;YEAR(E105),0,IF((YEAR(D105)+18)&gt;YEAR(E105),1,(12-MONTH(E105)+1)/12))) + (R105)*(IF((YEAR(D105)+18)&lt;YEAR(E105),0,IF((YEAR(D105)+18)&gt;YEAR(E105),1,(12-MONTH(E105)+1)/12))))-(IF(OR(N105="",N105&lt;=0),0,(O105/N105)*(IF(OR(N105="",N105&lt;=0),0,IF((YEAR(D105)+18)&lt;YEAR(E105),0,IF((YEAR(D105)+18)&gt;=YEAR(E105)+N105,0,IF((YEAR(D105)+18)=YEAR(E105),(12-MONTH(E105)+1)/12,1))))))))*TaxRate,0))-IF(18=0,O105,0))</f>
        <v/>
      </c>
      <c r="AL105" s="29">
        <f>IF(A105="","",((K105)*(IF(M105="",L105,IFERROR(IF(INDEX(Variablen!$I:$AT, MATCH(M105, Variablen!$A:$A, 0), MATCH((YEAR(D105)+19), Variablen!$I$3:$AT$3, 0))="",L105,INDEX(Variablen!$I:$AT, MATCH(M105, Variablen!$A:$A, 0), MATCH((YEAR(D105)+19), Variablen!$I$3:$AT$3, 0))),L105)))*(IF((YEAR(D105)+19)&lt;YEAR(E105),0,IF((YEAR(D105)+19)&gt;YEAR(E105),1,(12-MONTH(E105)+1)/12))) + (Q105)*(IF((YEAR(D105)+19)&lt;YEAR(E105),0,IF((YEAR(D105)+19)&gt;YEAR(E105),1,(12-MONTH(E105)+1)/12))))-((P105)*(IF((YEAR(D105)+19)&lt;YEAR(E105),0,IF((YEAR(D105)+19)&gt;YEAR(E105),1,(12-MONTH(E105)+1)/12))) + (R105)*(IF((YEAR(D105)+19)&lt;YEAR(E105),0,IF((YEAR(D105)+19)&gt;YEAR(E105),1,(12-MONTH(E105)+1)/12))))-(IF((((K105)*(IF(M105="",L105,IFERROR(IF(INDEX(Variablen!$I:$AT, MATCH(M105, Variablen!$A:$A, 0), MATCH((YEAR(D105)+19), Variablen!$I$3:$AT$3, 0))="",L105,INDEX(Variablen!$I:$AT, MATCH(M105, Variablen!$A:$A, 0), MATCH((YEAR(D105)+19), Variablen!$I$3:$AT$3, 0))),L105)))*(IF((YEAR(D105)+19)&lt;YEAR(E105),0,IF((YEAR(D105)+19)&gt;YEAR(E105),1,(12-MONTH(E105)+1)/12))) + (Q105)*(IF((YEAR(D105)+19)&lt;YEAR(E105),0,IF((YEAR(D105)+19)&gt;YEAR(E105),1,(12-MONTH(E105)+1)/12))))-((P105)*(IF((YEAR(D105)+19)&lt;YEAR(E105),0,IF((YEAR(D105)+19)&gt;YEAR(E105),1,(12-MONTH(E105)+1)/12))) + (R105)*(IF((YEAR(D105)+19)&lt;YEAR(E105),0,IF((YEAR(D105)+19)&gt;YEAR(E105),1,(12-MONTH(E105)+1)/12))))-(IF(OR(N105="",N105&lt;=0),0,(O105/N105)*(IF(OR(N105="",N105&lt;=0),0,IF((YEAR(D105)+19)&lt;YEAR(E105),0,IF((YEAR(D105)+19)&gt;=YEAR(E105)+N105,0,IF((YEAR(D105)+19)=YEAR(E105),(12-MONTH(E105)+1)/12,1))))))))&gt;0,(((K105)*(IF(M105="",L105,IFERROR(IF(INDEX(Variablen!$I:$AT, MATCH(M105, Variablen!$A:$A, 0), MATCH((YEAR(D105)+19), Variablen!$I$3:$AT$3, 0))="",L105,INDEX(Variablen!$I:$AT, MATCH(M105, Variablen!$A:$A, 0), MATCH((YEAR(D105)+19), Variablen!$I$3:$AT$3, 0))),L105)))*(IF((YEAR(D105)+19)&lt;YEAR(E105),0,IF((YEAR(D105)+19)&gt;YEAR(E105),1,(12-MONTH(E105)+1)/12))) + (Q105)*(IF((YEAR(D105)+19)&lt;YEAR(E105),0,IF((YEAR(D105)+19)&gt;YEAR(E105),1,(12-MONTH(E105)+1)/12))))-((P105)*(IF((YEAR(D105)+19)&lt;YEAR(E105),0,IF((YEAR(D105)+19)&gt;YEAR(E105),1,(12-MONTH(E105)+1)/12))) + (R105)*(IF((YEAR(D105)+19)&lt;YEAR(E105),0,IF((YEAR(D105)+19)&gt;YEAR(E105),1,(12-MONTH(E105)+1)/12))))-(IF(OR(N105="",N105&lt;=0),0,(O105/N105)*(IF(OR(N105="",N105&lt;=0),0,IF((YEAR(D105)+19)&lt;YEAR(E105),0,IF((YEAR(D105)+19)&gt;=YEAR(E105)+N105,0,IF((YEAR(D105)+19)=YEAR(E105),(12-MONTH(E105)+1)/12,1))))))))*TaxRate,0))-IF(19=0,O105,0))</f>
        <v/>
      </c>
      <c r="AM105" s="29">
        <f>IF(A105="","",((K105)*(IF(M105="",L105,IFERROR(IF(INDEX(Variablen!$I:$AT, MATCH(M105, Variablen!$A:$A, 0), MATCH((YEAR(D105)+20), Variablen!$I$3:$AT$3, 0))="",L105,INDEX(Variablen!$I:$AT, MATCH(M105, Variablen!$A:$A, 0), MATCH((YEAR(D105)+20), Variablen!$I$3:$AT$3, 0))),L105)))*(IF((YEAR(D105)+20)&lt;YEAR(E105),0,IF((YEAR(D105)+20)&gt;YEAR(E105),1,(12-MONTH(E105)+1)/12))) + (Q105)*(IF((YEAR(D105)+20)&lt;YEAR(E105),0,IF((YEAR(D105)+20)&gt;YEAR(E105),1,(12-MONTH(E105)+1)/12))))-((P105)*(IF((YEAR(D105)+20)&lt;YEAR(E105),0,IF((YEAR(D105)+20)&gt;YEAR(E105),1,(12-MONTH(E105)+1)/12))) + (R105)*(IF((YEAR(D105)+20)&lt;YEAR(E105),0,IF((YEAR(D105)+20)&gt;YEAR(E105),1,(12-MONTH(E105)+1)/12))))-(IF((((K105)*(IF(M105="",L105,IFERROR(IF(INDEX(Variablen!$I:$AT, MATCH(M105, Variablen!$A:$A, 0), MATCH((YEAR(D105)+20), Variablen!$I$3:$AT$3, 0))="",L105,INDEX(Variablen!$I:$AT, MATCH(M105, Variablen!$A:$A, 0), MATCH((YEAR(D105)+20), Variablen!$I$3:$AT$3, 0))),L105)))*(IF((YEAR(D105)+20)&lt;YEAR(E105),0,IF((YEAR(D105)+20)&gt;YEAR(E105),1,(12-MONTH(E105)+1)/12))) + (Q105)*(IF((YEAR(D105)+20)&lt;YEAR(E105),0,IF((YEAR(D105)+20)&gt;YEAR(E105),1,(12-MONTH(E105)+1)/12))))-((P105)*(IF((YEAR(D105)+20)&lt;YEAR(E105),0,IF((YEAR(D105)+20)&gt;YEAR(E105),1,(12-MONTH(E105)+1)/12))) + (R105)*(IF((YEAR(D105)+20)&lt;YEAR(E105),0,IF((YEAR(D105)+20)&gt;YEAR(E105),1,(12-MONTH(E105)+1)/12))))-(IF(OR(N105="",N105&lt;=0),0,(O105/N105)*(IF(OR(N105="",N105&lt;=0),0,IF((YEAR(D105)+20)&lt;YEAR(E105),0,IF((YEAR(D105)+20)&gt;=YEAR(E105)+N105,0,IF((YEAR(D105)+20)=YEAR(E105),(12-MONTH(E105)+1)/12,1))))))))&gt;0,(((K105)*(IF(M105="",L105,IFERROR(IF(INDEX(Variablen!$I:$AT, MATCH(M105, Variablen!$A:$A, 0), MATCH((YEAR(D105)+20), Variablen!$I$3:$AT$3, 0))="",L105,INDEX(Variablen!$I:$AT, MATCH(M105, Variablen!$A:$A, 0), MATCH((YEAR(D105)+20), Variablen!$I$3:$AT$3, 0))),L105)))*(IF((YEAR(D105)+20)&lt;YEAR(E105),0,IF((YEAR(D105)+20)&gt;YEAR(E105),1,(12-MONTH(E105)+1)/12))) + (Q105)*(IF((YEAR(D105)+20)&lt;YEAR(E105),0,IF((YEAR(D105)+20)&gt;YEAR(E105),1,(12-MONTH(E105)+1)/12))))-((P105)*(IF((YEAR(D105)+20)&lt;YEAR(E105),0,IF((YEAR(D105)+20)&gt;YEAR(E105),1,(12-MONTH(E105)+1)/12))) + (R105)*(IF((YEAR(D105)+20)&lt;YEAR(E105),0,IF((YEAR(D105)+20)&gt;YEAR(E105),1,(12-MONTH(E105)+1)/12))))-(IF(OR(N105="",N105&lt;=0),0,(O105/N105)*(IF(OR(N105="",N105&lt;=0),0,IF((YEAR(D105)+20)&lt;YEAR(E105),0,IF((YEAR(D105)+20)&gt;=YEAR(E105)+N105,0,IF((YEAR(D105)+20)=YEAR(E105),(12-MONTH(E105)+1)/12,1))))))))*TaxRate,0))-IF(20=0,O105,0))</f>
        <v/>
      </c>
      <c r="AN105" s="29">
        <f>IF(A105="","",S105)</f>
        <v/>
      </c>
      <c r="AO105" s="29">
        <f>IF(A105="","",AN105+T105)</f>
        <v/>
      </c>
      <c r="AP105" s="29">
        <f>IF(A105="","",AO105+U105)</f>
        <v/>
      </c>
      <c r="AQ105" s="29">
        <f>IF(A105="","",AP105+V105)</f>
        <v/>
      </c>
      <c r="AR105" s="29">
        <f>IF(A105="","",AQ105+W105)</f>
        <v/>
      </c>
      <c r="AS105" s="29">
        <f>IF(A105="","",AR105+X105)</f>
        <v/>
      </c>
      <c r="AT105" s="29">
        <f>IF(A105="","",AS105+Y105)</f>
        <v/>
      </c>
      <c r="AU105" s="29">
        <f>IF(A105="","",AT105+Z105)</f>
        <v/>
      </c>
      <c r="AV105" s="29">
        <f>IF(A105="","",AU105+AA105)</f>
        <v/>
      </c>
      <c r="AW105" s="29">
        <f>IF(A105="","",AV105+AB105)</f>
        <v/>
      </c>
      <c r="AX105" s="29">
        <f>IF(A105="","",AW105+AC105)</f>
        <v/>
      </c>
      <c r="AY105" s="29">
        <f>IF(A105="","",AX105+AD105)</f>
        <v/>
      </c>
      <c r="AZ105" s="29">
        <f>IF(A105="","",AY105+AE105)</f>
        <v/>
      </c>
      <c r="BA105" s="29">
        <f>IF(A105="","",AZ105+AF105)</f>
        <v/>
      </c>
      <c r="BB105" s="29">
        <f>IF(A105="","",BA105+AG105)</f>
        <v/>
      </c>
      <c r="BC105" s="29">
        <f>IF(A105="","",BB105+AH105)</f>
        <v/>
      </c>
      <c r="BD105" s="29">
        <f>IF(A105="","",BC105+AI105)</f>
        <v/>
      </c>
      <c r="BE105" s="29">
        <f>IF(A105="","",BD105+AJ105)</f>
        <v/>
      </c>
      <c r="BF105" s="29">
        <f>IF(A105="","",BE105+AK105)</f>
        <v/>
      </c>
      <c r="BG105" s="29">
        <f>IF(A105="","",BF105+AL105)</f>
        <v/>
      </c>
      <c r="BH105" s="29">
        <f>IF(A105="","",BG105+AM105)</f>
        <v/>
      </c>
      <c r="BI105" s="36">
        <f>IF(A105="","",(K105)*(IF((YEAR(D105)+0)&lt;YEAR(E105),0,IF((YEAR(D105)+0)&gt;YEAR(E105),1,(12-MONTH(E105)+1)/12)))*(1/(1+DiscountRate)^0))</f>
        <v/>
      </c>
      <c r="BJ105" s="36">
        <f>IF(A105="","",(K105)*(IF((YEAR(D105)+1)&lt;YEAR(E105),0,IF((YEAR(D105)+1)&gt;YEAR(E105),1,(12-MONTH(E105)+1)/12)))*(1/(1+DiscountRate)^1))</f>
        <v/>
      </c>
      <c r="BK105" s="36">
        <f>IF(A105="","",(K105)*(IF((YEAR(D105)+2)&lt;YEAR(E105),0,IF((YEAR(D105)+2)&gt;YEAR(E105),1,(12-MONTH(E105)+1)/12)))*(1/(1+DiscountRate)^2))</f>
        <v/>
      </c>
      <c r="BL105" s="36">
        <f>IF(A105="","",(K105)*(IF((YEAR(D105)+3)&lt;YEAR(E105),0,IF((YEAR(D105)+3)&gt;YEAR(E105),1,(12-MONTH(E105)+1)/12)))*(1/(1+DiscountRate)^3))</f>
        <v/>
      </c>
      <c r="BM105" s="36">
        <f>IF(A105="","",(K105)*(IF((YEAR(D105)+4)&lt;YEAR(E105),0,IF((YEAR(D105)+4)&gt;YEAR(E105),1,(12-MONTH(E105)+1)/12)))*(1/(1+DiscountRate)^4))</f>
        <v/>
      </c>
      <c r="BN105" s="36">
        <f>IF(A105="","",(K105)*(IF((YEAR(D105)+5)&lt;YEAR(E105),0,IF((YEAR(D105)+5)&gt;YEAR(E105),1,(12-MONTH(E105)+1)/12)))*(1/(1+DiscountRate)^5))</f>
        <v/>
      </c>
      <c r="BO105" s="36">
        <f>IF(A105="","",(K105)*(IF((YEAR(D105)+6)&lt;YEAR(E105),0,IF((YEAR(D105)+6)&gt;YEAR(E105),1,(12-MONTH(E105)+1)/12)))*(1/(1+DiscountRate)^6))</f>
        <v/>
      </c>
      <c r="BP105" s="36">
        <f>IF(A105="","",(K105)*(IF((YEAR(D105)+7)&lt;YEAR(E105),0,IF((YEAR(D105)+7)&gt;YEAR(E105),1,(12-MONTH(E105)+1)/12)))*(1/(1+DiscountRate)^7))</f>
        <v/>
      </c>
      <c r="BQ105" s="36">
        <f>IF(A105="","",(K105)*(IF((YEAR(D105)+8)&lt;YEAR(E105),0,IF((YEAR(D105)+8)&gt;YEAR(E105),1,(12-MONTH(E105)+1)/12)))*(1/(1+DiscountRate)^8))</f>
        <v/>
      </c>
      <c r="BR105" s="36">
        <f>IF(A105="","",(K105)*(IF((YEAR(D105)+9)&lt;YEAR(E105),0,IF((YEAR(D105)+9)&gt;YEAR(E105),1,(12-MONTH(E105)+1)/12)))*(1/(1+DiscountRate)^9))</f>
        <v/>
      </c>
      <c r="BS105" s="36">
        <f>IF(A105="","",(K105)*(IF((YEAR(D105)+10)&lt;YEAR(E105),0,IF((YEAR(D105)+10)&gt;YEAR(E105),1,(12-MONTH(E105)+1)/12)))*(1/(1+DiscountRate)^10))</f>
        <v/>
      </c>
      <c r="BT105" s="36">
        <f>IF(A105="","",(K105)*(IF((YEAR(D105)+11)&lt;YEAR(E105),0,IF((YEAR(D105)+11)&gt;YEAR(E105),1,(12-MONTH(E105)+1)/12)))*(1/(1+DiscountRate)^11))</f>
        <v/>
      </c>
      <c r="BU105" s="36">
        <f>IF(A105="","",(K105)*(IF((YEAR(D105)+12)&lt;YEAR(E105),0,IF((YEAR(D105)+12)&gt;YEAR(E105),1,(12-MONTH(E105)+1)/12)))*(1/(1+DiscountRate)^12))</f>
        <v/>
      </c>
      <c r="BV105" s="36">
        <f>IF(A105="","",(K105)*(IF((YEAR(D105)+13)&lt;YEAR(E105),0,IF((YEAR(D105)+13)&gt;YEAR(E105),1,(12-MONTH(E105)+1)/12)))*(1/(1+DiscountRate)^13))</f>
        <v/>
      </c>
      <c r="BW105" s="36">
        <f>IF(A105="","",(K105)*(IF((YEAR(D105)+14)&lt;YEAR(E105),0,IF((YEAR(D105)+14)&gt;YEAR(E105),1,(12-MONTH(E105)+1)/12)))*(1/(1+DiscountRate)^14))</f>
        <v/>
      </c>
      <c r="BX105" s="36">
        <f>IF(A105="","",(K105)*(IF((YEAR(D105)+15)&lt;YEAR(E105),0,IF((YEAR(D105)+15)&gt;YEAR(E105),1,(12-MONTH(E105)+1)/12)))*(1/(1+DiscountRate)^15))</f>
        <v/>
      </c>
      <c r="BY105" s="36">
        <f>IF(A105="","",(K105)*(IF((YEAR(D105)+16)&lt;YEAR(E105),0,IF((YEAR(D105)+16)&gt;YEAR(E105),1,(12-MONTH(E105)+1)/12)))*(1/(1+DiscountRate)^16))</f>
        <v/>
      </c>
      <c r="BZ105" s="36">
        <f>IF(A105="","",(K105)*(IF((YEAR(D105)+17)&lt;YEAR(E105),0,IF((YEAR(D105)+17)&gt;YEAR(E105),1,(12-MONTH(E105)+1)/12)))*(1/(1+DiscountRate)^17))</f>
        <v/>
      </c>
      <c r="CA105" s="36">
        <f>IF(A105="","",(K105)*(IF((YEAR(D105)+18)&lt;YEAR(E105),0,IF((YEAR(D105)+18)&gt;YEAR(E105),1,(12-MONTH(E105)+1)/12)))*(1/(1+DiscountRate)^18))</f>
        <v/>
      </c>
      <c r="CB105" s="36">
        <f>IF(A105="","",(K105)*(IF((YEAR(D105)+19)&lt;YEAR(E105),0,IF((YEAR(D105)+19)&gt;YEAR(E105),1,(12-MONTH(E105)+1)/12)))*(1/(1+DiscountRate)^19))</f>
        <v/>
      </c>
      <c r="CC105" s="36">
        <f>IF(A105="","",(K105)*(IF((YEAR(D105)+20)&lt;YEAR(E105),0,IF((YEAR(D105)+20)&gt;YEAR(E105),1,(12-MONTH(E105)+1)/12)))*(1/(1+DiscountRate)^20))</f>
        <v/>
      </c>
      <c r="CD105" s="29">
        <f>IF(A105="","",S105/(1+DiscountRate)^0+T105/(1+DiscountRate)^1+U105/(1+DiscountRate)^2+V105/(1+DiscountRate)^3+W105/(1+DiscountRate)^4+X105/(1+DiscountRate)^5+Y105/(1+DiscountRate)^6+Z105/(1+DiscountRate)^7+AA105/(1+DiscountRate)^8+AB105/(1+DiscountRate)^9+AC105/(1+DiscountRate)^10+AD105/(1+DiscountRate)^11+AE105/(1+DiscountRate)^12+AF105/(1+DiscountRate)^13+AG105/(1+DiscountRate)^14+AH105/(1+DiscountRate)^15+AI105/(1+DiscountRate)^16+AJ105/(1+DiscountRate)^17+AK105/(1+DiscountRate)^18+AL105/(1+DiscountRate)^19+AM105/(1+DiscountRate)^20)</f>
        <v/>
      </c>
      <c r="CE105" s="37">
        <f>IF(A105="","",IFERROR(IRR(OFFSET(S105,0,0,1,MIN(HorizonYears,20)+1)),"n/a"))</f>
        <v/>
      </c>
      <c r="CF105" s="28">
        <f>IF(A105="","",IFERROR(MATCH(TRUE,OFFSET(AN105,0,0,1,MIN(HorizonYears,20)+1)&gt;=0,0)-1,"n/a"))</f>
        <v/>
      </c>
      <c r="CG105" s="36">
        <f>IF(A105="","",SUM(OFFSET(BI105,0,0,1,MIN(HorizonYears,20)+1)))</f>
        <v/>
      </c>
      <c r="CH105" s="36">
        <f>IF(A105="","",IFERROR(-CD105/CG105,"n/a"))</f>
        <v/>
      </c>
    </row>
    <row r="106">
      <c r="A106" s="6">
        <f>Actions!A104</f>
        <v/>
      </c>
      <c r="B106" s="6">
        <f>Actions!B104</f>
        <v/>
      </c>
      <c r="C106" s="6">
        <f>Actions!D104</f>
        <v/>
      </c>
      <c r="D106" s="35">
        <f>Actions!E104</f>
        <v/>
      </c>
      <c r="E106" s="35">
        <f>Actions!F104</f>
        <v/>
      </c>
      <c r="F106" s="6">
        <f>Actions!G104</f>
        <v/>
      </c>
      <c r="G106" s="6">
        <f>Actions!H104</f>
        <v/>
      </c>
      <c r="H106" s="29">
        <f>Actions!I104</f>
        <v/>
      </c>
      <c r="I106" s="6">
        <f>Actions!J104</f>
        <v/>
      </c>
      <c r="J106" s="16">
        <f>Actions!K104</f>
        <v/>
      </c>
      <c r="K106" s="16">
        <f>IF(A106="","",IF(I106="%",H106*J106,J106))</f>
        <v/>
      </c>
      <c r="L106" s="16">
        <f>Actions!L104</f>
        <v/>
      </c>
      <c r="M106" s="6">
        <f>Actions!M104</f>
        <v/>
      </c>
      <c r="N106" s="28">
        <f>Actions!N104</f>
        <v/>
      </c>
      <c r="O106" s="29">
        <f>Actions!T104</f>
        <v/>
      </c>
      <c r="P106" s="29">
        <f>Actions!Y104</f>
        <v/>
      </c>
      <c r="Q106" s="29">
        <f>Actions!Z104</f>
        <v/>
      </c>
      <c r="R106" s="29">
        <f>Actions!AA104</f>
        <v/>
      </c>
      <c r="S106" s="29">
        <f>IF(A106="","",((K106)*(IF(M106="",L106,IFERROR(IF(INDEX(Variablen!$I:$AT, MATCH(M106, Variablen!$A:$A, 0), MATCH((YEAR(D106)+0), Variablen!$I$3:$AT$3, 0))="",L106,INDEX(Variablen!$I:$AT, MATCH(M106, Variablen!$A:$A, 0), MATCH((YEAR(D106)+0), Variablen!$I$3:$AT$3, 0))),L106)))*(IF((YEAR(D106)+0)&lt;YEAR(E106),0,IF((YEAR(D106)+0)&gt;YEAR(E106),1,(12-MONTH(E106)+1)/12))) + (Q106)*(IF((YEAR(D106)+0)&lt;YEAR(E106),0,IF((YEAR(D106)+0)&gt;YEAR(E106),1,(12-MONTH(E106)+1)/12))))-((P106)*(IF((YEAR(D106)+0)&lt;YEAR(E106),0,IF((YEAR(D106)+0)&gt;YEAR(E106),1,(12-MONTH(E106)+1)/12))) + (R106)*(IF((YEAR(D106)+0)&lt;YEAR(E106),0,IF((YEAR(D106)+0)&gt;YEAR(E106),1,(12-MONTH(E106)+1)/12))))-(IF((((K106)*(IF(M106="",L106,IFERROR(IF(INDEX(Variablen!$I:$AT, MATCH(M106, Variablen!$A:$A, 0), MATCH((YEAR(D106)+0), Variablen!$I$3:$AT$3, 0))="",L106,INDEX(Variablen!$I:$AT, MATCH(M106, Variablen!$A:$A, 0), MATCH((YEAR(D106)+0), Variablen!$I$3:$AT$3, 0))),L106)))*(IF((YEAR(D106)+0)&lt;YEAR(E106),0,IF((YEAR(D106)+0)&gt;YEAR(E106),1,(12-MONTH(E106)+1)/12))) + (Q106)*(IF((YEAR(D106)+0)&lt;YEAR(E106),0,IF((YEAR(D106)+0)&gt;YEAR(E106),1,(12-MONTH(E106)+1)/12))))-((P106)*(IF((YEAR(D106)+0)&lt;YEAR(E106),0,IF((YEAR(D106)+0)&gt;YEAR(E106),1,(12-MONTH(E106)+1)/12))) + (R106)*(IF((YEAR(D106)+0)&lt;YEAR(E106),0,IF((YEAR(D106)+0)&gt;YEAR(E106),1,(12-MONTH(E106)+1)/12))))-(IF(OR(N106="",N106&lt;=0),0,(O106/N106)*(IF(OR(N106="",N106&lt;=0),0,IF((YEAR(D106)+0)&lt;YEAR(E106),0,IF((YEAR(D106)+0)&gt;=YEAR(E106)+N106,0,IF((YEAR(D106)+0)=YEAR(E106),(12-MONTH(E106)+1)/12,1))))))))&gt;0,(((K106)*(IF(M106="",L106,IFERROR(IF(INDEX(Variablen!$I:$AT, MATCH(M106, Variablen!$A:$A, 0), MATCH((YEAR(D106)+0), Variablen!$I$3:$AT$3, 0))="",L106,INDEX(Variablen!$I:$AT, MATCH(M106, Variablen!$A:$A, 0), MATCH((YEAR(D106)+0), Variablen!$I$3:$AT$3, 0))),L106)))*(IF((YEAR(D106)+0)&lt;YEAR(E106),0,IF((YEAR(D106)+0)&gt;YEAR(E106),1,(12-MONTH(E106)+1)/12))) + (Q106)*(IF((YEAR(D106)+0)&lt;YEAR(E106),0,IF((YEAR(D106)+0)&gt;YEAR(E106),1,(12-MONTH(E106)+1)/12))))-((P106)*(IF((YEAR(D106)+0)&lt;YEAR(E106),0,IF((YEAR(D106)+0)&gt;YEAR(E106),1,(12-MONTH(E106)+1)/12))) + (R106)*(IF((YEAR(D106)+0)&lt;YEAR(E106),0,IF((YEAR(D106)+0)&gt;YEAR(E106),1,(12-MONTH(E106)+1)/12))))-(IF(OR(N106="",N106&lt;=0),0,(O106/N106)*(IF(OR(N106="",N106&lt;=0),0,IF((YEAR(D106)+0)&lt;YEAR(E106),0,IF((YEAR(D106)+0)&gt;=YEAR(E106)+N106,0,IF((YEAR(D106)+0)=YEAR(E106),(12-MONTH(E106)+1)/12,1))))))))*TaxRate,0))-IF(0=0,O106,0))</f>
        <v/>
      </c>
      <c r="T106" s="29">
        <f>IF(A106="","",((K106)*(IF(M106="",L106,IFERROR(IF(INDEX(Variablen!$I:$AT, MATCH(M106, Variablen!$A:$A, 0), MATCH((YEAR(D106)+1), Variablen!$I$3:$AT$3, 0))="",L106,INDEX(Variablen!$I:$AT, MATCH(M106, Variablen!$A:$A, 0), MATCH((YEAR(D106)+1), Variablen!$I$3:$AT$3, 0))),L106)))*(IF((YEAR(D106)+1)&lt;YEAR(E106),0,IF((YEAR(D106)+1)&gt;YEAR(E106),1,(12-MONTH(E106)+1)/12))) + (Q106)*(IF((YEAR(D106)+1)&lt;YEAR(E106),0,IF((YEAR(D106)+1)&gt;YEAR(E106),1,(12-MONTH(E106)+1)/12))))-((P106)*(IF((YEAR(D106)+1)&lt;YEAR(E106),0,IF((YEAR(D106)+1)&gt;YEAR(E106),1,(12-MONTH(E106)+1)/12))) + (R106)*(IF((YEAR(D106)+1)&lt;YEAR(E106),0,IF((YEAR(D106)+1)&gt;YEAR(E106),1,(12-MONTH(E106)+1)/12))))-(IF((((K106)*(IF(M106="",L106,IFERROR(IF(INDEX(Variablen!$I:$AT, MATCH(M106, Variablen!$A:$A, 0), MATCH((YEAR(D106)+1), Variablen!$I$3:$AT$3, 0))="",L106,INDEX(Variablen!$I:$AT, MATCH(M106, Variablen!$A:$A, 0), MATCH((YEAR(D106)+1), Variablen!$I$3:$AT$3, 0))),L106)))*(IF((YEAR(D106)+1)&lt;YEAR(E106),0,IF((YEAR(D106)+1)&gt;YEAR(E106),1,(12-MONTH(E106)+1)/12))) + (Q106)*(IF((YEAR(D106)+1)&lt;YEAR(E106),0,IF((YEAR(D106)+1)&gt;YEAR(E106),1,(12-MONTH(E106)+1)/12))))-((P106)*(IF((YEAR(D106)+1)&lt;YEAR(E106),0,IF((YEAR(D106)+1)&gt;YEAR(E106),1,(12-MONTH(E106)+1)/12))) + (R106)*(IF((YEAR(D106)+1)&lt;YEAR(E106),0,IF((YEAR(D106)+1)&gt;YEAR(E106),1,(12-MONTH(E106)+1)/12))))-(IF(OR(N106="",N106&lt;=0),0,(O106/N106)*(IF(OR(N106="",N106&lt;=0),0,IF((YEAR(D106)+1)&lt;YEAR(E106),0,IF((YEAR(D106)+1)&gt;=YEAR(E106)+N106,0,IF((YEAR(D106)+1)=YEAR(E106),(12-MONTH(E106)+1)/12,1))))))))&gt;0,(((K106)*(IF(M106="",L106,IFERROR(IF(INDEX(Variablen!$I:$AT, MATCH(M106, Variablen!$A:$A, 0), MATCH((YEAR(D106)+1), Variablen!$I$3:$AT$3, 0))="",L106,INDEX(Variablen!$I:$AT, MATCH(M106, Variablen!$A:$A, 0), MATCH((YEAR(D106)+1), Variablen!$I$3:$AT$3, 0))),L106)))*(IF((YEAR(D106)+1)&lt;YEAR(E106),0,IF((YEAR(D106)+1)&gt;YEAR(E106),1,(12-MONTH(E106)+1)/12))) + (Q106)*(IF((YEAR(D106)+1)&lt;YEAR(E106),0,IF((YEAR(D106)+1)&gt;YEAR(E106),1,(12-MONTH(E106)+1)/12))))-((P106)*(IF((YEAR(D106)+1)&lt;YEAR(E106),0,IF((YEAR(D106)+1)&gt;YEAR(E106),1,(12-MONTH(E106)+1)/12))) + (R106)*(IF((YEAR(D106)+1)&lt;YEAR(E106),0,IF((YEAR(D106)+1)&gt;YEAR(E106),1,(12-MONTH(E106)+1)/12))))-(IF(OR(N106="",N106&lt;=0),0,(O106/N106)*(IF(OR(N106="",N106&lt;=0),0,IF((YEAR(D106)+1)&lt;YEAR(E106),0,IF((YEAR(D106)+1)&gt;=YEAR(E106)+N106,0,IF((YEAR(D106)+1)=YEAR(E106),(12-MONTH(E106)+1)/12,1))))))))*TaxRate,0))-IF(1=0,O106,0))</f>
        <v/>
      </c>
      <c r="U106" s="29">
        <f>IF(A106="","",((K106)*(IF(M106="",L106,IFERROR(IF(INDEX(Variablen!$I:$AT, MATCH(M106, Variablen!$A:$A, 0), MATCH((YEAR(D106)+2), Variablen!$I$3:$AT$3, 0))="",L106,INDEX(Variablen!$I:$AT, MATCH(M106, Variablen!$A:$A, 0), MATCH((YEAR(D106)+2), Variablen!$I$3:$AT$3, 0))),L106)))*(IF((YEAR(D106)+2)&lt;YEAR(E106),0,IF((YEAR(D106)+2)&gt;YEAR(E106),1,(12-MONTH(E106)+1)/12))) + (Q106)*(IF((YEAR(D106)+2)&lt;YEAR(E106),0,IF((YEAR(D106)+2)&gt;YEAR(E106),1,(12-MONTH(E106)+1)/12))))-((P106)*(IF((YEAR(D106)+2)&lt;YEAR(E106),0,IF((YEAR(D106)+2)&gt;YEAR(E106),1,(12-MONTH(E106)+1)/12))) + (R106)*(IF((YEAR(D106)+2)&lt;YEAR(E106),0,IF((YEAR(D106)+2)&gt;YEAR(E106),1,(12-MONTH(E106)+1)/12))))-(IF((((K106)*(IF(M106="",L106,IFERROR(IF(INDEX(Variablen!$I:$AT, MATCH(M106, Variablen!$A:$A, 0), MATCH((YEAR(D106)+2), Variablen!$I$3:$AT$3, 0))="",L106,INDEX(Variablen!$I:$AT, MATCH(M106, Variablen!$A:$A, 0), MATCH((YEAR(D106)+2), Variablen!$I$3:$AT$3, 0))),L106)))*(IF((YEAR(D106)+2)&lt;YEAR(E106),0,IF((YEAR(D106)+2)&gt;YEAR(E106),1,(12-MONTH(E106)+1)/12))) + (Q106)*(IF((YEAR(D106)+2)&lt;YEAR(E106),0,IF((YEAR(D106)+2)&gt;YEAR(E106),1,(12-MONTH(E106)+1)/12))))-((P106)*(IF((YEAR(D106)+2)&lt;YEAR(E106),0,IF((YEAR(D106)+2)&gt;YEAR(E106),1,(12-MONTH(E106)+1)/12))) + (R106)*(IF((YEAR(D106)+2)&lt;YEAR(E106),0,IF((YEAR(D106)+2)&gt;YEAR(E106),1,(12-MONTH(E106)+1)/12))))-(IF(OR(N106="",N106&lt;=0),0,(O106/N106)*(IF(OR(N106="",N106&lt;=0),0,IF((YEAR(D106)+2)&lt;YEAR(E106),0,IF((YEAR(D106)+2)&gt;=YEAR(E106)+N106,0,IF((YEAR(D106)+2)=YEAR(E106),(12-MONTH(E106)+1)/12,1))))))))&gt;0,(((K106)*(IF(M106="",L106,IFERROR(IF(INDEX(Variablen!$I:$AT, MATCH(M106, Variablen!$A:$A, 0), MATCH((YEAR(D106)+2), Variablen!$I$3:$AT$3, 0))="",L106,INDEX(Variablen!$I:$AT, MATCH(M106, Variablen!$A:$A, 0), MATCH((YEAR(D106)+2), Variablen!$I$3:$AT$3, 0))),L106)))*(IF((YEAR(D106)+2)&lt;YEAR(E106),0,IF((YEAR(D106)+2)&gt;YEAR(E106),1,(12-MONTH(E106)+1)/12))) + (Q106)*(IF((YEAR(D106)+2)&lt;YEAR(E106),0,IF((YEAR(D106)+2)&gt;YEAR(E106),1,(12-MONTH(E106)+1)/12))))-((P106)*(IF((YEAR(D106)+2)&lt;YEAR(E106),0,IF((YEAR(D106)+2)&gt;YEAR(E106),1,(12-MONTH(E106)+1)/12))) + (R106)*(IF((YEAR(D106)+2)&lt;YEAR(E106),0,IF((YEAR(D106)+2)&gt;YEAR(E106),1,(12-MONTH(E106)+1)/12))))-(IF(OR(N106="",N106&lt;=0),0,(O106/N106)*(IF(OR(N106="",N106&lt;=0),0,IF((YEAR(D106)+2)&lt;YEAR(E106),0,IF((YEAR(D106)+2)&gt;=YEAR(E106)+N106,0,IF((YEAR(D106)+2)=YEAR(E106),(12-MONTH(E106)+1)/12,1))))))))*TaxRate,0))-IF(2=0,O106,0))</f>
        <v/>
      </c>
      <c r="V106" s="29">
        <f>IF(A106="","",((K106)*(IF(M106="",L106,IFERROR(IF(INDEX(Variablen!$I:$AT, MATCH(M106, Variablen!$A:$A, 0), MATCH((YEAR(D106)+3), Variablen!$I$3:$AT$3, 0))="",L106,INDEX(Variablen!$I:$AT, MATCH(M106, Variablen!$A:$A, 0), MATCH((YEAR(D106)+3), Variablen!$I$3:$AT$3, 0))),L106)))*(IF((YEAR(D106)+3)&lt;YEAR(E106),0,IF((YEAR(D106)+3)&gt;YEAR(E106),1,(12-MONTH(E106)+1)/12))) + (Q106)*(IF((YEAR(D106)+3)&lt;YEAR(E106),0,IF((YEAR(D106)+3)&gt;YEAR(E106),1,(12-MONTH(E106)+1)/12))))-((P106)*(IF((YEAR(D106)+3)&lt;YEAR(E106),0,IF((YEAR(D106)+3)&gt;YEAR(E106),1,(12-MONTH(E106)+1)/12))) + (R106)*(IF((YEAR(D106)+3)&lt;YEAR(E106),0,IF((YEAR(D106)+3)&gt;YEAR(E106),1,(12-MONTH(E106)+1)/12))))-(IF((((K106)*(IF(M106="",L106,IFERROR(IF(INDEX(Variablen!$I:$AT, MATCH(M106, Variablen!$A:$A, 0), MATCH((YEAR(D106)+3), Variablen!$I$3:$AT$3, 0))="",L106,INDEX(Variablen!$I:$AT, MATCH(M106, Variablen!$A:$A, 0), MATCH((YEAR(D106)+3), Variablen!$I$3:$AT$3, 0))),L106)))*(IF((YEAR(D106)+3)&lt;YEAR(E106),0,IF((YEAR(D106)+3)&gt;YEAR(E106),1,(12-MONTH(E106)+1)/12))) + (Q106)*(IF((YEAR(D106)+3)&lt;YEAR(E106),0,IF((YEAR(D106)+3)&gt;YEAR(E106),1,(12-MONTH(E106)+1)/12))))-((P106)*(IF((YEAR(D106)+3)&lt;YEAR(E106),0,IF((YEAR(D106)+3)&gt;YEAR(E106),1,(12-MONTH(E106)+1)/12))) + (R106)*(IF((YEAR(D106)+3)&lt;YEAR(E106),0,IF((YEAR(D106)+3)&gt;YEAR(E106),1,(12-MONTH(E106)+1)/12))))-(IF(OR(N106="",N106&lt;=0),0,(O106/N106)*(IF(OR(N106="",N106&lt;=0),0,IF((YEAR(D106)+3)&lt;YEAR(E106),0,IF((YEAR(D106)+3)&gt;=YEAR(E106)+N106,0,IF((YEAR(D106)+3)=YEAR(E106),(12-MONTH(E106)+1)/12,1))))))))&gt;0,(((K106)*(IF(M106="",L106,IFERROR(IF(INDEX(Variablen!$I:$AT, MATCH(M106, Variablen!$A:$A, 0), MATCH((YEAR(D106)+3), Variablen!$I$3:$AT$3, 0))="",L106,INDEX(Variablen!$I:$AT, MATCH(M106, Variablen!$A:$A, 0), MATCH((YEAR(D106)+3), Variablen!$I$3:$AT$3, 0))),L106)))*(IF((YEAR(D106)+3)&lt;YEAR(E106),0,IF((YEAR(D106)+3)&gt;YEAR(E106),1,(12-MONTH(E106)+1)/12))) + (Q106)*(IF((YEAR(D106)+3)&lt;YEAR(E106),0,IF((YEAR(D106)+3)&gt;YEAR(E106),1,(12-MONTH(E106)+1)/12))))-((P106)*(IF((YEAR(D106)+3)&lt;YEAR(E106),0,IF((YEAR(D106)+3)&gt;YEAR(E106),1,(12-MONTH(E106)+1)/12))) + (R106)*(IF((YEAR(D106)+3)&lt;YEAR(E106),0,IF((YEAR(D106)+3)&gt;YEAR(E106),1,(12-MONTH(E106)+1)/12))))-(IF(OR(N106="",N106&lt;=0),0,(O106/N106)*(IF(OR(N106="",N106&lt;=0),0,IF((YEAR(D106)+3)&lt;YEAR(E106),0,IF((YEAR(D106)+3)&gt;=YEAR(E106)+N106,0,IF((YEAR(D106)+3)=YEAR(E106),(12-MONTH(E106)+1)/12,1))))))))*TaxRate,0))-IF(3=0,O106,0))</f>
        <v/>
      </c>
      <c r="W106" s="29">
        <f>IF(A106="","",((K106)*(IF(M106="",L106,IFERROR(IF(INDEX(Variablen!$I:$AT, MATCH(M106, Variablen!$A:$A, 0), MATCH((YEAR(D106)+4), Variablen!$I$3:$AT$3, 0))="",L106,INDEX(Variablen!$I:$AT, MATCH(M106, Variablen!$A:$A, 0), MATCH((YEAR(D106)+4), Variablen!$I$3:$AT$3, 0))),L106)))*(IF((YEAR(D106)+4)&lt;YEAR(E106),0,IF((YEAR(D106)+4)&gt;YEAR(E106),1,(12-MONTH(E106)+1)/12))) + (Q106)*(IF((YEAR(D106)+4)&lt;YEAR(E106),0,IF((YEAR(D106)+4)&gt;YEAR(E106),1,(12-MONTH(E106)+1)/12))))-((P106)*(IF((YEAR(D106)+4)&lt;YEAR(E106),0,IF((YEAR(D106)+4)&gt;YEAR(E106),1,(12-MONTH(E106)+1)/12))) + (R106)*(IF((YEAR(D106)+4)&lt;YEAR(E106),0,IF((YEAR(D106)+4)&gt;YEAR(E106),1,(12-MONTH(E106)+1)/12))))-(IF((((K106)*(IF(M106="",L106,IFERROR(IF(INDEX(Variablen!$I:$AT, MATCH(M106, Variablen!$A:$A, 0), MATCH((YEAR(D106)+4), Variablen!$I$3:$AT$3, 0))="",L106,INDEX(Variablen!$I:$AT, MATCH(M106, Variablen!$A:$A, 0), MATCH((YEAR(D106)+4), Variablen!$I$3:$AT$3, 0))),L106)))*(IF((YEAR(D106)+4)&lt;YEAR(E106),0,IF((YEAR(D106)+4)&gt;YEAR(E106),1,(12-MONTH(E106)+1)/12))) + (Q106)*(IF((YEAR(D106)+4)&lt;YEAR(E106),0,IF((YEAR(D106)+4)&gt;YEAR(E106),1,(12-MONTH(E106)+1)/12))))-((P106)*(IF((YEAR(D106)+4)&lt;YEAR(E106),0,IF((YEAR(D106)+4)&gt;YEAR(E106),1,(12-MONTH(E106)+1)/12))) + (R106)*(IF((YEAR(D106)+4)&lt;YEAR(E106),0,IF((YEAR(D106)+4)&gt;YEAR(E106),1,(12-MONTH(E106)+1)/12))))-(IF(OR(N106="",N106&lt;=0),0,(O106/N106)*(IF(OR(N106="",N106&lt;=0),0,IF((YEAR(D106)+4)&lt;YEAR(E106),0,IF((YEAR(D106)+4)&gt;=YEAR(E106)+N106,0,IF((YEAR(D106)+4)=YEAR(E106),(12-MONTH(E106)+1)/12,1))))))))&gt;0,(((K106)*(IF(M106="",L106,IFERROR(IF(INDEX(Variablen!$I:$AT, MATCH(M106, Variablen!$A:$A, 0), MATCH((YEAR(D106)+4), Variablen!$I$3:$AT$3, 0))="",L106,INDEX(Variablen!$I:$AT, MATCH(M106, Variablen!$A:$A, 0), MATCH((YEAR(D106)+4), Variablen!$I$3:$AT$3, 0))),L106)))*(IF((YEAR(D106)+4)&lt;YEAR(E106),0,IF((YEAR(D106)+4)&gt;YEAR(E106),1,(12-MONTH(E106)+1)/12))) + (Q106)*(IF((YEAR(D106)+4)&lt;YEAR(E106),0,IF((YEAR(D106)+4)&gt;YEAR(E106),1,(12-MONTH(E106)+1)/12))))-((P106)*(IF((YEAR(D106)+4)&lt;YEAR(E106),0,IF((YEAR(D106)+4)&gt;YEAR(E106),1,(12-MONTH(E106)+1)/12))) + (R106)*(IF((YEAR(D106)+4)&lt;YEAR(E106),0,IF((YEAR(D106)+4)&gt;YEAR(E106),1,(12-MONTH(E106)+1)/12))))-(IF(OR(N106="",N106&lt;=0),0,(O106/N106)*(IF(OR(N106="",N106&lt;=0),0,IF((YEAR(D106)+4)&lt;YEAR(E106),0,IF((YEAR(D106)+4)&gt;=YEAR(E106)+N106,0,IF((YEAR(D106)+4)=YEAR(E106),(12-MONTH(E106)+1)/12,1))))))))*TaxRate,0))-IF(4=0,O106,0))</f>
        <v/>
      </c>
      <c r="X106" s="29">
        <f>IF(A106="","",((K106)*(IF(M106="",L106,IFERROR(IF(INDEX(Variablen!$I:$AT, MATCH(M106, Variablen!$A:$A, 0), MATCH((YEAR(D106)+5), Variablen!$I$3:$AT$3, 0))="",L106,INDEX(Variablen!$I:$AT, MATCH(M106, Variablen!$A:$A, 0), MATCH((YEAR(D106)+5), Variablen!$I$3:$AT$3, 0))),L106)))*(IF((YEAR(D106)+5)&lt;YEAR(E106),0,IF((YEAR(D106)+5)&gt;YEAR(E106),1,(12-MONTH(E106)+1)/12))) + (Q106)*(IF((YEAR(D106)+5)&lt;YEAR(E106),0,IF((YEAR(D106)+5)&gt;YEAR(E106),1,(12-MONTH(E106)+1)/12))))-((P106)*(IF((YEAR(D106)+5)&lt;YEAR(E106),0,IF((YEAR(D106)+5)&gt;YEAR(E106),1,(12-MONTH(E106)+1)/12))) + (R106)*(IF((YEAR(D106)+5)&lt;YEAR(E106),0,IF((YEAR(D106)+5)&gt;YEAR(E106),1,(12-MONTH(E106)+1)/12))))-(IF((((K106)*(IF(M106="",L106,IFERROR(IF(INDEX(Variablen!$I:$AT, MATCH(M106, Variablen!$A:$A, 0), MATCH((YEAR(D106)+5), Variablen!$I$3:$AT$3, 0))="",L106,INDEX(Variablen!$I:$AT, MATCH(M106, Variablen!$A:$A, 0), MATCH((YEAR(D106)+5), Variablen!$I$3:$AT$3, 0))),L106)))*(IF((YEAR(D106)+5)&lt;YEAR(E106),0,IF((YEAR(D106)+5)&gt;YEAR(E106),1,(12-MONTH(E106)+1)/12))) + (Q106)*(IF((YEAR(D106)+5)&lt;YEAR(E106),0,IF((YEAR(D106)+5)&gt;YEAR(E106),1,(12-MONTH(E106)+1)/12))))-((P106)*(IF((YEAR(D106)+5)&lt;YEAR(E106),0,IF((YEAR(D106)+5)&gt;YEAR(E106),1,(12-MONTH(E106)+1)/12))) + (R106)*(IF((YEAR(D106)+5)&lt;YEAR(E106),0,IF((YEAR(D106)+5)&gt;YEAR(E106),1,(12-MONTH(E106)+1)/12))))-(IF(OR(N106="",N106&lt;=0),0,(O106/N106)*(IF(OR(N106="",N106&lt;=0),0,IF((YEAR(D106)+5)&lt;YEAR(E106),0,IF((YEAR(D106)+5)&gt;=YEAR(E106)+N106,0,IF((YEAR(D106)+5)=YEAR(E106),(12-MONTH(E106)+1)/12,1))))))))&gt;0,(((K106)*(IF(M106="",L106,IFERROR(IF(INDEX(Variablen!$I:$AT, MATCH(M106, Variablen!$A:$A, 0), MATCH((YEAR(D106)+5), Variablen!$I$3:$AT$3, 0))="",L106,INDEX(Variablen!$I:$AT, MATCH(M106, Variablen!$A:$A, 0), MATCH((YEAR(D106)+5), Variablen!$I$3:$AT$3, 0))),L106)))*(IF((YEAR(D106)+5)&lt;YEAR(E106),0,IF((YEAR(D106)+5)&gt;YEAR(E106),1,(12-MONTH(E106)+1)/12))) + (Q106)*(IF((YEAR(D106)+5)&lt;YEAR(E106),0,IF((YEAR(D106)+5)&gt;YEAR(E106),1,(12-MONTH(E106)+1)/12))))-((P106)*(IF((YEAR(D106)+5)&lt;YEAR(E106),0,IF((YEAR(D106)+5)&gt;YEAR(E106),1,(12-MONTH(E106)+1)/12))) + (R106)*(IF((YEAR(D106)+5)&lt;YEAR(E106),0,IF((YEAR(D106)+5)&gt;YEAR(E106),1,(12-MONTH(E106)+1)/12))))-(IF(OR(N106="",N106&lt;=0),0,(O106/N106)*(IF(OR(N106="",N106&lt;=0),0,IF((YEAR(D106)+5)&lt;YEAR(E106),0,IF((YEAR(D106)+5)&gt;=YEAR(E106)+N106,0,IF((YEAR(D106)+5)=YEAR(E106),(12-MONTH(E106)+1)/12,1))))))))*TaxRate,0))-IF(5=0,O106,0))</f>
        <v/>
      </c>
      <c r="Y106" s="29">
        <f>IF(A106="","",((K106)*(IF(M106="",L106,IFERROR(IF(INDEX(Variablen!$I:$AT, MATCH(M106, Variablen!$A:$A, 0), MATCH((YEAR(D106)+6), Variablen!$I$3:$AT$3, 0))="",L106,INDEX(Variablen!$I:$AT, MATCH(M106, Variablen!$A:$A, 0), MATCH((YEAR(D106)+6), Variablen!$I$3:$AT$3, 0))),L106)))*(IF((YEAR(D106)+6)&lt;YEAR(E106),0,IF((YEAR(D106)+6)&gt;YEAR(E106),1,(12-MONTH(E106)+1)/12))) + (Q106)*(IF((YEAR(D106)+6)&lt;YEAR(E106),0,IF((YEAR(D106)+6)&gt;YEAR(E106),1,(12-MONTH(E106)+1)/12))))-((P106)*(IF((YEAR(D106)+6)&lt;YEAR(E106),0,IF((YEAR(D106)+6)&gt;YEAR(E106),1,(12-MONTH(E106)+1)/12))) + (R106)*(IF((YEAR(D106)+6)&lt;YEAR(E106),0,IF((YEAR(D106)+6)&gt;YEAR(E106),1,(12-MONTH(E106)+1)/12))))-(IF((((K106)*(IF(M106="",L106,IFERROR(IF(INDEX(Variablen!$I:$AT, MATCH(M106, Variablen!$A:$A, 0), MATCH((YEAR(D106)+6), Variablen!$I$3:$AT$3, 0))="",L106,INDEX(Variablen!$I:$AT, MATCH(M106, Variablen!$A:$A, 0), MATCH((YEAR(D106)+6), Variablen!$I$3:$AT$3, 0))),L106)))*(IF((YEAR(D106)+6)&lt;YEAR(E106),0,IF((YEAR(D106)+6)&gt;YEAR(E106),1,(12-MONTH(E106)+1)/12))) + (Q106)*(IF((YEAR(D106)+6)&lt;YEAR(E106),0,IF((YEAR(D106)+6)&gt;YEAR(E106),1,(12-MONTH(E106)+1)/12))))-((P106)*(IF((YEAR(D106)+6)&lt;YEAR(E106),0,IF((YEAR(D106)+6)&gt;YEAR(E106),1,(12-MONTH(E106)+1)/12))) + (R106)*(IF((YEAR(D106)+6)&lt;YEAR(E106),0,IF((YEAR(D106)+6)&gt;YEAR(E106),1,(12-MONTH(E106)+1)/12))))-(IF(OR(N106="",N106&lt;=0),0,(O106/N106)*(IF(OR(N106="",N106&lt;=0),0,IF((YEAR(D106)+6)&lt;YEAR(E106),0,IF((YEAR(D106)+6)&gt;=YEAR(E106)+N106,0,IF((YEAR(D106)+6)=YEAR(E106),(12-MONTH(E106)+1)/12,1))))))))&gt;0,(((K106)*(IF(M106="",L106,IFERROR(IF(INDEX(Variablen!$I:$AT, MATCH(M106, Variablen!$A:$A, 0), MATCH((YEAR(D106)+6), Variablen!$I$3:$AT$3, 0))="",L106,INDEX(Variablen!$I:$AT, MATCH(M106, Variablen!$A:$A, 0), MATCH((YEAR(D106)+6), Variablen!$I$3:$AT$3, 0))),L106)))*(IF((YEAR(D106)+6)&lt;YEAR(E106),0,IF((YEAR(D106)+6)&gt;YEAR(E106),1,(12-MONTH(E106)+1)/12))) + (Q106)*(IF((YEAR(D106)+6)&lt;YEAR(E106),0,IF((YEAR(D106)+6)&gt;YEAR(E106),1,(12-MONTH(E106)+1)/12))))-((P106)*(IF((YEAR(D106)+6)&lt;YEAR(E106),0,IF((YEAR(D106)+6)&gt;YEAR(E106),1,(12-MONTH(E106)+1)/12))) + (R106)*(IF((YEAR(D106)+6)&lt;YEAR(E106),0,IF((YEAR(D106)+6)&gt;YEAR(E106),1,(12-MONTH(E106)+1)/12))))-(IF(OR(N106="",N106&lt;=0),0,(O106/N106)*(IF(OR(N106="",N106&lt;=0),0,IF((YEAR(D106)+6)&lt;YEAR(E106),0,IF((YEAR(D106)+6)&gt;=YEAR(E106)+N106,0,IF((YEAR(D106)+6)=YEAR(E106),(12-MONTH(E106)+1)/12,1))))))))*TaxRate,0))-IF(6=0,O106,0))</f>
        <v/>
      </c>
      <c r="Z106" s="29">
        <f>IF(A106="","",((K106)*(IF(M106="",L106,IFERROR(IF(INDEX(Variablen!$I:$AT, MATCH(M106, Variablen!$A:$A, 0), MATCH((YEAR(D106)+7), Variablen!$I$3:$AT$3, 0))="",L106,INDEX(Variablen!$I:$AT, MATCH(M106, Variablen!$A:$A, 0), MATCH((YEAR(D106)+7), Variablen!$I$3:$AT$3, 0))),L106)))*(IF((YEAR(D106)+7)&lt;YEAR(E106),0,IF((YEAR(D106)+7)&gt;YEAR(E106),1,(12-MONTH(E106)+1)/12))) + (Q106)*(IF((YEAR(D106)+7)&lt;YEAR(E106),0,IF((YEAR(D106)+7)&gt;YEAR(E106),1,(12-MONTH(E106)+1)/12))))-((P106)*(IF((YEAR(D106)+7)&lt;YEAR(E106),0,IF((YEAR(D106)+7)&gt;YEAR(E106),1,(12-MONTH(E106)+1)/12))) + (R106)*(IF((YEAR(D106)+7)&lt;YEAR(E106),0,IF((YEAR(D106)+7)&gt;YEAR(E106),1,(12-MONTH(E106)+1)/12))))-(IF((((K106)*(IF(M106="",L106,IFERROR(IF(INDEX(Variablen!$I:$AT, MATCH(M106, Variablen!$A:$A, 0), MATCH((YEAR(D106)+7), Variablen!$I$3:$AT$3, 0))="",L106,INDEX(Variablen!$I:$AT, MATCH(M106, Variablen!$A:$A, 0), MATCH((YEAR(D106)+7), Variablen!$I$3:$AT$3, 0))),L106)))*(IF((YEAR(D106)+7)&lt;YEAR(E106),0,IF((YEAR(D106)+7)&gt;YEAR(E106),1,(12-MONTH(E106)+1)/12))) + (Q106)*(IF((YEAR(D106)+7)&lt;YEAR(E106),0,IF((YEAR(D106)+7)&gt;YEAR(E106),1,(12-MONTH(E106)+1)/12))))-((P106)*(IF((YEAR(D106)+7)&lt;YEAR(E106),0,IF((YEAR(D106)+7)&gt;YEAR(E106),1,(12-MONTH(E106)+1)/12))) + (R106)*(IF((YEAR(D106)+7)&lt;YEAR(E106),0,IF((YEAR(D106)+7)&gt;YEAR(E106),1,(12-MONTH(E106)+1)/12))))-(IF(OR(N106="",N106&lt;=0),0,(O106/N106)*(IF(OR(N106="",N106&lt;=0),0,IF((YEAR(D106)+7)&lt;YEAR(E106),0,IF((YEAR(D106)+7)&gt;=YEAR(E106)+N106,0,IF((YEAR(D106)+7)=YEAR(E106),(12-MONTH(E106)+1)/12,1))))))))&gt;0,(((K106)*(IF(M106="",L106,IFERROR(IF(INDEX(Variablen!$I:$AT, MATCH(M106, Variablen!$A:$A, 0), MATCH((YEAR(D106)+7), Variablen!$I$3:$AT$3, 0))="",L106,INDEX(Variablen!$I:$AT, MATCH(M106, Variablen!$A:$A, 0), MATCH((YEAR(D106)+7), Variablen!$I$3:$AT$3, 0))),L106)))*(IF((YEAR(D106)+7)&lt;YEAR(E106),0,IF((YEAR(D106)+7)&gt;YEAR(E106),1,(12-MONTH(E106)+1)/12))) + (Q106)*(IF((YEAR(D106)+7)&lt;YEAR(E106),0,IF((YEAR(D106)+7)&gt;YEAR(E106),1,(12-MONTH(E106)+1)/12))))-((P106)*(IF((YEAR(D106)+7)&lt;YEAR(E106),0,IF((YEAR(D106)+7)&gt;YEAR(E106),1,(12-MONTH(E106)+1)/12))) + (R106)*(IF((YEAR(D106)+7)&lt;YEAR(E106),0,IF((YEAR(D106)+7)&gt;YEAR(E106),1,(12-MONTH(E106)+1)/12))))-(IF(OR(N106="",N106&lt;=0),0,(O106/N106)*(IF(OR(N106="",N106&lt;=0),0,IF((YEAR(D106)+7)&lt;YEAR(E106),0,IF((YEAR(D106)+7)&gt;=YEAR(E106)+N106,0,IF((YEAR(D106)+7)=YEAR(E106),(12-MONTH(E106)+1)/12,1))))))))*TaxRate,0))-IF(7=0,O106,0))</f>
        <v/>
      </c>
      <c r="AA106" s="29">
        <f>IF(A106="","",((K106)*(IF(M106="",L106,IFERROR(IF(INDEX(Variablen!$I:$AT, MATCH(M106, Variablen!$A:$A, 0), MATCH((YEAR(D106)+8), Variablen!$I$3:$AT$3, 0))="",L106,INDEX(Variablen!$I:$AT, MATCH(M106, Variablen!$A:$A, 0), MATCH((YEAR(D106)+8), Variablen!$I$3:$AT$3, 0))),L106)))*(IF((YEAR(D106)+8)&lt;YEAR(E106),0,IF((YEAR(D106)+8)&gt;YEAR(E106),1,(12-MONTH(E106)+1)/12))) + (Q106)*(IF((YEAR(D106)+8)&lt;YEAR(E106),0,IF((YEAR(D106)+8)&gt;YEAR(E106),1,(12-MONTH(E106)+1)/12))))-((P106)*(IF((YEAR(D106)+8)&lt;YEAR(E106),0,IF((YEAR(D106)+8)&gt;YEAR(E106),1,(12-MONTH(E106)+1)/12))) + (R106)*(IF((YEAR(D106)+8)&lt;YEAR(E106),0,IF((YEAR(D106)+8)&gt;YEAR(E106),1,(12-MONTH(E106)+1)/12))))-(IF((((K106)*(IF(M106="",L106,IFERROR(IF(INDEX(Variablen!$I:$AT, MATCH(M106, Variablen!$A:$A, 0), MATCH((YEAR(D106)+8), Variablen!$I$3:$AT$3, 0))="",L106,INDEX(Variablen!$I:$AT, MATCH(M106, Variablen!$A:$A, 0), MATCH((YEAR(D106)+8), Variablen!$I$3:$AT$3, 0))),L106)))*(IF((YEAR(D106)+8)&lt;YEAR(E106),0,IF((YEAR(D106)+8)&gt;YEAR(E106),1,(12-MONTH(E106)+1)/12))) + (Q106)*(IF((YEAR(D106)+8)&lt;YEAR(E106),0,IF((YEAR(D106)+8)&gt;YEAR(E106),1,(12-MONTH(E106)+1)/12))))-((P106)*(IF((YEAR(D106)+8)&lt;YEAR(E106),0,IF((YEAR(D106)+8)&gt;YEAR(E106),1,(12-MONTH(E106)+1)/12))) + (R106)*(IF((YEAR(D106)+8)&lt;YEAR(E106),0,IF((YEAR(D106)+8)&gt;YEAR(E106),1,(12-MONTH(E106)+1)/12))))-(IF(OR(N106="",N106&lt;=0),0,(O106/N106)*(IF(OR(N106="",N106&lt;=0),0,IF((YEAR(D106)+8)&lt;YEAR(E106),0,IF((YEAR(D106)+8)&gt;=YEAR(E106)+N106,0,IF((YEAR(D106)+8)=YEAR(E106),(12-MONTH(E106)+1)/12,1))))))))&gt;0,(((K106)*(IF(M106="",L106,IFERROR(IF(INDEX(Variablen!$I:$AT, MATCH(M106, Variablen!$A:$A, 0), MATCH((YEAR(D106)+8), Variablen!$I$3:$AT$3, 0))="",L106,INDEX(Variablen!$I:$AT, MATCH(M106, Variablen!$A:$A, 0), MATCH((YEAR(D106)+8), Variablen!$I$3:$AT$3, 0))),L106)))*(IF((YEAR(D106)+8)&lt;YEAR(E106),0,IF((YEAR(D106)+8)&gt;YEAR(E106),1,(12-MONTH(E106)+1)/12))) + (Q106)*(IF((YEAR(D106)+8)&lt;YEAR(E106),0,IF((YEAR(D106)+8)&gt;YEAR(E106),1,(12-MONTH(E106)+1)/12))))-((P106)*(IF((YEAR(D106)+8)&lt;YEAR(E106),0,IF((YEAR(D106)+8)&gt;YEAR(E106),1,(12-MONTH(E106)+1)/12))) + (R106)*(IF((YEAR(D106)+8)&lt;YEAR(E106),0,IF((YEAR(D106)+8)&gt;YEAR(E106),1,(12-MONTH(E106)+1)/12))))-(IF(OR(N106="",N106&lt;=0),0,(O106/N106)*(IF(OR(N106="",N106&lt;=0),0,IF((YEAR(D106)+8)&lt;YEAR(E106),0,IF((YEAR(D106)+8)&gt;=YEAR(E106)+N106,0,IF((YEAR(D106)+8)=YEAR(E106),(12-MONTH(E106)+1)/12,1))))))))*TaxRate,0))-IF(8=0,O106,0))</f>
        <v/>
      </c>
      <c r="AB106" s="29">
        <f>IF(A106="","",((K106)*(IF(M106="",L106,IFERROR(IF(INDEX(Variablen!$I:$AT, MATCH(M106, Variablen!$A:$A, 0), MATCH((YEAR(D106)+9), Variablen!$I$3:$AT$3, 0))="",L106,INDEX(Variablen!$I:$AT, MATCH(M106, Variablen!$A:$A, 0), MATCH((YEAR(D106)+9), Variablen!$I$3:$AT$3, 0))),L106)))*(IF((YEAR(D106)+9)&lt;YEAR(E106),0,IF((YEAR(D106)+9)&gt;YEAR(E106),1,(12-MONTH(E106)+1)/12))) + (Q106)*(IF((YEAR(D106)+9)&lt;YEAR(E106),0,IF((YEAR(D106)+9)&gt;YEAR(E106),1,(12-MONTH(E106)+1)/12))))-((P106)*(IF((YEAR(D106)+9)&lt;YEAR(E106),0,IF((YEAR(D106)+9)&gt;YEAR(E106),1,(12-MONTH(E106)+1)/12))) + (R106)*(IF((YEAR(D106)+9)&lt;YEAR(E106),0,IF((YEAR(D106)+9)&gt;YEAR(E106),1,(12-MONTH(E106)+1)/12))))-(IF((((K106)*(IF(M106="",L106,IFERROR(IF(INDEX(Variablen!$I:$AT, MATCH(M106, Variablen!$A:$A, 0), MATCH((YEAR(D106)+9), Variablen!$I$3:$AT$3, 0))="",L106,INDEX(Variablen!$I:$AT, MATCH(M106, Variablen!$A:$A, 0), MATCH((YEAR(D106)+9), Variablen!$I$3:$AT$3, 0))),L106)))*(IF((YEAR(D106)+9)&lt;YEAR(E106),0,IF((YEAR(D106)+9)&gt;YEAR(E106),1,(12-MONTH(E106)+1)/12))) + (Q106)*(IF((YEAR(D106)+9)&lt;YEAR(E106),0,IF((YEAR(D106)+9)&gt;YEAR(E106),1,(12-MONTH(E106)+1)/12))))-((P106)*(IF((YEAR(D106)+9)&lt;YEAR(E106),0,IF((YEAR(D106)+9)&gt;YEAR(E106),1,(12-MONTH(E106)+1)/12))) + (R106)*(IF((YEAR(D106)+9)&lt;YEAR(E106),0,IF((YEAR(D106)+9)&gt;YEAR(E106),1,(12-MONTH(E106)+1)/12))))-(IF(OR(N106="",N106&lt;=0),0,(O106/N106)*(IF(OR(N106="",N106&lt;=0),0,IF((YEAR(D106)+9)&lt;YEAR(E106),0,IF((YEAR(D106)+9)&gt;=YEAR(E106)+N106,0,IF((YEAR(D106)+9)=YEAR(E106),(12-MONTH(E106)+1)/12,1))))))))&gt;0,(((K106)*(IF(M106="",L106,IFERROR(IF(INDEX(Variablen!$I:$AT, MATCH(M106, Variablen!$A:$A, 0), MATCH((YEAR(D106)+9), Variablen!$I$3:$AT$3, 0))="",L106,INDEX(Variablen!$I:$AT, MATCH(M106, Variablen!$A:$A, 0), MATCH((YEAR(D106)+9), Variablen!$I$3:$AT$3, 0))),L106)))*(IF((YEAR(D106)+9)&lt;YEAR(E106),0,IF((YEAR(D106)+9)&gt;YEAR(E106),1,(12-MONTH(E106)+1)/12))) + (Q106)*(IF((YEAR(D106)+9)&lt;YEAR(E106),0,IF((YEAR(D106)+9)&gt;YEAR(E106),1,(12-MONTH(E106)+1)/12))))-((P106)*(IF((YEAR(D106)+9)&lt;YEAR(E106),0,IF((YEAR(D106)+9)&gt;YEAR(E106),1,(12-MONTH(E106)+1)/12))) + (R106)*(IF((YEAR(D106)+9)&lt;YEAR(E106),0,IF((YEAR(D106)+9)&gt;YEAR(E106),1,(12-MONTH(E106)+1)/12))))-(IF(OR(N106="",N106&lt;=0),0,(O106/N106)*(IF(OR(N106="",N106&lt;=0),0,IF((YEAR(D106)+9)&lt;YEAR(E106),0,IF((YEAR(D106)+9)&gt;=YEAR(E106)+N106,0,IF((YEAR(D106)+9)=YEAR(E106),(12-MONTH(E106)+1)/12,1))))))))*TaxRate,0))-IF(9=0,O106,0))</f>
        <v/>
      </c>
      <c r="AC106" s="29">
        <f>IF(A106="","",((K106)*(IF(M106="",L106,IFERROR(IF(INDEX(Variablen!$I:$AT, MATCH(M106, Variablen!$A:$A, 0), MATCH((YEAR(D106)+10), Variablen!$I$3:$AT$3, 0))="",L106,INDEX(Variablen!$I:$AT, MATCH(M106, Variablen!$A:$A, 0), MATCH((YEAR(D106)+10), Variablen!$I$3:$AT$3, 0))),L106)))*(IF((YEAR(D106)+10)&lt;YEAR(E106),0,IF((YEAR(D106)+10)&gt;YEAR(E106),1,(12-MONTH(E106)+1)/12))) + (Q106)*(IF((YEAR(D106)+10)&lt;YEAR(E106),0,IF((YEAR(D106)+10)&gt;YEAR(E106),1,(12-MONTH(E106)+1)/12))))-((P106)*(IF((YEAR(D106)+10)&lt;YEAR(E106),0,IF((YEAR(D106)+10)&gt;YEAR(E106),1,(12-MONTH(E106)+1)/12))) + (R106)*(IF((YEAR(D106)+10)&lt;YEAR(E106),0,IF((YEAR(D106)+10)&gt;YEAR(E106),1,(12-MONTH(E106)+1)/12))))-(IF((((K106)*(IF(M106="",L106,IFERROR(IF(INDEX(Variablen!$I:$AT, MATCH(M106, Variablen!$A:$A, 0), MATCH((YEAR(D106)+10), Variablen!$I$3:$AT$3, 0))="",L106,INDEX(Variablen!$I:$AT, MATCH(M106, Variablen!$A:$A, 0), MATCH((YEAR(D106)+10), Variablen!$I$3:$AT$3, 0))),L106)))*(IF((YEAR(D106)+10)&lt;YEAR(E106),0,IF((YEAR(D106)+10)&gt;YEAR(E106),1,(12-MONTH(E106)+1)/12))) + (Q106)*(IF((YEAR(D106)+10)&lt;YEAR(E106),0,IF((YEAR(D106)+10)&gt;YEAR(E106),1,(12-MONTH(E106)+1)/12))))-((P106)*(IF((YEAR(D106)+10)&lt;YEAR(E106),0,IF((YEAR(D106)+10)&gt;YEAR(E106),1,(12-MONTH(E106)+1)/12))) + (R106)*(IF((YEAR(D106)+10)&lt;YEAR(E106),0,IF((YEAR(D106)+10)&gt;YEAR(E106),1,(12-MONTH(E106)+1)/12))))-(IF(OR(N106="",N106&lt;=0),0,(O106/N106)*(IF(OR(N106="",N106&lt;=0),0,IF((YEAR(D106)+10)&lt;YEAR(E106),0,IF((YEAR(D106)+10)&gt;=YEAR(E106)+N106,0,IF((YEAR(D106)+10)=YEAR(E106),(12-MONTH(E106)+1)/12,1))))))))&gt;0,(((K106)*(IF(M106="",L106,IFERROR(IF(INDEX(Variablen!$I:$AT, MATCH(M106, Variablen!$A:$A, 0), MATCH((YEAR(D106)+10), Variablen!$I$3:$AT$3, 0))="",L106,INDEX(Variablen!$I:$AT, MATCH(M106, Variablen!$A:$A, 0), MATCH((YEAR(D106)+10), Variablen!$I$3:$AT$3, 0))),L106)))*(IF((YEAR(D106)+10)&lt;YEAR(E106),0,IF((YEAR(D106)+10)&gt;YEAR(E106),1,(12-MONTH(E106)+1)/12))) + (Q106)*(IF((YEAR(D106)+10)&lt;YEAR(E106),0,IF((YEAR(D106)+10)&gt;YEAR(E106),1,(12-MONTH(E106)+1)/12))))-((P106)*(IF((YEAR(D106)+10)&lt;YEAR(E106),0,IF((YEAR(D106)+10)&gt;YEAR(E106),1,(12-MONTH(E106)+1)/12))) + (R106)*(IF((YEAR(D106)+10)&lt;YEAR(E106),0,IF((YEAR(D106)+10)&gt;YEAR(E106),1,(12-MONTH(E106)+1)/12))))-(IF(OR(N106="",N106&lt;=0),0,(O106/N106)*(IF(OR(N106="",N106&lt;=0),0,IF((YEAR(D106)+10)&lt;YEAR(E106),0,IF((YEAR(D106)+10)&gt;=YEAR(E106)+N106,0,IF((YEAR(D106)+10)=YEAR(E106),(12-MONTH(E106)+1)/12,1))))))))*TaxRate,0))-IF(10=0,O106,0))</f>
        <v/>
      </c>
      <c r="AD106" s="29">
        <f>IF(A106="","",((K106)*(IF(M106="",L106,IFERROR(IF(INDEX(Variablen!$I:$AT, MATCH(M106, Variablen!$A:$A, 0), MATCH((YEAR(D106)+11), Variablen!$I$3:$AT$3, 0))="",L106,INDEX(Variablen!$I:$AT, MATCH(M106, Variablen!$A:$A, 0), MATCH((YEAR(D106)+11), Variablen!$I$3:$AT$3, 0))),L106)))*(IF((YEAR(D106)+11)&lt;YEAR(E106),0,IF((YEAR(D106)+11)&gt;YEAR(E106),1,(12-MONTH(E106)+1)/12))) + (Q106)*(IF((YEAR(D106)+11)&lt;YEAR(E106),0,IF((YEAR(D106)+11)&gt;YEAR(E106),1,(12-MONTH(E106)+1)/12))))-((P106)*(IF((YEAR(D106)+11)&lt;YEAR(E106),0,IF((YEAR(D106)+11)&gt;YEAR(E106),1,(12-MONTH(E106)+1)/12))) + (R106)*(IF((YEAR(D106)+11)&lt;YEAR(E106),0,IF((YEAR(D106)+11)&gt;YEAR(E106),1,(12-MONTH(E106)+1)/12))))-(IF((((K106)*(IF(M106="",L106,IFERROR(IF(INDEX(Variablen!$I:$AT, MATCH(M106, Variablen!$A:$A, 0), MATCH((YEAR(D106)+11), Variablen!$I$3:$AT$3, 0))="",L106,INDEX(Variablen!$I:$AT, MATCH(M106, Variablen!$A:$A, 0), MATCH((YEAR(D106)+11), Variablen!$I$3:$AT$3, 0))),L106)))*(IF((YEAR(D106)+11)&lt;YEAR(E106),0,IF((YEAR(D106)+11)&gt;YEAR(E106),1,(12-MONTH(E106)+1)/12))) + (Q106)*(IF((YEAR(D106)+11)&lt;YEAR(E106),0,IF((YEAR(D106)+11)&gt;YEAR(E106),1,(12-MONTH(E106)+1)/12))))-((P106)*(IF((YEAR(D106)+11)&lt;YEAR(E106),0,IF((YEAR(D106)+11)&gt;YEAR(E106),1,(12-MONTH(E106)+1)/12))) + (R106)*(IF((YEAR(D106)+11)&lt;YEAR(E106),0,IF((YEAR(D106)+11)&gt;YEAR(E106),1,(12-MONTH(E106)+1)/12))))-(IF(OR(N106="",N106&lt;=0),0,(O106/N106)*(IF(OR(N106="",N106&lt;=0),0,IF((YEAR(D106)+11)&lt;YEAR(E106),0,IF((YEAR(D106)+11)&gt;=YEAR(E106)+N106,0,IF((YEAR(D106)+11)=YEAR(E106),(12-MONTH(E106)+1)/12,1))))))))&gt;0,(((K106)*(IF(M106="",L106,IFERROR(IF(INDEX(Variablen!$I:$AT, MATCH(M106, Variablen!$A:$A, 0), MATCH((YEAR(D106)+11), Variablen!$I$3:$AT$3, 0))="",L106,INDEX(Variablen!$I:$AT, MATCH(M106, Variablen!$A:$A, 0), MATCH((YEAR(D106)+11), Variablen!$I$3:$AT$3, 0))),L106)))*(IF((YEAR(D106)+11)&lt;YEAR(E106),0,IF((YEAR(D106)+11)&gt;YEAR(E106),1,(12-MONTH(E106)+1)/12))) + (Q106)*(IF((YEAR(D106)+11)&lt;YEAR(E106),0,IF((YEAR(D106)+11)&gt;YEAR(E106),1,(12-MONTH(E106)+1)/12))))-((P106)*(IF((YEAR(D106)+11)&lt;YEAR(E106),0,IF((YEAR(D106)+11)&gt;YEAR(E106),1,(12-MONTH(E106)+1)/12))) + (R106)*(IF((YEAR(D106)+11)&lt;YEAR(E106),0,IF((YEAR(D106)+11)&gt;YEAR(E106),1,(12-MONTH(E106)+1)/12))))-(IF(OR(N106="",N106&lt;=0),0,(O106/N106)*(IF(OR(N106="",N106&lt;=0),0,IF((YEAR(D106)+11)&lt;YEAR(E106),0,IF((YEAR(D106)+11)&gt;=YEAR(E106)+N106,0,IF((YEAR(D106)+11)=YEAR(E106),(12-MONTH(E106)+1)/12,1))))))))*TaxRate,0))-IF(11=0,O106,0))</f>
        <v/>
      </c>
      <c r="AE106" s="29">
        <f>IF(A106="","",((K106)*(IF(M106="",L106,IFERROR(IF(INDEX(Variablen!$I:$AT, MATCH(M106, Variablen!$A:$A, 0), MATCH((YEAR(D106)+12), Variablen!$I$3:$AT$3, 0))="",L106,INDEX(Variablen!$I:$AT, MATCH(M106, Variablen!$A:$A, 0), MATCH((YEAR(D106)+12), Variablen!$I$3:$AT$3, 0))),L106)))*(IF((YEAR(D106)+12)&lt;YEAR(E106),0,IF((YEAR(D106)+12)&gt;YEAR(E106),1,(12-MONTH(E106)+1)/12))) + (Q106)*(IF((YEAR(D106)+12)&lt;YEAR(E106),0,IF((YEAR(D106)+12)&gt;YEAR(E106),1,(12-MONTH(E106)+1)/12))))-((P106)*(IF((YEAR(D106)+12)&lt;YEAR(E106),0,IF((YEAR(D106)+12)&gt;YEAR(E106),1,(12-MONTH(E106)+1)/12))) + (R106)*(IF((YEAR(D106)+12)&lt;YEAR(E106),0,IF((YEAR(D106)+12)&gt;YEAR(E106),1,(12-MONTH(E106)+1)/12))))-(IF((((K106)*(IF(M106="",L106,IFERROR(IF(INDEX(Variablen!$I:$AT, MATCH(M106, Variablen!$A:$A, 0), MATCH((YEAR(D106)+12), Variablen!$I$3:$AT$3, 0))="",L106,INDEX(Variablen!$I:$AT, MATCH(M106, Variablen!$A:$A, 0), MATCH((YEAR(D106)+12), Variablen!$I$3:$AT$3, 0))),L106)))*(IF((YEAR(D106)+12)&lt;YEAR(E106),0,IF((YEAR(D106)+12)&gt;YEAR(E106),1,(12-MONTH(E106)+1)/12))) + (Q106)*(IF((YEAR(D106)+12)&lt;YEAR(E106),0,IF((YEAR(D106)+12)&gt;YEAR(E106),1,(12-MONTH(E106)+1)/12))))-((P106)*(IF((YEAR(D106)+12)&lt;YEAR(E106),0,IF((YEAR(D106)+12)&gt;YEAR(E106),1,(12-MONTH(E106)+1)/12))) + (R106)*(IF((YEAR(D106)+12)&lt;YEAR(E106),0,IF((YEAR(D106)+12)&gt;YEAR(E106),1,(12-MONTH(E106)+1)/12))))-(IF(OR(N106="",N106&lt;=0),0,(O106/N106)*(IF(OR(N106="",N106&lt;=0),0,IF((YEAR(D106)+12)&lt;YEAR(E106),0,IF((YEAR(D106)+12)&gt;=YEAR(E106)+N106,0,IF((YEAR(D106)+12)=YEAR(E106),(12-MONTH(E106)+1)/12,1))))))))&gt;0,(((K106)*(IF(M106="",L106,IFERROR(IF(INDEX(Variablen!$I:$AT, MATCH(M106, Variablen!$A:$A, 0), MATCH((YEAR(D106)+12), Variablen!$I$3:$AT$3, 0))="",L106,INDEX(Variablen!$I:$AT, MATCH(M106, Variablen!$A:$A, 0), MATCH((YEAR(D106)+12), Variablen!$I$3:$AT$3, 0))),L106)))*(IF((YEAR(D106)+12)&lt;YEAR(E106),0,IF((YEAR(D106)+12)&gt;YEAR(E106),1,(12-MONTH(E106)+1)/12))) + (Q106)*(IF((YEAR(D106)+12)&lt;YEAR(E106),0,IF((YEAR(D106)+12)&gt;YEAR(E106),1,(12-MONTH(E106)+1)/12))))-((P106)*(IF((YEAR(D106)+12)&lt;YEAR(E106),0,IF((YEAR(D106)+12)&gt;YEAR(E106),1,(12-MONTH(E106)+1)/12))) + (R106)*(IF((YEAR(D106)+12)&lt;YEAR(E106),0,IF((YEAR(D106)+12)&gt;YEAR(E106),1,(12-MONTH(E106)+1)/12))))-(IF(OR(N106="",N106&lt;=0),0,(O106/N106)*(IF(OR(N106="",N106&lt;=0),0,IF((YEAR(D106)+12)&lt;YEAR(E106),0,IF((YEAR(D106)+12)&gt;=YEAR(E106)+N106,0,IF((YEAR(D106)+12)=YEAR(E106),(12-MONTH(E106)+1)/12,1))))))))*TaxRate,0))-IF(12=0,O106,0))</f>
        <v/>
      </c>
      <c r="AF106" s="29">
        <f>IF(A106="","",((K106)*(IF(M106="",L106,IFERROR(IF(INDEX(Variablen!$I:$AT, MATCH(M106, Variablen!$A:$A, 0), MATCH((YEAR(D106)+13), Variablen!$I$3:$AT$3, 0))="",L106,INDEX(Variablen!$I:$AT, MATCH(M106, Variablen!$A:$A, 0), MATCH((YEAR(D106)+13), Variablen!$I$3:$AT$3, 0))),L106)))*(IF((YEAR(D106)+13)&lt;YEAR(E106),0,IF((YEAR(D106)+13)&gt;YEAR(E106),1,(12-MONTH(E106)+1)/12))) + (Q106)*(IF((YEAR(D106)+13)&lt;YEAR(E106),0,IF((YEAR(D106)+13)&gt;YEAR(E106),1,(12-MONTH(E106)+1)/12))))-((P106)*(IF((YEAR(D106)+13)&lt;YEAR(E106),0,IF((YEAR(D106)+13)&gt;YEAR(E106),1,(12-MONTH(E106)+1)/12))) + (R106)*(IF((YEAR(D106)+13)&lt;YEAR(E106),0,IF((YEAR(D106)+13)&gt;YEAR(E106),1,(12-MONTH(E106)+1)/12))))-(IF((((K106)*(IF(M106="",L106,IFERROR(IF(INDEX(Variablen!$I:$AT, MATCH(M106, Variablen!$A:$A, 0), MATCH((YEAR(D106)+13), Variablen!$I$3:$AT$3, 0))="",L106,INDEX(Variablen!$I:$AT, MATCH(M106, Variablen!$A:$A, 0), MATCH((YEAR(D106)+13), Variablen!$I$3:$AT$3, 0))),L106)))*(IF((YEAR(D106)+13)&lt;YEAR(E106),0,IF((YEAR(D106)+13)&gt;YEAR(E106),1,(12-MONTH(E106)+1)/12))) + (Q106)*(IF((YEAR(D106)+13)&lt;YEAR(E106),0,IF((YEAR(D106)+13)&gt;YEAR(E106),1,(12-MONTH(E106)+1)/12))))-((P106)*(IF((YEAR(D106)+13)&lt;YEAR(E106),0,IF((YEAR(D106)+13)&gt;YEAR(E106),1,(12-MONTH(E106)+1)/12))) + (R106)*(IF((YEAR(D106)+13)&lt;YEAR(E106),0,IF((YEAR(D106)+13)&gt;YEAR(E106),1,(12-MONTH(E106)+1)/12))))-(IF(OR(N106="",N106&lt;=0),0,(O106/N106)*(IF(OR(N106="",N106&lt;=0),0,IF((YEAR(D106)+13)&lt;YEAR(E106),0,IF((YEAR(D106)+13)&gt;=YEAR(E106)+N106,0,IF((YEAR(D106)+13)=YEAR(E106),(12-MONTH(E106)+1)/12,1))))))))&gt;0,(((K106)*(IF(M106="",L106,IFERROR(IF(INDEX(Variablen!$I:$AT, MATCH(M106, Variablen!$A:$A, 0), MATCH((YEAR(D106)+13), Variablen!$I$3:$AT$3, 0))="",L106,INDEX(Variablen!$I:$AT, MATCH(M106, Variablen!$A:$A, 0), MATCH((YEAR(D106)+13), Variablen!$I$3:$AT$3, 0))),L106)))*(IF((YEAR(D106)+13)&lt;YEAR(E106),0,IF((YEAR(D106)+13)&gt;YEAR(E106),1,(12-MONTH(E106)+1)/12))) + (Q106)*(IF((YEAR(D106)+13)&lt;YEAR(E106),0,IF((YEAR(D106)+13)&gt;YEAR(E106),1,(12-MONTH(E106)+1)/12))))-((P106)*(IF((YEAR(D106)+13)&lt;YEAR(E106),0,IF((YEAR(D106)+13)&gt;YEAR(E106),1,(12-MONTH(E106)+1)/12))) + (R106)*(IF((YEAR(D106)+13)&lt;YEAR(E106),0,IF((YEAR(D106)+13)&gt;YEAR(E106),1,(12-MONTH(E106)+1)/12))))-(IF(OR(N106="",N106&lt;=0),0,(O106/N106)*(IF(OR(N106="",N106&lt;=0),0,IF((YEAR(D106)+13)&lt;YEAR(E106),0,IF((YEAR(D106)+13)&gt;=YEAR(E106)+N106,0,IF((YEAR(D106)+13)=YEAR(E106),(12-MONTH(E106)+1)/12,1))))))))*TaxRate,0))-IF(13=0,O106,0))</f>
        <v/>
      </c>
      <c r="AG106" s="29">
        <f>IF(A106="","",((K106)*(IF(M106="",L106,IFERROR(IF(INDEX(Variablen!$I:$AT, MATCH(M106, Variablen!$A:$A, 0), MATCH((YEAR(D106)+14), Variablen!$I$3:$AT$3, 0))="",L106,INDEX(Variablen!$I:$AT, MATCH(M106, Variablen!$A:$A, 0), MATCH((YEAR(D106)+14), Variablen!$I$3:$AT$3, 0))),L106)))*(IF((YEAR(D106)+14)&lt;YEAR(E106),0,IF((YEAR(D106)+14)&gt;YEAR(E106),1,(12-MONTH(E106)+1)/12))) + (Q106)*(IF((YEAR(D106)+14)&lt;YEAR(E106),0,IF((YEAR(D106)+14)&gt;YEAR(E106),1,(12-MONTH(E106)+1)/12))))-((P106)*(IF((YEAR(D106)+14)&lt;YEAR(E106),0,IF((YEAR(D106)+14)&gt;YEAR(E106),1,(12-MONTH(E106)+1)/12))) + (R106)*(IF((YEAR(D106)+14)&lt;YEAR(E106),0,IF((YEAR(D106)+14)&gt;YEAR(E106),1,(12-MONTH(E106)+1)/12))))-(IF((((K106)*(IF(M106="",L106,IFERROR(IF(INDEX(Variablen!$I:$AT, MATCH(M106, Variablen!$A:$A, 0), MATCH((YEAR(D106)+14), Variablen!$I$3:$AT$3, 0))="",L106,INDEX(Variablen!$I:$AT, MATCH(M106, Variablen!$A:$A, 0), MATCH((YEAR(D106)+14), Variablen!$I$3:$AT$3, 0))),L106)))*(IF((YEAR(D106)+14)&lt;YEAR(E106),0,IF((YEAR(D106)+14)&gt;YEAR(E106),1,(12-MONTH(E106)+1)/12))) + (Q106)*(IF((YEAR(D106)+14)&lt;YEAR(E106),0,IF((YEAR(D106)+14)&gt;YEAR(E106),1,(12-MONTH(E106)+1)/12))))-((P106)*(IF((YEAR(D106)+14)&lt;YEAR(E106),0,IF((YEAR(D106)+14)&gt;YEAR(E106),1,(12-MONTH(E106)+1)/12))) + (R106)*(IF((YEAR(D106)+14)&lt;YEAR(E106),0,IF((YEAR(D106)+14)&gt;YEAR(E106),1,(12-MONTH(E106)+1)/12))))-(IF(OR(N106="",N106&lt;=0),0,(O106/N106)*(IF(OR(N106="",N106&lt;=0),0,IF((YEAR(D106)+14)&lt;YEAR(E106),0,IF((YEAR(D106)+14)&gt;=YEAR(E106)+N106,0,IF((YEAR(D106)+14)=YEAR(E106),(12-MONTH(E106)+1)/12,1))))))))&gt;0,(((K106)*(IF(M106="",L106,IFERROR(IF(INDEX(Variablen!$I:$AT, MATCH(M106, Variablen!$A:$A, 0), MATCH((YEAR(D106)+14), Variablen!$I$3:$AT$3, 0))="",L106,INDEX(Variablen!$I:$AT, MATCH(M106, Variablen!$A:$A, 0), MATCH((YEAR(D106)+14), Variablen!$I$3:$AT$3, 0))),L106)))*(IF((YEAR(D106)+14)&lt;YEAR(E106),0,IF((YEAR(D106)+14)&gt;YEAR(E106),1,(12-MONTH(E106)+1)/12))) + (Q106)*(IF((YEAR(D106)+14)&lt;YEAR(E106),0,IF((YEAR(D106)+14)&gt;YEAR(E106),1,(12-MONTH(E106)+1)/12))))-((P106)*(IF((YEAR(D106)+14)&lt;YEAR(E106),0,IF((YEAR(D106)+14)&gt;YEAR(E106),1,(12-MONTH(E106)+1)/12))) + (R106)*(IF((YEAR(D106)+14)&lt;YEAR(E106),0,IF((YEAR(D106)+14)&gt;YEAR(E106),1,(12-MONTH(E106)+1)/12))))-(IF(OR(N106="",N106&lt;=0),0,(O106/N106)*(IF(OR(N106="",N106&lt;=0),0,IF((YEAR(D106)+14)&lt;YEAR(E106),0,IF((YEAR(D106)+14)&gt;=YEAR(E106)+N106,0,IF((YEAR(D106)+14)=YEAR(E106),(12-MONTH(E106)+1)/12,1))))))))*TaxRate,0))-IF(14=0,O106,0))</f>
        <v/>
      </c>
      <c r="AH106" s="29">
        <f>IF(A106="","",((K106)*(IF(M106="",L106,IFERROR(IF(INDEX(Variablen!$I:$AT, MATCH(M106, Variablen!$A:$A, 0), MATCH((YEAR(D106)+15), Variablen!$I$3:$AT$3, 0))="",L106,INDEX(Variablen!$I:$AT, MATCH(M106, Variablen!$A:$A, 0), MATCH((YEAR(D106)+15), Variablen!$I$3:$AT$3, 0))),L106)))*(IF((YEAR(D106)+15)&lt;YEAR(E106),0,IF((YEAR(D106)+15)&gt;YEAR(E106),1,(12-MONTH(E106)+1)/12))) + (Q106)*(IF((YEAR(D106)+15)&lt;YEAR(E106),0,IF((YEAR(D106)+15)&gt;YEAR(E106),1,(12-MONTH(E106)+1)/12))))-((P106)*(IF((YEAR(D106)+15)&lt;YEAR(E106),0,IF((YEAR(D106)+15)&gt;YEAR(E106),1,(12-MONTH(E106)+1)/12))) + (R106)*(IF((YEAR(D106)+15)&lt;YEAR(E106),0,IF((YEAR(D106)+15)&gt;YEAR(E106),1,(12-MONTH(E106)+1)/12))))-(IF((((K106)*(IF(M106="",L106,IFERROR(IF(INDEX(Variablen!$I:$AT, MATCH(M106, Variablen!$A:$A, 0), MATCH((YEAR(D106)+15), Variablen!$I$3:$AT$3, 0))="",L106,INDEX(Variablen!$I:$AT, MATCH(M106, Variablen!$A:$A, 0), MATCH((YEAR(D106)+15), Variablen!$I$3:$AT$3, 0))),L106)))*(IF((YEAR(D106)+15)&lt;YEAR(E106),0,IF((YEAR(D106)+15)&gt;YEAR(E106),1,(12-MONTH(E106)+1)/12))) + (Q106)*(IF((YEAR(D106)+15)&lt;YEAR(E106),0,IF((YEAR(D106)+15)&gt;YEAR(E106),1,(12-MONTH(E106)+1)/12))))-((P106)*(IF((YEAR(D106)+15)&lt;YEAR(E106),0,IF((YEAR(D106)+15)&gt;YEAR(E106),1,(12-MONTH(E106)+1)/12))) + (R106)*(IF((YEAR(D106)+15)&lt;YEAR(E106),0,IF((YEAR(D106)+15)&gt;YEAR(E106),1,(12-MONTH(E106)+1)/12))))-(IF(OR(N106="",N106&lt;=0),0,(O106/N106)*(IF(OR(N106="",N106&lt;=0),0,IF((YEAR(D106)+15)&lt;YEAR(E106),0,IF((YEAR(D106)+15)&gt;=YEAR(E106)+N106,0,IF((YEAR(D106)+15)=YEAR(E106),(12-MONTH(E106)+1)/12,1))))))))&gt;0,(((K106)*(IF(M106="",L106,IFERROR(IF(INDEX(Variablen!$I:$AT, MATCH(M106, Variablen!$A:$A, 0), MATCH((YEAR(D106)+15), Variablen!$I$3:$AT$3, 0))="",L106,INDEX(Variablen!$I:$AT, MATCH(M106, Variablen!$A:$A, 0), MATCH((YEAR(D106)+15), Variablen!$I$3:$AT$3, 0))),L106)))*(IF((YEAR(D106)+15)&lt;YEAR(E106),0,IF((YEAR(D106)+15)&gt;YEAR(E106),1,(12-MONTH(E106)+1)/12))) + (Q106)*(IF((YEAR(D106)+15)&lt;YEAR(E106),0,IF((YEAR(D106)+15)&gt;YEAR(E106),1,(12-MONTH(E106)+1)/12))))-((P106)*(IF((YEAR(D106)+15)&lt;YEAR(E106),0,IF((YEAR(D106)+15)&gt;YEAR(E106),1,(12-MONTH(E106)+1)/12))) + (R106)*(IF((YEAR(D106)+15)&lt;YEAR(E106),0,IF((YEAR(D106)+15)&gt;YEAR(E106),1,(12-MONTH(E106)+1)/12))))-(IF(OR(N106="",N106&lt;=0),0,(O106/N106)*(IF(OR(N106="",N106&lt;=0),0,IF((YEAR(D106)+15)&lt;YEAR(E106),0,IF((YEAR(D106)+15)&gt;=YEAR(E106)+N106,0,IF((YEAR(D106)+15)=YEAR(E106),(12-MONTH(E106)+1)/12,1))))))))*TaxRate,0))-IF(15=0,O106,0))</f>
        <v/>
      </c>
      <c r="AI106" s="29">
        <f>IF(A106="","",((K106)*(IF(M106="",L106,IFERROR(IF(INDEX(Variablen!$I:$AT, MATCH(M106, Variablen!$A:$A, 0), MATCH((YEAR(D106)+16), Variablen!$I$3:$AT$3, 0))="",L106,INDEX(Variablen!$I:$AT, MATCH(M106, Variablen!$A:$A, 0), MATCH((YEAR(D106)+16), Variablen!$I$3:$AT$3, 0))),L106)))*(IF((YEAR(D106)+16)&lt;YEAR(E106),0,IF((YEAR(D106)+16)&gt;YEAR(E106),1,(12-MONTH(E106)+1)/12))) + (Q106)*(IF((YEAR(D106)+16)&lt;YEAR(E106),0,IF((YEAR(D106)+16)&gt;YEAR(E106),1,(12-MONTH(E106)+1)/12))))-((P106)*(IF((YEAR(D106)+16)&lt;YEAR(E106),0,IF((YEAR(D106)+16)&gt;YEAR(E106),1,(12-MONTH(E106)+1)/12))) + (R106)*(IF((YEAR(D106)+16)&lt;YEAR(E106),0,IF((YEAR(D106)+16)&gt;YEAR(E106),1,(12-MONTH(E106)+1)/12))))-(IF((((K106)*(IF(M106="",L106,IFERROR(IF(INDEX(Variablen!$I:$AT, MATCH(M106, Variablen!$A:$A, 0), MATCH((YEAR(D106)+16), Variablen!$I$3:$AT$3, 0))="",L106,INDEX(Variablen!$I:$AT, MATCH(M106, Variablen!$A:$A, 0), MATCH((YEAR(D106)+16), Variablen!$I$3:$AT$3, 0))),L106)))*(IF((YEAR(D106)+16)&lt;YEAR(E106),0,IF((YEAR(D106)+16)&gt;YEAR(E106),1,(12-MONTH(E106)+1)/12))) + (Q106)*(IF((YEAR(D106)+16)&lt;YEAR(E106),0,IF((YEAR(D106)+16)&gt;YEAR(E106),1,(12-MONTH(E106)+1)/12))))-((P106)*(IF((YEAR(D106)+16)&lt;YEAR(E106),0,IF((YEAR(D106)+16)&gt;YEAR(E106),1,(12-MONTH(E106)+1)/12))) + (R106)*(IF((YEAR(D106)+16)&lt;YEAR(E106),0,IF((YEAR(D106)+16)&gt;YEAR(E106),1,(12-MONTH(E106)+1)/12))))-(IF(OR(N106="",N106&lt;=0),0,(O106/N106)*(IF(OR(N106="",N106&lt;=0),0,IF((YEAR(D106)+16)&lt;YEAR(E106),0,IF((YEAR(D106)+16)&gt;=YEAR(E106)+N106,0,IF((YEAR(D106)+16)=YEAR(E106),(12-MONTH(E106)+1)/12,1))))))))&gt;0,(((K106)*(IF(M106="",L106,IFERROR(IF(INDEX(Variablen!$I:$AT, MATCH(M106, Variablen!$A:$A, 0), MATCH((YEAR(D106)+16), Variablen!$I$3:$AT$3, 0))="",L106,INDEX(Variablen!$I:$AT, MATCH(M106, Variablen!$A:$A, 0), MATCH((YEAR(D106)+16), Variablen!$I$3:$AT$3, 0))),L106)))*(IF((YEAR(D106)+16)&lt;YEAR(E106),0,IF((YEAR(D106)+16)&gt;YEAR(E106),1,(12-MONTH(E106)+1)/12))) + (Q106)*(IF((YEAR(D106)+16)&lt;YEAR(E106),0,IF((YEAR(D106)+16)&gt;YEAR(E106),1,(12-MONTH(E106)+1)/12))))-((P106)*(IF((YEAR(D106)+16)&lt;YEAR(E106),0,IF((YEAR(D106)+16)&gt;YEAR(E106),1,(12-MONTH(E106)+1)/12))) + (R106)*(IF((YEAR(D106)+16)&lt;YEAR(E106),0,IF((YEAR(D106)+16)&gt;YEAR(E106),1,(12-MONTH(E106)+1)/12))))-(IF(OR(N106="",N106&lt;=0),0,(O106/N106)*(IF(OR(N106="",N106&lt;=0),0,IF((YEAR(D106)+16)&lt;YEAR(E106),0,IF((YEAR(D106)+16)&gt;=YEAR(E106)+N106,0,IF((YEAR(D106)+16)=YEAR(E106),(12-MONTH(E106)+1)/12,1))))))))*TaxRate,0))-IF(16=0,O106,0))</f>
        <v/>
      </c>
      <c r="AJ106" s="29">
        <f>IF(A106="","",((K106)*(IF(M106="",L106,IFERROR(IF(INDEX(Variablen!$I:$AT, MATCH(M106, Variablen!$A:$A, 0), MATCH((YEAR(D106)+17), Variablen!$I$3:$AT$3, 0))="",L106,INDEX(Variablen!$I:$AT, MATCH(M106, Variablen!$A:$A, 0), MATCH((YEAR(D106)+17), Variablen!$I$3:$AT$3, 0))),L106)))*(IF((YEAR(D106)+17)&lt;YEAR(E106),0,IF((YEAR(D106)+17)&gt;YEAR(E106),1,(12-MONTH(E106)+1)/12))) + (Q106)*(IF((YEAR(D106)+17)&lt;YEAR(E106),0,IF((YEAR(D106)+17)&gt;YEAR(E106),1,(12-MONTH(E106)+1)/12))))-((P106)*(IF((YEAR(D106)+17)&lt;YEAR(E106),0,IF((YEAR(D106)+17)&gt;YEAR(E106),1,(12-MONTH(E106)+1)/12))) + (R106)*(IF((YEAR(D106)+17)&lt;YEAR(E106),0,IF((YEAR(D106)+17)&gt;YEAR(E106),1,(12-MONTH(E106)+1)/12))))-(IF((((K106)*(IF(M106="",L106,IFERROR(IF(INDEX(Variablen!$I:$AT, MATCH(M106, Variablen!$A:$A, 0), MATCH((YEAR(D106)+17), Variablen!$I$3:$AT$3, 0))="",L106,INDEX(Variablen!$I:$AT, MATCH(M106, Variablen!$A:$A, 0), MATCH((YEAR(D106)+17), Variablen!$I$3:$AT$3, 0))),L106)))*(IF((YEAR(D106)+17)&lt;YEAR(E106),0,IF((YEAR(D106)+17)&gt;YEAR(E106),1,(12-MONTH(E106)+1)/12))) + (Q106)*(IF((YEAR(D106)+17)&lt;YEAR(E106),0,IF((YEAR(D106)+17)&gt;YEAR(E106),1,(12-MONTH(E106)+1)/12))))-((P106)*(IF((YEAR(D106)+17)&lt;YEAR(E106),0,IF((YEAR(D106)+17)&gt;YEAR(E106),1,(12-MONTH(E106)+1)/12))) + (R106)*(IF((YEAR(D106)+17)&lt;YEAR(E106),0,IF((YEAR(D106)+17)&gt;YEAR(E106),1,(12-MONTH(E106)+1)/12))))-(IF(OR(N106="",N106&lt;=0),0,(O106/N106)*(IF(OR(N106="",N106&lt;=0),0,IF((YEAR(D106)+17)&lt;YEAR(E106),0,IF((YEAR(D106)+17)&gt;=YEAR(E106)+N106,0,IF((YEAR(D106)+17)=YEAR(E106),(12-MONTH(E106)+1)/12,1))))))))&gt;0,(((K106)*(IF(M106="",L106,IFERROR(IF(INDEX(Variablen!$I:$AT, MATCH(M106, Variablen!$A:$A, 0), MATCH((YEAR(D106)+17), Variablen!$I$3:$AT$3, 0))="",L106,INDEX(Variablen!$I:$AT, MATCH(M106, Variablen!$A:$A, 0), MATCH((YEAR(D106)+17), Variablen!$I$3:$AT$3, 0))),L106)))*(IF((YEAR(D106)+17)&lt;YEAR(E106),0,IF((YEAR(D106)+17)&gt;YEAR(E106),1,(12-MONTH(E106)+1)/12))) + (Q106)*(IF((YEAR(D106)+17)&lt;YEAR(E106),0,IF((YEAR(D106)+17)&gt;YEAR(E106),1,(12-MONTH(E106)+1)/12))))-((P106)*(IF((YEAR(D106)+17)&lt;YEAR(E106),0,IF((YEAR(D106)+17)&gt;YEAR(E106),1,(12-MONTH(E106)+1)/12))) + (R106)*(IF((YEAR(D106)+17)&lt;YEAR(E106),0,IF((YEAR(D106)+17)&gt;YEAR(E106),1,(12-MONTH(E106)+1)/12))))-(IF(OR(N106="",N106&lt;=0),0,(O106/N106)*(IF(OR(N106="",N106&lt;=0),0,IF((YEAR(D106)+17)&lt;YEAR(E106),0,IF((YEAR(D106)+17)&gt;=YEAR(E106)+N106,0,IF((YEAR(D106)+17)=YEAR(E106),(12-MONTH(E106)+1)/12,1))))))))*TaxRate,0))-IF(17=0,O106,0))</f>
        <v/>
      </c>
      <c r="AK106" s="29">
        <f>IF(A106="","",((K106)*(IF(M106="",L106,IFERROR(IF(INDEX(Variablen!$I:$AT, MATCH(M106, Variablen!$A:$A, 0), MATCH((YEAR(D106)+18), Variablen!$I$3:$AT$3, 0))="",L106,INDEX(Variablen!$I:$AT, MATCH(M106, Variablen!$A:$A, 0), MATCH((YEAR(D106)+18), Variablen!$I$3:$AT$3, 0))),L106)))*(IF((YEAR(D106)+18)&lt;YEAR(E106),0,IF((YEAR(D106)+18)&gt;YEAR(E106),1,(12-MONTH(E106)+1)/12))) + (Q106)*(IF((YEAR(D106)+18)&lt;YEAR(E106),0,IF((YEAR(D106)+18)&gt;YEAR(E106),1,(12-MONTH(E106)+1)/12))))-((P106)*(IF((YEAR(D106)+18)&lt;YEAR(E106),0,IF((YEAR(D106)+18)&gt;YEAR(E106),1,(12-MONTH(E106)+1)/12))) + (R106)*(IF((YEAR(D106)+18)&lt;YEAR(E106),0,IF((YEAR(D106)+18)&gt;YEAR(E106),1,(12-MONTH(E106)+1)/12))))-(IF((((K106)*(IF(M106="",L106,IFERROR(IF(INDEX(Variablen!$I:$AT, MATCH(M106, Variablen!$A:$A, 0), MATCH((YEAR(D106)+18), Variablen!$I$3:$AT$3, 0))="",L106,INDEX(Variablen!$I:$AT, MATCH(M106, Variablen!$A:$A, 0), MATCH((YEAR(D106)+18), Variablen!$I$3:$AT$3, 0))),L106)))*(IF((YEAR(D106)+18)&lt;YEAR(E106),0,IF((YEAR(D106)+18)&gt;YEAR(E106),1,(12-MONTH(E106)+1)/12))) + (Q106)*(IF((YEAR(D106)+18)&lt;YEAR(E106),0,IF((YEAR(D106)+18)&gt;YEAR(E106),1,(12-MONTH(E106)+1)/12))))-((P106)*(IF((YEAR(D106)+18)&lt;YEAR(E106),0,IF((YEAR(D106)+18)&gt;YEAR(E106),1,(12-MONTH(E106)+1)/12))) + (R106)*(IF((YEAR(D106)+18)&lt;YEAR(E106),0,IF((YEAR(D106)+18)&gt;YEAR(E106),1,(12-MONTH(E106)+1)/12))))-(IF(OR(N106="",N106&lt;=0),0,(O106/N106)*(IF(OR(N106="",N106&lt;=0),0,IF((YEAR(D106)+18)&lt;YEAR(E106),0,IF((YEAR(D106)+18)&gt;=YEAR(E106)+N106,0,IF((YEAR(D106)+18)=YEAR(E106),(12-MONTH(E106)+1)/12,1))))))))&gt;0,(((K106)*(IF(M106="",L106,IFERROR(IF(INDEX(Variablen!$I:$AT, MATCH(M106, Variablen!$A:$A, 0), MATCH((YEAR(D106)+18), Variablen!$I$3:$AT$3, 0))="",L106,INDEX(Variablen!$I:$AT, MATCH(M106, Variablen!$A:$A, 0), MATCH((YEAR(D106)+18), Variablen!$I$3:$AT$3, 0))),L106)))*(IF((YEAR(D106)+18)&lt;YEAR(E106),0,IF((YEAR(D106)+18)&gt;YEAR(E106),1,(12-MONTH(E106)+1)/12))) + (Q106)*(IF((YEAR(D106)+18)&lt;YEAR(E106),0,IF((YEAR(D106)+18)&gt;YEAR(E106),1,(12-MONTH(E106)+1)/12))))-((P106)*(IF((YEAR(D106)+18)&lt;YEAR(E106),0,IF((YEAR(D106)+18)&gt;YEAR(E106),1,(12-MONTH(E106)+1)/12))) + (R106)*(IF((YEAR(D106)+18)&lt;YEAR(E106),0,IF((YEAR(D106)+18)&gt;YEAR(E106),1,(12-MONTH(E106)+1)/12))))-(IF(OR(N106="",N106&lt;=0),0,(O106/N106)*(IF(OR(N106="",N106&lt;=0),0,IF((YEAR(D106)+18)&lt;YEAR(E106),0,IF((YEAR(D106)+18)&gt;=YEAR(E106)+N106,0,IF((YEAR(D106)+18)=YEAR(E106),(12-MONTH(E106)+1)/12,1))))))))*TaxRate,0))-IF(18=0,O106,0))</f>
        <v/>
      </c>
      <c r="AL106" s="29">
        <f>IF(A106="","",((K106)*(IF(M106="",L106,IFERROR(IF(INDEX(Variablen!$I:$AT, MATCH(M106, Variablen!$A:$A, 0), MATCH((YEAR(D106)+19), Variablen!$I$3:$AT$3, 0))="",L106,INDEX(Variablen!$I:$AT, MATCH(M106, Variablen!$A:$A, 0), MATCH((YEAR(D106)+19), Variablen!$I$3:$AT$3, 0))),L106)))*(IF((YEAR(D106)+19)&lt;YEAR(E106),0,IF((YEAR(D106)+19)&gt;YEAR(E106),1,(12-MONTH(E106)+1)/12))) + (Q106)*(IF((YEAR(D106)+19)&lt;YEAR(E106),0,IF((YEAR(D106)+19)&gt;YEAR(E106),1,(12-MONTH(E106)+1)/12))))-((P106)*(IF((YEAR(D106)+19)&lt;YEAR(E106),0,IF((YEAR(D106)+19)&gt;YEAR(E106),1,(12-MONTH(E106)+1)/12))) + (R106)*(IF((YEAR(D106)+19)&lt;YEAR(E106),0,IF((YEAR(D106)+19)&gt;YEAR(E106),1,(12-MONTH(E106)+1)/12))))-(IF((((K106)*(IF(M106="",L106,IFERROR(IF(INDEX(Variablen!$I:$AT, MATCH(M106, Variablen!$A:$A, 0), MATCH((YEAR(D106)+19), Variablen!$I$3:$AT$3, 0))="",L106,INDEX(Variablen!$I:$AT, MATCH(M106, Variablen!$A:$A, 0), MATCH((YEAR(D106)+19), Variablen!$I$3:$AT$3, 0))),L106)))*(IF((YEAR(D106)+19)&lt;YEAR(E106),0,IF((YEAR(D106)+19)&gt;YEAR(E106),1,(12-MONTH(E106)+1)/12))) + (Q106)*(IF((YEAR(D106)+19)&lt;YEAR(E106),0,IF((YEAR(D106)+19)&gt;YEAR(E106),1,(12-MONTH(E106)+1)/12))))-((P106)*(IF((YEAR(D106)+19)&lt;YEAR(E106),0,IF((YEAR(D106)+19)&gt;YEAR(E106),1,(12-MONTH(E106)+1)/12))) + (R106)*(IF((YEAR(D106)+19)&lt;YEAR(E106),0,IF((YEAR(D106)+19)&gt;YEAR(E106),1,(12-MONTH(E106)+1)/12))))-(IF(OR(N106="",N106&lt;=0),0,(O106/N106)*(IF(OR(N106="",N106&lt;=0),0,IF((YEAR(D106)+19)&lt;YEAR(E106),0,IF((YEAR(D106)+19)&gt;=YEAR(E106)+N106,0,IF((YEAR(D106)+19)=YEAR(E106),(12-MONTH(E106)+1)/12,1))))))))&gt;0,(((K106)*(IF(M106="",L106,IFERROR(IF(INDEX(Variablen!$I:$AT, MATCH(M106, Variablen!$A:$A, 0), MATCH((YEAR(D106)+19), Variablen!$I$3:$AT$3, 0))="",L106,INDEX(Variablen!$I:$AT, MATCH(M106, Variablen!$A:$A, 0), MATCH((YEAR(D106)+19), Variablen!$I$3:$AT$3, 0))),L106)))*(IF((YEAR(D106)+19)&lt;YEAR(E106),0,IF((YEAR(D106)+19)&gt;YEAR(E106),1,(12-MONTH(E106)+1)/12))) + (Q106)*(IF((YEAR(D106)+19)&lt;YEAR(E106),0,IF((YEAR(D106)+19)&gt;YEAR(E106),1,(12-MONTH(E106)+1)/12))))-((P106)*(IF((YEAR(D106)+19)&lt;YEAR(E106),0,IF((YEAR(D106)+19)&gt;YEAR(E106),1,(12-MONTH(E106)+1)/12))) + (R106)*(IF((YEAR(D106)+19)&lt;YEAR(E106),0,IF((YEAR(D106)+19)&gt;YEAR(E106),1,(12-MONTH(E106)+1)/12))))-(IF(OR(N106="",N106&lt;=0),0,(O106/N106)*(IF(OR(N106="",N106&lt;=0),0,IF((YEAR(D106)+19)&lt;YEAR(E106),0,IF((YEAR(D106)+19)&gt;=YEAR(E106)+N106,0,IF((YEAR(D106)+19)=YEAR(E106),(12-MONTH(E106)+1)/12,1))))))))*TaxRate,0))-IF(19=0,O106,0))</f>
        <v/>
      </c>
      <c r="AM106" s="29">
        <f>IF(A106="","",((K106)*(IF(M106="",L106,IFERROR(IF(INDEX(Variablen!$I:$AT, MATCH(M106, Variablen!$A:$A, 0), MATCH((YEAR(D106)+20), Variablen!$I$3:$AT$3, 0))="",L106,INDEX(Variablen!$I:$AT, MATCH(M106, Variablen!$A:$A, 0), MATCH((YEAR(D106)+20), Variablen!$I$3:$AT$3, 0))),L106)))*(IF((YEAR(D106)+20)&lt;YEAR(E106),0,IF((YEAR(D106)+20)&gt;YEAR(E106),1,(12-MONTH(E106)+1)/12))) + (Q106)*(IF((YEAR(D106)+20)&lt;YEAR(E106),0,IF((YEAR(D106)+20)&gt;YEAR(E106),1,(12-MONTH(E106)+1)/12))))-((P106)*(IF((YEAR(D106)+20)&lt;YEAR(E106),0,IF((YEAR(D106)+20)&gt;YEAR(E106),1,(12-MONTH(E106)+1)/12))) + (R106)*(IF((YEAR(D106)+20)&lt;YEAR(E106),0,IF((YEAR(D106)+20)&gt;YEAR(E106),1,(12-MONTH(E106)+1)/12))))-(IF((((K106)*(IF(M106="",L106,IFERROR(IF(INDEX(Variablen!$I:$AT, MATCH(M106, Variablen!$A:$A, 0), MATCH((YEAR(D106)+20), Variablen!$I$3:$AT$3, 0))="",L106,INDEX(Variablen!$I:$AT, MATCH(M106, Variablen!$A:$A, 0), MATCH((YEAR(D106)+20), Variablen!$I$3:$AT$3, 0))),L106)))*(IF((YEAR(D106)+20)&lt;YEAR(E106),0,IF((YEAR(D106)+20)&gt;YEAR(E106),1,(12-MONTH(E106)+1)/12))) + (Q106)*(IF((YEAR(D106)+20)&lt;YEAR(E106),0,IF((YEAR(D106)+20)&gt;YEAR(E106),1,(12-MONTH(E106)+1)/12))))-((P106)*(IF((YEAR(D106)+20)&lt;YEAR(E106),0,IF((YEAR(D106)+20)&gt;YEAR(E106),1,(12-MONTH(E106)+1)/12))) + (R106)*(IF((YEAR(D106)+20)&lt;YEAR(E106),0,IF((YEAR(D106)+20)&gt;YEAR(E106),1,(12-MONTH(E106)+1)/12))))-(IF(OR(N106="",N106&lt;=0),0,(O106/N106)*(IF(OR(N106="",N106&lt;=0),0,IF((YEAR(D106)+20)&lt;YEAR(E106),0,IF((YEAR(D106)+20)&gt;=YEAR(E106)+N106,0,IF((YEAR(D106)+20)=YEAR(E106),(12-MONTH(E106)+1)/12,1))))))))&gt;0,(((K106)*(IF(M106="",L106,IFERROR(IF(INDEX(Variablen!$I:$AT, MATCH(M106, Variablen!$A:$A, 0), MATCH((YEAR(D106)+20), Variablen!$I$3:$AT$3, 0))="",L106,INDEX(Variablen!$I:$AT, MATCH(M106, Variablen!$A:$A, 0), MATCH((YEAR(D106)+20), Variablen!$I$3:$AT$3, 0))),L106)))*(IF((YEAR(D106)+20)&lt;YEAR(E106),0,IF((YEAR(D106)+20)&gt;YEAR(E106),1,(12-MONTH(E106)+1)/12))) + (Q106)*(IF((YEAR(D106)+20)&lt;YEAR(E106),0,IF((YEAR(D106)+20)&gt;YEAR(E106),1,(12-MONTH(E106)+1)/12))))-((P106)*(IF((YEAR(D106)+20)&lt;YEAR(E106),0,IF((YEAR(D106)+20)&gt;YEAR(E106),1,(12-MONTH(E106)+1)/12))) + (R106)*(IF((YEAR(D106)+20)&lt;YEAR(E106),0,IF((YEAR(D106)+20)&gt;YEAR(E106),1,(12-MONTH(E106)+1)/12))))-(IF(OR(N106="",N106&lt;=0),0,(O106/N106)*(IF(OR(N106="",N106&lt;=0),0,IF((YEAR(D106)+20)&lt;YEAR(E106),0,IF((YEAR(D106)+20)&gt;=YEAR(E106)+N106,0,IF((YEAR(D106)+20)=YEAR(E106),(12-MONTH(E106)+1)/12,1))))))))*TaxRate,0))-IF(20=0,O106,0))</f>
        <v/>
      </c>
      <c r="AN106" s="29">
        <f>IF(A106="","",S106)</f>
        <v/>
      </c>
      <c r="AO106" s="29">
        <f>IF(A106="","",AN106+T106)</f>
        <v/>
      </c>
      <c r="AP106" s="29">
        <f>IF(A106="","",AO106+U106)</f>
        <v/>
      </c>
      <c r="AQ106" s="29">
        <f>IF(A106="","",AP106+V106)</f>
        <v/>
      </c>
      <c r="AR106" s="29">
        <f>IF(A106="","",AQ106+W106)</f>
        <v/>
      </c>
      <c r="AS106" s="29">
        <f>IF(A106="","",AR106+X106)</f>
        <v/>
      </c>
      <c r="AT106" s="29">
        <f>IF(A106="","",AS106+Y106)</f>
        <v/>
      </c>
      <c r="AU106" s="29">
        <f>IF(A106="","",AT106+Z106)</f>
        <v/>
      </c>
      <c r="AV106" s="29">
        <f>IF(A106="","",AU106+AA106)</f>
        <v/>
      </c>
      <c r="AW106" s="29">
        <f>IF(A106="","",AV106+AB106)</f>
        <v/>
      </c>
      <c r="AX106" s="29">
        <f>IF(A106="","",AW106+AC106)</f>
        <v/>
      </c>
      <c r="AY106" s="29">
        <f>IF(A106="","",AX106+AD106)</f>
        <v/>
      </c>
      <c r="AZ106" s="29">
        <f>IF(A106="","",AY106+AE106)</f>
        <v/>
      </c>
      <c r="BA106" s="29">
        <f>IF(A106="","",AZ106+AF106)</f>
        <v/>
      </c>
      <c r="BB106" s="29">
        <f>IF(A106="","",BA106+AG106)</f>
        <v/>
      </c>
      <c r="BC106" s="29">
        <f>IF(A106="","",BB106+AH106)</f>
        <v/>
      </c>
      <c r="BD106" s="29">
        <f>IF(A106="","",BC106+AI106)</f>
        <v/>
      </c>
      <c r="BE106" s="29">
        <f>IF(A106="","",BD106+AJ106)</f>
        <v/>
      </c>
      <c r="BF106" s="29">
        <f>IF(A106="","",BE106+AK106)</f>
        <v/>
      </c>
      <c r="BG106" s="29">
        <f>IF(A106="","",BF106+AL106)</f>
        <v/>
      </c>
      <c r="BH106" s="29">
        <f>IF(A106="","",BG106+AM106)</f>
        <v/>
      </c>
      <c r="BI106" s="36">
        <f>IF(A106="","",(K106)*(IF((YEAR(D106)+0)&lt;YEAR(E106),0,IF((YEAR(D106)+0)&gt;YEAR(E106),1,(12-MONTH(E106)+1)/12)))*(1/(1+DiscountRate)^0))</f>
        <v/>
      </c>
      <c r="BJ106" s="36">
        <f>IF(A106="","",(K106)*(IF((YEAR(D106)+1)&lt;YEAR(E106),0,IF((YEAR(D106)+1)&gt;YEAR(E106),1,(12-MONTH(E106)+1)/12)))*(1/(1+DiscountRate)^1))</f>
        <v/>
      </c>
      <c r="BK106" s="36">
        <f>IF(A106="","",(K106)*(IF((YEAR(D106)+2)&lt;YEAR(E106),0,IF((YEAR(D106)+2)&gt;YEAR(E106),1,(12-MONTH(E106)+1)/12)))*(1/(1+DiscountRate)^2))</f>
        <v/>
      </c>
      <c r="BL106" s="36">
        <f>IF(A106="","",(K106)*(IF((YEAR(D106)+3)&lt;YEAR(E106),0,IF((YEAR(D106)+3)&gt;YEAR(E106),1,(12-MONTH(E106)+1)/12)))*(1/(1+DiscountRate)^3))</f>
        <v/>
      </c>
      <c r="BM106" s="36">
        <f>IF(A106="","",(K106)*(IF((YEAR(D106)+4)&lt;YEAR(E106),0,IF((YEAR(D106)+4)&gt;YEAR(E106),1,(12-MONTH(E106)+1)/12)))*(1/(1+DiscountRate)^4))</f>
        <v/>
      </c>
      <c r="BN106" s="36">
        <f>IF(A106="","",(K106)*(IF((YEAR(D106)+5)&lt;YEAR(E106),0,IF((YEAR(D106)+5)&gt;YEAR(E106),1,(12-MONTH(E106)+1)/12)))*(1/(1+DiscountRate)^5))</f>
        <v/>
      </c>
      <c r="BO106" s="36">
        <f>IF(A106="","",(K106)*(IF((YEAR(D106)+6)&lt;YEAR(E106),0,IF((YEAR(D106)+6)&gt;YEAR(E106),1,(12-MONTH(E106)+1)/12)))*(1/(1+DiscountRate)^6))</f>
        <v/>
      </c>
      <c r="BP106" s="36">
        <f>IF(A106="","",(K106)*(IF((YEAR(D106)+7)&lt;YEAR(E106),0,IF((YEAR(D106)+7)&gt;YEAR(E106),1,(12-MONTH(E106)+1)/12)))*(1/(1+DiscountRate)^7))</f>
        <v/>
      </c>
      <c r="BQ106" s="36">
        <f>IF(A106="","",(K106)*(IF((YEAR(D106)+8)&lt;YEAR(E106),0,IF((YEAR(D106)+8)&gt;YEAR(E106),1,(12-MONTH(E106)+1)/12)))*(1/(1+DiscountRate)^8))</f>
        <v/>
      </c>
      <c r="BR106" s="36">
        <f>IF(A106="","",(K106)*(IF((YEAR(D106)+9)&lt;YEAR(E106),0,IF((YEAR(D106)+9)&gt;YEAR(E106),1,(12-MONTH(E106)+1)/12)))*(1/(1+DiscountRate)^9))</f>
        <v/>
      </c>
      <c r="BS106" s="36">
        <f>IF(A106="","",(K106)*(IF((YEAR(D106)+10)&lt;YEAR(E106),0,IF((YEAR(D106)+10)&gt;YEAR(E106),1,(12-MONTH(E106)+1)/12)))*(1/(1+DiscountRate)^10))</f>
        <v/>
      </c>
      <c r="BT106" s="36">
        <f>IF(A106="","",(K106)*(IF((YEAR(D106)+11)&lt;YEAR(E106),0,IF((YEAR(D106)+11)&gt;YEAR(E106),1,(12-MONTH(E106)+1)/12)))*(1/(1+DiscountRate)^11))</f>
        <v/>
      </c>
      <c r="BU106" s="36">
        <f>IF(A106="","",(K106)*(IF((YEAR(D106)+12)&lt;YEAR(E106),0,IF((YEAR(D106)+12)&gt;YEAR(E106),1,(12-MONTH(E106)+1)/12)))*(1/(1+DiscountRate)^12))</f>
        <v/>
      </c>
      <c r="BV106" s="36">
        <f>IF(A106="","",(K106)*(IF((YEAR(D106)+13)&lt;YEAR(E106),0,IF((YEAR(D106)+13)&gt;YEAR(E106),1,(12-MONTH(E106)+1)/12)))*(1/(1+DiscountRate)^13))</f>
        <v/>
      </c>
      <c r="BW106" s="36">
        <f>IF(A106="","",(K106)*(IF((YEAR(D106)+14)&lt;YEAR(E106),0,IF((YEAR(D106)+14)&gt;YEAR(E106),1,(12-MONTH(E106)+1)/12)))*(1/(1+DiscountRate)^14))</f>
        <v/>
      </c>
      <c r="BX106" s="36">
        <f>IF(A106="","",(K106)*(IF((YEAR(D106)+15)&lt;YEAR(E106),0,IF((YEAR(D106)+15)&gt;YEAR(E106),1,(12-MONTH(E106)+1)/12)))*(1/(1+DiscountRate)^15))</f>
        <v/>
      </c>
      <c r="BY106" s="36">
        <f>IF(A106="","",(K106)*(IF((YEAR(D106)+16)&lt;YEAR(E106),0,IF((YEAR(D106)+16)&gt;YEAR(E106),1,(12-MONTH(E106)+1)/12)))*(1/(1+DiscountRate)^16))</f>
        <v/>
      </c>
      <c r="BZ106" s="36">
        <f>IF(A106="","",(K106)*(IF((YEAR(D106)+17)&lt;YEAR(E106),0,IF((YEAR(D106)+17)&gt;YEAR(E106),1,(12-MONTH(E106)+1)/12)))*(1/(1+DiscountRate)^17))</f>
        <v/>
      </c>
      <c r="CA106" s="36">
        <f>IF(A106="","",(K106)*(IF((YEAR(D106)+18)&lt;YEAR(E106),0,IF((YEAR(D106)+18)&gt;YEAR(E106),1,(12-MONTH(E106)+1)/12)))*(1/(1+DiscountRate)^18))</f>
        <v/>
      </c>
      <c r="CB106" s="36">
        <f>IF(A106="","",(K106)*(IF((YEAR(D106)+19)&lt;YEAR(E106),0,IF((YEAR(D106)+19)&gt;YEAR(E106),1,(12-MONTH(E106)+1)/12)))*(1/(1+DiscountRate)^19))</f>
        <v/>
      </c>
      <c r="CC106" s="36">
        <f>IF(A106="","",(K106)*(IF((YEAR(D106)+20)&lt;YEAR(E106),0,IF((YEAR(D106)+20)&gt;YEAR(E106),1,(12-MONTH(E106)+1)/12)))*(1/(1+DiscountRate)^20))</f>
        <v/>
      </c>
      <c r="CD106" s="29">
        <f>IF(A106="","",S106/(1+DiscountRate)^0+T106/(1+DiscountRate)^1+U106/(1+DiscountRate)^2+V106/(1+DiscountRate)^3+W106/(1+DiscountRate)^4+X106/(1+DiscountRate)^5+Y106/(1+DiscountRate)^6+Z106/(1+DiscountRate)^7+AA106/(1+DiscountRate)^8+AB106/(1+DiscountRate)^9+AC106/(1+DiscountRate)^10+AD106/(1+DiscountRate)^11+AE106/(1+DiscountRate)^12+AF106/(1+DiscountRate)^13+AG106/(1+DiscountRate)^14+AH106/(1+DiscountRate)^15+AI106/(1+DiscountRate)^16+AJ106/(1+DiscountRate)^17+AK106/(1+DiscountRate)^18+AL106/(1+DiscountRate)^19+AM106/(1+DiscountRate)^20)</f>
        <v/>
      </c>
      <c r="CE106" s="37">
        <f>IF(A106="","",IFERROR(IRR(OFFSET(S106,0,0,1,MIN(HorizonYears,20)+1)),"n/a"))</f>
        <v/>
      </c>
      <c r="CF106" s="28">
        <f>IF(A106="","",IFERROR(MATCH(TRUE,OFFSET(AN106,0,0,1,MIN(HorizonYears,20)+1)&gt;=0,0)-1,"n/a"))</f>
        <v/>
      </c>
      <c r="CG106" s="36">
        <f>IF(A106="","",SUM(OFFSET(BI106,0,0,1,MIN(HorizonYears,20)+1)))</f>
        <v/>
      </c>
      <c r="CH106" s="36">
        <f>IF(A106="","",IFERROR(-CD106/CG106,"n/a"))</f>
        <v/>
      </c>
    </row>
    <row r="107">
      <c r="A107" s="6">
        <f>Actions!A105</f>
        <v/>
      </c>
      <c r="B107" s="6">
        <f>Actions!B105</f>
        <v/>
      </c>
      <c r="C107" s="6">
        <f>Actions!D105</f>
        <v/>
      </c>
      <c r="D107" s="35">
        <f>Actions!E105</f>
        <v/>
      </c>
      <c r="E107" s="35">
        <f>Actions!F105</f>
        <v/>
      </c>
      <c r="F107" s="6">
        <f>Actions!G105</f>
        <v/>
      </c>
      <c r="G107" s="6">
        <f>Actions!H105</f>
        <v/>
      </c>
      <c r="H107" s="29">
        <f>Actions!I105</f>
        <v/>
      </c>
      <c r="I107" s="6">
        <f>Actions!J105</f>
        <v/>
      </c>
      <c r="J107" s="16">
        <f>Actions!K105</f>
        <v/>
      </c>
      <c r="K107" s="16">
        <f>IF(A107="","",IF(I107="%",H107*J107,J107))</f>
        <v/>
      </c>
      <c r="L107" s="16">
        <f>Actions!L105</f>
        <v/>
      </c>
      <c r="M107" s="6">
        <f>Actions!M105</f>
        <v/>
      </c>
      <c r="N107" s="28">
        <f>Actions!N105</f>
        <v/>
      </c>
      <c r="O107" s="29">
        <f>Actions!T105</f>
        <v/>
      </c>
      <c r="P107" s="29">
        <f>Actions!Y105</f>
        <v/>
      </c>
      <c r="Q107" s="29">
        <f>Actions!Z105</f>
        <v/>
      </c>
      <c r="R107" s="29">
        <f>Actions!AA105</f>
        <v/>
      </c>
      <c r="S107" s="29">
        <f>IF(A107="","",((K107)*(IF(M107="",L107,IFERROR(IF(INDEX(Variablen!$I:$AT, MATCH(M107, Variablen!$A:$A, 0), MATCH((YEAR(D107)+0), Variablen!$I$3:$AT$3, 0))="",L107,INDEX(Variablen!$I:$AT, MATCH(M107, Variablen!$A:$A, 0), MATCH((YEAR(D107)+0), Variablen!$I$3:$AT$3, 0))),L107)))*(IF((YEAR(D107)+0)&lt;YEAR(E107),0,IF((YEAR(D107)+0)&gt;YEAR(E107),1,(12-MONTH(E107)+1)/12))) + (Q107)*(IF((YEAR(D107)+0)&lt;YEAR(E107),0,IF((YEAR(D107)+0)&gt;YEAR(E107),1,(12-MONTH(E107)+1)/12))))-((P107)*(IF((YEAR(D107)+0)&lt;YEAR(E107),0,IF((YEAR(D107)+0)&gt;YEAR(E107),1,(12-MONTH(E107)+1)/12))) + (R107)*(IF((YEAR(D107)+0)&lt;YEAR(E107),0,IF((YEAR(D107)+0)&gt;YEAR(E107),1,(12-MONTH(E107)+1)/12))))-(IF((((K107)*(IF(M107="",L107,IFERROR(IF(INDEX(Variablen!$I:$AT, MATCH(M107, Variablen!$A:$A, 0), MATCH((YEAR(D107)+0), Variablen!$I$3:$AT$3, 0))="",L107,INDEX(Variablen!$I:$AT, MATCH(M107, Variablen!$A:$A, 0), MATCH((YEAR(D107)+0), Variablen!$I$3:$AT$3, 0))),L107)))*(IF((YEAR(D107)+0)&lt;YEAR(E107),0,IF((YEAR(D107)+0)&gt;YEAR(E107),1,(12-MONTH(E107)+1)/12))) + (Q107)*(IF((YEAR(D107)+0)&lt;YEAR(E107),0,IF((YEAR(D107)+0)&gt;YEAR(E107),1,(12-MONTH(E107)+1)/12))))-((P107)*(IF((YEAR(D107)+0)&lt;YEAR(E107),0,IF((YEAR(D107)+0)&gt;YEAR(E107),1,(12-MONTH(E107)+1)/12))) + (R107)*(IF((YEAR(D107)+0)&lt;YEAR(E107),0,IF((YEAR(D107)+0)&gt;YEAR(E107),1,(12-MONTH(E107)+1)/12))))-(IF(OR(N107="",N107&lt;=0),0,(O107/N107)*(IF(OR(N107="",N107&lt;=0),0,IF((YEAR(D107)+0)&lt;YEAR(E107),0,IF((YEAR(D107)+0)&gt;=YEAR(E107)+N107,0,IF((YEAR(D107)+0)=YEAR(E107),(12-MONTH(E107)+1)/12,1))))))))&gt;0,(((K107)*(IF(M107="",L107,IFERROR(IF(INDEX(Variablen!$I:$AT, MATCH(M107, Variablen!$A:$A, 0), MATCH((YEAR(D107)+0), Variablen!$I$3:$AT$3, 0))="",L107,INDEX(Variablen!$I:$AT, MATCH(M107, Variablen!$A:$A, 0), MATCH((YEAR(D107)+0), Variablen!$I$3:$AT$3, 0))),L107)))*(IF((YEAR(D107)+0)&lt;YEAR(E107),0,IF((YEAR(D107)+0)&gt;YEAR(E107),1,(12-MONTH(E107)+1)/12))) + (Q107)*(IF((YEAR(D107)+0)&lt;YEAR(E107),0,IF((YEAR(D107)+0)&gt;YEAR(E107),1,(12-MONTH(E107)+1)/12))))-((P107)*(IF((YEAR(D107)+0)&lt;YEAR(E107),0,IF((YEAR(D107)+0)&gt;YEAR(E107),1,(12-MONTH(E107)+1)/12))) + (R107)*(IF((YEAR(D107)+0)&lt;YEAR(E107),0,IF((YEAR(D107)+0)&gt;YEAR(E107),1,(12-MONTH(E107)+1)/12))))-(IF(OR(N107="",N107&lt;=0),0,(O107/N107)*(IF(OR(N107="",N107&lt;=0),0,IF((YEAR(D107)+0)&lt;YEAR(E107),0,IF((YEAR(D107)+0)&gt;=YEAR(E107)+N107,0,IF((YEAR(D107)+0)=YEAR(E107),(12-MONTH(E107)+1)/12,1))))))))*TaxRate,0))-IF(0=0,O107,0))</f>
        <v/>
      </c>
      <c r="T107" s="29">
        <f>IF(A107="","",((K107)*(IF(M107="",L107,IFERROR(IF(INDEX(Variablen!$I:$AT, MATCH(M107, Variablen!$A:$A, 0), MATCH((YEAR(D107)+1), Variablen!$I$3:$AT$3, 0))="",L107,INDEX(Variablen!$I:$AT, MATCH(M107, Variablen!$A:$A, 0), MATCH((YEAR(D107)+1), Variablen!$I$3:$AT$3, 0))),L107)))*(IF((YEAR(D107)+1)&lt;YEAR(E107),0,IF((YEAR(D107)+1)&gt;YEAR(E107),1,(12-MONTH(E107)+1)/12))) + (Q107)*(IF((YEAR(D107)+1)&lt;YEAR(E107),0,IF((YEAR(D107)+1)&gt;YEAR(E107),1,(12-MONTH(E107)+1)/12))))-((P107)*(IF((YEAR(D107)+1)&lt;YEAR(E107),0,IF((YEAR(D107)+1)&gt;YEAR(E107),1,(12-MONTH(E107)+1)/12))) + (R107)*(IF((YEAR(D107)+1)&lt;YEAR(E107),0,IF((YEAR(D107)+1)&gt;YEAR(E107),1,(12-MONTH(E107)+1)/12))))-(IF((((K107)*(IF(M107="",L107,IFERROR(IF(INDEX(Variablen!$I:$AT, MATCH(M107, Variablen!$A:$A, 0), MATCH((YEAR(D107)+1), Variablen!$I$3:$AT$3, 0))="",L107,INDEX(Variablen!$I:$AT, MATCH(M107, Variablen!$A:$A, 0), MATCH((YEAR(D107)+1), Variablen!$I$3:$AT$3, 0))),L107)))*(IF((YEAR(D107)+1)&lt;YEAR(E107),0,IF((YEAR(D107)+1)&gt;YEAR(E107),1,(12-MONTH(E107)+1)/12))) + (Q107)*(IF((YEAR(D107)+1)&lt;YEAR(E107),0,IF((YEAR(D107)+1)&gt;YEAR(E107),1,(12-MONTH(E107)+1)/12))))-((P107)*(IF((YEAR(D107)+1)&lt;YEAR(E107),0,IF((YEAR(D107)+1)&gt;YEAR(E107),1,(12-MONTH(E107)+1)/12))) + (R107)*(IF((YEAR(D107)+1)&lt;YEAR(E107),0,IF((YEAR(D107)+1)&gt;YEAR(E107),1,(12-MONTH(E107)+1)/12))))-(IF(OR(N107="",N107&lt;=0),0,(O107/N107)*(IF(OR(N107="",N107&lt;=0),0,IF((YEAR(D107)+1)&lt;YEAR(E107),0,IF((YEAR(D107)+1)&gt;=YEAR(E107)+N107,0,IF((YEAR(D107)+1)=YEAR(E107),(12-MONTH(E107)+1)/12,1))))))))&gt;0,(((K107)*(IF(M107="",L107,IFERROR(IF(INDEX(Variablen!$I:$AT, MATCH(M107, Variablen!$A:$A, 0), MATCH((YEAR(D107)+1), Variablen!$I$3:$AT$3, 0))="",L107,INDEX(Variablen!$I:$AT, MATCH(M107, Variablen!$A:$A, 0), MATCH((YEAR(D107)+1), Variablen!$I$3:$AT$3, 0))),L107)))*(IF((YEAR(D107)+1)&lt;YEAR(E107),0,IF((YEAR(D107)+1)&gt;YEAR(E107),1,(12-MONTH(E107)+1)/12))) + (Q107)*(IF((YEAR(D107)+1)&lt;YEAR(E107),0,IF((YEAR(D107)+1)&gt;YEAR(E107),1,(12-MONTH(E107)+1)/12))))-((P107)*(IF((YEAR(D107)+1)&lt;YEAR(E107),0,IF((YEAR(D107)+1)&gt;YEAR(E107),1,(12-MONTH(E107)+1)/12))) + (R107)*(IF((YEAR(D107)+1)&lt;YEAR(E107),0,IF((YEAR(D107)+1)&gt;YEAR(E107),1,(12-MONTH(E107)+1)/12))))-(IF(OR(N107="",N107&lt;=0),0,(O107/N107)*(IF(OR(N107="",N107&lt;=0),0,IF((YEAR(D107)+1)&lt;YEAR(E107),0,IF((YEAR(D107)+1)&gt;=YEAR(E107)+N107,0,IF((YEAR(D107)+1)=YEAR(E107),(12-MONTH(E107)+1)/12,1))))))))*TaxRate,0))-IF(1=0,O107,0))</f>
        <v/>
      </c>
      <c r="U107" s="29">
        <f>IF(A107="","",((K107)*(IF(M107="",L107,IFERROR(IF(INDEX(Variablen!$I:$AT, MATCH(M107, Variablen!$A:$A, 0), MATCH((YEAR(D107)+2), Variablen!$I$3:$AT$3, 0))="",L107,INDEX(Variablen!$I:$AT, MATCH(M107, Variablen!$A:$A, 0), MATCH((YEAR(D107)+2), Variablen!$I$3:$AT$3, 0))),L107)))*(IF((YEAR(D107)+2)&lt;YEAR(E107),0,IF((YEAR(D107)+2)&gt;YEAR(E107),1,(12-MONTH(E107)+1)/12))) + (Q107)*(IF((YEAR(D107)+2)&lt;YEAR(E107),0,IF((YEAR(D107)+2)&gt;YEAR(E107),1,(12-MONTH(E107)+1)/12))))-((P107)*(IF((YEAR(D107)+2)&lt;YEAR(E107),0,IF((YEAR(D107)+2)&gt;YEAR(E107),1,(12-MONTH(E107)+1)/12))) + (R107)*(IF((YEAR(D107)+2)&lt;YEAR(E107),0,IF((YEAR(D107)+2)&gt;YEAR(E107),1,(12-MONTH(E107)+1)/12))))-(IF((((K107)*(IF(M107="",L107,IFERROR(IF(INDEX(Variablen!$I:$AT, MATCH(M107, Variablen!$A:$A, 0), MATCH((YEAR(D107)+2), Variablen!$I$3:$AT$3, 0))="",L107,INDEX(Variablen!$I:$AT, MATCH(M107, Variablen!$A:$A, 0), MATCH((YEAR(D107)+2), Variablen!$I$3:$AT$3, 0))),L107)))*(IF((YEAR(D107)+2)&lt;YEAR(E107),0,IF((YEAR(D107)+2)&gt;YEAR(E107),1,(12-MONTH(E107)+1)/12))) + (Q107)*(IF((YEAR(D107)+2)&lt;YEAR(E107),0,IF((YEAR(D107)+2)&gt;YEAR(E107),1,(12-MONTH(E107)+1)/12))))-((P107)*(IF((YEAR(D107)+2)&lt;YEAR(E107),0,IF((YEAR(D107)+2)&gt;YEAR(E107),1,(12-MONTH(E107)+1)/12))) + (R107)*(IF((YEAR(D107)+2)&lt;YEAR(E107),0,IF((YEAR(D107)+2)&gt;YEAR(E107),1,(12-MONTH(E107)+1)/12))))-(IF(OR(N107="",N107&lt;=0),0,(O107/N107)*(IF(OR(N107="",N107&lt;=0),0,IF((YEAR(D107)+2)&lt;YEAR(E107),0,IF((YEAR(D107)+2)&gt;=YEAR(E107)+N107,0,IF((YEAR(D107)+2)=YEAR(E107),(12-MONTH(E107)+1)/12,1))))))))&gt;0,(((K107)*(IF(M107="",L107,IFERROR(IF(INDEX(Variablen!$I:$AT, MATCH(M107, Variablen!$A:$A, 0), MATCH((YEAR(D107)+2), Variablen!$I$3:$AT$3, 0))="",L107,INDEX(Variablen!$I:$AT, MATCH(M107, Variablen!$A:$A, 0), MATCH((YEAR(D107)+2), Variablen!$I$3:$AT$3, 0))),L107)))*(IF((YEAR(D107)+2)&lt;YEAR(E107),0,IF((YEAR(D107)+2)&gt;YEAR(E107),1,(12-MONTH(E107)+1)/12))) + (Q107)*(IF((YEAR(D107)+2)&lt;YEAR(E107),0,IF((YEAR(D107)+2)&gt;YEAR(E107),1,(12-MONTH(E107)+1)/12))))-((P107)*(IF((YEAR(D107)+2)&lt;YEAR(E107),0,IF((YEAR(D107)+2)&gt;YEAR(E107),1,(12-MONTH(E107)+1)/12))) + (R107)*(IF((YEAR(D107)+2)&lt;YEAR(E107),0,IF((YEAR(D107)+2)&gt;YEAR(E107),1,(12-MONTH(E107)+1)/12))))-(IF(OR(N107="",N107&lt;=0),0,(O107/N107)*(IF(OR(N107="",N107&lt;=0),0,IF((YEAR(D107)+2)&lt;YEAR(E107),0,IF((YEAR(D107)+2)&gt;=YEAR(E107)+N107,0,IF((YEAR(D107)+2)=YEAR(E107),(12-MONTH(E107)+1)/12,1))))))))*TaxRate,0))-IF(2=0,O107,0))</f>
        <v/>
      </c>
      <c r="V107" s="29">
        <f>IF(A107="","",((K107)*(IF(M107="",L107,IFERROR(IF(INDEX(Variablen!$I:$AT, MATCH(M107, Variablen!$A:$A, 0), MATCH((YEAR(D107)+3), Variablen!$I$3:$AT$3, 0))="",L107,INDEX(Variablen!$I:$AT, MATCH(M107, Variablen!$A:$A, 0), MATCH((YEAR(D107)+3), Variablen!$I$3:$AT$3, 0))),L107)))*(IF((YEAR(D107)+3)&lt;YEAR(E107),0,IF((YEAR(D107)+3)&gt;YEAR(E107),1,(12-MONTH(E107)+1)/12))) + (Q107)*(IF((YEAR(D107)+3)&lt;YEAR(E107),0,IF((YEAR(D107)+3)&gt;YEAR(E107),1,(12-MONTH(E107)+1)/12))))-((P107)*(IF((YEAR(D107)+3)&lt;YEAR(E107),0,IF((YEAR(D107)+3)&gt;YEAR(E107),1,(12-MONTH(E107)+1)/12))) + (R107)*(IF((YEAR(D107)+3)&lt;YEAR(E107),0,IF((YEAR(D107)+3)&gt;YEAR(E107),1,(12-MONTH(E107)+1)/12))))-(IF((((K107)*(IF(M107="",L107,IFERROR(IF(INDEX(Variablen!$I:$AT, MATCH(M107, Variablen!$A:$A, 0), MATCH((YEAR(D107)+3), Variablen!$I$3:$AT$3, 0))="",L107,INDEX(Variablen!$I:$AT, MATCH(M107, Variablen!$A:$A, 0), MATCH((YEAR(D107)+3), Variablen!$I$3:$AT$3, 0))),L107)))*(IF((YEAR(D107)+3)&lt;YEAR(E107),0,IF((YEAR(D107)+3)&gt;YEAR(E107),1,(12-MONTH(E107)+1)/12))) + (Q107)*(IF((YEAR(D107)+3)&lt;YEAR(E107),0,IF((YEAR(D107)+3)&gt;YEAR(E107),1,(12-MONTH(E107)+1)/12))))-((P107)*(IF((YEAR(D107)+3)&lt;YEAR(E107),0,IF((YEAR(D107)+3)&gt;YEAR(E107),1,(12-MONTH(E107)+1)/12))) + (R107)*(IF((YEAR(D107)+3)&lt;YEAR(E107),0,IF((YEAR(D107)+3)&gt;YEAR(E107),1,(12-MONTH(E107)+1)/12))))-(IF(OR(N107="",N107&lt;=0),0,(O107/N107)*(IF(OR(N107="",N107&lt;=0),0,IF((YEAR(D107)+3)&lt;YEAR(E107),0,IF((YEAR(D107)+3)&gt;=YEAR(E107)+N107,0,IF((YEAR(D107)+3)=YEAR(E107),(12-MONTH(E107)+1)/12,1))))))))&gt;0,(((K107)*(IF(M107="",L107,IFERROR(IF(INDEX(Variablen!$I:$AT, MATCH(M107, Variablen!$A:$A, 0), MATCH((YEAR(D107)+3), Variablen!$I$3:$AT$3, 0))="",L107,INDEX(Variablen!$I:$AT, MATCH(M107, Variablen!$A:$A, 0), MATCH((YEAR(D107)+3), Variablen!$I$3:$AT$3, 0))),L107)))*(IF((YEAR(D107)+3)&lt;YEAR(E107),0,IF((YEAR(D107)+3)&gt;YEAR(E107),1,(12-MONTH(E107)+1)/12))) + (Q107)*(IF((YEAR(D107)+3)&lt;YEAR(E107),0,IF((YEAR(D107)+3)&gt;YEAR(E107),1,(12-MONTH(E107)+1)/12))))-((P107)*(IF((YEAR(D107)+3)&lt;YEAR(E107),0,IF((YEAR(D107)+3)&gt;YEAR(E107),1,(12-MONTH(E107)+1)/12))) + (R107)*(IF((YEAR(D107)+3)&lt;YEAR(E107),0,IF((YEAR(D107)+3)&gt;YEAR(E107),1,(12-MONTH(E107)+1)/12))))-(IF(OR(N107="",N107&lt;=0),0,(O107/N107)*(IF(OR(N107="",N107&lt;=0),0,IF((YEAR(D107)+3)&lt;YEAR(E107),0,IF((YEAR(D107)+3)&gt;=YEAR(E107)+N107,0,IF((YEAR(D107)+3)=YEAR(E107),(12-MONTH(E107)+1)/12,1))))))))*TaxRate,0))-IF(3=0,O107,0))</f>
        <v/>
      </c>
      <c r="W107" s="29">
        <f>IF(A107="","",((K107)*(IF(M107="",L107,IFERROR(IF(INDEX(Variablen!$I:$AT, MATCH(M107, Variablen!$A:$A, 0), MATCH((YEAR(D107)+4), Variablen!$I$3:$AT$3, 0))="",L107,INDEX(Variablen!$I:$AT, MATCH(M107, Variablen!$A:$A, 0), MATCH((YEAR(D107)+4), Variablen!$I$3:$AT$3, 0))),L107)))*(IF((YEAR(D107)+4)&lt;YEAR(E107),0,IF((YEAR(D107)+4)&gt;YEAR(E107),1,(12-MONTH(E107)+1)/12))) + (Q107)*(IF((YEAR(D107)+4)&lt;YEAR(E107),0,IF((YEAR(D107)+4)&gt;YEAR(E107),1,(12-MONTH(E107)+1)/12))))-((P107)*(IF((YEAR(D107)+4)&lt;YEAR(E107),0,IF((YEAR(D107)+4)&gt;YEAR(E107),1,(12-MONTH(E107)+1)/12))) + (R107)*(IF((YEAR(D107)+4)&lt;YEAR(E107),0,IF((YEAR(D107)+4)&gt;YEAR(E107),1,(12-MONTH(E107)+1)/12))))-(IF((((K107)*(IF(M107="",L107,IFERROR(IF(INDEX(Variablen!$I:$AT, MATCH(M107, Variablen!$A:$A, 0), MATCH((YEAR(D107)+4), Variablen!$I$3:$AT$3, 0))="",L107,INDEX(Variablen!$I:$AT, MATCH(M107, Variablen!$A:$A, 0), MATCH((YEAR(D107)+4), Variablen!$I$3:$AT$3, 0))),L107)))*(IF((YEAR(D107)+4)&lt;YEAR(E107),0,IF((YEAR(D107)+4)&gt;YEAR(E107),1,(12-MONTH(E107)+1)/12))) + (Q107)*(IF((YEAR(D107)+4)&lt;YEAR(E107),0,IF((YEAR(D107)+4)&gt;YEAR(E107),1,(12-MONTH(E107)+1)/12))))-((P107)*(IF((YEAR(D107)+4)&lt;YEAR(E107),0,IF((YEAR(D107)+4)&gt;YEAR(E107),1,(12-MONTH(E107)+1)/12))) + (R107)*(IF((YEAR(D107)+4)&lt;YEAR(E107),0,IF((YEAR(D107)+4)&gt;YEAR(E107),1,(12-MONTH(E107)+1)/12))))-(IF(OR(N107="",N107&lt;=0),0,(O107/N107)*(IF(OR(N107="",N107&lt;=0),0,IF((YEAR(D107)+4)&lt;YEAR(E107),0,IF((YEAR(D107)+4)&gt;=YEAR(E107)+N107,0,IF((YEAR(D107)+4)=YEAR(E107),(12-MONTH(E107)+1)/12,1))))))))&gt;0,(((K107)*(IF(M107="",L107,IFERROR(IF(INDEX(Variablen!$I:$AT, MATCH(M107, Variablen!$A:$A, 0), MATCH((YEAR(D107)+4), Variablen!$I$3:$AT$3, 0))="",L107,INDEX(Variablen!$I:$AT, MATCH(M107, Variablen!$A:$A, 0), MATCH((YEAR(D107)+4), Variablen!$I$3:$AT$3, 0))),L107)))*(IF((YEAR(D107)+4)&lt;YEAR(E107),0,IF((YEAR(D107)+4)&gt;YEAR(E107),1,(12-MONTH(E107)+1)/12))) + (Q107)*(IF((YEAR(D107)+4)&lt;YEAR(E107),0,IF((YEAR(D107)+4)&gt;YEAR(E107),1,(12-MONTH(E107)+1)/12))))-((P107)*(IF((YEAR(D107)+4)&lt;YEAR(E107),0,IF((YEAR(D107)+4)&gt;YEAR(E107),1,(12-MONTH(E107)+1)/12))) + (R107)*(IF((YEAR(D107)+4)&lt;YEAR(E107),0,IF((YEAR(D107)+4)&gt;YEAR(E107),1,(12-MONTH(E107)+1)/12))))-(IF(OR(N107="",N107&lt;=0),0,(O107/N107)*(IF(OR(N107="",N107&lt;=0),0,IF((YEAR(D107)+4)&lt;YEAR(E107),0,IF((YEAR(D107)+4)&gt;=YEAR(E107)+N107,0,IF((YEAR(D107)+4)=YEAR(E107),(12-MONTH(E107)+1)/12,1))))))))*TaxRate,0))-IF(4=0,O107,0))</f>
        <v/>
      </c>
      <c r="X107" s="29">
        <f>IF(A107="","",((K107)*(IF(M107="",L107,IFERROR(IF(INDEX(Variablen!$I:$AT, MATCH(M107, Variablen!$A:$A, 0), MATCH((YEAR(D107)+5), Variablen!$I$3:$AT$3, 0))="",L107,INDEX(Variablen!$I:$AT, MATCH(M107, Variablen!$A:$A, 0), MATCH((YEAR(D107)+5), Variablen!$I$3:$AT$3, 0))),L107)))*(IF((YEAR(D107)+5)&lt;YEAR(E107),0,IF((YEAR(D107)+5)&gt;YEAR(E107),1,(12-MONTH(E107)+1)/12))) + (Q107)*(IF((YEAR(D107)+5)&lt;YEAR(E107),0,IF((YEAR(D107)+5)&gt;YEAR(E107),1,(12-MONTH(E107)+1)/12))))-((P107)*(IF((YEAR(D107)+5)&lt;YEAR(E107),0,IF((YEAR(D107)+5)&gt;YEAR(E107),1,(12-MONTH(E107)+1)/12))) + (R107)*(IF((YEAR(D107)+5)&lt;YEAR(E107),0,IF((YEAR(D107)+5)&gt;YEAR(E107),1,(12-MONTH(E107)+1)/12))))-(IF((((K107)*(IF(M107="",L107,IFERROR(IF(INDEX(Variablen!$I:$AT, MATCH(M107, Variablen!$A:$A, 0), MATCH((YEAR(D107)+5), Variablen!$I$3:$AT$3, 0))="",L107,INDEX(Variablen!$I:$AT, MATCH(M107, Variablen!$A:$A, 0), MATCH((YEAR(D107)+5), Variablen!$I$3:$AT$3, 0))),L107)))*(IF((YEAR(D107)+5)&lt;YEAR(E107),0,IF((YEAR(D107)+5)&gt;YEAR(E107),1,(12-MONTH(E107)+1)/12))) + (Q107)*(IF((YEAR(D107)+5)&lt;YEAR(E107),0,IF((YEAR(D107)+5)&gt;YEAR(E107),1,(12-MONTH(E107)+1)/12))))-((P107)*(IF((YEAR(D107)+5)&lt;YEAR(E107),0,IF((YEAR(D107)+5)&gt;YEAR(E107),1,(12-MONTH(E107)+1)/12))) + (R107)*(IF((YEAR(D107)+5)&lt;YEAR(E107),0,IF((YEAR(D107)+5)&gt;YEAR(E107),1,(12-MONTH(E107)+1)/12))))-(IF(OR(N107="",N107&lt;=0),0,(O107/N107)*(IF(OR(N107="",N107&lt;=0),0,IF((YEAR(D107)+5)&lt;YEAR(E107),0,IF((YEAR(D107)+5)&gt;=YEAR(E107)+N107,0,IF((YEAR(D107)+5)=YEAR(E107),(12-MONTH(E107)+1)/12,1))))))))&gt;0,(((K107)*(IF(M107="",L107,IFERROR(IF(INDEX(Variablen!$I:$AT, MATCH(M107, Variablen!$A:$A, 0), MATCH((YEAR(D107)+5), Variablen!$I$3:$AT$3, 0))="",L107,INDEX(Variablen!$I:$AT, MATCH(M107, Variablen!$A:$A, 0), MATCH((YEAR(D107)+5), Variablen!$I$3:$AT$3, 0))),L107)))*(IF((YEAR(D107)+5)&lt;YEAR(E107),0,IF((YEAR(D107)+5)&gt;YEAR(E107),1,(12-MONTH(E107)+1)/12))) + (Q107)*(IF((YEAR(D107)+5)&lt;YEAR(E107),0,IF((YEAR(D107)+5)&gt;YEAR(E107),1,(12-MONTH(E107)+1)/12))))-((P107)*(IF((YEAR(D107)+5)&lt;YEAR(E107),0,IF((YEAR(D107)+5)&gt;YEAR(E107),1,(12-MONTH(E107)+1)/12))) + (R107)*(IF((YEAR(D107)+5)&lt;YEAR(E107),0,IF((YEAR(D107)+5)&gt;YEAR(E107),1,(12-MONTH(E107)+1)/12))))-(IF(OR(N107="",N107&lt;=0),0,(O107/N107)*(IF(OR(N107="",N107&lt;=0),0,IF((YEAR(D107)+5)&lt;YEAR(E107),0,IF((YEAR(D107)+5)&gt;=YEAR(E107)+N107,0,IF((YEAR(D107)+5)=YEAR(E107),(12-MONTH(E107)+1)/12,1))))))))*TaxRate,0))-IF(5=0,O107,0))</f>
        <v/>
      </c>
      <c r="Y107" s="29">
        <f>IF(A107="","",((K107)*(IF(M107="",L107,IFERROR(IF(INDEX(Variablen!$I:$AT, MATCH(M107, Variablen!$A:$A, 0), MATCH((YEAR(D107)+6), Variablen!$I$3:$AT$3, 0))="",L107,INDEX(Variablen!$I:$AT, MATCH(M107, Variablen!$A:$A, 0), MATCH((YEAR(D107)+6), Variablen!$I$3:$AT$3, 0))),L107)))*(IF((YEAR(D107)+6)&lt;YEAR(E107),0,IF((YEAR(D107)+6)&gt;YEAR(E107),1,(12-MONTH(E107)+1)/12))) + (Q107)*(IF((YEAR(D107)+6)&lt;YEAR(E107),0,IF((YEAR(D107)+6)&gt;YEAR(E107),1,(12-MONTH(E107)+1)/12))))-((P107)*(IF((YEAR(D107)+6)&lt;YEAR(E107),0,IF((YEAR(D107)+6)&gt;YEAR(E107),1,(12-MONTH(E107)+1)/12))) + (R107)*(IF((YEAR(D107)+6)&lt;YEAR(E107),0,IF((YEAR(D107)+6)&gt;YEAR(E107),1,(12-MONTH(E107)+1)/12))))-(IF((((K107)*(IF(M107="",L107,IFERROR(IF(INDEX(Variablen!$I:$AT, MATCH(M107, Variablen!$A:$A, 0), MATCH((YEAR(D107)+6), Variablen!$I$3:$AT$3, 0))="",L107,INDEX(Variablen!$I:$AT, MATCH(M107, Variablen!$A:$A, 0), MATCH((YEAR(D107)+6), Variablen!$I$3:$AT$3, 0))),L107)))*(IF((YEAR(D107)+6)&lt;YEAR(E107),0,IF((YEAR(D107)+6)&gt;YEAR(E107),1,(12-MONTH(E107)+1)/12))) + (Q107)*(IF((YEAR(D107)+6)&lt;YEAR(E107),0,IF((YEAR(D107)+6)&gt;YEAR(E107),1,(12-MONTH(E107)+1)/12))))-((P107)*(IF((YEAR(D107)+6)&lt;YEAR(E107),0,IF((YEAR(D107)+6)&gt;YEAR(E107),1,(12-MONTH(E107)+1)/12))) + (R107)*(IF((YEAR(D107)+6)&lt;YEAR(E107),0,IF((YEAR(D107)+6)&gt;YEAR(E107),1,(12-MONTH(E107)+1)/12))))-(IF(OR(N107="",N107&lt;=0),0,(O107/N107)*(IF(OR(N107="",N107&lt;=0),0,IF((YEAR(D107)+6)&lt;YEAR(E107),0,IF((YEAR(D107)+6)&gt;=YEAR(E107)+N107,0,IF((YEAR(D107)+6)=YEAR(E107),(12-MONTH(E107)+1)/12,1))))))))&gt;0,(((K107)*(IF(M107="",L107,IFERROR(IF(INDEX(Variablen!$I:$AT, MATCH(M107, Variablen!$A:$A, 0), MATCH((YEAR(D107)+6), Variablen!$I$3:$AT$3, 0))="",L107,INDEX(Variablen!$I:$AT, MATCH(M107, Variablen!$A:$A, 0), MATCH((YEAR(D107)+6), Variablen!$I$3:$AT$3, 0))),L107)))*(IF((YEAR(D107)+6)&lt;YEAR(E107),0,IF((YEAR(D107)+6)&gt;YEAR(E107),1,(12-MONTH(E107)+1)/12))) + (Q107)*(IF((YEAR(D107)+6)&lt;YEAR(E107),0,IF((YEAR(D107)+6)&gt;YEAR(E107),1,(12-MONTH(E107)+1)/12))))-((P107)*(IF((YEAR(D107)+6)&lt;YEAR(E107),0,IF((YEAR(D107)+6)&gt;YEAR(E107),1,(12-MONTH(E107)+1)/12))) + (R107)*(IF((YEAR(D107)+6)&lt;YEAR(E107),0,IF((YEAR(D107)+6)&gt;YEAR(E107),1,(12-MONTH(E107)+1)/12))))-(IF(OR(N107="",N107&lt;=0),0,(O107/N107)*(IF(OR(N107="",N107&lt;=0),0,IF((YEAR(D107)+6)&lt;YEAR(E107),0,IF((YEAR(D107)+6)&gt;=YEAR(E107)+N107,0,IF((YEAR(D107)+6)=YEAR(E107),(12-MONTH(E107)+1)/12,1))))))))*TaxRate,0))-IF(6=0,O107,0))</f>
        <v/>
      </c>
      <c r="Z107" s="29">
        <f>IF(A107="","",((K107)*(IF(M107="",L107,IFERROR(IF(INDEX(Variablen!$I:$AT, MATCH(M107, Variablen!$A:$A, 0), MATCH((YEAR(D107)+7), Variablen!$I$3:$AT$3, 0))="",L107,INDEX(Variablen!$I:$AT, MATCH(M107, Variablen!$A:$A, 0), MATCH((YEAR(D107)+7), Variablen!$I$3:$AT$3, 0))),L107)))*(IF((YEAR(D107)+7)&lt;YEAR(E107),0,IF((YEAR(D107)+7)&gt;YEAR(E107),1,(12-MONTH(E107)+1)/12))) + (Q107)*(IF((YEAR(D107)+7)&lt;YEAR(E107),0,IF((YEAR(D107)+7)&gt;YEAR(E107),1,(12-MONTH(E107)+1)/12))))-((P107)*(IF((YEAR(D107)+7)&lt;YEAR(E107),0,IF((YEAR(D107)+7)&gt;YEAR(E107),1,(12-MONTH(E107)+1)/12))) + (R107)*(IF((YEAR(D107)+7)&lt;YEAR(E107),0,IF((YEAR(D107)+7)&gt;YEAR(E107),1,(12-MONTH(E107)+1)/12))))-(IF((((K107)*(IF(M107="",L107,IFERROR(IF(INDEX(Variablen!$I:$AT, MATCH(M107, Variablen!$A:$A, 0), MATCH((YEAR(D107)+7), Variablen!$I$3:$AT$3, 0))="",L107,INDEX(Variablen!$I:$AT, MATCH(M107, Variablen!$A:$A, 0), MATCH((YEAR(D107)+7), Variablen!$I$3:$AT$3, 0))),L107)))*(IF((YEAR(D107)+7)&lt;YEAR(E107),0,IF((YEAR(D107)+7)&gt;YEAR(E107),1,(12-MONTH(E107)+1)/12))) + (Q107)*(IF((YEAR(D107)+7)&lt;YEAR(E107),0,IF((YEAR(D107)+7)&gt;YEAR(E107),1,(12-MONTH(E107)+1)/12))))-((P107)*(IF((YEAR(D107)+7)&lt;YEAR(E107),0,IF((YEAR(D107)+7)&gt;YEAR(E107),1,(12-MONTH(E107)+1)/12))) + (R107)*(IF((YEAR(D107)+7)&lt;YEAR(E107),0,IF((YEAR(D107)+7)&gt;YEAR(E107),1,(12-MONTH(E107)+1)/12))))-(IF(OR(N107="",N107&lt;=0),0,(O107/N107)*(IF(OR(N107="",N107&lt;=0),0,IF((YEAR(D107)+7)&lt;YEAR(E107),0,IF((YEAR(D107)+7)&gt;=YEAR(E107)+N107,0,IF((YEAR(D107)+7)=YEAR(E107),(12-MONTH(E107)+1)/12,1))))))))&gt;0,(((K107)*(IF(M107="",L107,IFERROR(IF(INDEX(Variablen!$I:$AT, MATCH(M107, Variablen!$A:$A, 0), MATCH((YEAR(D107)+7), Variablen!$I$3:$AT$3, 0))="",L107,INDEX(Variablen!$I:$AT, MATCH(M107, Variablen!$A:$A, 0), MATCH((YEAR(D107)+7), Variablen!$I$3:$AT$3, 0))),L107)))*(IF((YEAR(D107)+7)&lt;YEAR(E107),0,IF((YEAR(D107)+7)&gt;YEAR(E107),1,(12-MONTH(E107)+1)/12))) + (Q107)*(IF((YEAR(D107)+7)&lt;YEAR(E107),0,IF((YEAR(D107)+7)&gt;YEAR(E107),1,(12-MONTH(E107)+1)/12))))-((P107)*(IF((YEAR(D107)+7)&lt;YEAR(E107),0,IF((YEAR(D107)+7)&gt;YEAR(E107),1,(12-MONTH(E107)+1)/12))) + (R107)*(IF((YEAR(D107)+7)&lt;YEAR(E107),0,IF((YEAR(D107)+7)&gt;YEAR(E107),1,(12-MONTH(E107)+1)/12))))-(IF(OR(N107="",N107&lt;=0),0,(O107/N107)*(IF(OR(N107="",N107&lt;=0),0,IF((YEAR(D107)+7)&lt;YEAR(E107),0,IF((YEAR(D107)+7)&gt;=YEAR(E107)+N107,0,IF((YEAR(D107)+7)=YEAR(E107),(12-MONTH(E107)+1)/12,1))))))))*TaxRate,0))-IF(7=0,O107,0))</f>
        <v/>
      </c>
      <c r="AA107" s="29">
        <f>IF(A107="","",((K107)*(IF(M107="",L107,IFERROR(IF(INDEX(Variablen!$I:$AT, MATCH(M107, Variablen!$A:$A, 0), MATCH((YEAR(D107)+8), Variablen!$I$3:$AT$3, 0))="",L107,INDEX(Variablen!$I:$AT, MATCH(M107, Variablen!$A:$A, 0), MATCH((YEAR(D107)+8), Variablen!$I$3:$AT$3, 0))),L107)))*(IF((YEAR(D107)+8)&lt;YEAR(E107),0,IF((YEAR(D107)+8)&gt;YEAR(E107),1,(12-MONTH(E107)+1)/12))) + (Q107)*(IF((YEAR(D107)+8)&lt;YEAR(E107),0,IF((YEAR(D107)+8)&gt;YEAR(E107),1,(12-MONTH(E107)+1)/12))))-((P107)*(IF((YEAR(D107)+8)&lt;YEAR(E107),0,IF((YEAR(D107)+8)&gt;YEAR(E107),1,(12-MONTH(E107)+1)/12))) + (R107)*(IF((YEAR(D107)+8)&lt;YEAR(E107),0,IF((YEAR(D107)+8)&gt;YEAR(E107),1,(12-MONTH(E107)+1)/12))))-(IF((((K107)*(IF(M107="",L107,IFERROR(IF(INDEX(Variablen!$I:$AT, MATCH(M107, Variablen!$A:$A, 0), MATCH((YEAR(D107)+8), Variablen!$I$3:$AT$3, 0))="",L107,INDEX(Variablen!$I:$AT, MATCH(M107, Variablen!$A:$A, 0), MATCH((YEAR(D107)+8), Variablen!$I$3:$AT$3, 0))),L107)))*(IF((YEAR(D107)+8)&lt;YEAR(E107),0,IF((YEAR(D107)+8)&gt;YEAR(E107),1,(12-MONTH(E107)+1)/12))) + (Q107)*(IF((YEAR(D107)+8)&lt;YEAR(E107),0,IF((YEAR(D107)+8)&gt;YEAR(E107),1,(12-MONTH(E107)+1)/12))))-((P107)*(IF((YEAR(D107)+8)&lt;YEAR(E107),0,IF((YEAR(D107)+8)&gt;YEAR(E107),1,(12-MONTH(E107)+1)/12))) + (R107)*(IF((YEAR(D107)+8)&lt;YEAR(E107),0,IF((YEAR(D107)+8)&gt;YEAR(E107),1,(12-MONTH(E107)+1)/12))))-(IF(OR(N107="",N107&lt;=0),0,(O107/N107)*(IF(OR(N107="",N107&lt;=0),0,IF((YEAR(D107)+8)&lt;YEAR(E107),0,IF((YEAR(D107)+8)&gt;=YEAR(E107)+N107,0,IF((YEAR(D107)+8)=YEAR(E107),(12-MONTH(E107)+1)/12,1))))))))&gt;0,(((K107)*(IF(M107="",L107,IFERROR(IF(INDEX(Variablen!$I:$AT, MATCH(M107, Variablen!$A:$A, 0), MATCH((YEAR(D107)+8), Variablen!$I$3:$AT$3, 0))="",L107,INDEX(Variablen!$I:$AT, MATCH(M107, Variablen!$A:$A, 0), MATCH((YEAR(D107)+8), Variablen!$I$3:$AT$3, 0))),L107)))*(IF((YEAR(D107)+8)&lt;YEAR(E107),0,IF((YEAR(D107)+8)&gt;YEAR(E107),1,(12-MONTH(E107)+1)/12))) + (Q107)*(IF((YEAR(D107)+8)&lt;YEAR(E107),0,IF((YEAR(D107)+8)&gt;YEAR(E107),1,(12-MONTH(E107)+1)/12))))-((P107)*(IF((YEAR(D107)+8)&lt;YEAR(E107),0,IF((YEAR(D107)+8)&gt;YEAR(E107),1,(12-MONTH(E107)+1)/12))) + (R107)*(IF((YEAR(D107)+8)&lt;YEAR(E107),0,IF((YEAR(D107)+8)&gt;YEAR(E107),1,(12-MONTH(E107)+1)/12))))-(IF(OR(N107="",N107&lt;=0),0,(O107/N107)*(IF(OR(N107="",N107&lt;=0),0,IF((YEAR(D107)+8)&lt;YEAR(E107),0,IF((YEAR(D107)+8)&gt;=YEAR(E107)+N107,0,IF((YEAR(D107)+8)=YEAR(E107),(12-MONTH(E107)+1)/12,1))))))))*TaxRate,0))-IF(8=0,O107,0))</f>
        <v/>
      </c>
      <c r="AB107" s="29">
        <f>IF(A107="","",((K107)*(IF(M107="",L107,IFERROR(IF(INDEX(Variablen!$I:$AT, MATCH(M107, Variablen!$A:$A, 0), MATCH((YEAR(D107)+9), Variablen!$I$3:$AT$3, 0))="",L107,INDEX(Variablen!$I:$AT, MATCH(M107, Variablen!$A:$A, 0), MATCH((YEAR(D107)+9), Variablen!$I$3:$AT$3, 0))),L107)))*(IF((YEAR(D107)+9)&lt;YEAR(E107),0,IF((YEAR(D107)+9)&gt;YEAR(E107),1,(12-MONTH(E107)+1)/12))) + (Q107)*(IF((YEAR(D107)+9)&lt;YEAR(E107),0,IF((YEAR(D107)+9)&gt;YEAR(E107),1,(12-MONTH(E107)+1)/12))))-((P107)*(IF((YEAR(D107)+9)&lt;YEAR(E107),0,IF((YEAR(D107)+9)&gt;YEAR(E107),1,(12-MONTH(E107)+1)/12))) + (R107)*(IF((YEAR(D107)+9)&lt;YEAR(E107),0,IF((YEAR(D107)+9)&gt;YEAR(E107),1,(12-MONTH(E107)+1)/12))))-(IF((((K107)*(IF(M107="",L107,IFERROR(IF(INDEX(Variablen!$I:$AT, MATCH(M107, Variablen!$A:$A, 0), MATCH((YEAR(D107)+9), Variablen!$I$3:$AT$3, 0))="",L107,INDEX(Variablen!$I:$AT, MATCH(M107, Variablen!$A:$A, 0), MATCH((YEAR(D107)+9), Variablen!$I$3:$AT$3, 0))),L107)))*(IF((YEAR(D107)+9)&lt;YEAR(E107),0,IF((YEAR(D107)+9)&gt;YEAR(E107),1,(12-MONTH(E107)+1)/12))) + (Q107)*(IF((YEAR(D107)+9)&lt;YEAR(E107),0,IF((YEAR(D107)+9)&gt;YEAR(E107),1,(12-MONTH(E107)+1)/12))))-((P107)*(IF((YEAR(D107)+9)&lt;YEAR(E107),0,IF((YEAR(D107)+9)&gt;YEAR(E107),1,(12-MONTH(E107)+1)/12))) + (R107)*(IF((YEAR(D107)+9)&lt;YEAR(E107),0,IF((YEAR(D107)+9)&gt;YEAR(E107),1,(12-MONTH(E107)+1)/12))))-(IF(OR(N107="",N107&lt;=0),0,(O107/N107)*(IF(OR(N107="",N107&lt;=0),0,IF((YEAR(D107)+9)&lt;YEAR(E107),0,IF((YEAR(D107)+9)&gt;=YEAR(E107)+N107,0,IF((YEAR(D107)+9)=YEAR(E107),(12-MONTH(E107)+1)/12,1))))))))&gt;0,(((K107)*(IF(M107="",L107,IFERROR(IF(INDEX(Variablen!$I:$AT, MATCH(M107, Variablen!$A:$A, 0), MATCH((YEAR(D107)+9), Variablen!$I$3:$AT$3, 0))="",L107,INDEX(Variablen!$I:$AT, MATCH(M107, Variablen!$A:$A, 0), MATCH((YEAR(D107)+9), Variablen!$I$3:$AT$3, 0))),L107)))*(IF((YEAR(D107)+9)&lt;YEAR(E107),0,IF((YEAR(D107)+9)&gt;YEAR(E107),1,(12-MONTH(E107)+1)/12))) + (Q107)*(IF((YEAR(D107)+9)&lt;YEAR(E107),0,IF((YEAR(D107)+9)&gt;YEAR(E107),1,(12-MONTH(E107)+1)/12))))-((P107)*(IF((YEAR(D107)+9)&lt;YEAR(E107),0,IF((YEAR(D107)+9)&gt;YEAR(E107),1,(12-MONTH(E107)+1)/12))) + (R107)*(IF((YEAR(D107)+9)&lt;YEAR(E107),0,IF((YEAR(D107)+9)&gt;YEAR(E107),1,(12-MONTH(E107)+1)/12))))-(IF(OR(N107="",N107&lt;=0),0,(O107/N107)*(IF(OR(N107="",N107&lt;=0),0,IF((YEAR(D107)+9)&lt;YEAR(E107),0,IF((YEAR(D107)+9)&gt;=YEAR(E107)+N107,0,IF((YEAR(D107)+9)=YEAR(E107),(12-MONTH(E107)+1)/12,1))))))))*TaxRate,0))-IF(9=0,O107,0))</f>
        <v/>
      </c>
      <c r="AC107" s="29">
        <f>IF(A107="","",((K107)*(IF(M107="",L107,IFERROR(IF(INDEX(Variablen!$I:$AT, MATCH(M107, Variablen!$A:$A, 0), MATCH((YEAR(D107)+10), Variablen!$I$3:$AT$3, 0))="",L107,INDEX(Variablen!$I:$AT, MATCH(M107, Variablen!$A:$A, 0), MATCH((YEAR(D107)+10), Variablen!$I$3:$AT$3, 0))),L107)))*(IF((YEAR(D107)+10)&lt;YEAR(E107),0,IF((YEAR(D107)+10)&gt;YEAR(E107),1,(12-MONTH(E107)+1)/12))) + (Q107)*(IF((YEAR(D107)+10)&lt;YEAR(E107),0,IF((YEAR(D107)+10)&gt;YEAR(E107),1,(12-MONTH(E107)+1)/12))))-((P107)*(IF((YEAR(D107)+10)&lt;YEAR(E107),0,IF((YEAR(D107)+10)&gt;YEAR(E107),1,(12-MONTH(E107)+1)/12))) + (R107)*(IF((YEAR(D107)+10)&lt;YEAR(E107),0,IF((YEAR(D107)+10)&gt;YEAR(E107),1,(12-MONTH(E107)+1)/12))))-(IF((((K107)*(IF(M107="",L107,IFERROR(IF(INDEX(Variablen!$I:$AT, MATCH(M107, Variablen!$A:$A, 0), MATCH((YEAR(D107)+10), Variablen!$I$3:$AT$3, 0))="",L107,INDEX(Variablen!$I:$AT, MATCH(M107, Variablen!$A:$A, 0), MATCH((YEAR(D107)+10), Variablen!$I$3:$AT$3, 0))),L107)))*(IF((YEAR(D107)+10)&lt;YEAR(E107),0,IF((YEAR(D107)+10)&gt;YEAR(E107),1,(12-MONTH(E107)+1)/12))) + (Q107)*(IF((YEAR(D107)+10)&lt;YEAR(E107),0,IF((YEAR(D107)+10)&gt;YEAR(E107),1,(12-MONTH(E107)+1)/12))))-((P107)*(IF((YEAR(D107)+10)&lt;YEAR(E107),0,IF((YEAR(D107)+10)&gt;YEAR(E107),1,(12-MONTH(E107)+1)/12))) + (R107)*(IF((YEAR(D107)+10)&lt;YEAR(E107),0,IF((YEAR(D107)+10)&gt;YEAR(E107),1,(12-MONTH(E107)+1)/12))))-(IF(OR(N107="",N107&lt;=0),0,(O107/N107)*(IF(OR(N107="",N107&lt;=0),0,IF((YEAR(D107)+10)&lt;YEAR(E107),0,IF((YEAR(D107)+10)&gt;=YEAR(E107)+N107,0,IF((YEAR(D107)+10)=YEAR(E107),(12-MONTH(E107)+1)/12,1))))))))&gt;0,(((K107)*(IF(M107="",L107,IFERROR(IF(INDEX(Variablen!$I:$AT, MATCH(M107, Variablen!$A:$A, 0), MATCH((YEAR(D107)+10), Variablen!$I$3:$AT$3, 0))="",L107,INDEX(Variablen!$I:$AT, MATCH(M107, Variablen!$A:$A, 0), MATCH((YEAR(D107)+10), Variablen!$I$3:$AT$3, 0))),L107)))*(IF((YEAR(D107)+10)&lt;YEAR(E107),0,IF((YEAR(D107)+10)&gt;YEAR(E107),1,(12-MONTH(E107)+1)/12))) + (Q107)*(IF((YEAR(D107)+10)&lt;YEAR(E107),0,IF((YEAR(D107)+10)&gt;YEAR(E107),1,(12-MONTH(E107)+1)/12))))-((P107)*(IF((YEAR(D107)+10)&lt;YEAR(E107),0,IF((YEAR(D107)+10)&gt;YEAR(E107),1,(12-MONTH(E107)+1)/12))) + (R107)*(IF((YEAR(D107)+10)&lt;YEAR(E107),0,IF((YEAR(D107)+10)&gt;YEAR(E107),1,(12-MONTH(E107)+1)/12))))-(IF(OR(N107="",N107&lt;=0),0,(O107/N107)*(IF(OR(N107="",N107&lt;=0),0,IF((YEAR(D107)+10)&lt;YEAR(E107),0,IF((YEAR(D107)+10)&gt;=YEAR(E107)+N107,0,IF((YEAR(D107)+10)=YEAR(E107),(12-MONTH(E107)+1)/12,1))))))))*TaxRate,0))-IF(10=0,O107,0))</f>
        <v/>
      </c>
      <c r="AD107" s="29">
        <f>IF(A107="","",((K107)*(IF(M107="",L107,IFERROR(IF(INDEX(Variablen!$I:$AT, MATCH(M107, Variablen!$A:$A, 0), MATCH((YEAR(D107)+11), Variablen!$I$3:$AT$3, 0))="",L107,INDEX(Variablen!$I:$AT, MATCH(M107, Variablen!$A:$A, 0), MATCH((YEAR(D107)+11), Variablen!$I$3:$AT$3, 0))),L107)))*(IF((YEAR(D107)+11)&lt;YEAR(E107),0,IF((YEAR(D107)+11)&gt;YEAR(E107),1,(12-MONTH(E107)+1)/12))) + (Q107)*(IF((YEAR(D107)+11)&lt;YEAR(E107),0,IF((YEAR(D107)+11)&gt;YEAR(E107),1,(12-MONTH(E107)+1)/12))))-((P107)*(IF((YEAR(D107)+11)&lt;YEAR(E107),0,IF((YEAR(D107)+11)&gt;YEAR(E107),1,(12-MONTH(E107)+1)/12))) + (R107)*(IF((YEAR(D107)+11)&lt;YEAR(E107),0,IF((YEAR(D107)+11)&gt;YEAR(E107),1,(12-MONTH(E107)+1)/12))))-(IF((((K107)*(IF(M107="",L107,IFERROR(IF(INDEX(Variablen!$I:$AT, MATCH(M107, Variablen!$A:$A, 0), MATCH((YEAR(D107)+11), Variablen!$I$3:$AT$3, 0))="",L107,INDEX(Variablen!$I:$AT, MATCH(M107, Variablen!$A:$A, 0), MATCH((YEAR(D107)+11), Variablen!$I$3:$AT$3, 0))),L107)))*(IF((YEAR(D107)+11)&lt;YEAR(E107),0,IF((YEAR(D107)+11)&gt;YEAR(E107),1,(12-MONTH(E107)+1)/12))) + (Q107)*(IF((YEAR(D107)+11)&lt;YEAR(E107),0,IF((YEAR(D107)+11)&gt;YEAR(E107),1,(12-MONTH(E107)+1)/12))))-((P107)*(IF((YEAR(D107)+11)&lt;YEAR(E107),0,IF((YEAR(D107)+11)&gt;YEAR(E107),1,(12-MONTH(E107)+1)/12))) + (R107)*(IF((YEAR(D107)+11)&lt;YEAR(E107),0,IF((YEAR(D107)+11)&gt;YEAR(E107),1,(12-MONTH(E107)+1)/12))))-(IF(OR(N107="",N107&lt;=0),0,(O107/N107)*(IF(OR(N107="",N107&lt;=0),0,IF((YEAR(D107)+11)&lt;YEAR(E107),0,IF((YEAR(D107)+11)&gt;=YEAR(E107)+N107,0,IF((YEAR(D107)+11)=YEAR(E107),(12-MONTH(E107)+1)/12,1))))))))&gt;0,(((K107)*(IF(M107="",L107,IFERROR(IF(INDEX(Variablen!$I:$AT, MATCH(M107, Variablen!$A:$A, 0), MATCH((YEAR(D107)+11), Variablen!$I$3:$AT$3, 0))="",L107,INDEX(Variablen!$I:$AT, MATCH(M107, Variablen!$A:$A, 0), MATCH((YEAR(D107)+11), Variablen!$I$3:$AT$3, 0))),L107)))*(IF((YEAR(D107)+11)&lt;YEAR(E107),0,IF((YEAR(D107)+11)&gt;YEAR(E107),1,(12-MONTH(E107)+1)/12))) + (Q107)*(IF((YEAR(D107)+11)&lt;YEAR(E107),0,IF((YEAR(D107)+11)&gt;YEAR(E107),1,(12-MONTH(E107)+1)/12))))-((P107)*(IF((YEAR(D107)+11)&lt;YEAR(E107),0,IF((YEAR(D107)+11)&gt;YEAR(E107),1,(12-MONTH(E107)+1)/12))) + (R107)*(IF((YEAR(D107)+11)&lt;YEAR(E107),0,IF((YEAR(D107)+11)&gt;YEAR(E107),1,(12-MONTH(E107)+1)/12))))-(IF(OR(N107="",N107&lt;=0),0,(O107/N107)*(IF(OR(N107="",N107&lt;=0),0,IF((YEAR(D107)+11)&lt;YEAR(E107),0,IF((YEAR(D107)+11)&gt;=YEAR(E107)+N107,0,IF((YEAR(D107)+11)=YEAR(E107),(12-MONTH(E107)+1)/12,1))))))))*TaxRate,0))-IF(11=0,O107,0))</f>
        <v/>
      </c>
      <c r="AE107" s="29">
        <f>IF(A107="","",((K107)*(IF(M107="",L107,IFERROR(IF(INDEX(Variablen!$I:$AT, MATCH(M107, Variablen!$A:$A, 0), MATCH((YEAR(D107)+12), Variablen!$I$3:$AT$3, 0))="",L107,INDEX(Variablen!$I:$AT, MATCH(M107, Variablen!$A:$A, 0), MATCH((YEAR(D107)+12), Variablen!$I$3:$AT$3, 0))),L107)))*(IF((YEAR(D107)+12)&lt;YEAR(E107),0,IF((YEAR(D107)+12)&gt;YEAR(E107),1,(12-MONTH(E107)+1)/12))) + (Q107)*(IF((YEAR(D107)+12)&lt;YEAR(E107),0,IF((YEAR(D107)+12)&gt;YEAR(E107),1,(12-MONTH(E107)+1)/12))))-((P107)*(IF((YEAR(D107)+12)&lt;YEAR(E107),0,IF((YEAR(D107)+12)&gt;YEAR(E107),1,(12-MONTH(E107)+1)/12))) + (R107)*(IF((YEAR(D107)+12)&lt;YEAR(E107),0,IF((YEAR(D107)+12)&gt;YEAR(E107),1,(12-MONTH(E107)+1)/12))))-(IF((((K107)*(IF(M107="",L107,IFERROR(IF(INDEX(Variablen!$I:$AT, MATCH(M107, Variablen!$A:$A, 0), MATCH((YEAR(D107)+12), Variablen!$I$3:$AT$3, 0))="",L107,INDEX(Variablen!$I:$AT, MATCH(M107, Variablen!$A:$A, 0), MATCH((YEAR(D107)+12), Variablen!$I$3:$AT$3, 0))),L107)))*(IF((YEAR(D107)+12)&lt;YEAR(E107),0,IF((YEAR(D107)+12)&gt;YEAR(E107),1,(12-MONTH(E107)+1)/12))) + (Q107)*(IF((YEAR(D107)+12)&lt;YEAR(E107),0,IF((YEAR(D107)+12)&gt;YEAR(E107),1,(12-MONTH(E107)+1)/12))))-((P107)*(IF((YEAR(D107)+12)&lt;YEAR(E107),0,IF((YEAR(D107)+12)&gt;YEAR(E107),1,(12-MONTH(E107)+1)/12))) + (R107)*(IF((YEAR(D107)+12)&lt;YEAR(E107),0,IF((YEAR(D107)+12)&gt;YEAR(E107),1,(12-MONTH(E107)+1)/12))))-(IF(OR(N107="",N107&lt;=0),0,(O107/N107)*(IF(OR(N107="",N107&lt;=0),0,IF((YEAR(D107)+12)&lt;YEAR(E107),0,IF((YEAR(D107)+12)&gt;=YEAR(E107)+N107,0,IF((YEAR(D107)+12)=YEAR(E107),(12-MONTH(E107)+1)/12,1))))))))&gt;0,(((K107)*(IF(M107="",L107,IFERROR(IF(INDEX(Variablen!$I:$AT, MATCH(M107, Variablen!$A:$A, 0), MATCH((YEAR(D107)+12), Variablen!$I$3:$AT$3, 0))="",L107,INDEX(Variablen!$I:$AT, MATCH(M107, Variablen!$A:$A, 0), MATCH((YEAR(D107)+12), Variablen!$I$3:$AT$3, 0))),L107)))*(IF((YEAR(D107)+12)&lt;YEAR(E107),0,IF((YEAR(D107)+12)&gt;YEAR(E107),1,(12-MONTH(E107)+1)/12))) + (Q107)*(IF((YEAR(D107)+12)&lt;YEAR(E107),0,IF((YEAR(D107)+12)&gt;YEAR(E107),1,(12-MONTH(E107)+1)/12))))-((P107)*(IF((YEAR(D107)+12)&lt;YEAR(E107),0,IF((YEAR(D107)+12)&gt;YEAR(E107),1,(12-MONTH(E107)+1)/12))) + (R107)*(IF((YEAR(D107)+12)&lt;YEAR(E107),0,IF((YEAR(D107)+12)&gt;YEAR(E107),1,(12-MONTH(E107)+1)/12))))-(IF(OR(N107="",N107&lt;=0),0,(O107/N107)*(IF(OR(N107="",N107&lt;=0),0,IF((YEAR(D107)+12)&lt;YEAR(E107),0,IF((YEAR(D107)+12)&gt;=YEAR(E107)+N107,0,IF((YEAR(D107)+12)=YEAR(E107),(12-MONTH(E107)+1)/12,1))))))))*TaxRate,0))-IF(12=0,O107,0))</f>
        <v/>
      </c>
      <c r="AF107" s="29">
        <f>IF(A107="","",((K107)*(IF(M107="",L107,IFERROR(IF(INDEX(Variablen!$I:$AT, MATCH(M107, Variablen!$A:$A, 0), MATCH((YEAR(D107)+13), Variablen!$I$3:$AT$3, 0))="",L107,INDEX(Variablen!$I:$AT, MATCH(M107, Variablen!$A:$A, 0), MATCH((YEAR(D107)+13), Variablen!$I$3:$AT$3, 0))),L107)))*(IF((YEAR(D107)+13)&lt;YEAR(E107),0,IF((YEAR(D107)+13)&gt;YEAR(E107),1,(12-MONTH(E107)+1)/12))) + (Q107)*(IF((YEAR(D107)+13)&lt;YEAR(E107),0,IF((YEAR(D107)+13)&gt;YEAR(E107),1,(12-MONTH(E107)+1)/12))))-((P107)*(IF((YEAR(D107)+13)&lt;YEAR(E107),0,IF((YEAR(D107)+13)&gt;YEAR(E107),1,(12-MONTH(E107)+1)/12))) + (R107)*(IF((YEAR(D107)+13)&lt;YEAR(E107),0,IF((YEAR(D107)+13)&gt;YEAR(E107),1,(12-MONTH(E107)+1)/12))))-(IF((((K107)*(IF(M107="",L107,IFERROR(IF(INDEX(Variablen!$I:$AT, MATCH(M107, Variablen!$A:$A, 0), MATCH((YEAR(D107)+13), Variablen!$I$3:$AT$3, 0))="",L107,INDEX(Variablen!$I:$AT, MATCH(M107, Variablen!$A:$A, 0), MATCH((YEAR(D107)+13), Variablen!$I$3:$AT$3, 0))),L107)))*(IF((YEAR(D107)+13)&lt;YEAR(E107),0,IF((YEAR(D107)+13)&gt;YEAR(E107),1,(12-MONTH(E107)+1)/12))) + (Q107)*(IF((YEAR(D107)+13)&lt;YEAR(E107),0,IF((YEAR(D107)+13)&gt;YEAR(E107),1,(12-MONTH(E107)+1)/12))))-((P107)*(IF((YEAR(D107)+13)&lt;YEAR(E107),0,IF((YEAR(D107)+13)&gt;YEAR(E107),1,(12-MONTH(E107)+1)/12))) + (R107)*(IF((YEAR(D107)+13)&lt;YEAR(E107),0,IF((YEAR(D107)+13)&gt;YEAR(E107),1,(12-MONTH(E107)+1)/12))))-(IF(OR(N107="",N107&lt;=0),0,(O107/N107)*(IF(OR(N107="",N107&lt;=0),0,IF((YEAR(D107)+13)&lt;YEAR(E107),0,IF((YEAR(D107)+13)&gt;=YEAR(E107)+N107,0,IF((YEAR(D107)+13)=YEAR(E107),(12-MONTH(E107)+1)/12,1))))))))&gt;0,(((K107)*(IF(M107="",L107,IFERROR(IF(INDEX(Variablen!$I:$AT, MATCH(M107, Variablen!$A:$A, 0), MATCH((YEAR(D107)+13), Variablen!$I$3:$AT$3, 0))="",L107,INDEX(Variablen!$I:$AT, MATCH(M107, Variablen!$A:$A, 0), MATCH((YEAR(D107)+13), Variablen!$I$3:$AT$3, 0))),L107)))*(IF((YEAR(D107)+13)&lt;YEAR(E107),0,IF((YEAR(D107)+13)&gt;YEAR(E107),1,(12-MONTH(E107)+1)/12))) + (Q107)*(IF((YEAR(D107)+13)&lt;YEAR(E107),0,IF((YEAR(D107)+13)&gt;YEAR(E107),1,(12-MONTH(E107)+1)/12))))-((P107)*(IF((YEAR(D107)+13)&lt;YEAR(E107),0,IF((YEAR(D107)+13)&gt;YEAR(E107),1,(12-MONTH(E107)+1)/12))) + (R107)*(IF((YEAR(D107)+13)&lt;YEAR(E107),0,IF((YEAR(D107)+13)&gt;YEAR(E107),1,(12-MONTH(E107)+1)/12))))-(IF(OR(N107="",N107&lt;=0),0,(O107/N107)*(IF(OR(N107="",N107&lt;=0),0,IF((YEAR(D107)+13)&lt;YEAR(E107),0,IF((YEAR(D107)+13)&gt;=YEAR(E107)+N107,0,IF((YEAR(D107)+13)=YEAR(E107),(12-MONTH(E107)+1)/12,1))))))))*TaxRate,0))-IF(13=0,O107,0))</f>
        <v/>
      </c>
      <c r="AG107" s="29">
        <f>IF(A107="","",((K107)*(IF(M107="",L107,IFERROR(IF(INDEX(Variablen!$I:$AT, MATCH(M107, Variablen!$A:$A, 0), MATCH((YEAR(D107)+14), Variablen!$I$3:$AT$3, 0))="",L107,INDEX(Variablen!$I:$AT, MATCH(M107, Variablen!$A:$A, 0), MATCH((YEAR(D107)+14), Variablen!$I$3:$AT$3, 0))),L107)))*(IF((YEAR(D107)+14)&lt;YEAR(E107),0,IF((YEAR(D107)+14)&gt;YEAR(E107),1,(12-MONTH(E107)+1)/12))) + (Q107)*(IF((YEAR(D107)+14)&lt;YEAR(E107),0,IF((YEAR(D107)+14)&gt;YEAR(E107),1,(12-MONTH(E107)+1)/12))))-((P107)*(IF((YEAR(D107)+14)&lt;YEAR(E107),0,IF((YEAR(D107)+14)&gt;YEAR(E107),1,(12-MONTH(E107)+1)/12))) + (R107)*(IF((YEAR(D107)+14)&lt;YEAR(E107),0,IF((YEAR(D107)+14)&gt;YEAR(E107),1,(12-MONTH(E107)+1)/12))))-(IF((((K107)*(IF(M107="",L107,IFERROR(IF(INDEX(Variablen!$I:$AT, MATCH(M107, Variablen!$A:$A, 0), MATCH((YEAR(D107)+14), Variablen!$I$3:$AT$3, 0))="",L107,INDEX(Variablen!$I:$AT, MATCH(M107, Variablen!$A:$A, 0), MATCH((YEAR(D107)+14), Variablen!$I$3:$AT$3, 0))),L107)))*(IF((YEAR(D107)+14)&lt;YEAR(E107),0,IF((YEAR(D107)+14)&gt;YEAR(E107),1,(12-MONTH(E107)+1)/12))) + (Q107)*(IF((YEAR(D107)+14)&lt;YEAR(E107),0,IF((YEAR(D107)+14)&gt;YEAR(E107),1,(12-MONTH(E107)+1)/12))))-((P107)*(IF((YEAR(D107)+14)&lt;YEAR(E107),0,IF((YEAR(D107)+14)&gt;YEAR(E107),1,(12-MONTH(E107)+1)/12))) + (R107)*(IF((YEAR(D107)+14)&lt;YEAR(E107),0,IF((YEAR(D107)+14)&gt;YEAR(E107),1,(12-MONTH(E107)+1)/12))))-(IF(OR(N107="",N107&lt;=0),0,(O107/N107)*(IF(OR(N107="",N107&lt;=0),0,IF((YEAR(D107)+14)&lt;YEAR(E107),0,IF((YEAR(D107)+14)&gt;=YEAR(E107)+N107,0,IF((YEAR(D107)+14)=YEAR(E107),(12-MONTH(E107)+1)/12,1))))))))&gt;0,(((K107)*(IF(M107="",L107,IFERROR(IF(INDEX(Variablen!$I:$AT, MATCH(M107, Variablen!$A:$A, 0), MATCH((YEAR(D107)+14), Variablen!$I$3:$AT$3, 0))="",L107,INDEX(Variablen!$I:$AT, MATCH(M107, Variablen!$A:$A, 0), MATCH((YEAR(D107)+14), Variablen!$I$3:$AT$3, 0))),L107)))*(IF((YEAR(D107)+14)&lt;YEAR(E107),0,IF((YEAR(D107)+14)&gt;YEAR(E107),1,(12-MONTH(E107)+1)/12))) + (Q107)*(IF((YEAR(D107)+14)&lt;YEAR(E107),0,IF((YEAR(D107)+14)&gt;YEAR(E107),1,(12-MONTH(E107)+1)/12))))-((P107)*(IF((YEAR(D107)+14)&lt;YEAR(E107),0,IF((YEAR(D107)+14)&gt;YEAR(E107),1,(12-MONTH(E107)+1)/12))) + (R107)*(IF((YEAR(D107)+14)&lt;YEAR(E107),0,IF((YEAR(D107)+14)&gt;YEAR(E107),1,(12-MONTH(E107)+1)/12))))-(IF(OR(N107="",N107&lt;=0),0,(O107/N107)*(IF(OR(N107="",N107&lt;=0),0,IF((YEAR(D107)+14)&lt;YEAR(E107),0,IF((YEAR(D107)+14)&gt;=YEAR(E107)+N107,0,IF((YEAR(D107)+14)=YEAR(E107),(12-MONTH(E107)+1)/12,1))))))))*TaxRate,0))-IF(14=0,O107,0))</f>
        <v/>
      </c>
      <c r="AH107" s="29">
        <f>IF(A107="","",((K107)*(IF(M107="",L107,IFERROR(IF(INDEX(Variablen!$I:$AT, MATCH(M107, Variablen!$A:$A, 0), MATCH((YEAR(D107)+15), Variablen!$I$3:$AT$3, 0))="",L107,INDEX(Variablen!$I:$AT, MATCH(M107, Variablen!$A:$A, 0), MATCH((YEAR(D107)+15), Variablen!$I$3:$AT$3, 0))),L107)))*(IF((YEAR(D107)+15)&lt;YEAR(E107),0,IF((YEAR(D107)+15)&gt;YEAR(E107),1,(12-MONTH(E107)+1)/12))) + (Q107)*(IF((YEAR(D107)+15)&lt;YEAR(E107),0,IF((YEAR(D107)+15)&gt;YEAR(E107),1,(12-MONTH(E107)+1)/12))))-((P107)*(IF((YEAR(D107)+15)&lt;YEAR(E107),0,IF((YEAR(D107)+15)&gt;YEAR(E107),1,(12-MONTH(E107)+1)/12))) + (R107)*(IF((YEAR(D107)+15)&lt;YEAR(E107),0,IF((YEAR(D107)+15)&gt;YEAR(E107),1,(12-MONTH(E107)+1)/12))))-(IF((((K107)*(IF(M107="",L107,IFERROR(IF(INDEX(Variablen!$I:$AT, MATCH(M107, Variablen!$A:$A, 0), MATCH((YEAR(D107)+15), Variablen!$I$3:$AT$3, 0))="",L107,INDEX(Variablen!$I:$AT, MATCH(M107, Variablen!$A:$A, 0), MATCH((YEAR(D107)+15), Variablen!$I$3:$AT$3, 0))),L107)))*(IF((YEAR(D107)+15)&lt;YEAR(E107),0,IF((YEAR(D107)+15)&gt;YEAR(E107),1,(12-MONTH(E107)+1)/12))) + (Q107)*(IF((YEAR(D107)+15)&lt;YEAR(E107),0,IF((YEAR(D107)+15)&gt;YEAR(E107),1,(12-MONTH(E107)+1)/12))))-((P107)*(IF((YEAR(D107)+15)&lt;YEAR(E107),0,IF((YEAR(D107)+15)&gt;YEAR(E107),1,(12-MONTH(E107)+1)/12))) + (R107)*(IF((YEAR(D107)+15)&lt;YEAR(E107),0,IF((YEAR(D107)+15)&gt;YEAR(E107),1,(12-MONTH(E107)+1)/12))))-(IF(OR(N107="",N107&lt;=0),0,(O107/N107)*(IF(OR(N107="",N107&lt;=0),0,IF((YEAR(D107)+15)&lt;YEAR(E107),0,IF((YEAR(D107)+15)&gt;=YEAR(E107)+N107,0,IF((YEAR(D107)+15)=YEAR(E107),(12-MONTH(E107)+1)/12,1))))))))&gt;0,(((K107)*(IF(M107="",L107,IFERROR(IF(INDEX(Variablen!$I:$AT, MATCH(M107, Variablen!$A:$A, 0), MATCH((YEAR(D107)+15), Variablen!$I$3:$AT$3, 0))="",L107,INDEX(Variablen!$I:$AT, MATCH(M107, Variablen!$A:$A, 0), MATCH((YEAR(D107)+15), Variablen!$I$3:$AT$3, 0))),L107)))*(IF((YEAR(D107)+15)&lt;YEAR(E107),0,IF((YEAR(D107)+15)&gt;YEAR(E107),1,(12-MONTH(E107)+1)/12))) + (Q107)*(IF((YEAR(D107)+15)&lt;YEAR(E107),0,IF((YEAR(D107)+15)&gt;YEAR(E107),1,(12-MONTH(E107)+1)/12))))-((P107)*(IF((YEAR(D107)+15)&lt;YEAR(E107),0,IF((YEAR(D107)+15)&gt;YEAR(E107),1,(12-MONTH(E107)+1)/12))) + (R107)*(IF((YEAR(D107)+15)&lt;YEAR(E107),0,IF((YEAR(D107)+15)&gt;YEAR(E107),1,(12-MONTH(E107)+1)/12))))-(IF(OR(N107="",N107&lt;=0),0,(O107/N107)*(IF(OR(N107="",N107&lt;=0),0,IF((YEAR(D107)+15)&lt;YEAR(E107),0,IF((YEAR(D107)+15)&gt;=YEAR(E107)+N107,0,IF((YEAR(D107)+15)=YEAR(E107),(12-MONTH(E107)+1)/12,1))))))))*TaxRate,0))-IF(15=0,O107,0))</f>
        <v/>
      </c>
      <c r="AI107" s="29">
        <f>IF(A107="","",((K107)*(IF(M107="",L107,IFERROR(IF(INDEX(Variablen!$I:$AT, MATCH(M107, Variablen!$A:$A, 0), MATCH((YEAR(D107)+16), Variablen!$I$3:$AT$3, 0))="",L107,INDEX(Variablen!$I:$AT, MATCH(M107, Variablen!$A:$A, 0), MATCH((YEAR(D107)+16), Variablen!$I$3:$AT$3, 0))),L107)))*(IF((YEAR(D107)+16)&lt;YEAR(E107),0,IF((YEAR(D107)+16)&gt;YEAR(E107),1,(12-MONTH(E107)+1)/12))) + (Q107)*(IF((YEAR(D107)+16)&lt;YEAR(E107),0,IF((YEAR(D107)+16)&gt;YEAR(E107),1,(12-MONTH(E107)+1)/12))))-((P107)*(IF((YEAR(D107)+16)&lt;YEAR(E107),0,IF((YEAR(D107)+16)&gt;YEAR(E107),1,(12-MONTH(E107)+1)/12))) + (R107)*(IF((YEAR(D107)+16)&lt;YEAR(E107),0,IF((YEAR(D107)+16)&gt;YEAR(E107),1,(12-MONTH(E107)+1)/12))))-(IF((((K107)*(IF(M107="",L107,IFERROR(IF(INDEX(Variablen!$I:$AT, MATCH(M107, Variablen!$A:$A, 0), MATCH((YEAR(D107)+16), Variablen!$I$3:$AT$3, 0))="",L107,INDEX(Variablen!$I:$AT, MATCH(M107, Variablen!$A:$A, 0), MATCH((YEAR(D107)+16), Variablen!$I$3:$AT$3, 0))),L107)))*(IF((YEAR(D107)+16)&lt;YEAR(E107),0,IF((YEAR(D107)+16)&gt;YEAR(E107),1,(12-MONTH(E107)+1)/12))) + (Q107)*(IF((YEAR(D107)+16)&lt;YEAR(E107),0,IF((YEAR(D107)+16)&gt;YEAR(E107),1,(12-MONTH(E107)+1)/12))))-((P107)*(IF((YEAR(D107)+16)&lt;YEAR(E107),0,IF((YEAR(D107)+16)&gt;YEAR(E107),1,(12-MONTH(E107)+1)/12))) + (R107)*(IF((YEAR(D107)+16)&lt;YEAR(E107),0,IF((YEAR(D107)+16)&gt;YEAR(E107),1,(12-MONTH(E107)+1)/12))))-(IF(OR(N107="",N107&lt;=0),0,(O107/N107)*(IF(OR(N107="",N107&lt;=0),0,IF((YEAR(D107)+16)&lt;YEAR(E107),0,IF((YEAR(D107)+16)&gt;=YEAR(E107)+N107,0,IF((YEAR(D107)+16)=YEAR(E107),(12-MONTH(E107)+1)/12,1))))))))&gt;0,(((K107)*(IF(M107="",L107,IFERROR(IF(INDEX(Variablen!$I:$AT, MATCH(M107, Variablen!$A:$A, 0), MATCH((YEAR(D107)+16), Variablen!$I$3:$AT$3, 0))="",L107,INDEX(Variablen!$I:$AT, MATCH(M107, Variablen!$A:$A, 0), MATCH((YEAR(D107)+16), Variablen!$I$3:$AT$3, 0))),L107)))*(IF((YEAR(D107)+16)&lt;YEAR(E107),0,IF((YEAR(D107)+16)&gt;YEAR(E107),1,(12-MONTH(E107)+1)/12))) + (Q107)*(IF((YEAR(D107)+16)&lt;YEAR(E107),0,IF((YEAR(D107)+16)&gt;YEAR(E107),1,(12-MONTH(E107)+1)/12))))-((P107)*(IF((YEAR(D107)+16)&lt;YEAR(E107),0,IF((YEAR(D107)+16)&gt;YEAR(E107),1,(12-MONTH(E107)+1)/12))) + (R107)*(IF((YEAR(D107)+16)&lt;YEAR(E107),0,IF((YEAR(D107)+16)&gt;YEAR(E107),1,(12-MONTH(E107)+1)/12))))-(IF(OR(N107="",N107&lt;=0),0,(O107/N107)*(IF(OR(N107="",N107&lt;=0),0,IF((YEAR(D107)+16)&lt;YEAR(E107),0,IF((YEAR(D107)+16)&gt;=YEAR(E107)+N107,0,IF((YEAR(D107)+16)=YEAR(E107),(12-MONTH(E107)+1)/12,1))))))))*TaxRate,0))-IF(16=0,O107,0))</f>
        <v/>
      </c>
      <c r="AJ107" s="29">
        <f>IF(A107="","",((K107)*(IF(M107="",L107,IFERROR(IF(INDEX(Variablen!$I:$AT, MATCH(M107, Variablen!$A:$A, 0), MATCH((YEAR(D107)+17), Variablen!$I$3:$AT$3, 0))="",L107,INDEX(Variablen!$I:$AT, MATCH(M107, Variablen!$A:$A, 0), MATCH((YEAR(D107)+17), Variablen!$I$3:$AT$3, 0))),L107)))*(IF((YEAR(D107)+17)&lt;YEAR(E107),0,IF((YEAR(D107)+17)&gt;YEAR(E107),1,(12-MONTH(E107)+1)/12))) + (Q107)*(IF((YEAR(D107)+17)&lt;YEAR(E107),0,IF((YEAR(D107)+17)&gt;YEAR(E107),1,(12-MONTH(E107)+1)/12))))-((P107)*(IF((YEAR(D107)+17)&lt;YEAR(E107),0,IF((YEAR(D107)+17)&gt;YEAR(E107),1,(12-MONTH(E107)+1)/12))) + (R107)*(IF((YEAR(D107)+17)&lt;YEAR(E107),0,IF((YEAR(D107)+17)&gt;YEAR(E107),1,(12-MONTH(E107)+1)/12))))-(IF((((K107)*(IF(M107="",L107,IFERROR(IF(INDEX(Variablen!$I:$AT, MATCH(M107, Variablen!$A:$A, 0), MATCH((YEAR(D107)+17), Variablen!$I$3:$AT$3, 0))="",L107,INDEX(Variablen!$I:$AT, MATCH(M107, Variablen!$A:$A, 0), MATCH((YEAR(D107)+17), Variablen!$I$3:$AT$3, 0))),L107)))*(IF((YEAR(D107)+17)&lt;YEAR(E107),0,IF((YEAR(D107)+17)&gt;YEAR(E107),1,(12-MONTH(E107)+1)/12))) + (Q107)*(IF((YEAR(D107)+17)&lt;YEAR(E107),0,IF((YEAR(D107)+17)&gt;YEAR(E107),1,(12-MONTH(E107)+1)/12))))-((P107)*(IF((YEAR(D107)+17)&lt;YEAR(E107),0,IF((YEAR(D107)+17)&gt;YEAR(E107),1,(12-MONTH(E107)+1)/12))) + (R107)*(IF((YEAR(D107)+17)&lt;YEAR(E107),0,IF((YEAR(D107)+17)&gt;YEAR(E107),1,(12-MONTH(E107)+1)/12))))-(IF(OR(N107="",N107&lt;=0),0,(O107/N107)*(IF(OR(N107="",N107&lt;=0),0,IF((YEAR(D107)+17)&lt;YEAR(E107),0,IF((YEAR(D107)+17)&gt;=YEAR(E107)+N107,0,IF((YEAR(D107)+17)=YEAR(E107),(12-MONTH(E107)+1)/12,1))))))))&gt;0,(((K107)*(IF(M107="",L107,IFERROR(IF(INDEX(Variablen!$I:$AT, MATCH(M107, Variablen!$A:$A, 0), MATCH((YEAR(D107)+17), Variablen!$I$3:$AT$3, 0))="",L107,INDEX(Variablen!$I:$AT, MATCH(M107, Variablen!$A:$A, 0), MATCH((YEAR(D107)+17), Variablen!$I$3:$AT$3, 0))),L107)))*(IF((YEAR(D107)+17)&lt;YEAR(E107),0,IF((YEAR(D107)+17)&gt;YEAR(E107),1,(12-MONTH(E107)+1)/12))) + (Q107)*(IF((YEAR(D107)+17)&lt;YEAR(E107),0,IF((YEAR(D107)+17)&gt;YEAR(E107),1,(12-MONTH(E107)+1)/12))))-((P107)*(IF((YEAR(D107)+17)&lt;YEAR(E107),0,IF((YEAR(D107)+17)&gt;YEAR(E107),1,(12-MONTH(E107)+1)/12))) + (R107)*(IF((YEAR(D107)+17)&lt;YEAR(E107),0,IF((YEAR(D107)+17)&gt;YEAR(E107),1,(12-MONTH(E107)+1)/12))))-(IF(OR(N107="",N107&lt;=0),0,(O107/N107)*(IF(OR(N107="",N107&lt;=0),0,IF((YEAR(D107)+17)&lt;YEAR(E107),0,IF((YEAR(D107)+17)&gt;=YEAR(E107)+N107,0,IF((YEAR(D107)+17)=YEAR(E107),(12-MONTH(E107)+1)/12,1))))))))*TaxRate,0))-IF(17=0,O107,0))</f>
        <v/>
      </c>
      <c r="AK107" s="29">
        <f>IF(A107="","",((K107)*(IF(M107="",L107,IFERROR(IF(INDEX(Variablen!$I:$AT, MATCH(M107, Variablen!$A:$A, 0), MATCH((YEAR(D107)+18), Variablen!$I$3:$AT$3, 0))="",L107,INDEX(Variablen!$I:$AT, MATCH(M107, Variablen!$A:$A, 0), MATCH((YEAR(D107)+18), Variablen!$I$3:$AT$3, 0))),L107)))*(IF((YEAR(D107)+18)&lt;YEAR(E107),0,IF((YEAR(D107)+18)&gt;YEAR(E107),1,(12-MONTH(E107)+1)/12))) + (Q107)*(IF((YEAR(D107)+18)&lt;YEAR(E107),0,IF((YEAR(D107)+18)&gt;YEAR(E107),1,(12-MONTH(E107)+1)/12))))-((P107)*(IF((YEAR(D107)+18)&lt;YEAR(E107),0,IF((YEAR(D107)+18)&gt;YEAR(E107),1,(12-MONTH(E107)+1)/12))) + (R107)*(IF((YEAR(D107)+18)&lt;YEAR(E107),0,IF((YEAR(D107)+18)&gt;YEAR(E107),1,(12-MONTH(E107)+1)/12))))-(IF((((K107)*(IF(M107="",L107,IFERROR(IF(INDEX(Variablen!$I:$AT, MATCH(M107, Variablen!$A:$A, 0), MATCH((YEAR(D107)+18), Variablen!$I$3:$AT$3, 0))="",L107,INDEX(Variablen!$I:$AT, MATCH(M107, Variablen!$A:$A, 0), MATCH((YEAR(D107)+18), Variablen!$I$3:$AT$3, 0))),L107)))*(IF((YEAR(D107)+18)&lt;YEAR(E107),0,IF((YEAR(D107)+18)&gt;YEAR(E107),1,(12-MONTH(E107)+1)/12))) + (Q107)*(IF((YEAR(D107)+18)&lt;YEAR(E107),0,IF((YEAR(D107)+18)&gt;YEAR(E107),1,(12-MONTH(E107)+1)/12))))-((P107)*(IF((YEAR(D107)+18)&lt;YEAR(E107),0,IF((YEAR(D107)+18)&gt;YEAR(E107),1,(12-MONTH(E107)+1)/12))) + (R107)*(IF((YEAR(D107)+18)&lt;YEAR(E107),0,IF((YEAR(D107)+18)&gt;YEAR(E107),1,(12-MONTH(E107)+1)/12))))-(IF(OR(N107="",N107&lt;=0),0,(O107/N107)*(IF(OR(N107="",N107&lt;=0),0,IF((YEAR(D107)+18)&lt;YEAR(E107),0,IF((YEAR(D107)+18)&gt;=YEAR(E107)+N107,0,IF((YEAR(D107)+18)=YEAR(E107),(12-MONTH(E107)+1)/12,1))))))))&gt;0,(((K107)*(IF(M107="",L107,IFERROR(IF(INDEX(Variablen!$I:$AT, MATCH(M107, Variablen!$A:$A, 0), MATCH((YEAR(D107)+18), Variablen!$I$3:$AT$3, 0))="",L107,INDEX(Variablen!$I:$AT, MATCH(M107, Variablen!$A:$A, 0), MATCH((YEAR(D107)+18), Variablen!$I$3:$AT$3, 0))),L107)))*(IF((YEAR(D107)+18)&lt;YEAR(E107),0,IF((YEAR(D107)+18)&gt;YEAR(E107),1,(12-MONTH(E107)+1)/12))) + (Q107)*(IF((YEAR(D107)+18)&lt;YEAR(E107),0,IF((YEAR(D107)+18)&gt;YEAR(E107),1,(12-MONTH(E107)+1)/12))))-((P107)*(IF((YEAR(D107)+18)&lt;YEAR(E107),0,IF((YEAR(D107)+18)&gt;YEAR(E107),1,(12-MONTH(E107)+1)/12))) + (R107)*(IF((YEAR(D107)+18)&lt;YEAR(E107),0,IF((YEAR(D107)+18)&gt;YEAR(E107),1,(12-MONTH(E107)+1)/12))))-(IF(OR(N107="",N107&lt;=0),0,(O107/N107)*(IF(OR(N107="",N107&lt;=0),0,IF((YEAR(D107)+18)&lt;YEAR(E107),0,IF((YEAR(D107)+18)&gt;=YEAR(E107)+N107,0,IF((YEAR(D107)+18)=YEAR(E107),(12-MONTH(E107)+1)/12,1))))))))*TaxRate,0))-IF(18=0,O107,0))</f>
        <v/>
      </c>
      <c r="AL107" s="29">
        <f>IF(A107="","",((K107)*(IF(M107="",L107,IFERROR(IF(INDEX(Variablen!$I:$AT, MATCH(M107, Variablen!$A:$A, 0), MATCH((YEAR(D107)+19), Variablen!$I$3:$AT$3, 0))="",L107,INDEX(Variablen!$I:$AT, MATCH(M107, Variablen!$A:$A, 0), MATCH((YEAR(D107)+19), Variablen!$I$3:$AT$3, 0))),L107)))*(IF((YEAR(D107)+19)&lt;YEAR(E107),0,IF((YEAR(D107)+19)&gt;YEAR(E107),1,(12-MONTH(E107)+1)/12))) + (Q107)*(IF((YEAR(D107)+19)&lt;YEAR(E107),0,IF((YEAR(D107)+19)&gt;YEAR(E107),1,(12-MONTH(E107)+1)/12))))-((P107)*(IF((YEAR(D107)+19)&lt;YEAR(E107),0,IF((YEAR(D107)+19)&gt;YEAR(E107),1,(12-MONTH(E107)+1)/12))) + (R107)*(IF((YEAR(D107)+19)&lt;YEAR(E107),0,IF((YEAR(D107)+19)&gt;YEAR(E107),1,(12-MONTH(E107)+1)/12))))-(IF((((K107)*(IF(M107="",L107,IFERROR(IF(INDEX(Variablen!$I:$AT, MATCH(M107, Variablen!$A:$A, 0), MATCH((YEAR(D107)+19), Variablen!$I$3:$AT$3, 0))="",L107,INDEX(Variablen!$I:$AT, MATCH(M107, Variablen!$A:$A, 0), MATCH((YEAR(D107)+19), Variablen!$I$3:$AT$3, 0))),L107)))*(IF((YEAR(D107)+19)&lt;YEAR(E107),0,IF((YEAR(D107)+19)&gt;YEAR(E107),1,(12-MONTH(E107)+1)/12))) + (Q107)*(IF((YEAR(D107)+19)&lt;YEAR(E107),0,IF((YEAR(D107)+19)&gt;YEAR(E107),1,(12-MONTH(E107)+1)/12))))-((P107)*(IF((YEAR(D107)+19)&lt;YEAR(E107),0,IF((YEAR(D107)+19)&gt;YEAR(E107),1,(12-MONTH(E107)+1)/12))) + (R107)*(IF((YEAR(D107)+19)&lt;YEAR(E107),0,IF((YEAR(D107)+19)&gt;YEAR(E107),1,(12-MONTH(E107)+1)/12))))-(IF(OR(N107="",N107&lt;=0),0,(O107/N107)*(IF(OR(N107="",N107&lt;=0),0,IF((YEAR(D107)+19)&lt;YEAR(E107),0,IF((YEAR(D107)+19)&gt;=YEAR(E107)+N107,0,IF((YEAR(D107)+19)=YEAR(E107),(12-MONTH(E107)+1)/12,1))))))))&gt;0,(((K107)*(IF(M107="",L107,IFERROR(IF(INDEX(Variablen!$I:$AT, MATCH(M107, Variablen!$A:$A, 0), MATCH((YEAR(D107)+19), Variablen!$I$3:$AT$3, 0))="",L107,INDEX(Variablen!$I:$AT, MATCH(M107, Variablen!$A:$A, 0), MATCH((YEAR(D107)+19), Variablen!$I$3:$AT$3, 0))),L107)))*(IF((YEAR(D107)+19)&lt;YEAR(E107),0,IF((YEAR(D107)+19)&gt;YEAR(E107),1,(12-MONTH(E107)+1)/12))) + (Q107)*(IF((YEAR(D107)+19)&lt;YEAR(E107),0,IF((YEAR(D107)+19)&gt;YEAR(E107),1,(12-MONTH(E107)+1)/12))))-((P107)*(IF((YEAR(D107)+19)&lt;YEAR(E107),0,IF((YEAR(D107)+19)&gt;YEAR(E107),1,(12-MONTH(E107)+1)/12))) + (R107)*(IF((YEAR(D107)+19)&lt;YEAR(E107),0,IF((YEAR(D107)+19)&gt;YEAR(E107),1,(12-MONTH(E107)+1)/12))))-(IF(OR(N107="",N107&lt;=0),0,(O107/N107)*(IF(OR(N107="",N107&lt;=0),0,IF((YEAR(D107)+19)&lt;YEAR(E107),0,IF((YEAR(D107)+19)&gt;=YEAR(E107)+N107,0,IF((YEAR(D107)+19)=YEAR(E107),(12-MONTH(E107)+1)/12,1))))))))*TaxRate,0))-IF(19=0,O107,0))</f>
        <v/>
      </c>
      <c r="AM107" s="29">
        <f>IF(A107="","",((K107)*(IF(M107="",L107,IFERROR(IF(INDEX(Variablen!$I:$AT, MATCH(M107, Variablen!$A:$A, 0), MATCH((YEAR(D107)+20), Variablen!$I$3:$AT$3, 0))="",L107,INDEX(Variablen!$I:$AT, MATCH(M107, Variablen!$A:$A, 0), MATCH((YEAR(D107)+20), Variablen!$I$3:$AT$3, 0))),L107)))*(IF((YEAR(D107)+20)&lt;YEAR(E107),0,IF((YEAR(D107)+20)&gt;YEAR(E107),1,(12-MONTH(E107)+1)/12))) + (Q107)*(IF((YEAR(D107)+20)&lt;YEAR(E107),0,IF((YEAR(D107)+20)&gt;YEAR(E107),1,(12-MONTH(E107)+1)/12))))-((P107)*(IF((YEAR(D107)+20)&lt;YEAR(E107),0,IF((YEAR(D107)+20)&gt;YEAR(E107),1,(12-MONTH(E107)+1)/12))) + (R107)*(IF((YEAR(D107)+20)&lt;YEAR(E107),0,IF((YEAR(D107)+20)&gt;YEAR(E107),1,(12-MONTH(E107)+1)/12))))-(IF((((K107)*(IF(M107="",L107,IFERROR(IF(INDEX(Variablen!$I:$AT, MATCH(M107, Variablen!$A:$A, 0), MATCH((YEAR(D107)+20), Variablen!$I$3:$AT$3, 0))="",L107,INDEX(Variablen!$I:$AT, MATCH(M107, Variablen!$A:$A, 0), MATCH((YEAR(D107)+20), Variablen!$I$3:$AT$3, 0))),L107)))*(IF((YEAR(D107)+20)&lt;YEAR(E107),0,IF((YEAR(D107)+20)&gt;YEAR(E107),1,(12-MONTH(E107)+1)/12))) + (Q107)*(IF((YEAR(D107)+20)&lt;YEAR(E107),0,IF((YEAR(D107)+20)&gt;YEAR(E107),1,(12-MONTH(E107)+1)/12))))-((P107)*(IF((YEAR(D107)+20)&lt;YEAR(E107),0,IF((YEAR(D107)+20)&gt;YEAR(E107),1,(12-MONTH(E107)+1)/12))) + (R107)*(IF((YEAR(D107)+20)&lt;YEAR(E107),0,IF((YEAR(D107)+20)&gt;YEAR(E107),1,(12-MONTH(E107)+1)/12))))-(IF(OR(N107="",N107&lt;=0),0,(O107/N107)*(IF(OR(N107="",N107&lt;=0),0,IF((YEAR(D107)+20)&lt;YEAR(E107),0,IF((YEAR(D107)+20)&gt;=YEAR(E107)+N107,0,IF((YEAR(D107)+20)=YEAR(E107),(12-MONTH(E107)+1)/12,1))))))))&gt;0,(((K107)*(IF(M107="",L107,IFERROR(IF(INDEX(Variablen!$I:$AT, MATCH(M107, Variablen!$A:$A, 0), MATCH((YEAR(D107)+20), Variablen!$I$3:$AT$3, 0))="",L107,INDEX(Variablen!$I:$AT, MATCH(M107, Variablen!$A:$A, 0), MATCH((YEAR(D107)+20), Variablen!$I$3:$AT$3, 0))),L107)))*(IF((YEAR(D107)+20)&lt;YEAR(E107),0,IF((YEAR(D107)+20)&gt;YEAR(E107),1,(12-MONTH(E107)+1)/12))) + (Q107)*(IF((YEAR(D107)+20)&lt;YEAR(E107),0,IF((YEAR(D107)+20)&gt;YEAR(E107),1,(12-MONTH(E107)+1)/12))))-((P107)*(IF((YEAR(D107)+20)&lt;YEAR(E107),0,IF((YEAR(D107)+20)&gt;YEAR(E107),1,(12-MONTH(E107)+1)/12))) + (R107)*(IF((YEAR(D107)+20)&lt;YEAR(E107),0,IF((YEAR(D107)+20)&gt;YEAR(E107),1,(12-MONTH(E107)+1)/12))))-(IF(OR(N107="",N107&lt;=0),0,(O107/N107)*(IF(OR(N107="",N107&lt;=0),0,IF((YEAR(D107)+20)&lt;YEAR(E107),0,IF((YEAR(D107)+20)&gt;=YEAR(E107)+N107,0,IF((YEAR(D107)+20)=YEAR(E107),(12-MONTH(E107)+1)/12,1))))))))*TaxRate,0))-IF(20=0,O107,0))</f>
        <v/>
      </c>
      <c r="AN107" s="29">
        <f>IF(A107="","",S107)</f>
        <v/>
      </c>
      <c r="AO107" s="29">
        <f>IF(A107="","",AN107+T107)</f>
        <v/>
      </c>
      <c r="AP107" s="29">
        <f>IF(A107="","",AO107+U107)</f>
        <v/>
      </c>
      <c r="AQ107" s="29">
        <f>IF(A107="","",AP107+V107)</f>
        <v/>
      </c>
      <c r="AR107" s="29">
        <f>IF(A107="","",AQ107+W107)</f>
        <v/>
      </c>
      <c r="AS107" s="29">
        <f>IF(A107="","",AR107+X107)</f>
        <v/>
      </c>
      <c r="AT107" s="29">
        <f>IF(A107="","",AS107+Y107)</f>
        <v/>
      </c>
      <c r="AU107" s="29">
        <f>IF(A107="","",AT107+Z107)</f>
        <v/>
      </c>
      <c r="AV107" s="29">
        <f>IF(A107="","",AU107+AA107)</f>
        <v/>
      </c>
      <c r="AW107" s="29">
        <f>IF(A107="","",AV107+AB107)</f>
        <v/>
      </c>
      <c r="AX107" s="29">
        <f>IF(A107="","",AW107+AC107)</f>
        <v/>
      </c>
      <c r="AY107" s="29">
        <f>IF(A107="","",AX107+AD107)</f>
        <v/>
      </c>
      <c r="AZ107" s="29">
        <f>IF(A107="","",AY107+AE107)</f>
        <v/>
      </c>
      <c r="BA107" s="29">
        <f>IF(A107="","",AZ107+AF107)</f>
        <v/>
      </c>
      <c r="BB107" s="29">
        <f>IF(A107="","",BA107+AG107)</f>
        <v/>
      </c>
      <c r="BC107" s="29">
        <f>IF(A107="","",BB107+AH107)</f>
        <v/>
      </c>
      <c r="BD107" s="29">
        <f>IF(A107="","",BC107+AI107)</f>
        <v/>
      </c>
      <c r="BE107" s="29">
        <f>IF(A107="","",BD107+AJ107)</f>
        <v/>
      </c>
      <c r="BF107" s="29">
        <f>IF(A107="","",BE107+AK107)</f>
        <v/>
      </c>
      <c r="BG107" s="29">
        <f>IF(A107="","",BF107+AL107)</f>
        <v/>
      </c>
      <c r="BH107" s="29">
        <f>IF(A107="","",BG107+AM107)</f>
        <v/>
      </c>
      <c r="BI107" s="36">
        <f>IF(A107="","",(K107)*(IF((YEAR(D107)+0)&lt;YEAR(E107),0,IF((YEAR(D107)+0)&gt;YEAR(E107),1,(12-MONTH(E107)+1)/12)))*(1/(1+DiscountRate)^0))</f>
        <v/>
      </c>
      <c r="BJ107" s="36">
        <f>IF(A107="","",(K107)*(IF((YEAR(D107)+1)&lt;YEAR(E107),0,IF((YEAR(D107)+1)&gt;YEAR(E107),1,(12-MONTH(E107)+1)/12)))*(1/(1+DiscountRate)^1))</f>
        <v/>
      </c>
      <c r="BK107" s="36">
        <f>IF(A107="","",(K107)*(IF((YEAR(D107)+2)&lt;YEAR(E107),0,IF((YEAR(D107)+2)&gt;YEAR(E107),1,(12-MONTH(E107)+1)/12)))*(1/(1+DiscountRate)^2))</f>
        <v/>
      </c>
      <c r="BL107" s="36">
        <f>IF(A107="","",(K107)*(IF((YEAR(D107)+3)&lt;YEAR(E107),0,IF((YEAR(D107)+3)&gt;YEAR(E107),1,(12-MONTH(E107)+1)/12)))*(1/(1+DiscountRate)^3))</f>
        <v/>
      </c>
      <c r="BM107" s="36">
        <f>IF(A107="","",(K107)*(IF((YEAR(D107)+4)&lt;YEAR(E107),0,IF((YEAR(D107)+4)&gt;YEAR(E107),1,(12-MONTH(E107)+1)/12)))*(1/(1+DiscountRate)^4))</f>
        <v/>
      </c>
      <c r="BN107" s="36">
        <f>IF(A107="","",(K107)*(IF((YEAR(D107)+5)&lt;YEAR(E107),0,IF((YEAR(D107)+5)&gt;YEAR(E107),1,(12-MONTH(E107)+1)/12)))*(1/(1+DiscountRate)^5))</f>
        <v/>
      </c>
      <c r="BO107" s="36">
        <f>IF(A107="","",(K107)*(IF((YEAR(D107)+6)&lt;YEAR(E107),0,IF((YEAR(D107)+6)&gt;YEAR(E107),1,(12-MONTH(E107)+1)/12)))*(1/(1+DiscountRate)^6))</f>
        <v/>
      </c>
      <c r="BP107" s="36">
        <f>IF(A107="","",(K107)*(IF((YEAR(D107)+7)&lt;YEAR(E107),0,IF((YEAR(D107)+7)&gt;YEAR(E107),1,(12-MONTH(E107)+1)/12)))*(1/(1+DiscountRate)^7))</f>
        <v/>
      </c>
      <c r="BQ107" s="36">
        <f>IF(A107="","",(K107)*(IF((YEAR(D107)+8)&lt;YEAR(E107),0,IF((YEAR(D107)+8)&gt;YEAR(E107),1,(12-MONTH(E107)+1)/12)))*(1/(1+DiscountRate)^8))</f>
        <v/>
      </c>
      <c r="BR107" s="36">
        <f>IF(A107="","",(K107)*(IF((YEAR(D107)+9)&lt;YEAR(E107),0,IF((YEAR(D107)+9)&gt;YEAR(E107),1,(12-MONTH(E107)+1)/12)))*(1/(1+DiscountRate)^9))</f>
        <v/>
      </c>
      <c r="BS107" s="36">
        <f>IF(A107="","",(K107)*(IF((YEAR(D107)+10)&lt;YEAR(E107),0,IF((YEAR(D107)+10)&gt;YEAR(E107),1,(12-MONTH(E107)+1)/12)))*(1/(1+DiscountRate)^10))</f>
        <v/>
      </c>
      <c r="BT107" s="36">
        <f>IF(A107="","",(K107)*(IF((YEAR(D107)+11)&lt;YEAR(E107),0,IF((YEAR(D107)+11)&gt;YEAR(E107),1,(12-MONTH(E107)+1)/12)))*(1/(1+DiscountRate)^11))</f>
        <v/>
      </c>
      <c r="BU107" s="36">
        <f>IF(A107="","",(K107)*(IF((YEAR(D107)+12)&lt;YEAR(E107),0,IF((YEAR(D107)+12)&gt;YEAR(E107),1,(12-MONTH(E107)+1)/12)))*(1/(1+DiscountRate)^12))</f>
        <v/>
      </c>
      <c r="BV107" s="36">
        <f>IF(A107="","",(K107)*(IF((YEAR(D107)+13)&lt;YEAR(E107),0,IF((YEAR(D107)+13)&gt;YEAR(E107),1,(12-MONTH(E107)+1)/12)))*(1/(1+DiscountRate)^13))</f>
        <v/>
      </c>
      <c r="BW107" s="36">
        <f>IF(A107="","",(K107)*(IF((YEAR(D107)+14)&lt;YEAR(E107),0,IF((YEAR(D107)+14)&gt;YEAR(E107),1,(12-MONTH(E107)+1)/12)))*(1/(1+DiscountRate)^14))</f>
        <v/>
      </c>
      <c r="BX107" s="36">
        <f>IF(A107="","",(K107)*(IF((YEAR(D107)+15)&lt;YEAR(E107),0,IF((YEAR(D107)+15)&gt;YEAR(E107),1,(12-MONTH(E107)+1)/12)))*(1/(1+DiscountRate)^15))</f>
        <v/>
      </c>
      <c r="BY107" s="36">
        <f>IF(A107="","",(K107)*(IF((YEAR(D107)+16)&lt;YEAR(E107),0,IF((YEAR(D107)+16)&gt;YEAR(E107),1,(12-MONTH(E107)+1)/12)))*(1/(1+DiscountRate)^16))</f>
        <v/>
      </c>
      <c r="BZ107" s="36">
        <f>IF(A107="","",(K107)*(IF((YEAR(D107)+17)&lt;YEAR(E107),0,IF((YEAR(D107)+17)&gt;YEAR(E107),1,(12-MONTH(E107)+1)/12)))*(1/(1+DiscountRate)^17))</f>
        <v/>
      </c>
      <c r="CA107" s="36">
        <f>IF(A107="","",(K107)*(IF((YEAR(D107)+18)&lt;YEAR(E107),0,IF((YEAR(D107)+18)&gt;YEAR(E107),1,(12-MONTH(E107)+1)/12)))*(1/(1+DiscountRate)^18))</f>
        <v/>
      </c>
      <c r="CB107" s="36">
        <f>IF(A107="","",(K107)*(IF((YEAR(D107)+19)&lt;YEAR(E107),0,IF((YEAR(D107)+19)&gt;YEAR(E107),1,(12-MONTH(E107)+1)/12)))*(1/(1+DiscountRate)^19))</f>
        <v/>
      </c>
      <c r="CC107" s="36">
        <f>IF(A107="","",(K107)*(IF((YEAR(D107)+20)&lt;YEAR(E107),0,IF((YEAR(D107)+20)&gt;YEAR(E107),1,(12-MONTH(E107)+1)/12)))*(1/(1+DiscountRate)^20))</f>
        <v/>
      </c>
      <c r="CD107" s="29">
        <f>IF(A107="","",S107/(1+DiscountRate)^0+T107/(1+DiscountRate)^1+U107/(1+DiscountRate)^2+V107/(1+DiscountRate)^3+W107/(1+DiscountRate)^4+X107/(1+DiscountRate)^5+Y107/(1+DiscountRate)^6+Z107/(1+DiscountRate)^7+AA107/(1+DiscountRate)^8+AB107/(1+DiscountRate)^9+AC107/(1+DiscountRate)^10+AD107/(1+DiscountRate)^11+AE107/(1+DiscountRate)^12+AF107/(1+DiscountRate)^13+AG107/(1+DiscountRate)^14+AH107/(1+DiscountRate)^15+AI107/(1+DiscountRate)^16+AJ107/(1+DiscountRate)^17+AK107/(1+DiscountRate)^18+AL107/(1+DiscountRate)^19+AM107/(1+DiscountRate)^20)</f>
        <v/>
      </c>
      <c r="CE107" s="37">
        <f>IF(A107="","",IFERROR(IRR(OFFSET(S107,0,0,1,MIN(HorizonYears,20)+1)),"n/a"))</f>
        <v/>
      </c>
      <c r="CF107" s="28">
        <f>IF(A107="","",IFERROR(MATCH(TRUE,OFFSET(AN107,0,0,1,MIN(HorizonYears,20)+1)&gt;=0,0)-1,"n/a"))</f>
        <v/>
      </c>
      <c r="CG107" s="36">
        <f>IF(A107="","",SUM(OFFSET(BI107,0,0,1,MIN(HorizonYears,20)+1)))</f>
        <v/>
      </c>
      <c r="CH107" s="36">
        <f>IF(A107="","",IFERROR(-CD107/CG107,"n/a"))</f>
        <v/>
      </c>
    </row>
    <row r="108">
      <c r="A108" s="6">
        <f>Actions!A106</f>
        <v/>
      </c>
      <c r="B108" s="6">
        <f>Actions!B106</f>
        <v/>
      </c>
      <c r="C108" s="6">
        <f>Actions!D106</f>
        <v/>
      </c>
      <c r="D108" s="35">
        <f>Actions!E106</f>
        <v/>
      </c>
      <c r="E108" s="35">
        <f>Actions!F106</f>
        <v/>
      </c>
      <c r="F108" s="6">
        <f>Actions!G106</f>
        <v/>
      </c>
      <c r="G108" s="6">
        <f>Actions!H106</f>
        <v/>
      </c>
      <c r="H108" s="29">
        <f>Actions!I106</f>
        <v/>
      </c>
      <c r="I108" s="6">
        <f>Actions!J106</f>
        <v/>
      </c>
      <c r="J108" s="16">
        <f>Actions!K106</f>
        <v/>
      </c>
      <c r="K108" s="16">
        <f>IF(A108="","",IF(I108="%",H108*J108,J108))</f>
        <v/>
      </c>
      <c r="L108" s="16">
        <f>Actions!L106</f>
        <v/>
      </c>
      <c r="M108" s="6">
        <f>Actions!M106</f>
        <v/>
      </c>
      <c r="N108" s="28">
        <f>Actions!N106</f>
        <v/>
      </c>
      <c r="O108" s="29">
        <f>Actions!T106</f>
        <v/>
      </c>
      <c r="P108" s="29">
        <f>Actions!Y106</f>
        <v/>
      </c>
      <c r="Q108" s="29">
        <f>Actions!Z106</f>
        <v/>
      </c>
      <c r="R108" s="29">
        <f>Actions!AA106</f>
        <v/>
      </c>
      <c r="S108" s="29">
        <f>IF(A108="","",((K108)*(IF(M108="",L108,IFERROR(IF(INDEX(Variablen!$I:$AT, MATCH(M108, Variablen!$A:$A, 0), MATCH((YEAR(D108)+0), Variablen!$I$3:$AT$3, 0))="",L108,INDEX(Variablen!$I:$AT, MATCH(M108, Variablen!$A:$A, 0), MATCH((YEAR(D108)+0), Variablen!$I$3:$AT$3, 0))),L108)))*(IF((YEAR(D108)+0)&lt;YEAR(E108),0,IF((YEAR(D108)+0)&gt;YEAR(E108),1,(12-MONTH(E108)+1)/12))) + (Q108)*(IF((YEAR(D108)+0)&lt;YEAR(E108),0,IF((YEAR(D108)+0)&gt;YEAR(E108),1,(12-MONTH(E108)+1)/12))))-((P108)*(IF((YEAR(D108)+0)&lt;YEAR(E108),0,IF((YEAR(D108)+0)&gt;YEAR(E108),1,(12-MONTH(E108)+1)/12))) + (R108)*(IF((YEAR(D108)+0)&lt;YEAR(E108),0,IF((YEAR(D108)+0)&gt;YEAR(E108),1,(12-MONTH(E108)+1)/12))))-(IF((((K108)*(IF(M108="",L108,IFERROR(IF(INDEX(Variablen!$I:$AT, MATCH(M108, Variablen!$A:$A, 0), MATCH((YEAR(D108)+0), Variablen!$I$3:$AT$3, 0))="",L108,INDEX(Variablen!$I:$AT, MATCH(M108, Variablen!$A:$A, 0), MATCH((YEAR(D108)+0), Variablen!$I$3:$AT$3, 0))),L108)))*(IF((YEAR(D108)+0)&lt;YEAR(E108),0,IF((YEAR(D108)+0)&gt;YEAR(E108),1,(12-MONTH(E108)+1)/12))) + (Q108)*(IF((YEAR(D108)+0)&lt;YEAR(E108),0,IF((YEAR(D108)+0)&gt;YEAR(E108),1,(12-MONTH(E108)+1)/12))))-((P108)*(IF((YEAR(D108)+0)&lt;YEAR(E108),0,IF((YEAR(D108)+0)&gt;YEAR(E108),1,(12-MONTH(E108)+1)/12))) + (R108)*(IF((YEAR(D108)+0)&lt;YEAR(E108),0,IF((YEAR(D108)+0)&gt;YEAR(E108),1,(12-MONTH(E108)+1)/12))))-(IF(OR(N108="",N108&lt;=0),0,(O108/N108)*(IF(OR(N108="",N108&lt;=0),0,IF((YEAR(D108)+0)&lt;YEAR(E108),0,IF((YEAR(D108)+0)&gt;=YEAR(E108)+N108,0,IF((YEAR(D108)+0)=YEAR(E108),(12-MONTH(E108)+1)/12,1))))))))&gt;0,(((K108)*(IF(M108="",L108,IFERROR(IF(INDEX(Variablen!$I:$AT, MATCH(M108, Variablen!$A:$A, 0), MATCH((YEAR(D108)+0), Variablen!$I$3:$AT$3, 0))="",L108,INDEX(Variablen!$I:$AT, MATCH(M108, Variablen!$A:$A, 0), MATCH((YEAR(D108)+0), Variablen!$I$3:$AT$3, 0))),L108)))*(IF((YEAR(D108)+0)&lt;YEAR(E108),0,IF((YEAR(D108)+0)&gt;YEAR(E108),1,(12-MONTH(E108)+1)/12))) + (Q108)*(IF((YEAR(D108)+0)&lt;YEAR(E108),0,IF((YEAR(D108)+0)&gt;YEAR(E108),1,(12-MONTH(E108)+1)/12))))-((P108)*(IF((YEAR(D108)+0)&lt;YEAR(E108),0,IF((YEAR(D108)+0)&gt;YEAR(E108),1,(12-MONTH(E108)+1)/12))) + (R108)*(IF((YEAR(D108)+0)&lt;YEAR(E108),0,IF((YEAR(D108)+0)&gt;YEAR(E108),1,(12-MONTH(E108)+1)/12))))-(IF(OR(N108="",N108&lt;=0),0,(O108/N108)*(IF(OR(N108="",N108&lt;=0),0,IF((YEAR(D108)+0)&lt;YEAR(E108),0,IF((YEAR(D108)+0)&gt;=YEAR(E108)+N108,0,IF((YEAR(D108)+0)=YEAR(E108),(12-MONTH(E108)+1)/12,1))))))))*TaxRate,0))-IF(0=0,O108,0))</f>
        <v/>
      </c>
      <c r="T108" s="29">
        <f>IF(A108="","",((K108)*(IF(M108="",L108,IFERROR(IF(INDEX(Variablen!$I:$AT, MATCH(M108, Variablen!$A:$A, 0), MATCH((YEAR(D108)+1), Variablen!$I$3:$AT$3, 0))="",L108,INDEX(Variablen!$I:$AT, MATCH(M108, Variablen!$A:$A, 0), MATCH((YEAR(D108)+1), Variablen!$I$3:$AT$3, 0))),L108)))*(IF((YEAR(D108)+1)&lt;YEAR(E108),0,IF((YEAR(D108)+1)&gt;YEAR(E108),1,(12-MONTH(E108)+1)/12))) + (Q108)*(IF((YEAR(D108)+1)&lt;YEAR(E108),0,IF((YEAR(D108)+1)&gt;YEAR(E108),1,(12-MONTH(E108)+1)/12))))-((P108)*(IF((YEAR(D108)+1)&lt;YEAR(E108),0,IF((YEAR(D108)+1)&gt;YEAR(E108),1,(12-MONTH(E108)+1)/12))) + (R108)*(IF((YEAR(D108)+1)&lt;YEAR(E108),0,IF((YEAR(D108)+1)&gt;YEAR(E108),1,(12-MONTH(E108)+1)/12))))-(IF((((K108)*(IF(M108="",L108,IFERROR(IF(INDEX(Variablen!$I:$AT, MATCH(M108, Variablen!$A:$A, 0), MATCH((YEAR(D108)+1), Variablen!$I$3:$AT$3, 0))="",L108,INDEX(Variablen!$I:$AT, MATCH(M108, Variablen!$A:$A, 0), MATCH((YEAR(D108)+1), Variablen!$I$3:$AT$3, 0))),L108)))*(IF((YEAR(D108)+1)&lt;YEAR(E108),0,IF((YEAR(D108)+1)&gt;YEAR(E108),1,(12-MONTH(E108)+1)/12))) + (Q108)*(IF((YEAR(D108)+1)&lt;YEAR(E108),0,IF((YEAR(D108)+1)&gt;YEAR(E108),1,(12-MONTH(E108)+1)/12))))-((P108)*(IF((YEAR(D108)+1)&lt;YEAR(E108),0,IF((YEAR(D108)+1)&gt;YEAR(E108),1,(12-MONTH(E108)+1)/12))) + (R108)*(IF((YEAR(D108)+1)&lt;YEAR(E108),0,IF((YEAR(D108)+1)&gt;YEAR(E108),1,(12-MONTH(E108)+1)/12))))-(IF(OR(N108="",N108&lt;=0),0,(O108/N108)*(IF(OR(N108="",N108&lt;=0),0,IF((YEAR(D108)+1)&lt;YEAR(E108),0,IF((YEAR(D108)+1)&gt;=YEAR(E108)+N108,0,IF((YEAR(D108)+1)=YEAR(E108),(12-MONTH(E108)+1)/12,1))))))))&gt;0,(((K108)*(IF(M108="",L108,IFERROR(IF(INDEX(Variablen!$I:$AT, MATCH(M108, Variablen!$A:$A, 0), MATCH((YEAR(D108)+1), Variablen!$I$3:$AT$3, 0))="",L108,INDEX(Variablen!$I:$AT, MATCH(M108, Variablen!$A:$A, 0), MATCH((YEAR(D108)+1), Variablen!$I$3:$AT$3, 0))),L108)))*(IF((YEAR(D108)+1)&lt;YEAR(E108),0,IF((YEAR(D108)+1)&gt;YEAR(E108),1,(12-MONTH(E108)+1)/12))) + (Q108)*(IF((YEAR(D108)+1)&lt;YEAR(E108),0,IF((YEAR(D108)+1)&gt;YEAR(E108),1,(12-MONTH(E108)+1)/12))))-((P108)*(IF((YEAR(D108)+1)&lt;YEAR(E108),0,IF((YEAR(D108)+1)&gt;YEAR(E108),1,(12-MONTH(E108)+1)/12))) + (R108)*(IF((YEAR(D108)+1)&lt;YEAR(E108),0,IF((YEAR(D108)+1)&gt;YEAR(E108),1,(12-MONTH(E108)+1)/12))))-(IF(OR(N108="",N108&lt;=0),0,(O108/N108)*(IF(OR(N108="",N108&lt;=0),0,IF((YEAR(D108)+1)&lt;YEAR(E108),0,IF((YEAR(D108)+1)&gt;=YEAR(E108)+N108,0,IF((YEAR(D108)+1)=YEAR(E108),(12-MONTH(E108)+1)/12,1))))))))*TaxRate,0))-IF(1=0,O108,0))</f>
        <v/>
      </c>
      <c r="U108" s="29">
        <f>IF(A108="","",((K108)*(IF(M108="",L108,IFERROR(IF(INDEX(Variablen!$I:$AT, MATCH(M108, Variablen!$A:$A, 0), MATCH((YEAR(D108)+2), Variablen!$I$3:$AT$3, 0))="",L108,INDEX(Variablen!$I:$AT, MATCH(M108, Variablen!$A:$A, 0), MATCH((YEAR(D108)+2), Variablen!$I$3:$AT$3, 0))),L108)))*(IF((YEAR(D108)+2)&lt;YEAR(E108),0,IF((YEAR(D108)+2)&gt;YEAR(E108),1,(12-MONTH(E108)+1)/12))) + (Q108)*(IF((YEAR(D108)+2)&lt;YEAR(E108),0,IF((YEAR(D108)+2)&gt;YEAR(E108),1,(12-MONTH(E108)+1)/12))))-((P108)*(IF((YEAR(D108)+2)&lt;YEAR(E108),0,IF((YEAR(D108)+2)&gt;YEAR(E108),1,(12-MONTH(E108)+1)/12))) + (R108)*(IF((YEAR(D108)+2)&lt;YEAR(E108),0,IF((YEAR(D108)+2)&gt;YEAR(E108),1,(12-MONTH(E108)+1)/12))))-(IF((((K108)*(IF(M108="",L108,IFERROR(IF(INDEX(Variablen!$I:$AT, MATCH(M108, Variablen!$A:$A, 0), MATCH((YEAR(D108)+2), Variablen!$I$3:$AT$3, 0))="",L108,INDEX(Variablen!$I:$AT, MATCH(M108, Variablen!$A:$A, 0), MATCH((YEAR(D108)+2), Variablen!$I$3:$AT$3, 0))),L108)))*(IF((YEAR(D108)+2)&lt;YEAR(E108),0,IF((YEAR(D108)+2)&gt;YEAR(E108),1,(12-MONTH(E108)+1)/12))) + (Q108)*(IF((YEAR(D108)+2)&lt;YEAR(E108),0,IF((YEAR(D108)+2)&gt;YEAR(E108),1,(12-MONTH(E108)+1)/12))))-((P108)*(IF((YEAR(D108)+2)&lt;YEAR(E108),0,IF((YEAR(D108)+2)&gt;YEAR(E108),1,(12-MONTH(E108)+1)/12))) + (R108)*(IF((YEAR(D108)+2)&lt;YEAR(E108),0,IF((YEAR(D108)+2)&gt;YEAR(E108),1,(12-MONTH(E108)+1)/12))))-(IF(OR(N108="",N108&lt;=0),0,(O108/N108)*(IF(OR(N108="",N108&lt;=0),0,IF((YEAR(D108)+2)&lt;YEAR(E108),0,IF((YEAR(D108)+2)&gt;=YEAR(E108)+N108,0,IF((YEAR(D108)+2)=YEAR(E108),(12-MONTH(E108)+1)/12,1))))))))&gt;0,(((K108)*(IF(M108="",L108,IFERROR(IF(INDEX(Variablen!$I:$AT, MATCH(M108, Variablen!$A:$A, 0), MATCH((YEAR(D108)+2), Variablen!$I$3:$AT$3, 0))="",L108,INDEX(Variablen!$I:$AT, MATCH(M108, Variablen!$A:$A, 0), MATCH((YEAR(D108)+2), Variablen!$I$3:$AT$3, 0))),L108)))*(IF((YEAR(D108)+2)&lt;YEAR(E108),0,IF((YEAR(D108)+2)&gt;YEAR(E108),1,(12-MONTH(E108)+1)/12))) + (Q108)*(IF((YEAR(D108)+2)&lt;YEAR(E108),0,IF((YEAR(D108)+2)&gt;YEAR(E108),1,(12-MONTH(E108)+1)/12))))-((P108)*(IF((YEAR(D108)+2)&lt;YEAR(E108),0,IF((YEAR(D108)+2)&gt;YEAR(E108),1,(12-MONTH(E108)+1)/12))) + (R108)*(IF((YEAR(D108)+2)&lt;YEAR(E108),0,IF((YEAR(D108)+2)&gt;YEAR(E108),1,(12-MONTH(E108)+1)/12))))-(IF(OR(N108="",N108&lt;=0),0,(O108/N108)*(IF(OR(N108="",N108&lt;=0),0,IF((YEAR(D108)+2)&lt;YEAR(E108),0,IF((YEAR(D108)+2)&gt;=YEAR(E108)+N108,0,IF((YEAR(D108)+2)=YEAR(E108),(12-MONTH(E108)+1)/12,1))))))))*TaxRate,0))-IF(2=0,O108,0))</f>
        <v/>
      </c>
      <c r="V108" s="29">
        <f>IF(A108="","",((K108)*(IF(M108="",L108,IFERROR(IF(INDEX(Variablen!$I:$AT, MATCH(M108, Variablen!$A:$A, 0), MATCH((YEAR(D108)+3), Variablen!$I$3:$AT$3, 0))="",L108,INDEX(Variablen!$I:$AT, MATCH(M108, Variablen!$A:$A, 0), MATCH((YEAR(D108)+3), Variablen!$I$3:$AT$3, 0))),L108)))*(IF((YEAR(D108)+3)&lt;YEAR(E108),0,IF((YEAR(D108)+3)&gt;YEAR(E108),1,(12-MONTH(E108)+1)/12))) + (Q108)*(IF((YEAR(D108)+3)&lt;YEAR(E108),0,IF((YEAR(D108)+3)&gt;YEAR(E108),1,(12-MONTH(E108)+1)/12))))-((P108)*(IF((YEAR(D108)+3)&lt;YEAR(E108),0,IF((YEAR(D108)+3)&gt;YEAR(E108),1,(12-MONTH(E108)+1)/12))) + (R108)*(IF((YEAR(D108)+3)&lt;YEAR(E108),0,IF((YEAR(D108)+3)&gt;YEAR(E108),1,(12-MONTH(E108)+1)/12))))-(IF((((K108)*(IF(M108="",L108,IFERROR(IF(INDEX(Variablen!$I:$AT, MATCH(M108, Variablen!$A:$A, 0), MATCH((YEAR(D108)+3), Variablen!$I$3:$AT$3, 0))="",L108,INDEX(Variablen!$I:$AT, MATCH(M108, Variablen!$A:$A, 0), MATCH((YEAR(D108)+3), Variablen!$I$3:$AT$3, 0))),L108)))*(IF((YEAR(D108)+3)&lt;YEAR(E108),0,IF((YEAR(D108)+3)&gt;YEAR(E108),1,(12-MONTH(E108)+1)/12))) + (Q108)*(IF((YEAR(D108)+3)&lt;YEAR(E108),0,IF((YEAR(D108)+3)&gt;YEAR(E108),1,(12-MONTH(E108)+1)/12))))-((P108)*(IF((YEAR(D108)+3)&lt;YEAR(E108),0,IF((YEAR(D108)+3)&gt;YEAR(E108),1,(12-MONTH(E108)+1)/12))) + (R108)*(IF((YEAR(D108)+3)&lt;YEAR(E108),0,IF((YEAR(D108)+3)&gt;YEAR(E108),1,(12-MONTH(E108)+1)/12))))-(IF(OR(N108="",N108&lt;=0),0,(O108/N108)*(IF(OR(N108="",N108&lt;=0),0,IF((YEAR(D108)+3)&lt;YEAR(E108),0,IF((YEAR(D108)+3)&gt;=YEAR(E108)+N108,0,IF((YEAR(D108)+3)=YEAR(E108),(12-MONTH(E108)+1)/12,1))))))))&gt;0,(((K108)*(IF(M108="",L108,IFERROR(IF(INDEX(Variablen!$I:$AT, MATCH(M108, Variablen!$A:$A, 0), MATCH((YEAR(D108)+3), Variablen!$I$3:$AT$3, 0))="",L108,INDEX(Variablen!$I:$AT, MATCH(M108, Variablen!$A:$A, 0), MATCH((YEAR(D108)+3), Variablen!$I$3:$AT$3, 0))),L108)))*(IF((YEAR(D108)+3)&lt;YEAR(E108),0,IF((YEAR(D108)+3)&gt;YEAR(E108),1,(12-MONTH(E108)+1)/12))) + (Q108)*(IF((YEAR(D108)+3)&lt;YEAR(E108),0,IF((YEAR(D108)+3)&gt;YEAR(E108),1,(12-MONTH(E108)+1)/12))))-((P108)*(IF((YEAR(D108)+3)&lt;YEAR(E108),0,IF((YEAR(D108)+3)&gt;YEAR(E108),1,(12-MONTH(E108)+1)/12))) + (R108)*(IF((YEAR(D108)+3)&lt;YEAR(E108),0,IF((YEAR(D108)+3)&gt;YEAR(E108),1,(12-MONTH(E108)+1)/12))))-(IF(OR(N108="",N108&lt;=0),0,(O108/N108)*(IF(OR(N108="",N108&lt;=0),0,IF((YEAR(D108)+3)&lt;YEAR(E108),0,IF((YEAR(D108)+3)&gt;=YEAR(E108)+N108,0,IF((YEAR(D108)+3)=YEAR(E108),(12-MONTH(E108)+1)/12,1))))))))*TaxRate,0))-IF(3=0,O108,0))</f>
        <v/>
      </c>
      <c r="W108" s="29">
        <f>IF(A108="","",((K108)*(IF(M108="",L108,IFERROR(IF(INDEX(Variablen!$I:$AT, MATCH(M108, Variablen!$A:$A, 0), MATCH((YEAR(D108)+4), Variablen!$I$3:$AT$3, 0))="",L108,INDEX(Variablen!$I:$AT, MATCH(M108, Variablen!$A:$A, 0), MATCH((YEAR(D108)+4), Variablen!$I$3:$AT$3, 0))),L108)))*(IF((YEAR(D108)+4)&lt;YEAR(E108),0,IF((YEAR(D108)+4)&gt;YEAR(E108),1,(12-MONTH(E108)+1)/12))) + (Q108)*(IF((YEAR(D108)+4)&lt;YEAR(E108),0,IF((YEAR(D108)+4)&gt;YEAR(E108),1,(12-MONTH(E108)+1)/12))))-((P108)*(IF((YEAR(D108)+4)&lt;YEAR(E108),0,IF((YEAR(D108)+4)&gt;YEAR(E108),1,(12-MONTH(E108)+1)/12))) + (R108)*(IF((YEAR(D108)+4)&lt;YEAR(E108),0,IF((YEAR(D108)+4)&gt;YEAR(E108),1,(12-MONTH(E108)+1)/12))))-(IF((((K108)*(IF(M108="",L108,IFERROR(IF(INDEX(Variablen!$I:$AT, MATCH(M108, Variablen!$A:$A, 0), MATCH((YEAR(D108)+4), Variablen!$I$3:$AT$3, 0))="",L108,INDEX(Variablen!$I:$AT, MATCH(M108, Variablen!$A:$A, 0), MATCH((YEAR(D108)+4), Variablen!$I$3:$AT$3, 0))),L108)))*(IF((YEAR(D108)+4)&lt;YEAR(E108),0,IF((YEAR(D108)+4)&gt;YEAR(E108),1,(12-MONTH(E108)+1)/12))) + (Q108)*(IF((YEAR(D108)+4)&lt;YEAR(E108),0,IF((YEAR(D108)+4)&gt;YEAR(E108),1,(12-MONTH(E108)+1)/12))))-((P108)*(IF((YEAR(D108)+4)&lt;YEAR(E108),0,IF((YEAR(D108)+4)&gt;YEAR(E108),1,(12-MONTH(E108)+1)/12))) + (R108)*(IF((YEAR(D108)+4)&lt;YEAR(E108),0,IF((YEAR(D108)+4)&gt;YEAR(E108),1,(12-MONTH(E108)+1)/12))))-(IF(OR(N108="",N108&lt;=0),0,(O108/N108)*(IF(OR(N108="",N108&lt;=0),0,IF((YEAR(D108)+4)&lt;YEAR(E108),0,IF((YEAR(D108)+4)&gt;=YEAR(E108)+N108,0,IF((YEAR(D108)+4)=YEAR(E108),(12-MONTH(E108)+1)/12,1))))))))&gt;0,(((K108)*(IF(M108="",L108,IFERROR(IF(INDEX(Variablen!$I:$AT, MATCH(M108, Variablen!$A:$A, 0), MATCH((YEAR(D108)+4), Variablen!$I$3:$AT$3, 0))="",L108,INDEX(Variablen!$I:$AT, MATCH(M108, Variablen!$A:$A, 0), MATCH((YEAR(D108)+4), Variablen!$I$3:$AT$3, 0))),L108)))*(IF((YEAR(D108)+4)&lt;YEAR(E108),0,IF((YEAR(D108)+4)&gt;YEAR(E108),1,(12-MONTH(E108)+1)/12))) + (Q108)*(IF((YEAR(D108)+4)&lt;YEAR(E108),0,IF((YEAR(D108)+4)&gt;YEAR(E108),1,(12-MONTH(E108)+1)/12))))-((P108)*(IF((YEAR(D108)+4)&lt;YEAR(E108),0,IF((YEAR(D108)+4)&gt;YEAR(E108),1,(12-MONTH(E108)+1)/12))) + (R108)*(IF((YEAR(D108)+4)&lt;YEAR(E108),0,IF((YEAR(D108)+4)&gt;YEAR(E108),1,(12-MONTH(E108)+1)/12))))-(IF(OR(N108="",N108&lt;=0),0,(O108/N108)*(IF(OR(N108="",N108&lt;=0),0,IF((YEAR(D108)+4)&lt;YEAR(E108),0,IF((YEAR(D108)+4)&gt;=YEAR(E108)+N108,0,IF((YEAR(D108)+4)=YEAR(E108),(12-MONTH(E108)+1)/12,1))))))))*TaxRate,0))-IF(4=0,O108,0))</f>
        <v/>
      </c>
      <c r="X108" s="29">
        <f>IF(A108="","",((K108)*(IF(M108="",L108,IFERROR(IF(INDEX(Variablen!$I:$AT, MATCH(M108, Variablen!$A:$A, 0), MATCH((YEAR(D108)+5), Variablen!$I$3:$AT$3, 0))="",L108,INDEX(Variablen!$I:$AT, MATCH(M108, Variablen!$A:$A, 0), MATCH((YEAR(D108)+5), Variablen!$I$3:$AT$3, 0))),L108)))*(IF((YEAR(D108)+5)&lt;YEAR(E108),0,IF((YEAR(D108)+5)&gt;YEAR(E108),1,(12-MONTH(E108)+1)/12))) + (Q108)*(IF((YEAR(D108)+5)&lt;YEAR(E108),0,IF((YEAR(D108)+5)&gt;YEAR(E108),1,(12-MONTH(E108)+1)/12))))-((P108)*(IF((YEAR(D108)+5)&lt;YEAR(E108),0,IF((YEAR(D108)+5)&gt;YEAR(E108),1,(12-MONTH(E108)+1)/12))) + (R108)*(IF((YEAR(D108)+5)&lt;YEAR(E108),0,IF((YEAR(D108)+5)&gt;YEAR(E108),1,(12-MONTH(E108)+1)/12))))-(IF((((K108)*(IF(M108="",L108,IFERROR(IF(INDEX(Variablen!$I:$AT, MATCH(M108, Variablen!$A:$A, 0), MATCH((YEAR(D108)+5), Variablen!$I$3:$AT$3, 0))="",L108,INDEX(Variablen!$I:$AT, MATCH(M108, Variablen!$A:$A, 0), MATCH((YEAR(D108)+5), Variablen!$I$3:$AT$3, 0))),L108)))*(IF((YEAR(D108)+5)&lt;YEAR(E108),0,IF((YEAR(D108)+5)&gt;YEAR(E108),1,(12-MONTH(E108)+1)/12))) + (Q108)*(IF((YEAR(D108)+5)&lt;YEAR(E108),0,IF((YEAR(D108)+5)&gt;YEAR(E108),1,(12-MONTH(E108)+1)/12))))-((P108)*(IF((YEAR(D108)+5)&lt;YEAR(E108),0,IF((YEAR(D108)+5)&gt;YEAR(E108),1,(12-MONTH(E108)+1)/12))) + (R108)*(IF((YEAR(D108)+5)&lt;YEAR(E108),0,IF((YEAR(D108)+5)&gt;YEAR(E108),1,(12-MONTH(E108)+1)/12))))-(IF(OR(N108="",N108&lt;=0),0,(O108/N108)*(IF(OR(N108="",N108&lt;=0),0,IF((YEAR(D108)+5)&lt;YEAR(E108),0,IF((YEAR(D108)+5)&gt;=YEAR(E108)+N108,0,IF((YEAR(D108)+5)=YEAR(E108),(12-MONTH(E108)+1)/12,1))))))))&gt;0,(((K108)*(IF(M108="",L108,IFERROR(IF(INDEX(Variablen!$I:$AT, MATCH(M108, Variablen!$A:$A, 0), MATCH((YEAR(D108)+5), Variablen!$I$3:$AT$3, 0))="",L108,INDEX(Variablen!$I:$AT, MATCH(M108, Variablen!$A:$A, 0), MATCH((YEAR(D108)+5), Variablen!$I$3:$AT$3, 0))),L108)))*(IF((YEAR(D108)+5)&lt;YEAR(E108),0,IF((YEAR(D108)+5)&gt;YEAR(E108),1,(12-MONTH(E108)+1)/12))) + (Q108)*(IF((YEAR(D108)+5)&lt;YEAR(E108),0,IF((YEAR(D108)+5)&gt;YEAR(E108),1,(12-MONTH(E108)+1)/12))))-((P108)*(IF((YEAR(D108)+5)&lt;YEAR(E108),0,IF((YEAR(D108)+5)&gt;YEAR(E108),1,(12-MONTH(E108)+1)/12))) + (R108)*(IF((YEAR(D108)+5)&lt;YEAR(E108),0,IF((YEAR(D108)+5)&gt;YEAR(E108),1,(12-MONTH(E108)+1)/12))))-(IF(OR(N108="",N108&lt;=0),0,(O108/N108)*(IF(OR(N108="",N108&lt;=0),0,IF((YEAR(D108)+5)&lt;YEAR(E108),0,IF((YEAR(D108)+5)&gt;=YEAR(E108)+N108,0,IF((YEAR(D108)+5)=YEAR(E108),(12-MONTH(E108)+1)/12,1))))))))*TaxRate,0))-IF(5=0,O108,0))</f>
        <v/>
      </c>
      <c r="Y108" s="29">
        <f>IF(A108="","",((K108)*(IF(M108="",L108,IFERROR(IF(INDEX(Variablen!$I:$AT, MATCH(M108, Variablen!$A:$A, 0), MATCH((YEAR(D108)+6), Variablen!$I$3:$AT$3, 0))="",L108,INDEX(Variablen!$I:$AT, MATCH(M108, Variablen!$A:$A, 0), MATCH((YEAR(D108)+6), Variablen!$I$3:$AT$3, 0))),L108)))*(IF((YEAR(D108)+6)&lt;YEAR(E108),0,IF((YEAR(D108)+6)&gt;YEAR(E108),1,(12-MONTH(E108)+1)/12))) + (Q108)*(IF((YEAR(D108)+6)&lt;YEAR(E108),0,IF((YEAR(D108)+6)&gt;YEAR(E108),1,(12-MONTH(E108)+1)/12))))-((P108)*(IF((YEAR(D108)+6)&lt;YEAR(E108),0,IF((YEAR(D108)+6)&gt;YEAR(E108),1,(12-MONTH(E108)+1)/12))) + (R108)*(IF((YEAR(D108)+6)&lt;YEAR(E108),0,IF((YEAR(D108)+6)&gt;YEAR(E108),1,(12-MONTH(E108)+1)/12))))-(IF((((K108)*(IF(M108="",L108,IFERROR(IF(INDEX(Variablen!$I:$AT, MATCH(M108, Variablen!$A:$A, 0), MATCH((YEAR(D108)+6), Variablen!$I$3:$AT$3, 0))="",L108,INDEX(Variablen!$I:$AT, MATCH(M108, Variablen!$A:$A, 0), MATCH((YEAR(D108)+6), Variablen!$I$3:$AT$3, 0))),L108)))*(IF((YEAR(D108)+6)&lt;YEAR(E108),0,IF((YEAR(D108)+6)&gt;YEAR(E108),1,(12-MONTH(E108)+1)/12))) + (Q108)*(IF((YEAR(D108)+6)&lt;YEAR(E108),0,IF((YEAR(D108)+6)&gt;YEAR(E108),1,(12-MONTH(E108)+1)/12))))-((P108)*(IF((YEAR(D108)+6)&lt;YEAR(E108),0,IF((YEAR(D108)+6)&gt;YEAR(E108),1,(12-MONTH(E108)+1)/12))) + (R108)*(IF((YEAR(D108)+6)&lt;YEAR(E108),0,IF((YEAR(D108)+6)&gt;YEAR(E108),1,(12-MONTH(E108)+1)/12))))-(IF(OR(N108="",N108&lt;=0),0,(O108/N108)*(IF(OR(N108="",N108&lt;=0),0,IF((YEAR(D108)+6)&lt;YEAR(E108),0,IF((YEAR(D108)+6)&gt;=YEAR(E108)+N108,0,IF((YEAR(D108)+6)=YEAR(E108),(12-MONTH(E108)+1)/12,1))))))))&gt;0,(((K108)*(IF(M108="",L108,IFERROR(IF(INDEX(Variablen!$I:$AT, MATCH(M108, Variablen!$A:$A, 0), MATCH((YEAR(D108)+6), Variablen!$I$3:$AT$3, 0))="",L108,INDEX(Variablen!$I:$AT, MATCH(M108, Variablen!$A:$A, 0), MATCH((YEAR(D108)+6), Variablen!$I$3:$AT$3, 0))),L108)))*(IF((YEAR(D108)+6)&lt;YEAR(E108),0,IF((YEAR(D108)+6)&gt;YEAR(E108),1,(12-MONTH(E108)+1)/12))) + (Q108)*(IF((YEAR(D108)+6)&lt;YEAR(E108),0,IF((YEAR(D108)+6)&gt;YEAR(E108),1,(12-MONTH(E108)+1)/12))))-((P108)*(IF((YEAR(D108)+6)&lt;YEAR(E108),0,IF((YEAR(D108)+6)&gt;YEAR(E108),1,(12-MONTH(E108)+1)/12))) + (R108)*(IF((YEAR(D108)+6)&lt;YEAR(E108),0,IF((YEAR(D108)+6)&gt;YEAR(E108),1,(12-MONTH(E108)+1)/12))))-(IF(OR(N108="",N108&lt;=0),0,(O108/N108)*(IF(OR(N108="",N108&lt;=0),0,IF((YEAR(D108)+6)&lt;YEAR(E108),0,IF((YEAR(D108)+6)&gt;=YEAR(E108)+N108,0,IF((YEAR(D108)+6)=YEAR(E108),(12-MONTH(E108)+1)/12,1))))))))*TaxRate,0))-IF(6=0,O108,0))</f>
        <v/>
      </c>
      <c r="Z108" s="29">
        <f>IF(A108="","",((K108)*(IF(M108="",L108,IFERROR(IF(INDEX(Variablen!$I:$AT, MATCH(M108, Variablen!$A:$A, 0), MATCH((YEAR(D108)+7), Variablen!$I$3:$AT$3, 0))="",L108,INDEX(Variablen!$I:$AT, MATCH(M108, Variablen!$A:$A, 0), MATCH((YEAR(D108)+7), Variablen!$I$3:$AT$3, 0))),L108)))*(IF((YEAR(D108)+7)&lt;YEAR(E108),0,IF((YEAR(D108)+7)&gt;YEAR(E108),1,(12-MONTH(E108)+1)/12))) + (Q108)*(IF((YEAR(D108)+7)&lt;YEAR(E108),0,IF((YEAR(D108)+7)&gt;YEAR(E108),1,(12-MONTH(E108)+1)/12))))-((P108)*(IF((YEAR(D108)+7)&lt;YEAR(E108),0,IF((YEAR(D108)+7)&gt;YEAR(E108),1,(12-MONTH(E108)+1)/12))) + (R108)*(IF((YEAR(D108)+7)&lt;YEAR(E108),0,IF((YEAR(D108)+7)&gt;YEAR(E108),1,(12-MONTH(E108)+1)/12))))-(IF((((K108)*(IF(M108="",L108,IFERROR(IF(INDEX(Variablen!$I:$AT, MATCH(M108, Variablen!$A:$A, 0), MATCH((YEAR(D108)+7), Variablen!$I$3:$AT$3, 0))="",L108,INDEX(Variablen!$I:$AT, MATCH(M108, Variablen!$A:$A, 0), MATCH((YEAR(D108)+7), Variablen!$I$3:$AT$3, 0))),L108)))*(IF((YEAR(D108)+7)&lt;YEAR(E108),0,IF((YEAR(D108)+7)&gt;YEAR(E108),1,(12-MONTH(E108)+1)/12))) + (Q108)*(IF((YEAR(D108)+7)&lt;YEAR(E108),0,IF((YEAR(D108)+7)&gt;YEAR(E108),1,(12-MONTH(E108)+1)/12))))-((P108)*(IF((YEAR(D108)+7)&lt;YEAR(E108),0,IF((YEAR(D108)+7)&gt;YEAR(E108),1,(12-MONTH(E108)+1)/12))) + (R108)*(IF((YEAR(D108)+7)&lt;YEAR(E108),0,IF((YEAR(D108)+7)&gt;YEAR(E108),1,(12-MONTH(E108)+1)/12))))-(IF(OR(N108="",N108&lt;=0),0,(O108/N108)*(IF(OR(N108="",N108&lt;=0),0,IF((YEAR(D108)+7)&lt;YEAR(E108),0,IF((YEAR(D108)+7)&gt;=YEAR(E108)+N108,0,IF((YEAR(D108)+7)=YEAR(E108),(12-MONTH(E108)+1)/12,1))))))))&gt;0,(((K108)*(IF(M108="",L108,IFERROR(IF(INDEX(Variablen!$I:$AT, MATCH(M108, Variablen!$A:$A, 0), MATCH((YEAR(D108)+7), Variablen!$I$3:$AT$3, 0))="",L108,INDEX(Variablen!$I:$AT, MATCH(M108, Variablen!$A:$A, 0), MATCH((YEAR(D108)+7), Variablen!$I$3:$AT$3, 0))),L108)))*(IF((YEAR(D108)+7)&lt;YEAR(E108),0,IF((YEAR(D108)+7)&gt;YEAR(E108),1,(12-MONTH(E108)+1)/12))) + (Q108)*(IF((YEAR(D108)+7)&lt;YEAR(E108),0,IF((YEAR(D108)+7)&gt;YEAR(E108),1,(12-MONTH(E108)+1)/12))))-((P108)*(IF((YEAR(D108)+7)&lt;YEAR(E108),0,IF((YEAR(D108)+7)&gt;YEAR(E108),1,(12-MONTH(E108)+1)/12))) + (R108)*(IF((YEAR(D108)+7)&lt;YEAR(E108),0,IF((YEAR(D108)+7)&gt;YEAR(E108),1,(12-MONTH(E108)+1)/12))))-(IF(OR(N108="",N108&lt;=0),0,(O108/N108)*(IF(OR(N108="",N108&lt;=0),0,IF((YEAR(D108)+7)&lt;YEAR(E108),0,IF((YEAR(D108)+7)&gt;=YEAR(E108)+N108,0,IF((YEAR(D108)+7)=YEAR(E108),(12-MONTH(E108)+1)/12,1))))))))*TaxRate,0))-IF(7=0,O108,0))</f>
        <v/>
      </c>
      <c r="AA108" s="29">
        <f>IF(A108="","",((K108)*(IF(M108="",L108,IFERROR(IF(INDEX(Variablen!$I:$AT, MATCH(M108, Variablen!$A:$A, 0), MATCH((YEAR(D108)+8), Variablen!$I$3:$AT$3, 0))="",L108,INDEX(Variablen!$I:$AT, MATCH(M108, Variablen!$A:$A, 0), MATCH((YEAR(D108)+8), Variablen!$I$3:$AT$3, 0))),L108)))*(IF((YEAR(D108)+8)&lt;YEAR(E108),0,IF((YEAR(D108)+8)&gt;YEAR(E108),1,(12-MONTH(E108)+1)/12))) + (Q108)*(IF((YEAR(D108)+8)&lt;YEAR(E108),0,IF((YEAR(D108)+8)&gt;YEAR(E108),1,(12-MONTH(E108)+1)/12))))-((P108)*(IF((YEAR(D108)+8)&lt;YEAR(E108),0,IF((YEAR(D108)+8)&gt;YEAR(E108),1,(12-MONTH(E108)+1)/12))) + (R108)*(IF((YEAR(D108)+8)&lt;YEAR(E108),0,IF((YEAR(D108)+8)&gt;YEAR(E108),1,(12-MONTH(E108)+1)/12))))-(IF((((K108)*(IF(M108="",L108,IFERROR(IF(INDEX(Variablen!$I:$AT, MATCH(M108, Variablen!$A:$A, 0), MATCH((YEAR(D108)+8), Variablen!$I$3:$AT$3, 0))="",L108,INDEX(Variablen!$I:$AT, MATCH(M108, Variablen!$A:$A, 0), MATCH((YEAR(D108)+8), Variablen!$I$3:$AT$3, 0))),L108)))*(IF((YEAR(D108)+8)&lt;YEAR(E108),0,IF((YEAR(D108)+8)&gt;YEAR(E108),1,(12-MONTH(E108)+1)/12))) + (Q108)*(IF((YEAR(D108)+8)&lt;YEAR(E108),0,IF((YEAR(D108)+8)&gt;YEAR(E108),1,(12-MONTH(E108)+1)/12))))-((P108)*(IF((YEAR(D108)+8)&lt;YEAR(E108),0,IF((YEAR(D108)+8)&gt;YEAR(E108),1,(12-MONTH(E108)+1)/12))) + (R108)*(IF((YEAR(D108)+8)&lt;YEAR(E108),0,IF((YEAR(D108)+8)&gt;YEAR(E108),1,(12-MONTH(E108)+1)/12))))-(IF(OR(N108="",N108&lt;=0),0,(O108/N108)*(IF(OR(N108="",N108&lt;=0),0,IF((YEAR(D108)+8)&lt;YEAR(E108),0,IF((YEAR(D108)+8)&gt;=YEAR(E108)+N108,0,IF((YEAR(D108)+8)=YEAR(E108),(12-MONTH(E108)+1)/12,1))))))))&gt;0,(((K108)*(IF(M108="",L108,IFERROR(IF(INDEX(Variablen!$I:$AT, MATCH(M108, Variablen!$A:$A, 0), MATCH((YEAR(D108)+8), Variablen!$I$3:$AT$3, 0))="",L108,INDEX(Variablen!$I:$AT, MATCH(M108, Variablen!$A:$A, 0), MATCH((YEAR(D108)+8), Variablen!$I$3:$AT$3, 0))),L108)))*(IF((YEAR(D108)+8)&lt;YEAR(E108),0,IF((YEAR(D108)+8)&gt;YEAR(E108),1,(12-MONTH(E108)+1)/12))) + (Q108)*(IF((YEAR(D108)+8)&lt;YEAR(E108),0,IF((YEAR(D108)+8)&gt;YEAR(E108),1,(12-MONTH(E108)+1)/12))))-((P108)*(IF((YEAR(D108)+8)&lt;YEAR(E108),0,IF((YEAR(D108)+8)&gt;YEAR(E108),1,(12-MONTH(E108)+1)/12))) + (R108)*(IF((YEAR(D108)+8)&lt;YEAR(E108),0,IF((YEAR(D108)+8)&gt;YEAR(E108),1,(12-MONTH(E108)+1)/12))))-(IF(OR(N108="",N108&lt;=0),0,(O108/N108)*(IF(OR(N108="",N108&lt;=0),0,IF((YEAR(D108)+8)&lt;YEAR(E108),0,IF((YEAR(D108)+8)&gt;=YEAR(E108)+N108,0,IF((YEAR(D108)+8)=YEAR(E108),(12-MONTH(E108)+1)/12,1))))))))*TaxRate,0))-IF(8=0,O108,0))</f>
        <v/>
      </c>
      <c r="AB108" s="29">
        <f>IF(A108="","",((K108)*(IF(M108="",L108,IFERROR(IF(INDEX(Variablen!$I:$AT, MATCH(M108, Variablen!$A:$A, 0), MATCH((YEAR(D108)+9), Variablen!$I$3:$AT$3, 0))="",L108,INDEX(Variablen!$I:$AT, MATCH(M108, Variablen!$A:$A, 0), MATCH((YEAR(D108)+9), Variablen!$I$3:$AT$3, 0))),L108)))*(IF((YEAR(D108)+9)&lt;YEAR(E108),0,IF((YEAR(D108)+9)&gt;YEAR(E108),1,(12-MONTH(E108)+1)/12))) + (Q108)*(IF((YEAR(D108)+9)&lt;YEAR(E108),0,IF((YEAR(D108)+9)&gt;YEAR(E108),1,(12-MONTH(E108)+1)/12))))-((P108)*(IF((YEAR(D108)+9)&lt;YEAR(E108),0,IF((YEAR(D108)+9)&gt;YEAR(E108),1,(12-MONTH(E108)+1)/12))) + (R108)*(IF((YEAR(D108)+9)&lt;YEAR(E108),0,IF((YEAR(D108)+9)&gt;YEAR(E108),1,(12-MONTH(E108)+1)/12))))-(IF((((K108)*(IF(M108="",L108,IFERROR(IF(INDEX(Variablen!$I:$AT, MATCH(M108, Variablen!$A:$A, 0), MATCH((YEAR(D108)+9), Variablen!$I$3:$AT$3, 0))="",L108,INDEX(Variablen!$I:$AT, MATCH(M108, Variablen!$A:$A, 0), MATCH((YEAR(D108)+9), Variablen!$I$3:$AT$3, 0))),L108)))*(IF((YEAR(D108)+9)&lt;YEAR(E108),0,IF((YEAR(D108)+9)&gt;YEAR(E108),1,(12-MONTH(E108)+1)/12))) + (Q108)*(IF((YEAR(D108)+9)&lt;YEAR(E108),0,IF((YEAR(D108)+9)&gt;YEAR(E108),1,(12-MONTH(E108)+1)/12))))-((P108)*(IF((YEAR(D108)+9)&lt;YEAR(E108),0,IF((YEAR(D108)+9)&gt;YEAR(E108),1,(12-MONTH(E108)+1)/12))) + (R108)*(IF((YEAR(D108)+9)&lt;YEAR(E108),0,IF((YEAR(D108)+9)&gt;YEAR(E108),1,(12-MONTH(E108)+1)/12))))-(IF(OR(N108="",N108&lt;=0),0,(O108/N108)*(IF(OR(N108="",N108&lt;=0),0,IF((YEAR(D108)+9)&lt;YEAR(E108),0,IF((YEAR(D108)+9)&gt;=YEAR(E108)+N108,0,IF((YEAR(D108)+9)=YEAR(E108),(12-MONTH(E108)+1)/12,1))))))))&gt;0,(((K108)*(IF(M108="",L108,IFERROR(IF(INDEX(Variablen!$I:$AT, MATCH(M108, Variablen!$A:$A, 0), MATCH((YEAR(D108)+9), Variablen!$I$3:$AT$3, 0))="",L108,INDEX(Variablen!$I:$AT, MATCH(M108, Variablen!$A:$A, 0), MATCH((YEAR(D108)+9), Variablen!$I$3:$AT$3, 0))),L108)))*(IF((YEAR(D108)+9)&lt;YEAR(E108),0,IF((YEAR(D108)+9)&gt;YEAR(E108),1,(12-MONTH(E108)+1)/12))) + (Q108)*(IF((YEAR(D108)+9)&lt;YEAR(E108),0,IF((YEAR(D108)+9)&gt;YEAR(E108),1,(12-MONTH(E108)+1)/12))))-((P108)*(IF((YEAR(D108)+9)&lt;YEAR(E108),0,IF((YEAR(D108)+9)&gt;YEAR(E108),1,(12-MONTH(E108)+1)/12))) + (R108)*(IF((YEAR(D108)+9)&lt;YEAR(E108),0,IF((YEAR(D108)+9)&gt;YEAR(E108),1,(12-MONTH(E108)+1)/12))))-(IF(OR(N108="",N108&lt;=0),0,(O108/N108)*(IF(OR(N108="",N108&lt;=0),0,IF((YEAR(D108)+9)&lt;YEAR(E108),0,IF((YEAR(D108)+9)&gt;=YEAR(E108)+N108,0,IF((YEAR(D108)+9)=YEAR(E108),(12-MONTH(E108)+1)/12,1))))))))*TaxRate,0))-IF(9=0,O108,0))</f>
        <v/>
      </c>
      <c r="AC108" s="29">
        <f>IF(A108="","",((K108)*(IF(M108="",L108,IFERROR(IF(INDEX(Variablen!$I:$AT, MATCH(M108, Variablen!$A:$A, 0), MATCH((YEAR(D108)+10), Variablen!$I$3:$AT$3, 0))="",L108,INDEX(Variablen!$I:$AT, MATCH(M108, Variablen!$A:$A, 0), MATCH((YEAR(D108)+10), Variablen!$I$3:$AT$3, 0))),L108)))*(IF((YEAR(D108)+10)&lt;YEAR(E108),0,IF((YEAR(D108)+10)&gt;YEAR(E108),1,(12-MONTH(E108)+1)/12))) + (Q108)*(IF((YEAR(D108)+10)&lt;YEAR(E108),0,IF((YEAR(D108)+10)&gt;YEAR(E108),1,(12-MONTH(E108)+1)/12))))-((P108)*(IF((YEAR(D108)+10)&lt;YEAR(E108),0,IF((YEAR(D108)+10)&gt;YEAR(E108),1,(12-MONTH(E108)+1)/12))) + (R108)*(IF((YEAR(D108)+10)&lt;YEAR(E108),0,IF((YEAR(D108)+10)&gt;YEAR(E108),1,(12-MONTH(E108)+1)/12))))-(IF((((K108)*(IF(M108="",L108,IFERROR(IF(INDEX(Variablen!$I:$AT, MATCH(M108, Variablen!$A:$A, 0), MATCH((YEAR(D108)+10), Variablen!$I$3:$AT$3, 0))="",L108,INDEX(Variablen!$I:$AT, MATCH(M108, Variablen!$A:$A, 0), MATCH((YEAR(D108)+10), Variablen!$I$3:$AT$3, 0))),L108)))*(IF((YEAR(D108)+10)&lt;YEAR(E108),0,IF((YEAR(D108)+10)&gt;YEAR(E108),1,(12-MONTH(E108)+1)/12))) + (Q108)*(IF((YEAR(D108)+10)&lt;YEAR(E108),0,IF((YEAR(D108)+10)&gt;YEAR(E108),1,(12-MONTH(E108)+1)/12))))-((P108)*(IF((YEAR(D108)+10)&lt;YEAR(E108),0,IF((YEAR(D108)+10)&gt;YEAR(E108),1,(12-MONTH(E108)+1)/12))) + (R108)*(IF((YEAR(D108)+10)&lt;YEAR(E108),0,IF((YEAR(D108)+10)&gt;YEAR(E108),1,(12-MONTH(E108)+1)/12))))-(IF(OR(N108="",N108&lt;=0),0,(O108/N108)*(IF(OR(N108="",N108&lt;=0),0,IF((YEAR(D108)+10)&lt;YEAR(E108),0,IF((YEAR(D108)+10)&gt;=YEAR(E108)+N108,0,IF((YEAR(D108)+10)=YEAR(E108),(12-MONTH(E108)+1)/12,1))))))))&gt;0,(((K108)*(IF(M108="",L108,IFERROR(IF(INDEX(Variablen!$I:$AT, MATCH(M108, Variablen!$A:$A, 0), MATCH((YEAR(D108)+10), Variablen!$I$3:$AT$3, 0))="",L108,INDEX(Variablen!$I:$AT, MATCH(M108, Variablen!$A:$A, 0), MATCH((YEAR(D108)+10), Variablen!$I$3:$AT$3, 0))),L108)))*(IF((YEAR(D108)+10)&lt;YEAR(E108),0,IF((YEAR(D108)+10)&gt;YEAR(E108),1,(12-MONTH(E108)+1)/12))) + (Q108)*(IF((YEAR(D108)+10)&lt;YEAR(E108),0,IF((YEAR(D108)+10)&gt;YEAR(E108),1,(12-MONTH(E108)+1)/12))))-((P108)*(IF((YEAR(D108)+10)&lt;YEAR(E108),0,IF((YEAR(D108)+10)&gt;YEAR(E108),1,(12-MONTH(E108)+1)/12))) + (R108)*(IF((YEAR(D108)+10)&lt;YEAR(E108),0,IF((YEAR(D108)+10)&gt;YEAR(E108),1,(12-MONTH(E108)+1)/12))))-(IF(OR(N108="",N108&lt;=0),0,(O108/N108)*(IF(OR(N108="",N108&lt;=0),0,IF((YEAR(D108)+10)&lt;YEAR(E108),0,IF((YEAR(D108)+10)&gt;=YEAR(E108)+N108,0,IF((YEAR(D108)+10)=YEAR(E108),(12-MONTH(E108)+1)/12,1))))))))*TaxRate,0))-IF(10=0,O108,0))</f>
        <v/>
      </c>
      <c r="AD108" s="29">
        <f>IF(A108="","",((K108)*(IF(M108="",L108,IFERROR(IF(INDEX(Variablen!$I:$AT, MATCH(M108, Variablen!$A:$A, 0), MATCH((YEAR(D108)+11), Variablen!$I$3:$AT$3, 0))="",L108,INDEX(Variablen!$I:$AT, MATCH(M108, Variablen!$A:$A, 0), MATCH((YEAR(D108)+11), Variablen!$I$3:$AT$3, 0))),L108)))*(IF((YEAR(D108)+11)&lt;YEAR(E108),0,IF((YEAR(D108)+11)&gt;YEAR(E108),1,(12-MONTH(E108)+1)/12))) + (Q108)*(IF((YEAR(D108)+11)&lt;YEAR(E108),0,IF((YEAR(D108)+11)&gt;YEAR(E108),1,(12-MONTH(E108)+1)/12))))-((P108)*(IF((YEAR(D108)+11)&lt;YEAR(E108),0,IF((YEAR(D108)+11)&gt;YEAR(E108),1,(12-MONTH(E108)+1)/12))) + (R108)*(IF((YEAR(D108)+11)&lt;YEAR(E108),0,IF((YEAR(D108)+11)&gt;YEAR(E108),1,(12-MONTH(E108)+1)/12))))-(IF((((K108)*(IF(M108="",L108,IFERROR(IF(INDEX(Variablen!$I:$AT, MATCH(M108, Variablen!$A:$A, 0), MATCH((YEAR(D108)+11), Variablen!$I$3:$AT$3, 0))="",L108,INDEX(Variablen!$I:$AT, MATCH(M108, Variablen!$A:$A, 0), MATCH((YEAR(D108)+11), Variablen!$I$3:$AT$3, 0))),L108)))*(IF((YEAR(D108)+11)&lt;YEAR(E108),0,IF((YEAR(D108)+11)&gt;YEAR(E108),1,(12-MONTH(E108)+1)/12))) + (Q108)*(IF((YEAR(D108)+11)&lt;YEAR(E108),0,IF((YEAR(D108)+11)&gt;YEAR(E108),1,(12-MONTH(E108)+1)/12))))-((P108)*(IF((YEAR(D108)+11)&lt;YEAR(E108),0,IF((YEAR(D108)+11)&gt;YEAR(E108),1,(12-MONTH(E108)+1)/12))) + (R108)*(IF((YEAR(D108)+11)&lt;YEAR(E108),0,IF((YEAR(D108)+11)&gt;YEAR(E108),1,(12-MONTH(E108)+1)/12))))-(IF(OR(N108="",N108&lt;=0),0,(O108/N108)*(IF(OR(N108="",N108&lt;=0),0,IF((YEAR(D108)+11)&lt;YEAR(E108),0,IF((YEAR(D108)+11)&gt;=YEAR(E108)+N108,0,IF((YEAR(D108)+11)=YEAR(E108),(12-MONTH(E108)+1)/12,1))))))))&gt;0,(((K108)*(IF(M108="",L108,IFERROR(IF(INDEX(Variablen!$I:$AT, MATCH(M108, Variablen!$A:$A, 0), MATCH((YEAR(D108)+11), Variablen!$I$3:$AT$3, 0))="",L108,INDEX(Variablen!$I:$AT, MATCH(M108, Variablen!$A:$A, 0), MATCH((YEAR(D108)+11), Variablen!$I$3:$AT$3, 0))),L108)))*(IF((YEAR(D108)+11)&lt;YEAR(E108),0,IF((YEAR(D108)+11)&gt;YEAR(E108),1,(12-MONTH(E108)+1)/12))) + (Q108)*(IF((YEAR(D108)+11)&lt;YEAR(E108),0,IF((YEAR(D108)+11)&gt;YEAR(E108),1,(12-MONTH(E108)+1)/12))))-((P108)*(IF((YEAR(D108)+11)&lt;YEAR(E108),0,IF((YEAR(D108)+11)&gt;YEAR(E108),1,(12-MONTH(E108)+1)/12))) + (R108)*(IF((YEAR(D108)+11)&lt;YEAR(E108),0,IF((YEAR(D108)+11)&gt;YEAR(E108),1,(12-MONTH(E108)+1)/12))))-(IF(OR(N108="",N108&lt;=0),0,(O108/N108)*(IF(OR(N108="",N108&lt;=0),0,IF((YEAR(D108)+11)&lt;YEAR(E108),0,IF((YEAR(D108)+11)&gt;=YEAR(E108)+N108,0,IF((YEAR(D108)+11)=YEAR(E108),(12-MONTH(E108)+1)/12,1))))))))*TaxRate,0))-IF(11=0,O108,0))</f>
        <v/>
      </c>
      <c r="AE108" s="29">
        <f>IF(A108="","",((K108)*(IF(M108="",L108,IFERROR(IF(INDEX(Variablen!$I:$AT, MATCH(M108, Variablen!$A:$A, 0), MATCH((YEAR(D108)+12), Variablen!$I$3:$AT$3, 0))="",L108,INDEX(Variablen!$I:$AT, MATCH(M108, Variablen!$A:$A, 0), MATCH((YEAR(D108)+12), Variablen!$I$3:$AT$3, 0))),L108)))*(IF((YEAR(D108)+12)&lt;YEAR(E108),0,IF((YEAR(D108)+12)&gt;YEAR(E108),1,(12-MONTH(E108)+1)/12))) + (Q108)*(IF((YEAR(D108)+12)&lt;YEAR(E108),0,IF((YEAR(D108)+12)&gt;YEAR(E108),1,(12-MONTH(E108)+1)/12))))-((P108)*(IF((YEAR(D108)+12)&lt;YEAR(E108),0,IF((YEAR(D108)+12)&gt;YEAR(E108),1,(12-MONTH(E108)+1)/12))) + (R108)*(IF((YEAR(D108)+12)&lt;YEAR(E108),0,IF((YEAR(D108)+12)&gt;YEAR(E108),1,(12-MONTH(E108)+1)/12))))-(IF((((K108)*(IF(M108="",L108,IFERROR(IF(INDEX(Variablen!$I:$AT, MATCH(M108, Variablen!$A:$A, 0), MATCH((YEAR(D108)+12), Variablen!$I$3:$AT$3, 0))="",L108,INDEX(Variablen!$I:$AT, MATCH(M108, Variablen!$A:$A, 0), MATCH((YEAR(D108)+12), Variablen!$I$3:$AT$3, 0))),L108)))*(IF((YEAR(D108)+12)&lt;YEAR(E108),0,IF((YEAR(D108)+12)&gt;YEAR(E108),1,(12-MONTH(E108)+1)/12))) + (Q108)*(IF((YEAR(D108)+12)&lt;YEAR(E108),0,IF((YEAR(D108)+12)&gt;YEAR(E108),1,(12-MONTH(E108)+1)/12))))-((P108)*(IF((YEAR(D108)+12)&lt;YEAR(E108),0,IF((YEAR(D108)+12)&gt;YEAR(E108),1,(12-MONTH(E108)+1)/12))) + (R108)*(IF((YEAR(D108)+12)&lt;YEAR(E108),0,IF((YEAR(D108)+12)&gt;YEAR(E108),1,(12-MONTH(E108)+1)/12))))-(IF(OR(N108="",N108&lt;=0),0,(O108/N108)*(IF(OR(N108="",N108&lt;=0),0,IF((YEAR(D108)+12)&lt;YEAR(E108),0,IF((YEAR(D108)+12)&gt;=YEAR(E108)+N108,0,IF((YEAR(D108)+12)=YEAR(E108),(12-MONTH(E108)+1)/12,1))))))))&gt;0,(((K108)*(IF(M108="",L108,IFERROR(IF(INDEX(Variablen!$I:$AT, MATCH(M108, Variablen!$A:$A, 0), MATCH((YEAR(D108)+12), Variablen!$I$3:$AT$3, 0))="",L108,INDEX(Variablen!$I:$AT, MATCH(M108, Variablen!$A:$A, 0), MATCH((YEAR(D108)+12), Variablen!$I$3:$AT$3, 0))),L108)))*(IF((YEAR(D108)+12)&lt;YEAR(E108),0,IF((YEAR(D108)+12)&gt;YEAR(E108),1,(12-MONTH(E108)+1)/12))) + (Q108)*(IF((YEAR(D108)+12)&lt;YEAR(E108),0,IF((YEAR(D108)+12)&gt;YEAR(E108),1,(12-MONTH(E108)+1)/12))))-((P108)*(IF((YEAR(D108)+12)&lt;YEAR(E108),0,IF((YEAR(D108)+12)&gt;YEAR(E108),1,(12-MONTH(E108)+1)/12))) + (R108)*(IF((YEAR(D108)+12)&lt;YEAR(E108),0,IF((YEAR(D108)+12)&gt;YEAR(E108),1,(12-MONTH(E108)+1)/12))))-(IF(OR(N108="",N108&lt;=0),0,(O108/N108)*(IF(OR(N108="",N108&lt;=0),0,IF((YEAR(D108)+12)&lt;YEAR(E108),0,IF((YEAR(D108)+12)&gt;=YEAR(E108)+N108,0,IF((YEAR(D108)+12)=YEAR(E108),(12-MONTH(E108)+1)/12,1))))))))*TaxRate,0))-IF(12=0,O108,0))</f>
        <v/>
      </c>
      <c r="AF108" s="29">
        <f>IF(A108="","",((K108)*(IF(M108="",L108,IFERROR(IF(INDEX(Variablen!$I:$AT, MATCH(M108, Variablen!$A:$A, 0), MATCH((YEAR(D108)+13), Variablen!$I$3:$AT$3, 0))="",L108,INDEX(Variablen!$I:$AT, MATCH(M108, Variablen!$A:$A, 0), MATCH((YEAR(D108)+13), Variablen!$I$3:$AT$3, 0))),L108)))*(IF((YEAR(D108)+13)&lt;YEAR(E108),0,IF((YEAR(D108)+13)&gt;YEAR(E108),1,(12-MONTH(E108)+1)/12))) + (Q108)*(IF((YEAR(D108)+13)&lt;YEAR(E108),0,IF((YEAR(D108)+13)&gt;YEAR(E108),1,(12-MONTH(E108)+1)/12))))-((P108)*(IF((YEAR(D108)+13)&lt;YEAR(E108),0,IF((YEAR(D108)+13)&gt;YEAR(E108),1,(12-MONTH(E108)+1)/12))) + (R108)*(IF((YEAR(D108)+13)&lt;YEAR(E108),0,IF((YEAR(D108)+13)&gt;YEAR(E108),1,(12-MONTH(E108)+1)/12))))-(IF((((K108)*(IF(M108="",L108,IFERROR(IF(INDEX(Variablen!$I:$AT, MATCH(M108, Variablen!$A:$A, 0), MATCH((YEAR(D108)+13), Variablen!$I$3:$AT$3, 0))="",L108,INDEX(Variablen!$I:$AT, MATCH(M108, Variablen!$A:$A, 0), MATCH((YEAR(D108)+13), Variablen!$I$3:$AT$3, 0))),L108)))*(IF((YEAR(D108)+13)&lt;YEAR(E108),0,IF((YEAR(D108)+13)&gt;YEAR(E108),1,(12-MONTH(E108)+1)/12))) + (Q108)*(IF((YEAR(D108)+13)&lt;YEAR(E108),0,IF((YEAR(D108)+13)&gt;YEAR(E108),1,(12-MONTH(E108)+1)/12))))-((P108)*(IF((YEAR(D108)+13)&lt;YEAR(E108),0,IF((YEAR(D108)+13)&gt;YEAR(E108),1,(12-MONTH(E108)+1)/12))) + (R108)*(IF((YEAR(D108)+13)&lt;YEAR(E108),0,IF((YEAR(D108)+13)&gt;YEAR(E108),1,(12-MONTH(E108)+1)/12))))-(IF(OR(N108="",N108&lt;=0),0,(O108/N108)*(IF(OR(N108="",N108&lt;=0),0,IF((YEAR(D108)+13)&lt;YEAR(E108),0,IF((YEAR(D108)+13)&gt;=YEAR(E108)+N108,0,IF((YEAR(D108)+13)=YEAR(E108),(12-MONTH(E108)+1)/12,1))))))))&gt;0,(((K108)*(IF(M108="",L108,IFERROR(IF(INDEX(Variablen!$I:$AT, MATCH(M108, Variablen!$A:$A, 0), MATCH((YEAR(D108)+13), Variablen!$I$3:$AT$3, 0))="",L108,INDEX(Variablen!$I:$AT, MATCH(M108, Variablen!$A:$A, 0), MATCH((YEAR(D108)+13), Variablen!$I$3:$AT$3, 0))),L108)))*(IF((YEAR(D108)+13)&lt;YEAR(E108),0,IF((YEAR(D108)+13)&gt;YEAR(E108),1,(12-MONTH(E108)+1)/12))) + (Q108)*(IF((YEAR(D108)+13)&lt;YEAR(E108),0,IF((YEAR(D108)+13)&gt;YEAR(E108),1,(12-MONTH(E108)+1)/12))))-((P108)*(IF((YEAR(D108)+13)&lt;YEAR(E108),0,IF((YEAR(D108)+13)&gt;YEAR(E108),1,(12-MONTH(E108)+1)/12))) + (R108)*(IF((YEAR(D108)+13)&lt;YEAR(E108),0,IF((YEAR(D108)+13)&gt;YEAR(E108),1,(12-MONTH(E108)+1)/12))))-(IF(OR(N108="",N108&lt;=0),0,(O108/N108)*(IF(OR(N108="",N108&lt;=0),0,IF((YEAR(D108)+13)&lt;YEAR(E108),0,IF((YEAR(D108)+13)&gt;=YEAR(E108)+N108,0,IF((YEAR(D108)+13)=YEAR(E108),(12-MONTH(E108)+1)/12,1))))))))*TaxRate,0))-IF(13=0,O108,0))</f>
        <v/>
      </c>
      <c r="AG108" s="29">
        <f>IF(A108="","",((K108)*(IF(M108="",L108,IFERROR(IF(INDEX(Variablen!$I:$AT, MATCH(M108, Variablen!$A:$A, 0), MATCH((YEAR(D108)+14), Variablen!$I$3:$AT$3, 0))="",L108,INDEX(Variablen!$I:$AT, MATCH(M108, Variablen!$A:$A, 0), MATCH((YEAR(D108)+14), Variablen!$I$3:$AT$3, 0))),L108)))*(IF((YEAR(D108)+14)&lt;YEAR(E108),0,IF((YEAR(D108)+14)&gt;YEAR(E108),1,(12-MONTH(E108)+1)/12))) + (Q108)*(IF((YEAR(D108)+14)&lt;YEAR(E108),0,IF((YEAR(D108)+14)&gt;YEAR(E108),1,(12-MONTH(E108)+1)/12))))-((P108)*(IF((YEAR(D108)+14)&lt;YEAR(E108),0,IF((YEAR(D108)+14)&gt;YEAR(E108),1,(12-MONTH(E108)+1)/12))) + (R108)*(IF((YEAR(D108)+14)&lt;YEAR(E108),0,IF((YEAR(D108)+14)&gt;YEAR(E108),1,(12-MONTH(E108)+1)/12))))-(IF((((K108)*(IF(M108="",L108,IFERROR(IF(INDEX(Variablen!$I:$AT, MATCH(M108, Variablen!$A:$A, 0), MATCH((YEAR(D108)+14), Variablen!$I$3:$AT$3, 0))="",L108,INDEX(Variablen!$I:$AT, MATCH(M108, Variablen!$A:$A, 0), MATCH((YEAR(D108)+14), Variablen!$I$3:$AT$3, 0))),L108)))*(IF((YEAR(D108)+14)&lt;YEAR(E108),0,IF((YEAR(D108)+14)&gt;YEAR(E108),1,(12-MONTH(E108)+1)/12))) + (Q108)*(IF((YEAR(D108)+14)&lt;YEAR(E108),0,IF((YEAR(D108)+14)&gt;YEAR(E108),1,(12-MONTH(E108)+1)/12))))-((P108)*(IF((YEAR(D108)+14)&lt;YEAR(E108),0,IF((YEAR(D108)+14)&gt;YEAR(E108),1,(12-MONTH(E108)+1)/12))) + (R108)*(IF((YEAR(D108)+14)&lt;YEAR(E108),0,IF((YEAR(D108)+14)&gt;YEAR(E108),1,(12-MONTH(E108)+1)/12))))-(IF(OR(N108="",N108&lt;=0),0,(O108/N108)*(IF(OR(N108="",N108&lt;=0),0,IF((YEAR(D108)+14)&lt;YEAR(E108),0,IF((YEAR(D108)+14)&gt;=YEAR(E108)+N108,0,IF((YEAR(D108)+14)=YEAR(E108),(12-MONTH(E108)+1)/12,1))))))))&gt;0,(((K108)*(IF(M108="",L108,IFERROR(IF(INDEX(Variablen!$I:$AT, MATCH(M108, Variablen!$A:$A, 0), MATCH((YEAR(D108)+14), Variablen!$I$3:$AT$3, 0))="",L108,INDEX(Variablen!$I:$AT, MATCH(M108, Variablen!$A:$A, 0), MATCH((YEAR(D108)+14), Variablen!$I$3:$AT$3, 0))),L108)))*(IF((YEAR(D108)+14)&lt;YEAR(E108),0,IF((YEAR(D108)+14)&gt;YEAR(E108),1,(12-MONTH(E108)+1)/12))) + (Q108)*(IF((YEAR(D108)+14)&lt;YEAR(E108),0,IF((YEAR(D108)+14)&gt;YEAR(E108),1,(12-MONTH(E108)+1)/12))))-((P108)*(IF((YEAR(D108)+14)&lt;YEAR(E108),0,IF((YEAR(D108)+14)&gt;YEAR(E108),1,(12-MONTH(E108)+1)/12))) + (R108)*(IF((YEAR(D108)+14)&lt;YEAR(E108),0,IF((YEAR(D108)+14)&gt;YEAR(E108),1,(12-MONTH(E108)+1)/12))))-(IF(OR(N108="",N108&lt;=0),0,(O108/N108)*(IF(OR(N108="",N108&lt;=0),0,IF((YEAR(D108)+14)&lt;YEAR(E108),0,IF((YEAR(D108)+14)&gt;=YEAR(E108)+N108,0,IF((YEAR(D108)+14)=YEAR(E108),(12-MONTH(E108)+1)/12,1))))))))*TaxRate,0))-IF(14=0,O108,0))</f>
        <v/>
      </c>
      <c r="AH108" s="29">
        <f>IF(A108="","",((K108)*(IF(M108="",L108,IFERROR(IF(INDEX(Variablen!$I:$AT, MATCH(M108, Variablen!$A:$A, 0), MATCH((YEAR(D108)+15), Variablen!$I$3:$AT$3, 0))="",L108,INDEX(Variablen!$I:$AT, MATCH(M108, Variablen!$A:$A, 0), MATCH((YEAR(D108)+15), Variablen!$I$3:$AT$3, 0))),L108)))*(IF((YEAR(D108)+15)&lt;YEAR(E108),0,IF((YEAR(D108)+15)&gt;YEAR(E108),1,(12-MONTH(E108)+1)/12))) + (Q108)*(IF((YEAR(D108)+15)&lt;YEAR(E108),0,IF((YEAR(D108)+15)&gt;YEAR(E108),1,(12-MONTH(E108)+1)/12))))-((P108)*(IF((YEAR(D108)+15)&lt;YEAR(E108),0,IF((YEAR(D108)+15)&gt;YEAR(E108),1,(12-MONTH(E108)+1)/12))) + (R108)*(IF((YEAR(D108)+15)&lt;YEAR(E108),0,IF((YEAR(D108)+15)&gt;YEAR(E108),1,(12-MONTH(E108)+1)/12))))-(IF((((K108)*(IF(M108="",L108,IFERROR(IF(INDEX(Variablen!$I:$AT, MATCH(M108, Variablen!$A:$A, 0), MATCH((YEAR(D108)+15), Variablen!$I$3:$AT$3, 0))="",L108,INDEX(Variablen!$I:$AT, MATCH(M108, Variablen!$A:$A, 0), MATCH((YEAR(D108)+15), Variablen!$I$3:$AT$3, 0))),L108)))*(IF((YEAR(D108)+15)&lt;YEAR(E108),0,IF((YEAR(D108)+15)&gt;YEAR(E108),1,(12-MONTH(E108)+1)/12))) + (Q108)*(IF((YEAR(D108)+15)&lt;YEAR(E108),0,IF((YEAR(D108)+15)&gt;YEAR(E108),1,(12-MONTH(E108)+1)/12))))-((P108)*(IF((YEAR(D108)+15)&lt;YEAR(E108),0,IF((YEAR(D108)+15)&gt;YEAR(E108),1,(12-MONTH(E108)+1)/12))) + (R108)*(IF((YEAR(D108)+15)&lt;YEAR(E108),0,IF((YEAR(D108)+15)&gt;YEAR(E108),1,(12-MONTH(E108)+1)/12))))-(IF(OR(N108="",N108&lt;=0),0,(O108/N108)*(IF(OR(N108="",N108&lt;=0),0,IF((YEAR(D108)+15)&lt;YEAR(E108),0,IF((YEAR(D108)+15)&gt;=YEAR(E108)+N108,0,IF((YEAR(D108)+15)=YEAR(E108),(12-MONTH(E108)+1)/12,1))))))))&gt;0,(((K108)*(IF(M108="",L108,IFERROR(IF(INDEX(Variablen!$I:$AT, MATCH(M108, Variablen!$A:$A, 0), MATCH((YEAR(D108)+15), Variablen!$I$3:$AT$3, 0))="",L108,INDEX(Variablen!$I:$AT, MATCH(M108, Variablen!$A:$A, 0), MATCH((YEAR(D108)+15), Variablen!$I$3:$AT$3, 0))),L108)))*(IF((YEAR(D108)+15)&lt;YEAR(E108),0,IF((YEAR(D108)+15)&gt;YEAR(E108),1,(12-MONTH(E108)+1)/12))) + (Q108)*(IF((YEAR(D108)+15)&lt;YEAR(E108),0,IF((YEAR(D108)+15)&gt;YEAR(E108),1,(12-MONTH(E108)+1)/12))))-((P108)*(IF((YEAR(D108)+15)&lt;YEAR(E108),0,IF((YEAR(D108)+15)&gt;YEAR(E108),1,(12-MONTH(E108)+1)/12))) + (R108)*(IF((YEAR(D108)+15)&lt;YEAR(E108),0,IF((YEAR(D108)+15)&gt;YEAR(E108),1,(12-MONTH(E108)+1)/12))))-(IF(OR(N108="",N108&lt;=0),0,(O108/N108)*(IF(OR(N108="",N108&lt;=0),0,IF((YEAR(D108)+15)&lt;YEAR(E108),0,IF((YEAR(D108)+15)&gt;=YEAR(E108)+N108,0,IF((YEAR(D108)+15)=YEAR(E108),(12-MONTH(E108)+1)/12,1))))))))*TaxRate,0))-IF(15=0,O108,0))</f>
        <v/>
      </c>
      <c r="AI108" s="29">
        <f>IF(A108="","",((K108)*(IF(M108="",L108,IFERROR(IF(INDEX(Variablen!$I:$AT, MATCH(M108, Variablen!$A:$A, 0), MATCH((YEAR(D108)+16), Variablen!$I$3:$AT$3, 0))="",L108,INDEX(Variablen!$I:$AT, MATCH(M108, Variablen!$A:$A, 0), MATCH((YEAR(D108)+16), Variablen!$I$3:$AT$3, 0))),L108)))*(IF((YEAR(D108)+16)&lt;YEAR(E108),0,IF((YEAR(D108)+16)&gt;YEAR(E108),1,(12-MONTH(E108)+1)/12))) + (Q108)*(IF((YEAR(D108)+16)&lt;YEAR(E108),0,IF((YEAR(D108)+16)&gt;YEAR(E108),1,(12-MONTH(E108)+1)/12))))-((P108)*(IF((YEAR(D108)+16)&lt;YEAR(E108),0,IF((YEAR(D108)+16)&gt;YEAR(E108),1,(12-MONTH(E108)+1)/12))) + (R108)*(IF((YEAR(D108)+16)&lt;YEAR(E108),0,IF((YEAR(D108)+16)&gt;YEAR(E108),1,(12-MONTH(E108)+1)/12))))-(IF((((K108)*(IF(M108="",L108,IFERROR(IF(INDEX(Variablen!$I:$AT, MATCH(M108, Variablen!$A:$A, 0), MATCH((YEAR(D108)+16), Variablen!$I$3:$AT$3, 0))="",L108,INDEX(Variablen!$I:$AT, MATCH(M108, Variablen!$A:$A, 0), MATCH((YEAR(D108)+16), Variablen!$I$3:$AT$3, 0))),L108)))*(IF((YEAR(D108)+16)&lt;YEAR(E108),0,IF((YEAR(D108)+16)&gt;YEAR(E108),1,(12-MONTH(E108)+1)/12))) + (Q108)*(IF((YEAR(D108)+16)&lt;YEAR(E108),0,IF((YEAR(D108)+16)&gt;YEAR(E108),1,(12-MONTH(E108)+1)/12))))-((P108)*(IF((YEAR(D108)+16)&lt;YEAR(E108),0,IF((YEAR(D108)+16)&gt;YEAR(E108),1,(12-MONTH(E108)+1)/12))) + (R108)*(IF((YEAR(D108)+16)&lt;YEAR(E108),0,IF((YEAR(D108)+16)&gt;YEAR(E108),1,(12-MONTH(E108)+1)/12))))-(IF(OR(N108="",N108&lt;=0),0,(O108/N108)*(IF(OR(N108="",N108&lt;=0),0,IF((YEAR(D108)+16)&lt;YEAR(E108),0,IF((YEAR(D108)+16)&gt;=YEAR(E108)+N108,0,IF((YEAR(D108)+16)=YEAR(E108),(12-MONTH(E108)+1)/12,1))))))))&gt;0,(((K108)*(IF(M108="",L108,IFERROR(IF(INDEX(Variablen!$I:$AT, MATCH(M108, Variablen!$A:$A, 0), MATCH((YEAR(D108)+16), Variablen!$I$3:$AT$3, 0))="",L108,INDEX(Variablen!$I:$AT, MATCH(M108, Variablen!$A:$A, 0), MATCH((YEAR(D108)+16), Variablen!$I$3:$AT$3, 0))),L108)))*(IF((YEAR(D108)+16)&lt;YEAR(E108),0,IF((YEAR(D108)+16)&gt;YEAR(E108),1,(12-MONTH(E108)+1)/12))) + (Q108)*(IF((YEAR(D108)+16)&lt;YEAR(E108),0,IF((YEAR(D108)+16)&gt;YEAR(E108),1,(12-MONTH(E108)+1)/12))))-((P108)*(IF((YEAR(D108)+16)&lt;YEAR(E108),0,IF((YEAR(D108)+16)&gt;YEAR(E108),1,(12-MONTH(E108)+1)/12))) + (R108)*(IF((YEAR(D108)+16)&lt;YEAR(E108),0,IF((YEAR(D108)+16)&gt;YEAR(E108),1,(12-MONTH(E108)+1)/12))))-(IF(OR(N108="",N108&lt;=0),0,(O108/N108)*(IF(OR(N108="",N108&lt;=0),0,IF((YEAR(D108)+16)&lt;YEAR(E108),0,IF((YEAR(D108)+16)&gt;=YEAR(E108)+N108,0,IF((YEAR(D108)+16)=YEAR(E108),(12-MONTH(E108)+1)/12,1))))))))*TaxRate,0))-IF(16=0,O108,0))</f>
        <v/>
      </c>
      <c r="AJ108" s="29">
        <f>IF(A108="","",((K108)*(IF(M108="",L108,IFERROR(IF(INDEX(Variablen!$I:$AT, MATCH(M108, Variablen!$A:$A, 0), MATCH((YEAR(D108)+17), Variablen!$I$3:$AT$3, 0))="",L108,INDEX(Variablen!$I:$AT, MATCH(M108, Variablen!$A:$A, 0), MATCH((YEAR(D108)+17), Variablen!$I$3:$AT$3, 0))),L108)))*(IF((YEAR(D108)+17)&lt;YEAR(E108),0,IF((YEAR(D108)+17)&gt;YEAR(E108),1,(12-MONTH(E108)+1)/12))) + (Q108)*(IF((YEAR(D108)+17)&lt;YEAR(E108),0,IF((YEAR(D108)+17)&gt;YEAR(E108),1,(12-MONTH(E108)+1)/12))))-((P108)*(IF((YEAR(D108)+17)&lt;YEAR(E108),0,IF((YEAR(D108)+17)&gt;YEAR(E108),1,(12-MONTH(E108)+1)/12))) + (R108)*(IF((YEAR(D108)+17)&lt;YEAR(E108),0,IF((YEAR(D108)+17)&gt;YEAR(E108),1,(12-MONTH(E108)+1)/12))))-(IF((((K108)*(IF(M108="",L108,IFERROR(IF(INDEX(Variablen!$I:$AT, MATCH(M108, Variablen!$A:$A, 0), MATCH((YEAR(D108)+17), Variablen!$I$3:$AT$3, 0))="",L108,INDEX(Variablen!$I:$AT, MATCH(M108, Variablen!$A:$A, 0), MATCH((YEAR(D108)+17), Variablen!$I$3:$AT$3, 0))),L108)))*(IF((YEAR(D108)+17)&lt;YEAR(E108),0,IF((YEAR(D108)+17)&gt;YEAR(E108),1,(12-MONTH(E108)+1)/12))) + (Q108)*(IF((YEAR(D108)+17)&lt;YEAR(E108),0,IF((YEAR(D108)+17)&gt;YEAR(E108),1,(12-MONTH(E108)+1)/12))))-((P108)*(IF((YEAR(D108)+17)&lt;YEAR(E108),0,IF((YEAR(D108)+17)&gt;YEAR(E108),1,(12-MONTH(E108)+1)/12))) + (R108)*(IF((YEAR(D108)+17)&lt;YEAR(E108),0,IF((YEAR(D108)+17)&gt;YEAR(E108),1,(12-MONTH(E108)+1)/12))))-(IF(OR(N108="",N108&lt;=0),0,(O108/N108)*(IF(OR(N108="",N108&lt;=0),0,IF((YEAR(D108)+17)&lt;YEAR(E108),0,IF((YEAR(D108)+17)&gt;=YEAR(E108)+N108,0,IF((YEAR(D108)+17)=YEAR(E108),(12-MONTH(E108)+1)/12,1))))))))&gt;0,(((K108)*(IF(M108="",L108,IFERROR(IF(INDEX(Variablen!$I:$AT, MATCH(M108, Variablen!$A:$A, 0), MATCH((YEAR(D108)+17), Variablen!$I$3:$AT$3, 0))="",L108,INDEX(Variablen!$I:$AT, MATCH(M108, Variablen!$A:$A, 0), MATCH((YEAR(D108)+17), Variablen!$I$3:$AT$3, 0))),L108)))*(IF((YEAR(D108)+17)&lt;YEAR(E108),0,IF((YEAR(D108)+17)&gt;YEAR(E108),1,(12-MONTH(E108)+1)/12))) + (Q108)*(IF((YEAR(D108)+17)&lt;YEAR(E108),0,IF((YEAR(D108)+17)&gt;YEAR(E108),1,(12-MONTH(E108)+1)/12))))-((P108)*(IF((YEAR(D108)+17)&lt;YEAR(E108),0,IF((YEAR(D108)+17)&gt;YEAR(E108),1,(12-MONTH(E108)+1)/12))) + (R108)*(IF((YEAR(D108)+17)&lt;YEAR(E108),0,IF((YEAR(D108)+17)&gt;YEAR(E108),1,(12-MONTH(E108)+1)/12))))-(IF(OR(N108="",N108&lt;=0),0,(O108/N108)*(IF(OR(N108="",N108&lt;=0),0,IF((YEAR(D108)+17)&lt;YEAR(E108),0,IF((YEAR(D108)+17)&gt;=YEAR(E108)+N108,0,IF((YEAR(D108)+17)=YEAR(E108),(12-MONTH(E108)+1)/12,1))))))))*TaxRate,0))-IF(17=0,O108,0))</f>
        <v/>
      </c>
      <c r="AK108" s="29">
        <f>IF(A108="","",((K108)*(IF(M108="",L108,IFERROR(IF(INDEX(Variablen!$I:$AT, MATCH(M108, Variablen!$A:$A, 0), MATCH((YEAR(D108)+18), Variablen!$I$3:$AT$3, 0))="",L108,INDEX(Variablen!$I:$AT, MATCH(M108, Variablen!$A:$A, 0), MATCH((YEAR(D108)+18), Variablen!$I$3:$AT$3, 0))),L108)))*(IF((YEAR(D108)+18)&lt;YEAR(E108),0,IF((YEAR(D108)+18)&gt;YEAR(E108),1,(12-MONTH(E108)+1)/12))) + (Q108)*(IF((YEAR(D108)+18)&lt;YEAR(E108),0,IF((YEAR(D108)+18)&gt;YEAR(E108),1,(12-MONTH(E108)+1)/12))))-((P108)*(IF((YEAR(D108)+18)&lt;YEAR(E108),0,IF((YEAR(D108)+18)&gt;YEAR(E108),1,(12-MONTH(E108)+1)/12))) + (R108)*(IF((YEAR(D108)+18)&lt;YEAR(E108),0,IF((YEAR(D108)+18)&gt;YEAR(E108),1,(12-MONTH(E108)+1)/12))))-(IF((((K108)*(IF(M108="",L108,IFERROR(IF(INDEX(Variablen!$I:$AT, MATCH(M108, Variablen!$A:$A, 0), MATCH((YEAR(D108)+18), Variablen!$I$3:$AT$3, 0))="",L108,INDEX(Variablen!$I:$AT, MATCH(M108, Variablen!$A:$A, 0), MATCH((YEAR(D108)+18), Variablen!$I$3:$AT$3, 0))),L108)))*(IF((YEAR(D108)+18)&lt;YEAR(E108),0,IF((YEAR(D108)+18)&gt;YEAR(E108),1,(12-MONTH(E108)+1)/12))) + (Q108)*(IF((YEAR(D108)+18)&lt;YEAR(E108),0,IF((YEAR(D108)+18)&gt;YEAR(E108),1,(12-MONTH(E108)+1)/12))))-((P108)*(IF((YEAR(D108)+18)&lt;YEAR(E108),0,IF((YEAR(D108)+18)&gt;YEAR(E108),1,(12-MONTH(E108)+1)/12))) + (R108)*(IF((YEAR(D108)+18)&lt;YEAR(E108),0,IF((YEAR(D108)+18)&gt;YEAR(E108),1,(12-MONTH(E108)+1)/12))))-(IF(OR(N108="",N108&lt;=0),0,(O108/N108)*(IF(OR(N108="",N108&lt;=0),0,IF((YEAR(D108)+18)&lt;YEAR(E108),0,IF((YEAR(D108)+18)&gt;=YEAR(E108)+N108,0,IF((YEAR(D108)+18)=YEAR(E108),(12-MONTH(E108)+1)/12,1))))))))&gt;0,(((K108)*(IF(M108="",L108,IFERROR(IF(INDEX(Variablen!$I:$AT, MATCH(M108, Variablen!$A:$A, 0), MATCH((YEAR(D108)+18), Variablen!$I$3:$AT$3, 0))="",L108,INDEX(Variablen!$I:$AT, MATCH(M108, Variablen!$A:$A, 0), MATCH((YEAR(D108)+18), Variablen!$I$3:$AT$3, 0))),L108)))*(IF((YEAR(D108)+18)&lt;YEAR(E108),0,IF((YEAR(D108)+18)&gt;YEAR(E108),1,(12-MONTH(E108)+1)/12))) + (Q108)*(IF((YEAR(D108)+18)&lt;YEAR(E108),0,IF((YEAR(D108)+18)&gt;YEAR(E108),1,(12-MONTH(E108)+1)/12))))-((P108)*(IF((YEAR(D108)+18)&lt;YEAR(E108),0,IF((YEAR(D108)+18)&gt;YEAR(E108),1,(12-MONTH(E108)+1)/12))) + (R108)*(IF((YEAR(D108)+18)&lt;YEAR(E108),0,IF((YEAR(D108)+18)&gt;YEAR(E108),1,(12-MONTH(E108)+1)/12))))-(IF(OR(N108="",N108&lt;=0),0,(O108/N108)*(IF(OR(N108="",N108&lt;=0),0,IF((YEAR(D108)+18)&lt;YEAR(E108),0,IF((YEAR(D108)+18)&gt;=YEAR(E108)+N108,0,IF((YEAR(D108)+18)=YEAR(E108),(12-MONTH(E108)+1)/12,1))))))))*TaxRate,0))-IF(18=0,O108,0))</f>
        <v/>
      </c>
      <c r="AL108" s="29">
        <f>IF(A108="","",((K108)*(IF(M108="",L108,IFERROR(IF(INDEX(Variablen!$I:$AT, MATCH(M108, Variablen!$A:$A, 0), MATCH((YEAR(D108)+19), Variablen!$I$3:$AT$3, 0))="",L108,INDEX(Variablen!$I:$AT, MATCH(M108, Variablen!$A:$A, 0), MATCH((YEAR(D108)+19), Variablen!$I$3:$AT$3, 0))),L108)))*(IF((YEAR(D108)+19)&lt;YEAR(E108),0,IF((YEAR(D108)+19)&gt;YEAR(E108),1,(12-MONTH(E108)+1)/12))) + (Q108)*(IF((YEAR(D108)+19)&lt;YEAR(E108),0,IF((YEAR(D108)+19)&gt;YEAR(E108),1,(12-MONTH(E108)+1)/12))))-((P108)*(IF((YEAR(D108)+19)&lt;YEAR(E108),0,IF((YEAR(D108)+19)&gt;YEAR(E108),1,(12-MONTH(E108)+1)/12))) + (R108)*(IF((YEAR(D108)+19)&lt;YEAR(E108),0,IF((YEAR(D108)+19)&gt;YEAR(E108),1,(12-MONTH(E108)+1)/12))))-(IF((((K108)*(IF(M108="",L108,IFERROR(IF(INDEX(Variablen!$I:$AT, MATCH(M108, Variablen!$A:$A, 0), MATCH((YEAR(D108)+19), Variablen!$I$3:$AT$3, 0))="",L108,INDEX(Variablen!$I:$AT, MATCH(M108, Variablen!$A:$A, 0), MATCH((YEAR(D108)+19), Variablen!$I$3:$AT$3, 0))),L108)))*(IF((YEAR(D108)+19)&lt;YEAR(E108),0,IF((YEAR(D108)+19)&gt;YEAR(E108),1,(12-MONTH(E108)+1)/12))) + (Q108)*(IF((YEAR(D108)+19)&lt;YEAR(E108),0,IF((YEAR(D108)+19)&gt;YEAR(E108),1,(12-MONTH(E108)+1)/12))))-((P108)*(IF((YEAR(D108)+19)&lt;YEAR(E108),0,IF((YEAR(D108)+19)&gt;YEAR(E108),1,(12-MONTH(E108)+1)/12))) + (R108)*(IF((YEAR(D108)+19)&lt;YEAR(E108),0,IF((YEAR(D108)+19)&gt;YEAR(E108),1,(12-MONTH(E108)+1)/12))))-(IF(OR(N108="",N108&lt;=0),0,(O108/N108)*(IF(OR(N108="",N108&lt;=0),0,IF((YEAR(D108)+19)&lt;YEAR(E108),0,IF((YEAR(D108)+19)&gt;=YEAR(E108)+N108,0,IF((YEAR(D108)+19)=YEAR(E108),(12-MONTH(E108)+1)/12,1))))))))&gt;0,(((K108)*(IF(M108="",L108,IFERROR(IF(INDEX(Variablen!$I:$AT, MATCH(M108, Variablen!$A:$A, 0), MATCH((YEAR(D108)+19), Variablen!$I$3:$AT$3, 0))="",L108,INDEX(Variablen!$I:$AT, MATCH(M108, Variablen!$A:$A, 0), MATCH((YEAR(D108)+19), Variablen!$I$3:$AT$3, 0))),L108)))*(IF((YEAR(D108)+19)&lt;YEAR(E108),0,IF((YEAR(D108)+19)&gt;YEAR(E108),1,(12-MONTH(E108)+1)/12))) + (Q108)*(IF((YEAR(D108)+19)&lt;YEAR(E108),0,IF((YEAR(D108)+19)&gt;YEAR(E108),1,(12-MONTH(E108)+1)/12))))-((P108)*(IF((YEAR(D108)+19)&lt;YEAR(E108),0,IF((YEAR(D108)+19)&gt;YEAR(E108),1,(12-MONTH(E108)+1)/12))) + (R108)*(IF((YEAR(D108)+19)&lt;YEAR(E108),0,IF((YEAR(D108)+19)&gt;YEAR(E108),1,(12-MONTH(E108)+1)/12))))-(IF(OR(N108="",N108&lt;=0),0,(O108/N108)*(IF(OR(N108="",N108&lt;=0),0,IF((YEAR(D108)+19)&lt;YEAR(E108),0,IF((YEAR(D108)+19)&gt;=YEAR(E108)+N108,0,IF((YEAR(D108)+19)=YEAR(E108),(12-MONTH(E108)+1)/12,1))))))))*TaxRate,0))-IF(19=0,O108,0))</f>
        <v/>
      </c>
      <c r="AM108" s="29">
        <f>IF(A108="","",((K108)*(IF(M108="",L108,IFERROR(IF(INDEX(Variablen!$I:$AT, MATCH(M108, Variablen!$A:$A, 0), MATCH((YEAR(D108)+20), Variablen!$I$3:$AT$3, 0))="",L108,INDEX(Variablen!$I:$AT, MATCH(M108, Variablen!$A:$A, 0), MATCH((YEAR(D108)+20), Variablen!$I$3:$AT$3, 0))),L108)))*(IF((YEAR(D108)+20)&lt;YEAR(E108),0,IF((YEAR(D108)+20)&gt;YEAR(E108),1,(12-MONTH(E108)+1)/12))) + (Q108)*(IF((YEAR(D108)+20)&lt;YEAR(E108),0,IF((YEAR(D108)+20)&gt;YEAR(E108),1,(12-MONTH(E108)+1)/12))))-((P108)*(IF((YEAR(D108)+20)&lt;YEAR(E108),0,IF((YEAR(D108)+20)&gt;YEAR(E108),1,(12-MONTH(E108)+1)/12))) + (R108)*(IF((YEAR(D108)+20)&lt;YEAR(E108),0,IF((YEAR(D108)+20)&gt;YEAR(E108),1,(12-MONTH(E108)+1)/12))))-(IF((((K108)*(IF(M108="",L108,IFERROR(IF(INDEX(Variablen!$I:$AT, MATCH(M108, Variablen!$A:$A, 0), MATCH((YEAR(D108)+20), Variablen!$I$3:$AT$3, 0))="",L108,INDEX(Variablen!$I:$AT, MATCH(M108, Variablen!$A:$A, 0), MATCH((YEAR(D108)+20), Variablen!$I$3:$AT$3, 0))),L108)))*(IF((YEAR(D108)+20)&lt;YEAR(E108),0,IF((YEAR(D108)+20)&gt;YEAR(E108),1,(12-MONTH(E108)+1)/12))) + (Q108)*(IF((YEAR(D108)+20)&lt;YEAR(E108),0,IF((YEAR(D108)+20)&gt;YEAR(E108),1,(12-MONTH(E108)+1)/12))))-((P108)*(IF((YEAR(D108)+20)&lt;YEAR(E108),0,IF((YEAR(D108)+20)&gt;YEAR(E108),1,(12-MONTH(E108)+1)/12))) + (R108)*(IF((YEAR(D108)+20)&lt;YEAR(E108),0,IF((YEAR(D108)+20)&gt;YEAR(E108),1,(12-MONTH(E108)+1)/12))))-(IF(OR(N108="",N108&lt;=0),0,(O108/N108)*(IF(OR(N108="",N108&lt;=0),0,IF((YEAR(D108)+20)&lt;YEAR(E108),0,IF((YEAR(D108)+20)&gt;=YEAR(E108)+N108,0,IF((YEAR(D108)+20)=YEAR(E108),(12-MONTH(E108)+1)/12,1))))))))&gt;0,(((K108)*(IF(M108="",L108,IFERROR(IF(INDEX(Variablen!$I:$AT, MATCH(M108, Variablen!$A:$A, 0), MATCH((YEAR(D108)+20), Variablen!$I$3:$AT$3, 0))="",L108,INDEX(Variablen!$I:$AT, MATCH(M108, Variablen!$A:$A, 0), MATCH((YEAR(D108)+20), Variablen!$I$3:$AT$3, 0))),L108)))*(IF((YEAR(D108)+20)&lt;YEAR(E108),0,IF((YEAR(D108)+20)&gt;YEAR(E108),1,(12-MONTH(E108)+1)/12))) + (Q108)*(IF((YEAR(D108)+20)&lt;YEAR(E108),0,IF((YEAR(D108)+20)&gt;YEAR(E108),1,(12-MONTH(E108)+1)/12))))-((P108)*(IF((YEAR(D108)+20)&lt;YEAR(E108),0,IF((YEAR(D108)+20)&gt;YEAR(E108),1,(12-MONTH(E108)+1)/12))) + (R108)*(IF((YEAR(D108)+20)&lt;YEAR(E108),0,IF((YEAR(D108)+20)&gt;YEAR(E108),1,(12-MONTH(E108)+1)/12))))-(IF(OR(N108="",N108&lt;=0),0,(O108/N108)*(IF(OR(N108="",N108&lt;=0),0,IF((YEAR(D108)+20)&lt;YEAR(E108),0,IF((YEAR(D108)+20)&gt;=YEAR(E108)+N108,0,IF((YEAR(D108)+20)=YEAR(E108),(12-MONTH(E108)+1)/12,1))))))))*TaxRate,0))-IF(20=0,O108,0))</f>
        <v/>
      </c>
      <c r="AN108" s="29">
        <f>IF(A108="","",S108)</f>
        <v/>
      </c>
      <c r="AO108" s="29">
        <f>IF(A108="","",AN108+T108)</f>
        <v/>
      </c>
      <c r="AP108" s="29">
        <f>IF(A108="","",AO108+U108)</f>
        <v/>
      </c>
      <c r="AQ108" s="29">
        <f>IF(A108="","",AP108+V108)</f>
        <v/>
      </c>
      <c r="AR108" s="29">
        <f>IF(A108="","",AQ108+W108)</f>
        <v/>
      </c>
      <c r="AS108" s="29">
        <f>IF(A108="","",AR108+X108)</f>
        <v/>
      </c>
      <c r="AT108" s="29">
        <f>IF(A108="","",AS108+Y108)</f>
        <v/>
      </c>
      <c r="AU108" s="29">
        <f>IF(A108="","",AT108+Z108)</f>
        <v/>
      </c>
      <c r="AV108" s="29">
        <f>IF(A108="","",AU108+AA108)</f>
        <v/>
      </c>
      <c r="AW108" s="29">
        <f>IF(A108="","",AV108+AB108)</f>
        <v/>
      </c>
      <c r="AX108" s="29">
        <f>IF(A108="","",AW108+AC108)</f>
        <v/>
      </c>
      <c r="AY108" s="29">
        <f>IF(A108="","",AX108+AD108)</f>
        <v/>
      </c>
      <c r="AZ108" s="29">
        <f>IF(A108="","",AY108+AE108)</f>
        <v/>
      </c>
      <c r="BA108" s="29">
        <f>IF(A108="","",AZ108+AF108)</f>
        <v/>
      </c>
      <c r="BB108" s="29">
        <f>IF(A108="","",BA108+AG108)</f>
        <v/>
      </c>
      <c r="BC108" s="29">
        <f>IF(A108="","",BB108+AH108)</f>
        <v/>
      </c>
      <c r="BD108" s="29">
        <f>IF(A108="","",BC108+AI108)</f>
        <v/>
      </c>
      <c r="BE108" s="29">
        <f>IF(A108="","",BD108+AJ108)</f>
        <v/>
      </c>
      <c r="BF108" s="29">
        <f>IF(A108="","",BE108+AK108)</f>
        <v/>
      </c>
      <c r="BG108" s="29">
        <f>IF(A108="","",BF108+AL108)</f>
        <v/>
      </c>
      <c r="BH108" s="29">
        <f>IF(A108="","",BG108+AM108)</f>
        <v/>
      </c>
      <c r="BI108" s="36">
        <f>IF(A108="","",(K108)*(IF((YEAR(D108)+0)&lt;YEAR(E108),0,IF((YEAR(D108)+0)&gt;YEAR(E108),1,(12-MONTH(E108)+1)/12)))*(1/(1+DiscountRate)^0))</f>
        <v/>
      </c>
      <c r="BJ108" s="36">
        <f>IF(A108="","",(K108)*(IF((YEAR(D108)+1)&lt;YEAR(E108),0,IF((YEAR(D108)+1)&gt;YEAR(E108),1,(12-MONTH(E108)+1)/12)))*(1/(1+DiscountRate)^1))</f>
        <v/>
      </c>
      <c r="BK108" s="36">
        <f>IF(A108="","",(K108)*(IF((YEAR(D108)+2)&lt;YEAR(E108),0,IF((YEAR(D108)+2)&gt;YEAR(E108),1,(12-MONTH(E108)+1)/12)))*(1/(1+DiscountRate)^2))</f>
        <v/>
      </c>
      <c r="BL108" s="36">
        <f>IF(A108="","",(K108)*(IF((YEAR(D108)+3)&lt;YEAR(E108),0,IF((YEAR(D108)+3)&gt;YEAR(E108),1,(12-MONTH(E108)+1)/12)))*(1/(1+DiscountRate)^3))</f>
        <v/>
      </c>
      <c r="BM108" s="36">
        <f>IF(A108="","",(K108)*(IF((YEAR(D108)+4)&lt;YEAR(E108),0,IF((YEAR(D108)+4)&gt;YEAR(E108),1,(12-MONTH(E108)+1)/12)))*(1/(1+DiscountRate)^4))</f>
        <v/>
      </c>
      <c r="BN108" s="36">
        <f>IF(A108="","",(K108)*(IF((YEAR(D108)+5)&lt;YEAR(E108),0,IF((YEAR(D108)+5)&gt;YEAR(E108),1,(12-MONTH(E108)+1)/12)))*(1/(1+DiscountRate)^5))</f>
        <v/>
      </c>
      <c r="BO108" s="36">
        <f>IF(A108="","",(K108)*(IF((YEAR(D108)+6)&lt;YEAR(E108),0,IF((YEAR(D108)+6)&gt;YEAR(E108),1,(12-MONTH(E108)+1)/12)))*(1/(1+DiscountRate)^6))</f>
        <v/>
      </c>
      <c r="BP108" s="36">
        <f>IF(A108="","",(K108)*(IF((YEAR(D108)+7)&lt;YEAR(E108),0,IF((YEAR(D108)+7)&gt;YEAR(E108),1,(12-MONTH(E108)+1)/12)))*(1/(1+DiscountRate)^7))</f>
        <v/>
      </c>
      <c r="BQ108" s="36">
        <f>IF(A108="","",(K108)*(IF((YEAR(D108)+8)&lt;YEAR(E108),0,IF((YEAR(D108)+8)&gt;YEAR(E108),1,(12-MONTH(E108)+1)/12)))*(1/(1+DiscountRate)^8))</f>
        <v/>
      </c>
      <c r="BR108" s="36">
        <f>IF(A108="","",(K108)*(IF((YEAR(D108)+9)&lt;YEAR(E108),0,IF((YEAR(D108)+9)&gt;YEAR(E108),1,(12-MONTH(E108)+1)/12)))*(1/(1+DiscountRate)^9))</f>
        <v/>
      </c>
      <c r="BS108" s="36">
        <f>IF(A108="","",(K108)*(IF((YEAR(D108)+10)&lt;YEAR(E108),0,IF((YEAR(D108)+10)&gt;YEAR(E108),1,(12-MONTH(E108)+1)/12)))*(1/(1+DiscountRate)^10))</f>
        <v/>
      </c>
      <c r="BT108" s="36">
        <f>IF(A108="","",(K108)*(IF((YEAR(D108)+11)&lt;YEAR(E108),0,IF((YEAR(D108)+11)&gt;YEAR(E108),1,(12-MONTH(E108)+1)/12)))*(1/(1+DiscountRate)^11))</f>
        <v/>
      </c>
      <c r="BU108" s="36">
        <f>IF(A108="","",(K108)*(IF((YEAR(D108)+12)&lt;YEAR(E108),0,IF((YEAR(D108)+12)&gt;YEAR(E108),1,(12-MONTH(E108)+1)/12)))*(1/(1+DiscountRate)^12))</f>
        <v/>
      </c>
      <c r="BV108" s="36">
        <f>IF(A108="","",(K108)*(IF((YEAR(D108)+13)&lt;YEAR(E108),0,IF((YEAR(D108)+13)&gt;YEAR(E108),1,(12-MONTH(E108)+1)/12)))*(1/(1+DiscountRate)^13))</f>
        <v/>
      </c>
      <c r="BW108" s="36">
        <f>IF(A108="","",(K108)*(IF((YEAR(D108)+14)&lt;YEAR(E108),0,IF((YEAR(D108)+14)&gt;YEAR(E108),1,(12-MONTH(E108)+1)/12)))*(1/(1+DiscountRate)^14))</f>
        <v/>
      </c>
      <c r="BX108" s="36">
        <f>IF(A108="","",(K108)*(IF((YEAR(D108)+15)&lt;YEAR(E108),0,IF((YEAR(D108)+15)&gt;YEAR(E108),1,(12-MONTH(E108)+1)/12)))*(1/(1+DiscountRate)^15))</f>
        <v/>
      </c>
      <c r="BY108" s="36">
        <f>IF(A108="","",(K108)*(IF((YEAR(D108)+16)&lt;YEAR(E108),0,IF((YEAR(D108)+16)&gt;YEAR(E108),1,(12-MONTH(E108)+1)/12)))*(1/(1+DiscountRate)^16))</f>
        <v/>
      </c>
      <c r="BZ108" s="36">
        <f>IF(A108="","",(K108)*(IF((YEAR(D108)+17)&lt;YEAR(E108),0,IF((YEAR(D108)+17)&gt;YEAR(E108),1,(12-MONTH(E108)+1)/12)))*(1/(1+DiscountRate)^17))</f>
        <v/>
      </c>
      <c r="CA108" s="36">
        <f>IF(A108="","",(K108)*(IF((YEAR(D108)+18)&lt;YEAR(E108),0,IF((YEAR(D108)+18)&gt;YEAR(E108),1,(12-MONTH(E108)+1)/12)))*(1/(1+DiscountRate)^18))</f>
        <v/>
      </c>
      <c r="CB108" s="36">
        <f>IF(A108="","",(K108)*(IF((YEAR(D108)+19)&lt;YEAR(E108),0,IF((YEAR(D108)+19)&gt;YEAR(E108),1,(12-MONTH(E108)+1)/12)))*(1/(1+DiscountRate)^19))</f>
        <v/>
      </c>
      <c r="CC108" s="36">
        <f>IF(A108="","",(K108)*(IF((YEAR(D108)+20)&lt;YEAR(E108),0,IF((YEAR(D108)+20)&gt;YEAR(E108),1,(12-MONTH(E108)+1)/12)))*(1/(1+DiscountRate)^20))</f>
        <v/>
      </c>
      <c r="CD108" s="29">
        <f>IF(A108="","",S108/(1+DiscountRate)^0+T108/(1+DiscountRate)^1+U108/(1+DiscountRate)^2+V108/(1+DiscountRate)^3+W108/(1+DiscountRate)^4+X108/(1+DiscountRate)^5+Y108/(1+DiscountRate)^6+Z108/(1+DiscountRate)^7+AA108/(1+DiscountRate)^8+AB108/(1+DiscountRate)^9+AC108/(1+DiscountRate)^10+AD108/(1+DiscountRate)^11+AE108/(1+DiscountRate)^12+AF108/(1+DiscountRate)^13+AG108/(1+DiscountRate)^14+AH108/(1+DiscountRate)^15+AI108/(1+DiscountRate)^16+AJ108/(1+DiscountRate)^17+AK108/(1+DiscountRate)^18+AL108/(1+DiscountRate)^19+AM108/(1+DiscountRate)^20)</f>
        <v/>
      </c>
      <c r="CE108" s="37">
        <f>IF(A108="","",IFERROR(IRR(OFFSET(S108,0,0,1,MIN(HorizonYears,20)+1)),"n/a"))</f>
        <v/>
      </c>
      <c r="CF108" s="28">
        <f>IF(A108="","",IFERROR(MATCH(TRUE,OFFSET(AN108,0,0,1,MIN(HorizonYears,20)+1)&gt;=0,0)-1,"n/a"))</f>
        <v/>
      </c>
      <c r="CG108" s="36">
        <f>IF(A108="","",SUM(OFFSET(BI108,0,0,1,MIN(HorizonYears,20)+1)))</f>
        <v/>
      </c>
      <c r="CH108" s="36">
        <f>IF(A108="","",IFERROR(-CD108/CG108,"n/a"))</f>
        <v/>
      </c>
    </row>
    <row r="109">
      <c r="A109" s="6">
        <f>Actions!A107</f>
        <v/>
      </c>
      <c r="B109" s="6">
        <f>Actions!B107</f>
        <v/>
      </c>
      <c r="C109" s="6">
        <f>Actions!D107</f>
        <v/>
      </c>
      <c r="D109" s="35">
        <f>Actions!E107</f>
        <v/>
      </c>
      <c r="E109" s="35">
        <f>Actions!F107</f>
        <v/>
      </c>
      <c r="F109" s="6">
        <f>Actions!G107</f>
        <v/>
      </c>
      <c r="G109" s="6">
        <f>Actions!H107</f>
        <v/>
      </c>
      <c r="H109" s="29">
        <f>Actions!I107</f>
        <v/>
      </c>
      <c r="I109" s="6">
        <f>Actions!J107</f>
        <v/>
      </c>
      <c r="J109" s="16">
        <f>Actions!K107</f>
        <v/>
      </c>
      <c r="K109" s="16">
        <f>IF(A109="","",IF(I109="%",H109*J109,J109))</f>
        <v/>
      </c>
      <c r="L109" s="16">
        <f>Actions!L107</f>
        <v/>
      </c>
      <c r="M109" s="6">
        <f>Actions!M107</f>
        <v/>
      </c>
      <c r="N109" s="28">
        <f>Actions!N107</f>
        <v/>
      </c>
      <c r="O109" s="29">
        <f>Actions!T107</f>
        <v/>
      </c>
      <c r="P109" s="29">
        <f>Actions!Y107</f>
        <v/>
      </c>
      <c r="Q109" s="29">
        <f>Actions!Z107</f>
        <v/>
      </c>
      <c r="R109" s="29">
        <f>Actions!AA107</f>
        <v/>
      </c>
      <c r="S109" s="29">
        <f>IF(A109="","",((K109)*(IF(M109="",L109,IFERROR(IF(INDEX(Variablen!$I:$AT, MATCH(M109, Variablen!$A:$A, 0), MATCH((YEAR(D109)+0), Variablen!$I$3:$AT$3, 0))="",L109,INDEX(Variablen!$I:$AT, MATCH(M109, Variablen!$A:$A, 0), MATCH((YEAR(D109)+0), Variablen!$I$3:$AT$3, 0))),L109)))*(IF((YEAR(D109)+0)&lt;YEAR(E109),0,IF((YEAR(D109)+0)&gt;YEAR(E109),1,(12-MONTH(E109)+1)/12))) + (Q109)*(IF((YEAR(D109)+0)&lt;YEAR(E109),0,IF((YEAR(D109)+0)&gt;YEAR(E109),1,(12-MONTH(E109)+1)/12))))-((P109)*(IF((YEAR(D109)+0)&lt;YEAR(E109),0,IF((YEAR(D109)+0)&gt;YEAR(E109),1,(12-MONTH(E109)+1)/12))) + (R109)*(IF((YEAR(D109)+0)&lt;YEAR(E109),0,IF((YEAR(D109)+0)&gt;YEAR(E109),1,(12-MONTH(E109)+1)/12))))-(IF((((K109)*(IF(M109="",L109,IFERROR(IF(INDEX(Variablen!$I:$AT, MATCH(M109, Variablen!$A:$A, 0), MATCH((YEAR(D109)+0), Variablen!$I$3:$AT$3, 0))="",L109,INDEX(Variablen!$I:$AT, MATCH(M109, Variablen!$A:$A, 0), MATCH((YEAR(D109)+0), Variablen!$I$3:$AT$3, 0))),L109)))*(IF((YEAR(D109)+0)&lt;YEAR(E109),0,IF((YEAR(D109)+0)&gt;YEAR(E109),1,(12-MONTH(E109)+1)/12))) + (Q109)*(IF((YEAR(D109)+0)&lt;YEAR(E109),0,IF((YEAR(D109)+0)&gt;YEAR(E109),1,(12-MONTH(E109)+1)/12))))-((P109)*(IF((YEAR(D109)+0)&lt;YEAR(E109),0,IF((YEAR(D109)+0)&gt;YEAR(E109),1,(12-MONTH(E109)+1)/12))) + (R109)*(IF((YEAR(D109)+0)&lt;YEAR(E109),0,IF((YEAR(D109)+0)&gt;YEAR(E109),1,(12-MONTH(E109)+1)/12))))-(IF(OR(N109="",N109&lt;=0),0,(O109/N109)*(IF(OR(N109="",N109&lt;=0),0,IF((YEAR(D109)+0)&lt;YEAR(E109),0,IF((YEAR(D109)+0)&gt;=YEAR(E109)+N109,0,IF((YEAR(D109)+0)=YEAR(E109),(12-MONTH(E109)+1)/12,1))))))))&gt;0,(((K109)*(IF(M109="",L109,IFERROR(IF(INDEX(Variablen!$I:$AT, MATCH(M109, Variablen!$A:$A, 0), MATCH((YEAR(D109)+0), Variablen!$I$3:$AT$3, 0))="",L109,INDEX(Variablen!$I:$AT, MATCH(M109, Variablen!$A:$A, 0), MATCH((YEAR(D109)+0), Variablen!$I$3:$AT$3, 0))),L109)))*(IF((YEAR(D109)+0)&lt;YEAR(E109),0,IF((YEAR(D109)+0)&gt;YEAR(E109),1,(12-MONTH(E109)+1)/12))) + (Q109)*(IF((YEAR(D109)+0)&lt;YEAR(E109),0,IF((YEAR(D109)+0)&gt;YEAR(E109),1,(12-MONTH(E109)+1)/12))))-((P109)*(IF((YEAR(D109)+0)&lt;YEAR(E109),0,IF((YEAR(D109)+0)&gt;YEAR(E109),1,(12-MONTH(E109)+1)/12))) + (R109)*(IF((YEAR(D109)+0)&lt;YEAR(E109),0,IF((YEAR(D109)+0)&gt;YEAR(E109),1,(12-MONTH(E109)+1)/12))))-(IF(OR(N109="",N109&lt;=0),0,(O109/N109)*(IF(OR(N109="",N109&lt;=0),0,IF((YEAR(D109)+0)&lt;YEAR(E109),0,IF((YEAR(D109)+0)&gt;=YEAR(E109)+N109,0,IF((YEAR(D109)+0)=YEAR(E109),(12-MONTH(E109)+1)/12,1))))))))*TaxRate,0))-IF(0=0,O109,0))</f>
        <v/>
      </c>
      <c r="T109" s="29">
        <f>IF(A109="","",((K109)*(IF(M109="",L109,IFERROR(IF(INDEX(Variablen!$I:$AT, MATCH(M109, Variablen!$A:$A, 0), MATCH((YEAR(D109)+1), Variablen!$I$3:$AT$3, 0))="",L109,INDEX(Variablen!$I:$AT, MATCH(M109, Variablen!$A:$A, 0), MATCH((YEAR(D109)+1), Variablen!$I$3:$AT$3, 0))),L109)))*(IF((YEAR(D109)+1)&lt;YEAR(E109),0,IF((YEAR(D109)+1)&gt;YEAR(E109),1,(12-MONTH(E109)+1)/12))) + (Q109)*(IF((YEAR(D109)+1)&lt;YEAR(E109),0,IF((YEAR(D109)+1)&gt;YEAR(E109),1,(12-MONTH(E109)+1)/12))))-((P109)*(IF((YEAR(D109)+1)&lt;YEAR(E109),0,IF((YEAR(D109)+1)&gt;YEAR(E109),1,(12-MONTH(E109)+1)/12))) + (R109)*(IF((YEAR(D109)+1)&lt;YEAR(E109),0,IF((YEAR(D109)+1)&gt;YEAR(E109),1,(12-MONTH(E109)+1)/12))))-(IF((((K109)*(IF(M109="",L109,IFERROR(IF(INDEX(Variablen!$I:$AT, MATCH(M109, Variablen!$A:$A, 0), MATCH((YEAR(D109)+1), Variablen!$I$3:$AT$3, 0))="",L109,INDEX(Variablen!$I:$AT, MATCH(M109, Variablen!$A:$A, 0), MATCH((YEAR(D109)+1), Variablen!$I$3:$AT$3, 0))),L109)))*(IF((YEAR(D109)+1)&lt;YEAR(E109),0,IF((YEAR(D109)+1)&gt;YEAR(E109),1,(12-MONTH(E109)+1)/12))) + (Q109)*(IF((YEAR(D109)+1)&lt;YEAR(E109),0,IF((YEAR(D109)+1)&gt;YEAR(E109),1,(12-MONTH(E109)+1)/12))))-((P109)*(IF((YEAR(D109)+1)&lt;YEAR(E109),0,IF((YEAR(D109)+1)&gt;YEAR(E109),1,(12-MONTH(E109)+1)/12))) + (R109)*(IF((YEAR(D109)+1)&lt;YEAR(E109),0,IF((YEAR(D109)+1)&gt;YEAR(E109),1,(12-MONTH(E109)+1)/12))))-(IF(OR(N109="",N109&lt;=0),0,(O109/N109)*(IF(OR(N109="",N109&lt;=0),0,IF((YEAR(D109)+1)&lt;YEAR(E109),0,IF((YEAR(D109)+1)&gt;=YEAR(E109)+N109,0,IF((YEAR(D109)+1)=YEAR(E109),(12-MONTH(E109)+1)/12,1))))))))&gt;0,(((K109)*(IF(M109="",L109,IFERROR(IF(INDEX(Variablen!$I:$AT, MATCH(M109, Variablen!$A:$A, 0), MATCH((YEAR(D109)+1), Variablen!$I$3:$AT$3, 0))="",L109,INDEX(Variablen!$I:$AT, MATCH(M109, Variablen!$A:$A, 0), MATCH((YEAR(D109)+1), Variablen!$I$3:$AT$3, 0))),L109)))*(IF((YEAR(D109)+1)&lt;YEAR(E109),0,IF((YEAR(D109)+1)&gt;YEAR(E109),1,(12-MONTH(E109)+1)/12))) + (Q109)*(IF((YEAR(D109)+1)&lt;YEAR(E109),0,IF((YEAR(D109)+1)&gt;YEAR(E109),1,(12-MONTH(E109)+1)/12))))-((P109)*(IF((YEAR(D109)+1)&lt;YEAR(E109),0,IF((YEAR(D109)+1)&gt;YEAR(E109),1,(12-MONTH(E109)+1)/12))) + (R109)*(IF((YEAR(D109)+1)&lt;YEAR(E109),0,IF((YEAR(D109)+1)&gt;YEAR(E109),1,(12-MONTH(E109)+1)/12))))-(IF(OR(N109="",N109&lt;=0),0,(O109/N109)*(IF(OR(N109="",N109&lt;=0),0,IF((YEAR(D109)+1)&lt;YEAR(E109),0,IF((YEAR(D109)+1)&gt;=YEAR(E109)+N109,0,IF((YEAR(D109)+1)=YEAR(E109),(12-MONTH(E109)+1)/12,1))))))))*TaxRate,0))-IF(1=0,O109,0))</f>
        <v/>
      </c>
      <c r="U109" s="29">
        <f>IF(A109="","",((K109)*(IF(M109="",L109,IFERROR(IF(INDEX(Variablen!$I:$AT, MATCH(M109, Variablen!$A:$A, 0), MATCH((YEAR(D109)+2), Variablen!$I$3:$AT$3, 0))="",L109,INDEX(Variablen!$I:$AT, MATCH(M109, Variablen!$A:$A, 0), MATCH((YEAR(D109)+2), Variablen!$I$3:$AT$3, 0))),L109)))*(IF((YEAR(D109)+2)&lt;YEAR(E109),0,IF((YEAR(D109)+2)&gt;YEAR(E109),1,(12-MONTH(E109)+1)/12))) + (Q109)*(IF((YEAR(D109)+2)&lt;YEAR(E109),0,IF((YEAR(D109)+2)&gt;YEAR(E109),1,(12-MONTH(E109)+1)/12))))-((P109)*(IF((YEAR(D109)+2)&lt;YEAR(E109),0,IF((YEAR(D109)+2)&gt;YEAR(E109),1,(12-MONTH(E109)+1)/12))) + (R109)*(IF((YEAR(D109)+2)&lt;YEAR(E109),0,IF((YEAR(D109)+2)&gt;YEAR(E109),1,(12-MONTH(E109)+1)/12))))-(IF((((K109)*(IF(M109="",L109,IFERROR(IF(INDEX(Variablen!$I:$AT, MATCH(M109, Variablen!$A:$A, 0), MATCH((YEAR(D109)+2), Variablen!$I$3:$AT$3, 0))="",L109,INDEX(Variablen!$I:$AT, MATCH(M109, Variablen!$A:$A, 0), MATCH((YEAR(D109)+2), Variablen!$I$3:$AT$3, 0))),L109)))*(IF((YEAR(D109)+2)&lt;YEAR(E109),0,IF((YEAR(D109)+2)&gt;YEAR(E109),1,(12-MONTH(E109)+1)/12))) + (Q109)*(IF((YEAR(D109)+2)&lt;YEAR(E109),0,IF((YEAR(D109)+2)&gt;YEAR(E109),1,(12-MONTH(E109)+1)/12))))-((P109)*(IF((YEAR(D109)+2)&lt;YEAR(E109),0,IF((YEAR(D109)+2)&gt;YEAR(E109),1,(12-MONTH(E109)+1)/12))) + (R109)*(IF((YEAR(D109)+2)&lt;YEAR(E109),0,IF((YEAR(D109)+2)&gt;YEAR(E109),1,(12-MONTH(E109)+1)/12))))-(IF(OR(N109="",N109&lt;=0),0,(O109/N109)*(IF(OR(N109="",N109&lt;=0),0,IF((YEAR(D109)+2)&lt;YEAR(E109),0,IF((YEAR(D109)+2)&gt;=YEAR(E109)+N109,0,IF((YEAR(D109)+2)=YEAR(E109),(12-MONTH(E109)+1)/12,1))))))))&gt;0,(((K109)*(IF(M109="",L109,IFERROR(IF(INDEX(Variablen!$I:$AT, MATCH(M109, Variablen!$A:$A, 0), MATCH((YEAR(D109)+2), Variablen!$I$3:$AT$3, 0))="",L109,INDEX(Variablen!$I:$AT, MATCH(M109, Variablen!$A:$A, 0), MATCH((YEAR(D109)+2), Variablen!$I$3:$AT$3, 0))),L109)))*(IF((YEAR(D109)+2)&lt;YEAR(E109),0,IF((YEAR(D109)+2)&gt;YEAR(E109),1,(12-MONTH(E109)+1)/12))) + (Q109)*(IF((YEAR(D109)+2)&lt;YEAR(E109),0,IF((YEAR(D109)+2)&gt;YEAR(E109),1,(12-MONTH(E109)+1)/12))))-((P109)*(IF((YEAR(D109)+2)&lt;YEAR(E109),0,IF((YEAR(D109)+2)&gt;YEAR(E109),1,(12-MONTH(E109)+1)/12))) + (R109)*(IF((YEAR(D109)+2)&lt;YEAR(E109),0,IF((YEAR(D109)+2)&gt;YEAR(E109),1,(12-MONTH(E109)+1)/12))))-(IF(OR(N109="",N109&lt;=0),0,(O109/N109)*(IF(OR(N109="",N109&lt;=0),0,IF((YEAR(D109)+2)&lt;YEAR(E109),0,IF((YEAR(D109)+2)&gt;=YEAR(E109)+N109,0,IF((YEAR(D109)+2)=YEAR(E109),(12-MONTH(E109)+1)/12,1))))))))*TaxRate,0))-IF(2=0,O109,0))</f>
        <v/>
      </c>
      <c r="V109" s="29">
        <f>IF(A109="","",((K109)*(IF(M109="",L109,IFERROR(IF(INDEX(Variablen!$I:$AT, MATCH(M109, Variablen!$A:$A, 0), MATCH((YEAR(D109)+3), Variablen!$I$3:$AT$3, 0))="",L109,INDEX(Variablen!$I:$AT, MATCH(M109, Variablen!$A:$A, 0), MATCH((YEAR(D109)+3), Variablen!$I$3:$AT$3, 0))),L109)))*(IF((YEAR(D109)+3)&lt;YEAR(E109),0,IF((YEAR(D109)+3)&gt;YEAR(E109),1,(12-MONTH(E109)+1)/12))) + (Q109)*(IF((YEAR(D109)+3)&lt;YEAR(E109),0,IF((YEAR(D109)+3)&gt;YEAR(E109),1,(12-MONTH(E109)+1)/12))))-((P109)*(IF((YEAR(D109)+3)&lt;YEAR(E109),0,IF((YEAR(D109)+3)&gt;YEAR(E109),1,(12-MONTH(E109)+1)/12))) + (R109)*(IF((YEAR(D109)+3)&lt;YEAR(E109),0,IF((YEAR(D109)+3)&gt;YEAR(E109),1,(12-MONTH(E109)+1)/12))))-(IF((((K109)*(IF(M109="",L109,IFERROR(IF(INDEX(Variablen!$I:$AT, MATCH(M109, Variablen!$A:$A, 0), MATCH((YEAR(D109)+3), Variablen!$I$3:$AT$3, 0))="",L109,INDEX(Variablen!$I:$AT, MATCH(M109, Variablen!$A:$A, 0), MATCH((YEAR(D109)+3), Variablen!$I$3:$AT$3, 0))),L109)))*(IF((YEAR(D109)+3)&lt;YEAR(E109),0,IF((YEAR(D109)+3)&gt;YEAR(E109),1,(12-MONTH(E109)+1)/12))) + (Q109)*(IF((YEAR(D109)+3)&lt;YEAR(E109),0,IF((YEAR(D109)+3)&gt;YEAR(E109),1,(12-MONTH(E109)+1)/12))))-((P109)*(IF((YEAR(D109)+3)&lt;YEAR(E109),0,IF((YEAR(D109)+3)&gt;YEAR(E109),1,(12-MONTH(E109)+1)/12))) + (R109)*(IF((YEAR(D109)+3)&lt;YEAR(E109),0,IF((YEAR(D109)+3)&gt;YEAR(E109),1,(12-MONTH(E109)+1)/12))))-(IF(OR(N109="",N109&lt;=0),0,(O109/N109)*(IF(OR(N109="",N109&lt;=0),0,IF((YEAR(D109)+3)&lt;YEAR(E109),0,IF((YEAR(D109)+3)&gt;=YEAR(E109)+N109,0,IF((YEAR(D109)+3)=YEAR(E109),(12-MONTH(E109)+1)/12,1))))))))&gt;0,(((K109)*(IF(M109="",L109,IFERROR(IF(INDEX(Variablen!$I:$AT, MATCH(M109, Variablen!$A:$A, 0), MATCH((YEAR(D109)+3), Variablen!$I$3:$AT$3, 0))="",L109,INDEX(Variablen!$I:$AT, MATCH(M109, Variablen!$A:$A, 0), MATCH((YEAR(D109)+3), Variablen!$I$3:$AT$3, 0))),L109)))*(IF((YEAR(D109)+3)&lt;YEAR(E109),0,IF((YEAR(D109)+3)&gt;YEAR(E109),1,(12-MONTH(E109)+1)/12))) + (Q109)*(IF((YEAR(D109)+3)&lt;YEAR(E109),0,IF((YEAR(D109)+3)&gt;YEAR(E109),1,(12-MONTH(E109)+1)/12))))-((P109)*(IF((YEAR(D109)+3)&lt;YEAR(E109),0,IF((YEAR(D109)+3)&gt;YEAR(E109),1,(12-MONTH(E109)+1)/12))) + (R109)*(IF((YEAR(D109)+3)&lt;YEAR(E109),0,IF((YEAR(D109)+3)&gt;YEAR(E109),1,(12-MONTH(E109)+1)/12))))-(IF(OR(N109="",N109&lt;=0),0,(O109/N109)*(IF(OR(N109="",N109&lt;=0),0,IF((YEAR(D109)+3)&lt;YEAR(E109),0,IF((YEAR(D109)+3)&gt;=YEAR(E109)+N109,0,IF((YEAR(D109)+3)=YEAR(E109),(12-MONTH(E109)+1)/12,1))))))))*TaxRate,0))-IF(3=0,O109,0))</f>
        <v/>
      </c>
      <c r="W109" s="29">
        <f>IF(A109="","",((K109)*(IF(M109="",L109,IFERROR(IF(INDEX(Variablen!$I:$AT, MATCH(M109, Variablen!$A:$A, 0), MATCH((YEAR(D109)+4), Variablen!$I$3:$AT$3, 0))="",L109,INDEX(Variablen!$I:$AT, MATCH(M109, Variablen!$A:$A, 0), MATCH((YEAR(D109)+4), Variablen!$I$3:$AT$3, 0))),L109)))*(IF((YEAR(D109)+4)&lt;YEAR(E109),0,IF((YEAR(D109)+4)&gt;YEAR(E109),1,(12-MONTH(E109)+1)/12))) + (Q109)*(IF((YEAR(D109)+4)&lt;YEAR(E109),0,IF((YEAR(D109)+4)&gt;YEAR(E109),1,(12-MONTH(E109)+1)/12))))-((P109)*(IF((YEAR(D109)+4)&lt;YEAR(E109),0,IF((YEAR(D109)+4)&gt;YEAR(E109),1,(12-MONTH(E109)+1)/12))) + (R109)*(IF((YEAR(D109)+4)&lt;YEAR(E109),0,IF((YEAR(D109)+4)&gt;YEAR(E109),1,(12-MONTH(E109)+1)/12))))-(IF((((K109)*(IF(M109="",L109,IFERROR(IF(INDEX(Variablen!$I:$AT, MATCH(M109, Variablen!$A:$A, 0), MATCH((YEAR(D109)+4), Variablen!$I$3:$AT$3, 0))="",L109,INDEX(Variablen!$I:$AT, MATCH(M109, Variablen!$A:$A, 0), MATCH((YEAR(D109)+4), Variablen!$I$3:$AT$3, 0))),L109)))*(IF((YEAR(D109)+4)&lt;YEAR(E109),0,IF((YEAR(D109)+4)&gt;YEAR(E109),1,(12-MONTH(E109)+1)/12))) + (Q109)*(IF((YEAR(D109)+4)&lt;YEAR(E109),0,IF((YEAR(D109)+4)&gt;YEAR(E109),1,(12-MONTH(E109)+1)/12))))-((P109)*(IF((YEAR(D109)+4)&lt;YEAR(E109),0,IF((YEAR(D109)+4)&gt;YEAR(E109),1,(12-MONTH(E109)+1)/12))) + (R109)*(IF((YEAR(D109)+4)&lt;YEAR(E109),0,IF((YEAR(D109)+4)&gt;YEAR(E109),1,(12-MONTH(E109)+1)/12))))-(IF(OR(N109="",N109&lt;=0),0,(O109/N109)*(IF(OR(N109="",N109&lt;=0),0,IF((YEAR(D109)+4)&lt;YEAR(E109),0,IF((YEAR(D109)+4)&gt;=YEAR(E109)+N109,0,IF((YEAR(D109)+4)=YEAR(E109),(12-MONTH(E109)+1)/12,1))))))))&gt;0,(((K109)*(IF(M109="",L109,IFERROR(IF(INDEX(Variablen!$I:$AT, MATCH(M109, Variablen!$A:$A, 0), MATCH((YEAR(D109)+4), Variablen!$I$3:$AT$3, 0))="",L109,INDEX(Variablen!$I:$AT, MATCH(M109, Variablen!$A:$A, 0), MATCH((YEAR(D109)+4), Variablen!$I$3:$AT$3, 0))),L109)))*(IF((YEAR(D109)+4)&lt;YEAR(E109),0,IF((YEAR(D109)+4)&gt;YEAR(E109),1,(12-MONTH(E109)+1)/12))) + (Q109)*(IF((YEAR(D109)+4)&lt;YEAR(E109),0,IF((YEAR(D109)+4)&gt;YEAR(E109),1,(12-MONTH(E109)+1)/12))))-((P109)*(IF((YEAR(D109)+4)&lt;YEAR(E109),0,IF((YEAR(D109)+4)&gt;YEAR(E109),1,(12-MONTH(E109)+1)/12))) + (R109)*(IF((YEAR(D109)+4)&lt;YEAR(E109),0,IF((YEAR(D109)+4)&gt;YEAR(E109),1,(12-MONTH(E109)+1)/12))))-(IF(OR(N109="",N109&lt;=0),0,(O109/N109)*(IF(OR(N109="",N109&lt;=0),0,IF((YEAR(D109)+4)&lt;YEAR(E109),0,IF((YEAR(D109)+4)&gt;=YEAR(E109)+N109,0,IF((YEAR(D109)+4)=YEAR(E109),(12-MONTH(E109)+1)/12,1))))))))*TaxRate,0))-IF(4=0,O109,0))</f>
        <v/>
      </c>
      <c r="X109" s="29">
        <f>IF(A109="","",((K109)*(IF(M109="",L109,IFERROR(IF(INDEX(Variablen!$I:$AT, MATCH(M109, Variablen!$A:$A, 0), MATCH((YEAR(D109)+5), Variablen!$I$3:$AT$3, 0))="",L109,INDEX(Variablen!$I:$AT, MATCH(M109, Variablen!$A:$A, 0), MATCH((YEAR(D109)+5), Variablen!$I$3:$AT$3, 0))),L109)))*(IF((YEAR(D109)+5)&lt;YEAR(E109),0,IF((YEAR(D109)+5)&gt;YEAR(E109),1,(12-MONTH(E109)+1)/12))) + (Q109)*(IF((YEAR(D109)+5)&lt;YEAR(E109),0,IF((YEAR(D109)+5)&gt;YEAR(E109),1,(12-MONTH(E109)+1)/12))))-((P109)*(IF((YEAR(D109)+5)&lt;YEAR(E109),0,IF((YEAR(D109)+5)&gt;YEAR(E109),1,(12-MONTH(E109)+1)/12))) + (R109)*(IF((YEAR(D109)+5)&lt;YEAR(E109),0,IF((YEAR(D109)+5)&gt;YEAR(E109),1,(12-MONTH(E109)+1)/12))))-(IF((((K109)*(IF(M109="",L109,IFERROR(IF(INDEX(Variablen!$I:$AT, MATCH(M109, Variablen!$A:$A, 0), MATCH((YEAR(D109)+5), Variablen!$I$3:$AT$3, 0))="",L109,INDEX(Variablen!$I:$AT, MATCH(M109, Variablen!$A:$A, 0), MATCH((YEAR(D109)+5), Variablen!$I$3:$AT$3, 0))),L109)))*(IF((YEAR(D109)+5)&lt;YEAR(E109),0,IF((YEAR(D109)+5)&gt;YEAR(E109),1,(12-MONTH(E109)+1)/12))) + (Q109)*(IF((YEAR(D109)+5)&lt;YEAR(E109),0,IF((YEAR(D109)+5)&gt;YEAR(E109),1,(12-MONTH(E109)+1)/12))))-((P109)*(IF((YEAR(D109)+5)&lt;YEAR(E109),0,IF((YEAR(D109)+5)&gt;YEAR(E109),1,(12-MONTH(E109)+1)/12))) + (R109)*(IF((YEAR(D109)+5)&lt;YEAR(E109),0,IF((YEAR(D109)+5)&gt;YEAR(E109),1,(12-MONTH(E109)+1)/12))))-(IF(OR(N109="",N109&lt;=0),0,(O109/N109)*(IF(OR(N109="",N109&lt;=0),0,IF((YEAR(D109)+5)&lt;YEAR(E109),0,IF((YEAR(D109)+5)&gt;=YEAR(E109)+N109,0,IF((YEAR(D109)+5)=YEAR(E109),(12-MONTH(E109)+1)/12,1))))))))&gt;0,(((K109)*(IF(M109="",L109,IFERROR(IF(INDEX(Variablen!$I:$AT, MATCH(M109, Variablen!$A:$A, 0), MATCH((YEAR(D109)+5), Variablen!$I$3:$AT$3, 0))="",L109,INDEX(Variablen!$I:$AT, MATCH(M109, Variablen!$A:$A, 0), MATCH((YEAR(D109)+5), Variablen!$I$3:$AT$3, 0))),L109)))*(IF((YEAR(D109)+5)&lt;YEAR(E109),0,IF((YEAR(D109)+5)&gt;YEAR(E109),1,(12-MONTH(E109)+1)/12))) + (Q109)*(IF((YEAR(D109)+5)&lt;YEAR(E109),0,IF((YEAR(D109)+5)&gt;YEAR(E109),1,(12-MONTH(E109)+1)/12))))-((P109)*(IF((YEAR(D109)+5)&lt;YEAR(E109),0,IF((YEAR(D109)+5)&gt;YEAR(E109),1,(12-MONTH(E109)+1)/12))) + (R109)*(IF((YEAR(D109)+5)&lt;YEAR(E109),0,IF((YEAR(D109)+5)&gt;YEAR(E109),1,(12-MONTH(E109)+1)/12))))-(IF(OR(N109="",N109&lt;=0),0,(O109/N109)*(IF(OR(N109="",N109&lt;=0),0,IF((YEAR(D109)+5)&lt;YEAR(E109),0,IF((YEAR(D109)+5)&gt;=YEAR(E109)+N109,0,IF((YEAR(D109)+5)=YEAR(E109),(12-MONTH(E109)+1)/12,1))))))))*TaxRate,0))-IF(5=0,O109,0))</f>
        <v/>
      </c>
      <c r="Y109" s="29">
        <f>IF(A109="","",((K109)*(IF(M109="",L109,IFERROR(IF(INDEX(Variablen!$I:$AT, MATCH(M109, Variablen!$A:$A, 0), MATCH((YEAR(D109)+6), Variablen!$I$3:$AT$3, 0))="",L109,INDEX(Variablen!$I:$AT, MATCH(M109, Variablen!$A:$A, 0), MATCH((YEAR(D109)+6), Variablen!$I$3:$AT$3, 0))),L109)))*(IF((YEAR(D109)+6)&lt;YEAR(E109),0,IF((YEAR(D109)+6)&gt;YEAR(E109),1,(12-MONTH(E109)+1)/12))) + (Q109)*(IF((YEAR(D109)+6)&lt;YEAR(E109),0,IF((YEAR(D109)+6)&gt;YEAR(E109),1,(12-MONTH(E109)+1)/12))))-((P109)*(IF((YEAR(D109)+6)&lt;YEAR(E109),0,IF((YEAR(D109)+6)&gt;YEAR(E109),1,(12-MONTH(E109)+1)/12))) + (R109)*(IF((YEAR(D109)+6)&lt;YEAR(E109),0,IF((YEAR(D109)+6)&gt;YEAR(E109),1,(12-MONTH(E109)+1)/12))))-(IF((((K109)*(IF(M109="",L109,IFERROR(IF(INDEX(Variablen!$I:$AT, MATCH(M109, Variablen!$A:$A, 0), MATCH((YEAR(D109)+6), Variablen!$I$3:$AT$3, 0))="",L109,INDEX(Variablen!$I:$AT, MATCH(M109, Variablen!$A:$A, 0), MATCH((YEAR(D109)+6), Variablen!$I$3:$AT$3, 0))),L109)))*(IF((YEAR(D109)+6)&lt;YEAR(E109),0,IF((YEAR(D109)+6)&gt;YEAR(E109),1,(12-MONTH(E109)+1)/12))) + (Q109)*(IF((YEAR(D109)+6)&lt;YEAR(E109),0,IF((YEAR(D109)+6)&gt;YEAR(E109),1,(12-MONTH(E109)+1)/12))))-((P109)*(IF((YEAR(D109)+6)&lt;YEAR(E109),0,IF((YEAR(D109)+6)&gt;YEAR(E109),1,(12-MONTH(E109)+1)/12))) + (R109)*(IF((YEAR(D109)+6)&lt;YEAR(E109),0,IF((YEAR(D109)+6)&gt;YEAR(E109),1,(12-MONTH(E109)+1)/12))))-(IF(OR(N109="",N109&lt;=0),0,(O109/N109)*(IF(OR(N109="",N109&lt;=0),0,IF((YEAR(D109)+6)&lt;YEAR(E109),0,IF((YEAR(D109)+6)&gt;=YEAR(E109)+N109,0,IF((YEAR(D109)+6)=YEAR(E109),(12-MONTH(E109)+1)/12,1))))))))&gt;0,(((K109)*(IF(M109="",L109,IFERROR(IF(INDEX(Variablen!$I:$AT, MATCH(M109, Variablen!$A:$A, 0), MATCH((YEAR(D109)+6), Variablen!$I$3:$AT$3, 0))="",L109,INDEX(Variablen!$I:$AT, MATCH(M109, Variablen!$A:$A, 0), MATCH((YEAR(D109)+6), Variablen!$I$3:$AT$3, 0))),L109)))*(IF((YEAR(D109)+6)&lt;YEAR(E109),0,IF((YEAR(D109)+6)&gt;YEAR(E109),1,(12-MONTH(E109)+1)/12))) + (Q109)*(IF((YEAR(D109)+6)&lt;YEAR(E109),0,IF((YEAR(D109)+6)&gt;YEAR(E109),1,(12-MONTH(E109)+1)/12))))-((P109)*(IF((YEAR(D109)+6)&lt;YEAR(E109),0,IF((YEAR(D109)+6)&gt;YEAR(E109),1,(12-MONTH(E109)+1)/12))) + (R109)*(IF((YEAR(D109)+6)&lt;YEAR(E109),0,IF((YEAR(D109)+6)&gt;YEAR(E109),1,(12-MONTH(E109)+1)/12))))-(IF(OR(N109="",N109&lt;=0),0,(O109/N109)*(IF(OR(N109="",N109&lt;=0),0,IF((YEAR(D109)+6)&lt;YEAR(E109),0,IF((YEAR(D109)+6)&gt;=YEAR(E109)+N109,0,IF((YEAR(D109)+6)=YEAR(E109),(12-MONTH(E109)+1)/12,1))))))))*TaxRate,0))-IF(6=0,O109,0))</f>
        <v/>
      </c>
      <c r="Z109" s="29">
        <f>IF(A109="","",((K109)*(IF(M109="",L109,IFERROR(IF(INDEX(Variablen!$I:$AT, MATCH(M109, Variablen!$A:$A, 0), MATCH((YEAR(D109)+7), Variablen!$I$3:$AT$3, 0))="",L109,INDEX(Variablen!$I:$AT, MATCH(M109, Variablen!$A:$A, 0), MATCH((YEAR(D109)+7), Variablen!$I$3:$AT$3, 0))),L109)))*(IF((YEAR(D109)+7)&lt;YEAR(E109),0,IF((YEAR(D109)+7)&gt;YEAR(E109),1,(12-MONTH(E109)+1)/12))) + (Q109)*(IF((YEAR(D109)+7)&lt;YEAR(E109),0,IF((YEAR(D109)+7)&gt;YEAR(E109),1,(12-MONTH(E109)+1)/12))))-((P109)*(IF((YEAR(D109)+7)&lt;YEAR(E109),0,IF((YEAR(D109)+7)&gt;YEAR(E109),1,(12-MONTH(E109)+1)/12))) + (R109)*(IF((YEAR(D109)+7)&lt;YEAR(E109),0,IF((YEAR(D109)+7)&gt;YEAR(E109),1,(12-MONTH(E109)+1)/12))))-(IF((((K109)*(IF(M109="",L109,IFERROR(IF(INDEX(Variablen!$I:$AT, MATCH(M109, Variablen!$A:$A, 0), MATCH((YEAR(D109)+7), Variablen!$I$3:$AT$3, 0))="",L109,INDEX(Variablen!$I:$AT, MATCH(M109, Variablen!$A:$A, 0), MATCH((YEAR(D109)+7), Variablen!$I$3:$AT$3, 0))),L109)))*(IF((YEAR(D109)+7)&lt;YEAR(E109),0,IF((YEAR(D109)+7)&gt;YEAR(E109),1,(12-MONTH(E109)+1)/12))) + (Q109)*(IF((YEAR(D109)+7)&lt;YEAR(E109),0,IF((YEAR(D109)+7)&gt;YEAR(E109),1,(12-MONTH(E109)+1)/12))))-((P109)*(IF((YEAR(D109)+7)&lt;YEAR(E109),0,IF((YEAR(D109)+7)&gt;YEAR(E109),1,(12-MONTH(E109)+1)/12))) + (R109)*(IF((YEAR(D109)+7)&lt;YEAR(E109),0,IF((YEAR(D109)+7)&gt;YEAR(E109),1,(12-MONTH(E109)+1)/12))))-(IF(OR(N109="",N109&lt;=0),0,(O109/N109)*(IF(OR(N109="",N109&lt;=0),0,IF((YEAR(D109)+7)&lt;YEAR(E109),0,IF((YEAR(D109)+7)&gt;=YEAR(E109)+N109,0,IF((YEAR(D109)+7)=YEAR(E109),(12-MONTH(E109)+1)/12,1))))))))&gt;0,(((K109)*(IF(M109="",L109,IFERROR(IF(INDEX(Variablen!$I:$AT, MATCH(M109, Variablen!$A:$A, 0), MATCH((YEAR(D109)+7), Variablen!$I$3:$AT$3, 0))="",L109,INDEX(Variablen!$I:$AT, MATCH(M109, Variablen!$A:$A, 0), MATCH((YEAR(D109)+7), Variablen!$I$3:$AT$3, 0))),L109)))*(IF((YEAR(D109)+7)&lt;YEAR(E109),0,IF((YEAR(D109)+7)&gt;YEAR(E109),1,(12-MONTH(E109)+1)/12))) + (Q109)*(IF((YEAR(D109)+7)&lt;YEAR(E109),0,IF((YEAR(D109)+7)&gt;YEAR(E109),1,(12-MONTH(E109)+1)/12))))-((P109)*(IF((YEAR(D109)+7)&lt;YEAR(E109),0,IF((YEAR(D109)+7)&gt;YEAR(E109),1,(12-MONTH(E109)+1)/12))) + (R109)*(IF((YEAR(D109)+7)&lt;YEAR(E109),0,IF((YEAR(D109)+7)&gt;YEAR(E109),1,(12-MONTH(E109)+1)/12))))-(IF(OR(N109="",N109&lt;=0),0,(O109/N109)*(IF(OR(N109="",N109&lt;=0),0,IF((YEAR(D109)+7)&lt;YEAR(E109),0,IF((YEAR(D109)+7)&gt;=YEAR(E109)+N109,0,IF((YEAR(D109)+7)=YEAR(E109),(12-MONTH(E109)+1)/12,1))))))))*TaxRate,0))-IF(7=0,O109,0))</f>
        <v/>
      </c>
      <c r="AA109" s="29">
        <f>IF(A109="","",((K109)*(IF(M109="",L109,IFERROR(IF(INDEX(Variablen!$I:$AT, MATCH(M109, Variablen!$A:$A, 0), MATCH((YEAR(D109)+8), Variablen!$I$3:$AT$3, 0))="",L109,INDEX(Variablen!$I:$AT, MATCH(M109, Variablen!$A:$A, 0), MATCH((YEAR(D109)+8), Variablen!$I$3:$AT$3, 0))),L109)))*(IF((YEAR(D109)+8)&lt;YEAR(E109),0,IF((YEAR(D109)+8)&gt;YEAR(E109),1,(12-MONTH(E109)+1)/12))) + (Q109)*(IF((YEAR(D109)+8)&lt;YEAR(E109),0,IF((YEAR(D109)+8)&gt;YEAR(E109),1,(12-MONTH(E109)+1)/12))))-((P109)*(IF((YEAR(D109)+8)&lt;YEAR(E109),0,IF((YEAR(D109)+8)&gt;YEAR(E109),1,(12-MONTH(E109)+1)/12))) + (R109)*(IF((YEAR(D109)+8)&lt;YEAR(E109),0,IF((YEAR(D109)+8)&gt;YEAR(E109),1,(12-MONTH(E109)+1)/12))))-(IF((((K109)*(IF(M109="",L109,IFERROR(IF(INDEX(Variablen!$I:$AT, MATCH(M109, Variablen!$A:$A, 0), MATCH((YEAR(D109)+8), Variablen!$I$3:$AT$3, 0))="",L109,INDEX(Variablen!$I:$AT, MATCH(M109, Variablen!$A:$A, 0), MATCH((YEAR(D109)+8), Variablen!$I$3:$AT$3, 0))),L109)))*(IF((YEAR(D109)+8)&lt;YEAR(E109),0,IF((YEAR(D109)+8)&gt;YEAR(E109),1,(12-MONTH(E109)+1)/12))) + (Q109)*(IF((YEAR(D109)+8)&lt;YEAR(E109),0,IF((YEAR(D109)+8)&gt;YEAR(E109),1,(12-MONTH(E109)+1)/12))))-((P109)*(IF((YEAR(D109)+8)&lt;YEAR(E109),0,IF((YEAR(D109)+8)&gt;YEAR(E109),1,(12-MONTH(E109)+1)/12))) + (R109)*(IF((YEAR(D109)+8)&lt;YEAR(E109),0,IF((YEAR(D109)+8)&gt;YEAR(E109),1,(12-MONTH(E109)+1)/12))))-(IF(OR(N109="",N109&lt;=0),0,(O109/N109)*(IF(OR(N109="",N109&lt;=0),0,IF((YEAR(D109)+8)&lt;YEAR(E109),0,IF((YEAR(D109)+8)&gt;=YEAR(E109)+N109,0,IF((YEAR(D109)+8)=YEAR(E109),(12-MONTH(E109)+1)/12,1))))))))&gt;0,(((K109)*(IF(M109="",L109,IFERROR(IF(INDEX(Variablen!$I:$AT, MATCH(M109, Variablen!$A:$A, 0), MATCH((YEAR(D109)+8), Variablen!$I$3:$AT$3, 0))="",L109,INDEX(Variablen!$I:$AT, MATCH(M109, Variablen!$A:$A, 0), MATCH((YEAR(D109)+8), Variablen!$I$3:$AT$3, 0))),L109)))*(IF((YEAR(D109)+8)&lt;YEAR(E109),0,IF((YEAR(D109)+8)&gt;YEAR(E109),1,(12-MONTH(E109)+1)/12))) + (Q109)*(IF((YEAR(D109)+8)&lt;YEAR(E109),0,IF((YEAR(D109)+8)&gt;YEAR(E109),1,(12-MONTH(E109)+1)/12))))-((P109)*(IF((YEAR(D109)+8)&lt;YEAR(E109),0,IF((YEAR(D109)+8)&gt;YEAR(E109),1,(12-MONTH(E109)+1)/12))) + (R109)*(IF((YEAR(D109)+8)&lt;YEAR(E109),0,IF((YEAR(D109)+8)&gt;YEAR(E109),1,(12-MONTH(E109)+1)/12))))-(IF(OR(N109="",N109&lt;=0),0,(O109/N109)*(IF(OR(N109="",N109&lt;=0),0,IF((YEAR(D109)+8)&lt;YEAR(E109),0,IF((YEAR(D109)+8)&gt;=YEAR(E109)+N109,0,IF((YEAR(D109)+8)=YEAR(E109),(12-MONTH(E109)+1)/12,1))))))))*TaxRate,0))-IF(8=0,O109,0))</f>
        <v/>
      </c>
      <c r="AB109" s="29">
        <f>IF(A109="","",((K109)*(IF(M109="",L109,IFERROR(IF(INDEX(Variablen!$I:$AT, MATCH(M109, Variablen!$A:$A, 0), MATCH((YEAR(D109)+9), Variablen!$I$3:$AT$3, 0))="",L109,INDEX(Variablen!$I:$AT, MATCH(M109, Variablen!$A:$A, 0), MATCH((YEAR(D109)+9), Variablen!$I$3:$AT$3, 0))),L109)))*(IF((YEAR(D109)+9)&lt;YEAR(E109),0,IF((YEAR(D109)+9)&gt;YEAR(E109),1,(12-MONTH(E109)+1)/12))) + (Q109)*(IF((YEAR(D109)+9)&lt;YEAR(E109),0,IF((YEAR(D109)+9)&gt;YEAR(E109),1,(12-MONTH(E109)+1)/12))))-((P109)*(IF((YEAR(D109)+9)&lt;YEAR(E109),0,IF((YEAR(D109)+9)&gt;YEAR(E109),1,(12-MONTH(E109)+1)/12))) + (R109)*(IF((YEAR(D109)+9)&lt;YEAR(E109),0,IF((YEAR(D109)+9)&gt;YEAR(E109),1,(12-MONTH(E109)+1)/12))))-(IF((((K109)*(IF(M109="",L109,IFERROR(IF(INDEX(Variablen!$I:$AT, MATCH(M109, Variablen!$A:$A, 0), MATCH((YEAR(D109)+9), Variablen!$I$3:$AT$3, 0))="",L109,INDEX(Variablen!$I:$AT, MATCH(M109, Variablen!$A:$A, 0), MATCH((YEAR(D109)+9), Variablen!$I$3:$AT$3, 0))),L109)))*(IF((YEAR(D109)+9)&lt;YEAR(E109),0,IF((YEAR(D109)+9)&gt;YEAR(E109),1,(12-MONTH(E109)+1)/12))) + (Q109)*(IF((YEAR(D109)+9)&lt;YEAR(E109),0,IF((YEAR(D109)+9)&gt;YEAR(E109),1,(12-MONTH(E109)+1)/12))))-((P109)*(IF((YEAR(D109)+9)&lt;YEAR(E109),0,IF((YEAR(D109)+9)&gt;YEAR(E109),1,(12-MONTH(E109)+1)/12))) + (R109)*(IF((YEAR(D109)+9)&lt;YEAR(E109),0,IF((YEAR(D109)+9)&gt;YEAR(E109),1,(12-MONTH(E109)+1)/12))))-(IF(OR(N109="",N109&lt;=0),0,(O109/N109)*(IF(OR(N109="",N109&lt;=0),0,IF((YEAR(D109)+9)&lt;YEAR(E109),0,IF((YEAR(D109)+9)&gt;=YEAR(E109)+N109,0,IF((YEAR(D109)+9)=YEAR(E109),(12-MONTH(E109)+1)/12,1))))))))&gt;0,(((K109)*(IF(M109="",L109,IFERROR(IF(INDEX(Variablen!$I:$AT, MATCH(M109, Variablen!$A:$A, 0), MATCH((YEAR(D109)+9), Variablen!$I$3:$AT$3, 0))="",L109,INDEX(Variablen!$I:$AT, MATCH(M109, Variablen!$A:$A, 0), MATCH((YEAR(D109)+9), Variablen!$I$3:$AT$3, 0))),L109)))*(IF((YEAR(D109)+9)&lt;YEAR(E109),0,IF((YEAR(D109)+9)&gt;YEAR(E109),1,(12-MONTH(E109)+1)/12))) + (Q109)*(IF((YEAR(D109)+9)&lt;YEAR(E109),0,IF((YEAR(D109)+9)&gt;YEAR(E109),1,(12-MONTH(E109)+1)/12))))-((P109)*(IF((YEAR(D109)+9)&lt;YEAR(E109),0,IF((YEAR(D109)+9)&gt;YEAR(E109),1,(12-MONTH(E109)+1)/12))) + (R109)*(IF((YEAR(D109)+9)&lt;YEAR(E109),0,IF((YEAR(D109)+9)&gt;YEAR(E109),1,(12-MONTH(E109)+1)/12))))-(IF(OR(N109="",N109&lt;=0),0,(O109/N109)*(IF(OR(N109="",N109&lt;=0),0,IF((YEAR(D109)+9)&lt;YEAR(E109),0,IF((YEAR(D109)+9)&gt;=YEAR(E109)+N109,0,IF((YEAR(D109)+9)=YEAR(E109),(12-MONTH(E109)+1)/12,1))))))))*TaxRate,0))-IF(9=0,O109,0))</f>
        <v/>
      </c>
      <c r="AC109" s="29">
        <f>IF(A109="","",((K109)*(IF(M109="",L109,IFERROR(IF(INDEX(Variablen!$I:$AT, MATCH(M109, Variablen!$A:$A, 0), MATCH((YEAR(D109)+10), Variablen!$I$3:$AT$3, 0))="",L109,INDEX(Variablen!$I:$AT, MATCH(M109, Variablen!$A:$A, 0), MATCH((YEAR(D109)+10), Variablen!$I$3:$AT$3, 0))),L109)))*(IF((YEAR(D109)+10)&lt;YEAR(E109),0,IF((YEAR(D109)+10)&gt;YEAR(E109),1,(12-MONTH(E109)+1)/12))) + (Q109)*(IF((YEAR(D109)+10)&lt;YEAR(E109),0,IF((YEAR(D109)+10)&gt;YEAR(E109),1,(12-MONTH(E109)+1)/12))))-((P109)*(IF((YEAR(D109)+10)&lt;YEAR(E109),0,IF((YEAR(D109)+10)&gt;YEAR(E109),1,(12-MONTH(E109)+1)/12))) + (R109)*(IF((YEAR(D109)+10)&lt;YEAR(E109),0,IF((YEAR(D109)+10)&gt;YEAR(E109),1,(12-MONTH(E109)+1)/12))))-(IF((((K109)*(IF(M109="",L109,IFERROR(IF(INDEX(Variablen!$I:$AT, MATCH(M109, Variablen!$A:$A, 0), MATCH((YEAR(D109)+10), Variablen!$I$3:$AT$3, 0))="",L109,INDEX(Variablen!$I:$AT, MATCH(M109, Variablen!$A:$A, 0), MATCH((YEAR(D109)+10), Variablen!$I$3:$AT$3, 0))),L109)))*(IF((YEAR(D109)+10)&lt;YEAR(E109),0,IF((YEAR(D109)+10)&gt;YEAR(E109),1,(12-MONTH(E109)+1)/12))) + (Q109)*(IF((YEAR(D109)+10)&lt;YEAR(E109),0,IF((YEAR(D109)+10)&gt;YEAR(E109),1,(12-MONTH(E109)+1)/12))))-((P109)*(IF((YEAR(D109)+10)&lt;YEAR(E109),0,IF((YEAR(D109)+10)&gt;YEAR(E109),1,(12-MONTH(E109)+1)/12))) + (R109)*(IF((YEAR(D109)+10)&lt;YEAR(E109),0,IF((YEAR(D109)+10)&gt;YEAR(E109),1,(12-MONTH(E109)+1)/12))))-(IF(OR(N109="",N109&lt;=0),0,(O109/N109)*(IF(OR(N109="",N109&lt;=0),0,IF((YEAR(D109)+10)&lt;YEAR(E109),0,IF((YEAR(D109)+10)&gt;=YEAR(E109)+N109,0,IF((YEAR(D109)+10)=YEAR(E109),(12-MONTH(E109)+1)/12,1))))))))&gt;0,(((K109)*(IF(M109="",L109,IFERROR(IF(INDEX(Variablen!$I:$AT, MATCH(M109, Variablen!$A:$A, 0), MATCH((YEAR(D109)+10), Variablen!$I$3:$AT$3, 0))="",L109,INDEX(Variablen!$I:$AT, MATCH(M109, Variablen!$A:$A, 0), MATCH((YEAR(D109)+10), Variablen!$I$3:$AT$3, 0))),L109)))*(IF((YEAR(D109)+10)&lt;YEAR(E109),0,IF((YEAR(D109)+10)&gt;YEAR(E109),1,(12-MONTH(E109)+1)/12))) + (Q109)*(IF((YEAR(D109)+10)&lt;YEAR(E109),0,IF((YEAR(D109)+10)&gt;YEAR(E109),1,(12-MONTH(E109)+1)/12))))-((P109)*(IF((YEAR(D109)+10)&lt;YEAR(E109),0,IF((YEAR(D109)+10)&gt;YEAR(E109),1,(12-MONTH(E109)+1)/12))) + (R109)*(IF((YEAR(D109)+10)&lt;YEAR(E109),0,IF((YEAR(D109)+10)&gt;YEAR(E109),1,(12-MONTH(E109)+1)/12))))-(IF(OR(N109="",N109&lt;=0),0,(O109/N109)*(IF(OR(N109="",N109&lt;=0),0,IF((YEAR(D109)+10)&lt;YEAR(E109),0,IF((YEAR(D109)+10)&gt;=YEAR(E109)+N109,0,IF((YEAR(D109)+10)=YEAR(E109),(12-MONTH(E109)+1)/12,1))))))))*TaxRate,0))-IF(10=0,O109,0))</f>
        <v/>
      </c>
      <c r="AD109" s="29">
        <f>IF(A109="","",((K109)*(IF(M109="",L109,IFERROR(IF(INDEX(Variablen!$I:$AT, MATCH(M109, Variablen!$A:$A, 0), MATCH((YEAR(D109)+11), Variablen!$I$3:$AT$3, 0))="",L109,INDEX(Variablen!$I:$AT, MATCH(M109, Variablen!$A:$A, 0), MATCH((YEAR(D109)+11), Variablen!$I$3:$AT$3, 0))),L109)))*(IF((YEAR(D109)+11)&lt;YEAR(E109),0,IF((YEAR(D109)+11)&gt;YEAR(E109),1,(12-MONTH(E109)+1)/12))) + (Q109)*(IF((YEAR(D109)+11)&lt;YEAR(E109),0,IF((YEAR(D109)+11)&gt;YEAR(E109),1,(12-MONTH(E109)+1)/12))))-((P109)*(IF((YEAR(D109)+11)&lt;YEAR(E109),0,IF((YEAR(D109)+11)&gt;YEAR(E109),1,(12-MONTH(E109)+1)/12))) + (R109)*(IF((YEAR(D109)+11)&lt;YEAR(E109),0,IF((YEAR(D109)+11)&gt;YEAR(E109),1,(12-MONTH(E109)+1)/12))))-(IF((((K109)*(IF(M109="",L109,IFERROR(IF(INDEX(Variablen!$I:$AT, MATCH(M109, Variablen!$A:$A, 0), MATCH((YEAR(D109)+11), Variablen!$I$3:$AT$3, 0))="",L109,INDEX(Variablen!$I:$AT, MATCH(M109, Variablen!$A:$A, 0), MATCH((YEAR(D109)+11), Variablen!$I$3:$AT$3, 0))),L109)))*(IF((YEAR(D109)+11)&lt;YEAR(E109),0,IF((YEAR(D109)+11)&gt;YEAR(E109),1,(12-MONTH(E109)+1)/12))) + (Q109)*(IF((YEAR(D109)+11)&lt;YEAR(E109),0,IF((YEAR(D109)+11)&gt;YEAR(E109),1,(12-MONTH(E109)+1)/12))))-((P109)*(IF((YEAR(D109)+11)&lt;YEAR(E109),0,IF((YEAR(D109)+11)&gt;YEAR(E109),1,(12-MONTH(E109)+1)/12))) + (R109)*(IF((YEAR(D109)+11)&lt;YEAR(E109),0,IF((YEAR(D109)+11)&gt;YEAR(E109),1,(12-MONTH(E109)+1)/12))))-(IF(OR(N109="",N109&lt;=0),0,(O109/N109)*(IF(OR(N109="",N109&lt;=0),0,IF((YEAR(D109)+11)&lt;YEAR(E109),0,IF((YEAR(D109)+11)&gt;=YEAR(E109)+N109,0,IF((YEAR(D109)+11)=YEAR(E109),(12-MONTH(E109)+1)/12,1))))))))&gt;0,(((K109)*(IF(M109="",L109,IFERROR(IF(INDEX(Variablen!$I:$AT, MATCH(M109, Variablen!$A:$A, 0), MATCH((YEAR(D109)+11), Variablen!$I$3:$AT$3, 0))="",L109,INDEX(Variablen!$I:$AT, MATCH(M109, Variablen!$A:$A, 0), MATCH((YEAR(D109)+11), Variablen!$I$3:$AT$3, 0))),L109)))*(IF((YEAR(D109)+11)&lt;YEAR(E109),0,IF((YEAR(D109)+11)&gt;YEAR(E109),1,(12-MONTH(E109)+1)/12))) + (Q109)*(IF((YEAR(D109)+11)&lt;YEAR(E109),0,IF((YEAR(D109)+11)&gt;YEAR(E109),1,(12-MONTH(E109)+1)/12))))-((P109)*(IF((YEAR(D109)+11)&lt;YEAR(E109),0,IF((YEAR(D109)+11)&gt;YEAR(E109),1,(12-MONTH(E109)+1)/12))) + (R109)*(IF((YEAR(D109)+11)&lt;YEAR(E109),0,IF((YEAR(D109)+11)&gt;YEAR(E109),1,(12-MONTH(E109)+1)/12))))-(IF(OR(N109="",N109&lt;=0),0,(O109/N109)*(IF(OR(N109="",N109&lt;=0),0,IF((YEAR(D109)+11)&lt;YEAR(E109),0,IF((YEAR(D109)+11)&gt;=YEAR(E109)+N109,0,IF((YEAR(D109)+11)=YEAR(E109),(12-MONTH(E109)+1)/12,1))))))))*TaxRate,0))-IF(11=0,O109,0))</f>
        <v/>
      </c>
      <c r="AE109" s="29">
        <f>IF(A109="","",((K109)*(IF(M109="",L109,IFERROR(IF(INDEX(Variablen!$I:$AT, MATCH(M109, Variablen!$A:$A, 0), MATCH((YEAR(D109)+12), Variablen!$I$3:$AT$3, 0))="",L109,INDEX(Variablen!$I:$AT, MATCH(M109, Variablen!$A:$A, 0), MATCH((YEAR(D109)+12), Variablen!$I$3:$AT$3, 0))),L109)))*(IF((YEAR(D109)+12)&lt;YEAR(E109),0,IF((YEAR(D109)+12)&gt;YEAR(E109),1,(12-MONTH(E109)+1)/12))) + (Q109)*(IF((YEAR(D109)+12)&lt;YEAR(E109),0,IF((YEAR(D109)+12)&gt;YEAR(E109),1,(12-MONTH(E109)+1)/12))))-((P109)*(IF((YEAR(D109)+12)&lt;YEAR(E109),0,IF((YEAR(D109)+12)&gt;YEAR(E109),1,(12-MONTH(E109)+1)/12))) + (R109)*(IF((YEAR(D109)+12)&lt;YEAR(E109),0,IF((YEAR(D109)+12)&gt;YEAR(E109),1,(12-MONTH(E109)+1)/12))))-(IF((((K109)*(IF(M109="",L109,IFERROR(IF(INDEX(Variablen!$I:$AT, MATCH(M109, Variablen!$A:$A, 0), MATCH((YEAR(D109)+12), Variablen!$I$3:$AT$3, 0))="",L109,INDEX(Variablen!$I:$AT, MATCH(M109, Variablen!$A:$A, 0), MATCH((YEAR(D109)+12), Variablen!$I$3:$AT$3, 0))),L109)))*(IF((YEAR(D109)+12)&lt;YEAR(E109),0,IF((YEAR(D109)+12)&gt;YEAR(E109),1,(12-MONTH(E109)+1)/12))) + (Q109)*(IF((YEAR(D109)+12)&lt;YEAR(E109),0,IF((YEAR(D109)+12)&gt;YEAR(E109),1,(12-MONTH(E109)+1)/12))))-((P109)*(IF((YEAR(D109)+12)&lt;YEAR(E109),0,IF((YEAR(D109)+12)&gt;YEAR(E109),1,(12-MONTH(E109)+1)/12))) + (R109)*(IF((YEAR(D109)+12)&lt;YEAR(E109),0,IF((YEAR(D109)+12)&gt;YEAR(E109),1,(12-MONTH(E109)+1)/12))))-(IF(OR(N109="",N109&lt;=0),0,(O109/N109)*(IF(OR(N109="",N109&lt;=0),0,IF((YEAR(D109)+12)&lt;YEAR(E109),0,IF((YEAR(D109)+12)&gt;=YEAR(E109)+N109,0,IF((YEAR(D109)+12)=YEAR(E109),(12-MONTH(E109)+1)/12,1))))))))&gt;0,(((K109)*(IF(M109="",L109,IFERROR(IF(INDEX(Variablen!$I:$AT, MATCH(M109, Variablen!$A:$A, 0), MATCH((YEAR(D109)+12), Variablen!$I$3:$AT$3, 0))="",L109,INDEX(Variablen!$I:$AT, MATCH(M109, Variablen!$A:$A, 0), MATCH((YEAR(D109)+12), Variablen!$I$3:$AT$3, 0))),L109)))*(IF((YEAR(D109)+12)&lt;YEAR(E109),0,IF((YEAR(D109)+12)&gt;YEAR(E109),1,(12-MONTH(E109)+1)/12))) + (Q109)*(IF((YEAR(D109)+12)&lt;YEAR(E109),0,IF((YEAR(D109)+12)&gt;YEAR(E109),1,(12-MONTH(E109)+1)/12))))-((P109)*(IF((YEAR(D109)+12)&lt;YEAR(E109),0,IF((YEAR(D109)+12)&gt;YEAR(E109),1,(12-MONTH(E109)+1)/12))) + (R109)*(IF((YEAR(D109)+12)&lt;YEAR(E109),0,IF((YEAR(D109)+12)&gt;YEAR(E109),1,(12-MONTH(E109)+1)/12))))-(IF(OR(N109="",N109&lt;=0),0,(O109/N109)*(IF(OR(N109="",N109&lt;=0),0,IF((YEAR(D109)+12)&lt;YEAR(E109),0,IF((YEAR(D109)+12)&gt;=YEAR(E109)+N109,0,IF((YEAR(D109)+12)=YEAR(E109),(12-MONTH(E109)+1)/12,1))))))))*TaxRate,0))-IF(12=0,O109,0))</f>
        <v/>
      </c>
      <c r="AF109" s="29">
        <f>IF(A109="","",((K109)*(IF(M109="",L109,IFERROR(IF(INDEX(Variablen!$I:$AT, MATCH(M109, Variablen!$A:$A, 0), MATCH((YEAR(D109)+13), Variablen!$I$3:$AT$3, 0))="",L109,INDEX(Variablen!$I:$AT, MATCH(M109, Variablen!$A:$A, 0), MATCH((YEAR(D109)+13), Variablen!$I$3:$AT$3, 0))),L109)))*(IF((YEAR(D109)+13)&lt;YEAR(E109),0,IF((YEAR(D109)+13)&gt;YEAR(E109),1,(12-MONTH(E109)+1)/12))) + (Q109)*(IF((YEAR(D109)+13)&lt;YEAR(E109),0,IF((YEAR(D109)+13)&gt;YEAR(E109),1,(12-MONTH(E109)+1)/12))))-((P109)*(IF((YEAR(D109)+13)&lt;YEAR(E109),0,IF((YEAR(D109)+13)&gt;YEAR(E109),1,(12-MONTH(E109)+1)/12))) + (R109)*(IF((YEAR(D109)+13)&lt;YEAR(E109),0,IF((YEAR(D109)+13)&gt;YEAR(E109),1,(12-MONTH(E109)+1)/12))))-(IF((((K109)*(IF(M109="",L109,IFERROR(IF(INDEX(Variablen!$I:$AT, MATCH(M109, Variablen!$A:$A, 0), MATCH((YEAR(D109)+13), Variablen!$I$3:$AT$3, 0))="",L109,INDEX(Variablen!$I:$AT, MATCH(M109, Variablen!$A:$A, 0), MATCH((YEAR(D109)+13), Variablen!$I$3:$AT$3, 0))),L109)))*(IF((YEAR(D109)+13)&lt;YEAR(E109),0,IF((YEAR(D109)+13)&gt;YEAR(E109),1,(12-MONTH(E109)+1)/12))) + (Q109)*(IF((YEAR(D109)+13)&lt;YEAR(E109),0,IF((YEAR(D109)+13)&gt;YEAR(E109),1,(12-MONTH(E109)+1)/12))))-((P109)*(IF((YEAR(D109)+13)&lt;YEAR(E109),0,IF((YEAR(D109)+13)&gt;YEAR(E109),1,(12-MONTH(E109)+1)/12))) + (R109)*(IF((YEAR(D109)+13)&lt;YEAR(E109),0,IF((YEAR(D109)+13)&gt;YEAR(E109),1,(12-MONTH(E109)+1)/12))))-(IF(OR(N109="",N109&lt;=0),0,(O109/N109)*(IF(OR(N109="",N109&lt;=0),0,IF((YEAR(D109)+13)&lt;YEAR(E109),0,IF((YEAR(D109)+13)&gt;=YEAR(E109)+N109,0,IF((YEAR(D109)+13)=YEAR(E109),(12-MONTH(E109)+1)/12,1))))))))&gt;0,(((K109)*(IF(M109="",L109,IFERROR(IF(INDEX(Variablen!$I:$AT, MATCH(M109, Variablen!$A:$A, 0), MATCH((YEAR(D109)+13), Variablen!$I$3:$AT$3, 0))="",L109,INDEX(Variablen!$I:$AT, MATCH(M109, Variablen!$A:$A, 0), MATCH((YEAR(D109)+13), Variablen!$I$3:$AT$3, 0))),L109)))*(IF((YEAR(D109)+13)&lt;YEAR(E109),0,IF((YEAR(D109)+13)&gt;YEAR(E109),1,(12-MONTH(E109)+1)/12))) + (Q109)*(IF((YEAR(D109)+13)&lt;YEAR(E109),0,IF((YEAR(D109)+13)&gt;YEAR(E109),1,(12-MONTH(E109)+1)/12))))-((P109)*(IF((YEAR(D109)+13)&lt;YEAR(E109),0,IF((YEAR(D109)+13)&gt;YEAR(E109),1,(12-MONTH(E109)+1)/12))) + (R109)*(IF((YEAR(D109)+13)&lt;YEAR(E109),0,IF((YEAR(D109)+13)&gt;YEAR(E109),1,(12-MONTH(E109)+1)/12))))-(IF(OR(N109="",N109&lt;=0),0,(O109/N109)*(IF(OR(N109="",N109&lt;=0),0,IF((YEAR(D109)+13)&lt;YEAR(E109),0,IF((YEAR(D109)+13)&gt;=YEAR(E109)+N109,0,IF((YEAR(D109)+13)=YEAR(E109),(12-MONTH(E109)+1)/12,1))))))))*TaxRate,0))-IF(13=0,O109,0))</f>
        <v/>
      </c>
      <c r="AG109" s="29">
        <f>IF(A109="","",((K109)*(IF(M109="",L109,IFERROR(IF(INDEX(Variablen!$I:$AT, MATCH(M109, Variablen!$A:$A, 0), MATCH((YEAR(D109)+14), Variablen!$I$3:$AT$3, 0))="",L109,INDEX(Variablen!$I:$AT, MATCH(M109, Variablen!$A:$A, 0), MATCH((YEAR(D109)+14), Variablen!$I$3:$AT$3, 0))),L109)))*(IF((YEAR(D109)+14)&lt;YEAR(E109),0,IF((YEAR(D109)+14)&gt;YEAR(E109),1,(12-MONTH(E109)+1)/12))) + (Q109)*(IF((YEAR(D109)+14)&lt;YEAR(E109),0,IF((YEAR(D109)+14)&gt;YEAR(E109),1,(12-MONTH(E109)+1)/12))))-((P109)*(IF((YEAR(D109)+14)&lt;YEAR(E109),0,IF((YEAR(D109)+14)&gt;YEAR(E109),1,(12-MONTH(E109)+1)/12))) + (R109)*(IF((YEAR(D109)+14)&lt;YEAR(E109),0,IF((YEAR(D109)+14)&gt;YEAR(E109),1,(12-MONTH(E109)+1)/12))))-(IF((((K109)*(IF(M109="",L109,IFERROR(IF(INDEX(Variablen!$I:$AT, MATCH(M109, Variablen!$A:$A, 0), MATCH((YEAR(D109)+14), Variablen!$I$3:$AT$3, 0))="",L109,INDEX(Variablen!$I:$AT, MATCH(M109, Variablen!$A:$A, 0), MATCH((YEAR(D109)+14), Variablen!$I$3:$AT$3, 0))),L109)))*(IF((YEAR(D109)+14)&lt;YEAR(E109),0,IF((YEAR(D109)+14)&gt;YEAR(E109),1,(12-MONTH(E109)+1)/12))) + (Q109)*(IF((YEAR(D109)+14)&lt;YEAR(E109),0,IF((YEAR(D109)+14)&gt;YEAR(E109),1,(12-MONTH(E109)+1)/12))))-((P109)*(IF((YEAR(D109)+14)&lt;YEAR(E109),0,IF((YEAR(D109)+14)&gt;YEAR(E109),1,(12-MONTH(E109)+1)/12))) + (R109)*(IF((YEAR(D109)+14)&lt;YEAR(E109),0,IF((YEAR(D109)+14)&gt;YEAR(E109),1,(12-MONTH(E109)+1)/12))))-(IF(OR(N109="",N109&lt;=0),0,(O109/N109)*(IF(OR(N109="",N109&lt;=0),0,IF((YEAR(D109)+14)&lt;YEAR(E109),0,IF((YEAR(D109)+14)&gt;=YEAR(E109)+N109,0,IF((YEAR(D109)+14)=YEAR(E109),(12-MONTH(E109)+1)/12,1))))))))&gt;0,(((K109)*(IF(M109="",L109,IFERROR(IF(INDEX(Variablen!$I:$AT, MATCH(M109, Variablen!$A:$A, 0), MATCH((YEAR(D109)+14), Variablen!$I$3:$AT$3, 0))="",L109,INDEX(Variablen!$I:$AT, MATCH(M109, Variablen!$A:$A, 0), MATCH((YEAR(D109)+14), Variablen!$I$3:$AT$3, 0))),L109)))*(IF((YEAR(D109)+14)&lt;YEAR(E109),0,IF((YEAR(D109)+14)&gt;YEAR(E109),1,(12-MONTH(E109)+1)/12))) + (Q109)*(IF((YEAR(D109)+14)&lt;YEAR(E109),0,IF((YEAR(D109)+14)&gt;YEAR(E109),1,(12-MONTH(E109)+1)/12))))-((P109)*(IF((YEAR(D109)+14)&lt;YEAR(E109),0,IF((YEAR(D109)+14)&gt;YEAR(E109),1,(12-MONTH(E109)+1)/12))) + (R109)*(IF((YEAR(D109)+14)&lt;YEAR(E109),0,IF((YEAR(D109)+14)&gt;YEAR(E109),1,(12-MONTH(E109)+1)/12))))-(IF(OR(N109="",N109&lt;=0),0,(O109/N109)*(IF(OR(N109="",N109&lt;=0),0,IF((YEAR(D109)+14)&lt;YEAR(E109),0,IF((YEAR(D109)+14)&gt;=YEAR(E109)+N109,0,IF((YEAR(D109)+14)=YEAR(E109),(12-MONTH(E109)+1)/12,1))))))))*TaxRate,0))-IF(14=0,O109,0))</f>
        <v/>
      </c>
      <c r="AH109" s="29">
        <f>IF(A109="","",((K109)*(IF(M109="",L109,IFERROR(IF(INDEX(Variablen!$I:$AT, MATCH(M109, Variablen!$A:$A, 0), MATCH((YEAR(D109)+15), Variablen!$I$3:$AT$3, 0))="",L109,INDEX(Variablen!$I:$AT, MATCH(M109, Variablen!$A:$A, 0), MATCH((YEAR(D109)+15), Variablen!$I$3:$AT$3, 0))),L109)))*(IF((YEAR(D109)+15)&lt;YEAR(E109),0,IF((YEAR(D109)+15)&gt;YEAR(E109),1,(12-MONTH(E109)+1)/12))) + (Q109)*(IF((YEAR(D109)+15)&lt;YEAR(E109),0,IF((YEAR(D109)+15)&gt;YEAR(E109),1,(12-MONTH(E109)+1)/12))))-((P109)*(IF((YEAR(D109)+15)&lt;YEAR(E109),0,IF((YEAR(D109)+15)&gt;YEAR(E109),1,(12-MONTH(E109)+1)/12))) + (R109)*(IF((YEAR(D109)+15)&lt;YEAR(E109),0,IF((YEAR(D109)+15)&gt;YEAR(E109),1,(12-MONTH(E109)+1)/12))))-(IF((((K109)*(IF(M109="",L109,IFERROR(IF(INDEX(Variablen!$I:$AT, MATCH(M109, Variablen!$A:$A, 0), MATCH((YEAR(D109)+15), Variablen!$I$3:$AT$3, 0))="",L109,INDEX(Variablen!$I:$AT, MATCH(M109, Variablen!$A:$A, 0), MATCH((YEAR(D109)+15), Variablen!$I$3:$AT$3, 0))),L109)))*(IF((YEAR(D109)+15)&lt;YEAR(E109),0,IF((YEAR(D109)+15)&gt;YEAR(E109),1,(12-MONTH(E109)+1)/12))) + (Q109)*(IF((YEAR(D109)+15)&lt;YEAR(E109),0,IF((YEAR(D109)+15)&gt;YEAR(E109),1,(12-MONTH(E109)+1)/12))))-((P109)*(IF((YEAR(D109)+15)&lt;YEAR(E109),0,IF((YEAR(D109)+15)&gt;YEAR(E109),1,(12-MONTH(E109)+1)/12))) + (R109)*(IF((YEAR(D109)+15)&lt;YEAR(E109),0,IF((YEAR(D109)+15)&gt;YEAR(E109),1,(12-MONTH(E109)+1)/12))))-(IF(OR(N109="",N109&lt;=0),0,(O109/N109)*(IF(OR(N109="",N109&lt;=0),0,IF((YEAR(D109)+15)&lt;YEAR(E109),0,IF((YEAR(D109)+15)&gt;=YEAR(E109)+N109,0,IF((YEAR(D109)+15)=YEAR(E109),(12-MONTH(E109)+1)/12,1))))))))&gt;0,(((K109)*(IF(M109="",L109,IFERROR(IF(INDEX(Variablen!$I:$AT, MATCH(M109, Variablen!$A:$A, 0), MATCH((YEAR(D109)+15), Variablen!$I$3:$AT$3, 0))="",L109,INDEX(Variablen!$I:$AT, MATCH(M109, Variablen!$A:$A, 0), MATCH((YEAR(D109)+15), Variablen!$I$3:$AT$3, 0))),L109)))*(IF((YEAR(D109)+15)&lt;YEAR(E109),0,IF((YEAR(D109)+15)&gt;YEAR(E109),1,(12-MONTH(E109)+1)/12))) + (Q109)*(IF((YEAR(D109)+15)&lt;YEAR(E109),0,IF((YEAR(D109)+15)&gt;YEAR(E109),1,(12-MONTH(E109)+1)/12))))-((P109)*(IF((YEAR(D109)+15)&lt;YEAR(E109),0,IF((YEAR(D109)+15)&gt;YEAR(E109),1,(12-MONTH(E109)+1)/12))) + (R109)*(IF((YEAR(D109)+15)&lt;YEAR(E109),0,IF((YEAR(D109)+15)&gt;YEAR(E109),1,(12-MONTH(E109)+1)/12))))-(IF(OR(N109="",N109&lt;=0),0,(O109/N109)*(IF(OR(N109="",N109&lt;=0),0,IF((YEAR(D109)+15)&lt;YEAR(E109),0,IF((YEAR(D109)+15)&gt;=YEAR(E109)+N109,0,IF((YEAR(D109)+15)=YEAR(E109),(12-MONTH(E109)+1)/12,1))))))))*TaxRate,0))-IF(15=0,O109,0))</f>
        <v/>
      </c>
      <c r="AI109" s="29">
        <f>IF(A109="","",((K109)*(IF(M109="",L109,IFERROR(IF(INDEX(Variablen!$I:$AT, MATCH(M109, Variablen!$A:$A, 0), MATCH((YEAR(D109)+16), Variablen!$I$3:$AT$3, 0))="",L109,INDEX(Variablen!$I:$AT, MATCH(M109, Variablen!$A:$A, 0), MATCH((YEAR(D109)+16), Variablen!$I$3:$AT$3, 0))),L109)))*(IF((YEAR(D109)+16)&lt;YEAR(E109),0,IF((YEAR(D109)+16)&gt;YEAR(E109),1,(12-MONTH(E109)+1)/12))) + (Q109)*(IF((YEAR(D109)+16)&lt;YEAR(E109),0,IF((YEAR(D109)+16)&gt;YEAR(E109),1,(12-MONTH(E109)+1)/12))))-((P109)*(IF((YEAR(D109)+16)&lt;YEAR(E109),0,IF((YEAR(D109)+16)&gt;YEAR(E109),1,(12-MONTH(E109)+1)/12))) + (R109)*(IF((YEAR(D109)+16)&lt;YEAR(E109),0,IF((YEAR(D109)+16)&gt;YEAR(E109),1,(12-MONTH(E109)+1)/12))))-(IF((((K109)*(IF(M109="",L109,IFERROR(IF(INDEX(Variablen!$I:$AT, MATCH(M109, Variablen!$A:$A, 0), MATCH((YEAR(D109)+16), Variablen!$I$3:$AT$3, 0))="",L109,INDEX(Variablen!$I:$AT, MATCH(M109, Variablen!$A:$A, 0), MATCH((YEAR(D109)+16), Variablen!$I$3:$AT$3, 0))),L109)))*(IF((YEAR(D109)+16)&lt;YEAR(E109),0,IF((YEAR(D109)+16)&gt;YEAR(E109),1,(12-MONTH(E109)+1)/12))) + (Q109)*(IF((YEAR(D109)+16)&lt;YEAR(E109),0,IF((YEAR(D109)+16)&gt;YEAR(E109),1,(12-MONTH(E109)+1)/12))))-((P109)*(IF((YEAR(D109)+16)&lt;YEAR(E109),0,IF((YEAR(D109)+16)&gt;YEAR(E109),1,(12-MONTH(E109)+1)/12))) + (R109)*(IF((YEAR(D109)+16)&lt;YEAR(E109),0,IF((YEAR(D109)+16)&gt;YEAR(E109),1,(12-MONTH(E109)+1)/12))))-(IF(OR(N109="",N109&lt;=0),0,(O109/N109)*(IF(OR(N109="",N109&lt;=0),0,IF((YEAR(D109)+16)&lt;YEAR(E109),0,IF((YEAR(D109)+16)&gt;=YEAR(E109)+N109,0,IF((YEAR(D109)+16)=YEAR(E109),(12-MONTH(E109)+1)/12,1))))))))&gt;0,(((K109)*(IF(M109="",L109,IFERROR(IF(INDEX(Variablen!$I:$AT, MATCH(M109, Variablen!$A:$A, 0), MATCH((YEAR(D109)+16), Variablen!$I$3:$AT$3, 0))="",L109,INDEX(Variablen!$I:$AT, MATCH(M109, Variablen!$A:$A, 0), MATCH((YEAR(D109)+16), Variablen!$I$3:$AT$3, 0))),L109)))*(IF((YEAR(D109)+16)&lt;YEAR(E109),0,IF((YEAR(D109)+16)&gt;YEAR(E109),1,(12-MONTH(E109)+1)/12))) + (Q109)*(IF((YEAR(D109)+16)&lt;YEAR(E109),0,IF((YEAR(D109)+16)&gt;YEAR(E109),1,(12-MONTH(E109)+1)/12))))-((P109)*(IF((YEAR(D109)+16)&lt;YEAR(E109),0,IF((YEAR(D109)+16)&gt;YEAR(E109),1,(12-MONTH(E109)+1)/12))) + (R109)*(IF((YEAR(D109)+16)&lt;YEAR(E109),0,IF((YEAR(D109)+16)&gt;YEAR(E109),1,(12-MONTH(E109)+1)/12))))-(IF(OR(N109="",N109&lt;=0),0,(O109/N109)*(IF(OR(N109="",N109&lt;=0),0,IF((YEAR(D109)+16)&lt;YEAR(E109),0,IF((YEAR(D109)+16)&gt;=YEAR(E109)+N109,0,IF((YEAR(D109)+16)=YEAR(E109),(12-MONTH(E109)+1)/12,1))))))))*TaxRate,0))-IF(16=0,O109,0))</f>
        <v/>
      </c>
      <c r="AJ109" s="29">
        <f>IF(A109="","",((K109)*(IF(M109="",L109,IFERROR(IF(INDEX(Variablen!$I:$AT, MATCH(M109, Variablen!$A:$A, 0), MATCH((YEAR(D109)+17), Variablen!$I$3:$AT$3, 0))="",L109,INDEX(Variablen!$I:$AT, MATCH(M109, Variablen!$A:$A, 0), MATCH((YEAR(D109)+17), Variablen!$I$3:$AT$3, 0))),L109)))*(IF((YEAR(D109)+17)&lt;YEAR(E109),0,IF((YEAR(D109)+17)&gt;YEAR(E109),1,(12-MONTH(E109)+1)/12))) + (Q109)*(IF((YEAR(D109)+17)&lt;YEAR(E109),0,IF((YEAR(D109)+17)&gt;YEAR(E109),1,(12-MONTH(E109)+1)/12))))-((P109)*(IF((YEAR(D109)+17)&lt;YEAR(E109),0,IF((YEAR(D109)+17)&gt;YEAR(E109),1,(12-MONTH(E109)+1)/12))) + (R109)*(IF((YEAR(D109)+17)&lt;YEAR(E109),0,IF((YEAR(D109)+17)&gt;YEAR(E109),1,(12-MONTH(E109)+1)/12))))-(IF((((K109)*(IF(M109="",L109,IFERROR(IF(INDEX(Variablen!$I:$AT, MATCH(M109, Variablen!$A:$A, 0), MATCH((YEAR(D109)+17), Variablen!$I$3:$AT$3, 0))="",L109,INDEX(Variablen!$I:$AT, MATCH(M109, Variablen!$A:$A, 0), MATCH((YEAR(D109)+17), Variablen!$I$3:$AT$3, 0))),L109)))*(IF((YEAR(D109)+17)&lt;YEAR(E109),0,IF((YEAR(D109)+17)&gt;YEAR(E109),1,(12-MONTH(E109)+1)/12))) + (Q109)*(IF((YEAR(D109)+17)&lt;YEAR(E109),0,IF((YEAR(D109)+17)&gt;YEAR(E109),1,(12-MONTH(E109)+1)/12))))-((P109)*(IF((YEAR(D109)+17)&lt;YEAR(E109),0,IF((YEAR(D109)+17)&gt;YEAR(E109),1,(12-MONTH(E109)+1)/12))) + (R109)*(IF((YEAR(D109)+17)&lt;YEAR(E109),0,IF((YEAR(D109)+17)&gt;YEAR(E109),1,(12-MONTH(E109)+1)/12))))-(IF(OR(N109="",N109&lt;=0),0,(O109/N109)*(IF(OR(N109="",N109&lt;=0),0,IF((YEAR(D109)+17)&lt;YEAR(E109),0,IF((YEAR(D109)+17)&gt;=YEAR(E109)+N109,0,IF((YEAR(D109)+17)=YEAR(E109),(12-MONTH(E109)+1)/12,1))))))))&gt;0,(((K109)*(IF(M109="",L109,IFERROR(IF(INDEX(Variablen!$I:$AT, MATCH(M109, Variablen!$A:$A, 0), MATCH((YEAR(D109)+17), Variablen!$I$3:$AT$3, 0))="",L109,INDEX(Variablen!$I:$AT, MATCH(M109, Variablen!$A:$A, 0), MATCH((YEAR(D109)+17), Variablen!$I$3:$AT$3, 0))),L109)))*(IF((YEAR(D109)+17)&lt;YEAR(E109),0,IF((YEAR(D109)+17)&gt;YEAR(E109),1,(12-MONTH(E109)+1)/12))) + (Q109)*(IF((YEAR(D109)+17)&lt;YEAR(E109),0,IF((YEAR(D109)+17)&gt;YEAR(E109),1,(12-MONTH(E109)+1)/12))))-((P109)*(IF((YEAR(D109)+17)&lt;YEAR(E109),0,IF((YEAR(D109)+17)&gt;YEAR(E109),1,(12-MONTH(E109)+1)/12))) + (R109)*(IF((YEAR(D109)+17)&lt;YEAR(E109),0,IF((YEAR(D109)+17)&gt;YEAR(E109),1,(12-MONTH(E109)+1)/12))))-(IF(OR(N109="",N109&lt;=0),0,(O109/N109)*(IF(OR(N109="",N109&lt;=0),0,IF((YEAR(D109)+17)&lt;YEAR(E109),0,IF((YEAR(D109)+17)&gt;=YEAR(E109)+N109,0,IF((YEAR(D109)+17)=YEAR(E109),(12-MONTH(E109)+1)/12,1))))))))*TaxRate,0))-IF(17=0,O109,0))</f>
        <v/>
      </c>
      <c r="AK109" s="29">
        <f>IF(A109="","",((K109)*(IF(M109="",L109,IFERROR(IF(INDEX(Variablen!$I:$AT, MATCH(M109, Variablen!$A:$A, 0), MATCH((YEAR(D109)+18), Variablen!$I$3:$AT$3, 0))="",L109,INDEX(Variablen!$I:$AT, MATCH(M109, Variablen!$A:$A, 0), MATCH((YEAR(D109)+18), Variablen!$I$3:$AT$3, 0))),L109)))*(IF((YEAR(D109)+18)&lt;YEAR(E109),0,IF((YEAR(D109)+18)&gt;YEAR(E109),1,(12-MONTH(E109)+1)/12))) + (Q109)*(IF((YEAR(D109)+18)&lt;YEAR(E109),0,IF((YEAR(D109)+18)&gt;YEAR(E109),1,(12-MONTH(E109)+1)/12))))-((P109)*(IF((YEAR(D109)+18)&lt;YEAR(E109),0,IF((YEAR(D109)+18)&gt;YEAR(E109),1,(12-MONTH(E109)+1)/12))) + (R109)*(IF((YEAR(D109)+18)&lt;YEAR(E109),0,IF((YEAR(D109)+18)&gt;YEAR(E109),1,(12-MONTH(E109)+1)/12))))-(IF((((K109)*(IF(M109="",L109,IFERROR(IF(INDEX(Variablen!$I:$AT, MATCH(M109, Variablen!$A:$A, 0), MATCH((YEAR(D109)+18), Variablen!$I$3:$AT$3, 0))="",L109,INDEX(Variablen!$I:$AT, MATCH(M109, Variablen!$A:$A, 0), MATCH((YEAR(D109)+18), Variablen!$I$3:$AT$3, 0))),L109)))*(IF((YEAR(D109)+18)&lt;YEAR(E109),0,IF((YEAR(D109)+18)&gt;YEAR(E109),1,(12-MONTH(E109)+1)/12))) + (Q109)*(IF((YEAR(D109)+18)&lt;YEAR(E109),0,IF((YEAR(D109)+18)&gt;YEAR(E109),1,(12-MONTH(E109)+1)/12))))-((P109)*(IF((YEAR(D109)+18)&lt;YEAR(E109),0,IF((YEAR(D109)+18)&gt;YEAR(E109),1,(12-MONTH(E109)+1)/12))) + (R109)*(IF((YEAR(D109)+18)&lt;YEAR(E109),0,IF((YEAR(D109)+18)&gt;YEAR(E109),1,(12-MONTH(E109)+1)/12))))-(IF(OR(N109="",N109&lt;=0),0,(O109/N109)*(IF(OR(N109="",N109&lt;=0),0,IF((YEAR(D109)+18)&lt;YEAR(E109),0,IF((YEAR(D109)+18)&gt;=YEAR(E109)+N109,0,IF((YEAR(D109)+18)=YEAR(E109),(12-MONTH(E109)+1)/12,1))))))))&gt;0,(((K109)*(IF(M109="",L109,IFERROR(IF(INDEX(Variablen!$I:$AT, MATCH(M109, Variablen!$A:$A, 0), MATCH((YEAR(D109)+18), Variablen!$I$3:$AT$3, 0))="",L109,INDEX(Variablen!$I:$AT, MATCH(M109, Variablen!$A:$A, 0), MATCH((YEAR(D109)+18), Variablen!$I$3:$AT$3, 0))),L109)))*(IF((YEAR(D109)+18)&lt;YEAR(E109),0,IF((YEAR(D109)+18)&gt;YEAR(E109),1,(12-MONTH(E109)+1)/12))) + (Q109)*(IF((YEAR(D109)+18)&lt;YEAR(E109),0,IF((YEAR(D109)+18)&gt;YEAR(E109),1,(12-MONTH(E109)+1)/12))))-((P109)*(IF((YEAR(D109)+18)&lt;YEAR(E109),0,IF((YEAR(D109)+18)&gt;YEAR(E109),1,(12-MONTH(E109)+1)/12))) + (R109)*(IF((YEAR(D109)+18)&lt;YEAR(E109),0,IF((YEAR(D109)+18)&gt;YEAR(E109),1,(12-MONTH(E109)+1)/12))))-(IF(OR(N109="",N109&lt;=0),0,(O109/N109)*(IF(OR(N109="",N109&lt;=0),0,IF((YEAR(D109)+18)&lt;YEAR(E109),0,IF((YEAR(D109)+18)&gt;=YEAR(E109)+N109,0,IF((YEAR(D109)+18)=YEAR(E109),(12-MONTH(E109)+1)/12,1))))))))*TaxRate,0))-IF(18=0,O109,0))</f>
        <v/>
      </c>
      <c r="AL109" s="29">
        <f>IF(A109="","",((K109)*(IF(M109="",L109,IFERROR(IF(INDEX(Variablen!$I:$AT, MATCH(M109, Variablen!$A:$A, 0), MATCH((YEAR(D109)+19), Variablen!$I$3:$AT$3, 0))="",L109,INDEX(Variablen!$I:$AT, MATCH(M109, Variablen!$A:$A, 0), MATCH((YEAR(D109)+19), Variablen!$I$3:$AT$3, 0))),L109)))*(IF((YEAR(D109)+19)&lt;YEAR(E109),0,IF((YEAR(D109)+19)&gt;YEAR(E109),1,(12-MONTH(E109)+1)/12))) + (Q109)*(IF((YEAR(D109)+19)&lt;YEAR(E109),0,IF((YEAR(D109)+19)&gt;YEAR(E109),1,(12-MONTH(E109)+1)/12))))-((P109)*(IF((YEAR(D109)+19)&lt;YEAR(E109),0,IF((YEAR(D109)+19)&gt;YEAR(E109),1,(12-MONTH(E109)+1)/12))) + (R109)*(IF((YEAR(D109)+19)&lt;YEAR(E109),0,IF((YEAR(D109)+19)&gt;YEAR(E109),1,(12-MONTH(E109)+1)/12))))-(IF((((K109)*(IF(M109="",L109,IFERROR(IF(INDEX(Variablen!$I:$AT, MATCH(M109, Variablen!$A:$A, 0), MATCH((YEAR(D109)+19), Variablen!$I$3:$AT$3, 0))="",L109,INDEX(Variablen!$I:$AT, MATCH(M109, Variablen!$A:$A, 0), MATCH((YEAR(D109)+19), Variablen!$I$3:$AT$3, 0))),L109)))*(IF((YEAR(D109)+19)&lt;YEAR(E109),0,IF((YEAR(D109)+19)&gt;YEAR(E109),1,(12-MONTH(E109)+1)/12))) + (Q109)*(IF((YEAR(D109)+19)&lt;YEAR(E109),0,IF((YEAR(D109)+19)&gt;YEAR(E109),1,(12-MONTH(E109)+1)/12))))-((P109)*(IF((YEAR(D109)+19)&lt;YEAR(E109),0,IF((YEAR(D109)+19)&gt;YEAR(E109),1,(12-MONTH(E109)+1)/12))) + (R109)*(IF((YEAR(D109)+19)&lt;YEAR(E109),0,IF((YEAR(D109)+19)&gt;YEAR(E109),1,(12-MONTH(E109)+1)/12))))-(IF(OR(N109="",N109&lt;=0),0,(O109/N109)*(IF(OR(N109="",N109&lt;=0),0,IF((YEAR(D109)+19)&lt;YEAR(E109),0,IF((YEAR(D109)+19)&gt;=YEAR(E109)+N109,0,IF((YEAR(D109)+19)=YEAR(E109),(12-MONTH(E109)+1)/12,1))))))))&gt;0,(((K109)*(IF(M109="",L109,IFERROR(IF(INDEX(Variablen!$I:$AT, MATCH(M109, Variablen!$A:$A, 0), MATCH((YEAR(D109)+19), Variablen!$I$3:$AT$3, 0))="",L109,INDEX(Variablen!$I:$AT, MATCH(M109, Variablen!$A:$A, 0), MATCH((YEAR(D109)+19), Variablen!$I$3:$AT$3, 0))),L109)))*(IF((YEAR(D109)+19)&lt;YEAR(E109),0,IF((YEAR(D109)+19)&gt;YEAR(E109),1,(12-MONTH(E109)+1)/12))) + (Q109)*(IF((YEAR(D109)+19)&lt;YEAR(E109),0,IF((YEAR(D109)+19)&gt;YEAR(E109),1,(12-MONTH(E109)+1)/12))))-((P109)*(IF((YEAR(D109)+19)&lt;YEAR(E109),0,IF((YEAR(D109)+19)&gt;YEAR(E109),1,(12-MONTH(E109)+1)/12))) + (R109)*(IF((YEAR(D109)+19)&lt;YEAR(E109),0,IF((YEAR(D109)+19)&gt;YEAR(E109),1,(12-MONTH(E109)+1)/12))))-(IF(OR(N109="",N109&lt;=0),0,(O109/N109)*(IF(OR(N109="",N109&lt;=0),0,IF((YEAR(D109)+19)&lt;YEAR(E109),0,IF((YEAR(D109)+19)&gt;=YEAR(E109)+N109,0,IF((YEAR(D109)+19)=YEAR(E109),(12-MONTH(E109)+1)/12,1))))))))*TaxRate,0))-IF(19=0,O109,0))</f>
        <v/>
      </c>
      <c r="AM109" s="29">
        <f>IF(A109="","",((K109)*(IF(M109="",L109,IFERROR(IF(INDEX(Variablen!$I:$AT, MATCH(M109, Variablen!$A:$A, 0), MATCH((YEAR(D109)+20), Variablen!$I$3:$AT$3, 0))="",L109,INDEX(Variablen!$I:$AT, MATCH(M109, Variablen!$A:$A, 0), MATCH((YEAR(D109)+20), Variablen!$I$3:$AT$3, 0))),L109)))*(IF((YEAR(D109)+20)&lt;YEAR(E109),0,IF((YEAR(D109)+20)&gt;YEAR(E109),1,(12-MONTH(E109)+1)/12))) + (Q109)*(IF((YEAR(D109)+20)&lt;YEAR(E109),0,IF((YEAR(D109)+20)&gt;YEAR(E109),1,(12-MONTH(E109)+1)/12))))-((P109)*(IF((YEAR(D109)+20)&lt;YEAR(E109),0,IF((YEAR(D109)+20)&gt;YEAR(E109),1,(12-MONTH(E109)+1)/12))) + (R109)*(IF((YEAR(D109)+20)&lt;YEAR(E109),0,IF((YEAR(D109)+20)&gt;YEAR(E109),1,(12-MONTH(E109)+1)/12))))-(IF((((K109)*(IF(M109="",L109,IFERROR(IF(INDEX(Variablen!$I:$AT, MATCH(M109, Variablen!$A:$A, 0), MATCH((YEAR(D109)+20), Variablen!$I$3:$AT$3, 0))="",L109,INDEX(Variablen!$I:$AT, MATCH(M109, Variablen!$A:$A, 0), MATCH((YEAR(D109)+20), Variablen!$I$3:$AT$3, 0))),L109)))*(IF((YEAR(D109)+20)&lt;YEAR(E109),0,IF((YEAR(D109)+20)&gt;YEAR(E109),1,(12-MONTH(E109)+1)/12))) + (Q109)*(IF((YEAR(D109)+20)&lt;YEAR(E109),0,IF((YEAR(D109)+20)&gt;YEAR(E109),1,(12-MONTH(E109)+1)/12))))-((P109)*(IF((YEAR(D109)+20)&lt;YEAR(E109),0,IF((YEAR(D109)+20)&gt;YEAR(E109),1,(12-MONTH(E109)+1)/12))) + (R109)*(IF((YEAR(D109)+20)&lt;YEAR(E109),0,IF((YEAR(D109)+20)&gt;YEAR(E109),1,(12-MONTH(E109)+1)/12))))-(IF(OR(N109="",N109&lt;=0),0,(O109/N109)*(IF(OR(N109="",N109&lt;=0),0,IF((YEAR(D109)+20)&lt;YEAR(E109),0,IF((YEAR(D109)+20)&gt;=YEAR(E109)+N109,0,IF((YEAR(D109)+20)=YEAR(E109),(12-MONTH(E109)+1)/12,1))))))))&gt;0,(((K109)*(IF(M109="",L109,IFERROR(IF(INDEX(Variablen!$I:$AT, MATCH(M109, Variablen!$A:$A, 0), MATCH((YEAR(D109)+20), Variablen!$I$3:$AT$3, 0))="",L109,INDEX(Variablen!$I:$AT, MATCH(M109, Variablen!$A:$A, 0), MATCH((YEAR(D109)+20), Variablen!$I$3:$AT$3, 0))),L109)))*(IF((YEAR(D109)+20)&lt;YEAR(E109),0,IF((YEAR(D109)+20)&gt;YEAR(E109),1,(12-MONTH(E109)+1)/12))) + (Q109)*(IF((YEAR(D109)+20)&lt;YEAR(E109),0,IF((YEAR(D109)+20)&gt;YEAR(E109),1,(12-MONTH(E109)+1)/12))))-((P109)*(IF((YEAR(D109)+20)&lt;YEAR(E109),0,IF((YEAR(D109)+20)&gt;YEAR(E109),1,(12-MONTH(E109)+1)/12))) + (R109)*(IF((YEAR(D109)+20)&lt;YEAR(E109),0,IF((YEAR(D109)+20)&gt;YEAR(E109),1,(12-MONTH(E109)+1)/12))))-(IF(OR(N109="",N109&lt;=0),0,(O109/N109)*(IF(OR(N109="",N109&lt;=0),0,IF((YEAR(D109)+20)&lt;YEAR(E109),0,IF((YEAR(D109)+20)&gt;=YEAR(E109)+N109,0,IF((YEAR(D109)+20)=YEAR(E109),(12-MONTH(E109)+1)/12,1))))))))*TaxRate,0))-IF(20=0,O109,0))</f>
        <v/>
      </c>
      <c r="AN109" s="29">
        <f>IF(A109="","",S109)</f>
        <v/>
      </c>
      <c r="AO109" s="29">
        <f>IF(A109="","",AN109+T109)</f>
        <v/>
      </c>
      <c r="AP109" s="29">
        <f>IF(A109="","",AO109+U109)</f>
        <v/>
      </c>
      <c r="AQ109" s="29">
        <f>IF(A109="","",AP109+V109)</f>
        <v/>
      </c>
      <c r="AR109" s="29">
        <f>IF(A109="","",AQ109+W109)</f>
        <v/>
      </c>
      <c r="AS109" s="29">
        <f>IF(A109="","",AR109+X109)</f>
        <v/>
      </c>
      <c r="AT109" s="29">
        <f>IF(A109="","",AS109+Y109)</f>
        <v/>
      </c>
      <c r="AU109" s="29">
        <f>IF(A109="","",AT109+Z109)</f>
        <v/>
      </c>
      <c r="AV109" s="29">
        <f>IF(A109="","",AU109+AA109)</f>
        <v/>
      </c>
      <c r="AW109" s="29">
        <f>IF(A109="","",AV109+AB109)</f>
        <v/>
      </c>
      <c r="AX109" s="29">
        <f>IF(A109="","",AW109+AC109)</f>
        <v/>
      </c>
      <c r="AY109" s="29">
        <f>IF(A109="","",AX109+AD109)</f>
        <v/>
      </c>
      <c r="AZ109" s="29">
        <f>IF(A109="","",AY109+AE109)</f>
        <v/>
      </c>
      <c r="BA109" s="29">
        <f>IF(A109="","",AZ109+AF109)</f>
        <v/>
      </c>
      <c r="BB109" s="29">
        <f>IF(A109="","",BA109+AG109)</f>
        <v/>
      </c>
      <c r="BC109" s="29">
        <f>IF(A109="","",BB109+AH109)</f>
        <v/>
      </c>
      <c r="BD109" s="29">
        <f>IF(A109="","",BC109+AI109)</f>
        <v/>
      </c>
      <c r="BE109" s="29">
        <f>IF(A109="","",BD109+AJ109)</f>
        <v/>
      </c>
      <c r="BF109" s="29">
        <f>IF(A109="","",BE109+AK109)</f>
        <v/>
      </c>
      <c r="BG109" s="29">
        <f>IF(A109="","",BF109+AL109)</f>
        <v/>
      </c>
      <c r="BH109" s="29">
        <f>IF(A109="","",BG109+AM109)</f>
        <v/>
      </c>
      <c r="BI109" s="36">
        <f>IF(A109="","",(K109)*(IF((YEAR(D109)+0)&lt;YEAR(E109),0,IF((YEAR(D109)+0)&gt;YEAR(E109),1,(12-MONTH(E109)+1)/12)))*(1/(1+DiscountRate)^0))</f>
        <v/>
      </c>
      <c r="BJ109" s="36">
        <f>IF(A109="","",(K109)*(IF((YEAR(D109)+1)&lt;YEAR(E109),0,IF((YEAR(D109)+1)&gt;YEAR(E109),1,(12-MONTH(E109)+1)/12)))*(1/(1+DiscountRate)^1))</f>
        <v/>
      </c>
      <c r="BK109" s="36">
        <f>IF(A109="","",(K109)*(IF((YEAR(D109)+2)&lt;YEAR(E109),0,IF((YEAR(D109)+2)&gt;YEAR(E109),1,(12-MONTH(E109)+1)/12)))*(1/(1+DiscountRate)^2))</f>
        <v/>
      </c>
      <c r="BL109" s="36">
        <f>IF(A109="","",(K109)*(IF((YEAR(D109)+3)&lt;YEAR(E109),0,IF((YEAR(D109)+3)&gt;YEAR(E109),1,(12-MONTH(E109)+1)/12)))*(1/(1+DiscountRate)^3))</f>
        <v/>
      </c>
      <c r="BM109" s="36">
        <f>IF(A109="","",(K109)*(IF((YEAR(D109)+4)&lt;YEAR(E109),0,IF((YEAR(D109)+4)&gt;YEAR(E109),1,(12-MONTH(E109)+1)/12)))*(1/(1+DiscountRate)^4))</f>
        <v/>
      </c>
      <c r="BN109" s="36">
        <f>IF(A109="","",(K109)*(IF((YEAR(D109)+5)&lt;YEAR(E109),0,IF((YEAR(D109)+5)&gt;YEAR(E109),1,(12-MONTH(E109)+1)/12)))*(1/(1+DiscountRate)^5))</f>
        <v/>
      </c>
      <c r="BO109" s="36">
        <f>IF(A109="","",(K109)*(IF((YEAR(D109)+6)&lt;YEAR(E109),0,IF((YEAR(D109)+6)&gt;YEAR(E109),1,(12-MONTH(E109)+1)/12)))*(1/(1+DiscountRate)^6))</f>
        <v/>
      </c>
      <c r="BP109" s="36">
        <f>IF(A109="","",(K109)*(IF((YEAR(D109)+7)&lt;YEAR(E109),0,IF((YEAR(D109)+7)&gt;YEAR(E109),1,(12-MONTH(E109)+1)/12)))*(1/(1+DiscountRate)^7))</f>
        <v/>
      </c>
      <c r="BQ109" s="36">
        <f>IF(A109="","",(K109)*(IF((YEAR(D109)+8)&lt;YEAR(E109),0,IF((YEAR(D109)+8)&gt;YEAR(E109),1,(12-MONTH(E109)+1)/12)))*(1/(1+DiscountRate)^8))</f>
        <v/>
      </c>
      <c r="BR109" s="36">
        <f>IF(A109="","",(K109)*(IF((YEAR(D109)+9)&lt;YEAR(E109),0,IF((YEAR(D109)+9)&gt;YEAR(E109),1,(12-MONTH(E109)+1)/12)))*(1/(1+DiscountRate)^9))</f>
        <v/>
      </c>
      <c r="BS109" s="36">
        <f>IF(A109="","",(K109)*(IF((YEAR(D109)+10)&lt;YEAR(E109),0,IF((YEAR(D109)+10)&gt;YEAR(E109),1,(12-MONTH(E109)+1)/12)))*(1/(1+DiscountRate)^10))</f>
        <v/>
      </c>
      <c r="BT109" s="36">
        <f>IF(A109="","",(K109)*(IF((YEAR(D109)+11)&lt;YEAR(E109),0,IF((YEAR(D109)+11)&gt;YEAR(E109),1,(12-MONTH(E109)+1)/12)))*(1/(1+DiscountRate)^11))</f>
        <v/>
      </c>
      <c r="BU109" s="36">
        <f>IF(A109="","",(K109)*(IF((YEAR(D109)+12)&lt;YEAR(E109),0,IF((YEAR(D109)+12)&gt;YEAR(E109),1,(12-MONTH(E109)+1)/12)))*(1/(1+DiscountRate)^12))</f>
        <v/>
      </c>
      <c r="BV109" s="36">
        <f>IF(A109="","",(K109)*(IF((YEAR(D109)+13)&lt;YEAR(E109),0,IF((YEAR(D109)+13)&gt;YEAR(E109),1,(12-MONTH(E109)+1)/12)))*(1/(1+DiscountRate)^13))</f>
        <v/>
      </c>
      <c r="BW109" s="36">
        <f>IF(A109="","",(K109)*(IF((YEAR(D109)+14)&lt;YEAR(E109),0,IF((YEAR(D109)+14)&gt;YEAR(E109),1,(12-MONTH(E109)+1)/12)))*(1/(1+DiscountRate)^14))</f>
        <v/>
      </c>
      <c r="BX109" s="36">
        <f>IF(A109="","",(K109)*(IF((YEAR(D109)+15)&lt;YEAR(E109),0,IF((YEAR(D109)+15)&gt;YEAR(E109),1,(12-MONTH(E109)+1)/12)))*(1/(1+DiscountRate)^15))</f>
        <v/>
      </c>
      <c r="BY109" s="36">
        <f>IF(A109="","",(K109)*(IF((YEAR(D109)+16)&lt;YEAR(E109),0,IF((YEAR(D109)+16)&gt;YEAR(E109),1,(12-MONTH(E109)+1)/12)))*(1/(1+DiscountRate)^16))</f>
        <v/>
      </c>
      <c r="BZ109" s="36">
        <f>IF(A109="","",(K109)*(IF((YEAR(D109)+17)&lt;YEAR(E109),0,IF((YEAR(D109)+17)&gt;YEAR(E109),1,(12-MONTH(E109)+1)/12)))*(1/(1+DiscountRate)^17))</f>
        <v/>
      </c>
      <c r="CA109" s="36">
        <f>IF(A109="","",(K109)*(IF((YEAR(D109)+18)&lt;YEAR(E109),0,IF((YEAR(D109)+18)&gt;YEAR(E109),1,(12-MONTH(E109)+1)/12)))*(1/(1+DiscountRate)^18))</f>
        <v/>
      </c>
      <c r="CB109" s="36">
        <f>IF(A109="","",(K109)*(IF((YEAR(D109)+19)&lt;YEAR(E109),0,IF((YEAR(D109)+19)&gt;YEAR(E109),1,(12-MONTH(E109)+1)/12)))*(1/(1+DiscountRate)^19))</f>
        <v/>
      </c>
      <c r="CC109" s="36">
        <f>IF(A109="","",(K109)*(IF((YEAR(D109)+20)&lt;YEAR(E109),0,IF((YEAR(D109)+20)&gt;YEAR(E109),1,(12-MONTH(E109)+1)/12)))*(1/(1+DiscountRate)^20))</f>
        <v/>
      </c>
      <c r="CD109" s="29">
        <f>IF(A109="","",S109/(1+DiscountRate)^0+T109/(1+DiscountRate)^1+U109/(1+DiscountRate)^2+V109/(1+DiscountRate)^3+W109/(1+DiscountRate)^4+X109/(1+DiscountRate)^5+Y109/(1+DiscountRate)^6+Z109/(1+DiscountRate)^7+AA109/(1+DiscountRate)^8+AB109/(1+DiscountRate)^9+AC109/(1+DiscountRate)^10+AD109/(1+DiscountRate)^11+AE109/(1+DiscountRate)^12+AF109/(1+DiscountRate)^13+AG109/(1+DiscountRate)^14+AH109/(1+DiscountRate)^15+AI109/(1+DiscountRate)^16+AJ109/(1+DiscountRate)^17+AK109/(1+DiscountRate)^18+AL109/(1+DiscountRate)^19+AM109/(1+DiscountRate)^20)</f>
        <v/>
      </c>
      <c r="CE109" s="37">
        <f>IF(A109="","",IFERROR(IRR(OFFSET(S109,0,0,1,MIN(HorizonYears,20)+1)),"n/a"))</f>
        <v/>
      </c>
      <c r="CF109" s="28">
        <f>IF(A109="","",IFERROR(MATCH(TRUE,OFFSET(AN109,0,0,1,MIN(HorizonYears,20)+1)&gt;=0,0)-1,"n/a"))</f>
        <v/>
      </c>
      <c r="CG109" s="36">
        <f>IF(A109="","",SUM(OFFSET(BI109,0,0,1,MIN(HorizonYears,20)+1)))</f>
        <v/>
      </c>
      <c r="CH109" s="36">
        <f>IF(A109="","",IFERROR(-CD109/CG109,"n/a"))</f>
        <v/>
      </c>
    </row>
    <row r="110">
      <c r="A110" s="6">
        <f>Actions!A108</f>
        <v/>
      </c>
      <c r="B110" s="6">
        <f>Actions!B108</f>
        <v/>
      </c>
      <c r="C110" s="6">
        <f>Actions!D108</f>
        <v/>
      </c>
      <c r="D110" s="35">
        <f>Actions!E108</f>
        <v/>
      </c>
      <c r="E110" s="35">
        <f>Actions!F108</f>
        <v/>
      </c>
      <c r="F110" s="6">
        <f>Actions!G108</f>
        <v/>
      </c>
      <c r="G110" s="6">
        <f>Actions!H108</f>
        <v/>
      </c>
      <c r="H110" s="29">
        <f>Actions!I108</f>
        <v/>
      </c>
      <c r="I110" s="6">
        <f>Actions!J108</f>
        <v/>
      </c>
      <c r="J110" s="16">
        <f>Actions!K108</f>
        <v/>
      </c>
      <c r="K110" s="16">
        <f>IF(A110="","",IF(I110="%",H110*J110,J110))</f>
        <v/>
      </c>
      <c r="L110" s="16">
        <f>Actions!L108</f>
        <v/>
      </c>
      <c r="M110" s="6">
        <f>Actions!M108</f>
        <v/>
      </c>
      <c r="N110" s="28">
        <f>Actions!N108</f>
        <v/>
      </c>
      <c r="O110" s="29">
        <f>Actions!T108</f>
        <v/>
      </c>
      <c r="P110" s="29">
        <f>Actions!Y108</f>
        <v/>
      </c>
      <c r="Q110" s="29">
        <f>Actions!Z108</f>
        <v/>
      </c>
      <c r="R110" s="29">
        <f>Actions!AA108</f>
        <v/>
      </c>
      <c r="S110" s="29">
        <f>IF(A110="","",((K110)*(IF(M110="",L110,IFERROR(IF(INDEX(Variablen!$I:$AT, MATCH(M110, Variablen!$A:$A, 0), MATCH((YEAR(D110)+0), Variablen!$I$3:$AT$3, 0))="",L110,INDEX(Variablen!$I:$AT, MATCH(M110, Variablen!$A:$A, 0), MATCH((YEAR(D110)+0), Variablen!$I$3:$AT$3, 0))),L110)))*(IF((YEAR(D110)+0)&lt;YEAR(E110),0,IF((YEAR(D110)+0)&gt;YEAR(E110),1,(12-MONTH(E110)+1)/12))) + (Q110)*(IF((YEAR(D110)+0)&lt;YEAR(E110),0,IF((YEAR(D110)+0)&gt;YEAR(E110),1,(12-MONTH(E110)+1)/12))))-((P110)*(IF((YEAR(D110)+0)&lt;YEAR(E110),0,IF((YEAR(D110)+0)&gt;YEAR(E110),1,(12-MONTH(E110)+1)/12))) + (R110)*(IF((YEAR(D110)+0)&lt;YEAR(E110),0,IF((YEAR(D110)+0)&gt;YEAR(E110),1,(12-MONTH(E110)+1)/12))))-(IF((((K110)*(IF(M110="",L110,IFERROR(IF(INDEX(Variablen!$I:$AT, MATCH(M110, Variablen!$A:$A, 0), MATCH((YEAR(D110)+0), Variablen!$I$3:$AT$3, 0))="",L110,INDEX(Variablen!$I:$AT, MATCH(M110, Variablen!$A:$A, 0), MATCH((YEAR(D110)+0), Variablen!$I$3:$AT$3, 0))),L110)))*(IF((YEAR(D110)+0)&lt;YEAR(E110),0,IF((YEAR(D110)+0)&gt;YEAR(E110),1,(12-MONTH(E110)+1)/12))) + (Q110)*(IF((YEAR(D110)+0)&lt;YEAR(E110),0,IF((YEAR(D110)+0)&gt;YEAR(E110),1,(12-MONTH(E110)+1)/12))))-((P110)*(IF((YEAR(D110)+0)&lt;YEAR(E110),0,IF((YEAR(D110)+0)&gt;YEAR(E110),1,(12-MONTH(E110)+1)/12))) + (R110)*(IF((YEAR(D110)+0)&lt;YEAR(E110),0,IF((YEAR(D110)+0)&gt;YEAR(E110),1,(12-MONTH(E110)+1)/12))))-(IF(OR(N110="",N110&lt;=0),0,(O110/N110)*(IF(OR(N110="",N110&lt;=0),0,IF((YEAR(D110)+0)&lt;YEAR(E110),0,IF((YEAR(D110)+0)&gt;=YEAR(E110)+N110,0,IF((YEAR(D110)+0)=YEAR(E110),(12-MONTH(E110)+1)/12,1))))))))&gt;0,(((K110)*(IF(M110="",L110,IFERROR(IF(INDEX(Variablen!$I:$AT, MATCH(M110, Variablen!$A:$A, 0), MATCH((YEAR(D110)+0), Variablen!$I$3:$AT$3, 0))="",L110,INDEX(Variablen!$I:$AT, MATCH(M110, Variablen!$A:$A, 0), MATCH((YEAR(D110)+0), Variablen!$I$3:$AT$3, 0))),L110)))*(IF((YEAR(D110)+0)&lt;YEAR(E110),0,IF((YEAR(D110)+0)&gt;YEAR(E110),1,(12-MONTH(E110)+1)/12))) + (Q110)*(IF((YEAR(D110)+0)&lt;YEAR(E110),0,IF((YEAR(D110)+0)&gt;YEAR(E110),1,(12-MONTH(E110)+1)/12))))-((P110)*(IF((YEAR(D110)+0)&lt;YEAR(E110),0,IF((YEAR(D110)+0)&gt;YEAR(E110),1,(12-MONTH(E110)+1)/12))) + (R110)*(IF((YEAR(D110)+0)&lt;YEAR(E110),0,IF((YEAR(D110)+0)&gt;YEAR(E110),1,(12-MONTH(E110)+1)/12))))-(IF(OR(N110="",N110&lt;=0),0,(O110/N110)*(IF(OR(N110="",N110&lt;=0),0,IF((YEAR(D110)+0)&lt;YEAR(E110),0,IF((YEAR(D110)+0)&gt;=YEAR(E110)+N110,0,IF((YEAR(D110)+0)=YEAR(E110),(12-MONTH(E110)+1)/12,1))))))))*TaxRate,0))-IF(0=0,O110,0))</f>
        <v/>
      </c>
      <c r="T110" s="29">
        <f>IF(A110="","",((K110)*(IF(M110="",L110,IFERROR(IF(INDEX(Variablen!$I:$AT, MATCH(M110, Variablen!$A:$A, 0), MATCH((YEAR(D110)+1), Variablen!$I$3:$AT$3, 0))="",L110,INDEX(Variablen!$I:$AT, MATCH(M110, Variablen!$A:$A, 0), MATCH((YEAR(D110)+1), Variablen!$I$3:$AT$3, 0))),L110)))*(IF((YEAR(D110)+1)&lt;YEAR(E110),0,IF((YEAR(D110)+1)&gt;YEAR(E110),1,(12-MONTH(E110)+1)/12))) + (Q110)*(IF((YEAR(D110)+1)&lt;YEAR(E110),0,IF((YEAR(D110)+1)&gt;YEAR(E110),1,(12-MONTH(E110)+1)/12))))-((P110)*(IF((YEAR(D110)+1)&lt;YEAR(E110),0,IF((YEAR(D110)+1)&gt;YEAR(E110),1,(12-MONTH(E110)+1)/12))) + (R110)*(IF((YEAR(D110)+1)&lt;YEAR(E110),0,IF((YEAR(D110)+1)&gt;YEAR(E110),1,(12-MONTH(E110)+1)/12))))-(IF((((K110)*(IF(M110="",L110,IFERROR(IF(INDEX(Variablen!$I:$AT, MATCH(M110, Variablen!$A:$A, 0), MATCH((YEAR(D110)+1), Variablen!$I$3:$AT$3, 0))="",L110,INDEX(Variablen!$I:$AT, MATCH(M110, Variablen!$A:$A, 0), MATCH((YEAR(D110)+1), Variablen!$I$3:$AT$3, 0))),L110)))*(IF((YEAR(D110)+1)&lt;YEAR(E110),0,IF((YEAR(D110)+1)&gt;YEAR(E110),1,(12-MONTH(E110)+1)/12))) + (Q110)*(IF((YEAR(D110)+1)&lt;YEAR(E110),0,IF((YEAR(D110)+1)&gt;YEAR(E110),1,(12-MONTH(E110)+1)/12))))-((P110)*(IF((YEAR(D110)+1)&lt;YEAR(E110),0,IF((YEAR(D110)+1)&gt;YEAR(E110),1,(12-MONTH(E110)+1)/12))) + (R110)*(IF((YEAR(D110)+1)&lt;YEAR(E110),0,IF((YEAR(D110)+1)&gt;YEAR(E110),1,(12-MONTH(E110)+1)/12))))-(IF(OR(N110="",N110&lt;=0),0,(O110/N110)*(IF(OR(N110="",N110&lt;=0),0,IF((YEAR(D110)+1)&lt;YEAR(E110),0,IF((YEAR(D110)+1)&gt;=YEAR(E110)+N110,0,IF((YEAR(D110)+1)=YEAR(E110),(12-MONTH(E110)+1)/12,1))))))))&gt;0,(((K110)*(IF(M110="",L110,IFERROR(IF(INDEX(Variablen!$I:$AT, MATCH(M110, Variablen!$A:$A, 0), MATCH((YEAR(D110)+1), Variablen!$I$3:$AT$3, 0))="",L110,INDEX(Variablen!$I:$AT, MATCH(M110, Variablen!$A:$A, 0), MATCH((YEAR(D110)+1), Variablen!$I$3:$AT$3, 0))),L110)))*(IF((YEAR(D110)+1)&lt;YEAR(E110),0,IF((YEAR(D110)+1)&gt;YEAR(E110),1,(12-MONTH(E110)+1)/12))) + (Q110)*(IF((YEAR(D110)+1)&lt;YEAR(E110),0,IF((YEAR(D110)+1)&gt;YEAR(E110),1,(12-MONTH(E110)+1)/12))))-((P110)*(IF((YEAR(D110)+1)&lt;YEAR(E110),0,IF((YEAR(D110)+1)&gt;YEAR(E110),1,(12-MONTH(E110)+1)/12))) + (R110)*(IF((YEAR(D110)+1)&lt;YEAR(E110),0,IF((YEAR(D110)+1)&gt;YEAR(E110),1,(12-MONTH(E110)+1)/12))))-(IF(OR(N110="",N110&lt;=0),0,(O110/N110)*(IF(OR(N110="",N110&lt;=0),0,IF((YEAR(D110)+1)&lt;YEAR(E110),0,IF((YEAR(D110)+1)&gt;=YEAR(E110)+N110,0,IF((YEAR(D110)+1)=YEAR(E110),(12-MONTH(E110)+1)/12,1))))))))*TaxRate,0))-IF(1=0,O110,0))</f>
        <v/>
      </c>
      <c r="U110" s="29">
        <f>IF(A110="","",((K110)*(IF(M110="",L110,IFERROR(IF(INDEX(Variablen!$I:$AT, MATCH(M110, Variablen!$A:$A, 0), MATCH((YEAR(D110)+2), Variablen!$I$3:$AT$3, 0))="",L110,INDEX(Variablen!$I:$AT, MATCH(M110, Variablen!$A:$A, 0), MATCH((YEAR(D110)+2), Variablen!$I$3:$AT$3, 0))),L110)))*(IF((YEAR(D110)+2)&lt;YEAR(E110),0,IF((YEAR(D110)+2)&gt;YEAR(E110),1,(12-MONTH(E110)+1)/12))) + (Q110)*(IF((YEAR(D110)+2)&lt;YEAR(E110),0,IF((YEAR(D110)+2)&gt;YEAR(E110),1,(12-MONTH(E110)+1)/12))))-((P110)*(IF((YEAR(D110)+2)&lt;YEAR(E110),0,IF((YEAR(D110)+2)&gt;YEAR(E110),1,(12-MONTH(E110)+1)/12))) + (R110)*(IF((YEAR(D110)+2)&lt;YEAR(E110),0,IF((YEAR(D110)+2)&gt;YEAR(E110),1,(12-MONTH(E110)+1)/12))))-(IF((((K110)*(IF(M110="",L110,IFERROR(IF(INDEX(Variablen!$I:$AT, MATCH(M110, Variablen!$A:$A, 0), MATCH((YEAR(D110)+2), Variablen!$I$3:$AT$3, 0))="",L110,INDEX(Variablen!$I:$AT, MATCH(M110, Variablen!$A:$A, 0), MATCH((YEAR(D110)+2), Variablen!$I$3:$AT$3, 0))),L110)))*(IF((YEAR(D110)+2)&lt;YEAR(E110),0,IF((YEAR(D110)+2)&gt;YEAR(E110),1,(12-MONTH(E110)+1)/12))) + (Q110)*(IF((YEAR(D110)+2)&lt;YEAR(E110),0,IF((YEAR(D110)+2)&gt;YEAR(E110),1,(12-MONTH(E110)+1)/12))))-((P110)*(IF((YEAR(D110)+2)&lt;YEAR(E110),0,IF((YEAR(D110)+2)&gt;YEAR(E110),1,(12-MONTH(E110)+1)/12))) + (R110)*(IF((YEAR(D110)+2)&lt;YEAR(E110),0,IF((YEAR(D110)+2)&gt;YEAR(E110),1,(12-MONTH(E110)+1)/12))))-(IF(OR(N110="",N110&lt;=0),0,(O110/N110)*(IF(OR(N110="",N110&lt;=0),0,IF((YEAR(D110)+2)&lt;YEAR(E110),0,IF((YEAR(D110)+2)&gt;=YEAR(E110)+N110,0,IF((YEAR(D110)+2)=YEAR(E110),(12-MONTH(E110)+1)/12,1))))))))&gt;0,(((K110)*(IF(M110="",L110,IFERROR(IF(INDEX(Variablen!$I:$AT, MATCH(M110, Variablen!$A:$A, 0), MATCH((YEAR(D110)+2), Variablen!$I$3:$AT$3, 0))="",L110,INDEX(Variablen!$I:$AT, MATCH(M110, Variablen!$A:$A, 0), MATCH((YEAR(D110)+2), Variablen!$I$3:$AT$3, 0))),L110)))*(IF((YEAR(D110)+2)&lt;YEAR(E110),0,IF((YEAR(D110)+2)&gt;YEAR(E110),1,(12-MONTH(E110)+1)/12))) + (Q110)*(IF((YEAR(D110)+2)&lt;YEAR(E110),0,IF((YEAR(D110)+2)&gt;YEAR(E110),1,(12-MONTH(E110)+1)/12))))-((P110)*(IF((YEAR(D110)+2)&lt;YEAR(E110),0,IF((YEAR(D110)+2)&gt;YEAR(E110),1,(12-MONTH(E110)+1)/12))) + (R110)*(IF((YEAR(D110)+2)&lt;YEAR(E110),0,IF((YEAR(D110)+2)&gt;YEAR(E110),1,(12-MONTH(E110)+1)/12))))-(IF(OR(N110="",N110&lt;=0),0,(O110/N110)*(IF(OR(N110="",N110&lt;=0),0,IF((YEAR(D110)+2)&lt;YEAR(E110),0,IF((YEAR(D110)+2)&gt;=YEAR(E110)+N110,0,IF((YEAR(D110)+2)=YEAR(E110),(12-MONTH(E110)+1)/12,1))))))))*TaxRate,0))-IF(2=0,O110,0))</f>
        <v/>
      </c>
      <c r="V110" s="29">
        <f>IF(A110="","",((K110)*(IF(M110="",L110,IFERROR(IF(INDEX(Variablen!$I:$AT, MATCH(M110, Variablen!$A:$A, 0), MATCH((YEAR(D110)+3), Variablen!$I$3:$AT$3, 0))="",L110,INDEX(Variablen!$I:$AT, MATCH(M110, Variablen!$A:$A, 0), MATCH((YEAR(D110)+3), Variablen!$I$3:$AT$3, 0))),L110)))*(IF((YEAR(D110)+3)&lt;YEAR(E110),0,IF((YEAR(D110)+3)&gt;YEAR(E110),1,(12-MONTH(E110)+1)/12))) + (Q110)*(IF((YEAR(D110)+3)&lt;YEAR(E110),0,IF((YEAR(D110)+3)&gt;YEAR(E110),1,(12-MONTH(E110)+1)/12))))-((P110)*(IF((YEAR(D110)+3)&lt;YEAR(E110),0,IF((YEAR(D110)+3)&gt;YEAR(E110),1,(12-MONTH(E110)+1)/12))) + (R110)*(IF((YEAR(D110)+3)&lt;YEAR(E110),0,IF((YEAR(D110)+3)&gt;YEAR(E110),1,(12-MONTH(E110)+1)/12))))-(IF((((K110)*(IF(M110="",L110,IFERROR(IF(INDEX(Variablen!$I:$AT, MATCH(M110, Variablen!$A:$A, 0), MATCH((YEAR(D110)+3), Variablen!$I$3:$AT$3, 0))="",L110,INDEX(Variablen!$I:$AT, MATCH(M110, Variablen!$A:$A, 0), MATCH((YEAR(D110)+3), Variablen!$I$3:$AT$3, 0))),L110)))*(IF((YEAR(D110)+3)&lt;YEAR(E110),0,IF((YEAR(D110)+3)&gt;YEAR(E110),1,(12-MONTH(E110)+1)/12))) + (Q110)*(IF((YEAR(D110)+3)&lt;YEAR(E110),0,IF((YEAR(D110)+3)&gt;YEAR(E110),1,(12-MONTH(E110)+1)/12))))-((P110)*(IF((YEAR(D110)+3)&lt;YEAR(E110),0,IF((YEAR(D110)+3)&gt;YEAR(E110),1,(12-MONTH(E110)+1)/12))) + (R110)*(IF((YEAR(D110)+3)&lt;YEAR(E110),0,IF((YEAR(D110)+3)&gt;YEAR(E110),1,(12-MONTH(E110)+1)/12))))-(IF(OR(N110="",N110&lt;=0),0,(O110/N110)*(IF(OR(N110="",N110&lt;=0),0,IF((YEAR(D110)+3)&lt;YEAR(E110),0,IF((YEAR(D110)+3)&gt;=YEAR(E110)+N110,0,IF((YEAR(D110)+3)=YEAR(E110),(12-MONTH(E110)+1)/12,1))))))))&gt;0,(((K110)*(IF(M110="",L110,IFERROR(IF(INDEX(Variablen!$I:$AT, MATCH(M110, Variablen!$A:$A, 0), MATCH((YEAR(D110)+3), Variablen!$I$3:$AT$3, 0))="",L110,INDEX(Variablen!$I:$AT, MATCH(M110, Variablen!$A:$A, 0), MATCH((YEAR(D110)+3), Variablen!$I$3:$AT$3, 0))),L110)))*(IF((YEAR(D110)+3)&lt;YEAR(E110),0,IF((YEAR(D110)+3)&gt;YEAR(E110),1,(12-MONTH(E110)+1)/12))) + (Q110)*(IF((YEAR(D110)+3)&lt;YEAR(E110),0,IF((YEAR(D110)+3)&gt;YEAR(E110),1,(12-MONTH(E110)+1)/12))))-((P110)*(IF((YEAR(D110)+3)&lt;YEAR(E110),0,IF((YEAR(D110)+3)&gt;YEAR(E110),1,(12-MONTH(E110)+1)/12))) + (R110)*(IF((YEAR(D110)+3)&lt;YEAR(E110),0,IF((YEAR(D110)+3)&gt;YEAR(E110),1,(12-MONTH(E110)+1)/12))))-(IF(OR(N110="",N110&lt;=0),0,(O110/N110)*(IF(OR(N110="",N110&lt;=0),0,IF((YEAR(D110)+3)&lt;YEAR(E110),0,IF((YEAR(D110)+3)&gt;=YEAR(E110)+N110,0,IF((YEAR(D110)+3)=YEAR(E110),(12-MONTH(E110)+1)/12,1))))))))*TaxRate,0))-IF(3=0,O110,0))</f>
        <v/>
      </c>
      <c r="W110" s="29">
        <f>IF(A110="","",((K110)*(IF(M110="",L110,IFERROR(IF(INDEX(Variablen!$I:$AT, MATCH(M110, Variablen!$A:$A, 0), MATCH((YEAR(D110)+4), Variablen!$I$3:$AT$3, 0))="",L110,INDEX(Variablen!$I:$AT, MATCH(M110, Variablen!$A:$A, 0), MATCH((YEAR(D110)+4), Variablen!$I$3:$AT$3, 0))),L110)))*(IF((YEAR(D110)+4)&lt;YEAR(E110),0,IF((YEAR(D110)+4)&gt;YEAR(E110),1,(12-MONTH(E110)+1)/12))) + (Q110)*(IF((YEAR(D110)+4)&lt;YEAR(E110),0,IF((YEAR(D110)+4)&gt;YEAR(E110),1,(12-MONTH(E110)+1)/12))))-((P110)*(IF((YEAR(D110)+4)&lt;YEAR(E110),0,IF((YEAR(D110)+4)&gt;YEAR(E110),1,(12-MONTH(E110)+1)/12))) + (R110)*(IF((YEAR(D110)+4)&lt;YEAR(E110),0,IF((YEAR(D110)+4)&gt;YEAR(E110),1,(12-MONTH(E110)+1)/12))))-(IF((((K110)*(IF(M110="",L110,IFERROR(IF(INDEX(Variablen!$I:$AT, MATCH(M110, Variablen!$A:$A, 0), MATCH((YEAR(D110)+4), Variablen!$I$3:$AT$3, 0))="",L110,INDEX(Variablen!$I:$AT, MATCH(M110, Variablen!$A:$A, 0), MATCH((YEAR(D110)+4), Variablen!$I$3:$AT$3, 0))),L110)))*(IF((YEAR(D110)+4)&lt;YEAR(E110),0,IF((YEAR(D110)+4)&gt;YEAR(E110),1,(12-MONTH(E110)+1)/12))) + (Q110)*(IF((YEAR(D110)+4)&lt;YEAR(E110),0,IF((YEAR(D110)+4)&gt;YEAR(E110),1,(12-MONTH(E110)+1)/12))))-((P110)*(IF((YEAR(D110)+4)&lt;YEAR(E110),0,IF((YEAR(D110)+4)&gt;YEAR(E110),1,(12-MONTH(E110)+1)/12))) + (R110)*(IF((YEAR(D110)+4)&lt;YEAR(E110),0,IF((YEAR(D110)+4)&gt;YEAR(E110),1,(12-MONTH(E110)+1)/12))))-(IF(OR(N110="",N110&lt;=0),0,(O110/N110)*(IF(OR(N110="",N110&lt;=0),0,IF((YEAR(D110)+4)&lt;YEAR(E110),0,IF((YEAR(D110)+4)&gt;=YEAR(E110)+N110,0,IF((YEAR(D110)+4)=YEAR(E110),(12-MONTH(E110)+1)/12,1))))))))&gt;0,(((K110)*(IF(M110="",L110,IFERROR(IF(INDEX(Variablen!$I:$AT, MATCH(M110, Variablen!$A:$A, 0), MATCH((YEAR(D110)+4), Variablen!$I$3:$AT$3, 0))="",L110,INDEX(Variablen!$I:$AT, MATCH(M110, Variablen!$A:$A, 0), MATCH((YEAR(D110)+4), Variablen!$I$3:$AT$3, 0))),L110)))*(IF((YEAR(D110)+4)&lt;YEAR(E110),0,IF((YEAR(D110)+4)&gt;YEAR(E110),1,(12-MONTH(E110)+1)/12))) + (Q110)*(IF((YEAR(D110)+4)&lt;YEAR(E110),0,IF((YEAR(D110)+4)&gt;YEAR(E110),1,(12-MONTH(E110)+1)/12))))-((P110)*(IF((YEAR(D110)+4)&lt;YEAR(E110),0,IF((YEAR(D110)+4)&gt;YEAR(E110),1,(12-MONTH(E110)+1)/12))) + (R110)*(IF((YEAR(D110)+4)&lt;YEAR(E110),0,IF((YEAR(D110)+4)&gt;YEAR(E110),1,(12-MONTH(E110)+1)/12))))-(IF(OR(N110="",N110&lt;=0),0,(O110/N110)*(IF(OR(N110="",N110&lt;=0),0,IF((YEAR(D110)+4)&lt;YEAR(E110),0,IF((YEAR(D110)+4)&gt;=YEAR(E110)+N110,0,IF((YEAR(D110)+4)=YEAR(E110),(12-MONTH(E110)+1)/12,1))))))))*TaxRate,0))-IF(4=0,O110,0))</f>
        <v/>
      </c>
      <c r="X110" s="29">
        <f>IF(A110="","",((K110)*(IF(M110="",L110,IFERROR(IF(INDEX(Variablen!$I:$AT, MATCH(M110, Variablen!$A:$A, 0), MATCH((YEAR(D110)+5), Variablen!$I$3:$AT$3, 0))="",L110,INDEX(Variablen!$I:$AT, MATCH(M110, Variablen!$A:$A, 0), MATCH((YEAR(D110)+5), Variablen!$I$3:$AT$3, 0))),L110)))*(IF((YEAR(D110)+5)&lt;YEAR(E110),0,IF((YEAR(D110)+5)&gt;YEAR(E110),1,(12-MONTH(E110)+1)/12))) + (Q110)*(IF((YEAR(D110)+5)&lt;YEAR(E110),0,IF((YEAR(D110)+5)&gt;YEAR(E110),1,(12-MONTH(E110)+1)/12))))-((P110)*(IF((YEAR(D110)+5)&lt;YEAR(E110),0,IF((YEAR(D110)+5)&gt;YEAR(E110),1,(12-MONTH(E110)+1)/12))) + (R110)*(IF((YEAR(D110)+5)&lt;YEAR(E110),0,IF((YEAR(D110)+5)&gt;YEAR(E110),1,(12-MONTH(E110)+1)/12))))-(IF((((K110)*(IF(M110="",L110,IFERROR(IF(INDEX(Variablen!$I:$AT, MATCH(M110, Variablen!$A:$A, 0), MATCH((YEAR(D110)+5), Variablen!$I$3:$AT$3, 0))="",L110,INDEX(Variablen!$I:$AT, MATCH(M110, Variablen!$A:$A, 0), MATCH((YEAR(D110)+5), Variablen!$I$3:$AT$3, 0))),L110)))*(IF((YEAR(D110)+5)&lt;YEAR(E110),0,IF((YEAR(D110)+5)&gt;YEAR(E110),1,(12-MONTH(E110)+1)/12))) + (Q110)*(IF((YEAR(D110)+5)&lt;YEAR(E110),0,IF((YEAR(D110)+5)&gt;YEAR(E110),1,(12-MONTH(E110)+1)/12))))-((P110)*(IF((YEAR(D110)+5)&lt;YEAR(E110),0,IF((YEAR(D110)+5)&gt;YEAR(E110),1,(12-MONTH(E110)+1)/12))) + (R110)*(IF((YEAR(D110)+5)&lt;YEAR(E110),0,IF((YEAR(D110)+5)&gt;YEAR(E110),1,(12-MONTH(E110)+1)/12))))-(IF(OR(N110="",N110&lt;=0),0,(O110/N110)*(IF(OR(N110="",N110&lt;=0),0,IF((YEAR(D110)+5)&lt;YEAR(E110),0,IF((YEAR(D110)+5)&gt;=YEAR(E110)+N110,0,IF((YEAR(D110)+5)=YEAR(E110),(12-MONTH(E110)+1)/12,1))))))))&gt;0,(((K110)*(IF(M110="",L110,IFERROR(IF(INDEX(Variablen!$I:$AT, MATCH(M110, Variablen!$A:$A, 0), MATCH((YEAR(D110)+5), Variablen!$I$3:$AT$3, 0))="",L110,INDEX(Variablen!$I:$AT, MATCH(M110, Variablen!$A:$A, 0), MATCH((YEAR(D110)+5), Variablen!$I$3:$AT$3, 0))),L110)))*(IF((YEAR(D110)+5)&lt;YEAR(E110),0,IF((YEAR(D110)+5)&gt;YEAR(E110),1,(12-MONTH(E110)+1)/12))) + (Q110)*(IF((YEAR(D110)+5)&lt;YEAR(E110),0,IF((YEAR(D110)+5)&gt;YEAR(E110),1,(12-MONTH(E110)+1)/12))))-((P110)*(IF((YEAR(D110)+5)&lt;YEAR(E110),0,IF((YEAR(D110)+5)&gt;YEAR(E110),1,(12-MONTH(E110)+1)/12))) + (R110)*(IF((YEAR(D110)+5)&lt;YEAR(E110),0,IF((YEAR(D110)+5)&gt;YEAR(E110),1,(12-MONTH(E110)+1)/12))))-(IF(OR(N110="",N110&lt;=0),0,(O110/N110)*(IF(OR(N110="",N110&lt;=0),0,IF((YEAR(D110)+5)&lt;YEAR(E110),0,IF((YEAR(D110)+5)&gt;=YEAR(E110)+N110,0,IF((YEAR(D110)+5)=YEAR(E110),(12-MONTH(E110)+1)/12,1))))))))*TaxRate,0))-IF(5=0,O110,0))</f>
        <v/>
      </c>
      <c r="Y110" s="29">
        <f>IF(A110="","",((K110)*(IF(M110="",L110,IFERROR(IF(INDEX(Variablen!$I:$AT, MATCH(M110, Variablen!$A:$A, 0), MATCH((YEAR(D110)+6), Variablen!$I$3:$AT$3, 0))="",L110,INDEX(Variablen!$I:$AT, MATCH(M110, Variablen!$A:$A, 0), MATCH((YEAR(D110)+6), Variablen!$I$3:$AT$3, 0))),L110)))*(IF((YEAR(D110)+6)&lt;YEAR(E110),0,IF((YEAR(D110)+6)&gt;YEAR(E110),1,(12-MONTH(E110)+1)/12))) + (Q110)*(IF((YEAR(D110)+6)&lt;YEAR(E110),0,IF((YEAR(D110)+6)&gt;YEAR(E110),1,(12-MONTH(E110)+1)/12))))-((P110)*(IF((YEAR(D110)+6)&lt;YEAR(E110),0,IF((YEAR(D110)+6)&gt;YEAR(E110),1,(12-MONTH(E110)+1)/12))) + (R110)*(IF((YEAR(D110)+6)&lt;YEAR(E110),0,IF((YEAR(D110)+6)&gt;YEAR(E110),1,(12-MONTH(E110)+1)/12))))-(IF((((K110)*(IF(M110="",L110,IFERROR(IF(INDEX(Variablen!$I:$AT, MATCH(M110, Variablen!$A:$A, 0), MATCH((YEAR(D110)+6), Variablen!$I$3:$AT$3, 0))="",L110,INDEX(Variablen!$I:$AT, MATCH(M110, Variablen!$A:$A, 0), MATCH((YEAR(D110)+6), Variablen!$I$3:$AT$3, 0))),L110)))*(IF((YEAR(D110)+6)&lt;YEAR(E110),0,IF((YEAR(D110)+6)&gt;YEAR(E110),1,(12-MONTH(E110)+1)/12))) + (Q110)*(IF((YEAR(D110)+6)&lt;YEAR(E110),0,IF((YEAR(D110)+6)&gt;YEAR(E110),1,(12-MONTH(E110)+1)/12))))-((P110)*(IF((YEAR(D110)+6)&lt;YEAR(E110),0,IF((YEAR(D110)+6)&gt;YEAR(E110),1,(12-MONTH(E110)+1)/12))) + (R110)*(IF((YEAR(D110)+6)&lt;YEAR(E110),0,IF((YEAR(D110)+6)&gt;YEAR(E110),1,(12-MONTH(E110)+1)/12))))-(IF(OR(N110="",N110&lt;=0),0,(O110/N110)*(IF(OR(N110="",N110&lt;=0),0,IF((YEAR(D110)+6)&lt;YEAR(E110),0,IF((YEAR(D110)+6)&gt;=YEAR(E110)+N110,0,IF((YEAR(D110)+6)=YEAR(E110),(12-MONTH(E110)+1)/12,1))))))))&gt;0,(((K110)*(IF(M110="",L110,IFERROR(IF(INDEX(Variablen!$I:$AT, MATCH(M110, Variablen!$A:$A, 0), MATCH((YEAR(D110)+6), Variablen!$I$3:$AT$3, 0))="",L110,INDEX(Variablen!$I:$AT, MATCH(M110, Variablen!$A:$A, 0), MATCH((YEAR(D110)+6), Variablen!$I$3:$AT$3, 0))),L110)))*(IF((YEAR(D110)+6)&lt;YEAR(E110),0,IF((YEAR(D110)+6)&gt;YEAR(E110),1,(12-MONTH(E110)+1)/12))) + (Q110)*(IF((YEAR(D110)+6)&lt;YEAR(E110),0,IF((YEAR(D110)+6)&gt;YEAR(E110),1,(12-MONTH(E110)+1)/12))))-((P110)*(IF((YEAR(D110)+6)&lt;YEAR(E110),0,IF((YEAR(D110)+6)&gt;YEAR(E110),1,(12-MONTH(E110)+1)/12))) + (R110)*(IF((YEAR(D110)+6)&lt;YEAR(E110),0,IF((YEAR(D110)+6)&gt;YEAR(E110),1,(12-MONTH(E110)+1)/12))))-(IF(OR(N110="",N110&lt;=0),0,(O110/N110)*(IF(OR(N110="",N110&lt;=0),0,IF((YEAR(D110)+6)&lt;YEAR(E110),0,IF((YEAR(D110)+6)&gt;=YEAR(E110)+N110,0,IF((YEAR(D110)+6)=YEAR(E110),(12-MONTH(E110)+1)/12,1))))))))*TaxRate,0))-IF(6=0,O110,0))</f>
        <v/>
      </c>
      <c r="Z110" s="29">
        <f>IF(A110="","",((K110)*(IF(M110="",L110,IFERROR(IF(INDEX(Variablen!$I:$AT, MATCH(M110, Variablen!$A:$A, 0), MATCH((YEAR(D110)+7), Variablen!$I$3:$AT$3, 0))="",L110,INDEX(Variablen!$I:$AT, MATCH(M110, Variablen!$A:$A, 0), MATCH((YEAR(D110)+7), Variablen!$I$3:$AT$3, 0))),L110)))*(IF((YEAR(D110)+7)&lt;YEAR(E110),0,IF((YEAR(D110)+7)&gt;YEAR(E110),1,(12-MONTH(E110)+1)/12))) + (Q110)*(IF((YEAR(D110)+7)&lt;YEAR(E110),0,IF((YEAR(D110)+7)&gt;YEAR(E110),1,(12-MONTH(E110)+1)/12))))-((P110)*(IF((YEAR(D110)+7)&lt;YEAR(E110),0,IF((YEAR(D110)+7)&gt;YEAR(E110),1,(12-MONTH(E110)+1)/12))) + (R110)*(IF((YEAR(D110)+7)&lt;YEAR(E110),0,IF((YEAR(D110)+7)&gt;YEAR(E110),1,(12-MONTH(E110)+1)/12))))-(IF((((K110)*(IF(M110="",L110,IFERROR(IF(INDEX(Variablen!$I:$AT, MATCH(M110, Variablen!$A:$A, 0), MATCH((YEAR(D110)+7), Variablen!$I$3:$AT$3, 0))="",L110,INDEX(Variablen!$I:$AT, MATCH(M110, Variablen!$A:$A, 0), MATCH((YEAR(D110)+7), Variablen!$I$3:$AT$3, 0))),L110)))*(IF((YEAR(D110)+7)&lt;YEAR(E110),0,IF((YEAR(D110)+7)&gt;YEAR(E110),1,(12-MONTH(E110)+1)/12))) + (Q110)*(IF((YEAR(D110)+7)&lt;YEAR(E110),0,IF((YEAR(D110)+7)&gt;YEAR(E110),1,(12-MONTH(E110)+1)/12))))-((P110)*(IF((YEAR(D110)+7)&lt;YEAR(E110),0,IF((YEAR(D110)+7)&gt;YEAR(E110),1,(12-MONTH(E110)+1)/12))) + (R110)*(IF((YEAR(D110)+7)&lt;YEAR(E110),0,IF((YEAR(D110)+7)&gt;YEAR(E110),1,(12-MONTH(E110)+1)/12))))-(IF(OR(N110="",N110&lt;=0),0,(O110/N110)*(IF(OR(N110="",N110&lt;=0),0,IF((YEAR(D110)+7)&lt;YEAR(E110),0,IF((YEAR(D110)+7)&gt;=YEAR(E110)+N110,0,IF((YEAR(D110)+7)=YEAR(E110),(12-MONTH(E110)+1)/12,1))))))))&gt;0,(((K110)*(IF(M110="",L110,IFERROR(IF(INDEX(Variablen!$I:$AT, MATCH(M110, Variablen!$A:$A, 0), MATCH((YEAR(D110)+7), Variablen!$I$3:$AT$3, 0))="",L110,INDEX(Variablen!$I:$AT, MATCH(M110, Variablen!$A:$A, 0), MATCH((YEAR(D110)+7), Variablen!$I$3:$AT$3, 0))),L110)))*(IF((YEAR(D110)+7)&lt;YEAR(E110),0,IF((YEAR(D110)+7)&gt;YEAR(E110),1,(12-MONTH(E110)+1)/12))) + (Q110)*(IF((YEAR(D110)+7)&lt;YEAR(E110),0,IF((YEAR(D110)+7)&gt;YEAR(E110),1,(12-MONTH(E110)+1)/12))))-((P110)*(IF((YEAR(D110)+7)&lt;YEAR(E110),0,IF((YEAR(D110)+7)&gt;YEAR(E110),1,(12-MONTH(E110)+1)/12))) + (R110)*(IF((YEAR(D110)+7)&lt;YEAR(E110),0,IF((YEAR(D110)+7)&gt;YEAR(E110),1,(12-MONTH(E110)+1)/12))))-(IF(OR(N110="",N110&lt;=0),0,(O110/N110)*(IF(OR(N110="",N110&lt;=0),0,IF((YEAR(D110)+7)&lt;YEAR(E110),0,IF((YEAR(D110)+7)&gt;=YEAR(E110)+N110,0,IF((YEAR(D110)+7)=YEAR(E110),(12-MONTH(E110)+1)/12,1))))))))*TaxRate,0))-IF(7=0,O110,0))</f>
        <v/>
      </c>
      <c r="AA110" s="29">
        <f>IF(A110="","",((K110)*(IF(M110="",L110,IFERROR(IF(INDEX(Variablen!$I:$AT, MATCH(M110, Variablen!$A:$A, 0), MATCH((YEAR(D110)+8), Variablen!$I$3:$AT$3, 0))="",L110,INDEX(Variablen!$I:$AT, MATCH(M110, Variablen!$A:$A, 0), MATCH((YEAR(D110)+8), Variablen!$I$3:$AT$3, 0))),L110)))*(IF((YEAR(D110)+8)&lt;YEAR(E110),0,IF((YEAR(D110)+8)&gt;YEAR(E110),1,(12-MONTH(E110)+1)/12))) + (Q110)*(IF((YEAR(D110)+8)&lt;YEAR(E110),0,IF((YEAR(D110)+8)&gt;YEAR(E110),1,(12-MONTH(E110)+1)/12))))-((P110)*(IF((YEAR(D110)+8)&lt;YEAR(E110),0,IF((YEAR(D110)+8)&gt;YEAR(E110),1,(12-MONTH(E110)+1)/12))) + (R110)*(IF((YEAR(D110)+8)&lt;YEAR(E110),0,IF((YEAR(D110)+8)&gt;YEAR(E110),1,(12-MONTH(E110)+1)/12))))-(IF((((K110)*(IF(M110="",L110,IFERROR(IF(INDEX(Variablen!$I:$AT, MATCH(M110, Variablen!$A:$A, 0), MATCH((YEAR(D110)+8), Variablen!$I$3:$AT$3, 0))="",L110,INDEX(Variablen!$I:$AT, MATCH(M110, Variablen!$A:$A, 0), MATCH((YEAR(D110)+8), Variablen!$I$3:$AT$3, 0))),L110)))*(IF((YEAR(D110)+8)&lt;YEAR(E110),0,IF((YEAR(D110)+8)&gt;YEAR(E110),1,(12-MONTH(E110)+1)/12))) + (Q110)*(IF((YEAR(D110)+8)&lt;YEAR(E110),0,IF((YEAR(D110)+8)&gt;YEAR(E110),1,(12-MONTH(E110)+1)/12))))-((P110)*(IF((YEAR(D110)+8)&lt;YEAR(E110),0,IF((YEAR(D110)+8)&gt;YEAR(E110),1,(12-MONTH(E110)+1)/12))) + (R110)*(IF((YEAR(D110)+8)&lt;YEAR(E110),0,IF((YEAR(D110)+8)&gt;YEAR(E110),1,(12-MONTH(E110)+1)/12))))-(IF(OR(N110="",N110&lt;=0),0,(O110/N110)*(IF(OR(N110="",N110&lt;=0),0,IF((YEAR(D110)+8)&lt;YEAR(E110),0,IF((YEAR(D110)+8)&gt;=YEAR(E110)+N110,0,IF((YEAR(D110)+8)=YEAR(E110),(12-MONTH(E110)+1)/12,1))))))))&gt;0,(((K110)*(IF(M110="",L110,IFERROR(IF(INDEX(Variablen!$I:$AT, MATCH(M110, Variablen!$A:$A, 0), MATCH((YEAR(D110)+8), Variablen!$I$3:$AT$3, 0))="",L110,INDEX(Variablen!$I:$AT, MATCH(M110, Variablen!$A:$A, 0), MATCH((YEAR(D110)+8), Variablen!$I$3:$AT$3, 0))),L110)))*(IF((YEAR(D110)+8)&lt;YEAR(E110),0,IF((YEAR(D110)+8)&gt;YEAR(E110),1,(12-MONTH(E110)+1)/12))) + (Q110)*(IF((YEAR(D110)+8)&lt;YEAR(E110),0,IF((YEAR(D110)+8)&gt;YEAR(E110),1,(12-MONTH(E110)+1)/12))))-((P110)*(IF((YEAR(D110)+8)&lt;YEAR(E110),0,IF((YEAR(D110)+8)&gt;YEAR(E110),1,(12-MONTH(E110)+1)/12))) + (R110)*(IF((YEAR(D110)+8)&lt;YEAR(E110),0,IF((YEAR(D110)+8)&gt;YEAR(E110),1,(12-MONTH(E110)+1)/12))))-(IF(OR(N110="",N110&lt;=0),0,(O110/N110)*(IF(OR(N110="",N110&lt;=0),0,IF((YEAR(D110)+8)&lt;YEAR(E110),0,IF((YEAR(D110)+8)&gt;=YEAR(E110)+N110,0,IF((YEAR(D110)+8)=YEAR(E110),(12-MONTH(E110)+1)/12,1))))))))*TaxRate,0))-IF(8=0,O110,0))</f>
        <v/>
      </c>
      <c r="AB110" s="29">
        <f>IF(A110="","",((K110)*(IF(M110="",L110,IFERROR(IF(INDEX(Variablen!$I:$AT, MATCH(M110, Variablen!$A:$A, 0), MATCH((YEAR(D110)+9), Variablen!$I$3:$AT$3, 0))="",L110,INDEX(Variablen!$I:$AT, MATCH(M110, Variablen!$A:$A, 0), MATCH((YEAR(D110)+9), Variablen!$I$3:$AT$3, 0))),L110)))*(IF((YEAR(D110)+9)&lt;YEAR(E110),0,IF((YEAR(D110)+9)&gt;YEAR(E110),1,(12-MONTH(E110)+1)/12))) + (Q110)*(IF((YEAR(D110)+9)&lt;YEAR(E110),0,IF((YEAR(D110)+9)&gt;YEAR(E110),1,(12-MONTH(E110)+1)/12))))-((P110)*(IF((YEAR(D110)+9)&lt;YEAR(E110),0,IF((YEAR(D110)+9)&gt;YEAR(E110),1,(12-MONTH(E110)+1)/12))) + (R110)*(IF((YEAR(D110)+9)&lt;YEAR(E110),0,IF((YEAR(D110)+9)&gt;YEAR(E110),1,(12-MONTH(E110)+1)/12))))-(IF((((K110)*(IF(M110="",L110,IFERROR(IF(INDEX(Variablen!$I:$AT, MATCH(M110, Variablen!$A:$A, 0), MATCH((YEAR(D110)+9), Variablen!$I$3:$AT$3, 0))="",L110,INDEX(Variablen!$I:$AT, MATCH(M110, Variablen!$A:$A, 0), MATCH((YEAR(D110)+9), Variablen!$I$3:$AT$3, 0))),L110)))*(IF((YEAR(D110)+9)&lt;YEAR(E110),0,IF((YEAR(D110)+9)&gt;YEAR(E110),1,(12-MONTH(E110)+1)/12))) + (Q110)*(IF((YEAR(D110)+9)&lt;YEAR(E110),0,IF((YEAR(D110)+9)&gt;YEAR(E110),1,(12-MONTH(E110)+1)/12))))-((P110)*(IF((YEAR(D110)+9)&lt;YEAR(E110),0,IF((YEAR(D110)+9)&gt;YEAR(E110),1,(12-MONTH(E110)+1)/12))) + (R110)*(IF((YEAR(D110)+9)&lt;YEAR(E110),0,IF((YEAR(D110)+9)&gt;YEAR(E110),1,(12-MONTH(E110)+1)/12))))-(IF(OR(N110="",N110&lt;=0),0,(O110/N110)*(IF(OR(N110="",N110&lt;=0),0,IF((YEAR(D110)+9)&lt;YEAR(E110),0,IF((YEAR(D110)+9)&gt;=YEAR(E110)+N110,0,IF((YEAR(D110)+9)=YEAR(E110),(12-MONTH(E110)+1)/12,1))))))))&gt;0,(((K110)*(IF(M110="",L110,IFERROR(IF(INDEX(Variablen!$I:$AT, MATCH(M110, Variablen!$A:$A, 0), MATCH((YEAR(D110)+9), Variablen!$I$3:$AT$3, 0))="",L110,INDEX(Variablen!$I:$AT, MATCH(M110, Variablen!$A:$A, 0), MATCH((YEAR(D110)+9), Variablen!$I$3:$AT$3, 0))),L110)))*(IF((YEAR(D110)+9)&lt;YEAR(E110),0,IF((YEAR(D110)+9)&gt;YEAR(E110),1,(12-MONTH(E110)+1)/12))) + (Q110)*(IF((YEAR(D110)+9)&lt;YEAR(E110),0,IF((YEAR(D110)+9)&gt;YEAR(E110),1,(12-MONTH(E110)+1)/12))))-((P110)*(IF((YEAR(D110)+9)&lt;YEAR(E110),0,IF((YEAR(D110)+9)&gt;YEAR(E110),1,(12-MONTH(E110)+1)/12))) + (R110)*(IF((YEAR(D110)+9)&lt;YEAR(E110),0,IF((YEAR(D110)+9)&gt;YEAR(E110),1,(12-MONTH(E110)+1)/12))))-(IF(OR(N110="",N110&lt;=0),0,(O110/N110)*(IF(OR(N110="",N110&lt;=0),0,IF((YEAR(D110)+9)&lt;YEAR(E110),0,IF((YEAR(D110)+9)&gt;=YEAR(E110)+N110,0,IF((YEAR(D110)+9)=YEAR(E110),(12-MONTH(E110)+1)/12,1))))))))*TaxRate,0))-IF(9=0,O110,0))</f>
        <v/>
      </c>
      <c r="AC110" s="29">
        <f>IF(A110="","",((K110)*(IF(M110="",L110,IFERROR(IF(INDEX(Variablen!$I:$AT, MATCH(M110, Variablen!$A:$A, 0), MATCH((YEAR(D110)+10), Variablen!$I$3:$AT$3, 0))="",L110,INDEX(Variablen!$I:$AT, MATCH(M110, Variablen!$A:$A, 0), MATCH((YEAR(D110)+10), Variablen!$I$3:$AT$3, 0))),L110)))*(IF((YEAR(D110)+10)&lt;YEAR(E110),0,IF((YEAR(D110)+10)&gt;YEAR(E110),1,(12-MONTH(E110)+1)/12))) + (Q110)*(IF((YEAR(D110)+10)&lt;YEAR(E110),0,IF((YEAR(D110)+10)&gt;YEAR(E110),1,(12-MONTH(E110)+1)/12))))-((P110)*(IF((YEAR(D110)+10)&lt;YEAR(E110),0,IF((YEAR(D110)+10)&gt;YEAR(E110),1,(12-MONTH(E110)+1)/12))) + (R110)*(IF((YEAR(D110)+10)&lt;YEAR(E110),0,IF((YEAR(D110)+10)&gt;YEAR(E110),1,(12-MONTH(E110)+1)/12))))-(IF((((K110)*(IF(M110="",L110,IFERROR(IF(INDEX(Variablen!$I:$AT, MATCH(M110, Variablen!$A:$A, 0), MATCH((YEAR(D110)+10), Variablen!$I$3:$AT$3, 0))="",L110,INDEX(Variablen!$I:$AT, MATCH(M110, Variablen!$A:$A, 0), MATCH((YEAR(D110)+10), Variablen!$I$3:$AT$3, 0))),L110)))*(IF((YEAR(D110)+10)&lt;YEAR(E110),0,IF((YEAR(D110)+10)&gt;YEAR(E110),1,(12-MONTH(E110)+1)/12))) + (Q110)*(IF((YEAR(D110)+10)&lt;YEAR(E110),0,IF((YEAR(D110)+10)&gt;YEAR(E110),1,(12-MONTH(E110)+1)/12))))-((P110)*(IF((YEAR(D110)+10)&lt;YEAR(E110),0,IF((YEAR(D110)+10)&gt;YEAR(E110),1,(12-MONTH(E110)+1)/12))) + (R110)*(IF((YEAR(D110)+10)&lt;YEAR(E110),0,IF((YEAR(D110)+10)&gt;YEAR(E110),1,(12-MONTH(E110)+1)/12))))-(IF(OR(N110="",N110&lt;=0),0,(O110/N110)*(IF(OR(N110="",N110&lt;=0),0,IF((YEAR(D110)+10)&lt;YEAR(E110),0,IF((YEAR(D110)+10)&gt;=YEAR(E110)+N110,0,IF((YEAR(D110)+10)=YEAR(E110),(12-MONTH(E110)+1)/12,1))))))))&gt;0,(((K110)*(IF(M110="",L110,IFERROR(IF(INDEX(Variablen!$I:$AT, MATCH(M110, Variablen!$A:$A, 0), MATCH((YEAR(D110)+10), Variablen!$I$3:$AT$3, 0))="",L110,INDEX(Variablen!$I:$AT, MATCH(M110, Variablen!$A:$A, 0), MATCH((YEAR(D110)+10), Variablen!$I$3:$AT$3, 0))),L110)))*(IF((YEAR(D110)+10)&lt;YEAR(E110),0,IF((YEAR(D110)+10)&gt;YEAR(E110),1,(12-MONTH(E110)+1)/12))) + (Q110)*(IF((YEAR(D110)+10)&lt;YEAR(E110),0,IF((YEAR(D110)+10)&gt;YEAR(E110),1,(12-MONTH(E110)+1)/12))))-((P110)*(IF((YEAR(D110)+10)&lt;YEAR(E110),0,IF((YEAR(D110)+10)&gt;YEAR(E110),1,(12-MONTH(E110)+1)/12))) + (R110)*(IF((YEAR(D110)+10)&lt;YEAR(E110),0,IF((YEAR(D110)+10)&gt;YEAR(E110),1,(12-MONTH(E110)+1)/12))))-(IF(OR(N110="",N110&lt;=0),0,(O110/N110)*(IF(OR(N110="",N110&lt;=0),0,IF((YEAR(D110)+10)&lt;YEAR(E110),0,IF((YEAR(D110)+10)&gt;=YEAR(E110)+N110,0,IF((YEAR(D110)+10)=YEAR(E110),(12-MONTH(E110)+1)/12,1))))))))*TaxRate,0))-IF(10=0,O110,0))</f>
        <v/>
      </c>
      <c r="AD110" s="29">
        <f>IF(A110="","",((K110)*(IF(M110="",L110,IFERROR(IF(INDEX(Variablen!$I:$AT, MATCH(M110, Variablen!$A:$A, 0), MATCH((YEAR(D110)+11), Variablen!$I$3:$AT$3, 0))="",L110,INDEX(Variablen!$I:$AT, MATCH(M110, Variablen!$A:$A, 0), MATCH((YEAR(D110)+11), Variablen!$I$3:$AT$3, 0))),L110)))*(IF((YEAR(D110)+11)&lt;YEAR(E110),0,IF((YEAR(D110)+11)&gt;YEAR(E110),1,(12-MONTH(E110)+1)/12))) + (Q110)*(IF((YEAR(D110)+11)&lt;YEAR(E110),0,IF((YEAR(D110)+11)&gt;YEAR(E110),1,(12-MONTH(E110)+1)/12))))-((P110)*(IF((YEAR(D110)+11)&lt;YEAR(E110),0,IF((YEAR(D110)+11)&gt;YEAR(E110),1,(12-MONTH(E110)+1)/12))) + (R110)*(IF((YEAR(D110)+11)&lt;YEAR(E110),0,IF((YEAR(D110)+11)&gt;YEAR(E110),1,(12-MONTH(E110)+1)/12))))-(IF((((K110)*(IF(M110="",L110,IFERROR(IF(INDEX(Variablen!$I:$AT, MATCH(M110, Variablen!$A:$A, 0), MATCH((YEAR(D110)+11), Variablen!$I$3:$AT$3, 0))="",L110,INDEX(Variablen!$I:$AT, MATCH(M110, Variablen!$A:$A, 0), MATCH((YEAR(D110)+11), Variablen!$I$3:$AT$3, 0))),L110)))*(IF((YEAR(D110)+11)&lt;YEAR(E110),0,IF((YEAR(D110)+11)&gt;YEAR(E110),1,(12-MONTH(E110)+1)/12))) + (Q110)*(IF((YEAR(D110)+11)&lt;YEAR(E110),0,IF((YEAR(D110)+11)&gt;YEAR(E110),1,(12-MONTH(E110)+1)/12))))-((P110)*(IF((YEAR(D110)+11)&lt;YEAR(E110),0,IF((YEAR(D110)+11)&gt;YEAR(E110),1,(12-MONTH(E110)+1)/12))) + (R110)*(IF((YEAR(D110)+11)&lt;YEAR(E110),0,IF((YEAR(D110)+11)&gt;YEAR(E110),1,(12-MONTH(E110)+1)/12))))-(IF(OR(N110="",N110&lt;=0),0,(O110/N110)*(IF(OR(N110="",N110&lt;=0),0,IF((YEAR(D110)+11)&lt;YEAR(E110),0,IF((YEAR(D110)+11)&gt;=YEAR(E110)+N110,0,IF((YEAR(D110)+11)=YEAR(E110),(12-MONTH(E110)+1)/12,1))))))))&gt;0,(((K110)*(IF(M110="",L110,IFERROR(IF(INDEX(Variablen!$I:$AT, MATCH(M110, Variablen!$A:$A, 0), MATCH((YEAR(D110)+11), Variablen!$I$3:$AT$3, 0))="",L110,INDEX(Variablen!$I:$AT, MATCH(M110, Variablen!$A:$A, 0), MATCH((YEAR(D110)+11), Variablen!$I$3:$AT$3, 0))),L110)))*(IF((YEAR(D110)+11)&lt;YEAR(E110),0,IF((YEAR(D110)+11)&gt;YEAR(E110),1,(12-MONTH(E110)+1)/12))) + (Q110)*(IF((YEAR(D110)+11)&lt;YEAR(E110),0,IF((YEAR(D110)+11)&gt;YEAR(E110),1,(12-MONTH(E110)+1)/12))))-((P110)*(IF((YEAR(D110)+11)&lt;YEAR(E110),0,IF((YEAR(D110)+11)&gt;YEAR(E110),1,(12-MONTH(E110)+1)/12))) + (R110)*(IF((YEAR(D110)+11)&lt;YEAR(E110),0,IF((YEAR(D110)+11)&gt;YEAR(E110),1,(12-MONTH(E110)+1)/12))))-(IF(OR(N110="",N110&lt;=0),0,(O110/N110)*(IF(OR(N110="",N110&lt;=0),0,IF((YEAR(D110)+11)&lt;YEAR(E110),0,IF((YEAR(D110)+11)&gt;=YEAR(E110)+N110,0,IF((YEAR(D110)+11)=YEAR(E110),(12-MONTH(E110)+1)/12,1))))))))*TaxRate,0))-IF(11=0,O110,0))</f>
        <v/>
      </c>
      <c r="AE110" s="29">
        <f>IF(A110="","",((K110)*(IF(M110="",L110,IFERROR(IF(INDEX(Variablen!$I:$AT, MATCH(M110, Variablen!$A:$A, 0), MATCH((YEAR(D110)+12), Variablen!$I$3:$AT$3, 0))="",L110,INDEX(Variablen!$I:$AT, MATCH(M110, Variablen!$A:$A, 0), MATCH((YEAR(D110)+12), Variablen!$I$3:$AT$3, 0))),L110)))*(IF((YEAR(D110)+12)&lt;YEAR(E110),0,IF((YEAR(D110)+12)&gt;YEAR(E110),1,(12-MONTH(E110)+1)/12))) + (Q110)*(IF((YEAR(D110)+12)&lt;YEAR(E110),0,IF((YEAR(D110)+12)&gt;YEAR(E110),1,(12-MONTH(E110)+1)/12))))-((P110)*(IF((YEAR(D110)+12)&lt;YEAR(E110),0,IF((YEAR(D110)+12)&gt;YEAR(E110),1,(12-MONTH(E110)+1)/12))) + (R110)*(IF((YEAR(D110)+12)&lt;YEAR(E110),0,IF((YEAR(D110)+12)&gt;YEAR(E110),1,(12-MONTH(E110)+1)/12))))-(IF((((K110)*(IF(M110="",L110,IFERROR(IF(INDEX(Variablen!$I:$AT, MATCH(M110, Variablen!$A:$A, 0), MATCH((YEAR(D110)+12), Variablen!$I$3:$AT$3, 0))="",L110,INDEX(Variablen!$I:$AT, MATCH(M110, Variablen!$A:$A, 0), MATCH((YEAR(D110)+12), Variablen!$I$3:$AT$3, 0))),L110)))*(IF((YEAR(D110)+12)&lt;YEAR(E110),0,IF((YEAR(D110)+12)&gt;YEAR(E110),1,(12-MONTH(E110)+1)/12))) + (Q110)*(IF((YEAR(D110)+12)&lt;YEAR(E110),0,IF((YEAR(D110)+12)&gt;YEAR(E110),1,(12-MONTH(E110)+1)/12))))-((P110)*(IF((YEAR(D110)+12)&lt;YEAR(E110),0,IF((YEAR(D110)+12)&gt;YEAR(E110),1,(12-MONTH(E110)+1)/12))) + (R110)*(IF((YEAR(D110)+12)&lt;YEAR(E110),0,IF((YEAR(D110)+12)&gt;YEAR(E110),1,(12-MONTH(E110)+1)/12))))-(IF(OR(N110="",N110&lt;=0),0,(O110/N110)*(IF(OR(N110="",N110&lt;=0),0,IF((YEAR(D110)+12)&lt;YEAR(E110),0,IF((YEAR(D110)+12)&gt;=YEAR(E110)+N110,0,IF((YEAR(D110)+12)=YEAR(E110),(12-MONTH(E110)+1)/12,1))))))))&gt;0,(((K110)*(IF(M110="",L110,IFERROR(IF(INDEX(Variablen!$I:$AT, MATCH(M110, Variablen!$A:$A, 0), MATCH((YEAR(D110)+12), Variablen!$I$3:$AT$3, 0))="",L110,INDEX(Variablen!$I:$AT, MATCH(M110, Variablen!$A:$A, 0), MATCH((YEAR(D110)+12), Variablen!$I$3:$AT$3, 0))),L110)))*(IF((YEAR(D110)+12)&lt;YEAR(E110),0,IF((YEAR(D110)+12)&gt;YEAR(E110),1,(12-MONTH(E110)+1)/12))) + (Q110)*(IF((YEAR(D110)+12)&lt;YEAR(E110),0,IF((YEAR(D110)+12)&gt;YEAR(E110),1,(12-MONTH(E110)+1)/12))))-((P110)*(IF((YEAR(D110)+12)&lt;YEAR(E110),0,IF((YEAR(D110)+12)&gt;YEAR(E110),1,(12-MONTH(E110)+1)/12))) + (R110)*(IF((YEAR(D110)+12)&lt;YEAR(E110),0,IF((YEAR(D110)+12)&gt;YEAR(E110),1,(12-MONTH(E110)+1)/12))))-(IF(OR(N110="",N110&lt;=0),0,(O110/N110)*(IF(OR(N110="",N110&lt;=0),0,IF((YEAR(D110)+12)&lt;YEAR(E110),0,IF((YEAR(D110)+12)&gt;=YEAR(E110)+N110,0,IF((YEAR(D110)+12)=YEAR(E110),(12-MONTH(E110)+1)/12,1))))))))*TaxRate,0))-IF(12=0,O110,0))</f>
        <v/>
      </c>
      <c r="AF110" s="29">
        <f>IF(A110="","",((K110)*(IF(M110="",L110,IFERROR(IF(INDEX(Variablen!$I:$AT, MATCH(M110, Variablen!$A:$A, 0), MATCH((YEAR(D110)+13), Variablen!$I$3:$AT$3, 0))="",L110,INDEX(Variablen!$I:$AT, MATCH(M110, Variablen!$A:$A, 0), MATCH((YEAR(D110)+13), Variablen!$I$3:$AT$3, 0))),L110)))*(IF((YEAR(D110)+13)&lt;YEAR(E110),0,IF((YEAR(D110)+13)&gt;YEAR(E110),1,(12-MONTH(E110)+1)/12))) + (Q110)*(IF((YEAR(D110)+13)&lt;YEAR(E110),0,IF((YEAR(D110)+13)&gt;YEAR(E110),1,(12-MONTH(E110)+1)/12))))-((P110)*(IF((YEAR(D110)+13)&lt;YEAR(E110),0,IF((YEAR(D110)+13)&gt;YEAR(E110),1,(12-MONTH(E110)+1)/12))) + (R110)*(IF((YEAR(D110)+13)&lt;YEAR(E110),0,IF((YEAR(D110)+13)&gt;YEAR(E110),1,(12-MONTH(E110)+1)/12))))-(IF((((K110)*(IF(M110="",L110,IFERROR(IF(INDEX(Variablen!$I:$AT, MATCH(M110, Variablen!$A:$A, 0), MATCH((YEAR(D110)+13), Variablen!$I$3:$AT$3, 0))="",L110,INDEX(Variablen!$I:$AT, MATCH(M110, Variablen!$A:$A, 0), MATCH((YEAR(D110)+13), Variablen!$I$3:$AT$3, 0))),L110)))*(IF((YEAR(D110)+13)&lt;YEAR(E110),0,IF((YEAR(D110)+13)&gt;YEAR(E110),1,(12-MONTH(E110)+1)/12))) + (Q110)*(IF((YEAR(D110)+13)&lt;YEAR(E110),0,IF((YEAR(D110)+13)&gt;YEAR(E110),1,(12-MONTH(E110)+1)/12))))-((P110)*(IF((YEAR(D110)+13)&lt;YEAR(E110),0,IF((YEAR(D110)+13)&gt;YEAR(E110),1,(12-MONTH(E110)+1)/12))) + (R110)*(IF((YEAR(D110)+13)&lt;YEAR(E110),0,IF((YEAR(D110)+13)&gt;YEAR(E110),1,(12-MONTH(E110)+1)/12))))-(IF(OR(N110="",N110&lt;=0),0,(O110/N110)*(IF(OR(N110="",N110&lt;=0),0,IF((YEAR(D110)+13)&lt;YEAR(E110),0,IF((YEAR(D110)+13)&gt;=YEAR(E110)+N110,0,IF((YEAR(D110)+13)=YEAR(E110),(12-MONTH(E110)+1)/12,1))))))))&gt;0,(((K110)*(IF(M110="",L110,IFERROR(IF(INDEX(Variablen!$I:$AT, MATCH(M110, Variablen!$A:$A, 0), MATCH((YEAR(D110)+13), Variablen!$I$3:$AT$3, 0))="",L110,INDEX(Variablen!$I:$AT, MATCH(M110, Variablen!$A:$A, 0), MATCH((YEAR(D110)+13), Variablen!$I$3:$AT$3, 0))),L110)))*(IF((YEAR(D110)+13)&lt;YEAR(E110),0,IF((YEAR(D110)+13)&gt;YEAR(E110),1,(12-MONTH(E110)+1)/12))) + (Q110)*(IF((YEAR(D110)+13)&lt;YEAR(E110),0,IF((YEAR(D110)+13)&gt;YEAR(E110),1,(12-MONTH(E110)+1)/12))))-((P110)*(IF((YEAR(D110)+13)&lt;YEAR(E110),0,IF((YEAR(D110)+13)&gt;YEAR(E110),1,(12-MONTH(E110)+1)/12))) + (R110)*(IF((YEAR(D110)+13)&lt;YEAR(E110),0,IF((YEAR(D110)+13)&gt;YEAR(E110),1,(12-MONTH(E110)+1)/12))))-(IF(OR(N110="",N110&lt;=0),0,(O110/N110)*(IF(OR(N110="",N110&lt;=0),0,IF((YEAR(D110)+13)&lt;YEAR(E110),0,IF((YEAR(D110)+13)&gt;=YEAR(E110)+N110,0,IF((YEAR(D110)+13)=YEAR(E110),(12-MONTH(E110)+1)/12,1))))))))*TaxRate,0))-IF(13=0,O110,0))</f>
        <v/>
      </c>
      <c r="AG110" s="29">
        <f>IF(A110="","",((K110)*(IF(M110="",L110,IFERROR(IF(INDEX(Variablen!$I:$AT, MATCH(M110, Variablen!$A:$A, 0), MATCH((YEAR(D110)+14), Variablen!$I$3:$AT$3, 0))="",L110,INDEX(Variablen!$I:$AT, MATCH(M110, Variablen!$A:$A, 0), MATCH((YEAR(D110)+14), Variablen!$I$3:$AT$3, 0))),L110)))*(IF((YEAR(D110)+14)&lt;YEAR(E110),0,IF((YEAR(D110)+14)&gt;YEAR(E110),1,(12-MONTH(E110)+1)/12))) + (Q110)*(IF((YEAR(D110)+14)&lt;YEAR(E110),0,IF((YEAR(D110)+14)&gt;YEAR(E110),1,(12-MONTH(E110)+1)/12))))-((P110)*(IF((YEAR(D110)+14)&lt;YEAR(E110),0,IF((YEAR(D110)+14)&gt;YEAR(E110),1,(12-MONTH(E110)+1)/12))) + (R110)*(IF((YEAR(D110)+14)&lt;YEAR(E110),0,IF((YEAR(D110)+14)&gt;YEAR(E110),1,(12-MONTH(E110)+1)/12))))-(IF((((K110)*(IF(M110="",L110,IFERROR(IF(INDEX(Variablen!$I:$AT, MATCH(M110, Variablen!$A:$A, 0), MATCH((YEAR(D110)+14), Variablen!$I$3:$AT$3, 0))="",L110,INDEX(Variablen!$I:$AT, MATCH(M110, Variablen!$A:$A, 0), MATCH((YEAR(D110)+14), Variablen!$I$3:$AT$3, 0))),L110)))*(IF((YEAR(D110)+14)&lt;YEAR(E110),0,IF((YEAR(D110)+14)&gt;YEAR(E110),1,(12-MONTH(E110)+1)/12))) + (Q110)*(IF((YEAR(D110)+14)&lt;YEAR(E110),0,IF((YEAR(D110)+14)&gt;YEAR(E110),1,(12-MONTH(E110)+1)/12))))-((P110)*(IF((YEAR(D110)+14)&lt;YEAR(E110),0,IF((YEAR(D110)+14)&gt;YEAR(E110),1,(12-MONTH(E110)+1)/12))) + (R110)*(IF((YEAR(D110)+14)&lt;YEAR(E110),0,IF((YEAR(D110)+14)&gt;YEAR(E110),1,(12-MONTH(E110)+1)/12))))-(IF(OR(N110="",N110&lt;=0),0,(O110/N110)*(IF(OR(N110="",N110&lt;=0),0,IF((YEAR(D110)+14)&lt;YEAR(E110),0,IF((YEAR(D110)+14)&gt;=YEAR(E110)+N110,0,IF((YEAR(D110)+14)=YEAR(E110),(12-MONTH(E110)+1)/12,1))))))))&gt;0,(((K110)*(IF(M110="",L110,IFERROR(IF(INDEX(Variablen!$I:$AT, MATCH(M110, Variablen!$A:$A, 0), MATCH((YEAR(D110)+14), Variablen!$I$3:$AT$3, 0))="",L110,INDEX(Variablen!$I:$AT, MATCH(M110, Variablen!$A:$A, 0), MATCH((YEAR(D110)+14), Variablen!$I$3:$AT$3, 0))),L110)))*(IF((YEAR(D110)+14)&lt;YEAR(E110),0,IF((YEAR(D110)+14)&gt;YEAR(E110),1,(12-MONTH(E110)+1)/12))) + (Q110)*(IF((YEAR(D110)+14)&lt;YEAR(E110),0,IF((YEAR(D110)+14)&gt;YEAR(E110),1,(12-MONTH(E110)+1)/12))))-((P110)*(IF((YEAR(D110)+14)&lt;YEAR(E110),0,IF((YEAR(D110)+14)&gt;YEAR(E110),1,(12-MONTH(E110)+1)/12))) + (R110)*(IF((YEAR(D110)+14)&lt;YEAR(E110),0,IF((YEAR(D110)+14)&gt;YEAR(E110),1,(12-MONTH(E110)+1)/12))))-(IF(OR(N110="",N110&lt;=0),0,(O110/N110)*(IF(OR(N110="",N110&lt;=0),0,IF((YEAR(D110)+14)&lt;YEAR(E110),0,IF((YEAR(D110)+14)&gt;=YEAR(E110)+N110,0,IF((YEAR(D110)+14)=YEAR(E110),(12-MONTH(E110)+1)/12,1))))))))*TaxRate,0))-IF(14=0,O110,0))</f>
        <v/>
      </c>
      <c r="AH110" s="29">
        <f>IF(A110="","",((K110)*(IF(M110="",L110,IFERROR(IF(INDEX(Variablen!$I:$AT, MATCH(M110, Variablen!$A:$A, 0), MATCH((YEAR(D110)+15), Variablen!$I$3:$AT$3, 0))="",L110,INDEX(Variablen!$I:$AT, MATCH(M110, Variablen!$A:$A, 0), MATCH((YEAR(D110)+15), Variablen!$I$3:$AT$3, 0))),L110)))*(IF((YEAR(D110)+15)&lt;YEAR(E110),0,IF((YEAR(D110)+15)&gt;YEAR(E110),1,(12-MONTH(E110)+1)/12))) + (Q110)*(IF((YEAR(D110)+15)&lt;YEAR(E110),0,IF((YEAR(D110)+15)&gt;YEAR(E110),1,(12-MONTH(E110)+1)/12))))-((P110)*(IF((YEAR(D110)+15)&lt;YEAR(E110),0,IF((YEAR(D110)+15)&gt;YEAR(E110),1,(12-MONTH(E110)+1)/12))) + (R110)*(IF((YEAR(D110)+15)&lt;YEAR(E110),0,IF((YEAR(D110)+15)&gt;YEAR(E110),1,(12-MONTH(E110)+1)/12))))-(IF((((K110)*(IF(M110="",L110,IFERROR(IF(INDEX(Variablen!$I:$AT, MATCH(M110, Variablen!$A:$A, 0), MATCH((YEAR(D110)+15), Variablen!$I$3:$AT$3, 0))="",L110,INDEX(Variablen!$I:$AT, MATCH(M110, Variablen!$A:$A, 0), MATCH((YEAR(D110)+15), Variablen!$I$3:$AT$3, 0))),L110)))*(IF((YEAR(D110)+15)&lt;YEAR(E110),0,IF((YEAR(D110)+15)&gt;YEAR(E110),1,(12-MONTH(E110)+1)/12))) + (Q110)*(IF((YEAR(D110)+15)&lt;YEAR(E110),0,IF((YEAR(D110)+15)&gt;YEAR(E110),1,(12-MONTH(E110)+1)/12))))-((P110)*(IF((YEAR(D110)+15)&lt;YEAR(E110),0,IF((YEAR(D110)+15)&gt;YEAR(E110),1,(12-MONTH(E110)+1)/12))) + (R110)*(IF((YEAR(D110)+15)&lt;YEAR(E110),0,IF((YEAR(D110)+15)&gt;YEAR(E110),1,(12-MONTH(E110)+1)/12))))-(IF(OR(N110="",N110&lt;=0),0,(O110/N110)*(IF(OR(N110="",N110&lt;=0),0,IF((YEAR(D110)+15)&lt;YEAR(E110),0,IF((YEAR(D110)+15)&gt;=YEAR(E110)+N110,0,IF((YEAR(D110)+15)=YEAR(E110),(12-MONTH(E110)+1)/12,1))))))))&gt;0,(((K110)*(IF(M110="",L110,IFERROR(IF(INDEX(Variablen!$I:$AT, MATCH(M110, Variablen!$A:$A, 0), MATCH((YEAR(D110)+15), Variablen!$I$3:$AT$3, 0))="",L110,INDEX(Variablen!$I:$AT, MATCH(M110, Variablen!$A:$A, 0), MATCH((YEAR(D110)+15), Variablen!$I$3:$AT$3, 0))),L110)))*(IF((YEAR(D110)+15)&lt;YEAR(E110),0,IF((YEAR(D110)+15)&gt;YEAR(E110),1,(12-MONTH(E110)+1)/12))) + (Q110)*(IF((YEAR(D110)+15)&lt;YEAR(E110),0,IF((YEAR(D110)+15)&gt;YEAR(E110),1,(12-MONTH(E110)+1)/12))))-((P110)*(IF((YEAR(D110)+15)&lt;YEAR(E110),0,IF((YEAR(D110)+15)&gt;YEAR(E110),1,(12-MONTH(E110)+1)/12))) + (R110)*(IF((YEAR(D110)+15)&lt;YEAR(E110),0,IF((YEAR(D110)+15)&gt;YEAR(E110),1,(12-MONTH(E110)+1)/12))))-(IF(OR(N110="",N110&lt;=0),0,(O110/N110)*(IF(OR(N110="",N110&lt;=0),0,IF((YEAR(D110)+15)&lt;YEAR(E110),0,IF((YEAR(D110)+15)&gt;=YEAR(E110)+N110,0,IF((YEAR(D110)+15)=YEAR(E110),(12-MONTH(E110)+1)/12,1))))))))*TaxRate,0))-IF(15=0,O110,0))</f>
        <v/>
      </c>
      <c r="AI110" s="29">
        <f>IF(A110="","",((K110)*(IF(M110="",L110,IFERROR(IF(INDEX(Variablen!$I:$AT, MATCH(M110, Variablen!$A:$A, 0), MATCH((YEAR(D110)+16), Variablen!$I$3:$AT$3, 0))="",L110,INDEX(Variablen!$I:$AT, MATCH(M110, Variablen!$A:$A, 0), MATCH((YEAR(D110)+16), Variablen!$I$3:$AT$3, 0))),L110)))*(IF((YEAR(D110)+16)&lt;YEAR(E110),0,IF((YEAR(D110)+16)&gt;YEAR(E110),1,(12-MONTH(E110)+1)/12))) + (Q110)*(IF((YEAR(D110)+16)&lt;YEAR(E110),0,IF((YEAR(D110)+16)&gt;YEAR(E110),1,(12-MONTH(E110)+1)/12))))-((P110)*(IF((YEAR(D110)+16)&lt;YEAR(E110),0,IF((YEAR(D110)+16)&gt;YEAR(E110),1,(12-MONTH(E110)+1)/12))) + (R110)*(IF((YEAR(D110)+16)&lt;YEAR(E110),0,IF((YEAR(D110)+16)&gt;YEAR(E110),1,(12-MONTH(E110)+1)/12))))-(IF((((K110)*(IF(M110="",L110,IFERROR(IF(INDEX(Variablen!$I:$AT, MATCH(M110, Variablen!$A:$A, 0), MATCH((YEAR(D110)+16), Variablen!$I$3:$AT$3, 0))="",L110,INDEX(Variablen!$I:$AT, MATCH(M110, Variablen!$A:$A, 0), MATCH((YEAR(D110)+16), Variablen!$I$3:$AT$3, 0))),L110)))*(IF((YEAR(D110)+16)&lt;YEAR(E110),0,IF((YEAR(D110)+16)&gt;YEAR(E110),1,(12-MONTH(E110)+1)/12))) + (Q110)*(IF((YEAR(D110)+16)&lt;YEAR(E110),0,IF((YEAR(D110)+16)&gt;YEAR(E110),1,(12-MONTH(E110)+1)/12))))-((P110)*(IF((YEAR(D110)+16)&lt;YEAR(E110),0,IF((YEAR(D110)+16)&gt;YEAR(E110),1,(12-MONTH(E110)+1)/12))) + (R110)*(IF((YEAR(D110)+16)&lt;YEAR(E110),0,IF((YEAR(D110)+16)&gt;YEAR(E110),1,(12-MONTH(E110)+1)/12))))-(IF(OR(N110="",N110&lt;=0),0,(O110/N110)*(IF(OR(N110="",N110&lt;=0),0,IF((YEAR(D110)+16)&lt;YEAR(E110),0,IF((YEAR(D110)+16)&gt;=YEAR(E110)+N110,0,IF((YEAR(D110)+16)=YEAR(E110),(12-MONTH(E110)+1)/12,1))))))))&gt;0,(((K110)*(IF(M110="",L110,IFERROR(IF(INDEX(Variablen!$I:$AT, MATCH(M110, Variablen!$A:$A, 0), MATCH((YEAR(D110)+16), Variablen!$I$3:$AT$3, 0))="",L110,INDEX(Variablen!$I:$AT, MATCH(M110, Variablen!$A:$A, 0), MATCH((YEAR(D110)+16), Variablen!$I$3:$AT$3, 0))),L110)))*(IF((YEAR(D110)+16)&lt;YEAR(E110),0,IF((YEAR(D110)+16)&gt;YEAR(E110),1,(12-MONTH(E110)+1)/12))) + (Q110)*(IF((YEAR(D110)+16)&lt;YEAR(E110),0,IF((YEAR(D110)+16)&gt;YEAR(E110),1,(12-MONTH(E110)+1)/12))))-((P110)*(IF((YEAR(D110)+16)&lt;YEAR(E110),0,IF((YEAR(D110)+16)&gt;YEAR(E110),1,(12-MONTH(E110)+1)/12))) + (R110)*(IF((YEAR(D110)+16)&lt;YEAR(E110),0,IF((YEAR(D110)+16)&gt;YEAR(E110),1,(12-MONTH(E110)+1)/12))))-(IF(OR(N110="",N110&lt;=0),0,(O110/N110)*(IF(OR(N110="",N110&lt;=0),0,IF((YEAR(D110)+16)&lt;YEAR(E110),0,IF((YEAR(D110)+16)&gt;=YEAR(E110)+N110,0,IF((YEAR(D110)+16)=YEAR(E110),(12-MONTH(E110)+1)/12,1))))))))*TaxRate,0))-IF(16=0,O110,0))</f>
        <v/>
      </c>
      <c r="AJ110" s="29">
        <f>IF(A110="","",((K110)*(IF(M110="",L110,IFERROR(IF(INDEX(Variablen!$I:$AT, MATCH(M110, Variablen!$A:$A, 0), MATCH((YEAR(D110)+17), Variablen!$I$3:$AT$3, 0))="",L110,INDEX(Variablen!$I:$AT, MATCH(M110, Variablen!$A:$A, 0), MATCH((YEAR(D110)+17), Variablen!$I$3:$AT$3, 0))),L110)))*(IF((YEAR(D110)+17)&lt;YEAR(E110),0,IF((YEAR(D110)+17)&gt;YEAR(E110),1,(12-MONTH(E110)+1)/12))) + (Q110)*(IF((YEAR(D110)+17)&lt;YEAR(E110),0,IF((YEAR(D110)+17)&gt;YEAR(E110),1,(12-MONTH(E110)+1)/12))))-((P110)*(IF((YEAR(D110)+17)&lt;YEAR(E110),0,IF((YEAR(D110)+17)&gt;YEAR(E110),1,(12-MONTH(E110)+1)/12))) + (R110)*(IF((YEAR(D110)+17)&lt;YEAR(E110),0,IF((YEAR(D110)+17)&gt;YEAR(E110),1,(12-MONTH(E110)+1)/12))))-(IF((((K110)*(IF(M110="",L110,IFERROR(IF(INDEX(Variablen!$I:$AT, MATCH(M110, Variablen!$A:$A, 0), MATCH((YEAR(D110)+17), Variablen!$I$3:$AT$3, 0))="",L110,INDEX(Variablen!$I:$AT, MATCH(M110, Variablen!$A:$A, 0), MATCH((YEAR(D110)+17), Variablen!$I$3:$AT$3, 0))),L110)))*(IF((YEAR(D110)+17)&lt;YEAR(E110),0,IF((YEAR(D110)+17)&gt;YEAR(E110),1,(12-MONTH(E110)+1)/12))) + (Q110)*(IF((YEAR(D110)+17)&lt;YEAR(E110),0,IF((YEAR(D110)+17)&gt;YEAR(E110),1,(12-MONTH(E110)+1)/12))))-((P110)*(IF((YEAR(D110)+17)&lt;YEAR(E110),0,IF((YEAR(D110)+17)&gt;YEAR(E110),1,(12-MONTH(E110)+1)/12))) + (R110)*(IF((YEAR(D110)+17)&lt;YEAR(E110),0,IF((YEAR(D110)+17)&gt;YEAR(E110),1,(12-MONTH(E110)+1)/12))))-(IF(OR(N110="",N110&lt;=0),0,(O110/N110)*(IF(OR(N110="",N110&lt;=0),0,IF((YEAR(D110)+17)&lt;YEAR(E110),0,IF((YEAR(D110)+17)&gt;=YEAR(E110)+N110,0,IF((YEAR(D110)+17)=YEAR(E110),(12-MONTH(E110)+1)/12,1))))))))&gt;0,(((K110)*(IF(M110="",L110,IFERROR(IF(INDEX(Variablen!$I:$AT, MATCH(M110, Variablen!$A:$A, 0), MATCH((YEAR(D110)+17), Variablen!$I$3:$AT$3, 0))="",L110,INDEX(Variablen!$I:$AT, MATCH(M110, Variablen!$A:$A, 0), MATCH((YEAR(D110)+17), Variablen!$I$3:$AT$3, 0))),L110)))*(IF((YEAR(D110)+17)&lt;YEAR(E110),0,IF((YEAR(D110)+17)&gt;YEAR(E110),1,(12-MONTH(E110)+1)/12))) + (Q110)*(IF((YEAR(D110)+17)&lt;YEAR(E110),0,IF((YEAR(D110)+17)&gt;YEAR(E110),1,(12-MONTH(E110)+1)/12))))-((P110)*(IF((YEAR(D110)+17)&lt;YEAR(E110),0,IF((YEAR(D110)+17)&gt;YEAR(E110),1,(12-MONTH(E110)+1)/12))) + (R110)*(IF((YEAR(D110)+17)&lt;YEAR(E110),0,IF((YEAR(D110)+17)&gt;YEAR(E110),1,(12-MONTH(E110)+1)/12))))-(IF(OR(N110="",N110&lt;=0),0,(O110/N110)*(IF(OR(N110="",N110&lt;=0),0,IF((YEAR(D110)+17)&lt;YEAR(E110),0,IF((YEAR(D110)+17)&gt;=YEAR(E110)+N110,0,IF((YEAR(D110)+17)=YEAR(E110),(12-MONTH(E110)+1)/12,1))))))))*TaxRate,0))-IF(17=0,O110,0))</f>
        <v/>
      </c>
      <c r="AK110" s="29">
        <f>IF(A110="","",((K110)*(IF(M110="",L110,IFERROR(IF(INDEX(Variablen!$I:$AT, MATCH(M110, Variablen!$A:$A, 0), MATCH((YEAR(D110)+18), Variablen!$I$3:$AT$3, 0))="",L110,INDEX(Variablen!$I:$AT, MATCH(M110, Variablen!$A:$A, 0), MATCH((YEAR(D110)+18), Variablen!$I$3:$AT$3, 0))),L110)))*(IF((YEAR(D110)+18)&lt;YEAR(E110),0,IF((YEAR(D110)+18)&gt;YEAR(E110),1,(12-MONTH(E110)+1)/12))) + (Q110)*(IF((YEAR(D110)+18)&lt;YEAR(E110),0,IF((YEAR(D110)+18)&gt;YEAR(E110),1,(12-MONTH(E110)+1)/12))))-((P110)*(IF((YEAR(D110)+18)&lt;YEAR(E110),0,IF((YEAR(D110)+18)&gt;YEAR(E110),1,(12-MONTH(E110)+1)/12))) + (R110)*(IF((YEAR(D110)+18)&lt;YEAR(E110),0,IF((YEAR(D110)+18)&gt;YEAR(E110),1,(12-MONTH(E110)+1)/12))))-(IF((((K110)*(IF(M110="",L110,IFERROR(IF(INDEX(Variablen!$I:$AT, MATCH(M110, Variablen!$A:$A, 0), MATCH((YEAR(D110)+18), Variablen!$I$3:$AT$3, 0))="",L110,INDEX(Variablen!$I:$AT, MATCH(M110, Variablen!$A:$A, 0), MATCH((YEAR(D110)+18), Variablen!$I$3:$AT$3, 0))),L110)))*(IF((YEAR(D110)+18)&lt;YEAR(E110),0,IF((YEAR(D110)+18)&gt;YEAR(E110),1,(12-MONTH(E110)+1)/12))) + (Q110)*(IF((YEAR(D110)+18)&lt;YEAR(E110),0,IF((YEAR(D110)+18)&gt;YEAR(E110),1,(12-MONTH(E110)+1)/12))))-((P110)*(IF((YEAR(D110)+18)&lt;YEAR(E110),0,IF((YEAR(D110)+18)&gt;YEAR(E110),1,(12-MONTH(E110)+1)/12))) + (R110)*(IF((YEAR(D110)+18)&lt;YEAR(E110),0,IF((YEAR(D110)+18)&gt;YEAR(E110),1,(12-MONTH(E110)+1)/12))))-(IF(OR(N110="",N110&lt;=0),0,(O110/N110)*(IF(OR(N110="",N110&lt;=0),0,IF((YEAR(D110)+18)&lt;YEAR(E110),0,IF((YEAR(D110)+18)&gt;=YEAR(E110)+N110,0,IF((YEAR(D110)+18)=YEAR(E110),(12-MONTH(E110)+1)/12,1))))))))&gt;0,(((K110)*(IF(M110="",L110,IFERROR(IF(INDEX(Variablen!$I:$AT, MATCH(M110, Variablen!$A:$A, 0), MATCH((YEAR(D110)+18), Variablen!$I$3:$AT$3, 0))="",L110,INDEX(Variablen!$I:$AT, MATCH(M110, Variablen!$A:$A, 0), MATCH((YEAR(D110)+18), Variablen!$I$3:$AT$3, 0))),L110)))*(IF((YEAR(D110)+18)&lt;YEAR(E110),0,IF((YEAR(D110)+18)&gt;YEAR(E110),1,(12-MONTH(E110)+1)/12))) + (Q110)*(IF((YEAR(D110)+18)&lt;YEAR(E110),0,IF((YEAR(D110)+18)&gt;YEAR(E110),1,(12-MONTH(E110)+1)/12))))-((P110)*(IF((YEAR(D110)+18)&lt;YEAR(E110),0,IF((YEAR(D110)+18)&gt;YEAR(E110),1,(12-MONTH(E110)+1)/12))) + (R110)*(IF((YEAR(D110)+18)&lt;YEAR(E110),0,IF((YEAR(D110)+18)&gt;YEAR(E110),1,(12-MONTH(E110)+1)/12))))-(IF(OR(N110="",N110&lt;=0),0,(O110/N110)*(IF(OR(N110="",N110&lt;=0),0,IF((YEAR(D110)+18)&lt;YEAR(E110),0,IF((YEAR(D110)+18)&gt;=YEAR(E110)+N110,0,IF((YEAR(D110)+18)=YEAR(E110),(12-MONTH(E110)+1)/12,1))))))))*TaxRate,0))-IF(18=0,O110,0))</f>
        <v/>
      </c>
      <c r="AL110" s="29">
        <f>IF(A110="","",((K110)*(IF(M110="",L110,IFERROR(IF(INDEX(Variablen!$I:$AT, MATCH(M110, Variablen!$A:$A, 0), MATCH((YEAR(D110)+19), Variablen!$I$3:$AT$3, 0))="",L110,INDEX(Variablen!$I:$AT, MATCH(M110, Variablen!$A:$A, 0), MATCH((YEAR(D110)+19), Variablen!$I$3:$AT$3, 0))),L110)))*(IF((YEAR(D110)+19)&lt;YEAR(E110),0,IF((YEAR(D110)+19)&gt;YEAR(E110),1,(12-MONTH(E110)+1)/12))) + (Q110)*(IF((YEAR(D110)+19)&lt;YEAR(E110),0,IF((YEAR(D110)+19)&gt;YEAR(E110),1,(12-MONTH(E110)+1)/12))))-((P110)*(IF((YEAR(D110)+19)&lt;YEAR(E110),0,IF((YEAR(D110)+19)&gt;YEAR(E110),1,(12-MONTH(E110)+1)/12))) + (R110)*(IF((YEAR(D110)+19)&lt;YEAR(E110),0,IF((YEAR(D110)+19)&gt;YEAR(E110),1,(12-MONTH(E110)+1)/12))))-(IF((((K110)*(IF(M110="",L110,IFERROR(IF(INDEX(Variablen!$I:$AT, MATCH(M110, Variablen!$A:$A, 0), MATCH((YEAR(D110)+19), Variablen!$I$3:$AT$3, 0))="",L110,INDEX(Variablen!$I:$AT, MATCH(M110, Variablen!$A:$A, 0), MATCH((YEAR(D110)+19), Variablen!$I$3:$AT$3, 0))),L110)))*(IF((YEAR(D110)+19)&lt;YEAR(E110),0,IF((YEAR(D110)+19)&gt;YEAR(E110),1,(12-MONTH(E110)+1)/12))) + (Q110)*(IF((YEAR(D110)+19)&lt;YEAR(E110),0,IF((YEAR(D110)+19)&gt;YEAR(E110),1,(12-MONTH(E110)+1)/12))))-((P110)*(IF((YEAR(D110)+19)&lt;YEAR(E110),0,IF((YEAR(D110)+19)&gt;YEAR(E110),1,(12-MONTH(E110)+1)/12))) + (R110)*(IF((YEAR(D110)+19)&lt;YEAR(E110),0,IF((YEAR(D110)+19)&gt;YEAR(E110),1,(12-MONTH(E110)+1)/12))))-(IF(OR(N110="",N110&lt;=0),0,(O110/N110)*(IF(OR(N110="",N110&lt;=0),0,IF((YEAR(D110)+19)&lt;YEAR(E110),0,IF((YEAR(D110)+19)&gt;=YEAR(E110)+N110,0,IF((YEAR(D110)+19)=YEAR(E110),(12-MONTH(E110)+1)/12,1))))))))&gt;0,(((K110)*(IF(M110="",L110,IFERROR(IF(INDEX(Variablen!$I:$AT, MATCH(M110, Variablen!$A:$A, 0), MATCH((YEAR(D110)+19), Variablen!$I$3:$AT$3, 0))="",L110,INDEX(Variablen!$I:$AT, MATCH(M110, Variablen!$A:$A, 0), MATCH((YEAR(D110)+19), Variablen!$I$3:$AT$3, 0))),L110)))*(IF((YEAR(D110)+19)&lt;YEAR(E110),0,IF((YEAR(D110)+19)&gt;YEAR(E110),1,(12-MONTH(E110)+1)/12))) + (Q110)*(IF((YEAR(D110)+19)&lt;YEAR(E110),0,IF((YEAR(D110)+19)&gt;YEAR(E110),1,(12-MONTH(E110)+1)/12))))-((P110)*(IF((YEAR(D110)+19)&lt;YEAR(E110),0,IF((YEAR(D110)+19)&gt;YEAR(E110),1,(12-MONTH(E110)+1)/12))) + (R110)*(IF((YEAR(D110)+19)&lt;YEAR(E110),0,IF((YEAR(D110)+19)&gt;YEAR(E110),1,(12-MONTH(E110)+1)/12))))-(IF(OR(N110="",N110&lt;=0),0,(O110/N110)*(IF(OR(N110="",N110&lt;=0),0,IF((YEAR(D110)+19)&lt;YEAR(E110),0,IF((YEAR(D110)+19)&gt;=YEAR(E110)+N110,0,IF((YEAR(D110)+19)=YEAR(E110),(12-MONTH(E110)+1)/12,1))))))))*TaxRate,0))-IF(19=0,O110,0))</f>
        <v/>
      </c>
      <c r="AM110" s="29">
        <f>IF(A110="","",((K110)*(IF(M110="",L110,IFERROR(IF(INDEX(Variablen!$I:$AT, MATCH(M110, Variablen!$A:$A, 0), MATCH((YEAR(D110)+20), Variablen!$I$3:$AT$3, 0))="",L110,INDEX(Variablen!$I:$AT, MATCH(M110, Variablen!$A:$A, 0), MATCH((YEAR(D110)+20), Variablen!$I$3:$AT$3, 0))),L110)))*(IF((YEAR(D110)+20)&lt;YEAR(E110),0,IF((YEAR(D110)+20)&gt;YEAR(E110),1,(12-MONTH(E110)+1)/12))) + (Q110)*(IF((YEAR(D110)+20)&lt;YEAR(E110),0,IF((YEAR(D110)+20)&gt;YEAR(E110),1,(12-MONTH(E110)+1)/12))))-((P110)*(IF((YEAR(D110)+20)&lt;YEAR(E110),0,IF((YEAR(D110)+20)&gt;YEAR(E110),1,(12-MONTH(E110)+1)/12))) + (R110)*(IF((YEAR(D110)+20)&lt;YEAR(E110),0,IF((YEAR(D110)+20)&gt;YEAR(E110),1,(12-MONTH(E110)+1)/12))))-(IF((((K110)*(IF(M110="",L110,IFERROR(IF(INDEX(Variablen!$I:$AT, MATCH(M110, Variablen!$A:$A, 0), MATCH((YEAR(D110)+20), Variablen!$I$3:$AT$3, 0))="",L110,INDEX(Variablen!$I:$AT, MATCH(M110, Variablen!$A:$A, 0), MATCH((YEAR(D110)+20), Variablen!$I$3:$AT$3, 0))),L110)))*(IF((YEAR(D110)+20)&lt;YEAR(E110),0,IF((YEAR(D110)+20)&gt;YEAR(E110),1,(12-MONTH(E110)+1)/12))) + (Q110)*(IF((YEAR(D110)+20)&lt;YEAR(E110),0,IF((YEAR(D110)+20)&gt;YEAR(E110),1,(12-MONTH(E110)+1)/12))))-((P110)*(IF((YEAR(D110)+20)&lt;YEAR(E110),0,IF((YEAR(D110)+20)&gt;YEAR(E110),1,(12-MONTH(E110)+1)/12))) + (R110)*(IF((YEAR(D110)+20)&lt;YEAR(E110),0,IF((YEAR(D110)+20)&gt;YEAR(E110),1,(12-MONTH(E110)+1)/12))))-(IF(OR(N110="",N110&lt;=0),0,(O110/N110)*(IF(OR(N110="",N110&lt;=0),0,IF((YEAR(D110)+20)&lt;YEAR(E110),0,IF((YEAR(D110)+20)&gt;=YEAR(E110)+N110,0,IF((YEAR(D110)+20)=YEAR(E110),(12-MONTH(E110)+1)/12,1))))))))&gt;0,(((K110)*(IF(M110="",L110,IFERROR(IF(INDEX(Variablen!$I:$AT, MATCH(M110, Variablen!$A:$A, 0), MATCH((YEAR(D110)+20), Variablen!$I$3:$AT$3, 0))="",L110,INDEX(Variablen!$I:$AT, MATCH(M110, Variablen!$A:$A, 0), MATCH((YEAR(D110)+20), Variablen!$I$3:$AT$3, 0))),L110)))*(IF((YEAR(D110)+20)&lt;YEAR(E110),0,IF((YEAR(D110)+20)&gt;YEAR(E110),1,(12-MONTH(E110)+1)/12))) + (Q110)*(IF((YEAR(D110)+20)&lt;YEAR(E110),0,IF((YEAR(D110)+20)&gt;YEAR(E110),1,(12-MONTH(E110)+1)/12))))-((P110)*(IF((YEAR(D110)+20)&lt;YEAR(E110),0,IF((YEAR(D110)+20)&gt;YEAR(E110),1,(12-MONTH(E110)+1)/12))) + (R110)*(IF((YEAR(D110)+20)&lt;YEAR(E110),0,IF((YEAR(D110)+20)&gt;YEAR(E110),1,(12-MONTH(E110)+1)/12))))-(IF(OR(N110="",N110&lt;=0),0,(O110/N110)*(IF(OR(N110="",N110&lt;=0),0,IF((YEAR(D110)+20)&lt;YEAR(E110),0,IF((YEAR(D110)+20)&gt;=YEAR(E110)+N110,0,IF((YEAR(D110)+20)=YEAR(E110),(12-MONTH(E110)+1)/12,1))))))))*TaxRate,0))-IF(20=0,O110,0))</f>
        <v/>
      </c>
      <c r="AN110" s="29">
        <f>IF(A110="","",S110)</f>
        <v/>
      </c>
      <c r="AO110" s="29">
        <f>IF(A110="","",AN110+T110)</f>
        <v/>
      </c>
      <c r="AP110" s="29">
        <f>IF(A110="","",AO110+U110)</f>
        <v/>
      </c>
      <c r="AQ110" s="29">
        <f>IF(A110="","",AP110+V110)</f>
        <v/>
      </c>
      <c r="AR110" s="29">
        <f>IF(A110="","",AQ110+W110)</f>
        <v/>
      </c>
      <c r="AS110" s="29">
        <f>IF(A110="","",AR110+X110)</f>
        <v/>
      </c>
      <c r="AT110" s="29">
        <f>IF(A110="","",AS110+Y110)</f>
        <v/>
      </c>
      <c r="AU110" s="29">
        <f>IF(A110="","",AT110+Z110)</f>
        <v/>
      </c>
      <c r="AV110" s="29">
        <f>IF(A110="","",AU110+AA110)</f>
        <v/>
      </c>
      <c r="AW110" s="29">
        <f>IF(A110="","",AV110+AB110)</f>
        <v/>
      </c>
      <c r="AX110" s="29">
        <f>IF(A110="","",AW110+AC110)</f>
        <v/>
      </c>
      <c r="AY110" s="29">
        <f>IF(A110="","",AX110+AD110)</f>
        <v/>
      </c>
      <c r="AZ110" s="29">
        <f>IF(A110="","",AY110+AE110)</f>
        <v/>
      </c>
      <c r="BA110" s="29">
        <f>IF(A110="","",AZ110+AF110)</f>
        <v/>
      </c>
      <c r="BB110" s="29">
        <f>IF(A110="","",BA110+AG110)</f>
        <v/>
      </c>
      <c r="BC110" s="29">
        <f>IF(A110="","",BB110+AH110)</f>
        <v/>
      </c>
      <c r="BD110" s="29">
        <f>IF(A110="","",BC110+AI110)</f>
        <v/>
      </c>
      <c r="BE110" s="29">
        <f>IF(A110="","",BD110+AJ110)</f>
        <v/>
      </c>
      <c r="BF110" s="29">
        <f>IF(A110="","",BE110+AK110)</f>
        <v/>
      </c>
      <c r="BG110" s="29">
        <f>IF(A110="","",BF110+AL110)</f>
        <v/>
      </c>
      <c r="BH110" s="29">
        <f>IF(A110="","",BG110+AM110)</f>
        <v/>
      </c>
      <c r="BI110" s="36">
        <f>IF(A110="","",(K110)*(IF((YEAR(D110)+0)&lt;YEAR(E110),0,IF((YEAR(D110)+0)&gt;YEAR(E110),1,(12-MONTH(E110)+1)/12)))*(1/(1+DiscountRate)^0))</f>
        <v/>
      </c>
      <c r="BJ110" s="36">
        <f>IF(A110="","",(K110)*(IF((YEAR(D110)+1)&lt;YEAR(E110),0,IF((YEAR(D110)+1)&gt;YEAR(E110),1,(12-MONTH(E110)+1)/12)))*(1/(1+DiscountRate)^1))</f>
        <v/>
      </c>
      <c r="BK110" s="36">
        <f>IF(A110="","",(K110)*(IF((YEAR(D110)+2)&lt;YEAR(E110),0,IF((YEAR(D110)+2)&gt;YEAR(E110),1,(12-MONTH(E110)+1)/12)))*(1/(1+DiscountRate)^2))</f>
        <v/>
      </c>
      <c r="BL110" s="36">
        <f>IF(A110="","",(K110)*(IF((YEAR(D110)+3)&lt;YEAR(E110),0,IF((YEAR(D110)+3)&gt;YEAR(E110),1,(12-MONTH(E110)+1)/12)))*(1/(1+DiscountRate)^3))</f>
        <v/>
      </c>
      <c r="BM110" s="36">
        <f>IF(A110="","",(K110)*(IF((YEAR(D110)+4)&lt;YEAR(E110),0,IF((YEAR(D110)+4)&gt;YEAR(E110),1,(12-MONTH(E110)+1)/12)))*(1/(1+DiscountRate)^4))</f>
        <v/>
      </c>
      <c r="BN110" s="36">
        <f>IF(A110="","",(K110)*(IF((YEAR(D110)+5)&lt;YEAR(E110),0,IF((YEAR(D110)+5)&gt;YEAR(E110),1,(12-MONTH(E110)+1)/12)))*(1/(1+DiscountRate)^5))</f>
        <v/>
      </c>
      <c r="BO110" s="36">
        <f>IF(A110="","",(K110)*(IF((YEAR(D110)+6)&lt;YEAR(E110),0,IF((YEAR(D110)+6)&gt;YEAR(E110),1,(12-MONTH(E110)+1)/12)))*(1/(1+DiscountRate)^6))</f>
        <v/>
      </c>
      <c r="BP110" s="36">
        <f>IF(A110="","",(K110)*(IF((YEAR(D110)+7)&lt;YEAR(E110),0,IF((YEAR(D110)+7)&gt;YEAR(E110),1,(12-MONTH(E110)+1)/12)))*(1/(1+DiscountRate)^7))</f>
        <v/>
      </c>
      <c r="BQ110" s="36">
        <f>IF(A110="","",(K110)*(IF((YEAR(D110)+8)&lt;YEAR(E110),0,IF((YEAR(D110)+8)&gt;YEAR(E110),1,(12-MONTH(E110)+1)/12)))*(1/(1+DiscountRate)^8))</f>
        <v/>
      </c>
      <c r="BR110" s="36">
        <f>IF(A110="","",(K110)*(IF((YEAR(D110)+9)&lt;YEAR(E110),0,IF((YEAR(D110)+9)&gt;YEAR(E110),1,(12-MONTH(E110)+1)/12)))*(1/(1+DiscountRate)^9))</f>
        <v/>
      </c>
      <c r="BS110" s="36">
        <f>IF(A110="","",(K110)*(IF((YEAR(D110)+10)&lt;YEAR(E110),0,IF((YEAR(D110)+10)&gt;YEAR(E110),1,(12-MONTH(E110)+1)/12)))*(1/(1+DiscountRate)^10))</f>
        <v/>
      </c>
      <c r="BT110" s="36">
        <f>IF(A110="","",(K110)*(IF((YEAR(D110)+11)&lt;YEAR(E110),0,IF((YEAR(D110)+11)&gt;YEAR(E110),1,(12-MONTH(E110)+1)/12)))*(1/(1+DiscountRate)^11))</f>
        <v/>
      </c>
      <c r="BU110" s="36">
        <f>IF(A110="","",(K110)*(IF((YEAR(D110)+12)&lt;YEAR(E110),0,IF((YEAR(D110)+12)&gt;YEAR(E110),1,(12-MONTH(E110)+1)/12)))*(1/(1+DiscountRate)^12))</f>
        <v/>
      </c>
      <c r="BV110" s="36">
        <f>IF(A110="","",(K110)*(IF((YEAR(D110)+13)&lt;YEAR(E110),0,IF((YEAR(D110)+13)&gt;YEAR(E110),1,(12-MONTH(E110)+1)/12)))*(1/(1+DiscountRate)^13))</f>
        <v/>
      </c>
      <c r="BW110" s="36">
        <f>IF(A110="","",(K110)*(IF((YEAR(D110)+14)&lt;YEAR(E110),0,IF((YEAR(D110)+14)&gt;YEAR(E110),1,(12-MONTH(E110)+1)/12)))*(1/(1+DiscountRate)^14))</f>
        <v/>
      </c>
      <c r="BX110" s="36">
        <f>IF(A110="","",(K110)*(IF((YEAR(D110)+15)&lt;YEAR(E110),0,IF((YEAR(D110)+15)&gt;YEAR(E110),1,(12-MONTH(E110)+1)/12)))*(1/(1+DiscountRate)^15))</f>
        <v/>
      </c>
      <c r="BY110" s="36">
        <f>IF(A110="","",(K110)*(IF((YEAR(D110)+16)&lt;YEAR(E110),0,IF((YEAR(D110)+16)&gt;YEAR(E110),1,(12-MONTH(E110)+1)/12)))*(1/(1+DiscountRate)^16))</f>
        <v/>
      </c>
      <c r="BZ110" s="36">
        <f>IF(A110="","",(K110)*(IF((YEAR(D110)+17)&lt;YEAR(E110),0,IF((YEAR(D110)+17)&gt;YEAR(E110),1,(12-MONTH(E110)+1)/12)))*(1/(1+DiscountRate)^17))</f>
        <v/>
      </c>
      <c r="CA110" s="36">
        <f>IF(A110="","",(K110)*(IF((YEAR(D110)+18)&lt;YEAR(E110),0,IF((YEAR(D110)+18)&gt;YEAR(E110),1,(12-MONTH(E110)+1)/12)))*(1/(1+DiscountRate)^18))</f>
        <v/>
      </c>
      <c r="CB110" s="36">
        <f>IF(A110="","",(K110)*(IF((YEAR(D110)+19)&lt;YEAR(E110),0,IF((YEAR(D110)+19)&gt;YEAR(E110),1,(12-MONTH(E110)+1)/12)))*(1/(1+DiscountRate)^19))</f>
        <v/>
      </c>
      <c r="CC110" s="36">
        <f>IF(A110="","",(K110)*(IF((YEAR(D110)+20)&lt;YEAR(E110),0,IF((YEAR(D110)+20)&gt;YEAR(E110),1,(12-MONTH(E110)+1)/12)))*(1/(1+DiscountRate)^20))</f>
        <v/>
      </c>
      <c r="CD110" s="29">
        <f>IF(A110="","",S110/(1+DiscountRate)^0+T110/(1+DiscountRate)^1+U110/(1+DiscountRate)^2+V110/(1+DiscountRate)^3+W110/(1+DiscountRate)^4+X110/(1+DiscountRate)^5+Y110/(1+DiscountRate)^6+Z110/(1+DiscountRate)^7+AA110/(1+DiscountRate)^8+AB110/(1+DiscountRate)^9+AC110/(1+DiscountRate)^10+AD110/(1+DiscountRate)^11+AE110/(1+DiscountRate)^12+AF110/(1+DiscountRate)^13+AG110/(1+DiscountRate)^14+AH110/(1+DiscountRate)^15+AI110/(1+DiscountRate)^16+AJ110/(1+DiscountRate)^17+AK110/(1+DiscountRate)^18+AL110/(1+DiscountRate)^19+AM110/(1+DiscountRate)^20)</f>
        <v/>
      </c>
      <c r="CE110" s="37">
        <f>IF(A110="","",IFERROR(IRR(OFFSET(S110,0,0,1,MIN(HorizonYears,20)+1)),"n/a"))</f>
        <v/>
      </c>
      <c r="CF110" s="28">
        <f>IF(A110="","",IFERROR(MATCH(TRUE,OFFSET(AN110,0,0,1,MIN(HorizonYears,20)+1)&gt;=0,0)-1,"n/a"))</f>
        <v/>
      </c>
      <c r="CG110" s="36">
        <f>IF(A110="","",SUM(OFFSET(BI110,0,0,1,MIN(HorizonYears,20)+1)))</f>
        <v/>
      </c>
      <c r="CH110" s="36">
        <f>IF(A110="","",IFERROR(-CD110/CG110,"n/a"))</f>
        <v/>
      </c>
    </row>
    <row r="111">
      <c r="A111" s="6">
        <f>Actions!A109</f>
        <v/>
      </c>
      <c r="B111" s="6">
        <f>Actions!B109</f>
        <v/>
      </c>
      <c r="C111" s="6">
        <f>Actions!D109</f>
        <v/>
      </c>
      <c r="D111" s="35">
        <f>Actions!E109</f>
        <v/>
      </c>
      <c r="E111" s="35">
        <f>Actions!F109</f>
        <v/>
      </c>
      <c r="F111" s="6">
        <f>Actions!G109</f>
        <v/>
      </c>
      <c r="G111" s="6">
        <f>Actions!H109</f>
        <v/>
      </c>
      <c r="H111" s="29">
        <f>Actions!I109</f>
        <v/>
      </c>
      <c r="I111" s="6">
        <f>Actions!J109</f>
        <v/>
      </c>
      <c r="J111" s="16">
        <f>Actions!K109</f>
        <v/>
      </c>
      <c r="K111" s="16">
        <f>IF(A111="","",IF(I111="%",H111*J111,J111))</f>
        <v/>
      </c>
      <c r="L111" s="16">
        <f>Actions!L109</f>
        <v/>
      </c>
      <c r="M111" s="6">
        <f>Actions!M109</f>
        <v/>
      </c>
      <c r="N111" s="28">
        <f>Actions!N109</f>
        <v/>
      </c>
      <c r="O111" s="29">
        <f>Actions!T109</f>
        <v/>
      </c>
      <c r="P111" s="29">
        <f>Actions!Y109</f>
        <v/>
      </c>
      <c r="Q111" s="29">
        <f>Actions!Z109</f>
        <v/>
      </c>
      <c r="R111" s="29">
        <f>Actions!AA109</f>
        <v/>
      </c>
      <c r="S111" s="29">
        <f>IF(A111="","",((K111)*(IF(M111="",L111,IFERROR(IF(INDEX(Variablen!$I:$AT, MATCH(M111, Variablen!$A:$A, 0), MATCH((YEAR(D111)+0), Variablen!$I$3:$AT$3, 0))="",L111,INDEX(Variablen!$I:$AT, MATCH(M111, Variablen!$A:$A, 0), MATCH((YEAR(D111)+0), Variablen!$I$3:$AT$3, 0))),L111)))*(IF((YEAR(D111)+0)&lt;YEAR(E111),0,IF((YEAR(D111)+0)&gt;YEAR(E111),1,(12-MONTH(E111)+1)/12))) + (Q111)*(IF((YEAR(D111)+0)&lt;YEAR(E111),0,IF((YEAR(D111)+0)&gt;YEAR(E111),1,(12-MONTH(E111)+1)/12))))-((P111)*(IF((YEAR(D111)+0)&lt;YEAR(E111),0,IF((YEAR(D111)+0)&gt;YEAR(E111),1,(12-MONTH(E111)+1)/12))) + (R111)*(IF((YEAR(D111)+0)&lt;YEAR(E111),0,IF((YEAR(D111)+0)&gt;YEAR(E111),1,(12-MONTH(E111)+1)/12))))-(IF((((K111)*(IF(M111="",L111,IFERROR(IF(INDEX(Variablen!$I:$AT, MATCH(M111, Variablen!$A:$A, 0), MATCH((YEAR(D111)+0), Variablen!$I$3:$AT$3, 0))="",L111,INDEX(Variablen!$I:$AT, MATCH(M111, Variablen!$A:$A, 0), MATCH((YEAR(D111)+0), Variablen!$I$3:$AT$3, 0))),L111)))*(IF((YEAR(D111)+0)&lt;YEAR(E111),0,IF((YEAR(D111)+0)&gt;YEAR(E111),1,(12-MONTH(E111)+1)/12))) + (Q111)*(IF((YEAR(D111)+0)&lt;YEAR(E111),0,IF((YEAR(D111)+0)&gt;YEAR(E111),1,(12-MONTH(E111)+1)/12))))-((P111)*(IF((YEAR(D111)+0)&lt;YEAR(E111),0,IF((YEAR(D111)+0)&gt;YEAR(E111),1,(12-MONTH(E111)+1)/12))) + (R111)*(IF((YEAR(D111)+0)&lt;YEAR(E111),0,IF((YEAR(D111)+0)&gt;YEAR(E111),1,(12-MONTH(E111)+1)/12))))-(IF(OR(N111="",N111&lt;=0),0,(O111/N111)*(IF(OR(N111="",N111&lt;=0),0,IF((YEAR(D111)+0)&lt;YEAR(E111),0,IF((YEAR(D111)+0)&gt;=YEAR(E111)+N111,0,IF((YEAR(D111)+0)=YEAR(E111),(12-MONTH(E111)+1)/12,1))))))))&gt;0,(((K111)*(IF(M111="",L111,IFERROR(IF(INDEX(Variablen!$I:$AT, MATCH(M111, Variablen!$A:$A, 0), MATCH((YEAR(D111)+0), Variablen!$I$3:$AT$3, 0))="",L111,INDEX(Variablen!$I:$AT, MATCH(M111, Variablen!$A:$A, 0), MATCH((YEAR(D111)+0), Variablen!$I$3:$AT$3, 0))),L111)))*(IF((YEAR(D111)+0)&lt;YEAR(E111),0,IF((YEAR(D111)+0)&gt;YEAR(E111),1,(12-MONTH(E111)+1)/12))) + (Q111)*(IF((YEAR(D111)+0)&lt;YEAR(E111),0,IF((YEAR(D111)+0)&gt;YEAR(E111),1,(12-MONTH(E111)+1)/12))))-((P111)*(IF((YEAR(D111)+0)&lt;YEAR(E111),0,IF((YEAR(D111)+0)&gt;YEAR(E111),1,(12-MONTH(E111)+1)/12))) + (R111)*(IF((YEAR(D111)+0)&lt;YEAR(E111),0,IF((YEAR(D111)+0)&gt;YEAR(E111),1,(12-MONTH(E111)+1)/12))))-(IF(OR(N111="",N111&lt;=0),0,(O111/N111)*(IF(OR(N111="",N111&lt;=0),0,IF((YEAR(D111)+0)&lt;YEAR(E111),0,IF((YEAR(D111)+0)&gt;=YEAR(E111)+N111,0,IF((YEAR(D111)+0)=YEAR(E111),(12-MONTH(E111)+1)/12,1))))))))*TaxRate,0))-IF(0=0,O111,0))</f>
        <v/>
      </c>
      <c r="T111" s="29">
        <f>IF(A111="","",((K111)*(IF(M111="",L111,IFERROR(IF(INDEX(Variablen!$I:$AT, MATCH(M111, Variablen!$A:$A, 0), MATCH((YEAR(D111)+1), Variablen!$I$3:$AT$3, 0))="",L111,INDEX(Variablen!$I:$AT, MATCH(M111, Variablen!$A:$A, 0), MATCH((YEAR(D111)+1), Variablen!$I$3:$AT$3, 0))),L111)))*(IF((YEAR(D111)+1)&lt;YEAR(E111),0,IF((YEAR(D111)+1)&gt;YEAR(E111),1,(12-MONTH(E111)+1)/12))) + (Q111)*(IF((YEAR(D111)+1)&lt;YEAR(E111),0,IF((YEAR(D111)+1)&gt;YEAR(E111),1,(12-MONTH(E111)+1)/12))))-((P111)*(IF((YEAR(D111)+1)&lt;YEAR(E111),0,IF((YEAR(D111)+1)&gt;YEAR(E111),1,(12-MONTH(E111)+1)/12))) + (R111)*(IF((YEAR(D111)+1)&lt;YEAR(E111),0,IF((YEAR(D111)+1)&gt;YEAR(E111),1,(12-MONTH(E111)+1)/12))))-(IF((((K111)*(IF(M111="",L111,IFERROR(IF(INDEX(Variablen!$I:$AT, MATCH(M111, Variablen!$A:$A, 0), MATCH((YEAR(D111)+1), Variablen!$I$3:$AT$3, 0))="",L111,INDEX(Variablen!$I:$AT, MATCH(M111, Variablen!$A:$A, 0), MATCH((YEAR(D111)+1), Variablen!$I$3:$AT$3, 0))),L111)))*(IF((YEAR(D111)+1)&lt;YEAR(E111),0,IF((YEAR(D111)+1)&gt;YEAR(E111),1,(12-MONTH(E111)+1)/12))) + (Q111)*(IF((YEAR(D111)+1)&lt;YEAR(E111),0,IF((YEAR(D111)+1)&gt;YEAR(E111),1,(12-MONTH(E111)+1)/12))))-((P111)*(IF((YEAR(D111)+1)&lt;YEAR(E111),0,IF((YEAR(D111)+1)&gt;YEAR(E111),1,(12-MONTH(E111)+1)/12))) + (R111)*(IF((YEAR(D111)+1)&lt;YEAR(E111),0,IF((YEAR(D111)+1)&gt;YEAR(E111),1,(12-MONTH(E111)+1)/12))))-(IF(OR(N111="",N111&lt;=0),0,(O111/N111)*(IF(OR(N111="",N111&lt;=0),0,IF((YEAR(D111)+1)&lt;YEAR(E111),0,IF((YEAR(D111)+1)&gt;=YEAR(E111)+N111,0,IF((YEAR(D111)+1)=YEAR(E111),(12-MONTH(E111)+1)/12,1))))))))&gt;0,(((K111)*(IF(M111="",L111,IFERROR(IF(INDEX(Variablen!$I:$AT, MATCH(M111, Variablen!$A:$A, 0), MATCH((YEAR(D111)+1), Variablen!$I$3:$AT$3, 0))="",L111,INDEX(Variablen!$I:$AT, MATCH(M111, Variablen!$A:$A, 0), MATCH((YEAR(D111)+1), Variablen!$I$3:$AT$3, 0))),L111)))*(IF((YEAR(D111)+1)&lt;YEAR(E111),0,IF((YEAR(D111)+1)&gt;YEAR(E111),1,(12-MONTH(E111)+1)/12))) + (Q111)*(IF((YEAR(D111)+1)&lt;YEAR(E111),0,IF((YEAR(D111)+1)&gt;YEAR(E111),1,(12-MONTH(E111)+1)/12))))-((P111)*(IF((YEAR(D111)+1)&lt;YEAR(E111),0,IF((YEAR(D111)+1)&gt;YEAR(E111),1,(12-MONTH(E111)+1)/12))) + (R111)*(IF((YEAR(D111)+1)&lt;YEAR(E111),0,IF((YEAR(D111)+1)&gt;YEAR(E111),1,(12-MONTH(E111)+1)/12))))-(IF(OR(N111="",N111&lt;=0),0,(O111/N111)*(IF(OR(N111="",N111&lt;=0),0,IF((YEAR(D111)+1)&lt;YEAR(E111),0,IF((YEAR(D111)+1)&gt;=YEAR(E111)+N111,0,IF((YEAR(D111)+1)=YEAR(E111),(12-MONTH(E111)+1)/12,1))))))))*TaxRate,0))-IF(1=0,O111,0))</f>
        <v/>
      </c>
      <c r="U111" s="29">
        <f>IF(A111="","",((K111)*(IF(M111="",L111,IFERROR(IF(INDEX(Variablen!$I:$AT, MATCH(M111, Variablen!$A:$A, 0), MATCH((YEAR(D111)+2), Variablen!$I$3:$AT$3, 0))="",L111,INDEX(Variablen!$I:$AT, MATCH(M111, Variablen!$A:$A, 0), MATCH((YEAR(D111)+2), Variablen!$I$3:$AT$3, 0))),L111)))*(IF((YEAR(D111)+2)&lt;YEAR(E111),0,IF((YEAR(D111)+2)&gt;YEAR(E111),1,(12-MONTH(E111)+1)/12))) + (Q111)*(IF((YEAR(D111)+2)&lt;YEAR(E111),0,IF((YEAR(D111)+2)&gt;YEAR(E111),1,(12-MONTH(E111)+1)/12))))-((P111)*(IF((YEAR(D111)+2)&lt;YEAR(E111),0,IF((YEAR(D111)+2)&gt;YEAR(E111),1,(12-MONTH(E111)+1)/12))) + (R111)*(IF((YEAR(D111)+2)&lt;YEAR(E111),0,IF((YEAR(D111)+2)&gt;YEAR(E111),1,(12-MONTH(E111)+1)/12))))-(IF((((K111)*(IF(M111="",L111,IFERROR(IF(INDEX(Variablen!$I:$AT, MATCH(M111, Variablen!$A:$A, 0), MATCH((YEAR(D111)+2), Variablen!$I$3:$AT$3, 0))="",L111,INDEX(Variablen!$I:$AT, MATCH(M111, Variablen!$A:$A, 0), MATCH((YEAR(D111)+2), Variablen!$I$3:$AT$3, 0))),L111)))*(IF((YEAR(D111)+2)&lt;YEAR(E111),0,IF((YEAR(D111)+2)&gt;YEAR(E111),1,(12-MONTH(E111)+1)/12))) + (Q111)*(IF((YEAR(D111)+2)&lt;YEAR(E111),0,IF((YEAR(D111)+2)&gt;YEAR(E111),1,(12-MONTH(E111)+1)/12))))-((P111)*(IF((YEAR(D111)+2)&lt;YEAR(E111),0,IF((YEAR(D111)+2)&gt;YEAR(E111),1,(12-MONTH(E111)+1)/12))) + (R111)*(IF((YEAR(D111)+2)&lt;YEAR(E111),0,IF((YEAR(D111)+2)&gt;YEAR(E111),1,(12-MONTH(E111)+1)/12))))-(IF(OR(N111="",N111&lt;=0),0,(O111/N111)*(IF(OR(N111="",N111&lt;=0),0,IF((YEAR(D111)+2)&lt;YEAR(E111),0,IF((YEAR(D111)+2)&gt;=YEAR(E111)+N111,0,IF((YEAR(D111)+2)=YEAR(E111),(12-MONTH(E111)+1)/12,1))))))))&gt;0,(((K111)*(IF(M111="",L111,IFERROR(IF(INDEX(Variablen!$I:$AT, MATCH(M111, Variablen!$A:$A, 0), MATCH((YEAR(D111)+2), Variablen!$I$3:$AT$3, 0))="",L111,INDEX(Variablen!$I:$AT, MATCH(M111, Variablen!$A:$A, 0), MATCH((YEAR(D111)+2), Variablen!$I$3:$AT$3, 0))),L111)))*(IF((YEAR(D111)+2)&lt;YEAR(E111),0,IF((YEAR(D111)+2)&gt;YEAR(E111),1,(12-MONTH(E111)+1)/12))) + (Q111)*(IF((YEAR(D111)+2)&lt;YEAR(E111),0,IF((YEAR(D111)+2)&gt;YEAR(E111),1,(12-MONTH(E111)+1)/12))))-((P111)*(IF((YEAR(D111)+2)&lt;YEAR(E111),0,IF((YEAR(D111)+2)&gt;YEAR(E111),1,(12-MONTH(E111)+1)/12))) + (R111)*(IF((YEAR(D111)+2)&lt;YEAR(E111),0,IF((YEAR(D111)+2)&gt;YEAR(E111),1,(12-MONTH(E111)+1)/12))))-(IF(OR(N111="",N111&lt;=0),0,(O111/N111)*(IF(OR(N111="",N111&lt;=0),0,IF((YEAR(D111)+2)&lt;YEAR(E111),0,IF((YEAR(D111)+2)&gt;=YEAR(E111)+N111,0,IF((YEAR(D111)+2)=YEAR(E111),(12-MONTH(E111)+1)/12,1))))))))*TaxRate,0))-IF(2=0,O111,0))</f>
        <v/>
      </c>
      <c r="V111" s="29">
        <f>IF(A111="","",((K111)*(IF(M111="",L111,IFERROR(IF(INDEX(Variablen!$I:$AT, MATCH(M111, Variablen!$A:$A, 0), MATCH((YEAR(D111)+3), Variablen!$I$3:$AT$3, 0))="",L111,INDEX(Variablen!$I:$AT, MATCH(M111, Variablen!$A:$A, 0), MATCH((YEAR(D111)+3), Variablen!$I$3:$AT$3, 0))),L111)))*(IF((YEAR(D111)+3)&lt;YEAR(E111),0,IF((YEAR(D111)+3)&gt;YEAR(E111),1,(12-MONTH(E111)+1)/12))) + (Q111)*(IF((YEAR(D111)+3)&lt;YEAR(E111),0,IF((YEAR(D111)+3)&gt;YEAR(E111),1,(12-MONTH(E111)+1)/12))))-((P111)*(IF((YEAR(D111)+3)&lt;YEAR(E111),0,IF((YEAR(D111)+3)&gt;YEAR(E111),1,(12-MONTH(E111)+1)/12))) + (R111)*(IF((YEAR(D111)+3)&lt;YEAR(E111),0,IF((YEAR(D111)+3)&gt;YEAR(E111),1,(12-MONTH(E111)+1)/12))))-(IF((((K111)*(IF(M111="",L111,IFERROR(IF(INDEX(Variablen!$I:$AT, MATCH(M111, Variablen!$A:$A, 0), MATCH((YEAR(D111)+3), Variablen!$I$3:$AT$3, 0))="",L111,INDEX(Variablen!$I:$AT, MATCH(M111, Variablen!$A:$A, 0), MATCH((YEAR(D111)+3), Variablen!$I$3:$AT$3, 0))),L111)))*(IF((YEAR(D111)+3)&lt;YEAR(E111),0,IF((YEAR(D111)+3)&gt;YEAR(E111),1,(12-MONTH(E111)+1)/12))) + (Q111)*(IF((YEAR(D111)+3)&lt;YEAR(E111),0,IF((YEAR(D111)+3)&gt;YEAR(E111),1,(12-MONTH(E111)+1)/12))))-((P111)*(IF((YEAR(D111)+3)&lt;YEAR(E111),0,IF((YEAR(D111)+3)&gt;YEAR(E111),1,(12-MONTH(E111)+1)/12))) + (R111)*(IF((YEAR(D111)+3)&lt;YEAR(E111),0,IF((YEAR(D111)+3)&gt;YEAR(E111),1,(12-MONTH(E111)+1)/12))))-(IF(OR(N111="",N111&lt;=0),0,(O111/N111)*(IF(OR(N111="",N111&lt;=0),0,IF((YEAR(D111)+3)&lt;YEAR(E111),0,IF((YEAR(D111)+3)&gt;=YEAR(E111)+N111,0,IF((YEAR(D111)+3)=YEAR(E111),(12-MONTH(E111)+1)/12,1))))))))&gt;0,(((K111)*(IF(M111="",L111,IFERROR(IF(INDEX(Variablen!$I:$AT, MATCH(M111, Variablen!$A:$A, 0), MATCH((YEAR(D111)+3), Variablen!$I$3:$AT$3, 0))="",L111,INDEX(Variablen!$I:$AT, MATCH(M111, Variablen!$A:$A, 0), MATCH((YEAR(D111)+3), Variablen!$I$3:$AT$3, 0))),L111)))*(IF((YEAR(D111)+3)&lt;YEAR(E111),0,IF((YEAR(D111)+3)&gt;YEAR(E111),1,(12-MONTH(E111)+1)/12))) + (Q111)*(IF((YEAR(D111)+3)&lt;YEAR(E111),0,IF((YEAR(D111)+3)&gt;YEAR(E111),1,(12-MONTH(E111)+1)/12))))-((P111)*(IF((YEAR(D111)+3)&lt;YEAR(E111),0,IF((YEAR(D111)+3)&gt;YEAR(E111),1,(12-MONTH(E111)+1)/12))) + (R111)*(IF((YEAR(D111)+3)&lt;YEAR(E111),0,IF((YEAR(D111)+3)&gt;YEAR(E111),1,(12-MONTH(E111)+1)/12))))-(IF(OR(N111="",N111&lt;=0),0,(O111/N111)*(IF(OR(N111="",N111&lt;=0),0,IF((YEAR(D111)+3)&lt;YEAR(E111),0,IF((YEAR(D111)+3)&gt;=YEAR(E111)+N111,0,IF((YEAR(D111)+3)=YEAR(E111),(12-MONTH(E111)+1)/12,1))))))))*TaxRate,0))-IF(3=0,O111,0))</f>
        <v/>
      </c>
      <c r="W111" s="29">
        <f>IF(A111="","",((K111)*(IF(M111="",L111,IFERROR(IF(INDEX(Variablen!$I:$AT, MATCH(M111, Variablen!$A:$A, 0), MATCH((YEAR(D111)+4), Variablen!$I$3:$AT$3, 0))="",L111,INDEX(Variablen!$I:$AT, MATCH(M111, Variablen!$A:$A, 0), MATCH((YEAR(D111)+4), Variablen!$I$3:$AT$3, 0))),L111)))*(IF((YEAR(D111)+4)&lt;YEAR(E111),0,IF((YEAR(D111)+4)&gt;YEAR(E111),1,(12-MONTH(E111)+1)/12))) + (Q111)*(IF((YEAR(D111)+4)&lt;YEAR(E111),0,IF((YEAR(D111)+4)&gt;YEAR(E111),1,(12-MONTH(E111)+1)/12))))-((P111)*(IF((YEAR(D111)+4)&lt;YEAR(E111),0,IF((YEAR(D111)+4)&gt;YEAR(E111),1,(12-MONTH(E111)+1)/12))) + (R111)*(IF((YEAR(D111)+4)&lt;YEAR(E111),0,IF((YEAR(D111)+4)&gt;YEAR(E111),1,(12-MONTH(E111)+1)/12))))-(IF((((K111)*(IF(M111="",L111,IFERROR(IF(INDEX(Variablen!$I:$AT, MATCH(M111, Variablen!$A:$A, 0), MATCH((YEAR(D111)+4), Variablen!$I$3:$AT$3, 0))="",L111,INDEX(Variablen!$I:$AT, MATCH(M111, Variablen!$A:$A, 0), MATCH((YEAR(D111)+4), Variablen!$I$3:$AT$3, 0))),L111)))*(IF((YEAR(D111)+4)&lt;YEAR(E111),0,IF((YEAR(D111)+4)&gt;YEAR(E111),1,(12-MONTH(E111)+1)/12))) + (Q111)*(IF((YEAR(D111)+4)&lt;YEAR(E111),0,IF((YEAR(D111)+4)&gt;YEAR(E111),1,(12-MONTH(E111)+1)/12))))-((P111)*(IF((YEAR(D111)+4)&lt;YEAR(E111),0,IF((YEAR(D111)+4)&gt;YEAR(E111),1,(12-MONTH(E111)+1)/12))) + (R111)*(IF((YEAR(D111)+4)&lt;YEAR(E111),0,IF((YEAR(D111)+4)&gt;YEAR(E111),1,(12-MONTH(E111)+1)/12))))-(IF(OR(N111="",N111&lt;=0),0,(O111/N111)*(IF(OR(N111="",N111&lt;=0),0,IF((YEAR(D111)+4)&lt;YEAR(E111),0,IF((YEAR(D111)+4)&gt;=YEAR(E111)+N111,0,IF((YEAR(D111)+4)=YEAR(E111),(12-MONTH(E111)+1)/12,1))))))))&gt;0,(((K111)*(IF(M111="",L111,IFERROR(IF(INDEX(Variablen!$I:$AT, MATCH(M111, Variablen!$A:$A, 0), MATCH((YEAR(D111)+4), Variablen!$I$3:$AT$3, 0))="",L111,INDEX(Variablen!$I:$AT, MATCH(M111, Variablen!$A:$A, 0), MATCH((YEAR(D111)+4), Variablen!$I$3:$AT$3, 0))),L111)))*(IF((YEAR(D111)+4)&lt;YEAR(E111),0,IF((YEAR(D111)+4)&gt;YEAR(E111),1,(12-MONTH(E111)+1)/12))) + (Q111)*(IF((YEAR(D111)+4)&lt;YEAR(E111),0,IF((YEAR(D111)+4)&gt;YEAR(E111),1,(12-MONTH(E111)+1)/12))))-((P111)*(IF((YEAR(D111)+4)&lt;YEAR(E111),0,IF((YEAR(D111)+4)&gt;YEAR(E111),1,(12-MONTH(E111)+1)/12))) + (R111)*(IF((YEAR(D111)+4)&lt;YEAR(E111),0,IF((YEAR(D111)+4)&gt;YEAR(E111),1,(12-MONTH(E111)+1)/12))))-(IF(OR(N111="",N111&lt;=0),0,(O111/N111)*(IF(OR(N111="",N111&lt;=0),0,IF((YEAR(D111)+4)&lt;YEAR(E111),0,IF((YEAR(D111)+4)&gt;=YEAR(E111)+N111,0,IF((YEAR(D111)+4)=YEAR(E111),(12-MONTH(E111)+1)/12,1))))))))*TaxRate,0))-IF(4=0,O111,0))</f>
        <v/>
      </c>
      <c r="X111" s="29">
        <f>IF(A111="","",((K111)*(IF(M111="",L111,IFERROR(IF(INDEX(Variablen!$I:$AT, MATCH(M111, Variablen!$A:$A, 0), MATCH((YEAR(D111)+5), Variablen!$I$3:$AT$3, 0))="",L111,INDEX(Variablen!$I:$AT, MATCH(M111, Variablen!$A:$A, 0), MATCH((YEAR(D111)+5), Variablen!$I$3:$AT$3, 0))),L111)))*(IF((YEAR(D111)+5)&lt;YEAR(E111),0,IF((YEAR(D111)+5)&gt;YEAR(E111),1,(12-MONTH(E111)+1)/12))) + (Q111)*(IF((YEAR(D111)+5)&lt;YEAR(E111),0,IF((YEAR(D111)+5)&gt;YEAR(E111),1,(12-MONTH(E111)+1)/12))))-((P111)*(IF((YEAR(D111)+5)&lt;YEAR(E111),0,IF((YEAR(D111)+5)&gt;YEAR(E111),1,(12-MONTH(E111)+1)/12))) + (R111)*(IF((YEAR(D111)+5)&lt;YEAR(E111),0,IF((YEAR(D111)+5)&gt;YEAR(E111),1,(12-MONTH(E111)+1)/12))))-(IF((((K111)*(IF(M111="",L111,IFERROR(IF(INDEX(Variablen!$I:$AT, MATCH(M111, Variablen!$A:$A, 0), MATCH((YEAR(D111)+5), Variablen!$I$3:$AT$3, 0))="",L111,INDEX(Variablen!$I:$AT, MATCH(M111, Variablen!$A:$A, 0), MATCH((YEAR(D111)+5), Variablen!$I$3:$AT$3, 0))),L111)))*(IF((YEAR(D111)+5)&lt;YEAR(E111),0,IF((YEAR(D111)+5)&gt;YEAR(E111),1,(12-MONTH(E111)+1)/12))) + (Q111)*(IF((YEAR(D111)+5)&lt;YEAR(E111),0,IF((YEAR(D111)+5)&gt;YEAR(E111),1,(12-MONTH(E111)+1)/12))))-((P111)*(IF((YEAR(D111)+5)&lt;YEAR(E111),0,IF((YEAR(D111)+5)&gt;YEAR(E111),1,(12-MONTH(E111)+1)/12))) + (R111)*(IF((YEAR(D111)+5)&lt;YEAR(E111),0,IF((YEAR(D111)+5)&gt;YEAR(E111),1,(12-MONTH(E111)+1)/12))))-(IF(OR(N111="",N111&lt;=0),0,(O111/N111)*(IF(OR(N111="",N111&lt;=0),0,IF((YEAR(D111)+5)&lt;YEAR(E111),0,IF((YEAR(D111)+5)&gt;=YEAR(E111)+N111,0,IF((YEAR(D111)+5)=YEAR(E111),(12-MONTH(E111)+1)/12,1))))))))&gt;0,(((K111)*(IF(M111="",L111,IFERROR(IF(INDEX(Variablen!$I:$AT, MATCH(M111, Variablen!$A:$A, 0), MATCH((YEAR(D111)+5), Variablen!$I$3:$AT$3, 0))="",L111,INDEX(Variablen!$I:$AT, MATCH(M111, Variablen!$A:$A, 0), MATCH((YEAR(D111)+5), Variablen!$I$3:$AT$3, 0))),L111)))*(IF((YEAR(D111)+5)&lt;YEAR(E111),0,IF((YEAR(D111)+5)&gt;YEAR(E111),1,(12-MONTH(E111)+1)/12))) + (Q111)*(IF((YEAR(D111)+5)&lt;YEAR(E111),0,IF((YEAR(D111)+5)&gt;YEAR(E111),1,(12-MONTH(E111)+1)/12))))-((P111)*(IF((YEAR(D111)+5)&lt;YEAR(E111),0,IF((YEAR(D111)+5)&gt;YEAR(E111),1,(12-MONTH(E111)+1)/12))) + (R111)*(IF((YEAR(D111)+5)&lt;YEAR(E111),0,IF((YEAR(D111)+5)&gt;YEAR(E111),1,(12-MONTH(E111)+1)/12))))-(IF(OR(N111="",N111&lt;=0),0,(O111/N111)*(IF(OR(N111="",N111&lt;=0),0,IF((YEAR(D111)+5)&lt;YEAR(E111),0,IF((YEAR(D111)+5)&gt;=YEAR(E111)+N111,0,IF((YEAR(D111)+5)=YEAR(E111),(12-MONTH(E111)+1)/12,1))))))))*TaxRate,0))-IF(5=0,O111,0))</f>
        <v/>
      </c>
      <c r="Y111" s="29">
        <f>IF(A111="","",((K111)*(IF(M111="",L111,IFERROR(IF(INDEX(Variablen!$I:$AT, MATCH(M111, Variablen!$A:$A, 0), MATCH((YEAR(D111)+6), Variablen!$I$3:$AT$3, 0))="",L111,INDEX(Variablen!$I:$AT, MATCH(M111, Variablen!$A:$A, 0), MATCH((YEAR(D111)+6), Variablen!$I$3:$AT$3, 0))),L111)))*(IF((YEAR(D111)+6)&lt;YEAR(E111),0,IF((YEAR(D111)+6)&gt;YEAR(E111),1,(12-MONTH(E111)+1)/12))) + (Q111)*(IF((YEAR(D111)+6)&lt;YEAR(E111),0,IF((YEAR(D111)+6)&gt;YEAR(E111),1,(12-MONTH(E111)+1)/12))))-((P111)*(IF((YEAR(D111)+6)&lt;YEAR(E111),0,IF((YEAR(D111)+6)&gt;YEAR(E111),1,(12-MONTH(E111)+1)/12))) + (R111)*(IF((YEAR(D111)+6)&lt;YEAR(E111),0,IF((YEAR(D111)+6)&gt;YEAR(E111),1,(12-MONTH(E111)+1)/12))))-(IF((((K111)*(IF(M111="",L111,IFERROR(IF(INDEX(Variablen!$I:$AT, MATCH(M111, Variablen!$A:$A, 0), MATCH((YEAR(D111)+6), Variablen!$I$3:$AT$3, 0))="",L111,INDEX(Variablen!$I:$AT, MATCH(M111, Variablen!$A:$A, 0), MATCH((YEAR(D111)+6), Variablen!$I$3:$AT$3, 0))),L111)))*(IF((YEAR(D111)+6)&lt;YEAR(E111),0,IF((YEAR(D111)+6)&gt;YEAR(E111),1,(12-MONTH(E111)+1)/12))) + (Q111)*(IF((YEAR(D111)+6)&lt;YEAR(E111),0,IF((YEAR(D111)+6)&gt;YEAR(E111),1,(12-MONTH(E111)+1)/12))))-((P111)*(IF((YEAR(D111)+6)&lt;YEAR(E111),0,IF((YEAR(D111)+6)&gt;YEAR(E111),1,(12-MONTH(E111)+1)/12))) + (R111)*(IF((YEAR(D111)+6)&lt;YEAR(E111),0,IF((YEAR(D111)+6)&gt;YEAR(E111),1,(12-MONTH(E111)+1)/12))))-(IF(OR(N111="",N111&lt;=0),0,(O111/N111)*(IF(OR(N111="",N111&lt;=0),0,IF((YEAR(D111)+6)&lt;YEAR(E111),0,IF((YEAR(D111)+6)&gt;=YEAR(E111)+N111,0,IF((YEAR(D111)+6)=YEAR(E111),(12-MONTH(E111)+1)/12,1))))))))&gt;0,(((K111)*(IF(M111="",L111,IFERROR(IF(INDEX(Variablen!$I:$AT, MATCH(M111, Variablen!$A:$A, 0), MATCH((YEAR(D111)+6), Variablen!$I$3:$AT$3, 0))="",L111,INDEX(Variablen!$I:$AT, MATCH(M111, Variablen!$A:$A, 0), MATCH((YEAR(D111)+6), Variablen!$I$3:$AT$3, 0))),L111)))*(IF((YEAR(D111)+6)&lt;YEAR(E111),0,IF((YEAR(D111)+6)&gt;YEAR(E111),1,(12-MONTH(E111)+1)/12))) + (Q111)*(IF((YEAR(D111)+6)&lt;YEAR(E111),0,IF((YEAR(D111)+6)&gt;YEAR(E111),1,(12-MONTH(E111)+1)/12))))-((P111)*(IF((YEAR(D111)+6)&lt;YEAR(E111),0,IF((YEAR(D111)+6)&gt;YEAR(E111),1,(12-MONTH(E111)+1)/12))) + (R111)*(IF((YEAR(D111)+6)&lt;YEAR(E111),0,IF((YEAR(D111)+6)&gt;YEAR(E111),1,(12-MONTH(E111)+1)/12))))-(IF(OR(N111="",N111&lt;=0),0,(O111/N111)*(IF(OR(N111="",N111&lt;=0),0,IF((YEAR(D111)+6)&lt;YEAR(E111),0,IF((YEAR(D111)+6)&gt;=YEAR(E111)+N111,0,IF((YEAR(D111)+6)=YEAR(E111),(12-MONTH(E111)+1)/12,1))))))))*TaxRate,0))-IF(6=0,O111,0))</f>
        <v/>
      </c>
      <c r="Z111" s="29">
        <f>IF(A111="","",((K111)*(IF(M111="",L111,IFERROR(IF(INDEX(Variablen!$I:$AT, MATCH(M111, Variablen!$A:$A, 0), MATCH((YEAR(D111)+7), Variablen!$I$3:$AT$3, 0))="",L111,INDEX(Variablen!$I:$AT, MATCH(M111, Variablen!$A:$A, 0), MATCH((YEAR(D111)+7), Variablen!$I$3:$AT$3, 0))),L111)))*(IF((YEAR(D111)+7)&lt;YEAR(E111),0,IF((YEAR(D111)+7)&gt;YEAR(E111),1,(12-MONTH(E111)+1)/12))) + (Q111)*(IF((YEAR(D111)+7)&lt;YEAR(E111),0,IF((YEAR(D111)+7)&gt;YEAR(E111),1,(12-MONTH(E111)+1)/12))))-((P111)*(IF((YEAR(D111)+7)&lt;YEAR(E111),0,IF((YEAR(D111)+7)&gt;YEAR(E111),1,(12-MONTH(E111)+1)/12))) + (R111)*(IF((YEAR(D111)+7)&lt;YEAR(E111),0,IF((YEAR(D111)+7)&gt;YEAR(E111),1,(12-MONTH(E111)+1)/12))))-(IF((((K111)*(IF(M111="",L111,IFERROR(IF(INDEX(Variablen!$I:$AT, MATCH(M111, Variablen!$A:$A, 0), MATCH((YEAR(D111)+7), Variablen!$I$3:$AT$3, 0))="",L111,INDEX(Variablen!$I:$AT, MATCH(M111, Variablen!$A:$A, 0), MATCH((YEAR(D111)+7), Variablen!$I$3:$AT$3, 0))),L111)))*(IF((YEAR(D111)+7)&lt;YEAR(E111),0,IF((YEAR(D111)+7)&gt;YEAR(E111),1,(12-MONTH(E111)+1)/12))) + (Q111)*(IF((YEAR(D111)+7)&lt;YEAR(E111),0,IF((YEAR(D111)+7)&gt;YEAR(E111),1,(12-MONTH(E111)+1)/12))))-((P111)*(IF((YEAR(D111)+7)&lt;YEAR(E111),0,IF((YEAR(D111)+7)&gt;YEAR(E111),1,(12-MONTH(E111)+1)/12))) + (R111)*(IF((YEAR(D111)+7)&lt;YEAR(E111),0,IF((YEAR(D111)+7)&gt;YEAR(E111),1,(12-MONTH(E111)+1)/12))))-(IF(OR(N111="",N111&lt;=0),0,(O111/N111)*(IF(OR(N111="",N111&lt;=0),0,IF((YEAR(D111)+7)&lt;YEAR(E111),0,IF((YEAR(D111)+7)&gt;=YEAR(E111)+N111,0,IF((YEAR(D111)+7)=YEAR(E111),(12-MONTH(E111)+1)/12,1))))))))&gt;0,(((K111)*(IF(M111="",L111,IFERROR(IF(INDEX(Variablen!$I:$AT, MATCH(M111, Variablen!$A:$A, 0), MATCH((YEAR(D111)+7), Variablen!$I$3:$AT$3, 0))="",L111,INDEX(Variablen!$I:$AT, MATCH(M111, Variablen!$A:$A, 0), MATCH((YEAR(D111)+7), Variablen!$I$3:$AT$3, 0))),L111)))*(IF((YEAR(D111)+7)&lt;YEAR(E111),0,IF((YEAR(D111)+7)&gt;YEAR(E111),1,(12-MONTH(E111)+1)/12))) + (Q111)*(IF((YEAR(D111)+7)&lt;YEAR(E111),0,IF((YEAR(D111)+7)&gt;YEAR(E111),1,(12-MONTH(E111)+1)/12))))-((P111)*(IF((YEAR(D111)+7)&lt;YEAR(E111),0,IF((YEAR(D111)+7)&gt;YEAR(E111),1,(12-MONTH(E111)+1)/12))) + (R111)*(IF((YEAR(D111)+7)&lt;YEAR(E111),0,IF((YEAR(D111)+7)&gt;YEAR(E111),1,(12-MONTH(E111)+1)/12))))-(IF(OR(N111="",N111&lt;=0),0,(O111/N111)*(IF(OR(N111="",N111&lt;=0),0,IF((YEAR(D111)+7)&lt;YEAR(E111),0,IF((YEAR(D111)+7)&gt;=YEAR(E111)+N111,0,IF((YEAR(D111)+7)=YEAR(E111),(12-MONTH(E111)+1)/12,1))))))))*TaxRate,0))-IF(7=0,O111,0))</f>
        <v/>
      </c>
      <c r="AA111" s="29">
        <f>IF(A111="","",((K111)*(IF(M111="",L111,IFERROR(IF(INDEX(Variablen!$I:$AT, MATCH(M111, Variablen!$A:$A, 0), MATCH((YEAR(D111)+8), Variablen!$I$3:$AT$3, 0))="",L111,INDEX(Variablen!$I:$AT, MATCH(M111, Variablen!$A:$A, 0), MATCH((YEAR(D111)+8), Variablen!$I$3:$AT$3, 0))),L111)))*(IF((YEAR(D111)+8)&lt;YEAR(E111),0,IF((YEAR(D111)+8)&gt;YEAR(E111),1,(12-MONTH(E111)+1)/12))) + (Q111)*(IF((YEAR(D111)+8)&lt;YEAR(E111),0,IF((YEAR(D111)+8)&gt;YEAR(E111),1,(12-MONTH(E111)+1)/12))))-((P111)*(IF((YEAR(D111)+8)&lt;YEAR(E111),0,IF((YEAR(D111)+8)&gt;YEAR(E111),1,(12-MONTH(E111)+1)/12))) + (R111)*(IF((YEAR(D111)+8)&lt;YEAR(E111),0,IF((YEAR(D111)+8)&gt;YEAR(E111),1,(12-MONTH(E111)+1)/12))))-(IF((((K111)*(IF(M111="",L111,IFERROR(IF(INDEX(Variablen!$I:$AT, MATCH(M111, Variablen!$A:$A, 0), MATCH((YEAR(D111)+8), Variablen!$I$3:$AT$3, 0))="",L111,INDEX(Variablen!$I:$AT, MATCH(M111, Variablen!$A:$A, 0), MATCH((YEAR(D111)+8), Variablen!$I$3:$AT$3, 0))),L111)))*(IF((YEAR(D111)+8)&lt;YEAR(E111),0,IF((YEAR(D111)+8)&gt;YEAR(E111),1,(12-MONTH(E111)+1)/12))) + (Q111)*(IF((YEAR(D111)+8)&lt;YEAR(E111),0,IF((YEAR(D111)+8)&gt;YEAR(E111),1,(12-MONTH(E111)+1)/12))))-((P111)*(IF((YEAR(D111)+8)&lt;YEAR(E111),0,IF((YEAR(D111)+8)&gt;YEAR(E111),1,(12-MONTH(E111)+1)/12))) + (R111)*(IF((YEAR(D111)+8)&lt;YEAR(E111),0,IF((YEAR(D111)+8)&gt;YEAR(E111),1,(12-MONTH(E111)+1)/12))))-(IF(OR(N111="",N111&lt;=0),0,(O111/N111)*(IF(OR(N111="",N111&lt;=0),0,IF((YEAR(D111)+8)&lt;YEAR(E111),0,IF((YEAR(D111)+8)&gt;=YEAR(E111)+N111,0,IF((YEAR(D111)+8)=YEAR(E111),(12-MONTH(E111)+1)/12,1))))))))&gt;0,(((K111)*(IF(M111="",L111,IFERROR(IF(INDEX(Variablen!$I:$AT, MATCH(M111, Variablen!$A:$A, 0), MATCH((YEAR(D111)+8), Variablen!$I$3:$AT$3, 0))="",L111,INDEX(Variablen!$I:$AT, MATCH(M111, Variablen!$A:$A, 0), MATCH((YEAR(D111)+8), Variablen!$I$3:$AT$3, 0))),L111)))*(IF((YEAR(D111)+8)&lt;YEAR(E111),0,IF((YEAR(D111)+8)&gt;YEAR(E111),1,(12-MONTH(E111)+1)/12))) + (Q111)*(IF((YEAR(D111)+8)&lt;YEAR(E111),0,IF((YEAR(D111)+8)&gt;YEAR(E111),1,(12-MONTH(E111)+1)/12))))-((P111)*(IF((YEAR(D111)+8)&lt;YEAR(E111),0,IF((YEAR(D111)+8)&gt;YEAR(E111),1,(12-MONTH(E111)+1)/12))) + (R111)*(IF((YEAR(D111)+8)&lt;YEAR(E111),0,IF((YEAR(D111)+8)&gt;YEAR(E111),1,(12-MONTH(E111)+1)/12))))-(IF(OR(N111="",N111&lt;=0),0,(O111/N111)*(IF(OR(N111="",N111&lt;=0),0,IF((YEAR(D111)+8)&lt;YEAR(E111),0,IF((YEAR(D111)+8)&gt;=YEAR(E111)+N111,0,IF((YEAR(D111)+8)=YEAR(E111),(12-MONTH(E111)+1)/12,1))))))))*TaxRate,0))-IF(8=0,O111,0))</f>
        <v/>
      </c>
      <c r="AB111" s="29">
        <f>IF(A111="","",((K111)*(IF(M111="",L111,IFERROR(IF(INDEX(Variablen!$I:$AT, MATCH(M111, Variablen!$A:$A, 0), MATCH((YEAR(D111)+9), Variablen!$I$3:$AT$3, 0))="",L111,INDEX(Variablen!$I:$AT, MATCH(M111, Variablen!$A:$A, 0), MATCH((YEAR(D111)+9), Variablen!$I$3:$AT$3, 0))),L111)))*(IF((YEAR(D111)+9)&lt;YEAR(E111),0,IF((YEAR(D111)+9)&gt;YEAR(E111),1,(12-MONTH(E111)+1)/12))) + (Q111)*(IF((YEAR(D111)+9)&lt;YEAR(E111),0,IF((YEAR(D111)+9)&gt;YEAR(E111),1,(12-MONTH(E111)+1)/12))))-((P111)*(IF((YEAR(D111)+9)&lt;YEAR(E111),0,IF((YEAR(D111)+9)&gt;YEAR(E111),1,(12-MONTH(E111)+1)/12))) + (R111)*(IF((YEAR(D111)+9)&lt;YEAR(E111),0,IF((YEAR(D111)+9)&gt;YEAR(E111),1,(12-MONTH(E111)+1)/12))))-(IF((((K111)*(IF(M111="",L111,IFERROR(IF(INDEX(Variablen!$I:$AT, MATCH(M111, Variablen!$A:$A, 0), MATCH((YEAR(D111)+9), Variablen!$I$3:$AT$3, 0))="",L111,INDEX(Variablen!$I:$AT, MATCH(M111, Variablen!$A:$A, 0), MATCH((YEAR(D111)+9), Variablen!$I$3:$AT$3, 0))),L111)))*(IF((YEAR(D111)+9)&lt;YEAR(E111),0,IF((YEAR(D111)+9)&gt;YEAR(E111),1,(12-MONTH(E111)+1)/12))) + (Q111)*(IF((YEAR(D111)+9)&lt;YEAR(E111),0,IF((YEAR(D111)+9)&gt;YEAR(E111),1,(12-MONTH(E111)+1)/12))))-((P111)*(IF((YEAR(D111)+9)&lt;YEAR(E111),0,IF((YEAR(D111)+9)&gt;YEAR(E111),1,(12-MONTH(E111)+1)/12))) + (R111)*(IF((YEAR(D111)+9)&lt;YEAR(E111),0,IF((YEAR(D111)+9)&gt;YEAR(E111),1,(12-MONTH(E111)+1)/12))))-(IF(OR(N111="",N111&lt;=0),0,(O111/N111)*(IF(OR(N111="",N111&lt;=0),0,IF((YEAR(D111)+9)&lt;YEAR(E111),0,IF((YEAR(D111)+9)&gt;=YEAR(E111)+N111,0,IF((YEAR(D111)+9)=YEAR(E111),(12-MONTH(E111)+1)/12,1))))))))&gt;0,(((K111)*(IF(M111="",L111,IFERROR(IF(INDEX(Variablen!$I:$AT, MATCH(M111, Variablen!$A:$A, 0), MATCH((YEAR(D111)+9), Variablen!$I$3:$AT$3, 0))="",L111,INDEX(Variablen!$I:$AT, MATCH(M111, Variablen!$A:$A, 0), MATCH((YEAR(D111)+9), Variablen!$I$3:$AT$3, 0))),L111)))*(IF((YEAR(D111)+9)&lt;YEAR(E111),0,IF((YEAR(D111)+9)&gt;YEAR(E111),1,(12-MONTH(E111)+1)/12))) + (Q111)*(IF((YEAR(D111)+9)&lt;YEAR(E111),0,IF((YEAR(D111)+9)&gt;YEAR(E111),1,(12-MONTH(E111)+1)/12))))-((P111)*(IF((YEAR(D111)+9)&lt;YEAR(E111),0,IF((YEAR(D111)+9)&gt;YEAR(E111),1,(12-MONTH(E111)+1)/12))) + (R111)*(IF((YEAR(D111)+9)&lt;YEAR(E111),0,IF((YEAR(D111)+9)&gt;YEAR(E111),1,(12-MONTH(E111)+1)/12))))-(IF(OR(N111="",N111&lt;=0),0,(O111/N111)*(IF(OR(N111="",N111&lt;=0),0,IF((YEAR(D111)+9)&lt;YEAR(E111),0,IF((YEAR(D111)+9)&gt;=YEAR(E111)+N111,0,IF((YEAR(D111)+9)=YEAR(E111),(12-MONTH(E111)+1)/12,1))))))))*TaxRate,0))-IF(9=0,O111,0))</f>
        <v/>
      </c>
      <c r="AC111" s="29">
        <f>IF(A111="","",((K111)*(IF(M111="",L111,IFERROR(IF(INDEX(Variablen!$I:$AT, MATCH(M111, Variablen!$A:$A, 0), MATCH((YEAR(D111)+10), Variablen!$I$3:$AT$3, 0))="",L111,INDEX(Variablen!$I:$AT, MATCH(M111, Variablen!$A:$A, 0), MATCH((YEAR(D111)+10), Variablen!$I$3:$AT$3, 0))),L111)))*(IF((YEAR(D111)+10)&lt;YEAR(E111),0,IF((YEAR(D111)+10)&gt;YEAR(E111),1,(12-MONTH(E111)+1)/12))) + (Q111)*(IF((YEAR(D111)+10)&lt;YEAR(E111),0,IF((YEAR(D111)+10)&gt;YEAR(E111),1,(12-MONTH(E111)+1)/12))))-((P111)*(IF((YEAR(D111)+10)&lt;YEAR(E111),0,IF((YEAR(D111)+10)&gt;YEAR(E111),1,(12-MONTH(E111)+1)/12))) + (R111)*(IF((YEAR(D111)+10)&lt;YEAR(E111),0,IF((YEAR(D111)+10)&gt;YEAR(E111),1,(12-MONTH(E111)+1)/12))))-(IF((((K111)*(IF(M111="",L111,IFERROR(IF(INDEX(Variablen!$I:$AT, MATCH(M111, Variablen!$A:$A, 0), MATCH((YEAR(D111)+10), Variablen!$I$3:$AT$3, 0))="",L111,INDEX(Variablen!$I:$AT, MATCH(M111, Variablen!$A:$A, 0), MATCH((YEAR(D111)+10), Variablen!$I$3:$AT$3, 0))),L111)))*(IF((YEAR(D111)+10)&lt;YEAR(E111),0,IF((YEAR(D111)+10)&gt;YEAR(E111),1,(12-MONTH(E111)+1)/12))) + (Q111)*(IF((YEAR(D111)+10)&lt;YEAR(E111),0,IF((YEAR(D111)+10)&gt;YEAR(E111),1,(12-MONTH(E111)+1)/12))))-((P111)*(IF((YEAR(D111)+10)&lt;YEAR(E111),0,IF((YEAR(D111)+10)&gt;YEAR(E111),1,(12-MONTH(E111)+1)/12))) + (R111)*(IF((YEAR(D111)+10)&lt;YEAR(E111),0,IF((YEAR(D111)+10)&gt;YEAR(E111),1,(12-MONTH(E111)+1)/12))))-(IF(OR(N111="",N111&lt;=0),0,(O111/N111)*(IF(OR(N111="",N111&lt;=0),0,IF((YEAR(D111)+10)&lt;YEAR(E111),0,IF((YEAR(D111)+10)&gt;=YEAR(E111)+N111,0,IF((YEAR(D111)+10)=YEAR(E111),(12-MONTH(E111)+1)/12,1))))))))&gt;0,(((K111)*(IF(M111="",L111,IFERROR(IF(INDEX(Variablen!$I:$AT, MATCH(M111, Variablen!$A:$A, 0), MATCH((YEAR(D111)+10), Variablen!$I$3:$AT$3, 0))="",L111,INDEX(Variablen!$I:$AT, MATCH(M111, Variablen!$A:$A, 0), MATCH((YEAR(D111)+10), Variablen!$I$3:$AT$3, 0))),L111)))*(IF((YEAR(D111)+10)&lt;YEAR(E111),0,IF((YEAR(D111)+10)&gt;YEAR(E111),1,(12-MONTH(E111)+1)/12))) + (Q111)*(IF((YEAR(D111)+10)&lt;YEAR(E111),0,IF((YEAR(D111)+10)&gt;YEAR(E111),1,(12-MONTH(E111)+1)/12))))-((P111)*(IF((YEAR(D111)+10)&lt;YEAR(E111),0,IF((YEAR(D111)+10)&gt;YEAR(E111),1,(12-MONTH(E111)+1)/12))) + (R111)*(IF((YEAR(D111)+10)&lt;YEAR(E111),0,IF((YEAR(D111)+10)&gt;YEAR(E111),1,(12-MONTH(E111)+1)/12))))-(IF(OR(N111="",N111&lt;=0),0,(O111/N111)*(IF(OR(N111="",N111&lt;=0),0,IF((YEAR(D111)+10)&lt;YEAR(E111),0,IF((YEAR(D111)+10)&gt;=YEAR(E111)+N111,0,IF((YEAR(D111)+10)=YEAR(E111),(12-MONTH(E111)+1)/12,1))))))))*TaxRate,0))-IF(10=0,O111,0))</f>
        <v/>
      </c>
      <c r="AD111" s="29">
        <f>IF(A111="","",((K111)*(IF(M111="",L111,IFERROR(IF(INDEX(Variablen!$I:$AT, MATCH(M111, Variablen!$A:$A, 0), MATCH((YEAR(D111)+11), Variablen!$I$3:$AT$3, 0))="",L111,INDEX(Variablen!$I:$AT, MATCH(M111, Variablen!$A:$A, 0), MATCH((YEAR(D111)+11), Variablen!$I$3:$AT$3, 0))),L111)))*(IF((YEAR(D111)+11)&lt;YEAR(E111),0,IF((YEAR(D111)+11)&gt;YEAR(E111),1,(12-MONTH(E111)+1)/12))) + (Q111)*(IF((YEAR(D111)+11)&lt;YEAR(E111),0,IF((YEAR(D111)+11)&gt;YEAR(E111),1,(12-MONTH(E111)+1)/12))))-((P111)*(IF((YEAR(D111)+11)&lt;YEAR(E111),0,IF((YEAR(D111)+11)&gt;YEAR(E111),1,(12-MONTH(E111)+1)/12))) + (R111)*(IF((YEAR(D111)+11)&lt;YEAR(E111),0,IF((YEAR(D111)+11)&gt;YEAR(E111),1,(12-MONTH(E111)+1)/12))))-(IF((((K111)*(IF(M111="",L111,IFERROR(IF(INDEX(Variablen!$I:$AT, MATCH(M111, Variablen!$A:$A, 0), MATCH((YEAR(D111)+11), Variablen!$I$3:$AT$3, 0))="",L111,INDEX(Variablen!$I:$AT, MATCH(M111, Variablen!$A:$A, 0), MATCH((YEAR(D111)+11), Variablen!$I$3:$AT$3, 0))),L111)))*(IF((YEAR(D111)+11)&lt;YEAR(E111),0,IF((YEAR(D111)+11)&gt;YEAR(E111),1,(12-MONTH(E111)+1)/12))) + (Q111)*(IF((YEAR(D111)+11)&lt;YEAR(E111),0,IF((YEAR(D111)+11)&gt;YEAR(E111),1,(12-MONTH(E111)+1)/12))))-((P111)*(IF((YEAR(D111)+11)&lt;YEAR(E111),0,IF((YEAR(D111)+11)&gt;YEAR(E111),1,(12-MONTH(E111)+1)/12))) + (R111)*(IF((YEAR(D111)+11)&lt;YEAR(E111),0,IF((YEAR(D111)+11)&gt;YEAR(E111),1,(12-MONTH(E111)+1)/12))))-(IF(OR(N111="",N111&lt;=0),0,(O111/N111)*(IF(OR(N111="",N111&lt;=0),0,IF((YEAR(D111)+11)&lt;YEAR(E111),0,IF((YEAR(D111)+11)&gt;=YEAR(E111)+N111,0,IF((YEAR(D111)+11)=YEAR(E111),(12-MONTH(E111)+1)/12,1))))))))&gt;0,(((K111)*(IF(M111="",L111,IFERROR(IF(INDEX(Variablen!$I:$AT, MATCH(M111, Variablen!$A:$A, 0), MATCH((YEAR(D111)+11), Variablen!$I$3:$AT$3, 0))="",L111,INDEX(Variablen!$I:$AT, MATCH(M111, Variablen!$A:$A, 0), MATCH((YEAR(D111)+11), Variablen!$I$3:$AT$3, 0))),L111)))*(IF((YEAR(D111)+11)&lt;YEAR(E111),0,IF((YEAR(D111)+11)&gt;YEAR(E111),1,(12-MONTH(E111)+1)/12))) + (Q111)*(IF((YEAR(D111)+11)&lt;YEAR(E111),0,IF((YEAR(D111)+11)&gt;YEAR(E111),1,(12-MONTH(E111)+1)/12))))-((P111)*(IF((YEAR(D111)+11)&lt;YEAR(E111),0,IF((YEAR(D111)+11)&gt;YEAR(E111),1,(12-MONTH(E111)+1)/12))) + (R111)*(IF((YEAR(D111)+11)&lt;YEAR(E111),0,IF((YEAR(D111)+11)&gt;YEAR(E111),1,(12-MONTH(E111)+1)/12))))-(IF(OR(N111="",N111&lt;=0),0,(O111/N111)*(IF(OR(N111="",N111&lt;=0),0,IF((YEAR(D111)+11)&lt;YEAR(E111),0,IF((YEAR(D111)+11)&gt;=YEAR(E111)+N111,0,IF((YEAR(D111)+11)=YEAR(E111),(12-MONTH(E111)+1)/12,1))))))))*TaxRate,0))-IF(11=0,O111,0))</f>
        <v/>
      </c>
      <c r="AE111" s="29">
        <f>IF(A111="","",((K111)*(IF(M111="",L111,IFERROR(IF(INDEX(Variablen!$I:$AT, MATCH(M111, Variablen!$A:$A, 0), MATCH((YEAR(D111)+12), Variablen!$I$3:$AT$3, 0))="",L111,INDEX(Variablen!$I:$AT, MATCH(M111, Variablen!$A:$A, 0), MATCH((YEAR(D111)+12), Variablen!$I$3:$AT$3, 0))),L111)))*(IF((YEAR(D111)+12)&lt;YEAR(E111),0,IF((YEAR(D111)+12)&gt;YEAR(E111),1,(12-MONTH(E111)+1)/12))) + (Q111)*(IF((YEAR(D111)+12)&lt;YEAR(E111),0,IF((YEAR(D111)+12)&gt;YEAR(E111),1,(12-MONTH(E111)+1)/12))))-((P111)*(IF((YEAR(D111)+12)&lt;YEAR(E111),0,IF((YEAR(D111)+12)&gt;YEAR(E111),1,(12-MONTH(E111)+1)/12))) + (R111)*(IF((YEAR(D111)+12)&lt;YEAR(E111),0,IF((YEAR(D111)+12)&gt;YEAR(E111),1,(12-MONTH(E111)+1)/12))))-(IF((((K111)*(IF(M111="",L111,IFERROR(IF(INDEX(Variablen!$I:$AT, MATCH(M111, Variablen!$A:$A, 0), MATCH((YEAR(D111)+12), Variablen!$I$3:$AT$3, 0))="",L111,INDEX(Variablen!$I:$AT, MATCH(M111, Variablen!$A:$A, 0), MATCH((YEAR(D111)+12), Variablen!$I$3:$AT$3, 0))),L111)))*(IF((YEAR(D111)+12)&lt;YEAR(E111),0,IF((YEAR(D111)+12)&gt;YEAR(E111),1,(12-MONTH(E111)+1)/12))) + (Q111)*(IF((YEAR(D111)+12)&lt;YEAR(E111),0,IF((YEAR(D111)+12)&gt;YEAR(E111),1,(12-MONTH(E111)+1)/12))))-((P111)*(IF((YEAR(D111)+12)&lt;YEAR(E111),0,IF((YEAR(D111)+12)&gt;YEAR(E111),1,(12-MONTH(E111)+1)/12))) + (R111)*(IF((YEAR(D111)+12)&lt;YEAR(E111),0,IF((YEAR(D111)+12)&gt;YEAR(E111),1,(12-MONTH(E111)+1)/12))))-(IF(OR(N111="",N111&lt;=0),0,(O111/N111)*(IF(OR(N111="",N111&lt;=0),0,IF((YEAR(D111)+12)&lt;YEAR(E111),0,IF((YEAR(D111)+12)&gt;=YEAR(E111)+N111,0,IF((YEAR(D111)+12)=YEAR(E111),(12-MONTH(E111)+1)/12,1))))))))&gt;0,(((K111)*(IF(M111="",L111,IFERROR(IF(INDEX(Variablen!$I:$AT, MATCH(M111, Variablen!$A:$A, 0), MATCH((YEAR(D111)+12), Variablen!$I$3:$AT$3, 0))="",L111,INDEX(Variablen!$I:$AT, MATCH(M111, Variablen!$A:$A, 0), MATCH((YEAR(D111)+12), Variablen!$I$3:$AT$3, 0))),L111)))*(IF((YEAR(D111)+12)&lt;YEAR(E111),0,IF((YEAR(D111)+12)&gt;YEAR(E111),1,(12-MONTH(E111)+1)/12))) + (Q111)*(IF((YEAR(D111)+12)&lt;YEAR(E111),0,IF((YEAR(D111)+12)&gt;YEAR(E111),1,(12-MONTH(E111)+1)/12))))-((P111)*(IF((YEAR(D111)+12)&lt;YEAR(E111),0,IF((YEAR(D111)+12)&gt;YEAR(E111),1,(12-MONTH(E111)+1)/12))) + (R111)*(IF((YEAR(D111)+12)&lt;YEAR(E111),0,IF((YEAR(D111)+12)&gt;YEAR(E111),1,(12-MONTH(E111)+1)/12))))-(IF(OR(N111="",N111&lt;=0),0,(O111/N111)*(IF(OR(N111="",N111&lt;=0),0,IF((YEAR(D111)+12)&lt;YEAR(E111),0,IF((YEAR(D111)+12)&gt;=YEAR(E111)+N111,0,IF((YEAR(D111)+12)=YEAR(E111),(12-MONTH(E111)+1)/12,1))))))))*TaxRate,0))-IF(12=0,O111,0))</f>
        <v/>
      </c>
      <c r="AF111" s="29">
        <f>IF(A111="","",((K111)*(IF(M111="",L111,IFERROR(IF(INDEX(Variablen!$I:$AT, MATCH(M111, Variablen!$A:$A, 0), MATCH((YEAR(D111)+13), Variablen!$I$3:$AT$3, 0))="",L111,INDEX(Variablen!$I:$AT, MATCH(M111, Variablen!$A:$A, 0), MATCH((YEAR(D111)+13), Variablen!$I$3:$AT$3, 0))),L111)))*(IF((YEAR(D111)+13)&lt;YEAR(E111),0,IF((YEAR(D111)+13)&gt;YEAR(E111),1,(12-MONTH(E111)+1)/12))) + (Q111)*(IF((YEAR(D111)+13)&lt;YEAR(E111),0,IF((YEAR(D111)+13)&gt;YEAR(E111),1,(12-MONTH(E111)+1)/12))))-((P111)*(IF((YEAR(D111)+13)&lt;YEAR(E111),0,IF((YEAR(D111)+13)&gt;YEAR(E111),1,(12-MONTH(E111)+1)/12))) + (R111)*(IF((YEAR(D111)+13)&lt;YEAR(E111),0,IF((YEAR(D111)+13)&gt;YEAR(E111),1,(12-MONTH(E111)+1)/12))))-(IF((((K111)*(IF(M111="",L111,IFERROR(IF(INDEX(Variablen!$I:$AT, MATCH(M111, Variablen!$A:$A, 0), MATCH((YEAR(D111)+13), Variablen!$I$3:$AT$3, 0))="",L111,INDEX(Variablen!$I:$AT, MATCH(M111, Variablen!$A:$A, 0), MATCH((YEAR(D111)+13), Variablen!$I$3:$AT$3, 0))),L111)))*(IF((YEAR(D111)+13)&lt;YEAR(E111),0,IF((YEAR(D111)+13)&gt;YEAR(E111),1,(12-MONTH(E111)+1)/12))) + (Q111)*(IF((YEAR(D111)+13)&lt;YEAR(E111),0,IF((YEAR(D111)+13)&gt;YEAR(E111),1,(12-MONTH(E111)+1)/12))))-((P111)*(IF((YEAR(D111)+13)&lt;YEAR(E111),0,IF((YEAR(D111)+13)&gt;YEAR(E111),1,(12-MONTH(E111)+1)/12))) + (R111)*(IF((YEAR(D111)+13)&lt;YEAR(E111),0,IF((YEAR(D111)+13)&gt;YEAR(E111),1,(12-MONTH(E111)+1)/12))))-(IF(OR(N111="",N111&lt;=0),0,(O111/N111)*(IF(OR(N111="",N111&lt;=0),0,IF((YEAR(D111)+13)&lt;YEAR(E111),0,IF((YEAR(D111)+13)&gt;=YEAR(E111)+N111,0,IF((YEAR(D111)+13)=YEAR(E111),(12-MONTH(E111)+1)/12,1))))))))&gt;0,(((K111)*(IF(M111="",L111,IFERROR(IF(INDEX(Variablen!$I:$AT, MATCH(M111, Variablen!$A:$A, 0), MATCH((YEAR(D111)+13), Variablen!$I$3:$AT$3, 0))="",L111,INDEX(Variablen!$I:$AT, MATCH(M111, Variablen!$A:$A, 0), MATCH((YEAR(D111)+13), Variablen!$I$3:$AT$3, 0))),L111)))*(IF((YEAR(D111)+13)&lt;YEAR(E111),0,IF((YEAR(D111)+13)&gt;YEAR(E111),1,(12-MONTH(E111)+1)/12))) + (Q111)*(IF((YEAR(D111)+13)&lt;YEAR(E111),0,IF((YEAR(D111)+13)&gt;YEAR(E111),1,(12-MONTH(E111)+1)/12))))-((P111)*(IF((YEAR(D111)+13)&lt;YEAR(E111),0,IF((YEAR(D111)+13)&gt;YEAR(E111),1,(12-MONTH(E111)+1)/12))) + (R111)*(IF((YEAR(D111)+13)&lt;YEAR(E111),0,IF((YEAR(D111)+13)&gt;YEAR(E111),1,(12-MONTH(E111)+1)/12))))-(IF(OR(N111="",N111&lt;=0),0,(O111/N111)*(IF(OR(N111="",N111&lt;=0),0,IF((YEAR(D111)+13)&lt;YEAR(E111),0,IF((YEAR(D111)+13)&gt;=YEAR(E111)+N111,0,IF((YEAR(D111)+13)=YEAR(E111),(12-MONTH(E111)+1)/12,1))))))))*TaxRate,0))-IF(13=0,O111,0))</f>
        <v/>
      </c>
      <c r="AG111" s="29">
        <f>IF(A111="","",((K111)*(IF(M111="",L111,IFERROR(IF(INDEX(Variablen!$I:$AT, MATCH(M111, Variablen!$A:$A, 0), MATCH((YEAR(D111)+14), Variablen!$I$3:$AT$3, 0))="",L111,INDEX(Variablen!$I:$AT, MATCH(M111, Variablen!$A:$A, 0), MATCH((YEAR(D111)+14), Variablen!$I$3:$AT$3, 0))),L111)))*(IF((YEAR(D111)+14)&lt;YEAR(E111),0,IF((YEAR(D111)+14)&gt;YEAR(E111),1,(12-MONTH(E111)+1)/12))) + (Q111)*(IF((YEAR(D111)+14)&lt;YEAR(E111),0,IF((YEAR(D111)+14)&gt;YEAR(E111),1,(12-MONTH(E111)+1)/12))))-((P111)*(IF((YEAR(D111)+14)&lt;YEAR(E111),0,IF((YEAR(D111)+14)&gt;YEAR(E111),1,(12-MONTH(E111)+1)/12))) + (R111)*(IF((YEAR(D111)+14)&lt;YEAR(E111),0,IF((YEAR(D111)+14)&gt;YEAR(E111),1,(12-MONTH(E111)+1)/12))))-(IF((((K111)*(IF(M111="",L111,IFERROR(IF(INDEX(Variablen!$I:$AT, MATCH(M111, Variablen!$A:$A, 0), MATCH((YEAR(D111)+14), Variablen!$I$3:$AT$3, 0))="",L111,INDEX(Variablen!$I:$AT, MATCH(M111, Variablen!$A:$A, 0), MATCH((YEAR(D111)+14), Variablen!$I$3:$AT$3, 0))),L111)))*(IF((YEAR(D111)+14)&lt;YEAR(E111),0,IF((YEAR(D111)+14)&gt;YEAR(E111),1,(12-MONTH(E111)+1)/12))) + (Q111)*(IF((YEAR(D111)+14)&lt;YEAR(E111),0,IF((YEAR(D111)+14)&gt;YEAR(E111),1,(12-MONTH(E111)+1)/12))))-((P111)*(IF((YEAR(D111)+14)&lt;YEAR(E111),0,IF((YEAR(D111)+14)&gt;YEAR(E111),1,(12-MONTH(E111)+1)/12))) + (R111)*(IF((YEAR(D111)+14)&lt;YEAR(E111),0,IF((YEAR(D111)+14)&gt;YEAR(E111),1,(12-MONTH(E111)+1)/12))))-(IF(OR(N111="",N111&lt;=0),0,(O111/N111)*(IF(OR(N111="",N111&lt;=0),0,IF((YEAR(D111)+14)&lt;YEAR(E111),0,IF((YEAR(D111)+14)&gt;=YEAR(E111)+N111,0,IF((YEAR(D111)+14)=YEAR(E111),(12-MONTH(E111)+1)/12,1))))))))&gt;0,(((K111)*(IF(M111="",L111,IFERROR(IF(INDEX(Variablen!$I:$AT, MATCH(M111, Variablen!$A:$A, 0), MATCH((YEAR(D111)+14), Variablen!$I$3:$AT$3, 0))="",L111,INDEX(Variablen!$I:$AT, MATCH(M111, Variablen!$A:$A, 0), MATCH((YEAR(D111)+14), Variablen!$I$3:$AT$3, 0))),L111)))*(IF((YEAR(D111)+14)&lt;YEAR(E111),0,IF((YEAR(D111)+14)&gt;YEAR(E111),1,(12-MONTH(E111)+1)/12))) + (Q111)*(IF((YEAR(D111)+14)&lt;YEAR(E111),0,IF((YEAR(D111)+14)&gt;YEAR(E111),1,(12-MONTH(E111)+1)/12))))-((P111)*(IF((YEAR(D111)+14)&lt;YEAR(E111),0,IF((YEAR(D111)+14)&gt;YEAR(E111),1,(12-MONTH(E111)+1)/12))) + (R111)*(IF((YEAR(D111)+14)&lt;YEAR(E111),0,IF((YEAR(D111)+14)&gt;YEAR(E111),1,(12-MONTH(E111)+1)/12))))-(IF(OR(N111="",N111&lt;=0),0,(O111/N111)*(IF(OR(N111="",N111&lt;=0),0,IF((YEAR(D111)+14)&lt;YEAR(E111),0,IF((YEAR(D111)+14)&gt;=YEAR(E111)+N111,0,IF((YEAR(D111)+14)=YEAR(E111),(12-MONTH(E111)+1)/12,1))))))))*TaxRate,0))-IF(14=0,O111,0))</f>
        <v/>
      </c>
      <c r="AH111" s="29">
        <f>IF(A111="","",((K111)*(IF(M111="",L111,IFERROR(IF(INDEX(Variablen!$I:$AT, MATCH(M111, Variablen!$A:$A, 0), MATCH((YEAR(D111)+15), Variablen!$I$3:$AT$3, 0))="",L111,INDEX(Variablen!$I:$AT, MATCH(M111, Variablen!$A:$A, 0), MATCH((YEAR(D111)+15), Variablen!$I$3:$AT$3, 0))),L111)))*(IF((YEAR(D111)+15)&lt;YEAR(E111),0,IF((YEAR(D111)+15)&gt;YEAR(E111),1,(12-MONTH(E111)+1)/12))) + (Q111)*(IF((YEAR(D111)+15)&lt;YEAR(E111),0,IF((YEAR(D111)+15)&gt;YEAR(E111),1,(12-MONTH(E111)+1)/12))))-((P111)*(IF((YEAR(D111)+15)&lt;YEAR(E111),0,IF((YEAR(D111)+15)&gt;YEAR(E111),1,(12-MONTH(E111)+1)/12))) + (R111)*(IF((YEAR(D111)+15)&lt;YEAR(E111),0,IF((YEAR(D111)+15)&gt;YEAR(E111),1,(12-MONTH(E111)+1)/12))))-(IF((((K111)*(IF(M111="",L111,IFERROR(IF(INDEX(Variablen!$I:$AT, MATCH(M111, Variablen!$A:$A, 0), MATCH((YEAR(D111)+15), Variablen!$I$3:$AT$3, 0))="",L111,INDEX(Variablen!$I:$AT, MATCH(M111, Variablen!$A:$A, 0), MATCH((YEAR(D111)+15), Variablen!$I$3:$AT$3, 0))),L111)))*(IF((YEAR(D111)+15)&lt;YEAR(E111),0,IF((YEAR(D111)+15)&gt;YEAR(E111),1,(12-MONTH(E111)+1)/12))) + (Q111)*(IF((YEAR(D111)+15)&lt;YEAR(E111),0,IF((YEAR(D111)+15)&gt;YEAR(E111),1,(12-MONTH(E111)+1)/12))))-((P111)*(IF((YEAR(D111)+15)&lt;YEAR(E111),0,IF((YEAR(D111)+15)&gt;YEAR(E111),1,(12-MONTH(E111)+1)/12))) + (R111)*(IF((YEAR(D111)+15)&lt;YEAR(E111),0,IF((YEAR(D111)+15)&gt;YEAR(E111),1,(12-MONTH(E111)+1)/12))))-(IF(OR(N111="",N111&lt;=0),0,(O111/N111)*(IF(OR(N111="",N111&lt;=0),0,IF((YEAR(D111)+15)&lt;YEAR(E111),0,IF((YEAR(D111)+15)&gt;=YEAR(E111)+N111,0,IF((YEAR(D111)+15)=YEAR(E111),(12-MONTH(E111)+1)/12,1))))))))&gt;0,(((K111)*(IF(M111="",L111,IFERROR(IF(INDEX(Variablen!$I:$AT, MATCH(M111, Variablen!$A:$A, 0), MATCH((YEAR(D111)+15), Variablen!$I$3:$AT$3, 0))="",L111,INDEX(Variablen!$I:$AT, MATCH(M111, Variablen!$A:$A, 0), MATCH((YEAR(D111)+15), Variablen!$I$3:$AT$3, 0))),L111)))*(IF((YEAR(D111)+15)&lt;YEAR(E111),0,IF((YEAR(D111)+15)&gt;YEAR(E111),1,(12-MONTH(E111)+1)/12))) + (Q111)*(IF((YEAR(D111)+15)&lt;YEAR(E111),0,IF((YEAR(D111)+15)&gt;YEAR(E111),1,(12-MONTH(E111)+1)/12))))-((P111)*(IF((YEAR(D111)+15)&lt;YEAR(E111),0,IF((YEAR(D111)+15)&gt;YEAR(E111),1,(12-MONTH(E111)+1)/12))) + (R111)*(IF((YEAR(D111)+15)&lt;YEAR(E111),0,IF((YEAR(D111)+15)&gt;YEAR(E111),1,(12-MONTH(E111)+1)/12))))-(IF(OR(N111="",N111&lt;=0),0,(O111/N111)*(IF(OR(N111="",N111&lt;=0),0,IF((YEAR(D111)+15)&lt;YEAR(E111),0,IF((YEAR(D111)+15)&gt;=YEAR(E111)+N111,0,IF((YEAR(D111)+15)=YEAR(E111),(12-MONTH(E111)+1)/12,1))))))))*TaxRate,0))-IF(15=0,O111,0))</f>
        <v/>
      </c>
      <c r="AI111" s="29">
        <f>IF(A111="","",((K111)*(IF(M111="",L111,IFERROR(IF(INDEX(Variablen!$I:$AT, MATCH(M111, Variablen!$A:$A, 0), MATCH((YEAR(D111)+16), Variablen!$I$3:$AT$3, 0))="",L111,INDEX(Variablen!$I:$AT, MATCH(M111, Variablen!$A:$A, 0), MATCH((YEAR(D111)+16), Variablen!$I$3:$AT$3, 0))),L111)))*(IF((YEAR(D111)+16)&lt;YEAR(E111),0,IF((YEAR(D111)+16)&gt;YEAR(E111),1,(12-MONTH(E111)+1)/12))) + (Q111)*(IF((YEAR(D111)+16)&lt;YEAR(E111),0,IF((YEAR(D111)+16)&gt;YEAR(E111),1,(12-MONTH(E111)+1)/12))))-((P111)*(IF((YEAR(D111)+16)&lt;YEAR(E111),0,IF((YEAR(D111)+16)&gt;YEAR(E111),1,(12-MONTH(E111)+1)/12))) + (R111)*(IF((YEAR(D111)+16)&lt;YEAR(E111),0,IF((YEAR(D111)+16)&gt;YEAR(E111),1,(12-MONTH(E111)+1)/12))))-(IF((((K111)*(IF(M111="",L111,IFERROR(IF(INDEX(Variablen!$I:$AT, MATCH(M111, Variablen!$A:$A, 0), MATCH((YEAR(D111)+16), Variablen!$I$3:$AT$3, 0))="",L111,INDEX(Variablen!$I:$AT, MATCH(M111, Variablen!$A:$A, 0), MATCH((YEAR(D111)+16), Variablen!$I$3:$AT$3, 0))),L111)))*(IF((YEAR(D111)+16)&lt;YEAR(E111),0,IF((YEAR(D111)+16)&gt;YEAR(E111),1,(12-MONTH(E111)+1)/12))) + (Q111)*(IF((YEAR(D111)+16)&lt;YEAR(E111),0,IF((YEAR(D111)+16)&gt;YEAR(E111),1,(12-MONTH(E111)+1)/12))))-((P111)*(IF((YEAR(D111)+16)&lt;YEAR(E111),0,IF((YEAR(D111)+16)&gt;YEAR(E111),1,(12-MONTH(E111)+1)/12))) + (R111)*(IF((YEAR(D111)+16)&lt;YEAR(E111),0,IF((YEAR(D111)+16)&gt;YEAR(E111),1,(12-MONTH(E111)+1)/12))))-(IF(OR(N111="",N111&lt;=0),0,(O111/N111)*(IF(OR(N111="",N111&lt;=0),0,IF((YEAR(D111)+16)&lt;YEAR(E111),0,IF((YEAR(D111)+16)&gt;=YEAR(E111)+N111,0,IF((YEAR(D111)+16)=YEAR(E111),(12-MONTH(E111)+1)/12,1))))))))&gt;0,(((K111)*(IF(M111="",L111,IFERROR(IF(INDEX(Variablen!$I:$AT, MATCH(M111, Variablen!$A:$A, 0), MATCH((YEAR(D111)+16), Variablen!$I$3:$AT$3, 0))="",L111,INDEX(Variablen!$I:$AT, MATCH(M111, Variablen!$A:$A, 0), MATCH((YEAR(D111)+16), Variablen!$I$3:$AT$3, 0))),L111)))*(IF((YEAR(D111)+16)&lt;YEAR(E111),0,IF((YEAR(D111)+16)&gt;YEAR(E111),1,(12-MONTH(E111)+1)/12))) + (Q111)*(IF((YEAR(D111)+16)&lt;YEAR(E111),0,IF((YEAR(D111)+16)&gt;YEAR(E111),1,(12-MONTH(E111)+1)/12))))-((P111)*(IF((YEAR(D111)+16)&lt;YEAR(E111),0,IF((YEAR(D111)+16)&gt;YEAR(E111),1,(12-MONTH(E111)+1)/12))) + (R111)*(IF((YEAR(D111)+16)&lt;YEAR(E111),0,IF((YEAR(D111)+16)&gt;YEAR(E111),1,(12-MONTH(E111)+1)/12))))-(IF(OR(N111="",N111&lt;=0),0,(O111/N111)*(IF(OR(N111="",N111&lt;=0),0,IF((YEAR(D111)+16)&lt;YEAR(E111),0,IF((YEAR(D111)+16)&gt;=YEAR(E111)+N111,0,IF((YEAR(D111)+16)=YEAR(E111),(12-MONTH(E111)+1)/12,1))))))))*TaxRate,0))-IF(16=0,O111,0))</f>
        <v/>
      </c>
      <c r="AJ111" s="29">
        <f>IF(A111="","",((K111)*(IF(M111="",L111,IFERROR(IF(INDEX(Variablen!$I:$AT, MATCH(M111, Variablen!$A:$A, 0), MATCH((YEAR(D111)+17), Variablen!$I$3:$AT$3, 0))="",L111,INDEX(Variablen!$I:$AT, MATCH(M111, Variablen!$A:$A, 0), MATCH((YEAR(D111)+17), Variablen!$I$3:$AT$3, 0))),L111)))*(IF((YEAR(D111)+17)&lt;YEAR(E111),0,IF((YEAR(D111)+17)&gt;YEAR(E111),1,(12-MONTH(E111)+1)/12))) + (Q111)*(IF((YEAR(D111)+17)&lt;YEAR(E111),0,IF((YEAR(D111)+17)&gt;YEAR(E111),1,(12-MONTH(E111)+1)/12))))-((P111)*(IF((YEAR(D111)+17)&lt;YEAR(E111),0,IF((YEAR(D111)+17)&gt;YEAR(E111),1,(12-MONTH(E111)+1)/12))) + (R111)*(IF((YEAR(D111)+17)&lt;YEAR(E111),0,IF((YEAR(D111)+17)&gt;YEAR(E111),1,(12-MONTH(E111)+1)/12))))-(IF((((K111)*(IF(M111="",L111,IFERROR(IF(INDEX(Variablen!$I:$AT, MATCH(M111, Variablen!$A:$A, 0), MATCH((YEAR(D111)+17), Variablen!$I$3:$AT$3, 0))="",L111,INDEX(Variablen!$I:$AT, MATCH(M111, Variablen!$A:$A, 0), MATCH((YEAR(D111)+17), Variablen!$I$3:$AT$3, 0))),L111)))*(IF((YEAR(D111)+17)&lt;YEAR(E111),0,IF((YEAR(D111)+17)&gt;YEAR(E111),1,(12-MONTH(E111)+1)/12))) + (Q111)*(IF((YEAR(D111)+17)&lt;YEAR(E111),0,IF((YEAR(D111)+17)&gt;YEAR(E111),1,(12-MONTH(E111)+1)/12))))-((P111)*(IF((YEAR(D111)+17)&lt;YEAR(E111),0,IF((YEAR(D111)+17)&gt;YEAR(E111),1,(12-MONTH(E111)+1)/12))) + (R111)*(IF((YEAR(D111)+17)&lt;YEAR(E111),0,IF((YEAR(D111)+17)&gt;YEAR(E111),1,(12-MONTH(E111)+1)/12))))-(IF(OR(N111="",N111&lt;=0),0,(O111/N111)*(IF(OR(N111="",N111&lt;=0),0,IF((YEAR(D111)+17)&lt;YEAR(E111),0,IF((YEAR(D111)+17)&gt;=YEAR(E111)+N111,0,IF((YEAR(D111)+17)=YEAR(E111),(12-MONTH(E111)+1)/12,1))))))))&gt;0,(((K111)*(IF(M111="",L111,IFERROR(IF(INDEX(Variablen!$I:$AT, MATCH(M111, Variablen!$A:$A, 0), MATCH((YEAR(D111)+17), Variablen!$I$3:$AT$3, 0))="",L111,INDEX(Variablen!$I:$AT, MATCH(M111, Variablen!$A:$A, 0), MATCH((YEAR(D111)+17), Variablen!$I$3:$AT$3, 0))),L111)))*(IF((YEAR(D111)+17)&lt;YEAR(E111),0,IF((YEAR(D111)+17)&gt;YEAR(E111),1,(12-MONTH(E111)+1)/12))) + (Q111)*(IF((YEAR(D111)+17)&lt;YEAR(E111),0,IF((YEAR(D111)+17)&gt;YEAR(E111),1,(12-MONTH(E111)+1)/12))))-((P111)*(IF((YEAR(D111)+17)&lt;YEAR(E111),0,IF((YEAR(D111)+17)&gt;YEAR(E111),1,(12-MONTH(E111)+1)/12))) + (R111)*(IF((YEAR(D111)+17)&lt;YEAR(E111),0,IF((YEAR(D111)+17)&gt;YEAR(E111),1,(12-MONTH(E111)+1)/12))))-(IF(OR(N111="",N111&lt;=0),0,(O111/N111)*(IF(OR(N111="",N111&lt;=0),0,IF((YEAR(D111)+17)&lt;YEAR(E111),0,IF((YEAR(D111)+17)&gt;=YEAR(E111)+N111,0,IF((YEAR(D111)+17)=YEAR(E111),(12-MONTH(E111)+1)/12,1))))))))*TaxRate,0))-IF(17=0,O111,0))</f>
        <v/>
      </c>
      <c r="AK111" s="29">
        <f>IF(A111="","",((K111)*(IF(M111="",L111,IFERROR(IF(INDEX(Variablen!$I:$AT, MATCH(M111, Variablen!$A:$A, 0), MATCH((YEAR(D111)+18), Variablen!$I$3:$AT$3, 0))="",L111,INDEX(Variablen!$I:$AT, MATCH(M111, Variablen!$A:$A, 0), MATCH((YEAR(D111)+18), Variablen!$I$3:$AT$3, 0))),L111)))*(IF((YEAR(D111)+18)&lt;YEAR(E111),0,IF((YEAR(D111)+18)&gt;YEAR(E111),1,(12-MONTH(E111)+1)/12))) + (Q111)*(IF((YEAR(D111)+18)&lt;YEAR(E111),0,IF((YEAR(D111)+18)&gt;YEAR(E111),1,(12-MONTH(E111)+1)/12))))-((P111)*(IF((YEAR(D111)+18)&lt;YEAR(E111),0,IF((YEAR(D111)+18)&gt;YEAR(E111),1,(12-MONTH(E111)+1)/12))) + (R111)*(IF((YEAR(D111)+18)&lt;YEAR(E111),0,IF((YEAR(D111)+18)&gt;YEAR(E111),1,(12-MONTH(E111)+1)/12))))-(IF((((K111)*(IF(M111="",L111,IFERROR(IF(INDEX(Variablen!$I:$AT, MATCH(M111, Variablen!$A:$A, 0), MATCH((YEAR(D111)+18), Variablen!$I$3:$AT$3, 0))="",L111,INDEX(Variablen!$I:$AT, MATCH(M111, Variablen!$A:$A, 0), MATCH((YEAR(D111)+18), Variablen!$I$3:$AT$3, 0))),L111)))*(IF((YEAR(D111)+18)&lt;YEAR(E111),0,IF((YEAR(D111)+18)&gt;YEAR(E111),1,(12-MONTH(E111)+1)/12))) + (Q111)*(IF((YEAR(D111)+18)&lt;YEAR(E111),0,IF((YEAR(D111)+18)&gt;YEAR(E111),1,(12-MONTH(E111)+1)/12))))-((P111)*(IF((YEAR(D111)+18)&lt;YEAR(E111),0,IF((YEAR(D111)+18)&gt;YEAR(E111),1,(12-MONTH(E111)+1)/12))) + (R111)*(IF((YEAR(D111)+18)&lt;YEAR(E111),0,IF((YEAR(D111)+18)&gt;YEAR(E111),1,(12-MONTH(E111)+1)/12))))-(IF(OR(N111="",N111&lt;=0),0,(O111/N111)*(IF(OR(N111="",N111&lt;=0),0,IF((YEAR(D111)+18)&lt;YEAR(E111),0,IF((YEAR(D111)+18)&gt;=YEAR(E111)+N111,0,IF((YEAR(D111)+18)=YEAR(E111),(12-MONTH(E111)+1)/12,1))))))))&gt;0,(((K111)*(IF(M111="",L111,IFERROR(IF(INDEX(Variablen!$I:$AT, MATCH(M111, Variablen!$A:$A, 0), MATCH((YEAR(D111)+18), Variablen!$I$3:$AT$3, 0))="",L111,INDEX(Variablen!$I:$AT, MATCH(M111, Variablen!$A:$A, 0), MATCH((YEAR(D111)+18), Variablen!$I$3:$AT$3, 0))),L111)))*(IF((YEAR(D111)+18)&lt;YEAR(E111),0,IF((YEAR(D111)+18)&gt;YEAR(E111),1,(12-MONTH(E111)+1)/12))) + (Q111)*(IF((YEAR(D111)+18)&lt;YEAR(E111),0,IF((YEAR(D111)+18)&gt;YEAR(E111),1,(12-MONTH(E111)+1)/12))))-((P111)*(IF((YEAR(D111)+18)&lt;YEAR(E111),0,IF((YEAR(D111)+18)&gt;YEAR(E111),1,(12-MONTH(E111)+1)/12))) + (R111)*(IF((YEAR(D111)+18)&lt;YEAR(E111),0,IF((YEAR(D111)+18)&gt;YEAR(E111),1,(12-MONTH(E111)+1)/12))))-(IF(OR(N111="",N111&lt;=0),0,(O111/N111)*(IF(OR(N111="",N111&lt;=0),0,IF((YEAR(D111)+18)&lt;YEAR(E111),0,IF((YEAR(D111)+18)&gt;=YEAR(E111)+N111,0,IF((YEAR(D111)+18)=YEAR(E111),(12-MONTH(E111)+1)/12,1))))))))*TaxRate,0))-IF(18=0,O111,0))</f>
        <v/>
      </c>
      <c r="AL111" s="29">
        <f>IF(A111="","",((K111)*(IF(M111="",L111,IFERROR(IF(INDEX(Variablen!$I:$AT, MATCH(M111, Variablen!$A:$A, 0), MATCH((YEAR(D111)+19), Variablen!$I$3:$AT$3, 0))="",L111,INDEX(Variablen!$I:$AT, MATCH(M111, Variablen!$A:$A, 0), MATCH((YEAR(D111)+19), Variablen!$I$3:$AT$3, 0))),L111)))*(IF((YEAR(D111)+19)&lt;YEAR(E111),0,IF((YEAR(D111)+19)&gt;YEAR(E111),1,(12-MONTH(E111)+1)/12))) + (Q111)*(IF((YEAR(D111)+19)&lt;YEAR(E111),0,IF((YEAR(D111)+19)&gt;YEAR(E111),1,(12-MONTH(E111)+1)/12))))-((P111)*(IF((YEAR(D111)+19)&lt;YEAR(E111),0,IF((YEAR(D111)+19)&gt;YEAR(E111),1,(12-MONTH(E111)+1)/12))) + (R111)*(IF((YEAR(D111)+19)&lt;YEAR(E111),0,IF((YEAR(D111)+19)&gt;YEAR(E111),1,(12-MONTH(E111)+1)/12))))-(IF((((K111)*(IF(M111="",L111,IFERROR(IF(INDEX(Variablen!$I:$AT, MATCH(M111, Variablen!$A:$A, 0), MATCH((YEAR(D111)+19), Variablen!$I$3:$AT$3, 0))="",L111,INDEX(Variablen!$I:$AT, MATCH(M111, Variablen!$A:$A, 0), MATCH((YEAR(D111)+19), Variablen!$I$3:$AT$3, 0))),L111)))*(IF((YEAR(D111)+19)&lt;YEAR(E111),0,IF((YEAR(D111)+19)&gt;YEAR(E111),1,(12-MONTH(E111)+1)/12))) + (Q111)*(IF((YEAR(D111)+19)&lt;YEAR(E111),0,IF((YEAR(D111)+19)&gt;YEAR(E111),1,(12-MONTH(E111)+1)/12))))-((P111)*(IF((YEAR(D111)+19)&lt;YEAR(E111),0,IF((YEAR(D111)+19)&gt;YEAR(E111),1,(12-MONTH(E111)+1)/12))) + (R111)*(IF((YEAR(D111)+19)&lt;YEAR(E111),0,IF((YEAR(D111)+19)&gt;YEAR(E111),1,(12-MONTH(E111)+1)/12))))-(IF(OR(N111="",N111&lt;=0),0,(O111/N111)*(IF(OR(N111="",N111&lt;=0),0,IF((YEAR(D111)+19)&lt;YEAR(E111),0,IF((YEAR(D111)+19)&gt;=YEAR(E111)+N111,0,IF((YEAR(D111)+19)=YEAR(E111),(12-MONTH(E111)+1)/12,1))))))))&gt;0,(((K111)*(IF(M111="",L111,IFERROR(IF(INDEX(Variablen!$I:$AT, MATCH(M111, Variablen!$A:$A, 0), MATCH((YEAR(D111)+19), Variablen!$I$3:$AT$3, 0))="",L111,INDEX(Variablen!$I:$AT, MATCH(M111, Variablen!$A:$A, 0), MATCH((YEAR(D111)+19), Variablen!$I$3:$AT$3, 0))),L111)))*(IF((YEAR(D111)+19)&lt;YEAR(E111),0,IF((YEAR(D111)+19)&gt;YEAR(E111),1,(12-MONTH(E111)+1)/12))) + (Q111)*(IF((YEAR(D111)+19)&lt;YEAR(E111),0,IF((YEAR(D111)+19)&gt;YEAR(E111),1,(12-MONTH(E111)+1)/12))))-((P111)*(IF((YEAR(D111)+19)&lt;YEAR(E111),0,IF((YEAR(D111)+19)&gt;YEAR(E111),1,(12-MONTH(E111)+1)/12))) + (R111)*(IF((YEAR(D111)+19)&lt;YEAR(E111),0,IF((YEAR(D111)+19)&gt;YEAR(E111),1,(12-MONTH(E111)+1)/12))))-(IF(OR(N111="",N111&lt;=0),0,(O111/N111)*(IF(OR(N111="",N111&lt;=0),0,IF((YEAR(D111)+19)&lt;YEAR(E111),0,IF((YEAR(D111)+19)&gt;=YEAR(E111)+N111,0,IF((YEAR(D111)+19)=YEAR(E111),(12-MONTH(E111)+1)/12,1))))))))*TaxRate,0))-IF(19=0,O111,0))</f>
        <v/>
      </c>
      <c r="AM111" s="29">
        <f>IF(A111="","",((K111)*(IF(M111="",L111,IFERROR(IF(INDEX(Variablen!$I:$AT, MATCH(M111, Variablen!$A:$A, 0), MATCH((YEAR(D111)+20), Variablen!$I$3:$AT$3, 0))="",L111,INDEX(Variablen!$I:$AT, MATCH(M111, Variablen!$A:$A, 0), MATCH((YEAR(D111)+20), Variablen!$I$3:$AT$3, 0))),L111)))*(IF((YEAR(D111)+20)&lt;YEAR(E111),0,IF((YEAR(D111)+20)&gt;YEAR(E111),1,(12-MONTH(E111)+1)/12))) + (Q111)*(IF((YEAR(D111)+20)&lt;YEAR(E111),0,IF((YEAR(D111)+20)&gt;YEAR(E111),1,(12-MONTH(E111)+1)/12))))-((P111)*(IF((YEAR(D111)+20)&lt;YEAR(E111),0,IF((YEAR(D111)+20)&gt;YEAR(E111),1,(12-MONTH(E111)+1)/12))) + (R111)*(IF((YEAR(D111)+20)&lt;YEAR(E111),0,IF((YEAR(D111)+20)&gt;YEAR(E111),1,(12-MONTH(E111)+1)/12))))-(IF((((K111)*(IF(M111="",L111,IFERROR(IF(INDEX(Variablen!$I:$AT, MATCH(M111, Variablen!$A:$A, 0), MATCH((YEAR(D111)+20), Variablen!$I$3:$AT$3, 0))="",L111,INDEX(Variablen!$I:$AT, MATCH(M111, Variablen!$A:$A, 0), MATCH((YEAR(D111)+20), Variablen!$I$3:$AT$3, 0))),L111)))*(IF((YEAR(D111)+20)&lt;YEAR(E111),0,IF((YEAR(D111)+20)&gt;YEAR(E111),1,(12-MONTH(E111)+1)/12))) + (Q111)*(IF((YEAR(D111)+20)&lt;YEAR(E111),0,IF((YEAR(D111)+20)&gt;YEAR(E111),1,(12-MONTH(E111)+1)/12))))-((P111)*(IF((YEAR(D111)+20)&lt;YEAR(E111),0,IF((YEAR(D111)+20)&gt;YEAR(E111),1,(12-MONTH(E111)+1)/12))) + (R111)*(IF((YEAR(D111)+20)&lt;YEAR(E111),0,IF((YEAR(D111)+20)&gt;YEAR(E111),1,(12-MONTH(E111)+1)/12))))-(IF(OR(N111="",N111&lt;=0),0,(O111/N111)*(IF(OR(N111="",N111&lt;=0),0,IF((YEAR(D111)+20)&lt;YEAR(E111),0,IF((YEAR(D111)+20)&gt;=YEAR(E111)+N111,0,IF((YEAR(D111)+20)=YEAR(E111),(12-MONTH(E111)+1)/12,1))))))))&gt;0,(((K111)*(IF(M111="",L111,IFERROR(IF(INDEX(Variablen!$I:$AT, MATCH(M111, Variablen!$A:$A, 0), MATCH((YEAR(D111)+20), Variablen!$I$3:$AT$3, 0))="",L111,INDEX(Variablen!$I:$AT, MATCH(M111, Variablen!$A:$A, 0), MATCH((YEAR(D111)+20), Variablen!$I$3:$AT$3, 0))),L111)))*(IF((YEAR(D111)+20)&lt;YEAR(E111),0,IF((YEAR(D111)+20)&gt;YEAR(E111),1,(12-MONTH(E111)+1)/12))) + (Q111)*(IF((YEAR(D111)+20)&lt;YEAR(E111),0,IF((YEAR(D111)+20)&gt;YEAR(E111),1,(12-MONTH(E111)+1)/12))))-((P111)*(IF((YEAR(D111)+20)&lt;YEAR(E111),0,IF((YEAR(D111)+20)&gt;YEAR(E111),1,(12-MONTH(E111)+1)/12))) + (R111)*(IF((YEAR(D111)+20)&lt;YEAR(E111),0,IF((YEAR(D111)+20)&gt;YEAR(E111),1,(12-MONTH(E111)+1)/12))))-(IF(OR(N111="",N111&lt;=0),0,(O111/N111)*(IF(OR(N111="",N111&lt;=0),0,IF((YEAR(D111)+20)&lt;YEAR(E111),0,IF((YEAR(D111)+20)&gt;=YEAR(E111)+N111,0,IF((YEAR(D111)+20)=YEAR(E111),(12-MONTH(E111)+1)/12,1))))))))*TaxRate,0))-IF(20=0,O111,0))</f>
        <v/>
      </c>
      <c r="AN111" s="29">
        <f>IF(A111="","",S111)</f>
        <v/>
      </c>
      <c r="AO111" s="29">
        <f>IF(A111="","",AN111+T111)</f>
        <v/>
      </c>
      <c r="AP111" s="29">
        <f>IF(A111="","",AO111+U111)</f>
        <v/>
      </c>
      <c r="AQ111" s="29">
        <f>IF(A111="","",AP111+V111)</f>
        <v/>
      </c>
      <c r="AR111" s="29">
        <f>IF(A111="","",AQ111+W111)</f>
        <v/>
      </c>
      <c r="AS111" s="29">
        <f>IF(A111="","",AR111+X111)</f>
        <v/>
      </c>
      <c r="AT111" s="29">
        <f>IF(A111="","",AS111+Y111)</f>
        <v/>
      </c>
      <c r="AU111" s="29">
        <f>IF(A111="","",AT111+Z111)</f>
        <v/>
      </c>
      <c r="AV111" s="29">
        <f>IF(A111="","",AU111+AA111)</f>
        <v/>
      </c>
      <c r="AW111" s="29">
        <f>IF(A111="","",AV111+AB111)</f>
        <v/>
      </c>
      <c r="AX111" s="29">
        <f>IF(A111="","",AW111+AC111)</f>
        <v/>
      </c>
      <c r="AY111" s="29">
        <f>IF(A111="","",AX111+AD111)</f>
        <v/>
      </c>
      <c r="AZ111" s="29">
        <f>IF(A111="","",AY111+AE111)</f>
        <v/>
      </c>
      <c r="BA111" s="29">
        <f>IF(A111="","",AZ111+AF111)</f>
        <v/>
      </c>
      <c r="BB111" s="29">
        <f>IF(A111="","",BA111+AG111)</f>
        <v/>
      </c>
      <c r="BC111" s="29">
        <f>IF(A111="","",BB111+AH111)</f>
        <v/>
      </c>
      <c r="BD111" s="29">
        <f>IF(A111="","",BC111+AI111)</f>
        <v/>
      </c>
      <c r="BE111" s="29">
        <f>IF(A111="","",BD111+AJ111)</f>
        <v/>
      </c>
      <c r="BF111" s="29">
        <f>IF(A111="","",BE111+AK111)</f>
        <v/>
      </c>
      <c r="BG111" s="29">
        <f>IF(A111="","",BF111+AL111)</f>
        <v/>
      </c>
      <c r="BH111" s="29">
        <f>IF(A111="","",BG111+AM111)</f>
        <v/>
      </c>
      <c r="BI111" s="36">
        <f>IF(A111="","",(K111)*(IF((YEAR(D111)+0)&lt;YEAR(E111),0,IF((YEAR(D111)+0)&gt;YEAR(E111),1,(12-MONTH(E111)+1)/12)))*(1/(1+DiscountRate)^0))</f>
        <v/>
      </c>
      <c r="BJ111" s="36">
        <f>IF(A111="","",(K111)*(IF((YEAR(D111)+1)&lt;YEAR(E111),0,IF((YEAR(D111)+1)&gt;YEAR(E111),1,(12-MONTH(E111)+1)/12)))*(1/(1+DiscountRate)^1))</f>
        <v/>
      </c>
      <c r="BK111" s="36">
        <f>IF(A111="","",(K111)*(IF((YEAR(D111)+2)&lt;YEAR(E111),0,IF((YEAR(D111)+2)&gt;YEAR(E111),1,(12-MONTH(E111)+1)/12)))*(1/(1+DiscountRate)^2))</f>
        <v/>
      </c>
      <c r="BL111" s="36">
        <f>IF(A111="","",(K111)*(IF((YEAR(D111)+3)&lt;YEAR(E111),0,IF((YEAR(D111)+3)&gt;YEAR(E111),1,(12-MONTH(E111)+1)/12)))*(1/(1+DiscountRate)^3))</f>
        <v/>
      </c>
      <c r="BM111" s="36">
        <f>IF(A111="","",(K111)*(IF((YEAR(D111)+4)&lt;YEAR(E111),0,IF((YEAR(D111)+4)&gt;YEAR(E111),1,(12-MONTH(E111)+1)/12)))*(1/(1+DiscountRate)^4))</f>
        <v/>
      </c>
      <c r="BN111" s="36">
        <f>IF(A111="","",(K111)*(IF((YEAR(D111)+5)&lt;YEAR(E111),0,IF((YEAR(D111)+5)&gt;YEAR(E111),1,(12-MONTH(E111)+1)/12)))*(1/(1+DiscountRate)^5))</f>
        <v/>
      </c>
      <c r="BO111" s="36">
        <f>IF(A111="","",(K111)*(IF((YEAR(D111)+6)&lt;YEAR(E111),0,IF((YEAR(D111)+6)&gt;YEAR(E111),1,(12-MONTH(E111)+1)/12)))*(1/(1+DiscountRate)^6))</f>
        <v/>
      </c>
      <c r="BP111" s="36">
        <f>IF(A111="","",(K111)*(IF((YEAR(D111)+7)&lt;YEAR(E111),0,IF((YEAR(D111)+7)&gt;YEAR(E111),1,(12-MONTH(E111)+1)/12)))*(1/(1+DiscountRate)^7))</f>
        <v/>
      </c>
      <c r="BQ111" s="36">
        <f>IF(A111="","",(K111)*(IF((YEAR(D111)+8)&lt;YEAR(E111),0,IF((YEAR(D111)+8)&gt;YEAR(E111),1,(12-MONTH(E111)+1)/12)))*(1/(1+DiscountRate)^8))</f>
        <v/>
      </c>
      <c r="BR111" s="36">
        <f>IF(A111="","",(K111)*(IF((YEAR(D111)+9)&lt;YEAR(E111),0,IF((YEAR(D111)+9)&gt;YEAR(E111),1,(12-MONTH(E111)+1)/12)))*(1/(1+DiscountRate)^9))</f>
        <v/>
      </c>
      <c r="BS111" s="36">
        <f>IF(A111="","",(K111)*(IF((YEAR(D111)+10)&lt;YEAR(E111),0,IF((YEAR(D111)+10)&gt;YEAR(E111),1,(12-MONTH(E111)+1)/12)))*(1/(1+DiscountRate)^10))</f>
        <v/>
      </c>
      <c r="BT111" s="36">
        <f>IF(A111="","",(K111)*(IF((YEAR(D111)+11)&lt;YEAR(E111),0,IF((YEAR(D111)+11)&gt;YEAR(E111),1,(12-MONTH(E111)+1)/12)))*(1/(1+DiscountRate)^11))</f>
        <v/>
      </c>
      <c r="BU111" s="36">
        <f>IF(A111="","",(K111)*(IF((YEAR(D111)+12)&lt;YEAR(E111),0,IF((YEAR(D111)+12)&gt;YEAR(E111),1,(12-MONTH(E111)+1)/12)))*(1/(1+DiscountRate)^12))</f>
        <v/>
      </c>
      <c r="BV111" s="36">
        <f>IF(A111="","",(K111)*(IF((YEAR(D111)+13)&lt;YEAR(E111),0,IF((YEAR(D111)+13)&gt;YEAR(E111),1,(12-MONTH(E111)+1)/12)))*(1/(1+DiscountRate)^13))</f>
        <v/>
      </c>
      <c r="BW111" s="36">
        <f>IF(A111="","",(K111)*(IF((YEAR(D111)+14)&lt;YEAR(E111),0,IF((YEAR(D111)+14)&gt;YEAR(E111),1,(12-MONTH(E111)+1)/12)))*(1/(1+DiscountRate)^14))</f>
        <v/>
      </c>
      <c r="BX111" s="36">
        <f>IF(A111="","",(K111)*(IF((YEAR(D111)+15)&lt;YEAR(E111),0,IF((YEAR(D111)+15)&gt;YEAR(E111),1,(12-MONTH(E111)+1)/12)))*(1/(1+DiscountRate)^15))</f>
        <v/>
      </c>
      <c r="BY111" s="36">
        <f>IF(A111="","",(K111)*(IF((YEAR(D111)+16)&lt;YEAR(E111),0,IF((YEAR(D111)+16)&gt;YEAR(E111),1,(12-MONTH(E111)+1)/12)))*(1/(1+DiscountRate)^16))</f>
        <v/>
      </c>
      <c r="BZ111" s="36">
        <f>IF(A111="","",(K111)*(IF((YEAR(D111)+17)&lt;YEAR(E111),0,IF((YEAR(D111)+17)&gt;YEAR(E111),1,(12-MONTH(E111)+1)/12)))*(1/(1+DiscountRate)^17))</f>
        <v/>
      </c>
      <c r="CA111" s="36">
        <f>IF(A111="","",(K111)*(IF((YEAR(D111)+18)&lt;YEAR(E111),0,IF((YEAR(D111)+18)&gt;YEAR(E111),1,(12-MONTH(E111)+1)/12)))*(1/(1+DiscountRate)^18))</f>
        <v/>
      </c>
      <c r="CB111" s="36">
        <f>IF(A111="","",(K111)*(IF((YEAR(D111)+19)&lt;YEAR(E111),0,IF((YEAR(D111)+19)&gt;YEAR(E111),1,(12-MONTH(E111)+1)/12)))*(1/(1+DiscountRate)^19))</f>
        <v/>
      </c>
      <c r="CC111" s="36">
        <f>IF(A111="","",(K111)*(IF((YEAR(D111)+20)&lt;YEAR(E111),0,IF((YEAR(D111)+20)&gt;YEAR(E111),1,(12-MONTH(E111)+1)/12)))*(1/(1+DiscountRate)^20))</f>
        <v/>
      </c>
      <c r="CD111" s="29">
        <f>IF(A111="","",S111/(1+DiscountRate)^0+T111/(1+DiscountRate)^1+U111/(1+DiscountRate)^2+V111/(1+DiscountRate)^3+W111/(1+DiscountRate)^4+X111/(1+DiscountRate)^5+Y111/(1+DiscountRate)^6+Z111/(1+DiscountRate)^7+AA111/(1+DiscountRate)^8+AB111/(1+DiscountRate)^9+AC111/(1+DiscountRate)^10+AD111/(1+DiscountRate)^11+AE111/(1+DiscountRate)^12+AF111/(1+DiscountRate)^13+AG111/(1+DiscountRate)^14+AH111/(1+DiscountRate)^15+AI111/(1+DiscountRate)^16+AJ111/(1+DiscountRate)^17+AK111/(1+DiscountRate)^18+AL111/(1+DiscountRate)^19+AM111/(1+DiscountRate)^20)</f>
        <v/>
      </c>
      <c r="CE111" s="37">
        <f>IF(A111="","",IFERROR(IRR(OFFSET(S111,0,0,1,MIN(HorizonYears,20)+1)),"n/a"))</f>
        <v/>
      </c>
      <c r="CF111" s="28">
        <f>IF(A111="","",IFERROR(MATCH(TRUE,OFFSET(AN111,0,0,1,MIN(HorizonYears,20)+1)&gt;=0,0)-1,"n/a"))</f>
        <v/>
      </c>
      <c r="CG111" s="36">
        <f>IF(A111="","",SUM(OFFSET(BI111,0,0,1,MIN(HorizonYears,20)+1)))</f>
        <v/>
      </c>
      <c r="CH111" s="36">
        <f>IF(A111="","",IFERROR(-CD111/CG111,"n/a"))</f>
        <v/>
      </c>
    </row>
    <row r="112">
      <c r="A112" s="6">
        <f>Actions!A110</f>
        <v/>
      </c>
      <c r="B112" s="6">
        <f>Actions!B110</f>
        <v/>
      </c>
      <c r="C112" s="6">
        <f>Actions!D110</f>
        <v/>
      </c>
      <c r="D112" s="35">
        <f>Actions!E110</f>
        <v/>
      </c>
      <c r="E112" s="35">
        <f>Actions!F110</f>
        <v/>
      </c>
      <c r="F112" s="6">
        <f>Actions!G110</f>
        <v/>
      </c>
      <c r="G112" s="6">
        <f>Actions!H110</f>
        <v/>
      </c>
      <c r="H112" s="29">
        <f>Actions!I110</f>
        <v/>
      </c>
      <c r="I112" s="6">
        <f>Actions!J110</f>
        <v/>
      </c>
      <c r="J112" s="16">
        <f>Actions!K110</f>
        <v/>
      </c>
      <c r="K112" s="16">
        <f>IF(A112="","",IF(I112="%",H112*J112,J112))</f>
        <v/>
      </c>
      <c r="L112" s="16">
        <f>Actions!L110</f>
        <v/>
      </c>
      <c r="M112" s="6">
        <f>Actions!M110</f>
        <v/>
      </c>
      <c r="N112" s="28">
        <f>Actions!N110</f>
        <v/>
      </c>
      <c r="O112" s="29">
        <f>Actions!T110</f>
        <v/>
      </c>
      <c r="P112" s="29">
        <f>Actions!Y110</f>
        <v/>
      </c>
      <c r="Q112" s="29">
        <f>Actions!Z110</f>
        <v/>
      </c>
      <c r="R112" s="29">
        <f>Actions!AA110</f>
        <v/>
      </c>
      <c r="S112" s="29">
        <f>IF(A112="","",((K112)*(IF(M112="",L112,IFERROR(IF(INDEX(Variablen!$I:$AT, MATCH(M112, Variablen!$A:$A, 0), MATCH((YEAR(D112)+0), Variablen!$I$3:$AT$3, 0))="",L112,INDEX(Variablen!$I:$AT, MATCH(M112, Variablen!$A:$A, 0), MATCH((YEAR(D112)+0), Variablen!$I$3:$AT$3, 0))),L112)))*(IF((YEAR(D112)+0)&lt;YEAR(E112),0,IF((YEAR(D112)+0)&gt;YEAR(E112),1,(12-MONTH(E112)+1)/12))) + (Q112)*(IF((YEAR(D112)+0)&lt;YEAR(E112),0,IF((YEAR(D112)+0)&gt;YEAR(E112),1,(12-MONTH(E112)+1)/12))))-((P112)*(IF((YEAR(D112)+0)&lt;YEAR(E112),0,IF((YEAR(D112)+0)&gt;YEAR(E112),1,(12-MONTH(E112)+1)/12))) + (R112)*(IF((YEAR(D112)+0)&lt;YEAR(E112),0,IF((YEAR(D112)+0)&gt;YEAR(E112),1,(12-MONTH(E112)+1)/12))))-(IF((((K112)*(IF(M112="",L112,IFERROR(IF(INDEX(Variablen!$I:$AT, MATCH(M112, Variablen!$A:$A, 0), MATCH((YEAR(D112)+0), Variablen!$I$3:$AT$3, 0))="",L112,INDEX(Variablen!$I:$AT, MATCH(M112, Variablen!$A:$A, 0), MATCH((YEAR(D112)+0), Variablen!$I$3:$AT$3, 0))),L112)))*(IF((YEAR(D112)+0)&lt;YEAR(E112),0,IF((YEAR(D112)+0)&gt;YEAR(E112),1,(12-MONTH(E112)+1)/12))) + (Q112)*(IF((YEAR(D112)+0)&lt;YEAR(E112),0,IF((YEAR(D112)+0)&gt;YEAR(E112),1,(12-MONTH(E112)+1)/12))))-((P112)*(IF((YEAR(D112)+0)&lt;YEAR(E112),0,IF((YEAR(D112)+0)&gt;YEAR(E112),1,(12-MONTH(E112)+1)/12))) + (R112)*(IF((YEAR(D112)+0)&lt;YEAR(E112),0,IF((YEAR(D112)+0)&gt;YEAR(E112),1,(12-MONTH(E112)+1)/12))))-(IF(OR(N112="",N112&lt;=0),0,(O112/N112)*(IF(OR(N112="",N112&lt;=0),0,IF((YEAR(D112)+0)&lt;YEAR(E112),0,IF((YEAR(D112)+0)&gt;=YEAR(E112)+N112,0,IF((YEAR(D112)+0)=YEAR(E112),(12-MONTH(E112)+1)/12,1))))))))&gt;0,(((K112)*(IF(M112="",L112,IFERROR(IF(INDEX(Variablen!$I:$AT, MATCH(M112, Variablen!$A:$A, 0), MATCH((YEAR(D112)+0), Variablen!$I$3:$AT$3, 0))="",L112,INDEX(Variablen!$I:$AT, MATCH(M112, Variablen!$A:$A, 0), MATCH((YEAR(D112)+0), Variablen!$I$3:$AT$3, 0))),L112)))*(IF((YEAR(D112)+0)&lt;YEAR(E112),0,IF((YEAR(D112)+0)&gt;YEAR(E112),1,(12-MONTH(E112)+1)/12))) + (Q112)*(IF((YEAR(D112)+0)&lt;YEAR(E112),0,IF((YEAR(D112)+0)&gt;YEAR(E112),1,(12-MONTH(E112)+1)/12))))-((P112)*(IF((YEAR(D112)+0)&lt;YEAR(E112),0,IF((YEAR(D112)+0)&gt;YEAR(E112),1,(12-MONTH(E112)+1)/12))) + (R112)*(IF((YEAR(D112)+0)&lt;YEAR(E112),0,IF((YEAR(D112)+0)&gt;YEAR(E112),1,(12-MONTH(E112)+1)/12))))-(IF(OR(N112="",N112&lt;=0),0,(O112/N112)*(IF(OR(N112="",N112&lt;=0),0,IF((YEAR(D112)+0)&lt;YEAR(E112),0,IF((YEAR(D112)+0)&gt;=YEAR(E112)+N112,0,IF((YEAR(D112)+0)=YEAR(E112),(12-MONTH(E112)+1)/12,1))))))))*TaxRate,0))-IF(0=0,O112,0))</f>
        <v/>
      </c>
      <c r="T112" s="29">
        <f>IF(A112="","",((K112)*(IF(M112="",L112,IFERROR(IF(INDEX(Variablen!$I:$AT, MATCH(M112, Variablen!$A:$A, 0), MATCH((YEAR(D112)+1), Variablen!$I$3:$AT$3, 0))="",L112,INDEX(Variablen!$I:$AT, MATCH(M112, Variablen!$A:$A, 0), MATCH((YEAR(D112)+1), Variablen!$I$3:$AT$3, 0))),L112)))*(IF((YEAR(D112)+1)&lt;YEAR(E112),0,IF((YEAR(D112)+1)&gt;YEAR(E112),1,(12-MONTH(E112)+1)/12))) + (Q112)*(IF((YEAR(D112)+1)&lt;YEAR(E112),0,IF((YEAR(D112)+1)&gt;YEAR(E112),1,(12-MONTH(E112)+1)/12))))-((P112)*(IF((YEAR(D112)+1)&lt;YEAR(E112),0,IF((YEAR(D112)+1)&gt;YEAR(E112),1,(12-MONTH(E112)+1)/12))) + (R112)*(IF((YEAR(D112)+1)&lt;YEAR(E112),0,IF((YEAR(D112)+1)&gt;YEAR(E112),1,(12-MONTH(E112)+1)/12))))-(IF((((K112)*(IF(M112="",L112,IFERROR(IF(INDEX(Variablen!$I:$AT, MATCH(M112, Variablen!$A:$A, 0), MATCH((YEAR(D112)+1), Variablen!$I$3:$AT$3, 0))="",L112,INDEX(Variablen!$I:$AT, MATCH(M112, Variablen!$A:$A, 0), MATCH((YEAR(D112)+1), Variablen!$I$3:$AT$3, 0))),L112)))*(IF((YEAR(D112)+1)&lt;YEAR(E112),0,IF((YEAR(D112)+1)&gt;YEAR(E112),1,(12-MONTH(E112)+1)/12))) + (Q112)*(IF((YEAR(D112)+1)&lt;YEAR(E112),0,IF((YEAR(D112)+1)&gt;YEAR(E112),1,(12-MONTH(E112)+1)/12))))-((P112)*(IF((YEAR(D112)+1)&lt;YEAR(E112),0,IF((YEAR(D112)+1)&gt;YEAR(E112),1,(12-MONTH(E112)+1)/12))) + (R112)*(IF((YEAR(D112)+1)&lt;YEAR(E112),0,IF((YEAR(D112)+1)&gt;YEAR(E112),1,(12-MONTH(E112)+1)/12))))-(IF(OR(N112="",N112&lt;=0),0,(O112/N112)*(IF(OR(N112="",N112&lt;=0),0,IF((YEAR(D112)+1)&lt;YEAR(E112),0,IF((YEAR(D112)+1)&gt;=YEAR(E112)+N112,0,IF((YEAR(D112)+1)=YEAR(E112),(12-MONTH(E112)+1)/12,1))))))))&gt;0,(((K112)*(IF(M112="",L112,IFERROR(IF(INDEX(Variablen!$I:$AT, MATCH(M112, Variablen!$A:$A, 0), MATCH((YEAR(D112)+1), Variablen!$I$3:$AT$3, 0))="",L112,INDEX(Variablen!$I:$AT, MATCH(M112, Variablen!$A:$A, 0), MATCH((YEAR(D112)+1), Variablen!$I$3:$AT$3, 0))),L112)))*(IF((YEAR(D112)+1)&lt;YEAR(E112),0,IF((YEAR(D112)+1)&gt;YEAR(E112),1,(12-MONTH(E112)+1)/12))) + (Q112)*(IF((YEAR(D112)+1)&lt;YEAR(E112),0,IF((YEAR(D112)+1)&gt;YEAR(E112),1,(12-MONTH(E112)+1)/12))))-((P112)*(IF((YEAR(D112)+1)&lt;YEAR(E112),0,IF((YEAR(D112)+1)&gt;YEAR(E112),1,(12-MONTH(E112)+1)/12))) + (R112)*(IF((YEAR(D112)+1)&lt;YEAR(E112),0,IF((YEAR(D112)+1)&gt;YEAR(E112),1,(12-MONTH(E112)+1)/12))))-(IF(OR(N112="",N112&lt;=0),0,(O112/N112)*(IF(OR(N112="",N112&lt;=0),0,IF((YEAR(D112)+1)&lt;YEAR(E112),0,IF((YEAR(D112)+1)&gt;=YEAR(E112)+N112,0,IF((YEAR(D112)+1)=YEAR(E112),(12-MONTH(E112)+1)/12,1))))))))*TaxRate,0))-IF(1=0,O112,0))</f>
        <v/>
      </c>
      <c r="U112" s="29">
        <f>IF(A112="","",((K112)*(IF(M112="",L112,IFERROR(IF(INDEX(Variablen!$I:$AT, MATCH(M112, Variablen!$A:$A, 0), MATCH((YEAR(D112)+2), Variablen!$I$3:$AT$3, 0))="",L112,INDEX(Variablen!$I:$AT, MATCH(M112, Variablen!$A:$A, 0), MATCH((YEAR(D112)+2), Variablen!$I$3:$AT$3, 0))),L112)))*(IF((YEAR(D112)+2)&lt;YEAR(E112),0,IF((YEAR(D112)+2)&gt;YEAR(E112),1,(12-MONTH(E112)+1)/12))) + (Q112)*(IF((YEAR(D112)+2)&lt;YEAR(E112),0,IF((YEAR(D112)+2)&gt;YEAR(E112),1,(12-MONTH(E112)+1)/12))))-((P112)*(IF((YEAR(D112)+2)&lt;YEAR(E112),0,IF((YEAR(D112)+2)&gt;YEAR(E112),1,(12-MONTH(E112)+1)/12))) + (R112)*(IF((YEAR(D112)+2)&lt;YEAR(E112),0,IF((YEAR(D112)+2)&gt;YEAR(E112),1,(12-MONTH(E112)+1)/12))))-(IF((((K112)*(IF(M112="",L112,IFERROR(IF(INDEX(Variablen!$I:$AT, MATCH(M112, Variablen!$A:$A, 0), MATCH((YEAR(D112)+2), Variablen!$I$3:$AT$3, 0))="",L112,INDEX(Variablen!$I:$AT, MATCH(M112, Variablen!$A:$A, 0), MATCH((YEAR(D112)+2), Variablen!$I$3:$AT$3, 0))),L112)))*(IF((YEAR(D112)+2)&lt;YEAR(E112),0,IF((YEAR(D112)+2)&gt;YEAR(E112),1,(12-MONTH(E112)+1)/12))) + (Q112)*(IF((YEAR(D112)+2)&lt;YEAR(E112),0,IF((YEAR(D112)+2)&gt;YEAR(E112),1,(12-MONTH(E112)+1)/12))))-((P112)*(IF((YEAR(D112)+2)&lt;YEAR(E112),0,IF((YEAR(D112)+2)&gt;YEAR(E112),1,(12-MONTH(E112)+1)/12))) + (R112)*(IF((YEAR(D112)+2)&lt;YEAR(E112),0,IF((YEAR(D112)+2)&gt;YEAR(E112),1,(12-MONTH(E112)+1)/12))))-(IF(OR(N112="",N112&lt;=0),0,(O112/N112)*(IF(OR(N112="",N112&lt;=0),0,IF((YEAR(D112)+2)&lt;YEAR(E112),0,IF((YEAR(D112)+2)&gt;=YEAR(E112)+N112,0,IF((YEAR(D112)+2)=YEAR(E112),(12-MONTH(E112)+1)/12,1))))))))&gt;0,(((K112)*(IF(M112="",L112,IFERROR(IF(INDEX(Variablen!$I:$AT, MATCH(M112, Variablen!$A:$A, 0), MATCH((YEAR(D112)+2), Variablen!$I$3:$AT$3, 0))="",L112,INDEX(Variablen!$I:$AT, MATCH(M112, Variablen!$A:$A, 0), MATCH((YEAR(D112)+2), Variablen!$I$3:$AT$3, 0))),L112)))*(IF((YEAR(D112)+2)&lt;YEAR(E112),0,IF((YEAR(D112)+2)&gt;YEAR(E112),1,(12-MONTH(E112)+1)/12))) + (Q112)*(IF((YEAR(D112)+2)&lt;YEAR(E112),0,IF((YEAR(D112)+2)&gt;YEAR(E112),1,(12-MONTH(E112)+1)/12))))-((P112)*(IF((YEAR(D112)+2)&lt;YEAR(E112),0,IF((YEAR(D112)+2)&gt;YEAR(E112),1,(12-MONTH(E112)+1)/12))) + (R112)*(IF((YEAR(D112)+2)&lt;YEAR(E112),0,IF((YEAR(D112)+2)&gt;YEAR(E112),1,(12-MONTH(E112)+1)/12))))-(IF(OR(N112="",N112&lt;=0),0,(O112/N112)*(IF(OR(N112="",N112&lt;=0),0,IF((YEAR(D112)+2)&lt;YEAR(E112),0,IF((YEAR(D112)+2)&gt;=YEAR(E112)+N112,0,IF((YEAR(D112)+2)=YEAR(E112),(12-MONTH(E112)+1)/12,1))))))))*TaxRate,0))-IF(2=0,O112,0))</f>
        <v/>
      </c>
      <c r="V112" s="29">
        <f>IF(A112="","",((K112)*(IF(M112="",L112,IFERROR(IF(INDEX(Variablen!$I:$AT, MATCH(M112, Variablen!$A:$A, 0), MATCH((YEAR(D112)+3), Variablen!$I$3:$AT$3, 0))="",L112,INDEX(Variablen!$I:$AT, MATCH(M112, Variablen!$A:$A, 0), MATCH((YEAR(D112)+3), Variablen!$I$3:$AT$3, 0))),L112)))*(IF((YEAR(D112)+3)&lt;YEAR(E112),0,IF((YEAR(D112)+3)&gt;YEAR(E112),1,(12-MONTH(E112)+1)/12))) + (Q112)*(IF((YEAR(D112)+3)&lt;YEAR(E112),0,IF((YEAR(D112)+3)&gt;YEAR(E112),1,(12-MONTH(E112)+1)/12))))-((P112)*(IF((YEAR(D112)+3)&lt;YEAR(E112),0,IF((YEAR(D112)+3)&gt;YEAR(E112),1,(12-MONTH(E112)+1)/12))) + (R112)*(IF((YEAR(D112)+3)&lt;YEAR(E112),0,IF((YEAR(D112)+3)&gt;YEAR(E112),1,(12-MONTH(E112)+1)/12))))-(IF((((K112)*(IF(M112="",L112,IFERROR(IF(INDEX(Variablen!$I:$AT, MATCH(M112, Variablen!$A:$A, 0), MATCH((YEAR(D112)+3), Variablen!$I$3:$AT$3, 0))="",L112,INDEX(Variablen!$I:$AT, MATCH(M112, Variablen!$A:$A, 0), MATCH((YEAR(D112)+3), Variablen!$I$3:$AT$3, 0))),L112)))*(IF((YEAR(D112)+3)&lt;YEAR(E112),0,IF((YEAR(D112)+3)&gt;YEAR(E112),1,(12-MONTH(E112)+1)/12))) + (Q112)*(IF((YEAR(D112)+3)&lt;YEAR(E112),0,IF((YEAR(D112)+3)&gt;YEAR(E112),1,(12-MONTH(E112)+1)/12))))-((P112)*(IF((YEAR(D112)+3)&lt;YEAR(E112),0,IF((YEAR(D112)+3)&gt;YEAR(E112),1,(12-MONTH(E112)+1)/12))) + (R112)*(IF((YEAR(D112)+3)&lt;YEAR(E112),0,IF((YEAR(D112)+3)&gt;YEAR(E112),1,(12-MONTH(E112)+1)/12))))-(IF(OR(N112="",N112&lt;=0),0,(O112/N112)*(IF(OR(N112="",N112&lt;=0),0,IF((YEAR(D112)+3)&lt;YEAR(E112),0,IF((YEAR(D112)+3)&gt;=YEAR(E112)+N112,0,IF((YEAR(D112)+3)=YEAR(E112),(12-MONTH(E112)+1)/12,1))))))))&gt;0,(((K112)*(IF(M112="",L112,IFERROR(IF(INDEX(Variablen!$I:$AT, MATCH(M112, Variablen!$A:$A, 0), MATCH((YEAR(D112)+3), Variablen!$I$3:$AT$3, 0))="",L112,INDEX(Variablen!$I:$AT, MATCH(M112, Variablen!$A:$A, 0), MATCH((YEAR(D112)+3), Variablen!$I$3:$AT$3, 0))),L112)))*(IF((YEAR(D112)+3)&lt;YEAR(E112),0,IF((YEAR(D112)+3)&gt;YEAR(E112),1,(12-MONTH(E112)+1)/12))) + (Q112)*(IF((YEAR(D112)+3)&lt;YEAR(E112),0,IF((YEAR(D112)+3)&gt;YEAR(E112),1,(12-MONTH(E112)+1)/12))))-((P112)*(IF((YEAR(D112)+3)&lt;YEAR(E112),0,IF((YEAR(D112)+3)&gt;YEAR(E112),1,(12-MONTH(E112)+1)/12))) + (R112)*(IF((YEAR(D112)+3)&lt;YEAR(E112),0,IF((YEAR(D112)+3)&gt;YEAR(E112),1,(12-MONTH(E112)+1)/12))))-(IF(OR(N112="",N112&lt;=0),0,(O112/N112)*(IF(OR(N112="",N112&lt;=0),0,IF((YEAR(D112)+3)&lt;YEAR(E112),0,IF((YEAR(D112)+3)&gt;=YEAR(E112)+N112,0,IF((YEAR(D112)+3)=YEAR(E112),(12-MONTH(E112)+1)/12,1))))))))*TaxRate,0))-IF(3=0,O112,0))</f>
        <v/>
      </c>
      <c r="W112" s="29">
        <f>IF(A112="","",((K112)*(IF(M112="",L112,IFERROR(IF(INDEX(Variablen!$I:$AT, MATCH(M112, Variablen!$A:$A, 0), MATCH((YEAR(D112)+4), Variablen!$I$3:$AT$3, 0))="",L112,INDEX(Variablen!$I:$AT, MATCH(M112, Variablen!$A:$A, 0), MATCH((YEAR(D112)+4), Variablen!$I$3:$AT$3, 0))),L112)))*(IF((YEAR(D112)+4)&lt;YEAR(E112),0,IF((YEAR(D112)+4)&gt;YEAR(E112),1,(12-MONTH(E112)+1)/12))) + (Q112)*(IF((YEAR(D112)+4)&lt;YEAR(E112),0,IF((YEAR(D112)+4)&gt;YEAR(E112),1,(12-MONTH(E112)+1)/12))))-((P112)*(IF((YEAR(D112)+4)&lt;YEAR(E112),0,IF((YEAR(D112)+4)&gt;YEAR(E112),1,(12-MONTH(E112)+1)/12))) + (R112)*(IF((YEAR(D112)+4)&lt;YEAR(E112),0,IF((YEAR(D112)+4)&gt;YEAR(E112),1,(12-MONTH(E112)+1)/12))))-(IF((((K112)*(IF(M112="",L112,IFERROR(IF(INDEX(Variablen!$I:$AT, MATCH(M112, Variablen!$A:$A, 0), MATCH((YEAR(D112)+4), Variablen!$I$3:$AT$3, 0))="",L112,INDEX(Variablen!$I:$AT, MATCH(M112, Variablen!$A:$A, 0), MATCH((YEAR(D112)+4), Variablen!$I$3:$AT$3, 0))),L112)))*(IF((YEAR(D112)+4)&lt;YEAR(E112),0,IF((YEAR(D112)+4)&gt;YEAR(E112),1,(12-MONTH(E112)+1)/12))) + (Q112)*(IF((YEAR(D112)+4)&lt;YEAR(E112),0,IF((YEAR(D112)+4)&gt;YEAR(E112),1,(12-MONTH(E112)+1)/12))))-((P112)*(IF((YEAR(D112)+4)&lt;YEAR(E112),0,IF((YEAR(D112)+4)&gt;YEAR(E112),1,(12-MONTH(E112)+1)/12))) + (R112)*(IF((YEAR(D112)+4)&lt;YEAR(E112),0,IF((YEAR(D112)+4)&gt;YEAR(E112),1,(12-MONTH(E112)+1)/12))))-(IF(OR(N112="",N112&lt;=0),0,(O112/N112)*(IF(OR(N112="",N112&lt;=0),0,IF((YEAR(D112)+4)&lt;YEAR(E112),0,IF((YEAR(D112)+4)&gt;=YEAR(E112)+N112,0,IF((YEAR(D112)+4)=YEAR(E112),(12-MONTH(E112)+1)/12,1))))))))&gt;0,(((K112)*(IF(M112="",L112,IFERROR(IF(INDEX(Variablen!$I:$AT, MATCH(M112, Variablen!$A:$A, 0), MATCH((YEAR(D112)+4), Variablen!$I$3:$AT$3, 0))="",L112,INDEX(Variablen!$I:$AT, MATCH(M112, Variablen!$A:$A, 0), MATCH((YEAR(D112)+4), Variablen!$I$3:$AT$3, 0))),L112)))*(IF((YEAR(D112)+4)&lt;YEAR(E112),0,IF((YEAR(D112)+4)&gt;YEAR(E112),1,(12-MONTH(E112)+1)/12))) + (Q112)*(IF((YEAR(D112)+4)&lt;YEAR(E112),0,IF((YEAR(D112)+4)&gt;YEAR(E112),1,(12-MONTH(E112)+1)/12))))-((P112)*(IF((YEAR(D112)+4)&lt;YEAR(E112),0,IF((YEAR(D112)+4)&gt;YEAR(E112),1,(12-MONTH(E112)+1)/12))) + (R112)*(IF((YEAR(D112)+4)&lt;YEAR(E112),0,IF((YEAR(D112)+4)&gt;YEAR(E112),1,(12-MONTH(E112)+1)/12))))-(IF(OR(N112="",N112&lt;=0),0,(O112/N112)*(IF(OR(N112="",N112&lt;=0),0,IF((YEAR(D112)+4)&lt;YEAR(E112),0,IF((YEAR(D112)+4)&gt;=YEAR(E112)+N112,0,IF((YEAR(D112)+4)=YEAR(E112),(12-MONTH(E112)+1)/12,1))))))))*TaxRate,0))-IF(4=0,O112,0))</f>
        <v/>
      </c>
      <c r="X112" s="29">
        <f>IF(A112="","",((K112)*(IF(M112="",L112,IFERROR(IF(INDEX(Variablen!$I:$AT, MATCH(M112, Variablen!$A:$A, 0), MATCH((YEAR(D112)+5), Variablen!$I$3:$AT$3, 0))="",L112,INDEX(Variablen!$I:$AT, MATCH(M112, Variablen!$A:$A, 0), MATCH((YEAR(D112)+5), Variablen!$I$3:$AT$3, 0))),L112)))*(IF((YEAR(D112)+5)&lt;YEAR(E112),0,IF((YEAR(D112)+5)&gt;YEAR(E112),1,(12-MONTH(E112)+1)/12))) + (Q112)*(IF((YEAR(D112)+5)&lt;YEAR(E112),0,IF((YEAR(D112)+5)&gt;YEAR(E112),1,(12-MONTH(E112)+1)/12))))-((P112)*(IF((YEAR(D112)+5)&lt;YEAR(E112),0,IF((YEAR(D112)+5)&gt;YEAR(E112),1,(12-MONTH(E112)+1)/12))) + (R112)*(IF((YEAR(D112)+5)&lt;YEAR(E112),0,IF((YEAR(D112)+5)&gt;YEAR(E112),1,(12-MONTH(E112)+1)/12))))-(IF((((K112)*(IF(M112="",L112,IFERROR(IF(INDEX(Variablen!$I:$AT, MATCH(M112, Variablen!$A:$A, 0), MATCH((YEAR(D112)+5), Variablen!$I$3:$AT$3, 0))="",L112,INDEX(Variablen!$I:$AT, MATCH(M112, Variablen!$A:$A, 0), MATCH((YEAR(D112)+5), Variablen!$I$3:$AT$3, 0))),L112)))*(IF((YEAR(D112)+5)&lt;YEAR(E112),0,IF((YEAR(D112)+5)&gt;YEAR(E112),1,(12-MONTH(E112)+1)/12))) + (Q112)*(IF((YEAR(D112)+5)&lt;YEAR(E112),0,IF((YEAR(D112)+5)&gt;YEAR(E112),1,(12-MONTH(E112)+1)/12))))-((P112)*(IF((YEAR(D112)+5)&lt;YEAR(E112),0,IF((YEAR(D112)+5)&gt;YEAR(E112),1,(12-MONTH(E112)+1)/12))) + (R112)*(IF((YEAR(D112)+5)&lt;YEAR(E112),0,IF((YEAR(D112)+5)&gt;YEAR(E112),1,(12-MONTH(E112)+1)/12))))-(IF(OR(N112="",N112&lt;=0),0,(O112/N112)*(IF(OR(N112="",N112&lt;=0),0,IF((YEAR(D112)+5)&lt;YEAR(E112),0,IF((YEAR(D112)+5)&gt;=YEAR(E112)+N112,0,IF((YEAR(D112)+5)=YEAR(E112),(12-MONTH(E112)+1)/12,1))))))))&gt;0,(((K112)*(IF(M112="",L112,IFERROR(IF(INDEX(Variablen!$I:$AT, MATCH(M112, Variablen!$A:$A, 0), MATCH((YEAR(D112)+5), Variablen!$I$3:$AT$3, 0))="",L112,INDEX(Variablen!$I:$AT, MATCH(M112, Variablen!$A:$A, 0), MATCH((YEAR(D112)+5), Variablen!$I$3:$AT$3, 0))),L112)))*(IF((YEAR(D112)+5)&lt;YEAR(E112),0,IF((YEAR(D112)+5)&gt;YEAR(E112),1,(12-MONTH(E112)+1)/12))) + (Q112)*(IF((YEAR(D112)+5)&lt;YEAR(E112),0,IF((YEAR(D112)+5)&gt;YEAR(E112),1,(12-MONTH(E112)+1)/12))))-((P112)*(IF((YEAR(D112)+5)&lt;YEAR(E112),0,IF((YEAR(D112)+5)&gt;YEAR(E112),1,(12-MONTH(E112)+1)/12))) + (R112)*(IF((YEAR(D112)+5)&lt;YEAR(E112),0,IF((YEAR(D112)+5)&gt;YEAR(E112),1,(12-MONTH(E112)+1)/12))))-(IF(OR(N112="",N112&lt;=0),0,(O112/N112)*(IF(OR(N112="",N112&lt;=0),0,IF((YEAR(D112)+5)&lt;YEAR(E112),0,IF((YEAR(D112)+5)&gt;=YEAR(E112)+N112,0,IF((YEAR(D112)+5)=YEAR(E112),(12-MONTH(E112)+1)/12,1))))))))*TaxRate,0))-IF(5=0,O112,0))</f>
        <v/>
      </c>
      <c r="Y112" s="29">
        <f>IF(A112="","",((K112)*(IF(M112="",L112,IFERROR(IF(INDEX(Variablen!$I:$AT, MATCH(M112, Variablen!$A:$A, 0), MATCH((YEAR(D112)+6), Variablen!$I$3:$AT$3, 0))="",L112,INDEX(Variablen!$I:$AT, MATCH(M112, Variablen!$A:$A, 0), MATCH((YEAR(D112)+6), Variablen!$I$3:$AT$3, 0))),L112)))*(IF((YEAR(D112)+6)&lt;YEAR(E112),0,IF((YEAR(D112)+6)&gt;YEAR(E112),1,(12-MONTH(E112)+1)/12))) + (Q112)*(IF((YEAR(D112)+6)&lt;YEAR(E112),0,IF((YEAR(D112)+6)&gt;YEAR(E112),1,(12-MONTH(E112)+1)/12))))-((P112)*(IF((YEAR(D112)+6)&lt;YEAR(E112),0,IF((YEAR(D112)+6)&gt;YEAR(E112),1,(12-MONTH(E112)+1)/12))) + (R112)*(IF((YEAR(D112)+6)&lt;YEAR(E112),0,IF((YEAR(D112)+6)&gt;YEAR(E112),1,(12-MONTH(E112)+1)/12))))-(IF((((K112)*(IF(M112="",L112,IFERROR(IF(INDEX(Variablen!$I:$AT, MATCH(M112, Variablen!$A:$A, 0), MATCH((YEAR(D112)+6), Variablen!$I$3:$AT$3, 0))="",L112,INDEX(Variablen!$I:$AT, MATCH(M112, Variablen!$A:$A, 0), MATCH((YEAR(D112)+6), Variablen!$I$3:$AT$3, 0))),L112)))*(IF((YEAR(D112)+6)&lt;YEAR(E112),0,IF((YEAR(D112)+6)&gt;YEAR(E112),1,(12-MONTH(E112)+1)/12))) + (Q112)*(IF((YEAR(D112)+6)&lt;YEAR(E112),0,IF((YEAR(D112)+6)&gt;YEAR(E112),1,(12-MONTH(E112)+1)/12))))-((P112)*(IF((YEAR(D112)+6)&lt;YEAR(E112),0,IF((YEAR(D112)+6)&gt;YEAR(E112),1,(12-MONTH(E112)+1)/12))) + (R112)*(IF((YEAR(D112)+6)&lt;YEAR(E112),0,IF((YEAR(D112)+6)&gt;YEAR(E112),1,(12-MONTH(E112)+1)/12))))-(IF(OR(N112="",N112&lt;=0),0,(O112/N112)*(IF(OR(N112="",N112&lt;=0),0,IF((YEAR(D112)+6)&lt;YEAR(E112),0,IF((YEAR(D112)+6)&gt;=YEAR(E112)+N112,0,IF((YEAR(D112)+6)=YEAR(E112),(12-MONTH(E112)+1)/12,1))))))))&gt;0,(((K112)*(IF(M112="",L112,IFERROR(IF(INDEX(Variablen!$I:$AT, MATCH(M112, Variablen!$A:$A, 0), MATCH((YEAR(D112)+6), Variablen!$I$3:$AT$3, 0))="",L112,INDEX(Variablen!$I:$AT, MATCH(M112, Variablen!$A:$A, 0), MATCH((YEAR(D112)+6), Variablen!$I$3:$AT$3, 0))),L112)))*(IF((YEAR(D112)+6)&lt;YEAR(E112),0,IF((YEAR(D112)+6)&gt;YEAR(E112),1,(12-MONTH(E112)+1)/12))) + (Q112)*(IF((YEAR(D112)+6)&lt;YEAR(E112),0,IF((YEAR(D112)+6)&gt;YEAR(E112),1,(12-MONTH(E112)+1)/12))))-((P112)*(IF((YEAR(D112)+6)&lt;YEAR(E112),0,IF((YEAR(D112)+6)&gt;YEAR(E112),1,(12-MONTH(E112)+1)/12))) + (R112)*(IF((YEAR(D112)+6)&lt;YEAR(E112),0,IF((YEAR(D112)+6)&gt;YEAR(E112),1,(12-MONTH(E112)+1)/12))))-(IF(OR(N112="",N112&lt;=0),0,(O112/N112)*(IF(OR(N112="",N112&lt;=0),0,IF((YEAR(D112)+6)&lt;YEAR(E112),0,IF((YEAR(D112)+6)&gt;=YEAR(E112)+N112,0,IF((YEAR(D112)+6)=YEAR(E112),(12-MONTH(E112)+1)/12,1))))))))*TaxRate,0))-IF(6=0,O112,0))</f>
        <v/>
      </c>
      <c r="Z112" s="29">
        <f>IF(A112="","",((K112)*(IF(M112="",L112,IFERROR(IF(INDEX(Variablen!$I:$AT, MATCH(M112, Variablen!$A:$A, 0), MATCH((YEAR(D112)+7), Variablen!$I$3:$AT$3, 0))="",L112,INDEX(Variablen!$I:$AT, MATCH(M112, Variablen!$A:$A, 0), MATCH((YEAR(D112)+7), Variablen!$I$3:$AT$3, 0))),L112)))*(IF((YEAR(D112)+7)&lt;YEAR(E112),0,IF((YEAR(D112)+7)&gt;YEAR(E112),1,(12-MONTH(E112)+1)/12))) + (Q112)*(IF((YEAR(D112)+7)&lt;YEAR(E112),0,IF((YEAR(D112)+7)&gt;YEAR(E112),1,(12-MONTH(E112)+1)/12))))-((P112)*(IF((YEAR(D112)+7)&lt;YEAR(E112),0,IF((YEAR(D112)+7)&gt;YEAR(E112),1,(12-MONTH(E112)+1)/12))) + (R112)*(IF((YEAR(D112)+7)&lt;YEAR(E112),0,IF((YEAR(D112)+7)&gt;YEAR(E112),1,(12-MONTH(E112)+1)/12))))-(IF((((K112)*(IF(M112="",L112,IFERROR(IF(INDEX(Variablen!$I:$AT, MATCH(M112, Variablen!$A:$A, 0), MATCH((YEAR(D112)+7), Variablen!$I$3:$AT$3, 0))="",L112,INDEX(Variablen!$I:$AT, MATCH(M112, Variablen!$A:$A, 0), MATCH((YEAR(D112)+7), Variablen!$I$3:$AT$3, 0))),L112)))*(IF((YEAR(D112)+7)&lt;YEAR(E112),0,IF((YEAR(D112)+7)&gt;YEAR(E112),1,(12-MONTH(E112)+1)/12))) + (Q112)*(IF((YEAR(D112)+7)&lt;YEAR(E112),0,IF((YEAR(D112)+7)&gt;YEAR(E112),1,(12-MONTH(E112)+1)/12))))-((P112)*(IF((YEAR(D112)+7)&lt;YEAR(E112),0,IF((YEAR(D112)+7)&gt;YEAR(E112),1,(12-MONTH(E112)+1)/12))) + (R112)*(IF((YEAR(D112)+7)&lt;YEAR(E112),0,IF((YEAR(D112)+7)&gt;YEAR(E112),1,(12-MONTH(E112)+1)/12))))-(IF(OR(N112="",N112&lt;=0),0,(O112/N112)*(IF(OR(N112="",N112&lt;=0),0,IF((YEAR(D112)+7)&lt;YEAR(E112),0,IF((YEAR(D112)+7)&gt;=YEAR(E112)+N112,0,IF((YEAR(D112)+7)=YEAR(E112),(12-MONTH(E112)+1)/12,1))))))))&gt;0,(((K112)*(IF(M112="",L112,IFERROR(IF(INDEX(Variablen!$I:$AT, MATCH(M112, Variablen!$A:$A, 0), MATCH((YEAR(D112)+7), Variablen!$I$3:$AT$3, 0))="",L112,INDEX(Variablen!$I:$AT, MATCH(M112, Variablen!$A:$A, 0), MATCH((YEAR(D112)+7), Variablen!$I$3:$AT$3, 0))),L112)))*(IF((YEAR(D112)+7)&lt;YEAR(E112),0,IF((YEAR(D112)+7)&gt;YEAR(E112),1,(12-MONTH(E112)+1)/12))) + (Q112)*(IF((YEAR(D112)+7)&lt;YEAR(E112),0,IF((YEAR(D112)+7)&gt;YEAR(E112),1,(12-MONTH(E112)+1)/12))))-((P112)*(IF((YEAR(D112)+7)&lt;YEAR(E112),0,IF((YEAR(D112)+7)&gt;YEAR(E112),1,(12-MONTH(E112)+1)/12))) + (R112)*(IF((YEAR(D112)+7)&lt;YEAR(E112),0,IF((YEAR(D112)+7)&gt;YEAR(E112),1,(12-MONTH(E112)+1)/12))))-(IF(OR(N112="",N112&lt;=0),0,(O112/N112)*(IF(OR(N112="",N112&lt;=0),0,IF((YEAR(D112)+7)&lt;YEAR(E112),0,IF((YEAR(D112)+7)&gt;=YEAR(E112)+N112,0,IF((YEAR(D112)+7)=YEAR(E112),(12-MONTH(E112)+1)/12,1))))))))*TaxRate,0))-IF(7=0,O112,0))</f>
        <v/>
      </c>
      <c r="AA112" s="29">
        <f>IF(A112="","",((K112)*(IF(M112="",L112,IFERROR(IF(INDEX(Variablen!$I:$AT, MATCH(M112, Variablen!$A:$A, 0), MATCH((YEAR(D112)+8), Variablen!$I$3:$AT$3, 0))="",L112,INDEX(Variablen!$I:$AT, MATCH(M112, Variablen!$A:$A, 0), MATCH((YEAR(D112)+8), Variablen!$I$3:$AT$3, 0))),L112)))*(IF((YEAR(D112)+8)&lt;YEAR(E112),0,IF((YEAR(D112)+8)&gt;YEAR(E112),1,(12-MONTH(E112)+1)/12))) + (Q112)*(IF((YEAR(D112)+8)&lt;YEAR(E112),0,IF((YEAR(D112)+8)&gt;YEAR(E112),1,(12-MONTH(E112)+1)/12))))-((P112)*(IF((YEAR(D112)+8)&lt;YEAR(E112),0,IF((YEAR(D112)+8)&gt;YEAR(E112),1,(12-MONTH(E112)+1)/12))) + (R112)*(IF((YEAR(D112)+8)&lt;YEAR(E112),0,IF((YEAR(D112)+8)&gt;YEAR(E112),1,(12-MONTH(E112)+1)/12))))-(IF((((K112)*(IF(M112="",L112,IFERROR(IF(INDEX(Variablen!$I:$AT, MATCH(M112, Variablen!$A:$A, 0), MATCH((YEAR(D112)+8), Variablen!$I$3:$AT$3, 0))="",L112,INDEX(Variablen!$I:$AT, MATCH(M112, Variablen!$A:$A, 0), MATCH((YEAR(D112)+8), Variablen!$I$3:$AT$3, 0))),L112)))*(IF((YEAR(D112)+8)&lt;YEAR(E112),0,IF((YEAR(D112)+8)&gt;YEAR(E112),1,(12-MONTH(E112)+1)/12))) + (Q112)*(IF((YEAR(D112)+8)&lt;YEAR(E112),0,IF((YEAR(D112)+8)&gt;YEAR(E112),1,(12-MONTH(E112)+1)/12))))-((P112)*(IF((YEAR(D112)+8)&lt;YEAR(E112),0,IF((YEAR(D112)+8)&gt;YEAR(E112),1,(12-MONTH(E112)+1)/12))) + (R112)*(IF((YEAR(D112)+8)&lt;YEAR(E112),0,IF((YEAR(D112)+8)&gt;YEAR(E112),1,(12-MONTH(E112)+1)/12))))-(IF(OR(N112="",N112&lt;=0),0,(O112/N112)*(IF(OR(N112="",N112&lt;=0),0,IF((YEAR(D112)+8)&lt;YEAR(E112),0,IF((YEAR(D112)+8)&gt;=YEAR(E112)+N112,0,IF((YEAR(D112)+8)=YEAR(E112),(12-MONTH(E112)+1)/12,1))))))))&gt;0,(((K112)*(IF(M112="",L112,IFERROR(IF(INDEX(Variablen!$I:$AT, MATCH(M112, Variablen!$A:$A, 0), MATCH((YEAR(D112)+8), Variablen!$I$3:$AT$3, 0))="",L112,INDEX(Variablen!$I:$AT, MATCH(M112, Variablen!$A:$A, 0), MATCH((YEAR(D112)+8), Variablen!$I$3:$AT$3, 0))),L112)))*(IF((YEAR(D112)+8)&lt;YEAR(E112),0,IF((YEAR(D112)+8)&gt;YEAR(E112),1,(12-MONTH(E112)+1)/12))) + (Q112)*(IF((YEAR(D112)+8)&lt;YEAR(E112),0,IF((YEAR(D112)+8)&gt;YEAR(E112),1,(12-MONTH(E112)+1)/12))))-((P112)*(IF((YEAR(D112)+8)&lt;YEAR(E112),0,IF((YEAR(D112)+8)&gt;YEAR(E112),1,(12-MONTH(E112)+1)/12))) + (R112)*(IF((YEAR(D112)+8)&lt;YEAR(E112),0,IF((YEAR(D112)+8)&gt;YEAR(E112),1,(12-MONTH(E112)+1)/12))))-(IF(OR(N112="",N112&lt;=0),0,(O112/N112)*(IF(OR(N112="",N112&lt;=0),0,IF((YEAR(D112)+8)&lt;YEAR(E112),0,IF((YEAR(D112)+8)&gt;=YEAR(E112)+N112,0,IF((YEAR(D112)+8)=YEAR(E112),(12-MONTH(E112)+1)/12,1))))))))*TaxRate,0))-IF(8=0,O112,0))</f>
        <v/>
      </c>
      <c r="AB112" s="29">
        <f>IF(A112="","",((K112)*(IF(M112="",L112,IFERROR(IF(INDEX(Variablen!$I:$AT, MATCH(M112, Variablen!$A:$A, 0), MATCH((YEAR(D112)+9), Variablen!$I$3:$AT$3, 0))="",L112,INDEX(Variablen!$I:$AT, MATCH(M112, Variablen!$A:$A, 0), MATCH((YEAR(D112)+9), Variablen!$I$3:$AT$3, 0))),L112)))*(IF((YEAR(D112)+9)&lt;YEAR(E112),0,IF((YEAR(D112)+9)&gt;YEAR(E112),1,(12-MONTH(E112)+1)/12))) + (Q112)*(IF((YEAR(D112)+9)&lt;YEAR(E112),0,IF((YEAR(D112)+9)&gt;YEAR(E112),1,(12-MONTH(E112)+1)/12))))-((P112)*(IF((YEAR(D112)+9)&lt;YEAR(E112),0,IF((YEAR(D112)+9)&gt;YEAR(E112),1,(12-MONTH(E112)+1)/12))) + (R112)*(IF((YEAR(D112)+9)&lt;YEAR(E112),0,IF((YEAR(D112)+9)&gt;YEAR(E112),1,(12-MONTH(E112)+1)/12))))-(IF((((K112)*(IF(M112="",L112,IFERROR(IF(INDEX(Variablen!$I:$AT, MATCH(M112, Variablen!$A:$A, 0), MATCH((YEAR(D112)+9), Variablen!$I$3:$AT$3, 0))="",L112,INDEX(Variablen!$I:$AT, MATCH(M112, Variablen!$A:$A, 0), MATCH((YEAR(D112)+9), Variablen!$I$3:$AT$3, 0))),L112)))*(IF((YEAR(D112)+9)&lt;YEAR(E112),0,IF((YEAR(D112)+9)&gt;YEAR(E112),1,(12-MONTH(E112)+1)/12))) + (Q112)*(IF((YEAR(D112)+9)&lt;YEAR(E112),0,IF((YEAR(D112)+9)&gt;YEAR(E112),1,(12-MONTH(E112)+1)/12))))-((P112)*(IF((YEAR(D112)+9)&lt;YEAR(E112),0,IF((YEAR(D112)+9)&gt;YEAR(E112),1,(12-MONTH(E112)+1)/12))) + (R112)*(IF((YEAR(D112)+9)&lt;YEAR(E112),0,IF((YEAR(D112)+9)&gt;YEAR(E112),1,(12-MONTH(E112)+1)/12))))-(IF(OR(N112="",N112&lt;=0),0,(O112/N112)*(IF(OR(N112="",N112&lt;=0),0,IF((YEAR(D112)+9)&lt;YEAR(E112),0,IF((YEAR(D112)+9)&gt;=YEAR(E112)+N112,0,IF((YEAR(D112)+9)=YEAR(E112),(12-MONTH(E112)+1)/12,1))))))))&gt;0,(((K112)*(IF(M112="",L112,IFERROR(IF(INDEX(Variablen!$I:$AT, MATCH(M112, Variablen!$A:$A, 0), MATCH((YEAR(D112)+9), Variablen!$I$3:$AT$3, 0))="",L112,INDEX(Variablen!$I:$AT, MATCH(M112, Variablen!$A:$A, 0), MATCH((YEAR(D112)+9), Variablen!$I$3:$AT$3, 0))),L112)))*(IF((YEAR(D112)+9)&lt;YEAR(E112),0,IF((YEAR(D112)+9)&gt;YEAR(E112),1,(12-MONTH(E112)+1)/12))) + (Q112)*(IF((YEAR(D112)+9)&lt;YEAR(E112),0,IF((YEAR(D112)+9)&gt;YEAR(E112),1,(12-MONTH(E112)+1)/12))))-((P112)*(IF((YEAR(D112)+9)&lt;YEAR(E112),0,IF((YEAR(D112)+9)&gt;YEAR(E112),1,(12-MONTH(E112)+1)/12))) + (R112)*(IF((YEAR(D112)+9)&lt;YEAR(E112),0,IF((YEAR(D112)+9)&gt;YEAR(E112),1,(12-MONTH(E112)+1)/12))))-(IF(OR(N112="",N112&lt;=0),0,(O112/N112)*(IF(OR(N112="",N112&lt;=0),0,IF((YEAR(D112)+9)&lt;YEAR(E112),0,IF((YEAR(D112)+9)&gt;=YEAR(E112)+N112,0,IF((YEAR(D112)+9)=YEAR(E112),(12-MONTH(E112)+1)/12,1))))))))*TaxRate,0))-IF(9=0,O112,0))</f>
        <v/>
      </c>
      <c r="AC112" s="29">
        <f>IF(A112="","",((K112)*(IF(M112="",L112,IFERROR(IF(INDEX(Variablen!$I:$AT, MATCH(M112, Variablen!$A:$A, 0), MATCH((YEAR(D112)+10), Variablen!$I$3:$AT$3, 0))="",L112,INDEX(Variablen!$I:$AT, MATCH(M112, Variablen!$A:$A, 0), MATCH((YEAR(D112)+10), Variablen!$I$3:$AT$3, 0))),L112)))*(IF((YEAR(D112)+10)&lt;YEAR(E112),0,IF((YEAR(D112)+10)&gt;YEAR(E112),1,(12-MONTH(E112)+1)/12))) + (Q112)*(IF((YEAR(D112)+10)&lt;YEAR(E112),0,IF((YEAR(D112)+10)&gt;YEAR(E112),1,(12-MONTH(E112)+1)/12))))-((P112)*(IF((YEAR(D112)+10)&lt;YEAR(E112),0,IF((YEAR(D112)+10)&gt;YEAR(E112),1,(12-MONTH(E112)+1)/12))) + (R112)*(IF((YEAR(D112)+10)&lt;YEAR(E112),0,IF((YEAR(D112)+10)&gt;YEAR(E112),1,(12-MONTH(E112)+1)/12))))-(IF((((K112)*(IF(M112="",L112,IFERROR(IF(INDEX(Variablen!$I:$AT, MATCH(M112, Variablen!$A:$A, 0), MATCH((YEAR(D112)+10), Variablen!$I$3:$AT$3, 0))="",L112,INDEX(Variablen!$I:$AT, MATCH(M112, Variablen!$A:$A, 0), MATCH((YEAR(D112)+10), Variablen!$I$3:$AT$3, 0))),L112)))*(IF((YEAR(D112)+10)&lt;YEAR(E112),0,IF((YEAR(D112)+10)&gt;YEAR(E112),1,(12-MONTH(E112)+1)/12))) + (Q112)*(IF((YEAR(D112)+10)&lt;YEAR(E112),0,IF((YEAR(D112)+10)&gt;YEAR(E112),1,(12-MONTH(E112)+1)/12))))-((P112)*(IF((YEAR(D112)+10)&lt;YEAR(E112),0,IF((YEAR(D112)+10)&gt;YEAR(E112),1,(12-MONTH(E112)+1)/12))) + (R112)*(IF((YEAR(D112)+10)&lt;YEAR(E112),0,IF((YEAR(D112)+10)&gt;YEAR(E112),1,(12-MONTH(E112)+1)/12))))-(IF(OR(N112="",N112&lt;=0),0,(O112/N112)*(IF(OR(N112="",N112&lt;=0),0,IF((YEAR(D112)+10)&lt;YEAR(E112),0,IF((YEAR(D112)+10)&gt;=YEAR(E112)+N112,0,IF((YEAR(D112)+10)=YEAR(E112),(12-MONTH(E112)+1)/12,1))))))))&gt;0,(((K112)*(IF(M112="",L112,IFERROR(IF(INDEX(Variablen!$I:$AT, MATCH(M112, Variablen!$A:$A, 0), MATCH((YEAR(D112)+10), Variablen!$I$3:$AT$3, 0))="",L112,INDEX(Variablen!$I:$AT, MATCH(M112, Variablen!$A:$A, 0), MATCH((YEAR(D112)+10), Variablen!$I$3:$AT$3, 0))),L112)))*(IF((YEAR(D112)+10)&lt;YEAR(E112),0,IF((YEAR(D112)+10)&gt;YEAR(E112),1,(12-MONTH(E112)+1)/12))) + (Q112)*(IF((YEAR(D112)+10)&lt;YEAR(E112),0,IF((YEAR(D112)+10)&gt;YEAR(E112),1,(12-MONTH(E112)+1)/12))))-((P112)*(IF((YEAR(D112)+10)&lt;YEAR(E112),0,IF((YEAR(D112)+10)&gt;YEAR(E112),1,(12-MONTH(E112)+1)/12))) + (R112)*(IF((YEAR(D112)+10)&lt;YEAR(E112),0,IF((YEAR(D112)+10)&gt;YEAR(E112),1,(12-MONTH(E112)+1)/12))))-(IF(OR(N112="",N112&lt;=0),0,(O112/N112)*(IF(OR(N112="",N112&lt;=0),0,IF((YEAR(D112)+10)&lt;YEAR(E112),0,IF((YEAR(D112)+10)&gt;=YEAR(E112)+N112,0,IF((YEAR(D112)+10)=YEAR(E112),(12-MONTH(E112)+1)/12,1))))))))*TaxRate,0))-IF(10=0,O112,0))</f>
        <v/>
      </c>
      <c r="AD112" s="29">
        <f>IF(A112="","",((K112)*(IF(M112="",L112,IFERROR(IF(INDEX(Variablen!$I:$AT, MATCH(M112, Variablen!$A:$A, 0), MATCH((YEAR(D112)+11), Variablen!$I$3:$AT$3, 0))="",L112,INDEX(Variablen!$I:$AT, MATCH(M112, Variablen!$A:$A, 0), MATCH((YEAR(D112)+11), Variablen!$I$3:$AT$3, 0))),L112)))*(IF((YEAR(D112)+11)&lt;YEAR(E112),0,IF((YEAR(D112)+11)&gt;YEAR(E112),1,(12-MONTH(E112)+1)/12))) + (Q112)*(IF((YEAR(D112)+11)&lt;YEAR(E112),0,IF((YEAR(D112)+11)&gt;YEAR(E112),1,(12-MONTH(E112)+1)/12))))-((P112)*(IF((YEAR(D112)+11)&lt;YEAR(E112),0,IF((YEAR(D112)+11)&gt;YEAR(E112),1,(12-MONTH(E112)+1)/12))) + (R112)*(IF((YEAR(D112)+11)&lt;YEAR(E112),0,IF((YEAR(D112)+11)&gt;YEAR(E112),1,(12-MONTH(E112)+1)/12))))-(IF((((K112)*(IF(M112="",L112,IFERROR(IF(INDEX(Variablen!$I:$AT, MATCH(M112, Variablen!$A:$A, 0), MATCH((YEAR(D112)+11), Variablen!$I$3:$AT$3, 0))="",L112,INDEX(Variablen!$I:$AT, MATCH(M112, Variablen!$A:$A, 0), MATCH((YEAR(D112)+11), Variablen!$I$3:$AT$3, 0))),L112)))*(IF((YEAR(D112)+11)&lt;YEAR(E112),0,IF((YEAR(D112)+11)&gt;YEAR(E112),1,(12-MONTH(E112)+1)/12))) + (Q112)*(IF((YEAR(D112)+11)&lt;YEAR(E112),0,IF((YEAR(D112)+11)&gt;YEAR(E112),1,(12-MONTH(E112)+1)/12))))-((P112)*(IF((YEAR(D112)+11)&lt;YEAR(E112),0,IF((YEAR(D112)+11)&gt;YEAR(E112),1,(12-MONTH(E112)+1)/12))) + (R112)*(IF((YEAR(D112)+11)&lt;YEAR(E112),0,IF((YEAR(D112)+11)&gt;YEAR(E112),1,(12-MONTH(E112)+1)/12))))-(IF(OR(N112="",N112&lt;=0),0,(O112/N112)*(IF(OR(N112="",N112&lt;=0),0,IF((YEAR(D112)+11)&lt;YEAR(E112),0,IF((YEAR(D112)+11)&gt;=YEAR(E112)+N112,0,IF((YEAR(D112)+11)=YEAR(E112),(12-MONTH(E112)+1)/12,1))))))))&gt;0,(((K112)*(IF(M112="",L112,IFERROR(IF(INDEX(Variablen!$I:$AT, MATCH(M112, Variablen!$A:$A, 0), MATCH((YEAR(D112)+11), Variablen!$I$3:$AT$3, 0))="",L112,INDEX(Variablen!$I:$AT, MATCH(M112, Variablen!$A:$A, 0), MATCH((YEAR(D112)+11), Variablen!$I$3:$AT$3, 0))),L112)))*(IF((YEAR(D112)+11)&lt;YEAR(E112),0,IF((YEAR(D112)+11)&gt;YEAR(E112),1,(12-MONTH(E112)+1)/12))) + (Q112)*(IF((YEAR(D112)+11)&lt;YEAR(E112),0,IF((YEAR(D112)+11)&gt;YEAR(E112),1,(12-MONTH(E112)+1)/12))))-((P112)*(IF((YEAR(D112)+11)&lt;YEAR(E112),0,IF((YEAR(D112)+11)&gt;YEAR(E112),1,(12-MONTH(E112)+1)/12))) + (R112)*(IF((YEAR(D112)+11)&lt;YEAR(E112),0,IF((YEAR(D112)+11)&gt;YEAR(E112),1,(12-MONTH(E112)+1)/12))))-(IF(OR(N112="",N112&lt;=0),0,(O112/N112)*(IF(OR(N112="",N112&lt;=0),0,IF((YEAR(D112)+11)&lt;YEAR(E112),0,IF((YEAR(D112)+11)&gt;=YEAR(E112)+N112,0,IF((YEAR(D112)+11)=YEAR(E112),(12-MONTH(E112)+1)/12,1))))))))*TaxRate,0))-IF(11=0,O112,0))</f>
        <v/>
      </c>
      <c r="AE112" s="29">
        <f>IF(A112="","",((K112)*(IF(M112="",L112,IFERROR(IF(INDEX(Variablen!$I:$AT, MATCH(M112, Variablen!$A:$A, 0), MATCH((YEAR(D112)+12), Variablen!$I$3:$AT$3, 0))="",L112,INDEX(Variablen!$I:$AT, MATCH(M112, Variablen!$A:$A, 0), MATCH((YEAR(D112)+12), Variablen!$I$3:$AT$3, 0))),L112)))*(IF((YEAR(D112)+12)&lt;YEAR(E112),0,IF((YEAR(D112)+12)&gt;YEAR(E112),1,(12-MONTH(E112)+1)/12))) + (Q112)*(IF((YEAR(D112)+12)&lt;YEAR(E112),0,IF((YEAR(D112)+12)&gt;YEAR(E112),1,(12-MONTH(E112)+1)/12))))-((P112)*(IF((YEAR(D112)+12)&lt;YEAR(E112),0,IF((YEAR(D112)+12)&gt;YEAR(E112),1,(12-MONTH(E112)+1)/12))) + (R112)*(IF((YEAR(D112)+12)&lt;YEAR(E112),0,IF((YEAR(D112)+12)&gt;YEAR(E112),1,(12-MONTH(E112)+1)/12))))-(IF((((K112)*(IF(M112="",L112,IFERROR(IF(INDEX(Variablen!$I:$AT, MATCH(M112, Variablen!$A:$A, 0), MATCH((YEAR(D112)+12), Variablen!$I$3:$AT$3, 0))="",L112,INDEX(Variablen!$I:$AT, MATCH(M112, Variablen!$A:$A, 0), MATCH((YEAR(D112)+12), Variablen!$I$3:$AT$3, 0))),L112)))*(IF((YEAR(D112)+12)&lt;YEAR(E112),0,IF((YEAR(D112)+12)&gt;YEAR(E112),1,(12-MONTH(E112)+1)/12))) + (Q112)*(IF((YEAR(D112)+12)&lt;YEAR(E112),0,IF((YEAR(D112)+12)&gt;YEAR(E112),1,(12-MONTH(E112)+1)/12))))-((P112)*(IF((YEAR(D112)+12)&lt;YEAR(E112),0,IF((YEAR(D112)+12)&gt;YEAR(E112),1,(12-MONTH(E112)+1)/12))) + (R112)*(IF((YEAR(D112)+12)&lt;YEAR(E112),0,IF((YEAR(D112)+12)&gt;YEAR(E112),1,(12-MONTH(E112)+1)/12))))-(IF(OR(N112="",N112&lt;=0),0,(O112/N112)*(IF(OR(N112="",N112&lt;=0),0,IF((YEAR(D112)+12)&lt;YEAR(E112),0,IF((YEAR(D112)+12)&gt;=YEAR(E112)+N112,0,IF((YEAR(D112)+12)=YEAR(E112),(12-MONTH(E112)+1)/12,1))))))))&gt;0,(((K112)*(IF(M112="",L112,IFERROR(IF(INDEX(Variablen!$I:$AT, MATCH(M112, Variablen!$A:$A, 0), MATCH((YEAR(D112)+12), Variablen!$I$3:$AT$3, 0))="",L112,INDEX(Variablen!$I:$AT, MATCH(M112, Variablen!$A:$A, 0), MATCH((YEAR(D112)+12), Variablen!$I$3:$AT$3, 0))),L112)))*(IF((YEAR(D112)+12)&lt;YEAR(E112),0,IF((YEAR(D112)+12)&gt;YEAR(E112),1,(12-MONTH(E112)+1)/12))) + (Q112)*(IF((YEAR(D112)+12)&lt;YEAR(E112),0,IF((YEAR(D112)+12)&gt;YEAR(E112),1,(12-MONTH(E112)+1)/12))))-((P112)*(IF((YEAR(D112)+12)&lt;YEAR(E112),0,IF((YEAR(D112)+12)&gt;YEAR(E112),1,(12-MONTH(E112)+1)/12))) + (R112)*(IF((YEAR(D112)+12)&lt;YEAR(E112),0,IF((YEAR(D112)+12)&gt;YEAR(E112),1,(12-MONTH(E112)+1)/12))))-(IF(OR(N112="",N112&lt;=0),0,(O112/N112)*(IF(OR(N112="",N112&lt;=0),0,IF((YEAR(D112)+12)&lt;YEAR(E112),0,IF((YEAR(D112)+12)&gt;=YEAR(E112)+N112,0,IF((YEAR(D112)+12)=YEAR(E112),(12-MONTH(E112)+1)/12,1))))))))*TaxRate,0))-IF(12=0,O112,0))</f>
        <v/>
      </c>
      <c r="AF112" s="29">
        <f>IF(A112="","",((K112)*(IF(M112="",L112,IFERROR(IF(INDEX(Variablen!$I:$AT, MATCH(M112, Variablen!$A:$A, 0), MATCH((YEAR(D112)+13), Variablen!$I$3:$AT$3, 0))="",L112,INDEX(Variablen!$I:$AT, MATCH(M112, Variablen!$A:$A, 0), MATCH((YEAR(D112)+13), Variablen!$I$3:$AT$3, 0))),L112)))*(IF((YEAR(D112)+13)&lt;YEAR(E112),0,IF((YEAR(D112)+13)&gt;YEAR(E112),1,(12-MONTH(E112)+1)/12))) + (Q112)*(IF((YEAR(D112)+13)&lt;YEAR(E112),0,IF((YEAR(D112)+13)&gt;YEAR(E112),1,(12-MONTH(E112)+1)/12))))-((P112)*(IF((YEAR(D112)+13)&lt;YEAR(E112),0,IF((YEAR(D112)+13)&gt;YEAR(E112),1,(12-MONTH(E112)+1)/12))) + (R112)*(IF((YEAR(D112)+13)&lt;YEAR(E112),0,IF((YEAR(D112)+13)&gt;YEAR(E112),1,(12-MONTH(E112)+1)/12))))-(IF((((K112)*(IF(M112="",L112,IFERROR(IF(INDEX(Variablen!$I:$AT, MATCH(M112, Variablen!$A:$A, 0), MATCH((YEAR(D112)+13), Variablen!$I$3:$AT$3, 0))="",L112,INDEX(Variablen!$I:$AT, MATCH(M112, Variablen!$A:$A, 0), MATCH((YEAR(D112)+13), Variablen!$I$3:$AT$3, 0))),L112)))*(IF((YEAR(D112)+13)&lt;YEAR(E112),0,IF((YEAR(D112)+13)&gt;YEAR(E112),1,(12-MONTH(E112)+1)/12))) + (Q112)*(IF((YEAR(D112)+13)&lt;YEAR(E112),0,IF((YEAR(D112)+13)&gt;YEAR(E112),1,(12-MONTH(E112)+1)/12))))-((P112)*(IF((YEAR(D112)+13)&lt;YEAR(E112),0,IF((YEAR(D112)+13)&gt;YEAR(E112),1,(12-MONTH(E112)+1)/12))) + (R112)*(IF((YEAR(D112)+13)&lt;YEAR(E112),0,IF((YEAR(D112)+13)&gt;YEAR(E112),1,(12-MONTH(E112)+1)/12))))-(IF(OR(N112="",N112&lt;=0),0,(O112/N112)*(IF(OR(N112="",N112&lt;=0),0,IF((YEAR(D112)+13)&lt;YEAR(E112),0,IF((YEAR(D112)+13)&gt;=YEAR(E112)+N112,0,IF((YEAR(D112)+13)=YEAR(E112),(12-MONTH(E112)+1)/12,1))))))))&gt;0,(((K112)*(IF(M112="",L112,IFERROR(IF(INDEX(Variablen!$I:$AT, MATCH(M112, Variablen!$A:$A, 0), MATCH((YEAR(D112)+13), Variablen!$I$3:$AT$3, 0))="",L112,INDEX(Variablen!$I:$AT, MATCH(M112, Variablen!$A:$A, 0), MATCH((YEAR(D112)+13), Variablen!$I$3:$AT$3, 0))),L112)))*(IF((YEAR(D112)+13)&lt;YEAR(E112),0,IF((YEAR(D112)+13)&gt;YEAR(E112),1,(12-MONTH(E112)+1)/12))) + (Q112)*(IF((YEAR(D112)+13)&lt;YEAR(E112),0,IF((YEAR(D112)+13)&gt;YEAR(E112),1,(12-MONTH(E112)+1)/12))))-((P112)*(IF((YEAR(D112)+13)&lt;YEAR(E112),0,IF((YEAR(D112)+13)&gt;YEAR(E112),1,(12-MONTH(E112)+1)/12))) + (R112)*(IF((YEAR(D112)+13)&lt;YEAR(E112),0,IF((YEAR(D112)+13)&gt;YEAR(E112),1,(12-MONTH(E112)+1)/12))))-(IF(OR(N112="",N112&lt;=0),0,(O112/N112)*(IF(OR(N112="",N112&lt;=0),0,IF((YEAR(D112)+13)&lt;YEAR(E112),0,IF((YEAR(D112)+13)&gt;=YEAR(E112)+N112,0,IF((YEAR(D112)+13)=YEAR(E112),(12-MONTH(E112)+1)/12,1))))))))*TaxRate,0))-IF(13=0,O112,0))</f>
        <v/>
      </c>
      <c r="AG112" s="29">
        <f>IF(A112="","",((K112)*(IF(M112="",L112,IFERROR(IF(INDEX(Variablen!$I:$AT, MATCH(M112, Variablen!$A:$A, 0), MATCH((YEAR(D112)+14), Variablen!$I$3:$AT$3, 0))="",L112,INDEX(Variablen!$I:$AT, MATCH(M112, Variablen!$A:$A, 0), MATCH((YEAR(D112)+14), Variablen!$I$3:$AT$3, 0))),L112)))*(IF((YEAR(D112)+14)&lt;YEAR(E112),0,IF((YEAR(D112)+14)&gt;YEAR(E112),1,(12-MONTH(E112)+1)/12))) + (Q112)*(IF((YEAR(D112)+14)&lt;YEAR(E112),0,IF((YEAR(D112)+14)&gt;YEAR(E112),1,(12-MONTH(E112)+1)/12))))-((P112)*(IF((YEAR(D112)+14)&lt;YEAR(E112),0,IF((YEAR(D112)+14)&gt;YEAR(E112),1,(12-MONTH(E112)+1)/12))) + (R112)*(IF((YEAR(D112)+14)&lt;YEAR(E112),0,IF((YEAR(D112)+14)&gt;YEAR(E112),1,(12-MONTH(E112)+1)/12))))-(IF((((K112)*(IF(M112="",L112,IFERROR(IF(INDEX(Variablen!$I:$AT, MATCH(M112, Variablen!$A:$A, 0), MATCH((YEAR(D112)+14), Variablen!$I$3:$AT$3, 0))="",L112,INDEX(Variablen!$I:$AT, MATCH(M112, Variablen!$A:$A, 0), MATCH((YEAR(D112)+14), Variablen!$I$3:$AT$3, 0))),L112)))*(IF((YEAR(D112)+14)&lt;YEAR(E112),0,IF((YEAR(D112)+14)&gt;YEAR(E112),1,(12-MONTH(E112)+1)/12))) + (Q112)*(IF((YEAR(D112)+14)&lt;YEAR(E112),0,IF((YEAR(D112)+14)&gt;YEAR(E112),1,(12-MONTH(E112)+1)/12))))-((P112)*(IF((YEAR(D112)+14)&lt;YEAR(E112),0,IF((YEAR(D112)+14)&gt;YEAR(E112),1,(12-MONTH(E112)+1)/12))) + (R112)*(IF((YEAR(D112)+14)&lt;YEAR(E112),0,IF((YEAR(D112)+14)&gt;YEAR(E112),1,(12-MONTH(E112)+1)/12))))-(IF(OR(N112="",N112&lt;=0),0,(O112/N112)*(IF(OR(N112="",N112&lt;=0),0,IF((YEAR(D112)+14)&lt;YEAR(E112),0,IF((YEAR(D112)+14)&gt;=YEAR(E112)+N112,0,IF((YEAR(D112)+14)=YEAR(E112),(12-MONTH(E112)+1)/12,1))))))))&gt;0,(((K112)*(IF(M112="",L112,IFERROR(IF(INDEX(Variablen!$I:$AT, MATCH(M112, Variablen!$A:$A, 0), MATCH((YEAR(D112)+14), Variablen!$I$3:$AT$3, 0))="",L112,INDEX(Variablen!$I:$AT, MATCH(M112, Variablen!$A:$A, 0), MATCH((YEAR(D112)+14), Variablen!$I$3:$AT$3, 0))),L112)))*(IF((YEAR(D112)+14)&lt;YEAR(E112),0,IF((YEAR(D112)+14)&gt;YEAR(E112),1,(12-MONTH(E112)+1)/12))) + (Q112)*(IF((YEAR(D112)+14)&lt;YEAR(E112),0,IF((YEAR(D112)+14)&gt;YEAR(E112),1,(12-MONTH(E112)+1)/12))))-((P112)*(IF((YEAR(D112)+14)&lt;YEAR(E112),0,IF((YEAR(D112)+14)&gt;YEAR(E112),1,(12-MONTH(E112)+1)/12))) + (R112)*(IF((YEAR(D112)+14)&lt;YEAR(E112),0,IF((YEAR(D112)+14)&gt;YEAR(E112),1,(12-MONTH(E112)+1)/12))))-(IF(OR(N112="",N112&lt;=0),0,(O112/N112)*(IF(OR(N112="",N112&lt;=0),0,IF((YEAR(D112)+14)&lt;YEAR(E112),0,IF((YEAR(D112)+14)&gt;=YEAR(E112)+N112,0,IF((YEAR(D112)+14)=YEAR(E112),(12-MONTH(E112)+1)/12,1))))))))*TaxRate,0))-IF(14=0,O112,0))</f>
        <v/>
      </c>
      <c r="AH112" s="29">
        <f>IF(A112="","",((K112)*(IF(M112="",L112,IFERROR(IF(INDEX(Variablen!$I:$AT, MATCH(M112, Variablen!$A:$A, 0), MATCH((YEAR(D112)+15), Variablen!$I$3:$AT$3, 0))="",L112,INDEX(Variablen!$I:$AT, MATCH(M112, Variablen!$A:$A, 0), MATCH((YEAR(D112)+15), Variablen!$I$3:$AT$3, 0))),L112)))*(IF((YEAR(D112)+15)&lt;YEAR(E112),0,IF((YEAR(D112)+15)&gt;YEAR(E112),1,(12-MONTH(E112)+1)/12))) + (Q112)*(IF((YEAR(D112)+15)&lt;YEAR(E112),0,IF((YEAR(D112)+15)&gt;YEAR(E112),1,(12-MONTH(E112)+1)/12))))-((P112)*(IF((YEAR(D112)+15)&lt;YEAR(E112),0,IF((YEAR(D112)+15)&gt;YEAR(E112),1,(12-MONTH(E112)+1)/12))) + (R112)*(IF((YEAR(D112)+15)&lt;YEAR(E112),0,IF((YEAR(D112)+15)&gt;YEAR(E112),1,(12-MONTH(E112)+1)/12))))-(IF((((K112)*(IF(M112="",L112,IFERROR(IF(INDEX(Variablen!$I:$AT, MATCH(M112, Variablen!$A:$A, 0), MATCH((YEAR(D112)+15), Variablen!$I$3:$AT$3, 0))="",L112,INDEX(Variablen!$I:$AT, MATCH(M112, Variablen!$A:$A, 0), MATCH((YEAR(D112)+15), Variablen!$I$3:$AT$3, 0))),L112)))*(IF((YEAR(D112)+15)&lt;YEAR(E112),0,IF((YEAR(D112)+15)&gt;YEAR(E112),1,(12-MONTH(E112)+1)/12))) + (Q112)*(IF((YEAR(D112)+15)&lt;YEAR(E112),0,IF((YEAR(D112)+15)&gt;YEAR(E112),1,(12-MONTH(E112)+1)/12))))-((P112)*(IF((YEAR(D112)+15)&lt;YEAR(E112),0,IF((YEAR(D112)+15)&gt;YEAR(E112),1,(12-MONTH(E112)+1)/12))) + (R112)*(IF((YEAR(D112)+15)&lt;YEAR(E112),0,IF((YEAR(D112)+15)&gt;YEAR(E112),1,(12-MONTH(E112)+1)/12))))-(IF(OR(N112="",N112&lt;=0),0,(O112/N112)*(IF(OR(N112="",N112&lt;=0),0,IF((YEAR(D112)+15)&lt;YEAR(E112),0,IF((YEAR(D112)+15)&gt;=YEAR(E112)+N112,0,IF((YEAR(D112)+15)=YEAR(E112),(12-MONTH(E112)+1)/12,1))))))))&gt;0,(((K112)*(IF(M112="",L112,IFERROR(IF(INDEX(Variablen!$I:$AT, MATCH(M112, Variablen!$A:$A, 0), MATCH((YEAR(D112)+15), Variablen!$I$3:$AT$3, 0))="",L112,INDEX(Variablen!$I:$AT, MATCH(M112, Variablen!$A:$A, 0), MATCH((YEAR(D112)+15), Variablen!$I$3:$AT$3, 0))),L112)))*(IF((YEAR(D112)+15)&lt;YEAR(E112),0,IF((YEAR(D112)+15)&gt;YEAR(E112),1,(12-MONTH(E112)+1)/12))) + (Q112)*(IF((YEAR(D112)+15)&lt;YEAR(E112),0,IF((YEAR(D112)+15)&gt;YEAR(E112),1,(12-MONTH(E112)+1)/12))))-((P112)*(IF((YEAR(D112)+15)&lt;YEAR(E112),0,IF((YEAR(D112)+15)&gt;YEAR(E112),1,(12-MONTH(E112)+1)/12))) + (R112)*(IF((YEAR(D112)+15)&lt;YEAR(E112),0,IF((YEAR(D112)+15)&gt;YEAR(E112),1,(12-MONTH(E112)+1)/12))))-(IF(OR(N112="",N112&lt;=0),0,(O112/N112)*(IF(OR(N112="",N112&lt;=0),0,IF((YEAR(D112)+15)&lt;YEAR(E112),0,IF((YEAR(D112)+15)&gt;=YEAR(E112)+N112,0,IF((YEAR(D112)+15)=YEAR(E112),(12-MONTH(E112)+1)/12,1))))))))*TaxRate,0))-IF(15=0,O112,0))</f>
        <v/>
      </c>
      <c r="AI112" s="29">
        <f>IF(A112="","",((K112)*(IF(M112="",L112,IFERROR(IF(INDEX(Variablen!$I:$AT, MATCH(M112, Variablen!$A:$A, 0), MATCH((YEAR(D112)+16), Variablen!$I$3:$AT$3, 0))="",L112,INDEX(Variablen!$I:$AT, MATCH(M112, Variablen!$A:$A, 0), MATCH((YEAR(D112)+16), Variablen!$I$3:$AT$3, 0))),L112)))*(IF((YEAR(D112)+16)&lt;YEAR(E112),0,IF((YEAR(D112)+16)&gt;YEAR(E112),1,(12-MONTH(E112)+1)/12))) + (Q112)*(IF((YEAR(D112)+16)&lt;YEAR(E112),0,IF((YEAR(D112)+16)&gt;YEAR(E112),1,(12-MONTH(E112)+1)/12))))-((P112)*(IF((YEAR(D112)+16)&lt;YEAR(E112),0,IF((YEAR(D112)+16)&gt;YEAR(E112),1,(12-MONTH(E112)+1)/12))) + (R112)*(IF((YEAR(D112)+16)&lt;YEAR(E112),0,IF((YEAR(D112)+16)&gt;YEAR(E112),1,(12-MONTH(E112)+1)/12))))-(IF((((K112)*(IF(M112="",L112,IFERROR(IF(INDEX(Variablen!$I:$AT, MATCH(M112, Variablen!$A:$A, 0), MATCH((YEAR(D112)+16), Variablen!$I$3:$AT$3, 0))="",L112,INDEX(Variablen!$I:$AT, MATCH(M112, Variablen!$A:$A, 0), MATCH((YEAR(D112)+16), Variablen!$I$3:$AT$3, 0))),L112)))*(IF((YEAR(D112)+16)&lt;YEAR(E112),0,IF((YEAR(D112)+16)&gt;YEAR(E112),1,(12-MONTH(E112)+1)/12))) + (Q112)*(IF((YEAR(D112)+16)&lt;YEAR(E112),0,IF((YEAR(D112)+16)&gt;YEAR(E112),1,(12-MONTH(E112)+1)/12))))-((P112)*(IF((YEAR(D112)+16)&lt;YEAR(E112),0,IF((YEAR(D112)+16)&gt;YEAR(E112),1,(12-MONTH(E112)+1)/12))) + (R112)*(IF((YEAR(D112)+16)&lt;YEAR(E112),0,IF((YEAR(D112)+16)&gt;YEAR(E112),1,(12-MONTH(E112)+1)/12))))-(IF(OR(N112="",N112&lt;=0),0,(O112/N112)*(IF(OR(N112="",N112&lt;=0),0,IF((YEAR(D112)+16)&lt;YEAR(E112),0,IF((YEAR(D112)+16)&gt;=YEAR(E112)+N112,0,IF((YEAR(D112)+16)=YEAR(E112),(12-MONTH(E112)+1)/12,1))))))))&gt;0,(((K112)*(IF(M112="",L112,IFERROR(IF(INDEX(Variablen!$I:$AT, MATCH(M112, Variablen!$A:$A, 0), MATCH((YEAR(D112)+16), Variablen!$I$3:$AT$3, 0))="",L112,INDEX(Variablen!$I:$AT, MATCH(M112, Variablen!$A:$A, 0), MATCH((YEAR(D112)+16), Variablen!$I$3:$AT$3, 0))),L112)))*(IF((YEAR(D112)+16)&lt;YEAR(E112),0,IF((YEAR(D112)+16)&gt;YEAR(E112),1,(12-MONTH(E112)+1)/12))) + (Q112)*(IF((YEAR(D112)+16)&lt;YEAR(E112),0,IF((YEAR(D112)+16)&gt;YEAR(E112),1,(12-MONTH(E112)+1)/12))))-((P112)*(IF((YEAR(D112)+16)&lt;YEAR(E112),0,IF((YEAR(D112)+16)&gt;YEAR(E112),1,(12-MONTH(E112)+1)/12))) + (R112)*(IF((YEAR(D112)+16)&lt;YEAR(E112),0,IF((YEAR(D112)+16)&gt;YEAR(E112),1,(12-MONTH(E112)+1)/12))))-(IF(OR(N112="",N112&lt;=0),0,(O112/N112)*(IF(OR(N112="",N112&lt;=0),0,IF((YEAR(D112)+16)&lt;YEAR(E112),0,IF((YEAR(D112)+16)&gt;=YEAR(E112)+N112,0,IF((YEAR(D112)+16)=YEAR(E112),(12-MONTH(E112)+1)/12,1))))))))*TaxRate,0))-IF(16=0,O112,0))</f>
        <v/>
      </c>
      <c r="AJ112" s="29">
        <f>IF(A112="","",((K112)*(IF(M112="",L112,IFERROR(IF(INDEX(Variablen!$I:$AT, MATCH(M112, Variablen!$A:$A, 0), MATCH((YEAR(D112)+17), Variablen!$I$3:$AT$3, 0))="",L112,INDEX(Variablen!$I:$AT, MATCH(M112, Variablen!$A:$A, 0), MATCH((YEAR(D112)+17), Variablen!$I$3:$AT$3, 0))),L112)))*(IF((YEAR(D112)+17)&lt;YEAR(E112),0,IF((YEAR(D112)+17)&gt;YEAR(E112),1,(12-MONTH(E112)+1)/12))) + (Q112)*(IF((YEAR(D112)+17)&lt;YEAR(E112),0,IF((YEAR(D112)+17)&gt;YEAR(E112),1,(12-MONTH(E112)+1)/12))))-((P112)*(IF((YEAR(D112)+17)&lt;YEAR(E112),0,IF((YEAR(D112)+17)&gt;YEAR(E112),1,(12-MONTH(E112)+1)/12))) + (R112)*(IF((YEAR(D112)+17)&lt;YEAR(E112),0,IF((YEAR(D112)+17)&gt;YEAR(E112),1,(12-MONTH(E112)+1)/12))))-(IF((((K112)*(IF(M112="",L112,IFERROR(IF(INDEX(Variablen!$I:$AT, MATCH(M112, Variablen!$A:$A, 0), MATCH((YEAR(D112)+17), Variablen!$I$3:$AT$3, 0))="",L112,INDEX(Variablen!$I:$AT, MATCH(M112, Variablen!$A:$A, 0), MATCH((YEAR(D112)+17), Variablen!$I$3:$AT$3, 0))),L112)))*(IF((YEAR(D112)+17)&lt;YEAR(E112),0,IF((YEAR(D112)+17)&gt;YEAR(E112),1,(12-MONTH(E112)+1)/12))) + (Q112)*(IF((YEAR(D112)+17)&lt;YEAR(E112),0,IF((YEAR(D112)+17)&gt;YEAR(E112),1,(12-MONTH(E112)+1)/12))))-((P112)*(IF((YEAR(D112)+17)&lt;YEAR(E112),0,IF((YEAR(D112)+17)&gt;YEAR(E112),1,(12-MONTH(E112)+1)/12))) + (R112)*(IF((YEAR(D112)+17)&lt;YEAR(E112),0,IF((YEAR(D112)+17)&gt;YEAR(E112),1,(12-MONTH(E112)+1)/12))))-(IF(OR(N112="",N112&lt;=0),0,(O112/N112)*(IF(OR(N112="",N112&lt;=0),0,IF((YEAR(D112)+17)&lt;YEAR(E112),0,IF((YEAR(D112)+17)&gt;=YEAR(E112)+N112,0,IF((YEAR(D112)+17)=YEAR(E112),(12-MONTH(E112)+1)/12,1))))))))&gt;0,(((K112)*(IF(M112="",L112,IFERROR(IF(INDEX(Variablen!$I:$AT, MATCH(M112, Variablen!$A:$A, 0), MATCH((YEAR(D112)+17), Variablen!$I$3:$AT$3, 0))="",L112,INDEX(Variablen!$I:$AT, MATCH(M112, Variablen!$A:$A, 0), MATCH((YEAR(D112)+17), Variablen!$I$3:$AT$3, 0))),L112)))*(IF((YEAR(D112)+17)&lt;YEAR(E112),0,IF((YEAR(D112)+17)&gt;YEAR(E112),1,(12-MONTH(E112)+1)/12))) + (Q112)*(IF((YEAR(D112)+17)&lt;YEAR(E112),0,IF((YEAR(D112)+17)&gt;YEAR(E112),1,(12-MONTH(E112)+1)/12))))-((P112)*(IF((YEAR(D112)+17)&lt;YEAR(E112),0,IF((YEAR(D112)+17)&gt;YEAR(E112),1,(12-MONTH(E112)+1)/12))) + (R112)*(IF((YEAR(D112)+17)&lt;YEAR(E112),0,IF((YEAR(D112)+17)&gt;YEAR(E112),1,(12-MONTH(E112)+1)/12))))-(IF(OR(N112="",N112&lt;=0),0,(O112/N112)*(IF(OR(N112="",N112&lt;=0),0,IF((YEAR(D112)+17)&lt;YEAR(E112),0,IF((YEAR(D112)+17)&gt;=YEAR(E112)+N112,0,IF((YEAR(D112)+17)=YEAR(E112),(12-MONTH(E112)+1)/12,1))))))))*TaxRate,0))-IF(17=0,O112,0))</f>
        <v/>
      </c>
      <c r="AK112" s="29">
        <f>IF(A112="","",((K112)*(IF(M112="",L112,IFERROR(IF(INDEX(Variablen!$I:$AT, MATCH(M112, Variablen!$A:$A, 0), MATCH((YEAR(D112)+18), Variablen!$I$3:$AT$3, 0))="",L112,INDEX(Variablen!$I:$AT, MATCH(M112, Variablen!$A:$A, 0), MATCH((YEAR(D112)+18), Variablen!$I$3:$AT$3, 0))),L112)))*(IF((YEAR(D112)+18)&lt;YEAR(E112),0,IF((YEAR(D112)+18)&gt;YEAR(E112),1,(12-MONTH(E112)+1)/12))) + (Q112)*(IF((YEAR(D112)+18)&lt;YEAR(E112),0,IF((YEAR(D112)+18)&gt;YEAR(E112),1,(12-MONTH(E112)+1)/12))))-((P112)*(IF((YEAR(D112)+18)&lt;YEAR(E112),0,IF((YEAR(D112)+18)&gt;YEAR(E112),1,(12-MONTH(E112)+1)/12))) + (R112)*(IF((YEAR(D112)+18)&lt;YEAR(E112),0,IF((YEAR(D112)+18)&gt;YEAR(E112),1,(12-MONTH(E112)+1)/12))))-(IF((((K112)*(IF(M112="",L112,IFERROR(IF(INDEX(Variablen!$I:$AT, MATCH(M112, Variablen!$A:$A, 0), MATCH((YEAR(D112)+18), Variablen!$I$3:$AT$3, 0))="",L112,INDEX(Variablen!$I:$AT, MATCH(M112, Variablen!$A:$A, 0), MATCH((YEAR(D112)+18), Variablen!$I$3:$AT$3, 0))),L112)))*(IF((YEAR(D112)+18)&lt;YEAR(E112),0,IF((YEAR(D112)+18)&gt;YEAR(E112),1,(12-MONTH(E112)+1)/12))) + (Q112)*(IF((YEAR(D112)+18)&lt;YEAR(E112),0,IF((YEAR(D112)+18)&gt;YEAR(E112),1,(12-MONTH(E112)+1)/12))))-((P112)*(IF((YEAR(D112)+18)&lt;YEAR(E112),0,IF((YEAR(D112)+18)&gt;YEAR(E112),1,(12-MONTH(E112)+1)/12))) + (R112)*(IF((YEAR(D112)+18)&lt;YEAR(E112),0,IF((YEAR(D112)+18)&gt;YEAR(E112),1,(12-MONTH(E112)+1)/12))))-(IF(OR(N112="",N112&lt;=0),0,(O112/N112)*(IF(OR(N112="",N112&lt;=0),0,IF((YEAR(D112)+18)&lt;YEAR(E112),0,IF((YEAR(D112)+18)&gt;=YEAR(E112)+N112,0,IF((YEAR(D112)+18)=YEAR(E112),(12-MONTH(E112)+1)/12,1))))))))&gt;0,(((K112)*(IF(M112="",L112,IFERROR(IF(INDEX(Variablen!$I:$AT, MATCH(M112, Variablen!$A:$A, 0), MATCH((YEAR(D112)+18), Variablen!$I$3:$AT$3, 0))="",L112,INDEX(Variablen!$I:$AT, MATCH(M112, Variablen!$A:$A, 0), MATCH((YEAR(D112)+18), Variablen!$I$3:$AT$3, 0))),L112)))*(IF((YEAR(D112)+18)&lt;YEAR(E112),0,IF((YEAR(D112)+18)&gt;YEAR(E112),1,(12-MONTH(E112)+1)/12))) + (Q112)*(IF((YEAR(D112)+18)&lt;YEAR(E112),0,IF((YEAR(D112)+18)&gt;YEAR(E112),1,(12-MONTH(E112)+1)/12))))-((P112)*(IF((YEAR(D112)+18)&lt;YEAR(E112),0,IF((YEAR(D112)+18)&gt;YEAR(E112),1,(12-MONTH(E112)+1)/12))) + (R112)*(IF((YEAR(D112)+18)&lt;YEAR(E112),0,IF((YEAR(D112)+18)&gt;YEAR(E112),1,(12-MONTH(E112)+1)/12))))-(IF(OR(N112="",N112&lt;=0),0,(O112/N112)*(IF(OR(N112="",N112&lt;=0),0,IF((YEAR(D112)+18)&lt;YEAR(E112),0,IF((YEAR(D112)+18)&gt;=YEAR(E112)+N112,0,IF((YEAR(D112)+18)=YEAR(E112),(12-MONTH(E112)+1)/12,1))))))))*TaxRate,0))-IF(18=0,O112,0))</f>
        <v/>
      </c>
      <c r="AL112" s="29">
        <f>IF(A112="","",((K112)*(IF(M112="",L112,IFERROR(IF(INDEX(Variablen!$I:$AT, MATCH(M112, Variablen!$A:$A, 0), MATCH((YEAR(D112)+19), Variablen!$I$3:$AT$3, 0))="",L112,INDEX(Variablen!$I:$AT, MATCH(M112, Variablen!$A:$A, 0), MATCH((YEAR(D112)+19), Variablen!$I$3:$AT$3, 0))),L112)))*(IF((YEAR(D112)+19)&lt;YEAR(E112),0,IF((YEAR(D112)+19)&gt;YEAR(E112),1,(12-MONTH(E112)+1)/12))) + (Q112)*(IF((YEAR(D112)+19)&lt;YEAR(E112),0,IF((YEAR(D112)+19)&gt;YEAR(E112),1,(12-MONTH(E112)+1)/12))))-((P112)*(IF((YEAR(D112)+19)&lt;YEAR(E112),0,IF((YEAR(D112)+19)&gt;YEAR(E112),1,(12-MONTH(E112)+1)/12))) + (R112)*(IF((YEAR(D112)+19)&lt;YEAR(E112),0,IF((YEAR(D112)+19)&gt;YEAR(E112),1,(12-MONTH(E112)+1)/12))))-(IF((((K112)*(IF(M112="",L112,IFERROR(IF(INDEX(Variablen!$I:$AT, MATCH(M112, Variablen!$A:$A, 0), MATCH((YEAR(D112)+19), Variablen!$I$3:$AT$3, 0))="",L112,INDEX(Variablen!$I:$AT, MATCH(M112, Variablen!$A:$A, 0), MATCH((YEAR(D112)+19), Variablen!$I$3:$AT$3, 0))),L112)))*(IF((YEAR(D112)+19)&lt;YEAR(E112),0,IF((YEAR(D112)+19)&gt;YEAR(E112),1,(12-MONTH(E112)+1)/12))) + (Q112)*(IF((YEAR(D112)+19)&lt;YEAR(E112),0,IF((YEAR(D112)+19)&gt;YEAR(E112),1,(12-MONTH(E112)+1)/12))))-((P112)*(IF((YEAR(D112)+19)&lt;YEAR(E112),0,IF((YEAR(D112)+19)&gt;YEAR(E112),1,(12-MONTH(E112)+1)/12))) + (R112)*(IF((YEAR(D112)+19)&lt;YEAR(E112),0,IF((YEAR(D112)+19)&gt;YEAR(E112),1,(12-MONTH(E112)+1)/12))))-(IF(OR(N112="",N112&lt;=0),0,(O112/N112)*(IF(OR(N112="",N112&lt;=0),0,IF((YEAR(D112)+19)&lt;YEAR(E112),0,IF((YEAR(D112)+19)&gt;=YEAR(E112)+N112,0,IF((YEAR(D112)+19)=YEAR(E112),(12-MONTH(E112)+1)/12,1))))))))&gt;0,(((K112)*(IF(M112="",L112,IFERROR(IF(INDEX(Variablen!$I:$AT, MATCH(M112, Variablen!$A:$A, 0), MATCH((YEAR(D112)+19), Variablen!$I$3:$AT$3, 0))="",L112,INDEX(Variablen!$I:$AT, MATCH(M112, Variablen!$A:$A, 0), MATCH((YEAR(D112)+19), Variablen!$I$3:$AT$3, 0))),L112)))*(IF((YEAR(D112)+19)&lt;YEAR(E112),0,IF((YEAR(D112)+19)&gt;YEAR(E112),1,(12-MONTH(E112)+1)/12))) + (Q112)*(IF((YEAR(D112)+19)&lt;YEAR(E112),0,IF((YEAR(D112)+19)&gt;YEAR(E112),1,(12-MONTH(E112)+1)/12))))-((P112)*(IF((YEAR(D112)+19)&lt;YEAR(E112),0,IF((YEAR(D112)+19)&gt;YEAR(E112),1,(12-MONTH(E112)+1)/12))) + (R112)*(IF((YEAR(D112)+19)&lt;YEAR(E112),0,IF((YEAR(D112)+19)&gt;YEAR(E112),1,(12-MONTH(E112)+1)/12))))-(IF(OR(N112="",N112&lt;=0),0,(O112/N112)*(IF(OR(N112="",N112&lt;=0),0,IF((YEAR(D112)+19)&lt;YEAR(E112),0,IF((YEAR(D112)+19)&gt;=YEAR(E112)+N112,0,IF((YEAR(D112)+19)=YEAR(E112),(12-MONTH(E112)+1)/12,1))))))))*TaxRate,0))-IF(19=0,O112,0))</f>
        <v/>
      </c>
      <c r="AM112" s="29">
        <f>IF(A112="","",((K112)*(IF(M112="",L112,IFERROR(IF(INDEX(Variablen!$I:$AT, MATCH(M112, Variablen!$A:$A, 0), MATCH((YEAR(D112)+20), Variablen!$I$3:$AT$3, 0))="",L112,INDEX(Variablen!$I:$AT, MATCH(M112, Variablen!$A:$A, 0), MATCH((YEAR(D112)+20), Variablen!$I$3:$AT$3, 0))),L112)))*(IF((YEAR(D112)+20)&lt;YEAR(E112),0,IF((YEAR(D112)+20)&gt;YEAR(E112),1,(12-MONTH(E112)+1)/12))) + (Q112)*(IF((YEAR(D112)+20)&lt;YEAR(E112),0,IF((YEAR(D112)+20)&gt;YEAR(E112),1,(12-MONTH(E112)+1)/12))))-((P112)*(IF((YEAR(D112)+20)&lt;YEAR(E112),0,IF((YEAR(D112)+20)&gt;YEAR(E112),1,(12-MONTH(E112)+1)/12))) + (R112)*(IF((YEAR(D112)+20)&lt;YEAR(E112),0,IF((YEAR(D112)+20)&gt;YEAR(E112),1,(12-MONTH(E112)+1)/12))))-(IF((((K112)*(IF(M112="",L112,IFERROR(IF(INDEX(Variablen!$I:$AT, MATCH(M112, Variablen!$A:$A, 0), MATCH((YEAR(D112)+20), Variablen!$I$3:$AT$3, 0))="",L112,INDEX(Variablen!$I:$AT, MATCH(M112, Variablen!$A:$A, 0), MATCH((YEAR(D112)+20), Variablen!$I$3:$AT$3, 0))),L112)))*(IF((YEAR(D112)+20)&lt;YEAR(E112),0,IF((YEAR(D112)+20)&gt;YEAR(E112),1,(12-MONTH(E112)+1)/12))) + (Q112)*(IF((YEAR(D112)+20)&lt;YEAR(E112),0,IF((YEAR(D112)+20)&gt;YEAR(E112),1,(12-MONTH(E112)+1)/12))))-((P112)*(IF((YEAR(D112)+20)&lt;YEAR(E112),0,IF((YEAR(D112)+20)&gt;YEAR(E112),1,(12-MONTH(E112)+1)/12))) + (R112)*(IF((YEAR(D112)+20)&lt;YEAR(E112),0,IF((YEAR(D112)+20)&gt;YEAR(E112),1,(12-MONTH(E112)+1)/12))))-(IF(OR(N112="",N112&lt;=0),0,(O112/N112)*(IF(OR(N112="",N112&lt;=0),0,IF((YEAR(D112)+20)&lt;YEAR(E112),0,IF((YEAR(D112)+20)&gt;=YEAR(E112)+N112,0,IF((YEAR(D112)+20)=YEAR(E112),(12-MONTH(E112)+1)/12,1))))))))&gt;0,(((K112)*(IF(M112="",L112,IFERROR(IF(INDEX(Variablen!$I:$AT, MATCH(M112, Variablen!$A:$A, 0), MATCH((YEAR(D112)+20), Variablen!$I$3:$AT$3, 0))="",L112,INDEX(Variablen!$I:$AT, MATCH(M112, Variablen!$A:$A, 0), MATCH((YEAR(D112)+20), Variablen!$I$3:$AT$3, 0))),L112)))*(IF((YEAR(D112)+20)&lt;YEAR(E112),0,IF((YEAR(D112)+20)&gt;YEAR(E112),1,(12-MONTH(E112)+1)/12))) + (Q112)*(IF((YEAR(D112)+20)&lt;YEAR(E112),0,IF((YEAR(D112)+20)&gt;YEAR(E112),1,(12-MONTH(E112)+1)/12))))-((P112)*(IF((YEAR(D112)+20)&lt;YEAR(E112),0,IF((YEAR(D112)+20)&gt;YEAR(E112),1,(12-MONTH(E112)+1)/12))) + (R112)*(IF((YEAR(D112)+20)&lt;YEAR(E112),0,IF((YEAR(D112)+20)&gt;YEAR(E112),1,(12-MONTH(E112)+1)/12))))-(IF(OR(N112="",N112&lt;=0),0,(O112/N112)*(IF(OR(N112="",N112&lt;=0),0,IF((YEAR(D112)+20)&lt;YEAR(E112),0,IF((YEAR(D112)+20)&gt;=YEAR(E112)+N112,0,IF((YEAR(D112)+20)=YEAR(E112),(12-MONTH(E112)+1)/12,1))))))))*TaxRate,0))-IF(20=0,O112,0))</f>
        <v/>
      </c>
      <c r="AN112" s="29">
        <f>IF(A112="","",S112)</f>
        <v/>
      </c>
      <c r="AO112" s="29">
        <f>IF(A112="","",AN112+T112)</f>
        <v/>
      </c>
      <c r="AP112" s="29">
        <f>IF(A112="","",AO112+U112)</f>
        <v/>
      </c>
      <c r="AQ112" s="29">
        <f>IF(A112="","",AP112+V112)</f>
        <v/>
      </c>
      <c r="AR112" s="29">
        <f>IF(A112="","",AQ112+W112)</f>
        <v/>
      </c>
      <c r="AS112" s="29">
        <f>IF(A112="","",AR112+X112)</f>
        <v/>
      </c>
      <c r="AT112" s="29">
        <f>IF(A112="","",AS112+Y112)</f>
        <v/>
      </c>
      <c r="AU112" s="29">
        <f>IF(A112="","",AT112+Z112)</f>
        <v/>
      </c>
      <c r="AV112" s="29">
        <f>IF(A112="","",AU112+AA112)</f>
        <v/>
      </c>
      <c r="AW112" s="29">
        <f>IF(A112="","",AV112+AB112)</f>
        <v/>
      </c>
      <c r="AX112" s="29">
        <f>IF(A112="","",AW112+AC112)</f>
        <v/>
      </c>
      <c r="AY112" s="29">
        <f>IF(A112="","",AX112+AD112)</f>
        <v/>
      </c>
      <c r="AZ112" s="29">
        <f>IF(A112="","",AY112+AE112)</f>
        <v/>
      </c>
      <c r="BA112" s="29">
        <f>IF(A112="","",AZ112+AF112)</f>
        <v/>
      </c>
      <c r="BB112" s="29">
        <f>IF(A112="","",BA112+AG112)</f>
        <v/>
      </c>
      <c r="BC112" s="29">
        <f>IF(A112="","",BB112+AH112)</f>
        <v/>
      </c>
      <c r="BD112" s="29">
        <f>IF(A112="","",BC112+AI112)</f>
        <v/>
      </c>
      <c r="BE112" s="29">
        <f>IF(A112="","",BD112+AJ112)</f>
        <v/>
      </c>
      <c r="BF112" s="29">
        <f>IF(A112="","",BE112+AK112)</f>
        <v/>
      </c>
      <c r="BG112" s="29">
        <f>IF(A112="","",BF112+AL112)</f>
        <v/>
      </c>
      <c r="BH112" s="29">
        <f>IF(A112="","",BG112+AM112)</f>
        <v/>
      </c>
      <c r="BI112" s="36">
        <f>IF(A112="","",(K112)*(IF((YEAR(D112)+0)&lt;YEAR(E112),0,IF((YEAR(D112)+0)&gt;YEAR(E112),1,(12-MONTH(E112)+1)/12)))*(1/(1+DiscountRate)^0))</f>
        <v/>
      </c>
      <c r="BJ112" s="36">
        <f>IF(A112="","",(K112)*(IF((YEAR(D112)+1)&lt;YEAR(E112),0,IF((YEAR(D112)+1)&gt;YEAR(E112),1,(12-MONTH(E112)+1)/12)))*(1/(1+DiscountRate)^1))</f>
        <v/>
      </c>
      <c r="BK112" s="36">
        <f>IF(A112="","",(K112)*(IF((YEAR(D112)+2)&lt;YEAR(E112),0,IF((YEAR(D112)+2)&gt;YEAR(E112),1,(12-MONTH(E112)+1)/12)))*(1/(1+DiscountRate)^2))</f>
        <v/>
      </c>
      <c r="BL112" s="36">
        <f>IF(A112="","",(K112)*(IF((YEAR(D112)+3)&lt;YEAR(E112),0,IF((YEAR(D112)+3)&gt;YEAR(E112),1,(12-MONTH(E112)+1)/12)))*(1/(1+DiscountRate)^3))</f>
        <v/>
      </c>
      <c r="BM112" s="36">
        <f>IF(A112="","",(K112)*(IF((YEAR(D112)+4)&lt;YEAR(E112),0,IF((YEAR(D112)+4)&gt;YEAR(E112),1,(12-MONTH(E112)+1)/12)))*(1/(1+DiscountRate)^4))</f>
        <v/>
      </c>
      <c r="BN112" s="36">
        <f>IF(A112="","",(K112)*(IF((YEAR(D112)+5)&lt;YEAR(E112),0,IF((YEAR(D112)+5)&gt;YEAR(E112),1,(12-MONTH(E112)+1)/12)))*(1/(1+DiscountRate)^5))</f>
        <v/>
      </c>
      <c r="BO112" s="36">
        <f>IF(A112="","",(K112)*(IF((YEAR(D112)+6)&lt;YEAR(E112),0,IF((YEAR(D112)+6)&gt;YEAR(E112),1,(12-MONTH(E112)+1)/12)))*(1/(1+DiscountRate)^6))</f>
        <v/>
      </c>
      <c r="BP112" s="36">
        <f>IF(A112="","",(K112)*(IF((YEAR(D112)+7)&lt;YEAR(E112),0,IF((YEAR(D112)+7)&gt;YEAR(E112),1,(12-MONTH(E112)+1)/12)))*(1/(1+DiscountRate)^7))</f>
        <v/>
      </c>
      <c r="BQ112" s="36">
        <f>IF(A112="","",(K112)*(IF((YEAR(D112)+8)&lt;YEAR(E112),0,IF((YEAR(D112)+8)&gt;YEAR(E112),1,(12-MONTH(E112)+1)/12)))*(1/(1+DiscountRate)^8))</f>
        <v/>
      </c>
      <c r="BR112" s="36">
        <f>IF(A112="","",(K112)*(IF((YEAR(D112)+9)&lt;YEAR(E112),0,IF((YEAR(D112)+9)&gt;YEAR(E112),1,(12-MONTH(E112)+1)/12)))*(1/(1+DiscountRate)^9))</f>
        <v/>
      </c>
      <c r="BS112" s="36">
        <f>IF(A112="","",(K112)*(IF((YEAR(D112)+10)&lt;YEAR(E112),0,IF((YEAR(D112)+10)&gt;YEAR(E112),1,(12-MONTH(E112)+1)/12)))*(1/(1+DiscountRate)^10))</f>
        <v/>
      </c>
      <c r="BT112" s="36">
        <f>IF(A112="","",(K112)*(IF((YEAR(D112)+11)&lt;YEAR(E112),0,IF((YEAR(D112)+11)&gt;YEAR(E112),1,(12-MONTH(E112)+1)/12)))*(1/(1+DiscountRate)^11))</f>
        <v/>
      </c>
      <c r="BU112" s="36">
        <f>IF(A112="","",(K112)*(IF((YEAR(D112)+12)&lt;YEAR(E112),0,IF((YEAR(D112)+12)&gt;YEAR(E112),1,(12-MONTH(E112)+1)/12)))*(1/(1+DiscountRate)^12))</f>
        <v/>
      </c>
      <c r="BV112" s="36">
        <f>IF(A112="","",(K112)*(IF((YEAR(D112)+13)&lt;YEAR(E112),0,IF((YEAR(D112)+13)&gt;YEAR(E112),1,(12-MONTH(E112)+1)/12)))*(1/(1+DiscountRate)^13))</f>
        <v/>
      </c>
      <c r="BW112" s="36">
        <f>IF(A112="","",(K112)*(IF((YEAR(D112)+14)&lt;YEAR(E112),0,IF((YEAR(D112)+14)&gt;YEAR(E112),1,(12-MONTH(E112)+1)/12)))*(1/(1+DiscountRate)^14))</f>
        <v/>
      </c>
      <c r="BX112" s="36">
        <f>IF(A112="","",(K112)*(IF((YEAR(D112)+15)&lt;YEAR(E112),0,IF((YEAR(D112)+15)&gt;YEAR(E112),1,(12-MONTH(E112)+1)/12)))*(1/(1+DiscountRate)^15))</f>
        <v/>
      </c>
      <c r="BY112" s="36">
        <f>IF(A112="","",(K112)*(IF((YEAR(D112)+16)&lt;YEAR(E112),0,IF((YEAR(D112)+16)&gt;YEAR(E112),1,(12-MONTH(E112)+1)/12)))*(1/(1+DiscountRate)^16))</f>
        <v/>
      </c>
      <c r="BZ112" s="36">
        <f>IF(A112="","",(K112)*(IF((YEAR(D112)+17)&lt;YEAR(E112),0,IF((YEAR(D112)+17)&gt;YEAR(E112),1,(12-MONTH(E112)+1)/12)))*(1/(1+DiscountRate)^17))</f>
        <v/>
      </c>
      <c r="CA112" s="36">
        <f>IF(A112="","",(K112)*(IF((YEAR(D112)+18)&lt;YEAR(E112),0,IF((YEAR(D112)+18)&gt;YEAR(E112),1,(12-MONTH(E112)+1)/12)))*(1/(1+DiscountRate)^18))</f>
        <v/>
      </c>
      <c r="CB112" s="36">
        <f>IF(A112="","",(K112)*(IF((YEAR(D112)+19)&lt;YEAR(E112),0,IF((YEAR(D112)+19)&gt;YEAR(E112),1,(12-MONTH(E112)+1)/12)))*(1/(1+DiscountRate)^19))</f>
        <v/>
      </c>
      <c r="CC112" s="36">
        <f>IF(A112="","",(K112)*(IF((YEAR(D112)+20)&lt;YEAR(E112),0,IF((YEAR(D112)+20)&gt;YEAR(E112),1,(12-MONTH(E112)+1)/12)))*(1/(1+DiscountRate)^20))</f>
        <v/>
      </c>
      <c r="CD112" s="29">
        <f>IF(A112="","",S112/(1+DiscountRate)^0+T112/(1+DiscountRate)^1+U112/(1+DiscountRate)^2+V112/(1+DiscountRate)^3+W112/(1+DiscountRate)^4+X112/(1+DiscountRate)^5+Y112/(1+DiscountRate)^6+Z112/(1+DiscountRate)^7+AA112/(1+DiscountRate)^8+AB112/(1+DiscountRate)^9+AC112/(1+DiscountRate)^10+AD112/(1+DiscountRate)^11+AE112/(1+DiscountRate)^12+AF112/(1+DiscountRate)^13+AG112/(1+DiscountRate)^14+AH112/(1+DiscountRate)^15+AI112/(1+DiscountRate)^16+AJ112/(1+DiscountRate)^17+AK112/(1+DiscountRate)^18+AL112/(1+DiscountRate)^19+AM112/(1+DiscountRate)^20)</f>
        <v/>
      </c>
      <c r="CE112" s="37">
        <f>IF(A112="","",IFERROR(IRR(OFFSET(S112,0,0,1,MIN(HorizonYears,20)+1)),"n/a"))</f>
        <v/>
      </c>
      <c r="CF112" s="28">
        <f>IF(A112="","",IFERROR(MATCH(TRUE,OFFSET(AN112,0,0,1,MIN(HorizonYears,20)+1)&gt;=0,0)-1,"n/a"))</f>
        <v/>
      </c>
      <c r="CG112" s="36">
        <f>IF(A112="","",SUM(OFFSET(BI112,0,0,1,MIN(HorizonYears,20)+1)))</f>
        <v/>
      </c>
      <c r="CH112" s="36">
        <f>IF(A112="","",IFERROR(-CD112/CG112,"n/a"))</f>
        <v/>
      </c>
    </row>
    <row r="113">
      <c r="A113" s="6">
        <f>Actions!A111</f>
        <v/>
      </c>
      <c r="B113" s="6">
        <f>Actions!B111</f>
        <v/>
      </c>
      <c r="C113" s="6">
        <f>Actions!D111</f>
        <v/>
      </c>
      <c r="D113" s="35">
        <f>Actions!E111</f>
        <v/>
      </c>
      <c r="E113" s="35">
        <f>Actions!F111</f>
        <v/>
      </c>
      <c r="F113" s="6">
        <f>Actions!G111</f>
        <v/>
      </c>
      <c r="G113" s="6">
        <f>Actions!H111</f>
        <v/>
      </c>
      <c r="H113" s="29">
        <f>Actions!I111</f>
        <v/>
      </c>
      <c r="I113" s="6">
        <f>Actions!J111</f>
        <v/>
      </c>
      <c r="J113" s="16">
        <f>Actions!K111</f>
        <v/>
      </c>
      <c r="K113" s="16">
        <f>IF(A113="","",IF(I113="%",H113*J113,J113))</f>
        <v/>
      </c>
      <c r="L113" s="16">
        <f>Actions!L111</f>
        <v/>
      </c>
      <c r="M113" s="6">
        <f>Actions!M111</f>
        <v/>
      </c>
      <c r="N113" s="28">
        <f>Actions!N111</f>
        <v/>
      </c>
      <c r="O113" s="29">
        <f>Actions!T111</f>
        <v/>
      </c>
      <c r="P113" s="29">
        <f>Actions!Y111</f>
        <v/>
      </c>
      <c r="Q113" s="29">
        <f>Actions!Z111</f>
        <v/>
      </c>
      <c r="R113" s="29">
        <f>Actions!AA111</f>
        <v/>
      </c>
      <c r="S113" s="29">
        <f>IF(A113="","",((K113)*(IF(M113="",L113,IFERROR(IF(INDEX(Variablen!$I:$AT, MATCH(M113, Variablen!$A:$A, 0), MATCH((YEAR(D113)+0), Variablen!$I$3:$AT$3, 0))="",L113,INDEX(Variablen!$I:$AT, MATCH(M113, Variablen!$A:$A, 0), MATCH((YEAR(D113)+0), Variablen!$I$3:$AT$3, 0))),L113)))*(IF((YEAR(D113)+0)&lt;YEAR(E113),0,IF((YEAR(D113)+0)&gt;YEAR(E113),1,(12-MONTH(E113)+1)/12))) + (Q113)*(IF((YEAR(D113)+0)&lt;YEAR(E113),0,IF((YEAR(D113)+0)&gt;YEAR(E113),1,(12-MONTH(E113)+1)/12))))-((P113)*(IF((YEAR(D113)+0)&lt;YEAR(E113),0,IF((YEAR(D113)+0)&gt;YEAR(E113),1,(12-MONTH(E113)+1)/12))) + (R113)*(IF((YEAR(D113)+0)&lt;YEAR(E113),0,IF((YEAR(D113)+0)&gt;YEAR(E113),1,(12-MONTH(E113)+1)/12))))-(IF((((K113)*(IF(M113="",L113,IFERROR(IF(INDEX(Variablen!$I:$AT, MATCH(M113, Variablen!$A:$A, 0), MATCH((YEAR(D113)+0), Variablen!$I$3:$AT$3, 0))="",L113,INDEX(Variablen!$I:$AT, MATCH(M113, Variablen!$A:$A, 0), MATCH((YEAR(D113)+0), Variablen!$I$3:$AT$3, 0))),L113)))*(IF((YEAR(D113)+0)&lt;YEAR(E113),0,IF((YEAR(D113)+0)&gt;YEAR(E113),1,(12-MONTH(E113)+1)/12))) + (Q113)*(IF((YEAR(D113)+0)&lt;YEAR(E113),0,IF((YEAR(D113)+0)&gt;YEAR(E113),1,(12-MONTH(E113)+1)/12))))-((P113)*(IF((YEAR(D113)+0)&lt;YEAR(E113),0,IF((YEAR(D113)+0)&gt;YEAR(E113),1,(12-MONTH(E113)+1)/12))) + (R113)*(IF((YEAR(D113)+0)&lt;YEAR(E113),0,IF((YEAR(D113)+0)&gt;YEAR(E113),1,(12-MONTH(E113)+1)/12))))-(IF(OR(N113="",N113&lt;=0),0,(O113/N113)*(IF(OR(N113="",N113&lt;=0),0,IF((YEAR(D113)+0)&lt;YEAR(E113),0,IF((YEAR(D113)+0)&gt;=YEAR(E113)+N113,0,IF((YEAR(D113)+0)=YEAR(E113),(12-MONTH(E113)+1)/12,1))))))))&gt;0,(((K113)*(IF(M113="",L113,IFERROR(IF(INDEX(Variablen!$I:$AT, MATCH(M113, Variablen!$A:$A, 0), MATCH((YEAR(D113)+0), Variablen!$I$3:$AT$3, 0))="",L113,INDEX(Variablen!$I:$AT, MATCH(M113, Variablen!$A:$A, 0), MATCH((YEAR(D113)+0), Variablen!$I$3:$AT$3, 0))),L113)))*(IF((YEAR(D113)+0)&lt;YEAR(E113),0,IF((YEAR(D113)+0)&gt;YEAR(E113),1,(12-MONTH(E113)+1)/12))) + (Q113)*(IF((YEAR(D113)+0)&lt;YEAR(E113),0,IF((YEAR(D113)+0)&gt;YEAR(E113),1,(12-MONTH(E113)+1)/12))))-((P113)*(IF((YEAR(D113)+0)&lt;YEAR(E113),0,IF((YEAR(D113)+0)&gt;YEAR(E113),1,(12-MONTH(E113)+1)/12))) + (R113)*(IF((YEAR(D113)+0)&lt;YEAR(E113),0,IF((YEAR(D113)+0)&gt;YEAR(E113),1,(12-MONTH(E113)+1)/12))))-(IF(OR(N113="",N113&lt;=0),0,(O113/N113)*(IF(OR(N113="",N113&lt;=0),0,IF((YEAR(D113)+0)&lt;YEAR(E113),0,IF((YEAR(D113)+0)&gt;=YEAR(E113)+N113,0,IF((YEAR(D113)+0)=YEAR(E113),(12-MONTH(E113)+1)/12,1))))))))*TaxRate,0))-IF(0=0,O113,0))</f>
        <v/>
      </c>
      <c r="T113" s="29">
        <f>IF(A113="","",((K113)*(IF(M113="",L113,IFERROR(IF(INDEX(Variablen!$I:$AT, MATCH(M113, Variablen!$A:$A, 0), MATCH((YEAR(D113)+1), Variablen!$I$3:$AT$3, 0))="",L113,INDEX(Variablen!$I:$AT, MATCH(M113, Variablen!$A:$A, 0), MATCH((YEAR(D113)+1), Variablen!$I$3:$AT$3, 0))),L113)))*(IF((YEAR(D113)+1)&lt;YEAR(E113),0,IF((YEAR(D113)+1)&gt;YEAR(E113),1,(12-MONTH(E113)+1)/12))) + (Q113)*(IF((YEAR(D113)+1)&lt;YEAR(E113),0,IF((YEAR(D113)+1)&gt;YEAR(E113),1,(12-MONTH(E113)+1)/12))))-((P113)*(IF((YEAR(D113)+1)&lt;YEAR(E113),0,IF((YEAR(D113)+1)&gt;YEAR(E113),1,(12-MONTH(E113)+1)/12))) + (R113)*(IF((YEAR(D113)+1)&lt;YEAR(E113),0,IF((YEAR(D113)+1)&gt;YEAR(E113),1,(12-MONTH(E113)+1)/12))))-(IF((((K113)*(IF(M113="",L113,IFERROR(IF(INDEX(Variablen!$I:$AT, MATCH(M113, Variablen!$A:$A, 0), MATCH((YEAR(D113)+1), Variablen!$I$3:$AT$3, 0))="",L113,INDEX(Variablen!$I:$AT, MATCH(M113, Variablen!$A:$A, 0), MATCH((YEAR(D113)+1), Variablen!$I$3:$AT$3, 0))),L113)))*(IF((YEAR(D113)+1)&lt;YEAR(E113),0,IF((YEAR(D113)+1)&gt;YEAR(E113),1,(12-MONTH(E113)+1)/12))) + (Q113)*(IF((YEAR(D113)+1)&lt;YEAR(E113),0,IF((YEAR(D113)+1)&gt;YEAR(E113),1,(12-MONTH(E113)+1)/12))))-((P113)*(IF((YEAR(D113)+1)&lt;YEAR(E113),0,IF((YEAR(D113)+1)&gt;YEAR(E113),1,(12-MONTH(E113)+1)/12))) + (R113)*(IF((YEAR(D113)+1)&lt;YEAR(E113),0,IF((YEAR(D113)+1)&gt;YEAR(E113),1,(12-MONTH(E113)+1)/12))))-(IF(OR(N113="",N113&lt;=0),0,(O113/N113)*(IF(OR(N113="",N113&lt;=0),0,IF((YEAR(D113)+1)&lt;YEAR(E113),0,IF((YEAR(D113)+1)&gt;=YEAR(E113)+N113,0,IF((YEAR(D113)+1)=YEAR(E113),(12-MONTH(E113)+1)/12,1))))))))&gt;0,(((K113)*(IF(M113="",L113,IFERROR(IF(INDEX(Variablen!$I:$AT, MATCH(M113, Variablen!$A:$A, 0), MATCH((YEAR(D113)+1), Variablen!$I$3:$AT$3, 0))="",L113,INDEX(Variablen!$I:$AT, MATCH(M113, Variablen!$A:$A, 0), MATCH((YEAR(D113)+1), Variablen!$I$3:$AT$3, 0))),L113)))*(IF((YEAR(D113)+1)&lt;YEAR(E113),0,IF((YEAR(D113)+1)&gt;YEAR(E113),1,(12-MONTH(E113)+1)/12))) + (Q113)*(IF((YEAR(D113)+1)&lt;YEAR(E113),0,IF((YEAR(D113)+1)&gt;YEAR(E113),1,(12-MONTH(E113)+1)/12))))-((P113)*(IF((YEAR(D113)+1)&lt;YEAR(E113),0,IF((YEAR(D113)+1)&gt;YEAR(E113),1,(12-MONTH(E113)+1)/12))) + (R113)*(IF((YEAR(D113)+1)&lt;YEAR(E113),0,IF((YEAR(D113)+1)&gt;YEAR(E113),1,(12-MONTH(E113)+1)/12))))-(IF(OR(N113="",N113&lt;=0),0,(O113/N113)*(IF(OR(N113="",N113&lt;=0),0,IF((YEAR(D113)+1)&lt;YEAR(E113),0,IF((YEAR(D113)+1)&gt;=YEAR(E113)+N113,0,IF((YEAR(D113)+1)=YEAR(E113),(12-MONTH(E113)+1)/12,1))))))))*TaxRate,0))-IF(1=0,O113,0))</f>
        <v/>
      </c>
      <c r="U113" s="29">
        <f>IF(A113="","",((K113)*(IF(M113="",L113,IFERROR(IF(INDEX(Variablen!$I:$AT, MATCH(M113, Variablen!$A:$A, 0), MATCH((YEAR(D113)+2), Variablen!$I$3:$AT$3, 0))="",L113,INDEX(Variablen!$I:$AT, MATCH(M113, Variablen!$A:$A, 0), MATCH((YEAR(D113)+2), Variablen!$I$3:$AT$3, 0))),L113)))*(IF((YEAR(D113)+2)&lt;YEAR(E113),0,IF((YEAR(D113)+2)&gt;YEAR(E113),1,(12-MONTH(E113)+1)/12))) + (Q113)*(IF((YEAR(D113)+2)&lt;YEAR(E113),0,IF((YEAR(D113)+2)&gt;YEAR(E113),1,(12-MONTH(E113)+1)/12))))-((P113)*(IF((YEAR(D113)+2)&lt;YEAR(E113),0,IF((YEAR(D113)+2)&gt;YEAR(E113),1,(12-MONTH(E113)+1)/12))) + (R113)*(IF((YEAR(D113)+2)&lt;YEAR(E113),0,IF((YEAR(D113)+2)&gt;YEAR(E113),1,(12-MONTH(E113)+1)/12))))-(IF((((K113)*(IF(M113="",L113,IFERROR(IF(INDEX(Variablen!$I:$AT, MATCH(M113, Variablen!$A:$A, 0), MATCH((YEAR(D113)+2), Variablen!$I$3:$AT$3, 0))="",L113,INDEX(Variablen!$I:$AT, MATCH(M113, Variablen!$A:$A, 0), MATCH((YEAR(D113)+2), Variablen!$I$3:$AT$3, 0))),L113)))*(IF((YEAR(D113)+2)&lt;YEAR(E113),0,IF((YEAR(D113)+2)&gt;YEAR(E113),1,(12-MONTH(E113)+1)/12))) + (Q113)*(IF((YEAR(D113)+2)&lt;YEAR(E113),0,IF((YEAR(D113)+2)&gt;YEAR(E113),1,(12-MONTH(E113)+1)/12))))-((P113)*(IF((YEAR(D113)+2)&lt;YEAR(E113),0,IF((YEAR(D113)+2)&gt;YEAR(E113),1,(12-MONTH(E113)+1)/12))) + (R113)*(IF((YEAR(D113)+2)&lt;YEAR(E113),0,IF((YEAR(D113)+2)&gt;YEAR(E113),1,(12-MONTH(E113)+1)/12))))-(IF(OR(N113="",N113&lt;=0),0,(O113/N113)*(IF(OR(N113="",N113&lt;=0),0,IF((YEAR(D113)+2)&lt;YEAR(E113),0,IF((YEAR(D113)+2)&gt;=YEAR(E113)+N113,0,IF((YEAR(D113)+2)=YEAR(E113),(12-MONTH(E113)+1)/12,1))))))))&gt;0,(((K113)*(IF(M113="",L113,IFERROR(IF(INDEX(Variablen!$I:$AT, MATCH(M113, Variablen!$A:$A, 0), MATCH((YEAR(D113)+2), Variablen!$I$3:$AT$3, 0))="",L113,INDEX(Variablen!$I:$AT, MATCH(M113, Variablen!$A:$A, 0), MATCH((YEAR(D113)+2), Variablen!$I$3:$AT$3, 0))),L113)))*(IF((YEAR(D113)+2)&lt;YEAR(E113),0,IF((YEAR(D113)+2)&gt;YEAR(E113),1,(12-MONTH(E113)+1)/12))) + (Q113)*(IF((YEAR(D113)+2)&lt;YEAR(E113),0,IF((YEAR(D113)+2)&gt;YEAR(E113),1,(12-MONTH(E113)+1)/12))))-((P113)*(IF((YEAR(D113)+2)&lt;YEAR(E113),0,IF((YEAR(D113)+2)&gt;YEAR(E113),1,(12-MONTH(E113)+1)/12))) + (R113)*(IF((YEAR(D113)+2)&lt;YEAR(E113),0,IF((YEAR(D113)+2)&gt;YEAR(E113),1,(12-MONTH(E113)+1)/12))))-(IF(OR(N113="",N113&lt;=0),0,(O113/N113)*(IF(OR(N113="",N113&lt;=0),0,IF((YEAR(D113)+2)&lt;YEAR(E113),0,IF((YEAR(D113)+2)&gt;=YEAR(E113)+N113,0,IF((YEAR(D113)+2)=YEAR(E113),(12-MONTH(E113)+1)/12,1))))))))*TaxRate,0))-IF(2=0,O113,0))</f>
        <v/>
      </c>
      <c r="V113" s="29">
        <f>IF(A113="","",((K113)*(IF(M113="",L113,IFERROR(IF(INDEX(Variablen!$I:$AT, MATCH(M113, Variablen!$A:$A, 0), MATCH((YEAR(D113)+3), Variablen!$I$3:$AT$3, 0))="",L113,INDEX(Variablen!$I:$AT, MATCH(M113, Variablen!$A:$A, 0), MATCH((YEAR(D113)+3), Variablen!$I$3:$AT$3, 0))),L113)))*(IF((YEAR(D113)+3)&lt;YEAR(E113),0,IF((YEAR(D113)+3)&gt;YEAR(E113),1,(12-MONTH(E113)+1)/12))) + (Q113)*(IF((YEAR(D113)+3)&lt;YEAR(E113),0,IF((YEAR(D113)+3)&gt;YEAR(E113),1,(12-MONTH(E113)+1)/12))))-((P113)*(IF((YEAR(D113)+3)&lt;YEAR(E113),0,IF((YEAR(D113)+3)&gt;YEAR(E113),1,(12-MONTH(E113)+1)/12))) + (R113)*(IF((YEAR(D113)+3)&lt;YEAR(E113),0,IF((YEAR(D113)+3)&gt;YEAR(E113),1,(12-MONTH(E113)+1)/12))))-(IF((((K113)*(IF(M113="",L113,IFERROR(IF(INDEX(Variablen!$I:$AT, MATCH(M113, Variablen!$A:$A, 0), MATCH((YEAR(D113)+3), Variablen!$I$3:$AT$3, 0))="",L113,INDEX(Variablen!$I:$AT, MATCH(M113, Variablen!$A:$A, 0), MATCH((YEAR(D113)+3), Variablen!$I$3:$AT$3, 0))),L113)))*(IF((YEAR(D113)+3)&lt;YEAR(E113),0,IF((YEAR(D113)+3)&gt;YEAR(E113),1,(12-MONTH(E113)+1)/12))) + (Q113)*(IF((YEAR(D113)+3)&lt;YEAR(E113),0,IF((YEAR(D113)+3)&gt;YEAR(E113),1,(12-MONTH(E113)+1)/12))))-((P113)*(IF((YEAR(D113)+3)&lt;YEAR(E113),0,IF((YEAR(D113)+3)&gt;YEAR(E113),1,(12-MONTH(E113)+1)/12))) + (R113)*(IF((YEAR(D113)+3)&lt;YEAR(E113),0,IF((YEAR(D113)+3)&gt;YEAR(E113),1,(12-MONTH(E113)+1)/12))))-(IF(OR(N113="",N113&lt;=0),0,(O113/N113)*(IF(OR(N113="",N113&lt;=0),0,IF((YEAR(D113)+3)&lt;YEAR(E113),0,IF((YEAR(D113)+3)&gt;=YEAR(E113)+N113,0,IF((YEAR(D113)+3)=YEAR(E113),(12-MONTH(E113)+1)/12,1))))))))&gt;0,(((K113)*(IF(M113="",L113,IFERROR(IF(INDEX(Variablen!$I:$AT, MATCH(M113, Variablen!$A:$A, 0), MATCH((YEAR(D113)+3), Variablen!$I$3:$AT$3, 0))="",L113,INDEX(Variablen!$I:$AT, MATCH(M113, Variablen!$A:$A, 0), MATCH((YEAR(D113)+3), Variablen!$I$3:$AT$3, 0))),L113)))*(IF((YEAR(D113)+3)&lt;YEAR(E113),0,IF((YEAR(D113)+3)&gt;YEAR(E113),1,(12-MONTH(E113)+1)/12))) + (Q113)*(IF((YEAR(D113)+3)&lt;YEAR(E113),0,IF((YEAR(D113)+3)&gt;YEAR(E113),1,(12-MONTH(E113)+1)/12))))-((P113)*(IF((YEAR(D113)+3)&lt;YEAR(E113),0,IF((YEAR(D113)+3)&gt;YEAR(E113),1,(12-MONTH(E113)+1)/12))) + (R113)*(IF((YEAR(D113)+3)&lt;YEAR(E113),0,IF((YEAR(D113)+3)&gt;YEAR(E113),1,(12-MONTH(E113)+1)/12))))-(IF(OR(N113="",N113&lt;=0),0,(O113/N113)*(IF(OR(N113="",N113&lt;=0),0,IF((YEAR(D113)+3)&lt;YEAR(E113),0,IF((YEAR(D113)+3)&gt;=YEAR(E113)+N113,0,IF((YEAR(D113)+3)=YEAR(E113),(12-MONTH(E113)+1)/12,1))))))))*TaxRate,0))-IF(3=0,O113,0))</f>
        <v/>
      </c>
      <c r="W113" s="29">
        <f>IF(A113="","",((K113)*(IF(M113="",L113,IFERROR(IF(INDEX(Variablen!$I:$AT, MATCH(M113, Variablen!$A:$A, 0), MATCH((YEAR(D113)+4), Variablen!$I$3:$AT$3, 0))="",L113,INDEX(Variablen!$I:$AT, MATCH(M113, Variablen!$A:$A, 0), MATCH((YEAR(D113)+4), Variablen!$I$3:$AT$3, 0))),L113)))*(IF((YEAR(D113)+4)&lt;YEAR(E113),0,IF((YEAR(D113)+4)&gt;YEAR(E113),1,(12-MONTH(E113)+1)/12))) + (Q113)*(IF((YEAR(D113)+4)&lt;YEAR(E113),0,IF((YEAR(D113)+4)&gt;YEAR(E113),1,(12-MONTH(E113)+1)/12))))-((P113)*(IF((YEAR(D113)+4)&lt;YEAR(E113),0,IF((YEAR(D113)+4)&gt;YEAR(E113),1,(12-MONTH(E113)+1)/12))) + (R113)*(IF((YEAR(D113)+4)&lt;YEAR(E113),0,IF((YEAR(D113)+4)&gt;YEAR(E113),1,(12-MONTH(E113)+1)/12))))-(IF((((K113)*(IF(M113="",L113,IFERROR(IF(INDEX(Variablen!$I:$AT, MATCH(M113, Variablen!$A:$A, 0), MATCH((YEAR(D113)+4), Variablen!$I$3:$AT$3, 0))="",L113,INDEX(Variablen!$I:$AT, MATCH(M113, Variablen!$A:$A, 0), MATCH((YEAR(D113)+4), Variablen!$I$3:$AT$3, 0))),L113)))*(IF((YEAR(D113)+4)&lt;YEAR(E113),0,IF((YEAR(D113)+4)&gt;YEAR(E113),1,(12-MONTH(E113)+1)/12))) + (Q113)*(IF((YEAR(D113)+4)&lt;YEAR(E113),0,IF((YEAR(D113)+4)&gt;YEAR(E113),1,(12-MONTH(E113)+1)/12))))-((P113)*(IF((YEAR(D113)+4)&lt;YEAR(E113),0,IF((YEAR(D113)+4)&gt;YEAR(E113),1,(12-MONTH(E113)+1)/12))) + (R113)*(IF((YEAR(D113)+4)&lt;YEAR(E113),0,IF((YEAR(D113)+4)&gt;YEAR(E113),1,(12-MONTH(E113)+1)/12))))-(IF(OR(N113="",N113&lt;=0),0,(O113/N113)*(IF(OR(N113="",N113&lt;=0),0,IF((YEAR(D113)+4)&lt;YEAR(E113),0,IF((YEAR(D113)+4)&gt;=YEAR(E113)+N113,0,IF((YEAR(D113)+4)=YEAR(E113),(12-MONTH(E113)+1)/12,1))))))))&gt;0,(((K113)*(IF(M113="",L113,IFERROR(IF(INDEX(Variablen!$I:$AT, MATCH(M113, Variablen!$A:$A, 0), MATCH((YEAR(D113)+4), Variablen!$I$3:$AT$3, 0))="",L113,INDEX(Variablen!$I:$AT, MATCH(M113, Variablen!$A:$A, 0), MATCH((YEAR(D113)+4), Variablen!$I$3:$AT$3, 0))),L113)))*(IF((YEAR(D113)+4)&lt;YEAR(E113),0,IF((YEAR(D113)+4)&gt;YEAR(E113),1,(12-MONTH(E113)+1)/12))) + (Q113)*(IF((YEAR(D113)+4)&lt;YEAR(E113),0,IF((YEAR(D113)+4)&gt;YEAR(E113),1,(12-MONTH(E113)+1)/12))))-((P113)*(IF((YEAR(D113)+4)&lt;YEAR(E113),0,IF((YEAR(D113)+4)&gt;YEAR(E113),1,(12-MONTH(E113)+1)/12))) + (R113)*(IF((YEAR(D113)+4)&lt;YEAR(E113),0,IF((YEAR(D113)+4)&gt;YEAR(E113),1,(12-MONTH(E113)+1)/12))))-(IF(OR(N113="",N113&lt;=0),0,(O113/N113)*(IF(OR(N113="",N113&lt;=0),0,IF((YEAR(D113)+4)&lt;YEAR(E113),0,IF((YEAR(D113)+4)&gt;=YEAR(E113)+N113,0,IF((YEAR(D113)+4)=YEAR(E113),(12-MONTH(E113)+1)/12,1))))))))*TaxRate,0))-IF(4=0,O113,0))</f>
        <v/>
      </c>
      <c r="X113" s="29">
        <f>IF(A113="","",((K113)*(IF(M113="",L113,IFERROR(IF(INDEX(Variablen!$I:$AT, MATCH(M113, Variablen!$A:$A, 0), MATCH((YEAR(D113)+5), Variablen!$I$3:$AT$3, 0))="",L113,INDEX(Variablen!$I:$AT, MATCH(M113, Variablen!$A:$A, 0), MATCH((YEAR(D113)+5), Variablen!$I$3:$AT$3, 0))),L113)))*(IF((YEAR(D113)+5)&lt;YEAR(E113),0,IF((YEAR(D113)+5)&gt;YEAR(E113),1,(12-MONTH(E113)+1)/12))) + (Q113)*(IF((YEAR(D113)+5)&lt;YEAR(E113),0,IF((YEAR(D113)+5)&gt;YEAR(E113),1,(12-MONTH(E113)+1)/12))))-((P113)*(IF((YEAR(D113)+5)&lt;YEAR(E113),0,IF((YEAR(D113)+5)&gt;YEAR(E113),1,(12-MONTH(E113)+1)/12))) + (R113)*(IF((YEAR(D113)+5)&lt;YEAR(E113),0,IF((YEAR(D113)+5)&gt;YEAR(E113),1,(12-MONTH(E113)+1)/12))))-(IF((((K113)*(IF(M113="",L113,IFERROR(IF(INDEX(Variablen!$I:$AT, MATCH(M113, Variablen!$A:$A, 0), MATCH((YEAR(D113)+5), Variablen!$I$3:$AT$3, 0))="",L113,INDEX(Variablen!$I:$AT, MATCH(M113, Variablen!$A:$A, 0), MATCH((YEAR(D113)+5), Variablen!$I$3:$AT$3, 0))),L113)))*(IF((YEAR(D113)+5)&lt;YEAR(E113),0,IF((YEAR(D113)+5)&gt;YEAR(E113),1,(12-MONTH(E113)+1)/12))) + (Q113)*(IF((YEAR(D113)+5)&lt;YEAR(E113),0,IF((YEAR(D113)+5)&gt;YEAR(E113),1,(12-MONTH(E113)+1)/12))))-((P113)*(IF((YEAR(D113)+5)&lt;YEAR(E113),0,IF((YEAR(D113)+5)&gt;YEAR(E113),1,(12-MONTH(E113)+1)/12))) + (R113)*(IF((YEAR(D113)+5)&lt;YEAR(E113),0,IF((YEAR(D113)+5)&gt;YEAR(E113),1,(12-MONTH(E113)+1)/12))))-(IF(OR(N113="",N113&lt;=0),0,(O113/N113)*(IF(OR(N113="",N113&lt;=0),0,IF((YEAR(D113)+5)&lt;YEAR(E113),0,IF((YEAR(D113)+5)&gt;=YEAR(E113)+N113,0,IF((YEAR(D113)+5)=YEAR(E113),(12-MONTH(E113)+1)/12,1))))))))&gt;0,(((K113)*(IF(M113="",L113,IFERROR(IF(INDEX(Variablen!$I:$AT, MATCH(M113, Variablen!$A:$A, 0), MATCH((YEAR(D113)+5), Variablen!$I$3:$AT$3, 0))="",L113,INDEX(Variablen!$I:$AT, MATCH(M113, Variablen!$A:$A, 0), MATCH((YEAR(D113)+5), Variablen!$I$3:$AT$3, 0))),L113)))*(IF((YEAR(D113)+5)&lt;YEAR(E113),0,IF((YEAR(D113)+5)&gt;YEAR(E113),1,(12-MONTH(E113)+1)/12))) + (Q113)*(IF((YEAR(D113)+5)&lt;YEAR(E113),0,IF((YEAR(D113)+5)&gt;YEAR(E113),1,(12-MONTH(E113)+1)/12))))-((P113)*(IF((YEAR(D113)+5)&lt;YEAR(E113),0,IF((YEAR(D113)+5)&gt;YEAR(E113),1,(12-MONTH(E113)+1)/12))) + (R113)*(IF((YEAR(D113)+5)&lt;YEAR(E113),0,IF((YEAR(D113)+5)&gt;YEAR(E113),1,(12-MONTH(E113)+1)/12))))-(IF(OR(N113="",N113&lt;=0),0,(O113/N113)*(IF(OR(N113="",N113&lt;=0),0,IF((YEAR(D113)+5)&lt;YEAR(E113),0,IF((YEAR(D113)+5)&gt;=YEAR(E113)+N113,0,IF((YEAR(D113)+5)=YEAR(E113),(12-MONTH(E113)+1)/12,1))))))))*TaxRate,0))-IF(5=0,O113,0))</f>
        <v/>
      </c>
      <c r="Y113" s="29">
        <f>IF(A113="","",((K113)*(IF(M113="",L113,IFERROR(IF(INDEX(Variablen!$I:$AT, MATCH(M113, Variablen!$A:$A, 0), MATCH((YEAR(D113)+6), Variablen!$I$3:$AT$3, 0))="",L113,INDEX(Variablen!$I:$AT, MATCH(M113, Variablen!$A:$A, 0), MATCH((YEAR(D113)+6), Variablen!$I$3:$AT$3, 0))),L113)))*(IF((YEAR(D113)+6)&lt;YEAR(E113),0,IF((YEAR(D113)+6)&gt;YEAR(E113),1,(12-MONTH(E113)+1)/12))) + (Q113)*(IF((YEAR(D113)+6)&lt;YEAR(E113),0,IF((YEAR(D113)+6)&gt;YEAR(E113),1,(12-MONTH(E113)+1)/12))))-((P113)*(IF((YEAR(D113)+6)&lt;YEAR(E113),0,IF((YEAR(D113)+6)&gt;YEAR(E113),1,(12-MONTH(E113)+1)/12))) + (R113)*(IF((YEAR(D113)+6)&lt;YEAR(E113),0,IF((YEAR(D113)+6)&gt;YEAR(E113),1,(12-MONTH(E113)+1)/12))))-(IF((((K113)*(IF(M113="",L113,IFERROR(IF(INDEX(Variablen!$I:$AT, MATCH(M113, Variablen!$A:$A, 0), MATCH((YEAR(D113)+6), Variablen!$I$3:$AT$3, 0))="",L113,INDEX(Variablen!$I:$AT, MATCH(M113, Variablen!$A:$A, 0), MATCH((YEAR(D113)+6), Variablen!$I$3:$AT$3, 0))),L113)))*(IF((YEAR(D113)+6)&lt;YEAR(E113),0,IF((YEAR(D113)+6)&gt;YEAR(E113),1,(12-MONTH(E113)+1)/12))) + (Q113)*(IF((YEAR(D113)+6)&lt;YEAR(E113),0,IF((YEAR(D113)+6)&gt;YEAR(E113),1,(12-MONTH(E113)+1)/12))))-((P113)*(IF((YEAR(D113)+6)&lt;YEAR(E113),0,IF((YEAR(D113)+6)&gt;YEAR(E113),1,(12-MONTH(E113)+1)/12))) + (R113)*(IF((YEAR(D113)+6)&lt;YEAR(E113),0,IF((YEAR(D113)+6)&gt;YEAR(E113),1,(12-MONTH(E113)+1)/12))))-(IF(OR(N113="",N113&lt;=0),0,(O113/N113)*(IF(OR(N113="",N113&lt;=0),0,IF((YEAR(D113)+6)&lt;YEAR(E113),0,IF((YEAR(D113)+6)&gt;=YEAR(E113)+N113,0,IF((YEAR(D113)+6)=YEAR(E113),(12-MONTH(E113)+1)/12,1))))))))&gt;0,(((K113)*(IF(M113="",L113,IFERROR(IF(INDEX(Variablen!$I:$AT, MATCH(M113, Variablen!$A:$A, 0), MATCH((YEAR(D113)+6), Variablen!$I$3:$AT$3, 0))="",L113,INDEX(Variablen!$I:$AT, MATCH(M113, Variablen!$A:$A, 0), MATCH((YEAR(D113)+6), Variablen!$I$3:$AT$3, 0))),L113)))*(IF((YEAR(D113)+6)&lt;YEAR(E113),0,IF((YEAR(D113)+6)&gt;YEAR(E113),1,(12-MONTH(E113)+1)/12))) + (Q113)*(IF((YEAR(D113)+6)&lt;YEAR(E113),0,IF((YEAR(D113)+6)&gt;YEAR(E113),1,(12-MONTH(E113)+1)/12))))-((P113)*(IF((YEAR(D113)+6)&lt;YEAR(E113),0,IF((YEAR(D113)+6)&gt;YEAR(E113),1,(12-MONTH(E113)+1)/12))) + (R113)*(IF((YEAR(D113)+6)&lt;YEAR(E113),0,IF((YEAR(D113)+6)&gt;YEAR(E113),1,(12-MONTH(E113)+1)/12))))-(IF(OR(N113="",N113&lt;=0),0,(O113/N113)*(IF(OR(N113="",N113&lt;=0),0,IF((YEAR(D113)+6)&lt;YEAR(E113),0,IF((YEAR(D113)+6)&gt;=YEAR(E113)+N113,0,IF((YEAR(D113)+6)=YEAR(E113),(12-MONTH(E113)+1)/12,1))))))))*TaxRate,0))-IF(6=0,O113,0))</f>
        <v/>
      </c>
      <c r="Z113" s="29">
        <f>IF(A113="","",((K113)*(IF(M113="",L113,IFERROR(IF(INDEX(Variablen!$I:$AT, MATCH(M113, Variablen!$A:$A, 0), MATCH((YEAR(D113)+7), Variablen!$I$3:$AT$3, 0))="",L113,INDEX(Variablen!$I:$AT, MATCH(M113, Variablen!$A:$A, 0), MATCH((YEAR(D113)+7), Variablen!$I$3:$AT$3, 0))),L113)))*(IF((YEAR(D113)+7)&lt;YEAR(E113),0,IF((YEAR(D113)+7)&gt;YEAR(E113),1,(12-MONTH(E113)+1)/12))) + (Q113)*(IF((YEAR(D113)+7)&lt;YEAR(E113),0,IF((YEAR(D113)+7)&gt;YEAR(E113),1,(12-MONTH(E113)+1)/12))))-((P113)*(IF((YEAR(D113)+7)&lt;YEAR(E113),0,IF((YEAR(D113)+7)&gt;YEAR(E113),1,(12-MONTH(E113)+1)/12))) + (R113)*(IF((YEAR(D113)+7)&lt;YEAR(E113),0,IF((YEAR(D113)+7)&gt;YEAR(E113),1,(12-MONTH(E113)+1)/12))))-(IF((((K113)*(IF(M113="",L113,IFERROR(IF(INDEX(Variablen!$I:$AT, MATCH(M113, Variablen!$A:$A, 0), MATCH((YEAR(D113)+7), Variablen!$I$3:$AT$3, 0))="",L113,INDEX(Variablen!$I:$AT, MATCH(M113, Variablen!$A:$A, 0), MATCH((YEAR(D113)+7), Variablen!$I$3:$AT$3, 0))),L113)))*(IF((YEAR(D113)+7)&lt;YEAR(E113),0,IF((YEAR(D113)+7)&gt;YEAR(E113),1,(12-MONTH(E113)+1)/12))) + (Q113)*(IF((YEAR(D113)+7)&lt;YEAR(E113),0,IF((YEAR(D113)+7)&gt;YEAR(E113),1,(12-MONTH(E113)+1)/12))))-((P113)*(IF((YEAR(D113)+7)&lt;YEAR(E113),0,IF((YEAR(D113)+7)&gt;YEAR(E113),1,(12-MONTH(E113)+1)/12))) + (R113)*(IF((YEAR(D113)+7)&lt;YEAR(E113),0,IF((YEAR(D113)+7)&gt;YEAR(E113),1,(12-MONTH(E113)+1)/12))))-(IF(OR(N113="",N113&lt;=0),0,(O113/N113)*(IF(OR(N113="",N113&lt;=0),0,IF((YEAR(D113)+7)&lt;YEAR(E113),0,IF((YEAR(D113)+7)&gt;=YEAR(E113)+N113,0,IF((YEAR(D113)+7)=YEAR(E113),(12-MONTH(E113)+1)/12,1))))))))&gt;0,(((K113)*(IF(M113="",L113,IFERROR(IF(INDEX(Variablen!$I:$AT, MATCH(M113, Variablen!$A:$A, 0), MATCH((YEAR(D113)+7), Variablen!$I$3:$AT$3, 0))="",L113,INDEX(Variablen!$I:$AT, MATCH(M113, Variablen!$A:$A, 0), MATCH((YEAR(D113)+7), Variablen!$I$3:$AT$3, 0))),L113)))*(IF((YEAR(D113)+7)&lt;YEAR(E113),0,IF((YEAR(D113)+7)&gt;YEAR(E113),1,(12-MONTH(E113)+1)/12))) + (Q113)*(IF((YEAR(D113)+7)&lt;YEAR(E113),0,IF((YEAR(D113)+7)&gt;YEAR(E113),1,(12-MONTH(E113)+1)/12))))-((P113)*(IF((YEAR(D113)+7)&lt;YEAR(E113),0,IF((YEAR(D113)+7)&gt;YEAR(E113),1,(12-MONTH(E113)+1)/12))) + (R113)*(IF((YEAR(D113)+7)&lt;YEAR(E113),0,IF((YEAR(D113)+7)&gt;YEAR(E113),1,(12-MONTH(E113)+1)/12))))-(IF(OR(N113="",N113&lt;=0),0,(O113/N113)*(IF(OR(N113="",N113&lt;=0),0,IF((YEAR(D113)+7)&lt;YEAR(E113),0,IF((YEAR(D113)+7)&gt;=YEAR(E113)+N113,0,IF((YEAR(D113)+7)=YEAR(E113),(12-MONTH(E113)+1)/12,1))))))))*TaxRate,0))-IF(7=0,O113,0))</f>
        <v/>
      </c>
      <c r="AA113" s="29">
        <f>IF(A113="","",((K113)*(IF(M113="",L113,IFERROR(IF(INDEX(Variablen!$I:$AT, MATCH(M113, Variablen!$A:$A, 0), MATCH((YEAR(D113)+8), Variablen!$I$3:$AT$3, 0))="",L113,INDEX(Variablen!$I:$AT, MATCH(M113, Variablen!$A:$A, 0), MATCH((YEAR(D113)+8), Variablen!$I$3:$AT$3, 0))),L113)))*(IF((YEAR(D113)+8)&lt;YEAR(E113),0,IF((YEAR(D113)+8)&gt;YEAR(E113),1,(12-MONTH(E113)+1)/12))) + (Q113)*(IF((YEAR(D113)+8)&lt;YEAR(E113),0,IF((YEAR(D113)+8)&gt;YEAR(E113),1,(12-MONTH(E113)+1)/12))))-((P113)*(IF((YEAR(D113)+8)&lt;YEAR(E113),0,IF((YEAR(D113)+8)&gt;YEAR(E113),1,(12-MONTH(E113)+1)/12))) + (R113)*(IF((YEAR(D113)+8)&lt;YEAR(E113),0,IF((YEAR(D113)+8)&gt;YEAR(E113),1,(12-MONTH(E113)+1)/12))))-(IF((((K113)*(IF(M113="",L113,IFERROR(IF(INDEX(Variablen!$I:$AT, MATCH(M113, Variablen!$A:$A, 0), MATCH((YEAR(D113)+8), Variablen!$I$3:$AT$3, 0))="",L113,INDEX(Variablen!$I:$AT, MATCH(M113, Variablen!$A:$A, 0), MATCH((YEAR(D113)+8), Variablen!$I$3:$AT$3, 0))),L113)))*(IF((YEAR(D113)+8)&lt;YEAR(E113),0,IF((YEAR(D113)+8)&gt;YEAR(E113),1,(12-MONTH(E113)+1)/12))) + (Q113)*(IF((YEAR(D113)+8)&lt;YEAR(E113),0,IF((YEAR(D113)+8)&gt;YEAR(E113),1,(12-MONTH(E113)+1)/12))))-((P113)*(IF((YEAR(D113)+8)&lt;YEAR(E113),0,IF((YEAR(D113)+8)&gt;YEAR(E113),1,(12-MONTH(E113)+1)/12))) + (R113)*(IF((YEAR(D113)+8)&lt;YEAR(E113),0,IF((YEAR(D113)+8)&gt;YEAR(E113),1,(12-MONTH(E113)+1)/12))))-(IF(OR(N113="",N113&lt;=0),0,(O113/N113)*(IF(OR(N113="",N113&lt;=0),0,IF((YEAR(D113)+8)&lt;YEAR(E113),0,IF((YEAR(D113)+8)&gt;=YEAR(E113)+N113,0,IF((YEAR(D113)+8)=YEAR(E113),(12-MONTH(E113)+1)/12,1))))))))&gt;0,(((K113)*(IF(M113="",L113,IFERROR(IF(INDEX(Variablen!$I:$AT, MATCH(M113, Variablen!$A:$A, 0), MATCH((YEAR(D113)+8), Variablen!$I$3:$AT$3, 0))="",L113,INDEX(Variablen!$I:$AT, MATCH(M113, Variablen!$A:$A, 0), MATCH((YEAR(D113)+8), Variablen!$I$3:$AT$3, 0))),L113)))*(IF((YEAR(D113)+8)&lt;YEAR(E113),0,IF((YEAR(D113)+8)&gt;YEAR(E113),1,(12-MONTH(E113)+1)/12))) + (Q113)*(IF((YEAR(D113)+8)&lt;YEAR(E113),0,IF((YEAR(D113)+8)&gt;YEAR(E113),1,(12-MONTH(E113)+1)/12))))-((P113)*(IF((YEAR(D113)+8)&lt;YEAR(E113),0,IF((YEAR(D113)+8)&gt;YEAR(E113),1,(12-MONTH(E113)+1)/12))) + (R113)*(IF((YEAR(D113)+8)&lt;YEAR(E113),0,IF((YEAR(D113)+8)&gt;YEAR(E113),1,(12-MONTH(E113)+1)/12))))-(IF(OR(N113="",N113&lt;=0),0,(O113/N113)*(IF(OR(N113="",N113&lt;=0),0,IF((YEAR(D113)+8)&lt;YEAR(E113),0,IF((YEAR(D113)+8)&gt;=YEAR(E113)+N113,0,IF((YEAR(D113)+8)=YEAR(E113),(12-MONTH(E113)+1)/12,1))))))))*TaxRate,0))-IF(8=0,O113,0))</f>
        <v/>
      </c>
      <c r="AB113" s="29">
        <f>IF(A113="","",((K113)*(IF(M113="",L113,IFERROR(IF(INDEX(Variablen!$I:$AT, MATCH(M113, Variablen!$A:$A, 0), MATCH((YEAR(D113)+9), Variablen!$I$3:$AT$3, 0))="",L113,INDEX(Variablen!$I:$AT, MATCH(M113, Variablen!$A:$A, 0), MATCH((YEAR(D113)+9), Variablen!$I$3:$AT$3, 0))),L113)))*(IF((YEAR(D113)+9)&lt;YEAR(E113),0,IF((YEAR(D113)+9)&gt;YEAR(E113),1,(12-MONTH(E113)+1)/12))) + (Q113)*(IF((YEAR(D113)+9)&lt;YEAR(E113),0,IF((YEAR(D113)+9)&gt;YEAR(E113),1,(12-MONTH(E113)+1)/12))))-((P113)*(IF((YEAR(D113)+9)&lt;YEAR(E113),0,IF((YEAR(D113)+9)&gt;YEAR(E113),1,(12-MONTH(E113)+1)/12))) + (R113)*(IF((YEAR(D113)+9)&lt;YEAR(E113),0,IF((YEAR(D113)+9)&gt;YEAR(E113),1,(12-MONTH(E113)+1)/12))))-(IF((((K113)*(IF(M113="",L113,IFERROR(IF(INDEX(Variablen!$I:$AT, MATCH(M113, Variablen!$A:$A, 0), MATCH((YEAR(D113)+9), Variablen!$I$3:$AT$3, 0))="",L113,INDEX(Variablen!$I:$AT, MATCH(M113, Variablen!$A:$A, 0), MATCH((YEAR(D113)+9), Variablen!$I$3:$AT$3, 0))),L113)))*(IF((YEAR(D113)+9)&lt;YEAR(E113),0,IF((YEAR(D113)+9)&gt;YEAR(E113),1,(12-MONTH(E113)+1)/12))) + (Q113)*(IF((YEAR(D113)+9)&lt;YEAR(E113),0,IF((YEAR(D113)+9)&gt;YEAR(E113),1,(12-MONTH(E113)+1)/12))))-((P113)*(IF((YEAR(D113)+9)&lt;YEAR(E113),0,IF((YEAR(D113)+9)&gt;YEAR(E113),1,(12-MONTH(E113)+1)/12))) + (R113)*(IF((YEAR(D113)+9)&lt;YEAR(E113),0,IF((YEAR(D113)+9)&gt;YEAR(E113),1,(12-MONTH(E113)+1)/12))))-(IF(OR(N113="",N113&lt;=0),0,(O113/N113)*(IF(OR(N113="",N113&lt;=0),0,IF((YEAR(D113)+9)&lt;YEAR(E113),0,IF((YEAR(D113)+9)&gt;=YEAR(E113)+N113,0,IF((YEAR(D113)+9)=YEAR(E113),(12-MONTH(E113)+1)/12,1))))))))&gt;0,(((K113)*(IF(M113="",L113,IFERROR(IF(INDEX(Variablen!$I:$AT, MATCH(M113, Variablen!$A:$A, 0), MATCH((YEAR(D113)+9), Variablen!$I$3:$AT$3, 0))="",L113,INDEX(Variablen!$I:$AT, MATCH(M113, Variablen!$A:$A, 0), MATCH((YEAR(D113)+9), Variablen!$I$3:$AT$3, 0))),L113)))*(IF((YEAR(D113)+9)&lt;YEAR(E113),0,IF((YEAR(D113)+9)&gt;YEAR(E113),1,(12-MONTH(E113)+1)/12))) + (Q113)*(IF((YEAR(D113)+9)&lt;YEAR(E113),0,IF((YEAR(D113)+9)&gt;YEAR(E113),1,(12-MONTH(E113)+1)/12))))-((P113)*(IF((YEAR(D113)+9)&lt;YEAR(E113),0,IF((YEAR(D113)+9)&gt;YEAR(E113),1,(12-MONTH(E113)+1)/12))) + (R113)*(IF((YEAR(D113)+9)&lt;YEAR(E113),0,IF((YEAR(D113)+9)&gt;YEAR(E113),1,(12-MONTH(E113)+1)/12))))-(IF(OR(N113="",N113&lt;=0),0,(O113/N113)*(IF(OR(N113="",N113&lt;=0),0,IF((YEAR(D113)+9)&lt;YEAR(E113),0,IF((YEAR(D113)+9)&gt;=YEAR(E113)+N113,0,IF((YEAR(D113)+9)=YEAR(E113),(12-MONTH(E113)+1)/12,1))))))))*TaxRate,0))-IF(9=0,O113,0))</f>
        <v/>
      </c>
      <c r="AC113" s="29">
        <f>IF(A113="","",((K113)*(IF(M113="",L113,IFERROR(IF(INDEX(Variablen!$I:$AT, MATCH(M113, Variablen!$A:$A, 0), MATCH((YEAR(D113)+10), Variablen!$I$3:$AT$3, 0))="",L113,INDEX(Variablen!$I:$AT, MATCH(M113, Variablen!$A:$A, 0), MATCH((YEAR(D113)+10), Variablen!$I$3:$AT$3, 0))),L113)))*(IF((YEAR(D113)+10)&lt;YEAR(E113),0,IF((YEAR(D113)+10)&gt;YEAR(E113),1,(12-MONTH(E113)+1)/12))) + (Q113)*(IF((YEAR(D113)+10)&lt;YEAR(E113),0,IF((YEAR(D113)+10)&gt;YEAR(E113),1,(12-MONTH(E113)+1)/12))))-((P113)*(IF((YEAR(D113)+10)&lt;YEAR(E113),0,IF((YEAR(D113)+10)&gt;YEAR(E113),1,(12-MONTH(E113)+1)/12))) + (R113)*(IF((YEAR(D113)+10)&lt;YEAR(E113),0,IF((YEAR(D113)+10)&gt;YEAR(E113),1,(12-MONTH(E113)+1)/12))))-(IF((((K113)*(IF(M113="",L113,IFERROR(IF(INDEX(Variablen!$I:$AT, MATCH(M113, Variablen!$A:$A, 0), MATCH((YEAR(D113)+10), Variablen!$I$3:$AT$3, 0))="",L113,INDEX(Variablen!$I:$AT, MATCH(M113, Variablen!$A:$A, 0), MATCH((YEAR(D113)+10), Variablen!$I$3:$AT$3, 0))),L113)))*(IF((YEAR(D113)+10)&lt;YEAR(E113),0,IF((YEAR(D113)+10)&gt;YEAR(E113),1,(12-MONTH(E113)+1)/12))) + (Q113)*(IF((YEAR(D113)+10)&lt;YEAR(E113),0,IF((YEAR(D113)+10)&gt;YEAR(E113),1,(12-MONTH(E113)+1)/12))))-((P113)*(IF((YEAR(D113)+10)&lt;YEAR(E113),0,IF((YEAR(D113)+10)&gt;YEAR(E113),1,(12-MONTH(E113)+1)/12))) + (R113)*(IF((YEAR(D113)+10)&lt;YEAR(E113),0,IF((YEAR(D113)+10)&gt;YEAR(E113),1,(12-MONTH(E113)+1)/12))))-(IF(OR(N113="",N113&lt;=0),0,(O113/N113)*(IF(OR(N113="",N113&lt;=0),0,IF((YEAR(D113)+10)&lt;YEAR(E113),0,IF((YEAR(D113)+10)&gt;=YEAR(E113)+N113,0,IF((YEAR(D113)+10)=YEAR(E113),(12-MONTH(E113)+1)/12,1))))))))&gt;0,(((K113)*(IF(M113="",L113,IFERROR(IF(INDEX(Variablen!$I:$AT, MATCH(M113, Variablen!$A:$A, 0), MATCH((YEAR(D113)+10), Variablen!$I$3:$AT$3, 0))="",L113,INDEX(Variablen!$I:$AT, MATCH(M113, Variablen!$A:$A, 0), MATCH((YEAR(D113)+10), Variablen!$I$3:$AT$3, 0))),L113)))*(IF((YEAR(D113)+10)&lt;YEAR(E113),0,IF((YEAR(D113)+10)&gt;YEAR(E113),1,(12-MONTH(E113)+1)/12))) + (Q113)*(IF((YEAR(D113)+10)&lt;YEAR(E113),0,IF((YEAR(D113)+10)&gt;YEAR(E113),1,(12-MONTH(E113)+1)/12))))-((P113)*(IF((YEAR(D113)+10)&lt;YEAR(E113),0,IF((YEAR(D113)+10)&gt;YEAR(E113),1,(12-MONTH(E113)+1)/12))) + (R113)*(IF((YEAR(D113)+10)&lt;YEAR(E113),0,IF((YEAR(D113)+10)&gt;YEAR(E113),1,(12-MONTH(E113)+1)/12))))-(IF(OR(N113="",N113&lt;=0),0,(O113/N113)*(IF(OR(N113="",N113&lt;=0),0,IF((YEAR(D113)+10)&lt;YEAR(E113),0,IF((YEAR(D113)+10)&gt;=YEAR(E113)+N113,0,IF((YEAR(D113)+10)=YEAR(E113),(12-MONTH(E113)+1)/12,1))))))))*TaxRate,0))-IF(10=0,O113,0))</f>
        <v/>
      </c>
      <c r="AD113" s="29">
        <f>IF(A113="","",((K113)*(IF(M113="",L113,IFERROR(IF(INDEX(Variablen!$I:$AT, MATCH(M113, Variablen!$A:$A, 0), MATCH((YEAR(D113)+11), Variablen!$I$3:$AT$3, 0))="",L113,INDEX(Variablen!$I:$AT, MATCH(M113, Variablen!$A:$A, 0), MATCH((YEAR(D113)+11), Variablen!$I$3:$AT$3, 0))),L113)))*(IF((YEAR(D113)+11)&lt;YEAR(E113),0,IF((YEAR(D113)+11)&gt;YEAR(E113),1,(12-MONTH(E113)+1)/12))) + (Q113)*(IF((YEAR(D113)+11)&lt;YEAR(E113),0,IF((YEAR(D113)+11)&gt;YEAR(E113),1,(12-MONTH(E113)+1)/12))))-((P113)*(IF((YEAR(D113)+11)&lt;YEAR(E113),0,IF((YEAR(D113)+11)&gt;YEAR(E113),1,(12-MONTH(E113)+1)/12))) + (R113)*(IF((YEAR(D113)+11)&lt;YEAR(E113),0,IF((YEAR(D113)+11)&gt;YEAR(E113),1,(12-MONTH(E113)+1)/12))))-(IF((((K113)*(IF(M113="",L113,IFERROR(IF(INDEX(Variablen!$I:$AT, MATCH(M113, Variablen!$A:$A, 0), MATCH((YEAR(D113)+11), Variablen!$I$3:$AT$3, 0))="",L113,INDEX(Variablen!$I:$AT, MATCH(M113, Variablen!$A:$A, 0), MATCH((YEAR(D113)+11), Variablen!$I$3:$AT$3, 0))),L113)))*(IF((YEAR(D113)+11)&lt;YEAR(E113),0,IF((YEAR(D113)+11)&gt;YEAR(E113),1,(12-MONTH(E113)+1)/12))) + (Q113)*(IF((YEAR(D113)+11)&lt;YEAR(E113),0,IF((YEAR(D113)+11)&gt;YEAR(E113),1,(12-MONTH(E113)+1)/12))))-((P113)*(IF((YEAR(D113)+11)&lt;YEAR(E113),0,IF((YEAR(D113)+11)&gt;YEAR(E113),1,(12-MONTH(E113)+1)/12))) + (R113)*(IF((YEAR(D113)+11)&lt;YEAR(E113),0,IF((YEAR(D113)+11)&gt;YEAR(E113),1,(12-MONTH(E113)+1)/12))))-(IF(OR(N113="",N113&lt;=0),0,(O113/N113)*(IF(OR(N113="",N113&lt;=0),0,IF((YEAR(D113)+11)&lt;YEAR(E113),0,IF((YEAR(D113)+11)&gt;=YEAR(E113)+N113,0,IF((YEAR(D113)+11)=YEAR(E113),(12-MONTH(E113)+1)/12,1))))))))&gt;0,(((K113)*(IF(M113="",L113,IFERROR(IF(INDEX(Variablen!$I:$AT, MATCH(M113, Variablen!$A:$A, 0), MATCH((YEAR(D113)+11), Variablen!$I$3:$AT$3, 0))="",L113,INDEX(Variablen!$I:$AT, MATCH(M113, Variablen!$A:$A, 0), MATCH((YEAR(D113)+11), Variablen!$I$3:$AT$3, 0))),L113)))*(IF((YEAR(D113)+11)&lt;YEAR(E113),0,IF((YEAR(D113)+11)&gt;YEAR(E113),1,(12-MONTH(E113)+1)/12))) + (Q113)*(IF((YEAR(D113)+11)&lt;YEAR(E113),0,IF((YEAR(D113)+11)&gt;YEAR(E113),1,(12-MONTH(E113)+1)/12))))-((P113)*(IF((YEAR(D113)+11)&lt;YEAR(E113),0,IF((YEAR(D113)+11)&gt;YEAR(E113),1,(12-MONTH(E113)+1)/12))) + (R113)*(IF((YEAR(D113)+11)&lt;YEAR(E113),0,IF((YEAR(D113)+11)&gt;YEAR(E113),1,(12-MONTH(E113)+1)/12))))-(IF(OR(N113="",N113&lt;=0),0,(O113/N113)*(IF(OR(N113="",N113&lt;=0),0,IF((YEAR(D113)+11)&lt;YEAR(E113),0,IF((YEAR(D113)+11)&gt;=YEAR(E113)+N113,0,IF((YEAR(D113)+11)=YEAR(E113),(12-MONTH(E113)+1)/12,1))))))))*TaxRate,0))-IF(11=0,O113,0))</f>
        <v/>
      </c>
      <c r="AE113" s="29">
        <f>IF(A113="","",((K113)*(IF(M113="",L113,IFERROR(IF(INDEX(Variablen!$I:$AT, MATCH(M113, Variablen!$A:$A, 0), MATCH((YEAR(D113)+12), Variablen!$I$3:$AT$3, 0))="",L113,INDEX(Variablen!$I:$AT, MATCH(M113, Variablen!$A:$A, 0), MATCH((YEAR(D113)+12), Variablen!$I$3:$AT$3, 0))),L113)))*(IF((YEAR(D113)+12)&lt;YEAR(E113),0,IF((YEAR(D113)+12)&gt;YEAR(E113),1,(12-MONTH(E113)+1)/12))) + (Q113)*(IF((YEAR(D113)+12)&lt;YEAR(E113),0,IF((YEAR(D113)+12)&gt;YEAR(E113),1,(12-MONTH(E113)+1)/12))))-((P113)*(IF((YEAR(D113)+12)&lt;YEAR(E113),0,IF((YEAR(D113)+12)&gt;YEAR(E113),1,(12-MONTH(E113)+1)/12))) + (R113)*(IF((YEAR(D113)+12)&lt;YEAR(E113),0,IF((YEAR(D113)+12)&gt;YEAR(E113),1,(12-MONTH(E113)+1)/12))))-(IF((((K113)*(IF(M113="",L113,IFERROR(IF(INDEX(Variablen!$I:$AT, MATCH(M113, Variablen!$A:$A, 0), MATCH((YEAR(D113)+12), Variablen!$I$3:$AT$3, 0))="",L113,INDEX(Variablen!$I:$AT, MATCH(M113, Variablen!$A:$A, 0), MATCH((YEAR(D113)+12), Variablen!$I$3:$AT$3, 0))),L113)))*(IF((YEAR(D113)+12)&lt;YEAR(E113),0,IF((YEAR(D113)+12)&gt;YEAR(E113),1,(12-MONTH(E113)+1)/12))) + (Q113)*(IF((YEAR(D113)+12)&lt;YEAR(E113),0,IF((YEAR(D113)+12)&gt;YEAR(E113),1,(12-MONTH(E113)+1)/12))))-((P113)*(IF((YEAR(D113)+12)&lt;YEAR(E113),0,IF((YEAR(D113)+12)&gt;YEAR(E113),1,(12-MONTH(E113)+1)/12))) + (R113)*(IF((YEAR(D113)+12)&lt;YEAR(E113),0,IF((YEAR(D113)+12)&gt;YEAR(E113),1,(12-MONTH(E113)+1)/12))))-(IF(OR(N113="",N113&lt;=0),0,(O113/N113)*(IF(OR(N113="",N113&lt;=0),0,IF((YEAR(D113)+12)&lt;YEAR(E113),0,IF((YEAR(D113)+12)&gt;=YEAR(E113)+N113,0,IF((YEAR(D113)+12)=YEAR(E113),(12-MONTH(E113)+1)/12,1))))))))&gt;0,(((K113)*(IF(M113="",L113,IFERROR(IF(INDEX(Variablen!$I:$AT, MATCH(M113, Variablen!$A:$A, 0), MATCH((YEAR(D113)+12), Variablen!$I$3:$AT$3, 0))="",L113,INDEX(Variablen!$I:$AT, MATCH(M113, Variablen!$A:$A, 0), MATCH((YEAR(D113)+12), Variablen!$I$3:$AT$3, 0))),L113)))*(IF((YEAR(D113)+12)&lt;YEAR(E113),0,IF((YEAR(D113)+12)&gt;YEAR(E113),1,(12-MONTH(E113)+1)/12))) + (Q113)*(IF((YEAR(D113)+12)&lt;YEAR(E113),0,IF((YEAR(D113)+12)&gt;YEAR(E113),1,(12-MONTH(E113)+1)/12))))-((P113)*(IF((YEAR(D113)+12)&lt;YEAR(E113),0,IF((YEAR(D113)+12)&gt;YEAR(E113),1,(12-MONTH(E113)+1)/12))) + (R113)*(IF((YEAR(D113)+12)&lt;YEAR(E113),0,IF((YEAR(D113)+12)&gt;YEAR(E113),1,(12-MONTH(E113)+1)/12))))-(IF(OR(N113="",N113&lt;=0),0,(O113/N113)*(IF(OR(N113="",N113&lt;=0),0,IF((YEAR(D113)+12)&lt;YEAR(E113),0,IF((YEAR(D113)+12)&gt;=YEAR(E113)+N113,0,IF((YEAR(D113)+12)=YEAR(E113),(12-MONTH(E113)+1)/12,1))))))))*TaxRate,0))-IF(12=0,O113,0))</f>
        <v/>
      </c>
      <c r="AF113" s="29">
        <f>IF(A113="","",((K113)*(IF(M113="",L113,IFERROR(IF(INDEX(Variablen!$I:$AT, MATCH(M113, Variablen!$A:$A, 0), MATCH((YEAR(D113)+13), Variablen!$I$3:$AT$3, 0))="",L113,INDEX(Variablen!$I:$AT, MATCH(M113, Variablen!$A:$A, 0), MATCH((YEAR(D113)+13), Variablen!$I$3:$AT$3, 0))),L113)))*(IF((YEAR(D113)+13)&lt;YEAR(E113),0,IF((YEAR(D113)+13)&gt;YEAR(E113),1,(12-MONTH(E113)+1)/12))) + (Q113)*(IF((YEAR(D113)+13)&lt;YEAR(E113),0,IF((YEAR(D113)+13)&gt;YEAR(E113),1,(12-MONTH(E113)+1)/12))))-((P113)*(IF((YEAR(D113)+13)&lt;YEAR(E113),0,IF((YEAR(D113)+13)&gt;YEAR(E113),1,(12-MONTH(E113)+1)/12))) + (R113)*(IF((YEAR(D113)+13)&lt;YEAR(E113),0,IF((YEAR(D113)+13)&gt;YEAR(E113),1,(12-MONTH(E113)+1)/12))))-(IF((((K113)*(IF(M113="",L113,IFERROR(IF(INDEX(Variablen!$I:$AT, MATCH(M113, Variablen!$A:$A, 0), MATCH((YEAR(D113)+13), Variablen!$I$3:$AT$3, 0))="",L113,INDEX(Variablen!$I:$AT, MATCH(M113, Variablen!$A:$A, 0), MATCH((YEAR(D113)+13), Variablen!$I$3:$AT$3, 0))),L113)))*(IF((YEAR(D113)+13)&lt;YEAR(E113),0,IF((YEAR(D113)+13)&gt;YEAR(E113),1,(12-MONTH(E113)+1)/12))) + (Q113)*(IF((YEAR(D113)+13)&lt;YEAR(E113),0,IF((YEAR(D113)+13)&gt;YEAR(E113),1,(12-MONTH(E113)+1)/12))))-((P113)*(IF((YEAR(D113)+13)&lt;YEAR(E113),0,IF((YEAR(D113)+13)&gt;YEAR(E113),1,(12-MONTH(E113)+1)/12))) + (R113)*(IF((YEAR(D113)+13)&lt;YEAR(E113),0,IF((YEAR(D113)+13)&gt;YEAR(E113),1,(12-MONTH(E113)+1)/12))))-(IF(OR(N113="",N113&lt;=0),0,(O113/N113)*(IF(OR(N113="",N113&lt;=0),0,IF((YEAR(D113)+13)&lt;YEAR(E113),0,IF((YEAR(D113)+13)&gt;=YEAR(E113)+N113,0,IF((YEAR(D113)+13)=YEAR(E113),(12-MONTH(E113)+1)/12,1))))))))&gt;0,(((K113)*(IF(M113="",L113,IFERROR(IF(INDEX(Variablen!$I:$AT, MATCH(M113, Variablen!$A:$A, 0), MATCH((YEAR(D113)+13), Variablen!$I$3:$AT$3, 0))="",L113,INDEX(Variablen!$I:$AT, MATCH(M113, Variablen!$A:$A, 0), MATCH((YEAR(D113)+13), Variablen!$I$3:$AT$3, 0))),L113)))*(IF((YEAR(D113)+13)&lt;YEAR(E113),0,IF((YEAR(D113)+13)&gt;YEAR(E113),1,(12-MONTH(E113)+1)/12))) + (Q113)*(IF((YEAR(D113)+13)&lt;YEAR(E113),0,IF((YEAR(D113)+13)&gt;YEAR(E113),1,(12-MONTH(E113)+1)/12))))-((P113)*(IF((YEAR(D113)+13)&lt;YEAR(E113),0,IF((YEAR(D113)+13)&gt;YEAR(E113),1,(12-MONTH(E113)+1)/12))) + (R113)*(IF((YEAR(D113)+13)&lt;YEAR(E113),0,IF((YEAR(D113)+13)&gt;YEAR(E113),1,(12-MONTH(E113)+1)/12))))-(IF(OR(N113="",N113&lt;=0),0,(O113/N113)*(IF(OR(N113="",N113&lt;=0),0,IF((YEAR(D113)+13)&lt;YEAR(E113),0,IF((YEAR(D113)+13)&gt;=YEAR(E113)+N113,0,IF((YEAR(D113)+13)=YEAR(E113),(12-MONTH(E113)+1)/12,1))))))))*TaxRate,0))-IF(13=0,O113,0))</f>
        <v/>
      </c>
      <c r="AG113" s="29">
        <f>IF(A113="","",((K113)*(IF(M113="",L113,IFERROR(IF(INDEX(Variablen!$I:$AT, MATCH(M113, Variablen!$A:$A, 0), MATCH((YEAR(D113)+14), Variablen!$I$3:$AT$3, 0))="",L113,INDEX(Variablen!$I:$AT, MATCH(M113, Variablen!$A:$A, 0), MATCH((YEAR(D113)+14), Variablen!$I$3:$AT$3, 0))),L113)))*(IF((YEAR(D113)+14)&lt;YEAR(E113),0,IF((YEAR(D113)+14)&gt;YEAR(E113),1,(12-MONTH(E113)+1)/12))) + (Q113)*(IF((YEAR(D113)+14)&lt;YEAR(E113),0,IF((YEAR(D113)+14)&gt;YEAR(E113),1,(12-MONTH(E113)+1)/12))))-((P113)*(IF((YEAR(D113)+14)&lt;YEAR(E113),0,IF((YEAR(D113)+14)&gt;YEAR(E113),1,(12-MONTH(E113)+1)/12))) + (R113)*(IF((YEAR(D113)+14)&lt;YEAR(E113),0,IF((YEAR(D113)+14)&gt;YEAR(E113),1,(12-MONTH(E113)+1)/12))))-(IF((((K113)*(IF(M113="",L113,IFERROR(IF(INDEX(Variablen!$I:$AT, MATCH(M113, Variablen!$A:$A, 0), MATCH((YEAR(D113)+14), Variablen!$I$3:$AT$3, 0))="",L113,INDEX(Variablen!$I:$AT, MATCH(M113, Variablen!$A:$A, 0), MATCH((YEAR(D113)+14), Variablen!$I$3:$AT$3, 0))),L113)))*(IF((YEAR(D113)+14)&lt;YEAR(E113),0,IF((YEAR(D113)+14)&gt;YEAR(E113),1,(12-MONTH(E113)+1)/12))) + (Q113)*(IF((YEAR(D113)+14)&lt;YEAR(E113),0,IF((YEAR(D113)+14)&gt;YEAR(E113),1,(12-MONTH(E113)+1)/12))))-((P113)*(IF((YEAR(D113)+14)&lt;YEAR(E113),0,IF((YEAR(D113)+14)&gt;YEAR(E113),1,(12-MONTH(E113)+1)/12))) + (R113)*(IF((YEAR(D113)+14)&lt;YEAR(E113),0,IF((YEAR(D113)+14)&gt;YEAR(E113),1,(12-MONTH(E113)+1)/12))))-(IF(OR(N113="",N113&lt;=0),0,(O113/N113)*(IF(OR(N113="",N113&lt;=0),0,IF((YEAR(D113)+14)&lt;YEAR(E113),0,IF((YEAR(D113)+14)&gt;=YEAR(E113)+N113,0,IF((YEAR(D113)+14)=YEAR(E113),(12-MONTH(E113)+1)/12,1))))))))&gt;0,(((K113)*(IF(M113="",L113,IFERROR(IF(INDEX(Variablen!$I:$AT, MATCH(M113, Variablen!$A:$A, 0), MATCH((YEAR(D113)+14), Variablen!$I$3:$AT$3, 0))="",L113,INDEX(Variablen!$I:$AT, MATCH(M113, Variablen!$A:$A, 0), MATCH((YEAR(D113)+14), Variablen!$I$3:$AT$3, 0))),L113)))*(IF((YEAR(D113)+14)&lt;YEAR(E113),0,IF((YEAR(D113)+14)&gt;YEAR(E113),1,(12-MONTH(E113)+1)/12))) + (Q113)*(IF((YEAR(D113)+14)&lt;YEAR(E113),0,IF((YEAR(D113)+14)&gt;YEAR(E113),1,(12-MONTH(E113)+1)/12))))-((P113)*(IF((YEAR(D113)+14)&lt;YEAR(E113),0,IF((YEAR(D113)+14)&gt;YEAR(E113),1,(12-MONTH(E113)+1)/12))) + (R113)*(IF((YEAR(D113)+14)&lt;YEAR(E113),0,IF((YEAR(D113)+14)&gt;YEAR(E113),1,(12-MONTH(E113)+1)/12))))-(IF(OR(N113="",N113&lt;=0),0,(O113/N113)*(IF(OR(N113="",N113&lt;=0),0,IF((YEAR(D113)+14)&lt;YEAR(E113),0,IF((YEAR(D113)+14)&gt;=YEAR(E113)+N113,0,IF((YEAR(D113)+14)=YEAR(E113),(12-MONTH(E113)+1)/12,1))))))))*TaxRate,0))-IF(14=0,O113,0))</f>
        <v/>
      </c>
      <c r="AH113" s="29">
        <f>IF(A113="","",((K113)*(IF(M113="",L113,IFERROR(IF(INDEX(Variablen!$I:$AT, MATCH(M113, Variablen!$A:$A, 0), MATCH((YEAR(D113)+15), Variablen!$I$3:$AT$3, 0))="",L113,INDEX(Variablen!$I:$AT, MATCH(M113, Variablen!$A:$A, 0), MATCH((YEAR(D113)+15), Variablen!$I$3:$AT$3, 0))),L113)))*(IF((YEAR(D113)+15)&lt;YEAR(E113),0,IF((YEAR(D113)+15)&gt;YEAR(E113),1,(12-MONTH(E113)+1)/12))) + (Q113)*(IF((YEAR(D113)+15)&lt;YEAR(E113),0,IF((YEAR(D113)+15)&gt;YEAR(E113),1,(12-MONTH(E113)+1)/12))))-((P113)*(IF((YEAR(D113)+15)&lt;YEAR(E113),0,IF((YEAR(D113)+15)&gt;YEAR(E113),1,(12-MONTH(E113)+1)/12))) + (R113)*(IF((YEAR(D113)+15)&lt;YEAR(E113),0,IF((YEAR(D113)+15)&gt;YEAR(E113),1,(12-MONTH(E113)+1)/12))))-(IF((((K113)*(IF(M113="",L113,IFERROR(IF(INDEX(Variablen!$I:$AT, MATCH(M113, Variablen!$A:$A, 0), MATCH((YEAR(D113)+15), Variablen!$I$3:$AT$3, 0))="",L113,INDEX(Variablen!$I:$AT, MATCH(M113, Variablen!$A:$A, 0), MATCH((YEAR(D113)+15), Variablen!$I$3:$AT$3, 0))),L113)))*(IF((YEAR(D113)+15)&lt;YEAR(E113),0,IF((YEAR(D113)+15)&gt;YEAR(E113),1,(12-MONTH(E113)+1)/12))) + (Q113)*(IF((YEAR(D113)+15)&lt;YEAR(E113),0,IF((YEAR(D113)+15)&gt;YEAR(E113),1,(12-MONTH(E113)+1)/12))))-((P113)*(IF((YEAR(D113)+15)&lt;YEAR(E113),0,IF((YEAR(D113)+15)&gt;YEAR(E113),1,(12-MONTH(E113)+1)/12))) + (R113)*(IF((YEAR(D113)+15)&lt;YEAR(E113),0,IF((YEAR(D113)+15)&gt;YEAR(E113),1,(12-MONTH(E113)+1)/12))))-(IF(OR(N113="",N113&lt;=0),0,(O113/N113)*(IF(OR(N113="",N113&lt;=0),0,IF((YEAR(D113)+15)&lt;YEAR(E113),0,IF((YEAR(D113)+15)&gt;=YEAR(E113)+N113,0,IF((YEAR(D113)+15)=YEAR(E113),(12-MONTH(E113)+1)/12,1))))))))&gt;0,(((K113)*(IF(M113="",L113,IFERROR(IF(INDEX(Variablen!$I:$AT, MATCH(M113, Variablen!$A:$A, 0), MATCH((YEAR(D113)+15), Variablen!$I$3:$AT$3, 0))="",L113,INDEX(Variablen!$I:$AT, MATCH(M113, Variablen!$A:$A, 0), MATCH((YEAR(D113)+15), Variablen!$I$3:$AT$3, 0))),L113)))*(IF((YEAR(D113)+15)&lt;YEAR(E113),0,IF((YEAR(D113)+15)&gt;YEAR(E113),1,(12-MONTH(E113)+1)/12))) + (Q113)*(IF((YEAR(D113)+15)&lt;YEAR(E113),0,IF((YEAR(D113)+15)&gt;YEAR(E113),1,(12-MONTH(E113)+1)/12))))-((P113)*(IF((YEAR(D113)+15)&lt;YEAR(E113),0,IF((YEAR(D113)+15)&gt;YEAR(E113),1,(12-MONTH(E113)+1)/12))) + (R113)*(IF((YEAR(D113)+15)&lt;YEAR(E113),0,IF((YEAR(D113)+15)&gt;YEAR(E113),1,(12-MONTH(E113)+1)/12))))-(IF(OR(N113="",N113&lt;=0),0,(O113/N113)*(IF(OR(N113="",N113&lt;=0),0,IF((YEAR(D113)+15)&lt;YEAR(E113),0,IF((YEAR(D113)+15)&gt;=YEAR(E113)+N113,0,IF((YEAR(D113)+15)=YEAR(E113),(12-MONTH(E113)+1)/12,1))))))))*TaxRate,0))-IF(15=0,O113,0))</f>
        <v/>
      </c>
      <c r="AI113" s="29">
        <f>IF(A113="","",((K113)*(IF(M113="",L113,IFERROR(IF(INDEX(Variablen!$I:$AT, MATCH(M113, Variablen!$A:$A, 0), MATCH((YEAR(D113)+16), Variablen!$I$3:$AT$3, 0))="",L113,INDEX(Variablen!$I:$AT, MATCH(M113, Variablen!$A:$A, 0), MATCH((YEAR(D113)+16), Variablen!$I$3:$AT$3, 0))),L113)))*(IF((YEAR(D113)+16)&lt;YEAR(E113),0,IF((YEAR(D113)+16)&gt;YEAR(E113),1,(12-MONTH(E113)+1)/12))) + (Q113)*(IF((YEAR(D113)+16)&lt;YEAR(E113),0,IF((YEAR(D113)+16)&gt;YEAR(E113),1,(12-MONTH(E113)+1)/12))))-((P113)*(IF((YEAR(D113)+16)&lt;YEAR(E113),0,IF((YEAR(D113)+16)&gt;YEAR(E113),1,(12-MONTH(E113)+1)/12))) + (R113)*(IF((YEAR(D113)+16)&lt;YEAR(E113),0,IF((YEAR(D113)+16)&gt;YEAR(E113),1,(12-MONTH(E113)+1)/12))))-(IF((((K113)*(IF(M113="",L113,IFERROR(IF(INDEX(Variablen!$I:$AT, MATCH(M113, Variablen!$A:$A, 0), MATCH((YEAR(D113)+16), Variablen!$I$3:$AT$3, 0))="",L113,INDEX(Variablen!$I:$AT, MATCH(M113, Variablen!$A:$A, 0), MATCH((YEAR(D113)+16), Variablen!$I$3:$AT$3, 0))),L113)))*(IF((YEAR(D113)+16)&lt;YEAR(E113),0,IF((YEAR(D113)+16)&gt;YEAR(E113),1,(12-MONTH(E113)+1)/12))) + (Q113)*(IF((YEAR(D113)+16)&lt;YEAR(E113),0,IF((YEAR(D113)+16)&gt;YEAR(E113),1,(12-MONTH(E113)+1)/12))))-((P113)*(IF((YEAR(D113)+16)&lt;YEAR(E113),0,IF((YEAR(D113)+16)&gt;YEAR(E113),1,(12-MONTH(E113)+1)/12))) + (R113)*(IF((YEAR(D113)+16)&lt;YEAR(E113),0,IF((YEAR(D113)+16)&gt;YEAR(E113),1,(12-MONTH(E113)+1)/12))))-(IF(OR(N113="",N113&lt;=0),0,(O113/N113)*(IF(OR(N113="",N113&lt;=0),0,IF((YEAR(D113)+16)&lt;YEAR(E113),0,IF((YEAR(D113)+16)&gt;=YEAR(E113)+N113,0,IF((YEAR(D113)+16)=YEAR(E113),(12-MONTH(E113)+1)/12,1))))))))&gt;0,(((K113)*(IF(M113="",L113,IFERROR(IF(INDEX(Variablen!$I:$AT, MATCH(M113, Variablen!$A:$A, 0), MATCH((YEAR(D113)+16), Variablen!$I$3:$AT$3, 0))="",L113,INDEX(Variablen!$I:$AT, MATCH(M113, Variablen!$A:$A, 0), MATCH((YEAR(D113)+16), Variablen!$I$3:$AT$3, 0))),L113)))*(IF((YEAR(D113)+16)&lt;YEAR(E113),0,IF((YEAR(D113)+16)&gt;YEAR(E113),1,(12-MONTH(E113)+1)/12))) + (Q113)*(IF((YEAR(D113)+16)&lt;YEAR(E113),0,IF((YEAR(D113)+16)&gt;YEAR(E113),1,(12-MONTH(E113)+1)/12))))-((P113)*(IF((YEAR(D113)+16)&lt;YEAR(E113),0,IF((YEAR(D113)+16)&gt;YEAR(E113),1,(12-MONTH(E113)+1)/12))) + (R113)*(IF((YEAR(D113)+16)&lt;YEAR(E113),0,IF((YEAR(D113)+16)&gt;YEAR(E113),1,(12-MONTH(E113)+1)/12))))-(IF(OR(N113="",N113&lt;=0),0,(O113/N113)*(IF(OR(N113="",N113&lt;=0),0,IF((YEAR(D113)+16)&lt;YEAR(E113),0,IF((YEAR(D113)+16)&gt;=YEAR(E113)+N113,0,IF((YEAR(D113)+16)=YEAR(E113),(12-MONTH(E113)+1)/12,1))))))))*TaxRate,0))-IF(16=0,O113,0))</f>
        <v/>
      </c>
      <c r="AJ113" s="29">
        <f>IF(A113="","",((K113)*(IF(M113="",L113,IFERROR(IF(INDEX(Variablen!$I:$AT, MATCH(M113, Variablen!$A:$A, 0), MATCH((YEAR(D113)+17), Variablen!$I$3:$AT$3, 0))="",L113,INDEX(Variablen!$I:$AT, MATCH(M113, Variablen!$A:$A, 0), MATCH((YEAR(D113)+17), Variablen!$I$3:$AT$3, 0))),L113)))*(IF((YEAR(D113)+17)&lt;YEAR(E113),0,IF((YEAR(D113)+17)&gt;YEAR(E113),1,(12-MONTH(E113)+1)/12))) + (Q113)*(IF((YEAR(D113)+17)&lt;YEAR(E113),0,IF((YEAR(D113)+17)&gt;YEAR(E113),1,(12-MONTH(E113)+1)/12))))-((P113)*(IF((YEAR(D113)+17)&lt;YEAR(E113),0,IF((YEAR(D113)+17)&gt;YEAR(E113),1,(12-MONTH(E113)+1)/12))) + (R113)*(IF((YEAR(D113)+17)&lt;YEAR(E113),0,IF((YEAR(D113)+17)&gt;YEAR(E113),1,(12-MONTH(E113)+1)/12))))-(IF((((K113)*(IF(M113="",L113,IFERROR(IF(INDEX(Variablen!$I:$AT, MATCH(M113, Variablen!$A:$A, 0), MATCH((YEAR(D113)+17), Variablen!$I$3:$AT$3, 0))="",L113,INDEX(Variablen!$I:$AT, MATCH(M113, Variablen!$A:$A, 0), MATCH((YEAR(D113)+17), Variablen!$I$3:$AT$3, 0))),L113)))*(IF((YEAR(D113)+17)&lt;YEAR(E113),0,IF((YEAR(D113)+17)&gt;YEAR(E113),1,(12-MONTH(E113)+1)/12))) + (Q113)*(IF((YEAR(D113)+17)&lt;YEAR(E113),0,IF((YEAR(D113)+17)&gt;YEAR(E113),1,(12-MONTH(E113)+1)/12))))-((P113)*(IF((YEAR(D113)+17)&lt;YEAR(E113),0,IF((YEAR(D113)+17)&gt;YEAR(E113),1,(12-MONTH(E113)+1)/12))) + (R113)*(IF((YEAR(D113)+17)&lt;YEAR(E113),0,IF((YEAR(D113)+17)&gt;YEAR(E113),1,(12-MONTH(E113)+1)/12))))-(IF(OR(N113="",N113&lt;=0),0,(O113/N113)*(IF(OR(N113="",N113&lt;=0),0,IF((YEAR(D113)+17)&lt;YEAR(E113),0,IF((YEAR(D113)+17)&gt;=YEAR(E113)+N113,0,IF((YEAR(D113)+17)=YEAR(E113),(12-MONTH(E113)+1)/12,1))))))))&gt;0,(((K113)*(IF(M113="",L113,IFERROR(IF(INDEX(Variablen!$I:$AT, MATCH(M113, Variablen!$A:$A, 0), MATCH((YEAR(D113)+17), Variablen!$I$3:$AT$3, 0))="",L113,INDEX(Variablen!$I:$AT, MATCH(M113, Variablen!$A:$A, 0), MATCH((YEAR(D113)+17), Variablen!$I$3:$AT$3, 0))),L113)))*(IF((YEAR(D113)+17)&lt;YEAR(E113),0,IF((YEAR(D113)+17)&gt;YEAR(E113),1,(12-MONTH(E113)+1)/12))) + (Q113)*(IF((YEAR(D113)+17)&lt;YEAR(E113),0,IF((YEAR(D113)+17)&gt;YEAR(E113),1,(12-MONTH(E113)+1)/12))))-((P113)*(IF((YEAR(D113)+17)&lt;YEAR(E113),0,IF((YEAR(D113)+17)&gt;YEAR(E113),1,(12-MONTH(E113)+1)/12))) + (R113)*(IF((YEAR(D113)+17)&lt;YEAR(E113),0,IF((YEAR(D113)+17)&gt;YEAR(E113),1,(12-MONTH(E113)+1)/12))))-(IF(OR(N113="",N113&lt;=0),0,(O113/N113)*(IF(OR(N113="",N113&lt;=0),0,IF((YEAR(D113)+17)&lt;YEAR(E113),0,IF((YEAR(D113)+17)&gt;=YEAR(E113)+N113,0,IF((YEAR(D113)+17)=YEAR(E113),(12-MONTH(E113)+1)/12,1))))))))*TaxRate,0))-IF(17=0,O113,0))</f>
        <v/>
      </c>
      <c r="AK113" s="29">
        <f>IF(A113="","",((K113)*(IF(M113="",L113,IFERROR(IF(INDEX(Variablen!$I:$AT, MATCH(M113, Variablen!$A:$A, 0), MATCH((YEAR(D113)+18), Variablen!$I$3:$AT$3, 0))="",L113,INDEX(Variablen!$I:$AT, MATCH(M113, Variablen!$A:$A, 0), MATCH((YEAR(D113)+18), Variablen!$I$3:$AT$3, 0))),L113)))*(IF((YEAR(D113)+18)&lt;YEAR(E113),0,IF((YEAR(D113)+18)&gt;YEAR(E113),1,(12-MONTH(E113)+1)/12))) + (Q113)*(IF((YEAR(D113)+18)&lt;YEAR(E113),0,IF((YEAR(D113)+18)&gt;YEAR(E113),1,(12-MONTH(E113)+1)/12))))-((P113)*(IF((YEAR(D113)+18)&lt;YEAR(E113),0,IF((YEAR(D113)+18)&gt;YEAR(E113),1,(12-MONTH(E113)+1)/12))) + (R113)*(IF((YEAR(D113)+18)&lt;YEAR(E113),0,IF((YEAR(D113)+18)&gt;YEAR(E113),1,(12-MONTH(E113)+1)/12))))-(IF((((K113)*(IF(M113="",L113,IFERROR(IF(INDEX(Variablen!$I:$AT, MATCH(M113, Variablen!$A:$A, 0), MATCH((YEAR(D113)+18), Variablen!$I$3:$AT$3, 0))="",L113,INDEX(Variablen!$I:$AT, MATCH(M113, Variablen!$A:$A, 0), MATCH((YEAR(D113)+18), Variablen!$I$3:$AT$3, 0))),L113)))*(IF((YEAR(D113)+18)&lt;YEAR(E113),0,IF((YEAR(D113)+18)&gt;YEAR(E113),1,(12-MONTH(E113)+1)/12))) + (Q113)*(IF((YEAR(D113)+18)&lt;YEAR(E113),0,IF((YEAR(D113)+18)&gt;YEAR(E113),1,(12-MONTH(E113)+1)/12))))-((P113)*(IF((YEAR(D113)+18)&lt;YEAR(E113),0,IF((YEAR(D113)+18)&gt;YEAR(E113),1,(12-MONTH(E113)+1)/12))) + (R113)*(IF((YEAR(D113)+18)&lt;YEAR(E113),0,IF((YEAR(D113)+18)&gt;YEAR(E113),1,(12-MONTH(E113)+1)/12))))-(IF(OR(N113="",N113&lt;=0),0,(O113/N113)*(IF(OR(N113="",N113&lt;=0),0,IF((YEAR(D113)+18)&lt;YEAR(E113),0,IF((YEAR(D113)+18)&gt;=YEAR(E113)+N113,0,IF((YEAR(D113)+18)=YEAR(E113),(12-MONTH(E113)+1)/12,1))))))))&gt;0,(((K113)*(IF(M113="",L113,IFERROR(IF(INDEX(Variablen!$I:$AT, MATCH(M113, Variablen!$A:$A, 0), MATCH((YEAR(D113)+18), Variablen!$I$3:$AT$3, 0))="",L113,INDEX(Variablen!$I:$AT, MATCH(M113, Variablen!$A:$A, 0), MATCH((YEAR(D113)+18), Variablen!$I$3:$AT$3, 0))),L113)))*(IF((YEAR(D113)+18)&lt;YEAR(E113),0,IF((YEAR(D113)+18)&gt;YEAR(E113),1,(12-MONTH(E113)+1)/12))) + (Q113)*(IF((YEAR(D113)+18)&lt;YEAR(E113),0,IF((YEAR(D113)+18)&gt;YEAR(E113),1,(12-MONTH(E113)+1)/12))))-((P113)*(IF((YEAR(D113)+18)&lt;YEAR(E113),0,IF((YEAR(D113)+18)&gt;YEAR(E113),1,(12-MONTH(E113)+1)/12))) + (R113)*(IF((YEAR(D113)+18)&lt;YEAR(E113),0,IF((YEAR(D113)+18)&gt;YEAR(E113),1,(12-MONTH(E113)+1)/12))))-(IF(OR(N113="",N113&lt;=0),0,(O113/N113)*(IF(OR(N113="",N113&lt;=0),0,IF((YEAR(D113)+18)&lt;YEAR(E113),0,IF((YEAR(D113)+18)&gt;=YEAR(E113)+N113,0,IF((YEAR(D113)+18)=YEAR(E113),(12-MONTH(E113)+1)/12,1))))))))*TaxRate,0))-IF(18=0,O113,0))</f>
        <v/>
      </c>
      <c r="AL113" s="29">
        <f>IF(A113="","",((K113)*(IF(M113="",L113,IFERROR(IF(INDEX(Variablen!$I:$AT, MATCH(M113, Variablen!$A:$A, 0), MATCH((YEAR(D113)+19), Variablen!$I$3:$AT$3, 0))="",L113,INDEX(Variablen!$I:$AT, MATCH(M113, Variablen!$A:$A, 0), MATCH((YEAR(D113)+19), Variablen!$I$3:$AT$3, 0))),L113)))*(IF((YEAR(D113)+19)&lt;YEAR(E113),0,IF((YEAR(D113)+19)&gt;YEAR(E113),1,(12-MONTH(E113)+1)/12))) + (Q113)*(IF((YEAR(D113)+19)&lt;YEAR(E113),0,IF((YEAR(D113)+19)&gt;YEAR(E113),1,(12-MONTH(E113)+1)/12))))-((P113)*(IF((YEAR(D113)+19)&lt;YEAR(E113),0,IF((YEAR(D113)+19)&gt;YEAR(E113),1,(12-MONTH(E113)+1)/12))) + (R113)*(IF((YEAR(D113)+19)&lt;YEAR(E113),0,IF((YEAR(D113)+19)&gt;YEAR(E113),1,(12-MONTH(E113)+1)/12))))-(IF((((K113)*(IF(M113="",L113,IFERROR(IF(INDEX(Variablen!$I:$AT, MATCH(M113, Variablen!$A:$A, 0), MATCH((YEAR(D113)+19), Variablen!$I$3:$AT$3, 0))="",L113,INDEX(Variablen!$I:$AT, MATCH(M113, Variablen!$A:$A, 0), MATCH((YEAR(D113)+19), Variablen!$I$3:$AT$3, 0))),L113)))*(IF((YEAR(D113)+19)&lt;YEAR(E113),0,IF((YEAR(D113)+19)&gt;YEAR(E113),1,(12-MONTH(E113)+1)/12))) + (Q113)*(IF((YEAR(D113)+19)&lt;YEAR(E113),0,IF((YEAR(D113)+19)&gt;YEAR(E113),1,(12-MONTH(E113)+1)/12))))-((P113)*(IF((YEAR(D113)+19)&lt;YEAR(E113),0,IF((YEAR(D113)+19)&gt;YEAR(E113),1,(12-MONTH(E113)+1)/12))) + (R113)*(IF((YEAR(D113)+19)&lt;YEAR(E113),0,IF((YEAR(D113)+19)&gt;YEAR(E113),1,(12-MONTH(E113)+1)/12))))-(IF(OR(N113="",N113&lt;=0),0,(O113/N113)*(IF(OR(N113="",N113&lt;=0),0,IF((YEAR(D113)+19)&lt;YEAR(E113),0,IF((YEAR(D113)+19)&gt;=YEAR(E113)+N113,0,IF((YEAR(D113)+19)=YEAR(E113),(12-MONTH(E113)+1)/12,1))))))))&gt;0,(((K113)*(IF(M113="",L113,IFERROR(IF(INDEX(Variablen!$I:$AT, MATCH(M113, Variablen!$A:$A, 0), MATCH((YEAR(D113)+19), Variablen!$I$3:$AT$3, 0))="",L113,INDEX(Variablen!$I:$AT, MATCH(M113, Variablen!$A:$A, 0), MATCH((YEAR(D113)+19), Variablen!$I$3:$AT$3, 0))),L113)))*(IF((YEAR(D113)+19)&lt;YEAR(E113),0,IF((YEAR(D113)+19)&gt;YEAR(E113),1,(12-MONTH(E113)+1)/12))) + (Q113)*(IF((YEAR(D113)+19)&lt;YEAR(E113),0,IF((YEAR(D113)+19)&gt;YEAR(E113),1,(12-MONTH(E113)+1)/12))))-((P113)*(IF((YEAR(D113)+19)&lt;YEAR(E113),0,IF((YEAR(D113)+19)&gt;YEAR(E113),1,(12-MONTH(E113)+1)/12))) + (R113)*(IF((YEAR(D113)+19)&lt;YEAR(E113),0,IF((YEAR(D113)+19)&gt;YEAR(E113),1,(12-MONTH(E113)+1)/12))))-(IF(OR(N113="",N113&lt;=0),0,(O113/N113)*(IF(OR(N113="",N113&lt;=0),0,IF((YEAR(D113)+19)&lt;YEAR(E113),0,IF((YEAR(D113)+19)&gt;=YEAR(E113)+N113,0,IF((YEAR(D113)+19)=YEAR(E113),(12-MONTH(E113)+1)/12,1))))))))*TaxRate,0))-IF(19=0,O113,0))</f>
        <v/>
      </c>
      <c r="AM113" s="29">
        <f>IF(A113="","",((K113)*(IF(M113="",L113,IFERROR(IF(INDEX(Variablen!$I:$AT, MATCH(M113, Variablen!$A:$A, 0), MATCH((YEAR(D113)+20), Variablen!$I$3:$AT$3, 0))="",L113,INDEX(Variablen!$I:$AT, MATCH(M113, Variablen!$A:$A, 0), MATCH((YEAR(D113)+20), Variablen!$I$3:$AT$3, 0))),L113)))*(IF((YEAR(D113)+20)&lt;YEAR(E113),0,IF((YEAR(D113)+20)&gt;YEAR(E113),1,(12-MONTH(E113)+1)/12))) + (Q113)*(IF((YEAR(D113)+20)&lt;YEAR(E113),0,IF((YEAR(D113)+20)&gt;YEAR(E113),1,(12-MONTH(E113)+1)/12))))-((P113)*(IF((YEAR(D113)+20)&lt;YEAR(E113),0,IF((YEAR(D113)+20)&gt;YEAR(E113),1,(12-MONTH(E113)+1)/12))) + (R113)*(IF((YEAR(D113)+20)&lt;YEAR(E113),0,IF((YEAR(D113)+20)&gt;YEAR(E113),1,(12-MONTH(E113)+1)/12))))-(IF((((K113)*(IF(M113="",L113,IFERROR(IF(INDEX(Variablen!$I:$AT, MATCH(M113, Variablen!$A:$A, 0), MATCH((YEAR(D113)+20), Variablen!$I$3:$AT$3, 0))="",L113,INDEX(Variablen!$I:$AT, MATCH(M113, Variablen!$A:$A, 0), MATCH((YEAR(D113)+20), Variablen!$I$3:$AT$3, 0))),L113)))*(IF((YEAR(D113)+20)&lt;YEAR(E113),0,IF((YEAR(D113)+20)&gt;YEAR(E113),1,(12-MONTH(E113)+1)/12))) + (Q113)*(IF((YEAR(D113)+20)&lt;YEAR(E113),0,IF((YEAR(D113)+20)&gt;YEAR(E113),1,(12-MONTH(E113)+1)/12))))-((P113)*(IF((YEAR(D113)+20)&lt;YEAR(E113),0,IF((YEAR(D113)+20)&gt;YEAR(E113),1,(12-MONTH(E113)+1)/12))) + (R113)*(IF((YEAR(D113)+20)&lt;YEAR(E113),0,IF((YEAR(D113)+20)&gt;YEAR(E113),1,(12-MONTH(E113)+1)/12))))-(IF(OR(N113="",N113&lt;=0),0,(O113/N113)*(IF(OR(N113="",N113&lt;=0),0,IF((YEAR(D113)+20)&lt;YEAR(E113),0,IF((YEAR(D113)+20)&gt;=YEAR(E113)+N113,0,IF((YEAR(D113)+20)=YEAR(E113),(12-MONTH(E113)+1)/12,1))))))))&gt;0,(((K113)*(IF(M113="",L113,IFERROR(IF(INDEX(Variablen!$I:$AT, MATCH(M113, Variablen!$A:$A, 0), MATCH((YEAR(D113)+20), Variablen!$I$3:$AT$3, 0))="",L113,INDEX(Variablen!$I:$AT, MATCH(M113, Variablen!$A:$A, 0), MATCH((YEAR(D113)+20), Variablen!$I$3:$AT$3, 0))),L113)))*(IF((YEAR(D113)+20)&lt;YEAR(E113),0,IF((YEAR(D113)+20)&gt;YEAR(E113),1,(12-MONTH(E113)+1)/12))) + (Q113)*(IF((YEAR(D113)+20)&lt;YEAR(E113),0,IF((YEAR(D113)+20)&gt;YEAR(E113),1,(12-MONTH(E113)+1)/12))))-((P113)*(IF((YEAR(D113)+20)&lt;YEAR(E113),0,IF((YEAR(D113)+20)&gt;YEAR(E113),1,(12-MONTH(E113)+1)/12))) + (R113)*(IF((YEAR(D113)+20)&lt;YEAR(E113),0,IF((YEAR(D113)+20)&gt;YEAR(E113),1,(12-MONTH(E113)+1)/12))))-(IF(OR(N113="",N113&lt;=0),0,(O113/N113)*(IF(OR(N113="",N113&lt;=0),0,IF((YEAR(D113)+20)&lt;YEAR(E113),0,IF((YEAR(D113)+20)&gt;=YEAR(E113)+N113,0,IF((YEAR(D113)+20)=YEAR(E113),(12-MONTH(E113)+1)/12,1))))))))*TaxRate,0))-IF(20=0,O113,0))</f>
        <v/>
      </c>
      <c r="AN113" s="29">
        <f>IF(A113="","",S113)</f>
        <v/>
      </c>
      <c r="AO113" s="29">
        <f>IF(A113="","",AN113+T113)</f>
        <v/>
      </c>
      <c r="AP113" s="29">
        <f>IF(A113="","",AO113+U113)</f>
        <v/>
      </c>
      <c r="AQ113" s="29">
        <f>IF(A113="","",AP113+V113)</f>
        <v/>
      </c>
      <c r="AR113" s="29">
        <f>IF(A113="","",AQ113+W113)</f>
        <v/>
      </c>
      <c r="AS113" s="29">
        <f>IF(A113="","",AR113+X113)</f>
        <v/>
      </c>
      <c r="AT113" s="29">
        <f>IF(A113="","",AS113+Y113)</f>
        <v/>
      </c>
      <c r="AU113" s="29">
        <f>IF(A113="","",AT113+Z113)</f>
        <v/>
      </c>
      <c r="AV113" s="29">
        <f>IF(A113="","",AU113+AA113)</f>
        <v/>
      </c>
      <c r="AW113" s="29">
        <f>IF(A113="","",AV113+AB113)</f>
        <v/>
      </c>
      <c r="AX113" s="29">
        <f>IF(A113="","",AW113+AC113)</f>
        <v/>
      </c>
      <c r="AY113" s="29">
        <f>IF(A113="","",AX113+AD113)</f>
        <v/>
      </c>
      <c r="AZ113" s="29">
        <f>IF(A113="","",AY113+AE113)</f>
        <v/>
      </c>
      <c r="BA113" s="29">
        <f>IF(A113="","",AZ113+AF113)</f>
        <v/>
      </c>
      <c r="BB113" s="29">
        <f>IF(A113="","",BA113+AG113)</f>
        <v/>
      </c>
      <c r="BC113" s="29">
        <f>IF(A113="","",BB113+AH113)</f>
        <v/>
      </c>
      <c r="BD113" s="29">
        <f>IF(A113="","",BC113+AI113)</f>
        <v/>
      </c>
      <c r="BE113" s="29">
        <f>IF(A113="","",BD113+AJ113)</f>
        <v/>
      </c>
      <c r="BF113" s="29">
        <f>IF(A113="","",BE113+AK113)</f>
        <v/>
      </c>
      <c r="BG113" s="29">
        <f>IF(A113="","",BF113+AL113)</f>
        <v/>
      </c>
      <c r="BH113" s="29">
        <f>IF(A113="","",BG113+AM113)</f>
        <v/>
      </c>
      <c r="BI113" s="36">
        <f>IF(A113="","",(K113)*(IF((YEAR(D113)+0)&lt;YEAR(E113),0,IF((YEAR(D113)+0)&gt;YEAR(E113),1,(12-MONTH(E113)+1)/12)))*(1/(1+DiscountRate)^0))</f>
        <v/>
      </c>
      <c r="BJ113" s="36">
        <f>IF(A113="","",(K113)*(IF((YEAR(D113)+1)&lt;YEAR(E113),0,IF((YEAR(D113)+1)&gt;YEAR(E113),1,(12-MONTH(E113)+1)/12)))*(1/(1+DiscountRate)^1))</f>
        <v/>
      </c>
      <c r="BK113" s="36">
        <f>IF(A113="","",(K113)*(IF((YEAR(D113)+2)&lt;YEAR(E113),0,IF((YEAR(D113)+2)&gt;YEAR(E113),1,(12-MONTH(E113)+1)/12)))*(1/(1+DiscountRate)^2))</f>
        <v/>
      </c>
      <c r="BL113" s="36">
        <f>IF(A113="","",(K113)*(IF((YEAR(D113)+3)&lt;YEAR(E113),0,IF((YEAR(D113)+3)&gt;YEAR(E113),1,(12-MONTH(E113)+1)/12)))*(1/(1+DiscountRate)^3))</f>
        <v/>
      </c>
      <c r="BM113" s="36">
        <f>IF(A113="","",(K113)*(IF((YEAR(D113)+4)&lt;YEAR(E113),0,IF((YEAR(D113)+4)&gt;YEAR(E113),1,(12-MONTH(E113)+1)/12)))*(1/(1+DiscountRate)^4))</f>
        <v/>
      </c>
      <c r="BN113" s="36">
        <f>IF(A113="","",(K113)*(IF((YEAR(D113)+5)&lt;YEAR(E113),0,IF((YEAR(D113)+5)&gt;YEAR(E113),1,(12-MONTH(E113)+1)/12)))*(1/(1+DiscountRate)^5))</f>
        <v/>
      </c>
      <c r="BO113" s="36">
        <f>IF(A113="","",(K113)*(IF((YEAR(D113)+6)&lt;YEAR(E113),0,IF((YEAR(D113)+6)&gt;YEAR(E113),1,(12-MONTH(E113)+1)/12)))*(1/(1+DiscountRate)^6))</f>
        <v/>
      </c>
      <c r="BP113" s="36">
        <f>IF(A113="","",(K113)*(IF((YEAR(D113)+7)&lt;YEAR(E113),0,IF((YEAR(D113)+7)&gt;YEAR(E113),1,(12-MONTH(E113)+1)/12)))*(1/(1+DiscountRate)^7))</f>
        <v/>
      </c>
      <c r="BQ113" s="36">
        <f>IF(A113="","",(K113)*(IF((YEAR(D113)+8)&lt;YEAR(E113),0,IF((YEAR(D113)+8)&gt;YEAR(E113),1,(12-MONTH(E113)+1)/12)))*(1/(1+DiscountRate)^8))</f>
        <v/>
      </c>
      <c r="BR113" s="36">
        <f>IF(A113="","",(K113)*(IF((YEAR(D113)+9)&lt;YEAR(E113),0,IF((YEAR(D113)+9)&gt;YEAR(E113),1,(12-MONTH(E113)+1)/12)))*(1/(1+DiscountRate)^9))</f>
        <v/>
      </c>
      <c r="BS113" s="36">
        <f>IF(A113="","",(K113)*(IF((YEAR(D113)+10)&lt;YEAR(E113),0,IF((YEAR(D113)+10)&gt;YEAR(E113),1,(12-MONTH(E113)+1)/12)))*(1/(1+DiscountRate)^10))</f>
        <v/>
      </c>
      <c r="BT113" s="36">
        <f>IF(A113="","",(K113)*(IF((YEAR(D113)+11)&lt;YEAR(E113),0,IF((YEAR(D113)+11)&gt;YEAR(E113),1,(12-MONTH(E113)+1)/12)))*(1/(1+DiscountRate)^11))</f>
        <v/>
      </c>
      <c r="BU113" s="36">
        <f>IF(A113="","",(K113)*(IF((YEAR(D113)+12)&lt;YEAR(E113),0,IF((YEAR(D113)+12)&gt;YEAR(E113),1,(12-MONTH(E113)+1)/12)))*(1/(1+DiscountRate)^12))</f>
        <v/>
      </c>
      <c r="BV113" s="36">
        <f>IF(A113="","",(K113)*(IF((YEAR(D113)+13)&lt;YEAR(E113),0,IF((YEAR(D113)+13)&gt;YEAR(E113),1,(12-MONTH(E113)+1)/12)))*(1/(1+DiscountRate)^13))</f>
        <v/>
      </c>
      <c r="BW113" s="36">
        <f>IF(A113="","",(K113)*(IF((YEAR(D113)+14)&lt;YEAR(E113),0,IF((YEAR(D113)+14)&gt;YEAR(E113),1,(12-MONTH(E113)+1)/12)))*(1/(1+DiscountRate)^14))</f>
        <v/>
      </c>
      <c r="BX113" s="36">
        <f>IF(A113="","",(K113)*(IF((YEAR(D113)+15)&lt;YEAR(E113),0,IF((YEAR(D113)+15)&gt;YEAR(E113),1,(12-MONTH(E113)+1)/12)))*(1/(1+DiscountRate)^15))</f>
        <v/>
      </c>
      <c r="BY113" s="36">
        <f>IF(A113="","",(K113)*(IF((YEAR(D113)+16)&lt;YEAR(E113),0,IF((YEAR(D113)+16)&gt;YEAR(E113),1,(12-MONTH(E113)+1)/12)))*(1/(1+DiscountRate)^16))</f>
        <v/>
      </c>
      <c r="BZ113" s="36">
        <f>IF(A113="","",(K113)*(IF((YEAR(D113)+17)&lt;YEAR(E113),0,IF((YEAR(D113)+17)&gt;YEAR(E113),1,(12-MONTH(E113)+1)/12)))*(1/(1+DiscountRate)^17))</f>
        <v/>
      </c>
      <c r="CA113" s="36">
        <f>IF(A113="","",(K113)*(IF((YEAR(D113)+18)&lt;YEAR(E113),0,IF((YEAR(D113)+18)&gt;YEAR(E113),1,(12-MONTH(E113)+1)/12)))*(1/(1+DiscountRate)^18))</f>
        <v/>
      </c>
      <c r="CB113" s="36">
        <f>IF(A113="","",(K113)*(IF((YEAR(D113)+19)&lt;YEAR(E113),0,IF((YEAR(D113)+19)&gt;YEAR(E113),1,(12-MONTH(E113)+1)/12)))*(1/(1+DiscountRate)^19))</f>
        <v/>
      </c>
      <c r="CC113" s="36">
        <f>IF(A113="","",(K113)*(IF((YEAR(D113)+20)&lt;YEAR(E113),0,IF((YEAR(D113)+20)&gt;YEAR(E113),1,(12-MONTH(E113)+1)/12)))*(1/(1+DiscountRate)^20))</f>
        <v/>
      </c>
      <c r="CD113" s="29">
        <f>IF(A113="","",S113/(1+DiscountRate)^0+T113/(1+DiscountRate)^1+U113/(1+DiscountRate)^2+V113/(1+DiscountRate)^3+W113/(1+DiscountRate)^4+X113/(1+DiscountRate)^5+Y113/(1+DiscountRate)^6+Z113/(1+DiscountRate)^7+AA113/(1+DiscountRate)^8+AB113/(1+DiscountRate)^9+AC113/(1+DiscountRate)^10+AD113/(1+DiscountRate)^11+AE113/(1+DiscountRate)^12+AF113/(1+DiscountRate)^13+AG113/(1+DiscountRate)^14+AH113/(1+DiscountRate)^15+AI113/(1+DiscountRate)^16+AJ113/(1+DiscountRate)^17+AK113/(1+DiscountRate)^18+AL113/(1+DiscountRate)^19+AM113/(1+DiscountRate)^20)</f>
        <v/>
      </c>
      <c r="CE113" s="37">
        <f>IF(A113="","",IFERROR(IRR(OFFSET(S113,0,0,1,MIN(HorizonYears,20)+1)),"n/a"))</f>
        <v/>
      </c>
      <c r="CF113" s="28">
        <f>IF(A113="","",IFERROR(MATCH(TRUE,OFFSET(AN113,0,0,1,MIN(HorizonYears,20)+1)&gt;=0,0)-1,"n/a"))</f>
        <v/>
      </c>
      <c r="CG113" s="36">
        <f>IF(A113="","",SUM(OFFSET(BI113,0,0,1,MIN(HorizonYears,20)+1)))</f>
        <v/>
      </c>
      <c r="CH113" s="36">
        <f>IF(A113="","",IFERROR(-CD113/CG113,"n/a"))</f>
        <v/>
      </c>
    </row>
    <row r="114">
      <c r="A114" s="6">
        <f>Actions!A112</f>
        <v/>
      </c>
      <c r="B114" s="6">
        <f>Actions!B112</f>
        <v/>
      </c>
      <c r="C114" s="6">
        <f>Actions!D112</f>
        <v/>
      </c>
      <c r="D114" s="35">
        <f>Actions!E112</f>
        <v/>
      </c>
      <c r="E114" s="35">
        <f>Actions!F112</f>
        <v/>
      </c>
      <c r="F114" s="6">
        <f>Actions!G112</f>
        <v/>
      </c>
      <c r="G114" s="6">
        <f>Actions!H112</f>
        <v/>
      </c>
      <c r="H114" s="29">
        <f>Actions!I112</f>
        <v/>
      </c>
      <c r="I114" s="6">
        <f>Actions!J112</f>
        <v/>
      </c>
      <c r="J114" s="16">
        <f>Actions!K112</f>
        <v/>
      </c>
      <c r="K114" s="16">
        <f>IF(A114="","",IF(I114="%",H114*J114,J114))</f>
        <v/>
      </c>
      <c r="L114" s="16">
        <f>Actions!L112</f>
        <v/>
      </c>
      <c r="M114" s="6">
        <f>Actions!M112</f>
        <v/>
      </c>
      <c r="N114" s="28">
        <f>Actions!N112</f>
        <v/>
      </c>
      <c r="O114" s="29">
        <f>Actions!T112</f>
        <v/>
      </c>
      <c r="P114" s="29">
        <f>Actions!Y112</f>
        <v/>
      </c>
      <c r="Q114" s="29">
        <f>Actions!Z112</f>
        <v/>
      </c>
      <c r="R114" s="29">
        <f>Actions!AA112</f>
        <v/>
      </c>
      <c r="S114" s="29">
        <f>IF(A114="","",((K114)*(IF(M114="",L114,IFERROR(IF(INDEX(Variablen!$I:$AT, MATCH(M114, Variablen!$A:$A, 0), MATCH((YEAR(D114)+0), Variablen!$I$3:$AT$3, 0))="",L114,INDEX(Variablen!$I:$AT, MATCH(M114, Variablen!$A:$A, 0), MATCH((YEAR(D114)+0), Variablen!$I$3:$AT$3, 0))),L114)))*(IF((YEAR(D114)+0)&lt;YEAR(E114),0,IF((YEAR(D114)+0)&gt;YEAR(E114),1,(12-MONTH(E114)+1)/12))) + (Q114)*(IF((YEAR(D114)+0)&lt;YEAR(E114),0,IF((YEAR(D114)+0)&gt;YEAR(E114),1,(12-MONTH(E114)+1)/12))))-((P114)*(IF((YEAR(D114)+0)&lt;YEAR(E114),0,IF((YEAR(D114)+0)&gt;YEAR(E114),1,(12-MONTH(E114)+1)/12))) + (R114)*(IF((YEAR(D114)+0)&lt;YEAR(E114),0,IF((YEAR(D114)+0)&gt;YEAR(E114),1,(12-MONTH(E114)+1)/12))))-(IF((((K114)*(IF(M114="",L114,IFERROR(IF(INDEX(Variablen!$I:$AT, MATCH(M114, Variablen!$A:$A, 0), MATCH((YEAR(D114)+0), Variablen!$I$3:$AT$3, 0))="",L114,INDEX(Variablen!$I:$AT, MATCH(M114, Variablen!$A:$A, 0), MATCH((YEAR(D114)+0), Variablen!$I$3:$AT$3, 0))),L114)))*(IF((YEAR(D114)+0)&lt;YEAR(E114),0,IF((YEAR(D114)+0)&gt;YEAR(E114),1,(12-MONTH(E114)+1)/12))) + (Q114)*(IF((YEAR(D114)+0)&lt;YEAR(E114),0,IF((YEAR(D114)+0)&gt;YEAR(E114),1,(12-MONTH(E114)+1)/12))))-((P114)*(IF((YEAR(D114)+0)&lt;YEAR(E114),0,IF((YEAR(D114)+0)&gt;YEAR(E114),1,(12-MONTH(E114)+1)/12))) + (R114)*(IF((YEAR(D114)+0)&lt;YEAR(E114),0,IF((YEAR(D114)+0)&gt;YEAR(E114),1,(12-MONTH(E114)+1)/12))))-(IF(OR(N114="",N114&lt;=0),0,(O114/N114)*(IF(OR(N114="",N114&lt;=0),0,IF((YEAR(D114)+0)&lt;YEAR(E114),0,IF((YEAR(D114)+0)&gt;=YEAR(E114)+N114,0,IF((YEAR(D114)+0)=YEAR(E114),(12-MONTH(E114)+1)/12,1))))))))&gt;0,(((K114)*(IF(M114="",L114,IFERROR(IF(INDEX(Variablen!$I:$AT, MATCH(M114, Variablen!$A:$A, 0), MATCH((YEAR(D114)+0), Variablen!$I$3:$AT$3, 0))="",L114,INDEX(Variablen!$I:$AT, MATCH(M114, Variablen!$A:$A, 0), MATCH((YEAR(D114)+0), Variablen!$I$3:$AT$3, 0))),L114)))*(IF((YEAR(D114)+0)&lt;YEAR(E114),0,IF((YEAR(D114)+0)&gt;YEAR(E114),1,(12-MONTH(E114)+1)/12))) + (Q114)*(IF((YEAR(D114)+0)&lt;YEAR(E114),0,IF((YEAR(D114)+0)&gt;YEAR(E114),1,(12-MONTH(E114)+1)/12))))-((P114)*(IF((YEAR(D114)+0)&lt;YEAR(E114),0,IF((YEAR(D114)+0)&gt;YEAR(E114),1,(12-MONTH(E114)+1)/12))) + (R114)*(IF((YEAR(D114)+0)&lt;YEAR(E114),0,IF((YEAR(D114)+0)&gt;YEAR(E114),1,(12-MONTH(E114)+1)/12))))-(IF(OR(N114="",N114&lt;=0),0,(O114/N114)*(IF(OR(N114="",N114&lt;=0),0,IF((YEAR(D114)+0)&lt;YEAR(E114),0,IF((YEAR(D114)+0)&gt;=YEAR(E114)+N114,0,IF((YEAR(D114)+0)=YEAR(E114),(12-MONTH(E114)+1)/12,1))))))))*TaxRate,0))-IF(0=0,O114,0))</f>
        <v/>
      </c>
      <c r="T114" s="29">
        <f>IF(A114="","",((K114)*(IF(M114="",L114,IFERROR(IF(INDEX(Variablen!$I:$AT, MATCH(M114, Variablen!$A:$A, 0), MATCH((YEAR(D114)+1), Variablen!$I$3:$AT$3, 0))="",L114,INDEX(Variablen!$I:$AT, MATCH(M114, Variablen!$A:$A, 0), MATCH((YEAR(D114)+1), Variablen!$I$3:$AT$3, 0))),L114)))*(IF((YEAR(D114)+1)&lt;YEAR(E114),0,IF((YEAR(D114)+1)&gt;YEAR(E114),1,(12-MONTH(E114)+1)/12))) + (Q114)*(IF((YEAR(D114)+1)&lt;YEAR(E114),0,IF((YEAR(D114)+1)&gt;YEAR(E114),1,(12-MONTH(E114)+1)/12))))-((P114)*(IF((YEAR(D114)+1)&lt;YEAR(E114),0,IF((YEAR(D114)+1)&gt;YEAR(E114),1,(12-MONTH(E114)+1)/12))) + (R114)*(IF((YEAR(D114)+1)&lt;YEAR(E114),0,IF((YEAR(D114)+1)&gt;YEAR(E114),1,(12-MONTH(E114)+1)/12))))-(IF((((K114)*(IF(M114="",L114,IFERROR(IF(INDEX(Variablen!$I:$AT, MATCH(M114, Variablen!$A:$A, 0), MATCH((YEAR(D114)+1), Variablen!$I$3:$AT$3, 0))="",L114,INDEX(Variablen!$I:$AT, MATCH(M114, Variablen!$A:$A, 0), MATCH((YEAR(D114)+1), Variablen!$I$3:$AT$3, 0))),L114)))*(IF((YEAR(D114)+1)&lt;YEAR(E114),0,IF((YEAR(D114)+1)&gt;YEAR(E114),1,(12-MONTH(E114)+1)/12))) + (Q114)*(IF((YEAR(D114)+1)&lt;YEAR(E114),0,IF((YEAR(D114)+1)&gt;YEAR(E114),1,(12-MONTH(E114)+1)/12))))-((P114)*(IF((YEAR(D114)+1)&lt;YEAR(E114),0,IF((YEAR(D114)+1)&gt;YEAR(E114),1,(12-MONTH(E114)+1)/12))) + (R114)*(IF((YEAR(D114)+1)&lt;YEAR(E114),0,IF((YEAR(D114)+1)&gt;YEAR(E114),1,(12-MONTH(E114)+1)/12))))-(IF(OR(N114="",N114&lt;=0),0,(O114/N114)*(IF(OR(N114="",N114&lt;=0),0,IF((YEAR(D114)+1)&lt;YEAR(E114),0,IF((YEAR(D114)+1)&gt;=YEAR(E114)+N114,0,IF((YEAR(D114)+1)=YEAR(E114),(12-MONTH(E114)+1)/12,1))))))))&gt;0,(((K114)*(IF(M114="",L114,IFERROR(IF(INDEX(Variablen!$I:$AT, MATCH(M114, Variablen!$A:$A, 0), MATCH((YEAR(D114)+1), Variablen!$I$3:$AT$3, 0))="",L114,INDEX(Variablen!$I:$AT, MATCH(M114, Variablen!$A:$A, 0), MATCH((YEAR(D114)+1), Variablen!$I$3:$AT$3, 0))),L114)))*(IF((YEAR(D114)+1)&lt;YEAR(E114),0,IF((YEAR(D114)+1)&gt;YEAR(E114),1,(12-MONTH(E114)+1)/12))) + (Q114)*(IF((YEAR(D114)+1)&lt;YEAR(E114),0,IF((YEAR(D114)+1)&gt;YEAR(E114),1,(12-MONTH(E114)+1)/12))))-((P114)*(IF((YEAR(D114)+1)&lt;YEAR(E114),0,IF((YEAR(D114)+1)&gt;YEAR(E114),1,(12-MONTH(E114)+1)/12))) + (R114)*(IF((YEAR(D114)+1)&lt;YEAR(E114),0,IF((YEAR(D114)+1)&gt;YEAR(E114),1,(12-MONTH(E114)+1)/12))))-(IF(OR(N114="",N114&lt;=0),0,(O114/N114)*(IF(OR(N114="",N114&lt;=0),0,IF((YEAR(D114)+1)&lt;YEAR(E114),0,IF((YEAR(D114)+1)&gt;=YEAR(E114)+N114,0,IF((YEAR(D114)+1)=YEAR(E114),(12-MONTH(E114)+1)/12,1))))))))*TaxRate,0))-IF(1=0,O114,0))</f>
        <v/>
      </c>
      <c r="U114" s="29">
        <f>IF(A114="","",((K114)*(IF(M114="",L114,IFERROR(IF(INDEX(Variablen!$I:$AT, MATCH(M114, Variablen!$A:$A, 0), MATCH((YEAR(D114)+2), Variablen!$I$3:$AT$3, 0))="",L114,INDEX(Variablen!$I:$AT, MATCH(M114, Variablen!$A:$A, 0), MATCH((YEAR(D114)+2), Variablen!$I$3:$AT$3, 0))),L114)))*(IF((YEAR(D114)+2)&lt;YEAR(E114),0,IF((YEAR(D114)+2)&gt;YEAR(E114),1,(12-MONTH(E114)+1)/12))) + (Q114)*(IF((YEAR(D114)+2)&lt;YEAR(E114),0,IF((YEAR(D114)+2)&gt;YEAR(E114),1,(12-MONTH(E114)+1)/12))))-((P114)*(IF((YEAR(D114)+2)&lt;YEAR(E114),0,IF((YEAR(D114)+2)&gt;YEAR(E114),1,(12-MONTH(E114)+1)/12))) + (R114)*(IF((YEAR(D114)+2)&lt;YEAR(E114),0,IF((YEAR(D114)+2)&gt;YEAR(E114),1,(12-MONTH(E114)+1)/12))))-(IF((((K114)*(IF(M114="",L114,IFERROR(IF(INDEX(Variablen!$I:$AT, MATCH(M114, Variablen!$A:$A, 0), MATCH((YEAR(D114)+2), Variablen!$I$3:$AT$3, 0))="",L114,INDEX(Variablen!$I:$AT, MATCH(M114, Variablen!$A:$A, 0), MATCH((YEAR(D114)+2), Variablen!$I$3:$AT$3, 0))),L114)))*(IF((YEAR(D114)+2)&lt;YEAR(E114),0,IF((YEAR(D114)+2)&gt;YEAR(E114),1,(12-MONTH(E114)+1)/12))) + (Q114)*(IF((YEAR(D114)+2)&lt;YEAR(E114),0,IF((YEAR(D114)+2)&gt;YEAR(E114),1,(12-MONTH(E114)+1)/12))))-((P114)*(IF((YEAR(D114)+2)&lt;YEAR(E114),0,IF((YEAR(D114)+2)&gt;YEAR(E114),1,(12-MONTH(E114)+1)/12))) + (R114)*(IF((YEAR(D114)+2)&lt;YEAR(E114),0,IF((YEAR(D114)+2)&gt;YEAR(E114),1,(12-MONTH(E114)+1)/12))))-(IF(OR(N114="",N114&lt;=0),0,(O114/N114)*(IF(OR(N114="",N114&lt;=0),0,IF((YEAR(D114)+2)&lt;YEAR(E114),0,IF((YEAR(D114)+2)&gt;=YEAR(E114)+N114,0,IF((YEAR(D114)+2)=YEAR(E114),(12-MONTH(E114)+1)/12,1))))))))&gt;0,(((K114)*(IF(M114="",L114,IFERROR(IF(INDEX(Variablen!$I:$AT, MATCH(M114, Variablen!$A:$A, 0), MATCH((YEAR(D114)+2), Variablen!$I$3:$AT$3, 0))="",L114,INDEX(Variablen!$I:$AT, MATCH(M114, Variablen!$A:$A, 0), MATCH((YEAR(D114)+2), Variablen!$I$3:$AT$3, 0))),L114)))*(IF((YEAR(D114)+2)&lt;YEAR(E114),0,IF((YEAR(D114)+2)&gt;YEAR(E114),1,(12-MONTH(E114)+1)/12))) + (Q114)*(IF((YEAR(D114)+2)&lt;YEAR(E114),0,IF((YEAR(D114)+2)&gt;YEAR(E114),1,(12-MONTH(E114)+1)/12))))-((P114)*(IF((YEAR(D114)+2)&lt;YEAR(E114),0,IF((YEAR(D114)+2)&gt;YEAR(E114),1,(12-MONTH(E114)+1)/12))) + (R114)*(IF((YEAR(D114)+2)&lt;YEAR(E114),0,IF((YEAR(D114)+2)&gt;YEAR(E114),1,(12-MONTH(E114)+1)/12))))-(IF(OR(N114="",N114&lt;=0),0,(O114/N114)*(IF(OR(N114="",N114&lt;=0),0,IF((YEAR(D114)+2)&lt;YEAR(E114),0,IF((YEAR(D114)+2)&gt;=YEAR(E114)+N114,0,IF((YEAR(D114)+2)=YEAR(E114),(12-MONTH(E114)+1)/12,1))))))))*TaxRate,0))-IF(2=0,O114,0))</f>
        <v/>
      </c>
      <c r="V114" s="29">
        <f>IF(A114="","",((K114)*(IF(M114="",L114,IFERROR(IF(INDEX(Variablen!$I:$AT, MATCH(M114, Variablen!$A:$A, 0), MATCH((YEAR(D114)+3), Variablen!$I$3:$AT$3, 0))="",L114,INDEX(Variablen!$I:$AT, MATCH(M114, Variablen!$A:$A, 0), MATCH((YEAR(D114)+3), Variablen!$I$3:$AT$3, 0))),L114)))*(IF((YEAR(D114)+3)&lt;YEAR(E114),0,IF((YEAR(D114)+3)&gt;YEAR(E114),1,(12-MONTH(E114)+1)/12))) + (Q114)*(IF((YEAR(D114)+3)&lt;YEAR(E114),0,IF((YEAR(D114)+3)&gt;YEAR(E114),1,(12-MONTH(E114)+1)/12))))-((P114)*(IF((YEAR(D114)+3)&lt;YEAR(E114),0,IF((YEAR(D114)+3)&gt;YEAR(E114),1,(12-MONTH(E114)+1)/12))) + (R114)*(IF((YEAR(D114)+3)&lt;YEAR(E114),0,IF((YEAR(D114)+3)&gt;YEAR(E114),1,(12-MONTH(E114)+1)/12))))-(IF((((K114)*(IF(M114="",L114,IFERROR(IF(INDEX(Variablen!$I:$AT, MATCH(M114, Variablen!$A:$A, 0), MATCH((YEAR(D114)+3), Variablen!$I$3:$AT$3, 0))="",L114,INDEX(Variablen!$I:$AT, MATCH(M114, Variablen!$A:$A, 0), MATCH((YEAR(D114)+3), Variablen!$I$3:$AT$3, 0))),L114)))*(IF((YEAR(D114)+3)&lt;YEAR(E114),0,IF((YEAR(D114)+3)&gt;YEAR(E114),1,(12-MONTH(E114)+1)/12))) + (Q114)*(IF((YEAR(D114)+3)&lt;YEAR(E114),0,IF((YEAR(D114)+3)&gt;YEAR(E114),1,(12-MONTH(E114)+1)/12))))-((P114)*(IF((YEAR(D114)+3)&lt;YEAR(E114),0,IF((YEAR(D114)+3)&gt;YEAR(E114),1,(12-MONTH(E114)+1)/12))) + (R114)*(IF((YEAR(D114)+3)&lt;YEAR(E114),0,IF((YEAR(D114)+3)&gt;YEAR(E114),1,(12-MONTH(E114)+1)/12))))-(IF(OR(N114="",N114&lt;=0),0,(O114/N114)*(IF(OR(N114="",N114&lt;=0),0,IF((YEAR(D114)+3)&lt;YEAR(E114),0,IF((YEAR(D114)+3)&gt;=YEAR(E114)+N114,0,IF((YEAR(D114)+3)=YEAR(E114),(12-MONTH(E114)+1)/12,1))))))))&gt;0,(((K114)*(IF(M114="",L114,IFERROR(IF(INDEX(Variablen!$I:$AT, MATCH(M114, Variablen!$A:$A, 0), MATCH((YEAR(D114)+3), Variablen!$I$3:$AT$3, 0))="",L114,INDEX(Variablen!$I:$AT, MATCH(M114, Variablen!$A:$A, 0), MATCH((YEAR(D114)+3), Variablen!$I$3:$AT$3, 0))),L114)))*(IF((YEAR(D114)+3)&lt;YEAR(E114),0,IF((YEAR(D114)+3)&gt;YEAR(E114),1,(12-MONTH(E114)+1)/12))) + (Q114)*(IF((YEAR(D114)+3)&lt;YEAR(E114),0,IF((YEAR(D114)+3)&gt;YEAR(E114),1,(12-MONTH(E114)+1)/12))))-((P114)*(IF((YEAR(D114)+3)&lt;YEAR(E114),0,IF((YEAR(D114)+3)&gt;YEAR(E114),1,(12-MONTH(E114)+1)/12))) + (R114)*(IF((YEAR(D114)+3)&lt;YEAR(E114),0,IF((YEAR(D114)+3)&gt;YEAR(E114),1,(12-MONTH(E114)+1)/12))))-(IF(OR(N114="",N114&lt;=0),0,(O114/N114)*(IF(OR(N114="",N114&lt;=0),0,IF((YEAR(D114)+3)&lt;YEAR(E114),0,IF((YEAR(D114)+3)&gt;=YEAR(E114)+N114,0,IF((YEAR(D114)+3)=YEAR(E114),(12-MONTH(E114)+1)/12,1))))))))*TaxRate,0))-IF(3=0,O114,0))</f>
        <v/>
      </c>
      <c r="W114" s="29">
        <f>IF(A114="","",((K114)*(IF(M114="",L114,IFERROR(IF(INDEX(Variablen!$I:$AT, MATCH(M114, Variablen!$A:$A, 0), MATCH((YEAR(D114)+4), Variablen!$I$3:$AT$3, 0))="",L114,INDEX(Variablen!$I:$AT, MATCH(M114, Variablen!$A:$A, 0), MATCH((YEAR(D114)+4), Variablen!$I$3:$AT$3, 0))),L114)))*(IF((YEAR(D114)+4)&lt;YEAR(E114),0,IF((YEAR(D114)+4)&gt;YEAR(E114),1,(12-MONTH(E114)+1)/12))) + (Q114)*(IF((YEAR(D114)+4)&lt;YEAR(E114),0,IF((YEAR(D114)+4)&gt;YEAR(E114),1,(12-MONTH(E114)+1)/12))))-((P114)*(IF((YEAR(D114)+4)&lt;YEAR(E114),0,IF((YEAR(D114)+4)&gt;YEAR(E114),1,(12-MONTH(E114)+1)/12))) + (R114)*(IF((YEAR(D114)+4)&lt;YEAR(E114),0,IF((YEAR(D114)+4)&gt;YEAR(E114),1,(12-MONTH(E114)+1)/12))))-(IF((((K114)*(IF(M114="",L114,IFERROR(IF(INDEX(Variablen!$I:$AT, MATCH(M114, Variablen!$A:$A, 0), MATCH((YEAR(D114)+4), Variablen!$I$3:$AT$3, 0))="",L114,INDEX(Variablen!$I:$AT, MATCH(M114, Variablen!$A:$A, 0), MATCH((YEAR(D114)+4), Variablen!$I$3:$AT$3, 0))),L114)))*(IF((YEAR(D114)+4)&lt;YEAR(E114),0,IF((YEAR(D114)+4)&gt;YEAR(E114),1,(12-MONTH(E114)+1)/12))) + (Q114)*(IF((YEAR(D114)+4)&lt;YEAR(E114),0,IF((YEAR(D114)+4)&gt;YEAR(E114),1,(12-MONTH(E114)+1)/12))))-((P114)*(IF((YEAR(D114)+4)&lt;YEAR(E114),0,IF((YEAR(D114)+4)&gt;YEAR(E114),1,(12-MONTH(E114)+1)/12))) + (R114)*(IF((YEAR(D114)+4)&lt;YEAR(E114),0,IF((YEAR(D114)+4)&gt;YEAR(E114),1,(12-MONTH(E114)+1)/12))))-(IF(OR(N114="",N114&lt;=0),0,(O114/N114)*(IF(OR(N114="",N114&lt;=0),0,IF((YEAR(D114)+4)&lt;YEAR(E114),0,IF((YEAR(D114)+4)&gt;=YEAR(E114)+N114,0,IF((YEAR(D114)+4)=YEAR(E114),(12-MONTH(E114)+1)/12,1))))))))&gt;0,(((K114)*(IF(M114="",L114,IFERROR(IF(INDEX(Variablen!$I:$AT, MATCH(M114, Variablen!$A:$A, 0), MATCH((YEAR(D114)+4), Variablen!$I$3:$AT$3, 0))="",L114,INDEX(Variablen!$I:$AT, MATCH(M114, Variablen!$A:$A, 0), MATCH((YEAR(D114)+4), Variablen!$I$3:$AT$3, 0))),L114)))*(IF((YEAR(D114)+4)&lt;YEAR(E114),0,IF((YEAR(D114)+4)&gt;YEAR(E114),1,(12-MONTH(E114)+1)/12))) + (Q114)*(IF((YEAR(D114)+4)&lt;YEAR(E114),0,IF((YEAR(D114)+4)&gt;YEAR(E114),1,(12-MONTH(E114)+1)/12))))-((P114)*(IF((YEAR(D114)+4)&lt;YEAR(E114),0,IF((YEAR(D114)+4)&gt;YEAR(E114),1,(12-MONTH(E114)+1)/12))) + (R114)*(IF((YEAR(D114)+4)&lt;YEAR(E114),0,IF((YEAR(D114)+4)&gt;YEAR(E114),1,(12-MONTH(E114)+1)/12))))-(IF(OR(N114="",N114&lt;=0),0,(O114/N114)*(IF(OR(N114="",N114&lt;=0),0,IF((YEAR(D114)+4)&lt;YEAR(E114),0,IF((YEAR(D114)+4)&gt;=YEAR(E114)+N114,0,IF((YEAR(D114)+4)=YEAR(E114),(12-MONTH(E114)+1)/12,1))))))))*TaxRate,0))-IF(4=0,O114,0))</f>
        <v/>
      </c>
      <c r="X114" s="29">
        <f>IF(A114="","",((K114)*(IF(M114="",L114,IFERROR(IF(INDEX(Variablen!$I:$AT, MATCH(M114, Variablen!$A:$A, 0), MATCH((YEAR(D114)+5), Variablen!$I$3:$AT$3, 0))="",L114,INDEX(Variablen!$I:$AT, MATCH(M114, Variablen!$A:$A, 0), MATCH((YEAR(D114)+5), Variablen!$I$3:$AT$3, 0))),L114)))*(IF((YEAR(D114)+5)&lt;YEAR(E114),0,IF((YEAR(D114)+5)&gt;YEAR(E114),1,(12-MONTH(E114)+1)/12))) + (Q114)*(IF((YEAR(D114)+5)&lt;YEAR(E114),0,IF((YEAR(D114)+5)&gt;YEAR(E114),1,(12-MONTH(E114)+1)/12))))-((P114)*(IF((YEAR(D114)+5)&lt;YEAR(E114),0,IF((YEAR(D114)+5)&gt;YEAR(E114),1,(12-MONTH(E114)+1)/12))) + (R114)*(IF((YEAR(D114)+5)&lt;YEAR(E114),0,IF((YEAR(D114)+5)&gt;YEAR(E114),1,(12-MONTH(E114)+1)/12))))-(IF((((K114)*(IF(M114="",L114,IFERROR(IF(INDEX(Variablen!$I:$AT, MATCH(M114, Variablen!$A:$A, 0), MATCH((YEAR(D114)+5), Variablen!$I$3:$AT$3, 0))="",L114,INDEX(Variablen!$I:$AT, MATCH(M114, Variablen!$A:$A, 0), MATCH((YEAR(D114)+5), Variablen!$I$3:$AT$3, 0))),L114)))*(IF((YEAR(D114)+5)&lt;YEAR(E114),0,IF((YEAR(D114)+5)&gt;YEAR(E114),1,(12-MONTH(E114)+1)/12))) + (Q114)*(IF((YEAR(D114)+5)&lt;YEAR(E114),0,IF((YEAR(D114)+5)&gt;YEAR(E114),1,(12-MONTH(E114)+1)/12))))-((P114)*(IF((YEAR(D114)+5)&lt;YEAR(E114),0,IF((YEAR(D114)+5)&gt;YEAR(E114),1,(12-MONTH(E114)+1)/12))) + (R114)*(IF((YEAR(D114)+5)&lt;YEAR(E114),0,IF((YEAR(D114)+5)&gt;YEAR(E114),1,(12-MONTH(E114)+1)/12))))-(IF(OR(N114="",N114&lt;=0),0,(O114/N114)*(IF(OR(N114="",N114&lt;=0),0,IF((YEAR(D114)+5)&lt;YEAR(E114),0,IF((YEAR(D114)+5)&gt;=YEAR(E114)+N114,0,IF((YEAR(D114)+5)=YEAR(E114),(12-MONTH(E114)+1)/12,1))))))))&gt;0,(((K114)*(IF(M114="",L114,IFERROR(IF(INDEX(Variablen!$I:$AT, MATCH(M114, Variablen!$A:$A, 0), MATCH((YEAR(D114)+5), Variablen!$I$3:$AT$3, 0))="",L114,INDEX(Variablen!$I:$AT, MATCH(M114, Variablen!$A:$A, 0), MATCH((YEAR(D114)+5), Variablen!$I$3:$AT$3, 0))),L114)))*(IF((YEAR(D114)+5)&lt;YEAR(E114),0,IF((YEAR(D114)+5)&gt;YEAR(E114),1,(12-MONTH(E114)+1)/12))) + (Q114)*(IF((YEAR(D114)+5)&lt;YEAR(E114),0,IF((YEAR(D114)+5)&gt;YEAR(E114),1,(12-MONTH(E114)+1)/12))))-((P114)*(IF((YEAR(D114)+5)&lt;YEAR(E114),0,IF((YEAR(D114)+5)&gt;YEAR(E114),1,(12-MONTH(E114)+1)/12))) + (R114)*(IF((YEAR(D114)+5)&lt;YEAR(E114),0,IF((YEAR(D114)+5)&gt;YEAR(E114),1,(12-MONTH(E114)+1)/12))))-(IF(OR(N114="",N114&lt;=0),0,(O114/N114)*(IF(OR(N114="",N114&lt;=0),0,IF((YEAR(D114)+5)&lt;YEAR(E114),0,IF((YEAR(D114)+5)&gt;=YEAR(E114)+N114,0,IF((YEAR(D114)+5)=YEAR(E114),(12-MONTH(E114)+1)/12,1))))))))*TaxRate,0))-IF(5=0,O114,0))</f>
        <v/>
      </c>
      <c r="Y114" s="29">
        <f>IF(A114="","",((K114)*(IF(M114="",L114,IFERROR(IF(INDEX(Variablen!$I:$AT, MATCH(M114, Variablen!$A:$A, 0), MATCH((YEAR(D114)+6), Variablen!$I$3:$AT$3, 0))="",L114,INDEX(Variablen!$I:$AT, MATCH(M114, Variablen!$A:$A, 0), MATCH((YEAR(D114)+6), Variablen!$I$3:$AT$3, 0))),L114)))*(IF((YEAR(D114)+6)&lt;YEAR(E114),0,IF((YEAR(D114)+6)&gt;YEAR(E114),1,(12-MONTH(E114)+1)/12))) + (Q114)*(IF((YEAR(D114)+6)&lt;YEAR(E114),0,IF((YEAR(D114)+6)&gt;YEAR(E114),1,(12-MONTH(E114)+1)/12))))-((P114)*(IF((YEAR(D114)+6)&lt;YEAR(E114),0,IF((YEAR(D114)+6)&gt;YEAR(E114),1,(12-MONTH(E114)+1)/12))) + (R114)*(IF((YEAR(D114)+6)&lt;YEAR(E114),0,IF((YEAR(D114)+6)&gt;YEAR(E114),1,(12-MONTH(E114)+1)/12))))-(IF((((K114)*(IF(M114="",L114,IFERROR(IF(INDEX(Variablen!$I:$AT, MATCH(M114, Variablen!$A:$A, 0), MATCH((YEAR(D114)+6), Variablen!$I$3:$AT$3, 0))="",L114,INDEX(Variablen!$I:$AT, MATCH(M114, Variablen!$A:$A, 0), MATCH((YEAR(D114)+6), Variablen!$I$3:$AT$3, 0))),L114)))*(IF((YEAR(D114)+6)&lt;YEAR(E114),0,IF((YEAR(D114)+6)&gt;YEAR(E114),1,(12-MONTH(E114)+1)/12))) + (Q114)*(IF((YEAR(D114)+6)&lt;YEAR(E114),0,IF((YEAR(D114)+6)&gt;YEAR(E114),1,(12-MONTH(E114)+1)/12))))-((P114)*(IF((YEAR(D114)+6)&lt;YEAR(E114),0,IF((YEAR(D114)+6)&gt;YEAR(E114),1,(12-MONTH(E114)+1)/12))) + (R114)*(IF((YEAR(D114)+6)&lt;YEAR(E114),0,IF((YEAR(D114)+6)&gt;YEAR(E114),1,(12-MONTH(E114)+1)/12))))-(IF(OR(N114="",N114&lt;=0),0,(O114/N114)*(IF(OR(N114="",N114&lt;=0),0,IF((YEAR(D114)+6)&lt;YEAR(E114),0,IF((YEAR(D114)+6)&gt;=YEAR(E114)+N114,0,IF((YEAR(D114)+6)=YEAR(E114),(12-MONTH(E114)+1)/12,1))))))))&gt;0,(((K114)*(IF(M114="",L114,IFERROR(IF(INDEX(Variablen!$I:$AT, MATCH(M114, Variablen!$A:$A, 0), MATCH((YEAR(D114)+6), Variablen!$I$3:$AT$3, 0))="",L114,INDEX(Variablen!$I:$AT, MATCH(M114, Variablen!$A:$A, 0), MATCH((YEAR(D114)+6), Variablen!$I$3:$AT$3, 0))),L114)))*(IF((YEAR(D114)+6)&lt;YEAR(E114),0,IF((YEAR(D114)+6)&gt;YEAR(E114),1,(12-MONTH(E114)+1)/12))) + (Q114)*(IF((YEAR(D114)+6)&lt;YEAR(E114),0,IF((YEAR(D114)+6)&gt;YEAR(E114),1,(12-MONTH(E114)+1)/12))))-((P114)*(IF((YEAR(D114)+6)&lt;YEAR(E114),0,IF((YEAR(D114)+6)&gt;YEAR(E114),1,(12-MONTH(E114)+1)/12))) + (R114)*(IF((YEAR(D114)+6)&lt;YEAR(E114),0,IF((YEAR(D114)+6)&gt;YEAR(E114),1,(12-MONTH(E114)+1)/12))))-(IF(OR(N114="",N114&lt;=0),0,(O114/N114)*(IF(OR(N114="",N114&lt;=0),0,IF((YEAR(D114)+6)&lt;YEAR(E114),0,IF((YEAR(D114)+6)&gt;=YEAR(E114)+N114,0,IF((YEAR(D114)+6)=YEAR(E114),(12-MONTH(E114)+1)/12,1))))))))*TaxRate,0))-IF(6=0,O114,0))</f>
        <v/>
      </c>
      <c r="Z114" s="29">
        <f>IF(A114="","",((K114)*(IF(M114="",L114,IFERROR(IF(INDEX(Variablen!$I:$AT, MATCH(M114, Variablen!$A:$A, 0), MATCH((YEAR(D114)+7), Variablen!$I$3:$AT$3, 0))="",L114,INDEX(Variablen!$I:$AT, MATCH(M114, Variablen!$A:$A, 0), MATCH((YEAR(D114)+7), Variablen!$I$3:$AT$3, 0))),L114)))*(IF((YEAR(D114)+7)&lt;YEAR(E114),0,IF((YEAR(D114)+7)&gt;YEAR(E114),1,(12-MONTH(E114)+1)/12))) + (Q114)*(IF((YEAR(D114)+7)&lt;YEAR(E114),0,IF((YEAR(D114)+7)&gt;YEAR(E114),1,(12-MONTH(E114)+1)/12))))-((P114)*(IF((YEAR(D114)+7)&lt;YEAR(E114),0,IF((YEAR(D114)+7)&gt;YEAR(E114),1,(12-MONTH(E114)+1)/12))) + (R114)*(IF((YEAR(D114)+7)&lt;YEAR(E114),0,IF((YEAR(D114)+7)&gt;YEAR(E114),1,(12-MONTH(E114)+1)/12))))-(IF((((K114)*(IF(M114="",L114,IFERROR(IF(INDEX(Variablen!$I:$AT, MATCH(M114, Variablen!$A:$A, 0), MATCH((YEAR(D114)+7), Variablen!$I$3:$AT$3, 0))="",L114,INDEX(Variablen!$I:$AT, MATCH(M114, Variablen!$A:$A, 0), MATCH((YEAR(D114)+7), Variablen!$I$3:$AT$3, 0))),L114)))*(IF((YEAR(D114)+7)&lt;YEAR(E114),0,IF((YEAR(D114)+7)&gt;YEAR(E114),1,(12-MONTH(E114)+1)/12))) + (Q114)*(IF((YEAR(D114)+7)&lt;YEAR(E114),0,IF((YEAR(D114)+7)&gt;YEAR(E114),1,(12-MONTH(E114)+1)/12))))-((P114)*(IF((YEAR(D114)+7)&lt;YEAR(E114),0,IF((YEAR(D114)+7)&gt;YEAR(E114),1,(12-MONTH(E114)+1)/12))) + (R114)*(IF((YEAR(D114)+7)&lt;YEAR(E114),0,IF((YEAR(D114)+7)&gt;YEAR(E114),1,(12-MONTH(E114)+1)/12))))-(IF(OR(N114="",N114&lt;=0),0,(O114/N114)*(IF(OR(N114="",N114&lt;=0),0,IF((YEAR(D114)+7)&lt;YEAR(E114),0,IF((YEAR(D114)+7)&gt;=YEAR(E114)+N114,0,IF((YEAR(D114)+7)=YEAR(E114),(12-MONTH(E114)+1)/12,1))))))))&gt;0,(((K114)*(IF(M114="",L114,IFERROR(IF(INDEX(Variablen!$I:$AT, MATCH(M114, Variablen!$A:$A, 0), MATCH((YEAR(D114)+7), Variablen!$I$3:$AT$3, 0))="",L114,INDEX(Variablen!$I:$AT, MATCH(M114, Variablen!$A:$A, 0), MATCH((YEAR(D114)+7), Variablen!$I$3:$AT$3, 0))),L114)))*(IF((YEAR(D114)+7)&lt;YEAR(E114),0,IF((YEAR(D114)+7)&gt;YEAR(E114),1,(12-MONTH(E114)+1)/12))) + (Q114)*(IF((YEAR(D114)+7)&lt;YEAR(E114),0,IF((YEAR(D114)+7)&gt;YEAR(E114),1,(12-MONTH(E114)+1)/12))))-((P114)*(IF((YEAR(D114)+7)&lt;YEAR(E114),0,IF((YEAR(D114)+7)&gt;YEAR(E114),1,(12-MONTH(E114)+1)/12))) + (R114)*(IF((YEAR(D114)+7)&lt;YEAR(E114),0,IF((YEAR(D114)+7)&gt;YEAR(E114),1,(12-MONTH(E114)+1)/12))))-(IF(OR(N114="",N114&lt;=0),0,(O114/N114)*(IF(OR(N114="",N114&lt;=0),0,IF((YEAR(D114)+7)&lt;YEAR(E114),0,IF((YEAR(D114)+7)&gt;=YEAR(E114)+N114,0,IF((YEAR(D114)+7)=YEAR(E114),(12-MONTH(E114)+1)/12,1))))))))*TaxRate,0))-IF(7=0,O114,0))</f>
        <v/>
      </c>
      <c r="AA114" s="29">
        <f>IF(A114="","",((K114)*(IF(M114="",L114,IFERROR(IF(INDEX(Variablen!$I:$AT, MATCH(M114, Variablen!$A:$A, 0), MATCH((YEAR(D114)+8), Variablen!$I$3:$AT$3, 0))="",L114,INDEX(Variablen!$I:$AT, MATCH(M114, Variablen!$A:$A, 0), MATCH((YEAR(D114)+8), Variablen!$I$3:$AT$3, 0))),L114)))*(IF((YEAR(D114)+8)&lt;YEAR(E114),0,IF((YEAR(D114)+8)&gt;YEAR(E114),1,(12-MONTH(E114)+1)/12))) + (Q114)*(IF((YEAR(D114)+8)&lt;YEAR(E114),0,IF((YEAR(D114)+8)&gt;YEAR(E114),1,(12-MONTH(E114)+1)/12))))-((P114)*(IF((YEAR(D114)+8)&lt;YEAR(E114),0,IF((YEAR(D114)+8)&gt;YEAR(E114),1,(12-MONTH(E114)+1)/12))) + (R114)*(IF((YEAR(D114)+8)&lt;YEAR(E114),0,IF((YEAR(D114)+8)&gt;YEAR(E114),1,(12-MONTH(E114)+1)/12))))-(IF((((K114)*(IF(M114="",L114,IFERROR(IF(INDEX(Variablen!$I:$AT, MATCH(M114, Variablen!$A:$A, 0), MATCH((YEAR(D114)+8), Variablen!$I$3:$AT$3, 0))="",L114,INDEX(Variablen!$I:$AT, MATCH(M114, Variablen!$A:$A, 0), MATCH((YEAR(D114)+8), Variablen!$I$3:$AT$3, 0))),L114)))*(IF((YEAR(D114)+8)&lt;YEAR(E114),0,IF((YEAR(D114)+8)&gt;YEAR(E114),1,(12-MONTH(E114)+1)/12))) + (Q114)*(IF((YEAR(D114)+8)&lt;YEAR(E114),0,IF((YEAR(D114)+8)&gt;YEAR(E114),1,(12-MONTH(E114)+1)/12))))-((P114)*(IF((YEAR(D114)+8)&lt;YEAR(E114),0,IF((YEAR(D114)+8)&gt;YEAR(E114),1,(12-MONTH(E114)+1)/12))) + (R114)*(IF((YEAR(D114)+8)&lt;YEAR(E114),0,IF((YEAR(D114)+8)&gt;YEAR(E114),1,(12-MONTH(E114)+1)/12))))-(IF(OR(N114="",N114&lt;=0),0,(O114/N114)*(IF(OR(N114="",N114&lt;=0),0,IF((YEAR(D114)+8)&lt;YEAR(E114),0,IF((YEAR(D114)+8)&gt;=YEAR(E114)+N114,0,IF((YEAR(D114)+8)=YEAR(E114),(12-MONTH(E114)+1)/12,1))))))))&gt;0,(((K114)*(IF(M114="",L114,IFERROR(IF(INDEX(Variablen!$I:$AT, MATCH(M114, Variablen!$A:$A, 0), MATCH((YEAR(D114)+8), Variablen!$I$3:$AT$3, 0))="",L114,INDEX(Variablen!$I:$AT, MATCH(M114, Variablen!$A:$A, 0), MATCH((YEAR(D114)+8), Variablen!$I$3:$AT$3, 0))),L114)))*(IF((YEAR(D114)+8)&lt;YEAR(E114),0,IF((YEAR(D114)+8)&gt;YEAR(E114),1,(12-MONTH(E114)+1)/12))) + (Q114)*(IF((YEAR(D114)+8)&lt;YEAR(E114),0,IF((YEAR(D114)+8)&gt;YEAR(E114),1,(12-MONTH(E114)+1)/12))))-((P114)*(IF((YEAR(D114)+8)&lt;YEAR(E114),0,IF((YEAR(D114)+8)&gt;YEAR(E114),1,(12-MONTH(E114)+1)/12))) + (R114)*(IF((YEAR(D114)+8)&lt;YEAR(E114),0,IF((YEAR(D114)+8)&gt;YEAR(E114),1,(12-MONTH(E114)+1)/12))))-(IF(OR(N114="",N114&lt;=0),0,(O114/N114)*(IF(OR(N114="",N114&lt;=0),0,IF((YEAR(D114)+8)&lt;YEAR(E114),0,IF((YEAR(D114)+8)&gt;=YEAR(E114)+N114,0,IF((YEAR(D114)+8)=YEAR(E114),(12-MONTH(E114)+1)/12,1))))))))*TaxRate,0))-IF(8=0,O114,0))</f>
        <v/>
      </c>
      <c r="AB114" s="29">
        <f>IF(A114="","",((K114)*(IF(M114="",L114,IFERROR(IF(INDEX(Variablen!$I:$AT, MATCH(M114, Variablen!$A:$A, 0), MATCH((YEAR(D114)+9), Variablen!$I$3:$AT$3, 0))="",L114,INDEX(Variablen!$I:$AT, MATCH(M114, Variablen!$A:$A, 0), MATCH((YEAR(D114)+9), Variablen!$I$3:$AT$3, 0))),L114)))*(IF((YEAR(D114)+9)&lt;YEAR(E114),0,IF((YEAR(D114)+9)&gt;YEAR(E114),1,(12-MONTH(E114)+1)/12))) + (Q114)*(IF((YEAR(D114)+9)&lt;YEAR(E114),0,IF((YEAR(D114)+9)&gt;YEAR(E114),1,(12-MONTH(E114)+1)/12))))-((P114)*(IF((YEAR(D114)+9)&lt;YEAR(E114),0,IF((YEAR(D114)+9)&gt;YEAR(E114),1,(12-MONTH(E114)+1)/12))) + (R114)*(IF((YEAR(D114)+9)&lt;YEAR(E114),0,IF((YEAR(D114)+9)&gt;YEAR(E114),1,(12-MONTH(E114)+1)/12))))-(IF((((K114)*(IF(M114="",L114,IFERROR(IF(INDEX(Variablen!$I:$AT, MATCH(M114, Variablen!$A:$A, 0), MATCH((YEAR(D114)+9), Variablen!$I$3:$AT$3, 0))="",L114,INDEX(Variablen!$I:$AT, MATCH(M114, Variablen!$A:$A, 0), MATCH((YEAR(D114)+9), Variablen!$I$3:$AT$3, 0))),L114)))*(IF((YEAR(D114)+9)&lt;YEAR(E114),0,IF((YEAR(D114)+9)&gt;YEAR(E114),1,(12-MONTH(E114)+1)/12))) + (Q114)*(IF((YEAR(D114)+9)&lt;YEAR(E114),0,IF((YEAR(D114)+9)&gt;YEAR(E114),1,(12-MONTH(E114)+1)/12))))-((P114)*(IF((YEAR(D114)+9)&lt;YEAR(E114),0,IF((YEAR(D114)+9)&gt;YEAR(E114),1,(12-MONTH(E114)+1)/12))) + (R114)*(IF((YEAR(D114)+9)&lt;YEAR(E114),0,IF((YEAR(D114)+9)&gt;YEAR(E114),1,(12-MONTH(E114)+1)/12))))-(IF(OR(N114="",N114&lt;=0),0,(O114/N114)*(IF(OR(N114="",N114&lt;=0),0,IF((YEAR(D114)+9)&lt;YEAR(E114),0,IF((YEAR(D114)+9)&gt;=YEAR(E114)+N114,0,IF((YEAR(D114)+9)=YEAR(E114),(12-MONTH(E114)+1)/12,1))))))))&gt;0,(((K114)*(IF(M114="",L114,IFERROR(IF(INDEX(Variablen!$I:$AT, MATCH(M114, Variablen!$A:$A, 0), MATCH((YEAR(D114)+9), Variablen!$I$3:$AT$3, 0))="",L114,INDEX(Variablen!$I:$AT, MATCH(M114, Variablen!$A:$A, 0), MATCH((YEAR(D114)+9), Variablen!$I$3:$AT$3, 0))),L114)))*(IF((YEAR(D114)+9)&lt;YEAR(E114),0,IF((YEAR(D114)+9)&gt;YEAR(E114),1,(12-MONTH(E114)+1)/12))) + (Q114)*(IF((YEAR(D114)+9)&lt;YEAR(E114),0,IF((YEAR(D114)+9)&gt;YEAR(E114),1,(12-MONTH(E114)+1)/12))))-((P114)*(IF((YEAR(D114)+9)&lt;YEAR(E114),0,IF((YEAR(D114)+9)&gt;YEAR(E114),1,(12-MONTH(E114)+1)/12))) + (R114)*(IF((YEAR(D114)+9)&lt;YEAR(E114),0,IF((YEAR(D114)+9)&gt;YEAR(E114),1,(12-MONTH(E114)+1)/12))))-(IF(OR(N114="",N114&lt;=0),0,(O114/N114)*(IF(OR(N114="",N114&lt;=0),0,IF((YEAR(D114)+9)&lt;YEAR(E114),0,IF((YEAR(D114)+9)&gt;=YEAR(E114)+N114,0,IF((YEAR(D114)+9)=YEAR(E114),(12-MONTH(E114)+1)/12,1))))))))*TaxRate,0))-IF(9=0,O114,0))</f>
        <v/>
      </c>
      <c r="AC114" s="29">
        <f>IF(A114="","",((K114)*(IF(M114="",L114,IFERROR(IF(INDEX(Variablen!$I:$AT, MATCH(M114, Variablen!$A:$A, 0), MATCH((YEAR(D114)+10), Variablen!$I$3:$AT$3, 0))="",L114,INDEX(Variablen!$I:$AT, MATCH(M114, Variablen!$A:$A, 0), MATCH((YEAR(D114)+10), Variablen!$I$3:$AT$3, 0))),L114)))*(IF((YEAR(D114)+10)&lt;YEAR(E114),0,IF((YEAR(D114)+10)&gt;YEAR(E114),1,(12-MONTH(E114)+1)/12))) + (Q114)*(IF((YEAR(D114)+10)&lt;YEAR(E114),0,IF((YEAR(D114)+10)&gt;YEAR(E114),1,(12-MONTH(E114)+1)/12))))-((P114)*(IF((YEAR(D114)+10)&lt;YEAR(E114),0,IF((YEAR(D114)+10)&gt;YEAR(E114),1,(12-MONTH(E114)+1)/12))) + (R114)*(IF((YEAR(D114)+10)&lt;YEAR(E114),0,IF((YEAR(D114)+10)&gt;YEAR(E114),1,(12-MONTH(E114)+1)/12))))-(IF((((K114)*(IF(M114="",L114,IFERROR(IF(INDEX(Variablen!$I:$AT, MATCH(M114, Variablen!$A:$A, 0), MATCH((YEAR(D114)+10), Variablen!$I$3:$AT$3, 0))="",L114,INDEX(Variablen!$I:$AT, MATCH(M114, Variablen!$A:$A, 0), MATCH((YEAR(D114)+10), Variablen!$I$3:$AT$3, 0))),L114)))*(IF((YEAR(D114)+10)&lt;YEAR(E114),0,IF((YEAR(D114)+10)&gt;YEAR(E114),1,(12-MONTH(E114)+1)/12))) + (Q114)*(IF((YEAR(D114)+10)&lt;YEAR(E114),0,IF((YEAR(D114)+10)&gt;YEAR(E114),1,(12-MONTH(E114)+1)/12))))-((P114)*(IF((YEAR(D114)+10)&lt;YEAR(E114),0,IF((YEAR(D114)+10)&gt;YEAR(E114),1,(12-MONTH(E114)+1)/12))) + (R114)*(IF((YEAR(D114)+10)&lt;YEAR(E114),0,IF((YEAR(D114)+10)&gt;YEAR(E114),1,(12-MONTH(E114)+1)/12))))-(IF(OR(N114="",N114&lt;=0),0,(O114/N114)*(IF(OR(N114="",N114&lt;=0),0,IF((YEAR(D114)+10)&lt;YEAR(E114),0,IF((YEAR(D114)+10)&gt;=YEAR(E114)+N114,0,IF((YEAR(D114)+10)=YEAR(E114),(12-MONTH(E114)+1)/12,1))))))))&gt;0,(((K114)*(IF(M114="",L114,IFERROR(IF(INDEX(Variablen!$I:$AT, MATCH(M114, Variablen!$A:$A, 0), MATCH((YEAR(D114)+10), Variablen!$I$3:$AT$3, 0))="",L114,INDEX(Variablen!$I:$AT, MATCH(M114, Variablen!$A:$A, 0), MATCH((YEAR(D114)+10), Variablen!$I$3:$AT$3, 0))),L114)))*(IF((YEAR(D114)+10)&lt;YEAR(E114),0,IF((YEAR(D114)+10)&gt;YEAR(E114),1,(12-MONTH(E114)+1)/12))) + (Q114)*(IF((YEAR(D114)+10)&lt;YEAR(E114),0,IF((YEAR(D114)+10)&gt;YEAR(E114),1,(12-MONTH(E114)+1)/12))))-((P114)*(IF((YEAR(D114)+10)&lt;YEAR(E114),0,IF((YEAR(D114)+10)&gt;YEAR(E114),1,(12-MONTH(E114)+1)/12))) + (R114)*(IF((YEAR(D114)+10)&lt;YEAR(E114),0,IF((YEAR(D114)+10)&gt;YEAR(E114),1,(12-MONTH(E114)+1)/12))))-(IF(OR(N114="",N114&lt;=0),0,(O114/N114)*(IF(OR(N114="",N114&lt;=0),0,IF((YEAR(D114)+10)&lt;YEAR(E114),0,IF((YEAR(D114)+10)&gt;=YEAR(E114)+N114,0,IF((YEAR(D114)+10)=YEAR(E114),(12-MONTH(E114)+1)/12,1))))))))*TaxRate,0))-IF(10=0,O114,0))</f>
        <v/>
      </c>
      <c r="AD114" s="29">
        <f>IF(A114="","",((K114)*(IF(M114="",L114,IFERROR(IF(INDEX(Variablen!$I:$AT, MATCH(M114, Variablen!$A:$A, 0), MATCH((YEAR(D114)+11), Variablen!$I$3:$AT$3, 0))="",L114,INDEX(Variablen!$I:$AT, MATCH(M114, Variablen!$A:$A, 0), MATCH((YEAR(D114)+11), Variablen!$I$3:$AT$3, 0))),L114)))*(IF((YEAR(D114)+11)&lt;YEAR(E114),0,IF((YEAR(D114)+11)&gt;YEAR(E114),1,(12-MONTH(E114)+1)/12))) + (Q114)*(IF((YEAR(D114)+11)&lt;YEAR(E114),0,IF((YEAR(D114)+11)&gt;YEAR(E114),1,(12-MONTH(E114)+1)/12))))-((P114)*(IF((YEAR(D114)+11)&lt;YEAR(E114),0,IF((YEAR(D114)+11)&gt;YEAR(E114),1,(12-MONTH(E114)+1)/12))) + (R114)*(IF((YEAR(D114)+11)&lt;YEAR(E114),0,IF((YEAR(D114)+11)&gt;YEAR(E114),1,(12-MONTH(E114)+1)/12))))-(IF((((K114)*(IF(M114="",L114,IFERROR(IF(INDEX(Variablen!$I:$AT, MATCH(M114, Variablen!$A:$A, 0), MATCH((YEAR(D114)+11), Variablen!$I$3:$AT$3, 0))="",L114,INDEX(Variablen!$I:$AT, MATCH(M114, Variablen!$A:$A, 0), MATCH((YEAR(D114)+11), Variablen!$I$3:$AT$3, 0))),L114)))*(IF((YEAR(D114)+11)&lt;YEAR(E114),0,IF((YEAR(D114)+11)&gt;YEAR(E114),1,(12-MONTH(E114)+1)/12))) + (Q114)*(IF((YEAR(D114)+11)&lt;YEAR(E114),0,IF((YEAR(D114)+11)&gt;YEAR(E114),1,(12-MONTH(E114)+1)/12))))-((P114)*(IF((YEAR(D114)+11)&lt;YEAR(E114),0,IF((YEAR(D114)+11)&gt;YEAR(E114),1,(12-MONTH(E114)+1)/12))) + (R114)*(IF((YEAR(D114)+11)&lt;YEAR(E114),0,IF((YEAR(D114)+11)&gt;YEAR(E114),1,(12-MONTH(E114)+1)/12))))-(IF(OR(N114="",N114&lt;=0),0,(O114/N114)*(IF(OR(N114="",N114&lt;=0),0,IF((YEAR(D114)+11)&lt;YEAR(E114),0,IF((YEAR(D114)+11)&gt;=YEAR(E114)+N114,0,IF((YEAR(D114)+11)=YEAR(E114),(12-MONTH(E114)+1)/12,1))))))))&gt;0,(((K114)*(IF(M114="",L114,IFERROR(IF(INDEX(Variablen!$I:$AT, MATCH(M114, Variablen!$A:$A, 0), MATCH((YEAR(D114)+11), Variablen!$I$3:$AT$3, 0))="",L114,INDEX(Variablen!$I:$AT, MATCH(M114, Variablen!$A:$A, 0), MATCH((YEAR(D114)+11), Variablen!$I$3:$AT$3, 0))),L114)))*(IF((YEAR(D114)+11)&lt;YEAR(E114),0,IF((YEAR(D114)+11)&gt;YEAR(E114),1,(12-MONTH(E114)+1)/12))) + (Q114)*(IF((YEAR(D114)+11)&lt;YEAR(E114),0,IF((YEAR(D114)+11)&gt;YEAR(E114),1,(12-MONTH(E114)+1)/12))))-((P114)*(IF((YEAR(D114)+11)&lt;YEAR(E114),0,IF((YEAR(D114)+11)&gt;YEAR(E114),1,(12-MONTH(E114)+1)/12))) + (R114)*(IF((YEAR(D114)+11)&lt;YEAR(E114),0,IF((YEAR(D114)+11)&gt;YEAR(E114),1,(12-MONTH(E114)+1)/12))))-(IF(OR(N114="",N114&lt;=0),0,(O114/N114)*(IF(OR(N114="",N114&lt;=0),0,IF((YEAR(D114)+11)&lt;YEAR(E114),0,IF((YEAR(D114)+11)&gt;=YEAR(E114)+N114,0,IF((YEAR(D114)+11)=YEAR(E114),(12-MONTH(E114)+1)/12,1))))))))*TaxRate,0))-IF(11=0,O114,0))</f>
        <v/>
      </c>
      <c r="AE114" s="29">
        <f>IF(A114="","",((K114)*(IF(M114="",L114,IFERROR(IF(INDEX(Variablen!$I:$AT, MATCH(M114, Variablen!$A:$A, 0), MATCH((YEAR(D114)+12), Variablen!$I$3:$AT$3, 0))="",L114,INDEX(Variablen!$I:$AT, MATCH(M114, Variablen!$A:$A, 0), MATCH((YEAR(D114)+12), Variablen!$I$3:$AT$3, 0))),L114)))*(IF((YEAR(D114)+12)&lt;YEAR(E114),0,IF((YEAR(D114)+12)&gt;YEAR(E114),1,(12-MONTH(E114)+1)/12))) + (Q114)*(IF((YEAR(D114)+12)&lt;YEAR(E114),0,IF((YEAR(D114)+12)&gt;YEAR(E114),1,(12-MONTH(E114)+1)/12))))-((P114)*(IF((YEAR(D114)+12)&lt;YEAR(E114),0,IF((YEAR(D114)+12)&gt;YEAR(E114),1,(12-MONTH(E114)+1)/12))) + (R114)*(IF((YEAR(D114)+12)&lt;YEAR(E114),0,IF((YEAR(D114)+12)&gt;YEAR(E114),1,(12-MONTH(E114)+1)/12))))-(IF((((K114)*(IF(M114="",L114,IFERROR(IF(INDEX(Variablen!$I:$AT, MATCH(M114, Variablen!$A:$A, 0), MATCH((YEAR(D114)+12), Variablen!$I$3:$AT$3, 0))="",L114,INDEX(Variablen!$I:$AT, MATCH(M114, Variablen!$A:$A, 0), MATCH((YEAR(D114)+12), Variablen!$I$3:$AT$3, 0))),L114)))*(IF((YEAR(D114)+12)&lt;YEAR(E114),0,IF((YEAR(D114)+12)&gt;YEAR(E114),1,(12-MONTH(E114)+1)/12))) + (Q114)*(IF((YEAR(D114)+12)&lt;YEAR(E114),0,IF((YEAR(D114)+12)&gt;YEAR(E114),1,(12-MONTH(E114)+1)/12))))-((P114)*(IF((YEAR(D114)+12)&lt;YEAR(E114),0,IF((YEAR(D114)+12)&gt;YEAR(E114),1,(12-MONTH(E114)+1)/12))) + (R114)*(IF((YEAR(D114)+12)&lt;YEAR(E114),0,IF((YEAR(D114)+12)&gt;YEAR(E114),1,(12-MONTH(E114)+1)/12))))-(IF(OR(N114="",N114&lt;=0),0,(O114/N114)*(IF(OR(N114="",N114&lt;=0),0,IF((YEAR(D114)+12)&lt;YEAR(E114),0,IF((YEAR(D114)+12)&gt;=YEAR(E114)+N114,0,IF((YEAR(D114)+12)=YEAR(E114),(12-MONTH(E114)+1)/12,1))))))))&gt;0,(((K114)*(IF(M114="",L114,IFERROR(IF(INDEX(Variablen!$I:$AT, MATCH(M114, Variablen!$A:$A, 0), MATCH((YEAR(D114)+12), Variablen!$I$3:$AT$3, 0))="",L114,INDEX(Variablen!$I:$AT, MATCH(M114, Variablen!$A:$A, 0), MATCH((YEAR(D114)+12), Variablen!$I$3:$AT$3, 0))),L114)))*(IF((YEAR(D114)+12)&lt;YEAR(E114),0,IF((YEAR(D114)+12)&gt;YEAR(E114),1,(12-MONTH(E114)+1)/12))) + (Q114)*(IF((YEAR(D114)+12)&lt;YEAR(E114),0,IF((YEAR(D114)+12)&gt;YEAR(E114),1,(12-MONTH(E114)+1)/12))))-((P114)*(IF((YEAR(D114)+12)&lt;YEAR(E114),0,IF((YEAR(D114)+12)&gt;YEAR(E114),1,(12-MONTH(E114)+1)/12))) + (R114)*(IF((YEAR(D114)+12)&lt;YEAR(E114),0,IF((YEAR(D114)+12)&gt;YEAR(E114),1,(12-MONTH(E114)+1)/12))))-(IF(OR(N114="",N114&lt;=0),0,(O114/N114)*(IF(OR(N114="",N114&lt;=0),0,IF((YEAR(D114)+12)&lt;YEAR(E114),0,IF((YEAR(D114)+12)&gt;=YEAR(E114)+N114,0,IF((YEAR(D114)+12)=YEAR(E114),(12-MONTH(E114)+1)/12,1))))))))*TaxRate,0))-IF(12=0,O114,0))</f>
        <v/>
      </c>
      <c r="AF114" s="29">
        <f>IF(A114="","",((K114)*(IF(M114="",L114,IFERROR(IF(INDEX(Variablen!$I:$AT, MATCH(M114, Variablen!$A:$A, 0), MATCH((YEAR(D114)+13), Variablen!$I$3:$AT$3, 0))="",L114,INDEX(Variablen!$I:$AT, MATCH(M114, Variablen!$A:$A, 0), MATCH((YEAR(D114)+13), Variablen!$I$3:$AT$3, 0))),L114)))*(IF((YEAR(D114)+13)&lt;YEAR(E114),0,IF((YEAR(D114)+13)&gt;YEAR(E114),1,(12-MONTH(E114)+1)/12))) + (Q114)*(IF((YEAR(D114)+13)&lt;YEAR(E114),0,IF((YEAR(D114)+13)&gt;YEAR(E114),1,(12-MONTH(E114)+1)/12))))-((P114)*(IF((YEAR(D114)+13)&lt;YEAR(E114),0,IF((YEAR(D114)+13)&gt;YEAR(E114),1,(12-MONTH(E114)+1)/12))) + (R114)*(IF((YEAR(D114)+13)&lt;YEAR(E114),0,IF((YEAR(D114)+13)&gt;YEAR(E114),1,(12-MONTH(E114)+1)/12))))-(IF((((K114)*(IF(M114="",L114,IFERROR(IF(INDEX(Variablen!$I:$AT, MATCH(M114, Variablen!$A:$A, 0), MATCH((YEAR(D114)+13), Variablen!$I$3:$AT$3, 0))="",L114,INDEX(Variablen!$I:$AT, MATCH(M114, Variablen!$A:$A, 0), MATCH((YEAR(D114)+13), Variablen!$I$3:$AT$3, 0))),L114)))*(IF((YEAR(D114)+13)&lt;YEAR(E114),0,IF((YEAR(D114)+13)&gt;YEAR(E114),1,(12-MONTH(E114)+1)/12))) + (Q114)*(IF((YEAR(D114)+13)&lt;YEAR(E114),0,IF((YEAR(D114)+13)&gt;YEAR(E114),1,(12-MONTH(E114)+1)/12))))-((P114)*(IF((YEAR(D114)+13)&lt;YEAR(E114),0,IF((YEAR(D114)+13)&gt;YEAR(E114),1,(12-MONTH(E114)+1)/12))) + (R114)*(IF((YEAR(D114)+13)&lt;YEAR(E114),0,IF((YEAR(D114)+13)&gt;YEAR(E114),1,(12-MONTH(E114)+1)/12))))-(IF(OR(N114="",N114&lt;=0),0,(O114/N114)*(IF(OR(N114="",N114&lt;=0),0,IF((YEAR(D114)+13)&lt;YEAR(E114),0,IF((YEAR(D114)+13)&gt;=YEAR(E114)+N114,0,IF((YEAR(D114)+13)=YEAR(E114),(12-MONTH(E114)+1)/12,1))))))))&gt;0,(((K114)*(IF(M114="",L114,IFERROR(IF(INDEX(Variablen!$I:$AT, MATCH(M114, Variablen!$A:$A, 0), MATCH((YEAR(D114)+13), Variablen!$I$3:$AT$3, 0))="",L114,INDEX(Variablen!$I:$AT, MATCH(M114, Variablen!$A:$A, 0), MATCH((YEAR(D114)+13), Variablen!$I$3:$AT$3, 0))),L114)))*(IF((YEAR(D114)+13)&lt;YEAR(E114),0,IF((YEAR(D114)+13)&gt;YEAR(E114),1,(12-MONTH(E114)+1)/12))) + (Q114)*(IF((YEAR(D114)+13)&lt;YEAR(E114),0,IF((YEAR(D114)+13)&gt;YEAR(E114),1,(12-MONTH(E114)+1)/12))))-((P114)*(IF((YEAR(D114)+13)&lt;YEAR(E114),0,IF((YEAR(D114)+13)&gt;YEAR(E114),1,(12-MONTH(E114)+1)/12))) + (R114)*(IF((YEAR(D114)+13)&lt;YEAR(E114),0,IF((YEAR(D114)+13)&gt;YEAR(E114),1,(12-MONTH(E114)+1)/12))))-(IF(OR(N114="",N114&lt;=0),0,(O114/N114)*(IF(OR(N114="",N114&lt;=0),0,IF((YEAR(D114)+13)&lt;YEAR(E114),0,IF((YEAR(D114)+13)&gt;=YEAR(E114)+N114,0,IF((YEAR(D114)+13)=YEAR(E114),(12-MONTH(E114)+1)/12,1))))))))*TaxRate,0))-IF(13=0,O114,0))</f>
        <v/>
      </c>
      <c r="AG114" s="29">
        <f>IF(A114="","",((K114)*(IF(M114="",L114,IFERROR(IF(INDEX(Variablen!$I:$AT, MATCH(M114, Variablen!$A:$A, 0), MATCH((YEAR(D114)+14), Variablen!$I$3:$AT$3, 0))="",L114,INDEX(Variablen!$I:$AT, MATCH(M114, Variablen!$A:$A, 0), MATCH((YEAR(D114)+14), Variablen!$I$3:$AT$3, 0))),L114)))*(IF((YEAR(D114)+14)&lt;YEAR(E114),0,IF((YEAR(D114)+14)&gt;YEAR(E114),1,(12-MONTH(E114)+1)/12))) + (Q114)*(IF((YEAR(D114)+14)&lt;YEAR(E114),0,IF((YEAR(D114)+14)&gt;YEAR(E114),1,(12-MONTH(E114)+1)/12))))-((P114)*(IF((YEAR(D114)+14)&lt;YEAR(E114),0,IF((YEAR(D114)+14)&gt;YEAR(E114),1,(12-MONTH(E114)+1)/12))) + (R114)*(IF((YEAR(D114)+14)&lt;YEAR(E114),0,IF((YEAR(D114)+14)&gt;YEAR(E114),1,(12-MONTH(E114)+1)/12))))-(IF((((K114)*(IF(M114="",L114,IFERROR(IF(INDEX(Variablen!$I:$AT, MATCH(M114, Variablen!$A:$A, 0), MATCH((YEAR(D114)+14), Variablen!$I$3:$AT$3, 0))="",L114,INDEX(Variablen!$I:$AT, MATCH(M114, Variablen!$A:$A, 0), MATCH((YEAR(D114)+14), Variablen!$I$3:$AT$3, 0))),L114)))*(IF((YEAR(D114)+14)&lt;YEAR(E114),0,IF((YEAR(D114)+14)&gt;YEAR(E114),1,(12-MONTH(E114)+1)/12))) + (Q114)*(IF((YEAR(D114)+14)&lt;YEAR(E114),0,IF((YEAR(D114)+14)&gt;YEAR(E114),1,(12-MONTH(E114)+1)/12))))-((P114)*(IF((YEAR(D114)+14)&lt;YEAR(E114),0,IF((YEAR(D114)+14)&gt;YEAR(E114),1,(12-MONTH(E114)+1)/12))) + (R114)*(IF((YEAR(D114)+14)&lt;YEAR(E114),0,IF((YEAR(D114)+14)&gt;YEAR(E114),1,(12-MONTH(E114)+1)/12))))-(IF(OR(N114="",N114&lt;=0),0,(O114/N114)*(IF(OR(N114="",N114&lt;=0),0,IF((YEAR(D114)+14)&lt;YEAR(E114),0,IF((YEAR(D114)+14)&gt;=YEAR(E114)+N114,0,IF((YEAR(D114)+14)=YEAR(E114),(12-MONTH(E114)+1)/12,1))))))))&gt;0,(((K114)*(IF(M114="",L114,IFERROR(IF(INDEX(Variablen!$I:$AT, MATCH(M114, Variablen!$A:$A, 0), MATCH((YEAR(D114)+14), Variablen!$I$3:$AT$3, 0))="",L114,INDEX(Variablen!$I:$AT, MATCH(M114, Variablen!$A:$A, 0), MATCH((YEAR(D114)+14), Variablen!$I$3:$AT$3, 0))),L114)))*(IF((YEAR(D114)+14)&lt;YEAR(E114),0,IF((YEAR(D114)+14)&gt;YEAR(E114),1,(12-MONTH(E114)+1)/12))) + (Q114)*(IF((YEAR(D114)+14)&lt;YEAR(E114),0,IF((YEAR(D114)+14)&gt;YEAR(E114),1,(12-MONTH(E114)+1)/12))))-((P114)*(IF((YEAR(D114)+14)&lt;YEAR(E114),0,IF((YEAR(D114)+14)&gt;YEAR(E114),1,(12-MONTH(E114)+1)/12))) + (R114)*(IF((YEAR(D114)+14)&lt;YEAR(E114),0,IF((YEAR(D114)+14)&gt;YEAR(E114),1,(12-MONTH(E114)+1)/12))))-(IF(OR(N114="",N114&lt;=0),0,(O114/N114)*(IF(OR(N114="",N114&lt;=0),0,IF((YEAR(D114)+14)&lt;YEAR(E114),0,IF((YEAR(D114)+14)&gt;=YEAR(E114)+N114,0,IF((YEAR(D114)+14)=YEAR(E114),(12-MONTH(E114)+1)/12,1))))))))*TaxRate,0))-IF(14=0,O114,0))</f>
        <v/>
      </c>
      <c r="AH114" s="29">
        <f>IF(A114="","",((K114)*(IF(M114="",L114,IFERROR(IF(INDEX(Variablen!$I:$AT, MATCH(M114, Variablen!$A:$A, 0), MATCH((YEAR(D114)+15), Variablen!$I$3:$AT$3, 0))="",L114,INDEX(Variablen!$I:$AT, MATCH(M114, Variablen!$A:$A, 0), MATCH((YEAR(D114)+15), Variablen!$I$3:$AT$3, 0))),L114)))*(IF((YEAR(D114)+15)&lt;YEAR(E114),0,IF((YEAR(D114)+15)&gt;YEAR(E114),1,(12-MONTH(E114)+1)/12))) + (Q114)*(IF((YEAR(D114)+15)&lt;YEAR(E114),0,IF((YEAR(D114)+15)&gt;YEAR(E114),1,(12-MONTH(E114)+1)/12))))-((P114)*(IF((YEAR(D114)+15)&lt;YEAR(E114),0,IF((YEAR(D114)+15)&gt;YEAR(E114),1,(12-MONTH(E114)+1)/12))) + (R114)*(IF((YEAR(D114)+15)&lt;YEAR(E114),0,IF((YEAR(D114)+15)&gt;YEAR(E114),1,(12-MONTH(E114)+1)/12))))-(IF((((K114)*(IF(M114="",L114,IFERROR(IF(INDEX(Variablen!$I:$AT, MATCH(M114, Variablen!$A:$A, 0), MATCH((YEAR(D114)+15), Variablen!$I$3:$AT$3, 0))="",L114,INDEX(Variablen!$I:$AT, MATCH(M114, Variablen!$A:$A, 0), MATCH((YEAR(D114)+15), Variablen!$I$3:$AT$3, 0))),L114)))*(IF((YEAR(D114)+15)&lt;YEAR(E114),0,IF((YEAR(D114)+15)&gt;YEAR(E114),1,(12-MONTH(E114)+1)/12))) + (Q114)*(IF((YEAR(D114)+15)&lt;YEAR(E114),0,IF((YEAR(D114)+15)&gt;YEAR(E114),1,(12-MONTH(E114)+1)/12))))-((P114)*(IF((YEAR(D114)+15)&lt;YEAR(E114),0,IF((YEAR(D114)+15)&gt;YEAR(E114),1,(12-MONTH(E114)+1)/12))) + (R114)*(IF((YEAR(D114)+15)&lt;YEAR(E114),0,IF((YEAR(D114)+15)&gt;YEAR(E114),1,(12-MONTH(E114)+1)/12))))-(IF(OR(N114="",N114&lt;=0),0,(O114/N114)*(IF(OR(N114="",N114&lt;=0),0,IF((YEAR(D114)+15)&lt;YEAR(E114),0,IF((YEAR(D114)+15)&gt;=YEAR(E114)+N114,0,IF((YEAR(D114)+15)=YEAR(E114),(12-MONTH(E114)+1)/12,1))))))))&gt;0,(((K114)*(IF(M114="",L114,IFERROR(IF(INDEX(Variablen!$I:$AT, MATCH(M114, Variablen!$A:$A, 0), MATCH((YEAR(D114)+15), Variablen!$I$3:$AT$3, 0))="",L114,INDEX(Variablen!$I:$AT, MATCH(M114, Variablen!$A:$A, 0), MATCH((YEAR(D114)+15), Variablen!$I$3:$AT$3, 0))),L114)))*(IF((YEAR(D114)+15)&lt;YEAR(E114),0,IF((YEAR(D114)+15)&gt;YEAR(E114),1,(12-MONTH(E114)+1)/12))) + (Q114)*(IF((YEAR(D114)+15)&lt;YEAR(E114),0,IF((YEAR(D114)+15)&gt;YEAR(E114),1,(12-MONTH(E114)+1)/12))))-((P114)*(IF((YEAR(D114)+15)&lt;YEAR(E114),0,IF((YEAR(D114)+15)&gt;YEAR(E114),1,(12-MONTH(E114)+1)/12))) + (R114)*(IF((YEAR(D114)+15)&lt;YEAR(E114),0,IF((YEAR(D114)+15)&gt;YEAR(E114),1,(12-MONTH(E114)+1)/12))))-(IF(OR(N114="",N114&lt;=0),0,(O114/N114)*(IF(OR(N114="",N114&lt;=0),0,IF((YEAR(D114)+15)&lt;YEAR(E114),0,IF((YEAR(D114)+15)&gt;=YEAR(E114)+N114,0,IF((YEAR(D114)+15)=YEAR(E114),(12-MONTH(E114)+1)/12,1))))))))*TaxRate,0))-IF(15=0,O114,0))</f>
        <v/>
      </c>
      <c r="AI114" s="29">
        <f>IF(A114="","",((K114)*(IF(M114="",L114,IFERROR(IF(INDEX(Variablen!$I:$AT, MATCH(M114, Variablen!$A:$A, 0), MATCH((YEAR(D114)+16), Variablen!$I$3:$AT$3, 0))="",L114,INDEX(Variablen!$I:$AT, MATCH(M114, Variablen!$A:$A, 0), MATCH((YEAR(D114)+16), Variablen!$I$3:$AT$3, 0))),L114)))*(IF((YEAR(D114)+16)&lt;YEAR(E114),0,IF((YEAR(D114)+16)&gt;YEAR(E114),1,(12-MONTH(E114)+1)/12))) + (Q114)*(IF((YEAR(D114)+16)&lt;YEAR(E114),0,IF((YEAR(D114)+16)&gt;YEAR(E114),1,(12-MONTH(E114)+1)/12))))-((P114)*(IF((YEAR(D114)+16)&lt;YEAR(E114),0,IF((YEAR(D114)+16)&gt;YEAR(E114),1,(12-MONTH(E114)+1)/12))) + (R114)*(IF((YEAR(D114)+16)&lt;YEAR(E114),0,IF((YEAR(D114)+16)&gt;YEAR(E114),1,(12-MONTH(E114)+1)/12))))-(IF((((K114)*(IF(M114="",L114,IFERROR(IF(INDEX(Variablen!$I:$AT, MATCH(M114, Variablen!$A:$A, 0), MATCH((YEAR(D114)+16), Variablen!$I$3:$AT$3, 0))="",L114,INDEX(Variablen!$I:$AT, MATCH(M114, Variablen!$A:$A, 0), MATCH((YEAR(D114)+16), Variablen!$I$3:$AT$3, 0))),L114)))*(IF((YEAR(D114)+16)&lt;YEAR(E114),0,IF((YEAR(D114)+16)&gt;YEAR(E114),1,(12-MONTH(E114)+1)/12))) + (Q114)*(IF((YEAR(D114)+16)&lt;YEAR(E114),0,IF((YEAR(D114)+16)&gt;YEAR(E114),1,(12-MONTH(E114)+1)/12))))-((P114)*(IF((YEAR(D114)+16)&lt;YEAR(E114),0,IF((YEAR(D114)+16)&gt;YEAR(E114),1,(12-MONTH(E114)+1)/12))) + (R114)*(IF((YEAR(D114)+16)&lt;YEAR(E114),0,IF((YEAR(D114)+16)&gt;YEAR(E114),1,(12-MONTH(E114)+1)/12))))-(IF(OR(N114="",N114&lt;=0),0,(O114/N114)*(IF(OR(N114="",N114&lt;=0),0,IF((YEAR(D114)+16)&lt;YEAR(E114),0,IF((YEAR(D114)+16)&gt;=YEAR(E114)+N114,0,IF((YEAR(D114)+16)=YEAR(E114),(12-MONTH(E114)+1)/12,1))))))))&gt;0,(((K114)*(IF(M114="",L114,IFERROR(IF(INDEX(Variablen!$I:$AT, MATCH(M114, Variablen!$A:$A, 0), MATCH((YEAR(D114)+16), Variablen!$I$3:$AT$3, 0))="",L114,INDEX(Variablen!$I:$AT, MATCH(M114, Variablen!$A:$A, 0), MATCH((YEAR(D114)+16), Variablen!$I$3:$AT$3, 0))),L114)))*(IF((YEAR(D114)+16)&lt;YEAR(E114),0,IF((YEAR(D114)+16)&gt;YEAR(E114),1,(12-MONTH(E114)+1)/12))) + (Q114)*(IF((YEAR(D114)+16)&lt;YEAR(E114),0,IF((YEAR(D114)+16)&gt;YEAR(E114),1,(12-MONTH(E114)+1)/12))))-((P114)*(IF((YEAR(D114)+16)&lt;YEAR(E114),0,IF((YEAR(D114)+16)&gt;YEAR(E114),1,(12-MONTH(E114)+1)/12))) + (R114)*(IF((YEAR(D114)+16)&lt;YEAR(E114),0,IF((YEAR(D114)+16)&gt;YEAR(E114),1,(12-MONTH(E114)+1)/12))))-(IF(OR(N114="",N114&lt;=0),0,(O114/N114)*(IF(OR(N114="",N114&lt;=0),0,IF((YEAR(D114)+16)&lt;YEAR(E114),0,IF((YEAR(D114)+16)&gt;=YEAR(E114)+N114,0,IF((YEAR(D114)+16)=YEAR(E114),(12-MONTH(E114)+1)/12,1))))))))*TaxRate,0))-IF(16=0,O114,0))</f>
        <v/>
      </c>
      <c r="AJ114" s="29">
        <f>IF(A114="","",((K114)*(IF(M114="",L114,IFERROR(IF(INDEX(Variablen!$I:$AT, MATCH(M114, Variablen!$A:$A, 0), MATCH((YEAR(D114)+17), Variablen!$I$3:$AT$3, 0))="",L114,INDEX(Variablen!$I:$AT, MATCH(M114, Variablen!$A:$A, 0), MATCH((YEAR(D114)+17), Variablen!$I$3:$AT$3, 0))),L114)))*(IF((YEAR(D114)+17)&lt;YEAR(E114),0,IF((YEAR(D114)+17)&gt;YEAR(E114),1,(12-MONTH(E114)+1)/12))) + (Q114)*(IF((YEAR(D114)+17)&lt;YEAR(E114),0,IF((YEAR(D114)+17)&gt;YEAR(E114),1,(12-MONTH(E114)+1)/12))))-((P114)*(IF((YEAR(D114)+17)&lt;YEAR(E114),0,IF((YEAR(D114)+17)&gt;YEAR(E114),1,(12-MONTH(E114)+1)/12))) + (R114)*(IF((YEAR(D114)+17)&lt;YEAR(E114),0,IF((YEAR(D114)+17)&gt;YEAR(E114),1,(12-MONTH(E114)+1)/12))))-(IF((((K114)*(IF(M114="",L114,IFERROR(IF(INDEX(Variablen!$I:$AT, MATCH(M114, Variablen!$A:$A, 0), MATCH((YEAR(D114)+17), Variablen!$I$3:$AT$3, 0))="",L114,INDEX(Variablen!$I:$AT, MATCH(M114, Variablen!$A:$A, 0), MATCH((YEAR(D114)+17), Variablen!$I$3:$AT$3, 0))),L114)))*(IF((YEAR(D114)+17)&lt;YEAR(E114),0,IF((YEAR(D114)+17)&gt;YEAR(E114),1,(12-MONTH(E114)+1)/12))) + (Q114)*(IF((YEAR(D114)+17)&lt;YEAR(E114),0,IF((YEAR(D114)+17)&gt;YEAR(E114),1,(12-MONTH(E114)+1)/12))))-((P114)*(IF((YEAR(D114)+17)&lt;YEAR(E114),0,IF((YEAR(D114)+17)&gt;YEAR(E114),1,(12-MONTH(E114)+1)/12))) + (R114)*(IF((YEAR(D114)+17)&lt;YEAR(E114),0,IF((YEAR(D114)+17)&gt;YEAR(E114),1,(12-MONTH(E114)+1)/12))))-(IF(OR(N114="",N114&lt;=0),0,(O114/N114)*(IF(OR(N114="",N114&lt;=0),0,IF((YEAR(D114)+17)&lt;YEAR(E114),0,IF((YEAR(D114)+17)&gt;=YEAR(E114)+N114,0,IF((YEAR(D114)+17)=YEAR(E114),(12-MONTH(E114)+1)/12,1))))))))&gt;0,(((K114)*(IF(M114="",L114,IFERROR(IF(INDEX(Variablen!$I:$AT, MATCH(M114, Variablen!$A:$A, 0), MATCH((YEAR(D114)+17), Variablen!$I$3:$AT$3, 0))="",L114,INDEX(Variablen!$I:$AT, MATCH(M114, Variablen!$A:$A, 0), MATCH((YEAR(D114)+17), Variablen!$I$3:$AT$3, 0))),L114)))*(IF((YEAR(D114)+17)&lt;YEAR(E114),0,IF((YEAR(D114)+17)&gt;YEAR(E114),1,(12-MONTH(E114)+1)/12))) + (Q114)*(IF((YEAR(D114)+17)&lt;YEAR(E114),0,IF((YEAR(D114)+17)&gt;YEAR(E114),1,(12-MONTH(E114)+1)/12))))-((P114)*(IF((YEAR(D114)+17)&lt;YEAR(E114),0,IF((YEAR(D114)+17)&gt;YEAR(E114),1,(12-MONTH(E114)+1)/12))) + (R114)*(IF((YEAR(D114)+17)&lt;YEAR(E114),0,IF((YEAR(D114)+17)&gt;YEAR(E114),1,(12-MONTH(E114)+1)/12))))-(IF(OR(N114="",N114&lt;=0),0,(O114/N114)*(IF(OR(N114="",N114&lt;=0),0,IF((YEAR(D114)+17)&lt;YEAR(E114),0,IF((YEAR(D114)+17)&gt;=YEAR(E114)+N114,0,IF((YEAR(D114)+17)=YEAR(E114),(12-MONTH(E114)+1)/12,1))))))))*TaxRate,0))-IF(17=0,O114,0))</f>
        <v/>
      </c>
      <c r="AK114" s="29">
        <f>IF(A114="","",((K114)*(IF(M114="",L114,IFERROR(IF(INDEX(Variablen!$I:$AT, MATCH(M114, Variablen!$A:$A, 0), MATCH((YEAR(D114)+18), Variablen!$I$3:$AT$3, 0))="",L114,INDEX(Variablen!$I:$AT, MATCH(M114, Variablen!$A:$A, 0), MATCH((YEAR(D114)+18), Variablen!$I$3:$AT$3, 0))),L114)))*(IF((YEAR(D114)+18)&lt;YEAR(E114),0,IF((YEAR(D114)+18)&gt;YEAR(E114),1,(12-MONTH(E114)+1)/12))) + (Q114)*(IF((YEAR(D114)+18)&lt;YEAR(E114),0,IF((YEAR(D114)+18)&gt;YEAR(E114),1,(12-MONTH(E114)+1)/12))))-((P114)*(IF((YEAR(D114)+18)&lt;YEAR(E114),0,IF((YEAR(D114)+18)&gt;YEAR(E114),1,(12-MONTH(E114)+1)/12))) + (R114)*(IF((YEAR(D114)+18)&lt;YEAR(E114),0,IF((YEAR(D114)+18)&gt;YEAR(E114),1,(12-MONTH(E114)+1)/12))))-(IF((((K114)*(IF(M114="",L114,IFERROR(IF(INDEX(Variablen!$I:$AT, MATCH(M114, Variablen!$A:$A, 0), MATCH((YEAR(D114)+18), Variablen!$I$3:$AT$3, 0))="",L114,INDEX(Variablen!$I:$AT, MATCH(M114, Variablen!$A:$A, 0), MATCH((YEAR(D114)+18), Variablen!$I$3:$AT$3, 0))),L114)))*(IF((YEAR(D114)+18)&lt;YEAR(E114),0,IF((YEAR(D114)+18)&gt;YEAR(E114),1,(12-MONTH(E114)+1)/12))) + (Q114)*(IF((YEAR(D114)+18)&lt;YEAR(E114),0,IF((YEAR(D114)+18)&gt;YEAR(E114),1,(12-MONTH(E114)+1)/12))))-((P114)*(IF((YEAR(D114)+18)&lt;YEAR(E114),0,IF((YEAR(D114)+18)&gt;YEAR(E114),1,(12-MONTH(E114)+1)/12))) + (R114)*(IF((YEAR(D114)+18)&lt;YEAR(E114),0,IF((YEAR(D114)+18)&gt;YEAR(E114),1,(12-MONTH(E114)+1)/12))))-(IF(OR(N114="",N114&lt;=0),0,(O114/N114)*(IF(OR(N114="",N114&lt;=0),0,IF((YEAR(D114)+18)&lt;YEAR(E114),0,IF((YEAR(D114)+18)&gt;=YEAR(E114)+N114,0,IF((YEAR(D114)+18)=YEAR(E114),(12-MONTH(E114)+1)/12,1))))))))&gt;0,(((K114)*(IF(M114="",L114,IFERROR(IF(INDEX(Variablen!$I:$AT, MATCH(M114, Variablen!$A:$A, 0), MATCH((YEAR(D114)+18), Variablen!$I$3:$AT$3, 0))="",L114,INDEX(Variablen!$I:$AT, MATCH(M114, Variablen!$A:$A, 0), MATCH((YEAR(D114)+18), Variablen!$I$3:$AT$3, 0))),L114)))*(IF((YEAR(D114)+18)&lt;YEAR(E114),0,IF((YEAR(D114)+18)&gt;YEAR(E114),1,(12-MONTH(E114)+1)/12))) + (Q114)*(IF((YEAR(D114)+18)&lt;YEAR(E114),0,IF((YEAR(D114)+18)&gt;YEAR(E114),1,(12-MONTH(E114)+1)/12))))-((P114)*(IF((YEAR(D114)+18)&lt;YEAR(E114),0,IF((YEAR(D114)+18)&gt;YEAR(E114),1,(12-MONTH(E114)+1)/12))) + (R114)*(IF((YEAR(D114)+18)&lt;YEAR(E114),0,IF((YEAR(D114)+18)&gt;YEAR(E114),1,(12-MONTH(E114)+1)/12))))-(IF(OR(N114="",N114&lt;=0),0,(O114/N114)*(IF(OR(N114="",N114&lt;=0),0,IF((YEAR(D114)+18)&lt;YEAR(E114),0,IF((YEAR(D114)+18)&gt;=YEAR(E114)+N114,0,IF((YEAR(D114)+18)=YEAR(E114),(12-MONTH(E114)+1)/12,1))))))))*TaxRate,0))-IF(18=0,O114,0))</f>
        <v/>
      </c>
      <c r="AL114" s="29">
        <f>IF(A114="","",((K114)*(IF(M114="",L114,IFERROR(IF(INDEX(Variablen!$I:$AT, MATCH(M114, Variablen!$A:$A, 0), MATCH((YEAR(D114)+19), Variablen!$I$3:$AT$3, 0))="",L114,INDEX(Variablen!$I:$AT, MATCH(M114, Variablen!$A:$A, 0), MATCH((YEAR(D114)+19), Variablen!$I$3:$AT$3, 0))),L114)))*(IF((YEAR(D114)+19)&lt;YEAR(E114),0,IF((YEAR(D114)+19)&gt;YEAR(E114),1,(12-MONTH(E114)+1)/12))) + (Q114)*(IF((YEAR(D114)+19)&lt;YEAR(E114),0,IF((YEAR(D114)+19)&gt;YEAR(E114),1,(12-MONTH(E114)+1)/12))))-((P114)*(IF((YEAR(D114)+19)&lt;YEAR(E114),0,IF((YEAR(D114)+19)&gt;YEAR(E114),1,(12-MONTH(E114)+1)/12))) + (R114)*(IF((YEAR(D114)+19)&lt;YEAR(E114),0,IF((YEAR(D114)+19)&gt;YEAR(E114),1,(12-MONTH(E114)+1)/12))))-(IF((((K114)*(IF(M114="",L114,IFERROR(IF(INDEX(Variablen!$I:$AT, MATCH(M114, Variablen!$A:$A, 0), MATCH((YEAR(D114)+19), Variablen!$I$3:$AT$3, 0))="",L114,INDEX(Variablen!$I:$AT, MATCH(M114, Variablen!$A:$A, 0), MATCH((YEAR(D114)+19), Variablen!$I$3:$AT$3, 0))),L114)))*(IF((YEAR(D114)+19)&lt;YEAR(E114),0,IF((YEAR(D114)+19)&gt;YEAR(E114),1,(12-MONTH(E114)+1)/12))) + (Q114)*(IF((YEAR(D114)+19)&lt;YEAR(E114),0,IF((YEAR(D114)+19)&gt;YEAR(E114),1,(12-MONTH(E114)+1)/12))))-((P114)*(IF((YEAR(D114)+19)&lt;YEAR(E114),0,IF((YEAR(D114)+19)&gt;YEAR(E114),1,(12-MONTH(E114)+1)/12))) + (R114)*(IF((YEAR(D114)+19)&lt;YEAR(E114),0,IF((YEAR(D114)+19)&gt;YEAR(E114),1,(12-MONTH(E114)+1)/12))))-(IF(OR(N114="",N114&lt;=0),0,(O114/N114)*(IF(OR(N114="",N114&lt;=0),0,IF((YEAR(D114)+19)&lt;YEAR(E114),0,IF((YEAR(D114)+19)&gt;=YEAR(E114)+N114,0,IF((YEAR(D114)+19)=YEAR(E114),(12-MONTH(E114)+1)/12,1))))))))&gt;0,(((K114)*(IF(M114="",L114,IFERROR(IF(INDEX(Variablen!$I:$AT, MATCH(M114, Variablen!$A:$A, 0), MATCH((YEAR(D114)+19), Variablen!$I$3:$AT$3, 0))="",L114,INDEX(Variablen!$I:$AT, MATCH(M114, Variablen!$A:$A, 0), MATCH((YEAR(D114)+19), Variablen!$I$3:$AT$3, 0))),L114)))*(IF((YEAR(D114)+19)&lt;YEAR(E114),0,IF((YEAR(D114)+19)&gt;YEAR(E114),1,(12-MONTH(E114)+1)/12))) + (Q114)*(IF((YEAR(D114)+19)&lt;YEAR(E114),0,IF((YEAR(D114)+19)&gt;YEAR(E114),1,(12-MONTH(E114)+1)/12))))-((P114)*(IF((YEAR(D114)+19)&lt;YEAR(E114),0,IF((YEAR(D114)+19)&gt;YEAR(E114),1,(12-MONTH(E114)+1)/12))) + (R114)*(IF((YEAR(D114)+19)&lt;YEAR(E114),0,IF((YEAR(D114)+19)&gt;YEAR(E114),1,(12-MONTH(E114)+1)/12))))-(IF(OR(N114="",N114&lt;=0),0,(O114/N114)*(IF(OR(N114="",N114&lt;=0),0,IF((YEAR(D114)+19)&lt;YEAR(E114),0,IF((YEAR(D114)+19)&gt;=YEAR(E114)+N114,0,IF((YEAR(D114)+19)=YEAR(E114),(12-MONTH(E114)+1)/12,1))))))))*TaxRate,0))-IF(19=0,O114,0))</f>
        <v/>
      </c>
      <c r="AM114" s="29">
        <f>IF(A114="","",((K114)*(IF(M114="",L114,IFERROR(IF(INDEX(Variablen!$I:$AT, MATCH(M114, Variablen!$A:$A, 0), MATCH((YEAR(D114)+20), Variablen!$I$3:$AT$3, 0))="",L114,INDEX(Variablen!$I:$AT, MATCH(M114, Variablen!$A:$A, 0), MATCH((YEAR(D114)+20), Variablen!$I$3:$AT$3, 0))),L114)))*(IF((YEAR(D114)+20)&lt;YEAR(E114),0,IF((YEAR(D114)+20)&gt;YEAR(E114),1,(12-MONTH(E114)+1)/12))) + (Q114)*(IF((YEAR(D114)+20)&lt;YEAR(E114),0,IF((YEAR(D114)+20)&gt;YEAR(E114),1,(12-MONTH(E114)+1)/12))))-((P114)*(IF((YEAR(D114)+20)&lt;YEAR(E114),0,IF((YEAR(D114)+20)&gt;YEAR(E114),1,(12-MONTH(E114)+1)/12))) + (R114)*(IF((YEAR(D114)+20)&lt;YEAR(E114),0,IF((YEAR(D114)+20)&gt;YEAR(E114),1,(12-MONTH(E114)+1)/12))))-(IF((((K114)*(IF(M114="",L114,IFERROR(IF(INDEX(Variablen!$I:$AT, MATCH(M114, Variablen!$A:$A, 0), MATCH((YEAR(D114)+20), Variablen!$I$3:$AT$3, 0))="",L114,INDEX(Variablen!$I:$AT, MATCH(M114, Variablen!$A:$A, 0), MATCH((YEAR(D114)+20), Variablen!$I$3:$AT$3, 0))),L114)))*(IF((YEAR(D114)+20)&lt;YEAR(E114),0,IF((YEAR(D114)+20)&gt;YEAR(E114),1,(12-MONTH(E114)+1)/12))) + (Q114)*(IF((YEAR(D114)+20)&lt;YEAR(E114),0,IF((YEAR(D114)+20)&gt;YEAR(E114),1,(12-MONTH(E114)+1)/12))))-((P114)*(IF((YEAR(D114)+20)&lt;YEAR(E114),0,IF((YEAR(D114)+20)&gt;YEAR(E114),1,(12-MONTH(E114)+1)/12))) + (R114)*(IF((YEAR(D114)+20)&lt;YEAR(E114),0,IF((YEAR(D114)+20)&gt;YEAR(E114),1,(12-MONTH(E114)+1)/12))))-(IF(OR(N114="",N114&lt;=0),0,(O114/N114)*(IF(OR(N114="",N114&lt;=0),0,IF((YEAR(D114)+20)&lt;YEAR(E114),0,IF((YEAR(D114)+20)&gt;=YEAR(E114)+N114,0,IF((YEAR(D114)+20)=YEAR(E114),(12-MONTH(E114)+1)/12,1))))))))&gt;0,(((K114)*(IF(M114="",L114,IFERROR(IF(INDEX(Variablen!$I:$AT, MATCH(M114, Variablen!$A:$A, 0), MATCH((YEAR(D114)+20), Variablen!$I$3:$AT$3, 0))="",L114,INDEX(Variablen!$I:$AT, MATCH(M114, Variablen!$A:$A, 0), MATCH((YEAR(D114)+20), Variablen!$I$3:$AT$3, 0))),L114)))*(IF((YEAR(D114)+20)&lt;YEAR(E114),0,IF((YEAR(D114)+20)&gt;YEAR(E114),1,(12-MONTH(E114)+1)/12))) + (Q114)*(IF((YEAR(D114)+20)&lt;YEAR(E114),0,IF((YEAR(D114)+20)&gt;YEAR(E114),1,(12-MONTH(E114)+1)/12))))-((P114)*(IF((YEAR(D114)+20)&lt;YEAR(E114),0,IF((YEAR(D114)+20)&gt;YEAR(E114),1,(12-MONTH(E114)+1)/12))) + (R114)*(IF((YEAR(D114)+20)&lt;YEAR(E114),0,IF((YEAR(D114)+20)&gt;YEAR(E114),1,(12-MONTH(E114)+1)/12))))-(IF(OR(N114="",N114&lt;=0),0,(O114/N114)*(IF(OR(N114="",N114&lt;=0),0,IF((YEAR(D114)+20)&lt;YEAR(E114),0,IF((YEAR(D114)+20)&gt;=YEAR(E114)+N114,0,IF((YEAR(D114)+20)=YEAR(E114),(12-MONTH(E114)+1)/12,1))))))))*TaxRate,0))-IF(20=0,O114,0))</f>
        <v/>
      </c>
      <c r="AN114" s="29">
        <f>IF(A114="","",S114)</f>
        <v/>
      </c>
      <c r="AO114" s="29">
        <f>IF(A114="","",AN114+T114)</f>
        <v/>
      </c>
      <c r="AP114" s="29">
        <f>IF(A114="","",AO114+U114)</f>
        <v/>
      </c>
      <c r="AQ114" s="29">
        <f>IF(A114="","",AP114+V114)</f>
        <v/>
      </c>
      <c r="AR114" s="29">
        <f>IF(A114="","",AQ114+W114)</f>
        <v/>
      </c>
      <c r="AS114" s="29">
        <f>IF(A114="","",AR114+X114)</f>
        <v/>
      </c>
      <c r="AT114" s="29">
        <f>IF(A114="","",AS114+Y114)</f>
        <v/>
      </c>
      <c r="AU114" s="29">
        <f>IF(A114="","",AT114+Z114)</f>
        <v/>
      </c>
      <c r="AV114" s="29">
        <f>IF(A114="","",AU114+AA114)</f>
        <v/>
      </c>
      <c r="AW114" s="29">
        <f>IF(A114="","",AV114+AB114)</f>
        <v/>
      </c>
      <c r="AX114" s="29">
        <f>IF(A114="","",AW114+AC114)</f>
        <v/>
      </c>
      <c r="AY114" s="29">
        <f>IF(A114="","",AX114+AD114)</f>
        <v/>
      </c>
      <c r="AZ114" s="29">
        <f>IF(A114="","",AY114+AE114)</f>
        <v/>
      </c>
      <c r="BA114" s="29">
        <f>IF(A114="","",AZ114+AF114)</f>
        <v/>
      </c>
      <c r="BB114" s="29">
        <f>IF(A114="","",BA114+AG114)</f>
        <v/>
      </c>
      <c r="BC114" s="29">
        <f>IF(A114="","",BB114+AH114)</f>
        <v/>
      </c>
      <c r="BD114" s="29">
        <f>IF(A114="","",BC114+AI114)</f>
        <v/>
      </c>
      <c r="BE114" s="29">
        <f>IF(A114="","",BD114+AJ114)</f>
        <v/>
      </c>
      <c r="BF114" s="29">
        <f>IF(A114="","",BE114+AK114)</f>
        <v/>
      </c>
      <c r="BG114" s="29">
        <f>IF(A114="","",BF114+AL114)</f>
        <v/>
      </c>
      <c r="BH114" s="29">
        <f>IF(A114="","",BG114+AM114)</f>
        <v/>
      </c>
      <c r="BI114" s="36">
        <f>IF(A114="","",(K114)*(IF((YEAR(D114)+0)&lt;YEAR(E114),0,IF((YEAR(D114)+0)&gt;YEAR(E114),1,(12-MONTH(E114)+1)/12)))*(1/(1+DiscountRate)^0))</f>
        <v/>
      </c>
      <c r="BJ114" s="36">
        <f>IF(A114="","",(K114)*(IF((YEAR(D114)+1)&lt;YEAR(E114),0,IF((YEAR(D114)+1)&gt;YEAR(E114),1,(12-MONTH(E114)+1)/12)))*(1/(1+DiscountRate)^1))</f>
        <v/>
      </c>
      <c r="BK114" s="36">
        <f>IF(A114="","",(K114)*(IF((YEAR(D114)+2)&lt;YEAR(E114),0,IF((YEAR(D114)+2)&gt;YEAR(E114),1,(12-MONTH(E114)+1)/12)))*(1/(1+DiscountRate)^2))</f>
        <v/>
      </c>
      <c r="BL114" s="36">
        <f>IF(A114="","",(K114)*(IF((YEAR(D114)+3)&lt;YEAR(E114),0,IF((YEAR(D114)+3)&gt;YEAR(E114),1,(12-MONTH(E114)+1)/12)))*(1/(1+DiscountRate)^3))</f>
        <v/>
      </c>
      <c r="BM114" s="36">
        <f>IF(A114="","",(K114)*(IF((YEAR(D114)+4)&lt;YEAR(E114),0,IF((YEAR(D114)+4)&gt;YEAR(E114),1,(12-MONTH(E114)+1)/12)))*(1/(1+DiscountRate)^4))</f>
        <v/>
      </c>
      <c r="BN114" s="36">
        <f>IF(A114="","",(K114)*(IF((YEAR(D114)+5)&lt;YEAR(E114),0,IF((YEAR(D114)+5)&gt;YEAR(E114),1,(12-MONTH(E114)+1)/12)))*(1/(1+DiscountRate)^5))</f>
        <v/>
      </c>
      <c r="BO114" s="36">
        <f>IF(A114="","",(K114)*(IF((YEAR(D114)+6)&lt;YEAR(E114),0,IF((YEAR(D114)+6)&gt;YEAR(E114),1,(12-MONTH(E114)+1)/12)))*(1/(1+DiscountRate)^6))</f>
        <v/>
      </c>
      <c r="BP114" s="36">
        <f>IF(A114="","",(K114)*(IF((YEAR(D114)+7)&lt;YEAR(E114),0,IF((YEAR(D114)+7)&gt;YEAR(E114),1,(12-MONTH(E114)+1)/12)))*(1/(1+DiscountRate)^7))</f>
        <v/>
      </c>
      <c r="BQ114" s="36">
        <f>IF(A114="","",(K114)*(IF((YEAR(D114)+8)&lt;YEAR(E114),0,IF((YEAR(D114)+8)&gt;YEAR(E114),1,(12-MONTH(E114)+1)/12)))*(1/(1+DiscountRate)^8))</f>
        <v/>
      </c>
      <c r="BR114" s="36">
        <f>IF(A114="","",(K114)*(IF((YEAR(D114)+9)&lt;YEAR(E114),0,IF((YEAR(D114)+9)&gt;YEAR(E114),1,(12-MONTH(E114)+1)/12)))*(1/(1+DiscountRate)^9))</f>
        <v/>
      </c>
      <c r="BS114" s="36">
        <f>IF(A114="","",(K114)*(IF((YEAR(D114)+10)&lt;YEAR(E114),0,IF((YEAR(D114)+10)&gt;YEAR(E114),1,(12-MONTH(E114)+1)/12)))*(1/(1+DiscountRate)^10))</f>
        <v/>
      </c>
      <c r="BT114" s="36">
        <f>IF(A114="","",(K114)*(IF((YEAR(D114)+11)&lt;YEAR(E114),0,IF((YEAR(D114)+11)&gt;YEAR(E114),1,(12-MONTH(E114)+1)/12)))*(1/(1+DiscountRate)^11))</f>
        <v/>
      </c>
      <c r="BU114" s="36">
        <f>IF(A114="","",(K114)*(IF((YEAR(D114)+12)&lt;YEAR(E114),0,IF((YEAR(D114)+12)&gt;YEAR(E114),1,(12-MONTH(E114)+1)/12)))*(1/(1+DiscountRate)^12))</f>
        <v/>
      </c>
      <c r="BV114" s="36">
        <f>IF(A114="","",(K114)*(IF((YEAR(D114)+13)&lt;YEAR(E114),0,IF((YEAR(D114)+13)&gt;YEAR(E114),1,(12-MONTH(E114)+1)/12)))*(1/(1+DiscountRate)^13))</f>
        <v/>
      </c>
      <c r="BW114" s="36">
        <f>IF(A114="","",(K114)*(IF((YEAR(D114)+14)&lt;YEAR(E114),0,IF((YEAR(D114)+14)&gt;YEAR(E114),1,(12-MONTH(E114)+1)/12)))*(1/(1+DiscountRate)^14))</f>
        <v/>
      </c>
      <c r="BX114" s="36">
        <f>IF(A114="","",(K114)*(IF((YEAR(D114)+15)&lt;YEAR(E114),0,IF((YEAR(D114)+15)&gt;YEAR(E114),1,(12-MONTH(E114)+1)/12)))*(1/(1+DiscountRate)^15))</f>
        <v/>
      </c>
      <c r="BY114" s="36">
        <f>IF(A114="","",(K114)*(IF((YEAR(D114)+16)&lt;YEAR(E114),0,IF((YEAR(D114)+16)&gt;YEAR(E114),1,(12-MONTH(E114)+1)/12)))*(1/(1+DiscountRate)^16))</f>
        <v/>
      </c>
      <c r="BZ114" s="36">
        <f>IF(A114="","",(K114)*(IF((YEAR(D114)+17)&lt;YEAR(E114),0,IF((YEAR(D114)+17)&gt;YEAR(E114),1,(12-MONTH(E114)+1)/12)))*(1/(1+DiscountRate)^17))</f>
        <v/>
      </c>
      <c r="CA114" s="36">
        <f>IF(A114="","",(K114)*(IF((YEAR(D114)+18)&lt;YEAR(E114),0,IF((YEAR(D114)+18)&gt;YEAR(E114),1,(12-MONTH(E114)+1)/12)))*(1/(1+DiscountRate)^18))</f>
        <v/>
      </c>
      <c r="CB114" s="36">
        <f>IF(A114="","",(K114)*(IF((YEAR(D114)+19)&lt;YEAR(E114),0,IF((YEAR(D114)+19)&gt;YEAR(E114),1,(12-MONTH(E114)+1)/12)))*(1/(1+DiscountRate)^19))</f>
        <v/>
      </c>
      <c r="CC114" s="36">
        <f>IF(A114="","",(K114)*(IF((YEAR(D114)+20)&lt;YEAR(E114),0,IF((YEAR(D114)+20)&gt;YEAR(E114),1,(12-MONTH(E114)+1)/12)))*(1/(1+DiscountRate)^20))</f>
        <v/>
      </c>
      <c r="CD114" s="29">
        <f>IF(A114="","",S114/(1+DiscountRate)^0+T114/(1+DiscountRate)^1+U114/(1+DiscountRate)^2+V114/(1+DiscountRate)^3+W114/(1+DiscountRate)^4+X114/(1+DiscountRate)^5+Y114/(1+DiscountRate)^6+Z114/(1+DiscountRate)^7+AA114/(1+DiscountRate)^8+AB114/(1+DiscountRate)^9+AC114/(1+DiscountRate)^10+AD114/(1+DiscountRate)^11+AE114/(1+DiscountRate)^12+AF114/(1+DiscountRate)^13+AG114/(1+DiscountRate)^14+AH114/(1+DiscountRate)^15+AI114/(1+DiscountRate)^16+AJ114/(1+DiscountRate)^17+AK114/(1+DiscountRate)^18+AL114/(1+DiscountRate)^19+AM114/(1+DiscountRate)^20)</f>
        <v/>
      </c>
      <c r="CE114" s="37">
        <f>IF(A114="","",IFERROR(IRR(OFFSET(S114,0,0,1,MIN(HorizonYears,20)+1)),"n/a"))</f>
        <v/>
      </c>
      <c r="CF114" s="28">
        <f>IF(A114="","",IFERROR(MATCH(TRUE,OFFSET(AN114,0,0,1,MIN(HorizonYears,20)+1)&gt;=0,0)-1,"n/a"))</f>
        <v/>
      </c>
      <c r="CG114" s="36">
        <f>IF(A114="","",SUM(OFFSET(BI114,0,0,1,MIN(HorizonYears,20)+1)))</f>
        <v/>
      </c>
      <c r="CH114" s="36">
        <f>IF(A114="","",IFERROR(-CD114/CG114,"n/a"))</f>
        <v/>
      </c>
    </row>
    <row r="115">
      <c r="A115" s="6">
        <f>Actions!A113</f>
        <v/>
      </c>
      <c r="B115" s="6">
        <f>Actions!B113</f>
        <v/>
      </c>
      <c r="C115" s="6">
        <f>Actions!D113</f>
        <v/>
      </c>
      <c r="D115" s="35">
        <f>Actions!E113</f>
        <v/>
      </c>
      <c r="E115" s="35">
        <f>Actions!F113</f>
        <v/>
      </c>
      <c r="F115" s="6">
        <f>Actions!G113</f>
        <v/>
      </c>
      <c r="G115" s="6">
        <f>Actions!H113</f>
        <v/>
      </c>
      <c r="H115" s="29">
        <f>Actions!I113</f>
        <v/>
      </c>
      <c r="I115" s="6">
        <f>Actions!J113</f>
        <v/>
      </c>
      <c r="J115" s="16">
        <f>Actions!K113</f>
        <v/>
      </c>
      <c r="K115" s="16">
        <f>IF(A115="","",IF(I115="%",H115*J115,J115))</f>
        <v/>
      </c>
      <c r="L115" s="16">
        <f>Actions!L113</f>
        <v/>
      </c>
      <c r="M115" s="6">
        <f>Actions!M113</f>
        <v/>
      </c>
      <c r="N115" s="28">
        <f>Actions!N113</f>
        <v/>
      </c>
      <c r="O115" s="29">
        <f>Actions!T113</f>
        <v/>
      </c>
      <c r="P115" s="29">
        <f>Actions!Y113</f>
        <v/>
      </c>
      <c r="Q115" s="29">
        <f>Actions!Z113</f>
        <v/>
      </c>
      <c r="R115" s="29">
        <f>Actions!AA113</f>
        <v/>
      </c>
      <c r="S115" s="29">
        <f>IF(A115="","",((K115)*(IF(M115="",L115,IFERROR(IF(INDEX(Variablen!$I:$AT, MATCH(M115, Variablen!$A:$A, 0), MATCH((YEAR(D115)+0), Variablen!$I$3:$AT$3, 0))="",L115,INDEX(Variablen!$I:$AT, MATCH(M115, Variablen!$A:$A, 0), MATCH((YEAR(D115)+0), Variablen!$I$3:$AT$3, 0))),L115)))*(IF((YEAR(D115)+0)&lt;YEAR(E115),0,IF((YEAR(D115)+0)&gt;YEAR(E115),1,(12-MONTH(E115)+1)/12))) + (Q115)*(IF((YEAR(D115)+0)&lt;YEAR(E115),0,IF((YEAR(D115)+0)&gt;YEAR(E115),1,(12-MONTH(E115)+1)/12))))-((P115)*(IF((YEAR(D115)+0)&lt;YEAR(E115),0,IF((YEAR(D115)+0)&gt;YEAR(E115),1,(12-MONTH(E115)+1)/12))) + (R115)*(IF((YEAR(D115)+0)&lt;YEAR(E115),0,IF((YEAR(D115)+0)&gt;YEAR(E115),1,(12-MONTH(E115)+1)/12))))-(IF((((K115)*(IF(M115="",L115,IFERROR(IF(INDEX(Variablen!$I:$AT, MATCH(M115, Variablen!$A:$A, 0), MATCH((YEAR(D115)+0), Variablen!$I$3:$AT$3, 0))="",L115,INDEX(Variablen!$I:$AT, MATCH(M115, Variablen!$A:$A, 0), MATCH((YEAR(D115)+0), Variablen!$I$3:$AT$3, 0))),L115)))*(IF((YEAR(D115)+0)&lt;YEAR(E115),0,IF((YEAR(D115)+0)&gt;YEAR(E115),1,(12-MONTH(E115)+1)/12))) + (Q115)*(IF((YEAR(D115)+0)&lt;YEAR(E115),0,IF((YEAR(D115)+0)&gt;YEAR(E115),1,(12-MONTH(E115)+1)/12))))-((P115)*(IF((YEAR(D115)+0)&lt;YEAR(E115),0,IF((YEAR(D115)+0)&gt;YEAR(E115),1,(12-MONTH(E115)+1)/12))) + (R115)*(IF((YEAR(D115)+0)&lt;YEAR(E115),0,IF((YEAR(D115)+0)&gt;YEAR(E115),1,(12-MONTH(E115)+1)/12))))-(IF(OR(N115="",N115&lt;=0),0,(O115/N115)*(IF(OR(N115="",N115&lt;=0),0,IF((YEAR(D115)+0)&lt;YEAR(E115),0,IF((YEAR(D115)+0)&gt;=YEAR(E115)+N115,0,IF((YEAR(D115)+0)=YEAR(E115),(12-MONTH(E115)+1)/12,1))))))))&gt;0,(((K115)*(IF(M115="",L115,IFERROR(IF(INDEX(Variablen!$I:$AT, MATCH(M115, Variablen!$A:$A, 0), MATCH((YEAR(D115)+0), Variablen!$I$3:$AT$3, 0))="",L115,INDEX(Variablen!$I:$AT, MATCH(M115, Variablen!$A:$A, 0), MATCH((YEAR(D115)+0), Variablen!$I$3:$AT$3, 0))),L115)))*(IF((YEAR(D115)+0)&lt;YEAR(E115),0,IF((YEAR(D115)+0)&gt;YEAR(E115),1,(12-MONTH(E115)+1)/12))) + (Q115)*(IF((YEAR(D115)+0)&lt;YEAR(E115),0,IF((YEAR(D115)+0)&gt;YEAR(E115),1,(12-MONTH(E115)+1)/12))))-((P115)*(IF((YEAR(D115)+0)&lt;YEAR(E115),0,IF((YEAR(D115)+0)&gt;YEAR(E115),1,(12-MONTH(E115)+1)/12))) + (R115)*(IF((YEAR(D115)+0)&lt;YEAR(E115),0,IF((YEAR(D115)+0)&gt;YEAR(E115),1,(12-MONTH(E115)+1)/12))))-(IF(OR(N115="",N115&lt;=0),0,(O115/N115)*(IF(OR(N115="",N115&lt;=0),0,IF((YEAR(D115)+0)&lt;YEAR(E115),0,IF((YEAR(D115)+0)&gt;=YEAR(E115)+N115,0,IF((YEAR(D115)+0)=YEAR(E115),(12-MONTH(E115)+1)/12,1))))))))*TaxRate,0))-IF(0=0,O115,0))</f>
        <v/>
      </c>
      <c r="T115" s="29">
        <f>IF(A115="","",((K115)*(IF(M115="",L115,IFERROR(IF(INDEX(Variablen!$I:$AT, MATCH(M115, Variablen!$A:$A, 0), MATCH((YEAR(D115)+1), Variablen!$I$3:$AT$3, 0))="",L115,INDEX(Variablen!$I:$AT, MATCH(M115, Variablen!$A:$A, 0), MATCH((YEAR(D115)+1), Variablen!$I$3:$AT$3, 0))),L115)))*(IF((YEAR(D115)+1)&lt;YEAR(E115),0,IF((YEAR(D115)+1)&gt;YEAR(E115),1,(12-MONTH(E115)+1)/12))) + (Q115)*(IF((YEAR(D115)+1)&lt;YEAR(E115),0,IF((YEAR(D115)+1)&gt;YEAR(E115),1,(12-MONTH(E115)+1)/12))))-((P115)*(IF((YEAR(D115)+1)&lt;YEAR(E115),0,IF((YEAR(D115)+1)&gt;YEAR(E115),1,(12-MONTH(E115)+1)/12))) + (R115)*(IF((YEAR(D115)+1)&lt;YEAR(E115),0,IF((YEAR(D115)+1)&gt;YEAR(E115),1,(12-MONTH(E115)+1)/12))))-(IF((((K115)*(IF(M115="",L115,IFERROR(IF(INDEX(Variablen!$I:$AT, MATCH(M115, Variablen!$A:$A, 0), MATCH((YEAR(D115)+1), Variablen!$I$3:$AT$3, 0))="",L115,INDEX(Variablen!$I:$AT, MATCH(M115, Variablen!$A:$A, 0), MATCH((YEAR(D115)+1), Variablen!$I$3:$AT$3, 0))),L115)))*(IF((YEAR(D115)+1)&lt;YEAR(E115),0,IF((YEAR(D115)+1)&gt;YEAR(E115),1,(12-MONTH(E115)+1)/12))) + (Q115)*(IF((YEAR(D115)+1)&lt;YEAR(E115),0,IF((YEAR(D115)+1)&gt;YEAR(E115),1,(12-MONTH(E115)+1)/12))))-((P115)*(IF((YEAR(D115)+1)&lt;YEAR(E115),0,IF((YEAR(D115)+1)&gt;YEAR(E115),1,(12-MONTH(E115)+1)/12))) + (R115)*(IF((YEAR(D115)+1)&lt;YEAR(E115),0,IF((YEAR(D115)+1)&gt;YEAR(E115),1,(12-MONTH(E115)+1)/12))))-(IF(OR(N115="",N115&lt;=0),0,(O115/N115)*(IF(OR(N115="",N115&lt;=0),0,IF((YEAR(D115)+1)&lt;YEAR(E115),0,IF((YEAR(D115)+1)&gt;=YEAR(E115)+N115,0,IF((YEAR(D115)+1)=YEAR(E115),(12-MONTH(E115)+1)/12,1))))))))&gt;0,(((K115)*(IF(M115="",L115,IFERROR(IF(INDEX(Variablen!$I:$AT, MATCH(M115, Variablen!$A:$A, 0), MATCH((YEAR(D115)+1), Variablen!$I$3:$AT$3, 0))="",L115,INDEX(Variablen!$I:$AT, MATCH(M115, Variablen!$A:$A, 0), MATCH((YEAR(D115)+1), Variablen!$I$3:$AT$3, 0))),L115)))*(IF((YEAR(D115)+1)&lt;YEAR(E115),0,IF((YEAR(D115)+1)&gt;YEAR(E115),1,(12-MONTH(E115)+1)/12))) + (Q115)*(IF((YEAR(D115)+1)&lt;YEAR(E115),0,IF((YEAR(D115)+1)&gt;YEAR(E115),1,(12-MONTH(E115)+1)/12))))-((P115)*(IF((YEAR(D115)+1)&lt;YEAR(E115),0,IF((YEAR(D115)+1)&gt;YEAR(E115),1,(12-MONTH(E115)+1)/12))) + (R115)*(IF((YEAR(D115)+1)&lt;YEAR(E115),0,IF((YEAR(D115)+1)&gt;YEAR(E115),1,(12-MONTH(E115)+1)/12))))-(IF(OR(N115="",N115&lt;=0),0,(O115/N115)*(IF(OR(N115="",N115&lt;=0),0,IF((YEAR(D115)+1)&lt;YEAR(E115),0,IF((YEAR(D115)+1)&gt;=YEAR(E115)+N115,0,IF((YEAR(D115)+1)=YEAR(E115),(12-MONTH(E115)+1)/12,1))))))))*TaxRate,0))-IF(1=0,O115,0))</f>
        <v/>
      </c>
      <c r="U115" s="29">
        <f>IF(A115="","",((K115)*(IF(M115="",L115,IFERROR(IF(INDEX(Variablen!$I:$AT, MATCH(M115, Variablen!$A:$A, 0), MATCH((YEAR(D115)+2), Variablen!$I$3:$AT$3, 0))="",L115,INDEX(Variablen!$I:$AT, MATCH(M115, Variablen!$A:$A, 0), MATCH((YEAR(D115)+2), Variablen!$I$3:$AT$3, 0))),L115)))*(IF((YEAR(D115)+2)&lt;YEAR(E115),0,IF((YEAR(D115)+2)&gt;YEAR(E115),1,(12-MONTH(E115)+1)/12))) + (Q115)*(IF((YEAR(D115)+2)&lt;YEAR(E115),0,IF((YEAR(D115)+2)&gt;YEAR(E115),1,(12-MONTH(E115)+1)/12))))-((P115)*(IF((YEAR(D115)+2)&lt;YEAR(E115),0,IF((YEAR(D115)+2)&gt;YEAR(E115),1,(12-MONTH(E115)+1)/12))) + (R115)*(IF((YEAR(D115)+2)&lt;YEAR(E115),0,IF((YEAR(D115)+2)&gt;YEAR(E115),1,(12-MONTH(E115)+1)/12))))-(IF((((K115)*(IF(M115="",L115,IFERROR(IF(INDEX(Variablen!$I:$AT, MATCH(M115, Variablen!$A:$A, 0), MATCH((YEAR(D115)+2), Variablen!$I$3:$AT$3, 0))="",L115,INDEX(Variablen!$I:$AT, MATCH(M115, Variablen!$A:$A, 0), MATCH((YEAR(D115)+2), Variablen!$I$3:$AT$3, 0))),L115)))*(IF((YEAR(D115)+2)&lt;YEAR(E115),0,IF((YEAR(D115)+2)&gt;YEAR(E115),1,(12-MONTH(E115)+1)/12))) + (Q115)*(IF((YEAR(D115)+2)&lt;YEAR(E115),0,IF((YEAR(D115)+2)&gt;YEAR(E115),1,(12-MONTH(E115)+1)/12))))-((P115)*(IF((YEAR(D115)+2)&lt;YEAR(E115),0,IF((YEAR(D115)+2)&gt;YEAR(E115),1,(12-MONTH(E115)+1)/12))) + (R115)*(IF((YEAR(D115)+2)&lt;YEAR(E115),0,IF((YEAR(D115)+2)&gt;YEAR(E115),1,(12-MONTH(E115)+1)/12))))-(IF(OR(N115="",N115&lt;=0),0,(O115/N115)*(IF(OR(N115="",N115&lt;=0),0,IF((YEAR(D115)+2)&lt;YEAR(E115),0,IF((YEAR(D115)+2)&gt;=YEAR(E115)+N115,0,IF((YEAR(D115)+2)=YEAR(E115),(12-MONTH(E115)+1)/12,1))))))))&gt;0,(((K115)*(IF(M115="",L115,IFERROR(IF(INDEX(Variablen!$I:$AT, MATCH(M115, Variablen!$A:$A, 0), MATCH((YEAR(D115)+2), Variablen!$I$3:$AT$3, 0))="",L115,INDEX(Variablen!$I:$AT, MATCH(M115, Variablen!$A:$A, 0), MATCH((YEAR(D115)+2), Variablen!$I$3:$AT$3, 0))),L115)))*(IF((YEAR(D115)+2)&lt;YEAR(E115),0,IF((YEAR(D115)+2)&gt;YEAR(E115),1,(12-MONTH(E115)+1)/12))) + (Q115)*(IF((YEAR(D115)+2)&lt;YEAR(E115),0,IF((YEAR(D115)+2)&gt;YEAR(E115),1,(12-MONTH(E115)+1)/12))))-((P115)*(IF((YEAR(D115)+2)&lt;YEAR(E115),0,IF((YEAR(D115)+2)&gt;YEAR(E115),1,(12-MONTH(E115)+1)/12))) + (R115)*(IF((YEAR(D115)+2)&lt;YEAR(E115),0,IF((YEAR(D115)+2)&gt;YEAR(E115),1,(12-MONTH(E115)+1)/12))))-(IF(OR(N115="",N115&lt;=0),0,(O115/N115)*(IF(OR(N115="",N115&lt;=0),0,IF((YEAR(D115)+2)&lt;YEAR(E115),0,IF((YEAR(D115)+2)&gt;=YEAR(E115)+N115,0,IF((YEAR(D115)+2)=YEAR(E115),(12-MONTH(E115)+1)/12,1))))))))*TaxRate,0))-IF(2=0,O115,0))</f>
        <v/>
      </c>
      <c r="V115" s="29">
        <f>IF(A115="","",((K115)*(IF(M115="",L115,IFERROR(IF(INDEX(Variablen!$I:$AT, MATCH(M115, Variablen!$A:$A, 0), MATCH((YEAR(D115)+3), Variablen!$I$3:$AT$3, 0))="",L115,INDEX(Variablen!$I:$AT, MATCH(M115, Variablen!$A:$A, 0), MATCH((YEAR(D115)+3), Variablen!$I$3:$AT$3, 0))),L115)))*(IF((YEAR(D115)+3)&lt;YEAR(E115),0,IF((YEAR(D115)+3)&gt;YEAR(E115),1,(12-MONTH(E115)+1)/12))) + (Q115)*(IF((YEAR(D115)+3)&lt;YEAR(E115),0,IF((YEAR(D115)+3)&gt;YEAR(E115),1,(12-MONTH(E115)+1)/12))))-((P115)*(IF((YEAR(D115)+3)&lt;YEAR(E115),0,IF((YEAR(D115)+3)&gt;YEAR(E115),1,(12-MONTH(E115)+1)/12))) + (R115)*(IF((YEAR(D115)+3)&lt;YEAR(E115),0,IF((YEAR(D115)+3)&gt;YEAR(E115),1,(12-MONTH(E115)+1)/12))))-(IF((((K115)*(IF(M115="",L115,IFERROR(IF(INDEX(Variablen!$I:$AT, MATCH(M115, Variablen!$A:$A, 0), MATCH((YEAR(D115)+3), Variablen!$I$3:$AT$3, 0))="",L115,INDEX(Variablen!$I:$AT, MATCH(M115, Variablen!$A:$A, 0), MATCH((YEAR(D115)+3), Variablen!$I$3:$AT$3, 0))),L115)))*(IF((YEAR(D115)+3)&lt;YEAR(E115),0,IF((YEAR(D115)+3)&gt;YEAR(E115),1,(12-MONTH(E115)+1)/12))) + (Q115)*(IF((YEAR(D115)+3)&lt;YEAR(E115),0,IF((YEAR(D115)+3)&gt;YEAR(E115),1,(12-MONTH(E115)+1)/12))))-((P115)*(IF((YEAR(D115)+3)&lt;YEAR(E115),0,IF((YEAR(D115)+3)&gt;YEAR(E115),1,(12-MONTH(E115)+1)/12))) + (R115)*(IF((YEAR(D115)+3)&lt;YEAR(E115),0,IF((YEAR(D115)+3)&gt;YEAR(E115),1,(12-MONTH(E115)+1)/12))))-(IF(OR(N115="",N115&lt;=0),0,(O115/N115)*(IF(OR(N115="",N115&lt;=0),0,IF((YEAR(D115)+3)&lt;YEAR(E115),0,IF((YEAR(D115)+3)&gt;=YEAR(E115)+N115,0,IF((YEAR(D115)+3)=YEAR(E115),(12-MONTH(E115)+1)/12,1))))))))&gt;0,(((K115)*(IF(M115="",L115,IFERROR(IF(INDEX(Variablen!$I:$AT, MATCH(M115, Variablen!$A:$A, 0), MATCH((YEAR(D115)+3), Variablen!$I$3:$AT$3, 0))="",L115,INDEX(Variablen!$I:$AT, MATCH(M115, Variablen!$A:$A, 0), MATCH((YEAR(D115)+3), Variablen!$I$3:$AT$3, 0))),L115)))*(IF((YEAR(D115)+3)&lt;YEAR(E115),0,IF((YEAR(D115)+3)&gt;YEAR(E115),1,(12-MONTH(E115)+1)/12))) + (Q115)*(IF((YEAR(D115)+3)&lt;YEAR(E115),0,IF((YEAR(D115)+3)&gt;YEAR(E115),1,(12-MONTH(E115)+1)/12))))-((P115)*(IF((YEAR(D115)+3)&lt;YEAR(E115),0,IF((YEAR(D115)+3)&gt;YEAR(E115),1,(12-MONTH(E115)+1)/12))) + (R115)*(IF((YEAR(D115)+3)&lt;YEAR(E115),0,IF((YEAR(D115)+3)&gt;YEAR(E115),1,(12-MONTH(E115)+1)/12))))-(IF(OR(N115="",N115&lt;=0),0,(O115/N115)*(IF(OR(N115="",N115&lt;=0),0,IF((YEAR(D115)+3)&lt;YEAR(E115),0,IF((YEAR(D115)+3)&gt;=YEAR(E115)+N115,0,IF((YEAR(D115)+3)=YEAR(E115),(12-MONTH(E115)+1)/12,1))))))))*TaxRate,0))-IF(3=0,O115,0))</f>
        <v/>
      </c>
      <c r="W115" s="29">
        <f>IF(A115="","",((K115)*(IF(M115="",L115,IFERROR(IF(INDEX(Variablen!$I:$AT, MATCH(M115, Variablen!$A:$A, 0), MATCH((YEAR(D115)+4), Variablen!$I$3:$AT$3, 0))="",L115,INDEX(Variablen!$I:$AT, MATCH(M115, Variablen!$A:$A, 0), MATCH((YEAR(D115)+4), Variablen!$I$3:$AT$3, 0))),L115)))*(IF((YEAR(D115)+4)&lt;YEAR(E115),0,IF((YEAR(D115)+4)&gt;YEAR(E115),1,(12-MONTH(E115)+1)/12))) + (Q115)*(IF((YEAR(D115)+4)&lt;YEAR(E115),0,IF((YEAR(D115)+4)&gt;YEAR(E115),1,(12-MONTH(E115)+1)/12))))-((P115)*(IF((YEAR(D115)+4)&lt;YEAR(E115),0,IF((YEAR(D115)+4)&gt;YEAR(E115),1,(12-MONTH(E115)+1)/12))) + (R115)*(IF((YEAR(D115)+4)&lt;YEAR(E115),0,IF((YEAR(D115)+4)&gt;YEAR(E115),1,(12-MONTH(E115)+1)/12))))-(IF((((K115)*(IF(M115="",L115,IFERROR(IF(INDEX(Variablen!$I:$AT, MATCH(M115, Variablen!$A:$A, 0), MATCH((YEAR(D115)+4), Variablen!$I$3:$AT$3, 0))="",L115,INDEX(Variablen!$I:$AT, MATCH(M115, Variablen!$A:$A, 0), MATCH((YEAR(D115)+4), Variablen!$I$3:$AT$3, 0))),L115)))*(IF((YEAR(D115)+4)&lt;YEAR(E115),0,IF((YEAR(D115)+4)&gt;YEAR(E115),1,(12-MONTH(E115)+1)/12))) + (Q115)*(IF((YEAR(D115)+4)&lt;YEAR(E115),0,IF((YEAR(D115)+4)&gt;YEAR(E115),1,(12-MONTH(E115)+1)/12))))-((P115)*(IF((YEAR(D115)+4)&lt;YEAR(E115),0,IF((YEAR(D115)+4)&gt;YEAR(E115),1,(12-MONTH(E115)+1)/12))) + (R115)*(IF((YEAR(D115)+4)&lt;YEAR(E115),0,IF((YEAR(D115)+4)&gt;YEAR(E115),1,(12-MONTH(E115)+1)/12))))-(IF(OR(N115="",N115&lt;=0),0,(O115/N115)*(IF(OR(N115="",N115&lt;=0),0,IF((YEAR(D115)+4)&lt;YEAR(E115),0,IF((YEAR(D115)+4)&gt;=YEAR(E115)+N115,0,IF((YEAR(D115)+4)=YEAR(E115),(12-MONTH(E115)+1)/12,1))))))))&gt;0,(((K115)*(IF(M115="",L115,IFERROR(IF(INDEX(Variablen!$I:$AT, MATCH(M115, Variablen!$A:$A, 0), MATCH((YEAR(D115)+4), Variablen!$I$3:$AT$3, 0))="",L115,INDEX(Variablen!$I:$AT, MATCH(M115, Variablen!$A:$A, 0), MATCH((YEAR(D115)+4), Variablen!$I$3:$AT$3, 0))),L115)))*(IF((YEAR(D115)+4)&lt;YEAR(E115),0,IF((YEAR(D115)+4)&gt;YEAR(E115),1,(12-MONTH(E115)+1)/12))) + (Q115)*(IF((YEAR(D115)+4)&lt;YEAR(E115),0,IF((YEAR(D115)+4)&gt;YEAR(E115),1,(12-MONTH(E115)+1)/12))))-((P115)*(IF((YEAR(D115)+4)&lt;YEAR(E115),0,IF((YEAR(D115)+4)&gt;YEAR(E115),1,(12-MONTH(E115)+1)/12))) + (R115)*(IF((YEAR(D115)+4)&lt;YEAR(E115),0,IF((YEAR(D115)+4)&gt;YEAR(E115),1,(12-MONTH(E115)+1)/12))))-(IF(OR(N115="",N115&lt;=0),0,(O115/N115)*(IF(OR(N115="",N115&lt;=0),0,IF((YEAR(D115)+4)&lt;YEAR(E115),0,IF((YEAR(D115)+4)&gt;=YEAR(E115)+N115,0,IF((YEAR(D115)+4)=YEAR(E115),(12-MONTH(E115)+1)/12,1))))))))*TaxRate,0))-IF(4=0,O115,0))</f>
        <v/>
      </c>
      <c r="X115" s="29">
        <f>IF(A115="","",((K115)*(IF(M115="",L115,IFERROR(IF(INDEX(Variablen!$I:$AT, MATCH(M115, Variablen!$A:$A, 0), MATCH((YEAR(D115)+5), Variablen!$I$3:$AT$3, 0))="",L115,INDEX(Variablen!$I:$AT, MATCH(M115, Variablen!$A:$A, 0), MATCH((YEAR(D115)+5), Variablen!$I$3:$AT$3, 0))),L115)))*(IF((YEAR(D115)+5)&lt;YEAR(E115),0,IF((YEAR(D115)+5)&gt;YEAR(E115),1,(12-MONTH(E115)+1)/12))) + (Q115)*(IF((YEAR(D115)+5)&lt;YEAR(E115),0,IF((YEAR(D115)+5)&gt;YEAR(E115),1,(12-MONTH(E115)+1)/12))))-((P115)*(IF((YEAR(D115)+5)&lt;YEAR(E115),0,IF((YEAR(D115)+5)&gt;YEAR(E115),1,(12-MONTH(E115)+1)/12))) + (R115)*(IF((YEAR(D115)+5)&lt;YEAR(E115),0,IF((YEAR(D115)+5)&gt;YEAR(E115),1,(12-MONTH(E115)+1)/12))))-(IF((((K115)*(IF(M115="",L115,IFERROR(IF(INDEX(Variablen!$I:$AT, MATCH(M115, Variablen!$A:$A, 0), MATCH((YEAR(D115)+5), Variablen!$I$3:$AT$3, 0))="",L115,INDEX(Variablen!$I:$AT, MATCH(M115, Variablen!$A:$A, 0), MATCH((YEAR(D115)+5), Variablen!$I$3:$AT$3, 0))),L115)))*(IF((YEAR(D115)+5)&lt;YEAR(E115),0,IF((YEAR(D115)+5)&gt;YEAR(E115),1,(12-MONTH(E115)+1)/12))) + (Q115)*(IF((YEAR(D115)+5)&lt;YEAR(E115),0,IF((YEAR(D115)+5)&gt;YEAR(E115),1,(12-MONTH(E115)+1)/12))))-((P115)*(IF((YEAR(D115)+5)&lt;YEAR(E115),0,IF((YEAR(D115)+5)&gt;YEAR(E115),1,(12-MONTH(E115)+1)/12))) + (R115)*(IF((YEAR(D115)+5)&lt;YEAR(E115),0,IF((YEAR(D115)+5)&gt;YEAR(E115),1,(12-MONTH(E115)+1)/12))))-(IF(OR(N115="",N115&lt;=0),0,(O115/N115)*(IF(OR(N115="",N115&lt;=0),0,IF((YEAR(D115)+5)&lt;YEAR(E115),0,IF((YEAR(D115)+5)&gt;=YEAR(E115)+N115,0,IF((YEAR(D115)+5)=YEAR(E115),(12-MONTH(E115)+1)/12,1))))))))&gt;0,(((K115)*(IF(M115="",L115,IFERROR(IF(INDEX(Variablen!$I:$AT, MATCH(M115, Variablen!$A:$A, 0), MATCH((YEAR(D115)+5), Variablen!$I$3:$AT$3, 0))="",L115,INDEX(Variablen!$I:$AT, MATCH(M115, Variablen!$A:$A, 0), MATCH((YEAR(D115)+5), Variablen!$I$3:$AT$3, 0))),L115)))*(IF((YEAR(D115)+5)&lt;YEAR(E115),0,IF((YEAR(D115)+5)&gt;YEAR(E115),1,(12-MONTH(E115)+1)/12))) + (Q115)*(IF((YEAR(D115)+5)&lt;YEAR(E115),0,IF((YEAR(D115)+5)&gt;YEAR(E115),1,(12-MONTH(E115)+1)/12))))-((P115)*(IF((YEAR(D115)+5)&lt;YEAR(E115),0,IF((YEAR(D115)+5)&gt;YEAR(E115),1,(12-MONTH(E115)+1)/12))) + (R115)*(IF((YEAR(D115)+5)&lt;YEAR(E115),0,IF((YEAR(D115)+5)&gt;YEAR(E115),1,(12-MONTH(E115)+1)/12))))-(IF(OR(N115="",N115&lt;=0),0,(O115/N115)*(IF(OR(N115="",N115&lt;=0),0,IF((YEAR(D115)+5)&lt;YEAR(E115),0,IF((YEAR(D115)+5)&gt;=YEAR(E115)+N115,0,IF((YEAR(D115)+5)=YEAR(E115),(12-MONTH(E115)+1)/12,1))))))))*TaxRate,0))-IF(5=0,O115,0))</f>
        <v/>
      </c>
      <c r="Y115" s="29">
        <f>IF(A115="","",((K115)*(IF(M115="",L115,IFERROR(IF(INDEX(Variablen!$I:$AT, MATCH(M115, Variablen!$A:$A, 0), MATCH((YEAR(D115)+6), Variablen!$I$3:$AT$3, 0))="",L115,INDEX(Variablen!$I:$AT, MATCH(M115, Variablen!$A:$A, 0), MATCH((YEAR(D115)+6), Variablen!$I$3:$AT$3, 0))),L115)))*(IF((YEAR(D115)+6)&lt;YEAR(E115),0,IF((YEAR(D115)+6)&gt;YEAR(E115),1,(12-MONTH(E115)+1)/12))) + (Q115)*(IF((YEAR(D115)+6)&lt;YEAR(E115),0,IF((YEAR(D115)+6)&gt;YEAR(E115),1,(12-MONTH(E115)+1)/12))))-((P115)*(IF((YEAR(D115)+6)&lt;YEAR(E115),0,IF((YEAR(D115)+6)&gt;YEAR(E115),1,(12-MONTH(E115)+1)/12))) + (R115)*(IF((YEAR(D115)+6)&lt;YEAR(E115),0,IF((YEAR(D115)+6)&gt;YEAR(E115),1,(12-MONTH(E115)+1)/12))))-(IF((((K115)*(IF(M115="",L115,IFERROR(IF(INDEX(Variablen!$I:$AT, MATCH(M115, Variablen!$A:$A, 0), MATCH((YEAR(D115)+6), Variablen!$I$3:$AT$3, 0))="",L115,INDEX(Variablen!$I:$AT, MATCH(M115, Variablen!$A:$A, 0), MATCH((YEAR(D115)+6), Variablen!$I$3:$AT$3, 0))),L115)))*(IF((YEAR(D115)+6)&lt;YEAR(E115),0,IF((YEAR(D115)+6)&gt;YEAR(E115),1,(12-MONTH(E115)+1)/12))) + (Q115)*(IF((YEAR(D115)+6)&lt;YEAR(E115),0,IF((YEAR(D115)+6)&gt;YEAR(E115),1,(12-MONTH(E115)+1)/12))))-((P115)*(IF((YEAR(D115)+6)&lt;YEAR(E115),0,IF((YEAR(D115)+6)&gt;YEAR(E115),1,(12-MONTH(E115)+1)/12))) + (R115)*(IF((YEAR(D115)+6)&lt;YEAR(E115),0,IF((YEAR(D115)+6)&gt;YEAR(E115),1,(12-MONTH(E115)+1)/12))))-(IF(OR(N115="",N115&lt;=0),0,(O115/N115)*(IF(OR(N115="",N115&lt;=0),0,IF((YEAR(D115)+6)&lt;YEAR(E115),0,IF((YEAR(D115)+6)&gt;=YEAR(E115)+N115,0,IF((YEAR(D115)+6)=YEAR(E115),(12-MONTH(E115)+1)/12,1))))))))&gt;0,(((K115)*(IF(M115="",L115,IFERROR(IF(INDEX(Variablen!$I:$AT, MATCH(M115, Variablen!$A:$A, 0), MATCH((YEAR(D115)+6), Variablen!$I$3:$AT$3, 0))="",L115,INDEX(Variablen!$I:$AT, MATCH(M115, Variablen!$A:$A, 0), MATCH((YEAR(D115)+6), Variablen!$I$3:$AT$3, 0))),L115)))*(IF((YEAR(D115)+6)&lt;YEAR(E115),0,IF((YEAR(D115)+6)&gt;YEAR(E115),1,(12-MONTH(E115)+1)/12))) + (Q115)*(IF((YEAR(D115)+6)&lt;YEAR(E115),0,IF((YEAR(D115)+6)&gt;YEAR(E115),1,(12-MONTH(E115)+1)/12))))-((P115)*(IF((YEAR(D115)+6)&lt;YEAR(E115),0,IF((YEAR(D115)+6)&gt;YEAR(E115),1,(12-MONTH(E115)+1)/12))) + (R115)*(IF((YEAR(D115)+6)&lt;YEAR(E115),0,IF((YEAR(D115)+6)&gt;YEAR(E115),1,(12-MONTH(E115)+1)/12))))-(IF(OR(N115="",N115&lt;=0),0,(O115/N115)*(IF(OR(N115="",N115&lt;=0),0,IF((YEAR(D115)+6)&lt;YEAR(E115),0,IF((YEAR(D115)+6)&gt;=YEAR(E115)+N115,0,IF((YEAR(D115)+6)=YEAR(E115),(12-MONTH(E115)+1)/12,1))))))))*TaxRate,0))-IF(6=0,O115,0))</f>
        <v/>
      </c>
      <c r="Z115" s="29">
        <f>IF(A115="","",((K115)*(IF(M115="",L115,IFERROR(IF(INDEX(Variablen!$I:$AT, MATCH(M115, Variablen!$A:$A, 0), MATCH((YEAR(D115)+7), Variablen!$I$3:$AT$3, 0))="",L115,INDEX(Variablen!$I:$AT, MATCH(M115, Variablen!$A:$A, 0), MATCH((YEAR(D115)+7), Variablen!$I$3:$AT$3, 0))),L115)))*(IF((YEAR(D115)+7)&lt;YEAR(E115),0,IF((YEAR(D115)+7)&gt;YEAR(E115),1,(12-MONTH(E115)+1)/12))) + (Q115)*(IF((YEAR(D115)+7)&lt;YEAR(E115),0,IF((YEAR(D115)+7)&gt;YEAR(E115),1,(12-MONTH(E115)+1)/12))))-((P115)*(IF((YEAR(D115)+7)&lt;YEAR(E115),0,IF((YEAR(D115)+7)&gt;YEAR(E115),1,(12-MONTH(E115)+1)/12))) + (R115)*(IF((YEAR(D115)+7)&lt;YEAR(E115),0,IF((YEAR(D115)+7)&gt;YEAR(E115),1,(12-MONTH(E115)+1)/12))))-(IF((((K115)*(IF(M115="",L115,IFERROR(IF(INDEX(Variablen!$I:$AT, MATCH(M115, Variablen!$A:$A, 0), MATCH((YEAR(D115)+7), Variablen!$I$3:$AT$3, 0))="",L115,INDEX(Variablen!$I:$AT, MATCH(M115, Variablen!$A:$A, 0), MATCH((YEAR(D115)+7), Variablen!$I$3:$AT$3, 0))),L115)))*(IF((YEAR(D115)+7)&lt;YEAR(E115),0,IF((YEAR(D115)+7)&gt;YEAR(E115),1,(12-MONTH(E115)+1)/12))) + (Q115)*(IF((YEAR(D115)+7)&lt;YEAR(E115),0,IF((YEAR(D115)+7)&gt;YEAR(E115),1,(12-MONTH(E115)+1)/12))))-((P115)*(IF((YEAR(D115)+7)&lt;YEAR(E115),0,IF((YEAR(D115)+7)&gt;YEAR(E115),1,(12-MONTH(E115)+1)/12))) + (R115)*(IF((YEAR(D115)+7)&lt;YEAR(E115),0,IF((YEAR(D115)+7)&gt;YEAR(E115),1,(12-MONTH(E115)+1)/12))))-(IF(OR(N115="",N115&lt;=0),0,(O115/N115)*(IF(OR(N115="",N115&lt;=0),0,IF((YEAR(D115)+7)&lt;YEAR(E115),0,IF((YEAR(D115)+7)&gt;=YEAR(E115)+N115,0,IF((YEAR(D115)+7)=YEAR(E115),(12-MONTH(E115)+1)/12,1))))))))&gt;0,(((K115)*(IF(M115="",L115,IFERROR(IF(INDEX(Variablen!$I:$AT, MATCH(M115, Variablen!$A:$A, 0), MATCH((YEAR(D115)+7), Variablen!$I$3:$AT$3, 0))="",L115,INDEX(Variablen!$I:$AT, MATCH(M115, Variablen!$A:$A, 0), MATCH((YEAR(D115)+7), Variablen!$I$3:$AT$3, 0))),L115)))*(IF((YEAR(D115)+7)&lt;YEAR(E115),0,IF((YEAR(D115)+7)&gt;YEAR(E115),1,(12-MONTH(E115)+1)/12))) + (Q115)*(IF((YEAR(D115)+7)&lt;YEAR(E115),0,IF((YEAR(D115)+7)&gt;YEAR(E115),1,(12-MONTH(E115)+1)/12))))-((P115)*(IF((YEAR(D115)+7)&lt;YEAR(E115),0,IF((YEAR(D115)+7)&gt;YEAR(E115),1,(12-MONTH(E115)+1)/12))) + (R115)*(IF((YEAR(D115)+7)&lt;YEAR(E115),0,IF((YEAR(D115)+7)&gt;YEAR(E115),1,(12-MONTH(E115)+1)/12))))-(IF(OR(N115="",N115&lt;=0),0,(O115/N115)*(IF(OR(N115="",N115&lt;=0),0,IF((YEAR(D115)+7)&lt;YEAR(E115),0,IF((YEAR(D115)+7)&gt;=YEAR(E115)+N115,0,IF((YEAR(D115)+7)=YEAR(E115),(12-MONTH(E115)+1)/12,1))))))))*TaxRate,0))-IF(7=0,O115,0))</f>
        <v/>
      </c>
      <c r="AA115" s="29">
        <f>IF(A115="","",((K115)*(IF(M115="",L115,IFERROR(IF(INDEX(Variablen!$I:$AT, MATCH(M115, Variablen!$A:$A, 0), MATCH((YEAR(D115)+8), Variablen!$I$3:$AT$3, 0))="",L115,INDEX(Variablen!$I:$AT, MATCH(M115, Variablen!$A:$A, 0), MATCH((YEAR(D115)+8), Variablen!$I$3:$AT$3, 0))),L115)))*(IF((YEAR(D115)+8)&lt;YEAR(E115),0,IF((YEAR(D115)+8)&gt;YEAR(E115),1,(12-MONTH(E115)+1)/12))) + (Q115)*(IF((YEAR(D115)+8)&lt;YEAR(E115),0,IF((YEAR(D115)+8)&gt;YEAR(E115),1,(12-MONTH(E115)+1)/12))))-((P115)*(IF((YEAR(D115)+8)&lt;YEAR(E115),0,IF((YEAR(D115)+8)&gt;YEAR(E115),1,(12-MONTH(E115)+1)/12))) + (R115)*(IF((YEAR(D115)+8)&lt;YEAR(E115),0,IF((YEAR(D115)+8)&gt;YEAR(E115),1,(12-MONTH(E115)+1)/12))))-(IF((((K115)*(IF(M115="",L115,IFERROR(IF(INDEX(Variablen!$I:$AT, MATCH(M115, Variablen!$A:$A, 0), MATCH((YEAR(D115)+8), Variablen!$I$3:$AT$3, 0))="",L115,INDEX(Variablen!$I:$AT, MATCH(M115, Variablen!$A:$A, 0), MATCH((YEAR(D115)+8), Variablen!$I$3:$AT$3, 0))),L115)))*(IF((YEAR(D115)+8)&lt;YEAR(E115),0,IF((YEAR(D115)+8)&gt;YEAR(E115),1,(12-MONTH(E115)+1)/12))) + (Q115)*(IF((YEAR(D115)+8)&lt;YEAR(E115),0,IF((YEAR(D115)+8)&gt;YEAR(E115),1,(12-MONTH(E115)+1)/12))))-((P115)*(IF((YEAR(D115)+8)&lt;YEAR(E115),0,IF((YEAR(D115)+8)&gt;YEAR(E115),1,(12-MONTH(E115)+1)/12))) + (R115)*(IF((YEAR(D115)+8)&lt;YEAR(E115),0,IF((YEAR(D115)+8)&gt;YEAR(E115),1,(12-MONTH(E115)+1)/12))))-(IF(OR(N115="",N115&lt;=0),0,(O115/N115)*(IF(OR(N115="",N115&lt;=0),0,IF((YEAR(D115)+8)&lt;YEAR(E115),0,IF((YEAR(D115)+8)&gt;=YEAR(E115)+N115,0,IF((YEAR(D115)+8)=YEAR(E115),(12-MONTH(E115)+1)/12,1))))))))&gt;0,(((K115)*(IF(M115="",L115,IFERROR(IF(INDEX(Variablen!$I:$AT, MATCH(M115, Variablen!$A:$A, 0), MATCH((YEAR(D115)+8), Variablen!$I$3:$AT$3, 0))="",L115,INDEX(Variablen!$I:$AT, MATCH(M115, Variablen!$A:$A, 0), MATCH((YEAR(D115)+8), Variablen!$I$3:$AT$3, 0))),L115)))*(IF((YEAR(D115)+8)&lt;YEAR(E115),0,IF((YEAR(D115)+8)&gt;YEAR(E115),1,(12-MONTH(E115)+1)/12))) + (Q115)*(IF((YEAR(D115)+8)&lt;YEAR(E115),0,IF((YEAR(D115)+8)&gt;YEAR(E115),1,(12-MONTH(E115)+1)/12))))-((P115)*(IF((YEAR(D115)+8)&lt;YEAR(E115),0,IF((YEAR(D115)+8)&gt;YEAR(E115),1,(12-MONTH(E115)+1)/12))) + (R115)*(IF((YEAR(D115)+8)&lt;YEAR(E115),0,IF((YEAR(D115)+8)&gt;YEAR(E115),1,(12-MONTH(E115)+1)/12))))-(IF(OR(N115="",N115&lt;=0),0,(O115/N115)*(IF(OR(N115="",N115&lt;=0),0,IF((YEAR(D115)+8)&lt;YEAR(E115),0,IF((YEAR(D115)+8)&gt;=YEAR(E115)+N115,0,IF((YEAR(D115)+8)=YEAR(E115),(12-MONTH(E115)+1)/12,1))))))))*TaxRate,0))-IF(8=0,O115,0))</f>
        <v/>
      </c>
      <c r="AB115" s="29">
        <f>IF(A115="","",((K115)*(IF(M115="",L115,IFERROR(IF(INDEX(Variablen!$I:$AT, MATCH(M115, Variablen!$A:$A, 0), MATCH((YEAR(D115)+9), Variablen!$I$3:$AT$3, 0))="",L115,INDEX(Variablen!$I:$AT, MATCH(M115, Variablen!$A:$A, 0), MATCH((YEAR(D115)+9), Variablen!$I$3:$AT$3, 0))),L115)))*(IF((YEAR(D115)+9)&lt;YEAR(E115),0,IF((YEAR(D115)+9)&gt;YEAR(E115),1,(12-MONTH(E115)+1)/12))) + (Q115)*(IF((YEAR(D115)+9)&lt;YEAR(E115),0,IF((YEAR(D115)+9)&gt;YEAR(E115),1,(12-MONTH(E115)+1)/12))))-((P115)*(IF((YEAR(D115)+9)&lt;YEAR(E115),0,IF((YEAR(D115)+9)&gt;YEAR(E115),1,(12-MONTH(E115)+1)/12))) + (R115)*(IF((YEAR(D115)+9)&lt;YEAR(E115),0,IF((YEAR(D115)+9)&gt;YEAR(E115),1,(12-MONTH(E115)+1)/12))))-(IF((((K115)*(IF(M115="",L115,IFERROR(IF(INDEX(Variablen!$I:$AT, MATCH(M115, Variablen!$A:$A, 0), MATCH((YEAR(D115)+9), Variablen!$I$3:$AT$3, 0))="",L115,INDEX(Variablen!$I:$AT, MATCH(M115, Variablen!$A:$A, 0), MATCH((YEAR(D115)+9), Variablen!$I$3:$AT$3, 0))),L115)))*(IF((YEAR(D115)+9)&lt;YEAR(E115),0,IF((YEAR(D115)+9)&gt;YEAR(E115),1,(12-MONTH(E115)+1)/12))) + (Q115)*(IF((YEAR(D115)+9)&lt;YEAR(E115),0,IF((YEAR(D115)+9)&gt;YEAR(E115),1,(12-MONTH(E115)+1)/12))))-((P115)*(IF((YEAR(D115)+9)&lt;YEAR(E115),0,IF((YEAR(D115)+9)&gt;YEAR(E115),1,(12-MONTH(E115)+1)/12))) + (R115)*(IF((YEAR(D115)+9)&lt;YEAR(E115),0,IF((YEAR(D115)+9)&gt;YEAR(E115),1,(12-MONTH(E115)+1)/12))))-(IF(OR(N115="",N115&lt;=0),0,(O115/N115)*(IF(OR(N115="",N115&lt;=0),0,IF((YEAR(D115)+9)&lt;YEAR(E115),0,IF((YEAR(D115)+9)&gt;=YEAR(E115)+N115,0,IF((YEAR(D115)+9)=YEAR(E115),(12-MONTH(E115)+1)/12,1))))))))&gt;0,(((K115)*(IF(M115="",L115,IFERROR(IF(INDEX(Variablen!$I:$AT, MATCH(M115, Variablen!$A:$A, 0), MATCH((YEAR(D115)+9), Variablen!$I$3:$AT$3, 0))="",L115,INDEX(Variablen!$I:$AT, MATCH(M115, Variablen!$A:$A, 0), MATCH((YEAR(D115)+9), Variablen!$I$3:$AT$3, 0))),L115)))*(IF((YEAR(D115)+9)&lt;YEAR(E115),0,IF((YEAR(D115)+9)&gt;YEAR(E115),1,(12-MONTH(E115)+1)/12))) + (Q115)*(IF((YEAR(D115)+9)&lt;YEAR(E115),0,IF((YEAR(D115)+9)&gt;YEAR(E115),1,(12-MONTH(E115)+1)/12))))-((P115)*(IF((YEAR(D115)+9)&lt;YEAR(E115),0,IF((YEAR(D115)+9)&gt;YEAR(E115),1,(12-MONTH(E115)+1)/12))) + (R115)*(IF((YEAR(D115)+9)&lt;YEAR(E115),0,IF((YEAR(D115)+9)&gt;YEAR(E115),1,(12-MONTH(E115)+1)/12))))-(IF(OR(N115="",N115&lt;=0),0,(O115/N115)*(IF(OR(N115="",N115&lt;=0),0,IF((YEAR(D115)+9)&lt;YEAR(E115),0,IF((YEAR(D115)+9)&gt;=YEAR(E115)+N115,0,IF((YEAR(D115)+9)=YEAR(E115),(12-MONTH(E115)+1)/12,1))))))))*TaxRate,0))-IF(9=0,O115,0))</f>
        <v/>
      </c>
      <c r="AC115" s="29">
        <f>IF(A115="","",((K115)*(IF(M115="",L115,IFERROR(IF(INDEX(Variablen!$I:$AT, MATCH(M115, Variablen!$A:$A, 0), MATCH((YEAR(D115)+10), Variablen!$I$3:$AT$3, 0))="",L115,INDEX(Variablen!$I:$AT, MATCH(M115, Variablen!$A:$A, 0), MATCH((YEAR(D115)+10), Variablen!$I$3:$AT$3, 0))),L115)))*(IF((YEAR(D115)+10)&lt;YEAR(E115),0,IF((YEAR(D115)+10)&gt;YEAR(E115),1,(12-MONTH(E115)+1)/12))) + (Q115)*(IF((YEAR(D115)+10)&lt;YEAR(E115),0,IF((YEAR(D115)+10)&gt;YEAR(E115),1,(12-MONTH(E115)+1)/12))))-((P115)*(IF((YEAR(D115)+10)&lt;YEAR(E115),0,IF((YEAR(D115)+10)&gt;YEAR(E115),1,(12-MONTH(E115)+1)/12))) + (R115)*(IF((YEAR(D115)+10)&lt;YEAR(E115),0,IF((YEAR(D115)+10)&gt;YEAR(E115),1,(12-MONTH(E115)+1)/12))))-(IF((((K115)*(IF(M115="",L115,IFERROR(IF(INDEX(Variablen!$I:$AT, MATCH(M115, Variablen!$A:$A, 0), MATCH((YEAR(D115)+10), Variablen!$I$3:$AT$3, 0))="",L115,INDEX(Variablen!$I:$AT, MATCH(M115, Variablen!$A:$A, 0), MATCH((YEAR(D115)+10), Variablen!$I$3:$AT$3, 0))),L115)))*(IF((YEAR(D115)+10)&lt;YEAR(E115),0,IF((YEAR(D115)+10)&gt;YEAR(E115),1,(12-MONTH(E115)+1)/12))) + (Q115)*(IF((YEAR(D115)+10)&lt;YEAR(E115),0,IF((YEAR(D115)+10)&gt;YEAR(E115),1,(12-MONTH(E115)+1)/12))))-((P115)*(IF((YEAR(D115)+10)&lt;YEAR(E115),0,IF((YEAR(D115)+10)&gt;YEAR(E115),1,(12-MONTH(E115)+1)/12))) + (R115)*(IF((YEAR(D115)+10)&lt;YEAR(E115),0,IF((YEAR(D115)+10)&gt;YEAR(E115),1,(12-MONTH(E115)+1)/12))))-(IF(OR(N115="",N115&lt;=0),0,(O115/N115)*(IF(OR(N115="",N115&lt;=0),0,IF((YEAR(D115)+10)&lt;YEAR(E115),0,IF((YEAR(D115)+10)&gt;=YEAR(E115)+N115,0,IF((YEAR(D115)+10)=YEAR(E115),(12-MONTH(E115)+1)/12,1))))))))&gt;0,(((K115)*(IF(M115="",L115,IFERROR(IF(INDEX(Variablen!$I:$AT, MATCH(M115, Variablen!$A:$A, 0), MATCH((YEAR(D115)+10), Variablen!$I$3:$AT$3, 0))="",L115,INDEX(Variablen!$I:$AT, MATCH(M115, Variablen!$A:$A, 0), MATCH((YEAR(D115)+10), Variablen!$I$3:$AT$3, 0))),L115)))*(IF((YEAR(D115)+10)&lt;YEAR(E115),0,IF((YEAR(D115)+10)&gt;YEAR(E115),1,(12-MONTH(E115)+1)/12))) + (Q115)*(IF((YEAR(D115)+10)&lt;YEAR(E115),0,IF((YEAR(D115)+10)&gt;YEAR(E115),1,(12-MONTH(E115)+1)/12))))-((P115)*(IF((YEAR(D115)+10)&lt;YEAR(E115),0,IF((YEAR(D115)+10)&gt;YEAR(E115),1,(12-MONTH(E115)+1)/12))) + (R115)*(IF((YEAR(D115)+10)&lt;YEAR(E115),0,IF((YEAR(D115)+10)&gt;YEAR(E115),1,(12-MONTH(E115)+1)/12))))-(IF(OR(N115="",N115&lt;=0),0,(O115/N115)*(IF(OR(N115="",N115&lt;=0),0,IF((YEAR(D115)+10)&lt;YEAR(E115),0,IF((YEAR(D115)+10)&gt;=YEAR(E115)+N115,0,IF((YEAR(D115)+10)=YEAR(E115),(12-MONTH(E115)+1)/12,1))))))))*TaxRate,0))-IF(10=0,O115,0))</f>
        <v/>
      </c>
      <c r="AD115" s="29">
        <f>IF(A115="","",((K115)*(IF(M115="",L115,IFERROR(IF(INDEX(Variablen!$I:$AT, MATCH(M115, Variablen!$A:$A, 0), MATCH((YEAR(D115)+11), Variablen!$I$3:$AT$3, 0))="",L115,INDEX(Variablen!$I:$AT, MATCH(M115, Variablen!$A:$A, 0), MATCH((YEAR(D115)+11), Variablen!$I$3:$AT$3, 0))),L115)))*(IF((YEAR(D115)+11)&lt;YEAR(E115),0,IF((YEAR(D115)+11)&gt;YEAR(E115),1,(12-MONTH(E115)+1)/12))) + (Q115)*(IF((YEAR(D115)+11)&lt;YEAR(E115),0,IF((YEAR(D115)+11)&gt;YEAR(E115),1,(12-MONTH(E115)+1)/12))))-((P115)*(IF((YEAR(D115)+11)&lt;YEAR(E115),0,IF((YEAR(D115)+11)&gt;YEAR(E115),1,(12-MONTH(E115)+1)/12))) + (R115)*(IF((YEAR(D115)+11)&lt;YEAR(E115),0,IF((YEAR(D115)+11)&gt;YEAR(E115),1,(12-MONTH(E115)+1)/12))))-(IF((((K115)*(IF(M115="",L115,IFERROR(IF(INDEX(Variablen!$I:$AT, MATCH(M115, Variablen!$A:$A, 0), MATCH((YEAR(D115)+11), Variablen!$I$3:$AT$3, 0))="",L115,INDEX(Variablen!$I:$AT, MATCH(M115, Variablen!$A:$A, 0), MATCH((YEAR(D115)+11), Variablen!$I$3:$AT$3, 0))),L115)))*(IF((YEAR(D115)+11)&lt;YEAR(E115),0,IF((YEAR(D115)+11)&gt;YEAR(E115),1,(12-MONTH(E115)+1)/12))) + (Q115)*(IF((YEAR(D115)+11)&lt;YEAR(E115),0,IF((YEAR(D115)+11)&gt;YEAR(E115),1,(12-MONTH(E115)+1)/12))))-((P115)*(IF((YEAR(D115)+11)&lt;YEAR(E115),0,IF((YEAR(D115)+11)&gt;YEAR(E115),1,(12-MONTH(E115)+1)/12))) + (R115)*(IF((YEAR(D115)+11)&lt;YEAR(E115),0,IF((YEAR(D115)+11)&gt;YEAR(E115),1,(12-MONTH(E115)+1)/12))))-(IF(OR(N115="",N115&lt;=0),0,(O115/N115)*(IF(OR(N115="",N115&lt;=0),0,IF((YEAR(D115)+11)&lt;YEAR(E115),0,IF((YEAR(D115)+11)&gt;=YEAR(E115)+N115,0,IF((YEAR(D115)+11)=YEAR(E115),(12-MONTH(E115)+1)/12,1))))))))&gt;0,(((K115)*(IF(M115="",L115,IFERROR(IF(INDEX(Variablen!$I:$AT, MATCH(M115, Variablen!$A:$A, 0), MATCH((YEAR(D115)+11), Variablen!$I$3:$AT$3, 0))="",L115,INDEX(Variablen!$I:$AT, MATCH(M115, Variablen!$A:$A, 0), MATCH((YEAR(D115)+11), Variablen!$I$3:$AT$3, 0))),L115)))*(IF((YEAR(D115)+11)&lt;YEAR(E115),0,IF((YEAR(D115)+11)&gt;YEAR(E115),1,(12-MONTH(E115)+1)/12))) + (Q115)*(IF((YEAR(D115)+11)&lt;YEAR(E115),0,IF((YEAR(D115)+11)&gt;YEAR(E115),1,(12-MONTH(E115)+1)/12))))-((P115)*(IF((YEAR(D115)+11)&lt;YEAR(E115),0,IF((YEAR(D115)+11)&gt;YEAR(E115),1,(12-MONTH(E115)+1)/12))) + (R115)*(IF((YEAR(D115)+11)&lt;YEAR(E115),0,IF((YEAR(D115)+11)&gt;YEAR(E115),1,(12-MONTH(E115)+1)/12))))-(IF(OR(N115="",N115&lt;=0),0,(O115/N115)*(IF(OR(N115="",N115&lt;=0),0,IF((YEAR(D115)+11)&lt;YEAR(E115),0,IF((YEAR(D115)+11)&gt;=YEAR(E115)+N115,0,IF((YEAR(D115)+11)=YEAR(E115),(12-MONTH(E115)+1)/12,1))))))))*TaxRate,0))-IF(11=0,O115,0))</f>
        <v/>
      </c>
      <c r="AE115" s="29">
        <f>IF(A115="","",((K115)*(IF(M115="",L115,IFERROR(IF(INDEX(Variablen!$I:$AT, MATCH(M115, Variablen!$A:$A, 0), MATCH((YEAR(D115)+12), Variablen!$I$3:$AT$3, 0))="",L115,INDEX(Variablen!$I:$AT, MATCH(M115, Variablen!$A:$A, 0), MATCH((YEAR(D115)+12), Variablen!$I$3:$AT$3, 0))),L115)))*(IF((YEAR(D115)+12)&lt;YEAR(E115),0,IF((YEAR(D115)+12)&gt;YEAR(E115),1,(12-MONTH(E115)+1)/12))) + (Q115)*(IF((YEAR(D115)+12)&lt;YEAR(E115),0,IF((YEAR(D115)+12)&gt;YEAR(E115),1,(12-MONTH(E115)+1)/12))))-((P115)*(IF((YEAR(D115)+12)&lt;YEAR(E115),0,IF((YEAR(D115)+12)&gt;YEAR(E115),1,(12-MONTH(E115)+1)/12))) + (R115)*(IF((YEAR(D115)+12)&lt;YEAR(E115),0,IF((YEAR(D115)+12)&gt;YEAR(E115),1,(12-MONTH(E115)+1)/12))))-(IF((((K115)*(IF(M115="",L115,IFERROR(IF(INDEX(Variablen!$I:$AT, MATCH(M115, Variablen!$A:$A, 0), MATCH((YEAR(D115)+12), Variablen!$I$3:$AT$3, 0))="",L115,INDEX(Variablen!$I:$AT, MATCH(M115, Variablen!$A:$A, 0), MATCH((YEAR(D115)+12), Variablen!$I$3:$AT$3, 0))),L115)))*(IF((YEAR(D115)+12)&lt;YEAR(E115),0,IF((YEAR(D115)+12)&gt;YEAR(E115),1,(12-MONTH(E115)+1)/12))) + (Q115)*(IF((YEAR(D115)+12)&lt;YEAR(E115),0,IF((YEAR(D115)+12)&gt;YEAR(E115),1,(12-MONTH(E115)+1)/12))))-((P115)*(IF((YEAR(D115)+12)&lt;YEAR(E115),0,IF((YEAR(D115)+12)&gt;YEAR(E115),1,(12-MONTH(E115)+1)/12))) + (R115)*(IF((YEAR(D115)+12)&lt;YEAR(E115),0,IF((YEAR(D115)+12)&gt;YEAR(E115),1,(12-MONTH(E115)+1)/12))))-(IF(OR(N115="",N115&lt;=0),0,(O115/N115)*(IF(OR(N115="",N115&lt;=0),0,IF((YEAR(D115)+12)&lt;YEAR(E115),0,IF((YEAR(D115)+12)&gt;=YEAR(E115)+N115,0,IF((YEAR(D115)+12)=YEAR(E115),(12-MONTH(E115)+1)/12,1))))))))&gt;0,(((K115)*(IF(M115="",L115,IFERROR(IF(INDEX(Variablen!$I:$AT, MATCH(M115, Variablen!$A:$A, 0), MATCH((YEAR(D115)+12), Variablen!$I$3:$AT$3, 0))="",L115,INDEX(Variablen!$I:$AT, MATCH(M115, Variablen!$A:$A, 0), MATCH((YEAR(D115)+12), Variablen!$I$3:$AT$3, 0))),L115)))*(IF((YEAR(D115)+12)&lt;YEAR(E115),0,IF((YEAR(D115)+12)&gt;YEAR(E115),1,(12-MONTH(E115)+1)/12))) + (Q115)*(IF((YEAR(D115)+12)&lt;YEAR(E115),0,IF((YEAR(D115)+12)&gt;YEAR(E115),1,(12-MONTH(E115)+1)/12))))-((P115)*(IF((YEAR(D115)+12)&lt;YEAR(E115),0,IF((YEAR(D115)+12)&gt;YEAR(E115),1,(12-MONTH(E115)+1)/12))) + (R115)*(IF((YEAR(D115)+12)&lt;YEAR(E115),0,IF((YEAR(D115)+12)&gt;YEAR(E115),1,(12-MONTH(E115)+1)/12))))-(IF(OR(N115="",N115&lt;=0),0,(O115/N115)*(IF(OR(N115="",N115&lt;=0),0,IF((YEAR(D115)+12)&lt;YEAR(E115),0,IF((YEAR(D115)+12)&gt;=YEAR(E115)+N115,0,IF((YEAR(D115)+12)=YEAR(E115),(12-MONTH(E115)+1)/12,1))))))))*TaxRate,0))-IF(12=0,O115,0))</f>
        <v/>
      </c>
      <c r="AF115" s="29">
        <f>IF(A115="","",((K115)*(IF(M115="",L115,IFERROR(IF(INDEX(Variablen!$I:$AT, MATCH(M115, Variablen!$A:$A, 0), MATCH((YEAR(D115)+13), Variablen!$I$3:$AT$3, 0))="",L115,INDEX(Variablen!$I:$AT, MATCH(M115, Variablen!$A:$A, 0), MATCH((YEAR(D115)+13), Variablen!$I$3:$AT$3, 0))),L115)))*(IF((YEAR(D115)+13)&lt;YEAR(E115),0,IF((YEAR(D115)+13)&gt;YEAR(E115),1,(12-MONTH(E115)+1)/12))) + (Q115)*(IF((YEAR(D115)+13)&lt;YEAR(E115),0,IF((YEAR(D115)+13)&gt;YEAR(E115),1,(12-MONTH(E115)+1)/12))))-((P115)*(IF((YEAR(D115)+13)&lt;YEAR(E115),0,IF((YEAR(D115)+13)&gt;YEAR(E115),1,(12-MONTH(E115)+1)/12))) + (R115)*(IF((YEAR(D115)+13)&lt;YEAR(E115),0,IF((YEAR(D115)+13)&gt;YEAR(E115),1,(12-MONTH(E115)+1)/12))))-(IF((((K115)*(IF(M115="",L115,IFERROR(IF(INDEX(Variablen!$I:$AT, MATCH(M115, Variablen!$A:$A, 0), MATCH((YEAR(D115)+13), Variablen!$I$3:$AT$3, 0))="",L115,INDEX(Variablen!$I:$AT, MATCH(M115, Variablen!$A:$A, 0), MATCH((YEAR(D115)+13), Variablen!$I$3:$AT$3, 0))),L115)))*(IF((YEAR(D115)+13)&lt;YEAR(E115),0,IF((YEAR(D115)+13)&gt;YEAR(E115),1,(12-MONTH(E115)+1)/12))) + (Q115)*(IF((YEAR(D115)+13)&lt;YEAR(E115),0,IF((YEAR(D115)+13)&gt;YEAR(E115),1,(12-MONTH(E115)+1)/12))))-((P115)*(IF((YEAR(D115)+13)&lt;YEAR(E115),0,IF((YEAR(D115)+13)&gt;YEAR(E115),1,(12-MONTH(E115)+1)/12))) + (R115)*(IF((YEAR(D115)+13)&lt;YEAR(E115),0,IF((YEAR(D115)+13)&gt;YEAR(E115),1,(12-MONTH(E115)+1)/12))))-(IF(OR(N115="",N115&lt;=0),0,(O115/N115)*(IF(OR(N115="",N115&lt;=0),0,IF((YEAR(D115)+13)&lt;YEAR(E115),0,IF((YEAR(D115)+13)&gt;=YEAR(E115)+N115,0,IF((YEAR(D115)+13)=YEAR(E115),(12-MONTH(E115)+1)/12,1))))))))&gt;0,(((K115)*(IF(M115="",L115,IFERROR(IF(INDEX(Variablen!$I:$AT, MATCH(M115, Variablen!$A:$A, 0), MATCH((YEAR(D115)+13), Variablen!$I$3:$AT$3, 0))="",L115,INDEX(Variablen!$I:$AT, MATCH(M115, Variablen!$A:$A, 0), MATCH((YEAR(D115)+13), Variablen!$I$3:$AT$3, 0))),L115)))*(IF((YEAR(D115)+13)&lt;YEAR(E115),0,IF((YEAR(D115)+13)&gt;YEAR(E115),1,(12-MONTH(E115)+1)/12))) + (Q115)*(IF((YEAR(D115)+13)&lt;YEAR(E115),0,IF((YEAR(D115)+13)&gt;YEAR(E115),1,(12-MONTH(E115)+1)/12))))-((P115)*(IF((YEAR(D115)+13)&lt;YEAR(E115),0,IF((YEAR(D115)+13)&gt;YEAR(E115),1,(12-MONTH(E115)+1)/12))) + (R115)*(IF((YEAR(D115)+13)&lt;YEAR(E115),0,IF((YEAR(D115)+13)&gt;YEAR(E115),1,(12-MONTH(E115)+1)/12))))-(IF(OR(N115="",N115&lt;=0),0,(O115/N115)*(IF(OR(N115="",N115&lt;=0),0,IF((YEAR(D115)+13)&lt;YEAR(E115),0,IF((YEAR(D115)+13)&gt;=YEAR(E115)+N115,0,IF((YEAR(D115)+13)=YEAR(E115),(12-MONTH(E115)+1)/12,1))))))))*TaxRate,0))-IF(13=0,O115,0))</f>
        <v/>
      </c>
      <c r="AG115" s="29">
        <f>IF(A115="","",((K115)*(IF(M115="",L115,IFERROR(IF(INDEX(Variablen!$I:$AT, MATCH(M115, Variablen!$A:$A, 0), MATCH((YEAR(D115)+14), Variablen!$I$3:$AT$3, 0))="",L115,INDEX(Variablen!$I:$AT, MATCH(M115, Variablen!$A:$A, 0), MATCH((YEAR(D115)+14), Variablen!$I$3:$AT$3, 0))),L115)))*(IF((YEAR(D115)+14)&lt;YEAR(E115),0,IF((YEAR(D115)+14)&gt;YEAR(E115),1,(12-MONTH(E115)+1)/12))) + (Q115)*(IF((YEAR(D115)+14)&lt;YEAR(E115),0,IF((YEAR(D115)+14)&gt;YEAR(E115),1,(12-MONTH(E115)+1)/12))))-((P115)*(IF((YEAR(D115)+14)&lt;YEAR(E115),0,IF((YEAR(D115)+14)&gt;YEAR(E115),1,(12-MONTH(E115)+1)/12))) + (R115)*(IF((YEAR(D115)+14)&lt;YEAR(E115),0,IF((YEAR(D115)+14)&gt;YEAR(E115),1,(12-MONTH(E115)+1)/12))))-(IF((((K115)*(IF(M115="",L115,IFERROR(IF(INDEX(Variablen!$I:$AT, MATCH(M115, Variablen!$A:$A, 0), MATCH((YEAR(D115)+14), Variablen!$I$3:$AT$3, 0))="",L115,INDEX(Variablen!$I:$AT, MATCH(M115, Variablen!$A:$A, 0), MATCH((YEAR(D115)+14), Variablen!$I$3:$AT$3, 0))),L115)))*(IF((YEAR(D115)+14)&lt;YEAR(E115),0,IF((YEAR(D115)+14)&gt;YEAR(E115),1,(12-MONTH(E115)+1)/12))) + (Q115)*(IF((YEAR(D115)+14)&lt;YEAR(E115),0,IF((YEAR(D115)+14)&gt;YEAR(E115),1,(12-MONTH(E115)+1)/12))))-((P115)*(IF((YEAR(D115)+14)&lt;YEAR(E115),0,IF((YEAR(D115)+14)&gt;YEAR(E115),1,(12-MONTH(E115)+1)/12))) + (R115)*(IF((YEAR(D115)+14)&lt;YEAR(E115),0,IF((YEAR(D115)+14)&gt;YEAR(E115),1,(12-MONTH(E115)+1)/12))))-(IF(OR(N115="",N115&lt;=0),0,(O115/N115)*(IF(OR(N115="",N115&lt;=0),0,IF((YEAR(D115)+14)&lt;YEAR(E115),0,IF((YEAR(D115)+14)&gt;=YEAR(E115)+N115,0,IF((YEAR(D115)+14)=YEAR(E115),(12-MONTH(E115)+1)/12,1))))))))&gt;0,(((K115)*(IF(M115="",L115,IFERROR(IF(INDEX(Variablen!$I:$AT, MATCH(M115, Variablen!$A:$A, 0), MATCH((YEAR(D115)+14), Variablen!$I$3:$AT$3, 0))="",L115,INDEX(Variablen!$I:$AT, MATCH(M115, Variablen!$A:$A, 0), MATCH((YEAR(D115)+14), Variablen!$I$3:$AT$3, 0))),L115)))*(IF((YEAR(D115)+14)&lt;YEAR(E115),0,IF((YEAR(D115)+14)&gt;YEAR(E115),1,(12-MONTH(E115)+1)/12))) + (Q115)*(IF((YEAR(D115)+14)&lt;YEAR(E115),0,IF((YEAR(D115)+14)&gt;YEAR(E115),1,(12-MONTH(E115)+1)/12))))-((P115)*(IF((YEAR(D115)+14)&lt;YEAR(E115),0,IF((YEAR(D115)+14)&gt;YEAR(E115),1,(12-MONTH(E115)+1)/12))) + (R115)*(IF((YEAR(D115)+14)&lt;YEAR(E115),0,IF((YEAR(D115)+14)&gt;YEAR(E115),1,(12-MONTH(E115)+1)/12))))-(IF(OR(N115="",N115&lt;=0),0,(O115/N115)*(IF(OR(N115="",N115&lt;=0),0,IF((YEAR(D115)+14)&lt;YEAR(E115),0,IF((YEAR(D115)+14)&gt;=YEAR(E115)+N115,0,IF((YEAR(D115)+14)=YEAR(E115),(12-MONTH(E115)+1)/12,1))))))))*TaxRate,0))-IF(14=0,O115,0))</f>
        <v/>
      </c>
      <c r="AH115" s="29">
        <f>IF(A115="","",((K115)*(IF(M115="",L115,IFERROR(IF(INDEX(Variablen!$I:$AT, MATCH(M115, Variablen!$A:$A, 0), MATCH((YEAR(D115)+15), Variablen!$I$3:$AT$3, 0))="",L115,INDEX(Variablen!$I:$AT, MATCH(M115, Variablen!$A:$A, 0), MATCH((YEAR(D115)+15), Variablen!$I$3:$AT$3, 0))),L115)))*(IF((YEAR(D115)+15)&lt;YEAR(E115),0,IF((YEAR(D115)+15)&gt;YEAR(E115),1,(12-MONTH(E115)+1)/12))) + (Q115)*(IF((YEAR(D115)+15)&lt;YEAR(E115),0,IF((YEAR(D115)+15)&gt;YEAR(E115),1,(12-MONTH(E115)+1)/12))))-((P115)*(IF((YEAR(D115)+15)&lt;YEAR(E115),0,IF((YEAR(D115)+15)&gt;YEAR(E115),1,(12-MONTH(E115)+1)/12))) + (R115)*(IF((YEAR(D115)+15)&lt;YEAR(E115),0,IF((YEAR(D115)+15)&gt;YEAR(E115),1,(12-MONTH(E115)+1)/12))))-(IF((((K115)*(IF(M115="",L115,IFERROR(IF(INDEX(Variablen!$I:$AT, MATCH(M115, Variablen!$A:$A, 0), MATCH((YEAR(D115)+15), Variablen!$I$3:$AT$3, 0))="",L115,INDEX(Variablen!$I:$AT, MATCH(M115, Variablen!$A:$A, 0), MATCH((YEAR(D115)+15), Variablen!$I$3:$AT$3, 0))),L115)))*(IF((YEAR(D115)+15)&lt;YEAR(E115),0,IF((YEAR(D115)+15)&gt;YEAR(E115),1,(12-MONTH(E115)+1)/12))) + (Q115)*(IF((YEAR(D115)+15)&lt;YEAR(E115),0,IF((YEAR(D115)+15)&gt;YEAR(E115),1,(12-MONTH(E115)+1)/12))))-((P115)*(IF((YEAR(D115)+15)&lt;YEAR(E115),0,IF((YEAR(D115)+15)&gt;YEAR(E115),1,(12-MONTH(E115)+1)/12))) + (R115)*(IF((YEAR(D115)+15)&lt;YEAR(E115),0,IF((YEAR(D115)+15)&gt;YEAR(E115),1,(12-MONTH(E115)+1)/12))))-(IF(OR(N115="",N115&lt;=0),0,(O115/N115)*(IF(OR(N115="",N115&lt;=0),0,IF((YEAR(D115)+15)&lt;YEAR(E115),0,IF((YEAR(D115)+15)&gt;=YEAR(E115)+N115,0,IF((YEAR(D115)+15)=YEAR(E115),(12-MONTH(E115)+1)/12,1))))))))&gt;0,(((K115)*(IF(M115="",L115,IFERROR(IF(INDEX(Variablen!$I:$AT, MATCH(M115, Variablen!$A:$A, 0), MATCH((YEAR(D115)+15), Variablen!$I$3:$AT$3, 0))="",L115,INDEX(Variablen!$I:$AT, MATCH(M115, Variablen!$A:$A, 0), MATCH((YEAR(D115)+15), Variablen!$I$3:$AT$3, 0))),L115)))*(IF((YEAR(D115)+15)&lt;YEAR(E115),0,IF((YEAR(D115)+15)&gt;YEAR(E115),1,(12-MONTH(E115)+1)/12))) + (Q115)*(IF((YEAR(D115)+15)&lt;YEAR(E115),0,IF((YEAR(D115)+15)&gt;YEAR(E115),1,(12-MONTH(E115)+1)/12))))-((P115)*(IF((YEAR(D115)+15)&lt;YEAR(E115),0,IF((YEAR(D115)+15)&gt;YEAR(E115),1,(12-MONTH(E115)+1)/12))) + (R115)*(IF((YEAR(D115)+15)&lt;YEAR(E115),0,IF((YEAR(D115)+15)&gt;YEAR(E115),1,(12-MONTH(E115)+1)/12))))-(IF(OR(N115="",N115&lt;=0),0,(O115/N115)*(IF(OR(N115="",N115&lt;=0),0,IF((YEAR(D115)+15)&lt;YEAR(E115),0,IF((YEAR(D115)+15)&gt;=YEAR(E115)+N115,0,IF((YEAR(D115)+15)=YEAR(E115),(12-MONTH(E115)+1)/12,1))))))))*TaxRate,0))-IF(15=0,O115,0))</f>
        <v/>
      </c>
      <c r="AI115" s="29">
        <f>IF(A115="","",((K115)*(IF(M115="",L115,IFERROR(IF(INDEX(Variablen!$I:$AT, MATCH(M115, Variablen!$A:$A, 0), MATCH((YEAR(D115)+16), Variablen!$I$3:$AT$3, 0))="",L115,INDEX(Variablen!$I:$AT, MATCH(M115, Variablen!$A:$A, 0), MATCH((YEAR(D115)+16), Variablen!$I$3:$AT$3, 0))),L115)))*(IF((YEAR(D115)+16)&lt;YEAR(E115),0,IF((YEAR(D115)+16)&gt;YEAR(E115),1,(12-MONTH(E115)+1)/12))) + (Q115)*(IF((YEAR(D115)+16)&lt;YEAR(E115),0,IF((YEAR(D115)+16)&gt;YEAR(E115),1,(12-MONTH(E115)+1)/12))))-((P115)*(IF((YEAR(D115)+16)&lt;YEAR(E115),0,IF((YEAR(D115)+16)&gt;YEAR(E115),1,(12-MONTH(E115)+1)/12))) + (R115)*(IF((YEAR(D115)+16)&lt;YEAR(E115),0,IF((YEAR(D115)+16)&gt;YEAR(E115),1,(12-MONTH(E115)+1)/12))))-(IF((((K115)*(IF(M115="",L115,IFERROR(IF(INDEX(Variablen!$I:$AT, MATCH(M115, Variablen!$A:$A, 0), MATCH((YEAR(D115)+16), Variablen!$I$3:$AT$3, 0))="",L115,INDEX(Variablen!$I:$AT, MATCH(M115, Variablen!$A:$A, 0), MATCH((YEAR(D115)+16), Variablen!$I$3:$AT$3, 0))),L115)))*(IF((YEAR(D115)+16)&lt;YEAR(E115),0,IF((YEAR(D115)+16)&gt;YEAR(E115),1,(12-MONTH(E115)+1)/12))) + (Q115)*(IF((YEAR(D115)+16)&lt;YEAR(E115),0,IF((YEAR(D115)+16)&gt;YEAR(E115),1,(12-MONTH(E115)+1)/12))))-((P115)*(IF((YEAR(D115)+16)&lt;YEAR(E115),0,IF((YEAR(D115)+16)&gt;YEAR(E115),1,(12-MONTH(E115)+1)/12))) + (R115)*(IF((YEAR(D115)+16)&lt;YEAR(E115),0,IF((YEAR(D115)+16)&gt;YEAR(E115),1,(12-MONTH(E115)+1)/12))))-(IF(OR(N115="",N115&lt;=0),0,(O115/N115)*(IF(OR(N115="",N115&lt;=0),0,IF((YEAR(D115)+16)&lt;YEAR(E115),0,IF((YEAR(D115)+16)&gt;=YEAR(E115)+N115,0,IF((YEAR(D115)+16)=YEAR(E115),(12-MONTH(E115)+1)/12,1))))))))&gt;0,(((K115)*(IF(M115="",L115,IFERROR(IF(INDEX(Variablen!$I:$AT, MATCH(M115, Variablen!$A:$A, 0), MATCH((YEAR(D115)+16), Variablen!$I$3:$AT$3, 0))="",L115,INDEX(Variablen!$I:$AT, MATCH(M115, Variablen!$A:$A, 0), MATCH((YEAR(D115)+16), Variablen!$I$3:$AT$3, 0))),L115)))*(IF((YEAR(D115)+16)&lt;YEAR(E115),0,IF((YEAR(D115)+16)&gt;YEAR(E115),1,(12-MONTH(E115)+1)/12))) + (Q115)*(IF((YEAR(D115)+16)&lt;YEAR(E115),0,IF((YEAR(D115)+16)&gt;YEAR(E115),1,(12-MONTH(E115)+1)/12))))-((P115)*(IF((YEAR(D115)+16)&lt;YEAR(E115),0,IF((YEAR(D115)+16)&gt;YEAR(E115),1,(12-MONTH(E115)+1)/12))) + (R115)*(IF((YEAR(D115)+16)&lt;YEAR(E115),0,IF((YEAR(D115)+16)&gt;YEAR(E115),1,(12-MONTH(E115)+1)/12))))-(IF(OR(N115="",N115&lt;=0),0,(O115/N115)*(IF(OR(N115="",N115&lt;=0),0,IF((YEAR(D115)+16)&lt;YEAR(E115),0,IF((YEAR(D115)+16)&gt;=YEAR(E115)+N115,0,IF((YEAR(D115)+16)=YEAR(E115),(12-MONTH(E115)+1)/12,1))))))))*TaxRate,0))-IF(16=0,O115,0))</f>
        <v/>
      </c>
      <c r="AJ115" s="29">
        <f>IF(A115="","",((K115)*(IF(M115="",L115,IFERROR(IF(INDEX(Variablen!$I:$AT, MATCH(M115, Variablen!$A:$A, 0), MATCH((YEAR(D115)+17), Variablen!$I$3:$AT$3, 0))="",L115,INDEX(Variablen!$I:$AT, MATCH(M115, Variablen!$A:$A, 0), MATCH((YEAR(D115)+17), Variablen!$I$3:$AT$3, 0))),L115)))*(IF((YEAR(D115)+17)&lt;YEAR(E115),0,IF((YEAR(D115)+17)&gt;YEAR(E115),1,(12-MONTH(E115)+1)/12))) + (Q115)*(IF((YEAR(D115)+17)&lt;YEAR(E115),0,IF((YEAR(D115)+17)&gt;YEAR(E115),1,(12-MONTH(E115)+1)/12))))-((P115)*(IF((YEAR(D115)+17)&lt;YEAR(E115),0,IF((YEAR(D115)+17)&gt;YEAR(E115),1,(12-MONTH(E115)+1)/12))) + (R115)*(IF((YEAR(D115)+17)&lt;YEAR(E115),0,IF((YEAR(D115)+17)&gt;YEAR(E115),1,(12-MONTH(E115)+1)/12))))-(IF((((K115)*(IF(M115="",L115,IFERROR(IF(INDEX(Variablen!$I:$AT, MATCH(M115, Variablen!$A:$A, 0), MATCH((YEAR(D115)+17), Variablen!$I$3:$AT$3, 0))="",L115,INDEX(Variablen!$I:$AT, MATCH(M115, Variablen!$A:$A, 0), MATCH((YEAR(D115)+17), Variablen!$I$3:$AT$3, 0))),L115)))*(IF((YEAR(D115)+17)&lt;YEAR(E115),0,IF((YEAR(D115)+17)&gt;YEAR(E115),1,(12-MONTH(E115)+1)/12))) + (Q115)*(IF((YEAR(D115)+17)&lt;YEAR(E115),0,IF((YEAR(D115)+17)&gt;YEAR(E115),1,(12-MONTH(E115)+1)/12))))-((P115)*(IF((YEAR(D115)+17)&lt;YEAR(E115),0,IF((YEAR(D115)+17)&gt;YEAR(E115),1,(12-MONTH(E115)+1)/12))) + (R115)*(IF((YEAR(D115)+17)&lt;YEAR(E115),0,IF((YEAR(D115)+17)&gt;YEAR(E115),1,(12-MONTH(E115)+1)/12))))-(IF(OR(N115="",N115&lt;=0),0,(O115/N115)*(IF(OR(N115="",N115&lt;=0),0,IF((YEAR(D115)+17)&lt;YEAR(E115),0,IF((YEAR(D115)+17)&gt;=YEAR(E115)+N115,0,IF((YEAR(D115)+17)=YEAR(E115),(12-MONTH(E115)+1)/12,1))))))))&gt;0,(((K115)*(IF(M115="",L115,IFERROR(IF(INDEX(Variablen!$I:$AT, MATCH(M115, Variablen!$A:$A, 0), MATCH((YEAR(D115)+17), Variablen!$I$3:$AT$3, 0))="",L115,INDEX(Variablen!$I:$AT, MATCH(M115, Variablen!$A:$A, 0), MATCH((YEAR(D115)+17), Variablen!$I$3:$AT$3, 0))),L115)))*(IF((YEAR(D115)+17)&lt;YEAR(E115),0,IF((YEAR(D115)+17)&gt;YEAR(E115),1,(12-MONTH(E115)+1)/12))) + (Q115)*(IF((YEAR(D115)+17)&lt;YEAR(E115),0,IF((YEAR(D115)+17)&gt;YEAR(E115),1,(12-MONTH(E115)+1)/12))))-((P115)*(IF((YEAR(D115)+17)&lt;YEAR(E115),0,IF((YEAR(D115)+17)&gt;YEAR(E115),1,(12-MONTH(E115)+1)/12))) + (R115)*(IF((YEAR(D115)+17)&lt;YEAR(E115),0,IF((YEAR(D115)+17)&gt;YEAR(E115),1,(12-MONTH(E115)+1)/12))))-(IF(OR(N115="",N115&lt;=0),0,(O115/N115)*(IF(OR(N115="",N115&lt;=0),0,IF((YEAR(D115)+17)&lt;YEAR(E115),0,IF((YEAR(D115)+17)&gt;=YEAR(E115)+N115,0,IF((YEAR(D115)+17)=YEAR(E115),(12-MONTH(E115)+1)/12,1))))))))*TaxRate,0))-IF(17=0,O115,0))</f>
        <v/>
      </c>
      <c r="AK115" s="29">
        <f>IF(A115="","",((K115)*(IF(M115="",L115,IFERROR(IF(INDEX(Variablen!$I:$AT, MATCH(M115, Variablen!$A:$A, 0), MATCH((YEAR(D115)+18), Variablen!$I$3:$AT$3, 0))="",L115,INDEX(Variablen!$I:$AT, MATCH(M115, Variablen!$A:$A, 0), MATCH((YEAR(D115)+18), Variablen!$I$3:$AT$3, 0))),L115)))*(IF((YEAR(D115)+18)&lt;YEAR(E115),0,IF((YEAR(D115)+18)&gt;YEAR(E115),1,(12-MONTH(E115)+1)/12))) + (Q115)*(IF((YEAR(D115)+18)&lt;YEAR(E115),0,IF((YEAR(D115)+18)&gt;YEAR(E115),1,(12-MONTH(E115)+1)/12))))-((P115)*(IF((YEAR(D115)+18)&lt;YEAR(E115),0,IF((YEAR(D115)+18)&gt;YEAR(E115),1,(12-MONTH(E115)+1)/12))) + (R115)*(IF((YEAR(D115)+18)&lt;YEAR(E115),0,IF((YEAR(D115)+18)&gt;YEAR(E115),1,(12-MONTH(E115)+1)/12))))-(IF((((K115)*(IF(M115="",L115,IFERROR(IF(INDEX(Variablen!$I:$AT, MATCH(M115, Variablen!$A:$A, 0), MATCH((YEAR(D115)+18), Variablen!$I$3:$AT$3, 0))="",L115,INDEX(Variablen!$I:$AT, MATCH(M115, Variablen!$A:$A, 0), MATCH((YEAR(D115)+18), Variablen!$I$3:$AT$3, 0))),L115)))*(IF((YEAR(D115)+18)&lt;YEAR(E115),0,IF((YEAR(D115)+18)&gt;YEAR(E115),1,(12-MONTH(E115)+1)/12))) + (Q115)*(IF((YEAR(D115)+18)&lt;YEAR(E115),0,IF((YEAR(D115)+18)&gt;YEAR(E115),1,(12-MONTH(E115)+1)/12))))-((P115)*(IF((YEAR(D115)+18)&lt;YEAR(E115),0,IF((YEAR(D115)+18)&gt;YEAR(E115),1,(12-MONTH(E115)+1)/12))) + (R115)*(IF((YEAR(D115)+18)&lt;YEAR(E115),0,IF((YEAR(D115)+18)&gt;YEAR(E115),1,(12-MONTH(E115)+1)/12))))-(IF(OR(N115="",N115&lt;=0),0,(O115/N115)*(IF(OR(N115="",N115&lt;=0),0,IF((YEAR(D115)+18)&lt;YEAR(E115),0,IF((YEAR(D115)+18)&gt;=YEAR(E115)+N115,0,IF((YEAR(D115)+18)=YEAR(E115),(12-MONTH(E115)+1)/12,1))))))))&gt;0,(((K115)*(IF(M115="",L115,IFERROR(IF(INDEX(Variablen!$I:$AT, MATCH(M115, Variablen!$A:$A, 0), MATCH((YEAR(D115)+18), Variablen!$I$3:$AT$3, 0))="",L115,INDEX(Variablen!$I:$AT, MATCH(M115, Variablen!$A:$A, 0), MATCH((YEAR(D115)+18), Variablen!$I$3:$AT$3, 0))),L115)))*(IF((YEAR(D115)+18)&lt;YEAR(E115),0,IF((YEAR(D115)+18)&gt;YEAR(E115),1,(12-MONTH(E115)+1)/12))) + (Q115)*(IF((YEAR(D115)+18)&lt;YEAR(E115),0,IF((YEAR(D115)+18)&gt;YEAR(E115),1,(12-MONTH(E115)+1)/12))))-((P115)*(IF((YEAR(D115)+18)&lt;YEAR(E115),0,IF((YEAR(D115)+18)&gt;YEAR(E115),1,(12-MONTH(E115)+1)/12))) + (R115)*(IF((YEAR(D115)+18)&lt;YEAR(E115),0,IF((YEAR(D115)+18)&gt;YEAR(E115),1,(12-MONTH(E115)+1)/12))))-(IF(OR(N115="",N115&lt;=0),0,(O115/N115)*(IF(OR(N115="",N115&lt;=0),0,IF((YEAR(D115)+18)&lt;YEAR(E115),0,IF((YEAR(D115)+18)&gt;=YEAR(E115)+N115,0,IF((YEAR(D115)+18)=YEAR(E115),(12-MONTH(E115)+1)/12,1))))))))*TaxRate,0))-IF(18=0,O115,0))</f>
        <v/>
      </c>
      <c r="AL115" s="29">
        <f>IF(A115="","",((K115)*(IF(M115="",L115,IFERROR(IF(INDEX(Variablen!$I:$AT, MATCH(M115, Variablen!$A:$A, 0), MATCH((YEAR(D115)+19), Variablen!$I$3:$AT$3, 0))="",L115,INDEX(Variablen!$I:$AT, MATCH(M115, Variablen!$A:$A, 0), MATCH((YEAR(D115)+19), Variablen!$I$3:$AT$3, 0))),L115)))*(IF((YEAR(D115)+19)&lt;YEAR(E115),0,IF((YEAR(D115)+19)&gt;YEAR(E115),1,(12-MONTH(E115)+1)/12))) + (Q115)*(IF((YEAR(D115)+19)&lt;YEAR(E115),0,IF((YEAR(D115)+19)&gt;YEAR(E115),1,(12-MONTH(E115)+1)/12))))-((P115)*(IF((YEAR(D115)+19)&lt;YEAR(E115),0,IF((YEAR(D115)+19)&gt;YEAR(E115),1,(12-MONTH(E115)+1)/12))) + (R115)*(IF((YEAR(D115)+19)&lt;YEAR(E115),0,IF((YEAR(D115)+19)&gt;YEAR(E115),1,(12-MONTH(E115)+1)/12))))-(IF((((K115)*(IF(M115="",L115,IFERROR(IF(INDEX(Variablen!$I:$AT, MATCH(M115, Variablen!$A:$A, 0), MATCH((YEAR(D115)+19), Variablen!$I$3:$AT$3, 0))="",L115,INDEX(Variablen!$I:$AT, MATCH(M115, Variablen!$A:$A, 0), MATCH((YEAR(D115)+19), Variablen!$I$3:$AT$3, 0))),L115)))*(IF((YEAR(D115)+19)&lt;YEAR(E115),0,IF((YEAR(D115)+19)&gt;YEAR(E115),1,(12-MONTH(E115)+1)/12))) + (Q115)*(IF((YEAR(D115)+19)&lt;YEAR(E115),0,IF((YEAR(D115)+19)&gt;YEAR(E115),1,(12-MONTH(E115)+1)/12))))-((P115)*(IF((YEAR(D115)+19)&lt;YEAR(E115),0,IF((YEAR(D115)+19)&gt;YEAR(E115),1,(12-MONTH(E115)+1)/12))) + (R115)*(IF((YEAR(D115)+19)&lt;YEAR(E115),0,IF((YEAR(D115)+19)&gt;YEAR(E115),1,(12-MONTH(E115)+1)/12))))-(IF(OR(N115="",N115&lt;=0),0,(O115/N115)*(IF(OR(N115="",N115&lt;=0),0,IF((YEAR(D115)+19)&lt;YEAR(E115),0,IF((YEAR(D115)+19)&gt;=YEAR(E115)+N115,0,IF((YEAR(D115)+19)=YEAR(E115),(12-MONTH(E115)+1)/12,1))))))))&gt;0,(((K115)*(IF(M115="",L115,IFERROR(IF(INDEX(Variablen!$I:$AT, MATCH(M115, Variablen!$A:$A, 0), MATCH((YEAR(D115)+19), Variablen!$I$3:$AT$3, 0))="",L115,INDEX(Variablen!$I:$AT, MATCH(M115, Variablen!$A:$A, 0), MATCH((YEAR(D115)+19), Variablen!$I$3:$AT$3, 0))),L115)))*(IF((YEAR(D115)+19)&lt;YEAR(E115),0,IF((YEAR(D115)+19)&gt;YEAR(E115),1,(12-MONTH(E115)+1)/12))) + (Q115)*(IF((YEAR(D115)+19)&lt;YEAR(E115),0,IF((YEAR(D115)+19)&gt;YEAR(E115),1,(12-MONTH(E115)+1)/12))))-((P115)*(IF((YEAR(D115)+19)&lt;YEAR(E115),0,IF((YEAR(D115)+19)&gt;YEAR(E115),1,(12-MONTH(E115)+1)/12))) + (R115)*(IF((YEAR(D115)+19)&lt;YEAR(E115),0,IF((YEAR(D115)+19)&gt;YEAR(E115),1,(12-MONTH(E115)+1)/12))))-(IF(OR(N115="",N115&lt;=0),0,(O115/N115)*(IF(OR(N115="",N115&lt;=0),0,IF((YEAR(D115)+19)&lt;YEAR(E115),0,IF((YEAR(D115)+19)&gt;=YEAR(E115)+N115,0,IF((YEAR(D115)+19)=YEAR(E115),(12-MONTH(E115)+1)/12,1))))))))*TaxRate,0))-IF(19=0,O115,0))</f>
        <v/>
      </c>
      <c r="AM115" s="29">
        <f>IF(A115="","",((K115)*(IF(M115="",L115,IFERROR(IF(INDEX(Variablen!$I:$AT, MATCH(M115, Variablen!$A:$A, 0), MATCH((YEAR(D115)+20), Variablen!$I$3:$AT$3, 0))="",L115,INDEX(Variablen!$I:$AT, MATCH(M115, Variablen!$A:$A, 0), MATCH((YEAR(D115)+20), Variablen!$I$3:$AT$3, 0))),L115)))*(IF((YEAR(D115)+20)&lt;YEAR(E115),0,IF((YEAR(D115)+20)&gt;YEAR(E115),1,(12-MONTH(E115)+1)/12))) + (Q115)*(IF((YEAR(D115)+20)&lt;YEAR(E115),0,IF((YEAR(D115)+20)&gt;YEAR(E115),1,(12-MONTH(E115)+1)/12))))-((P115)*(IF((YEAR(D115)+20)&lt;YEAR(E115),0,IF((YEAR(D115)+20)&gt;YEAR(E115),1,(12-MONTH(E115)+1)/12))) + (R115)*(IF((YEAR(D115)+20)&lt;YEAR(E115),0,IF((YEAR(D115)+20)&gt;YEAR(E115),1,(12-MONTH(E115)+1)/12))))-(IF((((K115)*(IF(M115="",L115,IFERROR(IF(INDEX(Variablen!$I:$AT, MATCH(M115, Variablen!$A:$A, 0), MATCH((YEAR(D115)+20), Variablen!$I$3:$AT$3, 0))="",L115,INDEX(Variablen!$I:$AT, MATCH(M115, Variablen!$A:$A, 0), MATCH((YEAR(D115)+20), Variablen!$I$3:$AT$3, 0))),L115)))*(IF((YEAR(D115)+20)&lt;YEAR(E115),0,IF((YEAR(D115)+20)&gt;YEAR(E115),1,(12-MONTH(E115)+1)/12))) + (Q115)*(IF((YEAR(D115)+20)&lt;YEAR(E115),0,IF((YEAR(D115)+20)&gt;YEAR(E115),1,(12-MONTH(E115)+1)/12))))-((P115)*(IF((YEAR(D115)+20)&lt;YEAR(E115),0,IF((YEAR(D115)+20)&gt;YEAR(E115),1,(12-MONTH(E115)+1)/12))) + (R115)*(IF((YEAR(D115)+20)&lt;YEAR(E115),0,IF((YEAR(D115)+20)&gt;YEAR(E115),1,(12-MONTH(E115)+1)/12))))-(IF(OR(N115="",N115&lt;=0),0,(O115/N115)*(IF(OR(N115="",N115&lt;=0),0,IF((YEAR(D115)+20)&lt;YEAR(E115),0,IF((YEAR(D115)+20)&gt;=YEAR(E115)+N115,0,IF((YEAR(D115)+20)=YEAR(E115),(12-MONTH(E115)+1)/12,1))))))))&gt;0,(((K115)*(IF(M115="",L115,IFERROR(IF(INDEX(Variablen!$I:$AT, MATCH(M115, Variablen!$A:$A, 0), MATCH((YEAR(D115)+20), Variablen!$I$3:$AT$3, 0))="",L115,INDEX(Variablen!$I:$AT, MATCH(M115, Variablen!$A:$A, 0), MATCH((YEAR(D115)+20), Variablen!$I$3:$AT$3, 0))),L115)))*(IF((YEAR(D115)+20)&lt;YEAR(E115),0,IF((YEAR(D115)+20)&gt;YEAR(E115),1,(12-MONTH(E115)+1)/12))) + (Q115)*(IF((YEAR(D115)+20)&lt;YEAR(E115),0,IF((YEAR(D115)+20)&gt;YEAR(E115),1,(12-MONTH(E115)+1)/12))))-((P115)*(IF((YEAR(D115)+20)&lt;YEAR(E115),0,IF((YEAR(D115)+20)&gt;YEAR(E115),1,(12-MONTH(E115)+1)/12))) + (R115)*(IF((YEAR(D115)+20)&lt;YEAR(E115),0,IF((YEAR(D115)+20)&gt;YEAR(E115),1,(12-MONTH(E115)+1)/12))))-(IF(OR(N115="",N115&lt;=0),0,(O115/N115)*(IF(OR(N115="",N115&lt;=0),0,IF((YEAR(D115)+20)&lt;YEAR(E115),0,IF((YEAR(D115)+20)&gt;=YEAR(E115)+N115,0,IF((YEAR(D115)+20)=YEAR(E115),(12-MONTH(E115)+1)/12,1))))))))*TaxRate,0))-IF(20=0,O115,0))</f>
        <v/>
      </c>
      <c r="AN115" s="29">
        <f>IF(A115="","",S115)</f>
        <v/>
      </c>
      <c r="AO115" s="29">
        <f>IF(A115="","",AN115+T115)</f>
        <v/>
      </c>
      <c r="AP115" s="29">
        <f>IF(A115="","",AO115+U115)</f>
        <v/>
      </c>
      <c r="AQ115" s="29">
        <f>IF(A115="","",AP115+V115)</f>
        <v/>
      </c>
      <c r="AR115" s="29">
        <f>IF(A115="","",AQ115+W115)</f>
        <v/>
      </c>
      <c r="AS115" s="29">
        <f>IF(A115="","",AR115+X115)</f>
        <v/>
      </c>
      <c r="AT115" s="29">
        <f>IF(A115="","",AS115+Y115)</f>
        <v/>
      </c>
      <c r="AU115" s="29">
        <f>IF(A115="","",AT115+Z115)</f>
        <v/>
      </c>
      <c r="AV115" s="29">
        <f>IF(A115="","",AU115+AA115)</f>
        <v/>
      </c>
      <c r="AW115" s="29">
        <f>IF(A115="","",AV115+AB115)</f>
        <v/>
      </c>
      <c r="AX115" s="29">
        <f>IF(A115="","",AW115+AC115)</f>
        <v/>
      </c>
      <c r="AY115" s="29">
        <f>IF(A115="","",AX115+AD115)</f>
        <v/>
      </c>
      <c r="AZ115" s="29">
        <f>IF(A115="","",AY115+AE115)</f>
        <v/>
      </c>
      <c r="BA115" s="29">
        <f>IF(A115="","",AZ115+AF115)</f>
        <v/>
      </c>
      <c r="BB115" s="29">
        <f>IF(A115="","",BA115+AG115)</f>
        <v/>
      </c>
      <c r="BC115" s="29">
        <f>IF(A115="","",BB115+AH115)</f>
        <v/>
      </c>
      <c r="BD115" s="29">
        <f>IF(A115="","",BC115+AI115)</f>
        <v/>
      </c>
      <c r="BE115" s="29">
        <f>IF(A115="","",BD115+AJ115)</f>
        <v/>
      </c>
      <c r="BF115" s="29">
        <f>IF(A115="","",BE115+AK115)</f>
        <v/>
      </c>
      <c r="BG115" s="29">
        <f>IF(A115="","",BF115+AL115)</f>
        <v/>
      </c>
      <c r="BH115" s="29">
        <f>IF(A115="","",BG115+AM115)</f>
        <v/>
      </c>
      <c r="BI115" s="36">
        <f>IF(A115="","",(K115)*(IF((YEAR(D115)+0)&lt;YEAR(E115),0,IF((YEAR(D115)+0)&gt;YEAR(E115),1,(12-MONTH(E115)+1)/12)))*(1/(1+DiscountRate)^0))</f>
        <v/>
      </c>
      <c r="BJ115" s="36">
        <f>IF(A115="","",(K115)*(IF((YEAR(D115)+1)&lt;YEAR(E115),0,IF((YEAR(D115)+1)&gt;YEAR(E115),1,(12-MONTH(E115)+1)/12)))*(1/(1+DiscountRate)^1))</f>
        <v/>
      </c>
      <c r="BK115" s="36">
        <f>IF(A115="","",(K115)*(IF((YEAR(D115)+2)&lt;YEAR(E115),0,IF((YEAR(D115)+2)&gt;YEAR(E115),1,(12-MONTH(E115)+1)/12)))*(1/(1+DiscountRate)^2))</f>
        <v/>
      </c>
      <c r="BL115" s="36">
        <f>IF(A115="","",(K115)*(IF((YEAR(D115)+3)&lt;YEAR(E115),0,IF((YEAR(D115)+3)&gt;YEAR(E115),1,(12-MONTH(E115)+1)/12)))*(1/(1+DiscountRate)^3))</f>
        <v/>
      </c>
      <c r="BM115" s="36">
        <f>IF(A115="","",(K115)*(IF((YEAR(D115)+4)&lt;YEAR(E115),0,IF((YEAR(D115)+4)&gt;YEAR(E115),1,(12-MONTH(E115)+1)/12)))*(1/(1+DiscountRate)^4))</f>
        <v/>
      </c>
      <c r="BN115" s="36">
        <f>IF(A115="","",(K115)*(IF((YEAR(D115)+5)&lt;YEAR(E115),0,IF((YEAR(D115)+5)&gt;YEAR(E115),1,(12-MONTH(E115)+1)/12)))*(1/(1+DiscountRate)^5))</f>
        <v/>
      </c>
      <c r="BO115" s="36">
        <f>IF(A115="","",(K115)*(IF((YEAR(D115)+6)&lt;YEAR(E115),0,IF((YEAR(D115)+6)&gt;YEAR(E115),1,(12-MONTH(E115)+1)/12)))*(1/(1+DiscountRate)^6))</f>
        <v/>
      </c>
      <c r="BP115" s="36">
        <f>IF(A115="","",(K115)*(IF((YEAR(D115)+7)&lt;YEAR(E115),0,IF((YEAR(D115)+7)&gt;YEAR(E115),1,(12-MONTH(E115)+1)/12)))*(1/(1+DiscountRate)^7))</f>
        <v/>
      </c>
      <c r="BQ115" s="36">
        <f>IF(A115="","",(K115)*(IF((YEAR(D115)+8)&lt;YEAR(E115),0,IF((YEAR(D115)+8)&gt;YEAR(E115),1,(12-MONTH(E115)+1)/12)))*(1/(1+DiscountRate)^8))</f>
        <v/>
      </c>
      <c r="BR115" s="36">
        <f>IF(A115="","",(K115)*(IF((YEAR(D115)+9)&lt;YEAR(E115),0,IF((YEAR(D115)+9)&gt;YEAR(E115),1,(12-MONTH(E115)+1)/12)))*(1/(1+DiscountRate)^9))</f>
        <v/>
      </c>
      <c r="BS115" s="36">
        <f>IF(A115="","",(K115)*(IF((YEAR(D115)+10)&lt;YEAR(E115),0,IF((YEAR(D115)+10)&gt;YEAR(E115),1,(12-MONTH(E115)+1)/12)))*(1/(1+DiscountRate)^10))</f>
        <v/>
      </c>
      <c r="BT115" s="36">
        <f>IF(A115="","",(K115)*(IF((YEAR(D115)+11)&lt;YEAR(E115),0,IF((YEAR(D115)+11)&gt;YEAR(E115),1,(12-MONTH(E115)+1)/12)))*(1/(1+DiscountRate)^11))</f>
        <v/>
      </c>
      <c r="BU115" s="36">
        <f>IF(A115="","",(K115)*(IF((YEAR(D115)+12)&lt;YEAR(E115),0,IF((YEAR(D115)+12)&gt;YEAR(E115),1,(12-MONTH(E115)+1)/12)))*(1/(1+DiscountRate)^12))</f>
        <v/>
      </c>
      <c r="BV115" s="36">
        <f>IF(A115="","",(K115)*(IF((YEAR(D115)+13)&lt;YEAR(E115),0,IF((YEAR(D115)+13)&gt;YEAR(E115),1,(12-MONTH(E115)+1)/12)))*(1/(1+DiscountRate)^13))</f>
        <v/>
      </c>
      <c r="BW115" s="36">
        <f>IF(A115="","",(K115)*(IF((YEAR(D115)+14)&lt;YEAR(E115),0,IF((YEAR(D115)+14)&gt;YEAR(E115),1,(12-MONTH(E115)+1)/12)))*(1/(1+DiscountRate)^14))</f>
        <v/>
      </c>
      <c r="BX115" s="36">
        <f>IF(A115="","",(K115)*(IF((YEAR(D115)+15)&lt;YEAR(E115),0,IF((YEAR(D115)+15)&gt;YEAR(E115),1,(12-MONTH(E115)+1)/12)))*(1/(1+DiscountRate)^15))</f>
        <v/>
      </c>
      <c r="BY115" s="36">
        <f>IF(A115="","",(K115)*(IF((YEAR(D115)+16)&lt;YEAR(E115),0,IF((YEAR(D115)+16)&gt;YEAR(E115),1,(12-MONTH(E115)+1)/12)))*(1/(1+DiscountRate)^16))</f>
        <v/>
      </c>
      <c r="BZ115" s="36">
        <f>IF(A115="","",(K115)*(IF((YEAR(D115)+17)&lt;YEAR(E115),0,IF((YEAR(D115)+17)&gt;YEAR(E115),1,(12-MONTH(E115)+1)/12)))*(1/(1+DiscountRate)^17))</f>
        <v/>
      </c>
      <c r="CA115" s="36">
        <f>IF(A115="","",(K115)*(IF((YEAR(D115)+18)&lt;YEAR(E115),0,IF((YEAR(D115)+18)&gt;YEAR(E115),1,(12-MONTH(E115)+1)/12)))*(1/(1+DiscountRate)^18))</f>
        <v/>
      </c>
      <c r="CB115" s="36">
        <f>IF(A115="","",(K115)*(IF((YEAR(D115)+19)&lt;YEAR(E115),0,IF((YEAR(D115)+19)&gt;YEAR(E115),1,(12-MONTH(E115)+1)/12)))*(1/(1+DiscountRate)^19))</f>
        <v/>
      </c>
      <c r="CC115" s="36">
        <f>IF(A115="","",(K115)*(IF((YEAR(D115)+20)&lt;YEAR(E115),0,IF((YEAR(D115)+20)&gt;YEAR(E115),1,(12-MONTH(E115)+1)/12)))*(1/(1+DiscountRate)^20))</f>
        <v/>
      </c>
      <c r="CD115" s="29">
        <f>IF(A115="","",S115/(1+DiscountRate)^0+T115/(1+DiscountRate)^1+U115/(1+DiscountRate)^2+V115/(1+DiscountRate)^3+W115/(1+DiscountRate)^4+X115/(1+DiscountRate)^5+Y115/(1+DiscountRate)^6+Z115/(1+DiscountRate)^7+AA115/(1+DiscountRate)^8+AB115/(1+DiscountRate)^9+AC115/(1+DiscountRate)^10+AD115/(1+DiscountRate)^11+AE115/(1+DiscountRate)^12+AF115/(1+DiscountRate)^13+AG115/(1+DiscountRate)^14+AH115/(1+DiscountRate)^15+AI115/(1+DiscountRate)^16+AJ115/(1+DiscountRate)^17+AK115/(1+DiscountRate)^18+AL115/(1+DiscountRate)^19+AM115/(1+DiscountRate)^20)</f>
        <v/>
      </c>
      <c r="CE115" s="37">
        <f>IF(A115="","",IFERROR(IRR(OFFSET(S115,0,0,1,MIN(HorizonYears,20)+1)),"n/a"))</f>
        <v/>
      </c>
      <c r="CF115" s="28">
        <f>IF(A115="","",IFERROR(MATCH(TRUE,OFFSET(AN115,0,0,1,MIN(HorizonYears,20)+1)&gt;=0,0)-1,"n/a"))</f>
        <v/>
      </c>
      <c r="CG115" s="36">
        <f>IF(A115="","",SUM(OFFSET(BI115,0,0,1,MIN(HorizonYears,20)+1)))</f>
        <v/>
      </c>
      <c r="CH115" s="36">
        <f>IF(A115="","",IFERROR(-CD115/CG115,"n/a"))</f>
        <v/>
      </c>
    </row>
    <row r="116">
      <c r="A116" s="6">
        <f>Actions!A114</f>
        <v/>
      </c>
      <c r="B116" s="6">
        <f>Actions!B114</f>
        <v/>
      </c>
      <c r="C116" s="6">
        <f>Actions!D114</f>
        <v/>
      </c>
      <c r="D116" s="35">
        <f>Actions!E114</f>
        <v/>
      </c>
      <c r="E116" s="35">
        <f>Actions!F114</f>
        <v/>
      </c>
      <c r="F116" s="6">
        <f>Actions!G114</f>
        <v/>
      </c>
      <c r="G116" s="6">
        <f>Actions!H114</f>
        <v/>
      </c>
      <c r="H116" s="29">
        <f>Actions!I114</f>
        <v/>
      </c>
      <c r="I116" s="6">
        <f>Actions!J114</f>
        <v/>
      </c>
      <c r="J116" s="16">
        <f>Actions!K114</f>
        <v/>
      </c>
      <c r="K116" s="16">
        <f>IF(A116="","",IF(I116="%",H116*J116,J116))</f>
        <v/>
      </c>
      <c r="L116" s="16">
        <f>Actions!L114</f>
        <v/>
      </c>
      <c r="M116" s="6">
        <f>Actions!M114</f>
        <v/>
      </c>
      <c r="N116" s="28">
        <f>Actions!N114</f>
        <v/>
      </c>
      <c r="O116" s="29">
        <f>Actions!T114</f>
        <v/>
      </c>
      <c r="P116" s="29">
        <f>Actions!Y114</f>
        <v/>
      </c>
      <c r="Q116" s="29">
        <f>Actions!Z114</f>
        <v/>
      </c>
      <c r="R116" s="29">
        <f>Actions!AA114</f>
        <v/>
      </c>
      <c r="S116" s="29">
        <f>IF(A116="","",((K116)*(IF(M116="",L116,IFERROR(IF(INDEX(Variablen!$I:$AT, MATCH(M116, Variablen!$A:$A, 0), MATCH((YEAR(D116)+0), Variablen!$I$3:$AT$3, 0))="",L116,INDEX(Variablen!$I:$AT, MATCH(M116, Variablen!$A:$A, 0), MATCH((YEAR(D116)+0), Variablen!$I$3:$AT$3, 0))),L116)))*(IF((YEAR(D116)+0)&lt;YEAR(E116),0,IF((YEAR(D116)+0)&gt;YEAR(E116),1,(12-MONTH(E116)+1)/12))) + (Q116)*(IF((YEAR(D116)+0)&lt;YEAR(E116),0,IF((YEAR(D116)+0)&gt;YEAR(E116),1,(12-MONTH(E116)+1)/12))))-((P116)*(IF((YEAR(D116)+0)&lt;YEAR(E116),0,IF((YEAR(D116)+0)&gt;YEAR(E116),1,(12-MONTH(E116)+1)/12))) + (R116)*(IF((YEAR(D116)+0)&lt;YEAR(E116),0,IF((YEAR(D116)+0)&gt;YEAR(E116),1,(12-MONTH(E116)+1)/12))))-(IF((((K116)*(IF(M116="",L116,IFERROR(IF(INDEX(Variablen!$I:$AT, MATCH(M116, Variablen!$A:$A, 0), MATCH((YEAR(D116)+0), Variablen!$I$3:$AT$3, 0))="",L116,INDEX(Variablen!$I:$AT, MATCH(M116, Variablen!$A:$A, 0), MATCH((YEAR(D116)+0), Variablen!$I$3:$AT$3, 0))),L116)))*(IF((YEAR(D116)+0)&lt;YEAR(E116),0,IF((YEAR(D116)+0)&gt;YEAR(E116),1,(12-MONTH(E116)+1)/12))) + (Q116)*(IF((YEAR(D116)+0)&lt;YEAR(E116),0,IF((YEAR(D116)+0)&gt;YEAR(E116),1,(12-MONTH(E116)+1)/12))))-((P116)*(IF((YEAR(D116)+0)&lt;YEAR(E116),0,IF((YEAR(D116)+0)&gt;YEAR(E116),1,(12-MONTH(E116)+1)/12))) + (R116)*(IF((YEAR(D116)+0)&lt;YEAR(E116),0,IF((YEAR(D116)+0)&gt;YEAR(E116),1,(12-MONTH(E116)+1)/12))))-(IF(OR(N116="",N116&lt;=0),0,(O116/N116)*(IF(OR(N116="",N116&lt;=0),0,IF((YEAR(D116)+0)&lt;YEAR(E116),0,IF((YEAR(D116)+0)&gt;=YEAR(E116)+N116,0,IF((YEAR(D116)+0)=YEAR(E116),(12-MONTH(E116)+1)/12,1))))))))&gt;0,(((K116)*(IF(M116="",L116,IFERROR(IF(INDEX(Variablen!$I:$AT, MATCH(M116, Variablen!$A:$A, 0), MATCH((YEAR(D116)+0), Variablen!$I$3:$AT$3, 0))="",L116,INDEX(Variablen!$I:$AT, MATCH(M116, Variablen!$A:$A, 0), MATCH((YEAR(D116)+0), Variablen!$I$3:$AT$3, 0))),L116)))*(IF((YEAR(D116)+0)&lt;YEAR(E116),0,IF((YEAR(D116)+0)&gt;YEAR(E116),1,(12-MONTH(E116)+1)/12))) + (Q116)*(IF((YEAR(D116)+0)&lt;YEAR(E116),0,IF((YEAR(D116)+0)&gt;YEAR(E116),1,(12-MONTH(E116)+1)/12))))-((P116)*(IF((YEAR(D116)+0)&lt;YEAR(E116),0,IF((YEAR(D116)+0)&gt;YEAR(E116),1,(12-MONTH(E116)+1)/12))) + (R116)*(IF((YEAR(D116)+0)&lt;YEAR(E116),0,IF((YEAR(D116)+0)&gt;YEAR(E116),1,(12-MONTH(E116)+1)/12))))-(IF(OR(N116="",N116&lt;=0),0,(O116/N116)*(IF(OR(N116="",N116&lt;=0),0,IF((YEAR(D116)+0)&lt;YEAR(E116),0,IF((YEAR(D116)+0)&gt;=YEAR(E116)+N116,0,IF((YEAR(D116)+0)=YEAR(E116),(12-MONTH(E116)+1)/12,1))))))))*TaxRate,0))-IF(0=0,O116,0))</f>
        <v/>
      </c>
      <c r="T116" s="29">
        <f>IF(A116="","",((K116)*(IF(M116="",L116,IFERROR(IF(INDEX(Variablen!$I:$AT, MATCH(M116, Variablen!$A:$A, 0), MATCH((YEAR(D116)+1), Variablen!$I$3:$AT$3, 0))="",L116,INDEX(Variablen!$I:$AT, MATCH(M116, Variablen!$A:$A, 0), MATCH((YEAR(D116)+1), Variablen!$I$3:$AT$3, 0))),L116)))*(IF((YEAR(D116)+1)&lt;YEAR(E116),0,IF((YEAR(D116)+1)&gt;YEAR(E116),1,(12-MONTH(E116)+1)/12))) + (Q116)*(IF((YEAR(D116)+1)&lt;YEAR(E116),0,IF((YEAR(D116)+1)&gt;YEAR(E116),1,(12-MONTH(E116)+1)/12))))-((P116)*(IF((YEAR(D116)+1)&lt;YEAR(E116),0,IF((YEAR(D116)+1)&gt;YEAR(E116),1,(12-MONTH(E116)+1)/12))) + (R116)*(IF((YEAR(D116)+1)&lt;YEAR(E116),0,IF((YEAR(D116)+1)&gt;YEAR(E116),1,(12-MONTH(E116)+1)/12))))-(IF((((K116)*(IF(M116="",L116,IFERROR(IF(INDEX(Variablen!$I:$AT, MATCH(M116, Variablen!$A:$A, 0), MATCH((YEAR(D116)+1), Variablen!$I$3:$AT$3, 0))="",L116,INDEX(Variablen!$I:$AT, MATCH(M116, Variablen!$A:$A, 0), MATCH((YEAR(D116)+1), Variablen!$I$3:$AT$3, 0))),L116)))*(IF((YEAR(D116)+1)&lt;YEAR(E116),0,IF((YEAR(D116)+1)&gt;YEAR(E116),1,(12-MONTH(E116)+1)/12))) + (Q116)*(IF((YEAR(D116)+1)&lt;YEAR(E116),0,IF((YEAR(D116)+1)&gt;YEAR(E116),1,(12-MONTH(E116)+1)/12))))-((P116)*(IF((YEAR(D116)+1)&lt;YEAR(E116),0,IF((YEAR(D116)+1)&gt;YEAR(E116),1,(12-MONTH(E116)+1)/12))) + (R116)*(IF((YEAR(D116)+1)&lt;YEAR(E116),0,IF((YEAR(D116)+1)&gt;YEAR(E116),1,(12-MONTH(E116)+1)/12))))-(IF(OR(N116="",N116&lt;=0),0,(O116/N116)*(IF(OR(N116="",N116&lt;=0),0,IF((YEAR(D116)+1)&lt;YEAR(E116),0,IF((YEAR(D116)+1)&gt;=YEAR(E116)+N116,0,IF((YEAR(D116)+1)=YEAR(E116),(12-MONTH(E116)+1)/12,1))))))))&gt;0,(((K116)*(IF(M116="",L116,IFERROR(IF(INDEX(Variablen!$I:$AT, MATCH(M116, Variablen!$A:$A, 0), MATCH((YEAR(D116)+1), Variablen!$I$3:$AT$3, 0))="",L116,INDEX(Variablen!$I:$AT, MATCH(M116, Variablen!$A:$A, 0), MATCH((YEAR(D116)+1), Variablen!$I$3:$AT$3, 0))),L116)))*(IF((YEAR(D116)+1)&lt;YEAR(E116),0,IF((YEAR(D116)+1)&gt;YEAR(E116),1,(12-MONTH(E116)+1)/12))) + (Q116)*(IF((YEAR(D116)+1)&lt;YEAR(E116),0,IF((YEAR(D116)+1)&gt;YEAR(E116),1,(12-MONTH(E116)+1)/12))))-((P116)*(IF((YEAR(D116)+1)&lt;YEAR(E116),0,IF((YEAR(D116)+1)&gt;YEAR(E116),1,(12-MONTH(E116)+1)/12))) + (R116)*(IF((YEAR(D116)+1)&lt;YEAR(E116),0,IF((YEAR(D116)+1)&gt;YEAR(E116),1,(12-MONTH(E116)+1)/12))))-(IF(OR(N116="",N116&lt;=0),0,(O116/N116)*(IF(OR(N116="",N116&lt;=0),0,IF((YEAR(D116)+1)&lt;YEAR(E116),0,IF((YEAR(D116)+1)&gt;=YEAR(E116)+N116,0,IF((YEAR(D116)+1)=YEAR(E116),(12-MONTH(E116)+1)/12,1))))))))*TaxRate,0))-IF(1=0,O116,0))</f>
        <v/>
      </c>
      <c r="U116" s="29">
        <f>IF(A116="","",((K116)*(IF(M116="",L116,IFERROR(IF(INDEX(Variablen!$I:$AT, MATCH(M116, Variablen!$A:$A, 0), MATCH((YEAR(D116)+2), Variablen!$I$3:$AT$3, 0))="",L116,INDEX(Variablen!$I:$AT, MATCH(M116, Variablen!$A:$A, 0), MATCH((YEAR(D116)+2), Variablen!$I$3:$AT$3, 0))),L116)))*(IF((YEAR(D116)+2)&lt;YEAR(E116),0,IF((YEAR(D116)+2)&gt;YEAR(E116),1,(12-MONTH(E116)+1)/12))) + (Q116)*(IF((YEAR(D116)+2)&lt;YEAR(E116),0,IF((YEAR(D116)+2)&gt;YEAR(E116),1,(12-MONTH(E116)+1)/12))))-((P116)*(IF((YEAR(D116)+2)&lt;YEAR(E116),0,IF((YEAR(D116)+2)&gt;YEAR(E116),1,(12-MONTH(E116)+1)/12))) + (R116)*(IF((YEAR(D116)+2)&lt;YEAR(E116),0,IF((YEAR(D116)+2)&gt;YEAR(E116),1,(12-MONTH(E116)+1)/12))))-(IF((((K116)*(IF(M116="",L116,IFERROR(IF(INDEX(Variablen!$I:$AT, MATCH(M116, Variablen!$A:$A, 0), MATCH((YEAR(D116)+2), Variablen!$I$3:$AT$3, 0))="",L116,INDEX(Variablen!$I:$AT, MATCH(M116, Variablen!$A:$A, 0), MATCH((YEAR(D116)+2), Variablen!$I$3:$AT$3, 0))),L116)))*(IF((YEAR(D116)+2)&lt;YEAR(E116),0,IF((YEAR(D116)+2)&gt;YEAR(E116),1,(12-MONTH(E116)+1)/12))) + (Q116)*(IF((YEAR(D116)+2)&lt;YEAR(E116),0,IF((YEAR(D116)+2)&gt;YEAR(E116),1,(12-MONTH(E116)+1)/12))))-((P116)*(IF((YEAR(D116)+2)&lt;YEAR(E116),0,IF((YEAR(D116)+2)&gt;YEAR(E116),1,(12-MONTH(E116)+1)/12))) + (R116)*(IF((YEAR(D116)+2)&lt;YEAR(E116),0,IF((YEAR(D116)+2)&gt;YEAR(E116),1,(12-MONTH(E116)+1)/12))))-(IF(OR(N116="",N116&lt;=0),0,(O116/N116)*(IF(OR(N116="",N116&lt;=0),0,IF((YEAR(D116)+2)&lt;YEAR(E116),0,IF((YEAR(D116)+2)&gt;=YEAR(E116)+N116,0,IF((YEAR(D116)+2)=YEAR(E116),(12-MONTH(E116)+1)/12,1))))))))&gt;0,(((K116)*(IF(M116="",L116,IFERROR(IF(INDEX(Variablen!$I:$AT, MATCH(M116, Variablen!$A:$A, 0), MATCH((YEAR(D116)+2), Variablen!$I$3:$AT$3, 0))="",L116,INDEX(Variablen!$I:$AT, MATCH(M116, Variablen!$A:$A, 0), MATCH((YEAR(D116)+2), Variablen!$I$3:$AT$3, 0))),L116)))*(IF((YEAR(D116)+2)&lt;YEAR(E116),0,IF((YEAR(D116)+2)&gt;YEAR(E116),1,(12-MONTH(E116)+1)/12))) + (Q116)*(IF((YEAR(D116)+2)&lt;YEAR(E116),0,IF((YEAR(D116)+2)&gt;YEAR(E116),1,(12-MONTH(E116)+1)/12))))-((P116)*(IF((YEAR(D116)+2)&lt;YEAR(E116),0,IF((YEAR(D116)+2)&gt;YEAR(E116),1,(12-MONTH(E116)+1)/12))) + (R116)*(IF((YEAR(D116)+2)&lt;YEAR(E116),0,IF((YEAR(D116)+2)&gt;YEAR(E116),1,(12-MONTH(E116)+1)/12))))-(IF(OR(N116="",N116&lt;=0),0,(O116/N116)*(IF(OR(N116="",N116&lt;=0),0,IF((YEAR(D116)+2)&lt;YEAR(E116),0,IF((YEAR(D116)+2)&gt;=YEAR(E116)+N116,0,IF((YEAR(D116)+2)=YEAR(E116),(12-MONTH(E116)+1)/12,1))))))))*TaxRate,0))-IF(2=0,O116,0))</f>
        <v/>
      </c>
      <c r="V116" s="29">
        <f>IF(A116="","",((K116)*(IF(M116="",L116,IFERROR(IF(INDEX(Variablen!$I:$AT, MATCH(M116, Variablen!$A:$A, 0), MATCH((YEAR(D116)+3), Variablen!$I$3:$AT$3, 0))="",L116,INDEX(Variablen!$I:$AT, MATCH(M116, Variablen!$A:$A, 0), MATCH((YEAR(D116)+3), Variablen!$I$3:$AT$3, 0))),L116)))*(IF((YEAR(D116)+3)&lt;YEAR(E116),0,IF((YEAR(D116)+3)&gt;YEAR(E116),1,(12-MONTH(E116)+1)/12))) + (Q116)*(IF((YEAR(D116)+3)&lt;YEAR(E116),0,IF((YEAR(D116)+3)&gt;YEAR(E116),1,(12-MONTH(E116)+1)/12))))-((P116)*(IF((YEAR(D116)+3)&lt;YEAR(E116),0,IF((YEAR(D116)+3)&gt;YEAR(E116),1,(12-MONTH(E116)+1)/12))) + (R116)*(IF((YEAR(D116)+3)&lt;YEAR(E116),0,IF((YEAR(D116)+3)&gt;YEAR(E116),1,(12-MONTH(E116)+1)/12))))-(IF((((K116)*(IF(M116="",L116,IFERROR(IF(INDEX(Variablen!$I:$AT, MATCH(M116, Variablen!$A:$A, 0), MATCH((YEAR(D116)+3), Variablen!$I$3:$AT$3, 0))="",L116,INDEX(Variablen!$I:$AT, MATCH(M116, Variablen!$A:$A, 0), MATCH((YEAR(D116)+3), Variablen!$I$3:$AT$3, 0))),L116)))*(IF((YEAR(D116)+3)&lt;YEAR(E116),0,IF((YEAR(D116)+3)&gt;YEAR(E116),1,(12-MONTH(E116)+1)/12))) + (Q116)*(IF((YEAR(D116)+3)&lt;YEAR(E116),0,IF((YEAR(D116)+3)&gt;YEAR(E116),1,(12-MONTH(E116)+1)/12))))-((P116)*(IF((YEAR(D116)+3)&lt;YEAR(E116),0,IF((YEAR(D116)+3)&gt;YEAR(E116),1,(12-MONTH(E116)+1)/12))) + (R116)*(IF((YEAR(D116)+3)&lt;YEAR(E116),0,IF((YEAR(D116)+3)&gt;YEAR(E116),1,(12-MONTH(E116)+1)/12))))-(IF(OR(N116="",N116&lt;=0),0,(O116/N116)*(IF(OR(N116="",N116&lt;=0),0,IF((YEAR(D116)+3)&lt;YEAR(E116),0,IF((YEAR(D116)+3)&gt;=YEAR(E116)+N116,0,IF((YEAR(D116)+3)=YEAR(E116),(12-MONTH(E116)+1)/12,1))))))))&gt;0,(((K116)*(IF(M116="",L116,IFERROR(IF(INDEX(Variablen!$I:$AT, MATCH(M116, Variablen!$A:$A, 0), MATCH((YEAR(D116)+3), Variablen!$I$3:$AT$3, 0))="",L116,INDEX(Variablen!$I:$AT, MATCH(M116, Variablen!$A:$A, 0), MATCH((YEAR(D116)+3), Variablen!$I$3:$AT$3, 0))),L116)))*(IF((YEAR(D116)+3)&lt;YEAR(E116),0,IF((YEAR(D116)+3)&gt;YEAR(E116),1,(12-MONTH(E116)+1)/12))) + (Q116)*(IF((YEAR(D116)+3)&lt;YEAR(E116),0,IF((YEAR(D116)+3)&gt;YEAR(E116),1,(12-MONTH(E116)+1)/12))))-((P116)*(IF((YEAR(D116)+3)&lt;YEAR(E116),0,IF((YEAR(D116)+3)&gt;YEAR(E116),1,(12-MONTH(E116)+1)/12))) + (R116)*(IF((YEAR(D116)+3)&lt;YEAR(E116),0,IF((YEAR(D116)+3)&gt;YEAR(E116),1,(12-MONTH(E116)+1)/12))))-(IF(OR(N116="",N116&lt;=0),0,(O116/N116)*(IF(OR(N116="",N116&lt;=0),0,IF((YEAR(D116)+3)&lt;YEAR(E116),0,IF((YEAR(D116)+3)&gt;=YEAR(E116)+N116,0,IF((YEAR(D116)+3)=YEAR(E116),(12-MONTH(E116)+1)/12,1))))))))*TaxRate,0))-IF(3=0,O116,0))</f>
        <v/>
      </c>
      <c r="W116" s="29">
        <f>IF(A116="","",((K116)*(IF(M116="",L116,IFERROR(IF(INDEX(Variablen!$I:$AT, MATCH(M116, Variablen!$A:$A, 0), MATCH((YEAR(D116)+4), Variablen!$I$3:$AT$3, 0))="",L116,INDEX(Variablen!$I:$AT, MATCH(M116, Variablen!$A:$A, 0), MATCH((YEAR(D116)+4), Variablen!$I$3:$AT$3, 0))),L116)))*(IF((YEAR(D116)+4)&lt;YEAR(E116),0,IF((YEAR(D116)+4)&gt;YEAR(E116),1,(12-MONTH(E116)+1)/12))) + (Q116)*(IF((YEAR(D116)+4)&lt;YEAR(E116),0,IF((YEAR(D116)+4)&gt;YEAR(E116),1,(12-MONTH(E116)+1)/12))))-((P116)*(IF((YEAR(D116)+4)&lt;YEAR(E116),0,IF((YEAR(D116)+4)&gt;YEAR(E116),1,(12-MONTH(E116)+1)/12))) + (R116)*(IF((YEAR(D116)+4)&lt;YEAR(E116),0,IF((YEAR(D116)+4)&gt;YEAR(E116),1,(12-MONTH(E116)+1)/12))))-(IF((((K116)*(IF(M116="",L116,IFERROR(IF(INDEX(Variablen!$I:$AT, MATCH(M116, Variablen!$A:$A, 0), MATCH((YEAR(D116)+4), Variablen!$I$3:$AT$3, 0))="",L116,INDEX(Variablen!$I:$AT, MATCH(M116, Variablen!$A:$A, 0), MATCH((YEAR(D116)+4), Variablen!$I$3:$AT$3, 0))),L116)))*(IF((YEAR(D116)+4)&lt;YEAR(E116),0,IF((YEAR(D116)+4)&gt;YEAR(E116),1,(12-MONTH(E116)+1)/12))) + (Q116)*(IF((YEAR(D116)+4)&lt;YEAR(E116),0,IF((YEAR(D116)+4)&gt;YEAR(E116),1,(12-MONTH(E116)+1)/12))))-((P116)*(IF((YEAR(D116)+4)&lt;YEAR(E116),0,IF((YEAR(D116)+4)&gt;YEAR(E116),1,(12-MONTH(E116)+1)/12))) + (R116)*(IF((YEAR(D116)+4)&lt;YEAR(E116),0,IF((YEAR(D116)+4)&gt;YEAR(E116),1,(12-MONTH(E116)+1)/12))))-(IF(OR(N116="",N116&lt;=0),0,(O116/N116)*(IF(OR(N116="",N116&lt;=0),0,IF((YEAR(D116)+4)&lt;YEAR(E116),0,IF((YEAR(D116)+4)&gt;=YEAR(E116)+N116,0,IF((YEAR(D116)+4)=YEAR(E116),(12-MONTH(E116)+1)/12,1))))))))&gt;0,(((K116)*(IF(M116="",L116,IFERROR(IF(INDEX(Variablen!$I:$AT, MATCH(M116, Variablen!$A:$A, 0), MATCH((YEAR(D116)+4), Variablen!$I$3:$AT$3, 0))="",L116,INDEX(Variablen!$I:$AT, MATCH(M116, Variablen!$A:$A, 0), MATCH((YEAR(D116)+4), Variablen!$I$3:$AT$3, 0))),L116)))*(IF((YEAR(D116)+4)&lt;YEAR(E116),0,IF((YEAR(D116)+4)&gt;YEAR(E116),1,(12-MONTH(E116)+1)/12))) + (Q116)*(IF((YEAR(D116)+4)&lt;YEAR(E116),0,IF((YEAR(D116)+4)&gt;YEAR(E116),1,(12-MONTH(E116)+1)/12))))-((P116)*(IF((YEAR(D116)+4)&lt;YEAR(E116),0,IF((YEAR(D116)+4)&gt;YEAR(E116),1,(12-MONTH(E116)+1)/12))) + (R116)*(IF((YEAR(D116)+4)&lt;YEAR(E116),0,IF((YEAR(D116)+4)&gt;YEAR(E116),1,(12-MONTH(E116)+1)/12))))-(IF(OR(N116="",N116&lt;=0),0,(O116/N116)*(IF(OR(N116="",N116&lt;=0),0,IF((YEAR(D116)+4)&lt;YEAR(E116),0,IF((YEAR(D116)+4)&gt;=YEAR(E116)+N116,0,IF((YEAR(D116)+4)=YEAR(E116),(12-MONTH(E116)+1)/12,1))))))))*TaxRate,0))-IF(4=0,O116,0))</f>
        <v/>
      </c>
      <c r="X116" s="29">
        <f>IF(A116="","",((K116)*(IF(M116="",L116,IFERROR(IF(INDEX(Variablen!$I:$AT, MATCH(M116, Variablen!$A:$A, 0), MATCH((YEAR(D116)+5), Variablen!$I$3:$AT$3, 0))="",L116,INDEX(Variablen!$I:$AT, MATCH(M116, Variablen!$A:$A, 0), MATCH((YEAR(D116)+5), Variablen!$I$3:$AT$3, 0))),L116)))*(IF((YEAR(D116)+5)&lt;YEAR(E116),0,IF((YEAR(D116)+5)&gt;YEAR(E116),1,(12-MONTH(E116)+1)/12))) + (Q116)*(IF((YEAR(D116)+5)&lt;YEAR(E116),0,IF((YEAR(D116)+5)&gt;YEAR(E116),1,(12-MONTH(E116)+1)/12))))-((P116)*(IF((YEAR(D116)+5)&lt;YEAR(E116),0,IF((YEAR(D116)+5)&gt;YEAR(E116),1,(12-MONTH(E116)+1)/12))) + (R116)*(IF((YEAR(D116)+5)&lt;YEAR(E116),0,IF((YEAR(D116)+5)&gt;YEAR(E116),1,(12-MONTH(E116)+1)/12))))-(IF((((K116)*(IF(M116="",L116,IFERROR(IF(INDEX(Variablen!$I:$AT, MATCH(M116, Variablen!$A:$A, 0), MATCH((YEAR(D116)+5), Variablen!$I$3:$AT$3, 0))="",L116,INDEX(Variablen!$I:$AT, MATCH(M116, Variablen!$A:$A, 0), MATCH((YEAR(D116)+5), Variablen!$I$3:$AT$3, 0))),L116)))*(IF((YEAR(D116)+5)&lt;YEAR(E116),0,IF((YEAR(D116)+5)&gt;YEAR(E116),1,(12-MONTH(E116)+1)/12))) + (Q116)*(IF((YEAR(D116)+5)&lt;YEAR(E116),0,IF((YEAR(D116)+5)&gt;YEAR(E116),1,(12-MONTH(E116)+1)/12))))-((P116)*(IF((YEAR(D116)+5)&lt;YEAR(E116),0,IF((YEAR(D116)+5)&gt;YEAR(E116),1,(12-MONTH(E116)+1)/12))) + (R116)*(IF((YEAR(D116)+5)&lt;YEAR(E116),0,IF((YEAR(D116)+5)&gt;YEAR(E116),1,(12-MONTH(E116)+1)/12))))-(IF(OR(N116="",N116&lt;=0),0,(O116/N116)*(IF(OR(N116="",N116&lt;=0),0,IF((YEAR(D116)+5)&lt;YEAR(E116),0,IF((YEAR(D116)+5)&gt;=YEAR(E116)+N116,0,IF((YEAR(D116)+5)=YEAR(E116),(12-MONTH(E116)+1)/12,1))))))))&gt;0,(((K116)*(IF(M116="",L116,IFERROR(IF(INDEX(Variablen!$I:$AT, MATCH(M116, Variablen!$A:$A, 0), MATCH((YEAR(D116)+5), Variablen!$I$3:$AT$3, 0))="",L116,INDEX(Variablen!$I:$AT, MATCH(M116, Variablen!$A:$A, 0), MATCH((YEAR(D116)+5), Variablen!$I$3:$AT$3, 0))),L116)))*(IF((YEAR(D116)+5)&lt;YEAR(E116),0,IF((YEAR(D116)+5)&gt;YEAR(E116),1,(12-MONTH(E116)+1)/12))) + (Q116)*(IF((YEAR(D116)+5)&lt;YEAR(E116),0,IF((YEAR(D116)+5)&gt;YEAR(E116),1,(12-MONTH(E116)+1)/12))))-((P116)*(IF((YEAR(D116)+5)&lt;YEAR(E116),0,IF((YEAR(D116)+5)&gt;YEAR(E116),1,(12-MONTH(E116)+1)/12))) + (R116)*(IF((YEAR(D116)+5)&lt;YEAR(E116),0,IF((YEAR(D116)+5)&gt;YEAR(E116),1,(12-MONTH(E116)+1)/12))))-(IF(OR(N116="",N116&lt;=0),0,(O116/N116)*(IF(OR(N116="",N116&lt;=0),0,IF((YEAR(D116)+5)&lt;YEAR(E116),0,IF((YEAR(D116)+5)&gt;=YEAR(E116)+N116,0,IF((YEAR(D116)+5)=YEAR(E116),(12-MONTH(E116)+1)/12,1))))))))*TaxRate,0))-IF(5=0,O116,0))</f>
        <v/>
      </c>
      <c r="Y116" s="29">
        <f>IF(A116="","",((K116)*(IF(M116="",L116,IFERROR(IF(INDEX(Variablen!$I:$AT, MATCH(M116, Variablen!$A:$A, 0), MATCH((YEAR(D116)+6), Variablen!$I$3:$AT$3, 0))="",L116,INDEX(Variablen!$I:$AT, MATCH(M116, Variablen!$A:$A, 0), MATCH((YEAR(D116)+6), Variablen!$I$3:$AT$3, 0))),L116)))*(IF((YEAR(D116)+6)&lt;YEAR(E116),0,IF((YEAR(D116)+6)&gt;YEAR(E116),1,(12-MONTH(E116)+1)/12))) + (Q116)*(IF((YEAR(D116)+6)&lt;YEAR(E116),0,IF((YEAR(D116)+6)&gt;YEAR(E116),1,(12-MONTH(E116)+1)/12))))-((P116)*(IF((YEAR(D116)+6)&lt;YEAR(E116),0,IF((YEAR(D116)+6)&gt;YEAR(E116),1,(12-MONTH(E116)+1)/12))) + (R116)*(IF((YEAR(D116)+6)&lt;YEAR(E116),0,IF((YEAR(D116)+6)&gt;YEAR(E116),1,(12-MONTH(E116)+1)/12))))-(IF((((K116)*(IF(M116="",L116,IFERROR(IF(INDEX(Variablen!$I:$AT, MATCH(M116, Variablen!$A:$A, 0), MATCH((YEAR(D116)+6), Variablen!$I$3:$AT$3, 0))="",L116,INDEX(Variablen!$I:$AT, MATCH(M116, Variablen!$A:$A, 0), MATCH((YEAR(D116)+6), Variablen!$I$3:$AT$3, 0))),L116)))*(IF((YEAR(D116)+6)&lt;YEAR(E116),0,IF((YEAR(D116)+6)&gt;YEAR(E116),1,(12-MONTH(E116)+1)/12))) + (Q116)*(IF((YEAR(D116)+6)&lt;YEAR(E116),0,IF((YEAR(D116)+6)&gt;YEAR(E116),1,(12-MONTH(E116)+1)/12))))-((P116)*(IF((YEAR(D116)+6)&lt;YEAR(E116),0,IF((YEAR(D116)+6)&gt;YEAR(E116),1,(12-MONTH(E116)+1)/12))) + (R116)*(IF((YEAR(D116)+6)&lt;YEAR(E116),0,IF((YEAR(D116)+6)&gt;YEAR(E116),1,(12-MONTH(E116)+1)/12))))-(IF(OR(N116="",N116&lt;=0),0,(O116/N116)*(IF(OR(N116="",N116&lt;=0),0,IF((YEAR(D116)+6)&lt;YEAR(E116),0,IF((YEAR(D116)+6)&gt;=YEAR(E116)+N116,0,IF((YEAR(D116)+6)=YEAR(E116),(12-MONTH(E116)+1)/12,1))))))))&gt;0,(((K116)*(IF(M116="",L116,IFERROR(IF(INDEX(Variablen!$I:$AT, MATCH(M116, Variablen!$A:$A, 0), MATCH((YEAR(D116)+6), Variablen!$I$3:$AT$3, 0))="",L116,INDEX(Variablen!$I:$AT, MATCH(M116, Variablen!$A:$A, 0), MATCH((YEAR(D116)+6), Variablen!$I$3:$AT$3, 0))),L116)))*(IF((YEAR(D116)+6)&lt;YEAR(E116),0,IF((YEAR(D116)+6)&gt;YEAR(E116),1,(12-MONTH(E116)+1)/12))) + (Q116)*(IF((YEAR(D116)+6)&lt;YEAR(E116),0,IF((YEAR(D116)+6)&gt;YEAR(E116),1,(12-MONTH(E116)+1)/12))))-((P116)*(IF((YEAR(D116)+6)&lt;YEAR(E116),0,IF((YEAR(D116)+6)&gt;YEAR(E116),1,(12-MONTH(E116)+1)/12))) + (R116)*(IF((YEAR(D116)+6)&lt;YEAR(E116),0,IF((YEAR(D116)+6)&gt;YEAR(E116),1,(12-MONTH(E116)+1)/12))))-(IF(OR(N116="",N116&lt;=0),0,(O116/N116)*(IF(OR(N116="",N116&lt;=0),0,IF((YEAR(D116)+6)&lt;YEAR(E116),0,IF((YEAR(D116)+6)&gt;=YEAR(E116)+N116,0,IF((YEAR(D116)+6)=YEAR(E116),(12-MONTH(E116)+1)/12,1))))))))*TaxRate,0))-IF(6=0,O116,0))</f>
        <v/>
      </c>
      <c r="Z116" s="29">
        <f>IF(A116="","",((K116)*(IF(M116="",L116,IFERROR(IF(INDEX(Variablen!$I:$AT, MATCH(M116, Variablen!$A:$A, 0), MATCH((YEAR(D116)+7), Variablen!$I$3:$AT$3, 0))="",L116,INDEX(Variablen!$I:$AT, MATCH(M116, Variablen!$A:$A, 0), MATCH((YEAR(D116)+7), Variablen!$I$3:$AT$3, 0))),L116)))*(IF((YEAR(D116)+7)&lt;YEAR(E116),0,IF((YEAR(D116)+7)&gt;YEAR(E116),1,(12-MONTH(E116)+1)/12))) + (Q116)*(IF((YEAR(D116)+7)&lt;YEAR(E116),0,IF((YEAR(D116)+7)&gt;YEAR(E116),1,(12-MONTH(E116)+1)/12))))-((P116)*(IF((YEAR(D116)+7)&lt;YEAR(E116),0,IF((YEAR(D116)+7)&gt;YEAR(E116),1,(12-MONTH(E116)+1)/12))) + (R116)*(IF((YEAR(D116)+7)&lt;YEAR(E116),0,IF((YEAR(D116)+7)&gt;YEAR(E116),1,(12-MONTH(E116)+1)/12))))-(IF((((K116)*(IF(M116="",L116,IFERROR(IF(INDEX(Variablen!$I:$AT, MATCH(M116, Variablen!$A:$A, 0), MATCH((YEAR(D116)+7), Variablen!$I$3:$AT$3, 0))="",L116,INDEX(Variablen!$I:$AT, MATCH(M116, Variablen!$A:$A, 0), MATCH((YEAR(D116)+7), Variablen!$I$3:$AT$3, 0))),L116)))*(IF((YEAR(D116)+7)&lt;YEAR(E116),0,IF((YEAR(D116)+7)&gt;YEAR(E116),1,(12-MONTH(E116)+1)/12))) + (Q116)*(IF((YEAR(D116)+7)&lt;YEAR(E116),0,IF((YEAR(D116)+7)&gt;YEAR(E116),1,(12-MONTH(E116)+1)/12))))-((P116)*(IF((YEAR(D116)+7)&lt;YEAR(E116),0,IF((YEAR(D116)+7)&gt;YEAR(E116),1,(12-MONTH(E116)+1)/12))) + (R116)*(IF((YEAR(D116)+7)&lt;YEAR(E116),0,IF((YEAR(D116)+7)&gt;YEAR(E116),1,(12-MONTH(E116)+1)/12))))-(IF(OR(N116="",N116&lt;=0),0,(O116/N116)*(IF(OR(N116="",N116&lt;=0),0,IF((YEAR(D116)+7)&lt;YEAR(E116),0,IF((YEAR(D116)+7)&gt;=YEAR(E116)+N116,0,IF((YEAR(D116)+7)=YEAR(E116),(12-MONTH(E116)+1)/12,1))))))))&gt;0,(((K116)*(IF(M116="",L116,IFERROR(IF(INDEX(Variablen!$I:$AT, MATCH(M116, Variablen!$A:$A, 0), MATCH((YEAR(D116)+7), Variablen!$I$3:$AT$3, 0))="",L116,INDEX(Variablen!$I:$AT, MATCH(M116, Variablen!$A:$A, 0), MATCH((YEAR(D116)+7), Variablen!$I$3:$AT$3, 0))),L116)))*(IF((YEAR(D116)+7)&lt;YEAR(E116),0,IF((YEAR(D116)+7)&gt;YEAR(E116),1,(12-MONTH(E116)+1)/12))) + (Q116)*(IF((YEAR(D116)+7)&lt;YEAR(E116),0,IF((YEAR(D116)+7)&gt;YEAR(E116),1,(12-MONTH(E116)+1)/12))))-((P116)*(IF((YEAR(D116)+7)&lt;YEAR(E116),0,IF((YEAR(D116)+7)&gt;YEAR(E116),1,(12-MONTH(E116)+1)/12))) + (R116)*(IF((YEAR(D116)+7)&lt;YEAR(E116),0,IF((YEAR(D116)+7)&gt;YEAR(E116),1,(12-MONTH(E116)+1)/12))))-(IF(OR(N116="",N116&lt;=0),0,(O116/N116)*(IF(OR(N116="",N116&lt;=0),0,IF((YEAR(D116)+7)&lt;YEAR(E116),0,IF((YEAR(D116)+7)&gt;=YEAR(E116)+N116,0,IF((YEAR(D116)+7)=YEAR(E116),(12-MONTH(E116)+1)/12,1))))))))*TaxRate,0))-IF(7=0,O116,0))</f>
        <v/>
      </c>
      <c r="AA116" s="29">
        <f>IF(A116="","",((K116)*(IF(M116="",L116,IFERROR(IF(INDEX(Variablen!$I:$AT, MATCH(M116, Variablen!$A:$A, 0), MATCH((YEAR(D116)+8), Variablen!$I$3:$AT$3, 0))="",L116,INDEX(Variablen!$I:$AT, MATCH(M116, Variablen!$A:$A, 0), MATCH((YEAR(D116)+8), Variablen!$I$3:$AT$3, 0))),L116)))*(IF((YEAR(D116)+8)&lt;YEAR(E116),0,IF((YEAR(D116)+8)&gt;YEAR(E116),1,(12-MONTH(E116)+1)/12))) + (Q116)*(IF((YEAR(D116)+8)&lt;YEAR(E116),0,IF((YEAR(D116)+8)&gt;YEAR(E116),1,(12-MONTH(E116)+1)/12))))-((P116)*(IF((YEAR(D116)+8)&lt;YEAR(E116),0,IF((YEAR(D116)+8)&gt;YEAR(E116),1,(12-MONTH(E116)+1)/12))) + (R116)*(IF((YEAR(D116)+8)&lt;YEAR(E116),0,IF((YEAR(D116)+8)&gt;YEAR(E116),1,(12-MONTH(E116)+1)/12))))-(IF((((K116)*(IF(M116="",L116,IFERROR(IF(INDEX(Variablen!$I:$AT, MATCH(M116, Variablen!$A:$A, 0), MATCH((YEAR(D116)+8), Variablen!$I$3:$AT$3, 0))="",L116,INDEX(Variablen!$I:$AT, MATCH(M116, Variablen!$A:$A, 0), MATCH((YEAR(D116)+8), Variablen!$I$3:$AT$3, 0))),L116)))*(IF((YEAR(D116)+8)&lt;YEAR(E116),0,IF((YEAR(D116)+8)&gt;YEAR(E116),1,(12-MONTH(E116)+1)/12))) + (Q116)*(IF((YEAR(D116)+8)&lt;YEAR(E116),0,IF((YEAR(D116)+8)&gt;YEAR(E116),1,(12-MONTH(E116)+1)/12))))-((P116)*(IF((YEAR(D116)+8)&lt;YEAR(E116),0,IF((YEAR(D116)+8)&gt;YEAR(E116),1,(12-MONTH(E116)+1)/12))) + (R116)*(IF((YEAR(D116)+8)&lt;YEAR(E116),0,IF((YEAR(D116)+8)&gt;YEAR(E116),1,(12-MONTH(E116)+1)/12))))-(IF(OR(N116="",N116&lt;=0),0,(O116/N116)*(IF(OR(N116="",N116&lt;=0),0,IF((YEAR(D116)+8)&lt;YEAR(E116),0,IF((YEAR(D116)+8)&gt;=YEAR(E116)+N116,0,IF((YEAR(D116)+8)=YEAR(E116),(12-MONTH(E116)+1)/12,1))))))))&gt;0,(((K116)*(IF(M116="",L116,IFERROR(IF(INDEX(Variablen!$I:$AT, MATCH(M116, Variablen!$A:$A, 0), MATCH((YEAR(D116)+8), Variablen!$I$3:$AT$3, 0))="",L116,INDEX(Variablen!$I:$AT, MATCH(M116, Variablen!$A:$A, 0), MATCH((YEAR(D116)+8), Variablen!$I$3:$AT$3, 0))),L116)))*(IF((YEAR(D116)+8)&lt;YEAR(E116),0,IF((YEAR(D116)+8)&gt;YEAR(E116),1,(12-MONTH(E116)+1)/12))) + (Q116)*(IF((YEAR(D116)+8)&lt;YEAR(E116),0,IF((YEAR(D116)+8)&gt;YEAR(E116),1,(12-MONTH(E116)+1)/12))))-((P116)*(IF((YEAR(D116)+8)&lt;YEAR(E116),0,IF((YEAR(D116)+8)&gt;YEAR(E116),1,(12-MONTH(E116)+1)/12))) + (R116)*(IF((YEAR(D116)+8)&lt;YEAR(E116),0,IF((YEAR(D116)+8)&gt;YEAR(E116),1,(12-MONTH(E116)+1)/12))))-(IF(OR(N116="",N116&lt;=0),0,(O116/N116)*(IF(OR(N116="",N116&lt;=0),0,IF((YEAR(D116)+8)&lt;YEAR(E116),0,IF((YEAR(D116)+8)&gt;=YEAR(E116)+N116,0,IF((YEAR(D116)+8)=YEAR(E116),(12-MONTH(E116)+1)/12,1))))))))*TaxRate,0))-IF(8=0,O116,0))</f>
        <v/>
      </c>
      <c r="AB116" s="29">
        <f>IF(A116="","",((K116)*(IF(M116="",L116,IFERROR(IF(INDEX(Variablen!$I:$AT, MATCH(M116, Variablen!$A:$A, 0), MATCH((YEAR(D116)+9), Variablen!$I$3:$AT$3, 0))="",L116,INDEX(Variablen!$I:$AT, MATCH(M116, Variablen!$A:$A, 0), MATCH((YEAR(D116)+9), Variablen!$I$3:$AT$3, 0))),L116)))*(IF((YEAR(D116)+9)&lt;YEAR(E116),0,IF((YEAR(D116)+9)&gt;YEAR(E116),1,(12-MONTH(E116)+1)/12))) + (Q116)*(IF((YEAR(D116)+9)&lt;YEAR(E116),0,IF((YEAR(D116)+9)&gt;YEAR(E116),1,(12-MONTH(E116)+1)/12))))-((P116)*(IF((YEAR(D116)+9)&lt;YEAR(E116),0,IF((YEAR(D116)+9)&gt;YEAR(E116),1,(12-MONTH(E116)+1)/12))) + (R116)*(IF((YEAR(D116)+9)&lt;YEAR(E116),0,IF((YEAR(D116)+9)&gt;YEAR(E116),1,(12-MONTH(E116)+1)/12))))-(IF((((K116)*(IF(M116="",L116,IFERROR(IF(INDEX(Variablen!$I:$AT, MATCH(M116, Variablen!$A:$A, 0), MATCH((YEAR(D116)+9), Variablen!$I$3:$AT$3, 0))="",L116,INDEX(Variablen!$I:$AT, MATCH(M116, Variablen!$A:$A, 0), MATCH((YEAR(D116)+9), Variablen!$I$3:$AT$3, 0))),L116)))*(IF((YEAR(D116)+9)&lt;YEAR(E116),0,IF((YEAR(D116)+9)&gt;YEAR(E116),1,(12-MONTH(E116)+1)/12))) + (Q116)*(IF((YEAR(D116)+9)&lt;YEAR(E116),0,IF((YEAR(D116)+9)&gt;YEAR(E116),1,(12-MONTH(E116)+1)/12))))-((P116)*(IF((YEAR(D116)+9)&lt;YEAR(E116),0,IF((YEAR(D116)+9)&gt;YEAR(E116),1,(12-MONTH(E116)+1)/12))) + (R116)*(IF((YEAR(D116)+9)&lt;YEAR(E116),0,IF((YEAR(D116)+9)&gt;YEAR(E116),1,(12-MONTH(E116)+1)/12))))-(IF(OR(N116="",N116&lt;=0),0,(O116/N116)*(IF(OR(N116="",N116&lt;=0),0,IF((YEAR(D116)+9)&lt;YEAR(E116),0,IF((YEAR(D116)+9)&gt;=YEAR(E116)+N116,0,IF((YEAR(D116)+9)=YEAR(E116),(12-MONTH(E116)+1)/12,1))))))))&gt;0,(((K116)*(IF(M116="",L116,IFERROR(IF(INDEX(Variablen!$I:$AT, MATCH(M116, Variablen!$A:$A, 0), MATCH((YEAR(D116)+9), Variablen!$I$3:$AT$3, 0))="",L116,INDEX(Variablen!$I:$AT, MATCH(M116, Variablen!$A:$A, 0), MATCH((YEAR(D116)+9), Variablen!$I$3:$AT$3, 0))),L116)))*(IF((YEAR(D116)+9)&lt;YEAR(E116),0,IF((YEAR(D116)+9)&gt;YEAR(E116),1,(12-MONTH(E116)+1)/12))) + (Q116)*(IF((YEAR(D116)+9)&lt;YEAR(E116),0,IF((YEAR(D116)+9)&gt;YEAR(E116),1,(12-MONTH(E116)+1)/12))))-((P116)*(IF((YEAR(D116)+9)&lt;YEAR(E116),0,IF((YEAR(D116)+9)&gt;YEAR(E116),1,(12-MONTH(E116)+1)/12))) + (R116)*(IF((YEAR(D116)+9)&lt;YEAR(E116),0,IF((YEAR(D116)+9)&gt;YEAR(E116),1,(12-MONTH(E116)+1)/12))))-(IF(OR(N116="",N116&lt;=0),0,(O116/N116)*(IF(OR(N116="",N116&lt;=0),0,IF((YEAR(D116)+9)&lt;YEAR(E116),0,IF((YEAR(D116)+9)&gt;=YEAR(E116)+N116,0,IF((YEAR(D116)+9)=YEAR(E116),(12-MONTH(E116)+1)/12,1))))))))*TaxRate,0))-IF(9=0,O116,0))</f>
        <v/>
      </c>
      <c r="AC116" s="29">
        <f>IF(A116="","",((K116)*(IF(M116="",L116,IFERROR(IF(INDEX(Variablen!$I:$AT, MATCH(M116, Variablen!$A:$A, 0), MATCH((YEAR(D116)+10), Variablen!$I$3:$AT$3, 0))="",L116,INDEX(Variablen!$I:$AT, MATCH(M116, Variablen!$A:$A, 0), MATCH((YEAR(D116)+10), Variablen!$I$3:$AT$3, 0))),L116)))*(IF((YEAR(D116)+10)&lt;YEAR(E116),0,IF((YEAR(D116)+10)&gt;YEAR(E116),1,(12-MONTH(E116)+1)/12))) + (Q116)*(IF((YEAR(D116)+10)&lt;YEAR(E116),0,IF((YEAR(D116)+10)&gt;YEAR(E116),1,(12-MONTH(E116)+1)/12))))-((P116)*(IF((YEAR(D116)+10)&lt;YEAR(E116),0,IF((YEAR(D116)+10)&gt;YEAR(E116),1,(12-MONTH(E116)+1)/12))) + (R116)*(IF((YEAR(D116)+10)&lt;YEAR(E116),0,IF((YEAR(D116)+10)&gt;YEAR(E116),1,(12-MONTH(E116)+1)/12))))-(IF((((K116)*(IF(M116="",L116,IFERROR(IF(INDEX(Variablen!$I:$AT, MATCH(M116, Variablen!$A:$A, 0), MATCH((YEAR(D116)+10), Variablen!$I$3:$AT$3, 0))="",L116,INDEX(Variablen!$I:$AT, MATCH(M116, Variablen!$A:$A, 0), MATCH((YEAR(D116)+10), Variablen!$I$3:$AT$3, 0))),L116)))*(IF((YEAR(D116)+10)&lt;YEAR(E116),0,IF((YEAR(D116)+10)&gt;YEAR(E116),1,(12-MONTH(E116)+1)/12))) + (Q116)*(IF((YEAR(D116)+10)&lt;YEAR(E116),0,IF((YEAR(D116)+10)&gt;YEAR(E116),1,(12-MONTH(E116)+1)/12))))-((P116)*(IF((YEAR(D116)+10)&lt;YEAR(E116),0,IF((YEAR(D116)+10)&gt;YEAR(E116),1,(12-MONTH(E116)+1)/12))) + (R116)*(IF((YEAR(D116)+10)&lt;YEAR(E116),0,IF((YEAR(D116)+10)&gt;YEAR(E116),1,(12-MONTH(E116)+1)/12))))-(IF(OR(N116="",N116&lt;=0),0,(O116/N116)*(IF(OR(N116="",N116&lt;=0),0,IF((YEAR(D116)+10)&lt;YEAR(E116),0,IF((YEAR(D116)+10)&gt;=YEAR(E116)+N116,0,IF((YEAR(D116)+10)=YEAR(E116),(12-MONTH(E116)+1)/12,1))))))))&gt;0,(((K116)*(IF(M116="",L116,IFERROR(IF(INDEX(Variablen!$I:$AT, MATCH(M116, Variablen!$A:$A, 0), MATCH((YEAR(D116)+10), Variablen!$I$3:$AT$3, 0))="",L116,INDEX(Variablen!$I:$AT, MATCH(M116, Variablen!$A:$A, 0), MATCH((YEAR(D116)+10), Variablen!$I$3:$AT$3, 0))),L116)))*(IF((YEAR(D116)+10)&lt;YEAR(E116),0,IF((YEAR(D116)+10)&gt;YEAR(E116),1,(12-MONTH(E116)+1)/12))) + (Q116)*(IF((YEAR(D116)+10)&lt;YEAR(E116),0,IF((YEAR(D116)+10)&gt;YEAR(E116),1,(12-MONTH(E116)+1)/12))))-((P116)*(IF((YEAR(D116)+10)&lt;YEAR(E116),0,IF((YEAR(D116)+10)&gt;YEAR(E116),1,(12-MONTH(E116)+1)/12))) + (R116)*(IF((YEAR(D116)+10)&lt;YEAR(E116),0,IF((YEAR(D116)+10)&gt;YEAR(E116),1,(12-MONTH(E116)+1)/12))))-(IF(OR(N116="",N116&lt;=0),0,(O116/N116)*(IF(OR(N116="",N116&lt;=0),0,IF((YEAR(D116)+10)&lt;YEAR(E116),0,IF((YEAR(D116)+10)&gt;=YEAR(E116)+N116,0,IF((YEAR(D116)+10)=YEAR(E116),(12-MONTH(E116)+1)/12,1))))))))*TaxRate,0))-IF(10=0,O116,0))</f>
        <v/>
      </c>
      <c r="AD116" s="29">
        <f>IF(A116="","",((K116)*(IF(M116="",L116,IFERROR(IF(INDEX(Variablen!$I:$AT, MATCH(M116, Variablen!$A:$A, 0), MATCH((YEAR(D116)+11), Variablen!$I$3:$AT$3, 0))="",L116,INDEX(Variablen!$I:$AT, MATCH(M116, Variablen!$A:$A, 0), MATCH((YEAR(D116)+11), Variablen!$I$3:$AT$3, 0))),L116)))*(IF((YEAR(D116)+11)&lt;YEAR(E116),0,IF((YEAR(D116)+11)&gt;YEAR(E116),1,(12-MONTH(E116)+1)/12))) + (Q116)*(IF((YEAR(D116)+11)&lt;YEAR(E116),0,IF((YEAR(D116)+11)&gt;YEAR(E116),1,(12-MONTH(E116)+1)/12))))-((P116)*(IF((YEAR(D116)+11)&lt;YEAR(E116),0,IF((YEAR(D116)+11)&gt;YEAR(E116),1,(12-MONTH(E116)+1)/12))) + (R116)*(IF((YEAR(D116)+11)&lt;YEAR(E116),0,IF((YEAR(D116)+11)&gt;YEAR(E116),1,(12-MONTH(E116)+1)/12))))-(IF((((K116)*(IF(M116="",L116,IFERROR(IF(INDEX(Variablen!$I:$AT, MATCH(M116, Variablen!$A:$A, 0), MATCH((YEAR(D116)+11), Variablen!$I$3:$AT$3, 0))="",L116,INDEX(Variablen!$I:$AT, MATCH(M116, Variablen!$A:$A, 0), MATCH((YEAR(D116)+11), Variablen!$I$3:$AT$3, 0))),L116)))*(IF((YEAR(D116)+11)&lt;YEAR(E116),0,IF((YEAR(D116)+11)&gt;YEAR(E116),1,(12-MONTH(E116)+1)/12))) + (Q116)*(IF((YEAR(D116)+11)&lt;YEAR(E116),0,IF((YEAR(D116)+11)&gt;YEAR(E116),1,(12-MONTH(E116)+1)/12))))-((P116)*(IF((YEAR(D116)+11)&lt;YEAR(E116),0,IF((YEAR(D116)+11)&gt;YEAR(E116),1,(12-MONTH(E116)+1)/12))) + (R116)*(IF((YEAR(D116)+11)&lt;YEAR(E116),0,IF((YEAR(D116)+11)&gt;YEAR(E116),1,(12-MONTH(E116)+1)/12))))-(IF(OR(N116="",N116&lt;=0),0,(O116/N116)*(IF(OR(N116="",N116&lt;=0),0,IF((YEAR(D116)+11)&lt;YEAR(E116),0,IF((YEAR(D116)+11)&gt;=YEAR(E116)+N116,0,IF((YEAR(D116)+11)=YEAR(E116),(12-MONTH(E116)+1)/12,1))))))))&gt;0,(((K116)*(IF(M116="",L116,IFERROR(IF(INDEX(Variablen!$I:$AT, MATCH(M116, Variablen!$A:$A, 0), MATCH((YEAR(D116)+11), Variablen!$I$3:$AT$3, 0))="",L116,INDEX(Variablen!$I:$AT, MATCH(M116, Variablen!$A:$A, 0), MATCH((YEAR(D116)+11), Variablen!$I$3:$AT$3, 0))),L116)))*(IF((YEAR(D116)+11)&lt;YEAR(E116),0,IF((YEAR(D116)+11)&gt;YEAR(E116),1,(12-MONTH(E116)+1)/12))) + (Q116)*(IF((YEAR(D116)+11)&lt;YEAR(E116),0,IF((YEAR(D116)+11)&gt;YEAR(E116),1,(12-MONTH(E116)+1)/12))))-((P116)*(IF((YEAR(D116)+11)&lt;YEAR(E116),0,IF((YEAR(D116)+11)&gt;YEAR(E116),1,(12-MONTH(E116)+1)/12))) + (R116)*(IF((YEAR(D116)+11)&lt;YEAR(E116),0,IF((YEAR(D116)+11)&gt;YEAR(E116),1,(12-MONTH(E116)+1)/12))))-(IF(OR(N116="",N116&lt;=0),0,(O116/N116)*(IF(OR(N116="",N116&lt;=0),0,IF((YEAR(D116)+11)&lt;YEAR(E116),0,IF((YEAR(D116)+11)&gt;=YEAR(E116)+N116,0,IF((YEAR(D116)+11)=YEAR(E116),(12-MONTH(E116)+1)/12,1))))))))*TaxRate,0))-IF(11=0,O116,0))</f>
        <v/>
      </c>
      <c r="AE116" s="29">
        <f>IF(A116="","",((K116)*(IF(M116="",L116,IFERROR(IF(INDEX(Variablen!$I:$AT, MATCH(M116, Variablen!$A:$A, 0), MATCH((YEAR(D116)+12), Variablen!$I$3:$AT$3, 0))="",L116,INDEX(Variablen!$I:$AT, MATCH(M116, Variablen!$A:$A, 0), MATCH((YEAR(D116)+12), Variablen!$I$3:$AT$3, 0))),L116)))*(IF((YEAR(D116)+12)&lt;YEAR(E116),0,IF((YEAR(D116)+12)&gt;YEAR(E116),1,(12-MONTH(E116)+1)/12))) + (Q116)*(IF((YEAR(D116)+12)&lt;YEAR(E116),0,IF((YEAR(D116)+12)&gt;YEAR(E116),1,(12-MONTH(E116)+1)/12))))-((P116)*(IF((YEAR(D116)+12)&lt;YEAR(E116),0,IF((YEAR(D116)+12)&gt;YEAR(E116),1,(12-MONTH(E116)+1)/12))) + (R116)*(IF((YEAR(D116)+12)&lt;YEAR(E116),0,IF((YEAR(D116)+12)&gt;YEAR(E116),1,(12-MONTH(E116)+1)/12))))-(IF((((K116)*(IF(M116="",L116,IFERROR(IF(INDEX(Variablen!$I:$AT, MATCH(M116, Variablen!$A:$A, 0), MATCH((YEAR(D116)+12), Variablen!$I$3:$AT$3, 0))="",L116,INDEX(Variablen!$I:$AT, MATCH(M116, Variablen!$A:$A, 0), MATCH((YEAR(D116)+12), Variablen!$I$3:$AT$3, 0))),L116)))*(IF((YEAR(D116)+12)&lt;YEAR(E116),0,IF((YEAR(D116)+12)&gt;YEAR(E116),1,(12-MONTH(E116)+1)/12))) + (Q116)*(IF((YEAR(D116)+12)&lt;YEAR(E116),0,IF((YEAR(D116)+12)&gt;YEAR(E116),1,(12-MONTH(E116)+1)/12))))-((P116)*(IF((YEAR(D116)+12)&lt;YEAR(E116),0,IF((YEAR(D116)+12)&gt;YEAR(E116),1,(12-MONTH(E116)+1)/12))) + (R116)*(IF((YEAR(D116)+12)&lt;YEAR(E116),0,IF((YEAR(D116)+12)&gt;YEAR(E116),1,(12-MONTH(E116)+1)/12))))-(IF(OR(N116="",N116&lt;=0),0,(O116/N116)*(IF(OR(N116="",N116&lt;=0),0,IF((YEAR(D116)+12)&lt;YEAR(E116),0,IF((YEAR(D116)+12)&gt;=YEAR(E116)+N116,0,IF((YEAR(D116)+12)=YEAR(E116),(12-MONTH(E116)+1)/12,1))))))))&gt;0,(((K116)*(IF(M116="",L116,IFERROR(IF(INDEX(Variablen!$I:$AT, MATCH(M116, Variablen!$A:$A, 0), MATCH((YEAR(D116)+12), Variablen!$I$3:$AT$3, 0))="",L116,INDEX(Variablen!$I:$AT, MATCH(M116, Variablen!$A:$A, 0), MATCH((YEAR(D116)+12), Variablen!$I$3:$AT$3, 0))),L116)))*(IF((YEAR(D116)+12)&lt;YEAR(E116),0,IF((YEAR(D116)+12)&gt;YEAR(E116),1,(12-MONTH(E116)+1)/12))) + (Q116)*(IF((YEAR(D116)+12)&lt;YEAR(E116),0,IF((YEAR(D116)+12)&gt;YEAR(E116),1,(12-MONTH(E116)+1)/12))))-((P116)*(IF((YEAR(D116)+12)&lt;YEAR(E116),0,IF((YEAR(D116)+12)&gt;YEAR(E116),1,(12-MONTH(E116)+1)/12))) + (R116)*(IF((YEAR(D116)+12)&lt;YEAR(E116),0,IF((YEAR(D116)+12)&gt;YEAR(E116),1,(12-MONTH(E116)+1)/12))))-(IF(OR(N116="",N116&lt;=0),0,(O116/N116)*(IF(OR(N116="",N116&lt;=0),0,IF((YEAR(D116)+12)&lt;YEAR(E116),0,IF((YEAR(D116)+12)&gt;=YEAR(E116)+N116,0,IF((YEAR(D116)+12)=YEAR(E116),(12-MONTH(E116)+1)/12,1))))))))*TaxRate,0))-IF(12=0,O116,0))</f>
        <v/>
      </c>
      <c r="AF116" s="29">
        <f>IF(A116="","",((K116)*(IF(M116="",L116,IFERROR(IF(INDEX(Variablen!$I:$AT, MATCH(M116, Variablen!$A:$A, 0), MATCH((YEAR(D116)+13), Variablen!$I$3:$AT$3, 0))="",L116,INDEX(Variablen!$I:$AT, MATCH(M116, Variablen!$A:$A, 0), MATCH((YEAR(D116)+13), Variablen!$I$3:$AT$3, 0))),L116)))*(IF((YEAR(D116)+13)&lt;YEAR(E116),0,IF((YEAR(D116)+13)&gt;YEAR(E116),1,(12-MONTH(E116)+1)/12))) + (Q116)*(IF((YEAR(D116)+13)&lt;YEAR(E116),0,IF((YEAR(D116)+13)&gt;YEAR(E116),1,(12-MONTH(E116)+1)/12))))-((P116)*(IF((YEAR(D116)+13)&lt;YEAR(E116),0,IF((YEAR(D116)+13)&gt;YEAR(E116),1,(12-MONTH(E116)+1)/12))) + (R116)*(IF((YEAR(D116)+13)&lt;YEAR(E116),0,IF((YEAR(D116)+13)&gt;YEAR(E116),1,(12-MONTH(E116)+1)/12))))-(IF((((K116)*(IF(M116="",L116,IFERROR(IF(INDEX(Variablen!$I:$AT, MATCH(M116, Variablen!$A:$A, 0), MATCH((YEAR(D116)+13), Variablen!$I$3:$AT$3, 0))="",L116,INDEX(Variablen!$I:$AT, MATCH(M116, Variablen!$A:$A, 0), MATCH((YEAR(D116)+13), Variablen!$I$3:$AT$3, 0))),L116)))*(IF((YEAR(D116)+13)&lt;YEAR(E116),0,IF((YEAR(D116)+13)&gt;YEAR(E116),1,(12-MONTH(E116)+1)/12))) + (Q116)*(IF((YEAR(D116)+13)&lt;YEAR(E116),0,IF((YEAR(D116)+13)&gt;YEAR(E116),1,(12-MONTH(E116)+1)/12))))-((P116)*(IF((YEAR(D116)+13)&lt;YEAR(E116),0,IF((YEAR(D116)+13)&gt;YEAR(E116),1,(12-MONTH(E116)+1)/12))) + (R116)*(IF((YEAR(D116)+13)&lt;YEAR(E116),0,IF((YEAR(D116)+13)&gt;YEAR(E116),1,(12-MONTH(E116)+1)/12))))-(IF(OR(N116="",N116&lt;=0),0,(O116/N116)*(IF(OR(N116="",N116&lt;=0),0,IF((YEAR(D116)+13)&lt;YEAR(E116),0,IF((YEAR(D116)+13)&gt;=YEAR(E116)+N116,0,IF((YEAR(D116)+13)=YEAR(E116),(12-MONTH(E116)+1)/12,1))))))))&gt;0,(((K116)*(IF(M116="",L116,IFERROR(IF(INDEX(Variablen!$I:$AT, MATCH(M116, Variablen!$A:$A, 0), MATCH((YEAR(D116)+13), Variablen!$I$3:$AT$3, 0))="",L116,INDEX(Variablen!$I:$AT, MATCH(M116, Variablen!$A:$A, 0), MATCH((YEAR(D116)+13), Variablen!$I$3:$AT$3, 0))),L116)))*(IF((YEAR(D116)+13)&lt;YEAR(E116),0,IF((YEAR(D116)+13)&gt;YEAR(E116),1,(12-MONTH(E116)+1)/12))) + (Q116)*(IF((YEAR(D116)+13)&lt;YEAR(E116),0,IF((YEAR(D116)+13)&gt;YEAR(E116),1,(12-MONTH(E116)+1)/12))))-((P116)*(IF((YEAR(D116)+13)&lt;YEAR(E116),0,IF((YEAR(D116)+13)&gt;YEAR(E116),1,(12-MONTH(E116)+1)/12))) + (R116)*(IF((YEAR(D116)+13)&lt;YEAR(E116),0,IF((YEAR(D116)+13)&gt;YEAR(E116),1,(12-MONTH(E116)+1)/12))))-(IF(OR(N116="",N116&lt;=0),0,(O116/N116)*(IF(OR(N116="",N116&lt;=0),0,IF((YEAR(D116)+13)&lt;YEAR(E116),0,IF((YEAR(D116)+13)&gt;=YEAR(E116)+N116,0,IF((YEAR(D116)+13)=YEAR(E116),(12-MONTH(E116)+1)/12,1))))))))*TaxRate,0))-IF(13=0,O116,0))</f>
        <v/>
      </c>
      <c r="AG116" s="29">
        <f>IF(A116="","",((K116)*(IF(M116="",L116,IFERROR(IF(INDEX(Variablen!$I:$AT, MATCH(M116, Variablen!$A:$A, 0), MATCH((YEAR(D116)+14), Variablen!$I$3:$AT$3, 0))="",L116,INDEX(Variablen!$I:$AT, MATCH(M116, Variablen!$A:$A, 0), MATCH((YEAR(D116)+14), Variablen!$I$3:$AT$3, 0))),L116)))*(IF((YEAR(D116)+14)&lt;YEAR(E116),0,IF((YEAR(D116)+14)&gt;YEAR(E116),1,(12-MONTH(E116)+1)/12))) + (Q116)*(IF((YEAR(D116)+14)&lt;YEAR(E116),0,IF((YEAR(D116)+14)&gt;YEAR(E116),1,(12-MONTH(E116)+1)/12))))-((P116)*(IF((YEAR(D116)+14)&lt;YEAR(E116),0,IF((YEAR(D116)+14)&gt;YEAR(E116),1,(12-MONTH(E116)+1)/12))) + (R116)*(IF((YEAR(D116)+14)&lt;YEAR(E116),0,IF((YEAR(D116)+14)&gt;YEAR(E116),1,(12-MONTH(E116)+1)/12))))-(IF((((K116)*(IF(M116="",L116,IFERROR(IF(INDEX(Variablen!$I:$AT, MATCH(M116, Variablen!$A:$A, 0), MATCH((YEAR(D116)+14), Variablen!$I$3:$AT$3, 0))="",L116,INDEX(Variablen!$I:$AT, MATCH(M116, Variablen!$A:$A, 0), MATCH((YEAR(D116)+14), Variablen!$I$3:$AT$3, 0))),L116)))*(IF((YEAR(D116)+14)&lt;YEAR(E116),0,IF((YEAR(D116)+14)&gt;YEAR(E116),1,(12-MONTH(E116)+1)/12))) + (Q116)*(IF((YEAR(D116)+14)&lt;YEAR(E116),0,IF((YEAR(D116)+14)&gt;YEAR(E116),1,(12-MONTH(E116)+1)/12))))-((P116)*(IF((YEAR(D116)+14)&lt;YEAR(E116),0,IF((YEAR(D116)+14)&gt;YEAR(E116),1,(12-MONTH(E116)+1)/12))) + (R116)*(IF((YEAR(D116)+14)&lt;YEAR(E116),0,IF((YEAR(D116)+14)&gt;YEAR(E116),1,(12-MONTH(E116)+1)/12))))-(IF(OR(N116="",N116&lt;=0),0,(O116/N116)*(IF(OR(N116="",N116&lt;=0),0,IF((YEAR(D116)+14)&lt;YEAR(E116),0,IF((YEAR(D116)+14)&gt;=YEAR(E116)+N116,0,IF((YEAR(D116)+14)=YEAR(E116),(12-MONTH(E116)+1)/12,1))))))))&gt;0,(((K116)*(IF(M116="",L116,IFERROR(IF(INDEX(Variablen!$I:$AT, MATCH(M116, Variablen!$A:$A, 0), MATCH((YEAR(D116)+14), Variablen!$I$3:$AT$3, 0))="",L116,INDEX(Variablen!$I:$AT, MATCH(M116, Variablen!$A:$A, 0), MATCH((YEAR(D116)+14), Variablen!$I$3:$AT$3, 0))),L116)))*(IF((YEAR(D116)+14)&lt;YEAR(E116),0,IF((YEAR(D116)+14)&gt;YEAR(E116),1,(12-MONTH(E116)+1)/12))) + (Q116)*(IF((YEAR(D116)+14)&lt;YEAR(E116),0,IF((YEAR(D116)+14)&gt;YEAR(E116),1,(12-MONTH(E116)+1)/12))))-((P116)*(IF((YEAR(D116)+14)&lt;YEAR(E116),0,IF((YEAR(D116)+14)&gt;YEAR(E116),1,(12-MONTH(E116)+1)/12))) + (R116)*(IF((YEAR(D116)+14)&lt;YEAR(E116),0,IF((YEAR(D116)+14)&gt;YEAR(E116),1,(12-MONTH(E116)+1)/12))))-(IF(OR(N116="",N116&lt;=0),0,(O116/N116)*(IF(OR(N116="",N116&lt;=0),0,IF((YEAR(D116)+14)&lt;YEAR(E116),0,IF((YEAR(D116)+14)&gt;=YEAR(E116)+N116,0,IF((YEAR(D116)+14)=YEAR(E116),(12-MONTH(E116)+1)/12,1))))))))*TaxRate,0))-IF(14=0,O116,0))</f>
        <v/>
      </c>
      <c r="AH116" s="29">
        <f>IF(A116="","",((K116)*(IF(M116="",L116,IFERROR(IF(INDEX(Variablen!$I:$AT, MATCH(M116, Variablen!$A:$A, 0), MATCH((YEAR(D116)+15), Variablen!$I$3:$AT$3, 0))="",L116,INDEX(Variablen!$I:$AT, MATCH(M116, Variablen!$A:$A, 0), MATCH((YEAR(D116)+15), Variablen!$I$3:$AT$3, 0))),L116)))*(IF((YEAR(D116)+15)&lt;YEAR(E116),0,IF((YEAR(D116)+15)&gt;YEAR(E116),1,(12-MONTH(E116)+1)/12))) + (Q116)*(IF((YEAR(D116)+15)&lt;YEAR(E116),0,IF((YEAR(D116)+15)&gt;YEAR(E116),1,(12-MONTH(E116)+1)/12))))-((P116)*(IF((YEAR(D116)+15)&lt;YEAR(E116),0,IF((YEAR(D116)+15)&gt;YEAR(E116),1,(12-MONTH(E116)+1)/12))) + (R116)*(IF((YEAR(D116)+15)&lt;YEAR(E116),0,IF((YEAR(D116)+15)&gt;YEAR(E116),1,(12-MONTH(E116)+1)/12))))-(IF((((K116)*(IF(M116="",L116,IFERROR(IF(INDEX(Variablen!$I:$AT, MATCH(M116, Variablen!$A:$A, 0), MATCH((YEAR(D116)+15), Variablen!$I$3:$AT$3, 0))="",L116,INDEX(Variablen!$I:$AT, MATCH(M116, Variablen!$A:$A, 0), MATCH((YEAR(D116)+15), Variablen!$I$3:$AT$3, 0))),L116)))*(IF((YEAR(D116)+15)&lt;YEAR(E116),0,IF((YEAR(D116)+15)&gt;YEAR(E116),1,(12-MONTH(E116)+1)/12))) + (Q116)*(IF((YEAR(D116)+15)&lt;YEAR(E116),0,IF((YEAR(D116)+15)&gt;YEAR(E116),1,(12-MONTH(E116)+1)/12))))-((P116)*(IF((YEAR(D116)+15)&lt;YEAR(E116),0,IF((YEAR(D116)+15)&gt;YEAR(E116),1,(12-MONTH(E116)+1)/12))) + (R116)*(IF((YEAR(D116)+15)&lt;YEAR(E116),0,IF((YEAR(D116)+15)&gt;YEAR(E116),1,(12-MONTH(E116)+1)/12))))-(IF(OR(N116="",N116&lt;=0),0,(O116/N116)*(IF(OR(N116="",N116&lt;=0),0,IF((YEAR(D116)+15)&lt;YEAR(E116),0,IF((YEAR(D116)+15)&gt;=YEAR(E116)+N116,0,IF((YEAR(D116)+15)=YEAR(E116),(12-MONTH(E116)+1)/12,1))))))))&gt;0,(((K116)*(IF(M116="",L116,IFERROR(IF(INDEX(Variablen!$I:$AT, MATCH(M116, Variablen!$A:$A, 0), MATCH((YEAR(D116)+15), Variablen!$I$3:$AT$3, 0))="",L116,INDEX(Variablen!$I:$AT, MATCH(M116, Variablen!$A:$A, 0), MATCH((YEAR(D116)+15), Variablen!$I$3:$AT$3, 0))),L116)))*(IF((YEAR(D116)+15)&lt;YEAR(E116),0,IF((YEAR(D116)+15)&gt;YEAR(E116),1,(12-MONTH(E116)+1)/12))) + (Q116)*(IF((YEAR(D116)+15)&lt;YEAR(E116),0,IF((YEAR(D116)+15)&gt;YEAR(E116),1,(12-MONTH(E116)+1)/12))))-((P116)*(IF((YEAR(D116)+15)&lt;YEAR(E116),0,IF((YEAR(D116)+15)&gt;YEAR(E116),1,(12-MONTH(E116)+1)/12))) + (R116)*(IF((YEAR(D116)+15)&lt;YEAR(E116),0,IF((YEAR(D116)+15)&gt;YEAR(E116),1,(12-MONTH(E116)+1)/12))))-(IF(OR(N116="",N116&lt;=0),0,(O116/N116)*(IF(OR(N116="",N116&lt;=0),0,IF((YEAR(D116)+15)&lt;YEAR(E116),0,IF((YEAR(D116)+15)&gt;=YEAR(E116)+N116,0,IF((YEAR(D116)+15)=YEAR(E116),(12-MONTH(E116)+1)/12,1))))))))*TaxRate,0))-IF(15=0,O116,0))</f>
        <v/>
      </c>
      <c r="AI116" s="29">
        <f>IF(A116="","",((K116)*(IF(M116="",L116,IFERROR(IF(INDEX(Variablen!$I:$AT, MATCH(M116, Variablen!$A:$A, 0), MATCH((YEAR(D116)+16), Variablen!$I$3:$AT$3, 0))="",L116,INDEX(Variablen!$I:$AT, MATCH(M116, Variablen!$A:$A, 0), MATCH((YEAR(D116)+16), Variablen!$I$3:$AT$3, 0))),L116)))*(IF((YEAR(D116)+16)&lt;YEAR(E116),0,IF((YEAR(D116)+16)&gt;YEAR(E116),1,(12-MONTH(E116)+1)/12))) + (Q116)*(IF((YEAR(D116)+16)&lt;YEAR(E116),0,IF((YEAR(D116)+16)&gt;YEAR(E116),1,(12-MONTH(E116)+1)/12))))-((P116)*(IF((YEAR(D116)+16)&lt;YEAR(E116),0,IF((YEAR(D116)+16)&gt;YEAR(E116),1,(12-MONTH(E116)+1)/12))) + (R116)*(IF((YEAR(D116)+16)&lt;YEAR(E116),0,IF((YEAR(D116)+16)&gt;YEAR(E116),1,(12-MONTH(E116)+1)/12))))-(IF((((K116)*(IF(M116="",L116,IFERROR(IF(INDEX(Variablen!$I:$AT, MATCH(M116, Variablen!$A:$A, 0), MATCH((YEAR(D116)+16), Variablen!$I$3:$AT$3, 0))="",L116,INDEX(Variablen!$I:$AT, MATCH(M116, Variablen!$A:$A, 0), MATCH((YEAR(D116)+16), Variablen!$I$3:$AT$3, 0))),L116)))*(IF((YEAR(D116)+16)&lt;YEAR(E116),0,IF((YEAR(D116)+16)&gt;YEAR(E116),1,(12-MONTH(E116)+1)/12))) + (Q116)*(IF((YEAR(D116)+16)&lt;YEAR(E116),0,IF((YEAR(D116)+16)&gt;YEAR(E116),1,(12-MONTH(E116)+1)/12))))-((P116)*(IF((YEAR(D116)+16)&lt;YEAR(E116),0,IF((YEAR(D116)+16)&gt;YEAR(E116),1,(12-MONTH(E116)+1)/12))) + (R116)*(IF((YEAR(D116)+16)&lt;YEAR(E116),0,IF((YEAR(D116)+16)&gt;YEAR(E116),1,(12-MONTH(E116)+1)/12))))-(IF(OR(N116="",N116&lt;=0),0,(O116/N116)*(IF(OR(N116="",N116&lt;=0),0,IF((YEAR(D116)+16)&lt;YEAR(E116),0,IF((YEAR(D116)+16)&gt;=YEAR(E116)+N116,0,IF((YEAR(D116)+16)=YEAR(E116),(12-MONTH(E116)+1)/12,1))))))))&gt;0,(((K116)*(IF(M116="",L116,IFERROR(IF(INDEX(Variablen!$I:$AT, MATCH(M116, Variablen!$A:$A, 0), MATCH((YEAR(D116)+16), Variablen!$I$3:$AT$3, 0))="",L116,INDEX(Variablen!$I:$AT, MATCH(M116, Variablen!$A:$A, 0), MATCH((YEAR(D116)+16), Variablen!$I$3:$AT$3, 0))),L116)))*(IF((YEAR(D116)+16)&lt;YEAR(E116),0,IF((YEAR(D116)+16)&gt;YEAR(E116),1,(12-MONTH(E116)+1)/12))) + (Q116)*(IF((YEAR(D116)+16)&lt;YEAR(E116),0,IF((YEAR(D116)+16)&gt;YEAR(E116),1,(12-MONTH(E116)+1)/12))))-((P116)*(IF((YEAR(D116)+16)&lt;YEAR(E116),0,IF((YEAR(D116)+16)&gt;YEAR(E116),1,(12-MONTH(E116)+1)/12))) + (R116)*(IF((YEAR(D116)+16)&lt;YEAR(E116),0,IF((YEAR(D116)+16)&gt;YEAR(E116),1,(12-MONTH(E116)+1)/12))))-(IF(OR(N116="",N116&lt;=0),0,(O116/N116)*(IF(OR(N116="",N116&lt;=0),0,IF((YEAR(D116)+16)&lt;YEAR(E116),0,IF((YEAR(D116)+16)&gt;=YEAR(E116)+N116,0,IF((YEAR(D116)+16)=YEAR(E116),(12-MONTH(E116)+1)/12,1))))))))*TaxRate,0))-IF(16=0,O116,0))</f>
        <v/>
      </c>
      <c r="AJ116" s="29">
        <f>IF(A116="","",((K116)*(IF(M116="",L116,IFERROR(IF(INDEX(Variablen!$I:$AT, MATCH(M116, Variablen!$A:$A, 0), MATCH((YEAR(D116)+17), Variablen!$I$3:$AT$3, 0))="",L116,INDEX(Variablen!$I:$AT, MATCH(M116, Variablen!$A:$A, 0), MATCH((YEAR(D116)+17), Variablen!$I$3:$AT$3, 0))),L116)))*(IF((YEAR(D116)+17)&lt;YEAR(E116),0,IF((YEAR(D116)+17)&gt;YEAR(E116),1,(12-MONTH(E116)+1)/12))) + (Q116)*(IF((YEAR(D116)+17)&lt;YEAR(E116),0,IF((YEAR(D116)+17)&gt;YEAR(E116),1,(12-MONTH(E116)+1)/12))))-((P116)*(IF((YEAR(D116)+17)&lt;YEAR(E116),0,IF((YEAR(D116)+17)&gt;YEAR(E116),1,(12-MONTH(E116)+1)/12))) + (R116)*(IF((YEAR(D116)+17)&lt;YEAR(E116),0,IF((YEAR(D116)+17)&gt;YEAR(E116),1,(12-MONTH(E116)+1)/12))))-(IF((((K116)*(IF(M116="",L116,IFERROR(IF(INDEX(Variablen!$I:$AT, MATCH(M116, Variablen!$A:$A, 0), MATCH((YEAR(D116)+17), Variablen!$I$3:$AT$3, 0))="",L116,INDEX(Variablen!$I:$AT, MATCH(M116, Variablen!$A:$A, 0), MATCH((YEAR(D116)+17), Variablen!$I$3:$AT$3, 0))),L116)))*(IF((YEAR(D116)+17)&lt;YEAR(E116),0,IF((YEAR(D116)+17)&gt;YEAR(E116),1,(12-MONTH(E116)+1)/12))) + (Q116)*(IF((YEAR(D116)+17)&lt;YEAR(E116),0,IF((YEAR(D116)+17)&gt;YEAR(E116),1,(12-MONTH(E116)+1)/12))))-((P116)*(IF((YEAR(D116)+17)&lt;YEAR(E116),0,IF((YEAR(D116)+17)&gt;YEAR(E116),1,(12-MONTH(E116)+1)/12))) + (R116)*(IF((YEAR(D116)+17)&lt;YEAR(E116),0,IF((YEAR(D116)+17)&gt;YEAR(E116),1,(12-MONTH(E116)+1)/12))))-(IF(OR(N116="",N116&lt;=0),0,(O116/N116)*(IF(OR(N116="",N116&lt;=0),0,IF((YEAR(D116)+17)&lt;YEAR(E116),0,IF((YEAR(D116)+17)&gt;=YEAR(E116)+N116,0,IF((YEAR(D116)+17)=YEAR(E116),(12-MONTH(E116)+1)/12,1))))))))&gt;0,(((K116)*(IF(M116="",L116,IFERROR(IF(INDEX(Variablen!$I:$AT, MATCH(M116, Variablen!$A:$A, 0), MATCH((YEAR(D116)+17), Variablen!$I$3:$AT$3, 0))="",L116,INDEX(Variablen!$I:$AT, MATCH(M116, Variablen!$A:$A, 0), MATCH((YEAR(D116)+17), Variablen!$I$3:$AT$3, 0))),L116)))*(IF((YEAR(D116)+17)&lt;YEAR(E116),0,IF((YEAR(D116)+17)&gt;YEAR(E116),1,(12-MONTH(E116)+1)/12))) + (Q116)*(IF((YEAR(D116)+17)&lt;YEAR(E116),0,IF((YEAR(D116)+17)&gt;YEAR(E116),1,(12-MONTH(E116)+1)/12))))-((P116)*(IF((YEAR(D116)+17)&lt;YEAR(E116),0,IF((YEAR(D116)+17)&gt;YEAR(E116),1,(12-MONTH(E116)+1)/12))) + (R116)*(IF((YEAR(D116)+17)&lt;YEAR(E116),0,IF((YEAR(D116)+17)&gt;YEAR(E116),1,(12-MONTH(E116)+1)/12))))-(IF(OR(N116="",N116&lt;=0),0,(O116/N116)*(IF(OR(N116="",N116&lt;=0),0,IF((YEAR(D116)+17)&lt;YEAR(E116),0,IF((YEAR(D116)+17)&gt;=YEAR(E116)+N116,0,IF((YEAR(D116)+17)=YEAR(E116),(12-MONTH(E116)+1)/12,1))))))))*TaxRate,0))-IF(17=0,O116,0))</f>
        <v/>
      </c>
      <c r="AK116" s="29">
        <f>IF(A116="","",((K116)*(IF(M116="",L116,IFERROR(IF(INDEX(Variablen!$I:$AT, MATCH(M116, Variablen!$A:$A, 0), MATCH((YEAR(D116)+18), Variablen!$I$3:$AT$3, 0))="",L116,INDEX(Variablen!$I:$AT, MATCH(M116, Variablen!$A:$A, 0), MATCH((YEAR(D116)+18), Variablen!$I$3:$AT$3, 0))),L116)))*(IF((YEAR(D116)+18)&lt;YEAR(E116),0,IF((YEAR(D116)+18)&gt;YEAR(E116),1,(12-MONTH(E116)+1)/12))) + (Q116)*(IF((YEAR(D116)+18)&lt;YEAR(E116),0,IF((YEAR(D116)+18)&gt;YEAR(E116),1,(12-MONTH(E116)+1)/12))))-((P116)*(IF((YEAR(D116)+18)&lt;YEAR(E116),0,IF((YEAR(D116)+18)&gt;YEAR(E116),1,(12-MONTH(E116)+1)/12))) + (R116)*(IF((YEAR(D116)+18)&lt;YEAR(E116),0,IF((YEAR(D116)+18)&gt;YEAR(E116),1,(12-MONTH(E116)+1)/12))))-(IF((((K116)*(IF(M116="",L116,IFERROR(IF(INDEX(Variablen!$I:$AT, MATCH(M116, Variablen!$A:$A, 0), MATCH((YEAR(D116)+18), Variablen!$I$3:$AT$3, 0))="",L116,INDEX(Variablen!$I:$AT, MATCH(M116, Variablen!$A:$A, 0), MATCH((YEAR(D116)+18), Variablen!$I$3:$AT$3, 0))),L116)))*(IF((YEAR(D116)+18)&lt;YEAR(E116),0,IF((YEAR(D116)+18)&gt;YEAR(E116),1,(12-MONTH(E116)+1)/12))) + (Q116)*(IF((YEAR(D116)+18)&lt;YEAR(E116),0,IF((YEAR(D116)+18)&gt;YEAR(E116),1,(12-MONTH(E116)+1)/12))))-((P116)*(IF((YEAR(D116)+18)&lt;YEAR(E116),0,IF((YEAR(D116)+18)&gt;YEAR(E116),1,(12-MONTH(E116)+1)/12))) + (R116)*(IF((YEAR(D116)+18)&lt;YEAR(E116),0,IF((YEAR(D116)+18)&gt;YEAR(E116),1,(12-MONTH(E116)+1)/12))))-(IF(OR(N116="",N116&lt;=0),0,(O116/N116)*(IF(OR(N116="",N116&lt;=0),0,IF((YEAR(D116)+18)&lt;YEAR(E116),0,IF((YEAR(D116)+18)&gt;=YEAR(E116)+N116,0,IF((YEAR(D116)+18)=YEAR(E116),(12-MONTH(E116)+1)/12,1))))))))&gt;0,(((K116)*(IF(M116="",L116,IFERROR(IF(INDEX(Variablen!$I:$AT, MATCH(M116, Variablen!$A:$A, 0), MATCH((YEAR(D116)+18), Variablen!$I$3:$AT$3, 0))="",L116,INDEX(Variablen!$I:$AT, MATCH(M116, Variablen!$A:$A, 0), MATCH((YEAR(D116)+18), Variablen!$I$3:$AT$3, 0))),L116)))*(IF((YEAR(D116)+18)&lt;YEAR(E116),0,IF((YEAR(D116)+18)&gt;YEAR(E116),1,(12-MONTH(E116)+1)/12))) + (Q116)*(IF((YEAR(D116)+18)&lt;YEAR(E116),0,IF((YEAR(D116)+18)&gt;YEAR(E116),1,(12-MONTH(E116)+1)/12))))-((P116)*(IF((YEAR(D116)+18)&lt;YEAR(E116),0,IF((YEAR(D116)+18)&gt;YEAR(E116),1,(12-MONTH(E116)+1)/12))) + (R116)*(IF((YEAR(D116)+18)&lt;YEAR(E116),0,IF((YEAR(D116)+18)&gt;YEAR(E116),1,(12-MONTH(E116)+1)/12))))-(IF(OR(N116="",N116&lt;=0),0,(O116/N116)*(IF(OR(N116="",N116&lt;=0),0,IF((YEAR(D116)+18)&lt;YEAR(E116),0,IF((YEAR(D116)+18)&gt;=YEAR(E116)+N116,0,IF((YEAR(D116)+18)=YEAR(E116),(12-MONTH(E116)+1)/12,1))))))))*TaxRate,0))-IF(18=0,O116,0))</f>
        <v/>
      </c>
      <c r="AL116" s="29">
        <f>IF(A116="","",((K116)*(IF(M116="",L116,IFERROR(IF(INDEX(Variablen!$I:$AT, MATCH(M116, Variablen!$A:$A, 0), MATCH((YEAR(D116)+19), Variablen!$I$3:$AT$3, 0))="",L116,INDEX(Variablen!$I:$AT, MATCH(M116, Variablen!$A:$A, 0), MATCH((YEAR(D116)+19), Variablen!$I$3:$AT$3, 0))),L116)))*(IF((YEAR(D116)+19)&lt;YEAR(E116),0,IF((YEAR(D116)+19)&gt;YEAR(E116),1,(12-MONTH(E116)+1)/12))) + (Q116)*(IF((YEAR(D116)+19)&lt;YEAR(E116),0,IF((YEAR(D116)+19)&gt;YEAR(E116),1,(12-MONTH(E116)+1)/12))))-((P116)*(IF((YEAR(D116)+19)&lt;YEAR(E116),0,IF((YEAR(D116)+19)&gt;YEAR(E116),1,(12-MONTH(E116)+1)/12))) + (R116)*(IF((YEAR(D116)+19)&lt;YEAR(E116),0,IF((YEAR(D116)+19)&gt;YEAR(E116),1,(12-MONTH(E116)+1)/12))))-(IF((((K116)*(IF(M116="",L116,IFERROR(IF(INDEX(Variablen!$I:$AT, MATCH(M116, Variablen!$A:$A, 0), MATCH((YEAR(D116)+19), Variablen!$I$3:$AT$3, 0))="",L116,INDEX(Variablen!$I:$AT, MATCH(M116, Variablen!$A:$A, 0), MATCH((YEAR(D116)+19), Variablen!$I$3:$AT$3, 0))),L116)))*(IF((YEAR(D116)+19)&lt;YEAR(E116),0,IF((YEAR(D116)+19)&gt;YEAR(E116),1,(12-MONTH(E116)+1)/12))) + (Q116)*(IF((YEAR(D116)+19)&lt;YEAR(E116),0,IF((YEAR(D116)+19)&gt;YEAR(E116),1,(12-MONTH(E116)+1)/12))))-((P116)*(IF((YEAR(D116)+19)&lt;YEAR(E116),0,IF((YEAR(D116)+19)&gt;YEAR(E116),1,(12-MONTH(E116)+1)/12))) + (R116)*(IF((YEAR(D116)+19)&lt;YEAR(E116),0,IF((YEAR(D116)+19)&gt;YEAR(E116),1,(12-MONTH(E116)+1)/12))))-(IF(OR(N116="",N116&lt;=0),0,(O116/N116)*(IF(OR(N116="",N116&lt;=0),0,IF((YEAR(D116)+19)&lt;YEAR(E116),0,IF((YEAR(D116)+19)&gt;=YEAR(E116)+N116,0,IF((YEAR(D116)+19)=YEAR(E116),(12-MONTH(E116)+1)/12,1))))))))&gt;0,(((K116)*(IF(M116="",L116,IFERROR(IF(INDEX(Variablen!$I:$AT, MATCH(M116, Variablen!$A:$A, 0), MATCH((YEAR(D116)+19), Variablen!$I$3:$AT$3, 0))="",L116,INDEX(Variablen!$I:$AT, MATCH(M116, Variablen!$A:$A, 0), MATCH((YEAR(D116)+19), Variablen!$I$3:$AT$3, 0))),L116)))*(IF((YEAR(D116)+19)&lt;YEAR(E116),0,IF((YEAR(D116)+19)&gt;YEAR(E116),1,(12-MONTH(E116)+1)/12))) + (Q116)*(IF((YEAR(D116)+19)&lt;YEAR(E116),0,IF((YEAR(D116)+19)&gt;YEAR(E116),1,(12-MONTH(E116)+1)/12))))-((P116)*(IF((YEAR(D116)+19)&lt;YEAR(E116),0,IF((YEAR(D116)+19)&gt;YEAR(E116),1,(12-MONTH(E116)+1)/12))) + (R116)*(IF((YEAR(D116)+19)&lt;YEAR(E116),0,IF((YEAR(D116)+19)&gt;YEAR(E116),1,(12-MONTH(E116)+1)/12))))-(IF(OR(N116="",N116&lt;=0),0,(O116/N116)*(IF(OR(N116="",N116&lt;=0),0,IF((YEAR(D116)+19)&lt;YEAR(E116),0,IF((YEAR(D116)+19)&gt;=YEAR(E116)+N116,0,IF((YEAR(D116)+19)=YEAR(E116),(12-MONTH(E116)+1)/12,1))))))))*TaxRate,0))-IF(19=0,O116,0))</f>
        <v/>
      </c>
      <c r="AM116" s="29">
        <f>IF(A116="","",((K116)*(IF(M116="",L116,IFERROR(IF(INDEX(Variablen!$I:$AT, MATCH(M116, Variablen!$A:$A, 0), MATCH((YEAR(D116)+20), Variablen!$I$3:$AT$3, 0))="",L116,INDEX(Variablen!$I:$AT, MATCH(M116, Variablen!$A:$A, 0), MATCH((YEAR(D116)+20), Variablen!$I$3:$AT$3, 0))),L116)))*(IF((YEAR(D116)+20)&lt;YEAR(E116),0,IF((YEAR(D116)+20)&gt;YEAR(E116),1,(12-MONTH(E116)+1)/12))) + (Q116)*(IF((YEAR(D116)+20)&lt;YEAR(E116),0,IF((YEAR(D116)+20)&gt;YEAR(E116),1,(12-MONTH(E116)+1)/12))))-((P116)*(IF((YEAR(D116)+20)&lt;YEAR(E116),0,IF((YEAR(D116)+20)&gt;YEAR(E116),1,(12-MONTH(E116)+1)/12))) + (R116)*(IF((YEAR(D116)+20)&lt;YEAR(E116),0,IF((YEAR(D116)+20)&gt;YEAR(E116),1,(12-MONTH(E116)+1)/12))))-(IF((((K116)*(IF(M116="",L116,IFERROR(IF(INDEX(Variablen!$I:$AT, MATCH(M116, Variablen!$A:$A, 0), MATCH((YEAR(D116)+20), Variablen!$I$3:$AT$3, 0))="",L116,INDEX(Variablen!$I:$AT, MATCH(M116, Variablen!$A:$A, 0), MATCH((YEAR(D116)+20), Variablen!$I$3:$AT$3, 0))),L116)))*(IF((YEAR(D116)+20)&lt;YEAR(E116),0,IF((YEAR(D116)+20)&gt;YEAR(E116),1,(12-MONTH(E116)+1)/12))) + (Q116)*(IF((YEAR(D116)+20)&lt;YEAR(E116),0,IF((YEAR(D116)+20)&gt;YEAR(E116),1,(12-MONTH(E116)+1)/12))))-((P116)*(IF((YEAR(D116)+20)&lt;YEAR(E116),0,IF((YEAR(D116)+20)&gt;YEAR(E116),1,(12-MONTH(E116)+1)/12))) + (R116)*(IF((YEAR(D116)+20)&lt;YEAR(E116),0,IF((YEAR(D116)+20)&gt;YEAR(E116),1,(12-MONTH(E116)+1)/12))))-(IF(OR(N116="",N116&lt;=0),0,(O116/N116)*(IF(OR(N116="",N116&lt;=0),0,IF((YEAR(D116)+20)&lt;YEAR(E116),0,IF((YEAR(D116)+20)&gt;=YEAR(E116)+N116,0,IF((YEAR(D116)+20)=YEAR(E116),(12-MONTH(E116)+1)/12,1))))))))&gt;0,(((K116)*(IF(M116="",L116,IFERROR(IF(INDEX(Variablen!$I:$AT, MATCH(M116, Variablen!$A:$A, 0), MATCH((YEAR(D116)+20), Variablen!$I$3:$AT$3, 0))="",L116,INDEX(Variablen!$I:$AT, MATCH(M116, Variablen!$A:$A, 0), MATCH((YEAR(D116)+20), Variablen!$I$3:$AT$3, 0))),L116)))*(IF((YEAR(D116)+20)&lt;YEAR(E116),0,IF((YEAR(D116)+20)&gt;YEAR(E116),1,(12-MONTH(E116)+1)/12))) + (Q116)*(IF((YEAR(D116)+20)&lt;YEAR(E116),0,IF((YEAR(D116)+20)&gt;YEAR(E116),1,(12-MONTH(E116)+1)/12))))-((P116)*(IF((YEAR(D116)+20)&lt;YEAR(E116),0,IF((YEAR(D116)+20)&gt;YEAR(E116),1,(12-MONTH(E116)+1)/12))) + (R116)*(IF((YEAR(D116)+20)&lt;YEAR(E116),0,IF((YEAR(D116)+20)&gt;YEAR(E116),1,(12-MONTH(E116)+1)/12))))-(IF(OR(N116="",N116&lt;=0),0,(O116/N116)*(IF(OR(N116="",N116&lt;=0),0,IF((YEAR(D116)+20)&lt;YEAR(E116),0,IF((YEAR(D116)+20)&gt;=YEAR(E116)+N116,0,IF((YEAR(D116)+20)=YEAR(E116),(12-MONTH(E116)+1)/12,1))))))))*TaxRate,0))-IF(20=0,O116,0))</f>
        <v/>
      </c>
      <c r="AN116" s="29">
        <f>IF(A116="","",S116)</f>
        <v/>
      </c>
      <c r="AO116" s="29">
        <f>IF(A116="","",AN116+T116)</f>
        <v/>
      </c>
      <c r="AP116" s="29">
        <f>IF(A116="","",AO116+U116)</f>
        <v/>
      </c>
      <c r="AQ116" s="29">
        <f>IF(A116="","",AP116+V116)</f>
        <v/>
      </c>
      <c r="AR116" s="29">
        <f>IF(A116="","",AQ116+W116)</f>
        <v/>
      </c>
      <c r="AS116" s="29">
        <f>IF(A116="","",AR116+X116)</f>
        <v/>
      </c>
      <c r="AT116" s="29">
        <f>IF(A116="","",AS116+Y116)</f>
        <v/>
      </c>
      <c r="AU116" s="29">
        <f>IF(A116="","",AT116+Z116)</f>
        <v/>
      </c>
      <c r="AV116" s="29">
        <f>IF(A116="","",AU116+AA116)</f>
        <v/>
      </c>
      <c r="AW116" s="29">
        <f>IF(A116="","",AV116+AB116)</f>
        <v/>
      </c>
      <c r="AX116" s="29">
        <f>IF(A116="","",AW116+AC116)</f>
        <v/>
      </c>
      <c r="AY116" s="29">
        <f>IF(A116="","",AX116+AD116)</f>
        <v/>
      </c>
      <c r="AZ116" s="29">
        <f>IF(A116="","",AY116+AE116)</f>
        <v/>
      </c>
      <c r="BA116" s="29">
        <f>IF(A116="","",AZ116+AF116)</f>
        <v/>
      </c>
      <c r="BB116" s="29">
        <f>IF(A116="","",BA116+AG116)</f>
        <v/>
      </c>
      <c r="BC116" s="29">
        <f>IF(A116="","",BB116+AH116)</f>
        <v/>
      </c>
      <c r="BD116" s="29">
        <f>IF(A116="","",BC116+AI116)</f>
        <v/>
      </c>
      <c r="BE116" s="29">
        <f>IF(A116="","",BD116+AJ116)</f>
        <v/>
      </c>
      <c r="BF116" s="29">
        <f>IF(A116="","",BE116+AK116)</f>
        <v/>
      </c>
      <c r="BG116" s="29">
        <f>IF(A116="","",BF116+AL116)</f>
        <v/>
      </c>
      <c r="BH116" s="29">
        <f>IF(A116="","",BG116+AM116)</f>
        <v/>
      </c>
      <c r="BI116" s="36">
        <f>IF(A116="","",(K116)*(IF((YEAR(D116)+0)&lt;YEAR(E116),0,IF((YEAR(D116)+0)&gt;YEAR(E116),1,(12-MONTH(E116)+1)/12)))*(1/(1+DiscountRate)^0))</f>
        <v/>
      </c>
      <c r="BJ116" s="36">
        <f>IF(A116="","",(K116)*(IF((YEAR(D116)+1)&lt;YEAR(E116),0,IF((YEAR(D116)+1)&gt;YEAR(E116),1,(12-MONTH(E116)+1)/12)))*(1/(1+DiscountRate)^1))</f>
        <v/>
      </c>
      <c r="BK116" s="36">
        <f>IF(A116="","",(K116)*(IF((YEAR(D116)+2)&lt;YEAR(E116),0,IF((YEAR(D116)+2)&gt;YEAR(E116),1,(12-MONTH(E116)+1)/12)))*(1/(1+DiscountRate)^2))</f>
        <v/>
      </c>
      <c r="BL116" s="36">
        <f>IF(A116="","",(K116)*(IF((YEAR(D116)+3)&lt;YEAR(E116),0,IF((YEAR(D116)+3)&gt;YEAR(E116),1,(12-MONTH(E116)+1)/12)))*(1/(1+DiscountRate)^3))</f>
        <v/>
      </c>
      <c r="BM116" s="36">
        <f>IF(A116="","",(K116)*(IF((YEAR(D116)+4)&lt;YEAR(E116),0,IF((YEAR(D116)+4)&gt;YEAR(E116),1,(12-MONTH(E116)+1)/12)))*(1/(1+DiscountRate)^4))</f>
        <v/>
      </c>
      <c r="BN116" s="36">
        <f>IF(A116="","",(K116)*(IF((YEAR(D116)+5)&lt;YEAR(E116),0,IF((YEAR(D116)+5)&gt;YEAR(E116),1,(12-MONTH(E116)+1)/12)))*(1/(1+DiscountRate)^5))</f>
        <v/>
      </c>
      <c r="BO116" s="36">
        <f>IF(A116="","",(K116)*(IF((YEAR(D116)+6)&lt;YEAR(E116),0,IF((YEAR(D116)+6)&gt;YEAR(E116),1,(12-MONTH(E116)+1)/12)))*(1/(1+DiscountRate)^6))</f>
        <v/>
      </c>
      <c r="BP116" s="36">
        <f>IF(A116="","",(K116)*(IF((YEAR(D116)+7)&lt;YEAR(E116),0,IF((YEAR(D116)+7)&gt;YEAR(E116),1,(12-MONTH(E116)+1)/12)))*(1/(1+DiscountRate)^7))</f>
        <v/>
      </c>
      <c r="BQ116" s="36">
        <f>IF(A116="","",(K116)*(IF((YEAR(D116)+8)&lt;YEAR(E116),0,IF((YEAR(D116)+8)&gt;YEAR(E116),1,(12-MONTH(E116)+1)/12)))*(1/(1+DiscountRate)^8))</f>
        <v/>
      </c>
      <c r="BR116" s="36">
        <f>IF(A116="","",(K116)*(IF((YEAR(D116)+9)&lt;YEAR(E116),0,IF((YEAR(D116)+9)&gt;YEAR(E116),1,(12-MONTH(E116)+1)/12)))*(1/(1+DiscountRate)^9))</f>
        <v/>
      </c>
      <c r="BS116" s="36">
        <f>IF(A116="","",(K116)*(IF((YEAR(D116)+10)&lt;YEAR(E116),0,IF((YEAR(D116)+10)&gt;YEAR(E116),1,(12-MONTH(E116)+1)/12)))*(1/(1+DiscountRate)^10))</f>
        <v/>
      </c>
      <c r="BT116" s="36">
        <f>IF(A116="","",(K116)*(IF((YEAR(D116)+11)&lt;YEAR(E116),0,IF((YEAR(D116)+11)&gt;YEAR(E116),1,(12-MONTH(E116)+1)/12)))*(1/(1+DiscountRate)^11))</f>
        <v/>
      </c>
      <c r="BU116" s="36">
        <f>IF(A116="","",(K116)*(IF((YEAR(D116)+12)&lt;YEAR(E116),0,IF((YEAR(D116)+12)&gt;YEAR(E116),1,(12-MONTH(E116)+1)/12)))*(1/(1+DiscountRate)^12))</f>
        <v/>
      </c>
      <c r="BV116" s="36">
        <f>IF(A116="","",(K116)*(IF((YEAR(D116)+13)&lt;YEAR(E116),0,IF((YEAR(D116)+13)&gt;YEAR(E116),1,(12-MONTH(E116)+1)/12)))*(1/(1+DiscountRate)^13))</f>
        <v/>
      </c>
      <c r="BW116" s="36">
        <f>IF(A116="","",(K116)*(IF((YEAR(D116)+14)&lt;YEAR(E116),0,IF((YEAR(D116)+14)&gt;YEAR(E116),1,(12-MONTH(E116)+1)/12)))*(1/(1+DiscountRate)^14))</f>
        <v/>
      </c>
      <c r="BX116" s="36">
        <f>IF(A116="","",(K116)*(IF((YEAR(D116)+15)&lt;YEAR(E116),0,IF((YEAR(D116)+15)&gt;YEAR(E116),1,(12-MONTH(E116)+1)/12)))*(1/(1+DiscountRate)^15))</f>
        <v/>
      </c>
      <c r="BY116" s="36">
        <f>IF(A116="","",(K116)*(IF((YEAR(D116)+16)&lt;YEAR(E116),0,IF((YEAR(D116)+16)&gt;YEAR(E116),1,(12-MONTH(E116)+1)/12)))*(1/(1+DiscountRate)^16))</f>
        <v/>
      </c>
      <c r="BZ116" s="36">
        <f>IF(A116="","",(K116)*(IF((YEAR(D116)+17)&lt;YEAR(E116),0,IF((YEAR(D116)+17)&gt;YEAR(E116),1,(12-MONTH(E116)+1)/12)))*(1/(1+DiscountRate)^17))</f>
        <v/>
      </c>
      <c r="CA116" s="36">
        <f>IF(A116="","",(K116)*(IF((YEAR(D116)+18)&lt;YEAR(E116),0,IF((YEAR(D116)+18)&gt;YEAR(E116),1,(12-MONTH(E116)+1)/12)))*(1/(1+DiscountRate)^18))</f>
        <v/>
      </c>
      <c r="CB116" s="36">
        <f>IF(A116="","",(K116)*(IF((YEAR(D116)+19)&lt;YEAR(E116),0,IF((YEAR(D116)+19)&gt;YEAR(E116),1,(12-MONTH(E116)+1)/12)))*(1/(1+DiscountRate)^19))</f>
        <v/>
      </c>
      <c r="CC116" s="36">
        <f>IF(A116="","",(K116)*(IF((YEAR(D116)+20)&lt;YEAR(E116),0,IF((YEAR(D116)+20)&gt;YEAR(E116),1,(12-MONTH(E116)+1)/12)))*(1/(1+DiscountRate)^20))</f>
        <v/>
      </c>
      <c r="CD116" s="29">
        <f>IF(A116="","",S116/(1+DiscountRate)^0+T116/(1+DiscountRate)^1+U116/(1+DiscountRate)^2+V116/(1+DiscountRate)^3+W116/(1+DiscountRate)^4+X116/(1+DiscountRate)^5+Y116/(1+DiscountRate)^6+Z116/(1+DiscountRate)^7+AA116/(1+DiscountRate)^8+AB116/(1+DiscountRate)^9+AC116/(1+DiscountRate)^10+AD116/(1+DiscountRate)^11+AE116/(1+DiscountRate)^12+AF116/(1+DiscountRate)^13+AG116/(1+DiscountRate)^14+AH116/(1+DiscountRate)^15+AI116/(1+DiscountRate)^16+AJ116/(1+DiscountRate)^17+AK116/(1+DiscountRate)^18+AL116/(1+DiscountRate)^19+AM116/(1+DiscountRate)^20)</f>
        <v/>
      </c>
      <c r="CE116" s="37">
        <f>IF(A116="","",IFERROR(IRR(OFFSET(S116,0,0,1,MIN(HorizonYears,20)+1)),"n/a"))</f>
        <v/>
      </c>
      <c r="CF116" s="28">
        <f>IF(A116="","",IFERROR(MATCH(TRUE,OFFSET(AN116,0,0,1,MIN(HorizonYears,20)+1)&gt;=0,0)-1,"n/a"))</f>
        <v/>
      </c>
      <c r="CG116" s="36">
        <f>IF(A116="","",SUM(OFFSET(BI116,0,0,1,MIN(HorizonYears,20)+1)))</f>
        <v/>
      </c>
      <c r="CH116" s="36">
        <f>IF(A116="","",IFERROR(-CD116/CG116,"n/a"))</f>
        <v/>
      </c>
    </row>
    <row r="117">
      <c r="A117" s="6">
        <f>Actions!A115</f>
        <v/>
      </c>
      <c r="B117" s="6">
        <f>Actions!B115</f>
        <v/>
      </c>
      <c r="C117" s="6">
        <f>Actions!D115</f>
        <v/>
      </c>
      <c r="D117" s="35">
        <f>Actions!E115</f>
        <v/>
      </c>
      <c r="E117" s="35">
        <f>Actions!F115</f>
        <v/>
      </c>
      <c r="F117" s="6">
        <f>Actions!G115</f>
        <v/>
      </c>
      <c r="G117" s="6">
        <f>Actions!H115</f>
        <v/>
      </c>
      <c r="H117" s="29">
        <f>Actions!I115</f>
        <v/>
      </c>
      <c r="I117" s="6">
        <f>Actions!J115</f>
        <v/>
      </c>
      <c r="J117" s="16">
        <f>Actions!K115</f>
        <v/>
      </c>
      <c r="K117" s="16">
        <f>IF(A117="","",IF(I117="%",H117*J117,J117))</f>
        <v/>
      </c>
      <c r="L117" s="16">
        <f>Actions!L115</f>
        <v/>
      </c>
      <c r="M117" s="6">
        <f>Actions!M115</f>
        <v/>
      </c>
      <c r="N117" s="28">
        <f>Actions!N115</f>
        <v/>
      </c>
      <c r="O117" s="29">
        <f>Actions!T115</f>
        <v/>
      </c>
      <c r="P117" s="29">
        <f>Actions!Y115</f>
        <v/>
      </c>
      <c r="Q117" s="29">
        <f>Actions!Z115</f>
        <v/>
      </c>
      <c r="R117" s="29">
        <f>Actions!AA115</f>
        <v/>
      </c>
      <c r="S117" s="29">
        <f>IF(A117="","",((K117)*(IF(M117="",L117,IFERROR(IF(INDEX(Variablen!$I:$AT, MATCH(M117, Variablen!$A:$A, 0), MATCH((YEAR(D117)+0), Variablen!$I$3:$AT$3, 0))="",L117,INDEX(Variablen!$I:$AT, MATCH(M117, Variablen!$A:$A, 0), MATCH((YEAR(D117)+0), Variablen!$I$3:$AT$3, 0))),L117)))*(IF((YEAR(D117)+0)&lt;YEAR(E117),0,IF((YEAR(D117)+0)&gt;YEAR(E117),1,(12-MONTH(E117)+1)/12))) + (Q117)*(IF((YEAR(D117)+0)&lt;YEAR(E117),0,IF((YEAR(D117)+0)&gt;YEAR(E117),1,(12-MONTH(E117)+1)/12))))-((P117)*(IF((YEAR(D117)+0)&lt;YEAR(E117),0,IF((YEAR(D117)+0)&gt;YEAR(E117),1,(12-MONTH(E117)+1)/12))) + (R117)*(IF((YEAR(D117)+0)&lt;YEAR(E117),0,IF((YEAR(D117)+0)&gt;YEAR(E117),1,(12-MONTH(E117)+1)/12))))-(IF((((K117)*(IF(M117="",L117,IFERROR(IF(INDEX(Variablen!$I:$AT, MATCH(M117, Variablen!$A:$A, 0), MATCH((YEAR(D117)+0), Variablen!$I$3:$AT$3, 0))="",L117,INDEX(Variablen!$I:$AT, MATCH(M117, Variablen!$A:$A, 0), MATCH((YEAR(D117)+0), Variablen!$I$3:$AT$3, 0))),L117)))*(IF((YEAR(D117)+0)&lt;YEAR(E117),0,IF((YEAR(D117)+0)&gt;YEAR(E117),1,(12-MONTH(E117)+1)/12))) + (Q117)*(IF((YEAR(D117)+0)&lt;YEAR(E117),0,IF((YEAR(D117)+0)&gt;YEAR(E117),1,(12-MONTH(E117)+1)/12))))-((P117)*(IF((YEAR(D117)+0)&lt;YEAR(E117),0,IF((YEAR(D117)+0)&gt;YEAR(E117),1,(12-MONTH(E117)+1)/12))) + (R117)*(IF((YEAR(D117)+0)&lt;YEAR(E117),0,IF((YEAR(D117)+0)&gt;YEAR(E117),1,(12-MONTH(E117)+1)/12))))-(IF(OR(N117="",N117&lt;=0),0,(O117/N117)*(IF(OR(N117="",N117&lt;=0),0,IF((YEAR(D117)+0)&lt;YEAR(E117),0,IF((YEAR(D117)+0)&gt;=YEAR(E117)+N117,0,IF((YEAR(D117)+0)=YEAR(E117),(12-MONTH(E117)+1)/12,1))))))))&gt;0,(((K117)*(IF(M117="",L117,IFERROR(IF(INDEX(Variablen!$I:$AT, MATCH(M117, Variablen!$A:$A, 0), MATCH((YEAR(D117)+0), Variablen!$I$3:$AT$3, 0))="",L117,INDEX(Variablen!$I:$AT, MATCH(M117, Variablen!$A:$A, 0), MATCH((YEAR(D117)+0), Variablen!$I$3:$AT$3, 0))),L117)))*(IF((YEAR(D117)+0)&lt;YEAR(E117),0,IF((YEAR(D117)+0)&gt;YEAR(E117),1,(12-MONTH(E117)+1)/12))) + (Q117)*(IF((YEAR(D117)+0)&lt;YEAR(E117),0,IF((YEAR(D117)+0)&gt;YEAR(E117),1,(12-MONTH(E117)+1)/12))))-((P117)*(IF((YEAR(D117)+0)&lt;YEAR(E117),0,IF((YEAR(D117)+0)&gt;YEAR(E117),1,(12-MONTH(E117)+1)/12))) + (R117)*(IF((YEAR(D117)+0)&lt;YEAR(E117),0,IF((YEAR(D117)+0)&gt;YEAR(E117),1,(12-MONTH(E117)+1)/12))))-(IF(OR(N117="",N117&lt;=0),0,(O117/N117)*(IF(OR(N117="",N117&lt;=0),0,IF((YEAR(D117)+0)&lt;YEAR(E117),0,IF((YEAR(D117)+0)&gt;=YEAR(E117)+N117,0,IF((YEAR(D117)+0)=YEAR(E117),(12-MONTH(E117)+1)/12,1))))))))*TaxRate,0))-IF(0=0,O117,0))</f>
        <v/>
      </c>
      <c r="T117" s="29">
        <f>IF(A117="","",((K117)*(IF(M117="",L117,IFERROR(IF(INDEX(Variablen!$I:$AT, MATCH(M117, Variablen!$A:$A, 0), MATCH((YEAR(D117)+1), Variablen!$I$3:$AT$3, 0))="",L117,INDEX(Variablen!$I:$AT, MATCH(M117, Variablen!$A:$A, 0), MATCH((YEAR(D117)+1), Variablen!$I$3:$AT$3, 0))),L117)))*(IF((YEAR(D117)+1)&lt;YEAR(E117),0,IF((YEAR(D117)+1)&gt;YEAR(E117),1,(12-MONTH(E117)+1)/12))) + (Q117)*(IF((YEAR(D117)+1)&lt;YEAR(E117),0,IF((YEAR(D117)+1)&gt;YEAR(E117),1,(12-MONTH(E117)+1)/12))))-((P117)*(IF((YEAR(D117)+1)&lt;YEAR(E117),0,IF((YEAR(D117)+1)&gt;YEAR(E117),1,(12-MONTH(E117)+1)/12))) + (R117)*(IF((YEAR(D117)+1)&lt;YEAR(E117),0,IF((YEAR(D117)+1)&gt;YEAR(E117),1,(12-MONTH(E117)+1)/12))))-(IF((((K117)*(IF(M117="",L117,IFERROR(IF(INDEX(Variablen!$I:$AT, MATCH(M117, Variablen!$A:$A, 0), MATCH((YEAR(D117)+1), Variablen!$I$3:$AT$3, 0))="",L117,INDEX(Variablen!$I:$AT, MATCH(M117, Variablen!$A:$A, 0), MATCH((YEAR(D117)+1), Variablen!$I$3:$AT$3, 0))),L117)))*(IF((YEAR(D117)+1)&lt;YEAR(E117),0,IF((YEAR(D117)+1)&gt;YEAR(E117),1,(12-MONTH(E117)+1)/12))) + (Q117)*(IF((YEAR(D117)+1)&lt;YEAR(E117),0,IF((YEAR(D117)+1)&gt;YEAR(E117),1,(12-MONTH(E117)+1)/12))))-((P117)*(IF((YEAR(D117)+1)&lt;YEAR(E117),0,IF((YEAR(D117)+1)&gt;YEAR(E117),1,(12-MONTH(E117)+1)/12))) + (R117)*(IF((YEAR(D117)+1)&lt;YEAR(E117),0,IF((YEAR(D117)+1)&gt;YEAR(E117),1,(12-MONTH(E117)+1)/12))))-(IF(OR(N117="",N117&lt;=0),0,(O117/N117)*(IF(OR(N117="",N117&lt;=0),0,IF((YEAR(D117)+1)&lt;YEAR(E117),0,IF((YEAR(D117)+1)&gt;=YEAR(E117)+N117,0,IF((YEAR(D117)+1)=YEAR(E117),(12-MONTH(E117)+1)/12,1))))))))&gt;0,(((K117)*(IF(M117="",L117,IFERROR(IF(INDEX(Variablen!$I:$AT, MATCH(M117, Variablen!$A:$A, 0), MATCH((YEAR(D117)+1), Variablen!$I$3:$AT$3, 0))="",L117,INDEX(Variablen!$I:$AT, MATCH(M117, Variablen!$A:$A, 0), MATCH((YEAR(D117)+1), Variablen!$I$3:$AT$3, 0))),L117)))*(IF((YEAR(D117)+1)&lt;YEAR(E117),0,IF((YEAR(D117)+1)&gt;YEAR(E117),1,(12-MONTH(E117)+1)/12))) + (Q117)*(IF((YEAR(D117)+1)&lt;YEAR(E117),0,IF((YEAR(D117)+1)&gt;YEAR(E117),1,(12-MONTH(E117)+1)/12))))-((P117)*(IF((YEAR(D117)+1)&lt;YEAR(E117),0,IF((YEAR(D117)+1)&gt;YEAR(E117),1,(12-MONTH(E117)+1)/12))) + (R117)*(IF((YEAR(D117)+1)&lt;YEAR(E117),0,IF((YEAR(D117)+1)&gt;YEAR(E117),1,(12-MONTH(E117)+1)/12))))-(IF(OR(N117="",N117&lt;=0),0,(O117/N117)*(IF(OR(N117="",N117&lt;=0),0,IF((YEAR(D117)+1)&lt;YEAR(E117),0,IF((YEAR(D117)+1)&gt;=YEAR(E117)+N117,0,IF((YEAR(D117)+1)=YEAR(E117),(12-MONTH(E117)+1)/12,1))))))))*TaxRate,0))-IF(1=0,O117,0))</f>
        <v/>
      </c>
      <c r="U117" s="29">
        <f>IF(A117="","",((K117)*(IF(M117="",L117,IFERROR(IF(INDEX(Variablen!$I:$AT, MATCH(M117, Variablen!$A:$A, 0), MATCH((YEAR(D117)+2), Variablen!$I$3:$AT$3, 0))="",L117,INDEX(Variablen!$I:$AT, MATCH(M117, Variablen!$A:$A, 0), MATCH((YEAR(D117)+2), Variablen!$I$3:$AT$3, 0))),L117)))*(IF((YEAR(D117)+2)&lt;YEAR(E117),0,IF((YEAR(D117)+2)&gt;YEAR(E117),1,(12-MONTH(E117)+1)/12))) + (Q117)*(IF((YEAR(D117)+2)&lt;YEAR(E117),0,IF((YEAR(D117)+2)&gt;YEAR(E117),1,(12-MONTH(E117)+1)/12))))-((P117)*(IF((YEAR(D117)+2)&lt;YEAR(E117),0,IF((YEAR(D117)+2)&gt;YEAR(E117),1,(12-MONTH(E117)+1)/12))) + (R117)*(IF((YEAR(D117)+2)&lt;YEAR(E117),0,IF((YEAR(D117)+2)&gt;YEAR(E117),1,(12-MONTH(E117)+1)/12))))-(IF((((K117)*(IF(M117="",L117,IFERROR(IF(INDEX(Variablen!$I:$AT, MATCH(M117, Variablen!$A:$A, 0), MATCH((YEAR(D117)+2), Variablen!$I$3:$AT$3, 0))="",L117,INDEX(Variablen!$I:$AT, MATCH(M117, Variablen!$A:$A, 0), MATCH((YEAR(D117)+2), Variablen!$I$3:$AT$3, 0))),L117)))*(IF((YEAR(D117)+2)&lt;YEAR(E117),0,IF((YEAR(D117)+2)&gt;YEAR(E117),1,(12-MONTH(E117)+1)/12))) + (Q117)*(IF((YEAR(D117)+2)&lt;YEAR(E117),0,IF((YEAR(D117)+2)&gt;YEAR(E117),1,(12-MONTH(E117)+1)/12))))-((P117)*(IF((YEAR(D117)+2)&lt;YEAR(E117),0,IF((YEAR(D117)+2)&gt;YEAR(E117),1,(12-MONTH(E117)+1)/12))) + (R117)*(IF((YEAR(D117)+2)&lt;YEAR(E117),0,IF((YEAR(D117)+2)&gt;YEAR(E117),1,(12-MONTH(E117)+1)/12))))-(IF(OR(N117="",N117&lt;=0),0,(O117/N117)*(IF(OR(N117="",N117&lt;=0),0,IF((YEAR(D117)+2)&lt;YEAR(E117),0,IF((YEAR(D117)+2)&gt;=YEAR(E117)+N117,0,IF((YEAR(D117)+2)=YEAR(E117),(12-MONTH(E117)+1)/12,1))))))))&gt;0,(((K117)*(IF(M117="",L117,IFERROR(IF(INDEX(Variablen!$I:$AT, MATCH(M117, Variablen!$A:$A, 0), MATCH((YEAR(D117)+2), Variablen!$I$3:$AT$3, 0))="",L117,INDEX(Variablen!$I:$AT, MATCH(M117, Variablen!$A:$A, 0), MATCH((YEAR(D117)+2), Variablen!$I$3:$AT$3, 0))),L117)))*(IF((YEAR(D117)+2)&lt;YEAR(E117),0,IF((YEAR(D117)+2)&gt;YEAR(E117),1,(12-MONTH(E117)+1)/12))) + (Q117)*(IF((YEAR(D117)+2)&lt;YEAR(E117),0,IF((YEAR(D117)+2)&gt;YEAR(E117),1,(12-MONTH(E117)+1)/12))))-((P117)*(IF((YEAR(D117)+2)&lt;YEAR(E117),0,IF((YEAR(D117)+2)&gt;YEAR(E117),1,(12-MONTH(E117)+1)/12))) + (R117)*(IF((YEAR(D117)+2)&lt;YEAR(E117),0,IF((YEAR(D117)+2)&gt;YEAR(E117),1,(12-MONTH(E117)+1)/12))))-(IF(OR(N117="",N117&lt;=0),0,(O117/N117)*(IF(OR(N117="",N117&lt;=0),0,IF((YEAR(D117)+2)&lt;YEAR(E117),0,IF((YEAR(D117)+2)&gt;=YEAR(E117)+N117,0,IF((YEAR(D117)+2)=YEAR(E117),(12-MONTH(E117)+1)/12,1))))))))*TaxRate,0))-IF(2=0,O117,0))</f>
        <v/>
      </c>
      <c r="V117" s="29">
        <f>IF(A117="","",((K117)*(IF(M117="",L117,IFERROR(IF(INDEX(Variablen!$I:$AT, MATCH(M117, Variablen!$A:$A, 0), MATCH((YEAR(D117)+3), Variablen!$I$3:$AT$3, 0))="",L117,INDEX(Variablen!$I:$AT, MATCH(M117, Variablen!$A:$A, 0), MATCH((YEAR(D117)+3), Variablen!$I$3:$AT$3, 0))),L117)))*(IF((YEAR(D117)+3)&lt;YEAR(E117),0,IF((YEAR(D117)+3)&gt;YEAR(E117),1,(12-MONTH(E117)+1)/12))) + (Q117)*(IF((YEAR(D117)+3)&lt;YEAR(E117),0,IF((YEAR(D117)+3)&gt;YEAR(E117),1,(12-MONTH(E117)+1)/12))))-((P117)*(IF((YEAR(D117)+3)&lt;YEAR(E117),0,IF((YEAR(D117)+3)&gt;YEAR(E117),1,(12-MONTH(E117)+1)/12))) + (R117)*(IF((YEAR(D117)+3)&lt;YEAR(E117),0,IF((YEAR(D117)+3)&gt;YEAR(E117),1,(12-MONTH(E117)+1)/12))))-(IF((((K117)*(IF(M117="",L117,IFERROR(IF(INDEX(Variablen!$I:$AT, MATCH(M117, Variablen!$A:$A, 0), MATCH((YEAR(D117)+3), Variablen!$I$3:$AT$3, 0))="",L117,INDEX(Variablen!$I:$AT, MATCH(M117, Variablen!$A:$A, 0), MATCH((YEAR(D117)+3), Variablen!$I$3:$AT$3, 0))),L117)))*(IF((YEAR(D117)+3)&lt;YEAR(E117),0,IF((YEAR(D117)+3)&gt;YEAR(E117),1,(12-MONTH(E117)+1)/12))) + (Q117)*(IF((YEAR(D117)+3)&lt;YEAR(E117),0,IF((YEAR(D117)+3)&gt;YEAR(E117),1,(12-MONTH(E117)+1)/12))))-((P117)*(IF((YEAR(D117)+3)&lt;YEAR(E117),0,IF((YEAR(D117)+3)&gt;YEAR(E117),1,(12-MONTH(E117)+1)/12))) + (R117)*(IF((YEAR(D117)+3)&lt;YEAR(E117),0,IF((YEAR(D117)+3)&gt;YEAR(E117),1,(12-MONTH(E117)+1)/12))))-(IF(OR(N117="",N117&lt;=0),0,(O117/N117)*(IF(OR(N117="",N117&lt;=0),0,IF((YEAR(D117)+3)&lt;YEAR(E117),0,IF((YEAR(D117)+3)&gt;=YEAR(E117)+N117,0,IF((YEAR(D117)+3)=YEAR(E117),(12-MONTH(E117)+1)/12,1))))))))&gt;0,(((K117)*(IF(M117="",L117,IFERROR(IF(INDEX(Variablen!$I:$AT, MATCH(M117, Variablen!$A:$A, 0), MATCH((YEAR(D117)+3), Variablen!$I$3:$AT$3, 0))="",L117,INDEX(Variablen!$I:$AT, MATCH(M117, Variablen!$A:$A, 0), MATCH((YEAR(D117)+3), Variablen!$I$3:$AT$3, 0))),L117)))*(IF((YEAR(D117)+3)&lt;YEAR(E117),0,IF((YEAR(D117)+3)&gt;YEAR(E117),1,(12-MONTH(E117)+1)/12))) + (Q117)*(IF((YEAR(D117)+3)&lt;YEAR(E117),0,IF((YEAR(D117)+3)&gt;YEAR(E117),1,(12-MONTH(E117)+1)/12))))-((P117)*(IF((YEAR(D117)+3)&lt;YEAR(E117),0,IF((YEAR(D117)+3)&gt;YEAR(E117),1,(12-MONTH(E117)+1)/12))) + (R117)*(IF((YEAR(D117)+3)&lt;YEAR(E117),0,IF((YEAR(D117)+3)&gt;YEAR(E117),1,(12-MONTH(E117)+1)/12))))-(IF(OR(N117="",N117&lt;=0),0,(O117/N117)*(IF(OR(N117="",N117&lt;=0),0,IF((YEAR(D117)+3)&lt;YEAR(E117),0,IF((YEAR(D117)+3)&gt;=YEAR(E117)+N117,0,IF((YEAR(D117)+3)=YEAR(E117),(12-MONTH(E117)+1)/12,1))))))))*TaxRate,0))-IF(3=0,O117,0))</f>
        <v/>
      </c>
      <c r="W117" s="29">
        <f>IF(A117="","",((K117)*(IF(M117="",L117,IFERROR(IF(INDEX(Variablen!$I:$AT, MATCH(M117, Variablen!$A:$A, 0), MATCH((YEAR(D117)+4), Variablen!$I$3:$AT$3, 0))="",L117,INDEX(Variablen!$I:$AT, MATCH(M117, Variablen!$A:$A, 0), MATCH((YEAR(D117)+4), Variablen!$I$3:$AT$3, 0))),L117)))*(IF((YEAR(D117)+4)&lt;YEAR(E117),0,IF((YEAR(D117)+4)&gt;YEAR(E117),1,(12-MONTH(E117)+1)/12))) + (Q117)*(IF((YEAR(D117)+4)&lt;YEAR(E117),0,IF((YEAR(D117)+4)&gt;YEAR(E117),1,(12-MONTH(E117)+1)/12))))-((P117)*(IF((YEAR(D117)+4)&lt;YEAR(E117),0,IF((YEAR(D117)+4)&gt;YEAR(E117),1,(12-MONTH(E117)+1)/12))) + (R117)*(IF((YEAR(D117)+4)&lt;YEAR(E117),0,IF((YEAR(D117)+4)&gt;YEAR(E117),1,(12-MONTH(E117)+1)/12))))-(IF((((K117)*(IF(M117="",L117,IFERROR(IF(INDEX(Variablen!$I:$AT, MATCH(M117, Variablen!$A:$A, 0), MATCH((YEAR(D117)+4), Variablen!$I$3:$AT$3, 0))="",L117,INDEX(Variablen!$I:$AT, MATCH(M117, Variablen!$A:$A, 0), MATCH((YEAR(D117)+4), Variablen!$I$3:$AT$3, 0))),L117)))*(IF((YEAR(D117)+4)&lt;YEAR(E117),0,IF((YEAR(D117)+4)&gt;YEAR(E117),1,(12-MONTH(E117)+1)/12))) + (Q117)*(IF((YEAR(D117)+4)&lt;YEAR(E117),0,IF((YEAR(D117)+4)&gt;YEAR(E117),1,(12-MONTH(E117)+1)/12))))-((P117)*(IF((YEAR(D117)+4)&lt;YEAR(E117),0,IF((YEAR(D117)+4)&gt;YEAR(E117),1,(12-MONTH(E117)+1)/12))) + (R117)*(IF((YEAR(D117)+4)&lt;YEAR(E117),0,IF((YEAR(D117)+4)&gt;YEAR(E117),1,(12-MONTH(E117)+1)/12))))-(IF(OR(N117="",N117&lt;=0),0,(O117/N117)*(IF(OR(N117="",N117&lt;=0),0,IF((YEAR(D117)+4)&lt;YEAR(E117),0,IF((YEAR(D117)+4)&gt;=YEAR(E117)+N117,0,IF((YEAR(D117)+4)=YEAR(E117),(12-MONTH(E117)+1)/12,1))))))))&gt;0,(((K117)*(IF(M117="",L117,IFERROR(IF(INDEX(Variablen!$I:$AT, MATCH(M117, Variablen!$A:$A, 0), MATCH((YEAR(D117)+4), Variablen!$I$3:$AT$3, 0))="",L117,INDEX(Variablen!$I:$AT, MATCH(M117, Variablen!$A:$A, 0), MATCH((YEAR(D117)+4), Variablen!$I$3:$AT$3, 0))),L117)))*(IF((YEAR(D117)+4)&lt;YEAR(E117),0,IF((YEAR(D117)+4)&gt;YEAR(E117),1,(12-MONTH(E117)+1)/12))) + (Q117)*(IF((YEAR(D117)+4)&lt;YEAR(E117),0,IF((YEAR(D117)+4)&gt;YEAR(E117),1,(12-MONTH(E117)+1)/12))))-((P117)*(IF((YEAR(D117)+4)&lt;YEAR(E117),0,IF((YEAR(D117)+4)&gt;YEAR(E117),1,(12-MONTH(E117)+1)/12))) + (R117)*(IF((YEAR(D117)+4)&lt;YEAR(E117),0,IF((YEAR(D117)+4)&gt;YEAR(E117),1,(12-MONTH(E117)+1)/12))))-(IF(OR(N117="",N117&lt;=0),0,(O117/N117)*(IF(OR(N117="",N117&lt;=0),0,IF((YEAR(D117)+4)&lt;YEAR(E117),0,IF((YEAR(D117)+4)&gt;=YEAR(E117)+N117,0,IF((YEAR(D117)+4)=YEAR(E117),(12-MONTH(E117)+1)/12,1))))))))*TaxRate,0))-IF(4=0,O117,0))</f>
        <v/>
      </c>
      <c r="X117" s="29">
        <f>IF(A117="","",((K117)*(IF(M117="",L117,IFERROR(IF(INDEX(Variablen!$I:$AT, MATCH(M117, Variablen!$A:$A, 0), MATCH((YEAR(D117)+5), Variablen!$I$3:$AT$3, 0))="",L117,INDEX(Variablen!$I:$AT, MATCH(M117, Variablen!$A:$A, 0), MATCH((YEAR(D117)+5), Variablen!$I$3:$AT$3, 0))),L117)))*(IF((YEAR(D117)+5)&lt;YEAR(E117),0,IF((YEAR(D117)+5)&gt;YEAR(E117),1,(12-MONTH(E117)+1)/12))) + (Q117)*(IF((YEAR(D117)+5)&lt;YEAR(E117),0,IF((YEAR(D117)+5)&gt;YEAR(E117),1,(12-MONTH(E117)+1)/12))))-((P117)*(IF((YEAR(D117)+5)&lt;YEAR(E117),0,IF((YEAR(D117)+5)&gt;YEAR(E117),1,(12-MONTH(E117)+1)/12))) + (R117)*(IF((YEAR(D117)+5)&lt;YEAR(E117),0,IF((YEAR(D117)+5)&gt;YEAR(E117),1,(12-MONTH(E117)+1)/12))))-(IF((((K117)*(IF(M117="",L117,IFERROR(IF(INDEX(Variablen!$I:$AT, MATCH(M117, Variablen!$A:$A, 0), MATCH((YEAR(D117)+5), Variablen!$I$3:$AT$3, 0))="",L117,INDEX(Variablen!$I:$AT, MATCH(M117, Variablen!$A:$A, 0), MATCH((YEAR(D117)+5), Variablen!$I$3:$AT$3, 0))),L117)))*(IF((YEAR(D117)+5)&lt;YEAR(E117),0,IF((YEAR(D117)+5)&gt;YEAR(E117),1,(12-MONTH(E117)+1)/12))) + (Q117)*(IF((YEAR(D117)+5)&lt;YEAR(E117),0,IF((YEAR(D117)+5)&gt;YEAR(E117),1,(12-MONTH(E117)+1)/12))))-((P117)*(IF((YEAR(D117)+5)&lt;YEAR(E117),0,IF((YEAR(D117)+5)&gt;YEAR(E117),1,(12-MONTH(E117)+1)/12))) + (R117)*(IF((YEAR(D117)+5)&lt;YEAR(E117),0,IF((YEAR(D117)+5)&gt;YEAR(E117),1,(12-MONTH(E117)+1)/12))))-(IF(OR(N117="",N117&lt;=0),0,(O117/N117)*(IF(OR(N117="",N117&lt;=0),0,IF((YEAR(D117)+5)&lt;YEAR(E117),0,IF((YEAR(D117)+5)&gt;=YEAR(E117)+N117,0,IF((YEAR(D117)+5)=YEAR(E117),(12-MONTH(E117)+1)/12,1))))))))&gt;0,(((K117)*(IF(M117="",L117,IFERROR(IF(INDEX(Variablen!$I:$AT, MATCH(M117, Variablen!$A:$A, 0), MATCH((YEAR(D117)+5), Variablen!$I$3:$AT$3, 0))="",L117,INDEX(Variablen!$I:$AT, MATCH(M117, Variablen!$A:$A, 0), MATCH((YEAR(D117)+5), Variablen!$I$3:$AT$3, 0))),L117)))*(IF((YEAR(D117)+5)&lt;YEAR(E117),0,IF((YEAR(D117)+5)&gt;YEAR(E117),1,(12-MONTH(E117)+1)/12))) + (Q117)*(IF((YEAR(D117)+5)&lt;YEAR(E117),0,IF((YEAR(D117)+5)&gt;YEAR(E117),1,(12-MONTH(E117)+1)/12))))-((P117)*(IF((YEAR(D117)+5)&lt;YEAR(E117),0,IF((YEAR(D117)+5)&gt;YEAR(E117),1,(12-MONTH(E117)+1)/12))) + (R117)*(IF((YEAR(D117)+5)&lt;YEAR(E117),0,IF((YEAR(D117)+5)&gt;YEAR(E117),1,(12-MONTH(E117)+1)/12))))-(IF(OR(N117="",N117&lt;=0),0,(O117/N117)*(IF(OR(N117="",N117&lt;=0),0,IF((YEAR(D117)+5)&lt;YEAR(E117),0,IF((YEAR(D117)+5)&gt;=YEAR(E117)+N117,0,IF((YEAR(D117)+5)=YEAR(E117),(12-MONTH(E117)+1)/12,1))))))))*TaxRate,0))-IF(5=0,O117,0))</f>
        <v/>
      </c>
      <c r="Y117" s="29">
        <f>IF(A117="","",((K117)*(IF(M117="",L117,IFERROR(IF(INDEX(Variablen!$I:$AT, MATCH(M117, Variablen!$A:$A, 0), MATCH((YEAR(D117)+6), Variablen!$I$3:$AT$3, 0))="",L117,INDEX(Variablen!$I:$AT, MATCH(M117, Variablen!$A:$A, 0), MATCH((YEAR(D117)+6), Variablen!$I$3:$AT$3, 0))),L117)))*(IF((YEAR(D117)+6)&lt;YEAR(E117),0,IF((YEAR(D117)+6)&gt;YEAR(E117),1,(12-MONTH(E117)+1)/12))) + (Q117)*(IF((YEAR(D117)+6)&lt;YEAR(E117),0,IF((YEAR(D117)+6)&gt;YEAR(E117),1,(12-MONTH(E117)+1)/12))))-((P117)*(IF((YEAR(D117)+6)&lt;YEAR(E117),0,IF((YEAR(D117)+6)&gt;YEAR(E117),1,(12-MONTH(E117)+1)/12))) + (R117)*(IF((YEAR(D117)+6)&lt;YEAR(E117),0,IF((YEAR(D117)+6)&gt;YEAR(E117),1,(12-MONTH(E117)+1)/12))))-(IF((((K117)*(IF(M117="",L117,IFERROR(IF(INDEX(Variablen!$I:$AT, MATCH(M117, Variablen!$A:$A, 0), MATCH((YEAR(D117)+6), Variablen!$I$3:$AT$3, 0))="",L117,INDEX(Variablen!$I:$AT, MATCH(M117, Variablen!$A:$A, 0), MATCH((YEAR(D117)+6), Variablen!$I$3:$AT$3, 0))),L117)))*(IF((YEAR(D117)+6)&lt;YEAR(E117),0,IF((YEAR(D117)+6)&gt;YEAR(E117),1,(12-MONTH(E117)+1)/12))) + (Q117)*(IF((YEAR(D117)+6)&lt;YEAR(E117),0,IF((YEAR(D117)+6)&gt;YEAR(E117),1,(12-MONTH(E117)+1)/12))))-((P117)*(IF((YEAR(D117)+6)&lt;YEAR(E117),0,IF((YEAR(D117)+6)&gt;YEAR(E117),1,(12-MONTH(E117)+1)/12))) + (R117)*(IF((YEAR(D117)+6)&lt;YEAR(E117),0,IF((YEAR(D117)+6)&gt;YEAR(E117),1,(12-MONTH(E117)+1)/12))))-(IF(OR(N117="",N117&lt;=0),0,(O117/N117)*(IF(OR(N117="",N117&lt;=0),0,IF((YEAR(D117)+6)&lt;YEAR(E117),0,IF((YEAR(D117)+6)&gt;=YEAR(E117)+N117,0,IF((YEAR(D117)+6)=YEAR(E117),(12-MONTH(E117)+1)/12,1))))))))&gt;0,(((K117)*(IF(M117="",L117,IFERROR(IF(INDEX(Variablen!$I:$AT, MATCH(M117, Variablen!$A:$A, 0), MATCH((YEAR(D117)+6), Variablen!$I$3:$AT$3, 0))="",L117,INDEX(Variablen!$I:$AT, MATCH(M117, Variablen!$A:$A, 0), MATCH((YEAR(D117)+6), Variablen!$I$3:$AT$3, 0))),L117)))*(IF((YEAR(D117)+6)&lt;YEAR(E117),0,IF((YEAR(D117)+6)&gt;YEAR(E117),1,(12-MONTH(E117)+1)/12))) + (Q117)*(IF((YEAR(D117)+6)&lt;YEAR(E117),0,IF((YEAR(D117)+6)&gt;YEAR(E117),1,(12-MONTH(E117)+1)/12))))-((P117)*(IF((YEAR(D117)+6)&lt;YEAR(E117),0,IF((YEAR(D117)+6)&gt;YEAR(E117),1,(12-MONTH(E117)+1)/12))) + (R117)*(IF((YEAR(D117)+6)&lt;YEAR(E117),0,IF((YEAR(D117)+6)&gt;YEAR(E117),1,(12-MONTH(E117)+1)/12))))-(IF(OR(N117="",N117&lt;=0),0,(O117/N117)*(IF(OR(N117="",N117&lt;=0),0,IF((YEAR(D117)+6)&lt;YEAR(E117),0,IF((YEAR(D117)+6)&gt;=YEAR(E117)+N117,0,IF((YEAR(D117)+6)=YEAR(E117),(12-MONTH(E117)+1)/12,1))))))))*TaxRate,0))-IF(6=0,O117,0))</f>
        <v/>
      </c>
      <c r="Z117" s="29">
        <f>IF(A117="","",((K117)*(IF(M117="",L117,IFERROR(IF(INDEX(Variablen!$I:$AT, MATCH(M117, Variablen!$A:$A, 0), MATCH((YEAR(D117)+7), Variablen!$I$3:$AT$3, 0))="",L117,INDEX(Variablen!$I:$AT, MATCH(M117, Variablen!$A:$A, 0), MATCH((YEAR(D117)+7), Variablen!$I$3:$AT$3, 0))),L117)))*(IF((YEAR(D117)+7)&lt;YEAR(E117),0,IF((YEAR(D117)+7)&gt;YEAR(E117),1,(12-MONTH(E117)+1)/12))) + (Q117)*(IF((YEAR(D117)+7)&lt;YEAR(E117),0,IF((YEAR(D117)+7)&gt;YEAR(E117),1,(12-MONTH(E117)+1)/12))))-((P117)*(IF((YEAR(D117)+7)&lt;YEAR(E117),0,IF((YEAR(D117)+7)&gt;YEAR(E117),1,(12-MONTH(E117)+1)/12))) + (R117)*(IF((YEAR(D117)+7)&lt;YEAR(E117),0,IF((YEAR(D117)+7)&gt;YEAR(E117),1,(12-MONTH(E117)+1)/12))))-(IF((((K117)*(IF(M117="",L117,IFERROR(IF(INDEX(Variablen!$I:$AT, MATCH(M117, Variablen!$A:$A, 0), MATCH((YEAR(D117)+7), Variablen!$I$3:$AT$3, 0))="",L117,INDEX(Variablen!$I:$AT, MATCH(M117, Variablen!$A:$A, 0), MATCH((YEAR(D117)+7), Variablen!$I$3:$AT$3, 0))),L117)))*(IF((YEAR(D117)+7)&lt;YEAR(E117),0,IF((YEAR(D117)+7)&gt;YEAR(E117),1,(12-MONTH(E117)+1)/12))) + (Q117)*(IF((YEAR(D117)+7)&lt;YEAR(E117),0,IF((YEAR(D117)+7)&gt;YEAR(E117),1,(12-MONTH(E117)+1)/12))))-((P117)*(IF((YEAR(D117)+7)&lt;YEAR(E117),0,IF((YEAR(D117)+7)&gt;YEAR(E117),1,(12-MONTH(E117)+1)/12))) + (R117)*(IF((YEAR(D117)+7)&lt;YEAR(E117),0,IF((YEAR(D117)+7)&gt;YEAR(E117),1,(12-MONTH(E117)+1)/12))))-(IF(OR(N117="",N117&lt;=0),0,(O117/N117)*(IF(OR(N117="",N117&lt;=0),0,IF((YEAR(D117)+7)&lt;YEAR(E117),0,IF((YEAR(D117)+7)&gt;=YEAR(E117)+N117,0,IF((YEAR(D117)+7)=YEAR(E117),(12-MONTH(E117)+1)/12,1))))))))&gt;0,(((K117)*(IF(M117="",L117,IFERROR(IF(INDEX(Variablen!$I:$AT, MATCH(M117, Variablen!$A:$A, 0), MATCH((YEAR(D117)+7), Variablen!$I$3:$AT$3, 0))="",L117,INDEX(Variablen!$I:$AT, MATCH(M117, Variablen!$A:$A, 0), MATCH((YEAR(D117)+7), Variablen!$I$3:$AT$3, 0))),L117)))*(IF((YEAR(D117)+7)&lt;YEAR(E117),0,IF((YEAR(D117)+7)&gt;YEAR(E117),1,(12-MONTH(E117)+1)/12))) + (Q117)*(IF((YEAR(D117)+7)&lt;YEAR(E117),0,IF((YEAR(D117)+7)&gt;YEAR(E117),1,(12-MONTH(E117)+1)/12))))-((P117)*(IF((YEAR(D117)+7)&lt;YEAR(E117),0,IF((YEAR(D117)+7)&gt;YEAR(E117),1,(12-MONTH(E117)+1)/12))) + (R117)*(IF((YEAR(D117)+7)&lt;YEAR(E117),0,IF((YEAR(D117)+7)&gt;YEAR(E117),1,(12-MONTH(E117)+1)/12))))-(IF(OR(N117="",N117&lt;=0),0,(O117/N117)*(IF(OR(N117="",N117&lt;=0),0,IF((YEAR(D117)+7)&lt;YEAR(E117),0,IF((YEAR(D117)+7)&gt;=YEAR(E117)+N117,0,IF((YEAR(D117)+7)=YEAR(E117),(12-MONTH(E117)+1)/12,1))))))))*TaxRate,0))-IF(7=0,O117,0))</f>
        <v/>
      </c>
      <c r="AA117" s="29">
        <f>IF(A117="","",((K117)*(IF(M117="",L117,IFERROR(IF(INDEX(Variablen!$I:$AT, MATCH(M117, Variablen!$A:$A, 0), MATCH((YEAR(D117)+8), Variablen!$I$3:$AT$3, 0))="",L117,INDEX(Variablen!$I:$AT, MATCH(M117, Variablen!$A:$A, 0), MATCH((YEAR(D117)+8), Variablen!$I$3:$AT$3, 0))),L117)))*(IF((YEAR(D117)+8)&lt;YEAR(E117),0,IF((YEAR(D117)+8)&gt;YEAR(E117),1,(12-MONTH(E117)+1)/12))) + (Q117)*(IF((YEAR(D117)+8)&lt;YEAR(E117),0,IF((YEAR(D117)+8)&gt;YEAR(E117),1,(12-MONTH(E117)+1)/12))))-((P117)*(IF((YEAR(D117)+8)&lt;YEAR(E117),0,IF((YEAR(D117)+8)&gt;YEAR(E117),1,(12-MONTH(E117)+1)/12))) + (R117)*(IF((YEAR(D117)+8)&lt;YEAR(E117),0,IF((YEAR(D117)+8)&gt;YEAR(E117),1,(12-MONTH(E117)+1)/12))))-(IF((((K117)*(IF(M117="",L117,IFERROR(IF(INDEX(Variablen!$I:$AT, MATCH(M117, Variablen!$A:$A, 0), MATCH((YEAR(D117)+8), Variablen!$I$3:$AT$3, 0))="",L117,INDEX(Variablen!$I:$AT, MATCH(M117, Variablen!$A:$A, 0), MATCH((YEAR(D117)+8), Variablen!$I$3:$AT$3, 0))),L117)))*(IF((YEAR(D117)+8)&lt;YEAR(E117),0,IF((YEAR(D117)+8)&gt;YEAR(E117),1,(12-MONTH(E117)+1)/12))) + (Q117)*(IF((YEAR(D117)+8)&lt;YEAR(E117),0,IF((YEAR(D117)+8)&gt;YEAR(E117),1,(12-MONTH(E117)+1)/12))))-((P117)*(IF((YEAR(D117)+8)&lt;YEAR(E117),0,IF((YEAR(D117)+8)&gt;YEAR(E117),1,(12-MONTH(E117)+1)/12))) + (R117)*(IF((YEAR(D117)+8)&lt;YEAR(E117),0,IF((YEAR(D117)+8)&gt;YEAR(E117),1,(12-MONTH(E117)+1)/12))))-(IF(OR(N117="",N117&lt;=0),0,(O117/N117)*(IF(OR(N117="",N117&lt;=0),0,IF((YEAR(D117)+8)&lt;YEAR(E117),0,IF((YEAR(D117)+8)&gt;=YEAR(E117)+N117,0,IF((YEAR(D117)+8)=YEAR(E117),(12-MONTH(E117)+1)/12,1))))))))&gt;0,(((K117)*(IF(M117="",L117,IFERROR(IF(INDEX(Variablen!$I:$AT, MATCH(M117, Variablen!$A:$A, 0), MATCH((YEAR(D117)+8), Variablen!$I$3:$AT$3, 0))="",L117,INDEX(Variablen!$I:$AT, MATCH(M117, Variablen!$A:$A, 0), MATCH((YEAR(D117)+8), Variablen!$I$3:$AT$3, 0))),L117)))*(IF((YEAR(D117)+8)&lt;YEAR(E117),0,IF((YEAR(D117)+8)&gt;YEAR(E117),1,(12-MONTH(E117)+1)/12))) + (Q117)*(IF((YEAR(D117)+8)&lt;YEAR(E117),0,IF((YEAR(D117)+8)&gt;YEAR(E117),1,(12-MONTH(E117)+1)/12))))-((P117)*(IF((YEAR(D117)+8)&lt;YEAR(E117),0,IF((YEAR(D117)+8)&gt;YEAR(E117),1,(12-MONTH(E117)+1)/12))) + (R117)*(IF((YEAR(D117)+8)&lt;YEAR(E117),0,IF((YEAR(D117)+8)&gt;YEAR(E117),1,(12-MONTH(E117)+1)/12))))-(IF(OR(N117="",N117&lt;=0),0,(O117/N117)*(IF(OR(N117="",N117&lt;=0),0,IF((YEAR(D117)+8)&lt;YEAR(E117),0,IF((YEAR(D117)+8)&gt;=YEAR(E117)+N117,0,IF((YEAR(D117)+8)=YEAR(E117),(12-MONTH(E117)+1)/12,1))))))))*TaxRate,0))-IF(8=0,O117,0))</f>
        <v/>
      </c>
      <c r="AB117" s="29">
        <f>IF(A117="","",((K117)*(IF(M117="",L117,IFERROR(IF(INDEX(Variablen!$I:$AT, MATCH(M117, Variablen!$A:$A, 0), MATCH((YEAR(D117)+9), Variablen!$I$3:$AT$3, 0))="",L117,INDEX(Variablen!$I:$AT, MATCH(M117, Variablen!$A:$A, 0), MATCH((YEAR(D117)+9), Variablen!$I$3:$AT$3, 0))),L117)))*(IF((YEAR(D117)+9)&lt;YEAR(E117),0,IF((YEAR(D117)+9)&gt;YEAR(E117),1,(12-MONTH(E117)+1)/12))) + (Q117)*(IF((YEAR(D117)+9)&lt;YEAR(E117),0,IF((YEAR(D117)+9)&gt;YEAR(E117),1,(12-MONTH(E117)+1)/12))))-((P117)*(IF((YEAR(D117)+9)&lt;YEAR(E117),0,IF((YEAR(D117)+9)&gt;YEAR(E117),1,(12-MONTH(E117)+1)/12))) + (R117)*(IF((YEAR(D117)+9)&lt;YEAR(E117),0,IF((YEAR(D117)+9)&gt;YEAR(E117),1,(12-MONTH(E117)+1)/12))))-(IF((((K117)*(IF(M117="",L117,IFERROR(IF(INDEX(Variablen!$I:$AT, MATCH(M117, Variablen!$A:$A, 0), MATCH((YEAR(D117)+9), Variablen!$I$3:$AT$3, 0))="",L117,INDEX(Variablen!$I:$AT, MATCH(M117, Variablen!$A:$A, 0), MATCH((YEAR(D117)+9), Variablen!$I$3:$AT$3, 0))),L117)))*(IF((YEAR(D117)+9)&lt;YEAR(E117),0,IF((YEAR(D117)+9)&gt;YEAR(E117),1,(12-MONTH(E117)+1)/12))) + (Q117)*(IF((YEAR(D117)+9)&lt;YEAR(E117),0,IF((YEAR(D117)+9)&gt;YEAR(E117),1,(12-MONTH(E117)+1)/12))))-((P117)*(IF((YEAR(D117)+9)&lt;YEAR(E117),0,IF((YEAR(D117)+9)&gt;YEAR(E117),1,(12-MONTH(E117)+1)/12))) + (R117)*(IF((YEAR(D117)+9)&lt;YEAR(E117),0,IF((YEAR(D117)+9)&gt;YEAR(E117),1,(12-MONTH(E117)+1)/12))))-(IF(OR(N117="",N117&lt;=0),0,(O117/N117)*(IF(OR(N117="",N117&lt;=0),0,IF((YEAR(D117)+9)&lt;YEAR(E117),0,IF((YEAR(D117)+9)&gt;=YEAR(E117)+N117,0,IF((YEAR(D117)+9)=YEAR(E117),(12-MONTH(E117)+1)/12,1))))))))&gt;0,(((K117)*(IF(M117="",L117,IFERROR(IF(INDEX(Variablen!$I:$AT, MATCH(M117, Variablen!$A:$A, 0), MATCH((YEAR(D117)+9), Variablen!$I$3:$AT$3, 0))="",L117,INDEX(Variablen!$I:$AT, MATCH(M117, Variablen!$A:$A, 0), MATCH((YEAR(D117)+9), Variablen!$I$3:$AT$3, 0))),L117)))*(IF((YEAR(D117)+9)&lt;YEAR(E117),0,IF((YEAR(D117)+9)&gt;YEAR(E117),1,(12-MONTH(E117)+1)/12))) + (Q117)*(IF((YEAR(D117)+9)&lt;YEAR(E117),0,IF((YEAR(D117)+9)&gt;YEAR(E117),1,(12-MONTH(E117)+1)/12))))-((P117)*(IF((YEAR(D117)+9)&lt;YEAR(E117),0,IF((YEAR(D117)+9)&gt;YEAR(E117),1,(12-MONTH(E117)+1)/12))) + (R117)*(IF((YEAR(D117)+9)&lt;YEAR(E117),0,IF((YEAR(D117)+9)&gt;YEAR(E117),1,(12-MONTH(E117)+1)/12))))-(IF(OR(N117="",N117&lt;=0),0,(O117/N117)*(IF(OR(N117="",N117&lt;=0),0,IF((YEAR(D117)+9)&lt;YEAR(E117),0,IF((YEAR(D117)+9)&gt;=YEAR(E117)+N117,0,IF((YEAR(D117)+9)=YEAR(E117),(12-MONTH(E117)+1)/12,1))))))))*TaxRate,0))-IF(9=0,O117,0))</f>
        <v/>
      </c>
      <c r="AC117" s="29">
        <f>IF(A117="","",((K117)*(IF(M117="",L117,IFERROR(IF(INDEX(Variablen!$I:$AT, MATCH(M117, Variablen!$A:$A, 0), MATCH((YEAR(D117)+10), Variablen!$I$3:$AT$3, 0))="",L117,INDEX(Variablen!$I:$AT, MATCH(M117, Variablen!$A:$A, 0), MATCH((YEAR(D117)+10), Variablen!$I$3:$AT$3, 0))),L117)))*(IF((YEAR(D117)+10)&lt;YEAR(E117),0,IF((YEAR(D117)+10)&gt;YEAR(E117),1,(12-MONTH(E117)+1)/12))) + (Q117)*(IF((YEAR(D117)+10)&lt;YEAR(E117),0,IF((YEAR(D117)+10)&gt;YEAR(E117),1,(12-MONTH(E117)+1)/12))))-((P117)*(IF((YEAR(D117)+10)&lt;YEAR(E117),0,IF((YEAR(D117)+10)&gt;YEAR(E117),1,(12-MONTH(E117)+1)/12))) + (R117)*(IF((YEAR(D117)+10)&lt;YEAR(E117),0,IF((YEAR(D117)+10)&gt;YEAR(E117),1,(12-MONTH(E117)+1)/12))))-(IF((((K117)*(IF(M117="",L117,IFERROR(IF(INDEX(Variablen!$I:$AT, MATCH(M117, Variablen!$A:$A, 0), MATCH((YEAR(D117)+10), Variablen!$I$3:$AT$3, 0))="",L117,INDEX(Variablen!$I:$AT, MATCH(M117, Variablen!$A:$A, 0), MATCH((YEAR(D117)+10), Variablen!$I$3:$AT$3, 0))),L117)))*(IF((YEAR(D117)+10)&lt;YEAR(E117),0,IF((YEAR(D117)+10)&gt;YEAR(E117),1,(12-MONTH(E117)+1)/12))) + (Q117)*(IF((YEAR(D117)+10)&lt;YEAR(E117),0,IF((YEAR(D117)+10)&gt;YEAR(E117),1,(12-MONTH(E117)+1)/12))))-((P117)*(IF((YEAR(D117)+10)&lt;YEAR(E117),0,IF((YEAR(D117)+10)&gt;YEAR(E117),1,(12-MONTH(E117)+1)/12))) + (R117)*(IF((YEAR(D117)+10)&lt;YEAR(E117),0,IF((YEAR(D117)+10)&gt;YEAR(E117),1,(12-MONTH(E117)+1)/12))))-(IF(OR(N117="",N117&lt;=0),0,(O117/N117)*(IF(OR(N117="",N117&lt;=0),0,IF((YEAR(D117)+10)&lt;YEAR(E117),0,IF((YEAR(D117)+10)&gt;=YEAR(E117)+N117,0,IF((YEAR(D117)+10)=YEAR(E117),(12-MONTH(E117)+1)/12,1))))))))&gt;0,(((K117)*(IF(M117="",L117,IFERROR(IF(INDEX(Variablen!$I:$AT, MATCH(M117, Variablen!$A:$A, 0), MATCH((YEAR(D117)+10), Variablen!$I$3:$AT$3, 0))="",L117,INDEX(Variablen!$I:$AT, MATCH(M117, Variablen!$A:$A, 0), MATCH((YEAR(D117)+10), Variablen!$I$3:$AT$3, 0))),L117)))*(IF((YEAR(D117)+10)&lt;YEAR(E117),0,IF((YEAR(D117)+10)&gt;YEAR(E117),1,(12-MONTH(E117)+1)/12))) + (Q117)*(IF((YEAR(D117)+10)&lt;YEAR(E117),0,IF((YEAR(D117)+10)&gt;YEAR(E117),1,(12-MONTH(E117)+1)/12))))-((P117)*(IF((YEAR(D117)+10)&lt;YEAR(E117),0,IF((YEAR(D117)+10)&gt;YEAR(E117),1,(12-MONTH(E117)+1)/12))) + (R117)*(IF((YEAR(D117)+10)&lt;YEAR(E117),0,IF((YEAR(D117)+10)&gt;YEAR(E117),1,(12-MONTH(E117)+1)/12))))-(IF(OR(N117="",N117&lt;=0),0,(O117/N117)*(IF(OR(N117="",N117&lt;=0),0,IF((YEAR(D117)+10)&lt;YEAR(E117),0,IF((YEAR(D117)+10)&gt;=YEAR(E117)+N117,0,IF((YEAR(D117)+10)=YEAR(E117),(12-MONTH(E117)+1)/12,1))))))))*TaxRate,0))-IF(10=0,O117,0))</f>
        <v/>
      </c>
      <c r="AD117" s="29">
        <f>IF(A117="","",((K117)*(IF(M117="",L117,IFERROR(IF(INDEX(Variablen!$I:$AT, MATCH(M117, Variablen!$A:$A, 0), MATCH((YEAR(D117)+11), Variablen!$I$3:$AT$3, 0))="",L117,INDEX(Variablen!$I:$AT, MATCH(M117, Variablen!$A:$A, 0), MATCH((YEAR(D117)+11), Variablen!$I$3:$AT$3, 0))),L117)))*(IF((YEAR(D117)+11)&lt;YEAR(E117),0,IF((YEAR(D117)+11)&gt;YEAR(E117),1,(12-MONTH(E117)+1)/12))) + (Q117)*(IF((YEAR(D117)+11)&lt;YEAR(E117),0,IF((YEAR(D117)+11)&gt;YEAR(E117),1,(12-MONTH(E117)+1)/12))))-((P117)*(IF((YEAR(D117)+11)&lt;YEAR(E117),0,IF((YEAR(D117)+11)&gt;YEAR(E117),1,(12-MONTH(E117)+1)/12))) + (R117)*(IF((YEAR(D117)+11)&lt;YEAR(E117),0,IF((YEAR(D117)+11)&gt;YEAR(E117),1,(12-MONTH(E117)+1)/12))))-(IF((((K117)*(IF(M117="",L117,IFERROR(IF(INDEX(Variablen!$I:$AT, MATCH(M117, Variablen!$A:$A, 0), MATCH((YEAR(D117)+11), Variablen!$I$3:$AT$3, 0))="",L117,INDEX(Variablen!$I:$AT, MATCH(M117, Variablen!$A:$A, 0), MATCH((YEAR(D117)+11), Variablen!$I$3:$AT$3, 0))),L117)))*(IF((YEAR(D117)+11)&lt;YEAR(E117),0,IF((YEAR(D117)+11)&gt;YEAR(E117),1,(12-MONTH(E117)+1)/12))) + (Q117)*(IF((YEAR(D117)+11)&lt;YEAR(E117),0,IF((YEAR(D117)+11)&gt;YEAR(E117),1,(12-MONTH(E117)+1)/12))))-((P117)*(IF((YEAR(D117)+11)&lt;YEAR(E117),0,IF((YEAR(D117)+11)&gt;YEAR(E117),1,(12-MONTH(E117)+1)/12))) + (R117)*(IF((YEAR(D117)+11)&lt;YEAR(E117),0,IF((YEAR(D117)+11)&gt;YEAR(E117),1,(12-MONTH(E117)+1)/12))))-(IF(OR(N117="",N117&lt;=0),0,(O117/N117)*(IF(OR(N117="",N117&lt;=0),0,IF((YEAR(D117)+11)&lt;YEAR(E117),0,IF((YEAR(D117)+11)&gt;=YEAR(E117)+N117,0,IF((YEAR(D117)+11)=YEAR(E117),(12-MONTH(E117)+1)/12,1))))))))&gt;0,(((K117)*(IF(M117="",L117,IFERROR(IF(INDEX(Variablen!$I:$AT, MATCH(M117, Variablen!$A:$A, 0), MATCH((YEAR(D117)+11), Variablen!$I$3:$AT$3, 0))="",L117,INDEX(Variablen!$I:$AT, MATCH(M117, Variablen!$A:$A, 0), MATCH((YEAR(D117)+11), Variablen!$I$3:$AT$3, 0))),L117)))*(IF((YEAR(D117)+11)&lt;YEAR(E117),0,IF((YEAR(D117)+11)&gt;YEAR(E117),1,(12-MONTH(E117)+1)/12))) + (Q117)*(IF((YEAR(D117)+11)&lt;YEAR(E117),0,IF((YEAR(D117)+11)&gt;YEAR(E117),1,(12-MONTH(E117)+1)/12))))-((P117)*(IF((YEAR(D117)+11)&lt;YEAR(E117),0,IF((YEAR(D117)+11)&gt;YEAR(E117),1,(12-MONTH(E117)+1)/12))) + (R117)*(IF((YEAR(D117)+11)&lt;YEAR(E117),0,IF((YEAR(D117)+11)&gt;YEAR(E117),1,(12-MONTH(E117)+1)/12))))-(IF(OR(N117="",N117&lt;=0),0,(O117/N117)*(IF(OR(N117="",N117&lt;=0),0,IF((YEAR(D117)+11)&lt;YEAR(E117),0,IF((YEAR(D117)+11)&gt;=YEAR(E117)+N117,0,IF((YEAR(D117)+11)=YEAR(E117),(12-MONTH(E117)+1)/12,1))))))))*TaxRate,0))-IF(11=0,O117,0))</f>
        <v/>
      </c>
      <c r="AE117" s="29">
        <f>IF(A117="","",((K117)*(IF(M117="",L117,IFERROR(IF(INDEX(Variablen!$I:$AT, MATCH(M117, Variablen!$A:$A, 0), MATCH((YEAR(D117)+12), Variablen!$I$3:$AT$3, 0))="",L117,INDEX(Variablen!$I:$AT, MATCH(M117, Variablen!$A:$A, 0), MATCH((YEAR(D117)+12), Variablen!$I$3:$AT$3, 0))),L117)))*(IF((YEAR(D117)+12)&lt;YEAR(E117),0,IF((YEAR(D117)+12)&gt;YEAR(E117),1,(12-MONTH(E117)+1)/12))) + (Q117)*(IF((YEAR(D117)+12)&lt;YEAR(E117),0,IF((YEAR(D117)+12)&gt;YEAR(E117),1,(12-MONTH(E117)+1)/12))))-((P117)*(IF((YEAR(D117)+12)&lt;YEAR(E117),0,IF((YEAR(D117)+12)&gt;YEAR(E117),1,(12-MONTH(E117)+1)/12))) + (R117)*(IF((YEAR(D117)+12)&lt;YEAR(E117),0,IF((YEAR(D117)+12)&gt;YEAR(E117),1,(12-MONTH(E117)+1)/12))))-(IF((((K117)*(IF(M117="",L117,IFERROR(IF(INDEX(Variablen!$I:$AT, MATCH(M117, Variablen!$A:$A, 0), MATCH((YEAR(D117)+12), Variablen!$I$3:$AT$3, 0))="",L117,INDEX(Variablen!$I:$AT, MATCH(M117, Variablen!$A:$A, 0), MATCH((YEAR(D117)+12), Variablen!$I$3:$AT$3, 0))),L117)))*(IF((YEAR(D117)+12)&lt;YEAR(E117),0,IF((YEAR(D117)+12)&gt;YEAR(E117),1,(12-MONTH(E117)+1)/12))) + (Q117)*(IF((YEAR(D117)+12)&lt;YEAR(E117),0,IF((YEAR(D117)+12)&gt;YEAR(E117),1,(12-MONTH(E117)+1)/12))))-((P117)*(IF((YEAR(D117)+12)&lt;YEAR(E117),0,IF((YEAR(D117)+12)&gt;YEAR(E117),1,(12-MONTH(E117)+1)/12))) + (R117)*(IF((YEAR(D117)+12)&lt;YEAR(E117),0,IF((YEAR(D117)+12)&gt;YEAR(E117),1,(12-MONTH(E117)+1)/12))))-(IF(OR(N117="",N117&lt;=0),0,(O117/N117)*(IF(OR(N117="",N117&lt;=0),0,IF((YEAR(D117)+12)&lt;YEAR(E117),0,IF((YEAR(D117)+12)&gt;=YEAR(E117)+N117,0,IF((YEAR(D117)+12)=YEAR(E117),(12-MONTH(E117)+1)/12,1))))))))&gt;0,(((K117)*(IF(M117="",L117,IFERROR(IF(INDEX(Variablen!$I:$AT, MATCH(M117, Variablen!$A:$A, 0), MATCH((YEAR(D117)+12), Variablen!$I$3:$AT$3, 0))="",L117,INDEX(Variablen!$I:$AT, MATCH(M117, Variablen!$A:$A, 0), MATCH((YEAR(D117)+12), Variablen!$I$3:$AT$3, 0))),L117)))*(IF((YEAR(D117)+12)&lt;YEAR(E117),0,IF((YEAR(D117)+12)&gt;YEAR(E117),1,(12-MONTH(E117)+1)/12))) + (Q117)*(IF((YEAR(D117)+12)&lt;YEAR(E117),0,IF((YEAR(D117)+12)&gt;YEAR(E117),1,(12-MONTH(E117)+1)/12))))-((P117)*(IF((YEAR(D117)+12)&lt;YEAR(E117),0,IF((YEAR(D117)+12)&gt;YEAR(E117),1,(12-MONTH(E117)+1)/12))) + (R117)*(IF((YEAR(D117)+12)&lt;YEAR(E117),0,IF((YEAR(D117)+12)&gt;YEAR(E117),1,(12-MONTH(E117)+1)/12))))-(IF(OR(N117="",N117&lt;=0),0,(O117/N117)*(IF(OR(N117="",N117&lt;=0),0,IF((YEAR(D117)+12)&lt;YEAR(E117),0,IF((YEAR(D117)+12)&gt;=YEAR(E117)+N117,0,IF((YEAR(D117)+12)=YEAR(E117),(12-MONTH(E117)+1)/12,1))))))))*TaxRate,0))-IF(12=0,O117,0))</f>
        <v/>
      </c>
      <c r="AF117" s="29">
        <f>IF(A117="","",((K117)*(IF(M117="",L117,IFERROR(IF(INDEX(Variablen!$I:$AT, MATCH(M117, Variablen!$A:$A, 0), MATCH((YEAR(D117)+13), Variablen!$I$3:$AT$3, 0))="",L117,INDEX(Variablen!$I:$AT, MATCH(M117, Variablen!$A:$A, 0), MATCH((YEAR(D117)+13), Variablen!$I$3:$AT$3, 0))),L117)))*(IF((YEAR(D117)+13)&lt;YEAR(E117),0,IF((YEAR(D117)+13)&gt;YEAR(E117),1,(12-MONTH(E117)+1)/12))) + (Q117)*(IF((YEAR(D117)+13)&lt;YEAR(E117),0,IF((YEAR(D117)+13)&gt;YEAR(E117),1,(12-MONTH(E117)+1)/12))))-((P117)*(IF((YEAR(D117)+13)&lt;YEAR(E117),0,IF((YEAR(D117)+13)&gt;YEAR(E117),1,(12-MONTH(E117)+1)/12))) + (R117)*(IF((YEAR(D117)+13)&lt;YEAR(E117),0,IF((YEAR(D117)+13)&gt;YEAR(E117),1,(12-MONTH(E117)+1)/12))))-(IF((((K117)*(IF(M117="",L117,IFERROR(IF(INDEX(Variablen!$I:$AT, MATCH(M117, Variablen!$A:$A, 0), MATCH((YEAR(D117)+13), Variablen!$I$3:$AT$3, 0))="",L117,INDEX(Variablen!$I:$AT, MATCH(M117, Variablen!$A:$A, 0), MATCH((YEAR(D117)+13), Variablen!$I$3:$AT$3, 0))),L117)))*(IF((YEAR(D117)+13)&lt;YEAR(E117),0,IF((YEAR(D117)+13)&gt;YEAR(E117),1,(12-MONTH(E117)+1)/12))) + (Q117)*(IF((YEAR(D117)+13)&lt;YEAR(E117),0,IF((YEAR(D117)+13)&gt;YEAR(E117),1,(12-MONTH(E117)+1)/12))))-((P117)*(IF((YEAR(D117)+13)&lt;YEAR(E117),0,IF((YEAR(D117)+13)&gt;YEAR(E117),1,(12-MONTH(E117)+1)/12))) + (R117)*(IF((YEAR(D117)+13)&lt;YEAR(E117),0,IF((YEAR(D117)+13)&gt;YEAR(E117),1,(12-MONTH(E117)+1)/12))))-(IF(OR(N117="",N117&lt;=0),0,(O117/N117)*(IF(OR(N117="",N117&lt;=0),0,IF((YEAR(D117)+13)&lt;YEAR(E117),0,IF((YEAR(D117)+13)&gt;=YEAR(E117)+N117,0,IF((YEAR(D117)+13)=YEAR(E117),(12-MONTH(E117)+1)/12,1))))))))&gt;0,(((K117)*(IF(M117="",L117,IFERROR(IF(INDEX(Variablen!$I:$AT, MATCH(M117, Variablen!$A:$A, 0), MATCH((YEAR(D117)+13), Variablen!$I$3:$AT$3, 0))="",L117,INDEX(Variablen!$I:$AT, MATCH(M117, Variablen!$A:$A, 0), MATCH((YEAR(D117)+13), Variablen!$I$3:$AT$3, 0))),L117)))*(IF((YEAR(D117)+13)&lt;YEAR(E117),0,IF((YEAR(D117)+13)&gt;YEAR(E117),1,(12-MONTH(E117)+1)/12))) + (Q117)*(IF((YEAR(D117)+13)&lt;YEAR(E117),0,IF((YEAR(D117)+13)&gt;YEAR(E117),1,(12-MONTH(E117)+1)/12))))-((P117)*(IF((YEAR(D117)+13)&lt;YEAR(E117),0,IF((YEAR(D117)+13)&gt;YEAR(E117),1,(12-MONTH(E117)+1)/12))) + (R117)*(IF((YEAR(D117)+13)&lt;YEAR(E117),0,IF((YEAR(D117)+13)&gt;YEAR(E117),1,(12-MONTH(E117)+1)/12))))-(IF(OR(N117="",N117&lt;=0),0,(O117/N117)*(IF(OR(N117="",N117&lt;=0),0,IF((YEAR(D117)+13)&lt;YEAR(E117),0,IF((YEAR(D117)+13)&gt;=YEAR(E117)+N117,0,IF((YEAR(D117)+13)=YEAR(E117),(12-MONTH(E117)+1)/12,1))))))))*TaxRate,0))-IF(13=0,O117,0))</f>
        <v/>
      </c>
      <c r="AG117" s="29">
        <f>IF(A117="","",((K117)*(IF(M117="",L117,IFERROR(IF(INDEX(Variablen!$I:$AT, MATCH(M117, Variablen!$A:$A, 0), MATCH((YEAR(D117)+14), Variablen!$I$3:$AT$3, 0))="",L117,INDEX(Variablen!$I:$AT, MATCH(M117, Variablen!$A:$A, 0), MATCH((YEAR(D117)+14), Variablen!$I$3:$AT$3, 0))),L117)))*(IF((YEAR(D117)+14)&lt;YEAR(E117),0,IF((YEAR(D117)+14)&gt;YEAR(E117),1,(12-MONTH(E117)+1)/12))) + (Q117)*(IF((YEAR(D117)+14)&lt;YEAR(E117),0,IF((YEAR(D117)+14)&gt;YEAR(E117),1,(12-MONTH(E117)+1)/12))))-((P117)*(IF((YEAR(D117)+14)&lt;YEAR(E117),0,IF((YEAR(D117)+14)&gt;YEAR(E117),1,(12-MONTH(E117)+1)/12))) + (R117)*(IF((YEAR(D117)+14)&lt;YEAR(E117),0,IF((YEAR(D117)+14)&gt;YEAR(E117),1,(12-MONTH(E117)+1)/12))))-(IF((((K117)*(IF(M117="",L117,IFERROR(IF(INDEX(Variablen!$I:$AT, MATCH(M117, Variablen!$A:$A, 0), MATCH((YEAR(D117)+14), Variablen!$I$3:$AT$3, 0))="",L117,INDEX(Variablen!$I:$AT, MATCH(M117, Variablen!$A:$A, 0), MATCH((YEAR(D117)+14), Variablen!$I$3:$AT$3, 0))),L117)))*(IF((YEAR(D117)+14)&lt;YEAR(E117),0,IF((YEAR(D117)+14)&gt;YEAR(E117),1,(12-MONTH(E117)+1)/12))) + (Q117)*(IF((YEAR(D117)+14)&lt;YEAR(E117),0,IF((YEAR(D117)+14)&gt;YEAR(E117),1,(12-MONTH(E117)+1)/12))))-((P117)*(IF((YEAR(D117)+14)&lt;YEAR(E117),0,IF((YEAR(D117)+14)&gt;YEAR(E117),1,(12-MONTH(E117)+1)/12))) + (R117)*(IF((YEAR(D117)+14)&lt;YEAR(E117),0,IF((YEAR(D117)+14)&gt;YEAR(E117),1,(12-MONTH(E117)+1)/12))))-(IF(OR(N117="",N117&lt;=0),0,(O117/N117)*(IF(OR(N117="",N117&lt;=0),0,IF((YEAR(D117)+14)&lt;YEAR(E117),0,IF((YEAR(D117)+14)&gt;=YEAR(E117)+N117,0,IF((YEAR(D117)+14)=YEAR(E117),(12-MONTH(E117)+1)/12,1))))))))&gt;0,(((K117)*(IF(M117="",L117,IFERROR(IF(INDEX(Variablen!$I:$AT, MATCH(M117, Variablen!$A:$A, 0), MATCH((YEAR(D117)+14), Variablen!$I$3:$AT$3, 0))="",L117,INDEX(Variablen!$I:$AT, MATCH(M117, Variablen!$A:$A, 0), MATCH((YEAR(D117)+14), Variablen!$I$3:$AT$3, 0))),L117)))*(IF((YEAR(D117)+14)&lt;YEAR(E117),0,IF((YEAR(D117)+14)&gt;YEAR(E117),1,(12-MONTH(E117)+1)/12))) + (Q117)*(IF((YEAR(D117)+14)&lt;YEAR(E117),0,IF((YEAR(D117)+14)&gt;YEAR(E117),1,(12-MONTH(E117)+1)/12))))-((P117)*(IF((YEAR(D117)+14)&lt;YEAR(E117),0,IF((YEAR(D117)+14)&gt;YEAR(E117),1,(12-MONTH(E117)+1)/12))) + (R117)*(IF((YEAR(D117)+14)&lt;YEAR(E117),0,IF((YEAR(D117)+14)&gt;YEAR(E117),1,(12-MONTH(E117)+1)/12))))-(IF(OR(N117="",N117&lt;=0),0,(O117/N117)*(IF(OR(N117="",N117&lt;=0),0,IF((YEAR(D117)+14)&lt;YEAR(E117),0,IF((YEAR(D117)+14)&gt;=YEAR(E117)+N117,0,IF((YEAR(D117)+14)=YEAR(E117),(12-MONTH(E117)+1)/12,1))))))))*TaxRate,0))-IF(14=0,O117,0))</f>
        <v/>
      </c>
      <c r="AH117" s="29">
        <f>IF(A117="","",((K117)*(IF(M117="",L117,IFERROR(IF(INDEX(Variablen!$I:$AT, MATCH(M117, Variablen!$A:$A, 0), MATCH((YEAR(D117)+15), Variablen!$I$3:$AT$3, 0))="",L117,INDEX(Variablen!$I:$AT, MATCH(M117, Variablen!$A:$A, 0), MATCH((YEAR(D117)+15), Variablen!$I$3:$AT$3, 0))),L117)))*(IF((YEAR(D117)+15)&lt;YEAR(E117),0,IF((YEAR(D117)+15)&gt;YEAR(E117),1,(12-MONTH(E117)+1)/12))) + (Q117)*(IF((YEAR(D117)+15)&lt;YEAR(E117),0,IF((YEAR(D117)+15)&gt;YEAR(E117),1,(12-MONTH(E117)+1)/12))))-((P117)*(IF((YEAR(D117)+15)&lt;YEAR(E117),0,IF((YEAR(D117)+15)&gt;YEAR(E117),1,(12-MONTH(E117)+1)/12))) + (R117)*(IF((YEAR(D117)+15)&lt;YEAR(E117),0,IF((YEAR(D117)+15)&gt;YEAR(E117),1,(12-MONTH(E117)+1)/12))))-(IF((((K117)*(IF(M117="",L117,IFERROR(IF(INDEX(Variablen!$I:$AT, MATCH(M117, Variablen!$A:$A, 0), MATCH((YEAR(D117)+15), Variablen!$I$3:$AT$3, 0))="",L117,INDEX(Variablen!$I:$AT, MATCH(M117, Variablen!$A:$A, 0), MATCH((YEAR(D117)+15), Variablen!$I$3:$AT$3, 0))),L117)))*(IF((YEAR(D117)+15)&lt;YEAR(E117),0,IF((YEAR(D117)+15)&gt;YEAR(E117),1,(12-MONTH(E117)+1)/12))) + (Q117)*(IF((YEAR(D117)+15)&lt;YEAR(E117),0,IF((YEAR(D117)+15)&gt;YEAR(E117),1,(12-MONTH(E117)+1)/12))))-((P117)*(IF((YEAR(D117)+15)&lt;YEAR(E117),0,IF((YEAR(D117)+15)&gt;YEAR(E117),1,(12-MONTH(E117)+1)/12))) + (R117)*(IF((YEAR(D117)+15)&lt;YEAR(E117),0,IF((YEAR(D117)+15)&gt;YEAR(E117),1,(12-MONTH(E117)+1)/12))))-(IF(OR(N117="",N117&lt;=0),0,(O117/N117)*(IF(OR(N117="",N117&lt;=0),0,IF((YEAR(D117)+15)&lt;YEAR(E117),0,IF((YEAR(D117)+15)&gt;=YEAR(E117)+N117,0,IF((YEAR(D117)+15)=YEAR(E117),(12-MONTH(E117)+1)/12,1))))))))&gt;0,(((K117)*(IF(M117="",L117,IFERROR(IF(INDEX(Variablen!$I:$AT, MATCH(M117, Variablen!$A:$A, 0), MATCH((YEAR(D117)+15), Variablen!$I$3:$AT$3, 0))="",L117,INDEX(Variablen!$I:$AT, MATCH(M117, Variablen!$A:$A, 0), MATCH((YEAR(D117)+15), Variablen!$I$3:$AT$3, 0))),L117)))*(IF((YEAR(D117)+15)&lt;YEAR(E117),0,IF((YEAR(D117)+15)&gt;YEAR(E117),1,(12-MONTH(E117)+1)/12))) + (Q117)*(IF((YEAR(D117)+15)&lt;YEAR(E117),0,IF((YEAR(D117)+15)&gt;YEAR(E117),1,(12-MONTH(E117)+1)/12))))-((P117)*(IF((YEAR(D117)+15)&lt;YEAR(E117),0,IF((YEAR(D117)+15)&gt;YEAR(E117),1,(12-MONTH(E117)+1)/12))) + (R117)*(IF((YEAR(D117)+15)&lt;YEAR(E117),0,IF((YEAR(D117)+15)&gt;YEAR(E117),1,(12-MONTH(E117)+1)/12))))-(IF(OR(N117="",N117&lt;=0),0,(O117/N117)*(IF(OR(N117="",N117&lt;=0),0,IF((YEAR(D117)+15)&lt;YEAR(E117),0,IF((YEAR(D117)+15)&gt;=YEAR(E117)+N117,0,IF((YEAR(D117)+15)=YEAR(E117),(12-MONTH(E117)+1)/12,1))))))))*TaxRate,0))-IF(15=0,O117,0))</f>
        <v/>
      </c>
      <c r="AI117" s="29">
        <f>IF(A117="","",((K117)*(IF(M117="",L117,IFERROR(IF(INDEX(Variablen!$I:$AT, MATCH(M117, Variablen!$A:$A, 0), MATCH((YEAR(D117)+16), Variablen!$I$3:$AT$3, 0))="",L117,INDEX(Variablen!$I:$AT, MATCH(M117, Variablen!$A:$A, 0), MATCH((YEAR(D117)+16), Variablen!$I$3:$AT$3, 0))),L117)))*(IF((YEAR(D117)+16)&lt;YEAR(E117),0,IF((YEAR(D117)+16)&gt;YEAR(E117),1,(12-MONTH(E117)+1)/12))) + (Q117)*(IF((YEAR(D117)+16)&lt;YEAR(E117),0,IF((YEAR(D117)+16)&gt;YEAR(E117),1,(12-MONTH(E117)+1)/12))))-((P117)*(IF((YEAR(D117)+16)&lt;YEAR(E117),0,IF((YEAR(D117)+16)&gt;YEAR(E117),1,(12-MONTH(E117)+1)/12))) + (R117)*(IF((YEAR(D117)+16)&lt;YEAR(E117),0,IF((YEAR(D117)+16)&gt;YEAR(E117),1,(12-MONTH(E117)+1)/12))))-(IF((((K117)*(IF(M117="",L117,IFERROR(IF(INDEX(Variablen!$I:$AT, MATCH(M117, Variablen!$A:$A, 0), MATCH((YEAR(D117)+16), Variablen!$I$3:$AT$3, 0))="",L117,INDEX(Variablen!$I:$AT, MATCH(M117, Variablen!$A:$A, 0), MATCH((YEAR(D117)+16), Variablen!$I$3:$AT$3, 0))),L117)))*(IF((YEAR(D117)+16)&lt;YEAR(E117),0,IF((YEAR(D117)+16)&gt;YEAR(E117),1,(12-MONTH(E117)+1)/12))) + (Q117)*(IF((YEAR(D117)+16)&lt;YEAR(E117),0,IF((YEAR(D117)+16)&gt;YEAR(E117),1,(12-MONTH(E117)+1)/12))))-((P117)*(IF((YEAR(D117)+16)&lt;YEAR(E117),0,IF((YEAR(D117)+16)&gt;YEAR(E117),1,(12-MONTH(E117)+1)/12))) + (R117)*(IF((YEAR(D117)+16)&lt;YEAR(E117),0,IF((YEAR(D117)+16)&gt;YEAR(E117),1,(12-MONTH(E117)+1)/12))))-(IF(OR(N117="",N117&lt;=0),0,(O117/N117)*(IF(OR(N117="",N117&lt;=0),0,IF((YEAR(D117)+16)&lt;YEAR(E117),0,IF((YEAR(D117)+16)&gt;=YEAR(E117)+N117,0,IF((YEAR(D117)+16)=YEAR(E117),(12-MONTH(E117)+1)/12,1))))))))&gt;0,(((K117)*(IF(M117="",L117,IFERROR(IF(INDEX(Variablen!$I:$AT, MATCH(M117, Variablen!$A:$A, 0), MATCH((YEAR(D117)+16), Variablen!$I$3:$AT$3, 0))="",L117,INDEX(Variablen!$I:$AT, MATCH(M117, Variablen!$A:$A, 0), MATCH((YEAR(D117)+16), Variablen!$I$3:$AT$3, 0))),L117)))*(IF((YEAR(D117)+16)&lt;YEAR(E117),0,IF((YEAR(D117)+16)&gt;YEAR(E117),1,(12-MONTH(E117)+1)/12))) + (Q117)*(IF((YEAR(D117)+16)&lt;YEAR(E117),0,IF((YEAR(D117)+16)&gt;YEAR(E117),1,(12-MONTH(E117)+1)/12))))-((P117)*(IF((YEAR(D117)+16)&lt;YEAR(E117),0,IF((YEAR(D117)+16)&gt;YEAR(E117),1,(12-MONTH(E117)+1)/12))) + (R117)*(IF((YEAR(D117)+16)&lt;YEAR(E117),0,IF((YEAR(D117)+16)&gt;YEAR(E117),1,(12-MONTH(E117)+1)/12))))-(IF(OR(N117="",N117&lt;=0),0,(O117/N117)*(IF(OR(N117="",N117&lt;=0),0,IF((YEAR(D117)+16)&lt;YEAR(E117),0,IF((YEAR(D117)+16)&gt;=YEAR(E117)+N117,0,IF((YEAR(D117)+16)=YEAR(E117),(12-MONTH(E117)+1)/12,1))))))))*TaxRate,0))-IF(16=0,O117,0))</f>
        <v/>
      </c>
      <c r="AJ117" s="29">
        <f>IF(A117="","",((K117)*(IF(M117="",L117,IFERROR(IF(INDEX(Variablen!$I:$AT, MATCH(M117, Variablen!$A:$A, 0), MATCH((YEAR(D117)+17), Variablen!$I$3:$AT$3, 0))="",L117,INDEX(Variablen!$I:$AT, MATCH(M117, Variablen!$A:$A, 0), MATCH((YEAR(D117)+17), Variablen!$I$3:$AT$3, 0))),L117)))*(IF((YEAR(D117)+17)&lt;YEAR(E117),0,IF((YEAR(D117)+17)&gt;YEAR(E117),1,(12-MONTH(E117)+1)/12))) + (Q117)*(IF((YEAR(D117)+17)&lt;YEAR(E117),0,IF((YEAR(D117)+17)&gt;YEAR(E117),1,(12-MONTH(E117)+1)/12))))-((P117)*(IF((YEAR(D117)+17)&lt;YEAR(E117),0,IF((YEAR(D117)+17)&gt;YEAR(E117),1,(12-MONTH(E117)+1)/12))) + (R117)*(IF((YEAR(D117)+17)&lt;YEAR(E117),0,IF((YEAR(D117)+17)&gt;YEAR(E117),1,(12-MONTH(E117)+1)/12))))-(IF((((K117)*(IF(M117="",L117,IFERROR(IF(INDEX(Variablen!$I:$AT, MATCH(M117, Variablen!$A:$A, 0), MATCH((YEAR(D117)+17), Variablen!$I$3:$AT$3, 0))="",L117,INDEX(Variablen!$I:$AT, MATCH(M117, Variablen!$A:$A, 0), MATCH((YEAR(D117)+17), Variablen!$I$3:$AT$3, 0))),L117)))*(IF((YEAR(D117)+17)&lt;YEAR(E117),0,IF((YEAR(D117)+17)&gt;YEAR(E117),1,(12-MONTH(E117)+1)/12))) + (Q117)*(IF((YEAR(D117)+17)&lt;YEAR(E117),0,IF((YEAR(D117)+17)&gt;YEAR(E117),1,(12-MONTH(E117)+1)/12))))-((P117)*(IF((YEAR(D117)+17)&lt;YEAR(E117),0,IF((YEAR(D117)+17)&gt;YEAR(E117),1,(12-MONTH(E117)+1)/12))) + (R117)*(IF((YEAR(D117)+17)&lt;YEAR(E117),0,IF((YEAR(D117)+17)&gt;YEAR(E117),1,(12-MONTH(E117)+1)/12))))-(IF(OR(N117="",N117&lt;=0),0,(O117/N117)*(IF(OR(N117="",N117&lt;=0),0,IF((YEAR(D117)+17)&lt;YEAR(E117),0,IF((YEAR(D117)+17)&gt;=YEAR(E117)+N117,0,IF((YEAR(D117)+17)=YEAR(E117),(12-MONTH(E117)+1)/12,1))))))))&gt;0,(((K117)*(IF(M117="",L117,IFERROR(IF(INDEX(Variablen!$I:$AT, MATCH(M117, Variablen!$A:$A, 0), MATCH((YEAR(D117)+17), Variablen!$I$3:$AT$3, 0))="",L117,INDEX(Variablen!$I:$AT, MATCH(M117, Variablen!$A:$A, 0), MATCH((YEAR(D117)+17), Variablen!$I$3:$AT$3, 0))),L117)))*(IF((YEAR(D117)+17)&lt;YEAR(E117),0,IF((YEAR(D117)+17)&gt;YEAR(E117),1,(12-MONTH(E117)+1)/12))) + (Q117)*(IF((YEAR(D117)+17)&lt;YEAR(E117),0,IF((YEAR(D117)+17)&gt;YEAR(E117),1,(12-MONTH(E117)+1)/12))))-((P117)*(IF((YEAR(D117)+17)&lt;YEAR(E117),0,IF((YEAR(D117)+17)&gt;YEAR(E117),1,(12-MONTH(E117)+1)/12))) + (R117)*(IF((YEAR(D117)+17)&lt;YEAR(E117),0,IF((YEAR(D117)+17)&gt;YEAR(E117),1,(12-MONTH(E117)+1)/12))))-(IF(OR(N117="",N117&lt;=0),0,(O117/N117)*(IF(OR(N117="",N117&lt;=0),0,IF((YEAR(D117)+17)&lt;YEAR(E117),0,IF((YEAR(D117)+17)&gt;=YEAR(E117)+N117,0,IF((YEAR(D117)+17)=YEAR(E117),(12-MONTH(E117)+1)/12,1))))))))*TaxRate,0))-IF(17=0,O117,0))</f>
        <v/>
      </c>
      <c r="AK117" s="29">
        <f>IF(A117="","",((K117)*(IF(M117="",L117,IFERROR(IF(INDEX(Variablen!$I:$AT, MATCH(M117, Variablen!$A:$A, 0), MATCH((YEAR(D117)+18), Variablen!$I$3:$AT$3, 0))="",L117,INDEX(Variablen!$I:$AT, MATCH(M117, Variablen!$A:$A, 0), MATCH((YEAR(D117)+18), Variablen!$I$3:$AT$3, 0))),L117)))*(IF((YEAR(D117)+18)&lt;YEAR(E117),0,IF((YEAR(D117)+18)&gt;YEAR(E117),1,(12-MONTH(E117)+1)/12))) + (Q117)*(IF((YEAR(D117)+18)&lt;YEAR(E117),0,IF((YEAR(D117)+18)&gt;YEAR(E117),1,(12-MONTH(E117)+1)/12))))-((P117)*(IF((YEAR(D117)+18)&lt;YEAR(E117),0,IF((YEAR(D117)+18)&gt;YEAR(E117),1,(12-MONTH(E117)+1)/12))) + (R117)*(IF((YEAR(D117)+18)&lt;YEAR(E117),0,IF((YEAR(D117)+18)&gt;YEAR(E117),1,(12-MONTH(E117)+1)/12))))-(IF((((K117)*(IF(M117="",L117,IFERROR(IF(INDEX(Variablen!$I:$AT, MATCH(M117, Variablen!$A:$A, 0), MATCH((YEAR(D117)+18), Variablen!$I$3:$AT$3, 0))="",L117,INDEX(Variablen!$I:$AT, MATCH(M117, Variablen!$A:$A, 0), MATCH((YEAR(D117)+18), Variablen!$I$3:$AT$3, 0))),L117)))*(IF((YEAR(D117)+18)&lt;YEAR(E117),0,IF((YEAR(D117)+18)&gt;YEAR(E117),1,(12-MONTH(E117)+1)/12))) + (Q117)*(IF((YEAR(D117)+18)&lt;YEAR(E117),0,IF((YEAR(D117)+18)&gt;YEAR(E117),1,(12-MONTH(E117)+1)/12))))-((P117)*(IF((YEAR(D117)+18)&lt;YEAR(E117),0,IF((YEAR(D117)+18)&gt;YEAR(E117),1,(12-MONTH(E117)+1)/12))) + (R117)*(IF((YEAR(D117)+18)&lt;YEAR(E117),0,IF((YEAR(D117)+18)&gt;YEAR(E117),1,(12-MONTH(E117)+1)/12))))-(IF(OR(N117="",N117&lt;=0),0,(O117/N117)*(IF(OR(N117="",N117&lt;=0),0,IF((YEAR(D117)+18)&lt;YEAR(E117),0,IF((YEAR(D117)+18)&gt;=YEAR(E117)+N117,0,IF((YEAR(D117)+18)=YEAR(E117),(12-MONTH(E117)+1)/12,1))))))))&gt;0,(((K117)*(IF(M117="",L117,IFERROR(IF(INDEX(Variablen!$I:$AT, MATCH(M117, Variablen!$A:$A, 0), MATCH((YEAR(D117)+18), Variablen!$I$3:$AT$3, 0))="",L117,INDEX(Variablen!$I:$AT, MATCH(M117, Variablen!$A:$A, 0), MATCH((YEAR(D117)+18), Variablen!$I$3:$AT$3, 0))),L117)))*(IF((YEAR(D117)+18)&lt;YEAR(E117),0,IF((YEAR(D117)+18)&gt;YEAR(E117),1,(12-MONTH(E117)+1)/12))) + (Q117)*(IF((YEAR(D117)+18)&lt;YEAR(E117),0,IF((YEAR(D117)+18)&gt;YEAR(E117),1,(12-MONTH(E117)+1)/12))))-((P117)*(IF((YEAR(D117)+18)&lt;YEAR(E117),0,IF((YEAR(D117)+18)&gt;YEAR(E117),1,(12-MONTH(E117)+1)/12))) + (R117)*(IF((YEAR(D117)+18)&lt;YEAR(E117),0,IF((YEAR(D117)+18)&gt;YEAR(E117),1,(12-MONTH(E117)+1)/12))))-(IF(OR(N117="",N117&lt;=0),0,(O117/N117)*(IF(OR(N117="",N117&lt;=0),0,IF((YEAR(D117)+18)&lt;YEAR(E117),0,IF((YEAR(D117)+18)&gt;=YEAR(E117)+N117,0,IF((YEAR(D117)+18)=YEAR(E117),(12-MONTH(E117)+1)/12,1))))))))*TaxRate,0))-IF(18=0,O117,0))</f>
        <v/>
      </c>
      <c r="AL117" s="29">
        <f>IF(A117="","",((K117)*(IF(M117="",L117,IFERROR(IF(INDEX(Variablen!$I:$AT, MATCH(M117, Variablen!$A:$A, 0), MATCH((YEAR(D117)+19), Variablen!$I$3:$AT$3, 0))="",L117,INDEX(Variablen!$I:$AT, MATCH(M117, Variablen!$A:$A, 0), MATCH((YEAR(D117)+19), Variablen!$I$3:$AT$3, 0))),L117)))*(IF((YEAR(D117)+19)&lt;YEAR(E117),0,IF((YEAR(D117)+19)&gt;YEAR(E117),1,(12-MONTH(E117)+1)/12))) + (Q117)*(IF((YEAR(D117)+19)&lt;YEAR(E117),0,IF((YEAR(D117)+19)&gt;YEAR(E117),1,(12-MONTH(E117)+1)/12))))-((P117)*(IF((YEAR(D117)+19)&lt;YEAR(E117),0,IF((YEAR(D117)+19)&gt;YEAR(E117),1,(12-MONTH(E117)+1)/12))) + (R117)*(IF((YEAR(D117)+19)&lt;YEAR(E117),0,IF((YEAR(D117)+19)&gt;YEAR(E117),1,(12-MONTH(E117)+1)/12))))-(IF((((K117)*(IF(M117="",L117,IFERROR(IF(INDEX(Variablen!$I:$AT, MATCH(M117, Variablen!$A:$A, 0), MATCH((YEAR(D117)+19), Variablen!$I$3:$AT$3, 0))="",L117,INDEX(Variablen!$I:$AT, MATCH(M117, Variablen!$A:$A, 0), MATCH((YEAR(D117)+19), Variablen!$I$3:$AT$3, 0))),L117)))*(IF((YEAR(D117)+19)&lt;YEAR(E117),0,IF((YEAR(D117)+19)&gt;YEAR(E117),1,(12-MONTH(E117)+1)/12))) + (Q117)*(IF((YEAR(D117)+19)&lt;YEAR(E117),0,IF((YEAR(D117)+19)&gt;YEAR(E117),1,(12-MONTH(E117)+1)/12))))-((P117)*(IF((YEAR(D117)+19)&lt;YEAR(E117),0,IF((YEAR(D117)+19)&gt;YEAR(E117),1,(12-MONTH(E117)+1)/12))) + (R117)*(IF((YEAR(D117)+19)&lt;YEAR(E117),0,IF((YEAR(D117)+19)&gt;YEAR(E117),1,(12-MONTH(E117)+1)/12))))-(IF(OR(N117="",N117&lt;=0),0,(O117/N117)*(IF(OR(N117="",N117&lt;=0),0,IF((YEAR(D117)+19)&lt;YEAR(E117),0,IF((YEAR(D117)+19)&gt;=YEAR(E117)+N117,0,IF((YEAR(D117)+19)=YEAR(E117),(12-MONTH(E117)+1)/12,1))))))))&gt;0,(((K117)*(IF(M117="",L117,IFERROR(IF(INDEX(Variablen!$I:$AT, MATCH(M117, Variablen!$A:$A, 0), MATCH((YEAR(D117)+19), Variablen!$I$3:$AT$3, 0))="",L117,INDEX(Variablen!$I:$AT, MATCH(M117, Variablen!$A:$A, 0), MATCH((YEAR(D117)+19), Variablen!$I$3:$AT$3, 0))),L117)))*(IF((YEAR(D117)+19)&lt;YEAR(E117),0,IF((YEAR(D117)+19)&gt;YEAR(E117),1,(12-MONTH(E117)+1)/12))) + (Q117)*(IF((YEAR(D117)+19)&lt;YEAR(E117),0,IF((YEAR(D117)+19)&gt;YEAR(E117),1,(12-MONTH(E117)+1)/12))))-((P117)*(IF((YEAR(D117)+19)&lt;YEAR(E117),0,IF((YEAR(D117)+19)&gt;YEAR(E117),1,(12-MONTH(E117)+1)/12))) + (R117)*(IF((YEAR(D117)+19)&lt;YEAR(E117),0,IF((YEAR(D117)+19)&gt;YEAR(E117),1,(12-MONTH(E117)+1)/12))))-(IF(OR(N117="",N117&lt;=0),0,(O117/N117)*(IF(OR(N117="",N117&lt;=0),0,IF((YEAR(D117)+19)&lt;YEAR(E117),0,IF((YEAR(D117)+19)&gt;=YEAR(E117)+N117,0,IF((YEAR(D117)+19)=YEAR(E117),(12-MONTH(E117)+1)/12,1))))))))*TaxRate,0))-IF(19=0,O117,0))</f>
        <v/>
      </c>
      <c r="AM117" s="29">
        <f>IF(A117="","",((K117)*(IF(M117="",L117,IFERROR(IF(INDEX(Variablen!$I:$AT, MATCH(M117, Variablen!$A:$A, 0), MATCH((YEAR(D117)+20), Variablen!$I$3:$AT$3, 0))="",L117,INDEX(Variablen!$I:$AT, MATCH(M117, Variablen!$A:$A, 0), MATCH((YEAR(D117)+20), Variablen!$I$3:$AT$3, 0))),L117)))*(IF((YEAR(D117)+20)&lt;YEAR(E117),0,IF((YEAR(D117)+20)&gt;YEAR(E117),1,(12-MONTH(E117)+1)/12))) + (Q117)*(IF((YEAR(D117)+20)&lt;YEAR(E117),0,IF((YEAR(D117)+20)&gt;YEAR(E117),1,(12-MONTH(E117)+1)/12))))-((P117)*(IF((YEAR(D117)+20)&lt;YEAR(E117),0,IF((YEAR(D117)+20)&gt;YEAR(E117),1,(12-MONTH(E117)+1)/12))) + (R117)*(IF((YEAR(D117)+20)&lt;YEAR(E117),0,IF((YEAR(D117)+20)&gt;YEAR(E117),1,(12-MONTH(E117)+1)/12))))-(IF((((K117)*(IF(M117="",L117,IFERROR(IF(INDEX(Variablen!$I:$AT, MATCH(M117, Variablen!$A:$A, 0), MATCH((YEAR(D117)+20), Variablen!$I$3:$AT$3, 0))="",L117,INDEX(Variablen!$I:$AT, MATCH(M117, Variablen!$A:$A, 0), MATCH((YEAR(D117)+20), Variablen!$I$3:$AT$3, 0))),L117)))*(IF((YEAR(D117)+20)&lt;YEAR(E117),0,IF((YEAR(D117)+20)&gt;YEAR(E117),1,(12-MONTH(E117)+1)/12))) + (Q117)*(IF((YEAR(D117)+20)&lt;YEAR(E117),0,IF((YEAR(D117)+20)&gt;YEAR(E117),1,(12-MONTH(E117)+1)/12))))-((P117)*(IF((YEAR(D117)+20)&lt;YEAR(E117),0,IF((YEAR(D117)+20)&gt;YEAR(E117),1,(12-MONTH(E117)+1)/12))) + (R117)*(IF((YEAR(D117)+20)&lt;YEAR(E117),0,IF((YEAR(D117)+20)&gt;YEAR(E117),1,(12-MONTH(E117)+1)/12))))-(IF(OR(N117="",N117&lt;=0),0,(O117/N117)*(IF(OR(N117="",N117&lt;=0),0,IF((YEAR(D117)+20)&lt;YEAR(E117),0,IF((YEAR(D117)+20)&gt;=YEAR(E117)+N117,0,IF((YEAR(D117)+20)=YEAR(E117),(12-MONTH(E117)+1)/12,1))))))))&gt;0,(((K117)*(IF(M117="",L117,IFERROR(IF(INDEX(Variablen!$I:$AT, MATCH(M117, Variablen!$A:$A, 0), MATCH((YEAR(D117)+20), Variablen!$I$3:$AT$3, 0))="",L117,INDEX(Variablen!$I:$AT, MATCH(M117, Variablen!$A:$A, 0), MATCH((YEAR(D117)+20), Variablen!$I$3:$AT$3, 0))),L117)))*(IF((YEAR(D117)+20)&lt;YEAR(E117),0,IF((YEAR(D117)+20)&gt;YEAR(E117),1,(12-MONTH(E117)+1)/12))) + (Q117)*(IF((YEAR(D117)+20)&lt;YEAR(E117),0,IF((YEAR(D117)+20)&gt;YEAR(E117),1,(12-MONTH(E117)+1)/12))))-((P117)*(IF((YEAR(D117)+20)&lt;YEAR(E117),0,IF((YEAR(D117)+20)&gt;YEAR(E117),1,(12-MONTH(E117)+1)/12))) + (R117)*(IF((YEAR(D117)+20)&lt;YEAR(E117),0,IF((YEAR(D117)+20)&gt;YEAR(E117),1,(12-MONTH(E117)+1)/12))))-(IF(OR(N117="",N117&lt;=0),0,(O117/N117)*(IF(OR(N117="",N117&lt;=0),0,IF((YEAR(D117)+20)&lt;YEAR(E117),0,IF((YEAR(D117)+20)&gt;=YEAR(E117)+N117,0,IF((YEAR(D117)+20)=YEAR(E117),(12-MONTH(E117)+1)/12,1))))))))*TaxRate,0))-IF(20=0,O117,0))</f>
        <v/>
      </c>
      <c r="AN117" s="29">
        <f>IF(A117="","",S117)</f>
        <v/>
      </c>
      <c r="AO117" s="29">
        <f>IF(A117="","",AN117+T117)</f>
        <v/>
      </c>
      <c r="AP117" s="29">
        <f>IF(A117="","",AO117+U117)</f>
        <v/>
      </c>
      <c r="AQ117" s="29">
        <f>IF(A117="","",AP117+V117)</f>
        <v/>
      </c>
      <c r="AR117" s="29">
        <f>IF(A117="","",AQ117+W117)</f>
        <v/>
      </c>
      <c r="AS117" s="29">
        <f>IF(A117="","",AR117+X117)</f>
        <v/>
      </c>
      <c r="AT117" s="29">
        <f>IF(A117="","",AS117+Y117)</f>
        <v/>
      </c>
      <c r="AU117" s="29">
        <f>IF(A117="","",AT117+Z117)</f>
        <v/>
      </c>
      <c r="AV117" s="29">
        <f>IF(A117="","",AU117+AA117)</f>
        <v/>
      </c>
      <c r="AW117" s="29">
        <f>IF(A117="","",AV117+AB117)</f>
        <v/>
      </c>
      <c r="AX117" s="29">
        <f>IF(A117="","",AW117+AC117)</f>
        <v/>
      </c>
      <c r="AY117" s="29">
        <f>IF(A117="","",AX117+AD117)</f>
        <v/>
      </c>
      <c r="AZ117" s="29">
        <f>IF(A117="","",AY117+AE117)</f>
        <v/>
      </c>
      <c r="BA117" s="29">
        <f>IF(A117="","",AZ117+AF117)</f>
        <v/>
      </c>
      <c r="BB117" s="29">
        <f>IF(A117="","",BA117+AG117)</f>
        <v/>
      </c>
      <c r="BC117" s="29">
        <f>IF(A117="","",BB117+AH117)</f>
        <v/>
      </c>
      <c r="BD117" s="29">
        <f>IF(A117="","",BC117+AI117)</f>
        <v/>
      </c>
      <c r="BE117" s="29">
        <f>IF(A117="","",BD117+AJ117)</f>
        <v/>
      </c>
      <c r="BF117" s="29">
        <f>IF(A117="","",BE117+AK117)</f>
        <v/>
      </c>
      <c r="BG117" s="29">
        <f>IF(A117="","",BF117+AL117)</f>
        <v/>
      </c>
      <c r="BH117" s="29">
        <f>IF(A117="","",BG117+AM117)</f>
        <v/>
      </c>
      <c r="BI117" s="36">
        <f>IF(A117="","",(K117)*(IF((YEAR(D117)+0)&lt;YEAR(E117),0,IF((YEAR(D117)+0)&gt;YEAR(E117),1,(12-MONTH(E117)+1)/12)))*(1/(1+DiscountRate)^0))</f>
        <v/>
      </c>
      <c r="BJ117" s="36">
        <f>IF(A117="","",(K117)*(IF((YEAR(D117)+1)&lt;YEAR(E117),0,IF((YEAR(D117)+1)&gt;YEAR(E117),1,(12-MONTH(E117)+1)/12)))*(1/(1+DiscountRate)^1))</f>
        <v/>
      </c>
      <c r="BK117" s="36">
        <f>IF(A117="","",(K117)*(IF((YEAR(D117)+2)&lt;YEAR(E117),0,IF((YEAR(D117)+2)&gt;YEAR(E117),1,(12-MONTH(E117)+1)/12)))*(1/(1+DiscountRate)^2))</f>
        <v/>
      </c>
      <c r="BL117" s="36">
        <f>IF(A117="","",(K117)*(IF((YEAR(D117)+3)&lt;YEAR(E117),0,IF((YEAR(D117)+3)&gt;YEAR(E117),1,(12-MONTH(E117)+1)/12)))*(1/(1+DiscountRate)^3))</f>
        <v/>
      </c>
      <c r="BM117" s="36">
        <f>IF(A117="","",(K117)*(IF((YEAR(D117)+4)&lt;YEAR(E117),0,IF((YEAR(D117)+4)&gt;YEAR(E117),1,(12-MONTH(E117)+1)/12)))*(1/(1+DiscountRate)^4))</f>
        <v/>
      </c>
      <c r="BN117" s="36">
        <f>IF(A117="","",(K117)*(IF((YEAR(D117)+5)&lt;YEAR(E117),0,IF((YEAR(D117)+5)&gt;YEAR(E117),1,(12-MONTH(E117)+1)/12)))*(1/(1+DiscountRate)^5))</f>
        <v/>
      </c>
      <c r="BO117" s="36">
        <f>IF(A117="","",(K117)*(IF((YEAR(D117)+6)&lt;YEAR(E117),0,IF((YEAR(D117)+6)&gt;YEAR(E117),1,(12-MONTH(E117)+1)/12)))*(1/(1+DiscountRate)^6))</f>
        <v/>
      </c>
      <c r="BP117" s="36">
        <f>IF(A117="","",(K117)*(IF((YEAR(D117)+7)&lt;YEAR(E117),0,IF((YEAR(D117)+7)&gt;YEAR(E117),1,(12-MONTH(E117)+1)/12)))*(1/(1+DiscountRate)^7))</f>
        <v/>
      </c>
      <c r="BQ117" s="36">
        <f>IF(A117="","",(K117)*(IF((YEAR(D117)+8)&lt;YEAR(E117),0,IF((YEAR(D117)+8)&gt;YEAR(E117),1,(12-MONTH(E117)+1)/12)))*(1/(1+DiscountRate)^8))</f>
        <v/>
      </c>
      <c r="BR117" s="36">
        <f>IF(A117="","",(K117)*(IF((YEAR(D117)+9)&lt;YEAR(E117),0,IF((YEAR(D117)+9)&gt;YEAR(E117),1,(12-MONTH(E117)+1)/12)))*(1/(1+DiscountRate)^9))</f>
        <v/>
      </c>
      <c r="BS117" s="36">
        <f>IF(A117="","",(K117)*(IF((YEAR(D117)+10)&lt;YEAR(E117),0,IF((YEAR(D117)+10)&gt;YEAR(E117),1,(12-MONTH(E117)+1)/12)))*(1/(1+DiscountRate)^10))</f>
        <v/>
      </c>
      <c r="BT117" s="36">
        <f>IF(A117="","",(K117)*(IF((YEAR(D117)+11)&lt;YEAR(E117),0,IF((YEAR(D117)+11)&gt;YEAR(E117),1,(12-MONTH(E117)+1)/12)))*(1/(1+DiscountRate)^11))</f>
        <v/>
      </c>
      <c r="BU117" s="36">
        <f>IF(A117="","",(K117)*(IF((YEAR(D117)+12)&lt;YEAR(E117),0,IF((YEAR(D117)+12)&gt;YEAR(E117),1,(12-MONTH(E117)+1)/12)))*(1/(1+DiscountRate)^12))</f>
        <v/>
      </c>
      <c r="BV117" s="36">
        <f>IF(A117="","",(K117)*(IF((YEAR(D117)+13)&lt;YEAR(E117),0,IF((YEAR(D117)+13)&gt;YEAR(E117),1,(12-MONTH(E117)+1)/12)))*(1/(1+DiscountRate)^13))</f>
        <v/>
      </c>
      <c r="BW117" s="36">
        <f>IF(A117="","",(K117)*(IF((YEAR(D117)+14)&lt;YEAR(E117),0,IF((YEAR(D117)+14)&gt;YEAR(E117),1,(12-MONTH(E117)+1)/12)))*(1/(1+DiscountRate)^14))</f>
        <v/>
      </c>
      <c r="BX117" s="36">
        <f>IF(A117="","",(K117)*(IF((YEAR(D117)+15)&lt;YEAR(E117),0,IF((YEAR(D117)+15)&gt;YEAR(E117),1,(12-MONTH(E117)+1)/12)))*(1/(1+DiscountRate)^15))</f>
        <v/>
      </c>
      <c r="BY117" s="36">
        <f>IF(A117="","",(K117)*(IF((YEAR(D117)+16)&lt;YEAR(E117),0,IF((YEAR(D117)+16)&gt;YEAR(E117),1,(12-MONTH(E117)+1)/12)))*(1/(1+DiscountRate)^16))</f>
        <v/>
      </c>
      <c r="BZ117" s="36">
        <f>IF(A117="","",(K117)*(IF((YEAR(D117)+17)&lt;YEAR(E117),0,IF((YEAR(D117)+17)&gt;YEAR(E117),1,(12-MONTH(E117)+1)/12)))*(1/(1+DiscountRate)^17))</f>
        <v/>
      </c>
      <c r="CA117" s="36">
        <f>IF(A117="","",(K117)*(IF((YEAR(D117)+18)&lt;YEAR(E117),0,IF((YEAR(D117)+18)&gt;YEAR(E117),1,(12-MONTH(E117)+1)/12)))*(1/(1+DiscountRate)^18))</f>
        <v/>
      </c>
      <c r="CB117" s="36">
        <f>IF(A117="","",(K117)*(IF((YEAR(D117)+19)&lt;YEAR(E117),0,IF((YEAR(D117)+19)&gt;YEAR(E117),1,(12-MONTH(E117)+1)/12)))*(1/(1+DiscountRate)^19))</f>
        <v/>
      </c>
      <c r="CC117" s="36">
        <f>IF(A117="","",(K117)*(IF((YEAR(D117)+20)&lt;YEAR(E117),0,IF((YEAR(D117)+20)&gt;YEAR(E117),1,(12-MONTH(E117)+1)/12)))*(1/(1+DiscountRate)^20))</f>
        <v/>
      </c>
      <c r="CD117" s="29">
        <f>IF(A117="","",S117/(1+DiscountRate)^0+T117/(1+DiscountRate)^1+U117/(1+DiscountRate)^2+V117/(1+DiscountRate)^3+W117/(1+DiscountRate)^4+X117/(1+DiscountRate)^5+Y117/(1+DiscountRate)^6+Z117/(1+DiscountRate)^7+AA117/(1+DiscountRate)^8+AB117/(1+DiscountRate)^9+AC117/(1+DiscountRate)^10+AD117/(1+DiscountRate)^11+AE117/(1+DiscountRate)^12+AF117/(1+DiscountRate)^13+AG117/(1+DiscountRate)^14+AH117/(1+DiscountRate)^15+AI117/(1+DiscountRate)^16+AJ117/(1+DiscountRate)^17+AK117/(1+DiscountRate)^18+AL117/(1+DiscountRate)^19+AM117/(1+DiscountRate)^20)</f>
        <v/>
      </c>
      <c r="CE117" s="37">
        <f>IF(A117="","",IFERROR(IRR(OFFSET(S117,0,0,1,MIN(HorizonYears,20)+1)),"n/a"))</f>
        <v/>
      </c>
      <c r="CF117" s="28">
        <f>IF(A117="","",IFERROR(MATCH(TRUE,OFFSET(AN117,0,0,1,MIN(HorizonYears,20)+1)&gt;=0,0)-1,"n/a"))</f>
        <v/>
      </c>
      <c r="CG117" s="36">
        <f>IF(A117="","",SUM(OFFSET(BI117,0,0,1,MIN(HorizonYears,20)+1)))</f>
        <v/>
      </c>
      <c r="CH117" s="36">
        <f>IF(A117="","",IFERROR(-CD117/CG117,"n/a"))</f>
        <v/>
      </c>
    </row>
    <row r="118">
      <c r="A118" s="6">
        <f>Actions!A116</f>
        <v/>
      </c>
      <c r="B118" s="6">
        <f>Actions!B116</f>
        <v/>
      </c>
      <c r="C118" s="6">
        <f>Actions!D116</f>
        <v/>
      </c>
      <c r="D118" s="35">
        <f>Actions!E116</f>
        <v/>
      </c>
      <c r="E118" s="35">
        <f>Actions!F116</f>
        <v/>
      </c>
      <c r="F118" s="6">
        <f>Actions!G116</f>
        <v/>
      </c>
      <c r="G118" s="6">
        <f>Actions!H116</f>
        <v/>
      </c>
      <c r="H118" s="29">
        <f>Actions!I116</f>
        <v/>
      </c>
      <c r="I118" s="6">
        <f>Actions!J116</f>
        <v/>
      </c>
      <c r="J118" s="16">
        <f>Actions!K116</f>
        <v/>
      </c>
      <c r="K118" s="16">
        <f>IF(A118="","",IF(I118="%",H118*J118,J118))</f>
        <v/>
      </c>
      <c r="L118" s="16">
        <f>Actions!L116</f>
        <v/>
      </c>
      <c r="M118" s="6">
        <f>Actions!M116</f>
        <v/>
      </c>
      <c r="N118" s="28">
        <f>Actions!N116</f>
        <v/>
      </c>
      <c r="O118" s="29">
        <f>Actions!T116</f>
        <v/>
      </c>
      <c r="P118" s="29">
        <f>Actions!Y116</f>
        <v/>
      </c>
      <c r="Q118" s="29">
        <f>Actions!Z116</f>
        <v/>
      </c>
      <c r="R118" s="29">
        <f>Actions!AA116</f>
        <v/>
      </c>
      <c r="S118" s="29">
        <f>IF(A118="","",((K118)*(IF(M118="",L118,IFERROR(IF(INDEX(Variablen!$I:$AT, MATCH(M118, Variablen!$A:$A, 0), MATCH((YEAR(D118)+0), Variablen!$I$3:$AT$3, 0))="",L118,INDEX(Variablen!$I:$AT, MATCH(M118, Variablen!$A:$A, 0), MATCH((YEAR(D118)+0), Variablen!$I$3:$AT$3, 0))),L118)))*(IF((YEAR(D118)+0)&lt;YEAR(E118),0,IF((YEAR(D118)+0)&gt;YEAR(E118),1,(12-MONTH(E118)+1)/12))) + (Q118)*(IF((YEAR(D118)+0)&lt;YEAR(E118),0,IF((YEAR(D118)+0)&gt;YEAR(E118),1,(12-MONTH(E118)+1)/12))))-((P118)*(IF((YEAR(D118)+0)&lt;YEAR(E118),0,IF((YEAR(D118)+0)&gt;YEAR(E118),1,(12-MONTH(E118)+1)/12))) + (R118)*(IF((YEAR(D118)+0)&lt;YEAR(E118),0,IF((YEAR(D118)+0)&gt;YEAR(E118),1,(12-MONTH(E118)+1)/12))))-(IF((((K118)*(IF(M118="",L118,IFERROR(IF(INDEX(Variablen!$I:$AT, MATCH(M118, Variablen!$A:$A, 0), MATCH((YEAR(D118)+0), Variablen!$I$3:$AT$3, 0))="",L118,INDEX(Variablen!$I:$AT, MATCH(M118, Variablen!$A:$A, 0), MATCH((YEAR(D118)+0), Variablen!$I$3:$AT$3, 0))),L118)))*(IF((YEAR(D118)+0)&lt;YEAR(E118),0,IF((YEAR(D118)+0)&gt;YEAR(E118),1,(12-MONTH(E118)+1)/12))) + (Q118)*(IF((YEAR(D118)+0)&lt;YEAR(E118),0,IF((YEAR(D118)+0)&gt;YEAR(E118),1,(12-MONTH(E118)+1)/12))))-((P118)*(IF((YEAR(D118)+0)&lt;YEAR(E118),0,IF((YEAR(D118)+0)&gt;YEAR(E118),1,(12-MONTH(E118)+1)/12))) + (R118)*(IF((YEAR(D118)+0)&lt;YEAR(E118),0,IF((YEAR(D118)+0)&gt;YEAR(E118),1,(12-MONTH(E118)+1)/12))))-(IF(OR(N118="",N118&lt;=0),0,(O118/N118)*(IF(OR(N118="",N118&lt;=0),0,IF((YEAR(D118)+0)&lt;YEAR(E118),0,IF((YEAR(D118)+0)&gt;=YEAR(E118)+N118,0,IF((YEAR(D118)+0)=YEAR(E118),(12-MONTH(E118)+1)/12,1))))))))&gt;0,(((K118)*(IF(M118="",L118,IFERROR(IF(INDEX(Variablen!$I:$AT, MATCH(M118, Variablen!$A:$A, 0), MATCH((YEAR(D118)+0), Variablen!$I$3:$AT$3, 0))="",L118,INDEX(Variablen!$I:$AT, MATCH(M118, Variablen!$A:$A, 0), MATCH((YEAR(D118)+0), Variablen!$I$3:$AT$3, 0))),L118)))*(IF((YEAR(D118)+0)&lt;YEAR(E118),0,IF((YEAR(D118)+0)&gt;YEAR(E118),1,(12-MONTH(E118)+1)/12))) + (Q118)*(IF((YEAR(D118)+0)&lt;YEAR(E118),0,IF((YEAR(D118)+0)&gt;YEAR(E118),1,(12-MONTH(E118)+1)/12))))-((P118)*(IF((YEAR(D118)+0)&lt;YEAR(E118),0,IF((YEAR(D118)+0)&gt;YEAR(E118),1,(12-MONTH(E118)+1)/12))) + (R118)*(IF((YEAR(D118)+0)&lt;YEAR(E118),0,IF((YEAR(D118)+0)&gt;YEAR(E118),1,(12-MONTH(E118)+1)/12))))-(IF(OR(N118="",N118&lt;=0),0,(O118/N118)*(IF(OR(N118="",N118&lt;=0),0,IF((YEAR(D118)+0)&lt;YEAR(E118),0,IF((YEAR(D118)+0)&gt;=YEAR(E118)+N118,0,IF((YEAR(D118)+0)=YEAR(E118),(12-MONTH(E118)+1)/12,1))))))))*TaxRate,0))-IF(0=0,O118,0))</f>
        <v/>
      </c>
      <c r="T118" s="29">
        <f>IF(A118="","",((K118)*(IF(M118="",L118,IFERROR(IF(INDEX(Variablen!$I:$AT, MATCH(M118, Variablen!$A:$A, 0), MATCH((YEAR(D118)+1), Variablen!$I$3:$AT$3, 0))="",L118,INDEX(Variablen!$I:$AT, MATCH(M118, Variablen!$A:$A, 0), MATCH((YEAR(D118)+1), Variablen!$I$3:$AT$3, 0))),L118)))*(IF((YEAR(D118)+1)&lt;YEAR(E118),0,IF((YEAR(D118)+1)&gt;YEAR(E118),1,(12-MONTH(E118)+1)/12))) + (Q118)*(IF((YEAR(D118)+1)&lt;YEAR(E118),0,IF((YEAR(D118)+1)&gt;YEAR(E118),1,(12-MONTH(E118)+1)/12))))-((P118)*(IF((YEAR(D118)+1)&lt;YEAR(E118),0,IF((YEAR(D118)+1)&gt;YEAR(E118),1,(12-MONTH(E118)+1)/12))) + (R118)*(IF((YEAR(D118)+1)&lt;YEAR(E118),0,IF((YEAR(D118)+1)&gt;YEAR(E118),1,(12-MONTH(E118)+1)/12))))-(IF((((K118)*(IF(M118="",L118,IFERROR(IF(INDEX(Variablen!$I:$AT, MATCH(M118, Variablen!$A:$A, 0), MATCH((YEAR(D118)+1), Variablen!$I$3:$AT$3, 0))="",L118,INDEX(Variablen!$I:$AT, MATCH(M118, Variablen!$A:$A, 0), MATCH((YEAR(D118)+1), Variablen!$I$3:$AT$3, 0))),L118)))*(IF((YEAR(D118)+1)&lt;YEAR(E118),0,IF((YEAR(D118)+1)&gt;YEAR(E118),1,(12-MONTH(E118)+1)/12))) + (Q118)*(IF((YEAR(D118)+1)&lt;YEAR(E118),0,IF((YEAR(D118)+1)&gt;YEAR(E118),1,(12-MONTH(E118)+1)/12))))-((P118)*(IF((YEAR(D118)+1)&lt;YEAR(E118),0,IF((YEAR(D118)+1)&gt;YEAR(E118),1,(12-MONTH(E118)+1)/12))) + (R118)*(IF((YEAR(D118)+1)&lt;YEAR(E118),0,IF((YEAR(D118)+1)&gt;YEAR(E118),1,(12-MONTH(E118)+1)/12))))-(IF(OR(N118="",N118&lt;=0),0,(O118/N118)*(IF(OR(N118="",N118&lt;=0),0,IF((YEAR(D118)+1)&lt;YEAR(E118),0,IF((YEAR(D118)+1)&gt;=YEAR(E118)+N118,0,IF((YEAR(D118)+1)=YEAR(E118),(12-MONTH(E118)+1)/12,1))))))))&gt;0,(((K118)*(IF(M118="",L118,IFERROR(IF(INDEX(Variablen!$I:$AT, MATCH(M118, Variablen!$A:$A, 0), MATCH((YEAR(D118)+1), Variablen!$I$3:$AT$3, 0))="",L118,INDEX(Variablen!$I:$AT, MATCH(M118, Variablen!$A:$A, 0), MATCH((YEAR(D118)+1), Variablen!$I$3:$AT$3, 0))),L118)))*(IF((YEAR(D118)+1)&lt;YEAR(E118),0,IF((YEAR(D118)+1)&gt;YEAR(E118),1,(12-MONTH(E118)+1)/12))) + (Q118)*(IF((YEAR(D118)+1)&lt;YEAR(E118),0,IF((YEAR(D118)+1)&gt;YEAR(E118),1,(12-MONTH(E118)+1)/12))))-((P118)*(IF((YEAR(D118)+1)&lt;YEAR(E118),0,IF((YEAR(D118)+1)&gt;YEAR(E118),1,(12-MONTH(E118)+1)/12))) + (R118)*(IF((YEAR(D118)+1)&lt;YEAR(E118),0,IF((YEAR(D118)+1)&gt;YEAR(E118),1,(12-MONTH(E118)+1)/12))))-(IF(OR(N118="",N118&lt;=0),0,(O118/N118)*(IF(OR(N118="",N118&lt;=0),0,IF((YEAR(D118)+1)&lt;YEAR(E118),0,IF((YEAR(D118)+1)&gt;=YEAR(E118)+N118,0,IF((YEAR(D118)+1)=YEAR(E118),(12-MONTH(E118)+1)/12,1))))))))*TaxRate,0))-IF(1=0,O118,0))</f>
        <v/>
      </c>
      <c r="U118" s="29">
        <f>IF(A118="","",((K118)*(IF(M118="",L118,IFERROR(IF(INDEX(Variablen!$I:$AT, MATCH(M118, Variablen!$A:$A, 0), MATCH((YEAR(D118)+2), Variablen!$I$3:$AT$3, 0))="",L118,INDEX(Variablen!$I:$AT, MATCH(M118, Variablen!$A:$A, 0), MATCH((YEAR(D118)+2), Variablen!$I$3:$AT$3, 0))),L118)))*(IF((YEAR(D118)+2)&lt;YEAR(E118),0,IF((YEAR(D118)+2)&gt;YEAR(E118),1,(12-MONTH(E118)+1)/12))) + (Q118)*(IF((YEAR(D118)+2)&lt;YEAR(E118),0,IF((YEAR(D118)+2)&gt;YEAR(E118),1,(12-MONTH(E118)+1)/12))))-((P118)*(IF((YEAR(D118)+2)&lt;YEAR(E118),0,IF((YEAR(D118)+2)&gt;YEAR(E118),1,(12-MONTH(E118)+1)/12))) + (R118)*(IF((YEAR(D118)+2)&lt;YEAR(E118),0,IF((YEAR(D118)+2)&gt;YEAR(E118),1,(12-MONTH(E118)+1)/12))))-(IF((((K118)*(IF(M118="",L118,IFERROR(IF(INDEX(Variablen!$I:$AT, MATCH(M118, Variablen!$A:$A, 0), MATCH((YEAR(D118)+2), Variablen!$I$3:$AT$3, 0))="",L118,INDEX(Variablen!$I:$AT, MATCH(M118, Variablen!$A:$A, 0), MATCH((YEAR(D118)+2), Variablen!$I$3:$AT$3, 0))),L118)))*(IF((YEAR(D118)+2)&lt;YEAR(E118),0,IF((YEAR(D118)+2)&gt;YEAR(E118),1,(12-MONTH(E118)+1)/12))) + (Q118)*(IF((YEAR(D118)+2)&lt;YEAR(E118),0,IF((YEAR(D118)+2)&gt;YEAR(E118),1,(12-MONTH(E118)+1)/12))))-((P118)*(IF((YEAR(D118)+2)&lt;YEAR(E118),0,IF((YEAR(D118)+2)&gt;YEAR(E118),1,(12-MONTH(E118)+1)/12))) + (R118)*(IF((YEAR(D118)+2)&lt;YEAR(E118),0,IF((YEAR(D118)+2)&gt;YEAR(E118),1,(12-MONTH(E118)+1)/12))))-(IF(OR(N118="",N118&lt;=0),0,(O118/N118)*(IF(OR(N118="",N118&lt;=0),0,IF((YEAR(D118)+2)&lt;YEAR(E118),0,IF((YEAR(D118)+2)&gt;=YEAR(E118)+N118,0,IF((YEAR(D118)+2)=YEAR(E118),(12-MONTH(E118)+1)/12,1))))))))&gt;0,(((K118)*(IF(M118="",L118,IFERROR(IF(INDEX(Variablen!$I:$AT, MATCH(M118, Variablen!$A:$A, 0), MATCH((YEAR(D118)+2), Variablen!$I$3:$AT$3, 0))="",L118,INDEX(Variablen!$I:$AT, MATCH(M118, Variablen!$A:$A, 0), MATCH((YEAR(D118)+2), Variablen!$I$3:$AT$3, 0))),L118)))*(IF((YEAR(D118)+2)&lt;YEAR(E118),0,IF((YEAR(D118)+2)&gt;YEAR(E118),1,(12-MONTH(E118)+1)/12))) + (Q118)*(IF((YEAR(D118)+2)&lt;YEAR(E118),0,IF((YEAR(D118)+2)&gt;YEAR(E118),1,(12-MONTH(E118)+1)/12))))-((P118)*(IF((YEAR(D118)+2)&lt;YEAR(E118),0,IF((YEAR(D118)+2)&gt;YEAR(E118),1,(12-MONTH(E118)+1)/12))) + (R118)*(IF((YEAR(D118)+2)&lt;YEAR(E118),0,IF((YEAR(D118)+2)&gt;YEAR(E118),1,(12-MONTH(E118)+1)/12))))-(IF(OR(N118="",N118&lt;=0),0,(O118/N118)*(IF(OR(N118="",N118&lt;=0),0,IF((YEAR(D118)+2)&lt;YEAR(E118),0,IF((YEAR(D118)+2)&gt;=YEAR(E118)+N118,0,IF((YEAR(D118)+2)=YEAR(E118),(12-MONTH(E118)+1)/12,1))))))))*TaxRate,0))-IF(2=0,O118,0))</f>
        <v/>
      </c>
      <c r="V118" s="29">
        <f>IF(A118="","",((K118)*(IF(M118="",L118,IFERROR(IF(INDEX(Variablen!$I:$AT, MATCH(M118, Variablen!$A:$A, 0), MATCH((YEAR(D118)+3), Variablen!$I$3:$AT$3, 0))="",L118,INDEX(Variablen!$I:$AT, MATCH(M118, Variablen!$A:$A, 0), MATCH((YEAR(D118)+3), Variablen!$I$3:$AT$3, 0))),L118)))*(IF((YEAR(D118)+3)&lt;YEAR(E118),0,IF((YEAR(D118)+3)&gt;YEAR(E118),1,(12-MONTH(E118)+1)/12))) + (Q118)*(IF((YEAR(D118)+3)&lt;YEAR(E118),0,IF((YEAR(D118)+3)&gt;YEAR(E118),1,(12-MONTH(E118)+1)/12))))-((P118)*(IF((YEAR(D118)+3)&lt;YEAR(E118),0,IF((YEAR(D118)+3)&gt;YEAR(E118),1,(12-MONTH(E118)+1)/12))) + (R118)*(IF((YEAR(D118)+3)&lt;YEAR(E118),0,IF((YEAR(D118)+3)&gt;YEAR(E118),1,(12-MONTH(E118)+1)/12))))-(IF((((K118)*(IF(M118="",L118,IFERROR(IF(INDEX(Variablen!$I:$AT, MATCH(M118, Variablen!$A:$A, 0), MATCH((YEAR(D118)+3), Variablen!$I$3:$AT$3, 0))="",L118,INDEX(Variablen!$I:$AT, MATCH(M118, Variablen!$A:$A, 0), MATCH((YEAR(D118)+3), Variablen!$I$3:$AT$3, 0))),L118)))*(IF((YEAR(D118)+3)&lt;YEAR(E118),0,IF((YEAR(D118)+3)&gt;YEAR(E118),1,(12-MONTH(E118)+1)/12))) + (Q118)*(IF((YEAR(D118)+3)&lt;YEAR(E118),0,IF((YEAR(D118)+3)&gt;YEAR(E118),1,(12-MONTH(E118)+1)/12))))-((P118)*(IF((YEAR(D118)+3)&lt;YEAR(E118),0,IF((YEAR(D118)+3)&gt;YEAR(E118),1,(12-MONTH(E118)+1)/12))) + (R118)*(IF((YEAR(D118)+3)&lt;YEAR(E118),0,IF((YEAR(D118)+3)&gt;YEAR(E118),1,(12-MONTH(E118)+1)/12))))-(IF(OR(N118="",N118&lt;=0),0,(O118/N118)*(IF(OR(N118="",N118&lt;=0),0,IF((YEAR(D118)+3)&lt;YEAR(E118),0,IF((YEAR(D118)+3)&gt;=YEAR(E118)+N118,0,IF((YEAR(D118)+3)=YEAR(E118),(12-MONTH(E118)+1)/12,1))))))))&gt;0,(((K118)*(IF(M118="",L118,IFERROR(IF(INDEX(Variablen!$I:$AT, MATCH(M118, Variablen!$A:$A, 0), MATCH((YEAR(D118)+3), Variablen!$I$3:$AT$3, 0))="",L118,INDEX(Variablen!$I:$AT, MATCH(M118, Variablen!$A:$A, 0), MATCH((YEAR(D118)+3), Variablen!$I$3:$AT$3, 0))),L118)))*(IF((YEAR(D118)+3)&lt;YEAR(E118),0,IF((YEAR(D118)+3)&gt;YEAR(E118),1,(12-MONTH(E118)+1)/12))) + (Q118)*(IF((YEAR(D118)+3)&lt;YEAR(E118),0,IF((YEAR(D118)+3)&gt;YEAR(E118),1,(12-MONTH(E118)+1)/12))))-((P118)*(IF((YEAR(D118)+3)&lt;YEAR(E118),0,IF((YEAR(D118)+3)&gt;YEAR(E118),1,(12-MONTH(E118)+1)/12))) + (R118)*(IF((YEAR(D118)+3)&lt;YEAR(E118),0,IF((YEAR(D118)+3)&gt;YEAR(E118),1,(12-MONTH(E118)+1)/12))))-(IF(OR(N118="",N118&lt;=0),0,(O118/N118)*(IF(OR(N118="",N118&lt;=0),0,IF((YEAR(D118)+3)&lt;YEAR(E118),0,IF((YEAR(D118)+3)&gt;=YEAR(E118)+N118,0,IF((YEAR(D118)+3)=YEAR(E118),(12-MONTH(E118)+1)/12,1))))))))*TaxRate,0))-IF(3=0,O118,0))</f>
        <v/>
      </c>
      <c r="W118" s="29">
        <f>IF(A118="","",((K118)*(IF(M118="",L118,IFERROR(IF(INDEX(Variablen!$I:$AT, MATCH(M118, Variablen!$A:$A, 0), MATCH((YEAR(D118)+4), Variablen!$I$3:$AT$3, 0))="",L118,INDEX(Variablen!$I:$AT, MATCH(M118, Variablen!$A:$A, 0), MATCH((YEAR(D118)+4), Variablen!$I$3:$AT$3, 0))),L118)))*(IF((YEAR(D118)+4)&lt;YEAR(E118),0,IF((YEAR(D118)+4)&gt;YEAR(E118),1,(12-MONTH(E118)+1)/12))) + (Q118)*(IF((YEAR(D118)+4)&lt;YEAR(E118),0,IF((YEAR(D118)+4)&gt;YEAR(E118),1,(12-MONTH(E118)+1)/12))))-((P118)*(IF((YEAR(D118)+4)&lt;YEAR(E118),0,IF((YEAR(D118)+4)&gt;YEAR(E118),1,(12-MONTH(E118)+1)/12))) + (R118)*(IF((YEAR(D118)+4)&lt;YEAR(E118),0,IF((YEAR(D118)+4)&gt;YEAR(E118),1,(12-MONTH(E118)+1)/12))))-(IF((((K118)*(IF(M118="",L118,IFERROR(IF(INDEX(Variablen!$I:$AT, MATCH(M118, Variablen!$A:$A, 0), MATCH((YEAR(D118)+4), Variablen!$I$3:$AT$3, 0))="",L118,INDEX(Variablen!$I:$AT, MATCH(M118, Variablen!$A:$A, 0), MATCH((YEAR(D118)+4), Variablen!$I$3:$AT$3, 0))),L118)))*(IF((YEAR(D118)+4)&lt;YEAR(E118),0,IF((YEAR(D118)+4)&gt;YEAR(E118),1,(12-MONTH(E118)+1)/12))) + (Q118)*(IF((YEAR(D118)+4)&lt;YEAR(E118),0,IF((YEAR(D118)+4)&gt;YEAR(E118),1,(12-MONTH(E118)+1)/12))))-((P118)*(IF((YEAR(D118)+4)&lt;YEAR(E118),0,IF((YEAR(D118)+4)&gt;YEAR(E118),1,(12-MONTH(E118)+1)/12))) + (R118)*(IF((YEAR(D118)+4)&lt;YEAR(E118),0,IF((YEAR(D118)+4)&gt;YEAR(E118),1,(12-MONTH(E118)+1)/12))))-(IF(OR(N118="",N118&lt;=0),0,(O118/N118)*(IF(OR(N118="",N118&lt;=0),0,IF((YEAR(D118)+4)&lt;YEAR(E118),0,IF((YEAR(D118)+4)&gt;=YEAR(E118)+N118,0,IF((YEAR(D118)+4)=YEAR(E118),(12-MONTH(E118)+1)/12,1))))))))&gt;0,(((K118)*(IF(M118="",L118,IFERROR(IF(INDEX(Variablen!$I:$AT, MATCH(M118, Variablen!$A:$A, 0), MATCH((YEAR(D118)+4), Variablen!$I$3:$AT$3, 0))="",L118,INDEX(Variablen!$I:$AT, MATCH(M118, Variablen!$A:$A, 0), MATCH((YEAR(D118)+4), Variablen!$I$3:$AT$3, 0))),L118)))*(IF((YEAR(D118)+4)&lt;YEAR(E118),0,IF((YEAR(D118)+4)&gt;YEAR(E118),1,(12-MONTH(E118)+1)/12))) + (Q118)*(IF((YEAR(D118)+4)&lt;YEAR(E118),0,IF((YEAR(D118)+4)&gt;YEAR(E118),1,(12-MONTH(E118)+1)/12))))-((P118)*(IF((YEAR(D118)+4)&lt;YEAR(E118),0,IF((YEAR(D118)+4)&gt;YEAR(E118),1,(12-MONTH(E118)+1)/12))) + (R118)*(IF((YEAR(D118)+4)&lt;YEAR(E118),0,IF((YEAR(D118)+4)&gt;YEAR(E118),1,(12-MONTH(E118)+1)/12))))-(IF(OR(N118="",N118&lt;=0),0,(O118/N118)*(IF(OR(N118="",N118&lt;=0),0,IF((YEAR(D118)+4)&lt;YEAR(E118),0,IF((YEAR(D118)+4)&gt;=YEAR(E118)+N118,0,IF((YEAR(D118)+4)=YEAR(E118),(12-MONTH(E118)+1)/12,1))))))))*TaxRate,0))-IF(4=0,O118,0))</f>
        <v/>
      </c>
      <c r="X118" s="29">
        <f>IF(A118="","",((K118)*(IF(M118="",L118,IFERROR(IF(INDEX(Variablen!$I:$AT, MATCH(M118, Variablen!$A:$A, 0), MATCH((YEAR(D118)+5), Variablen!$I$3:$AT$3, 0))="",L118,INDEX(Variablen!$I:$AT, MATCH(M118, Variablen!$A:$A, 0), MATCH((YEAR(D118)+5), Variablen!$I$3:$AT$3, 0))),L118)))*(IF((YEAR(D118)+5)&lt;YEAR(E118),0,IF((YEAR(D118)+5)&gt;YEAR(E118),1,(12-MONTH(E118)+1)/12))) + (Q118)*(IF((YEAR(D118)+5)&lt;YEAR(E118),0,IF((YEAR(D118)+5)&gt;YEAR(E118),1,(12-MONTH(E118)+1)/12))))-((P118)*(IF((YEAR(D118)+5)&lt;YEAR(E118),0,IF((YEAR(D118)+5)&gt;YEAR(E118),1,(12-MONTH(E118)+1)/12))) + (R118)*(IF((YEAR(D118)+5)&lt;YEAR(E118),0,IF((YEAR(D118)+5)&gt;YEAR(E118),1,(12-MONTH(E118)+1)/12))))-(IF((((K118)*(IF(M118="",L118,IFERROR(IF(INDEX(Variablen!$I:$AT, MATCH(M118, Variablen!$A:$A, 0), MATCH((YEAR(D118)+5), Variablen!$I$3:$AT$3, 0))="",L118,INDEX(Variablen!$I:$AT, MATCH(M118, Variablen!$A:$A, 0), MATCH((YEAR(D118)+5), Variablen!$I$3:$AT$3, 0))),L118)))*(IF((YEAR(D118)+5)&lt;YEAR(E118),0,IF((YEAR(D118)+5)&gt;YEAR(E118),1,(12-MONTH(E118)+1)/12))) + (Q118)*(IF((YEAR(D118)+5)&lt;YEAR(E118),0,IF((YEAR(D118)+5)&gt;YEAR(E118),1,(12-MONTH(E118)+1)/12))))-((P118)*(IF((YEAR(D118)+5)&lt;YEAR(E118),0,IF((YEAR(D118)+5)&gt;YEAR(E118),1,(12-MONTH(E118)+1)/12))) + (R118)*(IF((YEAR(D118)+5)&lt;YEAR(E118),0,IF((YEAR(D118)+5)&gt;YEAR(E118),1,(12-MONTH(E118)+1)/12))))-(IF(OR(N118="",N118&lt;=0),0,(O118/N118)*(IF(OR(N118="",N118&lt;=0),0,IF((YEAR(D118)+5)&lt;YEAR(E118),0,IF((YEAR(D118)+5)&gt;=YEAR(E118)+N118,0,IF((YEAR(D118)+5)=YEAR(E118),(12-MONTH(E118)+1)/12,1))))))))&gt;0,(((K118)*(IF(M118="",L118,IFERROR(IF(INDEX(Variablen!$I:$AT, MATCH(M118, Variablen!$A:$A, 0), MATCH((YEAR(D118)+5), Variablen!$I$3:$AT$3, 0))="",L118,INDEX(Variablen!$I:$AT, MATCH(M118, Variablen!$A:$A, 0), MATCH((YEAR(D118)+5), Variablen!$I$3:$AT$3, 0))),L118)))*(IF((YEAR(D118)+5)&lt;YEAR(E118),0,IF((YEAR(D118)+5)&gt;YEAR(E118),1,(12-MONTH(E118)+1)/12))) + (Q118)*(IF((YEAR(D118)+5)&lt;YEAR(E118),0,IF((YEAR(D118)+5)&gt;YEAR(E118),1,(12-MONTH(E118)+1)/12))))-((P118)*(IF((YEAR(D118)+5)&lt;YEAR(E118),0,IF((YEAR(D118)+5)&gt;YEAR(E118),1,(12-MONTH(E118)+1)/12))) + (R118)*(IF((YEAR(D118)+5)&lt;YEAR(E118),0,IF((YEAR(D118)+5)&gt;YEAR(E118),1,(12-MONTH(E118)+1)/12))))-(IF(OR(N118="",N118&lt;=0),0,(O118/N118)*(IF(OR(N118="",N118&lt;=0),0,IF((YEAR(D118)+5)&lt;YEAR(E118),0,IF((YEAR(D118)+5)&gt;=YEAR(E118)+N118,0,IF((YEAR(D118)+5)=YEAR(E118),(12-MONTH(E118)+1)/12,1))))))))*TaxRate,0))-IF(5=0,O118,0))</f>
        <v/>
      </c>
      <c r="Y118" s="29">
        <f>IF(A118="","",((K118)*(IF(M118="",L118,IFERROR(IF(INDEX(Variablen!$I:$AT, MATCH(M118, Variablen!$A:$A, 0), MATCH((YEAR(D118)+6), Variablen!$I$3:$AT$3, 0))="",L118,INDEX(Variablen!$I:$AT, MATCH(M118, Variablen!$A:$A, 0), MATCH((YEAR(D118)+6), Variablen!$I$3:$AT$3, 0))),L118)))*(IF((YEAR(D118)+6)&lt;YEAR(E118),0,IF((YEAR(D118)+6)&gt;YEAR(E118),1,(12-MONTH(E118)+1)/12))) + (Q118)*(IF((YEAR(D118)+6)&lt;YEAR(E118),0,IF((YEAR(D118)+6)&gt;YEAR(E118),1,(12-MONTH(E118)+1)/12))))-((P118)*(IF((YEAR(D118)+6)&lt;YEAR(E118),0,IF((YEAR(D118)+6)&gt;YEAR(E118),1,(12-MONTH(E118)+1)/12))) + (R118)*(IF((YEAR(D118)+6)&lt;YEAR(E118),0,IF((YEAR(D118)+6)&gt;YEAR(E118),1,(12-MONTH(E118)+1)/12))))-(IF((((K118)*(IF(M118="",L118,IFERROR(IF(INDEX(Variablen!$I:$AT, MATCH(M118, Variablen!$A:$A, 0), MATCH((YEAR(D118)+6), Variablen!$I$3:$AT$3, 0))="",L118,INDEX(Variablen!$I:$AT, MATCH(M118, Variablen!$A:$A, 0), MATCH((YEAR(D118)+6), Variablen!$I$3:$AT$3, 0))),L118)))*(IF((YEAR(D118)+6)&lt;YEAR(E118),0,IF((YEAR(D118)+6)&gt;YEAR(E118),1,(12-MONTH(E118)+1)/12))) + (Q118)*(IF((YEAR(D118)+6)&lt;YEAR(E118),0,IF((YEAR(D118)+6)&gt;YEAR(E118),1,(12-MONTH(E118)+1)/12))))-((P118)*(IF((YEAR(D118)+6)&lt;YEAR(E118),0,IF((YEAR(D118)+6)&gt;YEAR(E118),1,(12-MONTH(E118)+1)/12))) + (R118)*(IF((YEAR(D118)+6)&lt;YEAR(E118),0,IF((YEAR(D118)+6)&gt;YEAR(E118),1,(12-MONTH(E118)+1)/12))))-(IF(OR(N118="",N118&lt;=0),0,(O118/N118)*(IF(OR(N118="",N118&lt;=0),0,IF((YEAR(D118)+6)&lt;YEAR(E118),0,IF((YEAR(D118)+6)&gt;=YEAR(E118)+N118,0,IF((YEAR(D118)+6)=YEAR(E118),(12-MONTH(E118)+1)/12,1))))))))&gt;0,(((K118)*(IF(M118="",L118,IFERROR(IF(INDEX(Variablen!$I:$AT, MATCH(M118, Variablen!$A:$A, 0), MATCH((YEAR(D118)+6), Variablen!$I$3:$AT$3, 0))="",L118,INDEX(Variablen!$I:$AT, MATCH(M118, Variablen!$A:$A, 0), MATCH((YEAR(D118)+6), Variablen!$I$3:$AT$3, 0))),L118)))*(IF((YEAR(D118)+6)&lt;YEAR(E118),0,IF((YEAR(D118)+6)&gt;YEAR(E118),1,(12-MONTH(E118)+1)/12))) + (Q118)*(IF((YEAR(D118)+6)&lt;YEAR(E118),0,IF((YEAR(D118)+6)&gt;YEAR(E118),1,(12-MONTH(E118)+1)/12))))-((P118)*(IF((YEAR(D118)+6)&lt;YEAR(E118),0,IF((YEAR(D118)+6)&gt;YEAR(E118),1,(12-MONTH(E118)+1)/12))) + (R118)*(IF((YEAR(D118)+6)&lt;YEAR(E118),0,IF((YEAR(D118)+6)&gt;YEAR(E118),1,(12-MONTH(E118)+1)/12))))-(IF(OR(N118="",N118&lt;=0),0,(O118/N118)*(IF(OR(N118="",N118&lt;=0),0,IF((YEAR(D118)+6)&lt;YEAR(E118),0,IF((YEAR(D118)+6)&gt;=YEAR(E118)+N118,0,IF((YEAR(D118)+6)=YEAR(E118),(12-MONTH(E118)+1)/12,1))))))))*TaxRate,0))-IF(6=0,O118,0))</f>
        <v/>
      </c>
      <c r="Z118" s="29">
        <f>IF(A118="","",((K118)*(IF(M118="",L118,IFERROR(IF(INDEX(Variablen!$I:$AT, MATCH(M118, Variablen!$A:$A, 0), MATCH((YEAR(D118)+7), Variablen!$I$3:$AT$3, 0))="",L118,INDEX(Variablen!$I:$AT, MATCH(M118, Variablen!$A:$A, 0), MATCH((YEAR(D118)+7), Variablen!$I$3:$AT$3, 0))),L118)))*(IF((YEAR(D118)+7)&lt;YEAR(E118),0,IF((YEAR(D118)+7)&gt;YEAR(E118),1,(12-MONTH(E118)+1)/12))) + (Q118)*(IF((YEAR(D118)+7)&lt;YEAR(E118),0,IF((YEAR(D118)+7)&gt;YEAR(E118),1,(12-MONTH(E118)+1)/12))))-((P118)*(IF((YEAR(D118)+7)&lt;YEAR(E118),0,IF((YEAR(D118)+7)&gt;YEAR(E118),1,(12-MONTH(E118)+1)/12))) + (R118)*(IF((YEAR(D118)+7)&lt;YEAR(E118),0,IF((YEAR(D118)+7)&gt;YEAR(E118),1,(12-MONTH(E118)+1)/12))))-(IF((((K118)*(IF(M118="",L118,IFERROR(IF(INDEX(Variablen!$I:$AT, MATCH(M118, Variablen!$A:$A, 0), MATCH((YEAR(D118)+7), Variablen!$I$3:$AT$3, 0))="",L118,INDEX(Variablen!$I:$AT, MATCH(M118, Variablen!$A:$A, 0), MATCH((YEAR(D118)+7), Variablen!$I$3:$AT$3, 0))),L118)))*(IF((YEAR(D118)+7)&lt;YEAR(E118),0,IF((YEAR(D118)+7)&gt;YEAR(E118),1,(12-MONTH(E118)+1)/12))) + (Q118)*(IF((YEAR(D118)+7)&lt;YEAR(E118),0,IF((YEAR(D118)+7)&gt;YEAR(E118),1,(12-MONTH(E118)+1)/12))))-((P118)*(IF((YEAR(D118)+7)&lt;YEAR(E118),0,IF((YEAR(D118)+7)&gt;YEAR(E118),1,(12-MONTH(E118)+1)/12))) + (R118)*(IF((YEAR(D118)+7)&lt;YEAR(E118),0,IF((YEAR(D118)+7)&gt;YEAR(E118),1,(12-MONTH(E118)+1)/12))))-(IF(OR(N118="",N118&lt;=0),0,(O118/N118)*(IF(OR(N118="",N118&lt;=0),0,IF((YEAR(D118)+7)&lt;YEAR(E118),0,IF((YEAR(D118)+7)&gt;=YEAR(E118)+N118,0,IF((YEAR(D118)+7)=YEAR(E118),(12-MONTH(E118)+1)/12,1))))))))&gt;0,(((K118)*(IF(M118="",L118,IFERROR(IF(INDEX(Variablen!$I:$AT, MATCH(M118, Variablen!$A:$A, 0), MATCH((YEAR(D118)+7), Variablen!$I$3:$AT$3, 0))="",L118,INDEX(Variablen!$I:$AT, MATCH(M118, Variablen!$A:$A, 0), MATCH((YEAR(D118)+7), Variablen!$I$3:$AT$3, 0))),L118)))*(IF((YEAR(D118)+7)&lt;YEAR(E118),0,IF((YEAR(D118)+7)&gt;YEAR(E118),1,(12-MONTH(E118)+1)/12))) + (Q118)*(IF((YEAR(D118)+7)&lt;YEAR(E118),0,IF((YEAR(D118)+7)&gt;YEAR(E118),1,(12-MONTH(E118)+1)/12))))-((P118)*(IF((YEAR(D118)+7)&lt;YEAR(E118),0,IF((YEAR(D118)+7)&gt;YEAR(E118),1,(12-MONTH(E118)+1)/12))) + (R118)*(IF((YEAR(D118)+7)&lt;YEAR(E118),0,IF((YEAR(D118)+7)&gt;YEAR(E118),1,(12-MONTH(E118)+1)/12))))-(IF(OR(N118="",N118&lt;=0),0,(O118/N118)*(IF(OR(N118="",N118&lt;=0),0,IF((YEAR(D118)+7)&lt;YEAR(E118),0,IF((YEAR(D118)+7)&gt;=YEAR(E118)+N118,0,IF((YEAR(D118)+7)=YEAR(E118),(12-MONTH(E118)+1)/12,1))))))))*TaxRate,0))-IF(7=0,O118,0))</f>
        <v/>
      </c>
      <c r="AA118" s="29">
        <f>IF(A118="","",((K118)*(IF(M118="",L118,IFERROR(IF(INDEX(Variablen!$I:$AT, MATCH(M118, Variablen!$A:$A, 0), MATCH((YEAR(D118)+8), Variablen!$I$3:$AT$3, 0))="",L118,INDEX(Variablen!$I:$AT, MATCH(M118, Variablen!$A:$A, 0), MATCH((YEAR(D118)+8), Variablen!$I$3:$AT$3, 0))),L118)))*(IF((YEAR(D118)+8)&lt;YEAR(E118),0,IF((YEAR(D118)+8)&gt;YEAR(E118),1,(12-MONTH(E118)+1)/12))) + (Q118)*(IF((YEAR(D118)+8)&lt;YEAR(E118),0,IF((YEAR(D118)+8)&gt;YEAR(E118),1,(12-MONTH(E118)+1)/12))))-((P118)*(IF((YEAR(D118)+8)&lt;YEAR(E118),0,IF((YEAR(D118)+8)&gt;YEAR(E118),1,(12-MONTH(E118)+1)/12))) + (R118)*(IF((YEAR(D118)+8)&lt;YEAR(E118),0,IF((YEAR(D118)+8)&gt;YEAR(E118),1,(12-MONTH(E118)+1)/12))))-(IF((((K118)*(IF(M118="",L118,IFERROR(IF(INDEX(Variablen!$I:$AT, MATCH(M118, Variablen!$A:$A, 0), MATCH((YEAR(D118)+8), Variablen!$I$3:$AT$3, 0))="",L118,INDEX(Variablen!$I:$AT, MATCH(M118, Variablen!$A:$A, 0), MATCH((YEAR(D118)+8), Variablen!$I$3:$AT$3, 0))),L118)))*(IF((YEAR(D118)+8)&lt;YEAR(E118),0,IF((YEAR(D118)+8)&gt;YEAR(E118),1,(12-MONTH(E118)+1)/12))) + (Q118)*(IF((YEAR(D118)+8)&lt;YEAR(E118),0,IF((YEAR(D118)+8)&gt;YEAR(E118),1,(12-MONTH(E118)+1)/12))))-((P118)*(IF((YEAR(D118)+8)&lt;YEAR(E118),0,IF((YEAR(D118)+8)&gt;YEAR(E118),1,(12-MONTH(E118)+1)/12))) + (R118)*(IF((YEAR(D118)+8)&lt;YEAR(E118),0,IF((YEAR(D118)+8)&gt;YEAR(E118),1,(12-MONTH(E118)+1)/12))))-(IF(OR(N118="",N118&lt;=0),0,(O118/N118)*(IF(OR(N118="",N118&lt;=0),0,IF((YEAR(D118)+8)&lt;YEAR(E118),0,IF((YEAR(D118)+8)&gt;=YEAR(E118)+N118,0,IF((YEAR(D118)+8)=YEAR(E118),(12-MONTH(E118)+1)/12,1))))))))&gt;0,(((K118)*(IF(M118="",L118,IFERROR(IF(INDEX(Variablen!$I:$AT, MATCH(M118, Variablen!$A:$A, 0), MATCH((YEAR(D118)+8), Variablen!$I$3:$AT$3, 0))="",L118,INDEX(Variablen!$I:$AT, MATCH(M118, Variablen!$A:$A, 0), MATCH((YEAR(D118)+8), Variablen!$I$3:$AT$3, 0))),L118)))*(IF((YEAR(D118)+8)&lt;YEAR(E118),0,IF((YEAR(D118)+8)&gt;YEAR(E118),1,(12-MONTH(E118)+1)/12))) + (Q118)*(IF((YEAR(D118)+8)&lt;YEAR(E118),0,IF((YEAR(D118)+8)&gt;YEAR(E118),1,(12-MONTH(E118)+1)/12))))-((P118)*(IF((YEAR(D118)+8)&lt;YEAR(E118),0,IF((YEAR(D118)+8)&gt;YEAR(E118),1,(12-MONTH(E118)+1)/12))) + (R118)*(IF((YEAR(D118)+8)&lt;YEAR(E118),0,IF((YEAR(D118)+8)&gt;YEAR(E118),1,(12-MONTH(E118)+1)/12))))-(IF(OR(N118="",N118&lt;=0),0,(O118/N118)*(IF(OR(N118="",N118&lt;=0),0,IF((YEAR(D118)+8)&lt;YEAR(E118),0,IF((YEAR(D118)+8)&gt;=YEAR(E118)+N118,0,IF((YEAR(D118)+8)=YEAR(E118),(12-MONTH(E118)+1)/12,1))))))))*TaxRate,0))-IF(8=0,O118,0))</f>
        <v/>
      </c>
      <c r="AB118" s="29">
        <f>IF(A118="","",((K118)*(IF(M118="",L118,IFERROR(IF(INDEX(Variablen!$I:$AT, MATCH(M118, Variablen!$A:$A, 0), MATCH((YEAR(D118)+9), Variablen!$I$3:$AT$3, 0))="",L118,INDEX(Variablen!$I:$AT, MATCH(M118, Variablen!$A:$A, 0), MATCH((YEAR(D118)+9), Variablen!$I$3:$AT$3, 0))),L118)))*(IF((YEAR(D118)+9)&lt;YEAR(E118),0,IF((YEAR(D118)+9)&gt;YEAR(E118),1,(12-MONTH(E118)+1)/12))) + (Q118)*(IF((YEAR(D118)+9)&lt;YEAR(E118),0,IF((YEAR(D118)+9)&gt;YEAR(E118),1,(12-MONTH(E118)+1)/12))))-((P118)*(IF((YEAR(D118)+9)&lt;YEAR(E118),0,IF((YEAR(D118)+9)&gt;YEAR(E118),1,(12-MONTH(E118)+1)/12))) + (R118)*(IF((YEAR(D118)+9)&lt;YEAR(E118),0,IF((YEAR(D118)+9)&gt;YEAR(E118),1,(12-MONTH(E118)+1)/12))))-(IF((((K118)*(IF(M118="",L118,IFERROR(IF(INDEX(Variablen!$I:$AT, MATCH(M118, Variablen!$A:$A, 0), MATCH((YEAR(D118)+9), Variablen!$I$3:$AT$3, 0))="",L118,INDEX(Variablen!$I:$AT, MATCH(M118, Variablen!$A:$A, 0), MATCH((YEAR(D118)+9), Variablen!$I$3:$AT$3, 0))),L118)))*(IF((YEAR(D118)+9)&lt;YEAR(E118),0,IF((YEAR(D118)+9)&gt;YEAR(E118),1,(12-MONTH(E118)+1)/12))) + (Q118)*(IF((YEAR(D118)+9)&lt;YEAR(E118),0,IF((YEAR(D118)+9)&gt;YEAR(E118),1,(12-MONTH(E118)+1)/12))))-((P118)*(IF((YEAR(D118)+9)&lt;YEAR(E118),0,IF((YEAR(D118)+9)&gt;YEAR(E118),1,(12-MONTH(E118)+1)/12))) + (R118)*(IF((YEAR(D118)+9)&lt;YEAR(E118),0,IF((YEAR(D118)+9)&gt;YEAR(E118),1,(12-MONTH(E118)+1)/12))))-(IF(OR(N118="",N118&lt;=0),0,(O118/N118)*(IF(OR(N118="",N118&lt;=0),0,IF((YEAR(D118)+9)&lt;YEAR(E118),0,IF((YEAR(D118)+9)&gt;=YEAR(E118)+N118,0,IF((YEAR(D118)+9)=YEAR(E118),(12-MONTH(E118)+1)/12,1))))))))&gt;0,(((K118)*(IF(M118="",L118,IFERROR(IF(INDEX(Variablen!$I:$AT, MATCH(M118, Variablen!$A:$A, 0), MATCH((YEAR(D118)+9), Variablen!$I$3:$AT$3, 0))="",L118,INDEX(Variablen!$I:$AT, MATCH(M118, Variablen!$A:$A, 0), MATCH((YEAR(D118)+9), Variablen!$I$3:$AT$3, 0))),L118)))*(IF((YEAR(D118)+9)&lt;YEAR(E118),0,IF((YEAR(D118)+9)&gt;YEAR(E118),1,(12-MONTH(E118)+1)/12))) + (Q118)*(IF((YEAR(D118)+9)&lt;YEAR(E118),0,IF((YEAR(D118)+9)&gt;YEAR(E118),1,(12-MONTH(E118)+1)/12))))-((P118)*(IF((YEAR(D118)+9)&lt;YEAR(E118),0,IF((YEAR(D118)+9)&gt;YEAR(E118),1,(12-MONTH(E118)+1)/12))) + (R118)*(IF((YEAR(D118)+9)&lt;YEAR(E118),0,IF((YEAR(D118)+9)&gt;YEAR(E118),1,(12-MONTH(E118)+1)/12))))-(IF(OR(N118="",N118&lt;=0),0,(O118/N118)*(IF(OR(N118="",N118&lt;=0),0,IF((YEAR(D118)+9)&lt;YEAR(E118),0,IF((YEAR(D118)+9)&gt;=YEAR(E118)+N118,0,IF((YEAR(D118)+9)=YEAR(E118),(12-MONTH(E118)+1)/12,1))))))))*TaxRate,0))-IF(9=0,O118,0))</f>
        <v/>
      </c>
      <c r="AC118" s="29">
        <f>IF(A118="","",((K118)*(IF(M118="",L118,IFERROR(IF(INDEX(Variablen!$I:$AT, MATCH(M118, Variablen!$A:$A, 0), MATCH((YEAR(D118)+10), Variablen!$I$3:$AT$3, 0))="",L118,INDEX(Variablen!$I:$AT, MATCH(M118, Variablen!$A:$A, 0), MATCH((YEAR(D118)+10), Variablen!$I$3:$AT$3, 0))),L118)))*(IF((YEAR(D118)+10)&lt;YEAR(E118),0,IF((YEAR(D118)+10)&gt;YEAR(E118),1,(12-MONTH(E118)+1)/12))) + (Q118)*(IF((YEAR(D118)+10)&lt;YEAR(E118),0,IF((YEAR(D118)+10)&gt;YEAR(E118),1,(12-MONTH(E118)+1)/12))))-((P118)*(IF((YEAR(D118)+10)&lt;YEAR(E118),0,IF((YEAR(D118)+10)&gt;YEAR(E118),1,(12-MONTH(E118)+1)/12))) + (R118)*(IF((YEAR(D118)+10)&lt;YEAR(E118),0,IF((YEAR(D118)+10)&gt;YEAR(E118),1,(12-MONTH(E118)+1)/12))))-(IF((((K118)*(IF(M118="",L118,IFERROR(IF(INDEX(Variablen!$I:$AT, MATCH(M118, Variablen!$A:$A, 0), MATCH((YEAR(D118)+10), Variablen!$I$3:$AT$3, 0))="",L118,INDEX(Variablen!$I:$AT, MATCH(M118, Variablen!$A:$A, 0), MATCH((YEAR(D118)+10), Variablen!$I$3:$AT$3, 0))),L118)))*(IF((YEAR(D118)+10)&lt;YEAR(E118),0,IF((YEAR(D118)+10)&gt;YEAR(E118),1,(12-MONTH(E118)+1)/12))) + (Q118)*(IF((YEAR(D118)+10)&lt;YEAR(E118),0,IF((YEAR(D118)+10)&gt;YEAR(E118),1,(12-MONTH(E118)+1)/12))))-((P118)*(IF((YEAR(D118)+10)&lt;YEAR(E118),0,IF((YEAR(D118)+10)&gt;YEAR(E118),1,(12-MONTH(E118)+1)/12))) + (R118)*(IF((YEAR(D118)+10)&lt;YEAR(E118),0,IF((YEAR(D118)+10)&gt;YEAR(E118),1,(12-MONTH(E118)+1)/12))))-(IF(OR(N118="",N118&lt;=0),0,(O118/N118)*(IF(OR(N118="",N118&lt;=0),0,IF((YEAR(D118)+10)&lt;YEAR(E118),0,IF((YEAR(D118)+10)&gt;=YEAR(E118)+N118,0,IF((YEAR(D118)+10)=YEAR(E118),(12-MONTH(E118)+1)/12,1))))))))&gt;0,(((K118)*(IF(M118="",L118,IFERROR(IF(INDEX(Variablen!$I:$AT, MATCH(M118, Variablen!$A:$A, 0), MATCH((YEAR(D118)+10), Variablen!$I$3:$AT$3, 0))="",L118,INDEX(Variablen!$I:$AT, MATCH(M118, Variablen!$A:$A, 0), MATCH((YEAR(D118)+10), Variablen!$I$3:$AT$3, 0))),L118)))*(IF((YEAR(D118)+10)&lt;YEAR(E118),0,IF((YEAR(D118)+10)&gt;YEAR(E118),1,(12-MONTH(E118)+1)/12))) + (Q118)*(IF((YEAR(D118)+10)&lt;YEAR(E118),0,IF((YEAR(D118)+10)&gt;YEAR(E118),1,(12-MONTH(E118)+1)/12))))-((P118)*(IF((YEAR(D118)+10)&lt;YEAR(E118),0,IF((YEAR(D118)+10)&gt;YEAR(E118),1,(12-MONTH(E118)+1)/12))) + (R118)*(IF((YEAR(D118)+10)&lt;YEAR(E118),0,IF((YEAR(D118)+10)&gt;YEAR(E118),1,(12-MONTH(E118)+1)/12))))-(IF(OR(N118="",N118&lt;=0),0,(O118/N118)*(IF(OR(N118="",N118&lt;=0),0,IF((YEAR(D118)+10)&lt;YEAR(E118),0,IF((YEAR(D118)+10)&gt;=YEAR(E118)+N118,0,IF((YEAR(D118)+10)=YEAR(E118),(12-MONTH(E118)+1)/12,1))))))))*TaxRate,0))-IF(10=0,O118,0))</f>
        <v/>
      </c>
      <c r="AD118" s="29">
        <f>IF(A118="","",((K118)*(IF(M118="",L118,IFERROR(IF(INDEX(Variablen!$I:$AT, MATCH(M118, Variablen!$A:$A, 0), MATCH((YEAR(D118)+11), Variablen!$I$3:$AT$3, 0))="",L118,INDEX(Variablen!$I:$AT, MATCH(M118, Variablen!$A:$A, 0), MATCH((YEAR(D118)+11), Variablen!$I$3:$AT$3, 0))),L118)))*(IF((YEAR(D118)+11)&lt;YEAR(E118),0,IF((YEAR(D118)+11)&gt;YEAR(E118),1,(12-MONTH(E118)+1)/12))) + (Q118)*(IF((YEAR(D118)+11)&lt;YEAR(E118),0,IF((YEAR(D118)+11)&gt;YEAR(E118),1,(12-MONTH(E118)+1)/12))))-((P118)*(IF((YEAR(D118)+11)&lt;YEAR(E118),0,IF((YEAR(D118)+11)&gt;YEAR(E118),1,(12-MONTH(E118)+1)/12))) + (R118)*(IF((YEAR(D118)+11)&lt;YEAR(E118),0,IF((YEAR(D118)+11)&gt;YEAR(E118),1,(12-MONTH(E118)+1)/12))))-(IF((((K118)*(IF(M118="",L118,IFERROR(IF(INDEX(Variablen!$I:$AT, MATCH(M118, Variablen!$A:$A, 0), MATCH((YEAR(D118)+11), Variablen!$I$3:$AT$3, 0))="",L118,INDEX(Variablen!$I:$AT, MATCH(M118, Variablen!$A:$A, 0), MATCH((YEAR(D118)+11), Variablen!$I$3:$AT$3, 0))),L118)))*(IF((YEAR(D118)+11)&lt;YEAR(E118),0,IF((YEAR(D118)+11)&gt;YEAR(E118),1,(12-MONTH(E118)+1)/12))) + (Q118)*(IF((YEAR(D118)+11)&lt;YEAR(E118),0,IF((YEAR(D118)+11)&gt;YEAR(E118),1,(12-MONTH(E118)+1)/12))))-((P118)*(IF((YEAR(D118)+11)&lt;YEAR(E118),0,IF((YEAR(D118)+11)&gt;YEAR(E118),1,(12-MONTH(E118)+1)/12))) + (R118)*(IF((YEAR(D118)+11)&lt;YEAR(E118),0,IF((YEAR(D118)+11)&gt;YEAR(E118),1,(12-MONTH(E118)+1)/12))))-(IF(OR(N118="",N118&lt;=0),0,(O118/N118)*(IF(OR(N118="",N118&lt;=0),0,IF((YEAR(D118)+11)&lt;YEAR(E118),0,IF((YEAR(D118)+11)&gt;=YEAR(E118)+N118,0,IF((YEAR(D118)+11)=YEAR(E118),(12-MONTH(E118)+1)/12,1))))))))&gt;0,(((K118)*(IF(M118="",L118,IFERROR(IF(INDEX(Variablen!$I:$AT, MATCH(M118, Variablen!$A:$A, 0), MATCH((YEAR(D118)+11), Variablen!$I$3:$AT$3, 0))="",L118,INDEX(Variablen!$I:$AT, MATCH(M118, Variablen!$A:$A, 0), MATCH((YEAR(D118)+11), Variablen!$I$3:$AT$3, 0))),L118)))*(IF((YEAR(D118)+11)&lt;YEAR(E118),0,IF((YEAR(D118)+11)&gt;YEAR(E118),1,(12-MONTH(E118)+1)/12))) + (Q118)*(IF((YEAR(D118)+11)&lt;YEAR(E118),0,IF((YEAR(D118)+11)&gt;YEAR(E118),1,(12-MONTH(E118)+1)/12))))-((P118)*(IF((YEAR(D118)+11)&lt;YEAR(E118),0,IF((YEAR(D118)+11)&gt;YEAR(E118),1,(12-MONTH(E118)+1)/12))) + (R118)*(IF((YEAR(D118)+11)&lt;YEAR(E118),0,IF((YEAR(D118)+11)&gt;YEAR(E118),1,(12-MONTH(E118)+1)/12))))-(IF(OR(N118="",N118&lt;=0),0,(O118/N118)*(IF(OR(N118="",N118&lt;=0),0,IF((YEAR(D118)+11)&lt;YEAR(E118),0,IF((YEAR(D118)+11)&gt;=YEAR(E118)+N118,0,IF((YEAR(D118)+11)=YEAR(E118),(12-MONTH(E118)+1)/12,1))))))))*TaxRate,0))-IF(11=0,O118,0))</f>
        <v/>
      </c>
      <c r="AE118" s="29">
        <f>IF(A118="","",((K118)*(IF(M118="",L118,IFERROR(IF(INDEX(Variablen!$I:$AT, MATCH(M118, Variablen!$A:$A, 0), MATCH((YEAR(D118)+12), Variablen!$I$3:$AT$3, 0))="",L118,INDEX(Variablen!$I:$AT, MATCH(M118, Variablen!$A:$A, 0), MATCH((YEAR(D118)+12), Variablen!$I$3:$AT$3, 0))),L118)))*(IF((YEAR(D118)+12)&lt;YEAR(E118),0,IF((YEAR(D118)+12)&gt;YEAR(E118),1,(12-MONTH(E118)+1)/12))) + (Q118)*(IF((YEAR(D118)+12)&lt;YEAR(E118),0,IF((YEAR(D118)+12)&gt;YEAR(E118),1,(12-MONTH(E118)+1)/12))))-((P118)*(IF((YEAR(D118)+12)&lt;YEAR(E118),0,IF((YEAR(D118)+12)&gt;YEAR(E118),1,(12-MONTH(E118)+1)/12))) + (R118)*(IF((YEAR(D118)+12)&lt;YEAR(E118),0,IF((YEAR(D118)+12)&gt;YEAR(E118),1,(12-MONTH(E118)+1)/12))))-(IF((((K118)*(IF(M118="",L118,IFERROR(IF(INDEX(Variablen!$I:$AT, MATCH(M118, Variablen!$A:$A, 0), MATCH((YEAR(D118)+12), Variablen!$I$3:$AT$3, 0))="",L118,INDEX(Variablen!$I:$AT, MATCH(M118, Variablen!$A:$A, 0), MATCH((YEAR(D118)+12), Variablen!$I$3:$AT$3, 0))),L118)))*(IF((YEAR(D118)+12)&lt;YEAR(E118),0,IF((YEAR(D118)+12)&gt;YEAR(E118),1,(12-MONTH(E118)+1)/12))) + (Q118)*(IF((YEAR(D118)+12)&lt;YEAR(E118),0,IF((YEAR(D118)+12)&gt;YEAR(E118),1,(12-MONTH(E118)+1)/12))))-((P118)*(IF((YEAR(D118)+12)&lt;YEAR(E118),0,IF((YEAR(D118)+12)&gt;YEAR(E118),1,(12-MONTH(E118)+1)/12))) + (R118)*(IF((YEAR(D118)+12)&lt;YEAR(E118),0,IF((YEAR(D118)+12)&gt;YEAR(E118),1,(12-MONTH(E118)+1)/12))))-(IF(OR(N118="",N118&lt;=0),0,(O118/N118)*(IF(OR(N118="",N118&lt;=0),0,IF((YEAR(D118)+12)&lt;YEAR(E118),0,IF((YEAR(D118)+12)&gt;=YEAR(E118)+N118,0,IF((YEAR(D118)+12)=YEAR(E118),(12-MONTH(E118)+1)/12,1))))))))&gt;0,(((K118)*(IF(M118="",L118,IFERROR(IF(INDEX(Variablen!$I:$AT, MATCH(M118, Variablen!$A:$A, 0), MATCH((YEAR(D118)+12), Variablen!$I$3:$AT$3, 0))="",L118,INDEX(Variablen!$I:$AT, MATCH(M118, Variablen!$A:$A, 0), MATCH((YEAR(D118)+12), Variablen!$I$3:$AT$3, 0))),L118)))*(IF((YEAR(D118)+12)&lt;YEAR(E118),0,IF((YEAR(D118)+12)&gt;YEAR(E118),1,(12-MONTH(E118)+1)/12))) + (Q118)*(IF((YEAR(D118)+12)&lt;YEAR(E118),0,IF((YEAR(D118)+12)&gt;YEAR(E118),1,(12-MONTH(E118)+1)/12))))-((P118)*(IF((YEAR(D118)+12)&lt;YEAR(E118),0,IF((YEAR(D118)+12)&gt;YEAR(E118),1,(12-MONTH(E118)+1)/12))) + (R118)*(IF((YEAR(D118)+12)&lt;YEAR(E118),0,IF((YEAR(D118)+12)&gt;YEAR(E118),1,(12-MONTH(E118)+1)/12))))-(IF(OR(N118="",N118&lt;=0),0,(O118/N118)*(IF(OR(N118="",N118&lt;=0),0,IF((YEAR(D118)+12)&lt;YEAR(E118),0,IF((YEAR(D118)+12)&gt;=YEAR(E118)+N118,0,IF((YEAR(D118)+12)=YEAR(E118),(12-MONTH(E118)+1)/12,1))))))))*TaxRate,0))-IF(12=0,O118,0))</f>
        <v/>
      </c>
      <c r="AF118" s="29">
        <f>IF(A118="","",((K118)*(IF(M118="",L118,IFERROR(IF(INDEX(Variablen!$I:$AT, MATCH(M118, Variablen!$A:$A, 0), MATCH((YEAR(D118)+13), Variablen!$I$3:$AT$3, 0))="",L118,INDEX(Variablen!$I:$AT, MATCH(M118, Variablen!$A:$A, 0), MATCH((YEAR(D118)+13), Variablen!$I$3:$AT$3, 0))),L118)))*(IF((YEAR(D118)+13)&lt;YEAR(E118),0,IF((YEAR(D118)+13)&gt;YEAR(E118),1,(12-MONTH(E118)+1)/12))) + (Q118)*(IF((YEAR(D118)+13)&lt;YEAR(E118),0,IF((YEAR(D118)+13)&gt;YEAR(E118),1,(12-MONTH(E118)+1)/12))))-((P118)*(IF((YEAR(D118)+13)&lt;YEAR(E118),0,IF((YEAR(D118)+13)&gt;YEAR(E118),1,(12-MONTH(E118)+1)/12))) + (R118)*(IF((YEAR(D118)+13)&lt;YEAR(E118),0,IF((YEAR(D118)+13)&gt;YEAR(E118),1,(12-MONTH(E118)+1)/12))))-(IF((((K118)*(IF(M118="",L118,IFERROR(IF(INDEX(Variablen!$I:$AT, MATCH(M118, Variablen!$A:$A, 0), MATCH((YEAR(D118)+13), Variablen!$I$3:$AT$3, 0))="",L118,INDEX(Variablen!$I:$AT, MATCH(M118, Variablen!$A:$A, 0), MATCH((YEAR(D118)+13), Variablen!$I$3:$AT$3, 0))),L118)))*(IF((YEAR(D118)+13)&lt;YEAR(E118),0,IF((YEAR(D118)+13)&gt;YEAR(E118),1,(12-MONTH(E118)+1)/12))) + (Q118)*(IF((YEAR(D118)+13)&lt;YEAR(E118),0,IF((YEAR(D118)+13)&gt;YEAR(E118),1,(12-MONTH(E118)+1)/12))))-((P118)*(IF((YEAR(D118)+13)&lt;YEAR(E118),0,IF((YEAR(D118)+13)&gt;YEAR(E118),1,(12-MONTH(E118)+1)/12))) + (R118)*(IF((YEAR(D118)+13)&lt;YEAR(E118),0,IF((YEAR(D118)+13)&gt;YEAR(E118),1,(12-MONTH(E118)+1)/12))))-(IF(OR(N118="",N118&lt;=0),0,(O118/N118)*(IF(OR(N118="",N118&lt;=0),0,IF((YEAR(D118)+13)&lt;YEAR(E118),0,IF((YEAR(D118)+13)&gt;=YEAR(E118)+N118,0,IF((YEAR(D118)+13)=YEAR(E118),(12-MONTH(E118)+1)/12,1))))))))&gt;0,(((K118)*(IF(M118="",L118,IFERROR(IF(INDEX(Variablen!$I:$AT, MATCH(M118, Variablen!$A:$A, 0), MATCH((YEAR(D118)+13), Variablen!$I$3:$AT$3, 0))="",L118,INDEX(Variablen!$I:$AT, MATCH(M118, Variablen!$A:$A, 0), MATCH((YEAR(D118)+13), Variablen!$I$3:$AT$3, 0))),L118)))*(IF((YEAR(D118)+13)&lt;YEAR(E118),0,IF((YEAR(D118)+13)&gt;YEAR(E118),1,(12-MONTH(E118)+1)/12))) + (Q118)*(IF((YEAR(D118)+13)&lt;YEAR(E118),0,IF((YEAR(D118)+13)&gt;YEAR(E118),1,(12-MONTH(E118)+1)/12))))-((P118)*(IF((YEAR(D118)+13)&lt;YEAR(E118),0,IF((YEAR(D118)+13)&gt;YEAR(E118),1,(12-MONTH(E118)+1)/12))) + (R118)*(IF((YEAR(D118)+13)&lt;YEAR(E118),0,IF((YEAR(D118)+13)&gt;YEAR(E118),1,(12-MONTH(E118)+1)/12))))-(IF(OR(N118="",N118&lt;=0),0,(O118/N118)*(IF(OR(N118="",N118&lt;=0),0,IF((YEAR(D118)+13)&lt;YEAR(E118),0,IF((YEAR(D118)+13)&gt;=YEAR(E118)+N118,0,IF((YEAR(D118)+13)=YEAR(E118),(12-MONTH(E118)+1)/12,1))))))))*TaxRate,0))-IF(13=0,O118,0))</f>
        <v/>
      </c>
      <c r="AG118" s="29">
        <f>IF(A118="","",((K118)*(IF(M118="",L118,IFERROR(IF(INDEX(Variablen!$I:$AT, MATCH(M118, Variablen!$A:$A, 0), MATCH((YEAR(D118)+14), Variablen!$I$3:$AT$3, 0))="",L118,INDEX(Variablen!$I:$AT, MATCH(M118, Variablen!$A:$A, 0), MATCH((YEAR(D118)+14), Variablen!$I$3:$AT$3, 0))),L118)))*(IF((YEAR(D118)+14)&lt;YEAR(E118),0,IF((YEAR(D118)+14)&gt;YEAR(E118),1,(12-MONTH(E118)+1)/12))) + (Q118)*(IF((YEAR(D118)+14)&lt;YEAR(E118),0,IF((YEAR(D118)+14)&gt;YEAR(E118),1,(12-MONTH(E118)+1)/12))))-((P118)*(IF((YEAR(D118)+14)&lt;YEAR(E118),0,IF((YEAR(D118)+14)&gt;YEAR(E118),1,(12-MONTH(E118)+1)/12))) + (R118)*(IF((YEAR(D118)+14)&lt;YEAR(E118),0,IF((YEAR(D118)+14)&gt;YEAR(E118),1,(12-MONTH(E118)+1)/12))))-(IF((((K118)*(IF(M118="",L118,IFERROR(IF(INDEX(Variablen!$I:$AT, MATCH(M118, Variablen!$A:$A, 0), MATCH((YEAR(D118)+14), Variablen!$I$3:$AT$3, 0))="",L118,INDEX(Variablen!$I:$AT, MATCH(M118, Variablen!$A:$A, 0), MATCH((YEAR(D118)+14), Variablen!$I$3:$AT$3, 0))),L118)))*(IF((YEAR(D118)+14)&lt;YEAR(E118),0,IF((YEAR(D118)+14)&gt;YEAR(E118),1,(12-MONTH(E118)+1)/12))) + (Q118)*(IF((YEAR(D118)+14)&lt;YEAR(E118),0,IF((YEAR(D118)+14)&gt;YEAR(E118),1,(12-MONTH(E118)+1)/12))))-((P118)*(IF((YEAR(D118)+14)&lt;YEAR(E118),0,IF((YEAR(D118)+14)&gt;YEAR(E118),1,(12-MONTH(E118)+1)/12))) + (R118)*(IF((YEAR(D118)+14)&lt;YEAR(E118),0,IF((YEAR(D118)+14)&gt;YEAR(E118),1,(12-MONTH(E118)+1)/12))))-(IF(OR(N118="",N118&lt;=0),0,(O118/N118)*(IF(OR(N118="",N118&lt;=0),0,IF((YEAR(D118)+14)&lt;YEAR(E118),0,IF((YEAR(D118)+14)&gt;=YEAR(E118)+N118,0,IF((YEAR(D118)+14)=YEAR(E118),(12-MONTH(E118)+1)/12,1))))))))&gt;0,(((K118)*(IF(M118="",L118,IFERROR(IF(INDEX(Variablen!$I:$AT, MATCH(M118, Variablen!$A:$A, 0), MATCH((YEAR(D118)+14), Variablen!$I$3:$AT$3, 0))="",L118,INDEX(Variablen!$I:$AT, MATCH(M118, Variablen!$A:$A, 0), MATCH((YEAR(D118)+14), Variablen!$I$3:$AT$3, 0))),L118)))*(IF((YEAR(D118)+14)&lt;YEAR(E118),0,IF((YEAR(D118)+14)&gt;YEAR(E118),1,(12-MONTH(E118)+1)/12))) + (Q118)*(IF((YEAR(D118)+14)&lt;YEAR(E118),0,IF((YEAR(D118)+14)&gt;YEAR(E118),1,(12-MONTH(E118)+1)/12))))-((P118)*(IF((YEAR(D118)+14)&lt;YEAR(E118),0,IF((YEAR(D118)+14)&gt;YEAR(E118),1,(12-MONTH(E118)+1)/12))) + (R118)*(IF((YEAR(D118)+14)&lt;YEAR(E118),0,IF((YEAR(D118)+14)&gt;YEAR(E118),1,(12-MONTH(E118)+1)/12))))-(IF(OR(N118="",N118&lt;=0),0,(O118/N118)*(IF(OR(N118="",N118&lt;=0),0,IF((YEAR(D118)+14)&lt;YEAR(E118),0,IF((YEAR(D118)+14)&gt;=YEAR(E118)+N118,0,IF((YEAR(D118)+14)=YEAR(E118),(12-MONTH(E118)+1)/12,1))))))))*TaxRate,0))-IF(14=0,O118,0))</f>
        <v/>
      </c>
      <c r="AH118" s="29">
        <f>IF(A118="","",((K118)*(IF(M118="",L118,IFERROR(IF(INDEX(Variablen!$I:$AT, MATCH(M118, Variablen!$A:$A, 0), MATCH((YEAR(D118)+15), Variablen!$I$3:$AT$3, 0))="",L118,INDEX(Variablen!$I:$AT, MATCH(M118, Variablen!$A:$A, 0), MATCH((YEAR(D118)+15), Variablen!$I$3:$AT$3, 0))),L118)))*(IF((YEAR(D118)+15)&lt;YEAR(E118),0,IF((YEAR(D118)+15)&gt;YEAR(E118),1,(12-MONTH(E118)+1)/12))) + (Q118)*(IF((YEAR(D118)+15)&lt;YEAR(E118),0,IF((YEAR(D118)+15)&gt;YEAR(E118),1,(12-MONTH(E118)+1)/12))))-((P118)*(IF((YEAR(D118)+15)&lt;YEAR(E118),0,IF((YEAR(D118)+15)&gt;YEAR(E118),1,(12-MONTH(E118)+1)/12))) + (R118)*(IF((YEAR(D118)+15)&lt;YEAR(E118),0,IF((YEAR(D118)+15)&gt;YEAR(E118),1,(12-MONTH(E118)+1)/12))))-(IF((((K118)*(IF(M118="",L118,IFERROR(IF(INDEX(Variablen!$I:$AT, MATCH(M118, Variablen!$A:$A, 0), MATCH((YEAR(D118)+15), Variablen!$I$3:$AT$3, 0))="",L118,INDEX(Variablen!$I:$AT, MATCH(M118, Variablen!$A:$A, 0), MATCH((YEAR(D118)+15), Variablen!$I$3:$AT$3, 0))),L118)))*(IF((YEAR(D118)+15)&lt;YEAR(E118),0,IF((YEAR(D118)+15)&gt;YEAR(E118),1,(12-MONTH(E118)+1)/12))) + (Q118)*(IF((YEAR(D118)+15)&lt;YEAR(E118),0,IF((YEAR(D118)+15)&gt;YEAR(E118),1,(12-MONTH(E118)+1)/12))))-((P118)*(IF((YEAR(D118)+15)&lt;YEAR(E118),0,IF((YEAR(D118)+15)&gt;YEAR(E118),1,(12-MONTH(E118)+1)/12))) + (R118)*(IF((YEAR(D118)+15)&lt;YEAR(E118),0,IF((YEAR(D118)+15)&gt;YEAR(E118),1,(12-MONTH(E118)+1)/12))))-(IF(OR(N118="",N118&lt;=0),0,(O118/N118)*(IF(OR(N118="",N118&lt;=0),0,IF((YEAR(D118)+15)&lt;YEAR(E118),0,IF((YEAR(D118)+15)&gt;=YEAR(E118)+N118,0,IF((YEAR(D118)+15)=YEAR(E118),(12-MONTH(E118)+1)/12,1))))))))&gt;0,(((K118)*(IF(M118="",L118,IFERROR(IF(INDEX(Variablen!$I:$AT, MATCH(M118, Variablen!$A:$A, 0), MATCH((YEAR(D118)+15), Variablen!$I$3:$AT$3, 0))="",L118,INDEX(Variablen!$I:$AT, MATCH(M118, Variablen!$A:$A, 0), MATCH((YEAR(D118)+15), Variablen!$I$3:$AT$3, 0))),L118)))*(IF((YEAR(D118)+15)&lt;YEAR(E118),0,IF((YEAR(D118)+15)&gt;YEAR(E118),1,(12-MONTH(E118)+1)/12))) + (Q118)*(IF((YEAR(D118)+15)&lt;YEAR(E118),0,IF((YEAR(D118)+15)&gt;YEAR(E118),1,(12-MONTH(E118)+1)/12))))-((P118)*(IF((YEAR(D118)+15)&lt;YEAR(E118),0,IF((YEAR(D118)+15)&gt;YEAR(E118),1,(12-MONTH(E118)+1)/12))) + (R118)*(IF((YEAR(D118)+15)&lt;YEAR(E118),0,IF((YEAR(D118)+15)&gt;YEAR(E118),1,(12-MONTH(E118)+1)/12))))-(IF(OR(N118="",N118&lt;=0),0,(O118/N118)*(IF(OR(N118="",N118&lt;=0),0,IF((YEAR(D118)+15)&lt;YEAR(E118),0,IF((YEAR(D118)+15)&gt;=YEAR(E118)+N118,0,IF((YEAR(D118)+15)=YEAR(E118),(12-MONTH(E118)+1)/12,1))))))))*TaxRate,0))-IF(15=0,O118,0))</f>
        <v/>
      </c>
      <c r="AI118" s="29">
        <f>IF(A118="","",((K118)*(IF(M118="",L118,IFERROR(IF(INDEX(Variablen!$I:$AT, MATCH(M118, Variablen!$A:$A, 0), MATCH((YEAR(D118)+16), Variablen!$I$3:$AT$3, 0))="",L118,INDEX(Variablen!$I:$AT, MATCH(M118, Variablen!$A:$A, 0), MATCH((YEAR(D118)+16), Variablen!$I$3:$AT$3, 0))),L118)))*(IF((YEAR(D118)+16)&lt;YEAR(E118),0,IF((YEAR(D118)+16)&gt;YEAR(E118),1,(12-MONTH(E118)+1)/12))) + (Q118)*(IF((YEAR(D118)+16)&lt;YEAR(E118),0,IF((YEAR(D118)+16)&gt;YEAR(E118),1,(12-MONTH(E118)+1)/12))))-((P118)*(IF((YEAR(D118)+16)&lt;YEAR(E118),0,IF((YEAR(D118)+16)&gt;YEAR(E118),1,(12-MONTH(E118)+1)/12))) + (R118)*(IF((YEAR(D118)+16)&lt;YEAR(E118),0,IF((YEAR(D118)+16)&gt;YEAR(E118),1,(12-MONTH(E118)+1)/12))))-(IF((((K118)*(IF(M118="",L118,IFERROR(IF(INDEX(Variablen!$I:$AT, MATCH(M118, Variablen!$A:$A, 0), MATCH((YEAR(D118)+16), Variablen!$I$3:$AT$3, 0))="",L118,INDEX(Variablen!$I:$AT, MATCH(M118, Variablen!$A:$A, 0), MATCH((YEAR(D118)+16), Variablen!$I$3:$AT$3, 0))),L118)))*(IF((YEAR(D118)+16)&lt;YEAR(E118),0,IF((YEAR(D118)+16)&gt;YEAR(E118),1,(12-MONTH(E118)+1)/12))) + (Q118)*(IF((YEAR(D118)+16)&lt;YEAR(E118),0,IF((YEAR(D118)+16)&gt;YEAR(E118),1,(12-MONTH(E118)+1)/12))))-((P118)*(IF((YEAR(D118)+16)&lt;YEAR(E118),0,IF((YEAR(D118)+16)&gt;YEAR(E118),1,(12-MONTH(E118)+1)/12))) + (R118)*(IF((YEAR(D118)+16)&lt;YEAR(E118),0,IF((YEAR(D118)+16)&gt;YEAR(E118),1,(12-MONTH(E118)+1)/12))))-(IF(OR(N118="",N118&lt;=0),0,(O118/N118)*(IF(OR(N118="",N118&lt;=0),0,IF((YEAR(D118)+16)&lt;YEAR(E118),0,IF((YEAR(D118)+16)&gt;=YEAR(E118)+N118,0,IF((YEAR(D118)+16)=YEAR(E118),(12-MONTH(E118)+1)/12,1))))))))&gt;0,(((K118)*(IF(M118="",L118,IFERROR(IF(INDEX(Variablen!$I:$AT, MATCH(M118, Variablen!$A:$A, 0), MATCH((YEAR(D118)+16), Variablen!$I$3:$AT$3, 0))="",L118,INDEX(Variablen!$I:$AT, MATCH(M118, Variablen!$A:$A, 0), MATCH((YEAR(D118)+16), Variablen!$I$3:$AT$3, 0))),L118)))*(IF((YEAR(D118)+16)&lt;YEAR(E118),0,IF((YEAR(D118)+16)&gt;YEAR(E118),1,(12-MONTH(E118)+1)/12))) + (Q118)*(IF((YEAR(D118)+16)&lt;YEAR(E118),0,IF((YEAR(D118)+16)&gt;YEAR(E118),1,(12-MONTH(E118)+1)/12))))-((P118)*(IF((YEAR(D118)+16)&lt;YEAR(E118),0,IF((YEAR(D118)+16)&gt;YEAR(E118),1,(12-MONTH(E118)+1)/12))) + (R118)*(IF((YEAR(D118)+16)&lt;YEAR(E118),0,IF((YEAR(D118)+16)&gt;YEAR(E118),1,(12-MONTH(E118)+1)/12))))-(IF(OR(N118="",N118&lt;=0),0,(O118/N118)*(IF(OR(N118="",N118&lt;=0),0,IF((YEAR(D118)+16)&lt;YEAR(E118),0,IF((YEAR(D118)+16)&gt;=YEAR(E118)+N118,0,IF((YEAR(D118)+16)=YEAR(E118),(12-MONTH(E118)+1)/12,1))))))))*TaxRate,0))-IF(16=0,O118,0))</f>
        <v/>
      </c>
      <c r="AJ118" s="29">
        <f>IF(A118="","",((K118)*(IF(M118="",L118,IFERROR(IF(INDEX(Variablen!$I:$AT, MATCH(M118, Variablen!$A:$A, 0), MATCH((YEAR(D118)+17), Variablen!$I$3:$AT$3, 0))="",L118,INDEX(Variablen!$I:$AT, MATCH(M118, Variablen!$A:$A, 0), MATCH((YEAR(D118)+17), Variablen!$I$3:$AT$3, 0))),L118)))*(IF((YEAR(D118)+17)&lt;YEAR(E118),0,IF((YEAR(D118)+17)&gt;YEAR(E118),1,(12-MONTH(E118)+1)/12))) + (Q118)*(IF((YEAR(D118)+17)&lt;YEAR(E118),0,IF((YEAR(D118)+17)&gt;YEAR(E118),1,(12-MONTH(E118)+1)/12))))-((P118)*(IF((YEAR(D118)+17)&lt;YEAR(E118),0,IF((YEAR(D118)+17)&gt;YEAR(E118),1,(12-MONTH(E118)+1)/12))) + (R118)*(IF((YEAR(D118)+17)&lt;YEAR(E118),0,IF((YEAR(D118)+17)&gt;YEAR(E118),1,(12-MONTH(E118)+1)/12))))-(IF((((K118)*(IF(M118="",L118,IFERROR(IF(INDEX(Variablen!$I:$AT, MATCH(M118, Variablen!$A:$A, 0), MATCH((YEAR(D118)+17), Variablen!$I$3:$AT$3, 0))="",L118,INDEX(Variablen!$I:$AT, MATCH(M118, Variablen!$A:$A, 0), MATCH((YEAR(D118)+17), Variablen!$I$3:$AT$3, 0))),L118)))*(IF((YEAR(D118)+17)&lt;YEAR(E118),0,IF((YEAR(D118)+17)&gt;YEAR(E118),1,(12-MONTH(E118)+1)/12))) + (Q118)*(IF((YEAR(D118)+17)&lt;YEAR(E118),0,IF((YEAR(D118)+17)&gt;YEAR(E118),1,(12-MONTH(E118)+1)/12))))-((P118)*(IF((YEAR(D118)+17)&lt;YEAR(E118),0,IF((YEAR(D118)+17)&gt;YEAR(E118),1,(12-MONTH(E118)+1)/12))) + (R118)*(IF((YEAR(D118)+17)&lt;YEAR(E118),0,IF((YEAR(D118)+17)&gt;YEAR(E118),1,(12-MONTH(E118)+1)/12))))-(IF(OR(N118="",N118&lt;=0),0,(O118/N118)*(IF(OR(N118="",N118&lt;=0),0,IF((YEAR(D118)+17)&lt;YEAR(E118),0,IF((YEAR(D118)+17)&gt;=YEAR(E118)+N118,0,IF((YEAR(D118)+17)=YEAR(E118),(12-MONTH(E118)+1)/12,1))))))))&gt;0,(((K118)*(IF(M118="",L118,IFERROR(IF(INDEX(Variablen!$I:$AT, MATCH(M118, Variablen!$A:$A, 0), MATCH((YEAR(D118)+17), Variablen!$I$3:$AT$3, 0))="",L118,INDEX(Variablen!$I:$AT, MATCH(M118, Variablen!$A:$A, 0), MATCH((YEAR(D118)+17), Variablen!$I$3:$AT$3, 0))),L118)))*(IF((YEAR(D118)+17)&lt;YEAR(E118),0,IF((YEAR(D118)+17)&gt;YEAR(E118),1,(12-MONTH(E118)+1)/12))) + (Q118)*(IF((YEAR(D118)+17)&lt;YEAR(E118),0,IF((YEAR(D118)+17)&gt;YEAR(E118),1,(12-MONTH(E118)+1)/12))))-((P118)*(IF((YEAR(D118)+17)&lt;YEAR(E118),0,IF((YEAR(D118)+17)&gt;YEAR(E118),1,(12-MONTH(E118)+1)/12))) + (R118)*(IF((YEAR(D118)+17)&lt;YEAR(E118),0,IF((YEAR(D118)+17)&gt;YEAR(E118),1,(12-MONTH(E118)+1)/12))))-(IF(OR(N118="",N118&lt;=0),0,(O118/N118)*(IF(OR(N118="",N118&lt;=0),0,IF((YEAR(D118)+17)&lt;YEAR(E118),0,IF((YEAR(D118)+17)&gt;=YEAR(E118)+N118,0,IF((YEAR(D118)+17)=YEAR(E118),(12-MONTH(E118)+1)/12,1))))))))*TaxRate,0))-IF(17=0,O118,0))</f>
        <v/>
      </c>
      <c r="AK118" s="29">
        <f>IF(A118="","",((K118)*(IF(M118="",L118,IFERROR(IF(INDEX(Variablen!$I:$AT, MATCH(M118, Variablen!$A:$A, 0), MATCH((YEAR(D118)+18), Variablen!$I$3:$AT$3, 0))="",L118,INDEX(Variablen!$I:$AT, MATCH(M118, Variablen!$A:$A, 0), MATCH((YEAR(D118)+18), Variablen!$I$3:$AT$3, 0))),L118)))*(IF((YEAR(D118)+18)&lt;YEAR(E118),0,IF((YEAR(D118)+18)&gt;YEAR(E118),1,(12-MONTH(E118)+1)/12))) + (Q118)*(IF((YEAR(D118)+18)&lt;YEAR(E118),0,IF((YEAR(D118)+18)&gt;YEAR(E118),1,(12-MONTH(E118)+1)/12))))-((P118)*(IF((YEAR(D118)+18)&lt;YEAR(E118),0,IF((YEAR(D118)+18)&gt;YEAR(E118),1,(12-MONTH(E118)+1)/12))) + (R118)*(IF((YEAR(D118)+18)&lt;YEAR(E118),0,IF((YEAR(D118)+18)&gt;YEAR(E118),1,(12-MONTH(E118)+1)/12))))-(IF((((K118)*(IF(M118="",L118,IFERROR(IF(INDEX(Variablen!$I:$AT, MATCH(M118, Variablen!$A:$A, 0), MATCH((YEAR(D118)+18), Variablen!$I$3:$AT$3, 0))="",L118,INDEX(Variablen!$I:$AT, MATCH(M118, Variablen!$A:$A, 0), MATCH((YEAR(D118)+18), Variablen!$I$3:$AT$3, 0))),L118)))*(IF((YEAR(D118)+18)&lt;YEAR(E118),0,IF((YEAR(D118)+18)&gt;YEAR(E118),1,(12-MONTH(E118)+1)/12))) + (Q118)*(IF((YEAR(D118)+18)&lt;YEAR(E118),0,IF((YEAR(D118)+18)&gt;YEAR(E118),1,(12-MONTH(E118)+1)/12))))-((P118)*(IF((YEAR(D118)+18)&lt;YEAR(E118),0,IF((YEAR(D118)+18)&gt;YEAR(E118),1,(12-MONTH(E118)+1)/12))) + (R118)*(IF((YEAR(D118)+18)&lt;YEAR(E118),0,IF((YEAR(D118)+18)&gt;YEAR(E118),1,(12-MONTH(E118)+1)/12))))-(IF(OR(N118="",N118&lt;=0),0,(O118/N118)*(IF(OR(N118="",N118&lt;=0),0,IF((YEAR(D118)+18)&lt;YEAR(E118),0,IF((YEAR(D118)+18)&gt;=YEAR(E118)+N118,0,IF((YEAR(D118)+18)=YEAR(E118),(12-MONTH(E118)+1)/12,1))))))))&gt;0,(((K118)*(IF(M118="",L118,IFERROR(IF(INDEX(Variablen!$I:$AT, MATCH(M118, Variablen!$A:$A, 0), MATCH((YEAR(D118)+18), Variablen!$I$3:$AT$3, 0))="",L118,INDEX(Variablen!$I:$AT, MATCH(M118, Variablen!$A:$A, 0), MATCH((YEAR(D118)+18), Variablen!$I$3:$AT$3, 0))),L118)))*(IF((YEAR(D118)+18)&lt;YEAR(E118),0,IF((YEAR(D118)+18)&gt;YEAR(E118),1,(12-MONTH(E118)+1)/12))) + (Q118)*(IF((YEAR(D118)+18)&lt;YEAR(E118),0,IF((YEAR(D118)+18)&gt;YEAR(E118),1,(12-MONTH(E118)+1)/12))))-((P118)*(IF((YEAR(D118)+18)&lt;YEAR(E118),0,IF((YEAR(D118)+18)&gt;YEAR(E118),1,(12-MONTH(E118)+1)/12))) + (R118)*(IF((YEAR(D118)+18)&lt;YEAR(E118),0,IF((YEAR(D118)+18)&gt;YEAR(E118),1,(12-MONTH(E118)+1)/12))))-(IF(OR(N118="",N118&lt;=0),0,(O118/N118)*(IF(OR(N118="",N118&lt;=0),0,IF((YEAR(D118)+18)&lt;YEAR(E118),0,IF((YEAR(D118)+18)&gt;=YEAR(E118)+N118,0,IF((YEAR(D118)+18)=YEAR(E118),(12-MONTH(E118)+1)/12,1))))))))*TaxRate,0))-IF(18=0,O118,0))</f>
        <v/>
      </c>
      <c r="AL118" s="29">
        <f>IF(A118="","",((K118)*(IF(M118="",L118,IFERROR(IF(INDEX(Variablen!$I:$AT, MATCH(M118, Variablen!$A:$A, 0), MATCH((YEAR(D118)+19), Variablen!$I$3:$AT$3, 0))="",L118,INDEX(Variablen!$I:$AT, MATCH(M118, Variablen!$A:$A, 0), MATCH((YEAR(D118)+19), Variablen!$I$3:$AT$3, 0))),L118)))*(IF((YEAR(D118)+19)&lt;YEAR(E118),0,IF((YEAR(D118)+19)&gt;YEAR(E118),1,(12-MONTH(E118)+1)/12))) + (Q118)*(IF((YEAR(D118)+19)&lt;YEAR(E118),0,IF((YEAR(D118)+19)&gt;YEAR(E118),1,(12-MONTH(E118)+1)/12))))-((P118)*(IF((YEAR(D118)+19)&lt;YEAR(E118),0,IF((YEAR(D118)+19)&gt;YEAR(E118),1,(12-MONTH(E118)+1)/12))) + (R118)*(IF((YEAR(D118)+19)&lt;YEAR(E118),0,IF((YEAR(D118)+19)&gt;YEAR(E118),1,(12-MONTH(E118)+1)/12))))-(IF((((K118)*(IF(M118="",L118,IFERROR(IF(INDEX(Variablen!$I:$AT, MATCH(M118, Variablen!$A:$A, 0), MATCH((YEAR(D118)+19), Variablen!$I$3:$AT$3, 0))="",L118,INDEX(Variablen!$I:$AT, MATCH(M118, Variablen!$A:$A, 0), MATCH((YEAR(D118)+19), Variablen!$I$3:$AT$3, 0))),L118)))*(IF((YEAR(D118)+19)&lt;YEAR(E118),0,IF((YEAR(D118)+19)&gt;YEAR(E118),1,(12-MONTH(E118)+1)/12))) + (Q118)*(IF((YEAR(D118)+19)&lt;YEAR(E118),0,IF((YEAR(D118)+19)&gt;YEAR(E118),1,(12-MONTH(E118)+1)/12))))-((P118)*(IF((YEAR(D118)+19)&lt;YEAR(E118),0,IF((YEAR(D118)+19)&gt;YEAR(E118),1,(12-MONTH(E118)+1)/12))) + (R118)*(IF((YEAR(D118)+19)&lt;YEAR(E118),0,IF((YEAR(D118)+19)&gt;YEAR(E118),1,(12-MONTH(E118)+1)/12))))-(IF(OR(N118="",N118&lt;=0),0,(O118/N118)*(IF(OR(N118="",N118&lt;=0),0,IF((YEAR(D118)+19)&lt;YEAR(E118),0,IF((YEAR(D118)+19)&gt;=YEAR(E118)+N118,0,IF((YEAR(D118)+19)=YEAR(E118),(12-MONTH(E118)+1)/12,1))))))))&gt;0,(((K118)*(IF(M118="",L118,IFERROR(IF(INDEX(Variablen!$I:$AT, MATCH(M118, Variablen!$A:$A, 0), MATCH((YEAR(D118)+19), Variablen!$I$3:$AT$3, 0))="",L118,INDEX(Variablen!$I:$AT, MATCH(M118, Variablen!$A:$A, 0), MATCH((YEAR(D118)+19), Variablen!$I$3:$AT$3, 0))),L118)))*(IF((YEAR(D118)+19)&lt;YEAR(E118),0,IF((YEAR(D118)+19)&gt;YEAR(E118),1,(12-MONTH(E118)+1)/12))) + (Q118)*(IF((YEAR(D118)+19)&lt;YEAR(E118),0,IF((YEAR(D118)+19)&gt;YEAR(E118),1,(12-MONTH(E118)+1)/12))))-((P118)*(IF((YEAR(D118)+19)&lt;YEAR(E118),0,IF((YEAR(D118)+19)&gt;YEAR(E118),1,(12-MONTH(E118)+1)/12))) + (R118)*(IF((YEAR(D118)+19)&lt;YEAR(E118),0,IF((YEAR(D118)+19)&gt;YEAR(E118),1,(12-MONTH(E118)+1)/12))))-(IF(OR(N118="",N118&lt;=0),0,(O118/N118)*(IF(OR(N118="",N118&lt;=0),0,IF((YEAR(D118)+19)&lt;YEAR(E118),0,IF((YEAR(D118)+19)&gt;=YEAR(E118)+N118,0,IF((YEAR(D118)+19)=YEAR(E118),(12-MONTH(E118)+1)/12,1))))))))*TaxRate,0))-IF(19=0,O118,0))</f>
        <v/>
      </c>
      <c r="AM118" s="29">
        <f>IF(A118="","",((K118)*(IF(M118="",L118,IFERROR(IF(INDEX(Variablen!$I:$AT, MATCH(M118, Variablen!$A:$A, 0), MATCH((YEAR(D118)+20), Variablen!$I$3:$AT$3, 0))="",L118,INDEX(Variablen!$I:$AT, MATCH(M118, Variablen!$A:$A, 0), MATCH((YEAR(D118)+20), Variablen!$I$3:$AT$3, 0))),L118)))*(IF((YEAR(D118)+20)&lt;YEAR(E118),0,IF((YEAR(D118)+20)&gt;YEAR(E118),1,(12-MONTH(E118)+1)/12))) + (Q118)*(IF((YEAR(D118)+20)&lt;YEAR(E118),0,IF((YEAR(D118)+20)&gt;YEAR(E118),1,(12-MONTH(E118)+1)/12))))-((P118)*(IF((YEAR(D118)+20)&lt;YEAR(E118),0,IF((YEAR(D118)+20)&gt;YEAR(E118),1,(12-MONTH(E118)+1)/12))) + (R118)*(IF((YEAR(D118)+20)&lt;YEAR(E118),0,IF((YEAR(D118)+20)&gt;YEAR(E118),1,(12-MONTH(E118)+1)/12))))-(IF((((K118)*(IF(M118="",L118,IFERROR(IF(INDEX(Variablen!$I:$AT, MATCH(M118, Variablen!$A:$A, 0), MATCH((YEAR(D118)+20), Variablen!$I$3:$AT$3, 0))="",L118,INDEX(Variablen!$I:$AT, MATCH(M118, Variablen!$A:$A, 0), MATCH((YEAR(D118)+20), Variablen!$I$3:$AT$3, 0))),L118)))*(IF((YEAR(D118)+20)&lt;YEAR(E118),0,IF((YEAR(D118)+20)&gt;YEAR(E118),1,(12-MONTH(E118)+1)/12))) + (Q118)*(IF((YEAR(D118)+20)&lt;YEAR(E118),0,IF((YEAR(D118)+20)&gt;YEAR(E118),1,(12-MONTH(E118)+1)/12))))-((P118)*(IF((YEAR(D118)+20)&lt;YEAR(E118),0,IF((YEAR(D118)+20)&gt;YEAR(E118),1,(12-MONTH(E118)+1)/12))) + (R118)*(IF((YEAR(D118)+20)&lt;YEAR(E118),0,IF((YEAR(D118)+20)&gt;YEAR(E118),1,(12-MONTH(E118)+1)/12))))-(IF(OR(N118="",N118&lt;=0),0,(O118/N118)*(IF(OR(N118="",N118&lt;=0),0,IF((YEAR(D118)+20)&lt;YEAR(E118),0,IF((YEAR(D118)+20)&gt;=YEAR(E118)+N118,0,IF((YEAR(D118)+20)=YEAR(E118),(12-MONTH(E118)+1)/12,1))))))))&gt;0,(((K118)*(IF(M118="",L118,IFERROR(IF(INDEX(Variablen!$I:$AT, MATCH(M118, Variablen!$A:$A, 0), MATCH((YEAR(D118)+20), Variablen!$I$3:$AT$3, 0))="",L118,INDEX(Variablen!$I:$AT, MATCH(M118, Variablen!$A:$A, 0), MATCH((YEAR(D118)+20), Variablen!$I$3:$AT$3, 0))),L118)))*(IF((YEAR(D118)+20)&lt;YEAR(E118),0,IF((YEAR(D118)+20)&gt;YEAR(E118),1,(12-MONTH(E118)+1)/12))) + (Q118)*(IF((YEAR(D118)+20)&lt;YEAR(E118),0,IF((YEAR(D118)+20)&gt;YEAR(E118),1,(12-MONTH(E118)+1)/12))))-((P118)*(IF((YEAR(D118)+20)&lt;YEAR(E118),0,IF((YEAR(D118)+20)&gt;YEAR(E118),1,(12-MONTH(E118)+1)/12))) + (R118)*(IF((YEAR(D118)+20)&lt;YEAR(E118),0,IF((YEAR(D118)+20)&gt;YEAR(E118),1,(12-MONTH(E118)+1)/12))))-(IF(OR(N118="",N118&lt;=0),0,(O118/N118)*(IF(OR(N118="",N118&lt;=0),0,IF((YEAR(D118)+20)&lt;YEAR(E118),0,IF((YEAR(D118)+20)&gt;=YEAR(E118)+N118,0,IF((YEAR(D118)+20)=YEAR(E118),(12-MONTH(E118)+1)/12,1))))))))*TaxRate,0))-IF(20=0,O118,0))</f>
        <v/>
      </c>
      <c r="AN118" s="29">
        <f>IF(A118="","",S118)</f>
        <v/>
      </c>
      <c r="AO118" s="29">
        <f>IF(A118="","",AN118+T118)</f>
        <v/>
      </c>
      <c r="AP118" s="29">
        <f>IF(A118="","",AO118+U118)</f>
        <v/>
      </c>
      <c r="AQ118" s="29">
        <f>IF(A118="","",AP118+V118)</f>
        <v/>
      </c>
      <c r="AR118" s="29">
        <f>IF(A118="","",AQ118+W118)</f>
        <v/>
      </c>
      <c r="AS118" s="29">
        <f>IF(A118="","",AR118+X118)</f>
        <v/>
      </c>
      <c r="AT118" s="29">
        <f>IF(A118="","",AS118+Y118)</f>
        <v/>
      </c>
      <c r="AU118" s="29">
        <f>IF(A118="","",AT118+Z118)</f>
        <v/>
      </c>
      <c r="AV118" s="29">
        <f>IF(A118="","",AU118+AA118)</f>
        <v/>
      </c>
      <c r="AW118" s="29">
        <f>IF(A118="","",AV118+AB118)</f>
        <v/>
      </c>
      <c r="AX118" s="29">
        <f>IF(A118="","",AW118+AC118)</f>
        <v/>
      </c>
      <c r="AY118" s="29">
        <f>IF(A118="","",AX118+AD118)</f>
        <v/>
      </c>
      <c r="AZ118" s="29">
        <f>IF(A118="","",AY118+AE118)</f>
        <v/>
      </c>
      <c r="BA118" s="29">
        <f>IF(A118="","",AZ118+AF118)</f>
        <v/>
      </c>
      <c r="BB118" s="29">
        <f>IF(A118="","",BA118+AG118)</f>
        <v/>
      </c>
      <c r="BC118" s="29">
        <f>IF(A118="","",BB118+AH118)</f>
        <v/>
      </c>
      <c r="BD118" s="29">
        <f>IF(A118="","",BC118+AI118)</f>
        <v/>
      </c>
      <c r="BE118" s="29">
        <f>IF(A118="","",BD118+AJ118)</f>
        <v/>
      </c>
      <c r="BF118" s="29">
        <f>IF(A118="","",BE118+AK118)</f>
        <v/>
      </c>
      <c r="BG118" s="29">
        <f>IF(A118="","",BF118+AL118)</f>
        <v/>
      </c>
      <c r="BH118" s="29">
        <f>IF(A118="","",BG118+AM118)</f>
        <v/>
      </c>
      <c r="BI118" s="36">
        <f>IF(A118="","",(K118)*(IF((YEAR(D118)+0)&lt;YEAR(E118),0,IF((YEAR(D118)+0)&gt;YEAR(E118),1,(12-MONTH(E118)+1)/12)))*(1/(1+DiscountRate)^0))</f>
        <v/>
      </c>
      <c r="BJ118" s="36">
        <f>IF(A118="","",(K118)*(IF((YEAR(D118)+1)&lt;YEAR(E118),0,IF((YEAR(D118)+1)&gt;YEAR(E118),1,(12-MONTH(E118)+1)/12)))*(1/(1+DiscountRate)^1))</f>
        <v/>
      </c>
      <c r="BK118" s="36">
        <f>IF(A118="","",(K118)*(IF((YEAR(D118)+2)&lt;YEAR(E118),0,IF((YEAR(D118)+2)&gt;YEAR(E118),1,(12-MONTH(E118)+1)/12)))*(1/(1+DiscountRate)^2))</f>
        <v/>
      </c>
      <c r="BL118" s="36">
        <f>IF(A118="","",(K118)*(IF((YEAR(D118)+3)&lt;YEAR(E118),0,IF((YEAR(D118)+3)&gt;YEAR(E118),1,(12-MONTH(E118)+1)/12)))*(1/(1+DiscountRate)^3))</f>
        <v/>
      </c>
      <c r="BM118" s="36">
        <f>IF(A118="","",(K118)*(IF((YEAR(D118)+4)&lt;YEAR(E118),0,IF((YEAR(D118)+4)&gt;YEAR(E118),1,(12-MONTH(E118)+1)/12)))*(1/(1+DiscountRate)^4))</f>
        <v/>
      </c>
      <c r="BN118" s="36">
        <f>IF(A118="","",(K118)*(IF((YEAR(D118)+5)&lt;YEAR(E118),0,IF((YEAR(D118)+5)&gt;YEAR(E118),1,(12-MONTH(E118)+1)/12)))*(1/(1+DiscountRate)^5))</f>
        <v/>
      </c>
      <c r="BO118" s="36">
        <f>IF(A118="","",(K118)*(IF((YEAR(D118)+6)&lt;YEAR(E118),0,IF((YEAR(D118)+6)&gt;YEAR(E118),1,(12-MONTH(E118)+1)/12)))*(1/(1+DiscountRate)^6))</f>
        <v/>
      </c>
      <c r="BP118" s="36">
        <f>IF(A118="","",(K118)*(IF((YEAR(D118)+7)&lt;YEAR(E118),0,IF((YEAR(D118)+7)&gt;YEAR(E118),1,(12-MONTH(E118)+1)/12)))*(1/(1+DiscountRate)^7))</f>
        <v/>
      </c>
      <c r="BQ118" s="36">
        <f>IF(A118="","",(K118)*(IF((YEAR(D118)+8)&lt;YEAR(E118),0,IF((YEAR(D118)+8)&gt;YEAR(E118),1,(12-MONTH(E118)+1)/12)))*(1/(1+DiscountRate)^8))</f>
        <v/>
      </c>
      <c r="BR118" s="36">
        <f>IF(A118="","",(K118)*(IF((YEAR(D118)+9)&lt;YEAR(E118),0,IF((YEAR(D118)+9)&gt;YEAR(E118),1,(12-MONTH(E118)+1)/12)))*(1/(1+DiscountRate)^9))</f>
        <v/>
      </c>
      <c r="BS118" s="36">
        <f>IF(A118="","",(K118)*(IF((YEAR(D118)+10)&lt;YEAR(E118),0,IF((YEAR(D118)+10)&gt;YEAR(E118),1,(12-MONTH(E118)+1)/12)))*(1/(1+DiscountRate)^10))</f>
        <v/>
      </c>
      <c r="BT118" s="36">
        <f>IF(A118="","",(K118)*(IF((YEAR(D118)+11)&lt;YEAR(E118),0,IF((YEAR(D118)+11)&gt;YEAR(E118),1,(12-MONTH(E118)+1)/12)))*(1/(1+DiscountRate)^11))</f>
        <v/>
      </c>
      <c r="BU118" s="36">
        <f>IF(A118="","",(K118)*(IF((YEAR(D118)+12)&lt;YEAR(E118),0,IF((YEAR(D118)+12)&gt;YEAR(E118),1,(12-MONTH(E118)+1)/12)))*(1/(1+DiscountRate)^12))</f>
        <v/>
      </c>
      <c r="BV118" s="36">
        <f>IF(A118="","",(K118)*(IF((YEAR(D118)+13)&lt;YEAR(E118),0,IF((YEAR(D118)+13)&gt;YEAR(E118),1,(12-MONTH(E118)+1)/12)))*(1/(1+DiscountRate)^13))</f>
        <v/>
      </c>
      <c r="BW118" s="36">
        <f>IF(A118="","",(K118)*(IF((YEAR(D118)+14)&lt;YEAR(E118),0,IF((YEAR(D118)+14)&gt;YEAR(E118),1,(12-MONTH(E118)+1)/12)))*(1/(1+DiscountRate)^14))</f>
        <v/>
      </c>
      <c r="BX118" s="36">
        <f>IF(A118="","",(K118)*(IF((YEAR(D118)+15)&lt;YEAR(E118),0,IF((YEAR(D118)+15)&gt;YEAR(E118),1,(12-MONTH(E118)+1)/12)))*(1/(1+DiscountRate)^15))</f>
        <v/>
      </c>
      <c r="BY118" s="36">
        <f>IF(A118="","",(K118)*(IF((YEAR(D118)+16)&lt;YEAR(E118),0,IF((YEAR(D118)+16)&gt;YEAR(E118),1,(12-MONTH(E118)+1)/12)))*(1/(1+DiscountRate)^16))</f>
        <v/>
      </c>
      <c r="BZ118" s="36">
        <f>IF(A118="","",(K118)*(IF((YEAR(D118)+17)&lt;YEAR(E118),0,IF((YEAR(D118)+17)&gt;YEAR(E118),1,(12-MONTH(E118)+1)/12)))*(1/(1+DiscountRate)^17))</f>
        <v/>
      </c>
      <c r="CA118" s="36">
        <f>IF(A118="","",(K118)*(IF((YEAR(D118)+18)&lt;YEAR(E118),0,IF((YEAR(D118)+18)&gt;YEAR(E118),1,(12-MONTH(E118)+1)/12)))*(1/(1+DiscountRate)^18))</f>
        <v/>
      </c>
      <c r="CB118" s="36">
        <f>IF(A118="","",(K118)*(IF((YEAR(D118)+19)&lt;YEAR(E118),0,IF((YEAR(D118)+19)&gt;YEAR(E118),1,(12-MONTH(E118)+1)/12)))*(1/(1+DiscountRate)^19))</f>
        <v/>
      </c>
      <c r="CC118" s="36">
        <f>IF(A118="","",(K118)*(IF((YEAR(D118)+20)&lt;YEAR(E118),0,IF((YEAR(D118)+20)&gt;YEAR(E118),1,(12-MONTH(E118)+1)/12)))*(1/(1+DiscountRate)^20))</f>
        <v/>
      </c>
      <c r="CD118" s="29">
        <f>IF(A118="","",S118/(1+DiscountRate)^0+T118/(1+DiscountRate)^1+U118/(1+DiscountRate)^2+V118/(1+DiscountRate)^3+W118/(1+DiscountRate)^4+X118/(1+DiscountRate)^5+Y118/(1+DiscountRate)^6+Z118/(1+DiscountRate)^7+AA118/(1+DiscountRate)^8+AB118/(1+DiscountRate)^9+AC118/(1+DiscountRate)^10+AD118/(1+DiscountRate)^11+AE118/(1+DiscountRate)^12+AF118/(1+DiscountRate)^13+AG118/(1+DiscountRate)^14+AH118/(1+DiscountRate)^15+AI118/(1+DiscountRate)^16+AJ118/(1+DiscountRate)^17+AK118/(1+DiscountRate)^18+AL118/(1+DiscountRate)^19+AM118/(1+DiscountRate)^20)</f>
        <v/>
      </c>
      <c r="CE118" s="37">
        <f>IF(A118="","",IFERROR(IRR(OFFSET(S118,0,0,1,MIN(HorizonYears,20)+1)),"n/a"))</f>
        <v/>
      </c>
      <c r="CF118" s="28">
        <f>IF(A118="","",IFERROR(MATCH(TRUE,OFFSET(AN118,0,0,1,MIN(HorizonYears,20)+1)&gt;=0,0)-1,"n/a"))</f>
        <v/>
      </c>
      <c r="CG118" s="36">
        <f>IF(A118="","",SUM(OFFSET(BI118,0,0,1,MIN(HorizonYears,20)+1)))</f>
        <v/>
      </c>
      <c r="CH118" s="36">
        <f>IF(A118="","",IFERROR(-CD118/CG118,"n/a"))</f>
        <v/>
      </c>
    </row>
    <row r="119">
      <c r="A119" s="6">
        <f>Actions!A117</f>
        <v/>
      </c>
      <c r="B119" s="6">
        <f>Actions!B117</f>
        <v/>
      </c>
      <c r="C119" s="6">
        <f>Actions!D117</f>
        <v/>
      </c>
      <c r="D119" s="35">
        <f>Actions!E117</f>
        <v/>
      </c>
      <c r="E119" s="35">
        <f>Actions!F117</f>
        <v/>
      </c>
      <c r="F119" s="6">
        <f>Actions!G117</f>
        <v/>
      </c>
      <c r="G119" s="6">
        <f>Actions!H117</f>
        <v/>
      </c>
      <c r="H119" s="29">
        <f>Actions!I117</f>
        <v/>
      </c>
      <c r="I119" s="6">
        <f>Actions!J117</f>
        <v/>
      </c>
      <c r="J119" s="16">
        <f>Actions!K117</f>
        <v/>
      </c>
      <c r="K119" s="16">
        <f>IF(A119="","",IF(I119="%",H119*J119,J119))</f>
        <v/>
      </c>
      <c r="L119" s="16">
        <f>Actions!L117</f>
        <v/>
      </c>
      <c r="M119" s="6">
        <f>Actions!M117</f>
        <v/>
      </c>
      <c r="N119" s="28">
        <f>Actions!N117</f>
        <v/>
      </c>
      <c r="O119" s="29">
        <f>Actions!T117</f>
        <v/>
      </c>
      <c r="P119" s="29">
        <f>Actions!Y117</f>
        <v/>
      </c>
      <c r="Q119" s="29">
        <f>Actions!Z117</f>
        <v/>
      </c>
      <c r="R119" s="29">
        <f>Actions!AA117</f>
        <v/>
      </c>
      <c r="S119" s="29">
        <f>IF(A119="","",((K119)*(IF(M119="",L119,IFERROR(IF(INDEX(Variablen!$I:$AT, MATCH(M119, Variablen!$A:$A, 0), MATCH((YEAR(D119)+0), Variablen!$I$3:$AT$3, 0))="",L119,INDEX(Variablen!$I:$AT, MATCH(M119, Variablen!$A:$A, 0), MATCH((YEAR(D119)+0), Variablen!$I$3:$AT$3, 0))),L119)))*(IF((YEAR(D119)+0)&lt;YEAR(E119),0,IF((YEAR(D119)+0)&gt;YEAR(E119),1,(12-MONTH(E119)+1)/12))) + (Q119)*(IF((YEAR(D119)+0)&lt;YEAR(E119),0,IF((YEAR(D119)+0)&gt;YEAR(E119),1,(12-MONTH(E119)+1)/12))))-((P119)*(IF((YEAR(D119)+0)&lt;YEAR(E119),0,IF((YEAR(D119)+0)&gt;YEAR(E119),1,(12-MONTH(E119)+1)/12))) + (R119)*(IF((YEAR(D119)+0)&lt;YEAR(E119),0,IF((YEAR(D119)+0)&gt;YEAR(E119),1,(12-MONTH(E119)+1)/12))))-(IF((((K119)*(IF(M119="",L119,IFERROR(IF(INDEX(Variablen!$I:$AT, MATCH(M119, Variablen!$A:$A, 0), MATCH((YEAR(D119)+0), Variablen!$I$3:$AT$3, 0))="",L119,INDEX(Variablen!$I:$AT, MATCH(M119, Variablen!$A:$A, 0), MATCH((YEAR(D119)+0), Variablen!$I$3:$AT$3, 0))),L119)))*(IF((YEAR(D119)+0)&lt;YEAR(E119),0,IF((YEAR(D119)+0)&gt;YEAR(E119),1,(12-MONTH(E119)+1)/12))) + (Q119)*(IF((YEAR(D119)+0)&lt;YEAR(E119),0,IF((YEAR(D119)+0)&gt;YEAR(E119),1,(12-MONTH(E119)+1)/12))))-((P119)*(IF((YEAR(D119)+0)&lt;YEAR(E119),0,IF((YEAR(D119)+0)&gt;YEAR(E119),1,(12-MONTH(E119)+1)/12))) + (R119)*(IF((YEAR(D119)+0)&lt;YEAR(E119),0,IF((YEAR(D119)+0)&gt;YEAR(E119),1,(12-MONTH(E119)+1)/12))))-(IF(OR(N119="",N119&lt;=0),0,(O119/N119)*(IF(OR(N119="",N119&lt;=0),0,IF((YEAR(D119)+0)&lt;YEAR(E119),0,IF((YEAR(D119)+0)&gt;=YEAR(E119)+N119,0,IF((YEAR(D119)+0)=YEAR(E119),(12-MONTH(E119)+1)/12,1))))))))&gt;0,(((K119)*(IF(M119="",L119,IFERROR(IF(INDEX(Variablen!$I:$AT, MATCH(M119, Variablen!$A:$A, 0), MATCH((YEAR(D119)+0), Variablen!$I$3:$AT$3, 0))="",L119,INDEX(Variablen!$I:$AT, MATCH(M119, Variablen!$A:$A, 0), MATCH((YEAR(D119)+0), Variablen!$I$3:$AT$3, 0))),L119)))*(IF((YEAR(D119)+0)&lt;YEAR(E119),0,IF((YEAR(D119)+0)&gt;YEAR(E119),1,(12-MONTH(E119)+1)/12))) + (Q119)*(IF((YEAR(D119)+0)&lt;YEAR(E119),0,IF((YEAR(D119)+0)&gt;YEAR(E119),1,(12-MONTH(E119)+1)/12))))-((P119)*(IF((YEAR(D119)+0)&lt;YEAR(E119),0,IF((YEAR(D119)+0)&gt;YEAR(E119),1,(12-MONTH(E119)+1)/12))) + (R119)*(IF((YEAR(D119)+0)&lt;YEAR(E119),0,IF((YEAR(D119)+0)&gt;YEAR(E119),1,(12-MONTH(E119)+1)/12))))-(IF(OR(N119="",N119&lt;=0),0,(O119/N119)*(IF(OR(N119="",N119&lt;=0),0,IF((YEAR(D119)+0)&lt;YEAR(E119),0,IF((YEAR(D119)+0)&gt;=YEAR(E119)+N119,0,IF((YEAR(D119)+0)=YEAR(E119),(12-MONTH(E119)+1)/12,1))))))))*TaxRate,0))-IF(0=0,O119,0))</f>
        <v/>
      </c>
      <c r="T119" s="29">
        <f>IF(A119="","",((K119)*(IF(M119="",L119,IFERROR(IF(INDEX(Variablen!$I:$AT, MATCH(M119, Variablen!$A:$A, 0), MATCH((YEAR(D119)+1), Variablen!$I$3:$AT$3, 0))="",L119,INDEX(Variablen!$I:$AT, MATCH(M119, Variablen!$A:$A, 0), MATCH((YEAR(D119)+1), Variablen!$I$3:$AT$3, 0))),L119)))*(IF((YEAR(D119)+1)&lt;YEAR(E119),0,IF((YEAR(D119)+1)&gt;YEAR(E119),1,(12-MONTH(E119)+1)/12))) + (Q119)*(IF((YEAR(D119)+1)&lt;YEAR(E119),0,IF((YEAR(D119)+1)&gt;YEAR(E119),1,(12-MONTH(E119)+1)/12))))-((P119)*(IF((YEAR(D119)+1)&lt;YEAR(E119),0,IF((YEAR(D119)+1)&gt;YEAR(E119),1,(12-MONTH(E119)+1)/12))) + (R119)*(IF((YEAR(D119)+1)&lt;YEAR(E119),0,IF((YEAR(D119)+1)&gt;YEAR(E119),1,(12-MONTH(E119)+1)/12))))-(IF((((K119)*(IF(M119="",L119,IFERROR(IF(INDEX(Variablen!$I:$AT, MATCH(M119, Variablen!$A:$A, 0), MATCH((YEAR(D119)+1), Variablen!$I$3:$AT$3, 0))="",L119,INDEX(Variablen!$I:$AT, MATCH(M119, Variablen!$A:$A, 0), MATCH((YEAR(D119)+1), Variablen!$I$3:$AT$3, 0))),L119)))*(IF((YEAR(D119)+1)&lt;YEAR(E119),0,IF((YEAR(D119)+1)&gt;YEAR(E119),1,(12-MONTH(E119)+1)/12))) + (Q119)*(IF((YEAR(D119)+1)&lt;YEAR(E119),0,IF((YEAR(D119)+1)&gt;YEAR(E119),1,(12-MONTH(E119)+1)/12))))-((P119)*(IF((YEAR(D119)+1)&lt;YEAR(E119),0,IF((YEAR(D119)+1)&gt;YEAR(E119),1,(12-MONTH(E119)+1)/12))) + (R119)*(IF((YEAR(D119)+1)&lt;YEAR(E119),0,IF((YEAR(D119)+1)&gt;YEAR(E119),1,(12-MONTH(E119)+1)/12))))-(IF(OR(N119="",N119&lt;=0),0,(O119/N119)*(IF(OR(N119="",N119&lt;=0),0,IF((YEAR(D119)+1)&lt;YEAR(E119),0,IF((YEAR(D119)+1)&gt;=YEAR(E119)+N119,0,IF((YEAR(D119)+1)=YEAR(E119),(12-MONTH(E119)+1)/12,1))))))))&gt;0,(((K119)*(IF(M119="",L119,IFERROR(IF(INDEX(Variablen!$I:$AT, MATCH(M119, Variablen!$A:$A, 0), MATCH((YEAR(D119)+1), Variablen!$I$3:$AT$3, 0))="",L119,INDEX(Variablen!$I:$AT, MATCH(M119, Variablen!$A:$A, 0), MATCH((YEAR(D119)+1), Variablen!$I$3:$AT$3, 0))),L119)))*(IF((YEAR(D119)+1)&lt;YEAR(E119),0,IF((YEAR(D119)+1)&gt;YEAR(E119),1,(12-MONTH(E119)+1)/12))) + (Q119)*(IF((YEAR(D119)+1)&lt;YEAR(E119),0,IF((YEAR(D119)+1)&gt;YEAR(E119),1,(12-MONTH(E119)+1)/12))))-((P119)*(IF((YEAR(D119)+1)&lt;YEAR(E119),0,IF((YEAR(D119)+1)&gt;YEAR(E119),1,(12-MONTH(E119)+1)/12))) + (R119)*(IF((YEAR(D119)+1)&lt;YEAR(E119),0,IF((YEAR(D119)+1)&gt;YEAR(E119),1,(12-MONTH(E119)+1)/12))))-(IF(OR(N119="",N119&lt;=0),0,(O119/N119)*(IF(OR(N119="",N119&lt;=0),0,IF((YEAR(D119)+1)&lt;YEAR(E119),0,IF((YEAR(D119)+1)&gt;=YEAR(E119)+N119,0,IF((YEAR(D119)+1)=YEAR(E119),(12-MONTH(E119)+1)/12,1))))))))*TaxRate,0))-IF(1=0,O119,0))</f>
        <v/>
      </c>
      <c r="U119" s="29">
        <f>IF(A119="","",((K119)*(IF(M119="",L119,IFERROR(IF(INDEX(Variablen!$I:$AT, MATCH(M119, Variablen!$A:$A, 0), MATCH((YEAR(D119)+2), Variablen!$I$3:$AT$3, 0))="",L119,INDEX(Variablen!$I:$AT, MATCH(M119, Variablen!$A:$A, 0), MATCH((YEAR(D119)+2), Variablen!$I$3:$AT$3, 0))),L119)))*(IF((YEAR(D119)+2)&lt;YEAR(E119),0,IF((YEAR(D119)+2)&gt;YEAR(E119),1,(12-MONTH(E119)+1)/12))) + (Q119)*(IF((YEAR(D119)+2)&lt;YEAR(E119),0,IF((YEAR(D119)+2)&gt;YEAR(E119),1,(12-MONTH(E119)+1)/12))))-((P119)*(IF((YEAR(D119)+2)&lt;YEAR(E119),0,IF((YEAR(D119)+2)&gt;YEAR(E119),1,(12-MONTH(E119)+1)/12))) + (R119)*(IF((YEAR(D119)+2)&lt;YEAR(E119),0,IF((YEAR(D119)+2)&gt;YEAR(E119),1,(12-MONTH(E119)+1)/12))))-(IF((((K119)*(IF(M119="",L119,IFERROR(IF(INDEX(Variablen!$I:$AT, MATCH(M119, Variablen!$A:$A, 0), MATCH((YEAR(D119)+2), Variablen!$I$3:$AT$3, 0))="",L119,INDEX(Variablen!$I:$AT, MATCH(M119, Variablen!$A:$A, 0), MATCH((YEAR(D119)+2), Variablen!$I$3:$AT$3, 0))),L119)))*(IF((YEAR(D119)+2)&lt;YEAR(E119),0,IF((YEAR(D119)+2)&gt;YEAR(E119),1,(12-MONTH(E119)+1)/12))) + (Q119)*(IF((YEAR(D119)+2)&lt;YEAR(E119),0,IF((YEAR(D119)+2)&gt;YEAR(E119),1,(12-MONTH(E119)+1)/12))))-((P119)*(IF((YEAR(D119)+2)&lt;YEAR(E119),0,IF((YEAR(D119)+2)&gt;YEAR(E119),1,(12-MONTH(E119)+1)/12))) + (R119)*(IF((YEAR(D119)+2)&lt;YEAR(E119),0,IF((YEAR(D119)+2)&gt;YEAR(E119),1,(12-MONTH(E119)+1)/12))))-(IF(OR(N119="",N119&lt;=0),0,(O119/N119)*(IF(OR(N119="",N119&lt;=0),0,IF((YEAR(D119)+2)&lt;YEAR(E119),0,IF((YEAR(D119)+2)&gt;=YEAR(E119)+N119,0,IF((YEAR(D119)+2)=YEAR(E119),(12-MONTH(E119)+1)/12,1))))))))&gt;0,(((K119)*(IF(M119="",L119,IFERROR(IF(INDEX(Variablen!$I:$AT, MATCH(M119, Variablen!$A:$A, 0), MATCH((YEAR(D119)+2), Variablen!$I$3:$AT$3, 0))="",L119,INDEX(Variablen!$I:$AT, MATCH(M119, Variablen!$A:$A, 0), MATCH((YEAR(D119)+2), Variablen!$I$3:$AT$3, 0))),L119)))*(IF((YEAR(D119)+2)&lt;YEAR(E119),0,IF((YEAR(D119)+2)&gt;YEAR(E119),1,(12-MONTH(E119)+1)/12))) + (Q119)*(IF((YEAR(D119)+2)&lt;YEAR(E119),0,IF((YEAR(D119)+2)&gt;YEAR(E119),1,(12-MONTH(E119)+1)/12))))-((P119)*(IF((YEAR(D119)+2)&lt;YEAR(E119),0,IF((YEAR(D119)+2)&gt;YEAR(E119),1,(12-MONTH(E119)+1)/12))) + (R119)*(IF((YEAR(D119)+2)&lt;YEAR(E119),0,IF((YEAR(D119)+2)&gt;YEAR(E119),1,(12-MONTH(E119)+1)/12))))-(IF(OR(N119="",N119&lt;=0),0,(O119/N119)*(IF(OR(N119="",N119&lt;=0),0,IF((YEAR(D119)+2)&lt;YEAR(E119),0,IF((YEAR(D119)+2)&gt;=YEAR(E119)+N119,0,IF((YEAR(D119)+2)=YEAR(E119),(12-MONTH(E119)+1)/12,1))))))))*TaxRate,0))-IF(2=0,O119,0))</f>
        <v/>
      </c>
      <c r="V119" s="29">
        <f>IF(A119="","",((K119)*(IF(M119="",L119,IFERROR(IF(INDEX(Variablen!$I:$AT, MATCH(M119, Variablen!$A:$A, 0), MATCH((YEAR(D119)+3), Variablen!$I$3:$AT$3, 0))="",L119,INDEX(Variablen!$I:$AT, MATCH(M119, Variablen!$A:$A, 0), MATCH((YEAR(D119)+3), Variablen!$I$3:$AT$3, 0))),L119)))*(IF((YEAR(D119)+3)&lt;YEAR(E119),0,IF((YEAR(D119)+3)&gt;YEAR(E119),1,(12-MONTH(E119)+1)/12))) + (Q119)*(IF((YEAR(D119)+3)&lt;YEAR(E119),0,IF((YEAR(D119)+3)&gt;YEAR(E119),1,(12-MONTH(E119)+1)/12))))-((P119)*(IF((YEAR(D119)+3)&lt;YEAR(E119),0,IF((YEAR(D119)+3)&gt;YEAR(E119),1,(12-MONTH(E119)+1)/12))) + (R119)*(IF((YEAR(D119)+3)&lt;YEAR(E119),0,IF((YEAR(D119)+3)&gt;YEAR(E119),1,(12-MONTH(E119)+1)/12))))-(IF((((K119)*(IF(M119="",L119,IFERROR(IF(INDEX(Variablen!$I:$AT, MATCH(M119, Variablen!$A:$A, 0), MATCH((YEAR(D119)+3), Variablen!$I$3:$AT$3, 0))="",L119,INDEX(Variablen!$I:$AT, MATCH(M119, Variablen!$A:$A, 0), MATCH((YEAR(D119)+3), Variablen!$I$3:$AT$3, 0))),L119)))*(IF((YEAR(D119)+3)&lt;YEAR(E119),0,IF((YEAR(D119)+3)&gt;YEAR(E119),1,(12-MONTH(E119)+1)/12))) + (Q119)*(IF((YEAR(D119)+3)&lt;YEAR(E119),0,IF((YEAR(D119)+3)&gt;YEAR(E119),1,(12-MONTH(E119)+1)/12))))-((P119)*(IF((YEAR(D119)+3)&lt;YEAR(E119),0,IF((YEAR(D119)+3)&gt;YEAR(E119),1,(12-MONTH(E119)+1)/12))) + (R119)*(IF((YEAR(D119)+3)&lt;YEAR(E119),0,IF((YEAR(D119)+3)&gt;YEAR(E119),1,(12-MONTH(E119)+1)/12))))-(IF(OR(N119="",N119&lt;=0),0,(O119/N119)*(IF(OR(N119="",N119&lt;=0),0,IF((YEAR(D119)+3)&lt;YEAR(E119),0,IF((YEAR(D119)+3)&gt;=YEAR(E119)+N119,0,IF((YEAR(D119)+3)=YEAR(E119),(12-MONTH(E119)+1)/12,1))))))))&gt;0,(((K119)*(IF(M119="",L119,IFERROR(IF(INDEX(Variablen!$I:$AT, MATCH(M119, Variablen!$A:$A, 0), MATCH((YEAR(D119)+3), Variablen!$I$3:$AT$3, 0))="",L119,INDEX(Variablen!$I:$AT, MATCH(M119, Variablen!$A:$A, 0), MATCH((YEAR(D119)+3), Variablen!$I$3:$AT$3, 0))),L119)))*(IF((YEAR(D119)+3)&lt;YEAR(E119),0,IF((YEAR(D119)+3)&gt;YEAR(E119),1,(12-MONTH(E119)+1)/12))) + (Q119)*(IF((YEAR(D119)+3)&lt;YEAR(E119),0,IF((YEAR(D119)+3)&gt;YEAR(E119),1,(12-MONTH(E119)+1)/12))))-((P119)*(IF((YEAR(D119)+3)&lt;YEAR(E119),0,IF((YEAR(D119)+3)&gt;YEAR(E119),1,(12-MONTH(E119)+1)/12))) + (R119)*(IF((YEAR(D119)+3)&lt;YEAR(E119),0,IF((YEAR(D119)+3)&gt;YEAR(E119),1,(12-MONTH(E119)+1)/12))))-(IF(OR(N119="",N119&lt;=0),0,(O119/N119)*(IF(OR(N119="",N119&lt;=0),0,IF((YEAR(D119)+3)&lt;YEAR(E119),0,IF((YEAR(D119)+3)&gt;=YEAR(E119)+N119,0,IF((YEAR(D119)+3)=YEAR(E119),(12-MONTH(E119)+1)/12,1))))))))*TaxRate,0))-IF(3=0,O119,0))</f>
        <v/>
      </c>
      <c r="W119" s="29">
        <f>IF(A119="","",((K119)*(IF(M119="",L119,IFERROR(IF(INDEX(Variablen!$I:$AT, MATCH(M119, Variablen!$A:$A, 0), MATCH((YEAR(D119)+4), Variablen!$I$3:$AT$3, 0))="",L119,INDEX(Variablen!$I:$AT, MATCH(M119, Variablen!$A:$A, 0), MATCH((YEAR(D119)+4), Variablen!$I$3:$AT$3, 0))),L119)))*(IF((YEAR(D119)+4)&lt;YEAR(E119),0,IF((YEAR(D119)+4)&gt;YEAR(E119),1,(12-MONTH(E119)+1)/12))) + (Q119)*(IF((YEAR(D119)+4)&lt;YEAR(E119),0,IF((YEAR(D119)+4)&gt;YEAR(E119),1,(12-MONTH(E119)+1)/12))))-((P119)*(IF((YEAR(D119)+4)&lt;YEAR(E119),0,IF((YEAR(D119)+4)&gt;YEAR(E119),1,(12-MONTH(E119)+1)/12))) + (R119)*(IF((YEAR(D119)+4)&lt;YEAR(E119),0,IF((YEAR(D119)+4)&gt;YEAR(E119),1,(12-MONTH(E119)+1)/12))))-(IF((((K119)*(IF(M119="",L119,IFERROR(IF(INDEX(Variablen!$I:$AT, MATCH(M119, Variablen!$A:$A, 0), MATCH((YEAR(D119)+4), Variablen!$I$3:$AT$3, 0))="",L119,INDEX(Variablen!$I:$AT, MATCH(M119, Variablen!$A:$A, 0), MATCH((YEAR(D119)+4), Variablen!$I$3:$AT$3, 0))),L119)))*(IF((YEAR(D119)+4)&lt;YEAR(E119),0,IF((YEAR(D119)+4)&gt;YEAR(E119),1,(12-MONTH(E119)+1)/12))) + (Q119)*(IF((YEAR(D119)+4)&lt;YEAR(E119),0,IF((YEAR(D119)+4)&gt;YEAR(E119),1,(12-MONTH(E119)+1)/12))))-((P119)*(IF((YEAR(D119)+4)&lt;YEAR(E119),0,IF((YEAR(D119)+4)&gt;YEAR(E119),1,(12-MONTH(E119)+1)/12))) + (R119)*(IF((YEAR(D119)+4)&lt;YEAR(E119),0,IF((YEAR(D119)+4)&gt;YEAR(E119),1,(12-MONTH(E119)+1)/12))))-(IF(OR(N119="",N119&lt;=0),0,(O119/N119)*(IF(OR(N119="",N119&lt;=0),0,IF((YEAR(D119)+4)&lt;YEAR(E119),0,IF((YEAR(D119)+4)&gt;=YEAR(E119)+N119,0,IF((YEAR(D119)+4)=YEAR(E119),(12-MONTH(E119)+1)/12,1))))))))&gt;0,(((K119)*(IF(M119="",L119,IFERROR(IF(INDEX(Variablen!$I:$AT, MATCH(M119, Variablen!$A:$A, 0), MATCH((YEAR(D119)+4), Variablen!$I$3:$AT$3, 0))="",L119,INDEX(Variablen!$I:$AT, MATCH(M119, Variablen!$A:$A, 0), MATCH((YEAR(D119)+4), Variablen!$I$3:$AT$3, 0))),L119)))*(IF((YEAR(D119)+4)&lt;YEAR(E119),0,IF((YEAR(D119)+4)&gt;YEAR(E119),1,(12-MONTH(E119)+1)/12))) + (Q119)*(IF((YEAR(D119)+4)&lt;YEAR(E119),0,IF((YEAR(D119)+4)&gt;YEAR(E119),1,(12-MONTH(E119)+1)/12))))-((P119)*(IF((YEAR(D119)+4)&lt;YEAR(E119),0,IF((YEAR(D119)+4)&gt;YEAR(E119),1,(12-MONTH(E119)+1)/12))) + (R119)*(IF((YEAR(D119)+4)&lt;YEAR(E119),0,IF((YEAR(D119)+4)&gt;YEAR(E119),1,(12-MONTH(E119)+1)/12))))-(IF(OR(N119="",N119&lt;=0),0,(O119/N119)*(IF(OR(N119="",N119&lt;=0),0,IF((YEAR(D119)+4)&lt;YEAR(E119),0,IF((YEAR(D119)+4)&gt;=YEAR(E119)+N119,0,IF((YEAR(D119)+4)=YEAR(E119),(12-MONTH(E119)+1)/12,1))))))))*TaxRate,0))-IF(4=0,O119,0))</f>
        <v/>
      </c>
      <c r="X119" s="29">
        <f>IF(A119="","",((K119)*(IF(M119="",L119,IFERROR(IF(INDEX(Variablen!$I:$AT, MATCH(M119, Variablen!$A:$A, 0), MATCH((YEAR(D119)+5), Variablen!$I$3:$AT$3, 0))="",L119,INDEX(Variablen!$I:$AT, MATCH(M119, Variablen!$A:$A, 0), MATCH((YEAR(D119)+5), Variablen!$I$3:$AT$3, 0))),L119)))*(IF((YEAR(D119)+5)&lt;YEAR(E119),0,IF((YEAR(D119)+5)&gt;YEAR(E119),1,(12-MONTH(E119)+1)/12))) + (Q119)*(IF((YEAR(D119)+5)&lt;YEAR(E119),0,IF((YEAR(D119)+5)&gt;YEAR(E119),1,(12-MONTH(E119)+1)/12))))-((P119)*(IF((YEAR(D119)+5)&lt;YEAR(E119),0,IF((YEAR(D119)+5)&gt;YEAR(E119),1,(12-MONTH(E119)+1)/12))) + (R119)*(IF((YEAR(D119)+5)&lt;YEAR(E119),0,IF((YEAR(D119)+5)&gt;YEAR(E119),1,(12-MONTH(E119)+1)/12))))-(IF((((K119)*(IF(M119="",L119,IFERROR(IF(INDEX(Variablen!$I:$AT, MATCH(M119, Variablen!$A:$A, 0), MATCH((YEAR(D119)+5), Variablen!$I$3:$AT$3, 0))="",L119,INDEX(Variablen!$I:$AT, MATCH(M119, Variablen!$A:$A, 0), MATCH((YEAR(D119)+5), Variablen!$I$3:$AT$3, 0))),L119)))*(IF((YEAR(D119)+5)&lt;YEAR(E119),0,IF((YEAR(D119)+5)&gt;YEAR(E119),1,(12-MONTH(E119)+1)/12))) + (Q119)*(IF((YEAR(D119)+5)&lt;YEAR(E119),0,IF((YEAR(D119)+5)&gt;YEAR(E119),1,(12-MONTH(E119)+1)/12))))-((P119)*(IF((YEAR(D119)+5)&lt;YEAR(E119),0,IF((YEAR(D119)+5)&gt;YEAR(E119),1,(12-MONTH(E119)+1)/12))) + (R119)*(IF((YEAR(D119)+5)&lt;YEAR(E119),0,IF((YEAR(D119)+5)&gt;YEAR(E119),1,(12-MONTH(E119)+1)/12))))-(IF(OR(N119="",N119&lt;=0),0,(O119/N119)*(IF(OR(N119="",N119&lt;=0),0,IF((YEAR(D119)+5)&lt;YEAR(E119),0,IF((YEAR(D119)+5)&gt;=YEAR(E119)+N119,0,IF((YEAR(D119)+5)=YEAR(E119),(12-MONTH(E119)+1)/12,1))))))))&gt;0,(((K119)*(IF(M119="",L119,IFERROR(IF(INDEX(Variablen!$I:$AT, MATCH(M119, Variablen!$A:$A, 0), MATCH((YEAR(D119)+5), Variablen!$I$3:$AT$3, 0))="",L119,INDEX(Variablen!$I:$AT, MATCH(M119, Variablen!$A:$A, 0), MATCH((YEAR(D119)+5), Variablen!$I$3:$AT$3, 0))),L119)))*(IF((YEAR(D119)+5)&lt;YEAR(E119),0,IF((YEAR(D119)+5)&gt;YEAR(E119),1,(12-MONTH(E119)+1)/12))) + (Q119)*(IF((YEAR(D119)+5)&lt;YEAR(E119),0,IF((YEAR(D119)+5)&gt;YEAR(E119),1,(12-MONTH(E119)+1)/12))))-((P119)*(IF((YEAR(D119)+5)&lt;YEAR(E119),0,IF((YEAR(D119)+5)&gt;YEAR(E119),1,(12-MONTH(E119)+1)/12))) + (R119)*(IF((YEAR(D119)+5)&lt;YEAR(E119),0,IF((YEAR(D119)+5)&gt;YEAR(E119),1,(12-MONTH(E119)+1)/12))))-(IF(OR(N119="",N119&lt;=0),0,(O119/N119)*(IF(OR(N119="",N119&lt;=0),0,IF((YEAR(D119)+5)&lt;YEAR(E119),0,IF((YEAR(D119)+5)&gt;=YEAR(E119)+N119,0,IF((YEAR(D119)+5)=YEAR(E119),(12-MONTH(E119)+1)/12,1))))))))*TaxRate,0))-IF(5=0,O119,0))</f>
        <v/>
      </c>
      <c r="Y119" s="29">
        <f>IF(A119="","",((K119)*(IF(M119="",L119,IFERROR(IF(INDEX(Variablen!$I:$AT, MATCH(M119, Variablen!$A:$A, 0), MATCH((YEAR(D119)+6), Variablen!$I$3:$AT$3, 0))="",L119,INDEX(Variablen!$I:$AT, MATCH(M119, Variablen!$A:$A, 0), MATCH((YEAR(D119)+6), Variablen!$I$3:$AT$3, 0))),L119)))*(IF((YEAR(D119)+6)&lt;YEAR(E119),0,IF((YEAR(D119)+6)&gt;YEAR(E119),1,(12-MONTH(E119)+1)/12))) + (Q119)*(IF((YEAR(D119)+6)&lt;YEAR(E119),0,IF((YEAR(D119)+6)&gt;YEAR(E119),1,(12-MONTH(E119)+1)/12))))-((P119)*(IF((YEAR(D119)+6)&lt;YEAR(E119),0,IF((YEAR(D119)+6)&gt;YEAR(E119),1,(12-MONTH(E119)+1)/12))) + (R119)*(IF((YEAR(D119)+6)&lt;YEAR(E119),0,IF((YEAR(D119)+6)&gt;YEAR(E119),1,(12-MONTH(E119)+1)/12))))-(IF((((K119)*(IF(M119="",L119,IFERROR(IF(INDEX(Variablen!$I:$AT, MATCH(M119, Variablen!$A:$A, 0), MATCH((YEAR(D119)+6), Variablen!$I$3:$AT$3, 0))="",L119,INDEX(Variablen!$I:$AT, MATCH(M119, Variablen!$A:$A, 0), MATCH((YEAR(D119)+6), Variablen!$I$3:$AT$3, 0))),L119)))*(IF((YEAR(D119)+6)&lt;YEAR(E119),0,IF((YEAR(D119)+6)&gt;YEAR(E119),1,(12-MONTH(E119)+1)/12))) + (Q119)*(IF((YEAR(D119)+6)&lt;YEAR(E119),0,IF((YEAR(D119)+6)&gt;YEAR(E119),1,(12-MONTH(E119)+1)/12))))-((P119)*(IF((YEAR(D119)+6)&lt;YEAR(E119),0,IF((YEAR(D119)+6)&gt;YEAR(E119),1,(12-MONTH(E119)+1)/12))) + (R119)*(IF((YEAR(D119)+6)&lt;YEAR(E119),0,IF((YEAR(D119)+6)&gt;YEAR(E119),1,(12-MONTH(E119)+1)/12))))-(IF(OR(N119="",N119&lt;=0),0,(O119/N119)*(IF(OR(N119="",N119&lt;=0),0,IF((YEAR(D119)+6)&lt;YEAR(E119),0,IF((YEAR(D119)+6)&gt;=YEAR(E119)+N119,0,IF((YEAR(D119)+6)=YEAR(E119),(12-MONTH(E119)+1)/12,1))))))))&gt;0,(((K119)*(IF(M119="",L119,IFERROR(IF(INDEX(Variablen!$I:$AT, MATCH(M119, Variablen!$A:$A, 0), MATCH((YEAR(D119)+6), Variablen!$I$3:$AT$3, 0))="",L119,INDEX(Variablen!$I:$AT, MATCH(M119, Variablen!$A:$A, 0), MATCH((YEAR(D119)+6), Variablen!$I$3:$AT$3, 0))),L119)))*(IF((YEAR(D119)+6)&lt;YEAR(E119),0,IF((YEAR(D119)+6)&gt;YEAR(E119),1,(12-MONTH(E119)+1)/12))) + (Q119)*(IF((YEAR(D119)+6)&lt;YEAR(E119),0,IF((YEAR(D119)+6)&gt;YEAR(E119),1,(12-MONTH(E119)+1)/12))))-((P119)*(IF((YEAR(D119)+6)&lt;YEAR(E119),0,IF((YEAR(D119)+6)&gt;YEAR(E119),1,(12-MONTH(E119)+1)/12))) + (R119)*(IF((YEAR(D119)+6)&lt;YEAR(E119),0,IF((YEAR(D119)+6)&gt;YEAR(E119),1,(12-MONTH(E119)+1)/12))))-(IF(OR(N119="",N119&lt;=0),0,(O119/N119)*(IF(OR(N119="",N119&lt;=0),0,IF((YEAR(D119)+6)&lt;YEAR(E119),0,IF((YEAR(D119)+6)&gt;=YEAR(E119)+N119,0,IF((YEAR(D119)+6)=YEAR(E119),(12-MONTH(E119)+1)/12,1))))))))*TaxRate,0))-IF(6=0,O119,0))</f>
        <v/>
      </c>
      <c r="Z119" s="29">
        <f>IF(A119="","",((K119)*(IF(M119="",L119,IFERROR(IF(INDEX(Variablen!$I:$AT, MATCH(M119, Variablen!$A:$A, 0), MATCH((YEAR(D119)+7), Variablen!$I$3:$AT$3, 0))="",L119,INDEX(Variablen!$I:$AT, MATCH(M119, Variablen!$A:$A, 0), MATCH((YEAR(D119)+7), Variablen!$I$3:$AT$3, 0))),L119)))*(IF((YEAR(D119)+7)&lt;YEAR(E119),0,IF((YEAR(D119)+7)&gt;YEAR(E119),1,(12-MONTH(E119)+1)/12))) + (Q119)*(IF((YEAR(D119)+7)&lt;YEAR(E119),0,IF((YEAR(D119)+7)&gt;YEAR(E119),1,(12-MONTH(E119)+1)/12))))-((P119)*(IF((YEAR(D119)+7)&lt;YEAR(E119),0,IF((YEAR(D119)+7)&gt;YEAR(E119),1,(12-MONTH(E119)+1)/12))) + (R119)*(IF((YEAR(D119)+7)&lt;YEAR(E119),0,IF((YEAR(D119)+7)&gt;YEAR(E119),1,(12-MONTH(E119)+1)/12))))-(IF((((K119)*(IF(M119="",L119,IFERROR(IF(INDEX(Variablen!$I:$AT, MATCH(M119, Variablen!$A:$A, 0), MATCH((YEAR(D119)+7), Variablen!$I$3:$AT$3, 0))="",L119,INDEX(Variablen!$I:$AT, MATCH(M119, Variablen!$A:$A, 0), MATCH((YEAR(D119)+7), Variablen!$I$3:$AT$3, 0))),L119)))*(IF((YEAR(D119)+7)&lt;YEAR(E119),0,IF((YEAR(D119)+7)&gt;YEAR(E119),1,(12-MONTH(E119)+1)/12))) + (Q119)*(IF((YEAR(D119)+7)&lt;YEAR(E119),0,IF((YEAR(D119)+7)&gt;YEAR(E119),1,(12-MONTH(E119)+1)/12))))-((P119)*(IF((YEAR(D119)+7)&lt;YEAR(E119),0,IF((YEAR(D119)+7)&gt;YEAR(E119),1,(12-MONTH(E119)+1)/12))) + (R119)*(IF((YEAR(D119)+7)&lt;YEAR(E119),0,IF((YEAR(D119)+7)&gt;YEAR(E119),1,(12-MONTH(E119)+1)/12))))-(IF(OR(N119="",N119&lt;=0),0,(O119/N119)*(IF(OR(N119="",N119&lt;=0),0,IF((YEAR(D119)+7)&lt;YEAR(E119),0,IF((YEAR(D119)+7)&gt;=YEAR(E119)+N119,0,IF((YEAR(D119)+7)=YEAR(E119),(12-MONTH(E119)+1)/12,1))))))))&gt;0,(((K119)*(IF(M119="",L119,IFERROR(IF(INDEX(Variablen!$I:$AT, MATCH(M119, Variablen!$A:$A, 0), MATCH((YEAR(D119)+7), Variablen!$I$3:$AT$3, 0))="",L119,INDEX(Variablen!$I:$AT, MATCH(M119, Variablen!$A:$A, 0), MATCH((YEAR(D119)+7), Variablen!$I$3:$AT$3, 0))),L119)))*(IF((YEAR(D119)+7)&lt;YEAR(E119),0,IF((YEAR(D119)+7)&gt;YEAR(E119),1,(12-MONTH(E119)+1)/12))) + (Q119)*(IF((YEAR(D119)+7)&lt;YEAR(E119),0,IF((YEAR(D119)+7)&gt;YEAR(E119),1,(12-MONTH(E119)+1)/12))))-((P119)*(IF((YEAR(D119)+7)&lt;YEAR(E119),0,IF((YEAR(D119)+7)&gt;YEAR(E119),1,(12-MONTH(E119)+1)/12))) + (R119)*(IF((YEAR(D119)+7)&lt;YEAR(E119),0,IF((YEAR(D119)+7)&gt;YEAR(E119),1,(12-MONTH(E119)+1)/12))))-(IF(OR(N119="",N119&lt;=0),0,(O119/N119)*(IF(OR(N119="",N119&lt;=0),0,IF((YEAR(D119)+7)&lt;YEAR(E119),0,IF((YEAR(D119)+7)&gt;=YEAR(E119)+N119,0,IF((YEAR(D119)+7)=YEAR(E119),(12-MONTH(E119)+1)/12,1))))))))*TaxRate,0))-IF(7=0,O119,0))</f>
        <v/>
      </c>
      <c r="AA119" s="29">
        <f>IF(A119="","",((K119)*(IF(M119="",L119,IFERROR(IF(INDEX(Variablen!$I:$AT, MATCH(M119, Variablen!$A:$A, 0), MATCH((YEAR(D119)+8), Variablen!$I$3:$AT$3, 0))="",L119,INDEX(Variablen!$I:$AT, MATCH(M119, Variablen!$A:$A, 0), MATCH((YEAR(D119)+8), Variablen!$I$3:$AT$3, 0))),L119)))*(IF((YEAR(D119)+8)&lt;YEAR(E119),0,IF((YEAR(D119)+8)&gt;YEAR(E119),1,(12-MONTH(E119)+1)/12))) + (Q119)*(IF((YEAR(D119)+8)&lt;YEAR(E119),0,IF((YEAR(D119)+8)&gt;YEAR(E119),1,(12-MONTH(E119)+1)/12))))-((P119)*(IF((YEAR(D119)+8)&lt;YEAR(E119),0,IF((YEAR(D119)+8)&gt;YEAR(E119),1,(12-MONTH(E119)+1)/12))) + (R119)*(IF((YEAR(D119)+8)&lt;YEAR(E119),0,IF((YEAR(D119)+8)&gt;YEAR(E119),1,(12-MONTH(E119)+1)/12))))-(IF((((K119)*(IF(M119="",L119,IFERROR(IF(INDEX(Variablen!$I:$AT, MATCH(M119, Variablen!$A:$A, 0), MATCH((YEAR(D119)+8), Variablen!$I$3:$AT$3, 0))="",L119,INDEX(Variablen!$I:$AT, MATCH(M119, Variablen!$A:$A, 0), MATCH((YEAR(D119)+8), Variablen!$I$3:$AT$3, 0))),L119)))*(IF((YEAR(D119)+8)&lt;YEAR(E119),0,IF((YEAR(D119)+8)&gt;YEAR(E119),1,(12-MONTH(E119)+1)/12))) + (Q119)*(IF((YEAR(D119)+8)&lt;YEAR(E119),0,IF((YEAR(D119)+8)&gt;YEAR(E119),1,(12-MONTH(E119)+1)/12))))-((P119)*(IF((YEAR(D119)+8)&lt;YEAR(E119),0,IF((YEAR(D119)+8)&gt;YEAR(E119),1,(12-MONTH(E119)+1)/12))) + (R119)*(IF((YEAR(D119)+8)&lt;YEAR(E119),0,IF((YEAR(D119)+8)&gt;YEAR(E119),1,(12-MONTH(E119)+1)/12))))-(IF(OR(N119="",N119&lt;=0),0,(O119/N119)*(IF(OR(N119="",N119&lt;=0),0,IF((YEAR(D119)+8)&lt;YEAR(E119),0,IF((YEAR(D119)+8)&gt;=YEAR(E119)+N119,0,IF((YEAR(D119)+8)=YEAR(E119),(12-MONTH(E119)+1)/12,1))))))))&gt;0,(((K119)*(IF(M119="",L119,IFERROR(IF(INDEX(Variablen!$I:$AT, MATCH(M119, Variablen!$A:$A, 0), MATCH((YEAR(D119)+8), Variablen!$I$3:$AT$3, 0))="",L119,INDEX(Variablen!$I:$AT, MATCH(M119, Variablen!$A:$A, 0), MATCH((YEAR(D119)+8), Variablen!$I$3:$AT$3, 0))),L119)))*(IF((YEAR(D119)+8)&lt;YEAR(E119),0,IF((YEAR(D119)+8)&gt;YEAR(E119),1,(12-MONTH(E119)+1)/12))) + (Q119)*(IF((YEAR(D119)+8)&lt;YEAR(E119),0,IF((YEAR(D119)+8)&gt;YEAR(E119),1,(12-MONTH(E119)+1)/12))))-((P119)*(IF((YEAR(D119)+8)&lt;YEAR(E119),0,IF((YEAR(D119)+8)&gt;YEAR(E119),1,(12-MONTH(E119)+1)/12))) + (R119)*(IF((YEAR(D119)+8)&lt;YEAR(E119),0,IF((YEAR(D119)+8)&gt;YEAR(E119),1,(12-MONTH(E119)+1)/12))))-(IF(OR(N119="",N119&lt;=0),0,(O119/N119)*(IF(OR(N119="",N119&lt;=0),0,IF((YEAR(D119)+8)&lt;YEAR(E119),0,IF((YEAR(D119)+8)&gt;=YEAR(E119)+N119,0,IF((YEAR(D119)+8)=YEAR(E119),(12-MONTH(E119)+1)/12,1))))))))*TaxRate,0))-IF(8=0,O119,0))</f>
        <v/>
      </c>
      <c r="AB119" s="29">
        <f>IF(A119="","",((K119)*(IF(M119="",L119,IFERROR(IF(INDEX(Variablen!$I:$AT, MATCH(M119, Variablen!$A:$A, 0), MATCH((YEAR(D119)+9), Variablen!$I$3:$AT$3, 0))="",L119,INDEX(Variablen!$I:$AT, MATCH(M119, Variablen!$A:$A, 0), MATCH((YEAR(D119)+9), Variablen!$I$3:$AT$3, 0))),L119)))*(IF((YEAR(D119)+9)&lt;YEAR(E119),0,IF((YEAR(D119)+9)&gt;YEAR(E119),1,(12-MONTH(E119)+1)/12))) + (Q119)*(IF((YEAR(D119)+9)&lt;YEAR(E119),0,IF((YEAR(D119)+9)&gt;YEAR(E119),1,(12-MONTH(E119)+1)/12))))-((P119)*(IF((YEAR(D119)+9)&lt;YEAR(E119),0,IF((YEAR(D119)+9)&gt;YEAR(E119),1,(12-MONTH(E119)+1)/12))) + (R119)*(IF((YEAR(D119)+9)&lt;YEAR(E119),0,IF((YEAR(D119)+9)&gt;YEAR(E119),1,(12-MONTH(E119)+1)/12))))-(IF((((K119)*(IF(M119="",L119,IFERROR(IF(INDEX(Variablen!$I:$AT, MATCH(M119, Variablen!$A:$A, 0), MATCH((YEAR(D119)+9), Variablen!$I$3:$AT$3, 0))="",L119,INDEX(Variablen!$I:$AT, MATCH(M119, Variablen!$A:$A, 0), MATCH((YEAR(D119)+9), Variablen!$I$3:$AT$3, 0))),L119)))*(IF((YEAR(D119)+9)&lt;YEAR(E119),0,IF((YEAR(D119)+9)&gt;YEAR(E119),1,(12-MONTH(E119)+1)/12))) + (Q119)*(IF((YEAR(D119)+9)&lt;YEAR(E119),0,IF((YEAR(D119)+9)&gt;YEAR(E119),1,(12-MONTH(E119)+1)/12))))-((P119)*(IF((YEAR(D119)+9)&lt;YEAR(E119),0,IF((YEAR(D119)+9)&gt;YEAR(E119),1,(12-MONTH(E119)+1)/12))) + (R119)*(IF((YEAR(D119)+9)&lt;YEAR(E119),0,IF((YEAR(D119)+9)&gt;YEAR(E119),1,(12-MONTH(E119)+1)/12))))-(IF(OR(N119="",N119&lt;=0),0,(O119/N119)*(IF(OR(N119="",N119&lt;=0),0,IF((YEAR(D119)+9)&lt;YEAR(E119),0,IF((YEAR(D119)+9)&gt;=YEAR(E119)+N119,0,IF((YEAR(D119)+9)=YEAR(E119),(12-MONTH(E119)+1)/12,1))))))))&gt;0,(((K119)*(IF(M119="",L119,IFERROR(IF(INDEX(Variablen!$I:$AT, MATCH(M119, Variablen!$A:$A, 0), MATCH((YEAR(D119)+9), Variablen!$I$3:$AT$3, 0))="",L119,INDEX(Variablen!$I:$AT, MATCH(M119, Variablen!$A:$A, 0), MATCH((YEAR(D119)+9), Variablen!$I$3:$AT$3, 0))),L119)))*(IF((YEAR(D119)+9)&lt;YEAR(E119),0,IF((YEAR(D119)+9)&gt;YEAR(E119),1,(12-MONTH(E119)+1)/12))) + (Q119)*(IF((YEAR(D119)+9)&lt;YEAR(E119),0,IF((YEAR(D119)+9)&gt;YEAR(E119),1,(12-MONTH(E119)+1)/12))))-((P119)*(IF((YEAR(D119)+9)&lt;YEAR(E119),0,IF((YEAR(D119)+9)&gt;YEAR(E119),1,(12-MONTH(E119)+1)/12))) + (R119)*(IF((YEAR(D119)+9)&lt;YEAR(E119),0,IF((YEAR(D119)+9)&gt;YEAR(E119),1,(12-MONTH(E119)+1)/12))))-(IF(OR(N119="",N119&lt;=0),0,(O119/N119)*(IF(OR(N119="",N119&lt;=0),0,IF((YEAR(D119)+9)&lt;YEAR(E119),0,IF((YEAR(D119)+9)&gt;=YEAR(E119)+N119,0,IF((YEAR(D119)+9)=YEAR(E119),(12-MONTH(E119)+1)/12,1))))))))*TaxRate,0))-IF(9=0,O119,0))</f>
        <v/>
      </c>
      <c r="AC119" s="29">
        <f>IF(A119="","",((K119)*(IF(M119="",L119,IFERROR(IF(INDEX(Variablen!$I:$AT, MATCH(M119, Variablen!$A:$A, 0), MATCH((YEAR(D119)+10), Variablen!$I$3:$AT$3, 0))="",L119,INDEX(Variablen!$I:$AT, MATCH(M119, Variablen!$A:$A, 0), MATCH((YEAR(D119)+10), Variablen!$I$3:$AT$3, 0))),L119)))*(IF((YEAR(D119)+10)&lt;YEAR(E119),0,IF((YEAR(D119)+10)&gt;YEAR(E119),1,(12-MONTH(E119)+1)/12))) + (Q119)*(IF((YEAR(D119)+10)&lt;YEAR(E119),0,IF((YEAR(D119)+10)&gt;YEAR(E119),1,(12-MONTH(E119)+1)/12))))-((P119)*(IF((YEAR(D119)+10)&lt;YEAR(E119),0,IF((YEAR(D119)+10)&gt;YEAR(E119),1,(12-MONTH(E119)+1)/12))) + (R119)*(IF((YEAR(D119)+10)&lt;YEAR(E119),0,IF((YEAR(D119)+10)&gt;YEAR(E119),1,(12-MONTH(E119)+1)/12))))-(IF((((K119)*(IF(M119="",L119,IFERROR(IF(INDEX(Variablen!$I:$AT, MATCH(M119, Variablen!$A:$A, 0), MATCH((YEAR(D119)+10), Variablen!$I$3:$AT$3, 0))="",L119,INDEX(Variablen!$I:$AT, MATCH(M119, Variablen!$A:$A, 0), MATCH((YEAR(D119)+10), Variablen!$I$3:$AT$3, 0))),L119)))*(IF((YEAR(D119)+10)&lt;YEAR(E119),0,IF((YEAR(D119)+10)&gt;YEAR(E119),1,(12-MONTH(E119)+1)/12))) + (Q119)*(IF((YEAR(D119)+10)&lt;YEAR(E119),0,IF((YEAR(D119)+10)&gt;YEAR(E119),1,(12-MONTH(E119)+1)/12))))-((P119)*(IF((YEAR(D119)+10)&lt;YEAR(E119),0,IF((YEAR(D119)+10)&gt;YEAR(E119),1,(12-MONTH(E119)+1)/12))) + (R119)*(IF((YEAR(D119)+10)&lt;YEAR(E119),0,IF((YEAR(D119)+10)&gt;YEAR(E119),1,(12-MONTH(E119)+1)/12))))-(IF(OR(N119="",N119&lt;=0),0,(O119/N119)*(IF(OR(N119="",N119&lt;=0),0,IF((YEAR(D119)+10)&lt;YEAR(E119),0,IF((YEAR(D119)+10)&gt;=YEAR(E119)+N119,0,IF((YEAR(D119)+10)=YEAR(E119),(12-MONTH(E119)+1)/12,1))))))))&gt;0,(((K119)*(IF(M119="",L119,IFERROR(IF(INDEX(Variablen!$I:$AT, MATCH(M119, Variablen!$A:$A, 0), MATCH((YEAR(D119)+10), Variablen!$I$3:$AT$3, 0))="",L119,INDEX(Variablen!$I:$AT, MATCH(M119, Variablen!$A:$A, 0), MATCH((YEAR(D119)+10), Variablen!$I$3:$AT$3, 0))),L119)))*(IF((YEAR(D119)+10)&lt;YEAR(E119),0,IF((YEAR(D119)+10)&gt;YEAR(E119),1,(12-MONTH(E119)+1)/12))) + (Q119)*(IF((YEAR(D119)+10)&lt;YEAR(E119),0,IF((YEAR(D119)+10)&gt;YEAR(E119),1,(12-MONTH(E119)+1)/12))))-((P119)*(IF((YEAR(D119)+10)&lt;YEAR(E119),0,IF((YEAR(D119)+10)&gt;YEAR(E119),1,(12-MONTH(E119)+1)/12))) + (R119)*(IF((YEAR(D119)+10)&lt;YEAR(E119),0,IF((YEAR(D119)+10)&gt;YEAR(E119),1,(12-MONTH(E119)+1)/12))))-(IF(OR(N119="",N119&lt;=0),0,(O119/N119)*(IF(OR(N119="",N119&lt;=0),0,IF((YEAR(D119)+10)&lt;YEAR(E119),0,IF((YEAR(D119)+10)&gt;=YEAR(E119)+N119,0,IF((YEAR(D119)+10)=YEAR(E119),(12-MONTH(E119)+1)/12,1))))))))*TaxRate,0))-IF(10=0,O119,0))</f>
        <v/>
      </c>
      <c r="AD119" s="29">
        <f>IF(A119="","",((K119)*(IF(M119="",L119,IFERROR(IF(INDEX(Variablen!$I:$AT, MATCH(M119, Variablen!$A:$A, 0), MATCH((YEAR(D119)+11), Variablen!$I$3:$AT$3, 0))="",L119,INDEX(Variablen!$I:$AT, MATCH(M119, Variablen!$A:$A, 0), MATCH((YEAR(D119)+11), Variablen!$I$3:$AT$3, 0))),L119)))*(IF((YEAR(D119)+11)&lt;YEAR(E119),0,IF((YEAR(D119)+11)&gt;YEAR(E119),1,(12-MONTH(E119)+1)/12))) + (Q119)*(IF((YEAR(D119)+11)&lt;YEAR(E119),0,IF((YEAR(D119)+11)&gt;YEAR(E119),1,(12-MONTH(E119)+1)/12))))-((P119)*(IF((YEAR(D119)+11)&lt;YEAR(E119),0,IF((YEAR(D119)+11)&gt;YEAR(E119),1,(12-MONTH(E119)+1)/12))) + (R119)*(IF((YEAR(D119)+11)&lt;YEAR(E119),0,IF((YEAR(D119)+11)&gt;YEAR(E119),1,(12-MONTH(E119)+1)/12))))-(IF((((K119)*(IF(M119="",L119,IFERROR(IF(INDEX(Variablen!$I:$AT, MATCH(M119, Variablen!$A:$A, 0), MATCH((YEAR(D119)+11), Variablen!$I$3:$AT$3, 0))="",L119,INDEX(Variablen!$I:$AT, MATCH(M119, Variablen!$A:$A, 0), MATCH((YEAR(D119)+11), Variablen!$I$3:$AT$3, 0))),L119)))*(IF((YEAR(D119)+11)&lt;YEAR(E119),0,IF((YEAR(D119)+11)&gt;YEAR(E119),1,(12-MONTH(E119)+1)/12))) + (Q119)*(IF((YEAR(D119)+11)&lt;YEAR(E119),0,IF((YEAR(D119)+11)&gt;YEAR(E119),1,(12-MONTH(E119)+1)/12))))-((P119)*(IF((YEAR(D119)+11)&lt;YEAR(E119),0,IF((YEAR(D119)+11)&gt;YEAR(E119),1,(12-MONTH(E119)+1)/12))) + (R119)*(IF((YEAR(D119)+11)&lt;YEAR(E119),0,IF((YEAR(D119)+11)&gt;YEAR(E119),1,(12-MONTH(E119)+1)/12))))-(IF(OR(N119="",N119&lt;=0),0,(O119/N119)*(IF(OR(N119="",N119&lt;=0),0,IF((YEAR(D119)+11)&lt;YEAR(E119),0,IF((YEAR(D119)+11)&gt;=YEAR(E119)+N119,0,IF((YEAR(D119)+11)=YEAR(E119),(12-MONTH(E119)+1)/12,1))))))))&gt;0,(((K119)*(IF(M119="",L119,IFERROR(IF(INDEX(Variablen!$I:$AT, MATCH(M119, Variablen!$A:$A, 0), MATCH((YEAR(D119)+11), Variablen!$I$3:$AT$3, 0))="",L119,INDEX(Variablen!$I:$AT, MATCH(M119, Variablen!$A:$A, 0), MATCH((YEAR(D119)+11), Variablen!$I$3:$AT$3, 0))),L119)))*(IF((YEAR(D119)+11)&lt;YEAR(E119),0,IF((YEAR(D119)+11)&gt;YEAR(E119),1,(12-MONTH(E119)+1)/12))) + (Q119)*(IF((YEAR(D119)+11)&lt;YEAR(E119),0,IF((YEAR(D119)+11)&gt;YEAR(E119),1,(12-MONTH(E119)+1)/12))))-((P119)*(IF((YEAR(D119)+11)&lt;YEAR(E119),0,IF((YEAR(D119)+11)&gt;YEAR(E119),1,(12-MONTH(E119)+1)/12))) + (R119)*(IF((YEAR(D119)+11)&lt;YEAR(E119),0,IF((YEAR(D119)+11)&gt;YEAR(E119),1,(12-MONTH(E119)+1)/12))))-(IF(OR(N119="",N119&lt;=0),0,(O119/N119)*(IF(OR(N119="",N119&lt;=0),0,IF((YEAR(D119)+11)&lt;YEAR(E119),0,IF((YEAR(D119)+11)&gt;=YEAR(E119)+N119,0,IF((YEAR(D119)+11)=YEAR(E119),(12-MONTH(E119)+1)/12,1))))))))*TaxRate,0))-IF(11=0,O119,0))</f>
        <v/>
      </c>
      <c r="AE119" s="29">
        <f>IF(A119="","",((K119)*(IF(M119="",L119,IFERROR(IF(INDEX(Variablen!$I:$AT, MATCH(M119, Variablen!$A:$A, 0), MATCH((YEAR(D119)+12), Variablen!$I$3:$AT$3, 0))="",L119,INDEX(Variablen!$I:$AT, MATCH(M119, Variablen!$A:$A, 0), MATCH((YEAR(D119)+12), Variablen!$I$3:$AT$3, 0))),L119)))*(IF((YEAR(D119)+12)&lt;YEAR(E119),0,IF((YEAR(D119)+12)&gt;YEAR(E119),1,(12-MONTH(E119)+1)/12))) + (Q119)*(IF((YEAR(D119)+12)&lt;YEAR(E119),0,IF((YEAR(D119)+12)&gt;YEAR(E119),1,(12-MONTH(E119)+1)/12))))-((P119)*(IF((YEAR(D119)+12)&lt;YEAR(E119),0,IF((YEAR(D119)+12)&gt;YEAR(E119),1,(12-MONTH(E119)+1)/12))) + (R119)*(IF((YEAR(D119)+12)&lt;YEAR(E119),0,IF((YEAR(D119)+12)&gt;YEAR(E119),1,(12-MONTH(E119)+1)/12))))-(IF((((K119)*(IF(M119="",L119,IFERROR(IF(INDEX(Variablen!$I:$AT, MATCH(M119, Variablen!$A:$A, 0), MATCH((YEAR(D119)+12), Variablen!$I$3:$AT$3, 0))="",L119,INDEX(Variablen!$I:$AT, MATCH(M119, Variablen!$A:$A, 0), MATCH((YEAR(D119)+12), Variablen!$I$3:$AT$3, 0))),L119)))*(IF((YEAR(D119)+12)&lt;YEAR(E119),0,IF((YEAR(D119)+12)&gt;YEAR(E119),1,(12-MONTH(E119)+1)/12))) + (Q119)*(IF((YEAR(D119)+12)&lt;YEAR(E119),0,IF((YEAR(D119)+12)&gt;YEAR(E119),1,(12-MONTH(E119)+1)/12))))-((P119)*(IF((YEAR(D119)+12)&lt;YEAR(E119),0,IF((YEAR(D119)+12)&gt;YEAR(E119),1,(12-MONTH(E119)+1)/12))) + (R119)*(IF((YEAR(D119)+12)&lt;YEAR(E119),0,IF((YEAR(D119)+12)&gt;YEAR(E119),1,(12-MONTH(E119)+1)/12))))-(IF(OR(N119="",N119&lt;=0),0,(O119/N119)*(IF(OR(N119="",N119&lt;=0),0,IF((YEAR(D119)+12)&lt;YEAR(E119),0,IF((YEAR(D119)+12)&gt;=YEAR(E119)+N119,0,IF((YEAR(D119)+12)=YEAR(E119),(12-MONTH(E119)+1)/12,1))))))))&gt;0,(((K119)*(IF(M119="",L119,IFERROR(IF(INDEX(Variablen!$I:$AT, MATCH(M119, Variablen!$A:$A, 0), MATCH((YEAR(D119)+12), Variablen!$I$3:$AT$3, 0))="",L119,INDEX(Variablen!$I:$AT, MATCH(M119, Variablen!$A:$A, 0), MATCH((YEAR(D119)+12), Variablen!$I$3:$AT$3, 0))),L119)))*(IF((YEAR(D119)+12)&lt;YEAR(E119),0,IF((YEAR(D119)+12)&gt;YEAR(E119),1,(12-MONTH(E119)+1)/12))) + (Q119)*(IF((YEAR(D119)+12)&lt;YEAR(E119),0,IF((YEAR(D119)+12)&gt;YEAR(E119),1,(12-MONTH(E119)+1)/12))))-((P119)*(IF((YEAR(D119)+12)&lt;YEAR(E119),0,IF((YEAR(D119)+12)&gt;YEAR(E119),1,(12-MONTH(E119)+1)/12))) + (R119)*(IF((YEAR(D119)+12)&lt;YEAR(E119),0,IF((YEAR(D119)+12)&gt;YEAR(E119),1,(12-MONTH(E119)+1)/12))))-(IF(OR(N119="",N119&lt;=0),0,(O119/N119)*(IF(OR(N119="",N119&lt;=0),0,IF((YEAR(D119)+12)&lt;YEAR(E119),0,IF((YEAR(D119)+12)&gt;=YEAR(E119)+N119,0,IF((YEAR(D119)+12)=YEAR(E119),(12-MONTH(E119)+1)/12,1))))))))*TaxRate,0))-IF(12=0,O119,0))</f>
        <v/>
      </c>
      <c r="AF119" s="29">
        <f>IF(A119="","",((K119)*(IF(M119="",L119,IFERROR(IF(INDEX(Variablen!$I:$AT, MATCH(M119, Variablen!$A:$A, 0), MATCH((YEAR(D119)+13), Variablen!$I$3:$AT$3, 0))="",L119,INDEX(Variablen!$I:$AT, MATCH(M119, Variablen!$A:$A, 0), MATCH((YEAR(D119)+13), Variablen!$I$3:$AT$3, 0))),L119)))*(IF((YEAR(D119)+13)&lt;YEAR(E119),0,IF((YEAR(D119)+13)&gt;YEAR(E119),1,(12-MONTH(E119)+1)/12))) + (Q119)*(IF((YEAR(D119)+13)&lt;YEAR(E119),0,IF((YEAR(D119)+13)&gt;YEAR(E119),1,(12-MONTH(E119)+1)/12))))-((P119)*(IF((YEAR(D119)+13)&lt;YEAR(E119),0,IF((YEAR(D119)+13)&gt;YEAR(E119),1,(12-MONTH(E119)+1)/12))) + (R119)*(IF((YEAR(D119)+13)&lt;YEAR(E119),0,IF((YEAR(D119)+13)&gt;YEAR(E119),1,(12-MONTH(E119)+1)/12))))-(IF((((K119)*(IF(M119="",L119,IFERROR(IF(INDEX(Variablen!$I:$AT, MATCH(M119, Variablen!$A:$A, 0), MATCH((YEAR(D119)+13), Variablen!$I$3:$AT$3, 0))="",L119,INDEX(Variablen!$I:$AT, MATCH(M119, Variablen!$A:$A, 0), MATCH((YEAR(D119)+13), Variablen!$I$3:$AT$3, 0))),L119)))*(IF((YEAR(D119)+13)&lt;YEAR(E119),0,IF((YEAR(D119)+13)&gt;YEAR(E119),1,(12-MONTH(E119)+1)/12))) + (Q119)*(IF((YEAR(D119)+13)&lt;YEAR(E119),0,IF((YEAR(D119)+13)&gt;YEAR(E119),1,(12-MONTH(E119)+1)/12))))-((P119)*(IF((YEAR(D119)+13)&lt;YEAR(E119),0,IF((YEAR(D119)+13)&gt;YEAR(E119),1,(12-MONTH(E119)+1)/12))) + (R119)*(IF((YEAR(D119)+13)&lt;YEAR(E119),0,IF((YEAR(D119)+13)&gt;YEAR(E119),1,(12-MONTH(E119)+1)/12))))-(IF(OR(N119="",N119&lt;=0),0,(O119/N119)*(IF(OR(N119="",N119&lt;=0),0,IF((YEAR(D119)+13)&lt;YEAR(E119),0,IF((YEAR(D119)+13)&gt;=YEAR(E119)+N119,0,IF((YEAR(D119)+13)=YEAR(E119),(12-MONTH(E119)+1)/12,1))))))))&gt;0,(((K119)*(IF(M119="",L119,IFERROR(IF(INDEX(Variablen!$I:$AT, MATCH(M119, Variablen!$A:$A, 0), MATCH((YEAR(D119)+13), Variablen!$I$3:$AT$3, 0))="",L119,INDEX(Variablen!$I:$AT, MATCH(M119, Variablen!$A:$A, 0), MATCH((YEAR(D119)+13), Variablen!$I$3:$AT$3, 0))),L119)))*(IF((YEAR(D119)+13)&lt;YEAR(E119),0,IF((YEAR(D119)+13)&gt;YEAR(E119),1,(12-MONTH(E119)+1)/12))) + (Q119)*(IF((YEAR(D119)+13)&lt;YEAR(E119),0,IF((YEAR(D119)+13)&gt;YEAR(E119),1,(12-MONTH(E119)+1)/12))))-((P119)*(IF((YEAR(D119)+13)&lt;YEAR(E119),0,IF((YEAR(D119)+13)&gt;YEAR(E119),1,(12-MONTH(E119)+1)/12))) + (R119)*(IF((YEAR(D119)+13)&lt;YEAR(E119),0,IF((YEAR(D119)+13)&gt;YEAR(E119),1,(12-MONTH(E119)+1)/12))))-(IF(OR(N119="",N119&lt;=0),0,(O119/N119)*(IF(OR(N119="",N119&lt;=0),0,IF((YEAR(D119)+13)&lt;YEAR(E119),0,IF((YEAR(D119)+13)&gt;=YEAR(E119)+N119,0,IF((YEAR(D119)+13)=YEAR(E119),(12-MONTH(E119)+1)/12,1))))))))*TaxRate,0))-IF(13=0,O119,0))</f>
        <v/>
      </c>
      <c r="AG119" s="29">
        <f>IF(A119="","",((K119)*(IF(M119="",L119,IFERROR(IF(INDEX(Variablen!$I:$AT, MATCH(M119, Variablen!$A:$A, 0), MATCH((YEAR(D119)+14), Variablen!$I$3:$AT$3, 0))="",L119,INDEX(Variablen!$I:$AT, MATCH(M119, Variablen!$A:$A, 0), MATCH((YEAR(D119)+14), Variablen!$I$3:$AT$3, 0))),L119)))*(IF((YEAR(D119)+14)&lt;YEAR(E119),0,IF((YEAR(D119)+14)&gt;YEAR(E119),1,(12-MONTH(E119)+1)/12))) + (Q119)*(IF((YEAR(D119)+14)&lt;YEAR(E119),0,IF((YEAR(D119)+14)&gt;YEAR(E119),1,(12-MONTH(E119)+1)/12))))-((P119)*(IF((YEAR(D119)+14)&lt;YEAR(E119),0,IF((YEAR(D119)+14)&gt;YEAR(E119),1,(12-MONTH(E119)+1)/12))) + (R119)*(IF((YEAR(D119)+14)&lt;YEAR(E119),0,IF((YEAR(D119)+14)&gt;YEAR(E119),1,(12-MONTH(E119)+1)/12))))-(IF((((K119)*(IF(M119="",L119,IFERROR(IF(INDEX(Variablen!$I:$AT, MATCH(M119, Variablen!$A:$A, 0), MATCH((YEAR(D119)+14), Variablen!$I$3:$AT$3, 0))="",L119,INDEX(Variablen!$I:$AT, MATCH(M119, Variablen!$A:$A, 0), MATCH((YEAR(D119)+14), Variablen!$I$3:$AT$3, 0))),L119)))*(IF((YEAR(D119)+14)&lt;YEAR(E119),0,IF((YEAR(D119)+14)&gt;YEAR(E119),1,(12-MONTH(E119)+1)/12))) + (Q119)*(IF((YEAR(D119)+14)&lt;YEAR(E119),0,IF((YEAR(D119)+14)&gt;YEAR(E119),1,(12-MONTH(E119)+1)/12))))-((P119)*(IF((YEAR(D119)+14)&lt;YEAR(E119),0,IF((YEAR(D119)+14)&gt;YEAR(E119),1,(12-MONTH(E119)+1)/12))) + (R119)*(IF((YEAR(D119)+14)&lt;YEAR(E119),0,IF((YEAR(D119)+14)&gt;YEAR(E119),1,(12-MONTH(E119)+1)/12))))-(IF(OR(N119="",N119&lt;=0),0,(O119/N119)*(IF(OR(N119="",N119&lt;=0),0,IF((YEAR(D119)+14)&lt;YEAR(E119),0,IF((YEAR(D119)+14)&gt;=YEAR(E119)+N119,0,IF((YEAR(D119)+14)=YEAR(E119),(12-MONTH(E119)+1)/12,1))))))))&gt;0,(((K119)*(IF(M119="",L119,IFERROR(IF(INDEX(Variablen!$I:$AT, MATCH(M119, Variablen!$A:$A, 0), MATCH((YEAR(D119)+14), Variablen!$I$3:$AT$3, 0))="",L119,INDEX(Variablen!$I:$AT, MATCH(M119, Variablen!$A:$A, 0), MATCH((YEAR(D119)+14), Variablen!$I$3:$AT$3, 0))),L119)))*(IF((YEAR(D119)+14)&lt;YEAR(E119),0,IF((YEAR(D119)+14)&gt;YEAR(E119),1,(12-MONTH(E119)+1)/12))) + (Q119)*(IF((YEAR(D119)+14)&lt;YEAR(E119),0,IF((YEAR(D119)+14)&gt;YEAR(E119),1,(12-MONTH(E119)+1)/12))))-((P119)*(IF((YEAR(D119)+14)&lt;YEAR(E119),0,IF((YEAR(D119)+14)&gt;YEAR(E119),1,(12-MONTH(E119)+1)/12))) + (R119)*(IF((YEAR(D119)+14)&lt;YEAR(E119),0,IF((YEAR(D119)+14)&gt;YEAR(E119),1,(12-MONTH(E119)+1)/12))))-(IF(OR(N119="",N119&lt;=0),0,(O119/N119)*(IF(OR(N119="",N119&lt;=0),0,IF((YEAR(D119)+14)&lt;YEAR(E119),0,IF((YEAR(D119)+14)&gt;=YEAR(E119)+N119,0,IF((YEAR(D119)+14)=YEAR(E119),(12-MONTH(E119)+1)/12,1))))))))*TaxRate,0))-IF(14=0,O119,0))</f>
        <v/>
      </c>
      <c r="AH119" s="29">
        <f>IF(A119="","",((K119)*(IF(M119="",L119,IFERROR(IF(INDEX(Variablen!$I:$AT, MATCH(M119, Variablen!$A:$A, 0), MATCH((YEAR(D119)+15), Variablen!$I$3:$AT$3, 0))="",L119,INDEX(Variablen!$I:$AT, MATCH(M119, Variablen!$A:$A, 0), MATCH((YEAR(D119)+15), Variablen!$I$3:$AT$3, 0))),L119)))*(IF((YEAR(D119)+15)&lt;YEAR(E119),0,IF((YEAR(D119)+15)&gt;YEAR(E119),1,(12-MONTH(E119)+1)/12))) + (Q119)*(IF((YEAR(D119)+15)&lt;YEAR(E119),0,IF((YEAR(D119)+15)&gt;YEAR(E119),1,(12-MONTH(E119)+1)/12))))-((P119)*(IF((YEAR(D119)+15)&lt;YEAR(E119),0,IF((YEAR(D119)+15)&gt;YEAR(E119),1,(12-MONTH(E119)+1)/12))) + (R119)*(IF((YEAR(D119)+15)&lt;YEAR(E119),0,IF((YEAR(D119)+15)&gt;YEAR(E119),1,(12-MONTH(E119)+1)/12))))-(IF((((K119)*(IF(M119="",L119,IFERROR(IF(INDEX(Variablen!$I:$AT, MATCH(M119, Variablen!$A:$A, 0), MATCH((YEAR(D119)+15), Variablen!$I$3:$AT$3, 0))="",L119,INDEX(Variablen!$I:$AT, MATCH(M119, Variablen!$A:$A, 0), MATCH((YEAR(D119)+15), Variablen!$I$3:$AT$3, 0))),L119)))*(IF((YEAR(D119)+15)&lt;YEAR(E119),0,IF((YEAR(D119)+15)&gt;YEAR(E119),1,(12-MONTH(E119)+1)/12))) + (Q119)*(IF((YEAR(D119)+15)&lt;YEAR(E119),0,IF((YEAR(D119)+15)&gt;YEAR(E119),1,(12-MONTH(E119)+1)/12))))-((P119)*(IF((YEAR(D119)+15)&lt;YEAR(E119),0,IF((YEAR(D119)+15)&gt;YEAR(E119),1,(12-MONTH(E119)+1)/12))) + (R119)*(IF((YEAR(D119)+15)&lt;YEAR(E119),0,IF((YEAR(D119)+15)&gt;YEAR(E119),1,(12-MONTH(E119)+1)/12))))-(IF(OR(N119="",N119&lt;=0),0,(O119/N119)*(IF(OR(N119="",N119&lt;=0),0,IF((YEAR(D119)+15)&lt;YEAR(E119),0,IF((YEAR(D119)+15)&gt;=YEAR(E119)+N119,0,IF((YEAR(D119)+15)=YEAR(E119),(12-MONTH(E119)+1)/12,1))))))))&gt;0,(((K119)*(IF(M119="",L119,IFERROR(IF(INDEX(Variablen!$I:$AT, MATCH(M119, Variablen!$A:$A, 0), MATCH((YEAR(D119)+15), Variablen!$I$3:$AT$3, 0))="",L119,INDEX(Variablen!$I:$AT, MATCH(M119, Variablen!$A:$A, 0), MATCH((YEAR(D119)+15), Variablen!$I$3:$AT$3, 0))),L119)))*(IF((YEAR(D119)+15)&lt;YEAR(E119),0,IF((YEAR(D119)+15)&gt;YEAR(E119),1,(12-MONTH(E119)+1)/12))) + (Q119)*(IF((YEAR(D119)+15)&lt;YEAR(E119),0,IF((YEAR(D119)+15)&gt;YEAR(E119),1,(12-MONTH(E119)+1)/12))))-((P119)*(IF((YEAR(D119)+15)&lt;YEAR(E119),0,IF((YEAR(D119)+15)&gt;YEAR(E119),1,(12-MONTH(E119)+1)/12))) + (R119)*(IF((YEAR(D119)+15)&lt;YEAR(E119),0,IF((YEAR(D119)+15)&gt;YEAR(E119),1,(12-MONTH(E119)+1)/12))))-(IF(OR(N119="",N119&lt;=0),0,(O119/N119)*(IF(OR(N119="",N119&lt;=0),0,IF((YEAR(D119)+15)&lt;YEAR(E119),0,IF((YEAR(D119)+15)&gt;=YEAR(E119)+N119,0,IF((YEAR(D119)+15)=YEAR(E119),(12-MONTH(E119)+1)/12,1))))))))*TaxRate,0))-IF(15=0,O119,0))</f>
        <v/>
      </c>
      <c r="AI119" s="29">
        <f>IF(A119="","",((K119)*(IF(M119="",L119,IFERROR(IF(INDEX(Variablen!$I:$AT, MATCH(M119, Variablen!$A:$A, 0), MATCH((YEAR(D119)+16), Variablen!$I$3:$AT$3, 0))="",L119,INDEX(Variablen!$I:$AT, MATCH(M119, Variablen!$A:$A, 0), MATCH((YEAR(D119)+16), Variablen!$I$3:$AT$3, 0))),L119)))*(IF((YEAR(D119)+16)&lt;YEAR(E119),0,IF((YEAR(D119)+16)&gt;YEAR(E119),1,(12-MONTH(E119)+1)/12))) + (Q119)*(IF((YEAR(D119)+16)&lt;YEAR(E119),0,IF((YEAR(D119)+16)&gt;YEAR(E119),1,(12-MONTH(E119)+1)/12))))-((P119)*(IF((YEAR(D119)+16)&lt;YEAR(E119),0,IF((YEAR(D119)+16)&gt;YEAR(E119),1,(12-MONTH(E119)+1)/12))) + (R119)*(IF((YEAR(D119)+16)&lt;YEAR(E119),0,IF((YEAR(D119)+16)&gt;YEAR(E119),1,(12-MONTH(E119)+1)/12))))-(IF((((K119)*(IF(M119="",L119,IFERROR(IF(INDEX(Variablen!$I:$AT, MATCH(M119, Variablen!$A:$A, 0), MATCH((YEAR(D119)+16), Variablen!$I$3:$AT$3, 0))="",L119,INDEX(Variablen!$I:$AT, MATCH(M119, Variablen!$A:$A, 0), MATCH((YEAR(D119)+16), Variablen!$I$3:$AT$3, 0))),L119)))*(IF((YEAR(D119)+16)&lt;YEAR(E119),0,IF((YEAR(D119)+16)&gt;YEAR(E119),1,(12-MONTH(E119)+1)/12))) + (Q119)*(IF((YEAR(D119)+16)&lt;YEAR(E119),0,IF((YEAR(D119)+16)&gt;YEAR(E119),1,(12-MONTH(E119)+1)/12))))-((P119)*(IF((YEAR(D119)+16)&lt;YEAR(E119),0,IF((YEAR(D119)+16)&gt;YEAR(E119),1,(12-MONTH(E119)+1)/12))) + (R119)*(IF((YEAR(D119)+16)&lt;YEAR(E119),0,IF((YEAR(D119)+16)&gt;YEAR(E119),1,(12-MONTH(E119)+1)/12))))-(IF(OR(N119="",N119&lt;=0),0,(O119/N119)*(IF(OR(N119="",N119&lt;=0),0,IF((YEAR(D119)+16)&lt;YEAR(E119),0,IF((YEAR(D119)+16)&gt;=YEAR(E119)+N119,0,IF((YEAR(D119)+16)=YEAR(E119),(12-MONTH(E119)+1)/12,1))))))))&gt;0,(((K119)*(IF(M119="",L119,IFERROR(IF(INDEX(Variablen!$I:$AT, MATCH(M119, Variablen!$A:$A, 0), MATCH((YEAR(D119)+16), Variablen!$I$3:$AT$3, 0))="",L119,INDEX(Variablen!$I:$AT, MATCH(M119, Variablen!$A:$A, 0), MATCH((YEAR(D119)+16), Variablen!$I$3:$AT$3, 0))),L119)))*(IF((YEAR(D119)+16)&lt;YEAR(E119),0,IF((YEAR(D119)+16)&gt;YEAR(E119),1,(12-MONTH(E119)+1)/12))) + (Q119)*(IF((YEAR(D119)+16)&lt;YEAR(E119),0,IF((YEAR(D119)+16)&gt;YEAR(E119),1,(12-MONTH(E119)+1)/12))))-((P119)*(IF((YEAR(D119)+16)&lt;YEAR(E119),0,IF((YEAR(D119)+16)&gt;YEAR(E119),1,(12-MONTH(E119)+1)/12))) + (R119)*(IF((YEAR(D119)+16)&lt;YEAR(E119),0,IF((YEAR(D119)+16)&gt;YEAR(E119),1,(12-MONTH(E119)+1)/12))))-(IF(OR(N119="",N119&lt;=0),0,(O119/N119)*(IF(OR(N119="",N119&lt;=0),0,IF((YEAR(D119)+16)&lt;YEAR(E119),0,IF((YEAR(D119)+16)&gt;=YEAR(E119)+N119,0,IF((YEAR(D119)+16)=YEAR(E119),(12-MONTH(E119)+1)/12,1))))))))*TaxRate,0))-IF(16=0,O119,0))</f>
        <v/>
      </c>
      <c r="AJ119" s="29">
        <f>IF(A119="","",((K119)*(IF(M119="",L119,IFERROR(IF(INDEX(Variablen!$I:$AT, MATCH(M119, Variablen!$A:$A, 0), MATCH((YEAR(D119)+17), Variablen!$I$3:$AT$3, 0))="",L119,INDEX(Variablen!$I:$AT, MATCH(M119, Variablen!$A:$A, 0), MATCH((YEAR(D119)+17), Variablen!$I$3:$AT$3, 0))),L119)))*(IF((YEAR(D119)+17)&lt;YEAR(E119),0,IF((YEAR(D119)+17)&gt;YEAR(E119),1,(12-MONTH(E119)+1)/12))) + (Q119)*(IF((YEAR(D119)+17)&lt;YEAR(E119),0,IF((YEAR(D119)+17)&gt;YEAR(E119),1,(12-MONTH(E119)+1)/12))))-((P119)*(IF((YEAR(D119)+17)&lt;YEAR(E119),0,IF((YEAR(D119)+17)&gt;YEAR(E119),1,(12-MONTH(E119)+1)/12))) + (R119)*(IF((YEAR(D119)+17)&lt;YEAR(E119),0,IF((YEAR(D119)+17)&gt;YEAR(E119),1,(12-MONTH(E119)+1)/12))))-(IF((((K119)*(IF(M119="",L119,IFERROR(IF(INDEX(Variablen!$I:$AT, MATCH(M119, Variablen!$A:$A, 0), MATCH((YEAR(D119)+17), Variablen!$I$3:$AT$3, 0))="",L119,INDEX(Variablen!$I:$AT, MATCH(M119, Variablen!$A:$A, 0), MATCH((YEAR(D119)+17), Variablen!$I$3:$AT$3, 0))),L119)))*(IF((YEAR(D119)+17)&lt;YEAR(E119),0,IF((YEAR(D119)+17)&gt;YEAR(E119),1,(12-MONTH(E119)+1)/12))) + (Q119)*(IF((YEAR(D119)+17)&lt;YEAR(E119),0,IF((YEAR(D119)+17)&gt;YEAR(E119),1,(12-MONTH(E119)+1)/12))))-((P119)*(IF((YEAR(D119)+17)&lt;YEAR(E119),0,IF((YEAR(D119)+17)&gt;YEAR(E119),1,(12-MONTH(E119)+1)/12))) + (R119)*(IF((YEAR(D119)+17)&lt;YEAR(E119),0,IF((YEAR(D119)+17)&gt;YEAR(E119),1,(12-MONTH(E119)+1)/12))))-(IF(OR(N119="",N119&lt;=0),0,(O119/N119)*(IF(OR(N119="",N119&lt;=0),0,IF((YEAR(D119)+17)&lt;YEAR(E119),0,IF((YEAR(D119)+17)&gt;=YEAR(E119)+N119,0,IF((YEAR(D119)+17)=YEAR(E119),(12-MONTH(E119)+1)/12,1))))))))&gt;0,(((K119)*(IF(M119="",L119,IFERROR(IF(INDEX(Variablen!$I:$AT, MATCH(M119, Variablen!$A:$A, 0), MATCH((YEAR(D119)+17), Variablen!$I$3:$AT$3, 0))="",L119,INDEX(Variablen!$I:$AT, MATCH(M119, Variablen!$A:$A, 0), MATCH((YEAR(D119)+17), Variablen!$I$3:$AT$3, 0))),L119)))*(IF((YEAR(D119)+17)&lt;YEAR(E119),0,IF((YEAR(D119)+17)&gt;YEAR(E119),1,(12-MONTH(E119)+1)/12))) + (Q119)*(IF((YEAR(D119)+17)&lt;YEAR(E119),0,IF((YEAR(D119)+17)&gt;YEAR(E119),1,(12-MONTH(E119)+1)/12))))-((P119)*(IF((YEAR(D119)+17)&lt;YEAR(E119),0,IF((YEAR(D119)+17)&gt;YEAR(E119),1,(12-MONTH(E119)+1)/12))) + (R119)*(IF((YEAR(D119)+17)&lt;YEAR(E119),0,IF((YEAR(D119)+17)&gt;YEAR(E119),1,(12-MONTH(E119)+1)/12))))-(IF(OR(N119="",N119&lt;=0),0,(O119/N119)*(IF(OR(N119="",N119&lt;=0),0,IF((YEAR(D119)+17)&lt;YEAR(E119),0,IF((YEAR(D119)+17)&gt;=YEAR(E119)+N119,0,IF((YEAR(D119)+17)=YEAR(E119),(12-MONTH(E119)+1)/12,1))))))))*TaxRate,0))-IF(17=0,O119,0))</f>
        <v/>
      </c>
      <c r="AK119" s="29">
        <f>IF(A119="","",((K119)*(IF(M119="",L119,IFERROR(IF(INDEX(Variablen!$I:$AT, MATCH(M119, Variablen!$A:$A, 0), MATCH((YEAR(D119)+18), Variablen!$I$3:$AT$3, 0))="",L119,INDEX(Variablen!$I:$AT, MATCH(M119, Variablen!$A:$A, 0), MATCH((YEAR(D119)+18), Variablen!$I$3:$AT$3, 0))),L119)))*(IF((YEAR(D119)+18)&lt;YEAR(E119),0,IF((YEAR(D119)+18)&gt;YEAR(E119),1,(12-MONTH(E119)+1)/12))) + (Q119)*(IF((YEAR(D119)+18)&lt;YEAR(E119),0,IF((YEAR(D119)+18)&gt;YEAR(E119),1,(12-MONTH(E119)+1)/12))))-((P119)*(IF((YEAR(D119)+18)&lt;YEAR(E119),0,IF((YEAR(D119)+18)&gt;YEAR(E119),1,(12-MONTH(E119)+1)/12))) + (R119)*(IF((YEAR(D119)+18)&lt;YEAR(E119),0,IF((YEAR(D119)+18)&gt;YEAR(E119),1,(12-MONTH(E119)+1)/12))))-(IF((((K119)*(IF(M119="",L119,IFERROR(IF(INDEX(Variablen!$I:$AT, MATCH(M119, Variablen!$A:$A, 0), MATCH((YEAR(D119)+18), Variablen!$I$3:$AT$3, 0))="",L119,INDEX(Variablen!$I:$AT, MATCH(M119, Variablen!$A:$A, 0), MATCH((YEAR(D119)+18), Variablen!$I$3:$AT$3, 0))),L119)))*(IF((YEAR(D119)+18)&lt;YEAR(E119),0,IF((YEAR(D119)+18)&gt;YEAR(E119),1,(12-MONTH(E119)+1)/12))) + (Q119)*(IF((YEAR(D119)+18)&lt;YEAR(E119),0,IF((YEAR(D119)+18)&gt;YEAR(E119),1,(12-MONTH(E119)+1)/12))))-((P119)*(IF((YEAR(D119)+18)&lt;YEAR(E119),0,IF((YEAR(D119)+18)&gt;YEAR(E119),1,(12-MONTH(E119)+1)/12))) + (R119)*(IF((YEAR(D119)+18)&lt;YEAR(E119),0,IF((YEAR(D119)+18)&gt;YEAR(E119),1,(12-MONTH(E119)+1)/12))))-(IF(OR(N119="",N119&lt;=0),0,(O119/N119)*(IF(OR(N119="",N119&lt;=0),0,IF((YEAR(D119)+18)&lt;YEAR(E119),0,IF((YEAR(D119)+18)&gt;=YEAR(E119)+N119,0,IF((YEAR(D119)+18)=YEAR(E119),(12-MONTH(E119)+1)/12,1))))))))&gt;0,(((K119)*(IF(M119="",L119,IFERROR(IF(INDEX(Variablen!$I:$AT, MATCH(M119, Variablen!$A:$A, 0), MATCH((YEAR(D119)+18), Variablen!$I$3:$AT$3, 0))="",L119,INDEX(Variablen!$I:$AT, MATCH(M119, Variablen!$A:$A, 0), MATCH((YEAR(D119)+18), Variablen!$I$3:$AT$3, 0))),L119)))*(IF((YEAR(D119)+18)&lt;YEAR(E119),0,IF((YEAR(D119)+18)&gt;YEAR(E119),1,(12-MONTH(E119)+1)/12))) + (Q119)*(IF((YEAR(D119)+18)&lt;YEAR(E119),0,IF((YEAR(D119)+18)&gt;YEAR(E119),1,(12-MONTH(E119)+1)/12))))-((P119)*(IF((YEAR(D119)+18)&lt;YEAR(E119),0,IF((YEAR(D119)+18)&gt;YEAR(E119),1,(12-MONTH(E119)+1)/12))) + (R119)*(IF((YEAR(D119)+18)&lt;YEAR(E119),0,IF((YEAR(D119)+18)&gt;YEAR(E119),1,(12-MONTH(E119)+1)/12))))-(IF(OR(N119="",N119&lt;=0),0,(O119/N119)*(IF(OR(N119="",N119&lt;=0),0,IF((YEAR(D119)+18)&lt;YEAR(E119),0,IF((YEAR(D119)+18)&gt;=YEAR(E119)+N119,0,IF((YEAR(D119)+18)=YEAR(E119),(12-MONTH(E119)+1)/12,1))))))))*TaxRate,0))-IF(18=0,O119,0))</f>
        <v/>
      </c>
      <c r="AL119" s="29">
        <f>IF(A119="","",((K119)*(IF(M119="",L119,IFERROR(IF(INDEX(Variablen!$I:$AT, MATCH(M119, Variablen!$A:$A, 0), MATCH((YEAR(D119)+19), Variablen!$I$3:$AT$3, 0))="",L119,INDEX(Variablen!$I:$AT, MATCH(M119, Variablen!$A:$A, 0), MATCH((YEAR(D119)+19), Variablen!$I$3:$AT$3, 0))),L119)))*(IF((YEAR(D119)+19)&lt;YEAR(E119),0,IF((YEAR(D119)+19)&gt;YEAR(E119),1,(12-MONTH(E119)+1)/12))) + (Q119)*(IF((YEAR(D119)+19)&lt;YEAR(E119),0,IF((YEAR(D119)+19)&gt;YEAR(E119),1,(12-MONTH(E119)+1)/12))))-((P119)*(IF((YEAR(D119)+19)&lt;YEAR(E119),0,IF((YEAR(D119)+19)&gt;YEAR(E119),1,(12-MONTH(E119)+1)/12))) + (R119)*(IF((YEAR(D119)+19)&lt;YEAR(E119),0,IF((YEAR(D119)+19)&gt;YEAR(E119),1,(12-MONTH(E119)+1)/12))))-(IF((((K119)*(IF(M119="",L119,IFERROR(IF(INDEX(Variablen!$I:$AT, MATCH(M119, Variablen!$A:$A, 0), MATCH((YEAR(D119)+19), Variablen!$I$3:$AT$3, 0))="",L119,INDEX(Variablen!$I:$AT, MATCH(M119, Variablen!$A:$A, 0), MATCH((YEAR(D119)+19), Variablen!$I$3:$AT$3, 0))),L119)))*(IF((YEAR(D119)+19)&lt;YEAR(E119),0,IF((YEAR(D119)+19)&gt;YEAR(E119),1,(12-MONTH(E119)+1)/12))) + (Q119)*(IF((YEAR(D119)+19)&lt;YEAR(E119),0,IF((YEAR(D119)+19)&gt;YEAR(E119),1,(12-MONTH(E119)+1)/12))))-((P119)*(IF((YEAR(D119)+19)&lt;YEAR(E119),0,IF((YEAR(D119)+19)&gt;YEAR(E119),1,(12-MONTH(E119)+1)/12))) + (R119)*(IF((YEAR(D119)+19)&lt;YEAR(E119),0,IF((YEAR(D119)+19)&gt;YEAR(E119),1,(12-MONTH(E119)+1)/12))))-(IF(OR(N119="",N119&lt;=0),0,(O119/N119)*(IF(OR(N119="",N119&lt;=0),0,IF((YEAR(D119)+19)&lt;YEAR(E119),0,IF((YEAR(D119)+19)&gt;=YEAR(E119)+N119,0,IF((YEAR(D119)+19)=YEAR(E119),(12-MONTH(E119)+1)/12,1))))))))&gt;0,(((K119)*(IF(M119="",L119,IFERROR(IF(INDEX(Variablen!$I:$AT, MATCH(M119, Variablen!$A:$A, 0), MATCH((YEAR(D119)+19), Variablen!$I$3:$AT$3, 0))="",L119,INDEX(Variablen!$I:$AT, MATCH(M119, Variablen!$A:$A, 0), MATCH((YEAR(D119)+19), Variablen!$I$3:$AT$3, 0))),L119)))*(IF((YEAR(D119)+19)&lt;YEAR(E119),0,IF((YEAR(D119)+19)&gt;YEAR(E119),1,(12-MONTH(E119)+1)/12))) + (Q119)*(IF((YEAR(D119)+19)&lt;YEAR(E119),0,IF((YEAR(D119)+19)&gt;YEAR(E119),1,(12-MONTH(E119)+1)/12))))-((P119)*(IF((YEAR(D119)+19)&lt;YEAR(E119),0,IF((YEAR(D119)+19)&gt;YEAR(E119),1,(12-MONTH(E119)+1)/12))) + (R119)*(IF((YEAR(D119)+19)&lt;YEAR(E119),0,IF((YEAR(D119)+19)&gt;YEAR(E119),1,(12-MONTH(E119)+1)/12))))-(IF(OR(N119="",N119&lt;=0),0,(O119/N119)*(IF(OR(N119="",N119&lt;=0),0,IF((YEAR(D119)+19)&lt;YEAR(E119),0,IF((YEAR(D119)+19)&gt;=YEAR(E119)+N119,0,IF((YEAR(D119)+19)=YEAR(E119),(12-MONTH(E119)+1)/12,1))))))))*TaxRate,0))-IF(19=0,O119,0))</f>
        <v/>
      </c>
      <c r="AM119" s="29">
        <f>IF(A119="","",((K119)*(IF(M119="",L119,IFERROR(IF(INDEX(Variablen!$I:$AT, MATCH(M119, Variablen!$A:$A, 0), MATCH((YEAR(D119)+20), Variablen!$I$3:$AT$3, 0))="",L119,INDEX(Variablen!$I:$AT, MATCH(M119, Variablen!$A:$A, 0), MATCH((YEAR(D119)+20), Variablen!$I$3:$AT$3, 0))),L119)))*(IF((YEAR(D119)+20)&lt;YEAR(E119),0,IF((YEAR(D119)+20)&gt;YEAR(E119),1,(12-MONTH(E119)+1)/12))) + (Q119)*(IF((YEAR(D119)+20)&lt;YEAR(E119),0,IF((YEAR(D119)+20)&gt;YEAR(E119),1,(12-MONTH(E119)+1)/12))))-((P119)*(IF((YEAR(D119)+20)&lt;YEAR(E119),0,IF((YEAR(D119)+20)&gt;YEAR(E119),1,(12-MONTH(E119)+1)/12))) + (R119)*(IF((YEAR(D119)+20)&lt;YEAR(E119),0,IF((YEAR(D119)+20)&gt;YEAR(E119),1,(12-MONTH(E119)+1)/12))))-(IF((((K119)*(IF(M119="",L119,IFERROR(IF(INDEX(Variablen!$I:$AT, MATCH(M119, Variablen!$A:$A, 0), MATCH((YEAR(D119)+20), Variablen!$I$3:$AT$3, 0))="",L119,INDEX(Variablen!$I:$AT, MATCH(M119, Variablen!$A:$A, 0), MATCH((YEAR(D119)+20), Variablen!$I$3:$AT$3, 0))),L119)))*(IF((YEAR(D119)+20)&lt;YEAR(E119),0,IF((YEAR(D119)+20)&gt;YEAR(E119),1,(12-MONTH(E119)+1)/12))) + (Q119)*(IF((YEAR(D119)+20)&lt;YEAR(E119),0,IF((YEAR(D119)+20)&gt;YEAR(E119),1,(12-MONTH(E119)+1)/12))))-((P119)*(IF((YEAR(D119)+20)&lt;YEAR(E119),0,IF((YEAR(D119)+20)&gt;YEAR(E119),1,(12-MONTH(E119)+1)/12))) + (R119)*(IF((YEAR(D119)+20)&lt;YEAR(E119),0,IF((YEAR(D119)+20)&gt;YEAR(E119),1,(12-MONTH(E119)+1)/12))))-(IF(OR(N119="",N119&lt;=0),0,(O119/N119)*(IF(OR(N119="",N119&lt;=0),0,IF((YEAR(D119)+20)&lt;YEAR(E119),0,IF((YEAR(D119)+20)&gt;=YEAR(E119)+N119,0,IF((YEAR(D119)+20)=YEAR(E119),(12-MONTH(E119)+1)/12,1))))))))&gt;0,(((K119)*(IF(M119="",L119,IFERROR(IF(INDEX(Variablen!$I:$AT, MATCH(M119, Variablen!$A:$A, 0), MATCH((YEAR(D119)+20), Variablen!$I$3:$AT$3, 0))="",L119,INDEX(Variablen!$I:$AT, MATCH(M119, Variablen!$A:$A, 0), MATCH((YEAR(D119)+20), Variablen!$I$3:$AT$3, 0))),L119)))*(IF((YEAR(D119)+20)&lt;YEAR(E119),0,IF((YEAR(D119)+20)&gt;YEAR(E119),1,(12-MONTH(E119)+1)/12))) + (Q119)*(IF((YEAR(D119)+20)&lt;YEAR(E119),0,IF((YEAR(D119)+20)&gt;YEAR(E119),1,(12-MONTH(E119)+1)/12))))-((P119)*(IF((YEAR(D119)+20)&lt;YEAR(E119),0,IF((YEAR(D119)+20)&gt;YEAR(E119),1,(12-MONTH(E119)+1)/12))) + (R119)*(IF((YEAR(D119)+20)&lt;YEAR(E119),0,IF((YEAR(D119)+20)&gt;YEAR(E119),1,(12-MONTH(E119)+1)/12))))-(IF(OR(N119="",N119&lt;=0),0,(O119/N119)*(IF(OR(N119="",N119&lt;=0),0,IF((YEAR(D119)+20)&lt;YEAR(E119),0,IF((YEAR(D119)+20)&gt;=YEAR(E119)+N119,0,IF((YEAR(D119)+20)=YEAR(E119),(12-MONTH(E119)+1)/12,1))))))))*TaxRate,0))-IF(20=0,O119,0))</f>
        <v/>
      </c>
      <c r="AN119" s="29">
        <f>IF(A119="","",S119)</f>
        <v/>
      </c>
      <c r="AO119" s="29">
        <f>IF(A119="","",AN119+T119)</f>
        <v/>
      </c>
      <c r="AP119" s="29">
        <f>IF(A119="","",AO119+U119)</f>
        <v/>
      </c>
      <c r="AQ119" s="29">
        <f>IF(A119="","",AP119+V119)</f>
        <v/>
      </c>
      <c r="AR119" s="29">
        <f>IF(A119="","",AQ119+W119)</f>
        <v/>
      </c>
      <c r="AS119" s="29">
        <f>IF(A119="","",AR119+X119)</f>
        <v/>
      </c>
      <c r="AT119" s="29">
        <f>IF(A119="","",AS119+Y119)</f>
        <v/>
      </c>
      <c r="AU119" s="29">
        <f>IF(A119="","",AT119+Z119)</f>
        <v/>
      </c>
      <c r="AV119" s="29">
        <f>IF(A119="","",AU119+AA119)</f>
        <v/>
      </c>
      <c r="AW119" s="29">
        <f>IF(A119="","",AV119+AB119)</f>
        <v/>
      </c>
      <c r="AX119" s="29">
        <f>IF(A119="","",AW119+AC119)</f>
        <v/>
      </c>
      <c r="AY119" s="29">
        <f>IF(A119="","",AX119+AD119)</f>
        <v/>
      </c>
      <c r="AZ119" s="29">
        <f>IF(A119="","",AY119+AE119)</f>
        <v/>
      </c>
      <c r="BA119" s="29">
        <f>IF(A119="","",AZ119+AF119)</f>
        <v/>
      </c>
      <c r="BB119" s="29">
        <f>IF(A119="","",BA119+AG119)</f>
        <v/>
      </c>
      <c r="BC119" s="29">
        <f>IF(A119="","",BB119+AH119)</f>
        <v/>
      </c>
      <c r="BD119" s="29">
        <f>IF(A119="","",BC119+AI119)</f>
        <v/>
      </c>
      <c r="BE119" s="29">
        <f>IF(A119="","",BD119+AJ119)</f>
        <v/>
      </c>
      <c r="BF119" s="29">
        <f>IF(A119="","",BE119+AK119)</f>
        <v/>
      </c>
      <c r="BG119" s="29">
        <f>IF(A119="","",BF119+AL119)</f>
        <v/>
      </c>
      <c r="BH119" s="29">
        <f>IF(A119="","",BG119+AM119)</f>
        <v/>
      </c>
      <c r="BI119" s="36">
        <f>IF(A119="","",(K119)*(IF((YEAR(D119)+0)&lt;YEAR(E119),0,IF((YEAR(D119)+0)&gt;YEAR(E119),1,(12-MONTH(E119)+1)/12)))*(1/(1+DiscountRate)^0))</f>
        <v/>
      </c>
      <c r="BJ119" s="36">
        <f>IF(A119="","",(K119)*(IF((YEAR(D119)+1)&lt;YEAR(E119),0,IF((YEAR(D119)+1)&gt;YEAR(E119),1,(12-MONTH(E119)+1)/12)))*(1/(1+DiscountRate)^1))</f>
        <v/>
      </c>
      <c r="BK119" s="36">
        <f>IF(A119="","",(K119)*(IF((YEAR(D119)+2)&lt;YEAR(E119),0,IF((YEAR(D119)+2)&gt;YEAR(E119),1,(12-MONTH(E119)+1)/12)))*(1/(1+DiscountRate)^2))</f>
        <v/>
      </c>
      <c r="BL119" s="36">
        <f>IF(A119="","",(K119)*(IF((YEAR(D119)+3)&lt;YEAR(E119),0,IF((YEAR(D119)+3)&gt;YEAR(E119),1,(12-MONTH(E119)+1)/12)))*(1/(1+DiscountRate)^3))</f>
        <v/>
      </c>
      <c r="BM119" s="36">
        <f>IF(A119="","",(K119)*(IF((YEAR(D119)+4)&lt;YEAR(E119),0,IF((YEAR(D119)+4)&gt;YEAR(E119),1,(12-MONTH(E119)+1)/12)))*(1/(1+DiscountRate)^4))</f>
        <v/>
      </c>
      <c r="BN119" s="36">
        <f>IF(A119="","",(K119)*(IF((YEAR(D119)+5)&lt;YEAR(E119),0,IF((YEAR(D119)+5)&gt;YEAR(E119),1,(12-MONTH(E119)+1)/12)))*(1/(1+DiscountRate)^5))</f>
        <v/>
      </c>
      <c r="BO119" s="36">
        <f>IF(A119="","",(K119)*(IF((YEAR(D119)+6)&lt;YEAR(E119),0,IF((YEAR(D119)+6)&gt;YEAR(E119),1,(12-MONTH(E119)+1)/12)))*(1/(1+DiscountRate)^6))</f>
        <v/>
      </c>
      <c r="BP119" s="36">
        <f>IF(A119="","",(K119)*(IF((YEAR(D119)+7)&lt;YEAR(E119),0,IF((YEAR(D119)+7)&gt;YEAR(E119),1,(12-MONTH(E119)+1)/12)))*(1/(1+DiscountRate)^7))</f>
        <v/>
      </c>
      <c r="BQ119" s="36">
        <f>IF(A119="","",(K119)*(IF((YEAR(D119)+8)&lt;YEAR(E119),0,IF((YEAR(D119)+8)&gt;YEAR(E119),1,(12-MONTH(E119)+1)/12)))*(1/(1+DiscountRate)^8))</f>
        <v/>
      </c>
      <c r="BR119" s="36">
        <f>IF(A119="","",(K119)*(IF((YEAR(D119)+9)&lt;YEAR(E119),0,IF((YEAR(D119)+9)&gt;YEAR(E119),1,(12-MONTH(E119)+1)/12)))*(1/(1+DiscountRate)^9))</f>
        <v/>
      </c>
      <c r="BS119" s="36">
        <f>IF(A119="","",(K119)*(IF((YEAR(D119)+10)&lt;YEAR(E119),0,IF((YEAR(D119)+10)&gt;YEAR(E119),1,(12-MONTH(E119)+1)/12)))*(1/(1+DiscountRate)^10))</f>
        <v/>
      </c>
      <c r="BT119" s="36">
        <f>IF(A119="","",(K119)*(IF((YEAR(D119)+11)&lt;YEAR(E119),0,IF((YEAR(D119)+11)&gt;YEAR(E119),1,(12-MONTH(E119)+1)/12)))*(1/(1+DiscountRate)^11))</f>
        <v/>
      </c>
      <c r="BU119" s="36">
        <f>IF(A119="","",(K119)*(IF((YEAR(D119)+12)&lt;YEAR(E119),0,IF((YEAR(D119)+12)&gt;YEAR(E119),1,(12-MONTH(E119)+1)/12)))*(1/(1+DiscountRate)^12))</f>
        <v/>
      </c>
      <c r="BV119" s="36">
        <f>IF(A119="","",(K119)*(IF((YEAR(D119)+13)&lt;YEAR(E119),0,IF((YEAR(D119)+13)&gt;YEAR(E119),1,(12-MONTH(E119)+1)/12)))*(1/(1+DiscountRate)^13))</f>
        <v/>
      </c>
      <c r="BW119" s="36">
        <f>IF(A119="","",(K119)*(IF((YEAR(D119)+14)&lt;YEAR(E119),0,IF((YEAR(D119)+14)&gt;YEAR(E119),1,(12-MONTH(E119)+1)/12)))*(1/(1+DiscountRate)^14))</f>
        <v/>
      </c>
      <c r="BX119" s="36">
        <f>IF(A119="","",(K119)*(IF((YEAR(D119)+15)&lt;YEAR(E119),0,IF((YEAR(D119)+15)&gt;YEAR(E119),1,(12-MONTH(E119)+1)/12)))*(1/(1+DiscountRate)^15))</f>
        <v/>
      </c>
      <c r="BY119" s="36">
        <f>IF(A119="","",(K119)*(IF((YEAR(D119)+16)&lt;YEAR(E119),0,IF((YEAR(D119)+16)&gt;YEAR(E119),1,(12-MONTH(E119)+1)/12)))*(1/(1+DiscountRate)^16))</f>
        <v/>
      </c>
      <c r="BZ119" s="36">
        <f>IF(A119="","",(K119)*(IF((YEAR(D119)+17)&lt;YEAR(E119),0,IF((YEAR(D119)+17)&gt;YEAR(E119),1,(12-MONTH(E119)+1)/12)))*(1/(1+DiscountRate)^17))</f>
        <v/>
      </c>
      <c r="CA119" s="36">
        <f>IF(A119="","",(K119)*(IF((YEAR(D119)+18)&lt;YEAR(E119),0,IF((YEAR(D119)+18)&gt;YEAR(E119),1,(12-MONTH(E119)+1)/12)))*(1/(1+DiscountRate)^18))</f>
        <v/>
      </c>
      <c r="CB119" s="36">
        <f>IF(A119="","",(K119)*(IF((YEAR(D119)+19)&lt;YEAR(E119),0,IF((YEAR(D119)+19)&gt;YEAR(E119),1,(12-MONTH(E119)+1)/12)))*(1/(1+DiscountRate)^19))</f>
        <v/>
      </c>
      <c r="CC119" s="36">
        <f>IF(A119="","",(K119)*(IF((YEAR(D119)+20)&lt;YEAR(E119),0,IF((YEAR(D119)+20)&gt;YEAR(E119),1,(12-MONTH(E119)+1)/12)))*(1/(1+DiscountRate)^20))</f>
        <v/>
      </c>
      <c r="CD119" s="29">
        <f>IF(A119="","",S119/(1+DiscountRate)^0+T119/(1+DiscountRate)^1+U119/(1+DiscountRate)^2+V119/(1+DiscountRate)^3+W119/(1+DiscountRate)^4+X119/(1+DiscountRate)^5+Y119/(1+DiscountRate)^6+Z119/(1+DiscountRate)^7+AA119/(1+DiscountRate)^8+AB119/(1+DiscountRate)^9+AC119/(1+DiscountRate)^10+AD119/(1+DiscountRate)^11+AE119/(1+DiscountRate)^12+AF119/(1+DiscountRate)^13+AG119/(1+DiscountRate)^14+AH119/(1+DiscountRate)^15+AI119/(1+DiscountRate)^16+AJ119/(1+DiscountRate)^17+AK119/(1+DiscountRate)^18+AL119/(1+DiscountRate)^19+AM119/(1+DiscountRate)^20)</f>
        <v/>
      </c>
      <c r="CE119" s="37">
        <f>IF(A119="","",IFERROR(IRR(OFFSET(S119,0,0,1,MIN(HorizonYears,20)+1)),"n/a"))</f>
        <v/>
      </c>
      <c r="CF119" s="28">
        <f>IF(A119="","",IFERROR(MATCH(TRUE,OFFSET(AN119,0,0,1,MIN(HorizonYears,20)+1)&gt;=0,0)-1,"n/a"))</f>
        <v/>
      </c>
      <c r="CG119" s="36">
        <f>IF(A119="","",SUM(OFFSET(BI119,0,0,1,MIN(HorizonYears,20)+1)))</f>
        <v/>
      </c>
      <c r="CH119" s="36">
        <f>IF(A119="","",IFERROR(-CD119/CG119,"n/a"))</f>
        <v/>
      </c>
    </row>
    <row r="120">
      <c r="A120" s="6">
        <f>Actions!A118</f>
        <v/>
      </c>
      <c r="B120" s="6">
        <f>Actions!B118</f>
        <v/>
      </c>
      <c r="C120" s="6">
        <f>Actions!D118</f>
        <v/>
      </c>
      <c r="D120" s="35">
        <f>Actions!E118</f>
        <v/>
      </c>
      <c r="E120" s="35">
        <f>Actions!F118</f>
        <v/>
      </c>
      <c r="F120" s="6">
        <f>Actions!G118</f>
        <v/>
      </c>
      <c r="G120" s="6">
        <f>Actions!H118</f>
        <v/>
      </c>
      <c r="H120" s="29">
        <f>Actions!I118</f>
        <v/>
      </c>
      <c r="I120" s="6">
        <f>Actions!J118</f>
        <v/>
      </c>
      <c r="J120" s="16">
        <f>Actions!K118</f>
        <v/>
      </c>
      <c r="K120" s="16">
        <f>IF(A120="","",IF(I120="%",H120*J120,J120))</f>
        <v/>
      </c>
      <c r="L120" s="16">
        <f>Actions!L118</f>
        <v/>
      </c>
      <c r="M120" s="6">
        <f>Actions!M118</f>
        <v/>
      </c>
      <c r="N120" s="28">
        <f>Actions!N118</f>
        <v/>
      </c>
      <c r="O120" s="29">
        <f>Actions!T118</f>
        <v/>
      </c>
      <c r="P120" s="29">
        <f>Actions!Y118</f>
        <v/>
      </c>
      <c r="Q120" s="29">
        <f>Actions!Z118</f>
        <v/>
      </c>
      <c r="R120" s="29">
        <f>Actions!AA118</f>
        <v/>
      </c>
      <c r="S120" s="29">
        <f>IF(A120="","",((K120)*(IF(M120="",L120,IFERROR(IF(INDEX(Variablen!$I:$AT, MATCH(M120, Variablen!$A:$A, 0), MATCH((YEAR(D120)+0), Variablen!$I$3:$AT$3, 0))="",L120,INDEX(Variablen!$I:$AT, MATCH(M120, Variablen!$A:$A, 0), MATCH((YEAR(D120)+0), Variablen!$I$3:$AT$3, 0))),L120)))*(IF((YEAR(D120)+0)&lt;YEAR(E120),0,IF((YEAR(D120)+0)&gt;YEAR(E120),1,(12-MONTH(E120)+1)/12))) + (Q120)*(IF((YEAR(D120)+0)&lt;YEAR(E120),0,IF((YEAR(D120)+0)&gt;YEAR(E120),1,(12-MONTH(E120)+1)/12))))-((P120)*(IF((YEAR(D120)+0)&lt;YEAR(E120),0,IF((YEAR(D120)+0)&gt;YEAR(E120),1,(12-MONTH(E120)+1)/12))) + (R120)*(IF((YEAR(D120)+0)&lt;YEAR(E120),0,IF((YEAR(D120)+0)&gt;YEAR(E120),1,(12-MONTH(E120)+1)/12))))-(IF((((K120)*(IF(M120="",L120,IFERROR(IF(INDEX(Variablen!$I:$AT, MATCH(M120, Variablen!$A:$A, 0), MATCH((YEAR(D120)+0), Variablen!$I$3:$AT$3, 0))="",L120,INDEX(Variablen!$I:$AT, MATCH(M120, Variablen!$A:$A, 0), MATCH((YEAR(D120)+0), Variablen!$I$3:$AT$3, 0))),L120)))*(IF((YEAR(D120)+0)&lt;YEAR(E120),0,IF((YEAR(D120)+0)&gt;YEAR(E120),1,(12-MONTH(E120)+1)/12))) + (Q120)*(IF((YEAR(D120)+0)&lt;YEAR(E120),0,IF((YEAR(D120)+0)&gt;YEAR(E120),1,(12-MONTH(E120)+1)/12))))-((P120)*(IF((YEAR(D120)+0)&lt;YEAR(E120),0,IF((YEAR(D120)+0)&gt;YEAR(E120),1,(12-MONTH(E120)+1)/12))) + (R120)*(IF((YEAR(D120)+0)&lt;YEAR(E120),0,IF((YEAR(D120)+0)&gt;YEAR(E120),1,(12-MONTH(E120)+1)/12))))-(IF(OR(N120="",N120&lt;=0),0,(O120/N120)*(IF(OR(N120="",N120&lt;=0),0,IF((YEAR(D120)+0)&lt;YEAR(E120),0,IF((YEAR(D120)+0)&gt;=YEAR(E120)+N120,0,IF((YEAR(D120)+0)=YEAR(E120),(12-MONTH(E120)+1)/12,1))))))))&gt;0,(((K120)*(IF(M120="",L120,IFERROR(IF(INDEX(Variablen!$I:$AT, MATCH(M120, Variablen!$A:$A, 0), MATCH((YEAR(D120)+0), Variablen!$I$3:$AT$3, 0))="",L120,INDEX(Variablen!$I:$AT, MATCH(M120, Variablen!$A:$A, 0), MATCH((YEAR(D120)+0), Variablen!$I$3:$AT$3, 0))),L120)))*(IF((YEAR(D120)+0)&lt;YEAR(E120),0,IF((YEAR(D120)+0)&gt;YEAR(E120),1,(12-MONTH(E120)+1)/12))) + (Q120)*(IF((YEAR(D120)+0)&lt;YEAR(E120),0,IF((YEAR(D120)+0)&gt;YEAR(E120),1,(12-MONTH(E120)+1)/12))))-((P120)*(IF((YEAR(D120)+0)&lt;YEAR(E120),0,IF((YEAR(D120)+0)&gt;YEAR(E120),1,(12-MONTH(E120)+1)/12))) + (R120)*(IF((YEAR(D120)+0)&lt;YEAR(E120),0,IF((YEAR(D120)+0)&gt;YEAR(E120),1,(12-MONTH(E120)+1)/12))))-(IF(OR(N120="",N120&lt;=0),0,(O120/N120)*(IF(OR(N120="",N120&lt;=0),0,IF((YEAR(D120)+0)&lt;YEAR(E120),0,IF((YEAR(D120)+0)&gt;=YEAR(E120)+N120,0,IF((YEAR(D120)+0)=YEAR(E120),(12-MONTH(E120)+1)/12,1))))))))*TaxRate,0))-IF(0=0,O120,0))</f>
        <v/>
      </c>
      <c r="T120" s="29">
        <f>IF(A120="","",((K120)*(IF(M120="",L120,IFERROR(IF(INDEX(Variablen!$I:$AT, MATCH(M120, Variablen!$A:$A, 0), MATCH((YEAR(D120)+1), Variablen!$I$3:$AT$3, 0))="",L120,INDEX(Variablen!$I:$AT, MATCH(M120, Variablen!$A:$A, 0), MATCH((YEAR(D120)+1), Variablen!$I$3:$AT$3, 0))),L120)))*(IF((YEAR(D120)+1)&lt;YEAR(E120),0,IF((YEAR(D120)+1)&gt;YEAR(E120),1,(12-MONTH(E120)+1)/12))) + (Q120)*(IF((YEAR(D120)+1)&lt;YEAR(E120),0,IF((YEAR(D120)+1)&gt;YEAR(E120),1,(12-MONTH(E120)+1)/12))))-((P120)*(IF((YEAR(D120)+1)&lt;YEAR(E120),0,IF((YEAR(D120)+1)&gt;YEAR(E120),1,(12-MONTH(E120)+1)/12))) + (R120)*(IF((YEAR(D120)+1)&lt;YEAR(E120),0,IF((YEAR(D120)+1)&gt;YEAR(E120),1,(12-MONTH(E120)+1)/12))))-(IF((((K120)*(IF(M120="",L120,IFERROR(IF(INDEX(Variablen!$I:$AT, MATCH(M120, Variablen!$A:$A, 0), MATCH((YEAR(D120)+1), Variablen!$I$3:$AT$3, 0))="",L120,INDEX(Variablen!$I:$AT, MATCH(M120, Variablen!$A:$A, 0), MATCH((YEAR(D120)+1), Variablen!$I$3:$AT$3, 0))),L120)))*(IF((YEAR(D120)+1)&lt;YEAR(E120),0,IF((YEAR(D120)+1)&gt;YEAR(E120),1,(12-MONTH(E120)+1)/12))) + (Q120)*(IF((YEAR(D120)+1)&lt;YEAR(E120),0,IF((YEAR(D120)+1)&gt;YEAR(E120),1,(12-MONTH(E120)+1)/12))))-((P120)*(IF((YEAR(D120)+1)&lt;YEAR(E120),0,IF((YEAR(D120)+1)&gt;YEAR(E120),1,(12-MONTH(E120)+1)/12))) + (R120)*(IF((YEAR(D120)+1)&lt;YEAR(E120),0,IF((YEAR(D120)+1)&gt;YEAR(E120),1,(12-MONTH(E120)+1)/12))))-(IF(OR(N120="",N120&lt;=0),0,(O120/N120)*(IF(OR(N120="",N120&lt;=0),0,IF((YEAR(D120)+1)&lt;YEAR(E120),0,IF((YEAR(D120)+1)&gt;=YEAR(E120)+N120,0,IF((YEAR(D120)+1)=YEAR(E120),(12-MONTH(E120)+1)/12,1))))))))&gt;0,(((K120)*(IF(M120="",L120,IFERROR(IF(INDEX(Variablen!$I:$AT, MATCH(M120, Variablen!$A:$A, 0), MATCH((YEAR(D120)+1), Variablen!$I$3:$AT$3, 0))="",L120,INDEX(Variablen!$I:$AT, MATCH(M120, Variablen!$A:$A, 0), MATCH((YEAR(D120)+1), Variablen!$I$3:$AT$3, 0))),L120)))*(IF((YEAR(D120)+1)&lt;YEAR(E120),0,IF((YEAR(D120)+1)&gt;YEAR(E120),1,(12-MONTH(E120)+1)/12))) + (Q120)*(IF((YEAR(D120)+1)&lt;YEAR(E120),0,IF((YEAR(D120)+1)&gt;YEAR(E120),1,(12-MONTH(E120)+1)/12))))-((P120)*(IF((YEAR(D120)+1)&lt;YEAR(E120),0,IF((YEAR(D120)+1)&gt;YEAR(E120),1,(12-MONTH(E120)+1)/12))) + (R120)*(IF((YEAR(D120)+1)&lt;YEAR(E120),0,IF((YEAR(D120)+1)&gt;YEAR(E120),1,(12-MONTH(E120)+1)/12))))-(IF(OR(N120="",N120&lt;=0),0,(O120/N120)*(IF(OR(N120="",N120&lt;=0),0,IF((YEAR(D120)+1)&lt;YEAR(E120),0,IF((YEAR(D120)+1)&gt;=YEAR(E120)+N120,0,IF((YEAR(D120)+1)=YEAR(E120),(12-MONTH(E120)+1)/12,1))))))))*TaxRate,0))-IF(1=0,O120,0))</f>
        <v/>
      </c>
      <c r="U120" s="29">
        <f>IF(A120="","",((K120)*(IF(M120="",L120,IFERROR(IF(INDEX(Variablen!$I:$AT, MATCH(M120, Variablen!$A:$A, 0), MATCH((YEAR(D120)+2), Variablen!$I$3:$AT$3, 0))="",L120,INDEX(Variablen!$I:$AT, MATCH(M120, Variablen!$A:$A, 0), MATCH((YEAR(D120)+2), Variablen!$I$3:$AT$3, 0))),L120)))*(IF((YEAR(D120)+2)&lt;YEAR(E120),0,IF((YEAR(D120)+2)&gt;YEAR(E120),1,(12-MONTH(E120)+1)/12))) + (Q120)*(IF((YEAR(D120)+2)&lt;YEAR(E120),0,IF((YEAR(D120)+2)&gt;YEAR(E120),1,(12-MONTH(E120)+1)/12))))-((P120)*(IF((YEAR(D120)+2)&lt;YEAR(E120),0,IF((YEAR(D120)+2)&gt;YEAR(E120),1,(12-MONTH(E120)+1)/12))) + (R120)*(IF((YEAR(D120)+2)&lt;YEAR(E120),0,IF((YEAR(D120)+2)&gt;YEAR(E120),1,(12-MONTH(E120)+1)/12))))-(IF((((K120)*(IF(M120="",L120,IFERROR(IF(INDEX(Variablen!$I:$AT, MATCH(M120, Variablen!$A:$A, 0), MATCH((YEAR(D120)+2), Variablen!$I$3:$AT$3, 0))="",L120,INDEX(Variablen!$I:$AT, MATCH(M120, Variablen!$A:$A, 0), MATCH((YEAR(D120)+2), Variablen!$I$3:$AT$3, 0))),L120)))*(IF((YEAR(D120)+2)&lt;YEAR(E120),0,IF((YEAR(D120)+2)&gt;YEAR(E120),1,(12-MONTH(E120)+1)/12))) + (Q120)*(IF((YEAR(D120)+2)&lt;YEAR(E120),0,IF((YEAR(D120)+2)&gt;YEAR(E120),1,(12-MONTH(E120)+1)/12))))-((P120)*(IF((YEAR(D120)+2)&lt;YEAR(E120),0,IF((YEAR(D120)+2)&gt;YEAR(E120),1,(12-MONTH(E120)+1)/12))) + (R120)*(IF((YEAR(D120)+2)&lt;YEAR(E120),0,IF((YEAR(D120)+2)&gt;YEAR(E120),1,(12-MONTH(E120)+1)/12))))-(IF(OR(N120="",N120&lt;=0),0,(O120/N120)*(IF(OR(N120="",N120&lt;=0),0,IF((YEAR(D120)+2)&lt;YEAR(E120),0,IF((YEAR(D120)+2)&gt;=YEAR(E120)+N120,0,IF((YEAR(D120)+2)=YEAR(E120),(12-MONTH(E120)+1)/12,1))))))))&gt;0,(((K120)*(IF(M120="",L120,IFERROR(IF(INDEX(Variablen!$I:$AT, MATCH(M120, Variablen!$A:$A, 0), MATCH((YEAR(D120)+2), Variablen!$I$3:$AT$3, 0))="",L120,INDEX(Variablen!$I:$AT, MATCH(M120, Variablen!$A:$A, 0), MATCH((YEAR(D120)+2), Variablen!$I$3:$AT$3, 0))),L120)))*(IF((YEAR(D120)+2)&lt;YEAR(E120),0,IF((YEAR(D120)+2)&gt;YEAR(E120),1,(12-MONTH(E120)+1)/12))) + (Q120)*(IF((YEAR(D120)+2)&lt;YEAR(E120),0,IF((YEAR(D120)+2)&gt;YEAR(E120),1,(12-MONTH(E120)+1)/12))))-((P120)*(IF((YEAR(D120)+2)&lt;YEAR(E120),0,IF((YEAR(D120)+2)&gt;YEAR(E120),1,(12-MONTH(E120)+1)/12))) + (R120)*(IF((YEAR(D120)+2)&lt;YEAR(E120),0,IF((YEAR(D120)+2)&gt;YEAR(E120),1,(12-MONTH(E120)+1)/12))))-(IF(OR(N120="",N120&lt;=0),0,(O120/N120)*(IF(OR(N120="",N120&lt;=0),0,IF((YEAR(D120)+2)&lt;YEAR(E120),0,IF((YEAR(D120)+2)&gt;=YEAR(E120)+N120,0,IF((YEAR(D120)+2)=YEAR(E120),(12-MONTH(E120)+1)/12,1))))))))*TaxRate,0))-IF(2=0,O120,0))</f>
        <v/>
      </c>
      <c r="V120" s="29">
        <f>IF(A120="","",((K120)*(IF(M120="",L120,IFERROR(IF(INDEX(Variablen!$I:$AT, MATCH(M120, Variablen!$A:$A, 0), MATCH((YEAR(D120)+3), Variablen!$I$3:$AT$3, 0))="",L120,INDEX(Variablen!$I:$AT, MATCH(M120, Variablen!$A:$A, 0), MATCH((YEAR(D120)+3), Variablen!$I$3:$AT$3, 0))),L120)))*(IF((YEAR(D120)+3)&lt;YEAR(E120),0,IF((YEAR(D120)+3)&gt;YEAR(E120),1,(12-MONTH(E120)+1)/12))) + (Q120)*(IF((YEAR(D120)+3)&lt;YEAR(E120),0,IF((YEAR(D120)+3)&gt;YEAR(E120),1,(12-MONTH(E120)+1)/12))))-((P120)*(IF((YEAR(D120)+3)&lt;YEAR(E120),0,IF((YEAR(D120)+3)&gt;YEAR(E120),1,(12-MONTH(E120)+1)/12))) + (R120)*(IF((YEAR(D120)+3)&lt;YEAR(E120),0,IF((YEAR(D120)+3)&gt;YEAR(E120),1,(12-MONTH(E120)+1)/12))))-(IF((((K120)*(IF(M120="",L120,IFERROR(IF(INDEX(Variablen!$I:$AT, MATCH(M120, Variablen!$A:$A, 0), MATCH((YEAR(D120)+3), Variablen!$I$3:$AT$3, 0))="",L120,INDEX(Variablen!$I:$AT, MATCH(M120, Variablen!$A:$A, 0), MATCH((YEAR(D120)+3), Variablen!$I$3:$AT$3, 0))),L120)))*(IF((YEAR(D120)+3)&lt;YEAR(E120),0,IF((YEAR(D120)+3)&gt;YEAR(E120),1,(12-MONTH(E120)+1)/12))) + (Q120)*(IF((YEAR(D120)+3)&lt;YEAR(E120),0,IF((YEAR(D120)+3)&gt;YEAR(E120),1,(12-MONTH(E120)+1)/12))))-((P120)*(IF((YEAR(D120)+3)&lt;YEAR(E120),0,IF((YEAR(D120)+3)&gt;YEAR(E120),1,(12-MONTH(E120)+1)/12))) + (R120)*(IF((YEAR(D120)+3)&lt;YEAR(E120),0,IF((YEAR(D120)+3)&gt;YEAR(E120),1,(12-MONTH(E120)+1)/12))))-(IF(OR(N120="",N120&lt;=0),0,(O120/N120)*(IF(OR(N120="",N120&lt;=0),0,IF((YEAR(D120)+3)&lt;YEAR(E120),0,IF((YEAR(D120)+3)&gt;=YEAR(E120)+N120,0,IF((YEAR(D120)+3)=YEAR(E120),(12-MONTH(E120)+1)/12,1))))))))&gt;0,(((K120)*(IF(M120="",L120,IFERROR(IF(INDEX(Variablen!$I:$AT, MATCH(M120, Variablen!$A:$A, 0), MATCH((YEAR(D120)+3), Variablen!$I$3:$AT$3, 0))="",L120,INDEX(Variablen!$I:$AT, MATCH(M120, Variablen!$A:$A, 0), MATCH((YEAR(D120)+3), Variablen!$I$3:$AT$3, 0))),L120)))*(IF((YEAR(D120)+3)&lt;YEAR(E120),0,IF((YEAR(D120)+3)&gt;YEAR(E120),1,(12-MONTH(E120)+1)/12))) + (Q120)*(IF((YEAR(D120)+3)&lt;YEAR(E120),0,IF((YEAR(D120)+3)&gt;YEAR(E120),1,(12-MONTH(E120)+1)/12))))-((P120)*(IF((YEAR(D120)+3)&lt;YEAR(E120),0,IF((YEAR(D120)+3)&gt;YEAR(E120),1,(12-MONTH(E120)+1)/12))) + (R120)*(IF((YEAR(D120)+3)&lt;YEAR(E120),0,IF((YEAR(D120)+3)&gt;YEAR(E120),1,(12-MONTH(E120)+1)/12))))-(IF(OR(N120="",N120&lt;=0),0,(O120/N120)*(IF(OR(N120="",N120&lt;=0),0,IF((YEAR(D120)+3)&lt;YEAR(E120),0,IF((YEAR(D120)+3)&gt;=YEAR(E120)+N120,0,IF((YEAR(D120)+3)=YEAR(E120),(12-MONTH(E120)+1)/12,1))))))))*TaxRate,0))-IF(3=0,O120,0))</f>
        <v/>
      </c>
      <c r="W120" s="29">
        <f>IF(A120="","",((K120)*(IF(M120="",L120,IFERROR(IF(INDEX(Variablen!$I:$AT, MATCH(M120, Variablen!$A:$A, 0), MATCH((YEAR(D120)+4), Variablen!$I$3:$AT$3, 0))="",L120,INDEX(Variablen!$I:$AT, MATCH(M120, Variablen!$A:$A, 0), MATCH((YEAR(D120)+4), Variablen!$I$3:$AT$3, 0))),L120)))*(IF((YEAR(D120)+4)&lt;YEAR(E120),0,IF((YEAR(D120)+4)&gt;YEAR(E120),1,(12-MONTH(E120)+1)/12))) + (Q120)*(IF((YEAR(D120)+4)&lt;YEAR(E120),0,IF((YEAR(D120)+4)&gt;YEAR(E120),1,(12-MONTH(E120)+1)/12))))-((P120)*(IF((YEAR(D120)+4)&lt;YEAR(E120),0,IF((YEAR(D120)+4)&gt;YEAR(E120),1,(12-MONTH(E120)+1)/12))) + (R120)*(IF((YEAR(D120)+4)&lt;YEAR(E120),0,IF((YEAR(D120)+4)&gt;YEAR(E120),1,(12-MONTH(E120)+1)/12))))-(IF((((K120)*(IF(M120="",L120,IFERROR(IF(INDEX(Variablen!$I:$AT, MATCH(M120, Variablen!$A:$A, 0), MATCH((YEAR(D120)+4), Variablen!$I$3:$AT$3, 0))="",L120,INDEX(Variablen!$I:$AT, MATCH(M120, Variablen!$A:$A, 0), MATCH((YEAR(D120)+4), Variablen!$I$3:$AT$3, 0))),L120)))*(IF((YEAR(D120)+4)&lt;YEAR(E120),0,IF((YEAR(D120)+4)&gt;YEAR(E120),1,(12-MONTH(E120)+1)/12))) + (Q120)*(IF((YEAR(D120)+4)&lt;YEAR(E120),0,IF((YEAR(D120)+4)&gt;YEAR(E120),1,(12-MONTH(E120)+1)/12))))-((P120)*(IF((YEAR(D120)+4)&lt;YEAR(E120),0,IF((YEAR(D120)+4)&gt;YEAR(E120),1,(12-MONTH(E120)+1)/12))) + (R120)*(IF((YEAR(D120)+4)&lt;YEAR(E120),0,IF((YEAR(D120)+4)&gt;YEAR(E120),1,(12-MONTH(E120)+1)/12))))-(IF(OR(N120="",N120&lt;=0),0,(O120/N120)*(IF(OR(N120="",N120&lt;=0),0,IF((YEAR(D120)+4)&lt;YEAR(E120),0,IF((YEAR(D120)+4)&gt;=YEAR(E120)+N120,0,IF((YEAR(D120)+4)=YEAR(E120),(12-MONTH(E120)+1)/12,1))))))))&gt;0,(((K120)*(IF(M120="",L120,IFERROR(IF(INDEX(Variablen!$I:$AT, MATCH(M120, Variablen!$A:$A, 0), MATCH((YEAR(D120)+4), Variablen!$I$3:$AT$3, 0))="",L120,INDEX(Variablen!$I:$AT, MATCH(M120, Variablen!$A:$A, 0), MATCH((YEAR(D120)+4), Variablen!$I$3:$AT$3, 0))),L120)))*(IF((YEAR(D120)+4)&lt;YEAR(E120),0,IF((YEAR(D120)+4)&gt;YEAR(E120),1,(12-MONTH(E120)+1)/12))) + (Q120)*(IF((YEAR(D120)+4)&lt;YEAR(E120),0,IF((YEAR(D120)+4)&gt;YEAR(E120),1,(12-MONTH(E120)+1)/12))))-((P120)*(IF((YEAR(D120)+4)&lt;YEAR(E120),0,IF((YEAR(D120)+4)&gt;YEAR(E120),1,(12-MONTH(E120)+1)/12))) + (R120)*(IF((YEAR(D120)+4)&lt;YEAR(E120),0,IF((YEAR(D120)+4)&gt;YEAR(E120),1,(12-MONTH(E120)+1)/12))))-(IF(OR(N120="",N120&lt;=0),0,(O120/N120)*(IF(OR(N120="",N120&lt;=0),0,IF((YEAR(D120)+4)&lt;YEAR(E120),0,IF((YEAR(D120)+4)&gt;=YEAR(E120)+N120,0,IF((YEAR(D120)+4)=YEAR(E120),(12-MONTH(E120)+1)/12,1))))))))*TaxRate,0))-IF(4=0,O120,0))</f>
        <v/>
      </c>
      <c r="X120" s="29">
        <f>IF(A120="","",((K120)*(IF(M120="",L120,IFERROR(IF(INDEX(Variablen!$I:$AT, MATCH(M120, Variablen!$A:$A, 0), MATCH((YEAR(D120)+5), Variablen!$I$3:$AT$3, 0))="",L120,INDEX(Variablen!$I:$AT, MATCH(M120, Variablen!$A:$A, 0), MATCH((YEAR(D120)+5), Variablen!$I$3:$AT$3, 0))),L120)))*(IF((YEAR(D120)+5)&lt;YEAR(E120),0,IF((YEAR(D120)+5)&gt;YEAR(E120),1,(12-MONTH(E120)+1)/12))) + (Q120)*(IF((YEAR(D120)+5)&lt;YEAR(E120),0,IF((YEAR(D120)+5)&gt;YEAR(E120),1,(12-MONTH(E120)+1)/12))))-((P120)*(IF((YEAR(D120)+5)&lt;YEAR(E120),0,IF((YEAR(D120)+5)&gt;YEAR(E120),1,(12-MONTH(E120)+1)/12))) + (R120)*(IF((YEAR(D120)+5)&lt;YEAR(E120),0,IF((YEAR(D120)+5)&gt;YEAR(E120),1,(12-MONTH(E120)+1)/12))))-(IF((((K120)*(IF(M120="",L120,IFERROR(IF(INDEX(Variablen!$I:$AT, MATCH(M120, Variablen!$A:$A, 0), MATCH((YEAR(D120)+5), Variablen!$I$3:$AT$3, 0))="",L120,INDEX(Variablen!$I:$AT, MATCH(M120, Variablen!$A:$A, 0), MATCH((YEAR(D120)+5), Variablen!$I$3:$AT$3, 0))),L120)))*(IF((YEAR(D120)+5)&lt;YEAR(E120),0,IF((YEAR(D120)+5)&gt;YEAR(E120),1,(12-MONTH(E120)+1)/12))) + (Q120)*(IF((YEAR(D120)+5)&lt;YEAR(E120),0,IF((YEAR(D120)+5)&gt;YEAR(E120),1,(12-MONTH(E120)+1)/12))))-((P120)*(IF((YEAR(D120)+5)&lt;YEAR(E120),0,IF((YEAR(D120)+5)&gt;YEAR(E120),1,(12-MONTH(E120)+1)/12))) + (R120)*(IF((YEAR(D120)+5)&lt;YEAR(E120),0,IF((YEAR(D120)+5)&gt;YEAR(E120),1,(12-MONTH(E120)+1)/12))))-(IF(OR(N120="",N120&lt;=0),0,(O120/N120)*(IF(OR(N120="",N120&lt;=0),0,IF((YEAR(D120)+5)&lt;YEAR(E120),0,IF((YEAR(D120)+5)&gt;=YEAR(E120)+N120,0,IF((YEAR(D120)+5)=YEAR(E120),(12-MONTH(E120)+1)/12,1))))))))&gt;0,(((K120)*(IF(M120="",L120,IFERROR(IF(INDEX(Variablen!$I:$AT, MATCH(M120, Variablen!$A:$A, 0), MATCH((YEAR(D120)+5), Variablen!$I$3:$AT$3, 0))="",L120,INDEX(Variablen!$I:$AT, MATCH(M120, Variablen!$A:$A, 0), MATCH((YEAR(D120)+5), Variablen!$I$3:$AT$3, 0))),L120)))*(IF((YEAR(D120)+5)&lt;YEAR(E120),0,IF((YEAR(D120)+5)&gt;YEAR(E120),1,(12-MONTH(E120)+1)/12))) + (Q120)*(IF((YEAR(D120)+5)&lt;YEAR(E120),0,IF((YEAR(D120)+5)&gt;YEAR(E120),1,(12-MONTH(E120)+1)/12))))-((P120)*(IF((YEAR(D120)+5)&lt;YEAR(E120),0,IF((YEAR(D120)+5)&gt;YEAR(E120),1,(12-MONTH(E120)+1)/12))) + (R120)*(IF((YEAR(D120)+5)&lt;YEAR(E120),0,IF((YEAR(D120)+5)&gt;YEAR(E120),1,(12-MONTH(E120)+1)/12))))-(IF(OR(N120="",N120&lt;=0),0,(O120/N120)*(IF(OR(N120="",N120&lt;=0),0,IF((YEAR(D120)+5)&lt;YEAR(E120),0,IF((YEAR(D120)+5)&gt;=YEAR(E120)+N120,0,IF((YEAR(D120)+5)=YEAR(E120),(12-MONTH(E120)+1)/12,1))))))))*TaxRate,0))-IF(5=0,O120,0))</f>
        <v/>
      </c>
      <c r="Y120" s="29">
        <f>IF(A120="","",((K120)*(IF(M120="",L120,IFERROR(IF(INDEX(Variablen!$I:$AT, MATCH(M120, Variablen!$A:$A, 0), MATCH((YEAR(D120)+6), Variablen!$I$3:$AT$3, 0))="",L120,INDEX(Variablen!$I:$AT, MATCH(M120, Variablen!$A:$A, 0), MATCH((YEAR(D120)+6), Variablen!$I$3:$AT$3, 0))),L120)))*(IF((YEAR(D120)+6)&lt;YEAR(E120),0,IF((YEAR(D120)+6)&gt;YEAR(E120),1,(12-MONTH(E120)+1)/12))) + (Q120)*(IF((YEAR(D120)+6)&lt;YEAR(E120),0,IF((YEAR(D120)+6)&gt;YEAR(E120),1,(12-MONTH(E120)+1)/12))))-((P120)*(IF((YEAR(D120)+6)&lt;YEAR(E120),0,IF((YEAR(D120)+6)&gt;YEAR(E120),1,(12-MONTH(E120)+1)/12))) + (R120)*(IF((YEAR(D120)+6)&lt;YEAR(E120),0,IF((YEAR(D120)+6)&gt;YEAR(E120),1,(12-MONTH(E120)+1)/12))))-(IF((((K120)*(IF(M120="",L120,IFERROR(IF(INDEX(Variablen!$I:$AT, MATCH(M120, Variablen!$A:$A, 0), MATCH((YEAR(D120)+6), Variablen!$I$3:$AT$3, 0))="",L120,INDEX(Variablen!$I:$AT, MATCH(M120, Variablen!$A:$A, 0), MATCH((YEAR(D120)+6), Variablen!$I$3:$AT$3, 0))),L120)))*(IF((YEAR(D120)+6)&lt;YEAR(E120),0,IF((YEAR(D120)+6)&gt;YEAR(E120),1,(12-MONTH(E120)+1)/12))) + (Q120)*(IF((YEAR(D120)+6)&lt;YEAR(E120),0,IF((YEAR(D120)+6)&gt;YEAR(E120),1,(12-MONTH(E120)+1)/12))))-((P120)*(IF((YEAR(D120)+6)&lt;YEAR(E120),0,IF((YEAR(D120)+6)&gt;YEAR(E120),1,(12-MONTH(E120)+1)/12))) + (R120)*(IF((YEAR(D120)+6)&lt;YEAR(E120),0,IF((YEAR(D120)+6)&gt;YEAR(E120),1,(12-MONTH(E120)+1)/12))))-(IF(OR(N120="",N120&lt;=0),0,(O120/N120)*(IF(OR(N120="",N120&lt;=0),0,IF((YEAR(D120)+6)&lt;YEAR(E120),0,IF((YEAR(D120)+6)&gt;=YEAR(E120)+N120,0,IF((YEAR(D120)+6)=YEAR(E120),(12-MONTH(E120)+1)/12,1))))))))&gt;0,(((K120)*(IF(M120="",L120,IFERROR(IF(INDEX(Variablen!$I:$AT, MATCH(M120, Variablen!$A:$A, 0), MATCH((YEAR(D120)+6), Variablen!$I$3:$AT$3, 0))="",L120,INDEX(Variablen!$I:$AT, MATCH(M120, Variablen!$A:$A, 0), MATCH((YEAR(D120)+6), Variablen!$I$3:$AT$3, 0))),L120)))*(IF((YEAR(D120)+6)&lt;YEAR(E120),0,IF((YEAR(D120)+6)&gt;YEAR(E120),1,(12-MONTH(E120)+1)/12))) + (Q120)*(IF((YEAR(D120)+6)&lt;YEAR(E120),0,IF((YEAR(D120)+6)&gt;YEAR(E120),1,(12-MONTH(E120)+1)/12))))-((P120)*(IF((YEAR(D120)+6)&lt;YEAR(E120),0,IF((YEAR(D120)+6)&gt;YEAR(E120),1,(12-MONTH(E120)+1)/12))) + (R120)*(IF((YEAR(D120)+6)&lt;YEAR(E120),0,IF((YEAR(D120)+6)&gt;YEAR(E120),1,(12-MONTH(E120)+1)/12))))-(IF(OR(N120="",N120&lt;=0),0,(O120/N120)*(IF(OR(N120="",N120&lt;=0),0,IF((YEAR(D120)+6)&lt;YEAR(E120),0,IF((YEAR(D120)+6)&gt;=YEAR(E120)+N120,0,IF((YEAR(D120)+6)=YEAR(E120),(12-MONTH(E120)+1)/12,1))))))))*TaxRate,0))-IF(6=0,O120,0))</f>
        <v/>
      </c>
      <c r="Z120" s="29">
        <f>IF(A120="","",((K120)*(IF(M120="",L120,IFERROR(IF(INDEX(Variablen!$I:$AT, MATCH(M120, Variablen!$A:$A, 0), MATCH((YEAR(D120)+7), Variablen!$I$3:$AT$3, 0))="",L120,INDEX(Variablen!$I:$AT, MATCH(M120, Variablen!$A:$A, 0), MATCH((YEAR(D120)+7), Variablen!$I$3:$AT$3, 0))),L120)))*(IF((YEAR(D120)+7)&lt;YEAR(E120),0,IF((YEAR(D120)+7)&gt;YEAR(E120),1,(12-MONTH(E120)+1)/12))) + (Q120)*(IF((YEAR(D120)+7)&lt;YEAR(E120),0,IF((YEAR(D120)+7)&gt;YEAR(E120),1,(12-MONTH(E120)+1)/12))))-((P120)*(IF((YEAR(D120)+7)&lt;YEAR(E120),0,IF((YEAR(D120)+7)&gt;YEAR(E120),1,(12-MONTH(E120)+1)/12))) + (R120)*(IF((YEAR(D120)+7)&lt;YEAR(E120),0,IF((YEAR(D120)+7)&gt;YEAR(E120),1,(12-MONTH(E120)+1)/12))))-(IF((((K120)*(IF(M120="",L120,IFERROR(IF(INDEX(Variablen!$I:$AT, MATCH(M120, Variablen!$A:$A, 0), MATCH((YEAR(D120)+7), Variablen!$I$3:$AT$3, 0))="",L120,INDEX(Variablen!$I:$AT, MATCH(M120, Variablen!$A:$A, 0), MATCH((YEAR(D120)+7), Variablen!$I$3:$AT$3, 0))),L120)))*(IF((YEAR(D120)+7)&lt;YEAR(E120),0,IF((YEAR(D120)+7)&gt;YEAR(E120),1,(12-MONTH(E120)+1)/12))) + (Q120)*(IF((YEAR(D120)+7)&lt;YEAR(E120),0,IF((YEAR(D120)+7)&gt;YEAR(E120),1,(12-MONTH(E120)+1)/12))))-((P120)*(IF((YEAR(D120)+7)&lt;YEAR(E120),0,IF((YEAR(D120)+7)&gt;YEAR(E120),1,(12-MONTH(E120)+1)/12))) + (R120)*(IF((YEAR(D120)+7)&lt;YEAR(E120),0,IF((YEAR(D120)+7)&gt;YEAR(E120),1,(12-MONTH(E120)+1)/12))))-(IF(OR(N120="",N120&lt;=0),0,(O120/N120)*(IF(OR(N120="",N120&lt;=0),0,IF((YEAR(D120)+7)&lt;YEAR(E120),0,IF((YEAR(D120)+7)&gt;=YEAR(E120)+N120,0,IF((YEAR(D120)+7)=YEAR(E120),(12-MONTH(E120)+1)/12,1))))))))&gt;0,(((K120)*(IF(M120="",L120,IFERROR(IF(INDEX(Variablen!$I:$AT, MATCH(M120, Variablen!$A:$A, 0), MATCH((YEAR(D120)+7), Variablen!$I$3:$AT$3, 0))="",L120,INDEX(Variablen!$I:$AT, MATCH(M120, Variablen!$A:$A, 0), MATCH((YEAR(D120)+7), Variablen!$I$3:$AT$3, 0))),L120)))*(IF((YEAR(D120)+7)&lt;YEAR(E120),0,IF((YEAR(D120)+7)&gt;YEAR(E120),1,(12-MONTH(E120)+1)/12))) + (Q120)*(IF((YEAR(D120)+7)&lt;YEAR(E120),0,IF((YEAR(D120)+7)&gt;YEAR(E120),1,(12-MONTH(E120)+1)/12))))-((P120)*(IF((YEAR(D120)+7)&lt;YEAR(E120),0,IF((YEAR(D120)+7)&gt;YEAR(E120),1,(12-MONTH(E120)+1)/12))) + (R120)*(IF((YEAR(D120)+7)&lt;YEAR(E120),0,IF((YEAR(D120)+7)&gt;YEAR(E120),1,(12-MONTH(E120)+1)/12))))-(IF(OR(N120="",N120&lt;=0),0,(O120/N120)*(IF(OR(N120="",N120&lt;=0),0,IF((YEAR(D120)+7)&lt;YEAR(E120),0,IF((YEAR(D120)+7)&gt;=YEAR(E120)+N120,0,IF((YEAR(D120)+7)=YEAR(E120),(12-MONTH(E120)+1)/12,1))))))))*TaxRate,0))-IF(7=0,O120,0))</f>
        <v/>
      </c>
      <c r="AA120" s="29">
        <f>IF(A120="","",((K120)*(IF(M120="",L120,IFERROR(IF(INDEX(Variablen!$I:$AT, MATCH(M120, Variablen!$A:$A, 0), MATCH((YEAR(D120)+8), Variablen!$I$3:$AT$3, 0))="",L120,INDEX(Variablen!$I:$AT, MATCH(M120, Variablen!$A:$A, 0), MATCH((YEAR(D120)+8), Variablen!$I$3:$AT$3, 0))),L120)))*(IF((YEAR(D120)+8)&lt;YEAR(E120),0,IF((YEAR(D120)+8)&gt;YEAR(E120),1,(12-MONTH(E120)+1)/12))) + (Q120)*(IF((YEAR(D120)+8)&lt;YEAR(E120),0,IF((YEAR(D120)+8)&gt;YEAR(E120),1,(12-MONTH(E120)+1)/12))))-((P120)*(IF((YEAR(D120)+8)&lt;YEAR(E120),0,IF((YEAR(D120)+8)&gt;YEAR(E120),1,(12-MONTH(E120)+1)/12))) + (R120)*(IF((YEAR(D120)+8)&lt;YEAR(E120),0,IF((YEAR(D120)+8)&gt;YEAR(E120),1,(12-MONTH(E120)+1)/12))))-(IF((((K120)*(IF(M120="",L120,IFERROR(IF(INDEX(Variablen!$I:$AT, MATCH(M120, Variablen!$A:$A, 0), MATCH((YEAR(D120)+8), Variablen!$I$3:$AT$3, 0))="",L120,INDEX(Variablen!$I:$AT, MATCH(M120, Variablen!$A:$A, 0), MATCH((YEAR(D120)+8), Variablen!$I$3:$AT$3, 0))),L120)))*(IF((YEAR(D120)+8)&lt;YEAR(E120),0,IF((YEAR(D120)+8)&gt;YEAR(E120),1,(12-MONTH(E120)+1)/12))) + (Q120)*(IF((YEAR(D120)+8)&lt;YEAR(E120),0,IF((YEAR(D120)+8)&gt;YEAR(E120),1,(12-MONTH(E120)+1)/12))))-((P120)*(IF((YEAR(D120)+8)&lt;YEAR(E120),0,IF((YEAR(D120)+8)&gt;YEAR(E120),1,(12-MONTH(E120)+1)/12))) + (R120)*(IF((YEAR(D120)+8)&lt;YEAR(E120),0,IF((YEAR(D120)+8)&gt;YEAR(E120),1,(12-MONTH(E120)+1)/12))))-(IF(OR(N120="",N120&lt;=0),0,(O120/N120)*(IF(OR(N120="",N120&lt;=0),0,IF((YEAR(D120)+8)&lt;YEAR(E120),0,IF((YEAR(D120)+8)&gt;=YEAR(E120)+N120,0,IF((YEAR(D120)+8)=YEAR(E120),(12-MONTH(E120)+1)/12,1))))))))&gt;0,(((K120)*(IF(M120="",L120,IFERROR(IF(INDEX(Variablen!$I:$AT, MATCH(M120, Variablen!$A:$A, 0), MATCH((YEAR(D120)+8), Variablen!$I$3:$AT$3, 0))="",L120,INDEX(Variablen!$I:$AT, MATCH(M120, Variablen!$A:$A, 0), MATCH((YEAR(D120)+8), Variablen!$I$3:$AT$3, 0))),L120)))*(IF((YEAR(D120)+8)&lt;YEAR(E120),0,IF((YEAR(D120)+8)&gt;YEAR(E120),1,(12-MONTH(E120)+1)/12))) + (Q120)*(IF((YEAR(D120)+8)&lt;YEAR(E120),0,IF((YEAR(D120)+8)&gt;YEAR(E120),1,(12-MONTH(E120)+1)/12))))-((P120)*(IF((YEAR(D120)+8)&lt;YEAR(E120),0,IF((YEAR(D120)+8)&gt;YEAR(E120),1,(12-MONTH(E120)+1)/12))) + (R120)*(IF((YEAR(D120)+8)&lt;YEAR(E120),0,IF((YEAR(D120)+8)&gt;YEAR(E120),1,(12-MONTH(E120)+1)/12))))-(IF(OR(N120="",N120&lt;=0),0,(O120/N120)*(IF(OR(N120="",N120&lt;=0),0,IF((YEAR(D120)+8)&lt;YEAR(E120),0,IF((YEAR(D120)+8)&gt;=YEAR(E120)+N120,0,IF((YEAR(D120)+8)=YEAR(E120),(12-MONTH(E120)+1)/12,1))))))))*TaxRate,0))-IF(8=0,O120,0))</f>
        <v/>
      </c>
      <c r="AB120" s="29">
        <f>IF(A120="","",((K120)*(IF(M120="",L120,IFERROR(IF(INDEX(Variablen!$I:$AT, MATCH(M120, Variablen!$A:$A, 0), MATCH((YEAR(D120)+9), Variablen!$I$3:$AT$3, 0))="",L120,INDEX(Variablen!$I:$AT, MATCH(M120, Variablen!$A:$A, 0), MATCH((YEAR(D120)+9), Variablen!$I$3:$AT$3, 0))),L120)))*(IF((YEAR(D120)+9)&lt;YEAR(E120),0,IF((YEAR(D120)+9)&gt;YEAR(E120),1,(12-MONTH(E120)+1)/12))) + (Q120)*(IF((YEAR(D120)+9)&lt;YEAR(E120),0,IF((YEAR(D120)+9)&gt;YEAR(E120),1,(12-MONTH(E120)+1)/12))))-((P120)*(IF((YEAR(D120)+9)&lt;YEAR(E120),0,IF((YEAR(D120)+9)&gt;YEAR(E120),1,(12-MONTH(E120)+1)/12))) + (R120)*(IF((YEAR(D120)+9)&lt;YEAR(E120),0,IF((YEAR(D120)+9)&gt;YEAR(E120),1,(12-MONTH(E120)+1)/12))))-(IF((((K120)*(IF(M120="",L120,IFERROR(IF(INDEX(Variablen!$I:$AT, MATCH(M120, Variablen!$A:$A, 0), MATCH((YEAR(D120)+9), Variablen!$I$3:$AT$3, 0))="",L120,INDEX(Variablen!$I:$AT, MATCH(M120, Variablen!$A:$A, 0), MATCH((YEAR(D120)+9), Variablen!$I$3:$AT$3, 0))),L120)))*(IF((YEAR(D120)+9)&lt;YEAR(E120),0,IF((YEAR(D120)+9)&gt;YEAR(E120),1,(12-MONTH(E120)+1)/12))) + (Q120)*(IF((YEAR(D120)+9)&lt;YEAR(E120),0,IF((YEAR(D120)+9)&gt;YEAR(E120),1,(12-MONTH(E120)+1)/12))))-((P120)*(IF((YEAR(D120)+9)&lt;YEAR(E120),0,IF((YEAR(D120)+9)&gt;YEAR(E120),1,(12-MONTH(E120)+1)/12))) + (R120)*(IF((YEAR(D120)+9)&lt;YEAR(E120),0,IF((YEAR(D120)+9)&gt;YEAR(E120),1,(12-MONTH(E120)+1)/12))))-(IF(OR(N120="",N120&lt;=0),0,(O120/N120)*(IF(OR(N120="",N120&lt;=0),0,IF((YEAR(D120)+9)&lt;YEAR(E120),0,IF((YEAR(D120)+9)&gt;=YEAR(E120)+N120,0,IF((YEAR(D120)+9)=YEAR(E120),(12-MONTH(E120)+1)/12,1))))))))&gt;0,(((K120)*(IF(M120="",L120,IFERROR(IF(INDEX(Variablen!$I:$AT, MATCH(M120, Variablen!$A:$A, 0), MATCH((YEAR(D120)+9), Variablen!$I$3:$AT$3, 0))="",L120,INDEX(Variablen!$I:$AT, MATCH(M120, Variablen!$A:$A, 0), MATCH((YEAR(D120)+9), Variablen!$I$3:$AT$3, 0))),L120)))*(IF((YEAR(D120)+9)&lt;YEAR(E120),0,IF((YEAR(D120)+9)&gt;YEAR(E120),1,(12-MONTH(E120)+1)/12))) + (Q120)*(IF((YEAR(D120)+9)&lt;YEAR(E120),0,IF((YEAR(D120)+9)&gt;YEAR(E120),1,(12-MONTH(E120)+1)/12))))-((P120)*(IF((YEAR(D120)+9)&lt;YEAR(E120),0,IF((YEAR(D120)+9)&gt;YEAR(E120),1,(12-MONTH(E120)+1)/12))) + (R120)*(IF((YEAR(D120)+9)&lt;YEAR(E120),0,IF((YEAR(D120)+9)&gt;YEAR(E120),1,(12-MONTH(E120)+1)/12))))-(IF(OR(N120="",N120&lt;=0),0,(O120/N120)*(IF(OR(N120="",N120&lt;=0),0,IF((YEAR(D120)+9)&lt;YEAR(E120),0,IF((YEAR(D120)+9)&gt;=YEAR(E120)+N120,0,IF((YEAR(D120)+9)=YEAR(E120),(12-MONTH(E120)+1)/12,1))))))))*TaxRate,0))-IF(9=0,O120,0))</f>
        <v/>
      </c>
      <c r="AC120" s="29">
        <f>IF(A120="","",((K120)*(IF(M120="",L120,IFERROR(IF(INDEX(Variablen!$I:$AT, MATCH(M120, Variablen!$A:$A, 0), MATCH((YEAR(D120)+10), Variablen!$I$3:$AT$3, 0))="",L120,INDEX(Variablen!$I:$AT, MATCH(M120, Variablen!$A:$A, 0), MATCH((YEAR(D120)+10), Variablen!$I$3:$AT$3, 0))),L120)))*(IF((YEAR(D120)+10)&lt;YEAR(E120),0,IF((YEAR(D120)+10)&gt;YEAR(E120),1,(12-MONTH(E120)+1)/12))) + (Q120)*(IF((YEAR(D120)+10)&lt;YEAR(E120),0,IF((YEAR(D120)+10)&gt;YEAR(E120),1,(12-MONTH(E120)+1)/12))))-((P120)*(IF((YEAR(D120)+10)&lt;YEAR(E120),0,IF((YEAR(D120)+10)&gt;YEAR(E120),1,(12-MONTH(E120)+1)/12))) + (R120)*(IF((YEAR(D120)+10)&lt;YEAR(E120),0,IF((YEAR(D120)+10)&gt;YEAR(E120),1,(12-MONTH(E120)+1)/12))))-(IF((((K120)*(IF(M120="",L120,IFERROR(IF(INDEX(Variablen!$I:$AT, MATCH(M120, Variablen!$A:$A, 0), MATCH((YEAR(D120)+10), Variablen!$I$3:$AT$3, 0))="",L120,INDEX(Variablen!$I:$AT, MATCH(M120, Variablen!$A:$A, 0), MATCH((YEAR(D120)+10), Variablen!$I$3:$AT$3, 0))),L120)))*(IF((YEAR(D120)+10)&lt;YEAR(E120),0,IF((YEAR(D120)+10)&gt;YEAR(E120),1,(12-MONTH(E120)+1)/12))) + (Q120)*(IF((YEAR(D120)+10)&lt;YEAR(E120),0,IF((YEAR(D120)+10)&gt;YEAR(E120),1,(12-MONTH(E120)+1)/12))))-((P120)*(IF((YEAR(D120)+10)&lt;YEAR(E120),0,IF((YEAR(D120)+10)&gt;YEAR(E120),1,(12-MONTH(E120)+1)/12))) + (R120)*(IF((YEAR(D120)+10)&lt;YEAR(E120),0,IF((YEAR(D120)+10)&gt;YEAR(E120),1,(12-MONTH(E120)+1)/12))))-(IF(OR(N120="",N120&lt;=0),0,(O120/N120)*(IF(OR(N120="",N120&lt;=0),0,IF((YEAR(D120)+10)&lt;YEAR(E120),0,IF((YEAR(D120)+10)&gt;=YEAR(E120)+N120,0,IF((YEAR(D120)+10)=YEAR(E120),(12-MONTH(E120)+1)/12,1))))))))&gt;0,(((K120)*(IF(M120="",L120,IFERROR(IF(INDEX(Variablen!$I:$AT, MATCH(M120, Variablen!$A:$A, 0), MATCH((YEAR(D120)+10), Variablen!$I$3:$AT$3, 0))="",L120,INDEX(Variablen!$I:$AT, MATCH(M120, Variablen!$A:$A, 0), MATCH((YEAR(D120)+10), Variablen!$I$3:$AT$3, 0))),L120)))*(IF((YEAR(D120)+10)&lt;YEAR(E120),0,IF((YEAR(D120)+10)&gt;YEAR(E120),1,(12-MONTH(E120)+1)/12))) + (Q120)*(IF((YEAR(D120)+10)&lt;YEAR(E120),0,IF((YEAR(D120)+10)&gt;YEAR(E120),1,(12-MONTH(E120)+1)/12))))-((P120)*(IF((YEAR(D120)+10)&lt;YEAR(E120),0,IF((YEAR(D120)+10)&gt;YEAR(E120),1,(12-MONTH(E120)+1)/12))) + (R120)*(IF((YEAR(D120)+10)&lt;YEAR(E120),0,IF((YEAR(D120)+10)&gt;YEAR(E120),1,(12-MONTH(E120)+1)/12))))-(IF(OR(N120="",N120&lt;=0),0,(O120/N120)*(IF(OR(N120="",N120&lt;=0),0,IF((YEAR(D120)+10)&lt;YEAR(E120),0,IF((YEAR(D120)+10)&gt;=YEAR(E120)+N120,0,IF((YEAR(D120)+10)=YEAR(E120),(12-MONTH(E120)+1)/12,1))))))))*TaxRate,0))-IF(10=0,O120,0))</f>
        <v/>
      </c>
      <c r="AD120" s="29">
        <f>IF(A120="","",((K120)*(IF(M120="",L120,IFERROR(IF(INDEX(Variablen!$I:$AT, MATCH(M120, Variablen!$A:$A, 0), MATCH((YEAR(D120)+11), Variablen!$I$3:$AT$3, 0))="",L120,INDEX(Variablen!$I:$AT, MATCH(M120, Variablen!$A:$A, 0), MATCH((YEAR(D120)+11), Variablen!$I$3:$AT$3, 0))),L120)))*(IF((YEAR(D120)+11)&lt;YEAR(E120),0,IF((YEAR(D120)+11)&gt;YEAR(E120),1,(12-MONTH(E120)+1)/12))) + (Q120)*(IF((YEAR(D120)+11)&lt;YEAR(E120),0,IF((YEAR(D120)+11)&gt;YEAR(E120),1,(12-MONTH(E120)+1)/12))))-((P120)*(IF((YEAR(D120)+11)&lt;YEAR(E120),0,IF((YEAR(D120)+11)&gt;YEAR(E120),1,(12-MONTH(E120)+1)/12))) + (R120)*(IF((YEAR(D120)+11)&lt;YEAR(E120),0,IF((YEAR(D120)+11)&gt;YEAR(E120),1,(12-MONTH(E120)+1)/12))))-(IF((((K120)*(IF(M120="",L120,IFERROR(IF(INDEX(Variablen!$I:$AT, MATCH(M120, Variablen!$A:$A, 0), MATCH((YEAR(D120)+11), Variablen!$I$3:$AT$3, 0))="",L120,INDEX(Variablen!$I:$AT, MATCH(M120, Variablen!$A:$A, 0), MATCH((YEAR(D120)+11), Variablen!$I$3:$AT$3, 0))),L120)))*(IF((YEAR(D120)+11)&lt;YEAR(E120),0,IF((YEAR(D120)+11)&gt;YEAR(E120),1,(12-MONTH(E120)+1)/12))) + (Q120)*(IF((YEAR(D120)+11)&lt;YEAR(E120),0,IF((YEAR(D120)+11)&gt;YEAR(E120),1,(12-MONTH(E120)+1)/12))))-((P120)*(IF((YEAR(D120)+11)&lt;YEAR(E120),0,IF((YEAR(D120)+11)&gt;YEAR(E120),1,(12-MONTH(E120)+1)/12))) + (R120)*(IF((YEAR(D120)+11)&lt;YEAR(E120),0,IF((YEAR(D120)+11)&gt;YEAR(E120),1,(12-MONTH(E120)+1)/12))))-(IF(OR(N120="",N120&lt;=0),0,(O120/N120)*(IF(OR(N120="",N120&lt;=0),0,IF((YEAR(D120)+11)&lt;YEAR(E120),0,IF((YEAR(D120)+11)&gt;=YEAR(E120)+N120,0,IF((YEAR(D120)+11)=YEAR(E120),(12-MONTH(E120)+1)/12,1))))))))&gt;0,(((K120)*(IF(M120="",L120,IFERROR(IF(INDEX(Variablen!$I:$AT, MATCH(M120, Variablen!$A:$A, 0), MATCH((YEAR(D120)+11), Variablen!$I$3:$AT$3, 0))="",L120,INDEX(Variablen!$I:$AT, MATCH(M120, Variablen!$A:$A, 0), MATCH((YEAR(D120)+11), Variablen!$I$3:$AT$3, 0))),L120)))*(IF((YEAR(D120)+11)&lt;YEAR(E120),0,IF((YEAR(D120)+11)&gt;YEAR(E120),1,(12-MONTH(E120)+1)/12))) + (Q120)*(IF((YEAR(D120)+11)&lt;YEAR(E120),0,IF((YEAR(D120)+11)&gt;YEAR(E120),1,(12-MONTH(E120)+1)/12))))-((P120)*(IF((YEAR(D120)+11)&lt;YEAR(E120),0,IF((YEAR(D120)+11)&gt;YEAR(E120),1,(12-MONTH(E120)+1)/12))) + (R120)*(IF((YEAR(D120)+11)&lt;YEAR(E120),0,IF((YEAR(D120)+11)&gt;YEAR(E120),1,(12-MONTH(E120)+1)/12))))-(IF(OR(N120="",N120&lt;=0),0,(O120/N120)*(IF(OR(N120="",N120&lt;=0),0,IF((YEAR(D120)+11)&lt;YEAR(E120),0,IF((YEAR(D120)+11)&gt;=YEAR(E120)+N120,0,IF((YEAR(D120)+11)=YEAR(E120),(12-MONTH(E120)+1)/12,1))))))))*TaxRate,0))-IF(11=0,O120,0))</f>
        <v/>
      </c>
      <c r="AE120" s="29">
        <f>IF(A120="","",((K120)*(IF(M120="",L120,IFERROR(IF(INDEX(Variablen!$I:$AT, MATCH(M120, Variablen!$A:$A, 0), MATCH((YEAR(D120)+12), Variablen!$I$3:$AT$3, 0))="",L120,INDEX(Variablen!$I:$AT, MATCH(M120, Variablen!$A:$A, 0), MATCH((YEAR(D120)+12), Variablen!$I$3:$AT$3, 0))),L120)))*(IF((YEAR(D120)+12)&lt;YEAR(E120),0,IF((YEAR(D120)+12)&gt;YEAR(E120),1,(12-MONTH(E120)+1)/12))) + (Q120)*(IF((YEAR(D120)+12)&lt;YEAR(E120),0,IF((YEAR(D120)+12)&gt;YEAR(E120),1,(12-MONTH(E120)+1)/12))))-((P120)*(IF((YEAR(D120)+12)&lt;YEAR(E120),0,IF((YEAR(D120)+12)&gt;YEAR(E120),1,(12-MONTH(E120)+1)/12))) + (R120)*(IF((YEAR(D120)+12)&lt;YEAR(E120),0,IF((YEAR(D120)+12)&gt;YEAR(E120),1,(12-MONTH(E120)+1)/12))))-(IF((((K120)*(IF(M120="",L120,IFERROR(IF(INDEX(Variablen!$I:$AT, MATCH(M120, Variablen!$A:$A, 0), MATCH((YEAR(D120)+12), Variablen!$I$3:$AT$3, 0))="",L120,INDEX(Variablen!$I:$AT, MATCH(M120, Variablen!$A:$A, 0), MATCH((YEAR(D120)+12), Variablen!$I$3:$AT$3, 0))),L120)))*(IF((YEAR(D120)+12)&lt;YEAR(E120),0,IF((YEAR(D120)+12)&gt;YEAR(E120),1,(12-MONTH(E120)+1)/12))) + (Q120)*(IF((YEAR(D120)+12)&lt;YEAR(E120),0,IF((YEAR(D120)+12)&gt;YEAR(E120),1,(12-MONTH(E120)+1)/12))))-((P120)*(IF((YEAR(D120)+12)&lt;YEAR(E120),0,IF((YEAR(D120)+12)&gt;YEAR(E120),1,(12-MONTH(E120)+1)/12))) + (R120)*(IF((YEAR(D120)+12)&lt;YEAR(E120),0,IF((YEAR(D120)+12)&gt;YEAR(E120),1,(12-MONTH(E120)+1)/12))))-(IF(OR(N120="",N120&lt;=0),0,(O120/N120)*(IF(OR(N120="",N120&lt;=0),0,IF((YEAR(D120)+12)&lt;YEAR(E120),0,IF((YEAR(D120)+12)&gt;=YEAR(E120)+N120,0,IF((YEAR(D120)+12)=YEAR(E120),(12-MONTH(E120)+1)/12,1))))))))&gt;0,(((K120)*(IF(M120="",L120,IFERROR(IF(INDEX(Variablen!$I:$AT, MATCH(M120, Variablen!$A:$A, 0), MATCH((YEAR(D120)+12), Variablen!$I$3:$AT$3, 0))="",L120,INDEX(Variablen!$I:$AT, MATCH(M120, Variablen!$A:$A, 0), MATCH((YEAR(D120)+12), Variablen!$I$3:$AT$3, 0))),L120)))*(IF((YEAR(D120)+12)&lt;YEAR(E120),0,IF((YEAR(D120)+12)&gt;YEAR(E120),1,(12-MONTH(E120)+1)/12))) + (Q120)*(IF((YEAR(D120)+12)&lt;YEAR(E120),0,IF((YEAR(D120)+12)&gt;YEAR(E120),1,(12-MONTH(E120)+1)/12))))-((P120)*(IF((YEAR(D120)+12)&lt;YEAR(E120),0,IF((YEAR(D120)+12)&gt;YEAR(E120),1,(12-MONTH(E120)+1)/12))) + (R120)*(IF((YEAR(D120)+12)&lt;YEAR(E120),0,IF((YEAR(D120)+12)&gt;YEAR(E120),1,(12-MONTH(E120)+1)/12))))-(IF(OR(N120="",N120&lt;=0),0,(O120/N120)*(IF(OR(N120="",N120&lt;=0),0,IF((YEAR(D120)+12)&lt;YEAR(E120),0,IF((YEAR(D120)+12)&gt;=YEAR(E120)+N120,0,IF((YEAR(D120)+12)=YEAR(E120),(12-MONTH(E120)+1)/12,1))))))))*TaxRate,0))-IF(12=0,O120,0))</f>
        <v/>
      </c>
      <c r="AF120" s="29">
        <f>IF(A120="","",((K120)*(IF(M120="",L120,IFERROR(IF(INDEX(Variablen!$I:$AT, MATCH(M120, Variablen!$A:$A, 0), MATCH((YEAR(D120)+13), Variablen!$I$3:$AT$3, 0))="",L120,INDEX(Variablen!$I:$AT, MATCH(M120, Variablen!$A:$A, 0), MATCH((YEAR(D120)+13), Variablen!$I$3:$AT$3, 0))),L120)))*(IF((YEAR(D120)+13)&lt;YEAR(E120),0,IF((YEAR(D120)+13)&gt;YEAR(E120),1,(12-MONTH(E120)+1)/12))) + (Q120)*(IF((YEAR(D120)+13)&lt;YEAR(E120),0,IF((YEAR(D120)+13)&gt;YEAR(E120),1,(12-MONTH(E120)+1)/12))))-((P120)*(IF((YEAR(D120)+13)&lt;YEAR(E120),0,IF((YEAR(D120)+13)&gt;YEAR(E120),1,(12-MONTH(E120)+1)/12))) + (R120)*(IF((YEAR(D120)+13)&lt;YEAR(E120),0,IF((YEAR(D120)+13)&gt;YEAR(E120),1,(12-MONTH(E120)+1)/12))))-(IF((((K120)*(IF(M120="",L120,IFERROR(IF(INDEX(Variablen!$I:$AT, MATCH(M120, Variablen!$A:$A, 0), MATCH((YEAR(D120)+13), Variablen!$I$3:$AT$3, 0))="",L120,INDEX(Variablen!$I:$AT, MATCH(M120, Variablen!$A:$A, 0), MATCH((YEAR(D120)+13), Variablen!$I$3:$AT$3, 0))),L120)))*(IF((YEAR(D120)+13)&lt;YEAR(E120),0,IF((YEAR(D120)+13)&gt;YEAR(E120),1,(12-MONTH(E120)+1)/12))) + (Q120)*(IF((YEAR(D120)+13)&lt;YEAR(E120),0,IF((YEAR(D120)+13)&gt;YEAR(E120),1,(12-MONTH(E120)+1)/12))))-((P120)*(IF((YEAR(D120)+13)&lt;YEAR(E120),0,IF((YEAR(D120)+13)&gt;YEAR(E120),1,(12-MONTH(E120)+1)/12))) + (R120)*(IF((YEAR(D120)+13)&lt;YEAR(E120),0,IF((YEAR(D120)+13)&gt;YEAR(E120),1,(12-MONTH(E120)+1)/12))))-(IF(OR(N120="",N120&lt;=0),0,(O120/N120)*(IF(OR(N120="",N120&lt;=0),0,IF((YEAR(D120)+13)&lt;YEAR(E120),0,IF((YEAR(D120)+13)&gt;=YEAR(E120)+N120,0,IF((YEAR(D120)+13)=YEAR(E120),(12-MONTH(E120)+1)/12,1))))))))&gt;0,(((K120)*(IF(M120="",L120,IFERROR(IF(INDEX(Variablen!$I:$AT, MATCH(M120, Variablen!$A:$A, 0), MATCH((YEAR(D120)+13), Variablen!$I$3:$AT$3, 0))="",L120,INDEX(Variablen!$I:$AT, MATCH(M120, Variablen!$A:$A, 0), MATCH((YEAR(D120)+13), Variablen!$I$3:$AT$3, 0))),L120)))*(IF((YEAR(D120)+13)&lt;YEAR(E120),0,IF((YEAR(D120)+13)&gt;YEAR(E120),1,(12-MONTH(E120)+1)/12))) + (Q120)*(IF((YEAR(D120)+13)&lt;YEAR(E120),0,IF((YEAR(D120)+13)&gt;YEAR(E120),1,(12-MONTH(E120)+1)/12))))-((P120)*(IF((YEAR(D120)+13)&lt;YEAR(E120),0,IF((YEAR(D120)+13)&gt;YEAR(E120),1,(12-MONTH(E120)+1)/12))) + (R120)*(IF((YEAR(D120)+13)&lt;YEAR(E120),0,IF((YEAR(D120)+13)&gt;YEAR(E120),1,(12-MONTH(E120)+1)/12))))-(IF(OR(N120="",N120&lt;=0),0,(O120/N120)*(IF(OR(N120="",N120&lt;=0),0,IF((YEAR(D120)+13)&lt;YEAR(E120),0,IF((YEAR(D120)+13)&gt;=YEAR(E120)+N120,0,IF((YEAR(D120)+13)=YEAR(E120),(12-MONTH(E120)+1)/12,1))))))))*TaxRate,0))-IF(13=0,O120,0))</f>
        <v/>
      </c>
      <c r="AG120" s="29">
        <f>IF(A120="","",((K120)*(IF(M120="",L120,IFERROR(IF(INDEX(Variablen!$I:$AT, MATCH(M120, Variablen!$A:$A, 0), MATCH((YEAR(D120)+14), Variablen!$I$3:$AT$3, 0))="",L120,INDEX(Variablen!$I:$AT, MATCH(M120, Variablen!$A:$A, 0), MATCH((YEAR(D120)+14), Variablen!$I$3:$AT$3, 0))),L120)))*(IF((YEAR(D120)+14)&lt;YEAR(E120),0,IF((YEAR(D120)+14)&gt;YEAR(E120),1,(12-MONTH(E120)+1)/12))) + (Q120)*(IF((YEAR(D120)+14)&lt;YEAR(E120),0,IF((YEAR(D120)+14)&gt;YEAR(E120),1,(12-MONTH(E120)+1)/12))))-((P120)*(IF((YEAR(D120)+14)&lt;YEAR(E120),0,IF((YEAR(D120)+14)&gt;YEAR(E120),1,(12-MONTH(E120)+1)/12))) + (R120)*(IF((YEAR(D120)+14)&lt;YEAR(E120),0,IF((YEAR(D120)+14)&gt;YEAR(E120),1,(12-MONTH(E120)+1)/12))))-(IF((((K120)*(IF(M120="",L120,IFERROR(IF(INDEX(Variablen!$I:$AT, MATCH(M120, Variablen!$A:$A, 0), MATCH((YEAR(D120)+14), Variablen!$I$3:$AT$3, 0))="",L120,INDEX(Variablen!$I:$AT, MATCH(M120, Variablen!$A:$A, 0), MATCH((YEAR(D120)+14), Variablen!$I$3:$AT$3, 0))),L120)))*(IF((YEAR(D120)+14)&lt;YEAR(E120),0,IF((YEAR(D120)+14)&gt;YEAR(E120),1,(12-MONTH(E120)+1)/12))) + (Q120)*(IF((YEAR(D120)+14)&lt;YEAR(E120),0,IF((YEAR(D120)+14)&gt;YEAR(E120),1,(12-MONTH(E120)+1)/12))))-((P120)*(IF((YEAR(D120)+14)&lt;YEAR(E120),0,IF((YEAR(D120)+14)&gt;YEAR(E120),1,(12-MONTH(E120)+1)/12))) + (R120)*(IF((YEAR(D120)+14)&lt;YEAR(E120),0,IF((YEAR(D120)+14)&gt;YEAR(E120),1,(12-MONTH(E120)+1)/12))))-(IF(OR(N120="",N120&lt;=0),0,(O120/N120)*(IF(OR(N120="",N120&lt;=0),0,IF((YEAR(D120)+14)&lt;YEAR(E120),0,IF((YEAR(D120)+14)&gt;=YEAR(E120)+N120,0,IF((YEAR(D120)+14)=YEAR(E120),(12-MONTH(E120)+1)/12,1))))))))&gt;0,(((K120)*(IF(M120="",L120,IFERROR(IF(INDEX(Variablen!$I:$AT, MATCH(M120, Variablen!$A:$A, 0), MATCH((YEAR(D120)+14), Variablen!$I$3:$AT$3, 0))="",L120,INDEX(Variablen!$I:$AT, MATCH(M120, Variablen!$A:$A, 0), MATCH((YEAR(D120)+14), Variablen!$I$3:$AT$3, 0))),L120)))*(IF((YEAR(D120)+14)&lt;YEAR(E120),0,IF((YEAR(D120)+14)&gt;YEAR(E120),1,(12-MONTH(E120)+1)/12))) + (Q120)*(IF((YEAR(D120)+14)&lt;YEAR(E120),0,IF((YEAR(D120)+14)&gt;YEAR(E120),1,(12-MONTH(E120)+1)/12))))-((P120)*(IF((YEAR(D120)+14)&lt;YEAR(E120),0,IF((YEAR(D120)+14)&gt;YEAR(E120),1,(12-MONTH(E120)+1)/12))) + (R120)*(IF((YEAR(D120)+14)&lt;YEAR(E120),0,IF((YEAR(D120)+14)&gt;YEAR(E120),1,(12-MONTH(E120)+1)/12))))-(IF(OR(N120="",N120&lt;=0),0,(O120/N120)*(IF(OR(N120="",N120&lt;=0),0,IF((YEAR(D120)+14)&lt;YEAR(E120),0,IF((YEAR(D120)+14)&gt;=YEAR(E120)+N120,0,IF((YEAR(D120)+14)=YEAR(E120),(12-MONTH(E120)+1)/12,1))))))))*TaxRate,0))-IF(14=0,O120,0))</f>
        <v/>
      </c>
      <c r="AH120" s="29">
        <f>IF(A120="","",((K120)*(IF(M120="",L120,IFERROR(IF(INDEX(Variablen!$I:$AT, MATCH(M120, Variablen!$A:$A, 0), MATCH((YEAR(D120)+15), Variablen!$I$3:$AT$3, 0))="",L120,INDEX(Variablen!$I:$AT, MATCH(M120, Variablen!$A:$A, 0), MATCH((YEAR(D120)+15), Variablen!$I$3:$AT$3, 0))),L120)))*(IF((YEAR(D120)+15)&lt;YEAR(E120),0,IF((YEAR(D120)+15)&gt;YEAR(E120),1,(12-MONTH(E120)+1)/12))) + (Q120)*(IF((YEAR(D120)+15)&lt;YEAR(E120),0,IF((YEAR(D120)+15)&gt;YEAR(E120),1,(12-MONTH(E120)+1)/12))))-((P120)*(IF((YEAR(D120)+15)&lt;YEAR(E120),0,IF((YEAR(D120)+15)&gt;YEAR(E120),1,(12-MONTH(E120)+1)/12))) + (R120)*(IF((YEAR(D120)+15)&lt;YEAR(E120),0,IF((YEAR(D120)+15)&gt;YEAR(E120),1,(12-MONTH(E120)+1)/12))))-(IF((((K120)*(IF(M120="",L120,IFERROR(IF(INDEX(Variablen!$I:$AT, MATCH(M120, Variablen!$A:$A, 0), MATCH((YEAR(D120)+15), Variablen!$I$3:$AT$3, 0))="",L120,INDEX(Variablen!$I:$AT, MATCH(M120, Variablen!$A:$A, 0), MATCH((YEAR(D120)+15), Variablen!$I$3:$AT$3, 0))),L120)))*(IF((YEAR(D120)+15)&lt;YEAR(E120),0,IF((YEAR(D120)+15)&gt;YEAR(E120),1,(12-MONTH(E120)+1)/12))) + (Q120)*(IF((YEAR(D120)+15)&lt;YEAR(E120),0,IF((YEAR(D120)+15)&gt;YEAR(E120),1,(12-MONTH(E120)+1)/12))))-((P120)*(IF((YEAR(D120)+15)&lt;YEAR(E120),0,IF((YEAR(D120)+15)&gt;YEAR(E120),1,(12-MONTH(E120)+1)/12))) + (R120)*(IF((YEAR(D120)+15)&lt;YEAR(E120),0,IF((YEAR(D120)+15)&gt;YEAR(E120),1,(12-MONTH(E120)+1)/12))))-(IF(OR(N120="",N120&lt;=0),0,(O120/N120)*(IF(OR(N120="",N120&lt;=0),0,IF((YEAR(D120)+15)&lt;YEAR(E120),0,IF((YEAR(D120)+15)&gt;=YEAR(E120)+N120,0,IF((YEAR(D120)+15)=YEAR(E120),(12-MONTH(E120)+1)/12,1))))))))&gt;0,(((K120)*(IF(M120="",L120,IFERROR(IF(INDEX(Variablen!$I:$AT, MATCH(M120, Variablen!$A:$A, 0), MATCH((YEAR(D120)+15), Variablen!$I$3:$AT$3, 0))="",L120,INDEX(Variablen!$I:$AT, MATCH(M120, Variablen!$A:$A, 0), MATCH((YEAR(D120)+15), Variablen!$I$3:$AT$3, 0))),L120)))*(IF((YEAR(D120)+15)&lt;YEAR(E120),0,IF((YEAR(D120)+15)&gt;YEAR(E120),1,(12-MONTH(E120)+1)/12))) + (Q120)*(IF((YEAR(D120)+15)&lt;YEAR(E120),0,IF((YEAR(D120)+15)&gt;YEAR(E120),1,(12-MONTH(E120)+1)/12))))-((P120)*(IF((YEAR(D120)+15)&lt;YEAR(E120),0,IF((YEAR(D120)+15)&gt;YEAR(E120),1,(12-MONTH(E120)+1)/12))) + (R120)*(IF((YEAR(D120)+15)&lt;YEAR(E120),0,IF((YEAR(D120)+15)&gt;YEAR(E120),1,(12-MONTH(E120)+1)/12))))-(IF(OR(N120="",N120&lt;=0),0,(O120/N120)*(IF(OR(N120="",N120&lt;=0),0,IF((YEAR(D120)+15)&lt;YEAR(E120),0,IF((YEAR(D120)+15)&gt;=YEAR(E120)+N120,0,IF((YEAR(D120)+15)=YEAR(E120),(12-MONTH(E120)+1)/12,1))))))))*TaxRate,0))-IF(15=0,O120,0))</f>
        <v/>
      </c>
      <c r="AI120" s="29">
        <f>IF(A120="","",((K120)*(IF(M120="",L120,IFERROR(IF(INDEX(Variablen!$I:$AT, MATCH(M120, Variablen!$A:$A, 0), MATCH((YEAR(D120)+16), Variablen!$I$3:$AT$3, 0))="",L120,INDEX(Variablen!$I:$AT, MATCH(M120, Variablen!$A:$A, 0), MATCH((YEAR(D120)+16), Variablen!$I$3:$AT$3, 0))),L120)))*(IF((YEAR(D120)+16)&lt;YEAR(E120),0,IF((YEAR(D120)+16)&gt;YEAR(E120),1,(12-MONTH(E120)+1)/12))) + (Q120)*(IF((YEAR(D120)+16)&lt;YEAR(E120),0,IF((YEAR(D120)+16)&gt;YEAR(E120),1,(12-MONTH(E120)+1)/12))))-((P120)*(IF((YEAR(D120)+16)&lt;YEAR(E120),0,IF((YEAR(D120)+16)&gt;YEAR(E120),1,(12-MONTH(E120)+1)/12))) + (R120)*(IF((YEAR(D120)+16)&lt;YEAR(E120),0,IF((YEAR(D120)+16)&gt;YEAR(E120),1,(12-MONTH(E120)+1)/12))))-(IF((((K120)*(IF(M120="",L120,IFERROR(IF(INDEX(Variablen!$I:$AT, MATCH(M120, Variablen!$A:$A, 0), MATCH((YEAR(D120)+16), Variablen!$I$3:$AT$3, 0))="",L120,INDEX(Variablen!$I:$AT, MATCH(M120, Variablen!$A:$A, 0), MATCH((YEAR(D120)+16), Variablen!$I$3:$AT$3, 0))),L120)))*(IF((YEAR(D120)+16)&lt;YEAR(E120),0,IF((YEAR(D120)+16)&gt;YEAR(E120),1,(12-MONTH(E120)+1)/12))) + (Q120)*(IF((YEAR(D120)+16)&lt;YEAR(E120),0,IF((YEAR(D120)+16)&gt;YEAR(E120),1,(12-MONTH(E120)+1)/12))))-((P120)*(IF((YEAR(D120)+16)&lt;YEAR(E120),0,IF((YEAR(D120)+16)&gt;YEAR(E120),1,(12-MONTH(E120)+1)/12))) + (R120)*(IF((YEAR(D120)+16)&lt;YEAR(E120),0,IF((YEAR(D120)+16)&gt;YEAR(E120),1,(12-MONTH(E120)+1)/12))))-(IF(OR(N120="",N120&lt;=0),0,(O120/N120)*(IF(OR(N120="",N120&lt;=0),0,IF((YEAR(D120)+16)&lt;YEAR(E120),0,IF((YEAR(D120)+16)&gt;=YEAR(E120)+N120,0,IF((YEAR(D120)+16)=YEAR(E120),(12-MONTH(E120)+1)/12,1))))))))&gt;0,(((K120)*(IF(M120="",L120,IFERROR(IF(INDEX(Variablen!$I:$AT, MATCH(M120, Variablen!$A:$A, 0), MATCH((YEAR(D120)+16), Variablen!$I$3:$AT$3, 0))="",L120,INDEX(Variablen!$I:$AT, MATCH(M120, Variablen!$A:$A, 0), MATCH((YEAR(D120)+16), Variablen!$I$3:$AT$3, 0))),L120)))*(IF((YEAR(D120)+16)&lt;YEAR(E120),0,IF((YEAR(D120)+16)&gt;YEAR(E120),1,(12-MONTH(E120)+1)/12))) + (Q120)*(IF((YEAR(D120)+16)&lt;YEAR(E120),0,IF((YEAR(D120)+16)&gt;YEAR(E120),1,(12-MONTH(E120)+1)/12))))-((P120)*(IF((YEAR(D120)+16)&lt;YEAR(E120),0,IF((YEAR(D120)+16)&gt;YEAR(E120),1,(12-MONTH(E120)+1)/12))) + (R120)*(IF((YEAR(D120)+16)&lt;YEAR(E120),0,IF((YEAR(D120)+16)&gt;YEAR(E120),1,(12-MONTH(E120)+1)/12))))-(IF(OR(N120="",N120&lt;=0),0,(O120/N120)*(IF(OR(N120="",N120&lt;=0),0,IF((YEAR(D120)+16)&lt;YEAR(E120),0,IF((YEAR(D120)+16)&gt;=YEAR(E120)+N120,0,IF((YEAR(D120)+16)=YEAR(E120),(12-MONTH(E120)+1)/12,1))))))))*TaxRate,0))-IF(16=0,O120,0))</f>
        <v/>
      </c>
      <c r="AJ120" s="29">
        <f>IF(A120="","",((K120)*(IF(M120="",L120,IFERROR(IF(INDEX(Variablen!$I:$AT, MATCH(M120, Variablen!$A:$A, 0), MATCH((YEAR(D120)+17), Variablen!$I$3:$AT$3, 0))="",L120,INDEX(Variablen!$I:$AT, MATCH(M120, Variablen!$A:$A, 0), MATCH((YEAR(D120)+17), Variablen!$I$3:$AT$3, 0))),L120)))*(IF((YEAR(D120)+17)&lt;YEAR(E120),0,IF((YEAR(D120)+17)&gt;YEAR(E120),1,(12-MONTH(E120)+1)/12))) + (Q120)*(IF((YEAR(D120)+17)&lt;YEAR(E120),0,IF((YEAR(D120)+17)&gt;YEAR(E120),1,(12-MONTH(E120)+1)/12))))-((P120)*(IF((YEAR(D120)+17)&lt;YEAR(E120),0,IF((YEAR(D120)+17)&gt;YEAR(E120),1,(12-MONTH(E120)+1)/12))) + (R120)*(IF((YEAR(D120)+17)&lt;YEAR(E120),0,IF((YEAR(D120)+17)&gt;YEAR(E120),1,(12-MONTH(E120)+1)/12))))-(IF((((K120)*(IF(M120="",L120,IFERROR(IF(INDEX(Variablen!$I:$AT, MATCH(M120, Variablen!$A:$A, 0), MATCH((YEAR(D120)+17), Variablen!$I$3:$AT$3, 0))="",L120,INDEX(Variablen!$I:$AT, MATCH(M120, Variablen!$A:$A, 0), MATCH((YEAR(D120)+17), Variablen!$I$3:$AT$3, 0))),L120)))*(IF((YEAR(D120)+17)&lt;YEAR(E120),0,IF((YEAR(D120)+17)&gt;YEAR(E120),1,(12-MONTH(E120)+1)/12))) + (Q120)*(IF((YEAR(D120)+17)&lt;YEAR(E120),0,IF((YEAR(D120)+17)&gt;YEAR(E120),1,(12-MONTH(E120)+1)/12))))-((P120)*(IF((YEAR(D120)+17)&lt;YEAR(E120),0,IF((YEAR(D120)+17)&gt;YEAR(E120),1,(12-MONTH(E120)+1)/12))) + (R120)*(IF((YEAR(D120)+17)&lt;YEAR(E120),0,IF((YEAR(D120)+17)&gt;YEAR(E120),1,(12-MONTH(E120)+1)/12))))-(IF(OR(N120="",N120&lt;=0),0,(O120/N120)*(IF(OR(N120="",N120&lt;=0),0,IF((YEAR(D120)+17)&lt;YEAR(E120),0,IF((YEAR(D120)+17)&gt;=YEAR(E120)+N120,0,IF((YEAR(D120)+17)=YEAR(E120),(12-MONTH(E120)+1)/12,1))))))))&gt;0,(((K120)*(IF(M120="",L120,IFERROR(IF(INDEX(Variablen!$I:$AT, MATCH(M120, Variablen!$A:$A, 0), MATCH((YEAR(D120)+17), Variablen!$I$3:$AT$3, 0))="",L120,INDEX(Variablen!$I:$AT, MATCH(M120, Variablen!$A:$A, 0), MATCH((YEAR(D120)+17), Variablen!$I$3:$AT$3, 0))),L120)))*(IF((YEAR(D120)+17)&lt;YEAR(E120),0,IF((YEAR(D120)+17)&gt;YEAR(E120),1,(12-MONTH(E120)+1)/12))) + (Q120)*(IF((YEAR(D120)+17)&lt;YEAR(E120),0,IF((YEAR(D120)+17)&gt;YEAR(E120),1,(12-MONTH(E120)+1)/12))))-((P120)*(IF((YEAR(D120)+17)&lt;YEAR(E120),0,IF((YEAR(D120)+17)&gt;YEAR(E120),1,(12-MONTH(E120)+1)/12))) + (R120)*(IF((YEAR(D120)+17)&lt;YEAR(E120),0,IF((YEAR(D120)+17)&gt;YEAR(E120),1,(12-MONTH(E120)+1)/12))))-(IF(OR(N120="",N120&lt;=0),0,(O120/N120)*(IF(OR(N120="",N120&lt;=0),0,IF((YEAR(D120)+17)&lt;YEAR(E120),0,IF((YEAR(D120)+17)&gt;=YEAR(E120)+N120,0,IF((YEAR(D120)+17)=YEAR(E120),(12-MONTH(E120)+1)/12,1))))))))*TaxRate,0))-IF(17=0,O120,0))</f>
        <v/>
      </c>
      <c r="AK120" s="29">
        <f>IF(A120="","",((K120)*(IF(M120="",L120,IFERROR(IF(INDEX(Variablen!$I:$AT, MATCH(M120, Variablen!$A:$A, 0), MATCH((YEAR(D120)+18), Variablen!$I$3:$AT$3, 0))="",L120,INDEX(Variablen!$I:$AT, MATCH(M120, Variablen!$A:$A, 0), MATCH((YEAR(D120)+18), Variablen!$I$3:$AT$3, 0))),L120)))*(IF((YEAR(D120)+18)&lt;YEAR(E120),0,IF((YEAR(D120)+18)&gt;YEAR(E120),1,(12-MONTH(E120)+1)/12))) + (Q120)*(IF((YEAR(D120)+18)&lt;YEAR(E120),0,IF((YEAR(D120)+18)&gt;YEAR(E120),1,(12-MONTH(E120)+1)/12))))-((P120)*(IF((YEAR(D120)+18)&lt;YEAR(E120),0,IF((YEAR(D120)+18)&gt;YEAR(E120),1,(12-MONTH(E120)+1)/12))) + (R120)*(IF((YEAR(D120)+18)&lt;YEAR(E120),0,IF((YEAR(D120)+18)&gt;YEAR(E120),1,(12-MONTH(E120)+1)/12))))-(IF((((K120)*(IF(M120="",L120,IFERROR(IF(INDEX(Variablen!$I:$AT, MATCH(M120, Variablen!$A:$A, 0), MATCH((YEAR(D120)+18), Variablen!$I$3:$AT$3, 0))="",L120,INDEX(Variablen!$I:$AT, MATCH(M120, Variablen!$A:$A, 0), MATCH((YEAR(D120)+18), Variablen!$I$3:$AT$3, 0))),L120)))*(IF((YEAR(D120)+18)&lt;YEAR(E120),0,IF((YEAR(D120)+18)&gt;YEAR(E120),1,(12-MONTH(E120)+1)/12))) + (Q120)*(IF((YEAR(D120)+18)&lt;YEAR(E120),0,IF((YEAR(D120)+18)&gt;YEAR(E120),1,(12-MONTH(E120)+1)/12))))-((P120)*(IF((YEAR(D120)+18)&lt;YEAR(E120),0,IF((YEAR(D120)+18)&gt;YEAR(E120),1,(12-MONTH(E120)+1)/12))) + (R120)*(IF((YEAR(D120)+18)&lt;YEAR(E120),0,IF((YEAR(D120)+18)&gt;YEAR(E120),1,(12-MONTH(E120)+1)/12))))-(IF(OR(N120="",N120&lt;=0),0,(O120/N120)*(IF(OR(N120="",N120&lt;=0),0,IF((YEAR(D120)+18)&lt;YEAR(E120),0,IF((YEAR(D120)+18)&gt;=YEAR(E120)+N120,0,IF((YEAR(D120)+18)=YEAR(E120),(12-MONTH(E120)+1)/12,1))))))))&gt;0,(((K120)*(IF(M120="",L120,IFERROR(IF(INDEX(Variablen!$I:$AT, MATCH(M120, Variablen!$A:$A, 0), MATCH((YEAR(D120)+18), Variablen!$I$3:$AT$3, 0))="",L120,INDEX(Variablen!$I:$AT, MATCH(M120, Variablen!$A:$A, 0), MATCH((YEAR(D120)+18), Variablen!$I$3:$AT$3, 0))),L120)))*(IF((YEAR(D120)+18)&lt;YEAR(E120),0,IF((YEAR(D120)+18)&gt;YEAR(E120),1,(12-MONTH(E120)+1)/12))) + (Q120)*(IF((YEAR(D120)+18)&lt;YEAR(E120),0,IF((YEAR(D120)+18)&gt;YEAR(E120),1,(12-MONTH(E120)+1)/12))))-((P120)*(IF((YEAR(D120)+18)&lt;YEAR(E120),0,IF((YEAR(D120)+18)&gt;YEAR(E120),1,(12-MONTH(E120)+1)/12))) + (R120)*(IF((YEAR(D120)+18)&lt;YEAR(E120),0,IF((YEAR(D120)+18)&gt;YEAR(E120),1,(12-MONTH(E120)+1)/12))))-(IF(OR(N120="",N120&lt;=0),0,(O120/N120)*(IF(OR(N120="",N120&lt;=0),0,IF((YEAR(D120)+18)&lt;YEAR(E120),0,IF((YEAR(D120)+18)&gt;=YEAR(E120)+N120,0,IF((YEAR(D120)+18)=YEAR(E120),(12-MONTH(E120)+1)/12,1))))))))*TaxRate,0))-IF(18=0,O120,0))</f>
        <v/>
      </c>
      <c r="AL120" s="29">
        <f>IF(A120="","",((K120)*(IF(M120="",L120,IFERROR(IF(INDEX(Variablen!$I:$AT, MATCH(M120, Variablen!$A:$A, 0), MATCH((YEAR(D120)+19), Variablen!$I$3:$AT$3, 0))="",L120,INDEX(Variablen!$I:$AT, MATCH(M120, Variablen!$A:$A, 0), MATCH((YEAR(D120)+19), Variablen!$I$3:$AT$3, 0))),L120)))*(IF((YEAR(D120)+19)&lt;YEAR(E120),0,IF((YEAR(D120)+19)&gt;YEAR(E120),1,(12-MONTH(E120)+1)/12))) + (Q120)*(IF((YEAR(D120)+19)&lt;YEAR(E120),0,IF((YEAR(D120)+19)&gt;YEAR(E120),1,(12-MONTH(E120)+1)/12))))-((P120)*(IF((YEAR(D120)+19)&lt;YEAR(E120),0,IF((YEAR(D120)+19)&gt;YEAR(E120),1,(12-MONTH(E120)+1)/12))) + (R120)*(IF((YEAR(D120)+19)&lt;YEAR(E120),0,IF((YEAR(D120)+19)&gt;YEAR(E120),1,(12-MONTH(E120)+1)/12))))-(IF((((K120)*(IF(M120="",L120,IFERROR(IF(INDEX(Variablen!$I:$AT, MATCH(M120, Variablen!$A:$A, 0), MATCH((YEAR(D120)+19), Variablen!$I$3:$AT$3, 0))="",L120,INDEX(Variablen!$I:$AT, MATCH(M120, Variablen!$A:$A, 0), MATCH((YEAR(D120)+19), Variablen!$I$3:$AT$3, 0))),L120)))*(IF((YEAR(D120)+19)&lt;YEAR(E120),0,IF((YEAR(D120)+19)&gt;YEAR(E120),1,(12-MONTH(E120)+1)/12))) + (Q120)*(IF((YEAR(D120)+19)&lt;YEAR(E120),0,IF((YEAR(D120)+19)&gt;YEAR(E120),1,(12-MONTH(E120)+1)/12))))-((P120)*(IF((YEAR(D120)+19)&lt;YEAR(E120),0,IF((YEAR(D120)+19)&gt;YEAR(E120),1,(12-MONTH(E120)+1)/12))) + (R120)*(IF((YEAR(D120)+19)&lt;YEAR(E120),0,IF((YEAR(D120)+19)&gt;YEAR(E120),1,(12-MONTH(E120)+1)/12))))-(IF(OR(N120="",N120&lt;=0),0,(O120/N120)*(IF(OR(N120="",N120&lt;=0),0,IF((YEAR(D120)+19)&lt;YEAR(E120),0,IF((YEAR(D120)+19)&gt;=YEAR(E120)+N120,0,IF((YEAR(D120)+19)=YEAR(E120),(12-MONTH(E120)+1)/12,1))))))))&gt;0,(((K120)*(IF(M120="",L120,IFERROR(IF(INDEX(Variablen!$I:$AT, MATCH(M120, Variablen!$A:$A, 0), MATCH((YEAR(D120)+19), Variablen!$I$3:$AT$3, 0))="",L120,INDEX(Variablen!$I:$AT, MATCH(M120, Variablen!$A:$A, 0), MATCH((YEAR(D120)+19), Variablen!$I$3:$AT$3, 0))),L120)))*(IF((YEAR(D120)+19)&lt;YEAR(E120),0,IF((YEAR(D120)+19)&gt;YEAR(E120),1,(12-MONTH(E120)+1)/12))) + (Q120)*(IF((YEAR(D120)+19)&lt;YEAR(E120),0,IF((YEAR(D120)+19)&gt;YEAR(E120),1,(12-MONTH(E120)+1)/12))))-((P120)*(IF((YEAR(D120)+19)&lt;YEAR(E120),0,IF((YEAR(D120)+19)&gt;YEAR(E120),1,(12-MONTH(E120)+1)/12))) + (R120)*(IF((YEAR(D120)+19)&lt;YEAR(E120),0,IF((YEAR(D120)+19)&gt;YEAR(E120),1,(12-MONTH(E120)+1)/12))))-(IF(OR(N120="",N120&lt;=0),0,(O120/N120)*(IF(OR(N120="",N120&lt;=0),0,IF((YEAR(D120)+19)&lt;YEAR(E120),0,IF((YEAR(D120)+19)&gt;=YEAR(E120)+N120,0,IF((YEAR(D120)+19)=YEAR(E120),(12-MONTH(E120)+1)/12,1))))))))*TaxRate,0))-IF(19=0,O120,0))</f>
        <v/>
      </c>
      <c r="AM120" s="29">
        <f>IF(A120="","",((K120)*(IF(M120="",L120,IFERROR(IF(INDEX(Variablen!$I:$AT, MATCH(M120, Variablen!$A:$A, 0), MATCH((YEAR(D120)+20), Variablen!$I$3:$AT$3, 0))="",L120,INDEX(Variablen!$I:$AT, MATCH(M120, Variablen!$A:$A, 0), MATCH((YEAR(D120)+20), Variablen!$I$3:$AT$3, 0))),L120)))*(IF((YEAR(D120)+20)&lt;YEAR(E120),0,IF((YEAR(D120)+20)&gt;YEAR(E120),1,(12-MONTH(E120)+1)/12))) + (Q120)*(IF((YEAR(D120)+20)&lt;YEAR(E120),0,IF((YEAR(D120)+20)&gt;YEAR(E120),1,(12-MONTH(E120)+1)/12))))-((P120)*(IF((YEAR(D120)+20)&lt;YEAR(E120),0,IF((YEAR(D120)+20)&gt;YEAR(E120),1,(12-MONTH(E120)+1)/12))) + (R120)*(IF((YEAR(D120)+20)&lt;YEAR(E120),0,IF((YEAR(D120)+20)&gt;YEAR(E120),1,(12-MONTH(E120)+1)/12))))-(IF((((K120)*(IF(M120="",L120,IFERROR(IF(INDEX(Variablen!$I:$AT, MATCH(M120, Variablen!$A:$A, 0), MATCH((YEAR(D120)+20), Variablen!$I$3:$AT$3, 0))="",L120,INDEX(Variablen!$I:$AT, MATCH(M120, Variablen!$A:$A, 0), MATCH((YEAR(D120)+20), Variablen!$I$3:$AT$3, 0))),L120)))*(IF((YEAR(D120)+20)&lt;YEAR(E120),0,IF((YEAR(D120)+20)&gt;YEAR(E120),1,(12-MONTH(E120)+1)/12))) + (Q120)*(IF((YEAR(D120)+20)&lt;YEAR(E120),0,IF((YEAR(D120)+20)&gt;YEAR(E120),1,(12-MONTH(E120)+1)/12))))-((P120)*(IF((YEAR(D120)+20)&lt;YEAR(E120),0,IF((YEAR(D120)+20)&gt;YEAR(E120),1,(12-MONTH(E120)+1)/12))) + (R120)*(IF((YEAR(D120)+20)&lt;YEAR(E120),0,IF((YEAR(D120)+20)&gt;YEAR(E120),1,(12-MONTH(E120)+1)/12))))-(IF(OR(N120="",N120&lt;=0),0,(O120/N120)*(IF(OR(N120="",N120&lt;=0),0,IF((YEAR(D120)+20)&lt;YEAR(E120),0,IF((YEAR(D120)+20)&gt;=YEAR(E120)+N120,0,IF((YEAR(D120)+20)=YEAR(E120),(12-MONTH(E120)+1)/12,1))))))))&gt;0,(((K120)*(IF(M120="",L120,IFERROR(IF(INDEX(Variablen!$I:$AT, MATCH(M120, Variablen!$A:$A, 0), MATCH((YEAR(D120)+20), Variablen!$I$3:$AT$3, 0))="",L120,INDEX(Variablen!$I:$AT, MATCH(M120, Variablen!$A:$A, 0), MATCH((YEAR(D120)+20), Variablen!$I$3:$AT$3, 0))),L120)))*(IF((YEAR(D120)+20)&lt;YEAR(E120),0,IF((YEAR(D120)+20)&gt;YEAR(E120),1,(12-MONTH(E120)+1)/12))) + (Q120)*(IF((YEAR(D120)+20)&lt;YEAR(E120),0,IF((YEAR(D120)+20)&gt;YEAR(E120),1,(12-MONTH(E120)+1)/12))))-((P120)*(IF((YEAR(D120)+20)&lt;YEAR(E120),0,IF((YEAR(D120)+20)&gt;YEAR(E120),1,(12-MONTH(E120)+1)/12))) + (R120)*(IF((YEAR(D120)+20)&lt;YEAR(E120),0,IF((YEAR(D120)+20)&gt;YEAR(E120),1,(12-MONTH(E120)+1)/12))))-(IF(OR(N120="",N120&lt;=0),0,(O120/N120)*(IF(OR(N120="",N120&lt;=0),0,IF((YEAR(D120)+20)&lt;YEAR(E120),0,IF((YEAR(D120)+20)&gt;=YEAR(E120)+N120,0,IF((YEAR(D120)+20)=YEAR(E120),(12-MONTH(E120)+1)/12,1))))))))*TaxRate,0))-IF(20=0,O120,0))</f>
        <v/>
      </c>
      <c r="AN120" s="29">
        <f>IF(A120="","",S120)</f>
        <v/>
      </c>
      <c r="AO120" s="29">
        <f>IF(A120="","",AN120+T120)</f>
        <v/>
      </c>
      <c r="AP120" s="29">
        <f>IF(A120="","",AO120+U120)</f>
        <v/>
      </c>
      <c r="AQ120" s="29">
        <f>IF(A120="","",AP120+V120)</f>
        <v/>
      </c>
      <c r="AR120" s="29">
        <f>IF(A120="","",AQ120+W120)</f>
        <v/>
      </c>
      <c r="AS120" s="29">
        <f>IF(A120="","",AR120+X120)</f>
        <v/>
      </c>
      <c r="AT120" s="29">
        <f>IF(A120="","",AS120+Y120)</f>
        <v/>
      </c>
      <c r="AU120" s="29">
        <f>IF(A120="","",AT120+Z120)</f>
        <v/>
      </c>
      <c r="AV120" s="29">
        <f>IF(A120="","",AU120+AA120)</f>
        <v/>
      </c>
      <c r="AW120" s="29">
        <f>IF(A120="","",AV120+AB120)</f>
        <v/>
      </c>
      <c r="AX120" s="29">
        <f>IF(A120="","",AW120+AC120)</f>
        <v/>
      </c>
      <c r="AY120" s="29">
        <f>IF(A120="","",AX120+AD120)</f>
        <v/>
      </c>
      <c r="AZ120" s="29">
        <f>IF(A120="","",AY120+AE120)</f>
        <v/>
      </c>
      <c r="BA120" s="29">
        <f>IF(A120="","",AZ120+AF120)</f>
        <v/>
      </c>
      <c r="BB120" s="29">
        <f>IF(A120="","",BA120+AG120)</f>
        <v/>
      </c>
      <c r="BC120" s="29">
        <f>IF(A120="","",BB120+AH120)</f>
        <v/>
      </c>
      <c r="BD120" s="29">
        <f>IF(A120="","",BC120+AI120)</f>
        <v/>
      </c>
      <c r="BE120" s="29">
        <f>IF(A120="","",BD120+AJ120)</f>
        <v/>
      </c>
      <c r="BF120" s="29">
        <f>IF(A120="","",BE120+AK120)</f>
        <v/>
      </c>
      <c r="BG120" s="29">
        <f>IF(A120="","",BF120+AL120)</f>
        <v/>
      </c>
      <c r="BH120" s="29">
        <f>IF(A120="","",BG120+AM120)</f>
        <v/>
      </c>
      <c r="BI120" s="36">
        <f>IF(A120="","",(K120)*(IF((YEAR(D120)+0)&lt;YEAR(E120),0,IF((YEAR(D120)+0)&gt;YEAR(E120),1,(12-MONTH(E120)+1)/12)))*(1/(1+DiscountRate)^0))</f>
        <v/>
      </c>
      <c r="BJ120" s="36">
        <f>IF(A120="","",(K120)*(IF((YEAR(D120)+1)&lt;YEAR(E120),0,IF((YEAR(D120)+1)&gt;YEAR(E120),1,(12-MONTH(E120)+1)/12)))*(1/(1+DiscountRate)^1))</f>
        <v/>
      </c>
      <c r="BK120" s="36">
        <f>IF(A120="","",(K120)*(IF((YEAR(D120)+2)&lt;YEAR(E120),0,IF((YEAR(D120)+2)&gt;YEAR(E120),1,(12-MONTH(E120)+1)/12)))*(1/(1+DiscountRate)^2))</f>
        <v/>
      </c>
      <c r="BL120" s="36">
        <f>IF(A120="","",(K120)*(IF((YEAR(D120)+3)&lt;YEAR(E120),0,IF((YEAR(D120)+3)&gt;YEAR(E120),1,(12-MONTH(E120)+1)/12)))*(1/(1+DiscountRate)^3))</f>
        <v/>
      </c>
      <c r="BM120" s="36">
        <f>IF(A120="","",(K120)*(IF((YEAR(D120)+4)&lt;YEAR(E120),0,IF((YEAR(D120)+4)&gt;YEAR(E120),1,(12-MONTH(E120)+1)/12)))*(1/(1+DiscountRate)^4))</f>
        <v/>
      </c>
      <c r="BN120" s="36">
        <f>IF(A120="","",(K120)*(IF((YEAR(D120)+5)&lt;YEAR(E120),0,IF((YEAR(D120)+5)&gt;YEAR(E120),1,(12-MONTH(E120)+1)/12)))*(1/(1+DiscountRate)^5))</f>
        <v/>
      </c>
      <c r="BO120" s="36">
        <f>IF(A120="","",(K120)*(IF((YEAR(D120)+6)&lt;YEAR(E120),0,IF((YEAR(D120)+6)&gt;YEAR(E120),1,(12-MONTH(E120)+1)/12)))*(1/(1+DiscountRate)^6))</f>
        <v/>
      </c>
      <c r="BP120" s="36">
        <f>IF(A120="","",(K120)*(IF((YEAR(D120)+7)&lt;YEAR(E120),0,IF((YEAR(D120)+7)&gt;YEAR(E120),1,(12-MONTH(E120)+1)/12)))*(1/(1+DiscountRate)^7))</f>
        <v/>
      </c>
      <c r="BQ120" s="36">
        <f>IF(A120="","",(K120)*(IF((YEAR(D120)+8)&lt;YEAR(E120),0,IF((YEAR(D120)+8)&gt;YEAR(E120),1,(12-MONTH(E120)+1)/12)))*(1/(1+DiscountRate)^8))</f>
        <v/>
      </c>
      <c r="BR120" s="36">
        <f>IF(A120="","",(K120)*(IF((YEAR(D120)+9)&lt;YEAR(E120),0,IF((YEAR(D120)+9)&gt;YEAR(E120),1,(12-MONTH(E120)+1)/12)))*(1/(1+DiscountRate)^9))</f>
        <v/>
      </c>
      <c r="BS120" s="36">
        <f>IF(A120="","",(K120)*(IF((YEAR(D120)+10)&lt;YEAR(E120),0,IF((YEAR(D120)+10)&gt;YEAR(E120),1,(12-MONTH(E120)+1)/12)))*(1/(1+DiscountRate)^10))</f>
        <v/>
      </c>
      <c r="BT120" s="36">
        <f>IF(A120="","",(K120)*(IF((YEAR(D120)+11)&lt;YEAR(E120),0,IF((YEAR(D120)+11)&gt;YEAR(E120),1,(12-MONTH(E120)+1)/12)))*(1/(1+DiscountRate)^11))</f>
        <v/>
      </c>
      <c r="BU120" s="36">
        <f>IF(A120="","",(K120)*(IF((YEAR(D120)+12)&lt;YEAR(E120),0,IF((YEAR(D120)+12)&gt;YEAR(E120),1,(12-MONTH(E120)+1)/12)))*(1/(1+DiscountRate)^12))</f>
        <v/>
      </c>
      <c r="BV120" s="36">
        <f>IF(A120="","",(K120)*(IF((YEAR(D120)+13)&lt;YEAR(E120),0,IF((YEAR(D120)+13)&gt;YEAR(E120),1,(12-MONTH(E120)+1)/12)))*(1/(1+DiscountRate)^13))</f>
        <v/>
      </c>
      <c r="BW120" s="36">
        <f>IF(A120="","",(K120)*(IF((YEAR(D120)+14)&lt;YEAR(E120),0,IF((YEAR(D120)+14)&gt;YEAR(E120),1,(12-MONTH(E120)+1)/12)))*(1/(1+DiscountRate)^14))</f>
        <v/>
      </c>
      <c r="BX120" s="36">
        <f>IF(A120="","",(K120)*(IF((YEAR(D120)+15)&lt;YEAR(E120),0,IF((YEAR(D120)+15)&gt;YEAR(E120),1,(12-MONTH(E120)+1)/12)))*(1/(1+DiscountRate)^15))</f>
        <v/>
      </c>
      <c r="BY120" s="36">
        <f>IF(A120="","",(K120)*(IF((YEAR(D120)+16)&lt;YEAR(E120),0,IF((YEAR(D120)+16)&gt;YEAR(E120),1,(12-MONTH(E120)+1)/12)))*(1/(1+DiscountRate)^16))</f>
        <v/>
      </c>
      <c r="BZ120" s="36">
        <f>IF(A120="","",(K120)*(IF((YEAR(D120)+17)&lt;YEAR(E120),0,IF((YEAR(D120)+17)&gt;YEAR(E120),1,(12-MONTH(E120)+1)/12)))*(1/(1+DiscountRate)^17))</f>
        <v/>
      </c>
      <c r="CA120" s="36">
        <f>IF(A120="","",(K120)*(IF((YEAR(D120)+18)&lt;YEAR(E120),0,IF((YEAR(D120)+18)&gt;YEAR(E120),1,(12-MONTH(E120)+1)/12)))*(1/(1+DiscountRate)^18))</f>
        <v/>
      </c>
      <c r="CB120" s="36">
        <f>IF(A120="","",(K120)*(IF((YEAR(D120)+19)&lt;YEAR(E120),0,IF((YEAR(D120)+19)&gt;YEAR(E120),1,(12-MONTH(E120)+1)/12)))*(1/(1+DiscountRate)^19))</f>
        <v/>
      </c>
      <c r="CC120" s="36">
        <f>IF(A120="","",(K120)*(IF((YEAR(D120)+20)&lt;YEAR(E120),0,IF((YEAR(D120)+20)&gt;YEAR(E120),1,(12-MONTH(E120)+1)/12)))*(1/(1+DiscountRate)^20))</f>
        <v/>
      </c>
      <c r="CD120" s="29">
        <f>IF(A120="","",S120/(1+DiscountRate)^0+T120/(1+DiscountRate)^1+U120/(1+DiscountRate)^2+V120/(1+DiscountRate)^3+W120/(1+DiscountRate)^4+X120/(1+DiscountRate)^5+Y120/(1+DiscountRate)^6+Z120/(1+DiscountRate)^7+AA120/(1+DiscountRate)^8+AB120/(1+DiscountRate)^9+AC120/(1+DiscountRate)^10+AD120/(1+DiscountRate)^11+AE120/(1+DiscountRate)^12+AF120/(1+DiscountRate)^13+AG120/(1+DiscountRate)^14+AH120/(1+DiscountRate)^15+AI120/(1+DiscountRate)^16+AJ120/(1+DiscountRate)^17+AK120/(1+DiscountRate)^18+AL120/(1+DiscountRate)^19+AM120/(1+DiscountRate)^20)</f>
        <v/>
      </c>
      <c r="CE120" s="37">
        <f>IF(A120="","",IFERROR(IRR(OFFSET(S120,0,0,1,MIN(HorizonYears,20)+1)),"n/a"))</f>
        <v/>
      </c>
      <c r="CF120" s="28">
        <f>IF(A120="","",IFERROR(MATCH(TRUE,OFFSET(AN120,0,0,1,MIN(HorizonYears,20)+1)&gt;=0,0)-1,"n/a"))</f>
        <v/>
      </c>
      <c r="CG120" s="36">
        <f>IF(A120="","",SUM(OFFSET(BI120,0,0,1,MIN(HorizonYears,20)+1)))</f>
        <v/>
      </c>
      <c r="CH120" s="36">
        <f>IF(A120="","",IFERROR(-CD120/CG120,"n/a"))</f>
        <v/>
      </c>
    </row>
    <row r="121">
      <c r="A121" s="6">
        <f>Actions!A119</f>
        <v/>
      </c>
      <c r="B121" s="6">
        <f>Actions!B119</f>
        <v/>
      </c>
      <c r="C121" s="6">
        <f>Actions!D119</f>
        <v/>
      </c>
      <c r="D121" s="35">
        <f>Actions!E119</f>
        <v/>
      </c>
      <c r="E121" s="35">
        <f>Actions!F119</f>
        <v/>
      </c>
      <c r="F121" s="6">
        <f>Actions!G119</f>
        <v/>
      </c>
      <c r="G121" s="6">
        <f>Actions!H119</f>
        <v/>
      </c>
      <c r="H121" s="29">
        <f>Actions!I119</f>
        <v/>
      </c>
      <c r="I121" s="6">
        <f>Actions!J119</f>
        <v/>
      </c>
      <c r="J121" s="16">
        <f>Actions!K119</f>
        <v/>
      </c>
      <c r="K121" s="16">
        <f>IF(A121="","",IF(I121="%",H121*J121,J121))</f>
        <v/>
      </c>
      <c r="L121" s="16">
        <f>Actions!L119</f>
        <v/>
      </c>
      <c r="M121" s="6">
        <f>Actions!M119</f>
        <v/>
      </c>
      <c r="N121" s="28">
        <f>Actions!N119</f>
        <v/>
      </c>
      <c r="O121" s="29">
        <f>Actions!T119</f>
        <v/>
      </c>
      <c r="P121" s="29">
        <f>Actions!Y119</f>
        <v/>
      </c>
      <c r="Q121" s="29">
        <f>Actions!Z119</f>
        <v/>
      </c>
      <c r="R121" s="29">
        <f>Actions!AA119</f>
        <v/>
      </c>
      <c r="S121" s="29">
        <f>IF(A121="","",((K121)*(IF(M121="",L121,IFERROR(IF(INDEX(Variablen!$I:$AT, MATCH(M121, Variablen!$A:$A, 0), MATCH((YEAR(D121)+0), Variablen!$I$3:$AT$3, 0))="",L121,INDEX(Variablen!$I:$AT, MATCH(M121, Variablen!$A:$A, 0), MATCH((YEAR(D121)+0), Variablen!$I$3:$AT$3, 0))),L121)))*(IF((YEAR(D121)+0)&lt;YEAR(E121),0,IF((YEAR(D121)+0)&gt;YEAR(E121),1,(12-MONTH(E121)+1)/12))) + (Q121)*(IF((YEAR(D121)+0)&lt;YEAR(E121),0,IF((YEAR(D121)+0)&gt;YEAR(E121),1,(12-MONTH(E121)+1)/12))))-((P121)*(IF((YEAR(D121)+0)&lt;YEAR(E121),0,IF((YEAR(D121)+0)&gt;YEAR(E121),1,(12-MONTH(E121)+1)/12))) + (R121)*(IF((YEAR(D121)+0)&lt;YEAR(E121),0,IF((YEAR(D121)+0)&gt;YEAR(E121),1,(12-MONTH(E121)+1)/12))))-(IF((((K121)*(IF(M121="",L121,IFERROR(IF(INDEX(Variablen!$I:$AT, MATCH(M121, Variablen!$A:$A, 0), MATCH((YEAR(D121)+0), Variablen!$I$3:$AT$3, 0))="",L121,INDEX(Variablen!$I:$AT, MATCH(M121, Variablen!$A:$A, 0), MATCH((YEAR(D121)+0), Variablen!$I$3:$AT$3, 0))),L121)))*(IF((YEAR(D121)+0)&lt;YEAR(E121),0,IF((YEAR(D121)+0)&gt;YEAR(E121),1,(12-MONTH(E121)+1)/12))) + (Q121)*(IF((YEAR(D121)+0)&lt;YEAR(E121),0,IF((YEAR(D121)+0)&gt;YEAR(E121),1,(12-MONTH(E121)+1)/12))))-((P121)*(IF((YEAR(D121)+0)&lt;YEAR(E121),0,IF((YEAR(D121)+0)&gt;YEAR(E121),1,(12-MONTH(E121)+1)/12))) + (R121)*(IF((YEAR(D121)+0)&lt;YEAR(E121),0,IF((YEAR(D121)+0)&gt;YEAR(E121),1,(12-MONTH(E121)+1)/12))))-(IF(OR(N121="",N121&lt;=0),0,(O121/N121)*(IF(OR(N121="",N121&lt;=0),0,IF((YEAR(D121)+0)&lt;YEAR(E121),0,IF((YEAR(D121)+0)&gt;=YEAR(E121)+N121,0,IF((YEAR(D121)+0)=YEAR(E121),(12-MONTH(E121)+1)/12,1))))))))&gt;0,(((K121)*(IF(M121="",L121,IFERROR(IF(INDEX(Variablen!$I:$AT, MATCH(M121, Variablen!$A:$A, 0), MATCH((YEAR(D121)+0), Variablen!$I$3:$AT$3, 0))="",L121,INDEX(Variablen!$I:$AT, MATCH(M121, Variablen!$A:$A, 0), MATCH((YEAR(D121)+0), Variablen!$I$3:$AT$3, 0))),L121)))*(IF((YEAR(D121)+0)&lt;YEAR(E121),0,IF((YEAR(D121)+0)&gt;YEAR(E121),1,(12-MONTH(E121)+1)/12))) + (Q121)*(IF((YEAR(D121)+0)&lt;YEAR(E121),0,IF((YEAR(D121)+0)&gt;YEAR(E121),1,(12-MONTH(E121)+1)/12))))-((P121)*(IF((YEAR(D121)+0)&lt;YEAR(E121),0,IF((YEAR(D121)+0)&gt;YEAR(E121),1,(12-MONTH(E121)+1)/12))) + (R121)*(IF((YEAR(D121)+0)&lt;YEAR(E121),0,IF((YEAR(D121)+0)&gt;YEAR(E121),1,(12-MONTH(E121)+1)/12))))-(IF(OR(N121="",N121&lt;=0),0,(O121/N121)*(IF(OR(N121="",N121&lt;=0),0,IF((YEAR(D121)+0)&lt;YEAR(E121),0,IF((YEAR(D121)+0)&gt;=YEAR(E121)+N121,0,IF((YEAR(D121)+0)=YEAR(E121),(12-MONTH(E121)+1)/12,1))))))))*TaxRate,0))-IF(0=0,O121,0))</f>
        <v/>
      </c>
      <c r="T121" s="29">
        <f>IF(A121="","",((K121)*(IF(M121="",L121,IFERROR(IF(INDEX(Variablen!$I:$AT, MATCH(M121, Variablen!$A:$A, 0), MATCH((YEAR(D121)+1), Variablen!$I$3:$AT$3, 0))="",L121,INDEX(Variablen!$I:$AT, MATCH(M121, Variablen!$A:$A, 0), MATCH((YEAR(D121)+1), Variablen!$I$3:$AT$3, 0))),L121)))*(IF((YEAR(D121)+1)&lt;YEAR(E121),0,IF((YEAR(D121)+1)&gt;YEAR(E121),1,(12-MONTH(E121)+1)/12))) + (Q121)*(IF((YEAR(D121)+1)&lt;YEAR(E121),0,IF((YEAR(D121)+1)&gt;YEAR(E121),1,(12-MONTH(E121)+1)/12))))-((P121)*(IF((YEAR(D121)+1)&lt;YEAR(E121),0,IF((YEAR(D121)+1)&gt;YEAR(E121),1,(12-MONTH(E121)+1)/12))) + (R121)*(IF((YEAR(D121)+1)&lt;YEAR(E121),0,IF((YEAR(D121)+1)&gt;YEAR(E121),1,(12-MONTH(E121)+1)/12))))-(IF((((K121)*(IF(M121="",L121,IFERROR(IF(INDEX(Variablen!$I:$AT, MATCH(M121, Variablen!$A:$A, 0), MATCH((YEAR(D121)+1), Variablen!$I$3:$AT$3, 0))="",L121,INDEX(Variablen!$I:$AT, MATCH(M121, Variablen!$A:$A, 0), MATCH((YEAR(D121)+1), Variablen!$I$3:$AT$3, 0))),L121)))*(IF((YEAR(D121)+1)&lt;YEAR(E121),0,IF((YEAR(D121)+1)&gt;YEAR(E121),1,(12-MONTH(E121)+1)/12))) + (Q121)*(IF((YEAR(D121)+1)&lt;YEAR(E121),0,IF((YEAR(D121)+1)&gt;YEAR(E121),1,(12-MONTH(E121)+1)/12))))-((P121)*(IF((YEAR(D121)+1)&lt;YEAR(E121),0,IF((YEAR(D121)+1)&gt;YEAR(E121),1,(12-MONTH(E121)+1)/12))) + (R121)*(IF((YEAR(D121)+1)&lt;YEAR(E121),0,IF((YEAR(D121)+1)&gt;YEAR(E121),1,(12-MONTH(E121)+1)/12))))-(IF(OR(N121="",N121&lt;=0),0,(O121/N121)*(IF(OR(N121="",N121&lt;=0),0,IF((YEAR(D121)+1)&lt;YEAR(E121),0,IF((YEAR(D121)+1)&gt;=YEAR(E121)+N121,0,IF((YEAR(D121)+1)=YEAR(E121),(12-MONTH(E121)+1)/12,1))))))))&gt;0,(((K121)*(IF(M121="",L121,IFERROR(IF(INDEX(Variablen!$I:$AT, MATCH(M121, Variablen!$A:$A, 0), MATCH((YEAR(D121)+1), Variablen!$I$3:$AT$3, 0))="",L121,INDEX(Variablen!$I:$AT, MATCH(M121, Variablen!$A:$A, 0), MATCH((YEAR(D121)+1), Variablen!$I$3:$AT$3, 0))),L121)))*(IF((YEAR(D121)+1)&lt;YEAR(E121),0,IF((YEAR(D121)+1)&gt;YEAR(E121),1,(12-MONTH(E121)+1)/12))) + (Q121)*(IF((YEAR(D121)+1)&lt;YEAR(E121),0,IF((YEAR(D121)+1)&gt;YEAR(E121),1,(12-MONTH(E121)+1)/12))))-((P121)*(IF((YEAR(D121)+1)&lt;YEAR(E121),0,IF((YEAR(D121)+1)&gt;YEAR(E121),1,(12-MONTH(E121)+1)/12))) + (R121)*(IF((YEAR(D121)+1)&lt;YEAR(E121),0,IF((YEAR(D121)+1)&gt;YEAR(E121),1,(12-MONTH(E121)+1)/12))))-(IF(OR(N121="",N121&lt;=0),0,(O121/N121)*(IF(OR(N121="",N121&lt;=0),0,IF((YEAR(D121)+1)&lt;YEAR(E121),0,IF((YEAR(D121)+1)&gt;=YEAR(E121)+N121,0,IF((YEAR(D121)+1)=YEAR(E121),(12-MONTH(E121)+1)/12,1))))))))*TaxRate,0))-IF(1=0,O121,0))</f>
        <v/>
      </c>
      <c r="U121" s="29">
        <f>IF(A121="","",((K121)*(IF(M121="",L121,IFERROR(IF(INDEX(Variablen!$I:$AT, MATCH(M121, Variablen!$A:$A, 0), MATCH((YEAR(D121)+2), Variablen!$I$3:$AT$3, 0))="",L121,INDEX(Variablen!$I:$AT, MATCH(M121, Variablen!$A:$A, 0), MATCH((YEAR(D121)+2), Variablen!$I$3:$AT$3, 0))),L121)))*(IF((YEAR(D121)+2)&lt;YEAR(E121),0,IF((YEAR(D121)+2)&gt;YEAR(E121),1,(12-MONTH(E121)+1)/12))) + (Q121)*(IF((YEAR(D121)+2)&lt;YEAR(E121),0,IF((YEAR(D121)+2)&gt;YEAR(E121),1,(12-MONTH(E121)+1)/12))))-((P121)*(IF((YEAR(D121)+2)&lt;YEAR(E121),0,IF((YEAR(D121)+2)&gt;YEAR(E121),1,(12-MONTH(E121)+1)/12))) + (R121)*(IF((YEAR(D121)+2)&lt;YEAR(E121),0,IF((YEAR(D121)+2)&gt;YEAR(E121),1,(12-MONTH(E121)+1)/12))))-(IF((((K121)*(IF(M121="",L121,IFERROR(IF(INDEX(Variablen!$I:$AT, MATCH(M121, Variablen!$A:$A, 0), MATCH((YEAR(D121)+2), Variablen!$I$3:$AT$3, 0))="",L121,INDEX(Variablen!$I:$AT, MATCH(M121, Variablen!$A:$A, 0), MATCH((YEAR(D121)+2), Variablen!$I$3:$AT$3, 0))),L121)))*(IF((YEAR(D121)+2)&lt;YEAR(E121),0,IF((YEAR(D121)+2)&gt;YEAR(E121),1,(12-MONTH(E121)+1)/12))) + (Q121)*(IF((YEAR(D121)+2)&lt;YEAR(E121),0,IF((YEAR(D121)+2)&gt;YEAR(E121),1,(12-MONTH(E121)+1)/12))))-((P121)*(IF((YEAR(D121)+2)&lt;YEAR(E121),0,IF((YEAR(D121)+2)&gt;YEAR(E121),1,(12-MONTH(E121)+1)/12))) + (R121)*(IF((YEAR(D121)+2)&lt;YEAR(E121),0,IF((YEAR(D121)+2)&gt;YEAR(E121),1,(12-MONTH(E121)+1)/12))))-(IF(OR(N121="",N121&lt;=0),0,(O121/N121)*(IF(OR(N121="",N121&lt;=0),0,IF((YEAR(D121)+2)&lt;YEAR(E121),0,IF((YEAR(D121)+2)&gt;=YEAR(E121)+N121,0,IF((YEAR(D121)+2)=YEAR(E121),(12-MONTH(E121)+1)/12,1))))))))&gt;0,(((K121)*(IF(M121="",L121,IFERROR(IF(INDEX(Variablen!$I:$AT, MATCH(M121, Variablen!$A:$A, 0), MATCH((YEAR(D121)+2), Variablen!$I$3:$AT$3, 0))="",L121,INDEX(Variablen!$I:$AT, MATCH(M121, Variablen!$A:$A, 0), MATCH((YEAR(D121)+2), Variablen!$I$3:$AT$3, 0))),L121)))*(IF((YEAR(D121)+2)&lt;YEAR(E121),0,IF((YEAR(D121)+2)&gt;YEAR(E121),1,(12-MONTH(E121)+1)/12))) + (Q121)*(IF((YEAR(D121)+2)&lt;YEAR(E121),0,IF((YEAR(D121)+2)&gt;YEAR(E121),1,(12-MONTH(E121)+1)/12))))-((P121)*(IF((YEAR(D121)+2)&lt;YEAR(E121),0,IF((YEAR(D121)+2)&gt;YEAR(E121),1,(12-MONTH(E121)+1)/12))) + (R121)*(IF((YEAR(D121)+2)&lt;YEAR(E121),0,IF((YEAR(D121)+2)&gt;YEAR(E121),1,(12-MONTH(E121)+1)/12))))-(IF(OR(N121="",N121&lt;=0),0,(O121/N121)*(IF(OR(N121="",N121&lt;=0),0,IF((YEAR(D121)+2)&lt;YEAR(E121),0,IF((YEAR(D121)+2)&gt;=YEAR(E121)+N121,0,IF((YEAR(D121)+2)=YEAR(E121),(12-MONTH(E121)+1)/12,1))))))))*TaxRate,0))-IF(2=0,O121,0))</f>
        <v/>
      </c>
      <c r="V121" s="29">
        <f>IF(A121="","",((K121)*(IF(M121="",L121,IFERROR(IF(INDEX(Variablen!$I:$AT, MATCH(M121, Variablen!$A:$A, 0), MATCH((YEAR(D121)+3), Variablen!$I$3:$AT$3, 0))="",L121,INDEX(Variablen!$I:$AT, MATCH(M121, Variablen!$A:$A, 0), MATCH((YEAR(D121)+3), Variablen!$I$3:$AT$3, 0))),L121)))*(IF((YEAR(D121)+3)&lt;YEAR(E121),0,IF((YEAR(D121)+3)&gt;YEAR(E121),1,(12-MONTH(E121)+1)/12))) + (Q121)*(IF((YEAR(D121)+3)&lt;YEAR(E121),0,IF((YEAR(D121)+3)&gt;YEAR(E121),1,(12-MONTH(E121)+1)/12))))-((P121)*(IF((YEAR(D121)+3)&lt;YEAR(E121),0,IF((YEAR(D121)+3)&gt;YEAR(E121),1,(12-MONTH(E121)+1)/12))) + (R121)*(IF((YEAR(D121)+3)&lt;YEAR(E121),0,IF((YEAR(D121)+3)&gt;YEAR(E121),1,(12-MONTH(E121)+1)/12))))-(IF((((K121)*(IF(M121="",L121,IFERROR(IF(INDEX(Variablen!$I:$AT, MATCH(M121, Variablen!$A:$A, 0), MATCH((YEAR(D121)+3), Variablen!$I$3:$AT$3, 0))="",L121,INDEX(Variablen!$I:$AT, MATCH(M121, Variablen!$A:$A, 0), MATCH((YEAR(D121)+3), Variablen!$I$3:$AT$3, 0))),L121)))*(IF((YEAR(D121)+3)&lt;YEAR(E121),0,IF((YEAR(D121)+3)&gt;YEAR(E121),1,(12-MONTH(E121)+1)/12))) + (Q121)*(IF((YEAR(D121)+3)&lt;YEAR(E121),0,IF((YEAR(D121)+3)&gt;YEAR(E121),1,(12-MONTH(E121)+1)/12))))-((P121)*(IF((YEAR(D121)+3)&lt;YEAR(E121),0,IF((YEAR(D121)+3)&gt;YEAR(E121),1,(12-MONTH(E121)+1)/12))) + (R121)*(IF((YEAR(D121)+3)&lt;YEAR(E121),0,IF((YEAR(D121)+3)&gt;YEAR(E121),1,(12-MONTH(E121)+1)/12))))-(IF(OR(N121="",N121&lt;=0),0,(O121/N121)*(IF(OR(N121="",N121&lt;=0),0,IF((YEAR(D121)+3)&lt;YEAR(E121),0,IF((YEAR(D121)+3)&gt;=YEAR(E121)+N121,0,IF((YEAR(D121)+3)=YEAR(E121),(12-MONTH(E121)+1)/12,1))))))))&gt;0,(((K121)*(IF(M121="",L121,IFERROR(IF(INDEX(Variablen!$I:$AT, MATCH(M121, Variablen!$A:$A, 0), MATCH((YEAR(D121)+3), Variablen!$I$3:$AT$3, 0))="",L121,INDEX(Variablen!$I:$AT, MATCH(M121, Variablen!$A:$A, 0), MATCH((YEAR(D121)+3), Variablen!$I$3:$AT$3, 0))),L121)))*(IF((YEAR(D121)+3)&lt;YEAR(E121),0,IF((YEAR(D121)+3)&gt;YEAR(E121),1,(12-MONTH(E121)+1)/12))) + (Q121)*(IF((YEAR(D121)+3)&lt;YEAR(E121),0,IF((YEAR(D121)+3)&gt;YEAR(E121),1,(12-MONTH(E121)+1)/12))))-((P121)*(IF((YEAR(D121)+3)&lt;YEAR(E121),0,IF((YEAR(D121)+3)&gt;YEAR(E121),1,(12-MONTH(E121)+1)/12))) + (R121)*(IF((YEAR(D121)+3)&lt;YEAR(E121),0,IF((YEAR(D121)+3)&gt;YEAR(E121),1,(12-MONTH(E121)+1)/12))))-(IF(OR(N121="",N121&lt;=0),0,(O121/N121)*(IF(OR(N121="",N121&lt;=0),0,IF((YEAR(D121)+3)&lt;YEAR(E121),0,IF((YEAR(D121)+3)&gt;=YEAR(E121)+N121,0,IF((YEAR(D121)+3)=YEAR(E121),(12-MONTH(E121)+1)/12,1))))))))*TaxRate,0))-IF(3=0,O121,0))</f>
        <v/>
      </c>
      <c r="W121" s="29">
        <f>IF(A121="","",((K121)*(IF(M121="",L121,IFERROR(IF(INDEX(Variablen!$I:$AT, MATCH(M121, Variablen!$A:$A, 0), MATCH((YEAR(D121)+4), Variablen!$I$3:$AT$3, 0))="",L121,INDEX(Variablen!$I:$AT, MATCH(M121, Variablen!$A:$A, 0), MATCH((YEAR(D121)+4), Variablen!$I$3:$AT$3, 0))),L121)))*(IF((YEAR(D121)+4)&lt;YEAR(E121),0,IF((YEAR(D121)+4)&gt;YEAR(E121),1,(12-MONTH(E121)+1)/12))) + (Q121)*(IF((YEAR(D121)+4)&lt;YEAR(E121),0,IF((YEAR(D121)+4)&gt;YEAR(E121),1,(12-MONTH(E121)+1)/12))))-((P121)*(IF((YEAR(D121)+4)&lt;YEAR(E121),0,IF((YEAR(D121)+4)&gt;YEAR(E121),1,(12-MONTH(E121)+1)/12))) + (R121)*(IF((YEAR(D121)+4)&lt;YEAR(E121),0,IF((YEAR(D121)+4)&gt;YEAR(E121),1,(12-MONTH(E121)+1)/12))))-(IF((((K121)*(IF(M121="",L121,IFERROR(IF(INDEX(Variablen!$I:$AT, MATCH(M121, Variablen!$A:$A, 0), MATCH((YEAR(D121)+4), Variablen!$I$3:$AT$3, 0))="",L121,INDEX(Variablen!$I:$AT, MATCH(M121, Variablen!$A:$A, 0), MATCH((YEAR(D121)+4), Variablen!$I$3:$AT$3, 0))),L121)))*(IF((YEAR(D121)+4)&lt;YEAR(E121),0,IF((YEAR(D121)+4)&gt;YEAR(E121),1,(12-MONTH(E121)+1)/12))) + (Q121)*(IF((YEAR(D121)+4)&lt;YEAR(E121),0,IF((YEAR(D121)+4)&gt;YEAR(E121),1,(12-MONTH(E121)+1)/12))))-((P121)*(IF((YEAR(D121)+4)&lt;YEAR(E121),0,IF((YEAR(D121)+4)&gt;YEAR(E121),1,(12-MONTH(E121)+1)/12))) + (R121)*(IF((YEAR(D121)+4)&lt;YEAR(E121),0,IF((YEAR(D121)+4)&gt;YEAR(E121),1,(12-MONTH(E121)+1)/12))))-(IF(OR(N121="",N121&lt;=0),0,(O121/N121)*(IF(OR(N121="",N121&lt;=0),0,IF((YEAR(D121)+4)&lt;YEAR(E121),0,IF((YEAR(D121)+4)&gt;=YEAR(E121)+N121,0,IF((YEAR(D121)+4)=YEAR(E121),(12-MONTH(E121)+1)/12,1))))))))&gt;0,(((K121)*(IF(M121="",L121,IFERROR(IF(INDEX(Variablen!$I:$AT, MATCH(M121, Variablen!$A:$A, 0), MATCH((YEAR(D121)+4), Variablen!$I$3:$AT$3, 0))="",L121,INDEX(Variablen!$I:$AT, MATCH(M121, Variablen!$A:$A, 0), MATCH((YEAR(D121)+4), Variablen!$I$3:$AT$3, 0))),L121)))*(IF((YEAR(D121)+4)&lt;YEAR(E121),0,IF((YEAR(D121)+4)&gt;YEAR(E121),1,(12-MONTH(E121)+1)/12))) + (Q121)*(IF((YEAR(D121)+4)&lt;YEAR(E121),0,IF((YEAR(D121)+4)&gt;YEAR(E121),1,(12-MONTH(E121)+1)/12))))-((P121)*(IF((YEAR(D121)+4)&lt;YEAR(E121),0,IF((YEAR(D121)+4)&gt;YEAR(E121),1,(12-MONTH(E121)+1)/12))) + (R121)*(IF((YEAR(D121)+4)&lt;YEAR(E121),0,IF((YEAR(D121)+4)&gt;YEAR(E121),1,(12-MONTH(E121)+1)/12))))-(IF(OR(N121="",N121&lt;=0),0,(O121/N121)*(IF(OR(N121="",N121&lt;=0),0,IF((YEAR(D121)+4)&lt;YEAR(E121),0,IF((YEAR(D121)+4)&gt;=YEAR(E121)+N121,0,IF((YEAR(D121)+4)=YEAR(E121),(12-MONTH(E121)+1)/12,1))))))))*TaxRate,0))-IF(4=0,O121,0))</f>
        <v/>
      </c>
      <c r="X121" s="29">
        <f>IF(A121="","",((K121)*(IF(M121="",L121,IFERROR(IF(INDEX(Variablen!$I:$AT, MATCH(M121, Variablen!$A:$A, 0), MATCH((YEAR(D121)+5), Variablen!$I$3:$AT$3, 0))="",L121,INDEX(Variablen!$I:$AT, MATCH(M121, Variablen!$A:$A, 0), MATCH((YEAR(D121)+5), Variablen!$I$3:$AT$3, 0))),L121)))*(IF((YEAR(D121)+5)&lt;YEAR(E121),0,IF((YEAR(D121)+5)&gt;YEAR(E121),1,(12-MONTH(E121)+1)/12))) + (Q121)*(IF((YEAR(D121)+5)&lt;YEAR(E121),0,IF((YEAR(D121)+5)&gt;YEAR(E121),1,(12-MONTH(E121)+1)/12))))-((P121)*(IF((YEAR(D121)+5)&lt;YEAR(E121),0,IF((YEAR(D121)+5)&gt;YEAR(E121),1,(12-MONTH(E121)+1)/12))) + (R121)*(IF((YEAR(D121)+5)&lt;YEAR(E121),0,IF((YEAR(D121)+5)&gt;YEAR(E121),1,(12-MONTH(E121)+1)/12))))-(IF((((K121)*(IF(M121="",L121,IFERROR(IF(INDEX(Variablen!$I:$AT, MATCH(M121, Variablen!$A:$A, 0), MATCH((YEAR(D121)+5), Variablen!$I$3:$AT$3, 0))="",L121,INDEX(Variablen!$I:$AT, MATCH(M121, Variablen!$A:$A, 0), MATCH((YEAR(D121)+5), Variablen!$I$3:$AT$3, 0))),L121)))*(IF((YEAR(D121)+5)&lt;YEAR(E121),0,IF((YEAR(D121)+5)&gt;YEAR(E121),1,(12-MONTH(E121)+1)/12))) + (Q121)*(IF((YEAR(D121)+5)&lt;YEAR(E121),0,IF((YEAR(D121)+5)&gt;YEAR(E121),1,(12-MONTH(E121)+1)/12))))-((P121)*(IF((YEAR(D121)+5)&lt;YEAR(E121),0,IF((YEAR(D121)+5)&gt;YEAR(E121),1,(12-MONTH(E121)+1)/12))) + (R121)*(IF((YEAR(D121)+5)&lt;YEAR(E121),0,IF((YEAR(D121)+5)&gt;YEAR(E121),1,(12-MONTH(E121)+1)/12))))-(IF(OR(N121="",N121&lt;=0),0,(O121/N121)*(IF(OR(N121="",N121&lt;=0),0,IF((YEAR(D121)+5)&lt;YEAR(E121),0,IF((YEAR(D121)+5)&gt;=YEAR(E121)+N121,0,IF((YEAR(D121)+5)=YEAR(E121),(12-MONTH(E121)+1)/12,1))))))))&gt;0,(((K121)*(IF(M121="",L121,IFERROR(IF(INDEX(Variablen!$I:$AT, MATCH(M121, Variablen!$A:$A, 0), MATCH((YEAR(D121)+5), Variablen!$I$3:$AT$3, 0))="",L121,INDEX(Variablen!$I:$AT, MATCH(M121, Variablen!$A:$A, 0), MATCH((YEAR(D121)+5), Variablen!$I$3:$AT$3, 0))),L121)))*(IF((YEAR(D121)+5)&lt;YEAR(E121),0,IF((YEAR(D121)+5)&gt;YEAR(E121),1,(12-MONTH(E121)+1)/12))) + (Q121)*(IF((YEAR(D121)+5)&lt;YEAR(E121),0,IF((YEAR(D121)+5)&gt;YEAR(E121),1,(12-MONTH(E121)+1)/12))))-((P121)*(IF((YEAR(D121)+5)&lt;YEAR(E121),0,IF((YEAR(D121)+5)&gt;YEAR(E121),1,(12-MONTH(E121)+1)/12))) + (R121)*(IF((YEAR(D121)+5)&lt;YEAR(E121),0,IF((YEAR(D121)+5)&gt;YEAR(E121),1,(12-MONTH(E121)+1)/12))))-(IF(OR(N121="",N121&lt;=0),0,(O121/N121)*(IF(OR(N121="",N121&lt;=0),0,IF((YEAR(D121)+5)&lt;YEAR(E121),0,IF((YEAR(D121)+5)&gt;=YEAR(E121)+N121,0,IF((YEAR(D121)+5)=YEAR(E121),(12-MONTH(E121)+1)/12,1))))))))*TaxRate,0))-IF(5=0,O121,0))</f>
        <v/>
      </c>
      <c r="Y121" s="29">
        <f>IF(A121="","",((K121)*(IF(M121="",L121,IFERROR(IF(INDEX(Variablen!$I:$AT, MATCH(M121, Variablen!$A:$A, 0), MATCH((YEAR(D121)+6), Variablen!$I$3:$AT$3, 0))="",L121,INDEX(Variablen!$I:$AT, MATCH(M121, Variablen!$A:$A, 0), MATCH((YEAR(D121)+6), Variablen!$I$3:$AT$3, 0))),L121)))*(IF((YEAR(D121)+6)&lt;YEAR(E121),0,IF((YEAR(D121)+6)&gt;YEAR(E121),1,(12-MONTH(E121)+1)/12))) + (Q121)*(IF((YEAR(D121)+6)&lt;YEAR(E121),0,IF((YEAR(D121)+6)&gt;YEAR(E121),1,(12-MONTH(E121)+1)/12))))-((P121)*(IF((YEAR(D121)+6)&lt;YEAR(E121),0,IF((YEAR(D121)+6)&gt;YEAR(E121),1,(12-MONTH(E121)+1)/12))) + (R121)*(IF((YEAR(D121)+6)&lt;YEAR(E121),0,IF((YEAR(D121)+6)&gt;YEAR(E121),1,(12-MONTH(E121)+1)/12))))-(IF((((K121)*(IF(M121="",L121,IFERROR(IF(INDEX(Variablen!$I:$AT, MATCH(M121, Variablen!$A:$A, 0), MATCH((YEAR(D121)+6), Variablen!$I$3:$AT$3, 0))="",L121,INDEX(Variablen!$I:$AT, MATCH(M121, Variablen!$A:$A, 0), MATCH((YEAR(D121)+6), Variablen!$I$3:$AT$3, 0))),L121)))*(IF((YEAR(D121)+6)&lt;YEAR(E121),0,IF((YEAR(D121)+6)&gt;YEAR(E121),1,(12-MONTH(E121)+1)/12))) + (Q121)*(IF((YEAR(D121)+6)&lt;YEAR(E121),0,IF((YEAR(D121)+6)&gt;YEAR(E121),1,(12-MONTH(E121)+1)/12))))-((P121)*(IF((YEAR(D121)+6)&lt;YEAR(E121),0,IF((YEAR(D121)+6)&gt;YEAR(E121),1,(12-MONTH(E121)+1)/12))) + (R121)*(IF((YEAR(D121)+6)&lt;YEAR(E121),0,IF((YEAR(D121)+6)&gt;YEAR(E121),1,(12-MONTH(E121)+1)/12))))-(IF(OR(N121="",N121&lt;=0),0,(O121/N121)*(IF(OR(N121="",N121&lt;=0),0,IF((YEAR(D121)+6)&lt;YEAR(E121),0,IF((YEAR(D121)+6)&gt;=YEAR(E121)+N121,0,IF((YEAR(D121)+6)=YEAR(E121),(12-MONTH(E121)+1)/12,1))))))))&gt;0,(((K121)*(IF(M121="",L121,IFERROR(IF(INDEX(Variablen!$I:$AT, MATCH(M121, Variablen!$A:$A, 0), MATCH((YEAR(D121)+6), Variablen!$I$3:$AT$3, 0))="",L121,INDEX(Variablen!$I:$AT, MATCH(M121, Variablen!$A:$A, 0), MATCH((YEAR(D121)+6), Variablen!$I$3:$AT$3, 0))),L121)))*(IF((YEAR(D121)+6)&lt;YEAR(E121),0,IF((YEAR(D121)+6)&gt;YEAR(E121),1,(12-MONTH(E121)+1)/12))) + (Q121)*(IF((YEAR(D121)+6)&lt;YEAR(E121),0,IF((YEAR(D121)+6)&gt;YEAR(E121),1,(12-MONTH(E121)+1)/12))))-((P121)*(IF((YEAR(D121)+6)&lt;YEAR(E121),0,IF((YEAR(D121)+6)&gt;YEAR(E121),1,(12-MONTH(E121)+1)/12))) + (R121)*(IF((YEAR(D121)+6)&lt;YEAR(E121),0,IF((YEAR(D121)+6)&gt;YEAR(E121),1,(12-MONTH(E121)+1)/12))))-(IF(OR(N121="",N121&lt;=0),0,(O121/N121)*(IF(OR(N121="",N121&lt;=0),0,IF((YEAR(D121)+6)&lt;YEAR(E121),0,IF((YEAR(D121)+6)&gt;=YEAR(E121)+N121,0,IF((YEAR(D121)+6)=YEAR(E121),(12-MONTH(E121)+1)/12,1))))))))*TaxRate,0))-IF(6=0,O121,0))</f>
        <v/>
      </c>
      <c r="Z121" s="29">
        <f>IF(A121="","",((K121)*(IF(M121="",L121,IFERROR(IF(INDEX(Variablen!$I:$AT, MATCH(M121, Variablen!$A:$A, 0), MATCH((YEAR(D121)+7), Variablen!$I$3:$AT$3, 0))="",L121,INDEX(Variablen!$I:$AT, MATCH(M121, Variablen!$A:$A, 0), MATCH((YEAR(D121)+7), Variablen!$I$3:$AT$3, 0))),L121)))*(IF((YEAR(D121)+7)&lt;YEAR(E121),0,IF((YEAR(D121)+7)&gt;YEAR(E121),1,(12-MONTH(E121)+1)/12))) + (Q121)*(IF((YEAR(D121)+7)&lt;YEAR(E121),0,IF((YEAR(D121)+7)&gt;YEAR(E121),1,(12-MONTH(E121)+1)/12))))-((P121)*(IF((YEAR(D121)+7)&lt;YEAR(E121),0,IF((YEAR(D121)+7)&gt;YEAR(E121),1,(12-MONTH(E121)+1)/12))) + (R121)*(IF((YEAR(D121)+7)&lt;YEAR(E121),0,IF((YEAR(D121)+7)&gt;YEAR(E121),1,(12-MONTH(E121)+1)/12))))-(IF((((K121)*(IF(M121="",L121,IFERROR(IF(INDEX(Variablen!$I:$AT, MATCH(M121, Variablen!$A:$A, 0), MATCH((YEAR(D121)+7), Variablen!$I$3:$AT$3, 0))="",L121,INDEX(Variablen!$I:$AT, MATCH(M121, Variablen!$A:$A, 0), MATCH((YEAR(D121)+7), Variablen!$I$3:$AT$3, 0))),L121)))*(IF((YEAR(D121)+7)&lt;YEAR(E121),0,IF((YEAR(D121)+7)&gt;YEAR(E121),1,(12-MONTH(E121)+1)/12))) + (Q121)*(IF((YEAR(D121)+7)&lt;YEAR(E121),0,IF((YEAR(D121)+7)&gt;YEAR(E121),1,(12-MONTH(E121)+1)/12))))-((P121)*(IF((YEAR(D121)+7)&lt;YEAR(E121),0,IF((YEAR(D121)+7)&gt;YEAR(E121),1,(12-MONTH(E121)+1)/12))) + (R121)*(IF((YEAR(D121)+7)&lt;YEAR(E121),0,IF((YEAR(D121)+7)&gt;YEAR(E121),1,(12-MONTH(E121)+1)/12))))-(IF(OR(N121="",N121&lt;=0),0,(O121/N121)*(IF(OR(N121="",N121&lt;=0),0,IF((YEAR(D121)+7)&lt;YEAR(E121),0,IF((YEAR(D121)+7)&gt;=YEAR(E121)+N121,0,IF((YEAR(D121)+7)=YEAR(E121),(12-MONTH(E121)+1)/12,1))))))))&gt;0,(((K121)*(IF(M121="",L121,IFERROR(IF(INDEX(Variablen!$I:$AT, MATCH(M121, Variablen!$A:$A, 0), MATCH((YEAR(D121)+7), Variablen!$I$3:$AT$3, 0))="",L121,INDEX(Variablen!$I:$AT, MATCH(M121, Variablen!$A:$A, 0), MATCH((YEAR(D121)+7), Variablen!$I$3:$AT$3, 0))),L121)))*(IF((YEAR(D121)+7)&lt;YEAR(E121),0,IF((YEAR(D121)+7)&gt;YEAR(E121),1,(12-MONTH(E121)+1)/12))) + (Q121)*(IF((YEAR(D121)+7)&lt;YEAR(E121),0,IF((YEAR(D121)+7)&gt;YEAR(E121),1,(12-MONTH(E121)+1)/12))))-((P121)*(IF((YEAR(D121)+7)&lt;YEAR(E121),0,IF((YEAR(D121)+7)&gt;YEAR(E121),1,(12-MONTH(E121)+1)/12))) + (R121)*(IF((YEAR(D121)+7)&lt;YEAR(E121),0,IF((YEAR(D121)+7)&gt;YEAR(E121),1,(12-MONTH(E121)+1)/12))))-(IF(OR(N121="",N121&lt;=0),0,(O121/N121)*(IF(OR(N121="",N121&lt;=0),0,IF((YEAR(D121)+7)&lt;YEAR(E121),0,IF((YEAR(D121)+7)&gt;=YEAR(E121)+N121,0,IF((YEAR(D121)+7)=YEAR(E121),(12-MONTH(E121)+1)/12,1))))))))*TaxRate,0))-IF(7=0,O121,0))</f>
        <v/>
      </c>
      <c r="AA121" s="29">
        <f>IF(A121="","",((K121)*(IF(M121="",L121,IFERROR(IF(INDEX(Variablen!$I:$AT, MATCH(M121, Variablen!$A:$A, 0), MATCH((YEAR(D121)+8), Variablen!$I$3:$AT$3, 0))="",L121,INDEX(Variablen!$I:$AT, MATCH(M121, Variablen!$A:$A, 0), MATCH((YEAR(D121)+8), Variablen!$I$3:$AT$3, 0))),L121)))*(IF((YEAR(D121)+8)&lt;YEAR(E121),0,IF((YEAR(D121)+8)&gt;YEAR(E121),1,(12-MONTH(E121)+1)/12))) + (Q121)*(IF((YEAR(D121)+8)&lt;YEAR(E121),0,IF((YEAR(D121)+8)&gt;YEAR(E121),1,(12-MONTH(E121)+1)/12))))-((P121)*(IF((YEAR(D121)+8)&lt;YEAR(E121),0,IF((YEAR(D121)+8)&gt;YEAR(E121),1,(12-MONTH(E121)+1)/12))) + (R121)*(IF((YEAR(D121)+8)&lt;YEAR(E121),0,IF((YEAR(D121)+8)&gt;YEAR(E121),1,(12-MONTH(E121)+1)/12))))-(IF((((K121)*(IF(M121="",L121,IFERROR(IF(INDEX(Variablen!$I:$AT, MATCH(M121, Variablen!$A:$A, 0), MATCH((YEAR(D121)+8), Variablen!$I$3:$AT$3, 0))="",L121,INDEX(Variablen!$I:$AT, MATCH(M121, Variablen!$A:$A, 0), MATCH((YEAR(D121)+8), Variablen!$I$3:$AT$3, 0))),L121)))*(IF((YEAR(D121)+8)&lt;YEAR(E121),0,IF((YEAR(D121)+8)&gt;YEAR(E121),1,(12-MONTH(E121)+1)/12))) + (Q121)*(IF((YEAR(D121)+8)&lt;YEAR(E121),0,IF((YEAR(D121)+8)&gt;YEAR(E121),1,(12-MONTH(E121)+1)/12))))-((P121)*(IF((YEAR(D121)+8)&lt;YEAR(E121),0,IF((YEAR(D121)+8)&gt;YEAR(E121),1,(12-MONTH(E121)+1)/12))) + (R121)*(IF((YEAR(D121)+8)&lt;YEAR(E121),0,IF((YEAR(D121)+8)&gt;YEAR(E121),1,(12-MONTH(E121)+1)/12))))-(IF(OR(N121="",N121&lt;=0),0,(O121/N121)*(IF(OR(N121="",N121&lt;=0),0,IF((YEAR(D121)+8)&lt;YEAR(E121),0,IF((YEAR(D121)+8)&gt;=YEAR(E121)+N121,0,IF((YEAR(D121)+8)=YEAR(E121),(12-MONTH(E121)+1)/12,1))))))))&gt;0,(((K121)*(IF(M121="",L121,IFERROR(IF(INDEX(Variablen!$I:$AT, MATCH(M121, Variablen!$A:$A, 0), MATCH((YEAR(D121)+8), Variablen!$I$3:$AT$3, 0))="",L121,INDEX(Variablen!$I:$AT, MATCH(M121, Variablen!$A:$A, 0), MATCH((YEAR(D121)+8), Variablen!$I$3:$AT$3, 0))),L121)))*(IF((YEAR(D121)+8)&lt;YEAR(E121),0,IF((YEAR(D121)+8)&gt;YEAR(E121),1,(12-MONTH(E121)+1)/12))) + (Q121)*(IF((YEAR(D121)+8)&lt;YEAR(E121),0,IF((YEAR(D121)+8)&gt;YEAR(E121),1,(12-MONTH(E121)+1)/12))))-((P121)*(IF((YEAR(D121)+8)&lt;YEAR(E121),0,IF((YEAR(D121)+8)&gt;YEAR(E121),1,(12-MONTH(E121)+1)/12))) + (R121)*(IF((YEAR(D121)+8)&lt;YEAR(E121),0,IF((YEAR(D121)+8)&gt;YEAR(E121),1,(12-MONTH(E121)+1)/12))))-(IF(OR(N121="",N121&lt;=0),0,(O121/N121)*(IF(OR(N121="",N121&lt;=0),0,IF((YEAR(D121)+8)&lt;YEAR(E121),0,IF((YEAR(D121)+8)&gt;=YEAR(E121)+N121,0,IF((YEAR(D121)+8)=YEAR(E121),(12-MONTH(E121)+1)/12,1))))))))*TaxRate,0))-IF(8=0,O121,0))</f>
        <v/>
      </c>
      <c r="AB121" s="29">
        <f>IF(A121="","",((K121)*(IF(M121="",L121,IFERROR(IF(INDEX(Variablen!$I:$AT, MATCH(M121, Variablen!$A:$A, 0), MATCH((YEAR(D121)+9), Variablen!$I$3:$AT$3, 0))="",L121,INDEX(Variablen!$I:$AT, MATCH(M121, Variablen!$A:$A, 0), MATCH((YEAR(D121)+9), Variablen!$I$3:$AT$3, 0))),L121)))*(IF((YEAR(D121)+9)&lt;YEAR(E121),0,IF((YEAR(D121)+9)&gt;YEAR(E121),1,(12-MONTH(E121)+1)/12))) + (Q121)*(IF((YEAR(D121)+9)&lt;YEAR(E121),0,IF((YEAR(D121)+9)&gt;YEAR(E121),1,(12-MONTH(E121)+1)/12))))-((P121)*(IF((YEAR(D121)+9)&lt;YEAR(E121),0,IF((YEAR(D121)+9)&gt;YEAR(E121),1,(12-MONTH(E121)+1)/12))) + (R121)*(IF((YEAR(D121)+9)&lt;YEAR(E121),0,IF((YEAR(D121)+9)&gt;YEAR(E121),1,(12-MONTH(E121)+1)/12))))-(IF((((K121)*(IF(M121="",L121,IFERROR(IF(INDEX(Variablen!$I:$AT, MATCH(M121, Variablen!$A:$A, 0), MATCH((YEAR(D121)+9), Variablen!$I$3:$AT$3, 0))="",L121,INDEX(Variablen!$I:$AT, MATCH(M121, Variablen!$A:$A, 0), MATCH((YEAR(D121)+9), Variablen!$I$3:$AT$3, 0))),L121)))*(IF((YEAR(D121)+9)&lt;YEAR(E121),0,IF((YEAR(D121)+9)&gt;YEAR(E121),1,(12-MONTH(E121)+1)/12))) + (Q121)*(IF((YEAR(D121)+9)&lt;YEAR(E121),0,IF((YEAR(D121)+9)&gt;YEAR(E121),1,(12-MONTH(E121)+1)/12))))-((P121)*(IF((YEAR(D121)+9)&lt;YEAR(E121),0,IF((YEAR(D121)+9)&gt;YEAR(E121),1,(12-MONTH(E121)+1)/12))) + (R121)*(IF((YEAR(D121)+9)&lt;YEAR(E121),0,IF((YEAR(D121)+9)&gt;YEAR(E121),1,(12-MONTH(E121)+1)/12))))-(IF(OR(N121="",N121&lt;=0),0,(O121/N121)*(IF(OR(N121="",N121&lt;=0),0,IF((YEAR(D121)+9)&lt;YEAR(E121),0,IF((YEAR(D121)+9)&gt;=YEAR(E121)+N121,0,IF((YEAR(D121)+9)=YEAR(E121),(12-MONTH(E121)+1)/12,1))))))))&gt;0,(((K121)*(IF(M121="",L121,IFERROR(IF(INDEX(Variablen!$I:$AT, MATCH(M121, Variablen!$A:$A, 0), MATCH((YEAR(D121)+9), Variablen!$I$3:$AT$3, 0))="",L121,INDEX(Variablen!$I:$AT, MATCH(M121, Variablen!$A:$A, 0), MATCH((YEAR(D121)+9), Variablen!$I$3:$AT$3, 0))),L121)))*(IF((YEAR(D121)+9)&lt;YEAR(E121),0,IF((YEAR(D121)+9)&gt;YEAR(E121),1,(12-MONTH(E121)+1)/12))) + (Q121)*(IF((YEAR(D121)+9)&lt;YEAR(E121),0,IF((YEAR(D121)+9)&gt;YEAR(E121),1,(12-MONTH(E121)+1)/12))))-((P121)*(IF((YEAR(D121)+9)&lt;YEAR(E121),0,IF((YEAR(D121)+9)&gt;YEAR(E121),1,(12-MONTH(E121)+1)/12))) + (R121)*(IF((YEAR(D121)+9)&lt;YEAR(E121),0,IF((YEAR(D121)+9)&gt;YEAR(E121),1,(12-MONTH(E121)+1)/12))))-(IF(OR(N121="",N121&lt;=0),0,(O121/N121)*(IF(OR(N121="",N121&lt;=0),0,IF((YEAR(D121)+9)&lt;YEAR(E121),0,IF((YEAR(D121)+9)&gt;=YEAR(E121)+N121,0,IF((YEAR(D121)+9)=YEAR(E121),(12-MONTH(E121)+1)/12,1))))))))*TaxRate,0))-IF(9=0,O121,0))</f>
        <v/>
      </c>
      <c r="AC121" s="29">
        <f>IF(A121="","",((K121)*(IF(M121="",L121,IFERROR(IF(INDEX(Variablen!$I:$AT, MATCH(M121, Variablen!$A:$A, 0), MATCH((YEAR(D121)+10), Variablen!$I$3:$AT$3, 0))="",L121,INDEX(Variablen!$I:$AT, MATCH(M121, Variablen!$A:$A, 0), MATCH((YEAR(D121)+10), Variablen!$I$3:$AT$3, 0))),L121)))*(IF((YEAR(D121)+10)&lt;YEAR(E121),0,IF((YEAR(D121)+10)&gt;YEAR(E121),1,(12-MONTH(E121)+1)/12))) + (Q121)*(IF((YEAR(D121)+10)&lt;YEAR(E121),0,IF((YEAR(D121)+10)&gt;YEAR(E121),1,(12-MONTH(E121)+1)/12))))-((P121)*(IF((YEAR(D121)+10)&lt;YEAR(E121),0,IF((YEAR(D121)+10)&gt;YEAR(E121),1,(12-MONTH(E121)+1)/12))) + (R121)*(IF((YEAR(D121)+10)&lt;YEAR(E121),0,IF((YEAR(D121)+10)&gt;YEAR(E121),1,(12-MONTH(E121)+1)/12))))-(IF((((K121)*(IF(M121="",L121,IFERROR(IF(INDEX(Variablen!$I:$AT, MATCH(M121, Variablen!$A:$A, 0), MATCH((YEAR(D121)+10), Variablen!$I$3:$AT$3, 0))="",L121,INDEX(Variablen!$I:$AT, MATCH(M121, Variablen!$A:$A, 0), MATCH((YEAR(D121)+10), Variablen!$I$3:$AT$3, 0))),L121)))*(IF((YEAR(D121)+10)&lt;YEAR(E121),0,IF((YEAR(D121)+10)&gt;YEAR(E121),1,(12-MONTH(E121)+1)/12))) + (Q121)*(IF((YEAR(D121)+10)&lt;YEAR(E121),0,IF((YEAR(D121)+10)&gt;YEAR(E121),1,(12-MONTH(E121)+1)/12))))-((P121)*(IF((YEAR(D121)+10)&lt;YEAR(E121),0,IF((YEAR(D121)+10)&gt;YEAR(E121),1,(12-MONTH(E121)+1)/12))) + (R121)*(IF((YEAR(D121)+10)&lt;YEAR(E121),0,IF((YEAR(D121)+10)&gt;YEAR(E121),1,(12-MONTH(E121)+1)/12))))-(IF(OR(N121="",N121&lt;=0),0,(O121/N121)*(IF(OR(N121="",N121&lt;=0),0,IF((YEAR(D121)+10)&lt;YEAR(E121),0,IF((YEAR(D121)+10)&gt;=YEAR(E121)+N121,0,IF((YEAR(D121)+10)=YEAR(E121),(12-MONTH(E121)+1)/12,1))))))))&gt;0,(((K121)*(IF(M121="",L121,IFERROR(IF(INDEX(Variablen!$I:$AT, MATCH(M121, Variablen!$A:$A, 0), MATCH((YEAR(D121)+10), Variablen!$I$3:$AT$3, 0))="",L121,INDEX(Variablen!$I:$AT, MATCH(M121, Variablen!$A:$A, 0), MATCH((YEAR(D121)+10), Variablen!$I$3:$AT$3, 0))),L121)))*(IF((YEAR(D121)+10)&lt;YEAR(E121),0,IF((YEAR(D121)+10)&gt;YEAR(E121),1,(12-MONTH(E121)+1)/12))) + (Q121)*(IF((YEAR(D121)+10)&lt;YEAR(E121),0,IF((YEAR(D121)+10)&gt;YEAR(E121),1,(12-MONTH(E121)+1)/12))))-((P121)*(IF((YEAR(D121)+10)&lt;YEAR(E121),0,IF((YEAR(D121)+10)&gt;YEAR(E121),1,(12-MONTH(E121)+1)/12))) + (R121)*(IF((YEAR(D121)+10)&lt;YEAR(E121),0,IF((YEAR(D121)+10)&gt;YEAR(E121),1,(12-MONTH(E121)+1)/12))))-(IF(OR(N121="",N121&lt;=0),0,(O121/N121)*(IF(OR(N121="",N121&lt;=0),0,IF((YEAR(D121)+10)&lt;YEAR(E121),0,IF((YEAR(D121)+10)&gt;=YEAR(E121)+N121,0,IF((YEAR(D121)+10)=YEAR(E121),(12-MONTH(E121)+1)/12,1))))))))*TaxRate,0))-IF(10=0,O121,0))</f>
        <v/>
      </c>
      <c r="AD121" s="29">
        <f>IF(A121="","",((K121)*(IF(M121="",L121,IFERROR(IF(INDEX(Variablen!$I:$AT, MATCH(M121, Variablen!$A:$A, 0), MATCH((YEAR(D121)+11), Variablen!$I$3:$AT$3, 0))="",L121,INDEX(Variablen!$I:$AT, MATCH(M121, Variablen!$A:$A, 0), MATCH((YEAR(D121)+11), Variablen!$I$3:$AT$3, 0))),L121)))*(IF((YEAR(D121)+11)&lt;YEAR(E121),0,IF((YEAR(D121)+11)&gt;YEAR(E121),1,(12-MONTH(E121)+1)/12))) + (Q121)*(IF((YEAR(D121)+11)&lt;YEAR(E121),0,IF((YEAR(D121)+11)&gt;YEAR(E121),1,(12-MONTH(E121)+1)/12))))-((P121)*(IF((YEAR(D121)+11)&lt;YEAR(E121),0,IF((YEAR(D121)+11)&gt;YEAR(E121),1,(12-MONTH(E121)+1)/12))) + (R121)*(IF((YEAR(D121)+11)&lt;YEAR(E121),0,IF((YEAR(D121)+11)&gt;YEAR(E121),1,(12-MONTH(E121)+1)/12))))-(IF((((K121)*(IF(M121="",L121,IFERROR(IF(INDEX(Variablen!$I:$AT, MATCH(M121, Variablen!$A:$A, 0), MATCH((YEAR(D121)+11), Variablen!$I$3:$AT$3, 0))="",L121,INDEX(Variablen!$I:$AT, MATCH(M121, Variablen!$A:$A, 0), MATCH((YEAR(D121)+11), Variablen!$I$3:$AT$3, 0))),L121)))*(IF((YEAR(D121)+11)&lt;YEAR(E121),0,IF((YEAR(D121)+11)&gt;YEAR(E121),1,(12-MONTH(E121)+1)/12))) + (Q121)*(IF((YEAR(D121)+11)&lt;YEAR(E121),0,IF((YEAR(D121)+11)&gt;YEAR(E121),1,(12-MONTH(E121)+1)/12))))-((P121)*(IF((YEAR(D121)+11)&lt;YEAR(E121),0,IF((YEAR(D121)+11)&gt;YEAR(E121),1,(12-MONTH(E121)+1)/12))) + (R121)*(IF((YEAR(D121)+11)&lt;YEAR(E121),0,IF((YEAR(D121)+11)&gt;YEAR(E121),1,(12-MONTH(E121)+1)/12))))-(IF(OR(N121="",N121&lt;=0),0,(O121/N121)*(IF(OR(N121="",N121&lt;=0),0,IF((YEAR(D121)+11)&lt;YEAR(E121),0,IF((YEAR(D121)+11)&gt;=YEAR(E121)+N121,0,IF((YEAR(D121)+11)=YEAR(E121),(12-MONTH(E121)+1)/12,1))))))))&gt;0,(((K121)*(IF(M121="",L121,IFERROR(IF(INDEX(Variablen!$I:$AT, MATCH(M121, Variablen!$A:$A, 0), MATCH((YEAR(D121)+11), Variablen!$I$3:$AT$3, 0))="",L121,INDEX(Variablen!$I:$AT, MATCH(M121, Variablen!$A:$A, 0), MATCH((YEAR(D121)+11), Variablen!$I$3:$AT$3, 0))),L121)))*(IF((YEAR(D121)+11)&lt;YEAR(E121),0,IF((YEAR(D121)+11)&gt;YEAR(E121),1,(12-MONTH(E121)+1)/12))) + (Q121)*(IF((YEAR(D121)+11)&lt;YEAR(E121),0,IF((YEAR(D121)+11)&gt;YEAR(E121),1,(12-MONTH(E121)+1)/12))))-((P121)*(IF((YEAR(D121)+11)&lt;YEAR(E121),0,IF((YEAR(D121)+11)&gt;YEAR(E121),1,(12-MONTH(E121)+1)/12))) + (R121)*(IF((YEAR(D121)+11)&lt;YEAR(E121),0,IF((YEAR(D121)+11)&gt;YEAR(E121),1,(12-MONTH(E121)+1)/12))))-(IF(OR(N121="",N121&lt;=0),0,(O121/N121)*(IF(OR(N121="",N121&lt;=0),0,IF((YEAR(D121)+11)&lt;YEAR(E121),0,IF((YEAR(D121)+11)&gt;=YEAR(E121)+N121,0,IF((YEAR(D121)+11)=YEAR(E121),(12-MONTH(E121)+1)/12,1))))))))*TaxRate,0))-IF(11=0,O121,0))</f>
        <v/>
      </c>
      <c r="AE121" s="29">
        <f>IF(A121="","",((K121)*(IF(M121="",L121,IFERROR(IF(INDEX(Variablen!$I:$AT, MATCH(M121, Variablen!$A:$A, 0), MATCH((YEAR(D121)+12), Variablen!$I$3:$AT$3, 0))="",L121,INDEX(Variablen!$I:$AT, MATCH(M121, Variablen!$A:$A, 0), MATCH((YEAR(D121)+12), Variablen!$I$3:$AT$3, 0))),L121)))*(IF((YEAR(D121)+12)&lt;YEAR(E121),0,IF((YEAR(D121)+12)&gt;YEAR(E121),1,(12-MONTH(E121)+1)/12))) + (Q121)*(IF((YEAR(D121)+12)&lt;YEAR(E121),0,IF((YEAR(D121)+12)&gt;YEAR(E121),1,(12-MONTH(E121)+1)/12))))-((P121)*(IF((YEAR(D121)+12)&lt;YEAR(E121),0,IF((YEAR(D121)+12)&gt;YEAR(E121),1,(12-MONTH(E121)+1)/12))) + (R121)*(IF((YEAR(D121)+12)&lt;YEAR(E121),0,IF((YEAR(D121)+12)&gt;YEAR(E121),1,(12-MONTH(E121)+1)/12))))-(IF((((K121)*(IF(M121="",L121,IFERROR(IF(INDEX(Variablen!$I:$AT, MATCH(M121, Variablen!$A:$A, 0), MATCH((YEAR(D121)+12), Variablen!$I$3:$AT$3, 0))="",L121,INDEX(Variablen!$I:$AT, MATCH(M121, Variablen!$A:$A, 0), MATCH((YEAR(D121)+12), Variablen!$I$3:$AT$3, 0))),L121)))*(IF((YEAR(D121)+12)&lt;YEAR(E121),0,IF((YEAR(D121)+12)&gt;YEAR(E121),1,(12-MONTH(E121)+1)/12))) + (Q121)*(IF((YEAR(D121)+12)&lt;YEAR(E121),0,IF((YEAR(D121)+12)&gt;YEAR(E121),1,(12-MONTH(E121)+1)/12))))-((P121)*(IF((YEAR(D121)+12)&lt;YEAR(E121),0,IF((YEAR(D121)+12)&gt;YEAR(E121),1,(12-MONTH(E121)+1)/12))) + (R121)*(IF((YEAR(D121)+12)&lt;YEAR(E121),0,IF((YEAR(D121)+12)&gt;YEAR(E121),1,(12-MONTH(E121)+1)/12))))-(IF(OR(N121="",N121&lt;=0),0,(O121/N121)*(IF(OR(N121="",N121&lt;=0),0,IF((YEAR(D121)+12)&lt;YEAR(E121),0,IF((YEAR(D121)+12)&gt;=YEAR(E121)+N121,0,IF((YEAR(D121)+12)=YEAR(E121),(12-MONTH(E121)+1)/12,1))))))))&gt;0,(((K121)*(IF(M121="",L121,IFERROR(IF(INDEX(Variablen!$I:$AT, MATCH(M121, Variablen!$A:$A, 0), MATCH((YEAR(D121)+12), Variablen!$I$3:$AT$3, 0))="",L121,INDEX(Variablen!$I:$AT, MATCH(M121, Variablen!$A:$A, 0), MATCH((YEAR(D121)+12), Variablen!$I$3:$AT$3, 0))),L121)))*(IF((YEAR(D121)+12)&lt;YEAR(E121),0,IF((YEAR(D121)+12)&gt;YEAR(E121),1,(12-MONTH(E121)+1)/12))) + (Q121)*(IF((YEAR(D121)+12)&lt;YEAR(E121),0,IF((YEAR(D121)+12)&gt;YEAR(E121),1,(12-MONTH(E121)+1)/12))))-((P121)*(IF((YEAR(D121)+12)&lt;YEAR(E121),0,IF((YEAR(D121)+12)&gt;YEAR(E121),1,(12-MONTH(E121)+1)/12))) + (R121)*(IF((YEAR(D121)+12)&lt;YEAR(E121),0,IF((YEAR(D121)+12)&gt;YEAR(E121),1,(12-MONTH(E121)+1)/12))))-(IF(OR(N121="",N121&lt;=0),0,(O121/N121)*(IF(OR(N121="",N121&lt;=0),0,IF((YEAR(D121)+12)&lt;YEAR(E121),0,IF((YEAR(D121)+12)&gt;=YEAR(E121)+N121,0,IF((YEAR(D121)+12)=YEAR(E121),(12-MONTH(E121)+1)/12,1))))))))*TaxRate,0))-IF(12=0,O121,0))</f>
        <v/>
      </c>
      <c r="AF121" s="29">
        <f>IF(A121="","",((K121)*(IF(M121="",L121,IFERROR(IF(INDEX(Variablen!$I:$AT, MATCH(M121, Variablen!$A:$A, 0), MATCH((YEAR(D121)+13), Variablen!$I$3:$AT$3, 0))="",L121,INDEX(Variablen!$I:$AT, MATCH(M121, Variablen!$A:$A, 0), MATCH((YEAR(D121)+13), Variablen!$I$3:$AT$3, 0))),L121)))*(IF((YEAR(D121)+13)&lt;YEAR(E121),0,IF((YEAR(D121)+13)&gt;YEAR(E121),1,(12-MONTH(E121)+1)/12))) + (Q121)*(IF((YEAR(D121)+13)&lt;YEAR(E121),0,IF((YEAR(D121)+13)&gt;YEAR(E121),1,(12-MONTH(E121)+1)/12))))-((P121)*(IF((YEAR(D121)+13)&lt;YEAR(E121),0,IF((YEAR(D121)+13)&gt;YEAR(E121),1,(12-MONTH(E121)+1)/12))) + (R121)*(IF((YEAR(D121)+13)&lt;YEAR(E121),0,IF((YEAR(D121)+13)&gt;YEAR(E121),1,(12-MONTH(E121)+1)/12))))-(IF((((K121)*(IF(M121="",L121,IFERROR(IF(INDEX(Variablen!$I:$AT, MATCH(M121, Variablen!$A:$A, 0), MATCH((YEAR(D121)+13), Variablen!$I$3:$AT$3, 0))="",L121,INDEX(Variablen!$I:$AT, MATCH(M121, Variablen!$A:$A, 0), MATCH((YEAR(D121)+13), Variablen!$I$3:$AT$3, 0))),L121)))*(IF((YEAR(D121)+13)&lt;YEAR(E121),0,IF((YEAR(D121)+13)&gt;YEAR(E121),1,(12-MONTH(E121)+1)/12))) + (Q121)*(IF((YEAR(D121)+13)&lt;YEAR(E121),0,IF((YEAR(D121)+13)&gt;YEAR(E121),1,(12-MONTH(E121)+1)/12))))-((P121)*(IF((YEAR(D121)+13)&lt;YEAR(E121),0,IF((YEAR(D121)+13)&gt;YEAR(E121),1,(12-MONTH(E121)+1)/12))) + (R121)*(IF((YEAR(D121)+13)&lt;YEAR(E121),0,IF((YEAR(D121)+13)&gt;YEAR(E121),1,(12-MONTH(E121)+1)/12))))-(IF(OR(N121="",N121&lt;=0),0,(O121/N121)*(IF(OR(N121="",N121&lt;=0),0,IF((YEAR(D121)+13)&lt;YEAR(E121),0,IF((YEAR(D121)+13)&gt;=YEAR(E121)+N121,0,IF((YEAR(D121)+13)=YEAR(E121),(12-MONTH(E121)+1)/12,1))))))))&gt;0,(((K121)*(IF(M121="",L121,IFERROR(IF(INDEX(Variablen!$I:$AT, MATCH(M121, Variablen!$A:$A, 0), MATCH((YEAR(D121)+13), Variablen!$I$3:$AT$3, 0))="",L121,INDEX(Variablen!$I:$AT, MATCH(M121, Variablen!$A:$A, 0), MATCH((YEAR(D121)+13), Variablen!$I$3:$AT$3, 0))),L121)))*(IF((YEAR(D121)+13)&lt;YEAR(E121),0,IF((YEAR(D121)+13)&gt;YEAR(E121),1,(12-MONTH(E121)+1)/12))) + (Q121)*(IF((YEAR(D121)+13)&lt;YEAR(E121),0,IF((YEAR(D121)+13)&gt;YEAR(E121),1,(12-MONTH(E121)+1)/12))))-((P121)*(IF((YEAR(D121)+13)&lt;YEAR(E121),0,IF((YEAR(D121)+13)&gt;YEAR(E121),1,(12-MONTH(E121)+1)/12))) + (R121)*(IF((YEAR(D121)+13)&lt;YEAR(E121),0,IF((YEAR(D121)+13)&gt;YEAR(E121),1,(12-MONTH(E121)+1)/12))))-(IF(OR(N121="",N121&lt;=0),0,(O121/N121)*(IF(OR(N121="",N121&lt;=0),0,IF((YEAR(D121)+13)&lt;YEAR(E121),0,IF((YEAR(D121)+13)&gt;=YEAR(E121)+N121,0,IF((YEAR(D121)+13)=YEAR(E121),(12-MONTH(E121)+1)/12,1))))))))*TaxRate,0))-IF(13=0,O121,0))</f>
        <v/>
      </c>
      <c r="AG121" s="29">
        <f>IF(A121="","",((K121)*(IF(M121="",L121,IFERROR(IF(INDEX(Variablen!$I:$AT, MATCH(M121, Variablen!$A:$A, 0), MATCH((YEAR(D121)+14), Variablen!$I$3:$AT$3, 0))="",L121,INDEX(Variablen!$I:$AT, MATCH(M121, Variablen!$A:$A, 0), MATCH((YEAR(D121)+14), Variablen!$I$3:$AT$3, 0))),L121)))*(IF((YEAR(D121)+14)&lt;YEAR(E121),0,IF((YEAR(D121)+14)&gt;YEAR(E121),1,(12-MONTH(E121)+1)/12))) + (Q121)*(IF((YEAR(D121)+14)&lt;YEAR(E121),0,IF((YEAR(D121)+14)&gt;YEAR(E121),1,(12-MONTH(E121)+1)/12))))-((P121)*(IF((YEAR(D121)+14)&lt;YEAR(E121),0,IF((YEAR(D121)+14)&gt;YEAR(E121),1,(12-MONTH(E121)+1)/12))) + (R121)*(IF((YEAR(D121)+14)&lt;YEAR(E121),0,IF((YEAR(D121)+14)&gt;YEAR(E121),1,(12-MONTH(E121)+1)/12))))-(IF((((K121)*(IF(M121="",L121,IFERROR(IF(INDEX(Variablen!$I:$AT, MATCH(M121, Variablen!$A:$A, 0), MATCH((YEAR(D121)+14), Variablen!$I$3:$AT$3, 0))="",L121,INDEX(Variablen!$I:$AT, MATCH(M121, Variablen!$A:$A, 0), MATCH((YEAR(D121)+14), Variablen!$I$3:$AT$3, 0))),L121)))*(IF((YEAR(D121)+14)&lt;YEAR(E121),0,IF((YEAR(D121)+14)&gt;YEAR(E121),1,(12-MONTH(E121)+1)/12))) + (Q121)*(IF((YEAR(D121)+14)&lt;YEAR(E121),0,IF((YEAR(D121)+14)&gt;YEAR(E121),1,(12-MONTH(E121)+1)/12))))-((P121)*(IF((YEAR(D121)+14)&lt;YEAR(E121),0,IF((YEAR(D121)+14)&gt;YEAR(E121),1,(12-MONTH(E121)+1)/12))) + (R121)*(IF((YEAR(D121)+14)&lt;YEAR(E121),0,IF((YEAR(D121)+14)&gt;YEAR(E121),1,(12-MONTH(E121)+1)/12))))-(IF(OR(N121="",N121&lt;=0),0,(O121/N121)*(IF(OR(N121="",N121&lt;=0),0,IF((YEAR(D121)+14)&lt;YEAR(E121),0,IF((YEAR(D121)+14)&gt;=YEAR(E121)+N121,0,IF((YEAR(D121)+14)=YEAR(E121),(12-MONTH(E121)+1)/12,1))))))))&gt;0,(((K121)*(IF(M121="",L121,IFERROR(IF(INDEX(Variablen!$I:$AT, MATCH(M121, Variablen!$A:$A, 0), MATCH((YEAR(D121)+14), Variablen!$I$3:$AT$3, 0))="",L121,INDEX(Variablen!$I:$AT, MATCH(M121, Variablen!$A:$A, 0), MATCH((YEAR(D121)+14), Variablen!$I$3:$AT$3, 0))),L121)))*(IF((YEAR(D121)+14)&lt;YEAR(E121),0,IF((YEAR(D121)+14)&gt;YEAR(E121),1,(12-MONTH(E121)+1)/12))) + (Q121)*(IF((YEAR(D121)+14)&lt;YEAR(E121),0,IF((YEAR(D121)+14)&gt;YEAR(E121),1,(12-MONTH(E121)+1)/12))))-((P121)*(IF((YEAR(D121)+14)&lt;YEAR(E121),0,IF((YEAR(D121)+14)&gt;YEAR(E121),1,(12-MONTH(E121)+1)/12))) + (R121)*(IF((YEAR(D121)+14)&lt;YEAR(E121),0,IF((YEAR(D121)+14)&gt;YEAR(E121),1,(12-MONTH(E121)+1)/12))))-(IF(OR(N121="",N121&lt;=0),0,(O121/N121)*(IF(OR(N121="",N121&lt;=0),0,IF((YEAR(D121)+14)&lt;YEAR(E121),0,IF((YEAR(D121)+14)&gt;=YEAR(E121)+N121,0,IF((YEAR(D121)+14)=YEAR(E121),(12-MONTH(E121)+1)/12,1))))))))*TaxRate,0))-IF(14=0,O121,0))</f>
        <v/>
      </c>
      <c r="AH121" s="29">
        <f>IF(A121="","",((K121)*(IF(M121="",L121,IFERROR(IF(INDEX(Variablen!$I:$AT, MATCH(M121, Variablen!$A:$A, 0), MATCH((YEAR(D121)+15), Variablen!$I$3:$AT$3, 0))="",L121,INDEX(Variablen!$I:$AT, MATCH(M121, Variablen!$A:$A, 0), MATCH((YEAR(D121)+15), Variablen!$I$3:$AT$3, 0))),L121)))*(IF((YEAR(D121)+15)&lt;YEAR(E121),0,IF((YEAR(D121)+15)&gt;YEAR(E121),1,(12-MONTH(E121)+1)/12))) + (Q121)*(IF((YEAR(D121)+15)&lt;YEAR(E121),0,IF((YEAR(D121)+15)&gt;YEAR(E121),1,(12-MONTH(E121)+1)/12))))-((P121)*(IF((YEAR(D121)+15)&lt;YEAR(E121),0,IF((YEAR(D121)+15)&gt;YEAR(E121),1,(12-MONTH(E121)+1)/12))) + (R121)*(IF((YEAR(D121)+15)&lt;YEAR(E121),0,IF((YEAR(D121)+15)&gt;YEAR(E121),1,(12-MONTH(E121)+1)/12))))-(IF((((K121)*(IF(M121="",L121,IFERROR(IF(INDEX(Variablen!$I:$AT, MATCH(M121, Variablen!$A:$A, 0), MATCH((YEAR(D121)+15), Variablen!$I$3:$AT$3, 0))="",L121,INDEX(Variablen!$I:$AT, MATCH(M121, Variablen!$A:$A, 0), MATCH((YEAR(D121)+15), Variablen!$I$3:$AT$3, 0))),L121)))*(IF((YEAR(D121)+15)&lt;YEAR(E121),0,IF((YEAR(D121)+15)&gt;YEAR(E121),1,(12-MONTH(E121)+1)/12))) + (Q121)*(IF((YEAR(D121)+15)&lt;YEAR(E121),0,IF((YEAR(D121)+15)&gt;YEAR(E121),1,(12-MONTH(E121)+1)/12))))-((P121)*(IF((YEAR(D121)+15)&lt;YEAR(E121),0,IF((YEAR(D121)+15)&gt;YEAR(E121),1,(12-MONTH(E121)+1)/12))) + (R121)*(IF((YEAR(D121)+15)&lt;YEAR(E121),0,IF((YEAR(D121)+15)&gt;YEAR(E121),1,(12-MONTH(E121)+1)/12))))-(IF(OR(N121="",N121&lt;=0),0,(O121/N121)*(IF(OR(N121="",N121&lt;=0),0,IF((YEAR(D121)+15)&lt;YEAR(E121),0,IF((YEAR(D121)+15)&gt;=YEAR(E121)+N121,0,IF((YEAR(D121)+15)=YEAR(E121),(12-MONTH(E121)+1)/12,1))))))))&gt;0,(((K121)*(IF(M121="",L121,IFERROR(IF(INDEX(Variablen!$I:$AT, MATCH(M121, Variablen!$A:$A, 0), MATCH((YEAR(D121)+15), Variablen!$I$3:$AT$3, 0))="",L121,INDEX(Variablen!$I:$AT, MATCH(M121, Variablen!$A:$A, 0), MATCH((YEAR(D121)+15), Variablen!$I$3:$AT$3, 0))),L121)))*(IF((YEAR(D121)+15)&lt;YEAR(E121),0,IF((YEAR(D121)+15)&gt;YEAR(E121),1,(12-MONTH(E121)+1)/12))) + (Q121)*(IF((YEAR(D121)+15)&lt;YEAR(E121),0,IF((YEAR(D121)+15)&gt;YEAR(E121),1,(12-MONTH(E121)+1)/12))))-((P121)*(IF((YEAR(D121)+15)&lt;YEAR(E121),0,IF((YEAR(D121)+15)&gt;YEAR(E121),1,(12-MONTH(E121)+1)/12))) + (R121)*(IF((YEAR(D121)+15)&lt;YEAR(E121),0,IF((YEAR(D121)+15)&gt;YEAR(E121),1,(12-MONTH(E121)+1)/12))))-(IF(OR(N121="",N121&lt;=0),0,(O121/N121)*(IF(OR(N121="",N121&lt;=0),0,IF((YEAR(D121)+15)&lt;YEAR(E121),0,IF((YEAR(D121)+15)&gt;=YEAR(E121)+N121,0,IF((YEAR(D121)+15)=YEAR(E121),(12-MONTH(E121)+1)/12,1))))))))*TaxRate,0))-IF(15=0,O121,0))</f>
        <v/>
      </c>
      <c r="AI121" s="29">
        <f>IF(A121="","",((K121)*(IF(M121="",L121,IFERROR(IF(INDEX(Variablen!$I:$AT, MATCH(M121, Variablen!$A:$A, 0), MATCH((YEAR(D121)+16), Variablen!$I$3:$AT$3, 0))="",L121,INDEX(Variablen!$I:$AT, MATCH(M121, Variablen!$A:$A, 0), MATCH((YEAR(D121)+16), Variablen!$I$3:$AT$3, 0))),L121)))*(IF((YEAR(D121)+16)&lt;YEAR(E121),0,IF((YEAR(D121)+16)&gt;YEAR(E121),1,(12-MONTH(E121)+1)/12))) + (Q121)*(IF((YEAR(D121)+16)&lt;YEAR(E121),0,IF((YEAR(D121)+16)&gt;YEAR(E121),1,(12-MONTH(E121)+1)/12))))-((P121)*(IF((YEAR(D121)+16)&lt;YEAR(E121),0,IF((YEAR(D121)+16)&gt;YEAR(E121),1,(12-MONTH(E121)+1)/12))) + (R121)*(IF((YEAR(D121)+16)&lt;YEAR(E121),0,IF((YEAR(D121)+16)&gt;YEAR(E121),1,(12-MONTH(E121)+1)/12))))-(IF((((K121)*(IF(M121="",L121,IFERROR(IF(INDEX(Variablen!$I:$AT, MATCH(M121, Variablen!$A:$A, 0), MATCH((YEAR(D121)+16), Variablen!$I$3:$AT$3, 0))="",L121,INDEX(Variablen!$I:$AT, MATCH(M121, Variablen!$A:$A, 0), MATCH((YEAR(D121)+16), Variablen!$I$3:$AT$3, 0))),L121)))*(IF((YEAR(D121)+16)&lt;YEAR(E121),0,IF((YEAR(D121)+16)&gt;YEAR(E121),1,(12-MONTH(E121)+1)/12))) + (Q121)*(IF((YEAR(D121)+16)&lt;YEAR(E121),0,IF((YEAR(D121)+16)&gt;YEAR(E121),1,(12-MONTH(E121)+1)/12))))-((P121)*(IF((YEAR(D121)+16)&lt;YEAR(E121),0,IF((YEAR(D121)+16)&gt;YEAR(E121),1,(12-MONTH(E121)+1)/12))) + (R121)*(IF((YEAR(D121)+16)&lt;YEAR(E121),0,IF((YEAR(D121)+16)&gt;YEAR(E121),1,(12-MONTH(E121)+1)/12))))-(IF(OR(N121="",N121&lt;=0),0,(O121/N121)*(IF(OR(N121="",N121&lt;=0),0,IF((YEAR(D121)+16)&lt;YEAR(E121),0,IF((YEAR(D121)+16)&gt;=YEAR(E121)+N121,0,IF((YEAR(D121)+16)=YEAR(E121),(12-MONTH(E121)+1)/12,1))))))))&gt;0,(((K121)*(IF(M121="",L121,IFERROR(IF(INDEX(Variablen!$I:$AT, MATCH(M121, Variablen!$A:$A, 0), MATCH((YEAR(D121)+16), Variablen!$I$3:$AT$3, 0))="",L121,INDEX(Variablen!$I:$AT, MATCH(M121, Variablen!$A:$A, 0), MATCH((YEAR(D121)+16), Variablen!$I$3:$AT$3, 0))),L121)))*(IF((YEAR(D121)+16)&lt;YEAR(E121),0,IF((YEAR(D121)+16)&gt;YEAR(E121),1,(12-MONTH(E121)+1)/12))) + (Q121)*(IF((YEAR(D121)+16)&lt;YEAR(E121),0,IF((YEAR(D121)+16)&gt;YEAR(E121),1,(12-MONTH(E121)+1)/12))))-((P121)*(IF((YEAR(D121)+16)&lt;YEAR(E121),0,IF((YEAR(D121)+16)&gt;YEAR(E121),1,(12-MONTH(E121)+1)/12))) + (R121)*(IF((YEAR(D121)+16)&lt;YEAR(E121),0,IF((YEAR(D121)+16)&gt;YEAR(E121),1,(12-MONTH(E121)+1)/12))))-(IF(OR(N121="",N121&lt;=0),0,(O121/N121)*(IF(OR(N121="",N121&lt;=0),0,IF((YEAR(D121)+16)&lt;YEAR(E121),0,IF((YEAR(D121)+16)&gt;=YEAR(E121)+N121,0,IF((YEAR(D121)+16)=YEAR(E121),(12-MONTH(E121)+1)/12,1))))))))*TaxRate,0))-IF(16=0,O121,0))</f>
        <v/>
      </c>
      <c r="AJ121" s="29">
        <f>IF(A121="","",((K121)*(IF(M121="",L121,IFERROR(IF(INDEX(Variablen!$I:$AT, MATCH(M121, Variablen!$A:$A, 0), MATCH((YEAR(D121)+17), Variablen!$I$3:$AT$3, 0))="",L121,INDEX(Variablen!$I:$AT, MATCH(M121, Variablen!$A:$A, 0), MATCH((YEAR(D121)+17), Variablen!$I$3:$AT$3, 0))),L121)))*(IF((YEAR(D121)+17)&lt;YEAR(E121),0,IF((YEAR(D121)+17)&gt;YEAR(E121),1,(12-MONTH(E121)+1)/12))) + (Q121)*(IF((YEAR(D121)+17)&lt;YEAR(E121),0,IF((YEAR(D121)+17)&gt;YEAR(E121),1,(12-MONTH(E121)+1)/12))))-((P121)*(IF((YEAR(D121)+17)&lt;YEAR(E121),0,IF((YEAR(D121)+17)&gt;YEAR(E121),1,(12-MONTH(E121)+1)/12))) + (R121)*(IF((YEAR(D121)+17)&lt;YEAR(E121),0,IF((YEAR(D121)+17)&gt;YEAR(E121),1,(12-MONTH(E121)+1)/12))))-(IF((((K121)*(IF(M121="",L121,IFERROR(IF(INDEX(Variablen!$I:$AT, MATCH(M121, Variablen!$A:$A, 0), MATCH((YEAR(D121)+17), Variablen!$I$3:$AT$3, 0))="",L121,INDEX(Variablen!$I:$AT, MATCH(M121, Variablen!$A:$A, 0), MATCH((YEAR(D121)+17), Variablen!$I$3:$AT$3, 0))),L121)))*(IF((YEAR(D121)+17)&lt;YEAR(E121),0,IF((YEAR(D121)+17)&gt;YEAR(E121),1,(12-MONTH(E121)+1)/12))) + (Q121)*(IF((YEAR(D121)+17)&lt;YEAR(E121),0,IF((YEAR(D121)+17)&gt;YEAR(E121),1,(12-MONTH(E121)+1)/12))))-((P121)*(IF((YEAR(D121)+17)&lt;YEAR(E121),0,IF((YEAR(D121)+17)&gt;YEAR(E121),1,(12-MONTH(E121)+1)/12))) + (R121)*(IF((YEAR(D121)+17)&lt;YEAR(E121),0,IF((YEAR(D121)+17)&gt;YEAR(E121),1,(12-MONTH(E121)+1)/12))))-(IF(OR(N121="",N121&lt;=0),0,(O121/N121)*(IF(OR(N121="",N121&lt;=0),0,IF((YEAR(D121)+17)&lt;YEAR(E121),0,IF((YEAR(D121)+17)&gt;=YEAR(E121)+N121,0,IF((YEAR(D121)+17)=YEAR(E121),(12-MONTH(E121)+1)/12,1))))))))&gt;0,(((K121)*(IF(M121="",L121,IFERROR(IF(INDEX(Variablen!$I:$AT, MATCH(M121, Variablen!$A:$A, 0), MATCH((YEAR(D121)+17), Variablen!$I$3:$AT$3, 0))="",L121,INDEX(Variablen!$I:$AT, MATCH(M121, Variablen!$A:$A, 0), MATCH((YEAR(D121)+17), Variablen!$I$3:$AT$3, 0))),L121)))*(IF((YEAR(D121)+17)&lt;YEAR(E121),0,IF((YEAR(D121)+17)&gt;YEAR(E121),1,(12-MONTH(E121)+1)/12))) + (Q121)*(IF((YEAR(D121)+17)&lt;YEAR(E121),0,IF((YEAR(D121)+17)&gt;YEAR(E121),1,(12-MONTH(E121)+1)/12))))-((P121)*(IF((YEAR(D121)+17)&lt;YEAR(E121),0,IF((YEAR(D121)+17)&gt;YEAR(E121),1,(12-MONTH(E121)+1)/12))) + (R121)*(IF((YEAR(D121)+17)&lt;YEAR(E121),0,IF((YEAR(D121)+17)&gt;YEAR(E121),1,(12-MONTH(E121)+1)/12))))-(IF(OR(N121="",N121&lt;=0),0,(O121/N121)*(IF(OR(N121="",N121&lt;=0),0,IF((YEAR(D121)+17)&lt;YEAR(E121),0,IF((YEAR(D121)+17)&gt;=YEAR(E121)+N121,0,IF((YEAR(D121)+17)=YEAR(E121),(12-MONTH(E121)+1)/12,1))))))))*TaxRate,0))-IF(17=0,O121,0))</f>
        <v/>
      </c>
      <c r="AK121" s="29">
        <f>IF(A121="","",((K121)*(IF(M121="",L121,IFERROR(IF(INDEX(Variablen!$I:$AT, MATCH(M121, Variablen!$A:$A, 0), MATCH((YEAR(D121)+18), Variablen!$I$3:$AT$3, 0))="",L121,INDEX(Variablen!$I:$AT, MATCH(M121, Variablen!$A:$A, 0), MATCH((YEAR(D121)+18), Variablen!$I$3:$AT$3, 0))),L121)))*(IF((YEAR(D121)+18)&lt;YEAR(E121),0,IF((YEAR(D121)+18)&gt;YEAR(E121),1,(12-MONTH(E121)+1)/12))) + (Q121)*(IF((YEAR(D121)+18)&lt;YEAR(E121),0,IF((YEAR(D121)+18)&gt;YEAR(E121),1,(12-MONTH(E121)+1)/12))))-((P121)*(IF((YEAR(D121)+18)&lt;YEAR(E121),0,IF((YEAR(D121)+18)&gt;YEAR(E121),1,(12-MONTH(E121)+1)/12))) + (R121)*(IF((YEAR(D121)+18)&lt;YEAR(E121),0,IF((YEAR(D121)+18)&gt;YEAR(E121),1,(12-MONTH(E121)+1)/12))))-(IF((((K121)*(IF(M121="",L121,IFERROR(IF(INDEX(Variablen!$I:$AT, MATCH(M121, Variablen!$A:$A, 0), MATCH((YEAR(D121)+18), Variablen!$I$3:$AT$3, 0))="",L121,INDEX(Variablen!$I:$AT, MATCH(M121, Variablen!$A:$A, 0), MATCH((YEAR(D121)+18), Variablen!$I$3:$AT$3, 0))),L121)))*(IF((YEAR(D121)+18)&lt;YEAR(E121),0,IF((YEAR(D121)+18)&gt;YEAR(E121),1,(12-MONTH(E121)+1)/12))) + (Q121)*(IF((YEAR(D121)+18)&lt;YEAR(E121),0,IF((YEAR(D121)+18)&gt;YEAR(E121),1,(12-MONTH(E121)+1)/12))))-((P121)*(IF((YEAR(D121)+18)&lt;YEAR(E121),0,IF((YEAR(D121)+18)&gt;YEAR(E121),1,(12-MONTH(E121)+1)/12))) + (R121)*(IF((YEAR(D121)+18)&lt;YEAR(E121),0,IF((YEAR(D121)+18)&gt;YEAR(E121),1,(12-MONTH(E121)+1)/12))))-(IF(OR(N121="",N121&lt;=0),0,(O121/N121)*(IF(OR(N121="",N121&lt;=0),0,IF((YEAR(D121)+18)&lt;YEAR(E121),0,IF((YEAR(D121)+18)&gt;=YEAR(E121)+N121,0,IF((YEAR(D121)+18)=YEAR(E121),(12-MONTH(E121)+1)/12,1))))))))&gt;0,(((K121)*(IF(M121="",L121,IFERROR(IF(INDEX(Variablen!$I:$AT, MATCH(M121, Variablen!$A:$A, 0), MATCH((YEAR(D121)+18), Variablen!$I$3:$AT$3, 0))="",L121,INDEX(Variablen!$I:$AT, MATCH(M121, Variablen!$A:$A, 0), MATCH((YEAR(D121)+18), Variablen!$I$3:$AT$3, 0))),L121)))*(IF((YEAR(D121)+18)&lt;YEAR(E121),0,IF((YEAR(D121)+18)&gt;YEAR(E121),1,(12-MONTH(E121)+1)/12))) + (Q121)*(IF((YEAR(D121)+18)&lt;YEAR(E121),0,IF((YEAR(D121)+18)&gt;YEAR(E121),1,(12-MONTH(E121)+1)/12))))-((P121)*(IF((YEAR(D121)+18)&lt;YEAR(E121),0,IF((YEAR(D121)+18)&gt;YEAR(E121),1,(12-MONTH(E121)+1)/12))) + (R121)*(IF((YEAR(D121)+18)&lt;YEAR(E121),0,IF((YEAR(D121)+18)&gt;YEAR(E121),1,(12-MONTH(E121)+1)/12))))-(IF(OR(N121="",N121&lt;=0),0,(O121/N121)*(IF(OR(N121="",N121&lt;=0),0,IF((YEAR(D121)+18)&lt;YEAR(E121),0,IF((YEAR(D121)+18)&gt;=YEAR(E121)+N121,0,IF((YEAR(D121)+18)=YEAR(E121),(12-MONTH(E121)+1)/12,1))))))))*TaxRate,0))-IF(18=0,O121,0))</f>
        <v/>
      </c>
      <c r="AL121" s="29">
        <f>IF(A121="","",((K121)*(IF(M121="",L121,IFERROR(IF(INDEX(Variablen!$I:$AT, MATCH(M121, Variablen!$A:$A, 0), MATCH((YEAR(D121)+19), Variablen!$I$3:$AT$3, 0))="",L121,INDEX(Variablen!$I:$AT, MATCH(M121, Variablen!$A:$A, 0), MATCH((YEAR(D121)+19), Variablen!$I$3:$AT$3, 0))),L121)))*(IF((YEAR(D121)+19)&lt;YEAR(E121),0,IF((YEAR(D121)+19)&gt;YEAR(E121),1,(12-MONTH(E121)+1)/12))) + (Q121)*(IF((YEAR(D121)+19)&lt;YEAR(E121),0,IF((YEAR(D121)+19)&gt;YEAR(E121),1,(12-MONTH(E121)+1)/12))))-((P121)*(IF((YEAR(D121)+19)&lt;YEAR(E121),0,IF((YEAR(D121)+19)&gt;YEAR(E121),1,(12-MONTH(E121)+1)/12))) + (R121)*(IF((YEAR(D121)+19)&lt;YEAR(E121),0,IF((YEAR(D121)+19)&gt;YEAR(E121),1,(12-MONTH(E121)+1)/12))))-(IF((((K121)*(IF(M121="",L121,IFERROR(IF(INDEX(Variablen!$I:$AT, MATCH(M121, Variablen!$A:$A, 0), MATCH((YEAR(D121)+19), Variablen!$I$3:$AT$3, 0))="",L121,INDEX(Variablen!$I:$AT, MATCH(M121, Variablen!$A:$A, 0), MATCH((YEAR(D121)+19), Variablen!$I$3:$AT$3, 0))),L121)))*(IF((YEAR(D121)+19)&lt;YEAR(E121),0,IF((YEAR(D121)+19)&gt;YEAR(E121),1,(12-MONTH(E121)+1)/12))) + (Q121)*(IF((YEAR(D121)+19)&lt;YEAR(E121),0,IF((YEAR(D121)+19)&gt;YEAR(E121),1,(12-MONTH(E121)+1)/12))))-((P121)*(IF((YEAR(D121)+19)&lt;YEAR(E121),0,IF((YEAR(D121)+19)&gt;YEAR(E121),1,(12-MONTH(E121)+1)/12))) + (R121)*(IF((YEAR(D121)+19)&lt;YEAR(E121),0,IF((YEAR(D121)+19)&gt;YEAR(E121),1,(12-MONTH(E121)+1)/12))))-(IF(OR(N121="",N121&lt;=0),0,(O121/N121)*(IF(OR(N121="",N121&lt;=0),0,IF((YEAR(D121)+19)&lt;YEAR(E121),0,IF((YEAR(D121)+19)&gt;=YEAR(E121)+N121,0,IF((YEAR(D121)+19)=YEAR(E121),(12-MONTH(E121)+1)/12,1))))))))&gt;0,(((K121)*(IF(M121="",L121,IFERROR(IF(INDEX(Variablen!$I:$AT, MATCH(M121, Variablen!$A:$A, 0), MATCH((YEAR(D121)+19), Variablen!$I$3:$AT$3, 0))="",L121,INDEX(Variablen!$I:$AT, MATCH(M121, Variablen!$A:$A, 0), MATCH((YEAR(D121)+19), Variablen!$I$3:$AT$3, 0))),L121)))*(IF((YEAR(D121)+19)&lt;YEAR(E121),0,IF((YEAR(D121)+19)&gt;YEAR(E121),1,(12-MONTH(E121)+1)/12))) + (Q121)*(IF((YEAR(D121)+19)&lt;YEAR(E121),0,IF((YEAR(D121)+19)&gt;YEAR(E121),1,(12-MONTH(E121)+1)/12))))-((P121)*(IF((YEAR(D121)+19)&lt;YEAR(E121),0,IF((YEAR(D121)+19)&gt;YEAR(E121),1,(12-MONTH(E121)+1)/12))) + (R121)*(IF((YEAR(D121)+19)&lt;YEAR(E121),0,IF((YEAR(D121)+19)&gt;YEAR(E121),1,(12-MONTH(E121)+1)/12))))-(IF(OR(N121="",N121&lt;=0),0,(O121/N121)*(IF(OR(N121="",N121&lt;=0),0,IF((YEAR(D121)+19)&lt;YEAR(E121),0,IF((YEAR(D121)+19)&gt;=YEAR(E121)+N121,0,IF((YEAR(D121)+19)=YEAR(E121),(12-MONTH(E121)+1)/12,1))))))))*TaxRate,0))-IF(19=0,O121,0))</f>
        <v/>
      </c>
      <c r="AM121" s="29">
        <f>IF(A121="","",((K121)*(IF(M121="",L121,IFERROR(IF(INDEX(Variablen!$I:$AT, MATCH(M121, Variablen!$A:$A, 0), MATCH((YEAR(D121)+20), Variablen!$I$3:$AT$3, 0))="",L121,INDEX(Variablen!$I:$AT, MATCH(M121, Variablen!$A:$A, 0), MATCH((YEAR(D121)+20), Variablen!$I$3:$AT$3, 0))),L121)))*(IF((YEAR(D121)+20)&lt;YEAR(E121),0,IF((YEAR(D121)+20)&gt;YEAR(E121),1,(12-MONTH(E121)+1)/12))) + (Q121)*(IF((YEAR(D121)+20)&lt;YEAR(E121),0,IF((YEAR(D121)+20)&gt;YEAR(E121),1,(12-MONTH(E121)+1)/12))))-((P121)*(IF((YEAR(D121)+20)&lt;YEAR(E121),0,IF((YEAR(D121)+20)&gt;YEAR(E121),1,(12-MONTH(E121)+1)/12))) + (R121)*(IF((YEAR(D121)+20)&lt;YEAR(E121),0,IF((YEAR(D121)+20)&gt;YEAR(E121),1,(12-MONTH(E121)+1)/12))))-(IF((((K121)*(IF(M121="",L121,IFERROR(IF(INDEX(Variablen!$I:$AT, MATCH(M121, Variablen!$A:$A, 0), MATCH((YEAR(D121)+20), Variablen!$I$3:$AT$3, 0))="",L121,INDEX(Variablen!$I:$AT, MATCH(M121, Variablen!$A:$A, 0), MATCH((YEAR(D121)+20), Variablen!$I$3:$AT$3, 0))),L121)))*(IF((YEAR(D121)+20)&lt;YEAR(E121),0,IF((YEAR(D121)+20)&gt;YEAR(E121),1,(12-MONTH(E121)+1)/12))) + (Q121)*(IF((YEAR(D121)+20)&lt;YEAR(E121),0,IF((YEAR(D121)+20)&gt;YEAR(E121),1,(12-MONTH(E121)+1)/12))))-((P121)*(IF((YEAR(D121)+20)&lt;YEAR(E121),0,IF((YEAR(D121)+20)&gt;YEAR(E121),1,(12-MONTH(E121)+1)/12))) + (R121)*(IF((YEAR(D121)+20)&lt;YEAR(E121),0,IF((YEAR(D121)+20)&gt;YEAR(E121),1,(12-MONTH(E121)+1)/12))))-(IF(OR(N121="",N121&lt;=0),0,(O121/N121)*(IF(OR(N121="",N121&lt;=0),0,IF((YEAR(D121)+20)&lt;YEAR(E121),0,IF((YEAR(D121)+20)&gt;=YEAR(E121)+N121,0,IF((YEAR(D121)+20)=YEAR(E121),(12-MONTH(E121)+1)/12,1))))))))&gt;0,(((K121)*(IF(M121="",L121,IFERROR(IF(INDEX(Variablen!$I:$AT, MATCH(M121, Variablen!$A:$A, 0), MATCH((YEAR(D121)+20), Variablen!$I$3:$AT$3, 0))="",L121,INDEX(Variablen!$I:$AT, MATCH(M121, Variablen!$A:$A, 0), MATCH((YEAR(D121)+20), Variablen!$I$3:$AT$3, 0))),L121)))*(IF((YEAR(D121)+20)&lt;YEAR(E121),0,IF((YEAR(D121)+20)&gt;YEAR(E121),1,(12-MONTH(E121)+1)/12))) + (Q121)*(IF((YEAR(D121)+20)&lt;YEAR(E121),0,IF((YEAR(D121)+20)&gt;YEAR(E121),1,(12-MONTH(E121)+1)/12))))-((P121)*(IF((YEAR(D121)+20)&lt;YEAR(E121),0,IF((YEAR(D121)+20)&gt;YEAR(E121),1,(12-MONTH(E121)+1)/12))) + (R121)*(IF((YEAR(D121)+20)&lt;YEAR(E121),0,IF((YEAR(D121)+20)&gt;YEAR(E121),1,(12-MONTH(E121)+1)/12))))-(IF(OR(N121="",N121&lt;=0),0,(O121/N121)*(IF(OR(N121="",N121&lt;=0),0,IF((YEAR(D121)+20)&lt;YEAR(E121),0,IF((YEAR(D121)+20)&gt;=YEAR(E121)+N121,0,IF((YEAR(D121)+20)=YEAR(E121),(12-MONTH(E121)+1)/12,1))))))))*TaxRate,0))-IF(20=0,O121,0))</f>
        <v/>
      </c>
      <c r="AN121" s="29">
        <f>IF(A121="","",S121)</f>
        <v/>
      </c>
      <c r="AO121" s="29">
        <f>IF(A121="","",AN121+T121)</f>
        <v/>
      </c>
      <c r="AP121" s="29">
        <f>IF(A121="","",AO121+U121)</f>
        <v/>
      </c>
      <c r="AQ121" s="29">
        <f>IF(A121="","",AP121+V121)</f>
        <v/>
      </c>
      <c r="AR121" s="29">
        <f>IF(A121="","",AQ121+W121)</f>
        <v/>
      </c>
      <c r="AS121" s="29">
        <f>IF(A121="","",AR121+X121)</f>
        <v/>
      </c>
      <c r="AT121" s="29">
        <f>IF(A121="","",AS121+Y121)</f>
        <v/>
      </c>
      <c r="AU121" s="29">
        <f>IF(A121="","",AT121+Z121)</f>
        <v/>
      </c>
      <c r="AV121" s="29">
        <f>IF(A121="","",AU121+AA121)</f>
        <v/>
      </c>
      <c r="AW121" s="29">
        <f>IF(A121="","",AV121+AB121)</f>
        <v/>
      </c>
      <c r="AX121" s="29">
        <f>IF(A121="","",AW121+AC121)</f>
        <v/>
      </c>
      <c r="AY121" s="29">
        <f>IF(A121="","",AX121+AD121)</f>
        <v/>
      </c>
      <c r="AZ121" s="29">
        <f>IF(A121="","",AY121+AE121)</f>
        <v/>
      </c>
      <c r="BA121" s="29">
        <f>IF(A121="","",AZ121+AF121)</f>
        <v/>
      </c>
      <c r="BB121" s="29">
        <f>IF(A121="","",BA121+AG121)</f>
        <v/>
      </c>
      <c r="BC121" s="29">
        <f>IF(A121="","",BB121+AH121)</f>
        <v/>
      </c>
      <c r="BD121" s="29">
        <f>IF(A121="","",BC121+AI121)</f>
        <v/>
      </c>
      <c r="BE121" s="29">
        <f>IF(A121="","",BD121+AJ121)</f>
        <v/>
      </c>
      <c r="BF121" s="29">
        <f>IF(A121="","",BE121+AK121)</f>
        <v/>
      </c>
      <c r="BG121" s="29">
        <f>IF(A121="","",BF121+AL121)</f>
        <v/>
      </c>
      <c r="BH121" s="29">
        <f>IF(A121="","",BG121+AM121)</f>
        <v/>
      </c>
      <c r="BI121" s="36">
        <f>IF(A121="","",(K121)*(IF((YEAR(D121)+0)&lt;YEAR(E121),0,IF((YEAR(D121)+0)&gt;YEAR(E121),1,(12-MONTH(E121)+1)/12)))*(1/(1+DiscountRate)^0))</f>
        <v/>
      </c>
      <c r="BJ121" s="36">
        <f>IF(A121="","",(K121)*(IF((YEAR(D121)+1)&lt;YEAR(E121),0,IF((YEAR(D121)+1)&gt;YEAR(E121),1,(12-MONTH(E121)+1)/12)))*(1/(1+DiscountRate)^1))</f>
        <v/>
      </c>
      <c r="BK121" s="36">
        <f>IF(A121="","",(K121)*(IF((YEAR(D121)+2)&lt;YEAR(E121),0,IF((YEAR(D121)+2)&gt;YEAR(E121),1,(12-MONTH(E121)+1)/12)))*(1/(1+DiscountRate)^2))</f>
        <v/>
      </c>
      <c r="BL121" s="36">
        <f>IF(A121="","",(K121)*(IF((YEAR(D121)+3)&lt;YEAR(E121),0,IF((YEAR(D121)+3)&gt;YEAR(E121),1,(12-MONTH(E121)+1)/12)))*(1/(1+DiscountRate)^3))</f>
        <v/>
      </c>
      <c r="BM121" s="36">
        <f>IF(A121="","",(K121)*(IF((YEAR(D121)+4)&lt;YEAR(E121),0,IF((YEAR(D121)+4)&gt;YEAR(E121),1,(12-MONTH(E121)+1)/12)))*(1/(1+DiscountRate)^4))</f>
        <v/>
      </c>
      <c r="BN121" s="36">
        <f>IF(A121="","",(K121)*(IF((YEAR(D121)+5)&lt;YEAR(E121),0,IF((YEAR(D121)+5)&gt;YEAR(E121),1,(12-MONTH(E121)+1)/12)))*(1/(1+DiscountRate)^5))</f>
        <v/>
      </c>
      <c r="BO121" s="36">
        <f>IF(A121="","",(K121)*(IF((YEAR(D121)+6)&lt;YEAR(E121),0,IF((YEAR(D121)+6)&gt;YEAR(E121),1,(12-MONTH(E121)+1)/12)))*(1/(1+DiscountRate)^6))</f>
        <v/>
      </c>
      <c r="BP121" s="36">
        <f>IF(A121="","",(K121)*(IF((YEAR(D121)+7)&lt;YEAR(E121),0,IF((YEAR(D121)+7)&gt;YEAR(E121),1,(12-MONTH(E121)+1)/12)))*(1/(1+DiscountRate)^7))</f>
        <v/>
      </c>
      <c r="BQ121" s="36">
        <f>IF(A121="","",(K121)*(IF((YEAR(D121)+8)&lt;YEAR(E121),0,IF((YEAR(D121)+8)&gt;YEAR(E121),1,(12-MONTH(E121)+1)/12)))*(1/(1+DiscountRate)^8))</f>
        <v/>
      </c>
      <c r="BR121" s="36">
        <f>IF(A121="","",(K121)*(IF((YEAR(D121)+9)&lt;YEAR(E121),0,IF((YEAR(D121)+9)&gt;YEAR(E121),1,(12-MONTH(E121)+1)/12)))*(1/(1+DiscountRate)^9))</f>
        <v/>
      </c>
      <c r="BS121" s="36">
        <f>IF(A121="","",(K121)*(IF((YEAR(D121)+10)&lt;YEAR(E121),0,IF((YEAR(D121)+10)&gt;YEAR(E121),1,(12-MONTH(E121)+1)/12)))*(1/(1+DiscountRate)^10))</f>
        <v/>
      </c>
      <c r="BT121" s="36">
        <f>IF(A121="","",(K121)*(IF((YEAR(D121)+11)&lt;YEAR(E121),0,IF((YEAR(D121)+11)&gt;YEAR(E121),1,(12-MONTH(E121)+1)/12)))*(1/(1+DiscountRate)^11))</f>
        <v/>
      </c>
      <c r="BU121" s="36">
        <f>IF(A121="","",(K121)*(IF((YEAR(D121)+12)&lt;YEAR(E121),0,IF((YEAR(D121)+12)&gt;YEAR(E121),1,(12-MONTH(E121)+1)/12)))*(1/(1+DiscountRate)^12))</f>
        <v/>
      </c>
      <c r="BV121" s="36">
        <f>IF(A121="","",(K121)*(IF((YEAR(D121)+13)&lt;YEAR(E121),0,IF((YEAR(D121)+13)&gt;YEAR(E121),1,(12-MONTH(E121)+1)/12)))*(1/(1+DiscountRate)^13))</f>
        <v/>
      </c>
      <c r="BW121" s="36">
        <f>IF(A121="","",(K121)*(IF((YEAR(D121)+14)&lt;YEAR(E121),0,IF((YEAR(D121)+14)&gt;YEAR(E121),1,(12-MONTH(E121)+1)/12)))*(1/(1+DiscountRate)^14))</f>
        <v/>
      </c>
      <c r="BX121" s="36">
        <f>IF(A121="","",(K121)*(IF((YEAR(D121)+15)&lt;YEAR(E121),0,IF((YEAR(D121)+15)&gt;YEAR(E121),1,(12-MONTH(E121)+1)/12)))*(1/(1+DiscountRate)^15))</f>
        <v/>
      </c>
      <c r="BY121" s="36">
        <f>IF(A121="","",(K121)*(IF((YEAR(D121)+16)&lt;YEAR(E121),0,IF((YEAR(D121)+16)&gt;YEAR(E121),1,(12-MONTH(E121)+1)/12)))*(1/(1+DiscountRate)^16))</f>
        <v/>
      </c>
      <c r="BZ121" s="36">
        <f>IF(A121="","",(K121)*(IF((YEAR(D121)+17)&lt;YEAR(E121),0,IF((YEAR(D121)+17)&gt;YEAR(E121),1,(12-MONTH(E121)+1)/12)))*(1/(1+DiscountRate)^17))</f>
        <v/>
      </c>
      <c r="CA121" s="36">
        <f>IF(A121="","",(K121)*(IF((YEAR(D121)+18)&lt;YEAR(E121),0,IF((YEAR(D121)+18)&gt;YEAR(E121),1,(12-MONTH(E121)+1)/12)))*(1/(1+DiscountRate)^18))</f>
        <v/>
      </c>
      <c r="CB121" s="36">
        <f>IF(A121="","",(K121)*(IF((YEAR(D121)+19)&lt;YEAR(E121),0,IF((YEAR(D121)+19)&gt;YEAR(E121),1,(12-MONTH(E121)+1)/12)))*(1/(1+DiscountRate)^19))</f>
        <v/>
      </c>
      <c r="CC121" s="36">
        <f>IF(A121="","",(K121)*(IF((YEAR(D121)+20)&lt;YEAR(E121),0,IF((YEAR(D121)+20)&gt;YEAR(E121),1,(12-MONTH(E121)+1)/12)))*(1/(1+DiscountRate)^20))</f>
        <v/>
      </c>
      <c r="CD121" s="29">
        <f>IF(A121="","",S121/(1+DiscountRate)^0+T121/(1+DiscountRate)^1+U121/(1+DiscountRate)^2+V121/(1+DiscountRate)^3+W121/(1+DiscountRate)^4+X121/(1+DiscountRate)^5+Y121/(1+DiscountRate)^6+Z121/(1+DiscountRate)^7+AA121/(1+DiscountRate)^8+AB121/(1+DiscountRate)^9+AC121/(1+DiscountRate)^10+AD121/(1+DiscountRate)^11+AE121/(1+DiscountRate)^12+AF121/(1+DiscountRate)^13+AG121/(1+DiscountRate)^14+AH121/(1+DiscountRate)^15+AI121/(1+DiscountRate)^16+AJ121/(1+DiscountRate)^17+AK121/(1+DiscountRate)^18+AL121/(1+DiscountRate)^19+AM121/(1+DiscountRate)^20)</f>
        <v/>
      </c>
      <c r="CE121" s="37">
        <f>IF(A121="","",IFERROR(IRR(OFFSET(S121,0,0,1,MIN(HorizonYears,20)+1)),"n/a"))</f>
        <v/>
      </c>
      <c r="CF121" s="28">
        <f>IF(A121="","",IFERROR(MATCH(TRUE,OFFSET(AN121,0,0,1,MIN(HorizonYears,20)+1)&gt;=0,0)-1,"n/a"))</f>
        <v/>
      </c>
      <c r="CG121" s="36">
        <f>IF(A121="","",SUM(OFFSET(BI121,0,0,1,MIN(HorizonYears,20)+1)))</f>
        <v/>
      </c>
      <c r="CH121" s="36">
        <f>IF(A121="","",IFERROR(-CD121/CG121,"n/a"))</f>
        <v/>
      </c>
    </row>
    <row r="122">
      <c r="A122" s="6">
        <f>Actions!A120</f>
        <v/>
      </c>
      <c r="B122" s="6">
        <f>Actions!B120</f>
        <v/>
      </c>
      <c r="C122" s="6">
        <f>Actions!D120</f>
        <v/>
      </c>
      <c r="D122" s="35">
        <f>Actions!E120</f>
        <v/>
      </c>
      <c r="E122" s="35">
        <f>Actions!F120</f>
        <v/>
      </c>
      <c r="F122" s="6">
        <f>Actions!G120</f>
        <v/>
      </c>
      <c r="G122" s="6">
        <f>Actions!H120</f>
        <v/>
      </c>
      <c r="H122" s="29">
        <f>Actions!I120</f>
        <v/>
      </c>
      <c r="I122" s="6">
        <f>Actions!J120</f>
        <v/>
      </c>
      <c r="J122" s="16">
        <f>Actions!K120</f>
        <v/>
      </c>
      <c r="K122" s="16">
        <f>IF(A122="","",IF(I122="%",H122*J122,J122))</f>
        <v/>
      </c>
      <c r="L122" s="16">
        <f>Actions!L120</f>
        <v/>
      </c>
      <c r="M122" s="6">
        <f>Actions!M120</f>
        <v/>
      </c>
      <c r="N122" s="28">
        <f>Actions!N120</f>
        <v/>
      </c>
      <c r="O122" s="29">
        <f>Actions!T120</f>
        <v/>
      </c>
      <c r="P122" s="29">
        <f>Actions!Y120</f>
        <v/>
      </c>
      <c r="Q122" s="29">
        <f>Actions!Z120</f>
        <v/>
      </c>
      <c r="R122" s="29">
        <f>Actions!AA120</f>
        <v/>
      </c>
      <c r="S122" s="29">
        <f>IF(A122="","",((K122)*(IF(M122="",L122,IFERROR(IF(INDEX(Variablen!$I:$AT, MATCH(M122, Variablen!$A:$A, 0), MATCH((YEAR(D122)+0), Variablen!$I$3:$AT$3, 0))="",L122,INDEX(Variablen!$I:$AT, MATCH(M122, Variablen!$A:$A, 0), MATCH((YEAR(D122)+0), Variablen!$I$3:$AT$3, 0))),L122)))*(IF((YEAR(D122)+0)&lt;YEAR(E122),0,IF((YEAR(D122)+0)&gt;YEAR(E122),1,(12-MONTH(E122)+1)/12))) + (Q122)*(IF((YEAR(D122)+0)&lt;YEAR(E122),0,IF((YEAR(D122)+0)&gt;YEAR(E122),1,(12-MONTH(E122)+1)/12))))-((P122)*(IF((YEAR(D122)+0)&lt;YEAR(E122),0,IF((YEAR(D122)+0)&gt;YEAR(E122),1,(12-MONTH(E122)+1)/12))) + (R122)*(IF((YEAR(D122)+0)&lt;YEAR(E122),0,IF((YEAR(D122)+0)&gt;YEAR(E122),1,(12-MONTH(E122)+1)/12))))-(IF((((K122)*(IF(M122="",L122,IFERROR(IF(INDEX(Variablen!$I:$AT, MATCH(M122, Variablen!$A:$A, 0), MATCH((YEAR(D122)+0), Variablen!$I$3:$AT$3, 0))="",L122,INDEX(Variablen!$I:$AT, MATCH(M122, Variablen!$A:$A, 0), MATCH((YEAR(D122)+0), Variablen!$I$3:$AT$3, 0))),L122)))*(IF((YEAR(D122)+0)&lt;YEAR(E122),0,IF((YEAR(D122)+0)&gt;YEAR(E122),1,(12-MONTH(E122)+1)/12))) + (Q122)*(IF((YEAR(D122)+0)&lt;YEAR(E122),0,IF((YEAR(D122)+0)&gt;YEAR(E122),1,(12-MONTH(E122)+1)/12))))-((P122)*(IF((YEAR(D122)+0)&lt;YEAR(E122),0,IF((YEAR(D122)+0)&gt;YEAR(E122),1,(12-MONTH(E122)+1)/12))) + (R122)*(IF((YEAR(D122)+0)&lt;YEAR(E122),0,IF((YEAR(D122)+0)&gt;YEAR(E122),1,(12-MONTH(E122)+1)/12))))-(IF(OR(N122="",N122&lt;=0),0,(O122/N122)*(IF(OR(N122="",N122&lt;=0),0,IF((YEAR(D122)+0)&lt;YEAR(E122),0,IF((YEAR(D122)+0)&gt;=YEAR(E122)+N122,0,IF((YEAR(D122)+0)=YEAR(E122),(12-MONTH(E122)+1)/12,1))))))))&gt;0,(((K122)*(IF(M122="",L122,IFERROR(IF(INDEX(Variablen!$I:$AT, MATCH(M122, Variablen!$A:$A, 0), MATCH((YEAR(D122)+0), Variablen!$I$3:$AT$3, 0))="",L122,INDEX(Variablen!$I:$AT, MATCH(M122, Variablen!$A:$A, 0), MATCH((YEAR(D122)+0), Variablen!$I$3:$AT$3, 0))),L122)))*(IF((YEAR(D122)+0)&lt;YEAR(E122),0,IF((YEAR(D122)+0)&gt;YEAR(E122),1,(12-MONTH(E122)+1)/12))) + (Q122)*(IF((YEAR(D122)+0)&lt;YEAR(E122),0,IF((YEAR(D122)+0)&gt;YEAR(E122),1,(12-MONTH(E122)+1)/12))))-((P122)*(IF((YEAR(D122)+0)&lt;YEAR(E122),0,IF((YEAR(D122)+0)&gt;YEAR(E122),1,(12-MONTH(E122)+1)/12))) + (R122)*(IF((YEAR(D122)+0)&lt;YEAR(E122),0,IF((YEAR(D122)+0)&gt;YEAR(E122),1,(12-MONTH(E122)+1)/12))))-(IF(OR(N122="",N122&lt;=0),0,(O122/N122)*(IF(OR(N122="",N122&lt;=0),0,IF((YEAR(D122)+0)&lt;YEAR(E122),0,IF((YEAR(D122)+0)&gt;=YEAR(E122)+N122,0,IF((YEAR(D122)+0)=YEAR(E122),(12-MONTH(E122)+1)/12,1))))))))*TaxRate,0))-IF(0=0,O122,0))</f>
        <v/>
      </c>
      <c r="T122" s="29">
        <f>IF(A122="","",((K122)*(IF(M122="",L122,IFERROR(IF(INDEX(Variablen!$I:$AT, MATCH(M122, Variablen!$A:$A, 0), MATCH((YEAR(D122)+1), Variablen!$I$3:$AT$3, 0))="",L122,INDEX(Variablen!$I:$AT, MATCH(M122, Variablen!$A:$A, 0), MATCH((YEAR(D122)+1), Variablen!$I$3:$AT$3, 0))),L122)))*(IF((YEAR(D122)+1)&lt;YEAR(E122),0,IF((YEAR(D122)+1)&gt;YEAR(E122),1,(12-MONTH(E122)+1)/12))) + (Q122)*(IF((YEAR(D122)+1)&lt;YEAR(E122),0,IF((YEAR(D122)+1)&gt;YEAR(E122),1,(12-MONTH(E122)+1)/12))))-((P122)*(IF((YEAR(D122)+1)&lt;YEAR(E122),0,IF((YEAR(D122)+1)&gt;YEAR(E122),1,(12-MONTH(E122)+1)/12))) + (R122)*(IF((YEAR(D122)+1)&lt;YEAR(E122),0,IF((YEAR(D122)+1)&gt;YEAR(E122),1,(12-MONTH(E122)+1)/12))))-(IF((((K122)*(IF(M122="",L122,IFERROR(IF(INDEX(Variablen!$I:$AT, MATCH(M122, Variablen!$A:$A, 0), MATCH((YEAR(D122)+1), Variablen!$I$3:$AT$3, 0))="",L122,INDEX(Variablen!$I:$AT, MATCH(M122, Variablen!$A:$A, 0), MATCH((YEAR(D122)+1), Variablen!$I$3:$AT$3, 0))),L122)))*(IF((YEAR(D122)+1)&lt;YEAR(E122),0,IF((YEAR(D122)+1)&gt;YEAR(E122),1,(12-MONTH(E122)+1)/12))) + (Q122)*(IF((YEAR(D122)+1)&lt;YEAR(E122),0,IF((YEAR(D122)+1)&gt;YEAR(E122),1,(12-MONTH(E122)+1)/12))))-((P122)*(IF((YEAR(D122)+1)&lt;YEAR(E122),0,IF((YEAR(D122)+1)&gt;YEAR(E122),1,(12-MONTH(E122)+1)/12))) + (R122)*(IF((YEAR(D122)+1)&lt;YEAR(E122),0,IF((YEAR(D122)+1)&gt;YEAR(E122),1,(12-MONTH(E122)+1)/12))))-(IF(OR(N122="",N122&lt;=0),0,(O122/N122)*(IF(OR(N122="",N122&lt;=0),0,IF((YEAR(D122)+1)&lt;YEAR(E122),0,IF((YEAR(D122)+1)&gt;=YEAR(E122)+N122,0,IF((YEAR(D122)+1)=YEAR(E122),(12-MONTH(E122)+1)/12,1))))))))&gt;0,(((K122)*(IF(M122="",L122,IFERROR(IF(INDEX(Variablen!$I:$AT, MATCH(M122, Variablen!$A:$A, 0), MATCH((YEAR(D122)+1), Variablen!$I$3:$AT$3, 0))="",L122,INDEX(Variablen!$I:$AT, MATCH(M122, Variablen!$A:$A, 0), MATCH((YEAR(D122)+1), Variablen!$I$3:$AT$3, 0))),L122)))*(IF((YEAR(D122)+1)&lt;YEAR(E122),0,IF((YEAR(D122)+1)&gt;YEAR(E122),1,(12-MONTH(E122)+1)/12))) + (Q122)*(IF((YEAR(D122)+1)&lt;YEAR(E122),0,IF((YEAR(D122)+1)&gt;YEAR(E122),1,(12-MONTH(E122)+1)/12))))-((P122)*(IF((YEAR(D122)+1)&lt;YEAR(E122),0,IF((YEAR(D122)+1)&gt;YEAR(E122),1,(12-MONTH(E122)+1)/12))) + (R122)*(IF((YEAR(D122)+1)&lt;YEAR(E122),0,IF((YEAR(D122)+1)&gt;YEAR(E122),1,(12-MONTH(E122)+1)/12))))-(IF(OR(N122="",N122&lt;=0),0,(O122/N122)*(IF(OR(N122="",N122&lt;=0),0,IF((YEAR(D122)+1)&lt;YEAR(E122),0,IF((YEAR(D122)+1)&gt;=YEAR(E122)+N122,0,IF((YEAR(D122)+1)=YEAR(E122),(12-MONTH(E122)+1)/12,1))))))))*TaxRate,0))-IF(1=0,O122,0))</f>
        <v/>
      </c>
      <c r="U122" s="29">
        <f>IF(A122="","",((K122)*(IF(M122="",L122,IFERROR(IF(INDEX(Variablen!$I:$AT, MATCH(M122, Variablen!$A:$A, 0), MATCH((YEAR(D122)+2), Variablen!$I$3:$AT$3, 0))="",L122,INDEX(Variablen!$I:$AT, MATCH(M122, Variablen!$A:$A, 0), MATCH((YEAR(D122)+2), Variablen!$I$3:$AT$3, 0))),L122)))*(IF((YEAR(D122)+2)&lt;YEAR(E122),0,IF((YEAR(D122)+2)&gt;YEAR(E122),1,(12-MONTH(E122)+1)/12))) + (Q122)*(IF((YEAR(D122)+2)&lt;YEAR(E122),0,IF((YEAR(D122)+2)&gt;YEAR(E122),1,(12-MONTH(E122)+1)/12))))-((P122)*(IF((YEAR(D122)+2)&lt;YEAR(E122),0,IF((YEAR(D122)+2)&gt;YEAR(E122),1,(12-MONTH(E122)+1)/12))) + (R122)*(IF((YEAR(D122)+2)&lt;YEAR(E122),0,IF((YEAR(D122)+2)&gt;YEAR(E122),1,(12-MONTH(E122)+1)/12))))-(IF((((K122)*(IF(M122="",L122,IFERROR(IF(INDEX(Variablen!$I:$AT, MATCH(M122, Variablen!$A:$A, 0), MATCH((YEAR(D122)+2), Variablen!$I$3:$AT$3, 0))="",L122,INDEX(Variablen!$I:$AT, MATCH(M122, Variablen!$A:$A, 0), MATCH((YEAR(D122)+2), Variablen!$I$3:$AT$3, 0))),L122)))*(IF((YEAR(D122)+2)&lt;YEAR(E122),0,IF((YEAR(D122)+2)&gt;YEAR(E122),1,(12-MONTH(E122)+1)/12))) + (Q122)*(IF((YEAR(D122)+2)&lt;YEAR(E122),0,IF((YEAR(D122)+2)&gt;YEAR(E122),1,(12-MONTH(E122)+1)/12))))-((P122)*(IF((YEAR(D122)+2)&lt;YEAR(E122),0,IF((YEAR(D122)+2)&gt;YEAR(E122),1,(12-MONTH(E122)+1)/12))) + (R122)*(IF((YEAR(D122)+2)&lt;YEAR(E122),0,IF((YEAR(D122)+2)&gt;YEAR(E122),1,(12-MONTH(E122)+1)/12))))-(IF(OR(N122="",N122&lt;=0),0,(O122/N122)*(IF(OR(N122="",N122&lt;=0),0,IF((YEAR(D122)+2)&lt;YEAR(E122),0,IF((YEAR(D122)+2)&gt;=YEAR(E122)+N122,0,IF((YEAR(D122)+2)=YEAR(E122),(12-MONTH(E122)+1)/12,1))))))))&gt;0,(((K122)*(IF(M122="",L122,IFERROR(IF(INDEX(Variablen!$I:$AT, MATCH(M122, Variablen!$A:$A, 0), MATCH((YEAR(D122)+2), Variablen!$I$3:$AT$3, 0))="",L122,INDEX(Variablen!$I:$AT, MATCH(M122, Variablen!$A:$A, 0), MATCH((YEAR(D122)+2), Variablen!$I$3:$AT$3, 0))),L122)))*(IF((YEAR(D122)+2)&lt;YEAR(E122),0,IF((YEAR(D122)+2)&gt;YEAR(E122),1,(12-MONTH(E122)+1)/12))) + (Q122)*(IF((YEAR(D122)+2)&lt;YEAR(E122),0,IF((YEAR(D122)+2)&gt;YEAR(E122),1,(12-MONTH(E122)+1)/12))))-((P122)*(IF((YEAR(D122)+2)&lt;YEAR(E122),0,IF((YEAR(D122)+2)&gt;YEAR(E122),1,(12-MONTH(E122)+1)/12))) + (R122)*(IF((YEAR(D122)+2)&lt;YEAR(E122),0,IF((YEAR(D122)+2)&gt;YEAR(E122),1,(12-MONTH(E122)+1)/12))))-(IF(OR(N122="",N122&lt;=0),0,(O122/N122)*(IF(OR(N122="",N122&lt;=0),0,IF((YEAR(D122)+2)&lt;YEAR(E122),0,IF((YEAR(D122)+2)&gt;=YEAR(E122)+N122,0,IF((YEAR(D122)+2)=YEAR(E122),(12-MONTH(E122)+1)/12,1))))))))*TaxRate,0))-IF(2=0,O122,0))</f>
        <v/>
      </c>
      <c r="V122" s="29">
        <f>IF(A122="","",((K122)*(IF(M122="",L122,IFERROR(IF(INDEX(Variablen!$I:$AT, MATCH(M122, Variablen!$A:$A, 0), MATCH((YEAR(D122)+3), Variablen!$I$3:$AT$3, 0))="",L122,INDEX(Variablen!$I:$AT, MATCH(M122, Variablen!$A:$A, 0), MATCH((YEAR(D122)+3), Variablen!$I$3:$AT$3, 0))),L122)))*(IF((YEAR(D122)+3)&lt;YEAR(E122),0,IF((YEAR(D122)+3)&gt;YEAR(E122),1,(12-MONTH(E122)+1)/12))) + (Q122)*(IF((YEAR(D122)+3)&lt;YEAR(E122),0,IF((YEAR(D122)+3)&gt;YEAR(E122),1,(12-MONTH(E122)+1)/12))))-((P122)*(IF((YEAR(D122)+3)&lt;YEAR(E122),0,IF((YEAR(D122)+3)&gt;YEAR(E122),1,(12-MONTH(E122)+1)/12))) + (R122)*(IF((YEAR(D122)+3)&lt;YEAR(E122),0,IF((YEAR(D122)+3)&gt;YEAR(E122),1,(12-MONTH(E122)+1)/12))))-(IF((((K122)*(IF(M122="",L122,IFERROR(IF(INDEX(Variablen!$I:$AT, MATCH(M122, Variablen!$A:$A, 0), MATCH((YEAR(D122)+3), Variablen!$I$3:$AT$3, 0))="",L122,INDEX(Variablen!$I:$AT, MATCH(M122, Variablen!$A:$A, 0), MATCH((YEAR(D122)+3), Variablen!$I$3:$AT$3, 0))),L122)))*(IF((YEAR(D122)+3)&lt;YEAR(E122),0,IF((YEAR(D122)+3)&gt;YEAR(E122),1,(12-MONTH(E122)+1)/12))) + (Q122)*(IF((YEAR(D122)+3)&lt;YEAR(E122),0,IF((YEAR(D122)+3)&gt;YEAR(E122),1,(12-MONTH(E122)+1)/12))))-((P122)*(IF((YEAR(D122)+3)&lt;YEAR(E122),0,IF((YEAR(D122)+3)&gt;YEAR(E122),1,(12-MONTH(E122)+1)/12))) + (R122)*(IF((YEAR(D122)+3)&lt;YEAR(E122),0,IF((YEAR(D122)+3)&gt;YEAR(E122),1,(12-MONTH(E122)+1)/12))))-(IF(OR(N122="",N122&lt;=0),0,(O122/N122)*(IF(OR(N122="",N122&lt;=0),0,IF((YEAR(D122)+3)&lt;YEAR(E122),0,IF((YEAR(D122)+3)&gt;=YEAR(E122)+N122,0,IF((YEAR(D122)+3)=YEAR(E122),(12-MONTH(E122)+1)/12,1))))))))&gt;0,(((K122)*(IF(M122="",L122,IFERROR(IF(INDEX(Variablen!$I:$AT, MATCH(M122, Variablen!$A:$A, 0), MATCH((YEAR(D122)+3), Variablen!$I$3:$AT$3, 0))="",L122,INDEX(Variablen!$I:$AT, MATCH(M122, Variablen!$A:$A, 0), MATCH((YEAR(D122)+3), Variablen!$I$3:$AT$3, 0))),L122)))*(IF((YEAR(D122)+3)&lt;YEAR(E122),0,IF((YEAR(D122)+3)&gt;YEAR(E122),1,(12-MONTH(E122)+1)/12))) + (Q122)*(IF((YEAR(D122)+3)&lt;YEAR(E122),0,IF((YEAR(D122)+3)&gt;YEAR(E122),1,(12-MONTH(E122)+1)/12))))-((P122)*(IF((YEAR(D122)+3)&lt;YEAR(E122),0,IF((YEAR(D122)+3)&gt;YEAR(E122),1,(12-MONTH(E122)+1)/12))) + (R122)*(IF((YEAR(D122)+3)&lt;YEAR(E122),0,IF((YEAR(D122)+3)&gt;YEAR(E122),1,(12-MONTH(E122)+1)/12))))-(IF(OR(N122="",N122&lt;=0),0,(O122/N122)*(IF(OR(N122="",N122&lt;=0),0,IF((YEAR(D122)+3)&lt;YEAR(E122),0,IF((YEAR(D122)+3)&gt;=YEAR(E122)+N122,0,IF((YEAR(D122)+3)=YEAR(E122),(12-MONTH(E122)+1)/12,1))))))))*TaxRate,0))-IF(3=0,O122,0))</f>
        <v/>
      </c>
      <c r="W122" s="29">
        <f>IF(A122="","",((K122)*(IF(M122="",L122,IFERROR(IF(INDEX(Variablen!$I:$AT, MATCH(M122, Variablen!$A:$A, 0), MATCH((YEAR(D122)+4), Variablen!$I$3:$AT$3, 0))="",L122,INDEX(Variablen!$I:$AT, MATCH(M122, Variablen!$A:$A, 0), MATCH((YEAR(D122)+4), Variablen!$I$3:$AT$3, 0))),L122)))*(IF((YEAR(D122)+4)&lt;YEAR(E122),0,IF((YEAR(D122)+4)&gt;YEAR(E122),1,(12-MONTH(E122)+1)/12))) + (Q122)*(IF((YEAR(D122)+4)&lt;YEAR(E122),0,IF((YEAR(D122)+4)&gt;YEAR(E122),1,(12-MONTH(E122)+1)/12))))-((P122)*(IF((YEAR(D122)+4)&lt;YEAR(E122),0,IF((YEAR(D122)+4)&gt;YEAR(E122),1,(12-MONTH(E122)+1)/12))) + (R122)*(IF((YEAR(D122)+4)&lt;YEAR(E122),0,IF((YEAR(D122)+4)&gt;YEAR(E122),1,(12-MONTH(E122)+1)/12))))-(IF((((K122)*(IF(M122="",L122,IFERROR(IF(INDEX(Variablen!$I:$AT, MATCH(M122, Variablen!$A:$A, 0), MATCH((YEAR(D122)+4), Variablen!$I$3:$AT$3, 0))="",L122,INDEX(Variablen!$I:$AT, MATCH(M122, Variablen!$A:$A, 0), MATCH((YEAR(D122)+4), Variablen!$I$3:$AT$3, 0))),L122)))*(IF((YEAR(D122)+4)&lt;YEAR(E122),0,IF((YEAR(D122)+4)&gt;YEAR(E122),1,(12-MONTH(E122)+1)/12))) + (Q122)*(IF((YEAR(D122)+4)&lt;YEAR(E122),0,IF((YEAR(D122)+4)&gt;YEAR(E122),1,(12-MONTH(E122)+1)/12))))-((P122)*(IF((YEAR(D122)+4)&lt;YEAR(E122),0,IF((YEAR(D122)+4)&gt;YEAR(E122),1,(12-MONTH(E122)+1)/12))) + (R122)*(IF((YEAR(D122)+4)&lt;YEAR(E122),0,IF((YEAR(D122)+4)&gt;YEAR(E122),1,(12-MONTH(E122)+1)/12))))-(IF(OR(N122="",N122&lt;=0),0,(O122/N122)*(IF(OR(N122="",N122&lt;=0),0,IF((YEAR(D122)+4)&lt;YEAR(E122),0,IF((YEAR(D122)+4)&gt;=YEAR(E122)+N122,0,IF((YEAR(D122)+4)=YEAR(E122),(12-MONTH(E122)+1)/12,1))))))))&gt;0,(((K122)*(IF(M122="",L122,IFERROR(IF(INDEX(Variablen!$I:$AT, MATCH(M122, Variablen!$A:$A, 0), MATCH((YEAR(D122)+4), Variablen!$I$3:$AT$3, 0))="",L122,INDEX(Variablen!$I:$AT, MATCH(M122, Variablen!$A:$A, 0), MATCH((YEAR(D122)+4), Variablen!$I$3:$AT$3, 0))),L122)))*(IF((YEAR(D122)+4)&lt;YEAR(E122),0,IF((YEAR(D122)+4)&gt;YEAR(E122),1,(12-MONTH(E122)+1)/12))) + (Q122)*(IF((YEAR(D122)+4)&lt;YEAR(E122),0,IF((YEAR(D122)+4)&gt;YEAR(E122),1,(12-MONTH(E122)+1)/12))))-((P122)*(IF((YEAR(D122)+4)&lt;YEAR(E122),0,IF((YEAR(D122)+4)&gt;YEAR(E122),1,(12-MONTH(E122)+1)/12))) + (R122)*(IF((YEAR(D122)+4)&lt;YEAR(E122),0,IF((YEAR(D122)+4)&gt;YEAR(E122),1,(12-MONTH(E122)+1)/12))))-(IF(OR(N122="",N122&lt;=0),0,(O122/N122)*(IF(OR(N122="",N122&lt;=0),0,IF((YEAR(D122)+4)&lt;YEAR(E122),0,IF((YEAR(D122)+4)&gt;=YEAR(E122)+N122,0,IF((YEAR(D122)+4)=YEAR(E122),(12-MONTH(E122)+1)/12,1))))))))*TaxRate,0))-IF(4=0,O122,0))</f>
        <v/>
      </c>
      <c r="X122" s="29">
        <f>IF(A122="","",((K122)*(IF(M122="",L122,IFERROR(IF(INDEX(Variablen!$I:$AT, MATCH(M122, Variablen!$A:$A, 0), MATCH((YEAR(D122)+5), Variablen!$I$3:$AT$3, 0))="",L122,INDEX(Variablen!$I:$AT, MATCH(M122, Variablen!$A:$A, 0), MATCH((YEAR(D122)+5), Variablen!$I$3:$AT$3, 0))),L122)))*(IF((YEAR(D122)+5)&lt;YEAR(E122),0,IF((YEAR(D122)+5)&gt;YEAR(E122),1,(12-MONTH(E122)+1)/12))) + (Q122)*(IF((YEAR(D122)+5)&lt;YEAR(E122),0,IF((YEAR(D122)+5)&gt;YEAR(E122),1,(12-MONTH(E122)+1)/12))))-((P122)*(IF((YEAR(D122)+5)&lt;YEAR(E122),0,IF((YEAR(D122)+5)&gt;YEAR(E122),1,(12-MONTH(E122)+1)/12))) + (R122)*(IF((YEAR(D122)+5)&lt;YEAR(E122),0,IF((YEAR(D122)+5)&gt;YEAR(E122),1,(12-MONTH(E122)+1)/12))))-(IF((((K122)*(IF(M122="",L122,IFERROR(IF(INDEX(Variablen!$I:$AT, MATCH(M122, Variablen!$A:$A, 0), MATCH((YEAR(D122)+5), Variablen!$I$3:$AT$3, 0))="",L122,INDEX(Variablen!$I:$AT, MATCH(M122, Variablen!$A:$A, 0), MATCH((YEAR(D122)+5), Variablen!$I$3:$AT$3, 0))),L122)))*(IF((YEAR(D122)+5)&lt;YEAR(E122),0,IF((YEAR(D122)+5)&gt;YEAR(E122),1,(12-MONTH(E122)+1)/12))) + (Q122)*(IF((YEAR(D122)+5)&lt;YEAR(E122),0,IF((YEAR(D122)+5)&gt;YEAR(E122),1,(12-MONTH(E122)+1)/12))))-((P122)*(IF((YEAR(D122)+5)&lt;YEAR(E122),0,IF((YEAR(D122)+5)&gt;YEAR(E122),1,(12-MONTH(E122)+1)/12))) + (R122)*(IF((YEAR(D122)+5)&lt;YEAR(E122),0,IF((YEAR(D122)+5)&gt;YEAR(E122),1,(12-MONTH(E122)+1)/12))))-(IF(OR(N122="",N122&lt;=0),0,(O122/N122)*(IF(OR(N122="",N122&lt;=0),0,IF((YEAR(D122)+5)&lt;YEAR(E122),0,IF((YEAR(D122)+5)&gt;=YEAR(E122)+N122,0,IF((YEAR(D122)+5)=YEAR(E122),(12-MONTH(E122)+1)/12,1))))))))&gt;0,(((K122)*(IF(M122="",L122,IFERROR(IF(INDEX(Variablen!$I:$AT, MATCH(M122, Variablen!$A:$A, 0), MATCH((YEAR(D122)+5), Variablen!$I$3:$AT$3, 0))="",L122,INDEX(Variablen!$I:$AT, MATCH(M122, Variablen!$A:$A, 0), MATCH((YEAR(D122)+5), Variablen!$I$3:$AT$3, 0))),L122)))*(IF((YEAR(D122)+5)&lt;YEAR(E122),0,IF((YEAR(D122)+5)&gt;YEAR(E122),1,(12-MONTH(E122)+1)/12))) + (Q122)*(IF((YEAR(D122)+5)&lt;YEAR(E122),0,IF((YEAR(D122)+5)&gt;YEAR(E122),1,(12-MONTH(E122)+1)/12))))-((P122)*(IF((YEAR(D122)+5)&lt;YEAR(E122),0,IF((YEAR(D122)+5)&gt;YEAR(E122),1,(12-MONTH(E122)+1)/12))) + (R122)*(IF((YEAR(D122)+5)&lt;YEAR(E122),0,IF((YEAR(D122)+5)&gt;YEAR(E122),1,(12-MONTH(E122)+1)/12))))-(IF(OR(N122="",N122&lt;=0),0,(O122/N122)*(IF(OR(N122="",N122&lt;=0),0,IF((YEAR(D122)+5)&lt;YEAR(E122),0,IF((YEAR(D122)+5)&gt;=YEAR(E122)+N122,0,IF((YEAR(D122)+5)=YEAR(E122),(12-MONTH(E122)+1)/12,1))))))))*TaxRate,0))-IF(5=0,O122,0))</f>
        <v/>
      </c>
      <c r="Y122" s="29">
        <f>IF(A122="","",((K122)*(IF(M122="",L122,IFERROR(IF(INDEX(Variablen!$I:$AT, MATCH(M122, Variablen!$A:$A, 0), MATCH((YEAR(D122)+6), Variablen!$I$3:$AT$3, 0))="",L122,INDEX(Variablen!$I:$AT, MATCH(M122, Variablen!$A:$A, 0), MATCH((YEAR(D122)+6), Variablen!$I$3:$AT$3, 0))),L122)))*(IF((YEAR(D122)+6)&lt;YEAR(E122),0,IF((YEAR(D122)+6)&gt;YEAR(E122),1,(12-MONTH(E122)+1)/12))) + (Q122)*(IF((YEAR(D122)+6)&lt;YEAR(E122),0,IF((YEAR(D122)+6)&gt;YEAR(E122),1,(12-MONTH(E122)+1)/12))))-((P122)*(IF((YEAR(D122)+6)&lt;YEAR(E122),0,IF((YEAR(D122)+6)&gt;YEAR(E122),1,(12-MONTH(E122)+1)/12))) + (R122)*(IF((YEAR(D122)+6)&lt;YEAR(E122),0,IF((YEAR(D122)+6)&gt;YEAR(E122),1,(12-MONTH(E122)+1)/12))))-(IF((((K122)*(IF(M122="",L122,IFERROR(IF(INDEX(Variablen!$I:$AT, MATCH(M122, Variablen!$A:$A, 0), MATCH((YEAR(D122)+6), Variablen!$I$3:$AT$3, 0))="",L122,INDEX(Variablen!$I:$AT, MATCH(M122, Variablen!$A:$A, 0), MATCH((YEAR(D122)+6), Variablen!$I$3:$AT$3, 0))),L122)))*(IF((YEAR(D122)+6)&lt;YEAR(E122),0,IF((YEAR(D122)+6)&gt;YEAR(E122),1,(12-MONTH(E122)+1)/12))) + (Q122)*(IF((YEAR(D122)+6)&lt;YEAR(E122),0,IF((YEAR(D122)+6)&gt;YEAR(E122),1,(12-MONTH(E122)+1)/12))))-((P122)*(IF((YEAR(D122)+6)&lt;YEAR(E122),0,IF((YEAR(D122)+6)&gt;YEAR(E122),1,(12-MONTH(E122)+1)/12))) + (R122)*(IF((YEAR(D122)+6)&lt;YEAR(E122),0,IF((YEAR(D122)+6)&gt;YEAR(E122),1,(12-MONTH(E122)+1)/12))))-(IF(OR(N122="",N122&lt;=0),0,(O122/N122)*(IF(OR(N122="",N122&lt;=0),0,IF((YEAR(D122)+6)&lt;YEAR(E122),0,IF((YEAR(D122)+6)&gt;=YEAR(E122)+N122,0,IF((YEAR(D122)+6)=YEAR(E122),(12-MONTH(E122)+1)/12,1))))))))&gt;0,(((K122)*(IF(M122="",L122,IFERROR(IF(INDEX(Variablen!$I:$AT, MATCH(M122, Variablen!$A:$A, 0), MATCH((YEAR(D122)+6), Variablen!$I$3:$AT$3, 0))="",L122,INDEX(Variablen!$I:$AT, MATCH(M122, Variablen!$A:$A, 0), MATCH((YEAR(D122)+6), Variablen!$I$3:$AT$3, 0))),L122)))*(IF((YEAR(D122)+6)&lt;YEAR(E122),0,IF((YEAR(D122)+6)&gt;YEAR(E122),1,(12-MONTH(E122)+1)/12))) + (Q122)*(IF((YEAR(D122)+6)&lt;YEAR(E122),0,IF((YEAR(D122)+6)&gt;YEAR(E122),1,(12-MONTH(E122)+1)/12))))-((P122)*(IF((YEAR(D122)+6)&lt;YEAR(E122),0,IF((YEAR(D122)+6)&gt;YEAR(E122),1,(12-MONTH(E122)+1)/12))) + (R122)*(IF((YEAR(D122)+6)&lt;YEAR(E122),0,IF((YEAR(D122)+6)&gt;YEAR(E122),1,(12-MONTH(E122)+1)/12))))-(IF(OR(N122="",N122&lt;=0),0,(O122/N122)*(IF(OR(N122="",N122&lt;=0),0,IF((YEAR(D122)+6)&lt;YEAR(E122),0,IF((YEAR(D122)+6)&gt;=YEAR(E122)+N122,0,IF((YEAR(D122)+6)=YEAR(E122),(12-MONTH(E122)+1)/12,1))))))))*TaxRate,0))-IF(6=0,O122,0))</f>
        <v/>
      </c>
      <c r="Z122" s="29">
        <f>IF(A122="","",((K122)*(IF(M122="",L122,IFERROR(IF(INDEX(Variablen!$I:$AT, MATCH(M122, Variablen!$A:$A, 0), MATCH((YEAR(D122)+7), Variablen!$I$3:$AT$3, 0))="",L122,INDEX(Variablen!$I:$AT, MATCH(M122, Variablen!$A:$A, 0), MATCH((YEAR(D122)+7), Variablen!$I$3:$AT$3, 0))),L122)))*(IF((YEAR(D122)+7)&lt;YEAR(E122),0,IF((YEAR(D122)+7)&gt;YEAR(E122),1,(12-MONTH(E122)+1)/12))) + (Q122)*(IF((YEAR(D122)+7)&lt;YEAR(E122),0,IF((YEAR(D122)+7)&gt;YEAR(E122),1,(12-MONTH(E122)+1)/12))))-((P122)*(IF((YEAR(D122)+7)&lt;YEAR(E122),0,IF((YEAR(D122)+7)&gt;YEAR(E122),1,(12-MONTH(E122)+1)/12))) + (R122)*(IF((YEAR(D122)+7)&lt;YEAR(E122),0,IF((YEAR(D122)+7)&gt;YEAR(E122),1,(12-MONTH(E122)+1)/12))))-(IF((((K122)*(IF(M122="",L122,IFERROR(IF(INDEX(Variablen!$I:$AT, MATCH(M122, Variablen!$A:$A, 0), MATCH((YEAR(D122)+7), Variablen!$I$3:$AT$3, 0))="",L122,INDEX(Variablen!$I:$AT, MATCH(M122, Variablen!$A:$A, 0), MATCH((YEAR(D122)+7), Variablen!$I$3:$AT$3, 0))),L122)))*(IF((YEAR(D122)+7)&lt;YEAR(E122),0,IF((YEAR(D122)+7)&gt;YEAR(E122),1,(12-MONTH(E122)+1)/12))) + (Q122)*(IF((YEAR(D122)+7)&lt;YEAR(E122),0,IF((YEAR(D122)+7)&gt;YEAR(E122),1,(12-MONTH(E122)+1)/12))))-((P122)*(IF((YEAR(D122)+7)&lt;YEAR(E122),0,IF((YEAR(D122)+7)&gt;YEAR(E122),1,(12-MONTH(E122)+1)/12))) + (R122)*(IF((YEAR(D122)+7)&lt;YEAR(E122),0,IF((YEAR(D122)+7)&gt;YEAR(E122),1,(12-MONTH(E122)+1)/12))))-(IF(OR(N122="",N122&lt;=0),0,(O122/N122)*(IF(OR(N122="",N122&lt;=0),0,IF((YEAR(D122)+7)&lt;YEAR(E122),0,IF((YEAR(D122)+7)&gt;=YEAR(E122)+N122,0,IF((YEAR(D122)+7)=YEAR(E122),(12-MONTH(E122)+1)/12,1))))))))&gt;0,(((K122)*(IF(M122="",L122,IFERROR(IF(INDEX(Variablen!$I:$AT, MATCH(M122, Variablen!$A:$A, 0), MATCH((YEAR(D122)+7), Variablen!$I$3:$AT$3, 0))="",L122,INDEX(Variablen!$I:$AT, MATCH(M122, Variablen!$A:$A, 0), MATCH((YEAR(D122)+7), Variablen!$I$3:$AT$3, 0))),L122)))*(IF((YEAR(D122)+7)&lt;YEAR(E122),0,IF((YEAR(D122)+7)&gt;YEAR(E122),1,(12-MONTH(E122)+1)/12))) + (Q122)*(IF((YEAR(D122)+7)&lt;YEAR(E122),0,IF((YEAR(D122)+7)&gt;YEAR(E122),1,(12-MONTH(E122)+1)/12))))-((P122)*(IF((YEAR(D122)+7)&lt;YEAR(E122),0,IF((YEAR(D122)+7)&gt;YEAR(E122),1,(12-MONTH(E122)+1)/12))) + (R122)*(IF((YEAR(D122)+7)&lt;YEAR(E122),0,IF((YEAR(D122)+7)&gt;YEAR(E122),1,(12-MONTH(E122)+1)/12))))-(IF(OR(N122="",N122&lt;=0),0,(O122/N122)*(IF(OR(N122="",N122&lt;=0),0,IF((YEAR(D122)+7)&lt;YEAR(E122),0,IF((YEAR(D122)+7)&gt;=YEAR(E122)+N122,0,IF((YEAR(D122)+7)=YEAR(E122),(12-MONTH(E122)+1)/12,1))))))))*TaxRate,0))-IF(7=0,O122,0))</f>
        <v/>
      </c>
      <c r="AA122" s="29">
        <f>IF(A122="","",((K122)*(IF(M122="",L122,IFERROR(IF(INDEX(Variablen!$I:$AT, MATCH(M122, Variablen!$A:$A, 0), MATCH((YEAR(D122)+8), Variablen!$I$3:$AT$3, 0))="",L122,INDEX(Variablen!$I:$AT, MATCH(M122, Variablen!$A:$A, 0), MATCH((YEAR(D122)+8), Variablen!$I$3:$AT$3, 0))),L122)))*(IF((YEAR(D122)+8)&lt;YEAR(E122),0,IF((YEAR(D122)+8)&gt;YEAR(E122),1,(12-MONTH(E122)+1)/12))) + (Q122)*(IF((YEAR(D122)+8)&lt;YEAR(E122),0,IF((YEAR(D122)+8)&gt;YEAR(E122),1,(12-MONTH(E122)+1)/12))))-((P122)*(IF((YEAR(D122)+8)&lt;YEAR(E122),0,IF((YEAR(D122)+8)&gt;YEAR(E122),1,(12-MONTH(E122)+1)/12))) + (R122)*(IF((YEAR(D122)+8)&lt;YEAR(E122),0,IF((YEAR(D122)+8)&gt;YEAR(E122),1,(12-MONTH(E122)+1)/12))))-(IF((((K122)*(IF(M122="",L122,IFERROR(IF(INDEX(Variablen!$I:$AT, MATCH(M122, Variablen!$A:$A, 0), MATCH((YEAR(D122)+8), Variablen!$I$3:$AT$3, 0))="",L122,INDEX(Variablen!$I:$AT, MATCH(M122, Variablen!$A:$A, 0), MATCH((YEAR(D122)+8), Variablen!$I$3:$AT$3, 0))),L122)))*(IF((YEAR(D122)+8)&lt;YEAR(E122),0,IF((YEAR(D122)+8)&gt;YEAR(E122),1,(12-MONTH(E122)+1)/12))) + (Q122)*(IF((YEAR(D122)+8)&lt;YEAR(E122),0,IF((YEAR(D122)+8)&gt;YEAR(E122),1,(12-MONTH(E122)+1)/12))))-((P122)*(IF((YEAR(D122)+8)&lt;YEAR(E122),0,IF((YEAR(D122)+8)&gt;YEAR(E122),1,(12-MONTH(E122)+1)/12))) + (R122)*(IF((YEAR(D122)+8)&lt;YEAR(E122),0,IF((YEAR(D122)+8)&gt;YEAR(E122),1,(12-MONTH(E122)+1)/12))))-(IF(OR(N122="",N122&lt;=0),0,(O122/N122)*(IF(OR(N122="",N122&lt;=0),0,IF((YEAR(D122)+8)&lt;YEAR(E122),0,IF((YEAR(D122)+8)&gt;=YEAR(E122)+N122,0,IF((YEAR(D122)+8)=YEAR(E122),(12-MONTH(E122)+1)/12,1))))))))&gt;0,(((K122)*(IF(M122="",L122,IFERROR(IF(INDEX(Variablen!$I:$AT, MATCH(M122, Variablen!$A:$A, 0), MATCH((YEAR(D122)+8), Variablen!$I$3:$AT$3, 0))="",L122,INDEX(Variablen!$I:$AT, MATCH(M122, Variablen!$A:$A, 0), MATCH((YEAR(D122)+8), Variablen!$I$3:$AT$3, 0))),L122)))*(IF((YEAR(D122)+8)&lt;YEAR(E122),0,IF((YEAR(D122)+8)&gt;YEAR(E122),1,(12-MONTH(E122)+1)/12))) + (Q122)*(IF((YEAR(D122)+8)&lt;YEAR(E122),0,IF((YEAR(D122)+8)&gt;YEAR(E122),1,(12-MONTH(E122)+1)/12))))-((P122)*(IF((YEAR(D122)+8)&lt;YEAR(E122),0,IF((YEAR(D122)+8)&gt;YEAR(E122),1,(12-MONTH(E122)+1)/12))) + (R122)*(IF((YEAR(D122)+8)&lt;YEAR(E122),0,IF((YEAR(D122)+8)&gt;YEAR(E122),1,(12-MONTH(E122)+1)/12))))-(IF(OR(N122="",N122&lt;=0),0,(O122/N122)*(IF(OR(N122="",N122&lt;=0),0,IF((YEAR(D122)+8)&lt;YEAR(E122),0,IF((YEAR(D122)+8)&gt;=YEAR(E122)+N122,0,IF((YEAR(D122)+8)=YEAR(E122),(12-MONTH(E122)+1)/12,1))))))))*TaxRate,0))-IF(8=0,O122,0))</f>
        <v/>
      </c>
      <c r="AB122" s="29">
        <f>IF(A122="","",((K122)*(IF(M122="",L122,IFERROR(IF(INDEX(Variablen!$I:$AT, MATCH(M122, Variablen!$A:$A, 0), MATCH((YEAR(D122)+9), Variablen!$I$3:$AT$3, 0))="",L122,INDEX(Variablen!$I:$AT, MATCH(M122, Variablen!$A:$A, 0), MATCH((YEAR(D122)+9), Variablen!$I$3:$AT$3, 0))),L122)))*(IF((YEAR(D122)+9)&lt;YEAR(E122),0,IF((YEAR(D122)+9)&gt;YEAR(E122),1,(12-MONTH(E122)+1)/12))) + (Q122)*(IF((YEAR(D122)+9)&lt;YEAR(E122),0,IF((YEAR(D122)+9)&gt;YEAR(E122),1,(12-MONTH(E122)+1)/12))))-((P122)*(IF((YEAR(D122)+9)&lt;YEAR(E122),0,IF((YEAR(D122)+9)&gt;YEAR(E122),1,(12-MONTH(E122)+1)/12))) + (R122)*(IF((YEAR(D122)+9)&lt;YEAR(E122),0,IF((YEAR(D122)+9)&gt;YEAR(E122),1,(12-MONTH(E122)+1)/12))))-(IF((((K122)*(IF(M122="",L122,IFERROR(IF(INDEX(Variablen!$I:$AT, MATCH(M122, Variablen!$A:$A, 0), MATCH((YEAR(D122)+9), Variablen!$I$3:$AT$3, 0))="",L122,INDEX(Variablen!$I:$AT, MATCH(M122, Variablen!$A:$A, 0), MATCH((YEAR(D122)+9), Variablen!$I$3:$AT$3, 0))),L122)))*(IF((YEAR(D122)+9)&lt;YEAR(E122),0,IF((YEAR(D122)+9)&gt;YEAR(E122),1,(12-MONTH(E122)+1)/12))) + (Q122)*(IF((YEAR(D122)+9)&lt;YEAR(E122),0,IF((YEAR(D122)+9)&gt;YEAR(E122),1,(12-MONTH(E122)+1)/12))))-((P122)*(IF((YEAR(D122)+9)&lt;YEAR(E122),0,IF((YEAR(D122)+9)&gt;YEAR(E122),1,(12-MONTH(E122)+1)/12))) + (R122)*(IF((YEAR(D122)+9)&lt;YEAR(E122),0,IF((YEAR(D122)+9)&gt;YEAR(E122),1,(12-MONTH(E122)+1)/12))))-(IF(OR(N122="",N122&lt;=0),0,(O122/N122)*(IF(OR(N122="",N122&lt;=0),0,IF((YEAR(D122)+9)&lt;YEAR(E122),0,IF((YEAR(D122)+9)&gt;=YEAR(E122)+N122,0,IF((YEAR(D122)+9)=YEAR(E122),(12-MONTH(E122)+1)/12,1))))))))&gt;0,(((K122)*(IF(M122="",L122,IFERROR(IF(INDEX(Variablen!$I:$AT, MATCH(M122, Variablen!$A:$A, 0), MATCH((YEAR(D122)+9), Variablen!$I$3:$AT$3, 0))="",L122,INDEX(Variablen!$I:$AT, MATCH(M122, Variablen!$A:$A, 0), MATCH((YEAR(D122)+9), Variablen!$I$3:$AT$3, 0))),L122)))*(IF((YEAR(D122)+9)&lt;YEAR(E122),0,IF((YEAR(D122)+9)&gt;YEAR(E122),1,(12-MONTH(E122)+1)/12))) + (Q122)*(IF((YEAR(D122)+9)&lt;YEAR(E122),0,IF((YEAR(D122)+9)&gt;YEAR(E122),1,(12-MONTH(E122)+1)/12))))-((P122)*(IF((YEAR(D122)+9)&lt;YEAR(E122),0,IF((YEAR(D122)+9)&gt;YEAR(E122),1,(12-MONTH(E122)+1)/12))) + (R122)*(IF((YEAR(D122)+9)&lt;YEAR(E122),0,IF((YEAR(D122)+9)&gt;YEAR(E122),1,(12-MONTH(E122)+1)/12))))-(IF(OR(N122="",N122&lt;=0),0,(O122/N122)*(IF(OR(N122="",N122&lt;=0),0,IF((YEAR(D122)+9)&lt;YEAR(E122),0,IF((YEAR(D122)+9)&gt;=YEAR(E122)+N122,0,IF((YEAR(D122)+9)=YEAR(E122),(12-MONTH(E122)+1)/12,1))))))))*TaxRate,0))-IF(9=0,O122,0))</f>
        <v/>
      </c>
      <c r="AC122" s="29">
        <f>IF(A122="","",((K122)*(IF(M122="",L122,IFERROR(IF(INDEX(Variablen!$I:$AT, MATCH(M122, Variablen!$A:$A, 0), MATCH((YEAR(D122)+10), Variablen!$I$3:$AT$3, 0))="",L122,INDEX(Variablen!$I:$AT, MATCH(M122, Variablen!$A:$A, 0), MATCH((YEAR(D122)+10), Variablen!$I$3:$AT$3, 0))),L122)))*(IF((YEAR(D122)+10)&lt;YEAR(E122),0,IF((YEAR(D122)+10)&gt;YEAR(E122),1,(12-MONTH(E122)+1)/12))) + (Q122)*(IF((YEAR(D122)+10)&lt;YEAR(E122),0,IF((YEAR(D122)+10)&gt;YEAR(E122),1,(12-MONTH(E122)+1)/12))))-((P122)*(IF((YEAR(D122)+10)&lt;YEAR(E122),0,IF((YEAR(D122)+10)&gt;YEAR(E122),1,(12-MONTH(E122)+1)/12))) + (R122)*(IF((YEAR(D122)+10)&lt;YEAR(E122),0,IF((YEAR(D122)+10)&gt;YEAR(E122),1,(12-MONTH(E122)+1)/12))))-(IF((((K122)*(IF(M122="",L122,IFERROR(IF(INDEX(Variablen!$I:$AT, MATCH(M122, Variablen!$A:$A, 0), MATCH((YEAR(D122)+10), Variablen!$I$3:$AT$3, 0))="",L122,INDEX(Variablen!$I:$AT, MATCH(M122, Variablen!$A:$A, 0), MATCH((YEAR(D122)+10), Variablen!$I$3:$AT$3, 0))),L122)))*(IF((YEAR(D122)+10)&lt;YEAR(E122),0,IF((YEAR(D122)+10)&gt;YEAR(E122),1,(12-MONTH(E122)+1)/12))) + (Q122)*(IF((YEAR(D122)+10)&lt;YEAR(E122),0,IF((YEAR(D122)+10)&gt;YEAR(E122),1,(12-MONTH(E122)+1)/12))))-((P122)*(IF((YEAR(D122)+10)&lt;YEAR(E122),0,IF((YEAR(D122)+10)&gt;YEAR(E122),1,(12-MONTH(E122)+1)/12))) + (R122)*(IF((YEAR(D122)+10)&lt;YEAR(E122),0,IF((YEAR(D122)+10)&gt;YEAR(E122),1,(12-MONTH(E122)+1)/12))))-(IF(OR(N122="",N122&lt;=0),0,(O122/N122)*(IF(OR(N122="",N122&lt;=0),0,IF((YEAR(D122)+10)&lt;YEAR(E122),0,IF((YEAR(D122)+10)&gt;=YEAR(E122)+N122,0,IF((YEAR(D122)+10)=YEAR(E122),(12-MONTH(E122)+1)/12,1))))))))&gt;0,(((K122)*(IF(M122="",L122,IFERROR(IF(INDEX(Variablen!$I:$AT, MATCH(M122, Variablen!$A:$A, 0), MATCH((YEAR(D122)+10), Variablen!$I$3:$AT$3, 0))="",L122,INDEX(Variablen!$I:$AT, MATCH(M122, Variablen!$A:$A, 0), MATCH((YEAR(D122)+10), Variablen!$I$3:$AT$3, 0))),L122)))*(IF((YEAR(D122)+10)&lt;YEAR(E122),0,IF((YEAR(D122)+10)&gt;YEAR(E122),1,(12-MONTH(E122)+1)/12))) + (Q122)*(IF((YEAR(D122)+10)&lt;YEAR(E122),0,IF((YEAR(D122)+10)&gt;YEAR(E122),1,(12-MONTH(E122)+1)/12))))-((P122)*(IF((YEAR(D122)+10)&lt;YEAR(E122),0,IF((YEAR(D122)+10)&gt;YEAR(E122),1,(12-MONTH(E122)+1)/12))) + (R122)*(IF((YEAR(D122)+10)&lt;YEAR(E122),0,IF((YEAR(D122)+10)&gt;YEAR(E122),1,(12-MONTH(E122)+1)/12))))-(IF(OR(N122="",N122&lt;=0),0,(O122/N122)*(IF(OR(N122="",N122&lt;=0),0,IF((YEAR(D122)+10)&lt;YEAR(E122),0,IF((YEAR(D122)+10)&gt;=YEAR(E122)+N122,0,IF((YEAR(D122)+10)=YEAR(E122),(12-MONTH(E122)+1)/12,1))))))))*TaxRate,0))-IF(10=0,O122,0))</f>
        <v/>
      </c>
      <c r="AD122" s="29">
        <f>IF(A122="","",((K122)*(IF(M122="",L122,IFERROR(IF(INDEX(Variablen!$I:$AT, MATCH(M122, Variablen!$A:$A, 0), MATCH((YEAR(D122)+11), Variablen!$I$3:$AT$3, 0))="",L122,INDEX(Variablen!$I:$AT, MATCH(M122, Variablen!$A:$A, 0), MATCH((YEAR(D122)+11), Variablen!$I$3:$AT$3, 0))),L122)))*(IF((YEAR(D122)+11)&lt;YEAR(E122),0,IF((YEAR(D122)+11)&gt;YEAR(E122),1,(12-MONTH(E122)+1)/12))) + (Q122)*(IF((YEAR(D122)+11)&lt;YEAR(E122),0,IF((YEAR(D122)+11)&gt;YEAR(E122),1,(12-MONTH(E122)+1)/12))))-((P122)*(IF((YEAR(D122)+11)&lt;YEAR(E122),0,IF((YEAR(D122)+11)&gt;YEAR(E122),1,(12-MONTH(E122)+1)/12))) + (R122)*(IF((YEAR(D122)+11)&lt;YEAR(E122),0,IF((YEAR(D122)+11)&gt;YEAR(E122),1,(12-MONTH(E122)+1)/12))))-(IF((((K122)*(IF(M122="",L122,IFERROR(IF(INDEX(Variablen!$I:$AT, MATCH(M122, Variablen!$A:$A, 0), MATCH((YEAR(D122)+11), Variablen!$I$3:$AT$3, 0))="",L122,INDEX(Variablen!$I:$AT, MATCH(M122, Variablen!$A:$A, 0), MATCH((YEAR(D122)+11), Variablen!$I$3:$AT$3, 0))),L122)))*(IF((YEAR(D122)+11)&lt;YEAR(E122),0,IF((YEAR(D122)+11)&gt;YEAR(E122),1,(12-MONTH(E122)+1)/12))) + (Q122)*(IF((YEAR(D122)+11)&lt;YEAR(E122),0,IF((YEAR(D122)+11)&gt;YEAR(E122),1,(12-MONTH(E122)+1)/12))))-((P122)*(IF((YEAR(D122)+11)&lt;YEAR(E122),0,IF((YEAR(D122)+11)&gt;YEAR(E122),1,(12-MONTH(E122)+1)/12))) + (R122)*(IF((YEAR(D122)+11)&lt;YEAR(E122),0,IF((YEAR(D122)+11)&gt;YEAR(E122),1,(12-MONTH(E122)+1)/12))))-(IF(OR(N122="",N122&lt;=0),0,(O122/N122)*(IF(OR(N122="",N122&lt;=0),0,IF((YEAR(D122)+11)&lt;YEAR(E122),0,IF((YEAR(D122)+11)&gt;=YEAR(E122)+N122,0,IF((YEAR(D122)+11)=YEAR(E122),(12-MONTH(E122)+1)/12,1))))))))&gt;0,(((K122)*(IF(M122="",L122,IFERROR(IF(INDEX(Variablen!$I:$AT, MATCH(M122, Variablen!$A:$A, 0), MATCH((YEAR(D122)+11), Variablen!$I$3:$AT$3, 0))="",L122,INDEX(Variablen!$I:$AT, MATCH(M122, Variablen!$A:$A, 0), MATCH((YEAR(D122)+11), Variablen!$I$3:$AT$3, 0))),L122)))*(IF((YEAR(D122)+11)&lt;YEAR(E122),0,IF((YEAR(D122)+11)&gt;YEAR(E122),1,(12-MONTH(E122)+1)/12))) + (Q122)*(IF((YEAR(D122)+11)&lt;YEAR(E122),0,IF((YEAR(D122)+11)&gt;YEAR(E122),1,(12-MONTH(E122)+1)/12))))-((P122)*(IF((YEAR(D122)+11)&lt;YEAR(E122),0,IF((YEAR(D122)+11)&gt;YEAR(E122),1,(12-MONTH(E122)+1)/12))) + (R122)*(IF((YEAR(D122)+11)&lt;YEAR(E122),0,IF((YEAR(D122)+11)&gt;YEAR(E122),1,(12-MONTH(E122)+1)/12))))-(IF(OR(N122="",N122&lt;=0),0,(O122/N122)*(IF(OR(N122="",N122&lt;=0),0,IF((YEAR(D122)+11)&lt;YEAR(E122),0,IF((YEAR(D122)+11)&gt;=YEAR(E122)+N122,0,IF((YEAR(D122)+11)=YEAR(E122),(12-MONTH(E122)+1)/12,1))))))))*TaxRate,0))-IF(11=0,O122,0))</f>
        <v/>
      </c>
      <c r="AE122" s="29">
        <f>IF(A122="","",((K122)*(IF(M122="",L122,IFERROR(IF(INDEX(Variablen!$I:$AT, MATCH(M122, Variablen!$A:$A, 0), MATCH((YEAR(D122)+12), Variablen!$I$3:$AT$3, 0))="",L122,INDEX(Variablen!$I:$AT, MATCH(M122, Variablen!$A:$A, 0), MATCH((YEAR(D122)+12), Variablen!$I$3:$AT$3, 0))),L122)))*(IF((YEAR(D122)+12)&lt;YEAR(E122),0,IF((YEAR(D122)+12)&gt;YEAR(E122),1,(12-MONTH(E122)+1)/12))) + (Q122)*(IF((YEAR(D122)+12)&lt;YEAR(E122),0,IF((YEAR(D122)+12)&gt;YEAR(E122),1,(12-MONTH(E122)+1)/12))))-((P122)*(IF((YEAR(D122)+12)&lt;YEAR(E122),0,IF((YEAR(D122)+12)&gt;YEAR(E122),1,(12-MONTH(E122)+1)/12))) + (R122)*(IF((YEAR(D122)+12)&lt;YEAR(E122),0,IF((YEAR(D122)+12)&gt;YEAR(E122),1,(12-MONTH(E122)+1)/12))))-(IF((((K122)*(IF(M122="",L122,IFERROR(IF(INDEX(Variablen!$I:$AT, MATCH(M122, Variablen!$A:$A, 0), MATCH((YEAR(D122)+12), Variablen!$I$3:$AT$3, 0))="",L122,INDEX(Variablen!$I:$AT, MATCH(M122, Variablen!$A:$A, 0), MATCH((YEAR(D122)+12), Variablen!$I$3:$AT$3, 0))),L122)))*(IF((YEAR(D122)+12)&lt;YEAR(E122),0,IF((YEAR(D122)+12)&gt;YEAR(E122),1,(12-MONTH(E122)+1)/12))) + (Q122)*(IF((YEAR(D122)+12)&lt;YEAR(E122),0,IF((YEAR(D122)+12)&gt;YEAR(E122),1,(12-MONTH(E122)+1)/12))))-((P122)*(IF((YEAR(D122)+12)&lt;YEAR(E122),0,IF((YEAR(D122)+12)&gt;YEAR(E122),1,(12-MONTH(E122)+1)/12))) + (R122)*(IF((YEAR(D122)+12)&lt;YEAR(E122),0,IF((YEAR(D122)+12)&gt;YEAR(E122),1,(12-MONTH(E122)+1)/12))))-(IF(OR(N122="",N122&lt;=0),0,(O122/N122)*(IF(OR(N122="",N122&lt;=0),0,IF((YEAR(D122)+12)&lt;YEAR(E122),0,IF((YEAR(D122)+12)&gt;=YEAR(E122)+N122,0,IF((YEAR(D122)+12)=YEAR(E122),(12-MONTH(E122)+1)/12,1))))))))&gt;0,(((K122)*(IF(M122="",L122,IFERROR(IF(INDEX(Variablen!$I:$AT, MATCH(M122, Variablen!$A:$A, 0), MATCH((YEAR(D122)+12), Variablen!$I$3:$AT$3, 0))="",L122,INDEX(Variablen!$I:$AT, MATCH(M122, Variablen!$A:$A, 0), MATCH((YEAR(D122)+12), Variablen!$I$3:$AT$3, 0))),L122)))*(IF((YEAR(D122)+12)&lt;YEAR(E122),0,IF((YEAR(D122)+12)&gt;YEAR(E122),1,(12-MONTH(E122)+1)/12))) + (Q122)*(IF((YEAR(D122)+12)&lt;YEAR(E122),0,IF((YEAR(D122)+12)&gt;YEAR(E122),1,(12-MONTH(E122)+1)/12))))-((P122)*(IF((YEAR(D122)+12)&lt;YEAR(E122),0,IF((YEAR(D122)+12)&gt;YEAR(E122),1,(12-MONTH(E122)+1)/12))) + (R122)*(IF((YEAR(D122)+12)&lt;YEAR(E122),0,IF((YEAR(D122)+12)&gt;YEAR(E122),1,(12-MONTH(E122)+1)/12))))-(IF(OR(N122="",N122&lt;=0),0,(O122/N122)*(IF(OR(N122="",N122&lt;=0),0,IF((YEAR(D122)+12)&lt;YEAR(E122),0,IF((YEAR(D122)+12)&gt;=YEAR(E122)+N122,0,IF((YEAR(D122)+12)=YEAR(E122),(12-MONTH(E122)+1)/12,1))))))))*TaxRate,0))-IF(12=0,O122,0))</f>
        <v/>
      </c>
      <c r="AF122" s="29">
        <f>IF(A122="","",((K122)*(IF(M122="",L122,IFERROR(IF(INDEX(Variablen!$I:$AT, MATCH(M122, Variablen!$A:$A, 0), MATCH((YEAR(D122)+13), Variablen!$I$3:$AT$3, 0))="",L122,INDEX(Variablen!$I:$AT, MATCH(M122, Variablen!$A:$A, 0), MATCH((YEAR(D122)+13), Variablen!$I$3:$AT$3, 0))),L122)))*(IF((YEAR(D122)+13)&lt;YEAR(E122),0,IF((YEAR(D122)+13)&gt;YEAR(E122),1,(12-MONTH(E122)+1)/12))) + (Q122)*(IF((YEAR(D122)+13)&lt;YEAR(E122),0,IF((YEAR(D122)+13)&gt;YEAR(E122),1,(12-MONTH(E122)+1)/12))))-((P122)*(IF((YEAR(D122)+13)&lt;YEAR(E122),0,IF((YEAR(D122)+13)&gt;YEAR(E122),1,(12-MONTH(E122)+1)/12))) + (R122)*(IF((YEAR(D122)+13)&lt;YEAR(E122),0,IF((YEAR(D122)+13)&gt;YEAR(E122),1,(12-MONTH(E122)+1)/12))))-(IF((((K122)*(IF(M122="",L122,IFERROR(IF(INDEX(Variablen!$I:$AT, MATCH(M122, Variablen!$A:$A, 0), MATCH((YEAR(D122)+13), Variablen!$I$3:$AT$3, 0))="",L122,INDEX(Variablen!$I:$AT, MATCH(M122, Variablen!$A:$A, 0), MATCH((YEAR(D122)+13), Variablen!$I$3:$AT$3, 0))),L122)))*(IF((YEAR(D122)+13)&lt;YEAR(E122),0,IF((YEAR(D122)+13)&gt;YEAR(E122),1,(12-MONTH(E122)+1)/12))) + (Q122)*(IF((YEAR(D122)+13)&lt;YEAR(E122),0,IF((YEAR(D122)+13)&gt;YEAR(E122),1,(12-MONTH(E122)+1)/12))))-((P122)*(IF((YEAR(D122)+13)&lt;YEAR(E122),0,IF((YEAR(D122)+13)&gt;YEAR(E122),1,(12-MONTH(E122)+1)/12))) + (R122)*(IF((YEAR(D122)+13)&lt;YEAR(E122),0,IF((YEAR(D122)+13)&gt;YEAR(E122),1,(12-MONTH(E122)+1)/12))))-(IF(OR(N122="",N122&lt;=0),0,(O122/N122)*(IF(OR(N122="",N122&lt;=0),0,IF((YEAR(D122)+13)&lt;YEAR(E122),0,IF((YEAR(D122)+13)&gt;=YEAR(E122)+N122,0,IF((YEAR(D122)+13)=YEAR(E122),(12-MONTH(E122)+1)/12,1))))))))&gt;0,(((K122)*(IF(M122="",L122,IFERROR(IF(INDEX(Variablen!$I:$AT, MATCH(M122, Variablen!$A:$A, 0), MATCH((YEAR(D122)+13), Variablen!$I$3:$AT$3, 0))="",L122,INDEX(Variablen!$I:$AT, MATCH(M122, Variablen!$A:$A, 0), MATCH((YEAR(D122)+13), Variablen!$I$3:$AT$3, 0))),L122)))*(IF((YEAR(D122)+13)&lt;YEAR(E122),0,IF((YEAR(D122)+13)&gt;YEAR(E122),1,(12-MONTH(E122)+1)/12))) + (Q122)*(IF((YEAR(D122)+13)&lt;YEAR(E122),0,IF((YEAR(D122)+13)&gt;YEAR(E122),1,(12-MONTH(E122)+1)/12))))-((P122)*(IF((YEAR(D122)+13)&lt;YEAR(E122),0,IF((YEAR(D122)+13)&gt;YEAR(E122),1,(12-MONTH(E122)+1)/12))) + (R122)*(IF((YEAR(D122)+13)&lt;YEAR(E122),0,IF((YEAR(D122)+13)&gt;YEAR(E122),1,(12-MONTH(E122)+1)/12))))-(IF(OR(N122="",N122&lt;=0),0,(O122/N122)*(IF(OR(N122="",N122&lt;=0),0,IF((YEAR(D122)+13)&lt;YEAR(E122),0,IF((YEAR(D122)+13)&gt;=YEAR(E122)+N122,0,IF((YEAR(D122)+13)=YEAR(E122),(12-MONTH(E122)+1)/12,1))))))))*TaxRate,0))-IF(13=0,O122,0))</f>
        <v/>
      </c>
      <c r="AG122" s="29">
        <f>IF(A122="","",((K122)*(IF(M122="",L122,IFERROR(IF(INDEX(Variablen!$I:$AT, MATCH(M122, Variablen!$A:$A, 0), MATCH((YEAR(D122)+14), Variablen!$I$3:$AT$3, 0))="",L122,INDEX(Variablen!$I:$AT, MATCH(M122, Variablen!$A:$A, 0), MATCH((YEAR(D122)+14), Variablen!$I$3:$AT$3, 0))),L122)))*(IF((YEAR(D122)+14)&lt;YEAR(E122),0,IF((YEAR(D122)+14)&gt;YEAR(E122),1,(12-MONTH(E122)+1)/12))) + (Q122)*(IF((YEAR(D122)+14)&lt;YEAR(E122),0,IF((YEAR(D122)+14)&gt;YEAR(E122),1,(12-MONTH(E122)+1)/12))))-((P122)*(IF((YEAR(D122)+14)&lt;YEAR(E122),0,IF((YEAR(D122)+14)&gt;YEAR(E122),1,(12-MONTH(E122)+1)/12))) + (R122)*(IF((YEAR(D122)+14)&lt;YEAR(E122),0,IF((YEAR(D122)+14)&gt;YEAR(E122),1,(12-MONTH(E122)+1)/12))))-(IF((((K122)*(IF(M122="",L122,IFERROR(IF(INDEX(Variablen!$I:$AT, MATCH(M122, Variablen!$A:$A, 0), MATCH((YEAR(D122)+14), Variablen!$I$3:$AT$3, 0))="",L122,INDEX(Variablen!$I:$AT, MATCH(M122, Variablen!$A:$A, 0), MATCH((YEAR(D122)+14), Variablen!$I$3:$AT$3, 0))),L122)))*(IF((YEAR(D122)+14)&lt;YEAR(E122),0,IF((YEAR(D122)+14)&gt;YEAR(E122),1,(12-MONTH(E122)+1)/12))) + (Q122)*(IF((YEAR(D122)+14)&lt;YEAR(E122),0,IF((YEAR(D122)+14)&gt;YEAR(E122),1,(12-MONTH(E122)+1)/12))))-((P122)*(IF((YEAR(D122)+14)&lt;YEAR(E122),0,IF((YEAR(D122)+14)&gt;YEAR(E122),1,(12-MONTH(E122)+1)/12))) + (R122)*(IF((YEAR(D122)+14)&lt;YEAR(E122),0,IF((YEAR(D122)+14)&gt;YEAR(E122),1,(12-MONTH(E122)+1)/12))))-(IF(OR(N122="",N122&lt;=0),0,(O122/N122)*(IF(OR(N122="",N122&lt;=0),0,IF((YEAR(D122)+14)&lt;YEAR(E122),0,IF((YEAR(D122)+14)&gt;=YEAR(E122)+N122,0,IF((YEAR(D122)+14)=YEAR(E122),(12-MONTH(E122)+1)/12,1))))))))&gt;0,(((K122)*(IF(M122="",L122,IFERROR(IF(INDEX(Variablen!$I:$AT, MATCH(M122, Variablen!$A:$A, 0), MATCH((YEAR(D122)+14), Variablen!$I$3:$AT$3, 0))="",L122,INDEX(Variablen!$I:$AT, MATCH(M122, Variablen!$A:$A, 0), MATCH((YEAR(D122)+14), Variablen!$I$3:$AT$3, 0))),L122)))*(IF((YEAR(D122)+14)&lt;YEAR(E122),0,IF((YEAR(D122)+14)&gt;YEAR(E122),1,(12-MONTH(E122)+1)/12))) + (Q122)*(IF((YEAR(D122)+14)&lt;YEAR(E122),0,IF((YEAR(D122)+14)&gt;YEAR(E122),1,(12-MONTH(E122)+1)/12))))-((P122)*(IF((YEAR(D122)+14)&lt;YEAR(E122),0,IF((YEAR(D122)+14)&gt;YEAR(E122),1,(12-MONTH(E122)+1)/12))) + (R122)*(IF((YEAR(D122)+14)&lt;YEAR(E122),0,IF((YEAR(D122)+14)&gt;YEAR(E122),1,(12-MONTH(E122)+1)/12))))-(IF(OR(N122="",N122&lt;=0),0,(O122/N122)*(IF(OR(N122="",N122&lt;=0),0,IF((YEAR(D122)+14)&lt;YEAR(E122),0,IF((YEAR(D122)+14)&gt;=YEAR(E122)+N122,0,IF((YEAR(D122)+14)=YEAR(E122),(12-MONTH(E122)+1)/12,1))))))))*TaxRate,0))-IF(14=0,O122,0))</f>
        <v/>
      </c>
      <c r="AH122" s="29">
        <f>IF(A122="","",((K122)*(IF(M122="",L122,IFERROR(IF(INDEX(Variablen!$I:$AT, MATCH(M122, Variablen!$A:$A, 0), MATCH((YEAR(D122)+15), Variablen!$I$3:$AT$3, 0))="",L122,INDEX(Variablen!$I:$AT, MATCH(M122, Variablen!$A:$A, 0), MATCH((YEAR(D122)+15), Variablen!$I$3:$AT$3, 0))),L122)))*(IF((YEAR(D122)+15)&lt;YEAR(E122),0,IF((YEAR(D122)+15)&gt;YEAR(E122),1,(12-MONTH(E122)+1)/12))) + (Q122)*(IF((YEAR(D122)+15)&lt;YEAR(E122),0,IF((YEAR(D122)+15)&gt;YEAR(E122),1,(12-MONTH(E122)+1)/12))))-((P122)*(IF((YEAR(D122)+15)&lt;YEAR(E122),0,IF((YEAR(D122)+15)&gt;YEAR(E122),1,(12-MONTH(E122)+1)/12))) + (R122)*(IF((YEAR(D122)+15)&lt;YEAR(E122),0,IF((YEAR(D122)+15)&gt;YEAR(E122),1,(12-MONTH(E122)+1)/12))))-(IF((((K122)*(IF(M122="",L122,IFERROR(IF(INDEX(Variablen!$I:$AT, MATCH(M122, Variablen!$A:$A, 0), MATCH((YEAR(D122)+15), Variablen!$I$3:$AT$3, 0))="",L122,INDEX(Variablen!$I:$AT, MATCH(M122, Variablen!$A:$A, 0), MATCH((YEAR(D122)+15), Variablen!$I$3:$AT$3, 0))),L122)))*(IF((YEAR(D122)+15)&lt;YEAR(E122),0,IF((YEAR(D122)+15)&gt;YEAR(E122),1,(12-MONTH(E122)+1)/12))) + (Q122)*(IF((YEAR(D122)+15)&lt;YEAR(E122),0,IF((YEAR(D122)+15)&gt;YEAR(E122),1,(12-MONTH(E122)+1)/12))))-((P122)*(IF((YEAR(D122)+15)&lt;YEAR(E122),0,IF((YEAR(D122)+15)&gt;YEAR(E122),1,(12-MONTH(E122)+1)/12))) + (R122)*(IF((YEAR(D122)+15)&lt;YEAR(E122),0,IF((YEAR(D122)+15)&gt;YEAR(E122),1,(12-MONTH(E122)+1)/12))))-(IF(OR(N122="",N122&lt;=0),0,(O122/N122)*(IF(OR(N122="",N122&lt;=0),0,IF((YEAR(D122)+15)&lt;YEAR(E122),0,IF((YEAR(D122)+15)&gt;=YEAR(E122)+N122,0,IF((YEAR(D122)+15)=YEAR(E122),(12-MONTH(E122)+1)/12,1))))))))&gt;0,(((K122)*(IF(M122="",L122,IFERROR(IF(INDEX(Variablen!$I:$AT, MATCH(M122, Variablen!$A:$A, 0), MATCH((YEAR(D122)+15), Variablen!$I$3:$AT$3, 0))="",L122,INDEX(Variablen!$I:$AT, MATCH(M122, Variablen!$A:$A, 0), MATCH((YEAR(D122)+15), Variablen!$I$3:$AT$3, 0))),L122)))*(IF((YEAR(D122)+15)&lt;YEAR(E122),0,IF((YEAR(D122)+15)&gt;YEAR(E122),1,(12-MONTH(E122)+1)/12))) + (Q122)*(IF((YEAR(D122)+15)&lt;YEAR(E122),0,IF((YEAR(D122)+15)&gt;YEAR(E122),1,(12-MONTH(E122)+1)/12))))-((P122)*(IF((YEAR(D122)+15)&lt;YEAR(E122),0,IF((YEAR(D122)+15)&gt;YEAR(E122),1,(12-MONTH(E122)+1)/12))) + (R122)*(IF((YEAR(D122)+15)&lt;YEAR(E122),0,IF((YEAR(D122)+15)&gt;YEAR(E122),1,(12-MONTH(E122)+1)/12))))-(IF(OR(N122="",N122&lt;=0),0,(O122/N122)*(IF(OR(N122="",N122&lt;=0),0,IF((YEAR(D122)+15)&lt;YEAR(E122),0,IF((YEAR(D122)+15)&gt;=YEAR(E122)+N122,0,IF((YEAR(D122)+15)=YEAR(E122),(12-MONTH(E122)+1)/12,1))))))))*TaxRate,0))-IF(15=0,O122,0))</f>
        <v/>
      </c>
      <c r="AI122" s="29">
        <f>IF(A122="","",((K122)*(IF(M122="",L122,IFERROR(IF(INDEX(Variablen!$I:$AT, MATCH(M122, Variablen!$A:$A, 0), MATCH((YEAR(D122)+16), Variablen!$I$3:$AT$3, 0))="",L122,INDEX(Variablen!$I:$AT, MATCH(M122, Variablen!$A:$A, 0), MATCH((YEAR(D122)+16), Variablen!$I$3:$AT$3, 0))),L122)))*(IF((YEAR(D122)+16)&lt;YEAR(E122),0,IF((YEAR(D122)+16)&gt;YEAR(E122),1,(12-MONTH(E122)+1)/12))) + (Q122)*(IF((YEAR(D122)+16)&lt;YEAR(E122),0,IF((YEAR(D122)+16)&gt;YEAR(E122),1,(12-MONTH(E122)+1)/12))))-((P122)*(IF((YEAR(D122)+16)&lt;YEAR(E122),0,IF((YEAR(D122)+16)&gt;YEAR(E122),1,(12-MONTH(E122)+1)/12))) + (R122)*(IF((YEAR(D122)+16)&lt;YEAR(E122),0,IF((YEAR(D122)+16)&gt;YEAR(E122),1,(12-MONTH(E122)+1)/12))))-(IF((((K122)*(IF(M122="",L122,IFERROR(IF(INDEX(Variablen!$I:$AT, MATCH(M122, Variablen!$A:$A, 0), MATCH((YEAR(D122)+16), Variablen!$I$3:$AT$3, 0))="",L122,INDEX(Variablen!$I:$AT, MATCH(M122, Variablen!$A:$A, 0), MATCH((YEAR(D122)+16), Variablen!$I$3:$AT$3, 0))),L122)))*(IF((YEAR(D122)+16)&lt;YEAR(E122),0,IF((YEAR(D122)+16)&gt;YEAR(E122),1,(12-MONTH(E122)+1)/12))) + (Q122)*(IF((YEAR(D122)+16)&lt;YEAR(E122),0,IF((YEAR(D122)+16)&gt;YEAR(E122),1,(12-MONTH(E122)+1)/12))))-((P122)*(IF((YEAR(D122)+16)&lt;YEAR(E122),0,IF((YEAR(D122)+16)&gt;YEAR(E122),1,(12-MONTH(E122)+1)/12))) + (R122)*(IF((YEAR(D122)+16)&lt;YEAR(E122),0,IF((YEAR(D122)+16)&gt;YEAR(E122),1,(12-MONTH(E122)+1)/12))))-(IF(OR(N122="",N122&lt;=0),0,(O122/N122)*(IF(OR(N122="",N122&lt;=0),0,IF((YEAR(D122)+16)&lt;YEAR(E122),0,IF((YEAR(D122)+16)&gt;=YEAR(E122)+N122,0,IF((YEAR(D122)+16)=YEAR(E122),(12-MONTH(E122)+1)/12,1))))))))&gt;0,(((K122)*(IF(M122="",L122,IFERROR(IF(INDEX(Variablen!$I:$AT, MATCH(M122, Variablen!$A:$A, 0), MATCH((YEAR(D122)+16), Variablen!$I$3:$AT$3, 0))="",L122,INDEX(Variablen!$I:$AT, MATCH(M122, Variablen!$A:$A, 0), MATCH((YEAR(D122)+16), Variablen!$I$3:$AT$3, 0))),L122)))*(IF((YEAR(D122)+16)&lt;YEAR(E122),0,IF((YEAR(D122)+16)&gt;YEAR(E122),1,(12-MONTH(E122)+1)/12))) + (Q122)*(IF((YEAR(D122)+16)&lt;YEAR(E122),0,IF((YEAR(D122)+16)&gt;YEAR(E122),1,(12-MONTH(E122)+1)/12))))-((P122)*(IF((YEAR(D122)+16)&lt;YEAR(E122),0,IF((YEAR(D122)+16)&gt;YEAR(E122),1,(12-MONTH(E122)+1)/12))) + (R122)*(IF((YEAR(D122)+16)&lt;YEAR(E122),0,IF((YEAR(D122)+16)&gt;YEAR(E122),1,(12-MONTH(E122)+1)/12))))-(IF(OR(N122="",N122&lt;=0),0,(O122/N122)*(IF(OR(N122="",N122&lt;=0),0,IF((YEAR(D122)+16)&lt;YEAR(E122),0,IF((YEAR(D122)+16)&gt;=YEAR(E122)+N122,0,IF((YEAR(D122)+16)=YEAR(E122),(12-MONTH(E122)+1)/12,1))))))))*TaxRate,0))-IF(16=0,O122,0))</f>
        <v/>
      </c>
      <c r="AJ122" s="29">
        <f>IF(A122="","",((K122)*(IF(M122="",L122,IFERROR(IF(INDEX(Variablen!$I:$AT, MATCH(M122, Variablen!$A:$A, 0), MATCH((YEAR(D122)+17), Variablen!$I$3:$AT$3, 0))="",L122,INDEX(Variablen!$I:$AT, MATCH(M122, Variablen!$A:$A, 0), MATCH((YEAR(D122)+17), Variablen!$I$3:$AT$3, 0))),L122)))*(IF((YEAR(D122)+17)&lt;YEAR(E122),0,IF((YEAR(D122)+17)&gt;YEAR(E122),1,(12-MONTH(E122)+1)/12))) + (Q122)*(IF((YEAR(D122)+17)&lt;YEAR(E122),0,IF((YEAR(D122)+17)&gt;YEAR(E122),1,(12-MONTH(E122)+1)/12))))-((P122)*(IF((YEAR(D122)+17)&lt;YEAR(E122),0,IF((YEAR(D122)+17)&gt;YEAR(E122),1,(12-MONTH(E122)+1)/12))) + (R122)*(IF((YEAR(D122)+17)&lt;YEAR(E122),0,IF((YEAR(D122)+17)&gt;YEAR(E122),1,(12-MONTH(E122)+1)/12))))-(IF((((K122)*(IF(M122="",L122,IFERROR(IF(INDEX(Variablen!$I:$AT, MATCH(M122, Variablen!$A:$A, 0), MATCH((YEAR(D122)+17), Variablen!$I$3:$AT$3, 0))="",L122,INDEX(Variablen!$I:$AT, MATCH(M122, Variablen!$A:$A, 0), MATCH((YEAR(D122)+17), Variablen!$I$3:$AT$3, 0))),L122)))*(IF((YEAR(D122)+17)&lt;YEAR(E122),0,IF((YEAR(D122)+17)&gt;YEAR(E122),1,(12-MONTH(E122)+1)/12))) + (Q122)*(IF((YEAR(D122)+17)&lt;YEAR(E122),0,IF((YEAR(D122)+17)&gt;YEAR(E122),1,(12-MONTH(E122)+1)/12))))-((P122)*(IF((YEAR(D122)+17)&lt;YEAR(E122),0,IF((YEAR(D122)+17)&gt;YEAR(E122),1,(12-MONTH(E122)+1)/12))) + (R122)*(IF((YEAR(D122)+17)&lt;YEAR(E122),0,IF((YEAR(D122)+17)&gt;YEAR(E122),1,(12-MONTH(E122)+1)/12))))-(IF(OR(N122="",N122&lt;=0),0,(O122/N122)*(IF(OR(N122="",N122&lt;=0),0,IF((YEAR(D122)+17)&lt;YEAR(E122),0,IF((YEAR(D122)+17)&gt;=YEAR(E122)+N122,0,IF((YEAR(D122)+17)=YEAR(E122),(12-MONTH(E122)+1)/12,1))))))))&gt;0,(((K122)*(IF(M122="",L122,IFERROR(IF(INDEX(Variablen!$I:$AT, MATCH(M122, Variablen!$A:$A, 0), MATCH((YEAR(D122)+17), Variablen!$I$3:$AT$3, 0))="",L122,INDEX(Variablen!$I:$AT, MATCH(M122, Variablen!$A:$A, 0), MATCH((YEAR(D122)+17), Variablen!$I$3:$AT$3, 0))),L122)))*(IF((YEAR(D122)+17)&lt;YEAR(E122),0,IF((YEAR(D122)+17)&gt;YEAR(E122),1,(12-MONTH(E122)+1)/12))) + (Q122)*(IF((YEAR(D122)+17)&lt;YEAR(E122),0,IF((YEAR(D122)+17)&gt;YEAR(E122),1,(12-MONTH(E122)+1)/12))))-((P122)*(IF((YEAR(D122)+17)&lt;YEAR(E122),0,IF((YEAR(D122)+17)&gt;YEAR(E122),1,(12-MONTH(E122)+1)/12))) + (R122)*(IF((YEAR(D122)+17)&lt;YEAR(E122),0,IF((YEAR(D122)+17)&gt;YEAR(E122),1,(12-MONTH(E122)+1)/12))))-(IF(OR(N122="",N122&lt;=0),0,(O122/N122)*(IF(OR(N122="",N122&lt;=0),0,IF((YEAR(D122)+17)&lt;YEAR(E122),0,IF((YEAR(D122)+17)&gt;=YEAR(E122)+N122,0,IF((YEAR(D122)+17)=YEAR(E122),(12-MONTH(E122)+1)/12,1))))))))*TaxRate,0))-IF(17=0,O122,0))</f>
        <v/>
      </c>
      <c r="AK122" s="29">
        <f>IF(A122="","",((K122)*(IF(M122="",L122,IFERROR(IF(INDEX(Variablen!$I:$AT, MATCH(M122, Variablen!$A:$A, 0), MATCH((YEAR(D122)+18), Variablen!$I$3:$AT$3, 0))="",L122,INDEX(Variablen!$I:$AT, MATCH(M122, Variablen!$A:$A, 0), MATCH((YEAR(D122)+18), Variablen!$I$3:$AT$3, 0))),L122)))*(IF((YEAR(D122)+18)&lt;YEAR(E122),0,IF((YEAR(D122)+18)&gt;YEAR(E122),1,(12-MONTH(E122)+1)/12))) + (Q122)*(IF((YEAR(D122)+18)&lt;YEAR(E122),0,IF((YEAR(D122)+18)&gt;YEAR(E122),1,(12-MONTH(E122)+1)/12))))-((P122)*(IF((YEAR(D122)+18)&lt;YEAR(E122),0,IF((YEAR(D122)+18)&gt;YEAR(E122),1,(12-MONTH(E122)+1)/12))) + (R122)*(IF((YEAR(D122)+18)&lt;YEAR(E122),0,IF((YEAR(D122)+18)&gt;YEAR(E122),1,(12-MONTH(E122)+1)/12))))-(IF((((K122)*(IF(M122="",L122,IFERROR(IF(INDEX(Variablen!$I:$AT, MATCH(M122, Variablen!$A:$A, 0), MATCH((YEAR(D122)+18), Variablen!$I$3:$AT$3, 0))="",L122,INDEX(Variablen!$I:$AT, MATCH(M122, Variablen!$A:$A, 0), MATCH((YEAR(D122)+18), Variablen!$I$3:$AT$3, 0))),L122)))*(IF((YEAR(D122)+18)&lt;YEAR(E122),0,IF((YEAR(D122)+18)&gt;YEAR(E122),1,(12-MONTH(E122)+1)/12))) + (Q122)*(IF((YEAR(D122)+18)&lt;YEAR(E122),0,IF((YEAR(D122)+18)&gt;YEAR(E122),1,(12-MONTH(E122)+1)/12))))-((P122)*(IF((YEAR(D122)+18)&lt;YEAR(E122),0,IF((YEAR(D122)+18)&gt;YEAR(E122),1,(12-MONTH(E122)+1)/12))) + (R122)*(IF((YEAR(D122)+18)&lt;YEAR(E122),0,IF((YEAR(D122)+18)&gt;YEAR(E122),1,(12-MONTH(E122)+1)/12))))-(IF(OR(N122="",N122&lt;=0),0,(O122/N122)*(IF(OR(N122="",N122&lt;=0),0,IF((YEAR(D122)+18)&lt;YEAR(E122),0,IF((YEAR(D122)+18)&gt;=YEAR(E122)+N122,0,IF((YEAR(D122)+18)=YEAR(E122),(12-MONTH(E122)+1)/12,1))))))))&gt;0,(((K122)*(IF(M122="",L122,IFERROR(IF(INDEX(Variablen!$I:$AT, MATCH(M122, Variablen!$A:$A, 0), MATCH((YEAR(D122)+18), Variablen!$I$3:$AT$3, 0))="",L122,INDEX(Variablen!$I:$AT, MATCH(M122, Variablen!$A:$A, 0), MATCH((YEAR(D122)+18), Variablen!$I$3:$AT$3, 0))),L122)))*(IF((YEAR(D122)+18)&lt;YEAR(E122),0,IF((YEAR(D122)+18)&gt;YEAR(E122),1,(12-MONTH(E122)+1)/12))) + (Q122)*(IF((YEAR(D122)+18)&lt;YEAR(E122),0,IF((YEAR(D122)+18)&gt;YEAR(E122),1,(12-MONTH(E122)+1)/12))))-((P122)*(IF((YEAR(D122)+18)&lt;YEAR(E122),0,IF((YEAR(D122)+18)&gt;YEAR(E122),1,(12-MONTH(E122)+1)/12))) + (R122)*(IF((YEAR(D122)+18)&lt;YEAR(E122),0,IF((YEAR(D122)+18)&gt;YEAR(E122),1,(12-MONTH(E122)+1)/12))))-(IF(OR(N122="",N122&lt;=0),0,(O122/N122)*(IF(OR(N122="",N122&lt;=0),0,IF((YEAR(D122)+18)&lt;YEAR(E122),0,IF((YEAR(D122)+18)&gt;=YEAR(E122)+N122,0,IF((YEAR(D122)+18)=YEAR(E122),(12-MONTH(E122)+1)/12,1))))))))*TaxRate,0))-IF(18=0,O122,0))</f>
        <v/>
      </c>
      <c r="AL122" s="29">
        <f>IF(A122="","",((K122)*(IF(M122="",L122,IFERROR(IF(INDEX(Variablen!$I:$AT, MATCH(M122, Variablen!$A:$A, 0), MATCH((YEAR(D122)+19), Variablen!$I$3:$AT$3, 0))="",L122,INDEX(Variablen!$I:$AT, MATCH(M122, Variablen!$A:$A, 0), MATCH((YEAR(D122)+19), Variablen!$I$3:$AT$3, 0))),L122)))*(IF((YEAR(D122)+19)&lt;YEAR(E122),0,IF((YEAR(D122)+19)&gt;YEAR(E122),1,(12-MONTH(E122)+1)/12))) + (Q122)*(IF((YEAR(D122)+19)&lt;YEAR(E122),0,IF((YEAR(D122)+19)&gt;YEAR(E122),1,(12-MONTH(E122)+1)/12))))-((P122)*(IF((YEAR(D122)+19)&lt;YEAR(E122),0,IF((YEAR(D122)+19)&gt;YEAR(E122),1,(12-MONTH(E122)+1)/12))) + (R122)*(IF((YEAR(D122)+19)&lt;YEAR(E122),0,IF((YEAR(D122)+19)&gt;YEAR(E122),1,(12-MONTH(E122)+1)/12))))-(IF((((K122)*(IF(M122="",L122,IFERROR(IF(INDEX(Variablen!$I:$AT, MATCH(M122, Variablen!$A:$A, 0), MATCH((YEAR(D122)+19), Variablen!$I$3:$AT$3, 0))="",L122,INDEX(Variablen!$I:$AT, MATCH(M122, Variablen!$A:$A, 0), MATCH((YEAR(D122)+19), Variablen!$I$3:$AT$3, 0))),L122)))*(IF((YEAR(D122)+19)&lt;YEAR(E122),0,IF((YEAR(D122)+19)&gt;YEAR(E122),1,(12-MONTH(E122)+1)/12))) + (Q122)*(IF((YEAR(D122)+19)&lt;YEAR(E122),0,IF((YEAR(D122)+19)&gt;YEAR(E122),1,(12-MONTH(E122)+1)/12))))-((P122)*(IF((YEAR(D122)+19)&lt;YEAR(E122),0,IF((YEAR(D122)+19)&gt;YEAR(E122),1,(12-MONTH(E122)+1)/12))) + (R122)*(IF((YEAR(D122)+19)&lt;YEAR(E122),0,IF((YEAR(D122)+19)&gt;YEAR(E122),1,(12-MONTH(E122)+1)/12))))-(IF(OR(N122="",N122&lt;=0),0,(O122/N122)*(IF(OR(N122="",N122&lt;=0),0,IF((YEAR(D122)+19)&lt;YEAR(E122),0,IF((YEAR(D122)+19)&gt;=YEAR(E122)+N122,0,IF((YEAR(D122)+19)=YEAR(E122),(12-MONTH(E122)+1)/12,1))))))))&gt;0,(((K122)*(IF(M122="",L122,IFERROR(IF(INDEX(Variablen!$I:$AT, MATCH(M122, Variablen!$A:$A, 0), MATCH((YEAR(D122)+19), Variablen!$I$3:$AT$3, 0))="",L122,INDEX(Variablen!$I:$AT, MATCH(M122, Variablen!$A:$A, 0), MATCH((YEAR(D122)+19), Variablen!$I$3:$AT$3, 0))),L122)))*(IF((YEAR(D122)+19)&lt;YEAR(E122),0,IF((YEAR(D122)+19)&gt;YEAR(E122),1,(12-MONTH(E122)+1)/12))) + (Q122)*(IF((YEAR(D122)+19)&lt;YEAR(E122),0,IF((YEAR(D122)+19)&gt;YEAR(E122),1,(12-MONTH(E122)+1)/12))))-((P122)*(IF((YEAR(D122)+19)&lt;YEAR(E122),0,IF((YEAR(D122)+19)&gt;YEAR(E122),1,(12-MONTH(E122)+1)/12))) + (R122)*(IF((YEAR(D122)+19)&lt;YEAR(E122),0,IF((YEAR(D122)+19)&gt;YEAR(E122),1,(12-MONTH(E122)+1)/12))))-(IF(OR(N122="",N122&lt;=0),0,(O122/N122)*(IF(OR(N122="",N122&lt;=0),0,IF((YEAR(D122)+19)&lt;YEAR(E122),0,IF((YEAR(D122)+19)&gt;=YEAR(E122)+N122,0,IF((YEAR(D122)+19)=YEAR(E122),(12-MONTH(E122)+1)/12,1))))))))*TaxRate,0))-IF(19=0,O122,0))</f>
        <v/>
      </c>
      <c r="AM122" s="29">
        <f>IF(A122="","",((K122)*(IF(M122="",L122,IFERROR(IF(INDEX(Variablen!$I:$AT, MATCH(M122, Variablen!$A:$A, 0), MATCH((YEAR(D122)+20), Variablen!$I$3:$AT$3, 0))="",L122,INDEX(Variablen!$I:$AT, MATCH(M122, Variablen!$A:$A, 0), MATCH((YEAR(D122)+20), Variablen!$I$3:$AT$3, 0))),L122)))*(IF((YEAR(D122)+20)&lt;YEAR(E122),0,IF((YEAR(D122)+20)&gt;YEAR(E122),1,(12-MONTH(E122)+1)/12))) + (Q122)*(IF((YEAR(D122)+20)&lt;YEAR(E122),0,IF((YEAR(D122)+20)&gt;YEAR(E122),1,(12-MONTH(E122)+1)/12))))-((P122)*(IF((YEAR(D122)+20)&lt;YEAR(E122),0,IF((YEAR(D122)+20)&gt;YEAR(E122),1,(12-MONTH(E122)+1)/12))) + (R122)*(IF((YEAR(D122)+20)&lt;YEAR(E122),0,IF((YEAR(D122)+20)&gt;YEAR(E122),1,(12-MONTH(E122)+1)/12))))-(IF((((K122)*(IF(M122="",L122,IFERROR(IF(INDEX(Variablen!$I:$AT, MATCH(M122, Variablen!$A:$A, 0), MATCH((YEAR(D122)+20), Variablen!$I$3:$AT$3, 0))="",L122,INDEX(Variablen!$I:$AT, MATCH(M122, Variablen!$A:$A, 0), MATCH((YEAR(D122)+20), Variablen!$I$3:$AT$3, 0))),L122)))*(IF((YEAR(D122)+20)&lt;YEAR(E122),0,IF((YEAR(D122)+20)&gt;YEAR(E122),1,(12-MONTH(E122)+1)/12))) + (Q122)*(IF((YEAR(D122)+20)&lt;YEAR(E122),0,IF((YEAR(D122)+20)&gt;YEAR(E122),1,(12-MONTH(E122)+1)/12))))-((P122)*(IF((YEAR(D122)+20)&lt;YEAR(E122),0,IF((YEAR(D122)+20)&gt;YEAR(E122),1,(12-MONTH(E122)+1)/12))) + (R122)*(IF((YEAR(D122)+20)&lt;YEAR(E122),0,IF((YEAR(D122)+20)&gt;YEAR(E122),1,(12-MONTH(E122)+1)/12))))-(IF(OR(N122="",N122&lt;=0),0,(O122/N122)*(IF(OR(N122="",N122&lt;=0),0,IF((YEAR(D122)+20)&lt;YEAR(E122),0,IF((YEAR(D122)+20)&gt;=YEAR(E122)+N122,0,IF((YEAR(D122)+20)=YEAR(E122),(12-MONTH(E122)+1)/12,1))))))))&gt;0,(((K122)*(IF(M122="",L122,IFERROR(IF(INDEX(Variablen!$I:$AT, MATCH(M122, Variablen!$A:$A, 0), MATCH((YEAR(D122)+20), Variablen!$I$3:$AT$3, 0))="",L122,INDEX(Variablen!$I:$AT, MATCH(M122, Variablen!$A:$A, 0), MATCH((YEAR(D122)+20), Variablen!$I$3:$AT$3, 0))),L122)))*(IF((YEAR(D122)+20)&lt;YEAR(E122),0,IF((YEAR(D122)+20)&gt;YEAR(E122),1,(12-MONTH(E122)+1)/12))) + (Q122)*(IF((YEAR(D122)+20)&lt;YEAR(E122),0,IF((YEAR(D122)+20)&gt;YEAR(E122),1,(12-MONTH(E122)+1)/12))))-((P122)*(IF((YEAR(D122)+20)&lt;YEAR(E122),0,IF((YEAR(D122)+20)&gt;YEAR(E122),1,(12-MONTH(E122)+1)/12))) + (R122)*(IF((YEAR(D122)+20)&lt;YEAR(E122),0,IF((YEAR(D122)+20)&gt;YEAR(E122),1,(12-MONTH(E122)+1)/12))))-(IF(OR(N122="",N122&lt;=0),0,(O122/N122)*(IF(OR(N122="",N122&lt;=0),0,IF((YEAR(D122)+20)&lt;YEAR(E122),0,IF((YEAR(D122)+20)&gt;=YEAR(E122)+N122,0,IF((YEAR(D122)+20)=YEAR(E122),(12-MONTH(E122)+1)/12,1))))))))*TaxRate,0))-IF(20=0,O122,0))</f>
        <v/>
      </c>
      <c r="AN122" s="29">
        <f>IF(A122="","",S122)</f>
        <v/>
      </c>
      <c r="AO122" s="29">
        <f>IF(A122="","",AN122+T122)</f>
        <v/>
      </c>
      <c r="AP122" s="29">
        <f>IF(A122="","",AO122+U122)</f>
        <v/>
      </c>
      <c r="AQ122" s="29">
        <f>IF(A122="","",AP122+V122)</f>
        <v/>
      </c>
      <c r="AR122" s="29">
        <f>IF(A122="","",AQ122+W122)</f>
        <v/>
      </c>
      <c r="AS122" s="29">
        <f>IF(A122="","",AR122+X122)</f>
        <v/>
      </c>
      <c r="AT122" s="29">
        <f>IF(A122="","",AS122+Y122)</f>
        <v/>
      </c>
      <c r="AU122" s="29">
        <f>IF(A122="","",AT122+Z122)</f>
        <v/>
      </c>
      <c r="AV122" s="29">
        <f>IF(A122="","",AU122+AA122)</f>
        <v/>
      </c>
      <c r="AW122" s="29">
        <f>IF(A122="","",AV122+AB122)</f>
        <v/>
      </c>
      <c r="AX122" s="29">
        <f>IF(A122="","",AW122+AC122)</f>
        <v/>
      </c>
      <c r="AY122" s="29">
        <f>IF(A122="","",AX122+AD122)</f>
        <v/>
      </c>
      <c r="AZ122" s="29">
        <f>IF(A122="","",AY122+AE122)</f>
        <v/>
      </c>
      <c r="BA122" s="29">
        <f>IF(A122="","",AZ122+AF122)</f>
        <v/>
      </c>
      <c r="BB122" s="29">
        <f>IF(A122="","",BA122+AG122)</f>
        <v/>
      </c>
      <c r="BC122" s="29">
        <f>IF(A122="","",BB122+AH122)</f>
        <v/>
      </c>
      <c r="BD122" s="29">
        <f>IF(A122="","",BC122+AI122)</f>
        <v/>
      </c>
      <c r="BE122" s="29">
        <f>IF(A122="","",BD122+AJ122)</f>
        <v/>
      </c>
      <c r="BF122" s="29">
        <f>IF(A122="","",BE122+AK122)</f>
        <v/>
      </c>
      <c r="BG122" s="29">
        <f>IF(A122="","",BF122+AL122)</f>
        <v/>
      </c>
      <c r="BH122" s="29">
        <f>IF(A122="","",BG122+AM122)</f>
        <v/>
      </c>
      <c r="BI122" s="36">
        <f>IF(A122="","",(K122)*(IF((YEAR(D122)+0)&lt;YEAR(E122),0,IF((YEAR(D122)+0)&gt;YEAR(E122),1,(12-MONTH(E122)+1)/12)))*(1/(1+DiscountRate)^0))</f>
        <v/>
      </c>
      <c r="BJ122" s="36">
        <f>IF(A122="","",(K122)*(IF((YEAR(D122)+1)&lt;YEAR(E122),0,IF((YEAR(D122)+1)&gt;YEAR(E122),1,(12-MONTH(E122)+1)/12)))*(1/(1+DiscountRate)^1))</f>
        <v/>
      </c>
      <c r="BK122" s="36">
        <f>IF(A122="","",(K122)*(IF((YEAR(D122)+2)&lt;YEAR(E122),0,IF((YEAR(D122)+2)&gt;YEAR(E122),1,(12-MONTH(E122)+1)/12)))*(1/(1+DiscountRate)^2))</f>
        <v/>
      </c>
      <c r="BL122" s="36">
        <f>IF(A122="","",(K122)*(IF((YEAR(D122)+3)&lt;YEAR(E122),0,IF((YEAR(D122)+3)&gt;YEAR(E122),1,(12-MONTH(E122)+1)/12)))*(1/(1+DiscountRate)^3))</f>
        <v/>
      </c>
      <c r="BM122" s="36">
        <f>IF(A122="","",(K122)*(IF((YEAR(D122)+4)&lt;YEAR(E122),0,IF((YEAR(D122)+4)&gt;YEAR(E122),1,(12-MONTH(E122)+1)/12)))*(1/(1+DiscountRate)^4))</f>
        <v/>
      </c>
      <c r="BN122" s="36">
        <f>IF(A122="","",(K122)*(IF((YEAR(D122)+5)&lt;YEAR(E122),0,IF((YEAR(D122)+5)&gt;YEAR(E122),1,(12-MONTH(E122)+1)/12)))*(1/(1+DiscountRate)^5))</f>
        <v/>
      </c>
      <c r="BO122" s="36">
        <f>IF(A122="","",(K122)*(IF((YEAR(D122)+6)&lt;YEAR(E122),0,IF((YEAR(D122)+6)&gt;YEAR(E122),1,(12-MONTH(E122)+1)/12)))*(1/(1+DiscountRate)^6))</f>
        <v/>
      </c>
      <c r="BP122" s="36">
        <f>IF(A122="","",(K122)*(IF((YEAR(D122)+7)&lt;YEAR(E122),0,IF((YEAR(D122)+7)&gt;YEAR(E122),1,(12-MONTH(E122)+1)/12)))*(1/(1+DiscountRate)^7))</f>
        <v/>
      </c>
      <c r="BQ122" s="36">
        <f>IF(A122="","",(K122)*(IF((YEAR(D122)+8)&lt;YEAR(E122),0,IF((YEAR(D122)+8)&gt;YEAR(E122),1,(12-MONTH(E122)+1)/12)))*(1/(1+DiscountRate)^8))</f>
        <v/>
      </c>
      <c r="BR122" s="36">
        <f>IF(A122="","",(K122)*(IF((YEAR(D122)+9)&lt;YEAR(E122),0,IF((YEAR(D122)+9)&gt;YEAR(E122),1,(12-MONTH(E122)+1)/12)))*(1/(1+DiscountRate)^9))</f>
        <v/>
      </c>
      <c r="BS122" s="36">
        <f>IF(A122="","",(K122)*(IF((YEAR(D122)+10)&lt;YEAR(E122),0,IF((YEAR(D122)+10)&gt;YEAR(E122),1,(12-MONTH(E122)+1)/12)))*(1/(1+DiscountRate)^10))</f>
        <v/>
      </c>
      <c r="BT122" s="36">
        <f>IF(A122="","",(K122)*(IF((YEAR(D122)+11)&lt;YEAR(E122),0,IF((YEAR(D122)+11)&gt;YEAR(E122),1,(12-MONTH(E122)+1)/12)))*(1/(1+DiscountRate)^11))</f>
        <v/>
      </c>
      <c r="BU122" s="36">
        <f>IF(A122="","",(K122)*(IF((YEAR(D122)+12)&lt;YEAR(E122),0,IF((YEAR(D122)+12)&gt;YEAR(E122),1,(12-MONTH(E122)+1)/12)))*(1/(1+DiscountRate)^12))</f>
        <v/>
      </c>
      <c r="BV122" s="36">
        <f>IF(A122="","",(K122)*(IF((YEAR(D122)+13)&lt;YEAR(E122),0,IF((YEAR(D122)+13)&gt;YEAR(E122),1,(12-MONTH(E122)+1)/12)))*(1/(1+DiscountRate)^13))</f>
        <v/>
      </c>
      <c r="BW122" s="36">
        <f>IF(A122="","",(K122)*(IF((YEAR(D122)+14)&lt;YEAR(E122),0,IF((YEAR(D122)+14)&gt;YEAR(E122),1,(12-MONTH(E122)+1)/12)))*(1/(1+DiscountRate)^14))</f>
        <v/>
      </c>
      <c r="BX122" s="36">
        <f>IF(A122="","",(K122)*(IF((YEAR(D122)+15)&lt;YEAR(E122),0,IF((YEAR(D122)+15)&gt;YEAR(E122),1,(12-MONTH(E122)+1)/12)))*(1/(1+DiscountRate)^15))</f>
        <v/>
      </c>
      <c r="BY122" s="36">
        <f>IF(A122="","",(K122)*(IF((YEAR(D122)+16)&lt;YEAR(E122),0,IF((YEAR(D122)+16)&gt;YEAR(E122),1,(12-MONTH(E122)+1)/12)))*(1/(1+DiscountRate)^16))</f>
        <v/>
      </c>
      <c r="BZ122" s="36">
        <f>IF(A122="","",(K122)*(IF((YEAR(D122)+17)&lt;YEAR(E122),0,IF((YEAR(D122)+17)&gt;YEAR(E122),1,(12-MONTH(E122)+1)/12)))*(1/(1+DiscountRate)^17))</f>
        <v/>
      </c>
      <c r="CA122" s="36">
        <f>IF(A122="","",(K122)*(IF((YEAR(D122)+18)&lt;YEAR(E122),0,IF((YEAR(D122)+18)&gt;YEAR(E122),1,(12-MONTH(E122)+1)/12)))*(1/(1+DiscountRate)^18))</f>
        <v/>
      </c>
      <c r="CB122" s="36">
        <f>IF(A122="","",(K122)*(IF((YEAR(D122)+19)&lt;YEAR(E122),0,IF((YEAR(D122)+19)&gt;YEAR(E122),1,(12-MONTH(E122)+1)/12)))*(1/(1+DiscountRate)^19))</f>
        <v/>
      </c>
      <c r="CC122" s="36">
        <f>IF(A122="","",(K122)*(IF((YEAR(D122)+20)&lt;YEAR(E122),0,IF((YEAR(D122)+20)&gt;YEAR(E122),1,(12-MONTH(E122)+1)/12)))*(1/(1+DiscountRate)^20))</f>
        <v/>
      </c>
      <c r="CD122" s="29">
        <f>IF(A122="","",S122/(1+DiscountRate)^0+T122/(1+DiscountRate)^1+U122/(1+DiscountRate)^2+V122/(1+DiscountRate)^3+W122/(1+DiscountRate)^4+X122/(1+DiscountRate)^5+Y122/(1+DiscountRate)^6+Z122/(1+DiscountRate)^7+AA122/(1+DiscountRate)^8+AB122/(1+DiscountRate)^9+AC122/(1+DiscountRate)^10+AD122/(1+DiscountRate)^11+AE122/(1+DiscountRate)^12+AF122/(1+DiscountRate)^13+AG122/(1+DiscountRate)^14+AH122/(1+DiscountRate)^15+AI122/(1+DiscountRate)^16+AJ122/(1+DiscountRate)^17+AK122/(1+DiscountRate)^18+AL122/(1+DiscountRate)^19+AM122/(1+DiscountRate)^20)</f>
        <v/>
      </c>
      <c r="CE122" s="37">
        <f>IF(A122="","",IFERROR(IRR(OFFSET(S122,0,0,1,MIN(HorizonYears,20)+1)),"n/a"))</f>
        <v/>
      </c>
      <c r="CF122" s="28">
        <f>IF(A122="","",IFERROR(MATCH(TRUE,OFFSET(AN122,0,0,1,MIN(HorizonYears,20)+1)&gt;=0,0)-1,"n/a"))</f>
        <v/>
      </c>
      <c r="CG122" s="36">
        <f>IF(A122="","",SUM(OFFSET(BI122,0,0,1,MIN(HorizonYears,20)+1)))</f>
        <v/>
      </c>
      <c r="CH122" s="36">
        <f>IF(A122="","",IFERROR(-CD122/CG122,"n/a"))</f>
        <v/>
      </c>
    </row>
    <row r="123">
      <c r="A123" s="6">
        <f>Actions!A121</f>
        <v/>
      </c>
      <c r="B123" s="6">
        <f>Actions!B121</f>
        <v/>
      </c>
      <c r="C123" s="6">
        <f>Actions!D121</f>
        <v/>
      </c>
      <c r="D123" s="35">
        <f>Actions!E121</f>
        <v/>
      </c>
      <c r="E123" s="35">
        <f>Actions!F121</f>
        <v/>
      </c>
      <c r="F123" s="6">
        <f>Actions!G121</f>
        <v/>
      </c>
      <c r="G123" s="6">
        <f>Actions!H121</f>
        <v/>
      </c>
      <c r="H123" s="29">
        <f>Actions!I121</f>
        <v/>
      </c>
      <c r="I123" s="6">
        <f>Actions!J121</f>
        <v/>
      </c>
      <c r="J123" s="16">
        <f>Actions!K121</f>
        <v/>
      </c>
      <c r="K123" s="16">
        <f>IF(A123="","",IF(I123="%",H123*J123,J123))</f>
        <v/>
      </c>
      <c r="L123" s="16">
        <f>Actions!L121</f>
        <v/>
      </c>
      <c r="M123" s="6">
        <f>Actions!M121</f>
        <v/>
      </c>
      <c r="N123" s="28">
        <f>Actions!N121</f>
        <v/>
      </c>
      <c r="O123" s="29">
        <f>Actions!T121</f>
        <v/>
      </c>
      <c r="P123" s="29">
        <f>Actions!Y121</f>
        <v/>
      </c>
      <c r="Q123" s="29">
        <f>Actions!Z121</f>
        <v/>
      </c>
      <c r="R123" s="29">
        <f>Actions!AA121</f>
        <v/>
      </c>
      <c r="S123" s="29">
        <f>IF(A123="","",((K123)*(IF(M123="",L123,IFERROR(IF(INDEX(Variablen!$I:$AT, MATCH(M123, Variablen!$A:$A, 0), MATCH((YEAR(D123)+0), Variablen!$I$3:$AT$3, 0))="",L123,INDEX(Variablen!$I:$AT, MATCH(M123, Variablen!$A:$A, 0), MATCH((YEAR(D123)+0), Variablen!$I$3:$AT$3, 0))),L123)))*(IF((YEAR(D123)+0)&lt;YEAR(E123),0,IF((YEAR(D123)+0)&gt;YEAR(E123),1,(12-MONTH(E123)+1)/12))) + (Q123)*(IF((YEAR(D123)+0)&lt;YEAR(E123),0,IF((YEAR(D123)+0)&gt;YEAR(E123),1,(12-MONTH(E123)+1)/12))))-((P123)*(IF((YEAR(D123)+0)&lt;YEAR(E123),0,IF((YEAR(D123)+0)&gt;YEAR(E123),1,(12-MONTH(E123)+1)/12))) + (R123)*(IF((YEAR(D123)+0)&lt;YEAR(E123),0,IF((YEAR(D123)+0)&gt;YEAR(E123),1,(12-MONTH(E123)+1)/12))))-(IF((((K123)*(IF(M123="",L123,IFERROR(IF(INDEX(Variablen!$I:$AT, MATCH(M123, Variablen!$A:$A, 0), MATCH((YEAR(D123)+0), Variablen!$I$3:$AT$3, 0))="",L123,INDEX(Variablen!$I:$AT, MATCH(M123, Variablen!$A:$A, 0), MATCH((YEAR(D123)+0), Variablen!$I$3:$AT$3, 0))),L123)))*(IF((YEAR(D123)+0)&lt;YEAR(E123),0,IF((YEAR(D123)+0)&gt;YEAR(E123),1,(12-MONTH(E123)+1)/12))) + (Q123)*(IF((YEAR(D123)+0)&lt;YEAR(E123),0,IF((YEAR(D123)+0)&gt;YEAR(E123),1,(12-MONTH(E123)+1)/12))))-((P123)*(IF((YEAR(D123)+0)&lt;YEAR(E123),0,IF((YEAR(D123)+0)&gt;YEAR(E123),1,(12-MONTH(E123)+1)/12))) + (R123)*(IF((YEAR(D123)+0)&lt;YEAR(E123),0,IF((YEAR(D123)+0)&gt;YEAR(E123),1,(12-MONTH(E123)+1)/12))))-(IF(OR(N123="",N123&lt;=0),0,(O123/N123)*(IF(OR(N123="",N123&lt;=0),0,IF((YEAR(D123)+0)&lt;YEAR(E123),0,IF((YEAR(D123)+0)&gt;=YEAR(E123)+N123,0,IF((YEAR(D123)+0)=YEAR(E123),(12-MONTH(E123)+1)/12,1))))))))&gt;0,(((K123)*(IF(M123="",L123,IFERROR(IF(INDEX(Variablen!$I:$AT, MATCH(M123, Variablen!$A:$A, 0), MATCH((YEAR(D123)+0), Variablen!$I$3:$AT$3, 0))="",L123,INDEX(Variablen!$I:$AT, MATCH(M123, Variablen!$A:$A, 0), MATCH((YEAR(D123)+0), Variablen!$I$3:$AT$3, 0))),L123)))*(IF((YEAR(D123)+0)&lt;YEAR(E123),0,IF((YEAR(D123)+0)&gt;YEAR(E123),1,(12-MONTH(E123)+1)/12))) + (Q123)*(IF((YEAR(D123)+0)&lt;YEAR(E123),0,IF((YEAR(D123)+0)&gt;YEAR(E123),1,(12-MONTH(E123)+1)/12))))-((P123)*(IF((YEAR(D123)+0)&lt;YEAR(E123),0,IF((YEAR(D123)+0)&gt;YEAR(E123),1,(12-MONTH(E123)+1)/12))) + (R123)*(IF((YEAR(D123)+0)&lt;YEAR(E123),0,IF((YEAR(D123)+0)&gt;YEAR(E123),1,(12-MONTH(E123)+1)/12))))-(IF(OR(N123="",N123&lt;=0),0,(O123/N123)*(IF(OR(N123="",N123&lt;=0),0,IF((YEAR(D123)+0)&lt;YEAR(E123),0,IF((YEAR(D123)+0)&gt;=YEAR(E123)+N123,0,IF((YEAR(D123)+0)=YEAR(E123),(12-MONTH(E123)+1)/12,1))))))))*TaxRate,0))-IF(0=0,O123,0))</f>
        <v/>
      </c>
      <c r="T123" s="29">
        <f>IF(A123="","",((K123)*(IF(M123="",L123,IFERROR(IF(INDEX(Variablen!$I:$AT, MATCH(M123, Variablen!$A:$A, 0), MATCH((YEAR(D123)+1), Variablen!$I$3:$AT$3, 0))="",L123,INDEX(Variablen!$I:$AT, MATCH(M123, Variablen!$A:$A, 0), MATCH((YEAR(D123)+1), Variablen!$I$3:$AT$3, 0))),L123)))*(IF((YEAR(D123)+1)&lt;YEAR(E123),0,IF((YEAR(D123)+1)&gt;YEAR(E123),1,(12-MONTH(E123)+1)/12))) + (Q123)*(IF((YEAR(D123)+1)&lt;YEAR(E123),0,IF((YEAR(D123)+1)&gt;YEAR(E123),1,(12-MONTH(E123)+1)/12))))-((P123)*(IF((YEAR(D123)+1)&lt;YEAR(E123),0,IF((YEAR(D123)+1)&gt;YEAR(E123),1,(12-MONTH(E123)+1)/12))) + (R123)*(IF((YEAR(D123)+1)&lt;YEAR(E123),0,IF((YEAR(D123)+1)&gt;YEAR(E123),1,(12-MONTH(E123)+1)/12))))-(IF((((K123)*(IF(M123="",L123,IFERROR(IF(INDEX(Variablen!$I:$AT, MATCH(M123, Variablen!$A:$A, 0), MATCH((YEAR(D123)+1), Variablen!$I$3:$AT$3, 0))="",L123,INDEX(Variablen!$I:$AT, MATCH(M123, Variablen!$A:$A, 0), MATCH((YEAR(D123)+1), Variablen!$I$3:$AT$3, 0))),L123)))*(IF((YEAR(D123)+1)&lt;YEAR(E123),0,IF((YEAR(D123)+1)&gt;YEAR(E123),1,(12-MONTH(E123)+1)/12))) + (Q123)*(IF((YEAR(D123)+1)&lt;YEAR(E123),0,IF((YEAR(D123)+1)&gt;YEAR(E123),1,(12-MONTH(E123)+1)/12))))-((P123)*(IF((YEAR(D123)+1)&lt;YEAR(E123),0,IF((YEAR(D123)+1)&gt;YEAR(E123),1,(12-MONTH(E123)+1)/12))) + (R123)*(IF((YEAR(D123)+1)&lt;YEAR(E123),0,IF((YEAR(D123)+1)&gt;YEAR(E123),1,(12-MONTH(E123)+1)/12))))-(IF(OR(N123="",N123&lt;=0),0,(O123/N123)*(IF(OR(N123="",N123&lt;=0),0,IF((YEAR(D123)+1)&lt;YEAR(E123),0,IF((YEAR(D123)+1)&gt;=YEAR(E123)+N123,0,IF((YEAR(D123)+1)=YEAR(E123),(12-MONTH(E123)+1)/12,1))))))))&gt;0,(((K123)*(IF(M123="",L123,IFERROR(IF(INDEX(Variablen!$I:$AT, MATCH(M123, Variablen!$A:$A, 0), MATCH((YEAR(D123)+1), Variablen!$I$3:$AT$3, 0))="",L123,INDEX(Variablen!$I:$AT, MATCH(M123, Variablen!$A:$A, 0), MATCH((YEAR(D123)+1), Variablen!$I$3:$AT$3, 0))),L123)))*(IF((YEAR(D123)+1)&lt;YEAR(E123),0,IF((YEAR(D123)+1)&gt;YEAR(E123),1,(12-MONTH(E123)+1)/12))) + (Q123)*(IF((YEAR(D123)+1)&lt;YEAR(E123),0,IF((YEAR(D123)+1)&gt;YEAR(E123),1,(12-MONTH(E123)+1)/12))))-((P123)*(IF((YEAR(D123)+1)&lt;YEAR(E123),0,IF((YEAR(D123)+1)&gt;YEAR(E123),1,(12-MONTH(E123)+1)/12))) + (R123)*(IF((YEAR(D123)+1)&lt;YEAR(E123),0,IF((YEAR(D123)+1)&gt;YEAR(E123),1,(12-MONTH(E123)+1)/12))))-(IF(OR(N123="",N123&lt;=0),0,(O123/N123)*(IF(OR(N123="",N123&lt;=0),0,IF((YEAR(D123)+1)&lt;YEAR(E123),0,IF((YEAR(D123)+1)&gt;=YEAR(E123)+N123,0,IF((YEAR(D123)+1)=YEAR(E123),(12-MONTH(E123)+1)/12,1))))))))*TaxRate,0))-IF(1=0,O123,0))</f>
        <v/>
      </c>
      <c r="U123" s="29">
        <f>IF(A123="","",((K123)*(IF(M123="",L123,IFERROR(IF(INDEX(Variablen!$I:$AT, MATCH(M123, Variablen!$A:$A, 0), MATCH((YEAR(D123)+2), Variablen!$I$3:$AT$3, 0))="",L123,INDEX(Variablen!$I:$AT, MATCH(M123, Variablen!$A:$A, 0), MATCH((YEAR(D123)+2), Variablen!$I$3:$AT$3, 0))),L123)))*(IF((YEAR(D123)+2)&lt;YEAR(E123),0,IF((YEAR(D123)+2)&gt;YEAR(E123),1,(12-MONTH(E123)+1)/12))) + (Q123)*(IF((YEAR(D123)+2)&lt;YEAR(E123),0,IF((YEAR(D123)+2)&gt;YEAR(E123),1,(12-MONTH(E123)+1)/12))))-((P123)*(IF((YEAR(D123)+2)&lt;YEAR(E123),0,IF((YEAR(D123)+2)&gt;YEAR(E123),1,(12-MONTH(E123)+1)/12))) + (R123)*(IF((YEAR(D123)+2)&lt;YEAR(E123),0,IF((YEAR(D123)+2)&gt;YEAR(E123),1,(12-MONTH(E123)+1)/12))))-(IF((((K123)*(IF(M123="",L123,IFERROR(IF(INDEX(Variablen!$I:$AT, MATCH(M123, Variablen!$A:$A, 0), MATCH((YEAR(D123)+2), Variablen!$I$3:$AT$3, 0))="",L123,INDEX(Variablen!$I:$AT, MATCH(M123, Variablen!$A:$A, 0), MATCH((YEAR(D123)+2), Variablen!$I$3:$AT$3, 0))),L123)))*(IF((YEAR(D123)+2)&lt;YEAR(E123),0,IF((YEAR(D123)+2)&gt;YEAR(E123),1,(12-MONTH(E123)+1)/12))) + (Q123)*(IF((YEAR(D123)+2)&lt;YEAR(E123),0,IF((YEAR(D123)+2)&gt;YEAR(E123),1,(12-MONTH(E123)+1)/12))))-((P123)*(IF((YEAR(D123)+2)&lt;YEAR(E123),0,IF((YEAR(D123)+2)&gt;YEAR(E123),1,(12-MONTH(E123)+1)/12))) + (R123)*(IF((YEAR(D123)+2)&lt;YEAR(E123),0,IF((YEAR(D123)+2)&gt;YEAR(E123),1,(12-MONTH(E123)+1)/12))))-(IF(OR(N123="",N123&lt;=0),0,(O123/N123)*(IF(OR(N123="",N123&lt;=0),0,IF((YEAR(D123)+2)&lt;YEAR(E123),0,IF((YEAR(D123)+2)&gt;=YEAR(E123)+N123,0,IF((YEAR(D123)+2)=YEAR(E123),(12-MONTH(E123)+1)/12,1))))))))&gt;0,(((K123)*(IF(M123="",L123,IFERROR(IF(INDEX(Variablen!$I:$AT, MATCH(M123, Variablen!$A:$A, 0), MATCH((YEAR(D123)+2), Variablen!$I$3:$AT$3, 0))="",L123,INDEX(Variablen!$I:$AT, MATCH(M123, Variablen!$A:$A, 0), MATCH((YEAR(D123)+2), Variablen!$I$3:$AT$3, 0))),L123)))*(IF((YEAR(D123)+2)&lt;YEAR(E123),0,IF((YEAR(D123)+2)&gt;YEAR(E123),1,(12-MONTH(E123)+1)/12))) + (Q123)*(IF((YEAR(D123)+2)&lt;YEAR(E123),0,IF((YEAR(D123)+2)&gt;YEAR(E123),1,(12-MONTH(E123)+1)/12))))-((P123)*(IF((YEAR(D123)+2)&lt;YEAR(E123),0,IF((YEAR(D123)+2)&gt;YEAR(E123),1,(12-MONTH(E123)+1)/12))) + (R123)*(IF((YEAR(D123)+2)&lt;YEAR(E123),0,IF((YEAR(D123)+2)&gt;YEAR(E123),1,(12-MONTH(E123)+1)/12))))-(IF(OR(N123="",N123&lt;=0),0,(O123/N123)*(IF(OR(N123="",N123&lt;=0),0,IF((YEAR(D123)+2)&lt;YEAR(E123),0,IF((YEAR(D123)+2)&gt;=YEAR(E123)+N123,0,IF((YEAR(D123)+2)=YEAR(E123),(12-MONTH(E123)+1)/12,1))))))))*TaxRate,0))-IF(2=0,O123,0))</f>
        <v/>
      </c>
      <c r="V123" s="29">
        <f>IF(A123="","",((K123)*(IF(M123="",L123,IFERROR(IF(INDEX(Variablen!$I:$AT, MATCH(M123, Variablen!$A:$A, 0), MATCH((YEAR(D123)+3), Variablen!$I$3:$AT$3, 0))="",L123,INDEX(Variablen!$I:$AT, MATCH(M123, Variablen!$A:$A, 0), MATCH((YEAR(D123)+3), Variablen!$I$3:$AT$3, 0))),L123)))*(IF((YEAR(D123)+3)&lt;YEAR(E123),0,IF((YEAR(D123)+3)&gt;YEAR(E123),1,(12-MONTH(E123)+1)/12))) + (Q123)*(IF((YEAR(D123)+3)&lt;YEAR(E123),0,IF((YEAR(D123)+3)&gt;YEAR(E123),1,(12-MONTH(E123)+1)/12))))-((P123)*(IF((YEAR(D123)+3)&lt;YEAR(E123),0,IF((YEAR(D123)+3)&gt;YEAR(E123),1,(12-MONTH(E123)+1)/12))) + (R123)*(IF((YEAR(D123)+3)&lt;YEAR(E123),0,IF((YEAR(D123)+3)&gt;YEAR(E123),1,(12-MONTH(E123)+1)/12))))-(IF((((K123)*(IF(M123="",L123,IFERROR(IF(INDEX(Variablen!$I:$AT, MATCH(M123, Variablen!$A:$A, 0), MATCH((YEAR(D123)+3), Variablen!$I$3:$AT$3, 0))="",L123,INDEX(Variablen!$I:$AT, MATCH(M123, Variablen!$A:$A, 0), MATCH((YEAR(D123)+3), Variablen!$I$3:$AT$3, 0))),L123)))*(IF((YEAR(D123)+3)&lt;YEAR(E123),0,IF((YEAR(D123)+3)&gt;YEAR(E123),1,(12-MONTH(E123)+1)/12))) + (Q123)*(IF((YEAR(D123)+3)&lt;YEAR(E123),0,IF((YEAR(D123)+3)&gt;YEAR(E123),1,(12-MONTH(E123)+1)/12))))-((P123)*(IF((YEAR(D123)+3)&lt;YEAR(E123),0,IF((YEAR(D123)+3)&gt;YEAR(E123),1,(12-MONTH(E123)+1)/12))) + (R123)*(IF((YEAR(D123)+3)&lt;YEAR(E123),0,IF((YEAR(D123)+3)&gt;YEAR(E123),1,(12-MONTH(E123)+1)/12))))-(IF(OR(N123="",N123&lt;=0),0,(O123/N123)*(IF(OR(N123="",N123&lt;=0),0,IF((YEAR(D123)+3)&lt;YEAR(E123),0,IF((YEAR(D123)+3)&gt;=YEAR(E123)+N123,0,IF((YEAR(D123)+3)=YEAR(E123),(12-MONTH(E123)+1)/12,1))))))))&gt;0,(((K123)*(IF(M123="",L123,IFERROR(IF(INDEX(Variablen!$I:$AT, MATCH(M123, Variablen!$A:$A, 0), MATCH((YEAR(D123)+3), Variablen!$I$3:$AT$3, 0))="",L123,INDEX(Variablen!$I:$AT, MATCH(M123, Variablen!$A:$A, 0), MATCH((YEAR(D123)+3), Variablen!$I$3:$AT$3, 0))),L123)))*(IF((YEAR(D123)+3)&lt;YEAR(E123),0,IF((YEAR(D123)+3)&gt;YEAR(E123),1,(12-MONTH(E123)+1)/12))) + (Q123)*(IF((YEAR(D123)+3)&lt;YEAR(E123),0,IF((YEAR(D123)+3)&gt;YEAR(E123),1,(12-MONTH(E123)+1)/12))))-((P123)*(IF((YEAR(D123)+3)&lt;YEAR(E123),0,IF((YEAR(D123)+3)&gt;YEAR(E123),1,(12-MONTH(E123)+1)/12))) + (R123)*(IF((YEAR(D123)+3)&lt;YEAR(E123),0,IF((YEAR(D123)+3)&gt;YEAR(E123),1,(12-MONTH(E123)+1)/12))))-(IF(OR(N123="",N123&lt;=0),0,(O123/N123)*(IF(OR(N123="",N123&lt;=0),0,IF((YEAR(D123)+3)&lt;YEAR(E123),0,IF((YEAR(D123)+3)&gt;=YEAR(E123)+N123,0,IF((YEAR(D123)+3)=YEAR(E123),(12-MONTH(E123)+1)/12,1))))))))*TaxRate,0))-IF(3=0,O123,0))</f>
        <v/>
      </c>
      <c r="W123" s="29">
        <f>IF(A123="","",((K123)*(IF(M123="",L123,IFERROR(IF(INDEX(Variablen!$I:$AT, MATCH(M123, Variablen!$A:$A, 0), MATCH((YEAR(D123)+4), Variablen!$I$3:$AT$3, 0))="",L123,INDEX(Variablen!$I:$AT, MATCH(M123, Variablen!$A:$A, 0), MATCH((YEAR(D123)+4), Variablen!$I$3:$AT$3, 0))),L123)))*(IF((YEAR(D123)+4)&lt;YEAR(E123),0,IF((YEAR(D123)+4)&gt;YEAR(E123),1,(12-MONTH(E123)+1)/12))) + (Q123)*(IF((YEAR(D123)+4)&lt;YEAR(E123),0,IF((YEAR(D123)+4)&gt;YEAR(E123),1,(12-MONTH(E123)+1)/12))))-((P123)*(IF((YEAR(D123)+4)&lt;YEAR(E123),0,IF((YEAR(D123)+4)&gt;YEAR(E123),1,(12-MONTH(E123)+1)/12))) + (R123)*(IF((YEAR(D123)+4)&lt;YEAR(E123),0,IF((YEAR(D123)+4)&gt;YEAR(E123),1,(12-MONTH(E123)+1)/12))))-(IF((((K123)*(IF(M123="",L123,IFERROR(IF(INDEX(Variablen!$I:$AT, MATCH(M123, Variablen!$A:$A, 0), MATCH((YEAR(D123)+4), Variablen!$I$3:$AT$3, 0))="",L123,INDEX(Variablen!$I:$AT, MATCH(M123, Variablen!$A:$A, 0), MATCH((YEAR(D123)+4), Variablen!$I$3:$AT$3, 0))),L123)))*(IF((YEAR(D123)+4)&lt;YEAR(E123),0,IF((YEAR(D123)+4)&gt;YEAR(E123),1,(12-MONTH(E123)+1)/12))) + (Q123)*(IF((YEAR(D123)+4)&lt;YEAR(E123),0,IF((YEAR(D123)+4)&gt;YEAR(E123),1,(12-MONTH(E123)+1)/12))))-((P123)*(IF((YEAR(D123)+4)&lt;YEAR(E123),0,IF((YEAR(D123)+4)&gt;YEAR(E123),1,(12-MONTH(E123)+1)/12))) + (R123)*(IF((YEAR(D123)+4)&lt;YEAR(E123),0,IF((YEAR(D123)+4)&gt;YEAR(E123),1,(12-MONTH(E123)+1)/12))))-(IF(OR(N123="",N123&lt;=0),0,(O123/N123)*(IF(OR(N123="",N123&lt;=0),0,IF((YEAR(D123)+4)&lt;YEAR(E123),0,IF((YEAR(D123)+4)&gt;=YEAR(E123)+N123,0,IF((YEAR(D123)+4)=YEAR(E123),(12-MONTH(E123)+1)/12,1))))))))&gt;0,(((K123)*(IF(M123="",L123,IFERROR(IF(INDEX(Variablen!$I:$AT, MATCH(M123, Variablen!$A:$A, 0), MATCH((YEAR(D123)+4), Variablen!$I$3:$AT$3, 0))="",L123,INDEX(Variablen!$I:$AT, MATCH(M123, Variablen!$A:$A, 0), MATCH((YEAR(D123)+4), Variablen!$I$3:$AT$3, 0))),L123)))*(IF((YEAR(D123)+4)&lt;YEAR(E123),0,IF((YEAR(D123)+4)&gt;YEAR(E123),1,(12-MONTH(E123)+1)/12))) + (Q123)*(IF((YEAR(D123)+4)&lt;YEAR(E123),0,IF((YEAR(D123)+4)&gt;YEAR(E123),1,(12-MONTH(E123)+1)/12))))-((P123)*(IF((YEAR(D123)+4)&lt;YEAR(E123),0,IF((YEAR(D123)+4)&gt;YEAR(E123),1,(12-MONTH(E123)+1)/12))) + (R123)*(IF((YEAR(D123)+4)&lt;YEAR(E123),0,IF((YEAR(D123)+4)&gt;YEAR(E123),1,(12-MONTH(E123)+1)/12))))-(IF(OR(N123="",N123&lt;=0),0,(O123/N123)*(IF(OR(N123="",N123&lt;=0),0,IF((YEAR(D123)+4)&lt;YEAR(E123),0,IF((YEAR(D123)+4)&gt;=YEAR(E123)+N123,0,IF((YEAR(D123)+4)=YEAR(E123),(12-MONTH(E123)+1)/12,1))))))))*TaxRate,0))-IF(4=0,O123,0))</f>
        <v/>
      </c>
      <c r="X123" s="29">
        <f>IF(A123="","",((K123)*(IF(M123="",L123,IFERROR(IF(INDEX(Variablen!$I:$AT, MATCH(M123, Variablen!$A:$A, 0), MATCH((YEAR(D123)+5), Variablen!$I$3:$AT$3, 0))="",L123,INDEX(Variablen!$I:$AT, MATCH(M123, Variablen!$A:$A, 0), MATCH((YEAR(D123)+5), Variablen!$I$3:$AT$3, 0))),L123)))*(IF((YEAR(D123)+5)&lt;YEAR(E123),0,IF((YEAR(D123)+5)&gt;YEAR(E123),1,(12-MONTH(E123)+1)/12))) + (Q123)*(IF((YEAR(D123)+5)&lt;YEAR(E123),0,IF((YEAR(D123)+5)&gt;YEAR(E123),1,(12-MONTH(E123)+1)/12))))-((P123)*(IF((YEAR(D123)+5)&lt;YEAR(E123),0,IF((YEAR(D123)+5)&gt;YEAR(E123),1,(12-MONTH(E123)+1)/12))) + (R123)*(IF((YEAR(D123)+5)&lt;YEAR(E123),0,IF((YEAR(D123)+5)&gt;YEAR(E123),1,(12-MONTH(E123)+1)/12))))-(IF((((K123)*(IF(M123="",L123,IFERROR(IF(INDEX(Variablen!$I:$AT, MATCH(M123, Variablen!$A:$A, 0), MATCH((YEAR(D123)+5), Variablen!$I$3:$AT$3, 0))="",L123,INDEX(Variablen!$I:$AT, MATCH(M123, Variablen!$A:$A, 0), MATCH((YEAR(D123)+5), Variablen!$I$3:$AT$3, 0))),L123)))*(IF((YEAR(D123)+5)&lt;YEAR(E123),0,IF((YEAR(D123)+5)&gt;YEAR(E123),1,(12-MONTH(E123)+1)/12))) + (Q123)*(IF((YEAR(D123)+5)&lt;YEAR(E123),0,IF((YEAR(D123)+5)&gt;YEAR(E123),1,(12-MONTH(E123)+1)/12))))-((P123)*(IF((YEAR(D123)+5)&lt;YEAR(E123),0,IF((YEAR(D123)+5)&gt;YEAR(E123),1,(12-MONTH(E123)+1)/12))) + (R123)*(IF((YEAR(D123)+5)&lt;YEAR(E123),0,IF((YEAR(D123)+5)&gt;YEAR(E123),1,(12-MONTH(E123)+1)/12))))-(IF(OR(N123="",N123&lt;=0),0,(O123/N123)*(IF(OR(N123="",N123&lt;=0),0,IF((YEAR(D123)+5)&lt;YEAR(E123),0,IF((YEAR(D123)+5)&gt;=YEAR(E123)+N123,0,IF((YEAR(D123)+5)=YEAR(E123),(12-MONTH(E123)+1)/12,1))))))))&gt;0,(((K123)*(IF(M123="",L123,IFERROR(IF(INDEX(Variablen!$I:$AT, MATCH(M123, Variablen!$A:$A, 0), MATCH((YEAR(D123)+5), Variablen!$I$3:$AT$3, 0))="",L123,INDEX(Variablen!$I:$AT, MATCH(M123, Variablen!$A:$A, 0), MATCH((YEAR(D123)+5), Variablen!$I$3:$AT$3, 0))),L123)))*(IF((YEAR(D123)+5)&lt;YEAR(E123),0,IF((YEAR(D123)+5)&gt;YEAR(E123),1,(12-MONTH(E123)+1)/12))) + (Q123)*(IF((YEAR(D123)+5)&lt;YEAR(E123),0,IF((YEAR(D123)+5)&gt;YEAR(E123),1,(12-MONTH(E123)+1)/12))))-((P123)*(IF((YEAR(D123)+5)&lt;YEAR(E123),0,IF((YEAR(D123)+5)&gt;YEAR(E123),1,(12-MONTH(E123)+1)/12))) + (R123)*(IF((YEAR(D123)+5)&lt;YEAR(E123),0,IF((YEAR(D123)+5)&gt;YEAR(E123),1,(12-MONTH(E123)+1)/12))))-(IF(OR(N123="",N123&lt;=0),0,(O123/N123)*(IF(OR(N123="",N123&lt;=0),0,IF((YEAR(D123)+5)&lt;YEAR(E123),0,IF((YEAR(D123)+5)&gt;=YEAR(E123)+N123,0,IF((YEAR(D123)+5)=YEAR(E123),(12-MONTH(E123)+1)/12,1))))))))*TaxRate,0))-IF(5=0,O123,0))</f>
        <v/>
      </c>
      <c r="Y123" s="29">
        <f>IF(A123="","",((K123)*(IF(M123="",L123,IFERROR(IF(INDEX(Variablen!$I:$AT, MATCH(M123, Variablen!$A:$A, 0), MATCH((YEAR(D123)+6), Variablen!$I$3:$AT$3, 0))="",L123,INDEX(Variablen!$I:$AT, MATCH(M123, Variablen!$A:$A, 0), MATCH((YEAR(D123)+6), Variablen!$I$3:$AT$3, 0))),L123)))*(IF((YEAR(D123)+6)&lt;YEAR(E123),0,IF((YEAR(D123)+6)&gt;YEAR(E123),1,(12-MONTH(E123)+1)/12))) + (Q123)*(IF((YEAR(D123)+6)&lt;YEAR(E123),0,IF((YEAR(D123)+6)&gt;YEAR(E123),1,(12-MONTH(E123)+1)/12))))-((P123)*(IF((YEAR(D123)+6)&lt;YEAR(E123),0,IF((YEAR(D123)+6)&gt;YEAR(E123),1,(12-MONTH(E123)+1)/12))) + (R123)*(IF((YEAR(D123)+6)&lt;YEAR(E123),0,IF((YEAR(D123)+6)&gt;YEAR(E123),1,(12-MONTH(E123)+1)/12))))-(IF((((K123)*(IF(M123="",L123,IFERROR(IF(INDEX(Variablen!$I:$AT, MATCH(M123, Variablen!$A:$A, 0), MATCH((YEAR(D123)+6), Variablen!$I$3:$AT$3, 0))="",L123,INDEX(Variablen!$I:$AT, MATCH(M123, Variablen!$A:$A, 0), MATCH((YEAR(D123)+6), Variablen!$I$3:$AT$3, 0))),L123)))*(IF((YEAR(D123)+6)&lt;YEAR(E123),0,IF((YEAR(D123)+6)&gt;YEAR(E123),1,(12-MONTH(E123)+1)/12))) + (Q123)*(IF((YEAR(D123)+6)&lt;YEAR(E123),0,IF((YEAR(D123)+6)&gt;YEAR(E123),1,(12-MONTH(E123)+1)/12))))-((P123)*(IF((YEAR(D123)+6)&lt;YEAR(E123),0,IF((YEAR(D123)+6)&gt;YEAR(E123),1,(12-MONTH(E123)+1)/12))) + (R123)*(IF((YEAR(D123)+6)&lt;YEAR(E123),0,IF((YEAR(D123)+6)&gt;YEAR(E123),1,(12-MONTH(E123)+1)/12))))-(IF(OR(N123="",N123&lt;=0),0,(O123/N123)*(IF(OR(N123="",N123&lt;=0),0,IF((YEAR(D123)+6)&lt;YEAR(E123),0,IF((YEAR(D123)+6)&gt;=YEAR(E123)+N123,0,IF((YEAR(D123)+6)=YEAR(E123),(12-MONTH(E123)+1)/12,1))))))))&gt;0,(((K123)*(IF(M123="",L123,IFERROR(IF(INDEX(Variablen!$I:$AT, MATCH(M123, Variablen!$A:$A, 0), MATCH((YEAR(D123)+6), Variablen!$I$3:$AT$3, 0))="",L123,INDEX(Variablen!$I:$AT, MATCH(M123, Variablen!$A:$A, 0), MATCH((YEAR(D123)+6), Variablen!$I$3:$AT$3, 0))),L123)))*(IF((YEAR(D123)+6)&lt;YEAR(E123),0,IF((YEAR(D123)+6)&gt;YEAR(E123),1,(12-MONTH(E123)+1)/12))) + (Q123)*(IF((YEAR(D123)+6)&lt;YEAR(E123),0,IF((YEAR(D123)+6)&gt;YEAR(E123),1,(12-MONTH(E123)+1)/12))))-((P123)*(IF((YEAR(D123)+6)&lt;YEAR(E123),0,IF((YEAR(D123)+6)&gt;YEAR(E123),1,(12-MONTH(E123)+1)/12))) + (R123)*(IF((YEAR(D123)+6)&lt;YEAR(E123),0,IF((YEAR(D123)+6)&gt;YEAR(E123),1,(12-MONTH(E123)+1)/12))))-(IF(OR(N123="",N123&lt;=0),0,(O123/N123)*(IF(OR(N123="",N123&lt;=0),0,IF((YEAR(D123)+6)&lt;YEAR(E123),0,IF((YEAR(D123)+6)&gt;=YEAR(E123)+N123,0,IF((YEAR(D123)+6)=YEAR(E123),(12-MONTH(E123)+1)/12,1))))))))*TaxRate,0))-IF(6=0,O123,0))</f>
        <v/>
      </c>
      <c r="Z123" s="29">
        <f>IF(A123="","",((K123)*(IF(M123="",L123,IFERROR(IF(INDEX(Variablen!$I:$AT, MATCH(M123, Variablen!$A:$A, 0), MATCH((YEAR(D123)+7), Variablen!$I$3:$AT$3, 0))="",L123,INDEX(Variablen!$I:$AT, MATCH(M123, Variablen!$A:$A, 0), MATCH((YEAR(D123)+7), Variablen!$I$3:$AT$3, 0))),L123)))*(IF((YEAR(D123)+7)&lt;YEAR(E123),0,IF((YEAR(D123)+7)&gt;YEAR(E123),1,(12-MONTH(E123)+1)/12))) + (Q123)*(IF((YEAR(D123)+7)&lt;YEAR(E123),0,IF((YEAR(D123)+7)&gt;YEAR(E123),1,(12-MONTH(E123)+1)/12))))-((P123)*(IF((YEAR(D123)+7)&lt;YEAR(E123),0,IF((YEAR(D123)+7)&gt;YEAR(E123),1,(12-MONTH(E123)+1)/12))) + (R123)*(IF((YEAR(D123)+7)&lt;YEAR(E123),0,IF((YEAR(D123)+7)&gt;YEAR(E123),1,(12-MONTH(E123)+1)/12))))-(IF((((K123)*(IF(M123="",L123,IFERROR(IF(INDEX(Variablen!$I:$AT, MATCH(M123, Variablen!$A:$A, 0), MATCH((YEAR(D123)+7), Variablen!$I$3:$AT$3, 0))="",L123,INDEX(Variablen!$I:$AT, MATCH(M123, Variablen!$A:$A, 0), MATCH((YEAR(D123)+7), Variablen!$I$3:$AT$3, 0))),L123)))*(IF((YEAR(D123)+7)&lt;YEAR(E123),0,IF((YEAR(D123)+7)&gt;YEAR(E123),1,(12-MONTH(E123)+1)/12))) + (Q123)*(IF((YEAR(D123)+7)&lt;YEAR(E123),0,IF((YEAR(D123)+7)&gt;YEAR(E123),1,(12-MONTH(E123)+1)/12))))-((P123)*(IF((YEAR(D123)+7)&lt;YEAR(E123),0,IF((YEAR(D123)+7)&gt;YEAR(E123),1,(12-MONTH(E123)+1)/12))) + (R123)*(IF((YEAR(D123)+7)&lt;YEAR(E123),0,IF((YEAR(D123)+7)&gt;YEAR(E123),1,(12-MONTH(E123)+1)/12))))-(IF(OR(N123="",N123&lt;=0),0,(O123/N123)*(IF(OR(N123="",N123&lt;=0),0,IF((YEAR(D123)+7)&lt;YEAR(E123),0,IF((YEAR(D123)+7)&gt;=YEAR(E123)+N123,0,IF((YEAR(D123)+7)=YEAR(E123),(12-MONTH(E123)+1)/12,1))))))))&gt;0,(((K123)*(IF(M123="",L123,IFERROR(IF(INDEX(Variablen!$I:$AT, MATCH(M123, Variablen!$A:$A, 0), MATCH((YEAR(D123)+7), Variablen!$I$3:$AT$3, 0))="",L123,INDEX(Variablen!$I:$AT, MATCH(M123, Variablen!$A:$A, 0), MATCH((YEAR(D123)+7), Variablen!$I$3:$AT$3, 0))),L123)))*(IF((YEAR(D123)+7)&lt;YEAR(E123),0,IF((YEAR(D123)+7)&gt;YEAR(E123),1,(12-MONTH(E123)+1)/12))) + (Q123)*(IF((YEAR(D123)+7)&lt;YEAR(E123),0,IF((YEAR(D123)+7)&gt;YEAR(E123),1,(12-MONTH(E123)+1)/12))))-((P123)*(IF((YEAR(D123)+7)&lt;YEAR(E123),0,IF((YEAR(D123)+7)&gt;YEAR(E123),1,(12-MONTH(E123)+1)/12))) + (R123)*(IF((YEAR(D123)+7)&lt;YEAR(E123),0,IF((YEAR(D123)+7)&gt;YEAR(E123),1,(12-MONTH(E123)+1)/12))))-(IF(OR(N123="",N123&lt;=0),0,(O123/N123)*(IF(OR(N123="",N123&lt;=0),0,IF((YEAR(D123)+7)&lt;YEAR(E123),0,IF((YEAR(D123)+7)&gt;=YEAR(E123)+N123,0,IF((YEAR(D123)+7)=YEAR(E123),(12-MONTH(E123)+1)/12,1))))))))*TaxRate,0))-IF(7=0,O123,0))</f>
        <v/>
      </c>
      <c r="AA123" s="29">
        <f>IF(A123="","",((K123)*(IF(M123="",L123,IFERROR(IF(INDEX(Variablen!$I:$AT, MATCH(M123, Variablen!$A:$A, 0), MATCH((YEAR(D123)+8), Variablen!$I$3:$AT$3, 0))="",L123,INDEX(Variablen!$I:$AT, MATCH(M123, Variablen!$A:$A, 0), MATCH((YEAR(D123)+8), Variablen!$I$3:$AT$3, 0))),L123)))*(IF((YEAR(D123)+8)&lt;YEAR(E123),0,IF((YEAR(D123)+8)&gt;YEAR(E123),1,(12-MONTH(E123)+1)/12))) + (Q123)*(IF((YEAR(D123)+8)&lt;YEAR(E123),0,IF((YEAR(D123)+8)&gt;YEAR(E123),1,(12-MONTH(E123)+1)/12))))-((P123)*(IF((YEAR(D123)+8)&lt;YEAR(E123),0,IF((YEAR(D123)+8)&gt;YEAR(E123),1,(12-MONTH(E123)+1)/12))) + (R123)*(IF((YEAR(D123)+8)&lt;YEAR(E123),0,IF((YEAR(D123)+8)&gt;YEAR(E123),1,(12-MONTH(E123)+1)/12))))-(IF((((K123)*(IF(M123="",L123,IFERROR(IF(INDEX(Variablen!$I:$AT, MATCH(M123, Variablen!$A:$A, 0), MATCH((YEAR(D123)+8), Variablen!$I$3:$AT$3, 0))="",L123,INDEX(Variablen!$I:$AT, MATCH(M123, Variablen!$A:$A, 0), MATCH((YEAR(D123)+8), Variablen!$I$3:$AT$3, 0))),L123)))*(IF((YEAR(D123)+8)&lt;YEAR(E123),0,IF((YEAR(D123)+8)&gt;YEAR(E123),1,(12-MONTH(E123)+1)/12))) + (Q123)*(IF((YEAR(D123)+8)&lt;YEAR(E123),0,IF((YEAR(D123)+8)&gt;YEAR(E123),1,(12-MONTH(E123)+1)/12))))-((P123)*(IF((YEAR(D123)+8)&lt;YEAR(E123),0,IF((YEAR(D123)+8)&gt;YEAR(E123),1,(12-MONTH(E123)+1)/12))) + (R123)*(IF((YEAR(D123)+8)&lt;YEAR(E123),0,IF((YEAR(D123)+8)&gt;YEAR(E123),1,(12-MONTH(E123)+1)/12))))-(IF(OR(N123="",N123&lt;=0),0,(O123/N123)*(IF(OR(N123="",N123&lt;=0),0,IF((YEAR(D123)+8)&lt;YEAR(E123),0,IF((YEAR(D123)+8)&gt;=YEAR(E123)+N123,0,IF((YEAR(D123)+8)=YEAR(E123),(12-MONTH(E123)+1)/12,1))))))))&gt;0,(((K123)*(IF(M123="",L123,IFERROR(IF(INDEX(Variablen!$I:$AT, MATCH(M123, Variablen!$A:$A, 0), MATCH((YEAR(D123)+8), Variablen!$I$3:$AT$3, 0))="",L123,INDEX(Variablen!$I:$AT, MATCH(M123, Variablen!$A:$A, 0), MATCH((YEAR(D123)+8), Variablen!$I$3:$AT$3, 0))),L123)))*(IF((YEAR(D123)+8)&lt;YEAR(E123),0,IF((YEAR(D123)+8)&gt;YEAR(E123),1,(12-MONTH(E123)+1)/12))) + (Q123)*(IF((YEAR(D123)+8)&lt;YEAR(E123),0,IF((YEAR(D123)+8)&gt;YEAR(E123),1,(12-MONTH(E123)+1)/12))))-((P123)*(IF((YEAR(D123)+8)&lt;YEAR(E123),0,IF((YEAR(D123)+8)&gt;YEAR(E123),1,(12-MONTH(E123)+1)/12))) + (R123)*(IF((YEAR(D123)+8)&lt;YEAR(E123),0,IF((YEAR(D123)+8)&gt;YEAR(E123),1,(12-MONTH(E123)+1)/12))))-(IF(OR(N123="",N123&lt;=0),0,(O123/N123)*(IF(OR(N123="",N123&lt;=0),0,IF((YEAR(D123)+8)&lt;YEAR(E123),0,IF((YEAR(D123)+8)&gt;=YEAR(E123)+N123,0,IF((YEAR(D123)+8)=YEAR(E123),(12-MONTH(E123)+1)/12,1))))))))*TaxRate,0))-IF(8=0,O123,0))</f>
        <v/>
      </c>
      <c r="AB123" s="29">
        <f>IF(A123="","",((K123)*(IF(M123="",L123,IFERROR(IF(INDEX(Variablen!$I:$AT, MATCH(M123, Variablen!$A:$A, 0), MATCH((YEAR(D123)+9), Variablen!$I$3:$AT$3, 0))="",L123,INDEX(Variablen!$I:$AT, MATCH(M123, Variablen!$A:$A, 0), MATCH((YEAR(D123)+9), Variablen!$I$3:$AT$3, 0))),L123)))*(IF((YEAR(D123)+9)&lt;YEAR(E123),0,IF((YEAR(D123)+9)&gt;YEAR(E123),1,(12-MONTH(E123)+1)/12))) + (Q123)*(IF((YEAR(D123)+9)&lt;YEAR(E123),0,IF((YEAR(D123)+9)&gt;YEAR(E123),1,(12-MONTH(E123)+1)/12))))-((P123)*(IF((YEAR(D123)+9)&lt;YEAR(E123),0,IF((YEAR(D123)+9)&gt;YEAR(E123),1,(12-MONTH(E123)+1)/12))) + (R123)*(IF((YEAR(D123)+9)&lt;YEAR(E123),0,IF((YEAR(D123)+9)&gt;YEAR(E123),1,(12-MONTH(E123)+1)/12))))-(IF((((K123)*(IF(M123="",L123,IFERROR(IF(INDEX(Variablen!$I:$AT, MATCH(M123, Variablen!$A:$A, 0), MATCH((YEAR(D123)+9), Variablen!$I$3:$AT$3, 0))="",L123,INDEX(Variablen!$I:$AT, MATCH(M123, Variablen!$A:$A, 0), MATCH((YEAR(D123)+9), Variablen!$I$3:$AT$3, 0))),L123)))*(IF((YEAR(D123)+9)&lt;YEAR(E123),0,IF((YEAR(D123)+9)&gt;YEAR(E123),1,(12-MONTH(E123)+1)/12))) + (Q123)*(IF((YEAR(D123)+9)&lt;YEAR(E123),0,IF((YEAR(D123)+9)&gt;YEAR(E123),1,(12-MONTH(E123)+1)/12))))-((P123)*(IF((YEAR(D123)+9)&lt;YEAR(E123),0,IF((YEAR(D123)+9)&gt;YEAR(E123),1,(12-MONTH(E123)+1)/12))) + (R123)*(IF((YEAR(D123)+9)&lt;YEAR(E123),0,IF((YEAR(D123)+9)&gt;YEAR(E123),1,(12-MONTH(E123)+1)/12))))-(IF(OR(N123="",N123&lt;=0),0,(O123/N123)*(IF(OR(N123="",N123&lt;=0),0,IF((YEAR(D123)+9)&lt;YEAR(E123),0,IF((YEAR(D123)+9)&gt;=YEAR(E123)+N123,0,IF((YEAR(D123)+9)=YEAR(E123),(12-MONTH(E123)+1)/12,1))))))))&gt;0,(((K123)*(IF(M123="",L123,IFERROR(IF(INDEX(Variablen!$I:$AT, MATCH(M123, Variablen!$A:$A, 0), MATCH((YEAR(D123)+9), Variablen!$I$3:$AT$3, 0))="",L123,INDEX(Variablen!$I:$AT, MATCH(M123, Variablen!$A:$A, 0), MATCH((YEAR(D123)+9), Variablen!$I$3:$AT$3, 0))),L123)))*(IF((YEAR(D123)+9)&lt;YEAR(E123),0,IF((YEAR(D123)+9)&gt;YEAR(E123),1,(12-MONTH(E123)+1)/12))) + (Q123)*(IF((YEAR(D123)+9)&lt;YEAR(E123),0,IF((YEAR(D123)+9)&gt;YEAR(E123),1,(12-MONTH(E123)+1)/12))))-((P123)*(IF((YEAR(D123)+9)&lt;YEAR(E123),0,IF((YEAR(D123)+9)&gt;YEAR(E123),1,(12-MONTH(E123)+1)/12))) + (R123)*(IF((YEAR(D123)+9)&lt;YEAR(E123),0,IF((YEAR(D123)+9)&gt;YEAR(E123),1,(12-MONTH(E123)+1)/12))))-(IF(OR(N123="",N123&lt;=0),0,(O123/N123)*(IF(OR(N123="",N123&lt;=0),0,IF((YEAR(D123)+9)&lt;YEAR(E123),0,IF((YEAR(D123)+9)&gt;=YEAR(E123)+N123,0,IF((YEAR(D123)+9)=YEAR(E123),(12-MONTH(E123)+1)/12,1))))))))*TaxRate,0))-IF(9=0,O123,0))</f>
        <v/>
      </c>
      <c r="AC123" s="29">
        <f>IF(A123="","",((K123)*(IF(M123="",L123,IFERROR(IF(INDEX(Variablen!$I:$AT, MATCH(M123, Variablen!$A:$A, 0), MATCH((YEAR(D123)+10), Variablen!$I$3:$AT$3, 0))="",L123,INDEX(Variablen!$I:$AT, MATCH(M123, Variablen!$A:$A, 0), MATCH((YEAR(D123)+10), Variablen!$I$3:$AT$3, 0))),L123)))*(IF((YEAR(D123)+10)&lt;YEAR(E123),0,IF((YEAR(D123)+10)&gt;YEAR(E123),1,(12-MONTH(E123)+1)/12))) + (Q123)*(IF((YEAR(D123)+10)&lt;YEAR(E123),0,IF((YEAR(D123)+10)&gt;YEAR(E123),1,(12-MONTH(E123)+1)/12))))-((P123)*(IF((YEAR(D123)+10)&lt;YEAR(E123),0,IF((YEAR(D123)+10)&gt;YEAR(E123),1,(12-MONTH(E123)+1)/12))) + (R123)*(IF((YEAR(D123)+10)&lt;YEAR(E123),0,IF((YEAR(D123)+10)&gt;YEAR(E123),1,(12-MONTH(E123)+1)/12))))-(IF((((K123)*(IF(M123="",L123,IFERROR(IF(INDEX(Variablen!$I:$AT, MATCH(M123, Variablen!$A:$A, 0), MATCH((YEAR(D123)+10), Variablen!$I$3:$AT$3, 0))="",L123,INDEX(Variablen!$I:$AT, MATCH(M123, Variablen!$A:$A, 0), MATCH((YEAR(D123)+10), Variablen!$I$3:$AT$3, 0))),L123)))*(IF((YEAR(D123)+10)&lt;YEAR(E123),0,IF((YEAR(D123)+10)&gt;YEAR(E123),1,(12-MONTH(E123)+1)/12))) + (Q123)*(IF((YEAR(D123)+10)&lt;YEAR(E123),0,IF((YEAR(D123)+10)&gt;YEAR(E123),1,(12-MONTH(E123)+1)/12))))-((P123)*(IF((YEAR(D123)+10)&lt;YEAR(E123),0,IF((YEAR(D123)+10)&gt;YEAR(E123),1,(12-MONTH(E123)+1)/12))) + (R123)*(IF((YEAR(D123)+10)&lt;YEAR(E123),0,IF((YEAR(D123)+10)&gt;YEAR(E123),1,(12-MONTH(E123)+1)/12))))-(IF(OR(N123="",N123&lt;=0),0,(O123/N123)*(IF(OR(N123="",N123&lt;=0),0,IF((YEAR(D123)+10)&lt;YEAR(E123),0,IF((YEAR(D123)+10)&gt;=YEAR(E123)+N123,0,IF((YEAR(D123)+10)=YEAR(E123),(12-MONTH(E123)+1)/12,1))))))))&gt;0,(((K123)*(IF(M123="",L123,IFERROR(IF(INDEX(Variablen!$I:$AT, MATCH(M123, Variablen!$A:$A, 0), MATCH((YEAR(D123)+10), Variablen!$I$3:$AT$3, 0))="",L123,INDEX(Variablen!$I:$AT, MATCH(M123, Variablen!$A:$A, 0), MATCH((YEAR(D123)+10), Variablen!$I$3:$AT$3, 0))),L123)))*(IF((YEAR(D123)+10)&lt;YEAR(E123),0,IF((YEAR(D123)+10)&gt;YEAR(E123),1,(12-MONTH(E123)+1)/12))) + (Q123)*(IF((YEAR(D123)+10)&lt;YEAR(E123),0,IF((YEAR(D123)+10)&gt;YEAR(E123),1,(12-MONTH(E123)+1)/12))))-((P123)*(IF((YEAR(D123)+10)&lt;YEAR(E123),0,IF((YEAR(D123)+10)&gt;YEAR(E123),1,(12-MONTH(E123)+1)/12))) + (R123)*(IF((YEAR(D123)+10)&lt;YEAR(E123),0,IF((YEAR(D123)+10)&gt;YEAR(E123),1,(12-MONTH(E123)+1)/12))))-(IF(OR(N123="",N123&lt;=0),0,(O123/N123)*(IF(OR(N123="",N123&lt;=0),0,IF((YEAR(D123)+10)&lt;YEAR(E123),0,IF((YEAR(D123)+10)&gt;=YEAR(E123)+N123,0,IF((YEAR(D123)+10)=YEAR(E123),(12-MONTH(E123)+1)/12,1))))))))*TaxRate,0))-IF(10=0,O123,0))</f>
        <v/>
      </c>
      <c r="AD123" s="29">
        <f>IF(A123="","",((K123)*(IF(M123="",L123,IFERROR(IF(INDEX(Variablen!$I:$AT, MATCH(M123, Variablen!$A:$A, 0), MATCH((YEAR(D123)+11), Variablen!$I$3:$AT$3, 0))="",L123,INDEX(Variablen!$I:$AT, MATCH(M123, Variablen!$A:$A, 0), MATCH((YEAR(D123)+11), Variablen!$I$3:$AT$3, 0))),L123)))*(IF((YEAR(D123)+11)&lt;YEAR(E123),0,IF((YEAR(D123)+11)&gt;YEAR(E123),1,(12-MONTH(E123)+1)/12))) + (Q123)*(IF((YEAR(D123)+11)&lt;YEAR(E123),0,IF((YEAR(D123)+11)&gt;YEAR(E123),1,(12-MONTH(E123)+1)/12))))-((P123)*(IF((YEAR(D123)+11)&lt;YEAR(E123),0,IF((YEAR(D123)+11)&gt;YEAR(E123),1,(12-MONTH(E123)+1)/12))) + (R123)*(IF((YEAR(D123)+11)&lt;YEAR(E123),0,IF((YEAR(D123)+11)&gt;YEAR(E123),1,(12-MONTH(E123)+1)/12))))-(IF((((K123)*(IF(M123="",L123,IFERROR(IF(INDEX(Variablen!$I:$AT, MATCH(M123, Variablen!$A:$A, 0), MATCH((YEAR(D123)+11), Variablen!$I$3:$AT$3, 0))="",L123,INDEX(Variablen!$I:$AT, MATCH(M123, Variablen!$A:$A, 0), MATCH((YEAR(D123)+11), Variablen!$I$3:$AT$3, 0))),L123)))*(IF((YEAR(D123)+11)&lt;YEAR(E123),0,IF((YEAR(D123)+11)&gt;YEAR(E123),1,(12-MONTH(E123)+1)/12))) + (Q123)*(IF((YEAR(D123)+11)&lt;YEAR(E123),0,IF((YEAR(D123)+11)&gt;YEAR(E123),1,(12-MONTH(E123)+1)/12))))-((P123)*(IF((YEAR(D123)+11)&lt;YEAR(E123),0,IF((YEAR(D123)+11)&gt;YEAR(E123),1,(12-MONTH(E123)+1)/12))) + (R123)*(IF((YEAR(D123)+11)&lt;YEAR(E123),0,IF((YEAR(D123)+11)&gt;YEAR(E123),1,(12-MONTH(E123)+1)/12))))-(IF(OR(N123="",N123&lt;=0),0,(O123/N123)*(IF(OR(N123="",N123&lt;=0),0,IF((YEAR(D123)+11)&lt;YEAR(E123),0,IF((YEAR(D123)+11)&gt;=YEAR(E123)+N123,0,IF((YEAR(D123)+11)=YEAR(E123),(12-MONTH(E123)+1)/12,1))))))))&gt;0,(((K123)*(IF(M123="",L123,IFERROR(IF(INDEX(Variablen!$I:$AT, MATCH(M123, Variablen!$A:$A, 0), MATCH((YEAR(D123)+11), Variablen!$I$3:$AT$3, 0))="",L123,INDEX(Variablen!$I:$AT, MATCH(M123, Variablen!$A:$A, 0), MATCH((YEAR(D123)+11), Variablen!$I$3:$AT$3, 0))),L123)))*(IF((YEAR(D123)+11)&lt;YEAR(E123),0,IF((YEAR(D123)+11)&gt;YEAR(E123),1,(12-MONTH(E123)+1)/12))) + (Q123)*(IF((YEAR(D123)+11)&lt;YEAR(E123),0,IF((YEAR(D123)+11)&gt;YEAR(E123),1,(12-MONTH(E123)+1)/12))))-((P123)*(IF((YEAR(D123)+11)&lt;YEAR(E123),0,IF((YEAR(D123)+11)&gt;YEAR(E123),1,(12-MONTH(E123)+1)/12))) + (R123)*(IF((YEAR(D123)+11)&lt;YEAR(E123),0,IF((YEAR(D123)+11)&gt;YEAR(E123),1,(12-MONTH(E123)+1)/12))))-(IF(OR(N123="",N123&lt;=0),0,(O123/N123)*(IF(OR(N123="",N123&lt;=0),0,IF((YEAR(D123)+11)&lt;YEAR(E123),0,IF((YEAR(D123)+11)&gt;=YEAR(E123)+N123,0,IF((YEAR(D123)+11)=YEAR(E123),(12-MONTH(E123)+1)/12,1))))))))*TaxRate,0))-IF(11=0,O123,0))</f>
        <v/>
      </c>
      <c r="AE123" s="29">
        <f>IF(A123="","",((K123)*(IF(M123="",L123,IFERROR(IF(INDEX(Variablen!$I:$AT, MATCH(M123, Variablen!$A:$A, 0), MATCH((YEAR(D123)+12), Variablen!$I$3:$AT$3, 0))="",L123,INDEX(Variablen!$I:$AT, MATCH(M123, Variablen!$A:$A, 0), MATCH((YEAR(D123)+12), Variablen!$I$3:$AT$3, 0))),L123)))*(IF((YEAR(D123)+12)&lt;YEAR(E123),0,IF((YEAR(D123)+12)&gt;YEAR(E123),1,(12-MONTH(E123)+1)/12))) + (Q123)*(IF((YEAR(D123)+12)&lt;YEAR(E123),0,IF((YEAR(D123)+12)&gt;YEAR(E123),1,(12-MONTH(E123)+1)/12))))-((P123)*(IF((YEAR(D123)+12)&lt;YEAR(E123),0,IF((YEAR(D123)+12)&gt;YEAR(E123),1,(12-MONTH(E123)+1)/12))) + (R123)*(IF((YEAR(D123)+12)&lt;YEAR(E123),0,IF((YEAR(D123)+12)&gt;YEAR(E123),1,(12-MONTH(E123)+1)/12))))-(IF((((K123)*(IF(M123="",L123,IFERROR(IF(INDEX(Variablen!$I:$AT, MATCH(M123, Variablen!$A:$A, 0), MATCH((YEAR(D123)+12), Variablen!$I$3:$AT$3, 0))="",L123,INDEX(Variablen!$I:$AT, MATCH(M123, Variablen!$A:$A, 0), MATCH((YEAR(D123)+12), Variablen!$I$3:$AT$3, 0))),L123)))*(IF((YEAR(D123)+12)&lt;YEAR(E123),0,IF((YEAR(D123)+12)&gt;YEAR(E123),1,(12-MONTH(E123)+1)/12))) + (Q123)*(IF((YEAR(D123)+12)&lt;YEAR(E123),0,IF((YEAR(D123)+12)&gt;YEAR(E123),1,(12-MONTH(E123)+1)/12))))-((P123)*(IF((YEAR(D123)+12)&lt;YEAR(E123),0,IF((YEAR(D123)+12)&gt;YEAR(E123),1,(12-MONTH(E123)+1)/12))) + (R123)*(IF((YEAR(D123)+12)&lt;YEAR(E123),0,IF((YEAR(D123)+12)&gt;YEAR(E123),1,(12-MONTH(E123)+1)/12))))-(IF(OR(N123="",N123&lt;=0),0,(O123/N123)*(IF(OR(N123="",N123&lt;=0),0,IF((YEAR(D123)+12)&lt;YEAR(E123),0,IF((YEAR(D123)+12)&gt;=YEAR(E123)+N123,0,IF((YEAR(D123)+12)=YEAR(E123),(12-MONTH(E123)+1)/12,1))))))))&gt;0,(((K123)*(IF(M123="",L123,IFERROR(IF(INDEX(Variablen!$I:$AT, MATCH(M123, Variablen!$A:$A, 0), MATCH((YEAR(D123)+12), Variablen!$I$3:$AT$3, 0))="",L123,INDEX(Variablen!$I:$AT, MATCH(M123, Variablen!$A:$A, 0), MATCH((YEAR(D123)+12), Variablen!$I$3:$AT$3, 0))),L123)))*(IF((YEAR(D123)+12)&lt;YEAR(E123),0,IF((YEAR(D123)+12)&gt;YEAR(E123),1,(12-MONTH(E123)+1)/12))) + (Q123)*(IF((YEAR(D123)+12)&lt;YEAR(E123),0,IF((YEAR(D123)+12)&gt;YEAR(E123),1,(12-MONTH(E123)+1)/12))))-((P123)*(IF((YEAR(D123)+12)&lt;YEAR(E123),0,IF((YEAR(D123)+12)&gt;YEAR(E123),1,(12-MONTH(E123)+1)/12))) + (R123)*(IF((YEAR(D123)+12)&lt;YEAR(E123),0,IF((YEAR(D123)+12)&gt;YEAR(E123),1,(12-MONTH(E123)+1)/12))))-(IF(OR(N123="",N123&lt;=0),0,(O123/N123)*(IF(OR(N123="",N123&lt;=0),0,IF((YEAR(D123)+12)&lt;YEAR(E123),0,IF((YEAR(D123)+12)&gt;=YEAR(E123)+N123,0,IF((YEAR(D123)+12)=YEAR(E123),(12-MONTH(E123)+1)/12,1))))))))*TaxRate,0))-IF(12=0,O123,0))</f>
        <v/>
      </c>
      <c r="AF123" s="29">
        <f>IF(A123="","",((K123)*(IF(M123="",L123,IFERROR(IF(INDEX(Variablen!$I:$AT, MATCH(M123, Variablen!$A:$A, 0), MATCH((YEAR(D123)+13), Variablen!$I$3:$AT$3, 0))="",L123,INDEX(Variablen!$I:$AT, MATCH(M123, Variablen!$A:$A, 0), MATCH((YEAR(D123)+13), Variablen!$I$3:$AT$3, 0))),L123)))*(IF((YEAR(D123)+13)&lt;YEAR(E123),0,IF((YEAR(D123)+13)&gt;YEAR(E123),1,(12-MONTH(E123)+1)/12))) + (Q123)*(IF((YEAR(D123)+13)&lt;YEAR(E123),0,IF((YEAR(D123)+13)&gt;YEAR(E123),1,(12-MONTH(E123)+1)/12))))-((P123)*(IF((YEAR(D123)+13)&lt;YEAR(E123),0,IF((YEAR(D123)+13)&gt;YEAR(E123),1,(12-MONTH(E123)+1)/12))) + (R123)*(IF((YEAR(D123)+13)&lt;YEAR(E123),0,IF((YEAR(D123)+13)&gt;YEAR(E123),1,(12-MONTH(E123)+1)/12))))-(IF((((K123)*(IF(M123="",L123,IFERROR(IF(INDEX(Variablen!$I:$AT, MATCH(M123, Variablen!$A:$A, 0), MATCH((YEAR(D123)+13), Variablen!$I$3:$AT$3, 0))="",L123,INDEX(Variablen!$I:$AT, MATCH(M123, Variablen!$A:$A, 0), MATCH((YEAR(D123)+13), Variablen!$I$3:$AT$3, 0))),L123)))*(IF((YEAR(D123)+13)&lt;YEAR(E123),0,IF((YEAR(D123)+13)&gt;YEAR(E123),1,(12-MONTH(E123)+1)/12))) + (Q123)*(IF((YEAR(D123)+13)&lt;YEAR(E123),0,IF((YEAR(D123)+13)&gt;YEAR(E123),1,(12-MONTH(E123)+1)/12))))-((P123)*(IF((YEAR(D123)+13)&lt;YEAR(E123),0,IF((YEAR(D123)+13)&gt;YEAR(E123),1,(12-MONTH(E123)+1)/12))) + (R123)*(IF((YEAR(D123)+13)&lt;YEAR(E123),0,IF((YEAR(D123)+13)&gt;YEAR(E123),1,(12-MONTH(E123)+1)/12))))-(IF(OR(N123="",N123&lt;=0),0,(O123/N123)*(IF(OR(N123="",N123&lt;=0),0,IF((YEAR(D123)+13)&lt;YEAR(E123),0,IF((YEAR(D123)+13)&gt;=YEAR(E123)+N123,0,IF((YEAR(D123)+13)=YEAR(E123),(12-MONTH(E123)+1)/12,1))))))))&gt;0,(((K123)*(IF(M123="",L123,IFERROR(IF(INDEX(Variablen!$I:$AT, MATCH(M123, Variablen!$A:$A, 0), MATCH((YEAR(D123)+13), Variablen!$I$3:$AT$3, 0))="",L123,INDEX(Variablen!$I:$AT, MATCH(M123, Variablen!$A:$A, 0), MATCH((YEAR(D123)+13), Variablen!$I$3:$AT$3, 0))),L123)))*(IF((YEAR(D123)+13)&lt;YEAR(E123),0,IF((YEAR(D123)+13)&gt;YEAR(E123),1,(12-MONTH(E123)+1)/12))) + (Q123)*(IF((YEAR(D123)+13)&lt;YEAR(E123),0,IF((YEAR(D123)+13)&gt;YEAR(E123),1,(12-MONTH(E123)+1)/12))))-((P123)*(IF((YEAR(D123)+13)&lt;YEAR(E123),0,IF((YEAR(D123)+13)&gt;YEAR(E123),1,(12-MONTH(E123)+1)/12))) + (R123)*(IF((YEAR(D123)+13)&lt;YEAR(E123),0,IF((YEAR(D123)+13)&gt;YEAR(E123),1,(12-MONTH(E123)+1)/12))))-(IF(OR(N123="",N123&lt;=0),0,(O123/N123)*(IF(OR(N123="",N123&lt;=0),0,IF((YEAR(D123)+13)&lt;YEAR(E123),0,IF((YEAR(D123)+13)&gt;=YEAR(E123)+N123,0,IF((YEAR(D123)+13)=YEAR(E123),(12-MONTH(E123)+1)/12,1))))))))*TaxRate,0))-IF(13=0,O123,0))</f>
        <v/>
      </c>
      <c r="AG123" s="29">
        <f>IF(A123="","",((K123)*(IF(M123="",L123,IFERROR(IF(INDEX(Variablen!$I:$AT, MATCH(M123, Variablen!$A:$A, 0), MATCH((YEAR(D123)+14), Variablen!$I$3:$AT$3, 0))="",L123,INDEX(Variablen!$I:$AT, MATCH(M123, Variablen!$A:$A, 0), MATCH((YEAR(D123)+14), Variablen!$I$3:$AT$3, 0))),L123)))*(IF((YEAR(D123)+14)&lt;YEAR(E123),0,IF((YEAR(D123)+14)&gt;YEAR(E123),1,(12-MONTH(E123)+1)/12))) + (Q123)*(IF((YEAR(D123)+14)&lt;YEAR(E123),0,IF((YEAR(D123)+14)&gt;YEAR(E123),1,(12-MONTH(E123)+1)/12))))-((P123)*(IF((YEAR(D123)+14)&lt;YEAR(E123),0,IF((YEAR(D123)+14)&gt;YEAR(E123),1,(12-MONTH(E123)+1)/12))) + (R123)*(IF((YEAR(D123)+14)&lt;YEAR(E123),0,IF((YEAR(D123)+14)&gt;YEAR(E123),1,(12-MONTH(E123)+1)/12))))-(IF((((K123)*(IF(M123="",L123,IFERROR(IF(INDEX(Variablen!$I:$AT, MATCH(M123, Variablen!$A:$A, 0), MATCH((YEAR(D123)+14), Variablen!$I$3:$AT$3, 0))="",L123,INDEX(Variablen!$I:$AT, MATCH(M123, Variablen!$A:$A, 0), MATCH((YEAR(D123)+14), Variablen!$I$3:$AT$3, 0))),L123)))*(IF((YEAR(D123)+14)&lt;YEAR(E123),0,IF((YEAR(D123)+14)&gt;YEAR(E123),1,(12-MONTH(E123)+1)/12))) + (Q123)*(IF((YEAR(D123)+14)&lt;YEAR(E123),0,IF((YEAR(D123)+14)&gt;YEAR(E123),1,(12-MONTH(E123)+1)/12))))-((P123)*(IF((YEAR(D123)+14)&lt;YEAR(E123),0,IF((YEAR(D123)+14)&gt;YEAR(E123),1,(12-MONTH(E123)+1)/12))) + (R123)*(IF((YEAR(D123)+14)&lt;YEAR(E123),0,IF((YEAR(D123)+14)&gt;YEAR(E123),1,(12-MONTH(E123)+1)/12))))-(IF(OR(N123="",N123&lt;=0),0,(O123/N123)*(IF(OR(N123="",N123&lt;=0),0,IF((YEAR(D123)+14)&lt;YEAR(E123),0,IF((YEAR(D123)+14)&gt;=YEAR(E123)+N123,0,IF((YEAR(D123)+14)=YEAR(E123),(12-MONTH(E123)+1)/12,1))))))))&gt;0,(((K123)*(IF(M123="",L123,IFERROR(IF(INDEX(Variablen!$I:$AT, MATCH(M123, Variablen!$A:$A, 0), MATCH((YEAR(D123)+14), Variablen!$I$3:$AT$3, 0))="",L123,INDEX(Variablen!$I:$AT, MATCH(M123, Variablen!$A:$A, 0), MATCH((YEAR(D123)+14), Variablen!$I$3:$AT$3, 0))),L123)))*(IF((YEAR(D123)+14)&lt;YEAR(E123),0,IF((YEAR(D123)+14)&gt;YEAR(E123),1,(12-MONTH(E123)+1)/12))) + (Q123)*(IF((YEAR(D123)+14)&lt;YEAR(E123),0,IF((YEAR(D123)+14)&gt;YEAR(E123),1,(12-MONTH(E123)+1)/12))))-((P123)*(IF((YEAR(D123)+14)&lt;YEAR(E123),0,IF((YEAR(D123)+14)&gt;YEAR(E123),1,(12-MONTH(E123)+1)/12))) + (R123)*(IF((YEAR(D123)+14)&lt;YEAR(E123),0,IF((YEAR(D123)+14)&gt;YEAR(E123),1,(12-MONTH(E123)+1)/12))))-(IF(OR(N123="",N123&lt;=0),0,(O123/N123)*(IF(OR(N123="",N123&lt;=0),0,IF((YEAR(D123)+14)&lt;YEAR(E123),0,IF((YEAR(D123)+14)&gt;=YEAR(E123)+N123,0,IF((YEAR(D123)+14)=YEAR(E123),(12-MONTH(E123)+1)/12,1))))))))*TaxRate,0))-IF(14=0,O123,0))</f>
        <v/>
      </c>
      <c r="AH123" s="29">
        <f>IF(A123="","",((K123)*(IF(M123="",L123,IFERROR(IF(INDEX(Variablen!$I:$AT, MATCH(M123, Variablen!$A:$A, 0), MATCH((YEAR(D123)+15), Variablen!$I$3:$AT$3, 0))="",L123,INDEX(Variablen!$I:$AT, MATCH(M123, Variablen!$A:$A, 0), MATCH((YEAR(D123)+15), Variablen!$I$3:$AT$3, 0))),L123)))*(IF((YEAR(D123)+15)&lt;YEAR(E123),0,IF((YEAR(D123)+15)&gt;YEAR(E123),1,(12-MONTH(E123)+1)/12))) + (Q123)*(IF((YEAR(D123)+15)&lt;YEAR(E123),0,IF((YEAR(D123)+15)&gt;YEAR(E123),1,(12-MONTH(E123)+1)/12))))-((P123)*(IF((YEAR(D123)+15)&lt;YEAR(E123),0,IF((YEAR(D123)+15)&gt;YEAR(E123),1,(12-MONTH(E123)+1)/12))) + (R123)*(IF((YEAR(D123)+15)&lt;YEAR(E123),0,IF((YEAR(D123)+15)&gt;YEAR(E123),1,(12-MONTH(E123)+1)/12))))-(IF((((K123)*(IF(M123="",L123,IFERROR(IF(INDEX(Variablen!$I:$AT, MATCH(M123, Variablen!$A:$A, 0), MATCH((YEAR(D123)+15), Variablen!$I$3:$AT$3, 0))="",L123,INDEX(Variablen!$I:$AT, MATCH(M123, Variablen!$A:$A, 0), MATCH((YEAR(D123)+15), Variablen!$I$3:$AT$3, 0))),L123)))*(IF((YEAR(D123)+15)&lt;YEAR(E123),0,IF((YEAR(D123)+15)&gt;YEAR(E123),1,(12-MONTH(E123)+1)/12))) + (Q123)*(IF((YEAR(D123)+15)&lt;YEAR(E123),0,IF((YEAR(D123)+15)&gt;YEAR(E123),1,(12-MONTH(E123)+1)/12))))-((P123)*(IF((YEAR(D123)+15)&lt;YEAR(E123),0,IF((YEAR(D123)+15)&gt;YEAR(E123),1,(12-MONTH(E123)+1)/12))) + (R123)*(IF((YEAR(D123)+15)&lt;YEAR(E123),0,IF((YEAR(D123)+15)&gt;YEAR(E123),1,(12-MONTH(E123)+1)/12))))-(IF(OR(N123="",N123&lt;=0),0,(O123/N123)*(IF(OR(N123="",N123&lt;=0),0,IF((YEAR(D123)+15)&lt;YEAR(E123),0,IF((YEAR(D123)+15)&gt;=YEAR(E123)+N123,0,IF((YEAR(D123)+15)=YEAR(E123),(12-MONTH(E123)+1)/12,1))))))))&gt;0,(((K123)*(IF(M123="",L123,IFERROR(IF(INDEX(Variablen!$I:$AT, MATCH(M123, Variablen!$A:$A, 0), MATCH((YEAR(D123)+15), Variablen!$I$3:$AT$3, 0))="",L123,INDEX(Variablen!$I:$AT, MATCH(M123, Variablen!$A:$A, 0), MATCH((YEAR(D123)+15), Variablen!$I$3:$AT$3, 0))),L123)))*(IF((YEAR(D123)+15)&lt;YEAR(E123),0,IF((YEAR(D123)+15)&gt;YEAR(E123),1,(12-MONTH(E123)+1)/12))) + (Q123)*(IF((YEAR(D123)+15)&lt;YEAR(E123),0,IF((YEAR(D123)+15)&gt;YEAR(E123),1,(12-MONTH(E123)+1)/12))))-((P123)*(IF((YEAR(D123)+15)&lt;YEAR(E123),0,IF((YEAR(D123)+15)&gt;YEAR(E123),1,(12-MONTH(E123)+1)/12))) + (R123)*(IF((YEAR(D123)+15)&lt;YEAR(E123),0,IF((YEAR(D123)+15)&gt;YEAR(E123),1,(12-MONTH(E123)+1)/12))))-(IF(OR(N123="",N123&lt;=0),0,(O123/N123)*(IF(OR(N123="",N123&lt;=0),0,IF((YEAR(D123)+15)&lt;YEAR(E123),0,IF((YEAR(D123)+15)&gt;=YEAR(E123)+N123,0,IF((YEAR(D123)+15)=YEAR(E123),(12-MONTH(E123)+1)/12,1))))))))*TaxRate,0))-IF(15=0,O123,0))</f>
        <v/>
      </c>
      <c r="AI123" s="29">
        <f>IF(A123="","",((K123)*(IF(M123="",L123,IFERROR(IF(INDEX(Variablen!$I:$AT, MATCH(M123, Variablen!$A:$A, 0), MATCH((YEAR(D123)+16), Variablen!$I$3:$AT$3, 0))="",L123,INDEX(Variablen!$I:$AT, MATCH(M123, Variablen!$A:$A, 0), MATCH((YEAR(D123)+16), Variablen!$I$3:$AT$3, 0))),L123)))*(IF((YEAR(D123)+16)&lt;YEAR(E123),0,IF((YEAR(D123)+16)&gt;YEAR(E123),1,(12-MONTH(E123)+1)/12))) + (Q123)*(IF((YEAR(D123)+16)&lt;YEAR(E123),0,IF((YEAR(D123)+16)&gt;YEAR(E123),1,(12-MONTH(E123)+1)/12))))-((P123)*(IF((YEAR(D123)+16)&lt;YEAR(E123),0,IF((YEAR(D123)+16)&gt;YEAR(E123),1,(12-MONTH(E123)+1)/12))) + (R123)*(IF((YEAR(D123)+16)&lt;YEAR(E123),0,IF((YEAR(D123)+16)&gt;YEAR(E123),1,(12-MONTH(E123)+1)/12))))-(IF((((K123)*(IF(M123="",L123,IFERROR(IF(INDEX(Variablen!$I:$AT, MATCH(M123, Variablen!$A:$A, 0), MATCH((YEAR(D123)+16), Variablen!$I$3:$AT$3, 0))="",L123,INDEX(Variablen!$I:$AT, MATCH(M123, Variablen!$A:$A, 0), MATCH((YEAR(D123)+16), Variablen!$I$3:$AT$3, 0))),L123)))*(IF((YEAR(D123)+16)&lt;YEAR(E123),0,IF((YEAR(D123)+16)&gt;YEAR(E123),1,(12-MONTH(E123)+1)/12))) + (Q123)*(IF((YEAR(D123)+16)&lt;YEAR(E123),0,IF((YEAR(D123)+16)&gt;YEAR(E123),1,(12-MONTH(E123)+1)/12))))-((P123)*(IF((YEAR(D123)+16)&lt;YEAR(E123),0,IF((YEAR(D123)+16)&gt;YEAR(E123),1,(12-MONTH(E123)+1)/12))) + (R123)*(IF((YEAR(D123)+16)&lt;YEAR(E123),0,IF((YEAR(D123)+16)&gt;YEAR(E123),1,(12-MONTH(E123)+1)/12))))-(IF(OR(N123="",N123&lt;=0),0,(O123/N123)*(IF(OR(N123="",N123&lt;=0),0,IF((YEAR(D123)+16)&lt;YEAR(E123),0,IF((YEAR(D123)+16)&gt;=YEAR(E123)+N123,0,IF((YEAR(D123)+16)=YEAR(E123),(12-MONTH(E123)+1)/12,1))))))))&gt;0,(((K123)*(IF(M123="",L123,IFERROR(IF(INDEX(Variablen!$I:$AT, MATCH(M123, Variablen!$A:$A, 0), MATCH((YEAR(D123)+16), Variablen!$I$3:$AT$3, 0))="",L123,INDEX(Variablen!$I:$AT, MATCH(M123, Variablen!$A:$A, 0), MATCH((YEAR(D123)+16), Variablen!$I$3:$AT$3, 0))),L123)))*(IF((YEAR(D123)+16)&lt;YEAR(E123),0,IF((YEAR(D123)+16)&gt;YEAR(E123),1,(12-MONTH(E123)+1)/12))) + (Q123)*(IF((YEAR(D123)+16)&lt;YEAR(E123),0,IF((YEAR(D123)+16)&gt;YEAR(E123),1,(12-MONTH(E123)+1)/12))))-((P123)*(IF((YEAR(D123)+16)&lt;YEAR(E123),0,IF((YEAR(D123)+16)&gt;YEAR(E123),1,(12-MONTH(E123)+1)/12))) + (R123)*(IF((YEAR(D123)+16)&lt;YEAR(E123),0,IF((YEAR(D123)+16)&gt;YEAR(E123),1,(12-MONTH(E123)+1)/12))))-(IF(OR(N123="",N123&lt;=0),0,(O123/N123)*(IF(OR(N123="",N123&lt;=0),0,IF((YEAR(D123)+16)&lt;YEAR(E123),0,IF((YEAR(D123)+16)&gt;=YEAR(E123)+N123,0,IF((YEAR(D123)+16)=YEAR(E123),(12-MONTH(E123)+1)/12,1))))))))*TaxRate,0))-IF(16=0,O123,0))</f>
        <v/>
      </c>
      <c r="AJ123" s="29">
        <f>IF(A123="","",((K123)*(IF(M123="",L123,IFERROR(IF(INDEX(Variablen!$I:$AT, MATCH(M123, Variablen!$A:$A, 0), MATCH((YEAR(D123)+17), Variablen!$I$3:$AT$3, 0))="",L123,INDEX(Variablen!$I:$AT, MATCH(M123, Variablen!$A:$A, 0), MATCH((YEAR(D123)+17), Variablen!$I$3:$AT$3, 0))),L123)))*(IF((YEAR(D123)+17)&lt;YEAR(E123),0,IF((YEAR(D123)+17)&gt;YEAR(E123),1,(12-MONTH(E123)+1)/12))) + (Q123)*(IF((YEAR(D123)+17)&lt;YEAR(E123),0,IF((YEAR(D123)+17)&gt;YEAR(E123),1,(12-MONTH(E123)+1)/12))))-((P123)*(IF((YEAR(D123)+17)&lt;YEAR(E123),0,IF((YEAR(D123)+17)&gt;YEAR(E123),1,(12-MONTH(E123)+1)/12))) + (R123)*(IF((YEAR(D123)+17)&lt;YEAR(E123),0,IF((YEAR(D123)+17)&gt;YEAR(E123),1,(12-MONTH(E123)+1)/12))))-(IF((((K123)*(IF(M123="",L123,IFERROR(IF(INDEX(Variablen!$I:$AT, MATCH(M123, Variablen!$A:$A, 0), MATCH((YEAR(D123)+17), Variablen!$I$3:$AT$3, 0))="",L123,INDEX(Variablen!$I:$AT, MATCH(M123, Variablen!$A:$A, 0), MATCH((YEAR(D123)+17), Variablen!$I$3:$AT$3, 0))),L123)))*(IF((YEAR(D123)+17)&lt;YEAR(E123),0,IF((YEAR(D123)+17)&gt;YEAR(E123),1,(12-MONTH(E123)+1)/12))) + (Q123)*(IF((YEAR(D123)+17)&lt;YEAR(E123),0,IF((YEAR(D123)+17)&gt;YEAR(E123),1,(12-MONTH(E123)+1)/12))))-((P123)*(IF((YEAR(D123)+17)&lt;YEAR(E123),0,IF((YEAR(D123)+17)&gt;YEAR(E123),1,(12-MONTH(E123)+1)/12))) + (R123)*(IF((YEAR(D123)+17)&lt;YEAR(E123),0,IF((YEAR(D123)+17)&gt;YEAR(E123),1,(12-MONTH(E123)+1)/12))))-(IF(OR(N123="",N123&lt;=0),0,(O123/N123)*(IF(OR(N123="",N123&lt;=0),0,IF((YEAR(D123)+17)&lt;YEAR(E123),0,IF((YEAR(D123)+17)&gt;=YEAR(E123)+N123,0,IF((YEAR(D123)+17)=YEAR(E123),(12-MONTH(E123)+1)/12,1))))))))&gt;0,(((K123)*(IF(M123="",L123,IFERROR(IF(INDEX(Variablen!$I:$AT, MATCH(M123, Variablen!$A:$A, 0), MATCH((YEAR(D123)+17), Variablen!$I$3:$AT$3, 0))="",L123,INDEX(Variablen!$I:$AT, MATCH(M123, Variablen!$A:$A, 0), MATCH((YEAR(D123)+17), Variablen!$I$3:$AT$3, 0))),L123)))*(IF((YEAR(D123)+17)&lt;YEAR(E123),0,IF((YEAR(D123)+17)&gt;YEAR(E123),1,(12-MONTH(E123)+1)/12))) + (Q123)*(IF((YEAR(D123)+17)&lt;YEAR(E123),0,IF((YEAR(D123)+17)&gt;YEAR(E123),1,(12-MONTH(E123)+1)/12))))-((P123)*(IF((YEAR(D123)+17)&lt;YEAR(E123),0,IF((YEAR(D123)+17)&gt;YEAR(E123),1,(12-MONTH(E123)+1)/12))) + (R123)*(IF((YEAR(D123)+17)&lt;YEAR(E123),0,IF((YEAR(D123)+17)&gt;YEAR(E123),1,(12-MONTH(E123)+1)/12))))-(IF(OR(N123="",N123&lt;=0),0,(O123/N123)*(IF(OR(N123="",N123&lt;=0),0,IF((YEAR(D123)+17)&lt;YEAR(E123),0,IF((YEAR(D123)+17)&gt;=YEAR(E123)+N123,0,IF((YEAR(D123)+17)=YEAR(E123),(12-MONTH(E123)+1)/12,1))))))))*TaxRate,0))-IF(17=0,O123,0))</f>
        <v/>
      </c>
      <c r="AK123" s="29">
        <f>IF(A123="","",((K123)*(IF(M123="",L123,IFERROR(IF(INDEX(Variablen!$I:$AT, MATCH(M123, Variablen!$A:$A, 0), MATCH((YEAR(D123)+18), Variablen!$I$3:$AT$3, 0))="",L123,INDEX(Variablen!$I:$AT, MATCH(M123, Variablen!$A:$A, 0), MATCH((YEAR(D123)+18), Variablen!$I$3:$AT$3, 0))),L123)))*(IF((YEAR(D123)+18)&lt;YEAR(E123),0,IF((YEAR(D123)+18)&gt;YEAR(E123),1,(12-MONTH(E123)+1)/12))) + (Q123)*(IF((YEAR(D123)+18)&lt;YEAR(E123),0,IF((YEAR(D123)+18)&gt;YEAR(E123),1,(12-MONTH(E123)+1)/12))))-((P123)*(IF((YEAR(D123)+18)&lt;YEAR(E123),0,IF((YEAR(D123)+18)&gt;YEAR(E123),1,(12-MONTH(E123)+1)/12))) + (R123)*(IF((YEAR(D123)+18)&lt;YEAR(E123),0,IF((YEAR(D123)+18)&gt;YEAR(E123),1,(12-MONTH(E123)+1)/12))))-(IF((((K123)*(IF(M123="",L123,IFERROR(IF(INDEX(Variablen!$I:$AT, MATCH(M123, Variablen!$A:$A, 0), MATCH((YEAR(D123)+18), Variablen!$I$3:$AT$3, 0))="",L123,INDEX(Variablen!$I:$AT, MATCH(M123, Variablen!$A:$A, 0), MATCH((YEAR(D123)+18), Variablen!$I$3:$AT$3, 0))),L123)))*(IF((YEAR(D123)+18)&lt;YEAR(E123),0,IF((YEAR(D123)+18)&gt;YEAR(E123),1,(12-MONTH(E123)+1)/12))) + (Q123)*(IF((YEAR(D123)+18)&lt;YEAR(E123),0,IF((YEAR(D123)+18)&gt;YEAR(E123),1,(12-MONTH(E123)+1)/12))))-((P123)*(IF((YEAR(D123)+18)&lt;YEAR(E123),0,IF((YEAR(D123)+18)&gt;YEAR(E123),1,(12-MONTH(E123)+1)/12))) + (R123)*(IF((YEAR(D123)+18)&lt;YEAR(E123),0,IF((YEAR(D123)+18)&gt;YEAR(E123),1,(12-MONTH(E123)+1)/12))))-(IF(OR(N123="",N123&lt;=0),0,(O123/N123)*(IF(OR(N123="",N123&lt;=0),0,IF((YEAR(D123)+18)&lt;YEAR(E123),0,IF((YEAR(D123)+18)&gt;=YEAR(E123)+N123,0,IF((YEAR(D123)+18)=YEAR(E123),(12-MONTH(E123)+1)/12,1))))))))&gt;0,(((K123)*(IF(M123="",L123,IFERROR(IF(INDEX(Variablen!$I:$AT, MATCH(M123, Variablen!$A:$A, 0), MATCH((YEAR(D123)+18), Variablen!$I$3:$AT$3, 0))="",L123,INDEX(Variablen!$I:$AT, MATCH(M123, Variablen!$A:$A, 0), MATCH((YEAR(D123)+18), Variablen!$I$3:$AT$3, 0))),L123)))*(IF((YEAR(D123)+18)&lt;YEAR(E123),0,IF((YEAR(D123)+18)&gt;YEAR(E123),1,(12-MONTH(E123)+1)/12))) + (Q123)*(IF((YEAR(D123)+18)&lt;YEAR(E123),0,IF((YEAR(D123)+18)&gt;YEAR(E123),1,(12-MONTH(E123)+1)/12))))-((P123)*(IF((YEAR(D123)+18)&lt;YEAR(E123),0,IF((YEAR(D123)+18)&gt;YEAR(E123),1,(12-MONTH(E123)+1)/12))) + (R123)*(IF((YEAR(D123)+18)&lt;YEAR(E123),0,IF((YEAR(D123)+18)&gt;YEAR(E123),1,(12-MONTH(E123)+1)/12))))-(IF(OR(N123="",N123&lt;=0),0,(O123/N123)*(IF(OR(N123="",N123&lt;=0),0,IF((YEAR(D123)+18)&lt;YEAR(E123),0,IF((YEAR(D123)+18)&gt;=YEAR(E123)+N123,0,IF((YEAR(D123)+18)=YEAR(E123),(12-MONTH(E123)+1)/12,1))))))))*TaxRate,0))-IF(18=0,O123,0))</f>
        <v/>
      </c>
      <c r="AL123" s="29">
        <f>IF(A123="","",((K123)*(IF(M123="",L123,IFERROR(IF(INDEX(Variablen!$I:$AT, MATCH(M123, Variablen!$A:$A, 0), MATCH((YEAR(D123)+19), Variablen!$I$3:$AT$3, 0))="",L123,INDEX(Variablen!$I:$AT, MATCH(M123, Variablen!$A:$A, 0), MATCH((YEAR(D123)+19), Variablen!$I$3:$AT$3, 0))),L123)))*(IF((YEAR(D123)+19)&lt;YEAR(E123),0,IF((YEAR(D123)+19)&gt;YEAR(E123),1,(12-MONTH(E123)+1)/12))) + (Q123)*(IF((YEAR(D123)+19)&lt;YEAR(E123),0,IF((YEAR(D123)+19)&gt;YEAR(E123),1,(12-MONTH(E123)+1)/12))))-((P123)*(IF((YEAR(D123)+19)&lt;YEAR(E123),0,IF((YEAR(D123)+19)&gt;YEAR(E123),1,(12-MONTH(E123)+1)/12))) + (R123)*(IF((YEAR(D123)+19)&lt;YEAR(E123),0,IF((YEAR(D123)+19)&gt;YEAR(E123),1,(12-MONTH(E123)+1)/12))))-(IF((((K123)*(IF(M123="",L123,IFERROR(IF(INDEX(Variablen!$I:$AT, MATCH(M123, Variablen!$A:$A, 0), MATCH((YEAR(D123)+19), Variablen!$I$3:$AT$3, 0))="",L123,INDEX(Variablen!$I:$AT, MATCH(M123, Variablen!$A:$A, 0), MATCH((YEAR(D123)+19), Variablen!$I$3:$AT$3, 0))),L123)))*(IF((YEAR(D123)+19)&lt;YEAR(E123),0,IF((YEAR(D123)+19)&gt;YEAR(E123),1,(12-MONTH(E123)+1)/12))) + (Q123)*(IF((YEAR(D123)+19)&lt;YEAR(E123),0,IF((YEAR(D123)+19)&gt;YEAR(E123),1,(12-MONTH(E123)+1)/12))))-((P123)*(IF((YEAR(D123)+19)&lt;YEAR(E123),0,IF((YEAR(D123)+19)&gt;YEAR(E123),1,(12-MONTH(E123)+1)/12))) + (R123)*(IF((YEAR(D123)+19)&lt;YEAR(E123),0,IF((YEAR(D123)+19)&gt;YEAR(E123),1,(12-MONTH(E123)+1)/12))))-(IF(OR(N123="",N123&lt;=0),0,(O123/N123)*(IF(OR(N123="",N123&lt;=0),0,IF((YEAR(D123)+19)&lt;YEAR(E123),0,IF((YEAR(D123)+19)&gt;=YEAR(E123)+N123,0,IF((YEAR(D123)+19)=YEAR(E123),(12-MONTH(E123)+1)/12,1))))))))&gt;0,(((K123)*(IF(M123="",L123,IFERROR(IF(INDEX(Variablen!$I:$AT, MATCH(M123, Variablen!$A:$A, 0), MATCH((YEAR(D123)+19), Variablen!$I$3:$AT$3, 0))="",L123,INDEX(Variablen!$I:$AT, MATCH(M123, Variablen!$A:$A, 0), MATCH((YEAR(D123)+19), Variablen!$I$3:$AT$3, 0))),L123)))*(IF((YEAR(D123)+19)&lt;YEAR(E123),0,IF((YEAR(D123)+19)&gt;YEAR(E123),1,(12-MONTH(E123)+1)/12))) + (Q123)*(IF((YEAR(D123)+19)&lt;YEAR(E123),0,IF((YEAR(D123)+19)&gt;YEAR(E123),1,(12-MONTH(E123)+1)/12))))-((P123)*(IF((YEAR(D123)+19)&lt;YEAR(E123),0,IF((YEAR(D123)+19)&gt;YEAR(E123),1,(12-MONTH(E123)+1)/12))) + (R123)*(IF((YEAR(D123)+19)&lt;YEAR(E123),0,IF((YEAR(D123)+19)&gt;YEAR(E123),1,(12-MONTH(E123)+1)/12))))-(IF(OR(N123="",N123&lt;=0),0,(O123/N123)*(IF(OR(N123="",N123&lt;=0),0,IF((YEAR(D123)+19)&lt;YEAR(E123),0,IF((YEAR(D123)+19)&gt;=YEAR(E123)+N123,0,IF((YEAR(D123)+19)=YEAR(E123),(12-MONTH(E123)+1)/12,1))))))))*TaxRate,0))-IF(19=0,O123,0))</f>
        <v/>
      </c>
      <c r="AM123" s="29">
        <f>IF(A123="","",((K123)*(IF(M123="",L123,IFERROR(IF(INDEX(Variablen!$I:$AT, MATCH(M123, Variablen!$A:$A, 0), MATCH((YEAR(D123)+20), Variablen!$I$3:$AT$3, 0))="",L123,INDEX(Variablen!$I:$AT, MATCH(M123, Variablen!$A:$A, 0), MATCH((YEAR(D123)+20), Variablen!$I$3:$AT$3, 0))),L123)))*(IF((YEAR(D123)+20)&lt;YEAR(E123),0,IF((YEAR(D123)+20)&gt;YEAR(E123),1,(12-MONTH(E123)+1)/12))) + (Q123)*(IF((YEAR(D123)+20)&lt;YEAR(E123),0,IF((YEAR(D123)+20)&gt;YEAR(E123),1,(12-MONTH(E123)+1)/12))))-((P123)*(IF((YEAR(D123)+20)&lt;YEAR(E123),0,IF((YEAR(D123)+20)&gt;YEAR(E123),1,(12-MONTH(E123)+1)/12))) + (R123)*(IF((YEAR(D123)+20)&lt;YEAR(E123),0,IF((YEAR(D123)+20)&gt;YEAR(E123),1,(12-MONTH(E123)+1)/12))))-(IF((((K123)*(IF(M123="",L123,IFERROR(IF(INDEX(Variablen!$I:$AT, MATCH(M123, Variablen!$A:$A, 0), MATCH((YEAR(D123)+20), Variablen!$I$3:$AT$3, 0))="",L123,INDEX(Variablen!$I:$AT, MATCH(M123, Variablen!$A:$A, 0), MATCH((YEAR(D123)+20), Variablen!$I$3:$AT$3, 0))),L123)))*(IF((YEAR(D123)+20)&lt;YEAR(E123),0,IF((YEAR(D123)+20)&gt;YEAR(E123),1,(12-MONTH(E123)+1)/12))) + (Q123)*(IF((YEAR(D123)+20)&lt;YEAR(E123),0,IF((YEAR(D123)+20)&gt;YEAR(E123),1,(12-MONTH(E123)+1)/12))))-((P123)*(IF((YEAR(D123)+20)&lt;YEAR(E123),0,IF((YEAR(D123)+20)&gt;YEAR(E123),1,(12-MONTH(E123)+1)/12))) + (R123)*(IF((YEAR(D123)+20)&lt;YEAR(E123),0,IF((YEAR(D123)+20)&gt;YEAR(E123),1,(12-MONTH(E123)+1)/12))))-(IF(OR(N123="",N123&lt;=0),0,(O123/N123)*(IF(OR(N123="",N123&lt;=0),0,IF((YEAR(D123)+20)&lt;YEAR(E123),0,IF((YEAR(D123)+20)&gt;=YEAR(E123)+N123,0,IF((YEAR(D123)+20)=YEAR(E123),(12-MONTH(E123)+1)/12,1))))))))&gt;0,(((K123)*(IF(M123="",L123,IFERROR(IF(INDEX(Variablen!$I:$AT, MATCH(M123, Variablen!$A:$A, 0), MATCH((YEAR(D123)+20), Variablen!$I$3:$AT$3, 0))="",L123,INDEX(Variablen!$I:$AT, MATCH(M123, Variablen!$A:$A, 0), MATCH((YEAR(D123)+20), Variablen!$I$3:$AT$3, 0))),L123)))*(IF((YEAR(D123)+20)&lt;YEAR(E123),0,IF((YEAR(D123)+20)&gt;YEAR(E123),1,(12-MONTH(E123)+1)/12))) + (Q123)*(IF((YEAR(D123)+20)&lt;YEAR(E123),0,IF((YEAR(D123)+20)&gt;YEAR(E123),1,(12-MONTH(E123)+1)/12))))-((P123)*(IF((YEAR(D123)+20)&lt;YEAR(E123),0,IF((YEAR(D123)+20)&gt;YEAR(E123),1,(12-MONTH(E123)+1)/12))) + (R123)*(IF((YEAR(D123)+20)&lt;YEAR(E123),0,IF((YEAR(D123)+20)&gt;YEAR(E123),1,(12-MONTH(E123)+1)/12))))-(IF(OR(N123="",N123&lt;=0),0,(O123/N123)*(IF(OR(N123="",N123&lt;=0),0,IF((YEAR(D123)+20)&lt;YEAR(E123),0,IF((YEAR(D123)+20)&gt;=YEAR(E123)+N123,0,IF((YEAR(D123)+20)=YEAR(E123),(12-MONTH(E123)+1)/12,1))))))))*TaxRate,0))-IF(20=0,O123,0))</f>
        <v/>
      </c>
      <c r="AN123" s="29">
        <f>IF(A123="","",S123)</f>
        <v/>
      </c>
      <c r="AO123" s="29">
        <f>IF(A123="","",AN123+T123)</f>
        <v/>
      </c>
      <c r="AP123" s="29">
        <f>IF(A123="","",AO123+U123)</f>
        <v/>
      </c>
      <c r="AQ123" s="29">
        <f>IF(A123="","",AP123+V123)</f>
        <v/>
      </c>
      <c r="AR123" s="29">
        <f>IF(A123="","",AQ123+W123)</f>
        <v/>
      </c>
      <c r="AS123" s="29">
        <f>IF(A123="","",AR123+X123)</f>
        <v/>
      </c>
      <c r="AT123" s="29">
        <f>IF(A123="","",AS123+Y123)</f>
        <v/>
      </c>
      <c r="AU123" s="29">
        <f>IF(A123="","",AT123+Z123)</f>
        <v/>
      </c>
      <c r="AV123" s="29">
        <f>IF(A123="","",AU123+AA123)</f>
        <v/>
      </c>
      <c r="AW123" s="29">
        <f>IF(A123="","",AV123+AB123)</f>
        <v/>
      </c>
      <c r="AX123" s="29">
        <f>IF(A123="","",AW123+AC123)</f>
        <v/>
      </c>
      <c r="AY123" s="29">
        <f>IF(A123="","",AX123+AD123)</f>
        <v/>
      </c>
      <c r="AZ123" s="29">
        <f>IF(A123="","",AY123+AE123)</f>
        <v/>
      </c>
      <c r="BA123" s="29">
        <f>IF(A123="","",AZ123+AF123)</f>
        <v/>
      </c>
      <c r="BB123" s="29">
        <f>IF(A123="","",BA123+AG123)</f>
        <v/>
      </c>
      <c r="BC123" s="29">
        <f>IF(A123="","",BB123+AH123)</f>
        <v/>
      </c>
      <c r="BD123" s="29">
        <f>IF(A123="","",BC123+AI123)</f>
        <v/>
      </c>
      <c r="BE123" s="29">
        <f>IF(A123="","",BD123+AJ123)</f>
        <v/>
      </c>
      <c r="BF123" s="29">
        <f>IF(A123="","",BE123+AK123)</f>
        <v/>
      </c>
      <c r="BG123" s="29">
        <f>IF(A123="","",BF123+AL123)</f>
        <v/>
      </c>
      <c r="BH123" s="29">
        <f>IF(A123="","",BG123+AM123)</f>
        <v/>
      </c>
      <c r="BI123" s="36">
        <f>IF(A123="","",(K123)*(IF((YEAR(D123)+0)&lt;YEAR(E123),0,IF((YEAR(D123)+0)&gt;YEAR(E123),1,(12-MONTH(E123)+1)/12)))*(1/(1+DiscountRate)^0))</f>
        <v/>
      </c>
      <c r="BJ123" s="36">
        <f>IF(A123="","",(K123)*(IF((YEAR(D123)+1)&lt;YEAR(E123),0,IF((YEAR(D123)+1)&gt;YEAR(E123),1,(12-MONTH(E123)+1)/12)))*(1/(1+DiscountRate)^1))</f>
        <v/>
      </c>
      <c r="BK123" s="36">
        <f>IF(A123="","",(K123)*(IF((YEAR(D123)+2)&lt;YEAR(E123),0,IF((YEAR(D123)+2)&gt;YEAR(E123),1,(12-MONTH(E123)+1)/12)))*(1/(1+DiscountRate)^2))</f>
        <v/>
      </c>
      <c r="BL123" s="36">
        <f>IF(A123="","",(K123)*(IF((YEAR(D123)+3)&lt;YEAR(E123),0,IF((YEAR(D123)+3)&gt;YEAR(E123),1,(12-MONTH(E123)+1)/12)))*(1/(1+DiscountRate)^3))</f>
        <v/>
      </c>
      <c r="BM123" s="36">
        <f>IF(A123="","",(K123)*(IF((YEAR(D123)+4)&lt;YEAR(E123),0,IF((YEAR(D123)+4)&gt;YEAR(E123),1,(12-MONTH(E123)+1)/12)))*(1/(1+DiscountRate)^4))</f>
        <v/>
      </c>
      <c r="BN123" s="36">
        <f>IF(A123="","",(K123)*(IF((YEAR(D123)+5)&lt;YEAR(E123),0,IF((YEAR(D123)+5)&gt;YEAR(E123),1,(12-MONTH(E123)+1)/12)))*(1/(1+DiscountRate)^5))</f>
        <v/>
      </c>
      <c r="BO123" s="36">
        <f>IF(A123="","",(K123)*(IF((YEAR(D123)+6)&lt;YEAR(E123),0,IF((YEAR(D123)+6)&gt;YEAR(E123),1,(12-MONTH(E123)+1)/12)))*(1/(1+DiscountRate)^6))</f>
        <v/>
      </c>
      <c r="BP123" s="36">
        <f>IF(A123="","",(K123)*(IF((YEAR(D123)+7)&lt;YEAR(E123),0,IF((YEAR(D123)+7)&gt;YEAR(E123),1,(12-MONTH(E123)+1)/12)))*(1/(1+DiscountRate)^7))</f>
        <v/>
      </c>
      <c r="BQ123" s="36">
        <f>IF(A123="","",(K123)*(IF((YEAR(D123)+8)&lt;YEAR(E123),0,IF((YEAR(D123)+8)&gt;YEAR(E123),1,(12-MONTH(E123)+1)/12)))*(1/(1+DiscountRate)^8))</f>
        <v/>
      </c>
      <c r="BR123" s="36">
        <f>IF(A123="","",(K123)*(IF((YEAR(D123)+9)&lt;YEAR(E123),0,IF((YEAR(D123)+9)&gt;YEAR(E123),1,(12-MONTH(E123)+1)/12)))*(1/(1+DiscountRate)^9))</f>
        <v/>
      </c>
      <c r="BS123" s="36">
        <f>IF(A123="","",(K123)*(IF((YEAR(D123)+10)&lt;YEAR(E123),0,IF((YEAR(D123)+10)&gt;YEAR(E123),1,(12-MONTH(E123)+1)/12)))*(1/(1+DiscountRate)^10))</f>
        <v/>
      </c>
      <c r="BT123" s="36">
        <f>IF(A123="","",(K123)*(IF((YEAR(D123)+11)&lt;YEAR(E123),0,IF((YEAR(D123)+11)&gt;YEAR(E123),1,(12-MONTH(E123)+1)/12)))*(1/(1+DiscountRate)^11))</f>
        <v/>
      </c>
      <c r="BU123" s="36">
        <f>IF(A123="","",(K123)*(IF((YEAR(D123)+12)&lt;YEAR(E123),0,IF((YEAR(D123)+12)&gt;YEAR(E123),1,(12-MONTH(E123)+1)/12)))*(1/(1+DiscountRate)^12))</f>
        <v/>
      </c>
      <c r="BV123" s="36">
        <f>IF(A123="","",(K123)*(IF((YEAR(D123)+13)&lt;YEAR(E123),0,IF((YEAR(D123)+13)&gt;YEAR(E123),1,(12-MONTH(E123)+1)/12)))*(1/(1+DiscountRate)^13))</f>
        <v/>
      </c>
      <c r="BW123" s="36">
        <f>IF(A123="","",(K123)*(IF((YEAR(D123)+14)&lt;YEAR(E123),0,IF((YEAR(D123)+14)&gt;YEAR(E123),1,(12-MONTH(E123)+1)/12)))*(1/(1+DiscountRate)^14))</f>
        <v/>
      </c>
      <c r="BX123" s="36">
        <f>IF(A123="","",(K123)*(IF((YEAR(D123)+15)&lt;YEAR(E123),0,IF((YEAR(D123)+15)&gt;YEAR(E123),1,(12-MONTH(E123)+1)/12)))*(1/(1+DiscountRate)^15))</f>
        <v/>
      </c>
      <c r="BY123" s="36">
        <f>IF(A123="","",(K123)*(IF((YEAR(D123)+16)&lt;YEAR(E123),0,IF((YEAR(D123)+16)&gt;YEAR(E123),1,(12-MONTH(E123)+1)/12)))*(1/(1+DiscountRate)^16))</f>
        <v/>
      </c>
      <c r="BZ123" s="36">
        <f>IF(A123="","",(K123)*(IF((YEAR(D123)+17)&lt;YEAR(E123),0,IF((YEAR(D123)+17)&gt;YEAR(E123),1,(12-MONTH(E123)+1)/12)))*(1/(1+DiscountRate)^17))</f>
        <v/>
      </c>
      <c r="CA123" s="36">
        <f>IF(A123="","",(K123)*(IF((YEAR(D123)+18)&lt;YEAR(E123),0,IF((YEAR(D123)+18)&gt;YEAR(E123),1,(12-MONTH(E123)+1)/12)))*(1/(1+DiscountRate)^18))</f>
        <v/>
      </c>
      <c r="CB123" s="36">
        <f>IF(A123="","",(K123)*(IF((YEAR(D123)+19)&lt;YEAR(E123),0,IF((YEAR(D123)+19)&gt;YEAR(E123),1,(12-MONTH(E123)+1)/12)))*(1/(1+DiscountRate)^19))</f>
        <v/>
      </c>
      <c r="CC123" s="36">
        <f>IF(A123="","",(K123)*(IF((YEAR(D123)+20)&lt;YEAR(E123),0,IF((YEAR(D123)+20)&gt;YEAR(E123),1,(12-MONTH(E123)+1)/12)))*(1/(1+DiscountRate)^20))</f>
        <v/>
      </c>
      <c r="CD123" s="29">
        <f>IF(A123="","",S123/(1+DiscountRate)^0+T123/(1+DiscountRate)^1+U123/(1+DiscountRate)^2+V123/(1+DiscountRate)^3+W123/(1+DiscountRate)^4+X123/(1+DiscountRate)^5+Y123/(1+DiscountRate)^6+Z123/(1+DiscountRate)^7+AA123/(1+DiscountRate)^8+AB123/(1+DiscountRate)^9+AC123/(1+DiscountRate)^10+AD123/(1+DiscountRate)^11+AE123/(1+DiscountRate)^12+AF123/(1+DiscountRate)^13+AG123/(1+DiscountRate)^14+AH123/(1+DiscountRate)^15+AI123/(1+DiscountRate)^16+AJ123/(1+DiscountRate)^17+AK123/(1+DiscountRate)^18+AL123/(1+DiscountRate)^19+AM123/(1+DiscountRate)^20)</f>
        <v/>
      </c>
      <c r="CE123" s="37">
        <f>IF(A123="","",IFERROR(IRR(OFFSET(S123,0,0,1,MIN(HorizonYears,20)+1)),"n/a"))</f>
        <v/>
      </c>
      <c r="CF123" s="28">
        <f>IF(A123="","",IFERROR(MATCH(TRUE,OFFSET(AN123,0,0,1,MIN(HorizonYears,20)+1)&gt;=0,0)-1,"n/a"))</f>
        <v/>
      </c>
      <c r="CG123" s="36">
        <f>IF(A123="","",SUM(OFFSET(BI123,0,0,1,MIN(HorizonYears,20)+1)))</f>
        <v/>
      </c>
      <c r="CH123" s="36">
        <f>IF(A123="","",IFERROR(-CD123/CG123,"n/a"))</f>
        <v/>
      </c>
    </row>
    <row r="124">
      <c r="A124" s="6">
        <f>Actions!A122</f>
        <v/>
      </c>
      <c r="B124" s="6">
        <f>Actions!B122</f>
        <v/>
      </c>
      <c r="C124" s="6">
        <f>Actions!D122</f>
        <v/>
      </c>
      <c r="D124" s="35">
        <f>Actions!E122</f>
        <v/>
      </c>
      <c r="E124" s="35">
        <f>Actions!F122</f>
        <v/>
      </c>
      <c r="F124" s="6">
        <f>Actions!G122</f>
        <v/>
      </c>
      <c r="G124" s="6">
        <f>Actions!H122</f>
        <v/>
      </c>
      <c r="H124" s="29">
        <f>Actions!I122</f>
        <v/>
      </c>
      <c r="I124" s="6">
        <f>Actions!J122</f>
        <v/>
      </c>
      <c r="J124" s="16">
        <f>Actions!K122</f>
        <v/>
      </c>
      <c r="K124" s="16">
        <f>IF(A124="","",IF(I124="%",H124*J124,J124))</f>
        <v/>
      </c>
      <c r="L124" s="16">
        <f>Actions!L122</f>
        <v/>
      </c>
      <c r="M124" s="6">
        <f>Actions!M122</f>
        <v/>
      </c>
      <c r="N124" s="28">
        <f>Actions!N122</f>
        <v/>
      </c>
      <c r="O124" s="29">
        <f>Actions!T122</f>
        <v/>
      </c>
      <c r="P124" s="29">
        <f>Actions!Y122</f>
        <v/>
      </c>
      <c r="Q124" s="29">
        <f>Actions!Z122</f>
        <v/>
      </c>
      <c r="R124" s="29">
        <f>Actions!AA122</f>
        <v/>
      </c>
      <c r="S124" s="29">
        <f>IF(A124="","",((K124)*(IF(M124="",L124,IFERROR(IF(INDEX(Variablen!$I:$AT, MATCH(M124, Variablen!$A:$A, 0), MATCH((YEAR(D124)+0), Variablen!$I$3:$AT$3, 0))="",L124,INDEX(Variablen!$I:$AT, MATCH(M124, Variablen!$A:$A, 0), MATCH((YEAR(D124)+0), Variablen!$I$3:$AT$3, 0))),L124)))*(IF((YEAR(D124)+0)&lt;YEAR(E124),0,IF((YEAR(D124)+0)&gt;YEAR(E124),1,(12-MONTH(E124)+1)/12))) + (Q124)*(IF((YEAR(D124)+0)&lt;YEAR(E124),0,IF((YEAR(D124)+0)&gt;YEAR(E124),1,(12-MONTH(E124)+1)/12))))-((P124)*(IF((YEAR(D124)+0)&lt;YEAR(E124),0,IF((YEAR(D124)+0)&gt;YEAR(E124),1,(12-MONTH(E124)+1)/12))) + (R124)*(IF((YEAR(D124)+0)&lt;YEAR(E124),0,IF((YEAR(D124)+0)&gt;YEAR(E124),1,(12-MONTH(E124)+1)/12))))-(IF((((K124)*(IF(M124="",L124,IFERROR(IF(INDEX(Variablen!$I:$AT, MATCH(M124, Variablen!$A:$A, 0), MATCH((YEAR(D124)+0), Variablen!$I$3:$AT$3, 0))="",L124,INDEX(Variablen!$I:$AT, MATCH(M124, Variablen!$A:$A, 0), MATCH((YEAR(D124)+0), Variablen!$I$3:$AT$3, 0))),L124)))*(IF((YEAR(D124)+0)&lt;YEAR(E124),0,IF((YEAR(D124)+0)&gt;YEAR(E124),1,(12-MONTH(E124)+1)/12))) + (Q124)*(IF((YEAR(D124)+0)&lt;YEAR(E124),0,IF((YEAR(D124)+0)&gt;YEAR(E124),1,(12-MONTH(E124)+1)/12))))-((P124)*(IF((YEAR(D124)+0)&lt;YEAR(E124),0,IF((YEAR(D124)+0)&gt;YEAR(E124),1,(12-MONTH(E124)+1)/12))) + (R124)*(IF((YEAR(D124)+0)&lt;YEAR(E124),0,IF((YEAR(D124)+0)&gt;YEAR(E124),1,(12-MONTH(E124)+1)/12))))-(IF(OR(N124="",N124&lt;=0),0,(O124/N124)*(IF(OR(N124="",N124&lt;=0),0,IF((YEAR(D124)+0)&lt;YEAR(E124),0,IF((YEAR(D124)+0)&gt;=YEAR(E124)+N124,0,IF((YEAR(D124)+0)=YEAR(E124),(12-MONTH(E124)+1)/12,1))))))))&gt;0,(((K124)*(IF(M124="",L124,IFERROR(IF(INDEX(Variablen!$I:$AT, MATCH(M124, Variablen!$A:$A, 0), MATCH((YEAR(D124)+0), Variablen!$I$3:$AT$3, 0))="",L124,INDEX(Variablen!$I:$AT, MATCH(M124, Variablen!$A:$A, 0), MATCH((YEAR(D124)+0), Variablen!$I$3:$AT$3, 0))),L124)))*(IF((YEAR(D124)+0)&lt;YEAR(E124),0,IF((YEAR(D124)+0)&gt;YEAR(E124),1,(12-MONTH(E124)+1)/12))) + (Q124)*(IF((YEAR(D124)+0)&lt;YEAR(E124),0,IF((YEAR(D124)+0)&gt;YEAR(E124),1,(12-MONTH(E124)+1)/12))))-((P124)*(IF((YEAR(D124)+0)&lt;YEAR(E124),0,IF((YEAR(D124)+0)&gt;YEAR(E124),1,(12-MONTH(E124)+1)/12))) + (R124)*(IF((YEAR(D124)+0)&lt;YEAR(E124),0,IF((YEAR(D124)+0)&gt;YEAR(E124),1,(12-MONTH(E124)+1)/12))))-(IF(OR(N124="",N124&lt;=0),0,(O124/N124)*(IF(OR(N124="",N124&lt;=0),0,IF((YEAR(D124)+0)&lt;YEAR(E124),0,IF((YEAR(D124)+0)&gt;=YEAR(E124)+N124,0,IF((YEAR(D124)+0)=YEAR(E124),(12-MONTH(E124)+1)/12,1))))))))*TaxRate,0))-IF(0=0,O124,0))</f>
        <v/>
      </c>
      <c r="T124" s="29">
        <f>IF(A124="","",((K124)*(IF(M124="",L124,IFERROR(IF(INDEX(Variablen!$I:$AT, MATCH(M124, Variablen!$A:$A, 0), MATCH((YEAR(D124)+1), Variablen!$I$3:$AT$3, 0))="",L124,INDEX(Variablen!$I:$AT, MATCH(M124, Variablen!$A:$A, 0), MATCH((YEAR(D124)+1), Variablen!$I$3:$AT$3, 0))),L124)))*(IF((YEAR(D124)+1)&lt;YEAR(E124),0,IF((YEAR(D124)+1)&gt;YEAR(E124),1,(12-MONTH(E124)+1)/12))) + (Q124)*(IF((YEAR(D124)+1)&lt;YEAR(E124),0,IF((YEAR(D124)+1)&gt;YEAR(E124),1,(12-MONTH(E124)+1)/12))))-((P124)*(IF((YEAR(D124)+1)&lt;YEAR(E124),0,IF((YEAR(D124)+1)&gt;YEAR(E124),1,(12-MONTH(E124)+1)/12))) + (R124)*(IF((YEAR(D124)+1)&lt;YEAR(E124),0,IF((YEAR(D124)+1)&gt;YEAR(E124),1,(12-MONTH(E124)+1)/12))))-(IF((((K124)*(IF(M124="",L124,IFERROR(IF(INDEX(Variablen!$I:$AT, MATCH(M124, Variablen!$A:$A, 0), MATCH((YEAR(D124)+1), Variablen!$I$3:$AT$3, 0))="",L124,INDEX(Variablen!$I:$AT, MATCH(M124, Variablen!$A:$A, 0), MATCH((YEAR(D124)+1), Variablen!$I$3:$AT$3, 0))),L124)))*(IF((YEAR(D124)+1)&lt;YEAR(E124),0,IF((YEAR(D124)+1)&gt;YEAR(E124),1,(12-MONTH(E124)+1)/12))) + (Q124)*(IF((YEAR(D124)+1)&lt;YEAR(E124),0,IF((YEAR(D124)+1)&gt;YEAR(E124),1,(12-MONTH(E124)+1)/12))))-((P124)*(IF((YEAR(D124)+1)&lt;YEAR(E124),0,IF((YEAR(D124)+1)&gt;YEAR(E124),1,(12-MONTH(E124)+1)/12))) + (R124)*(IF((YEAR(D124)+1)&lt;YEAR(E124),0,IF((YEAR(D124)+1)&gt;YEAR(E124),1,(12-MONTH(E124)+1)/12))))-(IF(OR(N124="",N124&lt;=0),0,(O124/N124)*(IF(OR(N124="",N124&lt;=0),0,IF((YEAR(D124)+1)&lt;YEAR(E124),0,IF((YEAR(D124)+1)&gt;=YEAR(E124)+N124,0,IF((YEAR(D124)+1)=YEAR(E124),(12-MONTH(E124)+1)/12,1))))))))&gt;0,(((K124)*(IF(M124="",L124,IFERROR(IF(INDEX(Variablen!$I:$AT, MATCH(M124, Variablen!$A:$A, 0), MATCH((YEAR(D124)+1), Variablen!$I$3:$AT$3, 0))="",L124,INDEX(Variablen!$I:$AT, MATCH(M124, Variablen!$A:$A, 0), MATCH((YEAR(D124)+1), Variablen!$I$3:$AT$3, 0))),L124)))*(IF((YEAR(D124)+1)&lt;YEAR(E124),0,IF((YEAR(D124)+1)&gt;YEAR(E124),1,(12-MONTH(E124)+1)/12))) + (Q124)*(IF((YEAR(D124)+1)&lt;YEAR(E124),0,IF((YEAR(D124)+1)&gt;YEAR(E124),1,(12-MONTH(E124)+1)/12))))-((P124)*(IF((YEAR(D124)+1)&lt;YEAR(E124),0,IF((YEAR(D124)+1)&gt;YEAR(E124),1,(12-MONTH(E124)+1)/12))) + (R124)*(IF((YEAR(D124)+1)&lt;YEAR(E124),0,IF((YEAR(D124)+1)&gt;YEAR(E124),1,(12-MONTH(E124)+1)/12))))-(IF(OR(N124="",N124&lt;=0),0,(O124/N124)*(IF(OR(N124="",N124&lt;=0),0,IF((YEAR(D124)+1)&lt;YEAR(E124),0,IF((YEAR(D124)+1)&gt;=YEAR(E124)+N124,0,IF((YEAR(D124)+1)=YEAR(E124),(12-MONTH(E124)+1)/12,1))))))))*TaxRate,0))-IF(1=0,O124,0))</f>
        <v/>
      </c>
      <c r="U124" s="29">
        <f>IF(A124="","",((K124)*(IF(M124="",L124,IFERROR(IF(INDEX(Variablen!$I:$AT, MATCH(M124, Variablen!$A:$A, 0), MATCH((YEAR(D124)+2), Variablen!$I$3:$AT$3, 0))="",L124,INDEX(Variablen!$I:$AT, MATCH(M124, Variablen!$A:$A, 0), MATCH((YEAR(D124)+2), Variablen!$I$3:$AT$3, 0))),L124)))*(IF((YEAR(D124)+2)&lt;YEAR(E124),0,IF((YEAR(D124)+2)&gt;YEAR(E124),1,(12-MONTH(E124)+1)/12))) + (Q124)*(IF((YEAR(D124)+2)&lt;YEAR(E124),0,IF((YEAR(D124)+2)&gt;YEAR(E124),1,(12-MONTH(E124)+1)/12))))-((P124)*(IF((YEAR(D124)+2)&lt;YEAR(E124),0,IF((YEAR(D124)+2)&gt;YEAR(E124),1,(12-MONTH(E124)+1)/12))) + (R124)*(IF((YEAR(D124)+2)&lt;YEAR(E124),0,IF((YEAR(D124)+2)&gt;YEAR(E124),1,(12-MONTH(E124)+1)/12))))-(IF((((K124)*(IF(M124="",L124,IFERROR(IF(INDEX(Variablen!$I:$AT, MATCH(M124, Variablen!$A:$A, 0), MATCH((YEAR(D124)+2), Variablen!$I$3:$AT$3, 0))="",L124,INDEX(Variablen!$I:$AT, MATCH(M124, Variablen!$A:$A, 0), MATCH((YEAR(D124)+2), Variablen!$I$3:$AT$3, 0))),L124)))*(IF((YEAR(D124)+2)&lt;YEAR(E124),0,IF((YEAR(D124)+2)&gt;YEAR(E124),1,(12-MONTH(E124)+1)/12))) + (Q124)*(IF((YEAR(D124)+2)&lt;YEAR(E124),0,IF((YEAR(D124)+2)&gt;YEAR(E124),1,(12-MONTH(E124)+1)/12))))-((P124)*(IF((YEAR(D124)+2)&lt;YEAR(E124),0,IF((YEAR(D124)+2)&gt;YEAR(E124),1,(12-MONTH(E124)+1)/12))) + (R124)*(IF((YEAR(D124)+2)&lt;YEAR(E124),0,IF((YEAR(D124)+2)&gt;YEAR(E124),1,(12-MONTH(E124)+1)/12))))-(IF(OR(N124="",N124&lt;=0),0,(O124/N124)*(IF(OR(N124="",N124&lt;=0),0,IF((YEAR(D124)+2)&lt;YEAR(E124),0,IF((YEAR(D124)+2)&gt;=YEAR(E124)+N124,0,IF((YEAR(D124)+2)=YEAR(E124),(12-MONTH(E124)+1)/12,1))))))))&gt;0,(((K124)*(IF(M124="",L124,IFERROR(IF(INDEX(Variablen!$I:$AT, MATCH(M124, Variablen!$A:$A, 0), MATCH((YEAR(D124)+2), Variablen!$I$3:$AT$3, 0))="",L124,INDEX(Variablen!$I:$AT, MATCH(M124, Variablen!$A:$A, 0), MATCH((YEAR(D124)+2), Variablen!$I$3:$AT$3, 0))),L124)))*(IF((YEAR(D124)+2)&lt;YEAR(E124),0,IF((YEAR(D124)+2)&gt;YEAR(E124),1,(12-MONTH(E124)+1)/12))) + (Q124)*(IF((YEAR(D124)+2)&lt;YEAR(E124),0,IF((YEAR(D124)+2)&gt;YEAR(E124),1,(12-MONTH(E124)+1)/12))))-((P124)*(IF((YEAR(D124)+2)&lt;YEAR(E124),0,IF((YEAR(D124)+2)&gt;YEAR(E124),1,(12-MONTH(E124)+1)/12))) + (R124)*(IF((YEAR(D124)+2)&lt;YEAR(E124),0,IF((YEAR(D124)+2)&gt;YEAR(E124),1,(12-MONTH(E124)+1)/12))))-(IF(OR(N124="",N124&lt;=0),0,(O124/N124)*(IF(OR(N124="",N124&lt;=0),0,IF((YEAR(D124)+2)&lt;YEAR(E124),0,IF((YEAR(D124)+2)&gt;=YEAR(E124)+N124,0,IF((YEAR(D124)+2)=YEAR(E124),(12-MONTH(E124)+1)/12,1))))))))*TaxRate,0))-IF(2=0,O124,0))</f>
        <v/>
      </c>
      <c r="V124" s="29">
        <f>IF(A124="","",((K124)*(IF(M124="",L124,IFERROR(IF(INDEX(Variablen!$I:$AT, MATCH(M124, Variablen!$A:$A, 0), MATCH((YEAR(D124)+3), Variablen!$I$3:$AT$3, 0))="",L124,INDEX(Variablen!$I:$AT, MATCH(M124, Variablen!$A:$A, 0), MATCH((YEAR(D124)+3), Variablen!$I$3:$AT$3, 0))),L124)))*(IF((YEAR(D124)+3)&lt;YEAR(E124),0,IF((YEAR(D124)+3)&gt;YEAR(E124),1,(12-MONTH(E124)+1)/12))) + (Q124)*(IF((YEAR(D124)+3)&lt;YEAR(E124),0,IF((YEAR(D124)+3)&gt;YEAR(E124),1,(12-MONTH(E124)+1)/12))))-((P124)*(IF((YEAR(D124)+3)&lt;YEAR(E124),0,IF((YEAR(D124)+3)&gt;YEAR(E124),1,(12-MONTH(E124)+1)/12))) + (R124)*(IF((YEAR(D124)+3)&lt;YEAR(E124),0,IF((YEAR(D124)+3)&gt;YEAR(E124),1,(12-MONTH(E124)+1)/12))))-(IF((((K124)*(IF(M124="",L124,IFERROR(IF(INDEX(Variablen!$I:$AT, MATCH(M124, Variablen!$A:$A, 0), MATCH((YEAR(D124)+3), Variablen!$I$3:$AT$3, 0))="",L124,INDEX(Variablen!$I:$AT, MATCH(M124, Variablen!$A:$A, 0), MATCH((YEAR(D124)+3), Variablen!$I$3:$AT$3, 0))),L124)))*(IF((YEAR(D124)+3)&lt;YEAR(E124),0,IF((YEAR(D124)+3)&gt;YEAR(E124),1,(12-MONTH(E124)+1)/12))) + (Q124)*(IF((YEAR(D124)+3)&lt;YEAR(E124),0,IF((YEAR(D124)+3)&gt;YEAR(E124),1,(12-MONTH(E124)+1)/12))))-((P124)*(IF((YEAR(D124)+3)&lt;YEAR(E124),0,IF((YEAR(D124)+3)&gt;YEAR(E124),1,(12-MONTH(E124)+1)/12))) + (R124)*(IF((YEAR(D124)+3)&lt;YEAR(E124),0,IF((YEAR(D124)+3)&gt;YEAR(E124),1,(12-MONTH(E124)+1)/12))))-(IF(OR(N124="",N124&lt;=0),0,(O124/N124)*(IF(OR(N124="",N124&lt;=0),0,IF((YEAR(D124)+3)&lt;YEAR(E124),0,IF((YEAR(D124)+3)&gt;=YEAR(E124)+N124,0,IF((YEAR(D124)+3)=YEAR(E124),(12-MONTH(E124)+1)/12,1))))))))&gt;0,(((K124)*(IF(M124="",L124,IFERROR(IF(INDEX(Variablen!$I:$AT, MATCH(M124, Variablen!$A:$A, 0), MATCH((YEAR(D124)+3), Variablen!$I$3:$AT$3, 0))="",L124,INDEX(Variablen!$I:$AT, MATCH(M124, Variablen!$A:$A, 0), MATCH((YEAR(D124)+3), Variablen!$I$3:$AT$3, 0))),L124)))*(IF((YEAR(D124)+3)&lt;YEAR(E124),0,IF((YEAR(D124)+3)&gt;YEAR(E124),1,(12-MONTH(E124)+1)/12))) + (Q124)*(IF((YEAR(D124)+3)&lt;YEAR(E124),0,IF((YEAR(D124)+3)&gt;YEAR(E124),1,(12-MONTH(E124)+1)/12))))-((P124)*(IF((YEAR(D124)+3)&lt;YEAR(E124),0,IF((YEAR(D124)+3)&gt;YEAR(E124),1,(12-MONTH(E124)+1)/12))) + (R124)*(IF((YEAR(D124)+3)&lt;YEAR(E124),0,IF((YEAR(D124)+3)&gt;YEAR(E124),1,(12-MONTH(E124)+1)/12))))-(IF(OR(N124="",N124&lt;=0),0,(O124/N124)*(IF(OR(N124="",N124&lt;=0),0,IF((YEAR(D124)+3)&lt;YEAR(E124),0,IF((YEAR(D124)+3)&gt;=YEAR(E124)+N124,0,IF((YEAR(D124)+3)=YEAR(E124),(12-MONTH(E124)+1)/12,1))))))))*TaxRate,0))-IF(3=0,O124,0))</f>
        <v/>
      </c>
      <c r="W124" s="29">
        <f>IF(A124="","",((K124)*(IF(M124="",L124,IFERROR(IF(INDEX(Variablen!$I:$AT, MATCH(M124, Variablen!$A:$A, 0), MATCH((YEAR(D124)+4), Variablen!$I$3:$AT$3, 0))="",L124,INDEX(Variablen!$I:$AT, MATCH(M124, Variablen!$A:$A, 0), MATCH((YEAR(D124)+4), Variablen!$I$3:$AT$3, 0))),L124)))*(IF((YEAR(D124)+4)&lt;YEAR(E124),0,IF((YEAR(D124)+4)&gt;YEAR(E124),1,(12-MONTH(E124)+1)/12))) + (Q124)*(IF((YEAR(D124)+4)&lt;YEAR(E124),0,IF((YEAR(D124)+4)&gt;YEAR(E124),1,(12-MONTH(E124)+1)/12))))-((P124)*(IF((YEAR(D124)+4)&lt;YEAR(E124),0,IF((YEAR(D124)+4)&gt;YEAR(E124),1,(12-MONTH(E124)+1)/12))) + (R124)*(IF((YEAR(D124)+4)&lt;YEAR(E124),0,IF((YEAR(D124)+4)&gt;YEAR(E124),1,(12-MONTH(E124)+1)/12))))-(IF((((K124)*(IF(M124="",L124,IFERROR(IF(INDEX(Variablen!$I:$AT, MATCH(M124, Variablen!$A:$A, 0), MATCH((YEAR(D124)+4), Variablen!$I$3:$AT$3, 0))="",L124,INDEX(Variablen!$I:$AT, MATCH(M124, Variablen!$A:$A, 0), MATCH((YEAR(D124)+4), Variablen!$I$3:$AT$3, 0))),L124)))*(IF((YEAR(D124)+4)&lt;YEAR(E124),0,IF((YEAR(D124)+4)&gt;YEAR(E124),1,(12-MONTH(E124)+1)/12))) + (Q124)*(IF((YEAR(D124)+4)&lt;YEAR(E124),0,IF((YEAR(D124)+4)&gt;YEAR(E124),1,(12-MONTH(E124)+1)/12))))-((P124)*(IF((YEAR(D124)+4)&lt;YEAR(E124),0,IF((YEAR(D124)+4)&gt;YEAR(E124),1,(12-MONTH(E124)+1)/12))) + (R124)*(IF((YEAR(D124)+4)&lt;YEAR(E124),0,IF((YEAR(D124)+4)&gt;YEAR(E124),1,(12-MONTH(E124)+1)/12))))-(IF(OR(N124="",N124&lt;=0),0,(O124/N124)*(IF(OR(N124="",N124&lt;=0),0,IF((YEAR(D124)+4)&lt;YEAR(E124),0,IF((YEAR(D124)+4)&gt;=YEAR(E124)+N124,0,IF((YEAR(D124)+4)=YEAR(E124),(12-MONTH(E124)+1)/12,1))))))))&gt;0,(((K124)*(IF(M124="",L124,IFERROR(IF(INDEX(Variablen!$I:$AT, MATCH(M124, Variablen!$A:$A, 0), MATCH((YEAR(D124)+4), Variablen!$I$3:$AT$3, 0))="",L124,INDEX(Variablen!$I:$AT, MATCH(M124, Variablen!$A:$A, 0), MATCH((YEAR(D124)+4), Variablen!$I$3:$AT$3, 0))),L124)))*(IF((YEAR(D124)+4)&lt;YEAR(E124),0,IF((YEAR(D124)+4)&gt;YEAR(E124),1,(12-MONTH(E124)+1)/12))) + (Q124)*(IF((YEAR(D124)+4)&lt;YEAR(E124),0,IF((YEAR(D124)+4)&gt;YEAR(E124),1,(12-MONTH(E124)+1)/12))))-((P124)*(IF((YEAR(D124)+4)&lt;YEAR(E124),0,IF((YEAR(D124)+4)&gt;YEAR(E124),1,(12-MONTH(E124)+1)/12))) + (R124)*(IF((YEAR(D124)+4)&lt;YEAR(E124),0,IF((YEAR(D124)+4)&gt;YEAR(E124),1,(12-MONTH(E124)+1)/12))))-(IF(OR(N124="",N124&lt;=0),0,(O124/N124)*(IF(OR(N124="",N124&lt;=0),0,IF((YEAR(D124)+4)&lt;YEAR(E124),0,IF((YEAR(D124)+4)&gt;=YEAR(E124)+N124,0,IF((YEAR(D124)+4)=YEAR(E124),(12-MONTH(E124)+1)/12,1))))))))*TaxRate,0))-IF(4=0,O124,0))</f>
        <v/>
      </c>
      <c r="X124" s="29">
        <f>IF(A124="","",((K124)*(IF(M124="",L124,IFERROR(IF(INDEX(Variablen!$I:$AT, MATCH(M124, Variablen!$A:$A, 0), MATCH((YEAR(D124)+5), Variablen!$I$3:$AT$3, 0))="",L124,INDEX(Variablen!$I:$AT, MATCH(M124, Variablen!$A:$A, 0), MATCH((YEAR(D124)+5), Variablen!$I$3:$AT$3, 0))),L124)))*(IF((YEAR(D124)+5)&lt;YEAR(E124),0,IF((YEAR(D124)+5)&gt;YEAR(E124),1,(12-MONTH(E124)+1)/12))) + (Q124)*(IF((YEAR(D124)+5)&lt;YEAR(E124),0,IF((YEAR(D124)+5)&gt;YEAR(E124),1,(12-MONTH(E124)+1)/12))))-((P124)*(IF((YEAR(D124)+5)&lt;YEAR(E124),0,IF((YEAR(D124)+5)&gt;YEAR(E124),1,(12-MONTH(E124)+1)/12))) + (R124)*(IF((YEAR(D124)+5)&lt;YEAR(E124),0,IF((YEAR(D124)+5)&gt;YEAR(E124),1,(12-MONTH(E124)+1)/12))))-(IF((((K124)*(IF(M124="",L124,IFERROR(IF(INDEX(Variablen!$I:$AT, MATCH(M124, Variablen!$A:$A, 0), MATCH((YEAR(D124)+5), Variablen!$I$3:$AT$3, 0))="",L124,INDEX(Variablen!$I:$AT, MATCH(M124, Variablen!$A:$A, 0), MATCH((YEAR(D124)+5), Variablen!$I$3:$AT$3, 0))),L124)))*(IF((YEAR(D124)+5)&lt;YEAR(E124),0,IF((YEAR(D124)+5)&gt;YEAR(E124),1,(12-MONTH(E124)+1)/12))) + (Q124)*(IF((YEAR(D124)+5)&lt;YEAR(E124),0,IF((YEAR(D124)+5)&gt;YEAR(E124),1,(12-MONTH(E124)+1)/12))))-((P124)*(IF((YEAR(D124)+5)&lt;YEAR(E124),0,IF((YEAR(D124)+5)&gt;YEAR(E124),1,(12-MONTH(E124)+1)/12))) + (R124)*(IF((YEAR(D124)+5)&lt;YEAR(E124),0,IF((YEAR(D124)+5)&gt;YEAR(E124),1,(12-MONTH(E124)+1)/12))))-(IF(OR(N124="",N124&lt;=0),0,(O124/N124)*(IF(OR(N124="",N124&lt;=0),0,IF((YEAR(D124)+5)&lt;YEAR(E124),0,IF((YEAR(D124)+5)&gt;=YEAR(E124)+N124,0,IF((YEAR(D124)+5)=YEAR(E124),(12-MONTH(E124)+1)/12,1))))))))&gt;0,(((K124)*(IF(M124="",L124,IFERROR(IF(INDEX(Variablen!$I:$AT, MATCH(M124, Variablen!$A:$A, 0), MATCH((YEAR(D124)+5), Variablen!$I$3:$AT$3, 0))="",L124,INDEX(Variablen!$I:$AT, MATCH(M124, Variablen!$A:$A, 0), MATCH((YEAR(D124)+5), Variablen!$I$3:$AT$3, 0))),L124)))*(IF((YEAR(D124)+5)&lt;YEAR(E124),0,IF((YEAR(D124)+5)&gt;YEAR(E124),1,(12-MONTH(E124)+1)/12))) + (Q124)*(IF((YEAR(D124)+5)&lt;YEAR(E124),0,IF((YEAR(D124)+5)&gt;YEAR(E124),1,(12-MONTH(E124)+1)/12))))-((P124)*(IF((YEAR(D124)+5)&lt;YEAR(E124),0,IF((YEAR(D124)+5)&gt;YEAR(E124),1,(12-MONTH(E124)+1)/12))) + (R124)*(IF((YEAR(D124)+5)&lt;YEAR(E124),0,IF((YEAR(D124)+5)&gt;YEAR(E124),1,(12-MONTH(E124)+1)/12))))-(IF(OR(N124="",N124&lt;=0),0,(O124/N124)*(IF(OR(N124="",N124&lt;=0),0,IF((YEAR(D124)+5)&lt;YEAR(E124),0,IF((YEAR(D124)+5)&gt;=YEAR(E124)+N124,0,IF((YEAR(D124)+5)=YEAR(E124),(12-MONTH(E124)+1)/12,1))))))))*TaxRate,0))-IF(5=0,O124,0))</f>
        <v/>
      </c>
      <c r="Y124" s="29">
        <f>IF(A124="","",((K124)*(IF(M124="",L124,IFERROR(IF(INDEX(Variablen!$I:$AT, MATCH(M124, Variablen!$A:$A, 0), MATCH((YEAR(D124)+6), Variablen!$I$3:$AT$3, 0))="",L124,INDEX(Variablen!$I:$AT, MATCH(M124, Variablen!$A:$A, 0), MATCH((YEAR(D124)+6), Variablen!$I$3:$AT$3, 0))),L124)))*(IF((YEAR(D124)+6)&lt;YEAR(E124),0,IF((YEAR(D124)+6)&gt;YEAR(E124),1,(12-MONTH(E124)+1)/12))) + (Q124)*(IF((YEAR(D124)+6)&lt;YEAR(E124),0,IF((YEAR(D124)+6)&gt;YEAR(E124),1,(12-MONTH(E124)+1)/12))))-((P124)*(IF((YEAR(D124)+6)&lt;YEAR(E124),0,IF((YEAR(D124)+6)&gt;YEAR(E124),1,(12-MONTH(E124)+1)/12))) + (R124)*(IF((YEAR(D124)+6)&lt;YEAR(E124),0,IF((YEAR(D124)+6)&gt;YEAR(E124),1,(12-MONTH(E124)+1)/12))))-(IF((((K124)*(IF(M124="",L124,IFERROR(IF(INDEX(Variablen!$I:$AT, MATCH(M124, Variablen!$A:$A, 0), MATCH((YEAR(D124)+6), Variablen!$I$3:$AT$3, 0))="",L124,INDEX(Variablen!$I:$AT, MATCH(M124, Variablen!$A:$A, 0), MATCH((YEAR(D124)+6), Variablen!$I$3:$AT$3, 0))),L124)))*(IF((YEAR(D124)+6)&lt;YEAR(E124),0,IF((YEAR(D124)+6)&gt;YEAR(E124),1,(12-MONTH(E124)+1)/12))) + (Q124)*(IF((YEAR(D124)+6)&lt;YEAR(E124),0,IF((YEAR(D124)+6)&gt;YEAR(E124),1,(12-MONTH(E124)+1)/12))))-((P124)*(IF((YEAR(D124)+6)&lt;YEAR(E124),0,IF((YEAR(D124)+6)&gt;YEAR(E124),1,(12-MONTH(E124)+1)/12))) + (R124)*(IF((YEAR(D124)+6)&lt;YEAR(E124),0,IF((YEAR(D124)+6)&gt;YEAR(E124),1,(12-MONTH(E124)+1)/12))))-(IF(OR(N124="",N124&lt;=0),0,(O124/N124)*(IF(OR(N124="",N124&lt;=0),0,IF((YEAR(D124)+6)&lt;YEAR(E124),0,IF((YEAR(D124)+6)&gt;=YEAR(E124)+N124,0,IF((YEAR(D124)+6)=YEAR(E124),(12-MONTH(E124)+1)/12,1))))))))&gt;0,(((K124)*(IF(M124="",L124,IFERROR(IF(INDEX(Variablen!$I:$AT, MATCH(M124, Variablen!$A:$A, 0), MATCH((YEAR(D124)+6), Variablen!$I$3:$AT$3, 0))="",L124,INDEX(Variablen!$I:$AT, MATCH(M124, Variablen!$A:$A, 0), MATCH((YEAR(D124)+6), Variablen!$I$3:$AT$3, 0))),L124)))*(IF((YEAR(D124)+6)&lt;YEAR(E124),0,IF((YEAR(D124)+6)&gt;YEAR(E124),1,(12-MONTH(E124)+1)/12))) + (Q124)*(IF((YEAR(D124)+6)&lt;YEAR(E124),0,IF((YEAR(D124)+6)&gt;YEAR(E124),1,(12-MONTH(E124)+1)/12))))-((P124)*(IF((YEAR(D124)+6)&lt;YEAR(E124),0,IF((YEAR(D124)+6)&gt;YEAR(E124),1,(12-MONTH(E124)+1)/12))) + (R124)*(IF((YEAR(D124)+6)&lt;YEAR(E124),0,IF((YEAR(D124)+6)&gt;YEAR(E124),1,(12-MONTH(E124)+1)/12))))-(IF(OR(N124="",N124&lt;=0),0,(O124/N124)*(IF(OR(N124="",N124&lt;=0),0,IF((YEAR(D124)+6)&lt;YEAR(E124),0,IF((YEAR(D124)+6)&gt;=YEAR(E124)+N124,0,IF((YEAR(D124)+6)=YEAR(E124),(12-MONTH(E124)+1)/12,1))))))))*TaxRate,0))-IF(6=0,O124,0))</f>
        <v/>
      </c>
      <c r="Z124" s="29">
        <f>IF(A124="","",((K124)*(IF(M124="",L124,IFERROR(IF(INDEX(Variablen!$I:$AT, MATCH(M124, Variablen!$A:$A, 0), MATCH((YEAR(D124)+7), Variablen!$I$3:$AT$3, 0))="",L124,INDEX(Variablen!$I:$AT, MATCH(M124, Variablen!$A:$A, 0), MATCH((YEAR(D124)+7), Variablen!$I$3:$AT$3, 0))),L124)))*(IF((YEAR(D124)+7)&lt;YEAR(E124),0,IF((YEAR(D124)+7)&gt;YEAR(E124),1,(12-MONTH(E124)+1)/12))) + (Q124)*(IF((YEAR(D124)+7)&lt;YEAR(E124),0,IF((YEAR(D124)+7)&gt;YEAR(E124),1,(12-MONTH(E124)+1)/12))))-((P124)*(IF((YEAR(D124)+7)&lt;YEAR(E124),0,IF((YEAR(D124)+7)&gt;YEAR(E124),1,(12-MONTH(E124)+1)/12))) + (R124)*(IF((YEAR(D124)+7)&lt;YEAR(E124),0,IF((YEAR(D124)+7)&gt;YEAR(E124),1,(12-MONTH(E124)+1)/12))))-(IF((((K124)*(IF(M124="",L124,IFERROR(IF(INDEX(Variablen!$I:$AT, MATCH(M124, Variablen!$A:$A, 0), MATCH((YEAR(D124)+7), Variablen!$I$3:$AT$3, 0))="",L124,INDEX(Variablen!$I:$AT, MATCH(M124, Variablen!$A:$A, 0), MATCH((YEAR(D124)+7), Variablen!$I$3:$AT$3, 0))),L124)))*(IF((YEAR(D124)+7)&lt;YEAR(E124),0,IF((YEAR(D124)+7)&gt;YEAR(E124),1,(12-MONTH(E124)+1)/12))) + (Q124)*(IF((YEAR(D124)+7)&lt;YEAR(E124),0,IF((YEAR(D124)+7)&gt;YEAR(E124),1,(12-MONTH(E124)+1)/12))))-((P124)*(IF((YEAR(D124)+7)&lt;YEAR(E124),0,IF((YEAR(D124)+7)&gt;YEAR(E124),1,(12-MONTH(E124)+1)/12))) + (R124)*(IF((YEAR(D124)+7)&lt;YEAR(E124),0,IF((YEAR(D124)+7)&gt;YEAR(E124),1,(12-MONTH(E124)+1)/12))))-(IF(OR(N124="",N124&lt;=0),0,(O124/N124)*(IF(OR(N124="",N124&lt;=0),0,IF((YEAR(D124)+7)&lt;YEAR(E124),0,IF((YEAR(D124)+7)&gt;=YEAR(E124)+N124,0,IF((YEAR(D124)+7)=YEAR(E124),(12-MONTH(E124)+1)/12,1))))))))&gt;0,(((K124)*(IF(M124="",L124,IFERROR(IF(INDEX(Variablen!$I:$AT, MATCH(M124, Variablen!$A:$A, 0), MATCH((YEAR(D124)+7), Variablen!$I$3:$AT$3, 0))="",L124,INDEX(Variablen!$I:$AT, MATCH(M124, Variablen!$A:$A, 0), MATCH((YEAR(D124)+7), Variablen!$I$3:$AT$3, 0))),L124)))*(IF((YEAR(D124)+7)&lt;YEAR(E124),0,IF((YEAR(D124)+7)&gt;YEAR(E124),1,(12-MONTH(E124)+1)/12))) + (Q124)*(IF((YEAR(D124)+7)&lt;YEAR(E124),0,IF((YEAR(D124)+7)&gt;YEAR(E124),1,(12-MONTH(E124)+1)/12))))-((P124)*(IF((YEAR(D124)+7)&lt;YEAR(E124),0,IF((YEAR(D124)+7)&gt;YEAR(E124),1,(12-MONTH(E124)+1)/12))) + (R124)*(IF((YEAR(D124)+7)&lt;YEAR(E124),0,IF((YEAR(D124)+7)&gt;YEAR(E124),1,(12-MONTH(E124)+1)/12))))-(IF(OR(N124="",N124&lt;=0),0,(O124/N124)*(IF(OR(N124="",N124&lt;=0),0,IF((YEAR(D124)+7)&lt;YEAR(E124),0,IF((YEAR(D124)+7)&gt;=YEAR(E124)+N124,0,IF((YEAR(D124)+7)=YEAR(E124),(12-MONTH(E124)+1)/12,1))))))))*TaxRate,0))-IF(7=0,O124,0))</f>
        <v/>
      </c>
      <c r="AA124" s="29">
        <f>IF(A124="","",((K124)*(IF(M124="",L124,IFERROR(IF(INDEX(Variablen!$I:$AT, MATCH(M124, Variablen!$A:$A, 0), MATCH((YEAR(D124)+8), Variablen!$I$3:$AT$3, 0))="",L124,INDEX(Variablen!$I:$AT, MATCH(M124, Variablen!$A:$A, 0), MATCH((YEAR(D124)+8), Variablen!$I$3:$AT$3, 0))),L124)))*(IF((YEAR(D124)+8)&lt;YEAR(E124),0,IF((YEAR(D124)+8)&gt;YEAR(E124),1,(12-MONTH(E124)+1)/12))) + (Q124)*(IF((YEAR(D124)+8)&lt;YEAR(E124),0,IF((YEAR(D124)+8)&gt;YEAR(E124),1,(12-MONTH(E124)+1)/12))))-((P124)*(IF((YEAR(D124)+8)&lt;YEAR(E124),0,IF((YEAR(D124)+8)&gt;YEAR(E124),1,(12-MONTH(E124)+1)/12))) + (R124)*(IF((YEAR(D124)+8)&lt;YEAR(E124),0,IF((YEAR(D124)+8)&gt;YEAR(E124),1,(12-MONTH(E124)+1)/12))))-(IF((((K124)*(IF(M124="",L124,IFERROR(IF(INDEX(Variablen!$I:$AT, MATCH(M124, Variablen!$A:$A, 0), MATCH((YEAR(D124)+8), Variablen!$I$3:$AT$3, 0))="",L124,INDEX(Variablen!$I:$AT, MATCH(M124, Variablen!$A:$A, 0), MATCH((YEAR(D124)+8), Variablen!$I$3:$AT$3, 0))),L124)))*(IF((YEAR(D124)+8)&lt;YEAR(E124),0,IF((YEAR(D124)+8)&gt;YEAR(E124),1,(12-MONTH(E124)+1)/12))) + (Q124)*(IF((YEAR(D124)+8)&lt;YEAR(E124),0,IF((YEAR(D124)+8)&gt;YEAR(E124),1,(12-MONTH(E124)+1)/12))))-((P124)*(IF((YEAR(D124)+8)&lt;YEAR(E124),0,IF((YEAR(D124)+8)&gt;YEAR(E124),1,(12-MONTH(E124)+1)/12))) + (R124)*(IF((YEAR(D124)+8)&lt;YEAR(E124),0,IF((YEAR(D124)+8)&gt;YEAR(E124),1,(12-MONTH(E124)+1)/12))))-(IF(OR(N124="",N124&lt;=0),0,(O124/N124)*(IF(OR(N124="",N124&lt;=0),0,IF((YEAR(D124)+8)&lt;YEAR(E124),0,IF((YEAR(D124)+8)&gt;=YEAR(E124)+N124,0,IF((YEAR(D124)+8)=YEAR(E124),(12-MONTH(E124)+1)/12,1))))))))&gt;0,(((K124)*(IF(M124="",L124,IFERROR(IF(INDEX(Variablen!$I:$AT, MATCH(M124, Variablen!$A:$A, 0), MATCH((YEAR(D124)+8), Variablen!$I$3:$AT$3, 0))="",L124,INDEX(Variablen!$I:$AT, MATCH(M124, Variablen!$A:$A, 0), MATCH((YEAR(D124)+8), Variablen!$I$3:$AT$3, 0))),L124)))*(IF((YEAR(D124)+8)&lt;YEAR(E124),0,IF((YEAR(D124)+8)&gt;YEAR(E124),1,(12-MONTH(E124)+1)/12))) + (Q124)*(IF((YEAR(D124)+8)&lt;YEAR(E124),0,IF((YEAR(D124)+8)&gt;YEAR(E124),1,(12-MONTH(E124)+1)/12))))-((P124)*(IF((YEAR(D124)+8)&lt;YEAR(E124),0,IF((YEAR(D124)+8)&gt;YEAR(E124),1,(12-MONTH(E124)+1)/12))) + (R124)*(IF((YEAR(D124)+8)&lt;YEAR(E124),0,IF((YEAR(D124)+8)&gt;YEAR(E124),1,(12-MONTH(E124)+1)/12))))-(IF(OR(N124="",N124&lt;=0),0,(O124/N124)*(IF(OR(N124="",N124&lt;=0),0,IF((YEAR(D124)+8)&lt;YEAR(E124),0,IF((YEAR(D124)+8)&gt;=YEAR(E124)+N124,0,IF((YEAR(D124)+8)=YEAR(E124),(12-MONTH(E124)+1)/12,1))))))))*TaxRate,0))-IF(8=0,O124,0))</f>
        <v/>
      </c>
      <c r="AB124" s="29">
        <f>IF(A124="","",((K124)*(IF(M124="",L124,IFERROR(IF(INDEX(Variablen!$I:$AT, MATCH(M124, Variablen!$A:$A, 0), MATCH((YEAR(D124)+9), Variablen!$I$3:$AT$3, 0))="",L124,INDEX(Variablen!$I:$AT, MATCH(M124, Variablen!$A:$A, 0), MATCH((YEAR(D124)+9), Variablen!$I$3:$AT$3, 0))),L124)))*(IF((YEAR(D124)+9)&lt;YEAR(E124),0,IF((YEAR(D124)+9)&gt;YEAR(E124),1,(12-MONTH(E124)+1)/12))) + (Q124)*(IF((YEAR(D124)+9)&lt;YEAR(E124),0,IF((YEAR(D124)+9)&gt;YEAR(E124),1,(12-MONTH(E124)+1)/12))))-((P124)*(IF((YEAR(D124)+9)&lt;YEAR(E124),0,IF((YEAR(D124)+9)&gt;YEAR(E124),1,(12-MONTH(E124)+1)/12))) + (R124)*(IF((YEAR(D124)+9)&lt;YEAR(E124),0,IF((YEAR(D124)+9)&gt;YEAR(E124),1,(12-MONTH(E124)+1)/12))))-(IF((((K124)*(IF(M124="",L124,IFERROR(IF(INDEX(Variablen!$I:$AT, MATCH(M124, Variablen!$A:$A, 0), MATCH((YEAR(D124)+9), Variablen!$I$3:$AT$3, 0))="",L124,INDEX(Variablen!$I:$AT, MATCH(M124, Variablen!$A:$A, 0), MATCH((YEAR(D124)+9), Variablen!$I$3:$AT$3, 0))),L124)))*(IF((YEAR(D124)+9)&lt;YEAR(E124),0,IF((YEAR(D124)+9)&gt;YEAR(E124),1,(12-MONTH(E124)+1)/12))) + (Q124)*(IF((YEAR(D124)+9)&lt;YEAR(E124),0,IF((YEAR(D124)+9)&gt;YEAR(E124),1,(12-MONTH(E124)+1)/12))))-((P124)*(IF((YEAR(D124)+9)&lt;YEAR(E124),0,IF((YEAR(D124)+9)&gt;YEAR(E124),1,(12-MONTH(E124)+1)/12))) + (R124)*(IF((YEAR(D124)+9)&lt;YEAR(E124),0,IF((YEAR(D124)+9)&gt;YEAR(E124),1,(12-MONTH(E124)+1)/12))))-(IF(OR(N124="",N124&lt;=0),0,(O124/N124)*(IF(OR(N124="",N124&lt;=0),0,IF((YEAR(D124)+9)&lt;YEAR(E124),0,IF((YEAR(D124)+9)&gt;=YEAR(E124)+N124,0,IF((YEAR(D124)+9)=YEAR(E124),(12-MONTH(E124)+1)/12,1))))))))&gt;0,(((K124)*(IF(M124="",L124,IFERROR(IF(INDEX(Variablen!$I:$AT, MATCH(M124, Variablen!$A:$A, 0), MATCH((YEAR(D124)+9), Variablen!$I$3:$AT$3, 0))="",L124,INDEX(Variablen!$I:$AT, MATCH(M124, Variablen!$A:$A, 0), MATCH((YEAR(D124)+9), Variablen!$I$3:$AT$3, 0))),L124)))*(IF((YEAR(D124)+9)&lt;YEAR(E124),0,IF((YEAR(D124)+9)&gt;YEAR(E124),1,(12-MONTH(E124)+1)/12))) + (Q124)*(IF((YEAR(D124)+9)&lt;YEAR(E124),0,IF((YEAR(D124)+9)&gt;YEAR(E124),1,(12-MONTH(E124)+1)/12))))-((P124)*(IF((YEAR(D124)+9)&lt;YEAR(E124),0,IF((YEAR(D124)+9)&gt;YEAR(E124),1,(12-MONTH(E124)+1)/12))) + (R124)*(IF((YEAR(D124)+9)&lt;YEAR(E124),0,IF((YEAR(D124)+9)&gt;YEAR(E124),1,(12-MONTH(E124)+1)/12))))-(IF(OR(N124="",N124&lt;=0),0,(O124/N124)*(IF(OR(N124="",N124&lt;=0),0,IF((YEAR(D124)+9)&lt;YEAR(E124),0,IF((YEAR(D124)+9)&gt;=YEAR(E124)+N124,0,IF((YEAR(D124)+9)=YEAR(E124),(12-MONTH(E124)+1)/12,1))))))))*TaxRate,0))-IF(9=0,O124,0))</f>
        <v/>
      </c>
      <c r="AC124" s="29">
        <f>IF(A124="","",((K124)*(IF(M124="",L124,IFERROR(IF(INDEX(Variablen!$I:$AT, MATCH(M124, Variablen!$A:$A, 0), MATCH((YEAR(D124)+10), Variablen!$I$3:$AT$3, 0))="",L124,INDEX(Variablen!$I:$AT, MATCH(M124, Variablen!$A:$A, 0), MATCH((YEAR(D124)+10), Variablen!$I$3:$AT$3, 0))),L124)))*(IF((YEAR(D124)+10)&lt;YEAR(E124),0,IF((YEAR(D124)+10)&gt;YEAR(E124),1,(12-MONTH(E124)+1)/12))) + (Q124)*(IF((YEAR(D124)+10)&lt;YEAR(E124),0,IF((YEAR(D124)+10)&gt;YEAR(E124),1,(12-MONTH(E124)+1)/12))))-((P124)*(IF((YEAR(D124)+10)&lt;YEAR(E124),0,IF((YEAR(D124)+10)&gt;YEAR(E124),1,(12-MONTH(E124)+1)/12))) + (R124)*(IF((YEAR(D124)+10)&lt;YEAR(E124),0,IF((YEAR(D124)+10)&gt;YEAR(E124),1,(12-MONTH(E124)+1)/12))))-(IF((((K124)*(IF(M124="",L124,IFERROR(IF(INDEX(Variablen!$I:$AT, MATCH(M124, Variablen!$A:$A, 0), MATCH((YEAR(D124)+10), Variablen!$I$3:$AT$3, 0))="",L124,INDEX(Variablen!$I:$AT, MATCH(M124, Variablen!$A:$A, 0), MATCH((YEAR(D124)+10), Variablen!$I$3:$AT$3, 0))),L124)))*(IF((YEAR(D124)+10)&lt;YEAR(E124),0,IF((YEAR(D124)+10)&gt;YEAR(E124),1,(12-MONTH(E124)+1)/12))) + (Q124)*(IF((YEAR(D124)+10)&lt;YEAR(E124),0,IF((YEAR(D124)+10)&gt;YEAR(E124),1,(12-MONTH(E124)+1)/12))))-((P124)*(IF((YEAR(D124)+10)&lt;YEAR(E124),0,IF((YEAR(D124)+10)&gt;YEAR(E124),1,(12-MONTH(E124)+1)/12))) + (R124)*(IF((YEAR(D124)+10)&lt;YEAR(E124),0,IF((YEAR(D124)+10)&gt;YEAR(E124),1,(12-MONTH(E124)+1)/12))))-(IF(OR(N124="",N124&lt;=0),0,(O124/N124)*(IF(OR(N124="",N124&lt;=0),0,IF((YEAR(D124)+10)&lt;YEAR(E124),0,IF((YEAR(D124)+10)&gt;=YEAR(E124)+N124,0,IF((YEAR(D124)+10)=YEAR(E124),(12-MONTH(E124)+1)/12,1))))))))&gt;0,(((K124)*(IF(M124="",L124,IFERROR(IF(INDEX(Variablen!$I:$AT, MATCH(M124, Variablen!$A:$A, 0), MATCH((YEAR(D124)+10), Variablen!$I$3:$AT$3, 0))="",L124,INDEX(Variablen!$I:$AT, MATCH(M124, Variablen!$A:$A, 0), MATCH((YEAR(D124)+10), Variablen!$I$3:$AT$3, 0))),L124)))*(IF((YEAR(D124)+10)&lt;YEAR(E124),0,IF((YEAR(D124)+10)&gt;YEAR(E124),1,(12-MONTH(E124)+1)/12))) + (Q124)*(IF((YEAR(D124)+10)&lt;YEAR(E124),0,IF((YEAR(D124)+10)&gt;YEAR(E124),1,(12-MONTH(E124)+1)/12))))-((P124)*(IF((YEAR(D124)+10)&lt;YEAR(E124),0,IF((YEAR(D124)+10)&gt;YEAR(E124),1,(12-MONTH(E124)+1)/12))) + (R124)*(IF((YEAR(D124)+10)&lt;YEAR(E124),0,IF((YEAR(D124)+10)&gt;YEAR(E124),1,(12-MONTH(E124)+1)/12))))-(IF(OR(N124="",N124&lt;=0),0,(O124/N124)*(IF(OR(N124="",N124&lt;=0),0,IF((YEAR(D124)+10)&lt;YEAR(E124),0,IF((YEAR(D124)+10)&gt;=YEAR(E124)+N124,0,IF((YEAR(D124)+10)=YEAR(E124),(12-MONTH(E124)+1)/12,1))))))))*TaxRate,0))-IF(10=0,O124,0))</f>
        <v/>
      </c>
      <c r="AD124" s="29">
        <f>IF(A124="","",((K124)*(IF(M124="",L124,IFERROR(IF(INDEX(Variablen!$I:$AT, MATCH(M124, Variablen!$A:$A, 0), MATCH((YEAR(D124)+11), Variablen!$I$3:$AT$3, 0))="",L124,INDEX(Variablen!$I:$AT, MATCH(M124, Variablen!$A:$A, 0), MATCH((YEAR(D124)+11), Variablen!$I$3:$AT$3, 0))),L124)))*(IF((YEAR(D124)+11)&lt;YEAR(E124),0,IF((YEAR(D124)+11)&gt;YEAR(E124),1,(12-MONTH(E124)+1)/12))) + (Q124)*(IF((YEAR(D124)+11)&lt;YEAR(E124),0,IF((YEAR(D124)+11)&gt;YEAR(E124),1,(12-MONTH(E124)+1)/12))))-((P124)*(IF((YEAR(D124)+11)&lt;YEAR(E124),0,IF((YEAR(D124)+11)&gt;YEAR(E124),1,(12-MONTH(E124)+1)/12))) + (R124)*(IF((YEAR(D124)+11)&lt;YEAR(E124),0,IF((YEAR(D124)+11)&gt;YEAR(E124),1,(12-MONTH(E124)+1)/12))))-(IF((((K124)*(IF(M124="",L124,IFERROR(IF(INDEX(Variablen!$I:$AT, MATCH(M124, Variablen!$A:$A, 0), MATCH((YEAR(D124)+11), Variablen!$I$3:$AT$3, 0))="",L124,INDEX(Variablen!$I:$AT, MATCH(M124, Variablen!$A:$A, 0), MATCH((YEAR(D124)+11), Variablen!$I$3:$AT$3, 0))),L124)))*(IF((YEAR(D124)+11)&lt;YEAR(E124),0,IF((YEAR(D124)+11)&gt;YEAR(E124),1,(12-MONTH(E124)+1)/12))) + (Q124)*(IF((YEAR(D124)+11)&lt;YEAR(E124),0,IF((YEAR(D124)+11)&gt;YEAR(E124),1,(12-MONTH(E124)+1)/12))))-((P124)*(IF((YEAR(D124)+11)&lt;YEAR(E124),0,IF((YEAR(D124)+11)&gt;YEAR(E124),1,(12-MONTH(E124)+1)/12))) + (R124)*(IF((YEAR(D124)+11)&lt;YEAR(E124),0,IF((YEAR(D124)+11)&gt;YEAR(E124),1,(12-MONTH(E124)+1)/12))))-(IF(OR(N124="",N124&lt;=0),0,(O124/N124)*(IF(OR(N124="",N124&lt;=0),0,IF((YEAR(D124)+11)&lt;YEAR(E124),0,IF((YEAR(D124)+11)&gt;=YEAR(E124)+N124,0,IF((YEAR(D124)+11)=YEAR(E124),(12-MONTH(E124)+1)/12,1))))))))&gt;0,(((K124)*(IF(M124="",L124,IFERROR(IF(INDEX(Variablen!$I:$AT, MATCH(M124, Variablen!$A:$A, 0), MATCH((YEAR(D124)+11), Variablen!$I$3:$AT$3, 0))="",L124,INDEX(Variablen!$I:$AT, MATCH(M124, Variablen!$A:$A, 0), MATCH((YEAR(D124)+11), Variablen!$I$3:$AT$3, 0))),L124)))*(IF((YEAR(D124)+11)&lt;YEAR(E124),0,IF((YEAR(D124)+11)&gt;YEAR(E124),1,(12-MONTH(E124)+1)/12))) + (Q124)*(IF((YEAR(D124)+11)&lt;YEAR(E124),0,IF((YEAR(D124)+11)&gt;YEAR(E124),1,(12-MONTH(E124)+1)/12))))-((P124)*(IF((YEAR(D124)+11)&lt;YEAR(E124),0,IF((YEAR(D124)+11)&gt;YEAR(E124),1,(12-MONTH(E124)+1)/12))) + (R124)*(IF((YEAR(D124)+11)&lt;YEAR(E124),0,IF((YEAR(D124)+11)&gt;YEAR(E124),1,(12-MONTH(E124)+1)/12))))-(IF(OR(N124="",N124&lt;=0),0,(O124/N124)*(IF(OR(N124="",N124&lt;=0),0,IF((YEAR(D124)+11)&lt;YEAR(E124),0,IF((YEAR(D124)+11)&gt;=YEAR(E124)+N124,0,IF((YEAR(D124)+11)=YEAR(E124),(12-MONTH(E124)+1)/12,1))))))))*TaxRate,0))-IF(11=0,O124,0))</f>
        <v/>
      </c>
      <c r="AE124" s="29">
        <f>IF(A124="","",((K124)*(IF(M124="",L124,IFERROR(IF(INDEX(Variablen!$I:$AT, MATCH(M124, Variablen!$A:$A, 0), MATCH((YEAR(D124)+12), Variablen!$I$3:$AT$3, 0))="",L124,INDEX(Variablen!$I:$AT, MATCH(M124, Variablen!$A:$A, 0), MATCH((YEAR(D124)+12), Variablen!$I$3:$AT$3, 0))),L124)))*(IF((YEAR(D124)+12)&lt;YEAR(E124),0,IF((YEAR(D124)+12)&gt;YEAR(E124),1,(12-MONTH(E124)+1)/12))) + (Q124)*(IF((YEAR(D124)+12)&lt;YEAR(E124),0,IF((YEAR(D124)+12)&gt;YEAR(E124),1,(12-MONTH(E124)+1)/12))))-((P124)*(IF((YEAR(D124)+12)&lt;YEAR(E124),0,IF((YEAR(D124)+12)&gt;YEAR(E124),1,(12-MONTH(E124)+1)/12))) + (R124)*(IF((YEAR(D124)+12)&lt;YEAR(E124),0,IF((YEAR(D124)+12)&gt;YEAR(E124),1,(12-MONTH(E124)+1)/12))))-(IF((((K124)*(IF(M124="",L124,IFERROR(IF(INDEX(Variablen!$I:$AT, MATCH(M124, Variablen!$A:$A, 0), MATCH((YEAR(D124)+12), Variablen!$I$3:$AT$3, 0))="",L124,INDEX(Variablen!$I:$AT, MATCH(M124, Variablen!$A:$A, 0), MATCH((YEAR(D124)+12), Variablen!$I$3:$AT$3, 0))),L124)))*(IF((YEAR(D124)+12)&lt;YEAR(E124),0,IF((YEAR(D124)+12)&gt;YEAR(E124),1,(12-MONTH(E124)+1)/12))) + (Q124)*(IF((YEAR(D124)+12)&lt;YEAR(E124),0,IF((YEAR(D124)+12)&gt;YEAR(E124),1,(12-MONTH(E124)+1)/12))))-((P124)*(IF((YEAR(D124)+12)&lt;YEAR(E124),0,IF((YEAR(D124)+12)&gt;YEAR(E124),1,(12-MONTH(E124)+1)/12))) + (R124)*(IF((YEAR(D124)+12)&lt;YEAR(E124),0,IF((YEAR(D124)+12)&gt;YEAR(E124),1,(12-MONTH(E124)+1)/12))))-(IF(OR(N124="",N124&lt;=0),0,(O124/N124)*(IF(OR(N124="",N124&lt;=0),0,IF((YEAR(D124)+12)&lt;YEAR(E124),0,IF((YEAR(D124)+12)&gt;=YEAR(E124)+N124,0,IF((YEAR(D124)+12)=YEAR(E124),(12-MONTH(E124)+1)/12,1))))))))&gt;0,(((K124)*(IF(M124="",L124,IFERROR(IF(INDEX(Variablen!$I:$AT, MATCH(M124, Variablen!$A:$A, 0), MATCH((YEAR(D124)+12), Variablen!$I$3:$AT$3, 0))="",L124,INDEX(Variablen!$I:$AT, MATCH(M124, Variablen!$A:$A, 0), MATCH((YEAR(D124)+12), Variablen!$I$3:$AT$3, 0))),L124)))*(IF((YEAR(D124)+12)&lt;YEAR(E124),0,IF((YEAR(D124)+12)&gt;YEAR(E124),1,(12-MONTH(E124)+1)/12))) + (Q124)*(IF((YEAR(D124)+12)&lt;YEAR(E124),0,IF((YEAR(D124)+12)&gt;YEAR(E124),1,(12-MONTH(E124)+1)/12))))-((P124)*(IF((YEAR(D124)+12)&lt;YEAR(E124),0,IF((YEAR(D124)+12)&gt;YEAR(E124),1,(12-MONTH(E124)+1)/12))) + (R124)*(IF((YEAR(D124)+12)&lt;YEAR(E124),0,IF((YEAR(D124)+12)&gt;YEAR(E124),1,(12-MONTH(E124)+1)/12))))-(IF(OR(N124="",N124&lt;=0),0,(O124/N124)*(IF(OR(N124="",N124&lt;=0),0,IF((YEAR(D124)+12)&lt;YEAR(E124),0,IF((YEAR(D124)+12)&gt;=YEAR(E124)+N124,0,IF((YEAR(D124)+12)=YEAR(E124),(12-MONTH(E124)+1)/12,1))))))))*TaxRate,0))-IF(12=0,O124,0))</f>
        <v/>
      </c>
      <c r="AF124" s="29">
        <f>IF(A124="","",((K124)*(IF(M124="",L124,IFERROR(IF(INDEX(Variablen!$I:$AT, MATCH(M124, Variablen!$A:$A, 0), MATCH((YEAR(D124)+13), Variablen!$I$3:$AT$3, 0))="",L124,INDEX(Variablen!$I:$AT, MATCH(M124, Variablen!$A:$A, 0), MATCH((YEAR(D124)+13), Variablen!$I$3:$AT$3, 0))),L124)))*(IF((YEAR(D124)+13)&lt;YEAR(E124),0,IF((YEAR(D124)+13)&gt;YEAR(E124),1,(12-MONTH(E124)+1)/12))) + (Q124)*(IF((YEAR(D124)+13)&lt;YEAR(E124),0,IF((YEAR(D124)+13)&gt;YEAR(E124),1,(12-MONTH(E124)+1)/12))))-((P124)*(IF((YEAR(D124)+13)&lt;YEAR(E124),0,IF((YEAR(D124)+13)&gt;YEAR(E124),1,(12-MONTH(E124)+1)/12))) + (R124)*(IF((YEAR(D124)+13)&lt;YEAR(E124),0,IF((YEAR(D124)+13)&gt;YEAR(E124),1,(12-MONTH(E124)+1)/12))))-(IF((((K124)*(IF(M124="",L124,IFERROR(IF(INDEX(Variablen!$I:$AT, MATCH(M124, Variablen!$A:$A, 0), MATCH((YEAR(D124)+13), Variablen!$I$3:$AT$3, 0))="",L124,INDEX(Variablen!$I:$AT, MATCH(M124, Variablen!$A:$A, 0), MATCH((YEAR(D124)+13), Variablen!$I$3:$AT$3, 0))),L124)))*(IF((YEAR(D124)+13)&lt;YEAR(E124),0,IF((YEAR(D124)+13)&gt;YEAR(E124),1,(12-MONTH(E124)+1)/12))) + (Q124)*(IF((YEAR(D124)+13)&lt;YEAR(E124),0,IF((YEAR(D124)+13)&gt;YEAR(E124),1,(12-MONTH(E124)+1)/12))))-((P124)*(IF((YEAR(D124)+13)&lt;YEAR(E124),0,IF((YEAR(D124)+13)&gt;YEAR(E124),1,(12-MONTH(E124)+1)/12))) + (R124)*(IF((YEAR(D124)+13)&lt;YEAR(E124),0,IF((YEAR(D124)+13)&gt;YEAR(E124),1,(12-MONTH(E124)+1)/12))))-(IF(OR(N124="",N124&lt;=0),0,(O124/N124)*(IF(OR(N124="",N124&lt;=0),0,IF((YEAR(D124)+13)&lt;YEAR(E124),0,IF((YEAR(D124)+13)&gt;=YEAR(E124)+N124,0,IF((YEAR(D124)+13)=YEAR(E124),(12-MONTH(E124)+1)/12,1))))))))&gt;0,(((K124)*(IF(M124="",L124,IFERROR(IF(INDEX(Variablen!$I:$AT, MATCH(M124, Variablen!$A:$A, 0), MATCH((YEAR(D124)+13), Variablen!$I$3:$AT$3, 0))="",L124,INDEX(Variablen!$I:$AT, MATCH(M124, Variablen!$A:$A, 0), MATCH((YEAR(D124)+13), Variablen!$I$3:$AT$3, 0))),L124)))*(IF((YEAR(D124)+13)&lt;YEAR(E124),0,IF((YEAR(D124)+13)&gt;YEAR(E124),1,(12-MONTH(E124)+1)/12))) + (Q124)*(IF((YEAR(D124)+13)&lt;YEAR(E124),0,IF((YEAR(D124)+13)&gt;YEAR(E124),1,(12-MONTH(E124)+1)/12))))-((P124)*(IF((YEAR(D124)+13)&lt;YEAR(E124),0,IF((YEAR(D124)+13)&gt;YEAR(E124),1,(12-MONTH(E124)+1)/12))) + (R124)*(IF((YEAR(D124)+13)&lt;YEAR(E124),0,IF((YEAR(D124)+13)&gt;YEAR(E124),1,(12-MONTH(E124)+1)/12))))-(IF(OR(N124="",N124&lt;=0),0,(O124/N124)*(IF(OR(N124="",N124&lt;=0),0,IF((YEAR(D124)+13)&lt;YEAR(E124),0,IF((YEAR(D124)+13)&gt;=YEAR(E124)+N124,0,IF((YEAR(D124)+13)=YEAR(E124),(12-MONTH(E124)+1)/12,1))))))))*TaxRate,0))-IF(13=0,O124,0))</f>
        <v/>
      </c>
      <c r="AG124" s="29">
        <f>IF(A124="","",((K124)*(IF(M124="",L124,IFERROR(IF(INDEX(Variablen!$I:$AT, MATCH(M124, Variablen!$A:$A, 0), MATCH((YEAR(D124)+14), Variablen!$I$3:$AT$3, 0))="",L124,INDEX(Variablen!$I:$AT, MATCH(M124, Variablen!$A:$A, 0), MATCH((YEAR(D124)+14), Variablen!$I$3:$AT$3, 0))),L124)))*(IF((YEAR(D124)+14)&lt;YEAR(E124),0,IF((YEAR(D124)+14)&gt;YEAR(E124),1,(12-MONTH(E124)+1)/12))) + (Q124)*(IF((YEAR(D124)+14)&lt;YEAR(E124),0,IF((YEAR(D124)+14)&gt;YEAR(E124),1,(12-MONTH(E124)+1)/12))))-((P124)*(IF((YEAR(D124)+14)&lt;YEAR(E124),0,IF((YEAR(D124)+14)&gt;YEAR(E124),1,(12-MONTH(E124)+1)/12))) + (R124)*(IF((YEAR(D124)+14)&lt;YEAR(E124),0,IF((YEAR(D124)+14)&gt;YEAR(E124),1,(12-MONTH(E124)+1)/12))))-(IF((((K124)*(IF(M124="",L124,IFERROR(IF(INDEX(Variablen!$I:$AT, MATCH(M124, Variablen!$A:$A, 0), MATCH((YEAR(D124)+14), Variablen!$I$3:$AT$3, 0))="",L124,INDEX(Variablen!$I:$AT, MATCH(M124, Variablen!$A:$A, 0), MATCH((YEAR(D124)+14), Variablen!$I$3:$AT$3, 0))),L124)))*(IF((YEAR(D124)+14)&lt;YEAR(E124),0,IF((YEAR(D124)+14)&gt;YEAR(E124),1,(12-MONTH(E124)+1)/12))) + (Q124)*(IF((YEAR(D124)+14)&lt;YEAR(E124),0,IF((YEAR(D124)+14)&gt;YEAR(E124),1,(12-MONTH(E124)+1)/12))))-((P124)*(IF((YEAR(D124)+14)&lt;YEAR(E124),0,IF((YEAR(D124)+14)&gt;YEAR(E124),1,(12-MONTH(E124)+1)/12))) + (R124)*(IF((YEAR(D124)+14)&lt;YEAR(E124),0,IF((YEAR(D124)+14)&gt;YEAR(E124),1,(12-MONTH(E124)+1)/12))))-(IF(OR(N124="",N124&lt;=0),0,(O124/N124)*(IF(OR(N124="",N124&lt;=0),0,IF((YEAR(D124)+14)&lt;YEAR(E124),0,IF((YEAR(D124)+14)&gt;=YEAR(E124)+N124,0,IF((YEAR(D124)+14)=YEAR(E124),(12-MONTH(E124)+1)/12,1))))))))&gt;0,(((K124)*(IF(M124="",L124,IFERROR(IF(INDEX(Variablen!$I:$AT, MATCH(M124, Variablen!$A:$A, 0), MATCH((YEAR(D124)+14), Variablen!$I$3:$AT$3, 0))="",L124,INDEX(Variablen!$I:$AT, MATCH(M124, Variablen!$A:$A, 0), MATCH((YEAR(D124)+14), Variablen!$I$3:$AT$3, 0))),L124)))*(IF((YEAR(D124)+14)&lt;YEAR(E124),0,IF((YEAR(D124)+14)&gt;YEAR(E124),1,(12-MONTH(E124)+1)/12))) + (Q124)*(IF((YEAR(D124)+14)&lt;YEAR(E124),0,IF((YEAR(D124)+14)&gt;YEAR(E124),1,(12-MONTH(E124)+1)/12))))-((P124)*(IF((YEAR(D124)+14)&lt;YEAR(E124),0,IF((YEAR(D124)+14)&gt;YEAR(E124),1,(12-MONTH(E124)+1)/12))) + (R124)*(IF((YEAR(D124)+14)&lt;YEAR(E124),0,IF((YEAR(D124)+14)&gt;YEAR(E124),1,(12-MONTH(E124)+1)/12))))-(IF(OR(N124="",N124&lt;=0),0,(O124/N124)*(IF(OR(N124="",N124&lt;=0),0,IF((YEAR(D124)+14)&lt;YEAR(E124),0,IF((YEAR(D124)+14)&gt;=YEAR(E124)+N124,0,IF((YEAR(D124)+14)=YEAR(E124),(12-MONTH(E124)+1)/12,1))))))))*TaxRate,0))-IF(14=0,O124,0))</f>
        <v/>
      </c>
      <c r="AH124" s="29">
        <f>IF(A124="","",((K124)*(IF(M124="",L124,IFERROR(IF(INDEX(Variablen!$I:$AT, MATCH(M124, Variablen!$A:$A, 0), MATCH((YEAR(D124)+15), Variablen!$I$3:$AT$3, 0))="",L124,INDEX(Variablen!$I:$AT, MATCH(M124, Variablen!$A:$A, 0), MATCH((YEAR(D124)+15), Variablen!$I$3:$AT$3, 0))),L124)))*(IF((YEAR(D124)+15)&lt;YEAR(E124),0,IF((YEAR(D124)+15)&gt;YEAR(E124),1,(12-MONTH(E124)+1)/12))) + (Q124)*(IF((YEAR(D124)+15)&lt;YEAR(E124),0,IF((YEAR(D124)+15)&gt;YEAR(E124),1,(12-MONTH(E124)+1)/12))))-((P124)*(IF((YEAR(D124)+15)&lt;YEAR(E124),0,IF((YEAR(D124)+15)&gt;YEAR(E124),1,(12-MONTH(E124)+1)/12))) + (R124)*(IF((YEAR(D124)+15)&lt;YEAR(E124),0,IF((YEAR(D124)+15)&gt;YEAR(E124),1,(12-MONTH(E124)+1)/12))))-(IF((((K124)*(IF(M124="",L124,IFERROR(IF(INDEX(Variablen!$I:$AT, MATCH(M124, Variablen!$A:$A, 0), MATCH((YEAR(D124)+15), Variablen!$I$3:$AT$3, 0))="",L124,INDEX(Variablen!$I:$AT, MATCH(M124, Variablen!$A:$A, 0), MATCH((YEAR(D124)+15), Variablen!$I$3:$AT$3, 0))),L124)))*(IF((YEAR(D124)+15)&lt;YEAR(E124),0,IF((YEAR(D124)+15)&gt;YEAR(E124),1,(12-MONTH(E124)+1)/12))) + (Q124)*(IF((YEAR(D124)+15)&lt;YEAR(E124),0,IF((YEAR(D124)+15)&gt;YEAR(E124),1,(12-MONTH(E124)+1)/12))))-((P124)*(IF((YEAR(D124)+15)&lt;YEAR(E124),0,IF((YEAR(D124)+15)&gt;YEAR(E124),1,(12-MONTH(E124)+1)/12))) + (R124)*(IF((YEAR(D124)+15)&lt;YEAR(E124),0,IF((YEAR(D124)+15)&gt;YEAR(E124),1,(12-MONTH(E124)+1)/12))))-(IF(OR(N124="",N124&lt;=0),0,(O124/N124)*(IF(OR(N124="",N124&lt;=0),0,IF((YEAR(D124)+15)&lt;YEAR(E124),0,IF((YEAR(D124)+15)&gt;=YEAR(E124)+N124,0,IF((YEAR(D124)+15)=YEAR(E124),(12-MONTH(E124)+1)/12,1))))))))&gt;0,(((K124)*(IF(M124="",L124,IFERROR(IF(INDEX(Variablen!$I:$AT, MATCH(M124, Variablen!$A:$A, 0), MATCH((YEAR(D124)+15), Variablen!$I$3:$AT$3, 0))="",L124,INDEX(Variablen!$I:$AT, MATCH(M124, Variablen!$A:$A, 0), MATCH((YEAR(D124)+15), Variablen!$I$3:$AT$3, 0))),L124)))*(IF((YEAR(D124)+15)&lt;YEAR(E124),0,IF((YEAR(D124)+15)&gt;YEAR(E124),1,(12-MONTH(E124)+1)/12))) + (Q124)*(IF((YEAR(D124)+15)&lt;YEAR(E124),0,IF((YEAR(D124)+15)&gt;YEAR(E124),1,(12-MONTH(E124)+1)/12))))-((P124)*(IF((YEAR(D124)+15)&lt;YEAR(E124),0,IF((YEAR(D124)+15)&gt;YEAR(E124),1,(12-MONTH(E124)+1)/12))) + (R124)*(IF((YEAR(D124)+15)&lt;YEAR(E124),0,IF((YEAR(D124)+15)&gt;YEAR(E124),1,(12-MONTH(E124)+1)/12))))-(IF(OR(N124="",N124&lt;=0),0,(O124/N124)*(IF(OR(N124="",N124&lt;=0),0,IF((YEAR(D124)+15)&lt;YEAR(E124),0,IF((YEAR(D124)+15)&gt;=YEAR(E124)+N124,0,IF((YEAR(D124)+15)=YEAR(E124),(12-MONTH(E124)+1)/12,1))))))))*TaxRate,0))-IF(15=0,O124,0))</f>
        <v/>
      </c>
      <c r="AI124" s="29">
        <f>IF(A124="","",((K124)*(IF(M124="",L124,IFERROR(IF(INDEX(Variablen!$I:$AT, MATCH(M124, Variablen!$A:$A, 0), MATCH((YEAR(D124)+16), Variablen!$I$3:$AT$3, 0))="",L124,INDEX(Variablen!$I:$AT, MATCH(M124, Variablen!$A:$A, 0), MATCH((YEAR(D124)+16), Variablen!$I$3:$AT$3, 0))),L124)))*(IF((YEAR(D124)+16)&lt;YEAR(E124),0,IF((YEAR(D124)+16)&gt;YEAR(E124),1,(12-MONTH(E124)+1)/12))) + (Q124)*(IF((YEAR(D124)+16)&lt;YEAR(E124),0,IF((YEAR(D124)+16)&gt;YEAR(E124),1,(12-MONTH(E124)+1)/12))))-((P124)*(IF((YEAR(D124)+16)&lt;YEAR(E124),0,IF((YEAR(D124)+16)&gt;YEAR(E124),1,(12-MONTH(E124)+1)/12))) + (R124)*(IF((YEAR(D124)+16)&lt;YEAR(E124),0,IF((YEAR(D124)+16)&gt;YEAR(E124),1,(12-MONTH(E124)+1)/12))))-(IF((((K124)*(IF(M124="",L124,IFERROR(IF(INDEX(Variablen!$I:$AT, MATCH(M124, Variablen!$A:$A, 0), MATCH((YEAR(D124)+16), Variablen!$I$3:$AT$3, 0))="",L124,INDEX(Variablen!$I:$AT, MATCH(M124, Variablen!$A:$A, 0), MATCH((YEAR(D124)+16), Variablen!$I$3:$AT$3, 0))),L124)))*(IF((YEAR(D124)+16)&lt;YEAR(E124),0,IF((YEAR(D124)+16)&gt;YEAR(E124),1,(12-MONTH(E124)+1)/12))) + (Q124)*(IF((YEAR(D124)+16)&lt;YEAR(E124),0,IF((YEAR(D124)+16)&gt;YEAR(E124),1,(12-MONTH(E124)+1)/12))))-((P124)*(IF((YEAR(D124)+16)&lt;YEAR(E124),0,IF((YEAR(D124)+16)&gt;YEAR(E124),1,(12-MONTH(E124)+1)/12))) + (R124)*(IF((YEAR(D124)+16)&lt;YEAR(E124),0,IF((YEAR(D124)+16)&gt;YEAR(E124),1,(12-MONTH(E124)+1)/12))))-(IF(OR(N124="",N124&lt;=0),0,(O124/N124)*(IF(OR(N124="",N124&lt;=0),0,IF((YEAR(D124)+16)&lt;YEAR(E124),0,IF((YEAR(D124)+16)&gt;=YEAR(E124)+N124,0,IF((YEAR(D124)+16)=YEAR(E124),(12-MONTH(E124)+1)/12,1))))))))&gt;0,(((K124)*(IF(M124="",L124,IFERROR(IF(INDEX(Variablen!$I:$AT, MATCH(M124, Variablen!$A:$A, 0), MATCH((YEAR(D124)+16), Variablen!$I$3:$AT$3, 0))="",L124,INDEX(Variablen!$I:$AT, MATCH(M124, Variablen!$A:$A, 0), MATCH((YEAR(D124)+16), Variablen!$I$3:$AT$3, 0))),L124)))*(IF((YEAR(D124)+16)&lt;YEAR(E124),0,IF((YEAR(D124)+16)&gt;YEAR(E124),1,(12-MONTH(E124)+1)/12))) + (Q124)*(IF((YEAR(D124)+16)&lt;YEAR(E124),0,IF((YEAR(D124)+16)&gt;YEAR(E124),1,(12-MONTH(E124)+1)/12))))-((P124)*(IF((YEAR(D124)+16)&lt;YEAR(E124),0,IF((YEAR(D124)+16)&gt;YEAR(E124),1,(12-MONTH(E124)+1)/12))) + (R124)*(IF((YEAR(D124)+16)&lt;YEAR(E124),0,IF((YEAR(D124)+16)&gt;YEAR(E124),1,(12-MONTH(E124)+1)/12))))-(IF(OR(N124="",N124&lt;=0),0,(O124/N124)*(IF(OR(N124="",N124&lt;=0),0,IF((YEAR(D124)+16)&lt;YEAR(E124),0,IF((YEAR(D124)+16)&gt;=YEAR(E124)+N124,0,IF((YEAR(D124)+16)=YEAR(E124),(12-MONTH(E124)+1)/12,1))))))))*TaxRate,0))-IF(16=0,O124,0))</f>
        <v/>
      </c>
      <c r="AJ124" s="29">
        <f>IF(A124="","",((K124)*(IF(M124="",L124,IFERROR(IF(INDEX(Variablen!$I:$AT, MATCH(M124, Variablen!$A:$A, 0), MATCH((YEAR(D124)+17), Variablen!$I$3:$AT$3, 0))="",L124,INDEX(Variablen!$I:$AT, MATCH(M124, Variablen!$A:$A, 0), MATCH((YEAR(D124)+17), Variablen!$I$3:$AT$3, 0))),L124)))*(IF((YEAR(D124)+17)&lt;YEAR(E124),0,IF((YEAR(D124)+17)&gt;YEAR(E124),1,(12-MONTH(E124)+1)/12))) + (Q124)*(IF((YEAR(D124)+17)&lt;YEAR(E124),0,IF((YEAR(D124)+17)&gt;YEAR(E124),1,(12-MONTH(E124)+1)/12))))-((P124)*(IF((YEAR(D124)+17)&lt;YEAR(E124),0,IF((YEAR(D124)+17)&gt;YEAR(E124),1,(12-MONTH(E124)+1)/12))) + (R124)*(IF((YEAR(D124)+17)&lt;YEAR(E124),0,IF((YEAR(D124)+17)&gt;YEAR(E124),1,(12-MONTH(E124)+1)/12))))-(IF((((K124)*(IF(M124="",L124,IFERROR(IF(INDEX(Variablen!$I:$AT, MATCH(M124, Variablen!$A:$A, 0), MATCH((YEAR(D124)+17), Variablen!$I$3:$AT$3, 0))="",L124,INDEX(Variablen!$I:$AT, MATCH(M124, Variablen!$A:$A, 0), MATCH((YEAR(D124)+17), Variablen!$I$3:$AT$3, 0))),L124)))*(IF((YEAR(D124)+17)&lt;YEAR(E124),0,IF((YEAR(D124)+17)&gt;YEAR(E124),1,(12-MONTH(E124)+1)/12))) + (Q124)*(IF((YEAR(D124)+17)&lt;YEAR(E124),0,IF((YEAR(D124)+17)&gt;YEAR(E124),1,(12-MONTH(E124)+1)/12))))-((P124)*(IF((YEAR(D124)+17)&lt;YEAR(E124),0,IF((YEAR(D124)+17)&gt;YEAR(E124),1,(12-MONTH(E124)+1)/12))) + (R124)*(IF((YEAR(D124)+17)&lt;YEAR(E124),0,IF((YEAR(D124)+17)&gt;YEAR(E124),1,(12-MONTH(E124)+1)/12))))-(IF(OR(N124="",N124&lt;=0),0,(O124/N124)*(IF(OR(N124="",N124&lt;=0),0,IF((YEAR(D124)+17)&lt;YEAR(E124),0,IF((YEAR(D124)+17)&gt;=YEAR(E124)+N124,0,IF((YEAR(D124)+17)=YEAR(E124),(12-MONTH(E124)+1)/12,1))))))))&gt;0,(((K124)*(IF(M124="",L124,IFERROR(IF(INDEX(Variablen!$I:$AT, MATCH(M124, Variablen!$A:$A, 0), MATCH((YEAR(D124)+17), Variablen!$I$3:$AT$3, 0))="",L124,INDEX(Variablen!$I:$AT, MATCH(M124, Variablen!$A:$A, 0), MATCH((YEAR(D124)+17), Variablen!$I$3:$AT$3, 0))),L124)))*(IF((YEAR(D124)+17)&lt;YEAR(E124),0,IF((YEAR(D124)+17)&gt;YEAR(E124),1,(12-MONTH(E124)+1)/12))) + (Q124)*(IF((YEAR(D124)+17)&lt;YEAR(E124),0,IF((YEAR(D124)+17)&gt;YEAR(E124),1,(12-MONTH(E124)+1)/12))))-((P124)*(IF((YEAR(D124)+17)&lt;YEAR(E124),0,IF((YEAR(D124)+17)&gt;YEAR(E124),1,(12-MONTH(E124)+1)/12))) + (R124)*(IF((YEAR(D124)+17)&lt;YEAR(E124),0,IF((YEAR(D124)+17)&gt;YEAR(E124),1,(12-MONTH(E124)+1)/12))))-(IF(OR(N124="",N124&lt;=0),0,(O124/N124)*(IF(OR(N124="",N124&lt;=0),0,IF((YEAR(D124)+17)&lt;YEAR(E124),0,IF((YEAR(D124)+17)&gt;=YEAR(E124)+N124,0,IF((YEAR(D124)+17)=YEAR(E124),(12-MONTH(E124)+1)/12,1))))))))*TaxRate,0))-IF(17=0,O124,0))</f>
        <v/>
      </c>
      <c r="AK124" s="29">
        <f>IF(A124="","",((K124)*(IF(M124="",L124,IFERROR(IF(INDEX(Variablen!$I:$AT, MATCH(M124, Variablen!$A:$A, 0), MATCH((YEAR(D124)+18), Variablen!$I$3:$AT$3, 0))="",L124,INDEX(Variablen!$I:$AT, MATCH(M124, Variablen!$A:$A, 0), MATCH((YEAR(D124)+18), Variablen!$I$3:$AT$3, 0))),L124)))*(IF((YEAR(D124)+18)&lt;YEAR(E124),0,IF((YEAR(D124)+18)&gt;YEAR(E124),1,(12-MONTH(E124)+1)/12))) + (Q124)*(IF((YEAR(D124)+18)&lt;YEAR(E124),0,IF((YEAR(D124)+18)&gt;YEAR(E124),1,(12-MONTH(E124)+1)/12))))-((P124)*(IF((YEAR(D124)+18)&lt;YEAR(E124),0,IF((YEAR(D124)+18)&gt;YEAR(E124),1,(12-MONTH(E124)+1)/12))) + (R124)*(IF((YEAR(D124)+18)&lt;YEAR(E124),0,IF((YEAR(D124)+18)&gt;YEAR(E124),1,(12-MONTH(E124)+1)/12))))-(IF((((K124)*(IF(M124="",L124,IFERROR(IF(INDEX(Variablen!$I:$AT, MATCH(M124, Variablen!$A:$A, 0), MATCH((YEAR(D124)+18), Variablen!$I$3:$AT$3, 0))="",L124,INDEX(Variablen!$I:$AT, MATCH(M124, Variablen!$A:$A, 0), MATCH((YEAR(D124)+18), Variablen!$I$3:$AT$3, 0))),L124)))*(IF((YEAR(D124)+18)&lt;YEAR(E124),0,IF((YEAR(D124)+18)&gt;YEAR(E124),1,(12-MONTH(E124)+1)/12))) + (Q124)*(IF((YEAR(D124)+18)&lt;YEAR(E124),0,IF((YEAR(D124)+18)&gt;YEAR(E124),1,(12-MONTH(E124)+1)/12))))-((P124)*(IF((YEAR(D124)+18)&lt;YEAR(E124),0,IF((YEAR(D124)+18)&gt;YEAR(E124),1,(12-MONTH(E124)+1)/12))) + (R124)*(IF((YEAR(D124)+18)&lt;YEAR(E124),0,IF((YEAR(D124)+18)&gt;YEAR(E124),1,(12-MONTH(E124)+1)/12))))-(IF(OR(N124="",N124&lt;=0),0,(O124/N124)*(IF(OR(N124="",N124&lt;=0),0,IF((YEAR(D124)+18)&lt;YEAR(E124),0,IF((YEAR(D124)+18)&gt;=YEAR(E124)+N124,0,IF((YEAR(D124)+18)=YEAR(E124),(12-MONTH(E124)+1)/12,1))))))))&gt;0,(((K124)*(IF(M124="",L124,IFERROR(IF(INDEX(Variablen!$I:$AT, MATCH(M124, Variablen!$A:$A, 0), MATCH((YEAR(D124)+18), Variablen!$I$3:$AT$3, 0))="",L124,INDEX(Variablen!$I:$AT, MATCH(M124, Variablen!$A:$A, 0), MATCH((YEAR(D124)+18), Variablen!$I$3:$AT$3, 0))),L124)))*(IF((YEAR(D124)+18)&lt;YEAR(E124),0,IF((YEAR(D124)+18)&gt;YEAR(E124),1,(12-MONTH(E124)+1)/12))) + (Q124)*(IF((YEAR(D124)+18)&lt;YEAR(E124),0,IF((YEAR(D124)+18)&gt;YEAR(E124),1,(12-MONTH(E124)+1)/12))))-((P124)*(IF((YEAR(D124)+18)&lt;YEAR(E124),0,IF((YEAR(D124)+18)&gt;YEAR(E124),1,(12-MONTH(E124)+1)/12))) + (R124)*(IF((YEAR(D124)+18)&lt;YEAR(E124),0,IF((YEAR(D124)+18)&gt;YEAR(E124),1,(12-MONTH(E124)+1)/12))))-(IF(OR(N124="",N124&lt;=0),0,(O124/N124)*(IF(OR(N124="",N124&lt;=0),0,IF((YEAR(D124)+18)&lt;YEAR(E124),0,IF((YEAR(D124)+18)&gt;=YEAR(E124)+N124,0,IF((YEAR(D124)+18)=YEAR(E124),(12-MONTH(E124)+1)/12,1))))))))*TaxRate,0))-IF(18=0,O124,0))</f>
        <v/>
      </c>
      <c r="AL124" s="29">
        <f>IF(A124="","",((K124)*(IF(M124="",L124,IFERROR(IF(INDEX(Variablen!$I:$AT, MATCH(M124, Variablen!$A:$A, 0), MATCH((YEAR(D124)+19), Variablen!$I$3:$AT$3, 0))="",L124,INDEX(Variablen!$I:$AT, MATCH(M124, Variablen!$A:$A, 0), MATCH((YEAR(D124)+19), Variablen!$I$3:$AT$3, 0))),L124)))*(IF((YEAR(D124)+19)&lt;YEAR(E124),0,IF((YEAR(D124)+19)&gt;YEAR(E124),1,(12-MONTH(E124)+1)/12))) + (Q124)*(IF((YEAR(D124)+19)&lt;YEAR(E124),0,IF((YEAR(D124)+19)&gt;YEAR(E124),1,(12-MONTH(E124)+1)/12))))-((P124)*(IF((YEAR(D124)+19)&lt;YEAR(E124),0,IF((YEAR(D124)+19)&gt;YEAR(E124),1,(12-MONTH(E124)+1)/12))) + (R124)*(IF((YEAR(D124)+19)&lt;YEAR(E124),0,IF((YEAR(D124)+19)&gt;YEAR(E124),1,(12-MONTH(E124)+1)/12))))-(IF((((K124)*(IF(M124="",L124,IFERROR(IF(INDEX(Variablen!$I:$AT, MATCH(M124, Variablen!$A:$A, 0), MATCH((YEAR(D124)+19), Variablen!$I$3:$AT$3, 0))="",L124,INDEX(Variablen!$I:$AT, MATCH(M124, Variablen!$A:$A, 0), MATCH((YEAR(D124)+19), Variablen!$I$3:$AT$3, 0))),L124)))*(IF((YEAR(D124)+19)&lt;YEAR(E124),0,IF((YEAR(D124)+19)&gt;YEAR(E124),1,(12-MONTH(E124)+1)/12))) + (Q124)*(IF((YEAR(D124)+19)&lt;YEAR(E124),0,IF((YEAR(D124)+19)&gt;YEAR(E124),1,(12-MONTH(E124)+1)/12))))-((P124)*(IF((YEAR(D124)+19)&lt;YEAR(E124),0,IF((YEAR(D124)+19)&gt;YEAR(E124),1,(12-MONTH(E124)+1)/12))) + (R124)*(IF((YEAR(D124)+19)&lt;YEAR(E124),0,IF((YEAR(D124)+19)&gt;YEAR(E124),1,(12-MONTH(E124)+1)/12))))-(IF(OR(N124="",N124&lt;=0),0,(O124/N124)*(IF(OR(N124="",N124&lt;=0),0,IF((YEAR(D124)+19)&lt;YEAR(E124),0,IF((YEAR(D124)+19)&gt;=YEAR(E124)+N124,0,IF((YEAR(D124)+19)=YEAR(E124),(12-MONTH(E124)+1)/12,1))))))))&gt;0,(((K124)*(IF(M124="",L124,IFERROR(IF(INDEX(Variablen!$I:$AT, MATCH(M124, Variablen!$A:$A, 0), MATCH((YEAR(D124)+19), Variablen!$I$3:$AT$3, 0))="",L124,INDEX(Variablen!$I:$AT, MATCH(M124, Variablen!$A:$A, 0), MATCH((YEAR(D124)+19), Variablen!$I$3:$AT$3, 0))),L124)))*(IF((YEAR(D124)+19)&lt;YEAR(E124),0,IF((YEAR(D124)+19)&gt;YEAR(E124),1,(12-MONTH(E124)+1)/12))) + (Q124)*(IF((YEAR(D124)+19)&lt;YEAR(E124),0,IF((YEAR(D124)+19)&gt;YEAR(E124),1,(12-MONTH(E124)+1)/12))))-((P124)*(IF((YEAR(D124)+19)&lt;YEAR(E124),0,IF((YEAR(D124)+19)&gt;YEAR(E124),1,(12-MONTH(E124)+1)/12))) + (R124)*(IF((YEAR(D124)+19)&lt;YEAR(E124),0,IF((YEAR(D124)+19)&gt;YEAR(E124),1,(12-MONTH(E124)+1)/12))))-(IF(OR(N124="",N124&lt;=0),0,(O124/N124)*(IF(OR(N124="",N124&lt;=0),0,IF((YEAR(D124)+19)&lt;YEAR(E124),0,IF((YEAR(D124)+19)&gt;=YEAR(E124)+N124,0,IF((YEAR(D124)+19)=YEAR(E124),(12-MONTH(E124)+1)/12,1))))))))*TaxRate,0))-IF(19=0,O124,0))</f>
        <v/>
      </c>
      <c r="AM124" s="29">
        <f>IF(A124="","",((K124)*(IF(M124="",L124,IFERROR(IF(INDEX(Variablen!$I:$AT, MATCH(M124, Variablen!$A:$A, 0), MATCH((YEAR(D124)+20), Variablen!$I$3:$AT$3, 0))="",L124,INDEX(Variablen!$I:$AT, MATCH(M124, Variablen!$A:$A, 0), MATCH((YEAR(D124)+20), Variablen!$I$3:$AT$3, 0))),L124)))*(IF((YEAR(D124)+20)&lt;YEAR(E124),0,IF((YEAR(D124)+20)&gt;YEAR(E124),1,(12-MONTH(E124)+1)/12))) + (Q124)*(IF((YEAR(D124)+20)&lt;YEAR(E124),0,IF((YEAR(D124)+20)&gt;YEAR(E124),1,(12-MONTH(E124)+1)/12))))-((P124)*(IF((YEAR(D124)+20)&lt;YEAR(E124),0,IF((YEAR(D124)+20)&gt;YEAR(E124),1,(12-MONTH(E124)+1)/12))) + (R124)*(IF((YEAR(D124)+20)&lt;YEAR(E124),0,IF((YEAR(D124)+20)&gt;YEAR(E124),1,(12-MONTH(E124)+1)/12))))-(IF((((K124)*(IF(M124="",L124,IFERROR(IF(INDEX(Variablen!$I:$AT, MATCH(M124, Variablen!$A:$A, 0), MATCH((YEAR(D124)+20), Variablen!$I$3:$AT$3, 0))="",L124,INDEX(Variablen!$I:$AT, MATCH(M124, Variablen!$A:$A, 0), MATCH((YEAR(D124)+20), Variablen!$I$3:$AT$3, 0))),L124)))*(IF((YEAR(D124)+20)&lt;YEAR(E124),0,IF((YEAR(D124)+20)&gt;YEAR(E124),1,(12-MONTH(E124)+1)/12))) + (Q124)*(IF((YEAR(D124)+20)&lt;YEAR(E124),0,IF((YEAR(D124)+20)&gt;YEAR(E124),1,(12-MONTH(E124)+1)/12))))-((P124)*(IF((YEAR(D124)+20)&lt;YEAR(E124),0,IF((YEAR(D124)+20)&gt;YEAR(E124),1,(12-MONTH(E124)+1)/12))) + (R124)*(IF((YEAR(D124)+20)&lt;YEAR(E124),0,IF((YEAR(D124)+20)&gt;YEAR(E124),1,(12-MONTH(E124)+1)/12))))-(IF(OR(N124="",N124&lt;=0),0,(O124/N124)*(IF(OR(N124="",N124&lt;=0),0,IF((YEAR(D124)+20)&lt;YEAR(E124),0,IF((YEAR(D124)+20)&gt;=YEAR(E124)+N124,0,IF((YEAR(D124)+20)=YEAR(E124),(12-MONTH(E124)+1)/12,1))))))))&gt;0,(((K124)*(IF(M124="",L124,IFERROR(IF(INDEX(Variablen!$I:$AT, MATCH(M124, Variablen!$A:$A, 0), MATCH((YEAR(D124)+20), Variablen!$I$3:$AT$3, 0))="",L124,INDEX(Variablen!$I:$AT, MATCH(M124, Variablen!$A:$A, 0), MATCH((YEAR(D124)+20), Variablen!$I$3:$AT$3, 0))),L124)))*(IF((YEAR(D124)+20)&lt;YEAR(E124),0,IF((YEAR(D124)+20)&gt;YEAR(E124),1,(12-MONTH(E124)+1)/12))) + (Q124)*(IF((YEAR(D124)+20)&lt;YEAR(E124),0,IF((YEAR(D124)+20)&gt;YEAR(E124),1,(12-MONTH(E124)+1)/12))))-((P124)*(IF((YEAR(D124)+20)&lt;YEAR(E124),0,IF((YEAR(D124)+20)&gt;YEAR(E124),1,(12-MONTH(E124)+1)/12))) + (R124)*(IF((YEAR(D124)+20)&lt;YEAR(E124),0,IF((YEAR(D124)+20)&gt;YEAR(E124),1,(12-MONTH(E124)+1)/12))))-(IF(OR(N124="",N124&lt;=0),0,(O124/N124)*(IF(OR(N124="",N124&lt;=0),0,IF((YEAR(D124)+20)&lt;YEAR(E124),0,IF((YEAR(D124)+20)&gt;=YEAR(E124)+N124,0,IF((YEAR(D124)+20)=YEAR(E124),(12-MONTH(E124)+1)/12,1))))))))*TaxRate,0))-IF(20=0,O124,0))</f>
        <v/>
      </c>
      <c r="AN124" s="29">
        <f>IF(A124="","",S124)</f>
        <v/>
      </c>
      <c r="AO124" s="29">
        <f>IF(A124="","",AN124+T124)</f>
        <v/>
      </c>
      <c r="AP124" s="29">
        <f>IF(A124="","",AO124+U124)</f>
        <v/>
      </c>
      <c r="AQ124" s="29">
        <f>IF(A124="","",AP124+V124)</f>
        <v/>
      </c>
      <c r="AR124" s="29">
        <f>IF(A124="","",AQ124+W124)</f>
        <v/>
      </c>
      <c r="AS124" s="29">
        <f>IF(A124="","",AR124+X124)</f>
        <v/>
      </c>
      <c r="AT124" s="29">
        <f>IF(A124="","",AS124+Y124)</f>
        <v/>
      </c>
      <c r="AU124" s="29">
        <f>IF(A124="","",AT124+Z124)</f>
        <v/>
      </c>
      <c r="AV124" s="29">
        <f>IF(A124="","",AU124+AA124)</f>
        <v/>
      </c>
      <c r="AW124" s="29">
        <f>IF(A124="","",AV124+AB124)</f>
        <v/>
      </c>
      <c r="AX124" s="29">
        <f>IF(A124="","",AW124+AC124)</f>
        <v/>
      </c>
      <c r="AY124" s="29">
        <f>IF(A124="","",AX124+AD124)</f>
        <v/>
      </c>
      <c r="AZ124" s="29">
        <f>IF(A124="","",AY124+AE124)</f>
        <v/>
      </c>
      <c r="BA124" s="29">
        <f>IF(A124="","",AZ124+AF124)</f>
        <v/>
      </c>
      <c r="BB124" s="29">
        <f>IF(A124="","",BA124+AG124)</f>
        <v/>
      </c>
      <c r="BC124" s="29">
        <f>IF(A124="","",BB124+AH124)</f>
        <v/>
      </c>
      <c r="BD124" s="29">
        <f>IF(A124="","",BC124+AI124)</f>
        <v/>
      </c>
      <c r="BE124" s="29">
        <f>IF(A124="","",BD124+AJ124)</f>
        <v/>
      </c>
      <c r="BF124" s="29">
        <f>IF(A124="","",BE124+AK124)</f>
        <v/>
      </c>
      <c r="BG124" s="29">
        <f>IF(A124="","",BF124+AL124)</f>
        <v/>
      </c>
      <c r="BH124" s="29">
        <f>IF(A124="","",BG124+AM124)</f>
        <v/>
      </c>
      <c r="BI124" s="36">
        <f>IF(A124="","",(K124)*(IF((YEAR(D124)+0)&lt;YEAR(E124),0,IF((YEAR(D124)+0)&gt;YEAR(E124),1,(12-MONTH(E124)+1)/12)))*(1/(1+DiscountRate)^0))</f>
        <v/>
      </c>
      <c r="BJ124" s="36">
        <f>IF(A124="","",(K124)*(IF((YEAR(D124)+1)&lt;YEAR(E124),0,IF((YEAR(D124)+1)&gt;YEAR(E124),1,(12-MONTH(E124)+1)/12)))*(1/(1+DiscountRate)^1))</f>
        <v/>
      </c>
      <c r="BK124" s="36">
        <f>IF(A124="","",(K124)*(IF((YEAR(D124)+2)&lt;YEAR(E124),0,IF((YEAR(D124)+2)&gt;YEAR(E124),1,(12-MONTH(E124)+1)/12)))*(1/(1+DiscountRate)^2))</f>
        <v/>
      </c>
      <c r="BL124" s="36">
        <f>IF(A124="","",(K124)*(IF((YEAR(D124)+3)&lt;YEAR(E124),0,IF((YEAR(D124)+3)&gt;YEAR(E124),1,(12-MONTH(E124)+1)/12)))*(1/(1+DiscountRate)^3))</f>
        <v/>
      </c>
      <c r="BM124" s="36">
        <f>IF(A124="","",(K124)*(IF((YEAR(D124)+4)&lt;YEAR(E124),0,IF((YEAR(D124)+4)&gt;YEAR(E124),1,(12-MONTH(E124)+1)/12)))*(1/(1+DiscountRate)^4))</f>
        <v/>
      </c>
      <c r="BN124" s="36">
        <f>IF(A124="","",(K124)*(IF((YEAR(D124)+5)&lt;YEAR(E124),0,IF((YEAR(D124)+5)&gt;YEAR(E124),1,(12-MONTH(E124)+1)/12)))*(1/(1+DiscountRate)^5))</f>
        <v/>
      </c>
      <c r="BO124" s="36">
        <f>IF(A124="","",(K124)*(IF((YEAR(D124)+6)&lt;YEAR(E124),0,IF((YEAR(D124)+6)&gt;YEAR(E124),1,(12-MONTH(E124)+1)/12)))*(1/(1+DiscountRate)^6))</f>
        <v/>
      </c>
      <c r="BP124" s="36">
        <f>IF(A124="","",(K124)*(IF((YEAR(D124)+7)&lt;YEAR(E124),0,IF((YEAR(D124)+7)&gt;YEAR(E124),1,(12-MONTH(E124)+1)/12)))*(1/(1+DiscountRate)^7))</f>
        <v/>
      </c>
      <c r="BQ124" s="36">
        <f>IF(A124="","",(K124)*(IF((YEAR(D124)+8)&lt;YEAR(E124),0,IF((YEAR(D124)+8)&gt;YEAR(E124),1,(12-MONTH(E124)+1)/12)))*(1/(1+DiscountRate)^8))</f>
        <v/>
      </c>
      <c r="BR124" s="36">
        <f>IF(A124="","",(K124)*(IF((YEAR(D124)+9)&lt;YEAR(E124),0,IF((YEAR(D124)+9)&gt;YEAR(E124),1,(12-MONTH(E124)+1)/12)))*(1/(1+DiscountRate)^9))</f>
        <v/>
      </c>
      <c r="BS124" s="36">
        <f>IF(A124="","",(K124)*(IF((YEAR(D124)+10)&lt;YEAR(E124),0,IF((YEAR(D124)+10)&gt;YEAR(E124),1,(12-MONTH(E124)+1)/12)))*(1/(1+DiscountRate)^10))</f>
        <v/>
      </c>
      <c r="BT124" s="36">
        <f>IF(A124="","",(K124)*(IF((YEAR(D124)+11)&lt;YEAR(E124),0,IF((YEAR(D124)+11)&gt;YEAR(E124),1,(12-MONTH(E124)+1)/12)))*(1/(1+DiscountRate)^11))</f>
        <v/>
      </c>
      <c r="BU124" s="36">
        <f>IF(A124="","",(K124)*(IF((YEAR(D124)+12)&lt;YEAR(E124),0,IF((YEAR(D124)+12)&gt;YEAR(E124),1,(12-MONTH(E124)+1)/12)))*(1/(1+DiscountRate)^12))</f>
        <v/>
      </c>
      <c r="BV124" s="36">
        <f>IF(A124="","",(K124)*(IF((YEAR(D124)+13)&lt;YEAR(E124),0,IF((YEAR(D124)+13)&gt;YEAR(E124),1,(12-MONTH(E124)+1)/12)))*(1/(1+DiscountRate)^13))</f>
        <v/>
      </c>
      <c r="BW124" s="36">
        <f>IF(A124="","",(K124)*(IF((YEAR(D124)+14)&lt;YEAR(E124),0,IF((YEAR(D124)+14)&gt;YEAR(E124),1,(12-MONTH(E124)+1)/12)))*(1/(1+DiscountRate)^14))</f>
        <v/>
      </c>
      <c r="BX124" s="36">
        <f>IF(A124="","",(K124)*(IF((YEAR(D124)+15)&lt;YEAR(E124),0,IF((YEAR(D124)+15)&gt;YEAR(E124),1,(12-MONTH(E124)+1)/12)))*(1/(1+DiscountRate)^15))</f>
        <v/>
      </c>
      <c r="BY124" s="36">
        <f>IF(A124="","",(K124)*(IF((YEAR(D124)+16)&lt;YEAR(E124),0,IF((YEAR(D124)+16)&gt;YEAR(E124),1,(12-MONTH(E124)+1)/12)))*(1/(1+DiscountRate)^16))</f>
        <v/>
      </c>
      <c r="BZ124" s="36">
        <f>IF(A124="","",(K124)*(IF((YEAR(D124)+17)&lt;YEAR(E124),0,IF((YEAR(D124)+17)&gt;YEAR(E124),1,(12-MONTH(E124)+1)/12)))*(1/(1+DiscountRate)^17))</f>
        <v/>
      </c>
      <c r="CA124" s="36">
        <f>IF(A124="","",(K124)*(IF((YEAR(D124)+18)&lt;YEAR(E124),0,IF((YEAR(D124)+18)&gt;YEAR(E124),1,(12-MONTH(E124)+1)/12)))*(1/(1+DiscountRate)^18))</f>
        <v/>
      </c>
      <c r="CB124" s="36">
        <f>IF(A124="","",(K124)*(IF((YEAR(D124)+19)&lt;YEAR(E124),0,IF((YEAR(D124)+19)&gt;YEAR(E124),1,(12-MONTH(E124)+1)/12)))*(1/(1+DiscountRate)^19))</f>
        <v/>
      </c>
      <c r="CC124" s="36">
        <f>IF(A124="","",(K124)*(IF((YEAR(D124)+20)&lt;YEAR(E124),0,IF((YEAR(D124)+20)&gt;YEAR(E124),1,(12-MONTH(E124)+1)/12)))*(1/(1+DiscountRate)^20))</f>
        <v/>
      </c>
      <c r="CD124" s="29">
        <f>IF(A124="","",S124/(1+DiscountRate)^0+T124/(1+DiscountRate)^1+U124/(1+DiscountRate)^2+V124/(1+DiscountRate)^3+W124/(1+DiscountRate)^4+X124/(1+DiscountRate)^5+Y124/(1+DiscountRate)^6+Z124/(1+DiscountRate)^7+AA124/(1+DiscountRate)^8+AB124/(1+DiscountRate)^9+AC124/(1+DiscountRate)^10+AD124/(1+DiscountRate)^11+AE124/(1+DiscountRate)^12+AF124/(1+DiscountRate)^13+AG124/(1+DiscountRate)^14+AH124/(1+DiscountRate)^15+AI124/(1+DiscountRate)^16+AJ124/(1+DiscountRate)^17+AK124/(1+DiscountRate)^18+AL124/(1+DiscountRate)^19+AM124/(1+DiscountRate)^20)</f>
        <v/>
      </c>
      <c r="CE124" s="37">
        <f>IF(A124="","",IFERROR(IRR(OFFSET(S124,0,0,1,MIN(HorizonYears,20)+1)),"n/a"))</f>
        <v/>
      </c>
      <c r="CF124" s="28">
        <f>IF(A124="","",IFERROR(MATCH(TRUE,OFFSET(AN124,0,0,1,MIN(HorizonYears,20)+1)&gt;=0,0)-1,"n/a"))</f>
        <v/>
      </c>
      <c r="CG124" s="36">
        <f>IF(A124="","",SUM(OFFSET(BI124,0,0,1,MIN(HorizonYears,20)+1)))</f>
        <v/>
      </c>
      <c r="CH124" s="36">
        <f>IF(A124="","",IFERROR(-CD124/CG124,"n/a"))</f>
        <v/>
      </c>
    </row>
    <row r="125">
      <c r="A125" s="6">
        <f>Actions!A123</f>
        <v/>
      </c>
      <c r="B125" s="6">
        <f>Actions!B123</f>
        <v/>
      </c>
      <c r="C125" s="6">
        <f>Actions!D123</f>
        <v/>
      </c>
      <c r="D125" s="35">
        <f>Actions!E123</f>
        <v/>
      </c>
      <c r="E125" s="35">
        <f>Actions!F123</f>
        <v/>
      </c>
      <c r="F125" s="6">
        <f>Actions!G123</f>
        <v/>
      </c>
      <c r="G125" s="6">
        <f>Actions!H123</f>
        <v/>
      </c>
      <c r="H125" s="29">
        <f>Actions!I123</f>
        <v/>
      </c>
      <c r="I125" s="6">
        <f>Actions!J123</f>
        <v/>
      </c>
      <c r="J125" s="16">
        <f>Actions!K123</f>
        <v/>
      </c>
      <c r="K125" s="16">
        <f>IF(A125="","",IF(I125="%",H125*J125,J125))</f>
        <v/>
      </c>
      <c r="L125" s="16">
        <f>Actions!L123</f>
        <v/>
      </c>
      <c r="M125" s="6">
        <f>Actions!M123</f>
        <v/>
      </c>
      <c r="N125" s="28">
        <f>Actions!N123</f>
        <v/>
      </c>
      <c r="O125" s="29">
        <f>Actions!T123</f>
        <v/>
      </c>
      <c r="P125" s="29">
        <f>Actions!Y123</f>
        <v/>
      </c>
      <c r="Q125" s="29">
        <f>Actions!Z123</f>
        <v/>
      </c>
      <c r="R125" s="29">
        <f>Actions!AA123</f>
        <v/>
      </c>
      <c r="S125" s="29">
        <f>IF(A125="","",((K125)*(IF(M125="",L125,IFERROR(IF(INDEX(Variablen!$I:$AT, MATCH(M125, Variablen!$A:$A, 0), MATCH((YEAR(D125)+0), Variablen!$I$3:$AT$3, 0))="",L125,INDEX(Variablen!$I:$AT, MATCH(M125, Variablen!$A:$A, 0), MATCH((YEAR(D125)+0), Variablen!$I$3:$AT$3, 0))),L125)))*(IF((YEAR(D125)+0)&lt;YEAR(E125),0,IF((YEAR(D125)+0)&gt;YEAR(E125),1,(12-MONTH(E125)+1)/12))) + (Q125)*(IF((YEAR(D125)+0)&lt;YEAR(E125),0,IF((YEAR(D125)+0)&gt;YEAR(E125),1,(12-MONTH(E125)+1)/12))))-((P125)*(IF((YEAR(D125)+0)&lt;YEAR(E125),0,IF((YEAR(D125)+0)&gt;YEAR(E125),1,(12-MONTH(E125)+1)/12))) + (R125)*(IF((YEAR(D125)+0)&lt;YEAR(E125),0,IF((YEAR(D125)+0)&gt;YEAR(E125),1,(12-MONTH(E125)+1)/12))))-(IF((((K125)*(IF(M125="",L125,IFERROR(IF(INDEX(Variablen!$I:$AT, MATCH(M125, Variablen!$A:$A, 0), MATCH((YEAR(D125)+0), Variablen!$I$3:$AT$3, 0))="",L125,INDEX(Variablen!$I:$AT, MATCH(M125, Variablen!$A:$A, 0), MATCH((YEAR(D125)+0), Variablen!$I$3:$AT$3, 0))),L125)))*(IF((YEAR(D125)+0)&lt;YEAR(E125),0,IF((YEAR(D125)+0)&gt;YEAR(E125),1,(12-MONTH(E125)+1)/12))) + (Q125)*(IF((YEAR(D125)+0)&lt;YEAR(E125),0,IF((YEAR(D125)+0)&gt;YEAR(E125),1,(12-MONTH(E125)+1)/12))))-((P125)*(IF((YEAR(D125)+0)&lt;YEAR(E125),0,IF((YEAR(D125)+0)&gt;YEAR(E125),1,(12-MONTH(E125)+1)/12))) + (R125)*(IF((YEAR(D125)+0)&lt;YEAR(E125),0,IF((YEAR(D125)+0)&gt;YEAR(E125),1,(12-MONTH(E125)+1)/12))))-(IF(OR(N125="",N125&lt;=0),0,(O125/N125)*(IF(OR(N125="",N125&lt;=0),0,IF((YEAR(D125)+0)&lt;YEAR(E125),0,IF((YEAR(D125)+0)&gt;=YEAR(E125)+N125,0,IF((YEAR(D125)+0)=YEAR(E125),(12-MONTH(E125)+1)/12,1))))))))&gt;0,(((K125)*(IF(M125="",L125,IFERROR(IF(INDEX(Variablen!$I:$AT, MATCH(M125, Variablen!$A:$A, 0), MATCH((YEAR(D125)+0), Variablen!$I$3:$AT$3, 0))="",L125,INDEX(Variablen!$I:$AT, MATCH(M125, Variablen!$A:$A, 0), MATCH((YEAR(D125)+0), Variablen!$I$3:$AT$3, 0))),L125)))*(IF((YEAR(D125)+0)&lt;YEAR(E125),0,IF((YEAR(D125)+0)&gt;YEAR(E125),1,(12-MONTH(E125)+1)/12))) + (Q125)*(IF((YEAR(D125)+0)&lt;YEAR(E125),0,IF((YEAR(D125)+0)&gt;YEAR(E125),1,(12-MONTH(E125)+1)/12))))-((P125)*(IF((YEAR(D125)+0)&lt;YEAR(E125),0,IF((YEAR(D125)+0)&gt;YEAR(E125),1,(12-MONTH(E125)+1)/12))) + (R125)*(IF((YEAR(D125)+0)&lt;YEAR(E125),0,IF((YEAR(D125)+0)&gt;YEAR(E125),1,(12-MONTH(E125)+1)/12))))-(IF(OR(N125="",N125&lt;=0),0,(O125/N125)*(IF(OR(N125="",N125&lt;=0),0,IF((YEAR(D125)+0)&lt;YEAR(E125),0,IF((YEAR(D125)+0)&gt;=YEAR(E125)+N125,0,IF((YEAR(D125)+0)=YEAR(E125),(12-MONTH(E125)+1)/12,1))))))))*TaxRate,0))-IF(0=0,O125,0))</f>
        <v/>
      </c>
      <c r="T125" s="29">
        <f>IF(A125="","",((K125)*(IF(M125="",L125,IFERROR(IF(INDEX(Variablen!$I:$AT, MATCH(M125, Variablen!$A:$A, 0), MATCH((YEAR(D125)+1), Variablen!$I$3:$AT$3, 0))="",L125,INDEX(Variablen!$I:$AT, MATCH(M125, Variablen!$A:$A, 0), MATCH((YEAR(D125)+1), Variablen!$I$3:$AT$3, 0))),L125)))*(IF((YEAR(D125)+1)&lt;YEAR(E125),0,IF((YEAR(D125)+1)&gt;YEAR(E125),1,(12-MONTH(E125)+1)/12))) + (Q125)*(IF((YEAR(D125)+1)&lt;YEAR(E125),0,IF((YEAR(D125)+1)&gt;YEAR(E125),1,(12-MONTH(E125)+1)/12))))-((P125)*(IF((YEAR(D125)+1)&lt;YEAR(E125),0,IF((YEAR(D125)+1)&gt;YEAR(E125),1,(12-MONTH(E125)+1)/12))) + (R125)*(IF((YEAR(D125)+1)&lt;YEAR(E125),0,IF((YEAR(D125)+1)&gt;YEAR(E125),1,(12-MONTH(E125)+1)/12))))-(IF((((K125)*(IF(M125="",L125,IFERROR(IF(INDEX(Variablen!$I:$AT, MATCH(M125, Variablen!$A:$A, 0), MATCH((YEAR(D125)+1), Variablen!$I$3:$AT$3, 0))="",L125,INDEX(Variablen!$I:$AT, MATCH(M125, Variablen!$A:$A, 0), MATCH((YEAR(D125)+1), Variablen!$I$3:$AT$3, 0))),L125)))*(IF((YEAR(D125)+1)&lt;YEAR(E125),0,IF((YEAR(D125)+1)&gt;YEAR(E125),1,(12-MONTH(E125)+1)/12))) + (Q125)*(IF((YEAR(D125)+1)&lt;YEAR(E125),0,IF((YEAR(D125)+1)&gt;YEAR(E125),1,(12-MONTH(E125)+1)/12))))-((P125)*(IF((YEAR(D125)+1)&lt;YEAR(E125),0,IF((YEAR(D125)+1)&gt;YEAR(E125),1,(12-MONTH(E125)+1)/12))) + (R125)*(IF((YEAR(D125)+1)&lt;YEAR(E125),0,IF((YEAR(D125)+1)&gt;YEAR(E125),1,(12-MONTH(E125)+1)/12))))-(IF(OR(N125="",N125&lt;=0),0,(O125/N125)*(IF(OR(N125="",N125&lt;=0),0,IF((YEAR(D125)+1)&lt;YEAR(E125),0,IF((YEAR(D125)+1)&gt;=YEAR(E125)+N125,0,IF((YEAR(D125)+1)=YEAR(E125),(12-MONTH(E125)+1)/12,1))))))))&gt;0,(((K125)*(IF(M125="",L125,IFERROR(IF(INDEX(Variablen!$I:$AT, MATCH(M125, Variablen!$A:$A, 0), MATCH((YEAR(D125)+1), Variablen!$I$3:$AT$3, 0))="",L125,INDEX(Variablen!$I:$AT, MATCH(M125, Variablen!$A:$A, 0), MATCH((YEAR(D125)+1), Variablen!$I$3:$AT$3, 0))),L125)))*(IF((YEAR(D125)+1)&lt;YEAR(E125),0,IF((YEAR(D125)+1)&gt;YEAR(E125),1,(12-MONTH(E125)+1)/12))) + (Q125)*(IF((YEAR(D125)+1)&lt;YEAR(E125),0,IF((YEAR(D125)+1)&gt;YEAR(E125),1,(12-MONTH(E125)+1)/12))))-((P125)*(IF((YEAR(D125)+1)&lt;YEAR(E125),0,IF((YEAR(D125)+1)&gt;YEAR(E125),1,(12-MONTH(E125)+1)/12))) + (R125)*(IF((YEAR(D125)+1)&lt;YEAR(E125),0,IF((YEAR(D125)+1)&gt;YEAR(E125),1,(12-MONTH(E125)+1)/12))))-(IF(OR(N125="",N125&lt;=0),0,(O125/N125)*(IF(OR(N125="",N125&lt;=0),0,IF((YEAR(D125)+1)&lt;YEAR(E125),0,IF((YEAR(D125)+1)&gt;=YEAR(E125)+N125,0,IF((YEAR(D125)+1)=YEAR(E125),(12-MONTH(E125)+1)/12,1))))))))*TaxRate,0))-IF(1=0,O125,0))</f>
        <v/>
      </c>
      <c r="U125" s="29">
        <f>IF(A125="","",((K125)*(IF(M125="",L125,IFERROR(IF(INDEX(Variablen!$I:$AT, MATCH(M125, Variablen!$A:$A, 0), MATCH((YEAR(D125)+2), Variablen!$I$3:$AT$3, 0))="",L125,INDEX(Variablen!$I:$AT, MATCH(M125, Variablen!$A:$A, 0), MATCH((YEAR(D125)+2), Variablen!$I$3:$AT$3, 0))),L125)))*(IF((YEAR(D125)+2)&lt;YEAR(E125),0,IF((YEAR(D125)+2)&gt;YEAR(E125),1,(12-MONTH(E125)+1)/12))) + (Q125)*(IF((YEAR(D125)+2)&lt;YEAR(E125),0,IF((YEAR(D125)+2)&gt;YEAR(E125),1,(12-MONTH(E125)+1)/12))))-((P125)*(IF((YEAR(D125)+2)&lt;YEAR(E125),0,IF((YEAR(D125)+2)&gt;YEAR(E125),1,(12-MONTH(E125)+1)/12))) + (R125)*(IF((YEAR(D125)+2)&lt;YEAR(E125),0,IF((YEAR(D125)+2)&gt;YEAR(E125),1,(12-MONTH(E125)+1)/12))))-(IF((((K125)*(IF(M125="",L125,IFERROR(IF(INDEX(Variablen!$I:$AT, MATCH(M125, Variablen!$A:$A, 0), MATCH((YEAR(D125)+2), Variablen!$I$3:$AT$3, 0))="",L125,INDEX(Variablen!$I:$AT, MATCH(M125, Variablen!$A:$A, 0), MATCH((YEAR(D125)+2), Variablen!$I$3:$AT$3, 0))),L125)))*(IF((YEAR(D125)+2)&lt;YEAR(E125),0,IF((YEAR(D125)+2)&gt;YEAR(E125),1,(12-MONTH(E125)+1)/12))) + (Q125)*(IF((YEAR(D125)+2)&lt;YEAR(E125),0,IF((YEAR(D125)+2)&gt;YEAR(E125),1,(12-MONTH(E125)+1)/12))))-((P125)*(IF((YEAR(D125)+2)&lt;YEAR(E125),0,IF((YEAR(D125)+2)&gt;YEAR(E125),1,(12-MONTH(E125)+1)/12))) + (R125)*(IF((YEAR(D125)+2)&lt;YEAR(E125),0,IF((YEAR(D125)+2)&gt;YEAR(E125),1,(12-MONTH(E125)+1)/12))))-(IF(OR(N125="",N125&lt;=0),0,(O125/N125)*(IF(OR(N125="",N125&lt;=0),0,IF((YEAR(D125)+2)&lt;YEAR(E125),0,IF((YEAR(D125)+2)&gt;=YEAR(E125)+N125,0,IF((YEAR(D125)+2)=YEAR(E125),(12-MONTH(E125)+1)/12,1))))))))&gt;0,(((K125)*(IF(M125="",L125,IFERROR(IF(INDEX(Variablen!$I:$AT, MATCH(M125, Variablen!$A:$A, 0), MATCH((YEAR(D125)+2), Variablen!$I$3:$AT$3, 0))="",L125,INDEX(Variablen!$I:$AT, MATCH(M125, Variablen!$A:$A, 0), MATCH((YEAR(D125)+2), Variablen!$I$3:$AT$3, 0))),L125)))*(IF((YEAR(D125)+2)&lt;YEAR(E125),0,IF((YEAR(D125)+2)&gt;YEAR(E125),1,(12-MONTH(E125)+1)/12))) + (Q125)*(IF((YEAR(D125)+2)&lt;YEAR(E125),0,IF((YEAR(D125)+2)&gt;YEAR(E125),1,(12-MONTH(E125)+1)/12))))-((P125)*(IF((YEAR(D125)+2)&lt;YEAR(E125),0,IF((YEAR(D125)+2)&gt;YEAR(E125),1,(12-MONTH(E125)+1)/12))) + (R125)*(IF((YEAR(D125)+2)&lt;YEAR(E125),0,IF((YEAR(D125)+2)&gt;YEAR(E125),1,(12-MONTH(E125)+1)/12))))-(IF(OR(N125="",N125&lt;=0),0,(O125/N125)*(IF(OR(N125="",N125&lt;=0),0,IF((YEAR(D125)+2)&lt;YEAR(E125),0,IF((YEAR(D125)+2)&gt;=YEAR(E125)+N125,0,IF((YEAR(D125)+2)=YEAR(E125),(12-MONTH(E125)+1)/12,1))))))))*TaxRate,0))-IF(2=0,O125,0))</f>
        <v/>
      </c>
      <c r="V125" s="29">
        <f>IF(A125="","",((K125)*(IF(M125="",L125,IFERROR(IF(INDEX(Variablen!$I:$AT, MATCH(M125, Variablen!$A:$A, 0), MATCH((YEAR(D125)+3), Variablen!$I$3:$AT$3, 0))="",L125,INDEX(Variablen!$I:$AT, MATCH(M125, Variablen!$A:$A, 0), MATCH((YEAR(D125)+3), Variablen!$I$3:$AT$3, 0))),L125)))*(IF((YEAR(D125)+3)&lt;YEAR(E125),0,IF((YEAR(D125)+3)&gt;YEAR(E125),1,(12-MONTH(E125)+1)/12))) + (Q125)*(IF((YEAR(D125)+3)&lt;YEAR(E125),0,IF((YEAR(D125)+3)&gt;YEAR(E125),1,(12-MONTH(E125)+1)/12))))-((P125)*(IF((YEAR(D125)+3)&lt;YEAR(E125),0,IF((YEAR(D125)+3)&gt;YEAR(E125),1,(12-MONTH(E125)+1)/12))) + (R125)*(IF((YEAR(D125)+3)&lt;YEAR(E125),0,IF((YEAR(D125)+3)&gt;YEAR(E125),1,(12-MONTH(E125)+1)/12))))-(IF((((K125)*(IF(M125="",L125,IFERROR(IF(INDEX(Variablen!$I:$AT, MATCH(M125, Variablen!$A:$A, 0), MATCH((YEAR(D125)+3), Variablen!$I$3:$AT$3, 0))="",L125,INDEX(Variablen!$I:$AT, MATCH(M125, Variablen!$A:$A, 0), MATCH((YEAR(D125)+3), Variablen!$I$3:$AT$3, 0))),L125)))*(IF((YEAR(D125)+3)&lt;YEAR(E125),0,IF((YEAR(D125)+3)&gt;YEAR(E125),1,(12-MONTH(E125)+1)/12))) + (Q125)*(IF((YEAR(D125)+3)&lt;YEAR(E125),0,IF((YEAR(D125)+3)&gt;YEAR(E125),1,(12-MONTH(E125)+1)/12))))-((P125)*(IF((YEAR(D125)+3)&lt;YEAR(E125),0,IF((YEAR(D125)+3)&gt;YEAR(E125),1,(12-MONTH(E125)+1)/12))) + (R125)*(IF((YEAR(D125)+3)&lt;YEAR(E125),0,IF((YEAR(D125)+3)&gt;YEAR(E125),1,(12-MONTH(E125)+1)/12))))-(IF(OR(N125="",N125&lt;=0),0,(O125/N125)*(IF(OR(N125="",N125&lt;=0),0,IF((YEAR(D125)+3)&lt;YEAR(E125),0,IF((YEAR(D125)+3)&gt;=YEAR(E125)+N125,0,IF((YEAR(D125)+3)=YEAR(E125),(12-MONTH(E125)+1)/12,1))))))))&gt;0,(((K125)*(IF(M125="",L125,IFERROR(IF(INDEX(Variablen!$I:$AT, MATCH(M125, Variablen!$A:$A, 0), MATCH((YEAR(D125)+3), Variablen!$I$3:$AT$3, 0))="",L125,INDEX(Variablen!$I:$AT, MATCH(M125, Variablen!$A:$A, 0), MATCH((YEAR(D125)+3), Variablen!$I$3:$AT$3, 0))),L125)))*(IF((YEAR(D125)+3)&lt;YEAR(E125),0,IF((YEAR(D125)+3)&gt;YEAR(E125),1,(12-MONTH(E125)+1)/12))) + (Q125)*(IF((YEAR(D125)+3)&lt;YEAR(E125),0,IF((YEAR(D125)+3)&gt;YEAR(E125),1,(12-MONTH(E125)+1)/12))))-((P125)*(IF((YEAR(D125)+3)&lt;YEAR(E125),0,IF((YEAR(D125)+3)&gt;YEAR(E125),1,(12-MONTH(E125)+1)/12))) + (R125)*(IF((YEAR(D125)+3)&lt;YEAR(E125),0,IF((YEAR(D125)+3)&gt;YEAR(E125),1,(12-MONTH(E125)+1)/12))))-(IF(OR(N125="",N125&lt;=0),0,(O125/N125)*(IF(OR(N125="",N125&lt;=0),0,IF((YEAR(D125)+3)&lt;YEAR(E125),0,IF((YEAR(D125)+3)&gt;=YEAR(E125)+N125,0,IF((YEAR(D125)+3)=YEAR(E125),(12-MONTH(E125)+1)/12,1))))))))*TaxRate,0))-IF(3=0,O125,0))</f>
        <v/>
      </c>
      <c r="W125" s="29">
        <f>IF(A125="","",((K125)*(IF(M125="",L125,IFERROR(IF(INDEX(Variablen!$I:$AT, MATCH(M125, Variablen!$A:$A, 0), MATCH((YEAR(D125)+4), Variablen!$I$3:$AT$3, 0))="",L125,INDEX(Variablen!$I:$AT, MATCH(M125, Variablen!$A:$A, 0), MATCH((YEAR(D125)+4), Variablen!$I$3:$AT$3, 0))),L125)))*(IF((YEAR(D125)+4)&lt;YEAR(E125),0,IF((YEAR(D125)+4)&gt;YEAR(E125),1,(12-MONTH(E125)+1)/12))) + (Q125)*(IF((YEAR(D125)+4)&lt;YEAR(E125),0,IF((YEAR(D125)+4)&gt;YEAR(E125),1,(12-MONTH(E125)+1)/12))))-((P125)*(IF((YEAR(D125)+4)&lt;YEAR(E125),0,IF((YEAR(D125)+4)&gt;YEAR(E125),1,(12-MONTH(E125)+1)/12))) + (R125)*(IF((YEAR(D125)+4)&lt;YEAR(E125),0,IF((YEAR(D125)+4)&gt;YEAR(E125),1,(12-MONTH(E125)+1)/12))))-(IF((((K125)*(IF(M125="",L125,IFERROR(IF(INDEX(Variablen!$I:$AT, MATCH(M125, Variablen!$A:$A, 0), MATCH((YEAR(D125)+4), Variablen!$I$3:$AT$3, 0))="",L125,INDEX(Variablen!$I:$AT, MATCH(M125, Variablen!$A:$A, 0), MATCH((YEAR(D125)+4), Variablen!$I$3:$AT$3, 0))),L125)))*(IF((YEAR(D125)+4)&lt;YEAR(E125),0,IF((YEAR(D125)+4)&gt;YEAR(E125),1,(12-MONTH(E125)+1)/12))) + (Q125)*(IF((YEAR(D125)+4)&lt;YEAR(E125),0,IF((YEAR(D125)+4)&gt;YEAR(E125),1,(12-MONTH(E125)+1)/12))))-((P125)*(IF((YEAR(D125)+4)&lt;YEAR(E125),0,IF((YEAR(D125)+4)&gt;YEAR(E125),1,(12-MONTH(E125)+1)/12))) + (R125)*(IF((YEAR(D125)+4)&lt;YEAR(E125),0,IF((YEAR(D125)+4)&gt;YEAR(E125),1,(12-MONTH(E125)+1)/12))))-(IF(OR(N125="",N125&lt;=0),0,(O125/N125)*(IF(OR(N125="",N125&lt;=0),0,IF((YEAR(D125)+4)&lt;YEAR(E125),0,IF((YEAR(D125)+4)&gt;=YEAR(E125)+N125,0,IF((YEAR(D125)+4)=YEAR(E125),(12-MONTH(E125)+1)/12,1))))))))&gt;0,(((K125)*(IF(M125="",L125,IFERROR(IF(INDEX(Variablen!$I:$AT, MATCH(M125, Variablen!$A:$A, 0), MATCH((YEAR(D125)+4), Variablen!$I$3:$AT$3, 0))="",L125,INDEX(Variablen!$I:$AT, MATCH(M125, Variablen!$A:$A, 0), MATCH((YEAR(D125)+4), Variablen!$I$3:$AT$3, 0))),L125)))*(IF((YEAR(D125)+4)&lt;YEAR(E125),0,IF((YEAR(D125)+4)&gt;YEAR(E125),1,(12-MONTH(E125)+1)/12))) + (Q125)*(IF((YEAR(D125)+4)&lt;YEAR(E125),0,IF((YEAR(D125)+4)&gt;YEAR(E125),1,(12-MONTH(E125)+1)/12))))-((P125)*(IF((YEAR(D125)+4)&lt;YEAR(E125),0,IF((YEAR(D125)+4)&gt;YEAR(E125),1,(12-MONTH(E125)+1)/12))) + (R125)*(IF((YEAR(D125)+4)&lt;YEAR(E125),0,IF((YEAR(D125)+4)&gt;YEAR(E125),1,(12-MONTH(E125)+1)/12))))-(IF(OR(N125="",N125&lt;=0),0,(O125/N125)*(IF(OR(N125="",N125&lt;=0),0,IF((YEAR(D125)+4)&lt;YEAR(E125),0,IF((YEAR(D125)+4)&gt;=YEAR(E125)+N125,0,IF((YEAR(D125)+4)=YEAR(E125),(12-MONTH(E125)+1)/12,1))))))))*TaxRate,0))-IF(4=0,O125,0))</f>
        <v/>
      </c>
      <c r="X125" s="29">
        <f>IF(A125="","",((K125)*(IF(M125="",L125,IFERROR(IF(INDEX(Variablen!$I:$AT, MATCH(M125, Variablen!$A:$A, 0), MATCH((YEAR(D125)+5), Variablen!$I$3:$AT$3, 0))="",L125,INDEX(Variablen!$I:$AT, MATCH(M125, Variablen!$A:$A, 0), MATCH((YEAR(D125)+5), Variablen!$I$3:$AT$3, 0))),L125)))*(IF((YEAR(D125)+5)&lt;YEAR(E125),0,IF((YEAR(D125)+5)&gt;YEAR(E125),1,(12-MONTH(E125)+1)/12))) + (Q125)*(IF((YEAR(D125)+5)&lt;YEAR(E125),0,IF((YEAR(D125)+5)&gt;YEAR(E125),1,(12-MONTH(E125)+1)/12))))-((P125)*(IF((YEAR(D125)+5)&lt;YEAR(E125),0,IF((YEAR(D125)+5)&gt;YEAR(E125),1,(12-MONTH(E125)+1)/12))) + (R125)*(IF((YEAR(D125)+5)&lt;YEAR(E125),0,IF((YEAR(D125)+5)&gt;YEAR(E125),1,(12-MONTH(E125)+1)/12))))-(IF((((K125)*(IF(M125="",L125,IFERROR(IF(INDEX(Variablen!$I:$AT, MATCH(M125, Variablen!$A:$A, 0), MATCH((YEAR(D125)+5), Variablen!$I$3:$AT$3, 0))="",L125,INDEX(Variablen!$I:$AT, MATCH(M125, Variablen!$A:$A, 0), MATCH((YEAR(D125)+5), Variablen!$I$3:$AT$3, 0))),L125)))*(IF((YEAR(D125)+5)&lt;YEAR(E125),0,IF((YEAR(D125)+5)&gt;YEAR(E125),1,(12-MONTH(E125)+1)/12))) + (Q125)*(IF((YEAR(D125)+5)&lt;YEAR(E125),0,IF((YEAR(D125)+5)&gt;YEAR(E125),1,(12-MONTH(E125)+1)/12))))-((P125)*(IF((YEAR(D125)+5)&lt;YEAR(E125),0,IF((YEAR(D125)+5)&gt;YEAR(E125),1,(12-MONTH(E125)+1)/12))) + (R125)*(IF((YEAR(D125)+5)&lt;YEAR(E125),0,IF((YEAR(D125)+5)&gt;YEAR(E125),1,(12-MONTH(E125)+1)/12))))-(IF(OR(N125="",N125&lt;=0),0,(O125/N125)*(IF(OR(N125="",N125&lt;=0),0,IF((YEAR(D125)+5)&lt;YEAR(E125),0,IF((YEAR(D125)+5)&gt;=YEAR(E125)+N125,0,IF((YEAR(D125)+5)=YEAR(E125),(12-MONTH(E125)+1)/12,1))))))))&gt;0,(((K125)*(IF(M125="",L125,IFERROR(IF(INDEX(Variablen!$I:$AT, MATCH(M125, Variablen!$A:$A, 0), MATCH((YEAR(D125)+5), Variablen!$I$3:$AT$3, 0))="",L125,INDEX(Variablen!$I:$AT, MATCH(M125, Variablen!$A:$A, 0), MATCH((YEAR(D125)+5), Variablen!$I$3:$AT$3, 0))),L125)))*(IF((YEAR(D125)+5)&lt;YEAR(E125),0,IF((YEAR(D125)+5)&gt;YEAR(E125),1,(12-MONTH(E125)+1)/12))) + (Q125)*(IF((YEAR(D125)+5)&lt;YEAR(E125),0,IF((YEAR(D125)+5)&gt;YEAR(E125),1,(12-MONTH(E125)+1)/12))))-((P125)*(IF((YEAR(D125)+5)&lt;YEAR(E125),0,IF((YEAR(D125)+5)&gt;YEAR(E125),1,(12-MONTH(E125)+1)/12))) + (R125)*(IF((YEAR(D125)+5)&lt;YEAR(E125),0,IF((YEAR(D125)+5)&gt;YEAR(E125),1,(12-MONTH(E125)+1)/12))))-(IF(OR(N125="",N125&lt;=0),0,(O125/N125)*(IF(OR(N125="",N125&lt;=0),0,IF((YEAR(D125)+5)&lt;YEAR(E125),0,IF((YEAR(D125)+5)&gt;=YEAR(E125)+N125,0,IF((YEAR(D125)+5)=YEAR(E125),(12-MONTH(E125)+1)/12,1))))))))*TaxRate,0))-IF(5=0,O125,0))</f>
        <v/>
      </c>
      <c r="Y125" s="29">
        <f>IF(A125="","",((K125)*(IF(M125="",L125,IFERROR(IF(INDEX(Variablen!$I:$AT, MATCH(M125, Variablen!$A:$A, 0), MATCH((YEAR(D125)+6), Variablen!$I$3:$AT$3, 0))="",L125,INDEX(Variablen!$I:$AT, MATCH(M125, Variablen!$A:$A, 0), MATCH((YEAR(D125)+6), Variablen!$I$3:$AT$3, 0))),L125)))*(IF((YEAR(D125)+6)&lt;YEAR(E125),0,IF((YEAR(D125)+6)&gt;YEAR(E125),1,(12-MONTH(E125)+1)/12))) + (Q125)*(IF((YEAR(D125)+6)&lt;YEAR(E125),0,IF((YEAR(D125)+6)&gt;YEAR(E125),1,(12-MONTH(E125)+1)/12))))-((P125)*(IF((YEAR(D125)+6)&lt;YEAR(E125),0,IF((YEAR(D125)+6)&gt;YEAR(E125),1,(12-MONTH(E125)+1)/12))) + (R125)*(IF((YEAR(D125)+6)&lt;YEAR(E125),0,IF((YEAR(D125)+6)&gt;YEAR(E125),1,(12-MONTH(E125)+1)/12))))-(IF((((K125)*(IF(M125="",L125,IFERROR(IF(INDEX(Variablen!$I:$AT, MATCH(M125, Variablen!$A:$A, 0), MATCH((YEAR(D125)+6), Variablen!$I$3:$AT$3, 0))="",L125,INDEX(Variablen!$I:$AT, MATCH(M125, Variablen!$A:$A, 0), MATCH((YEAR(D125)+6), Variablen!$I$3:$AT$3, 0))),L125)))*(IF((YEAR(D125)+6)&lt;YEAR(E125),0,IF((YEAR(D125)+6)&gt;YEAR(E125),1,(12-MONTH(E125)+1)/12))) + (Q125)*(IF((YEAR(D125)+6)&lt;YEAR(E125),0,IF((YEAR(D125)+6)&gt;YEAR(E125),1,(12-MONTH(E125)+1)/12))))-((P125)*(IF((YEAR(D125)+6)&lt;YEAR(E125),0,IF((YEAR(D125)+6)&gt;YEAR(E125),1,(12-MONTH(E125)+1)/12))) + (R125)*(IF((YEAR(D125)+6)&lt;YEAR(E125),0,IF((YEAR(D125)+6)&gt;YEAR(E125),1,(12-MONTH(E125)+1)/12))))-(IF(OR(N125="",N125&lt;=0),0,(O125/N125)*(IF(OR(N125="",N125&lt;=0),0,IF((YEAR(D125)+6)&lt;YEAR(E125),0,IF((YEAR(D125)+6)&gt;=YEAR(E125)+N125,0,IF((YEAR(D125)+6)=YEAR(E125),(12-MONTH(E125)+1)/12,1))))))))&gt;0,(((K125)*(IF(M125="",L125,IFERROR(IF(INDEX(Variablen!$I:$AT, MATCH(M125, Variablen!$A:$A, 0), MATCH((YEAR(D125)+6), Variablen!$I$3:$AT$3, 0))="",L125,INDEX(Variablen!$I:$AT, MATCH(M125, Variablen!$A:$A, 0), MATCH((YEAR(D125)+6), Variablen!$I$3:$AT$3, 0))),L125)))*(IF((YEAR(D125)+6)&lt;YEAR(E125),0,IF((YEAR(D125)+6)&gt;YEAR(E125),1,(12-MONTH(E125)+1)/12))) + (Q125)*(IF((YEAR(D125)+6)&lt;YEAR(E125),0,IF((YEAR(D125)+6)&gt;YEAR(E125),1,(12-MONTH(E125)+1)/12))))-((P125)*(IF((YEAR(D125)+6)&lt;YEAR(E125),0,IF((YEAR(D125)+6)&gt;YEAR(E125),1,(12-MONTH(E125)+1)/12))) + (R125)*(IF((YEAR(D125)+6)&lt;YEAR(E125),0,IF((YEAR(D125)+6)&gt;YEAR(E125),1,(12-MONTH(E125)+1)/12))))-(IF(OR(N125="",N125&lt;=0),0,(O125/N125)*(IF(OR(N125="",N125&lt;=0),0,IF((YEAR(D125)+6)&lt;YEAR(E125),0,IF((YEAR(D125)+6)&gt;=YEAR(E125)+N125,0,IF((YEAR(D125)+6)=YEAR(E125),(12-MONTH(E125)+1)/12,1))))))))*TaxRate,0))-IF(6=0,O125,0))</f>
        <v/>
      </c>
      <c r="Z125" s="29">
        <f>IF(A125="","",((K125)*(IF(M125="",L125,IFERROR(IF(INDEX(Variablen!$I:$AT, MATCH(M125, Variablen!$A:$A, 0), MATCH((YEAR(D125)+7), Variablen!$I$3:$AT$3, 0))="",L125,INDEX(Variablen!$I:$AT, MATCH(M125, Variablen!$A:$A, 0), MATCH((YEAR(D125)+7), Variablen!$I$3:$AT$3, 0))),L125)))*(IF((YEAR(D125)+7)&lt;YEAR(E125),0,IF((YEAR(D125)+7)&gt;YEAR(E125),1,(12-MONTH(E125)+1)/12))) + (Q125)*(IF((YEAR(D125)+7)&lt;YEAR(E125),0,IF((YEAR(D125)+7)&gt;YEAR(E125),1,(12-MONTH(E125)+1)/12))))-((P125)*(IF((YEAR(D125)+7)&lt;YEAR(E125),0,IF((YEAR(D125)+7)&gt;YEAR(E125),1,(12-MONTH(E125)+1)/12))) + (R125)*(IF((YEAR(D125)+7)&lt;YEAR(E125),0,IF((YEAR(D125)+7)&gt;YEAR(E125),1,(12-MONTH(E125)+1)/12))))-(IF((((K125)*(IF(M125="",L125,IFERROR(IF(INDEX(Variablen!$I:$AT, MATCH(M125, Variablen!$A:$A, 0), MATCH((YEAR(D125)+7), Variablen!$I$3:$AT$3, 0))="",L125,INDEX(Variablen!$I:$AT, MATCH(M125, Variablen!$A:$A, 0), MATCH((YEAR(D125)+7), Variablen!$I$3:$AT$3, 0))),L125)))*(IF((YEAR(D125)+7)&lt;YEAR(E125),0,IF((YEAR(D125)+7)&gt;YEAR(E125),1,(12-MONTH(E125)+1)/12))) + (Q125)*(IF((YEAR(D125)+7)&lt;YEAR(E125),0,IF((YEAR(D125)+7)&gt;YEAR(E125),1,(12-MONTH(E125)+1)/12))))-((P125)*(IF((YEAR(D125)+7)&lt;YEAR(E125),0,IF((YEAR(D125)+7)&gt;YEAR(E125),1,(12-MONTH(E125)+1)/12))) + (R125)*(IF((YEAR(D125)+7)&lt;YEAR(E125),0,IF((YEAR(D125)+7)&gt;YEAR(E125),1,(12-MONTH(E125)+1)/12))))-(IF(OR(N125="",N125&lt;=0),0,(O125/N125)*(IF(OR(N125="",N125&lt;=0),0,IF((YEAR(D125)+7)&lt;YEAR(E125),0,IF((YEAR(D125)+7)&gt;=YEAR(E125)+N125,0,IF((YEAR(D125)+7)=YEAR(E125),(12-MONTH(E125)+1)/12,1))))))))&gt;0,(((K125)*(IF(M125="",L125,IFERROR(IF(INDEX(Variablen!$I:$AT, MATCH(M125, Variablen!$A:$A, 0), MATCH((YEAR(D125)+7), Variablen!$I$3:$AT$3, 0))="",L125,INDEX(Variablen!$I:$AT, MATCH(M125, Variablen!$A:$A, 0), MATCH((YEAR(D125)+7), Variablen!$I$3:$AT$3, 0))),L125)))*(IF((YEAR(D125)+7)&lt;YEAR(E125),0,IF((YEAR(D125)+7)&gt;YEAR(E125),1,(12-MONTH(E125)+1)/12))) + (Q125)*(IF((YEAR(D125)+7)&lt;YEAR(E125),0,IF((YEAR(D125)+7)&gt;YEAR(E125),1,(12-MONTH(E125)+1)/12))))-((P125)*(IF((YEAR(D125)+7)&lt;YEAR(E125),0,IF((YEAR(D125)+7)&gt;YEAR(E125),1,(12-MONTH(E125)+1)/12))) + (R125)*(IF((YEAR(D125)+7)&lt;YEAR(E125),0,IF((YEAR(D125)+7)&gt;YEAR(E125),1,(12-MONTH(E125)+1)/12))))-(IF(OR(N125="",N125&lt;=0),0,(O125/N125)*(IF(OR(N125="",N125&lt;=0),0,IF((YEAR(D125)+7)&lt;YEAR(E125),0,IF((YEAR(D125)+7)&gt;=YEAR(E125)+N125,0,IF((YEAR(D125)+7)=YEAR(E125),(12-MONTH(E125)+1)/12,1))))))))*TaxRate,0))-IF(7=0,O125,0))</f>
        <v/>
      </c>
      <c r="AA125" s="29">
        <f>IF(A125="","",((K125)*(IF(M125="",L125,IFERROR(IF(INDEX(Variablen!$I:$AT, MATCH(M125, Variablen!$A:$A, 0), MATCH((YEAR(D125)+8), Variablen!$I$3:$AT$3, 0))="",L125,INDEX(Variablen!$I:$AT, MATCH(M125, Variablen!$A:$A, 0), MATCH((YEAR(D125)+8), Variablen!$I$3:$AT$3, 0))),L125)))*(IF((YEAR(D125)+8)&lt;YEAR(E125),0,IF((YEAR(D125)+8)&gt;YEAR(E125),1,(12-MONTH(E125)+1)/12))) + (Q125)*(IF((YEAR(D125)+8)&lt;YEAR(E125),0,IF((YEAR(D125)+8)&gt;YEAR(E125),1,(12-MONTH(E125)+1)/12))))-((P125)*(IF((YEAR(D125)+8)&lt;YEAR(E125),0,IF((YEAR(D125)+8)&gt;YEAR(E125),1,(12-MONTH(E125)+1)/12))) + (R125)*(IF((YEAR(D125)+8)&lt;YEAR(E125),0,IF((YEAR(D125)+8)&gt;YEAR(E125),1,(12-MONTH(E125)+1)/12))))-(IF((((K125)*(IF(M125="",L125,IFERROR(IF(INDEX(Variablen!$I:$AT, MATCH(M125, Variablen!$A:$A, 0), MATCH((YEAR(D125)+8), Variablen!$I$3:$AT$3, 0))="",L125,INDEX(Variablen!$I:$AT, MATCH(M125, Variablen!$A:$A, 0), MATCH((YEAR(D125)+8), Variablen!$I$3:$AT$3, 0))),L125)))*(IF((YEAR(D125)+8)&lt;YEAR(E125),0,IF((YEAR(D125)+8)&gt;YEAR(E125),1,(12-MONTH(E125)+1)/12))) + (Q125)*(IF((YEAR(D125)+8)&lt;YEAR(E125),0,IF((YEAR(D125)+8)&gt;YEAR(E125),1,(12-MONTH(E125)+1)/12))))-((P125)*(IF((YEAR(D125)+8)&lt;YEAR(E125),0,IF((YEAR(D125)+8)&gt;YEAR(E125),1,(12-MONTH(E125)+1)/12))) + (R125)*(IF((YEAR(D125)+8)&lt;YEAR(E125),0,IF((YEAR(D125)+8)&gt;YEAR(E125),1,(12-MONTH(E125)+1)/12))))-(IF(OR(N125="",N125&lt;=0),0,(O125/N125)*(IF(OR(N125="",N125&lt;=0),0,IF((YEAR(D125)+8)&lt;YEAR(E125),0,IF((YEAR(D125)+8)&gt;=YEAR(E125)+N125,0,IF((YEAR(D125)+8)=YEAR(E125),(12-MONTH(E125)+1)/12,1))))))))&gt;0,(((K125)*(IF(M125="",L125,IFERROR(IF(INDEX(Variablen!$I:$AT, MATCH(M125, Variablen!$A:$A, 0), MATCH((YEAR(D125)+8), Variablen!$I$3:$AT$3, 0))="",L125,INDEX(Variablen!$I:$AT, MATCH(M125, Variablen!$A:$A, 0), MATCH((YEAR(D125)+8), Variablen!$I$3:$AT$3, 0))),L125)))*(IF((YEAR(D125)+8)&lt;YEAR(E125),0,IF((YEAR(D125)+8)&gt;YEAR(E125),1,(12-MONTH(E125)+1)/12))) + (Q125)*(IF((YEAR(D125)+8)&lt;YEAR(E125),0,IF((YEAR(D125)+8)&gt;YEAR(E125),1,(12-MONTH(E125)+1)/12))))-((P125)*(IF((YEAR(D125)+8)&lt;YEAR(E125),0,IF((YEAR(D125)+8)&gt;YEAR(E125),1,(12-MONTH(E125)+1)/12))) + (R125)*(IF((YEAR(D125)+8)&lt;YEAR(E125),0,IF((YEAR(D125)+8)&gt;YEAR(E125),1,(12-MONTH(E125)+1)/12))))-(IF(OR(N125="",N125&lt;=0),0,(O125/N125)*(IF(OR(N125="",N125&lt;=0),0,IF((YEAR(D125)+8)&lt;YEAR(E125),0,IF((YEAR(D125)+8)&gt;=YEAR(E125)+N125,0,IF((YEAR(D125)+8)=YEAR(E125),(12-MONTH(E125)+1)/12,1))))))))*TaxRate,0))-IF(8=0,O125,0))</f>
        <v/>
      </c>
      <c r="AB125" s="29">
        <f>IF(A125="","",((K125)*(IF(M125="",L125,IFERROR(IF(INDEX(Variablen!$I:$AT, MATCH(M125, Variablen!$A:$A, 0), MATCH((YEAR(D125)+9), Variablen!$I$3:$AT$3, 0))="",L125,INDEX(Variablen!$I:$AT, MATCH(M125, Variablen!$A:$A, 0), MATCH((YEAR(D125)+9), Variablen!$I$3:$AT$3, 0))),L125)))*(IF((YEAR(D125)+9)&lt;YEAR(E125),0,IF((YEAR(D125)+9)&gt;YEAR(E125),1,(12-MONTH(E125)+1)/12))) + (Q125)*(IF((YEAR(D125)+9)&lt;YEAR(E125),0,IF((YEAR(D125)+9)&gt;YEAR(E125),1,(12-MONTH(E125)+1)/12))))-((P125)*(IF((YEAR(D125)+9)&lt;YEAR(E125),0,IF((YEAR(D125)+9)&gt;YEAR(E125),1,(12-MONTH(E125)+1)/12))) + (R125)*(IF((YEAR(D125)+9)&lt;YEAR(E125),0,IF((YEAR(D125)+9)&gt;YEAR(E125),1,(12-MONTH(E125)+1)/12))))-(IF((((K125)*(IF(M125="",L125,IFERROR(IF(INDEX(Variablen!$I:$AT, MATCH(M125, Variablen!$A:$A, 0), MATCH((YEAR(D125)+9), Variablen!$I$3:$AT$3, 0))="",L125,INDEX(Variablen!$I:$AT, MATCH(M125, Variablen!$A:$A, 0), MATCH((YEAR(D125)+9), Variablen!$I$3:$AT$3, 0))),L125)))*(IF((YEAR(D125)+9)&lt;YEAR(E125),0,IF((YEAR(D125)+9)&gt;YEAR(E125),1,(12-MONTH(E125)+1)/12))) + (Q125)*(IF((YEAR(D125)+9)&lt;YEAR(E125),0,IF((YEAR(D125)+9)&gt;YEAR(E125),1,(12-MONTH(E125)+1)/12))))-((P125)*(IF((YEAR(D125)+9)&lt;YEAR(E125),0,IF((YEAR(D125)+9)&gt;YEAR(E125),1,(12-MONTH(E125)+1)/12))) + (R125)*(IF((YEAR(D125)+9)&lt;YEAR(E125),0,IF((YEAR(D125)+9)&gt;YEAR(E125),1,(12-MONTH(E125)+1)/12))))-(IF(OR(N125="",N125&lt;=0),0,(O125/N125)*(IF(OR(N125="",N125&lt;=0),0,IF((YEAR(D125)+9)&lt;YEAR(E125),0,IF((YEAR(D125)+9)&gt;=YEAR(E125)+N125,0,IF((YEAR(D125)+9)=YEAR(E125),(12-MONTH(E125)+1)/12,1))))))))&gt;0,(((K125)*(IF(M125="",L125,IFERROR(IF(INDEX(Variablen!$I:$AT, MATCH(M125, Variablen!$A:$A, 0), MATCH((YEAR(D125)+9), Variablen!$I$3:$AT$3, 0))="",L125,INDEX(Variablen!$I:$AT, MATCH(M125, Variablen!$A:$A, 0), MATCH((YEAR(D125)+9), Variablen!$I$3:$AT$3, 0))),L125)))*(IF((YEAR(D125)+9)&lt;YEAR(E125),0,IF((YEAR(D125)+9)&gt;YEAR(E125),1,(12-MONTH(E125)+1)/12))) + (Q125)*(IF((YEAR(D125)+9)&lt;YEAR(E125),0,IF((YEAR(D125)+9)&gt;YEAR(E125),1,(12-MONTH(E125)+1)/12))))-((P125)*(IF((YEAR(D125)+9)&lt;YEAR(E125),0,IF((YEAR(D125)+9)&gt;YEAR(E125),1,(12-MONTH(E125)+1)/12))) + (R125)*(IF((YEAR(D125)+9)&lt;YEAR(E125),0,IF((YEAR(D125)+9)&gt;YEAR(E125),1,(12-MONTH(E125)+1)/12))))-(IF(OR(N125="",N125&lt;=0),0,(O125/N125)*(IF(OR(N125="",N125&lt;=0),0,IF((YEAR(D125)+9)&lt;YEAR(E125),0,IF((YEAR(D125)+9)&gt;=YEAR(E125)+N125,0,IF((YEAR(D125)+9)=YEAR(E125),(12-MONTH(E125)+1)/12,1))))))))*TaxRate,0))-IF(9=0,O125,0))</f>
        <v/>
      </c>
      <c r="AC125" s="29">
        <f>IF(A125="","",((K125)*(IF(M125="",L125,IFERROR(IF(INDEX(Variablen!$I:$AT, MATCH(M125, Variablen!$A:$A, 0), MATCH((YEAR(D125)+10), Variablen!$I$3:$AT$3, 0))="",L125,INDEX(Variablen!$I:$AT, MATCH(M125, Variablen!$A:$A, 0), MATCH((YEAR(D125)+10), Variablen!$I$3:$AT$3, 0))),L125)))*(IF((YEAR(D125)+10)&lt;YEAR(E125),0,IF((YEAR(D125)+10)&gt;YEAR(E125),1,(12-MONTH(E125)+1)/12))) + (Q125)*(IF((YEAR(D125)+10)&lt;YEAR(E125),0,IF((YEAR(D125)+10)&gt;YEAR(E125),1,(12-MONTH(E125)+1)/12))))-((P125)*(IF((YEAR(D125)+10)&lt;YEAR(E125),0,IF((YEAR(D125)+10)&gt;YEAR(E125),1,(12-MONTH(E125)+1)/12))) + (R125)*(IF((YEAR(D125)+10)&lt;YEAR(E125),0,IF((YEAR(D125)+10)&gt;YEAR(E125),1,(12-MONTH(E125)+1)/12))))-(IF((((K125)*(IF(M125="",L125,IFERROR(IF(INDEX(Variablen!$I:$AT, MATCH(M125, Variablen!$A:$A, 0), MATCH((YEAR(D125)+10), Variablen!$I$3:$AT$3, 0))="",L125,INDEX(Variablen!$I:$AT, MATCH(M125, Variablen!$A:$A, 0), MATCH((YEAR(D125)+10), Variablen!$I$3:$AT$3, 0))),L125)))*(IF((YEAR(D125)+10)&lt;YEAR(E125),0,IF((YEAR(D125)+10)&gt;YEAR(E125),1,(12-MONTH(E125)+1)/12))) + (Q125)*(IF((YEAR(D125)+10)&lt;YEAR(E125),0,IF((YEAR(D125)+10)&gt;YEAR(E125),1,(12-MONTH(E125)+1)/12))))-((P125)*(IF((YEAR(D125)+10)&lt;YEAR(E125),0,IF((YEAR(D125)+10)&gt;YEAR(E125),1,(12-MONTH(E125)+1)/12))) + (R125)*(IF((YEAR(D125)+10)&lt;YEAR(E125),0,IF((YEAR(D125)+10)&gt;YEAR(E125),1,(12-MONTH(E125)+1)/12))))-(IF(OR(N125="",N125&lt;=0),0,(O125/N125)*(IF(OR(N125="",N125&lt;=0),0,IF((YEAR(D125)+10)&lt;YEAR(E125),0,IF((YEAR(D125)+10)&gt;=YEAR(E125)+N125,0,IF((YEAR(D125)+10)=YEAR(E125),(12-MONTH(E125)+1)/12,1))))))))&gt;0,(((K125)*(IF(M125="",L125,IFERROR(IF(INDEX(Variablen!$I:$AT, MATCH(M125, Variablen!$A:$A, 0), MATCH((YEAR(D125)+10), Variablen!$I$3:$AT$3, 0))="",L125,INDEX(Variablen!$I:$AT, MATCH(M125, Variablen!$A:$A, 0), MATCH((YEAR(D125)+10), Variablen!$I$3:$AT$3, 0))),L125)))*(IF((YEAR(D125)+10)&lt;YEAR(E125),0,IF((YEAR(D125)+10)&gt;YEAR(E125),1,(12-MONTH(E125)+1)/12))) + (Q125)*(IF((YEAR(D125)+10)&lt;YEAR(E125),0,IF((YEAR(D125)+10)&gt;YEAR(E125),1,(12-MONTH(E125)+1)/12))))-((P125)*(IF((YEAR(D125)+10)&lt;YEAR(E125),0,IF((YEAR(D125)+10)&gt;YEAR(E125),1,(12-MONTH(E125)+1)/12))) + (R125)*(IF((YEAR(D125)+10)&lt;YEAR(E125),0,IF((YEAR(D125)+10)&gt;YEAR(E125),1,(12-MONTH(E125)+1)/12))))-(IF(OR(N125="",N125&lt;=0),0,(O125/N125)*(IF(OR(N125="",N125&lt;=0),0,IF((YEAR(D125)+10)&lt;YEAR(E125),0,IF((YEAR(D125)+10)&gt;=YEAR(E125)+N125,0,IF((YEAR(D125)+10)=YEAR(E125),(12-MONTH(E125)+1)/12,1))))))))*TaxRate,0))-IF(10=0,O125,0))</f>
        <v/>
      </c>
      <c r="AD125" s="29">
        <f>IF(A125="","",((K125)*(IF(M125="",L125,IFERROR(IF(INDEX(Variablen!$I:$AT, MATCH(M125, Variablen!$A:$A, 0), MATCH((YEAR(D125)+11), Variablen!$I$3:$AT$3, 0))="",L125,INDEX(Variablen!$I:$AT, MATCH(M125, Variablen!$A:$A, 0), MATCH((YEAR(D125)+11), Variablen!$I$3:$AT$3, 0))),L125)))*(IF((YEAR(D125)+11)&lt;YEAR(E125),0,IF((YEAR(D125)+11)&gt;YEAR(E125),1,(12-MONTH(E125)+1)/12))) + (Q125)*(IF((YEAR(D125)+11)&lt;YEAR(E125),0,IF((YEAR(D125)+11)&gt;YEAR(E125),1,(12-MONTH(E125)+1)/12))))-((P125)*(IF((YEAR(D125)+11)&lt;YEAR(E125),0,IF((YEAR(D125)+11)&gt;YEAR(E125),1,(12-MONTH(E125)+1)/12))) + (R125)*(IF((YEAR(D125)+11)&lt;YEAR(E125),0,IF((YEAR(D125)+11)&gt;YEAR(E125),1,(12-MONTH(E125)+1)/12))))-(IF((((K125)*(IF(M125="",L125,IFERROR(IF(INDEX(Variablen!$I:$AT, MATCH(M125, Variablen!$A:$A, 0), MATCH((YEAR(D125)+11), Variablen!$I$3:$AT$3, 0))="",L125,INDEX(Variablen!$I:$AT, MATCH(M125, Variablen!$A:$A, 0), MATCH((YEAR(D125)+11), Variablen!$I$3:$AT$3, 0))),L125)))*(IF((YEAR(D125)+11)&lt;YEAR(E125),0,IF((YEAR(D125)+11)&gt;YEAR(E125),1,(12-MONTH(E125)+1)/12))) + (Q125)*(IF((YEAR(D125)+11)&lt;YEAR(E125),0,IF((YEAR(D125)+11)&gt;YEAR(E125),1,(12-MONTH(E125)+1)/12))))-((P125)*(IF((YEAR(D125)+11)&lt;YEAR(E125),0,IF((YEAR(D125)+11)&gt;YEAR(E125),1,(12-MONTH(E125)+1)/12))) + (R125)*(IF((YEAR(D125)+11)&lt;YEAR(E125),0,IF((YEAR(D125)+11)&gt;YEAR(E125),1,(12-MONTH(E125)+1)/12))))-(IF(OR(N125="",N125&lt;=0),0,(O125/N125)*(IF(OR(N125="",N125&lt;=0),0,IF((YEAR(D125)+11)&lt;YEAR(E125),0,IF((YEAR(D125)+11)&gt;=YEAR(E125)+N125,0,IF((YEAR(D125)+11)=YEAR(E125),(12-MONTH(E125)+1)/12,1))))))))&gt;0,(((K125)*(IF(M125="",L125,IFERROR(IF(INDEX(Variablen!$I:$AT, MATCH(M125, Variablen!$A:$A, 0), MATCH((YEAR(D125)+11), Variablen!$I$3:$AT$3, 0))="",L125,INDEX(Variablen!$I:$AT, MATCH(M125, Variablen!$A:$A, 0), MATCH((YEAR(D125)+11), Variablen!$I$3:$AT$3, 0))),L125)))*(IF((YEAR(D125)+11)&lt;YEAR(E125),0,IF((YEAR(D125)+11)&gt;YEAR(E125),1,(12-MONTH(E125)+1)/12))) + (Q125)*(IF((YEAR(D125)+11)&lt;YEAR(E125),0,IF((YEAR(D125)+11)&gt;YEAR(E125),1,(12-MONTH(E125)+1)/12))))-((P125)*(IF((YEAR(D125)+11)&lt;YEAR(E125),0,IF((YEAR(D125)+11)&gt;YEAR(E125),1,(12-MONTH(E125)+1)/12))) + (R125)*(IF((YEAR(D125)+11)&lt;YEAR(E125),0,IF((YEAR(D125)+11)&gt;YEAR(E125),1,(12-MONTH(E125)+1)/12))))-(IF(OR(N125="",N125&lt;=0),0,(O125/N125)*(IF(OR(N125="",N125&lt;=0),0,IF((YEAR(D125)+11)&lt;YEAR(E125),0,IF((YEAR(D125)+11)&gt;=YEAR(E125)+N125,0,IF((YEAR(D125)+11)=YEAR(E125),(12-MONTH(E125)+1)/12,1))))))))*TaxRate,0))-IF(11=0,O125,0))</f>
        <v/>
      </c>
      <c r="AE125" s="29">
        <f>IF(A125="","",((K125)*(IF(M125="",L125,IFERROR(IF(INDEX(Variablen!$I:$AT, MATCH(M125, Variablen!$A:$A, 0), MATCH((YEAR(D125)+12), Variablen!$I$3:$AT$3, 0))="",L125,INDEX(Variablen!$I:$AT, MATCH(M125, Variablen!$A:$A, 0), MATCH((YEAR(D125)+12), Variablen!$I$3:$AT$3, 0))),L125)))*(IF((YEAR(D125)+12)&lt;YEAR(E125),0,IF((YEAR(D125)+12)&gt;YEAR(E125),1,(12-MONTH(E125)+1)/12))) + (Q125)*(IF((YEAR(D125)+12)&lt;YEAR(E125),0,IF((YEAR(D125)+12)&gt;YEAR(E125),1,(12-MONTH(E125)+1)/12))))-((P125)*(IF((YEAR(D125)+12)&lt;YEAR(E125),0,IF((YEAR(D125)+12)&gt;YEAR(E125),1,(12-MONTH(E125)+1)/12))) + (R125)*(IF((YEAR(D125)+12)&lt;YEAR(E125),0,IF((YEAR(D125)+12)&gt;YEAR(E125),1,(12-MONTH(E125)+1)/12))))-(IF((((K125)*(IF(M125="",L125,IFERROR(IF(INDEX(Variablen!$I:$AT, MATCH(M125, Variablen!$A:$A, 0), MATCH((YEAR(D125)+12), Variablen!$I$3:$AT$3, 0))="",L125,INDEX(Variablen!$I:$AT, MATCH(M125, Variablen!$A:$A, 0), MATCH((YEAR(D125)+12), Variablen!$I$3:$AT$3, 0))),L125)))*(IF((YEAR(D125)+12)&lt;YEAR(E125),0,IF((YEAR(D125)+12)&gt;YEAR(E125),1,(12-MONTH(E125)+1)/12))) + (Q125)*(IF((YEAR(D125)+12)&lt;YEAR(E125),0,IF((YEAR(D125)+12)&gt;YEAR(E125),1,(12-MONTH(E125)+1)/12))))-((P125)*(IF((YEAR(D125)+12)&lt;YEAR(E125),0,IF((YEAR(D125)+12)&gt;YEAR(E125),1,(12-MONTH(E125)+1)/12))) + (R125)*(IF((YEAR(D125)+12)&lt;YEAR(E125),0,IF((YEAR(D125)+12)&gt;YEAR(E125),1,(12-MONTH(E125)+1)/12))))-(IF(OR(N125="",N125&lt;=0),0,(O125/N125)*(IF(OR(N125="",N125&lt;=0),0,IF((YEAR(D125)+12)&lt;YEAR(E125),0,IF((YEAR(D125)+12)&gt;=YEAR(E125)+N125,0,IF((YEAR(D125)+12)=YEAR(E125),(12-MONTH(E125)+1)/12,1))))))))&gt;0,(((K125)*(IF(M125="",L125,IFERROR(IF(INDEX(Variablen!$I:$AT, MATCH(M125, Variablen!$A:$A, 0), MATCH((YEAR(D125)+12), Variablen!$I$3:$AT$3, 0))="",L125,INDEX(Variablen!$I:$AT, MATCH(M125, Variablen!$A:$A, 0), MATCH((YEAR(D125)+12), Variablen!$I$3:$AT$3, 0))),L125)))*(IF((YEAR(D125)+12)&lt;YEAR(E125),0,IF((YEAR(D125)+12)&gt;YEAR(E125),1,(12-MONTH(E125)+1)/12))) + (Q125)*(IF((YEAR(D125)+12)&lt;YEAR(E125),0,IF((YEAR(D125)+12)&gt;YEAR(E125),1,(12-MONTH(E125)+1)/12))))-((P125)*(IF((YEAR(D125)+12)&lt;YEAR(E125),0,IF((YEAR(D125)+12)&gt;YEAR(E125),1,(12-MONTH(E125)+1)/12))) + (R125)*(IF((YEAR(D125)+12)&lt;YEAR(E125),0,IF((YEAR(D125)+12)&gt;YEAR(E125),1,(12-MONTH(E125)+1)/12))))-(IF(OR(N125="",N125&lt;=0),0,(O125/N125)*(IF(OR(N125="",N125&lt;=0),0,IF((YEAR(D125)+12)&lt;YEAR(E125),0,IF((YEAR(D125)+12)&gt;=YEAR(E125)+N125,0,IF((YEAR(D125)+12)=YEAR(E125),(12-MONTH(E125)+1)/12,1))))))))*TaxRate,0))-IF(12=0,O125,0))</f>
        <v/>
      </c>
      <c r="AF125" s="29">
        <f>IF(A125="","",((K125)*(IF(M125="",L125,IFERROR(IF(INDEX(Variablen!$I:$AT, MATCH(M125, Variablen!$A:$A, 0), MATCH((YEAR(D125)+13), Variablen!$I$3:$AT$3, 0))="",L125,INDEX(Variablen!$I:$AT, MATCH(M125, Variablen!$A:$A, 0), MATCH((YEAR(D125)+13), Variablen!$I$3:$AT$3, 0))),L125)))*(IF((YEAR(D125)+13)&lt;YEAR(E125),0,IF((YEAR(D125)+13)&gt;YEAR(E125),1,(12-MONTH(E125)+1)/12))) + (Q125)*(IF((YEAR(D125)+13)&lt;YEAR(E125),0,IF((YEAR(D125)+13)&gt;YEAR(E125),1,(12-MONTH(E125)+1)/12))))-((P125)*(IF((YEAR(D125)+13)&lt;YEAR(E125),0,IF((YEAR(D125)+13)&gt;YEAR(E125),1,(12-MONTH(E125)+1)/12))) + (R125)*(IF((YEAR(D125)+13)&lt;YEAR(E125),0,IF((YEAR(D125)+13)&gt;YEAR(E125),1,(12-MONTH(E125)+1)/12))))-(IF((((K125)*(IF(M125="",L125,IFERROR(IF(INDEX(Variablen!$I:$AT, MATCH(M125, Variablen!$A:$A, 0), MATCH((YEAR(D125)+13), Variablen!$I$3:$AT$3, 0))="",L125,INDEX(Variablen!$I:$AT, MATCH(M125, Variablen!$A:$A, 0), MATCH((YEAR(D125)+13), Variablen!$I$3:$AT$3, 0))),L125)))*(IF((YEAR(D125)+13)&lt;YEAR(E125),0,IF((YEAR(D125)+13)&gt;YEAR(E125),1,(12-MONTH(E125)+1)/12))) + (Q125)*(IF((YEAR(D125)+13)&lt;YEAR(E125),0,IF((YEAR(D125)+13)&gt;YEAR(E125),1,(12-MONTH(E125)+1)/12))))-((P125)*(IF((YEAR(D125)+13)&lt;YEAR(E125),0,IF((YEAR(D125)+13)&gt;YEAR(E125),1,(12-MONTH(E125)+1)/12))) + (R125)*(IF((YEAR(D125)+13)&lt;YEAR(E125),0,IF((YEAR(D125)+13)&gt;YEAR(E125),1,(12-MONTH(E125)+1)/12))))-(IF(OR(N125="",N125&lt;=0),0,(O125/N125)*(IF(OR(N125="",N125&lt;=0),0,IF((YEAR(D125)+13)&lt;YEAR(E125),0,IF((YEAR(D125)+13)&gt;=YEAR(E125)+N125,0,IF((YEAR(D125)+13)=YEAR(E125),(12-MONTH(E125)+1)/12,1))))))))&gt;0,(((K125)*(IF(M125="",L125,IFERROR(IF(INDEX(Variablen!$I:$AT, MATCH(M125, Variablen!$A:$A, 0), MATCH((YEAR(D125)+13), Variablen!$I$3:$AT$3, 0))="",L125,INDEX(Variablen!$I:$AT, MATCH(M125, Variablen!$A:$A, 0), MATCH((YEAR(D125)+13), Variablen!$I$3:$AT$3, 0))),L125)))*(IF((YEAR(D125)+13)&lt;YEAR(E125),0,IF((YEAR(D125)+13)&gt;YEAR(E125),1,(12-MONTH(E125)+1)/12))) + (Q125)*(IF((YEAR(D125)+13)&lt;YEAR(E125),0,IF((YEAR(D125)+13)&gt;YEAR(E125),1,(12-MONTH(E125)+1)/12))))-((P125)*(IF((YEAR(D125)+13)&lt;YEAR(E125),0,IF((YEAR(D125)+13)&gt;YEAR(E125),1,(12-MONTH(E125)+1)/12))) + (R125)*(IF((YEAR(D125)+13)&lt;YEAR(E125),0,IF((YEAR(D125)+13)&gt;YEAR(E125),1,(12-MONTH(E125)+1)/12))))-(IF(OR(N125="",N125&lt;=0),0,(O125/N125)*(IF(OR(N125="",N125&lt;=0),0,IF((YEAR(D125)+13)&lt;YEAR(E125),0,IF((YEAR(D125)+13)&gt;=YEAR(E125)+N125,0,IF((YEAR(D125)+13)=YEAR(E125),(12-MONTH(E125)+1)/12,1))))))))*TaxRate,0))-IF(13=0,O125,0))</f>
        <v/>
      </c>
      <c r="AG125" s="29">
        <f>IF(A125="","",((K125)*(IF(M125="",L125,IFERROR(IF(INDEX(Variablen!$I:$AT, MATCH(M125, Variablen!$A:$A, 0), MATCH((YEAR(D125)+14), Variablen!$I$3:$AT$3, 0))="",L125,INDEX(Variablen!$I:$AT, MATCH(M125, Variablen!$A:$A, 0), MATCH((YEAR(D125)+14), Variablen!$I$3:$AT$3, 0))),L125)))*(IF((YEAR(D125)+14)&lt;YEAR(E125),0,IF((YEAR(D125)+14)&gt;YEAR(E125),1,(12-MONTH(E125)+1)/12))) + (Q125)*(IF((YEAR(D125)+14)&lt;YEAR(E125),0,IF((YEAR(D125)+14)&gt;YEAR(E125),1,(12-MONTH(E125)+1)/12))))-((P125)*(IF((YEAR(D125)+14)&lt;YEAR(E125),0,IF((YEAR(D125)+14)&gt;YEAR(E125),1,(12-MONTH(E125)+1)/12))) + (R125)*(IF((YEAR(D125)+14)&lt;YEAR(E125),0,IF((YEAR(D125)+14)&gt;YEAR(E125),1,(12-MONTH(E125)+1)/12))))-(IF((((K125)*(IF(M125="",L125,IFERROR(IF(INDEX(Variablen!$I:$AT, MATCH(M125, Variablen!$A:$A, 0), MATCH((YEAR(D125)+14), Variablen!$I$3:$AT$3, 0))="",L125,INDEX(Variablen!$I:$AT, MATCH(M125, Variablen!$A:$A, 0), MATCH((YEAR(D125)+14), Variablen!$I$3:$AT$3, 0))),L125)))*(IF((YEAR(D125)+14)&lt;YEAR(E125),0,IF((YEAR(D125)+14)&gt;YEAR(E125),1,(12-MONTH(E125)+1)/12))) + (Q125)*(IF((YEAR(D125)+14)&lt;YEAR(E125),0,IF((YEAR(D125)+14)&gt;YEAR(E125),1,(12-MONTH(E125)+1)/12))))-((P125)*(IF((YEAR(D125)+14)&lt;YEAR(E125),0,IF((YEAR(D125)+14)&gt;YEAR(E125),1,(12-MONTH(E125)+1)/12))) + (R125)*(IF((YEAR(D125)+14)&lt;YEAR(E125),0,IF((YEAR(D125)+14)&gt;YEAR(E125),1,(12-MONTH(E125)+1)/12))))-(IF(OR(N125="",N125&lt;=0),0,(O125/N125)*(IF(OR(N125="",N125&lt;=0),0,IF((YEAR(D125)+14)&lt;YEAR(E125),0,IF((YEAR(D125)+14)&gt;=YEAR(E125)+N125,0,IF((YEAR(D125)+14)=YEAR(E125),(12-MONTH(E125)+1)/12,1))))))))&gt;0,(((K125)*(IF(M125="",L125,IFERROR(IF(INDEX(Variablen!$I:$AT, MATCH(M125, Variablen!$A:$A, 0), MATCH((YEAR(D125)+14), Variablen!$I$3:$AT$3, 0))="",L125,INDEX(Variablen!$I:$AT, MATCH(M125, Variablen!$A:$A, 0), MATCH((YEAR(D125)+14), Variablen!$I$3:$AT$3, 0))),L125)))*(IF((YEAR(D125)+14)&lt;YEAR(E125),0,IF((YEAR(D125)+14)&gt;YEAR(E125),1,(12-MONTH(E125)+1)/12))) + (Q125)*(IF((YEAR(D125)+14)&lt;YEAR(E125),0,IF((YEAR(D125)+14)&gt;YEAR(E125),1,(12-MONTH(E125)+1)/12))))-((P125)*(IF((YEAR(D125)+14)&lt;YEAR(E125),0,IF((YEAR(D125)+14)&gt;YEAR(E125),1,(12-MONTH(E125)+1)/12))) + (R125)*(IF((YEAR(D125)+14)&lt;YEAR(E125),0,IF((YEAR(D125)+14)&gt;YEAR(E125),1,(12-MONTH(E125)+1)/12))))-(IF(OR(N125="",N125&lt;=0),0,(O125/N125)*(IF(OR(N125="",N125&lt;=0),0,IF((YEAR(D125)+14)&lt;YEAR(E125),0,IF((YEAR(D125)+14)&gt;=YEAR(E125)+N125,0,IF((YEAR(D125)+14)=YEAR(E125),(12-MONTH(E125)+1)/12,1))))))))*TaxRate,0))-IF(14=0,O125,0))</f>
        <v/>
      </c>
      <c r="AH125" s="29">
        <f>IF(A125="","",((K125)*(IF(M125="",L125,IFERROR(IF(INDEX(Variablen!$I:$AT, MATCH(M125, Variablen!$A:$A, 0), MATCH((YEAR(D125)+15), Variablen!$I$3:$AT$3, 0))="",L125,INDEX(Variablen!$I:$AT, MATCH(M125, Variablen!$A:$A, 0), MATCH((YEAR(D125)+15), Variablen!$I$3:$AT$3, 0))),L125)))*(IF((YEAR(D125)+15)&lt;YEAR(E125),0,IF((YEAR(D125)+15)&gt;YEAR(E125),1,(12-MONTH(E125)+1)/12))) + (Q125)*(IF((YEAR(D125)+15)&lt;YEAR(E125),0,IF((YEAR(D125)+15)&gt;YEAR(E125),1,(12-MONTH(E125)+1)/12))))-((P125)*(IF((YEAR(D125)+15)&lt;YEAR(E125),0,IF((YEAR(D125)+15)&gt;YEAR(E125),1,(12-MONTH(E125)+1)/12))) + (R125)*(IF((YEAR(D125)+15)&lt;YEAR(E125),0,IF((YEAR(D125)+15)&gt;YEAR(E125),1,(12-MONTH(E125)+1)/12))))-(IF((((K125)*(IF(M125="",L125,IFERROR(IF(INDEX(Variablen!$I:$AT, MATCH(M125, Variablen!$A:$A, 0), MATCH((YEAR(D125)+15), Variablen!$I$3:$AT$3, 0))="",L125,INDEX(Variablen!$I:$AT, MATCH(M125, Variablen!$A:$A, 0), MATCH((YEAR(D125)+15), Variablen!$I$3:$AT$3, 0))),L125)))*(IF((YEAR(D125)+15)&lt;YEAR(E125),0,IF((YEAR(D125)+15)&gt;YEAR(E125),1,(12-MONTH(E125)+1)/12))) + (Q125)*(IF((YEAR(D125)+15)&lt;YEAR(E125),0,IF((YEAR(D125)+15)&gt;YEAR(E125),1,(12-MONTH(E125)+1)/12))))-((P125)*(IF((YEAR(D125)+15)&lt;YEAR(E125),0,IF((YEAR(D125)+15)&gt;YEAR(E125),1,(12-MONTH(E125)+1)/12))) + (R125)*(IF((YEAR(D125)+15)&lt;YEAR(E125),0,IF((YEAR(D125)+15)&gt;YEAR(E125),1,(12-MONTH(E125)+1)/12))))-(IF(OR(N125="",N125&lt;=0),0,(O125/N125)*(IF(OR(N125="",N125&lt;=0),0,IF((YEAR(D125)+15)&lt;YEAR(E125),0,IF((YEAR(D125)+15)&gt;=YEAR(E125)+N125,0,IF((YEAR(D125)+15)=YEAR(E125),(12-MONTH(E125)+1)/12,1))))))))&gt;0,(((K125)*(IF(M125="",L125,IFERROR(IF(INDEX(Variablen!$I:$AT, MATCH(M125, Variablen!$A:$A, 0), MATCH((YEAR(D125)+15), Variablen!$I$3:$AT$3, 0))="",L125,INDEX(Variablen!$I:$AT, MATCH(M125, Variablen!$A:$A, 0), MATCH((YEAR(D125)+15), Variablen!$I$3:$AT$3, 0))),L125)))*(IF((YEAR(D125)+15)&lt;YEAR(E125),0,IF((YEAR(D125)+15)&gt;YEAR(E125),1,(12-MONTH(E125)+1)/12))) + (Q125)*(IF((YEAR(D125)+15)&lt;YEAR(E125),0,IF((YEAR(D125)+15)&gt;YEAR(E125),1,(12-MONTH(E125)+1)/12))))-((P125)*(IF((YEAR(D125)+15)&lt;YEAR(E125),0,IF((YEAR(D125)+15)&gt;YEAR(E125),1,(12-MONTH(E125)+1)/12))) + (R125)*(IF((YEAR(D125)+15)&lt;YEAR(E125),0,IF((YEAR(D125)+15)&gt;YEAR(E125),1,(12-MONTH(E125)+1)/12))))-(IF(OR(N125="",N125&lt;=0),0,(O125/N125)*(IF(OR(N125="",N125&lt;=0),0,IF((YEAR(D125)+15)&lt;YEAR(E125),0,IF((YEAR(D125)+15)&gt;=YEAR(E125)+N125,0,IF((YEAR(D125)+15)=YEAR(E125),(12-MONTH(E125)+1)/12,1))))))))*TaxRate,0))-IF(15=0,O125,0))</f>
        <v/>
      </c>
      <c r="AI125" s="29">
        <f>IF(A125="","",((K125)*(IF(M125="",L125,IFERROR(IF(INDEX(Variablen!$I:$AT, MATCH(M125, Variablen!$A:$A, 0), MATCH((YEAR(D125)+16), Variablen!$I$3:$AT$3, 0))="",L125,INDEX(Variablen!$I:$AT, MATCH(M125, Variablen!$A:$A, 0), MATCH((YEAR(D125)+16), Variablen!$I$3:$AT$3, 0))),L125)))*(IF((YEAR(D125)+16)&lt;YEAR(E125),0,IF((YEAR(D125)+16)&gt;YEAR(E125),1,(12-MONTH(E125)+1)/12))) + (Q125)*(IF((YEAR(D125)+16)&lt;YEAR(E125),0,IF((YEAR(D125)+16)&gt;YEAR(E125),1,(12-MONTH(E125)+1)/12))))-((P125)*(IF((YEAR(D125)+16)&lt;YEAR(E125),0,IF((YEAR(D125)+16)&gt;YEAR(E125),1,(12-MONTH(E125)+1)/12))) + (R125)*(IF((YEAR(D125)+16)&lt;YEAR(E125),0,IF((YEAR(D125)+16)&gt;YEAR(E125),1,(12-MONTH(E125)+1)/12))))-(IF((((K125)*(IF(M125="",L125,IFERROR(IF(INDEX(Variablen!$I:$AT, MATCH(M125, Variablen!$A:$A, 0), MATCH((YEAR(D125)+16), Variablen!$I$3:$AT$3, 0))="",L125,INDEX(Variablen!$I:$AT, MATCH(M125, Variablen!$A:$A, 0), MATCH((YEAR(D125)+16), Variablen!$I$3:$AT$3, 0))),L125)))*(IF((YEAR(D125)+16)&lt;YEAR(E125),0,IF((YEAR(D125)+16)&gt;YEAR(E125),1,(12-MONTH(E125)+1)/12))) + (Q125)*(IF((YEAR(D125)+16)&lt;YEAR(E125),0,IF((YEAR(D125)+16)&gt;YEAR(E125),1,(12-MONTH(E125)+1)/12))))-((P125)*(IF((YEAR(D125)+16)&lt;YEAR(E125),0,IF((YEAR(D125)+16)&gt;YEAR(E125),1,(12-MONTH(E125)+1)/12))) + (R125)*(IF((YEAR(D125)+16)&lt;YEAR(E125),0,IF((YEAR(D125)+16)&gt;YEAR(E125),1,(12-MONTH(E125)+1)/12))))-(IF(OR(N125="",N125&lt;=0),0,(O125/N125)*(IF(OR(N125="",N125&lt;=0),0,IF((YEAR(D125)+16)&lt;YEAR(E125),0,IF((YEAR(D125)+16)&gt;=YEAR(E125)+N125,0,IF((YEAR(D125)+16)=YEAR(E125),(12-MONTH(E125)+1)/12,1))))))))&gt;0,(((K125)*(IF(M125="",L125,IFERROR(IF(INDEX(Variablen!$I:$AT, MATCH(M125, Variablen!$A:$A, 0), MATCH((YEAR(D125)+16), Variablen!$I$3:$AT$3, 0))="",L125,INDEX(Variablen!$I:$AT, MATCH(M125, Variablen!$A:$A, 0), MATCH((YEAR(D125)+16), Variablen!$I$3:$AT$3, 0))),L125)))*(IF((YEAR(D125)+16)&lt;YEAR(E125),0,IF((YEAR(D125)+16)&gt;YEAR(E125),1,(12-MONTH(E125)+1)/12))) + (Q125)*(IF((YEAR(D125)+16)&lt;YEAR(E125),0,IF((YEAR(D125)+16)&gt;YEAR(E125),1,(12-MONTH(E125)+1)/12))))-((P125)*(IF((YEAR(D125)+16)&lt;YEAR(E125),0,IF((YEAR(D125)+16)&gt;YEAR(E125),1,(12-MONTH(E125)+1)/12))) + (R125)*(IF((YEAR(D125)+16)&lt;YEAR(E125),0,IF((YEAR(D125)+16)&gt;YEAR(E125),1,(12-MONTH(E125)+1)/12))))-(IF(OR(N125="",N125&lt;=0),0,(O125/N125)*(IF(OR(N125="",N125&lt;=0),0,IF((YEAR(D125)+16)&lt;YEAR(E125),0,IF((YEAR(D125)+16)&gt;=YEAR(E125)+N125,0,IF((YEAR(D125)+16)=YEAR(E125),(12-MONTH(E125)+1)/12,1))))))))*TaxRate,0))-IF(16=0,O125,0))</f>
        <v/>
      </c>
      <c r="AJ125" s="29">
        <f>IF(A125="","",((K125)*(IF(M125="",L125,IFERROR(IF(INDEX(Variablen!$I:$AT, MATCH(M125, Variablen!$A:$A, 0), MATCH((YEAR(D125)+17), Variablen!$I$3:$AT$3, 0))="",L125,INDEX(Variablen!$I:$AT, MATCH(M125, Variablen!$A:$A, 0), MATCH((YEAR(D125)+17), Variablen!$I$3:$AT$3, 0))),L125)))*(IF((YEAR(D125)+17)&lt;YEAR(E125),0,IF((YEAR(D125)+17)&gt;YEAR(E125),1,(12-MONTH(E125)+1)/12))) + (Q125)*(IF((YEAR(D125)+17)&lt;YEAR(E125),0,IF((YEAR(D125)+17)&gt;YEAR(E125),1,(12-MONTH(E125)+1)/12))))-((P125)*(IF((YEAR(D125)+17)&lt;YEAR(E125),0,IF((YEAR(D125)+17)&gt;YEAR(E125),1,(12-MONTH(E125)+1)/12))) + (R125)*(IF((YEAR(D125)+17)&lt;YEAR(E125),0,IF((YEAR(D125)+17)&gt;YEAR(E125),1,(12-MONTH(E125)+1)/12))))-(IF((((K125)*(IF(M125="",L125,IFERROR(IF(INDEX(Variablen!$I:$AT, MATCH(M125, Variablen!$A:$A, 0), MATCH((YEAR(D125)+17), Variablen!$I$3:$AT$3, 0))="",L125,INDEX(Variablen!$I:$AT, MATCH(M125, Variablen!$A:$A, 0), MATCH((YEAR(D125)+17), Variablen!$I$3:$AT$3, 0))),L125)))*(IF((YEAR(D125)+17)&lt;YEAR(E125),0,IF((YEAR(D125)+17)&gt;YEAR(E125),1,(12-MONTH(E125)+1)/12))) + (Q125)*(IF((YEAR(D125)+17)&lt;YEAR(E125),0,IF((YEAR(D125)+17)&gt;YEAR(E125),1,(12-MONTH(E125)+1)/12))))-((P125)*(IF((YEAR(D125)+17)&lt;YEAR(E125),0,IF((YEAR(D125)+17)&gt;YEAR(E125),1,(12-MONTH(E125)+1)/12))) + (R125)*(IF((YEAR(D125)+17)&lt;YEAR(E125),0,IF((YEAR(D125)+17)&gt;YEAR(E125),1,(12-MONTH(E125)+1)/12))))-(IF(OR(N125="",N125&lt;=0),0,(O125/N125)*(IF(OR(N125="",N125&lt;=0),0,IF((YEAR(D125)+17)&lt;YEAR(E125),0,IF((YEAR(D125)+17)&gt;=YEAR(E125)+N125,0,IF((YEAR(D125)+17)=YEAR(E125),(12-MONTH(E125)+1)/12,1))))))))&gt;0,(((K125)*(IF(M125="",L125,IFERROR(IF(INDEX(Variablen!$I:$AT, MATCH(M125, Variablen!$A:$A, 0), MATCH((YEAR(D125)+17), Variablen!$I$3:$AT$3, 0))="",L125,INDEX(Variablen!$I:$AT, MATCH(M125, Variablen!$A:$A, 0), MATCH((YEAR(D125)+17), Variablen!$I$3:$AT$3, 0))),L125)))*(IF((YEAR(D125)+17)&lt;YEAR(E125),0,IF((YEAR(D125)+17)&gt;YEAR(E125),1,(12-MONTH(E125)+1)/12))) + (Q125)*(IF((YEAR(D125)+17)&lt;YEAR(E125),0,IF((YEAR(D125)+17)&gt;YEAR(E125),1,(12-MONTH(E125)+1)/12))))-((P125)*(IF((YEAR(D125)+17)&lt;YEAR(E125),0,IF((YEAR(D125)+17)&gt;YEAR(E125),1,(12-MONTH(E125)+1)/12))) + (R125)*(IF((YEAR(D125)+17)&lt;YEAR(E125),0,IF((YEAR(D125)+17)&gt;YEAR(E125),1,(12-MONTH(E125)+1)/12))))-(IF(OR(N125="",N125&lt;=0),0,(O125/N125)*(IF(OR(N125="",N125&lt;=0),0,IF((YEAR(D125)+17)&lt;YEAR(E125),0,IF((YEAR(D125)+17)&gt;=YEAR(E125)+N125,0,IF((YEAR(D125)+17)=YEAR(E125),(12-MONTH(E125)+1)/12,1))))))))*TaxRate,0))-IF(17=0,O125,0))</f>
        <v/>
      </c>
      <c r="AK125" s="29">
        <f>IF(A125="","",((K125)*(IF(M125="",L125,IFERROR(IF(INDEX(Variablen!$I:$AT, MATCH(M125, Variablen!$A:$A, 0), MATCH((YEAR(D125)+18), Variablen!$I$3:$AT$3, 0))="",L125,INDEX(Variablen!$I:$AT, MATCH(M125, Variablen!$A:$A, 0), MATCH((YEAR(D125)+18), Variablen!$I$3:$AT$3, 0))),L125)))*(IF((YEAR(D125)+18)&lt;YEAR(E125),0,IF((YEAR(D125)+18)&gt;YEAR(E125),1,(12-MONTH(E125)+1)/12))) + (Q125)*(IF((YEAR(D125)+18)&lt;YEAR(E125),0,IF((YEAR(D125)+18)&gt;YEAR(E125),1,(12-MONTH(E125)+1)/12))))-((P125)*(IF((YEAR(D125)+18)&lt;YEAR(E125),0,IF((YEAR(D125)+18)&gt;YEAR(E125),1,(12-MONTH(E125)+1)/12))) + (R125)*(IF((YEAR(D125)+18)&lt;YEAR(E125),0,IF((YEAR(D125)+18)&gt;YEAR(E125),1,(12-MONTH(E125)+1)/12))))-(IF((((K125)*(IF(M125="",L125,IFERROR(IF(INDEX(Variablen!$I:$AT, MATCH(M125, Variablen!$A:$A, 0), MATCH((YEAR(D125)+18), Variablen!$I$3:$AT$3, 0))="",L125,INDEX(Variablen!$I:$AT, MATCH(M125, Variablen!$A:$A, 0), MATCH((YEAR(D125)+18), Variablen!$I$3:$AT$3, 0))),L125)))*(IF((YEAR(D125)+18)&lt;YEAR(E125),0,IF((YEAR(D125)+18)&gt;YEAR(E125),1,(12-MONTH(E125)+1)/12))) + (Q125)*(IF((YEAR(D125)+18)&lt;YEAR(E125),0,IF((YEAR(D125)+18)&gt;YEAR(E125),1,(12-MONTH(E125)+1)/12))))-((P125)*(IF((YEAR(D125)+18)&lt;YEAR(E125),0,IF((YEAR(D125)+18)&gt;YEAR(E125),1,(12-MONTH(E125)+1)/12))) + (R125)*(IF((YEAR(D125)+18)&lt;YEAR(E125),0,IF((YEAR(D125)+18)&gt;YEAR(E125),1,(12-MONTH(E125)+1)/12))))-(IF(OR(N125="",N125&lt;=0),0,(O125/N125)*(IF(OR(N125="",N125&lt;=0),0,IF((YEAR(D125)+18)&lt;YEAR(E125),0,IF((YEAR(D125)+18)&gt;=YEAR(E125)+N125,0,IF((YEAR(D125)+18)=YEAR(E125),(12-MONTH(E125)+1)/12,1))))))))&gt;0,(((K125)*(IF(M125="",L125,IFERROR(IF(INDEX(Variablen!$I:$AT, MATCH(M125, Variablen!$A:$A, 0), MATCH((YEAR(D125)+18), Variablen!$I$3:$AT$3, 0))="",L125,INDEX(Variablen!$I:$AT, MATCH(M125, Variablen!$A:$A, 0), MATCH((YEAR(D125)+18), Variablen!$I$3:$AT$3, 0))),L125)))*(IF((YEAR(D125)+18)&lt;YEAR(E125),0,IF((YEAR(D125)+18)&gt;YEAR(E125),1,(12-MONTH(E125)+1)/12))) + (Q125)*(IF((YEAR(D125)+18)&lt;YEAR(E125),0,IF((YEAR(D125)+18)&gt;YEAR(E125),1,(12-MONTH(E125)+1)/12))))-((P125)*(IF((YEAR(D125)+18)&lt;YEAR(E125),0,IF((YEAR(D125)+18)&gt;YEAR(E125),1,(12-MONTH(E125)+1)/12))) + (R125)*(IF((YEAR(D125)+18)&lt;YEAR(E125),0,IF((YEAR(D125)+18)&gt;YEAR(E125),1,(12-MONTH(E125)+1)/12))))-(IF(OR(N125="",N125&lt;=0),0,(O125/N125)*(IF(OR(N125="",N125&lt;=0),0,IF((YEAR(D125)+18)&lt;YEAR(E125),0,IF((YEAR(D125)+18)&gt;=YEAR(E125)+N125,0,IF((YEAR(D125)+18)=YEAR(E125),(12-MONTH(E125)+1)/12,1))))))))*TaxRate,0))-IF(18=0,O125,0))</f>
        <v/>
      </c>
      <c r="AL125" s="29">
        <f>IF(A125="","",((K125)*(IF(M125="",L125,IFERROR(IF(INDEX(Variablen!$I:$AT, MATCH(M125, Variablen!$A:$A, 0), MATCH((YEAR(D125)+19), Variablen!$I$3:$AT$3, 0))="",L125,INDEX(Variablen!$I:$AT, MATCH(M125, Variablen!$A:$A, 0), MATCH((YEAR(D125)+19), Variablen!$I$3:$AT$3, 0))),L125)))*(IF((YEAR(D125)+19)&lt;YEAR(E125),0,IF((YEAR(D125)+19)&gt;YEAR(E125),1,(12-MONTH(E125)+1)/12))) + (Q125)*(IF((YEAR(D125)+19)&lt;YEAR(E125),0,IF((YEAR(D125)+19)&gt;YEAR(E125),1,(12-MONTH(E125)+1)/12))))-((P125)*(IF((YEAR(D125)+19)&lt;YEAR(E125),0,IF((YEAR(D125)+19)&gt;YEAR(E125),1,(12-MONTH(E125)+1)/12))) + (R125)*(IF((YEAR(D125)+19)&lt;YEAR(E125),0,IF((YEAR(D125)+19)&gt;YEAR(E125),1,(12-MONTH(E125)+1)/12))))-(IF((((K125)*(IF(M125="",L125,IFERROR(IF(INDEX(Variablen!$I:$AT, MATCH(M125, Variablen!$A:$A, 0), MATCH((YEAR(D125)+19), Variablen!$I$3:$AT$3, 0))="",L125,INDEX(Variablen!$I:$AT, MATCH(M125, Variablen!$A:$A, 0), MATCH((YEAR(D125)+19), Variablen!$I$3:$AT$3, 0))),L125)))*(IF((YEAR(D125)+19)&lt;YEAR(E125),0,IF((YEAR(D125)+19)&gt;YEAR(E125),1,(12-MONTH(E125)+1)/12))) + (Q125)*(IF((YEAR(D125)+19)&lt;YEAR(E125),0,IF((YEAR(D125)+19)&gt;YEAR(E125),1,(12-MONTH(E125)+1)/12))))-((P125)*(IF((YEAR(D125)+19)&lt;YEAR(E125),0,IF((YEAR(D125)+19)&gt;YEAR(E125),1,(12-MONTH(E125)+1)/12))) + (R125)*(IF((YEAR(D125)+19)&lt;YEAR(E125),0,IF((YEAR(D125)+19)&gt;YEAR(E125),1,(12-MONTH(E125)+1)/12))))-(IF(OR(N125="",N125&lt;=0),0,(O125/N125)*(IF(OR(N125="",N125&lt;=0),0,IF((YEAR(D125)+19)&lt;YEAR(E125),0,IF((YEAR(D125)+19)&gt;=YEAR(E125)+N125,0,IF((YEAR(D125)+19)=YEAR(E125),(12-MONTH(E125)+1)/12,1))))))))&gt;0,(((K125)*(IF(M125="",L125,IFERROR(IF(INDEX(Variablen!$I:$AT, MATCH(M125, Variablen!$A:$A, 0), MATCH((YEAR(D125)+19), Variablen!$I$3:$AT$3, 0))="",L125,INDEX(Variablen!$I:$AT, MATCH(M125, Variablen!$A:$A, 0), MATCH((YEAR(D125)+19), Variablen!$I$3:$AT$3, 0))),L125)))*(IF((YEAR(D125)+19)&lt;YEAR(E125),0,IF((YEAR(D125)+19)&gt;YEAR(E125),1,(12-MONTH(E125)+1)/12))) + (Q125)*(IF((YEAR(D125)+19)&lt;YEAR(E125),0,IF((YEAR(D125)+19)&gt;YEAR(E125),1,(12-MONTH(E125)+1)/12))))-((P125)*(IF((YEAR(D125)+19)&lt;YEAR(E125),0,IF((YEAR(D125)+19)&gt;YEAR(E125),1,(12-MONTH(E125)+1)/12))) + (R125)*(IF((YEAR(D125)+19)&lt;YEAR(E125),0,IF((YEAR(D125)+19)&gt;YEAR(E125),1,(12-MONTH(E125)+1)/12))))-(IF(OR(N125="",N125&lt;=0),0,(O125/N125)*(IF(OR(N125="",N125&lt;=0),0,IF((YEAR(D125)+19)&lt;YEAR(E125),0,IF((YEAR(D125)+19)&gt;=YEAR(E125)+N125,0,IF((YEAR(D125)+19)=YEAR(E125),(12-MONTH(E125)+1)/12,1))))))))*TaxRate,0))-IF(19=0,O125,0))</f>
        <v/>
      </c>
      <c r="AM125" s="29">
        <f>IF(A125="","",((K125)*(IF(M125="",L125,IFERROR(IF(INDEX(Variablen!$I:$AT, MATCH(M125, Variablen!$A:$A, 0), MATCH((YEAR(D125)+20), Variablen!$I$3:$AT$3, 0))="",L125,INDEX(Variablen!$I:$AT, MATCH(M125, Variablen!$A:$A, 0), MATCH((YEAR(D125)+20), Variablen!$I$3:$AT$3, 0))),L125)))*(IF((YEAR(D125)+20)&lt;YEAR(E125),0,IF((YEAR(D125)+20)&gt;YEAR(E125),1,(12-MONTH(E125)+1)/12))) + (Q125)*(IF((YEAR(D125)+20)&lt;YEAR(E125),0,IF((YEAR(D125)+20)&gt;YEAR(E125),1,(12-MONTH(E125)+1)/12))))-((P125)*(IF((YEAR(D125)+20)&lt;YEAR(E125),0,IF((YEAR(D125)+20)&gt;YEAR(E125),1,(12-MONTH(E125)+1)/12))) + (R125)*(IF((YEAR(D125)+20)&lt;YEAR(E125),0,IF((YEAR(D125)+20)&gt;YEAR(E125),1,(12-MONTH(E125)+1)/12))))-(IF((((K125)*(IF(M125="",L125,IFERROR(IF(INDEX(Variablen!$I:$AT, MATCH(M125, Variablen!$A:$A, 0), MATCH((YEAR(D125)+20), Variablen!$I$3:$AT$3, 0))="",L125,INDEX(Variablen!$I:$AT, MATCH(M125, Variablen!$A:$A, 0), MATCH((YEAR(D125)+20), Variablen!$I$3:$AT$3, 0))),L125)))*(IF((YEAR(D125)+20)&lt;YEAR(E125),0,IF((YEAR(D125)+20)&gt;YEAR(E125),1,(12-MONTH(E125)+1)/12))) + (Q125)*(IF((YEAR(D125)+20)&lt;YEAR(E125),0,IF((YEAR(D125)+20)&gt;YEAR(E125),1,(12-MONTH(E125)+1)/12))))-((P125)*(IF((YEAR(D125)+20)&lt;YEAR(E125),0,IF((YEAR(D125)+20)&gt;YEAR(E125),1,(12-MONTH(E125)+1)/12))) + (R125)*(IF((YEAR(D125)+20)&lt;YEAR(E125),0,IF((YEAR(D125)+20)&gt;YEAR(E125),1,(12-MONTH(E125)+1)/12))))-(IF(OR(N125="",N125&lt;=0),0,(O125/N125)*(IF(OR(N125="",N125&lt;=0),0,IF((YEAR(D125)+20)&lt;YEAR(E125),0,IF((YEAR(D125)+20)&gt;=YEAR(E125)+N125,0,IF((YEAR(D125)+20)=YEAR(E125),(12-MONTH(E125)+1)/12,1))))))))&gt;0,(((K125)*(IF(M125="",L125,IFERROR(IF(INDEX(Variablen!$I:$AT, MATCH(M125, Variablen!$A:$A, 0), MATCH((YEAR(D125)+20), Variablen!$I$3:$AT$3, 0))="",L125,INDEX(Variablen!$I:$AT, MATCH(M125, Variablen!$A:$A, 0), MATCH((YEAR(D125)+20), Variablen!$I$3:$AT$3, 0))),L125)))*(IF((YEAR(D125)+20)&lt;YEAR(E125),0,IF((YEAR(D125)+20)&gt;YEAR(E125),1,(12-MONTH(E125)+1)/12))) + (Q125)*(IF((YEAR(D125)+20)&lt;YEAR(E125),0,IF((YEAR(D125)+20)&gt;YEAR(E125),1,(12-MONTH(E125)+1)/12))))-((P125)*(IF((YEAR(D125)+20)&lt;YEAR(E125),0,IF((YEAR(D125)+20)&gt;YEAR(E125),1,(12-MONTH(E125)+1)/12))) + (R125)*(IF((YEAR(D125)+20)&lt;YEAR(E125),0,IF((YEAR(D125)+20)&gt;YEAR(E125),1,(12-MONTH(E125)+1)/12))))-(IF(OR(N125="",N125&lt;=0),0,(O125/N125)*(IF(OR(N125="",N125&lt;=0),0,IF((YEAR(D125)+20)&lt;YEAR(E125),0,IF((YEAR(D125)+20)&gt;=YEAR(E125)+N125,0,IF((YEAR(D125)+20)=YEAR(E125),(12-MONTH(E125)+1)/12,1))))))))*TaxRate,0))-IF(20=0,O125,0))</f>
        <v/>
      </c>
      <c r="AN125" s="29">
        <f>IF(A125="","",S125)</f>
        <v/>
      </c>
      <c r="AO125" s="29">
        <f>IF(A125="","",AN125+T125)</f>
        <v/>
      </c>
      <c r="AP125" s="29">
        <f>IF(A125="","",AO125+U125)</f>
        <v/>
      </c>
      <c r="AQ125" s="29">
        <f>IF(A125="","",AP125+V125)</f>
        <v/>
      </c>
      <c r="AR125" s="29">
        <f>IF(A125="","",AQ125+W125)</f>
        <v/>
      </c>
      <c r="AS125" s="29">
        <f>IF(A125="","",AR125+X125)</f>
        <v/>
      </c>
      <c r="AT125" s="29">
        <f>IF(A125="","",AS125+Y125)</f>
        <v/>
      </c>
      <c r="AU125" s="29">
        <f>IF(A125="","",AT125+Z125)</f>
        <v/>
      </c>
      <c r="AV125" s="29">
        <f>IF(A125="","",AU125+AA125)</f>
        <v/>
      </c>
      <c r="AW125" s="29">
        <f>IF(A125="","",AV125+AB125)</f>
        <v/>
      </c>
      <c r="AX125" s="29">
        <f>IF(A125="","",AW125+AC125)</f>
        <v/>
      </c>
      <c r="AY125" s="29">
        <f>IF(A125="","",AX125+AD125)</f>
        <v/>
      </c>
      <c r="AZ125" s="29">
        <f>IF(A125="","",AY125+AE125)</f>
        <v/>
      </c>
      <c r="BA125" s="29">
        <f>IF(A125="","",AZ125+AF125)</f>
        <v/>
      </c>
      <c r="BB125" s="29">
        <f>IF(A125="","",BA125+AG125)</f>
        <v/>
      </c>
      <c r="BC125" s="29">
        <f>IF(A125="","",BB125+AH125)</f>
        <v/>
      </c>
      <c r="BD125" s="29">
        <f>IF(A125="","",BC125+AI125)</f>
        <v/>
      </c>
      <c r="BE125" s="29">
        <f>IF(A125="","",BD125+AJ125)</f>
        <v/>
      </c>
      <c r="BF125" s="29">
        <f>IF(A125="","",BE125+AK125)</f>
        <v/>
      </c>
      <c r="BG125" s="29">
        <f>IF(A125="","",BF125+AL125)</f>
        <v/>
      </c>
      <c r="BH125" s="29">
        <f>IF(A125="","",BG125+AM125)</f>
        <v/>
      </c>
      <c r="BI125" s="36">
        <f>IF(A125="","",(K125)*(IF((YEAR(D125)+0)&lt;YEAR(E125),0,IF((YEAR(D125)+0)&gt;YEAR(E125),1,(12-MONTH(E125)+1)/12)))*(1/(1+DiscountRate)^0))</f>
        <v/>
      </c>
      <c r="BJ125" s="36">
        <f>IF(A125="","",(K125)*(IF((YEAR(D125)+1)&lt;YEAR(E125),0,IF((YEAR(D125)+1)&gt;YEAR(E125),1,(12-MONTH(E125)+1)/12)))*(1/(1+DiscountRate)^1))</f>
        <v/>
      </c>
      <c r="BK125" s="36">
        <f>IF(A125="","",(K125)*(IF((YEAR(D125)+2)&lt;YEAR(E125),0,IF((YEAR(D125)+2)&gt;YEAR(E125),1,(12-MONTH(E125)+1)/12)))*(1/(1+DiscountRate)^2))</f>
        <v/>
      </c>
      <c r="BL125" s="36">
        <f>IF(A125="","",(K125)*(IF((YEAR(D125)+3)&lt;YEAR(E125),0,IF((YEAR(D125)+3)&gt;YEAR(E125),1,(12-MONTH(E125)+1)/12)))*(1/(1+DiscountRate)^3))</f>
        <v/>
      </c>
      <c r="BM125" s="36">
        <f>IF(A125="","",(K125)*(IF((YEAR(D125)+4)&lt;YEAR(E125),0,IF((YEAR(D125)+4)&gt;YEAR(E125),1,(12-MONTH(E125)+1)/12)))*(1/(1+DiscountRate)^4))</f>
        <v/>
      </c>
      <c r="BN125" s="36">
        <f>IF(A125="","",(K125)*(IF((YEAR(D125)+5)&lt;YEAR(E125),0,IF((YEAR(D125)+5)&gt;YEAR(E125),1,(12-MONTH(E125)+1)/12)))*(1/(1+DiscountRate)^5))</f>
        <v/>
      </c>
      <c r="BO125" s="36">
        <f>IF(A125="","",(K125)*(IF((YEAR(D125)+6)&lt;YEAR(E125),0,IF((YEAR(D125)+6)&gt;YEAR(E125),1,(12-MONTH(E125)+1)/12)))*(1/(1+DiscountRate)^6))</f>
        <v/>
      </c>
      <c r="BP125" s="36">
        <f>IF(A125="","",(K125)*(IF((YEAR(D125)+7)&lt;YEAR(E125),0,IF((YEAR(D125)+7)&gt;YEAR(E125),1,(12-MONTH(E125)+1)/12)))*(1/(1+DiscountRate)^7))</f>
        <v/>
      </c>
      <c r="BQ125" s="36">
        <f>IF(A125="","",(K125)*(IF((YEAR(D125)+8)&lt;YEAR(E125),0,IF((YEAR(D125)+8)&gt;YEAR(E125),1,(12-MONTH(E125)+1)/12)))*(1/(1+DiscountRate)^8))</f>
        <v/>
      </c>
      <c r="BR125" s="36">
        <f>IF(A125="","",(K125)*(IF((YEAR(D125)+9)&lt;YEAR(E125),0,IF((YEAR(D125)+9)&gt;YEAR(E125),1,(12-MONTH(E125)+1)/12)))*(1/(1+DiscountRate)^9))</f>
        <v/>
      </c>
      <c r="BS125" s="36">
        <f>IF(A125="","",(K125)*(IF((YEAR(D125)+10)&lt;YEAR(E125),0,IF((YEAR(D125)+10)&gt;YEAR(E125),1,(12-MONTH(E125)+1)/12)))*(1/(1+DiscountRate)^10))</f>
        <v/>
      </c>
      <c r="BT125" s="36">
        <f>IF(A125="","",(K125)*(IF((YEAR(D125)+11)&lt;YEAR(E125),0,IF((YEAR(D125)+11)&gt;YEAR(E125),1,(12-MONTH(E125)+1)/12)))*(1/(1+DiscountRate)^11))</f>
        <v/>
      </c>
      <c r="BU125" s="36">
        <f>IF(A125="","",(K125)*(IF((YEAR(D125)+12)&lt;YEAR(E125),0,IF((YEAR(D125)+12)&gt;YEAR(E125),1,(12-MONTH(E125)+1)/12)))*(1/(1+DiscountRate)^12))</f>
        <v/>
      </c>
      <c r="BV125" s="36">
        <f>IF(A125="","",(K125)*(IF((YEAR(D125)+13)&lt;YEAR(E125),0,IF((YEAR(D125)+13)&gt;YEAR(E125),1,(12-MONTH(E125)+1)/12)))*(1/(1+DiscountRate)^13))</f>
        <v/>
      </c>
      <c r="BW125" s="36">
        <f>IF(A125="","",(K125)*(IF((YEAR(D125)+14)&lt;YEAR(E125),0,IF((YEAR(D125)+14)&gt;YEAR(E125),1,(12-MONTH(E125)+1)/12)))*(1/(1+DiscountRate)^14))</f>
        <v/>
      </c>
      <c r="BX125" s="36">
        <f>IF(A125="","",(K125)*(IF((YEAR(D125)+15)&lt;YEAR(E125),0,IF((YEAR(D125)+15)&gt;YEAR(E125),1,(12-MONTH(E125)+1)/12)))*(1/(1+DiscountRate)^15))</f>
        <v/>
      </c>
      <c r="BY125" s="36">
        <f>IF(A125="","",(K125)*(IF((YEAR(D125)+16)&lt;YEAR(E125),0,IF((YEAR(D125)+16)&gt;YEAR(E125),1,(12-MONTH(E125)+1)/12)))*(1/(1+DiscountRate)^16))</f>
        <v/>
      </c>
      <c r="BZ125" s="36">
        <f>IF(A125="","",(K125)*(IF((YEAR(D125)+17)&lt;YEAR(E125),0,IF((YEAR(D125)+17)&gt;YEAR(E125),1,(12-MONTH(E125)+1)/12)))*(1/(1+DiscountRate)^17))</f>
        <v/>
      </c>
      <c r="CA125" s="36">
        <f>IF(A125="","",(K125)*(IF((YEAR(D125)+18)&lt;YEAR(E125),0,IF((YEAR(D125)+18)&gt;YEAR(E125),1,(12-MONTH(E125)+1)/12)))*(1/(1+DiscountRate)^18))</f>
        <v/>
      </c>
      <c r="CB125" s="36">
        <f>IF(A125="","",(K125)*(IF((YEAR(D125)+19)&lt;YEAR(E125),0,IF((YEAR(D125)+19)&gt;YEAR(E125),1,(12-MONTH(E125)+1)/12)))*(1/(1+DiscountRate)^19))</f>
        <v/>
      </c>
      <c r="CC125" s="36">
        <f>IF(A125="","",(K125)*(IF((YEAR(D125)+20)&lt;YEAR(E125),0,IF((YEAR(D125)+20)&gt;YEAR(E125),1,(12-MONTH(E125)+1)/12)))*(1/(1+DiscountRate)^20))</f>
        <v/>
      </c>
      <c r="CD125" s="29">
        <f>IF(A125="","",S125/(1+DiscountRate)^0+T125/(1+DiscountRate)^1+U125/(1+DiscountRate)^2+V125/(1+DiscountRate)^3+W125/(1+DiscountRate)^4+X125/(1+DiscountRate)^5+Y125/(1+DiscountRate)^6+Z125/(1+DiscountRate)^7+AA125/(1+DiscountRate)^8+AB125/(1+DiscountRate)^9+AC125/(1+DiscountRate)^10+AD125/(1+DiscountRate)^11+AE125/(1+DiscountRate)^12+AF125/(1+DiscountRate)^13+AG125/(1+DiscountRate)^14+AH125/(1+DiscountRate)^15+AI125/(1+DiscountRate)^16+AJ125/(1+DiscountRate)^17+AK125/(1+DiscountRate)^18+AL125/(1+DiscountRate)^19+AM125/(1+DiscountRate)^20)</f>
        <v/>
      </c>
      <c r="CE125" s="37">
        <f>IF(A125="","",IFERROR(IRR(OFFSET(S125,0,0,1,MIN(HorizonYears,20)+1)),"n/a"))</f>
        <v/>
      </c>
      <c r="CF125" s="28">
        <f>IF(A125="","",IFERROR(MATCH(TRUE,OFFSET(AN125,0,0,1,MIN(HorizonYears,20)+1)&gt;=0,0)-1,"n/a"))</f>
        <v/>
      </c>
      <c r="CG125" s="36">
        <f>IF(A125="","",SUM(OFFSET(BI125,0,0,1,MIN(HorizonYears,20)+1)))</f>
        <v/>
      </c>
      <c r="CH125" s="36">
        <f>IF(A125="","",IFERROR(-CD125/CG125,"n/a"))</f>
        <v/>
      </c>
    </row>
    <row r="126">
      <c r="A126" s="6">
        <f>Actions!A124</f>
        <v/>
      </c>
      <c r="B126" s="6">
        <f>Actions!B124</f>
        <v/>
      </c>
      <c r="C126" s="6">
        <f>Actions!D124</f>
        <v/>
      </c>
      <c r="D126" s="35">
        <f>Actions!E124</f>
        <v/>
      </c>
      <c r="E126" s="35">
        <f>Actions!F124</f>
        <v/>
      </c>
      <c r="F126" s="6">
        <f>Actions!G124</f>
        <v/>
      </c>
      <c r="G126" s="6">
        <f>Actions!H124</f>
        <v/>
      </c>
      <c r="H126" s="29">
        <f>Actions!I124</f>
        <v/>
      </c>
      <c r="I126" s="6">
        <f>Actions!J124</f>
        <v/>
      </c>
      <c r="J126" s="16">
        <f>Actions!K124</f>
        <v/>
      </c>
      <c r="K126" s="16">
        <f>IF(A126="","",IF(I126="%",H126*J126,J126))</f>
        <v/>
      </c>
      <c r="L126" s="16">
        <f>Actions!L124</f>
        <v/>
      </c>
      <c r="M126" s="6">
        <f>Actions!M124</f>
        <v/>
      </c>
      <c r="N126" s="28">
        <f>Actions!N124</f>
        <v/>
      </c>
      <c r="O126" s="29">
        <f>Actions!T124</f>
        <v/>
      </c>
      <c r="P126" s="29">
        <f>Actions!Y124</f>
        <v/>
      </c>
      <c r="Q126" s="29">
        <f>Actions!Z124</f>
        <v/>
      </c>
      <c r="R126" s="29">
        <f>Actions!AA124</f>
        <v/>
      </c>
      <c r="S126" s="29">
        <f>IF(A126="","",((K126)*(IF(M126="",L126,IFERROR(IF(INDEX(Variablen!$I:$AT, MATCH(M126, Variablen!$A:$A, 0), MATCH((YEAR(D126)+0), Variablen!$I$3:$AT$3, 0))="",L126,INDEX(Variablen!$I:$AT, MATCH(M126, Variablen!$A:$A, 0), MATCH((YEAR(D126)+0), Variablen!$I$3:$AT$3, 0))),L126)))*(IF((YEAR(D126)+0)&lt;YEAR(E126),0,IF((YEAR(D126)+0)&gt;YEAR(E126),1,(12-MONTH(E126)+1)/12))) + (Q126)*(IF((YEAR(D126)+0)&lt;YEAR(E126),0,IF((YEAR(D126)+0)&gt;YEAR(E126),1,(12-MONTH(E126)+1)/12))))-((P126)*(IF((YEAR(D126)+0)&lt;YEAR(E126),0,IF((YEAR(D126)+0)&gt;YEAR(E126),1,(12-MONTH(E126)+1)/12))) + (R126)*(IF((YEAR(D126)+0)&lt;YEAR(E126),0,IF((YEAR(D126)+0)&gt;YEAR(E126),1,(12-MONTH(E126)+1)/12))))-(IF((((K126)*(IF(M126="",L126,IFERROR(IF(INDEX(Variablen!$I:$AT, MATCH(M126, Variablen!$A:$A, 0), MATCH((YEAR(D126)+0), Variablen!$I$3:$AT$3, 0))="",L126,INDEX(Variablen!$I:$AT, MATCH(M126, Variablen!$A:$A, 0), MATCH((YEAR(D126)+0), Variablen!$I$3:$AT$3, 0))),L126)))*(IF((YEAR(D126)+0)&lt;YEAR(E126),0,IF((YEAR(D126)+0)&gt;YEAR(E126),1,(12-MONTH(E126)+1)/12))) + (Q126)*(IF((YEAR(D126)+0)&lt;YEAR(E126),0,IF((YEAR(D126)+0)&gt;YEAR(E126),1,(12-MONTH(E126)+1)/12))))-((P126)*(IF((YEAR(D126)+0)&lt;YEAR(E126),0,IF((YEAR(D126)+0)&gt;YEAR(E126),1,(12-MONTH(E126)+1)/12))) + (R126)*(IF((YEAR(D126)+0)&lt;YEAR(E126),0,IF((YEAR(D126)+0)&gt;YEAR(E126),1,(12-MONTH(E126)+1)/12))))-(IF(OR(N126="",N126&lt;=0),0,(O126/N126)*(IF(OR(N126="",N126&lt;=0),0,IF((YEAR(D126)+0)&lt;YEAR(E126),0,IF((YEAR(D126)+0)&gt;=YEAR(E126)+N126,0,IF((YEAR(D126)+0)=YEAR(E126),(12-MONTH(E126)+1)/12,1))))))))&gt;0,(((K126)*(IF(M126="",L126,IFERROR(IF(INDEX(Variablen!$I:$AT, MATCH(M126, Variablen!$A:$A, 0), MATCH((YEAR(D126)+0), Variablen!$I$3:$AT$3, 0))="",L126,INDEX(Variablen!$I:$AT, MATCH(M126, Variablen!$A:$A, 0), MATCH((YEAR(D126)+0), Variablen!$I$3:$AT$3, 0))),L126)))*(IF((YEAR(D126)+0)&lt;YEAR(E126),0,IF((YEAR(D126)+0)&gt;YEAR(E126),1,(12-MONTH(E126)+1)/12))) + (Q126)*(IF((YEAR(D126)+0)&lt;YEAR(E126),0,IF((YEAR(D126)+0)&gt;YEAR(E126),1,(12-MONTH(E126)+1)/12))))-((P126)*(IF((YEAR(D126)+0)&lt;YEAR(E126),0,IF((YEAR(D126)+0)&gt;YEAR(E126),1,(12-MONTH(E126)+1)/12))) + (R126)*(IF((YEAR(D126)+0)&lt;YEAR(E126),0,IF((YEAR(D126)+0)&gt;YEAR(E126),1,(12-MONTH(E126)+1)/12))))-(IF(OR(N126="",N126&lt;=0),0,(O126/N126)*(IF(OR(N126="",N126&lt;=0),0,IF((YEAR(D126)+0)&lt;YEAR(E126),0,IF((YEAR(D126)+0)&gt;=YEAR(E126)+N126,0,IF((YEAR(D126)+0)=YEAR(E126),(12-MONTH(E126)+1)/12,1))))))))*TaxRate,0))-IF(0=0,O126,0))</f>
        <v/>
      </c>
      <c r="T126" s="29">
        <f>IF(A126="","",((K126)*(IF(M126="",L126,IFERROR(IF(INDEX(Variablen!$I:$AT, MATCH(M126, Variablen!$A:$A, 0), MATCH((YEAR(D126)+1), Variablen!$I$3:$AT$3, 0))="",L126,INDEX(Variablen!$I:$AT, MATCH(M126, Variablen!$A:$A, 0), MATCH((YEAR(D126)+1), Variablen!$I$3:$AT$3, 0))),L126)))*(IF((YEAR(D126)+1)&lt;YEAR(E126),0,IF((YEAR(D126)+1)&gt;YEAR(E126),1,(12-MONTH(E126)+1)/12))) + (Q126)*(IF((YEAR(D126)+1)&lt;YEAR(E126),0,IF((YEAR(D126)+1)&gt;YEAR(E126),1,(12-MONTH(E126)+1)/12))))-((P126)*(IF((YEAR(D126)+1)&lt;YEAR(E126),0,IF((YEAR(D126)+1)&gt;YEAR(E126),1,(12-MONTH(E126)+1)/12))) + (R126)*(IF((YEAR(D126)+1)&lt;YEAR(E126),0,IF((YEAR(D126)+1)&gt;YEAR(E126),1,(12-MONTH(E126)+1)/12))))-(IF((((K126)*(IF(M126="",L126,IFERROR(IF(INDEX(Variablen!$I:$AT, MATCH(M126, Variablen!$A:$A, 0), MATCH((YEAR(D126)+1), Variablen!$I$3:$AT$3, 0))="",L126,INDEX(Variablen!$I:$AT, MATCH(M126, Variablen!$A:$A, 0), MATCH((YEAR(D126)+1), Variablen!$I$3:$AT$3, 0))),L126)))*(IF((YEAR(D126)+1)&lt;YEAR(E126),0,IF((YEAR(D126)+1)&gt;YEAR(E126),1,(12-MONTH(E126)+1)/12))) + (Q126)*(IF((YEAR(D126)+1)&lt;YEAR(E126),0,IF((YEAR(D126)+1)&gt;YEAR(E126),1,(12-MONTH(E126)+1)/12))))-((P126)*(IF((YEAR(D126)+1)&lt;YEAR(E126),0,IF((YEAR(D126)+1)&gt;YEAR(E126),1,(12-MONTH(E126)+1)/12))) + (R126)*(IF((YEAR(D126)+1)&lt;YEAR(E126),0,IF((YEAR(D126)+1)&gt;YEAR(E126),1,(12-MONTH(E126)+1)/12))))-(IF(OR(N126="",N126&lt;=0),0,(O126/N126)*(IF(OR(N126="",N126&lt;=0),0,IF((YEAR(D126)+1)&lt;YEAR(E126),0,IF((YEAR(D126)+1)&gt;=YEAR(E126)+N126,0,IF((YEAR(D126)+1)=YEAR(E126),(12-MONTH(E126)+1)/12,1))))))))&gt;0,(((K126)*(IF(M126="",L126,IFERROR(IF(INDEX(Variablen!$I:$AT, MATCH(M126, Variablen!$A:$A, 0), MATCH((YEAR(D126)+1), Variablen!$I$3:$AT$3, 0))="",L126,INDEX(Variablen!$I:$AT, MATCH(M126, Variablen!$A:$A, 0), MATCH((YEAR(D126)+1), Variablen!$I$3:$AT$3, 0))),L126)))*(IF((YEAR(D126)+1)&lt;YEAR(E126),0,IF((YEAR(D126)+1)&gt;YEAR(E126),1,(12-MONTH(E126)+1)/12))) + (Q126)*(IF((YEAR(D126)+1)&lt;YEAR(E126),0,IF((YEAR(D126)+1)&gt;YEAR(E126),1,(12-MONTH(E126)+1)/12))))-((P126)*(IF((YEAR(D126)+1)&lt;YEAR(E126),0,IF((YEAR(D126)+1)&gt;YEAR(E126),1,(12-MONTH(E126)+1)/12))) + (R126)*(IF((YEAR(D126)+1)&lt;YEAR(E126),0,IF((YEAR(D126)+1)&gt;YEAR(E126),1,(12-MONTH(E126)+1)/12))))-(IF(OR(N126="",N126&lt;=0),0,(O126/N126)*(IF(OR(N126="",N126&lt;=0),0,IF((YEAR(D126)+1)&lt;YEAR(E126),0,IF((YEAR(D126)+1)&gt;=YEAR(E126)+N126,0,IF((YEAR(D126)+1)=YEAR(E126),(12-MONTH(E126)+1)/12,1))))))))*TaxRate,0))-IF(1=0,O126,0))</f>
        <v/>
      </c>
      <c r="U126" s="29">
        <f>IF(A126="","",((K126)*(IF(M126="",L126,IFERROR(IF(INDEX(Variablen!$I:$AT, MATCH(M126, Variablen!$A:$A, 0), MATCH((YEAR(D126)+2), Variablen!$I$3:$AT$3, 0))="",L126,INDEX(Variablen!$I:$AT, MATCH(M126, Variablen!$A:$A, 0), MATCH((YEAR(D126)+2), Variablen!$I$3:$AT$3, 0))),L126)))*(IF((YEAR(D126)+2)&lt;YEAR(E126),0,IF((YEAR(D126)+2)&gt;YEAR(E126),1,(12-MONTH(E126)+1)/12))) + (Q126)*(IF((YEAR(D126)+2)&lt;YEAR(E126),0,IF((YEAR(D126)+2)&gt;YEAR(E126),1,(12-MONTH(E126)+1)/12))))-((P126)*(IF((YEAR(D126)+2)&lt;YEAR(E126),0,IF((YEAR(D126)+2)&gt;YEAR(E126),1,(12-MONTH(E126)+1)/12))) + (R126)*(IF((YEAR(D126)+2)&lt;YEAR(E126),0,IF((YEAR(D126)+2)&gt;YEAR(E126),1,(12-MONTH(E126)+1)/12))))-(IF((((K126)*(IF(M126="",L126,IFERROR(IF(INDEX(Variablen!$I:$AT, MATCH(M126, Variablen!$A:$A, 0), MATCH((YEAR(D126)+2), Variablen!$I$3:$AT$3, 0))="",L126,INDEX(Variablen!$I:$AT, MATCH(M126, Variablen!$A:$A, 0), MATCH((YEAR(D126)+2), Variablen!$I$3:$AT$3, 0))),L126)))*(IF((YEAR(D126)+2)&lt;YEAR(E126),0,IF((YEAR(D126)+2)&gt;YEAR(E126),1,(12-MONTH(E126)+1)/12))) + (Q126)*(IF((YEAR(D126)+2)&lt;YEAR(E126),0,IF((YEAR(D126)+2)&gt;YEAR(E126),1,(12-MONTH(E126)+1)/12))))-((P126)*(IF((YEAR(D126)+2)&lt;YEAR(E126),0,IF((YEAR(D126)+2)&gt;YEAR(E126),1,(12-MONTH(E126)+1)/12))) + (R126)*(IF((YEAR(D126)+2)&lt;YEAR(E126),0,IF((YEAR(D126)+2)&gt;YEAR(E126),1,(12-MONTH(E126)+1)/12))))-(IF(OR(N126="",N126&lt;=0),0,(O126/N126)*(IF(OR(N126="",N126&lt;=0),0,IF((YEAR(D126)+2)&lt;YEAR(E126),0,IF((YEAR(D126)+2)&gt;=YEAR(E126)+N126,0,IF((YEAR(D126)+2)=YEAR(E126),(12-MONTH(E126)+1)/12,1))))))))&gt;0,(((K126)*(IF(M126="",L126,IFERROR(IF(INDEX(Variablen!$I:$AT, MATCH(M126, Variablen!$A:$A, 0), MATCH((YEAR(D126)+2), Variablen!$I$3:$AT$3, 0))="",L126,INDEX(Variablen!$I:$AT, MATCH(M126, Variablen!$A:$A, 0), MATCH((YEAR(D126)+2), Variablen!$I$3:$AT$3, 0))),L126)))*(IF((YEAR(D126)+2)&lt;YEAR(E126),0,IF((YEAR(D126)+2)&gt;YEAR(E126),1,(12-MONTH(E126)+1)/12))) + (Q126)*(IF((YEAR(D126)+2)&lt;YEAR(E126),0,IF((YEAR(D126)+2)&gt;YEAR(E126),1,(12-MONTH(E126)+1)/12))))-((P126)*(IF((YEAR(D126)+2)&lt;YEAR(E126),0,IF((YEAR(D126)+2)&gt;YEAR(E126),1,(12-MONTH(E126)+1)/12))) + (R126)*(IF((YEAR(D126)+2)&lt;YEAR(E126),0,IF((YEAR(D126)+2)&gt;YEAR(E126),1,(12-MONTH(E126)+1)/12))))-(IF(OR(N126="",N126&lt;=0),0,(O126/N126)*(IF(OR(N126="",N126&lt;=0),0,IF((YEAR(D126)+2)&lt;YEAR(E126),0,IF((YEAR(D126)+2)&gt;=YEAR(E126)+N126,0,IF((YEAR(D126)+2)=YEAR(E126),(12-MONTH(E126)+1)/12,1))))))))*TaxRate,0))-IF(2=0,O126,0))</f>
        <v/>
      </c>
      <c r="V126" s="29">
        <f>IF(A126="","",((K126)*(IF(M126="",L126,IFERROR(IF(INDEX(Variablen!$I:$AT, MATCH(M126, Variablen!$A:$A, 0), MATCH((YEAR(D126)+3), Variablen!$I$3:$AT$3, 0))="",L126,INDEX(Variablen!$I:$AT, MATCH(M126, Variablen!$A:$A, 0), MATCH((YEAR(D126)+3), Variablen!$I$3:$AT$3, 0))),L126)))*(IF((YEAR(D126)+3)&lt;YEAR(E126),0,IF((YEAR(D126)+3)&gt;YEAR(E126),1,(12-MONTH(E126)+1)/12))) + (Q126)*(IF((YEAR(D126)+3)&lt;YEAR(E126),0,IF((YEAR(D126)+3)&gt;YEAR(E126),1,(12-MONTH(E126)+1)/12))))-((P126)*(IF((YEAR(D126)+3)&lt;YEAR(E126),0,IF((YEAR(D126)+3)&gt;YEAR(E126),1,(12-MONTH(E126)+1)/12))) + (R126)*(IF((YEAR(D126)+3)&lt;YEAR(E126),0,IF((YEAR(D126)+3)&gt;YEAR(E126),1,(12-MONTH(E126)+1)/12))))-(IF((((K126)*(IF(M126="",L126,IFERROR(IF(INDEX(Variablen!$I:$AT, MATCH(M126, Variablen!$A:$A, 0), MATCH((YEAR(D126)+3), Variablen!$I$3:$AT$3, 0))="",L126,INDEX(Variablen!$I:$AT, MATCH(M126, Variablen!$A:$A, 0), MATCH((YEAR(D126)+3), Variablen!$I$3:$AT$3, 0))),L126)))*(IF((YEAR(D126)+3)&lt;YEAR(E126),0,IF((YEAR(D126)+3)&gt;YEAR(E126),1,(12-MONTH(E126)+1)/12))) + (Q126)*(IF((YEAR(D126)+3)&lt;YEAR(E126),0,IF((YEAR(D126)+3)&gt;YEAR(E126),1,(12-MONTH(E126)+1)/12))))-((P126)*(IF((YEAR(D126)+3)&lt;YEAR(E126),0,IF((YEAR(D126)+3)&gt;YEAR(E126),1,(12-MONTH(E126)+1)/12))) + (R126)*(IF((YEAR(D126)+3)&lt;YEAR(E126),0,IF((YEAR(D126)+3)&gt;YEAR(E126),1,(12-MONTH(E126)+1)/12))))-(IF(OR(N126="",N126&lt;=0),0,(O126/N126)*(IF(OR(N126="",N126&lt;=0),0,IF((YEAR(D126)+3)&lt;YEAR(E126),0,IF((YEAR(D126)+3)&gt;=YEAR(E126)+N126,0,IF((YEAR(D126)+3)=YEAR(E126),(12-MONTH(E126)+1)/12,1))))))))&gt;0,(((K126)*(IF(M126="",L126,IFERROR(IF(INDEX(Variablen!$I:$AT, MATCH(M126, Variablen!$A:$A, 0), MATCH((YEAR(D126)+3), Variablen!$I$3:$AT$3, 0))="",L126,INDEX(Variablen!$I:$AT, MATCH(M126, Variablen!$A:$A, 0), MATCH((YEAR(D126)+3), Variablen!$I$3:$AT$3, 0))),L126)))*(IF((YEAR(D126)+3)&lt;YEAR(E126),0,IF((YEAR(D126)+3)&gt;YEAR(E126),1,(12-MONTH(E126)+1)/12))) + (Q126)*(IF((YEAR(D126)+3)&lt;YEAR(E126),0,IF((YEAR(D126)+3)&gt;YEAR(E126),1,(12-MONTH(E126)+1)/12))))-((P126)*(IF((YEAR(D126)+3)&lt;YEAR(E126),0,IF((YEAR(D126)+3)&gt;YEAR(E126),1,(12-MONTH(E126)+1)/12))) + (R126)*(IF((YEAR(D126)+3)&lt;YEAR(E126),0,IF((YEAR(D126)+3)&gt;YEAR(E126),1,(12-MONTH(E126)+1)/12))))-(IF(OR(N126="",N126&lt;=0),0,(O126/N126)*(IF(OR(N126="",N126&lt;=0),0,IF((YEAR(D126)+3)&lt;YEAR(E126),0,IF((YEAR(D126)+3)&gt;=YEAR(E126)+N126,0,IF((YEAR(D126)+3)=YEAR(E126),(12-MONTH(E126)+1)/12,1))))))))*TaxRate,0))-IF(3=0,O126,0))</f>
        <v/>
      </c>
      <c r="W126" s="29">
        <f>IF(A126="","",((K126)*(IF(M126="",L126,IFERROR(IF(INDEX(Variablen!$I:$AT, MATCH(M126, Variablen!$A:$A, 0), MATCH((YEAR(D126)+4), Variablen!$I$3:$AT$3, 0))="",L126,INDEX(Variablen!$I:$AT, MATCH(M126, Variablen!$A:$A, 0), MATCH((YEAR(D126)+4), Variablen!$I$3:$AT$3, 0))),L126)))*(IF((YEAR(D126)+4)&lt;YEAR(E126),0,IF((YEAR(D126)+4)&gt;YEAR(E126),1,(12-MONTH(E126)+1)/12))) + (Q126)*(IF((YEAR(D126)+4)&lt;YEAR(E126),0,IF((YEAR(D126)+4)&gt;YEAR(E126),1,(12-MONTH(E126)+1)/12))))-((P126)*(IF((YEAR(D126)+4)&lt;YEAR(E126),0,IF((YEAR(D126)+4)&gt;YEAR(E126),1,(12-MONTH(E126)+1)/12))) + (R126)*(IF((YEAR(D126)+4)&lt;YEAR(E126),0,IF((YEAR(D126)+4)&gt;YEAR(E126),1,(12-MONTH(E126)+1)/12))))-(IF((((K126)*(IF(M126="",L126,IFERROR(IF(INDEX(Variablen!$I:$AT, MATCH(M126, Variablen!$A:$A, 0), MATCH((YEAR(D126)+4), Variablen!$I$3:$AT$3, 0))="",L126,INDEX(Variablen!$I:$AT, MATCH(M126, Variablen!$A:$A, 0), MATCH((YEAR(D126)+4), Variablen!$I$3:$AT$3, 0))),L126)))*(IF((YEAR(D126)+4)&lt;YEAR(E126),0,IF((YEAR(D126)+4)&gt;YEAR(E126),1,(12-MONTH(E126)+1)/12))) + (Q126)*(IF((YEAR(D126)+4)&lt;YEAR(E126),0,IF((YEAR(D126)+4)&gt;YEAR(E126),1,(12-MONTH(E126)+1)/12))))-((P126)*(IF((YEAR(D126)+4)&lt;YEAR(E126),0,IF((YEAR(D126)+4)&gt;YEAR(E126),1,(12-MONTH(E126)+1)/12))) + (R126)*(IF((YEAR(D126)+4)&lt;YEAR(E126),0,IF((YEAR(D126)+4)&gt;YEAR(E126),1,(12-MONTH(E126)+1)/12))))-(IF(OR(N126="",N126&lt;=0),0,(O126/N126)*(IF(OR(N126="",N126&lt;=0),0,IF((YEAR(D126)+4)&lt;YEAR(E126),0,IF((YEAR(D126)+4)&gt;=YEAR(E126)+N126,0,IF((YEAR(D126)+4)=YEAR(E126),(12-MONTH(E126)+1)/12,1))))))))&gt;0,(((K126)*(IF(M126="",L126,IFERROR(IF(INDEX(Variablen!$I:$AT, MATCH(M126, Variablen!$A:$A, 0), MATCH((YEAR(D126)+4), Variablen!$I$3:$AT$3, 0))="",L126,INDEX(Variablen!$I:$AT, MATCH(M126, Variablen!$A:$A, 0), MATCH((YEAR(D126)+4), Variablen!$I$3:$AT$3, 0))),L126)))*(IF((YEAR(D126)+4)&lt;YEAR(E126),0,IF((YEAR(D126)+4)&gt;YEAR(E126),1,(12-MONTH(E126)+1)/12))) + (Q126)*(IF((YEAR(D126)+4)&lt;YEAR(E126),0,IF((YEAR(D126)+4)&gt;YEAR(E126),1,(12-MONTH(E126)+1)/12))))-((P126)*(IF((YEAR(D126)+4)&lt;YEAR(E126),0,IF((YEAR(D126)+4)&gt;YEAR(E126),1,(12-MONTH(E126)+1)/12))) + (R126)*(IF((YEAR(D126)+4)&lt;YEAR(E126),0,IF((YEAR(D126)+4)&gt;YEAR(E126),1,(12-MONTH(E126)+1)/12))))-(IF(OR(N126="",N126&lt;=0),0,(O126/N126)*(IF(OR(N126="",N126&lt;=0),0,IF((YEAR(D126)+4)&lt;YEAR(E126),0,IF((YEAR(D126)+4)&gt;=YEAR(E126)+N126,0,IF((YEAR(D126)+4)=YEAR(E126),(12-MONTH(E126)+1)/12,1))))))))*TaxRate,0))-IF(4=0,O126,0))</f>
        <v/>
      </c>
      <c r="X126" s="29">
        <f>IF(A126="","",((K126)*(IF(M126="",L126,IFERROR(IF(INDEX(Variablen!$I:$AT, MATCH(M126, Variablen!$A:$A, 0), MATCH((YEAR(D126)+5), Variablen!$I$3:$AT$3, 0))="",L126,INDEX(Variablen!$I:$AT, MATCH(M126, Variablen!$A:$A, 0), MATCH((YEAR(D126)+5), Variablen!$I$3:$AT$3, 0))),L126)))*(IF((YEAR(D126)+5)&lt;YEAR(E126),0,IF((YEAR(D126)+5)&gt;YEAR(E126),1,(12-MONTH(E126)+1)/12))) + (Q126)*(IF((YEAR(D126)+5)&lt;YEAR(E126),0,IF((YEAR(D126)+5)&gt;YEAR(E126),1,(12-MONTH(E126)+1)/12))))-((P126)*(IF((YEAR(D126)+5)&lt;YEAR(E126),0,IF((YEAR(D126)+5)&gt;YEAR(E126),1,(12-MONTH(E126)+1)/12))) + (R126)*(IF((YEAR(D126)+5)&lt;YEAR(E126),0,IF((YEAR(D126)+5)&gt;YEAR(E126),1,(12-MONTH(E126)+1)/12))))-(IF((((K126)*(IF(M126="",L126,IFERROR(IF(INDEX(Variablen!$I:$AT, MATCH(M126, Variablen!$A:$A, 0), MATCH((YEAR(D126)+5), Variablen!$I$3:$AT$3, 0))="",L126,INDEX(Variablen!$I:$AT, MATCH(M126, Variablen!$A:$A, 0), MATCH((YEAR(D126)+5), Variablen!$I$3:$AT$3, 0))),L126)))*(IF((YEAR(D126)+5)&lt;YEAR(E126),0,IF((YEAR(D126)+5)&gt;YEAR(E126),1,(12-MONTH(E126)+1)/12))) + (Q126)*(IF((YEAR(D126)+5)&lt;YEAR(E126),0,IF((YEAR(D126)+5)&gt;YEAR(E126),1,(12-MONTH(E126)+1)/12))))-((P126)*(IF((YEAR(D126)+5)&lt;YEAR(E126),0,IF((YEAR(D126)+5)&gt;YEAR(E126),1,(12-MONTH(E126)+1)/12))) + (R126)*(IF((YEAR(D126)+5)&lt;YEAR(E126),0,IF((YEAR(D126)+5)&gt;YEAR(E126),1,(12-MONTH(E126)+1)/12))))-(IF(OR(N126="",N126&lt;=0),0,(O126/N126)*(IF(OR(N126="",N126&lt;=0),0,IF((YEAR(D126)+5)&lt;YEAR(E126),0,IF((YEAR(D126)+5)&gt;=YEAR(E126)+N126,0,IF((YEAR(D126)+5)=YEAR(E126),(12-MONTH(E126)+1)/12,1))))))))&gt;0,(((K126)*(IF(M126="",L126,IFERROR(IF(INDEX(Variablen!$I:$AT, MATCH(M126, Variablen!$A:$A, 0), MATCH((YEAR(D126)+5), Variablen!$I$3:$AT$3, 0))="",L126,INDEX(Variablen!$I:$AT, MATCH(M126, Variablen!$A:$A, 0), MATCH((YEAR(D126)+5), Variablen!$I$3:$AT$3, 0))),L126)))*(IF((YEAR(D126)+5)&lt;YEAR(E126),0,IF((YEAR(D126)+5)&gt;YEAR(E126),1,(12-MONTH(E126)+1)/12))) + (Q126)*(IF((YEAR(D126)+5)&lt;YEAR(E126),0,IF((YEAR(D126)+5)&gt;YEAR(E126),1,(12-MONTH(E126)+1)/12))))-((P126)*(IF((YEAR(D126)+5)&lt;YEAR(E126),0,IF((YEAR(D126)+5)&gt;YEAR(E126),1,(12-MONTH(E126)+1)/12))) + (R126)*(IF((YEAR(D126)+5)&lt;YEAR(E126),0,IF((YEAR(D126)+5)&gt;YEAR(E126),1,(12-MONTH(E126)+1)/12))))-(IF(OR(N126="",N126&lt;=0),0,(O126/N126)*(IF(OR(N126="",N126&lt;=0),0,IF((YEAR(D126)+5)&lt;YEAR(E126),0,IF((YEAR(D126)+5)&gt;=YEAR(E126)+N126,0,IF((YEAR(D126)+5)=YEAR(E126),(12-MONTH(E126)+1)/12,1))))))))*TaxRate,0))-IF(5=0,O126,0))</f>
        <v/>
      </c>
      <c r="Y126" s="29">
        <f>IF(A126="","",((K126)*(IF(M126="",L126,IFERROR(IF(INDEX(Variablen!$I:$AT, MATCH(M126, Variablen!$A:$A, 0), MATCH((YEAR(D126)+6), Variablen!$I$3:$AT$3, 0))="",L126,INDEX(Variablen!$I:$AT, MATCH(M126, Variablen!$A:$A, 0), MATCH((YEAR(D126)+6), Variablen!$I$3:$AT$3, 0))),L126)))*(IF((YEAR(D126)+6)&lt;YEAR(E126),0,IF((YEAR(D126)+6)&gt;YEAR(E126),1,(12-MONTH(E126)+1)/12))) + (Q126)*(IF((YEAR(D126)+6)&lt;YEAR(E126),0,IF((YEAR(D126)+6)&gt;YEAR(E126),1,(12-MONTH(E126)+1)/12))))-((P126)*(IF((YEAR(D126)+6)&lt;YEAR(E126),0,IF((YEAR(D126)+6)&gt;YEAR(E126),1,(12-MONTH(E126)+1)/12))) + (R126)*(IF((YEAR(D126)+6)&lt;YEAR(E126),0,IF((YEAR(D126)+6)&gt;YEAR(E126),1,(12-MONTH(E126)+1)/12))))-(IF((((K126)*(IF(M126="",L126,IFERROR(IF(INDEX(Variablen!$I:$AT, MATCH(M126, Variablen!$A:$A, 0), MATCH((YEAR(D126)+6), Variablen!$I$3:$AT$3, 0))="",L126,INDEX(Variablen!$I:$AT, MATCH(M126, Variablen!$A:$A, 0), MATCH((YEAR(D126)+6), Variablen!$I$3:$AT$3, 0))),L126)))*(IF((YEAR(D126)+6)&lt;YEAR(E126),0,IF((YEAR(D126)+6)&gt;YEAR(E126),1,(12-MONTH(E126)+1)/12))) + (Q126)*(IF((YEAR(D126)+6)&lt;YEAR(E126),0,IF((YEAR(D126)+6)&gt;YEAR(E126),1,(12-MONTH(E126)+1)/12))))-((P126)*(IF((YEAR(D126)+6)&lt;YEAR(E126),0,IF((YEAR(D126)+6)&gt;YEAR(E126),1,(12-MONTH(E126)+1)/12))) + (R126)*(IF((YEAR(D126)+6)&lt;YEAR(E126),0,IF((YEAR(D126)+6)&gt;YEAR(E126),1,(12-MONTH(E126)+1)/12))))-(IF(OR(N126="",N126&lt;=0),0,(O126/N126)*(IF(OR(N126="",N126&lt;=0),0,IF((YEAR(D126)+6)&lt;YEAR(E126),0,IF((YEAR(D126)+6)&gt;=YEAR(E126)+N126,0,IF((YEAR(D126)+6)=YEAR(E126),(12-MONTH(E126)+1)/12,1))))))))&gt;0,(((K126)*(IF(M126="",L126,IFERROR(IF(INDEX(Variablen!$I:$AT, MATCH(M126, Variablen!$A:$A, 0), MATCH((YEAR(D126)+6), Variablen!$I$3:$AT$3, 0))="",L126,INDEX(Variablen!$I:$AT, MATCH(M126, Variablen!$A:$A, 0), MATCH((YEAR(D126)+6), Variablen!$I$3:$AT$3, 0))),L126)))*(IF((YEAR(D126)+6)&lt;YEAR(E126),0,IF((YEAR(D126)+6)&gt;YEAR(E126),1,(12-MONTH(E126)+1)/12))) + (Q126)*(IF((YEAR(D126)+6)&lt;YEAR(E126),0,IF((YEAR(D126)+6)&gt;YEAR(E126),1,(12-MONTH(E126)+1)/12))))-((P126)*(IF((YEAR(D126)+6)&lt;YEAR(E126),0,IF((YEAR(D126)+6)&gt;YEAR(E126),1,(12-MONTH(E126)+1)/12))) + (R126)*(IF((YEAR(D126)+6)&lt;YEAR(E126),0,IF((YEAR(D126)+6)&gt;YEAR(E126),1,(12-MONTH(E126)+1)/12))))-(IF(OR(N126="",N126&lt;=0),0,(O126/N126)*(IF(OR(N126="",N126&lt;=0),0,IF((YEAR(D126)+6)&lt;YEAR(E126),0,IF((YEAR(D126)+6)&gt;=YEAR(E126)+N126,0,IF((YEAR(D126)+6)=YEAR(E126),(12-MONTH(E126)+1)/12,1))))))))*TaxRate,0))-IF(6=0,O126,0))</f>
        <v/>
      </c>
      <c r="Z126" s="29">
        <f>IF(A126="","",((K126)*(IF(M126="",L126,IFERROR(IF(INDEX(Variablen!$I:$AT, MATCH(M126, Variablen!$A:$A, 0), MATCH((YEAR(D126)+7), Variablen!$I$3:$AT$3, 0))="",L126,INDEX(Variablen!$I:$AT, MATCH(M126, Variablen!$A:$A, 0), MATCH((YEAR(D126)+7), Variablen!$I$3:$AT$3, 0))),L126)))*(IF((YEAR(D126)+7)&lt;YEAR(E126),0,IF((YEAR(D126)+7)&gt;YEAR(E126),1,(12-MONTH(E126)+1)/12))) + (Q126)*(IF((YEAR(D126)+7)&lt;YEAR(E126),0,IF((YEAR(D126)+7)&gt;YEAR(E126),1,(12-MONTH(E126)+1)/12))))-((P126)*(IF((YEAR(D126)+7)&lt;YEAR(E126),0,IF((YEAR(D126)+7)&gt;YEAR(E126),1,(12-MONTH(E126)+1)/12))) + (R126)*(IF((YEAR(D126)+7)&lt;YEAR(E126),0,IF((YEAR(D126)+7)&gt;YEAR(E126),1,(12-MONTH(E126)+1)/12))))-(IF((((K126)*(IF(M126="",L126,IFERROR(IF(INDEX(Variablen!$I:$AT, MATCH(M126, Variablen!$A:$A, 0), MATCH((YEAR(D126)+7), Variablen!$I$3:$AT$3, 0))="",L126,INDEX(Variablen!$I:$AT, MATCH(M126, Variablen!$A:$A, 0), MATCH((YEAR(D126)+7), Variablen!$I$3:$AT$3, 0))),L126)))*(IF((YEAR(D126)+7)&lt;YEAR(E126),0,IF((YEAR(D126)+7)&gt;YEAR(E126),1,(12-MONTH(E126)+1)/12))) + (Q126)*(IF((YEAR(D126)+7)&lt;YEAR(E126),0,IF((YEAR(D126)+7)&gt;YEAR(E126),1,(12-MONTH(E126)+1)/12))))-((P126)*(IF((YEAR(D126)+7)&lt;YEAR(E126),0,IF((YEAR(D126)+7)&gt;YEAR(E126),1,(12-MONTH(E126)+1)/12))) + (R126)*(IF((YEAR(D126)+7)&lt;YEAR(E126),0,IF((YEAR(D126)+7)&gt;YEAR(E126),1,(12-MONTH(E126)+1)/12))))-(IF(OR(N126="",N126&lt;=0),0,(O126/N126)*(IF(OR(N126="",N126&lt;=0),0,IF((YEAR(D126)+7)&lt;YEAR(E126),0,IF((YEAR(D126)+7)&gt;=YEAR(E126)+N126,0,IF((YEAR(D126)+7)=YEAR(E126),(12-MONTH(E126)+1)/12,1))))))))&gt;0,(((K126)*(IF(M126="",L126,IFERROR(IF(INDEX(Variablen!$I:$AT, MATCH(M126, Variablen!$A:$A, 0), MATCH((YEAR(D126)+7), Variablen!$I$3:$AT$3, 0))="",L126,INDEX(Variablen!$I:$AT, MATCH(M126, Variablen!$A:$A, 0), MATCH((YEAR(D126)+7), Variablen!$I$3:$AT$3, 0))),L126)))*(IF((YEAR(D126)+7)&lt;YEAR(E126),0,IF((YEAR(D126)+7)&gt;YEAR(E126),1,(12-MONTH(E126)+1)/12))) + (Q126)*(IF((YEAR(D126)+7)&lt;YEAR(E126),0,IF((YEAR(D126)+7)&gt;YEAR(E126),1,(12-MONTH(E126)+1)/12))))-((P126)*(IF((YEAR(D126)+7)&lt;YEAR(E126),0,IF((YEAR(D126)+7)&gt;YEAR(E126),1,(12-MONTH(E126)+1)/12))) + (R126)*(IF((YEAR(D126)+7)&lt;YEAR(E126),0,IF((YEAR(D126)+7)&gt;YEAR(E126),1,(12-MONTH(E126)+1)/12))))-(IF(OR(N126="",N126&lt;=0),0,(O126/N126)*(IF(OR(N126="",N126&lt;=0),0,IF((YEAR(D126)+7)&lt;YEAR(E126),0,IF((YEAR(D126)+7)&gt;=YEAR(E126)+N126,0,IF((YEAR(D126)+7)=YEAR(E126),(12-MONTH(E126)+1)/12,1))))))))*TaxRate,0))-IF(7=0,O126,0))</f>
        <v/>
      </c>
      <c r="AA126" s="29">
        <f>IF(A126="","",((K126)*(IF(M126="",L126,IFERROR(IF(INDEX(Variablen!$I:$AT, MATCH(M126, Variablen!$A:$A, 0), MATCH((YEAR(D126)+8), Variablen!$I$3:$AT$3, 0))="",L126,INDEX(Variablen!$I:$AT, MATCH(M126, Variablen!$A:$A, 0), MATCH((YEAR(D126)+8), Variablen!$I$3:$AT$3, 0))),L126)))*(IF((YEAR(D126)+8)&lt;YEAR(E126),0,IF((YEAR(D126)+8)&gt;YEAR(E126),1,(12-MONTH(E126)+1)/12))) + (Q126)*(IF((YEAR(D126)+8)&lt;YEAR(E126),0,IF((YEAR(D126)+8)&gt;YEAR(E126),1,(12-MONTH(E126)+1)/12))))-((P126)*(IF((YEAR(D126)+8)&lt;YEAR(E126),0,IF((YEAR(D126)+8)&gt;YEAR(E126),1,(12-MONTH(E126)+1)/12))) + (R126)*(IF((YEAR(D126)+8)&lt;YEAR(E126),0,IF((YEAR(D126)+8)&gt;YEAR(E126),1,(12-MONTH(E126)+1)/12))))-(IF((((K126)*(IF(M126="",L126,IFERROR(IF(INDEX(Variablen!$I:$AT, MATCH(M126, Variablen!$A:$A, 0), MATCH((YEAR(D126)+8), Variablen!$I$3:$AT$3, 0))="",L126,INDEX(Variablen!$I:$AT, MATCH(M126, Variablen!$A:$A, 0), MATCH((YEAR(D126)+8), Variablen!$I$3:$AT$3, 0))),L126)))*(IF((YEAR(D126)+8)&lt;YEAR(E126),0,IF((YEAR(D126)+8)&gt;YEAR(E126),1,(12-MONTH(E126)+1)/12))) + (Q126)*(IF((YEAR(D126)+8)&lt;YEAR(E126),0,IF((YEAR(D126)+8)&gt;YEAR(E126),1,(12-MONTH(E126)+1)/12))))-((P126)*(IF((YEAR(D126)+8)&lt;YEAR(E126),0,IF((YEAR(D126)+8)&gt;YEAR(E126),1,(12-MONTH(E126)+1)/12))) + (R126)*(IF((YEAR(D126)+8)&lt;YEAR(E126),0,IF((YEAR(D126)+8)&gt;YEAR(E126),1,(12-MONTH(E126)+1)/12))))-(IF(OR(N126="",N126&lt;=0),0,(O126/N126)*(IF(OR(N126="",N126&lt;=0),0,IF((YEAR(D126)+8)&lt;YEAR(E126),0,IF((YEAR(D126)+8)&gt;=YEAR(E126)+N126,0,IF((YEAR(D126)+8)=YEAR(E126),(12-MONTH(E126)+1)/12,1))))))))&gt;0,(((K126)*(IF(M126="",L126,IFERROR(IF(INDEX(Variablen!$I:$AT, MATCH(M126, Variablen!$A:$A, 0), MATCH((YEAR(D126)+8), Variablen!$I$3:$AT$3, 0))="",L126,INDEX(Variablen!$I:$AT, MATCH(M126, Variablen!$A:$A, 0), MATCH((YEAR(D126)+8), Variablen!$I$3:$AT$3, 0))),L126)))*(IF((YEAR(D126)+8)&lt;YEAR(E126),0,IF((YEAR(D126)+8)&gt;YEAR(E126),1,(12-MONTH(E126)+1)/12))) + (Q126)*(IF((YEAR(D126)+8)&lt;YEAR(E126),0,IF((YEAR(D126)+8)&gt;YEAR(E126),1,(12-MONTH(E126)+1)/12))))-((P126)*(IF((YEAR(D126)+8)&lt;YEAR(E126),0,IF((YEAR(D126)+8)&gt;YEAR(E126),1,(12-MONTH(E126)+1)/12))) + (R126)*(IF((YEAR(D126)+8)&lt;YEAR(E126),0,IF((YEAR(D126)+8)&gt;YEAR(E126),1,(12-MONTH(E126)+1)/12))))-(IF(OR(N126="",N126&lt;=0),0,(O126/N126)*(IF(OR(N126="",N126&lt;=0),0,IF((YEAR(D126)+8)&lt;YEAR(E126),0,IF((YEAR(D126)+8)&gt;=YEAR(E126)+N126,0,IF((YEAR(D126)+8)=YEAR(E126),(12-MONTH(E126)+1)/12,1))))))))*TaxRate,0))-IF(8=0,O126,0))</f>
        <v/>
      </c>
      <c r="AB126" s="29">
        <f>IF(A126="","",((K126)*(IF(M126="",L126,IFERROR(IF(INDEX(Variablen!$I:$AT, MATCH(M126, Variablen!$A:$A, 0), MATCH((YEAR(D126)+9), Variablen!$I$3:$AT$3, 0))="",L126,INDEX(Variablen!$I:$AT, MATCH(M126, Variablen!$A:$A, 0), MATCH((YEAR(D126)+9), Variablen!$I$3:$AT$3, 0))),L126)))*(IF((YEAR(D126)+9)&lt;YEAR(E126),0,IF((YEAR(D126)+9)&gt;YEAR(E126),1,(12-MONTH(E126)+1)/12))) + (Q126)*(IF((YEAR(D126)+9)&lt;YEAR(E126),0,IF((YEAR(D126)+9)&gt;YEAR(E126),1,(12-MONTH(E126)+1)/12))))-((P126)*(IF((YEAR(D126)+9)&lt;YEAR(E126),0,IF((YEAR(D126)+9)&gt;YEAR(E126),1,(12-MONTH(E126)+1)/12))) + (R126)*(IF((YEAR(D126)+9)&lt;YEAR(E126),0,IF((YEAR(D126)+9)&gt;YEAR(E126),1,(12-MONTH(E126)+1)/12))))-(IF((((K126)*(IF(M126="",L126,IFERROR(IF(INDEX(Variablen!$I:$AT, MATCH(M126, Variablen!$A:$A, 0), MATCH((YEAR(D126)+9), Variablen!$I$3:$AT$3, 0))="",L126,INDEX(Variablen!$I:$AT, MATCH(M126, Variablen!$A:$A, 0), MATCH((YEAR(D126)+9), Variablen!$I$3:$AT$3, 0))),L126)))*(IF((YEAR(D126)+9)&lt;YEAR(E126),0,IF((YEAR(D126)+9)&gt;YEAR(E126),1,(12-MONTH(E126)+1)/12))) + (Q126)*(IF((YEAR(D126)+9)&lt;YEAR(E126),0,IF((YEAR(D126)+9)&gt;YEAR(E126),1,(12-MONTH(E126)+1)/12))))-((P126)*(IF((YEAR(D126)+9)&lt;YEAR(E126),0,IF((YEAR(D126)+9)&gt;YEAR(E126),1,(12-MONTH(E126)+1)/12))) + (R126)*(IF((YEAR(D126)+9)&lt;YEAR(E126),0,IF((YEAR(D126)+9)&gt;YEAR(E126),1,(12-MONTH(E126)+1)/12))))-(IF(OR(N126="",N126&lt;=0),0,(O126/N126)*(IF(OR(N126="",N126&lt;=0),0,IF((YEAR(D126)+9)&lt;YEAR(E126),0,IF((YEAR(D126)+9)&gt;=YEAR(E126)+N126,0,IF((YEAR(D126)+9)=YEAR(E126),(12-MONTH(E126)+1)/12,1))))))))&gt;0,(((K126)*(IF(M126="",L126,IFERROR(IF(INDEX(Variablen!$I:$AT, MATCH(M126, Variablen!$A:$A, 0), MATCH((YEAR(D126)+9), Variablen!$I$3:$AT$3, 0))="",L126,INDEX(Variablen!$I:$AT, MATCH(M126, Variablen!$A:$A, 0), MATCH((YEAR(D126)+9), Variablen!$I$3:$AT$3, 0))),L126)))*(IF((YEAR(D126)+9)&lt;YEAR(E126),0,IF((YEAR(D126)+9)&gt;YEAR(E126),1,(12-MONTH(E126)+1)/12))) + (Q126)*(IF((YEAR(D126)+9)&lt;YEAR(E126),0,IF((YEAR(D126)+9)&gt;YEAR(E126),1,(12-MONTH(E126)+1)/12))))-((P126)*(IF((YEAR(D126)+9)&lt;YEAR(E126),0,IF((YEAR(D126)+9)&gt;YEAR(E126),1,(12-MONTH(E126)+1)/12))) + (R126)*(IF((YEAR(D126)+9)&lt;YEAR(E126),0,IF((YEAR(D126)+9)&gt;YEAR(E126),1,(12-MONTH(E126)+1)/12))))-(IF(OR(N126="",N126&lt;=0),0,(O126/N126)*(IF(OR(N126="",N126&lt;=0),0,IF((YEAR(D126)+9)&lt;YEAR(E126),0,IF((YEAR(D126)+9)&gt;=YEAR(E126)+N126,0,IF((YEAR(D126)+9)=YEAR(E126),(12-MONTH(E126)+1)/12,1))))))))*TaxRate,0))-IF(9=0,O126,0))</f>
        <v/>
      </c>
      <c r="AC126" s="29">
        <f>IF(A126="","",((K126)*(IF(M126="",L126,IFERROR(IF(INDEX(Variablen!$I:$AT, MATCH(M126, Variablen!$A:$A, 0), MATCH((YEAR(D126)+10), Variablen!$I$3:$AT$3, 0))="",L126,INDEX(Variablen!$I:$AT, MATCH(M126, Variablen!$A:$A, 0), MATCH((YEAR(D126)+10), Variablen!$I$3:$AT$3, 0))),L126)))*(IF((YEAR(D126)+10)&lt;YEAR(E126),0,IF((YEAR(D126)+10)&gt;YEAR(E126),1,(12-MONTH(E126)+1)/12))) + (Q126)*(IF((YEAR(D126)+10)&lt;YEAR(E126),0,IF((YEAR(D126)+10)&gt;YEAR(E126),1,(12-MONTH(E126)+1)/12))))-((P126)*(IF((YEAR(D126)+10)&lt;YEAR(E126),0,IF((YEAR(D126)+10)&gt;YEAR(E126),1,(12-MONTH(E126)+1)/12))) + (R126)*(IF((YEAR(D126)+10)&lt;YEAR(E126),0,IF((YEAR(D126)+10)&gt;YEAR(E126),1,(12-MONTH(E126)+1)/12))))-(IF((((K126)*(IF(M126="",L126,IFERROR(IF(INDEX(Variablen!$I:$AT, MATCH(M126, Variablen!$A:$A, 0), MATCH((YEAR(D126)+10), Variablen!$I$3:$AT$3, 0))="",L126,INDEX(Variablen!$I:$AT, MATCH(M126, Variablen!$A:$A, 0), MATCH((YEAR(D126)+10), Variablen!$I$3:$AT$3, 0))),L126)))*(IF((YEAR(D126)+10)&lt;YEAR(E126),0,IF((YEAR(D126)+10)&gt;YEAR(E126),1,(12-MONTH(E126)+1)/12))) + (Q126)*(IF((YEAR(D126)+10)&lt;YEAR(E126),0,IF((YEAR(D126)+10)&gt;YEAR(E126),1,(12-MONTH(E126)+1)/12))))-((P126)*(IF((YEAR(D126)+10)&lt;YEAR(E126),0,IF((YEAR(D126)+10)&gt;YEAR(E126),1,(12-MONTH(E126)+1)/12))) + (R126)*(IF((YEAR(D126)+10)&lt;YEAR(E126),0,IF((YEAR(D126)+10)&gt;YEAR(E126),1,(12-MONTH(E126)+1)/12))))-(IF(OR(N126="",N126&lt;=0),0,(O126/N126)*(IF(OR(N126="",N126&lt;=0),0,IF((YEAR(D126)+10)&lt;YEAR(E126),0,IF((YEAR(D126)+10)&gt;=YEAR(E126)+N126,0,IF((YEAR(D126)+10)=YEAR(E126),(12-MONTH(E126)+1)/12,1))))))))&gt;0,(((K126)*(IF(M126="",L126,IFERROR(IF(INDEX(Variablen!$I:$AT, MATCH(M126, Variablen!$A:$A, 0), MATCH((YEAR(D126)+10), Variablen!$I$3:$AT$3, 0))="",L126,INDEX(Variablen!$I:$AT, MATCH(M126, Variablen!$A:$A, 0), MATCH((YEAR(D126)+10), Variablen!$I$3:$AT$3, 0))),L126)))*(IF((YEAR(D126)+10)&lt;YEAR(E126),0,IF((YEAR(D126)+10)&gt;YEAR(E126),1,(12-MONTH(E126)+1)/12))) + (Q126)*(IF((YEAR(D126)+10)&lt;YEAR(E126),0,IF((YEAR(D126)+10)&gt;YEAR(E126),1,(12-MONTH(E126)+1)/12))))-((P126)*(IF((YEAR(D126)+10)&lt;YEAR(E126),0,IF((YEAR(D126)+10)&gt;YEAR(E126),1,(12-MONTH(E126)+1)/12))) + (R126)*(IF((YEAR(D126)+10)&lt;YEAR(E126),0,IF((YEAR(D126)+10)&gt;YEAR(E126),1,(12-MONTH(E126)+1)/12))))-(IF(OR(N126="",N126&lt;=0),0,(O126/N126)*(IF(OR(N126="",N126&lt;=0),0,IF((YEAR(D126)+10)&lt;YEAR(E126),0,IF((YEAR(D126)+10)&gt;=YEAR(E126)+N126,0,IF((YEAR(D126)+10)=YEAR(E126),(12-MONTH(E126)+1)/12,1))))))))*TaxRate,0))-IF(10=0,O126,0))</f>
        <v/>
      </c>
      <c r="AD126" s="29">
        <f>IF(A126="","",((K126)*(IF(M126="",L126,IFERROR(IF(INDEX(Variablen!$I:$AT, MATCH(M126, Variablen!$A:$A, 0), MATCH((YEAR(D126)+11), Variablen!$I$3:$AT$3, 0))="",L126,INDEX(Variablen!$I:$AT, MATCH(M126, Variablen!$A:$A, 0), MATCH((YEAR(D126)+11), Variablen!$I$3:$AT$3, 0))),L126)))*(IF((YEAR(D126)+11)&lt;YEAR(E126),0,IF((YEAR(D126)+11)&gt;YEAR(E126),1,(12-MONTH(E126)+1)/12))) + (Q126)*(IF((YEAR(D126)+11)&lt;YEAR(E126),0,IF((YEAR(D126)+11)&gt;YEAR(E126),1,(12-MONTH(E126)+1)/12))))-((P126)*(IF((YEAR(D126)+11)&lt;YEAR(E126),0,IF((YEAR(D126)+11)&gt;YEAR(E126),1,(12-MONTH(E126)+1)/12))) + (R126)*(IF((YEAR(D126)+11)&lt;YEAR(E126),0,IF((YEAR(D126)+11)&gt;YEAR(E126),1,(12-MONTH(E126)+1)/12))))-(IF((((K126)*(IF(M126="",L126,IFERROR(IF(INDEX(Variablen!$I:$AT, MATCH(M126, Variablen!$A:$A, 0), MATCH((YEAR(D126)+11), Variablen!$I$3:$AT$3, 0))="",L126,INDEX(Variablen!$I:$AT, MATCH(M126, Variablen!$A:$A, 0), MATCH((YEAR(D126)+11), Variablen!$I$3:$AT$3, 0))),L126)))*(IF((YEAR(D126)+11)&lt;YEAR(E126),0,IF((YEAR(D126)+11)&gt;YEAR(E126),1,(12-MONTH(E126)+1)/12))) + (Q126)*(IF((YEAR(D126)+11)&lt;YEAR(E126),0,IF((YEAR(D126)+11)&gt;YEAR(E126),1,(12-MONTH(E126)+1)/12))))-((P126)*(IF((YEAR(D126)+11)&lt;YEAR(E126),0,IF((YEAR(D126)+11)&gt;YEAR(E126),1,(12-MONTH(E126)+1)/12))) + (R126)*(IF((YEAR(D126)+11)&lt;YEAR(E126),0,IF((YEAR(D126)+11)&gt;YEAR(E126),1,(12-MONTH(E126)+1)/12))))-(IF(OR(N126="",N126&lt;=0),0,(O126/N126)*(IF(OR(N126="",N126&lt;=0),0,IF((YEAR(D126)+11)&lt;YEAR(E126),0,IF((YEAR(D126)+11)&gt;=YEAR(E126)+N126,0,IF((YEAR(D126)+11)=YEAR(E126),(12-MONTH(E126)+1)/12,1))))))))&gt;0,(((K126)*(IF(M126="",L126,IFERROR(IF(INDEX(Variablen!$I:$AT, MATCH(M126, Variablen!$A:$A, 0), MATCH((YEAR(D126)+11), Variablen!$I$3:$AT$3, 0))="",L126,INDEX(Variablen!$I:$AT, MATCH(M126, Variablen!$A:$A, 0), MATCH((YEAR(D126)+11), Variablen!$I$3:$AT$3, 0))),L126)))*(IF((YEAR(D126)+11)&lt;YEAR(E126),0,IF((YEAR(D126)+11)&gt;YEAR(E126),1,(12-MONTH(E126)+1)/12))) + (Q126)*(IF((YEAR(D126)+11)&lt;YEAR(E126),0,IF((YEAR(D126)+11)&gt;YEAR(E126),1,(12-MONTH(E126)+1)/12))))-((P126)*(IF((YEAR(D126)+11)&lt;YEAR(E126),0,IF((YEAR(D126)+11)&gt;YEAR(E126),1,(12-MONTH(E126)+1)/12))) + (R126)*(IF((YEAR(D126)+11)&lt;YEAR(E126),0,IF((YEAR(D126)+11)&gt;YEAR(E126),1,(12-MONTH(E126)+1)/12))))-(IF(OR(N126="",N126&lt;=0),0,(O126/N126)*(IF(OR(N126="",N126&lt;=0),0,IF((YEAR(D126)+11)&lt;YEAR(E126),0,IF((YEAR(D126)+11)&gt;=YEAR(E126)+N126,0,IF((YEAR(D126)+11)=YEAR(E126),(12-MONTH(E126)+1)/12,1))))))))*TaxRate,0))-IF(11=0,O126,0))</f>
        <v/>
      </c>
      <c r="AE126" s="29">
        <f>IF(A126="","",((K126)*(IF(M126="",L126,IFERROR(IF(INDEX(Variablen!$I:$AT, MATCH(M126, Variablen!$A:$A, 0), MATCH((YEAR(D126)+12), Variablen!$I$3:$AT$3, 0))="",L126,INDEX(Variablen!$I:$AT, MATCH(M126, Variablen!$A:$A, 0), MATCH((YEAR(D126)+12), Variablen!$I$3:$AT$3, 0))),L126)))*(IF((YEAR(D126)+12)&lt;YEAR(E126),0,IF((YEAR(D126)+12)&gt;YEAR(E126),1,(12-MONTH(E126)+1)/12))) + (Q126)*(IF((YEAR(D126)+12)&lt;YEAR(E126),0,IF((YEAR(D126)+12)&gt;YEAR(E126),1,(12-MONTH(E126)+1)/12))))-((P126)*(IF((YEAR(D126)+12)&lt;YEAR(E126),0,IF((YEAR(D126)+12)&gt;YEAR(E126),1,(12-MONTH(E126)+1)/12))) + (R126)*(IF((YEAR(D126)+12)&lt;YEAR(E126),0,IF((YEAR(D126)+12)&gt;YEAR(E126),1,(12-MONTH(E126)+1)/12))))-(IF((((K126)*(IF(M126="",L126,IFERROR(IF(INDEX(Variablen!$I:$AT, MATCH(M126, Variablen!$A:$A, 0), MATCH((YEAR(D126)+12), Variablen!$I$3:$AT$3, 0))="",L126,INDEX(Variablen!$I:$AT, MATCH(M126, Variablen!$A:$A, 0), MATCH((YEAR(D126)+12), Variablen!$I$3:$AT$3, 0))),L126)))*(IF((YEAR(D126)+12)&lt;YEAR(E126),0,IF((YEAR(D126)+12)&gt;YEAR(E126),1,(12-MONTH(E126)+1)/12))) + (Q126)*(IF((YEAR(D126)+12)&lt;YEAR(E126),0,IF((YEAR(D126)+12)&gt;YEAR(E126),1,(12-MONTH(E126)+1)/12))))-((P126)*(IF((YEAR(D126)+12)&lt;YEAR(E126),0,IF((YEAR(D126)+12)&gt;YEAR(E126),1,(12-MONTH(E126)+1)/12))) + (R126)*(IF((YEAR(D126)+12)&lt;YEAR(E126),0,IF((YEAR(D126)+12)&gt;YEAR(E126),1,(12-MONTH(E126)+1)/12))))-(IF(OR(N126="",N126&lt;=0),0,(O126/N126)*(IF(OR(N126="",N126&lt;=0),0,IF((YEAR(D126)+12)&lt;YEAR(E126),0,IF((YEAR(D126)+12)&gt;=YEAR(E126)+N126,0,IF((YEAR(D126)+12)=YEAR(E126),(12-MONTH(E126)+1)/12,1))))))))&gt;0,(((K126)*(IF(M126="",L126,IFERROR(IF(INDEX(Variablen!$I:$AT, MATCH(M126, Variablen!$A:$A, 0), MATCH((YEAR(D126)+12), Variablen!$I$3:$AT$3, 0))="",L126,INDEX(Variablen!$I:$AT, MATCH(M126, Variablen!$A:$A, 0), MATCH((YEAR(D126)+12), Variablen!$I$3:$AT$3, 0))),L126)))*(IF((YEAR(D126)+12)&lt;YEAR(E126),0,IF((YEAR(D126)+12)&gt;YEAR(E126),1,(12-MONTH(E126)+1)/12))) + (Q126)*(IF((YEAR(D126)+12)&lt;YEAR(E126),0,IF((YEAR(D126)+12)&gt;YEAR(E126),1,(12-MONTH(E126)+1)/12))))-((P126)*(IF((YEAR(D126)+12)&lt;YEAR(E126),0,IF((YEAR(D126)+12)&gt;YEAR(E126),1,(12-MONTH(E126)+1)/12))) + (R126)*(IF((YEAR(D126)+12)&lt;YEAR(E126),0,IF((YEAR(D126)+12)&gt;YEAR(E126),1,(12-MONTH(E126)+1)/12))))-(IF(OR(N126="",N126&lt;=0),0,(O126/N126)*(IF(OR(N126="",N126&lt;=0),0,IF((YEAR(D126)+12)&lt;YEAR(E126),0,IF((YEAR(D126)+12)&gt;=YEAR(E126)+N126,0,IF((YEAR(D126)+12)=YEAR(E126),(12-MONTH(E126)+1)/12,1))))))))*TaxRate,0))-IF(12=0,O126,0))</f>
        <v/>
      </c>
      <c r="AF126" s="29">
        <f>IF(A126="","",((K126)*(IF(M126="",L126,IFERROR(IF(INDEX(Variablen!$I:$AT, MATCH(M126, Variablen!$A:$A, 0), MATCH((YEAR(D126)+13), Variablen!$I$3:$AT$3, 0))="",L126,INDEX(Variablen!$I:$AT, MATCH(M126, Variablen!$A:$A, 0), MATCH((YEAR(D126)+13), Variablen!$I$3:$AT$3, 0))),L126)))*(IF((YEAR(D126)+13)&lt;YEAR(E126),0,IF((YEAR(D126)+13)&gt;YEAR(E126),1,(12-MONTH(E126)+1)/12))) + (Q126)*(IF((YEAR(D126)+13)&lt;YEAR(E126),0,IF((YEAR(D126)+13)&gt;YEAR(E126),1,(12-MONTH(E126)+1)/12))))-((P126)*(IF((YEAR(D126)+13)&lt;YEAR(E126),0,IF((YEAR(D126)+13)&gt;YEAR(E126),1,(12-MONTH(E126)+1)/12))) + (R126)*(IF((YEAR(D126)+13)&lt;YEAR(E126),0,IF((YEAR(D126)+13)&gt;YEAR(E126),1,(12-MONTH(E126)+1)/12))))-(IF((((K126)*(IF(M126="",L126,IFERROR(IF(INDEX(Variablen!$I:$AT, MATCH(M126, Variablen!$A:$A, 0), MATCH((YEAR(D126)+13), Variablen!$I$3:$AT$3, 0))="",L126,INDEX(Variablen!$I:$AT, MATCH(M126, Variablen!$A:$A, 0), MATCH((YEAR(D126)+13), Variablen!$I$3:$AT$3, 0))),L126)))*(IF((YEAR(D126)+13)&lt;YEAR(E126),0,IF((YEAR(D126)+13)&gt;YEAR(E126),1,(12-MONTH(E126)+1)/12))) + (Q126)*(IF((YEAR(D126)+13)&lt;YEAR(E126),0,IF((YEAR(D126)+13)&gt;YEAR(E126),1,(12-MONTH(E126)+1)/12))))-((P126)*(IF((YEAR(D126)+13)&lt;YEAR(E126),0,IF((YEAR(D126)+13)&gt;YEAR(E126),1,(12-MONTH(E126)+1)/12))) + (R126)*(IF((YEAR(D126)+13)&lt;YEAR(E126),0,IF((YEAR(D126)+13)&gt;YEAR(E126),1,(12-MONTH(E126)+1)/12))))-(IF(OR(N126="",N126&lt;=0),0,(O126/N126)*(IF(OR(N126="",N126&lt;=0),0,IF((YEAR(D126)+13)&lt;YEAR(E126),0,IF((YEAR(D126)+13)&gt;=YEAR(E126)+N126,0,IF((YEAR(D126)+13)=YEAR(E126),(12-MONTH(E126)+1)/12,1))))))))&gt;0,(((K126)*(IF(M126="",L126,IFERROR(IF(INDEX(Variablen!$I:$AT, MATCH(M126, Variablen!$A:$A, 0), MATCH((YEAR(D126)+13), Variablen!$I$3:$AT$3, 0))="",L126,INDEX(Variablen!$I:$AT, MATCH(M126, Variablen!$A:$A, 0), MATCH((YEAR(D126)+13), Variablen!$I$3:$AT$3, 0))),L126)))*(IF((YEAR(D126)+13)&lt;YEAR(E126),0,IF((YEAR(D126)+13)&gt;YEAR(E126),1,(12-MONTH(E126)+1)/12))) + (Q126)*(IF((YEAR(D126)+13)&lt;YEAR(E126),0,IF((YEAR(D126)+13)&gt;YEAR(E126),1,(12-MONTH(E126)+1)/12))))-((P126)*(IF((YEAR(D126)+13)&lt;YEAR(E126),0,IF((YEAR(D126)+13)&gt;YEAR(E126),1,(12-MONTH(E126)+1)/12))) + (R126)*(IF((YEAR(D126)+13)&lt;YEAR(E126),0,IF((YEAR(D126)+13)&gt;YEAR(E126),1,(12-MONTH(E126)+1)/12))))-(IF(OR(N126="",N126&lt;=0),0,(O126/N126)*(IF(OR(N126="",N126&lt;=0),0,IF((YEAR(D126)+13)&lt;YEAR(E126),0,IF((YEAR(D126)+13)&gt;=YEAR(E126)+N126,0,IF((YEAR(D126)+13)=YEAR(E126),(12-MONTH(E126)+1)/12,1))))))))*TaxRate,0))-IF(13=0,O126,0))</f>
        <v/>
      </c>
      <c r="AG126" s="29">
        <f>IF(A126="","",((K126)*(IF(M126="",L126,IFERROR(IF(INDEX(Variablen!$I:$AT, MATCH(M126, Variablen!$A:$A, 0), MATCH((YEAR(D126)+14), Variablen!$I$3:$AT$3, 0))="",L126,INDEX(Variablen!$I:$AT, MATCH(M126, Variablen!$A:$A, 0), MATCH((YEAR(D126)+14), Variablen!$I$3:$AT$3, 0))),L126)))*(IF((YEAR(D126)+14)&lt;YEAR(E126),0,IF((YEAR(D126)+14)&gt;YEAR(E126),1,(12-MONTH(E126)+1)/12))) + (Q126)*(IF((YEAR(D126)+14)&lt;YEAR(E126),0,IF((YEAR(D126)+14)&gt;YEAR(E126),1,(12-MONTH(E126)+1)/12))))-((P126)*(IF((YEAR(D126)+14)&lt;YEAR(E126),0,IF((YEAR(D126)+14)&gt;YEAR(E126),1,(12-MONTH(E126)+1)/12))) + (R126)*(IF((YEAR(D126)+14)&lt;YEAR(E126),0,IF((YEAR(D126)+14)&gt;YEAR(E126),1,(12-MONTH(E126)+1)/12))))-(IF((((K126)*(IF(M126="",L126,IFERROR(IF(INDEX(Variablen!$I:$AT, MATCH(M126, Variablen!$A:$A, 0), MATCH((YEAR(D126)+14), Variablen!$I$3:$AT$3, 0))="",L126,INDEX(Variablen!$I:$AT, MATCH(M126, Variablen!$A:$A, 0), MATCH((YEAR(D126)+14), Variablen!$I$3:$AT$3, 0))),L126)))*(IF((YEAR(D126)+14)&lt;YEAR(E126),0,IF((YEAR(D126)+14)&gt;YEAR(E126),1,(12-MONTH(E126)+1)/12))) + (Q126)*(IF((YEAR(D126)+14)&lt;YEAR(E126),0,IF((YEAR(D126)+14)&gt;YEAR(E126),1,(12-MONTH(E126)+1)/12))))-((P126)*(IF((YEAR(D126)+14)&lt;YEAR(E126),0,IF((YEAR(D126)+14)&gt;YEAR(E126),1,(12-MONTH(E126)+1)/12))) + (R126)*(IF((YEAR(D126)+14)&lt;YEAR(E126),0,IF((YEAR(D126)+14)&gt;YEAR(E126),1,(12-MONTH(E126)+1)/12))))-(IF(OR(N126="",N126&lt;=0),0,(O126/N126)*(IF(OR(N126="",N126&lt;=0),0,IF((YEAR(D126)+14)&lt;YEAR(E126),0,IF((YEAR(D126)+14)&gt;=YEAR(E126)+N126,0,IF((YEAR(D126)+14)=YEAR(E126),(12-MONTH(E126)+1)/12,1))))))))&gt;0,(((K126)*(IF(M126="",L126,IFERROR(IF(INDEX(Variablen!$I:$AT, MATCH(M126, Variablen!$A:$A, 0), MATCH((YEAR(D126)+14), Variablen!$I$3:$AT$3, 0))="",L126,INDEX(Variablen!$I:$AT, MATCH(M126, Variablen!$A:$A, 0), MATCH((YEAR(D126)+14), Variablen!$I$3:$AT$3, 0))),L126)))*(IF((YEAR(D126)+14)&lt;YEAR(E126),0,IF((YEAR(D126)+14)&gt;YEAR(E126),1,(12-MONTH(E126)+1)/12))) + (Q126)*(IF((YEAR(D126)+14)&lt;YEAR(E126),0,IF((YEAR(D126)+14)&gt;YEAR(E126),1,(12-MONTH(E126)+1)/12))))-((P126)*(IF((YEAR(D126)+14)&lt;YEAR(E126),0,IF((YEAR(D126)+14)&gt;YEAR(E126),1,(12-MONTH(E126)+1)/12))) + (R126)*(IF((YEAR(D126)+14)&lt;YEAR(E126),0,IF((YEAR(D126)+14)&gt;YEAR(E126),1,(12-MONTH(E126)+1)/12))))-(IF(OR(N126="",N126&lt;=0),0,(O126/N126)*(IF(OR(N126="",N126&lt;=0),0,IF((YEAR(D126)+14)&lt;YEAR(E126),0,IF((YEAR(D126)+14)&gt;=YEAR(E126)+N126,0,IF((YEAR(D126)+14)=YEAR(E126),(12-MONTH(E126)+1)/12,1))))))))*TaxRate,0))-IF(14=0,O126,0))</f>
        <v/>
      </c>
      <c r="AH126" s="29">
        <f>IF(A126="","",((K126)*(IF(M126="",L126,IFERROR(IF(INDEX(Variablen!$I:$AT, MATCH(M126, Variablen!$A:$A, 0), MATCH((YEAR(D126)+15), Variablen!$I$3:$AT$3, 0))="",L126,INDEX(Variablen!$I:$AT, MATCH(M126, Variablen!$A:$A, 0), MATCH((YEAR(D126)+15), Variablen!$I$3:$AT$3, 0))),L126)))*(IF((YEAR(D126)+15)&lt;YEAR(E126),0,IF((YEAR(D126)+15)&gt;YEAR(E126),1,(12-MONTH(E126)+1)/12))) + (Q126)*(IF((YEAR(D126)+15)&lt;YEAR(E126),0,IF((YEAR(D126)+15)&gt;YEAR(E126),1,(12-MONTH(E126)+1)/12))))-((P126)*(IF((YEAR(D126)+15)&lt;YEAR(E126),0,IF((YEAR(D126)+15)&gt;YEAR(E126),1,(12-MONTH(E126)+1)/12))) + (R126)*(IF((YEAR(D126)+15)&lt;YEAR(E126),0,IF((YEAR(D126)+15)&gt;YEAR(E126),1,(12-MONTH(E126)+1)/12))))-(IF((((K126)*(IF(M126="",L126,IFERROR(IF(INDEX(Variablen!$I:$AT, MATCH(M126, Variablen!$A:$A, 0), MATCH((YEAR(D126)+15), Variablen!$I$3:$AT$3, 0))="",L126,INDEX(Variablen!$I:$AT, MATCH(M126, Variablen!$A:$A, 0), MATCH((YEAR(D126)+15), Variablen!$I$3:$AT$3, 0))),L126)))*(IF((YEAR(D126)+15)&lt;YEAR(E126),0,IF((YEAR(D126)+15)&gt;YEAR(E126),1,(12-MONTH(E126)+1)/12))) + (Q126)*(IF((YEAR(D126)+15)&lt;YEAR(E126),0,IF((YEAR(D126)+15)&gt;YEAR(E126),1,(12-MONTH(E126)+1)/12))))-((P126)*(IF((YEAR(D126)+15)&lt;YEAR(E126),0,IF((YEAR(D126)+15)&gt;YEAR(E126),1,(12-MONTH(E126)+1)/12))) + (R126)*(IF((YEAR(D126)+15)&lt;YEAR(E126),0,IF((YEAR(D126)+15)&gt;YEAR(E126),1,(12-MONTH(E126)+1)/12))))-(IF(OR(N126="",N126&lt;=0),0,(O126/N126)*(IF(OR(N126="",N126&lt;=0),0,IF((YEAR(D126)+15)&lt;YEAR(E126),0,IF((YEAR(D126)+15)&gt;=YEAR(E126)+N126,0,IF((YEAR(D126)+15)=YEAR(E126),(12-MONTH(E126)+1)/12,1))))))))&gt;0,(((K126)*(IF(M126="",L126,IFERROR(IF(INDEX(Variablen!$I:$AT, MATCH(M126, Variablen!$A:$A, 0), MATCH((YEAR(D126)+15), Variablen!$I$3:$AT$3, 0))="",L126,INDEX(Variablen!$I:$AT, MATCH(M126, Variablen!$A:$A, 0), MATCH((YEAR(D126)+15), Variablen!$I$3:$AT$3, 0))),L126)))*(IF((YEAR(D126)+15)&lt;YEAR(E126),0,IF((YEAR(D126)+15)&gt;YEAR(E126),1,(12-MONTH(E126)+1)/12))) + (Q126)*(IF((YEAR(D126)+15)&lt;YEAR(E126),0,IF((YEAR(D126)+15)&gt;YEAR(E126),1,(12-MONTH(E126)+1)/12))))-((P126)*(IF((YEAR(D126)+15)&lt;YEAR(E126),0,IF((YEAR(D126)+15)&gt;YEAR(E126),1,(12-MONTH(E126)+1)/12))) + (R126)*(IF((YEAR(D126)+15)&lt;YEAR(E126),0,IF((YEAR(D126)+15)&gt;YEAR(E126),1,(12-MONTH(E126)+1)/12))))-(IF(OR(N126="",N126&lt;=0),0,(O126/N126)*(IF(OR(N126="",N126&lt;=0),0,IF((YEAR(D126)+15)&lt;YEAR(E126),0,IF((YEAR(D126)+15)&gt;=YEAR(E126)+N126,0,IF((YEAR(D126)+15)=YEAR(E126),(12-MONTH(E126)+1)/12,1))))))))*TaxRate,0))-IF(15=0,O126,0))</f>
        <v/>
      </c>
      <c r="AI126" s="29">
        <f>IF(A126="","",((K126)*(IF(M126="",L126,IFERROR(IF(INDEX(Variablen!$I:$AT, MATCH(M126, Variablen!$A:$A, 0), MATCH((YEAR(D126)+16), Variablen!$I$3:$AT$3, 0))="",L126,INDEX(Variablen!$I:$AT, MATCH(M126, Variablen!$A:$A, 0), MATCH((YEAR(D126)+16), Variablen!$I$3:$AT$3, 0))),L126)))*(IF((YEAR(D126)+16)&lt;YEAR(E126),0,IF((YEAR(D126)+16)&gt;YEAR(E126),1,(12-MONTH(E126)+1)/12))) + (Q126)*(IF((YEAR(D126)+16)&lt;YEAR(E126),0,IF((YEAR(D126)+16)&gt;YEAR(E126),1,(12-MONTH(E126)+1)/12))))-((P126)*(IF((YEAR(D126)+16)&lt;YEAR(E126),0,IF((YEAR(D126)+16)&gt;YEAR(E126),1,(12-MONTH(E126)+1)/12))) + (R126)*(IF((YEAR(D126)+16)&lt;YEAR(E126),0,IF((YEAR(D126)+16)&gt;YEAR(E126),1,(12-MONTH(E126)+1)/12))))-(IF((((K126)*(IF(M126="",L126,IFERROR(IF(INDEX(Variablen!$I:$AT, MATCH(M126, Variablen!$A:$A, 0), MATCH((YEAR(D126)+16), Variablen!$I$3:$AT$3, 0))="",L126,INDEX(Variablen!$I:$AT, MATCH(M126, Variablen!$A:$A, 0), MATCH((YEAR(D126)+16), Variablen!$I$3:$AT$3, 0))),L126)))*(IF((YEAR(D126)+16)&lt;YEAR(E126),0,IF((YEAR(D126)+16)&gt;YEAR(E126),1,(12-MONTH(E126)+1)/12))) + (Q126)*(IF((YEAR(D126)+16)&lt;YEAR(E126),0,IF((YEAR(D126)+16)&gt;YEAR(E126),1,(12-MONTH(E126)+1)/12))))-((P126)*(IF((YEAR(D126)+16)&lt;YEAR(E126),0,IF((YEAR(D126)+16)&gt;YEAR(E126),1,(12-MONTH(E126)+1)/12))) + (R126)*(IF((YEAR(D126)+16)&lt;YEAR(E126),0,IF((YEAR(D126)+16)&gt;YEAR(E126),1,(12-MONTH(E126)+1)/12))))-(IF(OR(N126="",N126&lt;=0),0,(O126/N126)*(IF(OR(N126="",N126&lt;=0),0,IF((YEAR(D126)+16)&lt;YEAR(E126),0,IF((YEAR(D126)+16)&gt;=YEAR(E126)+N126,0,IF((YEAR(D126)+16)=YEAR(E126),(12-MONTH(E126)+1)/12,1))))))))&gt;0,(((K126)*(IF(M126="",L126,IFERROR(IF(INDEX(Variablen!$I:$AT, MATCH(M126, Variablen!$A:$A, 0), MATCH((YEAR(D126)+16), Variablen!$I$3:$AT$3, 0))="",L126,INDEX(Variablen!$I:$AT, MATCH(M126, Variablen!$A:$A, 0), MATCH((YEAR(D126)+16), Variablen!$I$3:$AT$3, 0))),L126)))*(IF((YEAR(D126)+16)&lt;YEAR(E126),0,IF((YEAR(D126)+16)&gt;YEAR(E126),1,(12-MONTH(E126)+1)/12))) + (Q126)*(IF((YEAR(D126)+16)&lt;YEAR(E126),0,IF((YEAR(D126)+16)&gt;YEAR(E126),1,(12-MONTH(E126)+1)/12))))-((P126)*(IF((YEAR(D126)+16)&lt;YEAR(E126),0,IF((YEAR(D126)+16)&gt;YEAR(E126),1,(12-MONTH(E126)+1)/12))) + (R126)*(IF((YEAR(D126)+16)&lt;YEAR(E126),0,IF((YEAR(D126)+16)&gt;YEAR(E126),1,(12-MONTH(E126)+1)/12))))-(IF(OR(N126="",N126&lt;=0),0,(O126/N126)*(IF(OR(N126="",N126&lt;=0),0,IF((YEAR(D126)+16)&lt;YEAR(E126),0,IF((YEAR(D126)+16)&gt;=YEAR(E126)+N126,0,IF((YEAR(D126)+16)=YEAR(E126),(12-MONTH(E126)+1)/12,1))))))))*TaxRate,0))-IF(16=0,O126,0))</f>
        <v/>
      </c>
      <c r="AJ126" s="29">
        <f>IF(A126="","",((K126)*(IF(M126="",L126,IFERROR(IF(INDEX(Variablen!$I:$AT, MATCH(M126, Variablen!$A:$A, 0), MATCH((YEAR(D126)+17), Variablen!$I$3:$AT$3, 0))="",L126,INDEX(Variablen!$I:$AT, MATCH(M126, Variablen!$A:$A, 0), MATCH((YEAR(D126)+17), Variablen!$I$3:$AT$3, 0))),L126)))*(IF((YEAR(D126)+17)&lt;YEAR(E126),0,IF((YEAR(D126)+17)&gt;YEAR(E126),1,(12-MONTH(E126)+1)/12))) + (Q126)*(IF((YEAR(D126)+17)&lt;YEAR(E126),0,IF((YEAR(D126)+17)&gt;YEAR(E126),1,(12-MONTH(E126)+1)/12))))-((P126)*(IF((YEAR(D126)+17)&lt;YEAR(E126),0,IF((YEAR(D126)+17)&gt;YEAR(E126),1,(12-MONTH(E126)+1)/12))) + (R126)*(IF((YEAR(D126)+17)&lt;YEAR(E126),0,IF((YEAR(D126)+17)&gt;YEAR(E126),1,(12-MONTH(E126)+1)/12))))-(IF((((K126)*(IF(M126="",L126,IFERROR(IF(INDEX(Variablen!$I:$AT, MATCH(M126, Variablen!$A:$A, 0), MATCH((YEAR(D126)+17), Variablen!$I$3:$AT$3, 0))="",L126,INDEX(Variablen!$I:$AT, MATCH(M126, Variablen!$A:$A, 0), MATCH((YEAR(D126)+17), Variablen!$I$3:$AT$3, 0))),L126)))*(IF((YEAR(D126)+17)&lt;YEAR(E126),0,IF((YEAR(D126)+17)&gt;YEAR(E126),1,(12-MONTH(E126)+1)/12))) + (Q126)*(IF((YEAR(D126)+17)&lt;YEAR(E126),0,IF((YEAR(D126)+17)&gt;YEAR(E126),1,(12-MONTH(E126)+1)/12))))-((P126)*(IF((YEAR(D126)+17)&lt;YEAR(E126),0,IF((YEAR(D126)+17)&gt;YEAR(E126),1,(12-MONTH(E126)+1)/12))) + (R126)*(IF((YEAR(D126)+17)&lt;YEAR(E126),0,IF((YEAR(D126)+17)&gt;YEAR(E126),1,(12-MONTH(E126)+1)/12))))-(IF(OR(N126="",N126&lt;=0),0,(O126/N126)*(IF(OR(N126="",N126&lt;=0),0,IF((YEAR(D126)+17)&lt;YEAR(E126),0,IF((YEAR(D126)+17)&gt;=YEAR(E126)+N126,0,IF((YEAR(D126)+17)=YEAR(E126),(12-MONTH(E126)+1)/12,1))))))))&gt;0,(((K126)*(IF(M126="",L126,IFERROR(IF(INDEX(Variablen!$I:$AT, MATCH(M126, Variablen!$A:$A, 0), MATCH((YEAR(D126)+17), Variablen!$I$3:$AT$3, 0))="",L126,INDEX(Variablen!$I:$AT, MATCH(M126, Variablen!$A:$A, 0), MATCH((YEAR(D126)+17), Variablen!$I$3:$AT$3, 0))),L126)))*(IF((YEAR(D126)+17)&lt;YEAR(E126),0,IF((YEAR(D126)+17)&gt;YEAR(E126),1,(12-MONTH(E126)+1)/12))) + (Q126)*(IF((YEAR(D126)+17)&lt;YEAR(E126),0,IF((YEAR(D126)+17)&gt;YEAR(E126),1,(12-MONTH(E126)+1)/12))))-((P126)*(IF((YEAR(D126)+17)&lt;YEAR(E126),0,IF((YEAR(D126)+17)&gt;YEAR(E126),1,(12-MONTH(E126)+1)/12))) + (R126)*(IF((YEAR(D126)+17)&lt;YEAR(E126),0,IF((YEAR(D126)+17)&gt;YEAR(E126),1,(12-MONTH(E126)+1)/12))))-(IF(OR(N126="",N126&lt;=0),0,(O126/N126)*(IF(OR(N126="",N126&lt;=0),0,IF((YEAR(D126)+17)&lt;YEAR(E126),0,IF((YEAR(D126)+17)&gt;=YEAR(E126)+N126,0,IF((YEAR(D126)+17)=YEAR(E126),(12-MONTH(E126)+1)/12,1))))))))*TaxRate,0))-IF(17=0,O126,0))</f>
        <v/>
      </c>
      <c r="AK126" s="29">
        <f>IF(A126="","",((K126)*(IF(M126="",L126,IFERROR(IF(INDEX(Variablen!$I:$AT, MATCH(M126, Variablen!$A:$A, 0), MATCH((YEAR(D126)+18), Variablen!$I$3:$AT$3, 0))="",L126,INDEX(Variablen!$I:$AT, MATCH(M126, Variablen!$A:$A, 0), MATCH((YEAR(D126)+18), Variablen!$I$3:$AT$3, 0))),L126)))*(IF((YEAR(D126)+18)&lt;YEAR(E126),0,IF((YEAR(D126)+18)&gt;YEAR(E126),1,(12-MONTH(E126)+1)/12))) + (Q126)*(IF((YEAR(D126)+18)&lt;YEAR(E126),0,IF((YEAR(D126)+18)&gt;YEAR(E126),1,(12-MONTH(E126)+1)/12))))-((P126)*(IF((YEAR(D126)+18)&lt;YEAR(E126),0,IF((YEAR(D126)+18)&gt;YEAR(E126),1,(12-MONTH(E126)+1)/12))) + (R126)*(IF((YEAR(D126)+18)&lt;YEAR(E126),0,IF((YEAR(D126)+18)&gt;YEAR(E126),1,(12-MONTH(E126)+1)/12))))-(IF((((K126)*(IF(M126="",L126,IFERROR(IF(INDEX(Variablen!$I:$AT, MATCH(M126, Variablen!$A:$A, 0), MATCH((YEAR(D126)+18), Variablen!$I$3:$AT$3, 0))="",L126,INDEX(Variablen!$I:$AT, MATCH(M126, Variablen!$A:$A, 0), MATCH((YEAR(D126)+18), Variablen!$I$3:$AT$3, 0))),L126)))*(IF((YEAR(D126)+18)&lt;YEAR(E126),0,IF((YEAR(D126)+18)&gt;YEAR(E126),1,(12-MONTH(E126)+1)/12))) + (Q126)*(IF((YEAR(D126)+18)&lt;YEAR(E126),0,IF((YEAR(D126)+18)&gt;YEAR(E126),1,(12-MONTH(E126)+1)/12))))-((P126)*(IF((YEAR(D126)+18)&lt;YEAR(E126),0,IF((YEAR(D126)+18)&gt;YEAR(E126),1,(12-MONTH(E126)+1)/12))) + (R126)*(IF((YEAR(D126)+18)&lt;YEAR(E126),0,IF((YEAR(D126)+18)&gt;YEAR(E126),1,(12-MONTH(E126)+1)/12))))-(IF(OR(N126="",N126&lt;=0),0,(O126/N126)*(IF(OR(N126="",N126&lt;=0),0,IF((YEAR(D126)+18)&lt;YEAR(E126),0,IF((YEAR(D126)+18)&gt;=YEAR(E126)+N126,0,IF((YEAR(D126)+18)=YEAR(E126),(12-MONTH(E126)+1)/12,1))))))))&gt;0,(((K126)*(IF(M126="",L126,IFERROR(IF(INDEX(Variablen!$I:$AT, MATCH(M126, Variablen!$A:$A, 0), MATCH((YEAR(D126)+18), Variablen!$I$3:$AT$3, 0))="",L126,INDEX(Variablen!$I:$AT, MATCH(M126, Variablen!$A:$A, 0), MATCH((YEAR(D126)+18), Variablen!$I$3:$AT$3, 0))),L126)))*(IF((YEAR(D126)+18)&lt;YEAR(E126),0,IF((YEAR(D126)+18)&gt;YEAR(E126),1,(12-MONTH(E126)+1)/12))) + (Q126)*(IF((YEAR(D126)+18)&lt;YEAR(E126),0,IF((YEAR(D126)+18)&gt;YEAR(E126),1,(12-MONTH(E126)+1)/12))))-((P126)*(IF((YEAR(D126)+18)&lt;YEAR(E126),0,IF((YEAR(D126)+18)&gt;YEAR(E126),1,(12-MONTH(E126)+1)/12))) + (R126)*(IF((YEAR(D126)+18)&lt;YEAR(E126),0,IF((YEAR(D126)+18)&gt;YEAR(E126),1,(12-MONTH(E126)+1)/12))))-(IF(OR(N126="",N126&lt;=0),0,(O126/N126)*(IF(OR(N126="",N126&lt;=0),0,IF((YEAR(D126)+18)&lt;YEAR(E126),0,IF((YEAR(D126)+18)&gt;=YEAR(E126)+N126,0,IF((YEAR(D126)+18)=YEAR(E126),(12-MONTH(E126)+1)/12,1))))))))*TaxRate,0))-IF(18=0,O126,0))</f>
        <v/>
      </c>
      <c r="AL126" s="29">
        <f>IF(A126="","",((K126)*(IF(M126="",L126,IFERROR(IF(INDEX(Variablen!$I:$AT, MATCH(M126, Variablen!$A:$A, 0), MATCH((YEAR(D126)+19), Variablen!$I$3:$AT$3, 0))="",L126,INDEX(Variablen!$I:$AT, MATCH(M126, Variablen!$A:$A, 0), MATCH((YEAR(D126)+19), Variablen!$I$3:$AT$3, 0))),L126)))*(IF((YEAR(D126)+19)&lt;YEAR(E126),0,IF((YEAR(D126)+19)&gt;YEAR(E126),1,(12-MONTH(E126)+1)/12))) + (Q126)*(IF((YEAR(D126)+19)&lt;YEAR(E126),0,IF((YEAR(D126)+19)&gt;YEAR(E126),1,(12-MONTH(E126)+1)/12))))-((P126)*(IF((YEAR(D126)+19)&lt;YEAR(E126),0,IF((YEAR(D126)+19)&gt;YEAR(E126),1,(12-MONTH(E126)+1)/12))) + (R126)*(IF((YEAR(D126)+19)&lt;YEAR(E126),0,IF((YEAR(D126)+19)&gt;YEAR(E126),1,(12-MONTH(E126)+1)/12))))-(IF((((K126)*(IF(M126="",L126,IFERROR(IF(INDEX(Variablen!$I:$AT, MATCH(M126, Variablen!$A:$A, 0), MATCH((YEAR(D126)+19), Variablen!$I$3:$AT$3, 0))="",L126,INDEX(Variablen!$I:$AT, MATCH(M126, Variablen!$A:$A, 0), MATCH((YEAR(D126)+19), Variablen!$I$3:$AT$3, 0))),L126)))*(IF((YEAR(D126)+19)&lt;YEAR(E126),0,IF((YEAR(D126)+19)&gt;YEAR(E126),1,(12-MONTH(E126)+1)/12))) + (Q126)*(IF((YEAR(D126)+19)&lt;YEAR(E126),0,IF((YEAR(D126)+19)&gt;YEAR(E126),1,(12-MONTH(E126)+1)/12))))-((P126)*(IF((YEAR(D126)+19)&lt;YEAR(E126),0,IF((YEAR(D126)+19)&gt;YEAR(E126),1,(12-MONTH(E126)+1)/12))) + (R126)*(IF((YEAR(D126)+19)&lt;YEAR(E126),0,IF((YEAR(D126)+19)&gt;YEAR(E126),1,(12-MONTH(E126)+1)/12))))-(IF(OR(N126="",N126&lt;=0),0,(O126/N126)*(IF(OR(N126="",N126&lt;=0),0,IF((YEAR(D126)+19)&lt;YEAR(E126),0,IF((YEAR(D126)+19)&gt;=YEAR(E126)+N126,0,IF((YEAR(D126)+19)=YEAR(E126),(12-MONTH(E126)+1)/12,1))))))))&gt;0,(((K126)*(IF(M126="",L126,IFERROR(IF(INDEX(Variablen!$I:$AT, MATCH(M126, Variablen!$A:$A, 0), MATCH((YEAR(D126)+19), Variablen!$I$3:$AT$3, 0))="",L126,INDEX(Variablen!$I:$AT, MATCH(M126, Variablen!$A:$A, 0), MATCH((YEAR(D126)+19), Variablen!$I$3:$AT$3, 0))),L126)))*(IF((YEAR(D126)+19)&lt;YEAR(E126),0,IF((YEAR(D126)+19)&gt;YEAR(E126),1,(12-MONTH(E126)+1)/12))) + (Q126)*(IF((YEAR(D126)+19)&lt;YEAR(E126),0,IF((YEAR(D126)+19)&gt;YEAR(E126),1,(12-MONTH(E126)+1)/12))))-((P126)*(IF((YEAR(D126)+19)&lt;YEAR(E126),0,IF((YEAR(D126)+19)&gt;YEAR(E126),1,(12-MONTH(E126)+1)/12))) + (R126)*(IF((YEAR(D126)+19)&lt;YEAR(E126),0,IF((YEAR(D126)+19)&gt;YEAR(E126),1,(12-MONTH(E126)+1)/12))))-(IF(OR(N126="",N126&lt;=0),0,(O126/N126)*(IF(OR(N126="",N126&lt;=0),0,IF((YEAR(D126)+19)&lt;YEAR(E126),0,IF((YEAR(D126)+19)&gt;=YEAR(E126)+N126,0,IF((YEAR(D126)+19)=YEAR(E126),(12-MONTH(E126)+1)/12,1))))))))*TaxRate,0))-IF(19=0,O126,0))</f>
        <v/>
      </c>
      <c r="AM126" s="29">
        <f>IF(A126="","",((K126)*(IF(M126="",L126,IFERROR(IF(INDEX(Variablen!$I:$AT, MATCH(M126, Variablen!$A:$A, 0), MATCH((YEAR(D126)+20), Variablen!$I$3:$AT$3, 0))="",L126,INDEX(Variablen!$I:$AT, MATCH(M126, Variablen!$A:$A, 0), MATCH((YEAR(D126)+20), Variablen!$I$3:$AT$3, 0))),L126)))*(IF((YEAR(D126)+20)&lt;YEAR(E126),0,IF((YEAR(D126)+20)&gt;YEAR(E126),1,(12-MONTH(E126)+1)/12))) + (Q126)*(IF((YEAR(D126)+20)&lt;YEAR(E126),0,IF((YEAR(D126)+20)&gt;YEAR(E126),1,(12-MONTH(E126)+1)/12))))-((P126)*(IF((YEAR(D126)+20)&lt;YEAR(E126),0,IF((YEAR(D126)+20)&gt;YEAR(E126),1,(12-MONTH(E126)+1)/12))) + (R126)*(IF((YEAR(D126)+20)&lt;YEAR(E126),0,IF((YEAR(D126)+20)&gt;YEAR(E126),1,(12-MONTH(E126)+1)/12))))-(IF((((K126)*(IF(M126="",L126,IFERROR(IF(INDEX(Variablen!$I:$AT, MATCH(M126, Variablen!$A:$A, 0), MATCH((YEAR(D126)+20), Variablen!$I$3:$AT$3, 0))="",L126,INDEX(Variablen!$I:$AT, MATCH(M126, Variablen!$A:$A, 0), MATCH((YEAR(D126)+20), Variablen!$I$3:$AT$3, 0))),L126)))*(IF((YEAR(D126)+20)&lt;YEAR(E126),0,IF((YEAR(D126)+20)&gt;YEAR(E126),1,(12-MONTH(E126)+1)/12))) + (Q126)*(IF((YEAR(D126)+20)&lt;YEAR(E126),0,IF((YEAR(D126)+20)&gt;YEAR(E126),1,(12-MONTH(E126)+1)/12))))-((P126)*(IF((YEAR(D126)+20)&lt;YEAR(E126),0,IF((YEAR(D126)+20)&gt;YEAR(E126),1,(12-MONTH(E126)+1)/12))) + (R126)*(IF((YEAR(D126)+20)&lt;YEAR(E126),0,IF((YEAR(D126)+20)&gt;YEAR(E126),1,(12-MONTH(E126)+1)/12))))-(IF(OR(N126="",N126&lt;=0),0,(O126/N126)*(IF(OR(N126="",N126&lt;=0),0,IF((YEAR(D126)+20)&lt;YEAR(E126),0,IF((YEAR(D126)+20)&gt;=YEAR(E126)+N126,0,IF((YEAR(D126)+20)=YEAR(E126),(12-MONTH(E126)+1)/12,1))))))))&gt;0,(((K126)*(IF(M126="",L126,IFERROR(IF(INDEX(Variablen!$I:$AT, MATCH(M126, Variablen!$A:$A, 0), MATCH((YEAR(D126)+20), Variablen!$I$3:$AT$3, 0))="",L126,INDEX(Variablen!$I:$AT, MATCH(M126, Variablen!$A:$A, 0), MATCH((YEAR(D126)+20), Variablen!$I$3:$AT$3, 0))),L126)))*(IF((YEAR(D126)+20)&lt;YEAR(E126),0,IF((YEAR(D126)+20)&gt;YEAR(E126),1,(12-MONTH(E126)+1)/12))) + (Q126)*(IF((YEAR(D126)+20)&lt;YEAR(E126),0,IF((YEAR(D126)+20)&gt;YEAR(E126),1,(12-MONTH(E126)+1)/12))))-((P126)*(IF((YEAR(D126)+20)&lt;YEAR(E126),0,IF((YEAR(D126)+20)&gt;YEAR(E126),1,(12-MONTH(E126)+1)/12))) + (R126)*(IF((YEAR(D126)+20)&lt;YEAR(E126),0,IF((YEAR(D126)+20)&gt;YEAR(E126),1,(12-MONTH(E126)+1)/12))))-(IF(OR(N126="",N126&lt;=0),0,(O126/N126)*(IF(OR(N126="",N126&lt;=0),0,IF((YEAR(D126)+20)&lt;YEAR(E126),0,IF((YEAR(D126)+20)&gt;=YEAR(E126)+N126,0,IF((YEAR(D126)+20)=YEAR(E126),(12-MONTH(E126)+1)/12,1))))))))*TaxRate,0))-IF(20=0,O126,0))</f>
        <v/>
      </c>
      <c r="AN126" s="29">
        <f>IF(A126="","",S126)</f>
        <v/>
      </c>
      <c r="AO126" s="29">
        <f>IF(A126="","",AN126+T126)</f>
        <v/>
      </c>
      <c r="AP126" s="29">
        <f>IF(A126="","",AO126+U126)</f>
        <v/>
      </c>
      <c r="AQ126" s="29">
        <f>IF(A126="","",AP126+V126)</f>
        <v/>
      </c>
      <c r="AR126" s="29">
        <f>IF(A126="","",AQ126+W126)</f>
        <v/>
      </c>
      <c r="AS126" s="29">
        <f>IF(A126="","",AR126+X126)</f>
        <v/>
      </c>
      <c r="AT126" s="29">
        <f>IF(A126="","",AS126+Y126)</f>
        <v/>
      </c>
      <c r="AU126" s="29">
        <f>IF(A126="","",AT126+Z126)</f>
        <v/>
      </c>
      <c r="AV126" s="29">
        <f>IF(A126="","",AU126+AA126)</f>
        <v/>
      </c>
      <c r="AW126" s="29">
        <f>IF(A126="","",AV126+AB126)</f>
        <v/>
      </c>
      <c r="AX126" s="29">
        <f>IF(A126="","",AW126+AC126)</f>
        <v/>
      </c>
      <c r="AY126" s="29">
        <f>IF(A126="","",AX126+AD126)</f>
        <v/>
      </c>
      <c r="AZ126" s="29">
        <f>IF(A126="","",AY126+AE126)</f>
        <v/>
      </c>
      <c r="BA126" s="29">
        <f>IF(A126="","",AZ126+AF126)</f>
        <v/>
      </c>
      <c r="BB126" s="29">
        <f>IF(A126="","",BA126+AG126)</f>
        <v/>
      </c>
      <c r="BC126" s="29">
        <f>IF(A126="","",BB126+AH126)</f>
        <v/>
      </c>
      <c r="BD126" s="29">
        <f>IF(A126="","",BC126+AI126)</f>
        <v/>
      </c>
      <c r="BE126" s="29">
        <f>IF(A126="","",BD126+AJ126)</f>
        <v/>
      </c>
      <c r="BF126" s="29">
        <f>IF(A126="","",BE126+AK126)</f>
        <v/>
      </c>
      <c r="BG126" s="29">
        <f>IF(A126="","",BF126+AL126)</f>
        <v/>
      </c>
      <c r="BH126" s="29">
        <f>IF(A126="","",BG126+AM126)</f>
        <v/>
      </c>
      <c r="BI126" s="36">
        <f>IF(A126="","",(K126)*(IF((YEAR(D126)+0)&lt;YEAR(E126),0,IF((YEAR(D126)+0)&gt;YEAR(E126),1,(12-MONTH(E126)+1)/12)))*(1/(1+DiscountRate)^0))</f>
        <v/>
      </c>
      <c r="BJ126" s="36">
        <f>IF(A126="","",(K126)*(IF((YEAR(D126)+1)&lt;YEAR(E126),0,IF((YEAR(D126)+1)&gt;YEAR(E126),1,(12-MONTH(E126)+1)/12)))*(1/(1+DiscountRate)^1))</f>
        <v/>
      </c>
      <c r="BK126" s="36">
        <f>IF(A126="","",(K126)*(IF((YEAR(D126)+2)&lt;YEAR(E126),0,IF((YEAR(D126)+2)&gt;YEAR(E126),1,(12-MONTH(E126)+1)/12)))*(1/(1+DiscountRate)^2))</f>
        <v/>
      </c>
      <c r="BL126" s="36">
        <f>IF(A126="","",(K126)*(IF((YEAR(D126)+3)&lt;YEAR(E126),0,IF((YEAR(D126)+3)&gt;YEAR(E126),1,(12-MONTH(E126)+1)/12)))*(1/(1+DiscountRate)^3))</f>
        <v/>
      </c>
      <c r="BM126" s="36">
        <f>IF(A126="","",(K126)*(IF((YEAR(D126)+4)&lt;YEAR(E126),0,IF((YEAR(D126)+4)&gt;YEAR(E126),1,(12-MONTH(E126)+1)/12)))*(1/(1+DiscountRate)^4))</f>
        <v/>
      </c>
      <c r="BN126" s="36">
        <f>IF(A126="","",(K126)*(IF((YEAR(D126)+5)&lt;YEAR(E126),0,IF((YEAR(D126)+5)&gt;YEAR(E126),1,(12-MONTH(E126)+1)/12)))*(1/(1+DiscountRate)^5))</f>
        <v/>
      </c>
      <c r="BO126" s="36">
        <f>IF(A126="","",(K126)*(IF((YEAR(D126)+6)&lt;YEAR(E126),0,IF((YEAR(D126)+6)&gt;YEAR(E126),1,(12-MONTH(E126)+1)/12)))*(1/(1+DiscountRate)^6))</f>
        <v/>
      </c>
      <c r="BP126" s="36">
        <f>IF(A126="","",(K126)*(IF((YEAR(D126)+7)&lt;YEAR(E126),0,IF((YEAR(D126)+7)&gt;YEAR(E126),1,(12-MONTH(E126)+1)/12)))*(1/(1+DiscountRate)^7))</f>
        <v/>
      </c>
      <c r="BQ126" s="36">
        <f>IF(A126="","",(K126)*(IF((YEAR(D126)+8)&lt;YEAR(E126),0,IF((YEAR(D126)+8)&gt;YEAR(E126),1,(12-MONTH(E126)+1)/12)))*(1/(1+DiscountRate)^8))</f>
        <v/>
      </c>
      <c r="BR126" s="36">
        <f>IF(A126="","",(K126)*(IF((YEAR(D126)+9)&lt;YEAR(E126),0,IF((YEAR(D126)+9)&gt;YEAR(E126),1,(12-MONTH(E126)+1)/12)))*(1/(1+DiscountRate)^9))</f>
        <v/>
      </c>
      <c r="BS126" s="36">
        <f>IF(A126="","",(K126)*(IF((YEAR(D126)+10)&lt;YEAR(E126),0,IF((YEAR(D126)+10)&gt;YEAR(E126),1,(12-MONTH(E126)+1)/12)))*(1/(1+DiscountRate)^10))</f>
        <v/>
      </c>
      <c r="BT126" s="36">
        <f>IF(A126="","",(K126)*(IF((YEAR(D126)+11)&lt;YEAR(E126),0,IF((YEAR(D126)+11)&gt;YEAR(E126),1,(12-MONTH(E126)+1)/12)))*(1/(1+DiscountRate)^11))</f>
        <v/>
      </c>
      <c r="BU126" s="36">
        <f>IF(A126="","",(K126)*(IF((YEAR(D126)+12)&lt;YEAR(E126),0,IF((YEAR(D126)+12)&gt;YEAR(E126),1,(12-MONTH(E126)+1)/12)))*(1/(1+DiscountRate)^12))</f>
        <v/>
      </c>
      <c r="BV126" s="36">
        <f>IF(A126="","",(K126)*(IF((YEAR(D126)+13)&lt;YEAR(E126),0,IF((YEAR(D126)+13)&gt;YEAR(E126),1,(12-MONTH(E126)+1)/12)))*(1/(1+DiscountRate)^13))</f>
        <v/>
      </c>
      <c r="BW126" s="36">
        <f>IF(A126="","",(K126)*(IF((YEAR(D126)+14)&lt;YEAR(E126),0,IF((YEAR(D126)+14)&gt;YEAR(E126),1,(12-MONTH(E126)+1)/12)))*(1/(1+DiscountRate)^14))</f>
        <v/>
      </c>
      <c r="BX126" s="36">
        <f>IF(A126="","",(K126)*(IF((YEAR(D126)+15)&lt;YEAR(E126),0,IF((YEAR(D126)+15)&gt;YEAR(E126),1,(12-MONTH(E126)+1)/12)))*(1/(1+DiscountRate)^15))</f>
        <v/>
      </c>
      <c r="BY126" s="36">
        <f>IF(A126="","",(K126)*(IF((YEAR(D126)+16)&lt;YEAR(E126),0,IF((YEAR(D126)+16)&gt;YEAR(E126),1,(12-MONTH(E126)+1)/12)))*(1/(1+DiscountRate)^16))</f>
        <v/>
      </c>
      <c r="BZ126" s="36">
        <f>IF(A126="","",(K126)*(IF((YEAR(D126)+17)&lt;YEAR(E126),0,IF((YEAR(D126)+17)&gt;YEAR(E126),1,(12-MONTH(E126)+1)/12)))*(1/(1+DiscountRate)^17))</f>
        <v/>
      </c>
      <c r="CA126" s="36">
        <f>IF(A126="","",(K126)*(IF((YEAR(D126)+18)&lt;YEAR(E126),0,IF((YEAR(D126)+18)&gt;YEAR(E126),1,(12-MONTH(E126)+1)/12)))*(1/(1+DiscountRate)^18))</f>
        <v/>
      </c>
      <c r="CB126" s="36">
        <f>IF(A126="","",(K126)*(IF((YEAR(D126)+19)&lt;YEAR(E126),0,IF((YEAR(D126)+19)&gt;YEAR(E126),1,(12-MONTH(E126)+1)/12)))*(1/(1+DiscountRate)^19))</f>
        <v/>
      </c>
      <c r="CC126" s="36">
        <f>IF(A126="","",(K126)*(IF((YEAR(D126)+20)&lt;YEAR(E126),0,IF((YEAR(D126)+20)&gt;YEAR(E126),1,(12-MONTH(E126)+1)/12)))*(1/(1+DiscountRate)^20))</f>
        <v/>
      </c>
      <c r="CD126" s="29">
        <f>IF(A126="","",S126/(1+DiscountRate)^0+T126/(1+DiscountRate)^1+U126/(1+DiscountRate)^2+V126/(1+DiscountRate)^3+W126/(1+DiscountRate)^4+X126/(1+DiscountRate)^5+Y126/(1+DiscountRate)^6+Z126/(1+DiscountRate)^7+AA126/(1+DiscountRate)^8+AB126/(1+DiscountRate)^9+AC126/(1+DiscountRate)^10+AD126/(1+DiscountRate)^11+AE126/(1+DiscountRate)^12+AF126/(1+DiscountRate)^13+AG126/(1+DiscountRate)^14+AH126/(1+DiscountRate)^15+AI126/(1+DiscountRate)^16+AJ126/(1+DiscountRate)^17+AK126/(1+DiscountRate)^18+AL126/(1+DiscountRate)^19+AM126/(1+DiscountRate)^20)</f>
        <v/>
      </c>
      <c r="CE126" s="37">
        <f>IF(A126="","",IFERROR(IRR(OFFSET(S126,0,0,1,MIN(HorizonYears,20)+1)),"n/a"))</f>
        <v/>
      </c>
      <c r="CF126" s="28">
        <f>IF(A126="","",IFERROR(MATCH(TRUE,OFFSET(AN126,0,0,1,MIN(HorizonYears,20)+1)&gt;=0,0)-1,"n/a"))</f>
        <v/>
      </c>
      <c r="CG126" s="36">
        <f>IF(A126="","",SUM(OFFSET(BI126,0,0,1,MIN(HorizonYears,20)+1)))</f>
        <v/>
      </c>
      <c r="CH126" s="36">
        <f>IF(A126="","",IFERROR(-CD126/CG126,"n/a"))</f>
        <v/>
      </c>
    </row>
    <row r="127">
      <c r="A127" s="6">
        <f>Actions!A125</f>
        <v/>
      </c>
      <c r="B127" s="6">
        <f>Actions!B125</f>
        <v/>
      </c>
      <c r="C127" s="6">
        <f>Actions!D125</f>
        <v/>
      </c>
      <c r="D127" s="35">
        <f>Actions!E125</f>
        <v/>
      </c>
      <c r="E127" s="35">
        <f>Actions!F125</f>
        <v/>
      </c>
      <c r="F127" s="6">
        <f>Actions!G125</f>
        <v/>
      </c>
      <c r="G127" s="6">
        <f>Actions!H125</f>
        <v/>
      </c>
      <c r="H127" s="29">
        <f>Actions!I125</f>
        <v/>
      </c>
      <c r="I127" s="6">
        <f>Actions!J125</f>
        <v/>
      </c>
      <c r="J127" s="16">
        <f>Actions!K125</f>
        <v/>
      </c>
      <c r="K127" s="16">
        <f>IF(A127="","",IF(I127="%",H127*J127,J127))</f>
        <v/>
      </c>
      <c r="L127" s="16">
        <f>Actions!L125</f>
        <v/>
      </c>
      <c r="M127" s="6">
        <f>Actions!M125</f>
        <v/>
      </c>
      <c r="N127" s="28">
        <f>Actions!N125</f>
        <v/>
      </c>
      <c r="O127" s="29">
        <f>Actions!T125</f>
        <v/>
      </c>
      <c r="P127" s="29">
        <f>Actions!Y125</f>
        <v/>
      </c>
      <c r="Q127" s="29">
        <f>Actions!Z125</f>
        <v/>
      </c>
      <c r="R127" s="29">
        <f>Actions!AA125</f>
        <v/>
      </c>
      <c r="S127" s="29">
        <f>IF(A127="","",((K127)*(IF(M127="",L127,IFERROR(IF(INDEX(Variablen!$I:$AT, MATCH(M127, Variablen!$A:$A, 0), MATCH((YEAR(D127)+0), Variablen!$I$3:$AT$3, 0))="",L127,INDEX(Variablen!$I:$AT, MATCH(M127, Variablen!$A:$A, 0), MATCH((YEAR(D127)+0), Variablen!$I$3:$AT$3, 0))),L127)))*(IF((YEAR(D127)+0)&lt;YEAR(E127),0,IF((YEAR(D127)+0)&gt;YEAR(E127),1,(12-MONTH(E127)+1)/12))) + (Q127)*(IF((YEAR(D127)+0)&lt;YEAR(E127),0,IF((YEAR(D127)+0)&gt;YEAR(E127),1,(12-MONTH(E127)+1)/12))))-((P127)*(IF((YEAR(D127)+0)&lt;YEAR(E127),0,IF((YEAR(D127)+0)&gt;YEAR(E127),1,(12-MONTH(E127)+1)/12))) + (R127)*(IF((YEAR(D127)+0)&lt;YEAR(E127),0,IF((YEAR(D127)+0)&gt;YEAR(E127),1,(12-MONTH(E127)+1)/12))))-(IF((((K127)*(IF(M127="",L127,IFERROR(IF(INDEX(Variablen!$I:$AT, MATCH(M127, Variablen!$A:$A, 0), MATCH((YEAR(D127)+0), Variablen!$I$3:$AT$3, 0))="",L127,INDEX(Variablen!$I:$AT, MATCH(M127, Variablen!$A:$A, 0), MATCH((YEAR(D127)+0), Variablen!$I$3:$AT$3, 0))),L127)))*(IF((YEAR(D127)+0)&lt;YEAR(E127),0,IF((YEAR(D127)+0)&gt;YEAR(E127),1,(12-MONTH(E127)+1)/12))) + (Q127)*(IF((YEAR(D127)+0)&lt;YEAR(E127),0,IF((YEAR(D127)+0)&gt;YEAR(E127),1,(12-MONTH(E127)+1)/12))))-((P127)*(IF((YEAR(D127)+0)&lt;YEAR(E127),0,IF((YEAR(D127)+0)&gt;YEAR(E127),1,(12-MONTH(E127)+1)/12))) + (R127)*(IF((YEAR(D127)+0)&lt;YEAR(E127),0,IF((YEAR(D127)+0)&gt;YEAR(E127),1,(12-MONTH(E127)+1)/12))))-(IF(OR(N127="",N127&lt;=0),0,(O127/N127)*(IF(OR(N127="",N127&lt;=0),0,IF((YEAR(D127)+0)&lt;YEAR(E127),0,IF((YEAR(D127)+0)&gt;=YEAR(E127)+N127,0,IF((YEAR(D127)+0)=YEAR(E127),(12-MONTH(E127)+1)/12,1))))))))&gt;0,(((K127)*(IF(M127="",L127,IFERROR(IF(INDEX(Variablen!$I:$AT, MATCH(M127, Variablen!$A:$A, 0), MATCH((YEAR(D127)+0), Variablen!$I$3:$AT$3, 0))="",L127,INDEX(Variablen!$I:$AT, MATCH(M127, Variablen!$A:$A, 0), MATCH((YEAR(D127)+0), Variablen!$I$3:$AT$3, 0))),L127)))*(IF((YEAR(D127)+0)&lt;YEAR(E127),0,IF((YEAR(D127)+0)&gt;YEAR(E127),1,(12-MONTH(E127)+1)/12))) + (Q127)*(IF((YEAR(D127)+0)&lt;YEAR(E127),0,IF((YEAR(D127)+0)&gt;YEAR(E127),1,(12-MONTH(E127)+1)/12))))-((P127)*(IF((YEAR(D127)+0)&lt;YEAR(E127),0,IF((YEAR(D127)+0)&gt;YEAR(E127),1,(12-MONTH(E127)+1)/12))) + (R127)*(IF((YEAR(D127)+0)&lt;YEAR(E127),0,IF((YEAR(D127)+0)&gt;YEAR(E127),1,(12-MONTH(E127)+1)/12))))-(IF(OR(N127="",N127&lt;=0),0,(O127/N127)*(IF(OR(N127="",N127&lt;=0),0,IF((YEAR(D127)+0)&lt;YEAR(E127),0,IF((YEAR(D127)+0)&gt;=YEAR(E127)+N127,0,IF((YEAR(D127)+0)=YEAR(E127),(12-MONTH(E127)+1)/12,1))))))))*TaxRate,0))-IF(0=0,O127,0))</f>
        <v/>
      </c>
      <c r="T127" s="29">
        <f>IF(A127="","",((K127)*(IF(M127="",L127,IFERROR(IF(INDEX(Variablen!$I:$AT, MATCH(M127, Variablen!$A:$A, 0), MATCH((YEAR(D127)+1), Variablen!$I$3:$AT$3, 0))="",L127,INDEX(Variablen!$I:$AT, MATCH(M127, Variablen!$A:$A, 0), MATCH((YEAR(D127)+1), Variablen!$I$3:$AT$3, 0))),L127)))*(IF((YEAR(D127)+1)&lt;YEAR(E127),0,IF((YEAR(D127)+1)&gt;YEAR(E127),1,(12-MONTH(E127)+1)/12))) + (Q127)*(IF((YEAR(D127)+1)&lt;YEAR(E127),0,IF((YEAR(D127)+1)&gt;YEAR(E127),1,(12-MONTH(E127)+1)/12))))-((P127)*(IF((YEAR(D127)+1)&lt;YEAR(E127),0,IF((YEAR(D127)+1)&gt;YEAR(E127),1,(12-MONTH(E127)+1)/12))) + (R127)*(IF((YEAR(D127)+1)&lt;YEAR(E127),0,IF((YEAR(D127)+1)&gt;YEAR(E127),1,(12-MONTH(E127)+1)/12))))-(IF((((K127)*(IF(M127="",L127,IFERROR(IF(INDEX(Variablen!$I:$AT, MATCH(M127, Variablen!$A:$A, 0), MATCH((YEAR(D127)+1), Variablen!$I$3:$AT$3, 0))="",L127,INDEX(Variablen!$I:$AT, MATCH(M127, Variablen!$A:$A, 0), MATCH((YEAR(D127)+1), Variablen!$I$3:$AT$3, 0))),L127)))*(IF((YEAR(D127)+1)&lt;YEAR(E127),0,IF((YEAR(D127)+1)&gt;YEAR(E127),1,(12-MONTH(E127)+1)/12))) + (Q127)*(IF((YEAR(D127)+1)&lt;YEAR(E127),0,IF((YEAR(D127)+1)&gt;YEAR(E127),1,(12-MONTH(E127)+1)/12))))-((P127)*(IF((YEAR(D127)+1)&lt;YEAR(E127),0,IF((YEAR(D127)+1)&gt;YEAR(E127),1,(12-MONTH(E127)+1)/12))) + (R127)*(IF((YEAR(D127)+1)&lt;YEAR(E127),0,IF((YEAR(D127)+1)&gt;YEAR(E127),1,(12-MONTH(E127)+1)/12))))-(IF(OR(N127="",N127&lt;=0),0,(O127/N127)*(IF(OR(N127="",N127&lt;=0),0,IF((YEAR(D127)+1)&lt;YEAR(E127),0,IF((YEAR(D127)+1)&gt;=YEAR(E127)+N127,0,IF((YEAR(D127)+1)=YEAR(E127),(12-MONTH(E127)+1)/12,1))))))))&gt;0,(((K127)*(IF(M127="",L127,IFERROR(IF(INDEX(Variablen!$I:$AT, MATCH(M127, Variablen!$A:$A, 0), MATCH((YEAR(D127)+1), Variablen!$I$3:$AT$3, 0))="",L127,INDEX(Variablen!$I:$AT, MATCH(M127, Variablen!$A:$A, 0), MATCH((YEAR(D127)+1), Variablen!$I$3:$AT$3, 0))),L127)))*(IF((YEAR(D127)+1)&lt;YEAR(E127),0,IF((YEAR(D127)+1)&gt;YEAR(E127),1,(12-MONTH(E127)+1)/12))) + (Q127)*(IF((YEAR(D127)+1)&lt;YEAR(E127),0,IF((YEAR(D127)+1)&gt;YEAR(E127),1,(12-MONTH(E127)+1)/12))))-((P127)*(IF((YEAR(D127)+1)&lt;YEAR(E127),0,IF((YEAR(D127)+1)&gt;YEAR(E127),1,(12-MONTH(E127)+1)/12))) + (R127)*(IF((YEAR(D127)+1)&lt;YEAR(E127),0,IF((YEAR(D127)+1)&gt;YEAR(E127),1,(12-MONTH(E127)+1)/12))))-(IF(OR(N127="",N127&lt;=0),0,(O127/N127)*(IF(OR(N127="",N127&lt;=0),0,IF((YEAR(D127)+1)&lt;YEAR(E127),0,IF((YEAR(D127)+1)&gt;=YEAR(E127)+N127,0,IF((YEAR(D127)+1)=YEAR(E127),(12-MONTH(E127)+1)/12,1))))))))*TaxRate,0))-IF(1=0,O127,0))</f>
        <v/>
      </c>
      <c r="U127" s="29">
        <f>IF(A127="","",((K127)*(IF(M127="",L127,IFERROR(IF(INDEX(Variablen!$I:$AT, MATCH(M127, Variablen!$A:$A, 0), MATCH((YEAR(D127)+2), Variablen!$I$3:$AT$3, 0))="",L127,INDEX(Variablen!$I:$AT, MATCH(M127, Variablen!$A:$A, 0), MATCH((YEAR(D127)+2), Variablen!$I$3:$AT$3, 0))),L127)))*(IF((YEAR(D127)+2)&lt;YEAR(E127),0,IF((YEAR(D127)+2)&gt;YEAR(E127),1,(12-MONTH(E127)+1)/12))) + (Q127)*(IF((YEAR(D127)+2)&lt;YEAR(E127),0,IF((YEAR(D127)+2)&gt;YEAR(E127),1,(12-MONTH(E127)+1)/12))))-((P127)*(IF((YEAR(D127)+2)&lt;YEAR(E127),0,IF((YEAR(D127)+2)&gt;YEAR(E127),1,(12-MONTH(E127)+1)/12))) + (R127)*(IF((YEAR(D127)+2)&lt;YEAR(E127),0,IF((YEAR(D127)+2)&gt;YEAR(E127),1,(12-MONTH(E127)+1)/12))))-(IF((((K127)*(IF(M127="",L127,IFERROR(IF(INDEX(Variablen!$I:$AT, MATCH(M127, Variablen!$A:$A, 0), MATCH((YEAR(D127)+2), Variablen!$I$3:$AT$3, 0))="",L127,INDEX(Variablen!$I:$AT, MATCH(M127, Variablen!$A:$A, 0), MATCH((YEAR(D127)+2), Variablen!$I$3:$AT$3, 0))),L127)))*(IF((YEAR(D127)+2)&lt;YEAR(E127),0,IF((YEAR(D127)+2)&gt;YEAR(E127),1,(12-MONTH(E127)+1)/12))) + (Q127)*(IF((YEAR(D127)+2)&lt;YEAR(E127),0,IF((YEAR(D127)+2)&gt;YEAR(E127),1,(12-MONTH(E127)+1)/12))))-((P127)*(IF((YEAR(D127)+2)&lt;YEAR(E127),0,IF((YEAR(D127)+2)&gt;YEAR(E127),1,(12-MONTH(E127)+1)/12))) + (R127)*(IF((YEAR(D127)+2)&lt;YEAR(E127),0,IF((YEAR(D127)+2)&gt;YEAR(E127),1,(12-MONTH(E127)+1)/12))))-(IF(OR(N127="",N127&lt;=0),0,(O127/N127)*(IF(OR(N127="",N127&lt;=0),0,IF((YEAR(D127)+2)&lt;YEAR(E127),0,IF((YEAR(D127)+2)&gt;=YEAR(E127)+N127,0,IF((YEAR(D127)+2)=YEAR(E127),(12-MONTH(E127)+1)/12,1))))))))&gt;0,(((K127)*(IF(M127="",L127,IFERROR(IF(INDEX(Variablen!$I:$AT, MATCH(M127, Variablen!$A:$A, 0), MATCH((YEAR(D127)+2), Variablen!$I$3:$AT$3, 0))="",L127,INDEX(Variablen!$I:$AT, MATCH(M127, Variablen!$A:$A, 0), MATCH((YEAR(D127)+2), Variablen!$I$3:$AT$3, 0))),L127)))*(IF((YEAR(D127)+2)&lt;YEAR(E127),0,IF((YEAR(D127)+2)&gt;YEAR(E127),1,(12-MONTH(E127)+1)/12))) + (Q127)*(IF((YEAR(D127)+2)&lt;YEAR(E127),0,IF((YEAR(D127)+2)&gt;YEAR(E127),1,(12-MONTH(E127)+1)/12))))-((P127)*(IF((YEAR(D127)+2)&lt;YEAR(E127),0,IF((YEAR(D127)+2)&gt;YEAR(E127),1,(12-MONTH(E127)+1)/12))) + (R127)*(IF((YEAR(D127)+2)&lt;YEAR(E127),0,IF((YEAR(D127)+2)&gt;YEAR(E127),1,(12-MONTH(E127)+1)/12))))-(IF(OR(N127="",N127&lt;=0),0,(O127/N127)*(IF(OR(N127="",N127&lt;=0),0,IF((YEAR(D127)+2)&lt;YEAR(E127),0,IF((YEAR(D127)+2)&gt;=YEAR(E127)+N127,0,IF((YEAR(D127)+2)=YEAR(E127),(12-MONTH(E127)+1)/12,1))))))))*TaxRate,0))-IF(2=0,O127,0))</f>
        <v/>
      </c>
      <c r="V127" s="29">
        <f>IF(A127="","",((K127)*(IF(M127="",L127,IFERROR(IF(INDEX(Variablen!$I:$AT, MATCH(M127, Variablen!$A:$A, 0), MATCH((YEAR(D127)+3), Variablen!$I$3:$AT$3, 0))="",L127,INDEX(Variablen!$I:$AT, MATCH(M127, Variablen!$A:$A, 0), MATCH((YEAR(D127)+3), Variablen!$I$3:$AT$3, 0))),L127)))*(IF((YEAR(D127)+3)&lt;YEAR(E127),0,IF((YEAR(D127)+3)&gt;YEAR(E127),1,(12-MONTH(E127)+1)/12))) + (Q127)*(IF((YEAR(D127)+3)&lt;YEAR(E127),0,IF((YEAR(D127)+3)&gt;YEAR(E127),1,(12-MONTH(E127)+1)/12))))-((P127)*(IF((YEAR(D127)+3)&lt;YEAR(E127),0,IF((YEAR(D127)+3)&gt;YEAR(E127),1,(12-MONTH(E127)+1)/12))) + (R127)*(IF((YEAR(D127)+3)&lt;YEAR(E127),0,IF((YEAR(D127)+3)&gt;YEAR(E127),1,(12-MONTH(E127)+1)/12))))-(IF((((K127)*(IF(M127="",L127,IFERROR(IF(INDEX(Variablen!$I:$AT, MATCH(M127, Variablen!$A:$A, 0), MATCH((YEAR(D127)+3), Variablen!$I$3:$AT$3, 0))="",L127,INDEX(Variablen!$I:$AT, MATCH(M127, Variablen!$A:$A, 0), MATCH((YEAR(D127)+3), Variablen!$I$3:$AT$3, 0))),L127)))*(IF((YEAR(D127)+3)&lt;YEAR(E127),0,IF((YEAR(D127)+3)&gt;YEAR(E127),1,(12-MONTH(E127)+1)/12))) + (Q127)*(IF((YEAR(D127)+3)&lt;YEAR(E127),0,IF((YEAR(D127)+3)&gt;YEAR(E127),1,(12-MONTH(E127)+1)/12))))-((P127)*(IF((YEAR(D127)+3)&lt;YEAR(E127),0,IF((YEAR(D127)+3)&gt;YEAR(E127),1,(12-MONTH(E127)+1)/12))) + (R127)*(IF((YEAR(D127)+3)&lt;YEAR(E127),0,IF((YEAR(D127)+3)&gt;YEAR(E127),1,(12-MONTH(E127)+1)/12))))-(IF(OR(N127="",N127&lt;=0),0,(O127/N127)*(IF(OR(N127="",N127&lt;=0),0,IF((YEAR(D127)+3)&lt;YEAR(E127),0,IF((YEAR(D127)+3)&gt;=YEAR(E127)+N127,0,IF((YEAR(D127)+3)=YEAR(E127),(12-MONTH(E127)+1)/12,1))))))))&gt;0,(((K127)*(IF(M127="",L127,IFERROR(IF(INDEX(Variablen!$I:$AT, MATCH(M127, Variablen!$A:$A, 0), MATCH((YEAR(D127)+3), Variablen!$I$3:$AT$3, 0))="",L127,INDEX(Variablen!$I:$AT, MATCH(M127, Variablen!$A:$A, 0), MATCH((YEAR(D127)+3), Variablen!$I$3:$AT$3, 0))),L127)))*(IF((YEAR(D127)+3)&lt;YEAR(E127),0,IF((YEAR(D127)+3)&gt;YEAR(E127),1,(12-MONTH(E127)+1)/12))) + (Q127)*(IF((YEAR(D127)+3)&lt;YEAR(E127),0,IF((YEAR(D127)+3)&gt;YEAR(E127),1,(12-MONTH(E127)+1)/12))))-((P127)*(IF((YEAR(D127)+3)&lt;YEAR(E127),0,IF((YEAR(D127)+3)&gt;YEAR(E127),1,(12-MONTH(E127)+1)/12))) + (R127)*(IF((YEAR(D127)+3)&lt;YEAR(E127),0,IF((YEAR(D127)+3)&gt;YEAR(E127),1,(12-MONTH(E127)+1)/12))))-(IF(OR(N127="",N127&lt;=0),0,(O127/N127)*(IF(OR(N127="",N127&lt;=0),0,IF((YEAR(D127)+3)&lt;YEAR(E127),0,IF((YEAR(D127)+3)&gt;=YEAR(E127)+N127,0,IF((YEAR(D127)+3)=YEAR(E127),(12-MONTH(E127)+1)/12,1))))))))*TaxRate,0))-IF(3=0,O127,0))</f>
        <v/>
      </c>
      <c r="W127" s="29">
        <f>IF(A127="","",((K127)*(IF(M127="",L127,IFERROR(IF(INDEX(Variablen!$I:$AT, MATCH(M127, Variablen!$A:$A, 0), MATCH((YEAR(D127)+4), Variablen!$I$3:$AT$3, 0))="",L127,INDEX(Variablen!$I:$AT, MATCH(M127, Variablen!$A:$A, 0), MATCH((YEAR(D127)+4), Variablen!$I$3:$AT$3, 0))),L127)))*(IF((YEAR(D127)+4)&lt;YEAR(E127),0,IF((YEAR(D127)+4)&gt;YEAR(E127),1,(12-MONTH(E127)+1)/12))) + (Q127)*(IF((YEAR(D127)+4)&lt;YEAR(E127),0,IF((YEAR(D127)+4)&gt;YEAR(E127),1,(12-MONTH(E127)+1)/12))))-((P127)*(IF((YEAR(D127)+4)&lt;YEAR(E127),0,IF((YEAR(D127)+4)&gt;YEAR(E127),1,(12-MONTH(E127)+1)/12))) + (R127)*(IF((YEAR(D127)+4)&lt;YEAR(E127),0,IF((YEAR(D127)+4)&gt;YEAR(E127),1,(12-MONTH(E127)+1)/12))))-(IF((((K127)*(IF(M127="",L127,IFERROR(IF(INDEX(Variablen!$I:$AT, MATCH(M127, Variablen!$A:$A, 0), MATCH((YEAR(D127)+4), Variablen!$I$3:$AT$3, 0))="",L127,INDEX(Variablen!$I:$AT, MATCH(M127, Variablen!$A:$A, 0), MATCH((YEAR(D127)+4), Variablen!$I$3:$AT$3, 0))),L127)))*(IF((YEAR(D127)+4)&lt;YEAR(E127),0,IF((YEAR(D127)+4)&gt;YEAR(E127),1,(12-MONTH(E127)+1)/12))) + (Q127)*(IF((YEAR(D127)+4)&lt;YEAR(E127),0,IF((YEAR(D127)+4)&gt;YEAR(E127),1,(12-MONTH(E127)+1)/12))))-((P127)*(IF((YEAR(D127)+4)&lt;YEAR(E127),0,IF((YEAR(D127)+4)&gt;YEAR(E127),1,(12-MONTH(E127)+1)/12))) + (R127)*(IF((YEAR(D127)+4)&lt;YEAR(E127),0,IF((YEAR(D127)+4)&gt;YEAR(E127),1,(12-MONTH(E127)+1)/12))))-(IF(OR(N127="",N127&lt;=0),0,(O127/N127)*(IF(OR(N127="",N127&lt;=0),0,IF((YEAR(D127)+4)&lt;YEAR(E127),0,IF((YEAR(D127)+4)&gt;=YEAR(E127)+N127,0,IF((YEAR(D127)+4)=YEAR(E127),(12-MONTH(E127)+1)/12,1))))))))&gt;0,(((K127)*(IF(M127="",L127,IFERROR(IF(INDEX(Variablen!$I:$AT, MATCH(M127, Variablen!$A:$A, 0), MATCH((YEAR(D127)+4), Variablen!$I$3:$AT$3, 0))="",L127,INDEX(Variablen!$I:$AT, MATCH(M127, Variablen!$A:$A, 0), MATCH((YEAR(D127)+4), Variablen!$I$3:$AT$3, 0))),L127)))*(IF((YEAR(D127)+4)&lt;YEAR(E127),0,IF((YEAR(D127)+4)&gt;YEAR(E127),1,(12-MONTH(E127)+1)/12))) + (Q127)*(IF((YEAR(D127)+4)&lt;YEAR(E127),0,IF((YEAR(D127)+4)&gt;YEAR(E127),1,(12-MONTH(E127)+1)/12))))-((P127)*(IF((YEAR(D127)+4)&lt;YEAR(E127),0,IF((YEAR(D127)+4)&gt;YEAR(E127),1,(12-MONTH(E127)+1)/12))) + (R127)*(IF((YEAR(D127)+4)&lt;YEAR(E127),0,IF((YEAR(D127)+4)&gt;YEAR(E127),1,(12-MONTH(E127)+1)/12))))-(IF(OR(N127="",N127&lt;=0),0,(O127/N127)*(IF(OR(N127="",N127&lt;=0),0,IF((YEAR(D127)+4)&lt;YEAR(E127),0,IF((YEAR(D127)+4)&gt;=YEAR(E127)+N127,0,IF((YEAR(D127)+4)=YEAR(E127),(12-MONTH(E127)+1)/12,1))))))))*TaxRate,0))-IF(4=0,O127,0))</f>
        <v/>
      </c>
      <c r="X127" s="29">
        <f>IF(A127="","",((K127)*(IF(M127="",L127,IFERROR(IF(INDEX(Variablen!$I:$AT, MATCH(M127, Variablen!$A:$A, 0), MATCH((YEAR(D127)+5), Variablen!$I$3:$AT$3, 0))="",L127,INDEX(Variablen!$I:$AT, MATCH(M127, Variablen!$A:$A, 0), MATCH((YEAR(D127)+5), Variablen!$I$3:$AT$3, 0))),L127)))*(IF((YEAR(D127)+5)&lt;YEAR(E127),0,IF((YEAR(D127)+5)&gt;YEAR(E127),1,(12-MONTH(E127)+1)/12))) + (Q127)*(IF((YEAR(D127)+5)&lt;YEAR(E127),0,IF((YEAR(D127)+5)&gt;YEAR(E127),1,(12-MONTH(E127)+1)/12))))-((P127)*(IF((YEAR(D127)+5)&lt;YEAR(E127),0,IF((YEAR(D127)+5)&gt;YEAR(E127),1,(12-MONTH(E127)+1)/12))) + (R127)*(IF((YEAR(D127)+5)&lt;YEAR(E127),0,IF((YEAR(D127)+5)&gt;YEAR(E127),1,(12-MONTH(E127)+1)/12))))-(IF((((K127)*(IF(M127="",L127,IFERROR(IF(INDEX(Variablen!$I:$AT, MATCH(M127, Variablen!$A:$A, 0), MATCH((YEAR(D127)+5), Variablen!$I$3:$AT$3, 0))="",L127,INDEX(Variablen!$I:$AT, MATCH(M127, Variablen!$A:$A, 0), MATCH((YEAR(D127)+5), Variablen!$I$3:$AT$3, 0))),L127)))*(IF((YEAR(D127)+5)&lt;YEAR(E127),0,IF((YEAR(D127)+5)&gt;YEAR(E127),1,(12-MONTH(E127)+1)/12))) + (Q127)*(IF((YEAR(D127)+5)&lt;YEAR(E127),0,IF((YEAR(D127)+5)&gt;YEAR(E127),1,(12-MONTH(E127)+1)/12))))-((P127)*(IF((YEAR(D127)+5)&lt;YEAR(E127),0,IF((YEAR(D127)+5)&gt;YEAR(E127),1,(12-MONTH(E127)+1)/12))) + (R127)*(IF((YEAR(D127)+5)&lt;YEAR(E127),0,IF((YEAR(D127)+5)&gt;YEAR(E127),1,(12-MONTH(E127)+1)/12))))-(IF(OR(N127="",N127&lt;=0),0,(O127/N127)*(IF(OR(N127="",N127&lt;=0),0,IF((YEAR(D127)+5)&lt;YEAR(E127),0,IF((YEAR(D127)+5)&gt;=YEAR(E127)+N127,0,IF((YEAR(D127)+5)=YEAR(E127),(12-MONTH(E127)+1)/12,1))))))))&gt;0,(((K127)*(IF(M127="",L127,IFERROR(IF(INDEX(Variablen!$I:$AT, MATCH(M127, Variablen!$A:$A, 0), MATCH((YEAR(D127)+5), Variablen!$I$3:$AT$3, 0))="",L127,INDEX(Variablen!$I:$AT, MATCH(M127, Variablen!$A:$A, 0), MATCH((YEAR(D127)+5), Variablen!$I$3:$AT$3, 0))),L127)))*(IF((YEAR(D127)+5)&lt;YEAR(E127),0,IF((YEAR(D127)+5)&gt;YEAR(E127),1,(12-MONTH(E127)+1)/12))) + (Q127)*(IF((YEAR(D127)+5)&lt;YEAR(E127),0,IF((YEAR(D127)+5)&gt;YEAR(E127),1,(12-MONTH(E127)+1)/12))))-((P127)*(IF((YEAR(D127)+5)&lt;YEAR(E127),0,IF((YEAR(D127)+5)&gt;YEAR(E127),1,(12-MONTH(E127)+1)/12))) + (R127)*(IF((YEAR(D127)+5)&lt;YEAR(E127),0,IF((YEAR(D127)+5)&gt;YEAR(E127),1,(12-MONTH(E127)+1)/12))))-(IF(OR(N127="",N127&lt;=0),0,(O127/N127)*(IF(OR(N127="",N127&lt;=0),0,IF((YEAR(D127)+5)&lt;YEAR(E127),0,IF((YEAR(D127)+5)&gt;=YEAR(E127)+N127,0,IF((YEAR(D127)+5)=YEAR(E127),(12-MONTH(E127)+1)/12,1))))))))*TaxRate,0))-IF(5=0,O127,0))</f>
        <v/>
      </c>
      <c r="Y127" s="29">
        <f>IF(A127="","",((K127)*(IF(M127="",L127,IFERROR(IF(INDEX(Variablen!$I:$AT, MATCH(M127, Variablen!$A:$A, 0), MATCH((YEAR(D127)+6), Variablen!$I$3:$AT$3, 0))="",L127,INDEX(Variablen!$I:$AT, MATCH(M127, Variablen!$A:$A, 0), MATCH((YEAR(D127)+6), Variablen!$I$3:$AT$3, 0))),L127)))*(IF((YEAR(D127)+6)&lt;YEAR(E127),0,IF((YEAR(D127)+6)&gt;YEAR(E127),1,(12-MONTH(E127)+1)/12))) + (Q127)*(IF((YEAR(D127)+6)&lt;YEAR(E127),0,IF((YEAR(D127)+6)&gt;YEAR(E127),1,(12-MONTH(E127)+1)/12))))-((P127)*(IF((YEAR(D127)+6)&lt;YEAR(E127),0,IF((YEAR(D127)+6)&gt;YEAR(E127),1,(12-MONTH(E127)+1)/12))) + (R127)*(IF((YEAR(D127)+6)&lt;YEAR(E127),0,IF((YEAR(D127)+6)&gt;YEAR(E127),1,(12-MONTH(E127)+1)/12))))-(IF((((K127)*(IF(M127="",L127,IFERROR(IF(INDEX(Variablen!$I:$AT, MATCH(M127, Variablen!$A:$A, 0), MATCH((YEAR(D127)+6), Variablen!$I$3:$AT$3, 0))="",L127,INDEX(Variablen!$I:$AT, MATCH(M127, Variablen!$A:$A, 0), MATCH((YEAR(D127)+6), Variablen!$I$3:$AT$3, 0))),L127)))*(IF((YEAR(D127)+6)&lt;YEAR(E127),0,IF((YEAR(D127)+6)&gt;YEAR(E127),1,(12-MONTH(E127)+1)/12))) + (Q127)*(IF((YEAR(D127)+6)&lt;YEAR(E127),0,IF((YEAR(D127)+6)&gt;YEAR(E127),1,(12-MONTH(E127)+1)/12))))-((P127)*(IF((YEAR(D127)+6)&lt;YEAR(E127),0,IF((YEAR(D127)+6)&gt;YEAR(E127),1,(12-MONTH(E127)+1)/12))) + (R127)*(IF((YEAR(D127)+6)&lt;YEAR(E127),0,IF((YEAR(D127)+6)&gt;YEAR(E127),1,(12-MONTH(E127)+1)/12))))-(IF(OR(N127="",N127&lt;=0),0,(O127/N127)*(IF(OR(N127="",N127&lt;=0),0,IF((YEAR(D127)+6)&lt;YEAR(E127),0,IF((YEAR(D127)+6)&gt;=YEAR(E127)+N127,0,IF((YEAR(D127)+6)=YEAR(E127),(12-MONTH(E127)+1)/12,1))))))))&gt;0,(((K127)*(IF(M127="",L127,IFERROR(IF(INDEX(Variablen!$I:$AT, MATCH(M127, Variablen!$A:$A, 0), MATCH((YEAR(D127)+6), Variablen!$I$3:$AT$3, 0))="",L127,INDEX(Variablen!$I:$AT, MATCH(M127, Variablen!$A:$A, 0), MATCH((YEAR(D127)+6), Variablen!$I$3:$AT$3, 0))),L127)))*(IF((YEAR(D127)+6)&lt;YEAR(E127),0,IF((YEAR(D127)+6)&gt;YEAR(E127),1,(12-MONTH(E127)+1)/12))) + (Q127)*(IF((YEAR(D127)+6)&lt;YEAR(E127),0,IF((YEAR(D127)+6)&gt;YEAR(E127),1,(12-MONTH(E127)+1)/12))))-((P127)*(IF((YEAR(D127)+6)&lt;YEAR(E127),0,IF((YEAR(D127)+6)&gt;YEAR(E127),1,(12-MONTH(E127)+1)/12))) + (R127)*(IF((YEAR(D127)+6)&lt;YEAR(E127),0,IF((YEAR(D127)+6)&gt;YEAR(E127),1,(12-MONTH(E127)+1)/12))))-(IF(OR(N127="",N127&lt;=0),0,(O127/N127)*(IF(OR(N127="",N127&lt;=0),0,IF((YEAR(D127)+6)&lt;YEAR(E127),0,IF((YEAR(D127)+6)&gt;=YEAR(E127)+N127,0,IF((YEAR(D127)+6)=YEAR(E127),(12-MONTH(E127)+1)/12,1))))))))*TaxRate,0))-IF(6=0,O127,0))</f>
        <v/>
      </c>
      <c r="Z127" s="29">
        <f>IF(A127="","",((K127)*(IF(M127="",L127,IFERROR(IF(INDEX(Variablen!$I:$AT, MATCH(M127, Variablen!$A:$A, 0), MATCH((YEAR(D127)+7), Variablen!$I$3:$AT$3, 0))="",L127,INDEX(Variablen!$I:$AT, MATCH(M127, Variablen!$A:$A, 0), MATCH((YEAR(D127)+7), Variablen!$I$3:$AT$3, 0))),L127)))*(IF((YEAR(D127)+7)&lt;YEAR(E127),0,IF((YEAR(D127)+7)&gt;YEAR(E127),1,(12-MONTH(E127)+1)/12))) + (Q127)*(IF((YEAR(D127)+7)&lt;YEAR(E127),0,IF((YEAR(D127)+7)&gt;YEAR(E127),1,(12-MONTH(E127)+1)/12))))-((P127)*(IF((YEAR(D127)+7)&lt;YEAR(E127),0,IF((YEAR(D127)+7)&gt;YEAR(E127),1,(12-MONTH(E127)+1)/12))) + (R127)*(IF((YEAR(D127)+7)&lt;YEAR(E127),0,IF((YEAR(D127)+7)&gt;YEAR(E127),1,(12-MONTH(E127)+1)/12))))-(IF((((K127)*(IF(M127="",L127,IFERROR(IF(INDEX(Variablen!$I:$AT, MATCH(M127, Variablen!$A:$A, 0), MATCH((YEAR(D127)+7), Variablen!$I$3:$AT$3, 0))="",L127,INDEX(Variablen!$I:$AT, MATCH(M127, Variablen!$A:$A, 0), MATCH((YEAR(D127)+7), Variablen!$I$3:$AT$3, 0))),L127)))*(IF((YEAR(D127)+7)&lt;YEAR(E127),0,IF((YEAR(D127)+7)&gt;YEAR(E127),1,(12-MONTH(E127)+1)/12))) + (Q127)*(IF((YEAR(D127)+7)&lt;YEAR(E127),0,IF((YEAR(D127)+7)&gt;YEAR(E127),1,(12-MONTH(E127)+1)/12))))-((P127)*(IF((YEAR(D127)+7)&lt;YEAR(E127),0,IF((YEAR(D127)+7)&gt;YEAR(E127),1,(12-MONTH(E127)+1)/12))) + (R127)*(IF((YEAR(D127)+7)&lt;YEAR(E127),0,IF((YEAR(D127)+7)&gt;YEAR(E127),1,(12-MONTH(E127)+1)/12))))-(IF(OR(N127="",N127&lt;=0),0,(O127/N127)*(IF(OR(N127="",N127&lt;=0),0,IF((YEAR(D127)+7)&lt;YEAR(E127),0,IF((YEAR(D127)+7)&gt;=YEAR(E127)+N127,0,IF((YEAR(D127)+7)=YEAR(E127),(12-MONTH(E127)+1)/12,1))))))))&gt;0,(((K127)*(IF(M127="",L127,IFERROR(IF(INDEX(Variablen!$I:$AT, MATCH(M127, Variablen!$A:$A, 0), MATCH((YEAR(D127)+7), Variablen!$I$3:$AT$3, 0))="",L127,INDEX(Variablen!$I:$AT, MATCH(M127, Variablen!$A:$A, 0), MATCH((YEAR(D127)+7), Variablen!$I$3:$AT$3, 0))),L127)))*(IF((YEAR(D127)+7)&lt;YEAR(E127),0,IF((YEAR(D127)+7)&gt;YEAR(E127),1,(12-MONTH(E127)+1)/12))) + (Q127)*(IF((YEAR(D127)+7)&lt;YEAR(E127),0,IF((YEAR(D127)+7)&gt;YEAR(E127),1,(12-MONTH(E127)+1)/12))))-((P127)*(IF((YEAR(D127)+7)&lt;YEAR(E127),0,IF((YEAR(D127)+7)&gt;YEAR(E127),1,(12-MONTH(E127)+1)/12))) + (R127)*(IF((YEAR(D127)+7)&lt;YEAR(E127),0,IF((YEAR(D127)+7)&gt;YEAR(E127),1,(12-MONTH(E127)+1)/12))))-(IF(OR(N127="",N127&lt;=0),0,(O127/N127)*(IF(OR(N127="",N127&lt;=0),0,IF((YEAR(D127)+7)&lt;YEAR(E127),0,IF((YEAR(D127)+7)&gt;=YEAR(E127)+N127,0,IF((YEAR(D127)+7)=YEAR(E127),(12-MONTH(E127)+1)/12,1))))))))*TaxRate,0))-IF(7=0,O127,0))</f>
        <v/>
      </c>
      <c r="AA127" s="29">
        <f>IF(A127="","",((K127)*(IF(M127="",L127,IFERROR(IF(INDEX(Variablen!$I:$AT, MATCH(M127, Variablen!$A:$A, 0), MATCH((YEAR(D127)+8), Variablen!$I$3:$AT$3, 0))="",L127,INDEX(Variablen!$I:$AT, MATCH(M127, Variablen!$A:$A, 0), MATCH((YEAR(D127)+8), Variablen!$I$3:$AT$3, 0))),L127)))*(IF((YEAR(D127)+8)&lt;YEAR(E127),0,IF((YEAR(D127)+8)&gt;YEAR(E127),1,(12-MONTH(E127)+1)/12))) + (Q127)*(IF((YEAR(D127)+8)&lt;YEAR(E127),0,IF((YEAR(D127)+8)&gt;YEAR(E127),1,(12-MONTH(E127)+1)/12))))-((P127)*(IF((YEAR(D127)+8)&lt;YEAR(E127),0,IF((YEAR(D127)+8)&gt;YEAR(E127),1,(12-MONTH(E127)+1)/12))) + (R127)*(IF((YEAR(D127)+8)&lt;YEAR(E127),0,IF((YEAR(D127)+8)&gt;YEAR(E127),1,(12-MONTH(E127)+1)/12))))-(IF((((K127)*(IF(M127="",L127,IFERROR(IF(INDEX(Variablen!$I:$AT, MATCH(M127, Variablen!$A:$A, 0), MATCH((YEAR(D127)+8), Variablen!$I$3:$AT$3, 0))="",L127,INDEX(Variablen!$I:$AT, MATCH(M127, Variablen!$A:$A, 0), MATCH((YEAR(D127)+8), Variablen!$I$3:$AT$3, 0))),L127)))*(IF((YEAR(D127)+8)&lt;YEAR(E127),0,IF((YEAR(D127)+8)&gt;YEAR(E127),1,(12-MONTH(E127)+1)/12))) + (Q127)*(IF((YEAR(D127)+8)&lt;YEAR(E127),0,IF((YEAR(D127)+8)&gt;YEAR(E127),1,(12-MONTH(E127)+1)/12))))-((P127)*(IF((YEAR(D127)+8)&lt;YEAR(E127),0,IF((YEAR(D127)+8)&gt;YEAR(E127),1,(12-MONTH(E127)+1)/12))) + (R127)*(IF((YEAR(D127)+8)&lt;YEAR(E127),0,IF((YEAR(D127)+8)&gt;YEAR(E127),1,(12-MONTH(E127)+1)/12))))-(IF(OR(N127="",N127&lt;=0),0,(O127/N127)*(IF(OR(N127="",N127&lt;=0),0,IF((YEAR(D127)+8)&lt;YEAR(E127),0,IF((YEAR(D127)+8)&gt;=YEAR(E127)+N127,0,IF((YEAR(D127)+8)=YEAR(E127),(12-MONTH(E127)+1)/12,1))))))))&gt;0,(((K127)*(IF(M127="",L127,IFERROR(IF(INDEX(Variablen!$I:$AT, MATCH(M127, Variablen!$A:$A, 0), MATCH((YEAR(D127)+8), Variablen!$I$3:$AT$3, 0))="",L127,INDEX(Variablen!$I:$AT, MATCH(M127, Variablen!$A:$A, 0), MATCH((YEAR(D127)+8), Variablen!$I$3:$AT$3, 0))),L127)))*(IF((YEAR(D127)+8)&lt;YEAR(E127),0,IF((YEAR(D127)+8)&gt;YEAR(E127),1,(12-MONTH(E127)+1)/12))) + (Q127)*(IF((YEAR(D127)+8)&lt;YEAR(E127),0,IF((YEAR(D127)+8)&gt;YEAR(E127),1,(12-MONTH(E127)+1)/12))))-((P127)*(IF((YEAR(D127)+8)&lt;YEAR(E127),0,IF((YEAR(D127)+8)&gt;YEAR(E127),1,(12-MONTH(E127)+1)/12))) + (R127)*(IF((YEAR(D127)+8)&lt;YEAR(E127),0,IF((YEAR(D127)+8)&gt;YEAR(E127),1,(12-MONTH(E127)+1)/12))))-(IF(OR(N127="",N127&lt;=0),0,(O127/N127)*(IF(OR(N127="",N127&lt;=0),0,IF((YEAR(D127)+8)&lt;YEAR(E127),0,IF((YEAR(D127)+8)&gt;=YEAR(E127)+N127,0,IF((YEAR(D127)+8)=YEAR(E127),(12-MONTH(E127)+1)/12,1))))))))*TaxRate,0))-IF(8=0,O127,0))</f>
        <v/>
      </c>
      <c r="AB127" s="29">
        <f>IF(A127="","",((K127)*(IF(M127="",L127,IFERROR(IF(INDEX(Variablen!$I:$AT, MATCH(M127, Variablen!$A:$A, 0), MATCH((YEAR(D127)+9), Variablen!$I$3:$AT$3, 0))="",L127,INDEX(Variablen!$I:$AT, MATCH(M127, Variablen!$A:$A, 0), MATCH((YEAR(D127)+9), Variablen!$I$3:$AT$3, 0))),L127)))*(IF((YEAR(D127)+9)&lt;YEAR(E127),0,IF((YEAR(D127)+9)&gt;YEAR(E127),1,(12-MONTH(E127)+1)/12))) + (Q127)*(IF((YEAR(D127)+9)&lt;YEAR(E127),0,IF((YEAR(D127)+9)&gt;YEAR(E127),1,(12-MONTH(E127)+1)/12))))-((P127)*(IF((YEAR(D127)+9)&lt;YEAR(E127),0,IF((YEAR(D127)+9)&gt;YEAR(E127),1,(12-MONTH(E127)+1)/12))) + (R127)*(IF((YEAR(D127)+9)&lt;YEAR(E127),0,IF((YEAR(D127)+9)&gt;YEAR(E127),1,(12-MONTH(E127)+1)/12))))-(IF((((K127)*(IF(M127="",L127,IFERROR(IF(INDEX(Variablen!$I:$AT, MATCH(M127, Variablen!$A:$A, 0), MATCH((YEAR(D127)+9), Variablen!$I$3:$AT$3, 0))="",L127,INDEX(Variablen!$I:$AT, MATCH(M127, Variablen!$A:$A, 0), MATCH((YEAR(D127)+9), Variablen!$I$3:$AT$3, 0))),L127)))*(IF((YEAR(D127)+9)&lt;YEAR(E127),0,IF((YEAR(D127)+9)&gt;YEAR(E127),1,(12-MONTH(E127)+1)/12))) + (Q127)*(IF((YEAR(D127)+9)&lt;YEAR(E127),0,IF((YEAR(D127)+9)&gt;YEAR(E127),1,(12-MONTH(E127)+1)/12))))-((P127)*(IF((YEAR(D127)+9)&lt;YEAR(E127),0,IF((YEAR(D127)+9)&gt;YEAR(E127),1,(12-MONTH(E127)+1)/12))) + (R127)*(IF((YEAR(D127)+9)&lt;YEAR(E127),0,IF((YEAR(D127)+9)&gt;YEAR(E127),1,(12-MONTH(E127)+1)/12))))-(IF(OR(N127="",N127&lt;=0),0,(O127/N127)*(IF(OR(N127="",N127&lt;=0),0,IF((YEAR(D127)+9)&lt;YEAR(E127),0,IF((YEAR(D127)+9)&gt;=YEAR(E127)+N127,0,IF((YEAR(D127)+9)=YEAR(E127),(12-MONTH(E127)+1)/12,1))))))))&gt;0,(((K127)*(IF(M127="",L127,IFERROR(IF(INDEX(Variablen!$I:$AT, MATCH(M127, Variablen!$A:$A, 0), MATCH((YEAR(D127)+9), Variablen!$I$3:$AT$3, 0))="",L127,INDEX(Variablen!$I:$AT, MATCH(M127, Variablen!$A:$A, 0), MATCH((YEAR(D127)+9), Variablen!$I$3:$AT$3, 0))),L127)))*(IF((YEAR(D127)+9)&lt;YEAR(E127),0,IF((YEAR(D127)+9)&gt;YEAR(E127),1,(12-MONTH(E127)+1)/12))) + (Q127)*(IF((YEAR(D127)+9)&lt;YEAR(E127),0,IF((YEAR(D127)+9)&gt;YEAR(E127),1,(12-MONTH(E127)+1)/12))))-((P127)*(IF((YEAR(D127)+9)&lt;YEAR(E127),0,IF((YEAR(D127)+9)&gt;YEAR(E127),1,(12-MONTH(E127)+1)/12))) + (R127)*(IF((YEAR(D127)+9)&lt;YEAR(E127),0,IF((YEAR(D127)+9)&gt;YEAR(E127),1,(12-MONTH(E127)+1)/12))))-(IF(OR(N127="",N127&lt;=0),0,(O127/N127)*(IF(OR(N127="",N127&lt;=0),0,IF((YEAR(D127)+9)&lt;YEAR(E127),0,IF((YEAR(D127)+9)&gt;=YEAR(E127)+N127,0,IF((YEAR(D127)+9)=YEAR(E127),(12-MONTH(E127)+1)/12,1))))))))*TaxRate,0))-IF(9=0,O127,0))</f>
        <v/>
      </c>
      <c r="AC127" s="29">
        <f>IF(A127="","",((K127)*(IF(M127="",L127,IFERROR(IF(INDEX(Variablen!$I:$AT, MATCH(M127, Variablen!$A:$A, 0), MATCH((YEAR(D127)+10), Variablen!$I$3:$AT$3, 0))="",L127,INDEX(Variablen!$I:$AT, MATCH(M127, Variablen!$A:$A, 0), MATCH((YEAR(D127)+10), Variablen!$I$3:$AT$3, 0))),L127)))*(IF((YEAR(D127)+10)&lt;YEAR(E127),0,IF((YEAR(D127)+10)&gt;YEAR(E127),1,(12-MONTH(E127)+1)/12))) + (Q127)*(IF((YEAR(D127)+10)&lt;YEAR(E127),0,IF((YEAR(D127)+10)&gt;YEAR(E127),1,(12-MONTH(E127)+1)/12))))-((P127)*(IF((YEAR(D127)+10)&lt;YEAR(E127),0,IF((YEAR(D127)+10)&gt;YEAR(E127),1,(12-MONTH(E127)+1)/12))) + (R127)*(IF((YEAR(D127)+10)&lt;YEAR(E127),0,IF((YEAR(D127)+10)&gt;YEAR(E127),1,(12-MONTH(E127)+1)/12))))-(IF((((K127)*(IF(M127="",L127,IFERROR(IF(INDEX(Variablen!$I:$AT, MATCH(M127, Variablen!$A:$A, 0), MATCH((YEAR(D127)+10), Variablen!$I$3:$AT$3, 0))="",L127,INDEX(Variablen!$I:$AT, MATCH(M127, Variablen!$A:$A, 0), MATCH((YEAR(D127)+10), Variablen!$I$3:$AT$3, 0))),L127)))*(IF((YEAR(D127)+10)&lt;YEAR(E127),0,IF((YEAR(D127)+10)&gt;YEAR(E127),1,(12-MONTH(E127)+1)/12))) + (Q127)*(IF((YEAR(D127)+10)&lt;YEAR(E127),0,IF((YEAR(D127)+10)&gt;YEAR(E127),1,(12-MONTH(E127)+1)/12))))-((P127)*(IF((YEAR(D127)+10)&lt;YEAR(E127),0,IF((YEAR(D127)+10)&gt;YEAR(E127),1,(12-MONTH(E127)+1)/12))) + (R127)*(IF((YEAR(D127)+10)&lt;YEAR(E127),0,IF((YEAR(D127)+10)&gt;YEAR(E127),1,(12-MONTH(E127)+1)/12))))-(IF(OR(N127="",N127&lt;=0),0,(O127/N127)*(IF(OR(N127="",N127&lt;=0),0,IF((YEAR(D127)+10)&lt;YEAR(E127),0,IF((YEAR(D127)+10)&gt;=YEAR(E127)+N127,0,IF((YEAR(D127)+10)=YEAR(E127),(12-MONTH(E127)+1)/12,1))))))))&gt;0,(((K127)*(IF(M127="",L127,IFERROR(IF(INDEX(Variablen!$I:$AT, MATCH(M127, Variablen!$A:$A, 0), MATCH((YEAR(D127)+10), Variablen!$I$3:$AT$3, 0))="",L127,INDEX(Variablen!$I:$AT, MATCH(M127, Variablen!$A:$A, 0), MATCH((YEAR(D127)+10), Variablen!$I$3:$AT$3, 0))),L127)))*(IF((YEAR(D127)+10)&lt;YEAR(E127),0,IF((YEAR(D127)+10)&gt;YEAR(E127),1,(12-MONTH(E127)+1)/12))) + (Q127)*(IF((YEAR(D127)+10)&lt;YEAR(E127),0,IF((YEAR(D127)+10)&gt;YEAR(E127),1,(12-MONTH(E127)+1)/12))))-((P127)*(IF((YEAR(D127)+10)&lt;YEAR(E127),0,IF((YEAR(D127)+10)&gt;YEAR(E127),1,(12-MONTH(E127)+1)/12))) + (R127)*(IF((YEAR(D127)+10)&lt;YEAR(E127),0,IF((YEAR(D127)+10)&gt;YEAR(E127),1,(12-MONTH(E127)+1)/12))))-(IF(OR(N127="",N127&lt;=0),0,(O127/N127)*(IF(OR(N127="",N127&lt;=0),0,IF((YEAR(D127)+10)&lt;YEAR(E127),0,IF((YEAR(D127)+10)&gt;=YEAR(E127)+N127,0,IF((YEAR(D127)+10)=YEAR(E127),(12-MONTH(E127)+1)/12,1))))))))*TaxRate,0))-IF(10=0,O127,0))</f>
        <v/>
      </c>
      <c r="AD127" s="29">
        <f>IF(A127="","",((K127)*(IF(M127="",L127,IFERROR(IF(INDEX(Variablen!$I:$AT, MATCH(M127, Variablen!$A:$A, 0), MATCH((YEAR(D127)+11), Variablen!$I$3:$AT$3, 0))="",L127,INDEX(Variablen!$I:$AT, MATCH(M127, Variablen!$A:$A, 0), MATCH((YEAR(D127)+11), Variablen!$I$3:$AT$3, 0))),L127)))*(IF((YEAR(D127)+11)&lt;YEAR(E127),0,IF((YEAR(D127)+11)&gt;YEAR(E127),1,(12-MONTH(E127)+1)/12))) + (Q127)*(IF((YEAR(D127)+11)&lt;YEAR(E127),0,IF((YEAR(D127)+11)&gt;YEAR(E127),1,(12-MONTH(E127)+1)/12))))-((P127)*(IF((YEAR(D127)+11)&lt;YEAR(E127),0,IF((YEAR(D127)+11)&gt;YEAR(E127),1,(12-MONTH(E127)+1)/12))) + (R127)*(IF((YEAR(D127)+11)&lt;YEAR(E127),0,IF((YEAR(D127)+11)&gt;YEAR(E127),1,(12-MONTH(E127)+1)/12))))-(IF((((K127)*(IF(M127="",L127,IFERROR(IF(INDEX(Variablen!$I:$AT, MATCH(M127, Variablen!$A:$A, 0), MATCH((YEAR(D127)+11), Variablen!$I$3:$AT$3, 0))="",L127,INDEX(Variablen!$I:$AT, MATCH(M127, Variablen!$A:$A, 0), MATCH((YEAR(D127)+11), Variablen!$I$3:$AT$3, 0))),L127)))*(IF((YEAR(D127)+11)&lt;YEAR(E127),0,IF((YEAR(D127)+11)&gt;YEAR(E127),1,(12-MONTH(E127)+1)/12))) + (Q127)*(IF((YEAR(D127)+11)&lt;YEAR(E127),0,IF((YEAR(D127)+11)&gt;YEAR(E127),1,(12-MONTH(E127)+1)/12))))-((P127)*(IF((YEAR(D127)+11)&lt;YEAR(E127),0,IF((YEAR(D127)+11)&gt;YEAR(E127),1,(12-MONTH(E127)+1)/12))) + (R127)*(IF((YEAR(D127)+11)&lt;YEAR(E127),0,IF((YEAR(D127)+11)&gt;YEAR(E127),1,(12-MONTH(E127)+1)/12))))-(IF(OR(N127="",N127&lt;=0),0,(O127/N127)*(IF(OR(N127="",N127&lt;=0),0,IF((YEAR(D127)+11)&lt;YEAR(E127),0,IF((YEAR(D127)+11)&gt;=YEAR(E127)+N127,0,IF((YEAR(D127)+11)=YEAR(E127),(12-MONTH(E127)+1)/12,1))))))))&gt;0,(((K127)*(IF(M127="",L127,IFERROR(IF(INDEX(Variablen!$I:$AT, MATCH(M127, Variablen!$A:$A, 0), MATCH((YEAR(D127)+11), Variablen!$I$3:$AT$3, 0))="",L127,INDEX(Variablen!$I:$AT, MATCH(M127, Variablen!$A:$A, 0), MATCH((YEAR(D127)+11), Variablen!$I$3:$AT$3, 0))),L127)))*(IF((YEAR(D127)+11)&lt;YEAR(E127),0,IF((YEAR(D127)+11)&gt;YEAR(E127),1,(12-MONTH(E127)+1)/12))) + (Q127)*(IF((YEAR(D127)+11)&lt;YEAR(E127),0,IF((YEAR(D127)+11)&gt;YEAR(E127),1,(12-MONTH(E127)+1)/12))))-((P127)*(IF((YEAR(D127)+11)&lt;YEAR(E127),0,IF((YEAR(D127)+11)&gt;YEAR(E127),1,(12-MONTH(E127)+1)/12))) + (R127)*(IF((YEAR(D127)+11)&lt;YEAR(E127),0,IF((YEAR(D127)+11)&gt;YEAR(E127),1,(12-MONTH(E127)+1)/12))))-(IF(OR(N127="",N127&lt;=0),0,(O127/N127)*(IF(OR(N127="",N127&lt;=0),0,IF((YEAR(D127)+11)&lt;YEAR(E127),0,IF((YEAR(D127)+11)&gt;=YEAR(E127)+N127,0,IF((YEAR(D127)+11)=YEAR(E127),(12-MONTH(E127)+1)/12,1))))))))*TaxRate,0))-IF(11=0,O127,0))</f>
        <v/>
      </c>
      <c r="AE127" s="29">
        <f>IF(A127="","",((K127)*(IF(M127="",L127,IFERROR(IF(INDEX(Variablen!$I:$AT, MATCH(M127, Variablen!$A:$A, 0), MATCH((YEAR(D127)+12), Variablen!$I$3:$AT$3, 0))="",L127,INDEX(Variablen!$I:$AT, MATCH(M127, Variablen!$A:$A, 0), MATCH((YEAR(D127)+12), Variablen!$I$3:$AT$3, 0))),L127)))*(IF((YEAR(D127)+12)&lt;YEAR(E127),0,IF((YEAR(D127)+12)&gt;YEAR(E127),1,(12-MONTH(E127)+1)/12))) + (Q127)*(IF((YEAR(D127)+12)&lt;YEAR(E127),0,IF((YEAR(D127)+12)&gt;YEAR(E127),1,(12-MONTH(E127)+1)/12))))-((P127)*(IF((YEAR(D127)+12)&lt;YEAR(E127),0,IF((YEAR(D127)+12)&gt;YEAR(E127),1,(12-MONTH(E127)+1)/12))) + (R127)*(IF((YEAR(D127)+12)&lt;YEAR(E127),0,IF((YEAR(D127)+12)&gt;YEAR(E127),1,(12-MONTH(E127)+1)/12))))-(IF((((K127)*(IF(M127="",L127,IFERROR(IF(INDEX(Variablen!$I:$AT, MATCH(M127, Variablen!$A:$A, 0), MATCH((YEAR(D127)+12), Variablen!$I$3:$AT$3, 0))="",L127,INDEX(Variablen!$I:$AT, MATCH(M127, Variablen!$A:$A, 0), MATCH((YEAR(D127)+12), Variablen!$I$3:$AT$3, 0))),L127)))*(IF((YEAR(D127)+12)&lt;YEAR(E127),0,IF((YEAR(D127)+12)&gt;YEAR(E127),1,(12-MONTH(E127)+1)/12))) + (Q127)*(IF((YEAR(D127)+12)&lt;YEAR(E127),0,IF((YEAR(D127)+12)&gt;YEAR(E127),1,(12-MONTH(E127)+1)/12))))-((P127)*(IF((YEAR(D127)+12)&lt;YEAR(E127),0,IF((YEAR(D127)+12)&gt;YEAR(E127),1,(12-MONTH(E127)+1)/12))) + (R127)*(IF((YEAR(D127)+12)&lt;YEAR(E127),0,IF((YEAR(D127)+12)&gt;YEAR(E127),1,(12-MONTH(E127)+1)/12))))-(IF(OR(N127="",N127&lt;=0),0,(O127/N127)*(IF(OR(N127="",N127&lt;=0),0,IF((YEAR(D127)+12)&lt;YEAR(E127),0,IF((YEAR(D127)+12)&gt;=YEAR(E127)+N127,0,IF((YEAR(D127)+12)=YEAR(E127),(12-MONTH(E127)+1)/12,1))))))))&gt;0,(((K127)*(IF(M127="",L127,IFERROR(IF(INDEX(Variablen!$I:$AT, MATCH(M127, Variablen!$A:$A, 0), MATCH((YEAR(D127)+12), Variablen!$I$3:$AT$3, 0))="",L127,INDEX(Variablen!$I:$AT, MATCH(M127, Variablen!$A:$A, 0), MATCH((YEAR(D127)+12), Variablen!$I$3:$AT$3, 0))),L127)))*(IF((YEAR(D127)+12)&lt;YEAR(E127),0,IF((YEAR(D127)+12)&gt;YEAR(E127),1,(12-MONTH(E127)+1)/12))) + (Q127)*(IF((YEAR(D127)+12)&lt;YEAR(E127),0,IF((YEAR(D127)+12)&gt;YEAR(E127),1,(12-MONTH(E127)+1)/12))))-((P127)*(IF((YEAR(D127)+12)&lt;YEAR(E127),0,IF((YEAR(D127)+12)&gt;YEAR(E127),1,(12-MONTH(E127)+1)/12))) + (R127)*(IF((YEAR(D127)+12)&lt;YEAR(E127),0,IF((YEAR(D127)+12)&gt;YEAR(E127),1,(12-MONTH(E127)+1)/12))))-(IF(OR(N127="",N127&lt;=0),0,(O127/N127)*(IF(OR(N127="",N127&lt;=0),0,IF((YEAR(D127)+12)&lt;YEAR(E127),0,IF((YEAR(D127)+12)&gt;=YEAR(E127)+N127,0,IF((YEAR(D127)+12)=YEAR(E127),(12-MONTH(E127)+1)/12,1))))))))*TaxRate,0))-IF(12=0,O127,0))</f>
        <v/>
      </c>
      <c r="AF127" s="29">
        <f>IF(A127="","",((K127)*(IF(M127="",L127,IFERROR(IF(INDEX(Variablen!$I:$AT, MATCH(M127, Variablen!$A:$A, 0), MATCH((YEAR(D127)+13), Variablen!$I$3:$AT$3, 0))="",L127,INDEX(Variablen!$I:$AT, MATCH(M127, Variablen!$A:$A, 0), MATCH((YEAR(D127)+13), Variablen!$I$3:$AT$3, 0))),L127)))*(IF((YEAR(D127)+13)&lt;YEAR(E127),0,IF((YEAR(D127)+13)&gt;YEAR(E127),1,(12-MONTH(E127)+1)/12))) + (Q127)*(IF((YEAR(D127)+13)&lt;YEAR(E127),0,IF((YEAR(D127)+13)&gt;YEAR(E127),1,(12-MONTH(E127)+1)/12))))-((P127)*(IF((YEAR(D127)+13)&lt;YEAR(E127),0,IF((YEAR(D127)+13)&gt;YEAR(E127),1,(12-MONTH(E127)+1)/12))) + (R127)*(IF((YEAR(D127)+13)&lt;YEAR(E127),0,IF((YEAR(D127)+13)&gt;YEAR(E127),1,(12-MONTH(E127)+1)/12))))-(IF((((K127)*(IF(M127="",L127,IFERROR(IF(INDEX(Variablen!$I:$AT, MATCH(M127, Variablen!$A:$A, 0), MATCH((YEAR(D127)+13), Variablen!$I$3:$AT$3, 0))="",L127,INDEX(Variablen!$I:$AT, MATCH(M127, Variablen!$A:$A, 0), MATCH((YEAR(D127)+13), Variablen!$I$3:$AT$3, 0))),L127)))*(IF((YEAR(D127)+13)&lt;YEAR(E127),0,IF((YEAR(D127)+13)&gt;YEAR(E127),1,(12-MONTH(E127)+1)/12))) + (Q127)*(IF((YEAR(D127)+13)&lt;YEAR(E127),0,IF((YEAR(D127)+13)&gt;YEAR(E127),1,(12-MONTH(E127)+1)/12))))-((P127)*(IF((YEAR(D127)+13)&lt;YEAR(E127),0,IF((YEAR(D127)+13)&gt;YEAR(E127),1,(12-MONTH(E127)+1)/12))) + (R127)*(IF((YEAR(D127)+13)&lt;YEAR(E127),0,IF((YEAR(D127)+13)&gt;YEAR(E127),1,(12-MONTH(E127)+1)/12))))-(IF(OR(N127="",N127&lt;=0),0,(O127/N127)*(IF(OR(N127="",N127&lt;=0),0,IF((YEAR(D127)+13)&lt;YEAR(E127),0,IF((YEAR(D127)+13)&gt;=YEAR(E127)+N127,0,IF((YEAR(D127)+13)=YEAR(E127),(12-MONTH(E127)+1)/12,1))))))))&gt;0,(((K127)*(IF(M127="",L127,IFERROR(IF(INDEX(Variablen!$I:$AT, MATCH(M127, Variablen!$A:$A, 0), MATCH((YEAR(D127)+13), Variablen!$I$3:$AT$3, 0))="",L127,INDEX(Variablen!$I:$AT, MATCH(M127, Variablen!$A:$A, 0), MATCH((YEAR(D127)+13), Variablen!$I$3:$AT$3, 0))),L127)))*(IF((YEAR(D127)+13)&lt;YEAR(E127),0,IF((YEAR(D127)+13)&gt;YEAR(E127),1,(12-MONTH(E127)+1)/12))) + (Q127)*(IF((YEAR(D127)+13)&lt;YEAR(E127),0,IF((YEAR(D127)+13)&gt;YEAR(E127),1,(12-MONTH(E127)+1)/12))))-((P127)*(IF((YEAR(D127)+13)&lt;YEAR(E127),0,IF((YEAR(D127)+13)&gt;YEAR(E127),1,(12-MONTH(E127)+1)/12))) + (R127)*(IF((YEAR(D127)+13)&lt;YEAR(E127),0,IF((YEAR(D127)+13)&gt;YEAR(E127),1,(12-MONTH(E127)+1)/12))))-(IF(OR(N127="",N127&lt;=0),0,(O127/N127)*(IF(OR(N127="",N127&lt;=0),0,IF((YEAR(D127)+13)&lt;YEAR(E127),0,IF((YEAR(D127)+13)&gt;=YEAR(E127)+N127,0,IF((YEAR(D127)+13)=YEAR(E127),(12-MONTH(E127)+1)/12,1))))))))*TaxRate,0))-IF(13=0,O127,0))</f>
        <v/>
      </c>
      <c r="AG127" s="29">
        <f>IF(A127="","",((K127)*(IF(M127="",L127,IFERROR(IF(INDEX(Variablen!$I:$AT, MATCH(M127, Variablen!$A:$A, 0), MATCH((YEAR(D127)+14), Variablen!$I$3:$AT$3, 0))="",L127,INDEX(Variablen!$I:$AT, MATCH(M127, Variablen!$A:$A, 0), MATCH((YEAR(D127)+14), Variablen!$I$3:$AT$3, 0))),L127)))*(IF((YEAR(D127)+14)&lt;YEAR(E127),0,IF((YEAR(D127)+14)&gt;YEAR(E127),1,(12-MONTH(E127)+1)/12))) + (Q127)*(IF((YEAR(D127)+14)&lt;YEAR(E127),0,IF((YEAR(D127)+14)&gt;YEAR(E127),1,(12-MONTH(E127)+1)/12))))-((P127)*(IF((YEAR(D127)+14)&lt;YEAR(E127),0,IF((YEAR(D127)+14)&gt;YEAR(E127),1,(12-MONTH(E127)+1)/12))) + (R127)*(IF((YEAR(D127)+14)&lt;YEAR(E127),0,IF((YEAR(D127)+14)&gt;YEAR(E127),1,(12-MONTH(E127)+1)/12))))-(IF((((K127)*(IF(M127="",L127,IFERROR(IF(INDEX(Variablen!$I:$AT, MATCH(M127, Variablen!$A:$A, 0), MATCH((YEAR(D127)+14), Variablen!$I$3:$AT$3, 0))="",L127,INDEX(Variablen!$I:$AT, MATCH(M127, Variablen!$A:$A, 0), MATCH((YEAR(D127)+14), Variablen!$I$3:$AT$3, 0))),L127)))*(IF((YEAR(D127)+14)&lt;YEAR(E127),0,IF((YEAR(D127)+14)&gt;YEAR(E127),1,(12-MONTH(E127)+1)/12))) + (Q127)*(IF((YEAR(D127)+14)&lt;YEAR(E127),0,IF((YEAR(D127)+14)&gt;YEAR(E127),1,(12-MONTH(E127)+1)/12))))-((P127)*(IF((YEAR(D127)+14)&lt;YEAR(E127),0,IF((YEAR(D127)+14)&gt;YEAR(E127),1,(12-MONTH(E127)+1)/12))) + (R127)*(IF((YEAR(D127)+14)&lt;YEAR(E127),0,IF((YEAR(D127)+14)&gt;YEAR(E127),1,(12-MONTH(E127)+1)/12))))-(IF(OR(N127="",N127&lt;=0),0,(O127/N127)*(IF(OR(N127="",N127&lt;=0),0,IF((YEAR(D127)+14)&lt;YEAR(E127),0,IF((YEAR(D127)+14)&gt;=YEAR(E127)+N127,0,IF((YEAR(D127)+14)=YEAR(E127),(12-MONTH(E127)+1)/12,1))))))))&gt;0,(((K127)*(IF(M127="",L127,IFERROR(IF(INDEX(Variablen!$I:$AT, MATCH(M127, Variablen!$A:$A, 0), MATCH((YEAR(D127)+14), Variablen!$I$3:$AT$3, 0))="",L127,INDEX(Variablen!$I:$AT, MATCH(M127, Variablen!$A:$A, 0), MATCH((YEAR(D127)+14), Variablen!$I$3:$AT$3, 0))),L127)))*(IF((YEAR(D127)+14)&lt;YEAR(E127),0,IF((YEAR(D127)+14)&gt;YEAR(E127),1,(12-MONTH(E127)+1)/12))) + (Q127)*(IF((YEAR(D127)+14)&lt;YEAR(E127),0,IF((YEAR(D127)+14)&gt;YEAR(E127),1,(12-MONTH(E127)+1)/12))))-((P127)*(IF((YEAR(D127)+14)&lt;YEAR(E127),0,IF((YEAR(D127)+14)&gt;YEAR(E127),1,(12-MONTH(E127)+1)/12))) + (R127)*(IF((YEAR(D127)+14)&lt;YEAR(E127),0,IF((YEAR(D127)+14)&gt;YEAR(E127),1,(12-MONTH(E127)+1)/12))))-(IF(OR(N127="",N127&lt;=0),0,(O127/N127)*(IF(OR(N127="",N127&lt;=0),0,IF((YEAR(D127)+14)&lt;YEAR(E127),0,IF((YEAR(D127)+14)&gt;=YEAR(E127)+N127,0,IF((YEAR(D127)+14)=YEAR(E127),(12-MONTH(E127)+1)/12,1))))))))*TaxRate,0))-IF(14=0,O127,0))</f>
        <v/>
      </c>
      <c r="AH127" s="29">
        <f>IF(A127="","",((K127)*(IF(M127="",L127,IFERROR(IF(INDEX(Variablen!$I:$AT, MATCH(M127, Variablen!$A:$A, 0), MATCH((YEAR(D127)+15), Variablen!$I$3:$AT$3, 0))="",L127,INDEX(Variablen!$I:$AT, MATCH(M127, Variablen!$A:$A, 0), MATCH((YEAR(D127)+15), Variablen!$I$3:$AT$3, 0))),L127)))*(IF((YEAR(D127)+15)&lt;YEAR(E127),0,IF((YEAR(D127)+15)&gt;YEAR(E127),1,(12-MONTH(E127)+1)/12))) + (Q127)*(IF((YEAR(D127)+15)&lt;YEAR(E127),0,IF((YEAR(D127)+15)&gt;YEAR(E127),1,(12-MONTH(E127)+1)/12))))-((P127)*(IF((YEAR(D127)+15)&lt;YEAR(E127),0,IF((YEAR(D127)+15)&gt;YEAR(E127),1,(12-MONTH(E127)+1)/12))) + (R127)*(IF((YEAR(D127)+15)&lt;YEAR(E127),0,IF((YEAR(D127)+15)&gt;YEAR(E127),1,(12-MONTH(E127)+1)/12))))-(IF((((K127)*(IF(M127="",L127,IFERROR(IF(INDEX(Variablen!$I:$AT, MATCH(M127, Variablen!$A:$A, 0), MATCH((YEAR(D127)+15), Variablen!$I$3:$AT$3, 0))="",L127,INDEX(Variablen!$I:$AT, MATCH(M127, Variablen!$A:$A, 0), MATCH((YEAR(D127)+15), Variablen!$I$3:$AT$3, 0))),L127)))*(IF((YEAR(D127)+15)&lt;YEAR(E127),0,IF((YEAR(D127)+15)&gt;YEAR(E127),1,(12-MONTH(E127)+1)/12))) + (Q127)*(IF((YEAR(D127)+15)&lt;YEAR(E127),0,IF((YEAR(D127)+15)&gt;YEAR(E127),1,(12-MONTH(E127)+1)/12))))-((P127)*(IF((YEAR(D127)+15)&lt;YEAR(E127),0,IF((YEAR(D127)+15)&gt;YEAR(E127),1,(12-MONTH(E127)+1)/12))) + (R127)*(IF((YEAR(D127)+15)&lt;YEAR(E127),0,IF((YEAR(D127)+15)&gt;YEAR(E127),1,(12-MONTH(E127)+1)/12))))-(IF(OR(N127="",N127&lt;=0),0,(O127/N127)*(IF(OR(N127="",N127&lt;=0),0,IF((YEAR(D127)+15)&lt;YEAR(E127),0,IF((YEAR(D127)+15)&gt;=YEAR(E127)+N127,0,IF((YEAR(D127)+15)=YEAR(E127),(12-MONTH(E127)+1)/12,1))))))))&gt;0,(((K127)*(IF(M127="",L127,IFERROR(IF(INDEX(Variablen!$I:$AT, MATCH(M127, Variablen!$A:$A, 0), MATCH((YEAR(D127)+15), Variablen!$I$3:$AT$3, 0))="",L127,INDEX(Variablen!$I:$AT, MATCH(M127, Variablen!$A:$A, 0), MATCH((YEAR(D127)+15), Variablen!$I$3:$AT$3, 0))),L127)))*(IF((YEAR(D127)+15)&lt;YEAR(E127),0,IF((YEAR(D127)+15)&gt;YEAR(E127),1,(12-MONTH(E127)+1)/12))) + (Q127)*(IF((YEAR(D127)+15)&lt;YEAR(E127),0,IF((YEAR(D127)+15)&gt;YEAR(E127),1,(12-MONTH(E127)+1)/12))))-((P127)*(IF((YEAR(D127)+15)&lt;YEAR(E127),0,IF((YEAR(D127)+15)&gt;YEAR(E127),1,(12-MONTH(E127)+1)/12))) + (R127)*(IF((YEAR(D127)+15)&lt;YEAR(E127),0,IF((YEAR(D127)+15)&gt;YEAR(E127),1,(12-MONTH(E127)+1)/12))))-(IF(OR(N127="",N127&lt;=0),0,(O127/N127)*(IF(OR(N127="",N127&lt;=0),0,IF((YEAR(D127)+15)&lt;YEAR(E127),0,IF((YEAR(D127)+15)&gt;=YEAR(E127)+N127,0,IF((YEAR(D127)+15)=YEAR(E127),(12-MONTH(E127)+1)/12,1))))))))*TaxRate,0))-IF(15=0,O127,0))</f>
        <v/>
      </c>
      <c r="AI127" s="29">
        <f>IF(A127="","",((K127)*(IF(M127="",L127,IFERROR(IF(INDEX(Variablen!$I:$AT, MATCH(M127, Variablen!$A:$A, 0), MATCH((YEAR(D127)+16), Variablen!$I$3:$AT$3, 0))="",L127,INDEX(Variablen!$I:$AT, MATCH(M127, Variablen!$A:$A, 0), MATCH((YEAR(D127)+16), Variablen!$I$3:$AT$3, 0))),L127)))*(IF((YEAR(D127)+16)&lt;YEAR(E127),0,IF((YEAR(D127)+16)&gt;YEAR(E127),1,(12-MONTH(E127)+1)/12))) + (Q127)*(IF((YEAR(D127)+16)&lt;YEAR(E127),0,IF((YEAR(D127)+16)&gt;YEAR(E127),1,(12-MONTH(E127)+1)/12))))-((P127)*(IF((YEAR(D127)+16)&lt;YEAR(E127),0,IF((YEAR(D127)+16)&gt;YEAR(E127),1,(12-MONTH(E127)+1)/12))) + (R127)*(IF((YEAR(D127)+16)&lt;YEAR(E127),0,IF((YEAR(D127)+16)&gt;YEAR(E127),1,(12-MONTH(E127)+1)/12))))-(IF((((K127)*(IF(M127="",L127,IFERROR(IF(INDEX(Variablen!$I:$AT, MATCH(M127, Variablen!$A:$A, 0), MATCH((YEAR(D127)+16), Variablen!$I$3:$AT$3, 0))="",L127,INDEX(Variablen!$I:$AT, MATCH(M127, Variablen!$A:$A, 0), MATCH((YEAR(D127)+16), Variablen!$I$3:$AT$3, 0))),L127)))*(IF((YEAR(D127)+16)&lt;YEAR(E127),0,IF((YEAR(D127)+16)&gt;YEAR(E127),1,(12-MONTH(E127)+1)/12))) + (Q127)*(IF((YEAR(D127)+16)&lt;YEAR(E127),0,IF((YEAR(D127)+16)&gt;YEAR(E127),1,(12-MONTH(E127)+1)/12))))-((P127)*(IF((YEAR(D127)+16)&lt;YEAR(E127),0,IF((YEAR(D127)+16)&gt;YEAR(E127),1,(12-MONTH(E127)+1)/12))) + (R127)*(IF((YEAR(D127)+16)&lt;YEAR(E127),0,IF((YEAR(D127)+16)&gt;YEAR(E127),1,(12-MONTH(E127)+1)/12))))-(IF(OR(N127="",N127&lt;=0),0,(O127/N127)*(IF(OR(N127="",N127&lt;=0),0,IF((YEAR(D127)+16)&lt;YEAR(E127),0,IF((YEAR(D127)+16)&gt;=YEAR(E127)+N127,0,IF((YEAR(D127)+16)=YEAR(E127),(12-MONTH(E127)+1)/12,1))))))))&gt;0,(((K127)*(IF(M127="",L127,IFERROR(IF(INDEX(Variablen!$I:$AT, MATCH(M127, Variablen!$A:$A, 0), MATCH((YEAR(D127)+16), Variablen!$I$3:$AT$3, 0))="",L127,INDEX(Variablen!$I:$AT, MATCH(M127, Variablen!$A:$A, 0), MATCH((YEAR(D127)+16), Variablen!$I$3:$AT$3, 0))),L127)))*(IF((YEAR(D127)+16)&lt;YEAR(E127),0,IF((YEAR(D127)+16)&gt;YEAR(E127),1,(12-MONTH(E127)+1)/12))) + (Q127)*(IF((YEAR(D127)+16)&lt;YEAR(E127),0,IF((YEAR(D127)+16)&gt;YEAR(E127),1,(12-MONTH(E127)+1)/12))))-((P127)*(IF((YEAR(D127)+16)&lt;YEAR(E127),0,IF((YEAR(D127)+16)&gt;YEAR(E127),1,(12-MONTH(E127)+1)/12))) + (R127)*(IF((YEAR(D127)+16)&lt;YEAR(E127),0,IF((YEAR(D127)+16)&gt;YEAR(E127),1,(12-MONTH(E127)+1)/12))))-(IF(OR(N127="",N127&lt;=0),0,(O127/N127)*(IF(OR(N127="",N127&lt;=0),0,IF((YEAR(D127)+16)&lt;YEAR(E127),0,IF((YEAR(D127)+16)&gt;=YEAR(E127)+N127,0,IF((YEAR(D127)+16)=YEAR(E127),(12-MONTH(E127)+1)/12,1))))))))*TaxRate,0))-IF(16=0,O127,0))</f>
        <v/>
      </c>
      <c r="AJ127" s="29">
        <f>IF(A127="","",((K127)*(IF(M127="",L127,IFERROR(IF(INDEX(Variablen!$I:$AT, MATCH(M127, Variablen!$A:$A, 0), MATCH((YEAR(D127)+17), Variablen!$I$3:$AT$3, 0))="",L127,INDEX(Variablen!$I:$AT, MATCH(M127, Variablen!$A:$A, 0), MATCH((YEAR(D127)+17), Variablen!$I$3:$AT$3, 0))),L127)))*(IF((YEAR(D127)+17)&lt;YEAR(E127),0,IF((YEAR(D127)+17)&gt;YEAR(E127),1,(12-MONTH(E127)+1)/12))) + (Q127)*(IF((YEAR(D127)+17)&lt;YEAR(E127),0,IF((YEAR(D127)+17)&gt;YEAR(E127),1,(12-MONTH(E127)+1)/12))))-((P127)*(IF((YEAR(D127)+17)&lt;YEAR(E127),0,IF((YEAR(D127)+17)&gt;YEAR(E127),1,(12-MONTH(E127)+1)/12))) + (R127)*(IF((YEAR(D127)+17)&lt;YEAR(E127),0,IF((YEAR(D127)+17)&gt;YEAR(E127),1,(12-MONTH(E127)+1)/12))))-(IF((((K127)*(IF(M127="",L127,IFERROR(IF(INDEX(Variablen!$I:$AT, MATCH(M127, Variablen!$A:$A, 0), MATCH((YEAR(D127)+17), Variablen!$I$3:$AT$3, 0))="",L127,INDEX(Variablen!$I:$AT, MATCH(M127, Variablen!$A:$A, 0), MATCH((YEAR(D127)+17), Variablen!$I$3:$AT$3, 0))),L127)))*(IF((YEAR(D127)+17)&lt;YEAR(E127),0,IF((YEAR(D127)+17)&gt;YEAR(E127),1,(12-MONTH(E127)+1)/12))) + (Q127)*(IF((YEAR(D127)+17)&lt;YEAR(E127),0,IF((YEAR(D127)+17)&gt;YEAR(E127),1,(12-MONTH(E127)+1)/12))))-((P127)*(IF((YEAR(D127)+17)&lt;YEAR(E127),0,IF((YEAR(D127)+17)&gt;YEAR(E127),1,(12-MONTH(E127)+1)/12))) + (R127)*(IF((YEAR(D127)+17)&lt;YEAR(E127),0,IF((YEAR(D127)+17)&gt;YEAR(E127),1,(12-MONTH(E127)+1)/12))))-(IF(OR(N127="",N127&lt;=0),0,(O127/N127)*(IF(OR(N127="",N127&lt;=0),0,IF((YEAR(D127)+17)&lt;YEAR(E127),0,IF((YEAR(D127)+17)&gt;=YEAR(E127)+N127,0,IF((YEAR(D127)+17)=YEAR(E127),(12-MONTH(E127)+1)/12,1))))))))&gt;0,(((K127)*(IF(M127="",L127,IFERROR(IF(INDEX(Variablen!$I:$AT, MATCH(M127, Variablen!$A:$A, 0), MATCH((YEAR(D127)+17), Variablen!$I$3:$AT$3, 0))="",L127,INDEX(Variablen!$I:$AT, MATCH(M127, Variablen!$A:$A, 0), MATCH((YEAR(D127)+17), Variablen!$I$3:$AT$3, 0))),L127)))*(IF((YEAR(D127)+17)&lt;YEAR(E127),0,IF((YEAR(D127)+17)&gt;YEAR(E127),1,(12-MONTH(E127)+1)/12))) + (Q127)*(IF((YEAR(D127)+17)&lt;YEAR(E127),0,IF((YEAR(D127)+17)&gt;YEAR(E127),1,(12-MONTH(E127)+1)/12))))-((P127)*(IF((YEAR(D127)+17)&lt;YEAR(E127),0,IF((YEAR(D127)+17)&gt;YEAR(E127),1,(12-MONTH(E127)+1)/12))) + (R127)*(IF((YEAR(D127)+17)&lt;YEAR(E127),0,IF((YEAR(D127)+17)&gt;YEAR(E127),1,(12-MONTH(E127)+1)/12))))-(IF(OR(N127="",N127&lt;=0),0,(O127/N127)*(IF(OR(N127="",N127&lt;=0),0,IF((YEAR(D127)+17)&lt;YEAR(E127),0,IF((YEAR(D127)+17)&gt;=YEAR(E127)+N127,0,IF((YEAR(D127)+17)=YEAR(E127),(12-MONTH(E127)+1)/12,1))))))))*TaxRate,0))-IF(17=0,O127,0))</f>
        <v/>
      </c>
      <c r="AK127" s="29">
        <f>IF(A127="","",((K127)*(IF(M127="",L127,IFERROR(IF(INDEX(Variablen!$I:$AT, MATCH(M127, Variablen!$A:$A, 0), MATCH((YEAR(D127)+18), Variablen!$I$3:$AT$3, 0))="",L127,INDEX(Variablen!$I:$AT, MATCH(M127, Variablen!$A:$A, 0), MATCH((YEAR(D127)+18), Variablen!$I$3:$AT$3, 0))),L127)))*(IF((YEAR(D127)+18)&lt;YEAR(E127),0,IF((YEAR(D127)+18)&gt;YEAR(E127),1,(12-MONTH(E127)+1)/12))) + (Q127)*(IF((YEAR(D127)+18)&lt;YEAR(E127),0,IF((YEAR(D127)+18)&gt;YEAR(E127),1,(12-MONTH(E127)+1)/12))))-((P127)*(IF((YEAR(D127)+18)&lt;YEAR(E127),0,IF((YEAR(D127)+18)&gt;YEAR(E127),1,(12-MONTH(E127)+1)/12))) + (R127)*(IF((YEAR(D127)+18)&lt;YEAR(E127),0,IF((YEAR(D127)+18)&gt;YEAR(E127),1,(12-MONTH(E127)+1)/12))))-(IF((((K127)*(IF(M127="",L127,IFERROR(IF(INDEX(Variablen!$I:$AT, MATCH(M127, Variablen!$A:$A, 0), MATCH((YEAR(D127)+18), Variablen!$I$3:$AT$3, 0))="",L127,INDEX(Variablen!$I:$AT, MATCH(M127, Variablen!$A:$A, 0), MATCH((YEAR(D127)+18), Variablen!$I$3:$AT$3, 0))),L127)))*(IF((YEAR(D127)+18)&lt;YEAR(E127),0,IF((YEAR(D127)+18)&gt;YEAR(E127),1,(12-MONTH(E127)+1)/12))) + (Q127)*(IF((YEAR(D127)+18)&lt;YEAR(E127),0,IF((YEAR(D127)+18)&gt;YEAR(E127),1,(12-MONTH(E127)+1)/12))))-((P127)*(IF((YEAR(D127)+18)&lt;YEAR(E127),0,IF((YEAR(D127)+18)&gt;YEAR(E127),1,(12-MONTH(E127)+1)/12))) + (R127)*(IF((YEAR(D127)+18)&lt;YEAR(E127),0,IF((YEAR(D127)+18)&gt;YEAR(E127),1,(12-MONTH(E127)+1)/12))))-(IF(OR(N127="",N127&lt;=0),0,(O127/N127)*(IF(OR(N127="",N127&lt;=0),0,IF((YEAR(D127)+18)&lt;YEAR(E127),0,IF((YEAR(D127)+18)&gt;=YEAR(E127)+N127,0,IF((YEAR(D127)+18)=YEAR(E127),(12-MONTH(E127)+1)/12,1))))))))&gt;0,(((K127)*(IF(M127="",L127,IFERROR(IF(INDEX(Variablen!$I:$AT, MATCH(M127, Variablen!$A:$A, 0), MATCH((YEAR(D127)+18), Variablen!$I$3:$AT$3, 0))="",L127,INDEX(Variablen!$I:$AT, MATCH(M127, Variablen!$A:$A, 0), MATCH((YEAR(D127)+18), Variablen!$I$3:$AT$3, 0))),L127)))*(IF((YEAR(D127)+18)&lt;YEAR(E127),0,IF((YEAR(D127)+18)&gt;YEAR(E127),1,(12-MONTH(E127)+1)/12))) + (Q127)*(IF((YEAR(D127)+18)&lt;YEAR(E127),0,IF((YEAR(D127)+18)&gt;YEAR(E127),1,(12-MONTH(E127)+1)/12))))-((P127)*(IF((YEAR(D127)+18)&lt;YEAR(E127),0,IF((YEAR(D127)+18)&gt;YEAR(E127),1,(12-MONTH(E127)+1)/12))) + (R127)*(IF((YEAR(D127)+18)&lt;YEAR(E127),0,IF((YEAR(D127)+18)&gt;YEAR(E127),1,(12-MONTH(E127)+1)/12))))-(IF(OR(N127="",N127&lt;=0),0,(O127/N127)*(IF(OR(N127="",N127&lt;=0),0,IF((YEAR(D127)+18)&lt;YEAR(E127),0,IF((YEAR(D127)+18)&gt;=YEAR(E127)+N127,0,IF((YEAR(D127)+18)=YEAR(E127),(12-MONTH(E127)+1)/12,1))))))))*TaxRate,0))-IF(18=0,O127,0))</f>
        <v/>
      </c>
      <c r="AL127" s="29">
        <f>IF(A127="","",((K127)*(IF(M127="",L127,IFERROR(IF(INDEX(Variablen!$I:$AT, MATCH(M127, Variablen!$A:$A, 0), MATCH((YEAR(D127)+19), Variablen!$I$3:$AT$3, 0))="",L127,INDEX(Variablen!$I:$AT, MATCH(M127, Variablen!$A:$A, 0), MATCH((YEAR(D127)+19), Variablen!$I$3:$AT$3, 0))),L127)))*(IF((YEAR(D127)+19)&lt;YEAR(E127),0,IF((YEAR(D127)+19)&gt;YEAR(E127),1,(12-MONTH(E127)+1)/12))) + (Q127)*(IF((YEAR(D127)+19)&lt;YEAR(E127),0,IF((YEAR(D127)+19)&gt;YEAR(E127),1,(12-MONTH(E127)+1)/12))))-((P127)*(IF((YEAR(D127)+19)&lt;YEAR(E127),0,IF((YEAR(D127)+19)&gt;YEAR(E127),1,(12-MONTH(E127)+1)/12))) + (R127)*(IF((YEAR(D127)+19)&lt;YEAR(E127),0,IF((YEAR(D127)+19)&gt;YEAR(E127),1,(12-MONTH(E127)+1)/12))))-(IF((((K127)*(IF(M127="",L127,IFERROR(IF(INDEX(Variablen!$I:$AT, MATCH(M127, Variablen!$A:$A, 0), MATCH((YEAR(D127)+19), Variablen!$I$3:$AT$3, 0))="",L127,INDEX(Variablen!$I:$AT, MATCH(M127, Variablen!$A:$A, 0), MATCH((YEAR(D127)+19), Variablen!$I$3:$AT$3, 0))),L127)))*(IF((YEAR(D127)+19)&lt;YEAR(E127),0,IF((YEAR(D127)+19)&gt;YEAR(E127),1,(12-MONTH(E127)+1)/12))) + (Q127)*(IF((YEAR(D127)+19)&lt;YEAR(E127),0,IF((YEAR(D127)+19)&gt;YEAR(E127),1,(12-MONTH(E127)+1)/12))))-((P127)*(IF((YEAR(D127)+19)&lt;YEAR(E127),0,IF((YEAR(D127)+19)&gt;YEAR(E127),1,(12-MONTH(E127)+1)/12))) + (R127)*(IF((YEAR(D127)+19)&lt;YEAR(E127),0,IF((YEAR(D127)+19)&gt;YEAR(E127),1,(12-MONTH(E127)+1)/12))))-(IF(OR(N127="",N127&lt;=0),0,(O127/N127)*(IF(OR(N127="",N127&lt;=0),0,IF((YEAR(D127)+19)&lt;YEAR(E127),0,IF((YEAR(D127)+19)&gt;=YEAR(E127)+N127,0,IF((YEAR(D127)+19)=YEAR(E127),(12-MONTH(E127)+1)/12,1))))))))&gt;0,(((K127)*(IF(M127="",L127,IFERROR(IF(INDEX(Variablen!$I:$AT, MATCH(M127, Variablen!$A:$A, 0), MATCH((YEAR(D127)+19), Variablen!$I$3:$AT$3, 0))="",L127,INDEX(Variablen!$I:$AT, MATCH(M127, Variablen!$A:$A, 0), MATCH((YEAR(D127)+19), Variablen!$I$3:$AT$3, 0))),L127)))*(IF((YEAR(D127)+19)&lt;YEAR(E127),0,IF((YEAR(D127)+19)&gt;YEAR(E127),1,(12-MONTH(E127)+1)/12))) + (Q127)*(IF((YEAR(D127)+19)&lt;YEAR(E127),0,IF((YEAR(D127)+19)&gt;YEAR(E127),1,(12-MONTH(E127)+1)/12))))-((P127)*(IF((YEAR(D127)+19)&lt;YEAR(E127),0,IF((YEAR(D127)+19)&gt;YEAR(E127),1,(12-MONTH(E127)+1)/12))) + (R127)*(IF((YEAR(D127)+19)&lt;YEAR(E127),0,IF((YEAR(D127)+19)&gt;YEAR(E127),1,(12-MONTH(E127)+1)/12))))-(IF(OR(N127="",N127&lt;=0),0,(O127/N127)*(IF(OR(N127="",N127&lt;=0),0,IF((YEAR(D127)+19)&lt;YEAR(E127),0,IF((YEAR(D127)+19)&gt;=YEAR(E127)+N127,0,IF((YEAR(D127)+19)=YEAR(E127),(12-MONTH(E127)+1)/12,1))))))))*TaxRate,0))-IF(19=0,O127,0))</f>
        <v/>
      </c>
      <c r="AM127" s="29">
        <f>IF(A127="","",((K127)*(IF(M127="",L127,IFERROR(IF(INDEX(Variablen!$I:$AT, MATCH(M127, Variablen!$A:$A, 0), MATCH((YEAR(D127)+20), Variablen!$I$3:$AT$3, 0))="",L127,INDEX(Variablen!$I:$AT, MATCH(M127, Variablen!$A:$A, 0), MATCH((YEAR(D127)+20), Variablen!$I$3:$AT$3, 0))),L127)))*(IF((YEAR(D127)+20)&lt;YEAR(E127),0,IF((YEAR(D127)+20)&gt;YEAR(E127),1,(12-MONTH(E127)+1)/12))) + (Q127)*(IF((YEAR(D127)+20)&lt;YEAR(E127),0,IF((YEAR(D127)+20)&gt;YEAR(E127),1,(12-MONTH(E127)+1)/12))))-((P127)*(IF((YEAR(D127)+20)&lt;YEAR(E127),0,IF((YEAR(D127)+20)&gt;YEAR(E127),1,(12-MONTH(E127)+1)/12))) + (R127)*(IF((YEAR(D127)+20)&lt;YEAR(E127),0,IF((YEAR(D127)+20)&gt;YEAR(E127),1,(12-MONTH(E127)+1)/12))))-(IF((((K127)*(IF(M127="",L127,IFERROR(IF(INDEX(Variablen!$I:$AT, MATCH(M127, Variablen!$A:$A, 0), MATCH((YEAR(D127)+20), Variablen!$I$3:$AT$3, 0))="",L127,INDEX(Variablen!$I:$AT, MATCH(M127, Variablen!$A:$A, 0), MATCH((YEAR(D127)+20), Variablen!$I$3:$AT$3, 0))),L127)))*(IF((YEAR(D127)+20)&lt;YEAR(E127),0,IF((YEAR(D127)+20)&gt;YEAR(E127),1,(12-MONTH(E127)+1)/12))) + (Q127)*(IF((YEAR(D127)+20)&lt;YEAR(E127),0,IF((YEAR(D127)+20)&gt;YEAR(E127),1,(12-MONTH(E127)+1)/12))))-((P127)*(IF((YEAR(D127)+20)&lt;YEAR(E127),0,IF((YEAR(D127)+20)&gt;YEAR(E127),1,(12-MONTH(E127)+1)/12))) + (R127)*(IF((YEAR(D127)+20)&lt;YEAR(E127),0,IF((YEAR(D127)+20)&gt;YEAR(E127),1,(12-MONTH(E127)+1)/12))))-(IF(OR(N127="",N127&lt;=0),0,(O127/N127)*(IF(OR(N127="",N127&lt;=0),0,IF((YEAR(D127)+20)&lt;YEAR(E127),0,IF((YEAR(D127)+20)&gt;=YEAR(E127)+N127,0,IF((YEAR(D127)+20)=YEAR(E127),(12-MONTH(E127)+1)/12,1))))))))&gt;0,(((K127)*(IF(M127="",L127,IFERROR(IF(INDEX(Variablen!$I:$AT, MATCH(M127, Variablen!$A:$A, 0), MATCH((YEAR(D127)+20), Variablen!$I$3:$AT$3, 0))="",L127,INDEX(Variablen!$I:$AT, MATCH(M127, Variablen!$A:$A, 0), MATCH((YEAR(D127)+20), Variablen!$I$3:$AT$3, 0))),L127)))*(IF((YEAR(D127)+20)&lt;YEAR(E127),0,IF((YEAR(D127)+20)&gt;YEAR(E127),1,(12-MONTH(E127)+1)/12))) + (Q127)*(IF((YEAR(D127)+20)&lt;YEAR(E127),0,IF((YEAR(D127)+20)&gt;YEAR(E127),1,(12-MONTH(E127)+1)/12))))-((P127)*(IF((YEAR(D127)+20)&lt;YEAR(E127),0,IF((YEAR(D127)+20)&gt;YEAR(E127),1,(12-MONTH(E127)+1)/12))) + (R127)*(IF((YEAR(D127)+20)&lt;YEAR(E127),0,IF((YEAR(D127)+20)&gt;YEAR(E127),1,(12-MONTH(E127)+1)/12))))-(IF(OR(N127="",N127&lt;=0),0,(O127/N127)*(IF(OR(N127="",N127&lt;=0),0,IF((YEAR(D127)+20)&lt;YEAR(E127),0,IF((YEAR(D127)+20)&gt;=YEAR(E127)+N127,0,IF((YEAR(D127)+20)=YEAR(E127),(12-MONTH(E127)+1)/12,1))))))))*TaxRate,0))-IF(20=0,O127,0))</f>
        <v/>
      </c>
      <c r="AN127" s="29">
        <f>IF(A127="","",S127)</f>
        <v/>
      </c>
      <c r="AO127" s="29">
        <f>IF(A127="","",AN127+T127)</f>
        <v/>
      </c>
      <c r="AP127" s="29">
        <f>IF(A127="","",AO127+U127)</f>
        <v/>
      </c>
      <c r="AQ127" s="29">
        <f>IF(A127="","",AP127+V127)</f>
        <v/>
      </c>
      <c r="AR127" s="29">
        <f>IF(A127="","",AQ127+W127)</f>
        <v/>
      </c>
      <c r="AS127" s="29">
        <f>IF(A127="","",AR127+X127)</f>
        <v/>
      </c>
      <c r="AT127" s="29">
        <f>IF(A127="","",AS127+Y127)</f>
        <v/>
      </c>
      <c r="AU127" s="29">
        <f>IF(A127="","",AT127+Z127)</f>
        <v/>
      </c>
      <c r="AV127" s="29">
        <f>IF(A127="","",AU127+AA127)</f>
        <v/>
      </c>
      <c r="AW127" s="29">
        <f>IF(A127="","",AV127+AB127)</f>
        <v/>
      </c>
      <c r="AX127" s="29">
        <f>IF(A127="","",AW127+AC127)</f>
        <v/>
      </c>
      <c r="AY127" s="29">
        <f>IF(A127="","",AX127+AD127)</f>
        <v/>
      </c>
      <c r="AZ127" s="29">
        <f>IF(A127="","",AY127+AE127)</f>
        <v/>
      </c>
      <c r="BA127" s="29">
        <f>IF(A127="","",AZ127+AF127)</f>
        <v/>
      </c>
      <c r="BB127" s="29">
        <f>IF(A127="","",BA127+AG127)</f>
        <v/>
      </c>
      <c r="BC127" s="29">
        <f>IF(A127="","",BB127+AH127)</f>
        <v/>
      </c>
      <c r="BD127" s="29">
        <f>IF(A127="","",BC127+AI127)</f>
        <v/>
      </c>
      <c r="BE127" s="29">
        <f>IF(A127="","",BD127+AJ127)</f>
        <v/>
      </c>
      <c r="BF127" s="29">
        <f>IF(A127="","",BE127+AK127)</f>
        <v/>
      </c>
      <c r="BG127" s="29">
        <f>IF(A127="","",BF127+AL127)</f>
        <v/>
      </c>
      <c r="BH127" s="29">
        <f>IF(A127="","",BG127+AM127)</f>
        <v/>
      </c>
      <c r="BI127" s="36">
        <f>IF(A127="","",(K127)*(IF((YEAR(D127)+0)&lt;YEAR(E127),0,IF((YEAR(D127)+0)&gt;YEAR(E127),1,(12-MONTH(E127)+1)/12)))*(1/(1+DiscountRate)^0))</f>
        <v/>
      </c>
      <c r="BJ127" s="36">
        <f>IF(A127="","",(K127)*(IF((YEAR(D127)+1)&lt;YEAR(E127),0,IF((YEAR(D127)+1)&gt;YEAR(E127),1,(12-MONTH(E127)+1)/12)))*(1/(1+DiscountRate)^1))</f>
        <v/>
      </c>
      <c r="BK127" s="36">
        <f>IF(A127="","",(K127)*(IF((YEAR(D127)+2)&lt;YEAR(E127),0,IF((YEAR(D127)+2)&gt;YEAR(E127),1,(12-MONTH(E127)+1)/12)))*(1/(1+DiscountRate)^2))</f>
        <v/>
      </c>
      <c r="BL127" s="36">
        <f>IF(A127="","",(K127)*(IF((YEAR(D127)+3)&lt;YEAR(E127),0,IF((YEAR(D127)+3)&gt;YEAR(E127),1,(12-MONTH(E127)+1)/12)))*(1/(1+DiscountRate)^3))</f>
        <v/>
      </c>
      <c r="BM127" s="36">
        <f>IF(A127="","",(K127)*(IF((YEAR(D127)+4)&lt;YEAR(E127),0,IF((YEAR(D127)+4)&gt;YEAR(E127),1,(12-MONTH(E127)+1)/12)))*(1/(1+DiscountRate)^4))</f>
        <v/>
      </c>
      <c r="BN127" s="36">
        <f>IF(A127="","",(K127)*(IF((YEAR(D127)+5)&lt;YEAR(E127),0,IF((YEAR(D127)+5)&gt;YEAR(E127),1,(12-MONTH(E127)+1)/12)))*(1/(1+DiscountRate)^5))</f>
        <v/>
      </c>
      <c r="BO127" s="36">
        <f>IF(A127="","",(K127)*(IF((YEAR(D127)+6)&lt;YEAR(E127),0,IF((YEAR(D127)+6)&gt;YEAR(E127),1,(12-MONTH(E127)+1)/12)))*(1/(1+DiscountRate)^6))</f>
        <v/>
      </c>
      <c r="BP127" s="36">
        <f>IF(A127="","",(K127)*(IF((YEAR(D127)+7)&lt;YEAR(E127),0,IF((YEAR(D127)+7)&gt;YEAR(E127),1,(12-MONTH(E127)+1)/12)))*(1/(1+DiscountRate)^7))</f>
        <v/>
      </c>
      <c r="BQ127" s="36">
        <f>IF(A127="","",(K127)*(IF((YEAR(D127)+8)&lt;YEAR(E127),0,IF((YEAR(D127)+8)&gt;YEAR(E127),1,(12-MONTH(E127)+1)/12)))*(1/(1+DiscountRate)^8))</f>
        <v/>
      </c>
      <c r="BR127" s="36">
        <f>IF(A127="","",(K127)*(IF((YEAR(D127)+9)&lt;YEAR(E127),0,IF((YEAR(D127)+9)&gt;YEAR(E127),1,(12-MONTH(E127)+1)/12)))*(1/(1+DiscountRate)^9))</f>
        <v/>
      </c>
      <c r="BS127" s="36">
        <f>IF(A127="","",(K127)*(IF((YEAR(D127)+10)&lt;YEAR(E127),0,IF((YEAR(D127)+10)&gt;YEAR(E127),1,(12-MONTH(E127)+1)/12)))*(1/(1+DiscountRate)^10))</f>
        <v/>
      </c>
      <c r="BT127" s="36">
        <f>IF(A127="","",(K127)*(IF((YEAR(D127)+11)&lt;YEAR(E127),0,IF((YEAR(D127)+11)&gt;YEAR(E127),1,(12-MONTH(E127)+1)/12)))*(1/(1+DiscountRate)^11))</f>
        <v/>
      </c>
      <c r="BU127" s="36">
        <f>IF(A127="","",(K127)*(IF((YEAR(D127)+12)&lt;YEAR(E127),0,IF((YEAR(D127)+12)&gt;YEAR(E127),1,(12-MONTH(E127)+1)/12)))*(1/(1+DiscountRate)^12))</f>
        <v/>
      </c>
      <c r="BV127" s="36">
        <f>IF(A127="","",(K127)*(IF((YEAR(D127)+13)&lt;YEAR(E127),0,IF((YEAR(D127)+13)&gt;YEAR(E127),1,(12-MONTH(E127)+1)/12)))*(1/(1+DiscountRate)^13))</f>
        <v/>
      </c>
      <c r="BW127" s="36">
        <f>IF(A127="","",(K127)*(IF((YEAR(D127)+14)&lt;YEAR(E127),0,IF((YEAR(D127)+14)&gt;YEAR(E127),1,(12-MONTH(E127)+1)/12)))*(1/(1+DiscountRate)^14))</f>
        <v/>
      </c>
      <c r="BX127" s="36">
        <f>IF(A127="","",(K127)*(IF((YEAR(D127)+15)&lt;YEAR(E127),0,IF((YEAR(D127)+15)&gt;YEAR(E127),1,(12-MONTH(E127)+1)/12)))*(1/(1+DiscountRate)^15))</f>
        <v/>
      </c>
      <c r="BY127" s="36">
        <f>IF(A127="","",(K127)*(IF((YEAR(D127)+16)&lt;YEAR(E127),0,IF((YEAR(D127)+16)&gt;YEAR(E127),1,(12-MONTH(E127)+1)/12)))*(1/(1+DiscountRate)^16))</f>
        <v/>
      </c>
      <c r="BZ127" s="36">
        <f>IF(A127="","",(K127)*(IF((YEAR(D127)+17)&lt;YEAR(E127),0,IF((YEAR(D127)+17)&gt;YEAR(E127),1,(12-MONTH(E127)+1)/12)))*(1/(1+DiscountRate)^17))</f>
        <v/>
      </c>
      <c r="CA127" s="36">
        <f>IF(A127="","",(K127)*(IF((YEAR(D127)+18)&lt;YEAR(E127),0,IF((YEAR(D127)+18)&gt;YEAR(E127),1,(12-MONTH(E127)+1)/12)))*(1/(1+DiscountRate)^18))</f>
        <v/>
      </c>
      <c r="CB127" s="36">
        <f>IF(A127="","",(K127)*(IF((YEAR(D127)+19)&lt;YEAR(E127),0,IF((YEAR(D127)+19)&gt;YEAR(E127),1,(12-MONTH(E127)+1)/12)))*(1/(1+DiscountRate)^19))</f>
        <v/>
      </c>
      <c r="CC127" s="36">
        <f>IF(A127="","",(K127)*(IF((YEAR(D127)+20)&lt;YEAR(E127),0,IF((YEAR(D127)+20)&gt;YEAR(E127),1,(12-MONTH(E127)+1)/12)))*(1/(1+DiscountRate)^20))</f>
        <v/>
      </c>
      <c r="CD127" s="29">
        <f>IF(A127="","",S127/(1+DiscountRate)^0+T127/(1+DiscountRate)^1+U127/(1+DiscountRate)^2+V127/(1+DiscountRate)^3+W127/(1+DiscountRate)^4+X127/(1+DiscountRate)^5+Y127/(1+DiscountRate)^6+Z127/(1+DiscountRate)^7+AA127/(1+DiscountRate)^8+AB127/(1+DiscountRate)^9+AC127/(1+DiscountRate)^10+AD127/(1+DiscountRate)^11+AE127/(1+DiscountRate)^12+AF127/(1+DiscountRate)^13+AG127/(1+DiscountRate)^14+AH127/(1+DiscountRate)^15+AI127/(1+DiscountRate)^16+AJ127/(1+DiscountRate)^17+AK127/(1+DiscountRate)^18+AL127/(1+DiscountRate)^19+AM127/(1+DiscountRate)^20)</f>
        <v/>
      </c>
      <c r="CE127" s="37">
        <f>IF(A127="","",IFERROR(IRR(OFFSET(S127,0,0,1,MIN(HorizonYears,20)+1)),"n/a"))</f>
        <v/>
      </c>
      <c r="CF127" s="28">
        <f>IF(A127="","",IFERROR(MATCH(TRUE,OFFSET(AN127,0,0,1,MIN(HorizonYears,20)+1)&gt;=0,0)-1,"n/a"))</f>
        <v/>
      </c>
      <c r="CG127" s="36">
        <f>IF(A127="","",SUM(OFFSET(BI127,0,0,1,MIN(HorizonYears,20)+1)))</f>
        <v/>
      </c>
      <c r="CH127" s="36">
        <f>IF(A127="","",IFERROR(-CD127/CG127,"n/a"))</f>
        <v/>
      </c>
    </row>
    <row r="128">
      <c r="A128" s="6">
        <f>Actions!A126</f>
        <v/>
      </c>
      <c r="B128" s="6">
        <f>Actions!B126</f>
        <v/>
      </c>
      <c r="C128" s="6">
        <f>Actions!D126</f>
        <v/>
      </c>
      <c r="D128" s="35">
        <f>Actions!E126</f>
        <v/>
      </c>
      <c r="E128" s="35">
        <f>Actions!F126</f>
        <v/>
      </c>
      <c r="F128" s="6">
        <f>Actions!G126</f>
        <v/>
      </c>
      <c r="G128" s="6">
        <f>Actions!H126</f>
        <v/>
      </c>
      <c r="H128" s="29">
        <f>Actions!I126</f>
        <v/>
      </c>
      <c r="I128" s="6">
        <f>Actions!J126</f>
        <v/>
      </c>
      <c r="J128" s="16">
        <f>Actions!K126</f>
        <v/>
      </c>
      <c r="K128" s="16">
        <f>IF(A128="","",IF(I128="%",H128*J128,J128))</f>
        <v/>
      </c>
      <c r="L128" s="16">
        <f>Actions!L126</f>
        <v/>
      </c>
      <c r="M128" s="6">
        <f>Actions!M126</f>
        <v/>
      </c>
      <c r="N128" s="28">
        <f>Actions!N126</f>
        <v/>
      </c>
      <c r="O128" s="29">
        <f>Actions!T126</f>
        <v/>
      </c>
      <c r="P128" s="29">
        <f>Actions!Y126</f>
        <v/>
      </c>
      <c r="Q128" s="29">
        <f>Actions!Z126</f>
        <v/>
      </c>
      <c r="R128" s="29">
        <f>Actions!AA126</f>
        <v/>
      </c>
      <c r="S128" s="29">
        <f>IF(A128="","",((K128)*(IF(M128="",L128,IFERROR(IF(INDEX(Variablen!$I:$AT, MATCH(M128, Variablen!$A:$A, 0), MATCH((YEAR(D128)+0), Variablen!$I$3:$AT$3, 0))="",L128,INDEX(Variablen!$I:$AT, MATCH(M128, Variablen!$A:$A, 0), MATCH((YEAR(D128)+0), Variablen!$I$3:$AT$3, 0))),L128)))*(IF((YEAR(D128)+0)&lt;YEAR(E128),0,IF((YEAR(D128)+0)&gt;YEAR(E128),1,(12-MONTH(E128)+1)/12))) + (Q128)*(IF((YEAR(D128)+0)&lt;YEAR(E128),0,IF((YEAR(D128)+0)&gt;YEAR(E128),1,(12-MONTH(E128)+1)/12))))-((P128)*(IF((YEAR(D128)+0)&lt;YEAR(E128),0,IF((YEAR(D128)+0)&gt;YEAR(E128),1,(12-MONTH(E128)+1)/12))) + (R128)*(IF((YEAR(D128)+0)&lt;YEAR(E128),0,IF((YEAR(D128)+0)&gt;YEAR(E128),1,(12-MONTH(E128)+1)/12))))-(IF((((K128)*(IF(M128="",L128,IFERROR(IF(INDEX(Variablen!$I:$AT, MATCH(M128, Variablen!$A:$A, 0), MATCH((YEAR(D128)+0), Variablen!$I$3:$AT$3, 0))="",L128,INDEX(Variablen!$I:$AT, MATCH(M128, Variablen!$A:$A, 0), MATCH((YEAR(D128)+0), Variablen!$I$3:$AT$3, 0))),L128)))*(IF((YEAR(D128)+0)&lt;YEAR(E128),0,IF((YEAR(D128)+0)&gt;YEAR(E128),1,(12-MONTH(E128)+1)/12))) + (Q128)*(IF((YEAR(D128)+0)&lt;YEAR(E128),0,IF((YEAR(D128)+0)&gt;YEAR(E128),1,(12-MONTH(E128)+1)/12))))-((P128)*(IF((YEAR(D128)+0)&lt;YEAR(E128),0,IF((YEAR(D128)+0)&gt;YEAR(E128),1,(12-MONTH(E128)+1)/12))) + (R128)*(IF((YEAR(D128)+0)&lt;YEAR(E128),0,IF((YEAR(D128)+0)&gt;YEAR(E128),1,(12-MONTH(E128)+1)/12))))-(IF(OR(N128="",N128&lt;=0),0,(O128/N128)*(IF(OR(N128="",N128&lt;=0),0,IF((YEAR(D128)+0)&lt;YEAR(E128),0,IF((YEAR(D128)+0)&gt;=YEAR(E128)+N128,0,IF((YEAR(D128)+0)=YEAR(E128),(12-MONTH(E128)+1)/12,1))))))))&gt;0,(((K128)*(IF(M128="",L128,IFERROR(IF(INDEX(Variablen!$I:$AT, MATCH(M128, Variablen!$A:$A, 0), MATCH((YEAR(D128)+0), Variablen!$I$3:$AT$3, 0))="",L128,INDEX(Variablen!$I:$AT, MATCH(M128, Variablen!$A:$A, 0), MATCH((YEAR(D128)+0), Variablen!$I$3:$AT$3, 0))),L128)))*(IF((YEAR(D128)+0)&lt;YEAR(E128),0,IF((YEAR(D128)+0)&gt;YEAR(E128),1,(12-MONTH(E128)+1)/12))) + (Q128)*(IF((YEAR(D128)+0)&lt;YEAR(E128),0,IF((YEAR(D128)+0)&gt;YEAR(E128),1,(12-MONTH(E128)+1)/12))))-((P128)*(IF((YEAR(D128)+0)&lt;YEAR(E128),0,IF((YEAR(D128)+0)&gt;YEAR(E128),1,(12-MONTH(E128)+1)/12))) + (R128)*(IF((YEAR(D128)+0)&lt;YEAR(E128),0,IF((YEAR(D128)+0)&gt;YEAR(E128),1,(12-MONTH(E128)+1)/12))))-(IF(OR(N128="",N128&lt;=0),0,(O128/N128)*(IF(OR(N128="",N128&lt;=0),0,IF((YEAR(D128)+0)&lt;YEAR(E128),0,IF((YEAR(D128)+0)&gt;=YEAR(E128)+N128,0,IF((YEAR(D128)+0)=YEAR(E128),(12-MONTH(E128)+1)/12,1))))))))*TaxRate,0))-IF(0=0,O128,0))</f>
        <v/>
      </c>
      <c r="T128" s="29">
        <f>IF(A128="","",((K128)*(IF(M128="",L128,IFERROR(IF(INDEX(Variablen!$I:$AT, MATCH(M128, Variablen!$A:$A, 0), MATCH((YEAR(D128)+1), Variablen!$I$3:$AT$3, 0))="",L128,INDEX(Variablen!$I:$AT, MATCH(M128, Variablen!$A:$A, 0), MATCH((YEAR(D128)+1), Variablen!$I$3:$AT$3, 0))),L128)))*(IF((YEAR(D128)+1)&lt;YEAR(E128),0,IF((YEAR(D128)+1)&gt;YEAR(E128),1,(12-MONTH(E128)+1)/12))) + (Q128)*(IF((YEAR(D128)+1)&lt;YEAR(E128),0,IF((YEAR(D128)+1)&gt;YEAR(E128),1,(12-MONTH(E128)+1)/12))))-((P128)*(IF((YEAR(D128)+1)&lt;YEAR(E128),0,IF((YEAR(D128)+1)&gt;YEAR(E128),1,(12-MONTH(E128)+1)/12))) + (R128)*(IF((YEAR(D128)+1)&lt;YEAR(E128),0,IF((YEAR(D128)+1)&gt;YEAR(E128),1,(12-MONTH(E128)+1)/12))))-(IF((((K128)*(IF(M128="",L128,IFERROR(IF(INDEX(Variablen!$I:$AT, MATCH(M128, Variablen!$A:$A, 0), MATCH((YEAR(D128)+1), Variablen!$I$3:$AT$3, 0))="",L128,INDEX(Variablen!$I:$AT, MATCH(M128, Variablen!$A:$A, 0), MATCH((YEAR(D128)+1), Variablen!$I$3:$AT$3, 0))),L128)))*(IF((YEAR(D128)+1)&lt;YEAR(E128),0,IF((YEAR(D128)+1)&gt;YEAR(E128),1,(12-MONTH(E128)+1)/12))) + (Q128)*(IF((YEAR(D128)+1)&lt;YEAR(E128),0,IF((YEAR(D128)+1)&gt;YEAR(E128),1,(12-MONTH(E128)+1)/12))))-((P128)*(IF((YEAR(D128)+1)&lt;YEAR(E128),0,IF((YEAR(D128)+1)&gt;YEAR(E128),1,(12-MONTH(E128)+1)/12))) + (R128)*(IF((YEAR(D128)+1)&lt;YEAR(E128),0,IF((YEAR(D128)+1)&gt;YEAR(E128),1,(12-MONTH(E128)+1)/12))))-(IF(OR(N128="",N128&lt;=0),0,(O128/N128)*(IF(OR(N128="",N128&lt;=0),0,IF((YEAR(D128)+1)&lt;YEAR(E128),0,IF((YEAR(D128)+1)&gt;=YEAR(E128)+N128,0,IF((YEAR(D128)+1)=YEAR(E128),(12-MONTH(E128)+1)/12,1))))))))&gt;0,(((K128)*(IF(M128="",L128,IFERROR(IF(INDEX(Variablen!$I:$AT, MATCH(M128, Variablen!$A:$A, 0), MATCH((YEAR(D128)+1), Variablen!$I$3:$AT$3, 0))="",L128,INDEX(Variablen!$I:$AT, MATCH(M128, Variablen!$A:$A, 0), MATCH((YEAR(D128)+1), Variablen!$I$3:$AT$3, 0))),L128)))*(IF((YEAR(D128)+1)&lt;YEAR(E128),0,IF((YEAR(D128)+1)&gt;YEAR(E128),1,(12-MONTH(E128)+1)/12))) + (Q128)*(IF((YEAR(D128)+1)&lt;YEAR(E128),0,IF((YEAR(D128)+1)&gt;YEAR(E128),1,(12-MONTH(E128)+1)/12))))-((P128)*(IF((YEAR(D128)+1)&lt;YEAR(E128),0,IF((YEAR(D128)+1)&gt;YEAR(E128),1,(12-MONTH(E128)+1)/12))) + (R128)*(IF((YEAR(D128)+1)&lt;YEAR(E128),0,IF((YEAR(D128)+1)&gt;YEAR(E128),1,(12-MONTH(E128)+1)/12))))-(IF(OR(N128="",N128&lt;=0),0,(O128/N128)*(IF(OR(N128="",N128&lt;=0),0,IF((YEAR(D128)+1)&lt;YEAR(E128),0,IF((YEAR(D128)+1)&gt;=YEAR(E128)+N128,0,IF((YEAR(D128)+1)=YEAR(E128),(12-MONTH(E128)+1)/12,1))))))))*TaxRate,0))-IF(1=0,O128,0))</f>
        <v/>
      </c>
      <c r="U128" s="29">
        <f>IF(A128="","",((K128)*(IF(M128="",L128,IFERROR(IF(INDEX(Variablen!$I:$AT, MATCH(M128, Variablen!$A:$A, 0), MATCH((YEAR(D128)+2), Variablen!$I$3:$AT$3, 0))="",L128,INDEX(Variablen!$I:$AT, MATCH(M128, Variablen!$A:$A, 0), MATCH((YEAR(D128)+2), Variablen!$I$3:$AT$3, 0))),L128)))*(IF((YEAR(D128)+2)&lt;YEAR(E128),0,IF((YEAR(D128)+2)&gt;YEAR(E128),1,(12-MONTH(E128)+1)/12))) + (Q128)*(IF((YEAR(D128)+2)&lt;YEAR(E128),0,IF((YEAR(D128)+2)&gt;YEAR(E128),1,(12-MONTH(E128)+1)/12))))-((P128)*(IF((YEAR(D128)+2)&lt;YEAR(E128),0,IF((YEAR(D128)+2)&gt;YEAR(E128),1,(12-MONTH(E128)+1)/12))) + (R128)*(IF((YEAR(D128)+2)&lt;YEAR(E128),0,IF((YEAR(D128)+2)&gt;YEAR(E128),1,(12-MONTH(E128)+1)/12))))-(IF((((K128)*(IF(M128="",L128,IFERROR(IF(INDEX(Variablen!$I:$AT, MATCH(M128, Variablen!$A:$A, 0), MATCH((YEAR(D128)+2), Variablen!$I$3:$AT$3, 0))="",L128,INDEX(Variablen!$I:$AT, MATCH(M128, Variablen!$A:$A, 0), MATCH((YEAR(D128)+2), Variablen!$I$3:$AT$3, 0))),L128)))*(IF((YEAR(D128)+2)&lt;YEAR(E128),0,IF((YEAR(D128)+2)&gt;YEAR(E128),1,(12-MONTH(E128)+1)/12))) + (Q128)*(IF((YEAR(D128)+2)&lt;YEAR(E128),0,IF((YEAR(D128)+2)&gt;YEAR(E128),1,(12-MONTH(E128)+1)/12))))-((P128)*(IF((YEAR(D128)+2)&lt;YEAR(E128),0,IF((YEAR(D128)+2)&gt;YEAR(E128),1,(12-MONTH(E128)+1)/12))) + (R128)*(IF((YEAR(D128)+2)&lt;YEAR(E128),0,IF((YEAR(D128)+2)&gt;YEAR(E128),1,(12-MONTH(E128)+1)/12))))-(IF(OR(N128="",N128&lt;=0),0,(O128/N128)*(IF(OR(N128="",N128&lt;=0),0,IF((YEAR(D128)+2)&lt;YEAR(E128),0,IF((YEAR(D128)+2)&gt;=YEAR(E128)+N128,0,IF((YEAR(D128)+2)=YEAR(E128),(12-MONTH(E128)+1)/12,1))))))))&gt;0,(((K128)*(IF(M128="",L128,IFERROR(IF(INDEX(Variablen!$I:$AT, MATCH(M128, Variablen!$A:$A, 0), MATCH((YEAR(D128)+2), Variablen!$I$3:$AT$3, 0))="",L128,INDEX(Variablen!$I:$AT, MATCH(M128, Variablen!$A:$A, 0), MATCH((YEAR(D128)+2), Variablen!$I$3:$AT$3, 0))),L128)))*(IF((YEAR(D128)+2)&lt;YEAR(E128),0,IF((YEAR(D128)+2)&gt;YEAR(E128),1,(12-MONTH(E128)+1)/12))) + (Q128)*(IF((YEAR(D128)+2)&lt;YEAR(E128),0,IF((YEAR(D128)+2)&gt;YEAR(E128),1,(12-MONTH(E128)+1)/12))))-((P128)*(IF((YEAR(D128)+2)&lt;YEAR(E128),0,IF((YEAR(D128)+2)&gt;YEAR(E128),1,(12-MONTH(E128)+1)/12))) + (R128)*(IF((YEAR(D128)+2)&lt;YEAR(E128),0,IF((YEAR(D128)+2)&gt;YEAR(E128),1,(12-MONTH(E128)+1)/12))))-(IF(OR(N128="",N128&lt;=0),0,(O128/N128)*(IF(OR(N128="",N128&lt;=0),0,IF((YEAR(D128)+2)&lt;YEAR(E128),0,IF((YEAR(D128)+2)&gt;=YEAR(E128)+N128,0,IF((YEAR(D128)+2)=YEAR(E128),(12-MONTH(E128)+1)/12,1))))))))*TaxRate,0))-IF(2=0,O128,0))</f>
        <v/>
      </c>
      <c r="V128" s="29">
        <f>IF(A128="","",((K128)*(IF(M128="",L128,IFERROR(IF(INDEX(Variablen!$I:$AT, MATCH(M128, Variablen!$A:$A, 0), MATCH((YEAR(D128)+3), Variablen!$I$3:$AT$3, 0))="",L128,INDEX(Variablen!$I:$AT, MATCH(M128, Variablen!$A:$A, 0), MATCH((YEAR(D128)+3), Variablen!$I$3:$AT$3, 0))),L128)))*(IF((YEAR(D128)+3)&lt;YEAR(E128),0,IF((YEAR(D128)+3)&gt;YEAR(E128),1,(12-MONTH(E128)+1)/12))) + (Q128)*(IF((YEAR(D128)+3)&lt;YEAR(E128),0,IF((YEAR(D128)+3)&gt;YEAR(E128),1,(12-MONTH(E128)+1)/12))))-((P128)*(IF((YEAR(D128)+3)&lt;YEAR(E128),0,IF((YEAR(D128)+3)&gt;YEAR(E128),1,(12-MONTH(E128)+1)/12))) + (R128)*(IF((YEAR(D128)+3)&lt;YEAR(E128),0,IF((YEAR(D128)+3)&gt;YEAR(E128),1,(12-MONTH(E128)+1)/12))))-(IF((((K128)*(IF(M128="",L128,IFERROR(IF(INDEX(Variablen!$I:$AT, MATCH(M128, Variablen!$A:$A, 0), MATCH((YEAR(D128)+3), Variablen!$I$3:$AT$3, 0))="",L128,INDEX(Variablen!$I:$AT, MATCH(M128, Variablen!$A:$A, 0), MATCH((YEAR(D128)+3), Variablen!$I$3:$AT$3, 0))),L128)))*(IF((YEAR(D128)+3)&lt;YEAR(E128),0,IF((YEAR(D128)+3)&gt;YEAR(E128),1,(12-MONTH(E128)+1)/12))) + (Q128)*(IF((YEAR(D128)+3)&lt;YEAR(E128),0,IF((YEAR(D128)+3)&gt;YEAR(E128),1,(12-MONTH(E128)+1)/12))))-((P128)*(IF((YEAR(D128)+3)&lt;YEAR(E128),0,IF((YEAR(D128)+3)&gt;YEAR(E128),1,(12-MONTH(E128)+1)/12))) + (R128)*(IF((YEAR(D128)+3)&lt;YEAR(E128),0,IF((YEAR(D128)+3)&gt;YEAR(E128),1,(12-MONTH(E128)+1)/12))))-(IF(OR(N128="",N128&lt;=0),0,(O128/N128)*(IF(OR(N128="",N128&lt;=0),0,IF((YEAR(D128)+3)&lt;YEAR(E128),0,IF((YEAR(D128)+3)&gt;=YEAR(E128)+N128,0,IF((YEAR(D128)+3)=YEAR(E128),(12-MONTH(E128)+1)/12,1))))))))&gt;0,(((K128)*(IF(M128="",L128,IFERROR(IF(INDEX(Variablen!$I:$AT, MATCH(M128, Variablen!$A:$A, 0), MATCH((YEAR(D128)+3), Variablen!$I$3:$AT$3, 0))="",L128,INDEX(Variablen!$I:$AT, MATCH(M128, Variablen!$A:$A, 0), MATCH((YEAR(D128)+3), Variablen!$I$3:$AT$3, 0))),L128)))*(IF((YEAR(D128)+3)&lt;YEAR(E128),0,IF((YEAR(D128)+3)&gt;YEAR(E128),1,(12-MONTH(E128)+1)/12))) + (Q128)*(IF((YEAR(D128)+3)&lt;YEAR(E128),0,IF((YEAR(D128)+3)&gt;YEAR(E128),1,(12-MONTH(E128)+1)/12))))-((P128)*(IF((YEAR(D128)+3)&lt;YEAR(E128),0,IF((YEAR(D128)+3)&gt;YEAR(E128),1,(12-MONTH(E128)+1)/12))) + (R128)*(IF((YEAR(D128)+3)&lt;YEAR(E128),0,IF((YEAR(D128)+3)&gt;YEAR(E128),1,(12-MONTH(E128)+1)/12))))-(IF(OR(N128="",N128&lt;=0),0,(O128/N128)*(IF(OR(N128="",N128&lt;=0),0,IF((YEAR(D128)+3)&lt;YEAR(E128),0,IF((YEAR(D128)+3)&gt;=YEAR(E128)+N128,0,IF((YEAR(D128)+3)=YEAR(E128),(12-MONTH(E128)+1)/12,1))))))))*TaxRate,0))-IF(3=0,O128,0))</f>
        <v/>
      </c>
      <c r="W128" s="29">
        <f>IF(A128="","",((K128)*(IF(M128="",L128,IFERROR(IF(INDEX(Variablen!$I:$AT, MATCH(M128, Variablen!$A:$A, 0), MATCH((YEAR(D128)+4), Variablen!$I$3:$AT$3, 0))="",L128,INDEX(Variablen!$I:$AT, MATCH(M128, Variablen!$A:$A, 0), MATCH((YEAR(D128)+4), Variablen!$I$3:$AT$3, 0))),L128)))*(IF((YEAR(D128)+4)&lt;YEAR(E128),0,IF((YEAR(D128)+4)&gt;YEAR(E128),1,(12-MONTH(E128)+1)/12))) + (Q128)*(IF((YEAR(D128)+4)&lt;YEAR(E128),0,IF((YEAR(D128)+4)&gt;YEAR(E128),1,(12-MONTH(E128)+1)/12))))-((P128)*(IF((YEAR(D128)+4)&lt;YEAR(E128),0,IF((YEAR(D128)+4)&gt;YEAR(E128),1,(12-MONTH(E128)+1)/12))) + (R128)*(IF((YEAR(D128)+4)&lt;YEAR(E128),0,IF((YEAR(D128)+4)&gt;YEAR(E128),1,(12-MONTH(E128)+1)/12))))-(IF((((K128)*(IF(M128="",L128,IFERROR(IF(INDEX(Variablen!$I:$AT, MATCH(M128, Variablen!$A:$A, 0), MATCH((YEAR(D128)+4), Variablen!$I$3:$AT$3, 0))="",L128,INDEX(Variablen!$I:$AT, MATCH(M128, Variablen!$A:$A, 0), MATCH((YEAR(D128)+4), Variablen!$I$3:$AT$3, 0))),L128)))*(IF((YEAR(D128)+4)&lt;YEAR(E128),0,IF((YEAR(D128)+4)&gt;YEAR(E128),1,(12-MONTH(E128)+1)/12))) + (Q128)*(IF((YEAR(D128)+4)&lt;YEAR(E128),0,IF((YEAR(D128)+4)&gt;YEAR(E128),1,(12-MONTH(E128)+1)/12))))-((P128)*(IF((YEAR(D128)+4)&lt;YEAR(E128),0,IF((YEAR(D128)+4)&gt;YEAR(E128),1,(12-MONTH(E128)+1)/12))) + (R128)*(IF((YEAR(D128)+4)&lt;YEAR(E128),0,IF((YEAR(D128)+4)&gt;YEAR(E128),1,(12-MONTH(E128)+1)/12))))-(IF(OR(N128="",N128&lt;=0),0,(O128/N128)*(IF(OR(N128="",N128&lt;=0),0,IF((YEAR(D128)+4)&lt;YEAR(E128),0,IF((YEAR(D128)+4)&gt;=YEAR(E128)+N128,0,IF((YEAR(D128)+4)=YEAR(E128),(12-MONTH(E128)+1)/12,1))))))))&gt;0,(((K128)*(IF(M128="",L128,IFERROR(IF(INDEX(Variablen!$I:$AT, MATCH(M128, Variablen!$A:$A, 0), MATCH((YEAR(D128)+4), Variablen!$I$3:$AT$3, 0))="",L128,INDEX(Variablen!$I:$AT, MATCH(M128, Variablen!$A:$A, 0), MATCH((YEAR(D128)+4), Variablen!$I$3:$AT$3, 0))),L128)))*(IF((YEAR(D128)+4)&lt;YEAR(E128),0,IF((YEAR(D128)+4)&gt;YEAR(E128),1,(12-MONTH(E128)+1)/12))) + (Q128)*(IF((YEAR(D128)+4)&lt;YEAR(E128),0,IF((YEAR(D128)+4)&gt;YEAR(E128),1,(12-MONTH(E128)+1)/12))))-((P128)*(IF((YEAR(D128)+4)&lt;YEAR(E128),0,IF((YEAR(D128)+4)&gt;YEAR(E128),1,(12-MONTH(E128)+1)/12))) + (R128)*(IF((YEAR(D128)+4)&lt;YEAR(E128),0,IF((YEAR(D128)+4)&gt;YEAR(E128),1,(12-MONTH(E128)+1)/12))))-(IF(OR(N128="",N128&lt;=0),0,(O128/N128)*(IF(OR(N128="",N128&lt;=0),0,IF((YEAR(D128)+4)&lt;YEAR(E128),0,IF((YEAR(D128)+4)&gt;=YEAR(E128)+N128,0,IF((YEAR(D128)+4)=YEAR(E128),(12-MONTH(E128)+1)/12,1))))))))*TaxRate,0))-IF(4=0,O128,0))</f>
        <v/>
      </c>
      <c r="X128" s="29">
        <f>IF(A128="","",((K128)*(IF(M128="",L128,IFERROR(IF(INDEX(Variablen!$I:$AT, MATCH(M128, Variablen!$A:$A, 0), MATCH((YEAR(D128)+5), Variablen!$I$3:$AT$3, 0))="",L128,INDEX(Variablen!$I:$AT, MATCH(M128, Variablen!$A:$A, 0), MATCH((YEAR(D128)+5), Variablen!$I$3:$AT$3, 0))),L128)))*(IF((YEAR(D128)+5)&lt;YEAR(E128),0,IF((YEAR(D128)+5)&gt;YEAR(E128),1,(12-MONTH(E128)+1)/12))) + (Q128)*(IF((YEAR(D128)+5)&lt;YEAR(E128),0,IF((YEAR(D128)+5)&gt;YEAR(E128),1,(12-MONTH(E128)+1)/12))))-((P128)*(IF((YEAR(D128)+5)&lt;YEAR(E128),0,IF((YEAR(D128)+5)&gt;YEAR(E128),1,(12-MONTH(E128)+1)/12))) + (R128)*(IF((YEAR(D128)+5)&lt;YEAR(E128),0,IF((YEAR(D128)+5)&gt;YEAR(E128),1,(12-MONTH(E128)+1)/12))))-(IF((((K128)*(IF(M128="",L128,IFERROR(IF(INDEX(Variablen!$I:$AT, MATCH(M128, Variablen!$A:$A, 0), MATCH((YEAR(D128)+5), Variablen!$I$3:$AT$3, 0))="",L128,INDEX(Variablen!$I:$AT, MATCH(M128, Variablen!$A:$A, 0), MATCH((YEAR(D128)+5), Variablen!$I$3:$AT$3, 0))),L128)))*(IF((YEAR(D128)+5)&lt;YEAR(E128),0,IF((YEAR(D128)+5)&gt;YEAR(E128),1,(12-MONTH(E128)+1)/12))) + (Q128)*(IF((YEAR(D128)+5)&lt;YEAR(E128),0,IF((YEAR(D128)+5)&gt;YEAR(E128),1,(12-MONTH(E128)+1)/12))))-((P128)*(IF((YEAR(D128)+5)&lt;YEAR(E128),0,IF((YEAR(D128)+5)&gt;YEAR(E128),1,(12-MONTH(E128)+1)/12))) + (R128)*(IF((YEAR(D128)+5)&lt;YEAR(E128),0,IF((YEAR(D128)+5)&gt;YEAR(E128),1,(12-MONTH(E128)+1)/12))))-(IF(OR(N128="",N128&lt;=0),0,(O128/N128)*(IF(OR(N128="",N128&lt;=0),0,IF((YEAR(D128)+5)&lt;YEAR(E128),0,IF((YEAR(D128)+5)&gt;=YEAR(E128)+N128,0,IF((YEAR(D128)+5)=YEAR(E128),(12-MONTH(E128)+1)/12,1))))))))&gt;0,(((K128)*(IF(M128="",L128,IFERROR(IF(INDEX(Variablen!$I:$AT, MATCH(M128, Variablen!$A:$A, 0), MATCH((YEAR(D128)+5), Variablen!$I$3:$AT$3, 0))="",L128,INDEX(Variablen!$I:$AT, MATCH(M128, Variablen!$A:$A, 0), MATCH((YEAR(D128)+5), Variablen!$I$3:$AT$3, 0))),L128)))*(IF((YEAR(D128)+5)&lt;YEAR(E128),0,IF((YEAR(D128)+5)&gt;YEAR(E128),1,(12-MONTH(E128)+1)/12))) + (Q128)*(IF((YEAR(D128)+5)&lt;YEAR(E128),0,IF((YEAR(D128)+5)&gt;YEAR(E128),1,(12-MONTH(E128)+1)/12))))-((P128)*(IF((YEAR(D128)+5)&lt;YEAR(E128),0,IF((YEAR(D128)+5)&gt;YEAR(E128),1,(12-MONTH(E128)+1)/12))) + (R128)*(IF((YEAR(D128)+5)&lt;YEAR(E128),0,IF((YEAR(D128)+5)&gt;YEAR(E128),1,(12-MONTH(E128)+1)/12))))-(IF(OR(N128="",N128&lt;=0),0,(O128/N128)*(IF(OR(N128="",N128&lt;=0),0,IF((YEAR(D128)+5)&lt;YEAR(E128),0,IF((YEAR(D128)+5)&gt;=YEAR(E128)+N128,0,IF((YEAR(D128)+5)=YEAR(E128),(12-MONTH(E128)+1)/12,1))))))))*TaxRate,0))-IF(5=0,O128,0))</f>
        <v/>
      </c>
      <c r="Y128" s="29">
        <f>IF(A128="","",((K128)*(IF(M128="",L128,IFERROR(IF(INDEX(Variablen!$I:$AT, MATCH(M128, Variablen!$A:$A, 0), MATCH((YEAR(D128)+6), Variablen!$I$3:$AT$3, 0))="",L128,INDEX(Variablen!$I:$AT, MATCH(M128, Variablen!$A:$A, 0), MATCH((YEAR(D128)+6), Variablen!$I$3:$AT$3, 0))),L128)))*(IF((YEAR(D128)+6)&lt;YEAR(E128),0,IF((YEAR(D128)+6)&gt;YEAR(E128),1,(12-MONTH(E128)+1)/12))) + (Q128)*(IF((YEAR(D128)+6)&lt;YEAR(E128),0,IF((YEAR(D128)+6)&gt;YEAR(E128),1,(12-MONTH(E128)+1)/12))))-((P128)*(IF((YEAR(D128)+6)&lt;YEAR(E128),0,IF((YEAR(D128)+6)&gt;YEAR(E128),1,(12-MONTH(E128)+1)/12))) + (R128)*(IF((YEAR(D128)+6)&lt;YEAR(E128),0,IF((YEAR(D128)+6)&gt;YEAR(E128),1,(12-MONTH(E128)+1)/12))))-(IF((((K128)*(IF(M128="",L128,IFERROR(IF(INDEX(Variablen!$I:$AT, MATCH(M128, Variablen!$A:$A, 0), MATCH((YEAR(D128)+6), Variablen!$I$3:$AT$3, 0))="",L128,INDEX(Variablen!$I:$AT, MATCH(M128, Variablen!$A:$A, 0), MATCH((YEAR(D128)+6), Variablen!$I$3:$AT$3, 0))),L128)))*(IF((YEAR(D128)+6)&lt;YEAR(E128),0,IF((YEAR(D128)+6)&gt;YEAR(E128),1,(12-MONTH(E128)+1)/12))) + (Q128)*(IF((YEAR(D128)+6)&lt;YEAR(E128),0,IF((YEAR(D128)+6)&gt;YEAR(E128),1,(12-MONTH(E128)+1)/12))))-((P128)*(IF((YEAR(D128)+6)&lt;YEAR(E128),0,IF((YEAR(D128)+6)&gt;YEAR(E128),1,(12-MONTH(E128)+1)/12))) + (R128)*(IF((YEAR(D128)+6)&lt;YEAR(E128),0,IF((YEAR(D128)+6)&gt;YEAR(E128),1,(12-MONTH(E128)+1)/12))))-(IF(OR(N128="",N128&lt;=0),0,(O128/N128)*(IF(OR(N128="",N128&lt;=0),0,IF((YEAR(D128)+6)&lt;YEAR(E128),0,IF((YEAR(D128)+6)&gt;=YEAR(E128)+N128,0,IF((YEAR(D128)+6)=YEAR(E128),(12-MONTH(E128)+1)/12,1))))))))&gt;0,(((K128)*(IF(M128="",L128,IFERROR(IF(INDEX(Variablen!$I:$AT, MATCH(M128, Variablen!$A:$A, 0), MATCH((YEAR(D128)+6), Variablen!$I$3:$AT$3, 0))="",L128,INDEX(Variablen!$I:$AT, MATCH(M128, Variablen!$A:$A, 0), MATCH((YEAR(D128)+6), Variablen!$I$3:$AT$3, 0))),L128)))*(IF((YEAR(D128)+6)&lt;YEAR(E128),0,IF((YEAR(D128)+6)&gt;YEAR(E128),1,(12-MONTH(E128)+1)/12))) + (Q128)*(IF((YEAR(D128)+6)&lt;YEAR(E128),0,IF((YEAR(D128)+6)&gt;YEAR(E128),1,(12-MONTH(E128)+1)/12))))-((P128)*(IF((YEAR(D128)+6)&lt;YEAR(E128),0,IF((YEAR(D128)+6)&gt;YEAR(E128),1,(12-MONTH(E128)+1)/12))) + (R128)*(IF((YEAR(D128)+6)&lt;YEAR(E128),0,IF((YEAR(D128)+6)&gt;YEAR(E128),1,(12-MONTH(E128)+1)/12))))-(IF(OR(N128="",N128&lt;=0),0,(O128/N128)*(IF(OR(N128="",N128&lt;=0),0,IF((YEAR(D128)+6)&lt;YEAR(E128),0,IF((YEAR(D128)+6)&gt;=YEAR(E128)+N128,0,IF((YEAR(D128)+6)=YEAR(E128),(12-MONTH(E128)+1)/12,1))))))))*TaxRate,0))-IF(6=0,O128,0))</f>
        <v/>
      </c>
      <c r="Z128" s="29">
        <f>IF(A128="","",((K128)*(IF(M128="",L128,IFERROR(IF(INDEX(Variablen!$I:$AT, MATCH(M128, Variablen!$A:$A, 0), MATCH((YEAR(D128)+7), Variablen!$I$3:$AT$3, 0))="",L128,INDEX(Variablen!$I:$AT, MATCH(M128, Variablen!$A:$A, 0), MATCH((YEAR(D128)+7), Variablen!$I$3:$AT$3, 0))),L128)))*(IF((YEAR(D128)+7)&lt;YEAR(E128),0,IF((YEAR(D128)+7)&gt;YEAR(E128),1,(12-MONTH(E128)+1)/12))) + (Q128)*(IF((YEAR(D128)+7)&lt;YEAR(E128),0,IF((YEAR(D128)+7)&gt;YEAR(E128),1,(12-MONTH(E128)+1)/12))))-((P128)*(IF((YEAR(D128)+7)&lt;YEAR(E128),0,IF((YEAR(D128)+7)&gt;YEAR(E128),1,(12-MONTH(E128)+1)/12))) + (R128)*(IF((YEAR(D128)+7)&lt;YEAR(E128),0,IF((YEAR(D128)+7)&gt;YEAR(E128),1,(12-MONTH(E128)+1)/12))))-(IF((((K128)*(IF(M128="",L128,IFERROR(IF(INDEX(Variablen!$I:$AT, MATCH(M128, Variablen!$A:$A, 0), MATCH((YEAR(D128)+7), Variablen!$I$3:$AT$3, 0))="",L128,INDEX(Variablen!$I:$AT, MATCH(M128, Variablen!$A:$A, 0), MATCH((YEAR(D128)+7), Variablen!$I$3:$AT$3, 0))),L128)))*(IF((YEAR(D128)+7)&lt;YEAR(E128),0,IF((YEAR(D128)+7)&gt;YEAR(E128),1,(12-MONTH(E128)+1)/12))) + (Q128)*(IF((YEAR(D128)+7)&lt;YEAR(E128),0,IF((YEAR(D128)+7)&gt;YEAR(E128),1,(12-MONTH(E128)+1)/12))))-((P128)*(IF((YEAR(D128)+7)&lt;YEAR(E128),0,IF((YEAR(D128)+7)&gt;YEAR(E128),1,(12-MONTH(E128)+1)/12))) + (R128)*(IF((YEAR(D128)+7)&lt;YEAR(E128),0,IF((YEAR(D128)+7)&gt;YEAR(E128),1,(12-MONTH(E128)+1)/12))))-(IF(OR(N128="",N128&lt;=0),0,(O128/N128)*(IF(OR(N128="",N128&lt;=0),0,IF((YEAR(D128)+7)&lt;YEAR(E128),0,IF((YEAR(D128)+7)&gt;=YEAR(E128)+N128,0,IF((YEAR(D128)+7)=YEAR(E128),(12-MONTH(E128)+1)/12,1))))))))&gt;0,(((K128)*(IF(M128="",L128,IFERROR(IF(INDEX(Variablen!$I:$AT, MATCH(M128, Variablen!$A:$A, 0), MATCH((YEAR(D128)+7), Variablen!$I$3:$AT$3, 0))="",L128,INDEX(Variablen!$I:$AT, MATCH(M128, Variablen!$A:$A, 0), MATCH((YEAR(D128)+7), Variablen!$I$3:$AT$3, 0))),L128)))*(IF((YEAR(D128)+7)&lt;YEAR(E128),0,IF((YEAR(D128)+7)&gt;YEAR(E128),1,(12-MONTH(E128)+1)/12))) + (Q128)*(IF((YEAR(D128)+7)&lt;YEAR(E128),0,IF((YEAR(D128)+7)&gt;YEAR(E128),1,(12-MONTH(E128)+1)/12))))-((P128)*(IF((YEAR(D128)+7)&lt;YEAR(E128),0,IF((YEAR(D128)+7)&gt;YEAR(E128),1,(12-MONTH(E128)+1)/12))) + (R128)*(IF((YEAR(D128)+7)&lt;YEAR(E128),0,IF((YEAR(D128)+7)&gt;YEAR(E128),1,(12-MONTH(E128)+1)/12))))-(IF(OR(N128="",N128&lt;=0),0,(O128/N128)*(IF(OR(N128="",N128&lt;=0),0,IF((YEAR(D128)+7)&lt;YEAR(E128),0,IF((YEAR(D128)+7)&gt;=YEAR(E128)+N128,0,IF((YEAR(D128)+7)=YEAR(E128),(12-MONTH(E128)+1)/12,1))))))))*TaxRate,0))-IF(7=0,O128,0))</f>
        <v/>
      </c>
      <c r="AA128" s="29">
        <f>IF(A128="","",((K128)*(IF(M128="",L128,IFERROR(IF(INDEX(Variablen!$I:$AT, MATCH(M128, Variablen!$A:$A, 0), MATCH((YEAR(D128)+8), Variablen!$I$3:$AT$3, 0))="",L128,INDEX(Variablen!$I:$AT, MATCH(M128, Variablen!$A:$A, 0), MATCH((YEAR(D128)+8), Variablen!$I$3:$AT$3, 0))),L128)))*(IF((YEAR(D128)+8)&lt;YEAR(E128),0,IF((YEAR(D128)+8)&gt;YEAR(E128),1,(12-MONTH(E128)+1)/12))) + (Q128)*(IF((YEAR(D128)+8)&lt;YEAR(E128),0,IF((YEAR(D128)+8)&gt;YEAR(E128),1,(12-MONTH(E128)+1)/12))))-((P128)*(IF((YEAR(D128)+8)&lt;YEAR(E128),0,IF((YEAR(D128)+8)&gt;YEAR(E128),1,(12-MONTH(E128)+1)/12))) + (R128)*(IF((YEAR(D128)+8)&lt;YEAR(E128),0,IF((YEAR(D128)+8)&gt;YEAR(E128),1,(12-MONTH(E128)+1)/12))))-(IF((((K128)*(IF(M128="",L128,IFERROR(IF(INDEX(Variablen!$I:$AT, MATCH(M128, Variablen!$A:$A, 0), MATCH((YEAR(D128)+8), Variablen!$I$3:$AT$3, 0))="",L128,INDEX(Variablen!$I:$AT, MATCH(M128, Variablen!$A:$A, 0), MATCH((YEAR(D128)+8), Variablen!$I$3:$AT$3, 0))),L128)))*(IF((YEAR(D128)+8)&lt;YEAR(E128),0,IF((YEAR(D128)+8)&gt;YEAR(E128),1,(12-MONTH(E128)+1)/12))) + (Q128)*(IF((YEAR(D128)+8)&lt;YEAR(E128),0,IF((YEAR(D128)+8)&gt;YEAR(E128),1,(12-MONTH(E128)+1)/12))))-((P128)*(IF((YEAR(D128)+8)&lt;YEAR(E128),0,IF((YEAR(D128)+8)&gt;YEAR(E128),1,(12-MONTH(E128)+1)/12))) + (R128)*(IF((YEAR(D128)+8)&lt;YEAR(E128),0,IF((YEAR(D128)+8)&gt;YEAR(E128),1,(12-MONTH(E128)+1)/12))))-(IF(OR(N128="",N128&lt;=0),0,(O128/N128)*(IF(OR(N128="",N128&lt;=0),0,IF((YEAR(D128)+8)&lt;YEAR(E128),0,IF((YEAR(D128)+8)&gt;=YEAR(E128)+N128,0,IF((YEAR(D128)+8)=YEAR(E128),(12-MONTH(E128)+1)/12,1))))))))&gt;0,(((K128)*(IF(M128="",L128,IFERROR(IF(INDEX(Variablen!$I:$AT, MATCH(M128, Variablen!$A:$A, 0), MATCH((YEAR(D128)+8), Variablen!$I$3:$AT$3, 0))="",L128,INDEX(Variablen!$I:$AT, MATCH(M128, Variablen!$A:$A, 0), MATCH((YEAR(D128)+8), Variablen!$I$3:$AT$3, 0))),L128)))*(IF((YEAR(D128)+8)&lt;YEAR(E128),0,IF((YEAR(D128)+8)&gt;YEAR(E128),1,(12-MONTH(E128)+1)/12))) + (Q128)*(IF((YEAR(D128)+8)&lt;YEAR(E128),0,IF((YEAR(D128)+8)&gt;YEAR(E128),1,(12-MONTH(E128)+1)/12))))-((P128)*(IF((YEAR(D128)+8)&lt;YEAR(E128),0,IF((YEAR(D128)+8)&gt;YEAR(E128),1,(12-MONTH(E128)+1)/12))) + (R128)*(IF((YEAR(D128)+8)&lt;YEAR(E128),0,IF((YEAR(D128)+8)&gt;YEAR(E128),1,(12-MONTH(E128)+1)/12))))-(IF(OR(N128="",N128&lt;=0),0,(O128/N128)*(IF(OR(N128="",N128&lt;=0),0,IF((YEAR(D128)+8)&lt;YEAR(E128),0,IF((YEAR(D128)+8)&gt;=YEAR(E128)+N128,0,IF((YEAR(D128)+8)=YEAR(E128),(12-MONTH(E128)+1)/12,1))))))))*TaxRate,0))-IF(8=0,O128,0))</f>
        <v/>
      </c>
      <c r="AB128" s="29">
        <f>IF(A128="","",((K128)*(IF(M128="",L128,IFERROR(IF(INDEX(Variablen!$I:$AT, MATCH(M128, Variablen!$A:$A, 0), MATCH((YEAR(D128)+9), Variablen!$I$3:$AT$3, 0))="",L128,INDEX(Variablen!$I:$AT, MATCH(M128, Variablen!$A:$A, 0), MATCH((YEAR(D128)+9), Variablen!$I$3:$AT$3, 0))),L128)))*(IF((YEAR(D128)+9)&lt;YEAR(E128),0,IF((YEAR(D128)+9)&gt;YEAR(E128),1,(12-MONTH(E128)+1)/12))) + (Q128)*(IF((YEAR(D128)+9)&lt;YEAR(E128),0,IF((YEAR(D128)+9)&gt;YEAR(E128),1,(12-MONTH(E128)+1)/12))))-((P128)*(IF((YEAR(D128)+9)&lt;YEAR(E128),0,IF((YEAR(D128)+9)&gt;YEAR(E128),1,(12-MONTH(E128)+1)/12))) + (R128)*(IF((YEAR(D128)+9)&lt;YEAR(E128),0,IF((YEAR(D128)+9)&gt;YEAR(E128),1,(12-MONTH(E128)+1)/12))))-(IF((((K128)*(IF(M128="",L128,IFERROR(IF(INDEX(Variablen!$I:$AT, MATCH(M128, Variablen!$A:$A, 0), MATCH((YEAR(D128)+9), Variablen!$I$3:$AT$3, 0))="",L128,INDEX(Variablen!$I:$AT, MATCH(M128, Variablen!$A:$A, 0), MATCH((YEAR(D128)+9), Variablen!$I$3:$AT$3, 0))),L128)))*(IF((YEAR(D128)+9)&lt;YEAR(E128),0,IF((YEAR(D128)+9)&gt;YEAR(E128),1,(12-MONTH(E128)+1)/12))) + (Q128)*(IF((YEAR(D128)+9)&lt;YEAR(E128),0,IF((YEAR(D128)+9)&gt;YEAR(E128),1,(12-MONTH(E128)+1)/12))))-((P128)*(IF((YEAR(D128)+9)&lt;YEAR(E128),0,IF((YEAR(D128)+9)&gt;YEAR(E128),1,(12-MONTH(E128)+1)/12))) + (R128)*(IF((YEAR(D128)+9)&lt;YEAR(E128),0,IF((YEAR(D128)+9)&gt;YEAR(E128),1,(12-MONTH(E128)+1)/12))))-(IF(OR(N128="",N128&lt;=0),0,(O128/N128)*(IF(OR(N128="",N128&lt;=0),0,IF((YEAR(D128)+9)&lt;YEAR(E128),0,IF((YEAR(D128)+9)&gt;=YEAR(E128)+N128,0,IF((YEAR(D128)+9)=YEAR(E128),(12-MONTH(E128)+1)/12,1))))))))&gt;0,(((K128)*(IF(M128="",L128,IFERROR(IF(INDEX(Variablen!$I:$AT, MATCH(M128, Variablen!$A:$A, 0), MATCH((YEAR(D128)+9), Variablen!$I$3:$AT$3, 0))="",L128,INDEX(Variablen!$I:$AT, MATCH(M128, Variablen!$A:$A, 0), MATCH((YEAR(D128)+9), Variablen!$I$3:$AT$3, 0))),L128)))*(IF((YEAR(D128)+9)&lt;YEAR(E128),0,IF((YEAR(D128)+9)&gt;YEAR(E128),1,(12-MONTH(E128)+1)/12))) + (Q128)*(IF((YEAR(D128)+9)&lt;YEAR(E128),0,IF((YEAR(D128)+9)&gt;YEAR(E128),1,(12-MONTH(E128)+1)/12))))-((P128)*(IF((YEAR(D128)+9)&lt;YEAR(E128),0,IF((YEAR(D128)+9)&gt;YEAR(E128),1,(12-MONTH(E128)+1)/12))) + (R128)*(IF((YEAR(D128)+9)&lt;YEAR(E128),0,IF((YEAR(D128)+9)&gt;YEAR(E128),1,(12-MONTH(E128)+1)/12))))-(IF(OR(N128="",N128&lt;=0),0,(O128/N128)*(IF(OR(N128="",N128&lt;=0),0,IF((YEAR(D128)+9)&lt;YEAR(E128),0,IF((YEAR(D128)+9)&gt;=YEAR(E128)+N128,0,IF((YEAR(D128)+9)=YEAR(E128),(12-MONTH(E128)+1)/12,1))))))))*TaxRate,0))-IF(9=0,O128,0))</f>
        <v/>
      </c>
      <c r="AC128" s="29">
        <f>IF(A128="","",((K128)*(IF(M128="",L128,IFERROR(IF(INDEX(Variablen!$I:$AT, MATCH(M128, Variablen!$A:$A, 0), MATCH((YEAR(D128)+10), Variablen!$I$3:$AT$3, 0))="",L128,INDEX(Variablen!$I:$AT, MATCH(M128, Variablen!$A:$A, 0), MATCH((YEAR(D128)+10), Variablen!$I$3:$AT$3, 0))),L128)))*(IF((YEAR(D128)+10)&lt;YEAR(E128),0,IF((YEAR(D128)+10)&gt;YEAR(E128),1,(12-MONTH(E128)+1)/12))) + (Q128)*(IF((YEAR(D128)+10)&lt;YEAR(E128),0,IF((YEAR(D128)+10)&gt;YEAR(E128),1,(12-MONTH(E128)+1)/12))))-((P128)*(IF((YEAR(D128)+10)&lt;YEAR(E128),0,IF((YEAR(D128)+10)&gt;YEAR(E128),1,(12-MONTH(E128)+1)/12))) + (R128)*(IF((YEAR(D128)+10)&lt;YEAR(E128),0,IF((YEAR(D128)+10)&gt;YEAR(E128),1,(12-MONTH(E128)+1)/12))))-(IF((((K128)*(IF(M128="",L128,IFERROR(IF(INDEX(Variablen!$I:$AT, MATCH(M128, Variablen!$A:$A, 0), MATCH((YEAR(D128)+10), Variablen!$I$3:$AT$3, 0))="",L128,INDEX(Variablen!$I:$AT, MATCH(M128, Variablen!$A:$A, 0), MATCH((YEAR(D128)+10), Variablen!$I$3:$AT$3, 0))),L128)))*(IF((YEAR(D128)+10)&lt;YEAR(E128),0,IF((YEAR(D128)+10)&gt;YEAR(E128),1,(12-MONTH(E128)+1)/12))) + (Q128)*(IF((YEAR(D128)+10)&lt;YEAR(E128),0,IF((YEAR(D128)+10)&gt;YEAR(E128),1,(12-MONTH(E128)+1)/12))))-((P128)*(IF((YEAR(D128)+10)&lt;YEAR(E128),0,IF((YEAR(D128)+10)&gt;YEAR(E128),1,(12-MONTH(E128)+1)/12))) + (R128)*(IF((YEAR(D128)+10)&lt;YEAR(E128),0,IF((YEAR(D128)+10)&gt;YEAR(E128),1,(12-MONTH(E128)+1)/12))))-(IF(OR(N128="",N128&lt;=0),0,(O128/N128)*(IF(OR(N128="",N128&lt;=0),0,IF((YEAR(D128)+10)&lt;YEAR(E128),0,IF((YEAR(D128)+10)&gt;=YEAR(E128)+N128,0,IF((YEAR(D128)+10)=YEAR(E128),(12-MONTH(E128)+1)/12,1))))))))&gt;0,(((K128)*(IF(M128="",L128,IFERROR(IF(INDEX(Variablen!$I:$AT, MATCH(M128, Variablen!$A:$A, 0), MATCH((YEAR(D128)+10), Variablen!$I$3:$AT$3, 0))="",L128,INDEX(Variablen!$I:$AT, MATCH(M128, Variablen!$A:$A, 0), MATCH((YEAR(D128)+10), Variablen!$I$3:$AT$3, 0))),L128)))*(IF((YEAR(D128)+10)&lt;YEAR(E128),0,IF((YEAR(D128)+10)&gt;YEAR(E128),1,(12-MONTH(E128)+1)/12))) + (Q128)*(IF((YEAR(D128)+10)&lt;YEAR(E128),0,IF((YEAR(D128)+10)&gt;YEAR(E128),1,(12-MONTH(E128)+1)/12))))-((P128)*(IF((YEAR(D128)+10)&lt;YEAR(E128),0,IF((YEAR(D128)+10)&gt;YEAR(E128),1,(12-MONTH(E128)+1)/12))) + (R128)*(IF((YEAR(D128)+10)&lt;YEAR(E128),0,IF((YEAR(D128)+10)&gt;YEAR(E128),1,(12-MONTH(E128)+1)/12))))-(IF(OR(N128="",N128&lt;=0),0,(O128/N128)*(IF(OR(N128="",N128&lt;=0),0,IF((YEAR(D128)+10)&lt;YEAR(E128),0,IF((YEAR(D128)+10)&gt;=YEAR(E128)+N128,0,IF((YEAR(D128)+10)=YEAR(E128),(12-MONTH(E128)+1)/12,1))))))))*TaxRate,0))-IF(10=0,O128,0))</f>
        <v/>
      </c>
      <c r="AD128" s="29">
        <f>IF(A128="","",((K128)*(IF(M128="",L128,IFERROR(IF(INDEX(Variablen!$I:$AT, MATCH(M128, Variablen!$A:$A, 0), MATCH((YEAR(D128)+11), Variablen!$I$3:$AT$3, 0))="",L128,INDEX(Variablen!$I:$AT, MATCH(M128, Variablen!$A:$A, 0), MATCH((YEAR(D128)+11), Variablen!$I$3:$AT$3, 0))),L128)))*(IF((YEAR(D128)+11)&lt;YEAR(E128),0,IF((YEAR(D128)+11)&gt;YEAR(E128),1,(12-MONTH(E128)+1)/12))) + (Q128)*(IF((YEAR(D128)+11)&lt;YEAR(E128),0,IF((YEAR(D128)+11)&gt;YEAR(E128),1,(12-MONTH(E128)+1)/12))))-((P128)*(IF((YEAR(D128)+11)&lt;YEAR(E128),0,IF((YEAR(D128)+11)&gt;YEAR(E128),1,(12-MONTH(E128)+1)/12))) + (R128)*(IF((YEAR(D128)+11)&lt;YEAR(E128),0,IF((YEAR(D128)+11)&gt;YEAR(E128),1,(12-MONTH(E128)+1)/12))))-(IF((((K128)*(IF(M128="",L128,IFERROR(IF(INDEX(Variablen!$I:$AT, MATCH(M128, Variablen!$A:$A, 0), MATCH((YEAR(D128)+11), Variablen!$I$3:$AT$3, 0))="",L128,INDEX(Variablen!$I:$AT, MATCH(M128, Variablen!$A:$A, 0), MATCH((YEAR(D128)+11), Variablen!$I$3:$AT$3, 0))),L128)))*(IF((YEAR(D128)+11)&lt;YEAR(E128),0,IF((YEAR(D128)+11)&gt;YEAR(E128),1,(12-MONTH(E128)+1)/12))) + (Q128)*(IF((YEAR(D128)+11)&lt;YEAR(E128),0,IF((YEAR(D128)+11)&gt;YEAR(E128),1,(12-MONTH(E128)+1)/12))))-((P128)*(IF((YEAR(D128)+11)&lt;YEAR(E128),0,IF((YEAR(D128)+11)&gt;YEAR(E128),1,(12-MONTH(E128)+1)/12))) + (R128)*(IF((YEAR(D128)+11)&lt;YEAR(E128),0,IF((YEAR(D128)+11)&gt;YEAR(E128),1,(12-MONTH(E128)+1)/12))))-(IF(OR(N128="",N128&lt;=0),0,(O128/N128)*(IF(OR(N128="",N128&lt;=0),0,IF((YEAR(D128)+11)&lt;YEAR(E128),0,IF((YEAR(D128)+11)&gt;=YEAR(E128)+N128,0,IF((YEAR(D128)+11)=YEAR(E128),(12-MONTH(E128)+1)/12,1))))))))&gt;0,(((K128)*(IF(M128="",L128,IFERROR(IF(INDEX(Variablen!$I:$AT, MATCH(M128, Variablen!$A:$A, 0), MATCH((YEAR(D128)+11), Variablen!$I$3:$AT$3, 0))="",L128,INDEX(Variablen!$I:$AT, MATCH(M128, Variablen!$A:$A, 0), MATCH((YEAR(D128)+11), Variablen!$I$3:$AT$3, 0))),L128)))*(IF((YEAR(D128)+11)&lt;YEAR(E128),0,IF((YEAR(D128)+11)&gt;YEAR(E128),1,(12-MONTH(E128)+1)/12))) + (Q128)*(IF((YEAR(D128)+11)&lt;YEAR(E128),0,IF((YEAR(D128)+11)&gt;YEAR(E128),1,(12-MONTH(E128)+1)/12))))-((P128)*(IF((YEAR(D128)+11)&lt;YEAR(E128),0,IF((YEAR(D128)+11)&gt;YEAR(E128),1,(12-MONTH(E128)+1)/12))) + (R128)*(IF((YEAR(D128)+11)&lt;YEAR(E128),0,IF((YEAR(D128)+11)&gt;YEAR(E128),1,(12-MONTH(E128)+1)/12))))-(IF(OR(N128="",N128&lt;=0),0,(O128/N128)*(IF(OR(N128="",N128&lt;=0),0,IF((YEAR(D128)+11)&lt;YEAR(E128),0,IF((YEAR(D128)+11)&gt;=YEAR(E128)+N128,0,IF((YEAR(D128)+11)=YEAR(E128),(12-MONTH(E128)+1)/12,1))))))))*TaxRate,0))-IF(11=0,O128,0))</f>
        <v/>
      </c>
      <c r="AE128" s="29">
        <f>IF(A128="","",((K128)*(IF(M128="",L128,IFERROR(IF(INDEX(Variablen!$I:$AT, MATCH(M128, Variablen!$A:$A, 0), MATCH((YEAR(D128)+12), Variablen!$I$3:$AT$3, 0))="",L128,INDEX(Variablen!$I:$AT, MATCH(M128, Variablen!$A:$A, 0), MATCH((YEAR(D128)+12), Variablen!$I$3:$AT$3, 0))),L128)))*(IF((YEAR(D128)+12)&lt;YEAR(E128),0,IF((YEAR(D128)+12)&gt;YEAR(E128),1,(12-MONTH(E128)+1)/12))) + (Q128)*(IF((YEAR(D128)+12)&lt;YEAR(E128),0,IF((YEAR(D128)+12)&gt;YEAR(E128),1,(12-MONTH(E128)+1)/12))))-((P128)*(IF((YEAR(D128)+12)&lt;YEAR(E128),0,IF((YEAR(D128)+12)&gt;YEAR(E128),1,(12-MONTH(E128)+1)/12))) + (R128)*(IF((YEAR(D128)+12)&lt;YEAR(E128),0,IF((YEAR(D128)+12)&gt;YEAR(E128),1,(12-MONTH(E128)+1)/12))))-(IF((((K128)*(IF(M128="",L128,IFERROR(IF(INDEX(Variablen!$I:$AT, MATCH(M128, Variablen!$A:$A, 0), MATCH((YEAR(D128)+12), Variablen!$I$3:$AT$3, 0))="",L128,INDEX(Variablen!$I:$AT, MATCH(M128, Variablen!$A:$A, 0), MATCH((YEAR(D128)+12), Variablen!$I$3:$AT$3, 0))),L128)))*(IF((YEAR(D128)+12)&lt;YEAR(E128),0,IF((YEAR(D128)+12)&gt;YEAR(E128),1,(12-MONTH(E128)+1)/12))) + (Q128)*(IF((YEAR(D128)+12)&lt;YEAR(E128),0,IF((YEAR(D128)+12)&gt;YEAR(E128),1,(12-MONTH(E128)+1)/12))))-((P128)*(IF((YEAR(D128)+12)&lt;YEAR(E128),0,IF((YEAR(D128)+12)&gt;YEAR(E128),1,(12-MONTH(E128)+1)/12))) + (R128)*(IF((YEAR(D128)+12)&lt;YEAR(E128),0,IF((YEAR(D128)+12)&gt;YEAR(E128),1,(12-MONTH(E128)+1)/12))))-(IF(OR(N128="",N128&lt;=0),0,(O128/N128)*(IF(OR(N128="",N128&lt;=0),0,IF((YEAR(D128)+12)&lt;YEAR(E128),0,IF((YEAR(D128)+12)&gt;=YEAR(E128)+N128,0,IF((YEAR(D128)+12)=YEAR(E128),(12-MONTH(E128)+1)/12,1))))))))&gt;0,(((K128)*(IF(M128="",L128,IFERROR(IF(INDEX(Variablen!$I:$AT, MATCH(M128, Variablen!$A:$A, 0), MATCH((YEAR(D128)+12), Variablen!$I$3:$AT$3, 0))="",L128,INDEX(Variablen!$I:$AT, MATCH(M128, Variablen!$A:$A, 0), MATCH((YEAR(D128)+12), Variablen!$I$3:$AT$3, 0))),L128)))*(IF((YEAR(D128)+12)&lt;YEAR(E128),0,IF((YEAR(D128)+12)&gt;YEAR(E128),1,(12-MONTH(E128)+1)/12))) + (Q128)*(IF((YEAR(D128)+12)&lt;YEAR(E128),0,IF((YEAR(D128)+12)&gt;YEAR(E128),1,(12-MONTH(E128)+1)/12))))-((P128)*(IF((YEAR(D128)+12)&lt;YEAR(E128),0,IF((YEAR(D128)+12)&gt;YEAR(E128),1,(12-MONTH(E128)+1)/12))) + (R128)*(IF((YEAR(D128)+12)&lt;YEAR(E128),0,IF((YEAR(D128)+12)&gt;YEAR(E128),1,(12-MONTH(E128)+1)/12))))-(IF(OR(N128="",N128&lt;=0),0,(O128/N128)*(IF(OR(N128="",N128&lt;=0),0,IF((YEAR(D128)+12)&lt;YEAR(E128),0,IF((YEAR(D128)+12)&gt;=YEAR(E128)+N128,0,IF((YEAR(D128)+12)=YEAR(E128),(12-MONTH(E128)+1)/12,1))))))))*TaxRate,0))-IF(12=0,O128,0))</f>
        <v/>
      </c>
      <c r="AF128" s="29">
        <f>IF(A128="","",((K128)*(IF(M128="",L128,IFERROR(IF(INDEX(Variablen!$I:$AT, MATCH(M128, Variablen!$A:$A, 0), MATCH((YEAR(D128)+13), Variablen!$I$3:$AT$3, 0))="",L128,INDEX(Variablen!$I:$AT, MATCH(M128, Variablen!$A:$A, 0), MATCH((YEAR(D128)+13), Variablen!$I$3:$AT$3, 0))),L128)))*(IF((YEAR(D128)+13)&lt;YEAR(E128),0,IF((YEAR(D128)+13)&gt;YEAR(E128),1,(12-MONTH(E128)+1)/12))) + (Q128)*(IF((YEAR(D128)+13)&lt;YEAR(E128),0,IF((YEAR(D128)+13)&gt;YEAR(E128),1,(12-MONTH(E128)+1)/12))))-((P128)*(IF((YEAR(D128)+13)&lt;YEAR(E128),0,IF((YEAR(D128)+13)&gt;YEAR(E128),1,(12-MONTH(E128)+1)/12))) + (R128)*(IF((YEAR(D128)+13)&lt;YEAR(E128),0,IF((YEAR(D128)+13)&gt;YEAR(E128),1,(12-MONTH(E128)+1)/12))))-(IF((((K128)*(IF(M128="",L128,IFERROR(IF(INDEX(Variablen!$I:$AT, MATCH(M128, Variablen!$A:$A, 0), MATCH((YEAR(D128)+13), Variablen!$I$3:$AT$3, 0))="",L128,INDEX(Variablen!$I:$AT, MATCH(M128, Variablen!$A:$A, 0), MATCH((YEAR(D128)+13), Variablen!$I$3:$AT$3, 0))),L128)))*(IF((YEAR(D128)+13)&lt;YEAR(E128),0,IF((YEAR(D128)+13)&gt;YEAR(E128),1,(12-MONTH(E128)+1)/12))) + (Q128)*(IF((YEAR(D128)+13)&lt;YEAR(E128),0,IF((YEAR(D128)+13)&gt;YEAR(E128),1,(12-MONTH(E128)+1)/12))))-((P128)*(IF((YEAR(D128)+13)&lt;YEAR(E128),0,IF((YEAR(D128)+13)&gt;YEAR(E128),1,(12-MONTH(E128)+1)/12))) + (R128)*(IF((YEAR(D128)+13)&lt;YEAR(E128),0,IF((YEAR(D128)+13)&gt;YEAR(E128),1,(12-MONTH(E128)+1)/12))))-(IF(OR(N128="",N128&lt;=0),0,(O128/N128)*(IF(OR(N128="",N128&lt;=0),0,IF((YEAR(D128)+13)&lt;YEAR(E128),0,IF((YEAR(D128)+13)&gt;=YEAR(E128)+N128,0,IF((YEAR(D128)+13)=YEAR(E128),(12-MONTH(E128)+1)/12,1))))))))&gt;0,(((K128)*(IF(M128="",L128,IFERROR(IF(INDEX(Variablen!$I:$AT, MATCH(M128, Variablen!$A:$A, 0), MATCH((YEAR(D128)+13), Variablen!$I$3:$AT$3, 0))="",L128,INDEX(Variablen!$I:$AT, MATCH(M128, Variablen!$A:$A, 0), MATCH((YEAR(D128)+13), Variablen!$I$3:$AT$3, 0))),L128)))*(IF((YEAR(D128)+13)&lt;YEAR(E128),0,IF((YEAR(D128)+13)&gt;YEAR(E128),1,(12-MONTH(E128)+1)/12))) + (Q128)*(IF((YEAR(D128)+13)&lt;YEAR(E128),0,IF((YEAR(D128)+13)&gt;YEAR(E128),1,(12-MONTH(E128)+1)/12))))-((P128)*(IF((YEAR(D128)+13)&lt;YEAR(E128),0,IF((YEAR(D128)+13)&gt;YEAR(E128),1,(12-MONTH(E128)+1)/12))) + (R128)*(IF((YEAR(D128)+13)&lt;YEAR(E128),0,IF((YEAR(D128)+13)&gt;YEAR(E128),1,(12-MONTH(E128)+1)/12))))-(IF(OR(N128="",N128&lt;=0),0,(O128/N128)*(IF(OR(N128="",N128&lt;=0),0,IF((YEAR(D128)+13)&lt;YEAR(E128),0,IF((YEAR(D128)+13)&gt;=YEAR(E128)+N128,0,IF((YEAR(D128)+13)=YEAR(E128),(12-MONTH(E128)+1)/12,1))))))))*TaxRate,0))-IF(13=0,O128,0))</f>
        <v/>
      </c>
      <c r="AG128" s="29">
        <f>IF(A128="","",((K128)*(IF(M128="",L128,IFERROR(IF(INDEX(Variablen!$I:$AT, MATCH(M128, Variablen!$A:$A, 0), MATCH((YEAR(D128)+14), Variablen!$I$3:$AT$3, 0))="",L128,INDEX(Variablen!$I:$AT, MATCH(M128, Variablen!$A:$A, 0), MATCH((YEAR(D128)+14), Variablen!$I$3:$AT$3, 0))),L128)))*(IF((YEAR(D128)+14)&lt;YEAR(E128),0,IF((YEAR(D128)+14)&gt;YEAR(E128),1,(12-MONTH(E128)+1)/12))) + (Q128)*(IF((YEAR(D128)+14)&lt;YEAR(E128),0,IF((YEAR(D128)+14)&gt;YEAR(E128),1,(12-MONTH(E128)+1)/12))))-((P128)*(IF((YEAR(D128)+14)&lt;YEAR(E128),0,IF((YEAR(D128)+14)&gt;YEAR(E128),1,(12-MONTH(E128)+1)/12))) + (R128)*(IF((YEAR(D128)+14)&lt;YEAR(E128),0,IF((YEAR(D128)+14)&gt;YEAR(E128),1,(12-MONTH(E128)+1)/12))))-(IF((((K128)*(IF(M128="",L128,IFERROR(IF(INDEX(Variablen!$I:$AT, MATCH(M128, Variablen!$A:$A, 0), MATCH((YEAR(D128)+14), Variablen!$I$3:$AT$3, 0))="",L128,INDEX(Variablen!$I:$AT, MATCH(M128, Variablen!$A:$A, 0), MATCH((YEAR(D128)+14), Variablen!$I$3:$AT$3, 0))),L128)))*(IF((YEAR(D128)+14)&lt;YEAR(E128),0,IF((YEAR(D128)+14)&gt;YEAR(E128),1,(12-MONTH(E128)+1)/12))) + (Q128)*(IF((YEAR(D128)+14)&lt;YEAR(E128),0,IF((YEAR(D128)+14)&gt;YEAR(E128),1,(12-MONTH(E128)+1)/12))))-((P128)*(IF((YEAR(D128)+14)&lt;YEAR(E128),0,IF((YEAR(D128)+14)&gt;YEAR(E128),1,(12-MONTH(E128)+1)/12))) + (R128)*(IF((YEAR(D128)+14)&lt;YEAR(E128),0,IF((YEAR(D128)+14)&gt;YEAR(E128),1,(12-MONTH(E128)+1)/12))))-(IF(OR(N128="",N128&lt;=0),0,(O128/N128)*(IF(OR(N128="",N128&lt;=0),0,IF((YEAR(D128)+14)&lt;YEAR(E128),0,IF((YEAR(D128)+14)&gt;=YEAR(E128)+N128,0,IF((YEAR(D128)+14)=YEAR(E128),(12-MONTH(E128)+1)/12,1))))))))&gt;0,(((K128)*(IF(M128="",L128,IFERROR(IF(INDEX(Variablen!$I:$AT, MATCH(M128, Variablen!$A:$A, 0), MATCH((YEAR(D128)+14), Variablen!$I$3:$AT$3, 0))="",L128,INDEX(Variablen!$I:$AT, MATCH(M128, Variablen!$A:$A, 0), MATCH((YEAR(D128)+14), Variablen!$I$3:$AT$3, 0))),L128)))*(IF((YEAR(D128)+14)&lt;YEAR(E128),0,IF((YEAR(D128)+14)&gt;YEAR(E128),1,(12-MONTH(E128)+1)/12))) + (Q128)*(IF((YEAR(D128)+14)&lt;YEAR(E128),0,IF((YEAR(D128)+14)&gt;YEAR(E128),1,(12-MONTH(E128)+1)/12))))-((P128)*(IF((YEAR(D128)+14)&lt;YEAR(E128),0,IF((YEAR(D128)+14)&gt;YEAR(E128),1,(12-MONTH(E128)+1)/12))) + (R128)*(IF((YEAR(D128)+14)&lt;YEAR(E128),0,IF((YEAR(D128)+14)&gt;YEAR(E128),1,(12-MONTH(E128)+1)/12))))-(IF(OR(N128="",N128&lt;=0),0,(O128/N128)*(IF(OR(N128="",N128&lt;=0),0,IF((YEAR(D128)+14)&lt;YEAR(E128),0,IF((YEAR(D128)+14)&gt;=YEAR(E128)+N128,0,IF((YEAR(D128)+14)=YEAR(E128),(12-MONTH(E128)+1)/12,1))))))))*TaxRate,0))-IF(14=0,O128,0))</f>
        <v/>
      </c>
      <c r="AH128" s="29">
        <f>IF(A128="","",((K128)*(IF(M128="",L128,IFERROR(IF(INDEX(Variablen!$I:$AT, MATCH(M128, Variablen!$A:$A, 0), MATCH((YEAR(D128)+15), Variablen!$I$3:$AT$3, 0))="",L128,INDEX(Variablen!$I:$AT, MATCH(M128, Variablen!$A:$A, 0), MATCH((YEAR(D128)+15), Variablen!$I$3:$AT$3, 0))),L128)))*(IF((YEAR(D128)+15)&lt;YEAR(E128),0,IF((YEAR(D128)+15)&gt;YEAR(E128),1,(12-MONTH(E128)+1)/12))) + (Q128)*(IF((YEAR(D128)+15)&lt;YEAR(E128),0,IF((YEAR(D128)+15)&gt;YEAR(E128),1,(12-MONTH(E128)+1)/12))))-((P128)*(IF((YEAR(D128)+15)&lt;YEAR(E128),0,IF((YEAR(D128)+15)&gt;YEAR(E128),1,(12-MONTH(E128)+1)/12))) + (R128)*(IF((YEAR(D128)+15)&lt;YEAR(E128),0,IF((YEAR(D128)+15)&gt;YEAR(E128),1,(12-MONTH(E128)+1)/12))))-(IF((((K128)*(IF(M128="",L128,IFERROR(IF(INDEX(Variablen!$I:$AT, MATCH(M128, Variablen!$A:$A, 0), MATCH((YEAR(D128)+15), Variablen!$I$3:$AT$3, 0))="",L128,INDEX(Variablen!$I:$AT, MATCH(M128, Variablen!$A:$A, 0), MATCH((YEAR(D128)+15), Variablen!$I$3:$AT$3, 0))),L128)))*(IF((YEAR(D128)+15)&lt;YEAR(E128),0,IF((YEAR(D128)+15)&gt;YEAR(E128),1,(12-MONTH(E128)+1)/12))) + (Q128)*(IF((YEAR(D128)+15)&lt;YEAR(E128),0,IF((YEAR(D128)+15)&gt;YEAR(E128),1,(12-MONTH(E128)+1)/12))))-((P128)*(IF((YEAR(D128)+15)&lt;YEAR(E128),0,IF((YEAR(D128)+15)&gt;YEAR(E128),1,(12-MONTH(E128)+1)/12))) + (R128)*(IF((YEAR(D128)+15)&lt;YEAR(E128),0,IF((YEAR(D128)+15)&gt;YEAR(E128),1,(12-MONTH(E128)+1)/12))))-(IF(OR(N128="",N128&lt;=0),0,(O128/N128)*(IF(OR(N128="",N128&lt;=0),0,IF((YEAR(D128)+15)&lt;YEAR(E128),0,IF((YEAR(D128)+15)&gt;=YEAR(E128)+N128,0,IF((YEAR(D128)+15)=YEAR(E128),(12-MONTH(E128)+1)/12,1))))))))&gt;0,(((K128)*(IF(M128="",L128,IFERROR(IF(INDEX(Variablen!$I:$AT, MATCH(M128, Variablen!$A:$A, 0), MATCH((YEAR(D128)+15), Variablen!$I$3:$AT$3, 0))="",L128,INDEX(Variablen!$I:$AT, MATCH(M128, Variablen!$A:$A, 0), MATCH((YEAR(D128)+15), Variablen!$I$3:$AT$3, 0))),L128)))*(IF((YEAR(D128)+15)&lt;YEAR(E128),0,IF((YEAR(D128)+15)&gt;YEAR(E128),1,(12-MONTH(E128)+1)/12))) + (Q128)*(IF((YEAR(D128)+15)&lt;YEAR(E128),0,IF((YEAR(D128)+15)&gt;YEAR(E128),1,(12-MONTH(E128)+1)/12))))-((P128)*(IF((YEAR(D128)+15)&lt;YEAR(E128),0,IF((YEAR(D128)+15)&gt;YEAR(E128),1,(12-MONTH(E128)+1)/12))) + (R128)*(IF((YEAR(D128)+15)&lt;YEAR(E128),0,IF((YEAR(D128)+15)&gt;YEAR(E128),1,(12-MONTH(E128)+1)/12))))-(IF(OR(N128="",N128&lt;=0),0,(O128/N128)*(IF(OR(N128="",N128&lt;=0),0,IF((YEAR(D128)+15)&lt;YEAR(E128),0,IF((YEAR(D128)+15)&gt;=YEAR(E128)+N128,0,IF((YEAR(D128)+15)=YEAR(E128),(12-MONTH(E128)+1)/12,1))))))))*TaxRate,0))-IF(15=0,O128,0))</f>
        <v/>
      </c>
      <c r="AI128" s="29">
        <f>IF(A128="","",((K128)*(IF(M128="",L128,IFERROR(IF(INDEX(Variablen!$I:$AT, MATCH(M128, Variablen!$A:$A, 0), MATCH((YEAR(D128)+16), Variablen!$I$3:$AT$3, 0))="",L128,INDEX(Variablen!$I:$AT, MATCH(M128, Variablen!$A:$A, 0), MATCH((YEAR(D128)+16), Variablen!$I$3:$AT$3, 0))),L128)))*(IF((YEAR(D128)+16)&lt;YEAR(E128),0,IF((YEAR(D128)+16)&gt;YEAR(E128),1,(12-MONTH(E128)+1)/12))) + (Q128)*(IF((YEAR(D128)+16)&lt;YEAR(E128),0,IF((YEAR(D128)+16)&gt;YEAR(E128),1,(12-MONTH(E128)+1)/12))))-((P128)*(IF((YEAR(D128)+16)&lt;YEAR(E128),0,IF((YEAR(D128)+16)&gt;YEAR(E128),1,(12-MONTH(E128)+1)/12))) + (R128)*(IF((YEAR(D128)+16)&lt;YEAR(E128),0,IF((YEAR(D128)+16)&gt;YEAR(E128),1,(12-MONTH(E128)+1)/12))))-(IF((((K128)*(IF(M128="",L128,IFERROR(IF(INDEX(Variablen!$I:$AT, MATCH(M128, Variablen!$A:$A, 0), MATCH((YEAR(D128)+16), Variablen!$I$3:$AT$3, 0))="",L128,INDEX(Variablen!$I:$AT, MATCH(M128, Variablen!$A:$A, 0), MATCH((YEAR(D128)+16), Variablen!$I$3:$AT$3, 0))),L128)))*(IF((YEAR(D128)+16)&lt;YEAR(E128),0,IF((YEAR(D128)+16)&gt;YEAR(E128),1,(12-MONTH(E128)+1)/12))) + (Q128)*(IF((YEAR(D128)+16)&lt;YEAR(E128),0,IF((YEAR(D128)+16)&gt;YEAR(E128),1,(12-MONTH(E128)+1)/12))))-((P128)*(IF((YEAR(D128)+16)&lt;YEAR(E128),0,IF((YEAR(D128)+16)&gt;YEAR(E128),1,(12-MONTH(E128)+1)/12))) + (R128)*(IF((YEAR(D128)+16)&lt;YEAR(E128),0,IF((YEAR(D128)+16)&gt;YEAR(E128),1,(12-MONTH(E128)+1)/12))))-(IF(OR(N128="",N128&lt;=0),0,(O128/N128)*(IF(OR(N128="",N128&lt;=0),0,IF((YEAR(D128)+16)&lt;YEAR(E128),0,IF((YEAR(D128)+16)&gt;=YEAR(E128)+N128,0,IF((YEAR(D128)+16)=YEAR(E128),(12-MONTH(E128)+1)/12,1))))))))&gt;0,(((K128)*(IF(M128="",L128,IFERROR(IF(INDEX(Variablen!$I:$AT, MATCH(M128, Variablen!$A:$A, 0), MATCH((YEAR(D128)+16), Variablen!$I$3:$AT$3, 0))="",L128,INDEX(Variablen!$I:$AT, MATCH(M128, Variablen!$A:$A, 0), MATCH((YEAR(D128)+16), Variablen!$I$3:$AT$3, 0))),L128)))*(IF((YEAR(D128)+16)&lt;YEAR(E128),0,IF((YEAR(D128)+16)&gt;YEAR(E128),1,(12-MONTH(E128)+1)/12))) + (Q128)*(IF((YEAR(D128)+16)&lt;YEAR(E128),0,IF((YEAR(D128)+16)&gt;YEAR(E128),1,(12-MONTH(E128)+1)/12))))-((P128)*(IF((YEAR(D128)+16)&lt;YEAR(E128),0,IF((YEAR(D128)+16)&gt;YEAR(E128),1,(12-MONTH(E128)+1)/12))) + (R128)*(IF((YEAR(D128)+16)&lt;YEAR(E128),0,IF((YEAR(D128)+16)&gt;YEAR(E128),1,(12-MONTH(E128)+1)/12))))-(IF(OR(N128="",N128&lt;=0),0,(O128/N128)*(IF(OR(N128="",N128&lt;=0),0,IF((YEAR(D128)+16)&lt;YEAR(E128),0,IF((YEAR(D128)+16)&gt;=YEAR(E128)+N128,0,IF((YEAR(D128)+16)=YEAR(E128),(12-MONTH(E128)+1)/12,1))))))))*TaxRate,0))-IF(16=0,O128,0))</f>
        <v/>
      </c>
      <c r="AJ128" s="29">
        <f>IF(A128="","",((K128)*(IF(M128="",L128,IFERROR(IF(INDEX(Variablen!$I:$AT, MATCH(M128, Variablen!$A:$A, 0), MATCH((YEAR(D128)+17), Variablen!$I$3:$AT$3, 0))="",L128,INDEX(Variablen!$I:$AT, MATCH(M128, Variablen!$A:$A, 0), MATCH((YEAR(D128)+17), Variablen!$I$3:$AT$3, 0))),L128)))*(IF((YEAR(D128)+17)&lt;YEAR(E128),0,IF((YEAR(D128)+17)&gt;YEAR(E128),1,(12-MONTH(E128)+1)/12))) + (Q128)*(IF((YEAR(D128)+17)&lt;YEAR(E128),0,IF((YEAR(D128)+17)&gt;YEAR(E128),1,(12-MONTH(E128)+1)/12))))-((P128)*(IF((YEAR(D128)+17)&lt;YEAR(E128),0,IF((YEAR(D128)+17)&gt;YEAR(E128),1,(12-MONTH(E128)+1)/12))) + (R128)*(IF((YEAR(D128)+17)&lt;YEAR(E128),0,IF((YEAR(D128)+17)&gt;YEAR(E128),1,(12-MONTH(E128)+1)/12))))-(IF((((K128)*(IF(M128="",L128,IFERROR(IF(INDEX(Variablen!$I:$AT, MATCH(M128, Variablen!$A:$A, 0), MATCH((YEAR(D128)+17), Variablen!$I$3:$AT$3, 0))="",L128,INDEX(Variablen!$I:$AT, MATCH(M128, Variablen!$A:$A, 0), MATCH((YEAR(D128)+17), Variablen!$I$3:$AT$3, 0))),L128)))*(IF((YEAR(D128)+17)&lt;YEAR(E128),0,IF((YEAR(D128)+17)&gt;YEAR(E128),1,(12-MONTH(E128)+1)/12))) + (Q128)*(IF((YEAR(D128)+17)&lt;YEAR(E128),0,IF((YEAR(D128)+17)&gt;YEAR(E128),1,(12-MONTH(E128)+1)/12))))-((P128)*(IF((YEAR(D128)+17)&lt;YEAR(E128),0,IF((YEAR(D128)+17)&gt;YEAR(E128),1,(12-MONTH(E128)+1)/12))) + (R128)*(IF((YEAR(D128)+17)&lt;YEAR(E128),0,IF((YEAR(D128)+17)&gt;YEAR(E128),1,(12-MONTH(E128)+1)/12))))-(IF(OR(N128="",N128&lt;=0),0,(O128/N128)*(IF(OR(N128="",N128&lt;=0),0,IF((YEAR(D128)+17)&lt;YEAR(E128),0,IF((YEAR(D128)+17)&gt;=YEAR(E128)+N128,0,IF((YEAR(D128)+17)=YEAR(E128),(12-MONTH(E128)+1)/12,1))))))))&gt;0,(((K128)*(IF(M128="",L128,IFERROR(IF(INDEX(Variablen!$I:$AT, MATCH(M128, Variablen!$A:$A, 0), MATCH((YEAR(D128)+17), Variablen!$I$3:$AT$3, 0))="",L128,INDEX(Variablen!$I:$AT, MATCH(M128, Variablen!$A:$A, 0), MATCH((YEAR(D128)+17), Variablen!$I$3:$AT$3, 0))),L128)))*(IF((YEAR(D128)+17)&lt;YEAR(E128),0,IF((YEAR(D128)+17)&gt;YEAR(E128),1,(12-MONTH(E128)+1)/12))) + (Q128)*(IF((YEAR(D128)+17)&lt;YEAR(E128),0,IF((YEAR(D128)+17)&gt;YEAR(E128),1,(12-MONTH(E128)+1)/12))))-((P128)*(IF((YEAR(D128)+17)&lt;YEAR(E128),0,IF((YEAR(D128)+17)&gt;YEAR(E128),1,(12-MONTH(E128)+1)/12))) + (R128)*(IF((YEAR(D128)+17)&lt;YEAR(E128),0,IF((YEAR(D128)+17)&gt;YEAR(E128),1,(12-MONTH(E128)+1)/12))))-(IF(OR(N128="",N128&lt;=0),0,(O128/N128)*(IF(OR(N128="",N128&lt;=0),0,IF((YEAR(D128)+17)&lt;YEAR(E128),0,IF((YEAR(D128)+17)&gt;=YEAR(E128)+N128,0,IF((YEAR(D128)+17)=YEAR(E128),(12-MONTH(E128)+1)/12,1))))))))*TaxRate,0))-IF(17=0,O128,0))</f>
        <v/>
      </c>
      <c r="AK128" s="29">
        <f>IF(A128="","",((K128)*(IF(M128="",L128,IFERROR(IF(INDEX(Variablen!$I:$AT, MATCH(M128, Variablen!$A:$A, 0), MATCH((YEAR(D128)+18), Variablen!$I$3:$AT$3, 0))="",L128,INDEX(Variablen!$I:$AT, MATCH(M128, Variablen!$A:$A, 0), MATCH((YEAR(D128)+18), Variablen!$I$3:$AT$3, 0))),L128)))*(IF((YEAR(D128)+18)&lt;YEAR(E128),0,IF((YEAR(D128)+18)&gt;YEAR(E128),1,(12-MONTH(E128)+1)/12))) + (Q128)*(IF((YEAR(D128)+18)&lt;YEAR(E128),0,IF((YEAR(D128)+18)&gt;YEAR(E128),1,(12-MONTH(E128)+1)/12))))-((P128)*(IF((YEAR(D128)+18)&lt;YEAR(E128),0,IF((YEAR(D128)+18)&gt;YEAR(E128),1,(12-MONTH(E128)+1)/12))) + (R128)*(IF((YEAR(D128)+18)&lt;YEAR(E128),0,IF((YEAR(D128)+18)&gt;YEAR(E128),1,(12-MONTH(E128)+1)/12))))-(IF((((K128)*(IF(M128="",L128,IFERROR(IF(INDEX(Variablen!$I:$AT, MATCH(M128, Variablen!$A:$A, 0), MATCH((YEAR(D128)+18), Variablen!$I$3:$AT$3, 0))="",L128,INDEX(Variablen!$I:$AT, MATCH(M128, Variablen!$A:$A, 0), MATCH((YEAR(D128)+18), Variablen!$I$3:$AT$3, 0))),L128)))*(IF((YEAR(D128)+18)&lt;YEAR(E128),0,IF((YEAR(D128)+18)&gt;YEAR(E128),1,(12-MONTH(E128)+1)/12))) + (Q128)*(IF((YEAR(D128)+18)&lt;YEAR(E128),0,IF((YEAR(D128)+18)&gt;YEAR(E128),1,(12-MONTH(E128)+1)/12))))-((P128)*(IF((YEAR(D128)+18)&lt;YEAR(E128),0,IF((YEAR(D128)+18)&gt;YEAR(E128),1,(12-MONTH(E128)+1)/12))) + (R128)*(IF((YEAR(D128)+18)&lt;YEAR(E128),0,IF((YEAR(D128)+18)&gt;YEAR(E128),1,(12-MONTH(E128)+1)/12))))-(IF(OR(N128="",N128&lt;=0),0,(O128/N128)*(IF(OR(N128="",N128&lt;=0),0,IF((YEAR(D128)+18)&lt;YEAR(E128),0,IF((YEAR(D128)+18)&gt;=YEAR(E128)+N128,0,IF((YEAR(D128)+18)=YEAR(E128),(12-MONTH(E128)+1)/12,1))))))))&gt;0,(((K128)*(IF(M128="",L128,IFERROR(IF(INDEX(Variablen!$I:$AT, MATCH(M128, Variablen!$A:$A, 0), MATCH((YEAR(D128)+18), Variablen!$I$3:$AT$3, 0))="",L128,INDEX(Variablen!$I:$AT, MATCH(M128, Variablen!$A:$A, 0), MATCH((YEAR(D128)+18), Variablen!$I$3:$AT$3, 0))),L128)))*(IF((YEAR(D128)+18)&lt;YEAR(E128),0,IF((YEAR(D128)+18)&gt;YEAR(E128),1,(12-MONTH(E128)+1)/12))) + (Q128)*(IF((YEAR(D128)+18)&lt;YEAR(E128),0,IF((YEAR(D128)+18)&gt;YEAR(E128),1,(12-MONTH(E128)+1)/12))))-((P128)*(IF((YEAR(D128)+18)&lt;YEAR(E128),0,IF((YEAR(D128)+18)&gt;YEAR(E128),1,(12-MONTH(E128)+1)/12))) + (R128)*(IF((YEAR(D128)+18)&lt;YEAR(E128),0,IF((YEAR(D128)+18)&gt;YEAR(E128),1,(12-MONTH(E128)+1)/12))))-(IF(OR(N128="",N128&lt;=0),0,(O128/N128)*(IF(OR(N128="",N128&lt;=0),0,IF((YEAR(D128)+18)&lt;YEAR(E128),0,IF((YEAR(D128)+18)&gt;=YEAR(E128)+N128,0,IF((YEAR(D128)+18)=YEAR(E128),(12-MONTH(E128)+1)/12,1))))))))*TaxRate,0))-IF(18=0,O128,0))</f>
        <v/>
      </c>
      <c r="AL128" s="29">
        <f>IF(A128="","",((K128)*(IF(M128="",L128,IFERROR(IF(INDEX(Variablen!$I:$AT, MATCH(M128, Variablen!$A:$A, 0), MATCH((YEAR(D128)+19), Variablen!$I$3:$AT$3, 0))="",L128,INDEX(Variablen!$I:$AT, MATCH(M128, Variablen!$A:$A, 0), MATCH((YEAR(D128)+19), Variablen!$I$3:$AT$3, 0))),L128)))*(IF((YEAR(D128)+19)&lt;YEAR(E128),0,IF((YEAR(D128)+19)&gt;YEAR(E128),1,(12-MONTH(E128)+1)/12))) + (Q128)*(IF((YEAR(D128)+19)&lt;YEAR(E128),0,IF((YEAR(D128)+19)&gt;YEAR(E128),1,(12-MONTH(E128)+1)/12))))-((P128)*(IF((YEAR(D128)+19)&lt;YEAR(E128),0,IF((YEAR(D128)+19)&gt;YEAR(E128),1,(12-MONTH(E128)+1)/12))) + (R128)*(IF((YEAR(D128)+19)&lt;YEAR(E128),0,IF((YEAR(D128)+19)&gt;YEAR(E128),1,(12-MONTH(E128)+1)/12))))-(IF((((K128)*(IF(M128="",L128,IFERROR(IF(INDEX(Variablen!$I:$AT, MATCH(M128, Variablen!$A:$A, 0), MATCH((YEAR(D128)+19), Variablen!$I$3:$AT$3, 0))="",L128,INDEX(Variablen!$I:$AT, MATCH(M128, Variablen!$A:$A, 0), MATCH((YEAR(D128)+19), Variablen!$I$3:$AT$3, 0))),L128)))*(IF((YEAR(D128)+19)&lt;YEAR(E128),0,IF((YEAR(D128)+19)&gt;YEAR(E128),1,(12-MONTH(E128)+1)/12))) + (Q128)*(IF((YEAR(D128)+19)&lt;YEAR(E128),0,IF((YEAR(D128)+19)&gt;YEAR(E128),1,(12-MONTH(E128)+1)/12))))-((P128)*(IF((YEAR(D128)+19)&lt;YEAR(E128),0,IF((YEAR(D128)+19)&gt;YEAR(E128),1,(12-MONTH(E128)+1)/12))) + (R128)*(IF((YEAR(D128)+19)&lt;YEAR(E128),0,IF((YEAR(D128)+19)&gt;YEAR(E128),1,(12-MONTH(E128)+1)/12))))-(IF(OR(N128="",N128&lt;=0),0,(O128/N128)*(IF(OR(N128="",N128&lt;=0),0,IF((YEAR(D128)+19)&lt;YEAR(E128),0,IF((YEAR(D128)+19)&gt;=YEAR(E128)+N128,0,IF((YEAR(D128)+19)=YEAR(E128),(12-MONTH(E128)+1)/12,1))))))))&gt;0,(((K128)*(IF(M128="",L128,IFERROR(IF(INDEX(Variablen!$I:$AT, MATCH(M128, Variablen!$A:$A, 0), MATCH((YEAR(D128)+19), Variablen!$I$3:$AT$3, 0))="",L128,INDEX(Variablen!$I:$AT, MATCH(M128, Variablen!$A:$A, 0), MATCH((YEAR(D128)+19), Variablen!$I$3:$AT$3, 0))),L128)))*(IF((YEAR(D128)+19)&lt;YEAR(E128),0,IF((YEAR(D128)+19)&gt;YEAR(E128),1,(12-MONTH(E128)+1)/12))) + (Q128)*(IF((YEAR(D128)+19)&lt;YEAR(E128),0,IF((YEAR(D128)+19)&gt;YEAR(E128),1,(12-MONTH(E128)+1)/12))))-((P128)*(IF((YEAR(D128)+19)&lt;YEAR(E128),0,IF((YEAR(D128)+19)&gt;YEAR(E128),1,(12-MONTH(E128)+1)/12))) + (R128)*(IF((YEAR(D128)+19)&lt;YEAR(E128),0,IF((YEAR(D128)+19)&gt;YEAR(E128),1,(12-MONTH(E128)+1)/12))))-(IF(OR(N128="",N128&lt;=0),0,(O128/N128)*(IF(OR(N128="",N128&lt;=0),0,IF((YEAR(D128)+19)&lt;YEAR(E128),0,IF((YEAR(D128)+19)&gt;=YEAR(E128)+N128,0,IF((YEAR(D128)+19)=YEAR(E128),(12-MONTH(E128)+1)/12,1))))))))*TaxRate,0))-IF(19=0,O128,0))</f>
        <v/>
      </c>
      <c r="AM128" s="29">
        <f>IF(A128="","",((K128)*(IF(M128="",L128,IFERROR(IF(INDEX(Variablen!$I:$AT, MATCH(M128, Variablen!$A:$A, 0), MATCH((YEAR(D128)+20), Variablen!$I$3:$AT$3, 0))="",L128,INDEX(Variablen!$I:$AT, MATCH(M128, Variablen!$A:$A, 0), MATCH((YEAR(D128)+20), Variablen!$I$3:$AT$3, 0))),L128)))*(IF((YEAR(D128)+20)&lt;YEAR(E128),0,IF((YEAR(D128)+20)&gt;YEAR(E128),1,(12-MONTH(E128)+1)/12))) + (Q128)*(IF((YEAR(D128)+20)&lt;YEAR(E128),0,IF((YEAR(D128)+20)&gt;YEAR(E128),1,(12-MONTH(E128)+1)/12))))-((P128)*(IF((YEAR(D128)+20)&lt;YEAR(E128),0,IF((YEAR(D128)+20)&gt;YEAR(E128),1,(12-MONTH(E128)+1)/12))) + (R128)*(IF((YEAR(D128)+20)&lt;YEAR(E128),0,IF((YEAR(D128)+20)&gt;YEAR(E128),1,(12-MONTH(E128)+1)/12))))-(IF((((K128)*(IF(M128="",L128,IFERROR(IF(INDEX(Variablen!$I:$AT, MATCH(M128, Variablen!$A:$A, 0), MATCH((YEAR(D128)+20), Variablen!$I$3:$AT$3, 0))="",L128,INDEX(Variablen!$I:$AT, MATCH(M128, Variablen!$A:$A, 0), MATCH((YEAR(D128)+20), Variablen!$I$3:$AT$3, 0))),L128)))*(IF((YEAR(D128)+20)&lt;YEAR(E128),0,IF((YEAR(D128)+20)&gt;YEAR(E128),1,(12-MONTH(E128)+1)/12))) + (Q128)*(IF((YEAR(D128)+20)&lt;YEAR(E128),0,IF((YEAR(D128)+20)&gt;YEAR(E128),1,(12-MONTH(E128)+1)/12))))-((P128)*(IF((YEAR(D128)+20)&lt;YEAR(E128),0,IF((YEAR(D128)+20)&gt;YEAR(E128),1,(12-MONTH(E128)+1)/12))) + (R128)*(IF((YEAR(D128)+20)&lt;YEAR(E128),0,IF((YEAR(D128)+20)&gt;YEAR(E128),1,(12-MONTH(E128)+1)/12))))-(IF(OR(N128="",N128&lt;=0),0,(O128/N128)*(IF(OR(N128="",N128&lt;=0),0,IF((YEAR(D128)+20)&lt;YEAR(E128),0,IF((YEAR(D128)+20)&gt;=YEAR(E128)+N128,0,IF((YEAR(D128)+20)=YEAR(E128),(12-MONTH(E128)+1)/12,1))))))))&gt;0,(((K128)*(IF(M128="",L128,IFERROR(IF(INDEX(Variablen!$I:$AT, MATCH(M128, Variablen!$A:$A, 0), MATCH((YEAR(D128)+20), Variablen!$I$3:$AT$3, 0))="",L128,INDEX(Variablen!$I:$AT, MATCH(M128, Variablen!$A:$A, 0), MATCH((YEAR(D128)+20), Variablen!$I$3:$AT$3, 0))),L128)))*(IF((YEAR(D128)+20)&lt;YEAR(E128),0,IF((YEAR(D128)+20)&gt;YEAR(E128),1,(12-MONTH(E128)+1)/12))) + (Q128)*(IF((YEAR(D128)+20)&lt;YEAR(E128),0,IF((YEAR(D128)+20)&gt;YEAR(E128),1,(12-MONTH(E128)+1)/12))))-((P128)*(IF((YEAR(D128)+20)&lt;YEAR(E128),0,IF((YEAR(D128)+20)&gt;YEAR(E128),1,(12-MONTH(E128)+1)/12))) + (R128)*(IF((YEAR(D128)+20)&lt;YEAR(E128),0,IF((YEAR(D128)+20)&gt;YEAR(E128),1,(12-MONTH(E128)+1)/12))))-(IF(OR(N128="",N128&lt;=0),0,(O128/N128)*(IF(OR(N128="",N128&lt;=0),0,IF((YEAR(D128)+20)&lt;YEAR(E128),0,IF((YEAR(D128)+20)&gt;=YEAR(E128)+N128,0,IF((YEAR(D128)+20)=YEAR(E128),(12-MONTH(E128)+1)/12,1))))))))*TaxRate,0))-IF(20=0,O128,0))</f>
        <v/>
      </c>
      <c r="AN128" s="29">
        <f>IF(A128="","",S128)</f>
        <v/>
      </c>
      <c r="AO128" s="29">
        <f>IF(A128="","",AN128+T128)</f>
        <v/>
      </c>
      <c r="AP128" s="29">
        <f>IF(A128="","",AO128+U128)</f>
        <v/>
      </c>
      <c r="AQ128" s="29">
        <f>IF(A128="","",AP128+V128)</f>
        <v/>
      </c>
      <c r="AR128" s="29">
        <f>IF(A128="","",AQ128+W128)</f>
        <v/>
      </c>
      <c r="AS128" s="29">
        <f>IF(A128="","",AR128+X128)</f>
        <v/>
      </c>
      <c r="AT128" s="29">
        <f>IF(A128="","",AS128+Y128)</f>
        <v/>
      </c>
      <c r="AU128" s="29">
        <f>IF(A128="","",AT128+Z128)</f>
        <v/>
      </c>
      <c r="AV128" s="29">
        <f>IF(A128="","",AU128+AA128)</f>
        <v/>
      </c>
      <c r="AW128" s="29">
        <f>IF(A128="","",AV128+AB128)</f>
        <v/>
      </c>
      <c r="AX128" s="29">
        <f>IF(A128="","",AW128+AC128)</f>
        <v/>
      </c>
      <c r="AY128" s="29">
        <f>IF(A128="","",AX128+AD128)</f>
        <v/>
      </c>
      <c r="AZ128" s="29">
        <f>IF(A128="","",AY128+AE128)</f>
        <v/>
      </c>
      <c r="BA128" s="29">
        <f>IF(A128="","",AZ128+AF128)</f>
        <v/>
      </c>
      <c r="BB128" s="29">
        <f>IF(A128="","",BA128+AG128)</f>
        <v/>
      </c>
      <c r="BC128" s="29">
        <f>IF(A128="","",BB128+AH128)</f>
        <v/>
      </c>
      <c r="BD128" s="29">
        <f>IF(A128="","",BC128+AI128)</f>
        <v/>
      </c>
      <c r="BE128" s="29">
        <f>IF(A128="","",BD128+AJ128)</f>
        <v/>
      </c>
      <c r="BF128" s="29">
        <f>IF(A128="","",BE128+AK128)</f>
        <v/>
      </c>
      <c r="BG128" s="29">
        <f>IF(A128="","",BF128+AL128)</f>
        <v/>
      </c>
      <c r="BH128" s="29">
        <f>IF(A128="","",BG128+AM128)</f>
        <v/>
      </c>
      <c r="BI128" s="36">
        <f>IF(A128="","",(K128)*(IF((YEAR(D128)+0)&lt;YEAR(E128),0,IF((YEAR(D128)+0)&gt;YEAR(E128),1,(12-MONTH(E128)+1)/12)))*(1/(1+DiscountRate)^0))</f>
        <v/>
      </c>
      <c r="BJ128" s="36">
        <f>IF(A128="","",(K128)*(IF((YEAR(D128)+1)&lt;YEAR(E128),0,IF((YEAR(D128)+1)&gt;YEAR(E128),1,(12-MONTH(E128)+1)/12)))*(1/(1+DiscountRate)^1))</f>
        <v/>
      </c>
      <c r="BK128" s="36">
        <f>IF(A128="","",(K128)*(IF((YEAR(D128)+2)&lt;YEAR(E128),0,IF((YEAR(D128)+2)&gt;YEAR(E128),1,(12-MONTH(E128)+1)/12)))*(1/(1+DiscountRate)^2))</f>
        <v/>
      </c>
      <c r="BL128" s="36">
        <f>IF(A128="","",(K128)*(IF((YEAR(D128)+3)&lt;YEAR(E128),0,IF((YEAR(D128)+3)&gt;YEAR(E128),1,(12-MONTH(E128)+1)/12)))*(1/(1+DiscountRate)^3))</f>
        <v/>
      </c>
      <c r="BM128" s="36">
        <f>IF(A128="","",(K128)*(IF((YEAR(D128)+4)&lt;YEAR(E128),0,IF((YEAR(D128)+4)&gt;YEAR(E128),1,(12-MONTH(E128)+1)/12)))*(1/(1+DiscountRate)^4))</f>
        <v/>
      </c>
      <c r="BN128" s="36">
        <f>IF(A128="","",(K128)*(IF((YEAR(D128)+5)&lt;YEAR(E128),0,IF((YEAR(D128)+5)&gt;YEAR(E128),1,(12-MONTH(E128)+1)/12)))*(1/(1+DiscountRate)^5))</f>
        <v/>
      </c>
      <c r="BO128" s="36">
        <f>IF(A128="","",(K128)*(IF((YEAR(D128)+6)&lt;YEAR(E128),0,IF((YEAR(D128)+6)&gt;YEAR(E128),1,(12-MONTH(E128)+1)/12)))*(1/(1+DiscountRate)^6))</f>
        <v/>
      </c>
      <c r="BP128" s="36">
        <f>IF(A128="","",(K128)*(IF((YEAR(D128)+7)&lt;YEAR(E128),0,IF((YEAR(D128)+7)&gt;YEAR(E128),1,(12-MONTH(E128)+1)/12)))*(1/(1+DiscountRate)^7))</f>
        <v/>
      </c>
      <c r="BQ128" s="36">
        <f>IF(A128="","",(K128)*(IF((YEAR(D128)+8)&lt;YEAR(E128),0,IF((YEAR(D128)+8)&gt;YEAR(E128),1,(12-MONTH(E128)+1)/12)))*(1/(1+DiscountRate)^8))</f>
        <v/>
      </c>
      <c r="BR128" s="36">
        <f>IF(A128="","",(K128)*(IF((YEAR(D128)+9)&lt;YEAR(E128),0,IF((YEAR(D128)+9)&gt;YEAR(E128),1,(12-MONTH(E128)+1)/12)))*(1/(1+DiscountRate)^9))</f>
        <v/>
      </c>
      <c r="BS128" s="36">
        <f>IF(A128="","",(K128)*(IF((YEAR(D128)+10)&lt;YEAR(E128),0,IF((YEAR(D128)+10)&gt;YEAR(E128),1,(12-MONTH(E128)+1)/12)))*(1/(1+DiscountRate)^10))</f>
        <v/>
      </c>
      <c r="BT128" s="36">
        <f>IF(A128="","",(K128)*(IF((YEAR(D128)+11)&lt;YEAR(E128),0,IF((YEAR(D128)+11)&gt;YEAR(E128),1,(12-MONTH(E128)+1)/12)))*(1/(1+DiscountRate)^11))</f>
        <v/>
      </c>
      <c r="BU128" s="36">
        <f>IF(A128="","",(K128)*(IF((YEAR(D128)+12)&lt;YEAR(E128),0,IF((YEAR(D128)+12)&gt;YEAR(E128),1,(12-MONTH(E128)+1)/12)))*(1/(1+DiscountRate)^12))</f>
        <v/>
      </c>
      <c r="BV128" s="36">
        <f>IF(A128="","",(K128)*(IF((YEAR(D128)+13)&lt;YEAR(E128),0,IF((YEAR(D128)+13)&gt;YEAR(E128),1,(12-MONTH(E128)+1)/12)))*(1/(1+DiscountRate)^13))</f>
        <v/>
      </c>
      <c r="BW128" s="36">
        <f>IF(A128="","",(K128)*(IF((YEAR(D128)+14)&lt;YEAR(E128),0,IF((YEAR(D128)+14)&gt;YEAR(E128),1,(12-MONTH(E128)+1)/12)))*(1/(1+DiscountRate)^14))</f>
        <v/>
      </c>
      <c r="BX128" s="36">
        <f>IF(A128="","",(K128)*(IF((YEAR(D128)+15)&lt;YEAR(E128),0,IF((YEAR(D128)+15)&gt;YEAR(E128),1,(12-MONTH(E128)+1)/12)))*(1/(1+DiscountRate)^15))</f>
        <v/>
      </c>
      <c r="BY128" s="36">
        <f>IF(A128="","",(K128)*(IF((YEAR(D128)+16)&lt;YEAR(E128),0,IF((YEAR(D128)+16)&gt;YEAR(E128),1,(12-MONTH(E128)+1)/12)))*(1/(1+DiscountRate)^16))</f>
        <v/>
      </c>
      <c r="BZ128" s="36">
        <f>IF(A128="","",(K128)*(IF((YEAR(D128)+17)&lt;YEAR(E128),0,IF((YEAR(D128)+17)&gt;YEAR(E128),1,(12-MONTH(E128)+1)/12)))*(1/(1+DiscountRate)^17))</f>
        <v/>
      </c>
      <c r="CA128" s="36">
        <f>IF(A128="","",(K128)*(IF((YEAR(D128)+18)&lt;YEAR(E128),0,IF((YEAR(D128)+18)&gt;YEAR(E128),1,(12-MONTH(E128)+1)/12)))*(1/(1+DiscountRate)^18))</f>
        <v/>
      </c>
      <c r="CB128" s="36">
        <f>IF(A128="","",(K128)*(IF((YEAR(D128)+19)&lt;YEAR(E128),0,IF((YEAR(D128)+19)&gt;YEAR(E128),1,(12-MONTH(E128)+1)/12)))*(1/(1+DiscountRate)^19))</f>
        <v/>
      </c>
      <c r="CC128" s="36">
        <f>IF(A128="","",(K128)*(IF((YEAR(D128)+20)&lt;YEAR(E128),0,IF((YEAR(D128)+20)&gt;YEAR(E128),1,(12-MONTH(E128)+1)/12)))*(1/(1+DiscountRate)^20))</f>
        <v/>
      </c>
      <c r="CD128" s="29">
        <f>IF(A128="","",S128/(1+DiscountRate)^0+T128/(1+DiscountRate)^1+U128/(1+DiscountRate)^2+V128/(1+DiscountRate)^3+W128/(1+DiscountRate)^4+X128/(1+DiscountRate)^5+Y128/(1+DiscountRate)^6+Z128/(1+DiscountRate)^7+AA128/(1+DiscountRate)^8+AB128/(1+DiscountRate)^9+AC128/(1+DiscountRate)^10+AD128/(1+DiscountRate)^11+AE128/(1+DiscountRate)^12+AF128/(1+DiscountRate)^13+AG128/(1+DiscountRate)^14+AH128/(1+DiscountRate)^15+AI128/(1+DiscountRate)^16+AJ128/(1+DiscountRate)^17+AK128/(1+DiscountRate)^18+AL128/(1+DiscountRate)^19+AM128/(1+DiscountRate)^20)</f>
        <v/>
      </c>
      <c r="CE128" s="37">
        <f>IF(A128="","",IFERROR(IRR(OFFSET(S128,0,0,1,MIN(HorizonYears,20)+1)),"n/a"))</f>
        <v/>
      </c>
      <c r="CF128" s="28">
        <f>IF(A128="","",IFERROR(MATCH(TRUE,OFFSET(AN128,0,0,1,MIN(HorizonYears,20)+1)&gt;=0,0)-1,"n/a"))</f>
        <v/>
      </c>
      <c r="CG128" s="36">
        <f>IF(A128="","",SUM(OFFSET(BI128,0,0,1,MIN(HorizonYears,20)+1)))</f>
        <v/>
      </c>
      <c r="CH128" s="36">
        <f>IF(A128="","",IFERROR(-CD128/CG128,"n/a"))</f>
        <v/>
      </c>
    </row>
    <row r="129">
      <c r="A129" s="6">
        <f>Actions!A127</f>
        <v/>
      </c>
      <c r="B129" s="6">
        <f>Actions!B127</f>
        <v/>
      </c>
      <c r="C129" s="6">
        <f>Actions!D127</f>
        <v/>
      </c>
      <c r="D129" s="35">
        <f>Actions!E127</f>
        <v/>
      </c>
      <c r="E129" s="35">
        <f>Actions!F127</f>
        <v/>
      </c>
      <c r="F129" s="6">
        <f>Actions!G127</f>
        <v/>
      </c>
      <c r="G129" s="6">
        <f>Actions!H127</f>
        <v/>
      </c>
      <c r="H129" s="29">
        <f>Actions!I127</f>
        <v/>
      </c>
      <c r="I129" s="6">
        <f>Actions!J127</f>
        <v/>
      </c>
      <c r="J129" s="16">
        <f>Actions!K127</f>
        <v/>
      </c>
      <c r="K129" s="16">
        <f>IF(A129="","",IF(I129="%",H129*J129,J129))</f>
        <v/>
      </c>
      <c r="L129" s="16">
        <f>Actions!L127</f>
        <v/>
      </c>
      <c r="M129" s="6">
        <f>Actions!M127</f>
        <v/>
      </c>
      <c r="N129" s="28">
        <f>Actions!N127</f>
        <v/>
      </c>
      <c r="O129" s="29">
        <f>Actions!T127</f>
        <v/>
      </c>
      <c r="P129" s="29">
        <f>Actions!Y127</f>
        <v/>
      </c>
      <c r="Q129" s="29">
        <f>Actions!Z127</f>
        <v/>
      </c>
      <c r="R129" s="29">
        <f>Actions!AA127</f>
        <v/>
      </c>
      <c r="S129" s="29">
        <f>IF(A129="","",((K129)*(IF(M129="",L129,IFERROR(IF(INDEX(Variablen!$I:$AT, MATCH(M129, Variablen!$A:$A, 0), MATCH((YEAR(D129)+0), Variablen!$I$3:$AT$3, 0))="",L129,INDEX(Variablen!$I:$AT, MATCH(M129, Variablen!$A:$A, 0), MATCH((YEAR(D129)+0), Variablen!$I$3:$AT$3, 0))),L129)))*(IF((YEAR(D129)+0)&lt;YEAR(E129),0,IF((YEAR(D129)+0)&gt;YEAR(E129),1,(12-MONTH(E129)+1)/12))) + (Q129)*(IF((YEAR(D129)+0)&lt;YEAR(E129),0,IF((YEAR(D129)+0)&gt;YEAR(E129),1,(12-MONTH(E129)+1)/12))))-((P129)*(IF((YEAR(D129)+0)&lt;YEAR(E129),0,IF((YEAR(D129)+0)&gt;YEAR(E129),1,(12-MONTH(E129)+1)/12))) + (R129)*(IF((YEAR(D129)+0)&lt;YEAR(E129),0,IF((YEAR(D129)+0)&gt;YEAR(E129),1,(12-MONTH(E129)+1)/12))))-(IF((((K129)*(IF(M129="",L129,IFERROR(IF(INDEX(Variablen!$I:$AT, MATCH(M129, Variablen!$A:$A, 0), MATCH((YEAR(D129)+0), Variablen!$I$3:$AT$3, 0))="",L129,INDEX(Variablen!$I:$AT, MATCH(M129, Variablen!$A:$A, 0), MATCH((YEAR(D129)+0), Variablen!$I$3:$AT$3, 0))),L129)))*(IF((YEAR(D129)+0)&lt;YEAR(E129),0,IF((YEAR(D129)+0)&gt;YEAR(E129),1,(12-MONTH(E129)+1)/12))) + (Q129)*(IF((YEAR(D129)+0)&lt;YEAR(E129),0,IF((YEAR(D129)+0)&gt;YEAR(E129),1,(12-MONTH(E129)+1)/12))))-((P129)*(IF((YEAR(D129)+0)&lt;YEAR(E129),0,IF((YEAR(D129)+0)&gt;YEAR(E129),1,(12-MONTH(E129)+1)/12))) + (R129)*(IF((YEAR(D129)+0)&lt;YEAR(E129),0,IF((YEAR(D129)+0)&gt;YEAR(E129),1,(12-MONTH(E129)+1)/12))))-(IF(OR(N129="",N129&lt;=0),0,(O129/N129)*(IF(OR(N129="",N129&lt;=0),0,IF((YEAR(D129)+0)&lt;YEAR(E129),0,IF((YEAR(D129)+0)&gt;=YEAR(E129)+N129,0,IF((YEAR(D129)+0)=YEAR(E129),(12-MONTH(E129)+1)/12,1))))))))&gt;0,(((K129)*(IF(M129="",L129,IFERROR(IF(INDEX(Variablen!$I:$AT, MATCH(M129, Variablen!$A:$A, 0), MATCH((YEAR(D129)+0), Variablen!$I$3:$AT$3, 0))="",L129,INDEX(Variablen!$I:$AT, MATCH(M129, Variablen!$A:$A, 0), MATCH((YEAR(D129)+0), Variablen!$I$3:$AT$3, 0))),L129)))*(IF((YEAR(D129)+0)&lt;YEAR(E129),0,IF((YEAR(D129)+0)&gt;YEAR(E129),1,(12-MONTH(E129)+1)/12))) + (Q129)*(IF((YEAR(D129)+0)&lt;YEAR(E129),0,IF((YEAR(D129)+0)&gt;YEAR(E129),1,(12-MONTH(E129)+1)/12))))-((P129)*(IF((YEAR(D129)+0)&lt;YEAR(E129),0,IF((YEAR(D129)+0)&gt;YEAR(E129),1,(12-MONTH(E129)+1)/12))) + (R129)*(IF((YEAR(D129)+0)&lt;YEAR(E129),0,IF((YEAR(D129)+0)&gt;YEAR(E129),1,(12-MONTH(E129)+1)/12))))-(IF(OR(N129="",N129&lt;=0),0,(O129/N129)*(IF(OR(N129="",N129&lt;=0),0,IF((YEAR(D129)+0)&lt;YEAR(E129),0,IF((YEAR(D129)+0)&gt;=YEAR(E129)+N129,0,IF((YEAR(D129)+0)=YEAR(E129),(12-MONTH(E129)+1)/12,1))))))))*TaxRate,0))-IF(0=0,O129,0))</f>
        <v/>
      </c>
      <c r="T129" s="29">
        <f>IF(A129="","",((K129)*(IF(M129="",L129,IFERROR(IF(INDEX(Variablen!$I:$AT, MATCH(M129, Variablen!$A:$A, 0), MATCH((YEAR(D129)+1), Variablen!$I$3:$AT$3, 0))="",L129,INDEX(Variablen!$I:$AT, MATCH(M129, Variablen!$A:$A, 0), MATCH((YEAR(D129)+1), Variablen!$I$3:$AT$3, 0))),L129)))*(IF((YEAR(D129)+1)&lt;YEAR(E129),0,IF((YEAR(D129)+1)&gt;YEAR(E129),1,(12-MONTH(E129)+1)/12))) + (Q129)*(IF((YEAR(D129)+1)&lt;YEAR(E129),0,IF((YEAR(D129)+1)&gt;YEAR(E129),1,(12-MONTH(E129)+1)/12))))-((P129)*(IF((YEAR(D129)+1)&lt;YEAR(E129),0,IF((YEAR(D129)+1)&gt;YEAR(E129),1,(12-MONTH(E129)+1)/12))) + (R129)*(IF((YEAR(D129)+1)&lt;YEAR(E129),0,IF((YEAR(D129)+1)&gt;YEAR(E129),1,(12-MONTH(E129)+1)/12))))-(IF((((K129)*(IF(M129="",L129,IFERROR(IF(INDEX(Variablen!$I:$AT, MATCH(M129, Variablen!$A:$A, 0), MATCH((YEAR(D129)+1), Variablen!$I$3:$AT$3, 0))="",L129,INDEX(Variablen!$I:$AT, MATCH(M129, Variablen!$A:$A, 0), MATCH((YEAR(D129)+1), Variablen!$I$3:$AT$3, 0))),L129)))*(IF((YEAR(D129)+1)&lt;YEAR(E129),0,IF((YEAR(D129)+1)&gt;YEAR(E129),1,(12-MONTH(E129)+1)/12))) + (Q129)*(IF((YEAR(D129)+1)&lt;YEAR(E129),0,IF((YEAR(D129)+1)&gt;YEAR(E129),1,(12-MONTH(E129)+1)/12))))-((P129)*(IF((YEAR(D129)+1)&lt;YEAR(E129),0,IF((YEAR(D129)+1)&gt;YEAR(E129),1,(12-MONTH(E129)+1)/12))) + (R129)*(IF((YEAR(D129)+1)&lt;YEAR(E129),0,IF((YEAR(D129)+1)&gt;YEAR(E129),1,(12-MONTH(E129)+1)/12))))-(IF(OR(N129="",N129&lt;=0),0,(O129/N129)*(IF(OR(N129="",N129&lt;=0),0,IF((YEAR(D129)+1)&lt;YEAR(E129),0,IF((YEAR(D129)+1)&gt;=YEAR(E129)+N129,0,IF((YEAR(D129)+1)=YEAR(E129),(12-MONTH(E129)+1)/12,1))))))))&gt;0,(((K129)*(IF(M129="",L129,IFERROR(IF(INDEX(Variablen!$I:$AT, MATCH(M129, Variablen!$A:$A, 0), MATCH((YEAR(D129)+1), Variablen!$I$3:$AT$3, 0))="",L129,INDEX(Variablen!$I:$AT, MATCH(M129, Variablen!$A:$A, 0), MATCH((YEAR(D129)+1), Variablen!$I$3:$AT$3, 0))),L129)))*(IF((YEAR(D129)+1)&lt;YEAR(E129),0,IF((YEAR(D129)+1)&gt;YEAR(E129),1,(12-MONTH(E129)+1)/12))) + (Q129)*(IF((YEAR(D129)+1)&lt;YEAR(E129),0,IF((YEAR(D129)+1)&gt;YEAR(E129),1,(12-MONTH(E129)+1)/12))))-((P129)*(IF((YEAR(D129)+1)&lt;YEAR(E129),0,IF((YEAR(D129)+1)&gt;YEAR(E129),1,(12-MONTH(E129)+1)/12))) + (R129)*(IF((YEAR(D129)+1)&lt;YEAR(E129),0,IF((YEAR(D129)+1)&gt;YEAR(E129),1,(12-MONTH(E129)+1)/12))))-(IF(OR(N129="",N129&lt;=0),0,(O129/N129)*(IF(OR(N129="",N129&lt;=0),0,IF((YEAR(D129)+1)&lt;YEAR(E129),0,IF((YEAR(D129)+1)&gt;=YEAR(E129)+N129,0,IF((YEAR(D129)+1)=YEAR(E129),(12-MONTH(E129)+1)/12,1))))))))*TaxRate,0))-IF(1=0,O129,0))</f>
        <v/>
      </c>
      <c r="U129" s="29">
        <f>IF(A129="","",((K129)*(IF(M129="",L129,IFERROR(IF(INDEX(Variablen!$I:$AT, MATCH(M129, Variablen!$A:$A, 0), MATCH((YEAR(D129)+2), Variablen!$I$3:$AT$3, 0))="",L129,INDEX(Variablen!$I:$AT, MATCH(M129, Variablen!$A:$A, 0), MATCH((YEAR(D129)+2), Variablen!$I$3:$AT$3, 0))),L129)))*(IF((YEAR(D129)+2)&lt;YEAR(E129),0,IF((YEAR(D129)+2)&gt;YEAR(E129),1,(12-MONTH(E129)+1)/12))) + (Q129)*(IF((YEAR(D129)+2)&lt;YEAR(E129),0,IF((YEAR(D129)+2)&gt;YEAR(E129),1,(12-MONTH(E129)+1)/12))))-((P129)*(IF((YEAR(D129)+2)&lt;YEAR(E129),0,IF((YEAR(D129)+2)&gt;YEAR(E129),1,(12-MONTH(E129)+1)/12))) + (R129)*(IF((YEAR(D129)+2)&lt;YEAR(E129),0,IF((YEAR(D129)+2)&gt;YEAR(E129),1,(12-MONTH(E129)+1)/12))))-(IF((((K129)*(IF(M129="",L129,IFERROR(IF(INDEX(Variablen!$I:$AT, MATCH(M129, Variablen!$A:$A, 0), MATCH((YEAR(D129)+2), Variablen!$I$3:$AT$3, 0))="",L129,INDEX(Variablen!$I:$AT, MATCH(M129, Variablen!$A:$A, 0), MATCH((YEAR(D129)+2), Variablen!$I$3:$AT$3, 0))),L129)))*(IF((YEAR(D129)+2)&lt;YEAR(E129),0,IF((YEAR(D129)+2)&gt;YEAR(E129),1,(12-MONTH(E129)+1)/12))) + (Q129)*(IF((YEAR(D129)+2)&lt;YEAR(E129),0,IF((YEAR(D129)+2)&gt;YEAR(E129),1,(12-MONTH(E129)+1)/12))))-((P129)*(IF((YEAR(D129)+2)&lt;YEAR(E129),0,IF((YEAR(D129)+2)&gt;YEAR(E129),1,(12-MONTH(E129)+1)/12))) + (R129)*(IF((YEAR(D129)+2)&lt;YEAR(E129),0,IF((YEAR(D129)+2)&gt;YEAR(E129),1,(12-MONTH(E129)+1)/12))))-(IF(OR(N129="",N129&lt;=0),0,(O129/N129)*(IF(OR(N129="",N129&lt;=0),0,IF((YEAR(D129)+2)&lt;YEAR(E129),0,IF((YEAR(D129)+2)&gt;=YEAR(E129)+N129,0,IF((YEAR(D129)+2)=YEAR(E129),(12-MONTH(E129)+1)/12,1))))))))&gt;0,(((K129)*(IF(M129="",L129,IFERROR(IF(INDEX(Variablen!$I:$AT, MATCH(M129, Variablen!$A:$A, 0), MATCH((YEAR(D129)+2), Variablen!$I$3:$AT$3, 0))="",L129,INDEX(Variablen!$I:$AT, MATCH(M129, Variablen!$A:$A, 0), MATCH((YEAR(D129)+2), Variablen!$I$3:$AT$3, 0))),L129)))*(IF((YEAR(D129)+2)&lt;YEAR(E129),0,IF((YEAR(D129)+2)&gt;YEAR(E129),1,(12-MONTH(E129)+1)/12))) + (Q129)*(IF((YEAR(D129)+2)&lt;YEAR(E129),0,IF((YEAR(D129)+2)&gt;YEAR(E129),1,(12-MONTH(E129)+1)/12))))-((P129)*(IF((YEAR(D129)+2)&lt;YEAR(E129),0,IF((YEAR(D129)+2)&gt;YEAR(E129),1,(12-MONTH(E129)+1)/12))) + (R129)*(IF((YEAR(D129)+2)&lt;YEAR(E129),0,IF((YEAR(D129)+2)&gt;YEAR(E129),1,(12-MONTH(E129)+1)/12))))-(IF(OR(N129="",N129&lt;=0),0,(O129/N129)*(IF(OR(N129="",N129&lt;=0),0,IF((YEAR(D129)+2)&lt;YEAR(E129),0,IF((YEAR(D129)+2)&gt;=YEAR(E129)+N129,0,IF((YEAR(D129)+2)=YEAR(E129),(12-MONTH(E129)+1)/12,1))))))))*TaxRate,0))-IF(2=0,O129,0))</f>
        <v/>
      </c>
      <c r="V129" s="29">
        <f>IF(A129="","",((K129)*(IF(M129="",L129,IFERROR(IF(INDEX(Variablen!$I:$AT, MATCH(M129, Variablen!$A:$A, 0), MATCH((YEAR(D129)+3), Variablen!$I$3:$AT$3, 0))="",L129,INDEX(Variablen!$I:$AT, MATCH(M129, Variablen!$A:$A, 0), MATCH((YEAR(D129)+3), Variablen!$I$3:$AT$3, 0))),L129)))*(IF((YEAR(D129)+3)&lt;YEAR(E129),0,IF((YEAR(D129)+3)&gt;YEAR(E129),1,(12-MONTH(E129)+1)/12))) + (Q129)*(IF((YEAR(D129)+3)&lt;YEAR(E129),0,IF((YEAR(D129)+3)&gt;YEAR(E129),1,(12-MONTH(E129)+1)/12))))-((P129)*(IF((YEAR(D129)+3)&lt;YEAR(E129),0,IF((YEAR(D129)+3)&gt;YEAR(E129),1,(12-MONTH(E129)+1)/12))) + (R129)*(IF((YEAR(D129)+3)&lt;YEAR(E129),0,IF((YEAR(D129)+3)&gt;YEAR(E129),1,(12-MONTH(E129)+1)/12))))-(IF((((K129)*(IF(M129="",L129,IFERROR(IF(INDEX(Variablen!$I:$AT, MATCH(M129, Variablen!$A:$A, 0), MATCH((YEAR(D129)+3), Variablen!$I$3:$AT$3, 0))="",L129,INDEX(Variablen!$I:$AT, MATCH(M129, Variablen!$A:$A, 0), MATCH((YEAR(D129)+3), Variablen!$I$3:$AT$3, 0))),L129)))*(IF((YEAR(D129)+3)&lt;YEAR(E129),0,IF((YEAR(D129)+3)&gt;YEAR(E129),1,(12-MONTH(E129)+1)/12))) + (Q129)*(IF((YEAR(D129)+3)&lt;YEAR(E129),0,IF((YEAR(D129)+3)&gt;YEAR(E129),1,(12-MONTH(E129)+1)/12))))-((P129)*(IF((YEAR(D129)+3)&lt;YEAR(E129),0,IF((YEAR(D129)+3)&gt;YEAR(E129),1,(12-MONTH(E129)+1)/12))) + (R129)*(IF((YEAR(D129)+3)&lt;YEAR(E129),0,IF((YEAR(D129)+3)&gt;YEAR(E129),1,(12-MONTH(E129)+1)/12))))-(IF(OR(N129="",N129&lt;=0),0,(O129/N129)*(IF(OR(N129="",N129&lt;=0),0,IF((YEAR(D129)+3)&lt;YEAR(E129),0,IF((YEAR(D129)+3)&gt;=YEAR(E129)+N129,0,IF((YEAR(D129)+3)=YEAR(E129),(12-MONTH(E129)+1)/12,1))))))))&gt;0,(((K129)*(IF(M129="",L129,IFERROR(IF(INDEX(Variablen!$I:$AT, MATCH(M129, Variablen!$A:$A, 0), MATCH((YEAR(D129)+3), Variablen!$I$3:$AT$3, 0))="",L129,INDEX(Variablen!$I:$AT, MATCH(M129, Variablen!$A:$A, 0), MATCH((YEAR(D129)+3), Variablen!$I$3:$AT$3, 0))),L129)))*(IF((YEAR(D129)+3)&lt;YEAR(E129),0,IF((YEAR(D129)+3)&gt;YEAR(E129),1,(12-MONTH(E129)+1)/12))) + (Q129)*(IF((YEAR(D129)+3)&lt;YEAR(E129),0,IF((YEAR(D129)+3)&gt;YEAR(E129),1,(12-MONTH(E129)+1)/12))))-((P129)*(IF((YEAR(D129)+3)&lt;YEAR(E129),0,IF((YEAR(D129)+3)&gt;YEAR(E129),1,(12-MONTH(E129)+1)/12))) + (R129)*(IF((YEAR(D129)+3)&lt;YEAR(E129),0,IF((YEAR(D129)+3)&gt;YEAR(E129),1,(12-MONTH(E129)+1)/12))))-(IF(OR(N129="",N129&lt;=0),0,(O129/N129)*(IF(OR(N129="",N129&lt;=0),0,IF((YEAR(D129)+3)&lt;YEAR(E129),0,IF((YEAR(D129)+3)&gt;=YEAR(E129)+N129,0,IF((YEAR(D129)+3)=YEAR(E129),(12-MONTH(E129)+1)/12,1))))))))*TaxRate,0))-IF(3=0,O129,0))</f>
        <v/>
      </c>
      <c r="W129" s="29">
        <f>IF(A129="","",((K129)*(IF(M129="",L129,IFERROR(IF(INDEX(Variablen!$I:$AT, MATCH(M129, Variablen!$A:$A, 0), MATCH((YEAR(D129)+4), Variablen!$I$3:$AT$3, 0))="",L129,INDEX(Variablen!$I:$AT, MATCH(M129, Variablen!$A:$A, 0), MATCH((YEAR(D129)+4), Variablen!$I$3:$AT$3, 0))),L129)))*(IF((YEAR(D129)+4)&lt;YEAR(E129),0,IF((YEAR(D129)+4)&gt;YEAR(E129),1,(12-MONTH(E129)+1)/12))) + (Q129)*(IF((YEAR(D129)+4)&lt;YEAR(E129),0,IF((YEAR(D129)+4)&gt;YEAR(E129),1,(12-MONTH(E129)+1)/12))))-((P129)*(IF((YEAR(D129)+4)&lt;YEAR(E129),0,IF((YEAR(D129)+4)&gt;YEAR(E129),1,(12-MONTH(E129)+1)/12))) + (R129)*(IF((YEAR(D129)+4)&lt;YEAR(E129),0,IF((YEAR(D129)+4)&gt;YEAR(E129),1,(12-MONTH(E129)+1)/12))))-(IF((((K129)*(IF(M129="",L129,IFERROR(IF(INDEX(Variablen!$I:$AT, MATCH(M129, Variablen!$A:$A, 0), MATCH((YEAR(D129)+4), Variablen!$I$3:$AT$3, 0))="",L129,INDEX(Variablen!$I:$AT, MATCH(M129, Variablen!$A:$A, 0), MATCH((YEAR(D129)+4), Variablen!$I$3:$AT$3, 0))),L129)))*(IF((YEAR(D129)+4)&lt;YEAR(E129),0,IF((YEAR(D129)+4)&gt;YEAR(E129),1,(12-MONTH(E129)+1)/12))) + (Q129)*(IF((YEAR(D129)+4)&lt;YEAR(E129),0,IF((YEAR(D129)+4)&gt;YEAR(E129),1,(12-MONTH(E129)+1)/12))))-((P129)*(IF((YEAR(D129)+4)&lt;YEAR(E129),0,IF((YEAR(D129)+4)&gt;YEAR(E129),1,(12-MONTH(E129)+1)/12))) + (R129)*(IF((YEAR(D129)+4)&lt;YEAR(E129),0,IF((YEAR(D129)+4)&gt;YEAR(E129),1,(12-MONTH(E129)+1)/12))))-(IF(OR(N129="",N129&lt;=0),0,(O129/N129)*(IF(OR(N129="",N129&lt;=0),0,IF((YEAR(D129)+4)&lt;YEAR(E129),0,IF((YEAR(D129)+4)&gt;=YEAR(E129)+N129,0,IF((YEAR(D129)+4)=YEAR(E129),(12-MONTH(E129)+1)/12,1))))))))&gt;0,(((K129)*(IF(M129="",L129,IFERROR(IF(INDEX(Variablen!$I:$AT, MATCH(M129, Variablen!$A:$A, 0), MATCH((YEAR(D129)+4), Variablen!$I$3:$AT$3, 0))="",L129,INDEX(Variablen!$I:$AT, MATCH(M129, Variablen!$A:$A, 0), MATCH((YEAR(D129)+4), Variablen!$I$3:$AT$3, 0))),L129)))*(IF((YEAR(D129)+4)&lt;YEAR(E129),0,IF((YEAR(D129)+4)&gt;YEAR(E129),1,(12-MONTH(E129)+1)/12))) + (Q129)*(IF((YEAR(D129)+4)&lt;YEAR(E129),0,IF((YEAR(D129)+4)&gt;YEAR(E129),1,(12-MONTH(E129)+1)/12))))-((P129)*(IF((YEAR(D129)+4)&lt;YEAR(E129),0,IF((YEAR(D129)+4)&gt;YEAR(E129),1,(12-MONTH(E129)+1)/12))) + (R129)*(IF((YEAR(D129)+4)&lt;YEAR(E129),0,IF((YEAR(D129)+4)&gt;YEAR(E129),1,(12-MONTH(E129)+1)/12))))-(IF(OR(N129="",N129&lt;=0),0,(O129/N129)*(IF(OR(N129="",N129&lt;=0),0,IF((YEAR(D129)+4)&lt;YEAR(E129),0,IF((YEAR(D129)+4)&gt;=YEAR(E129)+N129,0,IF((YEAR(D129)+4)=YEAR(E129),(12-MONTH(E129)+1)/12,1))))))))*TaxRate,0))-IF(4=0,O129,0))</f>
        <v/>
      </c>
      <c r="X129" s="29">
        <f>IF(A129="","",((K129)*(IF(M129="",L129,IFERROR(IF(INDEX(Variablen!$I:$AT, MATCH(M129, Variablen!$A:$A, 0), MATCH((YEAR(D129)+5), Variablen!$I$3:$AT$3, 0))="",L129,INDEX(Variablen!$I:$AT, MATCH(M129, Variablen!$A:$A, 0), MATCH((YEAR(D129)+5), Variablen!$I$3:$AT$3, 0))),L129)))*(IF((YEAR(D129)+5)&lt;YEAR(E129),0,IF((YEAR(D129)+5)&gt;YEAR(E129),1,(12-MONTH(E129)+1)/12))) + (Q129)*(IF((YEAR(D129)+5)&lt;YEAR(E129),0,IF((YEAR(D129)+5)&gt;YEAR(E129),1,(12-MONTH(E129)+1)/12))))-((P129)*(IF((YEAR(D129)+5)&lt;YEAR(E129),0,IF((YEAR(D129)+5)&gt;YEAR(E129),1,(12-MONTH(E129)+1)/12))) + (R129)*(IF((YEAR(D129)+5)&lt;YEAR(E129),0,IF((YEAR(D129)+5)&gt;YEAR(E129),1,(12-MONTH(E129)+1)/12))))-(IF((((K129)*(IF(M129="",L129,IFERROR(IF(INDEX(Variablen!$I:$AT, MATCH(M129, Variablen!$A:$A, 0), MATCH((YEAR(D129)+5), Variablen!$I$3:$AT$3, 0))="",L129,INDEX(Variablen!$I:$AT, MATCH(M129, Variablen!$A:$A, 0), MATCH((YEAR(D129)+5), Variablen!$I$3:$AT$3, 0))),L129)))*(IF((YEAR(D129)+5)&lt;YEAR(E129),0,IF((YEAR(D129)+5)&gt;YEAR(E129),1,(12-MONTH(E129)+1)/12))) + (Q129)*(IF((YEAR(D129)+5)&lt;YEAR(E129),0,IF((YEAR(D129)+5)&gt;YEAR(E129),1,(12-MONTH(E129)+1)/12))))-((P129)*(IF((YEAR(D129)+5)&lt;YEAR(E129),0,IF((YEAR(D129)+5)&gt;YEAR(E129),1,(12-MONTH(E129)+1)/12))) + (R129)*(IF((YEAR(D129)+5)&lt;YEAR(E129),0,IF((YEAR(D129)+5)&gt;YEAR(E129),1,(12-MONTH(E129)+1)/12))))-(IF(OR(N129="",N129&lt;=0),0,(O129/N129)*(IF(OR(N129="",N129&lt;=0),0,IF((YEAR(D129)+5)&lt;YEAR(E129),0,IF((YEAR(D129)+5)&gt;=YEAR(E129)+N129,0,IF((YEAR(D129)+5)=YEAR(E129),(12-MONTH(E129)+1)/12,1))))))))&gt;0,(((K129)*(IF(M129="",L129,IFERROR(IF(INDEX(Variablen!$I:$AT, MATCH(M129, Variablen!$A:$A, 0), MATCH((YEAR(D129)+5), Variablen!$I$3:$AT$3, 0))="",L129,INDEX(Variablen!$I:$AT, MATCH(M129, Variablen!$A:$A, 0), MATCH((YEAR(D129)+5), Variablen!$I$3:$AT$3, 0))),L129)))*(IF((YEAR(D129)+5)&lt;YEAR(E129),0,IF((YEAR(D129)+5)&gt;YEAR(E129),1,(12-MONTH(E129)+1)/12))) + (Q129)*(IF((YEAR(D129)+5)&lt;YEAR(E129),0,IF((YEAR(D129)+5)&gt;YEAR(E129),1,(12-MONTH(E129)+1)/12))))-((P129)*(IF((YEAR(D129)+5)&lt;YEAR(E129),0,IF((YEAR(D129)+5)&gt;YEAR(E129),1,(12-MONTH(E129)+1)/12))) + (R129)*(IF((YEAR(D129)+5)&lt;YEAR(E129),0,IF((YEAR(D129)+5)&gt;YEAR(E129),1,(12-MONTH(E129)+1)/12))))-(IF(OR(N129="",N129&lt;=0),0,(O129/N129)*(IF(OR(N129="",N129&lt;=0),0,IF((YEAR(D129)+5)&lt;YEAR(E129),0,IF((YEAR(D129)+5)&gt;=YEAR(E129)+N129,0,IF((YEAR(D129)+5)=YEAR(E129),(12-MONTH(E129)+1)/12,1))))))))*TaxRate,0))-IF(5=0,O129,0))</f>
        <v/>
      </c>
      <c r="Y129" s="29">
        <f>IF(A129="","",((K129)*(IF(M129="",L129,IFERROR(IF(INDEX(Variablen!$I:$AT, MATCH(M129, Variablen!$A:$A, 0), MATCH((YEAR(D129)+6), Variablen!$I$3:$AT$3, 0))="",L129,INDEX(Variablen!$I:$AT, MATCH(M129, Variablen!$A:$A, 0), MATCH((YEAR(D129)+6), Variablen!$I$3:$AT$3, 0))),L129)))*(IF((YEAR(D129)+6)&lt;YEAR(E129),0,IF((YEAR(D129)+6)&gt;YEAR(E129),1,(12-MONTH(E129)+1)/12))) + (Q129)*(IF((YEAR(D129)+6)&lt;YEAR(E129),0,IF((YEAR(D129)+6)&gt;YEAR(E129),1,(12-MONTH(E129)+1)/12))))-((P129)*(IF((YEAR(D129)+6)&lt;YEAR(E129),0,IF((YEAR(D129)+6)&gt;YEAR(E129),1,(12-MONTH(E129)+1)/12))) + (R129)*(IF((YEAR(D129)+6)&lt;YEAR(E129),0,IF((YEAR(D129)+6)&gt;YEAR(E129),1,(12-MONTH(E129)+1)/12))))-(IF((((K129)*(IF(M129="",L129,IFERROR(IF(INDEX(Variablen!$I:$AT, MATCH(M129, Variablen!$A:$A, 0), MATCH((YEAR(D129)+6), Variablen!$I$3:$AT$3, 0))="",L129,INDEX(Variablen!$I:$AT, MATCH(M129, Variablen!$A:$A, 0), MATCH((YEAR(D129)+6), Variablen!$I$3:$AT$3, 0))),L129)))*(IF((YEAR(D129)+6)&lt;YEAR(E129),0,IF((YEAR(D129)+6)&gt;YEAR(E129),1,(12-MONTH(E129)+1)/12))) + (Q129)*(IF((YEAR(D129)+6)&lt;YEAR(E129),0,IF((YEAR(D129)+6)&gt;YEAR(E129),1,(12-MONTH(E129)+1)/12))))-((P129)*(IF((YEAR(D129)+6)&lt;YEAR(E129),0,IF((YEAR(D129)+6)&gt;YEAR(E129),1,(12-MONTH(E129)+1)/12))) + (R129)*(IF((YEAR(D129)+6)&lt;YEAR(E129),0,IF((YEAR(D129)+6)&gt;YEAR(E129),1,(12-MONTH(E129)+1)/12))))-(IF(OR(N129="",N129&lt;=0),0,(O129/N129)*(IF(OR(N129="",N129&lt;=0),0,IF((YEAR(D129)+6)&lt;YEAR(E129),0,IF((YEAR(D129)+6)&gt;=YEAR(E129)+N129,0,IF((YEAR(D129)+6)=YEAR(E129),(12-MONTH(E129)+1)/12,1))))))))&gt;0,(((K129)*(IF(M129="",L129,IFERROR(IF(INDEX(Variablen!$I:$AT, MATCH(M129, Variablen!$A:$A, 0), MATCH((YEAR(D129)+6), Variablen!$I$3:$AT$3, 0))="",L129,INDEX(Variablen!$I:$AT, MATCH(M129, Variablen!$A:$A, 0), MATCH((YEAR(D129)+6), Variablen!$I$3:$AT$3, 0))),L129)))*(IF((YEAR(D129)+6)&lt;YEAR(E129),0,IF((YEAR(D129)+6)&gt;YEAR(E129),1,(12-MONTH(E129)+1)/12))) + (Q129)*(IF((YEAR(D129)+6)&lt;YEAR(E129),0,IF((YEAR(D129)+6)&gt;YEAR(E129),1,(12-MONTH(E129)+1)/12))))-((P129)*(IF((YEAR(D129)+6)&lt;YEAR(E129),0,IF((YEAR(D129)+6)&gt;YEAR(E129),1,(12-MONTH(E129)+1)/12))) + (R129)*(IF((YEAR(D129)+6)&lt;YEAR(E129),0,IF((YEAR(D129)+6)&gt;YEAR(E129),1,(12-MONTH(E129)+1)/12))))-(IF(OR(N129="",N129&lt;=0),0,(O129/N129)*(IF(OR(N129="",N129&lt;=0),0,IF((YEAR(D129)+6)&lt;YEAR(E129),0,IF((YEAR(D129)+6)&gt;=YEAR(E129)+N129,0,IF((YEAR(D129)+6)=YEAR(E129),(12-MONTH(E129)+1)/12,1))))))))*TaxRate,0))-IF(6=0,O129,0))</f>
        <v/>
      </c>
      <c r="Z129" s="29">
        <f>IF(A129="","",((K129)*(IF(M129="",L129,IFERROR(IF(INDEX(Variablen!$I:$AT, MATCH(M129, Variablen!$A:$A, 0), MATCH((YEAR(D129)+7), Variablen!$I$3:$AT$3, 0))="",L129,INDEX(Variablen!$I:$AT, MATCH(M129, Variablen!$A:$A, 0), MATCH((YEAR(D129)+7), Variablen!$I$3:$AT$3, 0))),L129)))*(IF((YEAR(D129)+7)&lt;YEAR(E129),0,IF((YEAR(D129)+7)&gt;YEAR(E129),1,(12-MONTH(E129)+1)/12))) + (Q129)*(IF((YEAR(D129)+7)&lt;YEAR(E129),0,IF((YEAR(D129)+7)&gt;YEAR(E129),1,(12-MONTH(E129)+1)/12))))-((P129)*(IF((YEAR(D129)+7)&lt;YEAR(E129),0,IF((YEAR(D129)+7)&gt;YEAR(E129),1,(12-MONTH(E129)+1)/12))) + (R129)*(IF((YEAR(D129)+7)&lt;YEAR(E129),0,IF((YEAR(D129)+7)&gt;YEAR(E129),1,(12-MONTH(E129)+1)/12))))-(IF((((K129)*(IF(M129="",L129,IFERROR(IF(INDEX(Variablen!$I:$AT, MATCH(M129, Variablen!$A:$A, 0), MATCH((YEAR(D129)+7), Variablen!$I$3:$AT$3, 0))="",L129,INDEX(Variablen!$I:$AT, MATCH(M129, Variablen!$A:$A, 0), MATCH((YEAR(D129)+7), Variablen!$I$3:$AT$3, 0))),L129)))*(IF((YEAR(D129)+7)&lt;YEAR(E129),0,IF((YEAR(D129)+7)&gt;YEAR(E129),1,(12-MONTH(E129)+1)/12))) + (Q129)*(IF((YEAR(D129)+7)&lt;YEAR(E129),0,IF((YEAR(D129)+7)&gt;YEAR(E129),1,(12-MONTH(E129)+1)/12))))-((P129)*(IF((YEAR(D129)+7)&lt;YEAR(E129),0,IF((YEAR(D129)+7)&gt;YEAR(E129),1,(12-MONTH(E129)+1)/12))) + (R129)*(IF((YEAR(D129)+7)&lt;YEAR(E129),0,IF((YEAR(D129)+7)&gt;YEAR(E129),1,(12-MONTH(E129)+1)/12))))-(IF(OR(N129="",N129&lt;=0),0,(O129/N129)*(IF(OR(N129="",N129&lt;=0),0,IF((YEAR(D129)+7)&lt;YEAR(E129),0,IF((YEAR(D129)+7)&gt;=YEAR(E129)+N129,0,IF((YEAR(D129)+7)=YEAR(E129),(12-MONTH(E129)+1)/12,1))))))))&gt;0,(((K129)*(IF(M129="",L129,IFERROR(IF(INDEX(Variablen!$I:$AT, MATCH(M129, Variablen!$A:$A, 0), MATCH((YEAR(D129)+7), Variablen!$I$3:$AT$3, 0))="",L129,INDEX(Variablen!$I:$AT, MATCH(M129, Variablen!$A:$A, 0), MATCH((YEAR(D129)+7), Variablen!$I$3:$AT$3, 0))),L129)))*(IF((YEAR(D129)+7)&lt;YEAR(E129),0,IF((YEAR(D129)+7)&gt;YEAR(E129),1,(12-MONTH(E129)+1)/12))) + (Q129)*(IF((YEAR(D129)+7)&lt;YEAR(E129),0,IF((YEAR(D129)+7)&gt;YEAR(E129),1,(12-MONTH(E129)+1)/12))))-((P129)*(IF((YEAR(D129)+7)&lt;YEAR(E129),0,IF((YEAR(D129)+7)&gt;YEAR(E129),1,(12-MONTH(E129)+1)/12))) + (R129)*(IF((YEAR(D129)+7)&lt;YEAR(E129),0,IF((YEAR(D129)+7)&gt;YEAR(E129),1,(12-MONTH(E129)+1)/12))))-(IF(OR(N129="",N129&lt;=0),0,(O129/N129)*(IF(OR(N129="",N129&lt;=0),0,IF((YEAR(D129)+7)&lt;YEAR(E129),0,IF((YEAR(D129)+7)&gt;=YEAR(E129)+N129,0,IF((YEAR(D129)+7)=YEAR(E129),(12-MONTH(E129)+1)/12,1))))))))*TaxRate,0))-IF(7=0,O129,0))</f>
        <v/>
      </c>
      <c r="AA129" s="29">
        <f>IF(A129="","",((K129)*(IF(M129="",L129,IFERROR(IF(INDEX(Variablen!$I:$AT, MATCH(M129, Variablen!$A:$A, 0), MATCH((YEAR(D129)+8), Variablen!$I$3:$AT$3, 0))="",L129,INDEX(Variablen!$I:$AT, MATCH(M129, Variablen!$A:$A, 0), MATCH((YEAR(D129)+8), Variablen!$I$3:$AT$3, 0))),L129)))*(IF((YEAR(D129)+8)&lt;YEAR(E129),0,IF((YEAR(D129)+8)&gt;YEAR(E129),1,(12-MONTH(E129)+1)/12))) + (Q129)*(IF((YEAR(D129)+8)&lt;YEAR(E129),0,IF((YEAR(D129)+8)&gt;YEAR(E129),1,(12-MONTH(E129)+1)/12))))-((P129)*(IF((YEAR(D129)+8)&lt;YEAR(E129),0,IF((YEAR(D129)+8)&gt;YEAR(E129),1,(12-MONTH(E129)+1)/12))) + (R129)*(IF((YEAR(D129)+8)&lt;YEAR(E129),0,IF((YEAR(D129)+8)&gt;YEAR(E129),1,(12-MONTH(E129)+1)/12))))-(IF((((K129)*(IF(M129="",L129,IFERROR(IF(INDEX(Variablen!$I:$AT, MATCH(M129, Variablen!$A:$A, 0), MATCH((YEAR(D129)+8), Variablen!$I$3:$AT$3, 0))="",L129,INDEX(Variablen!$I:$AT, MATCH(M129, Variablen!$A:$A, 0), MATCH((YEAR(D129)+8), Variablen!$I$3:$AT$3, 0))),L129)))*(IF((YEAR(D129)+8)&lt;YEAR(E129),0,IF((YEAR(D129)+8)&gt;YEAR(E129),1,(12-MONTH(E129)+1)/12))) + (Q129)*(IF((YEAR(D129)+8)&lt;YEAR(E129),0,IF((YEAR(D129)+8)&gt;YEAR(E129),1,(12-MONTH(E129)+1)/12))))-((P129)*(IF((YEAR(D129)+8)&lt;YEAR(E129),0,IF((YEAR(D129)+8)&gt;YEAR(E129),1,(12-MONTH(E129)+1)/12))) + (R129)*(IF((YEAR(D129)+8)&lt;YEAR(E129),0,IF((YEAR(D129)+8)&gt;YEAR(E129),1,(12-MONTH(E129)+1)/12))))-(IF(OR(N129="",N129&lt;=0),0,(O129/N129)*(IF(OR(N129="",N129&lt;=0),0,IF((YEAR(D129)+8)&lt;YEAR(E129),0,IF((YEAR(D129)+8)&gt;=YEAR(E129)+N129,0,IF((YEAR(D129)+8)=YEAR(E129),(12-MONTH(E129)+1)/12,1))))))))&gt;0,(((K129)*(IF(M129="",L129,IFERROR(IF(INDEX(Variablen!$I:$AT, MATCH(M129, Variablen!$A:$A, 0), MATCH((YEAR(D129)+8), Variablen!$I$3:$AT$3, 0))="",L129,INDEX(Variablen!$I:$AT, MATCH(M129, Variablen!$A:$A, 0), MATCH((YEAR(D129)+8), Variablen!$I$3:$AT$3, 0))),L129)))*(IF((YEAR(D129)+8)&lt;YEAR(E129),0,IF((YEAR(D129)+8)&gt;YEAR(E129),1,(12-MONTH(E129)+1)/12))) + (Q129)*(IF((YEAR(D129)+8)&lt;YEAR(E129),0,IF((YEAR(D129)+8)&gt;YEAR(E129),1,(12-MONTH(E129)+1)/12))))-((P129)*(IF((YEAR(D129)+8)&lt;YEAR(E129),0,IF((YEAR(D129)+8)&gt;YEAR(E129),1,(12-MONTH(E129)+1)/12))) + (R129)*(IF((YEAR(D129)+8)&lt;YEAR(E129),0,IF((YEAR(D129)+8)&gt;YEAR(E129),1,(12-MONTH(E129)+1)/12))))-(IF(OR(N129="",N129&lt;=0),0,(O129/N129)*(IF(OR(N129="",N129&lt;=0),0,IF((YEAR(D129)+8)&lt;YEAR(E129),0,IF((YEAR(D129)+8)&gt;=YEAR(E129)+N129,0,IF((YEAR(D129)+8)=YEAR(E129),(12-MONTH(E129)+1)/12,1))))))))*TaxRate,0))-IF(8=0,O129,0))</f>
        <v/>
      </c>
      <c r="AB129" s="29">
        <f>IF(A129="","",((K129)*(IF(M129="",L129,IFERROR(IF(INDEX(Variablen!$I:$AT, MATCH(M129, Variablen!$A:$A, 0), MATCH((YEAR(D129)+9), Variablen!$I$3:$AT$3, 0))="",L129,INDEX(Variablen!$I:$AT, MATCH(M129, Variablen!$A:$A, 0), MATCH((YEAR(D129)+9), Variablen!$I$3:$AT$3, 0))),L129)))*(IF((YEAR(D129)+9)&lt;YEAR(E129),0,IF((YEAR(D129)+9)&gt;YEAR(E129),1,(12-MONTH(E129)+1)/12))) + (Q129)*(IF((YEAR(D129)+9)&lt;YEAR(E129),0,IF((YEAR(D129)+9)&gt;YEAR(E129),1,(12-MONTH(E129)+1)/12))))-((P129)*(IF((YEAR(D129)+9)&lt;YEAR(E129),0,IF((YEAR(D129)+9)&gt;YEAR(E129),1,(12-MONTH(E129)+1)/12))) + (R129)*(IF((YEAR(D129)+9)&lt;YEAR(E129),0,IF((YEAR(D129)+9)&gt;YEAR(E129),1,(12-MONTH(E129)+1)/12))))-(IF((((K129)*(IF(M129="",L129,IFERROR(IF(INDEX(Variablen!$I:$AT, MATCH(M129, Variablen!$A:$A, 0), MATCH((YEAR(D129)+9), Variablen!$I$3:$AT$3, 0))="",L129,INDEX(Variablen!$I:$AT, MATCH(M129, Variablen!$A:$A, 0), MATCH((YEAR(D129)+9), Variablen!$I$3:$AT$3, 0))),L129)))*(IF((YEAR(D129)+9)&lt;YEAR(E129),0,IF((YEAR(D129)+9)&gt;YEAR(E129),1,(12-MONTH(E129)+1)/12))) + (Q129)*(IF((YEAR(D129)+9)&lt;YEAR(E129),0,IF((YEAR(D129)+9)&gt;YEAR(E129),1,(12-MONTH(E129)+1)/12))))-((P129)*(IF((YEAR(D129)+9)&lt;YEAR(E129),0,IF((YEAR(D129)+9)&gt;YEAR(E129),1,(12-MONTH(E129)+1)/12))) + (R129)*(IF((YEAR(D129)+9)&lt;YEAR(E129),0,IF((YEAR(D129)+9)&gt;YEAR(E129),1,(12-MONTH(E129)+1)/12))))-(IF(OR(N129="",N129&lt;=0),0,(O129/N129)*(IF(OR(N129="",N129&lt;=0),0,IF((YEAR(D129)+9)&lt;YEAR(E129),0,IF((YEAR(D129)+9)&gt;=YEAR(E129)+N129,0,IF((YEAR(D129)+9)=YEAR(E129),(12-MONTH(E129)+1)/12,1))))))))&gt;0,(((K129)*(IF(M129="",L129,IFERROR(IF(INDEX(Variablen!$I:$AT, MATCH(M129, Variablen!$A:$A, 0), MATCH((YEAR(D129)+9), Variablen!$I$3:$AT$3, 0))="",L129,INDEX(Variablen!$I:$AT, MATCH(M129, Variablen!$A:$A, 0), MATCH((YEAR(D129)+9), Variablen!$I$3:$AT$3, 0))),L129)))*(IF((YEAR(D129)+9)&lt;YEAR(E129),0,IF((YEAR(D129)+9)&gt;YEAR(E129),1,(12-MONTH(E129)+1)/12))) + (Q129)*(IF((YEAR(D129)+9)&lt;YEAR(E129),0,IF((YEAR(D129)+9)&gt;YEAR(E129),1,(12-MONTH(E129)+1)/12))))-((P129)*(IF((YEAR(D129)+9)&lt;YEAR(E129),0,IF((YEAR(D129)+9)&gt;YEAR(E129),1,(12-MONTH(E129)+1)/12))) + (R129)*(IF((YEAR(D129)+9)&lt;YEAR(E129),0,IF((YEAR(D129)+9)&gt;YEAR(E129),1,(12-MONTH(E129)+1)/12))))-(IF(OR(N129="",N129&lt;=0),0,(O129/N129)*(IF(OR(N129="",N129&lt;=0),0,IF((YEAR(D129)+9)&lt;YEAR(E129),0,IF((YEAR(D129)+9)&gt;=YEAR(E129)+N129,0,IF((YEAR(D129)+9)=YEAR(E129),(12-MONTH(E129)+1)/12,1))))))))*TaxRate,0))-IF(9=0,O129,0))</f>
        <v/>
      </c>
      <c r="AC129" s="29">
        <f>IF(A129="","",((K129)*(IF(M129="",L129,IFERROR(IF(INDEX(Variablen!$I:$AT, MATCH(M129, Variablen!$A:$A, 0), MATCH((YEAR(D129)+10), Variablen!$I$3:$AT$3, 0))="",L129,INDEX(Variablen!$I:$AT, MATCH(M129, Variablen!$A:$A, 0), MATCH((YEAR(D129)+10), Variablen!$I$3:$AT$3, 0))),L129)))*(IF((YEAR(D129)+10)&lt;YEAR(E129),0,IF((YEAR(D129)+10)&gt;YEAR(E129),1,(12-MONTH(E129)+1)/12))) + (Q129)*(IF((YEAR(D129)+10)&lt;YEAR(E129),0,IF((YEAR(D129)+10)&gt;YEAR(E129),1,(12-MONTH(E129)+1)/12))))-((P129)*(IF((YEAR(D129)+10)&lt;YEAR(E129),0,IF((YEAR(D129)+10)&gt;YEAR(E129),1,(12-MONTH(E129)+1)/12))) + (R129)*(IF((YEAR(D129)+10)&lt;YEAR(E129),0,IF((YEAR(D129)+10)&gt;YEAR(E129),1,(12-MONTH(E129)+1)/12))))-(IF((((K129)*(IF(M129="",L129,IFERROR(IF(INDEX(Variablen!$I:$AT, MATCH(M129, Variablen!$A:$A, 0), MATCH((YEAR(D129)+10), Variablen!$I$3:$AT$3, 0))="",L129,INDEX(Variablen!$I:$AT, MATCH(M129, Variablen!$A:$A, 0), MATCH((YEAR(D129)+10), Variablen!$I$3:$AT$3, 0))),L129)))*(IF((YEAR(D129)+10)&lt;YEAR(E129),0,IF((YEAR(D129)+10)&gt;YEAR(E129),1,(12-MONTH(E129)+1)/12))) + (Q129)*(IF((YEAR(D129)+10)&lt;YEAR(E129),0,IF((YEAR(D129)+10)&gt;YEAR(E129),1,(12-MONTH(E129)+1)/12))))-((P129)*(IF((YEAR(D129)+10)&lt;YEAR(E129),0,IF((YEAR(D129)+10)&gt;YEAR(E129),1,(12-MONTH(E129)+1)/12))) + (R129)*(IF((YEAR(D129)+10)&lt;YEAR(E129),0,IF((YEAR(D129)+10)&gt;YEAR(E129),1,(12-MONTH(E129)+1)/12))))-(IF(OR(N129="",N129&lt;=0),0,(O129/N129)*(IF(OR(N129="",N129&lt;=0),0,IF((YEAR(D129)+10)&lt;YEAR(E129),0,IF((YEAR(D129)+10)&gt;=YEAR(E129)+N129,0,IF((YEAR(D129)+10)=YEAR(E129),(12-MONTH(E129)+1)/12,1))))))))&gt;0,(((K129)*(IF(M129="",L129,IFERROR(IF(INDEX(Variablen!$I:$AT, MATCH(M129, Variablen!$A:$A, 0), MATCH((YEAR(D129)+10), Variablen!$I$3:$AT$3, 0))="",L129,INDEX(Variablen!$I:$AT, MATCH(M129, Variablen!$A:$A, 0), MATCH((YEAR(D129)+10), Variablen!$I$3:$AT$3, 0))),L129)))*(IF((YEAR(D129)+10)&lt;YEAR(E129),0,IF((YEAR(D129)+10)&gt;YEAR(E129),1,(12-MONTH(E129)+1)/12))) + (Q129)*(IF((YEAR(D129)+10)&lt;YEAR(E129),0,IF((YEAR(D129)+10)&gt;YEAR(E129),1,(12-MONTH(E129)+1)/12))))-((P129)*(IF((YEAR(D129)+10)&lt;YEAR(E129),0,IF((YEAR(D129)+10)&gt;YEAR(E129),1,(12-MONTH(E129)+1)/12))) + (R129)*(IF((YEAR(D129)+10)&lt;YEAR(E129),0,IF((YEAR(D129)+10)&gt;YEAR(E129),1,(12-MONTH(E129)+1)/12))))-(IF(OR(N129="",N129&lt;=0),0,(O129/N129)*(IF(OR(N129="",N129&lt;=0),0,IF((YEAR(D129)+10)&lt;YEAR(E129),0,IF((YEAR(D129)+10)&gt;=YEAR(E129)+N129,0,IF((YEAR(D129)+10)=YEAR(E129),(12-MONTH(E129)+1)/12,1))))))))*TaxRate,0))-IF(10=0,O129,0))</f>
        <v/>
      </c>
      <c r="AD129" s="29">
        <f>IF(A129="","",((K129)*(IF(M129="",L129,IFERROR(IF(INDEX(Variablen!$I:$AT, MATCH(M129, Variablen!$A:$A, 0), MATCH((YEAR(D129)+11), Variablen!$I$3:$AT$3, 0))="",L129,INDEX(Variablen!$I:$AT, MATCH(M129, Variablen!$A:$A, 0), MATCH((YEAR(D129)+11), Variablen!$I$3:$AT$3, 0))),L129)))*(IF((YEAR(D129)+11)&lt;YEAR(E129),0,IF((YEAR(D129)+11)&gt;YEAR(E129),1,(12-MONTH(E129)+1)/12))) + (Q129)*(IF((YEAR(D129)+11)&lt;YEAR(E129),0,IF((YEAR(D129)+11)&gt;YEAR(E129),1,(12-MONTH(E129)+1)/12))))-((P129)*(IF((YEAR(D129)+11)&lt;YEAR(E129),0,IF((YEAR(D129)+11)&gt;YEAR(E129),1,(12-MONTH(E129)+1)/12))) + (R129)*(IF((YEAR(D129)+11)&lt;YEAR(E129),0,IF((YEAR(D129)+11)&gt;YEAR(E129),1,(12-MONTH(E129)+1)/12))))-(IF((((K129)*(IF(M129="",L129,IFERROR(IF(INDEX(Variablen!$I:$AT, MATCH(M129, Variablen!$A:$A, 0), MATCH((YEAR(D129)+11), Variablen!$I$3:$AT$3, 0))="",L129,INDEX(Variablen!$I:$AT, MATCH(M129, Variablen!$A:$A, 0), MATCH((YEAR(D129)+11), Variablen!$I$3:$AT$3, 0))),L129)))*(IF((YEAR(D129)+11)&lt;YEAR(E129),0,IF((YEAR(D129)+11)&gt;YEAR(E129),1,(12-MONTH(E129)+1)/12))) + (Q129)*(IF((YEAR(D129)+11)&lt;YEAR(E129),0,IF((YEAR(D129)+11)&gt;YEAR(E129),1,(12-MONTH(E129)+1)/12))))-((P129)*(IF((YEAR(D129)+11)&lt;YEAR(E129),0,IF((YEAR(D129)+11)&gt;YEAR(E129),1,(12-MONTH(E129)+1)/12))) + (R129)*(IF((YEAR(D129)+11)&lt;YEAR(E129),0,IF((YEAR(D129)+11)&gt;YEAR(E129),1,(12-MONTH(E129)+1)/12))))-(IF(OR(N129="",N129&lt;=0),0,(O129/N129)*(IF(OR(N129="",N129&lt;=0),0,IF((YEAR(D129)+11)&lt;YEAR(E129),0,IF((YEAR(D129)+11)&gt;=YEAR(E129)+N129,0,IF((YEAR(D129)+11)=YEAR(E129),(12-MONTH(E129)+1)/12,1))))))))&gt;0,(((K129)*(IF(M129="",L129,IFERROR(IF(INDEX(Variablen!$I:$AT, MATCH(M129, Variablen!$A:$A, 0), MATCH((YEAR(D129)+11), Variablen!$I$3:$AT$3, 0))="",L129,INDEX(Variablen!$I:$AT, MATCH(M129, Variablen!$A:$A, 0), MATCH((YEAR(D129)+11), Variablen!$I$3:$AT$3, 0))),L129)))*(IF((YEAR(D129)+11)&lt;YEAR(E129),0,IF((YEAR(D129)+11)&gt;YEAR(E129),1,(12-MONTH(E129)+1)/12))) + (Q129)*(IF((YEAR(D129)+11)&lt;YEAR(E129),0,IF((YEAR(D129)+11)&gt;YEAR(E129),1,(12-MONTH(E129)+1)/12))))-((P129)*(IF((YEAR(D129)+11)&lt;YEAR(E129),0,IF((YEAR(D129)+11)&gt;YEAR(E129),1,(12-MONTH(E129)+1)/12))) + (R129)*(IF((YEAR(D129)+11)&lt;YEAR(E129),0,IF((YEAR(D129)+11)&gt;YEAR(E129),1,(12-MONTH(E129)+1)/12))))-(IF(OR(N129="",N129&lt;=0),0,(O129/N129)*(IF(OR(N129="",N129&lt;=0),0,IF((YEAR(D129)+11)&lt;YEAR(E129),0,IF((YEAR(D129)+11)&gt;=YEAR(E129)+N129,0,IF((YEAR(D129)+11)=YEAR(E129),(12-MONTH(E129)+1)/12,1))))))))*TaxRate,0))-IF(11=0,O129,0))</f>
        <v/>
      </c>
      <c r="AE129" s="29">
        <f>IF(A129="","",((K129)*(IF(M129="",L129,IFERROR(IF(INDEX(Variablen!$I:$AT, MATCH(M129, Variablen!$A:$A, 0), MATCH((YEAR(D129)+12), Variablen!$I$3:$AT$3, 0))="",L129,INDEX(Variablen!$I:$AT, MATCH(M129, Variablen!$A:$A, 0), MATCH((YEAR(D129)+12), Variablen!$I$3:$AT$3, 0))),L129)))*(IF((YEAR(D129)+12)&lt;YEAR(E129),0,IF((YEAR(D129)+12)&gt;YEAR(E129),1,(12-MONTH(E129)+1)/12))) + (Q129)*(IF((YEAR(D129)+12)&lt;YEAR(E129),0,IF((YEAR(D129)+12)&gt;YEAR(E129),1,(12-MONTH(E129)+1)/12))))-((P129)*(IF((YEAR(D129)+12)&lt;YEAR(E129),0,IF((YEAR(D129)+12)&gt;YEAR(E129),1,(12-MONTH(E129)+1)/12))) + (R129)*(IF((YEAR(D129)+12)&lt;YEAR(E129),0,IF((YEAR(D129)+12)&gt;YEAR(E129),1,(12-MONTH(E129)+1)/12))))-(IF((((K129)*(IF(M129="",L129,IFERROR(IF(INDEX(Variablen!$I:$AT, MATCH(M129, Variablen!$A:$A, 0), MATCH((YEAR(D129)+12), Variablen!$I$3:$AT$3, 0))="",L129,INDEX(Variablen!$I:$AT, MATCH(M129, Variablen!$A:$A, 0), MATCH((YEAR(D129)+12), Variablen!$I$3:$AT$3, 0))),L129)))*(IF((YEAR(D129)+12)&lt;YEAR(E129),0,IF((YEAR(D129)+12)&gt;YEAR(E129),1,(12-MONTH(E129)+1)/12))) + (Q129)*(IF((YEAR(D129)+12)&lt;YEAR(E129),0,IF((YEAR(D129)+12)&gt;YEAR(E129),1,(12-MONTH(E129)+1)/12))))-((P129)*(IF((YEAR(D129)+12)&lt;YEAR(E129),0,IF((YEAR(D129)+12)&gt;YEAR(E129),1,(12-MONTH(E129)+1)/12))) + (R129)*(IF((YEAR(D129)+12)&lt;YEAR(E129),0,IF((YEAR(D129)+12)&gt;YEAR(E129),1,(12-MONTH(E129)+1)/12))))-(IF(OR(N129="",N129&lt;=0),0,(O129/N129)*(IF(OR(N129="",N129&lt;=0),0,IF((YEAR(D129)+12)&lt;YEAR(E129),0,IF((YEAR(D129)+12)&gt;=YEAR(E129)+N129,0,IF((YEAR(D129)+12)=YEAR(E129),(12-MONTH(E129)+1)/12,1))))))))&gt;0,(((K129)*(IF(M129="",L129,IFERROR(IF(INDEX(Variablen!$I:$AT, MATCH(M129, Variablen!$A:$A, 0), MATCH((YEAR(D129)+12), Variablen!$I$3:$AT$3, 0))="",L129,INDEX(Variablen!$I:$AT, MATCH(M129, Variablen!$A:$A, 0), MATCH((YEAR(D129)+12), Variablen!$I$3:$AT$3, 0))),L129)))*(IF((YEAR(D129)+12)&lt;YEAR(E129),0,IF((YEAR(D129)+12)&gt;YEAR(E129),1,(12-MONTH(E129)+1)/12))) + (Q129)*(IF((YEAR(D129)+12)&lt;YEAR(E129),0,IF((YEAR(D129)+12)&gt;YEAR(E129),1,(12-MONTH(E129)+1)/12))))-((P129)*(IF((YEAR(D129)+12)&lt;YEAR(E129),0,IF((YEAR(D129)+12)&gt;YEAR(E129),1,(12-MONTH(E129)+1)/12))) + (R129)*(IF((YEAR(D129)+12)&lt;YEAR(E129),0,IF((YEAR(D129)+12)&gt;YEAR(E129),1,(12-MONTH(E129)+1)/12))))-(IF(OR(N129="",N129&lt;=0),0,(O129/N129)*(IF(OR(N129="",N129&lt;=0),0,IF((YEAR(D129)+12)&lt;YEAR(E129),0,IF((YEAR(D129)+12)&gt;=YEAR(E129)+N129,0,IF((YEAR(D129)+12)=YEAR(E129),(12-MONTH(E129)+1)/12,1))))))))*TaxRate,0))-IF(12=0,O129,0))</f>
        <v/>
      </c>
      <c r="AF129" s="29">
        <f>IF(A129="","",((K129)*(IF(M129="",L129,IFERROR(IF(INDEX(Variablen!$I:$AT, MATCH(M129, Variablen!$A:$A, 0), MATCH((YEAR(D129)+13), Variablen!$I$3:$AT$3, 0))="",L129,INDEX(Variablen!$I:$AT, MATCH(M129, Variablen!$A:$A, 0), MATCH((YEAR(D129)+13), Variablen!$I$3:$AT$3, 0))),L129)))*(IF((YEAR(D129)+13)&lt;YEAR(E129),0,IF((YEAR(D129)+13)&gt;YEAR(E129),1,(12-MONTH(E129)+1)/12))) + (Q129)*(IF((YEAR(D129)+13)&lt;YEAR(E129),0,IF((YEAR(D129)+13)&gt;YEAR(E129),1,(12-MONTH(E129)+1)/12))))-((P129)*(IF((YEAR(D129)+13)&lt;YEAR(E129),0,IF((YEAR(D129)+13)&gt;YEAR(E129),1,(12-MONTH(E129)+1)/12))) + (R129)*(IF((YEAR(D129)+13)&lt;YEAR(E129),0,IF((YEAR(D129)+13)&gt;YEAR(E129),1,(12-MONTH(E129)+1)/12))))-(IF((((K129)*(IF(M129="",L129,IFERROR(IF(INDEX(Variablen!$I:$AT, MATCH(M129, Variablen!$A:$A, 0), MATCH((YEAR(D129)+13), Variablen!$I$3:$AT$3, 0))="",L129,INDEX(Variablen!$I:$AT, MATCH(M129, Variablen!$A:$A, 0), MATCH((YEAR(D129)+13), Variablen!$I$3:$AT$3, 0))),L129)))*(IF((YEAR(D129)+13)&lt;YEAR(E129),0,IF((YEAR(D129)+13)&gt;YEAR(E129),1,(12-MONTH(E129)+1)/12))) + (Q129)*(IF((YEAR(D129)+13)&lt;YEAR(E129),0,IF((YEAR(D129)+13)&gt;YEAR(E129),1,(12-MONTH(E129)+1)/12))))-((P129)*(IF((YEAR(D129)+13)&lt;YEAR(E129),0,IF((YEAR(D129)+13)&gt;YEAR(E129),1,(12-MONTH(E129)+1)/12))) + (R129)*(IF((YEAR(D129)+13)&lt;YEAR(E129),0,IF((YEAR(D129)+13)&gt;YEAR(E129),1,(12-MONTH(E129)+1)/12))))-(IF(OR(N129="",N129&lt;=0),0,(O129/N129)*(IF(OR(N129="",N129&lt;=0),0,IF((YEAR(D129)+13)&lt;YEAR(E129),0,IF((YEAR(D129)+13)&gt;=YEAR(E129)+N129,0,IF((YEAR(D129)+13)=YEAR(E129),(12-MONTH(E129)+1)/12,1))))))))&gt;0,(((K129)*(IF(M129="",L129,IFERROR(IF(INDEX(Variablen!$I:$AT, MATCH(M129, Variablen!$A:$A, 0), MATCH((YEAR(D129)+13), Variablen!$I$3:$AT$3, 0))="",L129,INDEX(Variablen!$I:$AT, MATCH(M129, Variablen!$A:$A, 0), MATCH((YEAR(D129)+13), Variablen!$I$3:$AT$3, 0))),L129)))*(IF((YEAR(D129)+13)&lt;YEAR(E129),0,IF((YEAR(D129)+13)&gt;YEAR(E129),1,(12-MONTH(E129)+1)/12))) + (Q129)*(IF((YEAR(D129)+13)&lt;YEAR(E129),0,IF((YEAR(D129)+13)&gt;YEAR(E129),1,(12-MONTH(E129)+1)/12))))-((P129)*(IF((YEAR(D129)+13)&lt;YEAR(E129),0,IF((YEAR(D129)+13)&gt;YEAR(E129),1,(12-MONTH(E129)+1)/12))) + (R129)*(IF((YEAR(D129)+13)&lt;YEAR(E129),0,IF((YEAR(D129)+13)&gt;YEAR(E129),1,(12-MONTH(E129)+1)/12))))-(IF(OR(N129="",N129&lt;=0),0,(O129/N129)*(IF(OR(N129="",N129&lt;=0),0,IF((YEAR(D129)+13)&lt;YEAR(E129),0,IF((YEAR(D129)+13)&gt;=YEAR(E129)+N129,0,IF((YEAR(D129)+13)=YEAR(E129),(12-MONTH(E129)+1)/12,1))))))))*TaxRate,0))-IF(13=0,O129,0))</f>
        <v/>
      </c>
      <c r="AG129" s="29">
        <f>IF(A129="","",((K129)*(IF(M129="",L129,IFERROR(IF(INDEX(Variablen!$I:$AT, MATCH(M129, Variablen!$A:$A, 0), MATCH((YEAR(D129)+14), Variablen!$I$3:$AT$3, 0))="",L129,INDEX(Variablen!$I:$AT, MATCH(M129, Variablen!$A:$A, 0), MATCH((YEAR(D129)+14), Variablen!$I$3:$AT$3, 0))),L129)))*(IF((YEAR(D129)+14)&lt;YEAR(E129),0,IF((YEAR(D129)+14)&gt;YEAR(E129),1,(12-MONTH(E129)+1)/12))) + (Q129)*(IF((YEAR(D129)+14)&lt;YEAR(E129),0,IF((YEAR(D129)+14)&gt;YEAR(E129),1,(12-MONTH(E129)+1)/12))))-((P129)*(IF((YEAR(D129)+14)&lt;YEAR(E129),0,IF((YEAR(D129)+14)&gt;YEAR(E129),1,(12-MONTH(E129)+1)/12))) + (R129)*(IF((YEAR(D129)+14)&lt;YEAR(E129),0,IF((YEAR(D129)+14)&gt;YEAR(E129),1,(12-MONTH(E129)+1)/12))))-(IF((((K129)*(IF(M129="",L129,IFERROR(IF(INDEX(Variablen!$I:$AT, MATCH(M129, Variablen!$A:$A, 0), MATCH((YEAR(D129)+14), Variablen!$I$3:$AT$3, 0))="",L129,INDEX(Variablen!$I:$AT, MATCH(M129, Variablen!$A:$A, 0), MATCH((YEAR(D129)+14), Variablen!$I$3:$AT$3, 0))),L129)))*(IF((YEAR(D129)+14)&lt;YEAR(E129),0,IF((YEAR(D129)+14)&gt;YEAR(E129),1,(12-MONTH(E129)+1)/12))) + (Q129)*(IF((YEAR(D129)+14)&lt;YEAR(E129),0,IF((YEAR(D129)+14)&gt;YEAR(E129),1,(12-MONTH(E129)+1)/12))))-((P129)*(IF((YEAR(D129)+14)&lt;YEAR(E129),0,IF((YEAR(D129)+14)&gt;YEAR(E129),1,(12-MONTH(E129)+1)/12))) + (R129)*(IF((YEAR(D129)+14)&lt;YEAR(E129),0,IF((YEAR(D129)+14)&gt;YEAR(E129),1,(12-MONTH(E129)+1)/12))))-(IF(OR(N129="",N129&lt;=0),0,(O129/N129)*(IF(OR(N129="",N129&lt;=0),0,IF((YEAR(D129)+14)&lt;YEAR(E129),0,IF((YEAR(D129)+14)&gt;=YEAR(E129)+N129,0,IF((YEAR(D129)+14)=YEAR(E129),(12-MONTH(E129)+1)/12,1))))))))&gt;0,(((K129)*(IF(M129="",L129,IFERROR(IF(INDEX(Variablen!$I:$AT, MATCH(M129, Variablen!$A:$A, 0), MATCH((YEAR(D129)+14), Variablen!$I$3:$AT$3, 0))="",L129,INDEX(Variablen!$I:$AT, MATCH(M129, Variablen!$A:$A, 0), MATCH((YEAR(D129)+14), Variablen!$I$3:$AT$3, 0))),L129)))*(IF((YEAR(D129)+14)&lt;YEAR(E129),0,IF((YEAR(D129)+14)&gt;YEAR(E129),1,(12-MONTH(E129)+1)/12))) + (Q129)*(IF((YEAR(D129)+14)&lt;YEAR(E129),0,IF((YEAR(D129)+14)&gt;YEAR(E129),1,(12-MONTH(E129)+1)/12))))-((P129)*(IF((YEAR(D129)+14)&lt;YEAR(E129),0,IF((YEAR(D129)+14)&gt;YEAR(E129),1,(12-MONTH(E129)+1)/12))) + (R129)*(IF((YEAR(D129)+14)&lt;YEAR(E129),0,IF((YEAR(D129)+14)&gt;YEAR(E129),1,(12-MONTH(E129)+1)/12))))-(IF(OR(N129="",N129&lt;=0),0,(O129/N129)*(IF(OR(N129="",N129&lt;=0),0,IF((YEAR(D129)+14)&lt;YEAR(E129),0,IF((YEAR(D129)+14)&gt;=YEAR(E129)+N129,0,IF((YEAR(D129)+14)=YEAR(E129),(12-MONTH(E129)+1)/12,1))))))))*TaxRate,0))-IF(14=0,O129,0))</f>
        <v/>
      </c>
      <c r="AH129" s="29">
        <f>IF(A129="","",((K129)*(IF(M129="",L129,IFERROR(IF(INDEX(Variablen!$I:$AT, MATCH(M129, Variablen!$A:$A, 0), MATCH((YEAR(D129)+15), Variablen!$I$3:$AT$3, 0))="",L129,INDEX(Variablen!$I:$AT, MATCH(M129, Variablen!$A:$A, 0), MATCH((YEAR(D129)+15), Variablen!$I$3:$AT$3, 0))),L129)))*(IF((YEAR(D129)+15)&lt;YEAR(E129),0,IF((YEAR(D129)+15)&gt;YEAR(E129),1,(12-MONTH(E129)+1)/12))) + (Q129)*(IF((YEAR(D129)+15)&lt;YEAR(E129),0,IF((YEAR(D129)+15)&gt;YEAR(E129),1,(12-MONTH(E129)+1)/12))))-((P129)*(IF((YEAR(D129)+15)&lt;YEAR(E129),0,IF((YEAR(D129)+15)&gt;YEAR(E129),1,(12-MONTH(E129)+1)/12))) + (R129)*(IF((YEAR(D129)+15)&lt;YEAR(E129),0,IF((YEAR(D129)+15)&gt;YEAR(E129),1,(12-MONTH(E129)+1)/12))))-(IF((((K129)*(IF(M129="",L129,IFERROR(IF(INDEX(Variablen!$I:$AT, MATCH(M129, Variablen!$A:$A, 0), MATCH((YEAR(D129)+15), Variablen!$I$3:$AT$3, 0))="",L129,INDEX(Variablen!$I:$AT, MATCH(M129, Variablen!$A:$A, 0), MATCH((YEAR(D129)+15), Variablen!$I$3:$AT$3, 0))),L129)))*(IF((YEAR(D129)+15)&lt;YEAR(E129),0,IF((YEAR(D129)+15)&gt;YEAR(E129),1,(12-MONTH(E129)+1)/12))) + (Q129)*(IF((YEAR(D129)+15)&lt;YEAR(E129),0,IF((YEAR(D129)+15)&gt;YEAR(E129),1,(12-MONTH(E129)+1)/12))))-((P129)*(IF((YEAR(D129)+15)&lt;YEAR(E129),0,IF((YEAR(D129)+15)&gt;YEAR(E129),1,(12-MONTH(E129)+1)/12))) + (R129)*(IF((YEAR(D129)+15)&lt;YEAR(E129),0,IF((YEAR(D129)+15)&gt;YEAR(E129),1,(12-MONTH(E129)+1)/12))))-(IF(OR(N129="",N129&lt;=0),0,(O129/N129)*(IF(OR(N129="",N129&lt;=0),0,IF((YEAR(D129)+15)&lt;YEAR(E129),0,IF((YEAR(D129)+15)&gt;=YEAR(E129)+N129,0,IF((YEAR(D129)+15)=YEAR(E129),(12-MONTH(E129)+1)/12,1))))))))&gt;0,(((K129)*(IF(M129="",L129,IFERROR(IF(INDEX(Variablen!$I:$AT, MATCH(M129, Variablen!$A:$A, 0), MATCH((YEAR(D129)+15), Variablen!$I$3:$AT$3, 0))="",L129,INDEX(Variablen!$I:$AT, MATCH(M129, Variablen!$A:$A, 0), MATCH((YEAR(D129)+15), Variablen!$I$3:$AT$3, 0))),L129)))*(IF((YEAR(D129)+15)&lt;YEAR(E129),0,IF((YEAR(D129)+15)&gt;YEAR(E129),1,(12-MONTH(E129)+1)/12))) + (Q129)*(IF((YEAR(D129)+15)&lt;YEAR(E129),0,IF((YEAR(D129)+15)&gt;YEAR(E129),1,(12-MONTH(E129)+1)/12))))-((P129)*(IF((YEAR(D129)+15)&lt;YEAR(E129),0,IF((YEAR(D129)+15)&gt;YEAR(E129),1,(12-MONTH(E129)+1)/12))) + (R129)*(IF((YEAR(D129)+15)&lt;YEAR(E129),0,IF((YEAR(D129)+15)&gt;YEAR(E129),1,(12-MONTH(E129)+1)/12))))-(IF(OR(N129="",N129&lt;=0),0,(O129/N129)*(IF(OR(N129="",N129&lt;=0),0,IF((YEAR(D129)+15)&lt;YEAR(E129),0,IF((YEAR(D129)+15)&gt;=YEAR(E129)+N129,0,IF((YEAR(D129)+15)=YEAR(E129),(12-MONTH(E129)+1)/12,1))))))))*TaxRate,0))-IF(15=0,O129,0))</f>
        <v/>
      </c>
      <c r="AI129" s="29">
        <f>IF(A129="","",((K129)*(IF(M129="",L129,IFERROR(IF(INDEX(Variablen!$I:$AT, MATCH(M129, Variablen!$A:$A, 0), MATCH((YEAR(D129)+16), Variablen!$I$3:$AT$3, 0))="",L129,INDEX(Variablen!$I:$AT, MATCH(M129, Variablen!$A:$A, 0), MATCH((YEAR(D129)+16), Variablen!$I$3:$AT$3, 0))),L129)))*(IF((YEAR(D129)+16)&lt;YEAR(E129),0,IF((YEAR(D129)+16)&gt;YEAR(E129),1,(12-MONTH(E129)+1)/12))) + (Q129)*(IF((YEAR(D129)+16)&lt;YEAR(E129),0,IF((YEAR(D129)+16)&gt;YEAR(E129),1,(12-MONTH(E129)+1)/12))))-((P129)*(IF((YEAR(D129)+16)&lt;YEAR(E129),0,IF((YEAR(D129)+16)&gt;YEAR(E129),1,(12-MONTH(E129)+1)/12))) + (R129)*(IF((YEAR(D129)+16)&lt;YEAR(E129),0,IF((YEAR(D129)+16)&gt;YEAR(E129),1,(12-MONTH(E129)+1)/12))))-(IF((((K129)*(IF(M129="",L129,IFERROR(IF(INDEX(Variablen!$I:$AT, MATCH(M129, Variablen!$A:$A, 0), MATCH((YEAR(D129)+16), Variablen!$I$3:$AT$3, 0))="",L129,INDEX(Variablen!$I:$AT, MATCH(M129, Variablen!$A:$A, 0), MATCH((YEAR(D129)+16), Variablen!$I$3:$AT$3, 0))),L129)))*(IF((YEAR(D129)+16)&lt;YEAR(E129),0,IF((YEAR(D129)+16)&gt;YEAR(E129),1,(12-MONTH(E129)+1)/12))) + (Q129)*(IF((YEAR(D129)+16)&lt;YEAR(E129),0,IF((YEAR(D129)+16)&gt;YEAR(E129),1,(12-MONTH(E129)+1)/12))))-((P129)*(IF((YEAR(D129)+16)&lt;YEAR(E129),0,IF((YEAR(D129)+16)&gt;YEAR(E129),1,(12-MONTH(E129)+1)/12))) + (R129)*(IF((YEAR(D129)+16)&lt;YEAR(E129),0,IF((YEAR(D129)+16)&gt;YEAR(E129),1,(12-MONTH(E129)+1)/12))))-(IF(OR(N129="",N129&lt;=0),0,(O129/N129)*(IF(OR(N129="",N129&lt;=0),0,IF((YEAR(D129)+16)&lt;YEAR(E129),0,IF((YEAR(D129)+16)&gt;=YEAR(E129)+N129,0,IF((YEAR(D129)+16)=YEAR(E129),(12-MONTH(E129)+1)/12,1))))))))&gt;0,(((K129)*(IF(M129="",L129,IFERROR(IF(INDEX(Variablen!$I:$AT, MATCH(M129, Variablen!$A:$A, 0), MATCH((YEAR(D129)+16), Variablen!$I$3:$AT$3, 0))="",L129,INDEX(Variablen!$I:$AT, MATCH(M129, Variablen!$A:$A, 0), MATCH((YEAR(D129)+16), Variablen!$I$3:$AT$3, 0))),L129)))*(IF((YEAR(D129)+16)&lt;YEAR(E129),0,IF((YEAR(D129)+16)&gt;YEAR(E129),1,(12-MONTH(E129)+1)/12))) + (Q129)*(IF((YEAR(D129)+16)&lt;YEAR(E129),0,IF((YEAR(D129)+16)&gt;YEAR(E129),1,(12-MONTH(E129)+1)/12))))-((P129)*(IF((YEAR(D129)+16)&lt;YEAR(E129),0,IF((YEAR(D129)+16)&gt;YEAR(E129),1,(12-MONTH(E129)+1)/12))) + (R129)*(IF((YEAR(D129)+16)&lt;YEAR(E129),0,IF((YEAR(D129)+16)&gt;YEAR(E129),1,(12-MONTH(E129)+1)/12))))-(IF(OR(N129="",N129&lt;=0),0,(O129/N129)*(IF(OR(N129="",N129&lt;=0),0,IF((YEAR(D129)+16)&lt;YEAR(E129),0,IF((YEAR(D129)+16)&gt;=YEAR(E129)+N129,0,IF((YEAR(D129)+16)=YEAR(E129),(12-MONTH(E129)+1)/12,1))))))))*TaxRate,0))-IF(16=0,O129,0))</f>
        <v/>
      </c>
      <c r="AJ129" s="29">
        <f>IF(A129="","",((K129)*(IF(M129="",L129,IFERROR(IF(INDEX(Variablen!$I:$AT, MATCH(M129, Variablen!$A:$A, 0), MATCH((YEAR(D129)+17), Variablen!$I$3:$AT$3, 0))="",L129,INDEX(Variablen!$I:$AT, MATCH(M129, Variablen!$A:$A, 0), MATCH((YEAR(D129)+17), Variablen!$I$3:$AT$3, 0))),L129)))*(IF((YEAR(D129)+17)&lt;YEAR(E129),0,IF((YEAR(D129)+17)&gt;YEAR(E129),1,(12-MONTH(E129)+1)/12))) + (Q129)*(IF((YEAR(D129)+17)&lt;YEAR(E129),0,IF((YEAR(D129)+17)&gt;YEAR(E129),1,(12-MONTH(E129)+1)/12))))-((P129)*(IF((YEAR(D129)+17)&lt;YEAR(E129),0,IF((YEAR(D129)+17)&gt;YEAR(E129),1,(12-MONTH(E129)+1)/12))) + (R129)*(IF((YEAR(D129)+17)&lt;YEAR(E129),0,IF((YEAR(D129)+17)&gt;YEAR(E129),1,(12-MONTH(E129)+1)/12))))-(IF((((K129)*(IF(M129="",L129,IFERROR(IF(INDEX(Variablen!$I:$AT, MATCH(M129, Variablen!$A:$A, 0), MATCH((YEAR(D129)+17), Variablen!$I$3:$AT$3, 0))="",L129,INDEX(Variablen!$I:$AT, MATCH(M129, Variablen!$A:$A, 0), MATCH((YEAR(D129)+17), Variablen!$I$3:$AT$3, 0))),L129)))*(IF((YEAR(D129)+17)&lt;YEAR(E129),0,IF((YEAR(D129)+17)&gt;YEAR(E129),1,(12-MONTH(E129)+1)/12))) + (Q129)*(IF((YEAR(D129)+17)&lt;YEAR(E129),0,IF((YEAR(D129)+17)&gt;YEAR(E129),1,(12-MONTH(E129)+1)/12))))-((P129)*(IF((YEAR(D129)+17)&lt;YEAR(E129),0,IF((YEAR(D129)+17)&gt;YEAR(E129),1,(12-MONTH(E129)+1)/12))) + (R129)*(IF((YEAR(D129)+17)&lt;YEAR(E129),0,IF((YEAR(D129)+17)&gt;YEAR(E129),1,(12-MONTH(E129)+1)/12))))-(IF(OR(N129="",N129&lt;=0),0,(O129/N129)*(IF(OR(N129="",N129&lt;=0),0,IF((YEAR(D129)+17)&lt;YEAR(E129),0,IF((YEAR(D129)+17)&gt;=YEAR(E129)+N129,0,IF((YEAR(D129)+17)=YEAR(E129),(12-MONTH(E129)+1)/12,1))))))))&gt;0,(((K129)*(IF(M129="",L129,IFERROR(IF(INDEX(Variablen!$I:$AT, MATCH(M129, Variablen!$A:$A, 0), MATCH((YEAR(D129)+17), Variablen!$I$3:$AT$3, 0))="",L129,INDEX(Variablen!$I:$AT, MATCH(M129, Variablen!$A:$A, 0), MATCH((YEAR(D129)+17), Variablen!$I$3:$AT$3, 0))),L129)))*(IF((YEAR(D129)+17)&lt;YEAR(E129),0,IF((YEAR(D129)+17)&gt;YEAR(E129),1,(12-MONTH(E129)+1)/12))) + (Q129)*(IF((YEAR(D129)+17)&lt;YEAR(E129),0,IF((YEAR(D129)+17)&gt;YEAR(E129),1,(12-MONTH(E129)+1)/12))))-((P129)*(IF((YEAR(D129)+17)&lt;YEAR(E129),0,IF((YEAR(D129)+17)&gt;YEAR(E129),1,(12-MONTH(E129)+1)/12))) + (R129)*(IF((YEAR(D129)+17)&lt;YEAR(E129),0,IF((YEAR(D129)+17)&gt;YEAR(E129),1,(12-MONTH(E129)+1)/12))))-(IF(OR(N129="",N129&lt;=0),0,(O129/N129)*(IF(OR(N129="",N129&lt;=0),0,IF((YEAR(D129)+17)&lt;YEAR(E129),0,IF((YEAR(D129)+17)&gt;=YEAR(E129)+N129,0,IF((YEAR(D129)+17)=YEAR(E129),(12-MONTH(E129)+1)/12,1))))))))*TaxRate,0))-IF(17=0,O129,0))</f>
        <v/>
      </c>
      <c r="AK129" s="29">
        <f>IF(A129="","",((K129)*(IF(M129="",L129,IFERROR(IF(INDEX(Variablen!$I:$AT, MATCH(M129, Variablen!$A:$A, 0), MATCH((YEAR(D129)+18), Variablen!$I$3:$AT$3, 0))="",L129,INDEX(Variablen!$I:$AT, MATCH(M129, Variablen!$A:$A, 0), MATCH((YEAR(D129)+18), Variablen!$I$3:$AT$3, 0))),L129)))*(IF((YEAR(D129)+18)&lt;YEAR(E129),0,IF((YEAR(D129)+18)&gt;YEAR(E129),1,(12-MONTH(E129)+1)/12))) + (Q129)*(IF((YEAR(D129)+18)&lt;YEAR(E129),0,IF((YEAR(D129)+18)&gt;YEAR(E129),1,(12-MONTH(E129)+1)/12))))-((P129)*(IF((YEAR(D129)+18)&lt;YEAR(E129),0,IF((YEAR(D129)+18)&gt;YEAR(E129),1,(12-MONTH(E129)+1)/12))) + (R129)*(IF((YEAR(D129)+18)&lt;YEAR(E129),0,IF((YEAR(D129)+18)&gt;YEAR(E129),1,(12-MONTH(E129)+1)/12))))-(IF((((K129)*(IF(M129="",L129,IFERROR(IF(INDEX(Variablen!$I:$AT, MATCH(M129, Variablen!$A:$A, 0), MATCH((YEAR(D129)+18), Variablen!$I$3:$AT$3, 0))="",L129,INDEX(Variablen!$I:$AT, MATCH(M129, Variablen!$A:$A, 0), MATCH((YEAR(D129)+18), Variablen!$I$3:$AT$3, 0))),L129)))*(IF((YEAR(D129)+18)&lt;YEAR(E129),0,IF((YEAR(D129)+18)&gt;YEAR(E129),1,(12-MONTH(E129)+1)/12))) + (Q129)*(IF((YEAR(D129)+18)&lt;YEAR(E129),0,IF((YEAR(D129)+18)&gt;YEAR(E129),1,(12-MONTH(E129)+1)/12))))-((P129)*(IF((YEAR(D129)+18)&lt;YEAR(E129),0,IF((YEAR(D129)+18)&gt;YEAR(E129),1,(12-MONTH(E129)+1)/12))) + (R129)*(IF((YEAR(D129)+18)&lt;YEAR(E129),0,IF((YEAR(D129)+18)&gt;YEAR(E129),1,(12-MONTH(E129)+1)/12))))-(IF(OR(N129="",N129&lt;=0),0,(O129/N129)*(IF(OR(N129="",N129&lt;=0),0,IF((YEAR(D129)+18)&lt;YEAR(E129),0,IF((YEAR(D129)+18)&gt;=YEAR(E129)+N129,0,IF((YEAR(D129)+18)=YEAR(E129),(12-MONTH(E129)+1)/12,1))))))))&gt;0,(((K129)*(IF(M129="",L129,IFERROR(IF(INDEX(Variablen!$I:$AT, MATCH(M129, Variablen!$A:$A, 0), MATCH((YEAR(D129)+18), Variablen!$I$3:$AT$3, 0))="",L129,INDEX(Variablen!$I:$AT, MATCH(M129, Variablen!$A:$A, 0), MATCH((YEAR(D129)+18), Variablen!$I$3:$AT$3, 0))),L129)))*(IF((YEAR(D129)+18)&lt;YEAR(E129),0,IF((YEAR(D129)+18)&gt;YEAR(E129),1,(12-MONTH(E129)+1)/12))) + (Q129)*(IF((YEAR(D129)+18)&lt;YEAR(E129),0,IF((YEAR(D129)+18)&gt;YEAR(E129),1,(12-MONTH(E129)+1)/12))))-((P129)*(IF((YEAR(D129)+18)&lt;YEAR(E129),0,IF((YEAR(D129)+18)&gt;YEAR(E129),1,(12-MONTH(E129)+1)/12))) + (R129)*(IF((YEAR(D129)+18)&lt;YEAR(E129),0,IF((YEAR(D129)+18)&gt;YEAR(E129),1,(12-MONTH(E129)+1)/12))))-(IF(OR(N129="",N129&lt;=0),0,(O129/N129)*(IF(OR(N129="",N129&lt;=0),0,IF((YEAR(D129)+18)&lt;YEAR(E129),0,IF((YEAR(D129)+18)&gt;=YEAR(E129)+N129,0,IF((YEAR(D129)+18)=YEAR(E129),(12-MONTH(E129)+1)/12,1))))))))*TaxRate,0))-IF(18=0,O129,0))</f>
        <v/>
      </c>
      <c r="AL129" s="29">
        <f>IF(A129="","",((K129)*(IF(M129="",L129,IFERROR(IF(INDEX(Variablen!$I:$AT, MATCH(M129, Variablen!$A:$A, 0), MATCH((YEAR(D129)+19), Variablen!$I$3:$AT$3, 0))="",L129,INDEX(Variablen!$I:$AT, MATCH(M129, Variablen!$A:$A, 0), MATCH((YEAR(D129)+19), Variablen!$I$3:$AT$3, 0))),L129)))*(IF((YEAR(D129)+19)&lt;YEAR(E129),0,IF((YEAR(D129)+19)&gt;YEAR(E129),1,(12-MONTH(E129)+1)/12))) + (Q129)*(IF((YEAR(D129)+19)&lt;YEAR(E129),0,IF((YEAR(D129)+19)&gt;YEAR(E129),1,(12-MONTH(E129)+1)/12))))-((P129)*(IF((YEAR(D129)+19)&lt;YEAR(E129),0,IF((YEAR(D129)+19)&gt;YEAR(E129),1,(12-MONTH(E129)+1)/12))) + (R129)*(IF((YEAR(D129)+19)&lt;YEAR(E129),0,IF((YEAR(D129)+19)&gt;YEAR(E129),1,(12-MONTH(E129)+1)/12))))-(IF((((K129)*(IF(M129="",L129,IFERROR(IF(INDEX(Variablen!$I:$AT, MATCH(M129, Variablen!$A:$A, 0), MATCH((YEAR(D129)+19), Variablen!$I$3:$AT$3, 0))="",L129,INDEX(Variablen!$I:$AT, MATCH(M129, Variablen!$A:$A, 0), MATCH((YEAR(D129)+19), Variablen!$I$3:$AT$3, 0))),L129)))*(IF((YEAR(D129)+19)&lt;YEAR(E129),0,IF((YEAR(D129)+19)&gt;YEAR(E129),1,(12-MONTH(E129)+1)/12))) + (Q129)*(IF((YEAR(D129)+19)&lt;YEAR(E129),0,IF((YEAR(D129)+19)&gt;YEAR(E129),1,(12-MONTH(E129)+1)/12))))-((P129)*(IF((YEAR(D129)+19)&lt;YEAR(E129),0,IF((YEAR(D129)+19)&gt;YEAR(E129),1,(12-MONTH(E129)+1)/12))) + (R129)*(IF((YEAR(D129)+19)&lt;YEAR(E129),0,IF((YEAR(D129)+19)&gt;YEAR(E129),1,(12-MONTH(E129)+1)/12))))-(IF(OR(N129="",N129&lt;=0),0,(O129/N129)*(IF(OR(N129="",N129&lt;=0),0,IF((YEAR(D129)+19)&lt;YEAR(E129),0,IF((YEAR(D129)+19)&gt;=YEAR(E129)+N129,0,IF((YEAR(D129)+19)=YEAR(E129),(12-MONTH(E129)+1)/12,1))))))))&gt;0,(((K129)*(IF(M129="",L129,IFERROR(IF(INDEX(Variablen!$I:$AT, MATCH(M129, Variablen!$A:$A, 0), MATCH((YEAR(D129)+19), Variablen!$I$3:$AT$3, 0))="",L129,INDEX(Variablen!$I:$AT, MATCH(M129, Variablen!$A:$A, 0), MATCH((YEAR(D129)+19), Variablen!$I$3:$AT$3, 0))),L129)))*(IF((YEAR(D129)+19)&lt;YEAR(E129),0,IF((YEAR(D129)+19)&gt;YEAR(E129),1,(12-MONTH(E129)+1)/12))) + (Q129)*(IF((YEAR(D129)+19)&lt;YEAR(E129),0,IF((YEAR(D129)+19)&gt;YEAR(E129),1,(12-MONTH(E129)+1)/12))))-((P129)*(IF((YEAR(D129)+19)&lt;YEAR(E129),0,IF((YEAR(D129)+19)&gt;YEAR(E129),1,(12-MONTH(E129)+1)/12))) + (R129)*(IF((YEAR(D129)+19)&lt;YEAR(E129),0,IF((YEAR(D129)+19)&gt;YEAR(E129),1,(12-MONTH(E129)+1)/12))))-(IF(OR(N129="",N129&lt;=0),0,(O129/N129)*(IF(OR(N129="",N129&lt;=0),0,IF((YEAR(D129)+19)&lt;YEAR(E129),0,IF((YEAR(D129)+19)&gt;=YEAR(E129)+N129,0,IF((YEAR(D129)+19)=YEAR(E129),(12-MONTH(E129)+1)/12,1))))))))*TaxRate,0))-IF(19=0,O129,0))</f>
        <v/>
      </c>
      <c r="AM129" s="29">
        <f>IF(A129="","",((K129)*(IF(M129="",L129,IFERROR(IF(INDEX(Variablen!$I:$AT, MATCH(M129, Variablen!$A:$A, 0), MATCH((YEAR(D129)+20), Variablen!$I$3:$AT$3, 0))="",L129,INDEX(Variablen!$I:$AT, MATCH(M129, Variablen!$A:$A, 0), MATCH((YEAR(D129)+20), Variablen!$I$3:$AT$3, 0))),L129)))*(IF((YEAR(D129)+20)&lt;YEAR(E129),0,IF((YEAR(D129)+20)&gt;YEAR(E129),1,(12-MONTH(E129)+1)/12))) + (Q129)*(IF((YEAR(D129)+20)&lt;YEAR(E129),0,IF((YEAR(D129)+20)&gt;YEAR(E129),1,(12-MONTH(E129)+1)/12))))-((P129)*(IF((YEAR(D129)+20)&lt;YEAR(E129),0,IF((YEAR(D129)+20)&gt;YEAR(E129),1,(12-MONTH(E129)+1)/12))) + (R129)*(IF((YEAR(D129)+20)&lt;YEAR(E129),0,IF((YEAR(D129)+20)&gt;YEAR(E129),1,(12-MONTH(E129)+1)/12))))-(IF((((K129)*(IF(M129="",L129,IFERROR(IF(INDEX(Variablen!$I:$AT, MATCH(M129, Variablen!$A:$A, 0), MATCH((YEAR(D129)+20), Variablen!$I$3:$AT$3, 0))="",L129,INDEX(Variablen!$I:$AT, MATCH(M129, Variablen!$A:$A, 0), MATCH((YEAR(D129)+20), Variablen!$I$3:$AT$3, 0))),L129)))*(IF((YEAR(D129)+20)&lt;YEAR(E129),0,IF((YEAR(D129)+20)&gt;YEAR(E129),1,(12-MONTH(E129)+1)/12))) + (Q129)*(IF((YEAR(D129)+20)&lt;YEAR(E129),0,IF((YEAR(D129)+20)&gt;YEAR(E129),1,(12-MONTH(E129)+1)/12))))-((P129)*(IF((YEAR(D129)+20)&lt;YEAR(E129),0,IF((YEAR(D129)+20)&gt;YEAR(E129),1,(12-MONTH(E129)+1)/12))) + (R129)*(IF((YEAR(D129)+20)&lt;YEAR(E129),0,IF((YEAR(D129)+20)&gt;YEAR(E129),1,(12-MONTH(E129)+1)/12))))-(IF(OR(N129="",N129&lt;=0),0,(O129/N129)*(IF(OR(N129="",N129&lt;=0),0,IF((YEAR(D129)+20)&lt;YEAR(E129),0,IF((YEAR(D129)+20)&gt;=YEAR(E129)+N129,0,IF((YEAR(D129)+20)=YEAR(E129),(12-MONTH(E129)+1)/12,1))))))))&gt;0,(((K129)*(IF(M129="",L129,IFERROR(IF(INDEX(Variablen!$I:$AT, MATCH(M129, Variablen!$A:$A, 0), MATCH((YEAR(D129)+20), Variablen!$I$3:$AT$3, 0))="",L129,INDEX(Variablen!$I:$AT, MATCH(M129, Variablen!$A:$A, 0), MATCH((YEAR(D129)+20), Variablen!$I$3:$AT$3, 0))),L129)))*(IF((YEAR(D129)+20)&lt;YEAR(E129),0,IF((YEAR(D129)+20)&gt;YEAR(E129),1,(12-MONTH(E129)+1)/12))) + (Q129)*(IF((YEAR(D129)+20)&lt;YEAR(E129),0,IF((YEAR(D129)+20)&gt;YEAR(E129),1,(12-MONTH(E129)+1)/12))))-((P129)*(IF((YEAR(D129)+20)&lt;YEAR(E129),0,IF((YEAR(D129)+20)&gt;YEAR(E129),1,(12-MONTH(E129)+1)/12))) + (R129)*(IF((YEAR(D129)+20)&lt;YEAR(E129),0,IF((YEAR(D129)+20)&gt;YEAR(E129),1,(12-MONTH(E129)+1)/12))))-(IF(OR(N129="",N129&lt;=0),0,(O129/N129)*(IF(OR(N129="",N129&lt;=0),0,IF((YEAR(D129)+20)&lt;YEAR(E129),0,IF((YEAR(D129)+20)&gt;=YEAR(E129)+N129,0,IF((YEAR(D129)+20)=YEAR(E129),(12-MONTH(E129)+1)/12,1))))))))*TaxRate,0))-IF(20=0,O129,0))</f>
        <v/>
      </c>
      <c r="AN129" s="29">
        <f>IF(A129="","",S129)</f>
        <v/>
      </c>
      <c r="AO129" s="29">
        <f>IF(A129="","",AN129+T129)</f>
        <v/>
      </c>
      <c r="AP129" s="29">
        <f>IF(A129="","",AO129+U129)</f>
        <v/>
      </c>
      <c r="AQ129" s="29">
        <f>IF(A129="","",AP129+V129)</f>
        <v/>
      </c>
      <c r="AR129" s="29">
        <f>IF(A129="","",AQ129+W129)</f>
        <v/>
      </c>
      <c r="AS129" s="29">
        <f>IF(A129="","",AR129+X129)</f>
        <v/>
      </c>
      <c r="AT129" s="29">
        <f>IF(A129="","",AS129+Y129)</f>
        <v/>
      </c>
      <c r="AU129" s="29">
        <f>IF(A129="","",AT129+Z129)</f>
        <v/>
      </c>
      <c r="AV129" s="29">
        <f>IF(A129="","",AU129+AA129)</f>
        <v/>
      </c>
      <c r="AW129" s="29">
        <f>IF(A129="","",AV129+AB129)</f>
        <v/>
      </c>
      <c r="AX129" s="29">
        <f>IF(A129="","",AW129+AC129)</f>
        <v/>
      </c>
      <c r="AY129" s="29">
        <f>IF(A129="","",AX129+AD129)</f>
        <v/>
      </c>
      <c r="AZ129" s="29">
        <f>IF(A129="","",AY129+AE129)</f>
        <v/>
      </c>
      <c r="BA129" s="29">
        <f>IF(A129="","",AZ129+AF129)</f>
        <v/>
      </c>
      <c r="BB129" s="29">
        <f>IF(A129="","",BA129+AG129)</f>
        <v/>
      </c>
      <c r="BC129" s="29">
        <f>IF(A129="","",BB129+AH129)</f>
        <v/>
      </c>
      <c r="BD129" s="29">
        <f>IF(A129="","",BC129+AI129)</f>
        <v/>
      </c>
      <c r="BE129" s="29">
        <f>IF(A129="","",BD129+AJ129)</f>
        <v/>
      </c>
      <c r="BF129" s="29">
        <f>IF(A129="","",BE129+AK129)</f>
        <v/>
      </c>
      <c r="BG129" s="29">
        <f>IF(A129="","",BF129+AL129)</f>
        <v/>
      </c>
      <c r="BH129" s="29">
        <f>IF(A129="","",BG129+AM129)</f>
        <v/>
      </c>
      <c r="BI129" s="36">
        <f>IF(A129="","",(K129)*(IF((YEAR(D129)+0)&lt;YEAR(E129),0,IF((YEAR(D129)+0)&gt;YEAR(E129),1,(12-MONTH(E129)+1)/12)))*(1/(1+DiscountRate)^0))</f>
        <v/>
      </c>
      <c r="BJ129" s="36">
        <f>IF(A129="","",(K129)*(IF((YEAR(D129)+1)&lt;YEAR(E129),0,IF((YEAR(D129)+1)&gt;YEAR(E129),1,(12-MONTH(E129)+1)/12)))*(1/(1+DiscountRate)^1))</f>
        <v/>
      </c>
      <c r="BK129" s="36">
        <f>IF(A129="","",(K129)*(IF((YEAR(D129)+2)&lt;YEAR(E129),0,IF((YEAR(D129)+2)&gt;YEAR(E129),1,(12-MONTH(E129)+1)/12)))*(1/(1+DiscountRate)^2))</f>
        <v/>
      </c>
      <c r="BL129" s="36">
        <f>IF(A129="","",(K129)*(IF((YEAR(D129)+3)&lt;YEAR(E129),0,IF((YEAR(D129)+3)&gt;YEAR(E129),1,(12-MONTH(E129)+1)/12)))*(1/(1+DiscountRate)^3))</f>
        <v/>
      </c>
      <c r="BM129" s="36">
        <f>IF(A129="","",(K129)*(IF((YEAR(D129)+4)&lt;YEAR(E129),0,IF((YEAR(D129)+4)&gt;YEAR(E129),1,(12-MONTH(E129)+1)/12)))*(1/(1+DiscountRate)^4))</f>
        <v/>
      </c>
      <c r="BN129" s="36">
        <f>IF(A129="","",(K129)*(IF((YEAR(D129)+5)&lt;YEAR(E129),0,IF((YEAR(D129)+5)&gt;YEAR(E129),1,(12-MONTH(E129)+1)/12)))*(1/(1+DiscountRate)^5))</f>
        <v/>
      </c>
      <c r="BO129" s="36">
        <f>IF(A129="","",(K129)*(IF((YEAR(D129)+6)&lt;YEAR(E129),0,IF((YEAR(D129)+6)&gt;YEAR(E129),1,(12-MONTH(E129)+1)/12)))*(1/(1+DiscountRate)^6))</f>
        <v/>
      </c>
      <c r="BP129" s="36">
        <f>IF(A129="","",(K129)*(IF((YEAR(D129)+7)&lt;YEAR(E129),0,IF((YEAR(D129)+7)&gt;YEAR(E129),1,(12-MONTH(E129)+1)/12)))*(1/(1+DiscountRate)^7))</f>
        <v/>
      </c>
      <c r="BQ129" s="36">
        <f>IF(A129="","",(K129)*(IF((YEAR(D129)+8)&lt;YEAR(E129),0,IF((YEAR(D129)+8)&gt;YEAR(E129),1,(12-MONTH(E129)+1)/12)))*(1/(1+DiscountRate)^8))</f>
        <v/>
      </c>
      <c r="BR129" s="36">
        <f>IF(A129="","",(K129)*(IF((YEAR(D129)+9)&lt;YEAR(E129),0,IF((YEAR(D129)+9)&gt;YEAR(E129),1,(12-MONTH(E129)+1)/12)))*(1/(1+DiscountRate)^9))</f>
        <v/>
      </c>
      <c r="BS129" s="36">
        <f>IF(A129="","",(K129)*(IF((YEAR(D129)+10)&lt;YEAR(E129),0,IF((YEAR(D129)+10)&gt;YEAR(E129),1,(12-MONTH(E129)+1)/12)))*(1/(1+DiscountRate)^10))</f>
        <v/>
      </c>
      <c r="BT129" s="36">
        <f>IF(A129="","",(K129)*(IF((YEAR(D129)+11)&lt;YEAR(E129),0,IF((YEAR(D129)+11)&gt;YEAR(E129),1,(12-MONTH(E129)+1)/12)))*(1/(1+DiscountRate)^11))</f>
        <v/>
      </c>
      <c r="BU129" s="36">
        <f>IF(A129="","",(K129)*(IF((YEAR(D129)+12)&lt;YEAR(E129),0,IF((YEAR(D129)+12)&gt;YEAR(E129),1,(12-MONTH(E129)+1)/12)))*(1/(1+DiscountRate)^12))</f>
        <v/>
      </c>
      <c r="BV129" s="36">
        <f>IF(A129="","",(K129)*(IF((YEAR(D129)+13)&lt;YEAR(E129),0,IF((YEAR(D129)+13)&gt;YEAR(E129),1,(12-MONTH(E129)+1)/12)))*(1/(1+DiscountRate)^13))</f>
        <v/>
      </c>
      <c r="BW129" s="36">
        <f>IF(A129="","",(K129)*(IF((YEAR(D129)+14)&lt;YEAR(E129),0,IF((YEAR(D129)+14)&gt;YEAR(E129),1,(12-MONTH(E129)+1)/12)))*(1/(1+DiscountRate)^14))</f>
        <v/>
      </c>
      <c r="BX129" s="36">
        <f>IF(A129="","",(K129)*(IF((YEAR(D129)+15)&lt;YEAR(E129),0,IF((YEAR(D129)+15)&gt;YEAR(E129),1,(12-MONTH(E129)+1)/12)))*(1/(1+DiscountRate)^15))</f>
        <v/>
      </c>
      <c r="BY129" s="36">
        <f>IF(A129="","",(K129)*(IF((YEAR(D129)+16)&lt;YEAR(E129),0,IF((YEAR(D129)+16)&gt;YEAR(E129),1,(12-MONTH(E129)+1)/12)))*(1/(1+DiscountRate)^16))</f>
        <v/>
      </c>
      <c r="BZ129" s="36">
        <f>IF(A129="","",(K129)*(IF((YEAR(D129)+17)&lt;YEAR(E129),0,IF((YEAR(D129)+17)&gt;YEAR(E129),1,(12-MONTH(E129)+1)/12)))*(1/(1+DiscountRate)^17))</f>
        <v/>
      </c>
      <c r="CA129" s="36">
        <f>IF(A129="","",(K129)*(IF((YEAR(D129)+18)&lt;YEAR(E129),0,IF((YEAR(D129)+18)&gt;YEAR(E129),1,(12-MONTH(E129)+1)/12)))*(1/(1+DiscountRate)^18))</f>
        <v/>
      </c>
      <c r="CB129" s="36">
        <f>IF(A129="","",(K129)*(IF((YEAR(D129)+19)&lt;YEAR(E129),0,IF((YEAR(D129)+19)&gt;YEAR(E129),1,(12-MONTH(E129)+1)/12)))*(1/(1+DiscountRate)^19))</f>
        <v/>
      </c>
      <c r="CC129" s="36">
        <f>IF(A129="","",(K129)*(IF((YEAR(D129)+20)&lt;YEAR(E129),0,IF((YEAR(D129)+20)&gt;YEAR(E129),1,(12-MONTH(E129)+1)/12)))*(1/(1+DiscountRate)^20))</f>
        <v/>
      </c>
      <c r="CD129" s="29">
        <f>IF(A129="","",S129/(1+DiscountRate)^0+T129/(1+DiscountRate)^1+U129/(1+DiscountRate)^2+V129/(1+DiscountRate)^3+W129/(1+DiscountRate)^4+X129/(1+DiscountRate)^5+Y129/(1+DiscountRate)^6+Z129/(1+DiscountRate)^7+AA129/(1+DiscountRate)^8+AB129/(1+DiscountRate)^9+AC129/(1+DiscountRate)^10+AD129/(1+DiscountRate)^11+AE129/(1+DiscountRate)^12+AF129/(1+DiscountRate)^13+AG129/(1+DiscountRate)^14+AH129/(1+DiscountRate)^15+AI129/(1+DiscountRate)^16+AJ129/(1+DiscountRate)^17+AK129/(1+DiscountRate)^18+AL129/(1+DiscountRate)^19+AM129/(1+DiscountRate)^20)</f>
        <v/>
      </c>
      <c r="CE129" s="37">
        <f>IF(A129="","",IFERROR(IRR(OFFSET(S129,0,0,1,MIN(HorizonYears,20)+1)),"n/a"))</f>
        <v/>
      </c>
      <c r="CF129" s="28">
        <f>IF(A129="","",IFERROR(MATCH(TRUE,OFFSET(AN129,0,0,1,MIN(HorizonYears,20)+1)&gt;=0,0)-1,"n/a"))</f>
        <v/>
      </c>
      <c r="CG129" s="36">
        <f>IF(A129="","",SUM(OFFSET(BI129,0,0,1,MIN(HorizonYears,20)+1)))</f>
        <v/>
      </c>
      <c r="CH129" s="36">
        <f>IF(A129="","",IFERROR(-CD129/CG129,"n/a"))</f>
        <v/>
      </c>
    </row>
    <row r="130">
      <c r="A130" s="6">
        <f>Actions!A128</f>
        <v/>
      </c>
      <c r="B130" s="6">
        <f>Actions!B128</f>
        <v/>
      </c>
      <c r="C130" s="6">
        <f>Actions!D128</f>
        <v/>
      </c>
      <c r="D130" s="35">
        <f>Actions!E128</f>
        <v/>
      </c>
      <c r="E130" s="35">
        <f>Actions!F128</f>
        <v/>
      </c>
      <c r="F130" s="6">
        <f>Actions!G128</f>
        <v/>
      </c>
      <c r="G130" s="6">
        <f>Actions!H128</f>
        <v/>
      </c>
      <c r="H130" s="29">
        <f>Actions!I128</f>
        <v/>
      </c>
      <c r="I130" s="6">
        <f>Actions!J128</f>
        <v/>
      </c>
      <c r="J130" s="16">
        <f>Actions!K128</f>
        <v/>
      </c>
      <c r="K130" s="16">
        <f>IF(A130="","",IF(I130="%",H130*J130,J130))</f>
        <v/>
      </c>
      <c r="L130" s="16">
        <f>Actions!L128</f>
        <v/>
      </c>
      <c r="M130" s="6">
        <f>Actions!M128</f>
        <v/>
      </c>
      <c r="N130" s="28">
        <f>Actions!N128</f>
        <v/>
      </c>
      <c r="O130" s="29">
        <f>Actions!T128</f>
        <v/>
      </c>
      <c r="P130" s="29">
        <f>Actions!Y128</f>
        <v/>
      </c>
      <c r="Q130" s="29">
        <f>Actions!Z128</f>
        <v/>
      </c>
      <c r="R130" s="29">
        <f>Actions!AA128</f>
        <v/>
      </c>
      <c r="S130" s="29">
        <f>IF(A130="","",((K130)*(IF(M130="",L130,IFERROR(IF(INDEX(Variablen!$I:$AT, MATCH(M130, Variablen!$A:$A, 0), MATCH((YEAR(D130)+0), Variablen!$I$3:$AT$3, 0))="",L130,INDEX(Variablen!$I:$AT, MATCH(M130, Variablen!$A:$A, 0), MATCH((YEAR(D130)+0), Variablen!$I$3:$AT$3, 0))),L130)))*(IF((YEAR(D130)+0)&lt;YEAR(E130),0,IF((YEAR(D130)+0)&gt;YEAR(E130),1,(12-MONTH(E130)+1)/12))) + (Q130)*(IF((YEAR(D130)+0)&lt;YEAR(E130),0,IF((YEAR(D130)+0)&gt;YEAR(E130),1,(12-MONTH(E130)+1)/12))))-((P130)*(IF((YEAR(D130)+0)&lt;YEAR(E130),0,IF((YEAR(D130)+0)&gt;YEAR(E130),1,(12-MONTH(E130)+1)/12))) + (R130)*(IF((YEAR(D130)+0)&lt;YEAR(E130),0,IF((YEAR(D130)+0)&gt;YEAR(E130),1,(12-MONTH(E130)+1)/12))))-(IF((((K130)*(IF(M130="",L130,IFERROR(IF(INDEX(Variablen!$I:$AT, MATCH(M130, Variablen!$A:$A, 0), MATCH((YEAR(D130)+0), Variablen!$I$3:$AT$3, 0))="",L130,INDEX(Variablen!$I:$AT, MATCH(M130, Variablen!$A:$A, 0), MATCH((YEAR(D130)+0), Variablen!$I$3:$AT$3, 0))),L130)))*(IF((YEAR(D130)+0)&lt;YEAR(E130),0,IF((YEAR(D130)+0)&gt;YEAR(E130),1,(12-MONTH(E130)+1)/12))) + (Q130)*(IF((YEAR(D130)+0)&lt;YEAR(E130),0,IF((YEAR(D130)+0)&gt;YEAR(E130),1,(12-MONTH(E130)+1)/12))))-((P130)*(IF((YEAR(D130)+0)&lt;YEAR(E130),0,IF((YEAR(D130)+0)&gt;YEAR(E130),1,(12-MONTH(E130)+1)/12))) + (R130)*(IF((YEAR(D130)+0)&lt;YEAR(E130),0,IF((YEAR(D130)+0)&gt;YEAR(E130),1,(12-MONTH(E130)+1)/12))))-(IF(OR(N130="",N130&lt;=0),0,(O130/N130)*(IF(OR(N130="",N130&lt;=0),0,IF((YEAR(D130)+0)&lt;YEAR(E130),0,IF((YEAR(D130)+0)&gt;=YEAR(E130)+N130,0,IF((YEAR(D130)+0)=YEAR(E130),(12-MONTH(E130)+1)/12,1))))))))&gt;0,(((K130)*(IF(M130="",L130,IFERROR(IF(INDEX(Variablen!$I:$AT, MATCH(M130, Variablen!$A:$A, 0), MATCH((YEAR(D130)+0), Variablen!$I$3:$AT$3, 0))="",L130,INDEX(Variablen!$I:$AT, MATCH(M130, Variablen!$A:$A, 0), MATCH((YEAR(D130)+0), Variablen!$I$3:$AT$3, 0))),L130)))*(IF((YEAR(D130)+0)&lt;YEAR(E130),0,IF((YEAR(D130)+0)&gt;YEAR(E130),1,(12-MONTH(E130)+1)/12))) + (Q130)*(IF((YEAR(D130)+0)&lt;YEAR(E130),0,IF((YEAR(D130)+0)&gt;YEAR(E130),1,(12-MONTH(E130)+1)/12))))-((P130)*(IF((YEAR(D130)+0)&lt;YEAR(E130),0,IF((YEAR(D130)+0)&gt;YEAR(E130),1,(12-MONTH(E130)+1)/12))) + (R130)*(IF((YEAR(D130)+0)&lt;YEAR(E130),0,IF((YEAR(D130)+0)&gt;YEAR(E130),1,(12-MONTH(E130)+1)/12))))-(IF(OR(N130="",N130&lt;=0),0,(O130/N130)*(IF(OR(N130="",N130&lt;=0),0,IF((YEAR(D130)+0)&lt;YEAR(E130),0,IF((YEAR(D130)+0)&gt;=YEAR(E130)+N130,0,IF((YEAR(D130)+0)=YEAR(E130),(12-MONTH(E130)+1)/12,1))))))))*TaxRate,0))-IF(0=0,O130,0))</f>
        <v/>
      </c>
      <c r="T130" s="29">
        <f>IF(A130="","",((K130)*(IF(M130="",L130,IFERROR(IF(INDEX(Variablen!$I:$AT, MATCH(M130, Variablen!$A:$A, 0), MATCH((YEAR(D130)+1), Variablen!$I$3:$AT$3, 0))="",L130,INDEX(Variablen!$I:$AT, MATCH(M130, Variablen!$A:$A, 0), MATCH((YEAR(D130)+1), Variablen!$I$3:$AT$3, 0))),L130)))*(IF((YEAR(D130)+1)&lt;YEAR(E130),0,IF((YEAR(D130)+1)&gt;YEAR(E130),1,(12-MONTH(E130)+1)/12))) + (Q130)*(IF((YEAR(D130)+1)&lt;YEAR(E130),0,IF((YEAR(D130)+1)&gt;YEAR(E130),1,(12-MONTH(E130)+1)/12))))-((P130)*(IF((YEAR(D130)+1)&lt;YEAR(E130),0,IF((YEAR(D130)+1)&gt;YEAR(E130),1,(12-MONTH(E130)+1)/12))) + (R130)*(IF((YEAR(D130)+1)&lt;YEAR(E130),0,IF((YEAR(D130)+1)&gt;YEAR(E130),1,(12-MONTH(E130)+1)/12))))-(IF((((K130)*(IF(M130="",L130,IFERROR(IF(INDEX(Variablen!$I:$AT, MATCH(M130, Variablen!$A:$A, 0), MATCH((YEAR(D130)+1), Variablen!$I$3:$AT$3, 0))="",L130,INDEX(Variablen!$I:$AT, MATCH(M130, Variablen!$A:$A, 0), MATCH((YEAR(D130)+1), Variablen!$I$3:$AT$3, 0))),L130)))*(IF((YEAR(D130)+1)&lt;YEAR(E130),0,IF((YEAR(D130)+1)&gt;YEAR(E130),1,(12-MONTH(E130)+1)/12))) + (Q130)*(IF((YEAR(D130)+1)&lt;YEAR(E130),0,IF((YEAR(D130)+1)&gt;YEAR(E130),1,(12-MONTH(E130)+1)/12))))-((P130)*(IF((YEAR(D130)+1)&lt;YEAR(E130),0,IF((YEAR(D130)+1)&gt;YEAR(E130),1,(12-MONTH(E130)+1)/12))) + (R130)*(IF((YEAR(D130)+1)&lt;YEAR(E130),0,IF((YEAR(D130)+1)&gt;YEAR(E130),1,(12-MONTH(E130)+1)/12))))-(IF(OR(N130="",N130&lt;=0),0,(O130/N130)*(IF(OR(N130="",N130&lt;=0),0,IF((YEAR(D130)+1)&lt;YEAR(E130),0,IF((YEAR(D130)+1)&gt;=YEAR(E130)+N130,0,IF((YEAR(D130)+1)=YEAR(E130),(12-MONTH(E130)+1)/12,1))))))))&gt;0,(((K130)*(IF(M130="",L130,IFERROR(IF(INDEX(Variablen!$I:$AT, MATCH(M130, Variablen!$A:$A, 0), MATCH((YEAR(D130)+1), Variablen!$I$3:$AT$3, 0))="",L130,INDEX(Variablen!$I:$AT, MATCH(M130, Variablen!$A:$A, 0), MATCH((YEAR(D130)+1), Variablen!$I$3:$AT$3, 0))),L130)))*(IF((YEAR(D130)+1)&lt;YEAR(E130),0,IF((YEAR(D130)+1)&gt;YEAR(E130),1,(12-MONTH(E130)+1)/12))) + (Q130)*(IF((YEAR(D130)+1)&lt;YEAR(E130),0,IF((YEAR(D130)+1)&gt;YEAR(E130),1,(12-MONTH(E130)+1)/12))))-((P130)*(IF((YEAR(D130)+1)&lt;YEAR(E130),0,IF((YEAR(D130)+1)&gt;YEAR(E130),1,(12-MONTH(E130)+1)/12))) + (R130)*(IF((YEAR(D130)+1)&lt;YEAR(E130),0,IF((YEAR(D130)+1)&gt;YEAR(E130),1,(12-MONTH(E130)+1)/12))))-(IF(OR(N130="",N130&lt;=0),0,(O130/N130)*(IF(OR(N130="",N130&lt;=0),0,IF((YEAR(D130)+1)&lt;YEAR(E130),0,IF((YEAR(D130)+1)&gt;=YEAR(E130)+N130,0,IF((YEAR(D130)+1)=YEAR(E130),(12-MONTH(E130)+1)/12,1))))))))*TaxRate,0))-IF(1=0,O130,0))</f>
        <v/>
      </c>
      <c r="U130" s="29">
        <f>IF(A130="","",((K130)*(IF(M130="",L130,IFERROR(IF(INDEX(Variablen!$I:$AT, MATCH(M130, Variablen!$A:$A, 0), MATCH((YEAR(D130)+2), Variablen!$I$3:$AT$3, 0))="",L130,INDEX(Variablen!$I:$AT, MATCH(M130, Variablen!$A:$A, 0), MATCH((YEAR(D130)+2), Variablen!$I$3:$AT$3, 0))),L130)))*(IF((YEAR(D130)+2)&lt;YEAR(E130),0,IF((YEAR(D130)+2)&gt;YEAR(E130),1,(12-MONTH(E130)+1)/12))) + (Q130)*(IF((YEAR(D130)+2)&lt;YEAR(E130),0,IF((YEAR(D130)+2)&gt;YEAR(E130),1,(12-MONTH(E130)+1)/12))))-((P130)*(IF((YEAR(D130)+2)&lt;YEAR(E130),0,IF((YEAR(D130)+2)&gt;YEAR(E130),1,(12-MONTH(E130)+1)/12))) + (R130)*(IF((YEAR(D130)+2)&lt;YEAR(E130),0,IF((YEAR(D130)+2)&gt;YEAR(E130),1,(12-MONTH(E130)+1)/12))))-(IF((((K130)*(IF(M130="",L130,IFERROR(IF(INDEX(Variablen!$I:$AT, MATCH(M130, Variablen!$A:$A, 0), MATCH((YEAR(D130)+2), Variablen!$I$3:$AT$3, 0))="",L130,INDEX(Variablen!$I:$AT, MATCH(M130, Variablen!$A:$A, 0), MATCH((YEAR(D130)+2), Variablen!$I$3:$AT$3, 0))),L130)))*(IF((YEAR(D130)+2)&lt;YEAR(E130),0,IF((YEAR(D130)+2)&gt;YEAR(E130),1,(12-MONTH(E130)+1)/12))) + (Q130)*(IF((YEAR(D130)+2)&lt;YEAR(E130),0,IF((YEAR(D130)+2)&gt;YEAR(E130),1,(12-MONTH(E130)+1)/12))))-((P130)*(IF((YEAR(D130)+2)&lt;YEAR(E130),0,IF((YEAR(D130)+2)&gt;YEAR(E130),1,(12-MONTH(E130)+1)/12))) + (R130)*(IF((YEAR(D130)+2)&lt;YEAR(E130),0,IF((YEAR(D130)+2)&gt;YEAR(E130),1,(12-MONTH(E130)+1)/12))))-(IF(OR(N130="",N130&lt;=0),0,(O130/N130)*(IF(OR(N130="",N130&lt;=0),0,IF((YEAR(D130)+2)&lt;YEAR(E130),0,IF((YEAR(D130)+2)&gt;=YEAR(E130)+N130,0,IF((YEAR(D130)+2)=YEAR(E130),(12-MONTH(E130)+1)/12,1))))))))&gt;0,(((K130)*(IF(M130="",L130,IFERROR(IF(INDEX(Variablen!$I:$AT, MATCH(M130, Variablen!$A:$A, 0), MATCH((YEAR(D130)+2), Variablen!$I$3:$AT$3, 0))="",L130,INDEX(Variablen!$I:$AT, MATCH(M130, Variablen!$A:$A, 0), MATCH((YEAR(D130)+2), Variablen!$I$3:$AT$3, 0))),L130)))*(IF((YEAR(D130)+2)&lt;YEAR(E130),0,IF((YEAR(D130)+2)&gt;YEAR(E130),1,(12-MONTH(E130)+1)/12))) + (Q130)*(IF((YEAR(D130)+2)&lt;YEAR(E130),0,IF((YEAR(D130)+2)&gt;YEAR(E130),1,(12-MONTH(E130)+1)/12))))-((P130)*(IF((YEAR(D130)+2)&lt;YEAR(E130),0,IF((YEAR(D130)+2)&gt;YEAR(E130),1,(12-MONTH(E130)+1)/12))) + (R130)*(IF((YEAR(D130)+2)&lt;YEAR(E130),0,IF((YEAR(D130)+2)&gt;YEAR(E130),1,(12-MONTH(E130)+1)/12))))-(IF(OR(N130="",N130&lt;=0),0,(O130/N130)*(IF(OR(N130="",N130&lt;=0),0,IF((YEAR(D130)+2)&lt;YEAR(E130),0,IF((YEAR(D130)+2)&gt;=YEAR(E130)+N130,0,IF((YEAR(D130)+2)=YEAR(E130),(12-MONTH(E130)+1)/12,1))))))))*TaxRate,0))-IF(2=0,O130,0))</f>
        <v/>
      </c>
      <c r="V130" s="29">
        <f>IF(A130="","",((K130)*(IF(M130="",L130,IFERROR(IF(INDEX(Variablen!$I:$AT, MATCH(M130, Variablen!$A:$A, 0), MATCH((YEAR(D130)+3), Variablen!$I$3:$AT$3, 0))="",L130,INDEX(Variablen!$I:$AT, MATCH(M130, Variablen!$A:$A, 0), MATCH((YEAR(D130)+3), Variablen!$I$3:$AT$3, 0))),L130)))*(IF((YEAR(D130)+3)&lt;YEAR(E130),0,IF((YEAR(D130)+3)&gt;YEAR(E130),1,(12-MONTH(E130)+1)/12))) + (Q130)*(IF((YEAR(D130)+3)&lt;YEAR(E130),0,IF((YEAR(D130)+3)&gt;YEAR(E130),1,(12-MONTH(E130)+1)/12))))-((P130)*(IF((YEAR(D130)+3)&lt;YEAR(E130),0,IF((YEAR(D130)+3)&gt;YEAR(E130),1,(12-MONTH(E130)+1)/12))) + (R130)*(IF((YEAR(D130)+3)&lt;YEAR(E130),0,IF((YEAR(D130)+3)&gt;YEAR(E130),1,(12-MONTH(E130)+1)/12))))-(IF((((K130)*(IF(M130="",L130,IFERROR(IF(INDEX(Variablen!$I:$AT, MATCH(M130, Variablen!$A:$A, 0), MATCH((YEAR(D130)+3), Variablen!$I$3:$AT$3, 0))="",L130,INDEX(Variablen!$I:$AT, MATCH(M130, Variablen!$A:$A, 0), MATCH((YEAR(D130)+3), Variablen!$I$3:$AT$3, 0))),L130)))*(IF((YEAR(D130)+3)&lt;YEAR(E130),0,IF((YEAR(D130)+3)&gt;YEAR(E130),1,(12-MONTH(E130)+1)/12))) + (Q130)*(IF((YEAR(D130)+3)&lt;YEAR(E130),0,IF((YEAR(D130)+3)&gt;YEAR(E130),1,(12-MONTH(E130)+1)/12))))-((P130)*(IF((YEAR(D130)+3)&lt;YEAR(E130),0,IF((YEAR(D130)+3)&gt;YEAR(E130),1,(12-MONTH(E130)+1)/12))) + (R130)*(IF((YEAR(D130)+3)&lt;YEAR(E130),0,IF((YEAR(D130)+3)&gt;YEAR(E130),1,(12-MONTH(E130)+1)/12))))-(IF(OR(N130="",N130&lt;=0),0,(O130/N130)*(IF(OR(N130="",N130&lt;=0),0,IF((YEAR(D130)+3)&lt;YEAR(E130),0,IF((YEAR(D130)+3)&gt;=YEAR(E130)+N130,0,IF((YEAR(D130)+3)=YEAR(E130),(12-MONTH(E130)+1)/12,1))))))))&gt;0,(((K130)*(IF(M130="",L130,IFERROR(IF(INDEX(Variablen!$I:$AT, MATCH(M130, Variablen!$A:$A, 0), MATCH((YEAR(D130)+3), Variablen!$I$3:$AT$3, 0))="",L130,INDEX(Variablen!$I:$AT, MATCH(M130, Variablen!$A:$A, 0), MATCH((YEAR(D130)+3), Variablen!$I$3:$AT$3, 0))),L130)))*(IF((YEAR(D130)+3)&lt;YEAR(E130),0,IF((YEAR(D130)+3)&gt;YEAR(E130),1,(12-MONTH(E130)+1)/12))) + (Q130)*(IF((YEAR(D130)+3)&lt;YEAR(E130),0,IF((YEAR(D130)+3)&gt;YEAR(E130),1,(12-MONTH(E130)+1)/12))))-((P130)*(IF((YEAR(D130)+3)&lt;YEAR(E130),0,IF((YEAR(D130)+3)&gt;YEAR(E130),1,(12-MONTH(E130)+1)/12))) + (R130)*(IF((YEAR(D130)+3)&lt;YEAR(E130),0,IF((YEAR(D130)+3)&gt;YEAR(E130),1,(12-MONTH(E130)+1)/12))))-(IF(OR(N130="",N130&lt;=0),0,(O130/N130)*(IF(OR(N130="",N130&lt;=0),0,IF((YEAR(D130)+3)&lt;YEAR(E130),0,IF((YEAR(D130)+3)&gt;=YEAR(E130)+N130,0,IF((YEAR(D130)+3)=YEAR(E130),(12-MONTH(E130)+1)/12,1))))))))*TaxRate,0))-IF(3=0,O130,0))</f>
        <v/>
      </c>
      <c r="W130" s="29">
        <f>IF(A130="","",((K130)*(IF(M130="",L130,IFERROR(IF(INDEX(Variablen!$I:$AT, MATCH(M130, Variablen!$A:$A, 0), MATCH((YEAR(D130)+4), Variablen!$I$3:$AT$3, 0))="",L130,INDEX(Variablen!$I:$AT, MATCH(M130, Variablen!$A:$A, 0), MATCH((YEAR(D130)+4), Variablen!$I$3:$AT$3, 0))),L130)))*(IF((YEAR(D130)+4)&lt;YEAR(E130),0,IF((YEAR(D130)+4)&gt;YEAR(E130),1,(12-MONTH(E130)+1)/12))) + (Q130)*(IF((YEAR(D130)+4)&lt;YEAR(E130),0,IF((YEAR(D130)+4)&gt;YEAR(E130),1,(12-MONTH(E130)+1)/12))))-((P130)*(IF((YEAR(D130)+4)&lt;YEAR(E130),0,IF((YEAR(D130)+4)&gt;YEAR(E130),1,(12-MONTH(E130)+1)/12))) + (R130)*(IF((YEAR(D130)+4)&lt;YEAR(E130),0,IF((YEAR(D130)+4)&gt;YEAR(E130),1,(12-MONTH(E130)+1)/12))))-(IF((((K130)*(IF(M130="",L130,IFERROR(IF(INDEX(Variablen!$I:$AT, MATCH(M130, Variablen!$A:$A, 0), MATCH((YEAR(D130)+4), Variablen!$I$3:$AT$3, 0))="",L130,INDEX(Variablen!$I:$AT, MATCH(M130, Variablen!$A:$A, 0), MATCH((YEAR(D130)+4), Variablen!$I$3:$AT$3, 0))),L130)))*(IF((YEAR(D130)+4)&lt;YEAR(E130),0,IF((YEAR(D130)+4)&gt;YEAR(E130),1,(12-MONTH(E130)+1)/12))) + (Q130)*(IF((YEAR(D130)+4)&lt;YEAR(E130),0,IF((YEAR(D130)+4)&gt;YEAR(E130),1,(12-MONTH(E130)+1)/12))))-((P130)*(IF((YEAR(D130)+4)&lt;YEAR(E130),0,IF((YEAR(D130)+4)&gt;YEAR(E130),1,(12-MONTH(E130)+1)/12))) + (R130)*(IF((YEAR(D130)+4)&lt;YEAR(E130),0,IF((YEAR(D130)+4)&gt;YEAR(E130),1,(12-MONTH(E130)+1)/12))))-(IF(OR(N130="",N130&lt;=0),0,(O130/N130)*(IF(OR(N130="",N130&lt;=0),0,IF((YEAR(D130)+4)&lt;YEAR(E130),0,IF((YEAR(D130)+4)&gt;=YEAR(E130)+N130,0,IF((YEAR(D130)+4)=YEAR(E130),(12-MONTH(E130)+1)/12,1))))))))&gt;0,(((K130)*(IF(M130="",L130,IFERROR(IF(INDEX(Variablen!$I:$AT, MATCH(M130, Variablen!$A:$A, 0), MATCH((YEAR(D130)+4), Variablen!$I$3:$AT$3, 0))="",L130,INDEX(Variablen!$I:$AT, MATCH(M130, Variablen!$A:$A, 0), MATCH((YEAR(D130)+4), Variablen!$I$3:$AT$3, 0))),L130)))*(IF((YEAR(D130)+4)&lt;YEAR(E130),0,IF((YEAR(D130)+4)&gt;YEAR(E130),1,(12-MONTH(E130)+1)/12))) + (Q130)*(IF((YEAR(D130)+4)&lt;YEAR(E130),0,IF((YEAR(D130)+4)&gt;YEAR(E130),1,(12-MONTH(E130)+1)/12))))-((P130)*(IF((YEAR(D130)+4)&lt;YEAR(E130),0,IF((YEAR(D130)+4)&gt;YEAR(E130),1,(12-MONTH(E130)+1)/12))) + (R130)*(IF((YEAR(D130)+4)&lt;YEAR(E130),0,IF((YEAR(D130)+4)&gt;YEAR(E130),1,(12-MONTH(E130)+1)/12))))-(IF(OR(N130="",N130&lt;=0),0,(O130/N130)*(IF(OR(N130="",N130&lt;=0),0,IF((YEAR(D130)+4)&lt;YEAR(E130),0,IF((YEAR(D130)+4)&gt;=YEAR(E130)+N130,0,IF((YEAR(D130)+4)=YEAR(E130),(12-MONTH(E130)+1)/12,1))))))))*TaxRate,0))-IF(4=0,O130,0))</f>
        <v/>
      </c>
      <c r="X130" s="29">
        <f>IF(A130="","",((K130)*(IF(M130="",L130,IFERROR(IF(INDEX(Variablen!$I:$AT, MATCH(M130, Variablen!$A:$A, 0), MATCH((YEAR(D130)+5), Variablen!$I$3:$AT$3, 0))="",L130,INDEX(Variablen!$I:$AT, MATCH(M130, Variablen!$A:$A, 0), MATCH((YEAR(D130)+5), Variablen!$I$3:$AT$3, 0))),L130)))*(IF((YEAR(D130)+5)&lt;YEAR(E130),0,IF((YEAR(D130)+5)&gt;YEAR(E130),1,(12-MONTH(E130)+1)/12))) + (Q130)*(IF((YEAR(D130)+5)&lt;YEAR(E130),0,IF((YEAR(D130)+5)&gt;YEAR(E130),1,(12-MONTH(E130)+1)/12))))-((P130)*(IF((YEAR(D130)+5)&lt;YEAR(E130),0,IF((YEAR(D130)+5)&gt;YEAR(E130),1,(12-MONTH(E130)+1)/12))) + (R130)*(IF((YEAR(D130)+5)&lt;YEAR(E130),0,IF((YEAR(D130)+5)&gt;YEAR(E130),1,(12-MONTH(E130)+1)/12))))-(IF((((K130)*(IF(M130="",L130,IFERROR(IF(INDEX(Variablen!$I:$AT, MATCH(M130, Variablen!$A:$A, 0), MATCH((YEAR(D130)+5), Variablen!$I$3:$AT$3, 0))="",L130,INDEX(Variablen!$I:$AT, MATCH(M130, Variablen!$A:$A, 0), MATCH((YEAR(D130)+5), Variablen!$I$3:$AT$3, 0))),L130)))*(IF((YEAR(D130)+5)&lt;YEAR(E130),0,IF((YEAR(D130)+5)&gt;YEAR(E130),1,(12-MONTH(E130)+1)/12))) + (Q130)*(IF((YEAR(D130)+5)&lt;YEAR(E130),0,IF((YEAR(D130)+5)&gt;YEAR(E130),1,(12-MONTH(E130)+1)/12))))-((P130)*(IF((YEAR(D130)+5)&lt;YEAR(E130),0,IF((YEAR(D130)+5)&gt;YEAR(E130),1,(12-MONTH(E130)+1)/12))) + (R130)*(IF((YEAR(D130)+5)&lt;YEAR(E130),0,IF((YEAR(D130)+5)&gt;YEAR(E130),1,(12-MONTH(E130)+1)/12))))-(IF(OR(N130="",N130&lt;=0),0,(O130/N130)*(IF(OR(N130="",N130&lt;=0),0,IF((YEAR(D130)+5)&lt;YEAR(E130),0,IF((YEAR(D130)+5)&gt;=YEAR(E130)+N130,0,IF((YEAR(D130)+5)=YEAR(E130),(12-MONTH(E130)+1)/12,1))))))))&gt;0,(((K130)*(IF(M130="",L130,IFERROR(IF(INDEX(Variablen!$I:$AT, MATCH(M130, Variablen!$A:$A, 0), MATCH((YEAR(D130)+5), Variablen!$I$3:$AT$3, 0))="",L130,INDEX(Variablen!$I:$AT, MATCH(M130, Variablen!$A:$A, 0), MATCH((YEAR(D130)+5), Variablen!$I$3:$AT$3, 0))),L130)))*(IF((YEAR(D130)+5)&lt;YEAR(E130),0,IF((YEAR(D130)+5)&gt;YEAR(E130),1,(12-MONTH(E130)+1)/12))) + (Q130)*(IF((YEAR(D130)+5)&lt;YEAR(E130),0,IF((YEAR(D130)+5)&gt;YEAR(E130),1,(12-MONTH(E130)+1)/12))))-((P130)*(IF((YEAR(D130)+5)&lt;YEAR(E130),0,IF((YEAR(D130)+5)&gt;YEAR(E130),1,(12-MONTH(E130)+1)/12))) + (R130)*(IF((YEAR(D130)+5)&lt;YEAR(E130),0,IF((YEAR(D130)+5)&gt;YEAR(E130),1,(12-MONTH(E130)+1)/12))))-(IF(OR(N130="",N130&lt;=0),0,(O130/N130)*(IF(OR(N130="",N130&lt;=0),0,IF((YEAR(D130)+5)&lt;YEAR(E130),0,IF((YEAR(D130)+5)&gt;=YEAR(E130)+N130,0,IF((YEAR(D130)+5)=YEAR(E130),(12-MONTH(E130)+1)/12,1))))))))*TaxRate,0))-IF(5=0,O130,0))</f>
        <v/>
      </c>
      <c r="Y130" s="29">
        <f>IF(A130="","",((K130)*(IF(M130="",L130,IFERROR(IF(INDEX(Variablen!$I:$AT, MATCH(M130, Variablen!$A:$A, 0), MATCH((YEAR(D130)+6), Variablen!$I$3:$AT$3, 0))="",L130,INDEX(Variablen!$I:$AT, MATCH(M130, Variablen!$A:$A, 0), MATCH((YEAR(D130)+6), Variablen!$I$3:$AT$3, 0))),L130)))*(IF((YEAR(D130)+6)&lt;YEAR(E130),0,IF((YEAR(D130)+6)&gt;YEAR(E130),1,(12-MONTH(E130)+1)/12))) + (Q130)*(IF((YEAR(D130)+6)&lt;YEAR(E130),0,IF((YEAR(D130)+6)&gt;YEAR(E130),1,(12-MONTH(E130)+1)/12))))-((P130)*(IF((YEAR(D130)+6)&lt;YEAR(E130),0,IF((YEAR(D130)+6)&gt;YEAR(E130),1,(12-MONTH(E130)+1)/12))) + (R130)*(IF((YEAR(D130)+6)&lt;YEAR(E130),0,IF((YEAR(D130)+6)&gt;YEAR(E130),1,(12-MONTH(E130)+1)/12))))-(IF((((K130)*(IF(M130="",L130,IFERROR(IF(INDEX(Variablen!$I:$AT, MATCH(M130, Variablen!$A:$A, 0), MATCH((YEAR(D130)+6), Variablen!$I$3:$AT$3, 0))="",L130,INDEX(Variablen!$I:$AT, MATCH(M130, Variablen!$A:$A, 0), MATCH((YEAR(D130)+6), Variablen!$I$3:$AT$3, 0))),L130)))*(IF((YEAR(D130)+6)&lt;YEAR(E130),0,IF((YEAR(D130)+6)&gt;YEAR(E130),1,(12-MONTH(E130)+1)/12))) + (Q130)*(IF((YEAR(D130)+6)&lt;YEAR(E130),0,IF((YEAR(D130)+6)&gt;YEAR(E130),1,(12-MONTH(E130)+1)/12))))-((P130)*(IF((YEAR(D130)+6)&lt;YEAR(E130),0,IF((YEAR(D130)+6)&gt;YEAR(E130),1,(12-MONTH(E130)+1)/12))) + (R130)*(IF((YEAR(D130)+6)&lt;YEAR(E130),0,IF((YEAR(D130)+6)&gt;YEAR(E130),1,(12-MONTH(E130)+1)/12))))-(IF(OR(N130="",N130&lt;=0),0,(O130/N130)*(IF(OR(N130="",N130&lt;=0),0,IF((YEAR(D130)+6)&lt;YEAR(E130),0,IF((YEAR(D130)+6)&gt;=YEAR(E130)+N130,0,IF((YEAR(D130)+6)=YEAR(E130),(12-MONTH(E130)+1)/12,1))))))))&gt;0,(((K130)*(IF(M130="",L130,IFERROR(IF(INDEX(Variablen!$I:$AT, MATCH(M130, Variablen!$A:$A, 0), MATCH((YEAR(D130)+6), Variablen!$I$3:$AT$3, 0))="",L130,INDEX(Variablen!$I:$AT, MATCH(M130, Variablen!$A:$A, 0), MATCH((YEAR(D130)+6), Variablen!$I$3:$AT$3, 0))),L130)))*(IF((YEAR(D130)+6)&lt;YEAR(E130),0,IF((YEAR(D130)+6)&gt;YEAR(E130),1,(12-MONTH(E130)+1)/12))) + (Q130)*(IF((YEAR(D130)+6)&lt;YEAR(E130),0,IF((YEAR(D130)+6)&gt;YEAR(E130),1,(12-MONTH(E130)+1)/12))))-((P130)*(IF((YEAR(D130)+6)&lt;YEAR(E130),0,IF((YEAR(D130)+6)&gt;YEAR(E130),1,(12-MONTH(E130)+1)/12))) + (R130)*(IF((YEAR(D130)+6)&lt;YEAR(E130),0,IF((YEAR(D130)+6)&gt;YEAR(E130),1,(12-MONTH(E130)+1)/12))))-(IF(OR(N130="",N130&lt;=0),0,(O130/N130)*(IF(OR(N130="",N130&lt;=0),0,IF((YEAR(D130)+6)&lt;YEAR(E130),0,IF((YEAR(D130)+6)&gt;=YEAR(E130)+N130,0,IF((YEAR(D130)+6)=YEAR(E130),(12-MONTH(E130)+1)/12,1))))))))*TaxRate,0))-IF(6=0,O130,0))</f>
        <v/>
      </c>
      <c r="Z130" s="29">
        <f>IF(A130="","",((K130)*(IF(M130="",L130,IFERROR(IF(INDEX(Variablen!$I:$AT, MATCH(M130, Variablen!$A:$A, 0), MATCH((YEAR(D130)+7), Variablen!$I$3:$AT$3, 0))="",L130,INDEX(Variablen!$I:$AT, MATCH(M130, Variablen!$A:$A, 0), MATCH((YEAR(D130)+7), Variablen!$I$3:$AT$3, 0))),L130)))*(IF((YEAR(D130)+7)&lt;YEAR(E130),0,IF((YEAR(D130)+7)&gt;YEAR(E130),1,(12-MONTH(E130)+1)/12))) + (Q130)*(IF((YEAR(D130)+7)&lt;YEAR(E130),0,IF((YEAR(D130)+7)&gt;YEAR(E130),1,(12-MONTH(E130)+1)/12))))-((P130)*(IF((YEAR(D130)+7)&lt;YEAR(E130),0,IF((YEAR(D130)+7)&gt;YEAR(E130),1,(12-MONTH(E130)+1)/12))) + (R130)*(IF((YEAR(D130)+7)&lt;YEAR(E130),0,IF((YEAR(D130)+7)&gt;YEAR(E130),1,(12-MONTH(E130)+1)/12))))-(IF((((K130)*(IF(M130="",L130,IFERROR(IF(INDEX(Variablen!$I:$AT, MATCH(M130, Variablen!$A:$A, 0), MATCH((YEAR(D130)+7), Variablen!$I$3:$AT$3, 0))="",L130,INDEX(Variablen!$I:$AT, MATCH(M130, Variablen!$A:$A, 0), MATCH((YEAR(D130)+7), Variablen!$I$3:$AT$3, 0))),L130)))*(IF((YEAR(D130)+7)&lt;YEAR(E130),0,IF((YEAR(D130)+7)&gt;YEAR(E130),1,(12-MONTH(E130)+1)/12))) + (Q130)*(IF((YEAR(D130)+7)&lt;YEAR(E130),0,IF((YEAR(D130)+7)&gt;YEAR(E130),1,(12-MONTH(E130)+1)/12))))-((P130)*(IF((YEAR(D130)+7)&lt;YEAR(E130),0,IF((YEAR(D130)+7)&gt;YEAR(E130),1,(12-MONTH(E130)+1)/12))) + (R130)*(IF((YEAR(D130)+7)&lt;YEAR(E130),0,IF((YEAR(D130)+7)&gt;YEAR(E130),1,(12-MONTH(E130)+1)/12))))-(IF(OR(N130="",N130&lt;=0),0,(O130/N130)*(IF(OR(N130="",N130&lt;=0),0,IF((YEAR(D130)+7)&lt;YEAR(E130),0,IF((YEAR(D130)+7)&gt;=YEAR(E130)+N130,0,IF((YEAR(D130)+7)=YEAR(E130),(12-MONTH(E130)+1)/12,1))))))))&gt;0,(((K130)*(IF(M130="",L130,IFERROR(IF(INDEX(Variablen!$I:$AT, MATCH(M130, Variablen!$A:$A, 0), MATCH((YEAR(D130)+7), Variablen!$I$3:$AT$3, 0))="",L130,INDEX(Variablen!$I:$AT, MATCH(M130, Variablen!$A:$A, 0), MATCH((YEAR(D130)+7), Variablen!$I$3:$AT$3, 0))),L130)))*(IF((YEAR(D130)+7)&lt;YEAR(E130),0,IF((YEAR(D130)+7)&gt;YEAR(E130),1,(12-MONTH(E130)+1)/12))) + (Q130)*(IF((YEAR(D130)+7)&lt;YEAR(E130),0,IF((YEAR(D130)+7)&gt;YEAR(E130),1,(12-MONTH(E130)+1)/12))))-((P130)*(IF((YEAR(D130)+7)&lt;YEAR(E130),0,IF((YEAR(D130)+7)&gt;YEAR(E130),1,(12-MONTH(E130)+1)/12))) + (R130)*(IF((YEAR(D130)+7)&lt;YEAR(E130),0,IF((YEAR(D130)+7)&gt;YEAR(E130),1,(12-MONTH(E130)+1)/12))))-(IF(OR(N130="",N130&lt;=0),0,(O130/N130)*(IF(OR(N130="",N130&lt;=0),0,IF((YEAR(D130)+7)&lt;YEAR(E130),0,IF((YEAR(D130)+7)&gt;=YEAR(E130)+N130,0,IF((YEAR(D130)+7)=YEAR(E130),(12-MONTH(E130)+1)/12,1))))))))*TaxRate,0))-IF(7=0,O130,0))</f>
        <v/>
      </c>
      <c r="AA130" s="29">
        <f>IF(A130="","",((K130)*(IF(M130="",L130,IFERROR(IF(INDEX(Variablen!$I:$AT, MATCH(M130, Variablen!$A:$A, 0), MATCH((YEAR(D130)+8), Variablen!$I$3:$AT$3, 0))="",L130,INDEX(Variablen!$I:$AT, MATCH(M130, Variablen!$A:$A, 0), MATCH((YEAR(D130)+8), Variablen!$I$3:$AT$3, 0))),L130)))*(IF((YEAR(D130)+8)&lt;YEAR(E130),0,IF((YEAR(D130)+8)&gt;YEAR(E130),1,(12-MONTH(E130)+1)/12))) + (Q130)*(IF((YEAR(D130)+8)&lt;YEAR(E130),0,IF((YEAR(D130)+8)&gt;YEAR(E130),1,(12-MONTH(E130)+1)/12))))-((P130)*(IF((YEAR(D130)+8)&lt;YEAR(E130),0,IF((YEAR(D130)+8)&gt;YEAR(E130),1,(12-MONTH(E130)+1)/12))) + (R130)*(IF((YEAR(D130)+8)&lt;YEAR(E130),0,IF((YEAR(D130)+8)&gt;YEAR(E130),1,(12-MONTH(E130)+1)/12))))-(IF((((K130)*(IF(M130="",L130,IFERROR(IF(INDEX(Variablen!$I:$AT, MATCH(M130, Variablen!$A:$A, 0), MATCH((YEAR(D130)+8), Variablen!$I$3:$AT$3, 0))="",L130,INDEX(Variablen!$I:$AT, MATCH(M130, Variablen!$A:$A, 0), MATCH((YEAR(D130)+8), Variablen!$I$3:$AT$3, 0))),L130)))*(IF((YEAR(D130)+8)&lt;YEAR(E130),0,IF((YEAR(D130)+8)&gt;YEAR(E130),1,(12-MONTH(E130)+1)/12))) + (Q130)*(IF((YEAR(D130)+8)&lt;YEAR(E130),0,IF((YEAR(D130)+8)&gt;YEAR(E130),1,(12-MONTH(E130)+1)/12))))-((P130)*(IF((YEAR(D130)+8)&lt;YEAR(E130),0,IF((YEAR(D130)+8)&gt;YEAR(E130),1,(12-MONTH(E130)+1)/12))) + (R130)*(IF((YEAR(D130)+8)&lt;YEAR(E130),0,IF((YEAR(D130)+8)&gt;YEAR(E130),1,(12-MONTH(E130)+1)/12))))-(IF(OR(N130="",N130&lt;=0),0,(O130/N130)*(IF(OR(N130="",N130&lt;=0),0,IF((YEAR(D130)+8)&lt;YEAR(E130),0,IF((YEAR(D130)+8)&gt;=YEAR(E130)+N130,0,IF((YEAR(D130)+8)=YEAR(E130),(12-MONTH(E130)+1)/12,1))))))))&gt;0,(((K130)*(IF(M130="",L130,IFERROR(IF(INDEX(Variablen!$I:$AT, MATCH(M130, Variablen!$A:$A, 0), MATCH((YEAR(D130)+8), Variablen!$I$3:$AT$3, 0))="",L130,INDEX(Variablen!$I:$AT, MATCH(M130, Variablen!$A:$A, 0), MATCH((YEAR(D130)+8), Variablen!$I$3:$AT$3, 0))),L130)))*(IF((YEAR(D130)+8)&lt;YEAR(E130),0,IF((YEAR(D130)+8)&gt;YEAR(E130),1,(12-MONTH(E130)+1)/12))) + (Q130)*(IF((YEAR(D130)+8)&lt;YEAR(E130),0,IF((YEAR(D130)+8)&gt;YEAR(E130),1,(12-MONTH(E130)+1)/12))))-((P130)*(IF((YEAR(D130)+8)&lt;YEAR(E130),0,IF((YEAR(D130)+8)&gt;YEAR(E130),1,(12-MONTH(E130)+1)/12))) + (R130)*(IF((YEAR(D130)+8)&lt;YEAR(E130),0,IF((YEAR(D130)+8)&gt;YEAR(E130),1,(12-MONTH(E130)+1)/12))))-(IF(OR(N130="",N130&lt;=0),0,(O130/N130)*(IF(OR(N130="",N130&lt;=0),0,IF((YEAR(D130)+8)&lt;YEAR(E130),0,IF((YEAR(D130)+8)&gt;=YEAR(E130)+N130,0,IF((YEAR(D130)+8)=YEAR(E130),(12-MONTH(E130)+1)/12,1))))))))*TaxRate,0))-IF(8=0,O130,0))</f>
        <v/>
      </c>
      <c r="AB130" s="29">
        <f>IF(A130="","",((K130)*(IF(M130="",L130,IFERROR(IF(INDEX(Variablen!$I:$AT, MATCH(M130, Variablen!$A:$A, 0), MATCH((YEAR(D130)+9), Variablen!$I$3:$AT$3, 0))="",L130,INDEX(Variablen!$I:$AT, MATCH(M130, Variablen!$A:$A, 0), MATCH((YEAR(D130)+9), Variablen!$I$3:$AT$3, 0))),L130)))*(IF((YEAR(D130)+9)&lt;YEAR(E130),0,IF((YEAR(D130)+9)&gt;YEAR(E130),1,(12-MONTH(E130)+1)/12))) + (Q130)*(IF((YEAR(D130)+9)&lt;YEAR(E130),0,IF((YEAR(D130)+9)&gt;YEAR(E130),1,(12-MONTH(E130)+1)/12))))-((P130)*(IF((YEAR(D130)+9)&lt;YEAR(E130),0,IF((YEAR(D130)+9)&gt;YEAR(E130),1,(12-MONTH(E130)+1)/12))) + (R130)*(IF((YEAR(D130)+9)&lt;YEAR(E130),0,IF((YEAR(D130)+9)&gt;YEAR(E130),1,(12-MONTH(E130)+1)/12))))-(IF((((K130)*(IF(M130="",L130,IFERROR(IF(INDEX(Variablen!$I:$AT, MATCH(M130, Variablen!$A:$A, 0), MATCH((YEAR(D130)+9), Variablen!$I$3:$AT$3, 0))="",L130,INDEX(Variablen!$I:$AT, MATCH(M130, Variablen!$A:$A, 0), MATCH((YEAR(D130)+9), Variablen!$I$3:$AT$3, 0))),L130)))*(IF((YEAR(D130)+9)&lt;YEAR(E130),0,IF((YEAR(D130)+9)&gt;YEAR(E130),1,(12-MONTH(E130)+1)/12))) + (Q130)*(IF((YEAR(D130)+9)&lt;YEAR(E130),0,IF((YEAR(D130)+9)&gt;YEAR(E130),1,(12-MONTH(E130)+1)/12))))-((P130)*(IF((YEAR(D130)+9)&lt;YEAR(E130),0,IF((YEAR(D130)+9)&gt;YEAR(E130),1,(12-MONTH(E130)+1)/12))) + (R130)*(IF((YEAR(D130)+9)&lt;YEAR(E130),0,IF((YEAR(D130)+9)&gt;YEAR(E130),1,(12-MONTH(E130)+1)/12))))-(IF(OR(N130="",N130&lt;=0),0,(O130/N130)*(IF(OR(N130="",N130&lt;=0),0,IF((YEAR(D130)+9)&lt;YEAR(E130),0,IF((YEAR(D130)+9)&gt;=YEAR(E130)+N130,0,IF((YEAR(D130)+9)=YEAR(E130),(12-MONTH(E130)+1)/12,1))))))))&gt;0,(((K130)*(IF(M130="",L130,IFERROR(IF(INDEX(Variablen!$I:$AT, MATCH(M130, Variablen!$A:$A, 0), MATCH((YEAR(D130)+9), Variablen!$I$3:$AT$3, 0))="",L130,INDEX(Variablen!$I:$AT, MATCH(M130, Variablen!$A:$A, 0), MATCH((YEAR(D130)+9), Variablen!$I$3:$AT$3, 0))),L130)))*(IF((YEAR(D130)+9)&lt;YEAR(E130),0,IF((YEAR(D130)+9)&gt;YEAR(E130),1,(12-MONTH(E130)+1)/12))) + (Q130)*(IF((YEAR(D130)+9)&lt;YEAR(E130),0,IF((YEAR(D130)+9)&gt;YEAR(E130),1,(12-MONTH(E130)+1)/12))))-((P130)*(IF((YEAR(D130)+9)&lt;YEAR(E130),0,IF((YEAR(D130)+9)&gt;YEAR(E130),1,(12-MONTH(E130)+1)/12))) + (R130)*(IF((YEAR(D130)+9)&lt;YEAR(E130),0,IF((YEAR(D130)+9)&gt;YEAR(E130),1,(12-MONTH(E130)+1)/12))))-(IF(OR(N130="",N130&lt;=0),0,(O130/N130)*(IF(OR(N130="",N130&lt;=0),0,IF((YEAR(D130)+9)&lt;YEAR(E130),0,IF((YEAR(D130)+9)&gt;=YEAR(E130)+N130,0,IF((YEAR(D130)+9)=YEAR(E130),(12-MONTH(E130)+1)/12,1))))))))*TaxRate,0))-IF(9=0,O130,0))</f>
        <v/>
      </c>
      <c r="AC130" s="29">
        <f>IF(A130="","",((K130)*(IF(M130="",L130,IFERROR(IF(INDEX(Variablen!$I:$AT, MATCH(M130, Variablen!$A:$A, 0), MATCH((YEAR(D130)+10), Variablen!$I$3:$AT$3, 0))="",L130,INDEX(Variablen!$I:$AT, MATCH(M130, Variablen!$A:$A, 0), MATCH((YEAR(D130)+10), Variablen!$I$3:$AT$3, 0))),L130)))*(IF((YEAR(D130)+10)&lt;YEAR(E130),0,IF((YEAR(D130)+10)&gt;YEAR(E130),1,(12-MONTH(E130)+1)/12))) + (Q130)*(IF((YEAR(D130)+10)&lt;YEAR(E130),0,IF((YEAR(D130)+10)&gt;YEAR(E130),1,(12-MONTH(E130)+1)/12))))-((P130)*(IF((YEAR(D130)+10)&lt;YEAR(E130),0,IF((YEAR(D130)+10)&gt;YEAR(E130),1,(12-MONTH(E130)+1)/12))) + (R130)*(IF((YEAR(D130)+10)&lt;YEAR(E130),0,IF((YEAR(D130)+10)&gt;YEAR(E130),1,(12-MONTH(E130)+1)/12))))-(IF((((K130)*(IF(M130="",L130,IFERROR(IF(INDEX(Variablen!$I:$AT, MATCH(M130, Variablen!$A:$A, 0), MATCH((YEAR(D130)+10), Variablen!$I$3:$AT$3, 0))="",L130,INDEX(Variablen!$I:$AT, MATCH(M130, Variablen!$A:$A, 0), MATCH((YEAR(D130)+10), Variablen!$I$3:$AT$3, 0))),L130)))*(IF((YEAR(D130)+10)&lt;YEAR(E130),0,IF((YEAR(D130)+10)&gt;YEAR(E130),1,(12-MONTH(E130)+1)/12))) + (Q130)*(IF((YEAR(D130)+10)&lt;YEAR(E130),0,IF((YEAR(D130)+10)&gt;YEAR(E130),1,(12-MONTH(E130)+1)/12))))-((P130)*(IF((YEAR(D130)+10)&lt;YEAR(E130),0,IF((YEAR(D130)+10)&gt;YEAR(E130),1,(12-MONTH(E130)+1)/12))) + (R130)*(IF((YEAR(D130)+10)&lt;YEAR(E130),0,IF((YEAR(D130)+10)&gt;YEAR(E130),1,(12-MONTH(E130)+1)/12))))-(IF(OR(N130="",N130&lt;=0),0,(O130/N130)*(IF(OR(N130="",N130&lt;=0),0,IF((YEAR(D130)+10)&lt;YEAR(E130),0,IF((YEAR(D130)+10)&gt;=YEAR(E130)+N130,0,IF((YEAR(D130)+10)=YEAR(E130),(12-MONTH(E130)+1)/12,1))))))))&gt;0,(((K130)*(IF(M130="",L130,IFERROR(IF(INDEX(Variablen!$I:$AT, MATCH(M130, Variablen!$A:$A, 0), MATCH((YEAR(D130)+10), Variablen!$I$3:$AT$3, 0))="",L130,INDEX(Variablen!$I:$AT, MATCH(M130, Variablen!$A:$A, 0), MATCH((YEAR(D130)+10), Variablen!$I$3:$AT$3, 0))),L130)))*(IF((YEAR(D130)+10)&lt;YEAR(E130),0,IF((YEAR(D130)+10)&gt;YEAR(E130),1,(12-MONTH(E130)+1)/12))) + (Q130)*(IF((YEAR(D130)+10)&lt;YEAR(E130),0,IF((YEAR(D130)+10)&gt;YEAR(E130),1,(12-MONTH(E130)+1)/12))))-((P130)*(IF((YEAR(D130)+10)&lt;YEAR(E130),0,IF((YEAR(D130)+10)&gt;YEAR(E130),1,(12-MONTH(E130)+1)/12))) + (R130)*(IF((YEAR(D130)+10)&lt;YEAR(E130),0,IF((YEAR(D130)+10)&gt;YEAR(E130),1,(12-MONTH(E130)+1)/12))))-(IF(OR(N130="",N130&lt;=0),0,(O130/N130)*(IF(OR(N130="",N130&lt;=0),0,IF((YEAR(D130)+10)&lt;YEAR(E130),0,IF((YEAR(D130)+10)&gt;=YEAR(E130)+N130,0,IF((YEAR(D130)+10)=YEAR(E130),(12-MONTH(E130)+1)/12,1))))))))*TaxRate,0))-IF(10=0,O130,0))</f>
        <v/>
      </c>
      <c r="AD130" s="29">
        <f>IF(A130="","",((K130)*(IF(M130="",L130,IFERROR(IF(INDEX(Variablen!$I:$AT, MATCH(M130, Variablen!$A:$A, 0), MATCH((YEAR(D130)+11), Variablen!$I$3:$AT$3, 0))="",L130,INDEX(Variablen!$I:$AT, MATCH(M130, Variablen!$A:$A, 0), MATCH((YEAR(D130)+11), Variablen!$I$3:$AT$3, 0))),L130)))*(IF((YEAR(D130)+11)&lt;YEAR(E130),0,IF((YEAR(D130)+11)&gt;YEAR(E130),1,(12-MONTH(E130)+1)/12))) + (Q130)*(IF((YEAR(D130)+11)&lt;YEAR(E130),0,IF((YEAR(D130)+11)&gt;YEAR(E130),1,(12-MONTH(E130)+1)/12))))-((P130)*(IF((YEAR(D130)+11)&lt;YEAR(E130),0,IF((YEAR(D130)+11)&gt;YEAR(E130),1,(12-MONTH(E130)+1)/12))) + (R130)*(IF((YEAR(D130)+11)&lt;YEAR(E130),0,IF((YEAR(D130)+11)&gt;YEAR(E130),1,(12-MONTH(E130)+1)/12))))-(IF((((K130)*(IF(M130="",L130,IFERROR(IF(INDEX(Variablen!$I:$AT, MATCH(M130, Variablen!$A:$A, 0), MATCH((YEAR(D130)+11), Variablen!$I$3:$AT$3, 0))="",L130,INDEX(Variablen!$I:$AT, MATCH(M130, Variablen!$A:$A, 0), MATCH((YEAR(D130)+11), Variablen!$I$3:$AT$3, 0))),L130)))*(IF((YEAR(D130)+11)&lt;YEAR(E130),0,IF((YEAR(D130)+11)&gt;YEAR(E130),1,(12-MONTH(E130)+1)/12))) + (Q130)*(IF((YEAR(D130)+11)&lt;YEAR(E130),0,IF((YEAR(D130)+11)&gt;YEAR(E130),1,(12-MONTH(E130)+1)/12))))-((P130)*(IF((YEAR(D130)+11)&lt;YEAR(E130),0,IF((YEAR(D130)+11)&gt;YEAR(E130),1,(12-MONTH(E130)+1)/12))) + (R130)*(IF((YEAR(D130)+11)&lt;YEAR(E130),0,IF((YEAR(D130)+11)&gt;YEAR(E130),1,(12-MONTH(E130)+1)/12))))-(IF(OR(N130="",N130&lt;=0),0,(O130/N130)*(IF(OR(N130="",N130&lt;=0),0,IF((YEAR(D130)+11)&lt;YEAR(E130),0,IF((YEAR(D130)+11)&gt;=YEAR(E130)+N130,0,IF((YEAR(D130)+11)=YEAR(E130),(12-MONTH(E130)+1)/12,1))))))))&gt;0,(((K130)*(IF(M130="",L130,IFERROR(IF(INDEX(Variablen!$I:$AT, MATCH(M130, Variablen!$A:$A, 0), MATCH((YEAR(D130)+11), Variablen!$I$3:$AT$3, 0))="",L130,INDEX(Variablen!$I:$AT, MATCH(M130, Variablen!$A:$A, 0), MATCH((YEAR(D130)+11), Variablen!$I$3:$AT$3, 0))),L130)))*(IF((YEAR(D130)+11)&lt;YEAR(E130),0,IF((YEAR(D130)+11)&gt;YEAR(E130),1,(12-MONTH(E130)+1)/12))) + (Q130)*(IF((YEAR(D130)+11)&lt;YEAR(E130),0,IF((YEAR(D130)+11)&gt;YEAR(E130),1,(12-MONTH(E130)+1)/12))))-((P130)*(IF((YEAR(D130)+11)&lt;YEAR(E130),0,IF((YEAR(D130)+11)&gt;YEAR(E130),1,(12-MONTH(E130)+1)/12))) + (R130)*(IF((YEAR(D130)+11)&lt;YEAR(E130),0,IF((YEAR(D130)+11)&gt;YEAR(E130),1,(12-MONTH(E130)+1)/12))))-(IF(OR(N130="",N130&lt;=0),0,(O130/N130)*(IF(OR(N130="",N130&lt;=0),0,IF((YEAR(D130)+11)&lt;YEAR(E130),0,IF((YEAR(D130)+11)&gt;=YEAR(E130)+N130,0,IF((YEAR(D130)+11)=YEAR(E130),(12-MONTH(E130)+1)/12,1))))))))*TaxRate,0))-IF(11=0,O130,0))</f>
        <v/>
      </c>
      <c r="AE130" s="29">
        <f>IF(A130="","",((K130)*(IF(M130="",L130,IFERROR(IF(INDEX(Variablen!$I:$AT, MATCH(M130, Variablen!$A:$A, 0), MATCH((YEAR(D130)+12), Variablen!$I$3:$AT$3, 0))="",L130,INDEX(Variablen!$I:$AT, MATCH(M130, Variablen!$A:$A, 0), MATCH((YEAR(D130)+12), Variablen!$I$3:$AT$3, 0))),L130)))*(IF((YEAR(D130)+12)&lt;YEAR(E130),0,IF((YEAR(D130)+12)&gt;YEAR(E130),1,(12-MONTH(E130)+1)/12))) + (Q130)*(IF((YEAR(D130)+12)&lt;YEAR(E130),0,IF((YEAR(D130)+12)&gt;YEAR(E130),1,(12-MONTH(E130)+1)/12))))-((P130)*(IF((YEAR(D130)+12)&lt;YEAR(E130),0,IF((YEAR(D130)+12)&gt;YEAR(E130),1,(12-MONTH(E130)+1)/12))) + (R130)*(IF((YEAR(D130)+12)&lt;YEAR(E130),0,IF((YEAR(D130)+12)&gt;YEAR(E130),1,(12-MONTH(E130)+1)/12))))-(IF((((K130)*(IF(M130="",L130,IFERROR(IF(INDEX(Variablen!$I:$AT, MATCH(M130, Variablen!$A:$A, 0), MATCH((YEAR(D130)+12), Variablen!$I$3:$AT$3, 0))="",L130,INDEX(Variablen!$I:$AT, MATCH(M130, Variablen!$A:$A, 0), MATCH((YEAR(D130)+12), Variablen!$I$3:$AT$3, 0))),L130)))*(IF((YEAR(D130)+12)&lt;YEAR(E130),0,IF((YEAR(D130)+12)&gt;YEAR(E130),1,(12-MONTH(E130)+1)/12))) + (Q130)*(IF((YEAR(D130)+12)&lt;YEAR(E130),0,IF((YEAR(D130)+12)&gt;YEAR(E130),1,(12-MONTH(E130)+1)/12))))-((P130)*(IF((YEAR(D130)+12)&lt;YEAR(E130),0,IF((YEAR(D130)+12)&gt;YEAR(E130),1,(12-MONTH(E130)+1)/12))) + (R130)*(IF((YEAR(D130)+12)&lt;YEAR(E130),0,IF((YEAR(D130)+12)&gt;YEAR(E130),1,(12-MONTH(E130)+1)/12))))-(IF(OR(N130="",N130&lt;=0),0,(O130/N130)*(IF(OR(N130="",N130&lt;=0),0,IF((YEAR(D130)+12)&lt;YEAR(E130),0,IF((YEAR(D130)+12)&gt;=YEAR(E130)+N130,0,IF((YEAR(D130)+12)=YEAR(E130),(12-MONTH(E130)+1)/12,1))))))))&gt;0,(((K130)*(IF(M130="",L130,IFERROR(IF(INDEX(Variablen!$I:$AT, MATCH(M130, Variablen!$A:$A, 0), MATCH((YEAR(D130)+12), Variablen!$I$3:$AT$3, 0))="",L130,INDEX(Variablen!$I:$AT, MATCH(M130, Variablen!$A:$A, 0), MATCH((YEAR(D130)+12), Variablen!$I$3:$AT$3, 0))),L130)))*(IF((YEAR(D130)+12)&lt;YEAR(E130),0,IF((YEAR(D130)+12)&gt;YEAR(E130),1,(12-MONTH(E130)+1)/12))) + (Q130)*(IF((YEAR(D130)+12)&lt;YEAR(E130),0,IF((YEAR(D130)+12)&gt;YEAR(E130),1,(12-MONTH(E130)+1)/12))))-((P130)*(IF((YEAR(D130)+12)&lt;YEAR(E130),0,IF((YEAR(D130)+12)&gt;YEAR(E130),1,(12-MONTH(E130)+1)/12))) + (R130)*(IF((YEAR(D130)+12)&lt;YEAR(E130),0,IF((YEAR(D130)+12)&gt;YEAR(E130),1,(12-MONTH(E130)+1)/12))))-(IF(OR(N130="",N130&lt;=0),0,(O130/N130)*(IF(OR(N130="",N130&lt;=0),0,IF((YEAR(D130)+12)&lt;YEAR(E130),0,IF((YEAR(D130)+12)&gt;=YEAR(E130)+N130,0,IF((YEAR(D130)+12)=YEAR(E130),(12-MONTH(E130)+1)/12,1))))))))*TaxRate,0))-IF(12=0,O130,0))</f>
        <v/>
      </c>
      <c r="AF130" s="29">
        <f>IF(A130="","",((K130)*(IF(M130="",L130,IFERROR(IF(INDEX(Variablen!$I:$AT, MATCH(M130, Variablen!$A:$A, 0), MATCH((YEAR(D130)+13), Variablen!$I$3:$AT$3, 0))="",L130,INDEX(Variablen!$I:$AT, MATCH(M130, Variablen!$A:$A, 0), MATCH((YEAR(D130)+13), Variablen!$I$3:$AT$3, 0))),L130)))*(IF((YEAR(D130)+13)&lt;YEAR(E130),0,IF((YEAR(D130)+13)&gt;YEAR(E130),1,(12-MONTH(E130)+1)/12))) + (Q130)*(IF((YEAR(D130)+13)&lt;YEAR(E130),0,IF((YEAR(D130)+13)&gt;YEAR(E130),1,(12-MONTH(E130)+1)/12))))-((P130)*(IF((YEAR(D130)+13)&lt;YEAR(E130),0,IF((YEAR(D130)+13)&gt;YEAR(E130),1,(12-MONTH(E130)+1)/12))) + (R130)*(IF((YEAR(D130)+13)&lt;YEAR(E130),0,IF((YEAR(D130)+13)&gt;YEAR(E130),1,(12-MONTH(E130)+1)/12))))-(IF((((K130)*(IF(M130="",L130,IFERROR(IF(INDEX(Variablen!$I:$AT, MATCH(M130, Variablen!$A:$A, 0), MATCH((YEAR(D130)+13), Variablen!$I$3:$AT$3, 0))="",L130,INDEX(Variablen!$I:$AT, MATCH(M130, Variablen!$A:$A, 0), MATCH((YEAR(D130)+13), Variablen!$I$3:$AT$3, 0))),L130)))*(IF((YEAR(D130)+13)&lt;YEAR(E130),0,IF((YEAR(D130)+13)&gt;YEAR(E130),1,(12-MONTH(E130)+1)/12))) + (Q130)*(IF((YEAR(D130)+13)&lt;YEAR(E130),0,IF((YEAR(D130)+13)&gt;YEAR(E130),1,(12-MONTH(E130)+1)/12))))-((P130)*(IF((YEAR(D130)+13)&lt;YEAR(E130),0,IF((YEAR(D130)+13)&gt;YEAR(E130),1,(12-MONTH(E130)+1)/12))) + (R130)*(IF((YEAR(D130)+13)&lt;YEAR(E130),0,IF((YEAR(D130)+13)&gt;YEAR(E130),1,(12-MONTH(E130)+1)/12))))-(IF(OR(N130="",N130&lt;=0),0,(O130/N130)*(IF(OR(N130="",N130&lt;=0),0,IF((YEAR(D130)+13)&lt;YEAR(E130),0,IF((YEAR(D130)+13)&gt;=YEAR(E130)+N130,0,IF((YEAR(D130)+13)=YEAR(E130),(12-MONTH(E130)+1)/12,1))))))))&gt;0,(((K130)*(IF(M130="",L130,IFERROR(IF(INDEX(Variablen!$I:$AT, MATCH(M130, Variablen!$A:$A, 0), MATCH((YEAR(D130)+13), Variablen!$I$3:$AT$3, 0))="",L130,INDEX(Variablen!$I:$AT, MATCH(M130, Variablen!$A:$A, 0), MATCH((YEAR(D130)+13), Variablen!$I$3:$AT$3, 0))),L130)))*(IF((YEAR(D130)+13)&lt;YEAR(E130),0,IF((YEAR(D130)+13)&gt;YEAR(E130),1,(12-MONTH(E130)+1)/12))) + (Q130)*(IF((YEAR(D130)+13)&lt;YEAR(E130),0,IF((YEAR(D130)+13)&gt;YEAR(E130),1,(12-MONTH(E130)+1)/12))))-((P130)*(IF((YEAR(D130)+13)&lt;YEAR(E130),0,IF((YEAR(D130)+13)&gt;YEAR(E130),1,(12-MONTH(E130)+1)/12))) + (R130)*(IF((YEAR(D130)+13)&lt;YEAR(E130),0,IF((YEAR(D130)+13)&gt;YEAR(E130),1,(12-MONTH(E130)+1)/12))))-(IF(OR(N130="",N130&lt;=0),0,(O130/N130)*(IF(OR(N130="",N130&lt;=0),0,IF((YEAR(D130)+13)&lt;YEAR(E130),0,IF((YEAR(D130)+13)&gt;=YEAR(E130)+N130,0,IF((YEAR(D130)+13)=YEAR(E130),(12-MONTH(E130)+1)/12,1))))))))*TaxRate,0))-IF(13=0,O130,0))</f>
        <v/>
      </c>
      <c r="AG130" s="29">
        <f>IF(A130="","",((K130)*(IF(M130="",L130,IFERROR(IF(INDEX(Variablen!$I:$AT, MATCH(M130, Variablen!$A:$A, 0), MATCH((YEAR(D130)+14), Variablen!$I$3:$AT$3, 0))="",L130,INDEX(Variablen!$I:$AT, MATCH(M130, Variablen!$A:$A, 0), MATCH((YEAR(D130)+14), Variablen!$I$3:$AT$3, 0))),L130)))*(IF((YEAR(D130)+14)&lt;YEAR(E130),0,IF((YEAR(D130)+14)&gt;YEAR(E130),1,(12-MONTH(E130)+1)/12))) + (Q130)*(IF((YEAR(D130)+14)&lt;YEAR(E130),0,IF((YEAR(D130)+14)&gt;YEAR(E130),1,(12-MONTH(E130)+1)/12))))-((P130)*(IF((YEAR(D130)+14)&lt;YEAR(E130),0,IF((YEAR(D130)+14)&gt;YEAR(E130),1,(12-MONTH(E130)+1)/12))) + (R130)*(IF((YEAR(D130)+14)&lt;YEAR(E130),0,IF((YEAR(D130)+14)&gt;YEAR(E130),1,(12-MONTH(E130)+1)/12))))-(IF((((K130)*(IF(M130="",L130,IFERROR(IF(INDEX(Variablen!$I:$AT, MATCH(M130, Variablen!$A:$A, 0), MATCH((YEAR(D130)+14), Variablen!$I$3:$AT$3, 0))="",L130,INDEX(Variablen!$I:$AT, MATCH(M130, Variablen!$A:$A, 0), MATCH((YEAR(D130)+14), Variablen!$I$3:$AT$3, 0))),L130)))*(IF((YEAR(D130)+14)&lt;YEAR(E130),0,IF((YEAR(D130)+14)&gt;YEAR(E130),1,(12-MONTH(E130)+1)/12))) + (Q130)*(IF((YEAR(D130)+14)&lt;YEAR(E130),0,IF((YEAR(D130)+14)&gt;YEAR(E130),1,(12-MONTH(E130)+1)/12))))-((P130)*(IF((YEAR(D130)+14)&lt;YEAR(E130),0,IF((YEAR(D130)+14)&gt;YEAR(E130),1,(12-MONTH(E130)+1)/12))) + (R130)*(IF((YEAR(D130)+14)&lt;YEAR(E130),0,IF((YEAR(D130)+14)&gt;YEAR(E130),1,(12-MONTH(E130)+1)/12))))-(IF(OR(N130="",N130&lt;=0),0,(O130/N130)*(IF(OR(N130="",N130&lt;=0),0,IF((YEAR(D130)+14)&lt;YEAR(E130),0,IF((YEAR(D130)+14)&gt;=YEAR(E130)+N130,0,IF((YEAR(D130)+14)=YEAR(E130),(12-MONTH(E130)+1)/12,1))))))))&gt;0,(((K130)*(IF(M130="",L130,IFERROR(IF(INDEX(Variablen!$I:$AT, MATCH(M130, Variablen!$A:$A, 0), MATCH((YEAR(D130)+14), Variablen!$I$3:$AT$3, 0))="",L130,INDEX(Variablen!$I:$AT, MATCH(M130, Variablen!$A:$A, 0), MATCH((YEAR(D130)+14), Variablen!$I$3:$AT$3, 0))),L130)))*(IF((YEAR(D130)+14)&lt;YEAR(E130),0,IF((YEAR(D130)+14)&gt;YEAR(E130),1,(12-MONTH(E130)+1)/12))) + (Q130)*(IF((YEAR(D130)+14)&lt;YEAR(E130),0,IF((YEAR(D130)+14)&gt;YEAR(E130),1,(12-MONTH(E130)+1)/12))))-((P130)*(IF((YEAR(D130)+14)&lt;YEAR(E130),0,IF((YEAR(D130)+14)&gt;YEAR(E130),1,(12-MONTH(E130)+1)/12))) + (R130)*(IF((YEAR(D130)+14)&lt;YEAR(E130),0,IF((YEAR(D130)+14)&gt;YEAR(E130),1,(12-MONTH(E130)+1)/12))))-(IF(OR(N130="",N130&lt;=0),0,(O130/N130)*(IF(OR(N130="",N130&lt;=0),0,IF((YEAR(D130)+14)&lt;YEAR(E130),0,IF((YEAR(D130)+14)&gt;=YEAR(E130)+N130,0,IF((YEAR(D130)+14)=YEAR(E130),(12-MONTH(E130)+1)/12,1))))))))*TaxRate,0))-IF(14=0,O130,0))</f>
        <v/>
      </c>
      <c r="AH130" s="29">
        <f>IF(A130="","",((K130)*(IF(M130="",L130,IFERROR(IF(INDEX(Variablen!$I:$AT, MATCH(M130, Variablen!$A:$A, 0), MATCH((YEAR(D130)+15), Variablen!$I$3:$AT$3, 0))="",L130,INDEX(Variablen!$I:$AT, MATCH(M130, Variablen!$A:$A, 0), MATCH((YEAR(D130)+15), Variablen!$I$3:$AT$3, 0))),L130)))*(IF((YEAR(D130)+15)&lt;YEAR(E130),0,IF((YEAR(D130)+15)&gt;YEAR(E130),1,(12-MONTH(E130)+1)/12))) + (Q130)*(IF((YEAR(D130)+15)&lt;YEAR(E130),0,IF((YEAR(D130)+15)&gt;YEAR(E130),1,(12-MONTH(E130)+1)/12))))-((P130)*(IF((YEAR(D130)+15)&lt;YEAR(E130),0,IF((YEAR(D130)+15)&gt;YEAR(E130),1,(12-MONTH(E130)+1)/12))) + (R130)*(IF((YEAR(D130)+15)&lt;YEAR(E130),0,IF((YEAR(D130)+15)&gt;YEAR(E130),1,(12-MONTH(E130)+1)/12))))-(IF((((K130)*(IF(M130="",L130,IFERROR(IF(INDEX(Variablen!$I:$AT, MATCH(M130, Variablen!$A:$A, 0), MATCH((YEAR(D130)+15), Variablen!$I$3:$AT$3, 0))="",L130,INDEX(Variablen!$I:$AT, MATCH(M130, Variablen!$A:$A, 0), MATCH((YEAR(D130)+15), Variablen!$I$3:$AT$3, 0))),L130)))*(IF((YEAR(D130)+15)&lt;YEAR(E130),0,IF((YEAR(D130)+15)&gt;YEAR(E130),1,(12-MONTH(E130)+1)/12))) + (Q130)*(IF((YEAR(D130)+15)&lt;YEAR(E130),0,IF((YEAR(D130)+15)&gt;YEAR(E130),1,(12-MONTH(E130)+1)/12))))-((P130)*(IF((YEAR(D130)+15)&lt;YEAR(E130),0,IF((YEAR(D130)+15)&gt;YEAR(E130),1,(12-MONTH(E130)+1)/12))) + (R130)*(IF((YEAR(D130)+15)&lt;YEAR(E130),0,IF((YEAR(D130)+15)&gt;YEAR(E130),1,(12-MONTH(E130)+1)/12))))-(IF(OR(N130="",N130&lt;=0),0,(O130/N130)*(IF(OR(N130="",N130&lt;=0),0,IF((YEAR(D130)+15)&lt;YEAR(E130),0,IF((YEAR(D130)+15)&gt;=YEAR(E130)+N130,0,IF((YEAR(D130)+15)=YEAR(E130),(12-MONTH(E130)+1)/12,1))))))))&gt;0,(((K130)*(IF(M130="",L130,IFERROR(IF(INDEX(Variablen!$I:$AT, MATCH(M130, Variablen!$A:$A, 0), MATCH((YEAR(D130)+15), Variablen!$I$3:$AT$3, 0))="",L130,INDEX(Variablen!$I:$AT, MATCH(M130, Variablen!$A:$A, 0), MATCH((YEAR(D130)+15), Variablen!$I$3:$AT$3, 0))),L130)))*(IF((YEAR(D130)+15)&lt;YEAR(E130),0,IF((YEAR(D130)+15)&gt;YEAR(E130),1,(12-MONTH(E130)+1)/12))) + (Q130)*(IF((YEAR(D130)+15)&lt;YEAR(E130),0,IF((YEAR(D130)+15)&gt;YEAR(E130),1,(12-MONTH(E130)+1)/12))))-((P130)*(IF((YEAR(D130)+15)&lt;YEAR(E130),0,IF((YEAR(D130)+15)&gt;YEAR(E130),1,(12-MONTH(E130)+1)/12))) + (R130)*(IF((YEAR(D130)+15)&lt;YEAR(E130),0,IF((YEAR(D130)+15)&gt;YEAR(E130),1,(12-MONTH(E130)+1)/12))))-(IF(OR(N130="",N130&lt;=0),0,(O130/N130)*(IF(OR(N130="",N130&lt;=0),0,IF((YEAR(D130)+15)&lt;YEAR(E130),0,IF((YEAR(D130)+15)&gt;=YEAR(E130)+N130,0,IF((YEAR(D130)+15)=YEAR(E130),(12-MONTH(E130)+1)/12,1))))))))*TaxRate,0))-IF(15=0,O130,0))</f>
        <v/>
      </c>
      <c r="AI130" s="29">
        <f>IF(A130="","",((K130)*(IF(M130="",L130,IFERROR(IF(INDEX(Variablen!$I:$AT, MATCH(M130, Variablen!$A:$A, 0), MATCH((YEAR(D130)+16), Variablen!$I$3:$AT$3, 0))="",L130,INDEX(Variablen!$I:$AT, MATCH(M130, Variablen!$A:$A, 0), MATCH((YEAR(D130)+16), Variablen!$I$3:$AT$3, 0))),L130)))*(IF((YEAR(D130)+16)&lt;YEAR(E130),0,IF((YEAR(D130)+16)&gt;YEAR(E130),1,(12-MONTH(E130)+1)/12))) + (Q130)*(IF((YEAR(D130)+16)&lt;YEAR(E130),0,IF((YEAR(D130)+16)&gt;YEAR(E130),1,(12-MONTH(E130)+1)/12))))-((P130)*(IF((YEAR(D130)+16)&lt;YEAR(E130),0,IF((YEAR(D130)+16)&gt;YEAR(E130),1,(12-MONTH(E130)+1)/12))) + (R130)*(IF((YEAR(D130)+16)&lt;YEAR(E130),0,IF((YEAR(D130)+16)&gt;YEAR(E130),1,(12-MONTH(E130)+1)/12))))-(IF((((K130)*(IF(M130="",L130,IFERROR(IF(INDEX(Variablen!$I:$AT, MATCH(M130, Variablen!$A:$A, 0), MATCH((YEAR(D130)+16), Variablen!$I$3:$AT$3, 0))="",L130,INDEX(Variablen!$I:$AT, MATCH(M130, Variablen!$A:$A, 0), MATCH((YEAR(D130)+16), Variablen!$I$3:$AT$3, 0))),L130)))*(IF((YEAR(D130)+16)&lt;YEAR(E130),0,IF((YEAR(D130)+16)&gt;YEAR(E130),1,(12-MONTH(E130)+1)/12))) + (Q130)*(IF((YEAR(D130)+16)&lt;YEAR(E130),0,IF((YEAR(D130)+16)&gt;YEAR(E130),1,(12-MONTH(E130)+1)/12))))-((P130)*(IF((YEAR(D130)+16)&lt;YEAR(E130),0,IF((YEAR(D130)+16)&gt;YEAR(E130),1,(12-MONTH(E130)+1)/12))) + (R130)*(IF((YEAR(D130)+16)&lt;YEAR(E130),0,IF((YEAR(D130)+16)&gt;YEAR(E130),1,(12-MONTH(E130)+1)/12))))-(IF(OR(N130="",N130&lt;=0),0,(O130/N130)*(IF(OR(N130="",N130&lt;=0),0,IF((YEAR(D130)+16)&lt;YEAR(E130),0,IF((YEAR(D130)+16)&gt;=YEAR(E130)+N130,0,IF((YEAR(D130)+16)=YEAR(E130),(12-MONTH(E130)+1)/12,1))))))))&gt;0,(((K130)*(IF(M130="",L130,IFERROR(IF(INDEX(Variablen!$I:$AT, MATCH(M130, Variablen!$A:$A, 0), MATCH((YEAR(D130)+16), Variablen!$I$3:$AT$3, 0))="",L130,INDEX(Variablen!$I:$AT, MATCH(M130, Variablen!$A:$A, 0), MATCH((YEAR(D130)+16), Variablen!$I$3:$AT$3, 0))),L130)))*(IF((YEAR(D130)+16)&lt;YEAR(E130),0,IF((YEAR(D130)+16)&gt;YEAR(E130),1,(12-MONTH(E130)+1)/12))) + (Q130)*(IF((YEAR(D130)+16)&lt;YEAR(E130),0,IF((YEAR(D130)+16)&gt;YEAR(E130),1,(12-MONTH(E130)+1)/12))))-((P130)*(IF((YEAR(D130)+16)&lt;YEAR(E130),0,IF((YEAR(D130)+16)&gt;YEAR(E130),1,(12-MONTH(E130)+1)/12))) + (R130)*(IF((YEAR(D130)+16)&lt;YEAR(E130),0,IF((YEAR(D130)+16)&gt;YEAR(E130),1,(12-MONTH(E130)+1)/12))))-(IF(OR(N130="",N130&lt;=0),0,(O130/N130)*(IF(OR(N130="",N130&lt;=0),0,IF((YEAR(D130)+16)&lt;YEAR(E130),0,IF((YEAR(D130)+16)&gt;=YEAR(E130)+N130,0,IF((YEAR(D130)+16)=YEAR(E130),(12-MONTH(E130)+1)/12,1))))))))*TaxRate,0))-IF(16=0,O130,0))</f>
        <v/>
      </c>
      <c r="AJ130" s="29">
        <f>IF(A130="","",((K130)*(IF(M130="",L130,IFERROR(IF(INDEX(Variablen!$I:$AT, MATCH(M130, Variablen!$A:$A, 0), MATCH((YEAR(D130)+17), Variablen!$I$3:$AT$3, 0))="",L130,INDEX(Variablen!$I:$AT, MATCH(M130, Variablen!$A:$A, 0), MATCH((YEAR(D130)+17), Variablen!$I$3:$AT$3, 0))),L130)))*(IF((YEAR(D130)+17)&lt;YEAR(E130),0,IF((YEAR(D130)+17)&gt;YEAR(E130),1,(12-MONTH(E130)+1)/12))) + (Q130)*(IF((YEAR(D130)+17)&lt;YEAR(E130),0,IF((YEAR(D130)+17)&gt;YEAR(E130),1,(12-MONTH(E130)+1)/12))))-((P130)*(IF((YEAR(D130)+17)&lt;YEAR(E130),0,IF((YEAR(D130)+17)&gt;YEAR(E130),1,(12-MONTH(E130)+1)/12))) + (R130)*(IF((YEAR(D130)+17)&lt;YEAR(E130),0,IF((YEAR(D130)+17)&gt;YEAR(E130),1,(12-MONTH(E130)+1)/12))))-(IF((((K130)*(IF(M130="",L130,IFERROR(IF(INDEX(Variablen!$I:$AT, MATCH(M130, Variablen!$A:$A, 0), MATCH((YEAR(D130)+17), Variablen!$I$3:$AT$3, 0))="",L130,INDEX(Variablen!$I:$AT, MATCH(M130, Variablen!$A:$A, 0), MATCH((YEAR(D130)+17), Variablen!$I$3:$AT$3, 0))),L130)))*(IF((YEAR(D130)+17)&lt;YEAR(E130),0,IF((YEAR(D130)+17)&gt;YEAR(E130),1,(12-MONTH(E130)+1)/12))) + (Q130)*(IF((YEAR(D130)+17)&lt;YEAR(E130),0,IF((YEAR(D130)+17)&gt;YEAR(E130),1,(12-MONTH(E130)+1)/12))))-((P130)*(IF((YEAR(D130)+17)&lt;YEAR(E130),0,IF((YEAR(D130)+17)&gt;YEAR(E130),1,(12-MONTH(E130)+1)/12))) + (R130)*(IF((YEAR(D130)+17)&lt;YEAR(E130),0,IF((YEAR(D130)+17)&gt;YEAR(E130),1,(12-MONTH(E130)+1)/12))))-(IF(OR(N130="",N130&lt;=0),0,(O130/N130)*(IF(OR(N130="",N130&lt;=0),0,IF((YEAR(D130)+17)&lt;YEAR(E130),0,IF((YEAR(D130)+17)&gt;=YEAR(E130)+N130,0,IF((YEAR(D130)+17)=YEAR(E130),(12-MONTH(E130)+1)/12,1))))))))&gt;0,(((K130)*(IF(M130="",L130,IFERROR(IF(INDEX(Variablen!$I:$AT, MATCH(M130, Variablen!$A:$A, 0), MATCH((YEAR(D130)+17), Variablen!$I$3:$AT$3, 0))="",L130,INDEX(Variablen!$I:$AT, MATCH(M130, Variablen!$A:$A, 0), MATCH((YEAR(D130)+17), Variablen!$I$3:$AT$3, 0))),L130)))*(IF((YEAR(D130)+17)&lt;YEAR(E130),0,IF((YEAR(D130)+17)&gt;YEAR(E130),1,(12-MONTH(E130)+1)/12))) + (Q130)*(IF((YEAR(D130)+17)&lt;YEAR(E130),0,IF((YEAR(D130)+17)&gt;YEAR(E130),1,(12-MONTH(E130)+1)/12))))-((P130)*(IF((YEAR(D130)+17)&lt;YEAR(E130),0,IF((YEAR(D130)+17)&gt;YEAR(E130),1,(12-MONTH(E130)+1)/12))) + (R130)*(IF((YEAR(D130)+17)&lt;YEAR(E130),0,IF((YEAR(D130)+17)&gt;YEAR(E130),1,(12-MONTH(E130)+1)/12))))-(IF(OR(N130="",N130&lt;=0),0,(O130/N130)*(IF(OR(N130="",N130&lt;=0),0,IF((YEAR(D130)+17)&lt;YEAR(E130),0,IF((YEAR(D130)+17)&gt;=YEAR(E130)+N130,0,IF((YEAR(D130)+17)=YEAR(E130),(12-MONTH(E130)+1)/12,1))))))))*TaxRate,0))-IF(17=0,O130,0))</f>
        <v/>
      </c>
      <c r="AK130" s="29">
        <f>IF(A130="","",((K130)*(IF(M130="",L130,IFERROR(IF(INDEX(Variablen!$I:$AT, MATCH(M130, Variablen!$A:$A, 0), MATCH((YEAR(D130)+18), Variablen!$I$3:$AT$3, 0))="",L130,INDEX(Variablen!$I:$AT, MATCH(M130, Variablen!$A:$A, 0), MATCH((YEAR(D130)+18), Variablen!$I$3:$AT$3, 0))),L130)))*(IF((YEAR(D130)+18)&lt;YEAR(E130),0,IF((YEAR(D130)+18)&gt;YEAR(E130),1,(12-MONTH(E130)+1)/12))) + (Q130)*(IF((YEAR(D130)+18)&lt;YEAR(E130),0,IF((YEAR(D130)+18)&gt;YEAR(E130),1,(12-MONTH(E130)+1)/12))))-((P130)*(IF((YEAR(D130)+18)&lt;YEAR(E130),0,IF((YEAR(D130)+18)&gt;YEAR(E130),1,(12-MONTH(E130)+1)/12))) + (R130)*(IF((YEAR(D130)+18)&lt;YEAR(E130),0,IF((YEAR(D130)+18)&gt;YEAR(E130),1,(12-MONTH(E130)+1)/12))))-(IF((((K130)*(IF(M130="",L130,IFERROR(IF(INDEX(Variablen!$I:$AT, MATCH(M130, Variablen!$A:$A, 0), MATCH((YEAR(D130)+18), Variablen!$I$3:$AT$3, 0))="",L130,INDEX(Variablen!$I:$AT, MATCH(M130, Variablen!$A:$A, 0), MATCH((YEAR(D130)+18), Variablen!$I$3:$AT$3, 0))),L130)))*(IF((YEAR(D130)+18)&lt;YEAR(E130),0,IF((YEAR(D130)+18)&gt;YEAR(E130),1,(12-MONTH(E130)+1)/12))) + (Q130)*(IF((YEAR(D130)+18)&lt;YEAR(E130),0,IF((YEAR(D130)+18)&gt;YEAR(E130),1,(12-MONTH(E130)+1)/12))))-((P130)*(IF((YEAR(D130)+18)&lt;YEAR(E130),0,IF((YEAR(D130)+18)&gt;YEAR(E130),1,(12-MONTH(E130)+1)/12))) + (R130)*(IF((YEAR(D130)+18)&lt;YEAR(E130),0,IF((YEAR(D130)+18)&gt;YEAR(E130),1,(12-MONTH(E130)+1)/12))))-(IF(OR(N130="",N130&lt;=0),0,(O130/N130)*(IF(OR(N130="",N130&lt;=0),0,IF((YEAR(D130)+18)&lt;YEAR(E130),0,IF((YEAR(D130)+18)&gt;=YEAR(E130)+N130,0,IF((YEAR(D130)+18)=YEAR(E130),(12-MONTH(E130)+1)/12,1))))))))&gt;0,(((K130)*(IF(M130="",L130,IFERROR(IF(INDEX(Variablen!$I:$AT, MATCH(M130, Variablen!$A:$A, 0), MATCH((YEAR(D130)+18), Variablen!$I$3:$AT$3, 0))="",L130,INDEX(Variablen!$I:$AT, MATCH(M130, Variablen!$A:$A, 0), MATCH((YEAR(D130)+18), Variablen!$I$3:$AT$3, 0))),L130)))*(IF((YEAR(D130)+18)&lt;YEAR(E130),0,IF((YEAR(D130)+18)&gt;YEAR(E130),1,(12-MONTH(E130)+1)/12))) + (Q130)*(IF((YEAR(D130)+18)&lt;YEAR(E130),0,IF((YEAR(D130)+18)&gt;YEAR(E130),1,(12-MONTH(E130)+1)/12))))-((P130)*(IF((YEAR(D130)+18)&lt;YEAR(E130),0,IF((YEAR(D130)+18)&gt;YEAR(E130),1,(12-MONTH(E130)+1)/12))) + (R130)*(IF((YEAR(D130)+18)&lt;YEAR(E130),0,IF((YEAR(D130)+18)&gt;YEAR(E130),1,(12-MONTH(E130)+1)/12))))-(IF(OR(N130="",N130&lt;=0),0,(O130/N130)*(IF(OR(N130="",N130&lt;=0),0,IF((YEAR(D130)+18)&lt;YEAR(E130),0,IF((YEAR(D130)+18)&gt;=YEAR(E130)+N130,0,IF((YEAR(D130)+18)=YEAR(E130),(12-MONTH(E130)+1)/12,1))))))))*TaxRate,0))-IF(18=0,O130,0))</f>
        <v/>
      </c>
      <c r="AL130" s="29">
        <f>IF(A130="","",((K130)*(IF(M130="",L130,IFERROR(IF(INDEX(Variablen!$I:$AT, MATCH(M130, Variablen!$A:$A, 0), MATCH((YEAR(D130)+19), Variablen!$I$3:$AT$3, 0))="",L130,INDEX(Variablen!$I:$AT, MATCH(M130, Variablen!$A:$A, 0), MATCH((YEAR(D130)+19), Variablen!$I$3:$AT$3, 0))),L130)))*(IF((YEAR(D130)+19)&lt;YEAR(E130),0,IF((YEAR(D130)+19)&gt;YEAR(E130),1,(12-MONTH(E130)+1)/12))) + (Q130)*(IF((YEAR(D130)+19)&lt;YEAR(E130),0,IF((YEAR(D130)+19)&gt;YEAR(E130),1,(12-MONTH(E130)+1)/12))))-((P130)*(IF((YEAR(D130)+19)&lt;YEAR(E130),0,IF((YEAR(D130)+19)&gt;YEAR(E130),1,(12-MONTH(E130)+1)/12))) + (R130)*(IF((YEAR(D130)+19)&lt;YEAR(E130),0,IF((YEAR(D130)+19)&gt;YEAR(E130),1,(12-MONTH(E130)+1)/12))))-(IF((((K130)*(IF(M130="",L130,IFERROR(IF(INDEX(Variablen!$I:$AT, MATCH(M130, Variablen!$A:$A, 0), MATCH((YEAR(D130)+19), Variablen!$I$3:$AT$3, 0))="",L130,INDEX(Variablen!$I:$AT, MATCH(M130, Variablen!$A:$A, 0), MATCH((YEAR(D130)+19), Variablen!$I$3:$AT$3, 0))),L130)))*(IF((YEAR(D130)+19)&lt;YEAR(E130),0,IF((YEAR(D130)+19)&gt;YEAR(E130),1,(12-MONTH(E130)+1)/12))) + (Q130)*(IF((YEAR(D130)+19)&lt;YEAR(E130),0,IF((YEAR(D130)+19)&gt;YEAR(E130),1,(12-MONTH(E130)+1)/12))))-((P130)*(IF((YEAR(D130)+19)&lt;YEAR(E130),0,IF((YEAR(D130)+19)&gt;YEAR(E130),1,(12-MONTH(E130)+1)/12))) + (R130)*(IF((YEAR(D130)+19)&lt;YEAR(E130),0,IF((YEAR(D130)+19)&gt;YEAR(E130),1,(12-MONTH(E130)+1)/12))))-(IF(OR(N130="",N130&lt;=0),0,(O130/N130)*(IF(OR(N130="",N130&lt;=0),0,IF((YEAR(D130)+19)&lt;YEAR(E130),0,IF((YEAR(D130)+19)&gt;=YEAR(E130)+N130,0,IF((YEAR(D130)+19)=YEAR(E130),(12-MONTH(E130)+1)/12,1))))))))&gt;0,(((K130)*(IF(M130="",L130,IFERROR(IF(INDEX(Variablen!$I:$AT, MATCH(M130, Variablen!$A:$A, 0), MATCH((YEAR(D130)+19), Variablen!$I$3:$AT$3, 0))="",L130,INDEX(Variablen!$I:$AT, MATCH(M130, Variablen!$A:$A, 0), MATCH((YEAR(D130)+19), Variablen!$I$3:$AT$3, 0))),L130)))*(IF((YEAR(D130)+19)&lt;YEAR(E130),0,IF((YEAR(D130)+19)&gt;YEAR(E130),1,(12-MONTH(E130)+1)/12))) + (Q130)*(IF((YEAR(D130)+19)&lt;YEAR(E130),0,IF((YEAR(D130)+19)&gt;YEAR(E130),1,(12-MONTH(E130)+1)/12))))-((P130)*(IF((YEAR(D130)+19)&lt;YEAR(E130),0,IF((YEAR(D130)+19)&gt;YEAR(E130),1,(12-MONTH(E130)+1)/12))) + (R130)*(IF((YEAR(D130)+19)&lt;YEAR(E130),0,IF((YEAR(D130)+19)&gt;YEAR(E130),1,(12-MONTH(E130)+1)/12))))-(IF(OR(N130="",N130&lt;=0),0,(O130/N130)*(IF(OR(N130="",N130&lt;=0),0,IF((YEAR(D130)+19)&lt;YEAR(E130),0,IF((YEAR(D130)+19)&gt;=YEAR(E130)+N130,0,IF((YEAR(D130)+19)=YEAR(E130),(12-MONTH(E130)+1)/12,1))))))))*TaxRate,0))-IF(19=0,O130,0))</f>
        <v/>
      </c>
      <c r="AM130" s="29">
        <f>IF(A130="","",((K130)*(IF(M130="",L130,IFERROR(IF(INDEX(Variablen!$I:$AT, MATCH(M130, Variablen!$A:$A, 0), MATCH((YEAR(D130)+20), Variablen!$I$3:$AT$3, 0))="",L130,INDEX(Variablen!$I:$AT, MATCH(M130, Variablen!$A:$A, 0), MATCH((YEAR(D130)+20), Variablen!$I$3:$AT$3, 0))),L130)))*(IF((YEAR(D130)+20)&lt;YEAR(E130),0,IF((YEAR(D130)+20)&gt;YEAR(E130),1,(12-MONTH(E130)+1)/12))) + (Q130)*(IF((YEAR(D130)+20)&lt;YEAR(E130),0,IF((YEAR(D130)+20)&gt;YEAR(E130),1,(12-MONTH(E130)+1)/12))))-((P130)*(IF((YEAR(D130)+20)&lt;YEAR(E130),0,IF((YEAR(D130)+20)&gt;YEAR(E130),1,(12-MONTH(E130)+1)/12))) + (R130)*(IF((YEAR(D130)+20)&lt;YEAR(E130),0,IF((YEAR(D130)+20)&gt;YEAR(E130),1,(12-MONTH(E130)+1)/12))))-(IF((((K130)*(IF(M130="",L130,IFERROR(IF(INDEX(Variablen!$I:$AT, MATCH(M130, Variablen!$A:$A, 0), MATCH((YEAR(D130)+20), Variablen!$I$3:$AT$3, 0))="",L130,INDEX(Variablen!$I:$AT, MATCH(M130, Variablen!$A:$A, 0), MATCH((YEAR(D130)+20), Variablen!$I$3:$AT$3, 0))),L130)))*(IF((YEAR(D130)+20)&lt;YEAR(E130),0,IF((YEAR(D130)+20)&gt;YEAR(E130),1,(12-MONTH(E130)+1)/12))) + (Q130)*(IF((YEAR(D130)+20)&lt;YEAR(E130),0,IF((YEAR(D130)+20)&gt;YEAR(E130),1,(12-MONTH(E130)+1)/12))))-((P130)*(IF((YEAR(D130)+20)&lt;YEAR(E130),0,IF((YEAR(D130)+20)&gt;YEAR(E130),1,(12-MONTH(E130)+1)/12))) + (R130)*(IF((YEAR(D130)+20)&lt;YEAR(E130),0,IF((YEAR(D130)+20)&gt;YEAR(E130),1,(12-MONTH(E130)+1)/12))))-(IF(OR(N130="",N130&lt;=0),0,(O130/N130)*(IF(OR(N130="",N130&lt;=0),0,IF((YEAR(D130)+20)&lt;YEAR(E130),0,IF((YEAR(D130)+20)&gt;=YEAR(E130)+N130,0,IF((YEAR(D130)+20)=YEAR(E130),(12-MONTH(E130)+1)/12,1))))))))&gt;0,(((K130)*(IF(M130="",L130,IFERROR(IF(INDEX(Variablen!$I:$AT, MATCH(M130, Variablen!$A:$A, 0), MATCH((YEAR(D130)+20), Variablen!$I$3:$AT$3, 0))="",L130,INDEX(Variablen!$I:$AT, MATCH(M130, Variablen!$A:$A, 0), MATCH((YEAR(D130)+20), Variablen!$I$3:$AT$3, 0))),L130)))*(IF((YEAR(D130)+20)&lt;YEAR(E130),0,IF((YEAR(D130)+20)&gt;YEAR(E130),1,(12-MONTH(E130)+1)/12))) + (Q130)*(IF((YEAR(D130)+20)&lt;YEAR(E130),0,IF((YEAR(D130)+20)&gt;YEAR(E130),1,(12-MONTH(E130)+1)/12))))-((P130)*(IF((YEAR(D130)+20)&lt;YEAR(E130),0,IF((YEAR(D130)+20)&gt;YEAR(E130),1,(12-MONTH(E130)+1)/12))) + (R130)*(IF((YEAR(D130)+20)&lt;YEAR(E130),0,IF((YEAR(D130)+20)&gt;YEAR(E130),1,(12-MONTH(E130)+1)/12))))-(IF(OR(N130="",N130&lt;=0),0,(O130/N130)*(IF(OR(N130="",N130&lt;=0),0,IF((YEAR(D130)+20)&lt;YEAR(E130),0,IF((YEAR(D130)+20)&gt;=YEAR(E130)+N130,0,IF((YEAR(D130)+20)=YEAR(E130),(12-MONTH(E130)+1)/12,1))))))))*TaxRate,0))-IF(20=0,O130,0))</f>
        <v/>
      </c>
      <c r="AN130" s="29">
        <f>IF(A130="","",S130)</f>
        <v/>
      </c>
      <c r="AO130" s="29">
        <f>IF(A130="","",AN130+T130)</f>
        <v/>
      </c>
      <c r="AP130" s="29">
        <f>IF(A130="","",AO130+U130)</f>
        <v/>
      </c>
      <c r="AQ130" s="29">
        <f>IF(A130="","",AP130+V130)</f>
        <v/>
      </c>
      <c r="AR130" s="29">
        <f>IF(A130="","",AQ130+W130)</f>
        <v/>
      </c>
      <c r="AS130" s="29">
        <f>IF(A130="","",AR130+X130)</f>
        <v/>
      </c>
      <c r="AT130" s="29">
        <f>IF(A130="","",AS130+Y130)</f>
        <v/>
      </c>
      <c r="AU130" s="29">
        <f>IF(A130="","",AT130+Z130)</f>
        <v/>
      </c>
      <c r="AV130" s="29">
        <f>IF(A130="","",AU130+AA130)</f>
        <v/>
      </c>
      <c r="AW130" s="29">
        <f>IF(A130="","",AV130+AB130)</f>
        <v/>
      </c>
      <c r="AX130" s="29">
        <f>IF(A130="","",AW130+AC130)</f>
        <v/>
      </c>
      <c r="AY130" s="29">
        <f>IF(A130="","",AX130+AD130)</f>
        <v/>
      </c>
      <c r="AZ130" s="29">
        <f>IF(A130="","",AY130+AE130)</f>
        <v/>
      </c>
      <c r="BA130" s="29">
        <f>IF(A130="","",AZ130+AF130)</f>
        <v/>
      </c>
      <c r="BB130" s="29">
        <f>IF(A130="","",BA130+AG130)</f>
        <v/>
      </c>
      <c r="BC130" s="29">
        <f>IF(A130="","",BB130+AH130)</f>
        <v/>
      </c>
      <c r="BD130" s="29">
        <f>IF(A130="","",BC130+AI130)</f>
        <v/>
      </c>
      <c r="BE130" s="29">
        <f>IF(A130="","",BD130+AJ130)</f>
        <v/>
      </c>
      <c r="BF130" s="29">
        <f>IF(A130="","",BE130+AK130)</f>
        <v/>
      </c>
      <c r="BG130" s="29">
        <f>IF(A130="","",BF130+AL130)</f>
        <v/>
      </c>
      <c r="BH130" s="29">
        <f>IF(A130="","",BG130+AM130)</f>
        <v/>
      </c>
      <c r="BI130" s="36">
        <f>IF(A130="","",(K130)*(IF((YEAR(D130)+0)&lt;YEAR(E130),0,IF((YEAR(D130)+0)&gt;YEAR(E130),1,(12-MONTH(E130)+1)/12)))*(1/(1+DiscountRate)^0))</f>
        <v/>
      </c>
      <c r="BJ130" s="36">
        <f>IF(A130="","",(K130)*(IF((YEAR(D130)+1)&lt;YEAR(E130),0,IF((YEAR(D130)+1)&gt;YEAR(E130),1,(12-MONTH(E130)+1)/12)))*(1/(1+DiscountRate)^1))</f>
        <v/>
      </c>
      <c r="BK130" s="36">
        <f>IF(A130="","",(K130)*(IF((YEAR(D130)+2)&lt;YEAR(E130),0,IF((YEAR(D130)+2)&gt;YEAR(E130),1,(12-MONTH(E130)+1)/12)))*(1/(1+DiscountRate)^2))</f>
        <v/>
      </c>
      <c r="BL130" s="36">
        <f>IF(A130="","",(K130)*(IF((YEAR(D130)+3)&lt;YEAR(E130),0,IF((YEAR(D130)+3)&gt;YEAR(E130),1,(12-MONTH(E130)+1)/12)))*(1/(1+DiscountRate)^3))</f>
        <v/>
      </c>
      <c r="BM130" s="36">
        <f>IF(A130="","",(K130)*(IF((YEAR(D130)+4)&lt;YEAR(E130),0,IF((YEAR(D130)+4)&gt;YEAR(E130),1,(12-MONTH(E130)+1)/12)))*(1/(1+DiscountRate)^4))</f>
        <v/>
      </c>
      <c r="BN130" s="36">
        <f>IF(A130="","",(K130)*(IF((YEAR(D130)+5)&lt;YEAR(E130),0,IF((YEAR(D130)+5)&gt;YEAR(E130),1,(12-MONTH(E130)+1)/12)))*(1/(1+DiscountRate)^5))</f>
        <v/>
      </c>
      <c r="BO130" s="36">
        <f>IF(A130="","",(K130)*(IF((YEAR(D130)+6)&lt;YEAR(E130),0,IF((YEAR(D130)+6)&gt;YEAR(E130),1,(12-MONTH(E130)+1)/12)))*(1/(1+DiscountRate)^6))</f>
        <v/>
      </c>
      <c r="BP130" s="36">
        <f>IF(A130="","",(K130)*(IF((YEAR(D130)+7)&lt;YEAR(E130),0,IF((YEAR(D130)+7)&gt;YEAR(E130),1,(12-MONTH(E130)+1)/12)))*(1/(1+DiscountRate)^7))</f>
        <v/>
      </c>
      <c r="BQ130" s="36">
        <f>IF(A130="","",(K130)*(IF((YEAR(D130)+8)&lt;YEAR(E130),0,IF((YEAR(D130)+8)&gt;YEAR(E130),1,(12-MONTH(E130)+1)/12)))*(1/(1+DiscountRate)^8))</f>
        <v/>
      </c>
      <c r="BR130" s="36">
        <f>IF(A130="","",(K130)*(IF((YEAR(D130)+9)&lt;YEAR(E130),0,IF((YEAR(D130)+9)&gt;YEAR(E130),1,(12-MONTH(E130)+1)/12)))*(1/(1+DiscountRate)^9))</f>
        <v/>
      </c>
      <c r="BS130" s="36">
        <f>IF(A130="","",(K130)*(IF((YEAR(D130)+10)&lt;YEAR(E130),0,IF((YEAR(D130)+10)&gt;YEAR(E130),1,(12-MONTH(E130)+1)/12)))*(1/(1+DiscountRate)^10))</f>
        <v/>
      </c>
      <c r="BT130" s="36">
        <f>IF(A130="","",(K130)*(IF((YEAR(D130)+11)&lt;YEAR(E130),0,IF((YEAR(D130)+11)&gt;YEAR(E130),1,(12-MONTH(E130)+1)/12)))*(1/(1+DiscountRate)^11))</f>
        <v/>
      </c>
      <c r="BU130" s="36">
        <f>IF(A130="","",(K130)*(IF((YEAR(D130)+12)&lt;YEAR(E130),0,IF((YEAR(D130)+12)&gt;YEAR(E130),1,(12-MONTH(E130)+1)/12)))*(1/(1+DiscountRate)^12))</f>
        <v/>
      </c>
      <c r="BV130" s="36">
        <f>IF(A130="","",(K130)*(IF((YEAR(D130)+13)&lt;YEAR(E130),0,IF((YEAR(D130)+13)&gt;YEAR(E130),1,(12-MONTH(E130)+1)/12)))*(1/(1+DiscountRate)^13))</f>
        <v/>
      </c>
      <c r="BW130" s="36">
        <f>IF(A130="","",(K130)*(IF((YEAR(D130)+14)&lt;YEAR(E130),0,IF((YEAR(D130)+14)&gt;YEAR(E130),1,(12-MONTH(E130)+1)/12)))*(1/(1+DiscountRate)^14))</f>
        <v/>
      </c>
      <c r="BX130" s="36">
        <f>IF(A130="","",(K130)*(IF((YEAR(D130)+15)&lt;YEAR(E130),0,IF((YEAR(D130)+15)&gt;YEAR(E130),1,(12-MONTH(E130)+1)/12)))*(1/(1+DiscountRate)^15))</f>
        <v/>
      </c>
      <c r="BY130" s="36">
        <f>IF(A130="","",(K130)*(IF((YEAR(D130)+16)&lt;YEAR(E130),0,IF((YEAR(D130)+16)&gt;YEAR(E130),1,(12-MONTH(E130)+1)/12)))*(1/(1+DiscountRate)^16))</f>
        <v/>
      </c>
      <c r="BZ130" s="36">
        <f>IF(A130="","",(K130)*(IF((YEAR(D130)+17)&lt;YEAR(E130),0,IF((YEAR(D130)+17)&gt;YEAR(E130),1,(12-MONTH(E130)+1)/12)))*(1/(1+DiscountRate)^17))</f>
        <v/>
      </c>
      <c r="CA130" s="36">
        <f>IF(A130="","",(K130)*(IF((YEAR(D130)+18)&lt;YEAR(E130),0,IF((YEAR(D130)+18)&gt;YEAR(E130),1,(12-MONTH(E130)+1)/12)))*(1/(1+DiscountRate)^18))</f>
        <v/>
      </c>
      <c r="CB130" s="36">
        <f>IF(A130="","",(K130)*(IF((YEAR(D130)+19)&lt;YEAR(E130),0,IF((YEAR(D130)+19)&gt;YEAR(E130),1,(12-MONTH(E130)+1)/12)))*(1/(1+DiscountRate)^19))</f>
        <v/>
      </c>
      <c r="CC130" s="36">
        <f>IF(A130="","",(K130)*(IF((YEAR(D130)+20)&lt;YEAR(E130),0,IF((YEAR(D130)+20)&gt;YEAR(E130),1,(12-MONTH(E130)+1)/12)))*(1/(1+DiscountRate)^20))</f>
        <v/>
      </c>
      <c r="CD130" s="29">
        <f>IF(A130="","",S130/(1+DiscountRate)^0+T130/(1+DiscountRate)^1+U130/(1+DiscountRate)^2+V130/(1+DiscountRate)^3+W130/(1+DiscountRate)^4+X130/(1+DiscountRate)^5+Y130/(1+DiscountRate)^6+Z130/(1+DiscountRate)^7+AA130/(1+DiscountRate)^8+AB130/(1+DiscountRate)^9+AC130/(1+DiscountRate)^10+AD130/(1+DiscountRate)^11+AE130/(1+DiscountRate)^12+AF130/(1+DiscountRate)^13+AG130/(1+DiscountRate)^14+AH130/(1+DiscountRate)^15+AI130/(1+DiscountRate)^16+AJ130/(1+DiscountRate)^17+AK130/(1+DiscountRate)^18+AL130/(1+DiscountRate)^19+AM130/(1+DiscountRate)^20)</f>
        <v/>
      </c>
      <c r="CE130" s="37">
        <f>IF(A130="","",IFERROR(IRR(OFFSET(S130,0,0,1,MIN(HorizonYears,20)+1)),"n/a"))</f>
        <v/>
      </c>
      <c r="CF130" s="28">
        <f>IF(A130="","",IFERROR(MATCH(TRUE,OFFSET(AN130,0,0,1,MIN(HorizonYears,20)+1)&gt;=0,0)-1,"n/a"))</f>
        <v/>
      </c>
      <c r="CG130" s="36">
        <f>IF(A130="","",SUM(OFFSET(BI130,0,0,1,MIN(HorizonYears,20)+1)))</f>
        <v/>
      </c>
      <c r="CH130" s="36">
        <f>IF(A130="","",IFERROR(-CD130/CG130,"n/a"))</f>
        <v/>
      </c>
    </row>
    <row r="131">
      <c r="A131" s="6">
        <f>Actions!A129</f>
        <v/>
      </c>
      <c r="B131" s="6">
        <f>Actions!B129</f>
        <v/>
      </c>
      <c r="C131" s="6">
        <f>Actions!D129</f>
        <v/>
      </c>
      <c r="D131" s="35">
        <f>Actions!E129</f>
        <v/>
      </c>
      <c r="E131" s="35">
        <f>Actions!F129</f>
        <v/>
      </c>
      <c r="F131" s="6">
        <f>Actions!G129</f>
        <v/>
      </c>
      <c r="G131" s="6">
        <f>Actions!H129</f>
        <v/>
      </c>
      <c r="H131" s="29">
        <f>Actions!I129</f>
        <v/>
      </c>
      <c r="I131" s="6">
        <f>Actions!J129</f>
        <v/>
      </c>
      <c r="J131" s="16">
        <f>Actions!K129</f>
        <v/>
      </c>
      <c r="K131" s="16">
        <f>IF(A131="","",IF(I131="%",H131*J131,J131))</f>
        <v/>
      </c>
      <c r="L131" s="16">
        <f>Actions!L129</f>
        <v/>
      </c>
      <c r="M131" s="6">
        <f>Actions!M129</f>
        <v/>
      </c>
      <c r="N131" s="28">
        <f>Actions!N129</f>
        <v/>
      </c>
      <c r="O131" s="29">
        <f>Actions!T129</f>
        <v/>
      </c>
      <c r="P131" s="29">
        <f>Actions!Y129</f>
        <v/>
      </c>
      <c r="Q131" s="29">
        <f>Actions!Z129</f>
        <v/>
      </c>
      <c r="R131" s="29">
        <f>Actions!AA129</f>
        <v/>
      </c>
      <c r="S131" s="29">
        <f>IF(A131="","",((K131)*(IF(M131="",L131,IFERROR(IF(INDEX(Variablen!$I:$AT, MATCH(M131, Variablen!$A:$A, 0), MATCH((YEAR(D131)+0), Variablen!$I$3:$AT$3, 0))="",L131,INDEX(Variablen!$I:$AT, MATCH(M131, Variablen!$A:$A, 0), MATCH((YEAR(D131)+0), Variablen!$I$3:$AT$3, 0))),L131)))*(IF((YEAR(D131)+0)&lt;YEAR(E131),0,IF((YEAR(D131)+0)&gt;YEAR(E131),1,(12-MONTH(E131)+1)/12))) + (Q131)*(IF((YEAR(D131)+0)&lt;YEAR(E131),0,IF((YEAR(D131)+0)&gt;YEAR(E131),1,(12-MONTH(E131)+1)/12))))-((P131)*(IF((YEAR(D131)+0)&lt;YEAR(E131),0,IF((YEAR(D131)+0)&gt;YEAR(E131),1,(12-MONTH(E131)+1)/12))) + (R131)*(IF((YEAR(D131)+0)&lt;YEAR(E131),0,IF((YEAR(D131)+0)&gt;YEAR(E131),1,(12-MONTH(E131)+1)/12))))-(IF((((K131)*(IF(M131="",L131,IFERROR(IF(INDEX(Variablen!$I:$AT, MATCH(M131, Variablen!$A:$A, 0), MATCH((YEAR(D131)+0), Variablen!$I$3:$AT$3, 0))="",L131,INDEX(Variablen!$I:$AT, MATCH(M131, Variablen!$A:$A, 0), MATCH((YEAR(D131)+0), Variablen!$I$3:$AT$3, 0))),L131)))*(IF((YEAR(D131)+0)&lt;YEAR(E131),0,IF((YEAR(D131)+0)&gt;YEAR(E131),1,(12-MONTH(E131)+1)/12))) + (Q131)*(IF((YEAR(D131)+0)&lt;YEAR(E131),0,IF((YEAR(D131)+0)&gt;YEAR(E131),1,(12-MONTH(E131)+1)/12))))-((P131)*(IF((YEAR(D131)+0)&lt;YEAR(E131),0,IF((YEAR(D131)+0)&gt;YEAR(E131),1,(12-MONTH(E131)+1)/12))) + (R131)*(IF((YEAR(D131)+0)&lt;YEAR(E131),0,IF((YEAR(D131)+0)&gt;YEAR(E131),1,(12-MONTH(E131)+1)/12))))-(IF(OR(N131="",N131&lt;=0),0,(O131/N131)*(IF(OR(N131="",N131&lt;=0),0,IF((YEAR(D131)+0)&lt;YEAR(E131),0,IF((YEAR(D131)+0)&gt;=YEAR(E131)+N131,0,IF((YEAR(D131)+0)=YEAR(E131),(12-MONTH(E131)+1)/12,1))))))))&gt;0,(((K131)*(IF(M131="",L131,IFERROR(IF(INDEX(Variablen!$I:$AT, MATCH(M131, Variablen!$A:$A, 0), MATCH((YEAR(D131)+0), Variablen!$I$3:$AT$3, 0))="",L131,INDEX(Variablen!$I:$AT, MATCH(M131, Variablen!$A:$A, 0), MATCH((YEAR(D131)+0), Variablen!$I$3:$AT$3, 0))),L131)))*(IF((YEAR(D131)+0)&lt;YEAR(E131),0,IF((YEAR(D131)+0)&gt;YEAR(E131),1,(12-MONTH(E131)+1)/12))) + (Q131)*(IF((YEAR(D131)+0)&lt;YEAR(E131),0,IF((YEAR(D131)+0)&gt;YEAR(E131),1,(12-MONTH(E131)+1)/12))))-((P131)*(IF((YEAR(D131)+0)&lt;YEAR(E131),0,IF((YEAR(D131)+0)&gt;YEAR(E131),1,(12-MONTH(E131)+1)/12))) + (R131)*(IF((YEAR(D131)+0)&lt;YEAR(E131),0,IF((YEAR(D131)+0)&gt;YEAR(E131),1,(12-MONTH(E131)+1)/12))))-(IF(OR(N131="",N131&lt;=0),0,(O131/N131)*(IF(OR(N131="",N131&lt;=0),0,IF((YEAR(D131)+0)&lt;YEAR(E131),0,IF((YEAR(D131)+0)&gt;=YEAR(E131)+N131,0,IF((YEAR(D131)+0)=YEAR(E131),(12-MONTH(E131)+1)/12,1))))))))*TaxRate,0))-IF(0=0,O131,0))</f>
        <v/>
      </c>
      <c r="T131" s="29">
        <f>IF(A131="","",((K131)*(IF(M131="",L131,IFERROR(IF(INDEX(Variablen!$I:$AT, MATCH(M131, Variablen!$A:$A, 0), MATCH((YEAR(D131)+1), Variablen!$I$3:$AT$3, 0))="",L131,INDEX(Variablen!$I:$AT, MATCH(M131, Variablen!$A:$A, 0), MATCH((YEAR(D131)+1), Variablen!$I$3:$AT$3, 0))),L131)))*(IF((YEAR(D131)+1)&lt;YEAR(E131),0,IF((YEAR(D131)+1)&gt;YEAR(E131),1,(12-MONTH(E131)+1)/12))) + (Q131)*(IF((YEAR(D131)+1)&lt;YEAR(E131),0,IF((YEAR(D131)+1)&gt;YEAR(E131),1,(12-MONTH(E131)+1)/12))))-((P131)*(IF((YEAR(D131)+1)&lt;YEAR(E131),0,IF((YEAR(D131)+1)&gt;YEAR(E131),1,(12-MONTH(E131)+1)/12))) + (R131)*(IF((YEAR(D131)+1)&lt;YEAR(E131),0,IF((YEAR(D131)+1)&gt;YEAR(E131),1,(12-MONTH(E131)+1)/12))))-(IF((((K131)*(IF(M131="",L131,IFERROR(IF(INDEX(Variablen!$I:$AT, MATCH(M131, Variablen!$A:$A, 0), MATCH((YEAR(D131)+1), Variablen!$I$3:$AT$3, 0))="",L131,INDEX(Variablen!$I:$AT, MATCH(M131, Variablen!$A:$A, 0), MATCH((YEAR(D131)+1), Variablen!$I$3:$AT$3, 0))),L131)))*(IF((YEAR(D131)+1)&lt;YEAR(E131),0,IF((YEAR(D131)+1)&gt;YEAR(E131),1,(12-MONTH(E131)+1)/12))) + (Q131)*(IF((YEAR(D131)+1)&lt;YEAR(E131),0,IF((YEAR(D131)+1)&gt;YEAR(E131),1,(12-MONTH(E131)+1)/12))))-((P131)*(IF((YEAR(D131)+1)&lt;YEAR(E131),0,IF((YEAR(D131)+1)&gt;YEAR(E131),1,(12-MONTH(E131)+1)/12))) + (R131)*(IF((YEAR(D131)+1)&lt;YEAR(E131),0,IF((YEAR(D131)+1)&gt;YEAR(E131),1,(12-MONTH(E131)+1)/12))))-(IF(OR(N131="",N131&lt;=0),0,(O131/N131)*(IF(OR(N131="",N131&lt;=0),0,IF((YEAR(D131)+1)&lt;YEAR(E131),0,IF((YEAR(D131)+1)&gt;=YEAR(E131)+N131,0,IF((YEAR(D131)+1)=YEAR(E131),(12-MONTH(E131)+1)/12,1))))))))&gt;0,(((K131)*(IF(M131="",L131,IFERROR(IF(INDEX(Variablen!$I:$AT, MATCH(M131, Variablen!$A:$A, 0), MATCH((YEAR(D131)+1), Variablen!$I$3:$AT$3, 0))="",L131,INDEX(Variablen!$I:$AT, MATCH(M131, Variablen!$A:$A, 0), MATCH((YEAR(D131)+1), Variablen!$I$3:$AT$3, 0))),L131)))*(IF((YEAR(D131)+1)&lt;YEAR(E131),0,IF((YEAR(D131)+1)&gt;YEAR(E131),1,(12-MONTH(E131)+1)/12))) + (Q131)*(IF((YEAR(D131)+1)&lt;YEAR(E131),0,IF((YEAR(D131)+1)&gt;YEAR(E131),1,(12-MONTH(E131)+1)/12))))-((P131)*(IF((YEAR(D131)+1)&lt;YEAR(E131),0,IF((YEAR(D131)+1)&gt;YEAR(E131),1,(12-MONTH(E131)+1)/12))) + (R131)*(IF((YEAR(D131)+1)&lt;YEAR(E131),0,IF((YEAR(D131)+1)&gt;YEAR(E131),1,(12-MONTH(E131)+1)/12))))-(IF(OR(N131="",N131&lt;=0),0,(O131/N131)*(IF(OR(N131="",N131&lt;=0),0,IF((YEAR(D131)+1)&lt;YEAR(E131),0,IF((YEAR(D131)+1)&gt;=YEAR(E131)+N131,0,IF((YEAR(D131)+1)=YEAR(E131),(12-MONTH(E131)+1)/12,1))))))))*TaxRate,0))-IF(1=0,O131,0))</f>
        <v/>
      </c>
      <c r="U131" s="29">
        <f>IF(A131="","",((K131)*(IF(M131="",L131,IFERROR(IF(INDEX(Variablen!$I:$AT, MATCH(M131, Variablen!$A:$A, 0), MATCH((YEAR(D131)+2), Variablen!$I$3:$AT$3, 0))="",L131,INDEX(Variablen!$I:$AT, MATCH(M131, Variablen!$A:$A, 0), MATCH((YEAR(D131)+2), Variablen!$I$3:$AT$3, 0))),L131)))*(IF((YEAR(D131)+2)&lt;YEAR(E131),0,IF((YEAR(D131)+2)&gt;YEAR(E131),1,(12-MONTH(E131)+1)/12))) + (Q131)*(IF((YEAR(D131)+2)&lt;YEAR(E131),0,IF((YEAR(D131)+2)&gt;YEAR(E131),1,(12-MONTH(E131)+1)/12))))-((P131)*(IF((YEAR(D131)+2)&lt;YEAR(E131),0,IF((YEAR(D131)+2)&gt;YEAR(E131),1,(12-MONTH(E131)+1)/12))) + (R131)*(IF((YEAR(D131)+2)&lt;YEAR(E131),0,IF((YEAR(D131)+2)&gt;YEAR(E131),1,(12-MONTH(E131)+1)/12))))-(IF((((K131)*(IF(M131="",L131,IFERROR(IF(INDEX(Variablen!$I:$AT, MATCH(M131, Variablen!$A:$A, 0), MATCH((YEAR(D131)+2), Variablen!$I$3:$AT$3, 0))="",L131,INDEX(Variablen!$I:$AT, MATCH(M131, Variablen!$A:$A, 0), MATCH((YEAR(D131)+2), Variablen!$I$3:$AT$3, 0))),L131)))*(IF((YEAR(D131)+2)&lt;YEAR(E131),0,IF((YEAR(D131)+2)&gt;YEAR(E131),1,(12-MONTH(E131)+1)/12))) + (Q131)*(IF((YEAR(D131)+2)&lt;YEAR(E131),0,IF((YEAR(D131)+2)&gt;YEAR(E131),1,(12-MONTH(E131)+1)/12))))-((P131)*(IF((YEAR(D131)+2)&lt;YEAR(E131),0,IF((YEAR(D131)+2)&gt;YEAR(E131),1,(12-MONTH(E131)+1)/12))) + (R131)*(IF((YEAR(D131)+2)&lt;YEAR(E131),0,IF((YEAR(D131)+2)&gt;YEAR(E131),1,(12-MONTH(E131)+1)/12))))-(IF(OR(N131="",N131&lt;=0),0,(O131/N131)*(IF(OR(N131="",N131&lt;=0),0,IF((YEAR(D131)+2)&lt;YEAR(E131),0,IF((YEAR(D131)+2)&gt;=YEAR(E131)+N131,0,IF((YEAR(D131)+2)=YEAR(E131),(12-MONTH(E131)+1)/12,1))))))))&gt;0,(((K131)*(IF(M131="",L131,IFERROR(IF(INDEX(Variablen!$I:$AT, MATCH(M131, Variablen!$A:$A, 0), MATCH((YEAR(D131)+2), Variablen!$I$3:$AT$3, 0))="",L131,INDEX(Variablen!$I:$AT, MATCH(M131, Variablen!$A:$A, 0), MATCH((YEAR(D131)+2), Variablen!$I$3:$AT$3, 0))),L131)))*(IF((YEAR(D131)+2)&lt;YEAR(E131),0,IF((YEAR(D131)+2)&gt;YEAR(E131),1,(12-MONTH(E131)+1)/12))) + (Q131)*(IF((YEAR(D131)+2)&lt;YEAR(E131),0,IF((YEAR(D131)+2)&gt;YEAR(E131),1,(12-MONTH(E131)+1)/12))))-((P131)*(IF((YEAR(D131)+2)&lt;YEAR(E131),0,IF((YEAR(D131)+2)&gt;YEAR(E131),1,(12-MONTH(E131)+1)/12))) + (R131)*(IF((YEAR(D131)+2)&lt;YEAR(E131),0,IF((YEAR(D131)+2)&gt;YEAR(E131),1,(12-MONTH(E131)+1)/12))))-(IF(OR(N131="",N131&lt;=0),0,(O131/N131)*(IF(OR(N131="",N131&lt;=0),0,IF((YEAR(D131)+2)&lt;YEAR(E131),0,IF((YEAR(D131)+2)&gt;=YEAR(E131)+N131,0,IF((YEAR(D131)+2)=YEAR(E131),(12-MONTH(E131)+1)/12,1))))))))*TaxRate,0))-IF(2=0,O131,0))</f>
        <v/>
      </c>
      <c r="V131" s="29">
        <f>IF(A131="","",((K131)*(IF(M131="",L131,IFERROR(IF(INDEX(Variablen!$I:$AT, MATCH(M131, Variablen!$A:$A, 0), MATCH((YEAR(D131)+3), Variablen!$I$3:$AT$3, 0))="",L131,INDEX(Variablen!$I:$AT, MATCH(M131, Variablen!$A:$A, 0), MATCH((YEAR(D131)+3), Variablen!$I$3:$AT$3, 0))),L131)))*(IF((YEAR(D131)+3)&lt;YEAR(E131),0,IF((YEAR(D131)+3)&gt;YEAR(E131),1,(12-MONTH(E131)+1)/12))) + (Q131)*(IF((YEAR(D131)+3)&lt;YEAR(E131),0,IF((YEAR(D131)+3)&gt;YEAR(E131),1,(12-MONTH(E131)+1)/12))))-((P131)*(IF((YEAR(D131)+3)&lt;YEAR(E131),0,IF((YEAR(D131)+3)&gt;YEAR(E131),1,(12-MONTH(E131)+1)/12))) + (R131)*(IF((YEAR(D131)+3)&lt;YEAR(E131),0,IF((YEAR(D131)+3)&gt;YEAR(E131),1,(12-MONTH(E131)+1)/12))))-(IF((((K131)*(IF(M131="",L131,IFERROR(IF(INDEX(Variablen!$I:$AT, MATCH(M131, Variablen!$A:$A, 0), MATCH((YEAR(D131)+3), Variablen!$I$3:$AT$3, 0))="",L131,INDEX(Variablen!$I:$AT, MATCH(M131, Variablen!$A:$A, 0), MATCH((YEAR(D131)+3), Variablen!$I$3:$AT$3, 0))),L131)))*(IF((YEAR(D131)+3)&lt;YEAR(E131),0,IF((YEAR(D131)+3)&gt;YEAR(E131),1,(12-MONTH(E131)+1)/12))) + (Q131)*(IF((YEAR(D131)+3)&lt;YEAR(E131),0,IF((YEAR(D131)+3)&gt;YEAR(E131),1,(12-MONTH(E131)+1)/12))))-((P131)*(IF((YEAR(D131)+3)&lt;YEAR(E131),0,IF((YEAR(D131)+3)&gt;YEAR(E131),1,(12-MONTH(E131)+1)/12))) + (R131)*(IF((YEAR(D131)+3)&lt;YEAR(E131),0,IF((YEAR(D131)+3)&gt;YEAR(E131),1,(12-MONTH(E131)+1)/12))))-(IF(OR(N131="",N131&lt;=0),0,(O131/N131)*(IF(OR(N131="",N131&lt;=0),0,IF((YEAR(D131)+3)&lt;YEAR(E131),0,IF((YEAR(D131)+3)&gt;=YEAR(E131)+N131,0,IF((YEAR(D131)+3)=YEAR(E131),(12-MONTH(E131)+1)/12,1))))))))&gt;0,(((K131)*(IF(M131="",L131,IFERROR(IF(INDEX(Variablen!$I:$AT, MATCH(M131, Variablen!$A:$A, 0), MATCH((YEAR(D131)+3), Variablen!$I$3:$AT$3, 0))="",L131,INDEX(Variablen!$I:$AT, MATCH(M131, Variablen!$A:$A, 0), MATCH((YEAR(D131)+3), Variablen!$I$3:$AT$3, 0))),L131)))*(IF((YEAR(D131)+3)&lt;YEAR(E131),0,IF((YEAR(D131)+3)&gt;YEAR(E131),1,(12-MONTH(E131)+1)/12))) + (Q131)*(IF((YEAR(D131)+3)&lt;YEAR(E131),0,IF((YEAR(D131)+3)&gt;YEAR(E131),1,(12-MONTH(E131)+1)/12))))-((P131)*(IF((YEAR(D131)+3)&lt;YEAR(E131),0,IF((YEAR(D131)+3)&gt;YEAR(E131),1,(12-MONTH(E131)+1)/12))) + (R131)*(IF((YEAR(D131)+3)&lt;YEAR(E131),0,IF((YEAR(D131)+3)&gt;YEAR(E131),1,(12-MONTH(E131)+1)/12))))-(IF(OR(N131="",N131&lt;=0),0,(O131/N131)*(IF(OR(N131="",N131&lt;=0),0,IF((YEAR(D131)+3)&lt;YEAR(E131),0,IF((YEAR(D131)+3)&gt;=YEAR(E131)+N131,0,IF((YEAR(D131)+3)=YEAR(E131),(12-MONTH(E131)+1)/12,1))))))))*TaxRate,0))-IF(3=0,O131,0))</f>
        <v/>
      </c>
      <c r="W131" s="29">
        <f>IF(A131="","",((K131)*(IF(M131="",L131,IFERROR(IF(INDEX(Variablen!$I:$AT, MATCH(M131, Variablen!$A:$A, 0), MATCH((YEAR(D131)+4), Variablen!$I$3:$AT$3, 0))="",L131,INDEX(Variablen!$I:$AT, MATCH(M131, Variablen!$A:$A, 0), MATCH((YEAR(D131)+4), Variablen!$I$3:$AT$3, 0))),L131)))*(IF((YEAR(D131)+4)&lt;YEAR(E131),0,IF((YEAR(D131)+4)&gt;YEAR(E131),1,(12-MONTH(E131)+1)/12))) + (Q131)*(IF((YEAR(D131)+4)&lt;YEAR(E131),0,IF((YEAR(D131)+4)&gt;YEAR(E131),1,(12-MONTH(E131)+1)/12))))-((P131)*(IF((YEAR(D131)+4)&lt;YEAR(E131),0,IF((YEAR(D131)+4)&gt;YEAR(E131),1,(12-MONTH(E131)+1)/12))) + (R131)*(IF((YEAR(D131)+4)&lt;YEAR(E131),0,IF((YEAR(D131)+4)&gt;YEAR(E131),1,(12-MONTH(E131)+1)/12))))-(IF((((K131)*(IF(M131="",L131,IFERROR(IF(INDEX(Variablen!$I:$AT, MATCH(M131, Variablen!$A:$A, 0), MATCH((YEAR(D131)+4), Variablen!$I$3:$AT$3, 0))="",L131,INDEX(Variablen!$I:$AT, MATCH(M131, Variablen!$A:$A, 0), MATCH((YEAR(D131)+4), Variablen!$I$3:$AT$3, 0))),L131)))*(IF((YEAR(D131)+4)&lt;YEAR(E131),0,IF((YEAR(D131)+4)&gt;YEAR(E131),1,(12-MONTH(E131)+1)/12))) + (Q131)*(IF((YEAR(D131)+4)&lt;YEAR(E131),0,IF((YEAR(D131)+4)&gt;YEAR(E131),1,(12-MONTH(E131)+1)/12))))-((P131)*(IF((YEAR(D131)+4)&lt;YEAR(E131),0,IF((YEAR(D131)+4)&gt;YEAR(E131),1,(12-MONTH(E131)+1)/12))) + (R131)*(IF((YEAR(D131)+4)&lt;YEAR(E131),0,IF((YEAR(D131)+4)&gt;YEAR(E131),1,(12-MONTH(E131)+1)/12))))-(IF(OR(N131="",N131&lt;=0),0,(O131/N131)*(IF(OR(N131="",N131&lt;=0),0,IF((YEAR(D131)+4)&lt;YEAR(E131),0,IF((YEAR(D131)+4)&gt;=YEAR(E131)+N131,0,IF((YEAR(D131)+4)=YEAR(E131),(12-MONTH(E131)+1)/12,1))))))))&gt;0,(((K131)*(IF(M131="",L131,IFERROR(IF(INDEX(Variablen!$I:$AT, MATCH(M131, Variablen!$A:$A, 0), MATCH((YEAR(D131)+4), Variablen!$I$3:$AT$3, 0))="",L131,INDEX(Variablen!$I:$AT, MATCH(M131, Variablen!$A:$A, 0), MATCH((YEAR(D131)+4), Variablen!$I$3:$AT$3, 0))),L131)))*(IF((YEAR(D131)+4)&lt;YEAR(E131),0,IF((YEAR(D131)+4)&gt;YEAR(E131),1,(12-MONTH(E131)+1)/12))) + (Q131)*(IF((YEAR(D131)+4)&lt;YEAR(E131),0,IF((YEAR(D131)+4)&gt;YEAR(E131),1,(12-MONTH(E131)+1)/12))))-((P131)*(IF((YEAR(D131)+4)&lt;YEAR(E131),0,IF((YEAR(D131)+4)&gt;YEAR(E131),1,(12-MONTH(E131)+1)/12))) + (R131)*(IF((YEAR(D131)+4)&lt;YEAR(E131),0,IF((YEAR(D131)+4)&gt;YEAR(E131),1,(12-MONTH(E131)+1)/12))))-(IF(OR(N131="",N131&lt;=0),0,(O131/N131)*(IF(OR(N131="",N131&lt;=0),0,IF((YEAR(D131)+4)&lt;YEAR(E131),0,IF((YEAR(D131)+4)&gt;=YEAR(E131)+N131,0,IF((YEAR(D131)+4)=YEAR(E131),(12-MONTH(E131)+1)/12,1))))))))*TaxRate,0))-IF(4=0,O131,0))</f>
        <v/>
      </c>
      <c r="X131" s="29">
        <f>IF(A131="","",((K131)*(IF(M131="",L131,IFERROR(IF(INDEX(Variablen!$I:$AT, MATCH(M131, Variablen!$A:$A, 0), MATCH((YEAR(D131)+5), Variablen!$I$3:$AT$3, 0))="",L131,INDEX(Variablen!$I:$AT, MATCH(M131, Variablen!$A:$A, 0), MATCH((YEAR(D131)+5), Variablen!$I$3:$AT$3, 0))),L131)))*(IF((YEAR(D131)+5)&lt;YEAR(E131),0,IF((YEAR(D131)+5)&gt;YEAR(E131),1,(12-MONTH(E131)+1)/12))) + (Q131)*(IF((YEAR(D131)+5)&lt;YEAR(E131),0,IF((YEAR(D131)+5)&gt;YEAR(E131),1,(12-MONTH(E131)+1)/12))))-((P131)*(IF((YEAR(D131)+5)&lt;YEAR(E131),0,IF((YEAR(D131)+5)&gt;YEAR(E131),1,(12-MONTH(E131)+1)/12))) + (R131)*(IF((YEAR(D131)+5)&lt;YEAR(E131),0,IF((YEAR(D131)+5)&gt;YEAR(E131),1,(12-MONTH(E131)+1)/12))))-(IF((((K131)*(IF(M131="",L131,IFERROR(IF(INDEX(Variablen!$I:$AT, MATCH(M131, Variablen!$A:$A, 0), MATCH((YEAR(D131)+5), Variablen!$I$3:$AT$3, 0))="",L131,INDEX(Variablen!$I:$AT, MATCH(M131, Variablen!$A:$A, 0), MATCH((YEAR(D131)+5), Variablen!$I$3:$AT$3, 0))),L131)))*(IF((YEAR(D131)+5)&lt;YEAR(E131),0,IF((YEAR(D131)+5)&gt;YEAR(E131),1,(12-MONTH(E131)+1)/12))) + (Q131)*(IF((YEAR(D131)+5)&lt;YEAR(E131),0,IF((YEAR(D131)+5)&gt;YEAR(E131),1,(12-MONTH(E131)+1)/12))))-((P131)*(IF((YEAR(D131)+5)&lt;YEAR(E131),0,IF((YEAR(D131)+5)&gt;YEAR(E131),1,(12-MONTH(E131)+1)/12))) + (R131)*(IF((YEAR(D131)+5)&lt;YEAR(E131),0,IF((YEAR(D131)+5)&gt;YEAR(E131),1,(12-MONTH(E131)+1)/12))))-(IF(OR(N131="",N131&lt;=0),0,(O131/N131)*(IF(OR(N131="",N131&lt;=0),0,IF((YEAR(D131)+5)&lt;YEAR(E131),0,IF((YEAR(D131)+5)&gt;=YEAR(E131)+N131,0,IF((YEAR(D131)+5)=YEAR(E131),(12-MONTH(E131)+1)/12,1))))))))&gt;0,(((K131)*(IF(M131="",L131,IFERROR(IF(INDEX(Variablen!$I:$AT, MATCH(M131, Variablen!$A:$A, 0), MATCH((YEAR(D131)+5), Variablen!$I$3:$AT$3, 0))="",L131,INDEX(Variablen!$I:$AT, MATCH(M131, Variablen!$A:$A, 0), MATCH((YEAR(D131)+5), Variablen!$I$3:$AT$3, 0))),L131)))*(IF((YEAR(D131)+5)&lt;YEAR(E131),0,IF((YEAR(D131)+5)&gt;YEAR(E131),1,(12-MONTH(E131)+1)/12))) + (Q131)*(IF((YEAR(D131)+5)&lt;YEAR(E131),0,IF((YEAR(D131)+5)&gt;YEAR(E131),1,(12-MONTH(E131)+1)/12))))-((P131)*(IF((YEAR(D131)+5)&lt;YEAR(E131),0,IF((YEAR(D131)+5)&gt;YEAR(E131),1,(12-MONTH(E131)+1)/12))) + (R131)*(IF((YEAR(D131)+5)&lt;YEAR(E131),0,IF((YEAR(D131)+5)&gt;YEAR(E131),1,(12-MONTH(E131)+1)/12))))-(IF(OR(N131="",N131&lt;=0),0,(O131/N131)*(IF(OR(N131="",N131&lt;=0),0,IF((YEAR(D131)+5)&lt;YEAR(E131),0,IF((YEAR(D131)+5)&gt;=YEAR(E131)+N131,0,IF((YEAR(D131)+5)=YEAR(E131),(12-MONTH(E131)+1)/12,1))))))))*TaxRate,0))-IF(5=0,O131,0))</f>
        <v/>
      </c>
      <c r="Y131" s="29">
        <f>IF(A131="","",((K131)*(IF(M131="",L131,IFERROR(IF(INDEX(Variablen!$I:$AT, MATCH(M131, Variablen!$A:$A, 0), MATCH((YEAR(D131)+6), Variablen!$I$3:$AT$3, 0))="",L131,INDEX(Variablen!$I:$AT, MATCH(M131, Variablen!$A:$A, 0), MATCH((YEAR(D131)+6), Variablen!$I$3:$AT$3, 0))),L131)))*(IF((YEAR(D131)+6)&lt;YEAR(E131),0,IF((YEAR(D131)+6)&gt;YEAR(E131),1,(12-MONTH(E131)+1)/12))) + (Q131)*(IF((YEAR(D131)+6)&lt;YEAR(E131),0,IF((YEAR(D131)+6)&gt;YEAR(E131),1,(12-MONTH(E131)+1)/12))))-((P131)*(IF((YEAR(D131)+6)&lt;YEAR(E131),0,IF((YEAR(D131)+6)&gt;YEAR(E131),1,(12-MONTH(E131)+1)/12))) + (R131)*(IF((YEAR(D131)+6)&lt;YEAR(E131),0,IF((YEAR(D131)+6)&gt;YEAR(E131),1,(12-MONTH(E131)+1)/12))))-(IF((((K131)*(IF(M131="",L131,IFERROR(IF(INDEX(Variablen!$I:$AT, MATCH(M131, Variablen!$A:$A, 0), MATCH((YEAR(D131)+6), Variablen!$I$3:$AT$3, 0))="",L131,INDEX(Variablen!$I:$AT, MATCH(M131, Variablen!$A:$A, 0), MATCH((YEAR(D131)+6), Variablen!$I$3:$AT$3, 0))),L131)))*(IF((YEAR(D131)+6)&lt;YEAR(E131),0,IF((YEAR(D131)+6)&gt;YEAR(E131),1,(12-MONTH(E131)+1)/12))) + (Q131)*(IF((YEAR(D131)+6)&lt;YEAR(E131),0,IF((YEAR(D131)+6)&gt;YEAR(E131),1,(12-MONTH(E131)+1)/12))))-((P131)*(IF((YEAR(D131)+6)&lt;YEAR(E131),0,IF((YEAR(D131)+6)&gt;YEAR(E131),1,(12-MONTH(E131)+1)/12))) + (R131)*(IF((YEAR(D131)+6)&lt;YEAR(E131),0,IF((YEAR(D131)+6)&gt;YEAR(E131),1,(12-MONTH(E131)+1)/12))))-(IF(OR(N131="",N131&lt;=0),0,(O131/N131)*(IF(OR(N131="",N131&lt;=0),0,IF((YEAR(D131)+6)&lt;YEAR(E131),0,IF((YEAR(D131)+6)&gt;=YEAR(E131)+N131,0,IF((YEAR(D131)+6)=YEAR(E131),(12-MONTH(E131)+1)/12,1))))))))&gt;0,(((K131)*(IF(M131="",L131,IFERROR(IF(INDEX(Variablen!$I:$AT, MATCH(M131, Variablen!$A:$A, 0), MATCH((YEAR(D131)+6), Variablen!$I$3:$AT$3, 0))="",L131,INDEX(Variablen!$I:$AT, MATCH(M131, Variablen!$A:$A, 0), MATCH((YEAR(D131)+6), Variablen!$I$3:$AT$3, 0))),L131)))*(IF((YEAR(D131)+6)&lt;YEAR(E131),0,IF((YEAR(D131)+6)&gt;YEAR(E131),1,(12-MONTH(E131)+1)/12))) + (Q131)*(IF((YEAR(D131)+6)&lt;YEAR(E131),0,IF((YEAR(D131)+6)&gt;YEAR(E131),1,(12-MONTH(E131)+1)/12))))-((P131)*(IF((YEAR(D131)+6)&lt;YEAR(E131),0,IF((YEAR(D131)+6)&gt;YEAR(E131),1,(12-MONTH(E131)+1)/12))) + (R131)*(IF((YEAR(D131)+6)&lt;YEAR(E131),0,IF((YEAR(D131)+6)&gt;YEAR(E131),1,(12-MONTH(E131)+1)/12))))-(IF(OR(N131="",N131&lt;=0),0,(O131/N131)*(IF(OR(N131="",N131&lt;=0),0,IF((YEAR(D131)+6)&lt;YEAR(E131),0,IF((YEAR(D131)+6)&gt;=YEAR(E131)+N131,0,IF((YEAR(D131)+6)=YEAR(E131),(12-MONTH(E131)+1)/12,1))))))))*TaxRate,0))-IF(6=0,O131,0))</f>
        <v/>
      </c>
      <c r="Z131" s="29">
        <f>IF(A131="","",((K131)*(IF(M131="",L131,IFERROR(IF(INDEX(Variablen!$I:$AT, MATCH(M131, Variablen!$A:$A, 0), MATCH((YEAR(D131)+7), Variablen!$I$3:$AT$3, 0))="",L131,INDEX(Variablen!$I:$AT, MATCH(M131, Variablen!$A:$A, 0), MATCH((YEAR(D131)+7), Variablen!$I$3:$AT$3, 0))),L131)))*(IF((YEAR(D131)+7)&lt;YEAR(E131),0,IF((YEAR(D131)+7)&gt;YEAR(E131),1,(12-MONTH(E131)+1)/12))) + (Q131)*(IF((YEAR(D131)+7)&lt;YEAR(E131),0,IF((YEAR(D131)+7)&gt;YEAR(E131),1,(12-MONTH(E131)+1)/12))))-((P131)*(IF((YEAR(D131)+7)&lt;YEAR(E131),0,IF((YEAR(D131)+7)&gt;YEAR(E131),1,(12-MONTH(E131)+1)/12))) + (R131)*(IF((YEAR(D131)+7)&lt;YEAR(E131),0,IF((YEAR(D131)+7)&gt;YEAR(E131),1,(12-MONTH(E131)+1)/12))))-(IF((((K131)*(IF(M131="",L131,IFERROR(IF(INDEX(Variablen!$I:$AT, MATCH(M131, Variablen!$A:$A, 0), MATCH((YEAR(D131)+7), Variablen!$I$3:$AT$3, 0))="",L131,INDEX(Variablen!$I:$AT, MATCH(M131, Variablen!$A:$A, 0), MATCH((YEAR(D131)+7), Variablen!$I$3:$AT$3, 0))),L131)))*(IF((YEAR(D131)+7)&lt;YEAR(E131),0,IF((YEAR(D131)+7)&gt;YEAR(E131),1,(12-MONTH(E131)+1)/12))) + (Q131)*(IF((YEAR(D131)+7)&lt;YEAR(E131),0,IF((YEAR(D131)+7)&gt;YEAR(E131),1,(12-MONTH(E131)+1)/12))))-((P131)*(IF((YEAR(D131)+7)&lt;YEAR(E131),0,IF((YEAR(D131)+7)&gt;YEAR(E131),1,(12-MONTH(E131)+1)/12))) + (R131)*(IF((YEAR(D131)+7)&lt;YEAR(E131),0,IF((YEAR(D131)+7)&gt;YEAR(E131),1,(12-MONTH(E131)+1)/12))))-(IF(OR(N131="",N131&lt;=0),0,(O131/N131)*(IF(OR(N131="",N131&lt;=0),0,IF((YEAR(D131)+7)&lt;YEAR(E131),0,IF((YEAR(D131)+7)&gt;=YEAR(E131)+N131,0,IF((YEAR(D131)+7)=YEAR(E131),(12-MONTH(E131)+1)/12,1))))))))&gt;0,(((K131)*(IF(M131="",L131,IFERROR(IF(INDEX(Variablen!$I:$AT, MATCH(M131, Variablen!$A:$A, 0), MATCH((YEAR(D131)+7), Variablen!$I$3:$AT$3, 0))="",L131,INDEX(Variablen!$I:$AT, MATCH(M131, Variablen!$A:$A, 0), MATCH((YEAR(D131)+7), Variablen!$I$3:$AT$3, 0))),L131)))*(IF((YEAR(D131)+7)&lt;YEAR(E131),0,IF((YEAR(D131)+7)&gt;YEAR(E131),1,(12-MONTH(E131)+1)/12))) + (Q131)*(IF((YEAR(D131)+7)&lt;YEAR(E131),0,IF((YEAR(D131)+7)&gt;YEAR(E131),1,(12-MONTH(E131)+1)/12))))-((P131)*(IF((YEAR(D131)+7)&lt;YEAR(E131),0,IF((YEAR(D131)+7)&gt;YEAR(E131),1,(12-MONTH(E131)+1)/12))) + (R131)*(IF((YEAR(D131)+7)&lt;YEAR(E131),0,IF((YEAR(D131)+7)&gt;YEAR(E131),1,(12-MONTH(E131)+1)/12))))-(IF(OR(N131="",N131&lt;=0),0,(O131/N131)*(IF(OR(N131="",N131&lt;=0),0,IF((YEAR(D131)+7)&lt;YEAR(E131),0,IF((YEAR(D131)+7)&gt;=YEAR(E131)+N131,0,IF((YEAR(D131)+7)=YEAR(E131),(12-MONTH(E131)+1)/12,1))))))))*TaxRate,0))-IF(7=0,O131,0))</f>
        <v/>
      </c>
      <c r="AA131" s="29">
        <f>IF(A131="","",((K131)*(IF(M131="",L131,IFERROR(IF(INDEX(Variablen!$I:$AT, MATCH(M131, Variablen!$A:$A, 0), MATCH((YEAR(D131)+8), Variablen!$I$3:$AT$3, 0))="",L131,INDEX(Variablen!$I:$AT, MATCH(M131, Variablen!$A:$A, 0), MATCH((YEAR(D131)+8), Variablen!$I$3:$AT$3, 0))),L131)))*(IF((YEAR(D131)+8)&lt;YEAR(E131),0,IF((YEAR(D131)+8)&gt;YEAR(E131),1,(12-MONTH(E131)+1)/12))) + (Q131)*(IF((YEAR(D131)+8)&lt;YEAR(E131),0,IF((YEAR(D131)+8)&gt;YEAR(E131),1,(12-MONTH(E131)+1)/12))))-((P131)*(IF((YEAR(D131)+8)&lt;YEAR(E131),0,IF((YEAR(D131)+8)&gt;YEAR(E131),1,(12-MONTH(E131)+1)/12))) + (R131)*(IF((YEAR(D131)+8)&lt;YEAR(E131),0,IF((YEAR(D131)+8)&gt;YEAR(E131),1,(12-MONTH(E131)+1)/12))))-(IF((((K131)*(IF(M131="",L131,IFERROR(IF(INDEX(Variablen!$I:$AT, MATCH(M131, Variablen!$A:$A, 0), MATCH((YEAR(D131)+8), Variablen!$I$3:$AT$3, 0))="",L131,INDEX(Variablen!$I:$AT, MATCH(M131, Variablen!$A:$A, 0), MATCH((YEAR(D131)+8), Variablen!$I$3:$AT$3, 0))),L131)))*(IF((YEAR(D131)+8)&lt;YEAR(E131),0,IF((YEAR(D131)+8)&gt;YEAR(E131),1,(12-MONTH(E131)+1)/12))) + (Q131)*(IF((YEAR(D131)+8)&lt;YEAR(E131),0,IF((YEAR(D131)+8)&gt;YEAR(E131),1,(12-MONTH(E131)+1)/12))))-((P131)*(IF((YEAR(D131)+8)&lt;YEAR(E131),0,IF((YEAR(D131)+8)&gt;YEAR(E131),1,(12-MONTH(E131)+1)/12))) + (R131)*(IF((YEAR(D131)+8)&lt;YEAR(E131),0,IF((YEAR(D131)+8)&gt;YEAR(E131),1,(12-MONTH(E131)+1)/12))))-(IF(OR(N131="",N131&lt;=0),0,(O131/N131)*(IF(OR(N131="",N131&lt;=0),0,IF((YEAR(D131)+8)&lt;YEAR(E131),0,IF((YEAR(D131)+8)&gt;=YEAR(E131)+N131,0,IF((YEAR(D131)+8)=YEAR(E131),(12-MONTH(E131)+1)/12,1))))))))&gt;0,(((K131)*(IF(M131="",L131,IFERROR(IF(INDEX(Variablen!$I:$AT, MATCH(M131, Variablen!$A:$A, 0), MATCH((YEAR(D131)+8), Variablen!$I$3:$AT$3, 0))="",L131,INDEX(Variablen!$I:$AT, MATCH(M131, Variablen!$A:$A, 0), MATCH((YEAR(D131)+8), Variablen!$I$3:$AT$3, 0))),L131)))*(IF((YEAR(D131)+8)&lt;YEAR(E131),0,IF((YEAR(D131)+8)&gt;YEAR(E131),1,(12-MONTH(E131)+1)/12))) + (Q131)*(IF((YEAR(D131)+8)&lt;YEAR(E131),0,IF((YEAR(D131)+8)&gt;YEAR(E131),1,(12-MONTH(E131)+1)/12))))-((P131)*(IF((YEAR(D131)+8)&lt;YEAR(E131),0,IF((YEAR(D131)+8)&gt;YEAR(E131),1,(12-MONTH(E131)+1)/12))) + (R131)*(IF((YEAR(D131)+8)&lt;YEAR(E131),0,IF((YEAR(D131)+8)&gt;YEAR(E131),1,(12-MONTH(E131)+1)/12))))-(IF(OR(N131="",N131&lt;=0),0,(O131/N131)*(IF(OR(N131="",N131&lt;=0),0,IF((YEAR(D131)+8)&lt;YEAR(E131),0,IF((YEAR(D131)+8)&gt;=YEAR(E131)+N131,0,IF((YEAR(D131)+8)=YEAR(E131),(12-MONTH(E131)+1)/12,1))))))))*TaxRate,0))-IF(8=0,O131,0))</f>
        <v/>
      </c>
      <c r="AB131" s="29">
        <f>IF(A131="","",((K131)*(IF(M131="",L131,IFERROR(IF(INDEX(Variablen!$I:$AT, MATCH(M131, Variablen!$A:$A, 0), MATCH((YEAR(D131)+9), Variablen!$I$3:$AT$3, 0))="",L131,INDEX(Variablen!$I:$AT, MATCH(M131, Variablen!$A:$A, 0), MATCH((YEAR(D131)+9), Variablen!$I$3:$AT$3, 0))),L131)))*(IF((YEAR(D131)+9)&lt;YEAR(E131),0,IF((YEAR(D131)+9)&gt;YEAR(E131),1,(12-MONTH(E131)+1)/12))) + (Q131)*(IF((YEAR(D131)+9)&lt;YEAR(E131),0,IF((YEAR(D131)+9)&gt;YEAR(E131),1,(12-MONTH(E131)+1)/12))))-((P131)*(IF((YEAR(D131)+9)&lt;YEAR(E131),0,IF((YEAR(D131)+9)&gt;YEAR(E131),1,(12-MONTH(E131)+1)/12))) + (R131)*(IF((YEAR(D131)+9)&lt;YEAR(E131),0,IF((YEAR(D131)+9)&gt;YEAR(E131),1,(12-MONTH(E131)+1)/12))))-(IF((((K131)*(IF(M131="",L131,IFERROR(IF(INDEX(Variablen!$I:$AT, MATCH(M131, Variablen!$A:$A, 0), MATCH((YEAR(D131)+9), Variablen!$I$3:$AT$3, 0))="",L131,INDEX(Variablen!$I:$AT, MATCH(M131, Variablen!$A:$A, 0), MATCH((YEAR(D131)+9), Variablen!$I$3:$AT$3, 0))),L131)))*(IF((YEAR(D131)+9)&lt;YEAR(E131),0,IF((YEAR(D131)+9)&gt;YEAR(E131),1,(12-MONTH(E131)+1)/12))) + (Q131)*(IF((YEAR(D131)+9)&lt;YEAR(E131),0,IF((YEAR(D131)+9)&gt;YEAR(E131),1,(12-MONTH(E131)+1)/12))))-((P131)*(IF((YEAR(D131)+9)&lt;YEAR(E131),0,IF((YEAR(D131)+9)&gt;YEAR(E131),1,(12-MONTH(E131)+1)/12))) + (R131)*(IF((YEAR(D131)+9)&lt;YEAR(E131),0,IF((YEAR(D131)+9)&gt;YEAR(E131),1,(12-MONTH(E131)+1)/12))))-(IF(OR(N131="",N131&lt;=0),0,(O131/N131)*(IF(OR(N131="",N131&lt;=0),0,IF((YEAR(D131)+9)&lt;YEAR(E131),0,IF((YEAR(D131)+9)&gt;=YEAR(E131)+N131,0,IF((YEAR(D131)+9)=YEAR(E131),(12-MONTH(E131)+1)/12,1))))))))&gt;0,(((K131)*(IF(M131="",L131,IFERROR(IF(INDEX(Variablen!$I:$AT, MATCH(M131, Variablen!$A:$A, 0), MATCH((YEAR(D131)+9), Variablen!$I$3:$AT$3, 0))="",L131,INDEX(Variablen!$I:$AT, MATCH(M131, Variablen!$A:$A, 0), MATCH((YEAR(D131)+9), Variablen!$I$3:$AT$3, 0))),L131)))*(IF((YEAR(D131)+9)&lt;YEAR(E131),0,IF((YEAR(D131)+9)&gt;YEAR(E131),1,(12-MONTH(E131)+1)/12))) + (Q131)*(IF((YEAR(D131)+9)&lt;YEAR(E131),0,IF((YEAR(D131)+9)&gt;YEAR(E131),1,(12-MONTH(E131)+1)/12))))-((P131)*(IF((YEAR(D131)+9)&lt;YEAR(E131),0,IF((YEAR(D131)+9)&gt;YEAR(E131),1,(12-MONTH(E131)+1)/12))) + (R131)*(IF((YEAR(D131)+9)&lt;YEAR(E131),0,IF((YEAR(D131)+9)&gt;YEAR(E131),1,(12-MONTH(E131)+1)/12))))-(IF(OR(N131="",N131&lt;=0),0,(O131/N131)*(IF(OR(N131="",N131&lt;=0),0,IF((YEAR(D131)+9)&lt;YEAR(E131),0,IF((YEAR(D131)+9)&gt;=YEAR(E131)+N131,0,IF((YEAR(D131)+9)=YEAR(E131),(12-MONTH(E131)+1)/12,1))))))))*TaxRate,0))-IF(9=0,O131,0))</f>
        <v/>
      </c>
      <c r="AC131" s="29">
        <f>IF(A131="","",((K131)*(IF(M131="",L131,IFERROR(IF(INDEX(Variablen!$I:$AT, MATCH(M131, Variablen!$A:$A, 0), MATCH((YEAR(D131)+10), Variablen!$I$3:$AT$3, 0))="",L131,INDEX(Variablen!$I:$AT, MATCH(M131, Variablen!$A:$A, 0), MATCH((YEAR(D131)+10), Variablen!$I$3:$AT$3, 0))),L131)))*(IF((YEAR(D131)+10)&lt;YEAR(E131),0,IF((YEAR(D131)+10)&gt;YEAR(E131),1,(12-MONTH(E131)+1)/12))) + (Q131)*(IF((YEAR(D131)+10)&lt;YEAR(E131),0,IF((YEAR(D131)+10)&gt;YEAR(E131),1,(12-MONTH(E131)+1)/12))))-((P131)*(IF((YEAR(D131)+10)&lt;YEAR(E131),0,IF((YEAR(D131)+10)&gt;YEAR(E131),1,(12-MONTH(E131)+1)/12))) + (R131)*(IF((YEAR(D131)+10)&lt;YEAR(E131),0,IF((YEAR(D131)+10)&gt;YEAR(E131),1,(12-MONTH(E131)+1)/12))))-(IF((((K131)*(IF(M131="",L131,IFERROR(IF(INDEX(Variablen!$I:$AT, MATCH(M131, Variablen!$A:$A, 0), MATCH((YEAR(D131)+10), Variablen!$I$3:$AT$3, 0))="",L131,INDEX(Variablen!$I:$AT, MATCH(M131, Variablen!$A:$A, 0), MATCH((YEAR(D131)+10), Variablen!$I$3:$AT$3, 0))),L131)))*(IF((YEAR(D131)+10)&lt;YEAR(E131),0,IF((YEAR(D131)+10)&gt;YEAR(E131),1,(12-MONTH(E131)+1)/12))) + (Q131)*(IF((YEAR(D131)+10)&lt;YEAR(E131),0,IF((YEAR(D131)+10)&gt;YEAR(E131),1,(12-MONTH(E131)+1)/12))))-((P131)*(IF((YEAR(D131)+10)&lt;YEAR(E131),0,IF((YEAR(D131)+10)&gt;YEAR(E131),1,(12-MONTH(E131)+1)/12))) + (R131)*(IF((YEAR(D131)+10)&lt;YEAR(E131),0,IF((YEAR(D131)+10)&gt;YEAR(E131),1,(12-MONTH(E131)+1)/12))))-(IF(OR(N131="",N131&lt;=0),0,(O131/N131)*(IF(OR(N131="",N131&lt;=0),0,IF((YEAR(D131)+10)&lt;YEAR(E131),0,IF((YEAR(D131)+10)&gt;=YEAR(E131)+N131,0,IF((YEAR(D131)+10)=YEAR(E131),(12-MONTH(E131)+1)/12,1))))))))&gt;0,(((K131)*(IF(M131="",L131,IFERROR(IF(INDEX(Variablen!$I:$AT, MATCH(M131, Variablen!$A:$A, 0), MATCH((YEAR(D131)+10), Variablen!$I$3:$AT$3, 0))="",L131,INDEX(Variablen!$I:$AT, MATCH(M131, Variablen!$A:$A, 0), MATCH((YEAR(D131)+10), Variablen!$I$3:$AT$3, 0))),L131)))*(IF((YEAR(D131)+10)&lt;YEAR(E131),0,IF((YEAR(D131)+10)&gt;YEAR(E131),1,(12-MONTH(E131)+1)/12))) + (Q131)*(IF((YEAR(D131)+10)&lt;YEAR(E131),0,IF((YEAR(D131)+10)&gt;YEAR(E131),1,(12-MONTH(E131)+1)/12))))-((P131)*(IF((YEAR(D131)+10)&lt;YEAR(E131),0,IF((YEAR(D131)+10)&gt;YEAR(E131),1,(12-MONTH(E131)+1)/12))) + (R131)*(IF((YEAR(D131)+10)&lt;YEAR(E131),0,IF((YEAR(D131)+10)&gt;YEAR(E131),1,(12-MONTH(E131)+1)/12))))-(IF(OR(N131="",N131&lt;=0),0,(O131/N131)*(IF(OR(N131="",N131&lt;=0),0,IF((YEAR(D131)+10)&lt;YEAR(E131),0,IF((YEAR(D131)+10)&gt;=YEAR(E131)+N131,0,IF((YEAR(D131)+10)=YEAR(E131),(12-MONTH(E131)+1)/12,1))))))))*TaxRate,0))-IF(10=0,O131,0))</f>
        <v/>
      </c>
      <c r="AD131" s="29">
        <f>IF(A131="","",((K131)*(IF(M131="",L131,IFERROR(IF(INDEX(Variablen!$I:$AT, MATCH(M131, Variablen!$A:$A, 0), MATCH((YEAR(D131)+11), Variablen!$I$3:$AT$3, 0))="",L131,INDEX(Variablen!$I:$AT, MATCH(M131, Variablen!$A:$A, 0), MATCH((YEAR(D131)+11), Variablen!$I$3:$AT$3, 0))),L131)))*(IF((YEAR(D131)+11)&lt;YEAR(E131),0,IF((YEAR(D131)+11)&gt;YEAR(E131),1,(12-MONTH(E131)+1)/12))) + (Q131)*(IF((YEAR(D131)+11)&lt;YEAR(E131),0,IF((YEAR(D131)+11)&gt;YEAR(E131),1,(12-MONTH(E131)+1)/12))))-((P131)*(IF((YEAR(D131)+11)&lt;YEAR(E131),0,IF((YEAR(D131)+11)&gt;YEAR(E131),1,(12-MONTH(E131)+1)/12))) + (R131)*(IF((YEAR(D131)+11)&lt;YEAR(E131),0,IF((YEAR(D131)+11)&gt;YEAR(E131),1,(12-MONTH(E131)+1)/12))))-(IF((((K131)*(IF(M131="",L131,IFERROR(IF(INDEX(Variablen!$I:$AT, MATCH(M131, Variablen!$A:$A, 0), MATCH((YEAR(D131)+11), Variablen!$I$3:$AT$3, 0))="",L131,INDEX(Variablen!$I:$AT, MATCH(M131, Variablen!$A:$A, 0), MATCH((YEAR(D131)+11), Variablen!$I$3:$AT$3, 0))),L131)))*(IF((YEAR(D131)+11)&lt;YEAR(E131),0,IF((YEAR(D131)+11)&gt;YEAR(E131),1,(12-MONTH(E131)+1)/12))) + (Q131)*(IF((YEAR(D131)+11)&lt;YEAR(E131),0,IF((YEAR(D131)+11)&gt;YEAR(E131),1,(12-MONTH(E131)+1)/12))))-((P131)*(IF((YEAR(D131)+11)&lt;YEAR(E131),0,IF((YEAR(D131)+11)&gt;YEAR(E131),1,(12-MONTH(E131)+1)/12))) + (R131)*(IF((YEAR(D131)+11)&lt;YEAR(E131),0,IF((YEAR(D131)+11)&gt;YEAR(E131),1,(12-MONTH(E131)+1)/12))))-(IF(OR(N131="",N131&lt;=0),0,(O131/N131)*(IF(OR(N131="",N131&lt;=0),0,IF((YEAR(D131)+11)&lt;YEAR(E131),0,IF((YEAR(D131)+11)&gt;=YEAR(E131)+N131,0,IF((YEAR(D131)+11)=YEAR(E131),(12-MONTH(E131)+1)/12,1))))))))&gt;0,(((K131)*(IF(M131="",L131,IFERROR(IF(INDEX(Variablen!$I:$AT, MATCH(M131, Variablen!$A:$A, 0), MATCH((YEAR(D131)+11), Variablen!$I$3:$AT$3, 0))="",L131,INDEX(Variablen!$I:$AT, MATCH(M131, Variablen!$A:$A, 0), MATCH((YEAR(D131)+11), Variablen!$I$3:$AT$3, 0))),L131)))*(IF((YEAR(D131)+11)&lt;YEAR(E131),0,IF((YEAR(D131)+11)&gt;YEAR(E131),1,(12-MONTH(E131)+1)/12))) + (Q131)*(IF((YEAR(D131)+11)&lt;YEAR(E131),0,IF((YEAR(D131)+11)&gt;YEAR(E131),1,(12-MONTH(E131)+1)/12))))-((P131)*(IF((YEAR(D131)+11)&lt;YEAR(E131),0,IF((YEAR(D131)+11)&gt;YEAR(E131),1,(12-MONTH(E131)+1)/12))) + (R131)*(IF((YEAR(D131)+11)&lt;YEAR(E131),0,IF((YEAR(D131)+11)&gt;YEAR(E131),1,(12-MONTH(E131)+1)/12))))-(IF(OR(N131="",N131&lt;=0),0,(O131/N131)*(IF(OR(N131="",N131&lt;=0),0,IF((YEAR(D131)+11)&lt;YEAR(E131),0,IF((YEAR(D131)+11)&gt;=YEAR(E131)+N131,0,IF((YEAR(D131)+11)=YEAR(E131),(12-MONTH(E131)+1)/12,1))))))))*TaxRate,0))-IF(11=0,O131,0))</f>
        <v/>
      </c>
      <c r="AE131" s="29">
        <f>IF(A131="","",((K131)*(IF(M131="",L131,IFERROR(IF(INDEX(Variablen!$I:$AT, MATCH(M131, Variablen!$A:$A, 0), MATCH((YEAR(D131)+12), Variablen!$I$3:$AT$3, 0))="",L131,INDEX(Variablen!$I:$AT, MATCH(M131, Variablen!$A:$A, 0), MATCH((YEAR(D131)+12), Variablen!$I$3:$AT$3, 0))),L131)))*(IF((YEAR(D131)+12)&lt;YEAR(E131),0,IF((YEAR(D131)+12)&gt;YEAR(E131),1,(12-MONTH(E131)+1)/12))) + (Q131)*(IF((YEAR(D131)+12)&lt;YEAR(E131),0,IF((YEAR(D131)+12)&gt;YEAR(E131),1,(12-MONTH(E131)+1)/12))))-((P131)*(IF((YEAR(D131)+12)&lt;YEAR(E131),0,IF((YEAR(D131)+12)&gt;YEAR(E131),1,(12-MONTH(E131)+1)/12))) + (R131)*(IF((YEAR(D131)+12)&lt;YEAR(E131),0,IF((YEAR(D131)+12)&gt;YEAR(E131),1,(12-MONTH(E131)+1)/12))))-(IF((((K131)*(IF(M131="",L131,IFERROR(IF(INDEX(Variablen!$I:$AT, MATCH(M131, Variablen!$A:$A, 0), MATCH((YEAR(D131)+12), Variablen!$I$3:$AT$3, 0))="",L131,INDEX(Variablen!$I:$AT, MATCH(M131, Variablen!$A:$A, 0), MATCH((YEAR(D131)+12), Variablen!$I$3:$AT$3, 0))),L131)))*(IF((YEAR(D131)+12)&lt;YEAR(E131),0,IF((YEAR(D131)+12)&gt;YEAR(E131),1,(12-MONTH(E131)+1)/12))) + (Q131)*(IF((YEAR(D131)+12)&lt;YEAR(E131),0,IF((YEAR(D131)+12)&gt;YEAR(E131),1,(12-MONTH(E131)+1)/12))))-((P131)*(IF((YEAR(D131)+12)&lt;YEAR(E131),0,IF((YEAR(D131)+12)&gt;YEAR(E131),1,(12-MONTH(E131)+1)/12))) + (R131)*(IF((YEAR(D131)+12)&lt;YEAR(E131),0,IF((YEAR(D131)+12)&gt;YEAR(E131),1,(12-MONTH(E131)+1)/12))))-(IF(OR(N131="",N131&lt;=0),0,(O131/N131)*(IF(OR(N131="",N131&lt;=0),0,IF((YEAR(D131)+12)&lt;YEAR(E131),0,IF((YEAR(D131)+12)&gt;=YEAR(E131)+N131,0,IF((YEAR(D131)+12)=YEAR(E131),(12-MONTH(E131)+1)/12,1))))))))&gt;0,(((K131)*(IF(M131="",L131,IFERROR(IF(INDEX(Variablen!$I:$AT, MATCH(M131, Variablen!$A:$A, 0), MATCH((YEAR(D131)+12), Variablen!$I$3:$AT$3, 0))="",L131,INDEX(Variablen!$I:$AT, MATCH(M131, Variablen!$A:$A, 0), MATCH((YEAR(D131)+12), Variablen!$I$3:$AT$3, 0))),L131)))*(IF((YEAR(D131)+12)&lt;YEAR(E131),0,IF((YEAR(D131)+12)&gt;YEAR(E131),1,(12-MONTH(E131)+1)/12))) + (Q131)*(IF((YEAR(D131)+12)&lt;YEAR(E131),0,IF((YEAR(D131)+12)&gt;YEAR(E131),1,(12-MONTH(E131)+1)/12))))-((P131)*(IF((YEAR(D131)+12)&lt;YEAR(E131),0,IF((YEAR(D131)+12)&gt;YEAR(E131),1,(12-MONTH(E131)+1)/12))) + (R131)*(IF((YEAR(D131)+12)&lt;YEAR(E131),0,IF((YEAR(D131)+12)&gt;YEAR(E131),1,(12-MONTH(E131)+1)/12))))-(IF(OR(N131="",N131&lt;=0),0,(O131/N131)*(IF(OR(N131="",N131&lt;=0),0,IF((YEAR(D131)+12)&lt;YEAR(E131),0,IF((YEAR(D131)+12)&gt;=YEAR(E131)+N131,0,IF((YEAR(D131)+12)=YEAR(E131),(12-MONTH(E131)+1)/12,1))))))))*TaxRate,0))-IF(12=0,O131,0))</f>
        <v/>
      </c>
      <c r="AF131" s="29">
        <f>IF(A131="","",((K131)*(IF(M131="",L131,IFERROR(IF(INDEX(Variablen!$I:$AT, MATCH(M131, Variablen!$A:$A, 0), MATCH((YEAR(D131)+13), Variablen!$I$3:$AT$3, 0))="",L131,INDEX(Variablen!$I:$AT, MATCH(M131, Variablen!$A:$A, 0), MATCH((YEAR(D131)+13), Variablen!$I$3:$AT$3, 0))),L131)))*(IF((YEAR(D131)+13)&lt;YEAR(E131),0,IF((YEAR(D131)+13)&gt;YEAR(E131),1,(12-MONTH(E131)+1)/12))) + (Q131)*(IF((YEAR(D131)+13)&lt;YEAR(E131),0,IF((YEAR(D131)+13)&gt;YEAR(E131),1,(12-MONTH(E131)+1)/12))))-((P131)*(IF((YEAR(D131)+13)&lt;YEAR(E131),0,IF((YEAR(D131)+13)&gt;YEAR(E131),1,(12-MONTH(E131)+1)/12))) + (R131)*(IF((YEAR(D131)+13)&lt;YEAR(E131),0,IF((YEAR(D131)+13)&gt;YEAR(E131),1,(12-MONTH(E131)+1)/12))))-(IF((((K131)*(IF(M131="",L131,IFERROR(IF(INDEX(Variablen!$I:$AT, MATCH(M131, Variablen!$A:$A, 0), MATCH((YEAR(D131)+13), Variablen!$I$3:$AT$3, 0))="",L131,INDEX(Variablen!$I:$AT, MATCH(M131, Variablen!$A:$A, 0), MATCH((YEAR(D131)+13), Variablen!$I$3:$AT$3, 0))),L131)))*(IF((YEAR(D131)+13)&lt;YEAR(E131),0,IF((YEAR(D131)+13)&gt;YEAR(E131),1,(12-MONTH(E131)+1)/12))) + (Q131)*(IF((YEAR(D131)+13)&lt;YEAR(E131),0,IF((YEAR(D131)+13)&gt;YEAR(E131),1,(12-MONTH(E131)+1)/12))))-((P131)*(IF((YEAR(D131)+13)&lt;YEAR(E131),0,IF((YEAR(D131)+13)&gt;YEAR(E131),1,(12-MONTH(E131)+1)/12))) + (R131)*(IF((YEAR(D131)+13)&lt;YEAR(E131),0,IF((YEAR(D131)+13)&gt;YEAR(E131),1,(12-MONTH(E131)+1)/12))))-(IF(OR(N131="",N131&lt;=0),0,(O131/N131)*(IF(OR(N131="",N131&lt;=0),0,IF((YEAR(D131)+13)&lt;YEAR(E131),0,IF((YEAR(D131)+13)&gt;=YEAR(E131)+N131,0,IF((YEAR(D131)+13)=YEAR(E131),(12-MONTH(E131)+1)/12,1))))))))&gt;0,(((K131)*(IF(M131="",L131,IFERROR(IF(INDEX(Variablen!$I:$AT, MATCH(M131, Variablen!$A:$A, 0), MATCH((YEAR(D131)+13), Variablen!$I$3:$AT$3, 0))="",L131,INDEX(Variablen!$I:$AT, MATCH(M131, Variablen!$A:$A, 0), MATCH((YEAR(D131)+13), Variablen!$I$3:$AT$3, 0))),L131)))*(IF((YEAR(D131)+13)&lt;YEAR(E131),0,IF((YEAR(D131)+13)&gt;YEAR(E131),1,(12-MONTH(E131)+1)/12))) + (Q131)*(IF((YEAR(D131)+13)&lt;YEAR(E131),0,IF((YEAR(D131)+13)&gt;YEAR(E131),1,(12-MONTH(E131)+1)/12))))-((P131)*(IF((YEAR(D131)+13)&lt;YEAR(E131),0,IF((YEAR(D131)+13)&gt;YEAR(E131),1,(12-MONTH(E131)+1)/12))) + (R131)*(IF((YEAR(D131)+13)&lt;YEAR(E131),0,IF((YEAR(D131)+13)&gt;YEAR(E131),1,(12-MONTH(E131)+1)/12))))-(IF(OR(N131="",N131&lt;=0),0,(O131/N131)*(IF(OR(N131="",N131&lt;=0),0,IF((YEAR(D131)+13)&lt;YEAR(E131),0,IF((YEAR(D131)+13)&gt;=YEAR(E131)+N131,0,IF((YEAR(D131)+13)=YEAR(E131),(12-MONTH(E131)+1)/12,1))))))))*TaxRate,0))-IF(13=0,O131,0))</f>
        <v/>
      </c>
      <c r="AG131" s="29">
        <f>IF(A131="","",((K131)*(IF(M131="",L131,IFERROR(IF(INDEX(Variablen!$I:$AT, MATCH(M131, Variablen!$A:$A, 0), MATCH((YEAR(D131)+14), Variablen!$I$3:$AT$3, 0))="",L131,INDEX(Variablen!$I:$AT, MATCH(M131, Variablen!$A:$A, 0), MATCH((YEAR(D131)+14), Variablen!$I$3:$AT$3, 0))),L131)))*(IF((YEAR(D131)+14)&lt;YEAR(E131),0,IF((YEAR(D131)+14)&gt;YEAR(E131),1,(12-MONTH(E131)+1)/12))) + (Q131)*(IF((YEAR(D131)+14)&lt;YEAR(E131),0,IF((YEAR(D131)+14)&gt;YEAR(E131),1,(12-MONTH(E131)+1)/12))))-((P131)*(IF((YEAR(D131)+14)&lt;YEAR(E131),0,IF((YEAR(D131)+14)&gt;YEAR(E131),1,(12-MONTH(E131)+1)/12))) + (R131)*(IF((YEAR(D131)+14)&lt;YEAR(E131),0,IF((YEAR(D131)+14)&gt;YEAR(E131),1,(12-MONTH(E131)+1)/12))))-(IF((((K131)*(IF(M131="",L131,IFERROR(IF(INDEX(Variablen!$I:$AT, MATCH(M131, Variablen!$A:$A, 0), MATCH((YEAR(D131)+14), Variablen!$I$3:$AT$3, 0))="",L131,INDEX(Variablen!$I:$AT, MATCH(M131, Variablen!$A:$A, 0), MATCH((YEAR(D131)+14), Variablen!$I$3:$AT$3, 0))),L131)))*(IF((YEAR(D131)+14)&lt;YEAR(E131),0,IF((YEAR(D131)+14)&gt;YEAR(E131),1,(12-MONTH(E131)+1)/12))) + (Q131)*(IF((YEAR(D131)+14)&lt;YEAR(E131),0,IF((YEAR(D131)+14)&gt;YEAR(E131),1,(12-MONTH(E131)+1)/12))))-((P131)*(IF((YEAR(D131)+14)&lt;YEAR(E131),0,IF((YEAR(D131)+14)&gt;YEAR(E131),1,(12-MONTH(E131)+1)/12))) + (R131)*(IF((YEAR(D131)+14)&lt;YEAR(E131),0,IF((YEAR(D131)+14)&gt;YEAR(E131),1,(12-MONTH(E131)+1)/12))))-(IF(OR(N131="",N131&lt;=0),0,(O131/N131)*(IF(OR(N131="",N131&lt;=0),0,IF((YEAR(D131)+14)&lt;YEAR(E131),0,IF((YEAR(D131)+14)&gt;=YEAR(E131)+N131,0,IF((YEAR(D131)+14)=YEAR(E131),(12-MONTH(E131)+1)/12,1))))))))&gt;0,(((K131)*(IF(M131="",L131,IFERROR(IF(INDEX(Variablen!$I:$AT, MATCH(M131, Variablen!$A:$A, 0), MATCH((YEAR(D131)+14), Variablen!$I$3:$AT$3, 0))="",L131,INDEX(Variablen!$I:$AT, MATCH(M131, Variablen!$A:$A, 0), MATCH((YEAR(D131)+14), Variablen!$I$3:$AT$3, 0))),L131)))*(IF((YEAR(D131)+14)&lt;YEAR(E131),0,IF((YEAR(D131)+14)&gt;YEAR(E131),1,(12-MONTH(E131)+1)/12))) + (Q131)*(IF((YEAR(D131)+14)&lt;YEAR(E131),0,IF((YEAR(D131)+14)&gt;YEAR(E131),1,(12-MONTH(E131)+1)/12))))-((P131)*(IF((YEAR(D131)+14)&lt;YEAR(E131),0,IF((YEAR(D131)+14)&gt;YEAR(E131),1,(12-MONTH(E131)+1)/12))) + (R131)*(IF((YEAR(D131)+14)&lt;YEAR(E131),0,IF((YEAR(D131)+14)&gt;YEAR(E131),1,(12-MONTH(E131)+1)/12))))-(IF(OR(N131="",N131&lt;=0),0,(O131/N131)*(IF(OR(N131="",N131&lt;=0),0,IF((YEAR(D131)+14)&lt;YEAR(E131),0,IF((YEAR(D131)+14)&gt;=YEAR(E131)+N131,0,IF((YEAR(D131)+14)=YEAR(E131),(12-MONTH(E131)+1)/12,1))))))))*TaxRate,0))-IF(14=0,O131,0))</f>
        <v/>
      </c>
      <c r="AH131" s="29">
        <f>IF(A131="","",((K131)*(IF(M131="",L131,IFERROR(IF(INDEX(Variablen!$I:$AT, MATCH(M131, Variablen!$A:$A, 0), MATCH((YEAR(D131)+15), Variablen!$I$3:$AT$3, 0))="",L131,INDEX(Variablen!$I:$AT, MATCH(M131, Variablen!$A:$A, 0), MATCH((YEAR(D131)+15), Variablen!$I$3:$AT$3, 0))),L131)))*(IF((YEAR(D131)+15)&lt;YEAR(E131),0,IF((YEAR(D131)+15)&gt;YEAR(E131),1,(12-MONTH(E131)+1)/12))) + (Q131)*(IF((YEAR(D131)+15)&lt;YEAR(E131),0,IF((YEAR(D131)+15)&gt;YEAR(E131),1,(12-MONTH(E131)+1)/12))))-((P131)*(IF((YEAR(D131)+15)&lt;YEAR(E131),0,IF((YEAR(D131)+15)&gt;YEAR(E131),1,(12-MONTH(E131)+1)/12))) + (R131)*(IF((YEAR(D131)+15)&lt;YEAR(E131),0,IF((YEAR(D131)+15)&gt;YEAR(E131),1,(12-MONTH(E131)+1)/12))))-(IF((((K131)*(IF(M131="",L131,IFERROR(IF(INDEX(Variablen!$I:$AT, MATCH(M131, Variablen!$A:$A, 0), MATCH((YEAR(D131)+15), Variablen!$I$3:$AT$3, 0))="",L131,INDEX(Variablen!$I:$AT, MATCH(M131, Variablen!$A:$A, 0), MATCH((YEAR(D131)+15), Variablen!$I$3:$AT$3, 0))),L131)))*(IF((YEAR(D131)+15)&lt;YEAR(E131),0,IF((YEAR(D131)+15)&gt;YEAR(E131),1,(12-MONTH(E131)+1)/12))) + (Q131)*(IF((YEAR(D131)+15)&lt;YEAR(E131),0,IF((YEAR(D131)+15)&gt;YEAR(E131),1,(12-MONTH(E131)+1)/12))))-((P131)*(IF((YEAR(D131)+15)&lt;YEAR(E131),0,IF((YEAR(D131)+15)&gt;YEAR(E131),1,(12-MONTH(E131)+1)/12))) + (R131)*(IF((YEAR(D131)+15)&lt;YEAR(E131),0,IF((YEAR(D131)+15)&gt;YEAR(E131),1,(12-MONTH(E131)+1)/12))))-(IF(OR(N131="",N131&lt;=0),0,(O131/N131)*(IF(OR(N131="",N131&lt;=0),0,IF((YEAR(D131)+15)&lt;YEAR(E131),0,IF((YEAR(D131)+15)&gt;=YEAR(E131)+N131,0,IF((YEAR(D131)+15)=YEAR(E131),(12-MONTH(E131)+1)/12,1))))))))&gt;0,(((K131)*(IF(M131="",L131,IFERROR(IF(INDEX(Variablen!$I:$AT, MATCH(M131, Variablen!$A:$A, 0), MATCH((YEAR(D131)+15), Variablen!$I$3:$AT$3, 0))="",L131,INDEX(Variablen!$I:$AT, MATCH(M131, Variablen!$A:$A, 0), MATCH((YEAR(D131)+15), Variablen!$I$3:$AT$3, 0))),L131)))*(IF((YEAR(D131)+15)&lt;YEAR(E131),0,IF((YEAR(D131)+15)&gt;YEAR(E131),1,(12-MONTH(E131)+1)/12))) + (Q131)*(IF((YEAR(D131)+15)&lt;YEAR(E131),0,IF((YEAR(D131)+15)&gt;YEAR(E131),1,(12-MONTH(E131)+1)/12))))-((P131)*(IF((YEAR(D131)+15)&lt;YEAR(E131),0,IF((YEAR(D131)+15)&gt;YEAR(E131),1,(12-MONTH(E131)+1)/12))) + (R131)*(IF((YEAR(D131)+15)&lt;YEAR(E131),0,IF((YEAR(D131)+15)&gt;YEAR(E131),1,(12-MONTH(E131)+1)/12))))-(IF(OR(N131="",N131&lt;=0),0,(O131/N131)*(IF(OR(N131="",N131&lt;=0),0,IF((YEAR(D131)+15)&lt;YEAR(E131),0,IF((YEAR(D131)+15)&gt;=YEAR(E131)+N131,0,IF((YEAR(D131)+15)=YEAR(E131),(12-MONTH(E131)+1)/12,1))))))))*TaxRate,0))-IF(15=0,O131,0))</f>
        <v/>
      </c>
      <c r="AI131" s="29">
        <f>IF(A131="","",((K131)*(IF(M131="",L131,IFERROR(IF(INDEX(Variablen!$I:$AT, MATCH(M131, Variablen!$A:$A, 0), MATCH((YEAR(D131)+16), Variablen!$I$3:$AT$3, 0))="",L131,INDEX(Variablen!$I:$AT, MATCH(M131, Variablen!$A:$A, 0), MATCH((YEAR(D131)+16), Variablen!$I$3:$AT$3, 0))),L131)))*(IF((YEAR(D131)+16)&lt;YEAR(E131),0,IF((YEAR(D131)+16)&gt;YEAR(E131),1,(12-MONTH(E131)+1)/12))) + (Q131)*(IF((YEAR(D131)+16)&lt;YEAR(E131),0,IF((YEAR(D131)+16)&gt;YEAR(E131),1,(12-MONTH(E131)+1)/12))))-((P131)*(IF((YEAR(D131)+16)&lt;YEAR(E131),0,IF((YEAR(D131)+16)&gt;YEAR(E131),1,(12-MONTH(E131)+1)/12))) + (R131)*(IF((YEAR(D131)+16)&lt;YEAR(E131),0,IF((YEAR(D131)+16)&gt;YEAR(E131),1,(12-MONTH(E131)+1)/12))))-(IF((((K131)*(IF(M131="",L131,IFERROR(IF(INDEX(Variablen!$I:$AT, MATCH(M131, Variablen!$A:$A, 0), MATCH((YEAR(D131)+16), Variablen!$I$3:$AT$3, 0))="",L131,INDEX(Variablen!$I:$AT, MATCH(M131, Variablen!$A:$A, 0), MATCH((YEAR(D131)+16), Variablen!$I$3:$AT$3, 0))),L131)))*(IF((YEAR(D131)+16)&lt;YEAR(E131),0,IF((YEAR(D131)+16)&gt;YEAR(E131),1,(12-MONTH(E131)+1)/12))) + (Q131)*(IF((YEAR(D131)+16)&lt;YEAR(E131),0,IF((YEAR(D131)+16)&gt;YEAR(E131),1,(12-MONTH(E131)+1)/12))))-((P131)*(IF((YEAR(D131)+16)&lt;YEAR(E131),0,IF((YEAR(D131)+16)&gt;YEAR(E131),1,(12-MONTH(E131)+1)/12))) + (R131)*(IF((YEAR(D131)+16)&lt;YEAR(E131),0,IF((YEAR(D131)+16)&gt;YEAR(E131),1,(12-MONTH(E131)+1)/12))))-(IF(OR(N131="",N131&lt;=0),0,(O131/N131)*(IF(OR(N131="",N131&lt;=0),0,IF((YEAR(D131)+16)&lt;YEAR(E131),0,IF((YEAR(D131)+16)&gt;=YEAR(E131)+N131,0,IF((YEAR(D131)+16)=YEAR(E131),(12-MONTH(E131)+1)/12,1))))))))&gt;0,(((K131)*(IF(M131="",L131,IFERROR(IF(INDEX(Variablen!$I:$AT, MATCH(M131, Variablen!$A:$A, 0), MATCH((YEAR(D131)+16), Variablen!$I$3:$AT$3, 0))="",L131,INDEX(Variablen!$I:$AT, MATCH(M131, Variablen!$A:$A, 0), MATCH((YEAR(D131)+16), Variablen!$I$3:$AT$3, 0))),L131)))*(IF((YEAR(D131)+16)&lt;YEAR(E131),0,IF((YEAR(D131)+16)&gt;YEAR(E131),1,(12-MONTH(E131)+1)/12))) + (Q131)*(IF((YEAR(D131)+16)&lt;YEAR(E131),0,IF((YEAR(D131)+16)&gt;YEAR(E131),1,(12-MONTH(E131)+1)/12))))-((P131)*(IF((YEAR(D131)+16)&lt;YEAR(E131),0,IF((YEAR(D131)+16)&gt;YEAR(E131),1,(12-MONTH(E131)+1)/12))) + (R131)*(IF((YEAR(D131)+16)&lt;YEAR(E131),0,IF((YEAR(D131)+16)&gt;YEAR(E131),1,(12-MONTH(E131)+1)/12))))-(IF(OR(N131="",N131&lt;=0),0,(O131/N131)*(IF(OR(N131="",N131&lt;=0),0,IF((YEAR(D131)+16)&lt;YEAR(E131),0,IF((YEAR(D131)+16)&gt;=YEAR(E131)+N131,0,IF((YEAR(D131)+16)=YEAR(E131),(12-MONTH(E131)+1)/12,1))))))))*TaxRate,0))-IF(16=0,O131,0))</f>
        <v/>
      </c>
      <c r="AJ131" s="29">
        <f>IF(A131="","",((K131)*(IF(M131="",L131,IFERROR(IF(INDEX(Variablen!$I:$AT, MATCH(M131, Variablen!$A:$A, 0), MATCH((YEAR(D131)+17), Variablen!$I$3:$AT$3, 0))="",L131,INDEX(Variablen!$I:$AT, MATCH(M131, Variablen!$A:$A, 0), MATCH((YEAR(D131)+17), Variablen!$I$3:$AT$3, 0))),L131)))*(IF((YEAR(D131)+17)&lt;YEAR(E131),0,IF((YEAR(D131)+17)&gt;YEAR(E131),1,(12-MONTH(E131)+1)/12))) + (Q131)*(IF((YEAR(D131)+17)&lt;YEAR(E131),0,IF((YEAR(D131)+17)&gt;YEAR(E131),1,(12-MONTH(E131)+1)/12))))-((P131)*(IF((YEAR(D131)+17)&lt;YEAR(E131),0,IF((YEAR(D131)+17)&gt;YEAR(E131),1,(12-MONTH(E131)+1)/12))) + (R131)*(IF((YEAR(D131)+17)&lt;YEAR(E131),0,IF((YEAR(D131)+17)&gt;YEAR(E131),1,(12-MONTH(E131)+1)/12))))-(IF((((K131)*(IF(M131="",L131,IFERROR(IF(INDEX(Variablen!$I:$AT, MATCH(M131, Variablen!$A:$A, 0), MATCH((YEAR(D131)+17), Variablen!$I$3:$AT$3, 0))="",L131,INDEX(Variablen!$I:$AT, MATCH(M131, Variablen!$A:$A, 0), MATCH((YEAR(D131)+17), Variablen!$I$3:$AT$3, 0))),L131)))*(IF((YEAR(D131)+17)&lt;YEAR(E131),0,IF((YEAR(D131)+17)&gt;YEAR(E131),1,(12-MONTH(E131)+1)/12))) + (Q131)*(IF((YEAR(D131)+17)&lt;YEAR(E131),0,IF((YEAR(D131)+17)&gt;YEAR(E131),1,(12-MONTH(E131)+1)/12))))-((P131)*(IF((YEAR(D131)+17)&lt;YEAR(E131),0,IF((YEAR(D131)+17)&gt;YEAR(E131),1,(12-MONTH(E131)+1)/12))) + (R131)*(IF((YEAR(D131)+17)&lt;YEAR(E131),0,IF((YEAR(D131)+17)&gt;YEAR(E131),1,(12-MONTH(E131)+1)/12))))-(IF(OR(N131="",N131&lt;=0),0,(O131/N131)*(IF(OR(N131="",N131&lt;=0),0,IF((YEAR(D131)+17)&lt;YEAR(E131),0,IF((YEAR(D131)+17)&gt;=YEAR(E131)+N131,0,IF((YEAR(D131)+17)=YEAR(E131),(12-MONTH(E131)+1)/12,1))))))))&gt;0,(((K131)*(IF(M131="",L131,IFERROR(IF(INDEX(Variablen!$I:$AT, MATCH(M131, Variablen!$A:$A, 0), MATCH((YEAR(D131)+17), Variablen!$I$3:$AT$3, 0))="",L131,INDEX(Variablen!$I:$AT, MATCH(M131, Variablen!$A:$A, 0), MATCH((YEAR(D131)+17), Variablen!$I$3:$AT$3, 0))),L131)))*(IF((YEAR(D131)+17)&lt;YEAR(E131),0,IF((YEAR(D131)+17)&gt;YEAR(E131),1,(12-MONTH(E131)+1)/12))) + (Q131)*(IF((YEAR(D131)+17)&lt;YEAR(E131),0,IF((YEAR(D131)+17)&gt;YEAR(E131),1,(12-MONTH(E131)+1)/12))))-((P131)*(IF((YEAR(D131)+17)&lt;YEAR(E131),0,IF((YEAR(D131)+17)&gt;YEAR(E131),1,(12-MONTH(E131)+1)/12))) + (R131)*(IF((YEAR(D131)+17)&lt;YEAR(E131),0,IF((YEAR(D131)+17)&gt;YEAR(E131),1,(12-MONTH(E131)+1)/12))))-(IF(OR(N131="",N131&lt;=0),0,(O131/N131)*(IF(OR(N131="",N131&lt;=0),0,IF((YEAR(D131)+17)&lt;YEAR(E131),0,IF((YEAR(D131)+17)&gt;=YEAR(E131)+N131,0,IF((YEAR(D131)+17)=YEAR(E131),(12-MONTH(E131)+1)/12,1))))))))*TaxRate,0))-IF(17=0,O131,0))</f>
        <v/>
      </c>
      <c r="AK131" s="29">
        <f>IF(A131="","",((K131)*(IF(M131="",L131,IFERROR(IF(INDEX(Variablen!$I:$AT, MATCH(M131, Variablen!$A:$A, 0), MATCH((YEAR(D131)+18), Variablen!$I$3:$AT$3, 0))="",L131,INDEX(Variablen!$I:$AT, MATCH(M131, Variablen!$A:$A, 0), MATCH((YEAR(D131)+18), Variablen!$I$3:$AT$3, 0))),L131)))*(IF((YEAR(D131)+18)&lt;YEAR(E131),0,IF((YEAR(D131)+18)&gt;YEAR(E131),1,(12-MONTH(E131)+1)/12))) + (Q131)*(IF((YEAR(D131)+18)&lt;YEAR(E131),0,IF((YEAR(D131)+18)&gt;YEAR(E131),1,(12-MONTH(E131)+1)/12))))-((P131)*(IF((YEAR(D131)+18)&lt;YEAR(E131),0,IF((YEAR(D131)+18)&gt;YEAR(E131),1,(12-MONTH(E131)+1)/12))) + (R131)*(IF((YEAR(D131)+18)&lt;YEAR(E131),0,IF((YEAR(D131)+18)&gt;YEAR(E131),1,(12-MONTH(E131)+1)/12))))-(IF((((K131)*(IF(M131="",L131,IFERROR(IF(INDEX(Variablen!$I:$AT, MATCH(M131, Variablen!$A:$A, 0), MATCH((YEAR(D131)+18), Variablen!$I$3:$AT$3, 0))="",L131,INDEX(Variablen!$I:$AT, MATCH(M131, Variablen!$A:$A, 0), MATCH((YEAR(D131)+18), Variablen!$I$3:$AT$3, 0))),L131)))*(IF((YEAR(D131)+18)&lt;YEAR(E131),0,IF((YEAR(D131)+18)&gt;YEAR(E131),1,(12-MONTH(E131)+1)/12))) + (Q131)*(IF((YEAR(D131)+18)&lt;YEAR(E131),0,IF((YEAR(D131)+18)&gt;YEAR(E131),1,(12-MONTH(E131)+1)/12))))-((P131)*(IF((YEAR(D131)+18)&lt;YEAR(E131),0,IF((YEAR(D131)+18)&gt;YEAR(E131),1,(12-MONTH(E131)+1)/12))) + (R131)*(IF((YEAR(D131)+18)&lt;YEAR(E131),0,IF((YEAR(D131)+18)&gt;YEAR(E131),1,(12-MONTH(E131)+1)/12))))-(IF(OR(N131="",N131&lt;=0),0,(O131/N131)*(IF(OR(N131="",N131&lt;=0),0,IF((YEAR(D131)+18)&lt;YEAR(E131),0,IF((YEAR(D131)+18)&gt;=YEAR(E131)+N131,0,IF((YEAR(D131)+18)=YEAR(E131),(12-MONTH(E131)+1)/12,1))))))))&gt;0,(((K131)*(IF(M131="",L131,IFERROR(IF(INDEX(Variablen!$I:$AT, MATCH(M131, Variablen!$A:$A, 0), MATCH((YEAR(D131)+18), Variablen!$I$3:$AT$3, 0))="",L131,INDEX(Variablen!$I:$AT, MATCH(M131, Variablen!$A:$A, 0), MATCH((YEAR(D131)+18), Variablen!$I$3:$AT$3, 0))),L131)))*(IF((YEAR(D131)+18)&lt;YEAR(E131),0,IF((YEAR(D131)+18)&gt;YEAR(E131),1,(12-MONTH(E131)+1)/12))) + (Q131)*(IF((YEAR(D131)+18)&lt;YEAR(E131),0,IF((YEAR(D131)+18)&gt;YEAR(E131),1,(12-MONTH(E131)+1)/12))))-((P131)*(IF((YEAR(D131)+18)&lt;YEAR(E131),0,IF((YEAR(D131)+18)&gt;YEAR(E131),1,(12-MONTH(E131)+1)/12))) + (R131)*(IF((YEAR(D131)+18)&lt;YEAR(E131),0,IF((YEAR(D131)+18)&gt;YEAR(E131),1,(12-MONTH(E131)+1)/12))))-(IF(OR(N131="",N131&lt;=0),0,(O131/N131)*(IF(OR(N131="",N131&lt;=0),0,IF((YEAR(D131)+18)&lt;YEAR(E131),0,IF((YEAR(D131)+18)&gt;=YEAR(E131)+N131,0,IF((YEAR(D131)+18)=YEAR(E131),(12-MONTH(E131)+1)/12,1))))))))*TaxRate,0))-IF(18=0,O131,0))</f>
        <v/>
      </c>
      <c r="AL131" s="29">
        <f>IF(A131="","",((K131)*(IF(M131="",L131,IFERROR(IF(INDEX(Variablen!$I:$AT, MATCH(M131, Variablen!$A:$A, 0), MATCH((YEAR(D131)+19), Variablen!$I$3:$AT$3, 0))="",L131,INDEX(Variablen!$I:$AT, MATCH(M131, Variablen!$A:$A, 0), MATCH((YEAR(D131)+19), Variablen!$I$3:$AT$3, 0))),L131)))*(IF((YEAR(D131)+19)&lt;YEAR(E131),0,IF((YEAR(D131)+19)&gt;YEAR(E131),1,(12-MONTH(E131)+1)/12))) + (Q131)*(IF((YEAR(D131)+19)&lt;YEAR(E131),0,IF((YEAR(D131)+19)&gt;YEAR(E131),1,(12-MONTH(E131)+1)/12))))-((P131)*(IF((YEAR(D131)+19)&lt;YEAR(E131),0,IF((YEAR(D131)+19)&gt;YEAR(E131),1,(12-MONTH(E131)+1)/12))) + (R131)*(IF((YEAR(D131)+19)&lt;YEAR(E131),0,IF((YEAR(D131)+19)&gt;YEAR(E131),1,(12-MONTH(E131)+1)/12))))-(IF((((K131)*(IF(M131="",L131,IFERROR(IF(INDEX(Variablen!$I:$AT, MATCH(M131, Variablen!$A:$A, 0), MATCH((YEAR(D131)+19), Variablen!$I$3:$AT$3, 0))="",L131,INDEX(Variablen!$I:$AT, MATCH(M131, Variablen!$A:$A, 0), MATCH((YEAR(D131)+19), Variablen!$I$3:$AT$3, 0))),L131)))*(IF((YEAR(D131)+19)&lt;YEAR(E131),0,IF((YEAR(D131)+19)&gt;YEAR(E131),1,(12-MONTH(E131)+1)/12))) + (Q131)*(IF((YEAR(D131)+19)&lt;YEAR(E131),0,IF((YEAR(D131)+19)&gt;YEAR(E131),1,(12-MONTH(E131)+1)/12))))-((P131)*(IF((YEAR(D131)+19)&lt;YEAR(E131),0,IF((YEAR(D131)+19)&gt;YEAR(E131),1,(12-MONTH(E131)+1)/12))) + (R131)*(IF((YEAR(D131)+19)&lt;YEAR(E131),0,IF((YEAR(D131)+19)&gt;YEAR(E131),1,(12-MONTH(E131)+1)/12))))-(IF(OR(N131="",N131&lt;=0),0,(O131/N131)*(IF(OR(N131="",N131&lt;=0),0,IF((YEAR(D131)+19)&lt;YEAR(E131),0,IF((YEAR(D131)+19)&gt;=YEAR(E131)+N131,0,IF((YEAR(D131)+19)=YEAR(E131),(12-MONTH(E131)+1)/12,1))))))))&gt;0,(((K131)*(IF(M131="",L131,IFERROR(IF(INDEX(Variablen!$I:$AT, MATCH(M131, Variablen!$A:$A, 0), MATCH((YEAR(D131)+19), Variablen!$I$3:$AT$3, 0))="",L131,INDEX(Variablen!$I:$AT, MATCH(M131, Variablen!$A:$A, 0), MATCH((YEAR(D131)+19), Variablen!$I$3:$AT$3, 0))),L131)))*(IF((YEAR(D131)+19)&lt;YEAR(E131),0,IF((YEAR(D131)+19)&gt;YEAR(E131),1,(12-MONTH(E131)+1)/12))) + (Q131)*(IF((YEAR(D131)+19)&lt;YEAR(E131),0,IF((YEAR(D131)+19)&gt;YEAR(E131),1,(12-MONTH(E131)+1)/12))))-((P131)*(IF((YEAR(D131)+19)&lt;YEAR(E131),0,IF((YEAR(D131)+19)&gt;YEAR(E131),1,(12-MONTH(E131)+1)/12))) + (R131)*(IF((YEAR(D131)+19)&lt;YEAR(E131),0,IF((YEAR(D131)+19)&gt;YEAR(E131),1,(12-MONTH(E131)+1)/12))))-(IF(OR(N131="",N131&lt;=0),0,(O131/N131)*(IF(OR(N131="",N131&lt;=0),0,IF((YEAR(D131)+19)&lt;YEAR(E131),0,IF((YEAR(D131)+19)&gt;=YEAR(E131)+N131,0,IF((YEAR(D131)+19)=YEAR(E131),(12-MONTH(E131)+1)/12,1))))))))*TaxRate,0))-IF(19=0,O131,0))</f>
        <v/>
      </c>
      <c r="AM131" s="29">
        <f>IF(A131="","",((K131)*(IF(M131="",L131,IFERROR(IF(INDEX(Variablen!$I:$AT, MATCH(M131, Variablen!$A:$A, 0), MATCH((YEAR(D131)+20), Variablen!$I$3:$AT$3, 0))="",L131,INDEX(Variablen!$I:$AT, MATCH(M131, Variablen!$A:$A, 0), MATCH((YEAR(D131)+20), Variablen!$I$3:$AT$3, 0))),L131)))*(IF((YEAR(D131)+20)&lt;YEAR(E131),0,IF((YEAR(D131)+20)&gt;YEAR(E131),1,(12-MONTH(E131)+1)/12))) + (Q131)*(IF((YEAR(D131)+20)&lt;YEAR(E131),0,IF((YEAR(D131)+20)&gt;YEAR(E131),1,(12-MONTH(E131)+1)/12))))-((P131)*(IF((YEAR(D131)+20)&lt;YEAR(E131),0,IF((YEAR(D131)+20)&gt;YEAR(E131),1,(12-MONTH(E131)+1)/12))) + (R131)*(IF((YEAR(D131)+20)&lt;YEAR(E131),0,IF((YEAR(D131)+20)&gt;YEAR(E131),1,(12-MONTH(E131)+1)/12))))-(IF((((K131)*(IF(M131="",L131,IFERROR(IF(INDEX(Variablen!$I:$AT, MATCH(M131, Variablen!$A:$A, 0), MATCH((YEAR(D131)+20), Variablen!$I$3:$AT$3, 0))="",L131,INDEX(Variablen!$I:$AT, MATCH(M131, Variablen!$A:$A, 0), MATCH((YEAR(D131)+20), Variablen!$I$3:$AT$3, 0))),L131)))*(IF((YEAR(D131)+20)&lt;YEAR(E131),0,IF((YEAR(D131)+20)&gt;YEAR(E131),1,(12-MONTH(E131)+1)/12))) + (Q131)*(IF((YEAR(D131)+20)&lt;YEAR(E131),0,IF((YEAR(D131)+20)&gt;YEAR(E131),1,(12-MONTH(E131)+1)/12))))-((P131)*(IF((YEAR(D131)+20)&lt;YEAR(E131),0,IF((YEAR(D131)+20)&gt;YEAR(E131),1,(12-MONTH(E131)+1)/12))) + (R131)*(IF((YEAR(D131)+20)&lt;YEAR(E131),0,IF((YEAR(D131)+20)&gt;YEAR(E131),1,(12-MONTH(E131)+1)/12))))-(IF(OR(N131="",N131&lt;=0),0,(O131/N131)*(IF(OR(N131="",N131&lt;=0),0,IF((YEAR(D131)+20)&lt;YEAR(E131),0,IF((YEAR(D131)+20)&gt;=YEAR(E131)+N131,0,IF((YEAR(D131)+20)=YEAR(E131),(12-MONTH(E131)+1)/12,1))))))))&gt;0,(((K131)*(IF(M131="",L131,IFERROR(IF(INDEX(Variablen!$I:$AT, MATCH(M131, Variablen!$A:$A, 0), MATCH((YEAR(D131)+20), Variablen!$I$3:$AT$3, 0))="",L131,INDEX(Variablen!$I:$AT, MATCH(M131, Variablen!$A:$A, 0), MATCH((YEAR(D131)+20), Variablen!$I$3:$AT$3, 0))),L131)))*(IF((YEAR(D131)+20)&lt;YEAR(E131),0,IF((YEAR(D131)+20)&gt;YEAR(E131),1,(12-MONTH(E131)+1)/12))) + (Q131)*(IF((YEAR(D131)+20)&lt;YEAR(E131),0,IF((YEAR(D131)+20)&gt;YEAR(E131),1,(12-MONTH(E131)+1)/12))))-((P131)*(IF((YEAR(D131)+20)&lt;YEAR(E131),0,IF((YEAR(D131)+20)&gt;YEAR(E131),1,(12-MONTH(E131)+1)/12))) + (R131)*(IF((YEAR(D131)+20)&lt;YEAR(E131),0,IF((YEAR(D131)+20)&gt;YEAR(E131),1,(12-MONTH(E131)+1)/12))))-(IF(OR(N131="",N131&lt;=0),0,(O131/N131)*(IF(OR(N131="",N131&lt;=0),0,IF((YEAR(D131)+20)&lt;YEAR(E131),0,IF((YEAR(D131)+20)&gt;=YEAR(E131)+N131,0,IF((YEAR(D131)+20)=YEAR(E131),(12-MONTH(E131)+1)/12,1))))))))*TaxRate,0))-IF(20=0,O131,0))</f>
        <v/>
      </c>
      <c r="AN131" s="29">
        <f>IF(A131="","",S131)</f>
        <v/>
      </c>
      <c r="AO131" s="29">
        <f>IF(A131="","",AN131+T131)</f>
        <v/>
      </c>
      <c r="AP131" s="29">
        <f>IF(A131="","",AO131+U131)</f>
        <v/>
      </c>
      <c r="AQ131" s="29">
        <f>IF(A131="","",AP131+V131)</f>
        <v/>
      </c>
      <c r="AR131" s="29">
        <f>IF(A131="","",AQ131+W131)</f>
        <v/>
      </c>
      <c r="AS131" s="29">
        <f>IF(A131="","",AR131+X131)</f>
        <v/>
      </c>
      <c r="AT131" s="29">
        <f>IF(A131="","",AS131+Y131)</f>
        <v/>
      </c>
      <c r="AU131" s="29">
        <f>IF(A131="","",AT131+Z131)</f>
        <v/>
      </c>
      <c r="AV131" s="29">
        <f>IF(A131="","",AU131+AA131)</f>
        <v/>
      </c>
      <c r="AW131" s="29">
        <f>IF(A131="","",AV131+AB131)</f>
        <v/>
      </c>
      <c r="AX131" s="29">
        <f>IF(A131="","",AW131+AC131)</f>
        <v/>
      </c>
      <c r="AY131" s="29">
        <f>IF(A131="","",AX131+AD131)</f>
        <v/>
      </c>
      <c r="AZ131" s="29">
        <f>IF(A131="","",AY131+AE131)</f>
        <v/>
      </c>
      <c r="BA131" s="29">
        <f>IF(A131="","",AZ131+AF131)</f>
        <v/>
      </c>
      <c r="BB131" s="29">
        <f>IF(A131="","",BA131+AG131)</f>
        <v/>
      </c>
      <c r="BC131" s="29">
        <f>IF(A131="","",BB131+AH131)</f>
        <v/>
      </c>
      <c r="BD131" s="29">
        <f>IF(A131="","",BC131+AI131)</f>
        <v/>
      </c>
      <c r="BE131" s="29">
        <f>IF(A131="","",BD131+AJ131)</f>
        <v/>
      </c>
      <c r="BF131" s="29">
        <f>IF(A131="","",BE131+AK131)</f>
        <v/>
      </c>
      <c r="BG131" s="29">
        <f>IF(A131="","",BF131+AL131)</f>
        <v/>
      </c>
      <c r="BH131" s="29">
        <f>IF(A131="","",BG131+AM131)</f>
        <v/>
      </c>
      <c r="BI131" s="36">
        <f>IF(A131="","",(K131)*(IF((YEAR(D131)+0)&lt;YEAR(E131),0,IF((YEAR(D131)+0)&gt;YEAR(E131),1,(12-MONTH(E131)+1)/12)))*(1/(1+DiscountRate)^0))</f>
        <v/>
      </c>
      <c r="BJ131" s="36">
        <f>IF(A131="","",(K131)*(IF((YEAR(D131)+1)&lt;YEAR(E131),0,IF((YEAR(D131)+1)&gt;YEAR(E131),1,(12-MONTH(E131)+1)/12)))*(1/(1+DiscountRate)^1))</f>
        <v/>
      </c>
      <c r="BK131" s="36">
        <f>IF(A131="","",(K131)*(IF((YEAR(D131)+2)&lt;YEAR(E131),0,IF((YEAR(D131)+2)&gt;YEAR(E131),1,(12-MONTH(E131)+1)/12)))*(1/(1+DiscountRate)^2))</f>
        <v/>
      </c>
      <c r="BL131" s="36">
        <f>IF(A131="","",(K131)*(IF((YEAR(D131)+3)&lt;YEAR(E131),0,IF((YEAR(D131)+3)&gt;YEAR(E131),1,(12-MONTH(E131)+1)/12)))*(1/(1+DiscountRate)^3))</f>
        <v/>
      </c>
      <c r="BM131" s="36">
        <f>IF(A131="","",(K131)*(IF((YEAR(D131)+4)&lt;YEAR(E131),0,IF((YEAR(D131)+4)&gt;YEAR(E131),1,(12-MONTH(E131)+1)/12)))*(1/(1+DiscountRate)^4))</f>
        <v/>
      </c>
      <c r="BN131" s="36">
        <f>IF(A131="","",(K131)*(IF((YEAR(D131)+5)&lt;YEAR(E131),0,IF((YEAR(D131)+5)&gt;YEAR(E131),1,(12-MONTH(E131)+1)/12)))*(1/(1+DiscountRate)^5))</f>
        <v/>
      </c>
      <c r="BO131" s="36">
        <f>IF(A131="","",(K131)*(IF((YEAR(D131)+6)&lt;YEAR(E131),0,IF((YEAR(D131)+6)&gt;YEAR(E131),1,(12-MONTH(E131)+1)/12)))*(1/(1+DiscountRate)^6))</f>
        <v/>
      </c>
      <c r="BP131" s="36">
        <f>IF(A131="","",(K131)*(IF((YEAR(D131)+7)&lt;YEAR(E131),0,IF((YEAR(D131)+7)&gt;YEAR(E131),1,(12-MONTH(E131)+1)/12)))*(1/(1+DiscountRate)^7))</f>
        <v/>
      </c>
      <c r="BQ131" s="36">
        <f>IF(A131="","",(K131)*(IF((YEAR(D131)+8)&lt;YEAR(E131),0,IF((YEAR(D131)+8)&gt;YEAR(E131),1,(12-MONTH(E131)+1)/12)))*(1/(1+DiscountRate)^8))</f>
        <v/>
      </c>
      <c r="BR131" s="36">
        <f>IF(A131="","",(K131)*(IF((YEAR(D131)+9)&lt;YEAR(E131),0,IF((YEAR(D131)+9)&gt;YEAR(E131),1,(12-MONTH(E131)+1)/12)))*(1/(1+DiscountRate)^9))</f>
        <v/>
      </c>
      <c r="BS131" s="36">
        <f>IF(A131="","",(K131)*(IF((YEAR(D131)+10)&lt;YEAR(E131),0,IF((YEAR(D131)+10)&gt;YEAR(E131),1,(12-MONTH(E131)+1)/12)))*(1/(1+DiscountRate)^10))</f>
        <v/>
      </c>
      <c r="BT131" s="36">
        <f>IF(A131="","",(K131)*(IF((YEAR(D131)+11)&lt;YEAR(E131),0,IF((YEAR(D131)+11)&gt;YEAR(E131),1,(12-MONTH(E131)+1)/12)))*(1/(1+DiscountRate)^11))</f>
        <v/>
      </c>
      <c r="BU131" s="36">
        <f>IF(A131="","",(K131)*(IF((YEAR(D131)+12)&lt;YEAR(E131),0,IF((YEAR(D131)+12)&gt;YEAR(E131),1,(12-MONTH(E131)+1)/12)))*(1/(1+DiscountRate)^12))</f>
        <v/>
      </c>
      <c r="BV131" s="36">
        <f>IF(A131="","",(K131)*(IF((YEAR(D131)+13)&lt;YEAR(E131),0,IF((YEAR(D131)+13)&gt;YEAR(E131),1,(12-MONTH(E131)+1)/12)))*(1/(1+DiscountRate)^13))</f>
        <v/>
      </c>
      <c r="BW131" s="36">
        <f>IF(A131="","",(K131)*(IF((YEAR(D131)+14)&lt;YEAR(E131),0,IF((YEAR(D131)+14)&gt;YEAR(E131),1,(12-MONTH(E131)+1)/12)))*(1/(1+DiscountRate)^14))</f>
        <v/>
      </c>
      <c r="BX131" s="36">
        <f>IF(A131="","",(K131)*(IF((YEAR(D131)+15)&lt;YEAR(E131),0,IF((YEAR(D131)+15)&gt;YEAR(E131),1,(12-MONTH(E131)+1)/12)))*(1/(1+DiscountRate)^15))</f>
        <v/>
      </c>
      <c r="BY131" s="36">
        <f>IF(A131="","",(K131)*(IF((YEAR(D131)+16)&lt;YEAR(E131),0,IF((YEAR(D131)+16)&gt;YEAR(E131),1,(12-MONTH(E131)+1)/12)))*(1/(1+DiscountRate)^16))</f>
        <v/>
      </c>
      <c r="BZ131" s="36">
        <f>IF(A131="","",(K131)*(IF((YEAR(D131)+17)&lt;YEAR(E131),0,IF((YEAR(D131)+17)&gt;YEAR(E131),1,(12-MONTH(E131)+1)/12)))*(1/(1+DiscountRate)^17))</f>
        <v/>
      </c>
      <c r="CA131" s="36">
        <f>IF(A131="","",(K131)*(IF((YEAR(D131)+18)&lt;YEAR(E131),0,IF((YEAR(D131)+18)&gt;YEAR(E131),1,(12-MONTH(E131)+1)/12)))*(1/(1+DiscountRate)^18))</f>
        <v/>
      </c>
      <c r="CB131" s="36">
        <f>IF(A131="","",(K131)*(IF((YEAR(D131)+19)&lt;YEAR(E131),0,IF((YEAR(D131)+19)&gt;YEAR(E131),1,(12-MONTH(E131)+1)/12)))*(1/(1+DiscountRate)^19))</f>
        <v/>
      </c>
      <c r="CC131" s="36">
        <f>IF(A131="","",(K131)*(IF((YEAR(D131)+20)&lt;YEAR(E131),0,IF((YEAR(D131)+20)&gt;YEAR(E131),1,(12-MONTH(E131)+1)/12)))*(1/(1+DiscountRate)^20))</f>
        <v/>
      </c>
      <c r="CD131" s="29">
        <f>IF(A131="","",S131/(1+DiscountRate)^0+T131/(1+DiscountRate)^1+U131/(1+DiscountRate)^2+V131/(1+DiscountRate)^3+W131/(1+DiscountRate)^4+X131/(1+DiscountRate)^5+Y131/(1+DiscountRate)^6+Z131/(1+DiscountRate)^7+AA131/(1+DiscountRate)^8+AB131/(1+DiscountRate)^9+AC131/(1+DiscountRate)^10+AD131/(1+DiscountRate)^11+AE131/(1+DiscountRate)^12+AF131/(1+DiscountRate)^13+AG131/(1+DiscountRate)^14+AH131/(1+DiscountRate)^15+AI131/(1+DiscountRate)^16+AJ131/(1+DiscountRate)^17+AK131/(1+DiscountRate)^18+AL131/(1+DiscountRate)^19+AM131/(1+DiscountRate)^20)</f>
        <v/>
      </c>
      <c r="CE131" s="37">
        <f>IF(A131="","",IFERROR(IRR(OFFSET(S131,0,0,1,MIN(HorizonYears,20)+1)),"n/a"))</f>
        <v/>
      </c>
      <c r="CF131" s="28">
        <f>IF(A131="","",IFERROR(MATCH(TRUE,OFFSET(AN131,0,0,1,MIN(HorizonYears,20)+1)&gt;=0,0)-1,"n/a"))</f>
        <v/>
      </c>
      <c r="CG131" s="36">
        <f>IF(A131="","",SUM(OFFSET(BI131,0,0,1,MIN(HorizonYears,20)+1)))</f>
        <v/>
      </c>
      <c r="CH131" s="36">
        <f>IF(A131="","",IFERROR(-CD131/CG131,"n/a"))</f>
        <v/>
      </c>
    </row>
    <row r="132">
      <c r="A132" s="6">
        <f>Actions!A130</f>
        <v/>
      </c>
      <c r="B132" s="6">
        <f>Actions!B130</f>
        <v/>
      </c>
      <c r="C132" s="6">
        <f>Actions!D130</f>
        <v/>
      </c>
      <c r="D132" s="35">
        <f>Actions!E130</f>
        <v/>
      </c>
      <c r="E132" s="35">
        <f>Actions!F130</f>
        <v/>
      </c>
      <c r="F132" s="6">
        <f>Actions!G130</f>
        <v/>
      </c>
      <c r="G132" s="6">
        <f>Actions!H130</f>
        <v/>
      </c>
      <c r="H132" s="29">
        <f>Actions!I130</f>
        <v/>
      </c>
      <c r="I132" s="6">
        <f>Actions!J130</f>
        <v/>
      </c>
      <c r="J132" s="16">
        <f>Actions!K130</f>
        <v/>
      </c>
      <c r="K132" s="16">
        <f>IF(A132="","",IF(I132="%",H132*J132,J132))</f>
        <v/>
      </c>
      <c r="L132" s="16">
        <f>Actions!L130</f>
        <v/>
      </c>
      <c r="M132" s="6">
        <f>Actions!M130</f>
        <v/>
      </c>
      <c r="N132" s="28">
        <f>Actions!N130</f>
        <v/>
      </c>
      <c r="O132" s="29">
        <f>Actions!T130</f>
        <v/>
      </c>
      <c r="P132" s="29">
        <f>Actions!Y130</f>
        <v/>
      </c>
      <c r="Q132" s="29">
        <f>Actions!Z130</f>
        <v/>
      </c>
      <c r="R132" s="29">
        <f>Actions!AA130</f>
        <v/>
      </c>
      <c r="S132" s="29">
        <f>IF(A132="","",((K132)*(IF(M132="",L132,IFERROR(IF(INDEX(Variablen!$I:$AT, MATCH(M132, Variablen!$A:$A, 0), MATCH((YEAR(D132)+0), Variablen!$I$3:$AT$3, 0))="",L132,INDEX(Variablen!$I:$AT, MATCH(M132, Variablen!$A:$A, 0), MATCH((YEAR(D132)+0), Variablen!$I$3:$AT$3, 0))),L132)))*(IF((YEAR(D132)+0)&lt;YEAR(E132),0,IF((YEAR(D132)+0)&gt;YEAR(E132),1,(12-MONTH(E132)+1)/12))) + (Q132)*(IF((YEAR(D132)+0)&lt;YEAR(E132),0,IF((YEAR(D132)+0)&gt;YEAR(E132),1,(12-MONTH(E132)+1)/12))))-((P132)*(IF((YEAR(D132)+0)&lt;YEAR(E132),0,IF((YEAR(D132)+0)&gt;YEAR(E132),1,(12-MONTH(E132)+1)/12))) + (R132)*(IF((YEAR(D132)+0)&lt;YEAR(E132),0,IF((YEAR(D132)+0)&gt;YEAR(E132),1,(12-MONTH(E132)+1)/12))))-(IF((((K132)*(IF(M132="",L132,IFERROR(IF(INDEX(Variablen!$I:$AT, MATCH(M132, Variablen!$A:$A, 0), MATCH((YEAR(D132)+0), Variablen!$I$3:$AT$3, 0))="",L132,INDEX(Variablen!$I:$AT, MATCH(M132, Variablen!$A:$A, 0), MATCH((YEAR(D132)+0), Variablen!$I$3:$AT$3, 0))),L132)))*(IF((YEAR(D132)+0)&lt;YEAR(E132),0,IF((YEAR(D132)+0)&gt;YEAR(E132),1,(12-MONTH(E132)+1)/12))) + (Q132)*(IF((YEAR(D132)+0)&lt;YEAR(E132),0,IF((YEAR(D132)+0)&gt;YEAR(E132),1,(12-MONTH(E132)+1)/12))))-((P132)*(IF((YEAR(D132)+0)&lt;YEAR(E132),0,IF((YEAR(D132)+0)&gt;YEAR(E132),1,(12-MONTH(E132)+1)/12))) + (R132)*(IF((YEAR(D132)+0)&lt;YEAR(E132),0,IF((YEAR(D132)+0)&gt;YEAR(E132),1,(12-MONTH(E132)+1)/12))))-(IF(OR(N132="",N132&lt;=0),0,(O132/N132)*(IF(OR(N132="",N132&lt;=0),0,IF((YEAR(D132)+0)&lt;YEAR(E132),0,IF((YEAR(D132)+0)&gt;=YEAR(E132)+N132,0,IF((YEAR(D132)+0)=YEAR(E132),(12-MONTH(E132)+1)/12,1))))))))&gt;0,(((K132)*(IF(M132="",L132,IFERROR(IF(INDEX(Variablen!$I:$AT, MATCH(M132, Variablen!$A:$A, 0), MATCH((YEAR(D132)+0), Variablen!$I$3:$AT$3, 0))="",L132,INDEX(Variablen!$I:$AT, MATCH(M132, Variablen!$A:$A, 0), MATCH((YEAR(D132)+0), Variablen!$I$3:$AT$3, 0))),L132)))*(IF((YEAR(D132)+0)&lt;YEAR(E132),0,IF((YEAR(D132)+0)&gt;YEAR(E132),1,(12-MONTH(E132)+1)/12))) + (Q132)*(IF((YEAR(D132)+0)&lt;YEAR(E132),0,IF((YEAR(D132)+0)&gt;YEAR(E132),1,(12-MONTH(E132)+1)/12))))-((P132)*(IF((YEAR(D132)+0)&lt;YEAR(E132),0,IF((YEAR(D132)+0)&gt;YEAR(E132),1,(12-MONTH(E132)+1)/12))) + (R132)*(IF((YEAR(D132)+0)&lt;YEAR(E132),0,IF((YEAR(D132)+0)&gt;YEAR(E132),1,(12-MONTH(E132)+1)/12))))-(IF(OR(N132="",N132&lt;=0),0,(O132/N132)*(IF(OR(N132="",N132&lt;=0),0,IF((YEAR(D132)+0)&lt;YEAR(E132),0,IF((YEAR(D132)+0)&gt;=YEAR(E132)+N132,0,IF((YEAR(D132)+0)=YEAR(E132),(12-MONTH(E132)+1)/12,1))))))))*TaxRate,0))-IF(0=0,O132,0))</f>
        <v/>
      </c>
      <c r="T132" s="29">
        <f>IF(A132="","",((K132)*(IF(M132="",L132,IFERROR(IF(INDEX(Variablen!$I:$AT, MATCH(M132, Variablen!$A:$A, 0), MATCH((YEAR(D132)+1), Variablen!$I$3:$AT$3, 0))="",L132,INDEX(Variablen!$I:$AT, MATCH(M132, Variablen!$A:$A, 0), MATCH((YEAR(D132)+1), Variablen!$I$3:$AT$3, 0))),L132)))*(IF((YEAR(D132)+1)&lt;YEAR(E132),0,IF((YEAR(D132)+1)&gt;YEAR(E132),1,(12-MONTH(E132)+1)/12))) + (Q132)*(IF((YEAR(D132)+1)&lt;YEAR(E132),0,IF((YEAR(D132)+1)&gt;YEAR(E132),1,(12-MONTH(E132)+1)/12))))-((P132)*(IF((YEAR(D132)+1)&lt;YEAR(E132),0,IF((YEAR(D132)+1)&gt;YEAR(E132),1,(12-MONTH(E132)+1)/12))) + (R132)*(IF((YEAR(D132)+1)&lt;YEAR(E132),0,IF((YEAR(D132)+1)&gt;YEAR(E132),1,(12-MONTH(E132)+1)/12))))-(IF((((K132)*(IF(M132="",L132,IFERROR(IF(INDEX(Variablen!$I:$AT, MATCH(M132, Variablen!$A:$A, 0), MATCH((YEAR(D132)+1), Variablen!$I$3:$AT$3, 0))="",L132,INDEX(Variablen!$I:$AT, MATCH(M132, Variablen!$A:$A, 0), MATCH((YEAR(D132)+1), Variablen!$I$3:$AT$3, 0))),L132)))*(IF((YEAR(D132)+1)&lt;YEAR(E132),0,IF((YEAR(D132)+1)&gt;YEAR(E132),1,(12-MONTH(E132)+1)/12))) + (Q132)*(IF((YEAR(D132)+1)&lt;YEAR(E132),0,IF((YEAR(D132)+1)&gt;YEAR(E132),1,(12-MONTH(E132)+1)/12))))-((P132)*(IF((YEAR(D132)+1)&lt;YEAR(E132),0,IF((YEAR(D132)+1)&gt;YEAR(E132),1,(12-MONTH(E132)+1)/12))) + (R132)*(IF((YEAR(D132)+1)&lt;YEAR(E132),0,IF((YEAR(D132)+1)&gt;YEAR(E132),1,(12-MONTH(E132)+1)/12))))-(IF(OR(N132="",N132&lt;=0),0,(O132/N132)*(IF(OR(N132="",N132&lt;=0),0,IF((YEAR(D132)+1)&lt;YEAR(E132),0,IF((YEAR(D132)+1)&gt;=YEAR(E132)+N132,0,IF((YEAR(D132)+1)=YEAR(E132),(12-MONTH(E132)+1)/12,1))))))))&gt;0,(((K132)*(IF(M132="",L132,IFERROR(IF(INDEX(Variablen!$I:$AT, MATCH(M132, Variablen!$A:$A, 0), MATCH((YEAR(D132)+1), Variablen!$I$3:$AT$3, 0))="",L132,INDEX(Variablen!$I:$AT, MATCH(M132, Variablen!$A:$A, 0), MATCH((YEAR(D132)+1), Variablen!$I$3:$AT$3, 0))),L132)))*(IF((YEAR(D132)+1)&lt;YEAR(E132),0,IF((YEAR(D132)+1)&gt;YEAR(E132),1,(12-MONTH(E132)+1)/12))) + (Q132)*(IF((YEAR(D132)+1)&lt;YEAR(E132),0,IF((YEAR(D132)+1)&gt;YEAR(E132),1,(12-MONTH(E132)+1)/12))))-((P132)*(IF((YEAR(D132)+1)&lt;YEAR(E132),0,IF((YEAR(D132)+1)&gt;YEAR(E132),1,(12-MONTH(E132)+1)/12))) + (R132)*(IF((YEAR(D132)+1)&lt;YEAR(E132),0,IF((YEAR(D132)+1)&gt;YEAR(E132),1,(12-MONTH(E132)+1)/12))))-(IF(OR(N132="",N132&lt;=0),0,(O132/N132)*(IF(OR(N132="",N132&lt;=0),0,IF((YEAR(D132)+1)&lt;YEAR(E132),0,IF((YEAR(D132)+1)&gt;=YEAR(E132)+N132,0,IF((YEAR(D132)+1)=YEAR(E132),(12-MONTH(E132)+1)/12,1))))))))*TaxRate,0))-IF(1=0,O132,0))</f>
        <v/>
      </c>
      <c r="U132" s="29">
        <f>IF(A132="","",((K132)*(IF(M132="",L132,IFERROR(IF(INDEX(Variablen!$I:$AT, MATCH(M132, Variablen!$A:$A, 0), MATCH((YEAR(D132)+2), Variablen!$I$3:$AT$3, 0))="",L132,INDEX(Variablen!$I:$AT, MATCH(M132, Variablen!$A:$A, 0), MATCH((YEAR(D132)+2), Variablen!$I$3:$AT$3, 0))),L132)))*(IF((YEAR(D132)+2)&lt;YEAR(E132),0,IF((YEAR(D132)+2)&gt;YEAR(E132),1,(12-MONTH(E132)+1)/12))) + (Q132)*(IF((YEAR(D132)+2)&lt;YEAR(E132),0,IF((YEAR(D132)+2)&gt;YEAR(E132),1,(12-MONTH(E132)+1)/12))))-((P132)*(IF((YEAR(D132)+2)&lt;YEAR(E132),0,IF((YEAR(D132)+2)&gt;YEAR(E132),1,(12-MONTH(E132)+1)/12))) + (R132)*(IF((YEAR(D132)+2)&lt;YEAR(E132),0,IF((YEAR(D132)+2)&gt;YEAR(E132),1,(12-MONTH(E132)+1)/12))))-(IF((((K132)*(IF(M132="",L132,IFERROR(IF(INDEX(Variablen!$I:$AT, MATCH(M132, Variablen!$A:$A, 0), MATCH((YEAR(D132)+2), Variablen!$I$3:$AT$3, 0))="",L132,INDEX(Variablen!$I:$AT, MATCH(M132, Variablen!$A:$A, 0), MATCH((YEAR(D132)+2), Variablen!$I$3:$AT$3, 0))),L132)))*(IF((YEAR(D132)+2)&lt;YEAR(E132),0,IF((YEAR(D132)+2)&gt;YEAR(E132),1,(12-MONTH(E132)+1)/12))) + (Q132)*(IF((YEAR(D132)+2)&lt;YEAR(E132),0,IF((YEAR(D132)+2)&gt;YEAR(E132),1,(12-MONTH(E132)+1)/12))))-((P132)*(IF((YEAR(D132)+2)&lt;YEAR(E132),0,IF((YEAR(D132)+2)&gt;YEAR(E132),1,(12-MONTH(E132)+1)/12))) + (R132)*(IF((YEAR(D132)+2)&lt;YEAR(E132),0,IF((YEAR(D132)+2)&gt;YEAR(E132),1,(12-MONTH(E132)+1)/12))))-(IF(OR(N132="",N132&lt;=0),0,(O132/N132)*(IF(OR(N132="",N132&lt;=0),0,IF((YEAR(D132)+2)&lt;YEAR(E132),0,IF((YEAR(D132)+2)&gt;=YEAR(E132)+N132,0,IF((YEAR(D132)+2)=YEAR(E132),(12-MONTH(E132)+1)/12,1))))))))&gt;0,(((K132)*(IF(M132="",L132,IFERROR(IF(INDEX(Variablen!$I:$AT, MATCH(M132, Variablen!$A:$A, 0), MATCH((YEAR(D132)+2), Variablen!$I$3:$AT$3, 0))="",L132,INDEX(Variablen!$I:$AT, MATCH(M132, Variablen!$A:$A, 0), MATCH((YEAR(D132)+2), Variablen!$I$3:$AT$3, 0))),L132)))*(IF((YEAR(D132)+2)&lt;YEAR(E132),0,IF((YEAR(D132)+2)&gt;YEAR(E132),1,(12-MONTH(E132)+1)/12))) + (Q132)*(IF((YEAR(D132)+2)&lt;YEAR(E132),0,IF((YEAR(D132)+2)&gt;YEAR(E132),1,(12-MONTH(E132)+1)/12))))-((P132)*(IF((YEAR(D132)+2)&lt;YEAR(E132),0,IF((YEAR(D132)+2)&gt;YEAR(E132),1,(12-MONTH(E132)+1)/12))) + (R132)*(IF((YEAR(D132)+2)&lt;YEAR(E132),0,IF((YEAR(D132)+2)&gt;YEAR(E132),1,(12-MONTH(E132)+1)/12))))-(IF(OR(N132="",N132&lt;=0),0,(O132/N132)*(IF(OR(N132="",N132&lt;=0),0,IF((YEAR(D132)+2)&lt;YEAR(E132),0,IF((YEAR(D132)+2)&gt;=YEAR(E132)+N132,0,IF((YEAR(D132)+2)=YEAR(E132),(12-MONTH(E132)+1)/12,1))))))))*TaxRate,0))-IF(2=0,O132,0))</f>
        <v/>
      </c>
      <c r="V132" s="29">
        <f>IF(A132="","",((K132)*(IF(M132="",L132,IFERROR(IF(INDEX(Variablen!$I:$AT, MATCH(M132, Variablen!$A:$A, 0), MATCH((YEAR(D132)+3), Variablen!$I$3:$AT$3, 0))="",L132,INDEX(Variablen!$I:$AT, MATCH(M132, Variablen!$A:$A, 0), MATCH((YEAR(D132)+3), Variablen!$I$3:$AT$3, 0))),L132)))*(IF((YEAR(D132)+3)&lt;YEAR(E132),0,IF((YEAR(D132)+3)&gt;YEAR(E132),1,(12-MONTH(E132)+1)/12))) + (Q132)*(IF((YEAR(D132)+3)&lt;YEAR(E132),0,IF((YEAR(D132)+3)&gt;YEAR(E132),1,(12-MONTH(E132)+1)/12))))-((P132)*(IF((YEAR(D132)+3)&lt;YEAR(E132),0,IF((YEAR(D132)+3)&gt;YEAR(E132),1,(12-MONTH(E132)+1)/12))) + (R132)*(IF((YEAR(D132)+3)&lt;YEAR(E132),0,IF((YEAR(D132)+3)&gt;YEAR(E132),1,(12-MONTH(E132)+1)/12))))-(IF((((K132)*(IF(M132="",L132,IFERROR(IF(INDEX(Variablen!$I:$AT, MATCH(M132, Variablen!$A:$A, 0), MATCH((YEAR(D132)+3), Variablen!$I$3:$AT$3, 0))="",L132,INDEX(Variablen!$I:$AT, MATCH(M132, Variablen!$A:$A, 0), MATCH((YEAR(D132)+3), Variablen!$I$3:$AT$3, 0))),L132)))*(IF((YEAR(D132)+3)&lt;YEAR(E132),0,IF((YEAR(D132)+3)&gt;YEAR(E132),1,(12-MONTH(E132)+1)/12))) + (Q132)*(IF((YEAR(D132)+3)&lt;YEAR(E132),0,IF((YEAR(D132)+3)&gt;YEAR(E132),1,(12-MONTH(E132)+1)/12))))-((P132)*(IF((YEAR(D132)+3)&lt;YEAR(E132),0,IF((YEAR(D132)+3)&gt;YEAR(E132),1,(12-MONTH(E132)+1)/12))) + (R132)*(IF((YEAR(D132)+3)&lt;YEAR(E132),0,IF((YEAR(D132)+3)&gt;YEAR(E132),1,(12-MONTH(E132)+1)/12))))-(IF(OR(N132="",N132&lt;=0),0,(O132/N132)*(IF(OR(N132="",N132&lt;=0),0,IF((YEAR(D132)+3)&lt;YEAR(E132),0,IF((YEAR(D132)+3)&gt;=YEAR(E132)+N132,0,IF((YEAR(D132)+3)=YEAR(E132),(12-MONTH(E132)+1)/12,1))))))))&gt;0,(((K132)*(IF(M132="",L132,IFERROR(IF(INDEX(Variablen!$I:$AT, MATCH(M132, Variablen!$A:$A, 0), MATCH((YEAR(D132)+3), Variablen!$I$3:$AT$3, 0))="",L132,INDEX(Variablen!$I:$AT, MATCH(M132, Variablen!$A:$A, 0), MATCH((YEAR(D132)+3), Variablen!$I$3:$AT$3, 0))),L132)))*(IF((YEAR(D132)+3)&lt;YEAR(E132),0,IF((YEAR(D132)+3)&gt;YEAR(E132),1,(12-MONTH(E132)+1)/12))) + (Q132)*(IF((YEAR(D132)+3)&lt;YEAR(E132),0,IF((YEAR(D132)+3)&gt;YEAR(E132),1,(12-MONTH(E132)+1)/12))))-((P132)*(IF((YEAR(D132)+3)&lt;YEAR(E132),0,IF((YEAR(D132)+3)&gt;YEAR(E132),1,(12-MONTH(E132)+1)/12))) + (R132)*(IF((YEAR(D132)+3)&lt;YEAR(E132),0,IF((YEAR(D132)+3)&gt;YEAR(E132),1,(12-MONTH(E132)+1)/12))))-(IF(OR(N132="",N132&lt;=0),0,(O132/N132)*(IF(OR(N132="",N132&lt;=0),0,IF((YEAR(D132)+3)&lt;YEAR(E132),0,IF((YEAR(D132)+3)&gt;=YEAR(E132)+N132,0,IF((YEAR(D132)+3)=YEAR(E132),(12-MONTH(E132)+1)/12,1))))))))*TaxRate,0))-IF(3=0,O132,0))</f>
        <v/>
      </c>
      <c r="W132" s="29">
        <f>IF(A132="","",((K132)*(IF(M132="",L132,IFERROR(IF(INDEX(Variablen!$I:$AT, MATCH(M132, Variablen!$A:$A, 0), MATCH((YEAR(D132)+4), Variablen!$I$3:$AT$3, 0))="",L132,INDEX(Variablen!$I:$AT, MATCH(M132, Variablen!$A:$A, 0), MATCH((YEAR(D132)+4), Variablen!$I$3:$AT$3, 0))),L132)))*(IF((YEAR(D132)+4)&lt;YEAR(E132),0,IF((YEAR(D132)+4)&gt;YEAR(E132),1,(12-MONTH(E132)+1)/12))) + (Q132)*(IF((YEAR(D132)+4)&lt;YEAR(E132),0,IF((YEAR(D132)+4)&gt;YEAR(E132),1,(12-MONTH(E132)+1)/12))))-((P132)*(IF((YEAR(D132)+4)&lt;YEAR(E132),0,IF((YEAR(D132)+4)&gt;YEAR(E132),1,(12-MONTH(E132)+1)/12))) + (R132)*(IF((YEAR(D132)+4)&lt;YEAR(E132),0,IF((YEAR(D132)+4)&gt;YEAR(E132),1,(12-MONTH(E132)+1)/12))))-(IF((((K132)*(IF(M132="",L132,IFERROR(IF(INDEX(Variablen!$I:$AT, MATCH(M132, Variablen!$A:$A, 0), MATCH((YEAR(D132)+4), Variablen!$I$3:$AT$3, 0))="",L132,INDEX(Variablen!$I:$AT, MATCH(M132, Variablen!$A:$A, 0), MATCH((YEAR(D132)+4), Variablen!$I$3:$AT$3, 0))),L132)))*(IF((YEAR(D132)+4)&lt;YEAR(E132),0,IF((YEAR(D132)+4)&gt;YEAR(E132),1,(12-MONTH(E132)+1)/12))) + (Q132)*(IF((YEAR(D132)+4)&lt;YEAR(E132),0,IF((YEAR(D132)+4)&gt;YEAR(E132),1,(12-MONTH(E132)+1)/12))))-((P132)*(IF((YEAR(D132)+4)&lt;YEAR(E132),0,IF((YEAR(D132)+4)&gt;YEAR(E132),1,(12-MONTH(E132)+1)/12))) + (R132)*(IF((YEAR(D132)+4)&lt;YEAR(E132),0,IF((YEAR(D132)+4)&gt;YEAR(E132),1,(12-MONTH(E132)+1)/12))))-(IF(OR(N132="",N132&lt;=0),0,(O132/N132)*(IF(OR(N132="",N132&lt;=0),0,IF((YEAR(D132)+4)&lt;YEAR(E132),0,IF((YEAR(D132)+4)&gt;=YEAR(E132)+N132,0,IF((YEAR(D132)+4)=YEAR(E132),(12-MONTH(E132)+1)/12,1))))))))&gt;0,(((K132)*(IF(M132="",L132,IFERROR(IF(INDEX(Variablen!$I:$AT, MATCH(M132, Variablen!$A:$A, 0), MATCH((YEAR(D132)+4), Variablen!$I$3:$AT$3, 0))="",L132,INDEX(Variablen!$I:$AT, MATCH(M132, Variablen!$A:$A, 0), MATCH((YEAR(D132)+4), Variablen!$I$3:$AT$3, 0))),L132)))*(IF((YEAR(D132)+4)&lt;YEAR(E132),0,IF((YEAR(D132)+4)&gt;YEAR(E132),1,(12-MONTH(E132)+1)/12))) + (Q132)*(IF((YEAR(D132)+4)&lt;YEAR(E132),0,IF((YEAR(D132)+4)&gt;YEAR(E132),1,(12-MONTH(E132)+1)/12))))-((P132)*(IF((YEAR(D132)+4)&lt;YEAR(E132),0,IF((YEAR(D132)+4)&gt;YEAR(E132),1,(12-MONTH(E132)+1)/12))) + (R132)*(IF((YEAR(D132)+4)&lt;YEAR(E132),0,IF((YEAR(D132)+4)&gt;YEAR(E132),1,(12-MONTH(E132)+1)/12))))-(IF(OR(N132="",N132&lt;=0),0,(O132/N132)*(IF(OR(N132="",N132&lt;=0),0,IF((YEAR(D132)+4)&lt;YEAR(E132),0,IF((YEAR(D132)+4)&gt;=YEAR(E132)+N132,0,IF((YEAR(D132)+4)=YEAR(E132),(12-MONTH(E132)+1)/12,1))))))))*TaxRate,0))-IF(4=0,O132,0))</f>
        <v/>
      </c>
      <c r="X132" s="29">
        <f>IF(A132="","",((K132)*(IF(M132="",L132,IFERROR(IF(INDEX(Variablen!$I:$AT, MATCH(M132, Variablen!$A:$A, 0), MATCH((YEAR(D132)+5), Variablen!$I$3:$AT$3, 0))="",L132,INDEX(Variablen!$I:$AT, MATCH(M132, Variablen!$A:$A, 0), MATCH((YEAR(D132)+5), Variablen!$I$3:$AT$3, 0))),L132)))*(IF((YEAR(D132)+5)&lt;YEAR(E132),0,IF((YEAR(D132)+5)&gt;YEAR(E132),1,(12-MONTH(E132)+1)/12))) + (Q132)*(IF((YEAR(D132)+5)&lt;YEAR(E132),0,IF((YEAR(D132)+5)&gt;YEAR(E132),1,(12-MONTH(E132)+1)/12))))-((P132)*(IF((YEAR(D132)+5)&lt;YEAR(E132),0,IF((YEAR(D132)+5)&gt;YEAR(E132),1,(12-MONTH(E132)+1)/12))) + (R132)*(IF((YEAR(D132)+5)&lt;YEAR(E132),0,IF((YEAR(D132)+5)&gt;YEAR(E132),1,(12-MONTH(E132)+1)/12))))-(IF((((K132)*(IF(M132="",L132,IFERROR(IF(INDEX(Variablen!$I:$AT, MATCH(M132, Variablen!$A:$A, 0), MATCH((YEAR(D132)+5), Variablen!$I$3:$AT$3, 0))="",L132,INDEX(Variablen!$I:$AT, MATCH(M132, Variablen!$A:$A, 0), MATCH((YEAR(D132)+5), Variablen!$I$3:$AT$3, 0))),L132)))*(IF((YEAR(D132)+5)&lt;YEAR(E132),0,IF((YEAR(D132)+5)&gt;YEAR(E132),1,(12-MONTH(E132)+1)/12))) + (Q132)*(IF((YEAR(D132)+5)&lt;YEAR(E132),0,IF((YEAR(D132)+5)&gt;YEAR(E132),1,(12-MONTH(E132)+1)/12))))-((P132)*(IF((YEAR(D132)+5)&lt;YEAR(E132),0,IF((YEAR(D132)+5)&gt;YEAR(E132),1,(12-MONTH(E132)+1)/12))) + (R132)*(IF((YEAR(D132)+5)&lt;YEAR(E132),0,IF((YEAR(D132)+5)&gt;YEAR(E132),1,(12-MONTH(E132)+1)/12))))-(IF(OR(N132="",N132&lt;=0),0,(O132/N132)*(IF(OR(N132="",N132&lt;=0),0,IF((YEAR(D132)+5)&lt;YEAR(E132),0,IF((YEAR(D132)+5)&gt;=YEAR(E132)+N132,0,IF((YEAR(D132)+5)=YEAR(E132),(12-MONTH(E132)+1)/12,1))))))))&gt;0,(((K132)*(IF(M132="",L132,IFERROR(IF(INDEX(Variablen!$I:$AT, MATCH(M132, Variablen!$A:$A, 0), MATCH((YEAR(D132)+5), Variablen!$I$3:$AT$3, 0))="",L132,INDEX(Variablen!$I:$AT, MATCH(M132, Variablen!$A:$A, 0), MATCH((YEAR(D132)+5), Variablen!$I$3:$AT$3, 0))),L132)))*(IF((YEAR(D132)+5)&lt;YEAR(E132),0,IF((YEAR(D132)+5)&gt;YEAR(E132),1,(12-MONTH(E132)+1)/12))) + (Q132)*(IF((YEAR(D132)+5)&lt;YEAR(E132),0,IF((YEAR(D132)+5)&gt;YEAR(E132),1,(12-MONTH(E132)+1)/12))))-((P132)*(IF((YEAR(D132)+5)&lt;YEAR(E132),0,IF((YEAR(D132)+5)&gt;YEAR(E132),1,(12-MONTH(E132)+1)/12))) + (R132)*(IF((YEAR(D132)+5)&lt;YEAR(E132),0,IF((YEAR(D132)+5)&gt;YEAR(E132),1,(12-MONTH(E132)+1)/12))))-(IF(OR(N132="",N132&lt;=0),0,(O132/N132)*(IF(OR(N132="",N132&lt;=0),0,IF((YEAR(D132)+5)&lt;YEAR(E132),0,IF((YEAR(D132)+5)&gt;=YEAR(E132)+N132,0,IF((YEAR(D132)+5)=YEAR(E132),(12-MONTH(E132)+1)/12,1))))))))*TaxRate,0))-IF(5=0,O132,0))</f>
        <v/>
      </c>
      <c r="Y132" s="29">
        <f>IF(A132="","",((K132)*(IF(M132="",L132,IFERROR(IF(INDEX(Variablen!$I:$AT, MATCH(M132, Variablen!$A:$A, 0), MATCH((YEAR(D132)+6), Variablen!$I$3:$AT$3, 0))="",L132,INDEX(Variablen!$I:$AT, MATCH(M132, Variablen!$A:$A, 0), MATCH((YEAR(D132)+6), Variablen!$I$3:$AT$3, 0))),L132)))*(IF((YEAR(D132)+6)&lt;YEAR(E132),0,IF((YEAR(D132)+6)&gt;YEAR(E132),1,(12-MONTH(E132)+1)/12))) + (Q132)*(IF((YEAR(D132)+6)&lt;YEAR(E132),0,IF((YEAR(D132)+6)&gt;YEAR(E132),1,(12-MONTH(E132)+1)/12))))-((P132)*(IF((YEAR(D132)+6)&lt;YEAR(E132),0,IF((YEAR(D132)+6)&gt;YEAR(E132),1,(12-MONTH(E132)+1)/12))) + (R132)*(IF((YEAR(D132)+6)&lt;YEAR(E132),0,IF((YEAR(D132)+6)&gt;YEAR(E132),1,(12-MONTH(E132)+1)/12))))-(IF((((K132)*(IF(M132="",L132,IFERROR(IF(INDEX(Variablen!$I:$AT, MATCH(M132, Variablen!$A:$A, 0), MATCH((YEAR(D132)+6), Variablen!$I$3:$AT$3, 0))="",L132,INDEX(Variablen!$I:$AT, MATCH(M132, Variablen!$A:$A, 0), MATCH((YEAR(D132)+6), Variablen!$I$3:$AT$3, 0))),L132)))*(IF((YEAR(D132)+6)&lt;YEAR(E132),0,IF((YEAR(D132)+6)&gt;YEAR(E132),1,(12-MONTH(E132)+1)/12))) + (Q132)*(IF((YEAR(D132)+6)&lt;YEAR(E132),0,IF((YEAR(D132)+6)&gt;YEAR(E132),1,(12-MONTH(E132)+1)/12))))-((P132)*(IF((YEAR(D132)+6)&lt;YEAR(E132),0,IF((YEAR(D132)+6)&gt;YEAR(E132),1,(12-MONTH(E132)+1)/12))) + (R132)*(IF((YEAR(D132)+6)&lt;YEAR(E132),0,IF((YEAR(D132)+6)&gt;YEAR(E132),1,(12-MONTH(E132)+1)/12))))-(IF(OR(N132="",N132&lt;=0),0,(O132/N132)*(IF(OR(N132="",N132&lt;=0),0,IF((YEAR(D132)+6)&lt;YEAR(E132),0,IF((YEAR(D132)+6)&gt;=YEAR(E132)+N132,0,IF((YEAR(D132)+6)=YEAR(E132),(12-MONTH(E132)+1)/12,1))))))))&gt;0,(((K132)*(IF(M132="",L132,IFERROR(IF(INDEX(Variablen!$I:$AT, MATCH(M132, Variablen!$A:$A, 0), MATCH((YEAR(D132)+6), Variablen!$I$3:$AT$3, 0))="",L132,INDEX(Variablen!$I:$AT, MATCH(M132, Variablen!$A:$A, 0), MATCH((YEAR(D132)+6), Variablen!$I$3:$AT$3, 0))),L132)))*(IF((YEAR(D132)+6)&lt;YEAR(E132),0,IF((YEAR(D132)+6)&gt;YEAR(E132),1,(12-MONTH(E132)+1)/12))) + (Q132)*(IF((YEAR(D132)+6)&lt;YEAR(E132),0,IF((YEAR(D132)+6)&gt;YEAR(E132),1,(12-MONTH(E132)+1)/12))))-((P132)*(IF((YEAR(D132)+6)&lt;YEAR(E132),0,IF((YEAR(D132)+6)&gt;YEAR(E132),1,(12-MONTH(E132)+1)/12))) + (R132)*(IF((YEAR(D132)+6)&lt;YEAR(E132),0,IF((YEAR(D132)+6)&gt;YEAR(E132),1,(12-MONTH(E132)+1)/12))))-(IF(OR(N132="",N132&lt;=0),0,(O132/N132)*(IF(OR(N132="",N132&lt;=0),0,IF((YEAR(D132)+6)&lt;YEAR(E132),0,IF((YEAR(D132)+6)&gt;=YEAR(E132)+N132,0,IF((YEAR(D132)+6)=YEAR(E132),(12-MONTH(E132)+1)/12,1))))))))*TaxRate,0))-IF(6=0,O132,0))</f>
        <v/>
      </c>
      <c r="Z132" s="29">
        <f>IF(A132="","",((K132)*(IF(M132="",L132,IFERROR(IF(INDEX(Variablen!$I:$AT, MATCH(M132, Variablen!$A:$A, 0), MATCH((YEAR(D132)+7), Variablen!$I$3:$AT$3, 0))="",L132,INDEX(Variablen!$I:$AT, MATCH(M132, Variablen!$A:$A, 0), MATCH((YEAR(D132)+7), Variablen!$I$3:$AT$3, 0))),L132)))*(IF((YEAR(D132)+7)&lt;YEAR(E132),0,IF((YEAR(D132)+7)&gt;YEAR(E132),1,(12-MONTH(E132)+1)/12))) + (Q132)*(IF((YEAR(D132)+7)&lt;YEAR(E132),0,IF((YEAR(D132)+7)&gt;YEAR(E132),1,(12-MONTH(E132)+1)/12))))-((P132)*(IF((YEAR(D132)+7)&lt;YEAR(E132),0,IF((YEAR(D132)+7)&gt;YEAR(E132),1,(12-MONTH(E132)+1)/12))) + (R132)*(IF((YEAR(D132)+7)&lt;YEAR(E132),0,IF((YEAR(D132)+7)&gt;YEAR(E132),1,(12-MONTH(E132)+1)/12))))-(IF((((K132)*(IF(M132="",L132,IFERROR(IF(INDEX(Variablen!$I:$AT, MATCH(M132, Variablen!$A:$A, 0), MATCH((YEAR(D132)+7), Variablen!$I$3:$AT$3, 0))="",L132,INDEX(Variablen!$I:$AT, MATCH(M132, Variablen!$A:$A, 0), MATCH((YEAR(D132)+7), Variablen!$I$3:$AT$3, 0))),L132)))*(IF((YEAR(D132)+7)&lt;YEAR(E132),0,IF((YEAR(D132)+7)&gt;YEAR(E132),1,(12-MONTH(E132)+1)/12))) + (Q132)*(IF((YEAR(D132)+7)&lt;YEAR(E132),0,IF((YEAR(D132)+7)&gt;YEAR(E132),1,(12-MONTH(E132)+1)/12))))-((P132)*(IF((YEAR(D132)+7)&lt;YEAR(E132),0,IF((YEAR(D132)+7)&gt;YEAR(E132),1,(12-MONTH(E132)+1)/12))) + (R132)*(IF((YEAR(D132)+7)&lt;YEAR(E132),0,IF((YEAR(D132)+7)&gt;YEAR(E132),1,(12-MONTH(E132)+1)/12))))-(IF(OR(N132="",N132&lt;=0),0,(O132/N132)*(IF(OR(N132="",N132&lt;=0),0,IF((YEAR(D132)+7)&lt;YEAR(E132),0,IF((YEAR(D132)+7)&gt;=YEAR(E132)+N132,0,IF((YEAR(D132)+7)=YEAR(E132),(12-MONTH(E132)+1)/12,1))))))))&gt;0,(((K132)*(IF(M132="",L132,IFERROR(IF(INDEX(Variablen!$I:$AT, MATCH(M132, Variablen!$A:$A, 0), MATCH((YEAR(D132)+7), Variablen!$I$3:$AT$3, 0))="",L132,INDEX(Variablen!$I:$AT, MATCH(M132, Variablen!$A:$A, 0), MATCH((YEAR(D132)+7), Variablen!$I$3:$AT$3, 0))),L132)))*(IF((YEAR(D132)+7)&lt;YEAR(E132),0,IF((YEAR(D132)+7)&gt;YEAR(E132),1,(12-MONTH(E132)+1)/12))) + (Q132)*(IF((YEAR(D132)+7)&lt;YEAR(E132),0,IF((YEAR(D132)+7)&gt;YEAR(E132),1,(12-MONTH(E132)+1)/12))))-((P132)*(IF((YEAR(D132)+7)&lt;YEAR(E132),0,IF((YEAR(D132)+7)&gt;YEAR(E132),1,(12-MONTH(E132)+1)/12))) + (R132)*(IF((YEAR(D132)+7)&lt;YEAR(E132),0,IF((YEAR(D132)+7)&gt;YEAR(E132),1,(12-MONTH(E132)+1)/12))))-(IF(OR(N132="",N132&lt;=0),0,(O132/N132)*(IF(OR(N132="",N132&lt;=0),0,IF((YEAR(D132)+7)&lt;YEAR(E132),0,IF((YEAR(D132)+7)&gt;=YEAR(E132)+N132,0,IF((YEAR(D132)+7)=YEAR(E132),(12-MONTH(E132)+1)/12,1))))))))*TaxRate,0))-IF(7=0,O132,0))</f>
        <v/>
      </c>
      <c r="AA132" s="29">
        <f>IF(A132="","",((K132)*(IF(M132="",L132,IFERROR(IF(INDEX(Variablen!$I:$AT, MATCH(M132, Variablen!$A:$A, 0), MATCH((YEAR(D132)+8), Variablen!$I$3:$AT$3, 0))="",L132,INDEX(Variablen!$I:$AT, MATCH(M132, Variablen!$A:$A, 0), MATCH((YEAR(D132)+8), Variablen!$I$3:$AT$3, 0))),L132)))*(IF((YEAR(D132)+8)&lt;YEAR(E132),0,IF((YEAR(D132)+8)&gt;YEAR(E132),1,(12-MONTH(E132)+1)/12))) + (Q132)*(IF((YEAR(D132)+8)&lt;YEAR(E132),0,IF((YEAR(D132)+8)&gt;YEAR(E132),1,(12-MONTH(E132)+1)/12))))-((P132)*(IF((YEAR(D132)+8)&lt;YEAR(E132),0,IF((YEAR(D132)+8)&gt;YEAR(E132),1,(12-MONTH(E132)+1)/12))) + (R132)*(IF((YEAR(D132)+8)&lt;YEAR(E132),0,IF((YEAR(D132)+8)&gt;YEAR(E132),1,(12-MONTH(E132)+1)/12))))-(IF((((K132)*(IF(M132="",L132,IFERROR(IF(INDEX(Variablen!$I:$AT, MATCH(M132, Variablen!$A:$A, 0), MATCH((YEAR(D132)+8), Variablen!$I$3:$AT$3, 0))="",L132,INDEX(Variablen!$I:$AT, MATCH(M132, Variablen!$A:$A, 0), MATCH((YEAR(D132)+8), Variablen!$I$3:$AT$3, 0))),L132)))*(IF((YEAR(D132)+8)&lt;YEAR(E132),0,IF((YEAR(D132)+8)&gt;YEAR(E132),1,(12-MONTH(E132)+1)/12))) + (Q132)*(IF((YEAR(D132)+8)&lt;YEAR(E132),0,IF((YEAR(D132)+8)&gt;YEAR(E132),1,(12-MONTH(E132)+1)/12))))-((P132)*(IF((YEAR(D132)+8)&lt;YEAR(E132),0,IF((YEAR(D132)+8)&gt;YEAR(E132),1,(12-MONTH(E132)+1)/12))) + (R132)*(IF((YEAR(D132)+8)&lt;YEAR(E132),0,IF((YEAR(D132)+8)&gt;YEAR(E132),1,(12-MONTH(E132)+1)/12))))-(IF(OR(N132="",N132&lt;=0),0,(O132/N132)*(IF(OR(N132="",N132&lt;=0),0,IF((YEAR(D132)+8)&lt;YEAR(E132),0,IF((YEAR(D132)+8)&gt;=YEAR(E132)+N132,0,IF((YEAR(D132)+8)=YEAR(E132),(12-MONTH(E132)+1)/12,1))))))))&gt;0,(((K132)*(IF(M132="",L132,IFERROR(IF(INDEX(Variablen!$I:$AT, MATCH(M132, Variablen!$A:$A, 0), MATCH((YEAR(D132)+8), Variablen!$I$3:$AT$3, 0))="",L132,INDEX(Variablen!$I:$AT, MATCH(M132, Variablen!$A:$A, 0), MATCH((YEAR(D132)+8), Variablen!$I$3:$AT$3, 0))),L132)))*(IF((YEAR(D132)+8)&lt;YEAR(E132),0,IF((YEAR(D132)+8)&gt;YEAR(E132),1,(12-MONTH(E132)+1)/12))) + (Q132)*(IF((YEAR(D132)+8)&lt;YEAR(E132),0,IF((YEAR(D132)+8)&gt;YEAR(E132),1,(12-MONTH(E132)+1)/12))))-((P132)*(IF((YEAR(D132)+8)&lt;YEAR(E132),0,IF((YEAR(D132)+8)&gt;YEAR(E132),1,(12-MONTH(E132)+1)/12))) + (R132)*(IF((YEAR(D132)+8)&lt;YEAR(E132),0,IF((YEAR(D132)+8)&gt;YEAR(E132),1,(12-MONTH(E132)+1)/12))))-(IF(OR(N132="",N132&lt;=0),0,(O132/N132)*(IF(OR(N132="",N132&lt;=0),0,IF((YEAR(D132)+8)&lt;YEAR(E132),0,IF((YEAR(D132)+8)&gt;=YEAR(E132)+N132,0,IF((YEAR(D132)+8)=YEAR(E132),(12-MONTH(E132)+1)/12,1))))))))*TaxRate,0))-IF(8=0,O132,0))</f>
        <v/>
      </c>
      <c r="AB132" s="29">
        <f>IF(A132="","",((K132)*(IF(M132="",L132,IFERROR(IF(INDEX(Variablen!$I:$AT, MATCH(M132, Variablen!$A:$A, 0), MATCH((YEAR(D132)+9), Variablen!$I$3:$AT$3, 0))="",L132,INDEX(Variablen!$I:$AT, MATCH(M132, Variablen!$A:$A, 0), MATCH((YEAR(D132)+9), Variablen!$I$3:$AT$3, 0))),L132)))*(IF((YEAR(D132)+9)&lt;YEAR(E132),0,IF((YEAR(D132)+9)&gt;YEAR(E132),1,(12-MONTH(E132)+1)/12))) + (Q132)*(IF((YEAR(D132)+9)&lt;YEAR(E132),0,IF((YEAR(D132)+9)&gt;YEAR(E132),1,(12-MONTH(E132)+1)/12))))-((P132)*(IF((YEAR(D132)+9)&lt;YEAR(E132),0,IF((YEAR(D132)+9)&gt;YEAR(E132),1,(12-MONTH(E132)+1)/12))) + (R132)*(IF((YEAR(D132)+9)&lt;YEAR(E132),0,IF((YEAR(D132)+9)&gt;YEAR(E132),1,(12-MONTH(E132)+1)/12))))-(IF((((K132)*(IF(M132="",L132,IFERROR(IF(INDEX(Variablen!$I:$AT, MATCH(M132, Variablen!$A:$A, 0), MATCH((YEAR(D132)+9), Variablen!$I$3:$AT$3, 0))="",L132,INDEX(Variablen!$I:$AT, MATCH(M132, Variablen!$A:$A, 0), MATCH((YEAR(D132)+9), Variablen!$I$3:$AT$3, 0))),L132)))*(IF((YEAR(D132)+9)&lt;YEAR(E132),0,IF((YEAR(D132)+9)&gt;YEAR(E132),1,(12-MONTH(E132)+1)/12))) + (Q132)*(IF((YEAR(D132)+9)&lt;YEAR(E132),0,IF((YEAR(D132)+9)&gt;YEAR(E132),1,(12-MONTH(E132)+1)/12))))-((P132)*(IF((YEAR(D132)+9)&lt;YEAR(E132),0,IF((YEAR(D132)+9)&gt;YEAR(E132),1,(12-MONTH(E132)+1)/12))) + (R132)*(IF((YEAR(D132)+9)&lt;YEAR(E132),0,IF((YEAR(D132)+9)&gt;YEAR(E132),1,(12-MONTH(E132)+1)/12))))-(IF(OR(N132="",N132&lt;=0),0,(O132/N132)*(IF(OR(N132="",N132&lt;=0),0,IF((YEAR(D132)+9)&lt;YEAR(E132),0,IF((YEAR(D132)+9)&gt;=YEAR(E132)+N132,0,IF((YEAR(D132)+9)=YEAR(E132),(12-MONTH(E132)+1)/12,1))))))))&gt;0,(((K132)*(IF(M132="",L132,IFERROR(IF(INDEX(Variablen!$I:$AT, MATCH(M132, Variablen!$A:$A, 0), MATCH((YEAR(D132)+9), Variablen!$I$3:$AT$3, 0))="",L132,INDEX(Variablen!$I:$AT, MATCH(M132, Variablen!$A:$A, 0), MATCH((YEAR(D132)+9), Variablen!$I$3:$AT$3, 0))),L132)))*(IF((YEAR(D132)+9)&lt;YEAR(E132),0,IF((YEAR(D132)+9)&gt;YEAR(E132),1,(12-MONTH(E132)+1)/12))) + (Q132)*(IF((YEAR(D132)+9)&lt;YEAR(E132),0,IF((YEAR(D132)+9)&gt;YEAR(E132),1,(12-MONTH(E132)+1)/12))))-((P132)*(IF((YEAR(D132)+9)&lt;YEAR(E132),0,IF((YEAR(D132)+9)&gt;YEAR(E132),1,(12-MONTH(E132)+1)/12))) + (R132)*(IF((YEAR(D132)+9)&lt;YEAR(E132),0,IF((YEAR(D132)+9)&gt;YEAR(E132),1,(12-MONTH(E132)+1)/12))))-(IF(OR(N132="",N132&lt;=0),0,(O132/N132)*(IF(OR(N132="",N132&lt;=0),0,IF((YEAR(D132)+9)&lt;YEAR(E132),0,IF((YEAR(D132)+9)&gt;=YEAR(E132)+N132,0,IF((YEAR(D132)+9)=YEAR(E132),(12-MONTH(E132)+1)/12,1))))))))*TaxRate,0))-IF(9=0,O132,0))</f>
        <v/>
      </c>
      <c r="AC132" s="29">
        <f>IF(A132="","",((K132)*(IF(M132="",L132,IFERROR(IF(INDEX(Variablen!$I:$AT, MATCH(M132, Variablen!$A:$A, 0), MATCH((YEAR(D132)+10), Variablen!$I$3:$AT$3, 0))="",L132,INDEX(Variablen!$I:$AT, MATCH(M132, Variablen!$A:$A, 0), MATCH((YEAR(D132)+10), Variablen!$I$3:$AT$3, 0))),L132)))*(IF((YEAR(D132)+10)&lt;YEAR(E132),0,IF((YEAR(D132)+10)&gt;YEAR(E132),1,(12-MONTH(E132)+1)/12))) + (Q132)*(IF((YEAR(D132)+10)&lt;YEAR(E132),0,IF((YEAR(D132)+10)&gt;YEAR(E132),1,(12-MONTH(E132)+1)/12))))-((P132)*(IF((YEAR(D132)+10)&lt;YEAR(E132),0,IF((YEAR(D132)+10)&gt;YEAR(E132),1,(12-MONTH(E132)+1)/12))) + (R132)*(IF((YEAR(D132)+10)&lt;YEAR(E132),0,IF((YEAR(D132)+10)&gt;YEAR(E132),1,(12-MONTH(E132)+1)/12))))-(IF((((K132)*(IF(M132="",L132,IFERROR(IF(INDEX(Variablen!$I:$AT, MATCH(M132, Variablen!$A:$A, 0), MATCH((YEAR(D132)+10), Variablen!$I$3:$AT$3, 0))="",L132,INDEX(Variablen!$I:$AT, MATCH(M132, Variablen!$A:$A, 0), MATCH((YEAR(D132)+10), Variablen!$I$3:$AT$3, 0))),L132)))*(IF((YEAR(D132)+10)&lt;YEAR(E132),0,IF((YEAR(D132)+10)&gt;YEAR(E132),1,(12-MONTH(E132)+1)/12))) + (Q132)*(IF((YEAR(D132)+10)&lt;YEAR(E132),0,IF((YEAR(D132)+10)&gt;YEAR(E132),1,(12-MONTH(E132)+1)/12))))-((P132)*(IF((YEAR(D132)+10)&lt;YEAR(E132),0,IF((YEAR(D132)+10)&gt;YEAR(E132),1,(12-MONTH(E132)+1)/12))) + (R132)*(IF((YEAR(D132)+10)&lt;YEAR(E132),0,IF((YEAR(D132)+10)&gt;YEAR(E132),1,(12-MONTH(E132)+1)/12))))-(IF(OR(N132="",N132&lt;=0),0,(O132/N132)*(IF(OR(N132="",N132&lt;=0),0,IF((YEAR(D132)+10)&lt;YEAR(E132),0,IF((YEAR(D132)+10)&gt;=YEAR(E132)+N132,0,IF((YEAR(D132)+10)=YEAR(E132),(12-MONTH(E132)+1)/12,1))))))))&gt;0,(((K132)*(IF(M132="",L132,IFERROR(IF(INDEX(Variablen!$I:$AT, MATCH(M132, Variablen!$A:$A, 0), MATCH((YEAR(D132)+10), Variablen!$I$3:$AT$3, 0))="",L132,INDEX(Variablen!$I:$AT, MATCH(M132, Variablen!$A:$A, 0), MATCH((YEAR(D132)+10), Variablen!$I$3:$AT$3, 0))),L132)))*(IF((YEAR(D132)+10)&lt;YEAR(E132),0,IF((YEAR(D132)+10)&gt;YEAR(E132),1,(12-MONTH(E132)+1)/12))) + (Q132)*(IF((YEAR(D132)+10)&lt;YEAR(E132),0,IF((YEAR(D132)+10)&gt;YEAR(E132),1,(12-MONTH(E132)+1)/12))))-((P132)*(IF((YEAR(D132)+10)&lt;YEAR(E132),0,IF((YEAR(D132)+10)&gt;YEAR(E132),1,(12-MONTH(E132)+1)/12))) + (R132)*(IF((YEAR(D132)+10)&lt;YEAR(E132),0,IF((YEAR(D132)+10)&gt;YEAR(E132),1,(12-MONTH(E132)+1)/12))))-(IF(OR(N132="",N132&lt;=0),0,(O132/N132)*(IF(OR(N132="",N132&lt;=0),0,IF((YEAR(D132)+10)&lt;YEAR(E132),0,IF((YEAR(D132)+10)&gt;=YEAR(E132)+N132,0,IF((YEAR(D132)+10)=YEAR(E132),(12-MONTH(E132)+1)/12,1))))))))*TaxRate,0))-IF(10=0,O132,0))</f>
        <v/>
      </c>
      <c r="AD132" s="29">
        <f>IF(A132="","",((K132)*(IF(M132="",L132,IFERROR(IF(INDEX(Variablen!$I:$AT, MATCH(M132, Variablen!$A:$A, 0), MATCH((YEAR(D132)+11), Variablen!$I$3:$AT$3, 0))="",L132,INDEX(Variablen!$I:$AT, MATCH(M132, Variablen!$A:$A, 0), MATCH((YEAR(D132)+11), Variablen!$I$3:$AT$3, 0))),L132)))*(IF((YEAR(D132)+11)&lt;YEAR(E132),0,IF((YEAR(D132)+11)&gt;YEAR(E132),1,(12-MONTH(E132)+1)/12))) + (Q132)*(IF((YEAR(D132)+11)&lt;YEAR(E132),0,IF((YEAR(D132)+11)&gt;YEAR(E132),1,(12-MONTH(E132)+1)/12))))-((P132)*(IF((YEAR(D132)+11)&lt;YEAR(E132),0,IF((YEAR(D132)+11)&gt;YEAR(E132),1,(12-MONTH(E132)+1)/12))) + (R132)*(IF((YEAR(D132)+11)&lt;YEAR(E132),0,IF((YEAR(D132)+11)&gt;YEAR(E132),1,(12-MONTH(E132)+1)/12))))-(IF((((K132)*(IF(M132="",L132,IFERROR(IF(INDEX(Variablen!$I:$AT, MATCH(M132, Variablen!$A:$A, 0), MATCH((YEAR(D132)+11), Variablen!$I$3:$AT$3, 0))="",L132,INDEX(Variablen!$I:$AT, MATCH(M132, Variablen!$A:$A, 0), MATCH((YEAR(D132)+11), Variablen!$I$3:$AT$3, 0))),L132)))*(IF((YEAR(D132)+11)&lt;YEAR(E132),0,IF((YEAR(D132)+11)&gt;YEAR(E132),1,(12-MONTH(E132)+1)/12))) + (Q132)*(IF((YEAR(D132)+11)&lt;YEAR(E132),0,IF((YEAR(D132)+11)&gt;YEAR(E132),1,(12-MONTH(E132)+1)/12))))-((P132)*(IF((YEAR(D132)+11)&lt;YEAR(E132),0,IF((YEAR(D132)+11)&gt;YEAR(E132),1,(12-MONTH(E132)+1)/12))) + (R132)*(IF((YEAR(D132)+11)&lt;YEAR(E132),0,IF((YEAR(D132)+11)&gt;YEAR(E132),1,(12-MONTH(E132)+1)/12))))-(IF(OR(N132="",N132&lt;=0),0,(O132/N132)*(IF(OR(N132="",N132&lt;=0),0,IF((YEAR(D132)+11)&lt;YEAR(E132),0,IF((YEAR(D132)+11)&gt;=YEAR(E132)+N132,0,IF((YEAR(D132)+11)=YEAR(E132),(12-MONTH(E132)+1)/12,1))))))))&gt;0,(((K132)*(IF(M132="",L132,IFERROR(IF(INDEX(Variablen!$I:$AT, MATCH(M132, Variablen!$A:$A, 0), MATCH((YEAR(D132)+11), Variablen!$I$3:$AT$3, 0))="",L132,INDEX(Variablen!$I:$AT, MATCH(M132, Variablen!$A:$A, 0), MATCH((YEAR(D132)+11), Variablen!$I$3:$AT$3, 0))),L132)))*(IF((YEAR(D132)+11)&lt;YEAR(E132),0,IF((YEAR(D132)+11)&gt;YEAR(E132),1,(12-MONTH(E132)+1)/12))) + (Q132)*(IF((YEAR(D132)+11)&lt;YEAR(E132),0,IF((YEAR(D132)+11)&gt;YEAR(E132),1,(12-MONTH(E132)+1)/12))))-((P132)*(IF((YEAR(D132)+11)&lt;YEAR(E132),0,IF((YEAR(D132)+11)&gt;YEAR(E132),1,(12-MONTH(E132)+1)/12))) + (R132)*(IF((YEAR(D132)+11)&lt;YEAR(E132),0,IF((YEAR(D132)+11)&gt;YEAR(E132),1,(12-MONTH(E132)+1)/12))))-(IF(OR(N132="",N132&lt;=0),0,(O132/N132)*(IF(OR(N132="",N132&lt;=0),0,IF((YEAR(D132)+11)&lt;YEAR(E132),0,IF((YEAR(D132)+11)&gt;=YEAR(E132)+N132,0,IF((YEAR(D132)+11)=YEAR(E132),(12-MONTH(E132)+1)/12,1))))))))*TaxRate,0))-IF(11=0,O132,0))</f>
        <v/>
      </c>
      <c r="AE132" s="29">
        <f>IF(A132="","",((K132)*(IF(M132="",L132,IFERROR(IF(INDEX(Variablen!$I:$AT, MATCH(M132, Variablen!$A:$A, 0), MATCH((YEAR(D132)+12), Variablen!$I$3:$AT$3, 0))="",L132,INDEX(Variablen!$I:$AT, MATCH(M132, Variablen!$A:$A, 0), MATCH((YEAR(D132)+12), Variablen!$I$3:$AT$3, 0))),L132)))*(IF((YEAR(D132)+12)&lt;YEAR(E132),0,IF((YEAR(D132)+12)&gt;YEAR(E132),1,(12-MONTH(E132)+1)/12))) + (Q132)*(IF((YEAR(D132)+12)&lt;YEAR(E132),0,IF((YEAR(D132)+12)&gt;YEAR(E132),1,(12-MONTH(E132)+1)/12))))-((P132)*(IF((YEAR(D132)+12)&lt;YEAR(E132),0,IF((YEAR(D132)+12)&gt;YEAR(E132),1,(12-MONTH(E132)+1)/12))) + (R132)*(IF((YEAR(D132)+12)&lt;YEAR(E132),0,IF((YEAR(D132)+12)&gt;YEAR(E132),1,(12-MONTH(E132)+1)/12))))-(IF((((K132)*(IF(M132="",L132,IFERROR(IF(INDEX(Variablen!$I:$AT, MATCH(M132, Variablen!$A:$A, 0), MATCH((YEAR(D132)+12), Variablen!$I$3:$AT$3, 0))="",L132,INDEX(Variablen!$I:$AT, MATCH(M132, Variablen!$A:$A, 0), MATCH((YEAR(D132)+12), Variablen!$I$3:$AT$3, 0))),L132)))*(IF((YEAR(D132)+12)&lt;YEAR(E132),0,IF((YEAR(D132)+12)&gt;YEAR(E132),1,(12-MONTH(E132)+1)/12))) + (Q132)*(IF((YEAR(D132)+12)&lt;YEAR(E132),0,IF((YEAR(D132)+12)&gt;YEAR(E132),1,(12-MONTH(E132)+1)/12))))-((P132)*(IF((YEAR(D132)+12)&lt;YEAR(E132),0,IF((YEAR(D132)+12)&gt;YEAR(E132),1,(12-MONTH(E132)+1)/12))) + (R132)*(IF((YEAR(D132)+12)&lt;YEAR(E132),0,IF((YEAR(D132)+12)&gt;YEAR(E132),1,(12-MONTH(E132)+1)/12))))-(IF(OR(N132="",N132&lt;=0),0,(O132/N132)*(IF(OR(N132="",N132&lt;=0),0,IF((YEAR(D132)+12)&lt;YEAR(E132),0,IF((YEAR(D132)+12)&gt;=YEAR(E132)+N132,0,IF((YEAR(D132)+12)=YEAR(E132),(12-MONTH(E132)+1)/12,1))))))))&gt;0,(((K132)*(IF(M132="",L132,IFERROR(IF(INDEX(Variablen!$I:$AT, MATCH(M132, Variablen!$A:$A, 0), MATCH((YEAR(D132)+12), Variablen!$I$3:$AT$3, 0))="",L132,INDEX(Variablen!$I:$AT, MATCH(M132, Variablen!$A:$A, 0), MATCH((YEAR(D132)+12), Variablen!$I$3:$AT$3, 0))),L132)))*(IF((YEAR(D132)+12)&lt;YEAR(E132),0,IF((YEAR(D132)+12)&gt;YEAR(E132),1,(12-MONTH(E132)+1)/12))) + (Q132)*(IF((YEAR(D132)+12)&lt;YEAR(E132),0,IF((YEAR(D132)+12)&gt;YEAR(E132),1,(12-MONTH(E132)+1)/12))))-((P132)*(IF((YEAR(D132)+12)&lt;YEAR(E132),0,IF((YEAR(D132)+12)&gt;YEAR(E132),1,(12-MONTH(E132)+1)/12))) + (R132)*(IF((YEAR(D132)+12)&lt;YEAR(E132),0,IF((YEAR(D132)+12)&gt;YEAR(E132),1,(12-MONTH(E132)+1)/12))))-(IF(OR(N132="",N132&lt;=0),0,(O132/N132)*(IF(OR(N132="",N132&lt;=0),0,IF((YEAR(D132)+12)&lt;YEAR(E132),0,IF((YEAR(D132)+12)&gt;=YEAR(E132)+N132,0,IF((YEAR(D132)+12)=YEAR(E132),(12-MONTH(E132)+1)/12,1))))))))*TaxRate,0))-IF(12=0,O132,0))</f>
        <v/>
      </c>
      <c r="AF132" s="29">
        <f>IF(A132="","",((K132)*(IF(M132="",L132,IFERROR(IF(INDEX(Variablen!$I:$AT, MATCH(M132, Variablen!$A:$A, 0), MATCH((YEAR(D132)+13), Variablen!$I$3:$AT$3, 0))="",L132,INDEX(Variablen!$I:$AT, MATCH(M132, Variablen!$A:$A, 0), MATCH((YEAR(D132)+13), Variablen!$I$3:$AT$3, 0))),L132)))*(IF((YEAR(D132)+13)&lt;YEAR(E132),0,IF((YEAR(D132)+13)&gt;YEAR(E132),1,(12-MONTH(E132)+1)/12))) + (Q132)*(IF((YEAR(D132)+13)&lt;YEAR(E132),0,IF((YEAR(D132)+13)&gt;YEAR(E132),1,(12-MONTH(E132)+1)/12))))-((P132)*(IF((YEAR(D132)+13)&lt;YEAR(E132),0,IF((YEAR(D132)+13)&gt;YEAR(E132),1,(12-MONTH(E132)+1)/12))) + (R132)*(IF((YEAR(D132)+13)&lt;YEAR(E132),0,IF((YEAR(D132)+13)&gt;YEAR(E132),1,(12-MONTH(E132)+1)/12))))-(IF((((K132)*(IF(M132="",L132,IFERROR(IF(INDEX(Variablen!$I:$AT, MATCH(M132, Variablen!$A:$A, 0), MATCH((YEAR(D132)+13), Variablen!$I$3:$AT$3, 0))="",L132,INDEX(Variablen!$I:$AT, MATCH(M132, Variablen!$A:$A, 0), MATCH((YEAR(D132)+13), Variablen!$I$3:$AT$3, 0))),L132)))*(IF((YEAR(D132)+13)&lt;YEAR(E132),0,IF((YEAR(D132)+13)&gt;YEAR(E132),1,(12-MONTH(E132)+1)/12))) + (Q132)*(IF((YEAR(D132)+13)&lt;YEAR(E132),0,IF((YEAR(D132)+13)&gt;YEAR(E132),1,(12-MONTH(E132)+1)/12))))-((P132)*(IF((YEAR(D132)+13)&lt;YEAR(E132),0,IF((YEAR(D132)+13)&gt;YEAR(E132),1,(12-MONTH(E132)+1)/12))) + (R132)*(IF((YEAR(D132)+13)&lt;YEAR(E132),0,IF((YEAR(D132)+13)&gt;YEAR(E132),1,(12-MONTH(E132)+1)/12))))-(IF(OR(N132="",N132&lt;=0),0,(O132/N132)*(IF(OR(N132="",N132&lt;=0),0,IF((YEAR(D132)+13)&lt;YEAR(E132),0,IF((YEAR(D132)+13)&gt;=YEAR(E132)+N132,0,IF((YEAR(D132)+13)=YEAR(E132),(12-MONTH(E132)+1)/12,1))))))))&gt;0,(((K132)*(IF(M132="",L132,IFERROR(IF(INDEX(Variablen!$I:$AT, MATCH(M132, Variablen!$A:$A, 0), MATCH((YEAR(D132)+13), Variablen!$I$3:$AT$3, 0))="",L132,INDEX(Variablen!$I:$AT, MATCH(M132, Variablen!$A:$A, 0), MATCH((YEAR(D132)+13), Variablen!$I$3:$AT$3, 0))),L132)))*(IF((YEAR(D132)+13)&lt;YEAR(E132),0,IF((YEAR(D132)+13)&gt;YEAR(E132),1,(12-MONTH(E132)+1)/12))) + (Q132)*(IF((YEAR(D132)+13)&lt;YEAR(E132),0,IF((YEAR(D132)+13)&gt;YEAR(E132),1,(12-MONTH(E132)+1)/12))))-((P132)*(IF((YEAR(D132)+13)&lt;YEAR(E132),0,IF((YEAR(D132)+13)&gt;YEAR(E132),1,(12-MONTH(E132)+1)/12))) + (R132)*(IF((YEAR(D132)+13)&lt;YEAR(E132),0,IF((YEAR(D132)+13)&gt;YEAR(E132),1,(12-MONTH(E132)+1)/12))))-(IF(OR(N132="",N132&lt;=0),0,(O132/N132)*(IF(OR(N132="",N132&lt;=0),0,IF((YEAR(D132)+13)&lt;YEAR(E132),0,IF((YEAR(D132)+13)&gt;=YEAR(E132)+N132,0,IF((YEAR(D132)+13)=YEAR(E132),(12-MONTH(E132)+1)/12,1))))))))*TaxRate,0))-IF(13=0,O132,0))</f>
        <v/>
      </c>
      <c r="AG132" s="29">
        <f>IF(A132="","",((K132)*(IF(M132="",L132,IFERROR(IF(INDEX(Variablen!$I:$AT, MATCH(M132, Variablen!$A:$A, 0), MATCH((YEAR(D132)+14), Variablen!$I$3:$AT$3, 0))="",L132,INDEX(Variablen!$I:$AT, MATCH(M132, Variablen!$A:$A, 0), MATCH((YEAR(D132)+14), Variablen!$I$3:$AT$3, 0))),L132)))*(IF((YEAR(D132)+14)&lt;YEAR(E132),0,IF((YEAR(D132)+14)&gt;YEAR(E132),1,(12-MONTH(E132)+1)/12))) + (Q132)*(IF((YEAR(D132)+14)&lt;YEAR(E132),0,IF((YEAR(D132)+14)&gt;YEAR(E132),1,(12-MONTH(E132)+1)/12))))-((P132)*(IF((YEAR(D132)+14)&lt;YEAR(E132),0,IF((YEAR(D132)+14)&gt;YEAR(E132),1,(12-MONTH(E132)+1)/12))) + (R132)*(IF((YEAR(D132)+14)&lt;YEAR(E132),0,IF((YEAR(D132)+14)&gt;YEAR(E132),1,(12-MONTH(E132)+1)/12))))-(IF((((K132)*(IF(M132="",L132,IFERROR(IF(INDEX(Variablen!$I:$AT, MATCH(M132, Variablen!$A:$A, 0), MATCH((YEAR(D132)+14), Variablen!$I$3:$AT$3, 0))="",L132,INDEX(Variablen!$I:$AT, MATCH(M132, Variablen!$A:$A, 0), MATCH((YEAR(D132)+14), Variablen!$I$3:$AT$3, 0))),L132)))*(IF((YEAR(D132)+14)&lt;YEAR(E132),0,IF((YEAR(D132)+14)&gt;YEAR(E132),1,(12-MONTH(E132)+1)/12))) + (Q132)*(IF((YEAR(D132)+14)&lt;YEAR(E132),0,IF((YEAR(D132)+14)&gt;YEAR(E132),1,(12-MONTH(E132)+1)/12))))-((P132)*(IF((YEAR(D132)+14)&lt;YEAR(E132),0,IF((YEAR(D132)+14)&gt;YEAR(E132),1,(12-MONTH(E132)+1)/12))) + (R132)*(IF((YEAR(D132)+14)&lt;YEAR(E132),0,IF((YEAR(D132)+14)&gt;YEAR(E132),1,(12-MONTH(E132)+1)/12))))-(IF(OR(N132="",N132&lt;=0),0,(O132/N132)*(IF(OR(N132="",N132&lt;=0),0,IF((YEAR(D132)+14)&lt;YEAR(E132),0,IF((YEAR(D132)+14)&gt;=YEAR(E132)+N132,0,IF((YEAR(D132)+14)=YEAR(E132),(12-MONTH(E132)+1)/12,1))))))))&gt;0,(((K132)*(IF(M132="",L132,IFERROR(IF(INDEX(Variablen!$I:$AT, MATCH(M132, Variablen!$A:$A, 0), MATCH((YEAR(D132)+14), Variablen!$I$3:$AT$3, 0))="",L132,INDEX(Variablen!$I:$AT, MATCH(M132, Variablen!$A:$A, 0), MATCH((YEAR(D132)+14), Variablen!$I$3:$AT$3, 0))),L132)))*(IF((YEAR(D132)+14)&lt;YEAR(E132),0,IF((YEAR(D132)+14)&gt;YEAR(E132),1,(12-MONTH(E132)+1)/12))) + (Q132)*(IF((YEAR(D132)+14)&lt;YEAR(E132),0,IF((YEAR(D132)+14)&gt;YEAR(E132),1,(12-MONTH(E132)+1)/12))))-((P132)*(IF((YEAR(D132)+14)&lt;YEAR(E132),0,IF((YEAR(D132)+14)&gt;YEAR(E132),1,(12-MONTH(E132)+1)/12))) + (R132)*(IF((YEAR(D132)+14)&lt;YEAR(E132),0,IF((YEAR(D132)+14)&gt;YEAR(E132),1,(12-MONTH(E132)+1)/12))))-(IF(OR(N132="",N132&lt;=0),0,(O132/N132)*(IF(OR(N132="",N132&lt;=0),0,IF((YEAR(D132)+14)&lt;YEAR(E132),0,IF((YEAR(D132)+14)&gt;=YEAR(E132)+N132,0,IF((YEAR(D132)+14)=YEAR(E132),(12-MONTH(E132)+1)/12,1))))))))*TaxRate,0))-IF(14=0,O132,0))</f>
        <v/>
      </c>
      <c r="AH132" s="29">
        <f>IF(A132="","",((K132)*(IF(M132="",L132,IFERROR(IF(INDEX(Variablen!$I:$AT, MATCH(M132, Variablen!$A:$A, 0), MATCH((YEAR(D132)+15), Variablen!$I$3:$AT$3, 0))="",L132,INDEX(Variablen!$I:$AT, MATCH(M132, Variablen!$A:$A, 0), MATCH((YEAR(D132)+15), Variablen!$I$3:$AT$3, 0))),L132)))*(IF((YEAR(D132)+15)&lt;YEAR(E132),0,IF((YEAR(D132)+15)&gt;YEAR(E132),1,(12-MONTH(E132)+1)/12))) + (Q132)*(IF((YEAR(D132)+15)&lt;YEAR(E132),0,IF((YEAR(D132)+15)&gt;YEAR(E132),1,(12-MONTH(E132)+1)/12))))-((P132)*(IF((YEAR(D132)+15)&lt;YEAR(E132),0,IF((YEAR(D132)+15)&gt;YEAR(E132),1,(12-MONTH(E132)+1)/12))) + (R132)*(IF((YEAR(D132)+15)&lt;YEAR(E132),0,IF((YEAR(D132)+15)&gt;YEAR(E132),1,(12-MONTH(E132)+1)/12))))-(IF((((K132)*(IF(M132="",L132,IFERROR(IF(INDEX(Variablen!$I:$AT, MATCH(M132, Variablen!$A:$A, 0), MATCH((YEAR(D132)+15), Variablen!$I$3:$AT$3, 0))="",L132,INDEX(Variablen!$I:$AT, MATCH(M132, Variablen!$A:$A, 0), MATCH((YEAR(D132)+15), Variablen!$I$3:$AT$3, 0))),L132)))*(IF((YEAR(D132)+15)&lt;YEAR(E132),0,IF((YEAR(D132)+15)&gt;YEAR(E132),1,(12-MONTH(E132)+1)/12))) + (Q132)*(IF((YEAR(D132)+15)&lt;YEAR(E132),0,IF((YEAR(D132)+15)&gt;YEAR(E132),1,(12-MONTH(E132)+1)/12))))-((P132)*(IF((YEAR(D132)+15)&lt;YEAR(E132),0,IF((YEAR(D132)+15)&gt;YEAR(E132),1,(12-MONTH(E132)+1)/12))) + (R132)*(IF((YEAR(D132)+15)&lt;YEAR(E132),0,IF((YEAR(D132)+15)&gt;YEAR(E132),1,(12-MONTH(E132)+1)/12))))-(IF(OR(N132="",N132&lt;=0),0,(O132/N132)*(IF(OR(N132="",N132&lt;=0),0,IF((YEAR(D132)+15)&lt;YEAR(E132),0,IF((YEAR(D132)+15)&gt;=YEAR(E132)+N132,0,IF((YEAR(D132)+15)=YEAR(E132),(12-MONTH(E132)+1)/12,1))))))))&gt;0,(((K132)*(IF(M132="",L132,IFERROR(IF(INDEX(Variablen!$I:$AT, MATCH(M132, Variablen!$A:$A, 0), MATCH((YEAR(D132)+15), Variablen!$I$3:$AT$3, 0))="",L132,INDEX(Variablen!$I:$AT, MATCH(M132, Variablen!$A:$A, 0), MATCH((YEAR(D132)+15), Variablen!$I$3:$AT$3, 0))),L132)))*(IF((YEAR(D132)+15)&lt;YEAR(E132),0,IF((YEAR(D132)+15)&gt;YEAR(E132),1,(12-MONTH(E132)+1)/12))) + (Q132)*(IF((YEAR(D132)+15)&lt;YEAR(E132),0,IF((YEAR(D132)+15)&gt;YEAR(E132),1,(12-MONTH(E132)+1)/12))))-((P132)*(IF((YEAR(D132)+15)&lt;YEAR(E132),0,IF((YEAR(D132)+15)&gt;YEAR(E132),1,(12-MONTH(E132)+1)/12))) + (R132)*(IF((YEAR(D132)+15)&lt;YEAR(E132),0,IF((YEAR(D132)+15)&gt;YEAR(E132),1,(12-MONTH(E132)+1)/12))))-(IF(OR(N132="",N132&lt;=0),0,(O132/N132)*(IF(OR(N132="",N132&lt;=0),0,IF((YEAR(D132)+15)&lt;YEAR(E132),0,IF((YEAR(D132)+15)&gt;=YEAR(E132)+N132,0,IF((YEAR(D132)+15)=YEAR(E132),(12-MONTH(E132)+1)/12,1))))))))*TaxRate,0))-IF(15=0,O132,0))</f>
        <v/>
      </c>
      <c r="AI132" s="29">
        <f>IF(A132="","",((K132)*(IF(M132="",L132,IFERROR(IF(INDEX(Variablen!$I:$AT, MATCH(M132, Variablen!$A:$A, 0), MATCH((YEAR(D132)+16), Variablen!$I$3:$AT$3, 0))="",L132,INDEX(Variablen!$I:$AT, MATCH(M132, Variablen!$A:$A, 0), MATCH((YEAR(D132)+16), Variablen!$I$3:$AT$3, 0))),L132)))*(IF((YEAR(D132)+16)&lt;YEAR(E132),0,IF((YEAR(D132)+16)&gt;YEAR(E132),1,(12-MONTH(E132)+1)/12))) + (Q132)*(IF((YEAR(D132)+16)&lt;YEAR(E132),0,IF((YEAR(D132)+16)&gt;YEAR(E132),1,(12-MONTH(E132)+1)/12))))-((P132)*(IF((YEAR(D132)+16)&lt;YEAR(E132),0,IF((YEAR(D132)+16)&gt;YEAR(E132),1,(12-MONTH(E132)+1)/12))) + (R132)*(IF((YEAR(D132)+16)&lt;YEAR(E132),0,IF((YEAR(D132)+16)&gt;YEAR(E132),1,(12-MONTH(E132)+1)/12))))-(IF((((K132)*(IF(M132="",L132,IFERROR(IF(INDEX(Variablen!$I:$AT, MATCH(M132, Variablen!$A:$A, 0), MATCH((YEAR(D132)+16), Variablen!$I$3:$AT$3, 0))="",L132,INDEX(Variablen!$I:$AT, MATCH(M132, Variablen!$A:$A, 0), MATCH((YEAR(D132)+16), Variablen!$I$3:$AT$3, 0))),L132)))*(IF((YEAR(D132)+16)&lt;YEAR(E132),0,IF((YEAR(D132)+16)&gt;YEAR(E132),1,(12-MONTH(E132)+1)/12))) + (Q132)*(IF((YEAR(D132)+16)&lt;YEAR(E132),0,IF((YEAR(D132)+16)&gt;YEAR(E132),1,(12-MONTH(E132)+1)/12))))-((P132)*(IF((YEAR(D132)+16)&lt;YEAR(E132),0,IF((YEAR(D132)+16)&gt;YEAR(E132),1,(12-MONTH(E132)+1)/12))) + (R132)*(IF((YEAR(D132)+16)&lt;YEAR(E132),0,IF((YEAR(D132)+16)&gt;YEAR(E132),1,(12-MONTH(E132)+1)/12))))-(IF(OR(N132="",N132&lt;=0),0,(O132/N132)*(IF(OR(N132="",N132&lt;=0),0,IF((YEAR(D132)+16)&lt;YEAR(E132),0,IF((YEAR(D132)+16)&gt;=YEAR(E132)+N132,0,IF((YEAR(D132)+16)=YEAR(E132),(12-MONTH(E132)+1)/12,1))))))))&gt;0,(((K132)*(IF(M132="",L132,IFERROR(IF(INDEX(Variablen!$I:$AT, MATCH(M132, Variablen!$A:$A, 0), MATCH((YEAR(D132)+16), Variablen!$I$3:$AT$3, 0))="",L132,INDEX(Variablen!$I:$AT, MATCH(M132, Variablen!$A:$A, 0), MATCH((YEAR(D132)+16), Variablen!$I$3:$AT$3, 0))),L132)))*(IF((YEAR(D132)+16)&lt;YEAR(E132),0,IF((YEAR(D132)+16)&gt;YEAR(E132),1,(12-MONTH(E132)+1)/12))) + (Q132)*(IF((YEAR(D132)+16)&lt;YEAR(E132),0,IF((YEAR(D132)+16)&gt;YEAR(E132),1,(12-MONTH(E132)+1)/12))))-((P132)*(IF((YEAR(D132)+16)&lt;YEAR(E132),0,IF((YEAR(D132)+16)&gt;YEAR(E132),1,(12-MONTH(E132)+1)/12))) + (R132)*(IF((YEAR(D132)+16)&lt;YEAR(E132),0,IF((YEAR(D132)+16)&gt;YEAR(E132),1,(12-MONTH(E132)+1)/12))))-(IF(OR(N132="",N132&lt;=0),0,(O132/N132)*(IF(OR(N132="",N132&lt;=0),0,IF((YEAR(D132)+16)&lt;YEAR(E132),0,IF((YEAR(D132)+16)&gt;=YEAR(E132)+N132,0,IF((YEAR(D132)+16)=YEAR(E132),(12-MONTH(E132)+1)/12,1))))))))*TaxRate,0))-IF(16=0,O132,0))</f>
        <v/>
      </c>
      <c r="AJ132" s="29">
        <f>IF(A132="","",((K132)*(IF(M132="",L132,IFERROR(IF(INDEX(Variablen!$I:$AT, MATCH(M132, Variablen!$A:$A, 0), MATCH((YEAR(D132)+17), Variablen!$I$3:$AT$3, 0))="",L132,INDEX(Variablen!$I:$AT, MATCH(M132, Variablen!$A:$A, 0), MATCH((YEAR(D132)+17), Variablen!$I$3:$AT$3, 0))),L132)))*(IF((YEAR(D132)+17)&lt;YEAR(E132),0,IF((YEAR(D132)+17)&gt;YEAR(E132),1,(12-MONTH(E132)+1)/12))) + (Q132)*(IF((YEAR(D132)+17)&lt;YEAR(E132),0,IF((YEAR(D132)+17)&gt;YEAR(E132),1,(12-MONTH(E132)+1)/12))))-((P132)*(IF((YEAR(D132)+17)&lt;YEAR(E132),0,IF((YEAR(D132)+17)&gt;YEAR(E132),1,(12-MONTH(E132)+1)/12))) + (R132)*(IF((YEAR(D132)+17)&lt;YEAR(E132),0,IF((YEAR(D132)+17)&gt;YEAR(E132),1,(12-MONTH(E132)+1)/12))))-(IF((((K132)*(IF(M132="",L132,IFERROR(IF(INDEX(Variablen!$I:$AT, MATCH(M132, Variablen!$A:$A, 0), MATCH((YEAR(D132)+17), Variablen!$I$3:$AT$3, 0))="",L132,INDEX(Variablen!$I:$AT, MATCH(M132, Variablen!$A:$A, 0), MATCH((YEAR(D132)+17), Variablen!$I$3:$AT$3, 0))),L132)))*(IF((YEAR(D132)+17)&lt;YEAR(E132),0,IF((YEAR(D132)+17)&gt;YEAR(E132),1,(12-MONTH(E132)+1)/12))) + (Q132)*(IF((YEAR(D132)+17)&lt;YEAR(E132),0,IF((YEAR(D132)+17)&gt;YEAR(E132),1,(12-MONTH(E132)+1)/12))))-((P132)*(IF((YEAR(D132)+17)&lt;YEAR(E132),0,IF((YEAR(D132)+17)&gt;YEAR(E132),1,(12-MONTH(E132)+1)/12))) + (R132)*(IF((YEAR(D132)+17)&lt;YEAR(E132),0,IF((YEAR(D132)+17)&gt;YEAR(E132),1,(12-MONTH(E132)+1)/12))))-(IF(OR(N132="",N132&lt;=0),0,(O132/N132)*(IF(OR(N132="",N132&lt;=0),0,IF((YEAR(D132)+17)&lt;YEAR(E132),0,IF((YEAR(D132)+17)&gt;=YEAR(E132)+N132,0,IF((YEAR(D132)+17)=YEAR(E132),(12-MONTH(E132)+1)/12,1))))))))&gt;0,(((K132)*(IF(M132="",L132,IFERROR(IF(INDEX(Variablen!$I:$AT, MATCH(M132, Variablen!$A:$A, 0), MATCH((YEAR(D132)+17), Variablen!$I$3:$AT$3, 0))="",L132,INDEX(Variablen!$I:$AT, MATCH(M132, Variablen!$A:$A, 0), MATCH((YEAR(D132)+17), Variablen!$I$3:$AT$3, 0))),L132)))*(IF((YEAR(D132)+17)&lt;YEAR(E132),0,IF((YEAR(D132)+17)&gt;YEAR(E132),1,(12-MONTH(E132)+1)/12))) + (Q132)*(IF((YEAR(D132)+17)&lt;YEAR(E132),0,IF((YEAR(D132)+17)&gt;YEAR(E132),1,(12-MONTH(E132)+1)/12))))-((P132)*(IF((YEAR(D132)+17)&lt;YEAR(E132),0,IF((YEAR(D132)+17)&gt;YEAR(E132),1,(12-MONTH(E132)+1)/12))) + (R132)*(IF((YEAR(D132)+17)&lt;YEAR(E132),0,IF((YEAR(D132)+17)&gt;YEAR(E132),1,(12-MONTH(E132)+1)/12))))-(IF(OR(N132="",N132&lt;=0),0,(O132/N132)*(IF(OR(N132="",N132&lt;=0),0,IF((YEAR(D132)+17)&lt;YEAR(E132),0,IF((YEAR(D132)+17)&gt;=YEAR(E132)+N132,0,IF((YEAR(D132)+17)=YEAR(E132),(12-MONTH(E132)+1)/12,1))))))))*TaxRate,0))-IF(17=0,O132,0))</f>
        <v/>
      </c>
      <c r="AK132" s="29">
        <f>IF(A132="","",((K132)*(IF(M132="",L132,IFERROR(IF(INDEX(Variablen!$I:$AT, MATCH(M132, Variablen!$A:$A, 0), MATCH((YEAR(D132)+18), Variablen!$I$3:$AT$3, 0))="",L132,INDEX(Variablen!$I:$AT, MATCH(M132, Variablen!$A:$A, 0), MATCH((YEAR(D132)+18), Variablen!$I$3:$AT$3, 0))),L132)))*(IF((YEAR(D132)+18)&lt;YEAR(E132),0,IF((YEAR(D132)+18)&gt;YEAR(E132),1,(12-MONTH(E132)+1)/12))) + (Q132)*(IF((YEAR(D132)+18)&lt;YEAR(E132),0,IF((YEAR(D132)+18)&gt;YEAR(E132),1,(12-MONTH(E132)+1)/12))))-((P132)*(IF((YEAR(D132)+18)&lt;YEAR(E132),0,IF((YEAR(D132)+18)&gt;YEAR(E132),1,(12-MONTH(E132)+1)/12))) + (R132)*(IF((YEAR(D132)+18)&lt;YEAR(E132),0,IF((YEAR(D132)+18)&gt;YEAR(E132),1,(12-MONTH(E132)+1)/12))))-(IF((((K132)*(IF(M132="",L132,IFERROR(IF(INDEX(Variablen!$I:$AT, MATCH(M132, Variablen!$A:$A, 0), MATCH((YEAR(D132)+18), Variablen!$I$3:$AT$3, 0))="",L132,INDEX(Variablen!$I:$AT, MATCH(M132, Variablen!$A:$A, 0), MATCH((YEAR(D132)+18), Variablen!$I$3:$AT$3, 0))),L132)))*(IF((YEAR(D132)+18)&lt;YEAR(E132),0,IF((YEAR(D132)+18)&gt;YEAR(E132),1,(12-MONTH(E132)+1)/12))) + (Q132)*(IF((YEAR(D132)+18)&lt;YEAR(E132),0,IF((YEAR(D132)+18)&gt;YEAR(E132),1,(12-MONTH(E132)+1)/12))))-((P132)*(IF((YEAR(D132)+18)&lt;YEAR(E132),0,IF((YEAR(D132)+18)&gt;YEAR(E132),1,(12-MONTH(E132)+1)/12))) + (R132)*(IF((YEAR(D132)+18)&lt;YEAR(E132),0,IF((YEAR(D132)+18)&gt;YEAR(E132),1,(12-MONTH(E132)+1)/12))))-(IF(OR(N132="",N132&lt;=0),0,(O132/N132)*(IF(OR(N132="",N132&lt;=0),0,IF((YEAR(D132)+18)&lt;YEAR(E132),0,IF((YEAR(D132)+18)&gt;=YEAR(E132)+N132,0,IF((YEAR(D132)+18)=YEAR(E132),(12-MONTH(E132)+1)/12,1))))))))&gt;0,(((K132)*(IF(M132="",L132,IFERROR(IF(INDEX(Variablen!$I:$AT, MATCH(M132, Variablen!$A:$A, 0), MATCH((YEAR(D132)+18), Variablen!$I$3:$AT$3, 0))="",L132,INDEX(Variablen!$I:$AT, MATCH(M132, Variablen!$A:$A, 0), MATCH((YEAR(D132)+18), Variablen!$I$3:$AT$3, 0))),L132)))*(IF((YEAR(D132)+18)&lt;YEAR(E132),0,IF((YEAR(D132)+18)&gt;YEAR(E132),1,(12-MONTH(E132)+1)/12))) + (Q132)*(IF((YEAR(D132)+18)&lt;YEAR(E132),0,IF((YEAR(D132)+18)&gt;YEAR(E132),1,(12-MONTH(E132)+1)/12))))-((P132)*(IF((YEAR(D132)+18)&lt;YEAR(E132),0,IF((YEAR(D132)+18)&gt;YEAR(E132),1,(12-MONTH(E132)+1)/12))) + (R132)*(IF((YEAR(D132)+18)&lt;YEAR(E132),0,IF((YEAR(D132)+18)&gt;YEAR(E132),1,(12-MONTH(E132)+1)/12))))-(IF(OR(N132="",N132&lt;=0),0,(O132/N132)*(IF(OR(N132="",N132&lt;=0),0,IF((YEAR(D132)+18)&lt;YEAR(E132),0,IF((YEAR(D132)+18)&gt;=YEAR(E132)+N132,0,IF((YEAR(D132)+18)=YEAR(E132),(12-MONTH(E132)+1)/12,1))))))))*TaxRate,0))-IF(18=0,O132,0))</f>
        <v/>
      </c>
      <c r="AL132" s="29">
        <f>IF(A132="","",((K132)*(IF(M132="",L132,IFERROR(IF(INDEX(Variablen!$I:$AT, MATCH(M132, Variablen!$A:$A, 0), MATCH((YEAR(D132)+19), Variablen!$I$3:$AT$3, 0))="",L132,INDEX(Variablen!$I:$AT, MATCH(M132, Variablen!$A:$A, 0), MATCH((YEAR(D132)+19), Variablen!$I$3:$AT$3, 0))),L132)))*(IF((YEAR(D132)+19)&lt;YEAR(E132),0,IF((YEAR(D132)+19)&gt;YEAR(E132),1,(12-MONTH(E132)+1)/12))) + (Q132)*(IF((YEAR(D132)+19)&lt;YEAR(E132),0,IF((YEAR(D132)+19)&gt;YEAR(E132),1,(12-MONTH(E132)+1)/12))))-((P132)*(IF((YEAR(D132)+19)&lt;YEAR(E132),0,IF((YEAR(D132)+19)&gt;YEAR(E132),1,(12-MONTH(E132)+1)/12))) + (R132)*(IF((YEAR(D132)+19)&lt;YEAR(E132),0,IF((YEAR(D132)+19)&gt;YEAR(E132),1,(12-MONTH(E132)+1)/12))))-(IF((((K132)*(IF(M132="",L132,IFERROR(IF(INDEX(Variablen!$I:$AT, MATCH(M132, Variablen!$A:$A, 0), MATCH((YEAR(D132)+19), Variablen!$I$3:$AT$3, 0))="",L132,INDEX(Variablen!$I:$AT, MATCH(M132, Variablen!$A:$A, 0), MATCH((YEAR(D132)+19), Variablen!$I$3:$AT$3, 0))),L132)))*(IF((YEAR(D132)+19)&lt;YEAR(E132),0,IF((YEAR(D132)+19)&gt;YEAR(E132),1,(12-MONTH(E132)+1)/12))) + (Q132)*(IF((YEAR(D132)+19)&lt;YEAR(E132),0,IF((YEAR(D132)+19)&gt;YEAR(E132),1,(12-MONTH(E132)+1)/12))))-((P132)*(IF((YEAR(D132)+19)&lt;YEAR(E132),0,IF((YEAR(D132)+19)&gt;YEAR(E132),1,(12-MONTH(E132)+1)/12))) + (R132)*(IF((YEAR(D132)+19)&lt;YEAR(E132),0,IF((YEAR(D132)+19)&gt;YEAR(E132),1,(12-MONTH(E132)+1)/12))))-(IF(OR(N132="",N132&lt;=0),0,(O132/N132)*(IF(OR(N132="",N132&lt;=0),0,IF((YEAR(D132)+19)&lt;YEAR(E132),0,IF((YEAR(D132)+19)&gt;=YEAR(E132)+N132,0,IF((YEAR(D132)+19)=YEAR(E132),(12-MONTH(E132)+1)/12,1))))))))&gt;0,(((K132)*(IF(M132="",L132,IFERROR(IF(INDEX(Variablen!$I:$AT, MATCH(M132, Variablen!$A:$A, 0), MATCH((YEAR(D132)+19), Variablen!$I$3:$AT$3, 0))="",L132,INDEX(Variablen!$I:$AT, MATCH(M132, Variablen!$A:$A, 0), MATCH((YEAR(D132)+19), Variablen!$I$3:$AT$3, 0))),L132)))*(IF((YEAR(D132)+19)&lt;YEAR(E132),0,IF((YEAR(D132)+19)&gt;YEAR(E132),1,(12-MONTH(E132)+1)/12))) + (Q132)*(IF((YEAR(D132)+19)&lt;YEAR(E132),0,IF((YEAR(D132)+19)&gt;YEAR(E132),1,(12-MONTH(E132)+1)/12))))-((P132)*(IF((YEAR(D132)+19)&lt;YEAR(E132),0,IF((YEAR(D132)+19)&gt;YEAR(E132),1,(12-MONTH(E132)+1)/12))) + (R132)*(IF((YEAR(D132)+19)&lt;YEAR(E132),0,IF((YEAR(D132)+19)&gt;YEAR(E132),1,(12-MONTH(E132)+1)/12))))-(IF(OR(N132="",N132&lt;=0),0,(O132/N132)*(IF(OR(N132="",N132&lt;=0),0,IF((YEAR(D132)+19)&lt;YEAR(E132),0,IF((YEAR(D132)+19)&gt;=YEAR(E132)+N132,0,IF((YEAR(D132)+19)=YEAR(E132),(12-MONTH(E132)+1)/12,1))))))))*TaxRate,0))-IF(19=0,O132,0))</f>
        <v/>
      </c>
      <c r="AM132" s="29">
        <f>IF(A132="","",((K132)*(IF(M132="",L132,IFERROR(IF(INDEX(Variablen!$I:$AT, MATCH(M132, Variablen!$A:$A, 0), MATCH((YEAR(D132)+20), Variablen!$I$3:$AT$3, 0))="",L132,INDEX(Variablen!$I:$AT, MATCH(M132, Variablen!$A:$A, 0), MATCH((YEAR(D132)+20), Variablen!$I$3:$AT$3, 0))),L132)))*(IF((YEAR(D132)+20)&lt;YEAR(E132),0,IF((YEAR(D132)+20)&gt;YEAR(E132),1,(12-MONTH(E132)+1)/12))) + (Q132)*(IF((YEAR(D132)+20)&lt;YEAR(E132),0,IF((YEAR(D132)+20)&gt;YEAR(E132),1,(12-MONTH(E132)+1)/12))))-((P132)*(IF((YEAR(D132)+20)&lt;YEAR(E132),0,IF((YEAR(D132)+20)&gt;YEAR(E132),1,(12-MONTH(E132)+1)/12))) + (R132)*(IF((YEAR(D132)+20)&lt;YEAR(E132),0,IF((YEAR(D132)+20)&gt;YEAR(E132),1,(12-MONTH(E132)+1)/12))))-(IF((((K132)*(IF(M132="",L132,IFERROR(IF(INDEX(Variablen!$I:$AT, MATCH(M132, Variablen!$A:$A, 0), MATCH((YEAR(D132)+20), Variablen!$I$3:$AT$3, 0))="",L132,INDEX(Variablen!$I:$AT, MATCH(M132, Variablen!$A:$A, 0), MATCH((YEAR(D132)+20), Variablen!$I$3:$AT$3, 0))),L132)))*(IF((YEAR(D132)+20)&lt;YEAR(E132),0,IF((YEAR(D132)+20)&gt;YEAR(E132),1,(12-MONTH(E132)+1)/12))) + (Q132)*(IF((YEAR(D132)+20)&lt;YEAR(E132),0,IF((YEAR(D132)+20)&gt;YEAR(E132),1,(12-MONTH(E132)+1)/12))))-((P132)*(IF((YEAR(D132)+20)&lt;YEAR(E132),0,IF((YEAR(D132)+20)&gt;YEAR(E132),1,(12-MONTH(E132)+1)/12))) + (R132)*(IF((YEAR(D132)+20)&lt;YEAR(E132),0,IF((YEAR(D132)+20)&gt;YEAR(E132),1,(12-MONTH(E132)+1)/12))))-(IF(OR(N132="",N132&lt;=0),0,(O132/N132)*(IF(OR(N132="",N132&lt;=0),0,IF((YEAR(D132)+20)&lt;YEAR(E132),0,IF((YEAR(D132)+20)&gt;=YEAR(E132)+N132,0,IF((YEAR(D132)+20)=YEAR(E132),(12-MONTH(E132)+1)/12,1))))))))&gt;0,(((K132)*(IF(M132="",L132,IFERROR(IF(INDEX(Variablen!$I:$AT, MATCH(M132, Variablen!$A:$A, 0), MATCH((YEAR(D132)+20), Variablen!$I$3:$AT$3, 0))="",L132,INDEX(Variablen!$I:$AT, MATCH(M132, Variablen!$A:$A, 0), MATCH((YEAR(D132)+20), Variablen!$I$3:$AT$3, 0))),L132)))*(IF((YEAR(D132)+20)&lt;YEAR(E132),0,IF((YEAR(D132)+20)&gt;YEAR(E132),1,(12-MONTH(E132)+1)/12))) + (Q132)*(IF((YEAR(D132)+20)&lt;YEAR(E132),0,IF((YEAR(D132)+20)&gt;YEAR(E132),1,(12-MONTH(E132)+1)/12))))-((P132)*(IF((YEAR(D132)+20)&lt;YEAR(E132),0,IF((YEAR(D132)+20)&gt;YEAR(E132),1,(12-MONTH(E132)+1)/12))) + (R132)*(IF((YEAR(D132)+20)&lt;YEAR(E132),0,IF((YEAR(D132)+20)&gt;YEAR(E132),1,(12-MONTH(E132)+1)/12))))-(IF(OR(N132="",N132&lt;=0),0,(O132/N132)*(IF(OR(N132="",N132&lt;=0),0,IF((YEAR(D132)+20)&lt;YEAR(E132),0,IF((YEAR(D132)+20)&gt;=YEAR(E132)+N132,0,IF((YEAR(D132)+20)=YEAR(E132),(12-MONTH(E132)+1)/12,1))))))))*TaxRate,0))-IF(20=0,O132,0))</f>
        <v/>
      </c>
      <c r="AN132" s="29">
        <f>IF(A132="","",S132)</f>
        <v/>
      </c>
      <c r="AO132" s="29">
        <f>IF(A132="","",AN132+T132)</f>
        <v/>
      </c>
      <c r="AP132" s="29">
        <f>IF(A132="","",AO132+U132)</f>
        <v/>
      </c>
      <c r="AQ132" s="29">
        <f>IF(A132="","",AP132+V132)</f>
        <v/>
      </c>
      <c r="AR132" s="29">
        <f>IF(A132="","",AQ132+W132)</f>
        <v/>
      </c>
      <c r="AS132" s="29">
        <f>IF(A132="","",AR132+X132)</f>
        <v/>
      </c>
      <c r="AT132" s="29">
        <f>IF(A132="","",AS132+Y132)</f>
        <v/>
      </c>
      <c r="AU132" s="29">
        <f>IF(A132="","",AT132+Z132)</f>
        <v/>
      </c>
      <c r="AV132" s="29">
        <f>IF(A132="","",AU132+AA132)</f>
        <v/>
      </c>
      <c r="AW132" s="29">
        <f>IF(A132="","",AV132+AB132)</f>
        <v/>
      </c>
      <c r="AX132" s="29">
        <f>IF(A132="","",AW132+AC132)</f>
        <v/>
      </c>
      <c r="AY132" s="29">
        <f>IF(A132="","",AX132+AD132)</f>
        <v/>
      </c>
      <c r="AZ132" s="29">
        <f>IF(A132="","",AY132+AE132)</f>
        <v/>
      </c>
      <c r="BA132" s="29">
        <f>IF(A132="","",AZ132+AF132)</f>
        <v/>
      </c>
      <c r="BB132" s="29">
        <f>IF(A132="","",BA132+AG132)</f>
        <v/>
      </c>
      <c r="BC132" s="29">
        <f>IF(A132="","",BB132+AH132)</f>
        <v/>
      </c>
      <c r="BD132" s="29">
        <f>IF(A132="","",BC132+AI132)</f>
        <v/>
      </c>
      <c r="BE132" s="29">
        <f>IF(A132="","",BD132+AJ132)</f>
        <v/>
      </c>
      <c r="BF132" s="29">
        <f>IF(A132="","",BE132+AK132)</f>
        <v/>
      </c>
      <c r="BG132" s="29">
        <f>IF(A132="","",BF132+AL132)</f>
        <v/>
      </c>
      <c r="BH132" s="29">
        <f>IF(A132="","",BG132+AM132)</f>
        <v/>
      </c>
      <c r="BI132" s="36">
        <f>IF(A132="","",(K132)*(IF((YEAR(D132)+0)&lt;YEAR(E132),0,IF((YEAR(D132)+0)&gt;YEAR(E132),1,(12-MONTH(E132)+1)/12)))*(1/(1+DiscountRate)^0))</f>
        <v/>
      </c>
      <c r="BJ132" s="36">
        <f>IF(A132="","",(K132)*(IF((YEAR(D132)+1)&lt;YEAR(E132),0,IF((YEAR(D132)+1)&gt;YEAR(E132),1,(12-MONTH(E132)+1)/12)))*(1/(1+DiscountRate)^1))</f>
        <v/>
      </c>
      <c r="BK132" s="36">
        <f>IF(A132="","",(K132)*(IF((YEAR(D132)+2)&lt;YEAR(E132),0,IF((YEAR(D132)+2)&gt;YEAR(E132),1,(12-MONTH(E132)+1)/12)))*(1/(1+DiscountRate)^2))</f>
        <v/>
      </c>
      <c r="BL132" s="36">
        <f>IF(A132="","",(K132)*(IF((YEAR(D132)+3)&lt;YEAR(E132),0,IF((YEAR(D132)+3)&gt;YEAR(E132),1,(12-MONTH(E132)+1)/12)))*(1/(1+DiscountRate)^3))</f>
        <v/>
      </c>
      <c r="BM132" s="36">
        <f>IF(A132="","",(K132)*(IF((YEAR(D132)+4)&lt;YEAR(E132),0,IF((YEAR(D132)+4)&gt;YEAR(E132),1,(12-MONTH(E132)+1)/12)))*(1/(1+DiscountRate)^4))</f>
        <v/>
      </c>
      <c r="BN132" s="36">
        <f>IF(A132="","",(K132)*(IF((YEAR(D132)+5)&lt;YEAR(E132),0,IF((YEAR(D132)+5)&gt;YEAR(E132),1,(12-MONTH(E132)+1)/12)))*(1/(1+DiscountRate)^5))</f>
        <v/>
      </c>
      <c r="BO132" s="36">
        <f>IF(A132="","",(K132)*(IF((YEAR(D132)+6)&lt;YEAR(E132),0,IF((YEAR(D132)+6)&gt;YEAR(E132),1,(12-MONTH(E132)+1)/12)))*(1/(1+DiscountRate)^6))</f>
        <v/>
      </c>
      <c r="BP132" s="36">
        <f>IF(A132="","",(K132)*(IF((YEAR(D132)+7)&lt;YEAR(E132),0,IF((YEAR(D132)+7)&gt;YEAR(E132),1,(12-MONTH(E132)+1)/12)))*(1/(1+DiscountRate)^7))</f>
        <v/>
      </c>
      <c r="BQ132" s="36">
        <f>IF(A132="","",(K132)*(IF((YEAR(D132)+8)&lt;YEAR(E132),0,IF((YEAR(D132)+8)&gt;YEAR(E132),1,(12-MONTH(E132)+1)/12)))*(1/(1+DiscountRate)^8))</f>
        <v/>
      </c>
      <c r="BR132" s="36">
        <f>IF(A132="","",(K132)*(IF((YEAR(D132)+9)&lt;YEAR(E132),0,IF((YEAR(D132)+9)&gt;YEAR(E132),1,(12-MONTH(E132)+1)/12)))*(1/(1+DiscountRate)^9))</f>
        <v/>
      </c>
      <c r="BS132" s="36">
        <f>IF(A132="","",(K132)*(IF((YEAR(D132)+10)&lt;YEAR(E132),0,IF((YEAR(D132)+10)&gt;YEAR(E132),1,(12-MONTH(E132)+1)/12)))*(1/(1+DiscountRate)^10))</f>
        <v/>
      </c>
      <c r="BT132" s="36">
        <f>IF(A132="","",(K132)*(IF((YEAR(D132)+11)&lt;YEAR(E132),0,IF((YEAR(D132)+11)&gt;YEAR(E132),1,(12-MONTH(E132)+1)/12)))*(1/(1+DiscountRate)^11))</f>
        <v/>
      </c>
      <c r="BU132" s="36">
        <f>IF(A132="","",(K132)*(IF((YEAR(D132)+12)&lt;YEAR(E132),0,IF((YEAR(D132)+12)&gt;YEAR(E132),1,(12-MONTH(E132)+1)/12)))*(1/(1+DiscountRate)^12))</f>
        <v/>
      </c>
      <c r="BV132" s="36">
        <f>IF(A132="","",(K132)*(IF((YEAR(D132)+13)&lt;YEAR(E132),0,IF((YEAR(D132)+13)&gt;YEAR(E132),1,(12-MONTH(E132)+1)/12)))*(1/(1+DiscountRate)^13))</f>
        <v/>
      </c>
      <c r="BW132" s="36">
        <f>IF(A132="","",(K132)*(IF((YEAR(D132)+14)&lt;YEAR(E132),0,IF((YEAR(D132)+14)&gt;YEAR(E132),1,(12-MONTH(E132)+1)/12)))*(1/(1+DiscountRate)^14))</f>
        <v/>
      </c>
      <c r="BX132" s="36">
        <f>IF(A132="","",(K132)*(IF((YEAR(D132)+15)&lt;YEAR(E132),0,IF((YEAR(D132)+15)&gt;YEAR(E132),1,(12-MONTH(E132)+1)/12)))*(1/(1+DiscountRate)^15))</f>
        <v/>
      </c>
      <c r="BY132" s="36">
        <f>IF(A132="","",(K132)*(IF((YEAR(D132)+16)&lt;YEAR(E132),0,IF((YEAR(D132)+16)&gt;YEAR(E132),1,(12-MONTH(E132)+1)/12)))*(1/(1+DiscountRate)^16))</f>
        <v/>
      </c>
      <c r="BZ132" s="36">
        <f>IF(A132="","",(K132)*(IF((YEAR(D132)+17)&lt;YEAR(E132),0,IF((YEAR(D132)+17)&gt;YEAR(E132),1,(12-MONTH(E132)+1)/12)))*(1/(1+DiscountRate)^17))</f>
        <v/>
      </c>
      <c r="CA132" s="36">
        <f>IF(A132="","",(K132)*(IF((YEAR(D132)+18)&lt;YEAR(E132),0,IF((YEAR(D132)+18)&gt;YEAR(E132),1,(12-MONTH(E132)+1)/12)))*(1/(1+DiscountRate)^18))</f>
        <v/>
      </c>
      <c r="CB132" s="36">
        <f>IF(A132="","",(K132)*(IF((YEAR(D132)+19)&lt;YEAR(E132),0,IF((YEAR(D132)+19)&gt;YEAR(E132),1,(12-MONTH(E132)+1)/12)))*(1/(1+DiscountRate)^19))</f>
        <v/>
      </c>
      <c r="CC132" s="36">
        <f>IF(A132="","",(K132)*(IF((YEAR(D132)+20)&lt;YEAR(E132),0,IF((YEAR(D132)+20)&gt;YEAR(E132),1,(12-MONTH(E132)+1)/12)))*(1/(1+DiscountRate)^20))</f>
        <v/>
      </c>
      <c r="CD132" s="29">
        <f>IF(A132="","",S132/(1+DiscountRate)^0+T132/(1+DiscountRate)^1+U132/(1+DiscountRate)^2+V132/(1+DiscountRate)^3+W132/(1+DiscountRate)^4+X132/(1+DiscountRate)^5+Y132/(1+DiscountRate)^6+Z132/(1+DiscountRate)^7+AA132/(1+DiscountRate)^8+AB132/(1+DiscountRate)^9+AC132/(1+DiscountRate)^10+AD132/(1+DiscountRate)^11+AE132/(1+DiscountRate)^12+AF132/(1+DiscountRate)^13+AG132/(1+DiscountRate)^14+AH132/(1+DiscountRate)^15+AI132/(1+DiscountRate)^16+AJ132/(1+DiscountRate)^17+AK132/(1+DiscountRate)^18+AL132/(1+DiscountRate)^19+AM132/(1+DiscountRate)^20)</f>
        <v/>
      </c>
      <c r="CE132" s="37">
        <f>IF(A132="","",IFERROR(IRR(OFFSET(S132,0,0,1,MIN(HorizonYears,20)+1)),"n/a"))</f>
        <v/>
      </c>
      <c r="CF132" s="28">
        <f>IF(A132="","",IFERROR(MATCH(TRUE,OFFSET(AN132,0,0,1,MIN(HorizonYears,20)+1)&gt;=0,0)-1,"n/a"))</f>
        <v/>
      </c>
      <c r="CG132" s="36">
        <f>IF(A132="","",SUM(OFFSET(BI132,0,0,1,MIN(HorizonYears,20)+1)))</f>
        <v/>
      </c>
      <c r="CH132" s="36">
        <f>IF(A132="","",IFERROR(-CD132/CG132,"n/a"))</f>
        <v/>
      </c>
    </row>
    <row r="133">
      <c r="A133" s="6">
        <f>Actions!A131</f>
        <v/>
      </c>
      <c r="B133" s="6">
        <f>Actions!B131</f>
        <v/>
      </c>
      <c r="C133" s="6">
        <f>Actions!D131</f>
        <v/>
      </c>
      <c r="D133" s="35">
        <f>Actions!E131</f>
        <v/>
      </c>
      <c r="E133" s="35">
        <f>Actions!F131</f>
        <v/>
      </c>
      <c r="F133" s="6">
        <f>Actions!G131</f>
        <v/>
      </c>
      <c r="G133" s="6">
        <f>Actions!H131</f>
        <v/>
      </c>
      <c r="H133" s="29">
        <f>Actions!I131</f>
        <v/>
      </c>
      <c r="I133" s="6">
        <f>Actions!J131</f>
        <v/>
      </c>
      <c r="J133" s="16">
        <f>Actions!K131</f>
        <v/>
      </c>
      <c r="K133" s="16">
        <f>IF(A133="","",IF(I133="%",H133*J133,J133))</f>
        <v/>
      </c>
      <c r="L133" s="16">
        <f>Actions!L131</f>
        <v/>
      </c>
      <c r="M133" s="6">
        <f>Actions!M131</f>
        <v/>
      </c>
      <c r="N133" s="28">
        <f>Actions!N131</f>
        <v/>
      </c>
      <c r="O133" s="29">
        <f>Actions!T131</f>
        <v/>
      </c>
      <c r="P133" s="29">
        <f>Actions!Y131</f>
        <v/>
      </c>
      <c r="Q133" s="29">
        <f>Actions!Z131</f>
        <v/>
      </c>
      <c r="R133" s="29">
        <f>Actions!AA131</f>
        <v/>
      </c>
      <c r="S133" s="29">
        <f>IF(A133="","",((K133)*(IF(M133="",L133,IFERROR(IF(INDEX(Variablen!$I:$AT, MATCH(M133, Variablen!$A:$A, 0), MATCH((YEAR(D133)+0), Variablen!$I$3:$AT$3, 0))="",L133,INDEX(Variablen!$I:$AT, MATCH(M133, Variablen!$A:$A, 0), MATCH((YEAR(D133)+0), Variablen!$I$3:$AT$3, 0))),L133)))*(IF((YEAR(D133)+0)&lt;YEAR(E133),0,IF((YEAR(D133)+0)&gt;YEAR(E133),1,(12-MONTH(E133)+1)/12))) + (Q133)*(IF((YEAR(D133)+0)&lt;YEAR(E133),0,IF((YEAR(D133)+0)&gt;YEAR(E133),1,(12-MONTH(E133)+1)/12))))-((P133)*(IF((YEAR(D133)+0)&lt;YEAR(E133),0,IF((YEAR(D133)+0)&gt;YEAR(E133),1,(12-MONTH(E133)+1)/12))) + (R133)*(IF((YEAR(D133)+0)&lt;YEAR(E133),0,IF((YEAR(D133)+0)&gt;YEAR(E133),1,(12-MONTH(E133)+1)/12))))-(IF((((K133)*(IF(M133="",L133,IFERROR(IF(INDEX(Variablen!$I:$AT, MATCH(M133, Variablen!$A:$A, 0), MATCH((YEAR(D133)+0), Variablen!$I$3:$AT$3, 0))="",L133,INDEX(Variablen!$I:$AT, MATCH(M133, Variablen!$A:$A, 0), MATCH((YEAR(D133)+0), Variablen!$I$3:$AT$3, 0))),L133)))*(IF((YEAR(D133)+0)&lt;YEAR(E133),0,IF((YEAR(D133)+0)&gt;YEAR(E133),1,(12-MONTH(E133)+1)/12))) + (Q133)*(IF((YEAR(D133)+0)&lt;YEAR(E133),0,IF((YEAR(D133)+0)&gt;YEAR(E133),1,(12-MONTH(E133)+1)/12))))-((P133)*(IF((YEAR(D133)+0)&lt;YEAR(E133),0,IF((YEAR(D133)+0)&gt;YEAR(E133),1,(12-MONTH(E133)+1)/12))) + (R133)*(IF((YEAR(D133)+0)&lt;YEAR(E133),0,IF((YEAR(D133)+0)&gt;YEAR(E133),1,(12-MONTH(E133)+1)/12))))-(IF(OR(N133="",N133&lt;=0),0,(O133/N133)*(IF(OR(N133="",N133&lt;=0),0,IF((YEAR(D133)+0)&lt;YEAR(E133),0,IF((YEAR(D133)+0)&gt;=YEAR(E133)+N133,0,IF((YEAR(D133)+0)=YEAR(E133),(12-MONTH(E133)+1)/12,1))))))))&gt;0,(((K133)*(IF(M133="",L133,IFERROR(IF(INDEX(Variablen!$I:$AT, MATCH(M133, Variablen!$A:$A, 0), MATCH((YEAR(D133)+0), Variablen!$I$3:$AT$3, 0))="",L133,INDEX(Variablen!$I:$AT, MATCH(M133, Variablen!$A:$A, 0), MATCH((YEAR(D133)+0), Variablen!$I$3:$AT$3, 0))),L133)))*(IF((YEAR(D133)+0)&lt;YEAR(E133),0,IF((YEAR(D133)+0)&gt;YEAR(E133),1,(12-MONTH(E133)+1)/12))) + (Q133)*(IF((YEAR(D133)+0)&lt;YEAR(E133),0,IF((YEAR(D133)+0)&gt;YEAR(E133),1,(12-MONTH(E133)+1)/12))))-((P133)*(IF((YEAR(D133)+0)&lt;YEAR(E133),0,IF((YEAR(D133)+0)&gt;YEAR(E133),1,(12-MONTH(E133)+1)/12))) + (R133)*(IF((YEAR(D133)+0)&lt;YEAR(E133),0,IF((YEAR(D133)+0)&gt;YEAR(E133),1,(12-MONTH(E133)+1)/12))))-(IF(OR(N133="",N133&lt;=0),0,(O133/N133)*(IF(OR(N133="",N133&lt;=0),0,IF((YEAR(D133)+0)&lt;YEAR(E133),0,IF((YEAR(D133)+0)&gt;=YEAR(E133)+N133,0,IF((YEAR(D133)+0)=YEAR(E133),(12-MONTH(E133)+1)/12,1))))))))*TaxRate,0))-IF(0=0,O133,0))</f>
        <v/>
      </c>
      <c r="T133" s="29">
        <f>IF(A133="","",((K133)*(IF(M133="",L133,IFERROR(IF(INDEX(Variablen!$I:$AT, MATCH(M133, Variablen!$A:$A, 0), MATCH((YEAR(D133)+1), Variablen!$I$3:$AT$3, 0))="",L133,INDEX(Variablen!$I:$AT, MATCH(M133, Variablen!$A:$A, 0), MATCH((YEAR(D133)+1), Variablen!$I$3:$AT$3, 0))),L133)))*(IF((YEAR(D133)+1)&lt;YEAR(E133),0,IF((YEAR(D133)+1)&gt;YEAR(E133),1,(12-MONTH(E133)+1)/12))) + (Q133)*(IF((YEAR(D133)+1)&lt;YEAR(E133),0,IF((YEAR(D133)+1)&gt;YEAR(E133),1,(12-MONTH(E133)+1)/12))))-((P133)*(IF((YEAR(D133)+1)&lt;YEAR(E133),0,IF((YEAR(D133)+1)&gt;YEAR(E133),1,(12-MONTH(E133)+1)/12))) + (R133)*(IF((YEAR(D133)+1)&lt;YEAR(E133),0,IF((YEAR(D133)+1)&gt;YEAR(E133),1,(12-MONTH(E133)+1)/12))))-(IF((((K133)*(IF(M133="",L133,IFERROR(IF(INDEX(Variablen!$I:$AT, MATCH(M133, Variablen!$A:$A, 0), MATCH((YEAR(D133)+1), Variablen!$I$3:$AT$3, 0))="",L133,INDEX(Variablen!$I:$AT, MATCH(M133, Variablen!$A:$A, 0), MATCH((YEAR(D133)+1), Variablen!$I$3:$AT$3, 0))),L133)))*(IF((YEAR(D133)+1)&lt;YEAR(E133),0,IF((YEAR(D133)+1)&gt;YEAR(E133),1,(12-MONTH(E133)+1)/12))) + (Q133)*(IF((YEAR(D133)+1)&lt;YEAR(E133),0,IF((YEAR(D133)+1)&gt;YEAR(E133),1,(12-MONTH(E133)+1)/12))))-((P133)*(IF((YEAR(D133)+1)&lt;YEAR(E133),0,IF((YEAR(D133)+1)&gt;YEAR(E133),1,(12-MONTH(E133)+1)/12))) + (R133)*(IF((YEAR(D133)+1)&lt;YEAR(E133),0,IF((YEAR(D133)+1)&gt;YEAR(E133),1,(12-MONTH(E133)+1)/12))))-(IF(OR(N133="",N133&lt;=0),0,(O133/N133)*(IF(OR(N133="",N133&lt;=0),0,IF((YEAR(D133)+1)&lt;YEAR(E133),0,IF((YEAR(D133)+1)&gt;=YEAR(E133)+N133,0,IF((YEAR(D133)+1)=YEAR(E133),(12-MONTH(E133)+1)/12,1))))))))&gt;0,(((K133)*(IF(M133="",L133,IFERROR(IF(INDEX(Variablen!$I:$AT, MATCH(M133, Variablen!$A:$A, 0), MATCH((YEAR(D133)+1), Variablen!$I$3:$AT$3, 0))="",L133,INDEX(Variablen!$I:$AT, MATCH(M133, Variablen!$A:$A, 0), MATCH((YEAR(D133)+1), Variablen!$I$3:$AT$3, 0))),L133)))*(IF((YEAR(D133)+1)&lt;YEAR(E133),0,IF((YEAR(D133)+1)&gt;YEAR(E133),1,(12-MONTH(E133)+1)/12))) + (Q133)*(IF((YEAR(D133)+1)&lt;YEAR(E133),0,IF((YEAR(D133)+1)&gt;YEAR(E133),1,(12-MONTH(E133)+1)/12))))-((P133)*(IF((YEAR(D133)+1)&lt;YEAR(E133),0,IF((YEAR(D133)+1)&gt;YEAR(E133),1,(12-MONTH(E133)+1)/12))) + (R133)*(IF((YEAR(D133)+1)&lt;YEAR(E133),0,IF((YEAR(D133)+1)&gt;YEAR(E133),1,(12-MONTH(E133)+1)/12))))-(IF(OR(N133="",N133&lt;=0),0,(O133/N133)*(IF(OR(N133="",N133&lt;=0),0,IF((YEAR(D133)+1)&lt;YEAR(E133),0,IF((YEAR(D133)+1)&gt;=YEAR(E133)+N133,0,IF((YEAR(D133)+1)=YEAR(E133),(12-MONTH(E133)+1)/12,1))))))))*TaxRate,0))-IF(1=0,O133,0))</f>
        <v/>
      </c>
      <c r="U133" s="29">
        <f>IF(A133="","",((K133)*(IF(M133="",L133,IFERROR(IF(INDEX(Variablen!$I:$AT, MATCH(M133, Variablen!$A:$A, 0), MATCH((YEAR(D133)+2), Variablen!$I$3:$AT$3, 0))="",L133,INDEX(Variablen!$I:$AT, MATCH(M133, Variablen!$A:$A, 0), MATCH((YEAR(D133)+2), Variablen!$I$3:$AT$3, 0))),L133)))*(IF((YEAR(D133)+2)&lt;YEAR(E133),0,IF((YEAR(D133)+2)&gt;YEAR(E133),1,(12-MONTH(E133)+1)/12))) + (Q133)*(IF((YEAR(D133)+2)&lt;YEAR(E133),0,IF((YEAR(D133)+2)&gt;YEAR(E133),1,(12-MONTH(E133)+1)/12))))-((P133)*(IF((YEAR(D133)+2)&lt;YEAR(E133),0,IF((YEAR(D133)+2)&gt;YEAR(E133),1,(12-MONTH(E133)+1)/12))) + (R133)*(IF((YEAR(D133)+2)&lt;YEAR(E133),0,IF((YEAR(D133)+2)&gt;YEAR(E133),1,(12-MONTH(E133)+1)/12))))-(IF((((K133)*(IF(M133="",L133,IFERROR(IF(INDEX(Variablen!$I:$AT, MATCH(M133, Variablen!$A:$A, 0), MATCH((YEAR(D133)+2), Variablen!$I$3:$AT$3, 0))="",L133,INDEX(Variablen!$I:$AT, MATCH(M133, Variablen!$A:$A, 0), MATCH((YEAR(D133)+2), Variablen!$I$3:$AT$3, 0))),L133)))*(IF((YEAR(D133)+2)&lt;YEAR(E133),0,IF((YEAR(D133)+2)&gt;YEAR(E133),1,(12-MONTH(E133)+1)/12))) + (Q133)*(IF((YEAR(D133)+2)&lt;YEAR(E133),0,IF((YEAR(D133)+2)&gt;YEAR(E133),1,(12-MONTH(E133)+1)/12))))-((P133)*(IF((YEAR(D133)+2)&lt;YEAR(E133),0,IF((YEAR(D133)+2)&gt;YEAR(E133),1,(12-MONTH(E133)+1)/12))) + (R133)*(IF((YEAR(D133)+2)&lt;YEAR(E133),0,IF((YEAR(D133)+2)&gt;YEAR(E133),1,(12-MONTH(E133)+1)/12))))-(IF(OR(N133="",N133&lt;=0),0,(O133/N133)*(IF(OR(N133="",N133&lt;=0),0,IF((YEAR(D133)+2)&lt;YEAR(E133),0,IF((YEAR(D133)+2)&gt;=YEAR(E133)+N133,0,IF((YEAR(D133)+2)=YEAR(E133),(12-MONTH(E133)+1)/12,1))))))))&gt;0,(((K133)*(IF(M133="",L133,IFERROR(IF(INDEX(Variablen!$I:$AT, MATCH(M133, Variablen!$A:$A, 0), MATCH((YEAR(D133)+2), Variablen!$I$3:$AT$3, 0))="",L133,INDEX(Variablen!$I:$AT, MATCH(M133, Variablen!$A:$A, 0), MATCH((YEAR(D133)+2), Variablen!$I$3:$AT$3, 0))),L133)))*(IF((YEAR(D133)+2)&lt;YEAR(E133),0,IF((YEAR(D133)+2)&gt;YEAR(E133),1,(12-MONTH(E133)+1)/12))) + (Q133)*(IF((YEAR(D133)+2)&lt;YEAR(E133),0,IF((YEAR(D133)+2)&gt;YEAR(E133),1,(12-MONTH(E133)+1)/12))))-((P133)*(IF((YEAR(D133)+2)&lt;YEAR(E133),0,IF((YEAR(D133)+2)&gt;YEAR(E133),1,(12-MONTH(E133)+1)/12))) + (R133)*(IF((YEAR(D133)+2)&lt;YEAR(E133),0,IF((YEAR(D133)+2)&gt;YEAR(E133),1,(12-MONTH(E133)+1)/12))))-(IF(OR(N133="",N133&lt;=0),0,(O133/N133)*(IF(OR(N133="",N133&lt;=0),0,IF((YEAR(D133)+2)&lt;YEAR(E133),0,IF((YEAR(D133)+2)&gt;=YEAR(E133)+N133,0,IF((YEAR(D133)+2)=YEAR(E133),(12-MONTH(E133)+1)/12,1))))))))*TaxRate,0))-IF(2=0,O133,0))</f>
        <v/>
      </c>
      <c r="V133" s="29">
        <f>IF(A133="","",((K133)*(IF(M133="",L133,IFERROR(IF(INDEX(Variablen!$I:$AT, MATCH(M133, Variablen!$A:$A, 0), MATCH((YEAR(D133)+3), Variablen!$I$3:$AT$3, 0))="",L133,INDEX(Variablen!$I:$AT, MATCH(M133, Variablen!$A:$A, 0), MATCH((YEAR(D133)+3), Variablen!$I$3:$AT$3, 0))),L133)))*(IF((YEAR(D133)+3)&lt;YEAR(E133),0,IF((YEAR(D133)+3)&gt;YEAR(E133),1,(12-MONTH(E133)+1)/12))) + (Q133)*(IF((YEAR(D133)+3)&lt;YEAR(E133),0,IF((YEAR(D133)+3)&gt;YEAR(E133),1,(12-MONTH(E133)+1)/12))))-((P133)*(IF((YEAR(D133)+3)&lt;YEAR(E133),0,IF((YEAR(D133)+3)&gt;YEAR(E133),1,(12-MONTH(E133)+1)/12))) + (R133)*(IF((YEAR(D133)+3)&lt;YEAR(E133),0,IF((YEAR(D133)+3)&gt;YEAR(E133),1,(12-MONTH(E133)+1)/12))))-(IF((((K133)*(IF(M133="",L133,IFERROR(IF(INDEX(Variablen!$I:$AT, MATCH(M133, Variablen!$A:$A, 0), MATCH((YEAR(D133)+3), Variablen!$I$3:$AT$3, 0))="",L133,INDEX(Variablen!$I:$AT, MATCH(M133, Variablen!$A:$A, 0), MATCH((YEAR(D133)+3), Variablen!$I$3:$AT$3, 0))),L133)))*(IF((YEAR(D133)+3)&lt;YEAR(E133),0,IF((YEAR(D133)+3)&gt;YEAR(E133),1,(12-MONTH(E133)+1)/12))) + (Q133)*(IF((YEAR(D133)+3)&lt;YEAR(E133),0,IF((YEAR(D133)+3)&gt;YEAR(E133),1,(12-MONTH(E133)+1)/12))))-((P133)*(IF((YEAR(D133)+3)&lt;YEAR(E133),0,IF((YEAR(D133)+3)&gt;YEAR(E133),1,(12-MONTH(E133)+1)/12))) + (R133)*(IF((YEAR(D133)+3)&lt;YEAR(E133),0,IF((YEAR(D133)+3)&gt;YEAR(E133),1,(12-MONTH(E133)+1)/12))))-(IF(OR(N133="",N133&lt;=0),0,(O133/N133)*(IF(OR(N133="",N133&lt;=0),0,IF((YEAR(D133)+3)&lt;YEAR(E133),0,IF((YEAR(D133)+3)&gt;=YEAR(E133)+N133,0,IF((YEAR(D133)+3)=YEAR(E133),(12-MONTH(E133)+1)/12,1))))))))&gt;0,(((K133)*(IF(M133="",L133,IFERROR(IF(INDEX(Variablen!$I:$AT, MATCH(M133, Variablen!$A:$A, 0), MATCH((YEAR(D133)+3), Variablen!$I$3:$AT$3, 0))="",L133,INDEX(Variablen!$I:$AT, MATCH(M133, Variablen!$A:$A, 0), MATCH((YEAR(D133)+3), Variablen!$I$3:$AT$3, 0))),L133)))*(IF((YEAR(D133)+3)&lt;YEAR(E133),0,IF((YEAR(D133)+3)&gt;YEAR(E133),1,(12-MONTH(E133)+1)/12))) + (Q133)*(IF((YEAR(D133)+3)&lt;YEAR(E133),0,IF((YEAR(D133)+3)&gt;YEAR(E133),1,(12-MONTH(E133)+1)/12))))-((P133)*(IF((YEAR(D133)+3)&lt;YEAR(E133),0,IF((YEAR(D133)+3)&gt;YEAR(E133),1,(12-MONTH(E133)+1)/12))) + (R133)*(IF((YEAR(D133)+3)&lt;YEAR(E133),0,IF((YEAR(D133)+3)&gt;YEAR(E133),1,(12-MONTH(E133)+1)/12))))-(IF(OR(N133="",N133&lt;=0),0,(O133/N133)*(IF(OR(N133="",N133&lt;=0),0,IF((YEAR(D133)+3)&lt;YEAR(E133),0,IF((YEAR(D133)+3)&gt;=YEAR(E133)+N133,0,IF((YEAR(D133)+3)=YEAR(E133),(12-MONTH(E133)+1)/12,1))))))))*TaxRate,0))-IF(3=0,O133,0))</f>
        <v/>
      </c>
      <c r="W133" s="29">
        <f>IF(A133="","",((K133)*(IF(M133="",L133,IFERROR(IF(INDEX(Variablen!$I:$AT, MATCH(M133, Variablen!$A:$A, 0), MATCH((YEAR(D133)+4), Variablen!$I$3:$AT$3, 0))="",L133,INDEX(Variablen!$I:$AT, MATCH(M133, Variablen!$A:$A, 0), MATCH((YEAR(D133)+4), Variablen!$I$3:$AT$3, 0))),L133)))*(IF((YEAR(D133)+4)&lt;YEAR(E133),0,IF((YEAR(D133)+4)&gt;YEAR(E133),1,(12-MONTH(E133)+1)/12))) + (Q133)*(IF((YEAR(D133)+4)&lt;YEAR(E133),0,IF((YEAR(D133)+4)&gt;YEAR(E133),1,(12-MONTH(E133)+1)/12))))-((P133)*(IF((YEAR(D133)+4)&lt;YEAR(E133),0,IF((YEAR(D133)+4)&gt;YEAR(E133),1,(12-MONTH(E133)+1)/12))) + (R133)*(IF((YEAR(D133)+4)&lt;YEAR(E133),0,IF((YEAR(D133)+4)&gt;YEAR(E133),1,(12-MONTH(E133)+1)/12))))-(IF((((K133)*(IF(M133="",L133,IFERROR(IF(INDEX(Variablen!$I:$AT, MATCH(M133, Variablen!$A:$A, 0), MATCH((YEAR(D133)+4), Variablen!$I$3:$AT$3, 0))="",L133,INDEX(Variablen!$I:$AT, MATCH(M133, Variablen!$A:$A, 0), MATCH((YEAR(D133)+4), Variablen!$I$3:$AT$3, 0))),L133)))*(IF((YEAR(D133)+4)&lt;YEAR(E133),0,IF((YEAR(D133)+4)&gt;YEAR(E133),1,(12-MONTH(E133)+1)/12))) + (Q133)*(IF((YEAR(D133)+4)&lt;YEAR(E133),0,IF((YEAR(D133)+4)&gt;YEAR(E133),1,(12-MONTH(E133)+1)/12))))-((P133)*(IF((YEAR(D133)+4)&lt;YEAR(E133),0,IF((YEAR(D133)+4)&gt;YEAR(E133),1,(12-MONTH(E133)+1)/12))) + (R133)*(IF((YEAR(D133)+4)&lt;YEAR(E133),0,IF((YEAR(D133)+4)&gt;YEAR(E133),1,(12-MONTH(E133)+1)/12))))-(IF(OR(N133="",N133&lt;=0),0,(O133/N133)*(IF(OR(N133="",N133&lt;=0),0,IF((YEAR(D133)+4)&lt;YEAR(E133),0,IF((YEAR(D133)+4)&gt;=YEAR(E133)+N133,0,IF((YEAR(D133)+4)=YEAR(E133),(12-MONTH(E133)+1)/12,1))))))))&gt;0,(((K133)*(IF(M133="",L133,IFERROR(IF(INDEX(Variablen!$I:$AT, MATCH(M133, Variablen!$A:$A, 0), MATCH((YEAR(D133)+4), Variablen!$I$3:$AT$3, 0))="",L133,INDEX(Variablen!$I:$AT, MATCH(M133, Variablen!$A:$A, 0), MATCH((YEAR(D133)+4), Variablen!$I$3:$AT$3, 0))),L133)))*(IF((YEAR(D133)+4)&lt;YEAR(E133),0,IF((YEAR(D133)+4)&gt;YEAR(E133),1,(12-MONTH(E133)+1)/12))) + (Q133)*(IF((YEAR(D133)+4)&lt;YEAR(E133),0,IF((YEAR(D133)+4)&gt;YEAR(E133),1,(12-MONTH(E133)+1)/12))))-((P133)*(IF((YEAR(D133)+4)&lt;YEAR(E133),0,IF((YEAR(D133)+4)&gt;YEAR(E133),1,(12-MONTH(E133)+1)/12))) + (R133)*(IF((YEAR(D133)+4)&lt;YEAR(E133),0,IF((YEAR(D133)+4)&gt;YEAR(E133),1,(12-MONTH(E133)+1)/12))))-(IF(OR(N133="",N133&lt;=0),0,(O133/N133)*(IF(OR(N133="",N133&lt;=0),0,IF((YEAR(D133)+4)&lt;YEAR(E133),0,IF((YEAR(D133)+4)&gt;=YEAR(E133)+N133,0,IF((YEAR(D133)+4)=YEAR(E133),(12-MONTH(E133)+1)/12,1))))))))*TaxRate,0))-IF(4=0,O133,0))</f>
        <v/>
      </c>
      <c r="X133" s="29">
        <f>IF(A133="","",((K133)*(IF(M133="",L133,IFERROR(IF(INDEX(Variablen!$I:$AT, MATCH(M133, Variablen!$A:$A, 0), MATCH((YEAR(D133)+5), Variablen!$I$3:$AT$3, 0))="",L133,INDEX(Variablen!$I:$AT, MATCH(M133, Variablen!$A:$A, 0), MATCH((YEAR(D133)+5), Variablen!$I$3:$AT$3, 0))),L133)))*(IF((YEAR(D133)+5)&lt;YEAR(E133),0,IF((YEAR(D133)+5)&gt;YEAR(E133),1,(12-MONTH(E133)+1)/12))) + (Q133)*(IF((YEAR(D133)+5)&lt;YEAR(E133),0,IF((YEAR(D133)+5)&gt;YEAR(E133),1,(12-MONTH(E133)+1)/12))))-((P133)*(IF((YEAR(D133)+5)&lt;YEAR(E133),0,IF((YEAR(D133)+5)&gt;YEAR(E133),1,(12-MONTH(E133)+1)/12))) + (R133)*(IF((YEAR(D133)+5)&lt;YEAR(E133),0,IF((YEAR(D133)+5)&gt;YEAR(E133),1,(12-MONTH(E133)+1)/12))))-(IF((((K133)*(IF(M133="",L133,IFERROR(IF(INDEX(Variablen!$I:$AT, MATCH(M133, Variablen!$A:$A, 0), MATCH((YEAR(D133)+5), Variablen!$I$3:$AT$3, 0))="",L133,INDEX(Variablen!$I:$AT, MATCH(M133, Variablen!$A:$A, 0), MATCH((YEAR(D133)+5), Variablen!$I$3:$AT$3, 0))),L133)))*(IF((YEAR(D133)+5)&lt;YEAR(E133),0,IF((YEAR(D133)+5)&gt;YEAR(E133),1,(12-MONTH(E133)+1)/12))) + (Q133)*(IF((YEAR(D133)+5)&lt;YEAR(E133),0,IF((YEAR(D133)+5)&gt;YEAR(E133),1,(12-MONTH(E133)+1)/12))))-((P133)*(IF((YEAR(D133)+5)&lt;YEAR(E133),0,IF((YEAR(D133)+5)&gt;YEAR(E133),1,(12-MONTH(E133)+1)/12))) + (R133)*(IF((YEAR(D133)+5)&lt;YEAR(E133),0,IF((YEAR(D133)+5)&gt;YEAR(E133),1,(12-MONTH(E133)+1)/12))))-(IF(OR(N133="",N133&lt;=0),0,(O133/N133)*(IF(OR(N133="",N133&lt;=0),0,IF((YEAR(D133)+5)&lt;YEAR(E133),0,IF((YEAR(D133)+5)&gt;=YEAR(E133)+N133,0,IF((YEAR(D133)+5)=YEAR(E133),(12-MONTH(E133)+1)/12,1))))))))&gt;0,(((K133)*(IF(M133="",L133,IFERROR(IF(INDEX(Variablen!$I:$AT, MATCH(M133, Variablen!$A:$A, 0), MATCH((YEAR(D133)+5), Variablen!$I$3:$AT$3, 0))="",L133,INDEX(Variablen!$I:$AT, MATCH(M133, Variablen!$A:$A, 0), MATCH((YEAR(D133)+5), Variablen!$I$3:$AT$3, 0))),L133)))*(IF((YEAR(D133)+5)&lt;YEAR(E133),0,IF((YEAR(D133)+5)&gt;YEAR(E133),1,(12-MONTH(E133)+1)/12))) + (Q133)*(IF((YEAR(D133)+5)&lt;YEAR(E133),0,IF((YEAR(D133)+5)&gt;YEAR(E133),1,(12-MONTH(E133)+1)/12))))-((P133)*(IF((YEAR(D133)+5)&lt;YEAR(E133),0,IF((YEAR(D133)+5)&gt;YEAR(E133),1,(12-MONTH(E133)+1)/12))) + (R133)*(IF((YEAR(D133)+5)&lt;YEAR(E133),0,IF((YEAR(D133)+5)&gt;YEAR(E133),1,(12-MONTH(E133)+1)/12))))-(IF(OR(N133="",N133&lt;=0),0,(O133/N133)*(IF(OR(N133="",N133&lt;=0),0,IF((YEAR(D133)+5)&lt;YEAR(E133),0,IF((YEAR(D133)+5)&gt;=YEAR(E133)+N133,0,IF((YEAR(D133)+5)=YEAR(E133),(12-MONTH(E133)+1)/12,1))))))))*TaxRate,0))-IF(5=0,O133,0))</f>
        <v/>
      </c>
      <c r="Y133" s="29">
        <f>IF(A133="","",((K133)*(IF(M133="",L133,IFERROR(IF(INDEX(Variablen!$I:$AT, MATCH(M133, Variablen!$A:$A, 0), MATCH((YEAR(D133)+6), Variablen!$I$3:$AT$3, 0))="",L133,INDEX(Variablen!$I:$AT, MATCH(M133, Variablen!$A:$A, 0), MATCH((YEAR(D133)+6), Variablen!$I$3:$AT$3, 0))),L133)))*(IF((YEAR(D133)+6)&lt;YEAR(E133),0,IF((YEAR(D133)+6)&gt;YEAR(E133),1,(12-MONTH(E133)+1)/12))) + (Q133)*(IF((YEAR(D133)+6)&lt;YEAR(E133),0,IF((YEAR(D133)+6)&gt;YEAR(E133),1,(12-MONTH(E133)+1)/12))))-((P133)*(IF((YEAR(D133)+6)&lt;YEAR(E133),0,IF((YEAR(D133)+6)&gt;YEAR(E133),1,(12-MONTH(E133)+1)/12))) + (R133)*(IF((YEAR(D133)+6)&lt;YEAR(E133),0,IF((YEAR(D133)+6)&gt;YEAR(E133),1,(12-MONTH(E133)+1)/12))))-(IF((((K133)*(IF(M133="",L133,IFERROR(IF(INDEX(Variablen!$I:$AT, MATCH(M133, Variablen!$A:$A, 0), MATCH((YEAR(D133)+6), Variablen!$I$3:$AT$3, 0))="",L133,INDEX(Variablen!$I:$AT, MATCH(M133, Variablen!$A:$A, 0), MATCH((YEAR(D133)+6), Variablen!$I$3:$AT$3, 0))),L133)))*(IF((YEAR(D133)+6)&lt;YEAR(E133),0,IF((YEAR(D133)+6)&gt;YEAR(E133),1,(12-MONTH(E133)+1)/12))) + (Q133)*(IF((YEAR(D133)+6)&lt;YEAR(E133),0,IF((YEAR(D133)+6)&gt;YEAR(E133),1,(12-MONTH(E133)+1)/12))))-((P133)*(IF((YEAR(D133)+6)&lt;YEAR(E133),0,IF((YEAR(D133)+6)&gt;YEAR(E133),1,(12-MONTH(E133)+1)/12))) + (R133)*(IF((YEAR(D133)+6)&lt;YEAR(E133),0,IF((YEAR(D133)+6)&gt;YEAR(E133),1,(12-MONTH(E133)+1)/12))))-(IF(OR(N133="",N133&lt;=0),0,(O133/N133)*(IF(OR(N133="",N133&lt;=0),0,IF((YEAR(D133)+6)&lt;YEAR(E133),0,IF((YEAR(D133)+6)&gt;=YEAR(E133)+N133,0,IF((YEAR(D133)+6)=YEAR(E133),(12-MONTH(E133)+1)/12,1))))))))&gt;0,(((K133)*(IF(M133="",L133,IFERROR(IF(INDEX(Variablen!$I:$AT, MATCH(M133, Variablen!$A:$A, 0), MATCH((YEAR(D133)+6), Variablen!$I$3:$AT$3, 0))="",L133,INDEX(Variablen!$I:$AT, MATCH(M133, Variablen!$A:$A, 0), MATCH((YEAR(D133)+6), Variablen!$I$3:$AT$3, 0))),L133)))*(IF((YEAR(D133)+6)&lt;YEAR(E133),0,IF((YEAR(D133)+6)&gt;YEAR(E133),1,(12-MONTH(E133)+1)/12))) + (Q133)*(IF((YEAR(D133)+6)&lt;YEAR(E133),0,IF((YEAR(D133)+6)&gt;YEAR(E133),1,(12-MONTH(E133)+1)/12))))-((P133)*(IF((YEAR(D133)+6)&lt;YEAR(E133),0,IF((YEAR(D133)+6)&gt;YEAR(E133),1,(12-MONTH(E133)+1)/12))) + (R133)*(IF((YEAR(D133)+6)&lt;YEAR(E133),0,IF((YEAR(D133)+6)&gt;YEAR(E133),1,(12-MONTH(E133)+1)/12))))-(IF(OR(N133="",N133&lt;=0),0,(O133/N133)*(IF(OR(N133="",N133&lt;=0),0,IF((YEAR(D133)+6)&lt;YEAR(E133),0,IF((YEAR(D133)+6)&gt;=YEAR(E133)+N133,0,IF((YEAR(D133)+6)=YEAR(E133),(12-MONTH(E133)+1)/12,1))))))))*TaxRate,0))-IF(6=0,O133,0))</f>
        <v/>
      </c>
      <c r="Z133" s="29">
        <f>IF(A133="","",((K133)*(IF(M133="",L133,IFERROR(IF(INDEX(Variablen!$I:$AT, MATCH(M133, Variablen!$A:$A, 0), MATCH((YEAR(D133)+7), Variablen!$I$3:$AT$3, 0))="",L133,INDEX(Variablen!$I:$AT, MATCH(M133, Variablen!$A:$A, 0), MATCH((YEAR(D133)+7), Variablen!$I$3:$AT$3, 0))),L133)))*(IF((YEAR(D133)+7)&lt;YEAR(E133),0,IF((YEAR(D133)+7)&gt;YEAR(E133),1,(12-MONTH(E133)+1)/12))) + (Q133)*(IF((YEAR(D133)+7)&lt;YEAR(E133),0,IF((YEAR(D133)+7)&gt;YEAR(E133),1,(12-MONTH(E133)+1)/12))))-((P133)*(IF((YEAR(D133)+7)&lt;YEAR(E133),0,IF((YEAR(D133)+7)&gt;YEAR(E133),1,(12-MONTH(E133)+1)/12))) + (R133)*(IF((YEAR(D133)+7)&lt;YEAR(E133),0,IF((YEAR(D133)+7)&gt;YEAR(E133),1,(12-MONTH(E133)+1)/12))))-(IF((((K133)*(IF(M133="",L133,IFERROR(IF(INDEX(Variablen!$I:$AT, MATCH(M133, Variablen!$A:$A, 0), MATCH((YEAR(D133)+7), Variablen!$I$3:$AT$3, 0))="",L133,INDEX(Variablen!$I:$AT, MATCH(M133, Variablen!$A:$A, 0), MATCH((YEAR(D133)+7), Variablen!$I$3:$AT$3, 0))),L133)))*(IF((YEAR(D133)+7)&lt;YEAR(E133),0,IF((YEAR(D133)+7)&gt;YEAR(E133),1,(12-MONTH(E133)+1)/12))) + (Q133)*(IF((YEAR(D133)+7)&lt;YEAR(E133),0,IF((YEAR(D133)+7)&gt;YEAR(E133),1,(12-MONTH(E133)+1)/12))))-((P133)*(IF((YEAR(D133)+7)&lt;YEAR(E133),0,IF((YEAR(D133)+7)&gt;YEAR(E133),1,(12-MONTH(E133)+1)/12))) + (R133)*(IF((YEAR(D133)+7)&lt;YEAR(E133),0,IF((YEAR(D133)+7)&gt;YEAR(E133),1,(12-MONTH(E133)+1)/12))))-(IF(OR(N133="",N133&lt;=0),0,(O133/N133)*(IF(OR(N133="",N133&lt;=0),0,IF((YEAR(D133)+7)&lt;YEAR(E133),0,IF((YEAR(D133)+7)&gt;=YEAR(E133)+N133,0,IF((YEAR(D133)+7)=YEAR(E133),(12-MONTH(E133)+1)/12,1))))))))&gt;0,(((K133)*(IF(M133="",L133,IFERROR(IF(INDEX(Variablen!$I:$AT, MATCH(M133, Variablen!$A:$A, 0), MATCH((YEAR(D133)+7), Variablen!$I$3:$AT$3, 0))="",L133,INDEX(Variablen!$I:$AT, MATCH(M133, Variablen!$A:$A, 0), MATCH((YEAR(D133)+7), Variablen!$I$3:$AT$3, 0))),L133)))*(IF((YEAR(D133)+7)&lt;YEAR(E133),0,IF((YEAR(D133)+7)&gt;YEAR(E133),1,(12-MONTH(E133)+1)/12))) + (Q133)*(IF((YEAR(D133)+7)&lt;YEAR(E133),0,IF((YEAR(D133)+7)&gt;YEAR(E133),1,(12-MONTH(E133)+1)/12))))-((P133)*(IF((YEAR(D133)+7)&lt;YEAR(E133),0,IF((YEAR(D133)+7)&gt;YEAR(E133),1,(12-MONTH(E133)+1)/12))) + (R133)*(IF((YEAR(D133)+7)&lt;YEAR(E133),0,IF((YEAR(D133)+7)&gt;YEAR(E133),1,(12-MONTH(E133)+1)/12))))-(IF(OR(N133="",N133&lt;=0),0,(O133/N133)*(IF(OR(N133="",N133&lt;=0),0,IF((YEAR(D133)+7)&lt;YEAR(E133),0,IF((YEAR(D133)+7)&gt;=YEAR(E133)+N133,0,IF((YEAR(D133)+7)=YEAR(E133),(12-MONTH(E133)+1)/12,1))))))))*TaxRate,0))-IF(7=0,O133,0))</f>
        <v/>
      </c>
      <c r="AA133" s="29">
        <f>IF(A133="","",((K133)*(IF(M133="",L133,IFERROR(IF(INDEX(Variablen!$I:$AT, MATCH(M133, Variablen!$A:$A, 0), MATCH((YEAR(D133)+8), Variablen!$I$3:$AT$3, 0))="",L133,INDEX(Variablen!$I:$AT, MATCH(M133, Variablen!$A:$A, 0), MATCH((YEAR(D133)+8), Variablen!$I$3:$AT$3, 0))),L133)))*(IF((YEAR(D133)+8)&lt;YEAR(E133),0,IF((YEAR(D133)+8)&gt;YEAR(E133),1,(12-MONTH(E133)+1)/12))) + (Q133)*(IF((YEAR(D133)+8)&lt;YEAR(E133),0,IF((YEAR(D133)+8)&gt;YEAR(E133),1,(12-MONTH(E133)+1)/12))))-((P133)*(IF((YEAR(D133)+8)&lt;YEAR(E133),0,IF((YEAR(D133)+8)&gt;YEAR(E133),1,(12-MONTH(E133)+1)/12))) + (R133)*(IF((YEAR(D133)+8)&lt;YEAR(E133),0,IF((YEAR(D133)+8)&gt;YEAR(E133),1,(12-MONTH(E133)+1)/12))))-(IF((((K133)*(IF(M133="",L133,IFERROR(IF(INDEX(Variablen!$I:$AT, MATCH(M133, Variablen!$A:$A, 0), MATCH((YEAR(D133)+8), Variablen!$I$3:$AT$3, 0))="",L133,INDEX(Variablen!$I:$AT, MATCH(M133, Variablen!$A:$A, 0), MATCH((YEAR(D133)+8), Variablen!$I$3:$AT$3, 0))),L133)))*(IF((YEAR(D133)+8)&lt;YEAR(E133),0,IF((YEAR(D133)+8)&gt;YEAR(E133),1,(12-MONTH(E133)+1)/12))) + (Q133)*(IF((YEAR(D133)+8)&lt;YEAR(E133),0,IF((YEAR(D133)+8)&gt;YEAR(E133),1,(12-MONTH(E133)+1)/12))))-((P133)*(IF((YEAR(D133)+8)&lt;YEAR(E133),0,IF((YEAR(D133)+8)&gt;YEAR(E133),1,(12-MONTH(E133)+1)/12))) + (R133)*(IF((YEAR(D133)+8)&lt;YEAR(E133),0,IF((YEAR(D133)+8)&gt;YEAR(E133),1,(12-MONTH(E133)+1)/12))))-(IF(OR(N133="",N133&lt;=0),0,(O133/N133)*(IF(OR(N133="",N133&lt;=0),0,IF((YEAR(D133)+8)&lt;YEAR(E133),0,IF((YEAR(D133)+8)&gt;=YEAR(E133)+N133,0,IF((YEAR(D133)+8)=YEAR(E133),(12-MONTH(E133)+1)/12,1))))))))&gt;0,(((K133)*(IF(M133="",L133,IFERROR(IF(INDEX(Variablen!$I:$AT, MATCH(M133, Variablen!$A:$A, 0), MATCH((YEAR(D133)+8), Variablen!$I$3:$AT$3, 0))="",L133,INDEX(Variablen!$I:$AT, MATCH(M133, Variablen!$A:$A, 0), MATCH((YEAR(D133)+8), Variablen!$I$3:$AT$3, 0))),L133)))*(IF((YEAR(D133)+8)&lt;YEAR(E133),0,IF((YEAR(D133)+8)&gt;YEAR(E133),1,(12-MONTH(E133)+1)/12))) + (Q133)*(IF((YEAR(D133)+8)&lt;YEAR(E133),0,IF((YEAR(D133)+8)&gt;YEAR(E133),1,(12-MONTH(E133)+1)/12))))-((P133)*(IF((YEAR(D133)+8)&lt;YEAR(E133),0,IF((YEAR(D133)+8)&gt;YEAR(E133),1,(12-MONTH(E133)+1)/12))) + (R133)*(IF((YEAR(D133)+8)&lt;YEAR(E133),0,IF((YEAR(D133)+8)&gt;YEAR(E133),1,(12-MONTH(E133)+1)/12))))-(IF(OR(N133="",N133&lt;=0),0,(O133/N133)*(IF(OR(N133="",N133&lt;=0),0,IF((YEAR(D133)+8)&lt;YEAR(E133),0,IF((YEAR(D133)+8)&gt;=YEAR(E133)+N133,0,IF((YEAR(D133)+8)=YEAR(E133),(12-MONTH(E133)+1)/12,1))))))))*TaxRate,0))-IF(8=0,O133,0))</f>
        <v/>
      </c>
      <c r="AB133" s="29">
        <f>IF(A133="","",((K133)*(IF(M133="",L133,IFERROR(IF(INDEX(Variablen!$I:$AT, MATCH(M133, Variablen!$A:$A, 0), MATCH((YEAR(D133)+9), Variablen!$I$3:$AT$3, 0))="",L133,INDEX(Variablen!$I:$AT, MATCH(M133, Variablen!$A:$A, 0), MATCH((YEAR(D133)+9), Variablen!$I$3:$AT$3, 0))),L133)))*(IF((YEAR(D133)+9)&lt;YEAR(E133),0,IF((YEAR(D133)+9)&gt;YEAR(E133),1,(12-MONTH(E133)+1)/12))) + (Q133)*(IF((YEAR(D133)+9)&lt;YEAR(E133),0,IF((YEAR(D133)+9)&gt;YEAR(E133),1,(12-MONTH(E133)+1)/12))))-((P133)*(IF((YEAR(D133)+9)&lt;YEAR(E133),0,IF((YEAR(D133)+9)&gt;YEAR(E133),1,(12-MONTH(E133)+1)/12))) + (R133)*(IF((YEAR(D133)+9)&lt;YEAR(E133),0,IF((YEAR(D133)+9)&gt;YEAR(E133),1,(12-MONTH(E133)+1)/12))))-(IF((((K133)*(IF(M133="",L133,IFERROR(IF(INDEX(Variablen!$I:$AT, MATCH(M133, Variablen!$A:$A, 0), MATCH((YEAR(D133)+9), Variablen!$I$3:$AT$3, 0))="",L133,INDEX(Variablen!$I:$AT, MATCH(M133, Variablen!$A:$A, 0), MATCH((YEAR(D133)+9), Variablen!$I$3:$AT$3, 0))),L133)))*(IF((YEAR(D133)+9)&lt;YEAR(E133),0,IF((YEAR(D133)+9)&gt;YEAR(E133),1,(12-MONTH(E133)+1)/12))) + (Q133)*(IF((YEAR(D133)+9)&lt;YEAR(E133),0,IF((YEAR(D133)+9)&gt;YEAR(E133),1,(12-MONTH(E133)+1)/12))))-((P133)*(IF((YEAR(D133)+9)&lt;YEAR(E133),0,IF((YEAR(D133)+9)&gt;YEAR(E133),1,(12-MONTH(E133)+1)/12))) + (R133)*(IF((YEAR(D133)+9)&lt;YEAR(E133),0,IF((YEAR(D133)+9)&gt;YEAR(E133),1,(12-MONTH(E133)+1)/12))))-(IF(OR(N133="",N133&lt;=0),0,(O133/N133)*(IF(OR(N133="",N133&lt;=0),0,IF((YEAR(D133)+9)&lt;YEAR(E133),0,IF((YEAR(D133)+9)&gt;=YEAR(E133)+N133,0,IF((YEAR(D133)+9)=YEAR(E133),(12-MONTH(E133)+1)/12,1))))))))&gt;0,(((K133)*(IF(M133="",L133,IFERROR(IF(INDEX(Variablen!$I:$AT, MATCH(M133, Variablen!$A:$A, 0), MATCH((YEAR(D133)+9), Variablen!$I$3:$AT$3, 0))="",L133,INDEX(Variablen!$I:$AT, MATCH(M133, Variablen!$A:$A, 0), MATCH((YEAR(D133)+9), Variablen!$I$3:$AT$3, 0))),L133)))*(IF((YEAR(D133)+9)&lt;YEAR(E133),0,IF((YEAR(D133)+9)&gt;YEAR(E133),1,(12-MONTH(E133)+1)/12))) + (Q133)*(IF((YEAR(D133)+9)&lt;YEAR(E133),0,IF((YEAR(D133)+9)&gt;YEAR(E133),1,(12-MONTH(E133)+1)/12))))-((P133)*(IF((YEAR(D133)+9)&lt;YEAR(E133),0,IF((YEAR(D133)+9)&gt;YEAR(E133),1,(12-MONTH(E133)+1)/12))) + (R133)*(IF((YEAR(D133)+9)&lt;YEAR(E133),0,IF((YEAR(D133)+9)&gt;YEAR(E133),1,(12-MONTH(E133)+1)/12))))-(IF(OR(N133="",N133&lt;=0),0,(O133/N133)*(IF(OR(N133="",N133&lt;=0),0,IF((YEAR(D133)+9)&lt;YEAR(E133),0,IF((YEAR(D133)+9)&gt;=YEAR(E133)+N133,0,IF((YEAR(D133)+9)=YEAR(E133),(12-MONTH(E133)+1)/12,1))))))))*TaxRate,0))-IF(9=0,O133,0))</f>
        <v/>
      </c>
      <c r="AC133" s="29">
        <f>IF(A133="","",((K133)*(IF(M133="",L133,IFERROR(IF(INDEX(Variablen!$I:$AT, MATCH(M133, Variablen!$A:$A, 0), MATCH((YEAR(D133)+10), Variablen!$I$3:$AT$3, 0))="",L133,INDEX(Variablen!$I:$AT, MATCH(M133, Variablen!$A:$A, 0), MATCH((YEAR(D133)+10), Variablen!$I$3:$AT$3, 0))),L133)))*(IF((YEAR(D133)+10)&lt;YEAR(E133),0,IF((YEAR(D133)+10)&gt;YEAR(E133),1,(12-MONTH(E133)+1)/12))) + (Q133)*(IF((YEAR(D133)+10)&lt;YEAR(E133),0,IF((YEAR(D133)+10)&gt;YEAR(E133),1,(12-MONTH(E133)+1)/12))))-((P133)*(IF((YEAR(D133)+10)&lt;YEAR(E133),0,IF((YEAR(D133)+10)&gt;YEAR(E133),1,(12-MONTH(E133)+1)/12))) + (R133)*(IF((YEAR(D133)+10)&lt;YEAR(E133),0,IF((YEAR(D133)+10)&gt;YEAR(E133),1,(12-MONTH(E133)+1)/12))))-(IF((((K133)*(IF(M133="",L133,IFERROR(IF(INDEX(Variablen!$I:$AT, MATCH(M133, Variablen!$A:$A, 0), MATCH((YEAR(D133)+10), Variablen!$I$3:$AT$3, 0))="",L133,INDEX(Variablen!$I:$AT, MATCH(M133, Variablen!$A:$A, 0), MATCH((YEAR(D133)+10), Variablen!$I$3:$AT$3, 0))),L133)))*(IF((YEAR(D133)+10)&lt;YEAR(E133),0,IF((YEAR(D133)+10)&gt;YEAR(E133),1,(12-MONTH(E133)+1)/12))) + (Q133)*(IF((YEAR(D133)+10)&lt;YEAR(E133),0,IF((YEAR(D133)+10)&gt;YEAR(E133),1,(12-MONTH(E133)+1)/12))))-((P133)*(IF((YEAR(D133)+10)&lt;YEAR(E133),0,IF((YEAR(D133)+10)&gt;YEAR(E133),1,(12-MONTH(E133)+1)/12))) + (R133)*(IF((YEAR(D133)+10)&lt;YEAR(E133),0,IF((YEAR(D133)+10)&gt;YEAR(E133),1,(12-MONTH(E133)+1)/12))))-(IF(OR(N133="",N133&lt;=0),0,(O133/N133)*(IF(OR(N133="",N133&lt;=0),0,IF((YEAR(D133)+10)&lt;YEAR(E133),0,IF((YEAR(D133)+10)&gt;=YEAR(E133)+N133,0,IF((YEAR(D133)+10)=YEAR(E133),(12-MONTH(E133)+1)/12,1))))))))&gt;0,(((K133)*(IF(M133="",L133,IFERROR(IF(INDEX(Variablen!$I:$AT, MATCH(M133, Variablen!$A:$A, 0), MATCH((YEAR(D133)+10), Variablen!$I$3:$AT$3, 0))="",L133,INDEX(Variablen!$I:$AT, MATCH(M133, Variablen!$A:$A, 0), MATCH((YEAR(D133)+10), Variablen!$I$3:$AT$3, 0))),L133)))*(IF((YEAR(D133)+10)&lt;YEAR(E133),0,IF((YEAR(D133)+10)&gt;YEAR(E133),1,(12-MONTH(E133)+1)/12))) + (Q133)*(IF((YEAR(D133)+10)&lt;YEAR(E133),0,IF((YEAR(D133)+10)&gt;YEAR(E133),1,(12-MONTH(E133)+1)/12))))-((P133)*(IF((YEAR(D133)+10)&lt;YEAR(E133),0,IF((YEAR(D133)+10)&gt;YEAR(E133),1,(12-MONTH(E133)+1)/12))) + (R133)*(IF((YEAR(D133)+10)&lt;YEAR(E133),0,IF((YEAR(D133)+10)&gt;YEAR(E133),1,(12-MONTH(E133)+1)/12))))-(IF(OR(N133="",N133&lt;=0),0,(O133/N133)*(IF(OR(N133="",N133&lt;=0),0,IF((YEAR(D133)+10)&lt;YEAR(E133),0,IF((YEAR(D133)+10)&gt;=YEAR(E133)+N133,0,IF((YEAR(D133)+10)=YEAR(E133),(12-MONTH(E133)+1)/12,1))))))))*TaxRate,0))-IF(10=0,O133,0))</f>
        <v/>
      </c>
      <c r="AD133" s="29">
        <f>IF(A133="","",((K133)*(IF(M133="",L133,IFERROR(IF(INDEX(Variablen!$I:$AT, MATCH(M133, Variablen!$A:$A, 0), MATCH((YEAR(D133)+11), Variablen!$I$3:$AT$3, 0))="",L133,INDEX(Variablen!$I:$AT, MATCH(M133, Variablen!$A:$A, 0), MATCH((YEAR(D133)+11), Variablen!$I$3:$AT$3, 0))),L133)))*(IF((YEAR(D133)+11)&lt;YEAR(E133),0,IF((YEAR(D133)+11)&gt;YEAR(E133),1,(12-MONTH(E133)+1)/12))) + (Q133)*(IF((YEAR(D133)+11)&lt;YEAR(E133),0,IF((YEAR(D133)+11)&gt;YEAR(E133),1,(12-MONTH(E133)+1)/12))))-((P133)*(IF((YEAR(D133)+11)&lt;YEAR(E133),0,IF((YEAR(D133)+11)&gt;YEAR(E133),1,(12-MONTH(E133)+1)/12))) + (R133)*(IF((YEAR(D133)+11)&lt;YEAR(E133),0,IF((YEAR(D133)+11)&gt;YEAR(E133),1,(12-MONTH(E133)+1)/12))))-(IF((((K133)*(IF(M133="",L133,IFERROR(IF(INDEX(Variablen!$I:$AT, MATCH(M133, Variablen!$A:$A, 0), MATCH((YEAR(D133)+11), Variablen!$I$3:$AT$3, 0))="",L133,INDEX(Variablen!$I:$AT, MATCH(M133, Variablen!$A:$A, 0), MATCH((YEAR(D133)+11), Variablen!$I$3:$AT$3, 0))),L133)))*(IF((YEAR(D133)+11)&lt;YEAR(E133),0,IF((YEAR(D133)+11)&gt;YEAR(E133),1,(12-MONTH(E133)+1)/12))) + (Q133)*(IF((YEAR(D133)+11)&lt;YEAR(E133),0,IF((YEAR(D133)+11)&gt;YEAR(E133),1,(12-MONTH(E133)+1)/12))))-((P133)*(IF((YEAR(D133)+11)&lt;YEAR(E133),0,IF((YEAR(D133)+11)&gt;YEAR(E133),1,(12-MONTH(E133)+1)/12))) + (R133)*(IF((YEAR(D133)+11)&lt;YEAR(E133),0,IF((YEAR(D133)+11)&gt;YEAR(E133),1,(12-MONTH(E133)+1)/12))))-(IF(OR(N133="",N133&lt;=0),0,(O133/N133)*(IF(OR(N133="",N133&lt;=0),0,IF((YEAR(D133)+11)&lt;YEAR(E133),0,IF((YEAR(D133)+11)&gt;=YEAR(E133)+N133,0,IF((YEAR(D133)+11)=YEAR(E133),(12-MONTH(E133)+1)/12,1))))))))&gt;0,(((K133)*(IF(M133="",L133,IFERROR(IF(INDEX(Variablen!$I:$AT, MATCH(M133, Variablen!$A:$A, 0), MATCH((YEAR(D133)+11), Variablen!$I$3:$AT$3, 0))="",L133,INDEX(Variablen!$I:$AT, MATCH(M133, Variablen!$A:$A, 0), MATCH((YEAR(D133)+11), Variablen!$I$3:$AT$3, 0))),L133)))*(IF((YEAR(D133)+11)&lt;YEAR(E133),0,IF((YEAR(D133)+11)&gt;YEAR(E133),1,(12-MONTH(E133)+1)/12))) + (Q133)*(IF((YEAR(D133)+11)&lt;YEAR(E133),0,IF((YEAR(D133)+11)&gt;YEAR(E133),1,(12-MONTH(E133)+1)/12))))-((P133)*(IF((YEAR(D133)+11)&lt;YEAR(E133),0,IF((YEAR(D133)+11)&gt;YEAR(E133),1,(12-MONTH(E133)+1)/12))) + (R133)*(IF((YEAR(D133)+11)&lt;YEAR(E133),0,IF((YEAR(D133)+11)&gt;YEAR(E133),1,(12-MONTH(E133)+1)/12))))-(IF(OR(N133="",N133&lt;=0),0,(O133/N133)*(IF(OR(N133="",N133&lt;=0),0,IF((YEAR(D133)+11)&lt;YEAR(E133),0,IF((YEAR(D133)+11)&gt;=YEAR(E133)+N133,0,IF((YEAR(D133)+11)=YEAR(E133),(12-MONTH(E133)+1)/12,1))))))))*TaxRate,0))-IF(11=0,O133,0))</f>
        <v/>
      </c>
      <c r="AE133" s="29">
        <f>IF(A133="","",((K133)*(IF(M133="",L133,IFERROR(IF(INDEX(Variablen!$I:$AT, MATCH(M133, Variablen!$A:$A, 0), MATCH((YEAR(D133)+12), Variablen!$I$3:$AT$3, 0))="",L133,INDEX(Variablen!$I:$AT, MATCH(M133, Variablen!$A:$A, 0), MATCH((YEAR(D133)+12), Variablen!$I$3:$AT$3, 0))),L133)))*(IF((YEAR(D133)+12)&lt;YEAR(E133),0,IF((YEAR(D133)+12)&gt;YEAR(E133),1,(12-MONTH(E133)+1)/12))) + (Q133)*(IF((YEAR(D133)+12)&lt;YEAR(E133),0,IF((YEAR(D133)+12)&gt;YEAR(E133),1,(12-MONTH(E133)+1)/12))))-((P133)*(IF((YEAR(D133)+12)&lt;YEAR(E133),0,IF((YEAR(D133)+12)&gt;YEAR(E133),1,(12-MONTH(E133)+1)/12))) + (R133)*(IF((YEAR(D133)+12)&lt;YEAR(E133),0,IF((YEAR(D133)+12)&gt;YEAR(E133),1,(12-MONTH(E133)+1)/12))))-(IF((((K133)*(IF(M133="",L133,IFERROR(IF(INDEX(Variablen!$I:$AT, MATCH(M133, Variablen!$A:$A, 0), MATCH((YEAR(D133)+12), Variablen!$I$3:$AT$3, 0))="",L133,INDEX(Variablen!$I:$AT, MATCH(M133, Variablen!$A:$A, 0), MATCH((YEAR(D133)+12), Variablen!$I$3:$AT$3, 0))),L133)))*(IF((YEAR(D133)+12)&lt;YEAR(E133),0,IF((YEAR(D133)+12)&gt;YEAR(E133),1,(12-MONTH(E133)+1)/12))) + (Q133)*(IF((YEAR(D133)+12)&lt;YEAR(E133),0,IF((YEAR(D133)+12)&gt;YEAR(E133),1,(12-MONTH(E133)+1)/12))))-((P133)*(IF((YEAR(D133)+12)&lt;YEAR(E133),0,IF((YEAR(D133)+12)&gt;YEAR(E133),1,(12-MONTH(E133)+1)/12))) + (R133)*(IF((YEAR(D133)+12)&lt;YEAR(E133),0,IF((YEAR(D133)+12)&gt;YEAR(E133),1,(12-MONTH(E133)+1)/12))))-(IF(OR(N133="",N133&lt;=0),0,(O133/N133)*(IF(OR(N133="",N133&lt;=0),0,IF((YEAR(D133)+12)&lt;YEAR(E133),0,IF((YEAR(D133)+12)&gt;=YEAR(E133)+N133,0,IF((YEAR(D133)+12)=YEAR(E133),(12-MONTH(E133)+1)/12,1))))))))&gt;0,(((K133)*(IF(M133="",L133,IFERROR(IF(INDEX(Variablen!$I:$AT, MATCH(M133, Variablen!$A:$A, 0), MATCH((YEAR(D133)+12), Variablen!$I$3:$AT$3, 0))="",L133,INDEX(Variablen!$I:$AT, MATCH(M133, Variablen!$A:$A, 0), MATCH((YEAR(D133)+12), Variablen!$I$3:$AT$3, 0))),L133)))*(IF((YEAR(D133)+12)&lt;YEAR(E133),0,IF((YEAR(D133)+12)&gt;YEAR(E133),1,(12-MONTH(E133)+1)/12))) + (Q133)*(IF((YEAR(D133)+12)&lt;YEAR(E133),0,IF((YEAR(D133)+12)&gt;YEAR(E133),1,(12-MONTH(E133)+1)/12))))-((P133)*(IF((YEAR(D133)+12)&lt;YEAR(E133),0,IF((YEAR(D133)+12)&gt;YEAR(E133),1,(12-MONTH(E133)+1)/12))) + (R133)*(IF((YEAR(D133)+12)&lt;YEAR(E133),0,IF((YEAR(D133)+12)&gt;YEAR(E133),1,(12-MONTH(E133)+1)/12))))-(IF(OR(N133="",N133&lt;=0),0,(O133/N133)*(IF(OR(N133="",N133&lt;=0),0,IF((YEAR(D133)+12)&lt;YEAR(E133),0,IF((YEAR(D133)+12)&gt;=YEAR(E133)+N133,0,IF((YEAR(D133)+12)=YEAR(E133),(12-MONTH(E133)+1)/12,1))))))))*TaxRate,0))-IF(12=0,O133,0))</f>
        <v/>
      </c>
      <c r="AF133" s="29">
        <f>IF(A133="","",((K133)*(IF(M133="",L133,IFERROR(IF(INDEX(Variablen!$I:$AT, MATCH(M133, Variablen!$A:$A, 0), MATCH((YEAR(D133)+13), Variablen!$I$3:$AT$3, 0))="",L133,INDEX(Variablen!$I:$AT, MATCH(M133, Variablen!$A:$A, 0), MATCH((YEAR(D133)+13), Variablen!$I$3:$AT$3, 0))),L133)))*(IF((YEAR(D133)+13)&lt;YEAR(E133),0,IF((YEAR(D133)+13)&gt;YEAR(E133),1,(12-MONTH(E133)+1)/12))) + (Q133)*(IF((YEAR(D133)+13)&lt;YEAR(E133),0,IF((YEAR(D133)+13)&gt;YEAR(E133),1,(12-MONTH(E133)+1)/12))))-((P133)*(IF((YEAR(D133)+13)&lt;YEAR(E133),0,IF((YEAR(D133)+13)&gt;YEAR(E133),1,(12-MONTH(E133)+1)/12))) + (R133)*(IF((YEAR(D133)+13)&lt;YEAR(E133),0,IF((YEAR(D133)+13)&gt;YEAR(E133),1,(12-MONTH(E133)+1)/12))))-(IF((((K133)*(IF(M133="",L133,IFERROR(IF(INDEX(Variablen!$I:$AT, MATCH(M133, Variablen!$A:$A, 0), MATCH((YEAR(D133)+13), Variablen!$I$3:$AT$3, 0))="",L133,INDEX(Variablen!$I:$AT, MATCH(M133, Variablen!$A:$A, 0), MATCH((YEAR(D133)+13), Variablen!$I$3:$AT$3, 0))),L133)))*(IF((YEAR(D133)+13)&lt;YEAR(E133),0,IF((YEAR(D133)+13)&gt;YEAR(E133),1,(12-MONTH(E133)+1)/12))) + (Q133)*(IF((YEAR(D133)+13)&lt;YEAR(E133),0,IF((YEAR(D133)+13)&gt;YEAR(E133),1,(12-MONTH(E133)+1)/12))))-((P133)*(IF((YEAR(D133)+13)&lt;YEAR(E133),0,IF((YEAR(D133)+13)&gt;YEAR(E133),1,(12-MONTH(E133)+1)/12))) + (R133)*(IF((YEAR(D133)+13)&lt;YEAR(E133),0,IF((YEAR(D133)+13)&gt;YEAR(E133),1,(12-MONTH(E133)+1)/12))))-(IF(OR(N133="",N133&lt;=0),0,(O133/N133)*(IF(OR(N133="",N133&lt;=0),0,IF((YEAR(D133)+13)&lt;YEAR(E133),0,IF((YEAR(D133)+13)&gt;=YEAR(E133)+N133,0,IF((YEAR(D133)+13)=YEAR(E133),(12-MONTH(E133)+1)/12,1))))))))&gt;0,(((K133)*(IF(M133="",L133,IFERROR(IF(INDEX(Variablen!$I:$AT, MATCH(M133, Variablen!$A:$A, 0), MATCH((YEAR(D133)+13), Variablen!$I$3:$AT$3, 0))="",L133,INDEX(Variablen!$I:$AT, MATCH(M133, Variablen!$A:$A, 0), MATCH((YEAR(D133)+13), Variablen!$I$3:$AT$3, 0))),L133)))*(IF((YEAR(D133)+13)&lt;YEAR(E133),0,IF((YEAR(D133)+13)&gt;YEAR(E133),1,(12-MONTH(E133)+1)/12))) + (Q133)*(IF((YEAR(D133)+13)&lt;YEAR(E133),0,IF((YEAR(D133)+13)&gt;YEAR(E133),1,(12-MONTH(E133)+1)/12))))-((P133)*(IF((YEAR(D133)+13)&lt;YEAR(E133),0,IF((YEAR(D133)+13)&gt;YEAR(E133),1,(12-MONTH(E133)+1)/12))) + (R133)*(IF((YEAR(D133)+13)&lt;YEAR(E133),0,IF((YEAR(D133)+13)&gt;YEAR(E133),1,(12-MONTH(E133)+1)/12))))-(IF(OR(N133="",N133&lt;=0),0,(O133/N133)*(IF(OR(N133="",N133&lt;=0),0,IF((YEAR(D133)+13)&lt;YEAR(E133),0,IF((YEAR(D133)+13)&gt;=YEAR(E133)+N133,0,IF((YEAR(D133)+13)=YEAR(E133),(12-MONTH(E133)+1)/12,1))))))))*TaxRate,0))-IF(13=0,O133,0))</f>
        <v/>
      </c>
      <c r="AG133" s="29">
        <f>IF(A133="","",((K133)*(IF(M133="",L133,IFERROR(IF(INDEX(Variablen!$I:$AT, MATCH(M133, Variablen!$A:$A, 0), MATCH((YEAR(D133)+14), Variablen!$I$3:$AT$3, 0))="",L133,INDEX(Variablen!$I:$AT, MATCH(M133, Variablen!$A:$A, 0), MATCH((YEAR(D133)+14), Variablen!$I$3:$AT$3, 0))),L133)))*(IF((YEAR(D133)+14)&lt;YEAR(E133),0,IF((YEAR(D133)+14)&gt;YEAR(E133),1,(12-MONTH(E133)+1)/12))) + (Q133)*(IF((YEAR(D133)+14)&lt;YEAR(E133),0,IF((YEAR(D133)+14)&gt;YEAR(E133),1,(12-MONTH(E133)+1)/12))))-((P133)*(IF((YEAR(D133)+14)&lt;YEAR(E133),0,IF((YEAR(D133)+14)&gt;YEAR(E133),1,(12-MONTH(E133)+1)/12))) + (R133)*(IF((YEAR(D133)+14)&lt;YEAR(E133),0,IF((YEAR(D133)+14)&gt;YEAR(E133),1,(12-MONTH(E133)+1)/12))))-(IF((((K133)*(IF(M133="",L133,IFERROR(IF(INDEX(Variablen!$I:$AT, MATCH(M133, Variablen!$A:$A, 0), MATCH((YEAR(D133)+14), Variablen!$I$3:$AT$3, 0))="",L133,INDEX(Variablen!$I:$AT, MATCH(M133, Variablen!$A:$A, 0), MATCH((YEAR(D133)+14), Variablen!$I$3:$AT$3, 0))),L133)))*(IF((YEAR(D133)+14)&lt;YEAR(E133),0,IF((YEAR(D133)+14)&gt;YEAR(E133),1,(12-MONTH(E133)+1)/12))) + (Q133)*(IF((YEAR(D133)+14)&lt;YEAR(E133),0,IF((YEAR(D133)+14)&gt;YEAR(E133),1,(12-MONTH(E133)+1)/12))))-((P133)*(IF((YEAR(D133)+14)&lt;YEAR(E133),0,IF((YEAR(D133)+14)&gt;YEAR(E133),1,(12-MONTH(E133)+1)/12))) + (R133)*(IF((YEAR(D133)+14)&lt;YEAR(E133),0,IF((YEAR(D133)+14)&gt;YEAR(E133),1,(12-MONTH(E133)+1)/12))))-(IF(OR(N133="",N133&lt;=0),0,(O133/N133)*(IF(OR(N133="",N133&lt;=0),0,IF((YEAR(D133)+14)&lt;YEAR(E133),0,IF((YEAR(D133)+14)&gt;=YEAR(E133)+N133,0,IF((YEAR(D133)+14)=YEAR(E133),(12-MONTH(E133)+1)/12,1))))))))&gt;0,(((K133)*(IF(M133="",L133,IFERROR(IF(INDEX(Variablen!$I:$AT, MATCH(M133, Variablen!$A:$A, 0), MATCH((YEAR(D133)+14), Variablen!$I$3:$AT$3, 0))="",L133,INDEX(Variablen!$I:$AT, MATCH(M133, Variablen!$A:$A, 0), MATCH((YEAR(D133)+14), Variablen!$I$3:$AT$3, 0))),L133)))*(IF((YEAR(D133)+14)&lt;YEAR(E133),0,IF((YEAR(D133)+14)&gt;YEAR(E133),1,(12-MONTH(E133)+1)/12))) + (Q133)*(IF((YEAR(D133)+14)&lt;YEAR(E133),0,IF((YEAR(D133)+14)&gt;YEAR(E133),1,(12-MONTH(E133)+1)/12))))-((P133)*(IF((YEAR(D133)+14)&lt;YEAR(E133),0,IF((YEAR(D133)+14)&gt;YEAR(E133),1,(12-MONTH(E133)+1)/12))) + (R133)*(IF((YEAR(D133)+14)&lt;YEAR(E133),0,IF((YEAR(D133)+14)&gt;YEAR(E133),1,(12-MONTH(E133)+1)/12))))-(IF(OR(N133="",N133&lt;=0),0,(O133/N133)*(IF(OR(N133="",N133&lt;=0),0,IF((YEAR(D133)+14)&lt;YEAR(E133),0,IF((YEAR(D133)+14)&gt;=YEAR(E133)+N133,0,IF((YEAR(D133)+14)=YEAR(E133),(12-MONTH(E133)+1)/12,1))))))))*TaxRate,0))-IF(14=0,O133,0))</f>
        <v/>
      </c>
      <c r="AH133" s="29">
        <f>IF(A133="","",((K133)*(IF(M133="",L133,IFERROR(IF(INDEX(Variablen!$I:$AT, MATCH(M133, Variablen!$A:$A, 0), MATCH((YEAR(D133)+15), Variablen!$I$3:$AT$3, 0))="",L133,INDEX(Variablen!$I:$AT, MATCH(M133, Variablen!$A:$A, 0), MATCH((YEAR(D133)+15), Variablen!$I$3:$AT$3, 0))),L133)))*(IF((YEAR(D133)+15)&lt;YEAR(E133),0,IF((YEAR(D133)+15)&gt;YEAR(E133),1,(12-MONTH(E133)+1)/12))) + (Q133)*(IF((YEAR(D133)+15)&lt;YEAR(E133),0,IF((YEAR(D133)+15)&gt;YEAR(E133),1,(12-MONTH(E133)+1)/12))))-((P133)*(IF((YEAR(D133)+15)&lt;YEAR(E133),0,IF((YEAR(D133)+15)&gt;YEAR(E133),1,(12-MONTH(E133)+1)/12))) + (R133)*(IF((YEAR(D133)+15)&lt;YEAR(E133),0,IF((YEAR(D133)+15)&gt;YEAR(E133),1,(12-MONTH(E133)+1)/12))))-(IF((((K133)*(IF(M133="",L133,IFERROR(IF(INDEX(Variablen!$I:$AT, MATCH(M133, Variablen!$A:$A, 0), MATCH((YEAR(D133)+15), Variablen!$I$3:$AT$3, 0))="",L133,INDEX(Variablen!$I:$AT, MATCH(M133, Variablen!$A:$A, 0), MATCH((YEAR(D133)+15), Variablen!$I$3:$AT$3, 0))),L133)))*(IF((YEAR(D133)+15)&lt;YEAR(E133),0,IF((YEAR(D133)+15)&gt;YEAR(E133),1,(12-MONTH(E133)+1)/12))) + (Q133)*(IF((YEAR(D133)+15)&lt;YEAR(E133),0,IF((YEAR(D133)+15)&gt;YEAR(E133),1,(12-MONTH(E133)+1)/12))))-((P133)*(IF((YEAR(D133)+15)&lt;YEAR(E133),0,IF((YEAR(D133)+15)&gt;YEAR(E133),1,(12-MONTH(E133)+1)/12))) + (R133)*(IF((YEAR(D133)+15)&lt;YEAR(E133),0,IF((YEAR(D133)+15)&gt;YEAR(E133),1,(12-MONTH(E133)+1)/12))))-(IF(OR(N133="",N133&lt;=0),0,(O133/N133)*(IF(OR(N133="",N133&lt;=0),0,IF((YEAR(D133)+15)&lt;YEAR(E133),0,IF((YEAR(D133)+15)&gt;=YEAR(E133)+N133,0,IF((YEAR(D133)+15)=YEAR(E133),(12-MONTH(E133)+1)/12,1))))))))&gt;0,(((K133)*(IF(M133="",L133,IFERROR(IF(INDEX(Variablen!$I:$AT, MATCH(M133, Variablen!$A:$A, 0), MATCH((YEAR(D133)+15), Variablen!$I$3:$AT$3, 0))="",L133,INDEX(Variablen!$I:$AT, MATCH(M133, Variablen!$A:$A, 0), MATCH((YEAR(D133)+15), Variablen!$I$3:$AT$3, 0))),L133)))*(IF((YEAR(D133)+15)&lt;YEAR(E133),0,IF((YEAR(D133)+15)&gt;YEAR(E133),1,(12-MONTH(E133)+1)/12))) + (Q133)*(IF((YEAR(D133)+15)&lt;YEAR(E133),0,IF((YEAR(D133)+15)&gt;YEAR(E133),1,(12-MONTH(E133)+1)/12))))-((P133)*(IF((YEAR(D133)+15)&lt;YEAR(E133),0,IF((YEAR(D133)+15)&gt;YEAR(E133),1,(12-MONTH(E133)+1)/12))) + (R133)*(IF((YEAR(D133)+15)&lt;YEAR(E133),0,IF((YEAR(D133)+15)&gt;YEAR(E133),1,(12-MONTH(E133)+1)/12))))-(IF(OR(N133="",N133&lt;=0),0,(O133/N133)*(IF(OR(N133="",N133&lt;=0),0,IF((YEAR(D133)+15)&lt;YEAR(E133),0,IF((YEAR(D133)+15)&gt;=YEAR(E133)+N133,0,IF((YEAR(D133)+15)=YEAR(E133),(12-MONTH(E133)+1)/12,1))))))))*TaxRate,0))-IF(15=0,O133,0))</f>
        <v/>
      </c>
      <c r="AI133" s="29">
        <f>IF(A133="","",((K133)*(IF(M133="",L133,IFERROR(IF(INDEX(Variablen!$I:$AT, MATCH(M133, Variablen!$A:$A, 0), MATCH((YEAR(D133)+16), Variablen!$I$3:$AT$3, 0))="",L133,INDEX(Variablen!$I:$AT, MATCH(M133, Variablen!$A:$A, 0), MATCH((YEAR(D133)+16), Variablen!$I$3:$AT$3, 0))),L133)))*(IF((YEAR(D133)+16)&lt;YEAR(E133),0,IF((YEAR(D133)+16)&gt;YEAR(E133),1,(12-MONTH(E133)+1)/12))) + (Q133)*(IF((YEAR(D133)+16)&lt;YEAR(E133),0,IF((YEAR(D133)+16)&gt;YEAR(E133),1,(12-MONTH(E133)+1)/12))))-((P133)*(IF((YEAR(D133)+16)&lt;YEAR(E133),0,IF((YEAR(D133)+16)&gt;YEAR(E133),1,(12-MONTH(E133)+1)/12))) + (R133)*(IF((YEAR(D133)+16)&lt;YEAR(E133),0,IF((YEAR(D133)+16)&gt;YEAR(E133),1,(12-MONTH(E133)+1)/12))))-(IF((((K133)*(IF(M133="",L133,IFERROR(IF(INDEX(Variablen!$I:$AT, MATCH(M133, Variablen!$A:$A, 0), MATCH((YEAR(D133)+16), Variablen!$I$3:$AT$3, 0))="",L133,INDEX(Variablen!$I:$AT, MATCH(M133, Variablen!$A:$A, 0), MATCH((YEAR(D133)+16), Variablen!$I$3:$AT$3, 0))),L133)))*(IF((YEAR(D133)+16)&lt;YEAR(E133),0,IF((YEAR(D133)+16)&gt;YEAR(E133),1,(12-MONTH(E133)+1)/12))) + (Q133)*(IF((YEAR(D133)+16)&lt;YEAR(E133),0,IF((YEAR(D133)+16)&gt;YEAR(E133),1,(12-MONTH(E133)+1)/12))))-((P133)*(IF((YEAR(D133)+16)&lt;YEAR(E133),0,IF((YEAR(D133)+16)&gt;YEAR(E133),1,(12-MONTH(E133)+1)/12))) + (R133)*(IF((YEAR(D133)+16)&lt;YEAR(E133),0,IF((YEAR(D133)+16)&gt;YEAR(E133),1,(12-MONTH(E133)+1)/12))))-(IF(OR(N133="",N133&lt;=0),0,(O133/N133)*(IF(OR(N133="",N133&lt;=0),0,IF((YEAR(D133)+16)&lt;YEAR(E133),0,IF((YEAR(D133)+16)&gt;=YEAR(E133)+N133,0,IF((YEAR(D133)+16)=YEAR(E133),(12-MONTH(E133)+1)/12,1))))))))&gt;0,(((K133)*(IF(M133="",L133,IFERROR(IF(INDEX(Variablen!$I:$AT, MATCH(M133, Variablen!$A:$A, 0), MATCH((YEAR(D133)+16), Variablen!$I$3:$AT$3, 0))="",L133,INDEX(Variablen!$I:$AT, MATCH(M133, Variablen!$A:$A, 0), MATCH((YEAR(D133)+16), Variablen!$I$3:$AT$3, 0))),L133)))*(IF((YEAR(D133)+16)&lt;YEAR(E133),0,IF((YEAR(D133)+16)&gt;YEAR(E133),1,(12-MONTH(E133)+1)/12))) + (Q133)*(IF((YEAR(D133)+16)&lt;YEAR(E133),0,IF((YEAR(D133)+16)&gt;YEAR(E133),1,(12-MONTH(E133)+1)/12))))-((P133)*(IF((YEAR(D133)+16)&lt;YEAR(E133),0,IF((YEAR(D133)+16)&gt;YEAR(E133),1,(12-MONTH(E133)+1)/12))) + (R133)*(IF((YEAR(D133)+16)&lt;YEAR(E133),0,IF((YEAR(D133)+16)&gt;YEAR(E133),1,(12-MONTH(E133)+1)/12))))-(IF(OR(N133="",N133&lt;=0),0,(O133/N133)*(IF(OR(N133="",N133&lt;=0),0,IF((YEAR(D133)+16)&lt;YEAR(E133),0,IF((YEAR(D133)+16)&gt;=YEAR(E133)+N133,0,IF((YEAR(D133)+16)=YEAR(E133),(12-MONTH(E133)+1)/12,1))))))))*TaxRate,0))-IF(16=0,O133,0))</f>
        <v/>
      </c>
      <c r="AJ133" s="29">
        <f>IF(A133="","",((K133)*(IF(M133="",L133,IFERROR(IF(INDEX(Variablen!$I:$AT, MATCH(M133, Variablen!$A:$A, 0), MATCH((YEAR(D133)+17), Variablen!$I$3:$AT$3, 0))="",L133,INDEX(Variablen!$I:$AT, MATCH(M133, Variablen!$A:$A, 0), MATCH((YEAR(D133)+17), Variablen!$I$3:$AT$3, 0))),L133)))*(IF((YEAR(D133)+17)&lt;YEAR(E133),0,IF((YEAR(D133)+17)&gt;YEAR(E133),1,(12-MONTH(E133)+1)/12))) + (Q133)*(IF((YEAR(D133)+17)&lt;YEAR(E133),0,IF((YEAR(D133)+17)&gt;YEAR(E133),1,(12-MONTH(E133)+1)/12))))-((P133)*(IF((YEAR(D133)+17)&lt;YEAR(E133),0,IF((YEAR(D133)+17)&gt;YEAR(E133),1,(12-MONTH(E133)+1)/12))) + (R133)*(IF((YEAR(D133)+17)&lt;YEAR(E133),0,IF((YEAR(D133)+17)&gt;YEAR(E133),1,(12-MONTH(E133)+1)/12))))-(IF((((K133)*(IF(M133="",L133,IFERROR(IF(INDEX(Variablen!$I:$AT, MATCH(M133, Variablen!$A:$A, 0), MATCH((YEAR(D133)+17), Variablen!$I$3:$AT$3, 0))="",L133,INDEX(Variablen!$I:$AT, MATCH(M133, Variablen!$A:$A, 0), MATCH((YEAR(D133)+17), Variablen!$I$3:$AT$3, 0))),L133)))*(IF((YEAR(D133)+17)&lt;YEAR(E133),0,IF((YEAR(D133)+17)&gt;YEAR(E133),1,(12-MONTH(E133)+1)/12))) + (Q133)*(IF((YEAR(D133)+17)&lt;YEAR(E133),0,IF((YEAR(D133)+17)&gt;YEAR(E133),1,(12-MONTH(E133)+1)/12))))-((P133)*(IF((YEAR(D133)+17)&lt;YEAR(E133),0,IF((YEAR(D133)+17)&gt;YEAR(E133),1,(12-MONTH(E133)+1)/12))) + (R133)*(IF((YEAR(D133)+17)&lt;YEAR(E133),0,IF((YEAR(D133)+17)&gt;YEAR(E133),1,(12-MONTH(E133)+1)/12))))-(IF(OR(N133="",N133&lt;=0),0,(O133/N133)*(IF(OR(N133="",N133&lt;=0),0,IF((YEAR(D133)+17)&lt;YEAR(E133),0,IF((YEAR(D133)+17)&gt;=YEAR(E133)+N133,0,IF((YEAR(D133)+17)=YEAR(E133),(12-MONTH(E133)+1)/12,1))))))))&gt;0,(((K133)*(IF(M133="",L133,IFERROR(IF(INDEX(Variablen!$I:$AT, MATCH(M133, Variablen!$A:$A, 0), MATCH((YEAR(D133)+17), Variablen!$I$3:$AT$3, 0))="",L133,INDEX(Variablen!$I:$AT, MATCH(M133, Variablen!$A:$A, 0), MATCH((YEAR(D133)+17), Variablen!$I$3:$AT$3, 0))),L133)))*(IF((YEAR(D133)+17)&lt;YEAR(E133),0,IF((YEAR(D133)+17)&gt;YEAR(E133),1,(12-MONTH(E133)+1)/12))) + (Q133)*(IF((YEAR(D133)+17)&lt;YEAR(E133),0,IF((YEAR(D133)+17)&gt;YEAR(E133),1,(12-MONTH(E133)+1)/12))))-((P133)*(IF((YEAR(D133)+17)&lt;YEAR(E133),0,IF((YEAR(D133)+17)&gt;YEAR(E133),1,(12-MONTH(E133)+1)/12))) + (R133)*(IF((YEAR(D133)+17)&lt;YEAR(E133),0,IF((YEAR(D133)+17)&gt;YEAR(E133),1,(12-MONTH(E133)+1)/12))))-(IF(OR(N133="",N133&lt;=0),0,(O133/N133)*(IF(OR(N133="",N133&lt;=0),0,IF((YEAR(D133)+17)&lt;YEAR(E133),0,IF((YEAR(D133)+17)&gt;=YEAR(E133)+N133,0,IF((YEAR(D133)+17)=YEAR(E133),(12-MONTH(E133)+1)/12,1))))))))*TaxRate,0))-IF(17=0,O133,0))</f>
        <v/>
      </c>
      <c r="AK133" s="29">
        <f>IF(A133="","",((K133)*(IF(M133="",L133,IFERROR(IF(INDEX(Variablen!$I:$AT, MATCH(M133, Variablen!$A:$A, 0), MATCH((YEAR(D133)+18), Variablen!$I$3:$AT$3, 0))="",L133,INDEX(Variablen!$I:$AT, MATCH(M133, Variablen!$A:$A, 0), MATCH((YEAR(D133)+18), Variablen!$I$3:$AT$3, 0))),L133)))*(IF((YEAR(D133)+18)&lt;YEAR(E133),0,IF((YEAR(D133)+18)&gt;YEAR(E133),1,(12-MONTH(E133)+1)/12))) + (Q133)*(IF((YEAR(D133)+18)&lt;YEAR(E133),0,IF((YEAR(D133)+18)&gt;YEAR(E133),1,(12-MONTH(E133)+1)/12))))-((P133)*(IF((YEAR(D133)+18)&lt;YEAR(E133),0,IF((YEAR(D133)+18)&gt;YEAR(E133),1,(12-MONTH(E133)+1)/12))) + (R133)*(IF((YEAR(D133)+18)&lt;YEAR(E133),0,IF((YEAR(D133)+18)&gt;YEAR(E133),1,(12-MONTH(E133)+1)/12))))-(IF((((K133)*(IF(M133="",L133,IFERROR(IF(INDEX(Variablen!$I:$AT, MATCH(M133, Variablen!$A:$A, 0), MATCH((YEAR(D133)+18), Variablen!$I$3:$AT$3, 0))="",L133,INDEX(Variablen!$I:$AT, MATCH(M133, Variablen!$A:$A, 0), MATCH((YEAR(D133)+18), Variablen!$I$3:$AT$3, 0))),L133)))*(IF((YEAR(D133)+18)&lt;YEAR(E133),0,IF((YEAR(D133)+18)&gt;YEAR(E133),1,(12-MONTH(E133)+1)/12))) + (Q133)*(IF((YEAR(D133)+18)&lt;YEAR(E133),0,IF((YEAR(D133)+18)&gt;YEAR(E133),1,(12-MONTH(E133)+1)/12))))-((P133)*(IF((YEAR(D133)+18)&lt;YEAR(E133),0,IF((YEAR(D133)+18)&gt;YEAR(E133),1,(12-MONTH(E133)+1)/12))) + (R133)*(IF((YEAR(D133)+18)&lt;YEAR(E133),0,IF((YEAR(D133)+18)&gt;YEAR(E133),1,(12-MONTH(E133)+1)/12))))-(IF(OR(N133="",N133&lt;=0),0,(O133/N133)*(IF(OR(N133="",N133&lt;=0),0,IF((YEAR(D133)+18)&lt;YEAR(E133),0,IF((YEAR(D133)+18)&gt;=YEAR(E133)+N133,0,IF((YEAR(D133)+18)=YEAR(E133),(12-MONTH(E133)+1)/12,1))))))))&gt;0,(((K133)*(IF(M133="",L133,IFERROR(IF(INDEX(Variablen!$I:$AT, MATCH(M133, Variablen!$A:$A, 0), MATCH((YEAR(D133)+18), Variablen!$I$3:$AT$3, 0))="",L133,INDEX(Variablen!$I:$AT, MATCH(M133, Variablen!$A:$A, 0), MATCH((YEAR(D133)+18), Variablen!$I$3:$AT$3, 0))),L133)))*(IF((YEAR(D133)+18)&lt;YEAR(E133),0,IF((YEAR(D133)+18)&gt;YEAR(E133),1,(12-MONTH(E133)+1)/12))) + (Q133)*(IF((YEAR(D133)+18)&lt;YEAR(E133),0,IF((YEAR(D133)+18)&gt;YEAR(E133),1,(12-MONTH(E133)+1)/12))))-((P133)*(IF((YEAR(D133)+18)&lt;YEAR(E133),0,IF((YEAR(D133)+18)&gt;YEAR(E133),1,(12-MONTH(E133)+1)/12))) + (R133)*(IF((YEAR(D133)+18)&lt;YEAR(E133),0,IF((YEAR(D133)+18)&gt;YEAR(E133),1,(12-MONTH(E133)+1)/12))))-(IF(OR(N133="",N133&lt;=0),0,(O133/N133)*(IF(OR(N133="",N133&lt;=0),0,IF((YEAR(D133)+18)&lt;YEAR(E133),0,IF((YEAR(D133)+18)&gt;=YEAR(E133)+N133,0,IF((YEAR(D133)+18)=YEAR(E133),(12-MONTH(E133)+1)/12,1))))))))*TaxRate,0))-IF(18=0,O133,0))</f>
        <v/>
      </c>
      <c r="AL133" s="29">
        <f>IF(A133="","",((K133)*(IF(M133="",L133,IFERROR(IF(INDEX(Variablen!$I:$AT, MATCH(M133, Variablen!$A:$A, 0), MATCH((YEAR(D133)+19), Variablen!$I$3:$AT$3, 0))="",L133,INDEX(Variablen!$I:$AT, MATCH(M133, Variablen!$A:$A, 0), MATCH((YEAR(D133)+19), Variablen!$I$3:$AT$3, 0))),L133)))*(IF((YEAR(D133)+19)&lt;YEAR(E133),0,IF((YEAR(D133)+19)&gt;YEAR(E133),1,(12-MONTH(E133)+1)/12))) + (Q133)*(IF((YEAR(D133)+19)&lt;YEAR(E133),0,IF((YEAR(D133)+19)&gt;YEAR(E133),1,(12-MONTH(E133)+1)/12))))-((P133)*(IF((YEAR(D133)+19)&lt;YEAR(E133),0,IF((YEAR(D133)+19)&gt;YEAR(E133),1,(12-MONTH(E133)+1)/12))) + (R133)*(IF((YEAR(D133)+19)&lt;YEAR(E133),0,IF((YEAR(D133)+19)&gt;YEAR(E133),1,(12-MONTH(E133)+1)/12))))-(IF((((K133)*(IF(M133="",L133,IFERROR(IF(INDEX(Variablen!$I:$AT, MATCH(M133, Variablen!$A:$A, 0), MATCH((YEAR(D133)+19), Variablen!$I$3:$AT$3, 0))="",L133,INDEX(Variablen!$I:$AT, MATCH(M133, Variablen!$A:$A, 0), MATCH((YEAR(D133)+19), Variablen!$I$3:$AT$3, 0))),L133)))*(IF((YEAR(D133)+19)&lt;YEAR(E133),0,IF((YEAR(D133)+19)&gt;YEAR(E133),1,(12-MONTH(E133)+1)/12))) + (Q133)*(IF((YEAR(D133)+19)&lt;YEAR(E133),0,IF((YEAR(D133)+19)&gt;YEAR(E133),1,(12-MONTH(E133)+1)/12))))-((P133)*(IF((YEAR(D133)+19)&lt;YEAR(E133),0,IF((YEAR(D133)+19)&gt;YEAR(E133),1,(12-MONTH(E133)+1)/12))) + (R133)*(IF((YEAR(D133)+19)&lt;YEAR(E133),0,IF((YEAR(D133)+19)&gt;YEAR(E133),1,(12-MONTH(E133)+1)/12))))-(IF(OR(N133="",N133&lt;=0),0,(O133/N133)*(IF(OR(N133="",N133&lt;=0),0,IF((YEAR(D133)+19)&lt;YEAR(E133),0,IF((YEAR(D133)+19)&gt;=YEAR(E133)+N133,0,IF((YEAR(D133)+19)=YEAR(E133),(12-MONTH(E133)+1)/12,1))))))))&gt;0,(((K133)*(IF(M133="",L133,IFERROR(IF(INDEX(Variablen!$I:$AT, MATCH(M133, Variablen!$A:$A, 0), MATCH((YEAR(D133)+19), Variablen!$I$3:$AT$3, 0))="",L133,INDEX(Variablen!$I:$AT, MATCH(M133, Variablen!$A:$A, 0), MATCH((YEAR(D133)+19), Variablen!$I$3:$AT$3, 0))),L133)))*(IF((YEAR(D133)+19)&lt;YEAR(E133),0,IF((YEAR(D133)+19)&gt;YEAR(E133),1,(12-MONTH(E133)+1)/12))) + (Q133)*(IF((YEAR(D133)+19)&lt;YEAR(E133),0,IF((YEAR(D133)+19)&gt;YEAR(E133),1,(12-MONTH(E133)+1)/12))))-((P133)*(IF((YEAR(D133)+19)&lt;YEAR(E133),0,IF((YEAR(D133)+19)&gt;YEAR(E133),1,(12-MONTH(E133)+1)/12))) + (R133)*(IF((YEAR(D133)+19)&lt;YEAR(E133),0,IF((YEAR(D133)+19)&gt;YEAR(E133),1,(12-MONTH(E133)+1)/12))))-(IF(OR(N133="",N133&lt;=0),0,(O133/N133)*(IF(OR(N133="",N133&lt;=0),0,IF((YEAR(D133)+19)&lt;YEAR(E133),0,IF((YEAR(D133)+19)&gt;=YEAR(E133)+N133,0,IF((YEAR(D133)+19)=YEAR(E133),(12-MONTH(E133)+1)/12,1))))))))*TaxRate,0))-IF(19=0,O133,0))</f>
        <v/>
      </c>
      <c r="AM133" s="29">
        <f>IF(A133="","",((K133)*(IF(M133="",L133,IFERROR(IF(INDEX(Variablen!$I:$AT, MATCH(M133, Variablen!$A:$A, 0), MATCH((YEAR(D133)+20), Variablen!$I$3:$AT$3, 0))="",L133,INDEX(Variablen!$I:$AT, MATCH(M133, Variablen!$A:$A, 0), MATCH((YEAR(D133)+20), Variablen!$I$3:$AT$3, 0))),L133)))*(IF((YEAR(D133)+20)&lt;YEAR(E133),0,IF((YEAR(D133)+20)&gt;YEAR(E133),1,(12-MONTH(E133)+1)/12))) + (Q133)*(IF((YEAR(D133)+20)&lt;YEAR(E133),0,IF((YEAR(D133)+20)&gt;YEAR(E133),1,(12-MONTH(E133)+1)/12))))-((P133)*(IF((YEAR(D133)+20)&lt;YEAR(E133),0,IF((YEAR(D133)+20)&gt;YEAR(E133),1,(12-MONTH(E133)+1)/12))) + (R133)*(IF((YEAR(D133)+20)&lt;YEAR(E133),0,IF((YEAR(D133)+20)&gt;YEAR(E133),1,(12-MONTH(E133)+1)/12))))-(IF((((K133)*(IF(M133="",L133,IFERROR(IF(INDEX(Variablen!$I:$AT, MATCH(M133, Variablen!$A:$A, 0), MATCH((YEAR(D133)+20), Variablen!$I$3:$AT$3, 0))="",L133,INDEX(Variablen!$I:$AT, MATCH(M133, Variablen!$A:$A, 0), MATCH((YEAR(D133)+20), Variablen!$I$3:$AT$3, 0))),L133)))*(IF((YEAR(D133)+20)&lt;YEAR(E133),0,IF((YEAR(D133)+20)&gt;YEAR(E133),1,(12-MONTH(E133)+1)/12))) + (Q133)*(IF((YEAR(D133)+20)&lt;YEAR(E133),0,IF((YEAR(D133)+20)&gt;YEAR(E133),1,(12-MONTH(E133)+1)/12))))-((P133)*(IF((YEAR(D133)+20)&lt;YEAR(E133),0,IF((YEAR(D133)+20)&gt;YEAR(E133),1,(12-MONTH(E133)+1)/12))) + (R133)*(IF((YEAR(D133)+20)&lt;YEAR(E133),0,IF((YEAR(D133)+20)&gt;YEAR(E133),1,(12-MONTH(E133)+1)/12))))-(IF(OR(N133="",N133&lt;=0),0,(O133/N133)*(IF(OR(N133="",N133&lt;=0),0,IF((YEAR(D133)+20)&lt;YEAR(E133),0,IF((YEAR(D133)+20)&gt;=YEAR(E133)+N133,0,IF((YEAR(D133)+20)=YEAR(E133),(12-MONTH(E133)+1)/12,1))))))))&gt;0,(((K133)*(IF(M133="",L133,IFERROR(IF(INDEX(Variablen!$I:$AT, MATCH(M133, Variablen!$A:$A, 0), MATCH((YEAR(D133)+20), Variablen!$I$3:$AT$3, 0))="",L133,INDEX(Variablen!$I:$AT, MATCH(M133, Variablen!$A:$A, 0), MATCH((YEAR(D133)+20), Variablen!$I$3:$AT$3, 0))),L133)))*(IF((YEAR(D133)+20)&lt;YEAR(E133),0,IF((YEAR(D133)+20)&gt;YEAR(E133),1,(12-MONTH(E133)+1)/12))) + (Q133)*(IF((YEAR(D133)+20)&lt;YEAR(E133),0,IF((YEAR(D133)+20)&gt;YEAR(E133),1,(12-MONTH(E133)+1)/12))))-((P133)*(IF((YEAR(D133)+20)&lt;YEAR(E133),0,IF((YEAR(D133)+20)&gt;YEAR(E133),1,(12-MONTH(E133)+1)/12))) + (R133)*(IF((YEAR(D133)+20)&lt;YEAR(E133),0,IF((YEAR(D133)+20)&gt;YEAR(E133),1,(12-MONTH(E133)+1)/12))))-(IF(OR(N133="",N133&lt;=0),0,(O133/N133)*(IF(OR(N133="",N133&lt;=0),0,IF((YEAR(D133)+20)&lt;YEAR(E133),0,IF((YEAR(D133)+20)&gt;=YEAR(E133)+N133,0,IF((YEAR(D133)+20)=YEAR(E133),(12-MONTH(E133)+1)/12,1))))))))*TaxRate,0))-IF(20=0,O133,0))</f>
        <v/>
      </c>
      <c r="AN133" s="29">
        <f>IF(A133="","",S133)</f>
        <v/>
      </c>
      <c r="AO133" s="29">
        <f>IF(A133="","",AN133+T133)</f>
        <v/>
      </c>
      <c r="AP133" s="29">
        <f>IF(A133="","",AO133+U133)</f>
        <v/>
      </c>
      <c r="AQ133" s="29">
        <f>IF(A133="","",AP133+V133)</f>
        <v/>
      </c>
      <c r="AR133" s="29">
        <f>IF(A133="","",AQ133+W133)</f>
        <v/>
      </c>
      <c r="AS133" s="29">
        <f>IF(A133="","",AR133+X133)</f>
        <v/>
      </c>
      <c r="AT133" s="29">
        <f>IF(A133="","",AS133+Y133)</f>
        <v/>
      </c>
      <c r="AU133" s="29">
        <f>IF(A133="","",AT133+Z133)</f>
        <v/>
      </c>
      <c r="AV133" s="29">
        <f>IF(A133="","",AU133+AA133)</f>
        <v/>
      </c>
      <c r="AW133" s="29">
        <f>IF(A133="","",AV133+AB133)</f>
        <v/>
      </c>
      <c r="AX133" s="29">
        <f>IF(A133="","",AW133+AC133)</f>
        <v/>
      </c>
      <c r="AY133" s="29">
        <f>IF(A133="","",AX133+AD133)</f>
        <v/>
      </c>
      <c r="AZ133" s="29">
        <f>IF(A133="","",AY133+AE133)</f>
        <v/>
      </c>
      <c r="BA133" s="29">
        <f>IF(A133="","",AZ133+AF133)</f>
        <v/>
      </c>
      <c r="BB133" s="29">
        <f>IF(A133="","",BA133+AG133)</f>
        <v/>
      </c>
      <c r="BC133" s="29">
        <f>IF(A133="","",BB133+AH133)</f>
        <v/>
      </c>
      <c r="BD133" s="29">
        <f>IF(A133="","",BC133+AI133)</f>
        <v/>
      </c>
      <c r="BE133" s="29">
        <f>IF(A133="","",BD133+AJ133)</f>
        <v/>
      </c>
      <c r="BF133" s="29">
        <f>IF(A133="","",BE133+AK133)</f>
        <v/>
      </c>
      <c r="BG133" s="29">
        <f>IF(A133="","",BF133+AL133)</f>
        <v/>
      </c>
      <c r="BH133" s="29">
        <f>IF(A133="","",BG133+AM133)</f>
        <v/>
      </c>
      <c r="BI133" s="36">
        <f>IF(A133="","",(K133)*(IF((YEAR(D133)+0)&lt;YEAR(E133),0,IF((YEAR(D133)+0)&gt;YEAR(E133),1,(12-MONTH(E133)+1)/12)))*(1/(1+DiscountRate)^0))</f>
        <v/>
      </c>
      <c r="BJ133" s="36">
        <f>IF(A133="","",(K133)*(IF((YEAR(D133)+1)&lt;YEAR(E133),0,IF((YEAR(D133)+1)&gt;YEAR(E133),1,(12-MONTH(E133)+1)/12)))*(1/(1+DiscountRate)^1))</f>
        <v/>
      </c>
      <c r="BK133" s="36">
        <f>IF(A133="","",(K133)*(IF((YEAR(D133)+2)&lt;YEAR(E133),0,IF((YEAR(D133)+2)&gt;YEAR(E133),1,(12-MONTH(E133)+1)/12)))*(1/(1+DiscountRate)^2))</f>
        <v/>
      </c>
      <c r="BL133" s="36">
        <f>IF(A133="","",(K133)*(IF((YEAR(D133)+3)&lt;YEAR(E133),0,IF((YEAR(D133)+3)&gt;YEAR(E133),1,(12-MONTH(E133)+1)/12)))*(1/(1+DiscountRate)^3))</f>
        <v/>
      </c>
      <c r="BM133" s="36">
        <f>IF(A133="","",(K133)*(IF((YEAR(D133)+4)&lt;YEAR(E133),0,IF((YEAR(D133)+4)&gt;YEAR(E133),1,(12-MONTH(E133)+1)/12)))*(1/(1+DiscountRate)^4))</f>
        <v/>
      </c>
      <c r="BN133" s="36">
        <f>IF(A133="","",(K133)*(IF((YEAR(D133)+5)&lt;YEAR(E133),0,IF((YEAR(D133)+5)&gt;YEAR(E133),1,(12-MONTH(E133)+1)/12)))*(1/(1+DiscountRate)^5))</f>
        <v/>
      </c>
      <c r="BO133" s="36">
        <f>IF(A133="","",(K133)*(IF((YEAR(D133)+6)&lt;YEAR(E133),0,IF((YEAR(D133)+6)&gt;YEAR(E133),1,(12-MONTH(E133)+1)/12)))*(1/(1+DiscountRate)^6))</f>
        <v/>
      </c>
      <c r="BP133" s="36">
        <f>IF(A133="","",(K133)*(IF((YEAR(D133)+7)&lt;YEAR(E133),0,IF((YEAR(D133)+7)&gt;YEAR(E133),1,(12-MONTH(E133)+1)/12)))*(1/(1+DiscountRate)^7))</f>
        <v/>
      </c>
      <c r="BQ133" s="36">
        <f>IF(A133="","",(K133)*(IF((YEAR(D133)+8)&lt;YEAR(E133),0,IF((YEAR(D133)+8)&gt;YEAR(E133),1,(12-MONTH(E133)+1)/12)))*(1/(1+DiscountRate)^8))</f>
        <v/>
      </c>
      <c r="BR133" s="36">
        <f>IF(A133="","",(K133)*(IF((YEAR(D133)+9)&lt;YEAR(E133),0,IF((YEAR(D133)+9)&gt;YEAR(E133),1,(12-MONTH(E133)+1)/12)))*(1/(1+DiscountRate)^9))</f>
        <v/>
      </c>
      <c r="BS133" s="36">
        <f>IF(A133="","",(K133)*(IF((YEAR(D133)+10)&lt;YEAR(E133),0,IF((YEAR(D133)+10)&gt;YEAR(E133),1,(12-MONTH(E133)+1)/12)))*(1/(1+DiscountRate)^10))</f>
        <v/>
      </c>
      <c r="BT133" s="36">
        <f>IF(A133="","",(K133)*(IF((YEAR(D133)+11)&lt;YEAR(E133),0,IF((YEAR(D133)+11)&gt;YEAR(E133),1,(12-MONTH(E133)+1)/12)))*(1/(1+DiscountRate)^11))</f>
        <v/>
      </c>
      <c r="BU133" s="36">
        <f>IF(A133="","",(K133)*(IF((YEAR(D133)+12)&lt;YEAR(E133),0,IF((YEAR(D133)+12)&gt;YEAR(E133),1,(12-MONTH(E133)+1)/12)))*(1/(1+DiscountRate)^12))</f>
        <v/>
      </c>
      <c r="BV133" s="36">
        <f>IF(A133="","",(K133)*(IF((YEAR(D133)+13)&lt;YEAR(E133),0,IF((YEAR(D133)+13)&gt;YEAR(E133),1,(12-MONTH(E133)+1)/12)))*(1/(1+DiscountRate)^13))</f>
        <v/>
      </c>
      <c r="BW133" s="36">
        <f>IF(A133="","",(K133)*(IF((YEAR(D133)+14)&lt;YEAR(E133),0,IF((YEAR(D133)+14)&gt;YEAR(E133),1,(12-MONTH(E133)+1)/12)))*(1/(1+DiscountRate)^14))</f>
        <v/>
      </c>
      <c r="BX133" s="36">
        <f>IF(A133="","",(K133)*(IF((YEAR(D133)+15)&lt;YEAR(E133),0,IF((YEAR(D133)+15)&gt;YEAR(E133),1,(12-MONTH(E133)+1)/12)))*(1/(1+DiscountRate)^15))</f>
        <v/>
      </c>
      <c r="BY133" s="36">
        <f>IF(A133="","",(K133)*(IF((YEAR(D133)+16)&lt;YEAR(E133),0,IF((YEAR(D133)+16)&gt;YEAR(E133),1,(12-MONTH(E133)+1)/12)))*(1/(1+DiscountRate)^16))</f>
        <v/>
      </c>
      <c r="BZ133" s="36">
        <f>IF(A133="","",(K133)*(IF((YEAR(D133)+17)&lt;YEAR(E133),0,IF((YEAR(D133)+17)&gt;YEAR(E133),1,(12-MONTH(E133)+1)/12)))*(1/(1+DiscountRate)^17))</f>
        <v/>
      </c>
      <c r="CA133" s="36">
        <f>IF(A133="","",(K133)*(IF((YEAR(D133)+18)&lt;YEAR(E133),0,IF((YEAR(D133)+18)&gt;YEAR(E133),1,(12-MONTH(E133)+1)/12)))*(1/(1+DiscountRate)^18))</f>
        <v/>
      </c>
      <c r="CB133" s="36">
        <f>IF(A133="","",(K133)*(IF((YEAR(D133)+19)&lt;YEAR(E133),0,IF((YEAR(D133)+19)&gt;YEAR(E133),1,(12-MONTH(E133)+1)/12)))*(1/(1+DiscountRate)^19))</f>
        <v/>
      </c>
      <c r="CC133" s="36">
        <f>IF(A133="","",(K133)*(IF((YEAR(D133)+20)&lt;YEAR(E133),0,IF((YEAR(D133)+20)&gt;YEAR(E133),1,(12-MONTH(E133)+1)/12)))*(1/(1+DiscountRate)^20))</f>
        <v/>
      </c>
      <c r="CD133" s="29">
        <f>IF(A133="","",S133/(1+DiscountRate)^0+T133/(1+DiscountRate)^1+U133/(1+DiscountRate)^2+V133/(1+DiscountRate)^3+W133/(1+DiscountRate)^4+X133/(1+DiscountRate)^5+Y133/(1+DiscountRate)^6+Z133/(1+DiscountRate)^7+AA133/(1+DiscountRate)^8+AB133/(1+DiscountRate)^9+AC133/(1+DiscountRate)^10+AD133/(1+DiscountRate)^11+AE133/(1+DiscountRate)^12+AF133/(1+DiscountRate)^13+AG133/(1+DiscountRate)^14+AH133/(1+DiscountRate)^15+AI133/(1+DiscountRate)^16+AJ133/(1+DiscountRate)^17+AK133/(1+DiscountRate)^18+AL133/(1+DiscountRate)^19+AM133/(1+DiscountRate)^20)</f>
        <v/>
      </c>
      <c r="CE133" s="37">
        <f>IF(A133="","",IFERROR(IRR(OFFSET(S133,0,0,1,MIN(HorizonYears,20)+1)),"n/a"))</f>
        <v/>
      </c>
      <c r="CF133" s="28">
        <f>IF(A133="","",IFERROR(MATCH(TRUE,OFFSET(AN133,0,0,1,MIN(HorizonYears,20)+1)&gt;=0,0)-1,"n/a"))</f>
        <v/>
      </c>
      <c r="CG133" s="36">
        <f>IF(A133="","",SUM(OFFSET(BI133,0,0,1,MIN(HorizonYears,20)+1)))</f>
        <v/>
      </c>
      <c r="CH133" s="36">
        <f>IF(A133="","",IFERROR(-CD133/CG133,"n/a"))</f>
        <v/>
      </c>
    </row>
    <row r="134">
      <c r="A134" s="6">
        <f>Actions!A132</f>
        <v/>
      </c>
      <c r="B134" s="6">
        <f>Actions!B132</f>
        <v/>
      </c>
      <c r="C134" s="6">
        <f>Actions!D132</f>
        <v/>
      </c>
      <c r="D134" s="35">
        <f>Actions!E132</f>
        <v/>
      </c>
      <c r="E134" s="35">
        <f>Actions!F132</f>
        <v/>
      </c>
      <c r="F134" s="6">
        <f>Actions!G132</f>
        <v/>
      </c>
      <c r="G134" s="6">
        <f>Actions!H132</f>
        <v/>
      </c>
      <c r="H134" s="29">
        <f>Actions!I132</f>
        <v/>
      </c>
      <c r="I134" s="6">
        <f>Actions!J132</f>
        <v/>
      </c>
      <c r="J134" s="16">
        <f>Actions!K132</f>
        <v/>
      </c>
      <c r="K134" s="16">
        <f>IF(A134="","",IF(I134="%",H134*J134,J134))</f>
        <v/>
      </c>
      <c r="L134" s="16">
        <f>Actions!L132</f>
        <v/>
      </c>
      <c r="M134" s="6">
        <f>Actions!M132</f>
        <v/>
      </c>
      <c r="N134" s="28">
        <f>Actions!N132</f>
        <v/>
      </c>
      <c r="O134" s="29">
        <f>Actions!T132</f>
        <v/>
      </c>
      <c r="P134" s="29">
        <f>Actions!Y132</f>
        <v/>
      </c>
      <c r="Q134" s="29">
        <f>Actions!Z132</f>
        <v/>
      </c>
      <c r="R134" s="29">
        <f>Actions!AA132</f>
        <v/>
      </c>
      <c r="S134" s="29">
        <f>IF(A134="","",((K134)*(IF(M134="",L134,IFERROR(IF(INDEX(Variablen!$I:$AT, MATCH(M134, Variablen!$A:$A, 0), MATCH((YEAR(D134)+0), Variablen!$I$3:$AT$3, 0))="",L134,INDEX(Variablen!$I:$AT, MATCH(M134, Variablen!$A:$A, 0), MATCH((YEAR(D134)+0), Variablen!$I$3:$AT$3, 0))),L134)))*(IF((YEAR(D134)+0)&lt;YEAR(E134),0,IF((YEAR(D134)+0)&gt;YEAR(E134),1,(12-MONTH(E134)+1)/12))) + (Q134)*(IF((YEAR(D134)+0)&lt;YEAR(E134),0,IF((YEAR(D134)+0)&gt;YEAR(E134),1,(12-MONTH(E134)+1)/12))))-((P134)*(IF((YEAR(D134)+0)&lt;YEAR(E134),0,IF((YEAR(D134)+0)&gt;YEAR(E134),1,(12-MONTH(E134)+1)/12))) + (R134)*(IF((YEAR(D134)+0)&lt;YEAR(E134),0,IF((YEAR(D134)+0)&gt;YEAR(E134),1,(12-MONTH(E134)+1)/12))))-(IF((((K134)*(IF(M134="",L134,IFERROR(IF(INDEX(Variablen!$I:$AT, MATCH(M134, Variablen!$A:$A, 0), MATCH((YEAR(D134)+0), Variablen!$I$3:$AT$3, 0))="",L134,INDEX(Variablen!$I:$AT, MATCH(M134, Variablen!$A:$A, 0), MATCH((YEAR(D134)+0), Variablen!$I$3:$AT$3, 0))),L134)))*(IF((YEAR(D134)+0)&lt;YEAR(E134),0,IF((YEAR(D134)+0)&gt;YEAR(E134),1,(12-MONTH(E134)+1)/12))) + (Q134)*(IF((YEAR(D134)+0)&lt;YEAR(E134),0,IF((YEAR(D134)+0)&gt;YEAR(E134),1,(12-MONTH(E134)+1)/12))))-((P134)*(IF((YEAR(D134)+0)&lt;YEAR(E134),0,IF((YEAR(D134)+0)&gt;YEAR(E134),1,(12-MONTH(E134)+1)/12))) + (R134)*(IF((YEAR(D134)+0)&lt;YEAR(E134),0,IF((YEAR(D134)+0)&gt;YEAR(E134),1,(12-MONTH(E134)+1)/12))))-(IF(OR(N134="",N134&lt;=0),0,(O134/N134)*(IF(OR(N134="",N134&lt;=0),0,IF((YEAR(D134)+0)&lt;YEAR(E134),0,IF((YEAR(D134)+0)&gt;=YEAR(E134)+N134,0,IF((YEAR(D134)+0)=YEAR(E134),(12-MONTH(E134)+1)/12,1))))))))&gt;0,(((K134)*(IF(M134="",L134,IFERROR(IF(INDEX(Variablen!$I:$AT, MATCH(M134, Variablen!$A:$A, 0), MATCH((YEAR(D134)+0), Variablen!$I$3:$AT$3, 0))="",L134,INDEX(Variablen!$I:$AT, MATCH(M134, Variablen!$A:$A, 0), MATCH((YEAR(D134)+0), Variablen!$I$3:$AT$3, 0))),L134)))*(IF((YEAR(D134)+0)&lt;YEAR(E134),0,IF((YEAR(D134)+0)&gt;YEAR(E134),1,(12-MONTH(E134)+1)/12))) + (Q134)*(IF((YEAR(D134)+0)&lt;YEAR(E134),0,IF((YEAR(D134)+0)&gt;YEAR(E134),1,(12-MONTH(E134)+1)/12))))-((P134)*(IF((YEAR(D134)+0)&lt;YEAR(E134),0,IF((YEAR(D134)+0)&gt;YEAR(E134),1,(12-MONTH(E134)+1)/12))) + (R134)*(IF((YEAR(D134)+0)&lt;YEAR(E134),0,IF((YEAR(D134)+0)&gt;YEAR(E134),1,(12-MONTH(E134)+1)/12))))-(IF(OR(N134="",N134&lt;=0),0,(O134/N134)*(IF(OR(N134="",N134&lt;=0),0,IF((YEAR(D134)+0)&lt;YEAR(E134),0,IF((YEAR(D134)+0)&gt;=YEAR(E134)+N134,0,IF((YEAR(D134)+0)=YEAR(E134),(12-MONTH(E134)+1)/12,1))))))))*TaxRate,0))-IF(0=0,O134,0))</f>
        <v/>
      </c>
      <c r="T134" s="29">
        <f>IF(A134="","",((K134)*(IF(M134="",L134,IFERROR(IF(INDEX(Variablen!$I:$AT, MATCH(M134, Variablen!$A:$A, 0), MATCH((YEAR(D134)+1), Variablen!$I$3:$AT$3, 0))="",L134,INDEX(Variablen!$I:$AT, MATCH(M134, Variablen!$A:$A, 0), MATCH((YEAR(D134)+1), Variablen!$I$3:$AT$3, 0))),L134)))*(IF((YEAR(D134)+1)&lt;YEAR(E134),0,IF((YEAR(D134)+1)&gt;YEAR(E134),1,(12-MONTH(E134)+1)/12))) + (Q134)*(IF((YEAR(D134)+1)&lt;YEAR(E134),0,IF((YEAR(D134)+1)&gt;YEAR(E134),1,(12-MONTH(E134)+1)/12))))-((P134)*(IF((YEAR(D134)+1)&lt;YEAR(E134),0,IF((YEAR(D134)+1)&gt;YEAR(E134),1,(12-MONTH(E134)+1)/12))) + (R134)*(IF((YEAR(D134)+1)&lt;YEAR(E134),0,IF((YEAR(D134)+1)&gt;YEAR(E134),1,(12-MONTH(E134)+1)/12))))-(IF((((K134)*(IF(M134="",L134,IFERROR(IF(INDEX(Variablen!$I:$AT, MATCH(M134, Variablen!$A:$A, 0), MATCH((YEAR(D134)+1), Variablen!$I$3:$AT$3, 0))="",L134,INDEX(Variablen!$I:$AT, MATCH(M134, Variablen!$A:$A, 0), MATCH((YEAR(D134)+1), Variablen!$I$3:$AT$3, 0))),L134)))*(IF((YEAR(D134)+1)&lt;YEAR(E134),0,IF((YEAR(D134)+1)&gt;YEAR(E134),1,(12-MONTH(E134)+1)/12))) + (Q134)*(IF((YEAR(D134)+1)&lt;YEAR(E134),0,IF((YEAR(D134)+1)&gt;YEAR(E134),1,(12-MONTH(E134)+1)/12))))-((P134)*(IF((YEAR(D134)+1)&lt;YEAR(E134),0,IF((YEAR(D134)+1)&gt;YEAR(E134),1,(12-MONTH(E134)+1)/12))) + (R134)*(IF((YEAR(D134)+1)&lt;YEAR(E134),0,IF((YEAR(D134)+1)&gt;YEAR(E134),1,(12-MONTH(E134)+1)/12))))-(IF(OR(N134="",N134&lt;=0),0,(O134/N134)*(IF(OR(N134="",N134&lt;=0),0,IF((YEAR(D134)+1)&lt;YEAR(E134),0,IF((YEAR(D134)+1)&gt;=YEAR(E134)+N134,0,IF((YEAR(D134)+1)=YEAR(E134),(12-MONTH(E134)+1)/12,1))))))))&gt;0,(((K134)*(IF(M134="",L134,IFERROR(IF(INDEX(Variablen!$I:$AT, MATCH(M134, Variablen!$A:$A, 0), MATCH((YEAR(D134)+1), Variablen!$I$3:$AT$3, 0))="",L134,INDEX(Variablen!$I:$AT, MATCH(M134, Variablen!$A:$A, 0), MATCH((YEAR(D134)+1), Variablen!$I$3:$AT$3, 0))),L134)))*(IF((YEAR(D134)+1)&lt;YEAR(E134),0,IF((YEAR(D134)+1)&gt;YEAR(E134),1,(12-MONTH(E134)+1)/12))) + (Q134)*(IF((YEAR(D134)+1)&lt;YEAR(E134),0,IF((YEAR(D134)+1)&gt;YEAR(E134),1,(12-MONTH(E134)+1)/12))))-((P134)*(IF((YEAR(D134)+1)&lt;YEAR(E134),0,IF((YEAR(D134)+1)&gt;YEAR(E134),1,(12-MONTH(E134)+1)/12))) + (R134)*(IF((YEAR(D134)+1)&lt;YEAR(E134),0,IF((YEAR(D134)+1)&gt;YEAR(E134),1,(12-MONTH(E134)+1)/12))))-(IF(OR(N134="",N134&lt;=0),0,(O134/N134)*(IF(OR(N134="",N134&lt;=0),0,IF((YEAR(D134)+1)&lt;YEAR(E134),0,IF((YEAR(D134)+1)&gt;=YEAR(E134)+N134,0,IF((YEAR(D134)+1)=YEAR(E134),(12-MONTH(E134)+1)/12,1))))))))*TaxRate,0))-IF(1=0,O134,0))</f>
        <v/>
      </c>
      <c r="U134" s="29">
        <f>IF(A134="","",((K134)*(IF(M134="",L134,IFERROR(IF(INDEX(Variablen!$I:$AT, MATCH(M134, Variablen!$A:$A, 0), MATCH((YEAR(D134)+2), Variablen!$I$3:$AT$3, 0))="",L134,INDEX(Variablen!$I:$AT, MATCH(M134, Variablen!$A:$A, 0), MATCH((YEAR(D134)+2), Variablen!$I$3:$AT$3, 0))),L134)))*(IF((YEAR(D134)+2)&lt;YEAR(E134),0,IF((YEAR(D134)+2)&gt;YEAR(E134),1,(12-MONTH(E134)+1)/12))) + (Q134)*(IF((YEAR(D134)+2)&lt;YEAR(E134),0,IF((YEAR(D134)+2)&gt;YEAR(E134),1,(12-MONTH(E134)+1)/12))))-((P134)*(IF((YEAR(D134)+2)&lt;YEAR(E134),0,IF((YEAR(D134)+2)&gt;YEAR(E134),1,(12-MONTH(E134)+1)/12))) + (R134)*(IF((YEAR(D134)+2)&lt;YEAR(E134),0,IF((YEAR(D134)+2)&gt;YEAR(E134),1,(12-MONTH(E134)+1)/12))))-(IF((((K134)*(IF(M134="",L134,IFERROR(IF(INDEX(Variablen!$I:$AT, MATCH(M134, Variablen!$A:$A, 0), MATCH((YEAR(D134)+2), Variablen!$I$3:$AT$3, 0))="",L134,INDEX(Variablen!$I:$AT, MATCH(M134, Variablen!$A:$A, 0), MATCH((YEAR(D134)+2), Variablen!$I$3:$AT$3, 0))),L134)))*(IF((YEAR(D134)+2)&lt;YEAR(E134),0,IF((YEAR(D134)+2)&gt;YEAR(E134),1,(12-MONTH(E134)+1)/12))) + (Q134)*(IF((YEAR(D134)+2)&lt;YEAR(E134),0,IF((YEAR(D134)+2)&gt;YEAR(E134),1,(12-MONTH(E134)+1)/12))))-((P134)*(IF((YEAR(D134)+2)&lt;YEAR(E134),0,IF((YEAR(D134)+2)&gt;YEAR(E134),1,(12-MONTH(E134)+1)/12))) + (R134)*(IF((YEAR(D134)+2)&lt;YEAR(E134),0,IF((YEAR(D134)+2)&gt;YEAR(E134),1,(12-MONTH(E134)+1)/12))))-(IF(OR(N134="",N134&lt;=0),0,(O134/N134)*(IF(OR(N134="",N134&lt;=0),0,IF((YEAR(D134)+2)&lt;YEAR(E134),0,IF((YEAR(D134)+2)&gt;=YEAR(E134)+N134,0,IF((YEAR(D134)+2)=YEAR(E134),(12-MONTH(E134)+1)/12,1))))))))&gt;0,(((K134)*(IF(M134="",L134,IFERROR(IF(INDEX(Variablen!$I:$AT, MATCH(M134, Variablen!$A:$A, 0), MATCH((YEAR(D134)+2), Variablen!$I$3:$AT$3, 0))="",L134,INDEX(Variablen!$I:$AT, MATCH(M134, Variablen!$A:$A, 0), MATCH((YEAR(D134)+2), Variablen!$I$3:$AT$3, 0))),L134)))*(IF((YEAR(D134)+2)&lt;YEAR(E134),0,IF((YEAR(D134)+2)&gt;YEAR(E134),1,(12-MONTH(E134)+1)/12))) + (Q134)*(IF((YEAR(D134)+2)&lt;YEAR(E134),0,IF((YEAR(D134)+2)&gt;YEAR(E134),1,(12-MONTH(E134)+1)/12))))-((P134)*(IF((YEAR(D134)+2)&lt;YEAR(E134),0,IF((YEAR(D134)+2)&gt;YEAR(E134),1,(12-MONTH(E134)+1)/12))) + (R134)*(IF((YEAR(D134)+2)&lt;YEAR(E134),0,IF((YEAR(D134)+2)&gt;YEAR(E134),1,(12-MONTH(E134)+1)/12))))-(IF(OR(N134="",N134&lt;=0),0,(O134/N134)*(IF(OR(N134="",N134&lt;=0),0,IF((YEAR(D134)+2)&lt;YEAR(E134),0,IF((YEAR(D134)+2)&gt;=YEAR(E134)+N134,0,IF((YEAR(D134)+2)=YEAR(E134),(12-MONTH(E134)+1)/12,1))))))))*TaxRate,0))-IF(2=0,O134,0))</f>
        <v/>
      </c>
      <c r="V134" s="29">
        <f>IF(A134="","",((K134)*(IF(M134="",L134,IFERROR(IF(INDEX(Variablen!$I:$AT, MATCH(M134, Variablen!$A:$A, 0), MATCH((YEAR(D134)+3), Variablen!$I$3:$AT$3, 0))="",L134,INDEX(Variablen!$I:$AT, MATCH(M134, Variablen!$A:$A, 0), MATCH((YEAR(D134)+3), Variablen!$I$3:$AT$3, 0))),L134)))*(IF((YEAR(D134)+3)&lt;YEAR(E134),0,IF((YEAR(D134)+3)&gt;YEAR(E134),1,(12-MONTH(E134)+1)/12))) + (Q134)*(IF((YEAR(D134)+3)&lt;YEAR(E134),0,IF((YEAR(D134)+3)&gt;YEAR(E134),1,(12-MONTH(E134)+1)/12))))-((P134)*(IF((YEAR(D134)+3)&lt;YEAR(E134),0,IF((YEAR(D134)+3)&gt;YEAR(E134),1,(12-MONTH(E134)+1)/12))) + (R134)*(IF((YEAR(D134)+3)&lt;YEAR(E134),0,IF((YEAR(D134)+3)&gt;YEAR(E134),1,(12-MONTH(E134)+1)/12))))-(IF((((K134)*(IF(M134="",L134,IFERROR(IF(INDEX(Variablen!$I:$AT, MATCH(M134, Variablen!$A:$A, 0), MATCH((YEAR(D134)+3), Variablen!$I$3:$AT$3, 0))="",L134,INDEX(Variablen!$I:$AT, MATCH(M134, Variablen!$A:$A, 0), MATCH((YEAR(D134)+3), Variablen!$I$3:$AT$3, 0))),L134)))*(IF((YEAR(D134)+3)&lt;YEAR(E134),0,IF((YEAR(D134)+3)&gt;YEAR(E134),1,(12-MONTH(E134)+1)/12))) + (Q134)*(IF((YEAR(D134)+3)&lt;YEAR(E134),0,IF((YEAR(D134)+3)&gt;YEAR(E134),1,(12-MONTH(E134)+1)/12))))-((P134)*(IF((YEAR(D134)+3)&lt;YEAR(E134),0,IF((YEAR(D134)+3)&gt;YEAR(E134),1,(12-MONTH(E134)+1)/12))) + (R134)*(IF((YEAR(D134)+3)&lt;YEAR(E134),0,IF((YEAR(D134)+3)&gt;YEAR(E134),1,(12-MONTH(E134)+1)/12))))-(IF(OR(N134="",N134&lt;=0),0,(O134/N134)*(IF(OR(N134="",N134&lt;=0),0,IF((YEAR(D134)+3)&lt;YEAR(E134),0,IF((YEAR(D134)+3)&gt;=YEAR(E134)+N134,0,IF((YEAR(D134)+3)=YEAR(E134),(12-MONTH(E134)+1)/12,1))))))))&gt;0,(((K134)*(IF(M134="",L134,IFERROR(IF(INDEX(Variablen!$I:$AT, MATCH(M134, Variablen!$A:$A, 0), MATCH((YEAR(D134)+3), Variablen!$I$3:$AT$3, 0))="",L134,INDEX(Variablen!$I:$AT, MATCH(M134, Variablen!$A:$A, 0), MATCH((YEAR(D134)+3), Variablen!$I$3:$AT$3, 0))),L134)))*(IF((YEAR(D134)+3)&lt;YEAR(E134),0,IF((YEAR(D134)+3)&gt;YEAR(E134),1,(12-MONTH(E134)+1)/12))) + (Q134)*(IF((YEAR(D134)+3)&lt;YEAR(E134),0,IF((YEAR(D134)+3)&gt;YEAR(E134),1,(12-MONTH(E134)+1)/12))))-((P134)*(IF((YEAR(D134)+3)&lt;YEAR(E134),0,IF((YEAR(D134)+3)&gt;YEAR(E134),1,(12-MONTH(E134)+1)/12))) + (R134)*(IF((YEAR(D134)+3)&lt;YEAR(E134),0,IF((YEAR(D134)+3)&gt;YEAR(E134),1,(12-MONTH(E134)+1)/12))))-(IF(OR(N134="",N134&lt;=0),0,(O134/N134)*(IF(OR(N134="",N134&lt;=0),0,IF((YEAR(D134)+3)&lt;YEAR(E134),0,IF((YEAR(D134)+3)&gt;=YEAR(E134)+N134,0,IF((YEAR(D134)+3)=YEAR(E134),(12-MONTH(E134)+1)/12,1))))))))*TaxRate,0))-IF(3=0,O134,0))</f>
        <v/>
      </c>
      <c r="W134" s="29">
        <f>IF(A134="","",((K134)*(IF(M134="",L134,IFERROR(IF(INDEX(Variablen!$I:$AT, MATCH(M134, Variablen!$A:$A, 0), MATCH((YEAR(D134)+4), Variablen!$I$3:$AT$3, 0))="",L134,INDEX(Variablen!$I:$AT, MATCH(M134, Variablen!$A:$A, 0), MATCH((YEAR(D134)+4), Variablen!$I$3:$AT$3, 0))),L134)))*(IF((YEAR(D134)+4)&lt;YEAR(E134),0,IF((YEAR(D134)+4)&gt;YEAR(E134),1,(12-MONTH(E134)+1)/12))) + (Q134)*(IF((YEAR(D134)+4)&lt;YEAR(E134),0,IF((YEAR(D134)+4)&gt;YEAR(E134),1,(12-MONTH(E134)+1)/12))))-((P134)*(IF((YEAR(D134)+4)&lt;YEAR(E134),0,IF((YEAR(D134)+4)&gt;YEAR(E134),1,(12-MONTH(E134)+1)/12))) + (R134)*(IF((YEAR(D134)+4)&lt;YEAR(E134),0,IF((YEAR(D134)+4)&gt;YEAR(E134),1,(12-MONTH(E134)+1)/12))))-(IF((((K134)*(IF(M134="",L134,IFERROR(IF(INDEX(Variablen!$I:$AT, MATCH(M134, Variablen!$A:$A, 0), MATCH((YEAR(D134)+4), Variablen!$I$3:$AT$3, 0))="",L134,INDEX(Variablen!$I:$AT, MATCH(M134, Variablen!$A:$A, 0), MATCH((YEAR(D134)+4), Variablen!$I$3:$AT$3, 0))),L134)))*(IF((YEAR(D134)+4)&lt;YEAR(E134),0,IF((YEAR(D134)+4)&gt;YEAR(E134),1,(12-MONTH(E134)+1)/12))) + (Q134)*(IF((YEAR(D134)+4)&lt;YEAR(E134),0,IF((YEAR(D134)+4)&gt;YEAR(E134),1,(12-MONTH(E134)+1)/12))))-((P134)*(IF((YEAR(D134)+4)&lt;YEAR(E134),0,IF((YEAR(D134)+4)&gt;YEAR(E134),1,(12-MONTH(E134)+1)/12))) + (R134)*(IF((YEAR(D134)+4)&lt;YEAR(E134),0,IF((YEAR(D134)+4)&gt;YEAR(E134),1,(12-MONTH(E134)+1)/12))))-(IF(OR(N134="",N134&lt;=0),0,(O134/N134)*(IF(OR(N134="",N134&lt;=0),0,IF((YEAR(D134)+4)&lt;YEAR(E134),0,IF((YEAR(D134)+4)&gt;=YEAR(E134)+N134,0,IF((YEAR(D134)+4)=YEAR(E134),(12-MONTH(E134)+1)/12,1))))))))&gt;0,(((K134)*(IF(M134="",L134,IFERROR(IF(INDEX(Variablen!$I:$AT, MATCH(M134, Variablen!$A:$A, 0), MATCH((YEAR(D134)+4), Variablen!$I$3:$AT$3, 0))="",L134,INDEX(Variablen!$I:$AT, MATCH(M134, Variablen!$A:$A, 0), MATCH((YEAR(D134)+4), Variablen!$I$3:$AT$3, 0))),L134)))*(IF((YEAR(D134)+4)&lt;YEAR(E134),0,IF((YEAR(D134)+4)&gt;YEAR(E134),1,(12-MONTH(E134)+1)/12))) + (Q134)*(IF((YEAR(D134)+4)&lt;YEAR(E134),0,IF((YEAR(D134)+4)&gt;YEAR(E134),1,(12-MONTH(E134)+1)/12))))-((P134)*(IF((YEAR(D134)+4)&lt;YEAR(E134),0,IF((YEAR(D134)+4)&gt;YEAR(E134),1,(12-MONTH(E134)+1)/12))) + (R134)*(IF((YEAR(D134)+4)&lt;YEAR(E134),0,IF((YEAR(D134)+4)&gt;YEAR(E134),1,(12-MONTH(E134)+1)/12))))-(IF(OR(N134="",N134&lt;=0),0,(O134/N134)*(IF(OR(N134="",N134&lt;=0),0,IF((YEAR(D134)+4)&lt;YEAR(E134),0,IF((YEAR(D134)+4)&gt;=YEAR(E134)+N134,0,IF((YEAR(D134)+4)=YEAR(E134),(12-MONTH(E134)+1)/12,1))))))))*TaxRate,0))-IF(4=0,O134,0))</f>
        <v/>
      </c>
      <c r="X134" s="29">
        <f>IF(A134="","",((K134)*(IF(M134="",L134,IFERROR(IF(INDEX(Variablen!$I:$AT, MATCH(M134, Variablen!$A:$A, 0), MATCH((YEAR(D134)+5), Variablen!$I$3:$AT$3, 0))="",L134,INDEX(Variablen!$I:$AT, MATCH(M134, Variablen!$A:$A, 0), MATCH((YEAR(D134)+5), Variablen!$I$3:$AT$3, 0))),L134)))*(IF((YEAR(D134)+5)&lt;YEAR(E134),0,IF((YEAR(D134)+5)&gt;YEAR(E134),1,(12-MONTH(E134)+1)/12))) + (Q134)*(IF((YEAR(D134)+5)&lt;YEAR(E134),0,IF((YEAR(D134)+5)&gt;YEAR(E134),1,(12-MONTH(E134)+1)/12))))-((P134)*(IF((YEAR(D134)+5)&lt;YEAR(E134),0,IF((YEAR(D134)+5)&gt;YEAR(E134),1,(12-MONTH(E134)+1)/12))) + (R134)*(IF((YEAR(D134)+5)&lt;YEAR(E134),0,IF((YEAR(D134)+5)&gt;YEAR(E134),1,(12-MONTH(E134)+1)/12))))-(IF((((K134)*(IF(M134="",L134,IFERROR(IF(INDEX(Variablen!$I:$AT, MATCH(M134, Variablen!$A:$A, 0), MATCH((YEAR(D134)+5), Variablen!$I$3:$AT$3, 0))="",L134,INDEX(Variablen!$I:$AT, MATCH(M134, Variablen!$A:$A, 0), MATCH((YEAR(D134)+5), Variablen!$I$3:$AT$3, 0))),L134)))*(IF((YEAR(D134)+5)&lt;YEAR(E134),0,IF((YEAR(D134)+5)&gt;YEAR(E134),1,(12-MONTH(E134)+1)/12))) + (Q134)*(IF((YEAR(D134)+5)&lt;YEAR(E134),0,IF((YEAR(D134)+5)&gt;YEAR(E134),1,(12-MONTH(E134)+1)/12))))-((P134)*(IF((YEAR(D134)+5)&lt;YEAR(E134),0,IF((YEAR(D134)+5)&gt;YEAR(E134),1,(12-MONTH(E134)+1)/12))) + (R134)*(IF((YEAR(D134)+5)&lt;YEAR(E134),0,IF((YEAR(D134)+5)&gt;YEAR(E134),1,(12-MONTH(E134)+1)/12))))-(IF(OR(N134="",N134&lt;=0),0,(O134/N134)*(IF(OR(N134="",N134&lt;=0),0,IF((YEAR(D134)+5)&lt;YEAR(E134),0,IF((YEAR(D134)+5)&gt;=YEAR(E134)+N134,0,IF((YEAR(D134)+5)=YEAR(E134),(12-MONTH(E134)+1)/12,1))))))))&gt;0,(((K134)*(IF(M134="",L134,IFERROR(IF(INDEX(Variablen!$I:$AT, MATCH(M134, Variablen!$A:$A, 0), MATCH((YEAR(D134)+5), Variablen!$I$3:$AT$3, 0))="",L134,INDEX(Variablen!$I:$AT, MATCH(M134, Variablen!$A:$A, 0), MATCH((YEAR(D134)+5), Variablen!$I$3:$AT$3, 0))),L134)))*(IF((YEAR(D134)+5)&lt;YEAR(E134),0,IF((YEAR(D134)+5)&gt;YEAR(E134),1,(12-MONTH(E134)+1)/12))) + (Q134)*(IF((YEAR(D134)+5)&lt;YEAR(E134),0,IF((YEAR(D134)+5)&gt;YEAR(E134),1,(12-MONTH(E134)+1)/12))))-((P134)*(IF((YEAR(D134)+5)&lt;YEAR(E134),0,IF((YEAR(D134)+5)&gt;YEAR(E134),1,(12-MONTH(E134)+1)/12))) + (R134)*(IF((YEAR(D134)+5)&lt;YEAR(E134),0,IF((YEAR(D134)+5)&gt;YEAR(E134),1,(12-MONTH(E134)+1)/12))))-(IF(OR(N134="",N134&lt;=0),0,(O134/N134)*(IF(OR(N134="",N134&lt;=0),0,IF((YEAR(D134)+5)&lt;YEAR(E134),0,IF((YEAR(D134)+5)&gt;=YEAR(E134)+N134,0,IF((YEAR(D134)+5)=YEAR(E134),(12-MONTH(E134)+1)/12,1))))))))*TaxRate,0))-IF(5=0,O134,0))</f>
        <v/>
      </c>
      <c r="Y134" s="29">
        <f>IF(A134="","",((K134)*(IF(M134="",L134,IFERROR(IF(INDEX(Variablen!$I:$AT, MATCH(M134, Variablen!$A:$A, 0), MATCH((YEAR(D134)+6), Variablen!$I$3:$AT$3, 0))="",L134,INDEX(Variablen!$I:$AT, MATCH(M134, Variablen!$A:$A, 0), MATCH((YEAR(D134)+6), Variablen!$I$3:$AT$3, 0))),L134)))*(IF((YEAR(D134)+6)&lt;YEAR(E134),0,IF((YEAR(D134)+6)&gt;YEAR(E134),1,(12-MONTH(E134)+1)/12))) + (Q134)*(IF((YEAR(D134)+6)&lt;YEAR(E134),0,IF((YEAR(D134)+6)&gt;YEAR(E134),1,(12-MONTH(E134)+1)/12))))-((P134)*(IF((YEAR(D134)+6)&lt;YEAR(E134),0,IF((YEAR(D134)+6)&gt;YEAR(E134),1,(12-MONTH(E134)+1)/12))) + (R134)*(IF((YEAR(D134)+6)&lt;YEAR(E134),0,IF((YEAR(D134)+6)&gt;YEAR(E134),1,(12-MONTH(E134)+1)/12))))-(IF((((K134)*(IF(M134="",L134,IFERROR(IF(INDEX(Variablen!$I:$AT, MATCH(M134, Variablen!$A:$A, 0), MATCH((YEAR(D134)+6), Variablen!$I$3:$AT$3, 0))="",L134,INDEX(Variablen!$I:$AT, MATCH(M134, Variablen!$A:$A, 0), MATCH((YEAR(D134)+6), Variablen!$I$3:$AT$3, 0))),L134)))*(IF((YEAR(D134)+6)&lt;YEAR(E134),0,IF((YEAR(D134)+6)&gt;YEAR(E134),1,(12-MONTH(E134)+1)/12))) + (Q134)*(IF((YEAR(D134)+6)&lt;YEAR(E134),0,IF((YEAR(D134)+6)&gt;YEAR(E134),1,(12-MONTH(E134)+1)/12))))-((P134)*(IF((YEAR(D134)+6)&lt;YEAR(E134),0,IF((YEAR(D134)+6)&gt;YEAR(E134),1,(12-MONTH(E134)+1)/12))) + (R134)*(IF((YEAR(D134)+6)&lt;YEAR(E134),0,IF((YEAR(D134)+6)&gt;YEAR(E134),1,(12-MONTH(E134)+1)/12))))-(IF(OR(N134="",N134&lt;=0),0,(O134/N134)*(IF(OR(N134="",N134&lt;=0),0,IF((YEAR(D134)+6)&lt;YEAR(E134),0,IF((YEAR(D134)+6)&gt;=YEAR(E134)+N134,0,IF((YEAR(D134)+6)=YEAR(E134),(12-MONTH(E134)+1)/12,1))))))))&gt;0,(((K134)*(IF(M134="",L134,IFERROR(IF(INDEX(Variablen!$I:$AT, MATCH(M134, Variablen!$A:$A, 0), MATCH((YEAR(D134)+6), Variablen!$I$3:$AT$3, 0))="",L134,INDEX(Variablen!$I:$AT, MATCH(M134, Variablen!$A:$A, 0), MATCH((YEAR(D134)+6), Variablen!$I$3:$AT$3, 0))),L134)))*(IF((YEAR(D134)+6)&lt;YEAR(E134),0,IF((YEAR(D134)+6)&gt;YEAR(E134),1,(12-MONTH(E134)+1)/12))) + (Q134)*(IF((YEAR(D134)+6)&lt;YEAR(E134),0,IF((YEAR(D134)+6)&gt;YEAR(E134),1,(12-MONTH(E134)+1)/12))))-((P134)*(IF((YEAR(D134)+6)&lt;YEAR(E134),0,IF((YEAR(D134)+6)&gt;YEAR(E134),1,(12-MONTH(E134)+1)/12))) + (R134)*(IF((YEAR(D134)+6)&lt;YEAR(E134),0,IF((YEAR(D134)+6)&gt;YEAR(E134),1,(12-MONTH(E134)+1)/12))))-(IF(OR(N134="",N134&lt;=0),0,(O134/N134)*(IF(OR(N134="",N134&lt;=0),0,IF((YEAR(D134)+6)&lt;YEAR(E134),0,IF((YEAR(D134)+6)&gt;=YEAR(E134)+N134,0,IF((YEAR(D134)+6)=YEAR(E134),(12-MONTH(E134)+1)/12,1))))))))*TaxRate,0))-IF(6=0,O134,0))</f>
        <v/>
      </c>
      <c r="Z134" s="29">
        <f>IF(A134="","",((K134)*(IF(M134="",L134,IFERROR(IF(INDEX(Variablen!$I:$AT, MATCH(M134, Variablen!$A:$A, 0), MATCH((YEAR(D134)+7), Variablen!$I$3:$AT$3, 0))="",L134,INDEX(Variablen!$I:$AT, MATCH(M134, Variablen!$A:$A, 0), MATCH((YEAR(D134)+7), Variablen!$I$3:$AT$3, 0))),L134)))*(IF((YEAR(D134)+7)&lt;YEAR(E134),0,IF((YEAR(D134)+7)&gt;YEAR(E134),1,(12-MONTH(E134)+1)/12))) + (Q134)*(IF((YEAR(D134)+7)&lt;YEAR(E134),0,IF((YEAR(D134)+7)&gt;YEAR(E134),1,(12-MONTH(E134)+1)/12))))-((P134)*(IF((YEAR(D134)+7)&lt;YEAR(E134),0,IF((YEAR(D134)+7)&gt;YEAR(E134),1,(12-MONTH(E134)+1)/12))) + (R134)*(IF((YEAR(D134)+7)&lt;YEAR(E134),0,IF((YEAR(D134)+7)&gt;YEAR(E134),1,(12-MONTH(E134)+1)/12))))-(IF((((K134)*(IF(M134="",L134,IFERROR(IF(INDEX(Variablen!$I:$AT, MATCH(M134, Variablen!$A:$A, 0), MATCH((YEAR(D134)+7), Variablen!$I$3:$AT$3, 0))="",L134,INDEX(Variablen!$I:$AT, MATCH(M134, Variablen!$A:$A, 0), MATCH((YEAR(D134)+7), Variablen!$I$3:$AT$3, 0))),L134)))*(IF((YEAR(D134)+7)&lt;YEAR(E134),0,IF((YEAR(D134)+7)&gt;YEAR(E134),1,(12-MONTH(E134)+1)/12))) + (Q134)*(IF((YEAR(D134)+7)&lt;YEAR(E134),0,IF((YEAR(D134)+7)&gt;YEAR(E134),1,(12-MONTH(E134)+1)/12))))-((P134)*(IF((YEAR(D134)+7)&lt;YEAR(E134),0,IF((YEAR(D134)+7)&gt;YEAR(E134),1,(12-MONTH(E134)+1)/12))) + (R134)*(IF((YEAR(D134)+7)&lt;YEAR(E134),0,IF((YEAR(D134)+7)&gt;YEAR(E134),1,(12-MONTH(E134)+1)/12))))-(IF(OR(N134="",N134&lt;=0),0,(O134/N134)*(IF(OR(N134="",N134&lt;=0),0,IF((YEAR(D134)+7)&lt;YEAR(E134),0,IF((YEAR(D134)+7)&gt;=YEAR(E134)+N134,0,IF((YEAR(D134)+7)=YEAR(E134),(12-MONTH(E134)+1)/12,1))))))))&gt;0,(((K134)*(IF(M134="",L134,IFERROR(IF(INDEX(Variablen!$I:$AT, MATCH(M134, Variablen!$A:$A, 0), MATCH((YEAR(D134)+7), Variablen!$I$3:$AT$3, 0))="",L134,INDEX(Variablen!$I:$AT, MATCH(M134, Variablen!$A:$A, 0), MATCH((YEAR(D134)+7), Variablen!$I$3:$AT$3, 0))),L134)))*(IF((YEAR(D134)+7)&lt;YEAR(E134),0,IF((YEAR(D134)+7)&gt;YEAR(E134),1,(12-MONTH(E134)+1)/12))) + (Q134)*(IF((YEAR(D134)+7)&lt;YEAR(E134),0,IF((YEAR(D134)+7)&gt;YEAR(E134),1,(12-MONTH(E134)+1)/12))))-((P134)*(IF((YEAR(D134)+7)&lt;YEAR(E134),0,IF((YEAR(D134)+7)&gt;YEAR(E134),1,(12-MONTH(E134)+1)/12))) + (R134)*(IF((YEAR(D134)+7)&lt;YEAR(E134),0,IF((YEAR(D134)+7)&gt;YEAR(E134),1,(12-MONTH(E134)+1)/12))))-(IF(OR(N134="",N134&lt;=0),0,(O134/N134)*(IF(OR(N134="",N134&lt;=0),0,IF((YEAR(D134)+7)&lt;YEAR(E134),0,IF((YEAR(D134)+7)&gt;=YEAR(E134)+N134,0,IF((YEAR(D134)+7)=YEAR(E134),(12-MONTH(E134)+1)/12,1))))))))*TaxRate,0))-IF(7=0,O134,0))</f>
        <v/>
      </c>
      <c r="AA134" s="29">
        <f>IF(A134="","",((K134)*(IF(M134="",L134,IFERROR(IF(INDEX(Variablen!$I:$AT, MATCH(M134, Variablen!$A:$A, 0), MATCH((YEAR(D134)+8), Variablen!$I$3:$AT$3, 0))="",L134,INDEX(Variablen!$I:$AT, MATCH(M134, Variablen!$A:$A, 0), MATCH((YEAR(D134)+8), Variablen!$I$3:$AT$3, 0))),L134)))*(IF((YEAR(D134)+8)&lt;YEAR(E134),0,IF((YEAR(D134)+8)&gt;YEAR(E134),1,(12-MONTH(E134)+1)/12))) + (Q134)*(IF((YEAR(D134)+8)&lt;YEAR(E134),0,IF((YEAR(D134)+8)&gt;YEAR(E134),1,(12-MONTH(E134)+1)/12))))-((P134)*(IF((YEAR(D134)+8)&lt;YEAR(E134),0,IF((YEAR(D134)+8)&gt;YEAR(E134),1,(12-MONTH(E134)+1)/12))) + (R134)*(IF((YEAR(D134)+8)&lt;YEAR(E134),0,IF((YEAR(D134)+8)&gt;YEAR(E134),1,(12-MONTH(E134)+1)/12))))-(IF((((K134)*(IF(M134="",L134,IFERROR(IF(INDEX(Variablen!$I:$AT, MATCH(M134, Variablen!$A:$A, 0), MATCH((YEAR(D134)+8), Variablen!$I$3:$AT$3, 0))="",L134,INDEX(Variablen!$I:$AT, MATCH(M134, Variablen!$A:$A, 0), MATCH((YEAR(D134)+8), Variablen!$I$3:$AT$3, 0))),L134)))*(IF((YEAR(D134)+8)&lt;YEAR(E134),0,IF((YEAR(D134)+8)&gt;YEAR(E134),1,(12-MONTH(E134)+1)/12))) + (Q134)*(IF((YEAR(D134)+8)&lt;YEAR(E134),0,IF((YEAR(D134)+8)&gt;YEAR(E134),1,(12-MONTH(E134)+1)/12))))-((P134)*(IF((YEAR(D134)+8)&lt;YEAR(E134),0,IF((YEAR(D134)+8)&gt;YEAR(E134),1,(12-MONTH(E134)+1)/12))) + (R134)*(IF((YEAR(D134)+8)&lt;YEAR(E134),0,IF((YEAR(D134)+8)&gt;YEAR(E134),1,(12-MONTH(E134)+1)/12))))-(IF(OR(N134="",N134&lt;=0),0,(O134/N134)*(IF(OR(N134="",N134&lt;=0),0,IF((YEAR(D134)+8)&lt;YEAR(E134),0,IF((YEAR(D134)+8)&gt;=YEAR(E134)+N134,0,IF((YEAR(D134)+8)=YEAR(E134),(12-MONTH(E134)+1)/12,1))))))))&gt;0,(((K134)*(IF(M134="",L134,IFERROR(IF(INDEX(Variablen!$I:$AT, MATCH(M134, Variablen!$A:$A, 0), MATCH((YEAR(D134)+8), Variablen!$I$3:$AT$3, 0))="",L134,INDEX(Variablen!$I:$AT, MATCH(M134, Variablen!$A:$A, 0), MATCH((YEAR(D134)+8), Variablen!$I$3:$AT$3, 0))),L134)))*(IF((YEAR(D134)+8)&lt;YEAR(E134),0,IF((YEAR(D134)+8)&gt;YEAR(E134),1,(12-MONTH(E134)+1)/12))) + (Q134)*(IF((YEAR(D134)+8)&lt;YEAR(E134),0,IF((YEAR(D134)+8)&gt;YEAR(E134),1,(12-MONTH(E134)+1)/12))))-((P134)*(IF((YEAR(D134)+8)&lt;YEAR(E134),0,IF((YEAR(D134)+8)&gt;YEAR(E134),1,(12-MONTH(E134)+1)/12))) + (R134)*(IF((YEAR(D134)+8)&lt;YEAR(E134),0,IF((YEAR(D134)+8)&gt;YEAR(E134),1,(12-MONTH(E134)+1)/12))))-(IF(OR(N134="",N134&lt;=0),0,(O134/N134)*(IF(OR(N134="",N134&lt;=0),0,IF((YEAR(D134)+8)&lt;YEAR(E134),0,IF((YEAR(D134)+8)&gt;=YEAR(E134)+N134,0,IF((YEAR(D134)+8)=YEAR(E134),(12-MONTH(E134)+1)/12,1))))))))*TaxRate,0))-IF(8=0,O134,0))</f>
        <v/>
      </c>
      <c r="AB134" s="29">
        <f>IF(A134="","",((K134)*(IF(M134="",L134,IFERROR(IF(INDEX(Variablen!$I:$AT, MATCH(M134, Variablen!$A:$A, 0), MATCH((YEAR(D134)+9), Variablen!$I$3:$AT$3, 0))="",L134,INDEX(Variablen!$I:$AT, MATCH(M134, Variablen!$A:$A, 0), MATCH((YEAR(D134)+9), Variablen!$I$3:$AT$3, 0))),L134)))*(IF((YEAR(D134)+9)&lt;YEAR(E134),0,IF((YEAR(D134)+9)&gt;YEAR(E134),1,(12-MONTH(E134)+1)/12))) + (Q134)*(IF((YEAR(D134)+9)&lt;YEAR(E134),0,IF((YEAR(D134)+9)&gt;YEAR(E134),1,(12-MONTH(E134)+1)/12))))-((P134)*(IF((YEAR(D134)+9)&lt;YEAR(E134),0,IF((YEAR(D134)+9)&gt;YEAR(E134),1,(12-MONTH(E134)+1)/12))) + (R134)*(IF((YEAR(D134)+9)&lt;YEAR(E134),0,IF((YEAR(D134)+9)&gt;YEAR(E134),1,(12-MONTH(E134)+1)/12))))-(IF((((K134)*(IF(M134="",L134,IFERROR(IF(INDEX(Variablen!$I:$AT, MATCH(M134, Variablen!$A:$A, 0), MATCH((YEAR(D134)+9), Variablen!$I$3:$AT$3, 0))="",L134,INDEX(Variablen!$I:$AT, MATCH(M134, Variablen!$A:$A, 0), MATCH((YEAR(D134)+9), Variablen!$I$3:$AT$3, 0))),L134)))*(IF((YEAR(D134)+9)&lt;YEAR(E134),0,IF((YEAR(D134)+9)&gt;YEAR(E134),1,(12-MONTH(E134)+1)/12))) + (Q134)*(IF((YEAR(D134)+9)&lt;YEAR(E134),0,IF((YEAR(D134)+9)&gt;YEAR(E134),1,(12-MONTH(E134)+1)/12))))-((P134)*(IF((YEAR(D134)+9)&lt;YEAR(E134),0,IF((YEAR(D134)+9)&gt;YEAR(E134),1,(12-MONTH(E134)+1)/12))) + (R134)*(IF((YEAR(D134)+9)&lt;YEAR(E134),0,IF((YEAR(D134)+9)&gt;YEAR(E134),1,(12-MONTH(E134)+1)/12))))-(IF(OR(N134="",N134&lt;=0),0,(O134/N134)*(IF(OR(N134="",N134&lt;=0),0,IF((YEAR(D134)+9)&lt;YEAR(E134),0,IF((YEAR(D134)+9)&gt;=YEAR(E134)+N134,0,IF((YEAR(D134)+9)=YEAR(E134),(12-MONTH(E134)+1)/12,1))))))))&gt;0,(((K134)*(IF(M134="",L134,IFERROR(IF(INDEX(Variablen!$I:$AT, MATCH(M134, Variablen!$A:$A, 0), MATCH((YEAR(D134)+9), Variablen!$I$3:$AT$3, 0))="",L134,INDEX(Variablen!$I:$AT, MATCH(M134, Variablen!$A:$A, 0), MATCH((YEAR(D134)+9), Variablen!$I$3:$AT$3, 0))),L134)))*(IF((YEAR(D134)+9)&lt;YEAR(E134),0,IF((YEAR(D134)+9)&gt;YEAR(E134),1,(12-MONTH(E134)+1)/12))) + (Q134)*(IF((YEAR(D134)+9)&lt;YEAR(E134),0,IF((YEAR(D134)+9)&gt;YEAR(E134),1,(12-MONTH(E134)+1)/12))))-((P134)*(IF((YEAR(D134)+9)&lt;YEAR(E134),0,IF((YEAR(D134)+9)&gt;YEAR(E134),1,(12-MONTH(E134)+1)/12))) + (R134)*(IF((YEAR(D134)+9)&lt;YEAR(E134),0,IF((YEAR(D134)+9)&gt;YEAR(E134),1,(12-MONTH(E134)+1)/12))))-(IF(OR(N134="",N134&lt;=0),0,(O134/N134)*(IF(OR(N134="",N134&lt;=0),0,IF((YEAR(D134)+9)&lt;YEAR(E134),0,IF((YEAR(D134)+9)&gt;=YEAR(E134)+N134,0,IF((YEAR(D134)+9)=YEAR(E134),(12-MONTH(E134)+1)/12,1))))))))*TaxRate,0))-IF(9=0,O134,0))</f>
        <v/>
      </c>
      <c r="AC134" s="29">
        <f>IF(A134="","",((K134)*(IF(M134="",L134,IFERROR(IF(INDEX(Variablen!$I:$AT, MATCH(M134, Variablen!$A:$A, 0), MATCH((YEAR(D134)+10), Variablen!$I$3:$AT$3, 0))="",L134,INDEX(Variablen!$I:$AT, MATCH(M134, Variablen!$A:$A, 0), MATCH((YEAR(D134)+10), Variablen!$I$3:$AT$3, 0))),L134)))*(IF((YEAR(D134)+10)&lt;YEAR(E134),0,IF((YEAR(D134)+10)&gt;YEAR(E134),1,(12-MONTH(E134)+1)/12))) + (Q134)*(IF((YEAR(D134)+10)&lt;YEAR(E134),0,IF((YEAR(D134)+10)&gt;YEAR(E134),1,(12-MONTH(E134)+1)/12))))-((P134)*(IF((YEAR(D134)+10)&lt;YEAR(E134),0,IF((YEAR(D134)+10)&gt;YEAR(E134),1,(12-MONTH(E134)+1)/12))) + (R134)*(IF((YEAR(D134)+10)&lt;YEAR(E134),0,IF((YEAR(D134)+10)&gt;YEAR(E134),1,(12-MONTH(E134)+1)/12))))-(IF((((K134)*(IF(M134="",L134,IFERROR(IF(INDEX(Variablen!$I:$AT, MATCH(M134, Variablen!$A:$A, 0), MATCH((YEAR(D134)+10), Variablen!$I$3:$AT$3, 0))="",L134,INDEX(Variablen!$I:$AT, MATCH(M134, Variablen!$A:$A, 0), MATCH((YEAR(D134)+10), Variablen!$I$3:$AT$3, 0))),L134)))*(IF((YEAR(D134)+10)&lt;YEAR(E134),0,IF((YEAR(D134)+10)&gt;YEAR(E134),1,(12-MONTH(E134)+1)/12))) + (Q134)*(IF((YEAR(D134)+10)&lt;YEAR(E134),0,IF((YEAR(D134)+10)&gt;YEAR(E134),1,(12-MONTH(E134)+1)/12))))-((P134)*(IF((YEAR(D134)+10)&lt;YEAR(E134),0,IF((YEAR(D134)+10)&gt;YEAR(E134),1,(12-MONTH(E134)+1)/12))) + (R134)*(IF((YEAR(D134)+10)&lt;YEAR(E134),0,IF((YEAR(D134)+10)&gt;YEAR(E134),1,(12-MONTH(E134)+1)/12))))-(IF(OR(N134="",N134&lt;=0),0,(O134/N134)*(IF(OR(N134="",N134&lt;=0),0,IF((YEAR(D134)+10)&lt;YEAR(E134),0,IF((YEAR(D134)+10)&gt;=YEAR(E134)+N134,0,IF((YEAR(D134)+10)=YEAR(E134),(12-MONTH(E134)+1)/12,1))))))))&gt;0,(((K134)*(IF(M134="",L134,IFERROR(IF(INDEX(Variablen!$I:$AT, MATCH(M134, Variablen!$A:$A, 0), MATCH((YEAR(D134)+10), Variablen!$I$3:$AT$3, 0))="",L134,INDEX(Variablen!$I:$AT, MATCH(M134, Variablen!$A:$A, 0), MATCH((YEAR(D134)+10), Variablen!$I$3:$AT$3, 0))),L134)))*(IF((YEAR(D134)+10)&lt;YEAR(E134),0,IF((YEAR(D134)+10)&gt;YEAR(E134),1,(12-MONTH(E134)+1)/12))) + (Q134)*(IF((YEAR(D134)+10)&lt;YEAR(E134),0,IF((YEAR(D134)+10)&gt;YEAR(E134),1,(12-MONTH(E134)+1)/12))))-((P134)*(IF((YEAR(D134)+10)&lt;YEAR(E134),0,IF((YEAR(D134)+10)&gt;YEAR(E134),1,(12-MONTH(E134)+1)/12))) + (R134)*(IF((YEAR(D134)+10)&lt;YEAR(E134),0,IF((YEAR(D134)+10)&gt;YEAR(E134),1,(12-MONTH(E134)+1)/12))))-(IF(OR(N134="",N134&lt;=0),0,(O134/N134)*(IF(OR(N134="",N134&lt;=0),0,IF((YEAR(D134)+10)&lt;YEAR(E134),0,IF((YEAR(D134)+10)&gt;=YEAR(E134)+N134,0,IF((YEAR(D134)+10)=YEAR(E134),(12-MONTH(E134)+1)/12,1))))))))*TaxRate,0))-IF(10=0,O134,0))</f>
        <v/>
      </c>
      <c r="AD134" s="29">
        <f>IF(A134="","",((K134)*(IF(M134="",L134,IFERROR(IF(INDEX(Variablen!$I:$AT, MATCH(M134, Variablen!$A:$A, 0), MATCH((YEAR(D134)+11), Variablen!$I$3:$AT$3, 0))="",L134,INDEX(Variablen!$I:$AT, MATCH(M134, Variablen!$A:$A, 0), MATCH((YEAR(D134)+11), Variablen!$I$3:$AT$3, 0))),L134)))*(IF((YEAR(D134)+11)&lt;YEAR(E134),0,IF((YEAR(D134)+11)&gt;YEAR(E134),1,(12-MONTH(E134)+1)/12))) + (Q134)*(IF((YEAR(D134)+11)&lt;YEAR(E134),0,IF((YEAR(D134)+11)&gt;YEAR(E134),1,(12-MONTH(E134)+1)/12))))-((P134)*(IF((YEAR(D134)+11)&lt;YEAR(E134),0,IF((YEAR(D134)+11)&gt;YEAR(E134),1,(12-MONTH(E134)+1)/12))) + (R134)*(IF((YEAR(D134)+11)&lt;YEAR(E134),0,IF((YEAR(D134)+11)&gt;YEAR(E134),1,(12-MONTH(E134)+1)/12))))-(IF((((K134)*(IF(M134="",L134,IFERROR(IF(INDEX(Variablen!$I:$AT, MATCH(M134, Variablen!$A:$A, 0), MATCH((YEAR(D134)+11), Variablen!$I$3:$AT$3, 0))="",L134,INDEX(Variablen!$I:$AT, MATCH(M134, Variablen!$A:$A, 0), MATCH((YEAR(D134)+11), Variablen!$I$3:$AT$3, 0))),L134)))*(IF((YEAR(D134)+11)&lt;YEAR(E134),0,IF((YEAR(D134)+11)&gt;YEAR(E134),1,(12-MONTH(E134)+1)/12))) + (Q134)*(IF((YEAR(D134)+11)&lt;YEAR(E134),0,IF((YEAR(D134)+11)&gt;YEAR(E134),1,(12-MONTH(E134)+1)/12))))-((P134)*(IF((YEAR(D134)+11)&lt;YEAR(E134),0,IF((YEAR(D134)+11)&gt;YEAR(E134),1,(12-MONTH(E134)+1)/12))) + (R134)*(IF((YEAR(D134)+11)&lt;YEAR(E134),0,IF((YEAR(D134)+11)&gt;YEAR(E134),1,(12-MONTH(E134)+1)/12))))-(IF(OR(N134="",N134&lt;=0),0,(O134/N134)*(IF(OR(N134="",N134&lt;=0),0,IF((YEAR(D134)+11)&lt;YEAR(E134),0,IF((YEAR(D134)+11)&gt;=YEAR(E134)+N134,0,IF((YEAR(D134)+11)=YEAR(E134),(12-MONTH(E134)+1)/12,1))))))))&gt;0,(((K134)*(IF(M134="",L134,IFERROR(IF(INDEX(Variablen!$I:$AT, MATCH(M134, Variablen!$A:$A, 0), MATCH((YEAR(D134)+11), Variablen!$I$3:$AT$3, 0))="",L134,INDEX(Variablen!$I:$AT, MATCH(M134, Variablen!$A:$A, 0), MATCH((YEAR(D134)+11), Variablen!$I$3:$AT$3, 0))),L134)))*(IF((YEAR(D134)+11)&lt;YEAR(E134),0,IF((YEAR(D134)+11)&gt;YEAR(E134),1,(12-MONTH(E134)+1)/12))) + (Q134)*(IF((YEAR(D134)+11)&lt;YEAR(E134),0,IF((YEAR(D134)+11)&gt;YEAR(E134),1,(12-MONTH(E134)+1)/12))))-((P134)*(IF((YEAR(D134)+11)&lt;YEAR(E134),0,IF((YEAR(D134)+11)&gt;YEAR(E134),1,(12-MONTH(E134)+1)/12))) + (R134)*(IF((YEAR(D134)+11)&lt;YEAR(E134),0,IF((YEAR(D134)+11)&gt;YEAR(E134),1,(12-MONTH(E134)+1)/12))))-(IF(OR(N134="",N134&lt;=0),0,(O134/N134)*(IF(OR(N134="",N134&lt;=0),0,IF((YEAR(D134)+11)&lt;YEAR(E134),0,IF((YEAR(D134)+11)&gt;=YEAR(E134)+N134,0,IF((YEAR(D134)+11)=YEAR(E134),(12-MONTH(E134)+1)/12,1))))))))*TaxRate,0))-IF(11=0,O134,0))</f>
        <v/>
      </c>
      <c r="AE134" s="29">
        <f>IF(A134="","",((K134)*(IF(M134="",L134,IFERROR(IF(INDEX(Variablen!$I:$AT, MATCH(M134, Variablen!$A:$A, 0), MATCH((YEAR(D134)+12), Variablen!$I$3:$AT$3, 0))="",L134,INDEX(Variablen!$I:$AT, MATCH(M134, Variablen!$A:$A, 0), MATCH((YEAR(D134)+12), Variablen!$I$3:$AT$3, 0))),L134)))*(IF((YEAR(D134)+12)&lt;YEAR(E134),0,IF((YEAR(D134)+12)&gt;YEAR(E134),1,(12-MONTH(E134)+1)/12))) + (Q134)*(IF((YEAR(D134)+12)&lt;YEAR(E134),0,IF((YEAR(D134)+12)&gt;YEAR(E134),1,(12-MONTH(E134)+1)/12))))-((P134)*(IF((YEAR(D134)+12)&lt;YEAR(E134),0,IF((YEAR(D134)+12)&gt;YEAR(E134),1,(12-MONTH(E134)+1)/12))) + (R134)*(IF((YEAR(D134)+12)&lt;YEAR(E134),0,IF((YEAR(D134)+12)&gt;YEAR(E134),1,(12-MONTH(E134)+1)/12))))-(IF((((K134)*(IF(M134="",L134,IFERROR(IF(INDEX(Variablen!$I:$AT, MATCH(M134, Variablen!$A:$A, 0), MATCH((YEAR(D134)+12), Variablen!$I$3:$AT$3, 0))="",L134,INDEX(Variablen!$I:$AT, MATCH(M134, Variablen!$A:$A, 0), MATCH((YEAR(D134)+12), Variablen!$I$3:$AT$3, 0))),L134)))*(IF((YEAR(D134)+12)&lt;YEAR(E134),0,IF((YEAR(D134)+12)&gt;YEAR(E134),1,(12-MONTH(E134)+1)/12))) + (Q134)*(IF((YEAR(D134)+12)&lt;YEAR(E134),0,IF((YEAR(D134)+12)&gt;YEAR(E134),1,(12-MONTH(E134)+1)/12))))-((P134)*(IF((YEAR(D134)+12)&lt;YEAR(E134),0,IF((YEAR(D134)+12)&gt;YEAR(E134),1,(12-MONTH(E134)+1)/12))) + (R134)*(IF((YEAR(D134)+12)&lt;YEAR(E134),0,IF((YEAR(D134)+12)&gt;YEAR(E134),1,(12-MONTH(E134)+1)/12))))-(IF(OR(N134="",N134&lt;=0),0,(O134/N134)*(IF(OR(N134="",N134&lt;=0),0,IF((YEAR(D134)+12)&lt;YEAR(E134),0,IF((YEAR(D134)+12)&gt;=YEAR(E134)+N134,0,IF((YEAR(D134)+12)=YEAR(E134),(12-MONTH(E134)+1)/12,1))))))))&gt;0,(((K134)*(IF(M134="",L134,IFERROR(IF(INDEX(Variablen!$I:$AT, MATCH(M134, Variablen!$A:$A, 0), MATCH((YEAR(D134)+12), Variablen!$I$3:$AT$3, 0))="",L134,INDEX(Variablen!$I:$AT, MATCH(M134, Variablen!$A:$A, 0), MATCH((YEAR(D134)+12), Variablen!$I$3:$AT$3, 0))),L134)))*(IF((YEAR(D134)+12)&lt;YEAR(E134),0,IF((YEAR(D134)+12)&gt;YEAR(E134),1,(12-MONTH(E134)+1)/12))) + (Q134)*(IF((YEAR(D134)+12)&lt;YEAR(E134),0,IF((YEAR(D134)+12)&gt;YEAR(E134),1,(12-MONTH(E134)+1)/12))))-((P134)*(IF((YEAR(D134)+12)&lt;YEAR(E134),0,IF((YEAR(D134)+12)&gt;YEAR(E134),1,(12-MONTH(E134)+1)/12))) + (R134)*(IF((YEAR(D134)+12)&lt;YEAR(E134),0,IF((YEAR(D134)+12)&gt;YEAR(E134),1,(12-MONTH(E134)+1)/12))))-(IF(OR(N134="",N134&lt;=0),0,(O134/N134)*(IF(OR(N134="",N134&lt;=0),0,IF((YEAR(D134)+12)&lt;YEAR(E134),0,IF((YEAR(D134)+12)&gt;=YEAR(E134)+N134,0,IF((YEAR(D134)+12)=YEAR(E134),(12-MONTH(E134)+1)/12,1))))))))*TaxRate,0))-IF(12=0,O134,0))</f>
        <v/>
      </c>
      <c r="AF134" s="29">
        <f>IF(A134="","",((K134)*(IF(M134="",L134,IFERROR(IF(INDEX(Variablen!$I:$AT, MATCH(M134, Variablen!$A:$A, 0), MATCH((YEAR(D134)+13), Variablen!$I$3:$AT$3, 0))="",L134,INDEX(Variablen!$I:$AT, MATCH(M134, Variablen!$A:$A, 0), MATCH((YEAR(D134)+13), Variablen!$I$3:$AT$3, 0))),L134)))*(IF((YEAR(D134)+13)&lt;YEAR(E134),0,IF((YEAR(D134)+13)&gt;YEAR(E134),1,(12-MONTH(E134)+1)/12))) + (Q134)*(IF((YEAR(D134)+13)&lt;YEAR(E134),0,IF((YEAR(D134)+13)&gt;YEAR(E134),1,(12-MONTH(E134)+1)/12))))-((P134)*(IF((YEAR(D134)+13)&lt;YEAR(E134),0,IF((YEAR(D134)+13)&gt;YEAR(E134),1,(12-MONTH(E134)+1)/12))) + (R134)*(IF((YEAR(D134)+13)&lt;YEAR(E134),0,IF((YEAR(D134)+13)&gt;YEAR(E134),1,(12-MONTH(E134)+1)/12))))-(IF((((K134)*(IF(M134="",L134,IFERROR(IF(INDEX(Variablen!$I:$AT, MATCH(M134, Variablen!$A:$A, 0), MATCH((YEAR(D134)+13), Variablen!$I$3:$AT$3, 0))="",L134,INDEX(Variablen!$I:$AT, MATCH(M134, Variablen!$A:$A, 0), MATCH((YEAR(D134)+13), Variablen!$I$3:$AT$3, 0))),L134)))*(IF((YEAR(D134)+13)&lt;YEAR(E134),0,IF((YEAR(D134)+13)&gt;YEAR(E134),1,(12-MONTH(E134)+1)/12))) + (Q134)*(IF((YEAR(D134)+13)&lt;YEAR(E134),0,IF((YEAR(D134)+13)&gt;YEAR(E134),1,(12-MONTH(E134)+1)/12))))-((P134)*(IF((YEAR(D134)+13)&lt;YEAR(E134),0,IF((YEAR(D134)+13)&gt;YEAR(E134),1,(12-MONTH(E134)+1)/12))) + (R134)*(IF((YEAR(D134)+13)&lt;YEAR(E134),0,IF((YEAR(D134)+13)&gt;YEAR(E134),1,(12-MONTH(E134)+1)/12))))-(IF(OR(N134="",N134&lt;=0),0,(O134/N134)*(IF(OR(N134="",N134&lt;=0),0,IF((YEAR(D134)+13)&lt;YEAR(E134),0,IF((YEAR(D134)+13)&gt;=YEAR(E134)+N134,0,IF((YEAR(D134)+13)=YEAR(E134),(12-MONTH(E134)+1)/12,1))))))))&gt;0,(((K134)*(IF(M134="",L134,IFERROR(IF(INDEX(Variablen!$I:$AT, MATCH(M134, Variablen!$A:$A, 0), MATCH((YEAR(D134)+13), Variablen!$I$3:$AT$3, 0))="",L134,INDEX(Variablen!$I:$AT, MATCH(M134, Variablen!$A:$A, 0), MATCH((YEAR(D134)+13), Variablen!$I$3:$AT$3, 0))),L134)))*(IF((YEAR(D134)+13)&lt;YEAR(E134),0,IF((YEAR(D134)+13)&gt;YEAR(E134),1,(12-MONTH(E134)+1)/12))) + (Q134)*(IF((YEAR(D134)+13)&lt;YEAR(E134),0,IF((YEAR(D134)+13)&gt;YEAR(E134),1,(12-MONTH(E134)+1)/12))))-((P134)*(IF((YEAR(D134)+13)&lt;YEAR(E134),0,IF((YEAR(D134)+13)&gt;YEAR(E134),1,(12-MONTH(E134)+1)/12))) + (R134)*(IF((YEAR(D134)+13)&lt;YEAR(E134),0,IF((YEAR(D134)+13)&gt;YEAR(E134),1,(12-MONTH(E134)+1)/12))))-(IF(OR(N134="",N134&lt;=0),0,(O134/N134)*(IF(OR(N134="",N134&lt;=0),0,IF((YEAR(D134)+13)&lt;YEAR(E134),0,IF((YEAR(D134)+13)&gt;=YEAR(E134)+N134,0,IF((YEAR(D134)+13)=YEAR(E134),(12-MONTH(E134)+1)/12,1))))))))*TaxRate,0))-IF(13=0,O134,0))</f>
        <v/>
      </c>
      <c r="AG134" s="29">
        <f>IF(A134="","",((K134)*(IF(M134="",L134,IFERROR(IF(INDEX(Variablen!$I:$AT, MATCH(M134, Variablen!$A:$A, 0), MATCH((YEAR(D134)+14), Variablen!$I$3:$AT$3, 0))="",L134,INDEX(Variablen!$I:$AT, MATCH(M134, Variablen!$A:$A, 0), MATCH((YEAR(D134)+14), Variablen!$I$3:$AT$3, 0))),L134)))*(IF((YEAR(D134)+14)&lt;YEAR(E134),0,IF((YEAR(D134)+14)&gt;YEAR(E134),1,(12-MONTH(E134)+1)/12))) + (Q134)*(IF((YEAR(D134)+14)&lt;YEAR(E134),0,IF((YEAR(D134)+14)&gt;YEAR(E134),1,(12-MONTH(E134)+1)/12))))-((P134)*(IF((YEAR(D134)+14)&lt;YEAR(E134),0,IF((YEAR(D134)+14)&gt;YEAR(E134),1,(12-MONTH(E134)+1)/12))) + (R134)*(IF((YEAR(D134)+14)&lt;YEAR(E134),0,IF((YEAR(D134)+14)&gt;YEAR(E134),1,(12-MONTH(E134)+1)/12))))-(IF((((K134)*(IF(M134="",L134,IFERROR(IF(INDEX(Variablen!$I:$AT, MATCH(M134, Variablen!$A:$A, 0), MATCH((YEAR(D134)+14), Variablen!$I$3:$AT$3, 0))="",L134,INDEX(Variablen!$I:$AT, MATCH(M134, Variablen!$A:$A, 0), MATCH((YEAR(D134)+14), Variablen!$I$3:$AT$3, 0))),L134)))*(IF((YEAR(D134)+14)&lt;YEAR(E134),0,IF((YEAR(D134)+14)&gt;YEAR(E134),1,(12-MONTH(E134)+1)/12))) + (Q134)*(IF((YEAR(D134)+14)&lt;YEAR(E134),0,IF((YEAR(D134)+14)&gt;YEAR(E134),1,(12-MONTH(E134)+1)/12))))-((P134)*(IF((YEAR(D134)+14)&lt;YEAR(E134),0,IF((YEAR(D134)+14)&gt;YEAR(E134),1,(12-MONTH(E134)+1)/12))) + (R134)*(IF((YEAR(D134)+14)&lt;YEAR(E134),0,IF((YEAR(D134)+14)&gt;YEAR(E134),1,(12-MONTH(E134)+1)/12))))-(IF(OR(N134="",N134&lt;=0),0,(O134/N134)*(IF(OR(N134="",N134&lt;=0),0,IF((YEAR(D134)+14)&lt;YEAR(E134),0,IF((YEAR(D134)+14)&gt;=YEAR(E134)+N134,0,IF((YEAR(D134)+14)=YEAR(E134),(12-MONTH(E134)+1)/12,1))))))))&gt;0,(((K134)*(IF(M134="",L134,IFERROR(IF(INDEX(Variablen!$I:$AT, MATCH(M134, Variablen!$A:$A, 0), MATCH((YEAR(D134)+14), Variablen!$I$3:$AT$3, 0))="",L134,INDEX(Variablen!$I:$AT, MATCH(M134, Variablen!$A:$A, 0), MATCH((YEAR(D134)+14), Variablen!$I$3:$AT$3, 0))),L134)))*(IF((YEAR(D134)+14)&lt;YEAR(E134),0,IF((YEAR(D134)+14)&gt;YEAR(E134),1,(12-MONTH(E134)+1)/12))) + (Q134)*(IF((YEAR(D134)+14)&lt;YEAR(E134),0,IF((YEAR(D134)+14)&gt;YEAR(E134),1,(12-MONTH(E134)+1)/12))))-((P134)*(IF((YEAR(D134)+14)&lt;YEAR(E134),0,IF((YEAR(D134)+14)&gt;YEAR(E134),1,(12-MONTH(E134)+1)/12))) + (R134)*(IF((YEAR(D134)+14)&lt;YEAR(E134),0,IF((YEAR(D134)+14)&gt;YEAR(E134),1,(12-MONTH(E134)+1)/12))))-(IF(OR(N134="",N134&lt;=0),0,(O134/N134)*(IF(OR(N134="",N134&lt;=0),0,IF((YEAR(D134)+14)&lt;YEAR(E134),0,IF((YEAR(D134)+14)&gt;=YEAR(E134)+N134,0,IF((YEAR(D134)+14)=YEAR(E134),(12-MONTH(E134)+1)/12,1))))))))*TaxRate,0))-IF(14=0,O134,0))</f>
        <v/>
      </c>
      <c r="AH134" s="29">
        <f>IF(A134="","",((K134)*(IF(M134="",L134,IFERROR(IF(INDEX(Variablen!$I:$AT, MATCH(M134, Variablen!$A:$A, 0), MATCH((YEAR(D134)+15), Variablen!$I$3:$AT$3, 0))="",L134,INDEX(Variablen!$I:$AT, MATCH(M134, Variablen!$A:$A, 0), MATCH((YEAR(D134)+15), Variablen!$I$3:$AT$3, 0))),L134)))*(IF((YEAR(D134)+15)&lt;YEAR(E134),0,IF((YEAR(D134)+15)&gt;YEAR(E134),1,(12-MONTH(E134)+1)/12))) + (Q134)*(IF((YEAR(D134)+15)&lt;YEAR(E134),0,IF((YEAR(D134)+15)&gt;YEAR(E134),1,(12-MONTH(E134)+1)/12))))-((P134)*(IF((YEAR(D134)+15)&lt;YEAR(E134),0,IF((YEAR(D134)+15)&gt;YEAR(E134),1,(12-MONTH(E134)+1)/12))) + (R134)*(IF((YEAR(D134)+15)&lt;YEAR(E134),0,IF((YEAR(D134)+15)&gt;YEAR(E134),1,(12-MONTH(E134)+1)/12))))-(IF((((K134)*(IF(M134="",L134,IFERROR(IF(INDEX(Variablen!$I:$AT, MATCH(M134, Variablen!$A:$A, 0), MATCH((YEAR(D134)+15), Variablen!$I$3:$AT$3, 0))="",L134,INDEX(Variablen!$I:$AT, MATCH(M134, Variablen!$A:$A, 0), MATCH((YEAR(D134)+15), Variablen!$I$3:$AT$3, 0))),L134)))*(IF((YEAR(D134)+15)&lt;YEAR(E134),0,IF((YEAR(D134)+15)&gt;YEAR(E134),1,(12-MONTH(E134)+1)/12))) + (Q134)*(IF((YEAR(D134)+15)&lt;YEAR(E134),0,IF((YEAR(D134)+15)&gt;YEAR(E134),1,(12-MONTH(E134)+1)/12))))-((P134)*(IF((YEAR(D134)+15)&lt;YEAR(E134),0,IF((YEAR(D134)+15)&gt;YEAR(E134),1,(12-MONTH(E134)+1)/12))) + (R134)*(IF((YEAR(D134)+15)&lt;YEAR(E134),0,IF((YEAR(D134)+15)&gt;YEAR(E134),1,(12-MONTH(E134)+1)/12))))-(IF(OR(N134="",N134&lt;=0),0,(O134/N134)*(IF(OR(N134="",N134&lt;=0),0,IF((YEAR(D134)+15)&lt;YEAR(E134),0,IF((YEAR(D134)+15)&gt;=YEAR(E134)+N134,0,IF((YEAR(D134)+15)=YEAR(E134),(12-MONTH(E134)+1)/12,1))))))))&gt;0,(((K134)*(IF(M134="",L134,IFERROR(IF(INDEX(Variablen!$I:$AT, MATCH(M134, Variablen!$A:$A, 0), MATCH((YEAR(D134)+15), Variablen!$I$3:$AT$3, 0))="",L134,INDEX(Variablen!$I:$AT, MATCH(M134, Variablen!$A:$A, 0), MATCH((YEAR(D134)+15), Variablen!$I$3:$AT$3, 0))),L134)))*(IF((YEAR(D134)+15)&lt;YEAR(E134),0,IF((YEAR(D134)+15)&gt;YEAR(E134),1,(12-MONTH(E134)+1)/12))) + (Q134)*(IF((YEAR(D134)+15)&lt;YEAR(E134),0,IF((YEAR(D134)+15)&gt;YEAR(E134),1,(12-MONTH(E134)+1)/12))))-((P134)*(IF((YEAR(D134)+15)&lt;YEAR(E134),0,IF((YEAR(D134)+15)&gt;YEAR(E134),1,(12-MONTH(E134)+1)/12))) + (R134)*(IF((YEAR(D134)+15)&lt;YEAR(E134),0,IF((YEAR(D134)+15)&gt;YEAR(E134),1,(12-MONTH(E134)+1)/12))))-(IF(OR(N134="",N134&lt;=0),0,(O134/N134)*(IF(OR(N134="",N134&lt;=0),0,IF((YEAR(D134)+15)&lt;YEAR(E134),0,IF((YEAR(D134)+15)&gt;=YEAR(E134)+N134,0,IF((YEAR(D134)+15)=YEAR(E134),(12-MONTH(E134)+1)/12,1))))))))*TaxRate,0))-IF(15=0,O134,0))</f>
        <v/>
      </c>
      <c r="AI134" s="29">
        <f>IF(A134="","",((K134)*(IF(M134="",L134,IFERROR(IF(INDEX(Variablen!$I:$AT, MATCH(M134, Variablen!$A:$A, 0), MATCH((YEAR(D134)+16), Variablen!$I$3:$AT$3, 0))="",L134,INDEX(Variablen!$I:$AT, MATCH(M134, Variablen!$A:$A, 0), MATCH((YEAR(D134)+16), Variablen!$I$3:$AT$3, 0))),L134)))*(IF((YEAR(D134)+16)&lt;YEAR(E134),0,IF((YEAR(D134)+16)&gt;YEAR(E134),1,(12-MONTH(E134)+1)/12))) + (Q134)*(IF((YEAR(D134)+16)&lt;YEAR(E134),0,IF((YEAR(D134)+16)&gt;YEAR(E134),1,(12-MONTH(E134)+1)/12))))-((P134)*(IF((YEAR(D134)+16)&lt;YEAR(E134),0,IF((YEAR(D134)+16)&gt;YEAR(E134),1,(12-MONTH(E134)+1)/12))) + (R134)*(IF((YEAR(D134)+16)&lt;YEAR(E134),0,IF((YEAR(D134)+16)&gt;YEAR(E134),1,(12-MONTH(E134)+1)/12))))-(IF((((K134)*(IF(M134="",L134,IFERROR(IF(INDEX(Variablen!$I:$AT, MATCH(M134, Variablen!$A:$A, 0), MATCH((YEAR(D134)+16), Variablen!$I$3:$AT$3, 0))="",L134,INDEX(Variablen!$I:$AT, MATCH(M134, Variablen!$A:$A, 0), MATCH((YEAR(D134)+16), Variablen!$I$3:$AT$3, 0))),L134)))*(IF((YEAR(D134)+16)&lt;YEAR(E134),0,IF((YEAR(D134)+16)&gt;YEAR(E134),1,(12-MONTH(E134)+1)/12))) + (Q134)*(IF((YEAR(D134)+16)&lt;YEAR(E134),0,IF((YEAR(D134)+16)&gt;YEAR(E134),1,(12-MONTH(E134)+1)/12))))-((P134)*(IF((YEAR(D134)+16)&lt;YEAR(E134),0,IF((YEAR(D134)+16)&gt;YEAR(E134),1,(12-MONTH(E134)+1)/12))) + (R134)*(IF((YEAR(D134)+16)&lt;YEAR(E134),0,IF((YEAR(D134)+16)&gt;YEAR(E134),1,(12-MONTH(E134)+1)/12))))-(IF(OR(N134="",N134&lt;=0),0,(O134/N134)*(IF(OR(N134="",N134&lt;=0),0,IF((YEAR(D134)+16)&lt;YEAR(E134),0,IF((YEAR(D134)+16)&gt;=YEAR(E134)+N134,0,IF((YEAR(D134)+16)=YEAR(E134),(12-MONTH(E134)+1)/12,1))))))))&gt;0,(((K134)*(IF(M134="",L134,IFERROR(IF(INDEX(Variablen!$I:$AT, MATCH(M134, Variablen!$A:$A, 0), MATCH((YEAR(D134)+16), Variablen!$I$3:$AT$3, 0))="",L134,INDEX(Variablen!$I:$AT, MATCH(M134, Variablen!$A:$A, 0), MATCH((YEAR(D134)+16), Variablen!$I$3:$AT$3, 0))),L134)))*(IF((YEAR(D134)+16)&lt;YEAR(E134),0,IF((YEAR(D134)+16)&gt;YEAR(E134),1,(12-MONTH(E134)+1)/12))) + (Q134)*(IF((YEAR(D134)+16)&lt;YEAR(E134),0,IF((YEAR(D134)+16)&gt;YEAR(E134),1,(12-MONTH(E134)+1)/12))))-((P134)*(IF((YEAR(D134)+16)&lt;YEAR(E134),0,IF((YEAR(D134)+16)&gt;YEAR(E134),1,(12-MONTH(E134)+1)/12))) + (R134)*(IF((YEAR(D134)+16)&lt;YEAR(E134),0,IF((YEAR(D134)+16)&gt;YEAR(E134),1,(12-MONTH(E134)+1)/12))))-(IF(OR(N134="",N134&lt;=0),0,(O134/N134)*(IF(OR(N134="",N134&lt;=0),0,IF((YEAR(D134)+16)&lt;YEAR(E134),0,IF((YEAR(D134)+16)&gt;=YEAR(E134)+N134,0,IF((YEAR(D134)+16)=YEAR(E134),(12-MONTH(E134)+1)/12,1))))))))*TaxRate,0))-IF(16=0,O134,0))</f>
        <v/>
      </c>
      <c r="AJ134" s="29">
        <f>IF(A134="","",((K134)*(IF(M134="",L134,IFERROR(IF(INDEX(Variablen!$I:$AT, MATCH(M134, Variablen!$A:$A, 0), MATCH((YEAR(D134)+17), Variablen!$I$3:$AT$3, 0))="",L134,INDEX(Variablen!$I:$AT, MATCH(M134, Variablen!$A:$A, 0), MATCH((YEAR(D134)+17), Variablen!$I$3:$AT$3, 0))),L134)))*(IF((YEAR(D134)+17)&lt;YEAR(E134),0,IF((YEAR(D134)+17)&gt;YEAR(E134),1,(12-MONTH(E134)+1)/12))) + (Q134)*(IF((YEAR(D134)+17)&lt;YEAR(E134),0,IF((YEAR(D134)+17)&gt;YEAR(E134),1,(12-MONTH(E134)+1)/12))))-((P134)*(IF((YEAR(D134)+17)&lt;YEAR(E134),0,IF((YEAR(D134)+17)&gt;YEAR(E134),1,(12-MONTH(E134)+1)/12))) + (R134)*(IF((YEAR(D134)+17)&lt;YEAR(E134),0,IF((YEAR(D134)+17)&gt;YEAR(E134),1,(12-MONTH(E134)+1)/12))))-(IF((((K134)*(IF(M134="",L134,IFERROR(IF(INDEX(Variablen!$I:$AT, MATCH(M134, Variablen!$A:$A, 0), MATCH((YEAR(D134)+17), Variablen!$I$3:$AT$3, 0))="",L134,INDEX(Variablen!$I:$AT, MATCH(M134, Variablen!$A:$A, 0), MATCH((YEAR(D134)+17), Variablen!$I$3:$AT$3, 0))),L134)))*(IF((YEAR(D134)+17)&lt;YEAR(E134),0,IF((YEAR(D134)+17)&gt;YEAR(E134),1,(12-MONTH(E134)+1)/12))) + (Q134)*(IF((YEAR(D134)+17)&lt;YEAR(E134),0,IF((YEAR(D134)+17)&gt;YEAR(E134),1,(12-MONTH(E134)+1)/12))))-((P134)*(IF((YEAR(D134)+17)&lt;YEAR(E134),0,IF((YEAR(D134)+17)&gt;YEAR(E134),1,(12-MONTH(E134)+1)/12))) + (R134)*(IF((YEAR(D134)+17)&lt;YEAR(E134),0,IF((YEAR(D134)+17)&gt;YEAR(E134),1,(12-MONTH(E134)+1)/12))))-(IF(OR(N134="",N134&lt;=0),0,(O134/N134)*(IF(OR(N134="",N134&lt;=0),0,IF((YEAR(D134)+17)&lt;YEAR(E134),0,IF((YEAR(D134)+17)&gt;=YEAR(E134)+N134,0,IF((YEAR(D134)+17)=YEAR(E134),(12-MONTH(E134)+1)/12,1))))))))&gt;0,(((K134)*(IF(M134="",L134,IFERROR(IF(INDEX(Variablen!$I:$AT, MATCH(M134, Variablen!$A:$A, 0), MATCH((YEAR(D134)+17), Variablen!$I$3:$AT$3, 0))="",L134,INDEX(Variablen!$I:$AT, MATCH(M134, Variablen!$A:$A, 0), MATCH((YEAR(D134)+17), Variablen!$I$3:$AT$3, 0))),L134)))*(IF((YEAR(D134)+17)&lt;YEAR(E134),0,IF((YEAR(D134)+17)&gt;YEAR(E134),1,(12-MONTH(E134)+1)/12))) + (Q134)*(IF((YEAR(D134)+17)&lt;YEAR(E134),0,IF((YEAR(D134)+17)&gt;YEAR(E134),1,(12-MONTH(E134)+1)/12))))-((P134)*(IF((YEAR(D134)+17)&lt;YEAR(E134),0,IF((YEAR(D134)+17)&gt;YEAR(E134),1,(12-MONTH(E134)+1)/12))) + (R134)*(IF((YEAR(D134)+17)&lt;YEAR(E134),0,IF((YEAR(D134)+17)&gt;YEAR(E134),1,(12-MONTH(E134)+1)/12))))-(IF(OR(N134="",N134&lt;=0),0,(O134/N134)*(IF(OR(N134="",N134&lt;=0),0,IF((YEAR(D134)+17)&lt;YEAR(E134),0,IF((YEAR(D134)+17)&gt;=YEAR(E134)+N134,0,IF((YEAR(D134)+17)=YEAR(E134),(12-MONTH(E134)+1)/12,1))))))))*TaxRate,0))-IF(17=0,O134,0))</f>
        <v/>
      </c>
      <c r="AK134" s="29">
        <f>IF(A134="","",((K134)*(IF(M134="",L134,IFERROR(IF(INDEX(Variablen!$I:$AT, MATCH(M134, Variablen!$A:$A, 0), MATCH((YEAR(D134)+18), Variablen!$I$3:$AT$3, 0))="",L134,INDEX(Variablen!$I:$AT, MATCH(M134, Variablen!$A:$A, 0), MATCH((YEAR(D134)+18), Variablen!$I$3:$AT$3, 0))),L134)))*(IF((YEAR(D134)+18)&lt;YEAR(E134),0,IF((YEAR(D134)+18)&gt;YEAR(E134),1,(12-MONTH(E134)+1)/12))) + (Q134)*(IF((YEAR(D134)+18)&lt;YEAR(E134),0,IF((YEAR(D134)+18)&gt;YEAR(E134),1,(12-MONTH(E134)+1)/12))))-((P134)*(IF((YEAR(D134)+18)&lt;YEAR(E134),0,IF((YEAR(D134)+18)&gt;YEAR(E134),1,(12-MONTH(E134)+1)/12))) + (R134)*(IF((YEAR(D134)+18)&lt;YEAR(E134),0,IF((YEAR(D134)+18)&gt;YEAR(E134),1,(12-MONTH(E134)+1)/12))))-(IF((((K134)*(IF(M134="",L134,IFERROR(IF(INDEX(Variablen!$I:$AT, MATCH(M134, Variablen!$A:$A, 0), MATCH((YEAR(D134)+18), Variablen!$I$3:$AT$3, 0))="",L134,INDEX(Variablen!$I:$AT, MATCH(M134, Variablen!$A:$A, 0), MATCH((YEAR(D134)+18), Variablen!$I$3:$AT$3, 0))),L134)))*(IF((YEAR(D134)+18)&lt;YEAR(E134),0,IF((YEAR(D134)+18)&gt;YEAR(E134),1,(12-MONTH(E134)+1)/12))) + (Q134)*(IF((YEAR(D134)+18)&lt;YEAR(E134),0,IF((YEAR(D134)+18)&gt;YEAR(E134),1,(12-MONTH(E134)+1)/12))))-((P134)*(IF((YEAR(D134)+18)&lt;YEAR(E134),0,IF((YEAR(D134)+18)&gt;YEAR(E134),1,(12-MONTH(E134)+1)/12))) + (R134)*(IF((YEAR(D134)+18)&lt;YEAR(E134),0,IF((YEAR(D134)+18)&gt;YEAR(E134),1,(12-MONTH(E134)+1)/12))))-(IF(OR(N134="",N134&lt;=0),0,(O134/N134)*(IF(OR(N134="",N134&lt;=0),0,IF((YEAR(D134)+18)&lt;YEAR(E134),0,IF((YEAR(D134)+18)&gt;=YEAR(E134)+N134,0,IF((YEAR(D134)+18)=YEAR(E134),(12-MONTH(E134)+1)/12,1))))))))&gt;0,(((K134)*(IF(M134="",L134,IFERROR(IF(INDEX(Variablen!$I:$AT, MATCH(M134, Variablen!$A:$A, 0), MATCH((YEAR(D134)+18), Variablen!$I$3:$AT$3, 0))="",L134,INDEX(Variablen!$I:$AT, MATCH(M134, Variablen!$A:$A, 0), MATCH((YEAR(D134)+18), Variablen!$I$3:$AT$3, 0))),L134)))*(IF((YEAR(D134)+18)&lt;YEAR(E134),0,IF((YEAR(D134)+18)&gt;YEAR(E134),1,(12-MONTH(E134)+1)/12))) + (Q134)*(IF((YEAR(D134)+18)&lt;YEAR(E134),0,IF((YEAR(D134)+18)&gt;YEAR(E134),1,(12-MONTH(E134)+1)/12))))-((P134)*(IF((YEAR(D134)+18)&lt;YEAR(E134),0,IF((YEAR(D134)+18)&gt;YEAR(E134),1,(12-MONTH(E134)+1)/12))) + (R134)*(IF((YEAR(D134)+18)&lt;YEAR(E134),0,IF((YEAR(D134)+18)&gt;YEAR(E134),1,(12-MONTH(E134)+1)/12))))-(IF(OR(N134="",N134&lt;=0),0,(O134/N134)*(IF(OR(N134="",N134&lt;=0),0,IF((YEAR(D134)+18)&lt;YEAR(E134),0,IF((YEAR(D134)+18)&gt;=YEAR(E134)+N134,0,IF((YEAR(D134)+18)=YEAR(E134),(12-MONTH(E134)+1)/12,1))))))))*TaxRate,0))-IF(18=0,O134,0))</f>
        <v/>
      </c>
      <c r="AL134" s="29">
        <f>IF(A134="","",((K134)*(IF(M134="",L134,IFERROR(IF(INDEX(Variablen!$I:$AT, MATCH(M134, Variablen!$A:$A, 0), MATCH((YEAR(D134)+19), Variablen!$I$3:$AT$3, 0))="",L134,INDEX(Variablen!$I:$AT, MATCH(M134, Variablen!$A:$A, 0), MATCH((YEAR(D134)+19), Variablen!$I$3:$AT$3, 0))),L134)))*(IF((YEAR(D134)+19)&lt;YEAR(E134),0,IF((YEAR(D134)+19)&gt;YEAR(E134),1,(12-MONTH(E134)+1)/12))) + (Q134)*(IF((YEAR(D134)+19)&lt;YEAR(E134),0,IF((YEAR(D134)+19)&gt;YEAR(E134),1,(12-MONTH(E134)+1)/12))))-((P134)*(IF((YEAR(D134)+19)&lt;YEAR(E134),0,IF((YEAR(D134)+19)&gt;YEAR(E134),1,(12-MONTH(E134)+1)/12))) + (R134)*(IF((YEAR(D134)+19)&lt;YEAR(E134),0,IF((YEAR(D134)+19)&gt;YEAR(E134),1,(12-MONTH(E134)+1)/12))))-(IF((((K134)*(IF(M134="",L134,IFERROR(IF(INDEX(Variablen!$I:$AT, MATCH(M134, Variablen!$A:$A, 0), MATCH((YEAR(D134)+19), Variablen!$I$3:$AT$3, 0))="",L134,INDEX(Variablen!$I:$AT, MATCH(M134, Variablen!$A:$A, 0), MATCH((YEAR(D134)+19), Variablen!$I$3:$AT$3, 0))),L134)))*(IF((YEAR(D134)+19)&lt;YEAR(E134),0,IF((YEAR(D134)+19)&gt;YEAR(E134),1,(12-MONTH(E134)+1)/12))) + (Q134)*(IF((YEAR(D134)+19)&lt;YEAR(E134),0,IF((YEAR(D134)+19)&gt;YEAR(E134),1,(12-MONTH(E134)+1)/12))))-((P134)*(IF((YEAR(D134)+19)&lt;YEAR(E134),0,IF((YEAR(D134)+19)&gt;YEAR(E134),1,(12-MONTH(E134)+1)/12))) + (R134)*(IF((YEAR(D134)+19)&lt;YEAR(E134),0,IF((YEAR(D134)+19)&gt;YEAR(E134),1,(12-MONTH(E134)+1)/12))))-(IF(OR(N134="",N134&lt;=0),0,(O134/N134)*(IF(OR(N134="",N134&lt;=0),0,IF((YEAR(D134)+19)&lt;YEAR(E134),0,IF((YEAR(D134)+19)&gt;=YEAR(E134)+N134,0,IF((YEAR(D134)+19)=YEAR(E134),(12-MONTH(E134)+1)/12,1))))))))&gt;0,(((K134)*(IF(M134="",L134,IFERROR(IF(INDEX(Variablen!$I:$AT, MATCH(M134, Variablen!$A:$A, 0), MATCH((YEAR(D134)+19), Variablen!$I$3:$AT$3, 0))="",L134,INDEX(Variablen!$I:$AT, MATCH(M134, Variablen!$A:$A, 0), MATCH((YEAR(D134)+19), Variablen!$I$3:$AT$3, 0))),L134)))*(IF((YEAR(D134)+19)&lt;YEAR(E134),0,IF((YEAR(D134)+19)&gt;YEAR(E134),1,(12-MONTH(E134)+1)/12))) + (Q134)*(IF((YEAR(D134)+19)&lt;YEAR(E134),0,IF((YEAR(D134)+19)&gt;YEAR(E134),1,(12-MONTH(E134)+1)/12))))-((P134)*(IF((YEAR(D134)+19)&lt;YEAR(E134),0,IF((YEAR(D134)+19)&gt;YEAR(E134),1,(12-MONTH(E134)+1)/12))) + (R134)*(IF((YEAR(D134)+19)&lt;YEAR(E134),0,IF((YEAR(D134)+19)&gt;YEAR(E134),1,(12-MONTH(E134)+1)/12))))-(IF(OR(N134="",N134&lt;=0),0,(O134/N134)*(IF(OR(N134="",N134&lt;=0),0,IF((YEAR(D134)+19)&lt;YEAR(E134),0,IF((YEAR(D134)+19)&gt;=YEAR(E134)+N134,0,IF((YEAR(D134)+19)=YEAR(E134),(12-MONTH(E134)+1)/12,1))))))))*TaxRate,0))-IF(19=0,O134,0))</f>
        <v/>
      </c>
      <c r="AM134" s="29">
        <f>IF(A134="","",((K134)*(IF(M134="",L134,IFERROR(IF(INDEX(Variablen!$I:$AT, MATCH(M134, Variablen!$A:$A, 0), MATCH((YEAR(D134)+20), Variablen!$I$3:$AT$3, 0))="",L134,INDEX(Variablen!$I:$AT, MATCH(M134, Variablen!$A:$A, 0), MATCH((YEAR(D134)+20), Variablen!$I$3:$AT$3, 0))),L134)))*(IF((YEAR(D134)+20)&lt;YEAR(E134),0,IF((YEAR(D134)+20)&gt;YEAR(E134),1,(12-MONTH(E134)+1)/12))) + (Q134)*(IF((YEAR(D134)+20)&lt;YEAR(E134),0,IF((YEAR(D134)+20)&gt;YEAR(E134),1,(12-MONTH(E134)+1)/12))))-((P134)*(IF((YEAR(D134)+20)&lt;YEAR(E134),0,IF((YEAR(D134)+20)&gt;YEAR(E134),1,(12-MONTH(E134)+1)/12))) + (R134)*(IF((YEAR(D134)+20)&lt;YEAR(E134),0,IF((YEAR(D134)+20)&gt;YEAR(E134),1,(12-MONTH(E134)+1)/12))))-(IF((((K134)*(IF(M134="",L134,IFERROR(IF(INDEX(Variablen!$I:$AT, MATCH(M134, Variablen!$A:$A, 0), MATCH((YEAR(D134)+20), Variablen!$I$3:$AT$3, 0))="",L134,INDEX(Variablen!$I:$AT, MATCH(M134, Variablen!$A:$A, 0), MATCH((YEAR(D134)+20), Variablen!$I$3:$AT$3, 0))),L134)))*(IF((YEAR(D134)+20)&lt;YEAR(E134),0,IF((YEAR(D134)+20)&gt;YEAR(E134),1,(12-MONTH(E134)+1)/12))) + (Q134)*(IF((YEAR(D134)+20)&lt;YEAR(E134),0,IF((YEAR(D134)+20)&gt;YEAR(E134),1,(12-MONTH(E134)+1)/12))))-((P134)*(IF((YEAR(D134)+20)&lt;YEAR(E134),0,IF((YEAR(D134)+20)&gt;YEAR(E134),1,(12-MONTH(E134)+1)/12))) + (R134)*(IF((YEAR(D134)+20)&lt;YEAR(E134),0,IF((YEAR(D134)+20)&gt;YEAR(E134),1,(12-MONTH(E134)+1)/12))))-(IF(OR(N134="",N134&lt;=0),0,(O134/N134)*(IF(OR(N134="",N134&lt;=0),0,IF((YEAR(D134)+20)&lt;YEAR(E134),0,IF((YEAR(D134)+20)&gt;=YEAR(E134)+N134,0,IF((YEAR(D134)+20)=YEAR(E134),(12-MONTH(E134)+1)/12,1))))))))&gt;0,(((K134)*(IF(M134="",L134,IFERROR(IF(INDEX(Variablen!$I:$AT, MATCH(M134, Variablen!$A:$A, 0), MATCH((YEAR(D134)+20), Variablen!$I$3:$AT$3, 0))="",L134,INDEX(Variablen!$I:$AT, MATCH(M134, Variablen!$A:$A, 0), MATCH((YEAR(D134)+20), Variablen!$I$3:$AT$3, 0))),L134)))*(IF((YEAR(D134)+20)&lt;YEAR(E134),0,IF((YEAR(D134)+20)&gt;YEAR(E134),1,(12-MONTH(E134)+1)/12))) + (Q134)*(IF((YEAR(D134)+20)&lt;YEAR(E134),0,IF((YEAR(D134)+20)&gt;YEAR(E134),1,(12-MONTH(E134)+1)/12))))-((P134)*(IF((YEAR(D134)+20)&lt;YEAR(E134),0,IF((YEAR(D134)+20)&gt;YEAR(E134),1,(12-MONTH(E134)+1)/12))) + (R134)*(IF((YEAR(D134)+20)&lt;YEAR(E134),0,IF((YEAR(D134)+20)&gt;YEAR(E134),1,(12-MONTH(E134)+1)/12))))-(IF(OR(N134="",N134&lt;=0),0,(O134/N134)*(IF(OR(N134="",N134&lt;=0),0,IF((YEAR(D134)+20)&lt;YEAR(E134),0,IF((YEAR(D134)+20)&gt;=YEAR(E134)+N134,0,IF((YEAR(D134)+20)=YEAR(E134),(12-MONTH(E134)+1)/12,1))))))))*TaxRate,0))-IF(20=0,O134,0))</f>
        <v/>
      </c>
      <c r="AN134" s="29">
        <f>IF(A134="","",S134)</f>
        <v/>
      </c>
      <c r="AO134" s="29">
        <f>IF(A134="","",AN134+T134)</f>
        <v/>
      </c>
      <c r="AP134" s="29">
        <f>IF(A134="","",AO134+U134)</f>
        <v/>
      </c>
      <c r="AQ134" s="29">
        <f>IF(A134="","",AP134+V134)</f>
        <v/>
      </c>
      <c r="AR134" s="29">
        <f>IF(A134="","",AQ134+W134)</f>
        <v/>
      </c>
      <c r="AS134" s="29">
        <f>IF(A134="","",AR134+X134)</f>
        <v/>
      </c>
      <c r="AT134" s="29">
        <f>IF(A134="","",AS134+Y134)</f>
        <v/>
      </c>
      <c r="AU134" s="29">
        <f>IF(A134="","",AT134+Z134)</f>
        <v/>
      </c>
      <c r="AV134" s="29">
        <f>IF(A134="","",AU134+AA134)</f>
        <v/>
      </c>
      <c r="AW134" s="29">
        <f>IF(A134="","",AV134+AB134)</f>
        <v/>
      </c>
      <c r="AX134" s="29">
        <f>IF(A134="","",AW134+AC134)</f>
        <v/>
      </c>
      <c r="AY134" s="29">
        <f>IF(A134="","",AX134+AD134)</f>
        <v/>
      </c>
      <c r="AZ134" s="29">
        <f>IF(A134="","",AY134+AE134)</f>
        <v/>
      </c>
      <c r="BA134" s="29">
        <f>IF(A134="","",AZ134+AF134)</f>
        <v/>
      </c>
      <c r="BB134" s="29">
        <f>IF(A134="","",BA134+AG134)</f>
        <v/>
      </c>
      <c r="BC134" s="29">
        <f>IF(A134="","",BB134+AH134)</f>
        <v/>
      </c>
      <c r="BD134" s="29">
        <f>IF(A134="","",BC134+AI134)</f>
        <v/>
      </c>
      <c r="BE134" s="29">
        <f>IF(A134="","",BD134+AJ134)</f>
        <v/>
      </c>
      <c r="BF134" s="29">
        <f>IF(A134="","",BE134+AK134)</f>
        <v/>
      </c>
      <c r="BG134" s="29">
        <f>IF(A134="","",BF134+AL134)</f>
        <v/>
      </c>
      <c r="BH134" s="29">
        <f>IF(A134="","",BG134+AM134)</f>
        <v/>
      </c>
      <c r="BI134" s="36">
        <f>IF(A134="","",(K134)*(IF((YEAR(D134)+0)&lt;YEAR(E134),0,IF((YEAR(D134)+0)&gt;YEAR(E134),1,(12-MONTH(E134)+1)/12)))*(1/(1+DiscountRate)^0))</f>
        <v/>
      </c>
      <c r="BJ134" s="36">
        <f>IF(A134="","",(K134)*(IF((YEAR(D134)+1)&lt;YEAR(E134),0,IF((YEAR(D134)+1)&gt;YEAR(E134),1,(12-MONTH(E134)+1)/12)))*(1/(1+DiscountRate)^1))</f>
        <v/>
      </c>
      <c r="BK134" s="36">
        <f>IF(A134="","",(K134)*(IF((YEAR(D134)+2)&lt;YEAR(E134),0,IF((YEAR(D134)+2)&gt;YEAR(E134),1,(12-MONTH(E134)+1)/12)))*(1/(1+DiscountRate)^2))</f>
        <v/>
      </c>
      <c r="BL134" s="36">
        <f>IF(A134="","",(K134)*(IF((YEAR(D134)+3)&lt;YEAR(E134),0,IF((YEAR(D134)+3)&gt;YEAR(E134),1,(12-MONTH(E134)+1)/12)))*(1/(1+DiscountRate)^3))</f>
        <v/>
      </c>
      <c r="BM134" s="36">
        <f>IF(A134="","",(K134)*(IF((YEAR(D134)+4)&lt;YEAR(E134),0,IF((YEAR(D134)+4)&gt;YEAR(E134),1,(12-MONTH(E134)+1)/12)))*(1/(1+DiscountRate)^4))</f>
        <v/>
      </c>
      <c r="BN134" s="36">
        <f>IF(A134="","",(K134)*(IF((YEAR(D134)+5)&lt;YEAR(E134),0,IF((YEAR(D134)+5)&gt;YEAR(E134),1,(12-MONTH(E134)+1)/12)))*(1/(1+DiscountRate)^5))</f>
        <v/>
      </c>
      <c r="BO134" s="36">
        <f>IF(A134="","",(K134)*(IF((YEAR(D134)+6)&lt;YEAR(E134),0,IF((YEAR(D134)+6)&gt;YEAR(E134),1,(12-MONTH(E134)+1)/12)))*(1/(1+DiscountRate)^6))</f>
        <v/>
      </c>
      <c r="BP134" s="36">
        <f>IF(A134="","",(K134)*(IF((YEAR(D134)+7)&lt;YEAR(E134),0,IF((YEAR(D134)+7)&gt;YEAR(E134),1,(12-MONTH(E134)+1)/12)))*(1/(1+DiscountRate)^7))</f>
        <v/>
      </c>
      <c r="BQ134" s="36">
        <f>IF(A134="","",(K134)*(IF((YEAR(D134)+8)&lt;YEAR(E134),0,IF((YEAR(D134)+8)&gt;YEAR(E134),1,(12-MONTH(E134)+1)/12)))*(1/(1+DiscountRate)^8))</f>
        <v/>
      </c>
      <c r="BR134" s="36">
        <f>IF(A134="","",(K134)*(IF((YEAR(D134)+9)&lt;YEAR(E134),0,IF((YEAR(D134)+9)&gt;YEAR(E134),1,(12-MONTH(E134)+1)/12)))*(1/(1+DiscountRate)^9))</f>
        <v/>
      </c>
      <c r="BS134" s="36">
        <f>IF(A134="","",(K134)*(IF((YEAR(D134)+10)&lt;YEAR(E134),0,IF((YEAR(D134)+10)&gt;YEAR(E134),1,(12-MONTH(E134)+1)/12)))*(1/(1+DiscountRate)^10))</f>
        <v/>
      </c>
      <c r="BT134" s="36">
        <f>IF(A134="","",(K134)*(IF((YEAR(D134)+11)&lt;YEAR(E134),0,IF((YEAR(D134)+11)&gt;YEAR(E134),1,(12-MONTH(E134)+1)/12)))*(1/(1+DiscountRate)^11))</f>
        <v/>
      </c>
      <c r="BU134" s="36">
        <f>IF(A134="","",(K134)*(IF((YEAR(D134)+12)&lt;YEAR(E134),0,IF((YEAR(D134)+12)&gt;YEAR(E134),1,(12-MONTH(E134)+1)/12)))*(1/(1+DiscountRate)^12))</f>
        <v/>
      </c>
      <c r="BV134" s="36">
        <f>IF(A134="","",(K134)*(IF((YEAR(D134)+13)&lt;YEAR(E134),0,IF((YEAR(D134)+13)&gt;YEAR(E134),1,(12-MONTH(E134)+1)/12)))*(1/(1+DiscountRate)^13))</f>
        <v/>
      </c>
      <c r="BW134" s="36">
        <f>IF(A134="","",(K134)*(IF((YEAR(D134)+14)&lt;YEAR(E134),0,IF((YEAR(D134)+14)&gt;YEAR(E134),1,(12-MONTH(E134)+1)/12)))*(1/(1+DiscountRate)^14))</f>
        <v/>
      </c>
      <c r="BX134" s="36">
        <f>IF(A134="","",(K134)*(IF((YEAR(D134)+15)&lt;YEAR(E134),0,IF((YEAR(D134)+15)&gt;YEAR(E134),1,(12-MONTH(E134)+1)/12)))*(1/(1+DiscountRate)^15))</f>
        <v/>
      </c>
      <c r="BY134" s="36">
        <f>IF(A134="","",(K134)*(IF((YEAR(D134)+16)&lt;YEAR(E134),0,IF((YEAR(D134)+16)&gt;YEAR(E134),1,(12-MONTH(E134)+1)/12)))*(1/(1+DiscountRate)^16))</f>
        <v/>
      </c>
      <c r="BZ134" s="36">
        <f>IF(A134="","",(K134)*(IF((YEAR(D134)+17)&lt;YEAR(E134),0,IF((YEAR(D134)+17)&gt;YEAR(E134),1,(12-MONTH(E134)+1)/12)))*(1/(1+DiscountRate)^17))</f>
        <v/>
      </c>
      <c r="CA134" s="36">
        <f>IF(A134="","",(K134)*(IF((YEAR(D134)+18)&lt;YEAR(E134),0,IF((YEAR(D134)+18)&gt;YEAR(E134),1,(12-MONTH(E134)+1)/12)))*(1/(1+DiscountRate)^18))</f>
        <v/>
      </c>
      <c r="CB134" s="36">
        <f>IF(A134="","",(K134)*(IF((YEAR(D134)+19)&lt;YEAR(E134),0,IF((YEAR(D134)+19)&gt;YEAR(E134),1,(12-MONTH(E134)+1)/12)))*(1/(1+DiscountRate)^19))</f>
        <v/>
      </c>
      <c r="CC134" s="36">
        <f>IF(A134="","",(K134)*(IF((YEAR(D134)+20)&lt;YEAR(E134),0,IF((YEAR(D134)+20)&gt;YEAR(E134),1,(12-MONTH(E134)+1)/12)))*(1/(1+DiscountRate)^20))</f>
        <v/>
      </c>
      <c r="CD134" s="29">
        <f>IF(A134="","",S134/(1+DiscountRate)^0+T134/(1+DiscountRate)^1+U134/(1+DiscountRate)^2+V134/(1+DiscountRate)^3+W134/(1+DiscountRate)^4+X134/(1+DiscountRate)^5+Y134/(1+DiscountRate)^6+Z134/(1+DiscountRate)^7+AA134/(1+DiscountRate)^8+AB134/(1+DiscountRate)^9+AC134/(1+DiscountRate)^10+AD134/(1+DiscountRate)^11+AE134/(1+DiscountRate)^12+AF134/(1+DiscountRate)^13+AG134/(1+DiscountRate)^14+AH134/(1+DiscountRate)^15+AI134/(1+DiscountRate)^16+AJ134/(1+DiscountRate)^17+AK134/(1+DiscountRate)^18+AL134/(1+DiscountRate)^19+AM134/(1+DiscountRate)^20)</f>
        <v/>
      </c>
      <c r="CE134" s="37">
        <f>IF(A134="","",IFERROR(IRR(OFFSET(S134,0,0,1,MIN(HorizonYears,20)+1)),"n/a"))</f>
        <v/>
      </c>
      <c r="CF134" s="28">
        <f>IF(A134="","",IFERROR(MATCH(TRUE,OFFSET(AN134,0,0,1,MIN(HorizonYears,20)+1)&gt;=0,0)-1,"n/a"))</f>
        <v/>
      </c>
      <c r="CG134" s="36">
        <f>IF(A134="","",SUM(OFFSET(BI134,0,0,1,MIN(HorizonYears,20)+1)))</f>
        <v/>
      </c>
      <c r="CH134" s="36">
        <f>IF(A134="","",IFERROR(-CD134/CG134,"n/a"))</f>
        <v/>
      </c>
    </row>
    <row r="135">
      <c r="A135" s="6">
        <f>Actions!A133</f>
        <v/>
      </c>
      <c r="B135" s="6">
        <f>Actions!B133</f>
        <v/>
      </c>
      <c r="C135" s="6">
        <f>Actions!D133</f>
        <v/>
      </c>
      <c r="D135" s="35">
        <f>Actions!E133</f>
        <v/>
      </c>
      <c r="E135" s="35">
        <f>Actions!F133</f>
        <v/>
      </c>
      <c r="F135" s="6">
        <f>Actions!G133</f>
        <v/>
      </c>
      <c r="G135" s="6">
        <f>Actions!H133</f>
        <v/>
      </c>
      <c r="H135" s="29">
        <f>Actions!I133</f>
        <v/>
      </c>
      <c r="I135" s="6">
        <f>Actions!J133</f>
        <v/>
      </c>
      <c r="J135" s="16">
        <f>Actions!K133</f>
        <v/>
      </c>
      <c r="K135" s="16">
        <f>IF(A135="","",IF(I135="%",H135*J135,J135))</f>
        <v/>
      </c>
      <c r="L135" s="16">
        <f>Actions!L133</f>
        <v/>
      </c>
      <c r="M135" s="6">
        <f>Actions!M133</f>
        <v/>
      </c>
      <c r="N135" s="28">
        <f>Actions!N133</f>
        <v/>
      </c>
      <c r="O135" s="29">
        <f>Actions!T133</f>
        <v/>
      </c>
      <c r="P135" s="29">
        <f>Actions!Y133</f>
        <v/>
      </c>
      <c r="Q135" s="29">
        <f>Actions!Z133</f>
        <v/>
      </c>
      <c r="R135" s="29">
        <f>Actions!AA133</f>
        <v/>
      </c>
      <c r="S135" s="29">
        <f>IF(A135="","",((K135)*(IF(M135="",L135,IFERROR(IF(INDEX(Variablen!$I:$AT, MATCH(M135, Variablen!$A:$A, 0), MATCH((YEAR(D135)+0), Variablen!$I$3:$AT$3, 0))="",L135,INDEX(Variablen!$I:$AT, MATCH(M135, Variablen!$A:$A, 0), MATCH((YEAR(D135)+0), Variablen!$I$3:$AT$3, 0))),L135)))*(IF((YEAR(D135)+0)&lt;YEAR(E135),0,IF((YEAR(D135)+0)&gt;YEAR(E135),1,(12-MONTH(E135)+1)/12))) + (Q135)*(IF((YEAR(D135)+0)&lt;YEAR(E135),0,IF((YEAR(D135)+0)&gt;YEAR(E135),1,(12-MONTH(E135)+1)/12))))-((P135)*(IF((YEAR(D135)+0)&lt;YEAR(E135),0,IF((YEAR(D135)+0)&gt;YEAR(E135),1,(12-MONTH(E135)+1)/12))) + (R135)*(IF((YEAR(D135)+0)&lt;YEAR(E135),0,IF((YEAR(D135)+0)&gt;YEAR(E135),1,(12-MONTH(E135)+1)/12))))-(IF((((K135)*(IF(M135="",L135,IFERROR(IF(INDEX(Variablen!$I:$AT, MATCH(M135, Variablen!$A:$A, 0), MATCH((YEAR(D135)+0), Variablen!$I$3:$AT$3, 0))="",L135,INDEX(Variablen!$I:$AT, MATCH(M135, Variablen!$A:$A, 0), MATCH((YEAR(D135)+0), Variablen!$I$3:$AT$3, 0))),L135)))*(IF((YEAR(D135)+0)&lt;YEAR(E135),0,IF((YEAR(D135)+0)&gt;YEAR(E135),1,(12-MONTH(E135)+1)/12))) + (Q135)*(IF((YEAR(D135)+0)&lt;YEAR(E135),0,IF((YEAR(D135)+0)&gt;YEAR(E135),1,(12-MONTH(E135)+1)/12))))-((P135)*(IF((YEAR(D135)+0)&lt;YEAR(E135),0,IF((YEAR(D135)+0)&gt;YEAR(E135),1,(12-MONTH(E135)+1)/12))) + (R135)*(IF((YEAR(D135)+0)&lt;YEAR(E135),0,IF((YEAR(D135)+0)&gt;YEAR(E135),1,(12-MONTH(E135)+1)/12))))-(IF(OR(N135="",N135&lt;=0),0,(O135/N135)*(IF(OR(N135="",N135&lt;=0),0,IF((YEAR(D135)+0)&lt;YEAR(E135),0,IF((YEAR(D135)+0)&gt;=YEAR(E135)+N135,0,IF((YEAR(D135)+0)=YEAR(E135),(12-MONTH(E135)+1)/12,1))))))))&gt;0,(((K135)*(IF(M135="",L135,IFERROR(IF(INDEX(Variablen!$I:$AT, MATCH(M135, Variablen!$A:$A, 0), MATCH((YEAR(D135)+0), Variablen!$I$3:$AT$3, 0))="",L135,INDEX(Variablen!$I:$AT, MATCH(M135, Variablen!$A:$A, 0), MATCH((YEAR(D135)+0), Variablen!$I$3:$AT$3, 0))),L135)))*(IF((YEAR(D135)+0)&lt;YEAR(E135),0,IF((YEAR(D135)+0)&gt;YEAR(E135),1,(12-MONTH(E135)+1)/12))) + (Q135)*(IF((YEAR(D135)+0)&lt;YEAR(E135),0,IF((YEAR(D135)+0)&gt;YEAR(E135),1,(12-MONTH(E135)+1)/12))))-((P135)*(IF((YEAR(D135)+0)&lt;YEAR(E135),0,IF((YEAR(D135)+0)&gt;YEAR(E135),1,(12-MONTH(E135)+1)/12))) + (R135)*(IF((YEAR(D135)+0)&lt;YEAR(E135),0,IF((YEAR(D135)+0)&gt;YEAR(E135),1,(12-MONTH(E135)+1)/12))))-(IF(OR(N135="",N135&lt;=0),0,(O135/N135)*(IF(OR(N135="",N135&lt;=0),0,IF((YEAR(D135)+0)&lt;YEAR(E135),0,IF((YEAR(D135)+0)&gt;=YEAR(E135)+N135,0,IF((YEAR(D135)+0)=YEAR(E135),(12-MONTH(E135)+1)/12,1))))))))*TaxRate,0))-IF(0=0,O135,0))</f>
        <v/>
      </c>
      <c r="T135" s="29">
        <f>IF(A135="","",((K135)*(IF(M135="",L135,IFERROR(IF(INDEX(Variablen!$I:$AT, MATCH(M135, Variablen!$A:$A, 0), MATCH((YEAR(D135)+1), Variablen!$I$3:$AT$3, 0))="",L135,INDEX(Variablen!$I:$AT, MATCH(M135, Variablen!$A:$A, 0), MATCH((YEAR(D135)+1), Variablen!$I$3:$AT$3, 0))),L135)))*(IF((YEAR(D135)+1)&lt;YEAR(E135),0,IF((YEAR(D135)+1)&gt;YEAR(E135),1,(12-MONTH(E135)+1)/12))) + (Q135)*(IF((YEAR(D135)+1)&lt;YEAR(E135),0,IF((YEAR(D135)+1)&gt;YEAR(E135),1,(12-MONTH(E135)+1)/12))))-((P135)*(IF((YEAR(D135)+1)&lt;YEAR(E135),0,IF((YEAR(D135)+1)&gt;YEAR(E135),1,(12-MONTH(E135)+1)/12))) + (R135)*(IF((YEAR(D135)+1)&lt;YEAR(E135),0,IF((YEAR(D135)+1)&gt;YEAR(E135),1,(12-MONTH(E135)+1)/12))))-(IF((((K135)*(IF(M135="",L135,IFERROR(IF(INDEX(Variablen!$I:$AT, MATCH(M135, Variablen!$A:$A, 0), MATCH((YEAR(D135)+1), Variablen!$I$3:$AT$3, 0))="",L135,INDEX(Variablen!$I:$AT, MATCH(M135, Variablen!$A:$A, 0), MATCH((YEAR(D135)+1), Variablen!$I$3:$AT$3, 0))),L135)))*(IF((YEAR(D135)+1)&lt;YEAR(E135),0,IF((YEAR(D135)+1)&gt;YEAR(E135),1,(12-MONTH(E135)+1)/12))) + (Q135)*(IF((YEAR(D135)+1)&lt;YEAR(E135),0,IF((YEAR(D135)+1)&gt;YEAR(E135),1,(12-MONTH(E135)+1)/12))))-((P135)*(IF((YEAR(D135)+1)&lt;YEAR(E135),0,IF((YEAR(D135)+1)&gt;YEAR(E135),1,(12-MONTH(E135)+1)/12))) + (R135)*(IF((YEAR(D135)+1)&lt;YEAR(E135),0,IF((YEAR(D135)+1)&gt;YEAR(E135),1,(12-MONTH(E135)+1)/12))))-(IF(OR(N135="",N135&lt;=0),0,(O135/N135)*(IF(OR(N135="",N135&lt;=0),0,IF((YEAR(D135)+1)&lt;YEAR(E135),0,IF((YEAR(D135)+1)&gt;=YEAR(E135)+N135,0,IF((YEAR(D135)+1)=YEAR(E135),(12-MONTH(E135)+1)/12,1))))))))&gt;0,(((K135)*(IF(M135="",L135,IFERROR(IF(INDEX(Variablen!$I:$AT, MATCH(M135, Variablen!$A:$A, 0), MATCH((YEAR(D135)+1), Variablen!$I$3:$AT$3, 0))="",L135,INDEX(Variablen!$I:$AT, MATCH(M135, Variablen!$A:$A, 0), MATCH((YEAR(D135)+1), Variablen!$I$3:$AT$3, 0))),L135)))*(IF((YEAR(D135)+1)&lt;YEAR(E135),0,IF((YEAR(D135)+1)&gt;YEAR(E135),1,(12-MONTH(E135)+1)/12))) + (Q135)*(IF((YEAR(D135)+1)&lt;YEAR(E135),0,IF((YEAR(D135)+1)&gt;YEAR(E135),1,(12-MONTH(E135)+1)/12))))-((P135)*(IF((YEAR(D135)+1)&lt;YEAR(E135),0,IF((YEAR(D135)+1)&gt;YEAR(E135),1,(12-MONTH(E135)+1)/12))) + (R135)*(IF((YEAR(D135)+1)&lt;YEAR(E135),0,IF((YEAR(D135)+1)&gt;YEAR(E135),1,(12-MONTH(E135)+1)/12))))-(IF(OR(N135="",N135&lt;=0),0,(O135/N135)*(IF(OR(N135="",N135&lt;=0),0,IF((YEAR(D135)+1)&lt;YEAR(E135),0,IF((YEAR(D135)+1)&gt;=YEAR(E135)+N135,0,IF((YEAR(D135)+1)=YEAR(E135),(12-MONTH(E135)+1)/12,1))))))))*TaxRate,0))-IF(1=0,O135,0))</f>
        <v/>
      </c>
      <c r="U135" s="29">
        <f>IF(A135="","",((K135)*(IF(M135="",L135,IFERROR(IF(INDEX(Variablen!$I:$AT, MATCH(M135, Variablen!$A:$A, 0), MATCH((YEAR(D135)+2), Variablen!$I$3:$AT$3, 0))="",L135,INDEX(Variablen!$I:$AT, MATCH(M135, Variablen!$A:$A, 0), MATCH((YEAR(D135)+2), Variablen!$I$3:$AT$3, 0))),L135)))*(IF((YEAR(D135)+2)&lt;YEAR(E135),0,IF((YEAR(D135)+2)&gt;YEAR(E135),1,(12-MONTH(E135)+1)/12))) + (Q135)*(IF((YEAR(D135)+2)&lt;YEAR(E135),0,IF((YEAR(D135)+2)&gt;YEAR(E135),1,(12-MONTH(E135)+1)/12))))-((P135)*(IF((YEAR(D135)+2)&lt;YEAR(E135),0,IF((YEAR(D135)+2)&gt;YEAR(E135),1,(12-MONTH(E135)+1)/12))) + (R135)*(IF((YEAR(D135)+2)&lt;YEAR(E135),0,IF((YEAR(D135)+2)&gt;YEAR(E135),1,(12-MONTH(E135)+1)/12))))-(IF((((K135)*(IF(M135="",L135,IFERROR(IF(INDEX(Variablen!$I:$AT, MATCH(M135, Variablen!$A:$A, 0), MATCH((YEAR(D135)+2), Variablen!$I$3:$AT$3, 0))="",L135,INDEX(Variablen!$I:$AT, MATCH(M135, Variablen!$A:$A, 0), MATCH((YEAR(D135)+2), Variablen!$I$3:$AT$3, 0))),L135)))*(IF((YEAR(D135)+2)&lt;YEAR(E135),0,IF((YEAR(D135)+2)&gt;YEAR(E135),1,(12-MONTH(E135)+1)/12))) + (Q135)*(IF((YEAR(D135)+2)&lt;YEAR(E135),0,IF((YEAR(D135)+2)&gt;YEAR(E135),1,(12-MONTH(E135)+1)/12))))-((P135)*(IF((YEAR(D135)+2)&lt;YEAR(E135),0,IF((YEAR(D135)+2)&gt;YEAR(E135),1,(12-MONTH(E135)+1)/12))) + (R135)*(IF((YEAR(D135)+2)&lt;YEAR(E135),0,IF((YEAR(D135)+2)&gt;YEAR(E135),1,(12-MONTH(E135)+1)/12))))-(IF(OR(N135="",N135&lt;=0),0,(O135/N135)*(IF(OR(N135="",N135&lt;=0),0,IF((YEAR(D135)+2)&lt;YEAR(E135),0,IF((YEAR(D135)+2)&gt;=YEAR(E135)+N135,0,IF((YEAR(D135)+2)=YEAR(E135),(12-MONTH(E135)+1)/12,1))))))))&gt;0,(((K135)*(IF(M135="",L135,IFERROR(IF(INDEX(Variablen!$I:$AT, MATCH(M135, Variablen!$A:$A, 0), MATCH((YEAR(D135)+2), Variablen!$I$3:$AT$3, 0))="",L135,INDEX(Variablen!$I:$AT, MATCH(M135, Variablen!$A:$A, 0), MATCH((YEAR(D135)+2), Variablen!$I$3:$AT$3, 0))),L135)))*(IF((YEAR(D135)+2)&lt;YEAR(E135),0,IF((YEAR(D135)+2)&gt;YEAR(E135),1,(12-MONTH(E135)+1)/12))) + (Q135)*(IF((YEAR(D135)+2)&lt;YEAR(E135),0,IF((YEAR(D135)+2)&gt;YEAR(E135),1,(12-MONTH(E135)+1)/12))))-((P135)*(IF((YEAR(D135)+2)&lt;YEAR(E135),0,IF((YEAR(D135)+2)&gt;YEAR(E135),1,(12-MONTH(E135)+1)/12))) + (R135)*(IF((YEAR(D135)+2)&lt;YEAR(E135),0,IF((YEAR(D135)+2)&gt;YEAR(E135),1,(12-MONTH(E135)+1)/12))))-(IF(OR(N135="",N135&lt;=0),0,(O135/N135)*(IF(OR(N135="",N135&lt;=0),0,IF((YEAR(D135)+2)&lt;YEAR(E135),0,IF((YEAR(D135)+2)&gt;=YEAR(E135)+N135,0,IF((YEAR(D135)+2)=YEAR(E135),(12-MONTH(E135)+1)/12,1))))))))*TaxRate,0))-IF(2=0,O135,0))</f>
        <v/>
      </c>
      <c r="V135" s="29">
        <f>IF(A135="","",((K135)*(IF(M135="",L135,IFERROR(IF(INDEX(Variablen!$I:$AT, MATCH(M135, Variablen!$A:$A, 0), MATCH((YEAR(D135)+3), Variablen!$I$3:$AT$3, 0))="",L135,INDEX(Variablen!$I:$AT, MATCH(M135, Variablen!$A:$A, 0), MATCH((YEAR(D135)+3), Variablen!$I$3:$AT$3, 0))),L135)))*(IF((YEAR(D135)+3)&lt;YEAR(E135),0,IF((YEAR(D135)+3)&gt;YEAR(E135),1,(12-MONTH(E135)+1)/12))) + (Q135)*(IF((YEAR(D135)+3)&lt;YEAR(E135),0,IF((YEAR(D135)+3)&gt;YEAR(E135),1,(12-MONTH(E135)+1)/12))))-((P135)*(IF((YEAR(D135)+3)&lt;YEAR(E135),0,IF((YEAR(D135)+3)&gt;YEAR(E135),1,(12-MONTH(E135)+1)/12))) + (R135)*(IF((YEAR(D135)+3)&lt;YEAR(E135),0,IF((YEAR(D135)+3)&gt;YEAR(E135),1,(12-MONTH(E135)+1)/12))))-(IF((((K135)*(IF(M135="",L135,IFERROR(IF(INDEX(Variablen!$I:$AT, MATCH(M135, Variablen!$A:$A, 0), MATCH((YEAR(D135)+3), Variablen!$I$3:$AT$3, 0))="",L135,INDEX(Variablen!$I:$AT, MATCH(M135, Variablen!$A:$A, 0), MATCH((YEAR(D135)+3), Variablen!$I$3:$AT$3, 0))),L135)))*(IF((YEAR(D135)+3)&lt;YEAR(E135),0,IF((YEAR(D135)+3)&gt;YEAR(E135),1,(12-MONTH(E135)+1)/12))) + (Q135)*(IF((YEAR(D135)+3)&lt;YEAR(E135),0,IF((YEAR(D135)+3)&gt;YEAR(E135),1,(12-MONTH(E135)+1)/12))))-((P135)*(IF((YEAR(D135)+3)&lt;YEAR(E135),0,IF((YEAR(D135)+3)&gt;YEAR(E135),1,(12-MONTH(E135)+1)/12))) + (R135)*(IF((YEAR(D135)+3)&lt;YEAR(E135),0,IF((YEAR(D135)+3)&gt;YEAR(E135),1,(12-MONTH(E135)+1)/12))))-(IF(OR(N135="",N135&lt;=0),0,(O135/N135)*(IF(OR(N135="",N135&lt;=0),0,IF((YEAR(D135)+3)&lt;YEAR(E135),0,IF((YEAR(D135)+3)&gt;=YEAR(E135)+N135,0,IF((YEAR(D135)+3)=YEAR(E135),(12-MONTH(E135)+1)/12,1))))))))&gt;0,(((K135)*(IF(M135="",L135,IFERROR(IF(INDEX(Variablen!$I:$AT, MATCH(M135, Variablen!$A:$A, 0), MATCH((YEAR(D135)+3), Variablen!$I$3:$AT$3, 0))="",L135,INDEX(Variablen!$I:$AT, MATCH(M135, Variablen!$A:$A, 0), MATCH((YEAR(D135)+3), Variablen!$I$3:$AT$3, 0))),L135)))*(IF((YEAR(D135)+3)&lt;YEAR(E135),0,IF((YEAR(D135)+3)&gt;YEAR(E135),1,(12-MONTH(E135)+1)/12))) + (Q135)*(IF((YEAR(D135)+3)&lt;YEAR(E135),0,IF((YEAR(D135)+3)&gt;YEAR(E135),1,(12-MONTH(E135)+1)/12))))-((P135)*(IF((YEAR(D135)+3)&lt;YEAR(E135),0,IF((YEAR(D135)+3)&gt;YEAR(E135),1,(12-MONTH(E135)+1)/12))) + (R135)*(IF((YEAR(D135)+3)&lt;YEAR(E135),0,IF((YEAR(D135)+3)&gt;YEAR(E135),1,(12-MONTH(E135)+1)/12))))-(IF(OR(N135="",N135&lt;=0),0,(O135/N135)*(IF(OR(N135="",N135&lt;=0),0,IF((YEAR(D135)+3)&lt;YEAR(E135),0,IF((YEAR(D135)+3)&gt;=YEAR(E135)+N135,0,IF((YEAR(D135)+3)=YEAR(E135),(12-MONTH(E135)+1)/12,1))))))))*TaxRate,0))-IF(3=0,O135,0))</f>
        <v/>
      </c>
      <c r="W135" s="29">
        <f>IF(A135="","",((K135)*(IF(M135="",L135,IFERROR(IF(INDEX(Variablen!$I:$AT, MATCH(M135, Variablen!$A:$A, 0), MATCH((YEAR(D135)+4), Variablen!$I$3:$AT$3, 0))="",L135,INDEX(Variablen!$I:$AT, MATCH(M135, Variablen!$A:$A, 0), MATCH((YEAR(D135)+4), Variablen!$I$3:$AT$3, 0))),L135)))*(IF((YEAR(D135)+4)&lt;YEAR(E135),0,IF((YEAR(D135)+4)&gt;YEAR(E135),1,(12-MONTH(E135)+1)/12))) + (Q135)*(IF((YEAR(D135)+4)&lt;YEAR(E135),0,IF((YEAR(D135)+4)&gt;YEAR(E135),1,(12-MONTH(E135)+1)/12))))-((P135)*(IF((YEAR(D135)+4)&lt;YEAR(E135),0,IF((YEAR(D135)+4)&gt;YEAR(E135),1,(12-MONTH(E135)+1)/12))) + (R135)*(IF((YEAR(D135)+4)&lt;YEAR(E135),0,IF((YEAR(D135)+4)&gt;YEAR(E135),1,(12-MONTH(E135)+1)/12))))-(IF((((K135)*(IF(M135="",L135,IFERROR(IF(INDEX(Variablen!$I:$AT, MATCH(M135, Variablen!$A:$A, 0), MATCH((YEAR(D135)+4), Variablen!$I$3:$AT$3, 0))="",L135,INDEX(Variablen!$I:$AT, MATCH(M135, Variablen!$A:$A, 0), MATCH((YEAR(D135)+4), Variablen!$I$3:$AT$3, 0))),L135)))*(IF((YEAR(D135)+4)&lt;YEAR(E135),0,IF((YEAR(D135)+4)&gt;YEAR(E135),1,(12-MONTH(E135)+1)/12))) + (Q135)*(IF((YEAR(D135)+4)&lt;YEAR(E135),0,IF((YEAR(D135)+4)&gt;YEAR(E135),1,(12-MONTH(E135)+1)/12))))-((P135)*(IF((YEAR(D135)+4)&lt;YEAR(E135),0,IF((YEAR(D135)+4)&gt;YEAR(E135),1,(12-MONTH(E135)+1)/12))) + (R135)*(IF((YEAR(D135)+4)&lt;YEAR(E135),0,IF((YEAR(D135)+4)&gt;YEAR(E135),1,(12-MONTH(E135)+1)/12))))-(IF(OR(N135="",N135&lt;=0),0,(O135/N135)*(IF(OR(N135="",N135&lt;=0),0,IF((YEAR(D135)+4)&lt;YEAR(E135),0,IF((YEAR(D135)+4)&gt;=YEAR(E135)+N135,0,IF((YEAR(D135)+4)=YEAR(E135),(12-MONTH(E135)+1)/12,1))))))))&gt;0,(((K135)*(IF(M135="",L135,IFERROR(IF(INDEX(Variablen!$I:$AT, MATCH(M135, Variablen!$A:$A, 0), MATCH((YEAR(D135)+4), Variablen!$I$3:$AT$3, 0))="",L135,INDEX(Variablen!$I:$AT, MATCH(M135, Variablen!$A:$A, 0), MATCH((YEAR(D135)+4), Variablen!$I$3:$AT$3, 0))),L135)))*(IF((YEAR(D135)+4)&lt;YEAR(E135),0,IF((YEAR(D135)+4)&gt;YEAR(E135),1,(12-MONTH(E135)+1)/12))) + (Q135)*(IF((YEAR(D135)+4)&lt;YEAR(E135),0,IF((YEAR(D135)+4)&gt;YEAR(E135),1,(12-MONTH(E135)+1)/12))))-((P135)*(IF((YEAR(D135)+4)&lt;YEAR(E135),0,IF((YEAR(D135)+4)&gt;YEAR(E135),1,(12-MONTH(E135)+1)/12))) + (R135)*(IF((YEAR(D135)+4)&lt;YEAR(E135),0,IF((YEAR(D135)+4)&gt;YEAR(E135),1,(12-MONTH(E135)+1)/12))))-(IF(OR(N135="",N135&lt;=0),0,(O135/N135)*(IF(OR(N135="",N135&lt;=0),0,IF((YEAR(D135)+4)&lt;YEAR(E135),0,IF((YEAR(D135)+4)&gt;=YEAR(E135)+N135,0,IF((YEAR(D135)+4)=YEAR(E135),(12-MONTH(E135)+1)/12,1))))))))*TaxRate,0))-IF(4=0,O135,0))</f>
        <v/>
      </c>
      <c r="X135" s="29">
        <f>IF(A135="","",((K135)*(IF(M135="",L135,IFERROR(IF(INDEX(Variablen!$I:$AT, MATCH(M135, Variablen!$A:$A, 0), MATCH((YEAR(D135)+5), Variablen!$I$3:$AT$3, 0))="",L135,INDEX(Variablen!$I:$AT, MATCH(M135, Variablen!$A:$A, 0), MATCH((YEAR(D135)+5), Variablen!$I$3:$AT$3, 0))),L135)))*(IF((YEAR(D135)+5)&lt;YEAR(E135),0,IF((YEAR(D135)+5)&gt;YEAR(E135),1,(12-MONTH(E135)+1)/12))) + (Q135)*(IF((YEAR(D135)+5)&lt;YEAR(E135),0,IF((YEAR(D135)+5)&gt;YEAR(E135),1,(12-MONTH(E135)+1)/12))))-((P135)*(IF((YEAR(D135)+5)&lt;YEAR(E135),0,IF((YEAR(D135)+5)&gt;YEAR(E135),1,(12-MONTH(E135)+1)/12))) + (R135)*(IF((YEAR(D135)+5)&lt;YEAR(E135),0,IF((YEAR(D135)+5)&gt;YEAR(E135),1,(12-MONTH(E135)+1)/12))))-(IF((((K135)*(IF(M135="",L135,IFERROR(IF(INDEX(Variablen!$I:$AT, MATCH(M135, Variablen!$A:$A, 0), MATCH((YEAR(D135)+5), Variablen!$I$3:$AT$3, 0))="",L135,INDEX(Variablen!$I:$AT, MATCH(M135, Variablen!$A:$A, 0), MATCH((YEAR(D135)+5), Variablen!$I$3:$AT$3, 0))),L135)))*(IF((YEAR(D135)+5)&lt;YEAR(E135),0,IF((YEAR(D135)+5)&gt;YEAR(E135),1,(12-MONTH(E135)+1)/12))) + (Q135)*(IF((YEAR(D135)+5)&lt;YEAR(E135),0,IF((YEAR(D135)+5)&gt;YEAR(E135),1,(12-MONTH(E135)+1)/12))))-((P135)*(IF((YEAR(D135)+5)&lt;YEAR(E135),0,IF((YEAR(D135)+5)&gt;YEAR(E135),1,(12-MONTH(E135)+1)/12))) + (R135)*(IF((YEAR(D135)+5)&lt;YEAR(E135),0,IF((YEAR(D135)+5)&gt;YEAR(E135),1,(12-MONTH(E135)+1)/12))))-(IF(OR(N135="",N135&lt;=0),0,(O135/N135)*(IF(OR(N135="",N135&lt;=0),0,IF((YEAR(D135)+5)&lt;YEAR(E135),0,IF((YEAR(D135)+5)&gt;=YEAR(E135)+N135,0,IF((YEAR(D135)+5)=YEAR(E135),(12-MONTH(E135)+1)/12,1))))))))&gt;0,(((K135)*(IF(M135="",L135,IFERROR(IF(INDEX(Variablen!$I:$AT, MATCH(M135, Variablen!$A:$A, 0), MATCH((YEAR(D135)+5), Variablen!$I$3:$AT$3, 0))="",L135,INDEX(Variablen!$I:$AT, MATCH(M135, Variablen!$A:$A, 0), MATCH((YEAR(D135)+5), Variablen!$I$3:$AT$3, 0))),L135)))*(IF((YEAR(D135)+5)&lt;YEAR(E135),0,IF((YEAR(D135)+5)&gt;YEAR(E135),1,(12-MONTH(E135)+1)/12))) + (Q135)*(IF((YEAR(D135)+5)&lt;YEAR(E135),0,IF((YEAR(D135)+5)&gt;YEAR(E135),1,(12-MONTH(E135)+1)/12))))-((P135)*(IF((YEAR(D135)+5)&lt;YEAR(E135),0,IF((YEAR(D135)+5)&gt;YEAR(E135),1,(12-MONTH(E135)+1)/12))) + (R135)*(IF((YEAR(D135)+5)&lt;YEAR(E135),0,IF((YEAR(D135)+5)&gt;YEAR(E135),1,(12-MONTH(E135)+1)/12))))-(IF(OR(N135="",N135&lt;=0),0,(O135/N135)*(IF(OR(N135="",N135&lt;=0),0,IF((YEAR(D135)+5)&lt;YEAR(E135),0,IF((YEAR(D135)+5)&gt;=YEAR(E135)+N135,0,IF((YEAR(D135)+5)=YEAR(E135),(12-MONTH(E135)+1)/12,1))))))))*TaxRate,0))-IF(5=0,O135,0))</f>
        <v/>
      </c>
      <c r="Y135" s="29">
        <f>IF(A135="","",((K135)*(IF(M135="",L135,IFERROR(IF(INDEX(Variablen!$I:$AT, MATCH(M135, Variablen!$A:$A, 0), MATCH((YEAR(D135)+6), Variablen!$I$3:$AT$3, 0))="",L135,INDEX(Variablen!$I:$AT, MATCH(M135, Variablen!$A:$A, 0), MATCH((YEAR(D135)+6), Variablen!$I$3:$AT$3, 0))),L135)))*(IF((YEAR(D135)+6)&lt;YEAR(E135),0,IF((YEAR(D135)+6)&gt;YEAR(E135),1,(12-MONTH(E135)+1)/12))) + (Q135)*(IF((YEAR(D135)+6)&lt;YEAR(E135),0,IF((YEAR(D135)+6)&gt;YEAR(E135),1,(12-MONTH(E135)+1)/12))))-((P135)*(IF((YEAR(D135)+6)&lt;YEAR(E135),0,IF((YEAR(D135)+6)&gt;YEAR(E135),1,(12-MONTH(E135)+1)/12))) + (R135)*(IF((YEAR(D135)+6)&lt;YEAR(E135),0,IF((YEAR(D135)+6)&gt;YEAR(E135),1,(12-MONTH(E135)+1)/12))))-(IF((((K135)*(IF(M135="",L135,IFERROR(IF(INDEX(Variablen!$I:$AT, MATCH(M135, Variablen!$A:$A, 0), MATCH((YEAR(D135)+6), Variablen!$I$3:$AT$3, 0))="",L135,INDEX(Variablen!$I:$AT, MATCH(M135, Variablen!$A:$A, 0), MATCH((YEAR(D135)+6), Variablen!$I$3:$AT$3, 0))),L135)))*(IF((YEAR(D135)+6)&lt;YEAR(E135),0,IF((YEAR(D135)+6)&gt;YEAR(E135),1,(12-MONTH(E135)+1)/12))) + (Q135)*(IF((YEAR(D135)+6)&lt;YEAR(E135),0,IF((YEAR(D135)+6)&gt;YEAR(E135),1,(12-MONTH(E135)+1)/12))))-((P135)*(IF((YEAR(D135)+6)&lt;YEAR(E135),0,IF((YEAR(D135)+6)&gt;YEAR(E135),1,(12-MONTH(E135)+1)/12))) + (R135)*(IF((YEAR(D135)+6)&lt;YEAR(E135),0,IF((YEAR(D135)+6)&gt;YEAR(E135),1,(12-MONTH(E135)+1)/12))))-(IF(OR(N135="",N135&lt;=0),0,(O135/N135)*(IF(OR(N135="",N135&lt;=0),0,IF((YEAR(D135)+6)&lt;YEAR(E135),0,IF((YEAR(D135)+6)&gt;=YEAR(E135)+N135,0,IF((YEAR(D135)+6)=YEAR(E135),(12-MONTH(E135)+1)/12,1))))))))&gt;0,(((K135)*(IF(M135="",L135,IFERROR(IF(INDEX(Variablen!$I:$AT, MATCH(M135, Variablen!$A:$A, 0), MATCH((YEAR(D135)+6), Variablen!$I$3:$AT$3, 0))="",L135,INDEX(Variablen!$I:$AT, MATCH(M135, Variablen!$A:$A, 0), MATCH((YEAR(D135)+6), Variablen!$I$3:$AT$3, 0))),L135)))*(IF((YEAR(D135)+6)&lt;YEAR(E135),0,IF((YEAR(D135)+6)&gt;YEAR(E135),1,(12-MONTH(E135)+1)/12))) + (Q135)*(IF((YEAR(D135)+6)&lt;YEAR(E135),0,IF((YEAR(D135)+6)&gt;YEAR(E135),1,(12-MONTH(E135)+1)/12))))-((P135)*(IF((YEAR(D135)+6)&lt;YEAR(E135),0,IF((YEAR(D135)+6)&gt;YEAR(E135),1,(12-MONTH(E135)+1)/12))) + (R135)*(IF((YEAR(D135)+6)&lt;YEAR(E135),0,IF((YEAR(D135)+6)&gt;YEAR(E135),1,(12-MONTH(E135)+1)/12))))-(IF(OR(N135="",N135&lt;=0),0,(O135/N135)*(IF(OR(N135="",N135&lt;=0),0,IF((YEAR(D135)+6)&lt;YEAR(E135),0,IF((YEAR(D135)+6)&gt;=YEAR(E135)+N135,0,IF((YEAR(D135)+6)=YEAR(E135),(12-MONTH(E135)+1)/12,1))))))))*TaxRate,0))-IF(6=0,O135,0))</f>
        <v/>
      </c>
      <c r="Z135" s="29">
        <f>IF(A135="","",((K135)*(IF(M135="",L135,IFERROR(IF(INDEX(Variablen!$I:$AT, MATCH(M135, Variablen!$A:$A, 0), MATCH((YEAR(D135)+7), Variablen!$I$3:$AT$3, 0))="",L135,INDEX(Variablen!$I:$AT, MATCH(M135, Variablen!$A:$A, 0), MATCH((YEAR(D135)+7), Variablen!$I$3:$AT$3, 0))),L135)))*(IF((YEAR(D135)+7)&lt;YEAR(E135),0,IF((YEAR(D135)+7)&gt;YEAR(E135),1,(12-MONTH(E135)+1)/12))) + (Q135)*(IF((YEAR(D135)+7)&lt;YEAR(E135),0,IF((YEAR(D135)+7)&gt;YEAR(E135),1,(12-MONTH(E135)+1)/12))))-((P135)*(IF((YEAR(D135)+7)&lt;YEAR(E135),0,IF((YEAR(D135)+7)&gt;YEAR(E135),1,(12-MONTH(E135)+1)/12))) + (R135)*(IF((YEAR(D135)+7)&lt;YEAR(E135),0,IF((YEAR(D135)+7)&gt;YEAR(E135),1,(12-MONTH(E135)+1)/12))))-(IF((((K135)*(IF(M135="",L135,IFERROR(IF(INDEX(Variablen!$I:$AT, MATCH(M135, Variablen!$A:$A, 0), MATCH((YEAR(D135)+7), Variablen!$I$3:$AT$3, 0))="",L135,INDEX(Variablen!$I:$AT, MATCH(M135, Variablen!$A:$A, 0), MATCH((YEAR(D135)+7), Variablen!$I$3:$AT$3, 0))),L135)))*(IF((YEAR(D135)+7)&lt;YEAR(E135),0,IF((YEAR(D135)+7)&gt;YEAR(E135),1,(12-MONTH(E135)+1)/12))) + (Q135)*(IF((YEAR(D135)+7)&lt;YEAR(E135),0,IF((YEAR(D135)+7)&gt;YEAR(E135),1,(12-MONTH(E135)+1)/12))))-((P135)*(IF((YEAR(D135)+7)&lt;YEAR(E135),0,IF((YEAR(D135)+7)&gt;YEAR(E135),1,(12-MONTH(E135)+1)/12))) + (R135)*(IF((YEAR(D135)+7)&lt;YEAR(E135),0,IF((YEAR(D135)+7)&gt;YEAR(E135),1,(12-MONTH(E135)+1)/12))))-(IF(OR(N135="",N135&lt;=0),0,(O135/N135)*(IF(OR(N135="",N135&lt;=0),0,IF((YEAR(D135)+7)&lt;YEAR(E135),0,IF((YEAR(D135)+7)&gt;=YEAR(E135)+N135,0,IF((YEAR(D135)+7)=YEAR(E135),(12-MONTH(E135)+1)/12,1))))))))&gt;0,(((K135)*(IF(M135="",L135,IFERROR(IF(INDEX(Variablen!$I:$AT, MATCH(M135, Variablen!$A:$A, 0), MATCH((YEAR(D135)+7), Variablen!$I$3:$AT$3, 0))="",L135,INDEX(Variablen!$I:$AT, MATCH(M135, Variablen!$A:$A, 0), MATCH((YEAR(D135)+7), Variablen!$I$3:$AT$3, 0))),L135)))*(IF((YEAR(D135)+7)&lt;YEAR(E135),0,IF((YEAR(D135)+7)&gt;YEAR(E135),1,(12-MONTH(E135)+1)/12))) + (Q135)*(IF((YEAR(D135)+7)&lt;YEAR(E135),0,IF((YEAR(D135)+7)&gt;YEAR(E135),1,(12-MONTH(E135)+1)/12))))-((P135)*(IF((YEAR(D135)+7)&lt;YEAR(E135),0,IF((YEAR(D135)+7)&gt;YEAR(E135),1,(12-MONTH(E135)+1)/12))) + (R135)*(IF((YEAR(D135)+7)&lt;YEAR(E135),0,IF((YEAR(D135)+7)&gt;YEAR(E135),1,(12-MONTH(E135)+1)/12))))-(IF(OR(N135="",N135&lt;=0),0,(O135/N135)*(IF(OR(N135="",N135&lt;=0),0,IF((YEAR(D135)+7)&lt;YEAR(E135),0,IF((YEAR(D135)+7)&gt;=YEAR(E135)+N135,0,IF((YEAR(D135)+7)=YEAR(E135),(12-MONTH(E135)+1)/12,1))))))))*TaxRate,0))-IF(7=0,O135,0))</f>
        <v/>
      </c>
      <c r="AA135" s="29">
        <f>IF(A135="","",((K135)*(IF(M135="",L135,IFERROR(IF(INDEX(Variablen!$I:$AT, MATCH(M135, Variablen!$A:$A, 0), MATCH((YEAR(D135)+8), Variablen!$I$3:$AT$3, 0))="",L135,INDEX(Variablen!$I:$AT, MATCH(M135, Variablen!$A:$A, 0), MATCH((YEAR(D135)+8), Variablen!$I$3:$AT$3, 0))),L135)))*(IF((YEAR(D135)+8)&lt;YEAR(E135),0,IF((YEAR(D135)+8)&gt;YEAR(E135),1,(12-MONTH(E135)+1)/12))) + (Q135)*(IF((YEAR(D135)+8)&lt;YEAR(E135),0,IF((YEAR(D135)+8)&gt;YEAR(E135),1,(12-MONTH(E135)+1)/12))))-((P135)*(IF((YEAR(D135)+8)&lt;YEAR(E135),0,IF((YEAR(D135)+8)&gt;YEAR(E135),1,(12-MONTH(E135)+1)/12))) + (R135)*(IF((YEAR(D135)+8)&lt;YEAR(E135),0,IF((YEAR(D135)+8)&gt;YEAR(E135),1,(12-MONTH(E135)+1)/12))))-(IF((((K135)*(IF(M135="",L135,IFERROR(IF(INDEX(Variablen!$I:$AT, MATCH(M135, Variablen!$A:$A, 0), MATCH((YEAR(D135)+8), Variablen!$I$3:$AT$3, 0))="",L135,INDEX(Variablen!$I:$AT, MATCH(M135, Variablen!$A:$A, 0), MATCH((YEAR(D135)+8), Variablen!$I$3:$AT$3, 0))),L135)))*(IF((YEAR(D135)+8)&lt;YEAR(E135),0,IF((YEAR(D135)+8)&gt;YEAR(E135),1,(12-MONTH(E135)+1)/12))) + (Q135)*(IF((YEAR(D135)+8)&lt;YEAR(E135),0,IF((YEAR(D135)+8)&gt;YEAR(E135),1,(12-MONTH(E135)+1)/12))))-((P135)*(IF((YEAR(D135)+8)&lt;YEAR(E135),0,IF((YEAR(D135)+8)&gt;YEAR(E135),1,(12-MONTH(E135)+1)/12))) + (R135)*(IF((YEAR(D135)+8)&lt;YEAR(E135),0,IF((YEAR(D135)+8)&gt;YEAR(E135),1,(12-MONTH(E135)+1)/12))))-(IF(OR(N135="",N135&lt;=0),0,(O135/N135)*(IF(OR(N135="",N135&lt;=0),0,IF((YEAR(D135)+8)&lt;YEAR(E135),0,IF((YEAR(D135)+8)&gt;=YEAR(E135)+N135,0,IF((YEAR(D135)+8)=YEAR(E135),(12-MONTH(E135)+1)/12,1))))))))&gt;0,(((K135)*(IF(M135="",L135,IFERROR(IF(INDEX(Variablen!$I:$AT, MATCH(M135, Variablen!$A:$A, 0), MATCH((YEAR(D135)+8), Variablen!$I$3:$AT$3, 0))="",L135,INDEX(Variablen!$I:$AT, MATCH(M135, Variablen!$A:$A, 0), MATCH((YEAR(D135)+8), Variablen!$I$3:$AT$3, 0))),L135)))*(IF((YEAR(D135)+8)&lt;YEAR(E135),0,IF((YEAR(D135)+8)&gt;YEAR(E135),1,(12-MONTH(E135)+1)/12))) + (Q135)*(IF((YEAR(D135)+8)&lt;YEAR(E135),0,IF((YEAR(D135)+8)&gt;YEAR(E135),1,(12-MONTH(E135)+1)/12))))-((P135)*(IF((YEAR(D135)+8)&lt;YEAR(E135),0,IF((YEAR(D135)+8)&gt;YEAR(E135),1,(12-MONTH(E135)+1)/12))) + (R135)*(IF((YEAR(D135)+8)&lt;YEAR(E135),0,IF((YEAR(D135)+8)&gt;YEAR(E135),1,(12-MONTH(E135)+1)/12))))-(IF(OR(N135="",N135&lt;=0),0,(O135/N135)*(IF(OR(N135="",N135&lt;=0),0,IF((YEAR(D135)+8)&lt;YEAR(E135),0,IF((YEAR(D135)+8)&gt;=YEAR(E135)+N135,0,IF((YEAR(D135)+8)=YEAR(E135),(12-MONTH(E135)+1)/12,1))))))))*TaxRate,0))-IF(8=0,O135,0))</f>
        <v/>
      </c>
      <c r="AB135" s="29">
        <f>IF(A135="","",((K135)*(IF(M135="",L135,IFERROR(IF(INDEX(Variablen!$I:$AT, MATCH(M135, Variablen!$A:$A, 0), MATCH((YEAR(D135)+9), Variablen!$I$3:$AT$3, 0))="",L135,INDEX(Variablen!$I:$AT, MATCH(M135, Variablen!$A:$A, 0), MATCH((YEAR(D135)+9), Variablen!$I$3:$AT$3, 0))),L135)))*(IF((YEAR(D135)+9)&lt;YEAR(E135),0,IF((YEAR(D135)+9)&gt;YEAR(E135),1,(12-MONTH(E135)+1)/12))) + (Q135)*(IF((YEAR(D135)+9)&lt;YEAR(E135),0,IF((YEAR(D135)+9)&gt;YEAR(E135),1,(12-MONTH(E135)+1)/12))))-((P135)*(IF((YEAR(D135)+9)&lt;YEAR(E135),0,IF((YEAR(D135)+9)&gt;YEAR(E135),1,(12-MONTH(E135)+1)/12))) + (R135)*(IF((YEAR(D135)+9)&lt;YEAR(E135),0,IF((YEAR(D135)+9)&gt;YEAR(E135),1,(12-MONTH(E135)+1)/12))))-(IF((((K135)*(IF(M135="",L135,IFERROR(IF(INDEX(Variablen!$I:$AT, MATCH(M135, Variablen!$A:$A, 0), MATCH((YEAR(D135)+9), Variablen!$I$3:$AT$3, 0))="",L135,INDEX(Variablen!$I:$AT, MATCH(M135, Variablen!$A:$A, 0), MATCH((YEAR(D135)+9), Variablen!$I$3:$AT$3, 0))),L135)))*(IF((YEAR(D135)+9)&lt;YEAR(E135),0,IF((YEAR(D135)+9)&gt;YEAR(E135),1,(12-MONTH(E135)+1)/12))) + (Q135)*(IF((YEAR(D135)+9)&lt;YEAR(E135),0,IF((YEAR(D135)+9)&gt;YEAR(E135),1,(12-MONTH(E135)+1)/12))))-((P135)*(IF((YEAR(D135)+9)&lt;YEAR(E135),0,IF((YEAR(D135)+9)&gt;YEAR(E135),1,(12-MONTH(E135)+1)/12))) + (R135)*(IF((YEAR(D135)+9)&lt;YEAR(E135),0,IF((YEAR(D135)+9)&gt;YEAR(E135),1,(12-MONTH(E135)+1)/12))))-(IF(OR(N135="",N135&lt;=0),0,(O135/N135)*(IF(OR(N135="",N135&lt;=0),0,IF((YEAR(D135)+9)&lt;YEAR(E135),0,IF((YEAR(D135)+9)&gt;=YEAR(E135)+N135,0,IF((YEAR(D135)+9)=YEAR(E135),(12-MONTH(E135)+1)/12,1))))))))&gt;0,(((K135)*(IF(M135="",L135,IFERROR(IF(INDEX(Variablen!$I:$AT, MATCH(M135, Variablen!$A:$A, 0), MATCH((YEAR(D135)+9), Variablen!$I$3:$AT$3, 0))="",L135,INDEX(Variablen!$I:$AT, MATCH(M135, Variablen!$A:$A, 0), MATCH((YEAR(D135)+9), Variablen!$I$3:$AT$3, 0))),L135)))*(IF((YEAR(D135)+9)&lt;YEAR(E135),0,IF((YEAR(D135)+9)&gt;YEAR(E135),1,(12-MONTH(E135)+1)/12))) + (Q135)*(IF((YEAR(D135)+9)&lt;YEAR(E135),0,IF((YEAR(D135)+9)&gt;YEAR(E135),1,(12-MONTH(E135)+1)/12))))-((P135)*(IF((YEAR(D135)+9)&lt;YEAR(E135),0,IF((YEAR(D135)+9)&gt;YEAR(E135),1,(12-MONTH(E135)+1)/12))) + (R135)*(IF((YEAR(D135)+9)&lt;YEAR(E135),0,IF((YEAR(D135)+9)&gt;YEAR(E135),1,(12-MONTH(E135)+1)/12))))-(IF(OR(N135="",N135&lt;=0),0,(O135/N135)*(IF(OR(N135="",N135&lt;=0),0,IF((YEAR(D135)+9)&lt;YEAR(E135),0,IF((YEAR(D135)+9)&gt;=YEAR(E135)+N135,0,IF((YEAR(D135)+9)=YEAR(E135),(12-MONTH(E135)+1)/12,1))))))))*TaxRate,0))-IF(9=0,O135,0))</f>
        <v/>
      </c>
      <c r="AC135" s="29">
        <f>IF(A135="","",((K135)*(IF(M135="",L135,IFERROR(IF(INDEX(Variablen!$I:$AT, MATCH(M135, Variablen!$A:$A, 0), MATCH((YEAR(D135)+10), Variablen!$I$3:$AT$3, 0))="",L135,INDEX(Variablen!$I:$AT, MATCH(M135, Variablen!$A:$A, 0), MATCH((YEAR(D135)+10), Variablen!$I$3:$AT$3, 0))),L135)))*(IF((YEAR(D135)+10)&lt;YEAR(E135),0,IF((YEAR(D135)+10)&gt;YEAR(E135),1,(12-MONTH(E135)+1)/12))) + (Q135)*(IF((YEAR(D135)+10)&lt;YEAR(E135),0,IF((YEAR(D135)+10)&gt;YEAR(E135),1,(12-MONTH(E135)+1)/12))))-((P135)*(IF((YEAR(D135)+10)&lt;YEAR(E135),0,IF((YEAR(D135)+10)&gt;YEAR(E135),1,(12-MONTH(E135)+1)/12))) + (R135)*(IF((YEAR(D135)+10)&lt;YEAR(E135),0,IF((YEAR(D135)+10)&gt;YEAR(E135),1,(12-MONTH(E135)+1)/12))))-(IF((((K135)*(IF(M135="",L135,IFERROR(IF(INDEX(Variablen!$I:$AT, MATCH(M135, Variablen!$A:$A, 0), MATCH((YEAR(D135)+10), Variablen!$I$3:$AT$3, 0))="",L135,INDEX(Variablen!$I:$AT, MATCH(M135, Variablen!$A:$A, 0), MATCH((YEAR(D135)+10), Variablen!$I$3:$AT$3, 0))),L135)))*(IF((YEAR(D135)+10)&lt;YEAR(E135),0,IF((YEAR(D135)+10)&gt;YEAR(E135),1,(12-MONTH(E135)+1)/12))) + (Q135)*(IF((YEAR(D135)+10)&lt;YEAR(E135),0,IF((YEAR(D135)+10)&gt;YEAR(E135),1,(12-MONTH(E135)+1)/12))))-((P135)*(IF((YEAR(D135)+10)&lt;YEAR(E135),0,IF((YEAR(D135)+10)&gt;YEAR(E135),1,(12-MONTH(E135)+1)/12))) + (R135)*(IF((YEAR(D135)+10)&lt;YEAR(E135),0,IF((YEAR(D135)+10)&gt;YEAR(E135),1,(12-MONTH(E135)+1)/12))))-(IF(OR(N135="",N135&lt;=0),0,(O135/N135)*(IF(OR(N135="",N135&lt;=0),0,IF((YEAR(D135)+10)&lt;YEAR(E135),0,IF((YEAR(D135)+10)&gt;=YEAR(E135)+N135,0,IF((YEAR(D135)+10)=YEAR(E135),(12-MONTH(E135)+1)/12,1))))))))&gt;0,(((K135)*(IF(M135="",L135,IFERROR(IF(INDEX(Variablen!$I:$AT, MATCH(M135, Variablen!$A:$A, 0), MATCH((YEAR(D135)+10), Variablen!$I$3:$AT$3, 0))="",L135,INDEX(Variablen!$I:$AT, MATCH(M135, Variablen!$A:$A, 0), MATCH((YEAR(D135)+10), Variablen!$I$3:$AT$3, 0))),L135)))*(IF((YEAR(D135)+10)&lt;YEAR(E135),0,IF((YEAR(D135)+10)&gt;YEAR(E135),1,(12-MONTH(E135)+1)/12))) + (Q135)*(IF((YEAR(D135)+10)&lt;YEAR(E135),0,IF((YEAR(D135)+10)&gt;YEAR(E135),1,(12-MONTH(E135)+1)/12))))-((P135)*(IF((YEAR(D135)+10)&lt;YEAR(E135),0,IF((YEAR(D135)+10)&gt;YEAR(E135),1,(12-MONTH(E135)+1)/12))) + (R135)*(IF((YEAR(D135)+10)&lt;YEAR(E135),0,IF((YEAR(D135)+10)&gt;YEAR(E135),1,(12-MONTH(E135)+1)/12))))-(IF(OR(N135="",N135&lt;=0),0,(O135/N135)*(IF(OR(N135="",N135&lt;=0),0,IF((YEAR(D135)+10)&lt;YEAR(E135),0,IF((YEAR(D135)+10)&gt;=YEAR(E135)+N135,0,IF((YEAR(D135)+10)=YEAR(E135),(12-MONTH(E135)+1)/12,1))))))))*TaxRate,0))-IF(10=0,O135,0))</f>
        <v/>
      </c>
      <c r="AD135" s="29">
        <f>IF(A135="","",((K135)*(IF(M135="",L135,IFERROR(IF(INDEX(Variablen!$I:$AT, MATCH(M135, Variablen!$A:$A, 0), MATCH((YEAR(D135)+11), Variablen!$I$3:$AT$3, 0))="",L135,INDEX(Variablen!$I:$AT, MATCH(M135, Variablen!$A:$A, 0), MATCH((YEAR(D135)+11), Variablen!$I$3:$AT$3, 0))),L135)))*(IF((YEAR(D135)+11)&lt;YEAR(E135),0,IF((YEAR(D135)+11)&gt;YEAR(E135),1,(12-MONTH(E135)+1)/12))) + (Q135)*(IF((YEAR(D135)+11)&lt;YEAR(E135),0,IF((YEAR(D135)+11)&gt;YEAR(E135),1,(12-MONTH(E135)+1)/12))))-((P135)*(IF((YEAR(D135)+11)&lt;YEAR(E135),0,IF((YEAR(D135)+11)&gt;YEAR(E135),1,(12-MONTH(E135)+1)/12))) + (R135)*(IF((YEAR(D135)+11)&lt;YEAR(E135),0,IF((YEAR(D135)+11)&gt;YEAR(E135),1,(12-MONTH(E135)+1)/12))))-(IF((((K135)*(IF(M135="",L135,IFERROR(IF(INDEX(Variablen!$I:$AT, MATCH(M135, Variablen!$A:$A, 0), MATCH((YEAR(D135)+11), Variablen!$I$3:$AT$3, 0))="",L135,INDEX(Variablen!$I:$AT, MATCH(M135, Variablen!$A:$A, 0), MATCH((YEAR(D135)+11), Variablen!$I$3:$AT$3, 0))),L135)))*(IF((YEAR(D135)+11)&lt;YEAR(E135),0,IF((YEAR(D135)+11)&gt;YEAR(E135),1,(12-MONTH(E135)+1)/12))) + (Q135)*(IF((YEAR(D135)+11)&lt;YEAR(E135),0,IF((YEAR(D135)+11)&gt;YEAR(E135),1,(12-MONTH(E135)+1)/12))))-((P135)*(IF((YEAR(D135)+11)&lt;YEAR(E135),0,IF((YEAR(D135)+11)&gt;YEAR(E135),1,(12-MONTH(E135)+1)/12))) + (R135)*(IF((YEAR(D135)+11)&lt;YEAR(E135),0,IF((YEAR(D135)+11)&gt;YEAR(E135),1,(12-MONTH(E135)+1)/12))))-(IF(OR(N135="",N135&lt;=0),0,(O135/N135)*(IF(OR(N135="",N135&lt;=0),0,IF((YEAR(D135)+11)&lt;YEAR(E135),0,IF((YEAR(D135)+11)&gt;=YEAR(E135)+N135,0,IF((YEAR(D135)+11)=YEAR(E135),(12-MONTH(E135)+1)/12,1))))))))&gt;0,(((K135)*(IF(M135="",L135,IFERROR(IF(INDEX(Variablen!$I:$AT, MATCH(M135, Variablen!$A:$A, 0), MATCH((YEAR(D135)+11), Variablen!$I$3:$AT$3, 0))="",L135,INDEX(Variablen!$I:$AT, MATCH(M135, Variablen!$A:$A, 0), MATCH((YEAR(D135)+11), Variablen!$I$3:$AT$3, 0))),L135)))*(IF((YEAR(D135)+11)&lt;YEAR(E135),0,IF((YEAR(D135)+11)&gt;YEAR(E135),1,(12-MONTH(E135)+1)/12))) + (Q135)*(IF((YEAR(D135)+11)&lt;YEAR(E135),0,IF((YEAR(D135)+11)&gt;YEAR(E135),1,(12-MONTH(E135)+1)/12))))-((P135)*(IF((YEAR(D135)+11)&lt;YEAR(E135),0,IF((YEAR(D135)+11)&gt;YEAR(E135),1,(12-MONTH(E135)+1)/12))) + (R135)*(IF((YEAR(D135)+11)&lt;YEAR(E135),0,IF((YEAR(D135)+11)&gt;YEAR(E135),1,(12-MONTH(E135)+1)/12))))-(IF(OR(N135="",N135&lt;=0),0,(O135/N135)*(IF(OR(N135="",N135&lt;=0),0,IF((YEAR(D135)+11)&lt;YEAR(E135),0,IF((YEAR(D135)+11)&gt;=YEAR(E135)+N135,0,IF((YEAR(D135)+11)=YEAR(E135),(12-MONTH(E135)+1)/12,1))))))))*TaxRate,0))-IF(11=0,O135,0))</f>
        <v/>
      </c>
      <c r="AE135" s="29">
        <f>IF(A135="","",((K135)*(IF(M135="",L135,IFERROR(IF(INDEX(Variablen!$I:$AT, MATCH(M135, Variablen!$A:$A, 0), MATCH((YEAR(D135)+12), Variablen!$I$3:$AT$3, 0))="",L135,INDEX(Variablen!$I:$AT, MATCH(M135, Variablen!$A:$A, 0), MATCH((YEAR(D135)+12), Variablen!$I$3:$AT$3, 0))),L135)))*(IF((YEAR(D135)+12)&lt;YEAR(E135),0,IF((YEAR(D135)+12)&gt;YEAR(E135),1,(12-MONTH(E135)+1)/12))) + (Q135)*(IF((YEAR(D135)+12)&lt;YEAR(E135),0,IF((YEAR(D135)+12)&gt;YEAR(E135),1,(12-MONTH(E135)+1)/12))))-((P135)*(IF((YEAR(D135)+12)&lt;YEAR(E135),0,IF((YEAR(D135)+12)&gt;YEAR(E135),1,(12-MONTH(E135)+1)/12))) + (R135)*(IF((YEAR(D135)+12)&lt;YEAR(E135),0,IF((YEAR(D135)+12)&gt;YEAR(E135),1,(12-MONTH(E135)+1)/12))))-(IF((((K135)*(IF(M135="",L135,IFERROR(IF(INDEX(Variablen!$I:$AT, MATCH(M135, Variablen!$A:$A, 0), MATCH((YEAR(D135)+12), Variablen!$I$3:$AT$3, 0))="",L135,INDEX(Variablen!$I:$AT, MATCH(M135, Variablen!$A:$A, 0), MATCH((YEAR(D135)+12), Variablen!$I$3:$AT$3, 0))),L135)))*(IF((YEAR(D135)+12)&lt;YEAR(E135),0,IF((YEAR(D135)+12)&gt;YEAR(E135),1,(12-MONTH(E135)+1)/12))) + (Q135)*(IF((YEAR(D135)+12)&lt;YEAR(E135),0,IF((YEAR(D135)+12)&gt;YEAR(E135),1,(12-MONTH(E135)+1)/12))))-((P135)*(IF((YEAR(D135)+12)&lt;YEAR(E135),0,IF((YEAR(D135)+12)&gt;YEAR(E135),1,(12-MONTH(E135)+1)/12))) + (R135)*(IF((YEAR(D135)+12)&lt;YEAR(E135),0,IF((YEAR(D135)+12)&gt;YEAR(E135),1,(12-MONTH(E135)+1)/12))))-(IF(OR(N135="",N135&lt;=0),0,(O135/N135)*(IF(OR(N135="",N135&lt;=0),0,IF((YEAR(D135)+12)&lt;YEAR(E135),0,IF((YEAR(D135)+12)&gt;=YEAR(E135)+N135,0,IF((YEAR(D135)+12)=YEAR(E135),(12-MONTH(E135)+1)/12,1))))))))&gt;0,(((K135)*(IF(M135="",L135,IFERROR(IF(INDEX(Variablen!$I:$AT, MATCH(M135, Variablen!$A:$A, 0), MATCH((YEAR(D135)+12), Variablen!$I$3:$AT$3, 0))="",L135,INDEX(Variablen!$I:$AT, MATCH(M135, Variablen!$A:$A, 0), MATCH((YEAR(D135)+12), Variablen!$I$3:$AT$3, 0))),L135)))*(IF((YEAR(D135)+12)&lt;YEAR(E135),0,IF((YEAR(D135)+12)&gt;YEAR(E135),1,(12-MONTH(E135)+1)/12))) + (Q135)*(IF((YEAR(D135)+12)&lt;YEAR(E135),0,IF((YEAR(D135)+12)&gt;YEAR(E135),1,(12-MONTH(E135)+1)/12))))-((P135)*(IF((YEAR(D135)+12)&lt;YEAR(E135),0,IF((YEAR(D135)+12)&gt;YEAR(E135),1,(12-MONTH(E135)+1)/12))) + (R135)*(IF((YEAR(D135)+12)&lt;YEAR(E135),0,IF((YEAR(D135)+12)&gt;YEAR(E135),1,(12-MONTH(E135)+1)/12))))-(IF(OR(N135="",N135&lt;=0),0,(O135/N135)*(IF(OR(N135="",N135&lt;=0),0,IF((YEAR(D135)+12)&lt;YEAR(E135),0,IF((YEAR(D135)+12)&gt;=YEAR(E135)+N135,0,IF((YEAR(D135)+12)=YEAR(E135),(12-MONTH(E135)+1)/12,1))))))))*TaxRate,0))-IF(12=0,O135,0))</f>
        <v/>
      </c>
      <c r="AF135" s="29">
        <f>IF(A135="","",((K135)*(IF(M135="",L135,IFERROR(IF(INDEX(Variablen!$I:$AT, MATCH(M135, Variablen!$A:$A, 0), MATCH((YEAR(D135)+13), Variablen!$I$3:$AT$3, 0))="",L135,INDEX(Variablen!$I:$AT, MATCH(M135, Variablen!$A:$A, 0), MATCH((YEAR(D135)+13), Variablen!$I$3:$AT$3, 0))),L135)))*(IF((YEAR(D135)+13)&lt;YEAR(E135),0,IF((YEAR(D135)+13)&gt;YEAR(E135),1,(12-MONTH(E135)+1)/12))) + (Q135)*(IF((YEAR(D135)+13)&lt;YEAR(E135),0,IF((YEAR(D135)+13)&gt;YEAR(E135),1,(12-MONTH(E135)+1)/12))))-((P135)*(IF((YEAR(D135)+13)&lt;YEAR(E135),0,IF((YEAR(D135)+13)&gt;YEAR(E135),1,(12-MONTH(E135)+1)/12))) + (R135)*(IF((YEAR(D135)+13)&lt;YEAR(E135),0,IF((YEAR(D135)+13)&gt;YEAR(E135),1,(12-MONTH(E135)+1)/12))))-(IF((((K135)*(IF(M135="",L135,IFERROR(IF(INDEX(Variablen!$I:$AT, MATCH(M135, Variablen!$A:$A, 0), MATCH((YEAR(D135)+13), Variablen!$I$3:$AT$3, 0))="",L135,INDEX(Variablen!$I:$AT, MATCH(M135, Variablen!$A:$A, 0), MATCH((YEAR(D135)+13), Variablen!$I$3:$AT$3, 0))),L135)))*(IF((YEAR(D135)+13)&lt;YEAR(E135),0,IF((YEAR(D135)+13)&gt;YEAR(E135),1,(12-MONTH(E135)+1)/12))) + (Q135)*(IF((YEAR(D135)+13)&lt;YEAR(E135),0,IF((YEAR(D135)+13)&gt;YEAR(E135),1,(12-MONTH(E135)+1)/12))))-((P135)*(IF((YEAR(D135)+13)&lt;YEAR(E135),0,IF((YEAR(D135)+13)&gt;YEAR(E135),1,(12-MONTH(E135)+1)/12))) + (R135)*(IF((YEAR(D135)+13)&lt;YEAR(E135),0,IF((YEAR(D135)+13)&gt;YEAR(E135),1,(12-MONTH(E135)+1)/12))))-(IF(OR(N135="",N135&lt;=0),0,(O135/N135)*(IF(OR(N135="",N135&lt;=0),0,IF((YEAR(D135)+13)&lt;YEAR(E135),0,IF((YEAR(D135)+13)&gt;=YEAR(E135)+N135,0,IF((YEAR(D135)+13)=YEAR(E135),(12-MONTH(E135)+1)/12,1))))))))&gt;0,(((K135)*(IF(M135="",L135,IFERROR(IF(INDEX(Variablen!$I:$AT, MATCH(M135, Variablen!$A:$A, 0), MATCH((YEAR(D135)+13), Variablen!$I$3:$AT$3, 0))="",L135,INDEX(Variablen!$I:$AT, MATCH(M135, Variablen!$A:$A, 0), MATCH((YEAR(D135)+13), Variablen!$I$3:$AT$3, 0))),L135)))*(IF((YEAR(D135)+13)&lt;YEAR(E135),0,IF((YEAR(D135)+13)&gt;YEAR(E135),1,(12-MONTH(E135)+1)/12))) + (Q135)*(IF((YEAR(D135)+13)&lt;YEAR(E135),0,IF((YEAR(D135)+13)&gt;YEAR(E135),1,(12-MONTH(E135)+1)/12))))-((P135)*(IF((YEAR(D135)+13)&lt;YEAR(E135),0,IF((YEAR(D135)+13)&gt;YEAR(E135),1,(12-MONTH(E135)+1)/12))) + (R135)*(IF((YEAR(D135)+13)&lt;YEAR(E135),0,IF((YEAR(D135)+13)&gt;YEAR(E135),1,(12-MONTH(E135)+1)/12))))-(IF(OR(N135="",N135&lt;=0),0,(O135/N135)*(IF(OR(N135="",N135&lt;=0),0,IF((YEAR(D135)+13)&lt;YEAR(E135),0,IF((YEAR(D135)+13)&gt;=YEAR(E135)+N135,0,IF((YEAR(D135)+13)=YEAR(E135),(12-MONTH(E135)+1)/12,1))))))))*TaxRate,0))-IF(13=0,O135,0))</f>
        <v/>
      </c>
      <c r="AG135" s="29">
        <f>IF(A135="","",((K135)*(IF(M135="",L135,IFERROR(IF(INDEX(Variablen!$I:$AT, MATCH(M135, Variablen!$A:$A, 0), MATCH((YEAR(D135)+14), Variablen!$I$3:$AT$3, 0))="",L135,INDEX(Variablen!$I:$AT, MATCH(M135, Variablen!$A:$A, 0), MATCH((YEAR(D135)+14), Variablen!$I$3:$AT$3, 0))),L135)))*(IF((YEAR(D135)+14)&lt;YEAR(E135),0,IF((YEAR(D135)+14)&gt;YEAR(E135),1,(12-MONTH(E135)+1)/12))) + (Q135)*(IF((YEAR(D135)+14)&lt;YEAR(E135),0,IF((YEAR(D135)+14)&gt;YEAR(E135),1,(12-MONTH(E135)+1)/12))))-((P135)*(IF((YEAR(D135)+14)&lt;YEAR(E135),0,IF((YEAR(D135)+14)&gt;YEAR(E135),1,(12-MONTH(E135)+1)/12))) + (R135)*(IF((YEAR(D135)+14)&lt;YEAR(E135),0,IF((YEAR(D135)+14)&gt;YEAR(E135),1,(12-MONTH(E135)+1)/12))))-(IF((((K135)*(IF(M135="",L135,IFERROR(IF(INDEX(Variablen!$I:$AT, MATCH(M135, Variablen!$A:$A, 0), MATCH((YEAR(D135)+14), Variablen!$I$3:$AT$3, 0))="",L135,INDEX(Variablen!$I:$AT, MATCH(M135, Variablen!$A:$A, 0), MATCH((YEAR(D135)+14), Variablen!$I$3:$AT$3, 0))),L135)))*(IF((YEAR(D135)+14)&lt;YEAR(E135),0,IF((YEAR(D135)+14)&gt;YEAR(E135),1,(12-MONTH(E135)+1)/12))) + (Q135)*(IF((YEAR(D135)+14)&lt;YEAR(E135),0,IF((YEAR(D135)+14)&gt;YEAR(E135),1,(12-MONTH(E135)+1)/12))))-((P135)*(IF((YEAR(D135)+14)&lt;YEAR(E135),0,IF((YEAR(D135)+14)&gt;YEAR(E135),1,(12-MONTH(E135)+1)/12))) + (R135)*(IF((YEAR(D135)+14)&lt;YEAR(E135),0,IF((YEAR(D135)+14)&gt;YEAR(E135),1,(12-MONTH(E135)+1)/12))))-(IF(OR(N135="",N135&lt;=0),0,(O135/N135)*(IF(OR(N135="",N135&lt;=0),0,IF((YEAR(D135)+14)&lt;YEAR(E135),0,IF((YEAR(D135)+14)&gt;=YEAR(E135)+N135,0,IF((YEAR(D135)+14)=YEAR(E135),(12-MONTH(E135)+1)/12,1))))))))&gt;0,(((K135)*(IF(M135="",L135,IFERROR(IF(INDEX(Variablen!$I:$AT, MATCH(M135, Variablen!$A:$A, 0), MATCH((YEAR(D135)+14), Variablen!$I$3:$AT$3, 0))="",L135,INDEX(Variablen!$I:$AT, MATCH(M135, Variablen!$A:$A, 0), MATCH((YEAR(D135)+14), Variablen!$I$3:$AT$3, 0))),L135)))*(IF((YEAR(D135)+14)&lt;YEAR(E135),0,IF((YEAR(D135)+14)&gt;YEAR(E135),1,(12-MONTH(E135)+1)/12))) + (Q135)*(IF((YEAR(D135)+14)&lt;YEAR(E135),0,IF((YEAR(D135)+14)&gt;YEAR(E135),1,(12-MONTH(E135)+1)/12))))-((P135)*(IF((YEAR(D135)+14)&lt;YEAR(E135),0,IF((YEAR(D135)+14)&gt;YEAR(E135),1,(12-MONTH(E135)+1)/12))) + (R135)*(IF((YEAR(D135)+14)&lt;YEAR(E135),0,IF((YEAR(D135)+14)&gt;YEAR(E135),1,(12-MONTH(E135)+1)/12))))-(IF(OR(N135="",N135&lt;=0),0,(O135/N135)*(IF(OR(N135="",N135&lt;=0),0,IF((YEAR(D135)+14)&lt;YEAR(E135),0,IF((YEAR(D135)+14)&gt;=YEAR(E135)+N135,0,IF((YEAR(D135)+14)=YEAR(E135),(12-MONTH(E135)+1)/12,1))))))))*TaxRate,0))-IF(14=0,O135,0))</f>
        <v/>
      </c>
      <c r="AH135" s="29">
        <f>IF(A135="","",((K135)*(IF(M135="",L135,IFERROR(IF(INDEX(Variablen!$I:$AT, MATCH(M135, Variablen!$A:$A, 0), MATCH((YEAR(D135)+15), Variablen!$I$3:$AT$3, 0))="",L135,INDEX(Variablen!$I:$AT, MATCH(M135, Variablen!$A:$A, 0), MATCH((YEAR(D135)+15), Variablen!$I$3:$AT$3, 0))),L135)))*(IF((YEAR(D135)+15)&lt;YEAR(E135),0,IF((YEAR(D135)+15)&gt;YEAR(E135),1,(12-MONTH(E135)+1)/12))) + (Q135)*(IF((YEAR(D135)+15)&lt;YEAR(E135),0,IF((YEAR(D135)+15)&gt;YEAR(E135),1,(12-MONTH(E135)+1)/12))))-((P135)*(IF((YEAR(D135)+15)&lt;YEAR(E135),0,IF((YEAR(D135)+15)&gt;YEAR(E135),1,(12-MONTH(E135)+1)/12))) + (R135)*(IF((YEAR(D135)+15)&lt;YEAR(E135),0,IF((YEAR(D135)+15)&gt;YEAR(E135),1,(12-MONTH(E135)+1)/12))))-(IF((((K135)*(IF(M135="",L135,IFERROR(IF(INDEX(Variablen!$I:$AT, MATCH(M135, Variablen!$A:$A, 0), MATCH((YEAR(D135)+15), Variablen!$I$3:$AT$3, 0))="",L135,INDEX(Variablen!$I:$AT, MATCH(M135, Variablen!$A:$A, 0), MATCH((YEAR(D135)+15), Variablen!$I$3:$AT$3, 0))),L135)))*(IF((YEAR(D135)+15)&lt;YEAR(E135),0,IF((YEAR(D135)+15)&gt;YEAR(E135),1,(12-MONTH(E135)+1)/12))) + (Q135)*(IF((YEAR(D135)+15)&lt;YEAR(E135),0,IF((YEAR(D135)+15)&gt;YEAR(E135),1,(12-MONTH(E135)+1)/12))))-((P135)*(IF((YEAR(D135)+15)&lt;YEAR(E135),0,IF((YEAR(D135)+15)&gt;YEAR(E135),1,(12-MONTH(E135)+1)/12))) + (R135)*(IF((YEAR(D135)+15)&lt;YEAR(E135),0,IF((YEAR(D135)+15)&gt;YEAR(E135),1,(12-MONTH(E135)+1)/12))))-(IF(OR(N135="",N135&lt;=0),0,(O135/N135)*(IF(OR(N135="",N135&lt;=0),0,IF((YEAR(D135)+15)&lt;YEAR(E135),0,IF((YEAR(D135)+15)&gt;=YEAR(E135)+N135,0,IF((YEAR(D135)+15)=YEAR(E135),(12-MONTH(E135)+1)/12,1))))))))&gt;0,(((K135)*(IF(M135="",L135,IFERROR(IF(INDEX(Variablen!$I:$AT, MATCH(M135, Variablen!$A:$A, 0), MATCH((YEAR(D135)+15), Variablen!$I$3:$AT$3, 0))="",L135,INDEX(Variablen!$I:$AT, MATCH(M135, Variablen!$A:$A, 0), MATCH((YEAR(D135)+15), Variablen!$I$3:$AT$3, 0))),L135)))*(IF((YEAR(D135)+15)&lt;YEAR(E135),0,IF((YEAR(D135)+15)&gt;YEAR(E135),1,(12-MONTH(E135)+1)/12))) + (Q135)*(IF((YEAR(D135)+15)&lt;YEAR(E135),0,IF((YEAR(D135)+15)&gt;YEAR(E135),1,(12-MONTH(E135)+1)/12))))-((P135)*(IF((YEAR(D135)+15)&lt;YEAR(E135),0,IF((YEAR(D135)+15)&gt;YEAR(E135),1,(12-MONTH(E135)+1)/12))) + (R135)*(IF((YEAR(D135)+15)&lt;YEAR(E135),0,IF((YEAR(D135)+15)&gt;YEAR(E135),1,(12-MONTH(E135)+1)/12))))-(IF(OR(N135="",N135&lt;=0),0,(O135/N135)*(IF(OR(N135="",N135&lt;=0),0,IF((YEAR(D135)+15)&lt;YEAR(E135),0,IF((YEAR(D135)+15)&gt;=YEAR(E135)+N135,0,IF((YEAR(D135)+15)=YEAR(E135),(12-MONTH(E135)+1)/12,1))))))))*TaxRate,0))-IF(15=0,O135,0))</f>
        <v/>
      </c>
      <c r="AI135" s="29">
        <f>IF(A135="","",((K135)*(IF(M135="",L135,IFERROR(IF(INDEX(Variablen!$I:$AT, MATCH(M135, Variablen!$A:$A, 0), MATCH((YEAR(D135)+16), Variablen!$I$3:$AT$3, 0))="",L135,INDEX(Variablen!$I:$AT, MATCH(M135, Variablen!$A:$A, 0), MATCH((YEAR(D135)+16), Variablen!$I$3:$AT$3, 0))),L135)))*(IF((YEAR(D135)+16)&lt;YEAR(E135),0,IF((YEAR(D135)+16)&gt;YEAR(E135),1,(12-MONTH(E135)+1)/12))) + (Q135)*(IF((YEAR(D135)+16)&lt;YEAR(E135),0,IF((YEAR(D135)+16)&gt;YEAR(E135),1,(12-MONTH(E135)+1)/12))))-((P135)*(IF((YEAR(D135)+16)&lt;YEAR(E135),0,IF((YEAR(D135)+16)&gt;YEAR(E135),1,(12-MONTH(E135)+1)/12))) + (R135)*(IF((YEAR(D135)+16)&lt;YEAR(E135),0,IF((YEAR(D135)+16)&gt;YEAR(E135),1,(12-MONTH(E135)+1)/12))))-(IF((((K135)*(IF(M135="",L135,IFERROR(IF(INDEX(Variablen!$I:$AT, MATCH(M135, Variablen!$A:$A, 0), MATCH((YEAR(D135)+16), Variablen!$I$3:$AT$3, 0))="",L135,INDEX(Variablen!$I:$AT, MATCH(M135, Variablen!$A:$A, 0), MATCH((YEAR(D135)+16), Variablen!$I$3:$AT$3, 0))),L135)))*(IF((YEAR(D135)+16)&lt;YEAR(E135),0,IF((YEAR(D135)+16)&gt;YEAR(E135),1,(12-MONTH(E135)+1)/12))) + (Q135)*(IF((YEAR(D135)+16)&lt;YEAR(E135),0,IF((YEAR(D135)+16)&gt;YEAR(E135),1,(12-MONTH(E135)+1)/12))))-((P135)*(IF((YEAR(D135)+16)&lt;YEAR(E135),0,IF((YEAR(D135)+16)&gt;YEAR(E135),1,(12-MONTH(E135)+1)/12))) + (R135)*(IF((YEAR(D135)+16)&lt;YEAR(E135),0,IF((YEAR(D135)+16)&gt;YEAR(E135),1,(12-MONTH(E135)+1)/12))))-(IF(OR(N135="",N135&lt;=0),0,(O135/N135)*(IF(OR(N135="",N135&lt;=0),0,IF((YEAR(D135)+16)&lt;YEAR(E135),0,IF((YEAR(D135)+16)&gt;=YEAR(E135)+N135,0,IF((YEAR(D135)+16)=YEAR(E135),(12-MONTH(E135)+1)/12,1))))))))&gt;0,(((K135)*(IF(M135="",L135,IFERROR(IF(INDEX(Variablen!$I:$AT, MATCH(M135, Variablen!$A:$A, 0), MATCH((YEAR(D135)+16), Variablen!$I$3:$AT$3, 0))="",L135,INDEX(Variablen!$I:$AT, MATCH(M135, Variablen!$A:$A, 0), MATCH((YEAR(D135)+16), Variablen!$I$3:$AT$3, 0))),L135)))*(IF((YEAR(D135)+16)&lt;YEAR(E135),0,IF((YEAR(D135)+16)&gt;YEAR(E135),1,(12-MONTH(E135)+1)/12))) + (Q135)*(IF((YEAR(D135)+16)&lt;YEAR(E135),0,IF((YEAR(D135)+16)&gt;YEAR(E135),1,(12-MONTH(E135)+1)/12))))-((P135)*(IF((YEAR(D135)+16)&lt;YEAR(E135),0,IF((YEAR(D135)+16)&gt;YEAR(E135),1,(12-MONTH(E135)+1)/12))) + (R135)*(IF((YEAR(D135)+16)&lt;YEAR(E135),0,IF((YEAR(D135)+16)&gt;YEAR(E135),1,(12-MONTH(E135)+1)/12))))-(IF(OR(N135="",N135&lt;=0),0,(O135/N135)*(IF(OR(N135="",N135&lt;=0),0,IF((YEAR(D135)+16)&lt;YEAR(E135),0,IF((YEAR(D135)+16)&gt;=YEAR(E135)+N135,0,IF((YEAR(D135)+16)=YEAR(E135),(12-MONTH(E135)+1)/12,1))))))))*TaxRate,0))-IF(16=0,O135,0))</f>
        <v/>
      </c>
      <c r="AJ135" s="29">
        <f>IF(A135="","",((K135)*(IF(M135="",L135,IFERROR(IF(INDEX(Variablen!$I:$AT, MATCH(M135, Variablen!$A:$A, 0), MATCH((YEAR(D135)+17), Variablen!$I$3:$AT$3, 0))="",L135,INDEX(Variablen!$I:$AT, MATCH(M135, Variablen!$A:$A, 0), MATCH((YEAR(D135)+17), Variablen!$I$3:$AT$3, 0))),L135)))*(IF((YEAR(D135)+17)&lt;YEAR(E135),0,IF((YEAR(D135)+17)&gt;YEAR(E135),1,(12-MONTH(E135)+1)/12))) + (Q135)*(IF((YEAR(D135)+17)&lt;YEAR(E135),0,IF((YEAR(D135)+17)&gt;YEAR(E135),1,(12-MONTH(E135)+1)/12))))-((P135)*(IF((YEAR(D135)+17)&lt;YEAR(E135),0,IF((YEAR(D135)+17)&gt;YEAR(E135),1,(12-MONTH(E135)+1)/12))) + (R135)*(IF((YEAR(D135)+17)&lt;YEAR(E135),0,IF((YEAR(D135)+17)&gt;YEAR(E135),1,(12-MONTH(E135)+1)/12))))-(IF((((K135)*(IF(M135="",L135,IFERROR(IF(INDEX(Variablen!$I:$AT, MATCH(M135, Variablen!$A:$A, 0), MATCH((YEAR(D135)+17), Variablen!$I$3:$AT$3, 0))="",L135,INDEX(Variablen!$I:$AT, MATCH(M135, Variablen!$A:$A, 0), MATCH((YEAR(D135)+17), Variablen!$I$3:$AT$3, 0))),L135)))*(IF((YEAR(D135)+17)&lt;YEAR(E135),0,IF((YEAR(D135)+17)&gt;YEAR(E135),1,(12-MONTH(E135)+1)/12))) + (Q135)*(IF((YEAR(D135)+17)&lt;YEAR(E135),0,IF((YEAR(D135)+17)&gt;YEAR(E135),1,(12-MONTH(E135)+1)/12))))-((P135)*(IF((YEAR(D135)+17)&lt;YEAR(E135),0,IF((YEAR(D135)+17)&gt;YEAR(E135),1,(12-MONTH(E135)+1)/12))) + (R135)*(IF((YEAR(D135)+17)&lt;YEAR(E135),0,IF((YEAR(D135)+17)&gt;YEAR(E135),1,(12-MONTH(E135)+1)/12))))-(IF(OR(N135="",N135&lt;=0),0,(O135/N135)*(IF(OR(N135="",N135&lt;=0),0,IF((YEAR(D135)+17)&lt;YEAR(E135),0,IF((YEAR(D135)+17)&gt;=YEAR(E135)+N135,0,IF((YEAR(D135)+17)=YEAR(E135),(12-MONTH(E135)+1)/12,1))))))))&gt;0,(((K135)*(IF(M135="",L135,IFERROR(IF(INDEX(Variablen!$I:$AT, MATCH(M135, Variablen!$A:$A, 0), MATCH((YEAR(D135)+17), Variablen!$I$3:$AT$3, 0))="",L135,INDEX(Variablen!$I:$AT, MATCH(M135, Variablen!$A:$A, 0), MATCH((YEAR(D135)+17), Variablen!$I$3:$AT$3, 0))),L135)))*(IF((YEAR(D135)+17)&lt;YEAR(E135),0,IF((YEAR(D135)+17)&gt;YEAR(E135),1,(12-MONTH(E135)+1)/12))) + (Q135)*(IF((YEAR(D135)+17)&lt;YEAR(E135),0,IF((YEAR(D135)+17)&gt;YEAR(E135),1,(12-MONTH(E135)+1)/12))))-((P135)*(IF((YEAR(D135)+17)&lt;YEAR(E135),0,IF((YEAR(D135)+17)&gt;YEAR(E135),1,(12-MONTH(E135)+1)/12))) + (R135)*(IF((YEAR(D135)+17)&lt;YEAR(E135),0,IF((YEAR(D135)+17)&gt;YEAR(E135),1,(12-MONTH(E135)+1)/12))))-(IF(OR(N135="",N135&lt;=0),0,(O135/N135)*(IF(OR(N135="",N135&lt;=0),0,IF((YEAR(D135)+17)&lt;YEAR(E135),0,IF((YEAR(D135)+17)&gt;=YEAR(E135)+N135,0,IF((YEAR(D135)+17)=YEAR(E135),(12-MONTH(E135)+1)/12,1))))))))*TaxRate,0))-IF(17=0,O135,0))</f>
        <v/>
      </c>
      <c r="AK135" s="29">
        <f>IF(A135="","",((K135)*(IF(M135="",L135,IFERROR(IF(INDEX(Variablen!$I:$AT, MATCH(M135, Variablen!$A:$A, 0), MATCH((YEAR(D135)+18), Variablen!$I$3:$AT$3, 0))="",L135,INDEX(Variablen!$I:$AT, MATCH(M135, Variablen!$A:$A, 0), MATCH((YEAR(D135)+18), Variablen!$I$3:$AT$3, 0))),L135)))*(IF((YEAR(D135)+18)&lt;YEAR(E135),0,IF((YEAR(D135)+18)&gt;YEAR(E135),1,(12-MONTH(E135)+1)/12))) + (Q135)*(IF((YEAR(D135)+18)&lt;YEAR(E135),0,IF((YEAR(D135)+18)&gt;YEAR(E135),1,(12-MONTH(E135)+1)/12))))-((P135)*(IF((YEAR(D135)+18)&lt;YEAR(E135),0,IF((YEAR(D135)+18)&gt;YEAR(E135),1,(12-MONTH(E135)+1)/12))) + (R135)*(IF((YEAR(D135)+18)&lt;YEAR(E135),0,IF((YEAR(D135)+18)&gt;YEAR(E135),1,(12-MONTH(E135)+1)/12))))-(IF((((K135)*(IF(M135="",L135,IFERROR(IF(INDEX(Variablen!$I:$AT, MATCH(M135, Variablen!$A:$A, 0), MATCH((YEAR(D135)+18), Variablen!$I$3:$AT$3, 0))="",L135,INDEX(Variablen!$I:$AT, MATCH(M135, Variablen!$A:$A, 0), MATCH((YEAR(D135)+18), Variablen!$I$3:$AT$3, 0))),L135)))*(IF((YEAR(D135)+18)&lt;YEAR(E135),0,IF((YEAR(D135)+18)&gt;YEAR(E135),1,(12-MONTH(E135)+1)/12))) + (Q135)*(IF((YEAR(D135)+18)&lt;YEAR(E135),0,IF((YEAR(D135)+18)&gt;YEAR(E135),1,(12-MONTH(E135)+1)/12))))-((P135)*(IF((YEAR(D135)+18)&lt;YEAR(E135),0,IF((YEAR(D135)+18)&gt;YEAR(E135),1,(12-MONTH(E135)+1)/12))) + (R135)*(IF((YEAR(D135)+18)&lt;YEAR(E135),0,IF((YEAR(D135)+18)&gt;YEAR(E135),1,(12-MONTH(E135)+1)/12))))-(IF(OR(N135="",N135&lt;=0),0,(O135/N135)*(IF(OR(N135="",N135&lt;=0),0,IF((YEAR(D135)+18)&lt;YEAR(E135),0,IF((YEAR(D135)+18)&gt;=YEAR(E135)+N135,0,IF((YEAR(D135)+18)=YEAR(E135),(12-MONTH(E135)+1)/12,1))))))))&gt;0,(((K135)*(IF(M135="",L135,IFERROR(IF(INDEX(Variablen!$I:$AT, MATCH(M135, Variablen!$A:$A, 0), MATCH((YEAR(D135)+18), Variablen!$I$3:$AT$3, 0))="",L135,INDEX(Variablen!$I:$AT, MATCH(M135, Variablen!$A:$A, 0), MATCH((YEAR(D135)+18), Variablen!$I$3:$AT$3, 0))),L135)))*(IF((YEAR(D135)+18)&lt;YEAR(E135),0,IF((YEAR(D135)+18)&gt;YEAR(E135),1,(12-MONTH(E135)+1)/12))) + (Q135)*(IF((YEAR(D135)+18)&lt;YEAR(E135),0,IF((YEAR(D135)+18)&gt;YEAR(E135),1,(12-MONTH(E135)+1)/12))))-((P135)*(IF((YEAR(D135)+18)&lt;YEAR(E135),0,IF((YEAR(D135)+18)&gt;YEAR(E135),1,(12-MONTH(E135)+1)/12))) + (R135)*(IF((YEAR(D135)+18)&lt;YEAR(E135),0,IF((YEAR(D135)+18)&gt;YEAR(E135),1,(12-MONTH(E135)+1)/12))))-(IF(OR(N135="",N135&lt;=0),0,(O135/N135)*(IF(OR(N135="",N135&lt;=0),0,IF((YEAR(D135)+18)&lt;YEAR(E135),0,IF((YEAR(D135)+18)&gt;=YEAR(E135)+N135,0,IF((YEAR(D135)+18)=YEAR(E135),(12-MONTH(E135)+1)/12,1))))))))*TaxRate,0))-IF(18=0,O135,0))</f>
        <v/>
      </c>
      <c r="AL135" s="29">
        <f>IF(A135="","",((K135)*(IF(M135="",L135,IFERROR(IF(INDEX(Variablen!$I:$AT, MATCH(M135, Variablen!$A:$A, 0), MATCH((YEAR(D135)+19), Variablen!$I$3:$AT$3, 0))="",L135,INDEX(Variablen!$I:$AT, MATCH(M135, Variablen!$A:$A, 0), MATCH((YEAR(D135)+19), Variablen!$I$3:$AT$3, 0))),L135)))*(IF((YEAR(D135)+19)&lt;YEAR(E135),0,IF((YEAR(D135)+19)&gt;YEAR(E135),1,(12-MONTH(E135)+1)/12))) + (Q135)*(IF((YEAR(D135)+19)&lt;YEAR(E135),0,IF((YEAR(D135)+19)&gt;YEAR(E135),1,(12-MONTH(E135)+1)/12))))-((P135)*(IF((YEAR(D135)+19)&lt;YEAR(E135),0,IF((YEAR(D135)+19)&gt;YEAR(E135),1,(12-MONTH(E135)+1)/12))) + (R135)*(IF((YEAR(D135)+19)&lt;YEAR(E135),0,IF((YEAR(D135)+19)&gt;YEAR(E135),1,(12-MONTH(E135)+1)/12))))-(IF((((K135)*(IF(M135="",L135,IFERROR(IF(INDEX(Variablen!$I:$AT, MATCH(M135, Variablen!$A:$A, 0), MATCH((YEAR(D135)+19), Variablen!$I$3:$AT$3, 0))="",L135,INDEX(Variablen!$I:$AT, MATCH(M135, Variablen!$A:$A, 0), MATCH((YEAR(D135)+19), Variablen!$I$3:$AT$3, 0))),L135)))*(IF((YEAR(D135)+19)&lt;YEAR(E135),0,IF((YEAR(D135)+19)&gt;YEAR(E135),1,(12-MONTH(E135)+1)/12))) + (Q135)*(IF((YEAR(D135)+19)&lt;YEAR(E135),0,IF((YEAR(D135)+19)&gt;YEAR(E135),1,(12-MONTH(E135)+1)/12))))-((P135)*(IF((YEAR(D135)+19)&lt;YEAR(E135),0,IF((YEAR(D135)+19)&gt;YEAR(E135),1,(12-MONTH(E135)+1)/12))) + (R135)*(IF((YEAR(D135)+19)&lt;YEAR(E135),0,IF((YEAR(D135)+19)&gt;YEAR(E135),1,(12-MONTH(E135)+1)/12))))-(IF(OR(N135="",N135&lt;=0),0,(O135/N135)*(IF(OR(N135="",N135&lt;=0),0,IF((YEAR(D135)+19)&lt;YEAR(E135),0,IF((YEAR(D135)+19)&gt;=YEAR(E135)+N135,0,IF((YEAR(D135)+19)=YEAR(E135),(12-MONTH(E135)+1)/12,1))))))))&gt;0,(((K135)*(IF(M135="",L135,IFERROR(IF(INDEX(Variablen!$I:$AT, MATCH(M135, Variablen!$A:$A, 0), MATCH((YEAR(D135)+19), Variablen!$I$3:$AT$3, 0))="",L135,INDEX(Variablen!$I:$AT, MATCH(M135, Variablen!$A:$A, 0), MATCH((YEAR(D135)+19), Variablen!$I$3:$AT$3, 0))),L135)))*(IF((YEAR(D135)+19)&lt;YEAR(E135),0,IF((YEAR(D135)+19)&gt;YEAR(E135),1,(12-MONTH(E135)+1)/12))) + (Q135)*(IF((YEAR(D135)+19)&lt;YEAR(E135),0,IF((YEAR(D135)+19)&gt;YEAR(E135),1,(12-MONTH(E135)+1)/12))))-((P135)*(IF((YEAR(D135)+19)&lt;YEAR(E135),0,IF((YEAR(D135)+19)&gt;YEAR(E135),1,(12-MONTH(E135)+1)/12))) + (R135)*(IF((YEAR(D135)+19)&lt;YEAR(E135),0,IF((YEAR(D135)+19)&gt;YEAR(E135),1,(12-MONTH(E135)+1)/12))))-(IF(OR(N135="",N135&lt;=0),0,(O135/N135)*(IF(OR(N135="",N135&lt;=0),0,IF((YEAR(D135)+19)&lt;YEAR(E135),0,IF((YEAR(D135)+19)&gt;=YEAR(E135)+N135,0,IF((YEAR(D135)+19)=YEAR(E135),(12-MONTH(E135)+1)/12,1))))))))*TaxRate,0))-IF(19=0,O135,0))</f>
        <v/>
      </c>
      <c r="AM135" s="29">
        <f>IF(A135="","",((K135)*(IF(M135="",L135,IFERROR(IF(INDEX(Variablen!$I:$AT, MATCH(M135, Variablen!$A:$A, 0), MATCH((YEAR(D135)+20), Variablen!$I$3:$AT$3, 0))="",L135,INDEX(Variablen!$I:$AT, MATCH(M135, Variablen!$A:$A, 0), MATCH((YEAR(D135)+20), Variablen!$I$3:$AT$3, 0))),L135)))*(IF((YEAR(D135)+20)&lt;YEAR(E135),0,IF((YEAR(D135)+20)&gt;YEAR(E135),1,(12-MONTH(E135)+1)/12))) + (Q135)*(IF((YEAR(D135)+20)&lt;YEAR(E135),0,IF((YEAR(D135)+20)&gt;YEAR(E135),1,(12-MONTH(E135)+1)/12))))-((P135)*(IF((YEAR(D135)+20)&lt;YEAR(E135),0,IF((YEAR(D135)+20)&gt;YEAR(E135),1,(12-MONTH(E135)+1)/12))) + (R135)*(IF((YEAR(D135)+20)&lt;YEAR(E135),0,IF((YEAR(D135)+20)&gt;YEAR(E135),1,(12-MONTH(E135)+1)/12))))-(IF((((K135)*(IF(M135="",L135,IFERROR(IF(INDEX(Variablen!$I:$AT, MATCH(M135, Variablen!$A:$A, 0), MATCH((YEAR(D135)+20), Variablen!$I$3:$AT$3, 0))="",L135,INDEX(Variablen!$I:$AT, MATCH(M135, Variablen!$A:$A, 0), MATCH((YEAR(D135)+20), Variablen!$I$3:$AT$3, 0))),L135)))*(IF((YEAR(D135)+20)&lt;YEAR(E135),0,IF((YEAR(D135)+20)&gt;YEAR(E135),1,(12-MONTH(E135)+1)/12))) + (Q135)*(IF((YEAR(D135)+20)&lt;YEAR(E135),0,IF((YEAR(D135)+20)&gt;YEAR(E135),1,(12-MONTH(E135)+1)/12))))-((P135)*(IF((YEAR(D135)+20)&lt;YEAR(E135),0,IF((YEAR(D135)+20)&gt;YEAR(E135),1,(12-MONTH(E135)+1)/12))) + (R135)*(IF((YEAR(D135)+20)&lt;YEAR(E135),0,IF((YEAR(D135)+20)&gt;YEAR(E135),1,(12-MONTH(E135)+1)/12))))-(IF(OR(N135="",N135&lt;=0),0,(O135/N135)*(IF(OR(N135="",N135&lt;=0),0,IF((YEAR(D135)+20)&lt;YEAR(E135),0,IF((YEAR(D135)+20)&gt;=YEAR(E135)+N135,0,IF((YEAR(D135)+20)=YEAR(E135),(12-MONTH(E135)+1)/12,1))))))))&gt;0,(((K135)*(IF(M135="",L135,IFERROR(IF(INDEX(Variablen!$I:$AT, MATCH(M135, Variablen!$A:$A, 0), MATCH((YEAR(D135)+20), Variablen!$I$3:$AT$3, 0))="",L135,INDEX(Variablen!$I:$AT, MATCH(M135, Variablen!$A:$A, 0), MATCH((YEAR(D135)+20), Variablen!$I$3:$AT$3, 0))),L135)))*(IF((YEAR(D135)+20)&lt;YEAR(E135),0,IF((YEAR(D135)+20)&gt;YEAR(E135),1,(12-MONTH(E135)+1)/12))) + (Q135)*(IF((YEAR(D135)+20)&lt;YEAR(E135),0,IF((YEAR(D135)+20)&gt;YEAR(E135),1,(12-MONTH(E135)+1)/12))))-((P135)*(IF((YEAR(D135)+20)&lt;YEAR(E135),0,IF((YEAR(D135)+20)&gt;YEAR(E135),1,(12-MONTH(E135)+1)/12))) + (R135)*(IF((YEAR(D135)+20)&lt;YEAR(E135),0,IF((YEAR(D135)+20)&gt;YEAR(E135),1,(12-MONTH(E135)+1)/12))))-(IF(OR(N135="",N135&lt;=0),0,(O135/N135)*(IF(OR(N135="",N135&lt;=0),0,IF((YEAR(D135)+20)&lt;YEAR(E135),0,IF((YEAR(D135)+20)&gt;=YEAR(E135)+N135,0,IF((YEAR(D135)+20)=YEAR(E135),(12-MONTH(E135)+1)/12,1))))))))*TaxRate,0))-IF(20=0,O135,0))</f>
        <v/>
      </c>
      <c r="AN135" s="29">
        <f>IF(A135="","",S135)</f>
        <v/>
      </c>
      <c r="AO135" s="29">
        <f>IF(A135="","",AN135+T135)</f>
        <v/>
      </c>
      <c r="AP135" s="29">
        <f>IF(A135="","",AO135+U135)</f>
        <v/>
      </c>
      <c r="AQ135" s="29">
        <f>IF(A135="","",AP135+V135)</f>
        <v/>
      </c>
      <c r="AR135" s="29">
        <f>IF(A135="","",AQ135+W135)</f>
        <v/>
      </c>
      <c r="AS135" s="29">
        <f>IF(A135="","",AR135+X135)</f>
        <v/>
      </c>
      <c r="AT135" s="29">
        <f>IF(A135="","",AS135+Y135)</f>
        <v/>
      </c>
      <c r="AU135" s="29">
        <f>IF(A135="","",AT135+Z135)</f>
        <v/>
      </c>
      <c r="AV135" s="29">
        <f>IF(A135="","",AU135+AA135)</f>
        <v/>
      </c>
      <c r="AW135" s="29">
        <f>IF(A135="","",AV135+AB135)</f>
        <v/>
      </c>
      <c r="AX135" s="29">
        <f>IF(A135="","",AW135+AC135)</f>
        <v/>
      </c>
      <c r="AY135" s="29">
        <f>IF(A135="","",AX135+AD135)</f>
        <v/>
      </c>
      <c r="AZ135" s="29">
        <f>IF(A135="","",AY135+AE135)</f>
        <v/>
      </c>
      <c r="BA135" s="29">
        <f>IF(A135="","",AZ135+AF135)</f>
        <v/>
      </c>
      <c r="BB135" s="29">
        <f>IF(A135="","",BA135+AG135)</f>
        <v/>
      </c>
      <c r="BC135" s="29">
        <f>IF(A135="","",BB135+AH135)</f>
        <v/>
      </c>
      <c r="BD135" s="29">
        <f>IF(A135="","",BC135+AI135)</f>
        <v/>
      </c>
      <c r="BE135" s="29">
        <f>IF(A135="","",BD135+AJ135)</f>
        <v/>
      </c>
      <c r="BF135" s="29">
        <f>IF(A135="","",BE135+AK135)</f>
        <v/>
      </c>
      <c r="BG135" s="29">
        <f>IF(A135="","",BF135+AL135)</f>
        <v/>
      </c>
      <c r="BH135" s="29">
        <f>IF(A135="","",BG135+AM135)</f>
        <v/>
      </c>
      <c r="BI135" s="36">
        <f>IF(A135="","",(K135)*(IF((YEAR(D135)+0)&lt;YEAR(E135),0,IF((YEAR(D135)+0)&gt;YEAR(E135),1,(12-MONTH(E135)+1)/12)))*(1/(1+DiscountRate)^0))</f>
        <v/>
      </c>
      <c r="BJ135" s="36">
        <f>IF(A135="","",(K135)*(IF((YEAR(D135)+1)&lt;YEAR(E135),0,IF((YEAR(D135)+1)&gt;YEAR(E135),1,(12-MONTH(E135)+1)/12)))*(1/(1+DiscountRate)^1))</f>
        <v/>
      </c>
      <c r="BK135" s="36">
        <f>IF(A135="","",(K135)*(IF((YEAR(D135)+2)&lt;YEAR(E135),0,IF((YEAR(D135)+2)&gt;YEAR(E135),1,(12-MONTH(E135)+1)/12)))*(1/(1+DiscountRate)^2))</f>
        <v/>
      </c>
      <c r="BL135" s="36">
        <f>IF(A135="","",(K135)*(IF((YEAR(D135)+3)&lt;YEAR(E135),0,IF((YEAR(D135)+3)&gt;YEAR(E135),1,(12-MONTH(E135)+1)/12)))*(1/(1+DiscountRate)^3))</f>
        <v/>
      </c>
      <c r="BM135" s="36">
        <f>IF(A135="","",(K135)*(IF((YEAR(D135)+4)&lt;YEAR(E135),0,IF((YEAR(D135)+4)&gt;YEAR(E135),1,(12-MONTH(E135)+1)/12)))*(1/(1+DiscountRate)^4))</f>
        <v/>
      </c>
      <c r="BN135" s="36">
        <f>IF(A135="","",(K135)*(IF((YEAR(D135)+5)&lt;YEAR(E135),0,IF((YEAR(D135)+5)&gt;YEAR(E135),1,(12-MONTH(E135)+1)/12)))*(1/(1+DiscountRate)^5))</f>
        <v/>
      </c>
      <c r="BO135" s="36">
        <f>IF(A135="","",(K135)*(IF((YEAR(D135)+6)&lt;YEAR(E135),0,IF((YEAR(D135)+6)&gt;YEAR(E135),1,(12-MONTH(E135)+1)/12)))*(1/(1+DiscountRate)^6))</f>
        <v/>
      </c>
      <c r="BP135" s="36">
        <f>IF(A135="","",(K135)*(IF((YEAR(D135)+7)&lt;YEAR(E135),0,IF((YEAR(D135)+7)&gt;YEAR(E135),1,(12-MONTH(E135)+1)/12)))*(1/(1+DiscountRate)^7))</f>
        <v/>
      </c>
      <c r="BQ135" s="36">
        <f>IF(A135="","",(K135)*(IF((YEAR(D135)+8)&lt;YEAR(E135),0,IF((YEAR(D135)+8)&gt;YEAR(E135),1,(12-MONTH(E135)+1)/12)))*(1/(1+DiscountRate)^8))</f>
        <v/>
      </c>
      <c r="BR135" s="36">
        <f>IF(A135="","",(K135)*(IF((YEAR(D135)+9)&lt;YEAR(E135),0,IF((YEAR(D135)+9)&gt;YEAR(E135),1,(12-MONTH(E135)+1)/12)))*(1/(1+DiscountRate)^9))</f>
        <v/>
      </c>
      <c r="BS135" s="36">
        <f>IF(A135="","",(K135)*(IF((YEAR(D135)+10)&lt;YEAR(E135),0,IF((YEAR(D135)+10)&gt;YEAR(E135),1,(12-MONTH(E135)+1)/12)))*(1/(1+DiscountRate)^10))</f>
        <v/>
      </c>
      <c r="BT135" s="36">
        <f>IF(A135="","",(K135)*(IF((YEAR(D135)+11)&lt;YEAR(E135),0,IF((YEAR(D135)+11)&gt;YEAR(E135),1,(12-MONTH(E135)+1)/12)))*(1/(1+DiscountRate)^11))</f>
        <v/>
      </c>
      <c r="BU135" s="36">
        <f>IF(A135="","",(K135)*(IF((YEAR(D135)+12)&lt;YEAR(E135),0,IF((YEAR(D135)+12)&gt;YEAR(E135),1,(12-MONTH(E135)+1)/12)))*(1/(1+DiscountRate)^12))</f>
        <v/>
      </c>
      <c r="BV135" s="36">
        <f>IF(A135="","",(K135)*(IF((YEAR(D135)+13)&lt;YEAR(E135),0,IF((YEAR(D135)+13)&gt;YEAR(E135),1,(12-MONTH(E135)+1)/12)))*(1/(1+DiscountRate)^13))</f>
        <v/>
      </c>
      <c r="BW135" s="36">
        <f>IF(A135="","",(K135)*(IF((YEAR(D135)+14)&lt;YEAR(E135),0,IF((YEAR(D135)+14)&gt;YEAR(E135),1,(12-MONTH(E135)+1)/12)))*(1/(1+DiscountRate)^14))</f>
        <v/>
      </c>
      <c r="BX135" s="36">
        <f>IF(A135="","",(K135)*(IF((YEAR(D135)+15)&lt;YEAR(E135),0,IF((YEAR(D135)+15)&gt;YEAR(E135),1,(12-MONTH(E135)+1)/12)))*(1/(1+DiscountRate)^15))</f>
        <v/>
      </c>
      <c r="BY135" s="36">
        <f>IF(A135="","",(K135)*(IF((YEAR(D135)+16)&lt;YEAR(E135),0,IF((YEAR(D135)+16)&gt;YEAR(E135),1,(12-MONTH(E135)+1)/12)))*(1/(1+DiscountRate)^16))</f>
        <v/>
      </c>
      <c r="BZ135" s="36">
        <f>IF(A135="","",(K135)*(IF((YEAR(D135)+17)&lt;YEAR(E135),0,IF((YEAR(D135)+17)&gt;YEAR(E135),1,(12-MONTH(E135)+1)/12)))*(1/(1+DiscountRate)^17))</f>
        <v/>
      </c>
      <c r="CA135" s="36">
        <f>IF(A135="","",(K135)*(IF((YEAR(D135)+18)&lt;YEAR(E135),0,IF((YEAR(D135)+18)&gt;YEAR(E135),1,(12-MONTH(E135)+1)/12)))*(1/(1+DiscountRate)^18))</f>
        <v/>
      </c>
      <c r="CB135" s="36">
        <f>IF(A135="","",(K135)*(IF((YEAR(D135)+19)&lt;YEAR(E135),0,IF((YEAR(D135)+19)&gt;YEAR(E135),1,(12-MONTH(E135)+1)/12)))*(1/(1+DiscountRate)^19))</f>
        <v/>
      </c>
      <c r="CC135" s="36">
        <f>IF(A135="","",(K135)*(IF((YEAR(D135)+20)&lt;YEAR(E135),0,IF((YEAR(D135)+20)&gt;YEAR(E135),1,(12-MONTH(E135)+1)/12)))*(1/(1+DiscountRate)^20))</f>
        <v/>
      </c>
      <c r="CD135" s="29">
        <f>IF(A135="","",S135/(1+DiscountRate)^0+T135/(1+DiscountRate)^1+U135/(1+DiscountRate)^2+V135/(1+DiscountRate)^3+W135/(1+DiscountRate)^4+X135/(1+DiscountRate)^5+Y135/(1+DiscountRate)^6+Z135/(1+DiscountRate)^7+AA135/(1+DiscountRate)^8+AB135/(1+DiscountRate)^9+AC135/(1+DiscountRate)^10+AD135/(1+DiscountRate)^11+AE135/(1+DiscountRate)^12+AF135/(1+DiscountRate)^13+AG135/(1+DiscountRate)^14+AH135/(1+DiscountRate)^15+AI135/(1+DiscountRate)^16+AJ135/(1+DiscountRate)^17+AK135/(1+DiscountRate)^18+AL135/(1+DiscountRate)^19+AM135/(1+DiscountRate)^20)</f>
        <v/>
      </c>
      <c r="CE135" s="37">
        <f>IF(A135="","",IFERROR(IRR(OFFSET(S135,0,0,1,MIN(HorizonYears,20)+1)),"n/a"))</f>
        <v/>
      </c>
      <c r="CF135" s="28">
        <f>IF(A135="","",IFERROR(MATCH(TRUE,OFFSET(AN135,0,0,1,MIN(HorizonYears,20)+1)&gt;=0,0)-1,"n/a"))</f>
        <v/>
      </c>
      <c r="CG135" s="36">
        <f>IF(A135="","",SUM(OFFSET(BI135,0,0,1,MIN(HorizonYears,20)+1)))</f>
        <v/>
      </c>
      <c r="CH135" s="36">
        <f>IF(A135="","",IFERROR(-CD135/CG135,"n/a"))</f>
        <v/>
      </c>
    </row>
    <row r="136">
      <c r="A136" s="6">
        <f>Actions!A134</f>
        <v/>
      </c>
      <c r="B136" s="6">
        <f>Actions!B134</f>
        <v/>
      </c>
      <c r="C136" s="6">
        <f>Actions!D134</f>
        <v/>
      </c>
      <c r="D136" s="35">
        <f>Actions!E134</f>
        <v/>
      </c>
      <c r="E136" s="35">
        <f>Actions!F134</f>
        <v/>
      </c>
      <c r="F136" s="6">
        <f>Actions!G134</f>
        <v/>
      </c>
      <c r="G136" s="6">
        <f>Actions!H134</f>
        <v/>
      </c>
      <c r="H136" s="29">
        <f>Actions!I134</f>
        <v/>
      </c>
      <c r="I136" s="6">
        <f>Actions!J134</f>
        <v/>
      </c>
      <c r="J136" s="16">
        <f>Actions!K134</f>
        <v/>
      </c>
      <c r="K136" s="16">
        <f>IF(A136="","",IF(I136="%",H136*J136,J136))</f>
        <v/>
      </c>
      <c r="L136" s="16">
        <f>Actions!L134</f>
        <v/>
      </c>
      <c r="M136" s="6">
        <f>Actions!M134</f>
        <v/>
      </c>
      <c r="N136" s="28">
        <f>Actions!N134</f>
        <v/>
      </c>
      <c r="O136" s="29">
        <f>Actions!T134</f>
        <v/>
      </c>
      <c r="P136" s="29">
        <f>Actions!Y134</f>
        <v/>
      </c>
      <c r="Q136" s="29">
        <f>Actions!Z134</f>
        <v/>
      </c>
      <c r="R136" s="29">
        <f>Actions!AA134</f>
        <v/>
      </c>
      <c r="S136" s="29">
        <f>IF(A136="","",((K136)*(IF(M136="",L136,IFERROR(IF(INDEX(Variablen!$I:$AT, MATCH(M136, Variablen!$A:$A, 0), MATCH((YEAR(D136)+0), Variablen!$I$3:$AT$3, 0))="",L136,INDEX(Variablen!$I:$AT, MATCH(M136, Variablen!$A:$A, 0), MATCH((YEAR(D136)+0), Variablen!$I$3:$AT$3, 0))),L136)))*(IF((YEAR(D136)+0)&lt;YEAR(E136),0,IF((YEAR(D136)+0)&gt;YEAR(E136),1,(12-MONTH(E136)+1)/12))) + (Q136)*(IF((YEAR(D136)+0)&lt;YEAR(E136),0,IF((YEAR(D136)+0)&gt;YEAR(E136),1,(12-MONTH(E136)+1)/12))))-((P136)*(IF((YEAR(D136)+0)&lt;YEAR(E136),0,IF((YEAR(D136)+0)&gt;YEAR(E136),1,(12-MONTH(E136)+1)/12))) + (R136)*(IF((YEAR(D136)+0)&lt;YEAR(E136),0,IF((YEAR(D136)+0)&gt;YEAR(E136),1,(12-MONTH(E136)+1)/12))))-(IF((((K136)*(IF(M136="",L136,IFERROR(IF(INDEX(Variablen!$I:$AT, MATCH(M136, Variablen!$A:$A, 0), MATCH((YEAR(D136)+0), Variablen!$I$3:$AT$3, 0))="",L136,INDEX(Variablen!$I:$AT, MATCH(M136, Variablen!$A:$A, 0), MATCH((YEAR(D136)+0), Variablen!$I$3:$AT$3, 0))),L136)))*(IF((YEAR(D136)+0)&lt;YEAR(E136),0,IF((YEAR(D136)+0)&gt;YEAR(E136),1,(12-MONTH(E136)+1)/12))) + (Q136)*(IF((YEAR(D136)+0)&lt;YEAR(E136),0,IF((YEAR(D136)+0)&gt;YEAR(E136),1,(12-MONTH(E136)+1)/12))))-((P136)*(IF((YEAR(D136)+0)&lt;YEAR(E136),0,IF((YEAR(D136)+0)&gt;YEAR(E136),1,(12-MONTH(E136)+1)/12))) + (R136)*(IF((YEAR(D136)+0)&lt;YEAR(E136),0,IF((YEAR(D136)+0)&gt;YEAR(E136),1,(12-MONTH(E136)+1)/12))))-(IF(OR(N136="",N136&lt;=0),0,(O136/N136)*(IF(OR(N136="",N136&lt;=0),0,IF((YEAR(D136)+0)&lt;YEAR(E136),0,IF((YEAR(D136)+0)&gt;=YEAR(E136)+N136,0,IF((YEAR(D136)+0)=YEAR(E136),(12-MONTH(E136)+1)/12,1))))))))&gt;0,(((K136)*(IF(M136="",L136,IFERROR(IF(INDEX(Variablen!$I:$AT, MATCH(M136, Variablen!$A:$A, 0), MATCH((YEAR(D136)+0), Variablen!$I$3:$AT$3, 0))="",L136,INDEX(Variablen!$I:$AT, MATCH(M136, Variablen!$A:$A, 0), MATCH((YEAR(D136)+0), Variablen!$I$3:$AT$3, 0))),L136)))*(IF((YEAR(D136)+0)&lt;YEAR(E136),0,IF((YEAR(D136)+0)&gt;YEAR(E136),1,(12-MONTH(E136)+1)/12))) + (Q136)*(IF((YEAR(D136)+0)&lt;YEAR(E136),0,IF((YEAR(D136)+0)&gt;YEAR(E136),1,(12-MONTH(E136)+1)/12))))-((P136)*(IF((YEAR(D136)+0)&lt;YEAR(E136),0,IF((YEAR(D136)+0)&gt;YEAR(E136),1,(12-MONTH(E136)+1)/12))) + (R136)*(IF((YEAR(D136)+0)&lt;YEAR(E136),0,IF((YEAR(D136)+0)&gt;YEAR(E136),1,(12-MONTH(E136)+1)/12))))-(IF(OR(N136="",N136&lt;=0),0,(O136/N136)*(IF(OR(N136="",N136&lt;=0),0,IF((YEAR(D136)+0)&lt;YEAR(E136),0,IF((YEAR(D136)+0)&gt;=YEAR(E136)+N136,0,IF((YEAR(D136)+0)=YEAR(E136),(12-MONTH(E136)+1)/12,1))))))))*TaxRate,0))-IF(0=0,O136,0))</f>
        <v/>
      </c>
      <c r="T136" s="29">
        <f>IF(A136="","",((K136)*(IF(M136="",L136,IFERROR(IF(INDEX(Variablen!$I:$AT, MATCH(M136, Variablen!$A:$A, 0), MATCH((YEAR(D136)+1), Variablen!$I$3:$AT$3, 0))="",L136,INDEX(Variablen!$I:$AT, MATCH(M136, Variablen!$A:$A, 0), MATCH((YEAR(D136)+1), Variablen!$I$3:$AT$3, 0))),L136)))*(IF((YEAR(D136)+1)&lt;YEAR(E136),0,IF((YEAR(D136)+1)&gt;YEAR(E136),1,(12-MONTH(E136)+1)/12))) + (Q136)*(IF((YEAR(D136)+1)&lt;YEAR(E136),0,IF((YEAR(D136)+1)&gt;YEAR(E136),1,(12-MONTH(E136)+1)/12))))-((P136)*(IF((YEAR(D136)+1)&lt;YEAR(E136),0,IF((YEAR(D136)+1)&gt;YEAR(E136),1,(12-MONTH(E136)+1)/12))) + (R136)*(IF((YEAR(D136)+1)&lt;YEAR(E136),0,IF((YEAR(D136)+1)&gt;YEAR(E136),1,(12-MONTH(E136)+1)/12))))-(IF((((K136)*(IF(M136="",L136,IFERROR(IF(INDEX(Variablen!$I:$AT, MATCH(M136, Variablen!$A:$A, 0), MATCH((YEAR(D136)+1), Variablen!$I$3:$AT$3, 0))="",L136,INDEX(Variablen!$I:$AT, MATCH(M136, Variablen!$A:$A, 0), MATCH((YEAR(D136)+1), Variablen!$I$3:$AT$3, 0))),L136)))*(IF((YEAR(D136)+1)&lt;YEAR(E136),0,IF((YEAR(D136)+1)&gt;YEAR(E136),1,(12-MONTH(E136)+1)/12))) + (Q136)*(IF((YEAR(D136)+1)&lt;YEAR(E136),0,IF((YEAR(D136)+1)&gt;YEAR(E136),1,(12-MONTH(E136)+1)/12))))-((P136)*(IF((YEAR(D136)+1)&lt;YEAR(E136),0,IF((YEAR(D136)+1)&gt;YEAR(E136),1,(12-MONTH(E136)+1)/12))) + (R136)*(IF((YEAR(D136)+1)&lt;YEAR(E136),0,IF((YEAR(D136)+1)&gt;YEAR(E136),1,(12-MONTH(E136)+1)/12))))-(IF(OR(N136="",N136&lt;=0),0,(O136/N136)*(IF(OR(N136="",N136&lt;=0),0,IF((YEAR(D136)+1)&lt;YEAR(E136),0,IF((YEAR(D136)+1)&gt;=YEAR(E136)+N136,0,IF((YEAR(D136)+1)=YEAR(E136),(12-MONTH(E136)+1)/12,1))))))))&gt;0,(((K136)*(IF(M136="",L136,IFERROR(IF(INDEX(Variablen!$I:$AT, MATCH(M136, Variablen!$A:$A, 0), MATCH((YEAR(D136)+1), Variablen!$I$3:$AT$3, 0))="",L136,INDEX(Variablen!$I:$AT, MATCH(M136, Variablen!$A:$A, 0), MATCH((YEAR(D136)+1), Variablen!$I$3:$AT$3, 0))),L136)))*(IF((YEAR(D136)+1)&lt;YEAR(E136),0,IF((YEAR(D136)+1)&gt;YEAR(E136),1,(12-MONTH(E136)+1)/12))) + (Q136)*(IF((YEAR(D136)+1)&lt;YEAR(E136),0,IF((YEAR(D136)+1)&gt;YEAR(E136),1,(12-MONTH(E136)+1)/12))))-((P136)*(IF((YEAR(D136)+1)&lt;YEAR(E136),0,IF((YEAR(D136)+1)&gt;YEAR(E136),1,(12-MONTH(E136)+1)/12))) + (R136)*(IF((YEAR(D136)+1)&lt;YEAR(E136),0,IF((YEAR(D136)+1)&gt;YEAR(E136),1,(12-MONTH(E136)+1)/12))))-(IF(OR(N136="",N136&lt;=0),0,(O136/N136)*(IF(OR(N136="",N136&lt;=0),0,IF((YEAR(D136)+1)&lt;YEAR(E136),0,IF((YEAR(D136)+1)&gt;=YEAR(E136)+N136,0,IF((YEAR(D136)+1)=YEAR(E136),(12-MONTH(E136)+1)/12,1))))))))*TaxRate,0))-IF(1=0,O136,0))</f>
        <v/>
      </c>
      <c r="U136" s="29">
        <f>IF(A136="","",((K136)*(IF(M136="",L136,IFERROR(IF(INDEX(Variablen!$I:$AT, MATCH(M136, Variablen!$A:$A, 0), MATCH((YEAR(D136)+2), Variablen!$I$3:$AT$3, 0))="",L136,INDEX(Variablen!$I:$AT, MATCH(M136, Variablen!$A:$A, 0), MATCH((YEAR(D136)+2), Variablen!$I$3:$AT$3, 0))),L136)))*(IF((YEAR(D136)+2)&lt;YEAR(E136),0,IF((YEAR(D136)+2)&gt;YEAR(E136),1,(12-MONTH(E136)+1)/12))) + (Q136)*(IF((YEAR(D136)+2)&lt;YEAR(E136),0,IF((YEAR(D136)+2)&gt;YEAR(E136),1,(12-MONTH(E136)+1)/12))))-((P136)*(IF((YEAR(D136)+2)&lt;YEAR(E136),0,IF((YEAR(D136)+2)&gt;YEAR(E136),1,(12-MONTH(E136)+1)/12))) + (R136)*(IF((YEAR(D136)+2)&lt;YEAR(E136),0,IF((YEAR(D136)+2)&gt;YEAR(E136),1,(12-MONTH(E136)+1)/12))))-(IF((((K136)*(IF(M136="",L136,IFERROR(IF(INDEX(Variablen!$I:$AT, MATCH(M136, Variablen!$A:$A, 0), MATCH((YEAR(D136)+2), Variablen!$I$3:$AT$3, 0))="",L136,INDEX(Variablen!$I:$AT, MATCH(M136, Variablen!$A:$A, 0), MATCH((YEAR(D136)+2), Variablen!$I$3:$AT$3, 0))),L136)))*(IF((YEAR(D136)+2)&lt;YEAR(E136),0,IF((YEAR(D136)+2)&gt;YEAR(E136),1,(12-MONTH(E136)+1)/12))) + (Q136)*(IF((YEAR(D136)+2)&lt;YEAR(E136),0,IF((YEAR(D136)+2)&gt;YEAR(E136),1,(12-MONTH(E136)+1)/12))))-((P136)*(IF((YEAR(D136)+2)&lt;YEAR(E136),0,IF((YEAR(D136)+2)&gt;YEAR(E136),1,(12-MONTH(E136)+1)/12))) + (R136)*(IF((YEAR(D136)+2)&lt;YEAR(E136),0,IF((YEAR(D136)+2)&gt;YEAR(E136),1,(12-MONTH(E136)+1)/12))))-(IF(OR(N136="",N136&lt;=0),0,(O136/N136)*(IF(OR(N136="",N136&lt;=0),0,IF((YEAR(D136)+2)&lt;YEAR(E136),0,IF((YEAR(D136)+2)&gt;=YEAR(E136)+N136,0,IF((YEAR(D136)+2)=YEAR(E136),(12-MONTH(E136)+1)/12,1))))))))&gt;0,(((K136)*(IF(M136="",L136,IFERROR(IF(INDEX(Variablen!$I:$AT, MATCH(M136, Variablen!$A:$A, 0), MATCH((YEAR(D136)+2), Variablen!$I$3:$AT$3, 0))="",L136,INDEX(Variablen!$I:$AT, MATCH(M136, Variablen!$A:$A, 0), MATCH((YEAR(D136)+2), Variablen!$I$3:$AT$3, 0))),L136)))*(IF((YEAR(D136)+2)&lt;YEAR(E136),0,IF((YEAR(D136)+2)&gt;YEAR(E136),1,(12-MONTH(E136)+1)/12))) + (Q136)*(IF((YEAR(D136)+2)&lt;YEAR(E136),0,IF((YEAR(D136)+2)&gt;YEAR(E136),1,(12-MONTH(E136)+1)/12))))-((P136)*(IF((YEAR(D136)+2)&lt;YEAR(E136),0,IF((YEAR(D136)+2)&gt;YEAR(E136),1,(12-MONTH(E136)+1)/12))) + (R136)*(IF((YEAR(D136)+2)&lt;YEAR(E136),0,IF((YEAR(D136)+2)&gt;YEAR(E136),1,(12-MONTH(E136)+1)/12))))-(IF(OR(N136="",N136&lt;=0),0,(O136/N136)*(IF(OR(N136="",N136&lt;=0),0,IF((YEAR(D136)+2)&lt;YEAR(E136),0,IF((YEAR(D136)+2)&gt;=YEAR(E136)+N136,0,IF((YEAR(D136)+2)=YEAR(E136),(12-MONTH(E136)+1)/12,1))))))))*TaxRate,0))-IF(2=0,O136,0))</f>
        <v/>
      </c>
      <c r="V136" s="29">
        <f>IF(A136="","",((K136)*(IF(M136="",L136,IFERROR(IF(INDEX(Variablen!$I:$AT, MATCH(M136, Variablen!$A:$A, 0), MATCH((YEAR(D136)+3), Variablen!$I$3:$AT$3, 0))="",L136,INDEX(Variablen!$I:$AT, MATCH(M136, Variablen!$A:$A, 0), MATCH((YEAR(D136)+3), Variablen!$I$3:$AT$3, 0))),L136)))*(IF((YEAR(D136)+3)&lt;YEAR(E136),0,IF((YEAR(D136)+3)&gt;YEAR(E136),1,(12-MONTH(E136)+1)/12))) + (Q136)*(IF((YEAR(D136)+3)&lt;YEAR(E136),0,IF((YEAR(D136)+3)&gt;YEAR(E136),1,(12-MONTH(E136)+1)/12))))-((P136)*(IF((YEAR(D136)+3)&lt;YEAR(E136),0,IF((YEAR(D136)+3)&gt;YEAR(E136),1,(12-MONTH(E136)+1)/12))) + (R136)*(IF((YEAR(D136)+3)&lt;YEAR(E136),0,IF((YEAR(D136)+3)&gt;YEAR(E136),1,(12-MONTH(E136)+1)/12))))-(IF((((K136)*(IF(M136="",L136,IFERROR(IF(INDEX(Variablen!$I:$AT, MATCH(M136, Variablen!$A:$A, 0), MATCH((YEAR(D136)+3), Variablen!$I$3:$AT$3, 0))="",L136,INDEX(Variablen!$I:$AT, MATCH(M136, Variablen!$A:$A, 0), MATCH((YEAR(D136)+3), Variablen!$I$3:$AT$3, 0))),L136)))*(IF((YEAR(D136)+3)&lt;YEAR(E136),0,IF((YEAR(D136)+3)&gt;YEAR(E136),1,(12-MONTH(E136)+1)/12))) + (Q136)*(IF((YEAR(D136)+3)&lt;YEAR(E136),0,IF((YEAR(D136)+3)&gt;YEAR(E136),1,(12-MONTH(E136)+1)/12))))-((P136)*(IF((YEAR(D136)+3)&lt;YEAR(E136),0,IF((YEAR(D136)+3)&gt;YEAR(E136),1,(12-MONTH(E136)+1)/12))) + (R136)*(IF((YEAR(D136)+3)&lt;YEAR(E136),0,IF((YEAR(D136)+3)&gt;YEAR(E136),1,(12-MONTH(E136)+1)/12))))-(IF(OR(N136="",N136&lt;=0),0,(O136/N136)*(IF(OR(N136="",N136&lt;=0),0,IF((YEAR(D136)+3)&lt;YEAR(E136),0,IF((YEAR(D136)+3)&gt;=YEAR(E136)+N136,0,IF((YEAR(D136)+3)=YEAR(E136),(12-MONTH(E136)+1)/12,1))))))))&gt;0,(((K136)*(IF(M136="",L136,IFERROR(IF(INDEX(Variablen!$I:$AT, MATCH(M136, Variablen!$A:$A, 0), MATCH((YEAR(D136)+3), Variablen!$I$3:$AT$3, 0))="",L136,INDEX(Variablen!$I:$AT, MATCH(M136, Variablen!$A:$A, 0), MATCH((YEAR(D136)+3), Variablen!$I$3:$AT$3, 0))),L136)))*(IF((YEAR(D136)+3)&lt;YEAR(E136),0,IF((YEAR(D136)+3)&gt;YEAR(E136),1,(12-MONTH(E136)+1)/12))) + (Q136)*(IF((YEAR(D136)+3)&lt;YEAR(E136),0,IF((YEAR(D136)+3)&gt;YEAR(E136),1,(12-MONTH(E136)+1)/12))))-((P136)*(IF((YEAR(D136)+3)&lt;YEAR(E136),0,IF((YEAR(D136)+3)&gt;YEAR(E136),1,(12-MONTH(E136)+1)/12))) + (R136)*(IF((YEAR(D136)+3)&lt;YEAR(E136),0,IF((YEAR(D136)+3)&gt;YEAR(E136),1,(12-MONTH(E136)+1)/12))))-(IF(OR(N136="",N136&lt;=0),0,(O136/N136)*(IF(OR(N136="",N136&lt;=0),0,IF((YEAR(D136)+3)&lt;YEAR(E136),0,IF((YEAR(D136)+3)&gt;=YEAR(E136)+N136,0,IF((YEAR(D136)+3)=YEAR(E136),(12-MONTH(E136)+1)/12,1))))))))*TaxRate,0))-IF(3=0,O136,0))</f>
        <v/>
      </c>
      <c r="W136" s="29">
        <f>IF(A136="","",((K136)*(IF(M136="",L136,IFERROR(IF(INDEX(Variablen!$I:$AT, MATCH(M136, Variablen!$A:$A, 0), MATCH((YEAR(D136)+4), Variablen!$I$3:$AT$3, 0))="",L136,INDEX(Variablen!$I:$AT, MATCH(M136, Variablen!$A:$A, 0), MATCH((YEAR(D136)+4), Variablen!$I$3:$AT$3, 0))),L136)))*(IF((YEAR(D136)+4)&lt;YEAR(E136),0,IF((YEAR(D136)+4)&gt;YEAR(E136),1,(12-MONTH(E136)+1)/12))) + (Q136)*(IF((YEAR(D136)+4)&lt;YEAR(E136),0,IF((YEAR(D136)+4)&gt;YEAR(E136),1,(12-MONTH(E136)+1)/12))))-((P136)*(IF((YEAR(D136)+4)&lt;YEAR(E136),0,IF((YEAR(D136)+4)&gt;YEAR(E136),1,(12-MONTH(E136)+1)/12))) + (R136)*(IF((YEAR(D136)+4)&lt;YEAR(E136),0,IF((YEAR(D136)+4)&gt;YEAR(E136),1,(12-MONTH(E136)+1)/12))))-(IF((((K136)*(IF(M136="",L136,IFERROR(IF(INDEX(Variablen!$I:$AT, MATCH(M136, Variablen!$A:$A, 0), MATCH((YEAR(D136)+4), Variablen!$I$3:$AT$3, 0))="",L136,INDEX(Variablen!$I:$AT, MATCH(M136, Variablen!$A:$A, 0), MATCH((YEAR(D136)+4), Variablen!$I$3:$AT$3, 0))),L136)))*(IF((YEAR(D136)+4)&lt;YEAR(E136),0,IF((YEAR(D136)+4)&gt;YEAR(E136),1,(12-MONTH(E136)+1)/12))) + (Q136)*(IF((YEAR(D136)+4)&lt;YEAR(E136),0,IF((YEAR(D136)+4)&gt;YEAR(E136),1,(12-MONTH(E136)+1)/12))))-((P136)*(IF((YEAR(D136)+4)&lt;YEAR(E136),0,IF((YEAR(D136)+4)&gt;YEAR(E136),1,(12-MONTH(E136)+1)/12))) + (R136)*(IF((YEAR(D136)+4)&lt;YEAR(E136),0,IF((YEAR(D136)+4)&gt;YEAR(E136),1,(12-MONTH(E136)+1)/12))))-(IF(OR(N136="",N136&lt;=0),0,(O136/N136)*(IF(OR(N136="",N136&lt;=0),0,IF((YEAR(D136)+4)&lt;YEAR(E136),0,IF((YEAR(D136)+4)&gt;=YEAR(E136)+N136,0,IF((YEAR(D136)+4)=YEAR(E136),(12-MONTH(E136)+1)/12,1))))))))&gt;0,(((K136)*(IF(M136="",L136,IFERROR(IF(INDEX(Variablen!$I:$AT, MATCH(M136, Variablen!$A:$A, 0), MATCH((YEAR(D136)+4), Variablen!$I$3:$AT$3, 0))="",L136,INDEX(Variablen!$I:$AT, MATCH(M136, Variablen!$A:$A, 0), MATCH((YEAR(D136)+4), Variablen!$I$3:$AT$3, 0))),L136)))*(IF((YEAR(D136)+4)&lt;YEAR(E136),0,IF((YEAR(D136)+4)&gt;YEAR(E136),1,(12-MONTH(E136)+1)/12))) + (Q136)*(IF((YEAR(D136)+4)&lt;YEAR(E136),0,IF((YEAR(D136)+4)&gt;YEAR(E136),1,(12-MONTH(E136)+1)/12))))-((P136)*(IF((YEAR(D136)+4)&lt;YEAR(E136),0,IF((YEAR(D136)+4)&gt;YEAR(E136),1,(12-MONTH(E136)+1)/12))) + (R136)*(IF((YEAR(D136)+4)&lt;YEAR(E136),0,IF((YEAR(D136)+4)&gt;YEAR(E136),1,(12-MONTH(E136)+1)/12))))-(IF(OR(N136="",N136&lt;=0),0,(O136/N136)*(IF(OR(N136="",N136&lt;=0),0,IF((YEAR(D136)+4)&lt;YEAR(E136),0,IF((YEAR(D136)+4)&gt;=YEAR(E136)+N136,0,IF((YEAR(D136)+4)=YEAR(E136),(12-MONTH(E136)+1)/12,1))))))))*TaxRate,0))-IF(4=0,O136,0))</f>
        <v/>
      </c>
      <c r="X136" s="29">
        <f>IF(A136="","",((K136)*(IF(M136="",L136,IFERROR(IF(INDEX(Variablen!$I:$AT, MATCH(M136, Variablen!$A:$A, 0), MATCH((YEAR(D136)+5), Variablen!$I$3:$AT$3, 0))="",L136,INDEX(Variablen!$I:$AT, MATCH(M136, Variablen!$A:$A, 0), MATCH((YEAR(D136)+5), Variablen!$I$3:$AT$3, 0))),L136)))*(IF((YEAR(D136)+5)&lt;YEAR(E136),0,IF((YEAR(D136)+5)&gt;YEAR(E136),1,(12-MONTH(E136)+1)/12))) + (Q136)*(IF((YEAR(D136)+5)&lt;YEAR(E136),0,IF((YEAR(D136)+5)&gt;YEAR(E136),1,(12-MONTH(E136)+1)/12))))-((P136)*(IF((YEAR(D136)+5)&lt;YEAR(E136),0,IF((YEAR(D136)+5)&gt;YEAR(E136),1,(12-MONTH(E136)+1)/12))) + (R136)*(IF((YEAR(D136)+5)&lt;YEAR(E136),0,IF((YEAR(D136)+5)&gt;YEAR(E136),1,(12-MONTH(E136)+1)/12))))-(IF((((K136)*(IF(M136="",L136,IFERROR(IF(INDEX(Variablen!$I:$AT, MATCH(M136, Variablen!$A:$A, 0), MATCH((YEAR(D136)+5), Variablen!$I$3:$AT$3, 0))="",L136,INDEX(Variablen!$I:$AT, MATCH(M136, Variablen!$A:$A, 0), MATCH((YEAR(D136)+5), Variablen!$I$3:$AT$3, 0))),L136)))*(IF((YEAR(D136)+5)&lt;YEAR(E136),0,IF((YEAR(D136)+5)&gt;YEAR(E136),1,(12-MONTH(E136)+1)/12))) + (Q136)*(IF((YEAR(D136)+5)&lt;YEAR(E136),0,IF((YEAR(D136)+5)&gt;YEAR(E136),1,(12-MONTH(E136)+1)/12))))-((P136)*(IF((YEAR(D136)+5)&lt;YEAR(E136),0,IF((YEAR(D136)+5)&gt;YEAR(E136),1,(12-MONTH(E136)+1)/12))) + (R136)*(IF((YEAR(D136)+5)&lt;YEAR(E136),0,IF((YEAR(D136)+5)&gt;YEAR(E136),1,(12-MONTH(E136)+1)/12))))-(IF(OR(N136="",N136&lt;=0),0,(O136/N136)*(IF(OR(N136="",N136&lt;=0),0,IF((YEAR(D136)+5)&lt;YEAR(E136),0,IF((YEAR(D136)+5)&gt;=YEAR(E136)+N136,0,IF((YEAR(D136)+5)=YEAR(E136),(12-MONTH(E136)+1)/12,1))))))))&gt;0,(((K136)*(IF(M136="",L136,IFERROR(IF(INDEX(Variablen!$I:$AT, MATCH(M136, Variablen!$A:$A, 0), MATCH((YEAR(D136)+5), Variablen!$I$3:$AT$3, 0))="",L136,INDEX(Variablen!$I:$AT, MATCH(M136, Variablen!$A:$A, 0), MATCH((YEAR(D136)+5), Variablen!$I$3:$AT$3, 0))),L136)))*(IF((YEAR(D136)+5)&lt;YEAR(E136),0,IF((YEAR(D136)+5)&gt;YEAR(E136),1,(12-MONTH(E136)+1)/12))) + (Q136)*(IF((YEAR(D136)+5)&lt;YEAR(E136),0,IF((YEAR(D136)+5)&gt;YEAR(E136),1,(12-MONTH(E136)+1)/12))))-((P136)*(IF((YEAR(D136)+5)&lt;YEAR(E136),0,IF((YEAR(D136)+5)&gt;YEAR(E136),1,(12-MONTH(E136)+1)/12))) + (R136)*(IF((YEAR(D136)+5)&lt;YEAR(E136),0,IF((YEAR(D136)+5)&gt;YEAR(E136),1,(12-MONTH(E136)+1)/12))))-(IF(OR(N136="",N136&lt;=0),0,(O136/N136)*(IF(OR(N136="",N136&lt;=0),0,IF((YEAR(D136)+5)&lt;YEAR(E136),0,IF((YEAR(D136)+5)&gt;=YEAR(E136)+N136,0,IF((YEAR(D136)+5)=YEAR(E136),(12-MONTH(E136)+1)/12,1))))))))*TaxRate,0))-IF(5=0,O136,0))</f>
        <v/>
      </c>
      <c r="Y136" s="29">
        <f>IF(A136="","",((K136)*(IF(M136="",L136,IFERROR(IF(INDEX(Variablen!$I:$AT, MATCH(M136, Variablen!$A:$A, 0), MATCH((YEAR(D136)+6), Variablen!$I$3:$AT$3, 0))="",L136,INDEX(Variablen!$I:$AT, MATCH(M136, Variablen!$A:$A, 0), MATCH((YEAR(D136)+6), Variablen!$I$3:$AT$3, 0))),L136)))*(IF((YEAR(D136)+6)&lt;YEAR(E136),0,IF((YEAR(D136)+6)&gt;YEAR(E136),1,(12-MONTH(E136)+1)/12))) + (Q136)*(IF((YEAR(D136)+6)&lt;YEAR(E136),0,IF((YEAR(D136)+6)&gt;YEAR(E136),1,(12-MONTH(E136)+1)/12))))-((P136)*(IF((YEAR(D136)+6)&lt;YEAR(E136),0,IF((YEAR(D136)+6)&gt;YEAR(E136),1,(12-MONTH(E136)+1)/12))) + (R136)*(IF((YEAR(D136)+6)&lt;YEAR(E136),0,IF((YEAR(D136)+6)&gt;YEAR(E136),1,(12-MONTH(E136)+1)/12))))-(IF((((K136)*(IF(M136="",L136,IFERROR(IF(INDEX(Variablen!$I:$AT, MATCH(M136, Variablen!$A:$A, 0), MATCH((YEAR(D136)+6), Variablen!$I$3:$AT$3, 0))="",L136,INDEX(Variablen!$I:$AT, MATCH(M136, Variablen!$A:$A, 0), MATCH((YEAR(D136)+6), Variablen!$I$3:$AT$3, 0))),L136)))*(IF((YEAR(D136)+6)&lt;YEAR(E136),0,IF((YEAR(D136)+6)&gt;YEAR(E136),1,(12-MONTH(E136)+1)/12))) + (Q136)*(IF((YEAR(D136)+6)&lt;YEAR(E136),0,IF((YEAR(D136)+6)&gt;YEAR(E136),1,(12-MONTH(E136)+1)/12))))-((P136)*(IF((YEAR(D136)+6)&lt;YEAR(E136),0,IF((YEAR(D136)+6)&gt;YEAR(E136),1,(12-MONTH(E136)+1)/12))) + (R136)*(IF((YEAR(D136)+6)&lt;YEAR(E136),0,IF((YEAR(D136)+6)&gt;YEAR(E136),1,(12-MONTH(E136)+1)/12))))-(IF(OR(N136="",N136&lt;=0),0,(O136/N136)*(IF(OR(N136="",N136&lt;=0),0,IF((YEAR(D136)+6)&lt;YEAR(E136),0,IF((YEAR(D136)+6)&gt;=YEAR(E136)+N136,0,IF((YEAR(D136)+6)=YEAR(E136),(12-MONTH(E136)+1)/12,1))))))))&gt;0,(((K136)*(IF(M136="",L136,IFERROR(IF(INDEX(Variablen!$I:$AT, MATCH(M136, Variablen!$A:$A, 0), MATCH((YEAR(D136)+6), Variablen!$I$3:$AT$3, 0))="",L136,INDEX(Variablen!$I:$AT, MATCH(M136, Variablen!$A:$A, 0), MATCH((YEAR(D136)+6), Variablen!$I$3:$AT$3, 0))),L136)))*(IF((YEAR(D136)+6)&lt;YEAR(E136),0,IF((YEAR(D136)+6)&gt;YEAR(E136),1,(12-MONTH(E136)+1)/12))) + (Q136)*(IF((YEAR(D136)+6)&lt;YEAR(E136),0,IF((YEAR(D136)+6)&gt;YEAR(E136),1,(12-MONTH(E136)+1)/12))))-((P136)*(IF((YEAR(D136)+6)&lt;YEAR(E136),0,IF((YEAR(D136)+6)&gt;YEAR(E136),1,(12-MONTH(E136)+1)/12))) + (R136)*(IF((YEAR(D136)+6)&lt;YEAR(E136),0,IF((YEAR(D136)+6)&gt;YEAR(E136),1,(12-MONTH(E136)+1)/12))))-(IF(OR(N136="",N136&lt;=0),0,(O136/N136)*(IF(OR(N136="",N136&lt;=0),0,IF((YEAR(D136)+6)&lt;YEAR(E136),0,IF((YEAR(D136)+6)&gt;=YEAR(E136)+N136,0,IF((YEAR(D136)+6)=YEAR(E136),(12-MONTH(E136)+1)/12,1))))))))*TaxRate,0))-IF(6=0,O136,0))</f>
        <v/>
      </c>
      <c r="Z136" s="29">
        <f>IF(A136="","",((K136)*(IF(M136="",L136,IFERROR(IF(INDEX(Variablen!$I:$AT, MATCH(M136, Variablen!$A:$A, 0), MATCH((YEAR(D136)+7), Variablen!$I$3:$AT$3, 0))="",L136,INDEX(Variablen!$I:$AT, MATCH(M136, Variablen!$A:$A, 0), MATCH((YEAR(D136)+7), Variablen!$I$3:$AT$3, 0))),L136)))*(IF((YEAR(D136)+7)&lt;YEAR(E136),0,IF((YEAR(D136)+7)&gt;YEAR(E136),1,(12-MONTH(E136)+1)/12))) + (Q136)*(IF((YEAR(D136)+7)&lt;YEAR(E136),0,IF((YEAR(D136)+7)&gt;YEAR(E136),1,(12-MONTH(E136)+1)/12))))-((P136)*(IF((YEAR(D136)+7)&lt;YEAR(E136),0,IF((YEAR(D136)+7)&gt;YEAR(E136),1,(12-MONTH(E136)+1)/12))) + (R136)*(IF((YEAR(D136)+7)&lt;YEAR(E136),0,IF((YEAR(D136)+7)&gt;YEAR(E136),1,(12-MONTH(E136)+1)/12))))-(IF((((K136)*(IF(M136="",L136,IFERROR(IF(INDEX(Variablen!$I:$AT, MATCH(M136, Variablen!$A:$A, 0), MATCH((YEAR(D136)+7), Variablen!$I$3:$AT$3, 0))="",L136,INDEX(Variablen!$I:$AT, MATCH(M136, Variablen!$A:$A, 0), MATCH((YEAR(D136)+7), Variablen!$I$3:$AT$3, 0))),L136)))*(IF((YEAR(D136)+7)&lt;YEAR(E136),0,IF((YEAR(D136)+7)&gt;YEAR(E136),1,(12-MONTH(E136)+1)/12))) + (Q136)*(IF((YEAR(D136)+7)&lt;YEAR(E136),0,IF((YEAR(D136)+7)&gt;YEAR(E136),1,(12-MONTH(E136)+1)/12))))-((P136)*(IF((YEAR(D136)+7)&lt;YEAR(E136),0,IF((YEAR(D136)+7)&gt;YEAR(E136),1,(12-MONTH(E136)+1)/12))) + (R136)*(IF((YEAR(D136)+7)&lt;YEAR(E136),0,IF((YEAR(D136)+7)&gt;YEAR(E136),1,(12-MONTH(E136)+1)/12))))-(IF(OR(N136="",N136&lt;=0),0,(O136/N136)*(IF(OR(N136="",N136&lt;=0),0,IF((YEAR(D136)+7)&lt;YEAR(E136),0,IF((YEAR(D136)+7)&gt;=YEAR(E136)+N136,0,IF((YEAR(D136)+7)=YEAR(E136),(12-MONTH(E136)+1)/12,1))))))))&gt;0,(((K136)*(IF(M136="",L136,IFERROR(IF(INDEX(Variablen!$I:$AT, MATCH(M136, Variablen!$A:$A, 0), MATCH((YEAR(D136)+7), Variablen!$I$3:$AT$3, 0))="",L136,INDEX(Variablen!$I:$AT, MATCH(M136, Variablen!$A:$A, 0), MATCH((YEAR(D136)+7), Variablen!$I$3:$AT$3, 0))),L136)))*(IF((YEAR(D136)+7)&lt;YEAR(E136),0,IF((YEAR(D136)+7)&gt;YEAR(E136),1,(12-MONTH(E136)+1)/12))) + (Q136)*(IF((YEAR(D136)+7)&lt;YEAR(E136),0,IF((YEAR(D136)+7)&gt;YEAR(E136),1,(12-MONTH(E136)+1)/12))))-((P136)*(IF((YEAR(D136)+7)&lt;YEAR(E136),0,IF((YEAR(D136)+7)&gt;YEAR(E136),1,(12-MONTH(E136)+1)/12))) + (R136)*(IF((YEAR(D136)+7)&lt;YEAR(E136),0,IF((YEAR(D136)+7)&gt;YEAR(E136),1,(12-MONTH(E136)+1)/12))))-(IF(OR(N136="",N136&lt;=0),0,(O136/N136)*(IF(OR(N136="",N136&lt;=0),0,IF((YEAR(D136)+7)&lt;YEAR(E136),0,IF((YEAR(D136)+7)&gt;=YEAR(E136)+N136,0,IF((YEAR(D136)+7)=YEAR(E136),(12-MONTH(E136)+1)/12,1))))))))*TaxRate,0))-IF(7=0,O136,0))</f>
        <v/>
      </c>
      <c r="AA136" s="29">
        <f>IF(A136="","",((K136)*(IF(M136="",L136,IFERROR(IF(INDEX(Variablen!$I:$AT, MATCH(M136, Variablen!$A:$A, 0), MATCH((YEAR(D136)+8), Variablen!$I$3:$AT$3, 0))="",L136,INDEX(Variablen!$I:$AT, MATCH(M136, Variablen!$A:$A, 0), MATCH((YEAR(D136)+8), Variablen!$I$3:$AT$3, 0))),L136)))*(IF((YEAR(D136)+8)&lt;YEAR(E136),0,IF((YEAR(D136)+8)&gt;YEAR(E136),1,(12-MONTH(E136)+1)/12))) + (Q136)*(IF((YEAR(D136)+8)&lt;YEAR(E136),0,IF((YEAR(D136)+8)&gt;YEAR(E136),1,(12-MONTH(E136)+1)/12))))-((P136)*(IF((YEAR(D136)+8)&lt;YEAR(E136),0,IF((YEAR(D136)+8)&gt;YEAR(E136),1,(12-MONTH(E136)+1)/12))) + (R136)*(IF((YEAR(D136)+8)&lt;YEAR(E136),0,IF((YEAR(D136)+8)&gt;YEAR(E136),1,(12-MONTH(E136)+1)/12))))-(IF((((K136)*(IF(M136="",L136,IFERROR(IF(INDEX(Variablen!$I:$AT, MATCH(M136, Variablen!$A:$A, 0), MATCH((YEAR(D136)+8), Variablen!$I$3:$AT$3, 0))="",L136,INDEX(Variablen!$I:$AT, MATCH(M136, Variablen!$A:$A, 0), MATCH((YEAR(D136)+8), Variablen!$I$3:$AT$3, 0))),L136)))*(IF((YEAR(D136)+8)&lt;YEAR(E136),0,IF((YEAR(D136)+8)&gt;YEAR(E136),1,(12-MONTH(E136)+1)/12))) + (Q136)*(IF((YEAR(D136)+8)&lt;YEAR(E136),0,IF((YEAR(D136)+8)&gt;YEAR(E136),1,(12-MONTH(E136)+1)/12))))-((P136)*(IF((YEAR(D136)+8)&lt;YEAR(E136),0,IF((YEAR(D136)+8)&gt;YEAR(E136),1,(12-MONTH(E136)+1)/12))) + (R136)*(IF((YEAR(D136)+8)&lt;YEAR(E136),0,IF((YEAR(D136)+8)&gt;YEAR(E136),1,(12-MONTH(E136)+1)/12))))-(IF(OR(N136="",N136&lt;=0),0,(O136/N136)*(IF(OR(N136="",N136&lt;=0),0,IF((YEAR(D136)+8)&lt;YEAR(E136),0,IF((YEAR(D136)+8)&gt;=YEAR(E136)+N136,0,IF((YEAR(D136)+8)=YEAR(E136),(12-MONTH(E136)+1)/12,1))))))))&gt;0,(((K136)*(IF(M136="",L136,IFERROR(IF(INDEX(Variablen!$I:$AT, MATCH(M136, Variablen!$A:$A, 0), MATCH((YEAR(D136)+8), Variablen!$I$3:$AT$3, 0))="",L136,INDEX(Variablen!$I:$AT, MATCH(M136, Variablen!$A:$A, 0), MATCH((YEAR(D136)+8), Variablen!$I$3:$AT$3, 0))),L136)))*(IF((YEAR(D136)+8)&lt;YEAR(E136),0,IF((YEAR(D136)+8)&gt;YEAR(E136),1,(12-MONTH(E136)+1)/12))) + (Q136)*(IF((YEAR(D136)+8)&lt;YEAR(E136),0,IF((YEAR(D136)+8)&gt;YEAR(E136),1,(12-MONTH(E136)+1)/12))))-((P136)*(IF((YEAR(D136)+8)&lt;YEAR(E136),0,IF((YEAR(D136)+8)&gt;YEAR(E136),1,(12-MONTH(E136)+1)/12))) + (R136)*(IF((YEAR(D136)+8)&lt;YEAR(E136),0,IF((YEAR(D136)+8)&gt;YEAR(E136),1,(12-MONTH(E136)+1)/12))))-(IF(OR(N136="",N136&lt;=0),0,(O136/N136)*(IF(OR(N136="",N136&lt;=0),0,IF((YEAR(D136)+8)&lt;YEAR(E136),0,IF((YEAR(D136)+8)&gt;=YEAR(E136)+N136,0,IF((YEAR(D136)+8)=YEAR(E136),(12-MONTH(E136)+1)/12,1))))))))*TaxRate,0))-IF(8=0,O136,0))</f>
        <v/>
      </c>
      <c r="AB136" s="29">
        <f>IF(A136="","",((K136)*(IF(M136="",L136,IFERROR(IF(INDEX(Variablen!$I:$AT, MATCH(M136, Variablen!$A:$A, 0), MATCH((YEAR(D136)+9), Variablen!$I$3:$AT$3, 0))="",L136,INDEX(Variablen!$I:$AT, MATCH(M136, Variablen!$A:$A, 0), MATCH((YEAR(D136)+9), Variablen!$I$3:$AT$3, 0))),L136)))*(IF((YEAR(D136)+9)&lt;YEAR(E136),0,IF((YEAR(D136)+9)&gt;YEAR(E136),1,(12-MONTH(E136)+1)/12))) + (Q136)*(IF((YEAR(D136)+9)&lt;YEAR(E136),0,IF((YEAR(D136)+9)&gt;YEAR(E136),1,(12-MONTH(E136)+1)/12))))-((P136)*(IF((YEAR(D136)+9)&lt;YEAR(E136),0,IF((YEAR(D136)+9)&gt;YEAR(E136),1,(12-MONTH(E136)+1)/12))) + (R136)*(IF((YEAR(D136)+9)&lt;YEAR(E136),0,IF((YEAR(D136)+9)&gt;YEAR(E136),1,(12-MONTH(E136)+1)/12))))-(IF((((K136)*(IF(M136="",L136,IFERROR(IF(INDEX(Variablen!$I:$AT, MATCH(M136, Variablen!$A:$A, 0), MATCH((YEAR(D136)+9), Variablen!$I$3:$AT$3, 0))="",L136,INDEX(Variablen!$I:$AT, MATCH(M136, Variablen!$A:$A, 0), MATCH((YEAR(D136)+9), Variablen!$I$3:$AT$3, 0))),L136)))*(IF((YEAR(D136)+9)&lt;YEAR(E136),0,IF((YEAR(D136)+9)&gt;YEAR(E136),1,(12-MONTH(E136)+1)/12))) + (Q136)*(IF((YEAR(D136)+9)&lt;YEAR(E136),0,IF((YEAR(D136)+9)&gt;YEAR(E136),1,(12-MONTH(E136)+1)/12))))-((P136)*(IF((YEAR(D136)+9)&lt;YEAR(E136),0,IF((YEAR(D136)+9)&gt;YEAR(E136),1,(12-MONTH(E136)+1)/12))) + (R136)*(IF((YEAR(D136)+9)&lt;YEAR(E136),0,IF((YEAR(D136)+9)&gt;YEAR(E136),1,(12-MONTH(E136)+1)/12))))-(IF(OR(N136="",N136&lt;=0),0,(O136/N136)*(IF(OR(N136="",N136&lt;=0),0,IF((YEAR(D136)+9)&lt;YEAR(E136),0,IF((YEAR(D136)+9)&gt;=YEAR(E136)+N136,0,IF((YEAR(D136)+9)=YEAR(E136),(12-MONTH(E136)+1)/12,1))))))))&gt;0,(((K136)*(IF(M136="",L136,IFERROR(IF(INDEX(Variablen!$I:$AT, MATCH(M136, Variablen!$A:$A, 0), MATCH((YEAR(D136)+9), Variablen!$I$3:$AT$3, 0))="",L136,INDEX(Variablen!$I:$AT, MATCH(M136, Variablen!$A:$A, 0), MATCH((YEAR(D136)+9), Variablen!$I$3:$AT$3, 0))),L136)))*(IF((YEAR(D136)+9)&lt;YEAR(E136),0,IF((YEAR(D136)+9)&gt;YEAR(E136),1,(12-MONTH(E136)+1)/12))) + (Q136)*(IF((YEAR(D136)+9)&lt;YEAR(E136),0,IF((YEAR(D136)+9)&gt;YEAR(E136),1,(12-MONTH(E136)+1)/12))))-((P136)*(IF((YEAR(D136)+9)&lt;YEAR(E136),0,IF((YEAR(D136)+9)&gt;YEAR(E136),1,(12-MONTH(E136)+1)/12))) + (R136)*(IF((YEAR(D136)+9)&lt;YEAR(E136),0,IF((YEAR(D136)+9)&gt;YEAR(E136),1,(12-MONTH(E136)+1)/12))))-(IF(OR(N136="",N136&lt;=0),0,(O136/N136)*(IF(OR(N136="",N136&lt;=0),0,IF((YEAR(D136)+9)&lt;YEAR(E136),0,IF((YEAR(D136)+9)&gt;=YEAR(E136)+N136,0,IF((YEAR(D136)+9)=YEAR(E136),(12-MONTH(E136)+1)/12,1))))))))*TaxRate,0))-IF(9=0,O136,0))</f>
        <v/>
      </c>
      <c r="AC136" s="29">
        <f>IF(A136="","",((K136)*(IF(M136="",L136,IFERROR(IF(INDEX(Variablen!$I:$AT, MATCH(M136, Variablen!$A:$A, 0), MATCH((YEAR(D136)+10), Variablen!$I$3:$AT$3, 0))="",L136,INDEX(Variablen!$I:$AT, MATCH(M136, Variablen!$A:$A, 0), MATCH((YEAR(D136)+10), Variablen!$I$3:$AT$3, 0))),L136)))*(IF((YEAR(D136)+10)&lt;YEAR(E136),0,IF((YEAR(D136)+10)&gt;YEAR(E136),1,(12-MONTH(E136)+1)/12))) + (Q136)*(IF((YEAR(D136)+10)&lt;YEAR(E136),0,IF((YEAR(D136)+10)&gt;YEAR(E136),1,(12-MONTH(E136)+1)/12))))-((P136)*(IF((YEAR(D136)+10)&lt;YEAR(E136),0,IF((YEAR(D136)+10)&gt;YEAR(E136),1,(12-MONTH(E136)+1)/12))) + (R136)*(IF((YEAR(D136)+10)&lt;YEAR(E136),0,IF((YEAR(D136)+10)&gt;YEAR(E136),1,(12-MONTH(E136)+1)/12))))-(IF((((K136)*(IF(M136="",L136,IFERROR(IF(INDEX(Variablen!$I:$AT, MATCH(M136, Variablen!$A:$A, 0), MATCH((YEAR(D136)+10), Variablen!$I$3:$AT$3, 0))="",L136,INDEX(Variablen!$I:$AT, MATCH(M136, Variablen!$A:$A, 0), MATCH((YEAR(D136)+10), Variablen!$I$3:$AT$3, 0))),L136)))*(IF((YEAR(D136)+10)&lt;YEAR(E136),0,IF((YEAR(D136)+10)&gt;YEAR(E136),1,(12-MONTH(E136)+1)/12))) + (Q136)*(IF((YEAR(D136)+10)&lt;YEAR(E136),0,IF((YEAR(D136)+10)&gt;YEAR(E136),1,(12-MONTH(E136)+1)/12))))-((P136)*(IF((YEAR(D136)+10)&lt;YEAR(E136),0,IF((YEAR(D136)+10)&gt;YEAR(E136),1,(12-MONTH(E136)+1)/12))) + (R136)*(IF((YEAR(D136)+10)&lt;YEAR(E136),0,IF((YEAR(D136)+10)&gt;YEAR(E136),1,(12-MONTH(E136)+1)/12))))-(IF(OR(N136="",N136&lt;=0),0,(O136/N136)*(IF(OR(N136="",N136&lt;=0),0,IF((YEAR(D136)+10)&lt;YEAR(E136),0,IF((YEAR(D136)+10)&gt;=YEAR(E136)+N136,0,IF((YEAR(D136)+10)=YEAR(E136),(12-MONTH(E136)+1)/12,1))))))))&gt;0,(((K136)*(IF(M136="",L136,IFERROR(IF(INDEX(Variablen!$I:$AT, MATCH(M136, Variablen!$A:$A, 0), MATCH((YEAR(D136)+10), Variablen!$I$3:$AT$3, 0))="",L136,INDEX(Variablen!$I:$AT, MATCH(M136, Variablen!$A:$A, 0), MATCH((YEAR(D136)+10), Variablen!$I$3:$AT$3, 0))),L136)))*(IF((YEAR(D136)+10)&lt;YEAR(E136),0,IF((YEAR(D136)+10)&gt;YEAR(E136),1,(12-MONTH(E136)+1)/12))) + (Q136)*(IF((YEAR(D136)+10)&lt;YEAR(E136),0,IF((YEAR(D136)+10)&gt;YEAR(E136),1,(12-MONTH(E136)+1)/12))))-((P136)*(IF((YEAR(D136)+10)&lt;YEAR(E136),0,IF((YEAR(D136)+10)&gt;YEAR(E136),1,(12-MONTH(E136)+1)/12))) + (R136)*(IF((YEAR(D136)+10)&lt;YEAR(E136),0,IF((YEAR(D136)+10)&gt;YEAR(E136),1,(12-MONTH(E136)+1)/12))))-(IF(OR(N136="",N136&lt;=0),0,(O136/N136)*(IF(OR(N136="",N136&lt;=0),0,IF((YEAR(D136)+10)&lt;YEAR(E136),0,IF((YEAR(D136)+10)&gt;=YEAR(E136)+N136,0,IF((YEAR(D136)+10)=YEAR(E136),(12-MONTH(E136)+1)/12,1))))))))*TaxRate,0))-IF(10=0,O136,0))</f>
        <v/>
      </c>
      <c r="AD136" s="29">
        <f>IF(A136="","",((K136)*(IF(M136="",L136,IFERROR(IF(INDEX(Variablen!$I:$AT, MATCH(M136, Variablen!$A:$A, 0), MATCH((YEAR(D136)+11), Variablen!$I$3:$AT$3, 0))="",L136,INDEX(Variablen!$I:$AT, MATCH(M136, Variablen!$A:$A, 0), MATCH((YEAR(D136)+11), Variablen!$I$3:$AT$3, 0))),L136)))*(IF((YEAR(D136)+11)&lt;YEAR(E136),0,IF((YEAR(D136)+11)&gt;YEAR(E136),1,(12-MONTH(E136)+1)/12))) + (Q136)*(IF((YEAR(D136)+11)&lt;YEAR(E136),0,IF((YEAR(D136)+11)&gt;YEAR(E136),1,(12-MONTH(E136)+1)/12))))-((P136)*(IF((YEAR(D136)+11)&lt;YEAR(E136),0,IF((YEAR(D136)+11)&gt;YEAR(E136),1,(12-MONTH(E136)+1)/12))) + (R136)*(IF((YEAR(D136)+11)&lt;YEAR(E136),0,IF((YEAR(D136)+11)&gt;YEAR(E136),1,(12-MONTH(E136)+1)/12))))-(IF((((K136)*(IF(M136="",L136,IFERROR(IF(INDEX(Variablen!$I:$AT, MATCH(M136, Variablen!$A:$A, 0), MATCH((YEAR(D136)+11), Variablen!$I$3:$AT$3, 0))="",L136,INDEX(Variablen!$I:$AT, MATCH(M136, Variablen!$A:$A, 0), MATCH((YEAR(D136)+11), Variablen!$I$3:$AT$3, 0))),L136)))*(IF((YEAR(D136)+11)&lt;YEAR(E136),0,IF((YEAR(D136)+11)&gt;YEAR(E136),1,(12-MONTH(E136)+1)/12))) + (Q136)*(IF((YEAR(D136)+11)&lt;YEAR(E136),0,IF((YEAR(D136)+11)&gt;YEAR(E136),1,(12-MONTH(E136)+1)/12))))-((P136)*(IF((YEAR(D136)+11)&lt;YEAR(E136),0,IF((YEAR(D136)+11)&gt;YEAR(E136),1,(12-MONTH(E136)+1)/12))) + (R136)*(IF((YEAR(D136)+11)&lt;YEAR(E136),0,IF((YEAR(D136)+11)&gt;YEAR(E136),1,(12-MONTH(E136)+1)/12))))-(IF(OR(N136="",N136&lt;=0),0,(O136/N136)*(IF(OR(N136="",N136&lt;=0),0,IF((YEAR(D136)+11)&lt;YEAR(E136),0,IF((YEAR(D136)+11)&gt;=YEAR(E136)+N136,0,IF((YEAR(D136)+11)=YEAR(E136),(12-MONTH(E136)+1)/12,1))))))))&gt;0,(((K136)*(IF(M136="",L136,IFERROR(IF(INDEX(Variablen!$I:$AT, MATCH(M136, Variablen!$A:$A, 0), MATCH((YEAR(D136)+11), Variablen!$I$3:$AT$3, 0))="",L136,INDEX(Variablen!$I:$AT, MATCH(M136, Variablen!$A:$A, 0), MATCH((YEAR(D136)+11), Variablen!$I$3:$AT$3, 0))),L136)))*(IF((YEAR(D136)+11)&lt;YEAR(E136),0,IF((YEAR(D136)+11)&gt;YEAR(E136),1,(12-MONTH(E136)+1)/12))) + (Q136)*(IF((YEAR(D136)+11)&lt;YEAR(E136),0,IF((YEAR(D136)+11)&gt;YEAR(E136),1,(12-MONTH(E136)+1)/12))))-((P136)*(IF((YEAR(D136)+11)&lt;YEAR(E136),0,IF((YEAR(D136)+11)&gt;YEAR(E136),1,(12-MONTH(E136)+1)/12))) + (R136)*(IF((YEAR(D136)+11)&lt;YEAR(E136),0,IF((YEAR(D136)+11)&gt;YEAR(E136),1,(12-MONTH(E136)+1)/12))))-(IF(OR(N136="",N136&lt;=0),0,(O136/N136)*(IF(OR(N136="",N136&lt;=0),0,IF((YEAR(D136)+11)&lt;YEAR(E136),0,IF((YEAR(D136)+11)&gt;=YEAR(E136)+N136,0,IF((YEAR(D136)+11)=YEAR(E136),(12-MONTH(E136)+1)/12,1))))))))*TaxRate,0))-IF(11=0,O136,0))</f>
        <v/>
      </c>
      <c r="AE136" s="29">
        <f>IF(A136="","",((K136)*(IF(M136="",L136,IFERROR(IF(INDEX(Variablen!$I:$AT, MATCH(M136, Variablen!$A:$A, 0), MATCH((YEAR(D136)+12), Variablen!$I$3:$AT$3, 0))="",L136,INDEX(Variablen!$I:$AT, MATCH(M136, Variablen!$A:$A, 0), MATCH((YEAR(D136)+12), Variablen!$I$3:$AT$3, 0))),L136)))*(IF((YEAR(D136)+12)&lt;YEAR(E136),0,IF((YEAR(D136)+12)&gt;YEAR(E136),1,(12-MONTH(E136)+1)/12))) + (Q136)*(IF((YEAR(D136)+12)&lt;YEAR(E136),0,IF((YEAR(D136)+12)&gt;YEAR(E136),1,(12-MONTH(E136)+1)/12))))-((P136)*(IF((YEAR(D136)+12)&lt;YEAR(E136),0,IF((YEAR(D136)+12)&gt;YEAR(E136),1,(12-MONTH(E136)+1)/12))) + (R136)*(IF((YEAR(D136)+12)&lt;YEAR(E136),0,IF((YEAR(D136)+12)&gt;YEAR(E136),1,(12-MONTH(E136)+1)/12))))-(IF((((K136)*(IF(M136="",L136,IFERROR(IF(INDEX(Variablen!$I:$AT, MATCH(M136, Variablen!$A:$A, 0), MATCH((YEAR(D136)+12), Variablen!$I$3:$AT$3, 0))="",L136,INDEX(Variablen!$I:$AT, MATCH(M136, Variablen!$A:$A, 0), MATCH((YEAR(D136)+12), Variablen!$I$3:$AT$3, 0))),L136)))*(IF((YEAR(D136)+12)&lt;YEAR(E136),0,IF((YEAR(D136)+12)&gt;YEAR(E136),1,(12-MONTH(E136)+1)/12))) + (Q136)*(IF((YEAR(D136)+12)&lt;YEAR(E136),0,IF((YEAR(D136)+12)&gt;YEAR(E136),1,(12-MONTH(E136)+1)/12))))-((P136)*(IF((YEAR(D136)+12)&lt;YEAR(E136),0,IF((YEAR(D136)+12)&gt;YEAR(E136),1,(12-MONTH(E136)+1)/12))) + (R136)*(IF((YEAR(D136)+12)&lt;YEAR(E136),0,IF((YEAR(D136)+12)&gt;YEAR(E136),1,(12-MONTH(E136)+1)/12))))-(IF(OR(N136="",N136&lt;=0),0,(O136/N136)*(IF(OR(N136="",N136&lt;=0),0,IF((YEAR(D136)+12)&lt;YEAR(E136),0,IF((YEAR(D136)+12)&gt;=YEAR(E136)+N136,0,IF((YEAR(D136)+12)=YEAR(E136),(12-MONTH(E136)+1)/12,1))))))))&gt;0,(((K136)*(IF(M136="",L136,IFERROR(IF(INDEX(Variablen!$I:$AT, MATCH(M136, Variablen!$A:$A, 0), MATCH((YEAR(D136)+12), Variablen!$I$3:$AT$3, 0))="",L136,INDEX(Variablen!$I:$AT, MATCH(M136, Variablen!$A:$A, 0), MATCH((YEAR(D136)+12), Variablen!$I$3:$AT$3, 0))),L136)))*(IF((YEAR(D136)+12)&lt;YEAR(E136),0,IF((YEAR(D136)+12)&gt;YEAR(E136),1,(12-MONTH(E136)+1)/12))) + (Q136)*(IF((YEAR(D136)+12)&lt;YEAR(E136),0,IF((YEAR(D136)+12)&gt;YEAR(E136),1,(12-MONTH(E136)+1)/12))))-((P136)*(IF((YEAR(D136)+12)&lt;YEAR(E136),0,IF((YEAR(D136)+12)&gt;YEAR(E136),1,(12-MONTH(E136)+1)/12))) + (R136)*(IF((YEAR(D136)+12)&lt;YEAR(E136),0,IF((YEAR(D136)+12)&gt;YEAR(E136),1,(12-MONTH(E136)+1)/12))))-(IF(OR(N136="",N136&lt;=0),0,(O136/N136)*(IF(OR(N136="",N136&lt;=0),0,IF((YEAR(D136)+12)&lt;YEAR(E136),0,IF((YEAR(D136)+12)&gt;=YEAR(E136)+N136,0,IF((YEAR(D136)+12)=YEAR(E136),(12-MONTH(E136)+1)/12,1))))))))*TaxRate,0))-IF(12=0,O136,0))</f>
        <v/>
      </c>
      <c r="AF136" s="29">
        <f>IF(A136="","",((K136)*(IF(M136="",L136,IFERROR(IF(INDEX(Variablen!$I:$AT, MATCH(M136, Variablen!$A:$A, 0), MATCH((YEAR(D136)+13), Variablen!$I$3:$AT$3, 0))="",L136,INDEX(Variablen!$I:$AT, MATCH(M136, Variablen!$A:$A, 0), MATCH((YEAR(D136)+13), Variablen!$I$3:$AT$3, 0))),L136)))*(IF((YEAR(D136)+13)&lt;YEAR(E136),0,IF((YEAR(D136)+13)&gt;YEAR(E136),1,(12-MONTH(E136)+1)/12))) + (Q136)*(IF((YEAR(D136)+13)&lt;YEAR(E136),0,IF((YEAR(D136)+13)&gt;YEAR(E136),1,(12-MONTH(E136)+1)/12))))-((P136)*(IF((YEAR(D136)+13)&lt;YEAR(E136),0,IF((YEAR(D136)+13)&gt;YEAR(E136),1,(12-MONTH(E136)+1)/12))) + (R136)*(IF((YEAR(D136)+13)&lt;YEAR(E136),0,IF((YEAR(D136)+13)&gt;YEAR(E136),1,(12-MONTH(E136)+1)/12))))-(IF((((K136)*(IF(M136="",L136,IFERROR(IF(INDEX(Variablen!$I:$AT, MATCH(M136, Variablen!$A:$A, 0), MATCH((YEAR(D136)+13), Variablen!$I$3:$AT$3, 0))="",L136,INDEX(Variablen!$I:$AT, MATCH(M136, Variablen!$A:$A, 0), MATCH((YEAR(D136)+13), Variablen!$I$3:$AT$3, 0))),L136)))*(IF((YEAR(D136)+13)&lt;YEAR(E136),0,IF((YEAR(D136)+13)&gt;YEAR(E136),1,(12-MONTH(E136)+1)/12))) + (Q136)*(IF((YEAR(D136)+13)&lt;YEAR(E136),0,IF((YEAR(D136)+13)&gt;YEAR(E136),1,(12-MONTH(E136)+1)/12))))-((P136)*(IF((YEAR(D136)+13)&lt;YEAR(E136),0,IF((YEAR(D136)+13)&gt;YEAR(E136),1,(12-MONTH(E136)+1)/12))) + (R136)*(IF((YEAR(D136)+13)&lt;YEAR(E136),0,IF((YEAR(D136)+13)&gt;YEAR(E136),1,(12-MONTH(E136)+1)/12))))-(IF(OR(N136="",N136&lt;=0),0,(O136/N136)*(IF(OR(N136="",N136&lt;=0),0,IF((YEAR(D136)+13)&lt;YEAR(E136),0,IF((YEAR(D136)+13)&gt;=YEAR(E136)+N136,0,IF((YEAR(D136)+13)=YEAR(E136),(12-MONTH(E136)+1)/12,1))))))))&gt;0,(((K136)*(IF(M136="",L136,IFERROR(IF(INDEX(Variablen!$I:$AT, MATCH(M136, Variablen!$A:$A, 0), MATCH((YEAR(D136)+13), Variablen!$I$3:$AT$3, 0))="",L136,INDEX(Variablen!$I:$AT, MATCH(M136, Variablen!$A:$A, 0), MATCH((YEAR(D136)+13), Variablen!$I$3:$AT$3, 0))),L136)))*(IF((YEAR(D136)+13)&lt;YEAR(E136),0,IF((YEAR(D136)+13)&gt;YEAR(E136),1,(12-MONTH(E136)+1)/12))) + (Q136)*(IF((YEAR(D136)+13)&lt;YEAR(E136),0,IF((YEAR(D136)+13)&gt;YEAR(E136),1,(12-MONTH(E136)+1)/12))))-((P136)*(IF((YEAR(D136)+13)&lt;YEAR(E136),0,IF((YEAR(D136)+13)&gt;YEAR(E136),1,(12-MONTH(E136)+1)/12))) + (R136)*(IF((YEAR(D136)+13)&lt;YEAR(E136),0,IF((YEAR(D136)+13)&gt;YEAR(E136),1,(12-MONTH(E136)+1)/12))))-(IF(OR(N136="",N136&lt;=0),0,(O136/N136)*(IF(OR(N136="",N136&lt;=0),0,IF((YEAR(D136)+13)&lt;YEAR(E136),0,IF((YEAR(D136)+13)&gt;=YEAR(E136)+N136,0,IF((YEAR(D136)+13)=YEAR(E136),(12-MONTH(E136)+1)/12,1))))))))*TaxRate,0))-IF(13=0,O136,0))</f>
        <v/>
      </c>
      <c r="AG136" s="29">
        <f>IF(A136="","",((K136)*(IF(M136="",L136,IFERROR(IF(INDEX(Variablen!$I:$AT, MATCH(M136, Variablen!$A:$A, 0), MATCH((YEAR(D136)+14), Variablen!$I$3:$AT$3, 0))="",L136,INDEX(Variablen!$I:$AT, MATCH(M136, Variablen!$A:$A, 0), MATCH((YEAR(D136)+14), Variablen!$I$3:$AT$3, 0))),L136)))*(IF((YEAR(D136)+14)&lt;YEAR(E136),0,IF((YEAR(D136)+14)&gt;YEAR(E136),1,(12-MONTH(E136)+1)/12))) + (Q136)*(IF((YEAR(D136)+14)&lt;YEAR(E136),0,IF((YEAR(D136)+14)&gt;YEAR(E136),1,(12-MONTH(E136)+1)/12))))-((P136)*(IF((YEAR(D136)+14)&lt;YEAR(E136),0,IF((YEAR(D136)+14)&gt;YEAR(E136),1,(12-MONTH(E136)+1)/12))) + (R136)*(IF((YEAR(D136)+14)&lt;YEAR(E136),0,IF((YEAR(D136)+14)&gt;YEAR(E136),1,(12-MONTH(E136)+1)/12))))-(IF((((K136)*(IF(M136="",L136,IFERROR(IF(INDEX(Variablen!$I:$AT, MATCH(M136, Variablen!$A:$A, 0), MATCH((YEAR(D136)+14), Variablen!$I$3:$AT$3, 0))="",L136,INDEX(Variablen!$I:$AT, MATCH(M136, Variablen!$A:$A, 0), MATCH((YEAR(D136)+14), Variablen!$I$3:$AT$3, 0))),L136)))*(IF((YEAR(D136)+14)&lt;YEAR(E136),0,IF((YEAR(D136)+14)&gt;YEAR(E136),1,(12-MONTH(E136)+1)/12))) + (Q136)*(IF((YEAR(D136)+14)&lt;YEAR(E136),0,IF((YEAR(D136)+14)&gt;YEAR(E136),1,(12-MONTH(E136)+1)/12))))-((P136)*(IF((YEAR(D136)+14)&lt;YEAR(E136),0,IF((YEAR(D136)+14)&gt;YEAR(E136),1,(12-MONTH(E136)+1)/12))) + (R136)*(IF((YEAR(D136)+14)&lt;YEAR(E136),0,IF((YEAR(D136)+14)&gt;YEAR(E136),1,(12-MONTH(E136)+1)/12))))-(IF(OR(N136="",N136&lt;=0),0,(O136/N136)*(IF(OR(N136="",N136&lt;=0),0,IF((YEAR(D136)+14)&lt;YEAR(E136),0,IF((YEAR(D136)+14)&gt;=YEAR(E136)+N136,0,IF((YEAR(D136)+14)=YEAR(E136),(12-MONTH(E136)+1)/12,1))))))))&gt;0,(((K136)*(IF(M136="",L136,IFERROR(IF(INDEX(Variablen!$I:$AT, MATCH(M136, Variablen!$A:$A, 0), MATCH((YEAR(D136)+14), Variablen!$I$3:$AT$3, 0))="",L136,INDEX(Variablen!$I:$AT, MATCH(M136, Variablen!$A:$A, 0), MATCH((YEAR(D136)+14), Variablen!$I$3:$AT$3, 0))),L136)))*(IF((YEAR(D136)+14)&lt;YEAR(E136),0,IF((YEAR(D136)+14)&gt;YEAR(E136),1,(12-MONTH(E136)+1)/12))) + (Q136)*(IF((YEAR(D136)+14)&lt;YEAR(E136),0,IF((YEAR(D136)+14)&gt;YEAR(E136),1,(12-MONTH(E136)+1)/12))))-((P136)*(IF((YEAR(D136)+14)&lt;YEAR(E136),0,IF((YEAR(D136)+14)&gt;YEAR(E136),1,(12-MONTH(E136)+1)/12))) + (R136)*(IF((YEAR(D136)+14)&lt;YEAR(E136),0,IF((YEAR(D136)+14)&gt;YEAR(E136),1,(12-MONTH(E136)+1)/12))))-(IF(OR(N136="",N136&lt;=0),0,(O136/N136)*(IF(OR(N136="",N136&lt;=0),0,IF((YEAR(D136)+14)&lt;YEAR(E136),0,IF((YEAR(D136)+14)&gt;=YEAR(E136)+N136,0,IF((YEAR(D136)+14)=YEAR(E136),(12-MONTH(E136)+1)/12,1))))))))*TaxRate,0))-IF(14=0,O136,0))</f>
        <v/>
      </c>
      <c r="AH136" s="29">
        <f>IF(A136="","",((K136)*(IF(M136="",L136,IFERROR(IF(INDEX(Variablen!$I:$AT, MATCH(M136, Variablen!$A:$A, 0), MATCH((YEAR(D136)+15), Variablen!$I$3:$AT$3, 0))="",L136,INDEX(Variablen!$I:$AT, MATCH(M136, Variablen!$A:$A, 0), MATCH((YEAR(D136)+15), Variablen!$I$3:$AT$3, 0))),L136)))*(IF((YEAR(D136)+15)&lt;YEAR(E136),0,IF((YEAR(D136)+15)&gt;YEAR(E136),1,(12-MONTH(E136)+1)/12))) + (Q136)*(IF((YEAR(D136)+15)&lt;YEAR(E136),0,IF((YEAR(D136)+15)&gt;YEAR(E136),1,(12-MONTH(E136)+1)/12))))-((P136)*(IF((YEAR(D136)+15)&lt;YEAR(E136),0,IF((YEAR(D136)+15)&gt;YEAR(E136),1,(12-MONTH(E136)+1)/12))) + (R136)*(IF((YEAR(D136)+15)&lt;YEAR(E136),0,IF((YEAR(D136)+15)&gt;YEAR(E136),1,(12-MONTH(E136)+1)/12))))-(IF((((K136)*(IF(M136="",L136,IFERROR(IF(INDEX(Variablen!$I:$AT, MATCH(M136, Variablen!$A:$A, 0), MATCH((YEAR(D136)+15), Variablen!$I$3:$AT$3, 0))="",L136,INDEX(Variablen!$I:$AT, MATCH(M136, Variablen!$A:$A, 0), MATCH((YEAR(D136)+15), Variablen!$I$3:$AT$3, 0))),L136)))*(IF((YEAR(D136)+15)&lt;YEAR(E136),0,IF((YEAR(D136)+15)&gt;YEAR(E136),1,(12-MONTH(E136)+1)/12))) + (Q136)*(IF((YEAR(D136)+15)&lt;YEAR(E136),0,IF((YEAR(D136)+15)&gt;YEAR(E136),1,(12-MONTH(E136)+1)/12))))-((P136)*(IF((YEAR(D136)+15)&lt;YEAR(E136),0,IF((YEAR(D136)+15)&gt;YEAR(E136),1,(12-MONTH(E136)+1)/12))) + (R136)*(IF((YEAR(D136)+15)&lt;YEAR(E136),0,IF((YEAR(D136)+15)&gt;YEAR(E136),1,(12-MONTH(E136)+1)/12))))-(IF(OR(N136="",N136&lt;=0),0,(O136/N136)*(IF(OR(N136="",N136&lt;=0),0,IF((YEAR(D136)+15)&lt;YEAR(E136),0,IF((YEAR(D136)+15)&gt;=YEAR(E136)+N136,0,IF((YEAR(D136)+15)=YEAR(E136),(12-MONTH(E136)+1)/12,1))))))))&gt;0,(((K136)*(IF(M136="",L136,IFERROR(IF(INDEX(Variablen!$I:$AT, MATCH(M136, Variablen!$A:$A, 0), MATCH((YEAR(D136)+15), Variablen!$I$3:$AT$3, 0))="",L136,INDEX(Variablen!$I:$AT, MATCH(M136, Variablen!$A:$A, 0), MATCH((YEAR(D136)+15), Variablen!$I$3:$AT$3, 0))),L136)))*(IF((YEAR(D136)+15)&lt;YEAR(E136),0,IF((YEAR(D136)+15)&gt;YEAR(E136),1,(12-MONTH(E136)+1)/12))) + (Q136)*(IF((YEAR(D136)+15)&lt;YEAR(E136),0,IF((YEAR(D136)+15)&gt;YEAR(E136),1,(12-MONTH(E136)+1)/12))))-((P136)*(IF((YEAR(D136)+15)&lt;YEAR(E136),0,IF((YEAR(D136)+15)&gt;YEAR(E136),1,(12-MONTH(E136)+1)/12))) + (R136)*(IF((YEAR(D136)+15)&lt;YEAR(E136),0,IF((YEAR(D136)+15)&gt;YEAR(E136),1,(12-MONTH(E136)+1)/12))))-(IF(OR(N136="",N136&lt;=0),0,(O136/N136)*(IF(OR(N136="",N136&lt;=0),0,IF((YEAR(D136)+15)&lt;YEAR(E136),0,IF((YEAR(D136)+15)&gt;=YEAR(E136)+N136,0,IF((YEAR(D136)+15)=YEAR(E136),(12-MONTH(E136)+1)/12,1))))))))*TaxRate,0))-IF(15=0,O136,0))</f>
        <v/>
      </c>
      <c r="AI136" s="29">
        <f>IF(A136="","",((K136)*(IF(M136="",L136,IFERROR(IF(INDEX(Variablen!$I:$AT, MATCH(M136, Variablen!$A:$A, 0), MATCH((YEAR(D136)+16), Variablen!$I$3:$AT$3, 0))="",L136,INDEX(Variablen!$I:$AT, MATCH(M136, Variablen!$A:$A, 0), MATCH((YEAR(D136)+16), Variablen!$I$3:$AT$3, 0))),L136)))*(IF((YEAR(D136)+16)&lt;YEAR(E136),0,IF((YEAR(D136)+16)&gt;YEAR(E136),1,(12-MONTH(E136)+1)/12))) + (Q136)*(IF((YEAR(D136)+16)&lt;YEAR(E136),0,IF((YEAR(D136)+16)&gt;YEAR(E136),1,(12-MONTH(E136)+1)/12))))-((P136)*(IF((YEAR(D136)+16)&lt;YEAR(E136),0,IF((YEAR(D136)+16)&gt;YEAR(E136),1,(12-MONTH(E136)+1)/12))) + (R136)*(IF((YEAR(D136)+16)&lt;YEAR(E136),0,IF((YEAR(D136)+16)&gt;YEAR(E136),1,(12-MONTH(E136)+1)/12))))-(IF((((K136)*(IF(M136="",L136,IFERROR(IF(INDEX(Variablen!$I:$AT, MATCH(M136, Variablen!$A:$A, 0), MATCH((YEAR(D136)+16), Variablen!$I$3:$AT$3, 0))="",L136,INDEX(Variablen!$I:$AT, MATCH(M136, Variablen!$A:$A, 0), MATCH((YEAR(D136)+16), Variablen!$I$3:$AT$3, 0))),L136)))*(IF((YEAR(D136)+16)&lt;YEAR(E136),0,IF((YEAR(D136)+16)&gt;YEAR(E136),1,(12-MONTH(E136)+1)/12))) + (Q136)*(IF((YEAR(D136)+16)&lt;YEAR(E136),0,IF((YEAR(D136)+16)&gt;YEAR(E136),1,(12-MONTH(E136)+1)/12))))-((P136)*(IF((YEAR(D136)+16)&lt;YEAR(E136),0,IF((YEAR(D136)+16)&gt;YEAR(E136),1,(12-MONTH(E136)+1)/12))) + (R136)*(IF((YEAR(D136)+16)&lt;YEAR(E136),0,IF((YEAR(D136)+16)&gt;YEAR(E136),1,(12-MONTH(E136)+1)/12))))-(IF(OR(N136="",N136&lt;=0),0,(O136/N136)*(IF(OR(N136="",N136&lt;=0),0,IF((YEAR(D136)+16)&lt;YEAR(E136),0,IF((YEAR(D136)+16)&gt;=YEAR(E136)+N136,0,IF((YEAR(D136)+16)=YEAR(E136),(12-MONTH(E136)+1)/12,1))))))))&gt;0,(((K136)*(IF(M136="",L136,IFERROR(IF(INDEX(Variablen!$I:$AT, MATCH(M136, Variablen!$A:$A, 0), MATCH((YEAR(D136)+16), Variablen!$I$3:$AT$3, 0))="",L136,INDEX(Variablen!$I:$AT, MATCH(M136, Variablen!$A:$A, 0), MATCH((YEAR(D136)+16), Variablen!$I$3:$AT$3, 0))),L136)))*(IF((YEAR(D136)+16)&lt;YEAR(E136),0,IF((YEAR(D136)+16)&gt;YEAR(E136),1,(12-MONTH(E136)+1)/12))) + (Q136)*(IF((YEAR(D136)+16)&lt;YEAR(E136),0,IF((YEAR(D136)+16)&gt;YEAR(E136),1,(12-MONTH(E136)+1)/12))))-((P136)*(IF((YEAR(D136)+16)&lt;YEAR(E136),0,IF((YEAR(D136)+16)&gt;YEAR(E136),1,(12-MONTH(E136)+1)/12))) + (R136)*(IF((YEAR(D136)+16)&lt;YEAR(E136),0,IF((YEAR(D136)+16)&gt;YEAR(E136),1,(12-MONTH(E136)+1)/12))))-(IF(OR(N136="",N136&lt;=0),0,(O136/N136)*(IF(OR(N136="",N136&lt;=0),0,IF((YEAR(D136)+16)&lt;YEAR(E136),0,IF((YEAR(D136)+16)&gt;=YEAR(E136)+N136,0,IF((YEAR(D136)+16)=YEAR(E136),(12-MONTH(E136)+1)/12,1))))))))*TaxRate,0))-IF(16=0,O136,0))</f>
        <v/>
      </c>
      <c r="AJ136" s="29">
        <f>IF(A136="","",((K136)*(IF(M136="",L136,IFERROR(IF(INDEX(Variablen!$I:$AT, MATCH(M136, Variablen!$A:$A, 0), MATCH((YEAR(D136)+17), Variablen!$I$3:$AT$3, 0))="",L136,INDEX(Variablen!$I:$AT, MATCH(M136, Variablen!$A:$A, 0), MATCH((YEAR(D136)+17), Variablen!$I$3:$AT$3, 0))),L136)))*(IF((YEAR(D136)+17)&lt;YEAR(E136),0,IF((YEAR(D136)+17)&gt;YEAR(E136),1,(12-MONTH(E136)+1)/12))) + (Q136)*(IF((YEAR(D136)+17)&lt;YEAR(E136),0,IF((YEAR(D136)+17)&gt;YEAR(E136),1,(12-MONTH(E136)+1)/12))))-((P136)*(IF((YEAR(D136)+17)&lt;YEAR(E136),0,IF((YEAR(D136)+17)&gt;YEAR(E136),1,(12-MONTH(E136)+1)/12))) + (R136)*(IF((YEAR(D136)+17)&lt;YEAR(E136),0,IF((YEAR(D136)+17)&gt;YEAR(E136),1,(12-MONTH(E136)+1)/12))))-(IF((((K136)*(IF(M136="",L136,IFERROR(IF(INDEX(Variablen!$I:$AT, MATCH(M136, Variablen!$A:$A, 0), MATCH((YEAR(D136)+17), Variablen!$I$3:$AT$3, 0))="",L136,INDEX(Variablen!$I:$AT, MATCH(M136, Variablen!$A:$A, 0), MATCH((YEAR(D136)+17), Variablen!$I$3:$AT$3, 0))),L136)))*(IF((YEAR(D136)+17)&lt;YEAR(E136),0,IF((YEAR(D136)+17)&gt;YEAR(E136),1,(12-MONTH(E136)+1)/12))) + (Q136)*(IF((YEAR(D136)+17)&lt;YEAR(E136),0,IF((YEAR(D136)+17)&gt;YEAR(E136),1,(12-MONTH(E136)+1)/12))))-((P136)*(IF((YEAR(D136)+17)&lt;YEAR(E136),0,IF((YEAR(D136)+17)&gt;YEAR(E136),1,(12-MONTH(E136)+1)/12))) + (R136)*(IF((YEAR(D136)+17)&lt;YEAR(E136),0,IF((YEAR(D136)+17)&gt;YEAR(E136),1,(12-MONTH(E136)+1)/12))))-(IF(OR(N136="",N136&lt;=0),0,(O136/N136)*(IF(OR(N136="",N136&lt;=0),0,IF((YEAR(D136)+17)&lt;YEAR(E136),0,IF((YEAR(D136)+17)&gt;=YEAR(E136)+N136,0,IF((YEAR(D136)+17)=YEAR(E136),(12-MONTH(E136)+1)/12,1))))))))&gt;0,(((K136)*(IF(M136="",L136,IFERROR(IF(INDEX(Variablen!$I:$AT, MATCH(M136, Variablen!$A:$A, 0), MATCH((YEAR(D136)+17), Variablen!$I$3:$AT$3, 0))="",L136,INDEX(Variablen!$I:$AT, MATCH(M136, Variablen!$A:$A, 0), MATCH((YEAR(D136)+17), Variablen!$I$3:$AT$3, 0))),L136)))*(IF((YEAR(D136)+17)&lt;YEAR(E136),0,IF((YEAR(D136)+17)&gt;YEAR(E136),1,(12-MONTH(E136)+1)/12))) + (Q136)*(IF((YEAR(D136)+17)&lt;YEAR(E136),0,IF((YEAR(D136)+17)&gt;YEAR(E136),1,(12-MONTH(E136)+1)/12))))-((P136)*(IF((YEAR(D136)+17)&lt;YEAR(E136),0,IF((YEAR(D136)+17)&gt;YEAR(E136),1,(12-MONTH(E136)+1)/12))) + (R136)*(IF((YEAR(D136)+17)&lt;YEAR(E136),0,IF((YEAR(D136)+17)&gt;YEAR(E136),1,(12-MONTH(E136)+1)/12))))-(IF(OR(N136="",N136&lt;=0),0,(O136/N136)*(IF(OR(N136="",N136&lt;=0),0,IF((YEAR(D136)+17)&lt;YEAR(E136),0,IF((YEAR(D136)+17)&gt;=YEAR(E136)+N136,0,IF((YEAR(D136)+17)=YEAR(E136),(12-MONTH(E136)+1)/12,1))))))))*TaxRate,0))-IF(17=0,O136,0))</f>
        <v/>
      </c>
      <c r="AK136" s="29">
        <f>IF(A136="","",((K136)*(IF(M136="",L136,IFERROR(IF(INDEX(Variablen!$I:$AT, MATCH(M136, Variablen!$A:$A, 0), MATCH((YEAR(D136)+18), Variablen!$I$3:$AT$3, 0))="",L136,INDEX(Variablen!$I:$AT, MATCH(M136, Variablen!$A:$A, 0), MATCH((YEAR(D136)+18), Variablen!$I$3:$AT$3, 0))),L136)))*(IF((YEAR(D136)+18)&lt;YEAR(E136),0,IF((YEAR(D136)+18)&gt;YEAR(E136),1,(12-MONTH(E136)+1)/12))) + (Q136)*(IF((YEAR(D136)+18)&lt;YEAR(E136),0,IF((YEAR(D136)+18)&gt;YEAR(E136),1,(12-MONTH(E136)+1)/12))))-((P136)*(IF((YEAR(D136)+18)&lt;YEAR(E136),0,IF((YEAR(D136)+18)&gt;YEAR(E136),1,(12-MONTH(E136)+1)/12))) + (R136)*(IF((YEAR(D136)+18)&lt;YEAR(E136),0,IF((YEAR(D136)+18)&gt;YEAR(E136),1,(12-MONTH(E136)+1)/12))))-(IF((((K136)*(IF(M136="",L136,IFERROR(IF(INDEX(Variablen!$I:$AT, MATCH(M136, Variablen!$A:$A, 0), MATCH((YEAR(D136)+18), Variablen!$I$3:$AT$3, 0))="",L136,INDEX(Variablen!$I:$AT, MATCH(M136, Variablen!$A:$A, 0), MATCH((YEAR(D136)+18), Variablen!$I$3:$AT$3, 0))),L136)))*(IF((YEAR(D136)+18)&lt;YEAR(E136),0,IF((YEAR(D136)+18)&gt;YEAR(E136),1,(12-MONTH(E136)+1)/12))) + (Q136)*(IF((YEAR(D136)+18)&lt;YEAR(E136),0,IF((YEAR(D136)+18)&gt;YEAR(E136),1,(12-MONTH(E136)+1)/12))))-((P136)*(IF((YEAR(D136)+18)&lt;YEAR(E136),0,IF((YEAR(D136)+18)&gt;YEAR(E136),1,(12-MONTH(E136)+1)/12))) + (R136)*(IF((YEAR(D136)+18)&lt;YEAR(E136),0,IF((YEAR(D136)+18)&gt;YEAR(E136),1,(12-MONTH(E136)+1)/12))))-(IF(OR(N136="",N136&lt;=0),0,(O136/N136)*(IF(OR(N136="",N136&lt;=0),0,IF((YEAR(D136)+18)&lt;YEAR(E136),0,IF((YEAR(D136)+18)&gt;=YEAR(E136)+N136,0,IF((YEAR(D136)+18)=YEAR(E136),(12-MONTH(E136)+1)/12,1))))))))&gt;0,(((K136)*(IF(M136="",L136,IFERROR(IF(INDEX(Variablen!$I:$AT, MATCH(M136, Variablen!$A:$A, 0), MATCH((YEAR(D136)+18), Variablen!$I$3:$AT$3, 0))="",L136,INDEX(Variablen!$I:$AT, MATCH(M136, Variablen!$A:$A, 0), MATCH((YEAR(D136)+18), Variablen!$I$3:$AT$3, 0))),L136)))*(IF((YEAR(D136)+18)&lt;YEAR(E136),0,IF((YEAR(D136)+18)&gt;YEAR(E136),1,(12-MONTH(E136)+1)/12))) + (Q136)*(IF((YEAR(D136)+18)&lt;YEAR(E136),0,IF((YEAR(D136)+18)&gt;YEAR(E136),1,(12-MONTH(E136)+1)/12))))-((P136)*(IF((YEAR(D136)+18)&lt;YEAR(E136),0,IF((YEAR(D136)+18)&gt;YEAR(E136),1,(12-MONTH(E136)+1)/12))) + (R136)*(IF((YEAR(D136)+18)&lt;YEAR(E136),0,IF((YEAR(D136)+18)&gt;YEAR(E136),1,(12-MONTH(E136)+1)/12))))-(IF(OR(N136="",N136&lt;=0),0,(O136/N136)*(IF(OR(N136="",N136&lt;=0),0,IF((YEAR(D136)+18)&lt;YEAR(E136),0,IF((YEAR(D136)+18)&gt;=YEAR(E136)+N136,0,IF((YEAR(D136)+18)=YEAR(E136),(12-MONTH(E136)+1)/12,1))))))))*TaxRate,0))-IF(18=0,O136,0))</f>
        <v/>
      </c>
      <c r="AL136" s="29">
        <f>IF(A136="","",((K136)*(IF(M136="",L136,IFERROR(IF(INDEX(Variablen!$I:$AT, MATCH(M136, Variablen!$A:$A, 0), MATCH((YEAR(D136)+19), Variablen!$I$3:$AT$3, 0))="",L136,INDEX(Variablen!$I:$AT, MATCH(M136, Variablen!$A:$A, 0), MATCH((YEAR(D136)+19), Variablen!$I$3:$AT$3, 0))),L136)))*(IF((YEAR(D136)+19)&lt;YEAR(E136),0,IF((YEAR(D136)+19)&gt;YEAR(E136),1,(12-MONTH(E136)+1)/12))) + (Q136)*(IF((YEAR(D136)+19)&lt;YEAR(E136),0,IF((YEAR(D136)+19)&gt;YEAR(E136),1,(12-MONTH(E136)+1)/12))))-((P136)*(IF((YEAR(D136)+19)&lt;YEAR(E136),0,IF((YEAR(D136)+19)&gt;YEAR(E136),1,(12-MONTH(E136)+1)/12))) + (R136)*(IF((YEAR(D136)+19)&lt;YEAR(E136),0,IF((YEAR(D136)+19)&gt;YEAR(E136),1,(12-MONTH(E136)+1)/12))))-(IF((((K136)*(IF(M136="",L136,IFERROR(IF(INDEX(Variablen!$I:$AT, MATCH(M136, Variablen!$A:$A, 0), MATCH((YEAR(D136)+19), Variablen!$I$3:$AT$3, 0))="",L136,INDEX(Variablen!$I:$AT, MATCH(M136, Variablen!$A:$A, 0), MATCH((YEAR(D136)+19), Variablen!$I$3:$AT$3, 0))),L136)))*(IF((YEAR(D136)+19)&lt;YEAR(E136),0,IF((YEAR(D136)+19)&gt;YEAR(E136),1,(12-MONTH(E136)+1)/12))) + (Q136)*(IF((YEAR(D136)+19)&lt;YEAR(E136),0,IF((YEAR(D136)+19)&gt;YEAR(E136),1,(12-MONTH(E136)+1)/12))))-((P136)*(IF((YEAR(D136)+19)&lt;YEAR(E136),0,IF((YEAR(D136)+19)&gt;YEAR(E136),1,(12-MONTH(E136)+1)/12))) + (R136)*(IF((YEAR(D136)+19)&lt;YEAR(E136),0,IF((YEAR(D136)+19)&gt;YEAR(E136),1,(12-MONTH(E136)+1)/12))))-(IF(OR(N136="",N136&lt;=0),0,(O136/N136)*(IF(OR(N136="",N136&lt;=0),0,IF((YEAR(D136)+19)&lt;YEAR(E136),0,IF((YEAR(D136)+19)&gt;=YEAR(E136)+N136,0,IF((YEAR(D136)+19)=YEAR(E136),(12-MONTH(E136)+1)/12,1))))))))&gt;0,(((K136)*(IF(M136="",L136,IFERROR(IF(INDEX(Variablen!$I:$AT, MATCH(M136, Variablen!$A:$A, 0), MATCH((YEAR(D136)+19), Variablen!$I$3:$AT$3, 0))="",L136,INDEX(Variablen!$I:$AT, MATCH(M136, Variablen!$A:$A, 0), MATCH((YEAR(D136)+19), Variablen!$I$3:$AT$3, 0))),L136)))*(IF((YEAR(D136)+19)&lt;YEAR(E136),0,IF((YEAR(D136)+19)&gt;YEAR(E136),1,(12-MONTH(E136)+1)/12))) + (Q136)*(IF((YEAR(D136)+19)&lt;YEAR(E136),0,IF((YEAR(D136)+19)&gt;YEAR(E136),1,(12-MONTH(E136)+1)/12))))-((P136)*(IF((YEAR(D136)+19)&lt;YEAR(E136),0,IF((YEAR(D136)+19)&gt;YEAR(E136),1,(12-MONTH(E136)+1)/12))) + (R136)*(IF((YEAR(D136)+19)&lt;YEAR(E136),0,IF((YEAR(D136)+19)&gt;YEAR(E136),1,(12-MONTH(E136)+1)/12))))-(IF(OR(N136="",N136&lt;=0),0,(O136/N136)*(IF(OR(N136="",N136&lt;=0),0,IF((YEAR(D136)+19)&lt;YEAR(E136),0,IF((YEAR(D136)+19)&gt;=YEAR(E136)+N136,0,IF((YEAR(D136)+19)=YEAR(E136),(12-MONTH(E136)+1)/12,1))))))))*TaxRate,0))-IF(19=0,O136,0))</f>
        <v/>
      </c>
      <c r="AM136" s="29">
        <f>IF(A136="","",((K136)*(IF(M136="",L136,IFERROR(IF(INDEX(Variablen!$I:$AT, MATCH(M136, Variablen!$A:$A, 0), MATCH((YEAR(D136)+20), Variablen!$I$3:$AT$3, 0))="",L136,INDEX(Variablen!$I:$AT, MATCH(M136, Variablen!$A:$A, 0), MATCH((YEAR(D136)+20), Variablen!$I$3:$AT$3, 0))),L136)))*(IF((YEAR(D136)+20)&lt;YEAR(E136),0,IF((YEAR(D136)+20)&gt;YEAR(E136),1,(12-MONTH(E136)+1)/12))) + (Q136)*(IF((YEAR(D136)+20)&lt;YEAR(E136),0,IF((YEAR(D136)+20)&gt;YEAR(E136),1,(12-MONTH(E136)+1)/12))))-((P136)*(IF((YEAR(D136)+20)&lt;YEAR(E136),0,IF((YEAR(D136)+20)&gt;YEAR(E136),1,(12-MONTH(E136)+1)/12))) + (R136)*(IF((YEAR(D136)+20)&lt;YEAR(E136),0,IF((YEAR(D136)+20)&gt;YEAR(E136),1,(12-MONTH(E136)+1)/12))))-(IF((((K136)*(IF(M136="",L136,IFERROR(IF(INDEX(Variablen!$I:$AT, MATCH(M136, Variablen!$A:$A, 0), MATCH((YEAR(D136)+20), Variablen!$I$3:$AT$3, 0))="",L136,INDEX(Variablen!$I:$AT, MATCH(M136, Variablen!$A:$A, 0), MATCH((YEAR(D136)+20), Variablen!$I$3:$AT$3, 0))),L136)))*(IF((YEAR(D136)+20)&lt;YEAR(E136),0,IF((YEAR(D136)+20)&gt;YEAR(E136),1,(12-MONTH(E136)+1)/12))) + (Q136)*(IF((YEAR(D136)+20)&lt;YEAR(E136),0,IF((YEAR(D136)+20)&gt;YEAR(E136),1,(12-MONTH(E136)+1)/12))))-((P136)*(IF((YEAR(D136)+20)&lt;YEAR(E136),0,IF((YEAR(D136)+20)&gt;YEAR(E136),1,(12-MONTH(E136)+1)/12))) + (R136)*(IF((YEAR(D136)+20)&lt;YEAR(E136),0,IF((YEAR(D136)+20)&gt;YEAR(E136),1,(12-MONTH(E136)+1)/12))))-(IF(OR(N136="",N136&lt;=0),0,(O136/N136)*(IF(OR(N136="",N136&lt;=0),0,IF((YEAR(D136)+20)&lt;YEAR(E136),0,IF((YEAR(D136)+20)&gt;=YEAR(E136)+N136,0,IF((YEAR(D136)+20)=YEAR(E136),(12-MONTH(E136)+1)/12,1))))))))&gt;0,(((K136)*(IF(M136="",L136,IFERROR(IF(INDEX(Variablen!$I:$AT, MATCH(M136, Variablen!$A:$A, 0), MATCH((YEAR(D136)+20), Variablen!$I$3:$AT$3, 0))="",L136,INDEX(Variablen!$I:$AT, MATCH(M136, Variablen!$A:$A, 0), MATCH((YEAR(D136)+20), Variablen!$I$3:$AT$3, 0))),L136)))*(IF((YEAR(D136)+20)&lt;YEAR(E136),0,IF((YEAR(D136)+20)&gt;YEAR(E136),1,(12-MONTH(E136)+1)/12))) + (Q136)*(IF((YEAR(D136)+20)&lt;YEAR(E136),0,IF((YEAR(D136)+20)&gt;YEAR(E136),1,(12-MONTH(E136)+1)/12))))-((P136)*(IF((YEAR(D136)+20)&lt;YEAR(E136),0,IF((YEAR(D136)+20)&gt;YEAR(E136),1,(12-MONTH(E136)+1)/12))) + (R136)*(IF((YEAR(D136)+20)&lt;YEAR(E136),0,IF((YEAR(D136)+20)&gt;YEAR(E136),1,(12-MONTH(E136)+1)/12))))-(IF(OR(N136="",N136&lt;=0),0,(O136/N136)*(IF(OR(N136="",N136&lt;=0),0,IF((YEAR(D136)+20)&lt;YEAR(E136),0,IF((YEAR(D136)+20)&gt;=YEAR(E136)+N136,0,IF((YEAR(D136)+20)=YEAR(E136),(12-MONTH(E136)+1)/12,1))))))))*TaxRate,0))-IF(20=0,O136,0))</f>
        <v/>
      </c>
      <c r="AN136" s="29">
        <f>IF(A136="","",S136)</f>
        <v/>
      </c>
      <c r="AO136" s="29">
        <f>IF(A136="","",AN136+T136)</f>
        <v/>
      </c>
      <c r="AP136" s="29">
        <f>IF(A136="","",AO136+U136)</f>
        <v/>
      </c>
      <c r="AQ136" s="29">
        <f>IF(A136="","",AP136+V136)</f>
        <v/>
      </c>
      <c r="AR136" s="29">
        <f>IF(A136="","",AQ136+W136)</f>
        <v/>
      </c>
      <c r="AS136" s="29">
        <f>IF(A136="","",AR136+X136)</f>
        <v/>
      </c>
      <c r="AT136" s="29">
        <f>IF(A136="","",AS136+Y136)</f>
        <v/>
      </c>
      <c r="AU136" s="29">
        <f>IF(A136="","",AT136+Z136)</f>
        <v/>
      </c>
      <c r="AV136" s="29">
        <f>IF(A136="","",AU136+AA136)</f>
        <v/>
      </c>
      <c r="AW136" s="29">
        <f>IF(A136="","",AV136+AB136)</f>
        <v/>
      </c>
      <c r="AX136" s="29">
        <f>IF(A136="","",AW136+AC136)</f>
        <v/>
      </c>
      <c r="AY136" s="29">
        <f>IF(A136="","",AX136+AD136)</f>
        <v/>
      </c>
      <c r="AZ136" s="29">
        <f>IF(A136="","",AY136+AE136)</f>
        <v/>
      </c>
      <c r="BA136" s="29">
        <f>IF(A136="","",AZ136+AF136)</f>
        <v/>
      </c>
      <c r="BB136" s="29">
        <f>IF(A136="","",BA136+AG136)</f>
        <v/>
      </c>
      <c r="BC136" s="29">
        <f>IF(A136="","",BB136+AH136)</f>
        <v/>
      </c>
      <c r="BD136" s="29">
        <f>IF(A136="","",BC136+AI136)</f>
        <v/>
      </c>
      <c r="BE136" s="29">
        <f>IF(A136="","",BD136+AJ136)</f>
        <v/>
      </c>
      <c r="BF136" s="29">
        <f>IF(A136="","",BE136+AK136)</f>
        <v/>
      </c>
      <c r="BG136" s="29">
        <f>IF(A136="","",BF136+AL136)</f>
        <v/>
      </c>
      <c r="BH136" s="29">
        <f>IF(A136="","",BG136+AM136)</f>
        <v/>
      </c>
      <c r="BI136" s="36">
        <f>IF(A136="","",(K136)*(IF((YEAR(D136)+0)&lt;YEAR(E136),0,IF((YEAR(D136)+0)&gt;YEAR(E136),1,(12-MONTH(E136)+1)/12)))*(1/(1+DiscountRate)^0))</f>
        <v/>
      </c>
      <c r="BJ136" s="36">
        <f>IF(A136="","",(K136)*(IF((YEAR(D136)+1)&lt;YEAR(E136),0,IF((YEAR(D136)+1)&gt;YEAR(E136),1,(12-MONTH(E136)+1)/12)))*(1/(1+DiscountRate)^1))</f>
        <v/>
      </c>
      <c r="BK136" s="36">
        <f>IF(A136="","",(K136)*(IF((YEAR(D136)+2)&lt;YEAR(E136),0,IF((YEAR(D136)+2)&gt;YEAR(E136),1,(12-MONTH(E136)+1)/12)))*(1/(1+DiscountRate)^2))</f>
        <v/>
      </c>
      <c r="BL136" s="36">
        <f>IF(A136="","",(K136)*(IF((YEAR(D136)+3)&lt;YEAR(E136),0,IF((YEAR(D136)+3)&gt;YEAR(E136),1,(12-MONTH(E136)+1)/12)))*(1/(1+DiscountRate)^3))</f>
        <v/>
      </c>
      <c r="BM136" s="36">
        <f>IF(A136="","",(K136)*(IF((YEAR(D136)+4)&lt;YEAR(E136),0,IF((YEAR(D136)+4)&gt;YEAR(E136),1,(12-MONTH(E136)+1)/12)))*(1/(1+DiscountRate)^4))</f>
        <v/>
      </c>
      <c r="BN136" s="36">
        <f>IF(A136="","",(K136)*(IF((YEAR(D136)+5)&lt;YEAR(E136),0,IF((YEAR(D136)+5)&gt;YEAR(E136),1,(12-MONTH(E136)+1)/12)))*(1/(1+DiscountRate)^5))</f>
        <v/>
      </c>
      <c r="BO136" s="36">
        <f>IF(A136="","",(K136)*(IF((YEAR(D136)+6)&lt;YEAR(E136),0,IF((YEAR(D136)+6)&gt;YEAR(E136),1,(12-MONTH(E136)+1)/12)))*(1/(1+DiscountRate)^6))</f>
        <v/>
      </c>
      <c r="BP136" s="36">
        <f>IF(A136="","",(K136)*(IF((YEAR(D136)+7)&lt;YEAR(E136),0,IF((YEAR(D136)+7)&gt;YEAR(E136),1,(12-MONTH(E136)+1)/12)))*(1/(1+DiscountRate)^7))</f>
        <v/>
      </c>
      <c r="BQ136" s="36">
        <f>IF(A136="","",(K136)*(IF((YEAR(D136)+8)&lt;YEAR(E136),0,IF((YEAR(D136)+8)&gt;YEAR(E136),1,(12-MONTH(E136)+1)/12)))*(1/(1+DiscountRate)^8))</f>
        <v/>
      </c>
      <c r="BR136" s="36">
        <f>IF(A136="","",(K136)*(IF((YEAR(D136)+9)&lt;YEAR(E136),0,IF((YEAR(D136)+9)&gt;YEAR(E136),1,(12-MONTH(E136)+1)/12)))*(1/(1+DiscountRate)^9))</f>
        <v/>
      </c>
      <c r="BS136" s="36">
        <f>IF(A136="","",(K136)*(IF((YEAR(D136)+10)&lt;YEAR(E136),0,IF((YEAR(D136)+10)&gt;YEAR(E136),1,(12-MONTH(E136)+1)/12)))*(1/(1+DiscountRate)^10))</f>
        <v/>
      </c>
      <c r="BT136" s="36">
        <f>IF(A136="","",(K136)*(IF((YEAR(D136)+11)&lt;YEAR(E136),0,IF((YEAR(D136)+11)&gt;YEAR(E136),1,(12-MONTH(E136)+1)/12)))*(1/(1+DiscountRate)^11))</f>
        <v/>
      </c>
      <c r="BU136" s="36">
        <f>IF(A136="","",(K136)*(IF((YEAR(D136)+12)&lt;YEAR(E136),0,IF((YEAR(D136)+12)&gt;YEAR(E136),1,(12-MONTH(E136)+1)/12)))*(1/(1+DiscountRate)^12))</f>
        <v/>
      </c>
      <c r="BV136" s="36">
        <f>IF(A136="","",(K136)*(IF((YEAR(D136)+13)&lt;YEAR(E136),0,IF((YEAR(D136)+13)&gt;YEAR(E136),1,(12-MONTH(E136)+1)/12)))*(1/(1+DiscountRate)^13))</f>
        <v/>
      </c>
      <c r="BW136" s="36">
        <f>IF(A136="","",(K136)*(IF((YEAR(D136)+14)&lt;YEAR(E136),0,IF((YEAR(D136)+14)&gt;YEAR(E136),1,(12-MONTH(E136)+1)/12)))*(1/(1+DiscountRate)^14))</f>
        <v/>
      </c>
      <c r="BX136" s="36">
        <f>IF(A136="","",(K136)*(IF((YEAR(D136)+15)&lt;YEAR(E136),0,IF((YEAR(D136)+15)&gt;YEAR(E136),1,(12-MONTH(E136)+1)/12)))*(1/(1+DiscountRate)^15))</f>
        <v/>
      </c>
      <c r="BY136" s="36">
        <f>IF(A136="","",(K136)*(IF((YEAR(D136)+16)&lt;YEAR(E136),0,IF((YEAR(D136)+16)&gt;YEAR(E136),1,(12-MONTH(E136)+1)/12)))*(1/(1+DiscountRate)^16))</f>
        <v/>
      </c>
      <c r="BZ136" s="36">
        <f>IF(A136="","",(K136)*(IF((YEAR(D136)+17)&lt;YEAR(E136),0,IF((YEAR(D136)+17)&gt;YEAR(E136),1,(12-MONTH(E136)+1)/12)))*(1/(1+DiscountRate)^17))</f>
        <v/>
      </c>
      <c r="CA136" s="36">
        <f>IF(A136="","",(K136)*(IF((YEAR(D136)+18)&lt;YEAR(E136),0,IF((YEAR(D136)+18)&gt;YEAR(E136),1,(12-MONTH(E136)+1)/12)))*(1/(1+DiscountRate)^18))</f>
        <v/>
      </c>
      <c r="CB136" s="36">
        <f>IF(A136="","",(K136)*(IF((YEAR(D136)+19)&lt;YEAR(E136),0,IF((YEAR(D136)+19)&gt;YEAR(E136),1,(12-MONTH(E136)+1)/12)))*(1/(1+DiscountRate)^19))</f>
        <v/>
      </c>
      <c r="CC136" s="36">
        <f>IF(A136="","",(K136)*(IF((YEAR(D136)+20)&lt;YEAR(E136),0,IF((YEAR(D136)+20)&gt;YEAR(E136),1,(12-MONTH(E136)+1)/12)))*(1/(1+DiscountRate)^20))</f>
        <v/>
      </c>
      <c r="CD136" s="29">
        <f>IF(A136="","",S136/(1+DiscountRate)^0+T136/(1+DiscountRate)^1+U136/(1+DiscountRate)^2+V136/(1+DiscountRate)^3+W136/(1+DiscountRate)^4+X136/(1+DiscountRate)^5+Y136/(1+DiscountRate)^6+Z136/(1+DiscountRate)^7+AA136/(1+DiscountRate)^8+AB136/(1+DiscountRate)^9+AC136/(1+DiscountRate)^10+AD136/(1+DiscountRate)^11+AE136/(1+DiscountRate)^12+AF136/(1+DiscountRate)^13+AG136/(1+DiscountRate)^14+AH136/(1+DiscountRate)^15+AI136/(1+DiscountRate)^16+AJ136/(1+DiscountRate)^17+AK136/(1+DiscountRate)^18+AL136/(1+DiscountRate)^19+AM136/(1+DiscountRate)^20)</f>
        <v/>
      </c>
      <c r="CE136" s="37">
        <f>IF(A136="","",IFERROR(IRR(OFFSET(S136,0,0,1,MIN(HorizonYears,20)+1)),"n/a"))</f>
        <v/>
      </c>
      <c r="CF136" s="28">
        <f>IF(A136="","",IFERROR(MATCH(TRUE,OFFSET(AN136,0,0,1,MIN(HorizonYears,20)+1)&gt;=0,0)-1,"n/a"))</f>
        <v/>
      </c>
      <c r="CG136" s="36">
        <f>IF(A136="","",SUM(OFFSET(BI136,0,0,1,MIN(HorizonYears,20)+1)))</f>
        <v/>
      </c>
      <c r="CH136" s="36">
        <f>IF(A136="","",IFERROR(-CD136/CG136,"n/a"))</f>
        <v/>
      </c>
    </row>
    <row r="137">
      <c r="A137" s="6">
        <f>Actions!A135</f>
        <v/>
      </c>
      <c r="B137" s="6">
        <f>Actions!B135</f>
        <v/>
      </c>
      <c r="C137" s="6">
        <f>Actions!D135</f>
        <v/>
      </c>
      <c r="D137" s="35">
        <f>Actions!E135</f>
        <v/>
      </c>
      <c r="E137" s="35">
        <f>Actions!F135</f>
        <v/>
      </c>
      <c r="F137" s="6">
        <f>Actions!G135</f>
        <v/>
      </c>
      <c r="G137" s="6">
        <f>Actions!H135</f>
        <v/>
      </c>
      <c r="H137" s="29">
        <f>Actions!I135</f>
        <v/>
      </c>
      <c r="I137" s="6">
        <f>Actions!J135</f>
        <v/>
      </c>
      <c r="J137" s="16">
        <f>Actions!K135</f>
        <v/>
      </c>
      <c r="K137" s="16">
        <f>IF(A137="","",IF(I137="%",H137*J137,J137))</f>
        <v/>
      </c>
      <c r="L137" s="16">
        <f>Actions!L135</f>
        <v/>
      </c>
      <c r="M137" s="6">
        <f>Actions!M135</f>
        <v/>
      </c>
      <c r="N137" s="28">
        <f>Actions!N135</f>
        <v/>
      </c>
      <c r="O137" s="29">
        <f>Actions!T135</f>
        <v/>
      </c>
      <c r="P137" s="29">
        <f>Actions!Y135</f>
        <v/>
      </c>
      <c r="Q137" s="29">
        <f>Actions!Z135</f>
        <v/>
      </c>
      <c r="R137" s="29">
        <f>Actions!AA135</f>
        <v/>
      </c>
      <c r="S137" s="29">
        <f>IF(A137="","",((K137)*(IF(M137="",L137,IFERROR(IF(INDEX(Variablen!$I:$AT, MATCH(M137, Variablen!$A:$A, 0), MATCH((YEAR(D137)+0), Variablen!$I$3:$AT$3, 0))="",L137,INDEX(Variablen!$I:$AT, MATCH(M137, Variablen!$A:$A, 0), MATCH((YEAR(D137)+0), Variablen!$I$3:$AT$3, 0))),L137)))*(IF((YEAR(D137)+0)&lt;YEAR(E137),0,IF((YEAR(D137)+0)&gt;YEAR(E137),1,(12-MONTH(E137)+1)/12))) + (Q137)*(IF((YEAR(D137)+0)&lt;YEAR(E137),0,IF((YEAR(D137)+0)&gt;YEAR(E137),1,(12-MONTH(E137)+1)/12))))-((P137)*(IF((YEAR(D137)+0)&lt;YEAR(E137),0,IF((YEAR(D137)+0)&gt;YEAR(E137),1,(12-MONTH(E137)+1)/12))) + (R137)*(IF((YEAR(D137)+0)&lt;YEAR(E137),0,IF((YEAR(D137)+0)&gt;YEAR(E137),1,(12-MONTH(E137)+1)/12))))-(IF((((K137)*(IF(M137="",L137,IFERROR(IF(INDEX(Variablen!$I:$AT, MATCH(M137, Variablen!$A:$A, 0), MATCH((YEAR(D137)+0), Variablen!$I$3:$AT$3, 0))="",L137,INDEX(Variablen!$I:$AT, MATCH(M137, Variablen!$A:$A, 0), MATCH((YEAR(D137)+0), Variablen!$I$3:$AT$3, 0))),L137)))*(IF((YEAR(D137)+0)&lt;YEAR(E137),0,IF((YEAR(D137)+0)&gt;YEAR(E137),1,(12-MONTH(E137)+1)/12))) + (Q137)*(IF((YEAR(D137)+0)&lt;YEAR(E137),0,IF((YEAR(D137)+0)&gt;YEAR(E137),1,(12-MONTH(E137)+1)/12))))-((P137)*(IF((YEAR(D137)+0)&lt;YEAR(E137),0,IF((YEAR(D137)+0)&gt;YEAR(E137),1,(12-MONTH(E137)+1)/12))) + (R137)*(IF((YEAR(D137)+0)&lt;YEAR(E137),0,IF((YEAR(D137)+0)&gt;YEAR(E137),1,(12-MONTH(E137)+1)/12))))-(IF(OR(N137="",N137&lt;=0),0,(O137/N137)*(IF(OR(N137="",N137&lt;=0),0,IF((YEAR(D137)+0)&lt;YEAR(E137),0,IF((YEAR(D137)+0)&gt;=YEAR(E137)+N137,0,IF((YEAR(D137)+0)=YEAR(E137),(12-MONTH(E137)+1)/12,1))))))))&gt;0,(((K137)*(IF(M137="",L137,IFERROR(IF(INDEX(Variablen!$I:$AT, MATCH(M137, Variablen!$A:$A, 0), MATCH((YEAR(D137)+0), Variablen!$I$3:$AT$3, 0))="",L137,INDEX(Variablen!$I:$AT, MATCH(M137, Variablen!$A:$A, 0), MATCH((YEAR(D137)+0), Variablen!$I$3:$AT$3, 0))),L137)))*(IF((YEAR(D137)+0)&lt;YEAR(E137),0,IF((YEAR(D137)+0)&gt;YEAR(E137),1,(12-MONTH(E137)+1)/12))) + (Q137)*(IF((YEAR(D137)+0)&lt;YEAR(E137),0,IF((YEAR(D137)+0)&gt;YEAR(E137),1,(12-MONTH(E137)+1)/12))))-((P137)*(IF((YEAR(D137)+0)&lt;YEAR(E137),0,IF((YEAR(D137)+0)&gt;YEAR(E137),1,(12-MONTH(E137)+1)/12))) + (R137)*(IF((YEAR(D137)+0)&lt;YEAR(E137),0,IF((YEAR(D137)+0)&gt;YEAR(E137),1,(12-MONTH(E137)+1)/12))))-(IF(OR(N137="",N137&lt;=0),0,(O137/N137)*(IF(OR(N137="",N137&lt;=0),0,IF((YEAR(D137)+0)&lt;YEAR(E137),0,IF((YEAR(D137)+0)&gt;=YEAR(E137)+N137,0,IF((YEAR(D137)+0)=YEAR(E137),(12-MONTH(E137)+1)/12,1))))))))*TaxRate,0))-IF(0=0,O137,0))</f>
        <v/>
      </c>
      <c r="T137" s="29">
        <f>IF(A137="","",((K137)*(IF(M137="",L137,IFERROR(IF(INDEX(Variablen!$I:$AT, MATCH(M137, Variablen!$A:$A, 0), MATCH((YEAR(D137)+1), Variablen!$I$3:$AT$3, 0))="",L137,INDEX(Variablen!$I:$AT, MATCH(M137, Variablen!$A:$A, 0), MATCH((YEAR(D137)+1), Variablen!$I$3:$AT$3, 0))),L137)))*(IF((YEAR(D137)+1)&lt;YEAR(E137),0,IF((YEAR(D137)+1)&gt;YEAR(E137),1,(12-MONTH(E137)+1)/12))) + (Q137)*(IF((YEAR(D137)+1)&lt;YEAR(E137),0,IF((YEAR(D137)+1)&gt;YEAR(E137),1,(12-MONTH(E137)+1)/12))))-((P137)*(IF((YEAR(D137)+1)&lt;YEAR(E137),0,IF((YEAR(D137)+1)&gt;YEAR(E137),1,(12-MONTH(E137)+1)/12))) + (R137)*(IF((YEAR(D137)+1)&lt;YEAR(E137),0,IF((YEAR(D137)+1)&gt;YEAR(E137),1,(12-MONTH(E137)+1)/12))))-(IF((((K137)*(IF(M137="",L137,IFERROR(IF(INDEX(Variablen!$I:$AT, MATCH(M137, Variablen!$A:$A, 0), MATCH((YEAR(D137)+1), Variablen!$I$3:$AT$3, 0))="",L137,INDEX(Variablen!$I:$AT, MATCH(M137, Variablen!$A:$A, 0), MATCH((YEAR(D137)+1), Variablen!$I$3:$AT$3, 0))),L137)))*(IF((YEAR(D137)+1)&lt;YEAR(E137),0,IF((YEAR(D137)+1)&gt;YEAR(E137),1,(12-MONTH(E137)+1)/12))) + (Q137)*(IF((YEAR(D137)+1)&lt;YEAR(E137),0,IF((YEAR(D137)+1)&gt;YEAR(E137),1,(12-MONTH(E137)+1)/12))))-((P137)*(IF((YEAR(D137)+1)&lt;YEAR(E137),0,IF((YEAR(D137)+1)&gt;YEAR(E137),1,(12-MONTH(E137)+1)/12))) + (R137)*(IF((YEAR(D137)+1)&lt;YEAR(E137),0,IF((YEAR(D137)+1)&gt;YEAR(E137),1,(12-MONTH(E137)+1)/12))))-(IF(OR(N137="",N137&lt;=0),0,(O137/N137)*(IF(OR(N137="",N137&lt;=0),0,IF((YEAR(D137)+1)&lt;YEAR(E137),0,IF((YEAR(D137)+1)&gt;=YEAR(E137)+N137,0,IF((YEAR(D137)+1)=YEAR(E137),(12-MONTH(E137)+1)/12,1))))))))&gt;0,(((K137)*(IF(M137="",L137,IFERROR(IF(INDEX(Variablen!$I:$AT, MATCH(M137, Variablen!$A:$A, 0), MATCH((YEAR(D137)+1), Variablen!$I$3:$AT$3, 0))="",L137,INDEX(Variablen!$I:$AT, MATCH(M137, Variablen!$A:$A, 0), MATCH((YEAR(D137)+1), Variablen!$I$3:$AT$3, 0))),L137)))*(IF((YEAR(D137)+1)&lt;YEAR(E137),0,IF((YEAR(D137)+1)&gt;YEAR(E137),1,(12-MONTH(E137)+1)/12))) + (Q137)*(IF((YEAR(D137)+1)&lt;YEAR(E137),0,IF((YEAR(D137)+1)&gt;YEAR(E137),1,(12-MONTH(E137)+1)/12))))-((P137)*(IF((YEAR(D137)+1)&lt;YEAR(E137),0,IF((YEAR(D137)+1)&gt;YEAR(E137),1,(12-MONTH(E137)+1)/12))) + (R137)*(IF((YEAR(D137)+1)&lt;YEAR(E137),0,IF((YEAR(D137)+1)&gt;YEAR(E137),1,(12-MONTH(E137)+1)/12))))-(IF(OR(N137="",N137&lt;=0),0,(O137/N137)*(IF(OR(N137="",N137&lt;=0),0,IF((YEAR(D137)+1)&lt;YEAR(E137),0,IF((YEAR(D137)+1)&gt;=YEAR(E137)+N137,0,IF((YEAR(D137)+1)=YEAR(E137),(12-MONTH(E137)+1)/12,1))))))))*TaxRate,0))-IF(1=0,O137,0))</f>
        <v/>
      </c>
      <c r="U137" s="29">
        <f>IF(A137="","",((K137)*(IF(M137="",L137,IFERROR(IF(INDEX(Variablen!$I:$AT, MATCH(M137, Variablen!$A:$A, 0), MATCH((YEAR(D137)+2), Variablen!$I$3:$AT$3, 0))="",L137,INDEX(Variablen!$I:$AT, MATCH(M137, Variablen!$A:$A, 0), MATCH((YEAR(D137)+2), Variablen!$I$3:$AT$3, 0))),L137)))*(IF((YEAR(D137)+2)&lt;YEAR(E137),0,IF((YEAR(D137)+2)&gt;YEAR(E137),1,(12-MONTH(E137)+1)/12))) + (Q137)*(IF((YEAR(D137)+2)&lt;YEAR(E137),0,IF((YEAR(D137)+2)&gt;YEAR(E137),1,(12-MONTH(E137)+1)/12))))-((P137)*(IF((YEAR(D137)+2)&lt;YEAR(E137),0,IF((YEAR(D137)+2)&gt;YEAR(E137),1,(12-MONTH(E137)+1)/12))) + (R137)*(IF((YEAR(D137)+2)&lt;YEAR(E137),0,IF((YEAR(D137)+2)&gt;YEAR(E137),1,(12-MONTH(E137)+1)/12))))-(IF((((K137)*(IF(M137="",L137,IFERROR(IF(INDEX(Variablen!$I:$AT, MATCH(M137, Variablen!$A:$A, 0), MATCH((YEAR(D137)+2), Variablen!$I$3:$AT$3, 0))="",L137,INDEX(Variablen!$I:$AT, MATCH(M137, Variablen!$A:$A, 0), MATCH((YEAR(D137)+2), Variablen!$I$3:$AT$3, 0))),L137)))*(IF((YEAR(D137)+2)&lt;YEAR(E137),0,IF((YEAR(D137)+2)&gt;YEAR(E137),1,(12-MONTH(E137)+1)/12))) + (Q137)*(IF((YEAR(D137)+2)&lt;YEAR(E137),0,IF((YEAR(D137)+2)&gt;YEAR(E137),1,(12-MONTH(E137)+1)/12))))-((P137)*(IF((YEAR(D137)+2)&lt;YEAR(E137),0,IF((YEAR(D137)+2)&gt;YEAR(E137),1,(12-MONTH(E137)+1)/12))) + (R137)*(IF((YEAR(D137)+2)&lt;YEAR(E137),0,IF((YEAR(D137)+2)&gt;YEAR(E137),1,(12-MONTH(E137)+1)/12))))-(IF(OR(N137="",N137&lt;=0),0,(O137/N137)*(IF(OR(N137="",N137&lt;=0),0,IF((YEAR(D137)+2)&lt;YEAR(E137),0,IF((YEAR(D137)+2)&gt;=YEAR(E137)+N137,0,IF((YEAR(D137)+2)=YEAR(E137),(12-MONTH(E137)+1)/12,1))))))))&gt;0,(((K137)*(IF(M137="",L137,IFERROR(IF(INDEX(Variablen!$I:$AT, MATCH(M137, Variablen!$A:$A, 0), MATCH((YEAR(D137)+2), Variablen!$I$3:$AT$3, 0))="",L137,INDEX(Variablen!$I:$AT, MATCH(M137, Variablen!$A:$A, 0), MATCH((YEAR(D137)+2), Variablen!$I$3:$AT$3, 0))),L137)))*(IF((YEAR(D137)+2)&lt;YEAR(E137),0,IF((YEAR(D137)+2)&gt;YEAR(E137),1,(12-MONTH(E137)+1)/12))) + (Q137)*(IF((YEAR(D137)+2)&lt;YEAR(E137),0,IF((YEAR(D137)+2)&gt;YEAR(E137),1,(12-MONTH(E137)+1)/12))))-((P137)*(IF((YEAR(D137)+2)&lt;YEAR(E137),0,IF((YEAR(D137)+2)&gt;YEAR(E137),1,(12-MONTH(E137)+1)/12))) + (R137)*(IF((YEAR(D137)+2)&lt;YEAR(E137),0,IF((YEAR(D137)+2)&gt;YEAR(E137),1,(12-MONTH(E137)+1)/12))))-(IF(OR(N137="",N137&lt;=0),0,(O137/N137)*(IF(OR(N137="",N137&lt;=0),0,IF((YEAR(D137)+2)&lt;YEAR(E137),0,IF((YEAR(D137)+2)&gt;=YEAR(E137)+N137,0,IF((YEAR(D137)+2)=YEAR(E137),(12-MONTH(E137)+1)/12,1))))))))*TaxRate,0))-IF(2=0,O137,0))</f>
        <v/>
      </c>
      <c r="V137" s="29">
        <f>IF(A137="","",((K137)*(IF(M137="",L137,IFERROR(IF(INDEX(Variablen!$I:$AT, MATCH(M137, Variablen!$A:$A, 0), MATCH((YEAR(D137)+3), Variablen!$I$3:$AT$3, 0))="",L137,INDEX(Variablen!$I:$AT, MATCH(M137, Variablen!$A:$A, 0), MATCH((YEAR(D137)+3), Variablen!$I$3:$AT$3, 0))),L137)))*(IF((YEAR(D137)+3)&lt;YEAR(E137),0,IF((YEAR(D137)+3)&gt;YEAR(E137),1,(12-MONTH(E137)+1)/12))) + (Q137)*(IF((YEAR(D137)+3)&lt;YEAR(E137),0,IF((YEAR(D137)+3)&gt;YEAR(E137),1,(12-MONTH(E137)+1)/12))))-((P137)*(IF((YEAR(D137)+3)&lt;YEAR(E137),0,IF((YEAR(D137)+3)&gt;YEAR(E137),1,(12-MONTH(E137)+1)/12))) + (R137)*(IF((YEAR(D137)+3)&lt;YEAR(E137),0,IF((YEAR(D137)+3)&gt;YEAR(E137),1,(12-MONTH(E137)+1)/12))))-(IF((((K137)*(IF(M137="",L137,IFERROR(IF(INDEX(Variablen!$I:$AT, MATCH(M137, Variablen!$A:$A, 0), MATCH((YEAR(D137)+3), Variablen!$I$3:$AT$3, 0))="",L137,INDEX(Variablen!$I:$AT, MATCH(M137, Variablen!$A:$A, 0), MATCH((YEAR(D137)+3), Variablen!$I$3:$AT$3, 0))),L137)))*(IF((YEAR(D137)+3)&lt;YEAR(E137),0,IF((YEAR(D137)+3)&gt;YEAR(E137),1,(12-MONTH(E137)+1)/12))) + (Q137)*(IF((YEAR(D137)+3)&lt;YEAR(E137),0,IF((YEAR(D137)+3)&gt;YEAR(E137),1,(12-MONTH(E137)+1)/12))))-((P137)*(IF((YEAR(D137)+3)&lt;YEAR(E137),0,IF((YEAR(D137)+3)&gt;YEAR(E137),1,(12-MONTH(E137)+1)/12))) + (R137)*(IF((YEAR(D137)+3)&lt;YEAR(E137),0,IF((YEAR(D137)+3)&gt;YEAR(E137),1,(12-MONTH(E137)+1)/12))))-(IF(OR(N137="",N137&lt;=0),0,(O137/N137)*(IF(OR(N137="",N137&lt;=0),0,IF((YEAR(D137)+3)&lt;YEAR(E137),0,IF((YEAR(D137)+3)&gt;=YEAR(E137)+N137,0,IF((YEAR(D137)+3)=YEAR(E137),(12-MONTH(E137)+1)/12,1))))))))&gt;0,(((K137)*(IF(M137="",L137,IFERROR(IF(INDEX(Variablen!$I:$AT, MATCH(M137, Variablen!$A:$A, 0), MATCH((YEAR(D137)+3), Variablen!$I$3:$AT$3, 0))="",L137,INDEX(Variablen!$I:$AT, MATCH(M137, Variablen!$A:$A, 0), MATCH((YEAR(D137)+3), Variablen!$I$3:$AT$3, 0))),L137)))*(IF((YEAR(D137)+3)&lt;YEAR(E137),0,IF((YEAR(D137)+3)&gt;YEAR(E137),1,(12-MONTH(E137)+1)/12))) + (Q137)*(IF((YEAR(D137)+3)&lt;YEAR(E137),0,IF((YEAR(D137)+3)&gt;YEAR(E137),1,(12-MONTH(E137)+1)/12))))-((P137)*(IF((YEAR(D137)+3)&lt;YEAR(E137),0,IF((YEAR(D137)+3)&gt;YEAR(E137),1,(12-MONTH(E137)+1)/12))) + (R137)*(IF((YEAR(D137)+3)&lt;YEAR(E137),0,IF((YEAR(D137)+3)&gt;YEAR(E137),1,(12-MONTH(E137)+1)/12))))-(IF(OR(N137="",N137&lt;=0),0,(O137/N137)*(IF(OR(N137="",N137&lt;=0),0,IF((YEAR(D137)+3)&lt;YEAR(E137),0,IF((YEAR(D137)+3)&gt;=YEAR(E137)+N137,0,IF((YEAR(D137)+3)=YEAR(E137),(12-MONTH(E137)+1)/12,1))))))))*TaxRate,0))-IF(3=0,O137,0))</f>
        <v/>
      </c>
      <c r="W137" s="29">
        <f>IF(A137="","",((K137)*(IF(M137="",L137,IFERROR(IF(INDEX(Variablen!$I:$AT, MATCH(M137, Variablen!$A:$A, 0), MATCH((YEAR(D137)+4), Variablen!$I$3:$AT$3, 0))="",L137,INDEX(Variablen!$I:$AT, MATCH(M137, Variablen!$A:$A, 0), MATCH((YEAR(D137)+4), Variablen!$I$3:$AT$3, 0))),L137)))*(IF((YEAR(D137)+4)&lt;YEAR(E137),0,IF((YEAR(D137)+4)&gt;YEAR(E137),1,(12-MONTH(E137)+1)/12))) + (Q137)*(IF((YEAR(D137)+4)&lt;YEAR(E137),0,IF((YEAR(D137)+4)&gt;YEAR(E137),1,(12-MONTH(E137)+1)/12))))-((P137)*(IF((YEAR(D137)+4)&lt;YEAR(E137),0,IF((YEAR(D137)+4)&gt;YEAR(E137),1,(12-MONTH(E137)+1)/12))) + (R137)*(IF((YEAR(D137)+4)&lt;YEAR(E137),0,IF((YEAR(D137)+4)&gt;YEAR(E137),1,(12-MONTH(E137)+1)/12))))-(IF((((K137)*(IF(M137="",L137,IFERROR(IF(INDEX(Variablen!$I:$AT, MATCH(M137, Variablen!$A:$A, 0), MATCH((YEAR(D137)+4), Variablen!$I$3:$AT$3, 0))="",L137,INDEX(Variablen!$I:$AT, MATCH(M137, Variablen!$A:$A, 0), MATCH((YEAR(D137)+4), Variablen!$I$3:$AT$3, 0))),L137)))*(IF((YEAR(D137)+4)&lt;YEAR(E137),0,IF((YEAR(D137)+4)&gt;YEAR(E137),1,(12-MONTH(E137)+1)/12))) + (Q137)*(IF((YEAR(D137)+4)&lt;YEAR(E137),0,IF((YEAR(D137)+4)&gt;YEAR(E137),1,(12-MONTH(E137)+1)/12))))-((P137)*(IF((YEAR(D137)+4)&lt;YEAR(E137),0,IF((YEAR(D137)+4)&gt;YEAR(E137),1,(12-MONTH(E137)+1)/12))) + (R137)*(IF((YEAR(D137)+4)&lt;YEAR(E137),0,IF((YEAR(D137)+4)&gt;YEAR(E137),1,(12-MONTH(E137)+1)/12))))-(IF(OR(N137="",N137&lt;=0),0,(O137/N137)*(IF(OR(N137="",N137&lt;=0),0,IF((YEAR(D137)+4)&lt;YEAR(E137),0,IF((YEAR(D137)+4)&gt;=YEAR(E137)+N137,0,IF((YEAR(D137)+4)=YEAR(E137),(12-MONTH(E137)+1)/12,1))))))))&gt;0,(((K137)*(IF(M137="",L137,IFERROR(IF(INDEX(Variablen!$I:$AT, MATCH(M137, Variablen!$A:$A, 0), MATCH((YEAR(D137)+4), Variablen!$I$3:$AT$3, 0))="",L137,INDEX(Variablen!$I:$AT, MATCH(M137, Variablen!$A:$A, 0), MATCH((YEAR(D137)+4), Variablen!$I$3:$AT$3, 0))),L137)))*(IF((YEAR(D137)+4)&lt;YEAR(E137),0,IF((YEAR(D137)+4)&gt;YEAR(E137),1,(12-MONTH(E137)+1)/12))) + (Q137)*(IF((YEAR(D137)+4)&lt;YEAR(E137),0,IF((YEAR(D137)+4)&gt;YEAR(E137),1,(12-MONTH(E137)+1)/12))))-((P137)*(IF((YEAR(D137)+4)&lt;YEAR(E137),0,IF((YEAR(D137)+4)&gt;YEAR(E137),1,(12-MONTH(E137)+1)/12))) + (R137)*(IF((YEAR(D137)+4)&lt;YEAR(E137),0,IF((YEAR(D137)+4)&gt;YEAR(E137),1,(12-MONTH(E137)+1)/12))))-(IF(OR(N137="",N137&lt;=0),0,(O137/N137)*(IF(OR(N137="",N137&lt;=0),0,IF((YEAR(D137)+4)&lt;YEAR(E137),0,IF((YEAR(D137)+4)&gt;=YEAR(E137)+N137,0,IF((YEAR(D137)+4)=YEAR(E137),(12-MONTH(E137)+1)/12,1))))))))*TaxRate,0))-IF(4=0,O137,0))</f>
        <v/>
      </c>
      <c r="X137" s="29">
        <f>IF(A137="","",((K137)*(IF(M137="",L137,IFERROR(IF(INDEX(Variablen!$I:$AT, MATCH(M137, Variablen!$A:$A, 0), MATCH((YEAR(D137)+5), Variablen!$I$3:$AT$3, 0))="",L137,INDEX(Variablen!$I:$AT, MATCH(M137, Variablen!$A:$A, 0), MATCH((YEAR(D137)+5), Variablen!$I$3:$AT$3, 0))),L137)))*(IF((YEAR(D137)+5)&lt;YEAR(E137),0,IF((YEAR(D137)+5)&gt;YEAR(E137),1,(12-MONTH(E137)+1)/12))) + (Q137)*(IF((YEAR(D137)+5)&lt;YEAR(E137),0,IF((YEAR(D137)+5)&gt;YEAR(E137),1,(12-MONTH(E137)+1)/12))))-((P137)*(IF((YEAR(D137)+5)&lt;YEAR(E137),0,IF((YEAR(D137)+5)&gt;YEAR(E137),1,(12-MONTH(E137)+1)/12))) + (R137)*(IF((YEAR(D137)+5)&lt;YEAR(E137),0,IF((YEAR(D137)+5)&gt;YEAR(E137),1,(12-MONTH(E137)+1)/12))))-(IF((((K137)*(IF(M137="",L137,IFERROR(IF(INDEX(Variablen!$I:$AT, MATCH(M137, Variablen!$A:$A, 0), MATCH((YEAR(D137)+5), Variablen!$I$3:$AT$3, 0))="",L137,INDEX(Variablen!$I:$AT, MATCH(M137, Variablen!$A:$A, 0), MATCH((YEAR(D137)+5), Variablen!$I$3:$AT$3, 0))),L137)))*(IF((YEAR(D137)+5)&lt;YEAR(E137),0,IF((YEAR(D137)+5)&gt;YEAR(E137),1,(12-MONTH(E137)+1)/12))) + (Q137)*(IF((YEAR(D137)+5)&lt;YEAR(E137),0,IF((YEAR(D137)+5)&gt;YEAR(E137),1,(12-MONTH(E137)+1)/12))))-((P137)*(IF((YEAR(D137)+5)&lt;YEAR(E137),0,IF((YEAR(D137)+5)&gt;YEAR(E137),1,(12-MONTH(E137)+1)/12))) + (R137)*(IF((YEAR(D137)+5)&lt;YEAR(E137),0,IF((YEAR(D137)+5)&gt;YEAR(E137),1,(12-MONTH(E137)+1)/12))))-(IF(OR(N137="",N137&lt;=0),0,(O137/N137)*(IF(OR(N137="",N137&lt;=0),0,IF((YEAR(D137)+5)&lt;YEAR(E137),0,IF((YEAR(D137)+5)&gt;=YEAR(E137)+N137,0,IF((YEAR(D137)+5)=YEAR(E137),(12-MONTH(E137)+1)/12,1))))))))&gt;0,(((K137)*(IF(M137="",L137,IFERROR(IF(INDEX(Variablen!$I:$AT, MATCH(M137, Variablen!$A:$A, 0), MATCH((YEAR(D137)+5), Variablen!$I$3:$AT$3, 0))="",L137,INDEX(Variablen!$I:$AT, MATCH(M137, Variablen!$A:$A, 0), MATCH((YEAR(D137)+5), Variablen!$I$3:$AT$3, 0))),L137)))*(IF((YEAR(D137)+5)&lt;YEAR(E137),0,IF((YEAR(D137)+5)&gt;YEAR(E137),1,(12-MONTH(E137)+1)/12))) + (Q137)*(IF((YEAR(D137)+5)&lt;YEAR(E137),0,IF((YEAR(D137)+5)&gt;YEAR(E137),1,(12-MONTH(E137)+1)/12))))-((P137)*(IF((YEAR(D137)+5)&lt;YEAR(E137),0,IF((YEAR(D137)+5)&gt;YEAR(E137),1,(12-MONTH(E137)+1)/12))) + (R137)*(IF((YEAR(D137)+5)&lt;YEAR(E137),0,IF((YEAR(D137)+5)&gt;YEAR(E137),1,(12-MONTH(E137)+1)/12))))-(IF(OR(N137="",N137&lt;=0),0,(O137/N137)*(IF(OR(N137="",N137&lt;=0),0,IF((YEAR(D137)+5)&lt;YEAR(E137),0,IF((YEAR(D137)+5)&gt;=YEAR(E137)+N137,0,IF((YEAR(D137)+5)=YEAR(E137),(12-MONTH(E137)+1)/12,1))))))))*TaxRate,0))-IF(5=0,O137,0))</f>
        <v/>
      </c>
      <c r="Y137" s="29">
        <f>IF(A137="","",((K137)*(IF(M137="",L137,IFERROR(IF(INDEX(Variablen!$I:$AT, MATCH(M137, Variablen!$A:$A, 0), MATCH((YEAR(D137)+6), Variablen!$I$3:$AT$3, 0))="",L137,INDEX(Variablen!$I:$AT, MATCH(M137, Variablen!$A:$A, 0), MATCH((YEAR(D137)+6), Variablen!$I$3:$AT$3, 0))),L137)))*(IF((YEAR(D137)+6)&lt;YEAR(E137),0,IF((YEAR(D137)+6)&gt;YEAR(E137),1,(12-MONTH(E137)+1)/12))) + (Q137)*(IF((YEAR(D137)+6)&lt;YEAR(E137),0,IF((YEAR(D137)+6)&gt;YEAR(E137),1,(12-MONTH(E137)+1)/12))))-((P137)*(IF((YEAR(D137)+6)&lt;YEAR(E137),0,IF((YEAR(D137)+6)&gt;YEAR(E137),1,(12-MONTH(E137)+1)/12))) + (R137)*(IF((YEAR(D137)+6)&lt;YEAR(E137),0,IF((YEAR(D137)+6)&gt;YEAR(E137),1,(12-MONTH(E137)+1)/12))))-(IF((((K137)*(IF(M137="",L137,IFERROR(IF(INDEX(Variablen!$I:$AT, MATCH(M137, Variablen!$A:$A, 0), MATCH((YEAR(D137)+6), Variablen!$I$3:$AT$3, 0))="",L137,INDEX(Variablen!$I:$AT, MATCH(M137, Variablen!$A:$A, 0), MATCH((YEAR(D137)+6), Variablen!$I$3:$AT$3, 0))),L137)))*(IF((YEAR(D137)+6)&lt;YEAR(E137),0,IF((YEAR(D137)+6)&gt;YEAR(E137),1,(12-MONTH(E137)+1)/12))) + (Q137)*(IF((YEAR(D137)+6)&lt;YEAR(E137),0,IF((YEAR(D137)+6)&gt;YEAR(E137),1,(12-MONTH(E137)+1)/12))))-((P137)*(IF((YEAR(D137)+6)&lt;YEAR(E137),0,IF((YEAR(D137)+6)&gt;YEAR(E137),1,(12-MONTH(E137)+1)/12))) + (R137)*(IF((YEAR(D137)+6)&lt;YEAR(E137),0,IF((YEAR(D137)+6)&gt;YEAR(E137),1,(12-MONTH(E137)+1)/12))))-(IF(OR(N137="",N137&lt;=0),0,(O137/N137)*(IF(OR(N137="",N137&lt;=0),0,IF((YEAR(D137)+6)&lt;YEAR(E137),0,IF((YEAR(D137)+6)&gt;=YEAR(E137)+N137,0,IF((YEAR(D137)+6)=YEAR(E137),(12-MONTH(E137)+1)/12,1))))))))&gt;0,(((K137)*(IF(M137="",L137,IFERROR(IF(INDEX(Variablen!$I:$AT, MATCH(M137, Variablen!$A:$A, 0), MATCH((YEAR(D137)+6), Variablen!$I$3:$AT$3, 0))="",L137,INDEX(Variablen!$I:$AT, MATCH(M137, Variablen!$A:$A, 0), MATCH((YEAR(D137)+6), Variablen!$I$3:$AT$3, 0))),L137)))*(IF((YEAR(D137)+6)&lt;YEAR(E137),0,IF((YEAR(D137)+6)&gt;YEAR(E137),1,(12-MONTH(E137)+1)/12))) + (Q137)*(IF((YEAR(D137)+6)&lt;YEAR(E137),0,IF((YEAR(D137)+6)&gt;YEAR(E137),1,(12-MONTH(E137)+1)/12))))-((P137)*(IF((YEAR(D137)+6)&lt;YEAR(E137),0,IF((YEAR(D137)+6)&gt;YEAR(E137),1,(12-MONTH(E137)+1)/12))) + (R137)*(IF((YEAR(D137)+6)&lt;YEAR(E137),0,IF((YEAR(D137)+6)&gt;YEAR(E137),1,(12-MONTH(E137)+1)/12))))-(IF(OR(N137="",N137&lt;=0),0,(O137/N137)*(IF(OR(N137="",N137&lt;=0),0,IF((YEAR(D137)+6)&lt;YEAR(E137),0,IF((YEAR(D137)+6)&gt;=YEAR(E137)+N137,0,IF((YEAR(D137)+6)=YEAR(E137),(12-MONTH(E137)+1)/12,1))))))))*TaxRate,0))-IF(6=0,O137,0))</f>
        <v/>
      </c>
      <c r="Z137" s="29">
        <f>IF(A137="","",((K137)*(IF(M137="",L137,IFERROR(IF(INDEX(Variablen!$I:$AT, MATCH(M137, Variablen!$A:$A, 0), MATCH((YEAR(D137)+7), Variablen!$I$3:$AT$3, 0))="",L137,INDEX(Variablen!$I:$AT, MATCH(M137, Variablen!$A:$A, 0), MATCH((YEAR(D137)+7), Variablen!$I$3:$AT$3, 0))),L137)))*(IF((YEAR(D137)+7)&lt;YEAR(E137),0,IF((YEAR(D137)+7)&gt;YEAR(E137),1,(12-MONTH(E137)+1)/12))) + (Q137)*(IF((YEAR(D137)+7)&lt;YEAR(E137),0,IF((YEAR(D137)+7)&gt;YEAR(E137),1,(12-MONTH(E137)+1)/12))))-((P137)*(IF((YEAR(D137)+7)&lt;YEAR(E137),0,IF((YEAR(D137)+7)&gt;YEAR(E137),1,(12-MONTH(E137)+1)/12))) + (R137)*(IF((YEAR(D137)+7)&lt;YEAR(E137),0,IF((YEAR(D137)+7)&gt;YEAR(E137),1,(12-MONTH(E137)+1)/12))))-(IF((((K137)*(IF(M137="",L137,IFERROR(IF(INDEX(Variablen!$I:$AT, MATCH(M137, Variablen!$A:$A, 0), MATCH((YEAR(D137)+7), Variablen!$I$3:$AT$3, 0))="",L137,INDEX(Variablen!$I:$AT, MATCH(M137, Variablen!$A:$A, 0), MATCH((YEAR(D137)+7), Variablen!$I$3:$AT$3, 0))),L137)))*(IF((YEAR(D137)+7)&lt;YEAR(E137),0,IF((YEAR(D137)+7)&gt;YEAR(E137),1,(12-MONTH(E137)+1)/12))) + (Q137)*(IF((YEAR(D137)+7)&lt;YEAR(E137),0,IF((YEAR(D137)+7)&gt;YEAR(E137),1,(12-MONTH(E137)+1)/12))))-((P137)*(IF((YEAR(D137)+7)&lt;YEAR(E137),0,IF((YEAR(D137)+7)&gt;YEAR(E137),1,(12-MONTH(E137)+1)/12))) + (R137)*(IF((YEAR(D137)+7)&lt;YEAR(E137),0,IF((YEAR(D137)+7)&gt;YEAR(E137),1,(12-MONTH(E137)+1)/12))))-(IF(OR(N137="",N137&lt;=0),0,(O137/N137)*(IF(OR(N137="",N137&lt;=0),0,IF((YEAR(D137)+7)&lt;YEAR(E137),0,IF((YEAR(D137)+7)&gt;=YEAR(E137)+N137,0,IF((YEAR(D137)+7)=YEAR(E137),(12-MONTH(E137)+1)/12,1))))))))&gt;0,(((K137)*(IF(M137="",L137,IFERROR(IF(INDEX(Variablen!$I:$AT, MATCH(M137, Variablen!$A:$A, 0), MATCH((YEAR(D137)+7), Variablen!$I$3:$AT$3, 0))="",L137,INDEX(Variablen!$I:$AT, MATCH(M137, Variablen!$A:$A, 0), MATCH((YEAR(D137)+7), Variablen!$I$3:$AT$3, 0))),L137)))*(IF((YEAR(D137)+7)&lt;YEAR(E137),0,IF((YEAR(D137)+7)&gt;YEAR(E137),1,(12-MONTH(E137)+1)/12))) + (Q137)*(IF((YEAR(D137)+7)&lt;YEAR(E137),0,IF((YEAR(D137)+7)&gt;YEAR(E137),1,(12-MONTH(E137)+1)/12))))-((P137)*(IF((YEAR(D137)+7)&lt;YEAR(E137),0,IF((YEAR(D137)+7)&gt;YEAR(E137),1,(12-MONTH(E137)+1)/12))) + (R137)*(IF((YEAR(D137)+7)&lt;YEAR(E137),0,IF((YEAR(D137)+7)&gt;YEAR(E137),1,(12-MONTH(E137)+1)/12))))-(IF(OR(N137="",N137&lt;=0),0,(O137/N137)*(IF(OR(N137="",N137&lt;=0),0,IF((YEAR(D137)+7)&lt;YEAR(E137),0,IF((YEAR(D137)+7)&gt;=YEAR(E137)+N137,0,IF((YEAR(D137)+7)=YEAR(E137),(12-MONTH(E137)+1)/12,1))))))))*TaxRate,0))-IF(7=0,O137,0))</f>
        <v/>
      </c>
      <c r="AA137" s="29">
        <f>IF(A137="","",((K137)*(IF(M137="",L137,IFERROR(IF(INDEX(Variablen!$I:$AT, MATCH(M137, Variablen!$A:$A, 0), MATCH((YEAR(D137)+8), Variablen!$I$3:$AT$3, 0))="",L137,INDEX(Variablen!$I:$AT, MATCH(M137, Variablen!$A:$A, 0), MATCH((YEAR(D137)+8), Variablen!$I$3:$AT$3, 0))),L137)))*(IF((YEAR(D137)+8)&lt;YEAR(E137),0,IF((YEAR(D137)+8)&gt;YEAR(E137),1,(12-MONTH(E137)+1)/12))) + (Q137)*(IF((YEAR(D137)+8)&lt;YEAR(E137),0,IF((YEAR(D137)+8)&gt;YEAR(E137),1,(12-MONTH(E137)+1)/12))))-((P137)*(IF((YEAR(D137)+8)&lt;YEAR(E137),0,IF((YEAR(D137)+8)&gt;YEAR(E137),1,(12-MONTH(E137)+1)/12))) + (R137)*(IF((YEAR(D137)+8)&lt;YEAR(E137),0,IF((YEAR(D137)+8)&gt;YEAR(E137),1,(12-MONTH(E137)+1)/12))))-(IF((((K137)*(IF(M137="",L137,IFERROR(IF(INDEX(Variablen!$I:$AT, MATCH(M137, Variablen!$A:$A, 0), MATCH((YEAR(D137)+8), Variablen!$I$3:$AT$3, 0))="",L137,INDEX(Variablen!$I:$AT, MATCH(M137, Variablen!$A:$A, 0), MATCH((YEAR(D137)+8), Variablen!$I$3:$AT$3, 0))),L137)))*(IF((YEAR(D137)+8)&lt;YEAR(E137),0,IF((YEAR(D137)+8)&gt;YEAR(E137),1,(12-MONTH(E137)+1)/12))) + (Q137)*(IF((YEAR(D137)+8)&lt;YEAR(E137),0,IF((YEAR(D137)+8)&gt;YEAR(E137),1,(12-MONTH(E137)+1)/12))))-((P137)*(IF((YEAR(D137)+8)&lt;YEAR(E137),0,IF((YEAR(D137)+8)&gt;YEAR(E137),1,(12-MONTH(E137)+1)/12))) + (R137)*(IF((YEAR(D137)+8)&lt;YEAR(E137),0,IF((YEAR(D137)+8)&gt;YEAR(E137),1,(12-MONTH(E137)+1)/12))))-(IF(OR(N137="",N137&lt;=0),0,(O137/N137)*(IF(OR(N137="",N137&lt;=0),0,IF((YEAR(D137)+8)&lt;YEAR(E137),0,IF((YEAR(D137)+8)&gt;=YEAR(E137)+N137,0,IF((YEAR(D137)+8)=YEAR(E137),(12-MONTH(E137)+1)/12,1))))))))&gt;0,(((K137)*(IF(M137="",L137,IFERROR(IF(INDEX(Variablen!$I:$AT, MATCH(M137, Variablen!$A:$A, 0), MATCH((YEAR(D137)+8), Variablen!$I$3:$AT$3, 0))="",L137,INDEX(Variablen!$I:$AT, MATCH(M137, Variablen!$A:$A, 0), MATCH((YEAR(D137)+8), Variablen!$I$3:$AT$3, 0))),L137)))*(IF((YEAR(D137)+8)&lt;YEAR(E137),0,IF((YEAR(D137)+8)&gt;YEAR(E137),1,(12-MONTH(E137)+1)/12))) + (Q137)*(IF((YEAR(D137)+8)&lt;YEAR(E137),0,IF((YEAR(D137)+8)&gt;YEAR(E137),1,(12-MONTH(E137)+1)/12))))-((P137)*(IF((YEAR(D137)+8)&lt;YEAR(E137),0,IF((YEAR(D137)+8)&gt;YEAR(E137),1,(12-MONTH(E137)+1)/12))) + (R137)*(IF((YEAR(D137)+8)&lt;YEAR(E137),0,IF((YEAR(D137)+8)&gt;YEAR(E137),1,(12-MONTH(E137)+1)/12))))-(IF(OR(N137="",N137&lt;=0),0,(O137/N137)*(IF(OR(N137="",N137&lt;=0),0,IF((YEAR(D137)+8)&lt;YEAR(E137),0,IF((YEAR(D137)+8)&gt;=YEAR(E137)+N137,0,IF((YEAR(D137)+8)=YEAR(E137),(12-MONTH(E137)+1)/12,1))))))))*TaxRate,0))-IF(8=0,O137,0))</f>
        <v/>
      </c>
      <c r="AB137" s="29">
        <f>IF(A137="","",((K137)*(IF(M137="",L137,IFERROR(IF(INDEX(Variablen!$I:$AT, MATCH(M137, Variablen!$A:$A, 0), MATCH((YEAR(D137)+9), Variablen!$I$3:$AT$3, 0))="",L137,INDEX(Variablen!$I:$AT, MATCH(M137, Variablen!$A:$A, 0), MATCH((YEAR(D137)+9), Variablen!$I$3:$AT$3, 0))),L137)))*(IF((YEAR(D137)+9)&lt;YEAR(E137),0,IF((YEAR(D137)+9)&gt;YEAR(E137),1,(12-MONTH(E137)+1)/12))) + (Q137)*(IF((YEAR(D137)+9)&lt;YEAR(E137),0,IF((YEAR(D137)+9)&gt;YEAR(E137),1,(12-MONTH(E137)+1)/12))))-((P137)*(IF((YEAR(D137)+9)&lt;YEAR(E137),0,IF((YEAR(D137)+9)&gt;YEAR(E137),1,(12-MONTH(E137)+1)/12))) + (R137)*(IF((YEAR(D137)+9)&lt;YEAR(E137),0,IF((YEAR(D137)+9)&gt;YEAR(E137),1,(12-MONTH(E137)+1)/12))))-(IF((((K137)*(IF(M137="",L137,IFERROR(IF(INDEX(Variablen!$I:$AT, MATCH(M137, Variablen!$A:$A, 0), MATCH((YEAR(D137)+9), Variablen!$I$3:$AT$3, 0))="",L137,INDEX(Variablen!$I:$AT, MATCH(M137, Variablen!$A:$A, 0), MATCH((YEAR(D137)+9), Variablen!$I$3:$AT$3, 0))),L137)))*(IF((YEAR(D137)+9)&lt;YEAR(E137),0,IF((YEAR(D137)+9)&gt;YEAR(E137),1,(12-MONTH(E137)+1)/12))) + (Q137)*(IF((YEAR(D137)+9)&lt;YEAR(E137),0,IF((YEAR(D137)+9)&gt;YEAR(E137),1,(12-MONTH(E137)+1)/12))))-((P137)*(IF((YEAR(D137)+9)&lt;YEAR(E137),0,IF((YEAR(D137)+9)&gt;YEAR(E137),1,(12-MONTH(E137)+1)/12))) + (R137)*(IF((YEAR(D137)+9)&lt;YEAR(E137),0,IF((YEAR(D137)+9)&gt;YEAR(E137),1,(12-MONTH(E137)+1)/12))))-(IF(OR(N137="",N137&lt;=0),0,(O137/N137)*(IF(OR(N137="",N137&lt;=0),0,IF((YEAR(D137)+9)&lt;YEAR(E137),0,IF((YEAR(D137)+9)&gt;=YEAR(E137)+N137,0,IF((YEAR(D137)+9)=YEAR(E137),(12-MONTH(E137)+1)/12,1))))))))&gt;0,(((K137)*(IF(M137="",L137,IFERROR(IF(INDEX(Variablen!$I:$AT, MATCH(M137, Variablen!$A:$A, 0), MATCH((YEAR(D137)+9), Variablen!$I$3:$AT$3, 0))="",L137,INDEX(Variablen!$I:$AT, MATCH(M137, Variablen!$A:$A, 0), MATCH((YEAR(D137)+9), Variablen!$I$3:$AT$3, 0))),L137)))*(IF((YEAR(D137)+9)&lt;YEAR(E137),0,IF((YEAR(D137)+9)&gt;YEAR(E137),1,(12-MONTH(E137)+1)/12))) + (Q137)*(IF((YEAR(D137)+9)&lt;YEAR(E137),0,IF((YEAR(D137)+9)&gt;YEAR(E137),1,(12-MONTH(E137)+1)/12))))-((P137)*(IF((YEAR(D137)+9)&lt;YEAR(E137),0,IF((YEAR(D137)+9)&gt;YEAR(E137),1,(12-MONTH(E137)+1)/12))) + (R137)*(IF((YEAR(D137)+9)&lt;YEAR(E137),0,IF((YEAR(D137)+9)&gt;YEAR(E137),1,(12-MONTH(E137)+1)/12))))-(IF(OR(N137="",N137&lt;=0),0,(O137/N137)*(IF(OR(N137="",N137&lt;=0),0,IF((YEAR(D137)+9)&lt;YEAR(E137),0,IF((YEAR(D137)+9)&gt;=YEAR(E137)+N137,0,IF((YEAR(D137)+9)=YEAR(E137),(12-MONTH(E137)+1)/12,1))))))))*TaxRate,0))-IF(9=0,O137,0))</f>
        <v/>
      </c>
      <c r="AC137" s="29">
        <f>IF(A137="","",((K137)*(IF(M137="",L137,IFERROR(IF(INDEX(Variablen!$I:$AT, MATCH(M137, Variablen!$A:$A, 0), MATCH((YEAR(D137)+10), Variablen!$I$3:$AT$3, 0))="",L137,INDEX(Variablen!$I:$AT, MATCH(M137, Variablen!$A:$A, 0), MATCH((YEAR(D137)+10), Variablen!$I$3:$AT$3, 0))),L137)))*(IF((YEAR(D137)+10)&lt;YEAR(E137),0,IF((YEAR(D137)+10)&gt;YEAR(E137),1,(12-MONTH(E137)+1)/12))) + (Q137)*(IF((YEAR(D137)+10)&lt;YEAR(E137),0,IF((YEAR(D137)+10)&gt;YEAR(E137),1,(12-MONTH(E137)+1)/12))))-((P137)*(IF((YEAR(D137)+10)&lt;YEAR(E137),0,IF((YEAR(D137)+10)&gt;YEAR(E137),1,(12-MONTH(E137)+1)/12))) + (R137)*(IF((YEAR(D137)+10)&lt;YEAR(E137),0,IF((YEAR(D137)+10)&gt;YEAR(E137),1,(12-MONTH(E137)+1)/12))))-(IF((((K137)*(IF(M137="",L137,IFERROR(IF(INDEX(Variablen!$I:$AT, MATCH(M137, Variablen!$A:$A, 0), MATCH((YEAR(D137)+10), Variablen!$I$3:$AT$3, 0))="",L137,INDEX(Variablen!$I:$AT, MATCH(M137, Variablen!$A:$A, 0), MATCH((YEAR(D137)+10), Variablen!$I$3:$AT$3, 0))),L137)))*(IF((YEAR(D137)+10)&lt;YEAR(E137),0,IF((YEAR(D137)+10)&gt;YEAR(E137),1,(12-MONTH(E137)+1)/12))) + (Q137)*(IF((YEAR(D137)+10)&lt;YEAR(E137),0,IF((YEAR(D137)+10)&gt;YEAR(E137),1,(12-MONTH(E137)+1)/12))))-((P137)*(IF((YEAR(D137)+10)&lt;YEAR(E137),0,IF((YEAR(D137)+10)&gt;YEAR(E137),1,(12-MONTH(E137)+1)/12))) + (R137)*(IF((YEAR(D137)+10)&lt;YEAR(E137),0,IF((YEAR(D137)+10)&gt;YEAR(E137),1,(12-MONTH(E137)+1)/12))))-(IF(OR(N137="",N137&lt;=0),0,(O137/N137)*(IF(OR(N137="",N137&lt;=0),0,IF((YEAR(D137)+10)&lt;YEAR(E137),0,IF((YEAR(D137)+10)&gt;=YEAR(E137)+N137,0,IF((YEAR(D137)+10)=YEAR(E137),(12-MONTH(E137)+1)/12,1))))))))&gt;0,(((K137)*(IF(M137="",L137,IFERROR(IF(INDEX(Variablen!$I:$AT, MATCH(M137, Variablen!$A:$A, 0), MATCH((YEAR(D137)+10), Variablen!$I$3:$AT$3, 0))="",L137,INDEX(Variablen!$I:$AT, MATCH(M137, Variablen!$A:$A, 0), MATCH((YEAR(D137)+10), Variablen!$I$3:$AT$3, 0))),L137)))*(IF((YEAR(D137)+10)&lt;YEAR(E137),0,IF((YEAR(D137)+10)&gt;YEAR(E137),1,(12-MONTH(E137)+1)/12))) + (Q137)*(IF((YEAR(D137)+10)&lt;YEAR(E137),0,IF((YEAR(D137)+10)&gt;YEAR(E137),1,(12-MONTH(E137)+1)/12))))-((P137)*(IF((YEAR(D137)+10)&lt;YEAR(E137),0,IF((YEAR(D137)+10)&gt;YEAR(E137),1,(12-MONTH(E137)+1)/12))) + (R137)*(IF((YEAR(D137)+10)&lt;YEAR(E137),0,IF((YEAR(D137)+10)&gt;YEAR(E137),1,(12-MONTH(E137)+1)/12))))-(IF(OR(N137="",N137&lt;=0),0,(O137/N137)*(IF(OR(N137="",N137&lt;=0),0,IF((YEAR(D137)+10)&lt;YEAR(E137),0,IF((YEAR(D137)+10)&gt;=YEAR(E137)+N137,0,IF((YEAR(D137)+10)=YEAR(E137),(12-MONTH(E137)+1)/12,1))))))))*TaxRate,0))-IF(10=0,O137,0))</f>
        <v/>
      </c>
      <c r="AD137" s="29">
        <f>IF(A137="","",((K137)*(IF(M137="",L137,IFERROR(IF(INDEX(Variablen!$I:$AT, MATCH(M137, Variablen!$A:$A, 0), MATCH((YEAR(D137)+11), Variablen!$I$3:$AT$3, 0))="",L137,INDEX(Variablen!$I:$AT, MATCH(M137, Variablen!$A:$A, 0), MATCH((YEAR(D137)+11), Variablen!$I$3:$AT$3, 0))),L137)))*(IF((YEAR(D137)+11)&lt;YEAR(E137),0,IF((YEAR(D137)+11)&gt;YEAR(E137),1,(12-MONTH(E137)+1)/12))) + (Q137)*(IF((YEAR(D137)+11)&lt;YEAR(E137),0,IF((YEAR(D137)+11)&gt;YEAR(E137),1,(12-MONTH(E137)+1)/12))))-((P137)*(IF((YEAR(D137)+11)&lt;YEAR(E137),0,IF((YEAR(D137)+11)&gt;YEAR(E137),1,(12-MONTH(E137)+1)/12))) + (R137)*(IF((YEAR(D137)+11)&lt;YEAR(E137),0,IF((YEAR(D137)+11)&gt;YEAR(E137),1,(12-MONTH(E137)+1)/12))))-(IF((((K137)*(IF(M137="",L137,IFERROR(IF(INDEX(Variablen!$I:$AT, MATCH(M137, Variablen!$A:$A, 0), MATCH((YEAR(D137)+11), Variablen!$I$3:$AT$3, 0))="",L137,INDEX(Variablen!$I:$AT, MATCH(M137, Variablen!$A:$A, 0), MATCH((YEAR(D137)+11), Variablen!$I$3:$AT$3, 0))),L137)))*(IF((YEAR(D137)+11)&lt;YEAR(E137),0,IF((YEAR(D137)+11)&gt;YEAR(E137),1,(12-MONTH(E137)+1)/12))) + (Q137)*(IF((YEAR(D137)+11)&lt;YEAR(E137),0,IF((YEAR(D137)+11)&gt;YEAR(E137),1,(12-MONTH(E137)+1)/12))))-((P137)*(IF((YEAR(D137)+11)&lt;YEAR(E137),0,IF((YEAR(D137)+11)&gt;YEAR(E137),1,(12-MONTH(E137)+1)/12))) + (R137)*(IF((YEAR(D137)+11)&lt;YEAR(E137),0,IF((YEAR(D137)+11)&gt;YEAR(E137),1,(12-MONTH(E137)+1)/12))))-(IF(OR(N137="",N137&lt;=0),0,(O137/N137)*(IF(OR(N137="",N137&lt;=0),0,IF((YEAR(D137)+11)&lt;YEAR(E137),0,IF((YEAR(D137)+11)&gt;=YEAR(E137)+N137,0,IF((YEAR(D137)+11)=YEAR(E137),(12-MONTH(E137)+1)/12,1))))))))&gt;0,(((K137)*(IF(M137="",L137,IFERROR(IF(INDEX(Variablen!$I:$AT, MATCH(M137, Variablen!$A:$A, 0), MATCH((YEAR(D137)+11), Variablen!$I$3:$AT$3, 0))="",L137,INDEX(Variablen!$I:$AT, MATCH(M137, Variablen!$A:$A, 0), MATCH((YEAR(D137)+11), Variablen!$I$3:$AT$3, 0))),L137)))*(IF((YEAR(D137)+11)&lt;YEAR(E137),0,IF((YEAR(D137)+11)&gt;YEAR(E137),1,(12-MONTH(E137)+1)/12))) + (Q137)*(IF((YEAR(D137)+11)&lt;YEAR(E137),0,IF((YEAR(D137)+11)&gt;YEAR(E137),1,(12-MONTH(E137)+1)/12))))-((P137)*(IF((YEAR(D137)+11)&lt;YEAR(E137),0,IF((YEAR(D137)+11)&gt;YEAR(E137),1,(12-MONTH(E137)+1)/12))) + (R137)*(IF((YEAR(D137)+11)&lt;YEAR(E137),0,IF((YEAR(D137)+11)&gt;YEAR(E137),1,(12-MONTH(E137)+1)/12))))-(IF(OR(N137="",N137&lt;=0),0,(O137/N137)*(IF(OR(N137="",N137&lt;=0),0,IF((YEAR(D137)+11)&lt;YEAR(E137),0,IF((YEAR(D137)+11)&gt;=YEAR(E137)+N137,0,IF((YEAR(D137)+11)=YEAR(E137),(12-MONTH(E137)+1)/12,1))))))))*TaxRate,0))-IF(11=0,O137,0))</f>
        <v/>
      </c>
      <c r="AE137" s="29">
        <f>IF(A137="","",((K137)*(IF(M137="",L137,IFERROR(IF(INDEX(Variablen!$I:$AT, MATCH(M137, Variablen!$A:$A, 0), MATCH((YEAR(D137)+12), Variablen!$I$3:$AT$3, 0))="",L137,INDEX(Variablen!$I:$AT, MATCH(M137, Variablen!$A:$A, 0), MATCH((YEAR(D137)+12), Variablen!$I$3:$AT$3, 0))),L137)))*(IF((YEAR(D137)+12)&lt;YEAR(E137),0,IF((YEAR(D137)+12)&gt;YEAR(E137),1,(12-MONTH(E137)+1)/12))) + (Q137)*(IF((YEAR(D137)+12)&lt;YEAR(E137),0,IF((YEAR(D137)+12)&gt;YEAR(E137),1,(12-MONTH(E137)+1)/12))))-((P137)*(IF((YEAR(D137)+12)&lt;YEAR(E137),0,IF((YEAR(D137)+12)&gt;YEAR(E137),1,(12-MONTH(E137)+1)/12))) + (R137)*(IF((YEAR(D137)+12)&lt;YEAR(E137),0,IF((YEAR(D137)+12)&gt;YEAR(E137),1,(12-MONTH(E137)+1)/12))))-(IF((((K137)*(IF(M137="",L137,IFERROR(IF(INDEX(Variablen!$I:$AT, MATCH(M137, Variablen!$A:$A, 0), MATCH((YEAR(D137)+12), Variablen!$I$3:$AT$3, 0))="",L137,INDEX(Variablen!$I:$AT, MATCH(M137, Variablen!$A:$A, 0), MATCH((YEAR(D137)+12), Variablen!$I$3:$AT$3, 0))),L137)))*(IF((YEAR(D137)+12)&lt;YEAR(E137),0,IF((YEAR(D137)+12)&gt;YEAR(E137),1,(12-MONTH(E137)+1)/12))) + (Q137)*(IF((YEAR(D137)+12)&lt;YEAR(E137),0,IF((YEAR(D137)+12)&gt;YEAR(E137),1,(12-MONTH(E137)+1)/12))))-((P137)*(IF((YEAR(D137)+12)&lt;YEAR(E137),0,IF((YEAR(D137)+12)&gt;YEAR(E137),1,(12-MONTH(E137)+1)/12))) + (R137)*(IF((YEAR(D137)+12)&lt;YEAR(E137),0,IF((YEAR(D137)+12)&gt;YEAR(E137),1,(12-MONTH(E137)+1)/12))))-(IF(OR(N137="",N137&lt;=0),0,(O137/N137)*(IF(OR(N137="",N137&lt;=0),0,IF((YEAR(D137)+12)&lt;YEAR(E137),0,IF((YEAR(D137)+12)&gt;=YEAR(E137)+N137,0,IF((YEAR(D137)+12)=YEAR(E137),(12-MONTH(E137)+1)/12,1))))))))&gt;0,(((K137)*(IF(M137="",L137,IFERROR(IF(INDEX(Variablen!$I:$AT, MATCH(M137, Variablen!$A:$A, 0), MATCH((YEAR(D137)+12), Variablen!$I$3:$AT$3, 0))="",L137,INDEX(Variablen!$I:$AT, MATCH(M137, Variablen!$A:$A, 0), MATCH((YEAR(D137)+12), Variablen!$I$3:$AT$3, 0))),L137)))*(IF((YEAR(D137)+12)&lt;YEAR(E137),0,IF((YEAR(D137)+12)&gt;YEAR(E137),1,(12-MONTH(E137)+1)/12))) + (Q137)*(IF((YEAR(D137)+12)&lt;YEAR(E137),0,IF((YEAR(D137)+12)&gt;YEAR(E137),1,(12-MONTH(E137)+1)/12))))-((P137)*(IF((YEAR(D137)+12)&lt;YEAR(E137),0,IF((YEAR(D137)+12)&gt;YEAR(E137),1,(12-MONTH(E137)+1)/12))) + (R137)*(IF((YEAR(D137)+12)&lt;YEAR(E137),0,IF((YEAR(D137)+12)&gt;YEAR(E137),1,(12-MONTH(E137)+1)/12))))-(IF(OR(N137="",N137&lt;=0),0,(O137/N137)*(IF(OR(N137="",N137&lt;=0),0,IF((YEAR(D137)+12)&lt;YEAR(E137),0,IF((YEAR(D137)+12)&gt;=YEAR(E137)+N137,0,IF((YEAR(D137)+12)=YEAR(E137),(12-MONTH(E137)+1)/12,1))))))))*TaxRate,0))-IF(12=0,O137,0))</f>
        <v/>
      </c>
      <c r="AF137" s="29">
        <f>IF(A137="","",((K137)*(IF(M137="",L137,IFERROR(IF(INDEX(Variablen!$I:$AT, MATCH(M137, Variablen!$A:$A, 0), MATCH((YEAR(D137)+13), Variablen!$I$3:$AT$3, 0))="",L137,INDEX(Variablen!$I:$AT, MATCH(M137, Variablen!$A:$A, 0), MATCH((YEAR(D137)+13), Variablen!$I$3:$AT$3, 0))),L137)))*(IF((YEAR(D137)+13)&lt;YEAR(E137),0,IF((YEAR(D137)+13)&gt;YEAR(E137),1,(12-MONTH(E137)+1)/12))) + (Q137)*(IF((YEAR(D137)+13)&lt;YEAR(E137),0,IF((YEAR(D137)+13)&gt;YEAR(E137),1,(12-MONTH(E137)+1)/12))))-((P137)*(IF((YEAR(D137)+13)&lt;YEAR(E137),0,IF((YEAR(D137)+13)&gt;YEAR(E137),1,(12-MONTH(E137)+1)/12))) + (R137)*(IF((YEAR(D137)+13)&lt;YEAR(E137),0,IF((YEAR(D137)+13)&gt;YEAR(E137),1,(12-MONTH(E137)+1)/12))))-(IF((((K137)*(IF(M137="",L137,IFERROR(IF(INDEX(Variablen!$I:$AT, MATCH(M137, Variablen!$A:$A, 0), MATCH((YEAR(D137)+13), Variablen!$I$3:$AT$3, 0))="",L137,INDEX(Variablen!$I:$AT, MATCH(M137, Variablen!$A:$A, 0), MATCH((YEAR(D137)+13), Variablen!$I$3:$AT$3, 0))),L137)))*(IF((YEAR(D137)+13)&lt;YEAR(E137),0,IF((YEAR(D137)+13)&gt;YEAR(E137),1,(12-MONTH(E137)+1)/12))) + (Q137)*(IF((YEAR(D137)+13)&lt;YEAR(E137),0,IF((YEAR(D137)+13)&gt;YEAR(E137),1,(12-MONTH(E137)+1)/12))))-((P137)*(IF((YEAR(D137)+13)&lt;YEAR(E137),0,IF((YEAR(D137)+13)&gt;YEAR(E137),1,(12-MONTH(E137)+1)/12))) + (R137)*(IF((YEAR(D137)+13)&lt;YEAR(E137),0,IF((YEAR(D137)+13)&gt;YEAR(E137),1,(12-MONTH(E137)+1)/12))))-(IF(OR(N137="",N137&lt;=0),0,(O137/N137)*(IF(OR(N137="",N137&lt;=0),0,IF((YEAR(D137)+13)&lt;YEAR(E137),0,IF((YEAR(D137)+13)&gt;=YEAR(E137)+N137,0,IF((YEAR(D137)+13)=YEAR(E137),(12-MONTH(E137)+1)/12,1))))))))&gt;0,(((K137)*(IF(M137="",L137,IFERROR(IF(INDEX(Variablen!$I:$AT, MATCH(M137, Variablen!$A:$A, 0), MATCH((YEAR(D137)+13), Variablen!$I$3:$AT$3, 0))="",L137,INDEX(Variablen!$I:$AT, MATCH(M137, Variablen!$A:$A, 0), MATCH((YEAR(D137)+13), Variablen!$I$3:$AT$3, 0))),L137)))*(IF((YEAR(D137)+13)&lt;YEAR(E137),0,IF((YEAR(D137)+13)&gt;YEAR(E137),1,(12-MONTH(E137)+1)/12))) + (Q137)*(IF((YEAR(D137)+13)&lt;YEAR(E137),0,IF((YEAR(D137)+13)&gt;YEAR(E137),1,(12-MONTH(E137)+1)/12))))-((P137)*(IF((YEAR(D137)+13)&lt;YEAR(E137),0,IF((YEAR(D137)+13)&gt;YEAR(E137),1,(12-MONTH(E137)+1)/12))) + (R137)*(IF((YEAR(D137)+13)&lt;YEAR(E137),0,IF((YEAR(D137)+13)&gt;YEAR(E137),1,(12-MONTH(E137)+1)/12))))-(IF(OR(N137="",N137&lt;=0),0,(O137/N137)*(IF(OR(N137="",N137&lt;=0),0,IF((YEAR(D137)+13)&lt;YEAR(E137),0,IF((YEAR(D137)+13)&gt;=YEAR(E137)+N137,0,IF((YEAR(D137)+13)=YEAR(E137),(12-MONTH(E137)+1)/12,1))))))))*TaxRate,0))-IF(13=0,O137,0))</f>
        <v/>
      </c>
      <c r="AG137" s="29">
        <f>IF(A137="","",((K137)*(IF(M137="",L137,IFERROR(IF(INDEX(Variablen!$I:$AT, MATCH(M137, Variablen!$A:$A, 0), MATCH((YEAR(D137)+14), Variablen!$I$3:$AT$3, 0))="",L137,INDEX(Variablen!$I:$AT, MATCH(M137, Variablen!$A:$A, 0), MATCH((YEAR(D137)+14), Variablen!$I$3:$AT$3, 0))),L137)))*(IF((YEAR(D137)+14)&lt;YEAR(E137),0,IF((YEAR(D137)+14)&gt;YEAR(E137),1,(12-MONTH(E137)+1)/12))) + (Q137)*(IF((YEAR(D137)+14)&lt;YEAR(E137),0,IF((YEAR(D137)+14)&gt;YEAR(E137),1,(12-MONTH(E137)+1)/12))))-((P137)*(IF((YEAR(D137)+14)&lt;YEAR(E137),0,IF((YEAR(D137)+14)&gt;YEAR(E137),1,(12-MONTH(E137)+1)/12))) + (R137)*(IF((YEAR(D137)+14)&lt;YEAR(E137),0,IF((YEAR(D137)+14)&gt;YEAR(E137),1,(12-MONTH(E137)+1)/12))))-(IF((((K137)*(IF(M137="",L137,IFERROR(IF(INDEX(Variablen!$I:$AT, MATCH(M137, Variablen!$A:$A, 0), MATCH((YEAR(D137)+14), Variablen!$I$3:$AT$3, 0))="",L137,INDEX(Variablen!$I:$AT, MATCH(M137, Variablen!$A:$A, 0), MATCH((YEAR(D137)+14), Variablen!$I$3:$AT$3, 0))),L137)))*(IF((YEAR(D137)+14)&lt;YEAR(E137),0,IF((YEAR(D137)+14)&gt;YEAR(E137),1,(12-MONTH(E137)+1)/12))) + (Q137)*(IF((YEAR(D137)+14)&lt;YEAR(E137),0,IF((YEAR(D137)+14)&gt;YEAR(E137),1,(12-MONTH(E137)+1)/12))))-((P137)*(IF((YEAR(D137)+14)&lt;YEAR(E137),0,IF((YEAR(D137)+14)&gt;YEAR(E137),1,(12-MONTH(E137)+1)/12))) + (R137)*(IF((YEAR(D137)+14)&lt;YEAR(E137),0,IF((YEAR(D137)+14)&gt;YEAR(E137),1,(12-MONTH(E137)+1)/12))))-(IF(OR(N137="",N137&lt;=0),0,(O137/N137)*(IF(OR(N137="",N137&lt;=0),0,IF((YEAR(D137)+14)&lt;YEAR(E137),0,IF((YEAR(D137)+14)&gt;=YEAR(E137)+N137,0,IF((YEAR(D137)+14)=YEAR(E137),(12-MONTH(E137)+1)/12,1))))))))&gt;0,(((K137)*(IF(M137="",L137,IFERROR(IF(INDEX(Variablen!$I:$AT, MATCH(M137, Variablen!$A:$A, 0), MATCH((YEAR(D137)+14), Variablen!$I$3:$AT$3, 0))="",L137,INDEX(Variablen!$I:$AT, MATCH(M137, Variablen!$A:$A, 0), MATCH((YEAR(D137)+14), Variablen!$I$3:$AT$3, 0))),L137)))*(IF((YEAR(D137)+14)&lt;YEAR(E137),0,IF((YEAR(D137)+14)&gt;YEAR(E137),1,(12-MONTH(E137)+1)/12))) + (Q137)*(IF((YEAR(D137)+14)&lt;YEAR(E137),0,IF((YEAR(D137)+14)&gt;YEAR(E137),1,(12-MONTH(E137)+1)/12))))-((P137)*(IF((YEAR(D137)+14)&lt;YEAR(E137),0,IF((YEAR(D137)+14)&gt;YEAR(E137),1,(12-MONTH(E137)+1)/12))) + (R137)*(IF((YEAR(D137)+14)&lt;YEAR(E137),0,IF((YEAR(D137)+14)&gt;YEAR(E137),1,(12-MONTH(E137)+1)/12))))-(IF(OR(N137="",N137&lt;=0),0,(O137/N137)*(IF(OR(N137="",N137&lt;=0),0,IF((YEAR(D137)+14)&lt;YEAR(E137),0,IF((YEAR(D137)+14)&gt;=YEAR(E137)+N137,0,IF((YEAR(D137)+14)=YEAR(E137),(12-MONTH(E137)+1)/12,1))))))))*TaxRate,0))-IF(14=0,O137,0))</f>
        <v/>
      </c>
      <c r="AH137" s="29">
        <f>IF(A137="","",((K137)*(IF(M137="",L137,IFERROR(IF(INDEX(Variablen!$I:$AT, MATCH(M137, Variablen!$A:$A, 0), MATCH((YEAR(D137)+15), Variablen!$I$3:$AT$3, 0))="",L137,INDEX(Variablen!$I:$AT, MATCH(M137, Variablen!$A:$A, 0), MATCH((YEAR(D137)+15), Variablen!$I$3:$AT$3, 0))),L137)))*(IF((YEAR(D137)+15)&lt;YEAR(E137),0,IF((YEAR(D137)+15)&gt;YEAR(E137),1,(12-MONTH(E137)+1)/12))) + (Q137)*(IF((YEAR(D137)+15)&lt;YEAR(E137),0,IF((YEAR(D137)+15)&gt;YEAR(E137),1,(12-MONTH(E137)+1)/12))))-((P137)*(IF((YEAR(D137)+15)&lt;YEAR(E137),0,IF((YEAR(D137)+15)&gt;YEAR(E137),1,(12-MONTH(E137)+1)/12))) + (R137)*(IF((YEAR(D137)+15)&lt;YEAR(E137),0,IF((YEAR(D137)+15)&gt;YEAR(E137),1,(12-MONTH(E137)+1)/12))))-(IF((((K137)*(IF(M137="",L137,IFERROR(IF(INDEX(Variablen!$I:$AT, MATCH(M137, Variablen!$A:$A, 0), MATCH((YEAR(D137)+15), Variablen!$I$3:$AT$3, 0))="",L137,INDEX(Variablen!$I:$AT, MATCH(M137, Variablen!$A:$A, 0), MATCH((YEAR(D137)+15), Variablen!$I$3:$AT$3, 0))),L137)))*(IF((YEAR(D137)+15)&lt;YEAR(E137),0,IF((YEAR(D137)+15)&gt;YEAR(E137),1,(12-MONTH(E137)+1)/12))) + (Q137)*(IF((YEAR(D137)+15)&lt;YEAR(E137),0,IF((YEAR(D137)+15)&gt;YEAR(E137),1,(12-MONTH(E137)+1)/12))))-((P137)*(IF((YEAR(D137)+15)&lt;YEAR(E137),0,IF((YEAR(D137)+15)&gt;YEAR(E137),1,(12-MONTH(E137)+1)/12))) + (R137)*(IF((YEAR(D137)+15)&lt;YEAR(E137),0,IF((YEAR(D137)+15)&gt;YEAR(E137),1,(12-MONTH(E137)+1)/12))))-(IF(OR(N137="",N137&lt;=0),0,(O137/N137)*(IF(OR(N137="",N137&lt;=0),0,IF((YEAR(D137)+15)&lt;YEAR(E137),0,IF((YEAR(D137)+15)&gt;=YEAR(E137)+N137,0,IF((YEAR(D137)+15)=YEAR(E137),(12-MONTH(E137)+1)/12,1))))))))&gt;0,(((K137)*(IF(M137="",L137,IFERROR(IF(INDEX(Variablen!$I:$AT, MATCH(M137, Variablen!$A:$A, 0), MATCH((YEAR(D137)+15), Variablen!$I$3:$AT$3, 0))="",L137,INDEX(Variablen!$I:$AT, MATCH(M137, Variablen!$A:$A, 0), MATCH((YEAR(D137)+15), Variablen!$I$3:$AT$3, 0))),L137)))*(IF((YEAR(D137)+15)&lt;YEAR(E137),0,IF((YEAR(D137)+15)&gt;YEAR(E137),1,(12-MONTH(E137)+1)/12))) + (Q137)*(IF((YEAR(D137)+15)&lt;YEAR(E137),0,IF((YEAR(D137)+15)&gt;YEAR(E137),1,(12-MONTH(E137)+1)/12))))-((P137)*(IF((YEAR(D137)+15)&lt;YEAR(E137),0,IF((YEAR(D137)+15)&gt;YEAR(E137),1,(12-MONTH(E137)+1)/12))) + (R137)*(IF((YEAR(D137)+15)&lt;YEAR(E137),0,IF((YEAR(D137)+15)&gt;YEAR(E137),1,(12-MONTH(E137)+1)/12))))-(IF(OR(N137="",N137&lt;=0),0,(O137/N137)*(IF(OR(N137="",N137&lt;=0),0,IF((YEAR(D137)+15)&lt;YEAR(E137),0,IF((YEAR(D137)+15)&gt;=YEAR(E137)+N137,0,IF((YEAR(D137)+15)=YEAR(E137),(12-MONTH(E137)+1)/12,1))))))))*TaxRate,0))-IF(15=0,O137,0))</f>
        <v/>
      </c>
      <c r="AI137" s="29">
        <f>IF(A137="","",((K137)*(IF(M137="",L137,IFERROR(IF(INDEX(Variablen!$I:$AT, MATCH(M137, Variablen!$A:$A, 0), MATCH((YEAR(D137)+16), Variablen!$I$3:$AT$3, 0))="",L137,INDEX(Variablen!$I:$AT, MATCH(M137, Variablen!$A:$A, 0), MATCH((YEAR(D137)+16), Variablen!$I$3:$AT$3, 0))),L137)))*(IF((YEAR(D137)+16)&lt;YEAR(E137),0,IF((YEAR(D137)+16)&gt;YEAR(E137),1,(12-MONTH(E137)+1)/12))) + (Q137)*(IF((YEAR(D137)+16)&lt;YEAR(E137),0,IF((YEAR(D137)+16)&gt;YEAR(E137),1,(12-MONTH(E137)+1)/12))))-((P137)*(IF((YEAR(D137)+16)&lt;YEAR(E137),0,IF((YEAR(D137)+16)&gt;YEAR(E137),1,(12-MONTH(E137)+1)/12))) + (R137)*(IF((YEAR(D137)+16)&lt;YEAR(E137),0,IF((YEAR(D137)+16)&gt;YEAR(E137),1,(12-MONTH(E137)+1)/12))))-(IF((((K137)*(IF(M137="",L137,IFERROR(IF(INDEX(Variablen!$I:$AT, MATCH(M137, Variablen!$A:$A, 0), MATCH((YEAR(D137)+16), Variablen!$I$3:$AT$3, 0))="",L137,INDEX(Variablen!$I:$AT, MATCH(M137, Variablen!$A:$A, 0), MATCH((YEAR(D137)+16), Variablen!$I$3:$AT$3, 0))),L137)))*(IF((YEAR(D137)+16)&lt;YEAR(E137),0,IF((YEAR(D137)+16)&gt;YEAR(E137),1,(12-MONTH(E137)+1)/12))) + (Q137)*(IF((YEAR(D137)+16)&lt;YEAR(E137),0,IF((YEAR(D137)+16)&gt;YEAR(E137),1,(12-MONTH(E137)+1)/12))))-((P137)*(IF((YEAR(D137)+16)&lt;YEAR(E137),0,IF((YEAR(D137)+16)&gt;YEAR(E137),1,(12-MONTH(E137)+1)/12))) + (R137)*(IF((YEAR(D137)+16)&lt;YEAR(E137),0,IF((YEAR(D137)+16)&gt;YEAR(E137),1,(12-MONTH(E137)+1)/12))))-(IF(OR(N137="",N137&lt;=0),0,(O137/N137)*(IF(OR(N137="",N137&lt;=0),0,IF((YEAR(D137)+16)&lt;YEAR(E137),0,IF((YEAR(D137)+16)&gt;=YEAR(E137)+N137,0,IF((YEAR(D137)+16)=YEAR(E137),(12-MONTH(E137)+1)/12,1))))))))&gt;0,(((K137)*(IF(M137="",L137,IFERROR(IF(INDEX(Variablen!$I:$AT, MATCH(M137, Variablen!$A:$A, 0), MATCH((YEAR(D137)+16), Variablen!$I$3:$AT$3, 0))="",L137,INDEX(Variablen!$I:$AT, MATCH(M137, Variablen!$A:$A, 0), MATCH((YEAR(D137)+16), Variablen!$I$3:$AT$3, 0))),L137)))*(IF((YEAR(D137)+16)&lt;YEAR(E137),0,IF((YEAR(D137)+16)&gt;YEAR(E137),1,(12-MONTH(E137)+1)/12))) + (Q137)*(IF((YEAR(D137)+16)&lt;YEAR(E137),0,IF((YEAR(D137)+16)&gt;YEAR(E137),1,(12-MONTH(E137)+1)/12))))-((P137)*(IF((YEAR(D137)+16)&lt;YEAR(E137),0,IF((YEAR(D137)+16)&gt;YEAR(E137),1,(12-MONTH(E137)+1)/12))) + (R137)*(IF((YEAR(D137)+16)&lt;YEAR(E137),0,IF((YEAR(D137)+16)&gt;YEAR(E137),1,(12-MONTH(E137)+1)/12))))-(IF(OR(N137="",N137&lt;=0),0,(O137/N137)*(IF(OR(N137="",N137&lt;=0),0,IF((YEAR(D137)+16)&lt;YEAR(E137),0,IF((YEAR(D137)+16)&gt;=YEAR(E137)+N137,0,IF((YEAR(D137)+16)=YEAR(E137),(12-MONTH(E137)+1)/12,1))))))))*TaxRate,0))-IF(16=0,O137,0))</f>
        <v/>
      </c>
      <c r="AJ137" s="29">
        <f>IF(A137="","",((K137)*(IF(M137="",L137,IFERROR(IF(INDEX(Variablen!$I:$AT, MATCH(M137, Variablen!$A:$A, 0), MATCH((YEAR(D137)+17), Variablen!$I$3:$AT$3, 0))="",L137,INDEX(Variablen!$I:$AT, MATCH(M137, Variablen!$A:$A, 0), MATCH((YEAR(D137)+17), Variablen!$I$3:$AT$3, 0))),L137)))*(IF((YEAR(D137)+17)&lt;YEAR(E137),0,IF((YEAR(D137)+17)&gt;YEAR(E137),1,(12-MONTH(E137)+1)/12))) + (Q137)*(IF((YEAR(D137)+17)&lt;YEAR(E137),0,IF((YEAR(D137)+17)&gt;YEAR(E137),1,(12-MONTH(E137)+1)/12))))-((P137)*(IF((YEAR(D137)+17)&lt;YEAR(E137),0,IF((YEAR(D137)+17)&gt;YEAR(E137),1,(12-MONTH(E137)+1)/12))) + (R137)*(IF((YEAR(D137)+17)&lt;YEAR(E137),0,IF((YEAR(D137)+17)&gt;YEAR(E137),1,(12-MONTH(E137)+1)/12))))-(IF((((K137)*(IF(M137="",L137,IFERROR(IF(INDEX(Variablen!$I:$AT, MATCH(M137, Variablen!$A:$A, 0), MATCH((YEAR(D137)+17), Variablen!$I$3:$AT$3, 0))="",L137,INDEX(Variablen!$I:$AT, MATCH(M137, Variablen!$A:$A, 0), MATCH((YEAR(D137)+17), Variablen!$I$3:$AT$3, 0))),L137)))*(IF((YEAR(D137)+17)&lt;YEAR(E137),0,IF((YEAR(D137)+17)&gt;YEAR(E137),1,(12-MONTH(E137)+1)/12))) + (Q137)*(IF((YEAR(D137)+17)&lt;YEAR(E137),0,IF((YEAR(D137)+17)&gt;YEAR(E137),1,(12-MONTH(E137)+1)/12))))-((P137)*(IF((YEAR(D137)+17)&lt;YEAR(E137),0,IF((YEAR(D137)+17)&gt;YEAR(E137),1,(12-MONTH(E137)+1)/12))) + (R137)*(IF((YEAR(D137)+17)&lt;YEAR(E137),0,IF((YEAR(D137)+17)&gt;YEAR(E137),1,(12-MONTH(E137)+1)/12))))-(IF(OR(N137="",N137&lt;=0),0,(O137/N137)*(IF(OR(N137="",N137&lt;=0),0,IF((YEAR(D137)+17)&lt;YEAR(E137),0,IF((YEAR(D137)+17)&gt;=YEAR(E137)+N137,0,IF((YEAR(D137)+17)=YEAR(E137),(12-MONTH(E137)+1)/12,1))))))))&gt;0,(((K137)*(IF(M137="",L137,IFERROR(IF(INDEX(Variablen!$I:$AT, MATCH(M137, Variablen!$A:$A, 0), MATCH((YEAR(D137)+17), Variablen!$I$3:$AT$3, 0))="",L137,INDEX(Variablen!$I:$AT, MATCH(M137, Variablen!$A:$A, 0), MATCH((YEAR(D137)+17), Variablen!$I$3:$AT$3, 0))),L137)))*(IF((YEAR(D137)+17)&lt;YEAR(E137),0,IF((YEAR(D137)+17)&gt;YEAR(E137),1,(12-MONTH(E137)+1)/12))) + (Q137)*(IF((YEAR(D137)+17)&lt;YEAR(E137),0,IF((YEAR(D137)+17)&gt;YEAR(E137),1,(12-MONTH(E137)+1)/12))))-((P137)*(IF((YEAR(D137)+17)&lt;YEAR(E137),0,IF((YEAR(D137)+17)&gt;YEAR(E137),1,(12-MONTH(E137)+1)/12))) + (R137)*(IF((YEAR(D137)+17)&lt;YEAR(E137),0,IF((YEAR(D137)+17)&gt;YEAR(E137),1,(12-MONTH(E137)+1)/12))))-(IF(OR(N137="",N137&lt;=0),0,(O137/N137)*(IF(OR(N137="",N137&lt;=0),0,IF((YEAR(D137)+17)&lt;YEAR(E137),0,IF((YEAR(D137)+17)&gt;=YEAR(E137)+N137,0,IF((YEAR(D137)+17)=YEAR(E137),(12-MONTH(E137)+1)/12,1))))))))*TaxRate,0))-IF(17=0,O137,0))</f>
        <v/>
      </c>
      <c r="AK137" s="29">
        <f>IF(A137="","",((K137)*(IF(M137="",L137,IFERROR(IF(INDEX(Variablen!$I:$AT, MATCH(M137, Variablen!$A:$A, 0), MATCH((YEAR(D137)+18), Variablen!$I$3:$AT$3, 0))="",L137,INDEX(Variablen!$I:$AT, MATCH(M137, Variablen!$A:$A, 0), MATCH((YEAR(D137)+18), Variablen!$I$3:$AT$3, 0))),L137)))*(IF((YEAR(D137)+18)&lt;YEAR(E137),0,IF((YEAR(D137)+18)&gt;YEAR(E137),1,(12-MONTH(E137)+1)/12))) + (Q137)*(IF((YEAR(D137)+18)&lt;YEAR(E137),0,IF((YEAR(D137)+18)&gt;YEAR(E137),1,(12-MONTH(E137)+1)/12))))-((P137)*(IF((YEAR(D137)+18)&lt;YEAR(E137),0,IF((YEAR(D137)+18)&gt;YEAR(E137),1,(12-MONTH(E137)+1)/12))) + (R137)*(IF((YEAR(D137)+18)&lt;YEAR(E137),0,IF((YEAR(D137)+18)&gt;YEAR(E137),1,(12-MONTH(E137)+1)/12))))-(IF((((K137)*(IF(M137="",L137,IFERROR(IF(INDEX(Variablen!$I:$AT, MATCH(M137, Variablen!$A:$A, 0), MATCH((YEAR(D137)+18), Variablen!$I$3:$AT$3, 0))="",L137,INDEX(Variablen!$I:$AT, MATCH(M137, Variablen!$A:$A, 0), MATCH((YEAR(D137)+18), Variablen!$I$3:$AT$3, 0))),L137)))*(IF((YEAR(D137)+18)&lt;YEAR(E137),0,IF((YEAR(D137)+18)&gt;YEAR(E137),1,(12-MONTH(E137)+1)/12))) + (Q137)*(IF((YEAR(D137)+18)&lt;YEAR(E137),0,IF((YEAR(D137)+18)&gt;YEAR(E137),1,(12-MONTH(E137)+1)/12))))-((P137)*(IF((YEAR(D137)+18)&lt;YEAR(E137),0,IF((YEAR(D137)+18)&gt;YEAR(E137),1,(12-MONTH(E137)+1)/12))) + (R137)*(IF((YEAR(D137)+18)&lt;YEAR(E137),0,IF((YEAR(D137)+18)&gt;YEAR(E137),1,(12-MONTH(E137)+1)/12))))-(IF(OR(N137="",N137&lt;=0),0,(O137/N137)*(IF(OR(N137="",N137&lt;=0),0,IF((YEAR(D137)+18)&lt;YEAR(E137),0,IF((YEAR(D137)+18)&gt;=YEAR(E137)+N137,0,IF((YEAR(D137)+18)=YEAR(E137),(12-MONTH(E137)+1)/12,1))))))))&gt;0,(((K137)*(IF(M137="",L137,IFERROR(IF(INDEX(Variablen!$I:$AT, MATCH(M137, Variablen!$A:$A, 0), MATCH((YEAR(D137)+18), Variablen!$I$3:$AT$3, 0))="",L137,INDEX(Variablen!$I:$AT, MATCH(M137, Variablen!$A:$A, 0), MATCH((YEAR(D137)+18), Variablen!$I$3:$AT$3, 0))),L137)))*(IF((YEAR(D137)+18)&lt;YEAR(E137),0,IF((YEAR(D137)+18)&gt;YEAR(E137),1,(12-MONTH(E137)+1)/12))) + (Q137)*(IF((YEAR(D137)+18)&lt;YEAR(E137),0,IF((YEAR(D137)+18)&gt;YEAR(E137),1,(12-MONTH(E137)+1)/12))))-((P137)*(IF((YEAR(D137)+18)&lt;YEAR(E137),0,IF((YEAR(D137)+18)&gt;YEAR(E137),1,(12-MONTH(E137)+1)/12))) + (R137)*(IF((YEAR(D137)+18)&lt;YEAR(E137),0,IF((YEAR(D137)+18)&gt;YEAR(E137),1,(12-MONTH(E137)+1)/12))))-(IF(OR(N137="",N137&lt;=0),0,(O137/N137)*(IF(OR(N137="",N137&lt;=0),0,IF((YEAR(D137)+18)&lt;YEAR(E137),0,IF((YEAR(D137)+18)&gt;=YEAR(E137)+N137,0,IF((YEAR(D137)+18)=YEAR(E137),(12-MONTH(E137)+1)/12,1))))))))*TaxRate,0))-IF(18=0,O137,0))</f>
        <v/>
      </c>
      <c r="AL137" s="29">
        <f>IF(A137="","",((K137)*(IF(M137="",L137,IFERROR(IF(INDEX(Variablen!$I:$AT, MATCH(M137, Variablen!$A:$A, 0), MATCH((YEAR(D137)+19), Variablen!$I$3:$AT$3, 0))="",L137,INDEX(Variablen!$I:$AT, MATCH(M137, Variablen!$A:$A, 0), MATCH((YEAR(D137)+19), Variablen!$I$3:$AT$3, 0))),L137)))*(IF((YEAR(D137)+19)&lt;YEAR(E137),0,IF((YEAR(D137)+19)&gt;YEAR(E137),1,(12-MONTH(E137)+1)/12))) + (Q137)*(IF((YEAR(D137)+19)&lt;YEAR(E137),0,IF((YEAR(D137)+19)&gt;YEAR(E137),1,(12-MONTH(E137)+1)/12))))-((P137)*(IF((YEAR(D137)+19)&lt;YEAR(E137),0,IF((YEAR(D137)+19)&gt;YEAR(E137),1,(12-MONTH(E137)+1)/12))) + (R137)*(IF((YEAR(D137)+19)&lt;YEAR(E137),0,IF((YEAR(D137)+19)&gt;YEAR(E137),1,(12-MONTH(E137)+1)/12))))-(IF((((K137)*(IF(M137="",L137,IFERROR(IF(INDEX(Variablen!$I:$AT, MATCH(M137, Variablen!$A:$A, 0), MATCH((YEAR(D137)+19), Variablen!$I$3:$AT$3, 0))="",L137,INDEX(Variablen!$I:$AT, MATCH(M137, Variablen!$A:$A, 0), MATCH((YEAR(D137)+19), Variablen!$I$3:$AT$3, 0))),L137)))*(IF((YEAR(D137)+19)&lt;YEAR(E137),0,IF((YEAR(D137)+19)&gt;YEAR(E137),1,(12-MONTH(E137)+1)/12))) + (Q137)*(IF((YEAR(D137)+19)&lt;YEAR(E137),0,IF((YEAR(D137)+19)&gt;YEAR(E137),1,(12-MONTH(E137)+1)/12))))-((P137)*(IF((YEAR(D137)+19)&lt;YEAR(E137),0,IF((YEAR(D137)+19)&gt;YEAR(E137),1,(12-MONTH(E137)+1)/12))) + (R137)*(IF((YEAR(D137)+19)&lt;YEAR(E137),0,IF((YEAR(D137)+19)&gt;YEAR(E137),1,(12-MONTH(E137)+1)/12))))-(IF(OR(N137="",N137&lt;=0),0,(O137/N137)*(IF(OR(N137="",N137&lt;=0),0,IF((YEAR(D137)+19)&lt;YEAR(E137),0,IF((YEAR(D137)+19)&gt;=YEAR(E137)+N137,0,IF((YEAR(D137)+19)=YEAR(E137),(12-MONTH(E137)+1)/12,1))))))))&gt;0,(((K137)*(IF(M137="",L137,IFERROR(IF(INDEX(Variablen!$I:$AT, MATCH(M137, Variablen!$A:$A, 0), MATCH((YEAR(D137)+19), Variablen!$I$3:$AT$3, 0))="",L137,INDEX(Variablen!$I:$AT, MATCH(M137, Variablen!$A:$A, 0), MATCH((YEAR(D137)+19), Variablen!$I$3:$AT$3, 0))),L137)))*(IF((YEAR(D137)+19)&lt;YEAR(E137),0,IF((YEAR(D137)+19)&gt;YEAR(E137),1,(12-MONTH(E137)+1)/12))) + (Q137)*(IF((YEAR(D137)+19)&lt;YEAR(E137),0,IF((YEAR(D137)+19)&gt;YEAR(E137),1,(12-MONTH(E137)+1)/12))))-((P137)*(IF((YEAR(D137)+19)&lt;YEAR(E137),0,IF((YEAR(D137)+19)&gt;YEAR(E137),1,(12-MONTH(E137)+1)/12))) + (R137)*(IF((YEAR(D137)+19)&lt;YEAR(E137),0,IF((YEAR(D137)+19)&gt;YEAR(E137),1,(12-MONTH(E137)+1)/12))))-(IF(OR(N137="",N137&lt;=0),0,(O137/N137)*(IF(OR(N137="",N137&lt;=0),0,IF((YEAR(D137)+19)&lt;YEAR(E137),0,IF((YEAR(D137)+19)&gt;=YEAR(E137)+N137,0,IF((YEAR(D137)+19)=YEAR(E137),(12-MONTH(E137)+1)/12,1))))))))*TaxRate,0))-IF(19=0,O137,0))</f>
        <v/>
      </c>
      <c r="AM137" s="29">
        <f>IF(A137="","",((K137)*(IF(M137="",L137,IFERROR(IF(INDEX(Variablen!$I:$AT, MATCH(M137, Variablen!$A:$A, 0), MATCH((YEAR(D137)+20), Variablen!$I$3:$AT$3, 0))="",L137,INDEX(Variablen!$I:$AT, MATCH(M137, Variablen!$A:$A, 0), MATCH((YEAR(D137)+20), Variablen!$I$3:$AT$3, 0))),L137)))*(IF((YEAR(D137)+20)&lt;YEAR(E137),0,IF((YEAR(D137)+20)&gt;YEAR(E137),1,(12-MONTH(E137)+1)/12))) + (Q137)*(IF((YEAR(D137)+20)&lt;YEAR(E137),0,IF((YEAR(D137)+20)&gt;YEAR(E137),1,(12-MONTH(E137)+1)/12))))-((P137)*(IF((YEAR(D137)+20)&lt;YEAR(E137),0,IF((YEAR(D137)+20)&gt;YEAR(E137),1,(12-MONTH(E137)+1)/12))) + (R137)*(IF((YEAR(D137)+20)&lt;YEAR(E137),0,IF((YEAR(D137)+20)&gt;YEAR(E137),1,(12-MONTH(E137)+1)/12))))-(IF((((K137)*(IF(M137="",L137,IFERROR(IF(INDEX(Variablen!$I:$AT, MATCH(M137, Variablen!$A:$A, 0), MATCH((YEAR(D137)+20), Variablen!$I$3:$AT$3, 0))="",L137,INDEX(Variablen!$I:$AT, MATCH(M137, Variablen!$A:$A, 0), MATCH((YEAR(D137)+20), Variablen!$I$3:$AT$3, 0))),L137)))*(IF((YEAR(D137)+20)&lt;YEAR(E137),0,IF((YEAR(D137)+20)&gt;YEAR(E137),1,(12-MONTH(E137)+1)/12))) + (Q137)*(IF((YEAR(D137)+20)&lt;YEAR(E137),0,IF((YEAR(D137)+20)&gt;YEAR(E137),1,(12-MONTH(E137)+1)/12))))-((P137)*(IF((YEAR(D137)+20)&lt;YEAR(E137),0,IF((YEAR(D137)+20)&gt;YEAR(E137),1,(12-MONTH(E137)+1)/12))) + (R137)*(IF((YEAR(D137)+20)&lt;YEAR(E137),0,IF((YEAR(D137)+20)&gt;YEAR(E137),1,(12-MONTH(E137)+1)/12))))-(IF(OR(N137="",N137&lt;=0),0,(O137/N137)*(IF(OR(N137="",N137&lt;=0),0,IF((YEAR(D137)+20)&lt;YEAR(E137),0,IF((YEAR(D137)+20)&gt;=YEAR(E137)+N137,0,IF((YEAR(D137)+20)=YEAR(E137),(12-MONTH(E137)+1)/12,1))))))))&gt;0,(((K137)*(IF(M137="",L137,IFERROR(IF(INDEX(Variablen!$I:$AT, MATCH(M137, Variablen!$A:$A, 0), MATCH((YEAR(D137)+20), Variablen!$I$3:$AT$3, 0))="",L137,INDEX(Variablen!$I:$AT, MATCH(M137, Variablen!$A:$A, 0), MATCH((YEAR(D137)+20), Variablen!$I$3:$AT$3, 0))),L137)))*(IF((YEAR(D137)+20)&lt;YEAR(E137),0,IF((YEAR(D137)+20)&gt;YEAR(E137),1,(12-MONTH(E137)+1)/12))) + (Q137)*(IF((YEAR(D137)+20)&lt;YEAR(E137),0,IF((YEAR(D137)+20)&gt;YEAR(E137),1,(12-MONTH(E137)+1)/12))))-((P137)*(IF((YEAR(D137)+20)&lt;YEAR(E137),0,IF((YEAR(D137)+20)&gt;YEAR(E137),1,(12-MONTH(E137)+1)/12))) + (R137)*(IF((YEAR(D137)+20)&lt;YEAR(E137),0,IF((YEAR(D137)+20)&gt;YEAR(E137),1,(12-MONTH(E137)+1)/12))))-(IF(OR(N137="",N137&lt;=0),0,(O137/N137)*(IF(OR(N137="",N137&lt;=0),0,IF((YEAR(D137)+20)&lt;YEAR(E137),0,IF((YEAR(D137)+20)&gt;=YEAR(E137)+N137,0,IF((YEAR(D137)+20)=YEAR(E137),(12-MONTH(E137)+1)/12,1))))))))*TaxRate,0))-IF(20=0,O137,0))</f>
        <v/>
      </c>
      <c r="AN137" s="29">
        <f>IF(A137="","",S137)</f>
        <v/>
      </c>
      <c r="AO137" s="29">
        <f>IF(A137="","",AN137+T137)</f>
        <v/>
      </c>
      <c r="AP137" s="29">
        <f>IF(A137="","",AO137+U137)</f>
        <v/>
      </c>
      <c r="AQ137" s="29">
        <f>IF(A137="","",AP137+V137)</f>
        <v/>
      </c>
      <c r="AR137" s="29">
        <f>IF(A137="","",AQ137+W137)</f>
        <v/>
      </c>
      <c r="AS137" s="29">
        <f>IF(A137="","",AR137+X137)</f>
        <v/>
      </c>
      <c r="AT137" s="29">
        <f>IF(A137="","",AS137+Y137)</f>
        <v/>
      </c>
      <c r="AU137" s="29">
        <f>IF(A137="","",AT137+Z137)</f>
        <v/>
      </c>
      <c r="AV137" s="29">
        <f>IF(A137="","",AU137+AA137)</f>
        <v/>
      </c>
      <c r="AW137" s="29">
        <f>IF(A137="","",AV137+AB137)</f>
        <v/>
      </c>
      <c r="AX137" s="29">
        <f>IF(A137="","",AW137+AC137)</f>
        <v/>
      </c>
      <c r="AY137" s="29">
        <f>IF(A137="","",AX137+AD137)</f>
        <v/>
      </c>
      <c r="AZ137" s="29">
        <f>IF(A137="","",AY137+AE137)</f>
        <v/>
      </c>
      <c r="BA137" s="29">
        <f>IF(A137="","",AZ137+AF137)</f>
        <v/>
      </c>
      <c r="BB137" s="29">
        <f>IF(A137="","",BA137+AG137)</f>
        <v/>
      </c>
      <c r="BC137" s="29">
        <f>IF(A137="","",BB137+AH137)</f>
        <v/>
      </c>
      <c r="BD137" s="29">
        <f>IF(A137="","",BC137+AI137)</f>
        <v/>
      </c>
      <c r="BE137" s="29">
        <f>IF(A137="","",BD137+AJ137)</f>
        <v/>
      </c>
      <c r="BF137" s="29">
        <f>IF(A137="","",BE137+AK137)</f>
        <v/>
      </c>
      <c r="BG137" s="29">
        <f>IF(A137="","",BF137+AL137)</f>
        <v/>
      </c>
      <c r="BH137" s="29">
        <f>IF(A137="","",BG137+AM137)</f>
        <v/>
      </c>
      <c r="BI137" s="36">
        <f>IF(A137="","",(K137)*(IF((YEAR(D137)+0)&lt;YEAR(E137),0,IF((YEAR(D137)+0)&gt;YEAR(E137),1,(12-MONTH(E137)+1)/12)))*(1/(1+DiscountRate)^0))</f>
        <v/>
      </c>
      <c r="BJ137" s="36">
        <f>IF(A137="","",(K137)*(IF((YEAR(D137)+1)&lt;YEAR(E137),0,IF((YEAR(D137)+1)&gt;YEAR(E137),1,(12-MONTH(E137)+1)/12)))*(1/(1+DiscountRate)^1))</f>
        <v/>
      </c>
      <c r="BK137" s="36">
        <f>IF(A137="","",(K137)*(IF((YEAR(D137)+2)&lt;YEAR(E137),0,IF((YEAR(D137)+2)&gt;YEAR(E137),1,(12-MONTH(E137)+1)/12)))*(1/(1+DiscountRate)^2))</f>
        <v/>
      </c>
      <c r="BL137" s="36">
        <f>IF(A137="","",(K137)*(IF((YEAR(D137)+3)&lt;YEAR(E137),0,IF((YEAR(D137)+3)&gt;YEAR(E137),1,(12-MONTH(E137)+1)/12)))*(1/(1+DiscountRate)^3))</f>
        <v/>
      </c>
      <c r="BM137" s="36">
        <f>IF(A137="","",(K137)*(IF((YEAR(D137)+4)&lt;YEAR(E137),0,IF((YEAR(D137)+4)&gt;YEAR(E137),1,(12-MONTH(E137)+1)/12)))*(1/(1+DiscountRate)^4))</f>
        <v/>
      </c>
      <c r="BN137" s="36">
        <f>IF(A137="","",(K137)*(IF((YEAR(D137)+5)&lt;YEAR(E137),0,IF((YEAR(D137)+5)&gt;YEAR(E137),1,(12-MONTH(E137)+1)/12)))*(1/(1+DiscountRate)^5))</f>
        <v/>
      </c>
      <c r="BO137" s="36">
        <f>IF(A137="","",(K137)*(IF((YEAR(D137)+6)&lt;YEAR(E137),0,IF((YEAR(D137)+6)&gt;YEAR(E137),1,(12-MONTH(E137)+1)/12)))*(1/(1+DiscountRate)^6))</f>
        <v/>
      </c>
      <c r="BP137" s="36">
        <f>IF(A137="","",(K137)*(IF((YEAR(D137)+7)&lt;YEAR(E137),0,IF((YEAR(D137)+7)&gt;YEAR(E137),1,(12-MONTH(E137)+1)/12)))*(1/(1+DiscountRate)^7))</f>
        <v/>
      </c>
      <c r="BQ137" s="36">
        <f>IF(A137="","",(K137)*(IF((YEAR(D137)+8)&lt;YEAR(E137),0,IF((YEAR(D137)+8)&gt;YEAR(E137),1,(12-MONTH(E137)+1)/12)))*(1/(1+DiscountRate)^8))</f>
        <v/>
      </c>
      <c r="BR137" s="36">
        <f>IF(A137="","",(K137)*(IF((YEAR(D137)+9)&lt;YEAR(E137),0,IF((YEAR(D137)+9)&gt;YEAR(E137),1,(12-MONTH(E137)+1)/12)))*(1/(1+DiscountRate)^9))</f>
        <v/>
      </c>
      <c r="BS137" s="36">
        <f>IF(A137="","",(K137)*(IF((YEAR(D137)+10)&lt;YEAR(E137),0,IF((YEAR(D137)+10)&gt;YEAR(E137),1,(12-MONTH(E137)+1)/12)))*(1/(1+DiscountRate)^10))</f>
        <v/>
      </c>
      <c r="BT137" s="36">
        <f>IF(A137="","",(K137)*(IF((YEAR(D137)+11)&lt;YEAR(E137),0,IF((YEAR(D137)+11)&gt;YEAR(E137),1,(12-MONTH(E137)+1)/12)))*(1/(1+DiscountRate)^11))</f>
        <v/>
      </c>
      <c r="BU137" s="36">
        <f>IF(A137="","",(K137)*(IF((YEAR(D137)+12)&lt;YEAR(E137),0,IF((YEAR(D137)+12)&gt;YEAR(E137),1,(12-MONTH(E137)+1)/12)))*(1/(1+DiscountRate)^12))</f>
        <v/>
      </c>
      <c r="BV137" s="36">
        <f>IF(A137="","",(K137)*(IF((YEAR(D137)+13)&lt;YEAR(E137),0,IF((YEAR(D137)+13)&gt;YEAR(E137),1,(12-MONTH(E137)+1)/12)))*(1/(1+DiscountRate)^13))</f>
        <v/>
      </c>
      <c r="BW137" s="36">
        <f>IF(A137="","",(K137)*(IF((YEAR(D137)+14)&lt;YEAR(E137),0,IF((YEAR(D137)+14)&gt;YEAR(E137),1,(12-MONTH(E137)+1)/12)))*(1/(1+DiscountRate)^14))</f>
        <v/>
      </c>
      <c r="BX137" s="36">
        <f>IF(A137="","",(K137)*(IF((YEAR(D137)+15)&lt;YEAR(E137),0,IF((YEAR(D137)+15)&gt;YEAR(E137),1,(12-MONTH(E137)+1)/12)))*(1/(1+DiscountRate)^15))</f>
        <v/>
      </c>
      <c r="BY137" s="36">
        <f>IF(A137="","",(K137)*(IF((YEAR(D137)+16)&lt;YEAR(E137),0,IF((YEAR(D137)+16)&gt;YEAR(E137),1,(12-MONTH(E137)+1)/12)))*(1/(1+DiscountRate)^16))</f>
        <v/>
      </c>
      <c r="BZ137" s="36">
        <f>IF(A137="","",(K137)*(IF((YEAR(D137)+17)&lt;YEAR(E137),0,IF((YEAR(D137)+17)&gt;YEAR(E137),1,(12-MONTH(E137)+1)/12)))*(1/(1+DiscountRate)^17))</f>
        <v/>
      </c>
      <c r="CA137" s="36">
        <f>IF(A137="","",(K137)*(IF((YEAR(D137)+18)&lt;YEAR(E137),0,IF((YEAR(D137)+18)&gt;YEAR(E137),1,(12-MONTH(E137)+1)/12)))*(1/(1+DiscountRate)^18))</f>
        <v/>
      </c>
      <c r="CB137" s="36">
        <f>IF(A137="","",(K137)*(IF((YEAR(D137)+19)&lt;YEAR(E137),0,IF((YEAR(D137)+19)&gt;YEAR(E137),1,(12-MONTH(E137)+1)/12)))*(1/(1+DiscountRate)^19))</f>
        <v/>
      </c>
      <c r="CC137" s="36">
        <f>IF(A137="","",(K137)*(IF((YEAR(D137)+20)&lt;YEAR(E137),0,IF((YEAR(D137)+20)&gt;YEAR(E137),1,(12-MONTH(E137)+1)/12)))*(1/(1+DiscountRate)^20))</f>
        <v/>
      </c>
      <c r="CD137" s="29">
        <f>IF(A137="","",S137/(1+DiscountRate)^0+T137/(1+DiscountRate)^1+U137/(1+DiscountRate)^2+V137/(1+DiscountRate)^3+W137/(1+DiscountRate)^4+X137/(1+DiscountRate)^5+Y137/(1+DiscountRate)^6+Z137/(1+DiscountRate)^7+AA137/(1+DiscountRate)^8+AB137/(1+DiscountRate)^9+AC137/(1+DiscountRate)^10+AD137/(1+DiscountRate)^11+AE137/(1+DiscountRate)^12+AF137/(1+DiscountRate)^13+AG137/(1+DiscountRate)^14+AH137/(1+DiscountRate)^15+AI137/(1+DiscountRate)^16+AJ137/(1+DiscountRate)^17+AK137/(1+DiscountRate)^18+AL137/(1+DiscountRate)^19+AM137/(1+DiscountRate)^20)</f>
        <v/>
      </c>
      <c r="CE137" s="37">
        <f>IF(A137="","",IFERROR(IRR(OFFSET(S137,0,0,1,MIN(HorizonYears,20)+1)),"n/a"))</f>
        <v/>
      </c>
      <c r="CF137" s="28">
        <f>IF(A137="","",IFERROR(MATCH(TRUE,OFFSET(AN137,0,0,1,MIN(HorizonYears,20)+1)&gt;=0,0)-1,"n/a"))</f>
        <v/>
      </c>
      <c r="CG137" s="36">
        <f>IF(A137="","",SUM(OFFSET(BI137,0,0,1,MIN(HorizonYears,20)+1)))</f>
        <v/>
      </c>
      <c r="CH137" s="36">
        <f>IF(A137="","",IFERROR(-CD137/CG137,"n/a"))</f>
        <v/>
      </c>
    </row>
    <row r="138">
      <c r="A138" s="6">
        <f>Actions!A136</f>
        <v/>
      </c>
      <c r="B138" s="6">
        <f>Actions!B136</f>
        <v/>
      </c>
      <c r="C138" s="6">
        <f>Actions!D136</f>
        <v/>
      </c>
      <c r="D138" s="35">
        <f>Actions!E136</f>
        <v/>
      </c>
      <c r="E138" s="35">
        <f>Actions!F136</f>
        <v/>
      </c>
      <c r="F138" s="6">
        <f>Actions!G136</f>
        <v/>
      </c>
      <c r="G138" s="6">
        <f>Actions!H136</f>
        <v/>
      </c>
      <c r="H138" s="29">
        <f>Actions!I136</f>
        <v/>
      </c>
      <c r="I138" s="6">
        <f>Actions!J136</f>
        <v/>
      </c>
      <c r="J138" s="16">
        <f>Actions!K136</f>
        <v/>
      </c>
      <c r="K138" s="16">
        <f>IF(A138="","",IF(I138="%",H138*J138,J138))</f>
        <v/>
      </c>
      <c r="L138" s="16">
        <f>Actions!L136</f>
        <v/>
      </c>
      <c r="M138" s="6">
        <f>Actions!M136</f>
        <v/>
      </c>
      <c r="N138" s="28">
        <f>Actions!N136</f>
        <v/>
      </c>
      <c r="O138" s="29">
        <f>Actions!T136</f>
        <v/>
      </c>
      <c r="P138" s="29">
        <f>Actions!Y136</f>
        <v/>
      </c>
      <c r="Q138" s="29">
        <f>Actions!Z136</f>
        <v/>
      </c>
      <c r="R138" s="29">
        <f>Actions!AA136</f>
        <v/>
      </c>
      <c r="S138" s="29">
        <f>IF(A138="","",((K138)*(IF(M138="",L138,IFERROR(IF(INDEX(Variablen!$I:$AT, MATCH(M138, Variablen!$A:$A, 0), MATCH((YEAR(D138)+0), Variablen!$I$3:$AT$3, 0))="",L138,INDEX(Variablen!$I:$AT, MATCH(M138, Variablen!$A:$A, 0), MATCH((YEAR(D138)+0), Variablen!$I$3:$AT$3, 0))),L138)))*(IF((YEAR(D138)+0)&lt;YEAR(E138),0,IF((YEAR(D138)+0)&gt;YEAR(E138),1,(12-MONTH(E138)+1)/12))) + (Q138)*(IF((YEAR(D138)+0)&lt;YEAR(E138),0,IF((YEAR(D138)+0)&gt;YEAR(E138),1,(12-MONTH(E138)+1)/12))))-((P138)*(IF((YEAR(D138)+0)&lt;YEAR(E138),0,IF((YEAR(D138)+0)&gt;YEAR(E138),1,(12-MONTH(E138)+1)/12))) + (R138)*(IF((YEAR(D138)+0)&lt;YEAR(E138),0,IF((YEAR(D138)+0)&gt;YEAR(E138),1,(12-MONTH(E138)+1)/12))))-(IF((((K138)*(IF(M138="",L138,IFERROR(IF(INDEX(Variablen!$I:$AT, MATCH(M138, Variablen!$A:$A, 0), MATCH((YEAR(D138)+0), Variablen!$I$3:$AT$3, 0))="",L138,INDEX(Variablen!$I:$AT, MATCH(M138, Variablen!$A:$A, 0), MATCH((YEAR(D138)+0), Variablen!$I$3:$AT$3, 0))),L138)))*(IF((YEAR(D138)+0)&lt;YEAR(E138),0,IF((YEAR(D138)+0)&gt;YEAR(E138),1,(12-MONTH(E138)+1)/12))) + (Q138)*(IF((YEAR(D138)+0)&lt;YEAR(E138),0,IF((YEAR(D138)+0)&gt;YEAR(E138),1,(12-MONTH(E138)+1)/12))))-((P138)*(IF((YEAR(D138)+0)&lt;YEAR(E138),0,IF((YEAR(D138)+0)&gt;YEAR(E138),1,(12-MONTH(E138)+1)/12))) + (R138)*(IF((YEAR(D138)+0)&lt;YEAR(E138),0,IF((YEAR(D138)+0)&gt;YEAR(E138),1,(12-MONTH(E138)+1)/12))))-(IF(OR(N138="",N138&lt;=0),0,(O138/N138)*(IF(OR(N138="",N138&lt;=0),0,IF((YEAR(D138)+0)&lt;YEAR(E138),0,IF((YEAR(D138)+0)&gt;=YEAR(E138)+N138,0,IF((YEAR(D138)+0)=YEAR(E138),(12-MONTH(E138)+1)/12,1))))))))&gt;0,(((K138)*(IF(M138="",L138,IFERROR(IF(INDEX(Variablen!$I:$AT, MATCH(M138, Variablen!$A:$A, 0), MATCH((YEAR(D138)+0), Variablen!$I$3:$AT$3, 0))="",L138,INDEX(Variablen!$I:$AT, MATCH(M138, Variablen!$A:$A, 0), MATCH((YEAR(D138)+0), Variablen!$I$3:$AT$3, 0))),L138)))*(IF((YEAR(D138)+0)&lt;YEAR(E138),0,IF((YEAR(D138)+0)&gt;YEAR(E138),1,(12-MONTH(E138)+1)/12))) + (Q138)*(IF((YEAR(D138)+0)&lt;YEAR(E138),0,IF((YEAR(D138)+0)&gt;YEAR(E138),1,(12-MONTH(E138)+1)/12))))-((P138)*(IF((YEAR(D138)+0)&lt;YEAR(E138),0,IF((YEAR(D138)+0)&gt;YEAR(E138),1,(12-MONTH(E138)+1)/12))) + (R138)*(IF((YEAR(D138)+0)&lt;YEAR(E138),0,IF((YEAR(D138)+0)&gt;YEAR(E138),1,(12-MONTH(E138)+1)/12))))-(IF(OR(N138="",N138&lt;=0),0,(O138/N138)*(IF(OR(N138="",N138&lt;=0),0,IF((YEAR(D138)+0)&lt;YEAR(E138),0,IF((YEAR(D138)+0)&gt;=YEAR(E138)+N138,0,IF((YEAR(D138)+0)=YEAR(E138),(12-MONTH(E138)+1)/12,1))))))))*TaxRate,0))-IF(0=0,O138,0))</f>
        <v/>
      </c>
      <c r="T138" s="29">
        <f>IF(A138="","",((K138)*(IF(M138="",L138,IFERROR(IF(INDEX(Variablen!$I:$AT, MATCH(M138, Variablen!$A:$A, 0), MATCH((YEAR(D138)+1), Variablen!$I$3:$AT$3, 0))="",L138,INDEX(Variablen!$I:$AT, MATCH(M138, Variablen!$A:$A, 0), MATCH((YEAR(D138)+1), Variablen!$I$3:$AT$3, 0))),L138)))*(IF((YEAR(D138)+1)&lt;YEAR(E138),0,IF((YEAR(D138)+1)&gt;YEAR(E138),1,(12-MONTH(E138)+1)/12))) + (Q138)*(IF((YEAR(D138)+1)&lt;YEAR(E138),0,IF((YEAR(D138)+1)&gt;YEAR(E138),1,(12-MONTH(E138)+1)/12))))-((P138)*(IF((YEAR(D138)+1)&lt;YEAR(E138),0,IF((YEAR(D138)+1)&gt;YEAR(E138),1,(12-MONTH(E138)+1)/12))) + (R138)*(IF((YEAR(D138)+1)&lt;YEAR(E138),0,IF((YEAR(D138)+1)&gt;YEAR(E138),1,(12-MONTH(E138)+1)/12))))-(IF((((K138)*(IF(M138="",L138,IFERROR(IF(INDEX(Variablen!$I:$AT, MATCH(M138, Variablen!$A:$A, 0), MATCH((YEAR(D138)+1), Variablen!$I$3:$AT$3, 0))="",L138,INDEX(Variablen!$I:$AT, MATCH(M138, Variablen!$A:$A, 0), MATCH((YEAR(D138)+1), Variablen!$I$3:$AT$3, 0))),L138)))*(IF((YEAR(D138)+1)&lt;YEAR(E138),0,IF((YEAR(D138)+1)&gt;YEAR(E138),1,(12-MONTH(E138)+1)/12))) + (Q138)*(IF((YEAR(D138)+1)&lt;YEAR(E138),0,IF((YEAR(D138)+1)&gt;YEAR(E138),1,(12-MONTH(E138)+1)/12))))-((P138)*(IF((YEAR(D138)+1)&lt;YEAR(E138),0,IF((YEAR(D138)+1)&gt;YEAR(E138),1,(12-MONTH(E138)+1)/12))) + (R138)*(IF((YEAR(D138)+1)&lt;YEAR(E138),0,IF((YEAR(D138)+1)&gt;YEAR(E138),1,(12-MONTH(E138)+1)/12))))-(IF(OR(N138="",N138&lt;=0),0,(O138/N138)*(IF(OR(N138="",N138&lt;=0),0,IF((YEAR(D138)+1)&lt;YEAR(E138),0,IF((YEAR(D138)+1)&gt;=YEAR(E138)+N138,0,IF((YEAR(D138)+1)=YEAR(E138),(12-MONTH(E138)+1)/12,1))))))))&gt;0,(((K138)*(IF(M138="",L138,IFERROR(IF(INDEX(Variablen!$I:$AT, MATCH(M138, Variablen!$A:$A, 0), MATCH((YEAR(D138)+1), Variablen!$I$3:$AT$3, 0))="",L138,INDEX(Variablen!$I:$AT, MATCH(M138, Variablen!$A:$A, 0), MATCH((YEAR(D138)+1), Variablen!$I$3:$AT$3, 0))),L138)))*(IF((YEAR(D138)+1)&lt;YEAR(E138),0,IF((YEAR(D138)+1)&gt;YEAR(E138),1,(12-MONTH(E138)+1)/12))) + (Q138)*(IF((YEAR(D138)+1)&lt;YEAR(E138),0,IF((YEAR(D138)+1)&gt;YEAR(E138),1,(12-MONTH(E138)+1)/12))))-((P138)*(IF((YEAR(D138)+1)&lt;YEAR(E138),0,IF((YEAR(D138)+1)&gt;YEAR(E138),1,(12-MONTH(E138)+1)/12))) + (R138)*(IF((YEAR(D138)+1)&lt;YEAR(E138),0,IF((YEAR(D138)+1)&gt;YEAR(E138),1,(12-MONTH(E138)+1)/12))))-(IF(OR(N138="",N138&lt;=0),0,(O138/N138)*(IF(OR(N138="",N138&lt;=0),0,IF((YEAR(D138)+1)&lt;YEAR(E138),0,IF((YEAR(D138)+1)&gt;=YEAR(E138)+N138,0,IF((YEAR(D138)+1)=YEAR(E138),(12-MONTH(E138)+1)/12,1))))))))*TaxRate,0))-IF(1=0,O138,0))</f>
        <v/>
      </c>
      <c r="U138" s="29">
        <f>IF(A138="","",((K138)*(IF(M138="",L138,IFERROR(IF(INDEX(Variablen!$I:$AT, MATCH(M138, Variablen!$A:$A, 0), MATCH((YEAR(D138)+2), Variablen!$I$3:$AT$3, 0))="",L138,INDEX(Variablen!$I:$AT, MATCH(M138, Variablen!$A:$A, 0), MATCH((YEAR(D138)+2), Variablen!$I$3:$AT$3, 0))),L138)))*(IF((YEAR(D138)+2)&lt;YEAR(E138),0,IF((YEAR(D138)+2)&gt;YEAR(E138),1,(12-MONTH(E138)+1)/12))) + (Q138)*(IF((YEAR(D138)+2)&lt;YEAR(E138),0,IF((YEAR(D138)+2)&gt;YEAR(E138),1,(12-MONTH(E138)+1)/12))))-((P138)*(IF((YEAR(D138)+2)&lt;YEAR(E138),0,IF((YEAR(D138)+2)&gt;YEAR(E138),1,(12-MONTH(E138)+1)/12))) + (R138)*(IF((YEAR(D138)+2)&lt;YEAR(E138),0,IF((YEAR(D138)+2)&gt;YEAR(E138),1,(12-MONTH(E138)+1)/12))))-(IF((((K138)*(IF(M138="",L138,IFERROR(IF(INDEX(Variablen!$I:$AT, MATCH(M138, Variablen!$A:$A, 0), MATCH((YEAR(D138)+2), Variablen!$I$3:$AT$3, 0))="",L138,INDEX(Variablen!$I:$AT, MATCH(M138, Variablen!$A:$A, 0), MATCH((YEAR(D138)+2), Variablen!$I$3:$AT$3, 0))),L138)))*(IF((YEAR(D138)+2)&lt;YEAR(E138),0,IF((YEAR(D138)+2)&gt;YEAR(E138),1,(12-MONTH(E138)+1)/12))) + (Q138)*(IF((YEAR(D138)+2)&lt;YEAR(E138),0,IF((YEAR(D138)+2)&gt;YEAR(E138),1,(12-MONTH(E138)+1)/12))))-((P138)*(IF((YEAR(D138)+2)&lt;YEAR(E138),0,IF((YEAR(D138)+2)&gt;YEAR(E138),1,(12-MONTH(E138)+1)/12))) + (R138)*(IF((YEAR(D138)+2)&lt;YEAR(E138),0,IF((YEAR(D138)+2)&gt;YEAR(E138),1,(12-MONTH(E138)+1)/12))))-(IF(OR(N138="",N138&lt;=0),0,(O138/N138)*(IF(OR(N138="",N138&lt;=0),0,IF((YEAR(D138)+2)&lt;YEAR(E138),0,IF((YEAR(D138)+2)&gt;=YEAR(E138)+N138,0,IF((YEAR(D138)+2)=YEAR(E138),(12-MONTH(E138)+1)/12,1))))))))&gt;0,(((K138)*(IF(M138="",L138,IFERROR(IF(INDEX(Variablen!$I:$AT, MATCH(M138, Variablen!$A:$A, 0), MATCH((YEAR(D138)+2), Variablen!$I$3:$AT$3, 0))="",L138,INDEX(Variablen!$I:$AT, MATCH(M138, Variablen!$A:$A, 0), MATCH((YEAR(D138)+2), Variablen!$I$3:$AT$3, 0))),L138)))*(IF((YEAR(D138)+2)&lt;YEAR(E138),0,IF((YEAR(D138)+2)&gt;YEAR(E138),1,(12-MONTH(E138)+1)/12))) + (Q138)*(IF((YEAR(D138)+2)&lt;YEAR(E138),0,IF((YEAR(D138)+2)&gt;YEAR(E138),1,(12-MONTH(E138)+1)/12))))-((P138)*(IF((YEAR(D138)+2)&lt;YEAR(E138),0,IF((YEAR(D138)+2)&gt;YEAR(E138),1,(12-MONTH(E138)+1)/12))) + (R138)*(IF((YEAR(D138)+2)&lt;YEAR(E138),0,IF((YEAR(D138)+2)&gt;YEAR(E138),1,(12-MONTH(E138)+1)/12))))-(IF(OR(N138="",N138&lt;=0),0,(O138/N138)*(IF(OR(N138="",N138&lt;=0),0,IF((YEAR(D138)+2)&lt;YEAR(E138),0,IF((YEAR(D138)+2)&gt;=YEAR(E138)+N138,0,IF((YEAR(D138)+2)=YEAR(E138),(12-MONTH(E138)+1)/12,1))))))))*TaxRate,0))-IF(2=0,O138,0))</f>
        <v/>
      </c>
      <c r="V138" s="29">
        <f>IF(A138="","",((K138)*(IF(M138="",L138,IFERROR(IF(INDEX(Variablen!$I:$AT, MATCH(M138, Variablen!$A:$A, 0), MATCH((YEAR(D138)+3), Variablen!$I$3:$AT$3, 0))="",L138,INDEX(Variablen!$I:$AT, MATCH(M138, Variablen!$A:$A, 0), MATCH((YEAR(D138)+3), Variablen!$I$3:$AT$3, 0))),L138)))*(IF((YEAR(D138)+3)&lt;YEAR(E138),0,IF((YEAR(D138)+3)&gt;YEAR(E138),1,(12-MONTH(E138)+1)/12))) + (Q138)*(IF((YEAR(D138)+3)&lt;YEAR(E138),0,IF((YEAR(D138)+3)&gt;YEAR(E138),1,(12-MONTH(E138)+1)/12))))-((P138)*(IF((YEAR(D138)+3)&lt;YEAR(E138),0,IF((YEAR(D138)+3)&gt;YEAR(E138),1,(12-MONTH(E138)+1)/12))) + (R138)*(IF((YEAR(D138)+3)&lt;YEAR(E138),0,IF((YEAR(D138)+3)&gt;YEAR(E138),1,(12-MONTH(E138)+1)/12))))-(IF((((K138)*(IF(M138="",L138,IFERROR(IF(INDEX(Variablen!$I:$AT, MATCH(M138, Variablen!$A:$A, 0), MATCH((YEAR(D138)+3), Variablen!$I$3:$AT$3, 0))="",L138,INDEX(Variablen!$I:$AT, MATCH(M138, Variablen!$A:$A, 0), MATCH((YEAR(D138)+3), Variablen!$I$3:$AT$3, 0))),L138)))*(IF((YEAR(D138)+3)&lt;YEAR(E138),0,IF((YEAR(D138)+3)&gt;YEAR(E138),1,(12-MONTH(E138)+1)/12))) + (Q138)*(IF((YEAR(D138)+3)&lt;YEAR(E138),0,IF((YEAR(D138)+3)&gt;YEAR(E138),1,(12-MONTH(E138)+1)/12))))-((P138)*(IF((YEAR(D138)+3)&lt;YEAR(E138),0,IF((YEAR(D138)+3)&gt;YEAR(E138),1,(12-MONTH(E138)+1)/12))) + (R138)*(IF((YEAR(D138)+3)&lt;YEAR(E138),0,IF((YEAR(D138)+3)&gt;YEAR(E138),1,(12-MONTH(E138)+1)/12))))-(IF(OR(N138="",N138&lt;=0),0,(O138/N138)*(IF(OR(N138="",N138&lt;=0),0,IF((YEAR(D138)+3)&lt;YEAR(E138),0,IF((YEAR(D138)+3)&gt;=YEAR(E138)+N138,0,IF((YEAR(D138)+3)=YEAR(E138),(12-MONTH(E138)+1)/12,1))))))))&gt;0,(((K138)*(IF(M138="",L138,IFERROR(IF(INDEX(Variablen!$I:$AT, MATCH(M138, Variablen!$A:$A, 0), MATCH((YEAR(D138)+3), Variablen!$I$3:$AT$3, 0))="",L138,INDEX(Variablen!$I:$AT, MATCH(M138, Variablen!$A:$A, 0), MATCH((YEAR(D138)+3), Variablen!$I$3:$AT$3, 0))),L138)))*(IF((YEAR(D138)+3)&lt;YEAR(E138),0,IF((YEAR(D138)+3)&gt;YEAR(E138),1,(12-MONTH(E138)+1)/12))) + (Q138)*(IF((YEAR(D138)+3)&lt;YEAR(E138),0,IF((YEAR(D138)+3)&gt;YEAR(E138),1,(12-MONTH(E138)+1)/12))))-((P138)*(IF((YEAR(D138)+3)&lt;YEAR(E138),0,IF((YEAR(D138)+3)&gt;YEAR(E138),1,(12-MONTH(E138)+1)/12))) + (R138)*(IF((YEAR(D138)+3)&lt;YEAR(E138),0,IF((YEAR(D138)+3)&gt;YEAR(E138),1,(12-MONTH(E138)+1)/12))))-(IF(OR(N138="",N138&lt;=0),0,(O138/N138)*(IF(OR(N138="",N138&lt;=0),0,IF((YEAR(D138)+3)&lt;YEAR(E138),0,IF((YEAR(D138)+3)&gt;=YEAR(E138)+N138,0,IF((YEAR(D138)+3)=YEAR(E138),(12-MONTH(E138)+1)/12,1))))))))*TaxRate,0))-IF(3=0,O138,0))</f>
        <v/>
      </c>
      <c r="W138" s="29">
        <f>IF(A138="","",((K138)*(IF(M138="",L138,IFERROR(IF(INDEX(Variablen!$I:$AT, MATCH(M138, Variablen!$A:$A, 0), MATCH((YEAR(D138)+4), Variablen!$I$3:$AT$3, 0))="",L138,INDEX(Variablen!$I:$AT, MATCH(M138, Variablen!$A:$A, 0), MATCH((YEAR(D138)+4), Variablen!$I$3:$AT$3, 0))),L138)))*(IF((YEAR(D138)+4)&lt;YEAR(E138),0,IF((YEAR(D138)+4)&gt;YEAR(E138),1,(12-MONTH(E138)+1)/12))) + (Q138)*(IF((YEAR(D138)+4)&lt;YEAR(E138),0,IF((YEAR(D138)+4)&gt;YEAR(E138),1,(12-MONTH(E138)+1)/12))))-((P138)*(IF((YEAR(D138)+4)&lt;YEAR(E138),0,IF((YEAR(D138)+4)&gt;YEAR(E138),1,(12-MONTH(E138)+1)/12))) + (R138)*(IF((YEAR(D138)+4)&lt;YEAR(E138),0,IF((YEAR(D138)+4)&gt;YEAR(E138),1,(12-MONTH(E138)+1)/12))))-(IF((((K138)*(IF(M138="",L138,IFERROR(IF(INDEX(Variablen!$I:$AT, MATCH(M138, Variablen!$A:$A, 0), MATCH((YEAR(D138)+4), Variablen!$I$3:$AT$3, 0))="",L138,INDEX(Variablen!$I:$AT, MATCH(M138, Variablen!$A:$A, 0), MATCH((YEAR(D138)+4), Variablen!$I$3:$AT$3, 0))),L138)))*(IF((YEAR(D138)+4)&lt;YEAR(E138),0,IF((YEAR(D138)+4)&gt;YEAR(E138),1,(12-MONTH(E138)+1)/12))) + (Q138)*(IF((YEAR(D138)+4)&lt;YEAR(E138),0,IF((YEAR(D138)+4)&gt;YEAR(E138),1,(12-MONTH(E138)+1)/12))))-((P138)*(IF((YEAR(D138)+4)&lt;YEAR(E138),0,IF((YEAR(D138)+4)&gt;YEAR(E138),1,(12-MONTH(E138)+1)/12))) + (R138)*(IF((YEAR(D138)+4)&lt;YEAR(E138),0,IF((YEAR(D138)+4)&gt;YEAR(E138),1,(12-MONTH(E138)+1)/12))))-(IF(OR(N138="",N138&lt;=0),0,(O138/N138)*(IF(OR(N138="",N138&lt;=0),0,IF((YEAR(D138)+4)&lt;YEAR(E138),0,IF((YEAR(D138)+4)&gt;=YEAR(E138)+N138,0,IF((YEAR(D138)+4)=YEAR(E138),(12-MONTH(E138)+1)/12,1))))))))&gt;0,(((K138)*(IF(M138="",L138,IFERROR(IF(INDEX(Variablen!$I:$AT, MATCH(M138, Variablen!$A:$A, 0), MATCH((YEAR(D138)+4), Variablen!$I$3:$AT$3, 0))="",L138,INDEX(Variablen!$I:$AT, MATCH(M138, Variablen!$A:$A, 0), MATCH((YEAR(D138)+4), Variablen!$I$3:$AT$3, 0))),L138)))*(IF((YEAR(D138)+4)&lt;YEAR(E138),0,IF((YEAR(D138)+4)&gt;YEAR(E138),1,(12-MONTH(E138)+1)/12))) + (Q138)*(IF((YEAR(D138)+4)&lt;YEAR(E138),0,IF((YEAR(D138)+4)&gt;YEAR(E138),1,(12-MONTH(E138)+1)/12))))-((P138)*(IF((YEAR(D138)+4)&lt;YEAR(E138),0,IF((YEAR(D138)+4)&gt;YEAR(E138),1,(12-MONTH(E138)+1)/12))) + (R138)*(IF((YEAR(D138)+4)&lt;YEAR(E138),0,IF((YEAR(D138)+4)&gt;YEAR(E138),1,(12-MONTH(E138)+1)/12))))-(IF(OR(N138="",N138&lt;=0),0,(O138/N138)*(IF(OR(N138="",N138&lt;=0),0,IF((YEAR(D138)+4)&lt;YEAR(E138),0,IF((YEAR(D138)+4)&gt;=YEAR(E138)+N138,0,IF((YEAR(D138)+4)=YEAR(E138),(12-MONTH(E138)+1)/12,1))))))))*TaxRate,0))-IF(4=0,O138,0))</f>
        <v/>
      </c>
      <c r="X138" s="29">
        <f>IF(A138="","",((K138)*(IF(M138="",L138,IFERROR(IF(INDEX(Variablen!$I:$AT, MATCH(M138, Variablen!$A:$A, 0), MATCH((YEAR(D138)+5), Variablen!$I$3:$AT$3, 0))="",L138,INDEX(Variablen!$I:$AT, MATCH(M138, Variablen!$A:$A, 0), MATCH((YEAR(D138)+5), Variablen!$I$3:$AT$3, 0))),L138)))*(IF((YEAR(D138)+5)&lt;YEAR(E138),0,IF((YEAR(D138)+5)&gt;YEAR(E138),1,(12-MONTH(E138)+1)/12))) + (Q138)*(IF((YEAR(D138)+5)&lt;YEAR(E138),0,IF((YEAR(D138)+5)&gt;YEAR(E138),1,(12-MONTH(E138)+1)/12))))-((P138)*(IF((YEAR(D138)+5)&lt;YEAR(E138),0,IF((YEAR(D138)+5)&gt;YEAR(E138),1,(12-MONTH(E138)+1)/12))) + (R138)*(IF((YEAR(D138)+5)&lt;YEAR(E138),0,IF((YEAR(D138)+5)&gt;YEAR(E138),1,(12-MONTH(E138)+1)/12))))-(IF((((K138)*(IF(M138="",L138,IFERROR(IF(INDEX(Variablen!$I:$AT, MATCH(M138, Variablen!$A:$A, 0), MATCH((YEAR(D138)+5), Variablen!$I$3:$AT$3, 0))="",L138,INDEX(Variablen!$I:$AT, MATCH(M138, Variablen!$A:$A, 0), MATCH((YEAR(D138)+5), Variablen!$I$3:$AT$3, 0))),L138)))*(IF((YEAR(D138)+5)&lt;YEAR(E138),0,IF((YEAR(D138)+5)&gt;YEAR(E138),1,(12-MONTH(E138)+1)/12))) + (Q138)*(IF((YEAR(D138)+5)&lt;YEAR(E138),0,IF((YEAR(D138)+5)&gt;YEAR(E138),1,(12-MONTH(E138)+1)/12))))-((P138)*(IF((YEAR(D138)+5)&lt;YEAR(E138),0,IF((YEAR(D138)+5)&gt;YEAR(E138),1,(12-MONTH(E138)+1)/12))) + (R138)*(IF((YEAR(D138)+5)&lt;YEAR(E138),0,IF((YEAR(D138)+5)&gt;YEAR(E138),1,(12-MONTH(E138)+1)/12))))-(IF(OR(N138="",N138&lt;=0),0,(O138/N138)*(IF(OR(N138="",N138&lt;=0),0,IF((YEAR(D138)+5)&lt;YEAR(E138),0,IF((YEAR(D138)+5)&gt;=YEAR(E138)+N138,0,IF((YEAR(D138)+5)=YEAR(E138),(12-MONTH(E138)+1)/12,1))))))))&gt;0,(((K138)*(IF(M138="",L138,IFERROR(IF(INDEX(Variablen!$I:$AT, MATCH(M138, Variablen!$A:$A, 0), MATCH((YEAR(D138)+5), Variablen!$I$3:$AT$3, 0))="",L138,INDEX(Variablen!$I:$AT, MATCH(M138, Variablen!$A:$A, 0), MATCH((YEAR(D138)+5), Variablen!$I$3:$AT$3, 0))),L138)))*(IF((YEAR(D138)+5)&lt;YEAR(E138),0,IF((YEAR(D138)+5)&gt;YEAR(E138),1,(12-MONTH(E138)+1)/12))) + (Q138)*(IF((YEAR(D138)+5)&lt;YEAR(E138),0,IF((YEAR(D138)+5)&gt;YEAR(E138),1,(12-MONTH(E138)+1)/12))))-((P138)*(IF((YEAR(D138)+5)&lt;YEAR(E138),0,IF((YEAR(D138)+5)&gt;YEAR(E138),1,(12-MONTH(E138)+1)/12))) + (R138)*(IF((YEAR(D138)+5)&lt;YEAR(E138),0,IF((YEAR(D138)+5)&gt;YEAR(E138),1,(12-MONTH(E138)+1)/12))))-(IF(OR(N138="",N138&lt;=0),0,(O138/N138)*(IF(OR(N138="",N138&lt;=0),0,IF((YEAR(D138)+5)&lt;YEAR(E138),0,IF((YEAR(D138)+5)&gt;=YEAR(E138)+N138,0,IF((YEAR(D138)+5)=YEAR(E138),(12-MONTH(E138)+1)/12,1))))))))*TaxRate,0))-IF(5=0,O138,0))</f>
        <v/>
      </c>
      <c r="Y138" s="29">
        <f>IF(A138="","",((K138)*(IF(M138="",L138,IFERROR(IF(INDEX(Variablen!$I:$AT, MATCH(M138, Variablen!$A:$A, 0), MATCH((YEAR(D138)+6), Variablen!$I$3:$AT$3, 0))="",L138,INDEX(Variablen!$I:$AT, MATCH(M138, Variablen!$A:$A, 0), MATCH((YEAR(D138)+6), Variablen!$I$3:$AT$3, 0))),L138)))*(IF((YEAR(D138)+6)&lt;YEAR(E138),0,IF((YEAR(D138)+6)&gt;YEAR(E138),1,(12-MONTH(E138)+1)/12))) + (Q138)*(IF((YEAR(D138)+6)&lt;YEAR(E138),0,IF((YEAR(D138)+6)&gt;YEAR(E138),1,(12-MONTH(E138)+1)/12))))-((P138)*(IF((YEAR(D138)+6)&lt;YEAR(E138),0,IF((YEAR(D138)+6)&gt;YEAR(E138),1,(12-MONTH(E138)+1)/12))) + (R138)*(IF((YEAR(D138)+6)&lt;YEAR(E138),0,IF((YEAR(D138)+6)&gt;YEAR(E138),1,(12-MONTH(E138)+1)/12))))-(IF((((K138)*(IF(M138="",L138,IFERROR(IF(INDEX(Variablen!$I:$AT, MATCH(M138, Variablen!$A:$A, 0), MATCH((YEAR(D138)+6), Variablen!$I$3:$AT$3, 0))="",L138,INDEX(Variablen!$I:$AT, MATCH(M138, Variablen!$A:$A, 0), MATCH((YEAR(D138)+6), Variablen!$I$3:$AT$3, 0))),L138)))*(IF((YEAR(D138)+6)&lt;YEAR(E138),0,IF((YEAR(D138)+6)&gt;YEAR(E138),1,(12-MONTH(E138)+1)/12))) + (Q138)*(IF((YEAR(D138)+6)&lt;YEAR(E138),0,IF((YEAR(D138)+6)&gt;YEAR(E138),1,(12-MONTH(E138)+1)/12))))-((P138)*(IF((YEAR(D138)+6)&lt;YEAR(E138),0,IF((YEAR(D138)+6)&gt;YEAR(E138),1,(12-MONTH(E138)+1)/12))) + (R138)*(IF((YEAR(D138)+6)&lt;YEAR(E138),0,IF((YEAR(D138)+6)&gt;YEAR(E138),1,(12-MONTH(E138)+1)/12))))-(IF(OR(N138="",N138&lt;=0),0,(O138/N138)*(IF(OR(N138="",N138&lt;=0),0,IF((YEAR(D138)+6)&lt;YEAR(E138),0,IF((YEAR(D138)+6)&gt;=YEAR(E138)+N138,0,IF((YEAR(D138)+6)=YEAR(E138),(12-MONTH(E138)+1)/12,1))))))))&gt;0,(((K138)*(IF(M138="",L138,IFERROR(IF(INDEX(Variablen!$I:$AT, MATCH(M138, Variablen!$A:$A, 0), MATCH((YEAR(D138)+6), Variablen!$I$3:$AT$3, 0))="",L138,INDEX(Variablen!$I:$AT, MATCH(M138, Variablen!$A:$A, 0), MATCH((YEAR(D138)+6), Variablen!$I$3:$AT$3, 0))),L138)))*(IF((YEAR(D138)+6)&lt;YEAR(E138),0,IF((YEAR(D138)+6)&gt;YEAR(E138),1,(12-MONTH(E138)+1)/12))) + (Q138)*(IF((YEAR(D138)+6)&lt;YEAR(E138),0,IF((YEAR(D138)+6)&gt;YEAR(E138),1,(12-MONTH(E138)+1)/12))))-((P138)*(IF((YEAR(D138)+6)&lt;YEAR(E138),0,IF((YEAR(D138)+6)&gt;YEAR(E138),1,(12-MONTH(E138)+1)/12))) + (R138)*(IF((YEAR(D138)+6)&lt;YEAR(E138),0,IF((YEAR(D138)+6)&gt;YEAR(E138),1,(12-MONTH(E138)+1)/12))))-(IF(OR(N138="",N138&lt;=0),0,(O138/N138)*(IF(OR(N138="",N138&lt;=0),0,IF((YEAR(D138)+6)&lt;YEAR(E138),0,IF((YEAR(D138)+6)&gt;=YEAR(E138)+N138,0,IF((YEAR(D138)+6)=YEAR(E138),(12-MONTH(E138)+1)/12,1))))))))*TaxRate,0))-IF(6=0,O138,0))</f>
        <v/>
      </c>
      <c r="Z138" s="29">
        <f>IF(A138="","",((K138)*(IF(M138="",L138,IFERROR(IF(INDEX(Variablen!$I:$AT, MATCH(M138, Variablen!$A:$A, 0), MATCH((YEAR(D138)+7), Variablen!$I$3:$AT$3, 0))="",L138,INDEX(Variablen!$I:$AT, MATCH(M138, Variablen!$A:$A, 0), MATCH((YEAR(D138)+7), Variablen!$I$3:$AT$3, 0))),L138)))*(IF((YEAR(D138)+7)&lt;YEAR(E138),0,IF((YEAR(D138)+7)&gt;YEAR(E138),1,(12-MONTH(E138)+1)/12))) + (Q138)*(IF((YEAR(D138)+7)&lt;YEAR(E138),0,IF((YEAR(D138)+7)&gt;YEAR(E138),1,(12-MONTH(E138)+1)/12))))-((P138)*(IF((YEAR(D138)+7)&lt;YEAR(E138),0,IF((YEAR(D138)+7)&gt;YEAR(E138),1,(12-MONTH(E138)+1)/12))) + (R138)*(IF((YEAR(D138)+7)&lt;YEAR(E138),0,IF((YEAR(D138)+7)&gt;YEAR(E138),1,(12-MONTH(E138)+1)/12))))-(IF((((K138)*(IF(M138="",L138,IFERROR(IF(INDEX(Variablen!$I:$AT, MATCH(M138, Variablen!$A:$A, 0), MATCH((YEAR(D138)+7), Variablen!$I$3:$AT$3, 0))="",L138,INDEX(Variablen!$I:$AT, MATCH(M138, Variablen!$A:$A, 0), MATCH((YEAR(D138)+7), Variablen!$I$3:$AT$3, 0))),L138)))*(IF((YEAR(D138)+7)&lt;YEAR(E138),0,IF((YEAR(D138)+7)&gt;YEAR(E138),1,(12-MONTH(E138)+1)/12))) + (Q138)*(IF((YEAR(D138)+7)&lt;YEAR(E138),0,IF((YEAR(D138)+7)&gt;YEAR(E138),1,(12-MONTH(E138)+1)/12))))-((P138)*(IF((YEAR(D138)+7)&lt;YEAR(E138),0,IF((YEAR(D138)+7)&gt;YEAR(E138),1,(12-MONTH(E138)+1)/12))) + (R138)*(IF((YEAR(D138)+7)&lt;YEAR(E138),0,IF((YEAR(D138)+7)&gt;YEAR(E138),1,(12-MONTH(E138)+1)/12))))-(IF(OR(N138="",N138&lt;=0),0,(O138/N138)*(IF(OR(N138="",N138&lt;=0),0,IF((YEAR(D138)+7)&lt;YEAR(E138),0,IF((YEAR(D138)+7)&gt;=YEAR(E138)+N138,0,IF((YEAR(D138)+7)=YEAR(E138),(12-MONTH(E138)+1)/12,1))))))))&gt;0,(((K138)*(IF(M138="",L138,IFERROR(IF(INDEX(Variablen!$I:$AT, MATCH(M138, Variablen!$A:$A, 0), MATCH((YEAR(D138)+7), Variablen!$I$3:$AT$3, 0))="",L138,INDEX(Variablen!$I:$AT, MATCH(M138, Variablen!$A:$A, 0), MATCH((YEAR(D138)+7), Variablen!$I$3:$AT$3, 0))),L138)))*(IF((YEAR(D138)+7)&lt;YEAR(E138),0,IF((YEAR(D138)+7)&gt;YEAR(E138),1,(12-MONTH(E138)+1)/12))) + (Q138)*(IF((YEAR(D138)+7)&lt;YEAR(E138),0,IF((YEAR(D138)+7)&gt;YEAR(E138),1,(12-MONTH(E138)+1)/12))))-((P138)*(IF((YEAR(D138)+7)&lt;YEAR(E138),0,IF((YEAR(D138)+7)&gt;YEAR(E138),1,(12-MONTH(E138)+1)/12))) + (R138)*(IF((YEAR(D138)+7)&lt;YEAR(E138),0,IF((YEAR(D138)+7)&gt;YEAR(E138),1,(12-MONTH(E138)+1)/12))))-(IF(OR(N138="",N138&lt;=0),0,(O138/N138)*(IF(OR(N138="",N138&lt;=0),0,IF((YEAR(D138)+7)&lt;YEAR(E138),0,IF((YEAR(D138)+7)&gt;=YEAR(E138)+N138,0,IF((YEAR(D138)+7)=YEAR(E138),(12-MONTH(E138)+1)/12,1))))))))*TaxRate,0))-IF(7=0,O138,0))</f>
        <v/>
      </c>
      <c r="AA138" s="29">
        <f>IF(A138="","",((K138)*(IF(M138="",L138,IFERROR(IF(INDEX(Variablen!$I:$AT, MATCH(M138, Variablen!$A:$A, 0), MATCH((YEAR(D138)+8), Variablen!$I$3:$AT$3, 0))="",L138,INDEX(Variablen!$I:$AT, MATCH(M138, Variablen!$A:$A, 0), MATCH((YEAR(D138)+8), Variablen!$I$3:$AT$3, 0))),L138)))*(IF((YEAR(D138)+8)&lt;YEAR(E138),0,IF((YEAR(D138)+8)&gt;YEAR(E138),1,(12-MONTH(E138)+1)/12))) + (Q138)*(IF((YEAR(D138)+8)&lt;YEAR(E138),0,IF((YEAR(D138)+8)&gt;YEAR(E138),1,(12-MONTH(E138)+1)/12))))-((P138)*(IF((YEAR(D138)+8)&lt;YEAR(E138),0,IF((YEAR(D138)+8)&gt;YEAR(E138),1,(12-MONTH(E138)+1)/12))) + (R138)*(IF((YEAR(D138)+8)&lt;YEAR(E138),0,IF((YEAR(D138)+8)&gt;YEAR(E138),1,(12-MONTH(E138)+1)/12))))-(IF((((K138)*(IF(M138="",L138,IFERROR(IF(INDEX(Variablen!$I:$AT, MATCH(M138, Variablen!$A:$A, 0), MATCH((YEAR(D138)+8), Variablen!$I$3:$AT$3, 0))="",L138,INDEX(Variablen!$I:$AT, MATCH(M138, Variablen!$A:$A, 0), MATCH((YEAR(D138)+8), Variablen!$I$3:$AT$3, 0))),L138)))*(IF((YEAR(D138)+8)&lt;YEAR(E138),0,IF((YEAR(D138)+8)&gt;YEAR(E138),1,(12-MONTH(E138)+1)/12))) + (Q138)*(IF((YEAR(D138)+8)&lt;YEAR(E138),0,IF((YEAR(D138)+8)&gt;YEAR(E138),1,(12-MONTH(E138)+1)/12))))-((P138)*(IF((YEAR(D138)+8)&lt;YEAR(E138),0,IF((YEAR(D138)+8)&gt;YEAR(E138),1,(12-MONTH(E138)+1)/12))) + (R138)*(IF((YEAR(D138)+8)&lt;YEAR(E138),0,IF((YEAR(D138)+8)&gt;YEAR(E138),1,(12-MONTH(E138)+1)/12))))-(IF(OR(N138="",N138&lt;=0),0,(O138/N138)*(IF(OR(N138="",N138&lt;=0),0,IF((YEAR(D138)+8)&lt;YEAR(E138),0,IF((YEAR(D138)+8)&gt;=YEAR(E138)+N138,0,IF((YEAR(D138)+8)=YEAR(E138),(12-MONTH(E138)+1)/12,1))))))))&gt;0,(((K138)*(IF(M138="",L138,IFERROR(IF(INDEX(Variablen!$I:$AT, MATCH(M138, Variablen!$A:$A, 0), MATCH((YEAR(D138)+8), Variablen!$I$3:$AT$3, 0))="",L138,INDEX(Variablen!$I:$AT, MATCH(M138, Variablen!$A:$A, 0), MATCH((YEAR(D138)+8), Variablen!$I$3:$AT$3, 0))),L138)))*(IF((YEAR(D138)+8)&lt;YEAR(E138),0,IF((YEAR(D138)+8)&gt;YEAR(E138),1,(12-MONTH(E138)+1)/12))) + (Q138)*(IF((YEAR(D138)+8)&lt;YEAR(E138),0,IF((YEAR(D138)+8)&gt;YEAR(E138),1,(12-MONTH(E138)+1)/12))))-((P138)*(IF((YEAR(D138)+8)&lt;YEAR(E138),0,IF((YEAR(D138)+8)&gt;YEAR(E138),1,(12-MONTH(E138)+1)/12))) + (R138)*(IF((YEAR(D138)+8)&lt;YEAR(E138),0,IF((YEAR(D138)+8)&gt;YEAR(E138),1,(12-MONTH(E138)+1)/12))))-(IF(OR(N138="",N138&lt;=0),0,(O138/N138)*(IF(OR(N138="",N138&lt;=0),0,IF((YEAR(D138)+8)&lt;YEAR(E138),0,IF((YEAR(D138)+8)&gt;=YEAR(E138)+N138,0,IF((YEAR(D138)+8)=YEAR(E138),(12-MONTH(E138)+1)/12,1))))))))*TaxRate,0))-IF(8=0,O138,0))</f>
        <v/>
      </c>
      <c r="AB138" s="29">
        <f>IF(A138="","",((K138)*(IF(M138="",L138,IFERROR(IF(INDEX(Variablen!$I:$AT, MATCH(M138, Variablen!$A:$A, 0), MATCH((YEAR(D138)+9), Variablen!$I$3:$AT$3, 0))="",L138,INDEX(Variablen!$I:$AT, MATCH(M138, Variablen!$A:$A, 0), MATCH((YEAR(D138)+9), Variablen!$I$3:$AT$3, 0))),L138)))*(IF((YEAR(D138)+9)&lt;YEAR(E138),0,IF((YEAR(D138)+9)&gt;YEAR(E138),1,(12-MONTH(E138)+1)/12))) + (Q138)*(IF((YEAR(D138)+9)&lt;YEAR(E138),0,IF((YEAR(D138)+9)&gt;YEAR(E138),1,(12-MONTH(E138)+1)/12))))-((P138)*(IF((YEAR(D138)+9)&lt;YEAR(E138),0,IF((YEAR(D138)+9)&gt;YEAR(E138),1,(12-MONTH(E138)+1)/12))) + (R138)*(IF((YEAR(D138)+9)&lt;YEAR(E138),0,IF((YEAR(D138)+9)&gt;YEAR(E138),1,(12-MONTH(E138)+1)/12))))-(IF((((K138)*(IF(M138="",L138,IFERROR(IF(INDEX(Variablen!$I:$AT, MATCH(M138, Variablen!$A:$A, 0), MATCH((YEAR(D138)+9), Variablen!$I$3:$AT$3, 0))="",L138,INDEX(Variablen!$I:$AT, MATCH(M138, Variablen!$A:$A, 0), MATCH((YEAR(D138)+9), Variablen!$I$3:$AT$3, 0))),L138)))*(IF((YEAR(D138)+9)&lt;YEAR(E138),0,IF((YEAR(D138)+9)&gt;YEAR(E138),1,(12-MONTH(E138)+1)/12))) + (Q138)*(IF((YEAR(D138)+9)&lt;YEAR(E138),0,IF((YEAR(D138)+9)&gt;YEAR(E138),1,(12-MONTH(E138)+1)/12))))-((P138)*(IF((YEAR(D138)+9)&lt;YEAR(E138),0,IF((YEAR(D138)+9)&gt;YEAR(E138),1,(12-MONTH(E138)+1)/12))) + (R138)*(IF((YEAR(D138)+9)&lt;YEAR(E138),0,IF((YEAR(D138)+9)&gt;YEAR(E138),1,(12-MONTH(E138)+1)/12))))-(IF(OR(N138="",N138&lt;=0),0,(O138/N138)*(IF(OR(N138="",N138&lt;=0),0,IF((YEAR(D138)+9)&lt;YEAR(E138),0,IF((YEAR(D138)+9)&gt;=YEAR(E138)+N138,0,IF((YEAR(D138)+9)=YEAR(E138),(12-MONTH(E138)+1)/12,1))))))))&gt;0,(((K138)*(IF(M138="",L138,IFERROR(IF(INDEX(Variablen!$I:$AT, MATCH(M138, Variablen!$A:$A, 0), MATCH((YEAR(D138)+9), Variablen!$I$3:$AT$3, 0))="",L138,INDEX(Variablen!$I:$AT, MATCH(M138, Variablen!$A:$A, 0), MATCH((YEAR(D138)+9), Variablen!$I$3:$AT$3, 0))),L138)))*(IF((YEAR(D138)+9)&lt;YEAR(E138),0,IF((YEAR(D138)+9)&gt;YEAR(E138),1,(12-MONTH(E138)+1)/12))) + (Q138)*(IF((YEAR(D138)+9)&lt;YEAR(E138),0,IF((YEAR(D138)+9)&gt;YEAR(E138),1,(12-MONTH(E138)+1)/12))))-((P138)*(IF((YEAR(D138)+9)&lt;YEAR(E138),0,IF((YEAR(D138)+9)&gt;YEAR(E138),1,(12-MONTH(E138)+1)/12))) + (R138)*(IF((YEAR(D138)+9)&lt;YEAR(E138),0,IF((YEAR(D138)+9)&gt;YEAR(E138),1,(12-MONTH(E138)+1)/12))))-(IF(OR(N138="",N138&lt;=0),0,(O138/N138)*(IF(OR(N138="",N138&lt;=0),0,IF((YEAR(D138)+9)&lt;YEAR(E138),0,IF((YEAR(D138)+9)&gt;=YEAR(E138)+N138,0,IF((YEAR(D138)+9)=YEAR(E138),(12-MONTH(E138)+1)/12,1))))))))*TaxRate,0))-IF(9=0,O138,0))</f>
        <v/>
      </c>
      <c r="AC138" s="29">
        <f>IF(A138="","",((K138)*(IF(M138="",L138,IFERROR(IF(INDEX(Variablen!$I:$AT, MATCH(M138, Variablen!$A:$A, 0), MATCH((YEAR(D138)+10), Variablen!$I$3:$AT$3, 0))="",L138,INDEX(Variablen!$I:$AT, MATCH(M138, Variablen!$A:$A, 0), MATCH((YEAR(D138)+10), Variablen!$I$3:$AT$3, 0))),L138)))*(IF((YEAR(D138)+10)&lt;YEAR(E138),0,IF((YEAR(D138)+10)&gt;YEAR(E138),1,(12-MONTH(E138)+1)/12))) + (Q138)*(IF((YEAR(D138)+10)&lt;YEAR(E138),0,IF((YEAR(D138)+10)&gt;YEAR(E138),1,(12-MONTH(E138)+1)/12))))-((P138)*(IF((YEAR(D138)+10)&lt;YEAR(E138),0,IF((YEAR(D138)+10)&gt;YEAR(E138),1,(12-MONTH(E138)+1)/12))) + (R138)*(IF((YEAR(D138)+10)&lt;YEAR(E138),0,IF((YEAR(D138)+10)&gt;YEAR(E138),1,(12-MONTH(E138)+1)/12))))-(IF((((K138)*(IF(M138="",L138,IFERROR(IF(INDEX(Variablen!$I:$AT, MATCH(M138, Variablen!$A:$A, 0), MATCH((YEAR(D138)+10), Variablen!$I$3:$AT$3, 0))="",L138,INDEX(Variablen!$I:$AT, MATCH(M138, Variablen!$A:$A, 0), MATCH((YEAR(D138)+10), Variablen!$I$3:$AT$3, 0))),L138)))*(IF((YEAR(D138)+10)&lt;YEAR(E138),0,IF((YEAR(D138)+10)&gt;YEAR(E138),1,(12-MONTH(E138)+1)/12))) + (Q138)*(IF((YEAR(D138)+10)&lt;YEAR(E138),0,IF((YEAR(D138)+10)&gt;YEAR(E138),1,(12-MONTH(E138)+1)/12))))-((P138)*(IF((YEAR(D138)+10)&lt;YEAR(E138),0,IF((YEAR(D138)+10)&gt;YEAR(E138),1,(12-MONTH(E138)+1)/12))) + (R138)*(IF((YEAR(D138)+10)&lt;YEAR(E138),0,IF((YEAR(D138)+10)&gt;YEAR(E138),1,(12-MONTH(E138)+1)/12))))-(IF(OR(N138="",N138&lt;=0),0,(O138/N138)*(IF(OR(N138="",N138&lt;=0),0,IF((YEAR(D138)+10)&lt;YEAR(E138),0,IF((YEAR(D138)+10)&gt;=YEAR(E138)+N138,0,IF((YEAR(D138)+10)=YEAR(E138),(12-MONTH(E138)+1)/12,1))))))))&gt;0,(((K138)*(IF(M138="",L138,IFERROR(IF(INDEX(Variablen!$I:$AT, MATCH(M138, Variablen!$A:$A, 0), MATCH((YEAR(D138)+10), Variablen!$I$3:$AT$3, 0))="",L138,INDEX(Variablen!$I:$AT, MATCH(M138, Variablen!$A:$A, 0), MATCH((YEAR(D138)+10), Variablen!$I$3:$AT$3, 0))),L138)))*(IF((YEAR(D138)+10)&lt;YEAR(E138),0,IF((YEAR(D138)+10)&gt;YEAR(E138),1,(12-MONTH(E138)+1)/12))) + (Q138)*(IF((YEAR(D138)+10)&lt;YEAR(E138),0,IF((YEAR(D138)+10)&gt;YEAR(E138),1,(12-MONTH(E138)+1)/12))))-((P138)*(IF((YEAR(D138)+10)&lt;YEAR(E138),0,IF((YEAR(D138)+10)&gt;YEAR(E138),1,(12-MONTH(E138)+1)/12))) + (R138)*(IF((YEAR(D138)+10)&lt;YEAR(E138),0,IF((YEAR(D138)+10)&gt;YEAR(E138),1,(12-MONTH(E138)+1)/12))))-(IF(OR(N138="",N138&lt;=0),0,(O138/N138)*(IF(OR(N138="",N138&lt;=0),0,IF((YEAR(D138)+10)&lt;YEAR(E138),0,IF((YEAR(D138)+10)&gt;=YEAR(E138)+N138,0,IF((YEAR(D138)+10)=YEAR(E138),(12-MONTH(E138)+1)/12,1))))))))*TaxRate,0))-IF(10=0,O138,0))</f>
        <v/>
      </c>
      <c r="AD138" s="29">
        <f>IF(A138="","",((K138)*(IF(M138="",L138,IFERROR(IF(INDEX(Variablen!$I:$AT, MATCH(M138, Variablen!$A:$A, 0), MATCH((YEAR(D138)+11), Variablen!$I$3:$AT$3, 0))="",L138,INDEX(Variablen!$I:$AT, MATCH(M138, Variablen!$A:$A, 0), MATCH((YEAR(D138)+11), Variablen!$I$3:$AT$3, 0))),L138)))*(IF((YEAR(D138)+11)&lt;YEAR(E138),0,IF((YEAR(D138)+11)&gt;YEAR(E138),1,(12-MONTH(E138)+1)/12))) + (Q138)*(IF((YEAR(D138)+11)&lt;YEAR(E138),0,IF((YEAR(D138)+11)&gt;YEAR(E138),1,(12-MONTH(E138)+1)/12))))-((P138)*(IF((YEAR(D138)+11)&lt;YEAR(E138),0,IF((YEAR(D138)+11)&gt;YEAR(E138),1,(12-MONTH(E138)+1)/12))) + (R138)*(IF((YEAR(D138)+11)&lt;YEAR(E138),0,IF((YEAR(D138)+11)&gt;YEAR(E138),1,(12-MONTH(E138)+1)/12))))-(IF((((K138)*(IF(M138="",L138,IFERROR(IF(INDEX(Variablen!$I:$AT, MATCH(M138, Variablen!$A:$A, 0), MATCH((YEAR(D138)+11), Variablen!$I$3:$AT$3, 0))="",L138,INDEX(Variablen!$I:$AT, MATCH(M138, Variablen!$A:$A, 0), MATCH((YEAR(D138)+11), Variablen!$I$3:$AT$3, 0))),L138)))*(IF((YEAR(D138)+11)&lt;YEAR(E138),0,IF((YEAR(D138)+11)&gt;YEAR(E138),1,(12-MONTH(E138)+1)/12))) + (Q138)*(IF((YEAR(D138)+11)&lt;YEAR(E138),0,IF((YEAR(D138)+11)&gt;YEAR(E138),1,(12-MONTH(E138)+1)/12))))-((P138)*(IF((YEAR(D138)+11)&lt;YEAR(E138),0,IF((YEAR(D138)+11)&gt;YEAR(E138),1,(12-MONTH(E138)+1)/12))) + (R138)*(IF((YEAR(D138)+11)&lt;YEAR(E138),0,IF((YEAR(D138)+11)&gt;YEAR(E138),1,(12-MONTH(E138)+1)/12))))-(IF(OR(N138="",N138&lt;=0),0,(O138/N138)*(IF(OR(N138="",N138&lt;=0),0,IF((YEAR(D138)+11)&lt;YEAR(E138),0,IF((YEAR(D138)+11)&gt;=YEAR(E138)+N138,0,IF((YEAR(D138)+11)=YEAR(E138),(12-MONTH(E138)+1)/12,1))))))))&gt;0,(((K138)*(IF(M138="",L138,IFERROR(IF(INDEX(Variablen!$I:$AT, MATCH(M138, Variablen!$A:$A, 0), MATCH((YEAR(D138)+11), Variablen!$I$3:$AT$3, 0))="",L138,INDEX(Variablen!$I:$AT, MATCH(M138, Variablen!$A:$A, 0), MATCH((YEAR(D138)+11), Variablen!$I$3:$AT$3, 0))),L138)))*(IF((YEAR(D138)+11)&lt;YEAR(E138),0,IF((YEAR(D138)+11)&gt;YEAR(E138),1,(12-MONTH(E138)+1)/12))) + (Q138)*(IF((YEAR(D138)+11)&lt;YEAR(E138),0,IF((YEAR(D138)+11)&gt;YEAR(E138),1,(12-MONTH(E138)+1)/12))))-((P138)*(IF((YEAR(D138)+11)&lt;YEAR(E138),0,IF((YEAR(D138)+11)&gt;YEAR(E138),1,(12-MONTH(E138)+1)/12))) + (R138)*(IF((YEAR(D138)+11)&lt;YEAR(E138),0,IF((YEAR(D138)+11)&gt;YEAR(E138),1,(12-MONTH(E138)+1)/12))))-(IF(OR(N138="",N138&lt;=0),0,(O138/N138)*(IF(OR(N138="",N138&lt;=0),0,IF((YEAR(D138)+11)&lt;YEAR(E138),0,IF((YEAR(D138)+11)&gt;=YEAR(E138)+N138,0,IF((YEAR(D138)+11)=YEAR(E138),(12-MONTH(E138)+1)/12,1))))))))*TaxRate,0))-IF(11=0,O138,0))</f>
        <v/>
      </c>
      <c r="AE138" s="29">
        <f>IF(A138="","",((K138)*(IF(M138="",L138,IFERROR(IF(INDEX(Variablen!$I:$AT, MATCH(M138, Variablen!$A:$A, 0), MATCH((YEAR(D138)+12), Variablen!$I$3:$AT$3, 0))="",L138,INDEX(Variablen!$I:$AT, MATCH(M138, Variablen!$A:$A, 0), MATCH((YEAR(D138)+12), Variablen!$I$3:$AT$3, 0))),L138)))*(IF((YEAR(D138)+12)&lt;YEAR(E138),0,IF((YEAR(D138)+12)&gt;YEAR(E138),1,(12-MONTH(E138)+1)/12))) + (Q138)*(IF((YEAR(D138)+12)&lt;YEAR(E138),0,IF((YEAR(D138)+12)&gt;YEAR(E138),1,(12-MONTH(E138)+1)/12))))-((P138)*(IF((YEAR(D138)+12)&lt;YEAR(E138),0,IF((YEAR(D138)+12)&gt;YEAR(E138),1,(12-MONTH(E138)+1)/12))) + (R138)*(IF((YEAR(D138)+12)&lt;YEAR(E138),0,IF((YEAR(D138)+12)&gt;YEAR(E138),1,(12-MONTH(E138)+1)/12))))-(IF((((K138)*(IF(M138="",L138,IFERROR(IF(INDEX(Variablen!$I:$AT, MATCH(M138, Variablen!$A:$A, 0), MATCH((YEAR(D138)+12), Variablen!$I$3:$AT$3, 0))="",L138,INDEX(Variablen!$I:$AT, MATCH(M138, Variablen!$A:$A, 0), MATCH((YEAR(D138)+12), Variablen!$I$3:$AT$3, 0))),L138)))*(IF((YEAR(D138)+12)&lt;YEAR(E138),0,IF((YEAR(D138)+12)&gt;YEAR(E138),1,(12-MONTH(E138)+1)/12))) + (Q138)*(IF((YEAR(D138)+12)&lt;YEAR(E138),0,IF((YEAR(D138)+12)&gt;YEAR(E138),1,(12-MONTH(E138)+1)/12))))-((P138)*(IF((YEAR(D138)+12)&lt;YEAR(E138),0,IF((YEAR(D138)+12)&gt;YEAR(E138),1,(12-MONTH(E138)+1)/12))) + (R138)*(IF((YEAR(D138)+12)&lt;YEAR(E138),0,IF((YEAR(D138)+12)&gt;YEAR(E138),1,(12-MONTH(E138)+1)/12))))-(IF(OR(N138="",N138&lt;=0),0,(O138/N138)*(IF(OR(N138="",N138&lt;=0),0,IF((YEAR(D138)+12)&lt;YEAR(E138),0,IF((YEAR(D138)+12)&gt;=YEAR(E138)+N138,0,IF((YEAR(D138)+12)=YEAR(E138),(12-MONTH(E138)+1)/12,1))))))))&gt;0,(((K138)*(IF(M138="",L138,IFERROR(IF(INDEX(Variablen!$I:$AT, MATCH(M138, Variablen!$A:$A, 0), MATCH((YEAR(D138)+12), Variablen!$I$3:$AT$3, 0))="",L138,INDEX(Variablen!$I:$AT, MATCH(M138, Variablen!$A:$A, 0), MATCH((YEAR(D138)+12), Variablen!$I$3:$AT$3, 0))),L138)))*(IF((YEAR(D138)+12)&lt;YEAR(E138),0,IF((YEAR(D138)+12)&gt;YEAR(E138),1,(12-MONTH(E138)+1)/12))) + (Q138)*(IF((YEAR(D138)+12)&lt;YEAR(E138),0,IF((YEAR(D138)+12)&gt;YEAR(E138),1,(12-MONTH(E138)+1)/12))))-((P138)*(IF((YEAR(D138)+12)&lt;YEAR(E138),0,IF((YEAR(D138)+12)&gt;YEAR(E138),1,(12-MONTH(E138)+1)/12))) + (R138)*(IF((YEAR(D138)+12)&lt;YEAR(E138),0,IF((YEAR(D138)+12)&gt;YEAR(E138),1,(12-MONTH(E138)+1)/12))))-(IF(OR(N138="",N138&lt;=0),0,(O138/N138)*(IF(OR(N138="",N138&lt;=0),0,IF((YEAR(D138)+12)&lt;YEAR(E138),0,IF((YEAR(D138)+12)&gt;=YEAR(E138)+N138,0,IF((YEAR(D138)+12)=YEAR(E138),(12-MONTH(E138)+1)/12,1))))))))*TaxRate,0))-IF(12=0,O138,0))</f>
        <v/>
      </c>
      <c r="AF138" s="29">
        <f>IF(A138="","",((K138)*(IF(M138="",L138,IFERROR(IF(INDEX(Variablen!$I:$AT, MATCH(M138, Variablen!$A:$A, 0), MATCH((YEAR(D138)+13), Variablen!$I$3:$AT$3, 0))="",L138,INDEX(Variablen!$I:$AT, MATCH(M138, Variablen!$A:$A, 0), MATCH((YEAR(D138)+13), Variablen!$I$3:$AT$3, 0))),L138)))*(IF((YEAR(D138)+13)&lt;YEAR(E138),0,IF((YEAR(D138)+13)&gt;YEAR(E138),1,(12-MONTH(E138)+1)/12))) + (Q138)*(IF((YEAR(D138)+13)&lt;YEAR(E138),0,IF((YEAR(D138)+13)&gt;YEAR(E138),1,(12-MONTH(E138)+1)/12))))-((P138)*(IF((YEAR(D138)+13)&lt;YEAR(E138),0,IF((YEAR(D138)+13)&gt;YEAR(E138),1,(12-MONTH(E138)+1)/12))) + (R138)*(IF((YEAR(D138)+13)&lt;YEAR(E138),0,IF((YEAR(D138)+13)&gt;YEAR(E138),1,(12-MONTH(E138)+1)/12))))-(IF((((K138)*(IF(M138="",L138,IFERROR(IF(INDEX(Variablen!$I:$AT, MATCH(M138, Variablen!$A:$A, 0), MATCH((YEAR(D138)+13), Variablen!$I$3:$AT$3, 0))="",L138,INDEX(Variablen!$I:$AT, MATCH(M138, Variablen!$A:$A, 0), MATCH((YEAR(D138)+13), Variablen!$I$3:$AT$3, 0))),L138)))*(IF((YEAR(D138)+13)&lt;YEAR(E138),0,IF((YEAR(D138)+13)&gt;YEAR(E138),1,(12-MONTH(E138)+1)/12))) + (Q138)*(IF((YEAR(D138)+13)&lt;YEAR(E138),0,IF((YEAR(D138)+13)&gt;YEAR(E138),1,(12-MONTH(E138)+1)/12))))-((P138)*(IF((YEAR(D138)+13)&lt;YEAR(E138),0,IF((YEAR(D138)+13)&gt;YEAR(E138),1,(12-MONTH(E138)+1)/12))) + (R138)*(IF((YEAR(D138)+13)&lt;YEAR(E138),0,IF((YEAR(D138)+13)&gt;YEAR(E138),1,(12-MONTH(E138)+1)/12))))-(IF(OR(N138="",N138&lt;=0),0,(O138/N138)*(IF(OR(N138="",N138&lt;=0),0,IF((YEAR(D138)+13)&lt;YEAR(E138),0,IF((YEAR(D138)+13)&gt;=YEAR(E138)+N138,0,IF((YEAR(D138)+13)=YEAR(E138),(12-MONTH(E138)+1)/12,1))))))))&gt;0,(((K138)*(IF(M138="",L138,IFERROR(IF(INDEX(Variablen!$I:$AT, MATCH(M138, Variablen!$A:$A, 0), MATCH((YEAR(D138)+13), Variablen!$I$3:$AT$3, 0))="",L138,INDEX(Variablen!$I:$AT, MATCH(M138, Variablen!$A:$A, 0), MATCH((YEAR(D138)+13), Variablen!$I$3:$AT$3, 0))),L138)))*(IF((YEAR(D138)+13)&lt;YEAR(E138),0,IF((YEAR(D138)+13)&gt;YEAR(E138),1,(12-MONTH(E138)+1)/12))) + (Q138)*(IF((YEAR(D138)+13)&lt;YEAR(E138),0,IF((YEAR(D138)+13)&gt;YEAR(E138),1,(12-MONTH(E138)+1)/12))))-((P138)*(IF((YEAR(D138)+13)&lt;YEAR(E138),0,IF((YEAR(D138)+13)&gt;YEAR(E138),1,(12-MONTH(E138)+1)/12))) + (R138)*(IF((YEAR(D138)+13)&lt;YEAR(E138),0,IF((YEAR(D138)+13)&gt;YEAR(E138),1,(12-MONTH(E138)+1)/12))))-(IF(OR(N138="",N138&lt;=0),0,(O138/N138)*(IF(OR(N138="",N138&lt;=0),0,IF((YEAR(D138)+13)&lt;YEAR(E138),0,IF((YEAR(D138)+13)&gt;=YEAR(E138)+N138,0,IF((YEAR(D138)+13)=YEAR(E138),(12-MONTH(E138)+1)/12,1))))))))*TaxRate,0))-IF(13=0,O138,0))</f>
        <v/>
      </c>
      <c r="AG138" s="29">
        <f>IF(A138="","",((K138)*(IF(M138="",L138,IFERROR(IF(INDEX(Variablen!$I:$AT, MATCH(M138, Variablen!$A:$A, 0), MATCH((YEAR(D138)+14), Variablen!$I$3:$AT$3, 0))="",L138,INDEX(Variablen!$I:$AT, MATCH(M138, Variablen!$A:$A, 0), MATCH((YEAR(D138)+14), Variablen!$I$3:$AT$3, 0))),L138)))*(IF((YEAR(D138)+14)&lt;YEAR(E138),0,IF((YEAR(D138)+14)&gt;YEAR(E138),1,(12-MONTH(E138)+1)/12))) + (Q138)*(IF((YEAR(D138)+14)&lt;YEAR(E138),0,IF((YEAR(D138)+14)&gt;YEAR(E138),1,(12-MONTH(E138)+1)/12))))-((P138)*(IF((YEAR(D138)+14)&lt;YEAR(E138),0,IF((YEAR(D138)+14)&gt;YEAR(E138),1,(12-MONTH(E138)+1)/12))) + (R138)*(IF((YEAR(D138)+14)&lt;YEAR(E138),0,IF((YEAR(D138)+14)&gt;YEAR(E138),1,(12-MONTH(E138)+1)/12))))-(IF((((K138)*(IF(M138="",L138,IFERROR(IF(INDEX(Variablen!$I:$AT, MATCH(M138, Variablen!$A:$A, 0), MATCH((YEAR(D138)+14), Variablen!$I$3:$AT$3, 0))="",L138,INDEX(Variablen!$I:$AT, MATCH(M138, Variablen!$A:$A, 0), MATCH((YEAR(D138)+14), Variablen!$I$3:$AT$3, 0))),L138)))*(IF((YEAR(D138)+14)&lt;YEAR(E138),0,IF((YEAR(D138)+14)&gt;YEAR(E138),1,(12-MONTH(E138)+1)/12))) + (Q138)*(IF((YEAR(D138)+14)&lt;YEAR(E138),0,IF((YEAR(D138)+14)&gt;YEAR(E138),1,(12-MONTH(E138)+1)/12))))-((P138)*(IF((YEAR(D138)+14)&lt;YEAR(E138),0,IF((YEAR(D138)+14)&gt;YEAR(E138),1,(12-MONTH(E138)+1)/12))) + (R138)*(IF((YEAR(D138)+14)&lt;YEAR(E138),0,IF((YEAR(D138)+14)&gt;YEAR(E138),1,(12-MONTH(E138)+1)/12))))-(IF(OR(N138="",N138&lt;=0),0,(O138/N138)*(IF(OR(N138="",N138&lt;=0),0,IF((YEAR(D138)+14)&lt;YEAR(E138),0,IF((YEAR(D138)+14)&gt;=YEAR(E138)+N138,0,IF((YEAR(D138)+14)=YEAR(E138),(12-MONTH(E138)+1)/12,1))))))))&gt;0,(((K138)*(IF(M138="",L138,IFERROR(IF(INDEX(Variablen!$I:$AT, MATCH(M138, Variablen!$A:$A, 0), MATCH((YEAR(D138)+14), Variablen!$I$3:$AT$3, 0))="",L138,INDEX(Variablen!$I:$AT, MATCH(M138, Variablen!$A:$A, 0), MATCH((YEAR(D138)+14), Variablen!$I$3:$AT$3, 0))),L138)))*(IF((YEAR(D138)+14)&lt;YEAR(E138),0,IF((YEAR(D138)+14)&gt;YEAR(E138),1,(12-MONTH(E138)+1)/12))) + (Q138)*(IF((YEAR(D138)+14)&lt;YEAR(E138),0,IF((YEAR(D138)+14)&gt;YEAR(E138),1,(12-MONTH(E138)+1)/12))))-((P138)*(IF((YEAR(D138)+14)&lt;YEAR(E138),0,IF((YEAR(D138)+14)&gt;YEAR(E138),1,(12-MONTH(E138)+1)/12))) + (R138)*(IF((YEAR(D138)+14)&lt;YEAR(E138),0,IF((YEAR(D138)+14)&gt;YEAR(E138),1,(12-MONTH(E138)+1)/12))))-(IF(OR(N138="",N138&lt;=0),0,(O138/N138)*(IF(OR(N138="",N138&lt;=0),0,IF((YEAR(D138)+14)&lt;YEAR(E138),0,IF((YEAR(D138)+14)&gt;=YEAR(E138)+N138,0,IF((YEAR(D138)+14)=YEAR(E138),(12-MONTH(E138)+1)/12,1))))))))*TaxRate,0))-IF(14=0,O138,0))</f>
        <v/>
      </c>
      <c r="AH138" s="29">
        <f>IF(A138="","",((K138)*(IF(M138="",L138,IFERROR(IF(INDEX(Variablen!$I:$AT, MATCH(M138, Variablen!$A:$A, 0), MATCH((YEAR(D138)+15), Variablen!$I$3:$AT$3, 0))="",L138,INDEX(Variablen!$I:$AT, MATCH(M138, Variablen!$A:$A, 0), MATCH((YEAR(D138)+15), Variablen!$I$3:$AT$3, 0))),L138)))*(IF((YEAR(D138)+15)&lt;YEAR(E138),0,IF((YEAR(D138)+15)&gt;YEAR(E138),1,(12-MONTH(E138)+1)/12))) + (Q138)*(IF((YEAR(D138)+15)&lt;YEAR(E138),0,IF((YEAR(D138)+15)&gt;YEAR(E138),1,(12-MONTH(E138)+1)/12))))-((P138)*(IF((YEAR(D138)+15)&lt;YEAR(E138),0,IF((YEAR(D138)+15)&gt;YEAR(E138),1,(12-MONTH(E138)+1)/12))) + (R138)*(IF((YEAR(D138)+15)&lt;YEAR(E138),0,IF((YEAR(D138)+15)&gt;YEAR(E138),1,(12-MONTH(E138)+1)/12))))-(IF((((K138)*(IF(M138="",L138,IFERROR(IF(INDEX(Variablen!$I:$AT, MATCH(M138, Variablen!$A:$A, 0), MATCH((YEAR(D138)+15), Variablen!$I$3:$AT$3, 0))="",L138,INDEX(Variablen!$I:$AT, MATCH(M138, Variablen!$A:$A, 0), MATCH((YEAR(D138)+15), Variablen!$I$3:$AT$3, 0))),L138)))*(IF((YEAR(D138)+15)&lt;YEAR(E138),0,IF((YEAR(D138)+15)&gt;YEAR(E138),1,(12-MONTH(E138)+1)/12))) + (Q138)*(IF((YEAR(D138)+15)&lt;YEAR(E138),0,IF((YEAR(D138)+15)&gt;YEAR(E138),1,(12-MONTH(E138)+1)/12))))-((P138)*(IF((YEAR(D138)+15)&lt;YEAR(E138),0,IF((YEAR(D138)+15)&gt;YEAR(E138),1,(12-MONTH(E138)+1)/12))) + (R138)*(IF((YEAR(D138)+15)&lt;YEAR(E138),0,IF((YEAR(D138)+15)&gt;YEAR(E138),1,(12-MONTH(E138)+1)/12))))-(IF(OR(N138="",N138&lt;=0),0,(O138/N138)*(IF(OR(N138="",N138&lt;=0),0,IF((YEAR(D138)+15)&lt;YEAR(E138),0,IF((YEAR(D138)+15)&gt;=YEAR(E138)+N138,0,IF((YEAR(D138)+15)=YEAR(E138),(12-MONTH(E138)+1)/12,1))))))))&gt;0,(((K138)*(IF(M138="",L138,IFERROR(IF(INDEX(Variablen!$I:$AT, MATCH(M138, Variablen!$A:$A, 0), MATCH((YEAR(D138)+15), Variablen!$I$3:$AT$3, 0))="",L138,INDEX(Variablen!$I:$AT, MATCH(M138, Variablen!$A:$A, 0), MATCH((YEAR(D138)+15), Variablen!$I$3:$AT$3, 0))),L138)))*(IF((YEAR(D138)+15)&lt;YEAR(E138),0,IF((YEAR(D138)+15)&gt;YEAR(E138),1,(12-MONTH(E138)+1)/12))) + (Q138)*(IF((YEAR(D138)+15)&lt;YEAR(E138),0,IF((YEAR(D138)+15)&gt;YEAR(E138),1,(12-MONTH(E138)+1)/12))))-((P138)*(IF((YEAR(D138)+15)&lt;YEAR(E138),0,IF((YEAR(D138)+15)&gt;YEAR(E138),1,(12-MONTH(E138)+1)/12))) + (R138)*(IF((YEAR(D138)+15)&lt;YEAR(E138),0,IF((YEAR(D138)+15)&gt;YEAR(E138),1,(12-MONTH(E138)+1)/12))))-(IF(OR(N138="",N138&lt;=0),0,(O138/N138)*(IF(OR(N138="",N138&lt;=0),0,IF((YEAR(D138)+15)&lt;YEAR(E138),0,IF((YEAR(D138)+15)&gt;=YEAR(E138)+N138,0,IF((YEAR(D138)+15)=YEAR(E138),(12-MONTH(E138)+1)/12,1))))))))*TaxRate,0))-IF(15=0,O138,0))</f>
        <v/>
      </c>
      <c r="AI138" s="29">
        <f>IF(A138="","",((K138)*(IF(M138="",L138,IFERROR(IF(INDEX(Variablen!$I:$AT, MATCH(M138, Variablen!$A:$A, 0), MATCH((YEAR(D138)+16), Variablen!$I$3:$AT$3, 0))="",L138,INDEX(Variablen!$I:$AT, MATCH(M138, Variablen!$A:$A, 0), MATCH((YEAR(D138)+16), Variablen!$I$3:$AT$3, 0))),L138)))*(IF((YEAR(D138)+16)&lt;YEAR(E138),0,IF((YEAR(D138)+16)&gt;YEAR(E138),1,(12-MONTH(E138)+1)/12))) + (Q138)*(IF((YEAR(D138)+16)&lt;YEAR(E138),0,IF((YEAR(D138)+16)&gt;YEAR(E138),1,(12-MONTH(E138)+1)/12))))-((P138)*(IF((YEAR(D138)+16)&lt;YEAR(E138),0,IF((YEAR(D138)+16)&gt;YEAR(E138),1,(12-MONTH(E138)+1)/12))) + (R138)*(IF((YEAR(D138)+16)&lt;YEAR(E138),0,IF((YEAR(D138)+16)&gt;YEAR(E138),1,(12-MONTH(E138)+1)/12))))-(IF((((K138)*(IF(M138="",L138,IFERROR(IF(INDEX(Variablen!$I:$AT, MATCH(M138, Variablen!$A:$A, 0), MATCH((YEAR(D138)+16), Variablen!$I$3:$AT$3, 0))="",L138,INDEX(Variablen!$I:$AT, MATCH(M138, Variablen!$A:$A, 0), MATCH((YEAR(D138)+16), Variablen!$I$3:$AT$3, 0))),L138)))*(IF((YEAR(D138)+16)&lt;YEAR(E138),0,IF((YEAR(D138)+16)&gt;YEAR(E138),1,(12-MONTH(E138)+1)/12))) + (Q138)*(IF((YEAR(D138)+16)&lt;YEAR(E138),0,IF((YEAR(D138)+16)&gt;YEAR(E138),1,(12-MONTH(E138)+1)/12))))-((P138)*(IF((YEAR(D138)+16)&lt;YEAR(E138),0,IF((YEAR(D138)+16)&gt;YEAR(E138),1,(12-MONTH(E138)+1)/12))) + (R138)*(IF((YEAR(D138)+16)&lt;YEAR(E138),0,IF((YEAR(D138)+16)&gt;YEAR(E138),1,(12-MONTH(E138)+1)/12))))-(IF(OR(N138="",N138&lt;=0),0,(O138/N138)*(IF(OR(N138="",N138&lt;=0),0,IF((YEAR(D138)+16)&lt;YEAR(E138),0,IF((YEAR(D138)+16)&gt;=YEAR(E138)+N138,0,IF((YEAR(D138)+16)=YEAR(E138),(12-MONTH(E138)+1)/12,1))))))))&gt;0,(((K138)*(IF(M138="",L138,IFERROR(IF(INDEX(Variablen!$I:$AT, MATCH(M138, Variablen!$A:$A, 0), MATCH((YEAR(D138)+16), Variablen!$I$3:$AT$3, 0))="",L138,INDEX(Variablen!$I:$AT, MATCH(M138, Variablen!$A:$A, 0), MATCH((YEAR(D138)+16), Variablen!$I$3:$AT$3, 0))),L138)))*(IF((YEAR(D138)+16)&lt;YEAR(E138),0,IF((YEAR(D138)+16)&gt;YEAR(E138),1,(12-MONTH(E138)+1)/12))) + (Q138)*(IF((YEAR(D138)+16)&lt;YEAR(E138),0,IF((YEAR(D138)+16)&gt;YEAR(E138),1,(12-MONTH(E138)+1)/12))))-((P138)*(IF((YEAR(D138)+16)&lt;YEAR(E138),0,IF((YEAR(D138)+16)&gt;YEAR(E138),1,(12-MONTH(E138)+1)/12))) + (R138)*(IF((YEAR(D138)+16)&lt;YEAR(E138),0,IF((YEAR(D138)+16)&gt;YEAR(E138),1,(12-MONTH(E138)+1)/12))))-(IF(OR(N138="",N138&lt;=0),0,(O138/N138)*(IF(OR(N138="",N138&lt;=0),0,IF((YEAR(D138)+16)&lt;YEAR(E138),0,IF((YEAR(D138)+16)&gt;=YEAR(E138)+N138,0,IF((YEAR(D138)+16)=YEAR(E138),(12-MONTH(E138)+1)/12,1))))))))*TaxRate,0))-IF(16=0,O138,0))</f>
        <v/>
      </c>
      <c r="AJ138" s="29">
        <f>IF(A138="","",((K138)*(IF(M138="",L138,IFERROR(IF(INDEX(Variablen!$I:$AT, MATCH(M138, Variablen!$A:$A, 0), MATCH((YEAR(D138)+17), Variablen!$I$3:$AT$3, 0))="",L138,INDEX(Variablen!$I:$AT, MATCH(M138, Variablen!$A:$A, 0), MATCH((YEAR(D138)+17), Variablen!$I$3:$AT$3, 0))),L138)))*(IF((YEAR(D138)+17)&lt;YEAR(E138),0,IF((YEAR(D138)+17)&gt;YEAR(E138),1,(12-MONTH(E138)+1)/12))) + (Q138)*(IF((YEAR(D138)+17)&lt;YEAR(E138),0,IF((YEAR(D138)+17)&gt;YEAR(E138),1,(12-MONTH(E138)+1)/12))))-((P138)*(IF((YEAR(D138)+17)&lt;YEAR(E138),0,IF((YEAR(D138)+17)&gt;YEAR(E138),1,(12-MONTH(E138)+1)/12))) + (R138)*(IF((YEAR(D138)+17)&lt;YEAR(E138),0,IF((YEAR(D138)+17)&gt;YEAR(E138),1,(12-MONTH(E138)+1)/12))))-(IF((((K138)*(IF(M138="",L138,IFERROR(IF(INDEX(Variablen!$I:$AT, MATCH(M138, Variablen!$A:$A, 0), MATCH((YEAR(D138)+17), Variablen!$I$3:$AT$3, 0))="",L138,INDEX(Variablen!$I:$AT, MATCH(M138, Variablen!$A:$A, 0), MATCH((YEAR(D138)+17), Variablen!$I$3:$AT$3, 0))),L138)))*(IF((YEAR(D138)+17)&lt;YEAR(E138),0,IF((YEAR(D138)+17)&gt;YEAR(E138),1,(12-MONTH(E138)+1)/12))) + (Q138)*(IF((YEAR(D138)+17)&lt;YEAR(E138),0,IF((YEAR(D138)+17)&gt;YEAR(E138),1,(12-MONTH(E138)+1)/12))))-((P138)*(IF((YEAR(D138)+17)&lt;YEAR(E138),0,IF((YEAR(D138)+17)&gt;YEAR(E138),1,(12-MONTH(E138)+1)/12))) + (R138)*(IF((YEAR(D138)+17)&lt;YEAR(E138),0,IF((YEAR(D138)+17)&gt;YEAR(E138),1,(12-MONTH(E138)+1)/12))))-(IF(OR(N138="",N138&lt;=0),0,(O138/N138)*(IF(OR(N138="",N138&lt;=0),0,IF((YEAR(D138)+17)&lt;YEAR(E138),0,IF((YEAR(D138)+17)&gt;=YEAR(E138)+N138,0,IF((YEAR(D138)+17)=YEAR(E138),(12-MONTH(E138)+1)/12,1))))))))&gt;0,(((K138)*(IF(M138="",L138,IFERROR(IF(INDEX(Variablen!$I:$AT, MATCH(M138, Variablen!$A:$A, 0), MATCH((YEAR(D138)+17), Variablen!$I$3:$AT$3, 0))="",L138,INDEX(Variablen!$I:$AT, MATCH(M138, Variablen!$A:$A, 0), MATCH((YEAR(D138)+17), Variablen!$I$3:$AT$3, 0))),L138)))*(IF((YEAR(D138)+17)&lt;YEAR(E138),0,IF((YEAR(D138)+17)&gt;YEAR(E138),1,(12-MONTH(E138)+1)/12))) + (Q138)*(IF((YEAR(D138)+17)&lt;YEAR(E138),0,IF((YEAR(D138)+17)&gt;YEAR(E138),1,(12-MONTH(E138)+1)/12))))-((P138)*(IF((YEAR(D138)+17)&lt;YEAR(E138),0,IF((YEAR(D138)+17)&gt;YEAR(E138),1,(12-MONTH(E138)+1)/12))) + (R138)*(IF((YEAR(D138)+17)&lt;YEAR(E138),0,IF((YEAR(D138)+17)&gt;YEAR(E138),1,(12-MONTH(E138)+1)/12))))-(IF(OR(N138="",N138&lt;=0),0,(O138/N138)*(IF(OR(N138="",N138&lt;=0),0,IF((YEAR(D138)+17)&lt;YEAR(E138),0,IF((YEAR(D138)+17)&gt;=YEAR(E138)+N138,0,IF((YEAR(D138)+17)=YEAR(E138),(12-MONTH(E138)+1)/12,1))))))))*TaxRate,0))-IF(17=0,O138,0))</f>
        <v/>
      </c>
      <c r="AK138" s="29">
        <f>IF(A138="","",((K138)*(IF(M138="",L138,IFERROR(IF(INDEX(Variablen!$I:$AT, MATCH(M138, Variablen!$A:$A, 0), MATCH((YEAR(D138)+18), Variablen!$I$3:$AT$3, 0))="",L138,INDEX(Variablen!$I:$AT, MATCH(M138, Variablen!$A:$A, 0), MATCH((YEAR(D138)+18), Variablen!$I$3:$AT$3, 0))),L138)))*(IF((YEAR(D138)+18)&lt;YEAR(E138),0,IF((YEAR(D138)+18)&gt;YEAR(E138),1,(12-MONTH(E138)+1)/12))) + (Q138)*(IF((YEAR(D138)+18)&lt;YEAR(E138),0,IF((YEAR(D138)+18)&gt;YEAR(E138),1,(12-MONTH(E138)+1)/12))))-((P138)*(IF((YEAR(D138)+18)&lt;YEAR(E138),0,IF((YEAR(D138)+18)&gt;YEAR(E138),1,(12-MONTH(E138)+1)/12))) + (R138)*(IF((YEAR(D138)+18)&lt;YEAR(E138),0,IF((YEAR(D138)+18)&gt;YEAR(E138),1,(12-MONTH(E138)+1)/12))))-(IF((((K138)*(IF(M138="",L138,IFERROR(IF(INDEX(Variablen!$I:$AT, MATCH(M138, Variablen!$A:$A, 0), MATCH((YEAR(D138)+18), Variablen!$I$3:$AT$3, 0))="",L138,INDEX(Variablen!$I:$AT, MATCH(M138, Variablen!$A:$A, 0), MATCH((YEAR(D138)+18), Variablen!$I$3:$AT$3, 0))),L138)))*(IF((YEAR(D138)+18)&lt;YEAR(E138),0,IF((YEAR(D138)+18)&gt;YEAR(E138),1,(12-MONTH(E138)+1)/12))) + (Q138)*(IF((YEAR(D138)+18)&lt;YEAR(E138),0,IF((YEAR(D138)+18)&gt;YEAR(E138),1,(12-MONTH(E138)+1)/12))))-((P138)*(IF((YEAR(D138)+18)&lt;YEAR(E138),0,IF((YEAR(D138)+18)&gt;YEAR(E138),1,(12-MONTH(E138)+1)/12))) + (R138)*(IF((YEAR(D138)+18)&lt;YEAR(E138),0,IF((YEAR(D138)+18)&gt;YEAR(E138),1,(12-MONTH(E138)+1)/12))))-(IF(OR(N138="",N138&lt;=0),0,(O138/N138)*(IF(OR(N138="",N138&lt;=0),0,IF((YEAR(D138)+18)&lt;YEAR(E138),0,IF((YEAR(D138)+18)&gt;=YEAR(E138)+N138,0,IF((YEAR(D138)+18)=YEAR(E138),(12-MONTH(E138)+1)/12,1))))))))&gt;0,(((K138)*(IF(M138="",L138,IFERROR(IF(INDEX(Variablen!$I:$AT, MATCH(M138, Variablen!$A:$A, 0), MATCH((YEAR(D138)+18), Variablen!$I$3:$AT$3, 0))="",L138,INDEX(Variablen!$I:$AT, MATCH(M138, Variablen!$A:$A, 0), MATCH((YEAR(D138)+18), Variablen!$I$3:$AT$3, 0))),L138)))*(IF((YEAR(D138)+18)&lt;YEAR(E138),0,IF((YEAR(D138)+18)&gt;YEAR(E138),1,(12-MONTH(E138)+1)/12))) + (Q138)*(IF((YEAR(D138)+18)&lt;YEAR(E138),0,IF((YEAR(D138)+18)&gt;YEAR(E138),1,(12-MONTH(E138)+1)/12))))-((P138)*(IF((YEAR(D138)+18)&lt;YEAR(E138),0,IF((YEAR(D138)+18)&gt;YEAR(E138),1,(12-MONTH(E138)+1)/12))) + (R138)*(IF((YEAR(D138)+18)&lt;YEAR(E138),0,IF((YEAR(D138)+18)&gt;YEAR(E138),1,(12-MONTH(E138)+1)/12))))-(IF(OR(N138="",N138&lt;=0),0,(O138/N138)*(IF(OR(N138="",N138&lt;=0),0,IF((YEAR(D138)+18)&lt;YEAR(E138),0,IF((YEAR(D138)+18)&gt;=YEAR(E138)+N138,0,IF((YEAR(D138)+18)=YEAR(E138),(12-MONTH(E138)+1)/12,1))))))))*TaxRate,0))-IF(18=0,O138,0))</f>
        <v/>
      </c>
      <c r="AL138" s="29">
        <f>IF(A138="","",((K138)*(IF(M138="",L138,IFERROR(IF(INDEX(Variablen!$I:$AT, MATCH(M138, Variablen!$A:$A, 0), MATCH((YEAR(D138)+19), Variablen!$I$3:$AT$3, 0))="",L138,INDEX(Variablen!$I:$AT, MATCH(M138, Variablen!$A:$A, 0), MATCH((YEAR(D138)+19), Variablen!$I$3:$AT$3, 0))),L138)))*(IF((YEAR(D138)+19)&lt;YEAR(E138),0,IF((YEAR(D138)+19)&gt;YEAR(E138),1,(12-MONTH(E138)+1)/12))) + (Q138)*(IF((YEAR(D138)+19)&lt;YEAR(E138),0,IF((YEAR(D138)+19)&gt;YEAR(E138),1,(12-MONTH(E138)+1)/12))))-((P138)*(IF((YEAR(D138)+19)&lt;YEAR(E138),0,IF((YEAR(D138)+19)&gt;YEAR(E138),1,(12-MONTH(E138)+1)/12))) + (R138)*(IF((YEAR(D138)+19)&lt;YEAR(E138),0,IF((YEAR(D138)+19)&gt;YEAR(E138),1,(12-MONTH(E138)+1)/12))))-(IF((((K138)*(IF(M138="",L138,IFERROR(IF(INDEX(Variablen!$I:$AT, MATCH(M138, Variablen!$A:$A, 0), MATCH((YEAR(D138)+19), Variablen!$I$3:$AT$3, 0))="",L138,INDEX(Variablen!$I:$AT, MATCH(M138, Variablen!$A:$A, 0), MATCH((YEAR(D138)+19), Variablen!$I$3:$AT$3, 0))),L138)))*(IF((YEAR(D138)+19)&lt;YEAR(E138),0,IF((YEAR(D138)+19)&gt;YEAR(E138),1,(12-MONTH(E138)+1)/12))) + (Q138)*(IF((YEAR(D138)+19)&lt;YEAR(E138),0,IF((YEAR(D138)+19)&gt;YEAR(E138),1,(12-MONTH(E138)+1)/12))))-((P138)*(IF((YEAR(D138)+19)&lt;YEAR(E138),0,IF((YEAR(D138)+19)&gt;YEAR(E138),1,(12-MONTH(E138)+1)/12))) + (R138)*(IF((YEAR(D138)+19)&lt;YEAR(E138),0,IF((YEAR(D138)+19)&gt;YEAR(E138),1,(12-MONTH(E138)+1)/12))))-(IF(OR(N138="",N138&lt;=0),0,(O138/N138)*(IF(OR(N138="",N138&lt;=0),0,IF((YEAR(D138)+19)&lt;YEAR(E138),0,IF((YEAR(D138)+19)&gt;=YEAR(E138)+N138,0,IF((YEAR(D138)+19)=YEAR(E138),(12-MONTH(E138)+1)/12,1))))))))&gt;0,(((K138)*(IF(M138="",L138,IFERROR(IF(INDEX(Variablen!$I:$AT, MATCH(M138, Variablen!$A:$A, 0), MATCH((YEAR(D138)+19), Variablen!$I$3:$AT$3, 0))="",L138,INDEX(Variablen!$I:$AT, MATCH(M138, Variablen!$A:$A, 0), MATCH((YEAR(D138)+19), Variablen!$I$3:$AT$3, 0))),L138)))*(IF((YEAR(D138)+19)&lt;YEAR(E138),0,IF((YEAR(D138)+19)&gt;YEAR(E138),1,(12-MONTH(E138)+1)/12))) + (Q138)*(IF((YEAR(D138)+19)&lt;YEAR(E138),0,IF((YEAR(D138)+19)&gt;YEAR(E138),1,(12-MONTH(E138)+1)/12))))-((P138)*(IF((YEAR(D138)+19)&lt;YEAR(E138),0,IF((YEAR(D138)+19)&gt;YEAR(E138),1,(12-MONTH(E138)+1)/12))) + (R138)*(IF((YEAR(D138)+19)&lt;YEAR(E138),0,IF((YEAR(D138)+19)&gt;YEAR(E138),1,(12-MONTH(E138)+1)/12))))-(IF(OR(N138="",N138&lt;=0),0,(O138/N138)*(IF(OR(N138="",N138&lt;=0),0,IF((YEAR(D138)+19)&lt;YEAR(E138),0,IF((YEAR(D138)+19)&gt;=YEAR(E138)+N138,0,IF((YEAR(D138)+19)=YEAR(E138),(12-MONTH(E138)+1)/12,1))))))))*TaxRate,0))-IF(19=0,O138,0))</f>
        <v/>
      </c>
      <c r="AM138" s="29">
        <f>IF(A138="","",((K138)*(IF(M138="",L138,IFERROR(IF(INDEX(Variablen!$I:$AT, MATCH(M138, Variablen!$A:$A, 0), MATCH((YEAR(D138)+20), Variablen!$I$3:$AT$3, 0))="",L138,INDEX(Variablen!$I:$AT, MATCH(M138, Variablen!$A:$A, 0), MATCH((YEAR(D138)+20), Variablen!$I$3:$AT$3, 0))),L138)))*(IF((YEAR(D138)+20)&lt;YEAR(E138),0,IF((YEAR(D138)+20)&gt;YEAR(E138),1,(12-MONTH(E138)+1)/12))) + (Q138)*(IF((YEAR(D138)+20)&lt;YEAR(E138),0,IF((YEAR(D138)+20)&gt;YEAR(E138),1,(12-MONTH(E138)+1)/12))))-((P138)*(IF((YEAR(D138)+20)&lt;YEAR(E138),0,IF((YEAR(D138)+20)&gt;YEAR(E138),1,(12-MONTH(E138)+1)/12))) + (R138)*(IF((YEAR(D138)+20)&lt;YEAR(E138),0,IF((YEAR(D138)+20)&gt;YEAR(E138),1,(12-MONTH(E138)+1)/12))))-(IF((((K138)*(IF(M138="",L138,IFERROR(IF(INDEX(Variablen!$I:$AT, MATCH(M138, Variablen!$A:$A, 0), MATCH((YEAR(D138)+20), Variablen!$I$3:$AT$3, 0))="",L138,INDEX(Variablen!$I:$AT, MATCH(M138, Variablen!$A:$A, 0), MATCH((YEAR(D138)+20), Variablen!$I$3:$AT$3, 0))),L138)))*(IF((YEAR(D138)+20)&lt;YEAR(E138),0,IF((YEAR(D138)+20)&gt;YEAR(E138),1,(12-MONTH(E138)+1)/12))) + (Q138)*(IF((YEAR(D138)+20)&lt;YEAR(E138),0,IF((YEAR(D138)+20)&gt;YEAR(E138),1,(12-MONTH(E138)+1)/12))))-((P138)*(IF((YEAR(D138)+20)&lt;YEAR(E138),0,IF((YEAR(D138)+20)&gt;YEAR(E138),1,(12-MONTH(E138)+1)/12))) + (R138)*(IF((YEAR(D138)+20)&lt;YEAR(E138),0,IF((YEAR(D138)+20)&gt;YEAR(E138),1,(12-MONTH(E138)+1)/12))))-(IF(OR(N138="",N138&lt;=0),0,(O138/N138)*(IF(OR(N138="",N138&lt;=0),0,IF((YEAR(D138)+20)&lt;YEAR(E138),0,IF((YEAR(D138)+20)&gt;=YEAR(E138)+N138,0,IF((YEAR(D138)+20)=YEAR(E138),(12-MONTH(E138)+1)/12,1))))))))&gt;0,(((K138)*(IF(M138="",L138,IFERROR(IF(INDEX(Variablen!$I:$AT, MATCH(M138, Variablen!$A:$A, 0), MATCH((YEAR(D138)+20), Variablen!$I$3:$AT$3, 0))="",L138,INDEX(Variablen!$I:$AT, MATCH(M138, Variablen!$A:$A, 0), MATCH((YEAR(D138)+20), Variablen!$I$3:$AT$3, 0))),L138)))*(IF((YEAR(D138)+20)&lt;YEAR(E138),0,IF((YEAR(D138)+20)&gt;YEAR(E138),1,(12-MONTH(E138)+1)/12))) + (Q138)*(IF((YEAR(D138)+20)&lt;YEAR(E138),0,IF((YEAR(D138)+20)&gt;YEAR(E138),1,(12-MONTH(E138)+1)/12))))-((P138)*(IF((YEAR(D138)+20)&lt;YEAR(E138),0,IF((YEAR(D138)+20)&gt;YEAR(E138),1,(12-MONTH(E138)+1)/12))) + (R138)*(IF((YEAR(D138)+20)&lt;YEAR(E138),0,IF((YEAR(D138)+20)&gt;YEAR(E138),1,(12-MONTH(E138)+1)/12))))-(IF(OR(N138="",N138&lt;=0),0,(O138/N138)*(IF(OR(N138="",N138&lt;=0),0,IF((YEAR(D138)+20)&lt;YEAR(E138),0,IF((YEAR(D138)+20)&gt;=YEAR(E138)+N138,0,IF((YEAR(D138)+20)=YEAR(E138),(12-MONTH(E138)+1)/12,1))))))))*TaxRate,0))-IF(20=0,O138,0))</f>
        <v/>
      </c>
      <c r="AN138" s="29">
        <f>IF(A138="","",S138)</f>
        <v/>
      </c>
      <c r="AO138" s="29">
        <f>IF(A138="","",AN138+T138)</f>
        <v/>
      </c>
      <c r="AP138" s="29">
        <f>IF(A138="","",AO138+U138)</f>
        <v/>
      </c>
      <c r="AQ138" s="29">
        <f>IF(A138="","",AP138+V138)</f>
        <v/>
      </c>
      <c r="AR138" s="29">
        <f>IF(A138="","",AQ138+W138)</f>
        <v/>
      </c>
      <c r="AS138" s="29">
        <f>IF(A138="","",AR138+X138)</f>
        <v/>
      </c>
      <c r="AT138" s="29">
        <f>IF(A138="","",AS138+Y138)</f>
        <v/>
      </c>
      <c r="AU138" s="29">
        <f>IF(A138="","",AT138+Z138)</f>
        <v/>
      </c>
      <c r="AV138" s="29">
        <f>IF(A138="","",AU138+AA138)</f>
        <v/>
      </c>
      <c r="AW138" s="29">
        <f>IF(A138="","",AV138+AB138)</f>
        <v/>
      </c>
      <c r="AX138" s="29">
        <f>IF(A138="","",AW138+AC138)</f>
        <v/>
      </c>
      <c r="AY138" s="29">
        <f>IF(A138="","",AX138+AD138)</f>
        <v/>
      </c>
      <c r="AZ138" s="29">
        <f>IF(A138="","",AY138+AE138)</f>
        <v/>
      </c>
      <c r="BA138" s="29">
        <f>IF(A138="","",AZ138+AF138)</f>
        <v/>
      </c>
      <c r="BB138" s="29">
        <f>IF(A138="","",BA138+AG138)</f>
        <v/>
      </c>
      <c r="BC138" s="29">
        <f>IF(A138="","",BB138+AH138)</f>
        <v/>
      </c>
      <c r="BD138" s="29">
        <f>IF(A138="","",BC138+AI138)</f>
        <v/>
      </c>
      <c r="BE138" s="29">
        <f>IF(A138="","",BD138+AJ138)</f>
        <v/>
      </c>
      <c r="BF138" s="29">
        <f>IF(A138="","",BE138+AK138)</f>
        <v/>
      </c>
      <c r="BG138" s="29">
        <f>IF(A138="","",BF138+AL138)</f>
        <v/>
      </c>
      <c r="BH138" s="29">
        <f>IF(A138="","",BG138+AM138)</f>
        <v/>
      </c>
      <c r="BI138" s="36">
        <f>IF(A138="","",(K138)*(IF((YEAR(D138)+0)&lt;YEAR(E138),0,IF((YEAR(D138)+0)&gt;YEAR(E138),1,(12-MONTH(E138)+1)/12)))*(1/(1+DiscountRate)^0))</f>
        <v/>
      </c>
      <c r="BJ138" s="36">
        <f>IF(A138="","",(K138)*(IF((YEAR(D138)+1)&lt;YEAR(E138),0,IF((YEAR(D138)+1)&gt;YEAR(E138),1,(12-MONTH(E138)+1)/12)))*(1/(1+DiscountRate)^1))</f>
        <v/>
      </c>
      <c r="BK138" s="36">
        <f>IF(A138="","",(K138)*(IF((YEAR(D138)+2)&lt;YEAR(E138),0,IF((YEAR(D138)+2)&gt;YEAR(E138),1,(12-MONTH(E138)+1)/12)))*(1/(1+DiscountRate)^2))</f>
        <v/>
      </c>
      <c r="BL138" s="36">
        <f>IF(A138="","",(K138)*(IF((YEAR(D138)+3)&lt;YEAR(E138),0,IF((YEAR(D138)+3)&gt;YEAR(E138),1,(12-MONTH(E138)+1)/12)))*(1/(1+DiscountRate)^3))</f>
        <v/>
      </c>
      <c r="BM138" s="36">
        <f>IF(A138="","",(K138)*(IF((YEAR(D138)+4)&lt;YEAR(E138),0,IF((YEAR(D138)+4)&gt;YEAR(E138),1,(12-MONTH(E138)+1)/12)))*(1/(1+DiscountRate)^4))</f>
        <v/>
      </c>
      <c r="BN138" s="36">
        <f>IF(A138="","",(K138)*(IF((YEAR(D138)+5)&lt;YEAR(E138),0,IF((YEAR(D138)+5)&gt;YEAR(E138),1,(12-MONTH(E138)+1)/12)))*(1/(1+DiscountRate)^5))</f>
        <v/>
      </c>
      <c r="BO138" s="36">
        <f>IF(A138="","",(K138)*(IF((YEAR(D138)+6)&lt;YEAR(E138),0,IF((YEAR(D138)+6)&gt;YEAR(E138),1,(12-MONTH(E138)+1)/12)))*(1/(1+DiscountRate)^6))</f>
        <v/>
      </c>
      <c r="BP138" s="36">
        <f>IF(A138="","",(K138)*(IF((YEAR(D138)+7)&lt;YEAR(E138),0,IF((YEAR(D138)+7)&gt;YEAR(E138),1,(12-MONTH(E138)+1)/12)))*(1/(1+DiscountRate)^7))</f>
        <v/>
      </c>
      <c r="BQ138" s="36">
        <f>IF(A138="","",(K138)*(IF((YEAR(D138)+8)&lt;YEAR(E138),0,IF((YEAR(D138)+8)&gt;YEAR(E138),1,(12-MONTH(E138)+1)/12)))*(1/(1+DiscountRate)^8))</f>
        <v/>
      </c>
      <c r="BR138" s="36">
        <f>IF(A138="","",(K138)*(IF((YEAR(D138)+9)&lt;YEAR(E138),0,IF((YEAR(D138)+9)&gt;YEAR(E138),1,(12-MONTH(E138)+1)/12)))*(1/(1+DiscountRate)^9))</f>
        <v/>
      </c>
      <c r="BS138" s="36">
        <f>IF(A138="","",(K138)*(IF((YEAR(D138)+10)&lt;YEAR(E138),0,IF((YEAR(D138)+10)&gt;YEAR(E138),1,(12-MONTH(E138)+1)/12)))*(1/(1+DiscountRate)^10))</f>
        <v/>
      </c>
      <c r="BT138" s="36">
        <f>IF(A138="","",(K138)*(IF((YEAR(D138)+11)&lt;YEAR(E138),0,IF((YEAR(D138)+11)&gt;YEAR(E138),1,(12-MONTH(E138)+1)/12)))*(1/(1+DiscountRate)^11))</f>
        <v/>
      </c>
      <c r="BU138" s="36">
        <f>IF(A138="","",(K138)*(IF((YEAR(D138)+12)&lt;YEAR(E138),0,IF((YEAR(D138)+12)&gt;YEAR(E138),1,(12-MONTH(E138)+1)/12)))*(1/(1+DiscountRate)^12))</f>
        <v/>
      </c>
      <c r="BV138" s="36">
        <f>IF(A138="","",(K138)*(IF((YEAR(D138)+13)&lt;YEAR(E138),0,IF((YEAR(D138)+13)&gt;YEAR(E138),1,(12-MONTH(E138)+1)/12)))*(1/(1+DiscountRate)^13))</f>
        <v/>
      </c>
      <c r="BW138" s="36">
        <f>IF(A138="","",(K138)*(IF((YEAR(D138)+14)&lt;YEAR(E138),0,IF((YEAR(D138)+14)&gt;YEAR(E138),1,(12-MONTH(E138)+1)/12)))*(1/(1+DiscountRate)^14))</f>
        <v/>
      </c>
      <c r="BX138" s="36">
        <f>IF(A138="","",(K138)*(IF((YEAR(D138)+15)&lt;YEAR(E138),0,IF((YEAR(D138)+15)&gt;YEAR(E138),1,(12-MONTH(E138)+1)/12)))*(1/(1+DiscountRate)^15))</f>
        <v/>
      </c>
      <c r="BY138" s="36">
        <f>IF(A138="","",(K138)*(IF((YEAR(D138)+16)&lt;YEAR(E138),0,IF((YEAR(D138)+16)&gt;YEAR(E138),1,(12-MONTH(E138)+1)/12)))*(1/(1+DiscountRate)^16))</f>
        <v/>
      </c>
      <c r="BZ138" s="36">
        <f>IF(A138="","",(K138)*(IF((YEAR(D138)+17)&lt;YEAR(E138),0,IF((YEAR(D138)+17)&gt;YEAR(E138),1,(12-MONTH(E138)+1)/12)))*(1/(1+DiscountRate)^17))</f>
        <v/>
      </c>
      <c r="CA138" s="36">
        <f>IF(A138="","",(K138)*(IF((YEAR(D138)+18)&lt;YEAR(E138),0,IF((YEAR(D138)+18)&gt;YEAR(E138),1,(12-MONTH(E138)+1)/12)))*(1/(1+DiscountRate)^18))</f>
        <v/>
      </c>
      <c r="CB138" s="36">
        <f>IF(A138="","",(K138)*(IF((YEAR(D138)+19)&lt;YEAR(E138),0,IF((YEAR(D138)+19)&gt;YEAR(E138),1,(12-MONTH(E138)+1)/12)))*(1/(1+DiscountRate)^19))</f>
        <v/>
      </c>
      <c r="CC138" s="36">
        <f>IF(A138="","",(K138)*(IF((YEAR(D138)+20)&lt;YEAR(E138),0,IF((YEAR(D138)+20)&gt;YEAR(E138),1,(12-MONTH(E138)+1)/12)))*(1/(1+DiscountRate)^20))</f>
        <v/>
      </c>
      <c r="CD138" s="29">
        <f>IF(A138="","",S138/(1+DiscountRate)^0+T138/(1+DiscountRate)^1+U138/(1+DiscountRate)^2+V138/(1+DiscountRate)^3+W138/(1+DiscountRate)^4+X138/(1+DiscountRate)^5+Y138/(1+DiscountRate)^6+Z138/(1+DiscountRate)^7+AA138/(1+DiscountRate)^8+AB138/(1+DiscountRate)^9+AC138/(1+DiscountRate)^10+AD138/(1+DiscountRate)^11+AE138/(1+DiscountRate)^12+AF138/(1+DiscountRate)^13+AG138/(1+DiscountRate)^14+AH138/(1+DiscountRate)^15+AI138/(1+DiscountRate)^16+AJ138/(1+DiscountRate)^17+AK138/(1+DiscountRate)^18+AL138/(1+DiscountRate)^19+AM138/(1+DiscountRate)^20)</f>
        <v/>
      </c>
      <c r="CE138" s="37">
        <f>IF(A138="","",IFERROR(IRR(OFFSET(S138,0,0,1,MIN(HorizonYears,20)+1)),"n/a"))</f>
        <v/>
      </c>
      <c r="CF138" s="28">
        <f>IF(A138="","",IFERROR(MATCH(TRUE,OFFSET(AN138,0,0,1,MIN(HorizonYears,20)+1)&gt;=0,0)-1,"n/a"))</f>
        <v/>
      </c>
      <c r="CG138" s="36">
        <f>IF(A138="","",SUM(OFFSET(BI138,0,0,1,MIN(HorizonYears,20)+1)))</f>
        <v/>
      </c>
      <c r="CH138" s="36">
        <f>IF(A138="","",IFERROR(-CD138/CG138,"n/a"))</f>
        <v/>
      </c>
    </row>
    <row r="139">
      <c r="A139" s="6">
        <f>Actions!A137</f>
        <v/>
      </c>
      <c r="B139" s="6">
        <f>Actions!B137</f>
        <v/>
      </c>
      <c r="C139" s="6">
        <f>Actions!D137</f>
        <v/>
      </c>
      <c r="D139" s="35">
        <f>Actions!E137</f>
        <v/>
      </c>
      <c r="E139" s="35">
        <f>Actions!F137</f>
        <v/>
      </c>
      <c r="F139" s="6">
        <f>Actions!G137</f>
        <v/>
      </c>
      <c r="G139" s="6">
        <f>Actions!H137</f>
        <v/>
      </c>
      <c r="H139" s="29">
        <f>Actions!I137</f>
        <v/>
      </c>
      <c r="I139" s="6">
        <f>Actions!J137</f>
        <v/>
      </c>
      <c r="J139" s="16">
        <f>Actions!K137</f>
        <v/>
      </c>
      <c r="K139" s="16">
        <f>IF(A139="","",IF(I139="%",H139*J139,J139))</f>
        <v/>
      </c>
      <c r="L139" s="16">
        <f>Actions!L137</f>
        <v/>
      </c>
      <c r="M139" s="6">
        <f>Actions!M137</f>
        <v/>
      </c>
      <c r="N139" s="28">
        <f>Actions!N137</f>
        <v/>
      </c>
      <c r="O139" s="29">
        <f>Actions!T137</f>
        <v/>
      </c>
      <c r="P139" s="29">
        <f>Actions!Y137</f>
        <v/>
      </c>
      <c r="Q139" s="29">
        <f>Actions!Z137</f>
        <v/>
      </c>
      <c r="R139" s="29">
        <f>Actions!AA137</f>
        <v/>
      </c>
      <c r="S139" s="29">
        <f>IF(A139="","",((K139)*(IF(M139="",L139,IFERROR(IF(INDEX(Variablen!$I:$AT, MATCH(M139, Variablen!$A:$A, 0), MATCH((YEAR(D139)+0), Variablen!$I$3:$AT$3, 0))="",L139,INDEX(Variablen!$I:$AT, MATCH(M139, Variablen!$A:$A, 0), MATCH((YEAR(D139)+0), Variablen!$I$3:$AT$3, 0))),L139)))*(IF((YEAR(D139)+0)&lt;YEAR(E139),0,IF((YEAR(D139)+0)&gt;YEAR(E139),1,(12-MONTH(E139)+1)/12))) + (Q139)*(IF((YEAR(D139)+0)&lt;YEAR(E139),0,IF((YEAR(D139)+0)&gt;YEAR(E139),1,(12-MONTH(E139)+1)/12))))-((P139)*(IF((YEAR(D139)+0)&lt;YEAR(E139),0,IF((YEAR(D139)+0)&gt;YEAR(E139),1,(12-MONTH(E139)+1)/12))) + (R139)*(IF((YEAR(D139)+0)&lt;YEAR(E139),0,IF((YEAR(D139)+0)&gt;YEAR(E139),1,(12-MONTH(E139)+1)/12))))-(IF((((K139)*(IF(M139="",L139,IFERROR(IF(INDEX(Variablen!$I:$AT, MATCH(M139, Variablen!$A:$A, 0), MATCH((YEAR(D139)+0), Variablen!$I$3:$AT$3, 0))="",L139,INDEX(Variablen!$I:$AT, MATCH(M139, Variablen!$A:$A, 0), MATCH((YEAR(D139)+0), Variablen!$I$3:$AT$3, 0))),L139)))*(IF((YEAR(D139)+0)&lt;YEAR(E139),0,IF((YEAR(D139)+0)&gt;YEAR(E139),1,(12-MONTH(E139)+1)/12))) + (Q139)*(IF((YEAR(D139)+0)&lt;YEAR(E139),0,IF((YEAR(D139)+0)&gt;YEAR(E139),1,(12-MONTH(E139)+1)/12))))-((P139)*(IF((YEAR(D139)+0)&lt;YEAR(E139),0,IF((YEAR(D139)+0)&gt;YEAR(E139),1,(12-MONTH(E139)+1)/12))) + (R139)*(IF((YEAR(D139)+0)&lt;YEAR(E139),0,IF((YEAR(D139)+0)&gt;YEAR(E139),1,(12-MONTH(E139)+1)/12))))-(IF(OR(N139="",N139&lt;=0),0,(O139/N139)*(IF(OR(N139="",N139&lt;=0),0,IF((YEAR(D139)+0)&lt;YEAR(E139),0,IF((YEAR(D139)+0)&gt;=YEAR(E139)+N139,0,IF((YEAR(D139)+0)=YEAR(E139),(12-MONTH(E139)+1)/12,1))))))))&gt;0,(((K139)*(IF(M139="",L139,IFERROR(IF(INDEX(Variablen!$I:$AT, MATCH(M139, Variablen!$A:$A, 0), MATCH((YEAR(D139)+0), Variablen!$I$3:$AT$3, 0))="",L139,INDEX(Variablen!$I:$AT, MATCH(M139, Variablen!$A:$A, 0), MATCH((YEAR(D139)+0), Variablen!$I$3:$AT$3, 0))),L139)))*(IF((YEAR(D139)+0)&lt;YEAR(E139),0,IF((YEAR(D139)+0)&gt;YEAR(E139),1,(12-MONTH(E139)+1)/12))) + (Q139)*(IF((YEAR(D139)+0)&lt;YEAR(E139),0,IF((YEAR(D139)+0)&gt;YEAR(E139),1,(12-MONTH(E139)+1)/12))))-((P139)*(IF((YEAR(D139)+0)&lt;YEAR(E139),0,IF((YEAR(D139)+0)&gt;YEAR(E139),1,(12-MONTH(E139)+1)/12))) + (R139)*(IF((YEAR(D139)+0)&lt;YEAR(E139),0,IF((YEAR(D139)+0)&gt;YEAR(E139),1,(12-MONTH(E139)+1)/12))))-(IF(OR(N139="",N139&lt;=0),0,(O139/N139)*(IF(OR(N139="",N139&lt;=0),0,IF((YEAR(D139)+0)&lt;YEAR(E139),0,IF((YEAR(D139)+0)&gt;=YEAR(E139)+N139,0,IF((YEAR(D139)+0)=YEAR(E139),(12-MONTH(E139)+1)/12,1))))))))*TaxRate,0))-IF(0=0,O139,0))</f>
        <v/>
      </c>
      <c r="T139" s="29">
        <f>IF(A139="","",((K139)*(IF(M139="",L139,IFERROR(IF(INDEX(Variablen!$I:$AT, MATCH(M139, Variablen!$A:$A, 0), MATCH((YEAR(D139)+1), Variablen!$I$3:$AT$3, 0))="",L139,INDEX(Variablen!$I:$AT, MATCH(M139, Variablen!$A:$A, 0), MATCH((YEAR(D139)+1), Variablen!$I$3:$AT$3, 0))),L139)))*(IF((YEAR(D139)+1)&lt;YEAR(E139),0,IF((YEAR(D139)+1)&gt;YEAR(E139),1,(12-MONTH(E139)+1)/12))) + (Q139)*(IF((YEAR(D139)+1)&lt;YEAR(E139),0,IF((YEAR(D139)+1)&gt;YEAR(E139),1,(12-MONTH(E139)+1)/12))))-((P139)*(IF((YEAR(D139)+1)&lt;YEAR(E139),0,IF((YEAR(D139)+1)&gt;YEAR(E139),1,(12-MONTH(E139)+1)/12))) + (R139)*(IF((YEAR(D139)+1)&lt;YEAR(E139),0,IF((YEAR(D139)+1)&gt;YEAR(E139),1,(12-MONTH(E139)+1)/12))))-(IF((((K139)*(IF(M139="",L139,IFERROR(IF(INDEX(Variablen!$I:$AT, MATCH(M139, Variablen!$A:$A, 0), MATCH((YEAR(D139)+1), Variablen!$I$3:$AT$3, 0))="",L139,INDEX(Variablen!$I:$AT, MATCH(M139, Variablen!$A:$A, 0), MATCH((YEAR(D139)+1), Variablen!$I$3:$AT$3, 0))),L139)))*(IF((YEAR(D139)+1)&lt;YEAR(E139),0,IF((YEAR(D139)+1)&gt;YEAR(E139),1,(12-MONTH(E139)+1)/12))) + (Q139)*(IF((YEAR(D139)+1)&lt;YEAR(E139),0,IF((YEAR(D139)+1)&gt;YEAR(E139),1,(12-MONTH(E139)+1)/12))))-((P139)*(IF((YEAR(D139)+1)&lt;YEAR(E139),0,IF((YEAR(D139)+1)&gt;YEAR(E139),1,(12-MONTH(E139)+1)/12))) + (R139)*(IF((YEAR(D139)+1)&lt;YEAR(E139),0,IF((YEAR(D139)+1)&gt;YEAR(E139),1,(12-MONTH(E139)+1)/12))))-(IF(OR(N139="",N139&lt;=0),0,(O139/N139)*(IF(OR(N139="",N139&lt;=0),0,IF((YEAR(D139)+1)&lt;YEAR(E139),0,IF((YEAR(D139)+1)&gt;=YEAR(E139)+N139,0,IF((YEAR(D139)+1)=YEAR(E139),(12-MONTH(E139)+1)/12,1))))))))&gt;0,(((K139)*(IF(M139="",L139,IFERROR(IF(INDEX(Variablen!$I:$AT, MATCH(M139, Variablen!$A:$A, 0), MATCH((YEAR(D139)+1), Variablen!$I$3:$AT$3, 0))="",L139,INDEX(Variablen!$I:$AT, MATCH(M139, Variablen!$A:$A, 0), MATCH((YEAR(D139)+1), Variablen!$I$3:$AT$3, 0))),L139)))*(IF((YEAR(D139)+1)&lt;YEAR(E139),0,IF((YEAR(D139)+1)&gt;YEAR(E139),1,(12-MONTH(E139)+1)/12))) + (Q139)*(IF((YEAR(D139)+1)&lt;YEAR(E139),0,IF((YEAR(D139)+1)&gt;YEAR(E139),1,(12-MONTH(E139)+1)/12))))-((P139)*(IF((YEAR(D139)+1)&lt;YEAR(E139),0,IF((YEAR(D139)+1)&gt;YEAR(E139),1,(12-MONTH(E139)+1)/12))) + (R139)*(IF((YEAR(D139)+1)&lt;YEAR(E139),0,IF((YEAR(D139)+1)&gt;YEAR(E139),1,(12-MONTH(E139)+1)/12))))-(IF(OR(N139="",N139&lt;=0),0,(O139/N139)*(IF(OR(N139="",N139&lt;=0),0,IF((YEAR(D139)+1)&lt;YEAR(E139),0,IF((YEAR(D139)+1)&gt;=YEAR(E139)+N139,0,IF((YEAR(D139)+1)=YEAR(E139),(12-MONTH(E139)+1)/12,1))))))))*TaxRate,0))-IF(1=0,O139,0))</f>
        <v/>
      </c>
      <c r="U139" s="29">
        <f>IF(A139="","",((K139)*(IF(M139="",L139,IFERROR(IF(INDEX(Variablen!$I:$AT, MATCH(M139, Variablen!$A:$A, 0), MATCH((YEAR(D139)+2), Variablen!$I$3:$AT$3, 0))="",L139,INDEX(Variablen!$I:$AT, MATCH(M139, Variablen!$A:$A, 0), MATCH((YEAR(D139)+2), Variablen!$I$3:$AT$3, 0))),L139)))*(IF((YEAR(D139)+2)&lt;YEAR(E139),0,IF((YEAR(D139)+2)&gt;YEAR(E139),1,(12-MONTH(E139)+1)/12))) + (Q139)*(IF((YEAR(D139)+2)&lt;YEAR(E139),0,IF((YEAR(D139)+2)&gt;YEAR(E139),1,(12-MONTH(E139)+1)/12))))-((P139)*(IF((YEAR(D139)+2)&lt;YEAR(E139),0,IF((YEAR(D139)+2)&gt;YEAR(E139),1,(12-MONTH(E139)+1)/12))) + (R139)*(IF((YEAR(D139)+2)&lt;YEAR(E139),0,IF((YEAR(D139)+2)&gt;YEAR(E139),1,(12-MONTH(E139)+1)/12))))-(IF((((K139)*(IF(M139="",L139,IFERROR(IF(INDEX(Variablen!$I:$AT, MATCH(M139, Variablen!$A:$A, 0), MATCH((YEAR(D139)+2), Variablen!$I$3:$AT$3, 0))="",L139,INDEX(Variablen!$I:$AT, MATCH(M139, Variablen!$A:$A, 0), MATCH((YEAR(D139)+2), Variablen!$I$3:$AT$3, 0))),L139)))*(IF((YEAR(D139)+2)&lt;YEAR(E139),0,IF((YEAR(D139)+2)&gt;YEAR(E139),1,(12-MONTH(E139)+1)/12))) + (Q139)*(IF((YEAR(D139)+2)&lt;YEAR(E139),0,IF((YEAR(D139)+2)&gt;YEAR(E139),1,(12-MONTH(E139)+1)/12))))-((P139)*(IF((YEAR(D139)+2)&lt;YEAR(E139),0,IF((YEAR(D139)+2)&gt;YEAR(E139),1,(12-MONTH(E139)+1)/12))) + (R139)*(IF((YEAR(D139)+2)&lt;YEAR(E139),0,IF((YEAR(D139)+2)&gt;YEAR(E139),1,(12-MONTH(E139)+1)/12))))-(IF(OR(N139="",N139&lt;=0),0,(O139/N139)*(IF(OR(N139="",N139&lt;=0),0,IF((YEAR(D139)+2)&lt;YEAR(E139),0,IF((YEAR(D139)+2)&gt;=YEAR(E139)+N139,0,IF((YEAR(D139)+2)=YEAR(E139),(12-MONTH(E139)+1)/12,1))))))))&gt;0,(((K139)*(IF(M139="",L139,IFERROR(IF(INDEX(Variablen!$I:$AT, MATCH(M139, Variablen!$A:$A, 0), MATCH((YEAR(D139)+2), Variablen!$I$3:$AT$3, 0))="",L139,INDEX(Variablen!$I:$AT, MATCH(M139, Variablen!$A:$A, 0), MATCH((YEAR(D139)+2), Variablen!$I$3:$AT$3, 0))),L139)))*(IF((YEAR(D139)+2)&lt;YEAR(E139),0,IF((YEAR(D139)+2)&gt;YEAR(E139),1,(12-MONTH(E139)+1)/12))) + (Q139)*(IF((YEAR(D139)+2)&lt;YEAR(E139),0,IF((YEAR(D139)+2)&gt;YEAR(E139),1,(12-MONTH(E139)+1)/12))))-((P139)*(IF((YEAR(D139)+2)&lt;YEAR(E139),0,IF((YEAR(D139)+2)&gt;YEAR(E139),1,(12-MONTH(E139)+1)/12))) + (R139)*(IF((YEAR(D139)+2)&lt;YEAR(E139),0,IF((YEAR(D139)+2)&gt;YEAR(E139),1,(12-MONTH(E139)+1)/12))))-(IF(OR(N139="",N139&lt;=0),0,(O139/N139)*(IF(OR(N139="",N139&lt;=0),0,IF((YEAR(D139)+2)&lt;YEAR(E139),0,IF((YEAR(D139)+2)&gt;=YEAR(E139)+N139,0,IF((YEAR(D139)+2)=YEAR(E139),(12-MONTH(E139)+1)/12,1))))))))*TaxRate,0))-IF(2=0,O139,0))</f>
        <v/>
      </c>
      <c r="V139" s="29">
        <f>IF(A139="","",((K139)*(IF(M139="",L139,IFERROR(IF(INDEX(Variablen!$I:$AT, MATCH(M139, Variablen!$A:$A, 0), MATCH((YEAR(D139)+3), Variablen!$I$3:$AT$3, 0))="",L139,INDEX(Variablen!$I:$AT, MATCH(M139, Variablen!$A:$A, 0), MATCH((YEAR(D139)+3), Variablen!$I$3:$AT$3, 0))),L139)))*(IF((YEAR(D139)+3)&lt;YEAR(E139),0,IF((YEAR(D139)+3)&gt;YEAR(E139),1,(12-MONTH(E139)+1)/12))) + (Q139)*(IF((YEAR(D139)+3)&lt;YEAR(E139),0,IF((YEAR(D139)+3)&gt;YEAR(E139),1,(12-MONTH(E139)+1)/12))))-((P139)*(IF((YEAR(D139)+3)&lt;YEAR(E139),0,IF((YEAR(D139)+3)&gt;YEAR(E139),1,(12-MONTH(E139)+1)/12))) + (R139)*(IF((YEAR(D139)+3)&lt;YEAR(E139),0,IF((YEAR(D139)+3)&gt;YEAR(E139),1,(12-MONTH(E139)+1)/12))))-(IF((((K139)*(IF(M139="",L139,IFERROR(IF(INDEX(Variablen!$I:$AT, MATCH(M139, Variablen!$A:$A, 0), MATCH((YEAR(D139)+3), Variablen!$I$3:$AT$3, 0))="",L139,INDEX(Variablen!$I:$AT, MATCH(M139, Variablen!$A:$A, 0), MATCH((YEAR(D139)+3), Variablen!$I$3:$AT$3, 0))),L139)))*(IF((YEAR(D139)+3)&lt;YEAR(E139),0,IF((YEAR(D139)+3)&gt;YEAR(E139),1,(12-MONTH(E139)+1)/12))) + (Q139)*(IF((YEAR(D139)+3)&lt;YEAR(E139),0,IF((YEAR(D139)+3)&gt;YEAR(E139),1,(12-MONTH(E139)+1)/12))))-((P139)*(IF((YEAR(D139)+3)&lt;YEAR(E139),0,IF((YEAR(D139)+3)&gt;YEAR(E139),1,(12-MONTH(E139)+1)/12))) + (R139)*(IF((YEAR(D139)+3)&lt;YEAR(E139),0,IF((YEAR(D139)+3)&gt;YEAR(E139),1,(12-MONTH(E139)+1)/12))))-(IF(OR(N139="",N139&lt;=0),0,(O139/N139)*(IF(OR(N139="",N139&lt;=0),0,IF((YEAR(D139)+3)&lt;YEAR(E139),0,IF((YEAR(D139)+3)&gt;=YEAR(E139)+N139,0,IF((YEAR(D139)+3)=YEAR(E139),(12-MONTH(E139)+1)/12,1))))))))&gt;0,(((K139)*(IF(M139="",L139,IFERROR(IF(INDEX(Variablen!$I:$AT, MATCH(M139, Variablen!$A:$A, 0), MATCH((YEAR(D139)+3), Variablen!$I$3:$AT$3, 0))="",L139,INDEX(Variablen!$I:$AT, MATCH(M139, Variablen!$A:$A, 0), MATCH((YEAR(D139)+3), Variablen!$I$3:$AT$3, 0))),L139)))*(IF((YEAR(D139)+3)&lt;YEAR(E139),0,IF((YEAR(D139)+3)&gt;YEAR(E139),1,(12-MONTH(E139)+1)/12))) + (Q139)*(IF((YEAR(D139)+3)&lt;YEAR(E139),0,IF((YEAR(D139)+3)&gt;YEAR(E139),1,(12-MONTH(E139)+1)/12))))-((P139)*(IF((YEAR(D139)+3)&lt;YEAR(E139),0,IF((YEAR(D139)+3)&gt;YEAR(E139),1,(12-MONTH(E139)+1)/12))) + (R139)*(IF((YEAR(D139)+3)&lt;YEAR(E139),0,IF((YEAR(D139)+3)&gt;YEAR(E139),1,(12-MONTH(E139)+1)/12))))-(IF(OR(N139="",N139&lt;=0),0,(O139/N139)*(IF(OR(N139="",N139&lt;=0),0,IF((YEAR(D139)+3)&lt;YEAR(E139),0,IF((YEAR(D139)+3)&gt;=YEAR(E139)+N139,0,IF((YEAR(D139)+3)=YEAR(E139),(12-MONTH(E139)+1)/12,1))))))))*TaxRate,0))-IF(3=0,O139,0))</f>
        <v/>
      </c>
      <c r="W139" s="29">
        <f>IF(A139="","",((K139)*(IF(M139="",L139,IFERROR(IF(INDEX(Variablen!$I:$AT, MATCH(M139, Variablen!$A:$A, 0), MATCH((YEAR(D139)+4), Variablen!$I$3:$AT$3, 0))="",L139,INDEX(Variablen!$I:$AT, MATCH(M139, Variablen!$A:$A, 0), MATCH((YEAR(D139)+4), Variablen!$I$3:$AT$3, 0))),L139)))*(IF((YEAR(D139)+4)&lt;YEAR(E139),0,IF((YEAR(D139)+4)&gt;YEAR(E139),1,(12-MONTH(E139)+1)/12))) + (Q139)*(IF((YEAR(D139)+4)&lt;YEAR(E139),0,IF((YEAR(D139)+4)&gt;YEAR(E139),1,(12-MONTH(E139)+1)/12))))-((P139)*(IF((YEAR(D139)+4)&lt;YEAR(E139),0,IF((YEAR(D139)+4)&gt;YEAR(E139),1,(12-MONTH(E139)+1)/12))) + (R139)*(IF((YEAR(D139)+4)&lt;YEAR(E139),0,IF((YEAR(D139)+4)&gt;YEAR(E139),1,(12-MONTH(E139)+1)/12))))-(IF((((K139)*(IF(M139="",L139,IFERROR(IF(INDEX(Variablen!$I:$AT, MATCH(M139, Variablen!$A:$A, 0), MATCH((YEAR(D139)+4), Variablen!$I$3:$AT$3, 0))="",L139,INDEX(Variablen!$I:$AT, MATCH(M139, Variablen!$A:$A, 0), MATCH((YEAR(D139)+4), Variablen!$I$3:$AT$3, 0))),L139)))*(IF((YEAR(D139)+4)&lt;YEAR(E139),0,IF((YEAR(D139)+4)&gt;YEAR(E139),1,(12-MONTH(E139)+1)/12))) + (Q139)*(IF((YEAR(D139)+4)&lt;YEAR(E139),0,IF((YEAR(D139)+4)&gt;YEAR(E139),1,(12-MONTH(E139)+1)/12))))-((P139)*(IF((YEAR(D139)+4)&lt;YEAR(E139),0,IF((YEAR(D139)+4)&gt;YEAR(E139),1,(12-MONTH(E139)+1)/12))) + (R139)*(IF((YEAR(D139)+4)&lt;YEAR(E139),0,IF((YEAR(D139)+4)&gt;YEAR(E139),1,(12-MONTH(E139)+1)/12))))-(IF(OR(N139="",N139&lt;=0),0,(O139/N139)*(IF(OR(N139="",N139&lt;=0),0,IF((YEAR(D139)+4)&lt;YEAR(E139),0,IF((YEAR(D139)+4)&gt;=YEAR(E139)+N139,0,IF((YEAR(D139)+4)=YEAR(E139),(12-MONTH(E139)+1)/12,1))))))))&gt;0,(((K139)*(IF(M139="",L139,IFERROR(IF(INDEX(Variablen!$I:$AT, MATCH(M139, Variablen!$A:$A, 0), MATCH((YEAR(D139)+4), Variablen!$I$3:$AT$3, 0))="",L139,INDEX(Variablen!$I:$AT, MATCH(M139, Variablen!$A:$A, 0), MATCH((YEAR(D139)+4), Variablen!$I$3:$AT$3, 0))),L139)))*(IF((YEAR(D139)+4)&lt;YEAR(E139),0,IF((YEAR(D139)+4)&gt;YEAR(E139),1,(12-MONTH(E139)+1)/12))) + (Q139)*(IF((YEAR(D139)+4)&lt;YEAR(E139),0,IF((YEAR(D139)+4)&gt;YEAR(E139),1,(12-MONTH(E139)+1)/12))))-((P139)*(IF((YEAR(D139)+4)&lt;YEAR(E139),0,IF((YEAR(D139)+4)&gt;YEAR(E139),1,(12-MONTH(E139)+1)/12))) + (R139)*(IF((YEAR(D139)+4)&lt;YEAR(E139),0,IF((YEAR(D139)+4)&gt;YEAR(E139),1,(12-MONTH(E139)+1)/12))))-(IF(OR(N139="",N139&lt;=0),0,(O139/N139)*(IF(OR(N139="",N139&lt;=0),0,IF((YEAR(D139)+4)&lt;YEAR(E139),0,IF((YEAR(D139)+4)&gt;=YEAR(E139)+N139,0,IF((YEAR(D139)+4)=YEAR(E139),(12-MONTH(E139)+1)/12,1))))))))*TaxRate,0))-IF(4=0,O139,0))</f>
        <v/>
      </c>
      <c r="X139" s="29">
        <f>IF(A139="","",((K139)*(IF(M139="",L139,IFERROR(IF(INDEX(Variablen!$I:$AT, MATCH(M139, Variablen!$A:$A, 0), MATCH((YEAR(D139)+5), Variablen!$I$3:$AT$3, 0))="",L139,INDEX(Variablen!$I:$AT, MATCH(M139, Variablen!$A:$A, 0), MATCH((YEAR(D139)+5), Variablen!$I$3:$AT$3, 0))),L139)))*(IF((YEAR(D139)+5)&lt;YEAR(E139),0,IF((YEAR(D139)+5)&gt;YEAR(E139),1,(12-MONTH(E139)+1)/12))) + (Q139)*(IF((YEAR(D139)+5)&lt;YEAR(E139),0,IF((YEAR(D139)+5)&gt;YEAR(E139),1,(12-MONTH(E139)+1)/12))))-((P139)*(IF((YEAR(D139)+5)&lt;YEAR(E139),0,IF((YEAR(D139)+5)&gt;YEAR(E139),1,(12-MONTH(E139)+1)/12))) + (R139)*(IF((YEAR(D139)+5)&lt;YEAR(E139),0,IF((YEAR(D139)+5)&gt;YEAR(E139),1,(12-MONTH(E139)+1)/12))))-(IF((((K139)*(IF(M139="",L139,IFERROR(IF(INDEX(Variablen!$I:$AT, MATCH(M139, Variablen!$A:$A, 0), MATCH((YEAR(D139)+5), Variablen!$I$3:$AT$3, 0))="",L139,INDEX(Variablen!$I:$AT, MATCH(M139, Variablen!$A:$A, 0), MATCH((YEAR(D139)+5), Variablen!$I$3:$AT$3, 0))),L139)))*(IF((YEAR(D139)+5)&lt;YEAR(E139),0,IF((YEAR(D139)+5)&gt;YEAR(E139),1,(12-MONTH(E139)+1)/12))) + (Q139)*(IF((YEAR(D139)+5)&lt;YEAR(E139),0,IF((YEAR(D139)+5)&gt;YEAR(E139),1,(12-MONTH(E139)+1)/12))))-((P139)*(IF((YEAR(D139)+5)&lt;YEAR(E139),0,IF((YEAR(D139)+5)&gt;YEAR(E139),1,(12-MONTH(E139)+1)/12))) + (R139)*(IF((YEAR(D139)+5)&lt;YEAR(E139),0,IF((YEAR(D139)+5)&gt;YEAR(E139),1,(12-MONTH(E139)+1)/12))))-(IF(OR(N139="",N139&lt;=0),0,(O139/N139)*(IF(OR(N139="",N139&lt;=0),0,IF((YEAR(D139)+5)&lt;YEAR(E139),0,IF((YEAR(D139)+5)&gt;=YEAR(E139)+N139,0,IF((YEAR(D139)+5)=YEAR(E139),(12-MONTH(E139)+1)/12,1))))))))&gt;0,(((K139)*(IF(M139="",L139,IFERROR(IF(INDEX(Variablen!$I:$AT, MATCH(M139, Variablen!$A:$A, 0), MATCH((YEAR(D139)+5), Variablen!$I$3:$AT$3, 0))="",L139,INDEX(Variablen!$I:$AT, MATCH(M139, Variablen!$A:$A, 0), MATCH((YEAR(D139)+5), Variablen!$I$3:$AT$3, 0))),L139)))*(IF((YEAR(D139)+5)&lt;YEAR(E139),0,IF((YEAR(D139)+5)&gt;YEAR(E139),1,(12-MONTH(E139)+1)/12))) + (Q139)*(IF((YEAR(D139)+5)&lt;YEAR(E139),0,IF((YEAR(D139)+5)&gt;YEAR(E139),1,(12-MONTH(E139)+1)/12))))-((P139)*(IF((YEAR(D139)+5)&lt;YEAR(E139),0,IF((YEAR(D139)+5)&gt;YEAR(E139),1,(12-MONTH(E139)+1)/12))) + (R139)*(IF((YEAR(D139)+5)&lt;YEAR(E139),0,IF((YEAR(D139)+5)&gt;YEAR(E139),1,(12-MONTH(E139)+1)/12))))-(IF(OR(N139="",N139&lt;=0),0,(O139/N139)*(IF(OR(N139="",N139&lt;=0),0,IF((YEAR(D139)+5)&lt;YEAR(E139),0,IF((YEAR(D139)+5)&gt;=YEAR(E139)+N139,0,IF((YEAR(D139)+5)=YEAR(E139),(12-MONTH(E139)+1)/12,1))))))))*TaxRate,0))-IF(5=0,O139,0))</f>
        <v/>
      </c>
      <c r="Y139" s="29">
        <f>IF(A139="","",((K139)*(IF(M139="",L139,IFERROR(IF(INDEX(Variablen!$I:$AT, MATCH(M139, Variablen!$A:$A, 0), MATCH((YEAR(D139)+6), Variablen!$I$3:$AT$3, 0))="",L139,INDEX(Variablen!$I:$AT, MATCH(M139, Variablen!$A:$A, 0), MATCH((YEAR(D139)+6), Variablen!$I$3:$AT$3, 0))),L139)))*(IF((YEAR(D139)+6)&lt;YEAR(E139),0,IF((YEAR(D139)+6)&gt;YEAR(E139),1,(12-MONTH(E139)+1)/12))) + (Q139)*(IF((YEAR(D139)+6)&lt;YEAR(E139),0,IF((YEAR(D139)+6)&gt;YEAR(E139),1,(12-MONTH(E139)+1)/12))))-((P139)*(IF((YEAR(D139)+6)&lt;YEAR(E139),0,IF((YEAR(D139)+6)&gt;YEAR(E139),1,(12-MONTH(E139)+1)/12))) + (R139)*(IF((YEAR(D139)+6)&lt;YEAR(E139),0,IF((YEAR(D139)+6)&gt;YEAR(E139),1,(12-MONTH(E139)+1)/12))))-(IF((((K139)*(IF(M139="",L139,IFERROR(IF(INDEX(Variablen!$I:$AT, MATCH(M139, Variablen!$A:$A, 0), MATCH((YEAR(D139)+6), Variablen!$I$3:$AT$3, 0))="",L139,INDEX(Variablen!$I:$AT, MATCH(M139, Variablen!$A:$A, 0), MATCH((YEAR(D139)+6), Variablen!$I$3:$AT$3, 0))),L139)))*(IF((YEAR(D139)+6)&lt;YEAR(E139),0,IF((YEAR(D139)+6)&gt;YEAR(E139),1,(12-MONTH(E139)+1)/12))) + (Q139)*(IF((YEAR(D139)+6)&lt;YEAR(E139),0,IF((YEAR(D139)+6)&gt;YEAR(E139),1,(12-MONTH(E139)+1)/12))))-((P139)*(IF((YEAR(D139)+6)&lt;YEAR(E139),0,IF((YEAR(D139)+6)&gt;YEAR(E139),1,(12-MONTH(E139)+1)/12))) + (R139)*(IF((YEAR(D139)+6)&lt;YEAR(E139),0,IF((YEAR(D139)+6)&gt;YEAR(E139),1,(12-MONTH(E139)+1)/12))))-(IF(OR(N139="",N139&lt;=0),0,(O139/N139)*(IF(OR(N139="",N139&lt;=0),0,IF((YEAR(D139)+6)&lt;YEAR(E139),0,IF((YEAR(D139)+6)&gt;=YEAR(E139)+N139,0,IF((YEAR(D139)+6)=YEAR(E139),(12-MONTH(E139)+1)/12,1))))))))&gt;0,(((K139)*(IF(M139="",L139,IFERROR(IF(INDEX(Variablen!$I:$AT, MATCH(M139, Variablen!$A:$A, 0), MATCH((YEAR(D139)+6), Variablen!$I$3:$AT$3, 0))="",L139,INDEX(Variablen!$I:$AT, MATCH(M139, Variablen!$A:$A, 0), MATCH((YEAR(D139)+6), Variablen!$I$3:$AT$3, 0))),L139)))*(IF((YEAR(D139)+6)&lt;YEAR(E139),0,IF((YEAR(D139)+6)&gt;YEAR(E139),1,(12-MONTH(E139)+1)/12))) + (Q139)*(IF((YEAR(D139)+6)&lt;YEAR(E139),0,IF((YEAR(D139)+6)&gt;YEAR(E139),1,(12-MONTH(E139)+1)/12))))-((P139)*(IF((YEAR(D139)+6)&lt;YEAR(E139),0,IF((YEAR(D139)+6)&gt;YEAR(E139),1,(12-MONTH(E139)+1)/12))) + (R139)*(IF((YEAR(D139)+6)&lt;YEAR(E139),0,IF((YEAR(D139)+6)&gt;YEAR(E139),1,(12-MONTH(E139)+1)/12))))-(IF(OR(N139="",N139&lt;=0),0,(O139/N139)*(IF(OR(N139="",N139&lt;=0),0,IF((YEAR(D139)+6)&lt;YEAR(E139),0,IF((YEAR(D139)+6)&gt;=YEAR(E139)+N139,0,IF((YEAR(D139)+6)=YEAR(E139),(12-MONTH(E139)+1)/12,1))))))))*TaxRate,0))-IF(6=0,O139,0))</f>
        <v/>
      </c>
      <c r="Z139" s="29">
        <f>IF(A139="","",((K139)*(IF(M139="",L139,IFERROR(IF(INDEX(Variablen!$I:$AT, MATCH(M139, Variablen!$A:$A, 0), MATCH((YEAR(D139)+7), Variablen!$I$3:$AT$3, 0))="",L139,INDEX(Variablen!$I:$AT, MATCH(M139, Variablen!$A:$A, 0), MATCH((YEAR(D139)+7), Variablen!$I$3:$AT$3, 0))),L139)))*(IF((YEAR(D139)+7)&lt;YEAR(E139),0,IF((YEAR(D139)+7)&gt;YEAR(E139),1,(12-MONTH(E139)+1)/12))) + (Q139)*(IF((YEAR(D139)+7)&lt;YEAR(E139),0,IF((YEAR(D139)+7)&gt;YEAR(E139),1,(12-MONTH(E139)+1)/12))))-((P139)*(IF((YEAR(D139)+7)&lt;YEAR(E139),0,IF((YEAR(D139)+7)&gt;YEAR(E139),1,(12-MONTH(E139)+1)/12))) + (R139)*(IF((YEAR(D139)+7)&lt;YEAR(E139),0,IF((YEAR(D139)+7)&gt;YEAR(E139),1,(12-MONTH(E139)+1)/12))))-(IF((((K139)*(IF(M139="",L139,IFERROR(IF(INDEX(Variablen!$I:$AT, MATCH(M139, Variablen!$A:$A, 0), MATCH((YEAR(D139)+7), Variablen!$I$3:$AT$3, 0))="",L139,INDEX(Variablen!$I:$AT, MATCH(M139, Variablen!$A:$A, 0), MATCH((YEAR(D139)+7), Variablen!$I$3:$AT$3, 0))),L139)))*(IF((YEAR(D139)+7)&lt;YEAR(E139),0,IF((YEAR(D139)+7)&gt;YEAR(E139),1,(12-MONTH(E139)+1)/12))) + (Q139)*(IF((YEAR(D139)+7)&lt;YEAR(E139),0,IF((YEAR(D139)+7)&gt;YEAR(E139),1,(12-MONTH(E139)+1)/12))))-((P139)*(IF((YEAR(D139)+7)&lt;YEAR(E139),0,IF((YEAR(D139)+7)&gt;YEAR(E139),1,(12-MONTH(E139)+1)/12))) + (R139)*(IF((YEAR(D139)+7)&lt;YEAR(E139),0,IF((YEAR(D139)+7)&gt;YEAR(E139),1,(12-MONTH(E139)+1)/12))))-(IF(OR(N139="",N139&lt;=0),0,(O139/N139)*(IF(OR(N139="",N139&lt;=0),0,IF((YEAR(D139)+7)&lt;YEAR(E139),0,IF((YEAR(D139)+7)&gt;=YEAR(E139)+N139,0,IF((YEAR(D139)+7)=YEAR(E139),(12-MONTH(E139)+1)/12,1))))))))&gt;0,(((K139)*(IF(M139="",L139,IFERROR(IF(INDEX(Variablen!$I:$AT, MATCH(M139, Variablen!$A:$A, 0), MATCH((YEAR(D139)+7), Variablen!$I$3:$AT$3, 0))="",L139,INDEX(Variablen!$I:$AT, MATCH(M139, Variablen!$A:$A, 0), MATCH((YEAR(D139)+7), Variablen!$I$3:$AT$3, 0))),L139)))*(IF((YEAR(D139)+7)&lt;YEAR(E139),0,IF((YEAR(D139)+7)&gt;YEAR(E139),1,(12-MONTH(E139)+1)/12))) + (Q139)*(IF((YEAR(D139)+7)&lt;YEAR(E139),0,IF((YEAR(D139)+7)&gt;YEAR(E139),1,(12-MONTH(E139)+1)/12))))-((P139)*(IF((YEAR(D139)+7)&lt;YEAR(E139),0,IF((YEAR(D139)+7)&gt;YEAR(E139),1,(12-MONTH(E139)+1)/12))) + (R139)*(IF((YEAR(D139)+7)&lt;YEAR(E139),0,IF((YEAR(D139)+7)&gt;YEAR(E139),1,(12-MONTH(E139)+1)/12))))-(IF(OR(N139="",N139&lt;=0),0,(O139/N139)*(IF(OR(N139="",N139&lt;=0),0,IF((YEAR(D139)+7)&lt;YEAR(E139),0,IF((YEAR(D139)+7)&gt;=YEAR(E139)+N139,0,IF((YEAR(D139)+7)=YEAR(E139),(12-MONTH(E139)+1)/12,1))))))))*TaxRate,0))-IF(7=0,O139,0))</f>
        <v/>
      </c>
      <c r="AA139" s="29">
        <f>IF(A139="","",((K139)*(IF(M139="",L139,IFERROR(IF(INDEX(Variablen!$I:$AT, MATCH(M139, Variablen!$A:$A, 0), MATCH((YEAR(D139)+8), Variablen!$I$3:$AT$3, 0))="",L139,INDEX(Variablen!$I:$AT, MATCH(M139, Variablen!$A:$A, 0), MATCH((YEAR(D139)+8), Variablen!$I$3:$AT$3, 0))),L139)))*(IF((YEAR(D139)+8)&lt;YEAR(E139),0,IF((YEAR(D139)+8)&gt;YEAR(E139),1,(12-MONTH(E139)+1)/12))) + (Q139)*(IF((YEAR(D139)+8)&lt;YEAR(E139),0,IF((YEAR(D139)+8)&gt;YEAR(E139),1,(12-MONTH(E139)+1)/12))))-((P139)*(IF((YEAR(D139)+8)&lt;YEAR(E139),0,IF((YEAR(D139)+8)&gt;YEAR(E139),1,(12-MONTH(E139)+1)/12))) + (R139)*(IF((YEAR(D139)+8)&lt;YEAR(E139),0,IF((YEAR(D139)+8)&gt;YEAR(E139),1,(12-MONTH(E139)+1)/12))))-(IF((((K139)*(IF(M139="",L139,IFERROR(IF(INDEX(Variablen!$I:$AT, MATCH(M139, Variablen!$A:$A, 0), MATCH((YEAR(D139)+8), Variablen!$I$3:$AT$3, 0))="",L139,INDEX(Variablen!$I:$AT, MATCH(M139, Variablen!$A:$A, 0), MATCH((YEAR(D139)+8), Variablen!$I$3:$AT$3, 0))),L139)))*(IF((YEAR(D139)+8)&lt;YEAR(E139),0,IF((YEAR(D139)+8)&gt;YEAR(E139),1,(12-MONTH(E139)+1)/12))) + (Q139)*(IF((YEAR(D139)+8)&lt;YEAR(E139),0,IF((YEAR(D139)+8)&gt;YEAR(E139),1,(12-MONTH(E139)+1)/12))))-((P139)*(IF((YEAR(D139)+8)&lt;YEAR(E139),0,IF((YEAR(D139)+8)&gt;YEAR(E139),1,(12-MONTH(E139)+1)/12))) + (R139)*(IF((YEAR(D139)+8)&lt;YEAR(E139),0,IF((YEAR(D139)+8)&gt;YEAR(E139),1,(12-MONTH(E139)+1)/12))))-(IF(OR(N139="",N139&lt;=0),0,(O139/N139)*(IF(OR(N139="",N139&lt;=0),0,IF((YEAR(D139)+8)&lt;YEAR(E139),0,IF((YEAR(D139)+8)&gt;=YEAR(E139)+N139,0,IF((YEAR(D139)+8)=YEAR(E139),(12-MONTH(E139)+1)/12,1))))))))&gt;0,(((K139)*(IF(M139="",L139,IFERROR(IF(INDEX(Variablen!$I:$AT, MATCH(M139, Variablen!$A:$A, 0), MATCH((YEAR(D139)+8), Variablen!$I$3:$AT$3, 0))="",L139,INDEX(Variablen!$I:$AT, MATCH(M139, Variablen!$A:$A, 0), MATCH((YEAR(D139)+8), Variablen!$I$3:$AT$3, 0))),L139)))*(IF((YEAR(D139)+8)&lt;YEAR(E139),0,IF((YEAR(D139)+8)&gt;YEAR(E139),1,(12-MONTH(E139)+1)/12))) + (Q139)*(IF((YEAR(D139)+8)&lt;YEAR(E139),0,IF((YEAR(D139)+8)&gt;YEAR(E139),1,(12-MONTH(E139)+1)/12))))-((P139)*(IF((YEAR(D139)+8)&lt;YEAR(E139),0,IF((YEAR(D139)+8)&gt;YEAR(E139),1,(12-MONTH(E139)+1)/12))) + (R139)*(IF((YEAR(D139)+8)&lt;YEAR(E139),0,IF((YEAR(D139)+8)&gt;YEAR(E139),1,(12-MONTH(E139)+1)/12))))-(IF(OR(N139="",N139&lt;=0),0,(O139/N139)*(IF(OR(N139="",N139&lt;=0),0,IF((YEAR(D139)+8)&lt;YEAR(E139),0,IF((YEAR(D139)+8)&gt;=YEAR(E139)+N139,0,IF((YEAR(D139)+8)=YEAR(E139),(12-MONTH(E139)+1)/12,1))))))))*TaxRate,0))-IF(8=0,O139,0))</f>
        <v/>
      </c>
      <c r="AB139" s="29">
        <f>IF(A139="","",((K139)*(IF(M139="",L139,IFERROR(IF(INDEX(Variablen!$I:$AT, MATCH(M139, Variablen!$A:$A, 0), MATCH((YEAR(D139)+9), Variablen!$I$3:$AT$3, 0))="",L139,INDEX(Variablen!$I:$AT, MATCH(M139, Variablen!$A:$A, 0), MATCH((YEAR(D139)+9), Variablen!$I$3:$AT$3, 0))),L139)))*(IF((YEAR(D139)+9)&lt;YEAR(E139),0,IF((YEAR(D139)+9)&gt;YEAR(E139),1,(12-MONTH(E139)+1)/12))) + (Q139)*(IF((YEAR(D139)+9)&lt;YEAR(E139),0,IF((YEAR(D139)+9)&gt;YEAR(E139),1,(12-MONTH(E139)+1)/12))))-((P139)*(IF((YEAR(D139)+9)&lt;YEAR(E139),0,IF((YEAR(D139)+9)&gt;YEAR(E139),1,(12-MONTH(E139)+1)/12))) + (R139)*(IF((YEAR(D139)+9)&lt;YEAR(E139),0,IF((YEAR(D139)+9)&gt;YEAR(E139),1,(12-MONTH(E139)+1)/12))))-(IF((((K139)*(IF(M139="",L139,IFERROR(IF(INDEX(Variablen!$I:$AT, MATCH(M139, Variablen!$A:$A, 0), MATCH((YEAR(D139)+9), Variablen!$I$3:$AT$3, 0))="",L139,INDEX(Variablen!$I:$AT, MATCH(M139, Variablen!$A:$A, 0), MATCH((YEAR(D139)+9), Variablen!$I$3:$AT$3, 0))),L139)))*(IF((YEAR(D139)+9)&lt;YEAR(E139),0,IF((YEAR(D139)+9)&gt;YEAR(E139),1,(12-MONTH(E139)+1)/12))) + (Q139)*(IF((YEAR(D139)+9)&lt;YEAR(E139),0,IF((YEAR(D139)+9)&gt;YEAR(E139),1,(12-MONTH(E139)+1)/12))))-((P139)*(IF((YEAR(D139)+9)&lt;YEAR(E139),0,IF((YEAR(D139)+9)&gt;YEAR(E139),1,(12-MONTH(E139)+1)/12))) + (R139)*(IF((YEAR(D139)+9)&lt;YEAR(E139),0,IF((YEAR(D139)+9)&gt;YEAR(E139),1,(12-MONTH(E139)+1)/12))))-(IF(OR(N139="",N139&lt;=0),0,(O139/N139)*(IF(OR(N139="",N139&lt;=0),0,IF((YEAR(D139)+9)&lt;YEAR(E139),0,IF((YEAR(D139)+9)&gt;=YEAR(E139)+N139,0,IF((YEAR(D139)+9)=YEAR(E139),(12-MONTH(E139)+1)/12,1))))))))&gt;0,(((K139)*(IF(M139="",L139,IFERROR(IF(INDEX(Variablen!$I:$AT, MATCH(M139, Variablen!$A:$A, 0), MATCH((YEAR(D139)+9), Variablen!$I$3:$AT$3, 0))="",L139,INDEX(Variablen!$I:$AT, MATCH(M139, Variablen!$A:$A, 0), MATCH((YEAR(D139)+9), Variablen!$I$3:$AT$3, 0))),L139)))*(IF((YEAR(D139)+9)&lt;YEAR(E139),0,IF((YEAR(D139)+9)&gt;YEAR(E139),1,(12-MONTH(E139)+1)/12))) + (Q139)*(IF((YEAR(D139)+9)&lt;YEAR(E139),0,IF((YEAR(D139)+9)&gt;YEAR(E139),1,(12-MONTH(E139)+1)/12))))-((P139)*(IF((YEAR(D139)+9)&lt;YEAR(E139),0,IF((YEAR(D139)+9)&gt;YEAR(E139),1,(12-MONTH(E139)+1)/12))) + (R139)*(IF((YEAR(D139)+9)&lt;YEAR(E139),0,IF((YEAR(D139)+9)&gt;YEAR(E139),1,(12-MONTH(E139)+1)/12))))-(IF(OR(N139="",N139&lt;=0),0,(O139/N139)*(IF(OR(N139="",N139&lt;=0),0,IF((YEAR(D139)+9)&lt;YEAR(E139),0,IF((YEAR(D139)+9)&gt;=YEAR(E139)+N139,0,IF((YEAR(D139)+9)=YEAR(E139),(12-MONTH(E139)+1)/12,1))))))))*TaxRate,0))-IF(9=0,O139,0))</f>
        <v/>
      </c>
      <c r="AC139" s="29">
        <f>IF(A139="","",((K139)*(IF(M139="",L139,IFERROR(IF(INDEX(Variablen!$I:$AT, MATCH(M139, Variablen!$A:$A, 0), MATCH((YEAR(D139)+10), Variablen!$I$3:$AT$3, 0))="",L139,INDEX(Variablen!$I:$AT, MATCH(M139, Variablen!$A:$A, 0), MATCH((YEAR(D139)+10), Variablen!$I$3:$AT$3, 0))),L139)))*(IF((YEAR(D139)+10)&lt;YEAR(E139),0,IF((YEAR(D139)+10)&gt;YEAR(E139),1,(12-MONTH(E139)+1)/12))) + (Q139)*(IF((YEAR(D139)+10)&lt;YEAR(E139),0,IF((YEAR(D139)+10)&gt;YEAR(E139),1,(12-MONTH(E139)+1)/12))))-((P139)*(IF((YEAR(D139)+10)&lt;YEAR(E139),0,IF((YEAR(D139)+10)&gt;YEAR(E139),1,(12-MONTH(E139)+1)/12))) + (R139)*(IF((YEAR(D139)+10)&lt;YEAR(E139),0,IF((YEAR(D139)+10)&gt;YEAR(E139),1,(12-MONTH(E139)+1)/12))))-(IF((((K139)*(IF(M139="",L139,IFERROR(IF(INDEX(Variablen!$I:$AT, MATCH(M139, Variablen!$A:$A, 0), MATCH((YEAR(D139)+10), Variablen!$I$3:$AT$3, 0))="",L139,INDEX(Variablen!$I:$AT, MATCH(M139, Variablen!$A:$A, 0), MATCH((YEAR(D139)+10), Variablen!$I$3:$AT$3, 0))),L139)))*(IF((YEAR(D139)+10)&lt;YEAR(E139),0,IF((YEAR(D139)+10)&gt;YEAR(E139),1,(12-MONTH(E139)+1)/12))) + (Q139)*(IF((YEAR(D139)+10)&lt;YEAR(E139),0,IF((YEAR(D139)+10)&gt;YEAR(E139),1,(12-MONTH(E139)+1)/12))))-((P139)*(IF((YEAR(D139)+10)&lt;YEAR(E139),0,IF((YEAR(D139)+10)&gt;YEAR(E139),1,(12-MONTH(E139)+1)/12))) + (R139)*(IF((YEAR(D139)+10)&lt;YEAR(E139),0,IF((YEAR(D139)+10)&gt;YEAR(E139),1,(12-MONTH(E139)+1)/12))))-(IF(OR(N139="",N139&lt;=0),0,(O139/N139)*(IF(OR(N139="",N139&lt;=0),0,IF((YEAR(D139)+10)&lt;YEAR(E139),0,IF((YEAR(D139)+10)&gt;=YEAR(E139)+N139,0,IF((YEAR(D139)+10)=YEAR(E139),(12-MONTH(E139)+1)/12,1))))))))&gt;0,(((K139)*(IF(M139="",L139,IFERROR(IF(INDEX(Variablen!$I:$AT, MATCH(M139, Variablen!$A:$A, 0), MATCH((YEAR(D139)+10), Variablen!$I$3:$AT$3, 0))="",L139,INDEX(Variablen!$I:$AT, MATCH(M139, Variablen!$A:$A, 0), MATCH((YEAR(D139)+10), Variablen!$I$3:$AT$3, 0))),L139)))*(IF((YEAR(D139)+10)&lt;YEAR(E139),0,IF((YEAR(D139)+10)&gt;YEAR(E139),1,(12-MONTH(E139)+1)/12))) + (Q139)*(IF((YEAR(D139)+10)&lt;YEAR(E139),0,IF((YEAR(D139)+10)&gt;YEAR(E139),1,(12-MONTH(E139)+1)/12))))-((P139)*(IF((YEAR(D139)+10)&lt;YEAR(E139),0,IF((YEAR(D139)+10)&gt;YEAR(E139),1,(12-MONTH(E139)+1)/12))) + (R139)*(IF((YEAR(D139)+10)&lt;YEAR(E139),0,IF((YEAR(D139)+10)&gt;YEAR(E139),1,(12-MONTH(E139)+1)/12))))-(IF(OR(N139="",N139&lt;=0),0,(O139/N139)*(IF(OR(N139="",N139&lt;=0),0,IF((YEAR(D139)+10)&lt;YEAR(E139),0,IF((YEAR(D139)+10)&gt;=YEAR(E139)+N139,0,IF((YEAR(D139)+10)=YEAR(E139),(12-MONTH(E139)+1)/12,1))))))))*TaxRate,0))-IF(10=0,O139,0))</f>
        <v/>
      </c>
      <c r="AD139" s="29">
        <f>IF(A139="","",((K139)*(IF(M139="",L139,IFERROR(IF(INDEX(Variablen!$I:$AT, MATCH(M139, Variablen!$A:$A, 0), MATCH((YEAR(D139)+11), Variablen!$I$3:$AT$3, 0))="",L139,INDEX(Variablen!$I:$AT, MATCH(M139, Variablen!$A:$A, 0), MATCH((YEAR(D139)+11), Variablen!$I$3:$AT$3, 0))),L139)))*(IF((YEAR(D139)+11)&lt;YEAR(E139),0,IF((YEAR(D139)+11)&gt;YEAR(E139),1,(12-MONTH(E139)+1)/12))) + (Q139)*(IF((YEAR(D139)+11)&lt;YEAR(E139),0,IF((YEAR(D139)+11)&gt;YEAR(E139),1,(12-MONTH(E139)+1)/12))))-((P139)*(IF((YEAR(D139)+11)&lt;YEAR(E139),0,IF((YEAR(D139)+11)&gt;YEAR(E139),1,(12-MONTH(E139)+1)/12))) + (R139)*(IF((YEAR(D139)+11)&lt;YEAR(E139),0,IF((YEAR(D139)+11)&gt;YEAR(E139),1,(12-MONTH(E139)+1)/12))))-(IF((((K139)*(IF(M139="",L139,IFERROR(IF(INDEX(Variablen!$I:$AT, MATCH(M139, Variablen!$A:$A, 0), MATCH((YEAR(D139)+11), Variablen!$I$3:$AT$3, 0))="",L139,INDEX(Variablen!$I:$AT, MATCH(M139, Variablen!$A:$A, 0), MATCH((YEAR(D139)+11), Variablen!$I$3:$AT$3, 0))),L139)))*(IF((YEAR(D139)+11)&lt;YEAR(E139),0,IF((YEAR(D139)+11)&gt;YEAR(E139),1,(12-MONTH(E139)+1)/12))) + (Q139)*(IF((YEAR(D139)+11)&lt;YEAR(E139),0,IF((YEAR(D139)+11)&gt;YEAR(E139),1,(12-MONTH(E139)+1)/12))))-((P139)*(IF((YEAR(D139)+11)&lt;YEAR(E139),0,IF((YEAR(D139)+11)&gt;YEAR(E139),1,(12-MONTH(E139)+1)/12))) + (R139)*(IF((YEAR(D139)+11)&lt;YEAR(E139),0,IF((YEAR(D139)+11)&gt;YEAR(E139),1,(12-MONTH(E139)+1)/12))))-(IF(OR(N139="",N139&lt;=0),0,(O139/N139)*(IF(OR(N139="",N139&lt;=0),0,IF((YEAR(D139)+11)&lt;YEAR(E139),0,IF((YEAR(D139)+11)&gt;=YEAR(E139)+N139,0,IF((YEAR(D139)+11)=YEAR(E139),(12-MONTH(E139)+1)/12,1))))))))&gt;0,(((K139)*(IF(M139="",L139,IFERROR(IF(INDEX(Variablen!$I:$AT, MATCH(M139, Variablen!$A:$A, 0), MATCH((YEAR(D139)+11), Variablen!$I$3:$AT$3, 0))="",L139,INDEX(Variablen!$I:$AT, MATCH(M139, Variablen!$A:$A, 0), MATCH((YEAR(D139)+11), Variablen!$I$3:$AT$3, 0))),L139)))*(IF((YEAR(D139)+11)&lt;YEAR(E139),0,IF((YEAR(D139)+11)&gt;YEAR(E139),1,(12-MONTH(E139)+1)/12))) + (Q139)*(IF((YEAR(D139)+11)&lt;YEAR(E139),0,IF((YEAR(D139)+11)&gt;YEAR(E139),1,(12-MONTH(E139)+1)/12))))-((P139)*(IF((YEAR(D139)+11)&lt;YEAR(E139),0,IF((YEAR(D139)+11)&gt;YEAR(E139),1,(12-MONTH(E139)+1)/12))) + (R139)*(IF((YEAR(D139)+11)&lt;YEAR(E139),0,IF((YEAR(D139)+11)&gt;YEAR(E139),1,(12-MONTH(E139)+1)/12))))-(IF(OR(N139="",N139&lt;=0),0,(O139/N139)*(IF(OR(N139="",N139&lt;=0),0,IF((YEAR(D139)+11)&lt;YEAR(E139),0,IF((YEAR(D139)+11)&gt;=YEAR(E139)+N139,0,IF((YEAR(D139)+11)=YEAR(E139),(12-MONTH(E139)+1)/12,1))))))))*TaxRate,0))-IF(11=0,O139,0))</f>
        <v/>
      </c>
      <c r="AE139" s="29">
        <f>IF(A139="","",((K139)*(IF(M139="",L139,IFERROR(IF(INDEX(Variablen!$I:$AT, MATCH(M139, Variablen!$A:$A, 0), MATCH((YEAR(D139)+12), Variablen!$I$3:$AT$3, 0))="",L139,INDEX(Variablen!$I:$AT, MATCH(M139, Variablen!$A:$A, 0), MATCH((YEAR(D139)+12), Variablen!$I$3:$AT$3, 0))),L139)))*(IF((YEAR(D139)+12)&lt;YEAR(E139),0,IF((YEAR(D139)+12)&gt;YEAR(E139),1,(12-MONTH(E139)+1)/12))) + (Q139)*(IF((YEAR(D139)+12)&lt;YEAR(E139),0,IF((YEAR(D139)+12)&gt;YEAR(E139),1,(12-MONTH(E139)+1)/12))))-((P139)*(IF((YEAR(D139)+12)&lt;YEAR(E139),0,IF((YEAR(D139)+12)&gt;YEAR(E139),1,(12-MONTH(E139)+1)/12))) + (R139)*(IF((YEAR(D139)+12)&lt;YEAR(E139),0,IF((YEAR(D139)+12)&gt;YEAR(E139),1,(12-MONTH(E139)+1)/12))))-(IF((((K139)*(IF(M139="",L139,IFERROR(IF(INDEX(Variablen!$I:$AT, MATCH(M139, Variablen!$A:$A, 0), MATCH((YEAR(D139)+12), Variablen!$I$3:$AT$3, 0))="",L139,INDEX(Variablen!$I:$AT, MATCH(M139, Variablen!$A:$A, 0), MATCH((YEAR(D139)+12), Variablen!$I$3:$AT$3, 0))),L139)))*(IF((YEAR(D139)+12)&lt;YEAR(E139),0,IF((YEAR(D139)+12)&gt;YEAR(E139),1,(12-MONTH(E139)+1)/12))) + (Q139)*(IF((YEAR(D139)+12)&lt;YEAR(E139),0,IF((YEAR(D139)+12)&gt;YEAR(E139),1,(12-MONTH(E139)+1)/12))))-((P139)*(IF((YEAR(D139)+12)&lt;YEAR(E139),0,IF((YEAR(D139)+12)&gt;YEAR(E139),1,(12-MONTH(E139)+1)/12))) + (R139)*(IF((YEAR(D139)+12)&lt;YEAR(E139),0,IF((YEAR(D139)+12)&gt;YEAR(E139),1,(12-MONTH(E139)+1)/12))))-(IF(OR(N139="",N139&lt;=0),0,(O139/N139)*(IF(OR(N139="",N139&lt;=0),0,IF((YEAR(D139)+12)&lt;YEAR(E139),0,IF((YEAR(D139)+12)&gt;=YEAR(E139)+N139,0,IF((YEAR(D139)+12)=YEAR(E139),(12-MONTH(E139)+1)/12,1))))))))&gt;0,(((K139)*(IF(M139="",L139,IFERROR(IF(INDEX(Variablen!$I:$AT, MATCH(M139, Variablen!$A:$A, 0), MATCH((YEAR(D139)+12), Variablen!$I$3:$AT$3, 0))="",L139,INDEX(Variablen!$I:$AT, MATCH(M139, Variablen!$A:$A, 0), MATCH((YEAR(D139)+12), Variablen!$I$3:$AT$3, 0))),L139)))*(IF((YEAR(D139)+12)&lt;YEAR(E139),0,IF((YEAR(D139)+12)&gt;YEAR(E139),1,(12-MONTH(E139)+1)/12))) + (Q139)*(IF((YEAR(D139)+12)&lt;YEAR(E139),0,IF((YEAR(D139)+12)&gt;YEAR(E139),1,(12-MONTH(E139)+1)/12))))-((P139)*(IF((YEAR(D139)+12)&lt;YEAR(E139),0,IF((YEAR(D139)+12)&gt;YEAR(E139),1,(12-MONTH(E139)+1)/12))) + (R139)*(IF((YEAR(D139)+12)&lt;YEAR(E139),0,IF((YEAR(D139)+12)&gt;YEAR(E139),1,(12-MONTH(E139)+1)/12))))-(IF(OR(N139="",N139&lt;=0),0,(O139/N139)*(IF(OR(N139="",N139&lt;=0),0,IF((YEAR(D139)+12)&lt;YEAR(E139),0,IF((YEAR(D139)+12)&gt;=YEAR(E139)+N139,0,IF((YEAR(D139)+12)=YEAR(E139),(12-MONTH(E139)+1)/12,1))))))))*TaxRate,0))-IF(12=0,O139,0))</f>
        <v/>
      </c>
      <c r="AF139" s="29">
        <f>IF(A139="","",((K139)*(IF(M139="",L139,IFERROR(IF(INDEX(Variablen!$I:$AT, MATCH(M139, Variablen!$A:$A, 0), MATCH((YEAR(D139)+13), Variablen!$I$3:$AT$3, 0))="",L139,INDEX(Variablen!$I:$AT, MATCH(M139, Variablen!$A:$A, 0), MATCH((YEAR(D139)+13), Variablen!$I$3:$AT$3, 0))),L139)))*(IF((YEAR(D139)+13)&lt;YEAR(E139),0,IF((YEAR(D139)+13)&gt;YEAR(E139),1,(12-MONTH(E139)+1)/12))) + (Q139)*(IF((YEAR(D139)+13)&lt;YEAR(E139),0,IF((YEAR(D139)+13)&gt;YEAR(E139),1,(12-MONTH(E139)+1)/12))))-((P139)*(IF((YEAR(D139)+13)&lt;YEAR(E139),0,IF((YEAR(D139)+13)&gt;YEAR(E139),1,(12-MONTH(E139)+1)/12))) + (R139)*(IF((YEAR(D139)+13)&lt;YEAR(E139),0,IF((YEAR(D139)+13)&gt;YEAR(E139),1,(12-MONTH(E139)+1)/12))))-(IF((((K139)*(IF(M139="",L139,IFERROR(IF(INDEX(Variablen!$I:$AT, MATCH(M139, Variablen!$A:$A, 0), MATCH((YEAR(D139)+13), Variablen!$I$3:$AT$3, 0))="",L139,INDEX(Variablen!$I:$AT, MATCH(M139, Variablen!$A:$A, 0), MATCH((YEAR(D139)+13), Variablen!$I$3:$AT$3, 0))),L139)))*(IF((YEAR(D139)+13)&lt;YEAR(E139),0,IF((YEAR(D139)+13)&gt;YEAR(E139),1,(12-MONTH(E139)+1)/12))) + (Q139)*(IF((YEAR(D139)+13)&lt;YEAR(E139),0,IF((YEAR(D139)+13)&gt;YEAR(E139),1,(12-MONTH(E139)+1)/12))))-((P139)*(IF((YEAR(D139)+13)&lt;YEAR(E139),0,IF((YEAR(D139)+13)&gt;YEAR(E139),1,(12-MONTH(E139)+1)/12))) + (R139)*(IF((YEAR(D139)+13)&lt;YEAR(E139),0,IF((YEAR(D139)+13)&gt;YEAR(E139),1,(12-MONTH(E139)+1)/12))))-(IF(OR(N139="",N139&lt;=0),0,(O139/N139)*(IF(OR(N139="",N139&lt;=0),0,IF((YEAR(D139)+13)&lt;YEAR(E139),0,IF((YEAR(D139)+13)&gt;=YEAR(E139)+N139,0,IF((YEAR(D139)+13)=YEAR(E139),(12-MONTH(E139)+1)/12,1))))))))&gt;0,(((K139)*(IF(M139="",L139,IFERROR(IF(INDEX(Variablen!$I:$AT, MATCH(M139, Variablen!$A:$A, 0), MATCH((YEAR(D139)+13), Variablen!$I$3:$AT$3, 0))="",L139,INDEX(Variablen!$I:$AT, MATCH(M139, Variablen!$A:$A, 0), MATCH((YEAR(D139)+13), Variablen!$I$3:$AT$3, 0))),L139)))*(IF((YEAR(D139)+13)&lt;YEAR(E139),0,IF((YEAR(D139)+13)&gt;YEAR(E139),1,(12-MONTH(E139)+1)/12))) + (Q139)*(IF((YEAR(D139)+13)&lt;YEAR(E139),0,IF((YEAR(D139)+13)&gt;YEAR(E139),1,(12-MONTH(E139)+1)/12))))-((P139)*(IF((YEAR(D139)+13)&lt;YEAR(E139),0,IF((YEAR(D139)+13)&gt;YEAR(E139),1,(12-MONTH(E139)+1)/12))) + (R139)*(IF((YEAR(D139)+13)&lt;YEAR(E139),0,IF((YEAR(D139)+13)&gt;YEAR(E139),1,(12-MONTH(E139)+1)/12))))-(IF(OR(N139="",N139&lt;=0),0,(O139/N139)*(IF(OR(N139="",N139&lt;=0),0,IF((YEAR(D139)+13)&lt;YEAR(E139),0,IF((YEAR(D139)+13)&gt;=YEAR(E139)+N139,0,IF((YEAR(D139)+13)=YEAR(E139),(12-MONTH(E139)+1)/12,1))))))))*TaxRate,0))-IF(13=0,O139,0))</f>
        <v/>
      </c>
      <c r="AG139" s="29">
        <f>IF(A139="","",((K139)*(IF(M139="",L139,IFERROR(IF(INDEX(Variablen!$I:$AT, MATCH(M139, Variablen!$A:$A, 0), MATCH((YEAR(D139)+14), Variablen!$I$3:$AT$3, 0))="",L139,INDEX(Variablen!$I:$AT, MATCH(M139, Variablen!$A:$A, 0), MATCH((YEAR(D139)+14), Variablen!$I$3:$AT$3, 0))),L139)))*(IF((YEAR(D139)+14)&lt;YEAR(E139),0,IF((YEAR(D139)+14)&gt;YEAR(E139),1,(12-MONTH(E139)+1)/12))) + (Q139)*(IF((YEAR(D139)+14)&lt;YEAR(E139),0,IF((YEAR(D139)+14)&gt;YEAR(E139),1,(12-MONTH(E139)+1)/12))))-((P139)*(IF((YEAR(D139)+14)&lt;YEAR(E139),0,IF((YEAR(D139)+14)&gt;YEAR(E139),1,(12-MONTH(E139)+1)/12))) + (R139)*(IF((YEAR(D139)+14)&lt;YEAR(E139),0,IF((YEAR(D139)+14)&gt;YEAR(E139),1,(12-MONTH(E139)+1)/12))))-(IF((((K139)*(IF(M139="",L139,IFERROR(IF(INDEX(Variablen!$I:$AT, MATCH(M139, Variablen!$A:$A, 0), MATCH((YEAR(D139)+14), Variablen!$I$3:$AT$3, 0))="",L139,INDEX(Variablen!$I:$AT, MATCH(M139, Variablen!$A:$A, 0), MATCH((YEAR(D139)+14), Variablen!$I$3:$AT$3, 0))),L139)))*(IF((YEAR(D139)+14)&lt;YEAR(E139),0,IF((YEAR(D139)+14)&gt;YEAR(E139),1,(12-MONTH(E139)+1)/12))) + (Q139)*(IF((YEAR(D139)+14)&lt;YEAR(E139),0,IF((YEAR(D139)+14)&gt;YEAR(E139),1,(12-MONTH(E139)+1)/12))))-((P139)*(IF((YEAR(D139)+14)&lt;YEAR(E139),0,IF((YEAR(D139)+14)&gt;YEAR(E139),1,(12-MONTH(E139)+1)/12))) + (R139)*(IF((YEAR(D139)+14)&lt;YEAR(E139),0,IF((YEAR(D139)+14)&gt;YEAR(E139),1,(12-MONTH(E139)+1)/12))))-(IF(OR(N139="",N139&lt;=0),0,(O139/N139)*(IF(OR(N139="",N139&lt;=0),0,IF((YEAR(D139)+14)&lt;YEAR(E139),0,IF((YEAR(D139)+14)&gt;=YEAR(E139)+N139,0,IF((YEAR(D139)+14)=YEAR(E139),(12-MONTH(E139)+1)/12,1))))))))&gt;0,(((K139)*(IF(M139="",L139,IFERROR(IF(INDEX(Variablen!$I:$AT, MATCH(M139, Variablen!$A:$A, 0), MATCH((YEAR(D139)+14), Variablen!$I$3:$AT$3, 0))="",L139,INDEX(Variablen!$I:$AT, MATCH(M139, Variablen!$A:$A, 0), MATCH((YEAR(D139)+14), Variablen!$I$3:$AT$3, 0))),L139)))*(IF((YEAR(D139)+14)&lt;YEAR(E139),0,IF((YEAR(D139)+14)&gt;YEAR(E139),1,(12-MONTH(E139)+1)/12))) + (Q139)*(IF((YEAR(D139)+14)&lt;YEAR(E139),0,IF((YEAR(D139)+14)&gt;YEAR(E139),1,(12-MONTH(E139)+1)/12))))-((P139)*(IF((YEAR(D139)+14)&lt;YEAR(E139),0,IF((YEAR(D139)+14)&gt;YEAR(E139),1,(12-MONTH(E139)+1)/12))) + (R139)*(IF((YEAR(D139)+14)&lt;YEAR(E139),0,IF((YEAR(D139)+14)&gt;YEAR(E139),1,(12-MONTH(E139)+1)/12))))-(IF(OR(N139="",N139&lt;=0),0,(O139/N139)*(IF(OR(N139="",N139&lt;=0),0,IF((YEAR(D139)+14)&lt;YEAR(E139),0,IF((YEAR(D139)+14)&gt;=YEAR(E139)+N139,0,IF((YEAR(D139)+14)=YEAR(E139),(12-MONTH(E139)+1)/12,1))))))))*TaxRate,0))-IF(14=0,O139,0))</f>
        <v/>
      </c>
      <c r="AH139" s="29">
        <f>IF(A139="","",((K139)*(IF(M139="",L139,IFERROR(IF(INDEX(Variablen!$I:$AT, MATCH(M139, Variablen!$A:$A, 0), MATCH((YEAR(D139)+15), Variablen!$I$3:$AT$3, 0))="",L139,INDEX(Variablen!$I:$AT, MATCH(M139, Variablen!$A:$A, 0), MATCH((YEAR(D139)+15), Variablen!$I$3:$AT$3, 0))),L139)))*(IF((YEAR(D139)+15)&lt;YEAR(E139),0,IF((YEAR(D139)+15)&gt;YEAR(E139),1,(12-MONTH(E139)+1)/12))) + (Q139)*(IF((YEAR(D139)+15)&lt;YEAR(E139),0,IF((YEAR(D139)+15)&gt;YEAR(E139),1,(12-MONTH(E139)+1)/12))))-((P139)*(IF((YEAR(D139)+15)&lt;YEAR(E139),0,IF((YEAR(D139)+15)&gt;YEAR(E139),1,(12-MONTH(E139)+1)/12))) + (R139)*(IF((YEAR(D139)+15)&lt;YEAR(E139),0,IF((YEAR(D139)+15)&gt;YEAR(E139),1,(12-MONTH(E139)+1)/12))))-(IF((((K139)*(IF(M139="",L139,IFERROR(IF(INDEX(Variablen!$I:$AT, MATCH(M139, Variablen!$A:$A, 0), MATCH((YEAR(D139)+15), Variablen!$I$3:$AT$3, 0))="",L139,INDEX(Variablen!$I:$AT, MATCH(M139, Variablen!$A:$A, 0), MATCH((YEAR(D139)+15), Variablen!$I$3:$AT$3, 0))),L139)))*(IF((YEAR(D139)+15)&lt;YEAR(E139),0,IF((YEAR(D139)+15)&gt;YEAR(E139),1,(12-MONTH(E139)+1)/12))) + (Q139)*(IF((YEAR(D139)+15)&lt;YEAR(E139),0,IF((YEAR(D139)+15)&gt;YEAR(E139),1,(12-MONTH(E139)+1)/12))))-((P139)*(IF((YEAR(D139)+15)&lt;YEAR(E139),0,IF((YEAR(D139)+15)&gt;YEAR(E139),1,(12-MONTH(E139)+1)/12))) + (R139)*(IF((YEAR(D139)+15)&lt;YEAR(E139),0,IF((YEAR(D139)+15)&gt;YEAR(E139),1,(12-MONTH(E139)+1)/12))))-(IF(OR(N139="",N139&lt;=0),0,(O139/N139)*(IF(OR(N139="",N139&lt;=0),0,IF((YEAR(D139)+15)&lt;YEAR(E139),0,IF((YEAR(D139)+15)&gt;=YEAR(E139)+N139,0,IF((YEAR(D139)+15)=YEAR(E139),(12-MONTH(E139)+1)/12,1))))))))&gt;0,(((K139)*(IF(M139="",L139,IFERROR(IF(INDEX(Variablen!$I:$AT, MATCH(M139, Variablen!$A:$A, 0), MATCH((YEAR(D139)+15), Variablen!$I$3:$AT$3, 0))="",L139,INDEX(Variablen!$I:$AT, MATCH(M139, Variablen!$A:$A, 0), MATCH((YEAR(D139)+15), Variablen!$I$3:$AT$3, 0))),L139)))*(IF((YEAR(D139)+15)&lt;YEAR(E139),0,IF((YEAR(D139)+15)&gt;YEAR(E139),1,(12-MONTH(E139)+1)/12))) + (Q139)*(IF((YEAR(D139)+15)&lt;YEAR(E139),0,IF((YEAR(D139)+15)&gt;YEAR(E139),1,(12-MONTH(E139)+1)/12))))-((P139)*(IF((YEAR(D139)+15)&lt;YEAR(E139),0,IF((YEAR(D139)+15)&gt;YEAR(E139),1,(12-MONTH(E139)+1)/12))) + (R139)*(IF((YEAR(D139)+15)&lt;YEAR(E139),0,IF((YEAR(D139)+15)&gt;YEAR(E139),1,(12-MONTH(E139)+1)/12))))-(IF(OR(N139="",N139&lt;=0),0,(O139/N139)*(IF(OR(N139="",N139&lt;=0),0,IF((YEAR(D139)+15)&lt;YEAR(E139),0,IF((YEAR(D139)+15)&gt;=YEAR(E139)+N139,0,IF((YEAR(D139)+15)=YEAR(E139),(12-MONTH(E139)+1)/12,1))))))))*TaxRate,0))-IF(15=0,O139,0))</f>
        <v/>
      </c>
      <c r="AI139" s="29">
        <f>IF(A139="","",((K139)*(IF(M139="",L139,IFERROR(IF(INDEX(Variablen!$I:$AT, MATCH(M139, Variablen!$A:$A, 0), MATCH((YEAR(D139)+16), Variablen!$I$3:$AT$3, 0))="",L139,INDEX(Variablen!$I:$AT, MATCH(M139, Variablen!$A:$A, 0), MATCH((YEAR(D139)+16), Variablen!$I$3:$AT$3, 0))),L139)))*(IF((YEAR(D139)+16)&lt;YEAR(E139),0,IF((YEAR(D139)+16)&gt;YEAR(E139),1,(12-MONTH(E139)+1)/12))) + (Q139)*(IF((YEAR(D139)+16)&lt;YEAR(E139),0,IF((YEAR(D139)+16)&gt;YEAR(E139),1,(12-MONTH(E139)+1)/12))))-((P139)*(IF((YEAR(D139)+16)&lt;YEAR(E139),0,IF((YEAR(D139)+16)&gt;YEAR(E139),1,(12-MONTH(E139)+1)/12))) + (R139)*(IF((YEAR(D139)+16)&lt;YEAR(E139),0,IF((YEAR(D139)+16)&gt;YEAR(E139),1,(12-MONTH(E139)+1)/12))))-(IF((((K139)*(IF(M139="",L139,IFERROR(IF(INDEX(Variablen!$I:$AT, MATCH(M139, Variablen!$A:$A, 0), MATCH((YEAR(D139)+16), Variablen!$I$3:$AT$3, 0))="",L139,INDEX(Variablen!$I:$AT, MATCH(M139, Variablen!$A:$A, 0), MATCH((YEAR(D139)+16), Variablen!$I$3:$AT$3, 0))),L139)))*(IF((YEAR(D139)+16)&lt;YEAR(E139),0,IF((YEAR(D139)+16)&gt;YEAR(E139),1,(12-MONTH(E139)+1)/12))) + (Q139)*(IF((YEAR(D139)+16)&lt;YEAR(E139),0,IF((YEAR(D139)+16)&gt;YEAR(E139),1,(12-MONTH(E139)+1)/12))))-((P139)*(IF((YEAR(D139)+16)&lt;YEAR(E139),0,IF((YEAR(D139)+16)&gt;YEAR(E139),1,(12-MONTH(E139)+1)/12))) + (R139)*(IF((YEAR(D139)+16)&lt;YEAR(E139),0,IF((YEAR(D139)+16)&gt;YEAR(E139),1,(12-MONTH(E139)+1)/12))))-(IF(OR(N139="",N139&lt;=0),0,(O139/N139)*(IF(OR(N139="",N139&lt;=0),0,IF((YEAR(D139)+16)&lt;YEAR(E139),0,IF((YEAR(D139)+16)&gt;=YEAR(E139)+N139,0,IF((YEAR(D139)+16)=YEAR(E139),(12-MONTH(E139)+1)/12,1))))))))&gt;0,(((K139)*(IF(M139="",L139,IFERROR(IF(INDEX(Variablen!$I:$AT, MATCH(M139, Variablen!$A:$A, 0), MATCH((YEAR(D139)+16), Variablen!$I$3:$AT$3, 0))="",L139,INDEX(Variablen!$I:$AT, MATCH(M139, Variablen!$A:$A, 0), MATCH((YEAR(D139)+16), Variablen!$I$3:$AT$3, 0))),L139)))*(IF((YEAR(D139)+16)&lt;YEAR(E139),0,IF((YEAR(D139)+16)&gt;YEAR(E139),1,(12-MONTH(E139)+1)/12))) + (Q139)*(IF((YEAR(D139)+16)&lt;YEAR(E139),0,IF((YEAR(D139)+16)&gt;YEAR(E139),1,(12-MONTH(E139)+1)/12))))-((P139)*(IF((YEAR(D139)+16)&lt;YEAR(E139),0,IF((YEAR(D139)+16)&gt;YEAR(E139),1,(12-MONTH(E139)+1)/12))) + (R139)*(IF((YEAR(D139)+16)&lt;YEAR(E139),0,IF((YEAR(D139)+16)&gt;YEAR(E139),1,(12-MONTH(E139)+1)/12))))-(IF(OR(N139="",N139&lt;=0),0,(O139/N139)*(IF(OR(N139="",N139&lt;=0),0,IF((YEAR(D139)+16)&lt;YEAR(E139),0,IF((YEAR(D139)+16)&gt;=YEAR(E139)+N139,0,IF((YEAR(D139)+16)=YEAR(E139),(12-MONTH(E139)+1)/12,1))))))))*TaxRate,0))-IF(16=0,O139,0))</f>
        <v/>
      </c>
      <c r="AJ139" s="29">
        <f>IF(A139="","",((K139)*(IF(M139="",L139,IFERROR(IF(INDEX(Variablen!$I:$AT, MATCH(M139, Variablen!$A:$A, 0), MATCH((YEAR(D139)+17), Variablen!$I$3:$AT$3, 0))="",L139,INDEX(Variablen!$I:$AT, MATCH(M139, Variablen!$A:$A, 0), MATCH((YEAR(D139)+17), Variablen!$I$3:$AT$3, 0))),L139)))*(IF((YEAR(D139)+17)&lt;YEAR(E139),0,IF((YEAR(D139)+17)&gt;YEAR(E139),1,(12-MONTH(E139)+1)/12))) + (Q139)*(IF((YEAR(D139)+17)&lt;YEAR(E139),0,IF((YEAR(D139)+17)&gt;YEAR(E139),1,(12-MONTH(E139)+1)/12))))-((P139)*(IF((YEAR(D139)+17)&lt;YEAR(E139),0,IF((YEAR(D139)+17)&gt;YEAR(E139),1,(12-MONTH(E139)+1)/12))) + (R139)*(IF((YEAR(D139)+17)&lt;YEAR(E139),0,IF((YEAR(D139)+17)&gt;YEAR(E139),1,(12-MONTH(E139)+1)/12))))-(IF((((K139)*(IF(M139="",L139,IFERROR(IF(INDEX(Variablen!$I:$AT, MATCH(M139, Variablen!$A:$A, 0), MATCH((YEAR(D139)+17), Variablen!$I$3:$AT$3, 0))="",L139,INDEX(Variablen!$I:$AT, MATCH(M139, Variablen!$A:$A, 0), MATCH((YEAR(D139)+17), Variablen!$I$3:$AT$3, 0))),L139)))*(IF((YEAR(D139)+17)&lt;YEAR(E139),0,IF((YEAR(D139)+17)&gt;YEAR(E139),1,(12-MONTH(E139)+1)/12))) + (Q139)*(IF((YEAR(D139)+17)&lt;YEAR(E139),0,IF((YEAR(D139)+17)&gt;YEAR(E139),1,(12-MONTH(E139)+1)/12))))-((P139)*(IF((YEAR(D139)+17)&lt;YEAR(E139),0,IF((YEAR(D139)+17)&gt;YEAR(E139),1,(12-MONTH(E139)+1)/12))) + (R139)*(IF((YEAR(D139)+17)&lt;YEAR(E139),0,IF((YEAR(D139)+17)&gt;YEAR(E139),1,(12-MONTH(E139)+1)/12))))-(IF(OR(N139="",N139&lt;=0),0,(O139/N139)*(IF(OR(N139="",N139&lt;=0),0,IF((YEAR(D139)+17)&lt;YEAR(E139),0,IF((YEAR(D139)+17)&gt;=YEAR(E139)+N139,0,IF((YEAR(D139)+17)=YEAR(E139),(12-MONTH(E139)+1)/12,1))))))))&gt;0,(((K139)*(IF(M139="",L139,IFERROR(IF(INDEX(Variablen!$I:$AT, MATCH(M139, Variablen!$A:$A, 0), MATCH((YEAR(D139)+17), Variablen!$I$3:$AT$3, 0))="",L139,INDEX(Variablen!$I:$AT, MATCH(M139, Variablen!$A:$A, 0), MATCH((YEAR(D139)+17), Variablen!$I$3:$AT$3, 0))),L139)))*(IF((YEAR(D139)+17)&lt;YEAR(E139),0,IF((YEAR(D139)+17)&gt;YEAR(E139),1,(12-MONTH(E139)+1)/12))) + (Q139)*(IF((YEAR(D139)+17)&lt;YEAR(E139),0,IF((YEAR(D139)+17)&gt;YEAR(E139),1,(12-MONTH(E139)+1)/12))))-((P139)*(IF((YEAR(D139)+17)&lt;YEAR(E139),0,IF((YEAR(D139)+17)&gt;YEAR(E139),1,(12-MONTH(E139)+1)/12))) + (R139)*(IF((YEAR(D139)+17)&lt;YEAR(E139),0,IF((YEAR(D139)+17)&gt;YEAR(E139),1,(12-MONTH(E139)+1)/12))))-(IF(OR(N139="",N139&lt;=0),0,(O139/N139)*(IF(OR(N139="",N139&lt;=0),0,IF((YEAR(D139)+17)&lt;YEAR(E139),0,IF((YEAR(D139)+17)&gt;=YEAR(E139)+N139,0,IF((YEAR(D139)+17)=YEAR(E139),(12-MONTH(E139)+1)/12,1))))))))*TaxRate,0))-IF(17=0,O139,0))</f>
        <v/>
      </c>
      <c r="AK139" s="29">
        <f>IF(A139="","",((K139)*(IF(M139="",L139,IFERROR(IF(INDEX(Variablen!$I:$AT, MATCH(M139, Variablen!$A:$A, 0), MATCH((YEAR(D139)+18), Variablen!$I$3:$AT$3, 0))="",L139,INDEX(Variablen!$I:$AT, MATCH(M139, Variablen!$A:$A, 0), MATCH((YEAR(D139)+18), Variablen!$I$3:$AT$3, 0))),L139)))*(IF((YEAR(D139)+18)&lt;YEAR(E139),0,IF((YEAR(D139)+18)&gt;YEAR(E139),1,(12-MONTH(E139)+1)/12))) + (Q139)*(IF((YEAR(D139)+18)&lt;YEAR(E139),0,IF((YEAR(D139)+18)&gt;YEAR(E139),1,(12-MONTH(E139)+1)/12))))-((P139)*(IF((YEAR(D139)+18)&lt;YEAR(E139),0,IF((YEAR(D139)+18)&gt;YEAR(E139),1,(12-MONTH(E139)+1)/12))) + (R139)*(IF((YEAR(D139)+18)&lt;YEAR(E139),0,IF((YEAR(D139)+18)&gt;YEAR(E139),1,(12-MONTH(E139)+1)/12))))-(IF((((K139)*(IF(M139="",L139,IFERROR(IF(INDEX(Variablen!$I:$AT, MATCH(M139, Variablen!$A:$A, 0), MATCH((YEAR(D139)+18), Variablen!$I$3:$AT$3, 0))="",L139,INDEX(Variablen!$I:$AT, MATCH(M139, Variablen!$A:$A, 0), MATCH((YEAR(D139)+18), Variablen!$I$3:$AT$3, 0))),L139)))*(IF((YEAR(D139)+18)&lt;YEAR(E139),0,IF((YEAR(D139)+18)&gt;YEAR(E139),1,(12-MONTH(E139)+1)/12))) + (Q139)*(IF((YEAR(D139)+18)&lt;YEAR(E139),0,IF((YEAR(D139)+18)&gt;YEAR(E139),1,(12-MONTH(E139)+1)/12))))-((P139)*(IF((YEAR(D139)+18)&lt;YEAR(E139),0,IF((YEAR(D139)+18)&gt;YEAR(E139),1,(12-MONTH(E139)+1)/12))) + (R139)*(IF((YEAR(D139)+18)&lt;YEAR(E139),0,IF((YEAR(D139)+18)&gt;YEAR(E139),1,(12-MONTH(E139)+1)/12))))-(IF(OR(N139="",N139&lt;=0),0,(O139/N139)*(IF(OR(N139="",N139&lt;=0),0,IF((YEAR(D139)+18)&lt;YEAR(E139),0,IF((YEAR(D139)+18)&gt;=YEAR(E139)+N139,0,IF((YEAR(D139)+18)=YEAR(E139),(12-MONTH(E139)+1)/12,1))))))))&gt;0,(((K139)*(IF(M139="",L139,IFERROR(IF(INDEX(Variablen!$I:$AT, MATCH(M139, Variablen!$A:$A, 0), MATCH((YEAR(D139)+18), Variablen!$I$3:$AT$3, 0))="",L139,INDEX(Variablen!$I:$AT, MATCH(M139, Variablen!$A:$A, 0), MATCH((YEAR(D139)+18), Variablen!$I$3:$AT$3, 0))),L139)))*(IF((YEAR(D139)+18)&lt;YEAR(E139),0,IF((YEAR(D139)+18)&gt;YEAR(E139),1,(12-MONTH(E139)+1)/12))) + (Q139)*(IF((YEAR(D139)+18)&lt;YEAR(E139),0,IF((YEAR(D139)+18)&gt;YEAR(E139),1,(12-MONTH(E139)+1)/12))))-((P139)*(IF((YEAR(D139)+18)&lt;YEAR(E139),0,IF((YEAR(D139)+18)&gt;YEAR(E139),1,(12-MONTH(E139)+1)/12))) + (R139)*(IF((YEAR(D139)+18)&lt;YEAR(E139),0,IF((YEAR(D139)+18)&gt;YEAR(E139),1,(12-MONTH(E139)+1)/12))))-(IF(OR(N139="",N139&lt;=0),0,(O139/N139)*(IF(OR(N139="",N139&lt;=0),0,IF((YEAR(D139)+18)&lt;YEAR(E139),0,IF((YEAR(D139)+18)&gt;=YEAR(E139)+N139,0,IF((YEAR(D139)+18)=YEAR(E139),(12-MONTH(E139)+1)/12,1))))))))*TaxRate,0))-IF(18=0,O139,0))</f>
        <v/>
      </c>
      <c r="AL139" s="29">
        <f>IF(A139="","",((K139)*(IF(M139="",L139,IFERROR(IF(INDEX(Variablen!$I:$AT, MATCH(M139, Variablen!$A:$A, 0), MATCH((YEAR(D139)+19), Variablen!$I$3:$AT$3, 0))="",L139,INDEX(Variablen!$I:$AT, MATCH(M139, Variablen!$A:$A, 0), MATCH((YEAR(D139)+19), Variablen!$I$3:$AT$3, 0))),L139)))*(IF((YEAR(D139)+19)&lt;YEAR(E139),0,IF((YEAR(D139)+19)&gt;YEAR(E139),1,(12-MONTH(E139)+1)/12))) + (Q139)*(IF((YEAR(D139)+19)&lt;YEAR(E139),0,IF((YEAR(D139)+19)&gt;YEAR(E139),1,(12-MONTH(E139)+1)/12))))-((P139)*(IF((YEAR(D139)+19)&lt;YEAR(E139),0,IF((YEAR(D139)+19)&gt;YEAR(E139),1,(12-MONTH(E139)+1)/12))) + (R139)*(IF((YEAR(D139)+19)&lt;YEAR(E139),0,IF((YEAR(D139)+19)&gt;YEAR(E139),1,(12-MONTH(E139)+1)/12))))-(IF((((K139)*(IF(M139="",L139,IFERROR(IF(INDEX(Variablen!$I:$AT, MATCH(M139, Variablen!$A:$A, 0), MATCH((YEAR(D139)+19), Variablen!$I$3:$AT$3, 0))="",L139,INDEX(Variablen!$I:$AT, MATCH(M139, Variablen!$A:$A, 0), MATCH((YEAR(D139)+19), Variablen!$I$3:$AT$3, 0))),L139)))*(IF((YEAR(D139)+19)&lt;YEAR(E139),0,IF((YEAR(D139)+19)&gt;YEAR(E139),1,(12-MONTH(E139)+1)/12))) + (Q139)*(IF((YEAR(D139)+19)&lt;YEAR(E139),0,IF((YEAR(D139)+19)&gt;YEAR(E139),1,(12-MONTH(E139)+1)/12))))-((P139)*(IF((YEAR(D139)+19)&lt;YEAR(E139),0,IF((YEAR(D139)+19)&gt;YEAR(E139),1,(12-MONTH(E139)+1)/12))) + (R139)*(IF((YEAR(D139)+19)&lt;YEAR(E139),0,IF((YEAR(D139)+19)&gt;YEAR(E139),1,(12-MONTH(E139)+1)/12))))-(IF(OR(N139="",N139&lt;=0),0,(O139/N139)*(IF(OR(N139="",N139&lt;=0),0,IF((YEAR(D139)+19)&lt;YEAR(E139),0,IF((YEAR(D139)+19)&gt;=YEAR(E139)+N139,0,IF((YEAR(D139)+19)=YEAR(E139),(12-MONTH(E139)+1)/12,1))))))))&gt;0,(((K139)*(IF(M139="",L139,IFERROR(IF(INDEX(Variablen!$I:$AT, MATCH(M139, Variablen!$A:$A, 0), MATCH((YEAR(D139)+19), Variablen!$I$3:$AT$3, 0))="",L139,INDEX(Variablen!$I:$AT, MATCH(M139, Variablen!$A:$A, 0), MATCH((YEAR(D139)+19), Variablen!$I$3:$AT$3, 0))),L139)))*(IF((YEAR(D139)+19)&lt;YEAR(E139),0,IF((YEAR(D139)+19)&gt;YEAR(E139),1,(12-MONTH(E139)+1)/12))) + (Q139)*(IF((YEAR(D139)+19)&lt;YEAR(E139),0,IF((YEAR(D139)+19)&gt;YEAR(E139),1,(12-MONTH(E139)+1)/12))))-((P139)*(IF((YEAR(D139)+19)&lt;YEAR(E139),0,IF((YEAR(D139)+19)&gt;YEAR(E139),1,(12-MONTH(E139)+1)/12))) + (R139)*(IF((YEAR(D139)+19)&lt;YEAR(E139),0,IF((YEAR(D139)+19)&gt;YEAR(E139),1,(12-MONTH(E139)+1)/12))))-(IF(OR(N139="",N139&lt;=0),0,(O139/N139)*(IF(OR(N139="",N139&lt;=0),0,IF((YEAR(D139)+19)&lt;YEAR(E139),0,IF((YEAR(D139)+19)&gt;=YEAR(E139)+N139,0,IF((YEAR(D139)+19)=YEAR(E139),(12-MONTH(E139)+1)/12,1))))))))*TaxRate,0))-IF(19=0,O139,0))</f>
        <v/>
      </c>
      <c r="AM139" s="29">
        <f>IF(A139="","",((K139)*(IF(M139="",L139,IFERROR(IF(INDEX(Variablen!$I:$AT, MATCH(M139, Variablen!$A:$A, 0), MATCH((YEAR(D139)+20), Variablen!$I$3:$AT$3, 0))="",L139,INDEX(Variablen!$I:$AT, MATCH(M139, Variablen!$A:$A, 0), MATCH((YEAR(D139)+20), Variablen!$I$3:$AT$3, 0))),L139)))*(IF((YEAR(D139)+20)&lt;YEAR(E139),0,IF((YEAR(D139)+20)&gt;YEAR(E139),1,(12-MONTH(E139)+1)/12))) + (Q139)*(IF((YEAR(D139)+20)&lt;YEAR(E139),0,IF((YEAR(D139)+20)&gt;YEAR(E139),1,(12-MONTH(E139)+1)/12))))-((P139)*(IF((YEAR(D139)+20)&lt;YEAR(E139),0,IF((YEAR(D139)+20)&gt;YEAR(E139),1,(12-MONTH(E139)+1)/12))) + (R139)*(IF((YEAR(D139)+20)&lt;YEAR(E139),0,IF((YEAR(D139)+20)&gt;YEAR(E139),1,(12-MONTH(E139)+1)/12))))-(IF((((K139)*(IF(M139="",L139,IFERROR(IF(INDEX(Variablen!$I:$AT, MATCH(M139, Variablen!$A:$A, 0), MATCH((YEAR(D139)+20), Variablen!$I$3:$AT$3, 0))="",L139,INDEX(Variablen!$I:$AT, MATCH(M139, Variablen!$A:$A, 0), MATCH((YEAR(D139)+20), Variablen!$I$3:$AT$3, 0))),L139)))*(IF((YEAR(D139)+20)&lt;YEAR(E139),0,IF((YEAR(D139)+20)&gt;YEAR(E139),1,(12-MONTH(E139)+1)/12))) + (Q139)*(IF((YEAR(D139)+20)&lt;YEAR(E139),0,IF((YEAR(D139)+20)&gt;YEAR(E139),1,(12-MONTH(E139)+1)/12))))-((P139)*(IF((YEAR(D139)+20)&lt;YEAR(E139),0,IF((YEAR(D139)+20)&gt;YEAR(E139),1,(12-MONTH(E139)+1)/12))) + (R139)*(IF((YEAR(D139)+20)&lt;YEAR(E139),0,IF((YEAR(D139)+20)&gt;YEAR(E139),1,(12-MONTH(E139)+1)/12))))-(IF(OR(N139="",N139&lt;=0),0,(O139/N139)*(IF(OR(N139="",N139&lt;=0),0,IF((YEAR(D139)+20)&lt;YEAR(E139),0,IF((YEAR(D139)+20)&gt;=YEAR(E139)+N139,0,IF((YEAR(D139)+20)=YEAR(E139),(12-MONTH(E139)+1)/12,1))))))))&gt;0,(((K139)*(IF(M139="",L139,IFERROR(IF(INDEX(Variablen!$I:$AT, MATCH(M139, Variablen!$A:$A, 0), MATCH((YEAR(D139)+20), Variablen!$I$3:$AT$3, 0))="",L139,INDEX(Variablen!$I:$AT, MATCH(M139, Variablen!$A:$A, 0), MATCH((YEAR(D139)+20), Variablen!$I$3:$AT$3, 0))),L139)))*(IF((YEAR(D139)+20)&lt;YEAR(E139),0,IF((YEAR(D139)+20)&gt;YEAR(E139),1,(12-MONTH(E139)+1)/12))) + (Q139)*(IF((YEAR(D139)+20)&lt;YEAR(E139),0,IF((YEAR(D139)+20)&gt;YEAR(E139),1,(12-MONTH(E139)+1)/12))))-((P139)*(IF((YEAR(D139)+20)&lt;YEAR(E139),0,IF((YEAR(D139)+20)&gt;YEAR(E139),1,(12-MONTH(E139)+1)/12))) + (R139)*(IF((YEAR(D139)+20)&lt;YEAR(E139),0,IF((YEAR(D139)+20)&gt;YEAR(E139),1,(12-MONTH(E139)+1)/12))))-(IF(OR(N139="",N139&lt;=0),0,(O139/N139)*(IF(OR(N139="",N139&lt;=0),0,IF((YEAR(D139)+20)&lt;YEAR(E139),0,IF((YEAR(D139)+20)&gt;=YEAR(E139)+N139,0,IF((YEAR(D139)+20)=YEAR(E139),(12-MONTH(E139)+1)/12,1))))))))*TaxRate,0))-IF(20=0,O139,0))</f>
        <v/>
      </c>
      <c r="AN139" s="29">
        <f>IF(A139="","",S139)</f>
        <v/>
      </c>
      <c r="AO139" s="29">
        <f>IF(A139="","",AN139+T139)</f>
        <v/>
      </c>
      <c r="AP139" s="29">
        <f>IF(A139="","",AO139+U139)</f>
        <v/>
      </c>
      <c r="AQ139" s="29">
        <f>IF(A139="","",AP139+V139)</f>
        <v/>
      </c>
      <c r="AR139" s="29">
        <f>IF(A139="","",AQ139+W139)</f>
        <v/>
      </c>
      <c r="AS139" s="29">
        <f>IF(A139="","",AR139+X139)</f>
        <v/>
      </c>
      <c r="AT139" s="29">
        <f>IF(A139="","",AS139+Y139)</f>
        <v/>
      </c>
      <c r="AU139" s="29">
        <f>IF(A139="","",AT139+Z139)</f>
        <v/>
      </c>
      <c r="AV139" s="29">
        <f>IF(A139="","",AU139+AA139)</f>
        <v/>
      </c>
      <c r="AW139" s="29">
        <f>IF(A139="","",AV139+AB139)</f>
        <v/>
      </c>
      <c r="AX139" s="29">
        <f>IF(A139="","",AW139+AC139)</f>
        <v/>
      </c>
      <c r="AY139" s="29">
        <f>IF(A139="","",AX139+AD139)</f>
        <v/>
      </c>
      <c r="AZ139" s="29">
        <f>IF(A139="","",AY139+AE139)</f>
        <v/>
      </c>
      <c r="BA139" s="29">
        <f>IF(A139="","",AZ139+AF139)</f>
        <v/>
      </c>
      <c r="BB139" s="29">
        <f>IF(A139="","",BA139+AG139)</f>
        <v/>
      </c>
      <c r="BC139" s="29">
        <f>IF(A139="","",BB139+AH139)</f>
        <v/>
      </c>
      <c r="BD139" s="29">
        <f>IF(A139="","",BC139+AI139)</f>
        <v/>
      </c>
      <c r="BE139" s="29">
        <f>IF(A139="","",BD139+AJ139)</f>
        <v/>
      </c>
      <c r="BF139" s="29">
        <f>IF(A139="","",BE139+AK139)</f>
        <v/>
      </c>
      <c r="BG139" s="29">
        <f>IF(A139="","",BF139+AL139)</f>
        <v/>
      </c>
      <c r="BH139" s="29">
        <f>IF(A139="","",BG139+AM139)</f>
        <v/>
      </c>
      <c r="BI139" s="36">
        <f>IF(A139="","",(K139)*(IF((YEAR(D139)+0)&lt;YEAR(E139),0,IF((YEAR(D139)+0)&gt;YEAR(E139),1,(12-MONTH(E139)+1)/12)))*(1/(1+DiscountRate)^0))</f>
        <v/>
      </c>
      <c r="BJ139" s="36">
        <f>IF(A139="","",(K139)*(IF((YEAR(D139)+1)&lt;YEAR(E139),0,IF((YEAR(D139)+1)&gt;YEAR(E139),1,(12-MONTH(E139)+1)/12)))*(1/(1+DiscountRate)^1))</f>
        <v/>
      </c>
      <c r="BK139" s="36">
        <f>IF(A139="","",(K139)*(IF((YEAR(D139)+2)&lt;YEAR(E139),0,IF((YEAR(D139)+2)&gt;YEAR(E139),1,(12-MONTH(E139)+1)/12)))*(1/(1+DiscountRate)^2))</f>
        <v/>
      </c>
      <c r="BL139" s="36">
        <f>IF(A139="","",(K139)*(IF((YEAR(D139)+3)&lt;YEAR(E139),0,IF((YEAR(D139)+3)&gt;YEAR(E139),1,(12-MONTH(E139)+1)/12)))*(1/(1+DiscountRate)^3))</f>
        <v/>
      </c>
      <c r="BM139" s="36">
        <f>IF(A139="","",(K139)*(IF((YEAR(D139)+4)&lt;YEAR(E139),0,IF((YEAR(D139)+4)&gt;YEAR(E139),1,(12-MONTH(E139)+1)/12)))*(1/(1+DiscountRate)^4))</f>
        <v/>
      </c>
      <c r="BN139" s="36">
        <f>IF(A139="","",(K139)*(IF((YEAR(D139)+5)&lt;YEAR(E139),0,IF((YEAR(D139)+5)&gt;YEAR(E139),1,(12-MONTH(E139)+1)/12)))*(1/(1+DiscountRate)^5))</f>
        <v/>
      </c>
      <c r="BO139" s="36">
        <f>IF(A139="","",(K139)*(IF((YEAR(D139)+6)&lt;YEAR(E139),0,IF((YEAR(D139)+6)&gt;YEAR(E139),1,(12-MONTH(E139)+1)/12)))*(1/(1+DiscountRate)^6))</f>
        <v/>
      </c>
      <c r="BP139" s="36">
        <f>IF(A139="","",(K139)*(IF((YEAR(D139)+7)&lt;YEAR(E139),0,IF((YEAR(D139)+7)&gt;YEAR(E139),1,(12-MONTH(E139)+1)/12)))*(1/(1+DiscountRate)^7))</f>
        <v/>
      </c>
      <c r="BQ139" s="36">
        <f>IF(A139="","",(K139)*(IF((YEAR(D139)+8)&lt;YEAR(E139),0,IF((YEAR(D139)+8)&gt;YEAR(E139),1,(12-MONTH(E139)+1)/12)))*(1/(1+DiscountRate)^8))</f>
        <v/>
      </c>
      <c r="BR139" s="36">
        <f>IF(A139="","",(K139)*(IF((YEAR(D139)+9)&lt;YEAR(E139),0,IF((YEAR(D139)+9)&gt;YEAR(E139),1,(12-MONTH(E139)+1)/12)))*(1/(1+DiscountRate)^9))</f>
        <v/>
      </c>
      <c r="BS139" s="36">
        <f>IF(A139="","",(K139)*(IF((YEAR(D139)+10)&lt;YEAR(E139),0,IF((YEAR(D139)+10)&gt;YEAR(E139),1,(12-MONTH(E139)+1)/12)))*(1/(1+DiscountRate)^10))</f>
        <v/>
      </c>
      <c r="BT139" s="36">
        <f>IF(A139="","",(K139)*(IF((YEAR(D139)+11)&lt;YEAR(E139),0,IF((YEAR(D139)+11)&gt;YEAR(E139),1,(12-MONTH(E139)+1)/12)))*(1/(1+DiscountRate)^11))</f>
        <v/>
      </c>
      <c r="BU139" s="36">
        <f>IF(A139="","",(K139)*(IF((YEAR(D139)+12)&lt;YEAR(E139),0,IF((YEAR(D139)+12)&gt;YEAR(E139),1,(12-MONTH(E139)+1)/12)))*(1/(1+DiscountRate)^12))</f>
        <v/>
      </c>
      <c r="BV139" s="36">
        <f>IF(A139="","",(K139)*(IF((YEAR(D139)+13)&lt;YEAR(E139),0,IF((YEAR(D139)+13)&gt;YEAR(E139),1,(12-MONTH(E139)+1)/12)))*(1/(1+DiscountRate)^13))</f>
        <v/>
      </c>
      <c r="BW139" s="36">
        <f>IF(A139="","",(K139)*(IF((YEAR(D139)+14)&lt;YEAR(E139),0,IF((YEAR(D139)+14)&gt;YEAR(E139),1,(12-MONTH(E139)+1)/12)))*(1/(1+DiscountRate)^14))</f>
        <v/>
      </c>
      <c r="BX139" s="36">
        <f>IF(A139="","",(K139)*(IF((YEAR(D139)+15)&lt;YEAR(E139),0,IF((YEAR(D139)+15)&gt;YEAR(E139),1,(12-MONTH(E139)+1)/12)))*(1/(1+DiscountRate)^15))</f>
        <v/>
      </c>
      <c r="BY139" s="36">
        <f>IF(A139="","",(K139)*(IF((YEAR(D139)+16)&lt;YEAR(E139),0,IF((YEAR(D139)+16)&gt;YEAR(E139),1,(12-MONTH(E139)+1)/12)))*(1/(1+DiscountRate)^16))</f>
        <v/>
      </c>
      <c r="BZ139" s="36">
        <f>IF(A139="","",(K139)*(IF((YEAR(D139)+17)&lt;YEAR(E139),0,IF((YEAR(D139)+17)&gt;YEAR(E139),1,(12-MONTH(E139)+1)/12)))*(1/(1+DiscountRate)^17))</f>
        <v/>
      </c>
      <c r="CA139" s="36">
        <f>IF(A139="","",(K139)*(IF((YEAR(D139)+18)&lt;YEAR(E139),0,IF((YEAR(D139)+18)&gt;YEAR(E139),1,(12-MONTH(E139)+1)/12)))*(1/(1+DiscountRate)^18))</f>
        <v/>
      </c>
      <c r="CB139" s="36">
        <f>IF(A139="","",(K139)*(IF((YEAR(D139)+19)&lt;YEAR(E139),0,IF((YEAR(D139)+19)&gt;YEAR(E139),1,(12-MONTH(E139)+1)/12)))*(1/(1+DiscountRate)^19))</f>
        <v/>
      </c>
      <c r="CC139" s="36">
        <f>IF(A139="","",(K139)*(IF((YEAR(D139)+20)&lt;YEAR(E139),0,IF((YEAR(D139)+20)&gt;YEAR(E139),1,(12-MONTH(E139)+1)/12)))*(1/(1+DiscountRate)^20))</f>
        <v/>
      </c>
      <c r="CD139" s="29">
        <f>IF(A139="","",S139/(1+DiscountRate)^0+T139/(1+DiscountRate)^1+U139/(1+DiscountRate)^2+V139/(1+DiscountRate)^3+W139/(1+DiscountRate)^4+X139/(1+DiscountRate)^5+Y139/(1+DiscountRate)^6+Z139/(1+DiscountRate)^7+AA139/(1+DiscountRate)^8+AB139/(1+DiscountRate)^9+AC139/(1+DiscountRate)^10+AD139/(1+DiscountRate)^11+AE139/(1+DiscountRate)^12+AF139/(1+DiscountRate)^13+AG139/(1+DiscountRate)^14+AH139/(1+DiscountRate)^15+AI139/(1+DiscountRate)^16+AJ139/(1+DiscountRate)^17+AK139/(1+DiscountRate)^18+AL139/(1+DiscountRate)^19+AM139/(1+DiscountRate)^20)</f>
        <v/>
      </c>
      <c r="CE139" s="37">
        <f>IF(A139="","",IFERROR(IRR(OFFSET(S139,0,0,1,MIN(HorizonYears,20)+1)),"n/a"))</f>
        <v/>
      </c>
      <c r="CF139" s="28">
        <f>IF(A139="","",IFERROR(MATCH(TRUE,OFFSET(AN139,0,0,1,MIN(HorizonYears,20)+1)&gt;=0,0)-1,"n/a"))</f>
        <v/>
      </c>
      <c r="CG139" s="36">
        <f>IF(A139="","",SUM(OFFSET(BI139,0,0,1,MIN(HorizonYears,20)+1)))</f>
        <v/>
      </c>
      <c r="CH139" s="36">
        <f>IF(A139="","",IFERROR(-CD139/CG139,"n/a"))</f>
        <v/>
      </c>
    </row>
    <row r="140">
      <c r="A140" s="6">
        <f>Actions!A138</f>
        <v/>
      </c>
      <c r="B140" s="6">
        <f>Actions!B138</f>
        <v/>
      </c>
      <c r="C140" s="6">
        <f>Actions!D138</f>
        <v/>
      </c>
      <c r="D140" s="35">
        <f>Actions!E138</f>
        <v/>
      </c>
      <c r="E140" s="35">
        <f>Actions!F138</f>
        <v/>
      </c>
      <c r="F140" s="6">
        <f>Actions!G138</f>
        <v/>
      </c>
      <c r="G140" s="6">
        <f>Actions!H138</f>
        <v/>
      </c>
      <c r="H140" s="29">
        <f>Actions!I138</f>
        <v/>
      </c>
      <c r="I140" s="6">
        <f>Actions!J138</f>
        <v/>
      </c>
      <c r="J140" s="16">
        <f>Actions!K138</f>
        <v/>
      </c>
      <c r="K140" s="16">
        <f>IF(A140="","",IF(I140="%",H140*J140,J140))</f>
        <v/>
      </c>
      <c r="L140" s="16">
        <f>Actions!L138</f>
        <v/>
      </c>
      <c r="M140" s="6">
        <f>Actions!M138</f>
        <v/>
      </c>
      <c r="N140" s="28">
        <f>Actions!N138</f>
        <v/>
      </c>
      <c r="O140" s="29">
        <f>Actions!T138</f>
        <v/>
      </c>
      <c r="P140" s="29">
        <f>Actions!Y138</f>
        <v/>
      </c>
      <c r="Q140" s="29">
        <f>Actions!Z138</f>
        <v/>
      </c>
      <c r="R140" s="29">
        <f>Actions!AA138</f>
        <v/>
      </c>
      <c r="S140" s="29">
        <f>IF(A140="","",((K140)*(IF(M140="",L140,IFERROR(IF(INDEX(Variablen!$I:$AT, MATCH(M140, Variablen!$A:$A, 0), MATCH((YEAR(D140)+0), Variablen!$I$3:$AT$3, 0))="",L140,INDEX(Variablen!$I:$AT, MATCH(M140, Variablen!$A:$A, 0), MATCH((YEAR(D140)+0), Variablen!$I$3:$AT$3, 0))),L140)))*(IF((YEAR(D140)+0)&lt;YEAR(E140),0,IF((YEAR(D140)+0)&gt;YEAR(E140),1,(12-MONTH(E140)+1)/12))) + (Q140)*(IF((YEAR(D140)+0)&lt;YEAR(E140),0,IF((YEAR(D140)+0)&gt;YEAR(E140),1,(12-MONTH(E140)+1)/12))))-((P140)*(IF((YEAR(D140)+0)&lt;YEAR(E140),0,IF((YEAR(D140)+0)&gt;YEAR(E140),1,(12-MONTH(E140)+1)/12))) + (R140)*(IF((YEAR(D140)+0)&lt;YEAR(E140),0,IF((YEAR(D140)+0)&gt;YEAR(E140),1,(12-MONTH(E140)+1)/12))))-(IF((((K140)*(IF(M140="",L140,IFERROR(IF(INDEX(Variablen!$I:$AT, MATCH(M140, Variablen!$A:$A, 0), MATCH((YEAR(D140)+0), Variablen!$I$3:$AT$3, 0))="",L140,INDEX(Variablen!$I:$AT, MATCH(M140, Variablen!$A:$A, 0), MATCH((YEAR(D140)+0), Variablen!$I$3:$AT$3, 0))),L140)))*(IF((YEAR(D140)+0)&lt;YEAR(E140),0,IF((YEAR(D140)+0)&gt;YEAR(E140),1,(12-MONTH(E140)+1)/12))) + (Q140)*(IF((YEAR(D140)+0)&lt;YEAR(E140),0,IF((YEAR(D140)+0)&gt;YEAR(E140),1,(12-MONTH(E140)+1)/12))))-((P140)*(IF((YEAR(D140)+0)&lt;YEAR(E140),0,IF((YEAR(D140)+0)&gt;YEAR(E140),1,(12-MONTH(E140)+1)/12))) + (R140)*(IF((YEAR(D140)+0)&lt;YEAR(E140),0,IF((YEAR(D140)+0)&gt;YEAR(E140),1,(12-MONTH(E140)+1)/12))))-(IF(OR(N140="",N140&lt;=0),0,(O140/N140)*(IF(OR(N140="",N140&lt;=0),0,IF((YEAR(D140)+0)&lt;YEAR(E140),0,IF((YEAR(D140)+0)&gt;=YEAR(E140)+N140,0,IF((YEAR(D140)+0)=YEAR(E140),(12-MONTH(E140)+1)/12,1))))))))&gt;0,(((K140)*(IF(M140="",L140,IFERROR(IF(INDEX(Variablen!$I:$AT, MATCH(M140, Variablen!$A:$A, 0), MATCH((YEAR(D140)+0), Variablen!$I$3:$AT$3, 0))="",L140,INDEX(Variablen!$I:$AT, MATCH(M140, Variablen!$A:$A, 0), MATCH((YEAR(D140)+0), Variablen!$I$3:$AT$3, 0))),L140)))*(IF((YEAR(D140)+0)&lt;YEAR(E140),0,IF((YEAR(D140)+0)&gt;YEAR(E140),1,(12-MONTH(E140)+1)/12))) + (Q140)*(IF((YEAR(D140)+0)&lt;YEAR(E140),0,IF((YEAR(D140)+0)&gt;YEAR(E140),1,(12-MONTH(E140)+1)/12))))-((P140)*(IF((YEAR(D140)+0)&lt;YEAR(E140),0,IF((YEAR(D140)+0)&gt;YEAR(E140),1,(12-MONTH(E140)+1)/12))) + (R140)*(IF((YEAR(D140)+0)&lt;YEAR(E140),0,IF((YEAR(D140)+0)&gt;YEAR(E140),1,(12-MONTH(E140)+1)/12))))-(IF(OR(N140="",N140&lt;=0),0,(O140/N140)*(IF(OR(N140="",N140&lt;=0),0,IF((YEAR(D140)+0)&lt;YEAR(E140),0,IF((YEAR(D140)+0)&gt;=YEAR(E140)+N140,0,IF((YEAR(D140)+0)=YEAR(E140),(12-MONTH(E140)+1)/12,1))))))))*TaxRate,0))-IF(0=0,O140,0))</f>
        <v/>
      </c>
      <c r="T140" s="29">
        <f>IF(A140="","",((K140)*(IF(M140="",L140,IFERROR(IF(INDEX(Variablen!$I:$AT, MATCH(M140, Variablen!$A:$A, 0), MATCH((YEAR(D140)+1), Variablen!$I$3:$AT$3, 0))="",L140,INDEX(Variablen!$I:$AT, MATCH(M140, Variablen!$A:$A, 0), MATCH((YEAR(D140)+1), Variablen!$I$3:$AT$3, 0))),L140)))*(IF((YEAR(D140)+1)&lt;YEAR(E140),0,IF((YEAR(D140)+1)&gt;YEAR(E140),1,(12-MONTH(E140)+1)/12))) + (Q140)*(IF((YEAR(D140)+1)&lt;YEAR(E140),0,IF((YEAR(D140)+1)&gt;YEAR(E140),1,(12-MONTH(E140)+1)/12))))-((P140)*(IF((YEAR(D140)+1)&lt;YEAR(E140),0,IF((YEAR(D140)+1)&gt;YEAR(E140),1,(12-MONTH(E140)+1)/12))) + (R140)*(IF((YEAR(D140)+1)&lt;YEAR(E140),0,IF((YEAR(D140)+1)&gt;YEAR(E140),1,(12-MONTH(E140)+1)/12))))-(IF((((K140)*(IF(M140="",L140,IFERROR(IF(INDEX(Variablen!$I:$AT, MATCH(M140, Variablen!$A:$A, 0), MATCH((YEAR(D140)+1), Variablen!$I$3:$AT$3, 0))="",L140,INDEX(Variablen!$I:$AT, MATCH(M140, Variablen!$A:$A, 0), MATCH((YEAR(D140)+1), Variablen!$I$3:$AT$3, 0))),L140)))*(IF((YEAR(D140)+1)&lt;YEAR(E140),0,IF((YEAR(D140)+1)&gt;YEAR(E140),1,(12-MONTH(E140)+1)/12))) + (Q140)*(IF((YEAR(D140)+1)&lt;YEAR(E140),0,IF((YEAR(D140)+1)&gt;YEAR(E140),1,(12-MONTH(E140)+1)/12))))-((P140)*(IF((YEAR(D140)+1)&lt;YEAR(E140),0,IF((YEAR(D140)+1)&gt;YEAR(E140),1,(12-MONTH(E140)+1)/12))) + (R140)*(IF((YEAR(D140)+1)&lt;YEAR(E140),0,IF((YEAR(D140)+1)&gt;YEAR(E140),1,(12-MONTH(E140)+1)/12))))-(IF(OR(N140="",N140&lt;=0),0,(O140/N140)*(IF(OR(N140="",N140&lt;=0),0,IF((YEAR(D140)+1)&lt;YEAR(E140),0,IF((YEAR(D140)+1)&gt;=YEAR(E140)+N140,0,IF((YEAR(D140)+1)=YEAR(E140),(12-MONTH(E140)+1)/12,1))))))))&gt;0,(((K140)*(IF(M140="",L140,IFERROR(IF(INDEX(Variablen!$I:$AT, MATCH(M140, Variablen!$A:$A, 0), MATCH((YEAR(D140)+1), Variablen!$I$3:$AT$3, 0))="",L140,INDEX(Variablen!$I:$AT, MATCH(M140, Variablen!$A:$A, 0), MATCH((YEAR(D140)+1), Variablen!$I$3:$AT$3, 0))),L140)))*(IF((YEAR(D140)+1)&lt;YEAR(E140),0,IF((YEAR(D140)+1)&gt;YEAR(E140),1,(12-MONTH(E140)+1)/12))) + (Q140)*(IF((YEAR(D140)+1)&lt;YEAR(E140),0,IF((YEAR(D140)+1)&gt;YEAR(E140),1,(12-MONTH(E140)+1)/12))))-((P140)*(IF((YEAR(D140)+1)&lt;YEAR(E140),0,IF((YEAR(D140)+1)&gt;YEAR(E140),1,(12-MONTH(E140)+1)/12))) + (R140)*(IF((YEAR(D140)+1)&lt;YEAR(E140),0,IF((YEAR(D140)+1)&gt;YEAR(E140),1,(12-MONTH(E140)+1)/12))))-(IF(OR(N140="",N140&lt;=0),0,(O140/N140)*(IF(OR(N140="",N140&lt;=0),0,IF((YEAR(D140)+1)&lt;YEAR(E140),0,IF((YEAR(D140)+1)&gt;=YEAR(E140)+N140,0,IF((YEAR(D140)+1)=YEAR(E140),(12-MONTH(E140)+1)/12,1))))))))*TaxRate,0))-IF(1=0,O140,0))</f>
        <v/>
      </c>
      <c r="U140" s="29">
        <f>IF(A140="","",((K140)*(IF(M140="",L140,IFERROR(IF(INDEX(Variablen!$I:$AT, MATCH(M140, Variablen!$A:$A, 0), MATCH((YEAR(D140)+2), Variablen!$I$3:$AT$3, 0))="",L140,INDEX(Variablen!$I:$AT, MATCH(M140, Variablen!$A:$A, 0), MATCH((YEAR(D140)+2), Variablen!$I$3:$AT$3, 0))),L140)))*(IF((YEAR(D140)+2)&lt;YEAR(E140),0,IF((YEAR(D140)+2)&gt;YEAR(E140),1,(12-MONTH(E140)+1)/12))) + (Q140)*(IF((YEAR(D140)+2)&lt;YEAR(E140),0,IF((YEAR(D140)+2)&gt;YEAR(E140),1,(12-MONTH(E140)+1)/12))))-((P140)*(IF((YEAR(D140)+2)&lt;YEAR(E140),0,IF((YEAR(D140)+2)&gt;YEAR(E140),1,(12-MONTH(E140)+1)/12))) + (R140)*(IF((YEAR(D140)+2)&lt;YEAR(E140),0,IF((YEAR(D140)+2)&gt;YEAR(E140),1,(12-MONTH(E140)+1)/12))))-(IF((((K140)*(IF(M140="",L140,IFERROR(IF(INDEX(Variablen!$I:$AT, MATCH(M140, Variablen!$A:$A, 0), MATCH((YEAR(D140)+2), Variablen!$I$3:$AT$3, 0))="",L140,INDEX(Variablen!$I:$AT, MATCH(M140, Variablen!$A:$A, 0), MATCH((YEAR(D140)+2), Variablen!$I$3:$AT$3, 0))),L140)))*(IF((YEAR(D140)+2)&lt;YEAR(E140),0,IF((YEAR(D140)+2)&gt;YEAR(E140),1,(12-MONTH(E140)+1)/12))) + (Q140)*(IF((YEAR(D140)+2)&lt;YEAR(E140),0,IF((YEAR(D140)+2)&gt;YEAR(E140),1,(12-MONTH(E140)+1)/12))))-((P140)*(IF((YEAR(D140)+2)&lt;YEAR(E140),0,IF((YEAR(D140)+2)&gt;YEAR(E140),1,(12-MONTH(E140)+1)/12))) + (R140)*(IF((YEAR(D140)+2)&lt;YEAR(E140),0,IF((YEAR(D140)+2)&gt;YEAR(E140),1,(12-MONTH(E140)+1)/12))))-(IF(OR(N140="",N140&lt;=0),0,(O140/N140)*(IF(OR(N140="",N140&lt;=0),0,IF((YEAR(D140)+2)&lt;YEAR(E140),0,IF((YEAR(D140)+2)&gt;=YEAR(E140)+N140,0,IF((YEAR(D140)+2)=YEAR(E140),(12-MONTH(E140)+1)/12,1))))))))&gt;0,(((K140)*(IF(M140="",L140,IFERROR(IF(INDEX(Variablen!$I:$AT, MATCH(M140, Variablen!$A:$A, 0), MATCH((YEAR(D140)+2), Variablen!$I$3:$AT$3, 0))="",L140,INDEX(Variablen!$I:$AT, MATCH(M140, Variablen!$A:$A, 0), MATCH((YEAR(D140)+2), Variablen!$I$3:$AT$3, 0))),L140)))*(IF((YEAR(D140)+2)&lt;YEAR(E140),0,IF((YEAR(D140)+2)&gt;YEAR(E140),1,(12-MONTH(E140)+1)/12))) + (Q140)*(IF((YEAR(D140)+2)&lt;YEAR(E140),0,IF((YEAR(D140)+2)&gt;YEAR(E140),1,(12-MONTH(E140)+1)/12))))-((P140)*(IF((YEAR(D140)+2)&lt;YEAR(E140),0,IF((YEAR(D140)+2)&gt;YEAR(E140),1,(12-MONTH(E140)+1)/12))) + (R140)*(IF((YEAR(D140)+2)&lt;YEAR(E140),0,IF((YEAR(D140)+2)&gt;YEAR(E140),1,(12-MONTH(E140)+1)/12))))-(IF(OR(N140="",N140&lt;=0),0,(O140/N140)*(IF(OR(N140="",N140&lt;=0),0,IF((YEAR(D140)+2)&lt;YEAR(E140),0,IF((YEAR(D140)+2)&gt;=YEAR(E140)+N140,0,IF((YEAR(D140)+2)=YEAR(E140),(12-MONTH(E140)+1)/12,1))))))))*TaxRate,0))-IF(2=0,O140,0))</f>
        <v/>
      </c>
      <c r="V140" s="29">
        <f>IF(A140="","",((K140)*(IF(M140="",L140,IFERROR(IF(INDEX(Variablen!$I:$AT, MATCH(M140, Variablen!$A:$A, 0), MATCH((YEAR(D140)+3), Variablen!$I$3:$AT$3, 0))="",L140,INDEX(Variablen!$I:$AT, MATCH(M140, Variablen!$A:$A, 0), MATCH((YEAR(D140)+3), Variablen!$I$3:$AT$3, 0))),L140)))*(IF((YEAR(D140)+3)&lt;YEAR(E140),0,IF((YEAR(D140)+3)&gt;YEAR(E140),1,(12-MONTH(E140)+1)/12))) + (Q140)*(IF((YEAR(D140)+3)&lt;YEAR(E140),0,IF((YEAR(D140)+3)&gt;YEAR(E140),1,(12-MONTH(E140)+1)/12))))-((P140)*(IF((YEAR(D140)+3)&lt;YEAR(E140),0,IF((YEAR(D140)+3)&gt;YEAR(E140),1,(12-MONTH(E140)+1)/12))) + (R140)*(IF((YEAR(D140)+3)&lt;YEAR(E140),0,IF((YEAR(D140)+3)&gt;YEAR(E140),1,(12-MONTH(E140)+1)/12))))-(IF((((K140)*(IF(M140="",L140,IFERROR(IF(INDEX(Variablen!$I:$AT, MATCH(M140, Variablen!$A:$A, 0), MATCH((YEAR(D140)+3), Variablen!$I$3:$AT$3, 0))="",L140,INDEX(Variablen!$I:$AT, MATCH(M140, Variablen!$A:$A, 0), MATCH((YEAR(D140)+3), Variablen!$I$3:$AT$3, 0))),L140)))*(IF((YEAR(D140)+3)&lt;YEAR(E140),0,IF((YEAR(D140)+3)&gt;YEAR(E140),1,(12-MONTH(E140)+1)/12))) + (Q140)*(IF((YEAR(D140)+3)&lt;YEAR(E140),0,IF((YEAR(D140)+3)&gt;YEAR(E140),1,(12-MONTH(E140)+1)/12))))-((P140)*(IF((YEAR(D140)+3)&lt;YEAR(E140),0,IF((YEAR(D140)+3)&gt;YEAR(E140),1,(12-MONTH(E140)+1)/12))) + (R140)*(IF((YEAR(D140)+3)&lt;YEAR(E140),0,IF((YEAR(D140)+3)&gt;YEAR(E140),1,(12-MONTH(E140)+1)/12))))-(IF(OR(N140="",N140&lt;=0),0,(O140/N140)*(IF(OR(N140="",N140&lt;=0),0,IF((YEAR(D140)+3)&lt;YEAR(E140),0,IF((YEAR(D140)+3)&gt;=YEAR(E140)+N140,0,IF((YEAR(D140)+3)=YEAR(E140),(12-MONTH(E140)+1)/12,1))))))))&gt;0,(((K140)*(IF(M140="",L140,IFERROR(IF(INDEX(Variablen!$I:$AT, MATCH(M140, Variablen!$A:$A, 0), MATCH((YEAR(D140)+3), Variablen!$I$3:$AT$3, 0))="",L140,INDEX(Variablen!$I:$AT, MATCH(M140, Variablen!$A:$A, 0), MATCH((YEAR(D140)+3), Variablen!$I$3:$AT$3, 0))),L140)))*(IF((YEAR(D140)+3)&lt;YEAR(E140),0,IF((YEAR(D140)+3)&gt;YEAR(E140),1,(12-MONTH(E140)+1)/12))) + (Q140)*(IF((YEAR(D140)+3)&lt;YEAR(E140),0,IF((YEAR(D140)+3)&gt;YEAR(E140),1,(12-MONTH(E140)+1)/12))))-((P140)*(IF((YEAR(D140)+3)&lt;YEAR(E140),0,IF((YEAR(D140)+3)&gt;YEAR(E140),1,(12-MONTH(E140)+1)/12))) + (R140)*(IF((YEAR(D140)+3)&lt;YEAR(E140),0,IF((YEAR(D140)+3)&gt;YEAR(E140),1,(12-MONTH(E140)+1)/12))))-(IF(OR(N140="",N140&lt;=0),0,(O140/N140)*(IF(OR(N140="",N140&lt;=0),0,IF((YEAR(D140)+3)&lt;YEAR(E140),0,IF((YEAR(D140)+3)&gt;=YEAR(E140)+N140,0,IF((YEAR(D140)+3)=YEAR(E140),(12-MONTH(E140)+1)/12,1))))))))*TaxRate,0))-IF(3=0,O140,0))</f>
        <v/>
      </c>
      <c r="W140" s="29">
        <f>IF(A140="","",((K140)*(IF(M140="",L140,IFERROR(IF(INDEX(Variablen!$I:$AT, MATCH(M140, Variablen!$A:$A, 0), MATCH((YEAR(D140)+4), Variablen!$I$3:$AT$3, 0))="",L140,INDEX(Variablen!$I:$AT, MATCH(M140, Variablen!$A:$A, 0), MATCH((YEAR(D140)+4), Variablen!$I$3:$AT$3, 0))),L140)))*(IF((YEAR(D140)+4)&lt;YEAR(E140),0,IF((YEAR(D140)+4)&gt;YEAR(E140),1,(12-MONTH(E140)+1)/12))) + (Q140)*(IF((YEAR(D140)+4)&lt;YEAR(E140),0,IF((YEAR(D140)+4)&gt;YEAR(E140),1,(12-MONTH(E140)+1)/12))))-((P140)*(IF((YEAR(D140)+4)&lt;YEAR(E140),0,IF((YEAR(D140)+4)&gt;YEAR(E140),1,(12-MONTH(E140)+1)/12))) + (R140)*(IF((YEAR(D140)+4)&lt;YEAR(E140),0,IF((YEAR(D140)+4)&gt;YEAR(E140),1,(12-MONTH(E140)+1)/12))))-(IF((((K140)*(IF(M140="",L140,IFERROR(IF(INDEX(Variablen!$I:$AT, MATCH(M140, Variablen!$A:$A, 0), MATCH((YEAR(D140)+4), Variablen!$I$3:$AT$3, 0))="",L140,INDEX(Variablen!$I:$AT, MATCH(M140, Variablen!$A:$A, 0), MATCH((YEAR(D140)+4), Variablen!$I$3:$AT$3, 0))),L140)))*(IF((YEAR(D140)+4)&lt;YEAR(E140),0,IF((YEAR(D140)+4)&gt;YEAR(E140),1,(12-MONTH(E140)+1)/12))) + (Q140)*(IF((YEAR(D140)+4)&lt;YEAR(E140),0,IF((YEAR(D140)+4)&gt;YEAR(E140),1,(12-MONTH(E140)+1)/12))))-((P140)*(IF((YEAR(D140)+4)&lt;YEAR(E140),0,IF((YEAR(D140)+4)&gt;YEAR(E140),1,(12-MONTH(E140)+1)/12))) + (R140)*(IF((YEAR(D140)+4)&lt;YEAR(E140),0,IF((YEAR(D140)+4)&gt;YEAR(E140),1,(12-MONTH(E140)+1)/12))))-(IF(OR(N140="",N140&lt;=0),0,(O140/N140)*(IF(OR(N140="",N140&lt;=0),0,IF((YEAR(D140)+4)&lt;YEAR(E140),0,IF((YEAR(D140)+4)&gt;=YEAR(E140)+N140,0,IF((YEAR(D140)+4)=YEAR(E140),(12-MONTH(E140)+1)/12,1))))))))&gt;0,(((K140)*(IF(M140="",L140,IFERROR(IF(INDEX(Variablen!$I:$AT, MATCH(M140, Variablen!$A:$A, 0), MATCH((YEAR(D140)+4), Variablen!$I$3:$AT$3, 0))="",L140,INDEX(Variablen!$I:$AT, MATCH(M140, Variablen!$A:$A, 0), MATCH((YEAR(D140)+4), Variablen!$I$3:$AT$3, 0))),L140)))*(IF((YEAR(D140)+4)&lt;YEAR(E140),0,IF((YEAR(D140)+4)&gt;YEAR(E140),1,(12-MONTH(E140)+1)/12))) + (Q140)*(IF((YEAR(D140)+4)&lt;YEAR(E140),0,IF((YEAR(D140)+4)&gt;YEAR(E140),1,(12-MONTH(E140)+1)/12))))-((P140)*(IF((YEAR(D140)+4)&lt;YEAR(E140),0,IF((YEAR(D140)+4)&gt;YEAR(E140),1,(12-MONTH(E140)+1)/12))) + (R140)*(IF((YEAR(D140)+4)&lt;YEAR(E140),0,IF((YEAR(D140)+4)&gt;YEAR(E140),1,(12-MONTH(E140)+1)/12))))-(IF(OR(N140="",N140&lt;=0),0,(O140/N140)*(IF(OR(N140="",N140&lt;=0),0,IF((YEAR(D140)+4)&lt;YEAR(E140),0,IF((YEAR(D140)+4)&gt;=YEAR(E140)+N140,0,IF((YEAR(D140)+4)=YEAR(E140),(12-MONTH(E140)+1)/12,1))))))))*TaxRate,0))-IF(4=0,O140,0))</f>
        <v/>
      </c>
      <c r="X140" s="29">
        <f>IF(A140="","",((K140)*(IF(M140="",L140,IFERROR(IF(INDEX(Variablen!$I:$AT, MATCH(M140, Variablen!$A:$A, 0), MATCH((YEAR(D140)+5), Variablen!$I$3:$AT$3, 0))="",L140,INDEX(Variablen!$I:$AT, MATCH(M140, Variablen!$A:$A, 0), MATCH((YEAR(D140)+5), Variablen!$I$3:$AT$3, 0))),L140)))*(IF((YEAR(D140)+5)&lt;YEAR(E140),0,IF((YEAR(D140)+5)&gt;YEAR(E140),1,(12-MONTH(E140)+1)/12))) + (Q140)*(IF((YEAR(D140)+5)&lt;YEAR(E140),0,IF((YEAR(D140)+5)&gt;YEAR(E140),1,(12-MONTH(E140)+1)/12))))-((P140)*(IF((YEAR(D140)+5)&lt;YEAR(E140),0,IF((YEAR(D140)+5)&gt;YEAR(E140),1,(12-MONTH(E140)+1)/12))) + (R140)*(IF((YEAR(D140)+5)&lt;YEAR(E140),0,IF((YEAR(D140)+5)&gt;YEAR(E140),1,(12-MONTH(E140)+1)/12))))-(IF((((K140)*(IF(M140="",L140,IFERROR(IF(INDEX(Variablen!$I:$AT, MATCH(M140, Variablen!$A:$A, 0), MATCH((YEAR(D140)+5), Variablen!$I$3:$AT$3, 0))="",L140,INDEX(Variablen!$I:$AT, MATCH(M140, Variablen!$A:$A, 0), MATCH((YEAR(D140)+5), Variablen!$I$3:$AT$3, 0))),L140)))*(IF((YEAR(D140)+5)&lt;YEAR(E140),0,IF((YEAR(D140)+5)&gt;YEAR(E140),1,(12-MONTH(E140)+1)/12))) + (Q140)*(IF((YEAR(D140)+5)&lt;YEAR(E140),0,IF((YEAR(D140)+5)&gt;YEAR(E140),1,(12-MONTH(E140)+1)/12))))-((P140)*(IF((YEAR(D140)+5)&lt;YEAR(E140),0,IF((YEAR(D140)+5)&gt;YEAR(E140),1,(12-MONTH(E140)+1)/12))) + (R140)*(IF((YEAR(D140)+5)&lt;YEAR(E140),0,IF((YEAR(D140)+5)&gt;YEAR(E140),1,(12-MONTH(E140)+1)/12))))-(IF(OR(N140="",N140&lt;=0),0,(O140/N140)*(IF(OR(N140="",N140&lt;=0),0,IF((YEAR(D140)+5)&lt;YEAR(E140),0,IF((YEAR(D140)+5)&gt;=YEAR(E140)+N140,0,IF((YEAR(D140)+5)=YEAR(E140),(12-MONTH(E140)+1)/12,1))))))))&gt;0,(((K140)*(IF(M140="",L140,IFERROR(IF(INDEX(Variablen!$I:$AT, MATCH(M140, Variablen!$A:$A, 0), MATCH((YEAR(D140)+5), Variablen!$I$3:$AT$3, 0))="",L140,INDEX(Variablen!$I:$AT, MATCH(M140, Variablen!$A:$A, 0), MATCH((YEAR(D140)+5), Variablen!$I$3:$AT$3, 0))),L140)))*(IF((YEAR(D140)+5)&lt;YEAR(E140),0,IF((YEAR(D140)+5)&gt;YEAR(E140),1,(12-MONTH(E140)+1)/12))) + (Q140)*(IF((YEAR(D140)+5)&lt;YEAR(E140),0,IF((YEAR(D140)+5)&gt;YEAR(E140),1,(12-MONTH(E140)+1)/12))))-((P140)*(IF((YEAR(D140)+5)&lt;YEAR(E140),0,IF((YEAR(D140)+5)&gt;YEAR(E140),1,(12-MONTH(E140)+1)/12))) + (R140)*(IF((YEAR(D140)+5)&lt;YEAR(E140),0,IF((YEAR(D140)+5)&gt;YEAR(E140),1,(12-MONTH(E140)+1)/12))))-(IF(OR(N140="",N140&lt;=0),0,(O140/N140)*(IF(OR(N140="",N140&lt;=0),0,IF((YEAR(D140)+5)&lt;YEAR(E140),0,IF((YEAR(D140)+5)&gt;=YEAR(E140)+N140,0,IF((YEAR(D140)+5)=YEAR(E140),(12-MONTH(E140)+1)/12,1))))))))*TaxRate,0))-IF(5=0,O140,0))</f>
        <v/>
      </c>
      <c r="Y140" s="29">
        <f>IF(A140="","",((K140)*(IF(M140="",L140,IFERROR(IF(INDEX(Variablen!$I:$AT, MATCH(M140, Variablen!$A:$A, 0), MATCH((YEAR(D140)+6), Variablen!$I$3:$AT$3, 0))="",L140,INDEX(Variablen!$I:$AT, MATCH(M140, Variablen!$A:$A, 0), MATCH((YEAR(D140)+6), Variablen!$I$3:$AT$3, 0))),L140)))*(IF((YEAR(D140)+6)&lt;YEAR(E140),0,IF((YEAR(D140)+6)&gt;YEAR(E140),1,(12-MONTH(E140)+1)/12))) + (Q140)*(IF((YEAR(D140)+6)&lt;YEAR(E140),0,IF((YEAR(D140)+6)&gt;YEAR(E140),1,(12-MONTH(E140)+1)/12))))-((P140)*(IF((YEAR(D140)+6)&lt;YEAR(E140),0,IF((YEAR(D140)+6)&gt;YEAR(E140),1,(12-MONTH(E140)+1)/12))) + (R140)*(IF((YEAR(D140)+6)&lt;YEAR(E140),0,IF((YEAR(D140)+6)&gt;YEAR(E140),1,(12-MONTH(E140)+1)/12))))-(IF((((K140)*(IF(M140="",L140,IFERROR(IF(INDEX(Variablen!$I:$AT, MATCH(M140, Variablen!$A:$A, 0), MATCH((YEAR(D140)+6), Variablen!$I$3:$AT$3, 0))="",L140,INDEX(Variablen!$I:$AT, MATCH(M140, Variablen!$A:$A, 0), MATCH((YEAR(D140)+6), Variablen!$I$3:$AT$3, 0))),L140)))*(IF((YEAR(D140)+6)&lt;YEAR(E140),0,IF((YEAR(D140)+6)&gt;YEAR(E140),1,(12-MONTH(E140)+1)/12))) + (Q140)*(IF((YEAR(D140)+6)&lt;YEAR(E140),0,IF((YEAR(D140)+6)&gt;YEAR(E140),1,(12-MONTH(E140)+1)/12))))-((P140)*(IF((YEAR(D140)+6)&lt;YEAR(E140),0,IF((YEAR(D140)+6)&gt;YEAR(E140),1,(12-MONTH(E140)+1)/12))) + (R140)*(IF((YEAR(D140)+6)&lt;YEAR(E140),0,IF((YEAR(D140)+6)&gt;YEAR(E140),1,(12-MONTH(E140)+1)/12))))-(IF(OR(N140="",N140&lt;=0),0,(O140/N140)*(IF(OR(N140="",N140&lt;=0),0,IF((YEAR(D140)+6)&lt;YEAR(E140),0,IF((YEAR(D140)+6)&gt;=YEAR(E140)+N140,0,IF((YEAR(D140)+6)=YEAR(E140),(12-MONTH(E140)+1)/12,1))))))))&gt;0,(((K140)*(IF(M140="",L140,IFERROR(IF(INDEX(Variablen!$I:$AT, MATCH(M140, Variablen!$A:$A, 0), MATCH((YEAR(D140)+6), Variablen!$I$3:$AT$3, 0))="",L140,INDEX(Variablen!$I:$AT, MATCH(M140, Variablen!$A:$A, 0), MATCH((YEAR(D140)+6), Variablen!$I$3:$AT$3, 0))),L140)))*(IF((YEAR(D140)+6)&lt;YEAR(E140),0,IF((YEAR(D140)+6)&gt;YEAR(E140),1,(12-MONTH(E140)+1)/12))) + (Q140)*(IF((YEAR(D140)+6)&lt;YEAR(E140),0,IF((YEAR(D140)+6)&gt;YEAR(E140),1,(12-MONTH(E140)+1)/12))))-((P140)*(IF((YEAR(D140)+6)&lt;YEAR(E140),0,IF((YEAR(D140)+6)&gt;YEAR(E140),1,(12-MONTH(E140)+1)/12))) + (R140)*(IF((YEAR(D140)+6)&lt;YEAR(E140),0,IF((YEAR(D140)+6)&gt;YEAR(E140),1,(12-MONTH(E140)+1)/12))))-(IF(OR(N140="",N140&lt;=0),0,(O140/N140)*(IF(OR(N140="",N140&lt;=0),0,IF((YEAR(D140)+6)&lt;YEAR(E140),0,IF((YEAR(D140)+6)&gt;=YEAR(E140)+N140,0,IF((YEAR(D140)+6)=YEAR(E140),(12-MONTH(E140)+1)/12,1))))))))*TaxRate,0))-IF(6=0,O140,0))</f>
        <v/>
      </c>
      <c r="Z140" s="29">
        <f>IF(A140="","",((K140)*(IF(M140="",L140,IFERROR(IF(INDEX(Variablen!$I:$AT, MATCH(M140, Variablen!$A:$A, 0), MATCH((YEAR(D140)+7), Variablen!$I$3:$AT$3, 0))="",L140,INDEX(Variablen!$I:$AT, MATCH(M140, Variablen!$A:$A, 0), MATCH((YEAR(D140)+7), Variablen!$I$3:$AT$3, 0))),L140)))*(IF((YEAR(D140)+7)&lt;YEAR(E140),0,IF((YEAR(D140)+7)&gt;YEAR(E140),1,(12-MONTH(E140)+1)/12))) + (Q140)*(IF((YEAR(D140)+7)&lt;YEAR(E140),0,IF((YEAR(D140)+7)&gt;YEAR(E140),1,(12-MONTH(E140)+1)/12))))-((P140)*(IF((YEAR(D140)+7)&lt;YEAR(E140),0,IF((YEAR(D140)+7)&gt;YEAR(E140),1,(12-MONTH(E140)+1)/12))) + (R140)*(IF((YEAR(D140)+7)&lt;YEAR(E140),0,IF((YEAR(D140)+7)&gt;YEAR(E140),1,(12-MONTH(E140)+1)/12))))-(IF((((K140)*(IF(M140="",L140,IFERROR(IF(INDEX(Variablen!$I:$AT, MATCH(M140, Variablen!$A:$A, 0), MATCH((YEAR(D140)+7), Variablen!$I$3:$AT$3, 0))="",L140,INDEX(Variablen!$I:$AT, MATCH(M140, Variablen!$A:$A, 0), MATCH((YEAR(D140)+7), Variablen!$I$3:$AT$3, 0))),L140)))*(IF((YEAR(D140)+7)&lt;YEAR(E140),0,IF((YEAR(D140)+7)&gt;YEAR(E140),1,(12-MONTH(E140)+1)/12))) + (Q140)*(IF((YEAR(D140)+7)&lt;YEAR(E140),0,IF((YEAR(D140)+7)&gt;YEAR(E140),1,(12-MONTH(E140)+1)/12))))-((P140)*(IF((YEAR(D140)+7)&lt;YEAR(E140),0,IF((YEAR(D140)+7)&gt;YEAR(E140),1,(12-MONTH(E140)+1)/12))) + (R140)*(IF((YEAR(D140)+7)&lt;YEAR(E140),0,IF((YEAR(D140)+7)&gt;YEAR(E140),1,(12-MONTH(E140)+1)/12))))-(IF(OR(N140="",N140&lt;=0),0,(O140/N140)*(IF(OR(N140="",N140&lt;=0),0,IF((YEAR(D140)+7)&lt;YEAR(E140),0,IF((YEAR(D140)+7)&gt;=YEAR(E140)+N140,0,IF((YEAR(D140)+7)=YEAR(E140),(12-MONTH(E140)+1)/12,1))))))))&gt;0,(((K140)*(IF(M140="",L140,IFERROR(IF(INDEX(Variablen!$I:$AT, MATCH(M140, Variablen!$A:$A, 0), MATCH((YEAR(D140)+7), Variablen!$I$3:$AT$3, 0))="",L140,INDEX(Variablen!$I:$AT, MATCH(M140, Variablen!$A:$A, 0), MATCH((YEAR(D140)+7), Variablen!$I$3:$AT$3, 0))),L140)))*(IF((YEAR(D140)+7)&lt;YEAR(E140),0,IF((YEAR(D140)+7)&gt;YEAR(E140),1,(12-MONTH(E140)+1)/12))) + (Q140)*(IF((YEAR(D140)+7)&lt;YEAR(E140),0,IF((YEAR(D140)+7)&gt;YEAR(E140),1,(12-MONTH(E140)+1)/12))))-((P140)*(IF((YEAR(D140)+7)&lt;YEAR(E140),0,IF((YEAR(D140)+7)&gt;YEAR(E140),1,(12-MONTH(E140)+1)/12))) + (R140)*(IF((YEAR(D140)+7)&lt;YEAR(E140),0,IF((YEAR(D140)+7)&gt;YEAR(E140),1,(12-MONTH(E140)+1)/12))))-(IF(OR(N140="",N140&lt;=0),0,(O140/N140)*(IF(OR(N140="",N140&lt;=0),0,IF((YEAR(D140)+7)&lt;YEAR(E140),0,IF((YEAR(D140)+7)&gt;=YEAR(E140)+N140,0,IF((YEAR(D140)+7)=YEAR(E140),(12-MONTH(E140)+1)/12,1))))))))*TaxRate,0))-IF(7=0,O140,0))</f>
        <v/>
      </c>
      <c r="AA140" s="29">
        <f>IF(A140="","",((K140)*(IF(M140="",L140,IFERROR(IF(INDEX(Variablen!$I:$AT, MATCH(M140, Variablen!$A:$A, 0), MATCH((YEAR(D140)+8), Variablen!$I$3:$AT$3, 0))="",L140,INDEX(Variablen!$I:$AT, MATCH(M140, Variablen!$A:$A, 0), MATCH((YEAR(D140)+8), Variablen!$I$3:$AT$3, 0))),L140)))*(IF((YEAR(D140)+8)&lt;YEAR(E140),0,IF((YEAR(D140)+8)&gt;YEAR(E140),1,(12-MONTH(E140)+1)/12))) + (Q140)*(IF((YEAR(D140)+8)&lt;YEAR(E140),0,IF((YEAR(D140)+8)&gt;YEAR(E140),1,(12-MONTH(E140)+1)/12))))-((P140)*(IF((YEAR(D140)+8)&lt;YEAR(E140),0,IF((YEAR(D140)+8)&gt;YEAR(E140),1,(12-MONTH(E140)+1)/12))) + (R140)*(IF((YEAR(D140)+8)&lt;YEAR(E140),0,IF((YEAR(D140)+8)&gt;YEAR(E140),1,(12-MONTH(E140)+1)/12))))-(IF((((K140)*(IF(M140="",L140,IFERROR(IF(INDEX(Variablen!$I:$AT, MATCH(M140, Variablen!$A:$A, 0), MATCH((YEAR(D140)+8), Variablen!$I$3:$AT$3, 0))="",L140,INDEX(Variablen!$I:$AT, MATCH(M140, Variablen!$A:$A, 0), MATCH((YEAR(D140)+8), Variablen!$I$3:$AT$3, 0))),L140)))*(IF((YEAR(D140)+8)&lt;YEAR(E140),0,IF((YEAR(D140)+8)&gt;YEAR(E140),1,(12-MONTH(E140)+1)/12))) + (Q140)*(IF((YEAR(D140)+8)&lt;YEAR(E140),0,IF((YEAR(D140)+8)&gt;YEAR(E140),1,(12-MONTH(E140)+1)/12))))-((P140)*(IF((YEAR(D140)+8)&lt;YEAR(E140),0,IF((YEAR(D140)+8)&gt;YEAR(E140),1,(12-MONTH(E140)+1)/12))) + (R140)*(IF((YEAR(D140)+8)&lt;YEAR(E140),0,IF((YEAR(D140)+8)&gt;YEAR(E140),1,(12-MONTH(E140)+1)/12))))-(IF(OR(N140="",N140&lt;=0),0,(O140/N140)*(IF(OR(N140="",N140&lt;=0),0,IF((YEAR(D140)+8)&lt;YEAR(E140),0,IF((YEAR(D140)+8)&gt;=YEAR(E140)+N140,0,IF((YEAR(D140)+8)=YEAR(E140),(12-MONTH(E140)+1)/12,1))))))))&gt;0,(((K140)*(IF(M140="",L140,IFERROR(IF(INDEX(Variablen!$I:$AT, MATCH(M140, Variablen!$A:$A, 0), MATCH((YEAR(D140)+8), Variablen!$I$3:$AT$3, 0))="",L140,INDEX(Variablen!$I:$AT, MATCH(M140, Variablen!$A:$A, 0), MATCH((YEAR(D140)+8), Variablen!$I$3:$AT$3, 0))),L140)))*(IF((YEAR(D140)+8)&lt;YEAR(E140),0,IF((YEAR(D140)+8)&gt;YEAR(E140),1,(12-MONTH(E140)+1)/12))) + (Q140)*(IF((YEAR(D140)+8)&lt;YEAR(E140),0,IF((YEAR(D140)+8)&gt;YEAR(E140),1,(12-MONTH(E140)+1)/12))))-((P140)*(IF((YEAR(D140)+8)&lt;YEAR(E140),0,IF((YEAR(D140)+8)&gt;YEAR(E140),1,(12-MONTH(E140)+1)/12))) + (R140)*(IF((YEAR(D140)+8)&lt;YEAR(E140),0,IF((YEAR(D140)+8)&gt;YEAR(E140),1,(12-MONTH(E140)+1)/12))))-(IF(OR(N140="",N140&lt;=0),0,(O140/N140)*(IF(OR(N140="",N140&lt;=0),0,IF((YEAR(D140)+8)&lt;YEAR(E140),0,IF((YEAR(D140)+8)&gt;=YEAR(E140)+N140,0,IF((YEAR(D140)+8)=YEAR(E140),(12-MONTH(E140)+1)/12,1))))))))*TaxRate,0))-IF(8=0,O140,0))</f>
        <v/>
      </c>
      <c r="AB140" s="29">
        <f>IF(A140="","",((K140)*(IF(M140="",L140,IFERROR(IF(INDEX(Variablen!$I:$AT, MATCH(M140, Variablen!$A:$A, 0), MATCH((YEAR(D140)+9), Variablen!$I$3:$AT$3, 0))="",L140,INDEX(Variablen!$I:$AT, MATCH(M140, Variablen!$A:$A, 0), MATCH((YEAR(D140)+9), Variablen!$I$3:$AT$3, 0))),L140)))*(IF((YEAR(D140)+9)&lt;YEAR(E140),0,IF((YEAR(D140)+9)&gt;YEAR(E140),1,(12-MONTH(E140)+1)/12))) + (Q140)*(IF((YEAR(D140)+9)&lt;YEAR(E140),0,IF((YEAR(D140)+9)&gt;YEAR(E140),1,(12-MONTH(E140)+1)/12))))-((P140)*(IF((YEAR(D140)+9)&lt;YEAR(E140),0,IF((YEAR(D140)+9)&gt;YEAR(E140),1,(12-MONTH(E140)+1)/12))) + (R140)*(IF((YEAR(D140)+9)&lt;YEAR(E140),0,IF((YEAR(D140)+9)&gt;YEAR(E140),1,(12-MONTH(E140)+1)/12))))-(IF((((K140)*(IF(M140="",L140,IFERROR(IF(INDEX(Variablen!$I:$AT, MATCH(M140, Variablen!$A:$A, 0), MATCH((YEAR(D140)+9), Variablen!$I$3:$AT$3, 0))="",L140,INDEX(Variablen!$I:$AT, MATCH(M140, Variablen!$A:$A, 0), MATCH((YEAR(D140)+9), Variablen!$I$3:$AT$3, 0))),L140)))*(IF((YEAR(D140)+9)&lt;YEAR(E140),0,IF((YEAR(D140)+9)&gt;YEAR(E140),1,(12-MONTH(E140)+1)/12))) + (Q140)*(IF((YEAR(D140)+9)&lt;YEAR(E140),0,IF((YEAR(D140)+9)&gt;YEAR(E140),1,(12-MONTH(E140)+1)/12))))-((P140)*(IF((YEAR(D140)+9)&lt;YEAR(E140),0,IF((YEAR(D140)+9)&gt;YEAR(E140),1,(12-MONTH(E140)+1)/12))) + (R140)*(IF((YEAR(D140)+9)&lt;YEAR(E140),0,IF((YEAR(D140)+9)&gt;YEAR(E140),1,(12-MONTH(E140)+1)/12))))-(IF(OR(N140="",N140&lt;=0),0,(O140/N140)*(IF(OR(N140="",N140&lt;=0),0,IF((YEAR(D140)+9)&lt;YEAR(E140),0,IF((YEAR(D140)+9)&gt;=YEAR(E140)+N140,0,IF((YEAR(D140)+9)=YEAR(E140),(12-MONTH(E140)+1)/12,1))))))))&gt;0,(((K140)*(IF(M140="",L140,IFERROR(IF(INDEX(Variablen!$I:$AT, MATCH(M140, Variablen!$A:$A, 0), MATCH((YEAR(D140)+9), Variablen!$I$3:$AT$3, 0))="",L140,INDEX(Variablen!$I:$AT, MATCH(M140, Variablen!$A:$A, 0), MATCH((YEAR(D140)+9), Variablen!$I$3:$AT$3, 0))),L140)))*(IF((YEAR(D140)+9)&lt;YEAR(E140),0,IF((YEAR(D140)+9)&gt;YEAR(E140),1,(12-MONTH(E140)+1)/12))) + (Q140)*(IF((YEAR(D140)+9)&lt;YEAR(E140),0,IF((YEAR(D140)+9)&gt;YEAR(E140),1,(12-MONTH(E140)+1)/12))))-((P140)*(IF((YEAR(D140)+9)&lt;YEAR(E140),0,IF((YEAR(D140)+9)&gt;YEAR(E140),1,(12-MONTH(E140)+1)/12))) + (R140)*(IF((YEAR(D140)+9)&lt;YEAR(E140),0,IF((YEAR(D140)+9)&gt;YEAR(E140),1,(12-MONTH(E140)+1)/12))))-(IF(OR(N140="",N140&lt;=0),0,(O140/N140)*(IF(OR(N140="",N140&lt;=0),0,IF((YEAR(D140)+9)&lt;YEAR(E140),0,IF((YEAR(D140)+9)&gt;=YEAR(E140)+N140,0,IF((YEAR(D140)+9)=YEAR(E140),(12-MONTH(E140)+1)/12,1))))))))*TaxRate,0))-IF(9=0,O140,0))</f>
        <v/>
      </c>
      <c r="AC140" s="29">
        <f>IF(A140="","",((K140)*(IF(M140="",L140,IFERROR(IF(INDEX(Variablen!$I:$AT, MATCH(M140, Variablen!$A:$A, 0), MATCH((YEAR(D140)+10), Variablen!$I$3:$AT$3, 0))="",L140,INDEX(Variablen!$I:$AT, MATCH(M140, Variablen!$A:$A, 0), MATCH((YEAR(D140)+10), Variablen!$I$3:$AT$3, 0))),L140)))*(IF((YEAR(D140)+10)&lt;YEAR(E140),0,IF((YEAR(D140)+10)&gt;YEAR(E140),1,(12-MONTH(E140)+1)/12))) + (Q140)*(IF((YEAR(D140)+10)&lt;YEAR(E140),0,IF((YEAR(D140)+10)&gt;YEAR(E140),1,(12-MONTH(E140)+1)/12))))-((P140)*(IF((YEAR(D140)+10)&lt;YEAR(E140),0,IF((YEAR(D140)+10)&gt;YEAR(E140),1,(12-MONTH(E140)+1)/12))) + (R140)*(IF((YEAR(D140)+10)&lt;YEAR(E140),0,IF((YEAR(D140)+10)&gt;YEAR(E140),1,(12-MONTH(E140)+1)/12))))-(IF((((K140)*(IF(M140="",L140,IFERROR(IF(INDEX(Variablen!$I:$AT, MATCH(M140, Variablen!$A:$A, 0), MATCH((YEAR(D140)+10), Variablen!$I$3:$AT$3, 0))="",L140,INDEX(Variablen!$I:$AT, MATCH(M140, Variablen!$A:$A, 0), MATCH((YEAR(D140)+10), Variablen!$I$3:$AT$3, 0))),L140)))*(IF((YEAR(D140)+10)&lt;YEAR(E140),0,IF((YEAR(D140)+10)&gt;YEAR(E140),1,(12-MONTH(E140)+1)/12))) + (Q140)*(IF((YEAR(D140)+10)&lt;YEAR(E140),0,IF((YEAR(D140)+10)&gt;YEAR(E140),1,(12-MONTH(E140)+1)/12))))-((P140)*(IF((YEAR(D140)+10)&lt;YEAR(E140),0,IF((YEAR(D140)+10)&gt;YEAR(E140),1,(12-MONTH(E140)+1)/12))) + (R140)*(IF((YEAR(D140)+10)&lt;YEAR(E140),0,IF((YEAR(D140)+10)&gt;YEAR(E140),1,(12-MONTH(E140)+1)/12))))-(IF(OR(N140="",N140&lt;=0),0,(O140/N140)*(IF(OR(N140="",N140&lt;=0),0,IF((YEAR(D140)+10)&lt;YEAR(E140),0,IF((YEAR(D140)+10)&gt;=YEAR(E140)+N140,0,IF((YEAR(D140)+10)=YEAR(E140),(12-MONTH(E140)+1)/12,1))))))))&gt;0,(((K140)*(IF(M140="",L140,IFERROR(IF(INDEX(Variablen!$I:$AT, MATCH(M140, Variablen!$A:$A, 0), MATCH((YEAR(D140)+10), Variablen!$I$3:$AT$3, 0))="",L140,INDEX(Variablen!$I:$AT, MATCH(M140, Variablen!$A:$A, 0), MATCH((YEAR(D140)+10), Variablen!$I$3:$AT$3, 0))),L140)))*(IF((YEAR(D140)+10)&lt;YEAR(E140),0,IF((YEAR(D140)+10)&gt;YEAR(E140),1,(12-MONTH(E140)+1)/12))) + (Q140)*(IF((YEAR(D140)+10)&lt;YEAR(E140),0,IF((YEAR(D140)+10)&gt;YEAR(E140),1,(12-MONTH(E140)+1)/12))))-((P140)*(IF((YEAR(D140)+10)&lt;YEAR(E140),0,IF((YEAR(D140)+10)&gt;YEAR(E140),1,(12-MONTH(E140)+1)/12))) + (R140)*(IF((YEAR(D140)+10)&lt;YEAR(E140),0,IF((YEAR(D140)+10)&gt;YEAR(E140),1,(12-MONTH(E140)+1)/12))))-(IF(OR(N140="",N140&lt;=0),0,(O140/N140)*(IF(OR(N140="",N140&lt;=0),0,IF((YEAR(D140)+10)&lt;YEAR(E140),0,IF((YEAR(D140)+10)&gt;=YEAR(E140)+N140,0,IF((YEAR(D140)+10)=YEAR(E140),(12-MONTH(E140)+1)/12,1))))))))*TaxRate,0))-IF(10=0,O140,0))</f>
        <v/>
      </c>
      <c r="AD140" s="29">
        <f>IF(A140="","",((K140)*(IF(M140="",L140,IFERROR(IF(INDEX(Variablen!$I:$AT, MATCH(M140, Variablen!$A:$A, 0), MATCH((YEAR(D140)+11), Variablen!$I$3:$AT$3, 0))="",L140,INDEX(Variablen!$I:$AT, MATCH(M140, Variablen!$A:$A, 0), MATCH((YEAR(D140)+11), Variablen!$I$3:$AT$3, 0))),L140)))*(IF((YEAR(D140)+11)&lt;YEAR(E140),0,IF((YEAR(D140)+11)&gt;YEAR(E140),1,(12-MONTH(E140)+1)/12))) + (Q140)*(IF((YEAR(D140)+11)&lt;YEAR(E140),0,IF((YEAR(D140)+11)&gt;YEAR(E140),1,(12-MONTH(E140)+1)/12))))-((P140)*(IF((YEAR(D140)+11)&lt;YEAR(E140),0,IF((YEAR(D140)+11)&gt;YEAR(E140),1,(12-MONTH(E140)+1)/12))) + (R140)*(IF((YEAR(D140)+11)&lt;YEAR(E140),0,IF((YEAR(D140)+11)&gt;YEAR(E140),1,(12-MONTH(E140)+1)/12))))-(IF((((K140)*(IF(M140="",L140,IFERROR(IF(INDEX(Variablen!$I:$AT, MATCH(M140, Variablen!$A:$A, 0), MATCH((YEAR(D140)+11), Variablen!$I$3:$AT$3, 0))="",L140,INDEX(Variablen!$I:$AT, MATCH(M140, Variablen!$A:$A, 0), MATCH((YEAR(D140)+11), Variablen!$I$3:$AT$3, 0))),L140)))*(IF((YEAR(D140)+11)&lt;YEAR(E140),0,IF((YEAR(D140)+11)&gt;YEAR(E140),1,(12-MONTH(E140)+1)/12))) + (Q140)*(IF((YEAR(D140)+11)&lt;YEAR(E140),0,IF((YEAR(D140)+11)&gt;YEAR(E140),1,(12-MONTH(E140)+1)/12))))-((P140)*(IF((YEAR(D140)+11)&lt;YEAR(E140),0,IF((YEAR(D140)+11)&gt;YEAR(E140),1,(12-MONTH(E140)+1)/12))) + (R140)*(IF((YEAR(D140)+11)&lt;YEAR(E140),0,IF((YEAR(D140)+11)&gt;YEAR(E140),1,(12-MONTH(E140)+1)/12))))-(IF(OR(N140="",N140&lt;=0),0,(O140/N140)*(IF(OR(N140="",N140&lt;=0),0,IF((YEAR(D140)+11)&lt;YEAR(E140),0,IF((YEAR(D140)+11)&gt;=YEAR(E140)+N140,0,IF((YEAR(D140)+11)=YEAR(E140),(12-MONTH(E140)+1)/12,1))))))))&gt;0,(((K140)*(IF(M140="",L140,IFERROR(IF(INDEX(Variablen!$I:$AT, MATCH(M140, Variablen!$A:$A, 0), MATCH((YEAR(D140)+11), Variablen!$I$3:$AT$3, 0))="",L140,INDEX(Variablen!$I:$AT, MATCH(M140, Variablen!$A:$A, 0), MATCH((YEAR(D140)+11), Variablen!$I$3:$AT$3, 0))),L140)))*(IF((YEAR(D140)+11)&lt;YEAR(E140),0,IF((YEAR(D140)+11)&gt;YEAR(E140),1,(12-MONTH(E140)+1)/12))) + (Q140)*(IF((YEAR(D140)+11)&lt;YEAR(E140),0,IF((YEAR(D140)+11)&gt;YEAR(E140),1,(12-MONTH(E140)+1)/12))))-((P140)*(IF((YEAR(D140)+11)&lt;YEAR(E140),0,IF((YEAR(D140)+11)&gt;YEAR(E140),1,(12-MONTH(E140)+1)/12))) + (R140)*(IF((YEAR(D140)+11)&lt;YEAR(E140),0,IF((YEAR(D140)+11)&gt;YEAR(E140),1,(12-MONTH(E140)+1)/12))))-(IF(OR(N140="",N140&lt;=0),0,(O140/N140)*(IF(OR(N140="",N140&lt;=0),0,IF((YEAR(D140)+11)&lt;YEAR(E140),0,IF((YEAR(D140)+11)&gt;=YEAR(E140)+N140,0,IF((YEAR(D140)+11)=YEAR(E140),(12-MONTH(E140)+1)/12,1))))))))*TaxRate,0))-IF(11=0,O140,0))</f>
        <v/>
      </c>
      <c r="AE140" s="29">
        <f>IF(A140="","",((K140)*(IF(M140="",L140,IFERROR(IF(INDEX(Variablen!$I:$AT, MATCH(M140, Variablen!$A:$A, 0), MATCH((YEAR(D140)+12), Variablen!$I$3:$AT$3, 0))="",L140,INDEX(Variablen!$I:$AT, MATCH(M140, Variablen!$A:$A, 0), MATCH((YEAR(D140)+12), Variablen!$I$3:$AT$3, 0))),L140)))*(IF((YEAR(D140)+12)&lt;YEAR(E140),0,IF((YEAR(D140)+12)&gt;YEAR(E140),1,(12-MONTH(E140)+1)/12))) + (Q140)*(IF((YEAR(D140)+12)&lt;YEAR(E140),0,IF((YEAR(D140)+12)&gt;YEAR(E140),1,(12-MONTH(E140)+1)/12))))-((P140)*(IF((YEAR(D140)+12)&lt;YEAR(E140),0,IF((YEAR(D140)+12)&gt;YEAR(E140),1,(12-MONTH(E140)+1)/12))) + (R140)*(IF((YEAR(D140)+12)&lt;YEAR(E140),0,IF((YEAR(D140)+12)&gt;YEAR(E140),1,(12-MONTH(E140)+1)/12))))-(IF((((K140)*(IF(M140="",L140,IFERROR(IF(INDEX(Variablen!$I:$AT, MATCH(M140, Variablen!$A:$A, 0), MATCH((YEAR(D140)+12), Variablen!$I$3:$AT$3, 0))="",L140,INDEX(Variablen!$I:$AT, MATCH(M140, Variablen!$A:$A, 0), MATCH((YEAR(D140)+12), Variablen!$I$3:$AT$3, 0))),L140)))*(IF((YEAR(D140)+12)&lt;YEAR(E140),0,IF((YEAR(D140)+12)&gt;YEAR(E140),1,(12-MONTH(E140)+1)/12))) + (Q140)*(IF((YEAR(D140)+12)&lt;YEAR(E140),0,IF((YEAR(D140)+12)&gt;YEAR(E140),1,(12-MONTH(E140)+1)/12))))-((P140)*(IF((YEAR(D140)+12)&lt;YEAR(E140),0,IF((YEAR(D140)+12)&gt;YEAR(E140),1,(12-MONTH(E140)+1)/12))) + (R140)*(IF((YEAR(D140)+12)&lt;YEAR(E140),0,IF((YEAR(D140)+12)&gt;YEAR(E140),1,(12-MONTH(E140)+1)/12))))-(IF(OR(N140="",N140&lt;=0),0,(O140/N140)*(IF(OR(N140="",N140&lt;=0),0,IF((YEAR(D140)+12)&lt;YEAR(E140),0,IF((YEAR(D140)+12)&gt;=YEAR(E140)+N140,0,IF((YEAR(D140)+12)=YEAR(E140),(12-MONTH(E140)+1)/12,1))))))))&gt;0,(((K140)*(IF(M140="",L140,IFERROR(IF(INDEX(Variablen!$I:$AT, MATCH(M140, Variablen!$A:$A, 0), MATCH((YEAR(D140)+12), Variablen!$I$3:$AT$3, 0))="",L140,INDEX(Variablen!$I:$AT, MATCH(M140, Variablen!$A:$A, 0), MATCH((YEAR(D140)+12), Variablen!$I$3:$AT$3, 0))),L140)))*(IF((YEAR(D140)+12)&lt;YEAR(E140),0,IF((YEAR(D140)+12)&gt;YEAR(E140),1,(12-MONTH(E140)+1)/12))) + (Q140)*(IF((YEAR(D140)+12)&lt;YEAR(E140),0,IF((YEAR(D140)+12)&gt;YEAR(E140),1,(12-MONTH(E140)+1)/12))))-((P140)*(IF((YEAR(D140)+12)&lt;YEAR(E140),0,IF((YEAR(D140)+12)&gt;YEAR(E140),1,(12-MONTH(E140)+1)/12))) + (R140)*(IF((YEAR(D140)+12)&lt;YEAR(E140),0,IF((YEAR(D140)+12)&gt;YEAR(E140),1,(12-MONTH(E140)+1)/12))))-(IF(OR(N140="",N140&lt;=0),0,(O140/N140)*(IF(OR(N140="",N140&lt;=0),0,IF((YEAR(D140)+12)&lt;YEAR(E140),0,IF((YEAR(D140)+12)&gt;=YEAR(E140)+N140,0,IF((YEAR(D140)+12)=YEAR(E140),(12-MONTH(E140)+1)/12,1))))))))*TaxRate,0))-IF(12=0,O140,0))</f>
        <v/>
      </c>
      <c r="AF140" s="29">
        <f>IF(A140="","",((K140)*(IF(M140="",L140,IFERROR(IF(INDEX(Variablen!$I:$AT, MATCH(M140, Variablen!$A:$A, 0), MATCH((YEAR(D140)+13), Variablen!$I$3:$AT$3, 0))="",L140,INDEX(Variablen!$I:$AT, MATCH(M140, Variablen!$A:$A, 0), MATCH((YEAR(D140)+13), Variablen!$I$3:$AT$3, 0))),L140)))*(IF((YEAR(D140)+13)&lt;YEAR(E140),0,IF((YEAR(D140)+13)&gt;YEAR(E140),1,(12-MONTH(E140)+1)/12))) + (Q140)*(IF((YEAR(D140)+13)&lt;YEAR(E140),0,IF((YEAR(D140)+13)&gt;YEAR(E140),1,(12-MONTH(E140)+1)/12))))-((P140)*(IF((YEAR(D140)+13)&lt;YEAR(E140),0,IF((YEAR(D140)+13)&gt;YEAR(E140),1,(12-MONTH(E140)+1)/12))) + (R140)*(IF((YEAR(D140)+13)&lt;YEAR(E140),0,IF((YEAR(D140)+13)&gt;YEAR(E140),1,(12-MONTH(E140)+1)/12))))-(IF((((K140)*(IF(M140="",L140,IFERROR(IF(INDEX(Variablen!$I:$AT, MATCH(M140, Variablen!$A:$A, 0), MATCH((YEAR(D140)+13), Variablen!$I$3:$AT$3, 0))="",L140,INDEX(Variablen!$I:$AT, MATCH(M140, Variablen!$A:$A, 0), MATCH((YEAR(D140)+13), Variablen!$I$3:$AT$3, 0))),L140)))*(IF((YEAR(D140)+13)&lt;YEAR(E140),0,IF((YEAR(D140)+13)&gt;YEAR(E140),1,(12-MONTH(E140)+1)/12))) + (Q140)*(IF((YEAR(D140)+13)&lt;YEAR(E140),0,IF((YEAR(D140)+13)&gt;YEAR(E140),1,(12-MONTH(E140)+1)/12))))-((P140)*(IF((YEAR(D140)+13)&lt;YEAR(E140),0,IF((YEAR(D140)+13)&gt;YEAR(E140),1,(12-MONTH(E140)+1)/12))) + (R140)*(IF((YEAR(D140)+13)&lt;YEAR(E140),0,IF((YEAR(D140)+13)&gt;YEAR(E140),1,(12-MONTH(E140)+1)/12))))-(IF(OR(N140="",N140&lt;=0),0,(O140/N140)*(IF(OR(N140="",N140&lt;=0),0,IF((YEAR(D140)+13)&lt;YEAR(E140),0,IF((YEAR(D140)+13)&gt;=YEAR(E140)+N140,0,IF((YEAR(D140)+13)=YEAR(E140),(12-MONTH(E140)+1)/12,1))))))))&gt;0,(((K140)*(IF(M140="",L140,IFERROR(IF(INDEX(Variablen!$I:$AT, MATCH(M140, Variablen!$A:$A, 0), MATCH((YEAR(D140)+13), Variablen!$I$3:$AT$3, 0))="",L140,INDEX(Variablen!$I:$AT, MATCH(M140, Variablen!$A:$A, 0), MATCH((YEAR(D140)+13), Variablen!$I$3:$AT$3, 0))),L140)))*(IF((YEAR(D140)+13)&lt;YEAR(E140),0,IF((YEAR(D140)+13)&gt;YEAR(E140),1,(12-MONTH(E140)+1)/12))) + (Q140)*(IF((YEAR(D140)+13)&lt;YEAR(E140),0,IF((YEAR(D140)+13)&gt;YEAR(E140),1,(12-MONTH(E140)+1)/12))))-((P140)*(IF((YEAR(D140)+13)&lt;YEAR(E140),0,IF((YEAR(D140)+13)&gt;YEAR(E140),1,(12-MONTH(E140)+1)/12))) + (R140)*(IF((YEAR(D140)+13)&lt;YEAR(E140),0,IF((YEAR(D140)+13)&gt;YEAR(E140),1,(12-MONTH(E140)+1)/12))))-(IF(OR(N140="",N140&lt;=0),0,(O140/N140)*(IF(OR(N140="",N140&lt;=0),0,IF((YEAR(D140)+13)&lt;YEAR(E140),0,IF((YEAR(D140)+13)&gt;=YEAR(E140)+N140,0,IF((YEAR(D140)+13)=YEAR(E140),(12-MONTH(E140)+1)/12,1))))))))*TaxRate,0))-IF(13=0,O140,0))</f>
        <v/>
      </c>
      <c r="AG140" s="29">
        <f>IF(A140="","",((K140)*(IF(M140="",L140,IFERROR(IF(INDEX(Variablen!$I:$AT, MATCH(M140, Variablen!$A:$A, 0), MATCH((YEAR(D140)+14), Variablen!$I$3:$AT$3, 0))="",L140,INDEX(Variablen!$I:$AT, MATCH(M140, Variablen!$A:$A, 0), MATCH((YEAR(D140)+14), Variablen!$I$3:$AT$3, 0))),L140)))*(IF((YEAR(D140)+14)&lt;YEAR(E140),0,IF((YEAR(D140)+14)&gt;YEAR(E140),1,(12-MONTH(E140)+1)/12))) + (Q140)*(IF((YEAR(D140)+14)&lt;YEAR(E140),0,IF((YEAR(D140)+14)&gt;YEAR(E140),1,(12-MONTH(E140)+1)/12))))-((P140)*(IF((YEAR(D140)+14)&lt;YEAR(E140),0,IF((YEAR(D140)+14)&gt;YEAR(E140),1,(12-MONTH(E140)+1)/12))) + (R140)*(IF((YEAR(D140)+14)&lt;YEAR(E140),0,IF((YEAR(D140)+14)&gt;YEAR(E140),1,(12-MONTH(E140)+1)/12))))-(IF((((K140)*(IF(M140="",L140,IFERROR(IF(INDEX(Variablen!$I:$AT, MATCH(M140, Variablen!$A:$A, 0), MATCH((YEAR(D140)+14), Variablen!$I$3:$AT$3, 0))="",L140,INDEX(Variablen!$I:$AT, MATCH(M140, Variablen!$A:$A, 0), MATCH((YEAR(D140)+14), Variablen!$I$3:$AT$3, 0))),L140)))*(IF((YEAR(D140)+14)&lt;YEAR(E140),0,IF((YEAR(D140)+14)&gt;YEAR(E140),1,(12-MONTH(E140)+1)/12))) + (Q140)*(IF((YEAR(D140)+14)&lt;YEAR(E140),0,IF((YEAR(D140)+14)&gt;YEAR(E140),1,(12-MONTH(E140)+1)/12))))-((P140)*(IF((YEAR(D140)+14)&lt;YEAR(E140),0,IF((YEAR(D140)+14)&gt;YEAR(E140),1,(12-MONTH(E140)+1)/12))) + (R140)*(IF((YEAR(D140)+14)&lt;YEAR(E140),0,IF((YEAR(D140)+14)&gt;YEAR(E140),1,(12-MONTH(E140)+1)/12))))-(IF(OR(N140="",N140&lt;=0),0,(O140/N140)*(IF(OR(N140="",N140&lt;=0),0,IF((YEAR(D140)+14)&lt;YEAR(E140),0,IF((YEAR(D140)+14)&gt;=YEAR(E140)+N140,0,IF((YEAR(D140)+14)=YEAR(E140),(12-MONTH(E140)+1)/12,1))))))))&gt;0,(((K140)*(IF(M140="",L140,IFERROR(IF(INDEX(Variablen!$I:$AT, MATCH(M140, Variablen!$A:$A, 0), MATCH((YEAR(D140)+14), Variablen!$I$3:$AT$3, 0))="",L140,INDEX(Variablen!$I:$AT, MATCH(M140, Variablen!$A:$A, 0), MATCH((YEAR(D140)+14), Variablen!$I$3:$AT$3, 0))),L140)))*(IF((YEAR(D140)+14)&lt;YEAR(E140),0,IF((YEAR(D140)+14)&gt;YEAR(E140),1,(12-MONTH(E140)+1)/12))) + (Q140)*(IF((YEAR(D140)+14)&lt;YEAR(E140),0,IF((YEAR(D140)+14)&gt;YEAR(E140),1,(12-MONTH(E140)+1)/12))))-((P140)*(IF((YEAR(D140)+14)&lt;YEAR(E140),0,IF((YEAR(D140)+14)&gt;YEAR(E140),1,(12-MONTH(E140)+1)/12))) + (R140)*(IF((YEAR(D140)+14)&lt;YEAR(E140),0,IF((YEAR(D140)+14)&gt;YEAR(E140),1,(12-MONTH(E140)+1)/12))))-(IF(OR(N140="",N140&lt;=0),0,(O140/N140)*(IF(OR(N140="",N140&lt;=0),0,IF((YEAR(D140)+14)&lt;YEAR(E140),0,IF((YEAR(D140)+14)&gt;=YEAR(E140)+N140,0,IF((YEAR(D140)+14)=YEAR(E140),(12-MONTH(E140)+1)/12,1))))))))*TaxRate,0))-IF(14=0,O140,0))</f>
        <v/>
      </c>
      <c r="AH140" s="29">
        <f>IF(A140="","",((K140)*(IF(M140="",L140,IFERROR(IF(INDEX(Variablen!$I:$AT, MATCH(M140, Variablen!$A:$A, 0), MATCH((YEAR(D140)+15), Variablen!$I$3:$AT$3, 0))="",L140,INDEX(Variablen!$I:$AT, MATCH(M140, Variablen!$A:$A, 0), MATCH((YEAR(D140)+15), Variablen!$I$3:$AT$3, 0))),L140)))*(IF((YEAR(D140)+15)&lt;YEAR(E140),0,IF((YEAR(D140)+15)&gt;YEAR(E140),1,(12-MONTH(E140)+1)/12))) + (Q140)*(IF((YEAR(D140)+15)&lt;YEAR(E140),0,IF((YEAR(D140)+15)&gt;YEAR(E140),1,(12-MONTH(E140)+1)/12))))-((P140)*(IF((YEAR(D140)+15)&lt;YEAR(E140),0,IF((YEAR(D140)+15)&gt;YEAR(E140),1,(12-MONTH(E140)+1)/12))) + (R140)*(IF((YEAR(D140)+15)&lt;YEAR(E140),0,IF((YEAR(D140)+15)&gt;YEAR(E140),1,(12-MONTH(E140)+1)/12))))-(IF((((K140)*(IF(M140="",L140,IFERROR(IF(INDEX(Variablen!$I:$AT, MATCH(M140, Variablen!$A:$A, 0), MATCH((YEAR(D140)+15), Variablen!$I$3:$AT$3, 0))="",L140,INDEX(Variablen!$I:$AT, MATCH(M140, Variablen!$A:$A, 0), MATCH((YEAR(D140)+15), Variablen!$I$3:$AT$3, 0))),L140)))*(IF((YEAR(D140)+15)&lt;YEAR(E140),0,IF((YEAR(D140)+15)&gt;YEAR(E140),1,(12-MONTH(E140)+1)/12))) + (Q140)*(IF((YEAR(D140)+15)&lt;YEAR(E140),0,IF((YEAR(D140)+15)&gt;YEAR(E140),1,(12-MONTH(E140)+1)/12))))-((P140)*(IF((YEAR(D140)+15)&lt;YEAR(E140),0,IF((YEAR(D140)+15)&gt;YEAR(E140),1,(12-MONTH(E140)+1)/12))) + (R140)*(IF((YEAR(D140)+15)&lt;YEAR(E140),0,IF((YEAR(D140)+15)&gt;YEAR(E140),1,(12-MONTH(E140)+1)/12))))-(IF(OR(N140="",N140&lt;=0),0,(O140/N140)*(IF(OR(N140="",N140&lt;=0),0,IF((YEAR(D140)+15)&lt;YEAR(E140),0,IF((YEAR(D140)+15)&gt;=YEAR(E140)+N140,0,IF((YEAR(D140)+15)=YEAR(E140),(12-MONTH(E140)+1)/12,1))))))))&gt;0,(((K140)*(IF(M140="",L140,IFERROR(IF(INDEX(Variablen!$I:$AT, MATCH(M140, Variablen!$A:$A, 0), MATCH((YEAR(D140)+15), Variablen!$I$3:$AT$3, 0))="",L140,INDEX(Variablen!$I:$AT, MATCH(M140, Variablen!$A:$A, 0), MATCH((YEAR(D140)+15), Variablen!$I$3:$AT$3, 0))),L140)))*(IF((YEAR(D140)+15)&lt;YEAR(E140),0,IF((YEAR(D140)+15)&gt;YEAR(E140),1,(12-MONTH(E140)+1)/12))) + (Q140)*(IF((YEAR(D140)+15)&lt;YEAR(E140),0,IF((YEAR(D140)+15)&gt;YEAR(E140),1,(12-MONTH(E140)+1)/12))))-((P140)*(IF((YEAR(D140)+15)&lt;YEAR(E140),0,IF((YEAR(D140)+15)&gt;YEAR(E140),1,(12-MONTH(E140)+1)/12))) + (R140)*(IF((YEAR(D140)+15)&lt;YEAR(E140),0,IF((YEAR(D140)+15)&gt;YEAR(E140),1,(12-MONTH(E140)+1)/12))))-(IF(OR(N140="",N140&lt;=0),0,(O140/N140)*(IF(OR(N140="",N140&lt;=0),0,IF((YEAR(D140)+15)&lt;YEAR(E140),0,IF((YEAR(D140)+15)&gt;=YEAR(E140)+N140,0,IF((YEAR(D140)+15)=YEAR(E140),(12-MONTH(E140)+1)/12,1))))))))*TaxRate,0))-IF(15=0,O140,0))</f>
        <v/>
      </c>
      <c r="AI140" s="29">
        <f>IF(A140="","",((K140)*(IF(M140="",L140,IFERROR(IF(INDEX(Variablen!$I:$AT, MATCH(M140, Variablen!$A:$A, 0), MATCH((YEAR(D140)+16), Variablen!$I$3:$AT$3, 0))="",L140,INDEX(Variablen!$I:$AT, MATCH(M140, Variablen!$A:$A, 0), MATCH((YEAR(D140)+16), Variablen!$I$3:$AT$3, 0))),L140)))*(IF((YEAR(D140)+16)&lt;YEAR(E140),0,IF((YEAR(D140)+16)&gt;YEAR(E140),1,(12-MONTH(E140)+1)/12))) + (Q140)*(IF((YEAR(D140)+16)&lt;YEAR(E140),0,IF((YEAR(D140)+16)&gt;YEAR(E140),1,(12-MONTH(E140)+1)/12))))-((P140)*(IF((YEAR(D140)+16)&lt;YEAR(E140),0,IF((YEAR(D140)+16)&gt;YEAR(E140),1,(12-MONTH(E140)+1)/12))) + (R140)*(IF((YEAR(D140)+16)&lt;YEAR(E140),0,IF((YEAR(D140)+16)&gt;YEAR(E140),1,(12-MONTH(E140)+1)/12))))-(IF((((K140)*(IF(M140="",L140,IFERROR(IF(INDEX(Variablen!$I:$AT, MATCH(M140, Variablen!$A:$A, 0), MATCH((YEAR(D140)+16), Variablen!$I$3:$AT$3, 0))="",L140,INDEX(Variablen!$I:$AT, MATCH(M140, Variablen!$A:$A, 0), MATCH((YEAR(D140)+16), Variablen!$I$3:$AT$3, 0))),L140)))*(IF((YEAR(D140)+16)&lt;YEAR(E140),0,IF((YEAR(D140)+16)&gt;YEAR(E140),1,(12-MONTH(E140)+1)/12))) + (Q140)*(IF((YEAR(D140)+16)&lt;YEAR(E140),0,IF((YEAR(D140)+16)&gt;YEAR(E140),1,(12-MONTH(E140)+1)/12))))-((P140)*(IF((YEAR(D140)+16)&lt;YEAR(E140),0,IF((YEAR(D140)+16)&gt;YEAR(E140),1,(12-MONTH(E140)+1)/12))) + (R140)*(IF((YEAR(D140)+16)&lt;YEAR(E140),0,IF((YEAR(D140)+16)&gt;YEAR(E140),1,(12-MONTH(E140)+1)/12))))-(IF(OR(N140="",N140&lt;=0),0,(O140/N140)*(IF(OR(N140="",N140&lt;=0),0,IF((YEAR(D140)+16)&lt;YEAR(E140),0,IF((YEAR(D140)+16)&gt;=YEAR(E140)+N140,0,IF((YEAR(D140)+16)=YEAR(E140),(12-MONTH(E140)+1)/12,1))))))))&gt;0,(((K140)*(IF(M140="",L140,IFERROR(IF(INDEX(Variablen!$I:$AT, MATCH(M140, Variablen!$A:$A, 0), MATCH((YEAR(D140)+16), Variablen!$I$3:$AT$3, 0))="",L140,INDEX(Variablen!$I:$AT, MATCH(M140, Variablen!$A:$A, 0), MATCH((YEAR(D140)+16), Variablen!$I$3:$AT$3, 0))),L140)))*(IF((YEAR(D140)+16)&lt;YEAR(E140),0,IF((YEAR(D140)+16)&gt;YEAR(E140),1,(12-MONTH(E140)+1)/12))) + (Q140)*(IF((YEAR(D140)+16)&lt;YEAR(E140),0,IF((YEAR(D140)+16)&gt;YEAR(E140),1,(12-MONTH(E140)+1)/12))))-((P140)*(IF((YEAR(D140)+16)&lt;YEAR(E140),0,IF((YEAR(D140)+16)&gt;YEAR(E140),1,(12-MONTH(E140)+1)/12))) + (R140)*(IF((YEAR(D140)+16)&lt;YEAR(E140),0,IF((YEAR(D140)+16)&gt;YEAR(E140),1,(12-MONTH(E140)+1)/12))))-(IF(OR(N140="",N140&lt;=0),0,(O140/N140)*(IF(OR(N140="",N140&lt;=0),0,IF((YEAR(D140)+16)&lt;YEAR(E140),0,IF((YEAR(D140)+16)&gt;=YEAR(E140)+N140,0,IF((YEAR(D140)+16)=YEAR(E140),(12-MONTH(E140)+1)/12,1))))))))*TaxRate,0))-IF(16=0,O140,0))</f>
        <v/>
      </c>
      <c r="AJ140" s="29">
        <f>IF(A140="","",((K140)*(IF(M140="",L140,IFERROR(IF(INDEX(Variablen!$I:$AT, MATCH(M140, Variablen!$A:$A, 0), MATCH((YEAR(D140)+17), Variablen!$I$3:$AT$3, 0))="",L140,INDEX(Variablen!$I:$AT, MATCH(M140, Variablen!$A:$A, 0), MATCH((YEAR(D140)+17), Variablen!$I$3:$AT$3, 0))),L140)))*(IF((YEAR(D140)+17)&lt;YEAR(E140),0,IF((YEAR(D140)+17)&gt;YEAR(E140),1,(12-MONTH(E140)+1)/12))) + (Q140)*(IF((YEAR(D140)+17)&lt;YEAR(E140),0,IF((YEAR(D140)+17)&gt;YEAR(E140),1,(12-MONTH(E140)+1)/12))))-((P140)*(IF((YEAR(D140)+17)&lt;YEAR(E140),0,IF((YEAR(D140)+17)&gt;YEAR(E140),1,(12-MONTH(E140)+1)/12))) + (R140)*(IF((YEAR(D140)+17)&lt;YEAR(E140),0,IF((YEAR(D140)+17)&gt;YEAR(E140),1,(12-MONTH(E140)+1)/12))))-(IF((((K140)*(IF(M140="",L140,IFERROR(IF(INDEX(Variablen!$I:$AT, MATCH(M140, Variablen!$A:$A, 0), MATCH((YEAR(D140)+17), Variablen!$I$3:$AT$3, 0))="",L140,INDEX(Variablen!$I:$AT, MATCH(M140, Variablen!$A:$A, 0), MATCH((YEAR(D140)+17), Variablen!$I$3:$AT$3, 0))),L140)))*(IF((YEAR(D140)+17)&lt;YEAR(E140),0,IF((YEAR(D140)+17)&gt;YEAR(E140),1,(12-MONTH(E140)+1)/12))) + (Q140)*(IF((YEAR(D140)+17)&lt;YEAR(E140),0,IF((YEAR(D140)+17)&gt;YEAR(E140),1,(12-MONTH(E140)+1)/12))))-((P140)*(IF((YEAR(D140)+17)&lt;YEAR(E140),0,IF((YEAR(D140)+17)&gt;YEAR(E140),1,(12-MONTH(E140)+1)/12))) + (R140)*(IF((YEAR(D140)+17)&lt;YEAR(E140),0,IF((YEAR(D140)+17)&gt;YEAR(E140),1,(12-MONTH(E140)+1)/12))))-(IF(OR(N140="",N140&lt;=0),0,(O140/N140)*(IF(OR(N140="",N140&lt;=0),0,IF((YEAR(D140)+17)&lt;YEAR(E140),0,IF((YEAR(D140)+17)&gt;=YEAR(E140)+N140,0,IF((YEAR(D140)+17)=YEAR(E140),(12-MONTH(E140)+1)/12,1))))))))&gt;0,(((K140)*(IF(M140="",L140,IFERROR(IF(INDEX(Variablen!$I:$AT, MATCH(M140, Variablen!$A:$A, 0), MATCH((YEAR(D140)+17), Variablen!$I$3:$AT$3, 0))="",L140,INDEX(Variablen!$I:$AT, MATCH(M140, Variablen!$A:$A, 0), MATCH((YEAR(D140)+17), Variablen!$I$3:$AT$3, 0))),L140)))*(IF((YEAR(D140)+17)&lt;YEAR(E140),0,IF((YEAR(D140)+17)&gt;YEAR(E140),1,(12-MONTH(E140)+1)/12))) + (Q140)*(IF((YEAR(D140)+17)&lt;YEAR(E140),0,IF((YEAR(D140)+17)&gt;YEAR(E140),1,(12-MONTH(E140)+1)/12))))-((P140)*(IF((YEAR(D140)+17)&lt;YEAR(E140),0,IF((YEAR(D140)+17)&gt;YEAR(E140),1,(12-MONTH(E140)+1)/12))) + (R140)*(IF((YEAR(D140)+17)&lt;YEAR(E140),0,IF((YEAR(D140)+17)&gt;YEAR(E140),1,(12-MONTH(E140)+1)/12))))-(IF(OR(N140="",N140&lt;=0),0,(O140/N140)*(IF(OR(N140="",N140&lt;=0),0,IF((YEAR(D140)+17)&lt;YEAR(E140),0,IF((YEAR(D140)+17)&gt;=YEAR(E140)+N140,0,IF((YEAR(D140)+17)=YEAR(E140),(12-MONTH(E140)+1)/12,1))))))))*TaxRate,0))-IF(17=0,O140,0))</f>
        <v/>
      </c>
      <c r="AK140" s="29">
        <f>IF(A140="","",((K140)*(IF(M140="",L140,IFERROR(IF(INDEX(Variablen!$I:$AT, MATCH(M140, Variablen!$A:$A, 0), MATCH((YEAR(D140)+18), Variablen!$I$3:$AT$3, 0))="",L140,INDEX(Variablen!$I:$AT, MATCH(M140, Variablen!$A:$A, 0), MATCH((YEAR(D140)+18), Variablen!$I$3:$AT$3, 0))),L140)))*(IF((YEAR(D140)+18)&lt;YEAR(E140),0,IF((YEAR(D140)+18)&gt;YEAR(E140),1,(12-MONTH(E140)+1)/12))) + (Q140)*(IF((YEAR(D140)+18)&lt;YEAR(E140),0,IF((YEAR(D140)+18)&gt;YEAR(E140),1,(12-MONTH(E140)+1)/12))))-((P140)*(IF((YEAR(D140)+18)&lt;YEAR(E140),0,IF((YEAR(D140)+18)&gt;YEAR(E140),1,(12-MONTH(E140)+1)/12))) + (R140)*(IF((YEAR(D140)+18)&lt;YEAR(E140),0,IF((YEAR(D140)+18)&gt;YEAR(E140),1,(12-MONTH(E140)+1)/12))))-(IF((((K140)*(IF(M140="",L140,IFERROR(IF(INDEX(Variablen!$I:$AT, MATCH(M140, Variablen!$A:$A, 0), MATCH((YEAR(D140)+18), Variablen!$I$3:$AT$3, 0))="",L140,INDEX(Variablen!$I:$AT, MATCH(M140, Variablen!$A:$A, 0), MATCH((YEAR(D140)+18), Variablen!$I$3:$AT$3, 0))),L140)))*(IF((YEAR(D140)+18)&lt;YEAR(E140),0,IF((YEAR(D140)+18)&gt;YEAR(E140),1,(12-MONTH(E140)+1)/12))) + (Q140)*(IF((YEAR(D140)+18)&lt;YEAR(E140),0,IF((YEAR(D140)+18)&gt;YEAR(E140),1,(12-MONTH(E140)+1)/12))))-((P140)*(IF((YEAR(D140)+18)&lt;YEAR(E140),0,IF((YEAR(D140)+18)&gt;YEAR(E140),1,(12-MONTH(E140)+1)/12))) + (R140)*(IF((YEAR(D140)+18)&lt;YEAR(E140),0,IF((YEAR(D140)+18)&gt;YEAR(E140),1,(12-MONTH(E140)+1)/12))))-(IF(OR(N140="",N140&lt;=0),0,(O140/N140)*(IF(OR(N140="",N140&lt;=0),0,IF((YEAR(D140)+18)&lt;YEAR(E140),0,IF((YEAR(D140)+18)&gt;=YEAR(E140)+N140,0,IF((YEAR(D140)+18)=YEAR(E140),(12-MONTH(E140)+1)/12,1))))))))&gt;0,(((K140)*(IF(M140="",L140,IFERROR(IF(INDEX(Variablen!$I:$AT, MATCH(M140, Variablen!$A:$A, 0), MATCH((YEAR(D140)+18), Variablen!$I$3:$AT$3, 0))="",L140,INDEX(Variablen!$I:$AT, MATCH(M140, Variablen!$A:$A, 0), MATCH((YEAR(D140)+18), Variablen!$I$3:$AT$3, 0))),L140)))*(IF((YEAR(D140)+18)&lt;YEAR(E140),0,IF((YEAR(D140)+18)&gt;YEAR(E140),1,(12-MONTH(E140)+1)/12))) + (Q140)*(IF((YEAR(D140)+18)&lt;YEAR(E140),0,IF((YEAR(D140)+18)&gt;YEAR(E140),1,(12-MONTH(E140)+1)/12))))-((P140)*(IF((YEAR(D140)+18)&lt;YEAR(E140),0,IF((YEAR(D140)+18)&gt;YEAR(E140),1,(12-MONTH(E140)+1)/12))) + (R140)*(IF((YEAR(D140)+18)&lt;YEAR(E140),0,IF((YEAR(D140)+18)&gt;YEAR(E140),1,(12-MONTH(E140)+1)/12))))-(IF(OR(N140="",N140&lt;=0),0,(O140/N140)*(IF(OR(N140="",N140&lt;=0),0,IF((YEAR(D140)+18)&lt;YEAR(E140),0,IF((YEAR(D140)+18)&gt;=YEAR(E140)+N140,0,IF((YEAR(D140)+18)=YEAR(E140),(12-MONTH(E140)+1)/12,1))))))))*TaxRate,0))-IF(18=0,O140,0))</f>
        <v/>
      </c>
      <c r="AL140" s="29">
        <f>IF(A140="","",((K140)*(IF(M140="",L140,IFERROR(IF(INDEX(Variablen!$I:$AT, MATCH(M140, Variablen!$A:$A, 0), MATCH((YEAR(D140)+19), Variablen!$I$3:$AT$3, 0))="",L140,INDEX(Variablen!$I:$AT, MATCH(M140, Variablen!$A:$A, 0), MATCH((YEAR(D140)+19), Variablen!$I$3:$AT$3, 0))),L140)))*(IF((YEAR(D140)+19)&lt;YEAR(E140),0,IF((YEAR(D140)+19)&gt;YEAR(E140),1,(12-MONTH(E140)+1)/12))) + (Q140)*(IF((YEAR(D140)+19)&lt;YEAR(E140),0,IF((YEAR(D140)+19)&gt;YEAR(E140),1,(12-MONTH(E140)+1)/12))))-((P140)*(IF((YEAR(D140)+19)&lt;YEAR(E140),0,IF((YEAR(D140)+19)&gt;YEAR(E140),1,(12-MONTH(E140)+1)/12))) + (R140)*(IF((YEAR(D140)+19)&lt;YEAR(E140),0,IF((YEAR(D140)+19)&gt;YEAR(E140),1,(12-MONTH(E140)+1)/12))))-(IF((((K140)*(IF(M140="",L140,IFERROR(IF(INDEX(Variablen!$I:$AT, MATCH(M140, Variablen!$A:$A, 0), MATCH((YEAR(D140)+19), Variablen!$I$3:$AT$3, 0))="",L140,INDEX(Variablen!$I:$AT, MATCH(M140, Variablen!$A:$A, 0), MATCH((YEAR(D140)+19), Variablen!$I$3:$AT$3, 0))),L140)))*(IF((YEAR(D140)+19)&lt;YEAR(E140),0,IF((YEAR(D140)+19)&gt;YEAR(E140),1,(12-MONTH(E140)+1)/12))) + (Q140)*(IF((YEAR(D140)+19)&lt;YEAR(E140),0,IF((YEAR(D140)+19)&gt;YEAR(E140),1,(12-MONTH(E140)+1)/12))))-((P140)*(IF((YEAR(D140)+19)&lt;YEAR(E140),0,IF((YEAR(D140)+19)&gt;YEAR(E140),1,(12-MONTH(E140)+1)/12))) + (R140)*(IF((YEAR(D140)+19)&lt;YEAR(E140),0,IF((YEAR(D140)+19)&gt;YEAR(E140),1,(12-MONTH(E140)+1)/12))))-(IF(OR(N140="",N140&lt;=0),0,(O140/N140)*(IF(OR(N140="",N140&lt;=0),0,IF((YEAR(D140)+19)&lt;YEAR(E140),0,IF((YEAR(D140)+19)&gt;=YEAR(E140)+N140,0,IF((YEAR(D140)+19)=YEAR(E140),(12-MONTH(E140)+1)/12,1))))))))&gt;0,(((K140)*(IF(M140="",L140,IFERROR(IF(INDEX(Variablen!$I:$AT, MATCH(M140, Variablen!$A:$A, 0), MATCH((YEAR(D140)+19), Variablen!$I$3:$AT$3, 0))="",L140,INDEX(Variablen!$I:$AT, MATCH(M140, Variablen!$A:$A, 0), MATCH((YEAR(D140)+19), Variablen!$I$3:$AT$3, 0))),L140)))*(IF((YEAR(D140)+19)&lt;YEAR(E140),0,IF((YEAR(D140)+19)&gt;YEAR(E140),1,(12-MONTH(E140)+1)/12))) + (Q140)*(IF((YEAR(D140)+19)&lt;YEAR(E140),0,IF((YEAR(D140)+19)&gt;YEAR(E140),1,(12-MONTH(E140)+1)/12))))-((P140)*(IF((YEAR(D140)+19)&lt;YEAR(E140),0,IF((YEAR(D140)+19)&gt;YEAR(E140),1,(12-MONTH(E140)+1)/12))) + (R140)*(IF((YEAR(D140)+19)&lt;YEAR(E140),0,IF((YEAR(D140)+19)&gt;YEAR(E140),1,(12-MONTH(E140)+1)/12))))-(IF(OR(N140="",N140&lt;=0),0,(O140/N140)*(IF(OR(N140="",N140&lt;=0),0,IF((YEAR(D140)+19)&lt;YEAR(E140),0,IF((YEAR(D140)+19)&gt;=YEAR(E140)+N140,0,IF((YEAR(D140)+19)=YEAR(E140),(12-MONTH(E140)+1)/12,1))))))))*TaxRate,0))-IF(19=0,O140,0))</f>
        <v/>
      </c>
      <c r="AM140" s="29">
        <f>IF(A140="","",((K140)*(IF(M140="",L140,IFERROR(IF(INDEX(Variablen!$I:$AT, MATCH(M140, Variablen!$A:$A, 0), MATCH((YEAR(D140)+20), Variablen!$I$3:$AT$3, 0))="",L140,INDEX(Variablen!$I:$AT, MATCH(M140, Variablen!$A:$A, 0), MATCH((YEAR(D140)+20), Variablen!$I$3:$AT$3, 0))),L140)))*(IF((YEAR(D140)+20)&lt;YEAR(E140),0,IF((YEAR(D140)+20)&gt;YEAR(E140),1,(12-MONTH(E140)+1)/12))) + (Q140)*(IF((YEAR(D140)+20)&lt;YEAR(E140),0,IF((YEAR(D140)+20)&gt;YEAR(E140),1,(12-MONTH(E140)+1)/12))))-((P140)*(IF((YEAR(D140)+20)&lt;YEAR(E140),0,IF((YEAR(D140)+20)&gt;YEAR(E140),1,(12-MONTH(E140)+1)/12))) + (R140)*(IF((YEAR(D140)+20)&lt;YEAR(E140),0,IF((YEAR(D140)+20)&gt;YEAR(E140),1,(12-MONTH(E140)+1)/12))))-(IF((((K140)*(IF(M140="",L140,IFERROR(IF(INDEX(Variablen!$I:$AT, MATCH(M140, Variablen!$A:$A, 0), MATCH((YEAR(D140)+20), Variablen!$I$3:$AT$3, 0))="",L140,INDEX(Variablen!$I:$AT, MATCH(M140, Variablen!$A:$A, 0), MATCH((YEAR(D140)+20), Variablen!$I$3:$AT$3, 0))),L140)))*(IF((YEAR(D140)+20)&lt;YEAR(E140),0,IF((YEAR(D140)+20)&gt;YEAR(E140),1,(12-MONTH(E140)+1)/12))) + (Q140)*(IF((YEAR(D140)+20)&lt;YEAR(E140),0,IF((YEAR(D140)+20)&gt;YEAR(E140),1,(12-MONTH(E140)+1)/12))))-((P140)*(IF((YEAR(D140)+20)&lt;YEAR(E140),0,IF((YEAR(D140)+20)&gt;YEAR(E140),1,(12-MONTH(E140)+1)/12))) + (R140)*(IF((YEAR(D140)+20)&lt;YEAR(E140),0,IF((YEAR(D140)+20)&gt;YEAR(E140),1,(12-MONTH(E140)+1)/12))))-(IF(OR(N140="",N140&lt;=0),0,(O140/N140)*(IF(OR(N140="",N140&lt;=0),0,IF((YEAR(D140)+20)&lt;YEAR(E140),0,IF((YEAR(D140)+20)&gt;=YEAR(E140)+N140,0,IF((YEAR(D140)+20)=YEAR(E140),(12-MONTH(E140)+1)/12,1))))))))&gt;0,(((K140)*(IF(M140="",L140,IFERROR(IF(INDEX(Variablen!$I:$AT, MATCH(M140, Variablen!$A:$A, 0), MATCH((YEAR(D140)+20), Variablen!$I$3:$AT$3, 0))="",L140,INDEX(Variablen!$I:$AT, MATCH(M140, Variablen!$A:$A, 0), MATCH((YEAR(D140)+20), Variablen!$I$3:$AT$3, 0))),L140)))*(IF((YEAR(D140)+20)&lt;YEAR(E140),0,IF((YEAR(D140)+20)&gt;YEAR(E140),1,(12-MONTH(E140)+1)/12))) + (Q140)*(IF((YEAR(D140)+20)&lt;YEAR(E140),0,IF((YEAR(D140)+20)&gt;YEAR(E140),1,(12-MONTH(E140)+1)/12))))-((P140)*(IF((YEAR(D140)+20)&lt;YEAR(E140),0,IF((YEAR(D140)+20)&gt;YEAR(E140),1,(12-MONTH(E140)+1)/12))) + (R140)*(IF((YEAR(D140)+20)&lt;YEAR(E140),0,IF((YEAR(D140)+20)&gt;YEAR(E140),1,(12-MONTH(E140)+1)/12))))-(IF(OR(N140="",N140&lt;=0),0,(O140/N140)*(IF(OR(N140="",N140&lt;=0),0,IF((YEAR(D140)+20)&lt;YEAR(E140),0,IF((YEAR(D140)+20)&gt;=YEAR(E140)+N140,0,IF((YEAR(D140)+20)=YEAR(E140),(12-MONTH(E140)+1)/12,1))))))))*TaxRate,0))-IF(20=0,O140,0))</f>
        <v/>
      </c>
      <c r="AN140" s="29">
        <f>IF(A140="","",S140)</f>
        <v/>
      </c>
      <c r="AO140" s="29">
        <f>IF(A140="","",AN140+T140)</f>
        <v/>
      </c>
      <c r="AP140" s="29">
        <f>IF(A140="","",AO140+U140)</f>
        <v/>
      </c>
      <c r="AQ140" s="29">
        <f>IF(A140="","",AP140+V140)</f>
        <v/>
      </c>
      <c r="AR140" s="29">
        <f>IF(A140="","",AQ140+W140)</f>
        <v/>
      </c>
      <c r="AS140" s="29">
        <f>IF(A140="","",AR140+X140)</f>
        <v/>
      </c>
      <c r="AT140" s="29">
        <f>IF(A140="","",AS140+Y140)</f>
        <v/>
      </c>
      <c r="AU140" s="29">
        <f>IF(A140="","",AT140+Z140)</f>
        <v/>
      </c>
      <c r="AV140" s="29">
        <f>IF(A140="","",AU140+AA140)</f>
        <v/>
      </c>
      <c r="AW140" s="29">
        <f>IF(A140="","",AV140+AB140)</f>
        <v/>
      </c>
      <c r="AX140" s="29">
        <f>IF(A140="","",AW140+AC140)</f>
        <v/>
      </c>
      <c r="AY140" s="29">
        <f>IF(A140="","",AX140+AD140)</f>
        <v/>
      </c>
      <c r="AZ140" s="29">
        <f>IF(A140="","",AY140+AE140)</f>
        <v/>
      </c>
      <c r="BA140" s="29">
        <f>IF(A140="","",AZ140+AF140)</f>
        <v/>
      </c>
      <c r="BB140" s="29">
        <f>IF(A140="","",BA140+AG140)</f>
        <v/>
      </c>
      <c r="BC140" s="29">
        <f>IF(A140="","",BB140+AH140)</f>
        <v/>
      </c>
      <c r="BD140" s="29">
        <f>IF(A140="","",BC140+AI140)</f>
        <v/>
      </c>
      <c r="BE140" s="29">
        <f>IF(A140="","",BD140+AJ140)</f>
        <v/>
      </c>
      <c r="BF140" s="29">
        <f>IF(A140="","",BE140+AK140)</f>
        <v/>
      </c>
      <c r="BG140" s="29">
        <f>IF(A140="","",BF140+AL140)</f>
        <v/>
      </c>
      <c r="BH140" s="29">
        <f>IF(A140="","",BG140+AM140)</f>
        <v/>
      </c>
      <c r="BI140" s="36">
        <f>IF(A140="","",(K140)*(IF((YEAR(D140)+0)&lt;YEAR(E140),0,IF((YEAR(D140)+0)&gt;YEAR(E140),1,(12-MONTH(E140)+1)/12)))*(1/(1+DiscountRate)^0))</f>
        <v/>
      </c>
      <c r="BJ140" s="36">
        <f>IF(A140="","",(K140)*(IF((YEAR(D140)+1)&lt;YEAR(E140),0,IF((YEAR(D140)+1)&gt;YEAR(E140),1,(12-MONTH(E140)+1)/12)))*(1/(1+DiscountRate)^1))</f>
        <v/>
      </c>
      <c r="BK140" s="36">
        <f>IF(A140="","",(K140)*(IF((YEAR(D140)+2)&lt;YEAR(E140),0,IF((YEAR(D140)+2)&gt;YEAR(E140),1,(12-MONTH(E140)+1)/12)))*(1/(1+DiscountRate)^2))</f>
        <v/>
      </c>
      <c r="BL140" s="36">
        <f>IF(A140="","",(K140)*(IF((YEAR(D140)+3)&lt;YEAR(E140),0,IF((YEAR(D140)+3)&gt;YEAR(E140),1,(12-MONTH(E140)+1)/12)))*(1/(1+DiscountRate)^3))</f>
        <v/>
      </c>
      <c r="BM140" s="36">
        <f>IF(A140="","",(K140)*(IF((YEAR(D140)+4)&lt;YEAR(E140),0,IF((YEAR(D140)+4)&gt;YEAR(E140),1,(12-MONTH(E140)+1)/12)))*(1/(1+DiscountRate)^4))</f>
        <v/>
      </c>
      <c r="BN140" s="36">
        <f>IF(A140="","",(K140)*(IF((YEAR(D140)+5)&lt;YEAR(E140),0,IF((YEAR(D140)+5)&gt;YEAR(E140),1,(12-MONTH(E140)+1)/12)))*(1/(1+DiscountRate)^5))</f>
        <v/>
      </c>
      <c r="BO140" s="36">
        <f>IF(A140="","",(K140)*(IF((YEAR(D140)+6)&lt;YEAR(E140),0,IF((YEAR(D140)+6)&gt;YEAR(E140),1,(12-MONTH(E140)+1)/12)))*(1/(1+DiscountRate)^6))</f>
        <v/>
      </c>
      <c r="BP140" s="36">
        <f>IF(A140="","",(K140)*(IF((YEAR(D140)+7)&lt;YEAR(E140),0,IF((YEAR(D140)+7)&gt;YEAR(E140),1,(12-MONTH(E140)+1)/12)))*(1/(1+DiscountRate)^7))</f>
        <v/>
      </c>
      <c r="BQ140" s="36">
        <f>IF(A140="","",(K140)*(IF((YEAR(D140)+8)&lt;YEAR(E140),0,IF((YEAR(D140)+8)&gt;YEAR(E140),1,(12-MONTH(E140)+1)/12)))*(1/(1+DiscountRate)^8))</f>
        <v/>
      </c>
      <c r="BR140" s="36">
        <f>IF(A140="","",(K140)*(IF((YEAR(D140)+9)&lt;YEAR(E140),0,IF((YEAR(D140)+9)&gt;YEAR(E140),1,(12-MONTH(E140)+1)/12)))*(1/(1+DiscountRate)^9))</f>
        <v/>
      </c>
      <c r="BS140" s="36">
        <f>IF(A140="","",(K140)*(IF((YEAR(D140)+10)&lt;YEAR(E140),0,IF((YEAR(D140)+10)&gt;YEAR(E140),1,(12-MONTH(E140)+1)/12)))*(1/(1+DiscountRate)^10))</f>
        <v/>
      </c>
      <c r="BT140" s="36">
        <f>IF(A140="","",(K140)*(IF((YEAR(D140)+11)&lt;YEAR(E140),0,IF((YEAR(D140)+11)&gt;YEAR(E140),1,(12-MONTH(E140)+1)/12)))*(1/(1+DiscountRate)^11))</f>
        <v/>
      </c>
      <c r="BU140" s="36">
        <f>IF(A140="","",(K140)*(IF((YEAR(D140)+12)&lt;YEAR(E140),0,IF((YEAR(D140)+12)&gt;YEAR(E140),1,(12-MONTH(E140)+1)/12)))*(1/(1+DiscountRate)^12))</f>
        <v/>
      </c>
      <c r="BV140" s="36">
        <f>IF(A140="","",(K140)*(IF((YEAR(D140)+13)&lt;YEAR(E140),0,IF((YEAR(D140)+13)&gt;YEAR(E140),1,(12-MONTH(E140)+1)/12)))*(1/(1+DiscountRate)^13))</f>
        <v/>
      </c>
      <c r="BW140" s="36">
        <f>IF(A140="","",(K140)*(IF((YEAR(D140)+14)&lt;YEAR(E140),0,IF((YEAR(D140)+14)&gt;YEAR(E140),1,(12-MONTH(E140)+1)/12)))*(1/(1+DiscountRate)^14))</f>
        <v/>
      </c>
      <c r="BX140" s="36">
        <f>IF(A140="","",(K140)*(IF((YEAR(D140)+15)&lt;YEAR(E140),0,IF((YEAR(D140)+15)&gt;YEAR(E140),1,(12-MONTH(E140)+1)/12)))*(1/(1+DiscountRate)^15))</f>
        <v/>
      </c>
      <c r="BY140" s="36">
        <f>IF(A140="","",(K140)*(IF((YEAR(D140)+16)&lt;YEAR(E140),0,IF((YEAR(D140)+16)&gt;YEAR(E140),1,(12-MONTH(E140)+1)/12)))*(1/(1+DiscountRate)^16))</f>
        <v/>
      </c>
      <c r="BZ140" s="36">
        <f>IF(A140="","",(K140)*(IF((YEAR(D140)+17)&lt;YEAR(E140),0,IF((YEAR(D140)+17)&gt;YEAR(E140),1,(12-MONTH(E140)+1)/12)))*(1/(1+DiscountRate)^17))</f>
        <v/>
      </c>
      <c r="CA140" s="36">
        <f>IF(A140="","",(K140)*(IF((YEAR(D140)+18)&lt;YEAR(E140),0,IF((YEAR(D140)+18)&gt;YEAR(E140),1,(12-MONTH(E140)+1)/12)))*(1/(1+DiscountRate)^18))</f>
        <v/>
      </c>
      <c r="CB140" s="36">
        <f>IF(A140="","",(K140)*(IF((YEAR(D140)+19)&lt;YEAR(E140),0,IF((YEAR(D140)+19)&gt;YEAR(E140),1,(12-MONTH(E140)+1)/12)))*(1/(1+DiscountRate)^19))</f>
        <v/>
      </c>
      <c r="CC140" s="36">
        <f>IF(A140="","",(K140)*(IF((YEAR(D140)+20)&lt;YEAR(E140),0,IF((YEAR(D140)+20)&gt;YEAR(E140),1,(12-MONTH(E140)+1)/12)))*(1/(1+DiscountRate)^20))</f>
        <v/>
      </c>
      <c r="CD140" s="29">
        <f>IF(A140="","",S140/(1+DiscountRate)^0+T140/(1+DiscountRate)^1+U140/(1+DiscountRate)^2+V140/(1+DiscountRate)^3+W140/(1+DiscountRate)^4+X140/(1+DiscountRate)^5+Y140/(1+DiscountRate)^6+Z140/(1+DiscountRate)^7+AA140/(1+DiscountRate)^8+AB140/(1+DiscountRate)^9+AC140/(1+DiscountRate)^10+AD140/(1+DiscountRate)^11+AE140/(1+DiscountRate)^12+AF140/(1+DiscountRate)^13+AG140/(1+DiscountRate)^14+AH140/(1+DiscountRate)^15+AI140/(1+DiscountRate)^16+AJ140/(1+DiscountRate)^17+AK140/(1+DiscountRate)^18+AL140/(1+DiscountRate)^19+AM140/(1+DiscountRate)^20)</f>
        <v/>
      </c>
      <c r="CE140" s="37">
        <f>IF(A140="","",IFERROR(IRR(OFFSET(S140,0,0,1,MIN(HorizonYears,20)+1)),"n/a"))</f>
        <v/>
      </c>
      <c r="CF140" s="28">
        <f>IF(A140="","",IFERROR(MATCH(TRUE,OFFSET(AN140,0,0,1,MIN(HorizonYears,20)+1)&gt;=0,0)-1,"n/a"))</f>
        <v/>
      </c>
      <c r="CG140" s="36">
        <f>IF(A140="","",SUM(OFFSET(BI140,0,0,1,MIN(HorizonYears,20)+1)))</f>
        <v/>
      </c>
      <c r="CH140" s="36">
        <f>IF(A140="","",IFERROR(-CD140/CG140,"n/a"))</f>
        <v/>
      </c>
    </row>
    <row r="141">
      <c r="A141" s="6">
        <f>Actions!A139</f>
        <v/>
      </c>
      <c r="B141" s="6">
        <f>Actions!B139</f>
        <v/>
      </c>
      <c r="C141" s="6">
        <f>Actions!D139</f>
        <v/>
      </c>
      <c r="D141" s="35">
        <f>Actions!E139</f>
        <v/>
      </c>
      <c r="E141" s="35">
        <f>Actions!F139</f>
        <v/>
      </c>
      <c r="F141" s="6">
        <f>Actions!G139</f>
        <v/>
      </c>
      <c r="G141" s="6">
        <f>Actions!H139</f>
        <v/>
      </c>
      <c r="H141" s="29">
        <f>Actions!I139</f>
        <v/>
      </c>
      <c r="I141" s="6">
        <f>Actions!J139</f>
        <v/>
      </c>
      <c r="J141" s="16">
        <f>Actions!K139</f>
        <v/>
      </c>
      <c r="K141" s="16">
        <f>IF(A141="","",IF(I141="%",H141*J141,J141))</f>
        <v/>
      </c>
      <c r="L141" s="16">
        <f>Actions!L139</f>
        <v/>
      </c>
      <c r="M141" s="6">
        <f>Actions!M139</f>
        <v/>
      </c>
      <c r="N141" s="28">
        <f>Actions!N139</f>
        <v/>
      </c>
      <c r="O141" s="29">
        <f>Actions!T139</f>
        <v/>
      </c>
      <c r="P141" s="29">
        <f>Actions!Y139</f>
        <v/>
      </c>
      <c r="Q141" s="29">
        <f>Actions!Z139</f>
        <v/>
      </c>
      <c r="R141" s="29">
        <f>Actions!AA139</f>
        <v/>
      </c>
      <c r="S141" s="29">
        <f>IF(A141="","",((K141)*(IF(M141="",L141,IFERROR(IF(INDEX(Variablen!$I:$AT, MATCH(M141, Variablen!$A:$A, 0), MATCH((YEAR(D141)+0), Variablen!$I$3:$AT$3, 0))="",L141,INDEX(Variablen!$I:$AT, MATCH(M141, Variablen!$A:$A, 0), MATCH((YEAR(D141)+0), Variablen!$I$3:$AT$3, 0))),L141)))*(IF((YEAR(D141)+0)&lt;YEAR(E141),0,IF((YEAR(D141)+0)&gt;YEAR(E141),1,(12-MONTH(E141)+1)/12))) + (Q141)*(IF((YEAR(D141)+0)&lt;YEAR(E141),0,IF((YEAR(D141)+0)&gt;YEAR(E141),1,(12-MONTH(E141)+1)/12))))-((P141)*(IF((YEAR(D141)+0)&lt;YEAR(E141),0,IF((YEAR(D141)+0)&gt;YEAR(E141),1,(12-MONTH(E141)+1)/12))) + (R141)*(IF((YEAR(D141)+0)&lt;YEAR(E141),0,IF((YEAR(D141)+0)&gt;YEAR(E141),1,(12-MONTH(E141)+1)/12))))-(IF((((K141)*(IF(M141="",L141,IFERROR(IF(INDEX(Variablen!$I:$AT, MATCH(M141, Variablen!$A:$A, 0), MATCH((YEAR(D141)+0), Variablen!$I$3:$AT$3, 0))="",L141,INDEX(Variablen!$I:$AT, MATCH(M141, Variablen!$A:$A, 0), MATCH((YEAR(D141)+0), Variablen!$I$3:$AT$3, 0))),L141)))*(IF((YEAR(D141)+0)&lt;YEAR(E141),0,IF((YEAR(D141)+0)&gt;YEAR(E141),1,(12-MONTH(E141)+1)/12))) + (Q141)*(IF((YEAR(D141)+0)&lt;YEAR(E141),0,IF((YEAR(D141)+0)&gt;YEAR(E141),1,(12-MONTH(E141)+1)/12))))-((P141)*(IF((YEAR(D141)+0)&lt;YEAR(E141),0,IF((YEAR(D141)+0)&gt;YEAR(E141),1,(12-MONTH(E141)+1)/12))) + (R141)*(IF((YEAR(D141)+0)&lt;YEAR(E141),0,IF((YEAR(D141)+0)&gt;YEAR(E141),1,(12-MONTH(E141)+1)/12))))-(IF(OR(N141="",N141&lt;=0),0,(O141/N141)*(IF(OR(N141="",N141&lt;=0),0,IF((YEAR(D141)+0)&lt;YEAR(E141),0,IF((YEAR(D141)+0)&gt;=YEAR(E141)+N141,0,IF((YEAR(D141)+0)=YEAR(E141),(12-MONTH(E141)+1)/12,1))))))))&gt;0,(((K141)*(IF(M141="",L141,IFERROR(IF(INDEX(Variablen!$I:$AT, MATCH(M141, Variablen!$A:$A, 0), MATCH((YEAR(D141)+0), Variablen!$I$3:$AT$3, 0))="",L141,INDEX(Variablen!$I:$AT, MATCH(M141, Variablen!$A:$A, 0), MATCH((YEAR(D141)+0), Variablen!$I$3:$AT$3, 0))),L141)))*(IF((YEAR(D141)+0)&lt;YEAR(E141),0,IF((YEAR(D141)+0)&gt;YEAR(E141),1,(12-MONTH(E141)+1)/12))) + (Q141)*(IF((YEAR(D141)+0)&lt;YEAR(E141),0,IF((YEAR(D141)+0)&gt;YEAR(E141),1,(12-MONTH(E141)+1)/12))))-((P141)*(IF((YEAR(D141)+0)&lt;YEAR(E141),0,IF((YEAR(D141)+0)&gt;YEAR(E141),1,(12-MONTH(E141)+1)/12))) + (R141)*(IF((YEAR(D141)+0)&lt;YEAR(E141),0,IF((YEAR(D141)+0)&gt;YEAR(E141),1,(12-MONTH(E141)+1)/12))))-(IF(OR(N141="",N141&lt;=0),0,(O141/N141)*(IF(OR(N141="",N141&lt;=0),0,IF((YEAR(D141)+0)&lt;YEAR(E141),0,IF((YEAR(D141)+0)&gt;=YEAR(E141)+N141,0,IF((YEAR(D141)+0)=YEAR(E141),(12-MONTH(E141)+1)/12,1))))))))*TaxRate,0))-IF(0=0,O141,0))</f>
        <v/>
      </c>
      <c r="T141" s="29">
        <f>IF(A141="","",((K141)*(IF(M141="",L141,IFERROR(IF(INDEX(Variablen!$I:$AT, MATCH(M141, Variablen!$A:$A, 0), MATCH((YEAR(D141)+1), Variablen!$I$3:$AT$3, 0))="",L141,INDEX(Variablen!$I:$AT, MATCH(M141, Variablen!$A:$A, 0), MATCH((YEAR(D141)+1), Variablen!$I$3:$AT$3, 0))),L141)))*(IF((YEAR(D141)+1)&lt;YEAR(E141),0,IF((YEAR(D141)+1)&gt;YEAR(E141),1,(12-MONTH(E141)+1)/12))) + (Q141)*(IF((YEAR(D141)+1)&lt;YEAR(E141),0,IF((YEAR(D141)+1)&gt;YEAR(E141),1,(12-MONTH(E141)+1)/12))))-((P141)*(IF((YEAR(D141)+1)&lt;YEAR(E141),0,IF((YEAR(D141)+1)&gt;YEAR(E141),1,(12-MONTH(E141)+1)/12))) + (R141)*(IF((YEAR(D141)+1)&lt;YEAR(E141),0,IF((YEAR(D141)+1)&gt;YEAR(E141),1,(12-MONTH(E141)+1)/12))))-(IF((((K141)*(IF(M141="",L141,IFERROR(IF(INDEX(Variablen!$I:$AT, MATCH(M141, Variablen!$A:$A, 0), MATCH((YEAR(D141)+1), Variablen!$I$3:$AT$3, 0))="",L141,INDEX(Variablen!$I:$AT, MATCH(M141, Variablen!$A:$A, 0), MATCH((YEAR(D141)+1), Variablen!$I$3:$AT$3, 0))),L141)))*(IF((YEAR(D141)+1)&lt;YEAR(E141),0,IF((YEAR(D141)+1)&gt;YEAR(E141),1,(12-MONTH(E141)+1)/12))) + (Q141)*(IF((YEAR(D141)+1)&lt;YEAR(E141),0,IF((YEAR(D141)+1)&gt;YEAR(E141),1,(12-MONTH(E141)+1)/12))))-((P141)*(IF((YEAR(D141)+1)&lt;YEAR(E141),0,IF((YEAR(D141)+1)&gt;YEAR(E141),1,(12-MONTH(E141)+1)/12))) + (R141)*(IF((YEAR(D141)+1)&lt;YEAR(E141),0,IF((YEAR(D141)+1)&gt;YEAR(E141),1,(12-MONTH(E141)+1)/12))))-(IF(OR(N141="",N141&lt;=0),0,(O141/N141)*(IF(OR(N141="",N141&lt;=0),0,IF((YEAR(D141)+1)&lt;YEAR(E141),0,IF((YEAR(D141)+1)&gt;=YEAR(E141)+N141,0,IF((YEAR(D141)+1)=YEAR(E141),(12-MONTH(E141)+1)/12,1))))))))&gt;0,(((K141)*(IF(M141="",L141,IFERROR(IF(INDEX(Variablen!$I:$AT, MATCH(M141, Variablen!$A:$A, 0), MATCH((YEAR(D141)+1), Variablen!$I$3:$AT$3, 0))="",L141,INDEX(Variablen!$I:$AT, MATCH(M141, Variablen!$A:$A, 0), MATCH((YEAR(D141)+1), Variablen!$I$3:$AT$3, 0))),L141)))*(IF((YEAR(D141)+1)&lt;YEAR(E141),0,IF((YEAR(D141)+1)&gt;YEAR(E141),1,(12-MONTH(E141)+1)/12))) + (Q141)*(IF((YEAR(D141)+1)&lt;YEAR(E141),0,IF((YEAR(D141)+1)&gt;YEAR(E141),1,(12-MONTH(E141)+1)/12))))-((P141)*(IF((YEAR(D141)+1)&lt;YEAR(E141),0,IF((YEAR(D141)+1)&gt;YEAR(E141),1,(12-MONTH(E141)+1)/12))) + (R141)*(IF((YEAR(D141)+1)&lt;YEAR(E141),0,IF((YEAR(D141)+1)&gt;YEAR(E141),1,(12-MONTH(E141)+1)/12))))-(IF(OR(N141="",N141&lt;=0),0,(O141/N141)*(IF(OR(N141="",N141&lt;=0),0,IF((YEAR(D141)+1)&lt;YEAR(E141),0,IF((YEAR(D141)+1)&gt;=YEAR(E141)+N141,0,IF((YEAR(D141)+1)=YEAR(E141),(12-MONTH(E141)+1)/12,1))))))))*TaxRate,0))-IF(1=0,O141,0))</f>
        <v/>
      </c>
      <c r="U141" s="29">
        <f>IF(A141="","",((K141)*(IF(M141="",L141,IFERROR(IF(INDEX(Variablen!$I:$AT, MATCH(M141, Variablen!$A:$A, 0), MATCH((YEAR(D141)+2), Variablen!$I$3:$AT$3, 0))="",L141,INDEX(Variablen!$I:$AT, MATCH(M141, Variablen!$A:$A, 0), MATCH((YEAR(D141)+2), Variablen!$I$3:$AT$3, 0))),L141)))*(IF((YEAR(D141)+2)&lt;YEAR(E141),0,IF((YEAR(D141)+2)&gt;YEAR(E141),1,(12-MONTH(E141)+1)/12))) + (Q141)*(IF((YEAR(D141)+2)&lt;YEAR(E141),0,IF((YEAR(D141)+2)&gt;YEAR(E141),1,(12-MONTH(E141)+1)/12))))-((P141)*(IF((YEAR(D141)+2)&lt;YEAR(E141),0,IF((YEAR(D141)+2)&gt;YEAR(E141),1,(12-MONTH(E141)+1)/12))) + (R141)*(IF((YEAR(D141)+2)&lt;YEAR(E141),0,IF((YEAR(D141)+2)&gt;YEAR(E141),1,(12-MONTH(E141)+1)/12))))-(IF((((K141)*(IF(M141="",L141,IFERROR(IF(INDEX(Variablen!$I:$AT, MATCH(M141, Variablen!$A:$A, 0), MATCH((YEAR(D141)+2), Variablen!$I$3:$AT$3, 0))="",L141,INDEX(Variablen!$I:$AT, MATCH(M141, Variablen!$A:$A, 0), MATCH((YEAR(D141)+2), Variablen!$I$3:$AT$3, 0))),L141)))*(IF((YEAR(D141)+2)&lt;YEAR(E141),0,IF((YEAR(D141)+2)&gt;YEAR(E141),1,(12-MONTH(E141)+1)/12))) + (Q141)*(IF((YEAR(D141)+2)&lt;YEAR(E141),0,IF((YEAR(D141)+2)&gt;YEAR(E141),1,(12-MONTH(E141)+1)/12))))-((P141)*(IF((YEAR(D141)+2)&lt;YEAR(E141),0,IF((YEAR(D141)+2)&gt;YEAR(E141),1,(12-MONTH(E141)+1)/12))) + (R141)*(IF((YEAR(D141)+2)&lt;YEAR(E141),0,IF((YEAR(D141)+2)&gt;YEAR(E141),1,(12-MONTH(E141)+1)/12))))-(IF(OR(N141="",N141&lt;=0),0,(O141/N141)*(IF(OR(N141="",N141&lt;=0),0,IF((YEAR(D141)+2)&lt;YEAR(E141),0,IF((YEAR(D141)+2)&gt;=YEAR(E141)+N141,0,IF((YEAR(D141)+2)=YEAR(E141),(12-MONTH(E141)+1)/12,1))))))))&gt;0,(((K141)*(IF(M141="",L141,IFERROR(IF(INDEX(Variablen!$I:$AT, MATCH(M141, Variablen!$A:$A, 0), MATCH((YEAR(D141)+2), Variablen!$I$3:$AT$3, 0))="",L141,INDEX(Variablen!$I:$AT, MATCH(M141, Variablen!$A:$A, 0), MATCH((YEAR(D141)+2), Variablen!$I$3:$AT$3, 0))),L141)))*(IF((YEAR(D141)+2)&lt;YEAR(E141),0,IF((YEAR(D141)+2)&gt;YEAR(E141),1,(12-MONTH(E141)+1)/12))) + (Q141)*(IF((YEAR(D141)+2)&lt;YEAR(E141),0,IF((YEAR(D141)+2)&gt;YEAR(E141),1,(12-MONTH(E141)+1)/12))))-((P141)*(IF((YEAR(D141)+2)&lt;YEAR(E141),0,IF((YEAR(D141)+2)&gt;YEAR(E141),1,(12-MONTH(E141)+1)/12))) + (R141)*(IF((YEAR(D141)+2)&lt;YEAR(E141),0,IF((YEAR(D141)+2)&gt;YEAR(E141),1,(12-MONTH(E141)+1)/12))))-(IF(OR(N141="",N141&lt;=0),0,(O141/N141)*(IF(OR(N141="",N141&lt;=0),0,IF((YEAR(D141)+2)&lt;YEAR(E141),0,IF((YEAR(D141)+2)&gt;=YEAR(E141)+N141,0,IF((YEAR(D141)+2)=YEAR(E141),(12-MONTH(E141)+1)/12,1))))))))*TaxRate,0))-IF(2=0,O141,0))</f>
        <v/>
      </c>
      <c r="V141" s="29">
        <f>IF(A141="","",((K141)*(IF(M141="",L141,IFERROR(IF(INDEX(Variablen!$I:$AT, MATCH(M141, Variablen!$A:$A, 0), MATCH((YEAR(D141)+3), Variablen!$I$3:$AT$3, 0))="",L141,INDEX(Variablen!$I:$AT, MATCH(M141, Variablen!$A:$A, 0), MATCH((YEAR(D141)+3), Variablen!$I$3:$AT$3, 0))),L141)))*(IF((YEAR(D141)+3)&lt;YEAR(E141),0,IF((YEAR(D141)+3)&gt;YEAR(E141),1,(12-MONTH(E141)+1)/12))) + (Q141)*(IF((YEAR(D141)+3)&lt;YEAR(E141),0,IF((YEAR(D141)+3)&gt;YEAR(E141),1,(12-MONTH(E141)+1)/12))))-((P141)*(IF((YEAR(D141)+3)&lt;YEAR(E141),0,IF((YEAR(D141)+3)&gt;YEAR(E141),1,(12-MONTH(E141)+1)/12))) + (R141)*(IF((YEAR(D141)+3)&lt;YEAR(E141),0,IF((YEAR(D141)+3)&gt;YEAR(E141),1,(12-MONTH(E141)+1)/12))))-(IF((((K141)*(IF(M141="",L141,IFERROR(IF(INDEX(Variablen!$I:$AT, MATCH(M141, Variablen!$A:$A, 0), MATCH((YEAR(D141)+3), Variablen!$I$3:$AT$3, 0))="",L141,INDEX(Variablen!$I:$AT, MATCH(M141, Variablen!$A:$A, 0), MATCH((YEAR(D141)+3), Variablen!$I$3:$AT$3, 0))),L141)))*(IF((YEAR(D141)+3)&lt;YEAR(E141),0,IF((YEAR(D141)+3)&gt;YEAR(E141),1,(12-MONTH(E141)+1)/12))) + (Q141)*(IF((YEAR(D141)+3)&lt;YEAR(E141),0,IF((YEAR(D141)+3)&gt;YEAR(E141),1,(12-MONTH(E141)+1)/12))))-((P141)*(IF((YEAR(D141)+3)&lt;YEAR(E141),0,IF((YEAR(D141)+3)&gt;YEAR(E141),1,(12-MONTH(E141)+1)/12))) + (R141)*(IF((YEAR(D141)+3)&lt;YEAR(E141),0,IF((YEAR(D141)+3)&gt;YEAR(E141),1,(12-MONTH(E141)+1)/12))))-(IF(OR(N141="",N141&lt;=0),0,(O141/N141)*(IF(OR(N141="",N141&lt;=0),0,IF((YEAR(D141)+3)&lt;YEAR(E141),0,IF((YEAR(D141)+3)&gt;=YEAR(E141)+N141,0,IF((YEAR(D141)+3)=YEAR(E141),(12-MONTH(E141)+1)/12,1))))))))&gt;0,(((K141)*(IF(M141="",L141,IFERROR(IF(INDEX(Variablen!$I:$AT, MATCH(M141, Variablen!$A:$A, 0), MATCH((YEAR(D141)+3), Variablen!$I$3:$AT$3, 0))="",L141,INDEX(Variablen!$I:$AT, MATCH(M141, Variablen!$A:$A, 0), MATCH((YEAR(D141)+3), Variablen!$I$3:$AT$3, 0))),L141)))*(IF((YEAR(D141)+3)&lt;YEAR(E141),0,IF((YEAR(D141)+3)&gt;YEAR(E141),1,(12-MONTH(E141)+1)/12))) + (Q141)*(IF((YEAR(D141)+3)&lt;YEAR(E141),0,IF((YEAR(D141)+3)&gt;YEAR(E141),1,(12-MONTH(E141)+1)/12))))-((P141)*(IF((YEAR(D141)+3)&lt;YEAR(E141),0,IF((YEAR(D141)+3)&gt;YEAR(E141),1,(12-MONTH(E141)+1)/12))) + (R141)*(IF((YEAR(D141)+3)&lt;YEAR(E141),0,IF((YEAR(D141)+3)&gt;YEAR(E141),1,(12-MONTH(E141)+1)/12))))-(IF(OR(N141="",N141&lt;=0),0,(O141/N141)*(IF(OR(N141="",N141&lt;=0),0,IF((YEAR(D141)+3)&lt;YEAR(E141),0,IF((YEAR(D141)+3)&gt;=YEAR(E141)+N141,0,IF((YEAR(D141)+3)=YEAR(E141),(12-MONTH(E141)+1)/12,1))))))))*TaxRate,0))-IF(3=0,O141,0))</f>
        <v/>
      </c>
      <c r="W141" s="29">
        <f>IF(A141="","",((K141)*(IF(M141="",L141,IFERROR(IF(INDEX(Variablen!$I:$AT, MATCH(M141, Variablen!$A:$A, 0), MATCH((YEAR(D141)+4), Variablen!$I$3:$AT$3, 0))="",L141,INDEX(Variablen!$I:$AT, MATCH(M141, Variablen!$A:$A, 0), MATCH((YEAR(D141)+4), Variablen!$I$3:$AT$3, 0))),L141)))*(IF((YEAR(D141)+4)&lt;YEAR(E141),0,IF((YEAR(D141)+4)&gt;YEAR(E141),1,(12-MONTH(E141)+1)/12))) + (Q141)*(IF((YEAR(D141)+4)&lt;YEAR(E141),0,IF((YEAR(D141)+4)&gt;YEAR(E141),1,(12-MONTH(E141)+1)/12))))-((P141)*(IF((YEAR(D141)+4)&lt;YEAR(E141),0,IF((YEAR(D141)+4)&gt;YEAR(E141),1,(12-MONTH(E141)+1)/12))) + (R141)*(IF((YEAR(D141)+4)&lt;YEAR(E141),0,IF((YEAR(D141)+4)&gt;YEAR(E141),1,(12-MONTH(E141)+1)/12))))-(IF((((K141)*(IF(M141="",L141,IFERROR(IF(INDEX(Variablen!$I:$AT, MATCH(M141, Variablen!$A:$A, 0), MATCH((YEAR(D141)+4), Variablen!$I$3:$AT$3, 0))="",L141,INDEX(Variablen!$I:$AT, MATCH(M141, Variablen!$A:$A, 0), MATCH((YEAR(D141)+4), Variablen!$I$3:$AT$3, 0))),L141)))*(IF((YEAR(D141)+4)&lt;YEAR(E141),0,IF((YEAR(D141)+4)&gt;YEAR(E141),1,(12-MONTH(E141)+1)/12))) + (Q141)*(IF((YEAR(D141)+4)&lt;YEAR(E141),0,IF((YEAR(D141)+4)&gt;YEAR(E141),1,(12-MONTH(E141)+1)/12))))-((P141)*(IF((YEAR(D141)+4)&lt;YEAR(E141),0,IF((YEAR(D141)+4)&gt;YEAR(E141),1,(12-MONTH(E141)+1)/12))) + (R141)*(IF((YEAR(D141)+4)&lt;YEAR(E141),0,IF((YEAR(D141)+4)&gt;YEAR(E141),1,(12-MONTH(E141)+1)/12))))-(IF(OR(N141="",N141&lt;=0),0,(O141/N141)*(IF(OR(N141="",N141&lt;=0),0,IF((YEAR(D141)+4)&lt;YEAR(E141),0,IF((YEAR(D141)+4)&gt;=YEAR(E141)+N141,0,IF((YEAR(D141)+4)=YEAR(E141),(12-MONTH(E141)+1)/12,1))))))))&gt;0,(((K141)*(IF(M141="",L141,IFERROR(IF(INDEX(Variablen!$I:$AT, MATCH(M141, Variablen!$A:$A, 0), MATCH((YEAR(D141)+4), Variablen!$I$3:$AT$3, 0))="",L141,INDEX(Variablen!$I:$AT, MATCH(M141, Variablen!$A:$A, 0), MATCH((YEAR(D141)+4), Variablen!$I$3:$AT$3, 0))),L141)))*(IF((YEAR(D141)+4)&lt;YEAR(E141),0,IF((YEAR(D141)+4)&gt;YEAR(E141),1,(12-MONTH(E141)+1)/12))) + (Q141)*(IF((YEAR(D141)+4)&lt;YEAR(E141),0,IF((YEAR(D141)+4)&gt;YEAR(E141),1,(12-MONTH(E141)+1)/12))))-((P141)*(IF((YEAR(D141)+4)&lt;YEAR(E141),0,IF((YEAR(D141)+4)&gt;YEAR(E141),1,(12-MONTH(E141)+1)/12))) + (R141)*(IF((YEAR(D141)+4)&lt;YEAR(E141),0,IF((YEAR(D141)+4)&gt;YEAR(E141),1,(12-MONTH(E141)+1)/12))))-(IF(OR(N141="",N141&lt;=0),0,(O141/N141)*(IF(OR(N141="",N141&lt;=0),0,IF((YEAR(D141)+4)&lt;YEAR(E141),0,IF((YEAR(D141)+4)&gt;=YEAR(E141)+N141,0,IF((YEAR(D141)+4)=YEAR(E141),(12-MONTH(E141)+1)/12,1))))))))*TaxRate,0))-IF(4=0,O141,0))</f>
        <v/>
      </c>
      <c r="X141" s="29">
        <f>IF(A141="","",((K141)*(IF(M141="",L141,IFERROR(IF(INDEX(Variablen!$I:$AT, MATCH(M141, Variablen!$A:$A, 0), MATCH((YEAR(D141)+5), Variablen!$I$3:$AT$3, 0))="",L141,INDEX(Variablen!$I:$AT, MATCH(M141, Variablen!$A:$A, 0), MATCH((YEAR(D141)+5), Variablen!$I$3:$AT$3, 0))),L141)))*(IF((YEAR(D141)+5)&lt;YEAR(E141),0,IF((YEAR(D141)+5)&gt;YEAR(E141),1,(12-MONTH(E141)+1)/12))) + (Q141)*(IF((YEAR(D141)+5)&lt;YEAR(E141),0,IF((YEAR(D141)+5)&gt;YEAR(E141),1,(12-MONTH(E141)+1)/12))))-((P141)*(IF((YEAR(D141)+5)&lt;YEAR(E141),0,IF((YEAR(D141)+5)&gt;YEAR(E141),1,(12-MONTH(E141)+1)/12))) + (R141)*(IF((YEAR(D141)+5)&lt;YEAR(E141),0,IF((YEAR(D141)+5)&gt;YEAR(E141),1,(12-MONTH(E141)+1)/12))))-(IF((((K141)*(IF(M141="",L141,IFERROR(IF(INDEX(Variablen!$I:$AT, MATCH(M141, Variablen!$A:$A, 0), MATCH((YEAR(D141)+5), Variablen!$I$3:$AT$3, 0))="",L141,INDEX(Variablen!$I:$AT, MATCH(M141, Variablen!$A:$A, 0), MATCH((YEAR(D141)+5), Variablen!$I$3:$AT$3, 0))),L141)))*(IF((YEAR(D141)+5)&lt;YEAR(E141),0,IF((YEAR(D141)+5)&gt;YEAR(E141),1,(12-MONTH(E141)+1)/12))) + (Q141)*(IF((YEAR(D141)+5)&lt;YEAR(E141),0,IF((YEAR(D141)+5)&gt;YEAR(E141),1,(12-MONTH(E141)+1)/12))))-((P141)*(IF((YEAR(D141)+5)&lt;YEAR(E141),0,IF((YEAR(D141)+5)&gt;YEAR(E141),1,(12-MONTH(E141)+1)/12))) + (R141)*(IF((YEAR(D141)+5)&lt;YEAR(E141),0,IF((YEAR(D141)+5)&gt;YEAR(E141),1,(12-MONTH(E141)+1)/12))))-(IF(OR(N141="",N141&lt;=0),0,(O141/N141)*(IF(OR(N141="",N141&lt;=0),0,IF((YEAR(D141)+5)&lt;YEAR(E141),0,IF((YEAR(D141)+5)&gt;=YEAR(E141)+N141,0,IF((YEAR(D141)+5)=YEAR(E141),(12-MONTH(E141)+1)/12,1))))))))&gt;0,(((K141)*(IF(M141="",L141,IFERROR(IF(INDEX(Variablen!$I:$AT, MATCH(M141, Variablen!$A:$A, 0), MATCH((YEAR(D141)+5), Variablen!$I$3:$AT$3, 0))="",L141,INDEX(Variablen!$I:$AT, MATCH(M141, Variablen!$A:$A, 0), MATCH((YEAR(D141)+5), Variablen!$I$3:$AT$3, 0))),L141)))*(IF((YEAR(D141)+5)&lt;YEAR(E141),0,IF((YEAR(D141)+5)&gt;YEAR(E141),1,(12-MONTH(E141)+1)/12))) + (Q141)*(IF((YEAR(D141)+5)&lt;YEAR(E141),0,IF((YEAR(D141)+5)&gt;YEAR(E141),1,(12-MONTH(E141)+1)/12))))-((P141)*(IF((YEAR(D141)+5)&lt;YEAR(E141),0,IF((YEAR(D141)+5)&gt;YEAR(E141),1,(12-MONTH(E141)+1)/12))) + (R141)*(IF((YEAR(D141)+5)&lt;YEAR(E141),0,IF((YEAR(D141)+5)&gt;YEAR(E141),1,(12-MONTH(E141)+1)/12))))-(IF(OR(N141="",N141&lt;=0),0,(O141/N141)*(IF(OR(N141="",N141&lt;=0),0,IF((YEAR(D141)+5)&lt;YEAR(E141),0,IF((YEAR(D141)+5)&gt;=YEAR(E141)+N141,0,IF((YEAR(D141)+5)=YEAR(E141),(12-MONTH(E141)+1)/12,1))))))))*TaxRate,0))-IF(5=0,O141,0))</f>
        <v/>
      </c>
      <c r="Y141" s="29">
        <f>IF(A141="","",((K141)*(IF(M141="",L141,IFERROR(IF(INDEX(Variablen!$I:$AT, MATCH(M141, Variablen!$A:$A, 0), MATCH((YEAR(D141)+6), Variablen!$I$3:$AT$3, 0))="",L141,INDEX(Variablen!$I:$AT, MATCH(M141, Variablen!$A:$A, 0), MATCH((YEAR(D141)+6), Variablen!$I$3:$AT$3, 0))),L141)))*(IF((YEAR(D141)+6)&lt;YEAR(E141),0,IF((YEAR(D141)+6)&gt;YEAR(E141),1,(12-MONTH(E141)+1)/12))) + (Q141)*(IF((YEAR(D141)+6)&lt;YEAR(E141),0,IF((YEAR(D141)+6)&gt;YEAR(E141),1,(12-MONTH(E141)+1)/12))))-((P141)*(IF((YEAR(D141)+6)&lt;YEAR(E141),0,IF((YEAR(D141)+6)&gt;YEAR(E141),1,(12-MONTH(E141)+1)/12))) + (R141)*(IF((YEAR(D141)+6)&lt;YEAR(E141),0,IF((YEAR(D141)+6)&gt;YEAR(E141),1,(12-MONTH(E141)+1)/12))))-(IF((((K141)*(IF(M141="",L141,IFERROR(IF(INDEX(Variablen!$I:$AT, MATCH(M141, Variablen!$A:$A, 0), MATCH((YEAR(D141)+6), Variablen!$I$3:$AT$3, 0))="",L141,INDEX(Variablen!$I:$AT, MATCH(M141, Variablen!$A:$A, 0), MATCH((YEAR(D141)+6), Variablen!$I$3:$AT$3, 0))),L141)))*(IF((YEAR(D141)+6)&lt;YEAR(E141),0,IF((YEAR(D141)+6)&gt;YEAR(E141),1,(12-MONTH(E141)+1)/12))) + (Q141)*(IF((YEAR(D141)+6)&lt;YEAR(E141),0,IF((YEAR(D141)+6)&gt;YEAR(E141),1,(12-MONTH(E141)+1)/12))))-((P141)*(IF((YEAR(D141)+6)&lt;YEAR(E141),0,IF((YEAR(D141)+6)&gt;YEAR(E141),1,(12-MONTH(E141)+1)/12))) + (R141)*(IF((YEAR(D141)+6)&lt;YEAR(E141),0,IF((YEAR(D141)+6)&gt;YEAR(E141),1,(12-MONTH(E141)+1)/12))))-(IF(OR(N141="",N141&lt;=0),0,(O141/N141)*(IF(OR(N141="",N141&lt;=0),0,IF((YEAR(D141)+6)&lt;YEAR(E141),0,IF((YEAR(D141)+6)&gt;=YEAR(E141)+N141,0,IF((YEAR(D141)+6)=YEAR(E141),(12-MONTH(E141)+1)/12,1))))))))&gt;0,(((K141)*(IF(M141="",L141,IFERROR(IF(INDEX(Variablen!$I:$AT, MATCH(M141, Variablen!$A:$A, 0), MATCH((YEAR(D141)+6), Variablen!$I$3:$AT$3, 0))="",L141,INDEX(Variablen!$I:$AT, MATCH(M141, Variablen!$A:$A, 0), MATCH((YEAR(D141)+6), Variablen!$I$3:$AT$3, 0))),L141)))*(IF((YEAR(D141)+6)&lt;YEAR(E141),0,IF((YEAR(D141)+6)&gt;YEAR(E141),1,(12-MONTH(E141)+1)/12))) + (Q141)*(IF((YEAR(D141)+6)&lt;YEAR(E141),0,IF((YEAR(D141)+6)&gt;YEAR(E141),1,(12-MONTH(E141)+1)/12))))-((P141)*(IF((YEAR(D141)+6)&lt;YEAR(E141),0,IF((YEAR(D141)+6)&gt;YEAR(E141),1,(12-MONTH(E141)+1)/12))) + (R141)*(IF((YEAR(D141)+6)&lt;YEAR(E141),0,IF((YEAR(D141)+6)&gt;YEAR(E141),1,(12-MONTH(E141)+1)/12))))-(IF(OR(N141="",N141&lt;=0),0,(O141/N141)*(IF(OR(N141="",N141&lt;=0),0,IF((YEAR(D141)+6)&lt;YEAR(E141),0,IF((YEAR(D141)+6)&gt;=YEAR(E141)+N141,0,IF((YEAR(D141)+6)=YEAR(E141),(12-MONTH(E141)+1)/12,1))))))))*TaxRate,0))-IF(6=0,O141,0))</f>
        <v/>
      </c>
      <c r="Z141" s="29">
        <f>IF(A141="","",((K141)*(IF(M141="",L141,IFERROR(IF(INDEX(Variablen!$I:$AT, MATCH(M141, Variablen!$A:$A, 0), MATCH((YEAR(D141)+7), Variablen!$I$3:$AT$3, 0))="",L141,INDEX(Variablen!$I:$AT, MATCH(M141, Variablen!$A:$A, 0), MATCH((YEAR(D141)+7), Variablen!$I$3:$AT$3, 0))),L141)))*(IF((YEAR(D141)+7)&lt;YEAR(E141),0,IF((YEAR(D141)+7)&gt;YEAR(E141),1,(12-MONTH(E141)+1)/12))) + (Q141)*(IF((YEAR(D141)+7)&lt;YEAR(E141),0,IF((YEAR(D141)+7)&gt;YEAR(E141),1,(12-MONTH(E141)+1)/12))))-((P141)*(IF((YEAR(D141)+7)&lt;YEAR(E141),0,IF((YEAR(D141)+7)&gt;YEAR(E141),1,(12-MONTH(E141)+1)/12))) + (R141)*(IF((YEAR(D141)+7)&lt;YEAR(E141),0,IF((YEAR(D141)+7)&gt;YEAR(E141),1,(12-MONTH(E141)+1)/12))))-(IF((((K141)*(IF(M141="",L141,IFERROR(IF(INDEX(Variablen!$I:$AT, MATCH(M141, Variablen!$A:$A, 0), MATCH((YEAR(D141)+7), Variablen!$I$3:$AT$3, 0))="",L141,INDEX(Variablen!$I:$AT, MATCH(M141, Variablen!$A:$A, 0), MATCH((YEAR(D141)+7), Variablen!$I$3:$AT$3, 0))),L141)))*(IF((YEAR(D141)+7)&lt;YEAR(E141),0,IF((YEAR(D141)+7)&gt;YEAR(E141),1,(12-MONTH(E141)+1)/12))) + (Q141)*(IF((YEAR(D141)+7)&lt;YEAR(E141),0,IF((YEAR(D141)+7)&gt;YEAR(E141),1,(12-MONTH(E141)+1)/12))))-((P141)*(IF((YEAR(D141)+7)&lt;YEAR(E141),0,IF((YEAR(D141)+7)&gt;YEAR(E141),1,(12-MONTH(E141)+1)/12))) + (R141)*(IF((YEAR(D141)+7)&lt;YEAR(E141),0,IF((YEAR(D141)+7)&gt;YEAR(E141),1,(12-MONTH(E141)+1)/12))))-(IF(OR(N141="",N141&lt;=0),0,(O141/N141)*(IF(OR(N141="",N141&lt;=0),0,IF((YEAR(D141)+7)&lt;YEAR(E141),0,IF((YEAR(D141)+7)&gt;=YEAR(E141)+N141,0,IF((YEAR(D141)+7)=YEAR(E141),(12-MONTH(E141)+1)/12,1))))))))&gt;0,(((K141)*(IF(M141="",L141,IFERROR(IF(INDEX(Variablen!$I:$AT, MATCH(M141, Variablen!$A:$A, 0), MATCH((YEAR(D141)+7), Variablen!$I$3:$AT$3, 0))="",L141,INDEX(Variablen!$I:$AT, MATCH(M141, Variablen!$A:$A, 0), MATCH((YEAR(D141)+7), Variablen!$I$3:$AT$3, 0))),L141)))*(IF((YEAR(D141)+7)&lt;YEAR(E141),0,IF((YEAR(D141)+7)&gt;YEAR(E141),1,(12-MONTH(E141)+1)/12))) + (Q141)*(IF((YEAR(D141)+7)&lt;YEAR(E141),0,IF((YEAR(D141)+7)&gt;YEAR(E141),1,(12-MONTH(E141)+1)/12))))-((P141)*(IF((YEAR(D141)+7)&lt;YEAR(E141),0,IF((YEAR(D141)+7)&gt;YEAR(E141),1,(12-MONTH(E141)+1)/12))) + (R141)*(IF((YEAR(D141)+7)&lt;YEAR(E141),0,IF((YEAR(D141)+7)&gt;YEAR(E141),1,(12-MONTH(E141)+1)/12))))-(IF(OR(N141="",N141&lt;=0),0,(O141/N141)*(IF(OR(N141="",N141&lt;=0),0,IF((YEAR(D141)+7)&lt;YEAR(E141),0,IF((YEAR(D141)+7)&gt;=YEAR(E141)+N141,0,IF((YEAR(D141)+7)=YEAR(E141),(12-MONTH(E141)+1)/12,1))))))))*TaxRate,0))-IF(7=0,O141,0))</f>
        <v/>
      </c>
      <c r="AA141" s="29">
        <f>IF(A141="","",((K141)*(IF(M141="",L141,IFERROR(IF(INDEX(Variablen!$I:$AT, MATCH(M141, Variablen!$A:$A, 0), MATCH((YEAR(D141)+8), Variablen!$I$3:$AT$3, 0))="",L141,INDEX(Variablen!$I:$AT, MATCH(M141, Variablen!$A:$A, 0), MATCH((YEAR(D141)+8), Variablen!$I$3:$AT$3, 0))),L141)))*(IF((YEAR(D141)+8)&lt;YEAR(E141),0,IF((YEAR(D141)+8)&gt;YEAR(E141),1,(12-MONTH(E141)+1)/12))) + (Q141)*(IF((YEAR(D141)+8)&lt;YEAR(E141),0,IF((YEAR(D141)+8)&gt;YEAR(E141),1,(12-MONTH(E141)+1)/12))))-((P141)*(IF((YEAR(D141)+8)&lt;YEAR(E141),0,IF((YEAR(D141)+8)&gt;YEAR(E141),1,(12-MONTH(E141)+1)/12))) + (R141)*(IF((YEAR(D141)+8)&lt;YEAR(E141),0,IF((YEAR(D141)+8)&gt;YEAR(E141),1,(12-MONTH(E141)+1)/12))))-(IF((((K141)*(IF(M141="",L141,IFERROR(IF(INDEX(Variablen!$I:$AT, MATCH(M141, Variablen!$A:$A, 0), MATCH((YEAR(D141)+8), Variablen!$I$3:$AT$3, 0))="",L141,INDEX(Variablen!$I:$AT, MATCH(M141, Variablen!$A:$A, 0), MATCH((YEAR(D141)+8), Variablen!$I$3:$AT$3, 0))),L141)))*(IF((YEAR(D141)+8)&lt;YEAR(E141),0,IF((YEAR(D141)+8)&gt;YEAR(E141),1,(12-MONTH(E141)+1)/12))) + (Q141)*(IF((YEAR(D141)+8)&lt;YEAR(E141),0,IF((YEAR(D141)+8)&gt;YEAR(E141),1,(12-MONTH(E141)+1)/12))))-((P141)*(IF((YEAR(D141)+8)&lt;YEAR(E141),0,IF((YEAR(D141)+8)&gt;YEAR(E141),1,(12-MONTH(E141)+1)/12))) + (R141)*(IF((YEAR(D141)+8)&lt;YEAR(E141),0,IF((YEAR(D141)+8)&gt;YEAR(E141),1,(12-MONTH(E141)+1)/12))))-(IF(OR(N141="",N141&lt;=0),0,(O141/N141)*(IF(OR(N141="",N141&lt;=0),0,IF((YEAR(D141)+8)&lt;YEAR(E141),0,IF((YEAR(D141)+8)&gt;=YEAR(E141)+N141,0,IF((YEAR(D141)+8)=YEAR(E141),(12-MONTH(E141)+1)/12,1))))))))&gt;0,(((K141)*(IF(M141="",L141,IFERROR(IF(INDEX(Variablen!$I:$AT, MATCH(M141, Variablen!$A:$A, 0), MATCH((YEAR(D141)+8), Variablen!$I$3:$AT$3, 0))="",L141,INDEX(Variablen!$I:$AT, MATCH(M141, Variablen!$A:$A, 0), MATCH((YEAR(D141)+8), Variablen!$I$3:$AT$3, 0))),L141)))*(IF((YEAR(D141)+8)&lt;YEAR(E141),0,IF((YEAR(D141)+8)&gt;YEAR(E141),1,(12-MONTH(E141)+1)/12))) + (Q141)*(IF((YEAR(D141)+8)&lt;YEAR(E141),0,IF((YEAR(D141)+8)&gt;YEAR(E141),1,(12-MONTH(E141)+1)/12))))-((P141)*(IF((YEAR(D141)+8)&lt;YEAR(E141),0,IF((YEAR(D141)+8)&gt;YEAR(E141),1,(12-MONTH(E141)+1)/12))) + (R141)*(IF((YEAR(D141)+8)&lt;YEAR(E141),0,IF((YEAR(D141)+8)&gt;YEAR(E141),1,(12-MONTH(E141)+1)/12))))-(IF(OR(N141="",N141&lt;=0),0,(O141/N141)*(IF(OR(N141="",N141&lt;=0),0,IF((YEAR(D141)+8)&lt;YEAR(E141),0,IF((YEAR(D141)+8)&gt;=YEAR(E141)+N141,0,IF((YEAR(D141)+8)=YEAR(E141),(12-MONTH(E141)+1)/12,1))))))))*TaxRate,0))-IF(8=0,O141,0))</f>
        <v/>
      </c>
      <c r="AB141" s="29">
        <f>IF(A141="","",((K141)*(IF(M141="",L141,IFERROR(IF(INDEX(Variablen!$I:$AT, MATCH(M141, Variablen!$A:$A, 0), MATCH((YEAR(D141)+9), Variablen!$I$3:$AT$3, 0))="",L141,INDEX(Variablen!$I:$AT, MATCH(M141, Variablen!$A:$A, 0), MATCH((YEAR(D141)+9), Variablen!$I$3:$AT$3, 0))),L141)))*(IF((YEAR(D141)+9)&lt;YEAR(E141),0,IF((YEAR(D141)+9)&gt;YEAR(E141),1,(12-MONTH(E141)+1)/12))) + (Q141)*(IF((YEAR(D141)+9)&lt;YEAR(E141),0,IF((YEAR(D141)+9)&gt;YEAR(E141),1,(12-MONTH(E141)+1)/12))))-((P141)*(IF((YEAR(D141)+9)&lt;YEAR(E141),0,IF((YEAR(D141)+9)&gt;YEAR(E141),1,(12-MONTH(E141)+1)/12))) + (R141)*(IF((YEAR(D141)+9)&lt;YEAR(E141),0,IF((YEAR(D141)+9)&gt;YEAR(E141),1,(12-MONTH(E141)+1)/12))))-(IF((((K141)*(IF(M141="",L141,IFERROR(IF(INDEX(Variablen!$I:$AT, MATCH(M141, Variablen!$A:$A, 0), MATCH((YEAR(D141)+9), Variablen!$I$3:$AT$3, 0))="",L141,INDEX(Variablen!$I:$AT, MATCH(M141, Variablen!$A:$A, 0), MATCH((YEAR(D141)+9), Variablen!$I$3:$AT$3, 0))),L141)))*(IF((YEAR(D141)+9)&lt;YEAR(E141),0,IF((YEAR(D141)+9)&gt;YEAR(E141),1,(12-MONTH(E141)+1)/12))) + (Q141)*(IF((YEAR(D141)+9)&lt;YEAR(E141),0,IF((YEAR(D141)+9)&gt;YEAR(E141),1,(12-MONTH(E141)+1)/12))))-((P141)*(IF((YEAR(D141)+9)&lt;YEAR(E141),0,IF((YEAR(D141)+9)&gt;YEAR(E141),1,(12-MONTH(E141)+1)/12))) + (R141)*(IF((YEAR(D141)+9)&lt;YEAR(E141),0,IF((YEAR(D141)+9)&gt;YEAR(E141),1,(12-MONTH(E141)+1)/12))))-(IF(OR(N141="",N141&lt;=0),0,(O141/N141)*(IF(OR(N141="",N141&lt;=0),0,IF((YEAR(D141)+9)&lt;YEAR(E141),0,IF((YEAR(D141)+9)&gt;=YEAR(E141)+N141,0,IF((YEAR(D141)+9)=YEAR(E141),(12-MONTH(E141)+1)/12,1))))))))&gt;0,(((K141)*(IF(M141="",L141,IFERROR(IF(INDEX(Variablen!$I:$AT, MATCH(M141, Variablen!$A:$A, 0), MATCH((YEAR(D141)+9), Variablen!$I$3:$AT$3, 0))="",L141,INDEX(Variablen!$I:$AT, MATCH(M141, Variablen!$A:$A, 0), MATCH((YEAR(D141)+9), Variablen!$I$3:$AT$3, 0))),L141)))*(IF((YEAR(D141)+9)&lt;YEAR(E141),0,IF((YEAR(D141)+9)&gt;YEAR(E141),1,(12-MONTH(E141)+1)/12))) + (Q141)*(IF((YEAR(D141)+9)&lt;YEAR(E141),0,IF((YEAR(D141)+9)&gt;YEAR(E141),1,(12-MONTH(E141)+1)/12))))-((P141)*(IF((YEAR(D141)+9)&lt;YEAR(E141),0,IF((YEAR(D141)+9)&gt;YEAR(E141),1,(12-MONTH(E141)+1)/12))) + (R141)*(IF((YEAR(D141)+9)&lt;YEAR(E141),0,IF((YEAR(D141)+9)&gt;YEAR(E141),1,(12-MONTH(E141)+1)/12))))-(IF(OR(N141="",N141&lt;=0),0,(O141/N141)*(IF(OR(N141="",N141&lt;=0),0,IF((YEAR(D141)+9)&lt;YEAR(E141),0,IF((YEAR(D141)+9)&gt;=YEAR(E141)+N141,0,IF((YEAR(D141)+9)=YEAR(E141),(12-MONTH(E141)+1)/12,1))))))))*TaxRate,0))-IF(9=0,O141,0))</f>
        <v/>
      </c>
      <c r="AC141" s="29">
        <f>IF(A141="","",((K141)*(IF(M141="",L141,IFERROR(IF(INDEX(Variablen!$I:$AT, MATCH(M141, Variablen!$A:$A, 0), MATCH((YEAR(D141)+10), Variablen!$I$3:$AT$3, 0))="",L141,INDEX(Variablen!$I:$AT, MATCH(M141, Variablen!$A:$A, 0), MATCH((YEAR(D141)+10), Variablen!$I$3:$AT$3, 0))),L141)))*(IF((YEAR(D141)+10)&lt;YEAR(E141),0,IF((YEAR(D141)+10)&gt;YEAR(E141),1,(12-MONTH(E141)+1)/12))) + (Q141)*(IF((YEAR(D141)+10)&lt;YEAR(E141),0,IF((YEAR(D141)+10)&gt;YEAR(E141),1,(12-MONTH(E141)+1)/12))))-((P141)*(IF((YEAR(D141)+10)&lt;YEAR(E141),0,IF((YEAR(D141)+10)&gt;YEAR(E141),1,(12-MONTH(E141)+1)/12))) + (R141)*(IF((YEAR(D141)+10)&lt;YEAR(E141),0,IF((YEAR(D141)+10)&gt;YEAR(E141),1,(12-MONTH(E141)+1)/12))))-(IF((((K141)*(IF(M141="",L141,IFERROR(IF(INDEX(Variablen!$I:$AT, MATCH(M141, Variablen!$A:$A, 0), MATCH((YEAR(D141)+10), Variablen!$I$3:$AT$3, 0))="",L141,INDEX(Variablen!$I:$AT, MATCH(M141, Variablen!$A:$A, 0), MATCH((YEAR(D141)+10), Variablen!$I$3:$AT$3, 0))),L141)))*(IF((YEAR(D141)+10)&lt;YEAR(E141),0,IF((YEAR(D141)+10)&gt;YEAR(E141),1,(12-MONTH(E141)+1)/12))) + (Q141)*(IF((YEAR(D141)+10)&lt;YEAR(E141),0,IF((YEAR(D141)+10)&gt;YEAR(E141),1,(12-MONTH(E141)+1)/12))))-((P141)*(IF((YEAR(D141)+10)&lt;YEAR(E141),0,IF((YEAR(D141)+10)&gt;YEAR(E141),1,(12-MONTH(E141)+1)/12))) + (R141)*(IF((YEAR(D141)+10)&lt;YEAR(E141),0,IF((YEAR(D141)+10)&gt;YEAR(E141),1,(12-MONTH(E141)+1)/12))))-(IF(OR(N141="",N141&lt;=0),0,(O141/N141)*(IF(OR(N141="",N141&lt;=0),0,IF((YEAR(D141)+10)&lt;YEAR(E141),0,IF((YEAR(D141)+10)&gt;=YEAR(E141)+N141,0,IF((YEAR(D141)+10)=YEAR(E141),(12-MONTH(E141)+1)/12,1))))))))&gt;0,(((K141)*(IF(M141="",L141,IFERROR(IF(INDEX(Variablen!$I:$AT, MATCH(M141, Variablen!$A:$A, 0), MATCH((YEAR(D141)+10), Variablen!$I$3:$AT$3, 0))="",L141,INDEX(Variablen!$I:$AT, MATCH(M141, Variablen!$A:$A, 0), MATCH((YEAR(D141)+10), Variablen!$I$3:$AT$3, 0))),L141)))*(IF((YEAR(D141)+10)&lt;YEAR(E141),0,IF((YEAR(D141)+10)&gt;YEAR(E141),1,(12-MONTH(E141)+1)/12))) + (Q141)*(IF((YEAR(D141)+10)&lt;YEAR(E141),0,IF((YEAR(D141)+10)&gt;YEAR(E141),1,(12-MONTH(E141)+1)/12))))-((P141)*(IF((YEAR(D141)+10)&lt;YEAR(E141),0,IF((YEAR(D141)+10)&gt;YEAR(E141),1,(12-MONTH(E141)+1)/12))) + (R141)*(IF((YEAR(D141)+10)&lt;YEAR(E141),0,IF((YEAR(D141)+10)&gt;YEAR(E141),1,(12-MONTH(E141)+1)/12))))-(IF(OR(N141="",N141&lt;=0),0,(O141/N141)*(IF(OR(N141="",N141&lt;=0),0,IF((YEAR(D141)+10)&lt;YEAR(E141),0,IF((YEAR(D141)+10)&gt;=YEAR(E141)+N141,0,IF((YEAR(D141)+10)=YEAR(E141),(12-MONTH(E141)+1)/12,1))))))))*TaxRate,0))-IF(10=0,O141,0))</f>
        <v/>
      </c>
      <c r="AD141" s="29">
        <f>IF(A141="","",((K141)*(IF(M141="",L141,IFERROR(IF(INDEX(Variablen!$I:$AT, MATCH(M141, Variablen!$A:$A, 0), MATCH((YEAR(D141)+11), Variablen!$I$3:$AT$3, 0))="",L141,INDEX(Variablen!$I:$AT, MATCH(M141, Variablen!$A:$A, 0), MATCH((YEAR(D141)+11), Variablen!$I$3:$AT$3, 0))),L141)))*(IF((YEAR(D141)+11)&lt;YEAR(E141),0,IF((YEAR(D141)+11)&gt;YEAR(E141),1,(12-MONTH(E141)+1)/12))) + (Q141)*(IF((YEAR(D141)+11)&lt;YEAR(E141),0,IF((YEAR(D141)+11)&gt;YEAR(E141),1,(12-MONTH(E141)+1)/12))))-((P141)*(IF((YEAR(D141)+11)&lt;YEAR(E141),0,IF((YEAR(D141)+11)&gt;YEAR(E141),1,(12-MONTH(E141)+1)/12))) + (R141)*(IF((YEAR(D141)+11)&lt;YEAR(E141),0,IF((YEAR(D141)+11)&gt;YEAR(E141),1,(12-MONTH(E141)+1)/12))))-(IF((((K141)*(IF(M141="",L141,IFERROR(IF(INDEX(Variablen!$I:$AT, MATCH(M141, Variablen!$A:$A, 0), MATCH((YEAR(D141)+11), Variablen!$I$3:$AT$3, 0))="",L141,INDEX(Variablen!$I:$AT, MATCH(M141, Variablen!$A:$A, 0), MATCH((YEAR(D141)+11), Variablen!$I$3:$AT$3, 0))),L141)))*(IF((YEAR(D141)+11)&lt;YEAR(E141),0,IF((YEAR(D141)+11)&gt;YEAR(E141),1,(12-MONTH(E141)+1)/12))) + (Q141)*(IF((YEAR(D141)+11)&lt;YEAR(E141),0,IF((YEAR(D141)+11)&gt;YEAR(E141),1,(12-MONTH(E141)+1)/12))))-((P141)*(IF((YEAR(D141)+11)&lt;YEAR(E141),0,IF((YEAR(D141)+11)&gt;YEAR(E141),1,(12-MONTH(E141)+1)/12))) + (R141)*(IF((YEAR(D141)+11)&lt;YEAR(E141),0,IF((YEAR(D141)+11)&gt;YEAR(E141),1,(12-MONTH(E141)+1)/12))))-(IF(OR(N141="",N141&lt;=0),0,(O141/N141)*(IF(OR(N141="",N141&lt;=0),0,IF((YEAR(D141)+11)&lt;YEAR(E141),0,IF((YEAR(D141)+11)&gt;=YEAR(E141)+N141,0,IF((YEAR(D141)+11)=YEAR(E141),(12-MONTH(E141)+1)/12,1))))))))&gt;0,(((K141)*(IF(M141="",L141,IFERROR(IF(INDEX(Variablen!$I:$AT, MATCH(M141, Variablen!$A:$A, 0), MATCH((YEAR(D141)+11), Variablen!$I$3:$AT$3, 0))="",L141,INDEX(Variablen!$I:$AT, MATCH(M141, Variablen!$A:$A, 0), MATCH((YEAR(D141)+11), Variablen!$I$3:$AT$3, 0))),L141)))*(IF((YEAR(D141)+11)&lt;YEAR(E141),0,IF((YEAR(D141)+11)&gt;YEAR(E141),1,(12-MONTH(E141)+1)/12))) + (Q141)*(IF((YEAR(D141)+11)&lt;YEAR(E141),0,IF((YEAR(D141)+11)&gt;YEAR(E141),1,(12-MONTH(E141)+1)/12))))-((P141)*(IF((YEAR(D141)+11)&lt;YEAR(E141),0,IF((YEAR(D141)+11)&gt;YEAR(E141),1,(12-MONTH(E141)+1)/12))) + (R141)*(IF((YEAR(D141)+11)&lt;YEAR(E141),0,IF((YEAR(D141)+11)&gt;YEAR(E141),1,(12-MONTH(E141)+1)/12))))-(IF(OR(N141="",N141&lt;=0),0,(O141/N141)*(IF(OR(N141="",N141&lt;=0),0,IF((YEAR(D141)+11)&lt;YEAR(E141),0,IF((YEAR(D141)+11)&gt;=YEAR(E141)+N141,0,IF((YEAR(D141)+11)=YEAR(E141),(12-MONTH(E141)+1)/12,1))))))))*TaxRate,0))-IF(11=0,O141,0))</f>
        <v/>
      </c>
      <c r="AE141" s="29">
        <f>IF(A141="","",((K141)*(IF(M141="",L141,IFERROR(IF(INDEX(Variablen!$I:$AT, MATCH(M141, Variablen!$A:$A, 0), MATCH((YEAR(D141)+12), Variablen!$I$3:$AT$3, 0))="",L141,INDEX(Variablen!$I:$AT, MATCH(M141, Variablen!$A:$A, 0), MATCH((YEAR(D141)+12), Variablen!$I$3:$AT$3, 0))),L141)))*(IF((YEAR(D141)+12)&lt;YEAR(E141),0,IF((YEAR(D141)+12)&gt;YEAR(E141),1,(12-MONTH(E141)+1)/12))) + (Q141)*(IF((YEAR(D141)+12)&lt;YEAR(E141),0,IF((YEAR(D141)+12)&gt;YEAR(E141),1,(12-MONTH(E141)+1)/12))))-((P141)*(IF((YEAR(D141)+12)&lt;YEAR(E141),0,IF((YEAR(D141)+12)&gt;YEAR(E141),1,(12-MONTH(E141)+1)/12))) + (R141)*(IF((YEAR(D141)+12)&lt;YEAR(E141),0,IF((YEAR(D141)+12)&gt;YEAR(E141),1,(12-MONTH(E141)+1)/12))))-(IF((((K141)*(IF(M141="",L141,IFERROR(IF(INDEX(Variablen!$I:$AT, MATCH(M141, Variablen!$A:$A, 0), MATCH((YEAR(D141)+12), Variablen!$I$3:$AT$3, 0))="",L141,INDEX(Variablen!$I:$AT, MATCH(M141, Variablen!$A:$A, 0), MATCH((YEAR(D141)+12), Variablen!$I$3:$AT$3, 0))),L141)))*(IF((YEAR(D141)+12)&lt;YEAR(E141),0,IF((YEAR(D141)+12)&gt;YEAR(E141),1,(12-MONTH(E141)+1)/12))) + (Q141)*(IF((YEAR(D141)+12)&lt;YEAR(E141),0,IF((YEAR(D141)+12)&gt;YEAR(E141),1,(12-MONTH(E141)+1)/12))))-((P141)*(IF((YEAR(D141)+12)&lt;YEAR(E141),0,IF((YEAR(D141)+12)&gt;YEAR(E141),1,(12-MONTH(E141)+1)/12))) + (R141)*(IF((YEAR(D141)+12)&lt;YEAR(E141),0,IF((YEAR(D141)+12)&gt;YEAR(E141),1,(12-MONTH(E141)+1)/12))))-(IF(OR(N141="",N141&lt;=0),0,(O141/N141)*(IF(OR(N141="",N141&lt;=0),0,IF((YEAR(D141)+12)&lt;YEAR(E141),0,IF((YEAR(D141)+12)&gt;=YEAR(E141)+N141,0,IF((YEAR(D141)+12)=YEAR(E141),(12-MONTH(E141)+1)/12,1))))))))&gt;0,(((K141)*(IF(M141="",L141,IFERROR(IF(INDEX(Variablen!$I:$AT, MATCH(M141, Variablen!$A:$A, 0), MATCH((YEAR(D141)+12), Variablen!$I$3:$AT$3, 0))="",L141,INDEX(Variablen!$I:$AT, MATCH(M141, Variablen!$A:$A, 0), MATCH((YEAR(D141)+12), Variablen!$I$3:$AT$3, 0))),L141)))*(IF((YEAR(D141)+12)&lt;YEAR(E141),0,IF((YEAR(D141)+12)&gt;YEAR(E141),1,(12-MONTH(E141)+1)/12))) + (Q141)*(IF((YEAR(D141)+12)&lt;YEAR(E141),0,IF((YEAR(D141)+12)&gt;YEAR(E141),1,(12-MONTH(E141)+1)/12))))-((P141)*(IF((YEAR(D141)+12)&lt;YEAR(E141),0,IF((YEAR(D141)+12)&gt;YEAR(E141),1,(12-MONTH(E141)+1)/12))) + (R141)*(IF((YEAR(D141)+12)&lt;YEAR(E141),0,IF((YEAR(D141)+12)&gt;YEAR(E141),1,(12-MONTH(E141)+1)/12))))-(IF(OR(N141="",N141&lt;=0),0,(O141/N141)*(IF(OR(N141="",N141&lt;=0),0,IF((YEAR(D141)+12)&lt;YEAR(E141),0,IF((YEAR(D141)+12)&gt;=YEAR(E141)+N141,0,IF((YEAR(D141)+12)=YEAR(E141),(12-MONTH(E141)+1)/12,1))))))))*TaxRate,0))-IF(12=0,O141,0))</f>
        <v/>
      </c>
      <c r="AF141" s="29">
        <f>IF(A141="","",((K141)*(IF(M141="",L141,IFERROR(IF(INDEX(Variablen!$I:$AT, MATCH(M141, Variablen!$A:$A, 0), MATCH((YEAR(D141)+13), Variablen!$I$3:$AT$3, 0))="",L141,INDEX(Variablen!$I:$AT, MATCH(M141, Variablen!$A:$A, 0), MATCH((YEAR(D141)+13), Variablen!$I$3:$AT$3, 0))),L141)))*(IF((YEAR(D141)+13)&lt;YEAR(E141),0,IF((YEAR(D141)+13)&gt;YEAR(E141),1,(12-MONTH(E141)+1)/12))) + (Q141)*(IF((YEAR(D141)+13)&lt;YEAR(E141),0,IF((YEAR(D141)+13)&gt;YEAR(E141),1,(12-MONTH(E141)+1)/12))))-((P141)*(IF((YEAR(D141)+13)&lt;YEAR(E141),0,IF((YEAR(D141)+13)&gt;YEAR(E141),1,(12-MONTH(E141)+1)/12))) + (R141)*(IF((YEAR(D141)+13)&lt;YEAR(E141),0,IF((YEAR(D141)+13)&gt;YEAR(E141),1,(12-MONTH(E141)+1)/12))))-(IF((((K141)*(IF(M141="",L141,IFERROR(IF(INDEX(Variablen!$I:$AT, MATCH(M141, Variablen!$A:$A, 0), MATCH((YEAR(D141)+13), Variablen!$I$3:$AT$3, 0))="",L141,INDEX(Variablen!$I:$AT, MATCH(M141, Variablen!$A:$A, 0), MATCH((YEAR(D141)+13), Variablen!$I$3:$AT$3, 0))),L141)))*(IF((YEAR(D141)+13)&lt;YEAR(E141),0,IF((YEAR(D141)+13)&gt;YEAR(E141),1,(12-MONTH(E141)+1)/12))) + (Q141)*(IF((YEAR(D141)+13)&lt;YEAR(E141),0,IF((YEAR(D141)+13)&gt;YEAR(E141),1,(12-MONTH(E141)+1)/12))))-((P141)*(IF((YEAR(D141)+13)&lt;YEAR(E141),0,IF((YEAR(D141)+13)&gt;YEAR(E141),1,(12-MONTH(E141)+1)/12))) + (R141)*(IF((YEAR(D141)+13)&lt;YEAR(E141),0,IF((YEAR(D141)+13)&gt;YEAR(E141),1,(12-MONTH(E141)+1)/12))))-(IF(OR(N141="",N141&lt;=0),0,(O141/N141)*(IF(OR(N141="",N141&lt;=0),0,IF((YEAR(D141)+13)&lt;YEAR(E141),0,IF((YEAR(D141)+13)&gt;=YEAR(E141)+N141,0,IF((YEAR(D141)+13)=YEAR(E141),(12-MONTH(E141)+1)/12,1))))))))&gt;0,(((K141)*(IF(M141="",L141,IFERROR(IF(INDEX(Variablen!$I:$AT, MATCH(M141, Variablen!$A:$A, 0), MATCH((YEAR(D141)+13), Variablen!$I$3:$AT$3, 0))="",L141,INDEX(Variablen!$I:$AT, MATCH(M141, Variablen!$A:$A, 0), MATCH((YEAR(D141)+13), Variablen!$I$3:$AT$3, 0))),L141)))*(IF((YEAR(D141)+13)&lt;YEAR(E141),0,IF((YEAR(D141)+13)&gt;YEAR(E141),1,(12-MONTH(E141)+1)/12))) + (Q141)*(IF((YEAR(D141)+13)&lt;YEAR(E141),0,IF((YEAR(D141)+13)&gt;YEAR(E141),1,(12-MONTH(E141)+1)/12))))-((P141)*(IF((YEAR(D141)+13)&lt;YEAR(E141),0,IF((YEAR(D141)+13)&gt;YEAR(E141),1,(12-MONTH(E141)+1)/12))) + (R141)*(IF((YEAR(D141)+13)&lt;YEAR(E141),0,IF((YEAR(D141)+13)&gt;YEAR(E141),1,(12-MONTH(E141)+1)/12))))-(IF(OR(N141="",N141&lt;=0),0,(O141/N141)*(IF(OR(N141="",N141&lt;=0),0,IF((YEAR(D141)+13)&lt;YEAR(E141),0,IF((YEAR(D141)+13)&gt;=YEAR(E141)+N141,0,IF((YEAR(D141)+13)=YEAR(E141),(12-MONTH(E141)+1)/12,1))))))))*TaxRate,0))-IF(13=0,O141,0))</f>
        <v/>
      </c>
      <c r="AG141" s="29">
        <f>IF(A141="","",((K141)*(IF(M141="",L141,IFERROR(IF(INDEX(Variablen!$I:$AT, MATCH(M141, Variablen!$A:$A, 0), MATCH((YEAR(D141)+14), Variablen!$I$3:$AT$3, 0))="",L141,INDEX(Variablen!$I:$AT, MATCH(M141, Variablen!$A:$A, 0), MATCH((YEAR(D141)+14), Variablen!$I$3:$AT$3, 0))),L141)))*(IF((YEAR(D141)+14)&lt;YEAR(E141),0,IF((YEAR(D141)+14)&gt;YEAR(E141),1,(12-MONTH(E141)+1)/12))) + (Q141)*(IF((YEAR(D141)+14)&lt;YEAR(E141),0,IF((YEAR(D141)+14)&gt;YEAR(E141),1,(12-MONTH(E141)+1)/12))))-((P141)*(IF((YEAR(D141)+14)&lt;YEAR(E141),0,IF((YEAR(D141)+14)&gt;YEAR(E141),1,(12-MONTH(E141)+1)/12))) + (R141)*(IF((YEAR(D141)+14)&lt;YEAR(E141),0,IF((YEAR(D141)+14)&gt;YEAR(E141),1,(12-MONTH(E141)+1)/12))))-(IF((((K141)*(IF(M141="",L141,IFERROR(IF(INDEX(Variablen!$I:$AT, MATCH(M141, Variablen!$A:$A, 0), MATCH((YEAR(D141)+14), Variablen!$I$3:$AT$3, 0))="",L141,INDEX(Variablen!$I:$AT, MATCH(M141, Variablen!$A:$A, 0), MATCH((YEAR(D141)+14), Variablen!$I$3:$AT$3, 0))),L141)))*(IF((YEAR(D141)+14)&lt;YEAR(E141),0,IF((YEAR(D141)+14)&gt;YEAR(E141),1,(12-MONTH(E141)+1)/12))) + (Q141)*(IF((YEAR(D141)+14)&lt;YEAR(E141),0,IF((YEAR(D141)+14)&gt;YEAR(E141),1,(12-MONTH(E141)+1)/12))))-((P141)*(IF((YEAR(D141)+14)&lt;YEAR(E141),0,IF((YEAR(D141)+14)&gt;YEAR(E141),1,(12-MONTH(E141)+1)/12))) + (R141)*(IF((YEAR(D141)+14)&lt;YEAR(E141),0,IF((YEAR(D141)+14)&gt;YEAR(E141),1,(12-MONTH(E141)+1)/12))))-(IF(OR(N141="",N141&lt;=0),0,(O141/N141)*(IF(OR(N141="",N141&lt;=0),0,IF((YEAR(D141)+14)&lt;YEAR(E141),0,IF((YEAR(D141)+14)&gt;=YEAR(E141)+N141,0,IF((YEAR(D141)+14)=YEAR(E141),(12-MONTH(E141)+1)/12,1))))))))&gt;0,(((K141)*(IF(M141="",L141,IFERROR(IF(INDEX(Variablen!$I:$AT, MATCH(M141, Variablen!$A:$A, 0), MATCH((YEAR(D141)+14), Variablen!$I$3:$AT$3, 0))="",L141,INDEX(Variablen!$I:$AT, MATCH(M141, Variablen!$A:$A, 0), MATCH((YEAR(D141)+14), Variablen!$I$3:$AT$3, 0))),L141)))*(IF((YEAR(D141)+14)&lt;YEAR(E141),0,IF((YEAR(D141)+14)&gt;YEAR(E141),1,(12-MONTH(E141)+1)/12))) + (Q141)*(IF((YEAR(D141)+14)&lt;YEAR(E141),0,IF((YEAR(D141)+14)&gt;YEAR(E141),1,(12-MONTH(E141)+1)/12))))-((P141)*(IF((YEAR(D141)+14)&lt;YEAR(E141),0,IF((YEAR(D141)+14)&gt;YEAR(E141),1,(12-MONTH(E141)+1)/12))) + (R141)*(IF((YEAR(D141)+14)&lt;YEAR(E141),0,IF((YEAR(D141)+14)&gt;YEAR(E141),1,(12-MONTH(E141)+1)/12))))-(IF(OR(N141="",N141&lt;=0),0,(O141/N141)*(IF(OR(N141="",N141&lt;=0),0,IF((YEAR(D141)+14)&lt;YEAR(E141),0,IF((YEAR(D141)+14)&gt;=YEAR(E141)+N141,0,IF((YEAR(D141)+14)=YEAR(E141),(12-MONTH(E141)+1)/12,1))))))))*TaxRate,0))-IF(14=0,O141,0))</f>
        <v/>
      </c>
      <c r="AH141" s="29">
        <f>IF(A141="","",((K141)*(IF(M141="",L141,IFERROR(IF(INDEX(Variablen!$I:$AT, MATCH(M141, Variablen!$A:$A, 0), MATCH((YEAR(D141)+15), Variablen!$I$3:$AT$3, 0))="",L141,INDEX(Variablen!$I:$AT, MATCH(M141, Variablen!$A:$A, 0), MATCH((YEAR(D141)+15), Variablen!$I$3:$AT$3, 0))),L141)))*(IF((YEAR(D141)+15)&lt;YEAR(E141),0,IF((YEAR(D141)+15)&gt;YEAR(E141),1,(12-MONTH(E141)+1)/12))) + (Q141)*(IF((YEAR(D141)+15)&lt;YEAR(E141),0,IF((YEAR(D141)+15)&gt;YEAR(E141),1,(12-MONTH(E141)+1)/12))))-((P141)*(IF((YEAR(D141)+15)&lt;YEAR(E141),0,IF((YEAR(D141)+15)&gt;YEAR(E141),1,(12-MONTH(E141)+1)/12))) + (R141)*(IF((YEAR(D141)+15)&lt;YEAR(E141),0,IF((YEAR(D141)+15)&gt;YEAR(E141),1,(12-MONTH(E141)+1)/12))))-(IF((((K141)*(IF(M141="",L141,IFERROR(IF(INDEX(Variablen!$I:$AT, MATCH(M141, Variablen!$A:$A, 0), MATCH((YEAR(D141)+15), Variablen!$I$3:$AT$3, 0))="",L141,INDEX(Variablen!$I:$AT, MATCH(M141, Variablen!$A:$A, 0), MATCH((YEAR(D141)+15), Variablen!$I$3:$AT$3, 0))),L141)))*(IF((YEAR(D141)+15)&lt;YEAR(E141),0,IF((YEAR(D141)+15)&gt;YEAR(E141),1,(12-MONTH(E141)+1)/12))) + (Q141)*(IF((YEAR(D141)+15)&lt;YEAR(E141),0,IF((YEAR(D141)+15)&gt;YEAR(E141),1,(12-MONTH(E141)+1)/12))))-((P141)*(IF((YEAR(D141)+15)&lt;YEAR(E141),0,IF((YEAR(D141)+15)&gt;YEAR(E141),1,(12-MONTH(E141)+1)/12))) + (R141)*(IF((YEAR(D141)+15)&lt;YEAR(E141),0,IF((YEAR(D141)+15)&gt;YEAR(E141),1,(12-MONTH(E141)+1)/12))))-(IF(OR(N141="",N141&lt;=0),0,(O141/N141)*(IF(OR(N141="",N141&lt;=0),0,IF((YEAR(D141)+15)&lt;YEAR(E141),0,IF((YEAR(D141)+15)&gt;=YEAR(E141)+N141,0,IF((YEAR(D141)+15)=YEAR(E141),(12-MONTH(E141)+1)/12,1))))))))&gt;0,(((K141)*(IF(M141="",L141,IFERROR(IF(INDEX(Variablen!$I:$AT, MATCH(M141, Variablen!$A:$A, 0), MATCH((YEAR(D141)+15), Variablen!$I$3:$AT$3, 0))="",L141,INDEX(Variablen!$I:$AT, MATCH(M141, Variablen!$A:$A, 0), MATCH((YEAR(D141)+15), Variablen!$I$3:$AT$3, 0))),L141)))*(IF((YEAR(D141)+15)&lt;YEAR(E141),0,IF((YEAR(D141)+15)&gt;YEAR(E141),1,(12-MONTH(E141)+1)/12))) + (Q141)*(IF((YEAR(D141)+15)&lt;YEAR(E141),0,IF((YEAR(D141)+15)&gt;YEAR(E141),1,(12-MONTH(E141)+1)/12))))-((P141)*(IF((YEAR(D141)+15)&lt;YEAR(E141),0,IF((YEAR(D141)+15)&gt;YEAR(E141),1,(12-MONTH(E141)+1)/12))) + (R141)*(IF((YEAR(D141)+15)&lt;YEAR(E141),0,IF((YEAR(D141)+15)&gt;YEAR(E141),1,(12-MONTH(E141)+1)/12))))-(IF(OR(N141="",N141&lt;=0),0,(O141/N141)*(IF(OR(N141="",N141&lt;=0),0,IF((YEAR(D141)+15)&lt;YEAR(E141),0,IF((YEAR(D141)+15)&gt;=YEAR(E141)+N141,0,IF((YEAR(D141)+15)=YEAR(E141),(12-MONTH(E141)+1)/12,1))))))))*TaxRate,0))-IF(15=0,O141,0))</f>
        <v/>
      </c>
      <c r="AI141" s="29">
        <f>IF(A141="","",((K141)*(IF(M141="",L141,IFERROR(IF(INDEX(Variablen!$I:$AT, MATCH(M141, Variablen!$A:$A, 0), MATCH((YEAR(D141)+16), Variablen!$I$3:$AT$3, 0))="",L141,INDEX(Variablen!$I:$AT, MATCH(M141, Variablen!$A:$A, 0), MATCH((YEAR(D141)+16), Variablen!$I$3:$AT$3, 0))),L141)))*(IF((YEAR(D141)+16)&lt;YEAR(E141),0,IF((YEAR(D141)+16)&gt;YEAR(E141),1,(12-MONTH(E141)+1)/12))) + (Q141)*(IF((YEAR(D141)+16)&lt;YEAR(E141),0,IF((YEAR(D141)+16)&gt;YEAR(E141),1,(12-MONTH(E141)+1)/12))))-((P141)*(IF((YEAR(D141)+16)&lt;YEAR(E141),0,IF((YEAR(D141)+16)&gt;YEAR(E141),1,(12-MONTH(E141)+1)/12))) + (R141)*(IF((YEAR(D141)+16)&lt;YEAR(E141),0,IF((YEAR(D141)+16)&gt;YEAR(E141),1,(12-MONTH(E141)+1)/12))))-(IF((((K141)*(IF(M141="",L141,IFERROR(IF(INDEX(Variablen!$I:$AT, MATCH(M141, Variablen!$A:$A, 0), MATCH((YEAR(D141)+16), Variablen!$I$3:$AT$3, 0))="",L141,INDEX(Variablen!$I:$AT, MATCH(M141, Variablen!$A:$A, 0), MATCH((YEAR(D141)+16), Variablen!$I$3:$AT$3, 0))),L141)))*(IF((YEAR(D141)+16)&lt;YEAR(E141),0,IF((YEAR(D141)+16)&gt;YEAR(E141),1,(12-MONTH(E141)+1)/12))) + (Q141)*(IF((YEAR(D141)+16)&lt;YEAR(E141),0,IF((YEAR(D141)+16)&gt;YEAR(E141),1,(12-MONTH(E141)+1)/12))))-((P141)*(IF((YEAR(D141)+16)&lt;YEAR(E141),0,IF((YEAR(D141)+16)&gt;YEAR(E141),1,(12-MONTH(E141)+1)/12))) + (R141)*(IF((YEAR(D141)+16)&lt;YEAR(E141),0,IF((YEAR(D141)+16)&gt;YEAR(E141),1,(12-MONTH(E141)+1)/12))))-(IF(OR(N141="",N141&lt;=0),0,(O141/N141)*(IF(OR(N141="",N141&lt;=0),0,IF((YEAR(D141)+16)&lt;YEAR(E141),0,IF((YEAR(D141)+16)&gt;=YEAR(E141)+N141,0,IF((YEAR(D141)+16)=YEAR(E141),(12-MONTH(E141)+1)/12,1))))))))&gt;0,(((K141)*(IF(M141="",L141,IFERROR(IF(INDEX(Variablen!$I:$AT, MATCH(M141, Variablen!$A:$A, 0), MATCH((YEAR(D141)+16), Variablen!$I$3:$AT$3, 0))="",L141,INDEX(Variablen!$I:$AT, MATCH(M141, Variablen!$A:$A, 0), MATCH((YEAR(D141)+16), Variablen!$I$3:$AT$3, 0))),L141)))*(IF((YEAR(D141)+16)&lt;YEAR(E141),0,IF((YEAR(D141)+16)&gt;YEAR(E141),1,(12-MONTH(E141)+1)/12))) + (Q141)*(IF((YEAR(D141)+16)&lt;YEAR(E141),0,IF((YEAR(D141)+16)&gt;YEAR(E141),1,(12-MONTH(E141)+1)/12))))-((P141)*(IF((YEAR(D141)+16)&lt;YEAR(E141),0,IF((YEAR(D141)+16)&gt;YEAR(E141),1,(12-MONTH(E141)+1)/12))) + (R141)*(IF((YEAR(D141)+16)&lt;YEAR(E141),0,IF((YEAR(D141)+16)&gt;YEAR(E141),1,(12-MONTH(E141)+1)/12))))-(IF(OR(N141="",N141&lt;=0),0,(O141/N141)*(IF(OR(N141="",N141&lt;=0),0,IF((YEAR(D141)+16)&lt;YEAR(E141),0,IF((YEAR(D141)+16)&gt;=YEAR(E141)+N141,0,IF((YEAR(D141)+16)=YEAR(E141),(12-MONTH(E141)+1)/12,1))))))))*TaxRate,0))-IF(16=0,O141,0))</f>
        <v/>
      </c>
      <c r="AJ141" s="29">
        <f>IF(A141="","",((K141)*(IF(M141="",L141,IFERROR(IF(INDEX(Variablen!$I:$AT, MATCH(M141, Variablen!$A:$A, 0), MATCH((YEAR(D141)+17), Variablen!$I$3:$AT$3, 0))="",L141,INDEX(Variablen!$I:$AT, MATCH(M141, Variablen!$A:$A, 0), MATCH((YEAR(D141)+17), Variablen!$I$3:$AT$3, 0))),L141)))*(IF((YEAR(D141)+17)&lt;YEAR(E141),0,IF((YEAR(D141)+17)&gt;YEAR(E141),1,(12-MONTH(E141)+1)/12))) + (Q141)*(IF((YEAR(D141)+17)&lt;YEAR(E141),0,IF((YEAR(D141)+17)&gt;YEAR(E141),1,(12-MONTH(E141)+1)/12))))-((P141)*(IF((YEAR(D141)+17)&lt;YEAR(E141),0,IF((YEAR(D141)+17)&gt;YEAR(E141),1,(12-MONTH(E141)+1)/12))) + (R141)*(IF((YEAR(D141)+17)&lt;YEAR(E141),0,IF((YEAR(D141)+17)&gt;YEAR(E141),1,(12-MONTH(E141)+1)/12))))-(IF((((K141)*(IF(M141="",L141,IFERROR(IF(INDEX(Variablen!$I:$AT, MATCH(M141, Variablen!$A:$A, 0), MATCH((YEAR(D141)+17), Variablen!$I$3:$AT$3, 0))="",L141,INDEX(Variablen!$I:$AT, MATCH(M141, Variablen!$A:$A, 0), MATCH((YEAR(D141)+17), Variablen!$I$3:$AT$3, 0))),L141)))*(IF((YEAR(D141)+17)&lt;YEAR(E141),0,IF((YEAR(D141)+17)&gt;YEAR(E141),1,(12-MONTH(E141)+1)/12))) + (Q141)*(IF((YEAR(D141)+17)&lt;YEAR(E141),0,IF((YEAR(D141)+17)&gt;YEAR(E141),1,(12-MONTH(E141)+1)/12))))-((P141)*(IF((YEAR(D141)+17)&lt;YEAR(E141),0,IF((YEAR(D141)+17)&gt;YEAR(E141),1,(12-MONTH(E141)+1)/12))) + (R141)*(IF((YEAR(D141)+17)&lt;YEAR(E141),0,IF((YEAR(D141)+17)&gt;YEAR(E141),1,(12-MONTH(E141)+1)/12))))-(IF(OR(N141="",N141&lt;=0),0,(O141/N141)*(IF(OR(N141="",N141&lt;=0),0,IF((YEAR(D141)+17)&lt;YEAR(E141),0,IF((YEAR(D141)+17)&gt;=YEAR(E141)+N141,0,IF((YEAR(D141)+17)=YEAR(E141),(12-MONTH(E141)+1)/12,1))))))))&gt;0,(((K141)*(IF(M141="",L141,IFERROR(IF(INDEX(Variablen!$I:$AT, MATCH(M141, Variablen!$A:$A, 0), MATCH((YEAR(D141)+17), Variablen!$I$3:$AT$3, 0))="",L141,INDEX(Variablen!$I:$AT, MATCH(M141, Variablen!$A:$A, 0), MATCH((YEAR(D141)+17), Variablen!$I$3:$AT$3, 0))),L141)))*(IF((YEAR(D141)+17)&lt;YEAR(E141),0,IF((YEAR(D141)+17)&gt;YEAR(E141),1,(12-MONTH(E141)+1)/12))) + (Q141)*(IF((YEAR(D141)+17)&lt;YEAR(E141),0,IF((YEAR(D141)+17)&gt;YEAR(E141),1,(12-MONTH(E141)+1)/12))))-((P141)*(IF((YEAR(D141)+17)&lt;YEAR(E141),0,IF((YEAR(D141)+17)&gt;YEAR(E141),1,(12-MONTH(E141)+1)/12))) + (R141)*(IF((YEAR(D141)+17)&lt;YEAR(E141),0,IF((YEAR(D141)+17)&gt;YEAR(E141),1,(12-MONTH(E141)+1)/12))))-(IF(OR(N141="",N141&lt;=0),0,(O141/N141)*(IF(OR(N141="",N141&lt;=0),0,IF((YEAR(D141)+17)&lt;YEAR(E141),0,IF((YEAR(D141)+17)&gt;=YEAR(E141)+N141,0,IF((YEAR(D141)+17)=YEAR(E141),(12-MONTH(E141)+1)/12,1))))))))*TaxRate,0))-IF(17=0,O141,0))</f>
        <v/>
      </c>
      <c r="AK141" s="29">
        <f>IF(A141="","",((K141)*(IF(M141="",L141,IFERROR(IF(INDEX(Variablen!$I:$AT, MATCH(M141, Variablen!$A:$A, 0), MATCH((YEAR(D141)+18), Variablen!$I$3:$AT$3, 0))="",L141,INDEX(Variablen!$I:$AT, MATCH(M141, Variablen!$A:$A, 0), MATCH((YEAR(D141)+18), Variablen!$I$3:$AT$3, 0))),L141)))*(IF((YEAR(D141)+18)&lt;YEAR(E141),0,IF((YEAR(D141)+18)&gt;YEAR(E141),1,(12-MONTH(E141)+1)/12))) + (Q141)*(IF((YEAR(D141)+18)&lt;YEAR(E141),0,IF((YEAR(D141)+18)&gt;YEAR(E141),1,(12-MONTH(E141)+1)/12))))-((P141)*(IF((YEAR(D141)+18)&lt;YEAR(E141),0,IF((YEAR(D141)+18)&gt;YEAR(E141),1,(12-MONTH(E141)+1)/12))) + (R141)*(IF((YEAR(D141)+18)&lt;YEAR(E141),0,IF((YEAR(D141)+18)&gt;YEAR(E141),1,(12-MONTH(E141)+1)/12))))-(IF((((K141)*(IF(M141="",L141,IFERROR(IF(INDEX(Variablen!$I:$AT, MATCH(M141, Variablen!$A:$A, 0), MATCH((YEAR(D141)+18), Variablen!$I$3:$AT$3, 0))="",L141,INDEX(Variablen!$I:$AT, MATCH(M141, Variablen!$A:$A, 0), MATCH((YEAR(D141)+18), Variablen!$I$3:$AT$3, 0))),L141)))*(IF((YEAR(D141)+18)&lt;YEAR(E141),0,IF((YEAR(D141)+18)&gt;YEAR(E141),1,(12-MONTH(E141)+1)/12))) + (Q141)*(IF((YEAR(D141)+18)&lt;YEAR(E141),0,IF((YEAR(D141)+18)&gt;YEAR(E141),1,(12-MONTH(E141)+1)/12))))-((P141)*(IF((YEAR(D141)+18)&lt;YEAR(E141),0,IF((YEAR(D141)+18)&gt;YEAR(E141),1,(12-MONTH(E141)+1)/12))) + (R141)*(IF((YEAR(D141)+18)&lt;YEAR(E141),0,IF((YEAR(D141)+18)&gt;YEAR(E141),1,(12-MONTH(E141)+1)/12))))-(IF(OR(N141="",N141&lt;=0),0,(O141/N141)*(IF(OR(N141="",N141&lt;=0),0,IF((YEAR(D141)+18)&lt;YEAR(E141),0,IF((YEAR(D141)+18)&gt;=YEAR(E141)+N141,0,IF((YEAR(D141)+18)=YEAR(E141),(12-MONTH(E141)+1)/12,1))))))))&gt;0,(((K141)*(IF(M141="",L141,IFERROR(IF(INDEX(Variablen!$I:$AT, MATCH(M141, Variablen!$A:$A, 0), MATCH((YEAR(D141)+18), Variablen!$I$3:$AT$3, 0))="",L141,INDEX(Variablen!$I:$AT, MATCH(M141, Variablen!$A:$A, 0), MATCH((YEAR(D141)+18), Variablen!$I$3:$AT$3, 0))),L141)))*(IF((YEAR(D141)+18)&lt;YEAR(E141),0,IF((YEAR(D141)+18)&gt;YEAR(E141),1,(12-MONTH(E141)+1)/12))) + (Q141)*(IF((YEAR(D141)+18)&lt;YEAR(E141),0,IF((YEAR(D141)+18)&gt;YEAR(E141),1,(12-MONTH(E141)+1)/12))))-((P141)*(IF((YEAR(D141)+18)&lt;YEAR(E141),0,IF((YEAR(D141)+18)&gt;YEAR(E141),1,(12-MONTH(E141)+1)/12))) + (R141)*(IF((YEAR(D141)+18)&lt;YEAR(E141),0,IF((YEAR(D141)+18)&gt;YEAR(E141),1,(12-MONTH(E141)+1)/12))))-(IF(OR(N141="",N141&lt;=0),0,(O141/N141)*(IF(OR(N141="",N141&lt;=0),0,IF((YEAR(D141)+18)&lt;YEAR(E141),0,IF((YEAR(D141)+18)&gt;=YEAR(E141)+N141,0,IF((YEAR(D141)+18)=YEAR(E141),(12-MONTH(E141)+1)/12,1))))))))*TaxRate,0))-IF(18=0,O141,0))</f>
        <v/>
      </c>
      <c r="AL141" s="29">
        <f>IF(A141="","",((K141)*(IF(M141="",L141,IFERROR(IF(INDEX(Variablen!$I:$AT, MATCH(M141, Variablen!$A:$A, 0), MATCH((YEAR(D141)+19), Variablen!$I$3:$AT$3, 0))="",L141,INDEX(Variablen!$I:$AT, MATCH(M141, Variablen!$A:$A, 0), MATCH((YEAR(D141)+19), Variablen!$I$3:$AT$3, 0))),L141)))*(IF((YEAR(D141)+19)&lt;YEAR(E141),0,IF((YEAR(D141)+19)&gt;YEAR(E141),1,(12-MONTH(E141)+1)/12))) + (Q141)*(IF((YEAR(D141)+19)&lt;YEAR(E141),0,IF((YEAR(D141)+19)&gt;YEAR(E141),1,(12-MONTH(E141)+1)/12))))-((P141)*(IF((YEAR(D141)+19)&lt;YEAR(E141),0,IF((YEAR(D141)+19)&gt;YEAR(E141),1,(12-MONTH(E141)+1)/12))) + (R141)*(IF((YEAR(D141)+19)&lt;YEAR(E141),0,IF((YEAR(D141)+19)&gt;YEAR(E141),1,(12-MONTH(E141)+1)/12))))-(IF((((K141)*(IF(M141="",L141,IFERROR(IF(INDEX(Variablen!$I:$AT, MATCH(M141, Variablen!$A:$A, 0), MATCH((YEAR(D141)+19), Variablen!$I$3:$AT$3, 0))="",L141,INDEX(Variablen!$I:$AT, MATCH(M141, Variablen!$A:$A, 0), MATCH((YEAR(D141)+19), Variablen!$I$3:$AT$3, 0))),L141)))*(IF((YEAR(D141)+19)&lt;YEAR(E141),0,IF((YEAR(D141)+19)&gt;YEAR(E141),1,(12-MONTH(E141)+1)/12))) + (Q141)*(IF((YEAR(D141)+19)&lt;YEAR(E141),0,IF((YEAR(D141)+19)&gt;YEAR(E141),1,(12-MONTH(E141)+1)/12))))-((P141)*(IF((YEAR(D141)+19)&lt;YEAR(E141),0,IF((YEAR(D141)+19)&gt;YEAR(E141),1,(12-MONTH(E141)+1)/12))) + (R141)*(IF((YEAR(D141)+19)&lt;YEAR(E141),0,IF((YEAR(D141)+19)&gt;YEAR(E141),1,(12-MONTH(E141)+1)/12))))-(IF(OR(N141="",N141&lt;=0),0,(O141/N141)*(IF(OR(N141="",N141&lt;=0),0,IF((YEAR(D141)+19)&lt;YEAR(E141),0,IF((YEAR(D141)+19)&gt;=YEAR(E141)+N141,0,IF((YEAR(D141)+19)=YEAR(E141),(12-MONTH(E141)+1)/12,1))))))))&gt;0,(((K141)*(IF(M141="",L141,IFERROR(IF(INDEX(Variablen!$I:$AT, MATCH(M141, Variablen!$A:$A, 0), MATCH((YEAR(D141)+19), Variablen!$I$3:$AT$3, 0))="",L141,INDEX(Variablen!$I:$AT, MATCH(M141, Variablen!$A:$A, 0), MATCH((YEAR(D141)+19), Variablen!$I$3:$AT$3, 0))),L141)))*(IF((YEAR(D141)+19)&lt;YEAR(E141),0,IF((YEAR(D141)+19)&gt;YEAR(E141),1,(12-MONTH(E141)+1)/12))) + (Q141)*(IF((YEAR(D141)+19)&lt;YEAR(E141),0,IF((YEAR(D141)+19)&gt;YEAR(E141),1,(12-MONTH(E141)+1)/12))))-((P141)*(IF((YEAR(D141)+19)&lt;YEAR(E141),0,IF((YEAR(D141)+19)&gt;YEAR(E141),1,(12-MONTH(E141)+1)/12))) + (R141)*(IF((YEAR(D141)+19)&lt;YEAR(E141),0,IF((YEAR(D141)+19)&gt;YEAR(E141),1,(12-MONTH(E141)+1)/12))))-(IF(OR(N141="",N141&lt;=0),0,(O141/N141)*(IF(OR(N141="",N141&lt;=0),0,IF((YEAR(D141)+19)&lt;YEAR(E141),0,IF((YEAR(D141)+19)&gt;=YEAR(E141)+N141,0,IF((YEAR(D141)+19)=YEAR(E141),(12-MONTH(E141)+1)/12,1))))))))*TaxRate,0))-IF(19=0,O141,0))</f>
        <v/>
      </c>
      <c r="AM141" s="29">
        <f>IF(A141="","",((K141)*(IF(M141="",L141,IFERROR(IF(INDEX(Variablen!$I:$AT, MATCH(M141, Variablen!$A:$A, 0), MATCH((YEAR(D141)+20), Variablen!$I$3:$AT$3, 0))="",L141,INDEX(Variablen!$I:$AT, MATCH(M141, Variablen!$A:$A, 0), MATCH((YEAR(D141)+20), Variablen!$I$3:$AT$3, 0))),L141)))*(IF((YEAR(D141)+20)&lt;YEAR(E141),0,IF((YEAR(D141)+20)&gt;YEAR(E141),1,(12-MONTH(E141)+1)/12))) + (Q141)*(IF((YEAR(D141)+20)&lt;YEAR(E141),0,IF((YEAR(D141)+20)&gt;YEAR(E141),1,(12-MONTH(E141)+1)/12))))-((P141)*(IF((YEAR(D141)+20)&lt;YEAR(E141),0,IF((YEAR(D141)+20)&gt;YEAR(E141),1,(12-MONTH(E141)+1)/12))) + (R141)*(IF((YEAR(D141)+20)&lt;YEAR(E141),0,IF((YEAR(D141)+20)&gt;YEAR(E141),1,(12-MONTH(E141)+1)/12))))-(IF((((K141)*(IF(M141="",L141,IFERROR(IF(INDEX(Variablen!$I:$AT, MATCH(M141, Variablen!$A:$A, 0), MATCH((YEAR(D141)+20), Variablen!$I$3:$AT$3, 0))="",L141,INDEX(Variablen!$I:$AT, MATCH(M141, Variablen!$A:$A, 0), MATCH((YEAR(D141)+20), Variablen!$I$3:$AT$3, 0))),L141)))*(IF((YEAR(D141)+20)&lt;YEAR(E141),0,IF((YEAR(D141)+20)&gt;YEAR(E141),1,(12-MONTH(E141)+1)/12))) + (Q141)*(IF((YEAR(D141)+20)&lt;YEAR(E141),0,IF((YEAR(D141)+20)&gt;YEAR(E141),1,(12-MONTH(E141)+1)/12))))-((P141)*(IF((YEAR(D141)+20)&lt;YEAR(E141),0,IF((YEAR(D141)+20)&gt;YEAR(E141),1,(12-MONTH(E141)+1)/12))) + (R141)*(IF((YEAR(D141)+20)&lt;YEAR(E141),0,IF((YEAR(D141)+20)&gt;YEAR(E141),1,(12-MONTH(E141)+1)/12))))-(IF(OR(N141="",N141&lt;=0),0,(O141/N141)*(IF(OR(N141="",N141&lt;=0),0,IF((YEAR(D141)+20)&lt;YEAR(E141),0,IF((YEAR(D141)+20)&gt;=YEAR(E141)+N141,0,IF((YEAR(D141)+20)=YEAR(E141),(12-MONTH(E141)+1)/12,1))))))))&gt;0,(((K141)*(IF(M141="",L141,IFERROR(IF(INDEX(Variablen!$I:$AT, MATCH(M141, Variablen!$A:$A, 0), MATCH((YEAR(D141)+20), Variablen!$I$3:$AT$3, 0))="",L141,INDEX(Variablen!$I:$AT, MATCH(M141, Variablen!$A:$A, 0), MATCH((YEAR(D141)+20), Variablen!$I$3:$AT$3, 0))),L141)))*(IF((YEAR(D141)+20)&lt;YEAR(E141),0,IF((YEAR(D141)+20)&gt;YEAR(E141),1,(12-MONTH(E141)+1)/12))) + (Q141)*(IF((YEAR(D141)+20)&lt;YEAR(E141),0,IF((YEAR(D141)+20)&gt;YEAR(E141),1,(12-MONTH(E141)+1)/12))))-((P141)*(IF((YEAR(D141)+20)&lt;YEAR(E141),0,IF((YEAR(D141)+20)&gt;YEAR(E141),1,(12-MONTH(E141)+1)/12))) + (R141)*(IF((YEAR(D141)+20)&lt;YEAR(E141),0,IF((YEAR(D141)+20)&gt;YEAR(E141),1,(12-MONTH(E141)+1)/12))))-(IF(OR(N141="",N141&lt;=0),0,(O141/N141)*(IF(OR(N141="",N141&lt;=0),0,IF((YEAR(D141)+20)&lt;YEAR(E141),0,IF((YEAR(D141)+20)&gt;=YEAR(E141)+N141,0,IF((YEAR(D141)+20)=YEAR(E141),(12-MONTH(E141)+1)/12,1))))))))*TaxRate,0))-IF(20=0,O141,0))</f>
        <v/>
      </c>
      <c r="AN141" s="29">
        <f>IF(A141="","",S141)</f>
        <v/>
      </c>
      <c r="AO141" s="29">
        <f>IF(A141="","",AN141+T141)</f>
        <v/>
      </c>
      <c r="AP141" s="29">
        <f>IF(A141="","",AO141+U141)</f>
        <v/>
      </c>
      <c r="AQ141" s="29">
        <f>IF(A141="","",AP141+V141)</f>
        <v/>
      </c>
      <c r="AR141" s="29">
        <f>IF(A141="","",AQ141+W141)</f>
        <v/>
      </c>
      <c r="AS141" s="29">
        <f>IF(A141="","",AR141+X141)</f>
        <v/>
      </c>
      <c r="AT141" s="29">
        <f>IF(A141="","",AS141+Y141)</f>
        <v/>
      </c>
      <c r="AU141" s="29">
        <f>IF(A141="","",AT141+Z141)</f>
        <v/>
      </c>
      <c r="AV141" s="29">
        <f>IF(A141="","",AU141+AA141)</f>
        <v/>
      </c>
      <c r="AW141" s="29">
        <f>IF(A141="","",AV141+AB141)</f>
        <v/>
      </c>
      <c r="AX141" s="29">
        <f>IF(A141="","",AW141+AC141)</f>
        <v/>
      </c>
      <c r="AY141" s="29">
        <f>IF(A141="","",AX141+AD141)</f>
        <v/>
      </c>
      <c r="AZ141" s="29">
        <f>IF(A141="","",AY141+AE141)</f>
        <v/>
      </c>
      <c r="BA141" s="29">
        <f>IF(A141="","",AZ141+AF141)</f>
        <v/>
      </c>
      <c r="BB141" s="29">
        <f>IF(A141="","",BA141+AG141)</f>
        <v/>
      </c>
      <c r="BC141" s="29">
        <f>IF(A141="","",BB141+AH141)</f>
        <v/>
      </c>
      <c r="BD141" s="29">
        <f>IF(A141="","",BC141+AI141)</f>
        <v/>
      </c>
      <c r="BE141" s="29">
        <f>IF(A141="","",BD141+AJ141)</f>
        <v/>
      </c>
      <c r="BF141" s="29">
        <f>IF(A141="","",BE141+AK141)</f>
        <v/>
      </c>
      <c r="BG141" s="29">
        <f>IF(A141="","",BF141+AL141)</f>
        <v/>
      </c>
      <c r="BH141" s="29">
        <f>IF(A141="","",BG141+AM141)</f>
        <v/>
      </c>
      <c r="BI141" s="36">
        <f>IF(A141="","",(K141)*(IF((YEAR(D141)+0)&lt;YEAR(E141),0,IF((YEAR(D141)+0)&gt;YEAR(E141),1,(12-MONTH(E141)+1)/12)))*(1/(1+DiscountRate)^0))</f>
        <v/>
      </c>
      <c r="BJ141" s="36">
        <f>IF(A141="","",(K141)*(IF((YEAR(D141)+1)&lt;YEAR(E141),0,IF((YEAR(D141)+1)&gt;YEAR(E141),1,(12-MONTH(E141)+1)/12)))*(1/(1+DiscountRate)^1))</f>
        <v/>
      </c>
      <c r="BK141" s="36">
        <f>IF(A141="","",(K141)*(IF((YEAR(D141)+2)&lt;YEAR(E141),0,IF((YEAR(D141)+2)&gt;YEAR(E141),1,(12-MONTH(E141)+1)/12)))*(1/(1+DiscountRate)^2))</f>
        <v/>
      </c>
      <c r="BL141" s="36">
        <f>IF(A141="","",(K141)*(IF((YEAR(D141)+3)&lt;YEAR(E141),0,IF((YEAR(D141)+3)&gt;YEAR(E141),1,(12-MONTH(E141)+1)/12)))*(1/(1+DiscountRate)^3))</f>
        <v/>
      </c>
      <c r="BM141" s="36">
        <f>IF(A141="","",(K141)*(IF((YEAR(D141)+4)&lt;YEAR(E141),0,IF((YEAR(D141)+4)&gt;YEAR(E141),1,(12-MONTH(E141)+1)/12)))*(1/(1+DiscountRate)^4))</f>
        <v/>
      </c>
      <c r="BN141" s="36">
        <f>IF(A141="","",(K141)*(IF((YEAR(D141)+5)&lt;YEAR(E141),0,IF((YEAR(D141)+5)&gt;YEAR(E141),1,(12-MONTH(E141)+1)/12)))*(1/(1+DiscountRate)^5))</f>
        <v/>
      </c>
      <c r="BO141" s="36">
        <f>IF(A141="","",(K141)*(IF((YEAR(D141)+6)&lt;YEAR(E141),0,IF((YEAR(D141)+6)&gt;YEAR(E141),1,(12-MONTH(E141)+1)/12)))*(1/(1+DiscountRate)^6))</f>
        <v/>
      </c>
      <c r="BP141" s="36">
        <f>IF(A141="","",(K141)*(IF((YEAR(D141)+7)&lt;YEAR(E141),0,IF((YEAR(D141)+7)&gt;YEAR(E141),1,(12-MONTH(E141)+1)/12)))*(1/(1+DiscountRate)^7))</f>
        <v/>
      </c>
      <c r="BQ141" s="36">
        <f>IF(A141="","",(K141)*(IF((YEAR(D141)+8)&lt;YEAR(E141),0,IF((YEAR(D141)+8)&gt;YEAR(E141),1,(12-MONTH(E141)+1)/12)))*(1/(1+DiscountRate)^8))</f>
        <v/>
      </c>
      <c r="BR141" s="36">
        <f>IF(A141="","",(K141)*(IF((YEAR(D141)+9)&lt;YEAR(E141),0,IF((YEAR(D141)+9)&gt;YEAR(E141),1,(12-MONTH(E141)+1)/12)))*(1/(1+DiscountRate)^9))</f>
        <v/>
      </c>
      <c r="BS141" s="36">
        <f>IF(A141="","",(K141)*(IF((YEAR(D141)+10)&lt;YEAR(E141),0,IF((YEAR(D141)+10)&gt;YEAR(E141),1,(12-MONTH(E141)+1)/12)))*(1/(1+DiscountRate)^10))</f>
        <v/>
      </c>
      <c r="BT141" s="36">
        <f>IF(A141="","",(K141)*(IF((YEAR(D141)+11)&lt;YEAR(E141),0,IF((YEAR(D141)+11)&gt;YEAR(E141),1,(12-MONTH(E141)+1)/12)))*(1/(1+DiscountRate)^11))</f>
        <v/>
      </c>
      <c r="BU141" s="36">
        <f>IF(A141="","",(K141)*(IF((YEAR(D141)+12)&lt;YEAR(E141),0,IF((YEAR(D141)+12)&gt;YEAR(E141),1,(12-MONTH(E141)+1)/12)))*(1/(1+DiscountRate)^12))</f>
        <v/>
      </c>
      <c r="BV141" s="36">
        <f>IF(A141="","",(K141)*(IF((YEAR(D141)+13)&lt;YEAR(E141),0,IF((YEAR(D141)+13)&gt;YEAR(E141),1,(12-MONTH(E141)+1)/12)))*(1/(1+DiscountRate)^13))</f>
        <v/>
      </c>
      <c r="BW141" s="36">
        <f>IF(A141="","",(K141)*(IF((YEAR(D141)+14)&lt;YEAR(E141),0,IF((YEAR(D141)+14)&gt;YEAR(E141),1,(12-MONTH(E141)+1)/12)))*(1/(1+DiscountRate)^14))</f>
        <v/>
      </c>
      <c r="BX141" s="36">
        <f>IF(A141="","",(K141)*(IF((YEAR(D141)+15)&lt;YEAR(E141),0,IF((YEAR(D141)+15)&gt;YEAR(E141),1,(12-MONTH(E141)+1)/12)))*(1/(1+DiscountRate)^15))</f>
        <v/>
      </c>
      <c r="BY141" s="36">
        <f>IF(A141="","",(K141)*(IF((YEAR(D141)+16)&lt;YEAR(E141),0,IF((YEAR(D141)+16)&gt;YEAR(E141),1,(12-MONTH(E141)+1)/12)))*(1/(1+DiscountRate)^16))</f>
        <v/>
      </c>
      <c r="BZ141" s="36">
        <f>IF(A141="","",(K141)*(IF((YEAR(D141)+17)&lt;YEAR(E141),0,IF((YEAR(D141)+17)&gt;YEAR(E141),1,(12-MONTH(E141)+1)/12)))*(1/(1+DiscountRate)^17))</f>
        <v/>
      </c>
      <c r="CA141" s="36">
        <f>IF(A141="","",(K141)*(IF((YEAR(D141)+18)&lt;YEAR(E141),0,IF((YEAR(D141)+18)&gt;YEAR(E141),1,(12-MONTH(E141)+1)/12)))*(1/(1+DiscountRate)^18))</f>
        <v/>
      </c>
      <c r="CB141" s="36">
        <f>IF(A141="","",(K141)*(IF((YEAR(D141)+19)&lt;YEAR(E141),0,IF((YEAR(D141)+19)&gt;YEAR(E141),1,(12-MONTH(E141)+1)/12)))*(1/(1+DiscountRate)^19))</f>
        <v/>
      </c>
      <c r="CC141" s="36">
        <f>IF(A141="","",(K141)*(IF((YEAR(D141)+20)&lt;YEAR(E141),0,IF((YEAR(D141)+20)&gt;YEAR(E141),1,(12-MONTH(E141)+1)/12)))*(1/(1+DiscountRate)^20))</f>
        <v/>
      </c>
      <c r="CD141" s="29">
        <f>IF(A141="","",S141/(1+DiscountRate)^0+T141/(1+DiscountRate)^1+U141/(1+DiscountRate)^2+V141/(1+DiscountRate)^3+W141/(1+DiscountRate)^4+X141/(1+DiscountRate)^5+Y141/(1+DiscountRate)^6+Z141/(1+DiscountRate)^7+AA141/(1+DiscountRate)^8+AB141/(1+DiscountRate)^9+AC141/(1+DiscountRate)^10+AD141/(1+DiscountRate)^11+AE141/(1+DiscountRate)^12+AF141/(1+DiscountRate)^13+AG141/(1+DiscountRate)^14+AH141/(1+DiscountRate)^15+AI141/(1+DiscountRate)^16+AJ141/(1+DiscountRate)^17+AK141/(1+DiscountRate)^18+AL141/(1+DiscountRate)^19+AM141/(1+DiscountRate)^20)</f>
        <v/>
      </c>
      <c r="CE141" s="37">
        <f>IF(A141="","",IFERROR(IRR(OFFSET(S141,0,0,1,MIN(HorizonYears,20)+1)),"n/a"))</f>
        <v/>
      </c>
      <c r="CF141" s="28">
        <f>IF(A141="","",IFERROR(MATCH(TRUE,OFFSET(AN141,0,0,1,MIN(HorizonYears,20)+1)&gt;=0,0)-1,"n/a"))</f>
        <v/>
      </c>
      <c r="CG141" s="36">
        <f>IF(A141="","",SUM(OFFSET(BI141,0,0,1,MIN(HorizonYears,20)+1)))</f>
        <v/>
      </c>
      <c r="CH141" s="36">
        <f>IF(A141="","",IFERROR(-CD141/CG141,"n/a"))</f>
        <v/>
      </c>
    </row>
    <row r="142">
      <c r="A142" s="6">
        <f>Actions!A140</f>
        <v/>
      </c>
      <c r="B142" s="6">
        <f>Actions!B140</f>
        <v/>
      </c>
      <c r="C142" s="6">
        <f>Actions!D140</f>
        <v/>
      </c>
      <c r="D142" s="35">
        <f>Actions!E140</f>
        <v/>
      </c>
      <c r="E142" s="35">
        <f>Actions!F140</f>
        <v/>
      </c>
      <c r="F142" s="6">
        <f>Actions!G140</f>
        <v/>
      </c>
      <c r="G142" s="6">
        <f>Actions!H140</f>
        <v/>
      </c>
      <c r="H142" s="29">
        <f>Actions!I140</f>
        <v/>
      </c>
      <c r="I142" s="6">
        <f>Actions!J140</f>
        <v/>
      </c>
      <c r="J142" s="16">
        <f>Actions!K140</f>
        <v/>
      </c>
      <c r="K142" s="16">
        <f>IF(A142="","",IF(I142="%",H142*J142,J142))</f>
        <v/>
      </c>
      <c r="L142" s="16">
        <f>Actions!L140</f>
        <v/>
      </c>
      <c r="M142" s="6">
        <f>Actions!M140</f>
        <v/>
      </c>
      <c r="N142" s="28">
        <f>Actions!N140</f>
        <v/>
      </c>
      <c r="O142" s="29">
        <f>Actions!T140</f>
        <v/>
      </c>
      <c r="P142" s="29">
        <f>Actions!Y140</f>
        <v/>
      </c>
      <c r="Q142" s="29">
        <f>Actions!Z140</f>
        <v/>
      </c>
      <c r="R142" s="29">
        <f>Actions!AA140</f>
        <v/>
      </c>
      <c r="S142" s="29">
        <f>IF(A142="","",((K142)*(IF(M142="",L142,IFERROR(IF(INDEX(Variablen!$I:$AT, MATCH(M142, Variablen!$A:$A, 0), MATCH((YEAR(D142)+0), Variablen!$I$3:$AT$3, 0))="",L142,INDEX(Variablen!$I:$AT, MATCH(M142, Variablen!$A:$A, 0), MATCH((YEAR(D142)+0), Variablen!$I$3:$AT$3, 0))),L142)))*(IF((YEAR(D142)+0)&lt;YEAR(E142),0,IF((YEAR(D142)+0)&gt;YEAR(E142),1,(12-MONTH(E142)+1)/12))) + (Q142)*(IF((YEAR(D142)+0)&lt;YEAR(E142),0,IF((YEAR(D142)+0)&gt;YEAR(E142),1,(12-MONTH(E142)+1)/12))))-((P142)*(IF((YEAR(D142)+0)&lt;YEAR(E142),0,IF((YEAR(D142)+0)&gt;YEAR(E142),1,(12-MONTH(E142)+1)/12))) + (R142)*(IF((YEAR(D142)+0)&lt;YEAR(E142),0,IF((YEAR(D142)+0)&gt;YEAR(E142),1,(12-MONTH(E142)+1)/12))))-(IF((((K142)*(IF(M142="",L142,IFERROR(IF(INDEX(Variablen!$I:$AT, MATCH(M142, Variablen!$A:$A, 0), MATCH((YEAR(D142)+0), Variablen!$I$3:$AT$3, 0))="",L142,INDEX(Variablen!$I:$AT, MATCH(M142, Variablen!$A:$A, 0), MATCH((YEAR(D142)+0), Variablen!$I$3:$AT$3, 0))),L142)))*(IF((YEAR(D142)+0)&lt;YEAR(E142),0,IF((YEAR(D142)+0)&gt;YEAR(E142),1,(12-MONTH(E142)+1)/12))) + (Q142)*(IF((YEAR(D142)+0)&lt;YEAR(E142),0,IF((YEAR(D142)+0)&gt;YEAR(E142),1,(12-MONTH(E142)+1)/12))))-((P142)*(IF((YEAR(D142)+0)&lt;YEAR(E142),0,IF((YEAR(D142)+0)&gt;YEAR(E142),1,(12-MONTH(E142)+1)/12))) + (R142)*(IF((YEAR(D142)+0)&lt;YEAR(E142),0,IF((YEAR(D142)+0)&gt;YEAR(E142),1,(12-MONTH(E142)+1)/12))))-(IF(OR(N142="",N142&lt;=0),0,(O142/N142)*(IF(OR(N142="",N142&lt;=0),0,IF((YEAR(D142)+0)&lt;YEAR(E142),0,IF((YEAR(D142)+0)&gt;=YEAR(E142)+N142,0,IF((YEAR(D142)+0)=YEAR(E142),(12-MONTH(E142)+1)/12,1))))))))&gt;0,(((K142)*(IF(M142="",L142,IFERROR(IF(INDEX(Variablen!$I:$AT, MATCH(M142, Variablen!$A:$A, 0), MATCH((YEAR(D142)+0), Variablen!$I$3:$AT$3, 0))="",L142,INDEX(Variablen!$I:$AT, MATCH(M142, Variablen!$A:$A, 0), MATCH((YEAR(D142)+0), Variablen!$I$3:$AT$3, 0))),L142)))*(IF((YEAR(D142)+0)&lt;YEAR(E142),0,IF((YEAR(D142)+0)&gt;YEAR(E142),1,(12-MONTH(E142)+1)/12))) + (Q142)*(IF((YEAR(D142)+0)&lt;YEAR(E142),0,IF((YEAR(D142)+0)&gt;YEAR(E142),1,(12-MONTH(E142)+1)/12))))-((P142)*(IF((YEAR(D142)+0)&lt;YEAR(E142),0,IF((YEAR(D142)+0)&gt;YEAR(E142),1,(12-MONTH(E142)+1)/12))) + (R142)*(IF((YEAR(D142)+0)&lt;YEAR(E142),0,IF((YEAR(D142)+0)&gt;YEAR(E142),1,(12-MONTH(E142)+1)/12))))-(IF(OR(N142="",N142&lt;=0),0,(O142/N142)*(IF(OR(N142="",N142&lt;=0),0,IF((YEAR(D142)+0)&lt;YEAR(E142),0,IF((YEAR(D142)+0)&gt;=YEAR(E142)+N142,0,IF((YEAR(D142)+0)=YEAR(E142),(12-MONTH(E142)+1)/12,1))))))))*TaxRate,0))-IF(0=0,O142,0))</f>
        <v/>
      </c>
      <c r="T142" s="29">
        <f>IF(A142="","",((K142)*(IF(M142="",L142,IFERROR(IF(INDEX(Variablen!$I:$AT, MATCH(M142, Variablen!$A:$A, 0), MATCH((YEAR(D142)+1), Variablen!$I$3:$AT$3, 0))="",L142,INDEX(Variablen!$I:$AT, MATCH(M142, Variablen!$A:$A, 0), MATCH((YEAR(D142)+1), Variablen!$I$3:$AT$3, 0))),L142)))*(IF((YEAR(D142)+1)&lt;YEAR(E142),0,IF((YEAR(D142)+1)&gt;YEAR(E142),1,(12-MONTH(E142)+1)/12))) + (Q142)*(IF((YEAR(D142)+1)&lt;YEAR(E142),0,IF((YEAR(D142)+1)&gt;YEAR(E142),1,(12-MONTH(E142)+1)/12))))-((P142)*(IF((YEAR(D142)+1)&lt;YEAR(E142),0,IF((YEAR(D142)+1)&gt;YEAR(E142),1,(12-MONTH(E142)+1)/12))) + (R142)*(IF((YEAR(D142)+1)&lt;YEAR(E142),0,IF((YEAR(D142)+1)&gt;YEAR(E142),1,(12-MONTH(E142)+1)/12))))-(IF((((K142)*(IF(M142="",L142,IFERROR(IF(INDEX(Variablen!$I:$AT, MATCH(M142, Variablen!$A:$A, 0), MATCH((YEAR(D142)+1), Variablen!$I$3:$AT$3, 0))="",L142,INDEX(Variablen!$I:$AT, MATCH(M142, Variablen!$A:$A, 0), MATCH((YEAR(D142)+1), Variablen!$I$3:$AT$3, 0))),L142)))*(IF((YEAR(D142)+1)&lt;YEAR(E142),0,IF((YEAR(D142)+1)&gt;YEAR(E142),1,(12-MONTH(E142)+1)/12))) + (Q142)*(IF((YEAR(D142)+1)&lt;YEAR(E142),0,IF((YEAR(D142)+1)&gt;YEAR(E142),1,(12-MONTH(E142)+1)/12))))-((P142)*(IF((YEAR(D142)+1)&lt;YEAR(E142),0,IF((YEAR(D142)+1)&gt;YEAR(E142),1,(12-MONTH(E142)+1)/12))) + (R142)*(IF((YEAR(D142)+1)&lt;YEAR(E142),0,IF((YEAR(D142)+1)&gt;YEAR(E142),1,(12-MONTH(E142)+1)/12))))-(IF(OR(N142="",N142&lt;=0),0,(O142/N142)*(IF(OR(N142="",N142&lt;=0),0,IF((YEAR(D142)+1)&lt;YEAR(E142),0,IF((YEAR(D142)+1)&gt;=YEAR(E142)+N142,0,IF((YEAR(D142)+1)=YEAR(E142),(12-MONTH(E142)+1)/12,1))))))))&gt;0,(((K142)*(IF(M142="",L142,IFERROR(IF(INDEX(Variablen!$I:$AT, MATCH(M142, Variablen!$A:$A, 0), MATCH((YEAR(D142)+1), Variablen!$I$3:$AT$3, 0))="",L142,INDEX(Variablen!$I:$AT, MATCH(M142, Variablen!$A:$A, 0), MATCH((YEAR(D142)+1), Variablen!$I$3:$AT$3, 0))),L142)))*(IF((YEAR(D142)+1)&lt;YEAR(E142),0,IF((YEAR(D142)+1)&gt;YEAR(E142),1,(12-MONTH(E142)+1)/12))) + (Q142)*(IF((YEAR(D142)+1)&lt;YEAR(E142),0,IF((YEAR(D142)+1)&gt;YEAR(E142),1,(12-MONTH(E142)+1)/12))))-((P142)*(IF((YEAR(D142)+1)&lt;YEAR(E142),0,IF((YEAR(D142)+1)&gt;YEAR(E142),1,(12-MONTH(E142)+1)/12))) + (R142)*(IF((YEAR(D142)+1)&lt;YEAR(E142),0,IF((YEAR(D142)+1)&gt;YEAR(E142),1,(12-MONTH(E142)+1)/12))))-(IF(OR(N142="",N142&lt;=0),0,(O142/N142)*(IF(OR(N142="",N142&lt;=0),0,IF((YEAR(D142)+1)&lt;YEAR(E142),0,IF((YEAR(D142)+1)&gt;=YEAR(E142)+N142,0,IF((YEAR(D142)+1)=YEAR(E142),(12-MONTH(E142)+1)/12,1))))))))*TaxRate,0))-IF(1=0,O142,0))</f>
        <v/>
      </c>
      <c r="U142" s="29">
        <f>IF(A142="","",((K142)*(IF(M142="",L142,IFERROR(IF(INDEX(Variablen!$I:$AT, MATCH(M142, Variablen!$A:$A, 0), MATCH((YEAR(D142)+2), Variablen!$I$3:$AT$3, 0))="",L142,INDEX(Variablen!$I:$AT, MATCH(M142, Variablen!$A:$A, 0), MATCH((YEAR(D142)+2), Variablen!$I$3:$AT$3, 0))),L142)))*(IF((YEAR(D142)+2)&lt;YEAR(E142),0,IF((YEAR(D142)+2)&gt;YEAR(E142),1,(12-MONTH(E142)+1)/12))) + (Q142)*(IF((YEAR(D142)+2)&lt;YEAR(E142),0,IF((YEAR(D142)+2)&gt;YEAR(E142),1,(12-MONTH(E142)+1)/12))))-((P142)*(IF((YEAR(D142)+2)&lt;YEAR(E142),0,IF((YEAR(D142)+2)&gt;YEAR(E142),1,(12-MONTH(E142)+1)/12))) + (R142)*(IF((YEAR(D142)+2)&lt;YEAR(E142),0,IF((YEAR(D142)+2)&gt;YEAR(E142),1,(12-MONTH(E142)+1)/12))))-(IF((((K142)*(IF(M142="",L142,IFERROR(IF(INDEX(Variablen!$I:$AT, MATCH(M142, Variablen!$A:$A, 0), MATCH((YEAR(D142)+2), Variablen!$I$3:$AT$3, 0))="",L142,INDEX(Variablen!$I:$AT, MATCH(M142, Variablen!$A:$A, 0), MATCH((YEAR(D142)+2), Variablen!$I$3:$AT$3, 0))),L142)))*(IF((YEAR(D142)+2)&lt;YEAR(E142),0,IF((YEAR(D142)+2)&gt;YEAR(E142),1,(12-MONTH(E142)+1)/12))) + (Q142)*(IF((YEAR(D142)+2)&lt;YEAR(E142),0,IF((YEAR(D142)+2)&gt;YEAR(E142),1,(12-MONTH(E142)+1)/12))))-((P142)*(IF((YEAR(D142)+2)&lt;YEAR(E142),0,IF((YEAR(D142)+2)&gt;YEAR(E142),1,(12-MONTH(E142)+1)/12))) + (R142)*(IF((YEAR(D142)+2)&lt;YEAR(E142),0,IF((YEAR(D142)+2)&gt;YEAR(E142),1,(12-MONTH(E142)+1)/12))))-(IF(OR(N142="",N142&lt;=0),0,(O142/N142)*(IF(OR(N142="",N142&lt;=0),0,IF((YEAR(D142)+2)&lt;YEAR(E142),0,IF((YEAR(D142)+2)&gt;=YEAR(E142)+N142,0,IF((YEAR(D142)+2)=YEAR(E142),(12-MONTH(E142)+1)/12,1))))))))&gt;0,(((K142)*(IF(M142="",L142,IFERROR(IF(INDEX(Variablen!$I:$AT, MATCH(M142, Variablen!$A:$A, 0), MATCH((YEAR(D142)+2), Variablen!$I$3:$AT$3, 0))="",L142,INDEX(Variablen!$I:$AT, MATCH(M142, Variablen!$A:$A, 0), MATCH((YEAR(D142)+2), Variablen!$I$3:$AT$3, 0))),L142)))*(IF((YEAR(D142)+2)&lt;YEAR(E142),0,IF((YEAR(D142)+2)&gt;YEAR(E142),1,(12-MONTH(E142)+1)/12))) + (Q142)*(IF((YEAR(D142)+2)&lt;YEAR(E142),0,IF((YEAR(D142)+2)&gt;YEAR(E142),1,(12-MONTH(E142)+1)/12))))-((P142)*(IF((YEAR(D142)+2)&lt;YEAR(E142),0,IF((YEAR(D142)+2)&gt;YEAR(E142),1,(12-MONTH(E142)+1)/12))) + (R142)*(IF((YEAR(D142)+2)&lt;YEAR(E142),0,IF((YEAR(D142)+2)&gt;YEAR(E142),1,(12-MONTH(E142)+1)/12))))-(IF(OR(N142="",N142&lt;=0),0,(O142/N142)*(IF(OR(N142="",N142&lt;=0),0,IF((YEAR(D142)+2)&lt;YEAR(E142),0,IF((YEAR(D142)+2)&gt;=YEAR(E142)+N142,0,IF((YEAR(D142)+2)=YEAR(E142),(12-MONTH(E142)+1)/12,1))))))))*TaxRate,0))-IF(2=0,O142,0))</f>
        <v/>
      </c>
      <c r="V142" s="29">
        <f>IF(A142="","",((K142)*(IF(M142="",L142,IFERROR(IF(INDEX(Variablen!$I:$AT, MATCH(M142, Variablen!$A:$A, 0), MATCH((YEAR(D142)+3), Variablen!$I$3:$AT$3, 0))="",L142,INDEX(Variablen!$I:$AT, MATCH(M142, Variablen!$A:$A, 0), MATCH((YEAR(D142)+3), Variablen!$I$3:$AT$3, 0))),L142)))*(IF((YEAR(D142)+3)&lt;YEAR(E142),0,IF((YEAR(D142)+3)&gt;YEAR(E142),1,(12-MONTH(E142)+1)/12))) + (Q142)*(IF((YEAR(D142)+3)&lt;YEAR(E142),0,IF((YEAR(D142)+3)&gt;YEAR(E142),1,(12-MONTH(E142)+1)/12))))-((P142)*(IF((YEAR(D142)+3)&lt;YEAR(E142),0,IF((YEAR(D142)+3)&gt;YEAR(E142),1,(12-MONTH(E142)+1)/12))) + (R142)*(IF((YEAR(D142)+3)&lt;YEAR(E142),0,IF((YEAR(D142)+3)&gt;YEAR(E142),1,(12-MONTH(E142)+1)/12))))-(IF((((K142)*(IF(M142="",L142,IFERROR(IF(INDEX(Variablen!$I:$AT, MATCH(M142, Variablen!$A:$A, 0), MATCH((YEAR(D142)+3), Variablen!$I$3:$AT$3, 0))="",L142,INDEX(Variablen!$I:$AT, MATCH(M142, Variablen!$A:$A, 0), MATCH((YEAR(D142)+3), Variablen!$I$3:$AT$3, 0))),L142)))*(IF((YEAR(D142)+3)&lt;YEAR(E142),0,IF((YEAR(D142)+3)&gt;YEAR(E142),1,(12-MONTH(E142)+1)/12))) + (Q142)*(IF((YEAR(D142)+3)&lt;YEAR(E142),0,IF((YEAR(D142)+3)&gt;YEAR(E142),1,(12-MONTH(E142)+1)/12))))-((P142)*(IF((YEAR(D142)+3)&lt;YEAR(E142),0,IF((YEAR(D142)+3)&gt;YEAR(E142),1,(12-MONTH(E142)+1)/12))) + (R142)*(IF((YEAR(D142)+3)&lt;YEAR(E142),0,IF((YEAR(D142)+3)&gt;YEAR(E142),1,(12-MONTH(E142)+1)/12))))-(IF(OR(N142="",N142&lt;=0),0,(O142/N142)*(IF(OR(N142="",N142&lt;=0),0,IF((YEAR(D142)+3)&lt;YEAR(E142),0,IF((YEAR(D142)+3)&gt;=YEAR(E142)+N142,0,IF((YEAR(D142)+3)=YEAR(E142),(12-MONTH(E142)+1)/12,1))))))))&gt;0,(((K142)*(IF(M142="",L142,IFERROR(IF(INDEX(Variablen!$I:$AT, MATCH(M142, Variablen!$A:$A, 0), MATCH((YEAR(D142)+3), Variablen!$I$3:$AT$3, 0))="",L142,INDEX(Variablen!$I:$AT, MATCH(M142, Variablen!$A:$A, 0), MATCH((YEAR(D142)+3), Variablen!$I$3:$AT$3, 0))),L142)))*(IF((YEAR(D142)+3)&lt;YEAR(E142),0,IF((YEAR(D142)+3)&gt;YEAR(E142),1,(12-MONTH(E142)+1)/12))) + (Q142)*(IF((YEAR(D142)+3)&lt;YEAR(E142),0,IF((YEAR(D142)+3)&gt;YEAR(E142),1,(12-MONTH(E142)+1)/12))))-((P142)*(IF((YEAR(D142)+3)&lt;YEAR(E142),0,IF((YEAR(D142)+3)&gt;YEAR(E142),1,(12-MONTH(E142)+1)/12))) + (R142)*(IF((YEAR(D142)+3)&lt;YEAR(E142),0,IF((YEAR(D142)+3)&gt;YEAR(E142),1,(12-MONTH(E142)+1)/12))))-(IF(OR(N142="",N142&lt;=0),0,(O142/N142)*(IF(OR(N142="",N142&lt;=0),0,IF((YEAR(D142)+3)&lt;YEAR(E142),0,IF((YEAR(D142)+3)&gt;=YEAR(E142)+N142,0,IF((YEAR(D142)+3)=YEAR(E142),(12-MONTH(E142)+1)/12,1))))))))*TaxRate,0))-IF(3=0,O142,0))</f>
        <v/>
      </c>
      <c r="W142" s="29">
        <f>IF(A142="","",((K142)*(IF(M142="",L142,IFERROR(IF(INDEX(Variablen!$I:$AT, MATCH(M142, Variablen!$A:$A, 0), MATCH((YEAR(D142)+4), Variablen!$I$3:$AT$3, 0))="",L142,INDEX(Variablen!$I:$AT, MATCH(M142, Variablen!$A:$A, 0), MATCH((YEAR(D142)+4), Variablen!$I$3:$AT$3, 0))),L142)))*(IF((YEAR(D142)+4)&lt;YEAR(E142),0,IF((YEAR(D142)+4)&gt;YEAR(E142),1,(12-MONTH(E142)+1)/12))) + (Q142)*(IF((YEAR(D142)+4)&lt;YEAR(E142),0,IF((YEAR(D142)+4)&gt;YEAR(E142),1,(12-MONTH(E142)+1)/12))))-((P142)*(IF((YEAR(D142)+4)&lt;YEAR(E142),0,IF((YEAR(D142)+4)&gt;YEAR(E142),1,(12-MONTH(E142)+1)/12))) + (R142)*(IF((YEAR(D142)+4)&lt;YEAR(E142),0,IF((YEAR(D142)+4)&gt;YEAR(E142),1,(12-MONTH(E142)+1)/12))))-(IF((((K142)*(IF(M142="",L142,IFERROR(IF(INDEX(Variablen!$I:$AT, MATCH(M142, Variablen!$A:$A, 0), MATCH((YEAR(D142)+4), Variablen!$I$3:$AT$3, 0))="",L142,INDEX(Variablen!$I:$AT, MATCH(M142, Variablen!$A:$A, 0), MATCH((YEAR(D142)+4), Variablen!$I$3:$AT$3, 0))),L142)))*(IF((YEAR(D142)+4)&lt;YEAR(E142),0,IF((YEAR(D142)+4)&gt;YEAR(E142),1,(12-MONTH(E142)+1)/12))) + (Q142)*(IF((YEAR(D142)+4)&lt;YEAR(E142),0,IF((YEAR(D142)+4)&gt;YEAR(E142),1,(12-MONTH(E142)+1)/12))))-((P142)*(IF((YEAR(D142)+4)&lt;YEAR(E142),0,IF((YEAR(D142)+4)&gt;YEAR(E142),1,(12-MONTH(E142)+1)/12))) + (R142)*(IF((YEAR(D142)+4)&lt;YEAR(E142),0,IF((YEAR(D142)+4)&gt;YEAR(E142),1,(12-MONTH(E142)+1)/12))))-(IF(OR(N142="",N142&lt;=0),0,(O142/N142)*(IF(OR(N142="",N142&lt;=0),0,IF((YEAR(D142)+4)&lt;YEAR(E142),0,IF((YEAR(D142)+4)&gt;=YEAR(E142)+N142,0,IF((YEAR(D142)+4)=YEAR(E142),(12-MONTH(E142)+1)/12,1))))))))&gt;0,(((K142)*(IF(M142="",L142,IFERROR(IF(INDEX(Variablen!$I:$AT, MATCH(M142, Variablen!$A:$A, 0), MATCH((YEAR(D142)+4), Variablen!$I$3:$AT$3, 0))="",L142,INDEX(Variablen!$I:$AT, MATCH(M142, Variablen!$A:$A, 0), MATCH((YEAR(D142)+4), Variablen!$I$3:$AT$3, 0))),L142)))*(IF((YEAR(D142)+4)&lt;YEAR(E142),0,IF((YEAR(D142)+4)&gt;YEAR(E142),1,(12-MONTH(E142)+1)/12))) + (Q142)*(IF((YEAR(D142)+4)&lt;YEAR(E142),0,IF((YEAR(D142)+4)&gt;YEAR(E142),1,(12-MONTH(E142)+1)/12))))-((P142)*(IF((YEAR(D142)+4)&lt;YEAR(E142),0,IF((YEAR(D142)+4)&gt;YEAR(E142),1,(12-MONTH(E142)+1)/12))) + (R142)*(IF((YEAR(D142)+4)&lt;YEAR(E142),0,IF((YEAR(D142)+4)&gt;YEAR(E142),1,(12-MONTH(E142)+1)/12))))-(IF(OR(N142="",N142&lt;=0),0,(O142/N142)*(IF(OR(N142="",N142&lt;=0),0,IF((YEAR(D142)+4)&lt;YEAR(E142),0,IF((YEAR(D142)+4)&gt;=YEAR(E142)+N142,0,IF((YEAR(D142)+4)=YEAR(E142),(12-MONTH(E142)+1)/12,1))))))))*TaxRate,0))-IF(4=0,O142,0))</f>
        <v/>
      </c>
      <c r="X142" s="29">
        <f>IF(A142="","",((K142)*(IF(M142="",L142,IFERROR(IF(INDEX(Variablen!$I:$AT, MATCH(M142, Variablen!$A:$A, 0), MATCH((YEAR(D142)+5), Variablen!$I$3:$AT$3, 0))="",L142,INDEX(Variablen!$I:$AT, MATCH(M142, Variablen!$A:$A, 0), MATCH((YEAR(D142)+5), Variablen!$I$3:$AT$3, 0))),L142)))*(IF((YEAR(D142)+5)&lt;YEAR(E142),0,IF((YEAR(D142)+5)&gt;YEAR(E142),1,(12-MONTH(E142)+1)/12))) + (Q142)*(IF((YEAR(D142)+5)&lt;YEAR(E142),0,IF((YEAR(D142)+5)&gt;YEAR(E142),1,(12-MONTH(E142)+1)/12))))-((P142)*(IF((YEAR(D142)+5)&lt;YEAR(E142),0,IF((YEAR(D142)+5)&gt;YEAR(E142),1,(12-MONTH(E142)+1)/12))) + (R142)*(IF((YEAR(D142)+5)&lt;YEAR(E142),0,IF((YEAR(D142)+5)&gt;YEAR(E142),1,(12-MONTH(E142)+1)/12))))-(IF((((K142)*(IF(M142="",L142,IFERROR(IF(INDEX(Variablen!$I:$AT, MATCH(M142, Variablen!$A:$A, 0), MATCH((YEAR(D142)+5), Variablen!$I$3:$AT$3, 0))="",L142,INDEX(Variablen!$I:$AT, MATCH(M142, Variablen!$A:$A, 0), MATCH((YEAR(D142)+5), Variablen!$I$3:$AT$3, 0))),L142)))*(IF((YEAR(D142)+5)&lt;YEAR(E142),0,IF((YEAR(D142)+5)&gt;YEAR(E142),1,(12-MONTH(E142)+1)/12))) + (Q142)*(IF((YEAR(D142)+5)&lt;YEAR(E142),0,IF((YEAR(D142)+5)&gt;YEAR(E142),1,(12-MONTH(E142)+1)/12))))-((P142)*(IF((YEAR(D142)+5)&lt;YEAR(E142),0,IF((YEAR(D142)+5)&gt;YEAR(E142),1,(12-MONTH(E142)+1)/12))) + (R142)*(IF((YEAR(D142)+5)&lt;YEAR(E142),0,IF((YEAR(D142)+5)&gt;YEAR(E142),1,(12-MONTH(E142)+1)/12))))-(IF(OR(N142="",N142&lt;=0),0,(O142/N142)*(IF(OR(N142="",N142&lt;=0),0,IF((YEAR(D142)+5)&lt;YEAR(E142),0,IF((YEAR(D142)+5)&gt;=YEAR(E142)+N142,0,IF((YEAR(D142)+5)=YEAR(E142),(12-MONTH(E142)+1)/12,1))))))))&gt;0,(((K142)*(IF(M142="",L142,IFERROR(IF(INDEX(Variablen!$I:$AT, MATCH(M142, Variablen!$A:$A, 0), MATCH((YEAR(D142)+5), Variablen!$I$3:$AT$3, 0))="",L142,INDEX(Variablen!$I:$AT, MATCH(M142, Variablen!$A:$A, 0), MATCH((YEAR(D142)+5), Variablen!$I$3:$AT$3, 0))),L142)))*(IF((YEAR(D142)+5)&lt;YEAR(E142),0,IF((YEAR(D142)+5)&gt;YEAR(E142),1,(12-MONTH(E142)+1)/12))) + (Q142)*(IF((YEAR(D142)+5)&lt;YEAR(E142),0,IF((YEAR(D142)+5)&gt;YEAR(E142),1,(12-MONTH(E142)+1)/12))))-((P142)*(IF((YEAR(D142)+5)&lt;YEAR(E142),0,IF((YEAR(D142)+5)&gt;YEAR(E142),1,(12-MONTH(E142)+1)/12))) + (R142)*(IF((YEAR(D142)+5)&lt;YEAR(E142),0,IF((YEAR(D142)+5)&gt;YEAR(E142),1,(12-MONTH(E142)+1)/12))))-(IF(OR(N142="",N142&lt;=0),0,(O142/N142)*(IF(OR(N142="",N142&lt;=0),0,IF((YEAR(D142)+5)&lt;YEAR(E142),0,IF((YEAR(D142)+5)&gt;=YEAR(E142)+N142,0,IF((YEAR(D142)+5)=YEAR(E142),(12-MONTH(E142)+1)/12,1))))))))*TaxRate,0))-IF(5=0,O142,0))</f>
        <v/>
      </c>
      <c r="Y142" s="29">
        <f>IF(A142="","",((K142)*(IF(M142="",L142,IFERROR(IF(INDEX(Variablen!$I:$AT, MATCH(M142, Variablen!$A:$A, 0), MATCH((YEAR(D142)+6), Variablen!$I$3:$AT$3, 0))="",L142,INDEX(Variablen!$I:$AT, MATCH(M142, Variablen!$A:$A, 0), MATCH((YEAR(D142)+6), Variablen!$I$3:$AT$3, 0))),L142)))*(IF((YEAR(D142)+6)&lt;YEAR(E142),0,IF((YEAR(D142)+6)&gt;YEAR(E142),1,(12-MONTH(E142)+1)/12))) + (Q142)*(IF((YEAR(D142)+6)&lt;YEAR(E142),0,IF((YEAR(D142)+6)&gt;YEAR(E142),1,(12-MONTH(E142)+1)/12))))-((P142)*(IF((YEAR(D142)+6)&lt;YEAR(E142),0,IF((YEAR(D142)+6)&gt;YEAR(E142),1,(12-MONTH(E142)+1)/12))) + (R142)*(IF((YEAR(D142)+6)&lt;YEAR(E142),0,IF((YEAR(D142)+6)&gt;YEAR(E142),1,(12-MONTH(E142)+1)/12))))-(IF((((K142)*(IF(M142="",L142,IFERROR(IF(INDEX(Variablen!$I:$AT, MATCH(M142, Variablen!$A:$A, 0), MATCH((YEAR(D142)+6), Variablen!$I$3:$AT$3, 0))="",L142,INDEX(Variablen!$I:$AT, MATCH(M142, Variablen!$A:$A, 0), MATCH((YEAR(D142)+6), Variablen!$I$3:$AT$3, 0))),L142)))*(IF((YEAR(D142)+6)&lt;YEAR(E142),0,IF((YEAR(D142)+6)&gt;YEAR(E142),1,(12-MONTH(E142)+1)/12))) + (Q142)*(IF((YEAR(D142)+6)&lt;YEAR(E142),0,IF((YEAR(D142)+6)&gt;YEAR(E142),1,(12-MONTH(E142)+1)/12))))-((P142)*(IF((YEAR(D142)+6)&lt;YEAR(E142),0,IF((YEAR(D142)+6)&gt;YEAR(E142),1,(12-MONTH(E142)+1)/12))) + (R142)*(IF((YEAR(D142)+6)&lt;YEAR(E142),0,IF((YEAR(D142)+6)&gt;YEAR(E142),1,(12-MONTH(E142)+1)/12))))-(IF(OR(N142="",N142&lt;=0),0,(O142/N142)*(IF(OR(N142="",N142&lt;=0),0,IF((YEAR(D142)+6)&lt;YEAR(E142),0,IF((YEAR(D142)+6)&gt;=YEAR(E142)+N142,0,IF((YEAR(D142)+6)=YEAR(E142),(12-MONTH(E142)+1)/12,1))))))))&gt;0,(((K142)*(IF(M142="",L142,IFERROR(IF(INDEX(Variablen!$I:$AT, MATCH(M142, Variablen!$A:$A, 0), MATCH((YEAR(D142)+6), Variablen!$I$3:$AT$3, 0))="",L142,INDEX(Variablen!$I:$AT, MATCH(M142, Variablen!$A:$A, 0), MATCH((YEAR(D142)+6), Variablen!$I$3:$AT$3, 0))),L142)))*(IF((YEAR(D142)+6)&lt;YEAR(E142),0,IF((YEAR(D142)+6)&gt;YEAR(E142),1,(12-MONTH(E142)+1)/12))) + (Q142)*(IF((YEAR(D142)+6)&lt;YEAR(E142),0,IF((YEAR(D142)+6)&gt;YEAR(E142),1,(12-MONTH(E142)+1)/12))))-((P142)*(IF((YEAR(D142)+6)&lt;YEAR(E142),0,IF((YEAR(D142)+6)&gt;YEAR(E142),1,(12-MONTH(E142)+1)/12))) + (R142)*(IF((YEAR(D142)+6)&lt;YEAR(E142),0,IF((YEAR(D142)+6)&gt;YEAR(E142),1,(12-MONTH(E142)+1)/12))))-(IF(OR(N142="",N142&lt;=0),0,(O142/N142)*(IF(OR(N142="",N142&lt;=0),0,IF((YEAR(D142)+6)&lt;YEAR(E142),0,IF((YEAR(D142)+6)&gt;=YEAR(E142)+N142,0,IF((YEAR(D142)+6)=YEAR(E142),(12-MONTH(E142)+1)/12,1))))))))*TaxRate,0))-IF(6=0,O142,0))</f>
        <v/>
      </c>
      <c r="Z142" s="29">
        <f>IF(A142="","",((K142)*(IF(M142="",L142,IFERROR(IF(INDEX(Variablen!$I:$AT, MATCH(M142, Variablen!$A:$A, 0), MATCH((YEAR(D142)+7), Variablen!$I$3:$AT$3, 0))="",L142,INDEX(Variablen!$I:$AT, MATCH(M142, Variablen!$A:$A, 0), MATCH((YEAR(D142)+7), Variablen!$I$3:$AT$3, 0))),L142)))*(IF((YEAR(D142)+7)&lt;YEAR(E142),0,IF((YEAR(D142)+7)&gt;YEAR(E142),1,(12-MONTH(E142)+1)/12))) + (Q142)*(IF((YEAR(D142)+7)&lt;YEAR(E142),0,IF((YEAR(D142)+7)&gt;YEAR(E142),1,(12-MONTH(E142)+1)/12))))-((P142)*(IF((YEAR(D142)+7)&lt;YEAR(E142),0,IF((YEAR(D142)+7)&gt;YEAR(E142),1,(12-MONTH(E142)+1)/12))) + (R142)*(IF((YEAR(D142)+7)&lt;YEAR(E142),0,IF((YEAR(D142)+7)&gt;YEAR(E142),1,(12-MONTH(E142)+1)/12))))-(IF((((K142)*(IF(M142="",L142,IFERROR(IF(INDEX(Variablen!$I:$AT, MATCH(M142, Variablen!$A:$A, 0), MATCH((YEAR(D142)+7), Variablen!$I$3:$AT$3, 0))="",L142,INDEX(Variablen!$I:$AT, MATCH(M142, Variablen!$A:$A, 0), MATCH((YEAR(D142)+7), Variablen!$I$3:$AT$3, 0))),L142)))*(IF((YEAR(D142)+7)&lt;YEAR(E142),0,IF((YEAR(D142)+7)&gt;YEAR(E142),1,(12-MONTH(E142)+1)/12))) + (Q142)*(IF((YEAR(D142)+7)&lt;YEAR(E142),0,IF((YEAR(D142)+7)&gt;YEAR(E142),1,(12-MONTH(E142)+1)/12))))-((P142)*(IF((YEAR(D142)+7)&lt;YEAR(E142),0,IF((YEAR(D142)+7)&gt;YEAR(E142),1,(12-MONTH(E142)+1)/12))) + (R142)*(IF((YEAR(D142)+7)&lt;YEAR(E142),0,IF((YEAR(D142)+7)&gt;YEAR(E142),1,(12-MONTH(E142)+1)/12))))-(IF(OR(N142="",N142&lt;=0),0,(O142/N142)*(IF(OR(N142="",N142&lt;=0),0,IF((YEAR(D142)+7)&lt;YEAR(E142),0,IF((YEAR(D142)+7)&gt;=YEAR(E142)+N142,0,IF((YEAR(D142)+7)=YEAR(E142),(12-MONTH(E142)+1)/12,1))))))))&gt;0,(((K142)*(IF(M142="",L142,IFERROR(IF(INDEX(Variablen!$I:$AT, MATCH(M142, Variablen!$A:$A, 0), MATCH((YEAR(D142)+7), Variablen!$I$3:$AT$3, 0))="",L142,INDEX(Variablen!$I:$AT, MATCH(M142, Variablen!$A:$A, 0), MATCH((YEAR(D142)+7), Variablen!$I$3:$AT$3, 0))),L142)))*(IF((YEAR(D142)+7)&lt;YEAR(E142),0,IF((YEAR(D142)+7)&gt;YEAR(E142),1,(12-MONTH(E142)+1)/12))) + (Q142)*(IF((YEAR(D142)+7)&lt;YEAR(E142),0,IF((YEAR(D142)+7)&gt;YEAR(E142),1,(12-MONTH(E142)+1)/12))))-((P142)*(IF((YEAR(D142)+7)&lt;YEAR(E142),0,IF((YEAR(D142)+7)&gt;YEAR(E142),1,(12-MONTH(E142)+1)/12))) + (R142)*(IF((YEAR(D142)+7)&lt;YEAR(E142),0,IF((YEAR(D142)+7)&gt;YEAR(E142),1,(12-MONTH(E142)+1)/12))))-(IF(OR(N142="",N142&lt;=0),0,(O142/N142)*(IF(OR(N142="",N142&lt;=0),0,IF((YEAR(D142)+7)&lt;YEAR(E142),0,IF((YEAR(D142)+7)&gt;=YEAR(E142)+N142,0,IF((YEAR(D142)+7)=YEAR(E142),(12-MONTH(E142)+1)/12,1))))))))*TaxRate,0))-IF(7=0,O142,0))</f>
        <v/>
      </c>
      <c r="AA142" s="29">
        <f>IF(A142="","",((K142)*(IF(M142="",L142,IFERROR(IF(INDEX(Variablen!$I:$AT, MATCH(M142, Variablen!$A:$A, 0), MATCH((YEAR(D142)+8), Variablen!$I$3:$AT$3, 0))="",L142,INDEX(Variablen!$I:$AT, MATCH(M142, Variablen!$A:$A, 0), MATCH((YEAR(D142)+8), Variablen!$I$3:$AT$3, 0))),L142)))*(IF((YEAR(D142)+8)&lt;YEAR(E142),0,IF((YEAR(D142)+8)&gt;YEAR(E142),1,(12-MONTH(E142)+1)/12))) + (Q142)*(IF((YEAR(D142)+8)&lt;YEAR(E142),0,IF((YEAR(D142)+8)&gt;YEAR(E142),1,(12-MONTH(E142)+1)/12))))-((P142)*(IF((YEAR(D142)+8)&lt;YEAR(E142),0,IF((YEAR(D142)+8)&gt;YEAR(E142),1,(12-MONTH(E142)+1)/12))) + (R142)*(IF((YEAR(D142)+8)&lt;YEAR(E142),0,IF((YEAR(D142)+8)&gt;YEAR(E142),1,(12-MONTH(E142)+1)/12))))-(IF((((K142)*(IF(M142="",L142,IFERROR(IF(INDEX(Variablen!$I:$AT, MATCH(M142, Variablen!$A:$A, 0), MATCH((YEAR(D142)+8), Variablen!$I$3:$AT$3, 0))="",L142,INDEX(Variablen!$I:$AT, MATCH(M142, Variablen!$A:$A, 0), MATCH((YEAR(D142)+8), Variablen!$I$3:$AT$3, 0))),L142)))*(IF((YEAR(D142)+8)&lt;YEAR(E142),0,IF((YEAR(D142)+8)&gt;YEAR(E142),1,(12-MONTH(E142)+1)/12))) + (Q142)*(IF((YEAR(D142)+8)&lt;YEAR(E142),0,IF((YEAR(D142)+8)&gt;YEAR(E142),1,(12-MONTH(E142)+1)/12))))-((P142)*(IF((YEAR(D142)+8)&lt;YEAR(E142),0,IF((YEAR(D142)+8)&gt;YEAR(E142),1,(12-MONTH(E142)+1)/12))) + (R142)*(IF((YEAR(D142)+8)&lt;YEAR(E142),0,IF((YEAR(D142)+8)&gt;YEAR(E142),1,(12-MONTH(E142)+1)/12))))-(IF(OR(N142="",N142&lt;=0),0,(O142/N142)*(IF(OR(N142="",N142&lt;=0),0,IF((YEAR(D142)+8)&lt;YEAR(E142),0,IF((YEAR(D142)+8)&gt;=YEAR(E142)+N142,0,IF((YEAR(D142)+8)=YEAR(E142),(12-MONTH(E142)+1)/12,1))))))))&gt;0,(((K142)*(IF(M142="",L142,IFERROR(IF(INDEX(Variablen!$I:$AT, MATCH(M142, Variablen!$A:$A, 0), MATCH((YEAR(D142)+8), Variablen!$I$3:$AT$3, 0))="",L142,INDEX(Variablen!$I:$AT, MATCH(M142, Variablen!$A:$A, 0), MATCH((YEAR(D142)+8), Variablen!$I$3:$AT$3, 0))),L142)))*(IF((YEAR(D142)+8)&lt;YEAR(E142),0,IF((YEAR(D142)+8)&gt;YEAR(E142),1,(12-MONTH(E142)+1)/12))) + (Q142)*(IF((YEAR(D142)+8)&lt;YEAR(E142),0,IF((YEAR(D142)+8)&gt;YEAR(E142),1,(12-MONTH(E142)+1)/12))))-((P142)*(IF((YEAR(D142)+8)&lt;YEAR(E142),0,IF((YEAR(D142)+8)&gt;YEAR(E142),1,(12-MONTH(E142)+1)/12))) + (R142)*(IF((YEAR(D142)+8)&lt;YEAR(E142),0,IF((YEAR(D142)+8)&gt;YEAR(E142),1,(12-MONTH(E142)+1)/12))))-(IF(OR(N142="",N142&lt;=0),0,(O142/N142)*(IF(OR(N142="",N142&lt;=0),0,IF((YEAR(D142)+8)&lt;YEAR(E142),0,IF((YEAR(D142)+8)&gt;=YEAR(E142)+N142,0,IF((YEAR(D142)+8)=YEAR(E142),(12-MONTH(E142)+1)/12,1))))))))*TaxRate,0))-IF(8=0,O142,0))</f>
        <v/>
      </c>
      <c r="AB142" s="29">
        <f>IF(A142="","",((K142)*(IF(M142="",L142,IFERROR(IF(INDEX(Variablen!$I:$AT, MATCH(M142, Variablen!$A:$A, 0), MATCH((YEAR(D142)+9), Variablen!$I$3:$AT$3, 0))="",L142,INDEX(Variablen!$I:$AT, MATCH(M142, Variablen!$A:$A, 0), MATCH((YEAR(D142)+9), Variablen!$I$3:$AT$3, 0))),L142)))*(IF((YEAR(D142)+9)&lt;YEAR(E142),0,IF((YEAR(D142)+9)&gt;YEAR(E142),1,(12-MONTH(E142)+1)/12))) + (Q142)*(IF((YEAR(D142)+9)&lt;YEAR(E142),0,IF((YEAR(D142)+9)&gt;YEAR(E142),1,(12-MONTH(E142)+1)/12))))-((P142)*(IF((YEAR(D142)+9)&lt;YEAR(E142),0,IF((YEAR(D142)+9)&gt;YEAR(E142),1,(12-MONTH(E142)+1)/12))) + (R142)*(IF((YEAR(D142)+9)&lt;YEAR(E142),0,IF((YEAR(D142)+9)&gt;YEAR(E142),1,(12-MONTH(E142)+1)/12))))-(IF((((K142)*(IF(M142="",L142,IFERROR(IF(INDEX(Variablen!$I:$AT, MATCH(M142, Variablen!$A:$A, 0), MATCH((YEAR(D142)+9), Variablen!$I$3:$AT$3, 0))="",L142,INDEX(Variablen!$I:$AT, MATCH(M142, Variablen!$A:$A, 0), MATCH((YEAR(D142)+9), Variablen!$I$3:$AT$3, 0))),L142)))*(IF((YEAR(D142)+9)&lt;YEAR(E142),0,IF((YEAR(D142)+9)&gt;YEAR(E142),1,(12-MONTH(E142)+1)/12))) + (Q142)*(IF((YEAR(D142)+9)&lt;YEAR(E142),0,IF((YEAR(D142)+9)&gt;YEAR(E142),1,(12-MONTH(E142)+1)/12))))-((P142)*(IF((YEAR(D142)+9)&lt;YEAR(E142),0,IF((YEAR(D142)+9)&gt;YEAR(E142),1,(12-MONTH(E142)+1)/12))) + (R142)*(IF((YEAR(D142)+9)&lt;YEAR(E142),0,IF((YEAR(D142)+9)&gt;YEAR(E142),1,(12-MONTH(E142)+1)/12))))-(IF(OR(N142="",N142&lt;=0),0,(O142/N142)*(IF(OR(N142="",N142&lt;=0),0,IF((YEAR(D142)+9)&lt;YEAR(E142),0,IF((YEAR(D142)+9)&gt;=YEAR(E142)+N142,0,IF((YEAR(D142)+9)=YEAR(E142),(12-MONTH(E142)+1)/12,1))))))))&gt;0,(((K142)*(IF(M142="",L142,IFERROR(IF(INDEX(Variablen!$I:$AT, MATCH(M142, Variablen!$A:$A, 0), MATCH((YEAR(D142)+9), Variablen!$I$3:$AT$3, 0))="",L142,INDEX(Variablen!$I:$AT, MATCH(M142, Variablen!$A:$A, 0), MATCH((YEAR(D142)+9), Variablen!$I$3:$AT$3, 0))),L142)))*(IF((YEAR(D142)+9)&lt;YEAR(E142),0,IF((YEAR(D142)+9)&gt;YEAR(E142),1,(12-MONTH(E142)+1)/12))) + (Q142)*(IF((YEAR(D142)+9)&lt;YEAR(E142),0,IF((YEAR(D142)+9)&gt;YEAR(E142),1,(12-MONTH(E142)+1)/12))))-((P142)*(IF((YEAR(D142)+9)&lt;YEAR(E142),0,IF((YEAR(D142)+9)&gt;YEAR(E142),1,(12-MONTH(E142)+1)/12))) + (R142)*(IF((YEAR(D142)+9)&lt;YEAR(E142),0,IF((YEAR(D142)+9)&gt;YEAR(E142),1,(12-MONTH(E142)+1)/12))))-(IF(OR(N142="",N142&lt;=0),0,(O142/N142)*(IF(OR(N142="",N142&lt;=0),0,IF((YEAR(D142)+9)&lt;YEAR(E142),0,IF((YEAR(D142)+9)&gt;=YEAR(E142)+N142,0,IF((YEAR(D142)+9)=YEAR(E142),(12-MONTH(E142)+1)/12,1))))))))*TaxRate,0))-IF(9=0,O142,0))</f>
        <v/>
      </c>
      <c r="AC142" s="29">
        <f>IF(A142="","",((K142)*(IF(M142="",L142,IFERROR(IF(INDEX(Variablen!$I:$AT, MATCH(M142, Variablen!$A:$A, 0), MATCH((YEAR(D142)+10), Variablen!$I$3:$AT$3, 0))="",L142,INDEX(Variablen!$I:$AT, MATCH(M142, Variablen!$A:$A, 0), MATCH((YEAR(D142)+10), Variablen!$I$3:$AT$3, 0))),L142)))*(IF((YEAR(D142)+10)&lt;YEAR(E142),0,IF((YEAR(D142)+10)&gt;YEAR(E142),1,(12-MONTH(E142)+1)/12))) + (Q142)*(IF((YEAR(D142)+10)&lt;YEAR(E142),0,IF((YEAR(D142)+10)&gt;YEAR(E142),1,(12-MONTH(E142)+1)/12))))-((P142)*(IF((YEAR(D142)+10)&lt;YEAR(E142),0,IF((YEAR(D142)+10)&gt;YEAR(E142),1,(12-MONTH(E142)+1)/12))) + (R142)*(IF((YEAR(D142)+10)&lt;YEAR(E142),0,IF((YEAR(D142)+10)&gt;YEAR(E142),1,(12-MONTH(E142)+1)/12))))-(IF((((K142)*(IF(M142="",L142,IFERROR(IF(INDEX(Variablen!$I:$AT, MATCH(M142, Variablen!$A:$A, 0), MATCH((YEAR(D142)+10), Variablen!$I$3:$AT$3, 0))="",L142,INDEX(Variablen!$I:$AT, MATCH(M142, Variablen!$A:$A, 0), MATCH((YEAR(D142)+10), Variablen!$I$3:$AT$3, 0))),L142)))*(IF((YEAR(D142)+10)&lt;YEAR(E142),0,IF((YEAR(D142)+10)&gt;YEAR(E142),1,(12-MONTH(E142)+1)/12))) + (Q142)*(IF((YEAR(D142)+10)&lt;YEAR(E142),0,IF((YEAR(D142)+10)&gt;YEAR(E142),1,(12-MONTH(E142)+1)/12))))-((P142)*(IF((YEAR(D142)+10)&lt;YEAR(E142),0,IF((YEAR(D142)+10)&gt;YEAR(E142),1,(12-MONTH(E142)+1)/12))) + (R142)*(IF((YEAR(D142)+10)&lt;YEAR(E142),0,IF((YEAR(D142)+10)&gt;YEAR(E142),1,(12-MONTH(E142)+1)/12))))-(IF(OR(N142="",N142&lt;=0),0,(O142/N142)*(IF(OR(N142="",N142&lt;=0),0,IF((YEAR(D142)+10)&lt;YEAR(E142),0,IF((YEAR(D142)+10)&gt;=YEAR(E142)+N142,0,IF((YEAR(D142)+10)=YEAR(E142),(12-MONTH(E142)+1)/12,1))))))))&gt;0,(((K142)*(IF(M142="",L142,IFERROR(IF(INDEX(Variablen!$I:$AT, MATCH(M142, Variablen!$A:$A, 0), MATCH((YEAR(D142)+10), Variablen!$I$3:$AT$3, 0))="",L142,INDEX(Variablen!$I:$AT, MATCH(M142, Variablen!$A:$A, 0), MATCH((YEAR(D142)+10), Variablen!$I$3:$AT$3, 0))),L142)))*(IF((YEAR(D142)+10)&lt;YEAR(E142),0,IF((YEAR(D142)+10)&gt;YEAR(E142),1,(12-MONTH(E142)+1)/12))) + (Q142)*(IF((YEAR(D142)+10)&lt;YEAR(E142),0,IF((YEAR(D142)+10)&gt;YEAR(E142),1,(12-MONTH(E142)+1)/12))))-((P142)*(IF((YEAR(D142)+10)&lt;YEAR(E142),0,IF((YEAR(D142)+10)&gt;YEAR(E142),1,(12-MONTH(E142)+1)/12))) + (R142)*(IF((YEAR(D142)+10)&lt;YEAR(E142),0,IF((YEAR(D142)+10)&gt;YEAR(E142),1,(12-MONTH(E142)+1)/12))))-(IF(OR(N142="",N142&lt;=0),0,(O142/N142)*(IF(OR(N142="",N142&lt;=0),0,IF((YEAR(D142)+10)&lt;YEAR(E142),0,IF((YEAR(D142)+10)&gt;=YEAR(E142)+N142,0,IF((YEAR(D142)+10)=YEAR(E142),(12-MONTH(E142)+1)/12,1))))))))*TaxRate,0))-IF(10=0,O142,0))</f>
        <v/>
      </c>
      <c r="AD142" s="29">
        <f>IF(A142="","",((K142)*(IF(M142="",L142,IFERROR(IF(INDEX(Variablen!$I:$AT, MATCH(M142, Variablen!$A:$A, 0), MATCH((YEAR(D142)+11), Variablen!$I$3:$AT$3, 0))="",L142,INDEX(Variablen!$I:$AT, MATCH(M142, Variablen!$A:$A, 0), MATCH((YEAR(D142)+11), Variablen!$I$3:$AT$3, 0))),L142)))*(IF((YEAR(D142)+11)&lt;YEAR(E142),0,IF((YEAR(D142)+11)&gt;YEAR(E142),1,(12-MONTH(E142)+1)/12))) + (Q142)*(IF((YEAR(D142)+11)&lt;YEAR(E142),0,IF((YEAR(D142)+11)&gt;YEAR(E142),1,(12-MONTH(E142)+1)/12))))-((P142)*(IF((YEAR(D142)+11)&lt;YEAR(E142),0,IF((YEAR(D142)+11)&gt;YEAR(E142),1,(12-MONTH(E142)+1)/12))) + (R142)*(IF((YEAR(D142)+11)&lt;YEAR(E142),0,IF((YEAR(D142)+11)&gt;YEAR(E142),1,(12-MONTH(E142)+1)/12))))-(IF((((K142)*(IF(M142="",L142,IFERROR(IF(INDEX(Variablen!$I:$AT, MATCH(M142, Variablen!$A:$A, 0), MATCH((YEAR(D142)+11), Variablen!$I$3:$AT$3, 0))="",L142,INDEX(Variablen!$I:$AT, MATCH(M142, Variablen!$A:$A, 0), MATCH((YEAR(D142)+11), Variablen!$I$3:$AT$3, 0))),L142)))*(IF((YEAR(D142)+11)&lt;YEAR(E142),0,IF((YEAR(D142)+11)&gt;YEAR(E142),1,(12-MONTH(E142)+1)/12))) + (Q142)*(IF((YEAR(D142)+11)&lt;YEAR(E142),0,IF((YEAR(D142)+11)&gt;YEAR(E142),1,(12-MONTH(E142)+1)/12))))-((P142)*(IF((YEAR(D142)+11)&lt;YEAR(E142),0,IF((YEAR(D142)+11)&gt;YEAR(E142),1,(12-MONTH(E142)+1)/12))) + (R142)*(IF((YEAR(D142)+11)&lt;YEAR(E142),0,IF((YEAR(D142)+11)&gt;YEAR(E142),1,(12-MONTH(E142)+1)/12))))-(IF(OR(N142="",N142&lt;=0),0,(O142/N142)*(IF(OR(N142="",N142&lt;=0),0,IF((YEAR(D142)+11)&lt;YEAR(E142),0,IF((YEAR(D142)+11)&gt;=YEAR(E142)+N142,0,IF((YEAR(D142)+11)=YEAR(E142),(12-MONTH(E142)+1)/12,1))))))))&gt;0,(((K142)*(IF(M142="",L142,IFERROR(IF(INDEX(Variablen!$I:$AT, MATCH(M142, Variablen!$A:$A, 0), MATCH((YEAR(D142)+11), Variablen!$I$3:$AT$3, 0))="",L142,INDEX(Variablen!$I:$AT, MATCH(M142, Variablen!$A:$A, 0), MATCH((YEAR(D142)+11), Variablen!$I$3:$AT$3, 0))),L142)))*(IF((YEAR(D142)+11)&lt;YEAR(E142),0,IF((YEAR(D142)+11)&gt;YEAR(E142),1,(12-MONTH(E142)+1)/12))) + (Q142)*(IF((YEAR(D142)+11)&lt;YEAR(E142),0,IF((YEAR(D142)+11)&gt;YEAR(E142),1,(12-MONTH(E142)+1)/12))))-((P142)*(IF((YEAR(D142)+11)&lt;YEAR(E142),0,IF((YEAR(D142)+11)&gt;YEAR(E142),1,(12-MONTH(E142)+1)/12))) + (R142)*(IF((YEAR(D142)+11)&lt;YEAR(E142),0,IF((YEAR(D142)+11)&gt;YEAR(E142),1,(12-MONTH(E142)+1)/12))))-(IF(OR(N142="",N142&lt;=0),0,(O142/N142)*(IF(OR(N142="",N142&lt;=0),0,IF((YEAR(D142)+11)&lt;YEAR(E142),0,IF((YEAR(D142)+11)&gt;=YEAR(E142)+N142,0,IF((YEAR(D142)+11)=YEAR(E142),(12-MONTH(E142)+1)/12,1))))))))*TaxRate,0))-IF(11=0,O142,0))</f>
        <v/>
      </c>
      <c r="AE142" s="29">
        <f>IF(A142="","",((K142)*(IF(M142="",L142,IFERROR(IF(INDEX(Variablen!$I:$AT, MATCH(M142, Variablen!$A:$A, 0), MATCH((YEAR(D142)+12), Variablen!$I$3:$AT$3, 0))="",L142,INDEX(Variablen!$I:$AT, MATCH(M142, Variablen!$A:$A, 0), MATCH((YEAR(D142)+12), Variablen!$I$3:$AT$3, 0))),L142)))*(IF((YEAR(D142)+12)&lt;YEAR(E142),0,IF((YEAR(D142)+12)&gt;YEAR(E142),1,(12-MONTH(E142)+1)/12))) + (Q142)*(IF((YEAR(D142)+12)&lt;YEAR(E142),0,IF((YEAR(D142)+12)&gt;YEAR(E142),1,(12-MONTH(E142)+1)/12))))-((P142)*(IF((YEAR(D142)+12)&lt;YEAR(E142),0,IF((YEAR(D142)+12)&gt;YEAR(E142),1,(12-MONTH(E142)+1)/12))) + (R142)*(IF((YEAR(D142)+12)&lt;YEAR(E142),0,IF((YEAR(D142)+12)&gt;YEAR(E142),1,(12-MONTH(E142)+1)/12))))-(IF((((K142)*(IF(M142="",L142,IFERROR(IF(INDEX(Variablen!$I:$AT, MATCH(M142, Variablen!$A:$A, 0), MATCH((YEAR(D142)+12), Variablen!$I$3:$AT$3, 0))="",L142,INDEX(Variablen!$I:$AT, MATCH(M142, Variablen!$A:$A, 0), MATCH((YEAR(D142)+12), Variablen!$I$3:$AT$3, 0))),L142)))*(IF((YEAR(D142)+12)&lt;YEAR(E142),0,IF((YEAR(D142)+12)&gt;YEAR(E142),1,(12-MONTH(E142)+1)/12))) + (Q142)*(IF((YEAR(D142)+12)&lt;YEAR(E142),0,IF((YEAR(D142)+12)&gt;YEAR(E142),1,(12-MONTH(E142)+1)/12))))-((P142)*(IF((YEAR(D142)+12)&lt;YEAR(E142),0,IF((YEAR(D142)+12)&gt;YEAR(E142),1,(12-MONTH(E142)+1)/12))) + (R142)*(IF((YEAR(D142)+12)&lt;YEAR(E142),0,IF((YEAR(D142)+12)&gt;YEAR(E142),1,(12-MONTH(E142)+1)/12))))-(IF(OR(N142="",N142&lt;=0),0,(O142/N142)*(IF(OR(N142="",N142&lt;=0),0,IF((YEAR(D142)+12)&lt;YEAR(E142),0,IF((YEAR(D142)+12)&gt;=YEAR(E142)+N142,0,IF((YEAR(D142)+12)=YEAR(E142),(12-MONTH(E142)+1)/12,1))))))))&gt;0,(((K142)*(IF(M142="",L142,IFERROR(IF(INDEX(Variablen!$I:$AT, MATCH(M142, Variablen!$A:$A, 0), MATCH((YEAR(D142)+12), Variablen!$I$3:$AT$3, 0))="",L142,INDEX(Variablen!$I:$AT, MATCH(M142, Variablen!$A:$A, 0), MATCH((YEAR(D142)+12), Variablen!$I$3:$AT$3, 0))),L142)))*(IF((YEAR(D142)+12)&lt;YEAR(E142),0,IF((YEAR(D142)+12)&gt;YEAR(E142),1,(12-MONTH(E142)+1)/12))) + (Q142)*(IF((YEAR(D142)+12)&lt;YEAR(E142),0,IF((YEAR(D142)+12)&gt;YEAR(E142),1,(12-MONTH(E142)+1)/12))))-((P142)*(IF((YEAR(D142)+12)&lt;YEAR(E142),0,IF((YEAR(D142)+12)&gt;YEAR(E142),1,(12-MONTH(E142)+1)/12))) + (R142)*(IF((YEAR(D142)+12)&lt;YEAR(E142),0,IF((YEAR(D142)+12)&gt;YEAR(E142),1,(12-MONTH(E142)+1)/12))))-(IF(OR(N142="",N142&lt;=0),0,(O142/N142)*(IF(OR(N142="",N142&lt;=0),0,IF((YEAR(D142)+12)&lt;YEAR(E142),0,IF((YEAR(D142)+12)&gt;=YEAR(E142)+N142,0,IF((YEAR(D142)+12)=YEAR(E142),(12-MONTH(E142)+1)/12,1))))))))*TaxRate,0))-IF(12=0,O142,0))</f>
        <v/>
      </c>
      <c r="AF142" s="29">
        <f>IF(A142="","",((K142)*(IF(M142="",L142,IFERROR(IF(INDEX(Variablen!$I:$AT, MATCH(M142, Variablen!$A:$A, 0), MATCH((YEAR(D142)+13), Variablen!$I$3:$AT$3, 0))="",L142,INDEX(Variablen!$I:$AT, MATCH(M142, Variablen!$A:$A, 0), MATCH((YEAR(D142)+13), Variablen!$I$3:$AT$3, 0))),L142)))*(IF((YEAR(D142)+13)&lt;YEAR(E142),0,IF((YEAR(D142)+13)&gt;YEAR(E142),1,(12-MONTH(E142)+1)/12))) + (Q142)*(IF((YEAR(D142)+13)&lt;YEAR(E142),0,IF((YEAR(D142)+13)&gt;YEAR(E142),1,(12-MONTH(E142)+1)/12))))-((P142)*(IF((YEAR(D142)+13)&lt;YEAR(E142),0,IF((YEAR(D142)+13)&gt;YEAR(E142),1,(12-MONTH(E142)+1)/12))) + (R142)*(IF((YEAR(D142)+13)&lt;YEAR(E142),0,IF((YEAR(D142)+13)&gt;YEAR(E142),1,(12-MONTH(E142)+1)/12))))-(IF((((K142)*(IF(M142="",L142,IFERROR(IF(INDEX(Variablen!$I:$AT, MATCH(M142, Variablen!$A:$A, 0), MATCH((YEAR(D142)+13), Variablen!$I$3:$AT$3, 0))="",L142,INDEX(Variablen!$I:$AT, MATCH(M142, Variablen!$A:$A, 0), MATCH((YEAR(D142)+13), Variablen!$I$3:$AT$3, 0))),L142)))*(IF((YEAR(D142)+13)&lt;YEAR(E142),0,IF((YEAR(D142)+13)&gt;YEAR(E142),1,(12-MONTH(E142)+1)/12))) + (Q142)*(IF((YEAR(D142)+13)&lt;YEAR(E142),0,IF((YEAR(D142)+13)&gt;YEAR(E142),1,(12-MONTH(E142)+1)/12))))-((P142)*(IF((YEAR(D142)+13)&lt;YEAR(E142),0,IF((YEAR(D142)+13)&gt;YEAR(E142),1,(12-MONTH(E142)+1)/12))) + (R142)*(IF((YEAR(D142)+13)&lt;YEAR(E142),0,IF((YEAR(D142)+13)&gt;YEAR(E142),1,(12-MONTH(E142)+1)/12))))-(IF(OR(N142="",N142&lt;=0),0,(O142/N142)*(IF(OR(N142="",N142&lt;=0),0,IF((YEAR(D142)+13)&lt;YEAR(E142),0,IF((YEAR(D142)+13)&gt;=YEAR(E142)+N142,0,IF((YEAR(D142)+13)=YEAR(E142),(12-MONTH(E142)+1)/12,1))))))))&gt;0,(((K142)*(IF(M142="",L142,IFERROR(IF(INDEX(Variablen!$I:$AT, MATCH(M142, Variablen!$A:$A, 0), MATCH((YEAR(D142)+13), Variablen!$I$3:$AT$3, 0))="",L142,INDEX(Variablen!$I:$AT, MATCH(M142, Variablen!$A:$A, 0), MATCH((YEAR(D142)+13), Variablen!$I$3:$AT$3, 0))),L142)))*(IF((YEAR(D142)+13)&lt;YEAR(E142),0,IF((YEAR(D142)+13)&gt;YEAR(E142),1,(12-MONTH(E142)+1)/12))) + (Q142)*(IF((YEAR(D142)+13)&lt;YEAR(E142),0,IF((YEAR(D142)+13)&gt;YEAR(E142),1,(12-MONTH(E142)+1)/12))))-((P142)*(IF((YEAR(D142)+13)&lt;YEAR(E142),0,IF((YEAR(D142)+13)&gt;YEAR(E142),1,(12-MONTH(E142)+1)/12))) + (R142)*(IF((YEAR(D142)+13)&lt;YEAR(E142),0,IF((YEAR(D142)+13)&gt;YEAR(E142),1,(12-MONTH(E142)+1)/12))))-(IF(OR(N142="",N142&lt;=0),0,(O142/N142)*(IF(OR(N142="",N142&lt;=0),0,IF((YEAR(D142)+13)&lt;YEAR(E142),0,IF((YEAR(D142)+13)&gt;=YEAR(E142)+N142,0,IF((YEAR(D142)+13)=YEAR(E142),(12-MONTH(E142)+1)/12,1))))))))*TaxRate,0))-IF(13=0,O142,0))</f>
        <v/>
      </c>
      <c r="AG142" s="29">
        <f>IF(A142="","",((K142)*(IF(M142="",L142,IFERROR(IF(INDEX(Variablen!$I:$AT, MATCH(M142, Variablen!$A:$A, 0), MATCH((YEAR(D142)+14), Variablen!$I$3:$AT$3, 0))="",L142,INDEX(Variablen!$I:$AT, MATCH(M142, Variablen!$A:$A, 0), MATCH((YEAR(D142)+14), Variablen!$I$3:$AT$3, 0))),L142)))*(IF((YEAR(D142)+14)&lt;YEAR(E142),0,IF((YEAR(D142)+14)&gt;YEAR(E142),1,(12-MONTH(E142)+1)/12))) + (Q142)*(IF((YEAR(D142)+14)&lt;YEAR(E142),0,IF((YEAR(D142)+14)&gt;YEAR(E142),1,(12-MONTH(E142)+1)/12))))-((P142)*(IF((YEAR(D142)+14)&lt;YEAR(E142),0,IF((YEAR(D142)+14)&gt;YEAR(E142),1,(12-MONTH(E142)+1)/12))) + (R142)*(IF((YEAR(D142)+14)&lt;YEAR(E142),0,IF((YEAR(D142)+14)&gt;YEAR(E142),1,(12-MONTH(E142)+1)/12))))-(IF((((K142)*(IF(M142="",L142,IFERROR(IF(INDEX(Variablen!$I:$AT, MATCH(M142, Variablen!$A:$A, 0), MATCH((YEAR(D142)+14), Variablen!$I$3:$AT$3, 0))="",L142,INDEX(Variablen!$I:$AT, MATCH(M142, Variablen!$A:$A, 0), MATCH((YEAR(D142)+14), Variablen!$I$3:$AT$3, 0))),L142)))*(IF((YEAR(D142)+14)&lt;YEAR(E142),0,IF((YEAR(D142)+14)&gt;YEAR(E142),1,(12-MONTH(E142)+1)/12))) + (Q142)*(IF((YEAR(D142)+14)&lt;YEAR(E142),0,IF((YEAR(D142)+14)&gt;YEAR(E142),1,(12-MONTH(E142)+1)/12))))-((P142)*(IF((YEAR(D142)+14)&lt;YEAR(E142),0,IF((YEAR(D142)+14)&gt;YEAR(E142),1,(12-MONTH(E142)+1)/12))) + (R142)*(IF((YEAR(D142)+14)&lt;YEAR(E142),0,IF((YEAR(D142)+14)&gt;YEAR(E142),1,(12-MONTH(E142)+1)/12))))-(IF(OR(N142="",N142&lt;=0),0,(O142/N142)*(IF(OR(N142="",N142&lt;=0),0,IF((YEAR(D142)+14)&lt;YEAR(E142),0,IF((YEAR(D142)+14)&gt;=YEAR(E142)+N142,0,IF((YEAR(D142)+14)=YEAR(E142),(12-MONTH(E142)+1)/12,1))))))))&gt;0,(((K142)*(IF(M142="",L142,IFERROR(IF(INDEX(Variablen!$I:$AT, MATCH(M142, Variablen!$A:$A, 0), MATCH((YEAR(D142)+14), Variablen!$I$3:$AT$3, 0))="",L142,INDEX(Variablen!$I:$AT, MATCH(M142, Variablen!$A:$A, 0), MATCH((YEAR(D142)+14), Variablen!$I$3:$AT$3, 0))),L142)))*(IF((YEAR(D142)+14)&lt;YEAR(E142),0,IF((YEAR(D142)+14)&gt;YEAR(E142),1,(12-MONTH(E142)+1)/12))) + (Q142)*(IF((YEAR(D142)+14)&lt;YEAR(E142),0,IF((YEAR(D142)+14)&gt;YEAR(E142),1,(12-MONTH(E142)+1)/12))))-((P142)*(IF((YEAR(D142)+14)&lt;YEAR(E142),0,IF((YEAR(D142)+14)&gt;YEAR(E142),1,(12-MONTH(E142)+1)/12))) + (R142)*(IF((YEAR(D142)+14)&lt;YEAR(E142),0,IF((YEAR(D142)+14)&gt;YEAR(E142),1,(12-MONTH(E142)+1)/12))))-(IF(OR(N142="",N142&lt;=0),0,(O142/N142)*(IF(OR(N142="",N142&lt;=0),0,IF((YEAR(D142)+14)&lt;YEAR(E142),0,IF((YEAR(D142)+14)&gt;=YEAR(E142)+N142,0,IF((YEAR(D142)+14)=YEAR(E142),(12-MONTH(E142)+1)/12,1))))))))*TaxRate,0))-IF(14=0,O142,0))</f>
        <v/>
      </c>
      <c r="AH142" s="29">
        <f>IF(A142="","",((K142)*(IF(M142="",L142,IFERROR(IF(INDEX(Variablen!$I:$AT, MATCH(M142, Variablen!$A:$A, 0), MATCH((YEAR(D142)+15), Variablen!$I$3:$AT$3, 0))="",L142,INDEX(Variablen!$I:$AT, MATCH(M142, Variablen!$A:$A, 0), MATCH((YEAR(D142)+15), Variablen!$I$3:$AT$3, 0))),L142)))*(IF((YEAR(D142)+15)&lt;YEAR(E142),0,IF((YEAR(D142)+15)&gt;YEAR(E142),1,(12-MONTH(E142)+1)/12))) + (Q142)*(IF((YEAR(D142)+15)&lt;YEAR(E142),0,IF((YEAR(D142)+15)&gt;YEAR(E142),1,(12-MONTH(E142)+1)/12))))-((P142)*(IF((YEAR(D142)+15)&lt;YEAR(E142),0,IF((YEAR(D142)+15)&gt;YEAR(E142),1,(12-MONTH(E142)+1)/12))) + (R142)*(IF((YEAR(D142)+15)&lt;YEAR(E142),0,IF((YEAR(D142)+15)&gt;YEAR(E142),1,(12-MONTH(E142)+1)/12))))-(IF((((K142)*(IF(M142="",L142,IFERROR(IF(INDEX(Variablen!$I:$AT, MATCH(M142, Variablen!$A:$A, 0), MATCH((YEAR(D142)+15), Variablen!$I$3:$AT$3, 0))="",L142,INDEX(Variablen!$I:$AT, MATCH(M142, Variablen!$A:$A, 0), MATCH((YEAR(D142)+15), Variablen!$I$3:$AT$3, 0))),L142)))*(IF((YEAR(D142)+15)&lt;YEAR(E142),0,IF((YEAR(D142)+15)&gt;YEAR(E142),1,(12-MONTH(E142)+1)/12))) + (Q142)*(IF((YEAR(D142)+15)&lt;YEAR(E142),0,IF((YEAR(D142)+15)&gt;YEAR(E142),1,(12-MONTH(E142)+1)/12))))-((P142)*(IF((YEAR(D142)+15)&lt;YEAR(E142),0,IF((YEAR(D142)+15)&gt;YEAR(E142),1,(12-MONTH(E142)+1)/12))) + (R142)*(IF((YEAR(D142)+15)&lt;YEAR(E142),0,IF((YEAR(D142)+15)&gt;YEAR(E142),1,(12-MONTH(E142)+1)/12))))-(IF(OR(N142="",N142&lt;=0),0,(O142/N142)*(IF(OR(N142="",N142&lt;=0),0,IF((YEAR(D142)+15)&lt;YEAR(E142),0,IF((YEAR(D142)+15)&gt;=YEAR(E142)+N142,0,IF((YEAR(D142)+15)=YEAR(E142),(12-MONTH(E142)+1)/12,1))))))))&gt;0,(((K142)*(IF(M142="",L142,IFERROR(IF(INDEX(Variablen!$I:$AT, MATCH(M142, Variablen!$A:$A, 0), MATCH((YEAR(D142)+15), Variablen!$I$3:$AT$3, 0))="",L142,INDEX(Variablen!$I:$AT, MATCH(M142, Variablen!$A:$A, 0), MATCH((YEAR(D142)+15), Variablen!$I$3:$AT$3, 0))),L142)))*(IF((YEAR(D142)+15)&lt;YEAR(E142),0,IF((YEAR(D142)+15)&gt;YEAR(E142),1,(12-MONTH(E142)+1)/12))) + (Q142)*(IF((YEAR(D142)+15)&lt;YEAR(E142),0,IF((YEAR(D142)+15)&gt;YEAR(E142),1,(12-MONTH(E142)+1)/12))))-((P142)*(IF((YEAR(D142)+15)&lt;YEAR(E142),0,IF((YEAR(D142)+15)&gt;YEAR(E142),1,(12-MONTH(E142)+1)/12))) + (R142)*(IF((YEAR(D142)+15)&lt;YEAR(E142),0,IF((YEAR(D142)+15)&gt;YEAR(E142),1,(12-MONTH(E142)+1)/12))))-(IF(OR(N142="",N142&lt;=0),0,(O142/N142)*(IF(OR(N142="",N142&lt;=0),0,IF((YEAR(D142)+15)&lt;YEAR(E142),0,IF((YEAR(D142)+15)&gt;=YEAR(E142)+N142,0,IF((YEAR(D142)+15)=YEAR(E142),(12-MONTH(E142)+1)/12,1))))))))*TaxRate,0))-IF(15=0,O142,0))</f>
        <v/>
      </c>
      <c r="AI142" s="29">
        <f>IF(A142="","",((K142)*(IF(M142="",L142,IFERROR(IF(INDEX(Variablen!$I:$AT, MATCH(M142, Variablen!$A:$A, 0), MATCH((YEAR(D142)+16), Variablen!$I$3:$AT$3, 0))="",L142,INDEX(Variablen!$I:$AT, MATCH(M142, Variablen!$A:$A, 0), MATCH((YEAR(D142)+16), Variablen!$I$3:$AT$3, 0))),L142)))*(IF((YEAR(D142)+16)&lt;YEAR(E142),0,IF((YEAR(D142)+16)&gt;YEAR(E142),1,(12-MONTH(E142)+1)/12))) + (Q142)*(IF((YEAR(D142)+16)&lt;YEAR(E142),0,IF((YEAR(D142)+16)&gt;YEAR(E142),1,(12-MONTH(E142)+1)/12))))-((P142)*(IF((YEAR(D142)+16)&lt;YEAR(E142),0,IF((YEAR(D142)+16)&gt;YEAR(E142),1,(12-MONTH(E142)+1)/12))) + (R142)*(IF((YEAR(D142)+16)&lt;YEAR(E142),0,IF((YEAR(D142)+16)&gt;YEAR(E142),1,(12-MONTH(E142)+1)/12))))-(IF((((K142)*(IF(M142="",L142,IFERROR(IF(INDEX(Variablen!$I:$AT, MATCH(M142, Variablen!$A:$A, 0), MATCH((YEAR(D142)+16), Variablen!$I$3:$AT$3, 0))="",L142,INDEX(Variablen!$I:$AT, MATCH(M142, Variablen!$A:$A, 0), MATCH((YEAR(D142)+16), Variablen!$I$3:$AT$3, 0))),L142)))*(IF((YEAR(D142)+16)&lt;YEAR(E142),0,IF((YEAR(D142)+16)&gt;YEAR(E142),1,(12-MONTH(E142)+1)/12))) + (Q142)*(IF((YEAR(D142)+16)&lt;YEAR(E142),0,IF((YEAR(D142)+16)&gt;YEAR(E142),1,(12-MONTH(E142)+1)/12))))-((P142)*(IF((YEAR(D142)+16)&lt;YEAR(E142),0,IF((YEAR(D142)+16)&gt;YEAR(E142),1,(12-MONTH(E142)+1)/12))) + (R142)*(IF((YEAR(D142)+16)&lt;YEAR(E142),0,IF((YEAR(D142)+16)&gt;YEAR(E142),1,(12-MONTH(E142)+1)/12))))-(IF(OR(N142="",N142&lt;=0),0,(O142/N142)*(IF(OR(N142="",N142&lt;=0),0,IF((YEAR(D142)+16)&lt;YEAR(E142),0,IF((YEAR(D142)+16)&gt;=YEAR(E142)+N142,0,IF((YEAR(D142)+16)=YEAR(E142),(12-MONTH(E142)+1)/12,1))))))))&gt;0,(((K142)*(IF(M142="",L142,IFERROR(IF(INDEX(Variablen!$I:$AT, MATCH(M142, Variablen!$A:$A, 0), MATCH((YEAR(D142)+16), Variablen!$I$3:$AT$3, 0))="",L142,INDEX(Variablen!$I:$AT, MATCH(M142, Variablen!$A:$A, 0), MATCH((YEAR(D142)+16), Variablen!$I$3:$AT$3, 0))),L142)))*(IF((YEAR(D142)+16)&lt;YEAR(E142),0,IF((YEAR(D142)+16)&gt;YEAR(E142),1,(12-MONTH(E142)+1)/12))) + (Q142)*(IF((YEAR(D142)+16)&lt;YEAR(E142),0,IF((YEAR(D142)+16)&gt;YEAR(E142),1,(12-MONTH(E142)+1)/12))))-((P142)*(IF((YEAR(D142)+16)&lt;YEAR(E142),0,IF((YEAR(D142)+16)&gt;YEAR(E142),1,(12-MONTH(E142)+1)/12))) + (R142)*(IF((YEAR(D142)+16)&lt;YEAR(E142),0,IF((YEAR(D142)+16)&gt;YEAR(E142),1,(12-MONTH(E142)+1)/12))))-(IF(OR(N142="",N142&lt;=0),0,(O142/N142)*(IF(OR(N142="",N142&lt;=0),0,IF((YEAR(D142)+16)&lt;YEAR(E142),0,IF((YEAR(D142)+16)&gt;=YEAR(E142)+N142,0,IF((YEAR(D142)+16)=YEAR(E142),(12-MONTH(E142)+1)/12,1))))))))*TaxRate,0))-IF(16=0,O142,0))</f>
        <v/>
      </c>
      <c r="AJ142" s="29">
        <f>IF(A142="","",((K142)*(IF(M142="",L142,IFERROR(IF(INDEX(Variablen!$I:$AT, MATCH(M142, Variablen!$A:$A, 0), MATCH((YEAR(D142)+17), Variablen!$I$3:$AT$3, 0))="",L142,INDEX(Variablen!$I:$AT, MATCH(M142, Variablen!$A:$A, 0), MATCH((YEAR(D142)+17), Variablen!$I$3:$AT$3, 0))),L142)))*(IF((YEAR(D142)+17)&lt;YEAR(E142),0,IF((YEAR(D142)+17)&gt;YEAR(E142),1,(12-MONTH(E142)+1)/12))) + (Q142)*(IF((YEAR(D142)+17)&lt;YEAR(E142),0,IF((YEAR(D142)+17)&gt;YEAR(E142),1,(12-MONTH(E142)+1)/12))))-((P142)*(IF((YEAR(D142)+17)&lt;YEAR(E142),0,IF((YEAR(D142)+17)&gt;YEAR(E142),1,(12-MONTH(E142)+1)/12))) + (R142)*(IF((YEAR(D142)+17)&lt;YEAR(E142),0,IF((YEAR(D142)+17)&gt;YEAR(E142),1,(12-MONTH(E142)+1)/12))))-(IF((((K142)*(IF(M142="",L142,IFERROR(IF(INDEX(Variablen!$I:$AT, MATCH(M142, Variablen!$A:$A, 0), MATCH((YEAR(D142)+17), Variablen!$I$3:$AT$3, 0))="",L142,INDEX(Variablen!$I:$AT, MATCH(M142, Variablen!$A:$A, 0), MATCH((YEAR(D142)+17), Variablen!$I$3:$AT$3, 0))),L142)))*(IF((YEAR(D142)+17)&lt;YEAR(E142),0,IF((YEAR(D142)+17)&gt;YEAR(E142),1,(12-MONTH(E142)+1)/12))) + (Q142)*(IF((YEAR(D142)+17)&lt;YEAR(E142),0,IF((YEAR(D142)+17)&gt;YEAR(E142),1,(12-MONTH(E142)+1)/12))))-((P142)*(IF((YEAR(D142)+17)&lt;YEAR(E142),0,IF((YEAR(D142)+17)&gt;YEAR(E142),1,(12-MONTH(E142)+1)/12))) + (R142)*(IF((YEAR(D142)+17)&lt;YEAR(E142),0,IF((YEAR(D142)+17)&gt;YEAR(E142),1,(12-MONTH(E142)+1)/12))))-(IF(OR(N142="",N142&lt;=0),0,(O142/N142)*(IF(OR(N142="",N142&lt;=0),0,IF((YEAR(D142)+17)&lt;YEAR(E142),0,IF((YEAR(D142)+17)&gt;=YEAR(E142)+N142,0,IF((YEAR(D142)+17)=YEAR(E142),(12-MONTH(E142)+1)/12,1))))))))&gt;0,(((K142)*(IF(M142="",L142,IFERROR(IF(INDEX(Variablen!$I:$AT, MATCH(M142, Variablen!$A:$A, 0), MATCH((YEAR(D142)+17), Variablen!$I$3:$AT$3, 0))="",L142,INDEX(Variablen!$I:$AT, MATCH(M142, Variablen!$A:$A, 0), MATCH((YEAR(D142)+17), Variablen!$I$3:$AT$3, 0))),L142)))*(IF((YEAR(D142)+17)&lt;YEAR(E142),0,IF((YEAR(D142)+17)&gt;YEAR(E142),1,(12-MONTH(E142)+1)/12))) + (Q142)*(IF((YEAR(D142)+17)&lt;YEAR(E142),0,IF((YEAR(D142)+17)&gt;YEAR(E142),1,(12-MONTH(E142)+1)/12))))-((P142)*(IF((YEAR(D142)+17)&lt;YEAR(E142),0,IF((YEAR(D142)+17)&gt;YEAR(E142),1,(12-MONTH(E142)+1)/12))) + (R142)*(IF((YEAR(D142)+17)&lt;YEAR(E142),0,IF((YEAR(D142)+17)&gt;YEAR(E142),1,(12-MONTH(E142)+1)/12))))-(IF(OR(N142="",N142&lt;=0),0,(O142/N142)*(IF(OR(N142="",N142&lt;=0),0,IF((YEAR(D142)+17)&lt;YEAR(E142),0,IF((YEAR(D142)+17)&gt;=YEAR(E142)+N142,0,IF((YEAR(D142)+17)=YEAR(E142),(12-MONTH(E142)+1)/12,1))))))))*TaxRate,0))-IF(17=0,O142,0))</f>
        <v/>
      </c>
      <c r="AK142" s="29">
        <f>IF(A142="","",((K142)*(IF(M142="",L142,IFERROR(IF(INDEX(Variablen!$I:$AT, MATCH(M142, Variablen!$A:$A, 0), MATCH((YEAR(D142)+18), Variablen!$I$3:$AT$3, 0))="",L142,INDEX(Variablen!$I:$AT, MATCH(M142, Variablen!$A:$A, 0), MATCH((YEAR(D142)+18), Variablen!$I$3:$AT$3, 0))),L142)))*(IF((YEAR(D142)+18)&lt;YEAR(E142),0,IF((YEAR(D142)+18)&gt;YEAR(E142),1,(12-MONTH(E142)+1)/12))) + (Q142)*(IF((YEAR(D142)+18)&lt;YEAR(E142),0,IF((YEAR(D142)+18)&gt;YEAR(E142),1,(12-MONTH(E142)+1)/12))))-((P142)*(IF((YEAR(D142)+18)&lt;YEAR(E142),0,IF((YEAR(D142)+18)&gt;YEAR(E142),1,(12-MONTH(E142)+1)/12))) + (R142)*(IF((YEAR(D142)+18)&lt;YEAR(E142),0,IF((YEAR(D142)+18)&gt;YEAR(E142),1,(12-MONTH(E142)+1)/12))))-(IF((((K142)*(IF(M142="",L142,IFERROR(IF(INDEX(Variablen!$I:$AT, MATCH(M142, Variablen!$A:$A, 0), MATCH((YEAR(D142)+18), Variablen!$I$3:$AT$3, 0))="",L142,INDEX(Variablen!$I:$AT, MATCH(M142, Variablen!$A:$A, 0), MATCH((YEAR(D142)+18), Variablen!$I$3:$AT$3, 0))),L142)))*(IF((YEAR(D142)+18)&lt;YEAR(E142),0,IF((YEAR(D142)+18)&gt;YEAR(E142),1,(12-MONTH(E142)+1)/12))) + (Q142)*(IF((YEAR(D142)+18)&lt;YEAR(E142),0,IF((YEAR(D142)+18)&gt;YEAR(E142),1,(12-MONTH(E142)+1)/12))))-((P142)*(IF((YEAR(D142)+18)&lt;YEAR(E142),0,IF((YEAR(D142)+18)&gt;YEAR(E142),1,(12-MONTH(E142)+1)/12))) + (R142)*(IF((YEAR(D142)+18)&lt;YEAR(E142),0,IF((YEAR(D142)+18)&gt;YEAR(E142),1,(12-MONTH(E142)+1)/12))))-(IF(OR(N142="",N142&lt;=0),0,(O142/N142)*(IF(OR(N142="",N142&lt;=0),0,IF((YEAR(D142)+18)&lt;YEAR(E142),0,IF((YEAR(D142)+18)&gt;=YEAR(E142)+N142,0,IF((YEAR(D142)+18)=YEAR(E142),(12-MONTH(E142)+1)/12,1))))))))&gt;0,(((K142)*(IF(M142="",L142,IFERROR(IF(INDEX(Variablen!$I:$AT, MATCH(M142, Variablen!$A:$A, 0), MATCH((YEAR(D142)+18), Variablen!$I$3:$AT$3, 0))="",L142,INDEX(Variablen!$I:$AT, MATCH(M142, Variablen!$A:$A, 0), MATCH((YEAR(D142)+18), Variablen!$I$3:$AT$3, 0))),L142)))*(IF((YEAR(D142)+18)&lt;YEAR(E142),0,IF((YEAR(D142)+18)&gt;YEAR(E142),1,(12-MONTH(E142)+1)/12))) + (Q142)*(IF((YEAR(D142)+18)&lt;YEAR(E142),0,IF((YEAR(D142)+18)&gt;YEAR(E142),1,(12-MONTH(E142)+1)/12))))-((P142)*(IF((YEAR(D142)+18)&lt;YEAR(E142),0,IF((YEAR(D142)+18)&gt;YEAR(E142),1,(12-MONTH(E142)+1)/12))) + (R142)*(IF((YEAR(D142)+18)&lt;YEAR(E142),0,IF((YEAR(D142)+18)&gt;YEAR(E142),1,(12-MONTH(E142)+1)/12))))-(IF(OR(N142="",N142&lt;=0),0,(O142/N142)*(IF(OR(N142="",N142&lt;=0),0,IF((YEAR(D142)+18)&lt;YEAR(E142),0,IF((YEAR(D142)+18)&gt;=YEAR(E142)+N142,0,IF((YEAR(D142)+18)=YEAR(E142),(12-MONTH(E142)+1)/12,1))))))))*TaxRate,0))-IF(18=0,O142,0))</f>
        <v/>
      </c>
      <c r="AL142" s="29">
        <f>IF(A142="","",((K142)*(IF(M142="",L142,IFERROR(IF(INDEX(Variablen!$I:$AT, MATCH(M142, Variablen!$A:$A, 0), MATCH((YEAR(D142)+19), Variablen!$I$3:$AT$3, 0))="",L142,INDEX(Variablen!$I:$AT, MATCH(M142, Variablen!$A:$A, 0), MATCH((YEAR(D142)+19), Variablen!$I$3:$AT$3, 0))),L142)))*(IF((YEAR(D142)+19)&lt;YEAR(E142),0,IF((YEAR(D142)+19)&gt;YEAR(E142),1,(12-MONTH(E142)+1)/12))) + (Q142)*(IF((YEAR(D142)+19)&lt;YEAR(E142),0,IF((YEAR(D142)+19)&gt;YEAR(E142),1,(12-MONTH(E142)+1)/12))))-((P142)*(IF((YEAR(D142)+19)&lt;YEAR(E142),0,IF((YEAR(D142)+19)&gt;YEAR(E142),1,(12-MONTH(E142)+1)/12))) + (R142)*(IF((YEAR(D142)+19)&lt;YEAR(E142),0,IF((YEAR(D142)+19)&gt;YEAR(E142),1,(12-MONTH(E142)+1)/12))))-(IF((((K142)*(IF(M142="",L142,IFERROR(IF(INDEX(Variablen!$I:$AT, MATCH(M142, Variablen!$A:$A, 0), MATCH((YEAR(D142)+19), Variablen!$I$3:$AT$3, 0))="",L142,INDEX(Variablen!$I:$AT, MATCH(M142, Variablen!$A:$A, 0), MATCH((YEAR(D142)+19), Variablen!$I$3:$AT$3, 0))),L142)))*(IF((YEAR(D142)+19)&lt;YEAR(E142),0,IF((YEAR(D142)+19)&gt;YEAR(E142),1,(12-MONTH(E142)+1)/12))) + (Q142)*(IF((YEAR(D142)+19)&lt;YEAR(E142),0,IF((YEAR(D142)+19)&gt;YEAR(E142),1,(12-MONTH(E142)+1)/12))))-((P142)*(IF((YEAR(D142)+19)&lt;YEAR(E142),0,IF((YEAR(D142)+19)&gt;YEAR(E142),1,(12-MONTH(E142)+1)/12))) + (R142)*(IF((YEAR(D142)+19)&lt;YEAR(E142),0,IF((YEAR(D142)+19)&gt;YEAR(E142),1,(12-MONTH(E142)+1)/12))))-(IF(OR(N142="",N142&lt;=0),0,(O142/N142)*(IF(OR(N142="",N142&lt;=0),0,IF((YEAR(D142)+19)&lt;YEAR(E142),0,IF((YEAR(D142)+19)&gt;=YEAR(E142)+N142,0,IF((YEAR(D142)+19)=YEAR(E142),(12-MONTH(E142)+1)/12,1))))))))&gt;0,(((K142)*(IF(M142="",L142,IFERROR(IF(INDEX(Variablen!$I:$AT, MATCH(M142, Variablen!$A:$A, 0), MATCH((YEAR(D142)+19), Variablen!$I$3:$AT$3, 0))="",L142,INDEX(Variablen!$I:$AT, MATCH(M142, Variablen!$A:$A, 0), MATCH((YEAR(D142)+19), Variablen!$I$3:$AT$3, 0))),L142)))*(IF((YEAR(D142)+19)&lt;YEAR(E142),0,IF((YEAR(D142)+19)&gt;YEAR(E142),1,(12-MONTH(E142)+1)/12))) + (Q142)*(IF((YEAR(D142)+19)&lt;YEAR(E142),0,IF((YEAR(D142)+19)&gt;YEAR(E142),1,(12-MONTH(E142)+1)/12))))-((P142)*(IF((YEAR(D142)+19)&lt;YEAR(E142),0,IF((YEAR(D142)+19)&gt;YEAR(E142),1,(12-MONTH(E142)+1)/12))) + (R142)*(IF((YEAR(D142)+19)&lt;YEAR(E142),0,IF((YEAR(D142)+19)&gt;YEAR(E142),1,(12-MONTH(E142)+1)/12))))-(IF(OR(N142="",N142&lt;=0),0,(O142/N142)*(IF(OR(N142="",N142&lt;=0),0,IF((YEAR(D142)+19)&lt;YEAR(E142),0,IF((YEAR(D142)+19)&gt;=YEAR(E142)+N142,0,IF((YEAR(D142)+19)=YEAR(E142),(12-MONTH(E142)+1)/12,1))))))))*TaxRate,0))-IF(19=0,O142,0))</f>
        <v/>
      </c>
      <c r="AM142" s="29">
        <f>IF(A142="","",((K142)*(IF(M142="",L142,IFERROR(IF(INDEX(Variablen!$I:$AT, MATCH(M142, Variablen!$A:$A, 0), MATCH((YEAR(D142)+20), Variablen!$I$3:$AT$3, 0))="",L142,INDEX(Variablen!$I:$AT, MATCH(M142, Variablen!$A:$A, 0), MATCH((YEAR(D142)+20), Variablen!$I$3:$AT$3, 0))),L142)))*(IF((YEAR(D142)+20)&lt;YEAR(E142),0,IF((YEAR(D142)+20)&gt;YEAR(E142),1,(12-MONTH(E142)+1)/12))) + (Q142)*(IF((YEAR(D142)+20)&lt;YEAR(E142),0,IF((YEAR(D142)+20)&gt;YEAR(E142),1,(12-MONTH(E142)+1)/12))))-((P142)*(IF((YEAR(D142)+20)&lt;YEAR(E142),0,IF((YEAR(D142)+20)&gt;YEAR(E142),1,(12-MONTH(E142)+1)/12))) + (R142)*(IF((YEAR(D142)+20)&lt;YEAR(E142),0,IF((YEAR(D142)+20)&gt;YEAR(E142),1,(12-MONTH(E142)+1)/12))))-(IF((((K142)*(IF(M142="",L142,IFERROR(IF(INDEX(Variablen!$I:$AT, MATCH(M142, Variablen!$A:$A, 0), MATCH((YEAR(D142)+20), Variablen!$I$3:$AT$3, 0))="",L142,INDEX(Variablen!$I:$AT, MATCH(M142, Variablen!$A:$A, 0), MATCH((YEAR(D142)+20), Variablen!$I$3:$AT$3, 0))),L142)))*(IF((YEAR(D142)+20)&lt;YEAR(E142),0,IF((YEAR(D142)+20)&gt;YEAR(E142),1,(12-MONTH(E142)+1)/12))) + (Q142)*(IF((YEAR(D142)+20)&lt;YEAR(E142),0,IF((YEAR(D142)+20)&gt;YEAR(E142),1,(12-MONTH(E142)+1)/12))))-((P142)*(IF((YEAR(D142)+20)&lt;YEAR(E142),0,IF((YEAR(D142)+20)&gt;YEAR(E142),1,(12-MONTH(E142)+1)/12))) + (R142)*(IF((YEAR(D142)+20)&lt;YEAR(E142),0,IF((YEAR(D142)+20)&gt;YEAR(E142),1,(12-MONTH(E142)+1)/12))))-(IF(OR(N142="",N142&lt;=0),0,(O142/N142)*(IF(OR(N142="",N142&lt;=0),0,IF((YEAR(D142)+20)&lt;YEAR(E142),0,IF((YEAR(D142)+20)&gt;=YEAR(E142)+N142,0,IF((YEAR(D142)+20)=YEAR(E142),(12-MONTH(E142)+1)/12,1))))))))&gt;0,(((K142)*(IF(M142="",L142,IFERROR(IF(INDEX(Variablen!$I:$AT, MATCH(M142, Variablen!$A:$A, 0), MATCH((YEAR(D142)+20), Variablen!$I$3:$AT$3, 0))="",L142,INDEX(Variablen!$I:$AT, MATCH(M142, Variablen!$A:$A, 0), MATCH((YEAR(D142)+20), Variablen!$I$3:$AT$3, 0))),L142)))*(IF((YEAR(D142)+20)&lt;YEAR(E142),0,IF((YEAR(D142)+20)&gt;YEAR(E142),1,(12-MONTH(E142)+1)/12))) + (Q142)*(IF((YEAR(D142)+20)&lt;YEAR(E142),0,IF((YEAR(D142)+20)&gt;YEAR(E142),1,(12-MONTH(E142)+1)/12))))-((P142)*(IF((YEAR(D142)+20)&lt;YEAR(E142),0,IF((YEAR(D142)+20)&gt;YEAR(E142),1,(12-MONTH(E142)+1)/12))) + (R142)*(IF((YEAR(D142)+20)&lt;YEAR(E142),0,IF((YEAR(D142)+20)&gt;YEAR(E142),1,(12-MONTH(E142)+1)/12))))-(IF(OR(N142="",N142&lt;=0),0,(O142/N142)*(IF(OR(N142="",N142&lt;=0),0,IF((YEAR(D142)+20)&lt;YEAR(E142),0,IF((YEAR(D142)+20)&gt;=YEAR(E142)+N142,0,IF((YEAR(D142)+20)=YEAR(E142),(12-MONTH(E142)+1)/12,1))))))))*TaxRate,0))-IF(20=0,O142,0))</f>
        <v/>
      </c>
      <c r="AN142" s="29">
        <f>IF(A142="","",S142)</f>
        <v/>
      </c>
      <c r="AO142" s="29">
        <f>IF(A142="","",AN142+T142)</f>
        <v/>
      </c>
      <c r="AP142" s="29">
        <f>IF(A142="","",AO142+U142)</f>
        <v/>
      </c>
      <c r="AQ142" s="29">
        <f>IF(A142="","",AP142+V142)</f>
        <v/>
      </c>
      <c r="AR142" s="29">
        <f>IF(A142="","",AQ142+W142)</f>
        <v/>
      </c>
      <c r="AS142" s="29">
        <f>IF(A142="","",AR142+X142)</f>
        <v/>
      </c>
      <c r="AT142" s="29">
        <f>IF(A142="","",AS142+Y142)</f>
        <v/>
      </c>
      <c r="AU142" s="29">
        <f>IF(A142="","",AT142+Z142)</f>
        <v/>
      </c>
      <c r="AV142" s="29">
        <f>IF(A142="","",AU142+AA142)</f>
        <v/>
      </c>
      <c r="AW142" s="29">
        <f>IF(A142="","",AV142+AB142)</f>
        <v/>
      </c>
      <c r="AX142" s="29">
        <f>IF(A142="","",AW142+AC142)</f>
        <v/>
      </c>
      <c r="AY142" s="29">
        <f>IF(A142="","",AX142+AD142)</f>
        <v/>
      </c>
      <c r="AZ142" s="29">
        <f>IF(A142="","",AY142+AE142)</f>
        <v/>
      </c>
      <c r="BA142" s="29">
        <f>IF(A142="","",AZ142+AF142)</f>
        <v/>
      </c>
      <c r="BB142" s="29">
        <f>IF(A142="","",BA142+AG142)</f>
        <v/>
      </c>
      <c r="BC142" s="29">
        <f>IF(A142="","",BB142+AH142)</f>
        <v/>
      </c>
      <c r="BD142" s="29">
        <f>IF(A142="","",BC142+AI142)</f>
        <v/>
      </c>
      <c r="BE142" s="29">
        <f>IF(A142="","",BD142+AJ142)</f>
        <v/>
      </c>
      <c r="BF142" s="29">
        <f>IF(A142="","",BE142+AK142)</f>
        <v/>
      </c>
      <c r="BG142" s="29">
        <f>IF(A142="","",BF142+AL142)</f>
        <v/>
      </c>
      <c r="BH142" s="29">
        <f>IF(A142="","",BG142+AM142)</f>
        <v/>
      </c>
      <c r="BI142" s="36">
        <f>IF(A142="","",(K142)*(IF((YEAR(D142)+0)&lt;YEAR(E142),0,IF((YEAR(D142)+0)&gt;YEAR(E142),1,(12-MONTH(E142)+1)/12)))*(1/(1+DiscountRate)^0))</f>
        <v/>
      </c>
      <c r="BJ142" s="36">
        <f>IF(A142="","",(K142)*(IF((YEAR(D142)+1)&lt;YEAR(E142),0,IF((YEAR(D142)+1)&gt;YEAR(E142),1,(12-MONTH(E142)+1)/12)))*(1/(1+DiscountRate)^1))</f>
        <v/>
      </c>
      <c r="BK142" s="36">
        <f>IF(A142="","",(K142)*(IF((YEAR(D142)+2)&lt;YEAR(E142),0,IF((YEAR(D142)+2)&gt;YEAR(E142),1,(12-MONTH(E142)+1)/12)))*(1/(1+DiscountRate)^2))</f>
        <v/>
      </c>
      <c r="BL142" s="36">
        <f>IF(A142="","",(K142)*(IF((YEAR(D142)+3)&lt;YEAR(E142),0,IF((YEAR(D142)+3)&gt;YEAR(E142),1,(12-MONTH(E142)+1)/12)))*(1/(1+DiscountRate)^3))</f>
        <v/>
      </c>
      <c r="BM142" s="36">
        <f>IF(A142="","",(K142)*(IF((YEAR(D142)+4)&lt;YEAR(E142),0,IF((YEAR(D142)+4)&gt;YEAR(E142),1,(12-MONTH(E142)+1)/12)))*(1/(1+DiscountRate)^4))</f>
        <v/>
      </c>
      <c r="BN142" s="36">
        <f>IF(A142="","",(K142)*(IF((YEAR(D142)+5)&lt;YEAR(E142),0,IF((YEAR(D142)+5)&gt;YEAR(E142),1,(12-MONTH(E142)+1)/12)))*(1/(1+DiscountRate)^5))</f>
        <v/>
      </c>
      <c r="BO142" s="36">
        <f>IF(A142="","",(K142)*(IF((YEAR(D142)+6)&lt;YEAR(E142),0,IF((YEAR(D142)+6)&gt;YEAR(E142),1,(12-MONTH(E142)+1)/12)))*(1/(1+DiscountRate)^6))</f>
        <v/>
      </c>
      <c r="BP142" s="36">
        <f>IF(A142="","",(K142)*(IF((YEAR(D142)+7)&lt;YEAR(E142),0,IF((YEAR(D142)+7)&gt;YEAR(E142),1,(12-MONTH(E142)+1)/12)))*(1/(1+DiscountRate)^7))</f>
        <v/>
      </c>
      <c r="BQ142" s="36">
        <f>IF(A142="","",(K142)*(IF((YEAR(D142)+8)&lt;YEAR(E142),0,IF((YEAR(D142)+8)&gt;YEAR(E142),1,(12-MONTH(E142)+1)/12)))*(1/(1+DiscountRate)^8))</f>
        <v/>
      </c>
      <c r="BR142" s="36">
        <f>IF(A142="","",(K142)*(IF((YEAR(D142)+9)&lt;YEAR(E142),0,IF((YEAR(D142)+9)&gt;YEAR(E142),1,(12-MONTH(E142)+1)/12)))*(1/(1+DiscountRate)^9))</f>
        <v/>
      </c>
      <c r="BS142" s="36">
        <f>IF(A142="","",(K142)*(IF((YEAR(D142)+10)&lt;YEAR(E142),0,IF((YEAR(D142)+10)&gt;YEAR(E142),1,(12-MONTH(E142)+1)/12)))*(1/(1+DiscountRate)^10))</f>
        <v/>
      </c>
      <c r="BT142" s="36">
        <f>IF(A142="","",(K142)*(IF((YEAR(D142)+11)&lt;YEAR(E142),0,IF((YEAR(D142)+11)&gt;YEAR(E142),1,(12-MONTH(E142)+1)/12)))*(1/(1+DiscountRate)^11))</f>
        <v/>
      </c>
      <c r="BU142" s="36">
        <f>IF(A142="","",(K142)*(IF((YEAR(D142)+12)&lt;YEAR(E142),0,IF((YEAR(D142)+12)&gt;YEAR(E142),1,(12-MONTH(E142)+1)/12)))*(1/(1+DiscountRate)^12))</f>
        <v/>
      </c>
      <c r="BV142" s="36">
        <f>IF(A142="","",(K142)*(IF((YEAR(D142)+13)&lt;YEAR(E142),0,IF((YEAR(D142)+13)&gt;YEAR(E142),1,(12-MONTH(E142)+1)/12)))*(1/(1+DiscountRate)^13))</f>
        <v/>
      </c>
      <c r="BW142" s="36">
        <f>IF(A142="","",(K142)*(IF((YEAR(D142)+14)&lt;YEAR(E142),0,IF((YEAR(D142)+14)&gt;YEAR(E142),1,(12-MONTH(E142)+1)/12)))*(1/(1+DiscountRate)^14))</f>
        <v/>
      </c>
      <c r="BX142" s="36">
        <f>IF(A142="","",(K142)*(IF((YEAR(D142)+15)&lt;YEAR(E142),0,IF((YEAR(D142)+15)&gt;YEAR(E142),1,(12-MONTH(E142)+1)/12)))*(1/(1+DiscountRate)^15))</f>
        <v/>
      </c>
      <c r="BY142" s="36">
        <f>IF(A142="","",(K142)*(IF((YEAR(D142)+16)&lt;YEAR(E142),0,IF((YEAR(D142)+16)&gt;YEAR(E142),1,(12-MONTH(E142)+1)/12)))*(1/(1+DiscountRate)^16))</f>
        <v/>
      </c>
      <c r="BZ142" s="36">
        <f>IF(A142="","",(K142)*(IF((YEAR(D142)+17)&lt;YEAR(E142),0,IF((YEAR(D142)+17)&gt;YEAR(E142),1,(12-MONTH(E142)+1)/12)))*(1/(1+DiscountRate)^17))</f>
        <v/>
      </c>
      <c r="CA142" s="36">
        <f>IF(A142="","",(K142)*(IF((YEAR(D142)+18)&lt;YEAR(E142),0,IF((YEAR(D142)+18)&gt;YEAR(E142),1,(12-MONTH(E142)+1)/12)))*(1/(1+DiscountRate)^18))</f>
        <v/>
      </c>
      <c r="CB142" s="36">
        <f>IF(A142="","",(K142)*(IF((YEAR(D142)+19)&lt;YEAR(E142),0,IF((YEAR(D142)+19)&gt;YEAR(E142),1,(12-MONTH(E142)+1)/12)))*(1/(1+DiscountRate)^19))</f>
        <v/>
      </c>
      <c r="CC142" s="36">
        <f>IF(A142="","",(K142)*(IF((YEAR(D142)+20)&lt;YEAR(E142),0,IF((YEAR(D142)+20)&gt;YEAR(E142),1,(12-MONTH(E142)+1)/12)))*(1/(1+DiscountRate)^20))</f>
        <v/>
      </c>
      <c r="CD142" s="29">
        <f>IF(A142="","",S142/(1+DiscountRate)^0+T142/(1+DiscountRate)^1+U142/(1+DiscountRate)^2+V142/(1+DiscountRate)^3+W142/(1+DiscountRate)^4+X142/(1+DiscountRate)^5+Y142/(1+DiscountRate)^6+Z142/(1+DiscountRate)^7+AA142/(1+DiscountRate)^8+AB142/(1+DiscountRate)^9+AC142/(1+DiscountRate)^10+AD142/(1+DiscountRate)^11+AE142/(1+DiscountRate)^12+AF142/(1+DiscountRate)^13+AG142/(1+DiscountRate)^14+AH142/(1+DiscountRate)^15+AI142/(1+DiscountRate)^16+AJ142/(1+DiscountRate)^17+AK142/(1+DiscountRate)^18+AL142/(1+DiscountRate)^19+AM142/(1+DiscountRate)^20)</f>
        <v/>
      </c>
      <c r="CE142" s="37">
        <f>IF(A142="","",IFERROR(IRR(OFFSET(S142,0,0,1,MIN(HorizonYears,20)+1)),"n/a"))</f>
        <v/>
      </c>
      <c r="CF142" s="28">
        <f>IF(A142="","",IFERROR(MATCH(TRUE,OFFSET(AN142,0,0,1,MIN(HorizonYears,20)+1)&gt;=0,0)-1,"n/a"))</f>
        <v/>
      </c>
      <c r="CG142" s="36">
        <f>IF(A142="","",SUM(OFFSET(BI142,0,0,1,MIN(HorizonYears,20)+1)))</f>
        <v/>
      </c>
      <c r="CH142" s="36">
        <f>IF(A142="","",IFERROR(-CD142/CG142,"n/a"))</f>
        <v/>
      </c>
    </row>
    <row r="143">
      <c r="A143" s="6">
        <f>Actions!A141</f>
        <v/>
      </c>
      <c r="B143" s="6">
        <f>Actions!B141</f>
        <v/>
      </c>
      <c r="C143" s="6">
        <f>Actions!D141</f>
        <v/>
      </c>
      <c r="D143" s="35">
        <f>Actions!E141</f>
        <v/>
      </c>
      <c r="E143" s="35">
        <f>Actions!F141</f>
        <v/>
      </c>
      <c r="F143" s="6">
        <f>Actions!G141</f>
        <v/>
      </c>
      <c r="G143" s="6">
        <f>Actions!H141</f>
        <v/>
      </c>
      <c r="H143" s="29">
        <f>Actions!I141</f>
        <v/>
      </c>
      <c r="I143" s="6">
        <f>Actions!J141</f>
        <v/>
      </c>
      <c r="J143" s="16">
        <f>Actions!K141</f>
        <v/>
      </c>
      <c r="K143" s="16">
        <f>IF(A143="","",IF(I143="%",H143*J143,J143))</f>
        <v/>
      </c>
      <c r="L143" s="16">
        <f>Actions!L141</f>
        <v/>
      </c>
      <c r="M143" s="6">
        <f>Actions!M141</f>
        <v/>
      </c>
      <c r="N143" s="28">
        <f>Actions!N141</f>
        <v/>
      </c>
      <c r="O143" s="29">
        <f>Actions!T141</f>
        <v/>
      </c>
      <c r="P143" s="29">
        <f>Actions!Y141</f>
        <v/>
      </c>
      <c r="Q143" s="29">
        <f>Actions!Z141</f>
        <v/>
      </c>
      <c r="R143" s="29">
        <f>Actions!AA141</f>
        <v/>
      </c>
      <c r="S143" s="29">
        <f>IF(A143="","",((K143)*(IF(M143="",L143,IFERROR(IF(INDEX(Variablen!$I:$AT, MATCH(M143, Variablen!$A:$A, 0), MATCH((YEAR(D143)+0), Variablen!$I$3:$AT$3, 0))="",L143,INDEX(Variablen!$I:$AT, MATCH(M143, Variablen!$A:$A, 0), MATCH((YEAR(D143)+0), Variablen!$I$3:$AT$3, 0))),L143)))*(IF((YEAR(D143)+0)&lt;YEAR(E143),0,IF((YEAR(D143)+0)&gt;YEAR(E143),1,(12-MONTH(E143)+1)/12))) + (Q143)*(IF((YEAR(D143)+0)&lt;YEAR(E143),0,IF((YEAR(D143)+0)&gt;YEAR(E143),1,(12-MONTH(E143)+1)/12))))-((P143)*(IF((YEAR(D143)+0)&lt;YEAR(E143),0,IF((YEAR(D143)+0)&gt;YEAR(E143),1,(12-MONTH(E143)+1)/12))) + (R143)*(IF((YEAR(D143)+0)&lt;YEAR(E143),0,IF((YEAR(D143)+0)&gt;YEAR(E143),1,(12-MONTH(E143)+1)/12))))-(IF((((K143)*(IF(M143="",L143,IFERROR(IF(INDEX(Variablen!$I:$AT, MATCH(M143, Variablen!$A:$A, 0), MATCH((YEAR(D143)+0), Variablen!$I$3:$AT$3, 0))="",L143,INDEX(Variablen!$I:$AT, MATCH(M143, Variablen!$A:$A, 0), MATCH((YEAR(D143)+0), Variablen!$I$3:$AT$3, 0))),L143)))*(IF((YEAR(D143)+0)&lt;YEAR(E143),0,IF((YEAR(D143)+0)&gt;YEAR(E143),1,(12-MONTH(E143)+1)/12))) + (Q143)*(IF((YEAR(D143)+0)&lt;YEAR(E143),0,IF((YEAR(D143)+0)&gt;YEAR(E143),1,(12-MONTH(E143)+1)/12))))-((P143)*(IF((YEAR(D143)+0)&lt;YEAR(E143),0,IF((YEAR(D143)+0)&gt;YEAR(E143),1,(12-MONTH(E143)+1)/12))) + (R143)*(IF((YEAR(D143)+0)&lt;YEAR(E143),0,IF((YEAR(D143)+0)&gt;YEAR(E143),1,(12-MONTH(E143)+1)/12))))-(IF(OR(N143="",N143&lt;=0),0,(O143/N143)*(IF(OR(N143="",N143&lt;=0),0,IF((YEAR(D143)+0)&lt;YEAR(E143),0,IF((YEAR(D143)+0)&gt;=YEAR(E143)+N143,0,IF((YEAR(D143)+0)=YEAR(E143),(12-MONTH(E143)+1)/12,1))))))))&gt;0,(((K143)*(IF(M143="",L143,IFERROR(IF(INDEX(Variablen!$I:$AT, MATCH(M143, Variablen!$A:$A, 0), MATCH((YEAR(D143)+0), Variablen!$I$3:$AT$3, 0))="",L143,INDEX(Variablen!$I:$AT, MATCH(M143, Variablen!$A:$A, 0), MATCH((YEAR(D143)+0), Variablen!$I$3:$AT$3, 0))),L143)))*(IF((YEAR(D143)+0)&lt;YEAR(E143),0,IF((YEAR(D143)+0)&gt;YEAR(E143),1,(12-MONTH(E143)+1)/12))) + (Q143)*(IF((YEAR(D143)+0)&lt;YEAR(E143),0,IF((YEAR(D143)+0)&gt;YEAR(E143),1,(12-MONTH(E143)+1)/12))))-((P143)*(IF((YEAR(D143)+0)&lt;YEAR(E143),0,IF((YEAR(D143)+0)&gt;YEAR(E143),1,(12-MONTH(E143)+1)/12))) + (R143)*(IF((YEAR(D143)+0)&lt;YEAR(E143),0,IF((YEAR(D143)+0)&gt;YEAR(E143),1,(12-MONTH(E143)+1)/12))))-(IF(OR(N143="",N143&lt;=0),0,(O143/N143)*(IF(OR(N143="",N143&lt;=0),0,IF((YEAR(D143)+0)&lt;YEAR(E143),0,IF((YEAR(D143)+0)&gt;=YEAR(E143)+N143,0,IF((YEAR(D143)+0)=YEAR(E143),(12-MONTH(E143)+1)/12,1))))))))*TaxRate,0))-IF(0=0,O143,0))</f>
        <v/>
      </c>
      <c r="T143" s="29">
        <f>IF(A143="","",((K143)*(IF(M143="",L143,IFERROR(IF(INDEX(Variablen!$I:$AT, MATCH(M143, Variablen!$A:$A, 0), MATCH((YEAR(D143)+1), Variablen!$I$3:$AT$3, 0))="",L143,INDEX(Variablen!$I:$AT, MATCH(M143, Variablen!$A:$A, 0), MATCH((YEAR(D143)+1), Variablen!$I$3:$AT$3, 0))),L143)))*(IF((YEAR(D143)+1)&lt;YEAR(E143),0,IF((YEAR(D143)+1)&gt;YEAR(E143),1,(12-MONTH(E143)+1)/12))) + (Q143)*(IF((YEAR(D143)+1)&lt;YEAR(E143),0,IF((YEAR(D143)+1)&gt;YEAR(E143),1,(12-MONTH(E143)+1)/12))))-((P143)*(IF((YEAR(D143)+1)&lt;YEAR(E143),0,IF((YEAR(D143)+1)&gt;YEAR(E143),1,(12-MONTH(E143)+1)/12))) + (R143)*(IF((YEAR(D143)+1)&lt;YEAR(E143),0,IF((YEAR(D143)+1)&gt;YEAR(E143),1,(12-MONTH(E143)+1)/12))))-(IF((((K143)*(IF(M143="",L143,IFERROR(IF(INDEX(Variablen!$I:$AT, MATCH(M143, Variablen!$A:$A, 0), MATCH((YEAR(D143)+1), Variablen!$I$3:$AT$3, 0))="",L143,INDEX(Variablen!$I:$AT, MATCH(M143, Variablen!$A:$A, 0), MATCH((YEAR(D143)+1), Variablen!$I$3:$AT$3, 0))),L143)))*(IF((YEAR(D143)+1)&lt;YEAR(E143),0,IF((YEAR(D143)+1)&gt;YEAR(E143),1,(12-MONTH(E143)+1)/12))) + (Q143)*(IF((YEAR(D143)+1)&lt;YEAR(E143),0,IF((YEAR(D143)+1)&gt;YEAR(E143),1,(12-MONTH(E143)+1)/12))))-((P143)*(IF((YEAR(D143)+1)&lt;YEAR(E143),0,IF((YEAR(D143)+1)&gt;YEAR(E143),1,(12-MONTH(E143)+1)/12))) + (R143)*(IF((YEAR(D143)+1)&lt;YEAR(E143),0,IF((YEAR(D143)+1)&gt;YEAR(E143),1,(12-MONTH(E143)+1)/12))))-(IF(OR(N143="",N143&lt;=0),0,(O143/N143)*(IF(OR(N143="",N143&lt;=0),0,IF((YEAR(D143)+1)&lt;YEAR(E143),0,IF((YEAR(D143)+1)&gt;=YEAR(E143)+N143,0,IF((YEAR(D143)+1)=YEAR(E143),(12-MONTH(E143)+1)/12,1))))))))&gt;0,(((K143)*(IF(M143="",L143,IFERROR(IF(INDEX(Variablen!$I:$AT, MATCH(M143, Variablen!$A:$A, 0), MATCH((YEAR(D143)+1), Variablen!$I$3:$AT$3, 0))="",L143,INDEX(Variablen!$I:$AT, MATCH(M143, Variablen!$A:$A, 0), MATCH((YEAR(D143)+1), Variablen!$I$3:$AT$3, 0))),L143)))*(IF((YEAR(D143)+1)&lt;YEAR(E143),0,IF((YEAR(D143)+1)&gt;YEAR(E143),1,(12-MONTH(E143)+1)/12))) + (Q143)*(IF((YEAR(D143)+1)&lt;YEAR(E143),0,IF((YEAR(D143)+1)&gt;YEAR(E143),1,(12-MONTH(E143)+1)/12))))-((P143)*(IF((YEAR(D143)+1)&lt;YEAR(E143),0,IF((YEAR(D143)+1)&gt;YEAR(E143),1,(12-MONTH(E143)+1)/12))) + (R143)*(IF((YEAR(D143)+1)&lt;YEAR(E143),0,IF((YEAR(D143)+1)&gt;YEAR(E143),1,(12-MONTH(E143)+1)/12))))-(IF(OR(N143="",N143&lt;=0),0,(O143/N143)*(IF(OR(N143="",N143&lt;=0),0,IF((YEAR(D143)+1)&lt;YEAR(E143),0,IF((YEAR(D143)+1)&gt;=YEAR(E143)+N143,0,IF((YEAR(D143)+1)=YEAR(E143),(12-MONTH(E143)+1)/12,1))))))))*TaxRate,0))-IF(1=0,O143,0))</f>
        <v/>
      </c>
      <c r="U143" s="29">
        <f>IF(A143="","",((K143)*(IF(M143="",L143,IFERROR(IF(INDEX(Variablen!$I:$AT, MATCH(M143, Variablen!$A:$A, 0), MATCH((YEAR(D143)+2), Variablen!$I$3:$AT$3, 0))="",L143,INDEX(Variablen!$I:$AT, MATCH(M143, Variablen!$A:$A, 0), MATCH((YEAR(D143)+2), Variablen!$I$3:$AT$3, 0))),L143)))*(IF((YEAR(D143)+2)&lt;YEAR(E143),0,IF((YEAR(D143)+2)&gt;YEAR(E143),1,(12-MONTH(E143)+1)/12))) + (Q143)*(IF((YEAR(D143)+2)&lt;YEAR(E143),0,IF((YEAR(D143)+2)&gt;YEAR(E143),1,(12-MONTH(E143)+1)/12))))-((P143)*(IF((YEAR(D143)+2)&lt;YEAR(E143),0,IF((YEAR(D143)+2)&gt;YEAR(E143),1,(12-MONTH(E143)+1)/12))) + (R143)*(IF((YEAR(D143)+2)&lt;YEAR(E143),0,IF((YEAR(D143)+2)&gt;YEAR(E143),1,(12-MONTH(E143)+1)/12))))-(IF((((K143)*(IF(M143="",L143,IFERROR(IF(INDEX(Variablen!$I:$AT, MATCH(M143, Variablen!$A:$A, 0), MATCH((YEAR(D143)+2), Variablen!$I$3:$AT$3, 0))="",L143,INDEX(Variablen!$I:$AT, MATCH(M143, Variablen!$A:$A, 0), MATCH((YEAR(D143)+2), Variablen!$I$3:$AT$3, 0))),L143)))*(IF((YEAR(D143)+2)&lt;YEAR(E143),0,IF((YEAR(D143)+2)&gt;YEAR(E143),1,(12-MONTH(E143)+1)/12))) + (Q143)*(IF((YEAR(D143)+2)&lt;YEAR(E143),0,IF((YEAR(D143)+2)&gt;YEAR(E143),1,(12-MONTH(E143)+1)/12))))-((P143)*(IF((YEAR(D143)+2)&lt;YEAR(E143),0,IF((YEAR(D143)+2)&gt;YEAR(E143),1,(12-MONTH(E143)+1)/12))) + (R143)*(IF((YEAR(D143)+2)&lt;YEAR(E143),0,IF((YEAR(D143)+2)&gt;YEAR(E143),1,(12-MONTH(E143)+1)/12))))-(IF(OR(N143="",N143&lt;=0),0,(O143/N143)*(IF(OR(N143="",N143&lt;=0),0,IF((YEAR(D143)+2)&lt;YEAR(E143),0,IF((YEAR(D143)+2)&gt;=YEAR(E143)+N143,0,IF((YEAR(D143)+2)=YEAR(E143),(12-MONTH(E143)+1)/12,1))))))))&gt;0,(((K143)*(IF(M143="",L143,IFERROR(IF(INDEX(Variablen!$I:$AT, MATCH(M143, Variablen!$A:$A, 0), MATCH((YEAR(D143)+2), Variablen!$I$3:$AT$3, 0))="",L143,INDEX(Variablen!$I:$AT, MATCH(M143, Variablen!$A:$A, 0), MATCH((YEAR(D143)+2), Variablen!$I$3:$AT$3, 0))),L143)))*(IF((YEAR(D143)+2)&lt;YEAR(E143),0,IF((YEAR(D143)+2)&gt;YEAR(E143),1,(12-MONTH(E143)+1)/12))) + (Q143)*(IF((YEAR(D143)+2)&lt;YEAR(E143),0,IF((YEAR(D143)+2)&gt;YEAR(E143),1,(12-MONTH(E143)+1)/12))))-((P143)*(IF((YEAR(D143)+2)&lt;YEAR(E143),0,IF((YEAR(D143)+2)&gt;YEAR(E143),1,(12-MONTH(E143)+1)/12))) + (R143)*(IF((YEAR(D143)+2)&lt;YEAR(E143),0,IF((YEAR(D143)+2)&gt;YEAR(E143),1,(12-MONTH(E143)+1)/12))))-(IF(OR(N143="",N143&lt;=0),0,(O143/N143)*(IF(OR(N143="",N143&lt;=0),0,IF((YEAR(D143)+2)&lt;YEAR(E143),0,IF((YEAR(D143)+2)&gt;=YEAR(E143)+N143,0,IF((YEAR(D143)+2)=YEAR(E143),(12-MONTH(E143)+1)/12,1))))))))*TaxRate,0))-IF(2=0,O143,0))</f>
        <v/>
      </c>
      <c r="V143" s="29">
        <f>IF(A143="","",((K143)*(IF(M143="",L143,IFERROR(IF(INDEX(Variablen!$I:$AT, MATCH(M143, Variablen!$A:$A, 0), MATCH((YEAR(D143)+3), Variablen!$I$3:$AT$3, 0))="",L143,INDEX(Variablen!$I:$AT, MATCH(M143, Variablen!$A:$A, 0), MATCH((YEAR(D143)+3), Variablen!$I$3:$AT$3, 0))),L143)))*(IF((YEAR(D143)+3)&lt;YEAR(E143),0,IF((YEAR(D143)+3)&gt;YEAR(E143),1,(12-MONTH(E143)+1)/12))) + (Q143)*(IF((YEAR(D143)+3)&lt;YEAR(E143),0,IF((YEAR(D143)+3)&gt;YEAR(E143),1,(12-MONTH(E143)+1)/12))))-((P143)*(IF((YEAR(D143)+3)&lt;YEAR(E143),0,IF((YEAR(D143)+3)&gt;YEAR(E143),1,(12-MONTH(E143)+1)/12))) + (R143)*(IF((YEAR(D143)+3)&lt;YEAR(E143),0,IF((YEAR(D143)+3)&gt;YEAR(E143),1,(12-MONTH(E143)+1)/12))))-(IF((((K143)*(IF(M143="",L143,IFERROR(IF(INDEX(Variablen!$I:$AT, MATCH(M143, Variablen!$A:$A, 0), MATCH((YEAR(D143)+3), Variablen!$I$3:$AT$3, 0))="",L143,INDEX(Variablen!$I:$AT, MATCH(M143, Variablen!$A:$A, 0), MATCH((YEAR(D143)+3), Variablen!$I$3:$AT$3, 0))),L143)))*(IF((YEAR(D143)+3)&lt;YEAR(E143),0,IF((YEAR(D143)+3)&gt;YEAR(E143),1,(12-MONTH(E143)+1)/12))) + (Q143)*(IF((YEAR(D143)+3)&lt;YEAR(E143),0,IF((YEAR(D143)+3)&gt;YEAR(E143),1,(12-MONTH(E143)+1)/12))))-((P143)*(IF((YEAR(D143)+3)&lt;YEAR(E143),0,IF((YEAR(D143)+3)&gt;YEAR(E143),1,(12-MONTH(E143)+1)/12))) + (R143)*(IF((YEAR(D143)+3)&lt;YEAR(E143),0,IF((YEAR(D143)+3)&gt;YEAR(E143),1,(12-MONTH(E143)+1)/12))))-(IF(OR(N143="",N143&lt;=0),0,(O143/N143)*(IF(OR(N143="",N143&lt;=0),0,IF((YEAR(D143)+3)&lt;YEAR(E143),0,IF((YEAR(D143)+3)&gt;=YEAR(E143)+N143,0,IF((YEAR(D143)+3)=YEAR(E143),(12-MONTH(E143)+1)/12,1))))))))&gt;0,(((K143)*(IF(M143="",L143,IFERROR(IF(INDEX(Variablen!$I:$AT, MATCH(M143, Variablen!$A:$A, 0), MATCH((YEAR(D143)+3), Variablen!$I$3:$AT$3, 0))="",L143,INDEX(Variablen!$I:$AT, MATCH(M143, Variablen!$A:$A, 0), MATCH((YEAR(D143)+3), Variablen!$I$3:$AT$3, 0))),L143)))*(IF((YEAR(D143)+3)&lt;YEAR(E143),0,IF((YEAR(D143)+3)&gt;YEAR(E143),1,(12-MONTH(E143)+1)/12))) + (Q143)*(IF((YEAR(D143)+3)&lt;YEAR(E143),0,IF((YEAR(D143)+3)&gt;YEAR(E143),1,(12-MONTH(E143)+1)/12))))-((P143)*(IF((YEAR(D143)+3)&lt;YEAR(E143),0,IF((YEAR(D143)+3)&gt;YEAR(E143),1,(12-MONTH(E143)+1)/12))) + (R143)*(IF((YEAR(D143)+3)&lt;YEAR(E143),0,IF((YEAR(D143)+3)&gt;YEAR(E143),1,(12-MONTH(E143)+1)/12))))-(IF(OR(N143="",N143&lt;=0),0,(O143/N143)*(IF(OR(N143="",N143&lt;=0),0,IF((YEAR(D143)+3)&lt;YEAR(E143),0,IF((YEAR(D143)+3)&gt;=YEAR(E143)+N143,0,IF((YEAR(D143)+3)=YEAR(E143),(12-MONTH(E143)+1)/12,1))))))))*TaxRate,0))-IF(3=0,O143,0))</f>
        <v/>
      </c>
      <c r="W143" s="29">
        <f>IF(A143="","",((K143)*(IF(M143="",L143,IFERROR(IF(INDEX(Variablen!$I:$AT, MATCH(M143, Variablen!$A:$A, 0), MATCH((YEAR(D143)+4), Variablen!$I$3:$AT$3, 0))="",L143,INDEX(Variablen!$I:$AT, MATCH(M143, Variablen!$A:$A, 0), MATCH((YEAR(D143)+4), Variablen!$I$3:$AT$3, 0))),L143)))*(IF((YEAR(D143)+4)&lt;YEAR(E143),0,IF((YEAR(D143)+4)&gt;YEAR(E143),1,(12-MONTH(E143)+1)/12))) + (Q143)*(IF((YEAR(D143)+4)&lt;YEAR(E143),0,IF((YEAR(D143)+4)&gt;YEAR(E143),1,(12-MONTH(E143)+1)/12))))-((P143)*(IF((YEAR(D143)+4)&lt;YEAR(E143),0,IF((YEAR(D143)+4)&gt;YEAR(E143),1,(12-MONTH(E143)+1)/12))) + (R143)*(IF((YEAR(D143)+4)&lt;YEAR(E143),0,IF((YEAR(D143)+4)&gt;YEAR(E143),1,(12-MONTH(E143)+1)/12))))-(IF((((K143)*(IF(M143="",L143,IFERROR(IF(INDEX(Variablen!$I:$AT, MATCH(M143, Variablen!$A:$A, 0), MATCH((YEAR(D143)+4), Variablen!$I$3:$AT$3, 0))="",L143,INDEX(Variablen!$I:$AT, MATCH(M143, Variablen!$A:$A, 0), MATCH((YEAR(D143)+4), Variablen!$I$3:$AT$3, 0))),L143)))*(IF((YEAR(D143)+4)&lt;YEAR(E143),0,IF((YEAR(D143)+4)&gt;YEAR(E143),1,(12-MONTH(E143)+1)/12))) + (Q143)*(IF((YEAR(D143)+4)&lt;YEAR(E143),0,IF((YEAR(D143)+4)&gt;YEAR(E143),1,(12-MONTH(E143)+1)/12))))-((P143)*(IF((YEAR(D143)+4)&lt;YEAR(E143),0,IF((YEAR(D143)+4)&gt;YEAR(E143),1,(12-MONTH(E143)+1)/12))) + (R143)*(IF((YEAR(D143)+4)&lt;YEAR(E143),0,IF((YEAR(D143)+4)&gt;YEAR(E143),1,(12-MONTH(E143)+1)/12))))-(IF(OR(N143="",N143&lt;=0),0,(O143/N143)*(IF(OR(N143="",N143&lt;=0),0,IF((YEAR(D143)+4)&lt;YEAR(E143),0,IF((YEAR(D143)+4)&gt;=YEAR(E143)+N143,0,IF((YEAR(D143)+4)=YEAR(E143),(12-MONTH(E143)+1)/12,1))))))))&gt;0,(((K143)*(IF(M143="",L143,IFERROR(IF(INDEX(Variablen!$I:$AT, MATCH(M143, Variablen!$A:$A, 0), MATCH((YEAR(D143)+4), Variablen!$I$3:$AT$3, 0))="",L143,INDEX(Variablen!$I:$AT, MATCH(M143, Variablen!$A:$A, 0), MATCH((YEAR(D143)+4), Variablen!$I$3:$AT$3, 0))),L143)))*(IF((YEAR(D143)+4)&lt;YEAR(E143),0,IF((YEAR(D143)+4)&gt;YEAR(E143),1,(12-MONTH(E143)+1)/12))) + (Q143)*(IF((YEAR(D143)+4)&lt;YEAR(E143),0,IF((YEAR(D143)+4)&gt;YEAR(E143),1,(12-MONTH(E143)+1)/12))))-((P143)*(IF((YEAR(D143)+4)&lt;YEAR(E143),0,IF((YEAR(D143)+4)&gt;YEAR(E143),1,(12-MONTH(E143)+1)/12))) + (R143)*(IF((YEAR(D143)+4)&lt;YEAR(E143),0,IF((YEAR(D143)+4)&gt;YEAR(E143),1,(12-MONTH(E143)+1)/12))))-(IF(OR(N143="",N143&lt;=0),0,(O143/N143)*(IF(OR(N143="",N143&lt;=0),0,IF((YEAR(D143)+4)&lt;YEAR(E143),0,IF((YEAR(D143)+4)&gt;=YEAR(E143)+N143,0,IF((YEAR(D143)+4)=YEAR(E143),(12-MONTH(E143)+1)/12,1))))))))*TaxRate,0))-IF(4=0,O143,0))</f>
        <v/>
      </c>
      <c r="X143" s="29">
        <f>IF(A143="","",((K143)*(IF(M143="",L143,IFERROR(IF(INDEX(Variablen!$I:$AT, MATCH(M143, Variablen!$A:$A, 0), MATCH((YEAR(D143)+5), Variablen!$I$3:$AT$3, 0))="",L143,INDEX(Variablen!$I:$AT, MATCH(M143, Variablen!$A:$A, 0), MATCH((YEAR(D143)+5), Variablen!$I$3:$AT$3, 0))),L143)))*(IF((YEAR(D143)+5)&lt;YEAR(E143),0,IF((YEAR(D143)+5)&gt;YEAR(E143),1,(12-MONTH(E143)+1)/12))) + (Q143)*(IF((YEAR(D143)+5)&lt;YEAR(E143),0,IF((YEAR(D143)+5)&gt;YEAR(E143),1,(12-MONTH(E143)+1)/12))))-((P143)*(IF((YEAR(D143)+5)&lt;YEAR(E143),0,IF((YEAR(D143)+5)&gt;YEAR(E143),1,(12-MONTH(E143)+1)/12))) + (R143)*(IF((YEAR(D143)+5)&lt;YEAR(E143),0,IF((YEAR(D143)+5)&gt;YEAR(E143),1,(12-MONTH(E143)+1)/12))))-(IF((((K143)*(IF(M143="",L143,IFERROR(IF(INDEX(Variablen!$I:$AT, MATCH(M143, Variablen!$A:$A, 0), MATCH((YEAR(D143)+5), Variablen!$I$3:$AT$3, 0))="",L143,INDEX(Variablen!$I:$AT, MATCH(M143, Variablen!$A:$A, 0), MATCH((YEAR(D143)+5), Variablen!$I$3:$AT$3, 0))),L143)))*(IF((YEAR(D143)+5)&lt;YEAR(E143),0,IF((YEAR(D143)+5)&gt;YEAR(E143),1,(12-MONTH(E143)+1)/12))) + (Q143)*(IF((YEAR(D143)+5)&lt;YEAR(E143),0,IF((YEAR(D143)+5)&gt;YEAR(E143),1,(12-MONTH(E143)+1)/12))))-((P143)*(IF((YEAR(D143)+5)&lt;YEAR(E143),0,IF((YEAR(D143)+5)&gt;YEAR(E143),1,(12-MONTH(E143)+1)/12))) + (R143)*(IF((YEAR(D143)+5)&lt;YEAR(E143),0,IF((YEAR(D143)+5)&gt;YEAR(E143),1,(12-MONTH(E143)+1)/12))))-(IF(OR(N143="",N143&lt;=0),0,(O143/N143)*(IF(OR(N143="",N143&lt;=0),0,IF((YEAR(D143)+5)&lt;YEAR(E143),0,IF((YEAR(D143)+5)&gt;=YEAR(E143)+N143,0,IF((YEAR(D143)+5)=YEAR(E143),(12-MONTH(E143)+1)/12,1))))))))&gt;0,(((K143)*(IF(M143="",L143,IFERROR(IF(INDEX(Variablen!$I:$AT, MATCH(M143, Variablen!$A:$A, 0), MATCH((YEAR(D143)+5), Variablen!$I$3:$AT$3, 0))="",L143,INDEX(Variablen!$I:$AT, MATCH(M143, Variablen!$A:$A, 0), MATCH((YEAR(D143)+5), Variablen!$I$3:$AT$3, 0))),L143)))*(IF((YEAR(D143)+5)&lt;YEAR(E143),0,IF((YEAR(D143)+5)&gt;YEAR(E143),1,(12-MONTH(E143)+1)/12))) + (Q143)*(IF((YEAR(D143)+5)&lt;YEAR(E143),0,IF((YEAR(D143)+5)&gt;YEAR(E143),1,(12-MONTH(E143)+1)/12))))-((P143)*(IF((YEAR(D143)+5)&lt;YEAR(E143),0,IF((YEAR(D143)+5)&gt;YEAR(E143),1,(12-MONTH(E143)+1)/12))) + (R143)*(IF((YEAR(D143)+5)&lt;YEAR(E143),0,IF((YEAR(D143)+5)&gt;YEAR(E143),1,(12-MONTH(E143)+1)/12))))-(IF(OR(N143="",N143&lt;=0),0,(O143/N143)*(IF(OR(N143="",N143&lt;=0),0,IF((YEAR(D143)+5)&lt;YEAR(E143),0,IF((YEAR(D143)+5)&gt;=YEAR(E143)+N143,0,IF((YEAR(D143)+5)=YEAR(E143),(12-MONTH(E143)+1)/12,1))))))))*TaxRate,0))-IF(5=0,O143,0))</f>
        <v/>
      </c>
      <c r="Y143" s="29">
        <f>IF(A143="","",((K143)*(IF(M143="",L143,IFERROR(IF(INDEX(Variablen!$I:$AT, MATCH(M143, Variablen!$A:$A, 0), MATCH((YEAR(D143)+6), Variablen!$I$3:$AT$3, 0))="",L143,INDEX(Variablen!$I:$AT, MATCH(M143, Variablen!$A:$A, 0), MATCH((YEAR(D143)+6), Variablen!$I$3:$AT$3, 0))),L143)))*(IF((YEAR(D143)+6)&lt;YEAR(E143),0,IF((YEAR(D143)+6)&gt;YEAR(E143),1,(12-MONTH(E143)+1)/12))) + (Q143)*(IF((YEAR(D143)+6)&lt;YEAR(E143),0,IF((YEAR(D143)+6)&gt;YEAR(E143),1,(12-MONTH(E143)+1)/12))))-((P143)*(IF((YEAR(D143)+6)&lt;YEAR(E143),0,IF((YEAR(D143)+6)&gt;YEAR(E143),1,(12-MONTH(E143)+1)/12))) + (R143)*(IF((YEAR(D143)+6)&lt;YEAR(E143),0,IF((YEAR(D143)+6)&gt;YEAR(E143),1,(12-MONTH(E143)+1)/12))))-(IF((((K143)*(IF(M143="",L143,IFERROR(IF(INDEX(Variablen!$I:$AT, MATCH(M143, Variablen!$A:$A, 0), MATCH((YEAR(D143)+6), Variablen!$I$3:$AT$3, 0))="",L143,INDEX(Variablen!$I:$AT, MATCH(M143, Variablen!$A:$A, 0), MATCH((YEAR(D143)+6), Variablen!$I$3:$AT$3, 0))),L143)))*(IF((YEAR(D143)+6)&lt;YEAR(E143),0,IF((YEAR(D143)+6)&gt;YEAR(E143),1,(12-MONTH(E143)+1)/12))) + (Q143)*(IF((YEAR(D143)+6)&lt;YEAR(E143),0,IF((YEAR(D143)+6)&gt;YEAR(E143),1,(12-MONTH(E143)+1)/12))))-((P143)*(IF((YEAR(D143)+6)&lt;YEAR(E143),0,IF((YEAR(D143)+6)&gt;YEAR(E143),1,(12-MONTH(E143)+1)/12))) + (R143)*(IF((YEAR(D143)+6)&lt;YEAR(E143),0,IF((YEAR(D143)+6)&gt;YEAR(E143),1,(12-MONTH(E143)+1)/12))))-(IF(OR(N143="",N143&lt;=0),0,(O143/N143)*(IF(OR(N143="",N143&lt;=0),0,IF((YEAR(D143)+6)&lt;YEAR(E143),0,IF((YEAR(D143)+6)&gt;=YEAR(E143)+N143,0,IF((YEAR(D143)+6)=YEAR(E143),(12-MONTH(E143)+1)/12,1))))))))&gt;0,(((K143)*(IF(M143="",L143,IFERROR(IF(INDEX(Variablen!$I:$AT, MATCH(M143, Variablen!$A:$A, 0), MATCH((YEAR(D143)+6), Variablen!$I$3:$AT$3, 0))="",L143,INDEX(Variablen!$I:$AT, MATCH(M143, Variablen!$A:$A, 0), MATCH((YEAR(D143)+6), Variablen!$I$3:$AT$3, 0))),L143)))*(IF((YEAR(D143)+6)&lt;YEAR(E143),0,IF((YEAR(D143)+6)&gt;YEAR(E143),1,(12-MONTH(E143)+1)/12))) + (Q143)*(IF((YEAR(D143)+6)&lt;YEAR(E143),0,IF((YEAR(D143)+6)&gt;YEAR(E143),1,(12-MONTH(E143)+1)/12))))-((P143)*(IF((YEAR(D143)+6)&lt;YEAR(E143),0,IF((YEAR(D143)+6)&gt;YEAR(E143),1,(12-MONTH(E143)+1)/12))) + (R143)*(IF((YEAR(D143)+6)&lt;YEAR(E143),0,IF((YEAR(D143)+6)&gt;YEAR(E143),1,(12-MONTH(E143)+1)/12))))-(IF(OR(N143="",N143&lt;=0),0,(O143/N143)*(IF(OR(N143="",N143&lt;=0),0,IF((YEAR(D143)+6)&lt;YEAR(E143),0,IF((YEAR(D143)+6)&gt;=YEAR(E143)+N143,0,IF((YEAR(D143)+6)=YEAR(E143),(12-MONTH(E143)+1)/12,1))))))))*TaxRate,0))-IF(6=0,O143,0))</f>
        <v/>
      </c>
      <c r="Z143" s="29">
        <f>IF(A143="","",((K143)*(IF(M143="",L143,IFERROR(IF(INDEX(Variablen!$I:$AT, MATCH(M143, Variablen!$A:$A, 0), MATCH((YEAR(D143)+7), Variablen!$I$3:$AT$3, 0))="",L143,INDEX(Variablen!$I:$AT, MATCH(M143, Variablen!$A:$A, 0), MATCH((YEAR(D143)+7), Variablen!$I$3:$AT$3, 0))),L143)))*(IF((YEAR(D143)+7)&lt;YEAR(E143),0,IF((YEAR(D143)+7)&gt;YEAR(E143),1,(12-MONTH(E143)+1)/12))) + (Q143)*(IF((YEAR(D143)+7)&lt;YEAR(E143),0,IF((YEAR(D143)+7)&gt;YEAR(E143),1,(12-MONTH(E143)+1)/12))))-((P143)*(IF((YEAR(D143)+7)&lt;YEAR(E143),0,IF((YEAR(D143)+7)&gt;YEAR(E143),1,(12-MONTH(E143)+1)/12))) + (R143)*(IF((YEAR(D143)+7)&lt;YEAR(E143),0,IF((YEAR(D143)+7)&gt;YEAR(E143),1,(12-MONTH(E143)+1)/12))))-(IF((((K143)*(IF(M143="",L143,IFERROR(IF(INDEX(Variablen!$I:$AT, MATCH(M143, Variablen!$A:$A, 0), MATCH((YEAR(D143)+7), Variablen!$I$3:$AT$3, 0))="",L143,INDEX(Variablen!$I:$AT, MATCH(M143, Variablen!$A:$A, 0), MATCH((YEAR(D143)+7), Variablen!$I$3:$AT$3, 0))),L143)))*(IF((YEAR(D143)+7)&lt;YEAR(E143),0,IF((YEAR(D143)+7)&gt;YEAR(E143),1,(12-MONTH(E143)+1)/12))) + (Q143)*(IF((YEAR(D143)+7)&lt;YEAR(E143),0,IF((YEAR(D143)+7)&gt;YEAR(E143),1,(12-MONTH(E143)+1)/12))))-((P143)*(IF((YEAR(D143)+7)&lt;YEAR(E143),0,IF((YEAR(D143)+7)&gt;YEAR(E143),1,(12-MONTH(E143)+1)/12))) + (R143)*(IF((YEAR(D143)+7)&lt;YEAR(E143),0,IF((YEAR(D143)+7)&gt;YEAR(E143),1,(12-MONTH(E143)+1)/12))))-(IF(OR(N143="",N143&lt;=0),0,(O143/N143)*(IF(OR(N143="",N143&lt;=0),0,IF((YEAR(D143)+7)&lt;YEAR(E143),0,IF((YEAR(D143)+7)&gt;=YEAR(E143)+N143,0,IF((YEAR(D143)+7)=YEAR(E143),(12-MONTH(E143)+1)/12,1))))))))&gt;0,(((K143)*(IF(M143="",L143,IFERROR(IF(INDEX(Variablen!$I:$AT, MATCH(M143, Variablen!$A:$A, 0), MATCH((YEAR(D143)+7), Variablen!$I$3:$AT$3, 0))="",L143,INDEX(Variablen!$I:$AT, MATCH(M143, Variablen!$A:$A, 0), MATCH((YEAR(D143)+7), Variablen!$I$3:$AT$3, 0))),L143)))*(IF((YEAR(D143)+7)&lt;YEAR(E143),0,IF((YEAR(D143)+7)&gt;YEAR(E143),1,(12-MONTH(E143)+1)/12))) + (Q143)*(IF((YEAR(D143)+7)&lt;YEAR(E143),0,IF((YEAR(D143)+7)&gt;YEAR(E143),1,(12-MONTH(E143)+1)/12))))-((P143)*(IF((YEAR(D143)+7)&lt;YEAR(E143),0,IF((YEAR(D143)+7)&gt;YEAR(E143),1,(12-MONTH(E143)+1)/12))) + (R143)*(IF((YEAR(D143)+7)&lt;YEAR(E143),0,IF((YEAR(D143)+7)&gt;YEAR(E143),1,(12-MONTH(E143)+1)/12))))-(IF(OR(N143="",N143&lt;=0),0,(O143/N143)*(IF(OR(N143="",N143&lt;=0),0,IF((YEAR(D143)+7)&lt;YEAR(E143),0,IF((YEAR(D143)+7)&gt;=YEAR(E143)+N143,0,IF((YEAR(D143)+7)=YEAR(E143),(12-MONTH(E143)+1)/12,1))))))))*TaxRate,0))-IF(7=0,O143,0))</f>
        <v/>
      </c>
      <c r="AA143" s="29">
        <f>IF(A143="","",((K143)*(IF(M143="",L143,IFERROR(IF(INDEX(Variablen!$I:$AT, MATCH(M143, Variablen!$A:$A, 0), MATCH((YEAR(D143)+8), Variablen!$I$3:$AT$3, 0))="",L143,INDEX(Variablen!$I:$AT, MATCH(M143, Variablen!$A:$A, 0), MATCH((YEAR(D143)+8), Variablen!$I$3:$AT$3, 0))),L143)))*(IF((YEAR(D143)+8)&lt;YEAR(E143),0,IF((YEAR(D143)+8)&gt;YEAR(E143),1,(12-MONTH(E143)+1)/12))) + (Q143)*(IF((YEAR(D143)+8)&lt;YEAR(E143),0,IF((YEAR(D143)+8)&gt;YEAR(E143),1,(12-MONTH(E143)+1)/12))))-((P143)*(IF((YEAR(D143)+8)&lt;YEAR(E143),0,IF((YEAR(D143)+8)&gt;YEAR(E143),1,(12-MONTH(E143)+1)/12))) + (R143)*(IF((YEAR(D143)+8)&lt;YEAR(E143),0,IF((YEAR(D143)+8)&gt;YEAR(E143),1,(12-MONTH(E143)+1)/12))))-(IF((((K143)*(IF(M143="",L143,IFERROR(IF(INDEX(Variablen!$I:$AT, MATCH(M143, Variablen!$A:$A, 0), MATCH((YEAR(D143)+8), Variablen!$I$3:$AT$3, 0))="",L143,INDEX(Variablen!$I:$AT, MATCH(M143, Variablen!$A:$A, 0), MATCH((YEAR(D143)+8), Variablen!$I$3:$AT$3, 0))),L143)))*(IF((YEAR(D143)+8)&lt;YEAR(E143),0,IF((YEAR(D143)+8)&gt;YEAR(E143),1,(12-MONTH(E143)+1)/12))) + (Q143)*(IF((YEAR(D143)+8)&lt;YEAR(E143),0,IF((YEAR(D143)+8)&gt;YEAR(E143),1,(12-MONTH(E143)+1)/12))))-((P143)*(IF((YEAR(D143)+8)&lt;YEAR(E143),0,IF((YEAR(D143)+8)&gt;YEAR(E143),1,(12-MONTH(E143)+1)/12))) + (R143)*(IF((YEAR(D143)+8)&lt;YEAR(E143),0,IF((YEAR(D143)+8)&gt;YEAR(E143),1,(12-MONTH(E143)+1)/12))))-(IF(OR(N143="",N143&lt;=0),0,(O143/N143)*(IF(OR(N143="",N143&lt;=0),0,IF((YEAR(D143)+8)&lt;YEAR(E143),0,IF((YEAR(D143)+8)&gt;=YEAR(E143)+N143,0,IF((YEAR(D143)+8)=YEAR(E143),(12-MONTH(E143)+1)/12,1))))))))&gt;0,(((K143)*(IF(M143="",L143,IFERROR(IF(INDEX(Variablen!$I:$AT, MATCH(M143, Variablen!$A:$A, 0), MATCH((YEAR(D143)+8), Variablen!$I$3:$AT$3, 0))="",L143,INDEX(Variablen!$I:$AT, MATCH(M143, Variablen!$A:$A, 0), MATCH((YEAR(D143)+8), Variablen!$I$3:$AT$3, 0))),L143)))*(IF((YEAR(D143)+8)&lt;YEAR(E143),0,IF((YEAR(D143)+8)&gt;YEAR(E143),1,(12-MONTH(E143)+1)/12))) + (Q143)*(IF((YEAR(D143)+8)&lt;YEAR(E143),0,IF((YEAR(D143)+8)&gt;YEAR(E143),1,(12-MONTH(E143)+1)/12))))-((P143)*(IF((YEAR(D143)+8)&lt;YEAR(E143),0,IF((YEAR(D143)+8)&gt;YEAR(E143),1,(12-MONTH(E143)+1)/12))) + (R143)*(IF((YEAR(D143)+8)&lt;YEAR(E143),0,IF((YEAR(D143)+8)&gt;YEAR(E143),1,(12-MONTH(E143)+1)/12))))-(IF(OR(N143="",N143&lt;=0),0,(O143/N143)*(IF(OR(N143="",N143&lt;=0),0,IF((YEAR(D143)+8)&lt;YEAR(E143),0,IF((YEAR(D143)+8)&gt;=YEAR(E143)+N143,0,IF((YEAR(D143)+8)=YEAR(E143),(12-MONTH(E143)+1)/12,1))))))))*TaxRate,0))-IF(8=0,O143,0))</f>
        <v/>
      </c>
      <c r="AB143" s="29">
        <f>IF(A143="","",((K143)*(IF(M143="",L143,IFERROR(IF(INDEX(Variablen!$I:$AT, MATCH(M143, Variablen!$A:$A, 0), MATCH((YEAR(D143)+9), Variablen!$I$3:$AT$3, 0))="",L143,INDEX(Variablen!$I:$AT, MATCH(M143, Variablen!$A:$A, 0), MATCH((YEAR(D143)+9), Variablen!$I$3:$AT$3, 0))),L143)))*(IF((YEAR(D143)+9)&lt;YEAR(E143),0,IF((YEAR(D143)+9)&gt;YEAR(E143),1,(12-MONTH(E143)+1)/12))) + (Q143)*(IF((YEAR(D143)+9)&lt;YEAR(E143),0,IF((YEAR(D143)+9)&gt;YEAR(E143),1,(12-MONTH(E143)+1)/12))))-((P143)*(IF((YEAR(D143)+9)&lt;YEAR(E143),0,IF((YEAR(D143)+9)&gt;YEAR(E143),1,(12-MONTH(E143)+1)/12))) + (R143)*(IF((YEAR(D143)+9)&lt;YEAR(E143),0,IF((YEAR(D143)+9)&gt;YEAR(E143),1,(12-MONTH(E143)+1)/12))))-(IF((((K143)*(IF(M143="",L143,IFERROR(IF(INDEX(Variablen!$I:$AT, MATCH(M143, Variablen!$A:$A, 0), MATCH((YEAR(D143)+9), Variablen!$I$3:$AT$3, 0))="",L143,INDEX(Variablen!$I:$AT, MATCH(M143, Variablen!$A:$A, 0), MATCH((YEAR(D143)+9), Variablen!$I$3:$AT$3, 0))),L143)))*(IF((YEAR(D143)+9)&lt;YEAR(E143),0,IF((YEAR(D143)+9)&gt;YEAR(E143),1,(12-MONTH(E143)+1)/12))) + (Q143)*(IF((YEAR(D143)+9)&lt;YEAR(E143),0,IF((YEAR(D143)+9)&gt;YEAR(E143),1,(12-MONTH(E143)+1)/12))))-((P143)*(IF((YEAR(D143)+9)&lt;YEAR(E143),0,IF((YEAR(D143)+9)&gt;YEAR(E143),1,(12-MONTH(E143)+1)/12))) + (R143)*(IF((YEAR(D143)+9)&lt;YEAR(E143),0,IF((YEAR(D143)+9)&gt;YEAR(E143),1,(12-MONTH(E143)+1)/12))))-(IF(OR(N143="",N143&lt;=0),0,(O143/N143)*(IF(OR(N143="",N143&lt;=0),0,IF((YEAR(D143)+9)&lt;YEAR(E143),0,IF((YEAR(D143)+9)&gt;=YEAR(E143)+N143,0,IF((YEAR(D143)+9)=YEAR(E143),(12-MONTH(E143)+1)/12,1))))))))&gt;0,(((K143)*(IF(M143="",L143,IFERROR(IF(INDEX(Variablen!$I:$AT, MATCH(M143, Variablen!$A:$A, 0), MATCH((YEAR(D143)+9), Variablen!$I$3:$AT$3, 0))="",L143,INDEX(Variablen!$I:$AT, MATCH(M143, Variablen!$A:$A, 0), MATCH((YEAR(D143)+9), Variablen!$I$3:$AT$3, 0))),L143)))*(IF((YEAR(D143)+9)&lt;YEAR(E143),0,IF((YEAR(D143)+9)&gt;YEAR(E143),1,(12-MONTH(E143)+1)/12))) + (Q143)*(IF((YEAR(D143)+9)&lt;YEAR(E143),0,IF((YEAR(D143)+9)&gt;YEAR(E143),1,(12-MONTH(E143)+1)/12))))-((P143)*(IF((YEAR(D143)+9)&lt;YEAR(E143),0,IF((YEAR(D143)+9)&gt;YEAR(E143),1,(12-MONTH(E143)+1)/12))) + (R143)*(IF((YEAR(D143)+9)&lt;YEAR(E143),0,IF((YEAR(D143)+9)&gt;YEAR(E143),1,(12-MONTH(E143)+1)/12))))-(IF(OR(N143="",N143&lt;=0),0,(O143/N143)*(IF(OR(N143="",N143&lt;=0),0,IF((YEAR(D143)+9)&lt;YEAR(E143),0,IF((YEAR(D143)+9)&gt;=YEAR(E143)+N143,0,IF((YEAR(D143)+9)=YEAR(E143),(12-MONTH(E143)+1)/12,1))))))))*TaxRate,0))-IF(9=0,O143,0))</f>
        <v/>
      </c>
      <c r="AC143" s="29">
        <f>IF(A143="","",((K143)*(IF(M143="",L143,IFERROR(IF(INDEX(Variablen!$I:$AT, MATCH(M143, Variablen!$A:$A, 0), MATCH((YEAR(D143)+10), Variablen!$I$3:$AT$3, 0))="",L143,INDEX(Variablen!$I:$AT, MATCH(M143, Variablen!$A:$A, 0), MATCH((YEAR(D143)+10), Variablen!$I$3:$AT$3, 0))),L143)))*(IF((YEAR(D143)+10)&lt;YEAR(E143),0,IF((YEAR(D143)+10)&gt;YEAR(E143),1,(12-MONTH(E143)+1)/12))) + (Q143)*(IF((YEAR(D143)+10)&lt;YEAR(E143),0,IF((YEAR(D143)+10)&gt;YEAR(E143),1,(12-MONTH(E143)+1)/12))))-((P143)*(IF((YEAR(D143)+10)&lt;YEAR(E143),0,IF((YEAR(D143)+10)&gt;YEAR(E143),1,(12-MONTH(E143)+1)/12))) + (R143)*(IF((YEAR(D143)+10)&lt;YEAR(E143),0,IF((YEAR(D143)+10)&gt;YEAR(E143),1,(12-MONTH(E143)+1)/12))))-(IF((((K143)*(IF(M143="",L143,IFERROR(IF(INDEX(Variablen!$I:$AT, MATCH(M143, Variablen!$A:$A, 0), MATCH((YEAR(D143)+10), Variablen!$I$3:$AT$3, 0))="",L143,INDEX(Variablen!$I:$AT, MATCH(M143, Variablen!$A:$A, 0), MATCH((YEAR(D143)+10), Variablen!$I$3:$AT$3, 0))),L143)))*(IF((YEAR(D143)+10)&lt;YEAR(E143),0,IF((YEAR(D143)+10)&gt;YEAR(E143),1,(12-MONTH(E143)+1)/12))) + (Q143)*(IF((YEAR(D143)+10)&lt;YEAR(E143),0,IF((YEAR(D143)+10)&gt;YEAR(E143),1,(12-MONTH(E143)+1)/12))))-((P143)*(IF((YEAR(D143)+10)&lt;YEAR(E143),0,IF((YEAR(D143)+10)&gt;YEAR(E143),1,(12-MONTH(E143)+1)/12))) + (R143)*(IF((YEAR(D143)+10)&lt;YEAR(E143),0,IF((YEAR(D143)+10)&gt;YEAR(E143),1,(12-MONTH(E143)+1)/12))))-(IF(OR(N143="",N143&lt;=0),0,(O143/N143)*(IF(OR(N143="",N143&lt;=0),0,IF((YEAR(D143)+10)&lt;YEAR(E143),0,IF((YEAR(D143)+10)&gt;=YEAR(E143)+N143,0,IF((YEAR(D143)+10)=YEAR(E143),(12-MONTH(E143)+1)/12,1))))))))&gt;0,(((K143)*(IF(M143="",L143,IFERROR(IF(INDEX(Variablen!$I:$AT, MATCH(M143, Variablen!$A:$A, 0), MATCH((YEAR(D143)+10), Variablen!$I$3:$AT$3, 0))="",L143,INDEX(Variablen!$I:$AT, MATCH(M143, Variablen!$A:$A, 0), MATCH((YEAR(D143)+10), Variablen!$I$3:$AT$3, 0))),L143)))*(IF((YEAR(D143)+10)&lt;YEAR(E143),0,IF((YEAR(D143)+10)&gt;YEAR(E143),1,(12-MONTH(E143)+1)/12))) + (Q143)*(IF((YEAR(D143)+10)&lt;YEAR(E143),0,IF((YEAR(D143)+10)&gt;YEAR(E143),1,(12-MONTH(E143)+1)/12))))-((P143)*(IF((YEAR(D143)+10)&lt;YEAR(E143),0,IF((YEAR(D143)+10)&gt;YEAR(E143),1,(12-MONTH(E143)+1)/12))) + (R143)*(IF((YEAR(D143)+10)&lt;YEAR(E143),0,IF((YEAR(D143)+10)&gt;YEAR(E143),1,(12-MONTH(E143)+1)/12))))-(IF(OR(N143="",N143&lt;=0),0,(O143/N143)*(IF(OR(N143="",N143&lt;=0),0,IF((YEAR(D143)+10)&lt;YEAR(E143),0,IF((YEAR(D143)+10)&gt;=YEAR(E143)+N143,0,IF((YEAR(D143)+10)=YEAR(E143),(12-MONTH(E143)+1)/12,1))))))))*TaxRate,0))-IF(10=0,O143,0))</f>
        <v/>
      </c>
      <c r="AD143" s="29">
        <f>IF(A143="","",((K143)*(IF(M143="",L143,IFERROR(IF(INDEX(Variablen!$I:$AT, MATCH(M143, Variablen!$A:$A, 0), MATCH((YEAR(D143)+11), Variablen!$I$3:$AT$3, 0))="",L143,INDEX(Variablen!$I:$AT, MATCH(M143, Variablen!$A:$A, 0), MATCH((YEAR(D143)+11), Variablen!$I$3:$AT$3, 0))),L143)))*(IF((YEAR(D143)+11)&lt;YEAR(E143),0,IF((YEAR(D143)+11)&gt;YEAR(E143),1,(12-MONTH(E143)+1)/12))) + (Q143)*(IF((YEAR(D143)+11)&lt;YEAR(E143),0,IF((YEAR(D143)+11)&gt;YEAR(E143),1,(12-MONTH(E143)+1)/12))))-((P143)*(IF((YEAR(D143)+11)&lt;YEAR(E143),0,IF((YEAR(D143)+11)&gt;YEAR(E143),1,(12-MONTH(E143)+1)/12))) + (R143)*(IF((YEAR(D143)+11)&lt;YEAR(E143),0,IF((YEAR(D143)+11)&gt;YEAR(E143),1,(12-MONTH(E143)+1)/12))))-(IF((((K143)*(IF(M143="",L143,IFERROR(IF(INDEX(Variablen!$I:$AT, MATCH(M143, Variablen!$A:$A, 0), MATCH((YEAR(D143)+11), Variablen!$I$3:$AT$3, 0))="",L143,INDEX(Variablen!$I:$AT, MATCH(M143, Variablen!$A:$A, 0), MATCH((YEAR(D143)+11), Variablen!$I$3:$AT$3, 0))),L143)))*(IF((YEAR(D143)+11)&lt;YEAR(E143),0,IF((YEAR(D143)+11)&gt;YEAR(E143),1,(12-MONTH(E143)+1)/12))) + (Q143)*(IF((YEAR(D143)+11)&lt;YEAR(E143),0,IF((YEAR(D143)+11)&gt;YEAR(E143),1,(12-MONTH(E143)+1)/12))))-((P143)*(IF((YEAR(D143)+11)&lt;YEAR(E143),0,IF((YEAR(D143)+11)&gt;YEAR(E143),1,(12-MONTH(E143)+1)/12))) + (R143)*(IF((YEAR(D143)+11)&lt;YEAR(E143),0,IF((YEAR(D143)+11)&gt;YEAR(E143),1,(12-MONTH(E143)+1)/12))))-(IF(OR(N143="",N143&lt;=0),0,(O143/N143)*(IF(OR(N143="",N143&lt;=0),0,IF((YEAR(D143)+11)&lt;YEAR(E143),0,IF((YEAR(D143)+11)&gt;=YEAR(E143)+N143,0,IF((YEAR(D143)+11)=YEAR(E143),(12-MONTH(E143)+1)/12,1))))))))&gt;0,(((K143)*(IF(M143="",L143,IFERROR(IF(INDEX(Variablen!$I:$AT, MATCH(M143, Variablen!$A:$A, 0), MATCH((YEAR(D143)+11), Variablen!$I$3:$AT$3, 0))="",L143,INDEX(Variablen!$I:$AT, MATCH(M143, Variablen!$A:$A, 0), MATCH((YEAR(D143)+11), Variablen!$I$3:$AT$3, 0))),L143)))*(IF((YEAR(D143)+11)&lt;YEAR(E143),0,IF((YEAR(D143)+11)&gt;YEAR(E143),1,(12-MONTH(E143)+1)/12))) + (Q143)*(IF((YEAR(D143)+11)&lt;YEAR(E143),0,IF((YEAR(D143)+11)&gt;YEAR(E143),1,(12-MONTH(E143)+1)/12))))-((P143)*(IF((YEAR(D143)+11)&lt;YEAR(E143),0,IF((YEAR(D143)+11)&gt;YEAR(E143),1,(12-MONTH(E143)+1)/12))) + (R143)*(IF((YEAR(D143)+11)&lt;YEAR(E143),0,IF((YEAR(D143)+11)&gt;YEAR(E143),1,(12-MONTH(E143)+1)/12))))-(IF(OR(N143="",N143&lt;=0),0,(O143/N143)*(IF(OR(N143="",N143&lt;=0),0,IF((YEAR(D143)+11)&lt;YEAR(E143),0,IF((YEAR(D143)+11)&gt;=YEAR(E143)+N143,0,IF((YEAR(D143)+11)=YEAR(E143),(12-MONTH(E143)+1)/12,1))))))))*TaxRate,0))-IF(11=0,O143,0))</f>
        <v/>
      </c>
      <c r="AE143" s="29">
        <f>IF(A143="","",((K143)*(IF(M143="",L143,IFERROR(IF(INDEX(Variablen!$I:$AT, MATCH(M143, Variablen!$A:$A, 0), MATCH((YEAR(D143)+12), Variablen!$I$3:$AT$3, 0))="",L143,INDEX(Variablen!$I:$AT, MATCH(M143, Variablen!$A:$A, 0), MATCH((YEAR(D143)+12), Variablen!$I$3:$AT$3, 0))),L143)))*(IF((YEAR(D143)+12)&lt;YEAR(E143),0,IF((YEAR(D143)+12)&gt;YEAR(E143),1,(12-MONTH(E143)+1)/12))) + (Q143)*(IF((YEAR(D143)+12)&lt;YEAR(E143),0,IF((YEAR(D143)+12)&gt;YEAR(E143),1,(12-MONTH(E143)+1)/12))))-((P143)*(IF((YEAR(D143)+12)&lt;YEAR(E143),0,IF((YEAR(D143)+12)&gt;YEAR(E143),1,(12-MONTH(E143)+1)/12))) + (R143)*(IF((YEAR(D143)+12)&lt;YEAR(E143),0,IF((YEAR(D143)+12)&gt;YEAR(E143),1,(12-MONTH(E143)+1)/12))))-(IF((((K143)*(IF(M143="",L143,IFERROR(IF(INDEX(Variablen!$I:$AT, MATCH(M143, Variablen!$A:$A, 0), MATCH((YEAR(D143)+12), Variablen!$I$3:$AT$3, 0))="",L143,INDEX(Variablen!$I:$AT, MATCH(M143, Variablen!$A:$A, 0), MATCH((YEAR(D143)+12), Variablen!$I$3:$AT$3, 0))),L143)))*(IF((YEAR(D143)+12)&lt;YEAR(E143),0,IF((YEAR(D143)+12)&gt;YEAR(E143),1,(12-MONTH(E143)+1)/12))) + (Q143)*(IF((YEAR(D143)+12)&lt;YEAR(E143),0,IF((YEAR(D143)+12)&gt;YEAR(E143),1,(12-MONTH(E143)+1)/12))))-((P143)*(IF((YEAR(D143)+12)&lt;YEAR(E143),0,IF((YEAR(D143)+12)&gt;YEAR(E143),1,(12-MONTH(E143)+1)/12))) + (R143)*(IF((YEAR(D143)+12)&lt;YEAR(E143),0,IF((YEAR(D143)+12)&gt;YEAR(E143),1,(12-MONTH(E143)+1)/12))))-(IF(OR(N143="",N143&lt;=0),0,(O143/N143)*(IF(OR(N143="",N143&lt;=0),0,IF((YEAR(D143)+12)&lt;YEAR(E143),0,IF((YEAR(D143)+12)&gt;=YEAR(E143)+N143,0,IF((YEAR(D143)+12)=YEAR(E143),(12-MONTH(E143)+1)/12,1))))))))&gt;0,(((K143)*(IF(M143="",L143,IFERROR(IF(INDEX(Variablen!$I:$AT, MATCH(M143, Variablen!$A:$A, 0), MATCH((YEAR(D143)+12), Variablen!$I$3:$AT$3, 0))="",L143,INDEX(Variablen!$I:$AT, MATCH(M143, Variablen!$A:$A, 0), MATCH((YEAR(D143)+12), Variablen!$I$3:$AT$3, 0))),L143)))*(IF((YEAR(D143)+12)&lt;YEAR(E143),0,IF((YEAR(D143)+12)&gt;YEAR(E143),1,(12-MONTH(E143)+1)/12))) + (Q143)*(IF((YEAR(D143)+12)&lt;YEAR(E143),0,IF((YEAR(D143)+12)&gt;YEAR(E143),1,(12-MONTH(E143)+1)/12))))-((P143)*(IF((YEAR(D143)+12)&lt;YEAR(E143),0,IF((YEAR(D143)+12)&gt;YEAR(E143),1,(12-MONTH(E143)+1)/12))) + (R143)*(IF((YEAR(D143)+12)&lt;YEAR(E143),0,IF((YEAR(D143)+12)&gt;YEAR(E143),1,(12-MONTH(E143)+1)/12))))-(IF(OR(N143="",N143&lt;=0),0,(O143/N143)*(IF(OR(N143="",N143&lt;=0),0,IF((YEAR(D143)+12)&lt;YEAR(E143),0,IF((YEAR(D143)+12)&gt;=YEAR(E143)+N143,0,IF((YEAR(D143)+12)=YEAR(E143),(12-MONTH(E143)+1)/12,1))))))))*TaxRate,0))-IF(12=0,O143,0))</f>
        <v/>
      </c>
      <c r="AF143" s="29">
        <f>IF(A143="","",((K143)*(IF(M143="",L143,IFERROR(IF(INDEX(Variablen!$I:$AT, MATCH(M143, Variablen!$A:$A, 0), MATCH((YEAR(D143)+13), Variablen!$I$3:$AT$3, 0))="",L143,INDEX(Variablen!$I:$AT, MATCH(M143, Variablen!$A:$A, 0), MATCH((YEAR(D143)+13), Variablen!$I$3:$AT$3, 0))),L143)))*(IF((YEAR(D143)+13)&lt;YEAR(E143),0,IF((YEAR(D143)+13)&gt;YEAR(E143),1,(12-MONTH(E143)+1)/12))) + (Q143)*(IF((YEAR(D143)+13)&lt;YEAR(E143),0,IF((YEAR(D143)+13)&gt;YEAR(E143),1,(12-MONTH(E143)+1)/12))))-((P143)*(IF((YEAR(D143)+13)&lt;YEAR(E143),0,IF((YEAR(D143)+13)&gt;YEAR(E143),1,(12-MONTH(E143)+1)/12))) + (R143)*(IF((YEAR(D143)+13)&lt;YEAR(E143),0,IF((YEAR(D143)+13)&gt;YEAR(E143),1,(12-MONTH(E143)+1)/12))))-(IF((((K143)*(IF(M143="",L143,IFERROR(IF(INDEX(Variablen!$I:$AT, MATCH(M143, Variablen!$A:$A, 0), MATCH((YEAR(D143)+13), Variablen!$I$3:$AT$3, 0))="",L143,INDEX(Variablen!$I:$AT, MATCH(M143, Variablen!$A:$A, 0), MATCH((YEAR(D143)+13), Variablen!$I$3:$AT$3, 0))),L143)))*(IF((YEAR(D143)+13)&lt;YEAR(E143),0,IF((YEAR(D143)+13)&gt;YEAR(E143),1,(12-MONTH(E143)+1)/12))) + (Q143)*(IF((YEAR(D143)+13)&lt;YEAR(E143),0,IF((YEAR(D143)+13)&gt;YEAR(E143),1,(12-MONTH(E143)+1)/12))))-((P143)*(IF((YEAR(D143)+13)&lt;YEAR(E143),0,IF((YEAR(D143)+13)&gt;YEAR(E143),1,(12-MONTH(E143)+1)/12))) + (R143)*(IF((YEAR(D143)+13)&lt;YEAR(E143),0,IF((YEAR(D143)+13)&gt;YEAR(E143),1,(12-MONTH(E143)+1)/12))))-(IF(OR(N143="",N143&lt;=0),0,(O143/N143)*(IF(OR(N143="",N143&lt;=0),0,IF((YEAR(D143)+13)&lt;YEAR(E143),0,IF((YEAR(D143)+13)&gt;=YEAR(E143)+N143,0,IF((YEAR(D143)+13)=YEAR(E143),(12-MONTH(E143)+1)/12,1))))))))&gt;0,(((K143)*(IF(M143="",L143,IFERROR(IF(INDEX(Variablen!$I:$AT, MATCH(M143, Variablen!$A:$A, 0), MATCH((YEAR(D143)+13), Variablen!$I$3:$AT$3, 0))="",L143,INDEX(Variablen!$I:$AT, MATCH(M143, Variablen!$A:$A, 0), MATCH((YEAR(D143)+13), Variablen!$I$3:$AT$3, 0))),L143)))*(IF((YEAR(D143)+13)&lt;YEAR(E143),0,IF((YEAR(D143)+13)&gt;YEAR(E143),1,(12-MONTH(E143)+1)/12))) + (Q143)*(IF((YEAR(D143)+13)&lt;YEAR(E143),0,IF((YEAR(D143)+13)&gt;YEAR(E143),1,(12-MONTH(E143)+1)/12))))-((P143)*(IF((YEAR(D143)+13)&lt;YEAR(E143),0,IF((YEAR(D143)+13)&gt;YEAR(E143),1,(12-MONTH(E143)+1)/12))) + (R143)*(IF((YEAR(D143)+13)&lt;YEAR(E143),0,IF((YEAR(D143)+13)&gt;YEAR(E143),1,(12-MONTH(E143)+1)/12))))-(IF(OR(N143="",N143&lt;=0),0,(O143/N143)*(IF(OR(N143="",N143&lt;=0),0,IF((YEAR(D143)+13)&lt;YEAR(E143),0,IF((YEAR(D143)+13)&gt;=YEAR(E143)+N143,0,IF((YEAR(D143)+13)=YEAR(E143),(12-MONTH(E143)+1)/12,1))))))))*TaxRate,0))-IF(13=0,O143,0))</f>
        <v/>
      </c>
      <c r="AG143" s="29">
        <f>IF(A143="","",((K143)*(IF(M143="",L143,IFERROR(IF(INDEX(Variablen!$I:$AT, MATCH(M143, Variablen!$A:$A, 0), MATCH((YEAR(D143)+14), Variablen!$I$3:$AT$3, 0))="",L143,INDEX(Variablen!$I:$AT, MATCH(M143, Variablen!$A:$A, 0), MATCH((YEAR(D143)+14), Variablen!$I$3:$AT$3, 0))),L143)))*(IF((YEAR(D143)+14)&lt;YEAR(E143),0,IF((YEAR(D143)+14)&gt;YEAR(E143),1,(12-MONTH(E143)+1)/12))) + (Q143)*(IF((YEAR(D143)+14)&lt;YEAR(E143),0,IF((YEAR(D143)+14)&gt;YEAR(E143),1,(12-MONTH(E143)+1)/12))))-((P143)*(IF((YEAR(D143)+14)&lt;YEAR(E143),0,IF((YEAR(D143)+14)&gt;YEAR(E143),1,(12-MONTH(E143)+1)/12))) + (R143)*(IF((YEAR(D143)+14)&lt;YEAR(E143),0,IF((YEAR(D143)+14)&gt;YEAR(E143),1,(12-MONTH(E143)+1)/12))))-(IF((((K143)*(IF(M143="",L143,IFERROR(IF(INDEX(Variablen!$I:$AT, MATCH(M143, Variablen!$A:$A, 0), MATCH((YEAR(D143)+14), Variablen!$I$3:$AT$3, 0))="",L143,INDEX(Variablen!$I:$AT, MATCH(M143, Variablen!$A:$A, 0), MATCH((YEAR(D143)+14), Variablen!$I$3:$AT$3, 0))),L143)))*(IF((YEAR(D143)+14)&lt;YEAR(E143),0,IF((YEAR(D143)+14)&gt;YEAR(E143),1,(12-MONTH(E143)+1)/12))) + (Q143)*(IF((YEAR(D143)+14)&lt;YEAR(E143),0,IF((YEAR(D143)+14)&gt;YEAR(E143),1,(12-MONTH(E143)+1)/12))))-((P143)*(IF((YEAR(D143)+14)&lt;YEAR(E143),0,IF((YEAR(D143)+14)&gt;YEAR(E143),1,(12-MONTH(E143)+1)/12))) + (R143)*(IF((YEAR(D143)+14)&lt;YEAR(E143),0,IF((YEAR(D143)+14)&gt;YEAR(E143),1,(12-MONTH(E143)+1)/12))))-(IF(OR(N143="",N143&lt;=0),0,(O143/N143)*(IF(OR(N143="",N143&lt;=0),0,IF((YEAR(D143)+14)&lt;YEAR(E143),0,IF((YEAR(D143)+14)&gt;=YEAR(E143)+N143,0,IF((YEAR(D143)+14)=YEAR(E143),(12-MONTH(E143)+1)/12,1))))))))&gt;0,(((K143)*(IF(M143="",L143,IFERROR(IF(INDEX(Variablen!$I:$AT, MATCH(M143, Variablen!$A:$A, 0), MATCH((YEAR(D143)+14), Variablen!$I$3:$AT$3, 0))="",L143,INDEX(Variablen!$I:$AT, MATCH(M143, Variablen!$A:$A, 0), MATCH((YEAR(D143)+14), Variablen!$I$3:$AT$3, 0))),L143)))*(IF((YEAR(D143)+14)&lt;YEAR(E143),0,IF((YEAR(D143)+14)&gt;YEAR(E143),1,(12-MONTH(E143)+1)/12))) + (Q143)*(IF((YEAR(D143)+14)&lt;YEAR(E143),0,IF((YEAR(D143)+14)&gt;YEAR(E143),1,(12-MONTH(E143)+1)/12))))-((P143)*(IF((YEAR(D143)+14)&lt;YEAR(E143),0,IF((YEAR(D143)+14)&gt;YEAR(E143),1,(12-MONTH(E143)+1)/12))) + (R143)*(IF((YEAR(D143)+14)&lt;YEAR(E143),0,IF((YEAR(D143)+14)&gt;YEAR(E143),1,(12-MONTH(E143)+1)/12))))-(IF(OR(N143="",N143&lt;=0),0,(O143/N143)*(IF(OR(N143="",N143&lt;=0),0,IF((YEAR(D143)+14)&lt;YEAR(E143),0,IF((YEAR(D143)+14)&gt;=YEAR(E143)+N143,0,IF((YEAR(D143)+14)=YEAR(E143),(12-MONTH(E143)+1)/12,1))))))))*TaxRate,0))-IF(14=0,O143,0))</f>
        <v/>
      </c>
      <c r="AH143" s="29">
        <f>IF(A143="","",((K143)*(IF(M143="",L143,IFERROR(IF(INDEX(Variablen!$I:$AT, MATCH(M143, Variablen!$A:$A, 0), MATCH((YEAR(D143)+15), Variablen!$I$3:$AT$3, 0))="",L143,INDEX(Variablen!$I:$AT, MATCH(M143, Variablen!$A:$A, 0), MATCH((YEAR(D143)+15), Variablen!$I$3:$AT$3, 0))),L143)))*(IF((YEAR(D143)+15)&lt;YEAR(E143),0,IF((YEAR(D143)+15)&gt;YEAR(E143),1,(12-MONTH(E143)+1)/12))) + (Q143)*(IF((YEAR(D143)+15)&lt;YEAR(E143),0,IF((YEAR(D143)+15)&gt;YEAR(E143),1,(12-MONTH(E143)+1)/12))))-((P143)*(IF((YEAR(D143)+15)&lt;YEAR(E143),0,IF((YEAR(D143)+15)&gt;YEAR(E143),1,(12-MONTH(E143)+1)/12))) + (R143)*(IF((YEAR(D143)+15)&lt;YEAR(E143),0,IF((YEAR(D143)+15)&gt;YEAR(E143),1,(12-MONTH(E143)+1)/12))))-(IF((((K143)*(IF(M143="",L143,IFERROR(IF(INDEX(Variablen!$I:$AT, MATCH(M143, Variablen!$A:$A, 0), MATCH((YEAR(D143)+15), Variablen!$I$3:$AT$3, 0))="",L143,INDEX(Variablen!$I:$AT, MATCH(M143, Variablen!$A:$A, 0), MATCH((YEAR(D143)+15), Variablen!$I$3:$AT$3, 0))),L143)))*(IF((YEAR(D143)+15)&lt;YEAR(E143),0,IF((YEAR(D143)+15)&gt;YEAR(E143),1,(12-MONTH(E143)+1)/12))) + (Q143)*(IF((YEAR(D143)+15)&lt;YEAR(E143),0,IF((YEAR(D143)+15)&gt;YEAR(E143),1,(12-MONTH(E143)+1)/12))))-((P143)*(IF((YEAR(D143)+15)&lt;YEAR(E143),0,IF((YEAR(D143)+15)&gt;YEAR(E143),1,(12-MONTH(E143)+1)/12))) + (R143)*(IF((YEAR(D143)+15)&lt;YEAR(E143),0,IF((YEAR(D143)+15)&gt;YEAR(E143),1,(12-MONTH(E143)+1)/12))))-(IF(OR(N143="",N143&lt;=0),0,(O143/N143)*(IF(OR(N143="",N143&lt;=0),0,IF((YEAR(D143)+15)&lt;YEAR(E143),0,IF((YEAR(D143)+15)&gt;=YEAR(E143)+N143,0,IF((YEAR(D143)+15)=YEAR(E143),(12-MONTH(E143)+1)/12,1))))))))&gt;0,(((K143)*(IF(M143="",L143,IFERROR(IF(INDEX(Variablen!$I:$AT, MATCH(M143, Variablen!$A:$A, 0), MATCH((YEAR(D143)+15), Variablen!$I$3:$AT$3, 0))="",L143,INDEX(Variablen!$I:$AT, MATCH(M143, Variablen!$A:$A, 0), MATCH((YEAR(D143)+15), Variablen!$I$3:$AT$3, 0))),L143)))*(IF((YEAR(D143)+15)&lt;YEAR(E143),0,IF((YEAR(D143)+15)&gt;YEAR(E143),1,(12-MONTH(E143)+1)/12))) + (Q143)*(IF((YEAR(D143)+15)&lt;YEAR(E143),0,IF((YEAR(D143)+15)&gt;YEAR(E143),1,(12-MONTH(E143)+1)/12))))-((P143)*(IF((YEAR(D143)+15)&lt;YEAR(E143),0,IF((YEAR(D143)+15)&gt;YEAR(E143),1,(12-MONTH(E143)+1)/12))) + (R143)*(IF((YEAR(D143)+15)&lt;YEAR(E143),0,IF((YEAR(D143)+15)&gt;YEAR(E143),1,(12-MONTH(E143)+1)/12))))-(IF(OR(N143="",N143&lt;=0),0,(O143/N143)*(IF(OR(N143="",N143&lt;=0),0,IF((YEAR(D143)+15)&lt;YEAR(E143),0,IF((YEAR(D143)+15)&gt;=YEAR(E143)+N143,0,IF((YEAR(D143)+15)=YEAR(E143),(12-MONTH(E143)+1)/12,1))))))))*TaxRate,0))-IF(15=0,O143,0))</f>
        <v/>
      </c>
      <c r="AI143" s="29">
        <f>IF(A143="","",((K143)*(IF(M143="",L143,IFERROR(IF(INDEX(Variablen!$I:$AT, MATCH(M143, Variablen!$A:$A, 0), MATCH((YEAR(D143)+16), Variablen!$I$3:$AT$3, 0))="",L143,INDEX(Variablen!$I:$AT, MATCH(M143, Variablen!$A:$A, 0), MATCH((YEAR(D143)+16), Variablen!$I$3:$AT$3, 0))),L143)))*(IF((YEAR(D143)+16)&lt;YEAR(E143),0,IF((YEAR(D143)+16)&gt;YEAR(E143),1,(12-MONTH(E143)+1)/12))) + (Q143)*(IF((YEAR(D143)+16)&lt;YEAR(E143),0,IF((YEAR(D143)+16)&gt;YEAR(E143),1,(12-MONTH(E143)+1)/12))))-((P143)*(IF((YEAR(D143)+16)&lt;YEAR(E143),0,IF((YEAR(D143)+16)&gt;YEAR(E143),1,(12-MONTH(E143)+1)/12))) + (R143)*(IF((YEAR(D143)+16)&lt;YEAR(E143),0,IF((YEAR(D143)+16)&gt;YEAR(E143),1,(12-MONTH(E143)+1)/12))))-(IF((((K143)*(IF(M143="",L143,IFERROR(IF(INDEX(Variablen!$I:$AT, MATCH(M143, Variablen!$A:$A, 0), MATCH((YEAR(D143)+16), Variablen!$I$3:$AT$3, 0))="",L143,INDEX(Variablen!$I:$AT, MATCH(M143, Variablen!$A:$A, 0), MATCH((YEAR(D143)+16), Variablen!$I$3:$AT$3, 0))),L143)))*(IF((YEAR(D143)+16)&lt;YEAR(E143),0,IF((YEAR(D143)+16)&gt;YEAR(E143),1,(12-MONTH(E143)+1)/12))) + (Q143)*(IF((YEAR(D143)+16)&lt;YEAR(E143),0,IF((YEAR(D143)+16)&gt;YEAR(E143),1,(12-MONTH(E143)+1)/12))))-((P143)*(IF((YEAR(D143)+16)&lt;YEAR(E143),0,IF((YEAR(D143)+16)&gt;YEAR(E143),1,(12-MONTH(E143)+1)/12))) + (R143)*(IF((YEAR(D143)+16)&lt;YEAR(E143),0,IF((YEAR(D143)+16)&gt;YEAR(E143),1,(12-MONTH(E143)+1)/12))))-(IF(OR(N143="",N143&lt;=0),0,(O143/N143)*(IF(OR(N143="",N143&lt;=0),0,IF((YEAR(D143)+16)&lt;YEAR(E143),0,IF((YEAR(D143)+16)&gt;=YEAR(E143)+N143,0,IF((YEAR(D143)+16)=YEAR(E143),(12-MONTH(E143)+1)/12,1))))))))&gt;0,(((K143)*(IF(M143="",L143,IFERROR(IF(INDEX(Variablen!$I:$AT, MATCH(M143, Variablen!$A:$A, 0), MATCH((YEAR(D143)+16), Variablen!$I$3:$AT$3, 0))="",L143,INDEX(Variablen!$I:$AT, MATCH(M143, Variablen!$A:$A, 0), MATCH((YEAR(D143)+16), Variablen!$I$3:$AT$3, 0))),L143)))*(IF((YEAR(D143)+16)&lt;YEAR(E143),0,IF((YEAR(D143)+16)&gt;YEAR(E143),1,(12-MONTH(E143)+1)/12))) + (Q143)*(IF((YEAR(D143)+16)&lt;YEAR(E143),0,IF((YEAR(D143)+16)&gt;YEAR(E143),1,(12-MONTH(E143)+1)/12))))-((P143)*(IF((YEAR(D143)+16)&lt;YEAR(E143),0,IF((YEAR(D143)+16)&gt;YEAR(E143),1,(12-MONTH(E143)+1)/12))) + (R143)*(IF((YEAR(D143)+16)&lt;YEAR(E143),0,IF((YEAR(D143)+16)&gt;YEAR(E143),1,(12-MONTH(E143)+1)/12))))-(IF(OR(N143="",N143&lt;=0),0,(O143/N143)*(IF(OR(N143="",N143&lt;=0),0,IF((YEAR(D143)+16)&lt;YEAR(E143),0,IF((YEAR(D143)+16)&gt;=YEAR(E143)+N143,0,IF((YEAR(D143)+16)=YEAR(E143),(12-MONTH(E143)+1)/12,1))))))))*TaxRate,0))-IF(16=0,O143,0))</f>
        <v/>
      </c>
      <c r="AJ143" s="29">
        <f>IF(A143="","",((K143)*(IF(M143="",L143,IFERROR(IF(INDEX(Variablen!$I:$AT, MATCH(M143, Variablen!$A:$A, 0), MATCH((YEAR(D143)+17), Variablen!$I$3:$AT$3, 0))="",L143,INDEX(Variablen!$I:$AT, MATCH(M143, Variablen!$A:$A, 0), MATCH((YEAR(D143)+17), Variablen!$I$3:$AT$3, 0))),L143)))*(IF((YEAR(D143)+17)&lt;YEAR(E143),0,IF((YEAR(D143)+17)&gt;YEAR(E143),1,(12-MONTH(E143)+1)/12))) + (Q143)*(IF((YEAR(D143)+17)&lt;YEAR(E143),0,IF((YEAR(D143)+17)&gt;YEAR(E143),1,(12-MONTH(E143)+1)/12))))-((P143)*(IF((YEAR(D143)+17)&lt;YEAR(E143),0,IF((YEAR(D143)+17)&gt;YEAR(E143),1,(12-MONTH(E143)+1)/12))) + (R143)*(IF((YEAR(D143)+17)&lt;YEAR(E143),0,IF((YEAR(D143)+17)&gt;YEAR(E143),1,(12-MONTH(E143)+1)/12))))-(IF((((K143)*(IF(M143="",L143,IFERROR(IF(INDEX(Variablen!$I:$AT, MATCH(M143, Variablen!$A:$A, 0), MATCH((YEAR(D143)+17), Variablen!$I$3:$AT$3, 0))="",L143,INDEX(Variablen!$I:$AT, MATCH(M143, Variablen!$A:$A, 0), MATCH((YEAR(D143)+17), Variablen!$I$3:$AT$3, 0))),L143)))*(IF((YEAR(D143)+17)&lt;YEAR(E143),0,IF((YEAR(D143)+17)&gt;YEAR(E143),1,(12-MONTH(E143)+1)/12))) + (Q143)*(IF((YEAR(D143)+17)&lt;YEAR(E143),0,IF((YEAR(D143)+17)&gt;YEAR(E143),1,(12-MONTH(E143)+1)/12))))-((P143)*(IF((YEAR(D143)+17)&lt;YEAR(E143),0,IF((YEAR(D143)+17)&gt;YEAR(E143),1,(12-MONTH(E143)+1)/12))) + (R143)*(IF((YEAR(D143)+17)&lt;YEAR(E143),0,IF((YEAR(D143)+17)&gt;YEAR(E143),1,(12-MONTH(E143)+1)/12))))-(IF(OR(N143="",N143&lt;=0),0,(O143/N143)*(IF(OR(N143="",N143&lt;=0),0,IF((YEAR(D143)+17)&lt;YEAR(E143),0,IF((YEAR(D143)+17)&gt;=YEAR(E143)+N143,0,IF((YEAR(D143)+17)=YEAR(E143),(12-MONTH(E143)+1)/12,1))))))))&gt;0,(((K143)*(IF(M143="",L143,IFERROR(IF(INDEX(Variablen!$I:$AT, MATCH(M143, Variablen!$A:$A, 0), MATCH((YEAR(D143)+17), Variablen!$I$3:$AT$3, 0))="",L143,INDEX(Variablen!$I:$AT, MATCH(M143, Variablen!$A:$A, 0), MATCH((YEAR(D143)+17), Variablen!$I$3:$AT$3, 0))),L143)))*(IF((YEAR(D143)+17)&lt;YEAR(E143),0,IF((YEAR(D143)+17)&gt;YEAR(E143),1,(12-MONTH(E143)+1)/12))) + (Q143)*(IF((YEAR(D143)+17)&lt;YEAR(E143),0,IF((YEAR(D143)+17)&gt;YEAR(E143),1,(12-MONTH(E143)+1)/12))))-((P143)*(IF((YEAR(D143)+17)&lt;YEAR(E143),0,IF((YEAR(D143)+17)&gt;YEAR(E143),1,(12-MONTH(E143)+1)/12))) + (R143)*(IF((YEAR(D143)+17)&lt;YEAR(E143),0,IF((YEAR(D143)+17)&gt;YEAR(E143),1,(12-MONTH(E143)+1)/12))))-(IF(OR(N143="",N143&lt;=0),0,(O143/N143)*(IF(OR(N143="",N143&lt;=0),0,IF((YEAR(D143)+17)&lt;YEAR(E143),0,IF((YEAR(D143)+17)&gt;=YEAR(E143)+N143,0,IF((YEAR(D143)+17)=YEAR(E143),(12-MONTH(E143)+1)/12,1))))))))*TaxRate,0))-IF(17=0,O143,0))</f>
        <v/>
      </c>
      <c r="AK143" s="29">
        <f>IF(A143="","",((K143)*(IF(M143="",L143,IFERROR(IF(INDEX(Variablen!$I:$AT, MATCH(M143, Variablen!$A:$A, 0), MATCH((YEAR(D143)+18), Variablen!$I$3:$AT$3, 0))="",L143,INDEX(Variablen!$I:$AT, MATCH(M143, Variablen!$A:$A, 0), MATCH((YEAR(D143)+18), Variablen!$I$3:$AT$3, 0))),L143)))*(IF((YEAR(D143)+18)&lt;YEAR(E143),0,IF((YEAR(D143)+18)&gt;YEAR(E143),1,(12-MONTH(E143)+1)/12))) + (Q143)*(IF((YEAR(D143)+18)&lt;YEAR(E143),0,IF((YEAR(D143)+18)&gt;YEAR(E143),1,(12-MONTH(E143)+1)/12))))-((P143)*(IF((YEAR(D143)+18)&lt;YEAR(E143),0,IF((YEAR(D143)+18)&gt;YEAR(E143),1,(12-MONTH(E143)+1)/12))) + (R143)*(IF((YEAR(D143)+18)&lt;YEAR(E143),0,IF((YEAR(D143)+18)&gt;YEAR(E143),1,(12-MONTH(E143)+1)/12))))-(IF((((K143)*(IF(M143="",L143,IFERROR(IF(INDEX(Variablen!$I:$AT, MATCH(M143, Variablen!$A:$A, 0), MATCH((YEAR(D143)+18), Variablen!$I$3:$AT$3, 0))="",L143,INDEX(Variablen!$I:$AT, MATCH(M143, Variablen!$A:$A, 0), MATCH((YEAR(D143)+18), Variablen!$I$3:$AT$3, 0))),L143)))*(IF((YEAR(D143)+18)&lt;YEAR(E143),0,IF((YEAR(D143)+18)&gt;YEAR(E143),1,(12-MONTH(E143)+1)/12))) + (Q143)*(IF((YEAR(D143)+18)&lt;YEAR(E143),0,IF((YEAR(D143)+18)&gt;YEAR(E143),1,(12-MONTH(E143)+1)/12))))-((P143)*(IF((YEAR(D143)+18)&lt;YEAR(E143),0,IF((YEAR(D143)+18)&gt;YEAR(E143),1,(12-MONTH(E143)+1)/12))) + (R143)*(IF((YEAR(D143)+18)&lt;YEAR(E143),0,IF((YEAR(D143)+18)&gt;YEAR(E143),1,(12-MONTH(E143)+1)/12))))-(IF(OR(N143="",N143&lt;=0),0,(O143/N143)*(IF(OR(N143="",N143&lt;=0),0,IF((YEAR(D143)+18)&lt;YEAR(E143),0,IF((YEAR(D143)+18)&gt;=YEAR(E143)+N143,0,IF((YEAR(D143)+18)=YEAR(E143),(12-MONTH(E143)+1)/12,1))))))))&gt;0,(((K143)*(IF(M143="",L143,IFERROR(IF(INDEX(Variablen!$I:$AT, MATCH(M143, Variablen!$A:$A, 0), MATCH((YEAR(D143)+18), Variablen!$I$3:$AT$3, 0))="",L143,INDEX(Variablen!$I:$AT, MATCH(M143, Variablen!$A:$A, 0), MATCH((YEAR(D143)+18), Variablen!$I$3:$AT$3, 0))),L143)))*(IF((YEAR(D143)+18)&lt;YEAR(E143),0,IF((YEAR(D143)+18)&gt;YEAR(E143),1,(12-MONTH(E143)+1)/12))) + (Q143)*(IF((YEAR(D143)+18)&lt;YEAR(E143),0,IF((YEAR(D143)+18)&gt;YEAR(E143),1,(12-MONTH(E143)+1)/12))))-((P143)*(IF((YEAR(D143)+18)&lt;YEAR(E143),0,IF((YEAR(D143)+18)&gt;YEAR(E143),1,(12-MONTH(E143)+1)/12))) + (R143)*(IF((YEAR(D143)+18)&lt;YEAR(E143),0,IF((YEAR(D143)+18)&gt;YEAR(E143),1,(12-MONTH(E143)+1)/12))))-(IF(OR(N143="",N143&lt;=0),0,(O143/N143)*(IF(OR(N143="",N143&lt;=0),0,IF((YEAR(D143)+18)&lt;YEAR(E143),0,IF((YEAR(D143)+18)&gt;=YEAR(E143)+N143,0,IF((YEAR(D143)+18)=YEAR(E143),(12-MONTH(E143)+1)/12,1))))))))*TaxRate,0))-IF(18=0,O143,0))</f>
        <v/>
      </c>
      <c r="AL143" s="29">
        <f>IF(A143="","",((K143)*(IF(M143="",L143,IFERROR(IF(INDEX(Variablen!$I:$AT, MATCH(M143, Variablen!$A:$A, 0), MATCH((YEAR(D143)+19), Variablen!$I$3:$AT$3, 0))="",L143,INDEX(Variablen!$I:$AT, MATCH(M143, Variablen!$A:$A, 0), MATCH((YEAR(D143)+19), Variablen!$I$3:$AT$3, 0))),L143)))*(IF((YEAR(D143)+19)&lt;YEAR(E143),0,IF((YEAR(D143)+19)&gt;YEAR(E143),1,(12-MONTH(E143)+1)/12))) + (Q143)*(IF((YEAR(D143)+19)&lt;YEAR(E143),0,IF((YEAR(D143)+19)&gt;YEAR(E143),1,(12-MONTH(E143)+1)/12))))-((P143)*(IF((YEAR(D143)+19)&lt;YEAR(E143),0,IF((YEAR(D143)+19)&gt;YEAR(E143),1,(12-MONTH(E143)+1)/12))) + (R143)*(IF((YEAR(D143)+19)&lt;YEAR(E143),0,IF((YEAR(D143)+19)&gt;YEAR(E143),1,(12-MONTH(E143)+1)/12))))-(IF((((K143)*(IF(M143="",L143,IFERROR(IF(INDEX(Variablen!$I:$AT, MATCH(M143, Variablen!$A:$A, 0), MATCH((YEAR(D143)+19), Variablen!$I$3:$AT$3, 0))="",L143,INDEX(Variablen!$I:$AT, MATCH(M143, Variablen!$A:$A, 0), MATCH((YEAR(D143)+19), Variablen!$I$3:$AT$3, 0))),L143)))*(IF((YEAR(D143)+19)&lt;YEAR(E143),0,IF((YEAR(D143)+19)&gt;YEAR(E143),1,(12-MONTH(E143)+1)/12))) + (Q143)*(IF((YEAR(D143)+19)&lt;YEAR(E143),0,IF((YEAR(D143)+19)&gt;YEAR(E143),1,(12-MONTH(E143)+1)/12))))-((P143)*(IF((YEAR(D143)+19)&lt;YEAR(E143),0,IF((YEAR(D143)+19)&gt;YEAR(E143),1,(12-MONTH(E143)+1)/12))) + (R143)*(IF((YEAR(D143)+19)&lt;YEAR(E143),0,IF((YEAR(D143)+19)&gt;YEAR(E143),1,(12-MONTH(E143)+1)/12))))-(IF(OR(N143="",N143&lt;=0),0,(O143/N143)*(IF(OR(N143="",N143&lt;=0),0,IF((YEAR(D143)+19)&lt;YEAR(E143),0,IF((YEAR(D143)+19)&gt;=YEAR(E143)+N143,0,IF((YEAR(D143)+19)=YEAR(E143),(12-MONTH(E143)+1)/12,1))))))))&gt;0,(((K143)*(IF(M143="",L143,IFERROR(IF(INDEX(Variablen!$I:$AT, MATCH(M143, Variablen!$A:$A, 0), MATCH((YEAR(D143)+19), Variablen!$I$3:$AT$3, 0))="",L143,INDEX(Variablen!$I:$AT, MATCH(M143, Variablen!$A:$A, 0), MATCH((YEAR(D143)+19), Variablen!$I$3:$AT$3, 0))),L143)))*(IF((YEAR(D143)+19)&lt;YEAR(E143),0,IF((YEAR(D143)+19)&gt;YEAR(E143),1,(12-MONTH(E143)+1)/12))) + (Q143)*(IF((YEAR(D143)+19)&lt;YEAR(E143),0,IF((YEAR(D143)+19)&gt;YEAR(E143),1,(12-MONTH(E143)+1)/12))))-((P143)*(IF((YEAR(D143)+19)&lt;YEAR(E143),0,IF((YEAR(D143)+19)&gt;YEAR(E143),1,(12-MONTH(E143)+1)/12))) + (R143)*(IF((YEAR(D143)+19)&lt;YEAR(E143),0,IF((YEAR(D143)+19)&gt;YEAR(E143),1,(12-MONTH(E143)+1)/12))))-(IF(OR(N143="",N143&lt;=0),0,(O143/N143)*(IF(OR(N143="",N143&lt;=0),0,IF((YEAR(D143)+19)&lt;YEAR(E143),0,IF((YEAR(D143)+19)&gt;=YEAR(E143)+N143,0,IF((YEAR(D143)+19)=YEAR(E143),(12-MONTH(E143)+1)/12,1))))))))*TaxRate,0))-IF(19=0,O143,0))</f>
        <v/>
      </c>
      <c r="AM143" s="29">
        <f>IF(A143="","",((K143)*(IF(M143="",L143,IFERROR(IF(INDEX(Variablen!$I:$AT, MATCH(M143, Variablen!$A:$A, 0), MATCH((YEAR(D143)+20), Variablen!$I$3:$AT$3, 0))="",L143,INDEX(Variablen!$I:$AT, MATCH(M143, Variablen!$A:$A, 0), MATCH((YEAR(D143)+20), Variablen!$I$3:$AT$3, 0))),L143)))*(IF((YEAR(D143)+20)&lt;YEAR(E143),0,IF((YEAR(D143)+20)&gt;YEAR(E143),1,(12-MONTH(E143)+1)/12))) + (Q143)*(IF((YEAR(D143)+20)&lt;YEAR(E143),0,IF((YEAR(D143)+20)&gt;YEAR(E143),1,(12-MONTH(E143)+1)/12))))-((P143)*(IF((YEAR(D143)+20)&lt;YEAR(E143),0,IF((YEAR(D143)+20)&gt;YEAR(E143),1,(12-MONTH(E143)+1)/12))) + (R143)*(IF((YEAR(D143)+20)&lt;YEAR(E143),0,IF((YEAR(D143)+20)&gt;YEAR(E143),1,(12-MONTH(E143)+1)/12))))-(IF((((K143)*(IF(M143="",L143,IFERROR(IF(INDEX(Variablen!$I:$AT, MATCH(M143, Variablen!$A:$A, 0), MATCH((YEAR(D143)+20), Variablen!$I$3:$AT$3, 0))="",L143,INDEX(Variablen!$I:$AT, MATCH(M143, Variablen!$A:$A, 0), MATCH((YEAR(D143)+20), Variablen!$I$3:$AT$3, 0))),L143)))*(IF((YEAR(D143)+20)&lt;YEAR(E143),0,IF((YEAR(D143)+20)&gt;YEAR(E143),1,(12-MONTH(E143)+1)/12))) + (Q143)*(IF((YEAR(D143)+20)&lt;YEAR(E143),0,IF((YEAR(D143)+20)&gt;YEAR(E143),1,(12-MONTH(E143)+1)/12))))-((P143)*(IF((YEAR(D143)+20)&lt;YEAR(E143),0,IF((YEAR(D143)+20)&gt;YEAR(E143),1,(12-MONTH(E143)+1)/12))) + (R143)*(IF((YEAR(D143)+20)&lt;YEAR(E143),0,IF((YEAR(D143)+20)&gt;YEAR(E143),1,(12-MONTH(E143)+1)/12))))-(IF(OR(N143="",N143&lt;=0),0,(O143/N143)*(IF(OR(N143="",N143&lt;=0),0,IF((YEAR(D143)+20)&lt;YEAR(E143),0,IF((YEAR(D143)+20)&gt;=YEAR(E143)+N143,0,IF((YEAR(D143)+20)=YEAR(E143),(12-MONTH(E143)+1)/12,1))))))))&gt;0,(((K143)*(IF(M143="",L143,IFERROR(IF(INDEX(Variablen!$I:$AT, MATCH(M143, Variablen!$A:$A, 0), MATCH((YEAR(D143)+20), Variablen!$I$3:$AT$3, 0))="",L143,INDEX(Variablen!$I:$AT, MATCH(M143, Variablen!$A:$A, 0), MATCH((YEAR(D143)+20), Variablen!$I$3:$AT$3, 0))),L143)))*(IF((YEAR(D143)+20)&lt;YEAR(E143),0,IF((YEAR(D143)+20)&gt;YEAR(E143),1,(12-MONTH(E143)+1)/12))) + (Q143)*(IF((YEAR(D143)+20)&lt;YEAR(E143),0,IF((YEAR(D143)+20)&gt;YEAR(E143),1,(12-MONTH(E143)+1)/12))))-((P143)*(IF((YEAR(D143)+20)&lt;YEAR(E143),0,IF((YEAR(D143)+20)&gt;YEAR(E143),1,(12-MONTH(E143)+1)/12))) + (R143)*(IF((YEAR(D143)+20)&lt;YEAR(E143),0,IF((YEAR(D143)+20)&gt;YEAR(E143),1,(12-MONTH(E143)+1)/12))))-(IF(OR(N143="",N143&lt;=0),0,(O143/N143)*(IF(OR(N143="",N143&lt;=0),0,IF((YEAR(D143)+20)&lt;YEAR(E143),0,IF((YEAR(D143)+20)&gt;=YEAR(E143)+N143,0,IF((YEAR(D143)+20)=YEAR(E143),(12-MONTH(E143)+1)/12,1))))))))*TaxRate,0))-IF(20=0,O143,0))</f>
        <v/>
      </c>
      <c r="AN143" s="29">
        <f>IF(A143="","",S143)</f>
        <v/>
      </c>
      <c r="AO143" s="29">
        <f>IF(A143="","",AN143+T143)</f>
        <v/>
      </c>
      <c r="AP143" s="29">
        <f>IF(A143="","",AO143+U143)</f>
        <v/>
      </c>
      <c r="AQ143" s="29">
        <f>IF(A143="","",AP143+V143)</f>
        <v/>
      </c>
      <c r="AR143" s="29">
        <f>IF(A143="","",AQ143+W143)</f>
        <v/>
      </c>
      <c r="AS143" s="29">
        <f>IF(A143="","",AR143+X143)</f>
        <v/>
      </c>
      <c r="AT143" s="29">
        <f>IF(A143="","",AS143+Y143)</f>
        <v/>
      </c>
      <c r="AU143" s="29">
        <f>IF(A143="","",AT143+Z143)</f>
        <v/>
      </c>
      <c r="AV143" s="29">
        <f>IF(A143="","",AU143+AA143)</f>
        <v/>
      </c>
      <c r="AW143" s="29">
        <f>IF(A143="","",AV143+AB143)</f>
        <v/>
      </c>
      <c r="AX143" s="29">
        <f>IF(A143="","",AW143+AC143)</f>
        <v/>
      </c>
      <c r="AY143" s="29">
        <f>IF(A143="","",AX143+AD143)</f>
        <v/>
      </c>
      <c r="AZ143" s="29">
        <f>IF(A143="","",AY143+AE143)</f>
        <v/>
      </c>
      <c r="BA143" s="29">
        <f>IF(A143="","",AZ143+AF143)</f>
        <v/>
      </c>
      <c r="BB143" s="29">
        <f>IF(A143="","",BA143+AG143)</f>
        <v/>
      </c>
      <c r="BC143" s="29">
        <f>IF(A143="","",BB143+AH143)</f>
        <v/>
      </c>
      <c r="BD143" s="29">
        <f>IF(A143="","",BC143+AI143)</f>
        <v/>
      </c>
      <c r="BE143" s="29">
        <f>IF(A143="","",BD143+AJ143)</f>
        <v/>
      </c>
      <c r="BF143" s="29">
        <f>IF(A143="","",BE143+AK143)</f>
        <v/>
      </c>
      <c r="BG143" s="29">
        <f>IF(A143="","",BF143+AL143)</f>
        <v/>
      </c>
      <c r="BH143" s="29">
        <f>IF(A143="","",BG143+AM143)</f>
        <v/>
      </c>
      <c r="BI143" s="36">
        <f>IF(A143="","",(K143)*(IF((YEAR(D143)+0)&lt;YEAR(E143),0,IF((YEAR(D143)+0)&gt;YEAR(E143),1,(12-MONTH(E143)+1)/12)))*(1/(1+DiscountRate)^0))</f>
        <v/>
      </c>
      <c r="BJ143" s="36">
        <f>IF(A143="","",(K143)*(IF((YEAR(D143)+1)&lt;YEAR(E143),0,IF((YEAR(D143)+1)&gt;YEAR(E143),1,(12-MONTH(E143)+1)/12)))*(1/(1+DiscountRate)^1))</f>
        <v/>
      </c>
      <c r="BK143" s="36">
        <f>IF(A143="","",(K143)*(IF((YEAR(D143)+2)&lt;YEAR(E143),0,IF((YEAR(D143)+2)&gt;YEAR(E143),1,(12-MONTH(E143)+1)/12)))*(1/(1+DiscountRate)^2))</f>
        <v/>
      </c>
      <c r="BL143" s="36">
        <f>IF(A143="","",(K143)*(IF((YEAR(D143)+3)&lt;YEAR(E143),0,IF((YEAR(D143)+3)&gt;YEAR(E143),1,(12-MONTH(E143)+1)/12)))*(1/(1+DiscountRate)^3))</f>
        <v/>
      </c>
      <c r="BM143" s="36">
        <f>IF(A143="","",(K143)*(IF((YEAR(D143)+4)&lt;YEAR(E143),0,IF((YEAR(D143)+4)&gt;YEAR(E143),1,(12-MONTH(E143)+1)/12)))*(1/(1+DiscountRate)^4))</f>
        <v/>
      </c>
      <c r="BN143" s="36">
        <f>IF(A143="","",(K143)*(IF((YEAR(D143)+5)&lt;YEAR(E143),0,IF((YEAR(D143)+5)&gt;YEAR(E143),1,(12-MONTH(E143)+1)/12)))*(1/(1+DiscountRate)^5))</f>
        <v/>
      </c>
      <c r="BO143" s="36">
        <f>IF(A143="","",(K143)*(IF((YEAR(D143)+6)&lt;YEAR(E143),0,IF((YEAR(D143)+6)&gt;YEAR(E143),1,(12-MONTH(E143)+1)/12)))*(1/(1+DiscountRate)^6))</f>
        <v/>
      </c>
      <c r="BP143" s="36">
        <f>IF(A143="","",(K143)*(IF((YEAR(D143)+7)&lt;YEAR(E143),0,IF((YEAR(D143)+7)&gt;YEAR(E143),1,(12-MONTH(E143)+1)/12)))*(1/(1+DiscountRate)^7))</f>
        <v/>
      </c>
      <c r="BQ143" s="36">
        <f>IF(A143="","",(K143)*(IF((YEAR(D143)+8)&lt;YEAR(E143),0,IF((YEAR(D143)+8)&gt;YEAR(E143),1,(12-MONTH(E143)+1)/12)))*(1/(1+DiscountRate)^8))</f>
        <v/>
      </c>
      <c r="BR143" s="36">
        <f>IF(A143="","",(K143)*(IF((YEAR(D143)+9)&lt;YEAR(E143),0,IF((YEAR(D143)+9)&gt;YEAR(E143),1,(12-MONTH(E143)+1)/12)))*(1/(1+DiscountRate)^9))</f>
        <v/>
      </c>
      <c r="BS143" s="36">
        <f>IF(A143="","",(K143)*(IF((YEAR(D143)+10)&lt;YEAR(E143),0,IF((YEAR(D143)+10)&gt;YEAR(E143),1,(12-MONTH(E143)+1)/12)))*(1/(1+DiscountRate)^10))</f>
        <v/>
      </c>
      <c r="BT143" s="36">
        <f>IF(A143="","",(K143)*(IF((YEAR(D143)+11)&lt;YEAR(E143),0,IF((YEAR(D143)+11)&gt;YEAR(E143),1,(12-MONTH(E143)+1)/12)))*(1/(1+DiscountRate)^11))</f>
        <v/>
      </c>
      <c r="BU143" s="36">
        <f>IF(A143="","",(K143)*(IF((YEAR(D143)+12)&lt;YEAR(E143),0,IF((YEAR(D143)+12)&gt;YEAR(E143),1,(12-MONTH(E143)+1)/12)))*(1/(1+DiscountRate)^12))</f>
        <v/>
      </c>
      <c r="BV143" s="36">
        <f>IF(A143="","",(K143)*(IF((YEAR(D143)+13)&lt;YEAR(E143),0,IF((YEAR(D143)+13)&gt;YEAR(E143),1,(12-MONTH(E143)+1)/12)))*(1/(1+DiscountRate)^13))</f>
        <v/>
      </c>
      <c r="BW143" s="36">
        <f>IF(A143="","",(K143)*(IF((YEAR(D143)+14)&lt;YEAR(E143),0,IF((YEAR(D143)+14)&gt;YEAR(E143),1,(12-MONTH(E143)+1)/12)))*(1/(1+DiscountRate)^14))</f>
        <v/>
      </c>
      <c r="BX143" s="36">
        <f>IF(A143="","",(K143)*(IF((YEAR(D143)+15)&lt;YEAR(E143),0,IF((YEAR(D143)+15)&gt;YEAR(E143),1,(12-MONTH(E143)+1)/12)))*(1/(1+DiscountRate)^15))</f>
        <v/>
      </c>
      <c r="BY143" s="36">
        <f>IF(A143="","",(K143)*(IF((YEAR(D143)+16)&lt;YEAR(E143),0,IF((YEAR(D143)+16)&gt;YEAR(E143),1,(12-MONTH(E143)+1)/12)))*(1/(1+DiscountRate)^16))</f>
        <v/>
      </c>
      <c r="BZ143" s="36">
        <f>IF(A143="","",(K143)*(IF((YEAR(D143)+17)&lt;YEAR(E143),0,IF((YEAR(D143)+17)&gt;YEAR(E143),1,(12-MONTH(E143)+1)/12)))*(1/(1+DiscountRate)^17))</f>
        <v/>
      </c>
      <c r="CA143" s="36">
        <f>IF(A143="","",(K143)*(IF((YEAR(D143)+18)&lt;YEAR(E143),0,IF((YEAR(D143)+18)&gt;YEAR(E143),1,(12-MONTH(E143)+1)/12)))*(1/(1+DiscountRate)^18))</f>
        <v/>
      </c>
      <c r="CB143" s="36">
        <f>IF(A143="","",(K143)*(IF((YEAR(D143)+19)&lt;YEAR(E143),0,IF((YEAR(D143)+19)&gt;YEAR(E143),1,(12-MONTH(E143)+1)/12)))*(1/(1+DiscountRate)^19))</f>
        <v/>
      </c>
      <c r="CC143" s="36">
        <f>IF(A143="","",(K143)*(IF((YEAR(D143)+20)&lt;YEAR(E143),0,IF((YEAR(D143)+20)&gt;YEAR(E143),1,(12-MONTH(E143)+1)/12)))*(1/(1+DiscountRate)^20))</f>
        <v/>
      </c>
      <c r="CD143" s="29">
        <f>IF(A143="","",S143/(1+DiscountRate)^0+T143/(1+DiscountRate)^1+U143/(1+DiscountRate)^2+V143/(1+DiscountRate)^3+W143/(1+DiscountRate)^4+X143/(1+DiscountRate)^5+Y143/(1+DiscountRate)^6+Z143/(1+DiscountRate)^7+AA143/(1+DiscountRate)^8+AB143/(1+DiscountRate)^9+AC143/(1+DiscountRate)^10+AD143/(1+DiscountRate)^11+AE143/(1+DiscountRate)^12+AF143/(1+DiscountRate)^13+AG143/(1+DiscountRate)^14+AH143/(1+DiscountRate)^15+AI143/(1+DiscountRate)^16+AJ143/(1+DiscountRate)^17+AK143/(1+DiscountRate)^18+AL143/(1+DiscountRate)^19+AM143/(1+DiscountRate)^20)</f>
        <v/>
      </c>
      <c r="CE143" s="37">
        <f>IF(A143="","",IFERROR(IRR(OFFSET(S143,0,0,1,MIN(HorizonYears,20)+1)),"n/a"))</f>
        <v/>
      </c>
      <c r="CF143" s="28">
        <f>IF(A143="","",IFERROR(MATCH(TRUE,OFFSET(AN143,0,0,1,MIN(HorizonYears,20)+1)&gt;=0,0)-1,"n/a"))</f>
        <v/>
      </c>
      <c r="CG143" s="36">
        <f>IF(A143="","",SUM(OFFSET(BI143,0,0,1,MIN(HorizonYears,20)+1)))</f>
        <v/>
      </c>
      <c r="CH143" s="36">
        <f>IF(A143="","",IFERROR(-CD143/CG143,"n/a"))</f>
        <v/>
      </c>
    </row>
    <row r="144">
      <c r="A144" s="6">
        <f>Actions!A142</f>
        <v/>
      </c>
      <c r="B144" s="6">
        <f>Actions!B142</f>
        <v/>
      </c>
      <c r="C144" s="6">
        <f>Actions!D142</f>
        <v/>
      </c>
      <c r="D144" s="35">
        <f>Actions!E142</f>
        <v/>
      </c>
      <c r="E144" s="35">
        <f>Actions!F142</f>
        <v/>
      </c>
      <c r="F144" s="6">
        <f>Actions!G142</f>
        <v/>
      </c>
      <c r="G144" s="6">
        <f>Actions!H142</f>
        <v/>
      </c>
      <c r="H144" s="29">
        <f>Actions!I142</f>
        <v/>
      </c>
      <c r="I144" s="6">
        <f>Actions!J142</f>
        <v/>
      </c>
      <c r="J144" s="16">
        <f>Actions!K142</f>
        <v/>
      </c>
      <c r="K144" s="16">
        <f>IF(A144="","",IF(I144="%",H144*J144,J144))</f>
        <v/>
      </c>
      <c r="L144" s="16">
        <f>Actions!L142</f>
        <v/>
      </c>
      <c r="M144" s="6">
        <f>Actions!M142</f>
        <v/>
      </c>
      <c r="N144" s="28">
        <f>Actions!N142</f>
        <v/>
      </c>
      <c r="O144" s="29">
        <f>Actions!T142</f>
        <v/>
      </c>
      <c r="P144" s="29">
        <f>Actions!Y142</f>
        <v/>
      </c>
      <c r="Q144" s="29">
        <f>Actions!Z142</f>
        <v/>
      </c>
      <c r="R144" s="29">
        <f>Actions!AA142</f>
        <v/>
      </c>
      <c r="S144" s="29">
        <f>IF(A144="","",((K144)*(IF(M144="",L144,IFERROR(IF(INDEX(Variablen!$I:$AT, MATCH(M144, Variablen!$A:$A, 0), MATCH((YEAR(D144)+0), Variablen!$I$3:$AT$3, 0))="",L144,INDEX(Variablen!$I:$AT, MATCH(M144, Variablen!$A:$A, 0), MATCH((YEAR(D144)+0), Variablen!$I$3:$AT$3, 0))),L144)))*(IF((YEAR(D144)+0)&lt;YEAR(E144),0,IF((YEAR(D144)+0)&gt;YEAR(E144),1,(12-MONTH(E144)+1)/12))) + (Q144)*(IF((YEAR(D144)+0)&lt;YEAR(E144),0,IF((YEAR(D144)+0)&gt;YEAR(E144),1,(12-MONTH(E144)+1)/12))))-((P144)*(IF((YEAR(D144)+0)&lt;YEAR(E144),0,IF((YEAR(D144)+0)&gt;YEAR(E144),1,(12-MONTH(E144)+1)/12))) + (R144)*(IF((YEAR(D144)+0)&lt;YEAR(E144),0,IF((YEAR(D144)+0)&gt;YEAR(E144),1,(12-MONTH(E144)+1)/12))))-(IF((((K144)*(IF(M144="",L144,IFERROR(IF(INDEX(Variablen!$I:$AT, MATCH(M144, Variablen!$A:$A, 0), MATCH((YEAR(D144)+0), Variablen!$I$3:$AT$3, 0))="",L144,INDEX(Variablen!$I:$AT, MATCH(M144, Variablen!$A:$A, 0), MATCH((YEAR(D144)+0), Variablen!$I$3:$AT$3, 0))),L144)))*(IF((YEAR(D144)+0)&lt;YEAR(E144),0,IF((YEAR(D144)+0)&gt;YEAR(E144),1,(12-MONTH(E144)+1)/12))) + (Q144)*(IF((YEAR(D144)+0)&lt;YEAR(E144),0,IF((YEAR(D144)+0)&gt;YEAR(E144),1,(12-MONTH(E144)+1)/12))))-((P144)*(IF((YEAR(D144)+0)&lt;YEAR(E144),0,IF((YEAR(D144)+0)&gt;YEAR(E144),1,(12-MONTH(E144)+1)/12))) + (R144)*(IF((YEAR(D144)+0)&lt;YEAR(E144),0,IF((YEAR(D144)+0)&gt;YEAR(E144),1,(12-MONTH(E144)+1)/12))))-(IF(OR(N144="",N144&lt;=0),0,(O144/N144)*(IF(OR(N144="",N144&lt;=0),0,IF((YEAR(D144)+0)&lt;YEAR(E144),0,IF((YEAR(D144)+0)&gt;=YEAR(E144)+N144,0,IF((YEAR(D144)+0)=YEAR(E144),(12-MONTH(E144)+1)/12,1))))))))&gt;0,(((K144)*(IF(M144="",L144,IFERROR(IF(INDEX(Variablen!$I:$AT, MATCH(M144, Variablen!$A:$A, 0), MATCH((YEAR(D144)+0), Variablen!$I$3:$AT$3, 0))="",L144,INDEX(Variablen!$I:$AT, MATCH(M144, Variablen!$A:$A, 0), MATCH((YEAR(D144)+0), Variablen!$I$3:$AT$3, 0))),L144)))*(IF((YEAR(D144)+0)&lt;YEAR(E144),0,IF((YEAR(D144)+0)&gt;YEAR(E144),1,(12-MONTH(E144)+1)/12))) + (Q144)*(IF((YEAR(D144)+0)&lt;YEAR(E144),0,IF((YEAR(D144)+0)&gt;YEAR(E144),1,(12-MONTH(E144)+1)/12))))-((P144)*(IF((YEAR(D144)+0)&lt;YEAR(E144),0,IF((YEAR(D144)+0)&gt;YEAR(E144),1,(12-MONTH(E144)+1)/12))) + (R144)*(IF((YEAR(D144)+0)&lt;YEAR(E144),0,IF((YEAR(D144)+0)&gt;YEAR(E144),1,(12-MONTH(E144)+1)/12))))-(IF(OR(N144="",N144&lt;=0),0,(O144/N144)*(IF(OR(N144="",N144&lt;=0),0,IF((YEAR(D144)+0)&lt;YEAR(E144),0,IF((YEAR(D144)+0)&gt;=YEAR(E144)+N144,0,IF((YEAR(D144)+0)=YEAR(E144),(12-MONTH(E144)+1)/12,1))))))))*TaxRate,0))-IF(0=0,O144,0))</f>
        <v/>
      </c>
      <c r="T144" s="29">
        <f>IF(A144="","",((K144)*(IF(M144="",L144,IFERROR(IF(INDEX(Variablen!$I:$AT, MATCH(M144, Variablen!$A:$A, 0), MATCH((YEAR(D144)+1), Variablen!$I$3:$AT$3, 0))="",L144,INDEX(Variablen!$I:$AT, MATCH(M144, Variablen!$A:$A, 0), MATCH((YEAR(D144)+1), Variablen!$I$3:$AT$3, 0))),L144)))*(IF((YEAR(D144)+1)&lt;YEAR(E144),0,IF((YEAR(D144)+1)&gt;YEAR(E144),1,(12-MONTH(E144)+1)/12))) + (Q144)*(IF((YEAR(D144)+1)&lt;YEAR(E144),0,IF((YEAR(D144)+1)&gt;YEAR(E144),1,(12-MONTH(E144)+1)/12))))-((P144)*(IF((YEAR(D144)+1)&lt;YEAR(E144),0,IF((YEAR(D144)+1)&gt;YEAR(E144),1,(12-MONTH(E144)+1)/12))) + (R144)*(IF((YEAR(D144)+1)&lt;YEAR(E144),0,IF((YEAR(D144)+1)&gt;YEAR(E144),1,(12-MONTH(E144)+1)/12))))-(IF((((K144)*(IF(M144="",L144,IFERROR(IF(INDEX(Variablen!$I:$AT, MATCH(M144, Variablen!$A:$A, 0), MATCH((YEAR(D144)+1), Variablen!$I$3:$AT$3, 0))="",L144,INDEX(Variablen!$I:$AT, MATCH(M144, Variablen!$A:$A, 0), MATCH((YEAR(D144)+1), Variablen!$I$3:$AT$3, 0))),L144)))*(IF((YEAR(D144)+1)&lt;YEAR(E144),0,IF((YEAR(D144)+1)&gt;YEAR(E144),1,(12-MONTH(E144)+1)/12))) + (Q144)*(IF((YEAR(D144)+1)&lt;YEAR(E144),0,IF((YEAR(D144)+1)&gt;YEAR(E144),1,(12-MONTH(E144)+1)/12))))-((P144)*(IF((YEAR(D144)+1)&lt;YEAR(E144),0,IF((YEAR(D144)+1)&gt;YEAR(E144),1,(12-MONTH(E144)+1)/12))) + (R144)*(IF((YEAR(D144)+1)&lt;YEAR(E144),0,IF((YEAR(D144)+1)&gt;YEAR(E144),1,(12-MONTH(E144)+1)/12))))-(IF(OR(N144="",N144&lt;=0),0,(O144/N144)*(IF(OR(N144="",N144&lt;=0),0,IF((YEAR(D144)+1)&lt;YEAR(E144),0,IF((YEAR(D144)+1)&gt;=YEAR(E144)+N144,0,IF((YEAR(D144)+1)=YEAR(E144),(12-MONTH(E144)+1)/12,1))))))))&gt;0,(((K144)*(IF(M144="",L144,IFERROR(IF(INDEX(Variablen!$I:$AT, MATCH(M144, Variablen!$A:$A, 0), MATCH((YEAR(D144)+1), Variablen!$I$3:$AT$3, 0))="",L144,INDEX(Variablen!$I:$AT, MATCH(M144, Variablen!$A:$A, 0), MATCH((YEAR(D144)+1), Variablen!$I$3:$AT$3, 0))),L144)))*(IF((YEAR(D144)+1)&lt;YEAR(E144),0,IF((YEAR(D144)+1)&gt;YEAR(E144),1,(12-MONTH(E144)+1)/12))) + (Q144)*(IF((YEAR(D144)+1)&lt;YEAR(E144),0,IF((YEAR(D144)+1)&gt;YEAR(E144),1,(12-MONTH(E144)+1)/12))))-((P144)*(IF((YEAR(D144)+1)&lt;YEAR(E144),0,IF((YEAR(D144)+1)&gt;YEAR(E144),1,(12-MONTH(E144)+1)/12))) + (R144)*(IF((YEAR(D144)+1)&lt;YEAR(E144),0,IF((YEAR(D144)+1)&gt;YEAR(E144),1,(12-MONTH(E144)+1)/12))))-(IF(OR(N144="",N144&lt;=0),0,(O144/N144)*(IF(OR(N144="",N144&lt;=0),0,IF((YEAR(D144)+1)&lt;YEAR(E144),0,IF((YEAR(D144)+1)&gt;=YEAR(E144)+N144,0,IF((YEAR(D144)+1)=YEAR(E144),(12-MONTH(E144)+1)/12,1))))))))*TaxRate,0))-IF(1=0,O144,0))</f>
        <v/>
      </c>
      <c r="U144" s="29">
        <f>IF(A144="","",((K144)*(IF(M144="",L144,IFERROR(IF(INDEX(Variablen!$I:$AT, MATCH(M144, Variablen!$A:$A, 0), MATCH((YEAR(D144)+2), Variablen!$I$3:$AT$3, 0))="",L144,INDEX(Variablen!$I:$AT, MATCH(M144, Variablen!$A:$A, 0), MATCH((YEAR(D144)+2), Variablen!$I$3:$AT$3, 0))),L144)))*(IF((YEAR(D144)+2)&lt;YEAR(E144),0,IF((YEAR(D144)+2)&gt;YEAR(E144),1,(12-MONTH(E144)+1)/12))) + (Q144)*(IF((YEAR(D144)+2)&lt;YEAR(E144),0,IF((YEAR(D144)+2)&gt;YEAR(E144),1,(12-MONTH(E144)+1)/12))))-((P144)*(IF((YEAR(D144)+2)&lt;YEAR(E144),0,IF((YEAR(D144)+2)&gt;YEAR(E144),1,(12-MONTH(E144)+1)/12))) + (R144)*(IF((YEAR(D144)+2)&lt;YEAR(E144),0,IF((YEAR(D144)+2)&gt;YEAR(E144),1,(12-MONTH(E144)+1)/12))))-(IF((((K144)*(IF(M144="",L144,IFERROR(IF(INDEX(Variablen!$I:$AT, MATCH(M144, Variablen!$A:$A, 0), MATCH((YEAR(D144)+2), Variablen!$I$3:$AT$3, 0))="",L144,INDEX(Variablen!$I:$AT, MATCH(M144, Variablen!$A:$A, 0), MATCH((YEAR(D144)+2), Variablen!$I$3:$AT$3, 0))),L144)))*(IF((YEAR(D144)+2)&lt;YEAR(E144),0,IF((YEAR(D144)+2)&gt;YEAR(E144),1,(12-MONTH(E144)+1)/12))) + (Q144)*(IF((YEAR(D144)+2)&lt;YEAR(E144),0,IF((YEAR(D144)+2)&gt;YEAR(E144),1,(12-MONTH(E144)+1)/12))))-((P144)*(IF((YEAR(D144)+2)&lt;YEAR(E144),0,IF((YEAR(D144)+2)&gt;YEAR(E144),1,(12-MONTH(E144)+1)/12))) + (R144)*(IF((YEAR(D144)+2)&lt;YEAR(E144),0,IF((YEAR(D144)+2)&gt;YEAR(E144),1,(12-MONTH(E144)+1)/12))))-(IF(OR(N144="",N144&lt;=0),0,(O144/N144)*(IF(OR(N144="",N144&lt;=0),0,IF((YEAR(D144)+2)&lt;YEAR(E144),0,IF((YEAR(D144)+2)&gt;=YEAR(E144)+N144,0,IF((YEAR(D144)+2)=YEAR(E144),(12-MONTH(E144)+1)/12,1))))))))&gt;0,(((K144)*(IF(M144="",L144,IFERROR(IF(INDEX(Variablen!$I:$AT, MATCH(M144, Variablen!$A:$A, 0), MATCH((YEAR(D144)+2), Variablen!$I$3:$AT$3, 0))="",L144,INDEX(Variablen!$I:$AT, MATCH(M144, Variablen!$A:$A, 0), MATCH((YEAR(D144)+2), Variablen!$I$3:$AT$3, 0))),L144)))*(IF((YEAR(D144)+2)&lt;YEAR(E144),0,IF((YEAR(D144)+2)&gt;YEAR(E144),1,(12-MONTH(E144)+1)/12))) + (Q144)*(IF((YEAR(D144)+2)&lt;YEAR(E144),0,IF((YEAR(D144)+2)&gt;YEAR(E144),1,(12-MONTH(E144)+1)/12))))-((P144)*(IF((YEAR(D144)+2)&lt;YEAR(E144),0,IF((YEAR(D144)+2)&gt;YEAR(E144),1,(12-MONTH(E144)+1)/12))) + (R144)*(IF((YEAR(D144)+2)&lt;YEAR(E144),0,IF((YEAR(D144)+2)&gt;YEAR(E144),1,(12-MONTH(E144)+1)/12))))-(IF(OR(N144="",N144&lt;=0),0,(O144/N144)*(IF(OR(N144="",N144&lt;=0),0,IF((YEAR(D144)+2)&lt;YEAR(E144),0,IF((YEAR(D144)+2)&gt;=YEAR(E144)+N144,0,IF((YEAR(D144)+2)=YEAR(E144),(12-MONTH(E144)+1)/12,1))))))))*TaxRate,0))-IF(2=0,O144,0))</f>
        <v/>
      </c>
      <c r="V144" s="29">
        <f>IF(A144="","",((K144)*(IF(M144="",L144,IFERROR(IF(INDEX(Variablen!$I:$AT, MATCH(M144, Variablen!$A:$A, 0), MATCH((YEAR(D144)+3), Variablen!$I$3:$AT$3, 0))="",L144,INDEX(Variablen!$I:$AT, MATCH(M144, Variablen!$A:$A, 0), MATCH((YEAR(D144)+3), Variablen!$I$3:$AT$3, 0))),L144)))*(IF((YEAR(D144)+3)&lt;YEAR(E144),0,IF((YEAR(D144)+3)&gt;YEAR(E144),1,(12-MONTH(E144)+1)/12))) + (Q144)*(IF((YEAR(D144)+3)&lt;YEAR(E144),0,IF((YEAR(D144)+3)&gt;YEAR(E144),1,(12-MONTH(E144)+1)/12))))-((P144)*(IF((YEAR(D144)+3)&lt;YEAR(E144),0,IF((YEAR(D144)+3)&gt;YEAR(E144),1,(12-MONTH(E144)+1)/12))) + (R144)*(IF((YEAR(D144)+3)&lt;YEAR(E144),0,IF((YEAR(D144)+3)&gt;YEAR(E144),1,(12-MONTH(E144)+1)/12))))-(IF((((K144)*(IF(M144="",L144,IFERROR(IF(INDEX(Variablen!$I:$AT, MATCH(M144, Variablen!$A:$A, 0), MATCH((YEAR(D144)+3), Variablen!$I$3:$AT$3, 0))="",L144,INDEX(Variablen!$I:$AT, MATCH(M144, Variablen!$A:$A, 0), MATCH((YEAR(D144)+3), Variablen!$I$3:$AT$3, 0))),L144)))*(IF((YEAR(D144)+3)&lt;YEAR(E144),0,IF((YEAR(D144)+3)&gt;YEAR(E144),1,(12-MONTH(E144)+1)/12))) + (Q144)*(IF((YEAR(D144)+3)&lt;YEAR(E144),0,IF((YEAR(D144)+3)&gt;YEAR(E144),1,(12-MONTH(E144)+1)/12))))-((P144)*(IF((YEAR(D144)+3)&lt;YEAR(E144),0,IF((YEAR(D144)+3)&gt;YEAR(E144),1,(12-MONTH(E144)+1)/12))) + (R144)*(IF((YEAR(D144)+3)&lt;YEAR(E144),0,IF((YEAR(D144)+3)&gt;YEAR(E144),1,(12-MONTH(E144)+1)/12))))-(IF(OR(N144="",N144&lt;=0),0,(O144/N144)*(IF(OR(N144="",N144&lt;=0),0,IF((YEAR(D144)+3)&lt;YEAR(E144),0,IF((YEAR(D144)+3)&gt;=YEAR(E144)+N144,0,IF((YEAR(D144)+3)=YEAR(E144),(12-MONTH(E144)+1)/12,1))))))))&gt;0,(((K144)*(IF(M144="",L144,IFERROR(IF(INDEX(Variablen!$I:$AT, MATCH(M144, Variablen!$A:$A, 0), MATCH((YEAR(D144)+3), Variablen!$I$3:$AT$3, 0))="",L144,INDEX(Variablen!$I:$AT, MATCH(M144, Variablen!$A:$A, 0), MATCH((YEAR(D144)+3), Variablen!$I$3:$AT$3, 0))),L144)))*(IF((YEAR(D144)+3)&lt;YEAR(E144),0,IF((YEAR(D144)+3)&gt;YEAR(E144),1,(12-MONTH(E144)+1)/12))) + (Q144)*(IF((YEAR(D144)+3)&lt;YEAR(E144),0,IF((YEAR(D144)+3)&gt;YEAR(E144),1,(12-MONTH(E144)+1)/12))))-((P144)*(IF((YEAR(D144)+3)&lt;YEAR(E144),0,IF((YEAR(D144)+3)&gt;YEAR(E144),1,(12-MONTH(E144)+1)/12))) + (R144)*(IF((YEAR(D144)+3)&lt;YEAR(E144),0,IF((YEAR(D144)+3)&gt;YEAR(E144),1,(12-MONTH(E144)+1)/12))))-(IF(OR(N144="",N144&lt;=0),0,(O144/N144)*(IF(OR(N144="",N144&lt;=0),0,IF((YEAR(D144)+3)&lt;YEAR(E144),0,IF((YEAR(D144)+3)&gt;=YEAR(E144)+N144,0,IF((YEAR(D144)+3)=YEAR(E144),(12-MONTH(E144)+1)/12,1))))))))*TaxRate,0))-IF(3=0,O144,0))</f>
        <v/>
      </c>
      <c r="W144" s="29">
        <f>IF(A144="","",((K144)*(IF(M144="",L144,IFERROR(IF(INDEX(Variablen!$I:$AT, MATCH(M144, Variablen!$A:$A, 0), MATCH((YEAR(D144)+4), Variablen!$I$3:$AT$3, 0))="",L144,INDEX(Variablen!$I:$AT, MATCH(M144, Variablen!$A:$A, 0), MATCH((YEAR(D144)+4), Variablen!$I$3:$AT$3, 0))),L144)))*(IF((YEAR(D144)+4)&lt;YEAR(E144),0,IF((YEAR(D144)+4)&gt;YEAR(E144),1,(12-MONTH(E144)+1)/12))) + (Q144)*(IF((YEAR(D144)+4)&lt;YEAR(E144),0,IF((YEAR(D144)+4)&gt;YEAR(E144),1,(12-MONTH(E144)+1)/12))))-((P144)*(IF((YEAR(D144)+4)&lt;YEAR(E144),0,IF((YEAR(D144)+4)&gt;YEAR(E144),1,(12-MONTH(E144)+1)/12))) + (R144)*(IF((YEAR(D144)+4)&lt;YEAR(E144),0,IF((YEAR(D144)+4)&gt;YEAR(E144),1,(12-MONTH(E144)+1)/12))))-(IF((((K144)*(IF(M144="",L144,IFERROR(IF(INDEX(Variablen!$I:$AT, MATCH(M144, Variablen!$A:$A, 0), MATCH((YEAR(D144)+4), Variablen!$I$3:$AT$3, 0))="",L144,INDEX(Variablen!$I:$AT, MATCH(M144, Variablen!$A:$A, 0), MATCH((YEAR(D144)+4), Variablen!$I$3:$AT$3, 0))),L144)))*(IF((YEAR(D144)+4)&lt;YEAR(E144),0,IF((YEAR(D144)+4)&gt;YEAR(E144),1,(12-MONTH(E144)+1)/12))) + (Q144)*(IF((YEAR(D144)+4)&lt;YEAR(E144),0,IF((YEAR(D144)+4)&gt;YEAR(E144),1,(12-MONTH(E144)+1)/12))))-((P144)*(IF((YEAR(D144)+4)&lt;YEAR(E144),0,IF((YEAR(D144)+4)&gt;YEAR(E144),1,(12-MONTH(E144)+1)/12))) + (R144)*(IF((YEAR(D144)+4)&lt;YEAR(E144),0,IF((YEAR(D144)+4)&gt;YEAR(E144),1,(12-MONTH(E144)+1)/12))))-(IF(OR(N144="",N144&lt;=0),0,(O144/N144)*(IF(OR(N144="",N144&lt;=0),0,IF((YEAR(D144)+4)&lt;YEAR(E144),0,IF((YEAR(D144)+4)&gt;=YEAR(E144)+N144,0,IF((YEAR(D144)+4)=YEAR(E144),(12-MONTH(E144)+1)/12,1))))))))&gt;0,(((K144)*(IF(M144="",L144,IFERROR(IF(INDEX(Variablen!$I:$AT, MATCH(M144, Variablen!$A:$A, 0), MATCH((YEAR(D144)+4), Variablen!$I$3:$AT$3, 0))="",L144,INDEX(Variablen!$I:$AT, MATCH(M144, Variablen!$A:$A, 0), MATCH((YEAR(D144)+4), Variablen!$I$3:$AT$3, 0))),L144)))*(IF((YEAR(D144)+4)&lt;YEAR(E144),0,IF((YEAR(D144)+4)&gt;YEAR(E144),1,(12-MONTH(E144)+1)/12))) + (Q144)*(IF((YEAR(D144)+4)&lt;YEAR(E144),0,IF((YEAR(D144)+4)&gt;YEAR(E144),1,(12-MONTH(E144)+1)/12))))-((P144)*(IF((YEAR(D144)+4)&lt;YEAR(E144),0,IF((YEAR(D144)+4)&gt;YEAR(E144),1,(12-MONTH(E144)+1)/12))) + (R144)*(IF((YEAR(D144)+4)&lt;YEAR(E144),0,IF((YEAR(D144)+4)&gt;YEAR(E144),1,(12-MONTH(E144)+1)/12))))-(IF(OR(N144="",N144&lt;=0),0,(O144/N144)*(IF(OR(N144="",N144&lt;=0),0,IF((YEAR(D144)+4)&lt;YEAR(E144),0,IF((YEAR(D144)+4)&gt;=YEAR(E144)+N144,0,IF((YEAR(D144)+4)=YEAR(E144),(12-MONTH(E144)+1)/12,1))))))))*TaxRate,0))-IF(4=0,O144,0))</f>
        <v/>
      </c>
      <c r="X144" s="29">
        <f>IF(A144="","",((K144)*(IF(M144="",L144,IFERROR(IF(INDEX(Variablen!$I:$AT, MATCH(M144, Variablen!$A:$A, 0), MATCH((YEAR(D144)+5), Variablen!$I$3:$AT$3, 0))="",L144,INDEX(Variablen!$I:$AT, MATCH(M144, Variablen!$A:$A, 0), MATCH((YEAR(D144)+5), Variablen!$I$3:$AT$3, 0))),L144)))*(IF((YEAR(D144)+5)&lt;YEAR(E144),0,IF((YEAR(D144)+5)&gt;YEAR(E144),1,(12-MONTH(E144)+1)/12))) + (Q144)*(IF((YEAR(D144)+5)&lt;YEAR(E144),0,IF((YEAR(D144)+5)&gt;YEAR(E144),1,(12-MONTH(E144)+1)/12))))-((P144)*(IF((YEAR(D144)+5)&lt;YEAR(E144),0,IF((YEAR(D144)+5)&gt;YEAR(E144),1,(12-MONTH(E144)+1)/12))) + (R144)*(IF((YEAR(D144)+5)&lt;YEAR(E144),0,IF((YEAR(D144)+5)&gt;YEAR(E144),1,(12-MONTH(E144)+1)/12))))-(IF((((K144)*(IF(M144="",L144,IFERROR(IF(INDEX(Variablen!$I:$AT, MATCH(M144, Variablen!$A:$A, 0), MATCH((YEAR(D144)+5), Variablen!$I$3:$AT$3, 0))="",L144,INDEX(Variablen!$I:$AT, MATCH(M144, Variablen!$A:$A, 0), MATCH((YEAR(D144)+5), Variablen!$I$3:$AT$3, 0))),L144)))*(IF((YEAR(D144)+5)&lt;YEAR(E144),0,IF((YEAR(D144)+5)&gt;YEAR(E144),1,(12-MONTH(E144)+1)/12))) + (Q144)*(IF((YEAR(D144)+5)&lt;YEAR(E144),0,IF((YEAR(D144)+5)&gt;YEAR(E144),1,(12-MONTH(E144)+1)/12))))-((P144)*(IF((YEAR(D144)+5)&lt;YEAR(E144),0,IF((YEAR(D144)+5)&gt;YEAR(E144),1,(12-MONTH(E144)+1)/12))) + (R144)*(IF((YEAR(D144)+5)&lt;YEAR(E144),0,IF((YEAR(D144)+5)&gt;YEAR(E144),1,(12-MONTH(E144)+1)/12))))-(IF(OR(N144="",N144&lt;=0),0,(O144/N144)*(IF(OR(N144="",N144&lt;=0),0,IF((YEAR(D144)+5)&lt;YEAR(E144),0,IF((YEAR(D144)+5)&gt;=YEAR(E144)+N144,0,IF((YEAR(D144)+5)=YEAR(E144),(12-MONTH(E144)+1)/12,1))))))))&gt;0,(((K144)*(IF(M144="",L144,IFERROR(IF(INDEX(Variablen!$I:$AT, MATCH(M144, Variablen!$A:$A, 0), MATCH((YEAR(D144)+5), Variablen!$I$3:$AT$3, 0))="",L144,INDEX(Variablen!$I:$AT, MATCH(M144, Variablen!$A:$A, 0), MATCH((YEAR(D144)+5), Variablen!$I$3:$AT$3, 0))),L144)))*(IF((YEAR(D144)+5)&lt;YEAR(E144),0,IF((YEAR(D144)+5)&gt;YEAR(E144),1,(12-MONTH(E144)+1)/12))) + (Q144)*(IF((YEAR(D144)+5)&lt;YEAR(E144),0,IF((YEAR(D144)+5)&gt;YEAR(E144),1,(12-MONTH(E144)+1)/12))))-((P144)*(IF((YEAR(D144)+5)&lt;YEAR(E144),0,IF((YEAR(D144)+5)&gt;YEAR(E144),1,(12-MONTH(E144)+1)/12))) + (R144)*(IF((YEAR(D144)+5)&lt;YEAR(E144),0,IF((YEAR(D144)+5)&gt;YEAR(E144),1,(12-MONTH(E144)+1)/12))))-(IF(OR(N144="",N144&lt;=0),0,(O144/N144)*(IF(OR(N144="",N144&lt;=0),0,IF((YEAR(D144)+5)&lt;YEAR(E144),0,IF((YEAR(D144)+5)&gt;=YEAR(E144)+N144,0,IF((YEAR(D144)+5)=YEAR(E144),(12-MONTH(E144)+1)/12,1))))))))*TaxRate,0))-IF(5=0,O144,0))</f>
        <v/>
      </c>
      <c r="Y144" s="29">
        <f>IF(A144="","",((K144)*(IF(M144="",L144,IFERROR(IF(INDEX(Variablen!$I:$AT, MATCH(M144, Variablen!$A:$A, 0), MATCH((YEAR(D144)+6), Variablen!$I$3:$AT$3, 0))="",L144,INDEX(Variablen!$I:$AT, MATCH(M144, Variablen!$A:$A, 0), MATCH((YEAR(D144)+6), Variablen!$I$3:$AT$3, 0))),L144)))*(IF((YEAR(D144)+6)&lt;YEAR(E144),0,IF((YEAR(D144)+6)&gt;YEAR(E144),1,(12-MONTH(E144)+1)/12))) + (Q144)*(IF((YEAR(D144)+6)&lt;YEAR(E144),0,IF((YEAR(D144)+6)&gt;YEAR(E144),1,(12-MONTH(E144)+1)/12))))-((P144)*(IF((YEAR(D144)+6)&lt;YEAR(E144),0,IF((YEAR(D144)+6)&gt;YEAR(E144),1,(12-MONTH(E144)+1)/12))) + (R144)*(IF((YEAR(D144)+6)&lt;YEAR(E144),0,IF((YEAR(D144)+6)&gt;YEAR(E144),1,(12-MONTH(E144)+1)/12))))-(IF((((K144)*(IF(M144="",L144,IFERROR(IF(INDEX(Variablen!$I:$AT, MATCH(M144, Variablen!$A:$A, 0), MATCH((YEAR(D144)+6), Variablen!$I$3:$AT$3, 0))="",L144,INDEX(Variablen!$I:$AT, MATCH(M144, Variablen!$A:$A, 0), MATCH((YEAR(D144)+6), Variablen!$I$3:$AT$3, 0))),L144)))*(IF((YEAR(D144)+6)&lt;YEAR(E144),0,IF((YEAR(D144)+6)&gt;YEAR(E144),1,(12-MONTH(E144)+1)/12))) + (Q144)*(IF((YEAR(D144)+6)&lt;YEAR(E144),0,IF((YEAR(D144)+6)&gt;YEAR(E144),1,(12-MONTH(E144)+1)/12))))-((P144)*(IF((YEAR(D144)+6)&lt;YEAR(E144),0,IF((YEAR(D144)+6)&gt;YEAR(E144),1,(12-MONTH(E144)+1)/12))) + (R144)*(IF((YEAR(D144)+6)&lt;YEAR(E144),0,IF((YEAR(D144)+6)&gt;YEAR(E144),1,(12-MONTH(E144)+1)/12))))-(IF(OR(N144="",N144&lt;=0),0,(O144/N144)*(IF(OR(N144="",N144&lt;=0),0,IF((YEAR(D144)+6)&lt;YEAR(E144),0,IF((YEAR(D144)+6)&gt;=YEAR(E144)+N144,0,IF((YEAR(D144)+6)=YEAR(E144),(12-MONTH(E144)+1)/12,1))))))))&gt;0,(((K144)*(IF(M144="",L144,IFERROR(IF(INDEX(Variablen!$I:$AT, MATCH(M144, Variablen!$A:$A, 0), MATCH((YEAR(D144)+6), Variablen!$I$3:$AT$3, 0))="",L144,INDEX(Variablen!$I:$AT, MATCH(M144, Variablen!$A:$A, 0), MATCH((YEAR(D144)+6), Variablen!$I$3:$AT$3, 0))),L144)))*(IF((YEAR(D144)+6)&lt;YEAR(E144),0,IF((YEAR(D144)+6)&gt;YEAR(E144),1,(12-MONTH(E144)+1)/12))) + (Q144)*(IF((YEAR(D144)+6)&lt;YEAR(E144),0,IF((YEAR(D144)+6)&gt;YEAR(E144),1,(12-MONTH(E144)+1)/12))))-((P144)*(IF((YEAR(D144)+6)&lt;YEAR(E144),0,IF((YEAR(D144)+6)&gt;YEAR(E144),1,(12-MONTH(E144)+1)/12))) + (R144)*(IF((YEAR(D144)+6)&lt;YEAR(E144),0,IF((YEAR(D144)+6)&gt;YEAR(E144),1,(12-MONTH(E144)+1)/12))))-(IF(OR(N144="",N144&lt;=0),0,(O144/N144)*(IF(OR(N144="",N144&lt;=0),0,IF((YEAR(D144)+6)&lt;YEAR(E144),0,IF((YEAR(D144)+6)&gt;=YEAR(E144)+N144,0,IF((YEAR(D144)+6)=YEAR(E144),(12-MONTH(E144)+1)/12,1))))))))*TaxRate,0))-IF(6=0,O144,0))</f>
        <v/>
      </c>
      <c r="Z144" s="29">
        <f>IF(A144="","",((K144)*(IF(M144="",L144,IFERROR(IF(INDEX(Variablen!$I:$AT, MATCH(M144, Variablen!$A:$A, 0), MATCH((YEAR(D144)+7), Variablen!$I$3:$AT$3, 0))="",L144,INDEX(Variablen!$I:$AT, MATCH(M144, Variablen!$A:$A, 0), MATCH((YEAR(D144)+7), Variablen!$I$3:$AT$3, 0))),L144)))*(IF((YEAR(D144)+7)&lt;YEAR(E144),0,IF((YEAR(D144)+7)&gt;YEAR(E144),1,(12-MONTH(E144)+1)/12))) + (Q144)*(IF((YEAR(D144)+7)&lt;YEAR(E144),0,IF((YEAR(D144)+7)&gt;YEAR(E144),1,(12-MONTH(E144)+1)/12))))-((P144)*(IF((YEAR(D144)+7)&lt;YEAR(E144),0,IF((YEAR(D144)+7)&gt;YEAR(E144),1,(12-MONTH(E144)+1)/12))) + (R144)*(IF((YEAR(D144)+7)&lt;YEAR(E144),0,IF((YEAR(D144)+7)&gt;YEAR(E144),1,(12-MONTH(E144)+1)/12))))-(IF((((K144)*(IF(M144="",L144,IFERROR(IF(INDEX(Variablen!$I:$AT, MATCH(M144, Variablen!$A:$A, 0), MATCH((YEAR(D144)+7), Variablen!$I$3:$AT$3, 0))="",L144,INDEX(Variablen!$I:$AT, MATCH(M144, Variablen!$A:$A, 0), MATCH((YEAR(D144)+7), Variablen!$I$3:$AT$3, 0))),L144)))*(IF((YEAR(D144)+7)&lt;YEAR(E144),0,IF((YEAR(D144)+7)&gt;YEAR(E144),1,(12-MONTH(E144)+1)/12))) + (Q144)*(IF((YEAR(D144)+7)&lt;YEAR(E144),0,IF((YEAR(D144)+7)&gt;YEAR(E144),1,(12-MONTH(E144)+1)/12))))-((P144)*(IF((YEAR(D144)+7)&lt;YEAR(E144),0,IF((YEAR(D144)+7)&gt;YEAR(E144),1,(12-MONTH(E144)+1)/12))) + (R144)*(IF((YEAR(D144)+7)&lt;YEAR(E144),0,IF((YEAR(D144)+7)&gt;YEAR(E144),1,(12-MONTH(E144)+1)/12))))-(IF(OR(N144="",N144&lt;=0),0,(O144/N144)*(IF(OR(N144="",N144&lt;=0),0,IF((YEAR(D144)+7)&lt;YEAR(E144),0,IF((YEAR(D144)+7)&gt;=YEAR(E144)+N144,0,IF((YEAR(D144)+7)=YEAR(E144),(12-MONTH(E144)+1)/12,1))))))))&gt;0,(((K144)*(IF(M144="",L144,IFERROR(IF(INDEX(Variablen!$I:$AT, MATCH(M144, Variablen!$A:$A, 0), MATCH((YEAR(D144)+7), Variablen!$I$3:$AT$3, 0))="",L144,INDEX(Variablen!$I:$AT, MATCH(M144, Variablen!$A:$A, 0), MATCH((YEAR(D144)+7), Variablen!$I$3:$AT$3, 0))),L144)))*(IF((YEAR(D144)+7)&lt;YEAR(E144),0,IF((YEAR(D144)+7)&gt;YEAR(E144),1,(12-MONTH(E144)+1)/12))) + (Q144)*(IF((YEAR(D144)+7)&lt;YEAR(E144),0,IF((YEAR(D144)+7)&gt;YEAR(E144),1,(12-MONTH(E144)+1)/12))))-((P144)*(IF((YEAR(D144)+7)&lt;YEAR(E144),0,IF((YEAR(D144)+7)&gt;YEAR(E144),1,(12-MONTH(E144)+1)/12))) + (R144)*(IF((YEAR(D144)+7)&lt;YEAR(E144),0,IF((YEAR(D144)+7)&gt;YEAR(E144),1,(12-MONTH(E144)+1)/12))))-(IF(OR(N144="",N144&lt;=0),0,(O144/N144)*(IF(OR(N144="",N144&lt;=0),0,IF((YEAR(D144)+7)&lt;YEAR(E144),0,IF((YEAR(D144)+7)&gt;=YEAR(E144)+N144,0,IF((YEAR(D144)+7)=YEAR(E144),(12-MONTH(E144)+1)/12,1))))))))*TaxRate,0))-IF(7=0,O144,0))</f>
        <v/>
      </c>
      <c r="AA144" s="29">
        <f>IF(A144="","",((K144)*(IF(M144="",L144,IFERROR(IF(INDEX(Variablen!$I:$AT, MATCH(M144, Variablen!$A:$A, 0), MATCH((YEAR(D144)+8), Variablen!$I$3:$AT$3, 0))="",L144,INDEX(Variablen!$I:$AT, MATCH(M144, Variablen!$A:$A, 0), MATCH((YEAR(D144)+8), Variablen!$I$3:$AT$3, 0))),L144)))*(IF((YEAR(D144)+8)&lt;YEAR(E144),0,IF((YEAR(D144)+8)&gt;YEAR(E144),1,(12-MONTH(E144)+1)/12))) + (Q144)*(IF((YEAR(D144)+8)&lt;YEAR(E144),0,IF((YEAR(D144)+8)&gt;YEAR(E144),1,(12-MONTH(E144)+1)/12))))-((P144)*(IF((YEAR(D144)+8)&lt;YEAR(E144),0,IF((YEAR(D144)+8)&gt;YEAR(E144),1,(12-MONTH(E144)+1)/12))) + (R144)*(IF((YEAR(D144)+8)&lt;YEAR(E144),0,IF((YEAR(D144)+8)&gt;YEAR(E144),1,(12-MONTH(E144)+1)/12))))-(IF((((K144)*(IF(M144="",L144,IFERROR(IF(INDEX(Variablen!$I:$AT, MATCH(M144, Variablen!$A:$A, 0), MATCH((YEAR(D144)+8), Variablen!$I$3:$AT$3, 0))="",L144,INDEX(Variablen!$I:$AT, MATCH(M144, Variablen!$A:$A, 0), MATCH((YEAR(D144)+8), Variablen!$I$3:$AT$3, 0))),L144)))*(IF((YEAR(D144)+8)&lt;YEAR(E144),0,IF((YEAR(D144)+8)&gt;YEAR(E144),1,(12-MONTH(E144)+1)/12))) + (Q144)*(IF((YEAR(D144)+8)&lt;YEAR(E144),0,IF((YEAR(D144)+8)&gt;YEAR(E144),1,(12-MONTH(E144)+1)/12))))-((P144)*(IF((YEAR(D144)+8)&lt;YEAR(E144),0,IF((YEAR(D144)+8)&gt;YEAR(E144),1,(12-MONTH(E144)+1)/12))) + (R144)*(IF((YEAR(D144)+8)&lt;YEAR(E144),0,IF((YEAR(D144)+8)&gt;YEAR(E144),1,(12-MONTH(E144)+1)/12))))-(IF(OR(N144="",N144&lt;=0),0,(O144/N144)*(IF(OR(N144="",N144&lt;=0),0,IF((YEAR(D144)+8)&lt;YEAR(E144),0,IF((YEAR(D144)+8)&gt;=YEAR(E144)+N144,0,IF((YEAR(D144)+8)=YEAR(E144),(12-MONTH(E144)+1)/12,1))))))))&gt;0,(((K144)*(IF(M144="",L144,IFERROR(IF(INDEX(Variablen!$I:$AT, MATCH(M144, Variablen!$A:$A, 0), MATCH((YEAR(D144)+8), Variablen!$I$3:$AT$3, 0))="",L144,INDEX(Variablen!$I:$AT, MATCH(M144, Variablen!$A:$A, 0), MATCH((YEAR(D144)+8), Variablen!$I$3:$AT$3, 0))),L144)))*(IF((YEAR(D144)+8)&lt;YEAR(E144),0,IF((YEAR(D144)+8)&gt;YEAR(E144),1,(12-MONTH(E144)+1)/12))) + (Q144)*(IF((YEAR(D144)+8)&lt;YEAR(E144),0,IF((YEAR(D144)+8)&gt;YEAR(E144),1,(12-MONTH(E144)+1)/12))))-((P144)*(IF((YEAR(D144)+8)&lt;YEAR(E144),0,IF((YEAR(D144)+8)&gt;YEAR(E144),1,(12-MONTH(E144)+1)/12))) + (R144)*(IF((YEAR(D144)+8)&lt;YEAR(E144),0,IF((YEAR(D144)+8)&gt;YEAR(E144),1,(12-MONTH(E144)+1)/12))))-(IF(OR(N144="",N144&lt;=0),0,(O144/N144)*(IF(OR(N144="",N144&lt;=0),0,IF((YEAR(D144)+8)&lt;YEAR(E144),0,IF((YEAR(D144)+8)&gt;=YEAR(E144)+N144,0,IF((YEAR(D144)+8)=YEAR(E144),(12-MONTH(E144)+1)/12,1))))))))*TaxRate,0))-IF(8=0,O144,0))</f>
        <v/>
      </c>
      <c r="AB144" s="29">
        <f>IF(A144="","",((K144)*(IF(M144="",L144,IFERROR(IF(INDEX(Variablen!$I:$AT, MATCH(M144, Variablen!$A:$A, 0), MATCH((YEAR(D144)+9), Variablen!$I$3:$AT$3, 0))="",L144,INDEX(Variablen!$I:$AT, MATCH(M144, Variablen!$A:$A, 0), MATCH((YEAR(D144)+9), Variablen!$I$3:$AT$3, 0))),L144)))*(IF((YEAR(D144)+9)&lt;YEAR(E144),0,IF((YEAR(D144)+9)&gt;YEAR(E144),1,(12-MONTH(E144)+1)/12))) + (Q144)*(IF((YEAR(D144)+9)&lt;YEAR(E144),0,IF((YEAR(D144)+9)&gt;YEAR(E144),1,(12-MONTH(E144)+1)/12))))-((P144)*(IF((YEAR(D144)+9)&lt;YEAR(E144),0,IF((YEAR(D144)+9)&gt;YEAR(E144),1,(12-MONTH(E144)+1)/12))) + (R144)*(IF((YEAR(D144)+9)&lt;YEAR(E144),0,IF((YEAR(D144)+9)&gt;YEAR(E144),1,(12-MONTH(E144)+1)/12))))-(IF((((K144)*(IF(M144="",L144,IFERROR(IF(INDEX(Variablen!$I:$AT, MATCH(M144, Variablen!$A:$A, 0), MATCH((YEAR(D144)+9), Variablen!$I$3:$AT$3, 0))="",L144,INDEX(Variablen!$I:$AT, MATCH(M144, Variablen!$A:$A, 0), MATCH((YEAR(D144)+9), Variablen!$I$3:$AT$3, 0))),L144)))*(IF((YEAR(D144)+9)&lt;YEAR(E144),0,IF((YEAR(D144)+9)&gt;YEAR(E144),1,(12-MONTH(E144)+1)/12))) + (Q144)*(IF((YEAR(D144)+9)&lt;YEAR(E144),0,IF((YEAR(D144)+9)&gt;YEAR(E144),1,(12-MONTH(E144)+1)/12))))-((P144)*(IF((YEAR(D144)+9)&lt;YEAR(E144),0,IF((YEAR(D144)+9)&gt;YEAR(E144),1,(12-MONTH(E144)+1)/12))) + (R144)*(IF((YEAR(D144)+9)&lt;YEAR(E144),0,IF((YEAR(D144)+9)&gt;YEAR(E144),1,(12-MONTH(E144)+1)/12))))-(IF(OR(N144="",N144&lt;=0),0,(O144/N144)*(IF(OR(N144="",N144&lt;=0),0,IF((YEAR(D144)+9)&lt;YEAR(E144),0,IF((YEAR(D144)+9)&gt;=YEAR(E144)+N144,0,IF((YEAR(D144)+9)=YEAR(E144),(12-MONTH(E144)+1)/12,1))))))))&gt;0,(((K144)*(IF(M144="",L144,IFERROR(IF(INDEX(Variablen!$I:$AT, MATCH(M144, Variablen!$A:$A, 0), MATCH((YEAR(D144)+9), Variablen!$I$3:$AT$3, 0))="",L144,INDEX(Variablen!$I:$AT, MATCH(M144, Variablen!$A:$A, 0), MATCH((YEAR(D144)+9), Variablen!$I$3:$AT$3, 0))),L144)))*(IF((YEAR(D144)+9)&lt;YEAR(E144),0,IF((YEAR(D144)+9)&gt;YEAR(E144),1,(12-MONTH(E144)+1)/12))) + (Q144)*(IF((YEAR(D144)+9)&lt;YEAR(E144),0,IF((YEAR(D144)+9)&gt;YEAR(E144),1,(12-MONTH(E144)+1)/12))))-((P144)*(IF((YEAR(D144)+9)&lt;YEAR(E144),0,IF((YEAR(D144)+9)&gt;YEAR(E144),1,(12-MONTH(E144)+1)/12))) + (R144)*(IF((YEAR(D144)+9)&lt;YEAR(E144),0,IF((YEAR(D144)+9)&gt;YEAR(E144),1,(12-MONTH(E144)+1)/12))))-(IF(OR(N144="",N144&lt;=0),0,(O144/N144)*(IF(OR(N144="",N144&lt;=0),0,IF((YEAR(D144)+9)&lt;YEAR(E144),0,IF((YEAR(D144)+9)&gt;=YEAR(E144)+N144,0,IF((YEAR(D144)+9)=YEAR(E144),(12-MONTH(E144)+1)/12,1))))))))*TaxRate,0))-IF(9=0,O144,0))</f>
        <v/>
      </c>
      <c r="AC144" s="29">
        <f>IF(A144="","",((K144)*(IF(M144="",L144,IFERROR(IF(INDEX(Variablen!$I:$AT, MATCH(M144, Variablen!$A:$A, 0), MATCH((YEAR(D144)+10), Variablen!$I$3:$AT$3, 0))="",L144,INDEX(Variablen!$I:$AT, MATCH(M144, Variablen!$A:$A, 0), MATCH((YEAR(D144)+10), Variablen!$I$3:$AT$3, 0))),L144)))*(IF((YEAR(D144)+10)&lt;YEAR(E144),0,IF((YEAR(D144)+10)&gt;YEAR(E144),1,(12-MONTH(E144)+1)/12))) + (Q144)*(IF((YEAR(D144)+10)&lt;YEAR(E144),0,IF((YEAR(D144)+10)&gt;YEAR(E144),1,(12-MONTH(E144)+1)/12))))-((P144)*(IF((YEAR(D144)+10)&lt;YEAR(E144),0,IF((YEAR(D144)+10)&gt;YEAR(E144),1,(12-MONTH(E144)+1)/12))) + (R144)*(IF((YEAR(D144)+10)&lt;YEAR(E144),0,IF((YEAR(D144)+10)&gt;YEAR(E144),1,(12-MONTH(E144)+1)/12))))-(IF((((K144)*(IF(M144="",L144,IFERROR(IF(INDEX(Variablen!$I:$AT, MATCH(M144, Variablen!$A:$A, 0), MATCH((YEAR(D144)+10), Variablen!$I$3:$AT$3, 0))="",L144,INDEX(Variablen!$I:$AT, MATCH(M144, Variablen!$A:$A, 0), MATCH((YEAR(D144)+10), Variablen!$I$3:$AT$3, 0))),L144)))*(IF((YEAR(D144)+10)&lt;YEAR(E144),0,IF((YEAR(D144)+10)&gt;YEAR(E144),1,(12-MONTH(E144)+1)/12))) + (Q144)*(IF((YEAR(D144)+10)&lt;YEAR(E144),0,IF((YEAR(D144)+10)&gt;YEAR(E144),1,(12-MONTH(E144)+1)/12))))-((P144)*(IF((YEAR(D144)+10)&lt;YEAR(E144),0,IF((YEAR(D144)+10)&gt;YEAR(E144),1,(12-MONTH(E144)+1)/12))) + (R144)*(IF((YEAR(D144)+10)&lt;YEAR(E144),0,IF((YEAR(D144)+10)&gt;YEAR(E144),1,(12-MONTH(E144)+1)/12))))-(IF(OR(N144="",N144&lt;=0),0,(O144/N144)*(IF(OR(N144="",N144&lt;=0),0,IF((YEAR(D144)+10)&lt;YEAR(E144),0,IF((YEAR(D144)+10)&gt;=YEAR(E144)+N144,0,IF((YEAR(D144)+10)=YEAR(E144),(12-MONTH(E144)+1)/12,1))))))))&gt;0,(((K144)*(IF(M144="",L144,IFERROR(IF(INDEX(Variablen!$I:$AT, MATCH(M144, Variablen!$A:$A, 0), MATCH((YEAR(D144)+10), Variablen!$I$3:$AT$3, 0))="",L144,INDEX(Variablen!$I:$AT, MATCH(M144, Variablen!$A:$A, 0), MATCH((YEAR(D144)+10), Variablen!$I$3:$AT$3, 0))),L144)))*(IF((YEAR(D144)+10)&lt;YEAR(E144),0,IF((YEAR(D144)+10)&gt;YEAR(E144),1,(12-MONTH(E144)+1)/12))) + (Q144)*(IF((YEAR(D144)+10)&lt;YEAR(E144),0,IF((YEAR(D144)+10)&gt;YEAR(E144),1,(12-MONTH(E144)+1)/12))))-((P144)*(IF((YEAR(D144)+10)&lt;YEAR(E144),0,IF((YEAR(D144)+10)&gt;YEAR(E144),1,(12-MONTH(E144)+1)/12))) + (R144)*(IF((YEAR(D144)+10)&lt;YEAR(E144),0,IF((YEAR(D144)+10)&gt;YEAR(E144),1,(12-MONTH(E144)+1)/12))))-(IF(OR(N144="",N144&lt;=0),0,(O144/N144)*(IF(OR(N144="",N144&lt;=0),0,IF((YEAR(D144)+10)&lt;YEAR(E144),0,IF((YEAR(D144)+10)&gt;=YEAR(E144)+N144,0,IF((YEAR(D144)+10)=YEAR(E144),(12-MONTH(E144)+1)/12,1))))))))*TaxRate,0))-IF(10=0,O144,0))</f>
        <v/>
      </c>
      <c r="AD144" s="29">
        <f>IF(A144="","",((K144)*(IF(M144="",L144,IFERROR(IF(INDEX(Variablen!$I:$AT, MATCH(M144, Variablen!$A:$A, 0), MATCH((YEAR(D144)+11), Variablen!$I$3:$AT$3, 0))="",L144,INDEX(Variablen!$I:$AT, MATCH(M144, Variablen!$A:$A, 0), MATCH((YEAR(D144)+11), Variablen!$I$3:$AT$3, 0))),L144)))*(IF((YEAR(D144)+11)&lt;YEAR(E144),0,IF((YEAR(D144)+11)&gt;YEAR(E144),1,(12-MONTH(E144)+1)/12))) + (Q144)*(IF((YEAR(D144)+11)&lt;YEAR(E144),0,IF((YEAR(D144)+11)&gt;YEAR(E144),1,(12-MONTH(E144)+1)/12))))-((P144)*(IF((YEAR(D144)+11)&lt;YEAR(E144),0,IF((YEAR(D144)+11)&gt;YEAR(E144),1,(12-MONTH(E144)+1)/12))) + (R144)*(IF((YEAR(D144)+11)&lt;YEAR(E144),0,IF((YEAR(D144)+11)&gt;YEAR(E144),1,(12-MONTH(E144)+1)/12))))-(IF((((K144)*(IF(M144="",L144,IFERROR(IF(INDEX(Variablen!$I:$AT, MATCH(M144, Variablen!$A:$A, 0), MATCH((YEAR(D144)+11), Variablen!$I$3:$AT$3, 0))="",L144,INDEX(Variablen!$I:$AT, MATCH(M144, Variablen!$A:$A, 0), MATCH((YEAR(D144)+11), Variablen!$I$3:$AT$3, 0))),L144)))*(IF((YEAR(D144)+11)&lt;YEAR(E144),0,IF((YEAR(D144)+11)&gt;YEAR(E144),1,(12-MONTH(E144)+1)/12))) + (Q144)*(IF((YEAR(D144)+11)&lt;YEAR(E144),0,IF((YEAR(D144)+11)&gt;YEAR(E144),1,(12-MONTH(E144)+1)/12))))-((P144)*(IF((YEAR(D144)+11)&lt;YEAR(E144),0,IF((YEAR(D144)+11)&gt;YEAR(E144),1,(12-MONTH(E144)+1)/12))) + (R144)*(IF((YEAR(D144)+11)&lt;YEAR(E144),0,IF((YEAR(D144)+11)&gt;YEAR(E144),1,(12-MONTH(E144)+1)/12))))-(IF(OR(N144="",N144&lt;=0),0,(O144/N144)*(IF(OR(N144="",N144&lt;=0),0,IF((YEAR(D144)+11)&lt;YEAR(E144),0,IF((YEAR(D144)+11)&gt;=YEAR(E144)+N144,0,IF((YEAR(D144)+11)=YEAR(E144),(12-MONTH(E144)+1)/12,1))))))))&gt;0,(((K144)*(IF(M144="",L144,IFERROR(IF(INDEX(Variablen!$I:$AT, MATCH(M144, Variablen!$A:$A, 0), MATCH((YEAR(D144)+11), Variablen!$I$3:$AT$3, 0))="",L144,INDEX(Variablen!$I:$AT, MATCH(M144, Variablen!$A:$A, 0), MATCH((YEAR(D144)+11), Variablen!$I$3:$AT$3, 0))),L144)))*(IF((YEAR(D144)+11)&lt;YEAR(E144),0,IF((YEAR(D144)+11)&gt;YEAR(E144),1,(12-MONTH(E144)+1)/12))) + (Q144)*(IF((YEAR(D144)+11)&lt;YEAR(E144),0,IF((YEAR(D144)+11)&gt;YEAR(E144),1,(12-MONTH(E144)+1)/12))))-((P144)*(IF((YEAR(D144)+11)&lt;YEAR(E144),0,IF((YEAR(D144)+11)&gt;YEAR(E144),1,(12-MONTH(E144)+1)/12))) + (R144)*(IF((YEAR(D144)+11)&lt;YEAR(E144),0,IF((YEAR(D144)+11)&gt;YEAR(E144),1,(12-MONTH(E144)+1)/12))))-(IF(OR(N144="",N144&lt;=0),0,(O144/N144)*(IF(OR(N144="",N144&lt;=0),0,IF((YEAR(D144)+11)&lt;YEAR(E144),0,IF((YEAR(D144)+11)&gt;=YEAR(E144)+N144,0,IF((YEAR(D144)+11)=YEAR(E144),(12-MONTH(E144)+1)/12,1))))))))*TaxRate,0))-IF(11=0,O144,0))</f>
        <v/>
      </c>
      <c r="AE144" s="29">
        <f>IF(A144="","",((K144)*(IF(M144="",L144,IFERROR(IF(INDEX(Variablen!$I:$AT, MATCH(M144, Variablen!$A:$A, 0), MATCH((YEAR(D144)+12), Variablen!$I$3:$AT$3, 0))="",L144,INDEX(Variablen!$I:$AT, MATCH(M144, Variablen!$A:$A, 0), MATCH((YEAR(D144)+12), Variablen!$I$3:$AT$3, 0))),L144)))*(IF((YEAR(D144)+12)&lt;YEAR(E144),0,IF((YEAR(D144)+12)&gt;YEAR(E144),1,(12-MONTH(E144)+1)/12))) + (Q144)*(IF((YEAR(D144)+12)&lt;YEAR(E144),0,IF((YEAR(D144)+12)&gt;YEAR(E144),1,(12-MONTH(E144)+1)/12))))-((P144)*(IF((YEAR(D144)+12)&lt;YEAR(E144),0,IF((YEAR(D144)+12)&gt;YEAR(E144),1,(12-MONTH(E144)+1)/12))) + (R144)*(IF((YEAR(D144)+12)&lt;YEAR(E144),0,IF((YEAR(D144)+12)&gt;YEAR(E144),1,(12-MONTH(E144)+1)/12))))-(IF((((K144)*(IF(M144="",L144,IFERROR(IF(INDEX(Variablen!$I:$AT, MATCH(M144, Variablen!$A:$A, 0), MATCH((YEAR(D144)+12), Variablen!$I$3:$AT$3, 0))="",L144,INDEX(Variablen!$I:$AT, MATCH(M144, Variablen!$A:$A, 0), MATCH((YEAR(D144)+12), Variablen!$I$3:$AT$3, 0))),L144)))*(IF((YEAR(D144)+12)&lt;YEAR(E144),0,IF((YEAR(D144)+12)&gt;YEAR(E144),1,(12-MONTH(E144)+1)/12))) + (Q144)*(IF((YEAR(D144)+12)&lt;YEAR(E144),0,IF((YEAR(D144)+12)&gt;YEAR(E144),1,(12-MONTH(E144)+1)/12))))-((P144)*(IF((YEAR(D144)+12)&lt;YEAR(E144),0,IF((YEAR(D144)+12)&gt;YEAR(E144),1,(12-MONTH(E144)+1)/12))) + (R144)*(IF((YEAR(D144)+12)&lt;YEAR(E144),0,IF((YEAR(D144)+12)&gt;YEAR(E144),1,(12-MONTH(E144)+1)/12))))-(IF(OR(N144="",N144&lt;=0),0,(O144/N144)*(IF(OR(N144="",N144&lt;=0),0,IF((YEAR(D144)+12)&lt;YEAR(E144),0,IF((YEAR(D144)+12)&gt;=YEAR(E144)+N144,0,IF((YEAR(D144)+12)=YEAR(E144),(12-MONTH(E144)+1)/12,1))))))))&gt;0,(((K144)*(IF(M144="",L144,IFERROR(IF(INDEX(Variablen!$I:$AT, MATCH(M144, Variablen!$A:$A, 0), MATCH((YEAR(D144)+12), Variablen!$I$3:$AT$3, 0))="",L144,INDEX(Variablen!$I:$AT, MATCH(M144, Variablen!$A:$A, 0), MATCH((YEAR(D144)+12), Variablen!$I$3:$AT$3, 0))),L144)))*(IF((YEAR(D144)+12)&lt;YEAR(E144),0,IF((YEAR(D144)+12)&gt;YEAR(E144),1,(12-MONTH(E144)+1)/12))) + (Q144)*(IF((YEAR(D144)+12)&lt;YEAR(E144),0,IF((YEAR(D144)+12)&gt;YEAR(E144),1,(12-MONTH(E144)+1)/12))))-((P144)*(IF((YEAR(D144)+12)&lt;YEAR(E144),0,IF((YEAR(D144)+12)&gt;YEAR(E144),1,(12-MONTH(E144)+1)/12))) + (R144)*(IF((YEAR(D144)+12)&lt;YEAR(E144),0,IF((YEAR(D144)+12)&gt;YEAR(E144),1,(12-MONTH(E144)+1)/12))))-(IF(OR(N144="",N144&lt;=0),0,(O144/N144)*(IF(OR(N144="",N144&lt;=0),0,IF((YEAR(D144)+12)&lt;YEAR(E144),0,IF((YEAR(D144)+12)&gt;=YEAR(E144)+N144,0,IF((YEAR(D144)+12)=YEAR(E144),(12-MONTH(E144)+1)/12,1))))))))*TaxRate,0))-IF(12=0,O144,0))</f>
        <v/>
      </c>
      <c r="AF144" s="29">
        <f>IF(A144="","",((K144)*(IF(M144="",L144,IFERROR(IF(INDEX(Variablen!$I:$AT, MATCH(M144, Variablen!$A:$A, 0), MATCH((YEAR(D144)+13), Variablen!$I$3:$AT$3, 0))="",L144,INDEX(Variablen!$I:$AT, MATCH(M144, Variablen!$A:$A, 0), MATCH((YEAR(D144)+13), Variablen!$I$3:$AT$3, 0))),L144)))*(IF((YEAR(D144)+13)&lt;YEAR(E144),0,IF((YEAR(D144)+13)&gt;YEAR(E144),1,(12-MONTH(E144)+1)/12))) + (Q144)*(IF((YEAR(D144)+13)&lt;YEAR(E144),0,IF((YEAR(D144)+13)&gt;YEAR(E144),1,(12-MONTH(E144)+1)/12))))-((P144)*(IF((YEAR(D144)+13)&lt;YEAR(E144),0,IF((YEAR(D144)+13)&gt;YEAR(E144),1,(12-MONTH(E144)+1)/12))) + (R144)*(IF((YEAR(D144)+13)&lt;YEAR(E144),0,IF((YEAR(D144)+13)&gt;YEAR(E144),1,(12-MONTH(E144)+1)/12))))-(IF((((K144)*(IF(M144="",L144,IFERROR(IF(INDEX(Variablen!$I:$AT, MATCH(M144, Variablen!$A:$A, 0), MATCH((YEAR(D144)+13), Variablen!$I$3:$AT$3, 0))="",L144,INDEX(Variablen!$I:$AT, MATCH(M144, Variablen!$A:$A, 0), MATCH((YEAR(D144)+13), Variablen!$I$3:$AT$3, 0))),L144)))*(IF((YEAR(D144)+13)&lt;YEAR(E144),0,IF((YEAR(D144)+13)&gt;YEAR(E144),1,(12-MONTH(E144)+1)/12))) + (Q144)*(IF((YEAR(D144)+13)&lt;YEAR(E144),0,IF((YEAR(D144)+13)&gt;YEAR(E144),1,(12-MONTH(E144)+1)/12))))-((P144)*(IF((YEAR(D144)+13)&lt;YEAR(E144),0,IF((YEAR(D144)+13)&gt;YEAR(E144),1,(12-MONTH(E144)+1)/12))) + (R144)*(IF((YEAR(D144)+13)&lt;YEAR(E144),0,IF((YEAR(D144)+13)&gt;YEAR(E144),1,(12-MONTH(E144)+1)/12))))-(IF(OR(N144="",N144&lt;=0),0,(O144/N144)*(IF(OR(N144="",N144&lt;=0),0,IF((YEAR(D144)+13)&lt;YEAR(E144),0,IF((YEAR(D144)+13)&gt;=YEAR(E144)+N144,0,IF((YEAR(D144)+13)=YEAR(E144),(12-MONTH(E144)+1)/12,1))))))))&gt;0,(((K144)*(IF(M144="",L144,IFERROR(IF(INDEX(Variablen!$I:$AT, MATCH(M144, Variablen!$A:$A, 0), MATCH((YEAR(D144)+13), Variablen!$I$3:$AT$3, 0))="",L144,INDEX(Variablen!$I:$AT, MATCH(M144, Variablen!$A:$A, 0), MATCH((YEAR(D144)+13), Variablen!$I$3:$AT$3, 0))),L144)))*(IF((YEAR(D144)+13)&lt;YEAR(E144),0,IF((YEAR(D144)+13)&gt;YEAR(E144),1,(12-MONTH(E144)+1)/12))) + (Q144)*(IF((YEAR(D144)+13)&lt;YEAR(E144),0,IF((YEAR(D144)+13)&gt;YEAR(E144),1,(12-MONTH(E144)+1)/12))))-((P144)*(IF((YEAR(D144)+13)&lt;YEAR(E144),0,IF((YEAR(D144)+13)&gt;YEAR(E144),1,(12-MONTH(E144)+1)/12))) + (R144)*(IF((YEAR(D144)+13)&lt;YEAR(E144),0,IF((YEAR(D144)+13)&gt;YEAR(E144),1,(12-MONTH(E144)+1)/12))))-(IF(OR(N144="",N144&lt;=0),0,(O144/N144)*(IF(OR(N144="",N144&lt;=0),0,IF((YEAR(D144)+13)&lt;YEAR(E144),0,IF((YEAR(D144)+13)&gt;=YEAR(E144)+N144,0,IF((YEAR(D144)+13)=YEAR(E144),(12-MONTH(E144)+1)/12,1))))))))*TaxRate,0))-IF(13=0,O144,0))</f>
        <v/>
      </c>
      <c r="AG144" s="29">
        <f>IF(A144="","",((K144)*(IF(M144="",L144,IFERROR(IF(INDEX(Variablen!$I:$AT, MATCH(M144, Variablen!$A:$A, 0), MATCH((YEAR(D144)+14), Variablen!$I$3:$AT$3, 0))="",L144,INDEX(Variablen!$I:$AT, MATCH(M144, Variablen!$A:$A, 0), MATCH((YEAR(D144)+14), Variablen!$I$3:$AT$3, 0))),L144)))*(IF((YEAR(D144)+14)&lt;YEAR(E144),0,IF((YEAR(D144)+14)&gt;YEAR(E144),1,(12-MONTH(E144)+1)/12))) + (Q144)*(IF((YEAR(D144)+14)&lt;YEAR(E144),0,IF((YEAR(D144)+14)&gt;YEAR(E144),1,(12-MONTH(E144)+1)/12))))-((P144)*(IF((YEAR(D144)+14)&lt;YEAR(E144),0,IF((YEAR(D144)+14)&gt;YEAR(E144),1,(12-MONTH(E144)+1)/12))) + (R144)*(IF((YEAR(D144)+14)&lt;YEAR(E144),0,IF((YEAR(D144)+14)&gt;YEAR(E144),1,(12-MONTH(E144)+1)/12))))-(IF((((K144)*(IF(M144="",L144,IFERROR(IF(INDEX(Variablen!$I:$AT, MATCH(M144, Variablen!$A:$A, 0), MATCH((YEAR(D144)+14), Variablen!$I$3:$AT$3, 0))="",L144,INDEX(Variablen!$I:$AT, MATCH(M144, Variablen!$A:$A, 0), MATCH((YEAR(D144)+14), Variablen!$I$3:$AT$3, 0))),L144)))*(IF((YEAR(D144)+14)&lt;YEAR(E144),0,IF((YEAR(D144)+14)&gt;YEAR(E144),1,(12-MONTH(E144)+1)/12))) + (Q144)*(IF((YEAR(D144)+14)&lt;YEAR(E144),0,IF((YEAR(D144)+14)&gt;YEAR(E144),1,(12-MONTH(E144)+1)/12))))-((P144)*(IF((YEAR(D144)+14)&lt;YEAR(E144),0,IF((YEAR(D144)+14)&gt;YEAR(E144),1,(12-MONTH(E144)+1)/12))) + (R144)*(IF((YEAR(D144)+14)&lt;YEAR(E144),0,IF((YEAR(D144)+14)&gt;YEAR(E144),1,(12-MONTH(E144)+1)/12))))-(IF(OR(N144="",N144&lt;=0),0,(O144/N144)*(IF(OR(N144="",N144&lt;=0),0,IF((YEAR(D144)+14)&lt;YEAR(E144),0,IF((YEAR(D144)+14)&gt;=YEAR(E144)+N144,0,IF((YEAR(D144)+14)=YEAR(E144),(12-MONTH(E144)+1)/12,1))))))))&gt;0,(((K144)*(IF(M144="",L144,IFERROR(IF(INDEX(Variablen!$I:$AT, MATCH(M144, Variablen!$A:$A, 0), MATCH((YEAR(D144)+14), Variablen!$I$3:$AT$3, 0))="",L144,INDEX(Variablen!$I:$AT, MATCH(M144, Variablen!$A:$A, 0), MATCH((YEAR(D144)+14), Variablen!$I$3:$AT$3, 0))),L144)))*(IF((YEAR(D144)+14)&lt;YEAR(E144),0,IF((YEAR(D144)+14)&gt;YEAR(E144),1,(12-MONTH(E144)+1)/12))) + (Q144)*(IF((YEAR(D144)+14)&lt;YEAR(E144),0,IF((YEAR(D144)+14)&gt;YEAR(E144),1,(12-MONTH(E144)+1)/12))))-((P144)*(IF((YEAR(D144)+14)&lt;YEAR(E144),0,IF((YEAR(D144)+14)&gt;YEAR(E144),1,(12-MONTH(E144)+1)/12))) + (R144)*(IF((YEAR(D144)+14)&lt;YEAR(E144),0,IF((YEAR(D144)+14)&gt;YEAR(E144),1,(12-MONTH(E144)+1)/12))))-(IF(OR(N144="",N144&lt;=0),0,(O144/N144)*(IF(OR(N144="",N144&lt;=0),0,IF((YEAR(D144)+14)&lt;YEAR(E144),0,IF((YEAR(D144)+14)&gt;=YEAR(E144)+N144,0,IF((YEAR(D144)+14)=YEAR(E144),(12-MONTH(E144)+1)/12,1))))))))*TaxRate,0))-IF(14=0,O144,0))</f>
        <v/>
      </c>
      <c r="AH144" s="29">
        <f>IF(A144="","",((K144)*(IF(M144="",L144,IFERROR(IF(INDEX(Variablen!$I:$AT, MATCH(M144, Variablen!$A:$A, 0), MATCH((YEAR(D144)+15), Variablen!$I$3:$AT$3, 0))="",L144,INDEX(Variablen!$I:$AT, MATCH(M144, Variablen!$A:$A, 0), MATCH((YEAR(D144)+15), Variablen!$I$3:$AT$3, 0))),L144)))*(IF((YEAR(D144)+15)&lt;YEAR(E144),0,IF((YEAR(D144)+15)&gt;YEAR(E144),1,(12-MONTH(E144)+1)/12))) + (Q144)*(IF((YEAR(D144)+15)&lt;YEAR(E144),0,IF((YEAR(D144)+15)&gt;YEAR(E144),1,(12-MONTH(E144)+1)/12))))-((P144)*(IF((YEAR(D144)+15)&lt;YEAR(E144),0,IF((YEAR(D144)+15)&gt;YEAR(E144),1,(12-MONTH(E144)+1)/12))) + (R144)*(IF((YEAR(D144)+15)&lt;YEAR(E144),0,IF((YEAR(D144)+15)&gt;YEAR(E144),1,(12-MONTH(E144)+1)/12))))-(IF((((K144)*(IF(M144="",L144,IFERROR(IF(INDEX(Variablen!$I:$AT, MATCH(M144, Variablen!$A:$A, 0), MATCH((YEAR(D144)+15), Variablen!$I$3:$AT$3, 0))="",L144,INDEX(Variablen!$I:$AT, MATCH(M144, Variablen!$A:$A, 0), MATCH((YEAR(D144)+15), Variablen!$I$3:$AT$3, 0))),L144)))*(IF((YEAR(D144)+15)&lt;YEAR(E144),0,IF((YEAR(D144)+15)&gt;YEAR(E144),1,(12-MONTH(E144)+1)/12))) + (Q144)*(IF((YEAR(D144)+15)&lt;YEAR(E144),0,IF((YEAR(D144)+15)&gt;YEAR(E144),1,(12-MONTH(E144)+1)/12))))-((P144)*(IF((YEAR(D144)+15)&lt;YEAR(E144),0,IF((YEAR(D144)+15)&gt;YEAR(E144),1,(12-MONTH(E144)+1)/12))) + (R144)*(IF((YEAR(D144)+15)&lt;YEAR(E144),0,IF((YEAR(D144)+15)&gt;YEAR(E144),1,(12-MONTH(E144)+1)/12))))-(IF(OR(N144="",N144&lt;=0),0,(O144/N144)*(IF(OR(N144="",N144&lt;=0),0,IF((YEAR(D144)+15)&lt;YEAR(E144),0,IF((YEAR(D144)+15)&gt;=YEAR(E144)+N144,0,IF((YEAR(D144)+15)=YEAR(E144),(12-MONTH(E144)+1)/12,1))))))))&gt;0,(((K144)*(IF(M144="",L144,IFERROR(IF(INDEX(Variablen!$I:$AT, MATCH(M144, Variablen!$A:$A, 0), MATCH((YEAR(D144)+15), Variablen!$I$3:$AT$3, 0))="",L144,INDEX(Variablen!$I:$AT, MATCH(M144, Variablen!$A:$A, 0), MATCH((YEAR(D144)+15), Variablen!$I$3:$AT$3, 0))),L144)))*(IF((YEAR(D144)+15)&lt;YEAR(E144),0,IF((YEAR(D144)+15)&gt;YEAR(E144),1,(12-MONTH(E144)+1)/12))) + (Q144)*(IF((YEAR(D144)+15)&lt;YEAR(E144),0,IF((YEAR(D144)+15)&gt;YEAR(E144),1,(12-MONTH(E144)+1)/12))))-((P144)*(IF((YEAR(D144)+15)&lt;YEAR(E144),0,IF((YEAR(D144)+15)&gt;YEAR(E144),1,(12-MONTH(E144)+1)/12))) + (R144)*(IF((YEAR(D144)+15)&lt;YEAR(E144),0,IF((YEAR(D144)+15)&gt;YEAR(E144),1,(12-MONTH(E144)+1)/12))))-(IF(OR(N144="",N144&lt;=0),0,(O144/N144)*(IF(OR(N144="",N144&lt;=0),0,IF((YEAR(D144)+15)&lt;YEAR(E144),0,IF((YEAR(D144)+15)&gt;=YEAR(E144)+N144,0,IF((YEAR(D144)+15)=YEAR(E144),(12-MONTH(E144)+1)/12,1))))))))*TaxRate,0))-IF(15=0,O144,0))</f>
        <v/>
      </c>
      <c r="AI144" s="29">
        <f>IF(A144="","",((K144)*(IF(M144="",L144,IFERROR(IF(INDEX(Variablen!$I:$AT, MATCH(M144, Variablen!$A:$A, 0), MATCH((YEAR(D144)+16), Variablen!$I$3:$AT$3, 0))="",L144,INDEX(Variablen!$I:$AT, MATCH(M144, Variablen!$A:$A, 0), MATCH((YEAR(D144)+16), Variablen!$I$3:$AT$3, 0))),L144)))*(IF((YEAR(D144)+16)&lt;YEAR(E144),0,IF((YEAR(D144)+16)&gt;YEAR(E144),1,(12-MONTH(E144)+1)/12))) + (Q144)*(IF((YEAR(D144)+16)&lt;YEAR(E144),0,IF((YEAR(D144)+16)&gt;YEAR(E144),1,(12-MONTH(E144)+1)/12))))-((P144)*(IF((YEAR(D144)+16)&lt;YEAR(E144),0,IF((YEAR(D144)+16)&gt;YEAR(E144),1,(12-MONTH(E144)+1)/12))) + (R144)*(IF((YEAR(D144)+16)&lt;YEAR(E144),0,IF((YEAR(D144)+16)&gt;YEAR(E144),1,(12-MONTH(E144)+1)/12))))-(IF((((K144)*(IF(M144="",L144,IFERROR(IF(INDEX(Variablen!$I:$AT, MATCH(M144, Variablen!$A:$A, 0), MATCH((YEAR(D144)+16), Variablen!$I$3:$AT$3, 0))="",L144,INDEX(Variablen!$I:$AT, MATCH(M144, Variablen!$A:$A, 0), MATCH((YEAR(D144)+16), Variablen!$I$3:$AT$3, 0))),L144)))*(IF((YEAR(D144)+16)&lt;YEAR(E144),0,IF((YEAR(D144)+16)&gt;YEAR(E144),1,(12-MONTH(E144)+1)/12))) + (Q144)*(IF((YEAR(D144)+16)&lt;YEAR(E144),0,IF((YEAR(D144)+16)&gt;YEAR(E144),1,(12-MONTH(E144)+1)/12))))-((P144)*(IF((YEAR(D144)+16)&lt;YEAR(E144),0,IF((YEAR(D144)+16)&gt;YEAR(E144),1,(12-MONTH(E144)+1)/12))) + (R144)*(IF((YEAR(D144)+16)&lt;YEAR(E144),0,IF((YEAR(D144)+16)&gt;YEAR(E144),1,(12-MONTH(E144)+1)/12))))-(IF(OR(N144="",N144&lt;=0),0,(O144/N144)*(IF(OR(N144="",N144&lt;=0),0,IF((YEAR(D144)+16)&lt;YEAR(E144),0,IF((YEAR(D144)+16)&gt;=YEAR(E144)+N144,0,IF((YEAR(D144)+16)=YEAR(E144),(12-MONTH(E144)+1)/12,1))))))))&gt;0,(((K144)*(IF(M144="",L144,IFERROR(IF(INDEX(Variablen!$I:$AT, MATCH(M144, Variablen!$A:$A, 0), MATCH((YEAR(D144)+16), Variablen!$I$3:$AT$3, 0))="",L144,INDEX(Variablen!$I:$AT, MATCH(M144, Variablen!$A:$A, 0), MATCH((YEAR(D144)+16), Variablen!$I$3:$AT$3, 0))),L144)))*(IF((YEAR(D144)+16)&lt;YEAR(E144),0,IF((YEAR(D144)+16)&gt;YEAR(E144),1,(12-MONTH(E144)+1)/12))) + (Q144)*(IF((YEAR(D144)+16)&lt;YEAR(E144),0,IF((YEAR(D144)+16)&gt;YEAR(E144),1,(12-MONTH(E144)+1)/12))))-((P144)*(IF((YEAR(D144)+16)&lt;YEAR(E144),0,IF((YEAR(D144)+16)&gt;YEAR(E144),1,(12-MONTH(E144)+1)/12))) + (R144)*(IF((YEAR(D144)+16)&lt;YEAR(E144),0,IF((YEAR(D144)+16)&gt;YEAR(E144),1,(12-MONTH(E144)+1)/12))))-(IF(OR(N144="",N144&lt;=0),0,(O144/N144)*(IF(OR(N144="",N144&lt;=0),0,IF((YEAR(D144)+16)&lt;YEAR(E144),0,IF((YEAR(D144)+16)&gt;=YEAR(E144)+N144,0,IF((YEAR(D144)+16)=YEAR(E144),(12-MONTH(E144)+1)/12,1))))))))*TaxRate,0))-IF(16=0,O144,0))</f>
        <v/>
      </c>
      <c r="AJ144" s="29">
        <f>IF(A144="","",((K144)*(IF(M144="",L144,IFERROR(IF(INDEX(Variablen!$I:$AT, MATCH(M144, Variablen!$A:$A, 0), MATCH((YEAR(D144)+17), Variablen!$I$3:$AT$3, 0))="",L144,INDEX(Variablen!$I:$AT, MATCH(M144, Variablen!$A:$A, 0), MATCH((YEAR(D144)+17), Variablen!$I$3:$AT$3, 0))),L144)))*(IF((YEAR(D144)+17)&lt;YEAR(E144),0,IF((YEAR(D144)+17)&gt;YEAR(E144),1,(12-MONTH(E144)+1)/12))) + (Q144)*(IF((YEAR(D144)+17)&lt;YEAR(E144),0,IF((YEAR(D144)+17)&gt;YEAR(E144),1,(12-MONTH(E144)+1)/12))))-((P144)*(IF((YEAR(D144)+17)&lt;YEAR(E144),0,IF((YEAR(D144)+17)&gt;YEAR(E144),1,(12-MONTH(E144)+1)/12))) + (R144)*(IF((YEAR(D144)+17)&lt;YEAR(E144),0,IF((YEAR(D144)+17)&gt;YEAR(E144),1,(12-MONTH(E144)+1)/12))))-(IF((((K144)*(IF(M144="",L144,IFERROR(IF(INDEX(Variablen!$I:$AT, MATCH(M144, Variablen!$A:$A, 0), MATCH((YEAR(D144)+17), Variablen!$I$3:$AT$3, 0))="",L144,INDEX(Variablen!$I:$AT, MATCH(M144, Variablen!$A:$A, 0), MATCH((YEAR(D144)+17), Variablen!$I$3:$AT$3, 0))),L144)))*(IF((YEAR(D144)+17)&lt;YEAR(E144),0,IF((YEAR(D144)+17)&gt;YEAR(E144),1,(12-MONTH(E144)+1)/12))) + (Q144)*(IF((YEAR(D144)+17)&lt;YEAR(E144),0,IF((YEAR(D144)+17)&gt;YEAR(E144),1,(12-MONTH(E144)+1)/12))))-((P144)*(IF((YEAR(D144)+17)&lt;YEAR(E144),0,IF((YEAR(D144)+17)&gt;YEAR(E144),1,(12-MONTH(E144)+1)/12))) + (R144)*(IF((YEAR(D144)+17)&lt;YEAR(E144),0,IF((YEAR(D144)+17)&gt;YEAR(E144),1,(12-MONTH(E144)+1)/12))))-(IF(OR(N144="",N144&lt;=0),0,(O144/N144)*(IF(OR(N144="",N144&lt;=0),0,IF((YEAR(D144)+17)&lt;YEAR(E144),0,IF((YEAR(D144)+17)&gt;=YEAR(E144)+N144,0,IF((YEAR(D144)+17)=YEAR(E144),(12-MONTH(E144)+1)/12,1))))))))&gt;0,(((K144)*(IF(M144="",L144,IFERROR(IF(INDEX(Variablen!$I:$AT, MATCH(M144, Variablen!$A:$A, 0), MATCH((YEAR(D144)+17), Variablen!$I$3:$AT$3, 0))="",L144,INDEX(Variablen!$I:$AT, MATCH(M144, Variablen!$A:$A, 0), MATCH((YEAR(D144)+17), Variablen!$I$3:$AT$3, 0))),L144)))*(IF((YEAR(D144)+17)&lt;YEAR(E144),0,IF((YEAR(D144)+17)&gt;YEAR(E144),1,(12-MONTH(E144)+1)/12))) + (Q144)*(IF((YEAR(D144)+17)&lt;YEAR(E144),0,IF((YEAR(D144)+17)&gt;YEAR(E144),1,(12-MONTH(E144)+1)/12))))-((P144)*(IF((YEAR(D144)+17)&lt;YEAR(E144),0,IF((YEAR(D144)+17)&gt;YEAR(E144),1,(12-MONTH(E144)+1)/12))) + (R144)*(IF((YEAR(D144)+17)&lt;YEAR(E144),0,IF((YEAR(D144)+17)&gt;YEAR(E144),1,(12-MONTH(E144)+1)/12))))-(IF(OR(N144="",N144&lt;=0),0,(O144/N144)*(IF(OR(N144="",N144&lt;=0),0,IF((YEAR(D144)+17)&lt;YEAR(E144),0,IF((YEAR(D144)+17)&gt;=YEAR(E144)+N144,0,IF((YEAR(D144)+17)=YEAR(E144),(12-MONTH(E144)+1)/12,1))))))))*TaxRate,0))-IF(17=0,O144,0))</f>
        <v/>
      </c>
      <c r="AK144" s="29">
        <f>IF(A144="","",((K144)*(IF(M144="",L144,IFERROR(IF(INDEX(Variablen!$I:$AT, MATCH(M144, Variablen!$A:$A, 0), MATCH((YEAR(D144)+18), Variablen!$I$3:$AT$3, 0))="",L144,INDEX(Variablen!$I:$AT, MATCH(M144, Variablen!$A:$A, 0), MATCH((YEAR(D144)+18), Variablen!$I$3:$AT$3, 0))),L144)))*(IF((YEAR(D144)+18)&lt;YEAR(E144),0,IF((YEAR(D144)+18)&gt;YEAR(E144),1,(12-MONTH(E144)+1)/12))) + (Q144)*(IF((YEAR(D144)+18)&lt;YEAR(E144),0,IF((YEAR(D144)+18)&gt;YEAR(E144),1,(12-MONTH(E144)+1)/12))))-((P144)*(IF((YEAR(D144)+18)&lt;YEAR(E144),0,IF((YEAR(D144)+18)&gt;YEAR(E144),1,(12-MONTH(E144)+1)/12))) + (R144)*(IF((YEAR(D144)+18)&lt;YEAR(E144),0,IF((YEAR(D144)+18)&gt;YEAR(E144),1,(12-MONTH(E144)+1)/12))))-(IF((((K144)*(IF(M144="",L144,IFERROR(IF(INDEX(Variablen!$I:$AT, MATCH(M144, Variablen!$A:$A, 0), MATCH((YEAR(D144)+18), Variablen!$I$3:$AT$3, 0))="",L144,INDEX(Variablen!$I:$AT, MATCH(M144, Variablen!$A:$A, 0), MATCH((YEAR(D144)+18), Variablen!$I$3:$AT$3, 0))),L144)))*(IF((YEAR(D144)+18)&lt;YEAR(E144),0,IF((YEAR(D144)+18)&gt;YEAR(E144),1,(12-MONTH(E144)+1)/12))) + (Q144)*(IF((YEAR(D144)+18)&lt;YEAR(E144),0,IF((YEAR(D144)+18)&gt;YEAR(E144),1,(12-MONTH(E144)+1)/12))))-((P144)*(IF((YEAR(D144)+18)&lt;YEAR(E144),0,IF((YEAR(D144)+18)&gt;YEAR(E144),1,(12-MONTH(E144)+1)/12))) + (R144)*(IF((YEAR(D144)+18)&lt;YEAR(E144),0,IF((YEAR(D144)+18)&gt;YEAR(E144),1,(12-MONTH(E144)+1)/12))))-(IF(OR(N144="",N144&lt;=0),0,(O144/N144)*(IF(OR(N144="",N144&lt;=0),0,IF((YEAR(D144)+18)&lt;YEAR(E144),0,IF((YEAR(D144)+18)&gt;=YEAR(E144)+N144,0,IF((YEAR(D144)+18)=YEAR(E144),(12-MONTH(E144)+1)/12,1))))))))&gt;0,(((K144)*(IF(M144="",L144,IFERROR(IF(INDEX(Variablen!$I:$AT, MATCH(M144, Variablen!$A:$A, 0), MATCH((YEAR(D144)+18), Variablen!$I$3:$AT$3, 0))="",L144,INDEX(Variablen!$I:$AT, MATCH(M144, Variablen!$A:$A, 0), MATCH((YEAR(D144)+18), Variablen!$I$3:$AT$3, 0))),L144)))*(IF((YEAR(D144)+18)&lt;YEAR(E144),0,IF((YEAR(D144)+18)&gt;YEAR(E144),1,(12-MONTH(E144)+1)/12))) + (Q144)*(IF((YEAR(D144)+18)&lt;YEAR(E144),0,IF((YEAR(D144)+18)&gt;YEAR(E144),1,(12-MONTH(E144)+1)/12))))-((P144)*(IF((YEAR(D144)+18)&lt;YEAR(E144),0,IF((YEAR(D144)+18)&gt;YEAR(E144),1,(12-MONTH(E144)+1)/12))) + (R144)*(IF((YEAR(D144)+18)&lt;YEAR(E144),0,IF((YEAR(D144)+18)&gt;YEAR(E144),1,(12-MONTH(E144)+1)/12))))-(IF(OR(N144="",N144&lt;=0),0,(O144/N144)*(IF(OR(N144="",N144&lt;=0),0,IF((YEAR(D144)+18)&lt;YEAR(E144),0,IF((YEAR(D144)+18)&gt;=YEAR(E144)+N144,0,IF((YEAR(D144)+18)=YEAR(E144),(12-MONTH(E144)+1)/12,1))))))))*TaxRate,0))-IF(18=0,O144,0))</f>
        <v/>
      </c>
      <c r="AL144" s="29">
        <f>IF(A144="","",((K144)*(IF(M144="",L144,IFERROR(IF(INDEX(Variablen!$I:$AT, MATCH(M144, Variablen!$A:$A, 0), MATCH((YEAR(D144)+19), Variablen!$I$3:$AT$3, 0))="",L144,INDEX(Variablen!$I:$AT, MATCH(M144, Variablen!$A:$A, 0), MATCH((YEAR(D144)+19), Variablen!$I$3:$AT$3, 0))),L144)))*(IF((YEAR(D144)+19)&lt;YEAR(E144),0,IF((YEAR(D144)+19)&gt;YEAR(E144),1,(12-MONTH(E144)+1)/12))) + (Q144)*(IF((YEAR(D144)+19)&lt;YEAR(E144),0,IF((YEAR(D144)+19)&gt;YEAR(E144),1,(12-MONTH(E144)+1)/12))))-((P144)*(IF((YEAR(D144)+19)&lt;YEAR(E144),0,IF((YEAR(D144)+19)&gt;YEAR(E144),1,(12-MONTH(E144)+1)/12))) + (R144)*(IF((YEAR(D144)+19)&lt;YEAR(E144),0,IF((YEAR(D144)+19)&gt;YEAR(E144),1,(12-MONTH(E144)+1)/12))))-(IF((((K144)*(IF(M144="",L144,IFERROR(IF(INDEX(Variablen!$I:$AT, MATCH(M144, Variablen!$A:$A, 0), MATCH((YEAR(D144)+19), Variablen!$I$3:$AT$3, 0))="",L144,INDEX(Variablen!$I:$AT, MATCH(M144, Variablen!$A:$A, 0), MATCH((YEAR(D144)+19), Variablen!$I$3:$AT$3, 0))),L144)))*(IF((YEAR(D144)+19)&lt;YEAR(E144),0,IF((YEAR(D144)+19)&gt;YEAR(E144),1,(12-MONTH(E144)+1)/12))) + (Q144)*(IF((YEAR(D144)+19)&lt;YEAR(E144),0,IF((YEAR(D144)+19)&gt;YEAR(E144),1,(12-MONTH(E144)+1)/12))))-((P144)*(IF((YEAR(D144)+19)&lt;YEAR(E144),0,IF((YEAR(D144)+19)&gt;YEAR(E144),1,(12-MONTH(E144)+1)/12))) + (R144)*(IF((YEAR(D144)+19)&lt;YEAR(E144),0,IF((YEAR(D144)+19)&gt;YEAR(E144),1,(12-MONTH(E144)+1)/12))))-(IF(OR(N144="",N144&lt;=0),0,(O144/N144)*(IF(OR(N144="",N144&lt;=0),0,IF((YEAR(D144)+19)&lt;YEAR(E144),0,IF((YEAR(D144)+19)&gt;=YEAR(E144)+N144,0,IF((YEAR(D144)+19)=YEAR(E144),(12-MONTH(E144)+1)/12,1))))))))&gt;0,(((K144)*(IF(M144="",L144,IFERROR(IF(INDEX(Variablen!$I:$AT, MATCH(M144, Variablen!$A:$A, 0), MATCH((YEAR(D144)+19), Variablen!$I$3:$AT$3, 0))="",L144,INDEX(Variablen!$I:$AT, MATCH(M144, Variablen!$A:$A, 0), MATCH((YEAR(D144)+19), Variablen!$I$3:$AT$3, 0))),L144)))*(IF((YEAR(D144)+19)&lt;YEAR(E144),0,IF((YEAR(D144)+19)&gt;YEAR(E144),1,(12-MONTH(E144)+1)/12))) + (Q144)*(IF((YEAR(D144)+19)&lt;YEAR(E144),0,IF((YEAR(D144)+19)&gt;YEAR(E144),1,(12-MONTH(E144)+1)/12))))-((P144)*(IF((YEAR(D144)+19)&lt;YEAR(E144),0,IF((YEAR(D144)+19)&gt;YEAR(E144),1,(12-MONTH(E144)+1)/12))) + (R144)*(IF((YEAR(D144)+19)&lt;YEAR(E144),0,IF((YEAR(D144)+19)&gt;YEAR(E144),1,(12-MONTH(E144)+1)/12))))-(IF(OR(N144="",N144&lt;=0),0,(O144/N144)*(IF(OR(N144="",N144&lt;=0),0,IF((YEAR(D144)+19)&lt;YEAR(E144),0,IF((YEAR(D144)+19)&gt;=YEAR(E144)+N144,0,IF((YEAR(D144)+19)=YEAR(E144),(12-MONTH(E144)+1)/12,1))))))))*TaxRate,0))-IF(19=0,O144,0))</f>
        <v/>
      </c>
      <c r="AM144" s="29">
        <f>IF(A144="","",((K144)*(IF(M144="",L144,IFERROR(IF(INDEX(Variablen!$I:$AT, MATCH(M144, Variablen!$A:$A, 0), MATCH((YEAR(D144)+20), Variablen!$I$3:$AT$3, 0))="",L144,INDEX(Variablen!$I:$AT, MATCH(M144, Variablen!$A:$A, 0), MATCH((YEAR(D144)+20), Variablen!$I$3:$AT$3, 0))),L144)))*(IF((YEAR(D144)+20)&lt;YEAR(E144),0,IF((YEAR(D144)+20)&gt;YEAR(E144),1,(12-MONTH(E144)+1)/12))) + (Q144)*(IF((YEAR(D144)+20)&lt;YEAR(E144),0,IF((YEAR(D144)+20)&gt;YEAR(E144),1,(12-MONTH(E144)+1)/12))))-((P144)*(IF((YEAR(D144)+20)&lt;YEAR(E144),0,IF((YEAR(D144)+20)&gt;YEAR(E144),1,(12-MONTH(E144)+1)/12))) + (R144)*(IF((YEAR(D144)+20)&lt;YEAR(E144),0,IF((YEAR(D144)+20)&gt;YEAR(E144),1,(12-MONTH(E144)+1)/12))))-(IF((((K144)*(IF(M144="",L144,IFERROR(IF(INDEX(Variablen!$I:$AT, MATCH(M144, Variablen!$A:$A, 0), MATCH((YEAR(D144)+20), Variablen!$I$3:$AT$3, 0))="",L144,INDEX(Variablen!$I:$AT, MATCH(M144, Variablen!$A:$A, 0), MATCH((YEAR(D144)+20), Variablen!$I$3:$AT$3, 0))),L144)))*(IF((YEAR(D144)+20)&lt;YEAR(E144),0,IF((YEAR(D144)+20)&gt;YEAR(E144),1,(12-MONTH(E144)+1)/12))) + (Q144)*(IF((YEAR(D144)+20)&lt;YEAR(E144),0,IF((YEAR(D144)+20)&gt;YEAR(E144),1,(12-MONTH(E144)+1)/12))))-((P144)*(IF((YEAR(D144)+20)&lt;YEAR(E144),0,IF((YEAR(D144)+20)&gt;YEAR(E144),1,(12-MONTH(E144)+1)/12))) + (R144)*(IF((YEAR(D144)+20)&lt;YEAR(E144),0,IF((YEAR(D144)+20)&gt;YEAR(E144),1,(12-MONTH(E144)+1)/12))))-(IF(OR(N144="",N144&lt;=0),0,(O144/N144)*(IF(OR(N144="",N144&lt;=0),0,IF((YEAR(D144)+20)&lt;YEAR(E144),0,IF((YEAR(D144)+20)&gt;=YEAR(E144)+N144,0,IF((YEAR(D144)+20)=YEAR(E144),(12-MONTH(E144)+1)/12,1))))))))&gt;0,(((K144)*(IF(M144="",L144,IFERROR(IF(INDEX(Variablen!$I:$AT, MATCH(M144, Variablen!$A:$A, 0), MATCH((YEAR(D144)+20), Variablen!$I$3:$AT$3, 0))="",L144,INDEX(Variablen!$I:$AT, MATCH(M144, Variablen!$A:$A, 0), MATCH((YEAR(D144)+20), Variablen!$I$3:$AT$3, 0))),L144)))*(IF((YEAR(D144)+20)&lt;YEAR(E144),0,IF((YEAR(D144)+20)&gt;YEAR(E144),1,(12-MONTH(E144)+1)/12))) + (Q144)*(IF((YEAR(D144)+20)&lt;YEAR(E144),0,IF((YEAR(D144)+20)&gt;YEAR(E144),1,(12-MONTH(E144)+1)/12))))-((P144)*(IF((YEAR(D144)+20)&lt;YEAR(E144),0,IF((YEAR(D144)+20)&gt;YEAR(E144),1,(12-MONTH(E144)+1)/12))) + (R144)*(IF((YEAR(D144)+20)&lt;YEAR(E144),0,IF((YEAR(D144)+20)&gt;YEAR(E144),1,(12-MONTH(E144)+1)/12))))-(IF(OR(N144="",N144&lt;=0),0,(O144/N144)*(IF(OR(N144="",N144&lt;=0),0,IF((YEAR(D144)+20)&lt;YEAR(E144),0,IF((YEAR(D144)+20)&gt;=YEAR(E144)+N144,0,IF((YEAR(D144)+20)=YEAR(E144),(12-MONTH(E144)+1)/12,1))))))))*TaxRate,0))-IF(20=0,O144,0))</f>
        <v/>
      </c>
      <c r="AN144" s="29">
        <f>IF(A144="","",S144)</f>
        <v/>
      </c>
      <c r="AO144" s="29">
        <f>IF(A144="","",AN144+T144)</f>
        <v/>
      </c>
      <c r="AP144" s="29">
        <f>IF(A144="","",AO144+U144)</f>
        <v/>
      </c>
      <c r="AQ144" s="29">
        <f>IF(A144="","",AP144+V144)</f>
        <v/>
      </c>
      <c r="AR144" s="29">
        <f>IF(A144="","",AQ144+W144)</f>
        <v/>
      </c>
      <c r="AS144" s="29">
        <f>IF(A144="","",AR144+X144)</f>
        <v/>
      </c>
      <c r="AT144" s="29">
        <f>IF(A144="","",AS144+Y144)</f>
        <v/>
      </c>
      <c r="AU144" s="29">
        <f>IF(A144="","",AT144+Z144)</f>
        <v/>
      </c>
      <c r="AV144" s="29">
        <f>IF(A144="","",AU144+AA144)</f>
        <v/>
      </c>
      <c r="AW144" s="29">
        <f>IF(A144="","",AV144+AB144)</f>
        <v/>
      </c>
      <c r="AX144" s="29">
        <f>IF(A144="","",AW144+AC144)</f>
        <v/>
      </c>
      <c r="AY144" s="29">
        <f>IF(A144="","",AX144+AD144)</f>
        <v/>
      </c>
      <c r="AZ144" s="29">
        <f>IF(A144="","",AY144+AE144)</f>
        <v/>
      </c>
      <c r="BA144" s="29">
        <f>IF(A144="","",AZ144+AF144)</f>
        <v/>
      </c>
      <c r="BB144" s="29">
        <f>IF(A144="","",BA144+AG144)</f>
        <v/>
      </c>
      <c r="BC144" s="29">
        <f>IF(A144="","",BB144+AH144)</f>
        <v/>
      </c>
      <c r="BD144" s="29">
        <f>IF(A144="","",BC144+AI144)</f>
        <v/>
      </c>
      <c r="BE144" s="29">
        <f>IF(A144="","",BD144+AJ144)</f>
        <v/>
      </c>
      <c r="BF144" s="29">
        <f>IF(A144="","",BE144+AK144)</f>
        <v/>
      </c>
      <c r="BG144" s="29">
        <f>IF(A144="","",BF144+AL144)</f>
        <v/>
      </c>
      <c r="BH144" s="29">
        <f>IF(A144="","",BG144+AM144)</f>
        <v/>
      </c>
      <c r="BI144" s="36">
        <f>IF(A144="","",(K144)*(IF((YEAR(D144)+0)&lt;YEAR(E144),0,IF((YEAR(D144)+0)&gt;YEAR(E144),1,(12-MONTH(E144)+1)/12)))*(1/(1+DiscountRate)^0))</f>
        <v/>
      </c>
      <c r="BJ144" s="36">
        <f>IF(A144="","",(K144)*(IF((YEAR(D144)+1)&lt;YEAR(E144),0,IF((YEAR(D144)+1)&gt;YEAR(E144),1,(12-MONTH(E144)+1)/12)))*(1/(1+DiscountRate)^1))</f>
        <v/>
      </c>
      <c r="BK144" s="36">
        <f>IF(A144="","",(K144)*(IF((YEAR(D144)+2)&lt;YEAR(E144),0,IF((YEAR(D144)+2)&gt;YEAR(E144),1,(12-MONTH(E144)+1)/12)))*(1/(1+DiscountRate)^2))</f>
        <v/>
      </c>
      <c r="BL144" s="36">
        <f>IF(A144="","",(K144)*(IF((YEAR(D144)+3)&lt;YEAR(E144),0,IF((YEAR(D144)+3)&gt;YEAR(E144),1,(12-MONTH(E144)+1)/12)))*(1/(1+DiscountRate)^3))</f>
        <v/>
      </c>
      <c r="BM144" s="36">
        <f>IF(A144="","",(K144)*(IF((YEAR(D144)+4)&lt;YEAR(E144),0,IF((YEAR(D144)+4)&gt;YEAR(E144),1,(12-MONTH(E144)+1)/12)))*(1/(1+DiscountRate)^4))</f>
        <v/>
      </c>
      <c r="BN144" s="36">
        <f>IF(A144="","",(K144)*(IF((YEAR(D144)+5)&lt;YEAR(E144),0,IF((YEAR(D144)+5)&gt;YEAR(E144),1,(12-MONTH(E144)+1)/12)))*(1/(1+DiscountRate)^5))</f>
        <v/>
      </c>
      <c r="BO144" s="36">
        <f>IF(A144="","",(K144)*(IF((YEAR(D144)+6)&lt;YEAR(E144),0,IF((YEAR(D144)+6)&gt;YEAR(E144),1,(12-MONTH(E144)+1)/12)))*(1/(1+DiscountRate)^6))</f>
        <v/>
      </c>
      <c r="BP144" s="36">
        <f>IF(A144="","",(K144)*(IF((YEAR(D144)+7)&lt;YEAR(E144),0,IF((YEAR(D144)+7)&gt;YEAR(E144),1,(12-MONTH(E144)+1)/12)))*(1/(1+DiscountRate)^7))</f>
        <v/>
      </c>
      <c r="BQ144" s="36">
        <f>IF(A144="","",(K144)*(IF((YEAR(D144)+8)&lt;YEAR(E144),0,IF((YEAR(D144)+8)&gt;YEAR(E144),1,(12-MONTH(E144)+1)/12)))*(1/(1+DiscountRate)^8))</f>
        <v/>
      </c>
      <c r="BR144" s="36">
        <f>IF(A144="","",(K144)*(IF((YEAR(D144)+9)&lt;YEAR(E144),0,IF((YEAR(D144)+9)&gt;YEAR(E144),1,(12-MONTH(E144)+1)/12)))*(1/(1+DiscountRate)^9))</f>
        <v/>
      </c>
      <c r="BS144" s="36">
        <f>IF(A144="","",(K144)*(IF((YEAR(D144)+10)&lt;YEAR(E144),0,IF((YEAR(D144)+10)&gt;YEAR(E144),1,(12-MONTH(E144)+1)/12)))*(1/(1+DiscountRate)^10))</f>
        <v/>
      </c>
      <c r="BT144" s="36">
        <f>IF(A144="","",(K144)*(IF((YEAR(D144)+11)&lt;YEAR(E144),0,IF((YEAR(D144)+11)&gt;YEAR(E144),1,(12-MONTH(E144)+1)/12)))*(1/(1+DiscountRate)^11))</f>
        <v/>
      </c>
      <c r="BU144" s="36">
        <f>IF(A144="","",(K144)*(IF((YEAR(D144)+12)&lt;YEAR(E144),0,IF((YEAR(D144)+12)&gt;YEAR(E144),1,(12-MONTH(E144)+1)/12)))*(1/(1+DiscountRate)^12))</f>
        <v/>
      </c>
      <c r="BV144" s="36">
        <f>IF(A144="","",(K144)*(IF((YEAR(D144)+13)&lt;YEAR(E144),0,IF((YEAR(D144)+13)&gt;YEAR(E144),1,(12-MONTH(E144)+1)/12)))*(1/(1+DiscountRate)^13))</f>
        <v/>
      </c>
      <c r="BW144" s="36">
        <f>IF(A144="","",(K144)*(IF((YEAR(D144)+14)&lt;YEAR(E144),0,IF((YEAR(D144)+14)&gt;YEAR(E144),1,(12-MONTH(E144)+1)/12)))*(1/(1+DiscountRate)^14))</f>
        <v/>
      </c>
      <c r="BX144" s="36">
        <f>IF(A144="","",(K144)*(IF((YEAR(D144)+15)&lt;YEAR(E144),0,IF((YEAR(D144)+15)&gt;YEAR(E144),1,(12-MONTH(E144)+1)/12)))*(1/(1+DiscountRate)^15))</f>
        <v/>
      </c>
      <c r="BY144" s="36">
        <f>IF(A144="","",(K144)*(IF((YEAR(D144)+16)&lt;YEAR(E144),0,IF((YEAR(D144)+16)&gt;YEAR(E144),1,(12-MONTH(E144)+1)/12)))*(1/(1+DiscountRate)^16))</f>
        <v/>
      </c>
      <c r="BZ144" s="36">
        <f>IF(A144="","",(K144)*(IF((YEAR(D144)+17)&lt;YEAR(E144),0,IF((YEAR(D144)+17)&gt;YEAR(E144),1,(12-MONTH(E144)+1)/12)))*(1/(1+DiscountRate)^17))</f>
        <v/>
      </c>
      <c r="CA144" s="36">
        <f>IF(A144="","",(K144)*(IF((YEAR(D144)+18)&lt;YEAR(E144),0,IF((YEAR(D144)+18)&gt;YEAR(E144),1,(12-MONTH(E144)+1)/12)))*(1/(1+DiscountRate)^18))</f>
        <v/>
      </c>
      <c r="CB144" s="36">
        <f>IF(A144="","",(K144)*(IF((YEAR(D144)+19)&lt;YEAR(E144),0,IF((YEAR(D144)+19)&gt;YEAR(E144),1,(12-MONTH(E144)+1)/12)))*(1/(1+DiscountRate)^19))</f>
        <v/>
      </c>
      <c r="CC144" s="36">
        <f>IF(A144="","",(K144)*(IF((YEAR(D144)+20)&lt;YEAR(E144),0,IF((YEAR(D144)+20)&gt;YEAR(E144),1,(12-MONTH(E144)+1)/12)))*(1/(1+DiscountRate)^20))</f>
        <v/>
      </c>
      <c r="CD144" s="29">
        <f>IF(A144="","",S144/(1+DiscountRate)^0+T144/(1+DiscountRate)^1+U144/(1+DiscountRate)^2+V144/(1+DiscountRate)^3+W144/(1+DiscountRate)^4+X144/(1+DiscountRate)^5+Y144/(1+DiscountRate)^6+Z144/(1+DiscountRate)^7+AA144/(1+DiscountRate)^8+AB144/(1+DiscountRate)^9+AC144/(1+DiscountRate)^10+AD144/(1+DiscountRate)^11+AE144/(1+DiscountRate)^12+AF144/(1+DiscountRate)^13+AG144/(1+DiscountRate)^14+AH144/(1+DiscountRate)^15+AI144/(1+DiscountRate)^16+AJ144/(1+DiscountRate)^17+AK144/(1+DiscountRate)^18+AL144/(1+DiscountRate)^19+AM144/(1+DiscountRate)^20)</f>
        <v/>
      </c>
      <c r="CE144" s="37">
        <f>IF(A144="","",IFERROR(IRR(OFFSET(S144,0,0,1,MIN(HorizonYears,20)+1)),"n/a"))</f>
        <v/>
      </c>
      <c r="CF144" s="28">
        <f>IF(A144="","",IFERROR(MATCH(TRUE,OFFSET(AN144,0,0,1,MIN(HorizonYears,20)+1)&gt;=0,0)-1,"n/a"))</f>
        <v/>
      </c>
      <c r="CG144" s="36">
        <f>IF(A144="","",SUM(OFFSET(BI144,0,0,1,MIN(HorizonYears,20)+1)))</f>
        <v/>
      </c>
      <c r="CH144" s="36">
        <f>IF(A144="","",IFERROR(-CD144/CG144,"n/a"))</f>
        <v/>
      </c>
    </row>
    <row r="145">
      <c r="A145" s="6">
        <f>Actions!A143</f>
        <v/>
      </c>
      <c r="B145" s="6">
        <f>Actions!B143</f>
        <v/>
      </c>
      <c r="C145" s="6">
        <f>Actions!D143</f>
        <v/>
      </c>
      <c r="D145" s="35">
        <f>Actions!E143</f>
        <v/>
      </c>
      <c r="E145" s="35">
        <f>Actions!F143</f>
        <v/>
      </c>
      <c r="F145" s="6">
        <f>Actions!G143</f>
        <v/>
      </c>
      <c r="G145" s="6">
        <f>Actions!H143</f>
        <v/>
      </c>
      <c r="H145" s="29">
        <f>Actions!I143</f>
        <v/>
      </c>
      <c r="I145" s="6">
        <f>Actions!J143</f>
        <v/>
      </c>
      <c r="J145" s="16">
        <f>Actions!K143</f>
        <v/>
      </c>
      <c r="K145" s="16">
        <f>IF(A145="","",IF(I145="%",H145*J145,J145))</f>
        <v/>
      </c>
      <c r="L145" s="16">
        <f>Actions!L143</f>
        <v/>
      </c>
      <c r="M145" s="6">
        <f>Actions!M143</f>
        <v/>
      </c>
      <c r="N145" s="28">
        <f>Actions!N143</f>
        <v/>
      </c>
      <c r="O145" s="29">
        <f>Actions!T143</f>
        <v/>
      </c>
      <c r="P145" s="29">
        <f>Actions!Y143</f>
        <v/>
      </c>
      <c r="Q145" s="29">
        <f>Actions!Z143</f>
        <v/>
      </c>
      <c r="R145" s="29">
        <f>Actions!AA143</f>
        <v/>
      </c>
      <c r="S145" s="29">
        <f>IF(A145="","",((K145)*(IF(M145="",L145,IFERROR(IF(INDEX(Variablen!$I:$AT, MATCH(M145, Variablen!$A:$A, 0), MATCH((YEAR(D145)+0), Variablen!$I$3:$AT$3, 0))="",L145,INDEX(Variablen!$I:$AT, MATCH(M145, Variablen!$A:$A, 0), MATCH((YEAR(D145)+0), Variablen!$I$3:$AT$3, 0))),L145)))*(IF((YEAR(D145)+0)&lt;YEAR(E145),0,IF((YEAR(D145)+0)&gt;YEAR(E145),1,(12-MONTH(E145)+1)/12))) + (Q145)*(IF((YEAR(D145)+0)&lt;YEAR(E145),0,IF((YEAR(D145)+0)&gt;YEAR(E145),1,(12-MONTH(E145)+1)/12))))-((P145)*(IF((YEAR(D145)+0)&lt;YEAR(E145),0,IF((YEAR(D145)+0)&gt;YEAR(E145),1,(12-MONTH(E145)+1)/12))) + (R145)*(IF((YEAR(D145)+0)&lt;YEAR(E145),0,IF((YEAR(D145)+0)&gt;YEAR(E145),1,(12-MONTH(E145)+1)/12))))-(IF((((K145)*(IF(M145="",L145,IFERROR(IF(INDEX(Variablen!$I:$AT, MATCH(M145, Variablen!$A:$A, 0), MATCH((YEAR(D145)+0), Variablen!$I$3:$AT$3, 0))="",L145,INDEX(Variablen!$I:$AT, MATCH(M145, Variablen!$A:$A, 0), MATCH((YEAR(D145)+0), Variablen!$I$3:$AT$3, 0))),L145)))*(IF((YEAR(D145)+0)&lt;YEAR(E145),0,IF((YEAR(D145)+0)&gt;YEAR(E145),1,(12-MONTH(E145)+1)/12))) + (Q145)*(IF((YEAR(D145)+0)&lt;YEAR(E145),0,IF((YEAR(D145)+0)&gt;YEAR(E145),1,(12-MONTH(E145)+1)/12))))-((P145)*(IF((YEAR(D145)+0)&lt;YEAR(E145),0,IF((YEAR(D145)+0)&gt;YEAR(E145),1,(12-MONTH(E145)+1)/12))) + (R145)*(IF((YEAR(D145)+0)&lt;YEAR(E145),0,IF((YEAR(D145)+0)&gt;YEAR(E145),1,(12-MONTH(E145)+1)/12))))-(IF(OR(N145="",N145&lt;=0),0,(O145/N145)*(IF(OR(N145="",N145&lt;=0),0,IF((YEAR(D145)+0)&lt;YEAR(E145),0,IF((YEAR(D145)+0)&gt;=YEAR(E145)+N145,0,IF((YEAR(D145)+0)=YEAR(E145),(12-MONTH(E145)+1)/12,1))))))))&gt;0,(((K145)*(IF(M145="",L145,IFERROR(IF(INDEX(Variablen!$I:$AT, MATCH(M145, Variablen!$A:$A, 0), MATCH((YEAR(D145)+0), Variablen!$I$3:$AT$3, 0))="",L145,INDEX(Variablen!$I:$AT, MATCH(M145, Variablen!$A:$A, 0), MATCH((YEAR(D145)+0), Variablen!$I$3:$AT$3, 0))),L145)))*(IF((YEAR(D145)+0)&lt;YEAR(E145),0,IF((YEAR(D145)+0)&gt;YEAR(E145),1,(12-MONTH(E145)+1)/12))) + (Q145)*(IF((YEAR(D145)+0)&lt;YEAR(E145),0,IF((YEAR(D145)+0)&gt;YEAR(E145),1,(12-MONTH(E145)+1)/12))))-((P145)*(IF((YEAR(D145)+0)&lt;YEAR(E145),0,IF((YEAR(D145)+0)&gt;YEAR(E145),1,(12-MONTH(E145)+1)/12))) + (R145)*(IF((YEAR(D145)+0)&lt;YEAR(E145),0,IF((YEAR(D145)+0)&gt;YEAR(E145),1,(12-MONTH(E145)+1)/12))))-(IF(OR(N145="",N145&lt;=0),0,(O145/N145)*(IF(OR(N145="",N145&lt;=0),0,IF((YEAR(D145)+0)&lt;YEAR(E145),0,IF((YEAR(D145)+0)&gt;=YEAR(E145)+N145,0,IF((YEAR(D145)+0)=YEAR(E145),(12-MONTH(E145)+1)/12,1))))))))*TaxRate,0))-IF(0=0,O145,0))</f>
        <v/>
      </c>
      <c r="T145" s="29">
        <f>IF(A145="","",((K145)*(IF(M145="",L145,IFERROR(IF(INDEX(Variablen!$I:$AT, MATCH(M145, Variablen!$A:$A, 0), MATCH((YEAR(D145)+1), Variablen!$I$3:$AT$3, 0))="",L145,INDEX(Variablen!$I:$AT, MATCH(M145, Variablen!$A:$A, 0), MATCH((YEAR(D145)+1), Variablen!$I$3:$AT$3, 0))),L145)))*(IF((YEAR(D145)+1)&lt;YEAR(E145),0,IF((YEAR(D145)+1)&gt;YEAR(E145),1,(12-MONTH(E145)+1)/12))) + (Q145)*(IF((YEAR(D145)+1)&lt;YEAR(E145),0,IF((YEAR(D145)+1)&gt;YEAR(E145),1,(12-MONTH(E145)+1)/12))))-((P145)*(IF((YEAR(D145)+1)&lt;YEAR(E145),0,IF((YEAR(D145)+1)&gt;YEAR(E145),1,(12-MONTH(E145)+1)/12))) + (R145)*(IF((YEAR(D145)+1)&lt;YEAR(E145),0,IF((YEAR(D145)+1)&gt;YEAR(E145),1,(12-MONTH(E145)+1)/12))))-(IF((((K145)*(IF(M145="",L145,IFERROR(IF(INDEX(Variablen!$I:$AT, MATCH(M145, Variablen!$A:$A, 0), MATCH((YEAR(D145)+1), Variablen!$I$3:$AT$3, 0))="",L145,INDEX(Variablen!$I:$AT, MATCH(M145, Variablen!$A:$A, 0), MATCH((YEAR(D145)+1), Variablen!$I$3:$AT$3, 0))),L145)))*(IF((YEAR(D145)+1)&lt;YEAR(E145),0,IF((YEAR(D145)+1)&gt;YEAR(E145),1,(12-MONTH(E145)+1)/12))) + (Q145)*(IF((YEAR(D145)+1)&lt;YEAR(E145),0,IF((YEAR(D145)+1)&gt;YEAR(E145),1,(12-MONTH(E145)+1)/12))))-((P145)*(IF((YEAR(D145)+1)&lt;YEAR(E145),0,IF((YEAR(D145)+1)&gt;YEAR(E145),1,(12-MONTH(E145)+1)/12))) + (R145)*(IF((YEAR(D145)+1)&lt;YEAR(E145),0,IF((YEAR(D145)+1)&gt;YEAR(E145),1,(12-MONTH(E145)+1)/12))))-(IF(OR(N145="",N145&lt;=0),0,(O145/N145)*(IF(OR(N145="",N145&lt;=0),0,IF((YEAR(D145)+1)&lt;YEAR(E145),0,IF((YEAR(D145)+1)&gt;=YEAR(E145)+N145,0,IF((YEAR(D145)+1)=YEAR(E145),(12-MONTH(E145)+1)/12,1))))))))&gt;0,(((K145)*(IF(M145="",L145,IFERROR(IF(INDEX(Variablen!$I:$AT, MATCH(M145, Variablen!$A:$A, 0), MATCH((YEAR(D145)+1), Variablen!$I$3:$AT$3, 0))="",L145,INDEX(Variablen!$I:$AT, MATCH(M145, Variablen!$A:$A, 0), MATCH((YEAR(D145)+1), Variablen!$I$3:$AT$3, 0))),L145)))*(IF((YEAR(D145)+1)&lt;YEAR(E145),0,IF((YEAR(D145)+1)&gt;YEAR(E145),1,(12-MONTH(E145)+1)/12))) + (Q145)*(IF((YEAR(D145)+1)&lt;YEAR(E145),0,IF((YEAR(D145)+1)&gt;YEAR(E145),1,(12-MONTH(E145)+1)/12))))-((P145)*(IF((YEAR(D145)+1)&lt;YEAR(E145),0,IF((YEAR(D145)+1)&gt;YEAR(E145),1,(12-MONTH(E145)+1)/12))) + (R145)*(IF((YEAR(D145)+1)&lt;YEAR(E145),0,IF((YEAR(D145)+1)&gt;YEAR(E145),1,(12-MONTH(E145)+1)/12))))-(IF(OR(N145="",N145&lt;=0),0,(O145/N145)*(IF(OR(N145="",N145&lt;=0),0,IF((YEAR(D145)+1)&lt;YEAR(E145),0,IF((YEAR(D145)+1)&gt;=YEAR(E145)+N145,0,IF((YEAR(D145)+1)=YEAR(E145),(12-MONTH(E145)+1)/12,1))))))))*TaxRate,0))-IF(1=0,O145,0))</f>
        <v/>
      </c>
      <c r="U145" s="29">
        <f>IF(A145="","",((K145)*(IF(M145="",L145,IFERROR(IF(INDEX(Variablen!$I:$AT, MATCH(M145, Variablen!$A:$A, 0), MATCH((YEAR(D145)+2), Variablen!$I$3:$AT$3, 0))="",L145,INDEX(Variablen!$I:$AT, MATCH(M145, Variablen!$A:$A, 0), MATCH((YEAR(D145)+2), Variablen!$I$3:$AT$3, 0))),L145)))*(IF((YEAR(D145)+2)&lt;YEAR(E145),0,IF((YEAR(D145)+2)&gt;YEAR(E145),1,(12-MONTH(E145)+1)/12))) + (Q145)*(IF((YEAR(D145)+2)&lt;YEAR(E145),0,IF((YEAR(D145)+2)&gt;YEAR(E145),1,(12-MONTH(E145)+1)/12))))-((P145)*(IF((YEAR(D145)+2)&lt;YEAR(E145),0,IF((YEAR(D145)+2)&gt;YEAR(E145),1,(12-MONTH(E145)+1)/12))) + (R145)*(IF((YEAR(D145)+2)&lt;YEAR(E145),0,IF((YEAR(D145)+2)&gt;YEAR(E145),1,(12-MONTH(E145)+1)/12))))-(IF((((K145)*(IF(M145="",L145,IFERROR(IF(INDEX(Variablen!$I:$AT, MATCH(M145, Variablen!$A:$A, 0), MATCH((YEAR(D145)+2), Variablen!$I$3:$AT$3, 0))="",L145,INDEX(Variablen!$I:$AT, MATCH(M145, Variablen!$A:$A, 0), MATCH((YEAR(D145)+2), Variablen!$I$3:$AT$3, 0))),L145)))*(IF((YEAR(D145)+2)&lt;YEAR(E145),0,IF((YEAR(D145)+2)&gt;YEAR(E145),1,(12-MONTH(E145)+1)/12))) + (Q145)*(IF((YEAR(D145)+2)&lt;YEAR(E145),0,IF((YEAR(D145)+2)&gt;YEAR(E145),1,(12-MONTH(E145)+1)/12))))-((P145)*(IF((YEAR(D145)+2)&lt;YEAR(E145),0,IF((YEAR(D145)+2)&gt;YEAR(E145),1,(12-MONTH(E145)+1)/12))) + (R145)*(IF((YEAR(D145)+2)&lt;YEAR(E145),0,IF((YEAR(D145)+2)&gt;YEAR(E145),1,(12-MONTH(E145)+1)/12))))-(IF(OR(N145="",N145&lt;=0),0,(O145/N145)*(IF(OR(N145="",N145&lt;=0),0,IF((YEAR(D145)+2)&lt;YEAR(E145),0,IF((YEAR(D145)+2)&gt;=YEAR(E145)+N145,0,IF((YEAR(D145)+2)=YEAR(E145),(12-MONTH(E145)+1)/12,1))))))))&gt;0,(((K145)*(IF(M145="",L145,IFERROR(IF(INDEX(Variablen!$I:$AT, MATCH(M145, Variablen!$A:$A, 0), MATCH((YEAR(D145)+2), Variablen!$I$3:$AT$3, 0))="",L145,INDEX(Variablen!$I:$AT, MATCH(M145, Variablen!$A:$A, 0), MATCH((YEAR(D145)+2), Variablen!$I$3:$AT$3, 0))),L145)))*(IF((YEAR(D145)+2)&lt;YEAR(E145),0,IF((YEAR(D145)+2)&gt;YEAR(E145),1,(12-MONTH(E145)+1)/12))) + (Q145)*(IF((YEAR(D145)+2)&lt;YEAR(E145),0,IF((YEAR(D145)+2)&gt;YEAR(E145),1,(12-MONTH(E145)+1)/12))))-((P145)*(IF((YEAR(D145)+2)&lt;YEAR(E145),0,IF((YEAR(D145)+2)&gt;YEAR(E145),1,(12-MONTH(E145)+1)/12))) + (R145)*(IF((YEAR(D145)+2)&lt;YEAR(E145),0,IF((YEAR(D145)+2)&gt;YEAR(E145),1,(12-MONTH(E145)+1)/12))))-(IF(OR(N145="",N145&lt;=0),0,(O145/N145)*(IF(OR(N145="",N145&lt;=0),0,IF((YEAR(D145)+2)&lt;YEAR(E145),0,IF((YEAR(D145)+2)&gt;=YEAR(E145)+N145,0,IF((YEAR(D145)+2)=YEAR(E145),(12-MONTH(E145)+1)/12,1))))))))*TaxRate,0))-IF(2=0,O145,0))</f>
        <v/>
      </c>
      <c r="V145" s="29">
        <f>IF(A145="","",((K145)*(IF(M145="",L145,IFERROR(IF(INDEX(Variablen!$I:$AT, MATCH(M145, Variablen!$A:$A, 0), MATCH((YEAR(D145)+3), Variablen!$I$3:$AT$3, 0))="",L145,INDEX(Variablen!$I:$AT, MATCH(M145, Variablen!$A:$A, 0), MATCH((YEAR(D145)+3), Variablen!$I$3:$AT$3, 0))),L145)))*(IF((YEAR(D145)+3)&lt;YEAR(E145),0,IF((YEAR(D145)+3)&gt;YEAR(E145),1,(12-MONTH(E145)+1)/12))) + (Q145)*(IF((YEAR(D145)+3)&lt;YEAR(E145),0,IF((YEAR(D145)+3)&gt;YEAR(E145),1,(12-MONTH(E145)+1)/12))))-((P145)*(IF((YEAR(D145)+3)&lt;YEAR(E145),0,IF((YEAR(D145)+3)&gt;YEAR(E145),1,(12-MONTH(E145)+1)/12))) + (R145)*(IF((YEAR(D145)+3)&lt;YEAR(E145),0,IF((YEAR(D145)+3)&gt;YEAR(E145),1,(12-MONTH(E145)+1)/12))))-(IF((((K145)*(IF(M145="",L145,IFERROR(IF(INDEX(Variablen!$I:$AT, MATCH(M145, Variablen!$A:$A, 0), MATCH((YEAR(D145)+3), Variablen!$I$3:$AT$3, 0))="",L145,INDEX(Variablen!$I:$AT, MATCH(M145, Variablen!$A:$A, 0), MATCH((YEAR(D145)+3), Variablen!$I$3:$AT$3, 0))),L145)))*(IF((YEAR(D145)+3)&lt;YEAR(E145),0,IF((YEAR(D145)+3)&gt;YEAR(E145),1,(12-MONTH(E145)+1)/12))) + (Q145)*(IF((YEAR(D145)+3)&lt;YEAR(E145),0,IF((YEAR(D145)+3)&gt;YEAR(E145),1,(12-MONTH(E145)+1)/12))))-((P145)*(IF((YEAR(D145)+3)&lt;YEAR(E145),0,IF((YEAR(D145)+3)&gt;YEAR(E145),1,(12-MONTH(E145)+1)/12))) + (R145)*(IF((YEAR(D145)+3)&lt;YEAR(E145),0,IF((YEAR(D145)+3)&gt;YEAR(E145),1,(12-MONTH(E145)+1)/12))))-(IF(OR(N145="",N145&lt;=0),0,(O145/N145)*(IF(OR(N145="",N145&lt;=0),0,IF((YEAR(D145)+3)&lt;YEAR(E145),0,IF((YEAR(D145)+3)&gt;=YEAR(E145)+N145,0,IF((YEAR(D145)+3)=YEAR(E145),(12-MONTH(E145)+1)/12,1))))))))&gt;0,(((K145)*(IF(M145="",L145,IFERROR(IF(INDEX(Variablen!$I:$AT, MATCH(M145, Variablen!$A:$A, 0), MATCH((YEAR(D145)+3), Variablen!$I$3:$AT$3, 0))="",L145,INDEX(Variablen!$I:$AT, MATCH(M145, Variablen!$A:$A, 0), MATCH((YEAR(D145)+3), Variablen!$I$3:$AT$3, 0))),L145)))*(IF((YEAR(D145)+3)&lt;YEAR(E145),0,IF((YEAR(D145)+3)&gt;YEAR(E145),1,(12-MONTH(E145)+1)/12))) + (Q145)*(IF((YEAR(D145)+3)&lt;YEAR(E145),0,IF((YEAR(D145)+3)&gt;YEAR(E145),1,(12-MONTH(E145)+1)/12))))-((P145)*(IF((YEAR(D145)+3)&lt;YEAR(E145),0,IF((YEAR(D145)+3)&gt;YEAR(E145),1,(12-MONTH(E145)+1)/12))) + (R145)*(IF((YEAR(D145)+3)&lt;YEAR(E145),0,IF((YEAR(D145)+3)&gt;YEAR(E145),1,(12-MONTH(E145)+1)/12))))-(IF(OR(N145="",N145&lt;=0),0,(O145/N145)*(IF(OR(N145="",N145&lt;=0),0,IF((YEAR(D145)+3)&lt;YEAR(E145),0,IF((YEAR(D145)+3)&gt;=YEAR(E145)+N145,0,IF((YEAR(D145)+3)=YEAR(E145),(12-MONTH(E145)+1)/12,1))))))))*TaxRate,0))-IF(3=0,O145,0))</f>
        <v/>
      </c>
      <c r="W145" s="29">
        <f>IF(A145="","",((K145)*(IF(M145="",L145,IFERROR(IF(INDEX(Variablen!$I:$AT, MATCH(M145, Variablen!$A:$A, 0), MATCH((YEAR(D145)+4), Variablen!$I$3:$AT$3, 0))="",L145,INDEX(Variablen!$I:$AT, MATCH(M145, Variablen!$A:$A, 0), MATCH((YEAR(D145)+4), Variablen!$I$3:$AT$3, 0))),L145)))*(IF((YEAR(D145)+4)&lt;YEAR(E145),0,IF((YEAR(D145)+4)&gt;YEAR(E145),1,(12-MONTH(E145)+1)/12))) + (Q145)*(IF((YEAR(D145)+4)&lt;YEAR(E145),0,IF((YEAR(D145)+4)&gt;YEAR(E145),1,(12-MONTH(E145)+1)/12))))-((P145)*(IF((YEAR(D145)+4)&lt;YEAR(E145),0,IF((YEAR(D145)+4)&gt;YEAR(E145),1,(12-MONTH(E145)+1)/12))) + (R145)*(IF((YEAR(D145)+4)&lt;YEAR(E145),0,IF((YEAR(D145)+4)&gt;YEAR(E145),1,(12-MONTH(E145)+1)/12))))-(IF((((K145)*(IF(M145="",L145,IFERROR(IF(INDEX(Variablen!$I:$AT, MATCH(M145, Variablen!$A:$A, 0), MATCH((YEAR(D145)+4), Variablen!$I$3:$AT$3, 0))="",L145,INDEX(Variablen!$I:$AT, MATCH(M145, Variablen!$A:$A, 0), MATCH((YEAR(D145)+4), Variablen!$I$3:$AT$3, 0))),L145)))*(IF((YEAR(D145)+4)&lt;YEAR(E145),0,IF((YEAR(D145)+4)&gt;YEAR(E145),1,(12-MONTH(E145)+1)/12))) + (Q145)*(IF((YEAR(D145)+4)&lt;YEAR(E145),0,IF((YEAR(D145)+4)&gt;YEAR(E145),1,(12-MONTH(E145)+1)/12))))-((P145)*(IF((YEAR(D145)+4)&lt;YEAR(E145),0,IF((YEAR(D145)+4)&gt;YEAR(E145),1,(12-MONTH(E145)+1)/12))) + (R145)*(IF((YEAR(D145)+4)&lt;YEAR(E145),0,IF((YEAR(D145)+4)&gt;YEAR(E145),1,(12-MONTH(E145)+1)/12))))-(IF(OR(N145="",N145&lt;=0),0,(O145/N145)*(IF(OR(N145="",N145&lt;=0),0,IF((YEAR(D145)+4)&lt;YEAR(E145),0,IF((YEAR(D145)+4)&gt;=YEAR(E145)+N145,0,IF((YEAR(D145)+4)=YEAR(E145),(12-MONTH(E145)+1)/12,1))))))))&gt;0,(((K145)*(IF(M145="",L145,IFERROR(IF(INDEX(Variablen!$I:$AT, MATCH(M145, Variablen!$A:$A, 0), MATCH((YEAR(D145)+4), Variablen!$I$3:$AT$3, 0))="",L145,INDEX(Variablen!$I:$AT, MATCH(M145, Variablen!$A:$A, 0), MATCH((YEAR(D145)+4), Variablen!$I$3:$AT$3, 0))),L145)))*(IF((YEAR(D145)+4)&lt;YEAR(E145),0,IF((YEAR(D145)+4)&gt;YEAR(E145),1,(12-MONTH(E145)+1)/12))) + (Q145)*(IF((YEAR(D145)+4)&lt;YEAR(E145),0,IF((YEAR(D145)+4)&gt;YEAR(E145),1,(12-MONTH(E145)+1)/12))))-((P145)*(IF((YEAR(D145)+4)&lt;YEAR(E145),0,IF((YEAR(D145)+4)&gt;YEAR(E145),1,(12-MONTH(E145)+1)/12))) + (R145)*(IF((YEAR(D145)+4)&lt;YEAR(E145),0,IF((YEAR(D145)+4)&gt;YEAR(E145),1,(12-MONTH(E145)+1)/12))))-(IF(OR(N145="",N145&lt;=0),0,(O145/N145)*(IF(OR(N145="",N145&lt;=0),0,IF((YEAR(D145)+4)&lt;YEAR(E145),0,IF((YEAR(D145)+4)&gt;=YEAR(E145)+N145,0,IF((YEAR(D145)+4)=YEAR(E145),(12-MONTH(E145)+1)/12,1))))))))*TaxRate,0))-IF(4=0,O145,0))</f>
        <v/>
      </c>
      <c r="X145" s="29">
        <f>IF(A145="","",((K145)*(IF(M145="",L145,IFERROR(IF(INDEX(Variablen!$I:$AT, MATCH(M145, Variablen!$A:$A, 0), MATCH((YEAR(D145)+5), Variablen!$I$3:$AT$3, 0))="",L145,INDEX(Variablen!$I:$AT, MATCH(M145, Variablen!$A:$A, 0), MATCH((YEAR(D145)+5), Variablen!$I$3:$AT$3, 0))),L145)))*(IF((YEAR(D145)+5)&lt;YEAR(E145),0,IF((YEAR(D145)+5)&gt;YEAR(E145),1,(12-MONTH(E145)+1)/12))) + (Q145)*(IF((YEAR(D145)+5)&lt;YEAR(E145),0,IF((YEAR(D145)+5)&gt;YEAR(E145),1,(12-MONTH(E145)+1)/12))))-((P145)*(IF((YEAR(D145)+5)&lt;YEAR(E145),0,IF((YEAR(D145)+5)&gt;YEAR(E145),1,(12-MONTH(E145)+1)/12))) + (R145)*(IF((YEAR(D145)+5)&lt;YEAR(E145),0,IF((YEAR(D145)+5)&gt;YEAR(E145),1,(12-MONTH(E145)+1)/12))))-(IF((((K145)*(IF(M145="",L145,IFERROR(IF(INDEX(Variablen!$I:$AT, MATCH(M145, Variablen!$A:$A, 0), MATCH((YEAR(D145)+5), Variablen!$I$3:$AT$3, 0))="",L145,INDEX(Variablen!$I:$AT, MATCH(M145, Variablen!$A:$A, 0), MATCH((YEAR(D145)+5), Variablen!$I$3:$AT$3, 0))),L145)))*(IF((YEAR(D145)+5)&lt;YEAR(E145),0,IF((YEAR(D145)+5)&gt;YEAR(E145),1,(12-MONTH(E145)+1)/12))) + (Q145)*(IF((YEAR(D145)+5)&lt;YEAR(E145),0,IF((YEAR(D145)+5)&gt;YEAR(E145),1,(12-MONTH(E145)+1)/12))))-((P145)*(IF((YEAR(D145)+5)&lt;YEAR(E145),0,IF((YEAR(D145)+5)&gt;YEAR(E145),1,(12-MONTH(E145)+1)/12))) + (R145)*(IF((YEAR(D145)+5)&lt;YEAR(E145),0,IF((YEAR(D145)+5)&gt;YEAR(E145),1,(12-MONTH(E145)+1)/12))))-(IF(OR(N145="",N145&lt;=0),0,(O145/N145)*(IF(OR(N145="",N145&lt;=0),0,IF((YEAR(D145)+5)&lt;YEAR(E145),0,IF((YEAR(D145)+5)&gt;=YEAR(E145)+N145,0,IF((YEAR(D145)+5)=YEAR(E145),(12-MONTH(E145)+1)/12,1))))))))&gt;0,(((K145)*(IF(M145="",L145,IFERROR(IF(INDEX(Variablen!$I:$AT, MATCH(M145, Variablen!$A:$A, 0), MATCH((YEAR(D145)+5), Variablen!$I$3:$AT$3, 0))="",L145,INDEX(Variablen!$I:$AT, MATCH(M145, Variablen!$A:$A, 0), MATCH((YEAR(D145)+5), Variablen!$I$3:$AT$3, 0))),L145)))*(IF((YEAR(D145)+5)&lt;YEAR(E145),0,IF((YEAR(D145)+5)&gt;YEAR(E145),1,(12-MONTH(E145)+1)/12))) + (Q145)*(IF((YEAR(D145)+5)&lt;YEAR(E145),0,IF((YEAR(D145)+5)&gt;YEAR(E145),1,(12-MONTH(E145)+1)/12))))-((P145)*(IF((YEAR(D145)+5)&lt;YEAR(E145),0,IF((YEAR(D145)+5)&gt;YEAR(E145),1,(12-MONTH(E145)+1)/12))) + (R145)*(IF((YEAR(D145)+5)&lt;YEAR(E145),0,IF((YEAR(D145)+5)&gt;YEAR(E145),1,(12-MONTH(E145)+1)/12))))-(IF(OR(N145="",N145&lt;=0),0,(O145/N145)*(IF(OR(N145="",N145&lt;=0),0,IF((YEAR(D145)+5)&lt;YEAR(E145),0,IF((YEAR(D145)+5)&gt;=YEAR(E145)+N145,0,IF((YEAR(D145)+5)=YEAR(E145),(12-MONTH(E145)+1)/12,1))))))))*TaxRate,0))-IF(5=0,O145,0))</f>
        <v/>
      </c>
      <c r="Y145" s="29">
        <f>IF(A145="","",((K145)*(IF(M145="",L145,IFERROR(IF(INDEX(Variablen!$I:$AT, MATCH(M145, Variablen!$A:$A, 0), MATCH((YEAR(D145)+6), Variablen!$I$3:$AT$3, 0))="",L145,INDEX(Variablen!$I:$AT, MATCH(M145, Variablen!$A:$A, 0), MATCH((YEAR(D145)+6), Variablen!$I$3:$AT$3, 0))),L145)))*(IF((YEAR(D145)+6)&lt;YEAR(E145),0,IF((YEAR(D145)+6)&gt;YEAR(E145),1,(12-MONTH(E145)+1)/12))) + (Q145)*(IF((YEAR(D145)+6)&lt;YEAR(E145),0,IF((YEAR(D145)+6)&gt;YEAR(E145),1,(12-MONTH(E145)+1)/12))))-((P145)*(IF((YEAR(D145)+6)&lt;YEAR(E145),0,IF((YEAR(D145)+6)&gt;YEAR(E145),1,(12-MONTH(E145)+1)/12))) + (R145)*(IF((YEAR(D145)+6)&lt;YEAR(E145),0,IF((YEAR(D145)+6)&gt;YEAR(E145),1,(12-MONTH(E145)+1)/12))))-(IF((((K145)*(IF(M145="",L145,IFERROR(IF(INDEX(Variablen!$I:$AT, MATCH(M145, Variablen!$A:$A, 0), MATCH((YEAR(D145)+6), Variablen!$I$3:$AT$3, 0))="",L145,INDEX(Variablen!$I:$AT, MATCH(M145, Variablen!$A:$A, 0), MATCH((YEAR(D145)+6), Variablen!$I$3:$AT$3, 0))),L145)))*(IF((YEAR(D145)+6)&lt;YEAR(E145),0,IF((YEAR(D145)+6)&gt;YEAR(E145),1,(12-MONTH(E145)+1)/12))) + (Q145)*(IF((YEAR(D145)+6)&lt;YEAR(E145),0,IF((YEAR(D145)+6)&gt;YEAR(E145),1,(12-MONTH(E145)+1)/12))))-((P145)*(IF((YEAR(D145)+6)&lt;YEAR(E145),0,IF((YEAR(D145)+6)&gt;YEAR(E145),1,(12-MONTH(E145)+1)/12))) + (R145)*(IF((YEAR(D145)+6)&lt;YEAR(E145),0,IF((YEAR(D145)+6)&gt;YEAR(E145),1,(12-MONTH(E145)+1)/12))))-(IF(OR(N145="",N145&lt;=0),0,(O145/N145)*(IF(OR(N145="",N145&lt;=0),0,IF((YEAR(D145)+6)&lt;YEAR(E145),0,IF((YEAR(D145)+6)&gt;=YEAR(E145)+N145,0,IF((YEAR(D145)+6)=YEAR(E145),(12-MONTH(E145)+1)/12,1))))))))&gt;0,(((K145)*(IF(M145="",L145,IFERROR(IF(INDEX(Variablen!$I:$AT, MATCH(M145, Variablen!$A:$A, 0), MATCH((YEAR(D145)+6), Variablen!$I$3:$AT$3, 0))="",L145,INDEX(Variablen!$I:$AT, MATCH(M145, Variablen!$A:$A, 0), MATCH((YEAR(D145)+6), Variablen!$I$3:$AT$3, 0))),L145)))*(IF((YEAR(D145)+6)&lt;YEAR(E145),0,IF((YEAR(D145)+6)&gt;YEAR(E145),1,(12-MONTH(E145)+1)/12))) + (Q145)*(IF((YEAR(D145)+6)&lt;YEAR(E145),0,IF((YEAR(D145)+6)&gt;YEAR(E145),1,(12-MONTH(E145)+1)/12))))-((P145)*(IF((YEAR(D145)+6)&lt;YEAR(E145),0,IF((YEAR(D145)+6)&gt;YEAR(E145),1,(12-MONTH(E145)+1)/12))) + (R145)*(IF((YEAR(D145)+6)&lt;YEAR(E145),0,IF((YEAR(D145)+6)&gt;YEAR(E145),1,(12-MONTH(E145)+1)/12))))-(IF(OR(N145="",N145&lt;=0),0,(O145/N145)*(IF(OR(N145="",N145&lt;=0),0,IF((YEAR(D145)+6)&lt;YEAR(E145),0,IF((YEAR(D145)+6)&gt;=YEAR(E145)+N145,0,IF((YEAR(D145)+6)=YEAR(E145),(12-MONTH(E145)+1)/12,1))))))))*TaxRate,0))-IF(6=0,O145,0))</f>
        <v/>
      </c>
      <c r="Z145" s="29">
        <f>IF(A145="","",((K145)*(IF(M145="",L145,IFERROR(IF(INDEX(Variablen!$I:$AT, MATCH(M145, Variablen!$A:$A, 0), MATCH((YEAR(D145)+7), Variablen!$I$3:$AT$3, 0))="",L145,INDEX(Variablen!$I:$AT, MATCH(M145, Variablen!$A:$A, 0), MATCH((YEAR(D145)+7), Variablen!$I$3:$AT$3, 0))),L145)))*(IF((YEAR(D145)+7)&lt;YEAR(E145),0,IF((YEAR(D145)+7)&gt;YEAR(E145),1,(12-MONTH(E145)+1)/12))) + (Q145)*(IF((YEAR(D145)+7)&lt;YEAR(E145),0,IF((YEAR(D145)+7)&gt;YEAR(E145),1,(12-MONTH(E145)+1)/12))))-((P145)*(IF((YEAR(D145)+7)&lt;YEAR(E145),0,IF((YEAR(D145)+7)&gt;YEAR(E145),1,(12-MONTH(E145)+1)/12))) + (R145)*(IF((YEAR(D145)+7)&lt;YEAR(E145),0,IF((YEAR(D145)+7)&gt;YEAR(E145),1,(12-MONTH(E145)+1)/12))))-(IF((((K145)*(IF(M145="",L145,IFERROR(IF(INDEX(Variablen!$I:$AT, MATCH(M145, Variablen!$A:$A, 0), MATCH((YEAR(D145)+7), Variablen!$I$3:$AT$3, 0))="",L145,INDEX(Variablen!$I:$AT, MATCH(M145, Variablen!$A:$A, 0), MATCH((YEAR(D145)+7), Variablen!$I$3:$AT$3, 0))),L145)))*(IF((YEAR(D145)+7)&lt;YEAR(E145),0,IF((YEAR(D145)+7)&gt;YEAR(E145),1,(12-MONTH(E145)+1)/12))) + (Q145)*(IF((YEAR(D145)+7)&lt;YEAR(E145),0,IF((YEAR(D145)+7)&gt;YEAR(E145),1,(12-MONTH(E145)+1)/12))))-((P145)*(IF((YEAR(D145)+7)&lt;YEAR(E145),0,IF((YEAR(D145)+7)&gt;YEAR(E145),1,(12-MONTH(E145)+1)/12))) + (R145)*(IF((YEAR(D145)+7)&lt;YEAR(E145),0,IF((YEAR(D145)+7)&gt;YEAR(E145),1,(12-MONTH(E145)+1)/12))))-(IF(OR(N145="",N145&lt;=0),0,(O145/N145)*(IF(OR(N145="",N145&lt;=0),0,IF((YEAR(D145)+7)&lt;YEAR(E145),0,IF((YEAR(D145)+7)&gt;=YEAR(E145)+N145,0,IF((YEAR(D145)+7)=YEAR(E145),(12-MONTH(E145)+1)/12,1))))))))&gt;0,(((K145)*(IF(M145="",L145,IFERROR(IF(INDEX(Variablen!$I:$AT, MATCH(M145, Variablen!$A:$A, 0), MATCH((YEAR(D145)+7), Variablen!$I$3:$AT$3, 0))="",L145,INDEX(Variablen!$I:$AT, MATCH(M145, Variablen!$A:$A, 0), MATCH((YEAR(D145)+7), Variablen!$I$3:$AT$3, 0))),L145)))*(IF((YEAR(D145)+7)&lt;YEAR(E145),0,IF((YEAR(D145)+7)&gt;YEAR(E145),1,(12-MONTH(E145)+1)/12))) + (Q145)*(IF((YEAR(D145)+7)&lt;YEAR(E145),0,IF((YEAR(D145)+7)&gt;YEAR(E145),1,(12-MONTH(E145)+1)/12))))-((P145)*(IF((YEAR(D145)+7)&lt;YEAR(E145),0,IF((YEAR(D145)+7)&gt;YEAR(E145),1,(12-MONTH(E145)+1)/12))) + (R145)*(IF((YEAR(D145)+7)&lt;YEAR(E145),0,IF((YEAR(D145)+7)&gt;YEAR(E145),1,(12-MONTH(E145)+1)/12))))-(IF(OR(N145="",N145&lt;=0),0,(O145/N145)*(IF(OR(N145="",N145&lt;=0),0,IF((YEAR(D145)+7)&lt;YEAR(E145),0,IF((YEAR(D145)+7)&gt;=YEAR(E145)+N145,0,IF((YEAR(D145)+7)=YEAR(E145),(12-MONTH(E145)+1)/12,1))))))))*TaxRate,0))-IF(7=0,O145,0))</f>
        <v/>
      </c>
      <c r="AA145" s="29">
        <f>IF(A145="","",((K145)*(IF(M145="",L145,IFERROR(IF(INDEX(Variablen!$I:$AT, MATCH(M145, Variablen!$A:$A, 0), MATCH((YEAR(D145)+8), Variablen!$I$3:$AT$3, 0))="",L145,INDEX(Variablen!$I:$AT, MATCH(M145, Variablen!$A:$A, 0), MATCH((YEAR(D145)+8), Variablen!$I$3:$AT$3, 0))),L145)))*(IF((YEAR(D145)+8)&lt;YEAR(E145),0,IF((YEAR(D145)+8)&gt;YEAR(E145),1,(12-MONTH(E145)+1)/12))) + (Q145)*(IF((YEAR(D145)+8)&lt;YEAR(E145),0,IF((YEAR(D145)+8)&gt;YEAR(E145),1,(12-MONTH(E145)+1)/12))))-((P145)*(IF((YEAR(D145)+8)&lt;YEAR(E145),0,IF((YEAR(D145)+8)&gt;YEAR(E145),1,(12-MONTH(E145)+1)/12))) + (R145)*(IF((YEAR(D145)+8)&lt;YEAR(E145),0,IF((YEAR(D145)+8)&gt;YEAR(E145),1,(12-MONTH(E145)+1)/12))))-(IF((((K145)*(IF(M145="",L145,IFERROR(IF(INDEX(Variablen!$I:$AT, MATCH(M145, Variablen!$A:$A, 0), MATCH((YEAR(D145)+8), Variablen!$I$3:$AT$3, 0))="",L145,INDEX(Variablen!$I:$AT, MATCH(M145, Variablen!$A:$A, 0), MATCH((YEAR(D145)+8), Variablen!$I$3:$AT$3, 0))),L145)))*(IF((YEAR(D145)+8)&lt;YEAR(E145),0,IF((YEAR(D145)+8)&gt;YEAR(E145),1,(12-MONTH(E145)+1)/12))) + (Q145)*(IF((YEAR(D145)+8)&lt;YEAR(E145),0,IF((YEAR(D145)+8)&gt;YEAR(E145),1,(12-MONTH(E145)+1)/12))))-((P145)*(IF((YEAR(D145)+8)&lt;YEAR(E145),0,IF((YEAR(D145)+8)&gt;YEAR(E145),1,(12-MONTH(E145)+1)/12))) + (R145)*(IF((YEAR(D145)+8)&lt;YEAR(E145),0,IF((YEAR(D145)+8)&gt;YEAR(E145),1,(12-MONTH(E145)+1)/12))))-(IF(OR(N145="",N145&lt;=0),0,(O145/N145)*(IF(OR(N145="",N145&lt;=0),0,IF((YEAR(D145)+8)&lt;YEAR(E145),0,IF((YEAR(D145)+8)&gt;=YEAR(E145)+N145,0,IF((YEAR(D145)+8)=YEAR(E145),(12-MONTH(E145)+1)/12,1))))))))&gt;0,(((K145)*(IF(M145="",L145,IFERROR(IF(INDEX(Variablen!$I:$AT, MATCH(M145, Variablen!$A:$A, 0), MATCH((YEAR(D145)+8), Variablen!$I$3:$AT$3, 0))="",L145,INDEX(Variablen!$I:$AT, MATCH(M145, Variablen!$A:$A, 0), MATCH((YEAR(D145)+8), Variablen!$I$3:$AT$3, 0))),L145)))*(IF((YEAR(D145)+8)&lt;YEAR(E145),0,IF((YEAR(D145)+8)&gt;YEAR(E145),1,(12-MONTH(E145)+1)/12))) + (Q145)*(IF((YEAR(D145)+8)&lt;YEAR(E145),0,IF((YEAR(D145)+8)&gt;YEAR(E145),1,(12-MONTH(E145)+1)/12))))-((P145)*(IF((YEAR(D145)+8)&lt;YEAR(E145),0,IF((YEAR(D145)+8)&gt;YEAR(E145),1,(12-MONTH(E145)+1)/12))) + (R145)*(IF((YEAR(D145)+8)&lt;YEAR(E145),0,IF((YEAR(D145)+8)&gt;YEAR(E145),1,(12-MONTH(E145)+1)/12))))-(IF(OR(N145="",N145&lt;=0),0,(O145/N145)*(IF(OR(N145="",N145&lt;=0),0,IF((YEAR(D145)+8)&lt;YEAR(E145),0,IF((YEAR(D145)+8)&gt;=YEAR(E145)+N145,0,IF((YEAR(D145)+8)=YEAR(E145),(12-MONTH(E145)+1)/12,1))))))))*TaxRate,0))-IF(8=0,O145,0))</f>
        <v/>
      </c>
      <c r="AB145" s="29">
        <f>IF(A145="","",((K145)*(IF(M145="",L145,IFERROR(IF(INDEX(Variablen!$I:$AT, MATCH(M145, Variablen!$A:$A, 0), MATCH((YEAR(D145)+9), Variablen!$I$3:$AT$3, 0))="",L145,INDEX(Variablen!$I:$AT, MATCH(M145, Variablen!$A:$A, 0), MATCH((YEAR(D145)+9), Variablen!$I$3:$AT$3, 0))),L145)))*(IF((YEAR(D145)+9)&lt;YEAR(E145),0,IF((YEAR(D145)+9)&gt;YEAR(E145),1,(12-MONTH(E145)+1)/12))) + (Q145)*(IF((YEAR(D145)+9)&lt;YEAR(E145),0,IF((YEAR(D145)+9)&gt;YEAR(E145),1,(12-MONTH(E145)+1)/12))))-((P145)*(IF((YEAR(D145)+9)&lt;YEAR(E145),0,IF((YEAR(D145)+9)&gt;YEAR(E145),1,(12-MONTH(E145)+1)/12))) + (R145)*(IF((YEAR(D145)+9)&lt;YEAR(E145),0,IF((YEAR(D145)+9)&gt;YEAR(E145),1,(12-MONTH(E145)+1)/12))))-(IF((((K145)*(IF(M145="",L145,IFERROR(IF(INDEX(Variablen!$I:$AT, MATCH(M145, Variablen!$A:$A, 0), MATCH((YEAR(D145)+9), Variablen!$I$3:$AT$3, 0))="",L145,INDEX(Variablen!$I:$AT, MATCH(M145, Variablen!$A:$A, 0), MATCH((YEAR(D145)+9), Variablen!$I$3:$AT$3, 0))),L145)))*(IF((YEAR(D145)+9)&lt;YEAR(E145),0,IF((YEAR(D145)+9)&gt;YEAR(E145),1,(12-MONTH(E145)+1)/12))) + (Q145)*(IF((YEAR(D145)+9)&lt;YEAR(E145),0,IF((YEAR(D145)+9)&gt;YEAR(E145),1,(12-MONTH(E145)+1)/12))))-((P145)*(IF((YEAR(D145)+9)&lt;YEAR(E145),0,IF((YEAR(D145)+9)&gt;YEAR(E145),1,(12-MONTH(E145)+1)/12))) + (R145)*(IF((YEAR(D145)+9)&lt;YEAR(E145),0,IF((YEAR(D145)+9)&gt;YEAR(E145),1,(12-MONTH(E145)+1)/12))))-(IF(OR(N145="",N145&lt;=0),0,(O145/N145)*(IF(OR(N145="",N145&lt;=0),0,IF((YEAR(D145)+9)&lt;YEAR(E145),0,IF((YEAR(D145)+9)&gt;=YEAR(E145)+N145,0,IF((YEAR(D145)+9)=YEAR(E145),(12-MONTH(E145)+1)/12,1))))))))&gt;0,(((K145)*(IF(M145="",L145,IFERROR(IF(INDEX(Variablen!$I:$AT, MATCH(M145, Variablen!$A:$A, 0), MATCH((YEAR(D145)+9), Variablen!$I$3:$AT$3, 0))="",L145,INDEX(Variablen!$I:$AT, MATCH(M145, Variablen!$A:$A, 0), MATCH((YEAR(D145)+9), Variablen!$I$3:$AT$3, 0))),L145)))*(IF((YEAR(D145)+9)&lt;YEAR(E145),0,IF((YEAR(D145)+9)&gt;YEAR(E145),1,(12-MONTH(E145)+1)/12))) + (Q145)*(IF((YEAR(D145)+9)&lt;YEAR(E145),0,IF((YEAR(D145)+9)&gt;YEAR(E145),1,(12-MONTH(E145)+1)/12))))-((P145)*(IF((YEAR(D145)+9)&lt;YEAR(E145),0,IF((YEAR(D145)+9)&gt;YEAR(E145),1,(12-MONTH(E145)+1)/12))) + (R145)*(IF((YEAR(D145)+9)&lt;YEAR(E145),0,IF((YEAR(D145)+9)&gt;YEAR(E145),1,(12-MONTH(E145)+1)/12))))-(IF(OR(N145="",N145&lt;=0),0,(O145/N145)*(IF(OR(N145="",N145&lt;=0),0,IF((YEAR(D145)+9)&lt;YEAR(E145),0,IF((YEAR(D145)+9)&gt;=YEAR(E145)+N145,0,IF((YEAR(D145)+9)=YEAR(E145),(12-MONTH(E145)+1)/12,1))))))))*TaxRate,0))-IF(9=0,O145,0))</f>
        <v/>
      </c>
      <c r="AC145" s="29">
        <f>IF(A145="","",((K145)*(IF(M145="",L145,IFERROR(IF(INDEX(Variablen!$I:$AT, MATCH(M145, Variablen!$A:$A, 0), MATCH((YEAR(D145)+10), Variablen!$I$3:$AT$3, 0))="",L145,INDEX(Variablen!$I:$AT, MATCH(M145, Variablen!$A:$A, 0), MATCH((YEAR(D145)+10), Variablen!$I$3:$AT$3, 0))),L145)))*(IF((YEAR(D145)+10)&lt;YEAR(E145),0,IF((YEAR(D145)+10)&gt;YEAR(E145),1,(12-MONTH(E145)+1)/12))) + (Q145)*(IF((YEAR(D145)+10)&lt;YEAR(E145),0,IF((YEAR(D145)+10)&gt;YEAR(E145),1,(12-MONTH(E145)+1)/12))))-((P145)*(IF((YEAR(D145)+10)&lt;YEAR(E145),0,IF((YEAR(D145)+10)&gt;YEAR(E145),1,(12-MONTH(E145)+1)/12))) + (R145)*(IF((YEAR(D145)+10)&lt;YEAR(E145),0,IF((YEAR(D145)+10)&gt;YEAR(E145),1,(12-MONTH(E145)+1)/12))))-(IF((((K145)*(IF(M145="",L145,IFERROR(IF(INDEX(Variablen!$I:$AT, MATCH(M145, Variablen!$A:$A, 0), MATCH((YEAR(D145)+10), Variablen!$I$3:$AT$3, 0))="",L145,INDEX(Variablen!$I:$AT, MATCH(M145, Variablen!$A:$A, 0), MATCH((YEAR(D145)+10), Variablen!$I$3:$AT$3, 0))),L145)))*(IF((YEAR(D145)+10)&lt;YEAR(E145),0,IF((YEAR(D145)+10)&gt;YEAR(E145),1,(12-MONTH(E145)+1)/12))) + (Q145)*(IF((YEAR(D145)+10)&lt;YEAR(E145),0,IF((YEAR(D145)+10)&gt;YEAR(E145),1,(12-MONTH(E145)+1)/12))))-((P145)*(IF((YEAR(D145)+10)&lt;YEAR(E145),0,IF((YEAR(D145)+10)&gt;YEAR(E145),1,(12-MONTH(E145)+1)/12))) + (R145)*(IF((YEAR(D145)+10)&lt;YEAR(E145),0,IF((YEAR(D145)+10)&gt;YEAR(E145),1,(12-MONTH(E145)+1)/12))))-(IF(OR(N145="",N145&lt;=0),0,(O145/N145)*(IF(OR(N145="",N145&lt;=0),0,IF((YEAR(D145)+10)&lt;YEAR(E145),0,IF((YEAR(D145)+10)&gt;=YEAR(E145)+N145,0,IF((YEAR(D145)+10)=YEAR(E145),(12-MONTH(E145)+1)/12,1))))))))&gt;0,(((K145)*(IF(M145="",L145,IFERROR(IF(INDEX(Variablen!$I:$AT, MATCH(M145, Variablen!$A:$A, 0), MATCH((YEAR(D145)+10), Variablen!$I$3:$AT$3, 0))="",L145,INDEX(Variablen!$I:$AT, MATCH(M145, Variablen!$A:$A, 0), MATCH((YEAR(D145)+10), Variablen!$I$3:$AT$3, 0))),L145)))*(IF((YEAR(D145)+10)&lt;YEAR(E145),0,IF((YEAR(D145)+10)&gt;YEAR(E145),1,(12-MONTH(E145)+1)/12))) + (Q145)*(IF((YEAR(D145)+10)&lt;YEAR(E145),0,IF((YEAR(D145)+10)&gt;YEAR(E145),1,(12-MONTH(E145)+1)/12))))-((P145)*(IF((YEAR(D145)+10)&lt;YEAR(E145),0,IF((YEAR(D145)+10)&gt;YEAR(E145),1,(12-MONTH(E145)+1)/12))) + (R145)*(IF((YEAR(D145)+10)&lt;YEAR(E145),0,IF((YEAR(D145)+10)&gt;YEAR(E145),1,(12-MONTH(E145)+1)/12))))-(IF(OR(N145="",N145&lt;=0),0,(O145/N145)*(IF(OR(N145="",N145&lt;=0),0,IF((YEAR(D145)+10)&lt;YEAR(E145),0,IF((YEAR(D145)+10)&gt;=YEAR(E145)+N145,0,IF((YEAR(D145)+10)=YEAR(E145),(12-MONTH(E145)+1)/12,1))))))))*TaxRate,0))-IF(10=0,O145,0))</f>
        <v/>
      </c>
      <c r="AD145" s="29">
        <f>IF(A145="","",((K145)*(IF(M145="",L145,IFERROR(IF(INDEX(Variablen!$I:$AT, MATCH(M145, Variablen!$A:$A, 0), MATCH((YEAR(D145)+11), Variablen!$I$3:$AT$3, 0))="",L145,INDEX(Variablen!$I:$AT, MATCH(M145, Variablen!$A:$A, 0), MATCH((YEAR(D145)+11), Variablen!$I$3:$AT$3, 0))),L145)))*(IF((YEAR(D145)+11)&lt;YEAR(E145),0,IF((YEAR(D145)+11)&gt;YEAR(E145),1,(12-MONTH(E145)+1)/12))) + (Q145)*(IF((YEAR(D145)+11)&lt;YEAR(E145),0,IF((YEAR(D145)+11)&gt;YEAR(E145),1,(12-MONTH(E145)+1)/12))))-((P145)*(IF((YEAR(D145)+11)&lt;YEAR(E145),0,IF((YEAR(D145)+11)&gt;YEAR(E145),1,(12-MONTH(E145)+1)/12))) + (R145)*(IF((YEAR(D145)+11)&lt;YEAR(E145),0,IF((YEAR(D145)+11)&gt;YEAR(E145),1,(12-MONTH(E145)+1)/12))))-(IF((((K145)*(IF(M145="",L145,IFERROR(IF(INDEX(Variablen!$I:$AT, MATCH(M145, Variablen!$A:$A, 0), MATCH((YEAR(D145)+11), Variablen!$I$3:$AT$3, 0))="",L145,INDEX(Variablen!$I:$AT, MATCH(M145, Variablen!$A:$A, 0), MATCH((YEAR(D145)+11), Variablen!$I$3:$AT$3, 0))),L145)))*(IF((YEAR(D145)+11)&lt;YEAR(E145),0,IF((YEAR(D145)+11)&gt;YEAR(E145),1,(12-MONTH(E145)+1)/12))) + (Q145)*(IF((YEAR(D145)+11)&lt;YEAR(E145),0,IF((YEAR(D145)+11)&gt;YEAR(E145),1,(12-MONTH(E145)+1)/12))))-((P145)*(IF((YEAR(D145)+11)&lt;YEAR(E145),0,IF((YEAR(D145)+11)&gt;YEAR(E145),1,(12-MONTH(E145)+1)/12))) + (R145)*(IF((YEAR(D145)+11)&lt;YEAR(E145),0,IF((YEAR(D145)+11)&gt;YEAR(E145),1,(12-MONTH(E145)+1)/12))))-(IF(OR(N145="",N145&lt;=0),0,(O145/N145)*(IF(OR(N145="",N145&lt;=0),0,IF((YEAR(D145)+11)&lt;YEAR(E145),0,IF((YEAR(D145)+11)&gt;=YEAR(E145)+N145,0,IF((YEAR(D145)+11)=YEAR(E145),(12-MONTH(E145)+1)/12,1))))))))&gt;0,(((K145)*(IF(M145="",L145,IFERROR(IF(INDEX(Variablen!$I:$AT, MATCH(M145, Variablen!$A:$A, 0), MATCH((YEAR(D145)+11), Variablen!$I$3:$AT$3, 0))="",L145,INDEX(Variablen!$I:$AT, MATCH(M145, Variablen!$A:$A, 0), MATCH((YEAR(D145)+11), Variablen!$I$3:$AT$3, 0))),L145)))*(IF((YEAR(D145)+11)&lt;YEAR(E145),0,IF((YEAR(D145)+11)&gt;YEAR(E145),1,(12-MONTH(E145)+1)/12))) + (Q145)*(IF((YEAR(D145)+11)&lt;YEAR(E145),0,IF((YEAR(D145)+11)&gt;YEAR(E145),1,(12-MONTH(E145)+1)/12))))-((P145)*(IF((YEAR(D145)+11)&lt;YEAR(E145),0,IF((YEAR(D145)+11)&gt;YEAR(E145),1,(12-MONTH(E145)+1)/12))) + (R145)*(IF((YEAR(D145)+11)&lt;YEAR(E145),0,IF((YEAR(D145)+11)&gt;YEAR(E145),1,(12-MONTH(E145)+1)/12))))-(IF(OR(N145="",N145&lt;=0),0,(O145/N145)*(IF(OR(N145="",N145&lt;=0),0,IF((YEAR(D145)+11)&lt;YEAR(E145),0,IF((YEAR(D145)+11)&gt;=YEAR(E145)+N145,0,IF((YEAR(D145)+11)=YEAR(E145),(12-MONTH(E145)+1)/12,1))))))))*TaxRate,0))-IF(11=0,O145,0))</f>
        <v/>
      </c>
      <c r="AE145" s="29">
        <f>IF(A145="","",((K145)*(IF(M145="",L145,IFERROR(IF(INDEX(Variablen!$I:$AT, MATCH(M145, Variablen!$A:$A, 0), MATCH((YEAR(D145)+12), Variablen!$I$3:$AT$3, 0))="",L145,INDEX(Variablen!$I:$AT, MATCH(M145, Variablen!$A:$A, 0), MATCH((YEAR(D145)+12), Variablen!$I$3:$AT$3, 0))),L145)))*(IF((YEAR(D145)+12)&lt;YEAR(E145),0,IF((YEAR(D145)+12)&gt;YEAR(E145),1,(12-MONTH(E145)+1)/12))) + (Q145)*(IF((YEAR(D145)+12)&lt;YEAR(E145),0,IF((YEAR(D145)+12)&gt;YEAR(E145),1,(12-MONTH(E145)+1)/12))))-((P145)*(IF((YEAR(D145)+12)&lt;YEAR(E145),0,IF((YEAR(D145)+12)&gt;YEAR(E145),1,(12-MONTH(E145)+1)/12))) + (R145)*(IF((YEAR(D145)+12)&lt;YEAR(E145),0,IF((YEAR(D145)+12)&gt;YEAR(E145),1,(12-MONTH(E145)+1)/12))))-(IF((((K145)*(IF(M145="",L145,IFERROR(IF(INDEX(Variablen!$I:$AT, MATCH(M145, Variablen!$A:$A, 0), MATCH((YEAR(D145)+12), Variablen!$I$3:$AT$3, 0))="",L145,INDEX(Variablen!$I:$AT, MATCH(M145, Variablen!$A:$A, 0), MATCH((YEAR(D145)+12), Variablen!$I$3:$AT$3, 0))),L145)))*(IF((YEAR(D145)+12)&lt;YEAR(E145),0,IF((YEAR(D145)+12)&gt;YEAR(E145),1,(12-MONTH(E145)+1)/12))) + (Q145)*(IF((YEAR(D145)+12)&lt;YEAR(E145),0,IF((YEAR(D145)+12)&gt;YEAR(E145),1,(12-MONTH(E145)+1)/12))))-((P145)*(IF((YEAR(D145)+12)&lt;YEAR(E145),0,IF((YEAR(D145)+12)&gt;YEAR(E145),1,(12-MONTH(E145)+1)/12))) + (R145)*(IF((YEAR(D145)+12)&lt;YEAR(E145),0,IF((YEAR(D145)+12)&gt;YEAR(E145),1,(12-MONTH(E145)+1)/12))))-(IF(OR(N145="",N145&lt;=0),0,(O145/N145)*(IF(OR(N145="",N145&lt;=0),0,IF((YEAR(D145)+12)&lt;YEAR(E145),0,IF((YEAR(D145)+12)&gt;=YEAR(E145)+N145,0,IF((YEAR(D145)+12)=YEAR(E145),(12-MONTH(E145)+1)/12,1))))))))&gt;0,(((K145)*(IF(M145="",L145,IFERROR(IF(INDEX(Variablen!$I:$AT, MATCH(M145, Variablen!$A:$A, 0), MATCH((YEAR(D145)+12), Variablen!$I$3:$AT$3, 0))="",L145,INDEX(Variablen!$I:$AT, MATCH(M145, Variablen!$A:$A, 0), MATCH((YEAR(D145)+12), Variablen!$I$3:$AT$3, 0))),L145)))*(IF((YEAR(D145)+12)&lt;YEAR(E145),0,IF((YEAR(D145)+12)&gt;YEAR(E145),1,(12-MONTH(E145)+1)/12))) + (Q145)*(IF((YEAR(D145)+12)&lt;YEAR(E145),0,IF((YEAR(D145)+12)&gt;YEAR(E145),1,(12-MONTH(E145)+1)/12))))-((P145)*(IF((YEAR(D145)+12)&lt;YEAR(E145),0,IF((YEAR(D145)+12)&gt;YEAR(E145),1,(12-MONTH(E145)+1)/12))) + (R145)*(IF((YEAR(D145)+12)&lt;YEAR(E145),0,IF((YEAR(D145)+12)&gt;YEAR(E145),1,(12-MONTH(E145)+1)/12))))-(IF(OR(N145="",N145&lt;=0),0,(O145/N145)*(IF(OR(N145="",N145&lt;=0),0,IF((YEAR(D145)+12)&lt;YEAR(E145),0,IF((YEAR(D145)+12)&gt;=YEAR(E145)+N145,0,IF((YEAR(D145)+12)=YEAR(E145),(12-MONTH(E145)+1)/12,1))))))))*TaxRate,0))-IF(12=0,O145,0))</f>
        <v/>
      </c>
      <c r="AF145" s="29">
        <f>IF(A145="","",((K145)*(IF(M145="",L145,IFERROR(IF(INDEX(Variablen!$I:$AT, MATCH(M145, Variablen!$A:$A, 0), MATCH((YEAR(D145)+13), Variablen!$I$3:$AT$3, 0))="",L145,INDEX(Variablen!$I:$AT, MATCH(M145, Variablen!$A:$A, 0), MATCH((YEAR(D145)+13), Variablen!$I$3:$AT$3, 0))),L145)))*(IF((YEAR(D145)+13)&lt;YEAR(E145),0,IF((YEAR(D145)+13)&gt;YEAR(E145),1,(12-MONTH(E145)+1)/12))) + (Q145)*(IF((YEAR(D145)+13)&lt;YEAR(E145),0,IF((YEAR(D145)+13)&gt;YEAR(E145),1,(12-MONTH(E145)+1)/12))))-((P145)*(IF((YEAR(D145)+13)&lt;YEAR(E145),0,IF((YEAR(D145)+13)&gt;YEAR(E145),1,(12-MONTH(E145)+1)/12))) + (R145)*(IF((YEAR(D145)+13)&lt;YEAR(E145),0,IF((YEAR(D145)+13)&gt;YEAR(E145),1,(12-MONTH(E145)+1)/12))))-(IF((((K145)*(IF(M145="",L145,IFERROR(IF(INDEX(Variablen!$I:$AT, MATCH(M145, Variablen!$A:$A, 0), MATCH((YEAR(D145)+13), Variablen!$I$3:$AT$3, 0))="",L145,INDEX(Variablen!$I:$AT, MATCH(M145, Variablen!$A:$A, 0), MATCH((YEAR(D145)+13), Variablen!$I$3:$AT$3, 0))),L145)))*(IF((YEAR(D145)+13)&lt;YEAR(E145),0,IF((YEAR(D145)+13)&gt;YEAR(E145),1,(12-MONTH(E145)+1)/12))) + (Q145)*(IF((YEAR(D145)+13)&lt;YEAR(E145),0,IF((YEAR(D145)+13)&gt;YEAR(E145),1,(12-MONTH(E145)+1)/12))))-((P145)*(IF((YEAR(D145)+13)&lt;YEAR(E145),0,IF((YEAR(D145)+13)&gt;YEAR(E145),1,(12-MONTH(E145)+1)/12))) + (R145)*(IF((YEAR(D145)+13)&lt;YEAR(E145),0,IF((YEAR(D145)+13)&gt;YEAR(E145),1,(12-MONTH(E145)+1)/12))))-(IF(OR(N145="",N145&lt;=0),0,(O145/N145)*(IF(OR(N145="",N145&lt;=0),0,IF((YEAR(D145)+13)&lt;YEAR(E145),0,IF((YEAR(D145)+13)&gt;=YEAR(E145)+N145,0,IF((YEAR(D145)+13)=YEAR(E145),(12-MONTH(E145)+1)/12,1))))))))&gt;0,(((K145)*(IF(M145="",L145,IFERROR(IF(INDEX(Variablen!$I:$AT, MATCH(M145, Variablen!$A:$A, 0), MATCH((YEAR(D145)+13), Variablen!$I$3:$AT$3, 0))="",L145,INDEX(Variablen!$I:$AT, MATCH(M145, Variablen!$A:$A, 0), MATCH((YEAR(D145)+13), Variablen!$I$3:$AT$3, 0))),L145)))*(IF((YEAR(D145)+13)&lt;YEAR(E145),0,IF((YEAR(D145)+13)&gt;YEAR(E145),1,(12-MONTH(E145)+1)/12))) + (Q145)*(IF((YEAR(D145)+13)&lt;YEAR(E145),0,IF((YEAR(D145)+13)&gt;YEAR(E145),1,(12-MONTH(E145)+1)/12))))-((P145)*(IF((YEAR(D145)+13)&lt;YEAR(E145),0,IF((YEAR(D145)+13)&gt;YEAR(E145),1,(12-MONTH(E145)+1)/12))) + (R145)*(IF((YEAR(D145)+13)&lt;YEAR(E145),0,IF((YEAR(D145)+13)&gt;YEAR(E145),1,(12-MONTH(E145)+1)/12))))-(IF(OR(N145="",N145&lt;=0),0,(O145/N145)*(IF(OR(N145="",N145&lt;=0),0,IF((YEAR(D145)+13)&lt;YEAR(E145),0,IF((YEAR(D145)+13)&gt;=YEAR(E145)+N145,0,IF((YEAR(D145)+13)=YEAR(E145),(12-MONTH(E145)+1)/12,1))))))))*TaxRate,0))-IF(13=0,O145,0))</f>
        <v/>
      </c>
      <c r="AG145" s="29">
        <f>IF(A145="","",((K145)*(IF(M145="",L145,IFERROR(IF(INDEX(Variablen!$I:$AT, MATCH(M145, Variablen!$A:$A, 0), MATCH((YEAR(D145)+14), Variablen!$I$3:$AT$3, 0))="",L145,INDEX(Variablen!$I:$AT, MATCH(M145, Variablen!$A:$A, 0), MATCH((YEAR(D145)+14), Variablen!$I$3:$AT$3, 0))),L145)))*(IF((YEAR(D145)+14)&lt;YEAR(E145),0,IF((YEAR(D145)+14)&gt;YEAR(E145),1,(12-MONTH(E145)+1)/12))) + (Q145)*(IF((YEAR(D145)+14)&lt;YEAR(E145),0,IF((YEAR(D145)+14)&gt;YEAR(E145),1,(12-MONTH(E145)+1)/12))))-((P145)*(IF((YEAR(D145)+14)&lt;YEAR(E145),0,IF((YEAR(D145)+14)&gt;YEAR(E145),1,(12-MONTH(E145)+1)/12))) + (R145)*(IF((YEAR(D145)+14)&lt;YEAR(E145),0,IF((YEAR(D145)+14)&gt;YEAR(E145),1,(12-MONTH(E145)+1)/12))))-(IF((((K145)*(IF(M145="",L145,IFERROR(IF(INDEX(Variablen!$I:$AT, MATCH(M145, Variablen!$A:$A, 0), MATCH((YEAR(D145)+14), Variablen!$I$3:$AT$3, 0))="",L145,INDEX(Variablen!$I:$AT, MATCH(M145, Variablen!$A:$A, 0), MATCH((YEAR(D145)+14), Variablen!$I$3:$AT$3, 0))),L145)))*(IF((YEAR(D145)+14)&lt;YEAR(E145),0,IF((YEAR(D145)+14)&gt;YEAR(E145),1,(12-MONTH(E145)+1)/12))) + (Q145)*(IF((YEAR(D145)+14)&lt;YEAR(E145),0,IF((YEAR(D145)+14)&gt;YEAR(E145),1,(12-MONTH(E145)+1)/12))))-((P145)*(IF((YEAR(D145)+14)&lt;YEAR(E145),0,IF((YEAR(D145)+14)&gt;YEAR(E145),1,(12-MONTH(E145)+1)/12))) + (R145)*(IF((YEAR(D145)+14)&lt;YEAR(E145),0,IF((YEAR(D145)+14)&gt;YEAR(E145),1,(12-MONTH(E145)+1)/12))))-(IF(OR(N145="",N145&lt;=0),0,(O145/N145)*(IF(OR(N145="",N145&lt;=0),0,IF((YEAR(D145)+14)&lt;YEAR(E145),0,IF((YEAR(D145)+14)&gt;=YEAR(E145)+N145,0,IF((YEAR(D145)+14)=YEAR(E145),(12-MONTH(E145)+1)/12,1))))))))&gt;0,(((K145)*(IF(M145="",L145,IFERROR(IF(INDEX(Variablen!$I:$AT, MATCH(M145, Variablen!$A:$A, 0), MATCH((YEAR(D145)+14), Variablen!$I$3:$AT$3, 0))="",L145,INDEX(Variablen!$I:$AT, MATCH(M145, Variablen!$A:$A, 0), MATCH((YEAR(D145)+14), Variablen!$I$3:$AT$3, 0))),L145)))*(IF((YEAR(D145)+14)&lt;YEAR(E145),0,IF((YEAR(D145)+14)&gt;YEAR(E145),1,(12-MONTH(E145)+1)/12))) + (Q145)*(IF((YEAR(D145)+14)&lt;YEAR(E145),0,IF((YEAR(D145)+14)&gt;YEAR(E145),1,(12-MONTH(E145)+1)/12))))-((P145)*(IF((YEAR(D145)+14)&lt;YEAR(E145),0,IF((YEAR(D145)+14)&gt;YEAR(E145),1,(12-MONTH(E145)+1)/12))) + (R145)*(IF((YEAR(D145)+14)&lt;YEAR(E145),0,IF((YEAR(D145)+14)&gt;YEAR(E145),1,(12-MONTH(E145)+1)/12))))-(IF(OR(N145="",N145&lt;=0),0,(O145/N145)*(IF(OR(N145="",N145&lt;=0),0,IF((YEAR(D145)+14)&lt;YEAR(E145),0,IF((YEAR(D145)+14)&gt;=YEAR(E145)+N145,0,IF((YEAR(D145)+14)=YEAR(E145),(12-MONTH(E145)+1)/12,1))))))))*TaxRate,0))-IF(14=0,O145,0))</f>
        <v/>
      </c>
      <c r="AH145" s="29">
        <f>IF(A145="","",((K145)*(IF(M145="",L145,IFERROR(IF(INDEX(Variablen!$I:$AT, MATCH(M145, Variablen!$A:$A, 0), MATCH((YEAR(D145)+15), Variablen!$I$3:$AT$3, 0))="",L145,INDEX(Variablen!$I:$AT, MATCH(M145, Variablen!$A:$A, 0), MATCH((YEAR(D145)+15), Variablen!$I$3:$AT$3, 0))),L145)))*(IF((YEAR(D145)+15)&lt;YEAR(E145),0,IF((YEAR(D145)+15)&gt;YEAR(E145),1,(12-MONTH(E145)+1)/12))) + (Q145)*(IF((YEAR(D145)+15)&lt;YEAR(E145),0,IF((YEAR(D145)+15)&gt;YEAR(E145),1,(12-MONTH(E145)+1)/12))))-((P145)*(IF((YEAR(D145)+15)&lt;YEAR(E145),0,IF((YEAR(D145)+15)&gt;YEAR(E145),1,(12-MONTH(E145)+1)/12))) + (R145)*(IF((YEAR(D145)+15)&lt;YEAR(E145),0,IF((YEAR(D145)+15)&gt;YEAR(E145),1,(12-MONTH(E145)+1)/12))))-(IF((((K145)*(IF(M145="",L145,IFERROR(IF(INDEX(Variablen!$I:$AT, MATCH(M145, Variablen!$A:$A, 0), MATCH((YEAR(D145)+15), Variablen!$I$3:$AT$3, 0))="",L145,INDEX(Variablen!$I:$AT, MATCH(M145, Variablen!$A:$A, 0), MATCH((YEAR(D145)+15), Variablen!$I$3:$AT$3, 0))),L145)))*(IF((YEAR(D145)+15)&lt;YEAR(E145),0,IF((YEAR(D145)+15)&gt;YEAR(E145),1,(12-MONTH(E145)+1)/12))) + (Q145)*(IF((YEAR(D145)+15)&lt;YEAR(E145),0,IF((YEAR(D145)+15)&gt;YEAR(E145),1,(12-MONTH(E145)+1)/12))))-((P145)*(IF((YEAR(D145)+15)&lt;YEAR(E145),0,IF((YEAR(D145)+15)&gt;YEAR(E145),1,(12-MONTH(E145)+1)/12))) + (R145)*(IF((YEAR(D145)+15)&lt;YEAR(E145),0,IF((YEAR(D145)+15)&gt;YEAR(E145),1,(12-MONTH(E145)+1)/12))))-(IF(OR(N145="",N145&lt;=0),0,(O145/N145)*(IF(OR(N145="",N145&lt;=0),0,IF((YEAR(D145)+15)&lt;YEAR(E145),0,IF((YEAR(D145)+15)&gt;=YEAR(E145)+N145,0,IF((YEAR(D145)+15)=YEAR(E145),(12-MONTH(E145)+1)/12,1))))))))&gt;0,(((K145)*(IF(M145="",L145,IFERROR(IF(INDEX(Variablen!$I:$AT, MATCH(M145, Variablen!$A:$A, 0), MATCH((YEAR(D145)+15), Variablen!$I$3:$AT$3, 0))="",L145,INDEX(Variablen!$I:$AT, MATCH(M145, Variablen!$A:$A, 0), MATCH((YEAR(D145)+15), Variablen!$I$3:$AT$3, 0))),L145)))*(IF((YEAR(D145)+15)&lt;YEAR(E145),0,IF((YEAR(D145)+15)&gt;YEAR(E145),1,(12-MONTH(E145)+1)/12))) + (Q145)*(IF((YEAR(D145)+15)&lt;YEAR(E145),0,IF((YEAR(D145)+15)&gt;YEAR(E145),1,(12-MONTH(E145)+1)/12))))-((P145)*(IF((YEAR(D145)+15)&lt;YEAR(E145),0,IF((YEAR(D145)+15)&gt;YEAR(E145),1,(12-MONTH(E145)+1)/12))) + (R145)*(IF((YEAR(D145)+15)&lt;YEAR(E145),0,IF((YEAR(D145)+15)&gt;YEAR(E145),1,(12-MONTH(E145)+1)/12))))-(IF(OR(N145="",N145&lt;=0),0,(O145/N145)*(IF(OR(N145="",N145&lt;=0),0,IF((YEAR(D145)+15)&lt;YEAR(E145),0,IF((YEAR(D145)+15)&gt;=YEAR(E145)+N145,0,IF((YEAR(D145)+15)=YEAR(E145),(12-MONTH(E145)+1)/12,1))))))))*TaxRate,0))-IF(15=0,O145,0))</f>
        <v/>
      </c>
      <c r="AI145" s="29">
        <f>IF(A145="","",((K145)*(IF(M145="",L145,IFERROR(IF(INDEX(Variablen!$I:$AT, MATCH(M145, Variablen!$A:$A, 0), MATCH((YEAR(D145)+16), Variablen!$I$3:$AT$3, 0))="",L145,INDEX(Variablen!$I:$AT, MATCH(M145, Variablen!$A:$A, 0), MATCH((YEAR(D145)+16), Variablen!$I$3:$AT$3, 0))),L145)))*(IF((YEAR(D145)+16)&lt;YEAR(E145),0,IF((YEAR(D145)+16)&gt;YEAR(E145),1,(12-MONTH(E145)+1)/12))) + (Q145)*(IF((YEAR(D145)+16)&lt;YEAR(E145),0,IF((YEAR(D145)+16)&gt;YEAR(E145),1,(12-MONTH(E145)+1)/12))))-((P145)*(IF((YEAR(D145)+16)&lt;YEAR(E145),0,IF((YEAR(D145)+16)&gt;YEAR(E145),1,(12-MONTH(E145)+1)/12))) + (R145)*(IF((YEAR(D145)+16)&lt;YEAR(E145),0,IF((YEAR(D145)+16)&gt;YEAR(E145),1,(12-MONTH(E145)+1)/12))))-(IF((((K145)*(IF(M145="",L145,IFERROR(IF(INDEX(Variablen!$I:$AT, MATCH(M145, Variablen!$A:$A, 0), MATCH((YEAR(D145)+16), Variablen!$I$3:$AT$3, 0))="",L145,INDEX(Variablen!$I:$AT, MATCH(M145, Variablen!$A:$A, 0), MATCH((YEAR(D145)+16), Variablen!$I$3:$AT$3, 0))),L145)))*(IF((YEAR(D145)+16)&lt;YEAR(E145),0,IF((YEAR(D145)+16)&gt;YEAR(E145),1,(12-MONTH(E145)+1)/12))) + (Q145)*(IF((YEAR(D145)+16)&lt;YEAR(E145),0,IF((YEAR(D145)+16)&gt;YEAR(E145),1,(12-MONTH(E145)+1)/12))))-((P145)*(IF((YEAR(D145)+16)&lt;YEAR(E145),0,IF((YEAR(D145)+16)&gt;YEAR(E145),1,(12-MONTH(E145)+1)/12))) + (R145)*(IF((YEAR(D145)+16)&lt;YEAR(E145),0,IF((YEAR(D145)+16)&gt;YEAR(E145),1,(12-MONTH(E145)+1)/12))))-(IF(OR(N145="",N145&lt;=0),0,(O145/N145)*(IF(OR(N145="",N145&lt;=0),0,IF((YEAR(D145)+16)&lt;YEAR(E145),0,IF((YEAR(D145)+16)&gt;=YEAR(E145)+N145,0,IF((YEAR(D145)+16)=YEAR(E145),(12-MONTH(E145)+1)/12,1))))))))&gt;0,(((K145)*(IF(M145="",L145,IFERROR(IF(INDEX(Variablen!$I:$AT, MATCH(M145, Variablen!$A:$A, 0), MATCH((YEAR(D145)+16), Variablen!$I$3:$AT$3, 0))="",L145,INDEX(Variablen!$I:$AT, MATCH(M145, Variablen!$A:$A, 0), MATCH((YEAR(D145)+16), Variablen!$I$3:$AT$3, 0))),L145)))*(IF((YEAR(D145)+16)&lt;YEAR(E145),0,IF((YEAR(D145)+16)&gt;YEAR(E145),1,(12-MONTH(E145)+1)/12))) + (Q145)*(IF((YEAR(D145)+16)&lt;YEAR(E145),0,IF((YEAR(D145)+16)&gt;YEAR(E145),1,(12-MONTH(E145)+1)/12))))-((P145)*(IF((YEAR(D145)+16)&lt;YEAR(E145),0,IF((YEAR(D145)+16)&gt;YEAR(E145),1,(12-MONTH(E145)+1)/12))) + (R145)*(IF((YEAR(D145)+16)&lt;YEAR(E145),0,IF((YEAR(D145)+16)&gt;YEAR(E145),1,(12-MONTH(E145)+1)/12))))-(IF(OR(N145="",N145&lt;=0),0,(O145/N145)*(IF(OR(N145="",N145&lt;=0),0,IF((YEAR(D145)+16)&lt;YEAR(E145),0,IF((YEAR(D145)+16)&gt;=YEAR(E145)+N145,0,IF((YEAR(D145)+16)=YEAR(E145),(12-MONTH(E145)+1)/12,1))))))))*TaxRate,0))-IF(16=0,O145,0))</f>
        <v/>
      </c>
      <c r="AJ145" s="29">
        <f>IF(A145="","",((K145)*(IF(M145="",L145,IFERROR(IF(INDEX(Variablen!$I:$AT, MATCH(M145, Variablen!$A:$A, 0), MATCH((YEAR(D145)+17), Variablen!$I$3:$AT$3, 0))="",L145,INDEX(Variablen!$I:$AT, MATCH(M145, Variablen!$A:$A, 0), MATCH((YEAR(D145)+17), Variablen!$I$3:$AT$3, 0))),L145)))*(IF((YEAR(D145)+17)&lt;YEAR(E145),0,IF((YEAR(D145)+17)&gt;YEAR(E145),1,(12-MONTH(E145)+1)/12))) + (Q145)*(IF((YEAR(D145)+17)&lt;YEAR(E145),0,IF((YEAR(D145)+17)&gt;YEAR(E145),1,(12-MONTH(E145)+1)/12))))-((P145)*(IF((YEAR(D145)+17)&lt;YEAR(E145),0,IF((YEAR(D145)+17)&gt;YEAR(E145),1,(12-MONTH(E145)+1)/12))) + (R145)*(IF((YEAR(D145)+17)&lt;YEAR(E145),0,IF((YEAR(D145)+17)&gt;YEAR(E145),1,(12-MONTH(E145)+1)/12))))-(IF((((K145)*(IF(M145="",L145,IFERROR(IF(INDEX(Variablen!$I:$AT, MATCH(M145, Variablen!$A:$A, 0), MATCH((YEAR(D145)+17), Variablen!$I$3:$AT$3, 0))="",L145,INDEX(Variablen!$I:$AT, MATCH(M145, Variablen!$A:$A, 0), MATCH((YEAR(D145)+17), Variablen!$I$3:$AT$3, 0))),L145)))*(IF((YEAR(D145)+17)&lt;YEAR(E145),0,IF((YEAR(D145)+17)&gt;YEAR(E145),1,(12-MONTH(E145)+1)/12))) + (Q145)*(IF((YEAR(D145)+17)&lt;YEAR(E145),0,IF((YEAR(D145)+17)&gt;YEAR(E145),1,(12-MONTH(E145)+1)/12))))-((P145)*(IF((YEAR(D145)+17)&lt;YEAR(E145),0,IF((YEAR(D145)+17)&gt;YEAR(E145),1,(12-MONTH(E145)+1)/12))) + (R145)*(IF((YEAR(D145)+17)&lt;YEAR(E145),0,IF((YEAR(D145)+17)&gt;YEAR(E145),1,(12-MONTH(E145)+1)/12))))-(IF(OR(N145="",N145&lt;=0),0,(O145/N145)*(IF(OR(N145="",N145&lt;=0),0,IF((YEAR(D145)+17)&lt;YEAR(E145),0,IF((YEAR(D145)+17)&gt;=YEAR(E145)+N145,0,IF((YEAR(D145)+17)=YEAR(E145),(12-MONTH(E145)+1)/12,1))))))))&gt;0,(((K145)*(IF(M145="",L145,IFERROR(IF(INDEX(Variablen!$I:$AT, MATCH(M145, Variablen!$A:$A, 0), MATCH((YEAR(D145)+17), Variablen!$I$3:$AT$3, 0))="",L145,INDEX(Variablen!$I:$AT, MATCH(M145, Variablen!$A:$A, 0), MATCH((YEAR(D145)+17), Variablen!$I$3:$AT$3, 0))),L145)))*(IF((YEAR(D145)+17)&lt;YEAR(E145),0,IF((YEAR(D145)+17)&gt;YEAR(E145),1,(12-MONTH(E145)+1)/12))) + (Q145)*(IF((YEAR(D145)+17)&lt;YEAR(E145),0,IF((YEAR(D145)+17)&gt;YEAR(E145),1,(12-MONTH(E145)+1)/12))))-((P145)*(IF((YEAR(D145)+17)&lt;YEAR(E145),0,IF((YEAR(D145)+17)&gt;YEAR(E145),1,(12-MONTH(E145)+1)/12))) + (R145)*(IF((YEAR(D145)+17)&lt;YEAR(E145),0,IF((YEAR(D145)+17)&gt;YEAR(E145),1,(12-MONTH(E145)+1)/12))))-(IF(OR(N145="",N145&lt;=0),0,(O145/N145)*(IF(OR(N145="",N145&lt;=0),0,IF((YEAR(D145)+17)&lt;YEAR(E145),0,IF((YEAR(D145)+17)&gt;=YEAR(E145)+N145,0,IF((YEAR(D145)+17)=YEAR(E145),(12-MONTH(E145)+1)/12,1))))))))*TaxRate,0))-IF(17=0,O145,0))</f>
        <v/>
      </c>
      <c r="AK145" s="29">
        <f>IF(A145="","",((K145)*(IF(M145="",L145,IFERROR(IF(INDEX(Variablen!$I:$AT, MATCH(M145, Variablen!$A:$A, 0), MATCH((YEAR(D145)+18), Variablen!$I$3:$AT$3, 0))="",L145,INDEX(Variablen!$I:$AT, MATCH(M145, Variablen!$A:$A, 0), MATCH((YEAR(D145)+18), Variablen!$I$3:$AT$3, 0))),L145)))*(IF((YEAR(D145)+18)&lt;YEAR(E145),0,IF((YEAR(D145)+18)&gt;YEAR(E145),1,(12-MONTH(E145)+1)/12))) + (Q145)*(IF((YEAR(D145)+18)&lt;YEAR(E145),0,IF((YEAR(D145)+18)&gt;YEAR(E145),1,(12-MONTH(E145)+1)/12))))-((P145)*(IF((YEAR(D145)+18)&lt;YEAR(E145),0,IF((YEAR(D145)+18)&gt;YEAR(E145),1,(12-MONTH(E145)+1)/12))) + (R145)*(IF((YEAR(D145)+18)&lt;YEAR(E145),0,IF((YEAR(D145)+18)&gt;YEAR(E145),1,(12-MONTH(E145)+1)/12))))-(IF((((K145)*(IF(M145="",L145,IFERROR(IF(INDEX(Variablen!$I:$AT, MATCH(M145, Variablen!$A:$A, 0), MATCH((YEAR(D145)+18), Variablen!$I$3:$AT$3, 0))="",L145,INDEX(Variablen!$I:$AT, MATCH(M145, Variablen!$A:$A, 0), MATCH((YEAR(D145)+18), Variablen!$I$3:$AT$3, 0))),L145)))*(IF((YEAR(D145)+18)&lt;YEAR(E145),0,IF((YEAR(D145)+18)&gt;YEAR(E145),1,(12-MONTH(E145)+1)/12))) + (Q145)*(IF((YEAR(D145)+18)&lt;YEAR(E145),0,IF((YEAR(D145)+18)&gt;YEAR(E145),1,(12-MONTH(E145)+1)/12))))-((P145)*(IF((YEAR(D145)+18)&lt;YEAR(E145),0,IF((YEAR(D145)+18)&gt;YEAR(E145),1,(12-MONTH(E145)+1)/12))) + (R145)*(IF((YEAR(D145)+18)&lt;YEAR(E145),0,IF((YEAR(D145)+18)&gt;YEAR(E145),1,(12-MONTH(E145)+1)/12))))-(IF(OR(N145="",N145&lt;=0),0,(O145/N145)*(IF(OR(N145="",N145&lt;=0),0,IF((YEAR(D145)+18)&lt;YEAR(E145),0,IF((YEAR(D145)+18)&gt;=YEAR(E145)+N145,0,IF((YEAR(D145)+18)=YEAR(E145),(12-MONTH(E145)+1)/12,1))))))))&gt;0,(((K145)*(IF(M145="",L145,IFERROR(IF(INDEX(Variablen!$I:$AT, MATCH(M145, Variablen!$A:$A, 0), MATCH((YEAR(D145)+18), Variablen!$I$3:$AT$3, 0))="",L145,INDEX(Variablen!$I:$AT, MATCH(M145, Variablen!$A:$A, 0), MATCH((YEAR(D145)+18), Variablen!$I$3:$AT$3, 0))),L145)))*(IF((YEAR(D145)+18)&lt;YEAR(E145),0,IF((YEAR(D145)+18)&gt;YEAR(E145),1,(12-MONTH(E145)+1)/12))) + (Q145)*(IF((YEAR(D145)+18)&lt;YEAR(E145),0,IF((YEAR(D145)+18)&gt;YEAR(E145),1,(12-MONTH(E145)+1)/12))))-((P145)*(IF((YEAR(D145)+18)&lt;YEAR(E145),0,IF((YEAR(D145)+18)&gt;YEAR(E145),1,(12-MONTH(E145)+1)/12))) + (R145)*(IF((YEAR(D145)+18)&lt;YEAR(E145),0,IF((YEAR(D145)+18)&gt;YEAR(E145),1,(12-MONTH(E145)+1)/12))))-(IF(OR(N145="",N145&lt;=0),0,(O145/N145)*(IF(OR(N145="",N145&lt;=0),0,IF((YEAR(D145)+18)&lt;YEAR(E145),0,IF((YEAR(D145)+18)&gt;=YEAR(E145)+N145,0,IF((YEAR(D145)+18)=YEAR(E145),(12-MONTH(E145)+1)/12,1))))))))*TaxRate,0))-IF(18=0,O145,0))</f>
        <v/>
      </c>
      <c r="AL145" s="29">
        <f>IF(A145="","",((K145)*(IF(M145="",L145,IFERROR(IF(INDEX(Variablen!$I:$AT, MATCH(M145, Variablen!$A:$A, 0), MATCH((YEAR(D145)+19), Variablen!$I$3:$AT$3, 0))="",L145,INDEX(Variablen!$I:$AT, MATCH(M145, Variablen!$A:$A, 0), MATCH((YEAR(D145)+19), Variablen!$I$3:$AT$3, 0))),L145)))*(IF((YEAR(D145)+19)&lt;YEAR(E145),0,IF((YEAR(D145)+19)&gt;YEAR(E145),1,(12-MONTH(E145)+1)/12))) + (Q145)*(IF((YEAR(D145)+19)&lt;YEAR(E145),0,IF((YEAR(D145)+19)&gt;YEAR(E145),1,(12-MONTH(E145)+1)/12))))-((P145)*(IF((YEAR(D145)+19)&lt;YEAR(E145),0,IF((YEAR(D145)+19)&gt;YEAR(E145),1,(12-MONTH(E145)+1)/12))) + (R145)*(IF((YEAR(D145)+19)&lt;YEAR(E145),0,IF((YEAR(D145)+19)&gt;YEAR(E145),1,(12-MONTH(E145)+1)/12))))-(IF((((K145)*(IF(M145="",L145,IFERROR(IF(INDEX(Variablen!$I:$AT, MATCH(M145, Variablen!$A:$A, 0), MATCH((YEAR(D145)+19), Variablen!$I$3:$AT$3, 0))="",L145,INDEX(Variablen!$I:$AT, MATCH(M145, Variablen!$A:$A, 0), MATCH((YEAR(D145)+19), Variablen!$I$3:$AT$3, 0))),L145)))*(IF((YEAR(D145)+19)&lt;YEAR(E145),0,IF((YEAR(D145)+19)&gt;YEAR(E145),1,(12-MONTH(E145)+1)/12))) + (Q145)*(IF((YEAR(D145)+19)&lt;YEAR(E145),0,IF((YEAR(D145)+19)&gt;YEAR(E145),1,(12-MONTH(E145)+1)/12))))-((P145)*(IF((YEAR(D145)+19)&lt;YEAR(E145),0,IF((YEAR(D145)+19)&gt;YEAR(E145),1,(12-MONTH(E145)+1)/12))) + (R145)*(IF((YEAR(D145)+19)&lt;YEAR(E145),0,IF((YEAR(D145)+19)&gt;YEAR(E145),1,(12-MONTH(E145)+1)/12))))-(IF(OR(N145="",N145&lt;=0),0,(O145/N145)*(IF(OR(N145="",N145&lt;=0),0,IF((YEAR(D145)+19)&lt;YEAR(E145),0,IF((YEAR(D145)+19)&gt;=YEAR(E145)+N145,0,IF((YEAR(D145)+19)=YEAR(E145),(12-MONTH(E145)+1)/12,1))))))))&gt;0,(((K145)*(IF(M145="",L145,IFERROR(IF(INDEX(Variablen!$I:$AT, MATCH(M145, Variablen!$A:$A, 0), MATCH((YEAR(D145)+19), Variablen!$I$3:$AT$3, 0))="",L145,INDEX(Variablen!$I:$AT, MATCH(M145, Variablen!$A:$A, 0), MATCH((YEAR(D145)+19), Variablen!$I$3:$AT$3, 0))),L145)))*(IF((YEAR(D145)+19)&lt;YEAR(E145),0,IF((YEAR(D145)+19)&gt;YEAR(E145),1,(12-MONTH(E145)+1)/12))) + (Q145)*(IF((YEAR(D145)+19)&lt;YEAR(E145),0,IF((YEAR(D145)+19)&gt;YEAR(E145),1,(12-MONTH(E145)+1)/12))))-((P145)*(IF((YEAR(D145)+19)&lt;YEAR(E145),0,IF((YEAR(D145)+19)&gt;YEAR(E145),1,(12-MONTH(E145)+1)/12))) + (R145)*(IF((YEAR(D145)+19)&lt;YEAR(E145),0,IF((YEAR(D145)+19)&gt;YEAR(E145),1,(12-MONTH(E145)+1)/12))))-(IF(OR(N145="",N145&lt;=0),0,(O145/N145)*(IF(OR(N145="",N145&lt;=0),0,IF((YEAR(D145)+19)&lt;YEAR(E145),0,IF((YEAR(D145)+19)&gt;=YEAR(E145)+N145,0,IF((YEAR(D145)+19)=YEAR(E145),(12-MONTH(E145)+1)/12,1))))))))*TaxRate,0))-IF(19=0,O145,0))</f>
        <v/>
      </c>
      <c r="AM145" s="29">
        <f>IF(A145="","",((K145)*(IF(M145="",L145,IFERROR(IF(INDEX(Variablen!$I:$AT, MATCH(M145, Variablen!$A:$A, 0), MATCH((YEAR(D145)+20), Variablen!$I$3:$AT$3, 0))="",L145,INDEX(Variablen!$I:$AT, MATCH(M145, Variablen!$A:$A, 0), MATCH((YEAR(D145)+20), Variablen!$I$3:$AT$3, 0))),L145)))*(IF((YEAR(D145)+20)&lt;YEAR(E145),0,IF((YEAR(D145)+20)&gt;YEAR(E145),1,(12-MONTH(E145)+1)/12))) + (Q145)*(IF((YEAR(D145)+20)&lt;YEAR(E145),0,IF((YEAR(D145)+20)&gt;YEAR(E145),1,(12-MONTH(E145)+1)/12))))-((P145)*(IF((YEAR(D145)+20)&lt;YEAR(E145),0,IF((YEAR(D145)+20)&gt;YEAR(E145),1,(12-MONTH(E145)+1)/12))) + (R145)*(IF((YEAR(D145)+20)&lt;YEAR(E145),0,IF((YEAR(D145)+20)&gt;YEAR(E145),1,(12-MONTH(E145)+1)/12))))-(IF((((K145)*(IF(M145="",L145,IFERROR(IF(INDEX(Variablen!$I:$AT, MATCH(M145, Variablen!$A:$A, 0), MATCH((YEAR(D145)+20), Variablen!$I$3:$AT$3, 0))="",L145,INDEX(Variablen!$I:$AT, MATCH(M145, Variablen!$A:$A, 0), MATCH((YEAR(D145)+20), Variablen!$I$3:$AT$3, 0))),L145)))*(IF((YEAR(D145)+20)&lt;YEAR(E145),0,IF((YEAR(D145)+20)&gt;YEAR(E145),1,(12-MONTH(E145)+1)/12))) + (Q145)*(IF((YEAR(D145)+20)&lt;YEAR(E145),0,IF((YEAR(D145)+20)&gt;YEAR(E145),1,(12-MONTH(E145)+1)/12))))-((P145)*(IF((YEAR(D145)+20)&lt;YEAR(E145),0,IF((YEAR(D145)+20)&gt;YEAR(E145),1,(12-MONTH(E145)+1)/12))) + (R145)*(IF((YEAR(D145)+20)&lt;YEAR(E145),0,IF((YEAR(D145)+20)&gt;YEAR(E145),1,(12-MONTH(E145)+1)/12))))-(IF(OR(N145="",N145&lt;=0),0,(O145/N145)*(IF(OR(N145="",N145&lt;=0),0,IF((YEAR(D145)+20)&lt;YEAR(E145),0,IF((YEAR(D145)+20)&gt;=YEAR(E145)+N145,0,IF((YEAR(D145)+20)=YEAR(E145),(12-MONTH(E145)+1)/12,1))))))))&gt;0,(((K145)*(IF(M145="",L145,IFERROR(IF(INDEX(Variablen!$I:$AT, MATCH(M145, Variablen!$A:$A, 0), MATCH((YEAR(D145)+20), Variablen!$I$3:$AT$3, 0))="",L145,INDEX(Variablen!$I:$AT, MATCH(M145, Variablen!$A:$A, 0), MATCH((YEAR(D145)+20), Variablen!$I$3:$AT$3, 0))),L145)))*(IF((YEAR(D145)+20)&lt;YEAR(E145),0,IF((YEAR(D145)+20)&gt;YEAR(E145),1,(12-MONTH(E145)+1)/12))) + (Q145)*(IF((YEAR(D145)+20)&lt;YEAR(E145),0,IF((YEAR(D145)+20)&gt;YEAR(E145),1,(12-MONTH(E145)+1)/12))))-((P145)*(IF((YEAR(D145)+20)&lt;YEAR(E145),0,IF((YEAR(D145)+20)&gt;YEAR(E145),1,(12-MONTH(E145)+1)/12))) + (R145)*(IF((YEAR(D145)+20)&lt;YEAR(E145),0,IF((YEAR(D145)+20)&gt;YEAR(E145),1,(12-MONTH(E145)+1)/12))))-(IF(OR(N145="",N145&lt;=0),0,(O145/N145)*(IF(OR(N145="",N145&lt;=0),0,IF((YEAR(D145)+20)&lt;YEAR(E145),0,IF((YEAR(D145)+20)&gt;=YEAR(E145)+N145,0,IF((YEAR(D145)+20)=YEAR(E145),(12-MONTH(E145)+1)/12,1))))))))*TaxRate,0))-IF(20=0,O145,0))</f>
        <v/>
      </c>
      <c r="AN145" s="29">
        <f>IF(A145="","",S145)</f>
        <v/>
      </c>
      <c r="AO145" s="29">
        <f>IF(A145="","",AN145+T145)</f>
        <v/>
      </c>
      <c r="AP145" s="29">
        <f>IF(A145="","",AO145+U145)</f>
        <v/>
      </c>
      <c r="AQ145" s="29">
        <f>IF(A145="","",AP145+V145)</f>
        <v/>
      </c>
      <c r="AR145" s="29">
        <f>IF(A145="","",AQ145+W145)</f>
        <v/>
      </c>
      <c r="AS145" s="29">
        <f>IF(A145="","",AR145+X145)</f>
        <v/>
      </c>
      <c r="AT145" s="29">
        <f>IF(A145="","",AS145+Y145)</f>
        <v/>
      </c>
      <c r="AU145" s="29">
        <f>IF(A145="","",AT145+Z145)</f>
        <v/>
      </c>
      <c r="AV145" s="29">
        <f>IF(A145="","",AU145+AA145)</f>
        <v/>
      </c>
      <c r="AW145" s="29">
        <f>IF(A145="","",AV145+AB145)</f>
        <v/>
      </c>
      <c r="AX145" s="29">
        <f>IF(A145="","",AW145+AC145)</f>
        <v/>
      </c>
      <c r="AY145" s="29">
        <f>IF(A145="","",AX145+AD145)</f>
        <v/>
      </c>
      <c r="AZ145" s="29">
        <f>IF(A145="","",AY145+AE145)</f>
        <v/>
      </c>
      <c r="BA145" s="29">
        <f>IF(A145="","",AZ145+AF145)</f>
        <v/>
      </c>
      <c r="BB145" s="29">
        <f>IF(A145="","",BA145+AG145)</f>
        <v/>
      </c>
      <c r="BC145" s="29">
        <f>IF(A145="","",BB145+AH145)</f>
        <v/>
      </c>
      <c r="BD145" s="29">
        <f>IF(A145="","",BC145+AI145)</f>
        <v/>
      </c>
      <c r="BE145" s="29">
        <f>IF(A145="","",BD145+AJ145)</f>
        <v/>
      </c>
      <c r="BF145" s="29">
        <f>IF(A145="","",BE145+AK145)</f>
        <v/>
      </c>
      <c r="BG145" s="29">
        <f>IF(A145="","",BF145+AL145)</f>
        <v/>
      </c>
      <c r="BH145" s="29">
        <f>IF(A145="","",BG145+AM145)</f>
        <v/>
      </c>
      <c r="BI145" s="36">
        <f>IF(A145="","",(K145)*(IF((YEAR(D145)+0)&lt;YEAR(E145),0,IF((YEAR(D145)+0)&gt;YEAR(E145),1,(12-MONTH(E145)+1)/12)))*(1/(1+DiscountRate)^0))</f>
        <v/>
      </c>
      <c r="BJ145" s="36">
        <f>IF(A145="","",(K145)*(IF((YEAR(D145)+1)&lt;YEAR(E145),0,IF((YEAR(D145)+1)&gt;YEAR(E145),1,(12-MONTH(E145)+1)/12)))*(1/(1+DiscountRate)^1))</f>
        <v/>
      </c>
      <c r="BK145" s="36">
        <f>IF(A145="","",(K145)*(IF((YEAR(D145)+2)&lt;YEAR(E145),0,IF((YEAR(D145)+2)&gt;YEAR(E145),1,(12-MONTH(E145)+1)/12)))*(1/(1+DiscountRate)^2))</f>
        <v/>
      </c>
      <c r="BL145" s="36">
        <f>IF(A145="","",(K145)*(IF((YEAR(D145)+3)&lt;YEAR(E145),0,IF((YEAR(D145)+3)&gt;YEAR(E145),1,(12-MONTH(E145)+1)/12)))*(1/(1+DiscountRate)^3))</f>
        <v/>
      </c>
      <c r="BM145" s="36">
        <f>IF(A145="","",(K145)*(IF((YEAR(D145)+4)&lt;YEAR(E145),0,IF((YEAR(D145)+4)&gt;YEAR(E145),1,(12-MONTH(E145)+1)/12)))*(1/(1+DiscountRate)^4))</f>
        <v/>
      </c>
      <c r="BN145" s="36">
        <f>IF(A145="","",(K145)*(IF((YEAR(D145)+5)&lt;YEAR(E145),0,IF((YEAR(D145)+5)&gt;YEAR(E145),1,(12-MONTH(E145)+1)/12)))*(1/(1+DiscountRate)^5))</f>
        <v/>
      </c>
      <c r="BO145" s="36">
        <f>IF(A145="","",(K145)*(IF((YEAR(D145)+6)&lt;YEAR(E145),0,IF((YEAR(D145)+6)&gt;YEAR(E145),1,(12-MONTH(E145)+1)/12)))*(1/(1+DiscountRate)^6))</f>
        <v/>
      </c>
      <c r="BP145" s="36">
        <f>IF(A145="","",(K145)*(IF((YEAR(D145)+7)&lt;YEAR(E145),0,IF((YEAR(D145)+7)&gt;YEAR(E145),1,(12-MONTH(E145)+1)/12)))*(1/(1+DiscountRate)^7))</f>
        <v/>
      </c>
      <c r="BQ145" s="36">
        <f>IF(A145="","",(K145)*(IF((YEAR(D145)+8)&lt;YEAR(E145),0,IF((YEAR(D145)+8)&gt;YEAR(E145),1,(12-MONTH(E145)+1)/12)))*(1/(1+DiscountRate)^8))</f>
        <v/>
      </c>
      <c r="BR145" s="36">
        <f>IF(A145="","",(K145)*(IF((YEAR(D145)+9)&lt;YEAR(E145),0,IF((YEAR(D145)+9)&gt;YEAR(E145),1,(12-MONTH(E145)+1)/12)))*(1/(1+DiscountRate)^9))</f>
        <v/>
      </c>
      <c r="BS145" s="36">
        <f>IF(A145="","",(K145)*(IF((YEAR(D145)+10)&lt;YEAR(E145),0,IF((YEAR(D145)+10)&gt;YEAR(E145),1,(12-MONTH(E145)+1)/12)))*(1/(1+DiscountRate)^10))</f>
        <v/>
      </c>
      <c r="BT145" s="36">
        <f>IF(A145="","",(K145)*(IF((YEAR(D145)+11)&lt;YEAR(E145),0,IF((YEAR(D145)+11)&gt;YEAR(E145),1,(12-MONTH(E145)+1)/12)))*(1/(1+DiscountRate)^11))</f>
        <v/>
      </c>
      <c r="BU145" s="36">
        <f>IF(A145="","",(K145)*(IF((YEAR(D145)+12)&lt;YEAR(E145),0,IF((YEAR(D145)+12)&gt;YEAR(E145),1,(12-MONTH(E145)+1)/12)))*(1/(1+DiscountRate)^12))</f>
        <v/>
      </c>
      <c r="BV145" s="36">
        <f>IF(A145="","",(K145)*(IF((YEAR(D145)+13)&lt;YEAR(E145),0,IF((YEAR(D145)+13)&gt;YEAR(E145),1,(12-MONTH(E145)+1)/12)))*(1/(1+DiscountRate)^13))</f>
        <v/>
      </c>
      <c r="BW145" s="36">
        <f>IF(A145="","",(K145)*(IF((YEAR(D145)+14)&lt;YEAR(E145),0,IF((YEAR(D145)+14)&gt;YEAR(E145),1,(12-MONTH(E145)+1)/12)))*(1/(1+DiscountRate)^14))</f>
        <v/>
      </c>
      <c r="BX145" s="36">
        <f>IF(A145="","",(K145)*(IF((YEAR(D145)+15)&lt;YEAR(E145),0,IF((YEAR(D145)+15)&gt;YEAR(E145),1,(12-MONTH(E145)+1)/12)))*(1/(1+DiscountRate)^15))</f>
        <v/>
      </c>
      <c r="BY145" s="36">
        <f>IF(A145="","",(K145)*(IF((YEAR(D145)+16)&lt;YEAR(E145),0,IF((YEAR(D145)+16)&gt;YEAR(E145),1,(12-MONTH(E145)+1)/12)))*(1/(1+DiscountRate)^16))</f>
        <v/>
      </c>
      <c r="BZ145" s="36">
        <f>IF(A145="","",(K145)*(IF((YEAR(D145)+17)&lt;YEAR(E145),0,IF((YEAR(D145)+17)&gt;YEAR(E145),1,(12-MONTH(E145)+1)/12)))*(1/(1+DiscountRate)^17))</f>
        <v/>
      </c>
      <c r="CA145" s="36">
        <f>IF(A145="","",(K145)*(IF((YEAR(D145)+18)&lt;YEAR(E145),0,IF((YEAR(D145)+18)&gt;YEAR(E145),1,(12-MONTH(E145)+1)/12)))*(1/(1+DiscountRate)^18))</f>
        <v/>
      </c>
      <c r="CB145" s="36">
        <f>IF(A145="","",(K145)*(IF((YEAR(D145)+19)&lt;YEAR(E145),0,IF((YEAR(D145)+19)&gt;YEAR(E145),1,(12-MONTH(E145)+1)/12)))*(1/(1+DiscountRate)^19))</f>
        <v/>
      </c>
      <c r="CC145" s="36">
        <f>IF(A145="","",(K145)*(IF((YEAR(D145)+20)&lt;YEAR(E145),0,IF((YEAR(D145)+20)&gt;YEAR(E145),1,(12-MONTH(E145)+1)/12)))*(1/(1+DiscountRate)^20))</f>
        <v/>
      </c>
      <c r="CD145" s="29">
        <f>IF(A145="","",S145/(1+DiscountRate)^0+T145/(1+DiscountRate)^1+U145/(1+DiscountRate)^2+V145/(1+DiscountRate)^3+W145/(1+DiscountRate)^4+X145/(1+DiscountRate)^5+Y145/(1+DiscountRate)^6+Z145/(1+DiscountRate)^7+AA145/(1+DiscountRate)^8+AB145/(1+DiscountRate)^9+AC145/(1+DiscountRate)^10+AD145/(1+DiscountRate)^11+AE145/(1+DiscountRate)^12+AF145/(1+DiscountRate)^13+AG145/(1+DiscountRate)^14+AH145/(1+DiscountRate)^15+AI145/(1+DiscountRate)^16+AJ145/(1+DiscountRate)^17+AK145/(1+DiscountRate)^18+AL145/(1+DiscountRate)^19+AM145/(1+DiscountRate)^20)</f>
        <v/>
      </c>
      <c r="CE145" s="37">
        <f>IF(A145="","",IFERROR(IRR(OFFSET(S145,0,0,1,MIN(HorizonYears,20)+1)),"n/a"))</f>
        <v/>
      </c>
      <c r="CF145" s="28">
        <f>IF(A145="","",IFERROR(MATCH(TRUE,OFFSET(AN145,0,0,1,MIN(HorizonYears,20)+1)&gt;=0,0)-1,"n/a"))</f>
        <v/>
      </c>
      <c r="CG145" s="36">
        <f>IF(A145="","",SUM(OFFSET(BI145,0,0,1,MIN(HorizonYears,20)+1)))</f>
        <v/>
      </c>
      <c r="CH145" s="36">
        <f>IF(A145="","",IFERROR(-CD145/CG145,"n/a"))</f>
        <v/>
      </c>
    </row>
    <row r="146">
      <c r="A146" s="6">
        <f>Actions!A144</f>
        <v/>
      </c>
      <c r="B146" s="6">
        <f>Actions!B144</f>
        <v/>
      </c>
      <c r="C146" s="6">
        <f>Actions!D144</f>
        <v/>
      </c>
      <c r="D146" s="35">
        <f>Actions!E144</f>
        <v/>
      </c>
      <c r="E146" s="35">
        <f>Actions!F144</f>
        <v/>
      </c>
      <c r="F146" s="6">
        <f>Actions!G144</f>
        <v/>
      </c>
      <c r="G146" s="6">
        <f>Actions!H144</f>
        <v/>
      </c>
      <c r="H146" s="29">
        <f>Actions!I144</f>
        <v/>
      </c>
      <c r="I146" s="6">
        <f>Actions!J144</f>
        <v/>
      </c>
      <c r="J146" s="16">
        <f>Actions!K144</f>
        <v/>
      </c>
      <c r="K146" s="16">
        <f>IF(A146="","",IF(I146="%",H146*J146,J146))</f>
        <v/>
      </c>
      <c r="L146" s="16">
        <f>Actions!L144</f>
        <v/>
      </c>
      <c r="M146" s="6">
        <f>Actions!M144</f>
        <v/>
      </c>
      <c r="N146" s="28">
        <f>Actions!N144</f>
        <v/>
      </c>
      <c r="O146" s="29">
        <f>Actions!T144</f>
        <v/>
      </c>
      <c r="P146" s="29">
        <f>Actions!Y144</f>
        <v/>
      </c>
      <c r="Q146" s="29">
        <f>Actions!Z144</f>
        <v/>
      </c>
      <c r="R146" s="29">
        <f>Actions!AA144</f>
        <v/>
      </c>
      <c r="S146" s="29">
        <f>IF(A146="","",((K146)*(IF(M146="",L146,IFERROR(IF(INDEX(Variablen!$I:$AT, MATCH(M146, Variablen!$A:$A, 0), MATCH((YEAR(D146)+0), Variablen!$I$3:$AT$3, 0))="",L146,INDEX(Variablen!$I:$AT, MATCH(M146, Variablen!$A:$A, 0), MATCH((YEAR(D146)+0), Variablen!$I$3:$AT$3, 0))),L146)))*(IF((YEAR(D146)+0)&lt;YEAR(E146),0,IF((YEAR(D146)+0)&gt;YEAR(E146),1,(12-MONTH(E146)+1)/12))) + (Q146)*(IF((YEAR(D146)+0)&lt;YEAR(E146),0,IF((YEAR(D146)+0)&gt;YEAR(E146),1,(12-MONTH(E146)+1)/12))))-((P146)*(IF((YEAR(D146)+0)&lt;YEAR(E146),0,IF((YEAR(D146)+0)&gt;YEAR(E146),1,(12-MONTH(E146)+1)/12))) + (R146)*(IF((YEAR(D146)+0)&lt;YEAR(E146),0,IF((YEAR(D146)+0)&gt;YEAR(E146),1,(12-MONTH(E146)+1)/12))))-(IF((((K146)*(IF(M146="",L146,IFERROR(IF(INDEX(Variablen!$I:$AT, MATCH(M146, Variablen!$A:$A, 0), MATCH((YEAR(D146)+0), Variablen!$I$3:$AT$3, 0))="",L146,INDEX(Variablen!$I:$AT, MATCH(M146, Variablen!$A:$A, 0), MATCH((YEAR(D146)+0), Variablen!$I$3:$AT$3, 0))),L146)))*(IF((YEAR(D146)+0)&lt;YEAR(E146),0,IF((YEAR(D146)+0)&gt;YEAR(E146),1,(12-MONTH(E146)+1)/12))) + (Q146)*(IF((YEAR(D146)+0)&lt;YEAR(E146),0,IF((YEAR(D146)+0)&gt;YEAR(E146),1,(12-MONTH(E146)+1)/12))))-((P146)*(IF((YEAR(D146)+0)&lt;YEAR(E146),0,IF((YEAR(D146)+0)&gt;YEAR(E146),1,(12-MONTH(E146)+1)/12))) + (R146)*(IF((YEAR(D146)+0)&lt;YEAR(E146),0,IF((YEAR(D146)+0)&gt;YEAR(E146),1,(12-MONTH(E146)+1)/12))))-(IF(OR(N146="",N146&lt;=0),0,(O146/N146)*(IF(OR(N146="",N146&lt;=0),0,IF((YEAR(D146)+0)&lt;YEAR(E146),0,IF((YEAR(D146)+0)&gt;=YEAR(E146)+N146,0,IF((YEAR(D146)+0)=YEAR(E146),(12-MONTH(E146)+1)/12,1))))))))&gt;0,(((K146)*(IF(M146="",L146,IFERROR(IF(INDEX(Variablen!$I:$AT, MATCH(M146, Variablen!$A:$A, 0), MATCH((YEAR(D146)+0), Variablen!$I$3:$AT$3, 0))="",L146,INDEX(Variablen!$I:$AT, MATCH(M146, Variablen!$A:$A, 0), MATCH((YEAR(D146)+0), Variablen!$I$3:$AT$3, 0))),L146)))*(IF((YEAR(D146)+0)&lt;YEAR(E146),0,IF((YEAR(D146)+0)&gt;YEAR(E146),1,(12-MONTH(E146)+1)/12))) + (Q146)*(IF((YEAR(D146)+0)&lt;YEAR(E146),0,IF((YEAR(D146)+0)&gt;YEAR(E146),1,(12-MONTH(E146)+1)/12))))-((P146)*(IF((YEAR(D146)+0)&lt;YEAR(E146),0,IF((YEAR(D146)+0)&gt;YEAR(E146),1,(12-MONTH(E146)+1)/12))) + (R146)*(IF((YEAR(D146)+0)&lt;YEAR(E146),0,IF((YEAR(D146)+0)&gt;YEAR(E146),1,(12-MONTH(E146)+1)/12))))-(IF(OR(N146="",N146&lt;=0),0,(O146/N146)*(IF(OR(N146="",N146&lt;=0),0,IF((YEAR(D146)+0)&lt;YEAR(E146),0,IF((YEAR(D146)+0)&gt;=YEAR(E146)+N146,0,IF((YEAR(D146)+0)=YEAR(E146),(12-MONTH(E146)+1)/12,1))))))))*TaxRate,0))-IF(0=0,O146,0))</f>
        <v/>
      </c>
      <c r="T146" s="29">
        <f>IF(A146="","",((K146)*(IF(M146="",L146,IFERROR(IF(INDEX(Variablen!$I:$AT, MATCH(M146, Variablen!$A:$A, 0), MATCH((YEAR(D146)+1), Variablen!$I$3:$AT$3, 0))="",L146,INDEX(Variablen!$I:$AT, MATCH(M146, Variablen!$A:$A, 0), MATCH((YEAR(D146)+1), Variablen!$I$3:$AT$3, 0))),L146)))*(IF((YEAR(D146)+1)&lt;YEAR(E146),0,IF((YEAR(D146)+1)&gt;YEAR(E146),1,(12-MONTH(E146)+1)/12))) + (Q146)*(IF((YEAR(D146)+1)&lt;YEAR(E146),0,IF((YEAR(D146)+1)&gt;YEAR(E146),1,(12-MONTH(E146)+1)/12))))-((P146)*(IF((YEAR(D146)+1)&lt;YEAR(E146),0,IF((YEAR(D146)+1)&gt;YEAR(E146),1,(12-MONTH(E146)+1)/12))) + (R146)*(IF((YEAR(D146)+1)&lt;YEAR(E146),0,IF((YEAR(D146)+1)&gt;YEAR(E146),1,(12-MONTH(E146)+1)/12))))-(IF((((K146)*(IF(M146="",L146,IFERROR(IF(INDEX(Variablen!$I:$AT, MATCH(M146, Variablen!$A:$A, 0), MATCH((YEAR(D146)+1), Variablen!$I$3:$AT$3, 0))="",L146,INDEX(Variablen!$I:$AT, MATCH(M146, Variablen!$A:$A, 0), MATCH((YEAR(D146)+1), Variablen!$I$3:$AT$3, 0))),L146)))*(IF((YEAR(D146)+1)&lt;YEAR(E146),0,IF((YEAR(D146)+1)&gt;YEAR(E146),1,(12-MONTH(E146)+1)/12))) + (Q146)*(IF((YEAR(D146)+1)&lt;YEAR(E146),0,IF((YEAR(D146)+1)&gt;YEAR(E146),1,(12-MONTH(E146)+1)/12))))-((P146)*(IF((YEAR(D146)+1)&lt;YEAR(E146),0,IF((YEAR(D146)+1)&gt;YEAR(E146),1,(12-MONTH(E146)+1)/12))) + (R146)*(IF((YEAR(D146)+1)&lt;YEAR(E146),0,IF((YEAR(D146)+1)&gt;YEAR(E146),1,(12-MONTH(E146)+1)/12))))-(IF(OR(N146="",N146&lt;=0),0,(O146/N146)*(IF(OR(N146="",N146&lt;=0),0,IF((YEAR(D146)+1)&lt;YEAR(E146),0,IF((YEAR(D146)+1)&gt;=YEAR(E146)+N146,0,IF((YEAR(D146)+1)=YEAR(E146),(12-MONTH(E146)+1)/12,1))))))))&gt;0,(((K146)*(IF(M146="",L146,IFERROR(IF(INDEX(Variablen!$I:$AT, MATCH(M146, Variablen!$A:$A, 0), MATCH((YEAR(D146)+1), Variablen!$I$3:$AT$3, 0))="",L146,INDEX(Variablen!$I:$AT, MATCH(M146, Variablen!$A:$A, 0), MATCH((YEAR(D146)+1), Variablen!$I$3:$AT$3, 0))),L146)))*(IF((YEAR(D146)+1)&lt;YEAR(E146),0,IF((YEAR(D146)+1)&gt;YEAR(E146),1,(12-MONTH(E146)+1)/12))) + (Q146)*(IF((YEAR(D146)+1)&lt;YEAR(E146),0,IF((YEAR(D146)+1)&gt;YEAR(E146),1,(12-MONTH(E146)+1)/12))))-((P146)*(IF((YEAR(D146)+1)&lt;YEAR(E146),0,IF((YEAR(D146)+1)&gt;YEAR(E146),1,(12-MONTH(E146)+1)/12))) + (R146)*(IF((YEAR(D146)+1)&lt;YEAR(E146),0,IF((YEAR(D146)+1)&gt;YEAR(E146),1,(12-MONTH(E146)+1)/12))))-(IF(OR(N146="",N146&lt;=0),0,(O146/N146)*(IF(OR(N146="",N146&lt;=0),0,IF((YEAR(D146)+1)&lt;YEAR(E146),0,IF((YEAR(D146)+1)&gt;=YEAR(E146)+N146,0,IF((YEAR(D146)+1)=YEAR(E146),(12-MONTH(E146)+1)/12,1))))))))*TaxRate,0))-IF(1=0,O146,0))</f>
        <v/>
      </c>
      <c r="U146" s="29">
        <f>IF(A146="","",((K146)*(IF(M146="",L146,IFERROR(IF(INDEX(Variablen!$I:$AT, MATCH(M146, Variablen!$A:$A, 0), MATCH((YEAR(D146)+2), Variablen!$I$3:$AT$3, 0))="",L146,INDEX(Variablen!$I:$AT, MATCH(M146, Variablen!$A:$A, 0), MATCH((YEAR(D146)+2), Variablen!$I$3:$AT$3, 0))),L146)))*(IF((YEAR(D146)+2)&lt;YEAR(E146),0,IF((YEAR(D146)+2)&gt;YEAR(E146),1,(12-MONTH(E146)+1)/12))) + (Q146)*(IF((YEAR(D146)+2)&lt;YEAR(E146),0,IF((YEAR(D146)+2)&gt;YEAR(E146),1,(12-MONTH(E146)+1)/12))))-((P146)*(IF((YEAR(D146)+2)&lt;YEAR(E146),0,IF((YEAR(D146)+2)&gt;YEAR(E146),1,(12-MONTH(E146)+1)/12))) + (R146)*(IF((YEAR(D146)+2)&lt;YEAR(E146),0,IF((YEAR(D146)+2)&gt;YEAR(E146),1,(12-MONTH(E146)+1)/12))))-(IF((((K146)*(IF(M146="",L146,IFERROR(IF(INDEX(Variablen!$I:$AT, MATCH(M146, Variablen!$A:$A, 0), MATCH((YEAR(D146)+2), Variablen!$I$3:$AT$3, 0))="",L146,INDEX(Variablen!$I:$AT, MATCH(M146, Variablen!$A:$A, 0), MATCH((YEAR(D146)+2), Variablen!$I$3:$AT$3, 0))),L146)))*(IF((YEAR(D146)+2)&lt;YEAR(E146),0,IF((YEAR(D146)+2)&gt;YEAR(E146),1,(12-MONTH(E146)+1)/12))) + (Q146)*(IF((YEAR(D146)+2)&lt;YEAR(E146),0,IF((YEAR(D146)+2)&gt;YEAR(E146),1,(12-MONTH(E146)+1)/12))))-((P146)*(IF((YEAR(D146)+2)&lt;YEAR(E146),0,IF((YEAR(D146)+2)&gt;YEAR(E146),1,(12-MONTH(E146)+1)/12))) + (R146)*(IF((YEAR(D146)+2)&lt;YEAR(E146),0,IF((YEAR(D146)+2)&gt;YEAR(E146),1,(12-MONTH(E146)+1)/12))))-(IF(OR(N146="",N146&lt;=0),0,(O146/N146)*(IF(OR(N146="",N146&lt;=0),0,IF((YEAR(D146)+2)&lt;YEAR(E146),0,IF((YEAR(D146)+2)&gt;=YEAR(E146)+N146,0,IF((YEAR(D146)+2)=YEAR(E146),(12-MONTH(E146)+1)/12,1))))))))&gt;0,(((K146)*(IF(M146="",L146,IFERROR(IF(INDEX(Variablen!$I:$AT, MATCH(M146, Variablen!$A:$A, 0), MATCH((YEAR(D146)+2), Variablen!$I$3:$AT$3, 0))="",L146,INDEX(Variablen!$I:$AT, MATCH(M146, Variablen!$A:$A, 0), MATCH((YEAR(D146)+2), Variablen!$I$3:$AT$3, 0))),L146)))*(IF((YEAR(D146)+2)&lt;YEAR(E146),0,IF((YEAR(D146)+2)&gt;YEAR(E146),1,(12-MONTH(E146)+1)/12))) + (Q146)*(IF((YEAR(D146)+2)&lt;YEAR(E146),0,IF((YEAR(D146)+2)&gt;YEAR(E146),1,(12-MONTH(E146)+1)/12))))-((P146)*(IF((YEAR(D146)+2)&lt;YEAR(E146),0,IF((YEAR(D146)+2)&gt;YEAR(E146),1,(12-MONTH(E146)+1)/12))) + (R146)*(IF((YEAR(D146)+2)&lt;YEAR(E146),0,IF((YEAR(D146)+2)&gt;YEAR(E146),1,(12-MONTH(E146)+1)/12))))-(IF(OR(N146="",N146&lt;=0),0,(O146/N146)*(IF(OR(N146="",N146&lt;=0),0,IF((YEAR(D146)+2)&lt;YEAR(E146),0,IF((YEAR(D146)+2)&gt;=YEAR(E146)+N146,0,IF((YEAR(D146)+2)=YEAR(E146),(12-MONTH(E146)+1)/12,1))))))))*TaxRate,0))-IF(2=0,O146,0))</f>
        <v/>
      </c>
      <c r="V146" s="29">
        <f>IF(A146="","",((K146)*(IF(M146="",L146,IFERROR(IF(INDEX(Variablen!$I:$AT, MATCH(M146, Variablen!$A:$A, 0), MATCH((YEAR(D146)+3), Variablen!$I$3:$AT$3, 0))="",L146,INDEX(Variablen!$I:$AT, MATCH(M146, Variablen!$A:$A, 0), MATCH((YEAR(D146)+3), Variablen!$I$3:$AT$3, 0))),L146)))*(IF((YEAR(D146)+3)&lt;YEAR(E146),0,IF((YEAR(D146)+3)&gt;YEAR(E146),1,(12-MONTH(E146)+1)/12))) + (Q146)*(IF((YEAR(D146)+3)&lt;YEAR(E146),0,IF((YEAR(D146)+3)&gt;YEAR(E146),1,(12-MONTH(E146)+1)/12))))-((P146)*(IF((YEAR(D146)+3)&lt;YEAR(E146),0,IF((YEAR(D146)+3)&gt;YEAR(E146),1,(12-MONTH(E146)+1)/12))) + (R146)*(IF((YEAR(D146)+3)&lt;YEAR(E146),0,IF((YEAR(D146)+3)&gt;YEAR(E146),1,(12-MONTH(E146)+1)/12))))-(IF((((K146)*(IF(M146="",L146,IFERROR(IF(INDEX(Variablen!$I:$AT, MATCH(M146, Variablen!$A:$A, 0), MATCH((YEAR(D146)+3), Variablen!$I$3:$AT$3, 0))="",L146,INDEX(Variablen!$I:$AT, MATCH(M146, Variablen!$A:$A, 0), MATCH((YEAR(D146)+3), Variablen!$I$3:$AT$3, 0))),L146)))*(IF((YEAR(D146)+3)&lt;YEAR(E146),0,IF((YEAR(D146)+3)&gt;YEAR(E146),1,(12-MONTH(E146)+1)/12))) + (Q146)*(IF((YEAR(D146)+3)&lt;YEAR(E146),0,IF((YEAR(D146)+3)&gt;YEAR(E146),1,(12-MONTH(E146)+1)/12))))-((P146)*(IF((YEAR(D146)+3)&lt;YEAR(E146),0,IF((YEAR(D146)+3)&gt;YEAR(E146),1,(12-MONTH(E146)+1)/12))) + (R146)*(IF((YEAR(D146)+3)&lt;YEAR(E146),0,IF((YEAR(D146)+3)&gt;YEAR(E146),1,(12-MONTH(E146)+1)/12))))-(IF(OR(N146="",N146&lt;=0),0,(O146/N146)*(IF(OR(N146="",N146&lt;=0),0,IF((YEAR(D146)+3)&lt;YEAR(E146),0,IF((YEAR(D146)+3)&gt;=YEAR(E146)+N146,0,IF((YEAR(D146)+3)=YEAR(E146),(12-MONTH(E146)+1)/12,1))))))))&gt;0,(((K146)*(IF(M146="",L146,IFERROR(IF(INDEX(Variablen!$I:$AT, MATCH(M146, Variablen!$A:$A, 0), MATCH((YEAR(D146)+3), Variablen!$I$3:$AT$3, 0))="",L146,INDEX(Variablen!$I:$AT, MATCH(M146, Variablen!$A:$A, 0), MATCH((YEAR(D146)+3), Variablen!$I$3:$AT$3, 0))),L146)))*(IF((YEAR(D146)+3)&lt;YEAR(E146),0,IF((YEAR(D146)+3)&gt;YEAR(E146),1,(12-MONTH(E146)+1)/12))) + (Q146)*(IF((YEAR(D146)+3)&lt;YEAR(E146),0,IF((YEAR(D146)+3)&gt;YEAR(E146),1,(12-MONTH(E146)+1)/12))))-((P146)*(IF((YEAR(D146)+3)&lt;YEAR(E146),0,IF((YEAR(D146)+3)&gt;YEAR(E146),1,(12-MONTH(E146)+1)/12))) + (R146)*(IF((YEAR(D146)+3)&lt;YEAR(E146),0,IF((YEAR(D146)+3)&gt;YEAR(E146),1,(12-MONTH(E146)+1)/12))))-(IF(OR(N146="",N146&lt;=0),0,(O146/N146)*(IF(OR(N146="",N146&lt;=0),0,IF((YEAR(D146)+3)&lt;YEAR(E146),0,IF((YEAR(D146)+3)&gt;=YEAR(E146)+N146,0,IF((YEAR(D146)+3)=YEAR(E146),(12-MONTH(E146)+1)/12,1))))))))*TaxRate,0))-IF(3=0,O146,0))</f>
        <v/>
      </c>
      <c r="W146" s="29">
        <f>IF(A146="","",((K146)*(IF(M146="",L146,IFERROR(IF(INDEX(Variablen!$I:$AT, MATCH(M146, Variablen!$A:$A, 0), MATCH((YEAR(D146)+4), Variablen!$I$3:$AT$3, 0))="",L146,INDEX(Variablen!$I:$AT, MATCH(M146, Variablen!$A:$A, 0), MATCH((YEAR(D146)+4), Variablen!$I$3:$AT$3, 0))),L146)))*(IF((YEAR(D146)+4)&lt;YEAR(E146),0,IF((YEAR(D146)+4)&gt;YEAR(E146),1,(12-MONTH(E146)+1)/12))) + (Q146)*(IF((YEAR(D146)+4)&lt;YEAR(E146),0,IF((YEAR(D146)+4)&gt;YEAR(E146),1,(12-MONTH(E146)+1)/12))))-((P146)*(IF((YEAR(D146)+4)&lt;YEAR(E146),0,IF((YEAR(D146)+4)&gt;YEAR(E146),1,(12-MONTH(E146)+1)/12))) + (R146)*(IF((YEAR(D146)+4)&lt;YEAR(E146),0,IF((YEAR(D146)+4)&gt;YEAR(E146),1,(12-MONTH(E146)+1)/12))))-(IF((((K146)*(IF(M146="",L146,IFERROR(IF(INDEX(Variablen!$I:$AT, MATCH(M146, Variablen!$A:$A, 0), MATCH((YEAR(D146)+4), Variablen!$I$3:$AT$3, 0))="",L146,INDEX(Variablen!$I:$AT, MATCH(M146, Variablen!$A:$A, 0), MATCH((YEAR(D146)+4), Variablen!$I$3:$AT$3, 0))),L146)))*(IF((YEAR(D146)+4)&lt;YEAR(E146),0,IF((YEAR(D146)+4)&gt;YEAR(E146),1,(12-MONTH(E146)+1)/12))) + (Q146)*(IF((YEAR(D146)+4)&lt;YEAR(E146),0,IF((YEAR(D146)+4)&gt;YEAR(E146),1,(12-MONTH(E146)+1)/12))))-((P146)*(IF((YEAR(D146)+4)&lt;YEAR(E146),0,IF((YEAR(D146)+4)&gt;YEAR(E146),1,(12-MONTH(E146)+1)/12))) + (R146)*(IF((YEAR(D146)+4)&lt;YEAR(E146),0,IF((YEAR(D146)+4)&gt;YEAR(E146),1,(12-MONTH(E146)+1)/12))))-(IF(OR(N146="",N146&lt;=0),0,(O146/N146)*(IF(OR(N146="",N146&lt;=0),0,IF((YEAR(D146)+4)&lt;YEAR(E146),0,IF((YEAR(D146)+4)&gt;=YEAR(E146)+N146,0,IF((YEAR(D146)+4)=YEAR(E146),(12-MONTH(E146)+1)/12,1))))))))&gt;0,(((K146)*(IF(M146="",L146,IFERROR(IF(INDEX(Variablen!$I:$AT, MATCH(M146, Variablen!$A:$A, 0), MATCH((YEAR(D146)+4), Variablen!$I$3:$AT$3, 0))="",L146,INDEX(Variablen!$I:$AT, MATCH(M146, Variablen!$A:$A, 0), MATCH((YEAR(D146)+4), Variablen!$I$3:$AT$3, 0))),L146)))*(IF((YEAR(D146)+4)&lt;YEAR(E146),0,IF((YEAR(D146)+4)&gt;YEAR(E146),1,(12-MONTH(E146)+1)/12))) + (Q146)*(IF((YEAR(D146)+4)&lt;YEAR(E146),0,IF((YEAR(D146)+4)&gt;YEAR(E146),1,(12-MONTH(E146)+1)/12))))-((P146)*(IF((YEAR(D146)+4)&lt;YEAR(E146),0,IF((YEAR(D146)+4)&gt;YEAR(E146),1,(12-MONTH(E146)+1)/12))) + (R146)*(IF((YEAR(D146)+4)&lt;YEAR(E146),0,IF((YEAR(D146)+4)&gt;YEAR(E146),1,(12-MONTH(E146)+1)/12))))-(IF(OR(N146="",N146&lt;=0),0,(O146/N146)*(IF(OR(N146="",N146&lt;=0),0,IF((YEAR(D146)+4)&lt;YEAR(E146),0,IF((YEAR(D146)+4)&gt;=YEAR(E146)+N146,0,IF((YEAR(D146)+4)=YEAR(E146),(12-MONTH(E146)+1)/12,1))))))))*TaxRate,0))-IF(4=0,O146,0))</f>
        <v/>
      </c>
      <c r="X146" s="29">
        <f>IF(A146="","",((K146)*(IF(M146="",L146,IFERROR(IF(INDEX(Variablen!$I:$AT, MATCH(M146, Variablen!$A:$A, 0), MATCH((YEAR(D146)+5), Variablen!$I$3:$AT$3, 0))="",L146,INDEX(Variablen!$I:$AT, MATCH(M146, Variablen!$A:$A, 0), MATCH((YEAR(D146)+5), Variablen!$I$3:$AT$3, 0))),L146)))*(IF((YEAR(D146)+5)&lt;YEAR(E146),0,IF((YEAR(D146)+5)&gt;YEAR(E146),1,(12-MONTH(E146)+1)/12))) + (Q146)*(IF((YEAR(D146)+5)&lt;YEAR(E146),0,IF((YEAR(D146)+5)&gt;YEAR(E146),1,(12-MONTH(E146)+1)/12))))-((P146)*(IF((YEAR(D146)+5)&lt;YEAR(E146),0,IF((YEAR(D146)+5)&gt;YEAR(E146),1,(12-MONTH(E146)+1)/12))) + (R146)*(IF((YEAR(D146)+5)&lt;YEAR(E146),0,IF((YEAR(D146)+5)&gt;YEAR(E146),1,(12-MONTH(E146)+1)/12))))-(IF((((K146)*(IF(M146="",L146,IFERROR(IF(INDEX(Variablen!$I:$AT, MATCH(M146, Variablen!$A:$A, 0), MATCH((YEAR(D146)+5), Variablen!$I$3:$AT$3, 0))="",L146,INDEX(Variablen!$I:$AT, MATCH(M146, Variablen!$A:$A, 0), MATCH((YEAR(D146)+5), Variablen!$I$3:$AT$3, 0))),L146)))*(IF((YEAR(D146)+5)&lt;YEAR(E146),0,IF((YEAR(D146)+5)&gt;YEAR(E146),1,(12-MONTH(E146)+1)/12))) + (Q146)*(IF((YEAR(D146)+5)&lt;YEAR(E146),0,IF((YEAR(D146)+5)&gt;YEAR(E146),1,(12-MONTH(E146)+1)/12))))-((P146)*(IF((YEAR(D146)+5)&lt;YEAR(E146),0,IF((YEAR(D146)+5)&gt;YEAR(E146),1,(12-MONTH(E146)+1)/12))) + (R146)*(IF((YEAR(D146)+5)&lt;YEAR(E146),0,IF((YEAR(D146)+5)&gt;YEAR(E146),1,(12-MONTH(E146)+1)/12))))-(IF(OR(N146="",N146&lt;=0),0,(O146/N146)*(IF(OR(N146="",N146&lt;=0),0,IF((YEAR(D146)+5)&lt;YEAR(E146),0,IF((YEAR(D146)+5)&gt;=YEAR(E146)+N146,0,IF((YEAR(D146)+5)=YEAR(E146),(12-MONTH(E146)+1)/12,1))))))))&gt;0,(((K146)*(IF(M146="",L146,IFERROR(IF(INDEX(Variablen!$I:$AT, MATCH(M146, Variablen!$A:$A, 0), MATCH((YEAR(D146)+5), Variablen!$I$3:$AT$3, 0))="",L146,INDEX(Variablen!$I:$AT, MATCH(M146, Variablen!$A:$A, 0), MATCH((YEAR(D146)+5), Variablen!$I$3:$AT$3, 0))),L146)))*(IF((YEAR(D146)+5)&lt;YEAR(E146),0,IF((YEAR(D146)+5)&gt;YEAR(E146),1,(12-MONTH(E146)+1)/12))) + (Q146)*(IF((YEAR(D146)+5)&lt;YEAR(E146),0,IF((YEAR(D146)+5)&gt;YEAR(E146),1,(12-MONTH(E146)+1)/12))))-((P146)*(IF((YEAR(D146)+5)&lt;YEAR(E146),0,IF((YEAR(D146)+5)&gt;YEAR(E146),1,(12-MONTH(E146)+1)/12))) + (R146)*(IF((YEAR(D146)+5)&lt;YEAR(E146),0,IF((YEAR(D146)+5)&gt;YEAR(E146),1,(12-MONTH(E146)+1)/12))))-(IF(OR(N146="",N146&lt;=0),0,(O146/N146)*(IF(OR(N146="",N146&lt;=0),0,IF((YEAR(D146)+5)&lt;YEAR(E146),0,IF((YEAR(D146)+5)&gt;=YEAR(E146)+N146,0,IF((YEAR(D146)+5)=YEAR(E146),(12-MONTH(E146)+1)/12,1))))))))*TaxRate,0))-IF(5=0,O146,0))</f>
        <v/>
      </c>
      <c r="Y146" s="29">
        <f>IF(A146="","",((K146)*(IF(M146="",L146,IFERROR(IF(INDEX(Variablen!$I:$AT, MATCH(M146, Variablen!$A:$A, 0), MATCH((YEAR(D146)+6), Variablen!$I$3:$AT$3, 0))="",L146,INDEX(Variablen!$I:$AT, MATCH(M146, Variablen!$A:$A, 0), MATCH((YEAR(D146)+6), Variablen!$I$3:$AT$3, 0))),L146)))*(IF((YEAR(D146)+6)&lt;YEAR(E146),0,IF((YEAR(D146)+6)&gt;YEAR(E146),1,(12-MONTH(E146)+1)/12))) + (Q146)*(IF((YEAR(D146)+6)&lt;YEAR(E146),0,IF((YEAR(D146)+6)&gt;YEAR(E146),1,(12-MONTH(E146)+1)/12))))-((P146)*(IF((YEAR(D146)+6)&lt;YEAR(E146),0,IF((YEAR(D146)+6)&gt;YEAR(E146),1,(12-MONTH(E146)+1)/12))) + (R146)*(IF((YEAR(D146)+6)&lt;YEAR(E146),0,IF((YEAR(D146)+6)&gt;YEAR(E146),1,(12-MONTH(E146)+1)/12))))-(IF((((K146)*(IF(M146="",L146,IFERROR(IF(INDEX(Variablen!$I:$AT, MATCH(M146, Variablen!$A:$A, 0), MATCH((YEAR(D146)+6), Variablen!$I$3:$AT$3, 0))="",L146,INDEX(Variablen!$I:$AT, MATCH(M146, Variablen!$A:$A, 0), MATCH((YEAR(D146)+6), Variablen!$I$3:$AT$3, 0))),L146)))*(IF((YEAR(D146)+6)&lt;YEAR(E146),0,IF((YEAR(D146)+6)&gt;YEAR(E146),1,(12-MONTH(E146)+1)/12))) + (Q146)*(IF((YEAR(D146)+6)&lt;YEAR(E146),0,IF((YEAR(D146)+6)&gt;YEAR(E146),1,(12-MONTH(E146)+1)/12))))-((P146)*(IF((YEAR(D146)+6)&lt;YEAR(E146),0,IF((YEAR(D146)+6)&gt;YEAR(E146),1,(12-MONTH(E146)+1)/12))) + (R146)*(IF((YEAR(D146)+6)&lt;YEAR(E146),0,IF((YEAR(D146)+6)&gt;YEAR(E146),1,(12-MONTH(E146)+1)/12))))-(IF(OR(N146="",N146&lt;=0),0,(O146/N146)*(IF(OR(N146="",N146&lt;=0),0,IF((YEAR(D146)+6)&lt;YEAR(E146),0,IF((YEAR(D146)+6)&gt;=YEAR(E146)+N146,0,IF((YEAR(D146)+6)=YEAR(E146),(12-MONTH(E146)+1)/12,1))))))))&gt;0,(((K146)*(IF(M146="",L146,IFERROR(IF(INDEX(Variablen!$I:$AT, MATCH(M146, Variablen!$A:$A, 0), MATCH((YEAR(D146)+6), Variablen!$I$3:$AT$3, 0))="",L146,INDEX(Variablen!$I:$AT, MATCH(M146, Variablen!$A:$A, 0), MATCH((YEAR(D146)+6), Variablen!$I$3:$AT$3, 0))),L146)))*(IF((YEAR(D146)+6)&lt;YEAR(E146),0,IF((YEAR(D146)+6)&gt;YEAR(E146),1,(12-MONTH(E146)+1)/12))) + (Q146)*(IF((YEAR(D146)+6)&lt;YEAR(E146),0,IF((YEAR(D146)+6)&gt;YEAR(E146),1,(12-MONTH(E146)+1)/12))))-((P146)*(IF((YEAR(D146)+6)&lt;YEAR(E146),0,IF((YEAR(D146)+6)&gt;YEAR(E146),1,(12-MONTH(E146)+1)/12))) + (R146)*(IF((YEAR(D146)+6)&lt;YEAR(E146),0,IF((YEAR(D146)+6)&gt;YEAR(E146),1,(12-MONTH(E146)+1)/12))))-(IF(OR(N146="",N146&lt;=0),0,(O146/N146)*(IF(OR(N146="",N146&lt;=0),0,IF((YEAR(D146)+6)&lt;YEAR(E146),0,IF((YEAR(D146)+6)&gt;=YEAR(E146)+N146,0,IF((YEAR(D146)+6)=YEAR(E146),(12-MONTH(E146)+1)/12,1))))))))*TaxRate,0))-IF(6=0,O146,0))</f>
        <v/>
      </c>
      <c r="Z146" s="29">
        <f>IF(A146="","",((K146)*(IF(M146="",L146,IFERROR(IF(INDEX(Variablen!$I:$AT, MATCH(M146, Variablen!$A:$A, 0), MATCH((YEAR(D146)+7), Variablen!$I$3:$AT$3, 0))="",L146,INDEX(Variablen!$I:$AT, MATCH(M146, Variablen!$A:$A, 0), MATCH((YEAR(D146)+7), Variablen!$I$3:$AT$3, 0))),L146)))*(IF((YEAR(D146)+7)&lt;YEAR(E146),0,IF((YEAR(D146)+7)&gt;YEAR(E146),1,(12-MONTH(E146)+1)/12))) + (Q146)*(IF((YEAR(D146)+7)&lt;YEAR(E146),0,IF((YEAR(D146)+7)&gt;YEAR(E146),1,(12-MONTH(E146)+1)/12))))-((P146)*(IF((YEAR(D146)+7)&lt;YEAR(E146),0,IF((YEAR(D146)+7)&gt;YEAR(E146),1,(12-MONTH(E146)+1)/12))) + (R146)*(IF((YEAR(D146)+7)&lt;YEAR(E146),0,IF((YEAR(D146)+7)&gt;YEAR(E146),1,(12-MONTH(E146)+1)/12))))-(IF((((K146)*(IF(M146="",L146,IFERROR(IF(INDEX(Variablen!$I:$AT, MATCH(M146, Variablen!$A:$A, 0), MATCH((YEAR(D146)+7), Variablen!$I$3:$AT$3, 0))="",L146,INDEX(Variablen!$I:$AT, MATCH(M146, Variablen!$A:$A, 0), MATCH((YEAR(D146)+7), Variablen!$I$3:$AT$3, 0))),L146)))*(IF((YEAR(D146)+7)&lt;YEAR(E146),0,IF((YEAR(D146)+7)&gt;YEAR(E146),1,(12-MONTH(E146)+1)/12))) + (Q146)*(IF((YEAR(D146)+7)&lt;YEAR(E146),0,IF((YEAR(D146)+7)&gt;YEAR(E146),1,(12-MONTH(E146)+1)/12))))-((P146)*(IF((YEAR(D146)+7)&lt;YEAR(E146),0,IF((YEAR(D146)+7)&gt;YEAR(E146),1,(12-MONTH(E146)+1)/12))) + (R146)*(IF((YEAR(D146)+7)&lt;YEAR(E146),0,IF((YEAR(D146)+7)&gt;YEAR(E146),1,(12-MONTH(E146)+1)/12))))-(IF(OR(N146="",N146&lt;=0),0,(O146/N146)*(IF(OR(N146="",N146&lt;=0),0,IF((YEAR(D146)+7)&lt;YEAR(E146),0,IF((YEAR(D146)+7)&gt;=YEAR(E146)+N146,0,IF((YEAR(D146)+7)=YEAR(E146),(12-MONTH(E146)+1)/12,1))))))))&gt;0,(((K146)*(IF(M146="",L146,IFERROR(IF(INDEX(Variablen!$I:$AT, MATCH(M146, Variablen!$A:$A, 0), MATCH((YEAR(D146)+7), Variablen!$I$3:$AT$3, 0))="",L146,INDEX(Variablen!$I:$AT, MATCH(M146, Variablen!$A:$A, 0), MATCH((YEAR(D146)+7), Variablen!$I$3:$AT$3, 0))),L146)))*(IF((YEAR(D146)+7)&lt;YEAR(E146),0,IF((YEAR(D146)+7)&gt;YEAR(E146),1,(12-MONTH(E146)+1)/12))) + (Q146)*(IF((YEAR(D146)+7)&lt;YEAR(E146),0,IF((YEAR(D146)+7)&gt;YEAR(E146),1,(12-MONTH(E146)+1)/12))))-((P146)*(IF((YEAR(D146)+7)&lt;YEAR(E146),0,IF((YEAR(D146)+7)&gt;YEAR(E146),1,(12-MONTH(E146)+1)/12))) + (R146)*(IF((YEAR(D146)+7)&lt;YEAR(E146),0,IF((YEAR(D146)+7)&gt;YEAR(E146),1,(12-MONTH(E146)+1)/12))))-(IF(OR(N146="",N146&lt;=0),0,(O146/N146)*(IF(OR(N146="",N146&lt;=0),0,IF((YEAR(D146)+7)&lt;YEAR(E146),0,IF((YEAR(D146)+7)&gt;=YEAR(E146)+N146,0,IF((YEAR(D146)+7)=YEAR(E146),(12-MONTH(E146)+1)/12,1))))))))*TaxRate,0))-IF(7=0,O146,0))</f>
        <v/>
      </c>
      <c r="AA146" s="29">
        <f>IF(A146="","",((K146)*(IF(M146="",L146,IFERROR(IF(INDEX(Variablen!$I:$AT, MATCH(M146, Variablen!$A:$A, 0), MATCH((YEAR(D146)+8), Variablen!$I$3:$AT$3, 0))="",L146,INDEX(Variablen!$I:$AT, MATCH(M146, Variablen!$A:$A, 0), MATCH((YEAR(D146)+8), Variablen!$I$3:$AT$3, 0))),L146)))*(IF((YEAR(D146)+8)&lt;YEAR(E146),0,IF((YEAR(D146)+8)&gt;YEAR(E146),1,(12-MONTH(E146)+1)/12))) + (Q146)*(IF((YEAR(D146)+8)&lt;YEAR(E146),0,IF((YEAR(D146)+8)&gt;YEAR(E146),1,(12-MONTH(E146)+1)/12))))-((P146)*(IF((YEAR(D146)+8)&lt;YEAR(E146),0,IF((YEAR(D146)+8)&gt;YEAR(E146),1,(12-MONTH(E146)+1)/12))) + (R146)*(IF((YEAR(D146)+8)&lt;YEAR(E146),0,IF((YEAR(D146)+8)&gt;YEAR(E146),1,(12-MONTH(E146)+1)/12))))-(IF((((K146)*(IF(M146="",L146,IFERROR(IF(INDEX(Variablen!$I:$AT, MATCH(M146, Variablen!$A:$A, 0), MATCH((YEAR(D146)+8), Variablen!$I$3:$AT$3, 0))="",L146,INDEX(Variablen!$I:$AT, MATCH(M146, Variablen!$A:$A, 0), MATCH((YEAR(D146)+8), Variablen!$I$3:$AT$3, 0))),L146)))*(IF((YEAR(D146)+8)&lt;YEAR(E146),0,IF((YEAR(D146)+8)&gt;YEAR(E146),1,(12-MONTH(E146)+1)/12))) + (Q146)*(IF((YEAR(D146)+8)&lt;YEAR(E146),0,IF((YEAR(D146)+8)&gt;YEAR(E146),1,(12-MONTH(E146)+1)/12))))-((P146)*(IF((YEAR(D146)+8)&lt;YEAR(E146),0,IF((YEAR(D146)+8)&gt;YEAR(E146),1,(12-MONTH(E146)+1)/12))) + (R146)*(IF((YEAR(D146)+8)&lt;YEAR(E146),0,IF((YEAR(D146)+8)&gt;YEAR(E146),1,(12-MONTH(E146)+1)/12))))-(IF(OR(N146="",N146&lt;=0),0,(O146/N146)*(IF(OR(N146="",N146&lt;=0),0,IF((YEAR(D146)+8)&lt;YEAR(E146),0,IF((YEAR(D146)+8)&gt;=YEAR(E146)+N146,0,IF((YEAR(D146)+8)=YEAR(E146),(12-MONTH(E146)+1)/12,1))))))))&gt;0,(((K146)*(IF(M146="",L146,IFERROR(IF(INDEX(Variablen!$I:$AT, MATCH(M146, Variablen!$A:$A, 0), MATCH((YEAR(D146)+8), Variablen!$I$3:$AT$3, 0))="",L146,INDEX(Variablen!$I:$AT, MATCH(M146, Variablen!$A:$A, 0), MATCH((YEAR(D146)+8), Variablen!$I$3:$AT$3, 0))),L146)))*(IF((YEAR(D146)+8)&lt;YEAR(E146),0,IF((YEAR(D146)+8)&gt;YEAR(E146),1,(12-MONTH(E146)+1)/12))) + (Q146)*(IF((YEAR(D146)+8)&lt;YEAR(E146),0,IF((YEAR(D146)+8)&gt;YEAR(E146),1,(12-MONTH(E146)+1)/12))))-((P146)*(IF((YEAR(D146)+8)&lt;YEAR(E146),0,IF((YEAR(D146)+8)&gt;YEAR(E146),1,(12-MONTH(E146)+1)/12))) + (R146)*(IF((YEAR(D146)+8)&lt;YEAR(E146),0,IF((YEAR(D146)+8)&gt;YEAR(E146),1,(12-MONTH(E146)+1)/12))))-(IF(OR(N146="",N146&lt;=0),0,(O146/N146)*(IF(OR(N146="",N146&lt;=0),0,IF((YEAR(D146)+8)&lt;YEAR(E146),0,IF((YEAR(D146)+8)&gt;=YEAR(E146)+N146,0,IF((YEAR(D146)+8)=YEAR(E146),(12-MONTH(E146)+1)/12,1))))))))*TaxRate,0))-IF(8=0,O146,0))</f>
        <v/>
      </c>
      <c r="AB146" s="29">
        <f>IF(A146="","",((K146)*(IF(M146="",L146,IFERROR(IF(INDEX(Variablen!$I:$AT, MATCH(M146, Variablen!$A:$A, 0), MATCH((YEAR(D146)+9), Variablen!$I$3:$AT$3, 0))="",L146,INDEX(Variablen!$I:$AT, MATCH(M146, Variablen!$A:$A, 0), MATCH((YEAR(D146)+9), Variablen!$I$3:$AT$3, 0))),L146)))*(IF((YEAR(D146)+9)&lt;YEAR(E146),0,IF((YEAR(D146)+9)&gt;YEAR(E146),1,(12-MONTH(E146)+1)/12))) + (Q146)*(IF((YEAR(D146)+9)&lt;YEAR(E146),0,IF((YEAR(D146)+9)&gt;YEAR(E146),1,(12-MONTH(E146)+1)/12))))-((P146)*(IF((YEAR(D146)+9)&lt;YEAR(E146),0,IF((YEAR(D146)+9)&gt;YEAR(E146),1,(12-MONTH(E146)+1)/12))) + (R146)*(IF((YEAR(D146)+9)&lt;YEAR(E146),0,IF((YEAR(D146)+9)&gt;YEAR(E146),1,(12-MONTH(E146)+1)/12))))-(IF((((K146)*(IF(M146="",L146,IFERROR(IF(INDEX(Variablen!$I:$AT, MATCH(M146, Variablen!$A:$A, 0), MATCH((YEAR(D146)+9), Variablen!$I$3:$AT$3, 0))="",L146,INDEX(Variablen!$I:$AT, MATCH(M146, Variablen!$A:$A, 0), MATCH((YEAR(D146)+9), Variablen!$I$3:$AT$3, 0))),L146)))*(IF((YEAR(D146)+9)&lt;YEAR(E146),0,IF((YEAR(D146)+9)&gt;YEAR(E146),1,(12-MONTH(E146)+1)/12))) + (Q146)*(IF((YEAR(D146)+9)&lt;YEAR(E146),0,IF((YEAR(D146)+9)&gt;YEAR(E146),1,(12-MONTH(E146)+1)/12))))-((P146)*(IF((YEAR(D146)+9)&lt;YEAR(E146),0,IF((YEAR(D146)+9)&gt;YEAR(E146),1,(12-MONTH(E146)+1)/12))) + (R146)*(IF((YEAR(D146)+9)&lt;YEAR(E146),0,IF((YEAR(D146)+9)&gt;YEAR(E146),1,(12-MONTH(E146)+1)/12))))-(IF(OR(N146="",N146&lt;=0),0,(O146/N146)*(IF(OR(N146="",N146&lt;=0),0,IF((YEAR(D146)+9)&lt;YEAR(E146),0,IF((YEAR(D146)+9)&gt;=YEAR(E146)+N146,0,IF((YEAR(D146)+9)=YEAR(E146),(12-MONTH(E146)+1)/12,1))))))))&gt;0,(((K146)*(IF(M146="",L146,IFERROR(IF(INDEX(Variablen!$I:$AT, MATCH(M146, Variablen!$A:$A, 0), MATCH((YEAR(D146)+9), Variablen!$I$3:$AT$3, 0))="",L146,INDEX(Variablen!$I:$AT, MATCH(M146, Variablen!$A:$A, 0), MATCH((YEAR(D146)+9), Variablen!$I$3:$AT$3, 0))),L146)))*(IF((YEAR(D146)+9)&lt;YEAR(E146),0,IF((YEAR(D146)+9)&gt;YEAR(E146),1,(12-MONTH(E146)+1)/12))) + (Q146)*(IF((YEAR(D146)+9)&lt;YEAR(E146),0,IF((YEAR(D146)+9)&gt;YEAR(E146),1,(12-MONTH(E146)+1)/12))))-((P146)*(IF((YEAR(D146)+9)&lt;YEAR(E146),0,IF((YEAR(D146)+9)&gt;YEAR(E146),1,(12-MONTH(E146)+1)/12))) + (R146)*(IF((YEAR(D146)+9)&lt;YEAR(E146),0,IF((YEAR(D146)+9)&gt;YEAR(E146),1,(12-MONTH(E146)+1)/12))))-(IF(OR(N146="",N146&lt;=0),0,(O146/N146)*(IF(OR(N146="",N146&lt;=0),0,IF((YEAR(D146)+9)&lt;YEAR(E146),0,IF((YEAR(D146)+9)&gt;=YEAR(E146)+N146,0,IF((YEAR(D146)+9)=YEAR(E146),(12-MONTH(E146)+1)/12,1))))))))*TaxRate,0))-IF(9=0,O146,0))</f>
        <v/>
      </c>
      <c r="AC146" s="29">
        <f>IF(A146="","",((K146)*(IF(M146="",L146,IFERROR(IF(INDEX(Variablen!$I:$AT, MATCH(M146, Variablen!$A:$A, 0), MATCH((YEAR(D146)+10), Variablen!$I$3:$AT$3, 0))="",L146,INDEX(Variablen!$I:$AT, MATCH(M146, Variablen!$A:$A, 0), MATCH((YEAR(D146)+10), Variablen!$I$3:$AT$3, 0))),L146)))*(IF((YEAR(D146)+10)&lt;YEAR(E146),0,IF((YEAR(D146)+10)&gt;YEAR(E146),1,(12-MONTH(E146)+1)/12))) + (Q146)*(IF((YEAR(D146)+10)&lt;YEAR(E146),0,IF((YEAR(D146)+10)&gt;YEAR(E146),1,(12-MONTH(E146)+1)/12))))-((P146)*(IF((YEAR(D146)+10)&lt;YEAR(E146),0,IF((YEAR(D146)+10)&gt;YEAR(E146),1,(12-MONTH(E146)+1)/12))) + (R146)*(IF((YEAR(D146)+10)&lt;YEAR(E146),0,IF((YEAR(D146)+10)&gt;YEAR(E146),1,(12-MONTH(E146)+1)/12))))-(IF((((K146)*(IF(M146="",L146,IFERROR(IF(INDEX(Variablen!$I:$AT, MATCH(M146, Variablen!$A:$A, 0), MATCH((YEAR(D146)+10), Variablen!$I$3:$AT$3, 0))="",L146,INDEX(Variablen!$I:$AT, MATCH(M146, Variablen!$A:$A, 0), MATCH((YEAR(D146)+10), Variablen!$I$3:$AT$3, 0))),L146)))*(IF((YEAR(D146)+10)&lt;YEAR(E146),0,IF((YEAR(D146)+10)&gt;YEAR(E146),1,(12-MONTH(E146)+1)/12))) + (Q146)*(IF((YEAR(D146)+10)&lt;YEAR(E146),0,IF((YEAR(D146)+10)&gt;YEAR(E146),1,(12-MONTH(E146)+1)/12))))-((P146)*(IF((YEAR(D146)+10)&lt;YEAR(E146),0,IF((YEAR(D146)+10)&gt;YEAR(E146),1,(12-MONTH(E146)+1)/12))) + (R146)*(IF((YEAR(D146)+10)&lt;YEAR(E146),0,IF((YEAR(D146)+10)&gt;YEAR(E146),1,(12-MONTH(E146)+1)/12))))-(IF(OR(N146="",N146&lt;=0),0,(O146/N146)*(IF(OR(N146="",N146&lt;=0),0,IF((YEAR(D146)+10)&lt;YEAR(E146),0,IF((YEAR(D146)+10)&gt;=YEAR(E146)+N146,0,IF((YEAR(D146)+10)=YEAR(E146),(12-MONTH(E146)+1)/12,1))))))))&gt;0,(((K146)*(IF(M146="",L146,IFERROR(IF(INDEX(Variablen!$I:$AT, MATCH(M146, Variablen!$A:$A, 0), MATCH((YEAR(D146)+10), Variablen!$I$3:$AT$3, 0))="",L146,INDEX(Variablen!$I:$AT, MATCH(M146, Variablen!$A:$A, 0), MATCH((YEAR(D146)+10), Variablen!$I$3:$AT$3, 0))),L146)))*(IF((YEAR(D146)+10)&lt;YEAR(E146),0,IF((YEAR(D146)+10)&gt;YEAR(E146),1,(12-MONTH(E146)+1)/12))) + (Q146)*(IF((YEAR(D146)+10)&lt;YEAR(E146),0,IF((YEAR(D146)+10)&gt;YEAR(E146),1,(12-MONTH(E146)+1)/12))))-((P146)*(IF((YEAR(D146)+10)&lt;YEAR(E146),0,IF((YEAR(D146)+10)&gt;YEAR(E146),1,(12-MONTH(E146)+1)/12))) + (R146)*(IF((YEAR(D146)+10)&lt;YEAR(E146),0,IF((YEAR(D146)+10)&gt;YEAR(E146),1,(12-MONTH(E146)+1)/12))))-(IF(OR(N146="",N146&lt;=0),0,(O146/N146)*(IF(OR(N146="",N146&lt;=0),0,IF((YEAR(D146)+10)&lt;YEAR(E146),0,IF((YEAR(D146)+10)&gt;=YEAR(E146)+N146,0,IF((YEAR(D146)+10)=YEAR(E146),(12-MONTH(E146)+1)/12,1))))))))*TaxRate,0))-IF(10=0,O146,0))</f>
        <v/>
      </c>
      <c r="AD146" s="29">
        <f>IF(A146="","",((K146)*(IF(M146="",L146,IFERROR(IF(INDEX(Variablen!$I:$AT, MATCH(M146, Variablen!$A:$A, 0), MATCH((YEAR(D146)+11), Variablen!$I$3:$AT$3, 0))="",L146,INDEX(Variablen!$I:$AT, MATCH(M146, Variablen!$A:$A, 0), MATCH((YEAR(D146)+11), Variablen!$I$3:$AT$3, 0))),L146)))*(IF((YEAR(D146)+11)&lt;YEAR(E146),0,IF((YEAR(D146)+11)&gt;YEAR(E146),1,(12-MONTH(E146)+1)/12))) + (Q146)*(IF((YEAR(D146)+11)&lt;YEAR(E146),0,IF((YEAR(D146)+11)&gt;YEAR(E146),1,(12-MONTH(E146)+1)/12))))-((P146)*(IF((YEAR(D146)+11)&lt;YEAR(E146),0,IF((YEAR(D146)+11)&gt;YEAR(E146),1,(12-MONTH(E146)+1)/12))) + (R146)*(IF((YEAR(D146)+11)&lt;YEAR(E146),0,IF((YEAR(D146)+11)&gt;YEAR(E146),1,(12-MONTH(E146)+1)/12))))-(IF((((K146)*(IF(M146="",L146,IFERROR(IF(INDEX(Variablen!$I:$AT, MATCH(M146, Variablen!$A:$A, 0), MATCH((YEAR(D146)+11), Variablen!$I$3:$AT$3, 0))="",L146,INDEX(Variablen!$I:$AT, MATCH(M146, Variablen!$A:$A, 0), MATCH((YEAR(D146)+11), Variablen!$I$3:$AT$3, 0))),L146)))*(IF((YEAR(D146)+11)&lt;YEAR(E146),0,IF((YEAR(D146)+11)&gt;YEAR(E146),1,(12-MONTH(E146)+1)/12))) + (Q146)*(IF((YEAR(D146)+11)&lt;YEAR(E146),0,IF((YEAR(D146)+11)&gt;YEAR(E146),1,(12-MONTH(E146)+1)/12))))-((P146)*(IF((YEAR(D146)+11)&lt;YEAR(E146),0,IF((YEAR(D146)+11)&gt;YEAR(E146),1,(12-MONTH(E146)+1)/12))) + (R146)*(IF((YEAR(D146)+11)&lt;YEAR(E146),0,IF((YEAR(D146)+11)&gt;YEAR(E146),1,(12-MONTH(E146)+1)/12))))-(IF(OR(N146="",N146&lt;=0),0,(O146/N146)*(IF(OR(N146="",N146&lt;=0),0,IF((YEAR(D146)+11)&lt;YEAR(E146),0,IF((YEAR(D146)+11)&gt;=YEAR(E146)+N146,0,IF((YEAR(D146)+11)=YEAR(E146),(12-MONTH(E146)+1)/12,1))))))))&gt;0,(((K146)*(IF(M146="",L146,IFERROR(IF(INDEX(Variablen!$I:$AT, MATCH(M146, Variablen!$A:$A, 0), MATCH((YEAR(D146)+11), Variablen!$I$3:$AT$3, 0))="",L146,INDEX(Variablen!$I:$AT, MATCH(M146, Variablen!$A:$A, 0), MATCH((YEAR(D146)+11), Variablen!$I$3:$AT$3, 0))),L146)))*(IF((YEAR(D146)+11)&lt;YEAR(E146),0,IF((YEAR(D146)+11)&gt;YEAR(E146),1,(12-MONTH(E146)+1)/12))) + (Q146)*(IF((YEAR(D146)+11)&lt;YEAR(E146),0,IF((YEAR(D146)+11)&gt;YEAR(E146),1,(12-MONTH(E146)+1)/12))))-((P146)*(IF((YEAR(D146)+11)&lt;YEAR(E146),0,IF((YEAR(D146)+11)&gt;YEAR(E146),1,(12-MONTH(E146)+1)/12))) + (R146)*(IF((YEAR(D146)+11)&lt;YEAR(E146),0,IF((YEAR(D146)+11)&gt;YEAR(E146),1,(12-MONTH(E146)+1)/12))))-(IF(OR(N146="",N146&lt;=0),0,(O146/N146)*(IF(OR(N146="",N146&lt;=0),0,IF((YEAR(D146)+11)&lt;YEAR(E146),0,IF((YEAR(D146)+11)&gt;=YEAR(E146)+N146,0,IF((YEAR(D146)+11)=YEAR(E146),(12-MONTH(E146)+1)/12,1))))))))*TaxRate,0))-IF(11=0,O146,0))</f>
        <v/>
      </c>
      <c r="AE146" s="29">
        <f>IF(A146="","",((K146)*(IF(M146="",L146,IFERROR(IF(INDEX(Variablen!$I:$AT, MATCH(M146, Variablen!$A:$A, 0), MATCH((YEAR(D146)+12), Variablen!$I$3:$AT$3, 0))="",L146,INDEX(Variablen!$I:$AT, MATCH(M146, Variablen!$A:$A, 0), MATCH((YEAR(D146)+12), Variablen!$I$3:$AT$3, 0))),L146)))*(IF((YEAR(D146)+12)&lt;YEAR(E146),0,IF((YEAR(D146)+12)&gt;YEAR(E146),1,(12-MONTH(E146)+1)/12))) + (Q146)*(IF((YEAR(D146)+12)&lt;YEAR(E146),0,IF((YEAR(D146)+12)&gt;YEAR(E146),1,(12-MONTH(E146)+1)/12))))-((P146)*(IF((YEAR(D146)+12)&lt;YEAR(E146),0,IF((YEAR(D146)+12)&gt;YEAR(E146),1,(12-MONTH(E146)+1)/12))) + (R146)*(IF((YEAR(D146)+12)&lt;YEAR(E146),0,IF((YEAR(D146)+12)&gt;YEAR(E146),1,(12-MONTH(E146)+1)/12))))-(IF((((K146)*(IF(M146="",L146,IFERROR(IF(INDEX(Variablen!$I:$AT, MATCH(M146, Variablen!$A:$A, 0), MATCH((YEAR(D146)+12), Variablen!$I$3:$AT$3, 0))="",L146,INDEX(Variablen!$I:$AT, MATCH(M146, Variablen!$A:$A, 0), MATCH((YEAR(D146)+12), Variablen!$I$3:$AT$3, 0))),L146)))*(IF((YEAR(D146)+12)&lt;YEAR(E146),0,IF((YEAR(D146)+12)&gt;YEAR(E146),1,(12-MONTH(E146)+1)/12))) + (Q146)*(IF((YEAR(D146)+12)&lt;YEAR(E146),0,IF((YEAR(D146)+12)&gt;YEAR(E146),1,(12-MONTH(E146)+1)/12))))-((P146)*(IF((YEAR(D146)+12)&lt;YEAR(E146),0,IF((YEAR(D146)+12)&gt;YEAR(E146),1,(12-MONTH(E146)+1)/12))) + (R146)*(IF((YEAR(D146)+12)&lt;YEAR(E146),0,IF((YEAR(D146)+12)&gt;YEAR(E146),1,(12-MONTH(E146)+1)/12))))-(IF(OR(N146="",N146&lt;=0),0,(O146/N146)*(IF(OR(N146="",N146&lt;=0),0,IF((YEAR(D146)+12)&lt;YEAR(E146),0,IF((YEAR(D146)+12)&gt;=YEAR(E146)+N146,0,IF((YEAR(D146)+12)=YEAR(E146),(12-MONTH(E146)+1)/12,1))))))))&gt;0,(((K146)*(IF(M146="",L146,IFERROR(IF(INDEX(Variablen!$I:$AT, MATCH(M146, Variablen!$A:$A, 0), MATCH((YEAR(D146)+12), Variablen!$I$3:$AT$3, 0))="",L146,INDEX(Variablen!$I:$AT, MATCH(M146, Variablen!$A:$A, 0), MATCH((YEAR(D146)+12), Variablen!$I$3:$AT$3, 0))),L146)))*(IF((YEAR(D146)+12)&lt;YEAR(E146),0,IF((YEAR(D146)+12)&gt;YEAR(E146),1,(12-MONTH(E146)+1)/12))) + (Q146)*(IF((YEAR(D146)+12)&lt;YEAR(E146),0,IF((YEAR(D146)+12)&gt;YEAR(E146),1,(12-MONTH(E146)+1)/12))))-((P146)*(IF((YEAR(D146)+12)&lt;YEAR(E146),0,IF((YEAR(D146)+12)&gt;YEAR(E146),1,(12-MONTH(E146)+1)/12))) + (R146)*(IF((YEAR(D146)+12)&lt;YEAR(E146),0,IF((YEAR(D146)+12)&gt;YEAR(E146),1,(12-MONTH(E146)+1)/12))))-(IF(OR(N146="",N146&lt;=0),0,(O146/N146)*(IF(OR(N146="",N146&lt;=0),0,IF((YEAR(D146)+12)&lt;YEAR(E146),0,IF((YEAR(D146)+12)&gt;=YEAR(E146)+N146,0,IF((YEAR(D146)+12)=YEAR(E146),(12-MONTH(E146)+1)/12,1))))))))*TaxRate,0))-IF(12=0,O146,0))</f>
        <v/>
      </c>
      <c r="AF146" s="29">
        <f>IF(A146="","",((K146)*(IF(M146="",L146,IFERROR(IF(INDEX(Variablen!$I:$AT, MATCH(M146, Variablen!$A:$A, 0), MATCH((YEAR(D146)+13), Variablen!$I$3:$AT$3, 0))="",L146,INDEX(Variablen!$I:$AT, MATCH(M146, Variablen!$A:$A, 0), MATCH((YEAR(D146)+13), Variablen!$I$3:$AT$3, 0))),L146)))*(IF((YEAR(D146)+13)&lt;YEAR(E146),0,IF((YEAR(D146)+13)&gt;YEAR(E146),1,(12-MONTH(E146)+1)/12))) + (Q146)*(IF((YEAR(D146)+13)&lt;YEAR(E146),0,IF((YEAR(D146)+13)&gt;YEAR(E146),1,(12-MONTH(E146)+1)/12))))-((P146)*(IF((YEAR(D146)+13)&lt;YEAR(E146),0,IF((YEAR(D146)+13)&gt;YEAR(E146),1,(12-MONTH(E146)+1)/12))) + (R146)*(IF((YEAR(D146)+13)&lt;YEAR(E146),0,IF((YEAR(D146)+13)&gt;YEAR(E146),1,(12-MONTH(E146)+1)/12))))-(IF((((K146)*(IF(M146="",L146,IFERROR(IF(INDEX(Variablen!$I:$AT, MATCH(M146, Variablen!$A:$A, 0), MATCH((YEAR(D146)+13), Variablen!$I$3:$AT$3, 0))="",L146,INDEX(Variablen!$I:$AT, MATCH(M146, Variablen!$A:$A, 0), MATCH((YEAR(D146)+13), Variablen!$I$3:$AT$3, 0))),L146)))*(IF((YEAR(D146)+13)&lt;YEAR(E146),0,IF((YEAR(D146)+13)&gt;YEAR(E146),1,(12-MONTH(E146)+1)/12))) + (Q146)*(IF((YEAR(D146)+13)&lt;YEAR(E146),0,IF((YEAR(D146)+13)&gt;YEAR(E146),1,(12-MONTH(E146)+1)/12))))-((P146)*(IF((YEAR(D146)+13)&lt;YEAR(E146),0,IF((YEAR(D146)+13)&gt;YEAR(E146),1,(12-MONTH(E146)+1)/12))) + (R146)*(IF((YEAR(D146)+13)&lt;YEAR(E146),0,IF((YEAR(D146)+13)&gt;YEAR(E146),1,(12-MONTH(E146)+1)/12))))-(IF(OR(N146="",N146&lt;=0),0,(O146/N146)*(IF(OR(N146="",N146&lt;=0),0,IF((YEAR(D146)+13)&lt;YEAR(E146),0,IF((YEAR(D146)+13)&gt;=YEAR(E146)+N146,0,IF((YEAR(D146)+13)=YEAR(E146),(12-MONTH(E146)+1)/12,1))))))))&gt;0,(((K146)*(IF(M146="",L146,IFERROR(IF(INDEX(Variablen!$I:$AT, MATCH(M146, Variablen!$A:$A, 0), MATCH((YEAR(D146)+13), Variablen!$I$3:$AT$3, 0))="",L146,INDEX(Variablen!$I:$AT, MATCH(M146, Variablen!$A:$A, 0), MATCH((YEAR(D146)+13), Variablen!$I$3:$AT$3, 0))),L146)))*(IF((YEAR(D146)+13)&lt;YEAR(E146),0,IF((YEAR(D146)+13)&gt;YEAR(E146),1,(12-MONTH(E146)+1)/12))) + (Q146)*(IF((YEAR(D146)+13)&lt;YEAR(E146),0,IF((YEAR(D146)+13)&gt;YEAR(E146),1,(12-MONTH(E146)+1)/12))))-((P146)*(IF((YEAR(D146)+13)&lt;YEAR(E146),0,IF((YEAR(D146)+13)&gt;YEAR(E146),1,(12-MONTH(E146)+1)/12))) + (R146)*(IF((YEAR(D146)+13)&lt;YEAR(E146),0,IF((YEAR(D146)+13)&gt;YEAR(E146),1,(12-MONTH(E146)+1)/12))))-(IF(OR(N146="",N146&lt;=0),0,(O146/N146)*(IF(OR(N146="",N146&lt;=0),0,IF((YEAR(D146)+13)&lt;YEAR(E146),0,IF((YEAR(D146)+13)&gt;=YEAR(E146)+N146,0,IF((YEAR(D146)+13)=YEAR(E146),(12-MONTH(E146)+1)/12,1))))))))*TaxRate,0))-IF(13=0,O146,0))</f>
        <v/>
      </c>
      <c r="AG146" s="29">
        <f>IF(A146="","",((K146)*(IF(M146="",L146,IFERROR(IF(INDEX(Variablen!$I:$AT, MATCH(M146, Variablen!$A:$A, 0), MATCH((YEAR(D146)+14), Variablen!$I$3:$AT$3, 0))="",L146,INDEX(Variablen!$I:$AT, MATCH(M146, Variablen!$A:$A, 0), MATCH((YEAR(D146)+14), Variablen!$I$3:$AT$3, 0))),L146)))*(IF((YEAR(D146)+14)&lt;YEAR(E146),0,IF((YEAR(D146)+14)&gt;YEAR(E146),1,(12-MONTH(E146)+1)/12))) + (Q146)*(IF((YEAR(D146)+14)&lt;YEAR(E146),0,IF((YEAR(D146)+14)&gt;YEAR(E146),1,(12-MONTH(E146)+1)/12))))-((P146)*(IF((YEAR(D146)+14)&lt;YEAR(E146),0,IF((YEAR(D146)+14)&gt;YEAR(E146),1,(12-MONTH(E146)+1)/12))) + (R146)*(IF((YEAR(D146)+14)&lt;YEAR(E146),0,IF((YEAR(D146)+14)&gt;YEAR(E146),1,(12-MONTH(E146)+1)/12))))-(IF((((K146)*(IF(M146="",L146,IFERROR(IF(INDEX(Variablen!$I:$AT, MATCH(M146, Variablen!$A:$A, 0), MATCH((YEAR(D146)+14), Variablen!$I$3:$AT$3, 0))="",L146,INDEX(Variablen!$I:$AT, MATCH(M146, Variablen!$A:$A, 0), MATCH((YEAR(D146)+14), Variablen!$I$3:$AT$3, 0))),L146)))*(IF((YEAR(D146)+14)&lt;YEAR(E146),0,IF((YEAR(D146)+14)&gt;YEAR(E146),1,(12-MONTH(E146)+1)/12))) + (Q146)*(IF((YEAR(D146)+14)&lt;YEAR(E146),0,IF((YEAR(D146)+14)&gt;YEAR(E146),1,(12-MONTH(E146)+1)/12))))-((P146)*(IF((YEAR(D146)+14)&lt;YEAR(E146),0,IF((YEAR(D146)+14)&gt;YEAR(E146),1,(12-MONTH(E146)+1)/12))) + (R146)*(IF((YEAR(D146)+14)&lt;YEAR(E146),0,IF((YEAR(D146)+14)&gt;YEAR(E146),1,(12-MONTH(E146)+1)/12))))-(IF(OR(N146="",N146&lt;=0),0,(O146/N146)*(IF(OR(N146="",N146&lt;=0),0,IF((YEAR(D146)+14)&lt;YEAR(E146),0,IF((YEAR(D146)+14)&gt;=YEAR(E146)+N146,0,IF((YEAR(D146)+14)=YEAR(E146),(12-MONTH(E146)+1)/12,1))))))))&gt;0,(((K146)*(IF(M146="",L146,IFERROR(IF(INDEX(Variablen!$I:$AT, MATCH(M146, Variablen!$A:$A, 0), MATCH((YEAR(D146)+14), Variablen!$I$3:$AT$3, 0))="",L146,INDEX(Variablen!$I:$AT, MATCH(M146, Variablen!$A:$A, 0), MATCH((YEAR(D146)+14), Variablen!$I$3:$AT$3, 0))),L146)))*(IF((YEAR(D146)+14)&lt;YEAR(E146),0,IF((YEAR(D146)+14)&gt;YEAR(E146),1,(12-MONTH(E146)+1)/12))) + (Q146)*(IF((YEAR(D146)+14)&lt;YEAR(E146),0,IF((YEAR(D146)+14)&gt;YEAR(E146),1,(12-MONTH(E146)+1)/12))))-((P146)*(IF((YEAR(D146)+14)&lt;YEAR(E146),0,IF((YEAR(D146)+14)&gt;YEAR(E146),1,(12-MONTH(E146)+1)/12))) + (R146)*(IF((YEAR(D146)+14)&lt;YEAR(E146),0,IF((YEAR(D146)+14)&gt;YEAR(E146),1,(12-MONTH(E146)+1)/12))))-(IF(OR(N146="",N146&lt;=0),0,(O146/N146)*(IF(OR(N146="",N146&lt;=0),0,IF((YEAR(D146)+14)&lt;YEAR(E146),0,IF((YEAR(D146)+14)&gt;=YEAR(E146)+N146,0,IF((YEAR(D146)+14)=YEAR(E146),(12-MONTH(E146)+1)/12,1))))))))*TaxRate,0))-IF(14=0,O146,0))</f>
        <v/>
      </c>
      <c r="AH146" s="29">
        <f>IF(A146="","",((K146)*(IF(M146="",L146,IFERROR(IF(INDEX(Variablen!$I:$AT, MATCH(M146, Variablen!$A:$A, 0), MATCH((YEAR(D146)+15), Variablen!$I$3:$AT$3, 0))="",L146,INDEX(Variablen!$I:$AT, MATCH(M146, Variablen!$A:$A, 0), MATCH((YEAR(D146)+15), Variablen!$I$3:$AT$3, 0))),L146)))*(IF((YEAR(D146)+15)&lt;YEAR(E146),0,IF((YEAR(D146)+15)&gt;YEAR(E146),1,(12-MONTH(E146)+1)/12))) + (Q146)*(IF((YEAR(D146)+15)&lt;YEAR(E146),0,IF((YEAR(D146)+15)&gt;YEAR(E146),1,(12-MONTH(E146)+1)/12))))-((P146)*(IF((YEAR(D146)+15)&lt;YEAR(E146),0,IF((YEAR(D146)+15)&gt;YEAR(E146),1,(12-MONTH(E146)+1)/12))) + (R146)*(IF((YEAR(D146)+15)&lt;YEAR(E146),0,IF((YEAR(D146)+15)&gt;YEAR(E146),1,(12-MONTH(E146)+1)/12))))-(IF((((K146)*(IF(M146="",L146,IFERROR(IF(INDEX(Variablen!$I:$AT, MATCH(M146, Variablen!$A:$A, 0), MATCH((YEAR(D146)+15), Variablen!$I$3:$AT$3, 0))="",L146,INDEX(Variablen!$I:$AT, MATCH(M146, Variablen!$A:$A, 0), MATCH((YEAR(D146)+15), Variablen!$I$3:$AT$3, 0))),L146)))*(IF((YEAR(D146)+15)&lt;YEAR(E146),0,IF((YEAR(D146)+15)&gt;YEAR(E146),1,(12-MONTH(E146)+1)/12))) + (Q146)*(IF((YEAR(D146)+15)&lt;YEAR(E146),0,IF((YEAR(D146)+15)&gt;YEAR(E146),1,(12-MONTH(E146)+1)/12))))-((P146)*(IF((YEAR(D146)+15)&lt;YEAR(E146),0,IF((YEAR(D146)+15)&gt;YEAR(E146),1,(12-MONTH(E146)+1)/12))) + (R146)*(IF((YEAR(D146)+15)&lt;YEAR(E146),0,IF((YEAR(D146)+15)&gt;YEAR(E146),1,(12-MONTH(E146)+1)/12))))-(IF(OR(N146="",N146&lt;=0),0,(O146/N146)*(IF(OR(N146="",N146&lt;=0),0,IF((YEAR(D146)+15)&lt;YEAR(E146),0,IF((YEAR(D146)+15)&gt;=YEAR(E146)+N146,0,IF((YEAR(D146)+15)=YEAR(E146),(12-MONTH(E146)+1)/12,1))))))))&gt;0,(((K146)*(IF(M146="",L146,IFERROR(IF(INDEX(Variablen!$I:$AT, MATCH(M146, Variablen!$A:$A, 0), MATCH((YEAR(D146)+15), Variablen!$I$3:$AT$3, 0))="",L146,INDEX(Variablen!$I:$AT, MATCH(M146, Variablen!$A:$A, 0), MATCH((YEAR(D146)+15), Variablen!$I$3:$AT$3, 0))),L146)))*(IF((YEAR(D146)+15)&lt;YEAR(E146),0,IF((YEAR(D146)+15)&gt;YEAR(E146),1,(12-MONTH(E146)+1)/12))) + (Q146)*(IF((YEAR(D146)+15)&lt;YEAR(E146),0,IF((YEAR(D146)+15)&gt;YEAR(E146),1,(12-MONTH(E146)+1)/12))))-((P146)*(IF((YEAR(D146)+15)&lt;YEAR(E146),0,IF((YEAR(D146)+15)&gt;YEAR(E146),1,(12-MONTH(E146)+1)/12))) + (R146)*(IF((YEAR(D146)+15)&lt;YEAR(E146),0,IF((YEAR(D146)+15)&gt;YEAR(E146),1,(12-MONTH(E146)+1)/12))))-(IF(OR(N146="",N146&lt;=0),0,(O146/N146)*(IF(OR(N146="",N146&lt;=0),0,IF((YEAR(D146)+15)&lt;YEAR(E146),0,IF((YEAR(D146)+15)&gt;=YEAR(E146)+N146,0,IF((YEAR(D146)+15)=YEAR(E146),(12-MONTH(E146)+1)/12,1))))))))*TaxRate,0))-IF(15=0,O146,0))</f>
        <v/>
      </c>
      <c r="AI146" s="29">
        <f>IF(A146="","",((K146)*(IF(M146="",L146,IFERROR(IF(INDEX(Variablen!$I:$AT, MATCH(M146, Variablen!$A:$A, 0), MATCH((YEAR(D146)+16), Variablen!$I$3:$AT$3, 0))="",L146,INDEX(Variablen!$I:$AT, MATCH(M146, Variablen!$A:$A, 0), MATCH((YEAR(D146)+16), Variablen!$I$3:$AT$3, 0))),L146)))*(IF((YEAR(D146)+16)&lt;YEAR(E146),0,IF((YEAR(D146)+16)&gt;YEAR(E146),1,(12-MONTH(E146)+1)/12))) + (Q146)*(IF((YEAR(D146)+16)&lt;YEAR(E146),0,IF((YEAR(D146)+16)&gt;YEAR(E146),1,(12-MONTH(E146)+1)/12))))-((P146)*(IF((YEAR(D146)+16)&lt;YEAR(E146),0,IF((YEAR(D146)+16)&gt;YEAR(E146),1,(12-MONTH(E146)+1)/12))) + (R146)*(IF((YEAR(D146)+16)&lt;YEAR(E146),0,IF((YEAR(D146)+16)&gt;YEAR(E146),1,(12-MONTH(E146)+1)/12))))-(IF((((K146)*(IF(M146="",L146,IFERROR(IF(INDEX(Variablen!$I:$AT, MATCH(M146, Variablen!$A:$A, 0), MATCH((YEAR(D146)+16), Variablen!$I$3:$AT$3, 0))="",L146,INDEX(Variablen!$I:$AT, MATCH(M146, Variablen!$A:$A, 0), MATCH((YEAR(D146)+16), Variablen!$I$3:$AT$3, 0))),L146)))*(IF((YEAR(D146)+16)&lt;YEAR(E146),0,IF((YEAR(D146)+16)&gt;YEAR(E146),1,(12-MONTH(E146)+1)/12))) + (Q146)*(IF((YEAR(D146)+16)&lt;YEAR(E146),0,IF((YEAR(D146)+16)&gt;YEAR(E146),1,(12-MONTH(E146)+1)/12))))-((P146)*(IF((YEAR(D146)+16)&lt;YEAR(E146),0,IF((YEAR(D146)+16)&gt;YEAR(E146),1,(12-MONTH(E146)+1)/12))) + (R146)*(IF((YEAR(D146)+16)&lt;YEAR(E146),0,IF((YEAR(D146)+16)&gt;YEAR(E146),1,(12-MONTH(E146)+1)/12))))-(IF(OR(N146="",N146&lt;=0),0,(O146/N146)*(IF(OR(N146="",N146&lt;=0),0,IF((YEAR(D146)+16)&lt;YEAR(E146),0,IF((YEAR(D146)+16)&gt;=YEAR(E146)+N146,0,IF((YEAR(D146)+16)=YEAR(E146),(12-MONTH(E146)+1)/12,1))))))))&gt;0,(((K146)*(IF(M146="",L146,IFERROR(IF(INDEX(Variablen!$I:$AT, MATCH(M146, Variablen!$A:$A, 0), MATCH((YEAR(D146)+16), Variablen!$I$3:$AT$3, 0))="",L146,INDEX(Variablen!$I:$AT, MATCH(M146, Variablen!$A:$A, 0), MATCH((YEAR(D146)+16), Variablen!$I$3:$AT$3, 0))),L146)))*(IF((YEAR(D146)+16)&lt;YEAR(E146),0,IF((YEAR(D146)+16)&gt;YEAR(E146),1,(12-MONTH(E146)+1)/12))) + (Q146)*(IF((YEAR(D146)+16)&lt;YEAR(E146),0,IF((YEAR(D146)+16)&gt;YEAR(E146),1,(12-MONTH(E146)+1)/12))))-((P146)*(IF((YEAR(D146)+16)&lt;YEAR(E146),0,IF((YEAR(D146)+16)&gt;YEAR(E146),1,(12-MONTH(E146)+1)/12))) + (R146)*(IF((YEAR(D146)+16)&lt;YEAR(E146),0,IF((YEAR(D146)+16)&gt;YEAR(E146),1,(12-MONTH(E146)+1)/12))))-(IF(OR(N146="",N146&lt;=0),0,(O146/N146)*(IF(OR(N146="",N146&lt;=0),0,IF((YEAR(D146)+16)&lt;YEAR(E146),0,IF((YEAR(D146)+16)&gt;=YEAR(E146)+N146,0,IF((YEAR(D146)+16)=YEAR(E146),(12-MONTH(E146)+1)/12,1))))))))*TaxRate,0))-IF(16=0,O146,0))</f>
        <v/>
      </c>
      <c r="AJ146" s="29">
        <f>IF(A146="","",((K146)*(IF(M146="",L146,IFERROR(IF(INDEX(Variablen!$I:$AT, MATCH(M146, Variablen!$A:$A, 0), MATCH((YEAR(D146)+17), Variablen!$I$3:$AT$3, 0))="",L146,INDEX(Variablen!$I:$AT, MATCH(M146, Variablen!$A:$A, 0), MATCH((YEAR(D146)+17), Variablen!$I$3:$AT$3, 0))),L146)))*(IF((YEAR(D146)+17)&lt;YEAR(E146),0,IF((YEAR(D146)+17)&gt;YEAR(E146),1,(12-MONTH(E146)+1)/12))) + (Q146)*(IF((YEAR(D146)+17)&lt;YEAR(E146),0,IF((YEAR(D146)+17)&gt;YEAR(E146),1,(12-MONTH(E146)+1)/12))))-((P146)*(IF((YEAR(D146)+17)&lt;YEAR(E146),0,IF((YEAR(D146)+17)&gt;YEAR(E146),1,(12-MONTH(E146)+1)/12))) + (R146)*(IF((YEAR(D146)+17)&lt;YEAR(E146),0,IF((YEAR(D146)+17)&gt;YEAR(E146),1,(12-MONTH(E146)+1)/12))))-(IF((((K146)*(IF(M146="",L146,IFERROR(IF(INDEX(Variablen!$I:$AT, MATCH(M146, Variablen!$A:$A, 0), MATCH((YEAR(D146)+17), Variablen!$I$3:$AT$3, 0))="",L146,INDEX(Variablen!$I:$AT, MATCH(M146, Variablen!$A:$A, 0), MATCH((YEAR(D146)+17), Variablen!$I$3:$AT$3, 0))),L146)))*(IF((YEAR(D146)+17)&lt;YEAR(E146),0,IF((YEAR(D146)+17)&gt;YEAR(E146),1,(12-MONTH(E146)+1)/12))) + (Q146)*(IF((YEAR(D146)+17)&lt;YEAR(E146),0,IF((YEAR(D146)+17)&gt;YEAR(E146),1,(12-MONTH(E146)+1)/12))))-((P146)*(IF((YEAR(D146)+17)&lt;YEAR(E146),0,IF((YEAR(D146)+17)&gt;YEAR(E146),1,(12-MONTH(E146)+1)/12))) + (R146)*(IF((YEAR(D146)+17)&lt;YEAR(E146),0,IF((YEAR(D146)+17)&gt;YEAR(E146),1,(12-MONTH(E146)+1)/12))))-(IF(OR(N146="",N146&lt;=0),0,(O146/N146)*(IF(OR(N146="",N146&lt;=0),0,IF((YEAR(D146)+17)&lt;YEAR(E146),0,IF((YEAR(D146)+17)&gt;=YEAR(E146)+N146,0,IF((YEAR(D146)+17)=YEAR(E146),(12-MONTH(E146)+1)/12,1))))))))&gt;0,(((K146)*(IF(M146="",L146,IFERROR(IF(INDEX(Variablen!$I:$AT, MATCH(M146, Variablen!$A:$A, 0), MATCH((YEAR(D146)+17), Variablen!$I$3:$AT$3, 0))="",L146,INDEX(Variablen!$I:$AT, MATCH(M146, Variablen!$A:$A, 0), MATCH((YEAR(D146)+17), Variablen!$I$3:$AT$3, 0))),L146)))*(IF((YEAR(D146)+17)&lt;YEAR(E146),0,IF((YEAR(D146)+17)&gt;YEAR(E146),1,(12-MONTH(E146)+1)/12))) + (Q146)*(IF((YEAR(D146)+17)&lt;YEAR(E146),0,IF((YEAR(D146)+17)&gt;YEAR(E146),1,(12-MONTH(E146)+1)/12))))-((P146)*(IF((YEAR(D146)+17)&lt;YEAR(E146),0,IF((YEAR(D146)+17)&gt;YEAR(E146),1,(12-MONTH(E146)+1)/12))) + (R146)*(IF((YEAR(D146)+17)&lt;YEAR(E146),0,IF((YEAR(D146)+17)&gt;YEAR(E146),1,(12-MONTH(E146)+1)/12))))-(IF(OR(N146="",N146&lt;=0),0,(O146/N146)*(IF(OR(N146="",N146&lt;=0),0,IF((YEAR(D146)+17)&lt;YEAR(E146),0,IF((YEAR(D146)+17)&gt;=YEAR(E146)+N146,0,IF((YEAR(D146)+17)=YEAR(E146),(12-MONTH(E146)+1)/12,1))))))))*TaxRate,0))-IF(17=0,O146,0))</f>
        <v/>
      </c>
      <c r="AK146" s="29">
        <f>IF(A146="","",((K146)*(IF(M146="",L146,IFERROR(IF(INDEX(Variablen!$I:$AT, MATCH(M146, Variablen!$A:$A, 0), MATCH((YEAR(D146)+18), Variablen!$I$3:$AT$3, 0))="",L146,INDEX(Variablen!$I:$AT, MATCH(M146, Variablen!$A:$A, 0), MATCH((YEAR(D146)+18), Variablen!$I$3:$AT$3, 0))),L146)))*(IF((YEAR(D146)+18)&lt;YEAR(E146),0,IF((YEAR(D146)+18)&gt;YEAR(E146),1,(12-MONTH(E146)+1)/12))) + (Q146)*(IF((YEAR(D146)+18)&lt;YEAR(E146),0,IF((YEAR(D146)+18)&gt;YEAR(E146),1,(12-MONTH(E146)+1)/12))))-((P146)*(IF((YEAR(D146)+18)&lt;YEAR(E146),0,IF((YEAR(D146)+18)&gt;YEAR(E146),1,(12-MONTH(E146)+1)/12))) + (R146)*(IF((YEAR(D146)+18)&lt;YEAR(E146),0,IF((YEAR(D146)+18)&gt;YEAR(E146),1,(12-MONTH(E146)+1)/12))))-(IF((((K146)*(IF(M146="",L146,IFERROR(IF(INDEX(Variablen!$I:$AT, MATCH(M146, Variablen!$A:$A, 0), MATCH((YEAR(D146)+18), Variablen!$I$3:$AT$3, 0))="",L146,INDEX(Variablen!$I:$AT, MATCH(M146, Variablen!$A:$A, 0), MATCH((YEAR(D146)+18), Variablen!$I$3:$AT$3, 0))),L146)))*(IF((YEAR(D146)+18)&lt;YEAR(E146),0,IF((YEAR(D146)+18)&gt;YEAR(E146),1,(12-MONTH(E146)+1)/12))) + (Q146)*(IF((YEAR(D146)+18)&lt;YEAR(E146),0,IF((YEAR(D146)+18)&gt;YEAR(E146),1,(12-MONTH(E146)+1)/12))))-((P146)*(IF((YEAR(D146)+18)&lt;YEAR(E146),0,IF((YEAR(D146)+18)&gt;YEAR(E146),1,(12-MONTH(E146)+1)/12))) + (R146)*(IF((YEAR(D146)+18)&lt;YEAR(E146),0,IF((YEAR(D146)+18)&gt;YEAR(E146),1,(12-MONTH(E146)+1)/12))))-(IF(OR(N146="",N146&lt;=0),0,(O146/N146)*(IF(OR(N146="",N146&lt;=0),0,IF((YEAR(D146)+18)&lt;YEAR(E146),0,IF((YEAR(D146)+18)&gt;=YEAR(E146)+N146,0,IF((YEAR(D146)+18)=YEAR(E146),(12-MONTH(E146)+1)/12,1))))))))&gt;0,(((K146)*(IF(M146="",L146,IFERROR(IF(INDEX(Variablen!$I:$AT, MATCH(M146, Variablen!$A:$A, 0), MATCH((YEAR(D146)+18), Variablen!$I$3:$AT$3, 0))="",L146,INDEX(Variablen!$I:$AT, MATCH(M146, Variablen!$A:$A, 0), MATCH((YEAR(D146)+18), Variablen!$I$3:$AT$3, 0))),L146)))*(IF((YEAR(D146)+18)&lt;YEAR(E146),0,IF((YEAR(D146)+18)&gt;YEAR(E146),1,(12-MONTH(E146)+1)/12))) + (Q146)*(IF((YEAR(D146)+18)&lt;YEAR(E146),0,IF((YEAR(D146)+18)&gt;YEAR(E146),1,(12-MONTH(E146)+1)/12))))-((P146)*(IF((YEAR(D146)+18)&lt;YEAR(E146),0,IF((YEAR(D146)+18)&gt;YEAR(E146),1,(12-MONTH(E146)+1)/12))) + (R146)*(IF((YEAR(D146)+18)&lt;YEAR(E146),0,IF((YEAR(D146)+18)&gt;YEAR(E146),1,(12-MONTH(E146)+1)/12))))-(IF(OR(N146="",N146&lt;=0),0,(O146/N146)*(IF(OR(N146="",N146&lt;=0),0,IF((YEAR(D146)+18)&lt;YEAR(E146),0,IF((YEAR(D146)+18)&gt;=YEAR(E146)+N146,0,IF((YEAR(D146)+18)=YEAR(E146),(12-MONTH(E146)+1)/12,1))))))))*TaxRate,0))-IF(18=0,O146,0))</f>
        <v/>
      </c>
      <c r="AL146" s="29">
        <f>IF(A146="","",((K146)*(IF(M146="",L146,IFERROR(IF(INDEX(Variablen!$I:$AT, MATCH(M146, Variablen!$A:$A, 0), MATCH((YEAR(D146)+19), Variablen!$I$3:$AT$3, 0))="",L146,INDEX(Variablen!$I:$AT, MATCH(M146, Variablen!$A:$A, 0), MATCH((YEAR(D146)+19), Variablen!$I$3:$AT$3, 0))),L146)))*(IF((YEAR(D146)+19)&lt;YEAR(E146),0,IF((YEAR(D146)+19)&gt;YEAR(E146),1,(12-MONTH(E146)+1)/12))) + (Q146)*(IF((YEAR(D146)+19)&lt;YEAR(E146),0,IF((YEAR(D146)+19)&gt;YEAR(E146),1,(12-MONTH(E146)+1)/12))))-((P146)*(IF((YEAR(D146)+19)&lt;YEAR(E146),0,IF((YEAR(D146)+19)&gt;YEAR(E146),1,(12-MONTH(E146)+1)/12))) + (R146)*(IF((YEAR(D146)+19)&lt;YEAR(E146),0,IF((YEAR(D146)+19)&gt;YEAR(E146),1,(12-MONTH(E146)+1)/12))))-(IF((((K146)*(IF(M146="",L146,IFERROR(IF(INDEX(Variablen!$I:$AT, MATCH(M146, Variablen!$A:$A, 0), MATCH((YEAR(D146)+19), Variablen!$I$3:$AT$3, 0))="",L146,INDEX(Variablen!$I:$AT, MATCH(M146, Variablen!$A:$A, 0), MATCH((YEAR(D146)+19), Variablen!$I$3:$AT$3, 0))),L146)))*(IF((YEAR(D146)+19)&lt;YEAR(E146),0,IF((YEAR(D146)+19)&gt;YEAR(E146),1,(12-MONTH(E146)+1)/12))) + (Q146)*(IF((YEAR(D146)+19)&lt;YEAR(E146),0,IF((YEAR(D146)+19)&gt;YEAR(E146),1,(12-MONTH(E146)+1)/12))))-((P146)*(IF((YEAR(D146)+19)&lt;YEAR(E146),0,IF((YEAR(D146)+19)&gt;YEAR(E146),1,(12-MONTH(E146)+1)/12))) + (R146)*(IF((YEAR(D146)+19)&lt;YEAR(E146),0,IF((YEAR(D146)+19)&gt;YEAR(E146),1,(12-MONTH(E146)+1)/12))))-(IF(OR(N146="",N146&lt;=0),0,(O146/N146)*(IF(OR(N146="",N146&lt;=0),0,IF((YEAR(D146)+19)&lt;YEAR(E146),0,IF((YEAR(D146)+19)&gt;=YEAR(E146)+N146,0,IF((YEAR(D146)+19)=YEAR(E146),(12-MONTH(E146)+1)/12,1))))))))&gt;0,(((K146)*(IF(M146="",L146,IFERROR(IF(INDEX(Variablen!$I:$AT, MATCH(M146, Variablen!$A:$A, 0), MATCH((YEAR(D146)+19), Variablen!$I$3:$AT$3, 0))="",L146,INDEX(Variablen!$I:$AT, MATCH(M146, Variablen!$A:$A, 0), MATCH((YEAR(D146)+19), Variablen!$I$3:$AT$3, 0))),L146)))*(IF((YEAR(D146)+19)&lt;YEAR(E146),0,IF((YEAR(D146)+19)&gt;YEAR(E146),1,(12-MONTH(E146)+1)/12))) + (Q146)*(IF((YEAR(D146)+19)&lt;YEAR(E146),0,IF((YEAR(D146)+19)&gt;YEAR(E146),1,(12-MONTH(E146)+1)/12))))-((P146)*(IF((YEAR(D146)+19)&lt;YEAR(E146),0,IF((YEAR(D146)+19)&gt;YEAR(E146),1,(12-MONTH(E146)+1)/12))) + (R146)*(IF((YEAR(D146)+19)&lt;YEAR(E146),0,IF((YEAR(D146)+19)&gt;YEAR(E146),1,(12-MONTH(E146)+1)/12))))-(IF(OR(N146="",N146&lt;=0),0,(O146/N146)*(IF(OR(N146="",N146&lt;=0),0,IF((YEAR(D146)+19)&lt;YEAR(E146),0,IF((YEAR(D146)+19)&gt;=YEAR(E146)+N146,0,IF((YEAR(D146)+19)=YEAR(E146),(12-MONTH(E146)+1)/12,1))))))))*TaxRate,0))-IF(19=0,O146,0))</f>
        <v/>
      </c>
      <c r="AM146" s="29">
        <f>IF(A146="","",((K146)*(IF(M146="",L146,IFERROR(IF(INDEX(Variablen!$I:$AT, MATCH(M146, Variablen!$A:$A, 0), MATCH((YEAR(D146)+20), Variablen!$I$3:$AT$3, 0))="",L146,INDEX(Variablen!$I:$AT, MATCH(M146, Variablen!$A:$A, 0), MATCH((YEAR(D146)+20), Variablen!$I$3:$AT$3, 0))),L146)))*(IF((YEAR(D146)+20)&lt;YEAR(E146),0,IF((YEAR(D146)+20)&gt;YEAR(E146),1,(12-MONTH(E146)+1)/12))) + (Q146)*(IF((YEAR(D146)+20)&lt;YEAR(E146),0,IF((YEAR(D146)+20)&gt;YEAR(E146),1,(12-MONTH(E146)+1)/12))))-((P146)*(IF((YEAR(D146)+20)&lt;YEAR(E146),0,IF((YEAR(D146)+20)&gt;YEAR(E146),1,(12-MONTH(E146)+1)/12))) + (R146)*(IF((YEAR(D146)+20)&lt;YEAR(E146),0,IF((YEAR(D146)+20)&gt;YEAR(E146),1,(12-MONTH(E146)+1)/12))))-(IF((((K146)*(IF(M146="",L146,IFERROR(IF(INDEX(Variablen!$I:$AT, MATCH(M146, Variablen!$A:$A, 0), MATCH((YEAR(D146)+20), Variablen!$I$3:$AT$3, 0))="",L146,INDEX(Variablen!$I:$AT, MATCH(M146, Variablen!$A:$A, 0), MATCH((YEAR(D146)+20), Variablen!$I$3:$AT$3, 0))),L146)))*(IF((YEAR(D146)+20)&lt;YEAR(E146),0,IF((YEAR(D146)+20)&gt;YEAR(E146),1,(12-MONTH(E146)+1)/12))) + (Q146)*(IF((YEAR(D146)+20)&lt;YEAR(E146),0,IF((YEAR(D146)+20)&gt;YEAR(E146),1,(12-MONTH(E146)+1)/12))))-((P146)*(IF((YEAR(D146)+20)&lt;YEAR(E146),0,IF((YEAR(D146)+20)&gt;YEAR(E146),1,(12-MONTH(E146)+1)/12))) + (R146)*(IF((YEAR(D146)+20)&lt;YEAR(E146),0,IF((YEAR(D146)+20)&gt;YEAR(E146),1,(12-MONTH(E146)+1)/12))))-(IF(OR(N146="",N146&lt;=0),0,(O146/N146)*(IF(OR(N146="",N146&lt;=0),0,IF((YEAR(D146)+20)&lt;YEAR(E146),0,IF((YEAR(D146)+20)&gt;=YEAR(E146)+N146,0,IF((YEAR(D146)+20)=YEAR(E146),(12-MONTH(E146)+1)/12,1))))))))&gt;0,(((K146)*(IF(M146="",L146,IFERROR(IF(INDEX(Variablen!$I:$AT, MATCH(M146, Variablen!$A:$A, 0), MATCH((YEAR(D146)+20), Variablen!$I$3:$AT$3, 0))="",L146,INDEX(Variablen!$I:$AT, MATCH(M146, Variablen!$A:$A, 0), MATCH((YEAR(D146)+20), Variablen!$I$3:$AT$3, 0))),L146)))*(IF((YEAR(D146)+20)&lt;YEAR(E146),0,IF((YEAR(D146)+20)&gt;YEAR(E146),1,(12-MONTH(E146)+1)/12))) + (Q146)*(IF((YEAR(D146)+20)&lt;YEAR(E146),0,IF((YEAR(D146)+20)&gt;YEAR(E146),1,(12-MONTH(E146)+1)/12))))-((P146)*(IF((YEAR(D146)+20)&lt;YEAR(E146),0,IF((YEAR(D146)+20)&gt;YEAR(E146),1,(12-MONTH(E146)+1)/12))) + (R146)*(IF((YEAR(D146)+20)&lt;YEAR(E146),0,IF((YEAR(D146)+20)&gt;YEAR(E146),1,(12-MONTH(E146)+1)/12))))-(IF(OR(N146="",N146&lt;=0),0,(O146/N146)*(IF(OR(N146="",N146&lt;=0),0,IF((YEAR(D146)+20)&lt;YEAR(E146),0,IF((YEAR(D146)+20)&gt;=YEAR(E146)+N146,0,IF((YEAR(D146)+20)=YEAR(E146),(12-MONTH(E146)+1)/12,1))))))))*TaxRate,0))-IF(20=0,O146,0))</f>
        <v/>
      </c>
      <c r="AN146" s="29">
        <f>IF(A146="","",S146)</f>
        <v/>
      </c>
      <c r="AO146" s="29">
        <f>IF(A146="","",AN146+T146)</f>
        <v/>
      </c>
      <c r="AP146" s="29">
        <f>IF(A146="","",AO146+U146)</f>
        <v/>
      </c>
      <c r="AQ146" s="29">
        <f>IF(A146="","",AP146+V146)</f>
        <v/>
      </c>
      <c r="AR146" s="29">
        <f>IF(A146="","",AQ146+W146)</f>
        <v/>
      </c>
      <c r="AS146" s="29">
        <f>IF(A146="","",AR146+X146)</f>
        <v/>
      </c>
      <c r="AT146" s="29">
        <f>IF(A146="","",AS146+Y146)</f>
        <v/>
      </c>
      <c r="AU146" s="29">
        <f>IF(A146="","",AT146+Z146)</f>
        <v/>
      </c>
      <c r="AV146" s="29">
        <f>IF(A146="","",AU146+AA146)</f>
        <v/>
      </c>
      <c r="AW146" s="29">
        <f>IF(A146="","",AV146+AB146)</f>
        <v/>
      </c>
      <c r="AX146" s="29">
        <f>IF(A146="","",AW146+AC146)</f>
        <v/>
      </c>
      <c r="AY146" s="29">
        <f>IF(A146="","",AX146+AD146)</f>
        <v/>
      </c>
      <c r="AZ146" s="29">
        <f>IF(A146="","",AY146+AE146)</f>
        <v/>
      </c>
      <c r="BA146" s="29">
        <f>IF(A146="","",AZ146+AF146)</f>
        <v/>
      </c>
      <c r="BB146" s="29">
        <f>IF(A146="","",BA146+AG146)</f>
        <v/>
      </c>
      <c r="BC146" s="29">
        <f>IF(A146="","",BB146+AH146)</f>
        <v/>
      </c>
      <c r="BD146" s="29">
        <f>IF(A146="","",BC146+AI146)</f>
        <v/>
      </c>
      <c r="BE146" s="29">
        <f>IF(A146="","",BD146+AJ146)</f>
        <v/>
      </c>
      <c r="BF146" s="29">
        <f>IF(A146="","",BE146+AK146)</f>
        <v/>
      </c>
      <c r="BG146" s="29">
        <f>IF(A146="","",BF146+AL146)</f>
        <v/>
      </c>
      <c r="BH146" s="29">
        <f>IF(A146="","",BG146+AM146)</f>
        <v/>
      </c>
      <c r="BI146" s="36">
        <f>IF(A146="","",(K146)*(IF((YEAR(D146)+0)&lt;YEAR(E146),0,IF((YEAR(D146)+0)&gt;YEAR(E146),1,(12-MONTH(E146)+1)/12)))*(1/(1+DiscountRate)^0))</f>
        <v/>
      </c>
      <c r="BJ146" s="36">
        <f>IF(A146="","",(K146)*(IF((YEAR(D146)+1)&lt;YEAR(E146),0,IF((YEAR(D146)+1)&gt;YEAR(E146),1,(12-MONTH(E146)+1)/12)))*(1/(1+DiscountRate)^1))</f>
        <v/>
      </c>
      <c r="BK146" s="36">
        <f>IF(A146="","",(K146)*(IF((YEAR(D146)+2)&lt;YEAR(E146),0,IF((YEAR(D146)+2)&gt;YEAR(E146),1,(12-MONTH(E146)+1)/12)))*(1/(1+DiscountRate)^2))</f>
        <v/>
      </c>
      <c r="BL146" s="36">
        <f>IF(A146="","",(K146)*(IF((YEAR(D146)+3)&lt;YEAR(E146),0,IF((YEAR(D146)+3)&gt;YEAR(E146),1,(12-MONTH(E146)+1)/12)))*(1/(1+DiscountRate)^3))</f>
        <v/>
      </c>
      <c r="BM146" s="36">
        <f>IF(A146="","",(K146)*(IF((YEAR(D146)+4)&lt;YEAR(E146),0,IF((YEAR(D146)+4)&gt;YEAR(E146),1,(12-MONTH(E146)+1)/12)))*(1/(1+DiscountRate)^4))</f>
        <v/>
      </c>
      <c r="BN146" s="36">
        <f>IF(A146="","",(K146)*(IF((YEAR(D146)+5)&lt;YEAR(E146),0,IF((YEAR(D146)+5)&gt;YEAR(E146),1,(12-MONTH(E146)+1)/12)))*(1/(1+DiscountRate)^5))</f>
        <v/>
      </c>
      <c r="BO146" s="36">
        <f>IF(A146="","",(K146)*(IF((YEAR(D146)+6)&lt;YEAR(E146),0,IF((YEAR(D146)+6)&gt;YEAR(E146),1,(12-MONTH(E146)+1)/12)))*(1/(1+DiscountRate)^6))</f>
        <v/>
      </c>
      <c r="BP146" s="36">
        <f>IF(A146="","",(K146)*(IF((YEAR(D146)+7)&lt;YEAR(E146),0,IF((YEAR(D146)+7)&gt;YEAR(E146),1,(12-MONTH(E146)+1)/12)))*(1/(1+DiscountRate)^7))</f>
        <v/>
      </c>
      <c r="BQ146" s="36">
        <f>IF(A146="","",(K146)*(IF((YEAR(D146)+8)&lt;YEAR(E146),0,IF((YEAR(D146)+8)&gt;YEAR(E146),1,(12-MONTH(E146)+1)/12)))*(1/(1+DiscountRate)^8))</f>
        <v/>
      </c>
      <c r="BR146" s="36">
        <f>IF(A146="","",(K146)*(IF((YEAR(D146)+9)&lt;YEAR(E146),0,IF((YEAR(D146)+9)&gt;YEAR(E146),1,(12-MONTH(E146)+1)/12)))*(1/(1+DiscountRate)^9))</f>
        <v/>
      </c>
      <c r="BS146" s="36">
        <f>IF(A146="","",(K146)*(IF((YEAR(D146)+10)&lt;YEAR(E146),0,IF((YEAR(D146)+10)&gt;YEAR(E146),1,(12-MONTH(E146)+1)/12)))*(1/(1+DiscountRate)^10))</f>
        <v/>
      </c>
      <c r="BT146" s="36">
        <f>IF(A146="","",(K146)*(IF((YEAR(D146)+11)&lt;YEAR(E146),0,IF((YEAR(D146)+11)&gt;YEAR(E146),1,(12-MONTH(E146)+1)/12)))*(1/(1+DiscountRate)^11))</f>
        <v/>
      </c>
      <c r="BU146" s="36">
        <f>IF(A146="","",(K146)*(IF((YEAR(D146)+12)&lt;YEAR(E146),0,IF((YEAR(D146)+12)&gt;YEAR(E146),1,(12-MONTH(E146)+1)/12)))*(1/(1+DiscountRate)^12))</f>
        <v/>
      </c>
      <c r="BV146" s="36">
        <f>IF(A146="","",(K146)*(IF((YEAR(D146)+13)&lt;YEAR(E146),0,IF((YEAR(D146)+13)&gt;YEAR(E146),1,(12-MONTH(E146)+1)/12)))*(1/(1+DiscountRate)^13))</f>
        <v/>
      </c>
      <c r="BW146" s="36">
        <f>IF(A146="","",(K146)*(IF((YEAR(D146)+14)&lt;YEAR(E146),0,IF((YEAR(D146)+14)&gt;YEAR(E146),1,(12-MONTH(E146)+1)/12)))*(1/(1+DiscountRate)^14))</f>
        <v/>
      </c>
      <c r="BX146" s="36">
        <f>IF(A146="","",(K146)*(IF((YEAR(D146)+15)&lt;YEAR(E146),0,IF((YEAR(D146)+15)&gt;YEAR(E146),1,(12-MONTH(E146)+1)/12)))*(1/(1+DiscountRate)^15))</f>
        <v/>
      </c>
      <c r="BY146" s="36">
        <f>IF(A146="","",(K146)*(IF((YEAR(D146)+16)&lt;YEAR(E146),0,IF((YEAR(D146)+16)&gt;YEAR(E146),1,(12-MONTH(E146)+1)/12)))*(1/(1+DiscountRate)^16))</f>
        <v/>
      </c>
      <c r="BZ146" s="36">
        <f>IF(A146="","",(K146)*(IF((YEAR(D146)+17)&lt;YEAR(E146),0,IF((YEAR(D146)+17)&gt;YEAR(E146),1,(12-MONTH(E146)+1)/12)))*(1/(1+DiscountRate)^17))</f>
        <v/>
      </c>
      <c r="CA146" s="36">
        <f>IF(A146="","",(K146)*(IF((YEAR(D146)+18)&lt;YEAR(E146),0,IF((YEAR(D146)+18)&gt;YEAR(E146),1,(12-MONTH(E146)+1)/12)))*(1/(1+DiscountRate)^18))</f>
        <v/>
      </c>
      <c r="CB146" s="36">
        <f>IF(A146="","",(K146)*(IF((YEAR(D146)+19)&lt;YEAR(E146),0,IF((YEAR(D146)+19)&gt;YEAR(E146),1,(12-MONTH(E146)+1)/12)))*(1/(1+DiscountRate)^19))</f>
        <v/>
      </c>
      <c r="CC146" s="36">
        <f>IF(A146="","",(K146)*(IF((YEAR(D146)+20)&lt;YEAR(E146),0,IF((YEAR(D146)+20)&gt;YEAR(E146),1,(12-MONTH(E146)+1)/12)))*(1/(1+DiscountRate)^20))</f>
        <v/>
      </c>
      <c r="CD146" s="29">
        <f>IF(A146="","",S146/(1+DiscountRate)^0+T146/(1+DiscountRate)^1+U146/(1+DiscountRate)^2+V146/(1+DiscountRate)^3+W146/(1+DiscountRate)^4+X146/(1+DiscountRate)^5+Y146/(1+DiscountRate)^6+Z146/(1+DiscountRate)^7+AA146/(1+DiscountRate)^8+AB146/(1+DiscountRate)^9+AC146/(1+DiscountRate)^10+AD146/(1+DiscountRate)^11+AE146/(1+DiscountRate)^12+AF146/(1+DiscountRate)^13+AG146/(1+DiscountRate)^14+AH146/(1+DiscountRate)^15+AI146/(1+DiscountRate)^16+AJ146/(1+DiscountRate)^17+AK146/(1+DiscountRate)^18+AL146/(1+DiscountRate)^19+AM146/(1+DiscountRate)^20)</f>
        <v/>
      </c>
      <c r="CE146" s="37">
        <f>IF(A146="","",IFERROR(IRR(OFFSET(S146,0,0,1,MIN(HorizonYears,20)+1)),"n/a"))</f>
        <v/>
      </c>
      <c r="CF146" s="28">
        <f>IF(A146="","",IFERROR(MATCH(TRUE,OFFSET(AN146,0,0,1,MIN(HorizonYears,20)+1)&gt;=0,0)-1,"n/a"))</f>
        <v/>
      </c>
      <c r="CG146" s="36">
        <f>IF(A146="","",SUM(OFFSET(BI146,0,0,1,MIN(HorizonYears,20)+1)))</f>
        <v/>
      </c>
      <c r="CH146" s="36">
        <f>IF(A146="","",IFERROR(-CD146/CG146,"n/a"))</f>
        <v/>
      </c>
    </row>
    <row r="147">
      <c r="A147" s="6">
        <f>Actions!A145</f>
        <v/>
      </c>
      <c r="B147" s="6">
        <f>Actions!B145</f>
        <v/>
      </c>
      <c r="C147" s="6">
        <f>Actions!D145</f>
        <v/>
      </c>
      <c r="D147" s="35">
        <f>Actions!E145</f>
        <v/>
      </c>
      <c r="E147" s="35">
        <f>Actions!F145</f>
        <v/>
      </c>
      <c r="F147" s="6">
        <f>Actions!G145</f>
        <v/>
      </c>
      <c r="G147" s="6">
        <f>Actions!H145</f>
        <v/>
      </c>
      <c r="H147" s="29">
        <f>Actions!I145</f>
        <v/>
      </c>
      <c r="I147" s="6">
        <f>Actions!J145</f>
        <v/>
      </c>
      <c r="J147" s="16">
        <f>Actions!K145</f>
        <v/>
      </c>
      <c r="K147" s="16">
        <f>IF(A147="","",IF(I147="%",H147*J147,J147))</f>
        <v/>
      </c>
      <c r="L147" s="16">
        <f>Actions!L145</f>
        <v/>
      </c>
      <c r="M147" s="6">
        <f>Actions!M145</f>
        <v/>
      </c>
      <c r="N147" s="28">
        <f>Actions!N145</f>
        <v/>
      </c>
      <c r="O147" s="29">
        <f>Actions!T145</f>
        <v/>
      </c>
      <c r="P147" s="29">
        <f>Actions!Y145</f>
        <v/>
      </c>
      <c r="Q147" s="29">
        <f>Actions!Z145</f>
        <v/>
      </c>
      <c r="R147" s="29">
        <f>Actions!AA145</f>
        <v/>
      </c>
      <c r="S147" s="29">
        <f>IF(A147="","",((K147)*(IF(M147="",L147,IFERROR(IF(INDEX(Variablen!$I:$AT, MATCH(M147, Variablen!$A:$A, 0), MATCH((YEAR(D147)+0), Variablen!$I$3:$AT$3, 0))="",L147,INDEX(Variablen!$I:$AT, MATCH(M147, Variablen!$A:$A, 0), MATCH((YEAR(D147)+0), Variablen!$I$3:$AT$3, 0))),L147)))*(IF((YEAR(D147)+0)&lt;YEAR(E147),0,IF((YEAR(D147)+0)&gt;YEAR(E147),1,(12-MONTH(E147)+1)/12))) + (Q147)*(IF((YEAR(D147)+0)&lt;YEAR(E147),0,IF((YEAR(D147)+0)&gt;YEAR(E147),1,(12-MONTH(E147)+1)/12))))-((P147)*(IF((YEAR(D147)+0)&lt;YEAR(E147),0,IF((YEAR(D147)+0)&gt;YEAR(E147),1,(12-MONTH(E147)+1)/12))) + (R147)*(IF((YEAR(D147)+0)&lt;YEAR(E147),0,IF((YEAR(D147)+0)&gt;YEAR(E147),1,(12-MONTH(E147)+1)/12))))-(IF((((K147)*(IF(M147="",L147,IFERROR(IF(INDEX(Variablen!$I:$AT, MATCH(M147, Variablen!$A:$A, 0), MATCH((YEAR(D147)+0), Variablen!$I$3:$AT$3, 0))="",L147,INDEX(Variablen!$I:$AT, MATCH(M147, Variablen!$A:$A, 0), MATCH((YEAR(D147)+0), Variablen!$I$3:$AT$3, 0))),L147)))*(IF((YEAR(D147)+0)&lt;YEAR(E147),0,IF((YEAR(D147)+0)&gt;YEAR(E147),1,(12-MONTH(E147)+1)/12))) + (Q147)*(IF((YEAR(D147)+0)&lt;YEAR(E147),0,IF((YEAR(D147)+0)&gt;YEAR(E147),1,(12-MONTH(E147)+1)/12))))-((P147)*(IF((YEAR(D147)+0)&lt;YEAR(E147),0,IF((YEAR(D147)+0)&gt;YEAR(E147),1,(12-MONTH(E147)+1)/12))) + (R147)*(IF((YEAR(D147)+0)&lt;YEAR(E147),0,IF((YEAR(D147)+0)&gt;YEAR(E147),1,(12-MONTH(E147)+1)/12))))-(IF(OR(N147="",N147&lt;=0),0,(O147/N147)*(IF(OR(N147="",N147&lt;=0),0,IF((YEAR(D147)+0)&lt;YEAR(E147),0,IF((YEAR(D147)+0)&gt;=YEAR(E147)+N147,0,IF((YEAR(D147)+0)=YEAR(E147),(12-MONTH(E147)+1)/12,1))))))))&gt;0,(((K147)*(IF(M147="",L147,IFERROR(IF(INDEX(Variablen!$I:$AT, MATCH(M147, Variablen!$A:$A, 0), MATCH((YEAR(D147)+0), Variablen!$I$3:$AT$3, 0))="",L147,INDEX(Variablen!$I:$AT, MATCH(M147, Variablen!$A:$A, 0), MATCH((YEAR(D147)+0), Variablen!$I$3:$AT$3, 0))),L147)))*(IF((YEAR(D147)+0)&lt;YEAR(E147),0,IF((YEAR(D147)+0)&gt;YEAR(E147),1,(12-MONTH(E147)+1)/12))) + (Q147)*(IF((YEAR(D147)+0)&lt;YEAR(E147),0,IF((YEAR(D147)+0)&gt;YEAR(E147),1,(12-MONTH(E147)+1)/12))))-((P147)*(IF((YEAR(D147)+0)&lt;YEAR(E147),0,IF((YEAR(D147)+0)&gt;YEAR(E147),1,(12-MONTH(E147)+1)/12))) + (R147)*(IF((YEAR(D147)+0)&lt;YEAR(E147),0,IF((YEAR(D147)+0)&gt;YEAR(E147),1,(12-MONTH(E147)+1)/12))))-(IF(OR(N147="",N147&lt;=0),0,(O147/N147)*(IF(OR(N147="",N147&lt;=0),0,IF((YEAR(D147)+0)&lt;YEAR(E147),0,IF((YEAR(D147)+0)&gt;=YEAR(E147)+N147,0,IF((YEAR(D147)+0)=YEAR(E147),(12-MONTH(E147)+1)/12,1))))))))*TaxRate,0))-IF(0=0,O147,0))</f>
        <v/>
      </c>
      <c r="T147" s="29">
        <f>IF(A147="","",((K147)*(IF(M147="",L147,IFERROR(IF(INDEX(Variablen!$I:$AT, MATCH(M147, Variablen!$A:$A, 0), MATCH((YEAR(D147)+1), Variablen!$I$3:$AT$3, 0))="",L147,INDEX(Variablen!$I:$AT, MATCH(M147, Variablen!$A:$A, 0), MATCH((YEAR(D147)+1), Variablen!$I$3:$AT$3, 0))),L147)))*(IF((YEAR(D147)+1)&lt;YEAR(E147),0,IF((YEAR(D147)+1)&gt;YEAR(E147),1,(12-MONTH(E147)+1)/12))) + (Q147)*(IF((YEAR(D147)+1)&lt;YEAR(E147),0,IF((YEAR(D147)+1)&gt;YEAR(E147),1,(12-MONTH(E147)+1)/12))))-((P147)*(IF((YEAR(D147)+1)&lt;YEAR(E147),0,IF((YEAR(D147)+1)&gt;YEAR(E147),1,(12-MONTH(E147)+1)/12))) + (R147)*(IF((YEAR(D147)+1)&lt;YEAR(E147),0,IF((YEAR(D147)+1)&gt;YEAR(E147),1,(12-MONTH(E147)+1)/12))))-(IF((((K147)*(IF(M147="",L147,IFERROR(IF(INDEX(Variablen!$I:$AT, MATCH(M147, Variablen!$A:$A, 0), MATCH((YEAR(D147)+1), Variablen!$I$3:$AT$3, 0))="",L147,INDEX(Variablen!$I:$AT, MATCH(M147, Variablen!$A:$A, 0), MATCH((YEAR(D147)+1), Variablen!$I$3:$AT$3, 0))),L147)))*(IF((YEAR(D147)+1)&lt;YEAR(E147),0,IF((YEAR(D147)+1)&gt;YEAR(E147),1,(12-MONTH(E147)+1)/12))) + (Q147)*(IF((YEAR(D147)+1)&lt;YEAR(E147),0,IF((YEAR(D147)+1)&gt;YEAR(E147),1,(12-MONTH(E147)+1)/12))))-((P147)*(IF((YEAR(D147)+1)&lt;YEAR(E147),0,IF((YEAR(D147)+1)&gt;YEAR(E147),1,(12-MONTH(E147)+1)/12))) + (R147)*(IF((YEAR(D147)+1)&lt;YEAR(E147),0,IF((YEAR(D147)+1)&gt;YEAR(E147),1,(12-MONTH(E147)+1)/12))))-(IF(OR(N147="",N147&lt;=0),0,(O147/N147)*(IF(OR(N147="",N147&lt;=0),0,IF((YEAR(D147)+1)&lt;YEAR(E147),0,IF((YEAR(D147)+1)&gt;=YEAR(E147)+N147,0,IF((YEAR(D147)+1)=YEAR(E147),(12-MONTH(E147)+1)/12,1))))))))&gt;0,(((K147)*(IF(M147="",L147,IFERROR(IF(INDEX(Variablen!$I:$AT, MATCH(M147, Variablen!$A:$A, 0), MATCH((YEAR(D147)+1), Variablen!$I$3:$AT$3, 0))="",L147,INDEX(Variablen!$I:$AT, MATCH(M147, Variablen!$A:$A, 0), MATCH((YEAR(D147)+1), Variablen!$I$3:$AT$3, 0))),L147)))*(IF((YEAR(D147)+1)&lt;YEAR(E147),0,IF((YEAR(D147)+1)&gt;YEAR(E147),1,(12-MONTH(E147)+1)/12))) + (Q147)*(IF((YEAR(D147)+1)&lt;YEAR(E147),0,IF((YEAR(D147)+1)&gt;YEAR(E147),1,(12-MONTH(E147)+1)/12))))-((P147)*(IF((YEAR(D147)+1)&lt;YEAR(E147),0,IF((YEAR(D147)+1)&gt;YEAR(E147),1,(12-MONTH(E147)+1)/12))) + (R147)*(IF((YEAR(D147)+1)&lt;YEAR(E147),0,IF((YEAR(D147)+1)&gt;YEAR(E147),1,(12-MONTH(E147)+1)/12))))-(IF(OR(N147="",N147&lt;=0),0,(O147/N147)*(IF(OR(N147="",N147&lt;=0),0,IF((YEAR(D147)+1)&lt;YEAR(E147),0,IF((YEAR(D147)+1)&gt;=YEAR(E147)+N147,0,IF((YEAR(D147)+1)=YEAR(E147),(12-MONTH(E147)+1)/12,1))))))))*TaxRate,0))-IF(1=0,O147,0))</f>
        <v/>
      </c>
      <c r="U147" s="29">
        <f>IF(A147="","",((K147)*(IF(M147="",L147,IFERROR(IF(INDEX(Variablen!$I:$AT, MATCH(M147, Variablen!$A:$A, 0), MATCH((YEAR(D147)+2), Variablen!$I$3:$AT$3, 0))="",L147,INDEX(Variablen!$I:$AT, MATCH(M147, Variablen!$A:$A, 0), MATCH((YEAR(D147)+2), Variablen!$I$3:$AT$3, 0))),L147)))*(IF((YEAR(D147)+2)&lt;YEAR(E147),0,IF((YEAR(D147)+2)&gt;YEAR(E147),1,(12-MONTH(E147)+1)/12))) + (Q147)*(IF((YEAR(D147)+2)&lt;YEAR(E147),0,IF((YEAR(D147)+2)&gt;YEAR(E147),1,(12-MONTH(E147)+1)/12))))-((P147)*(IF((YEAR(D147)+2)&lt;YEAR(E147),0,IF((YEAR(D147)+2)&gt;YEAR(E147),1,(12-MONTH(E147)+1)/12))) + (R147)*(IF((YEAR(D147)+2)&lt;YEAR(E147),0,IF((YEAR(D147)+2)&gt;YEAR(E147),1,(12-MONTH(E147)+1)/12))))-(IF((((K147)*(IF(M147="",L147,IFERROR(IF(INDEX(Variablen!$I:$AT, MATCH(M147, Variablen!$A:$A, 0), MATCH((YEAR(D147)+2), Variablen!$I$3:$AT$3, 0))="",L147,INDEX(Variablen!$I:$AT, MATCH(M147, Variablen!$A:$A, 0), MATCH((YEAR(D147)+2), Variablen!$I$3:$AT$3, 0))),L147)))*(IF((YEAR(D147)+2)&lt;YEAR(E147),0,IF((YEAR(D147)+2)&gt;YEAR(E147),1,(12-MONTH(E147)+1)/12))) + (Q147)*(IF((YEAR(D147)+2)&lt;YEAR(E147),0,IF((YEAR(D147)+2)&gt;YEAR(E147),1,(12-MONTH(E147)+1)/12))))-((P147)*(IF((YEAR(D147)+2)&lt;YEAR(E147),0,IF((YEAR(D147)+2)&gt;YEAR(E147),1,(12-MONTH(E147)+1)/12))) + (R147)*(IF((YEAR(D147)+2)&lt;YEAR(E147),0,IF((YEAR(D147)+2)&gt;YEAR(E147),1,(12-MONTH(E147)+1)/12))))-(IF(OR(N147="",N147&lt;=0),0,(O147/N147)*(IF(OR(N147="",N147&lt;=0),0,IF((YEAR(D147)+2)&lt;YEAR(E147),0,IF((YEAR(D147)+2)&gt;=YEAR(E147)+N147,0,IF((YEAR(D147)+2)=YEAR(E147),(12-MONTH(E147)+1)/12,1))))))))&gt;0,(((K147)*(IF(M147="",L147,IFERROR(IF(INDEX(Variablen!$I:$AT, MATCH(M147, Variablen!$A:$A, 0), MATCH((YEAR(D147)+2), Variablen!$I$3:$AT$3, 0))="",L147,INDEX(Variablen!$I:$AT, MATCH(M147, Variablen!$A:$A, 0), MATCH((YEAR(D147)+2), Variablen!$I$3:$AT$3, 0))),L147)))*(IF((YEAR(D147)+2)&lt;YEAR(E147),0,IF((YEAR(D147)+2)&gt;YEAR(E147),1,(12-MONTH(E147)+1)/12))) + (Q147)*(IF((YEAR(D147)+2)&lt;YEAR(E147),0,IF((YEAR(D147)+2)&gt;YEAR(E147),1,(12-MONTH(E147)+1)/12))))-((P147)*(IF((YEAR(D147)+2)&lt;YEAR(E147),0,IF((YEAR(D147)+2)&gt;YEAR(E147),1,(12-MONTH(E147)+1)/12))) + (R147)*(IF((YEAR(D147)+2)&lt;YEAR(E147),0,IF((YEAR(D147)+2)&gt;YEAR(E147),1,(12-MONTH(E147)+1)/12))))-(IF(OR(N147="",N147&lt;=0),0,(O147/N147)*(IF(OR(N147="",N147&lt;=0),0,IF((YEAR(D147)+2)&lt;YEAR(E147),0,IF((YEAR(D147)+2)&gt;=YEAR(E147)+N147,0,IF((YEAR(D147)+2)=YEAR(E147),(12-MONTH(E147)+1)/12,1))))))))*TaxRate,0))-IF(2=0,O147,0))</f>
        <v/>
      </c>
      <c r="V147" s="29">
        <f>IF(A147="","",((K147)*(IF(M147="",L147,IFERROR(IF(INDEX(Variablen!$I:$AT, MATCH(M147, Variablen!$A:$A, 0), MATCH((YEAR(D147)+3), Variablen!$I$3:$AT$3, 0))="",L147,INDEX(Variablen!$I:$AT, MATCH(M147, Variablen!$A:$A, 0), MATCH((YEAR(D147)+3), Variablen!$I$3:$AT$3, 0))),L147)))*(IF((YEAR(D147)+3)&lt;YEAR(E147),0,IF((YEAR(D147)+3)&gt;YEAR(E147),1,(12-MONTH(E147)+1)/12))) + (Q147)*(IF((YEAR(D147)+3)&lt;YEAR(E147),0,IF((YEAR(D147)+3)&gt;YEAR(E147),1,(12-MONTH(E147)+1)/12))))-((P147)*(IF((YEAR(D147)+3)&lt;YEAR(E147),0,IF((YEAR(D147)+3)&gt;YEAR(E147),1,(12-MONTH(E147)+1)/12))) + (R147)*(IF((YEAR(D147)+3)&lt;YEAR(E147),0,IF((YEAR(D147)+3)&gt;YEAR(E147),1,(12-MONTH(E147)+1)/12))))-(IF((((K147)*(IF(M147="",L147,IFERROR(IF(INDEX(Variablen!$I:$AT, MATCH(M147, Variablen!$A:$A, 0), MATCH((YEAR(D147)+3), Variablen!$I$3:$AT$3, 0))="",L147,INDEX(Variablen!$I:$AT, MATCH(M147, Variablen!$A:$A, 0), MATCH((YEAR(D147)+3), Variablen!$I$3:$AT$3, 0))),L147)))*(IF((YEAR(D147)+3)&lt;YEAR(E147),0,IF((YEAR(D147)+3)&gt;YEAR(E147),1,(12-MONTH(E147)+1)/12))) + (Q147)*(IF((YEAR(D147)+3)&lt;YEAR(E147),0,IF((YEAR(D147)+3)&gt;YEAR(E147),1,(12-MONTH(E147)+1)/12))))-((P147)*(IF((YEAR(D147)+3)&lt;YEAR(E147),0,IF((YEAR(D147)+3)&gt;YEAR(E147),1,(12-MONTH(E147)+1)/12))) + (R147)*(IF((YEAR(D147)+3)&lt;YEAR(E147),0,IF((YEAR(D147)+3)&gt;YEAR(E147),1,(12-MONTH(E147)+1)/12))))-(IF(OR(N147="",N147&lt;=0),0,(O147/N147)*(IF(OR(N147="",N147&lt;=0),0,IF((YEAR(D147)+3)&lt;YEAR(E147),0,IF((YEAR(D147)+3)&gt;=YEAR(E147)+N147,0,IF((YEAR(D147)+3)=YEAR(E147),(12-MONTH(E147)+1)/12,1))))))))&gt;0,(((K147)*(IF(M147="",L147,IFERROR(IF(INDEX(Variablen!$I:$AT, MATCH(M147, Variablen!$A:$A, 0), MATCH((YEAR(D147)+3), Variablen!$I$3:$AT$3, 0))="",L147,INDEX(Variablen!$I:$AT, MATCH(M147, Variablen!$A:$A, 0), MATCH((YEAR(D147)+3), Variablen!$I$3:$AT$3, 0))),L147)))*(IF((YEAR(D147)+3)&lt;YEAR(E147),0,IF((YEAR(D147)+3)&gt;YEAR(E147),1,(12-MONTH(E147)+1)/12))) + (Q147)*(IF((YEAR(D147)+3)&lt;YEAR(E147),0,IF((YEAR(D147)+3)&gt;YEAR(E147),1,(12-MONTH(E147)+1)/12))))-((P147)*(IF((YEAR(D147)+3)&lt;YEAR(E147),0,IF((YEAR(D147)+3)&gt;YEAR(E147),1,(12-MONTH(E147)+1)/12))) + (R147)*(IF((YEAR(D147)+3)&lt;YEAR(E147),0,IF((YEAR(D147)+3)&gt;YEAR(E147),1,(12-MONTH(E147)+1)/12))))-(IF(OR(N147="",N147&lt;=0),0,(O147/N147)*(IF(OR(N147="",N147&lt;=0),0,IF((YEAR(D147)+3)&lt;YEAR(E147),0,IF((YEAR(D147)+3)&gt;=YEAR(E147)+N147,0,IF((YEAR(D147)+3)=YEAR(E147),(12-MONTH(E147)+1)/12,1))))))))*TaxRate,0))-IF(3=0,O147,0))</f>
        <v/>
      </c>
      <c r="W147" s="29">
        <f>IF(A147="","",((K147)*(IF(M147="",L147,IFERROR(IF(INDEX(Variablen!$I:$AT, MATCH(M147, Variablen!$A:$A, 0), MATCH((YEAR(D147)+4), Variablen!$I$3:$AT$3, 0))="",L147,INDEX(Variablen!$I:$AT, MATCH(M147, Variablen!$A:$A, 0), MATCH((YEAR(D147)+4), Variablen!$I$3:$AT$3, 0))),L147)))*(IF((YEAR(D147)+4)&lt;YEAR(E147),0,IF((YEAR(D147)+4)&gt;YEAR(E147),1,(12-MONTH(E147)+1)/12))) + (Q147)*(IF((YEAR(D147)+4)&lt;YEAR(E147),0,IF((YEAR(D147)+4)&gt;YEAR(E147),1,(12-MONTH(E147)+1)/12))))-((P147)*(IF((YEAR(D147)+4)&lt;YEAR(E147),0,IF((YEAR(D147)+4)&gt;YEAR(E147),1,(12-MONTH(E147)+1)/12))) + (R147)*(IF((YEAR(D147)+4)&lt;YEAR(E147),0,IF((YEAR(D147)+4)&gt;YEAR(E147),1,(12-MONTH(E147)+1)/12))))-(IF((((K147)*(IF(M147="",L147,IFERROR(IF(INDEX(Variablen!$I:$AT, MATCH(M147, Variablen!$A:$A, 0), MATCH((YEAR(D147)+4), Variablen!$I$3:$AT$3, 0))="",L147,INDEX(Variablen!$I:$AT, MATCH(M147, Variablen!$A:$A, 0), MATCH((YEAR(D147)+4), Variablen!$I$3:$AT$3, 0))),L147)))*(IF((YEAR(D147)+4)&lt;YEAR(E147),0,IF((YEAR(D147)+4)&gt;YEAR(E147),1,(12-MONTH(E147)+1)/12))) + (Q147)*(IF((YEAR(D147)+4)&lt;YEAR(E147),0,IF((YEAR(D147)+4)&gt;YEAR(E147),1,(12-MONTH(E147)+1)/12))))-((P147)*(IF((YEAR(D147)+4)&lt;YEAR(E147),0,IF((YEAR(D147)+4)&gt;YEAR(E147),1,(12-MONTH(E147)+1)/12))) + (R147)*(IF((YEAR(D147)+4)&lt;YEAR(E147),0,IF((YEAR(D147)+4)&gt;YEAR(E147),1,(12-MONTH(E147)+1)/12))))-(IF(OR(N147="",N147&lt;=0),0,(O147/N147)*(IF(OR(N147="",N147&lt;=0),0,IF((YEAR(D147)+4)&lt;YEAR(E147),0,IF((YEAR(D147)+4)&gt;=YEAR(E147)+N147,0,IF((YEAR(D147)+4)=YEAR(E147),(12-MONTH(E147)+1)/12,1))))))))&gt;0,(((K147)*(IF(M147="",L147,IFERROR(IF(INDEX(Variablen!$I:$AT, MATCH(M147, Variablen!$A:$A, 0), MATCH((YEAR(D147)+4), Variablen!$I$3:$AT$3, 0))="",L147,INDEX(Variablen!$I:$AT, MATCH(M147, Variablen!$A:$A, 0), MATCH((YEAR(D147)+4), Variablen!$I$3:$AT$3, 0))),L147)))*(IF((YEAR(D147)+4)&lt;YEAR(E147),0,IF((YEAR(D147)+4)&gt;YEAR(E147),1,(12-MONTH(E147)+1)/12))) + (Q147)*(IF((YEAR(D147)+4)&lt;YEAR(E147),0,IF((YEAR(D147)+4)&gt;YEAR(E147),1,(12-MONTH(E147)+1)/12))))-((P147)*(IF((YEAR(D147)+4)&lt;YEAR(E147),0,IF((YEAR(D147)+4)&gt;YEAR(E147),1,(12-MONTH(E147)+1)/12))) + (R147)*(IF((YEAR(D147)+4)&lt;YEAR(E147),0,IF((YEAR(D147)+4)&gt;YEAR(E147),1,(12-MONTH(E147)+1)/12))))-(IF(OR(N147="",N147&lt;=0),0,(O147/N147)*(IF(OR(N147="",N147&lt;=0),0,IF((YEAR(D147)+4)&lt;YEAR(E147),0,IF((YEAR(D147)+4)&gt;=YEAR(E147)+N147,0,IF((YEAR(D147)+4)=YEAR(E147),(12-MONTH(E147)+1)/12,1))))))))*TaxRate,0))-IF(4=0,O147,0))</f>
        <v/>
      </c>
      <c r="X147" s="29">
        <f>IF(A147="","",((K147)*(IF(M147="",L147,IFERROR(IF(INDEX(Variablen!$I:$AT, MATCH(M147, Variablen!$A:$A, 0), MATCH((YEAR(D147)+5), Variablen!$I$3:$AT$3, 0))="",L147,INDEX(Variablen!$I:$AT, MATCH(M147, Variablen!$A:$A, 0), MATCH((YEAR(D147)+5), Variablen!$I$3:$AT$3, 0))),L147)))*(IF((YEAR(D147)+5)&lt;YEAR(E147),0,IF((YEAR(D147)+5)&gt;YEAR(E147),1,(12-MONTH(E147)+1)/12))) + (Q147)*(IF((YEAR(D147)+5)&lt;YEAR(E147),0,IF((YEAR(D147)+5)&gt;YEAR(E147),1,(12-MONTH(E147)+1)/12))))-((P147)*(IF((YEAR(D147)+5)&lt;YEAR(E147),0,IF((YEAR(D147)+5)&gt;YEAR(E147),1,(12-MONTH(E147)+1)/12))) + (R147)*(IF((YEAR(D147)+5)&lt;YEAR(E147),0,IF((YEAR(D147)+5)&gt;YEAR(E147),1,(12-MONTH(E147)+1)/12))))-(IF((((K147)*(IF(M147="",L147,IFERROR(IF(INDEX(Variablen!$I:$AT, MATCH(M147, Variablen!$A:$A, 0), MATCH((YEAR(D147)+5), Variablen!$I$3:$AT$3, 0))="",L147,INDEX(Variablen!$I:$AT, MATCH(M147, Variablen!$A:$A, 0), MATCH((YEAR(D147)+5), Variablen!$I$3:$AT$3, 0))),L147)))*(IF((YEAR(D147)+5)&lt;YEAR(E147),0,IF((YEAR(D147)+5)&gt;YEAR(E147),1,(12-MONTH(E147)+1)/12))) + (Q147)*(IF((YEAR(D147)+5)&lt;YEAR(E147),0,IF((YEAR(D147)+5)&gt;YEAR(E147),1,(12-MONTH(E147)+1)/12))))-((P147)*(IF((YEAR(D147)+5)&lt;YEAR(E147),0,IF((YEAR(D147)+5)&gt;YEAR(E147),1,(12-MONTH(E147)+1)/12))) + (R147)*(IF((YEAR(D147)+5)&lt;YEAR(E147),0,IF((YEAR(D147)+5)&gt;YEAR(E147),1,(12-MONTH(E147)+1)/12))))-(IF(OR(N147="",N147&lt;=0),0,(O147/N147)*(IF(OR(N147="",N147&lt;=0),0,IF((YEAR(D147)+5)&lt;YEAR(E147),0,IF((YEAR(D147)+5)&gt;=YEAR(E147)+N147,0,IF((YEAR(D147)+5)=YEAR(E147),(12-MONTH(E147)+1)/12,1))))))))&gt;0,(((K147)*(IF(M147="",L147,IFERROR(IF(INDEX(Variablen!$I:$AT, MATCH(M147, Variablen!$A:$A, 0), MATCH((YEAR(D147)+5), Variablen!$I$3:$AT$3, 0))="",L147,INDEX(Variablen!$I:$AT, MATCH(M147, Variablen!$A:$A, 0), MATCH((YEAR(D147)+5), Variablen!$I$3:$AT$3, 0))),L147)))*(IF((YEAR(D147)+5)&lt;YEAR(E147),0,IF((YEAR(D147)+5)&gt;YEAR(E147),1,(12-MONTH(E147)+1)/12))) + (Q147)*(IF((YEAR(D147)+5)&lt;YEAR(E147),0,IF((YEAR(D147)+5)&gt;YEAR(E147),1,(12-MONTH(E147)+1)/12))))-((P147)*(IF((YEAR(D147)+5)&lt;YEAR(E147),0,IF((YEAR(D147)+5)&gt;YEAR(E147),1,(12-MONTH(E147)+1)/12))) + (R147)*(IF((YEAR(D147)+5)&lt;YEAR(E147),0,IF((YEAR(D147)+5)&gt;YEAR(E147),1,(12-MONTH(E147)+1)/12))))-(IF(OR(N147="",N147&lt;=0),0,(O147/N147)*(IF(OR(N147="",N147&lt;=0),0,IF((YEAR(D147)+5)&lt;YEAR(E147),0,IF((YEAR(D147)+5)&gt;=YEAR(E147)+N147,0,IF((YEAR(D147)+5)=YEAR(E147),(12-MONTH(E147)+1)/12,1))))))))*TaxRate,0))-IF(5=0,O147,0))</f>
        <v/>
      </c>
      <c r="Y147" s="29">
        <f>IF(A147="","",((K147)*(IF(M147="",L147,IFERROR(IF(INDEX(Variablen!$I:$AT, MATCH(M147, Variablen!$A:$A, 0), MATCH((YEAR(D147)+6), Variablen!$I$3:$AT$3, 0))="",L147,INDEX(Variablen!$I:$AT, MATCH(M147, Variablen!$A:$A, 0), MATCH((YEAR(D147)+6), Variablen!$I$3:$AT$3, 0))),L147)))*(IF((YEAR(D147)+6)&lt;YEAR(E147),0,IF((YEAR(D147)+6)&gt;YEAR(E147),1,(12-MONTH(E147)+1)/12))) + (Q147)*(IF((YEAR(D147)+6)&lt;YEAR(E147),0,IF((YEAR(D147)+6)&gt;YEAR(E147),1,(12-MONTH(E147)+1)/12))))-((P147)*(IF((YEAR(D147)+6)&lt;YEAR(E147),0,IF((YEAR(D147)+6)&gt;YEAR(E147),1,(12-MONTH(E147)+1)/12))) + (R147)*(IF((YEAR(D147)+6)&lt;YEAR(E147),0,IF((YEAR(D147)+6)&gt;YEAR(E147),1,(12-MONTH(E147)+1)/12))))-(IF((((K147)*(IF(M147="",L147,IFERROR(IF(INDEX(Variablen!$I:$AT, MATCH(M147, Variablen!$A:$A, 0), MATCH((YEAR(D147)+6), Variablen!$I$3:$AT$3, 0))="",L147,INDEX(Variablen!$I:$AT, MATCH(M147, Variablen!$A:$A, 0), MATCH((YEAR(D147)+6), Variablen!$I$3:$AT$3, 0))),L147)))*(IF((YEAR(D147)+6)&lt;YEAR(E147),0,IF((YEAR(D147)+6)&gt;YEAR(E147),1,(12-MONTH(E147)+1)/12))) + (Q147)*(IF((YEAR(D147)+6)&lt;YEAR(E147),0,IF((YEAR(D147)+6)&gt;YEAR(E147),1,(12-MONTH(E147)+1)/12))))-((P147)*(IF((YEAR(D147)+6)&lt;YEAR(E147),0,IF((YEAR(D147)+6)&gt;YEAR(E147),1,(12-MONTH(E147)+1)/12))) + (R147)*(IF((YEAR(D147)+6)&lt;YEAR(E147),0,IF((YEAR(D147)+6)&gt;YEAR(E147),1,(12-MONTH(E147)+1)/12))))-(IF(OR(N147="",N147&lt;=0),0,(O147/N147)*(IF(OR(N147="",N147&lt;=0),0,IF((YEAR(D147)+6)&lt;YEAR(E147),0,IF((YEAR(D147)+6)&gt;=YEAR(E147)+N147,0,IF((YEAR(D147)+6)=YEAR(E147),(12-MONTH(E147)+1)/12,1))))))))&gt;0,(((K147)*(IF(M147="",L147,IFERROR(IF(INDEX(Variablen!$I:$AT, MATCH(M147, Variablen!$A:$A, 0), MATCH((YEAR(D147)+6), Variablen!$I$3:$AT$3, 0))="",L147,INDEX(Variablen!$I:$AT, MATCH(M147, Variablen!$A:$A, 0), MATCH((YEAR(D147)+6), Variablen!$I$3:$AT$3, 0))),L147)))*(IF((YEAR(D147)+6)&lt;YEAR(E147),0,IF((YEAR(D147)+6)&gt;YEAR(E147),1,(12-MONTH(E147)+1)/12))) + (Q147)*(IF((YEAR(D147)+6)&lt;YEAR(E147),0,IF((YEAR(D147)+6)&gt;YEAR(E147),1,(12-MONTH(E147)+1)/12))))-((P147)*(IF((YEAR(D147)+6)&lt;YEAR(E147),0,IF((YEAR(D147)+6)&gt;YEAR(E147),1,(12-MONTH(E147)+1)/12))) + (R147)*(IF((YEAR(D147)+6)&lt;YEAR(E147),0,IF((YEAR(D147)+6)&gt;YEAR(E147),1,(12-MONTH(E147)+1)/12))))-(IF(OR(N147="",N147&lt;=0),0,(O147/N147)*(IF(OR(N147="",N147&lt;=0),0,IF((YEAR(D147)+6)&lt;YEAR(E147),0,IF((YEAR(D147)+6)&gt;=YEAR(E147)+N147,0,IF((YEAR(D147)+6)=YEAR(E147),(12-MONTH(E147)+1)/12,1))))))))*TaxRate,0))-IF(6=0,O147,0))</f>
        <v/>
      </c>
      <c r="Z147" s="29">
        <f>IF(A147="","",((K147)*(IF(M147="",L147,IFERROR(IF(INDEX(Variablen!$I:$AT, MATCH(M147, Variablen!$A:$A, 0), MATCH((YEAR(D147)+7), Variablen!$I$3:$AT$3, 0))="",L147,INDEX(Variablen!$I:$AT, MATCH(M147, Variablen!$A:$A, 0), MATCH((YEAR(D147)+7), Variablen!$I$3:$AT$3, 0))),L147)))*(IF((YEAR(D147)+7)&lt;YEAR(E147),0,IF((YEAR(D147)+7)&gt;YEAR(E147),1,(12-MONTH(E147)+1)/12))) + (Q147)*(IF((YEAR(D147)+7)&lt;YEAR(E147),0,IF((YEAR(D147)+7)&gt;YEAR(E147),1,(12-MONTH(E147)+1)/12))))-((P147)*(IF((YEAR(D147)+7)&lt;YEAR(E147),0,IF((YEAR(D147)+7)&gt;YEAR(E147),1,(12-MONTH(E147)+1)/12))) + (R147)*(IF((YEAR(D147)+7)&lt;YEAR(E147),0,IF((YEAR(D147)+7)&gt;YEAR(E147),1,(12-MONTH(E147)+1)/12))))-(IF((((K147)*(IF(M147="",L147,IFERROR(IF(INDEX(Variablen!$I:$AT, MATCH(M147, Variablen!$A:$A, 0), MATCH((YEAR(D147)+7), Variablen!$I$3:$AT$3, 0))="",L147,INDEX(Variablen!$I:$AT, MATCH(M147, Variablen!$A:$A, 0), MATCH((YEAR(D147)+7), Variablen!$I$3:$AT$3, 0))),L147)))*(IF((YEAR(D147)+7)&lt;YEAR(E147),0,IF((YEAR(D147)+7)&gt;YEAR(E147),1,(12-MONTH(E147)+1)/12))) + (Q147)*(IF((YEAR(D147)+7)&lt;YEAR(E147),0,IF((YEAR(D147)+7)&gt;YEAR(E147),1,(12-MONTH(E147)+1)/12))))-((P147)*(IF((YEAR(D147)+7)&lt;YEAR(E147),0,IF((YEAR(D147)+7)&gt;YEAR(E147),1,(12-MONTH(E147)+1)/12))) + (R147)*(IF((YEAR(D147)+7)&lt;YEAR(E147),0,IF((YEAR(D147)+7)&gt;YEAR(E147),1,(12-MONTH(E147)+1)/12))))-(IF(OR(N147="",N147&lt;=0),0,(O147/N147)*(IF(OR(N147="",N147&lt;=0),0,IF((YEAR(D147)+7)&lt;YEAR(E147),0,IF((YEAR(D147)+7)&gt;=YEAR(E147)+N147,0,IF((YEAR(D147)+7)=YEAR(E147),(12-MONTH(E147)+1)/12,1))))))))&gt;0,(((K147)*(IF(M147="",L147,IFERROR(IF(INDEX(Variablen!$I:$AT, MATCH(M147, Variablen!$A:$A, 0), MATCH((YEAR(D147)+7), Variablen!$I$3:$AT$3, 0))="",L147,INDEX(Variablen!$I:$AT, MATCH(M147, Variablen!$A:$A, 0), MATCH((YEAR(D147)+7), Variablen!$I$3:$AT$3, 0))),L147)))*(IF((YEAR(D147)+7)&lt;YEAR(E147),0,IF((YEAR(D147)+7)&gt;YEAR(E147),1,(12-MONTH(E147)+1)/12))) + (Q147)*(IF((YEAR(D147)+7)&lt;YEAR(E147),0,IF((YEAR(D147)+7)&gt;YEAR(E147),1,(12-MONTH(E147)+1)/12))))-((P147)*(IF((YEAR(D147)+7)&lt;YEAR(E147),0,IF((YEAR(D147)+7)&gt;YEAR(E147),1,(12-MONTH(E147)+1)/12))) + (R147)*(IF((YEAR(D147)+7)&lt;YEAR(E147),0,IF((YEAR(D147)+7)&gt;YEAR(E147),1,(12-MONTH(E147)+1)/12))))-(IF(OR(N147="",N147&lt;=0),0,(O147/N147)*(IF(OR(N147="",N147&lt;=0),0,IF((YEAR(D147)+7)&lt;YEAR(E147),0,IF((YEAR(D147)+7)&gt;=YEAR(E147)+N147,0,IF((YEAR(D147)+7)=YEAR(E147),(12-MONTH(E147)+1)/12,1))))))))*TaxRate,0))-IF(7=0,O147,0))</f>
        <v/>
      </c>
      <c r="AA147" s="29">
        <f>IF(A147="","",((K147)*(IF(M147="",L147,IFERROR(IF(INDEX(Variablen!$I:$AT, MATCH(M147, Variablen!$A:$A, 0), MATCH((YEAR(D147)+8), Variablen!$I$3:$AT$3, 0))="",L147,INDEX(Variablen!$I:$AT, MATCH(M147, Variablen!$A:$A, 0), MATCH((YEAR(D147)+8), Variablen!$I$3:$AT$3, 0))),L147)))*(IF((YEAR(D147)+8)&lt;YEAR(E147),0,IF((YEAR(D147)+8)&gt;YEAR(E147),1,(12-MONTH(E147)+1)/12))) + (Q147)*(IF((YEAR(D147)+8)&lt;YEAR(E147),0,IF((YEAR(D147)+8)&gt;YEAR(E147),1,(12-MONTH(E147)+1)/12))))-((P147)*(IF((YEAR(D147)+8)&lt;YEAR(E147),0,IF((YEAR(D147)+8)&gt;YEAR(E147),1,(12-MONTH(E147)+1)/12))) + (R147)*(IF((YEAR(D147)+8)&lt;YEAR(E147),0,IF((YEAR(D147)+8)&gt;YEAR(E147),1,(12-MONTH(E147)+1)/12))))-(IF((((K147)*(IF(M147="",L147,IFERROR(IF(INDEX(Variablen!$I:$AT, MATCH(M147, Variablen!$A:$A, 0), MATCH((YEAR(D147)+8), Variablen!$I$3:$AT$3, 0))="",L147,INDEX(Variablen!$I:$AT, MATCH(M147, Variablen!$A:$A, 0), MATCH((YEAR(D147)+8), Variablen!$I$3:$AT$3, 0))),L147)))*(IF((YEAR(D147)+8)&lt;YEAR(E147),0,IF((YEAR(D147)+8)&gt;YEAR(E147),1,(12-MONTH(E147)+1)/12))) + (Q147)*(IF((YEAR(D147)+8)&lt;YEAR(E147),0,IF((YEAR(D147)+8)&gt;YEAR(E147),1,(12-MONTH(E147)+1)/12))))-((P147)*(IF((YEAR(D147)+8)&lt;YEAR(E147),0,IF((YEAR(D147)+8)&gt;YEAR(E147),1,(12-MONTH(E147)+1)/12))) + (R147)*(IF((YEAR(D147)+8)&lt;YEAR(E147),0,IF((YEAR(D147)+8)&gt;YEAR(E147),1,(12-MONTH(E147)+1)/12))))-(IF(OR(N147="",N147&lt;=0),0,(O147/N147)*(IF(OR(N147="",N147&lt;=0),0,IF((YEAR(D147)+8)&lt;YEAR(E147),0,IF((YEAR(D147)+8)&gt;=YEAR(E147)+N147,0,IF((YEAR(D147)+8)=YEAR(E147),(12-MONTH(E147)+1)/12,1))))))))&gt;0,(((K147)*(IF(M147="",L147,IFERROR(IF(INDEX(Variablen!$I:$AT, MATCH(M147, Variablen!$A:$A, 0), MATCH((YEAR(D147)+8), Variablen!$I$3:$AT$3, 0))="",L147,INDEX(Variablen!$I:$AT, MATCH(M147, Variablen!$A:$A, 0), MATCH((YEAR(D147)+8), Variablen!$I$3:$AT$3, 0))),L147)))*(IF((YEAR(D147)+8)&lt;YEAR(E147),0,IF((YEAR(D147)+8)&gt;YEAR(E147),1,(12-MONTH(E147)+1)/12))) + (Q147)*(IF((YEAR(D147)+8)&lt;YEAR(E147),0,IF((YEAR(D147)+8)&gt;YEAR(E147),1,(12-MONTH(E147)+1)/12))))-((P147)*(IF((YEAR(D147)+8)&lt;YEAR(E147),0,IF((YEAR(D147)+8)&gt;YEAR(E147),1,(12-MONTH(E147)+1)/12))) + (R147)*(IF((YEAR(D147)+8)&lt;YEAR(E147),0,IF((YEAR(D147)+8)&gt;YEAR(E147),1,(12-MONTH(E147)+1)/12))))-(IF(OR(N147="",N147&lt;=0),0,(O147/N147)*(IF(OR(N147="",N147&lt;=0),0,IF((YEAR(D147)+8)&lt;YEAR(E147),0,IF((YEAR(D147)+8)&gt;=YEAR(E147)+N147,0,IF((YEAR(D147)+8)=YEAR(E147),(12-MONTH(E147)+1)/12,1))))))))*TaxRate,0))-IF(8=0,O147,0))</f>
        <v/>
      </c>
      <c r="AB147" s="29">
        <f>IF(A147="","",((K147)*(IF(M147="",L147,IFERROR(IF(INDEX(Variablen!$I:$AT, MATCH(M147, Variablen!$A:$A, 0), MATCH((YEAR(D147)+9), Variablen!$I$3:$AT$3, 0))="",L147,INDEX(Variablen!$I:$AT, MATCH(M147, Variablen!$A:$A, 0), MATCH((YEAR(D147)+9), Variablen!$I$3:$AT$3, 0))),L147)))*(IF((YEAR(D147)+9)&lt;YEAR(E147),0,IF((YEAR(D147)+9)&gt;YEAR(E147),1,(12-MONTH(E147)+1)/12))) + (Q147)*(IF((YEAR(D147)+9)&lt;YEAR(E147),0,IF((YEAR(D147)+9)&gt;YEAR(E147),1,(12-MONTH(E147)+1)/12))))-((P147)*(IF((YEAR(D147)+9)&lt;YEAR(E147),0,IF((YEAR(D147)+9)&gt;YEAR(E147),1,(12-MONTH(E147)+1)/12))) + (R147)*(IF((YEAR(D147)+9)&lt;YEAR(E147),0,IF((YEAR(D147)+9)&gt;YEAR(E147),1,(12-MONTH(E147)+1)/12))))-(IF((((K147)*(IF(M147="",L147,IFERROR(IF(INDEX(Variablen!$I:$AT, MATCH(M147, Variablen!$A:$A, 0), MATCH((YEAR(D147)+9), Variablen!$I$3:$AT$3, 0))="",L147,INDEX(Variablen!$I:$AT, MATCH(M147, Variablen!$A:$A, 0), MATCH((YEAR(D147)+9), Variablen!$I$3:$AT$3, 0))),L147)))*(IF((YEAR(D147)+9)&lt;YEAR(E147),0,IF((YEAR(D147)+9)&gt;YEAR(E147),1,(12-MONTH(E147)+1)/12))) + (Q147)*(IF((YEAR(D147)+9)&lt;YEAR(E147),0,IF((YEAR(D147)+9)&gt;YEAR(E147),1,(12-MONTH(E147)+1)/12))))-((P147)*(IF((YEAR(D147)+9)&lt;YEAR(E147),0,IF((YEAR(D147)+9)&gt;YEAR(E147),1,(12-MONTH(E147)+1)/12))) + (R147)*(IF((YEAR(D147)+9)&lt;YEAR(E147),0,IF((YEAR(D147)+9)&gt;YEAR(E147),1,(12-MONTH(E147)+1)/12))))-(IF(OR(N147="",N147&lt;=0),0,(O147/N147)*(IF(OR(N147="",N147&lt;=0),0,IF((YEAR(D147)+9)&lt;YEAR(E147),0,IF((YEAR(D147)+9)&gt;=YEAR(E147)+N147,0,IF((YEAR(D147)+9)=YEAR(E147),(12-MONTH(E147)+1)/12,1))))))))&gt;0,(((K147)*(IF(M147="",L147,IFERROR(IF(INDEX(Variablen!$I:$AT, MATCH(M147, Variablen!$A:$A, 0), MATCH((YEAR(D147)+9), Variablen!$I$3:$AT$3, 0))="",L147,INDEX(Variablen!$I:$AT, MATCH(M147, Variablen!$A:$A, 0), MATCH((YEAR(D147)+9), Variablen!$I$3:$AT$3, 0))),L147)))*(IF((YEAR(D147)+9)&lt;YEAR(E147),0,IF((YEAR(D147)+9)&gt;YEAR(E147),1,(12-MONTH(E147)+1)/12))) + (Q147)*(IF((YEAR(D147)+9)&lt;YEAR(E147),0,IF((YEAR(D147)+9)&gt;YEAR(E147),1,(12-MONTH(E147)+1)/12))))-((P147)*(IF((YEAR(D147)+9)&lt;YEAR(E147),0,IF((YEAR(D147)+9)&gt;YEAR(E147),1,(12-MONTH(E147)+1)/12))) + (R147)*(IF((YEAR(D147)+9)&lt;YEAR(E147),0,IF((YEAR(D147)+9)&gt;YEAR(E147),1,(12-MONTH(E147)+1)/12))))-(IF(OR(N147="",N147&lt;=0),0,(O147/N147)*(IF(OR(N147="",N147&lt;=0),0,IF((YEAR(D147)+9)&lt;YEAR(E147),0,IF((YEAR(D147)+9)&gt;=YEAR(E147)+N147,0,IF((YEAR(D147)+9)=YEAR(E147),(12-MONTH(E147)+1)/12,1))))))))*TaxRate,0))-IF(9=0,O147,0))</f>
        <v/>
      </c>
      <c r="AC147" s="29">
        <f>IF(A147="","",((K147)*(IF(M147="",L147,IFERROR(IF(INDEX(Variablen!$I:$AT, MATCH(M147, Variablen!$A:$A, 0), MATCH((YEAR(D147)+10), Variablen!$I$3:$AT$3, 0))="",L147,INDEX(Variablen!$I:$AT, MATCH(M147, Variablen!$A:$A, 0), MATCH((YEAR(D147)+10), Variablen!$I$3:$AT$3, 0))),L147)))*(IF((YEAR(D147)+10)&lt;YEAR(E147),0,IF((YEAR(D147)+10)&gt;YEAR(E147),1,(12-MONTH(E147)+1)/12))) + (Q147)*(IF((YEAR(D147)+10)&lt;YEAR(E147),0,IF((YEAR(D147)+10)&gt;YEAR(E147),1,(12-MONTH(E147)+1)/12))))-((P147)*(IF((YEAR(D147)+10)&lt;YEAR(E147),0,IF((YEAR(D147)+10)&gt;YEAR(E147),1,(12-MONTH(E147)+1)/12))) + (R147)*(IF((YEAR(D147)+10)&lt;YEAR(E147),0,IF((YEAR(D147)+10)&gt;YEAR(E147),1,(12-MONTH(E147)+1)/12))))-(IF((((K147)*(IF(M147="",L147,IFERROR(IF(INDEX(Variablen!$I:$AT, MATCH(M147, Variablen!$A:$A, 0), MATCH((YEAR(D147)+10), Variablen!$I$3:$AT$3, 0))="",L147,INDEX(Variablen!$I:$AT, MATCH(M147, Variablen!$A:$A, 0), MATCH((YEAR(D147)+10), Variablen!$I$3:$AT$3, 0))),L147)))*(IF((YEAR(D147)+10)&lt;YEAR(E147),0,IF((YEAR(D147)+10)&gt;YEAR(E147),1,(12-MONTH(E147)+1)/12))) + (Q147)*(IF((YEAR(D147)+10)&lt;YEAR(E147),0,IF((YEAR(D147)+10)&gt;YEAR(E147),1,(12-MONTH(E147)+1)/12))))-((P147)*(IF((YEAR(D147)+10)&lt;YEAR(E147),0,IF((YEAR(D147)+10)&gt;YEAR(E147),1,(12-MONTH(E147)+1)/12))) + (R147)*(IF((YEAR(D147)+10)&lt;YEAR(E147),0,IF((YEAR(D147)+10)&gt;YEAR(E147),1,(12-MONTH(E147)+1)/12))))-(IF(OR(N147="",N147&lt;=0),0,(O147/N147)*(IF(OR(N147="",N147&lt;=0),0,IF((YEAR(D147)+10)&lt;YEAR(E147),0,IF((YEAR(D147)+10)&gt;=YEAR(E147)+N147,0,IF((YEAR(D147)+10)=YEAR(E147),(12-MONTH(E147)+1)/12,1))))))))&gt;0,(((K147)*(IF(M147="",L147,IFERROR(IF(INDEX(Variablen!$I:$AT, MATCH(M147, Variablen!$A:$A, 0), MATCH((YEAR(D147)+10), Variablen!$I$3:$AT$3, 0))="",L147,INDEX(Variablen!$I:$AT, MATCH(M147, Variablen!$A:$A, 0), MATCH((YEAR(D147)+10), Variablen!$I$3:$AT$3, 0))),L147)))*(IF((YEAR(D147)+10)&lt;YEAR(E147),0,IF((YEAR(D147)+10)&gt;YEAR(E147),1,(12-MONTH(E147)+1)/12))) + (Q147)*(IF((YEAR(D147)+10)&lt;YEAR(E147),0,IF((YEAR(D147)+10)&gt;YEAR(E147),1,(12-MONTH(E147)+1)/12))))-((P147)*(IF((YEAR(D147)+10)&lt;YEAR(E147),0,IF((YEAR(D147)+10)&gt;YEAR(E147),1,(12-MONTH(E147)+1)/12))) + (R147)*(IF((YEAR(D147)+10)&lt;YEAR(E147),0,IF((YEAR(D147)+10)&gt;YEAR(E147),1,(12-MONTH(E147)+1)/12))))-(IF(OR(N147="",N147&lt;=0),0,(O147/N147)*(IF(OR(N147="",N147&lt;=0),0,IF((YEAR(D147)+10)&lt;YEAR(E147),0,IF((YEAR(D147)+10)&gt;=YEAR(E147)+N147,0,IF((YEAR(D147)+10)=YEAR(E147),(12-MONTH(E147)+1)/12,1))))))))*TaxRate,0))-IF(10=0,O147,0))</f>
        <v/>
      </c>
      <c r="AD147" s="29">
        <f>IF(A147="","",((K147)*(IF(M147="",L147,IFERROR(IF(INDEX(Variablen!$I:$AT, MATCH(M147, Variablen!$A:$A, 0), MATCH((YEAR(D147)+11), Variablen!$I$3:$AT$3, 0))="",L147,INDEX(Variablen!$I:$AT, MATCH(M147, Variablen!$A:$A, 0), MATCH((YEAR(D147)+11), Variablen!$I$3:$AT$3, 0))),L147)))*(IF((YEAR(D147)+11)&lt;YEAR(E147),0,IF((YEAR(D147)+11)&gt;YEAR(E147),1,(12-MONTH(E147)+1)/12))) + (Q147)*(IF((YEAR(D147)+11)&lt;YEAR(E147),0,IF((YEAR(D147)+11)&gt;YEAR(E147),1,(12-MONTH(E147)+1)/12))))-((P147)*(IF((YEAR(D147)+11)&lt;YEAR(E147),0,IF((YEAR(D147)+11)&gt;YEAR(E147),1,(12-MONTH(E147)+1)/12))) + (R147)*(IF((YEAR(D147)+11)&lt;YEAR(E147),0,IF((YEAR(D147)+11)&gt;YEAR(E147),1,(12-MONTH(E147)+1)/12))))-(IF((((K147)*(IF(M147="",L147,IFERROR(IF(INDEX(Variablen!$I:$AT, MATCH(M147, Variablen!$A:$A, 0), MATCH((YEAR(D147)+11), Variablen!$I$3:$AT$3, 0))="",L147,INDEX(Variablen!$I:$AT, MATCH(M147, Variablen!$A:$A, 0), MATCH((YEAR(D147)+11), Variablen!$I$3:$AT$3, 0))),L147)))*(IF((YEAR(D147)+11)&lt;YEAR(E147),0,IF((YEAR(D147)+11)&gt;YEAR(E147),1,(12-MONTH(E147)+1)/12))) + (Q147)*(IF((YEAR(D147)+11)&lt;YEAR(E147),0,IF((YEAR(D147)+11)&gt;YEAR(E147),1,(12-MONTH(E147)+1)/12))))-((P147)*(IF((YEAR(D147)+11)&lt;YEAR(E147),0,IF((YEAR(D147)+11)&gt;YEAR(E147),1,(12-MONTH(E147)+1)/12))) + (R147)*(IF((YEAR(D147)+11)&lt;YEAR(E147),0,IF((YEAR(D147)+11)&gt;YEAR(E147),1,(12-MONTH(E147)+1)/12))))-(IF(OR(N147="",N147&lt;=0),0,(O147/N147)*(IF(OR(N147="",N147&lt;=0),0,IF((YEAR(D147)+11)&lt;YEAR(E147),0,IF((YEAR(D147)+11)&gt;=YEAR(E147)+N147,0,IF((YEAR(D147)+11)=YEAR(E147),(12-MONTH(E147)+1)/12,1))))))))&gt;0,(((K147)*(IF(M147="",L147,IFERROR(IF(INDEX(Variablen!$I:$AT, MATCH(M147, Variablen!$A:$A, 0), MATCH((YEAR(D147)+11), Variablen!$I$3:$AT$3, 0))="",L147,INDEX(Variablen!$I:$AT, MATCH(M147, Variablen!$A:$A, 0), MATCH((YEAR(D147)+11), Variablen!$I$3:$AT$3, 0))),L147)))*(IF((YEAR(D147)+11)&lt;YEAR(E147),0,IF((YEAR(D147)+11)&gt;YEAR(E147),1,(12-MONTH(E147)+1)/12))) + (Q147)*(IF((YEAR(D147)+11)&lt;YEAR(E147),0,IF((YEAR(D147)+11)&gt;YEAR(E147),1,(12-MONTH(E147)+1)/12))))-((P147)*(IF((YEAR(D147)+11)&lt;YEAR(E147),0,IF((YEAR(D147)+11)&gt;YEAR(E147),1,(12-MONTH(E147)+1)/12))) + (R147)*(IF((YEAR(D147)+11)&lt;YEAR(E147),0,IF((YEAR(D147)+11)&gt;YEAR(E147),1,(12-MONTH(E147)+1)/12))))-(IF(OR(N147="",N147&lt;=0),0,(O147/N147)*(IF(OR(N147="",N147&lt;=0),0,IF((YEAR(D147)+11)&lt;YEAR(E147),0,IF((YEAR(D147)+11)&gt;=YEAR(E147)+N147,0,IF((YEAR(D147)+11)=YEAR(E147),(12-MONTH(E147)+1)/12,1))))))))*TaxRate,0))-IF(11=0,O147,0))</f>
        <v/>
      </c>
      <c r="AE147" s="29">
        <f>IF(A147="","",((K147)*(IF(M147="",L147,IFERROR(IF(INDEX(Variablen!$I:$AT, MATCH(M147, Variablen!$A:$A, 0), MATCH((YEAR(D147)+12), Variablen!$I$3:$AT$3, 0))="",L147,INDEX(Variablen!$I:$AT, MATCH(M147, Variablen!$A:$A, 0), MATCH((YEAR(D147)+12), Variablen!$I$3:$AT$3, 0))),L147)))*(IF((YEAR(D147)+12)&lt;YEAR(E147),0,IF((YEAR(D147)+12)&gt;YEAR(E147),1,(12-MONTH(E147)+1)/12))) + (Q147)*(IF((YEAR(D147)+12)&lt;YEAR(E147),0,IF((YEAR(D147)+12)&gt;YEAR(E147),1,(12-MONTH(E147)+1)/12))))-((P147)*(IF((YEAR(D147)+12)&lt;YEAR(E147),0,IF((YEAR(D147)+12)&gt;YEAR(E147),1,(12-MONTH(E147)+1)/12))) + (R147)*(IF((YEAR(D147)+12)&lt;YEAR(E147),0,IF((YEAR(D147)+12)&gt;YEAR(E147),1,(12-MONTH(E147)+1)/12))))-(IF((((K147)*(IF(M147="",L147,IFERROR(IF(INDEX(Variablen!$I:$AT, MATCH(M147, Variablen!$A:$A, 0), MATCH((YEAR(D147)+12), Variablen!$I$3:$AT$3, 0))="",L147,INDEX(Variablen!$I:$AT, MATCH(M147, Variablen!$A:$A, 0), MATCH((YEAR(D147)+12), Variablen!$I$3:$AT$3, 0))),L147)))*(IF((YEAR(D147)+12)&lt;YEAR(E147),0,IF((YEAR(D147)+12)&gt;YEAR(E147),1,(12-MONTH(E147)+1)/12))) + (Q147)*(IF((YEAR(D147)+12)&lt;YEAR(E147),0,IF((YEAR(D147)+12)&gt;YEAR(E147),1,(12-MONTH(E147)+1)/12))))-((P147)*(IF((YEAR(D147)+12)&lt;YEAR(E147),0,IF((YEAR(D147)+12)&gt;YEAR(E147),1,(12-MONTH(E147)+1)/12))) + (R147)*(IF((YEAR(D147)+12)&lt;YEAR(E147),0,IF((YEAR(D147)+12)&gt;YEAR(E147),1,(12-MONTH(E147)+1)/12))))-(IF(OR(N147="",N147&lt;=0),0,(O147/N147)*(IF(OR(N147="",N147&lt;=0),0,IF((YEAR(D147)+12)&lt;YEAR(E147),0,IF((YEAR(D147)+12)&gt;=YEAR(E147)+N147,0,IF((YEAR(D147)+12)=YEAR(E147),(12-MONTH(E147)+1)/12,1))))))))&gt;0,(((K147)*(IF(M147="",L147,IFERROR(IF(INDEX(Variablen!$I:$AT, MATCH(M147, Variablen!$A:$A, 0), MATCH((YEAR(D147)+12), Variablen!$I$3:$AT$3, 0))="",L147,INDEX(Variablen!$I:$AT, MATCH(M147, Variablen!$A:$A, 0), MATCH((YEAR(D147)+12), Variablen!$I$3:$AT$3, 0))),L147)))*(IF((YEAR(D147)+12)&lt;YEAR(E147),0,IF((YEAR(D147)+12)&gt;YEAR(E147),1,(12-MONTH(E147)+1)/12))) + (Q147)*(IF((YEAR(D147)+12)&lt;YEAR(E147),0,IF((YEAR(D147)+12)&gt;YEAR(E147),1,(12-MONTH(E147)+1)/12))))-((P147)*(IF((YEAR(D147)+12)&lt;YEAR(E147),0,IF((YEAR(D147)+12)&gt;YEAR(E147),1,(12-MONTH(E147)+1)/12))) + (R147)*(IF((YEAR(D147)+12)&lt;YEAR(E147),0,IF((YEAR(D147)+12)&gt;YEAR(E147),1,(12-MONTH(E147)+1)/12))))-(IF(OR(N147="",N147&lt;=0),0,(O147/N147)*(IF(OR(N147="",N147&lt;=0),0,IF((YEAR(D147)+12)&lt;YEAR(E147),0,IF((YEAR(D147)+12)&gt;=YEAR(E147)+N147,0,IF((YEAR(D147)+12)=YEAR(E147),(12-MONTH(E147)+1)/12,1))))))))*TaxRate,0))-IF(12=0,O147,0))</f>
        <v/>
      </c>
      <c r="AF147" s="29">
        <f>IF(A147="","",((K147)*(IF(M147="",L147,IFERROR(IF(INDEX(Variablen!$I:$AT, MATCH(M147, Variablen!$A:$A, 0), MATCH((YEAR(D147)+13), Variablen!$I$3:$AT$3, 0))="",L147,INDEX(Variablen!$I:$AT, MATCH(M147, Variablen!$A:$A, 0), MATCH((YEAR(D147)+13), Variablen!$I$3:$AT$3, 0))),L147)))*(IF((YEAR(D147)+13)&lt;YEAR(E147),0,IF((YEAR(D147)+13)&gt;YEAR(E147),1,(12-MONTH(E147)+1)/12))) + (Q147)*(IF((YEAR(D147)+13)&lt;YEAR(E147),0,IF((YEAR(D147)+13)&gt;YEAR(E147),1,(12-MONTH(E147)+1)/12))))-((P147)*(IF((YEAR(D147)+13)&lt;YEAR(E147),0,IF((YEAR(D147)+13)&gt;YEAR(E147),1,(12-MONTH(E147)+1)/12))) + (R147)*(IF((YEAR(D147)+13)&lt;YEAR(E147),0,IF((YEAR(D147)+13)&gt;YEAR(E147),1,(12-MONTH(E147)+1)/12))))-(IF((((K147)*(IF(M147="",L147,IFERROR(IF(INDEX(Variablen!$I:$AT, MATCH(M147, Variablen!$A:$A, 0), MATCH((YEAR(D147)+13), Variablen!$I$3:$AT$3, 0))="",L147,INDEX(Variablen!$I:$AT, MATCH(M147, Variablen!$A:$A, 0), MATCH((YEAR(D147)+13), Variablen!$I$3:$AT$3, 0))),L147)))*(IF((YEAR(D147)+13)&lt;YEAR(E147),0,IF((YEAR(D147)+13)&gt;YEAR(E147),1,(12-MONTH(E147)+1)/12))) + (Q147)*(IF((YEAR(D147)+13)&lt;YEAR(E147),0,IF((YEAR(D147)+13)&gt;YEAR(E147),1,(12-MONTH(E147)+1)/12))))-((P147)*(IF((YEAR(D147)+13)&lt;YEAR(E147),0,IF((YEAR(D147)+13)&gt;YEAR(E147),1,(12-MONTH(E147)+1)/12))) + (R147)*(IF((YEAR(D147)+13)&lt;YEAR(E147),0,IF((YEAR(D147)+13)&gt;YEAR(E147),1,(12-MONTH(E147)+1)/12))))-(IF(OR(N147="",N147&lt;=0),0,(O147/N147)*(IF(OR(N147="",N147&lt;=0),0,IF((YEAR(D147)+13)&lt;YEAR(E147),0,IF((YEAR(D147)+13)&gt;=YEAR(E147)+N147,0,IF((YEAR(D147)+13)=YEAR(E147),(12-MONTH(E147)+1)/12,1))))))))&gt;0,(((K147)*(IF(M147="",L147,IFERROR(IF(INDEX(Variablen!$I:$AT, MATCH(M147, Variablen!$A:$A, 0), MATCH((YEAR(D147)+13), Variablen!$I$3:$AT$3, 0))="",L147,INDEX(Variablen!$I:$AT, MATCH(M147, Variablen!$A:$A, 0), MATCH((YEAR(D147)+13), Variablen!$I$3:$AT$3, 0))),L147)))*(IF((YEAR(D147)+13)&lt;YEAR(E147),0,IF((YEAR(D147)+13)&gt;YEAR(E147),1,(12-MONTH(E147)+1)/12))) + (Q147)*(IF((YEAR(D147)+13)&lt;YEAR(E147),0,IF((YEAR(D147)+13)&gt;YEAR(E147),1,(12-MONTH(E147)+1)/12))))-((P147)*(IF((YEAR(D147)+13)&lt;YEAR(E147),0,IF((YEAR(D147)+13)&gt;YEAR(E147),1,(12-MONTH(E147)+1)/12))) + (R147)*(IF((YEAR(D147)+13)&lt;YEAR(E147),0,IF((YEAR(D147)+13)&gt;YEAR(E147),1,(12-MONTH(E147)+1)/12))))-(IF(OR(N147="",N147&lt;=0),0,(O147/N147)*(IF(OR(N147="",N147&lt;=0),0,IF((YEAR(D147)+13)&lt;YEAR(E147),0,IF((YEAR(D147)+13)&gt;=YEAR(E147)+N147,0,IF((YEAR(D147)+13)=YEAR(E147),(12-MONTH(E147)+1)/12,1))))))))*TaxRate,0))-IF(13=0,O147,0))</f>
        <v/>
      </c>
      <c r="AG147" s="29">
        <f>IF(A147="","",((K147)*(IF(M147="",L147,IFERROR(IF(INDEX(Variablen!$I:$AT, MATCH(M147, Variablen!$A:$A, 0), MATCH((YEAR(D147)+14), Variablen!$I$3:$AT$3, 0))="",L147,INDEX(Variablen!$I:$AT, MATCH(M147, Variablen!$A:$A, 0), MATCH((YEAR(D147)+14), Variablen!$I$3:$AT$3, 0))),L147)))*(IF((YEAR(D147)+14)&lt;YEAR(E147),0,IF((YEAR(D147)+14)&gt;YEAR(E147),1,(12-MONTH(E147)+1)/12))) + (Q147)*(IF((YEAR(D147)+14)&lt;YEAR(E147),0,IF((YEAR(D147)+14)&gt;YEAR(E147),1,(12-MONTH(E147)+1)/12))))-((P147)*(IF((YEAR(D147)+14)&lt;YEAR(E147),0,IF((YEAR(D147)+14)&gt;YEAR(E147),1,(12-MONTH(E147)+1)/12))) + (R147)*(IF((YEAR(D147)+14)&lt;YEAR(E147),0,IF((YEAR(D147)+14)&gt;YEAR(E147),1,(12-MONTH(E147)+1)/12))))-(IF((((K147)*(IF(M147="",L147,IFERROR(IF(INDEX(Variablen!$I:$AT, MATCH(M147, Variablen!$A:$A, 0), MATCH((YEAR(D147)+14), Variablen!$I$3:$AT$3, 0))="",L147,INDEX(Variablen!$I:$AT, MATCH(M147, Variablen!$A:$A, 0), MATCH((YEAR(D147)+14), Variablen!$I$3:$AT$3, 0))),L147)))*(IF((YEAR(D147)+14)&lt;YEAR(E147),0,IF((YEAR(D147)+14)&gt;YEAR(E147),1,(12-MONTH(E147)+1)/12))) + (Q147)*(IF((YEAR(D147)+14)&lt;YEAR(E147),0,IF((YEAR(D147)+14)&gt;YEAR(E147),1,(12-MONTH(E147)+1)/12))))-((P147)*(IF((YEAR(D147)+14)&lt;YEAR(E147),0,IF((YEAR(D147)+14)&gt;YEAR(E147),1,(12-MONTH(E147)+1)/12))) + (R147)*(IF((YEAR(D147)+14)&lt;YEAR(E147),0,IF((YEAR(D147)+14)&gt;YEAR(E147),1,(12-MONTH(E147)+1)/12))))-(IF(OR(N147="",N147&lt;=0),0,(O147/N147)*(IF(OR(N147="",N147&lt;=0),0,IF((YEAR(D147)+14)&lt;YEAR(E147),0,IF((YEAR(D147)+14)&gt;=YEAR(E147)+N147,0,IF((YEAR(D147)+14)=YEAR(E147),(12-MONTH(E147)+1)/12,1))))))))&gt;0,(((K147)*(IF(M147="",L147,IFERROR(IF(INDEX(Variablen!$I:$AT, MATCH(M147, Variablen!$A:$A, 0), MATCH((YEAR(D147)+14), Variablen!$I$3:$AT$3, 0))="",L147,INDEX(Variablen!$I:$AT, MATCH(M147, Variablen!$A:$A, 0), MATCH((YEAR(D147)+14), Variablen!$I$3:$AT$3, 0))),L147)))*(IF((YEAR(D147)+14)&lt;YEAR(E147),0,IF((YEAR(D147)+14)&gt;YEAR(E147),1,(12-MONTH(E147)+1)/12))) + (Q147)*(IF((YEAR(D147)+14)&lt;YEAR(E147),0,IF((YEAR(D147)+14)&gt;YEAR(E147),1,(12-MONTH(E147)+1)/12))))-((P147)*(IF((YEAR(D147)+14)&lt;YEAR(E147),0,IF((YEAR(D147)+14)&gt;YEAR(E147),1,(12-MONTH(E147)+1)/12))) + (R147)*(IF((YEAR(D147)+14)&lt;YEAR(E147),0,IF((YEAR(D147)+14)&gt;YEAR(E147),1,(12-MONTH(E147)+1)/12))))-(IF(OR(N147="",N147&lt;=0),0,(O147/N147)*(IF(OR(N147="",N147&lt;=0),0,IF((YEAR(D147)+14)&lt;YEAR(E147),0,IF((YEAR(D147)+14)&gt;=YEAR(E147)+N147,0,IF((YEAR(D147)+14)=YEAR(E147),(12-MONTH(E147)+1)/12,1))))))))*TaxRate,0))-IF(14=0,O147,0))</f>
        <v/>
      </c>
      <c r="AH147" s="29">
        <f>IF(A147="","",((K147)*(IF(M147="",L147,IFERROR(IF(INDEX(Variablen!$I:$AT, MATCH(M147, Variablen!$A:$A, 0), MATCH((YEAR(D147)+15), Variablen!$I$3:$AT$3, 0))="",L147,INDEX(Variablen!$I:$AT, MATCH(M147, Variablen!$A:$A, 0), MATCH((YEAR(D147)+15), Variablen!$I$3:$AT$3, 0))),L147)))*(IF((YEAR(D147)+15)&lt;YEAR(E147),0,IF((YEAR(D147)+15)&gt;YEAR(E147),1,(12-MONTH(E147)+1)/12))) + (Q147)*(IF((YEAR(D147)+15)&lt;YEAR(E147),0,IF((YEAR(D147)+15)&gt;YEAR(E147),1,(12-MONTH(E147)+1)/12))))-((P147)*(IF((YEAR(D147)+15)&lt;YEAR(E147),0,IF((YEAR(D147)+15)&gt;YEAR(E147),1,(12-MONTH(E147)+1)/12))) + (R147)*(IF((YEAR(D147)+15)&lt;YEAR(E147),0,IF((YEAR(D147)+15)&gt;YEAR(E147),1,(12-MONTH(E147)+1)/12))))-(IF((((K147)*(IF(M147="",L147,IFERROR(IF(INDEX(Variablen!$I:$AT, MATCH(M147, Variablen!$A:$A, 0), MATCH((YEAR(D147)+15), Variablen!$I$3:$AT$3, 0))="",L147,INDEX(Variablen!$I:$AT, MATCH(M147, Variablen!$A:$A, 0), MATCH((YEAR(D147)+15), Variablen!$I$3:$AT$3, 0))),L147)))*(IF((YEAR(D147)+15)&lt;YEAR(E147),0,IF((YEAR(D147)+15)&gt;YEAR(E147),1,(12-MONTH(E147)+1)/12))) + (Q147)*(IF((YEAR(D147)+15)&lt;YEAR(E147),0,IF((YEAR(D147)+15)&gt;YEAR(E147),1,(12-MONTH(E147)+1)/12))))-((P147)*(IF((YEAR(D147)+15)&lt;YEAR(E147),0,IF((YEAR(D147)+15)&gt;YEAR(E147),1,(12-MONTH(E147)+1)/12))) + (R147)*(IF((YEAR(D147)+15)&lt;YEAR(E147),0,IF((YEAR(D147)+15)&gt;YEAR(E147),1,(12-MONTH(E147)+1)/12))))-(IF(OR(N147="",N147&lt;=0),0,(O147/N147)*(IF(OR(N147="",N147&lt;=0),0,IF((YEAR(D147)+15)&lt;YEAR(E147),0,IF((YEAR(D147)+15)&gt;=YEAR(E147)+N147,0,IF((YEAR(D147)+15)=YEAR(E147),(12-MONTH(E147)+1)/12,1))))))))&gt;0,(((K147)*(IF(M147="",L147,IFERROR(IF(INDEX(Variablen!$I:$AT, MATCH(M147, Variablen!$A:$A, 0), MATCH((YEAR(D147)+15), Variablen!$I$3:$AT$3, 0))="",L147,INDEX(Variablen!$I:$AT, MATCH(M147, Variablen!$A:$A, 0), MATCH((YEAR(D147)+15), Variablen!$I$3:$AT$3, 0))),L147)))*(IF((YEAR(D147)+15)&lt;YEAR(E147),0,IF((YEAR(D147)+15)&gt;YEAR(E147),1,(12-MONTH(E147)+1)/12))) + (Q147)*(IF((YEAR(D147)+15)&lt;YEAR(E147),0,IF((YEAR(D147)+15)&gt;YEAR(E147),1,(12-MONTH(E147)+1)/12))))-((P147)*(IF((YEAR(D147)+15)&lt;YEAR(E147),0,IF((YEAR(D147)+15)&gt;YEAR(E147),1,(12-MONTH(E147)+1)/12))) + (R147)*(IF((YEAR(D147)+15)&lt;YEAR(E147),0,IF((YEAR(D147)+15)&gt;YEAR(E147),1,(12-MONTH(E147)+1)/12))))-(IF(OR(N147="",N147&lt;=0),0,(O147/N147)*(IF(OR(N147="",N147&lt;=0),0,IF((YEAR(D147)+15)&lt;YEAR(E147),0,IF((YEAR(D147)+15)&gt;=YEAR(E147)+N147,0,IF((YEAR(D147)+15)=YEAR(E147),(12-MONTH(E147)+1)/12,1))))))))*TaxRate,0))-IF(15=0,O147,0))</f>
        <v/>
      </c>
      <c r="AI147" s="29">
        <f>IF(A147="","",((K147)*(IF(M147="",L147,IFERROR(IF(INDEX(Variablen!$I:$AT, MATCH(M147, Variablen!$A:$A, 0), MATCH((YEAR(D147)+16), Variablen!$I$3:$AT$3, 0))="",L147,INDEX(Variablen!$I:$AT, MATCH(M147, Variablen!$A:$A, 0), MATCH((YEAR(D147)+16), Variablen!$I$3:$AT$3, 0))),L147)))*(IF((YEAR(D147)+16)&lt;YEAR(E147),0,IF((YEAR(D147)+16)&gt;YEAR(E147),1,(12-MONTH(E147)+1)/12))) + (Q147)*(IF((YEAR(D147)+16)&lt;YEAR(E147),0,IF((YEAR(D147)+16)&gt;YEAR(E147),1,(12-MONTH(E147)+1)/12))))-((P147)*(IF((YEAR(D147)+16)&lt;YEAR(E147),0,IF((YEAR(D147)+16)&gt;YEAR(E147),1,(12-MONTH(E147)+1)/12))) + (R147)*(IF((YEAR(D147)+16)&lt;YEAR(E147),0,IF((YEAR(D147)+16)&gt;YEAR(E147),1,(12-MONTH(E147)+1)/12))))-(IF((((K147)*(IF(M147="",L147,IFERROR(IF(INDEX(Variablen!$I:$AT, MATCH(M147, Variablen!$A:$A, 0), MATCH((YEAR(D147)+16), Variablen!$I$3:$AT$3, 0))="",L147,INDEX(Variablen!$I:$AT, MATCH(M147, Variablen!$A:$A, 0), MATCH((YEAR(D147)+16), Variablen!$I$3:$AT$3, 0))),L147)))*(IF((YEAR(D147)+16)&lt;YEAR(E147),0,IF((YEAR(D147)+16)&gt;YEAR(E147),1,(12-MONTH(E147)+1)/12))) + (Q147)*(IF((YEAR(D147)+16)&lt;YEAR(E147),0,IF((YEAR(D147)+16)&gt;YEAR(E147),1,(12-MONTH(E147)+1)/12))))-((P147)*(IF((YEAR(D147)+16)&lt;YEAR(E147),0,IF((YEAR(D147)+16)&gt;YEAR(E147),1,(12-MONTH(E147)+1)/12))) + (R147)*(IF((YEAR(D147)+16)&lt;YEAR(E147),0,IF((YEAR(D147)+16)&gt;YEAR(E147),1,(12-MONTH(E147)+1)/12))))-(IF(OR(N147="",N147&lt;=0),0,(O147/N147)*(IF(OR(N147="",N147&lt;=0),0,IF((YEAR(D147)+16)&lt;YEAR(E147),0,IF((YEAR(D147)+16)&gt;=YEAR(E147)+N147,0,IF((YEAR(D147)+16)=YEAR(E147),(12-MONTH(E147)+1)/12,1))))))))&gt;0,(((K147)*(IF(M147="",L147,IFERROR(IF(INDEX(Variablen!$I:$AT, MATCH(M147, Variablen!$A:$A, 0), MATCH((YEAR(D147)+16), Variablen!$I$3:$AT$3, 0))="",L147,INDEX(Variablen!$I:$AT, MATCH(M147, Variablen!$A:$A, 0), MATCH((YEAR(D147)+16), Variablen!$I$3:$AT$3, 0))),L147)))*(IF((YEAR(D147)+16)&lt;YEAR(E147),0,IF((YEAR(D147)+16)&gt;YEAR(E147),1,(12-MONTH(E147)+1)/12))) + (Q147)*(IF((YEAR(D147)+16)&lt;YEAR(E147),0,IF((YEAR(D147)+16)&gt;YEAR(E147),1,(12-MONTH(E147)+1)/12))))-((P147)*(IF((YEAR(D147)+16)&lt;YEAR(E147),0,IF((YEAR(D147)+16)&gt;YEAR(E147),1,(12-MONTH(E147)+1)/12))) + (R147)*(IF((YEAR(D147)+16)&lt;YEAR(E147),0,IF((YEAR(D147)+16)&gt;YEAR(E147),1,(12-MONTH(E147)+1)/12))))-(IF(OR(N147="",N147&lt;=0),0,(O147/N147)*(IF(OR(N147="",N147&lt;=0),0,IF((YEAR(D147)+16)&lt;YEAR(E147),0,IF((YEAR(D147)+16)&gt;=YEAR(E147)+N147,0,IF((YEAR(D147)+16)=YEAR(E147),(12-MONTH(E147)+1)/12,1))))))))*TaxRate,0))-IF(16=0,O147,0))</f>
        <v/>
      </c>
      <c r="AJ147" s="29">
        <f>IF(A147="","",((K147)*(IF(M147="",L147,IFERROR(IF(INDEX(Variablen!$I:$AT, MATCH(M147, Variablen!$A:$A, 0), MATCH((YEAR(D147)+17), Variablen!$I$3:$AT$3, 0))="",L147,INDEX(Variablen!$I:$AT, MATCH(M147, Variablen!$A:$A, 0), MATCH((YEAR(D147)+17), Variablen!$I$3:$AT$3, 0))),L147)))*(IF((YEAR(D147)+17)&lt;YEAR(E147),0,IF((YEAR(D147)+17)&gt;YEAR(E147),1,(12-MONTH(E147)+1)/12))) + (Q147)*(IF((YEAR(D147)+17)&lt;YEAR(E147),0,IF((YEAR(D147)+17)&gt;YEAR(E147),1,(12-MONTH(E147)+1)/12))))-((P147)*(IF((YEAR(D147)+17)&lt;YEAR(E147),0,IF((YEAR(D147)+17)&gt;YEAR(E147),1,(12-MONTH(E147)+1)/12))) + (R147)*(IF((YEAR(D147)+17)&lt;YEAR(E147),0,IF((YEAR(D147)+17)&gt;YEAR(E147),1,(12-MONTH(E147)+1)/12))))-(IF((((K147)*(IF(M147="",L147,IFERROR(IF(INDEX(Variablen!$I:$AT, MATCH(M147, Variablen!$A:$A, 0), MATCH((YEAR(D147)+17), Variablen!$I$3:$AT$3, 0))="",L147,INDEX(Variablen!$I:$AT, MATCH(M147, Variablen!$A:$A, 0), MATCH((YEAR(D147)+17), Variablen!$I$3:$AT$3, 0))),L147)))*(IF((YEAR(D147)+17)&lt;YEAR(E147),0,IF((YEAR(D147)+17)&gt;YEAR(E147),1,(12-MONTH(E147)+1)/12))) + (Q147)*(IF((YEAR(D147)+17)&lt;YEAR(E147),0,IF((YEAR(D147)+17)&gt;YEAR(E147),1,(12-MONTH(E147)+1)/12))))-((P147)*(IF((YEAR(D147)+17)&lt;YEAR(E147),0,IF((YEAR(D147)+17)&gt;YEAR(E147),1,(12-MONTH(E147)+1)/12))) + (R147)*(IF((YEAR(D147)+17)&lt;YEAR(E147),0,IF((YEAR(D147)+17)&gt;YEAR(E147),1,(12-MONTH(E147)+1)/12))))-(IF(OR(N147="",N147&lt;=0),0,(O147/N147)*(IF(OR(N147="",N147&lt;=0),0,IF((YEAR(D147)+17)&lt;YEAR(E147),0,IF((YEAR(D147)+17)&gt;=YEAR(E147)+N147,0,IF((YEAR(D147)+17)=YEAR(E147),(12-MONTH(E147)+1)/12,1))))))))&gt;0,(((K147)*(IF(M147="",L147,IFERROR(IF(INDEX(Variablen!$I:$AT, MATCH(M147, Variablen!$A:$A, 0), MATCH((YEAR(D147)+17), Variablen!$I$3:$AT$3, 0))="",L147,INDEX(Variablen!$I:$AT, MATCH(M147, Variablen!$A:$A, 0), MATCH((YEAR(D147)+17), Variablen!$I$3:$AT$3, 0))),L147)))*(IF((YEAR(D147)+17)&lt;YEAR(E147),0,IF((YEAR(D147)+17)&gt;YEAR(E147),1,(12-MONTH(E147)+1)/12))) + (Q147)*(IF((YEAR(D147)+17)&lt;YEAR(E147),0,IF((YEAR(D147)+17)&gt;YEAR(E147),1,(12-MONTH(E147)+1)/12))))-((P147)*(IF((YEAR(D147)+17)&lt;YEAR(E147),0,IF((YEAR(D147)+17)&gt;YEAR(E147),1,(12-MONTH(E147)+1)/12))) + (R147)*(IF((YEAR(D147)+17)&lt;YEAR(E147),0,IF((YEAR(D147)+17)&gt;YEAR(E147),1,(12-MONTH(E147)+1)/12))))-(IF(OR(N147="",N147&lt;=0),0,(O147/N147)*(IF(OR(N147="",N147&lt;=0),0,IF((YEAR(D147)+17)&lt;YEAR(E147),0,IF((YEAR(D147)+17)&gt;=YEAR(E147)+N147,0,IF((YEAR(D147)+17)=YEAR(E147),(12-MONTH(E147)+1)/12,1))))))))*TaxRate,0))-IF(17=0,O147,0))</f>
        <v/>
      </c>
      <c r="AK147" s="29">
        <f>IF(A147="","",((K147)*(IF(M147="",L147,IFERROR(IF(INDEX(Variablen!$I:$AT, MATCH(M147, Variablen!$A:$A, 0), MATCH((YEAR(D147)+18), Variablen!$I$3:$AT$3, 0))="",L147,INDEX(Variablen!$I:$AT, MATCH(M147, Variablen!$A:$A, 0), MATCH((YEAR(D147)+18), Variablen!$I$3:$AT$3, 0))),L147)))*(IF((YEAR(D147)+18)&lt;YEAR(E147),0,IF((YEAR(D147)+18)&gt;YEAR(E147),1,(12-MONTH(E147)+1)/12))) + (Q147)*(IF((YEAR(D147)+18)&lt;YEAR(E147),0,IF((YEAR(D147)+18)&gt;YEAR(E147),1,(12-MONTH(E147)+1)/12))))-((P147)*(IF((YEAR(D147)+18)&lt;YEAR(E147),0,IF((YEAR(D147)+18)&gt;YEAR(E147),1,(12-MONTH(E147)+1)/12))) + (R147)*(IF((YEAR(D147)+18)&lt;YEAR(E147),0,IF((YEAR(D147)+18)&gt;YEAR(E147),1,(12-MONTH(E147)+1)/12))))-(IF((((K147)*(IF(M147="",L147,IFERROR(IF(INDEX(Variablen!$I:$AT, MATCH(M147, Variablen!$A:$A, 0), MATCH((YEAR(D147)+18), Variablen!$I$3:$AT$3, 0))="",L147,INDEX(Variablen!$I:$AT, MATCH(M147, Variablen!$A:$A, 0), MATCH((YEAR(D147)+18), Variablen!$I$3:$AT$3, 0))),L147)))*(IF((YEAR(D147)+18)&lt;YEAR(E147),0,IF((YEAR(D147)+18)&gt;YEAR(E147),1,(12-MONTH(E147)+1)/12))) + (Q147)*(IF((YEAR(D147)+18)&lt;YEAR(E147),0,IF((YEAR(D147)+18)&gt;YEAR(E147),1,(12-MONTH(E147)+1)/12))))-((P147)*(IF((YEAR(D147)+18)&lt;YEAR(E147),0,IF((YEAR(D147)+18)&gt;YEAR(E147),1,(12-MONTH(E147)+1)/12))) + (R147)*(IF((YEAR(D147)+18)&lt;YEAR(E147),0,IF((YEAR(D147)+18)&gt;YEAR(E147),1,(12-MONTH(E147)+1)/12))))-(IF(OR(N147="",N147&lt;=0),0,(O147/N147)*(IF(OR(N147="",N147&lt;=0),0,IF((YEAR(D147)+18)&lt;YEAR(E147),0,IF((YEAR(D147)+18)&gt;=YEAR(E147)+N147,0,IF((YEAR(D147)+18)=YEAR(E147),(12-MONTH(E147)+1)/12,1))))))))&gt;0,(((K147)*(IF(M147="",L147,IFERROR(IF(INDEX(Variablen!$I:$AT, MATCH(M147, Variablen!$A:$A, 0), MATCH((YEAR(D147)+18), Variablen!$I$3:$AT$3, 0))="",L147,INDEX(Variablen!$I:$AT, MATCH(M147, Variablen!$A:$A, 0), MATCH((YEAR(D147)+18), Variablen!$I$3:$AT$3, 0))),L147)))*(IF((YEAR(D147)+18)&lt;YEAR(E147),0,IF((YEAR(D147)+18)&gt;YEAR(E147),1,(12-MONTH(E147)+1)/12))) + (Q147)*(IF((YEAR(D147)+18)&lt;YEAR(E147),0,IF((YEAR(D147)+18)&gt;YEAR(E147),1,(12-MONTH(E147)+1)/12))))-((P147)*(IF((YEAR(D147)+18)&lt;YEAR(E147),0,IF((YEAR(D147)+18)&gt;YEAR(E147),1,(12-MONTH(E147)+1)/12))) + (R147)*(IF((YEAR(D147)+18)&lt;YEAR(E147),0,IF((YEAR(D147)+18)&gt;YEAR(E147),1,(12-MONTH(E147)+1)/12))))-(IF(OR(N147="",N147&lt;=0),0,(O147/N147)*(IF(OR(N147="",N147&lt;=0),0,IF((YEAR(D147)+18)&lt;YEAR(E147),0,IF((YEAR(D147)+18)&gt;=YEAR(E147)+N147,0,IF((YEAR(D147)+18)=YEAR(E147),(12-MONTH(E147)+1)/12,1))))))))*TaxRate,0))-IF(18=0,O147,0))</f>
        <v/>
      </c>
      <c r="AL147" s="29">
        <f>IF(A147="","",((K147)*(IF(M147="",L147,IFERROR(IF(INDEX(Variablen!$I:$AT, MATCH(M147, Variablen!$A:$A, 0), MATCH((YEAR(D147)+19), Variablen!$I$3:$AT$3, 0))="",L147,INDEX(Variablen!$I:$AT, MATCH(M147, Variablen!$A:$A, 0), MATCH((YEAR(D147)+19), Variablen!$I$3:$AT$3, 0))),L147)))*(IF((YEAR(D147)+19)&lt;YEAR(E147),0,IF((YEAR(D147)+19)&gt;YEAR(E147),1,(12-MONTH(E147)+1)/12))) + (Q147)*(IF((YEAR(D147)+19)&lt;YEAR(E147),0,IF((YEAR(D147)+19)&gt;YEAR(E147),1,(12-MONTH(E147)+1)/12))))-((P147)*(IF((YEAR(D147)+19)&lt;YEAR(E147),0,IF((YEAR(D147)+19)&gt;YEAR(E147),1,(12-MONTH(E147)+1)/12))) + (R147)*(IF((YEAR(D147)+19)&lt;YEAR(E147),0,IF((YEAR(D147)+19)&gt;YEAR(E147),1,(12-MONTH(E147)+1)/12))))-(IF((((K147)*(IF(M147="",L147,IFERROR(IF(INDEX(Variablen!$I:$AT, MATCH(M147, Variablen!$A:$A, 0), MATCH((YEAR(D147)+19), Variablen!$I$3:$AT$3, 0))="",L147,INDEX(Variablen!$I:$AT, MATCH(M147, Variablen!$A:$A, 0), MATCH((YEAR(D147)+19), Variablen!$I$3:$AT$3, 0))),L147)))*(IF((YEAR(D147)+19)&lt;YEAR(E147),0,IF((YEAR(D147)+19)&gt;YEAR(E147),1,(12-MONTH(E147)+1)/12))) + (Q147)*(IF((YEAR(D147)+19)&lt;YEAR(E147),0,IF((YEAR(D147)+19)&gt;YEAR(E147),1,(12-MONTH(E147)+1)/12))))-((P147)*(IF((YEAR(D147)+19)&lt;YEAR(E147),0,IF((YEAR(D147)+19)&gt;YEAR(E147),1,(12-MONTH(E147)+1)/12))) + (R147)*(IF((YEAR(D147)+19)&lt;YEAR(E147),0,IF((YEAR(D147)+19)&gt;YEAR(E147),1,(12-MONTH(E147)+1)/12))))-(IF(OR(N147="",N147&lt;=0),0,(O147/N147)*(IF(OR(N147="",N147&lt;=0),0,IF((YEAR(D147)+19)&lt;YEAR(E147),0,IF((YEAR(D147)+19)&gt;=YEAR(E147)+N147,0,IF((YEAR(D147)+19)=YEAR(E147),(12-MONTH(E147)+1)/12,1))))))))&gt;0,(((K147)*(IF(M147="",L147,IFERROR(IF(INDEX(Variablen!$I:$AT, MATCH(M147, Variablen!$A:$A, 0), MATCH((YEAR(D147)+19), Variablen!$I$3:$AT$3, 0))="",L147,INDEX(Variablen!$I:$AT, MATCH(M147, Variablen!$A:$A, 0), MATCH((YEAR(D147)+19), Variablen!$I$3:$AT$3, 0))),L147)))*(IF((YEAR(D147)+19)&lt;YEAR(E147),0,IF((YEAR(D147)+19)&gt;YEAR(E147),1,(12-MONTH(E147)+1)/12))) + (Q147)*(IF((YEAR(D147)+19)&lt;YEAR(E147),0,IF((YEAR(D147)+19)&gt;YEAR(E147),1,(12-MONTH(E147)+1)/12))))-((P147)*(IF((YEAR(D147)+19)&lt;YEAR(E147),0,IF((YEAR(D147)+19)&gt;YEAR(E147),1,(12-MONTH(E147)+1)/12))) + (R147)*(IF((YEAR(D147)+19)&lt;YEAR(E147),0,IF((YEAR(D147)+19)&gt;YEAR(E147),1,(12-MONTH(E147)+1)/12))))-(IF(OR(N147="",N147&lt;=0),0,(O147/N147)*(IF(OR(N147="",N147&lt;=0),0,IF((YEAR(D147)+19)&lt;YEAR(E147),0,IF((YEAR(D147)+19)&gt;=YEAR(E147)+N147,0,IF((YEAR(D147)+19)=YEAR(E147),(12-MONTH(E147)+1)/12,1))))))))*TaxRate,0))-IF(19=0,O147,0))</f>
        <v/>
      </c>
      <c r="AM147" s="29">
        <f>IF(A147="","",((K147)*(IF(M147="",L147,IFERROR(IF(INDEX(Variablen!$I:$AT, MATCH(M147, Variablen!$A:$A, 0), MATCH((YEAR(D147)+20), Variablen!$I$3:$AT$3, 0))="",L147,INDEX(Variablen!$I:$AT, MATCH(M147, Variablen!$A:$A, 0), MATCH((YEAR(D147)+20), Variablen!$I$3:$AT$3, 0))),L147)))*(IF((YEAR(D147)+20)&lt;YEAR(E147),0,IF((YEAR(D147)+20)&gt;YEAR(E147),1,(12-MONTH(E147)+1)/12))) + (Q147)*(IF((YEAR(D147)+20)&lt;YEAR(E147),0,IF((YEAR(D147)+20)&gt;YEAR(E147),1,(12-MONTH(E147)+1)/12))))-((P147)*(IF((YEAR(D147)+20)&lt;YEAR(E147),0,IF((YEAR(D147)+20)&gt;YEAR(E147),1,(12-MONTH(E147)+1)/12))) + (R147)*(IF((YEAR(D147)+20)&lt;YEAR(E147),0,IF((YEAR(D147)+20)&gt;YEAR(E147),1,(12-MONTH(E147)+1)/12))))-(IF((((K147)*(IF(M147="",L147,IFERROR(IF(INDEX(Variablen!$I:$AT, MATCH(M147, Variablen!$A:$A, 0), MATCH((YEAR(D147)+20), Variablen!$I$3:$AT$3, 0))="",L147,INDEX(Variablen!$I:$AT, MATCH(M147, Variablen!$A:$A, 0), MATCH((YEAR(D147)+20), Variablen!$I$3:$AT$3, 0))),L147)))*(IF((YEAR(D147)+20)&lt;YEAR(E147),0,IF((YEAR(D147)+20)&gt;YEAR(E147),1,(12-MONTH(E147)+1)/12))) + (Q147)*(IF((YEAR(D147)+20)&lt;YEAR(E147),0,IF((YEAR(D147)+20)&gt;YEAR(E147),1,(12-MONTH(E147)+1)/12))))-((P147)*(IF((YEAR(D147)+20)&lt;YEAR(E147),0,IF((YEAR(D147)+20)&gt;YEAR(E147),1,(12-MONTH(E147)+1)/12))) + (R147)*(IF((YEAR(D147)+20)&lt;YEAR(E147),0,IF((YEAR(D147)+20)&gt;YEAR(E147),1,(12-MONTH(E147)+1)/12))))-(IF(OR(N147="",N147&lt;=0),0,(O147/N147)*(IF(OR(N147="",N147&lt;=0),0,IF((YEAR(D147)+20)&lt;YEAR(E147),0,IF((YEAR(D147)+20)&gt;=YEAR(E147)+N147,0,IF((YEAR(D147)+20)=YEAR(E147),(12-MONTH(E147)+1)/12,1))))))))&gt;0,(((K147)*(IF(M147="",L147,IFERROR(IF(INDEX(Variablen!$I:$AT, MATCH(M147, Variablen!$A:$A, 0), MATCH((YEAR(D147)+20), Variablen!$I$3:$AT$3, 0))="",L147,INDEX(Variablen!$I:$AT, MATCH(M147, Variablen!$A:$A, 0), MATCH((YEAR(D147)+20), Variablen!$I$3:$AT$3, 0))),L147)))*(IF((YEAR(D147)+20)&lt;YEAR(E147),0,IF((YEAR(D147)+20)&gt;YEAR(E147),1,(12-MONTH(E147)+1)/12))) + (Q147)*(IF((YEAR(D147)+20)&lt;YEAR(E147),0,IF((YEAR(D147)+20)&gt;YEAR(E147),1,(12-MONTH(E147)+1)/12))))-((P147)*(IF((YEAR(D147)+20)&lt;YEAR(E147),0,IF((YEAR(D147)+20)&gt;YEAR(E147),1,(12-MONTH(E147)+1)/12))) + (R147)*(IF((YEAR(D147)+20)&lt;YEAR(E147),0,IF((YEAR(D147)+20)&gt;YEAR(E147),1,(12-MONTH(E147)+1)/12))))-(IF(OR(N147="",N147&lt;=0),0,(O147/N147)*(IF(OR(N147="",N147&lt;=0),0,IF((YEAR(D147)+20)&lt;YEAR(E147),0,IF((YEAR(D147)+20)&gt;=YEAR(E147)+N147,0,IF((YEAR(D147)+20)=YEAR(E147),(12-MONTH(E147)+1)/12,1))))))))*TaxRate,0))-IF(20=0,O147,0))</f>
        <v/>
      </c>
      <c r="AN147" s="29">
        <f>IF(A147="","",S147)</f>
        <v/>
      </c>
      <c r="AO147" s="29">
        <f>IF(A147="","",AN147+T147)</f>
        <v/>
      </c>
      <c r="AP147" s="29">
        <f>IF(A147="","",AO147+U147)</f>
        <v/>
      </c>
      <c r="AQ147" s="29">
        <f>IF(A147="","",AP147+V147)</f>
        <v/>
      </c>
      <c r="AR147" s="29">
        <f>IF(A147="","",AQ147+W147)</f>
        <v/>
      </c>
      <c r="AS147" s="29">
        <f>IF(A147="","",AR147+X147)</f>
        <v/>
      </c>
      <c r="AT147" s="29">
        <f>IF(A147="","",AS147+Y147)</f>
        <v/>
      </c>
      <c r="AU147" s="29">
        <f>IF(A147="","",AT147+Z147)</f>
        <v/>
      </c>
      <c r="AV147" s="29">
        <f>IF(A147="","",AU147+AA147)</f>
        <v/>
      </c>
      <c r="AW147" s="29">
        <f>IF(A147="","",AV147+AB147)</f>
        <v/>
      </c>
      <c r="AX147" s="29">
        <f>IF(A147="","",AW147+AC147)</f>
        <v/>
      </c>
      <c r="AY147" s="29">
        <f>IF(A147="","",AX147+AD147)</f>
        <v/>
      </c>
      <c r="AZ147" s="29">
        <f>IF(A147="","",AY147+AE147)</f>
        <v/>
      </c>
      <c r="BA147" s="29">
        <f>IF(A147="","",AZ147+AF147)</f>
        <v/>
      </c>
      <c r="BB147" s="29">
        <f>IF(A147="","",BA147+AG147)</f>
        <v/>
      </c>
      <c r="BC147" s="29">
        <f>IF(A147="","",BB147+AH147)</f>
        <v/>
      </c>
      <c r="BD147" s="29">
        <f>IF(A147="","",BC147+AI147)</f>
        <v/>
      </c>
      <c r="BE147" s="29">
        <f>IF(A147="","",BD147+AJ147)</f>
        <v/>
      </c>
      <c r="BF147" s="29">
        <f>IF(A147="","",BE147+AK147)</f>
        <v/>
      </c>
      <c r="BG147" s="29">
        <f>IF(A147="","",BF147+AL147)</f>
        <v/>
      </c>
      <c r="BH147" s="29">
        <f>IF(A147="","",BG147+AM147)</f>
        <v/>
      </c>
      <c r="BI147" s="36">
        <f>IF(A147="","",(K147)*(IF((YEAR(D147)+0)&lt;YEAR(E147),0,IF((YEAR(D147)+0)&gt;YEAR(E147),1,(12-MONTH(E147)+1)/12)))*(1/(1+DiscountRate)^0))</f>
        <v/>
      </c>
      <c r="BJ147" s="36">
        <f>IF(A147="","",(K147)*(IF((YEAR(D147)+1)&lt;YEAR(E147),0,IF((YEAR(D147)+1)&gt;YEAR(E147),1,(12-MONTH(E147)+1)/12)))*(1/(1+DiscountRate)^1))</f>
        <v/>
      </c>
      <c r="BK147" s="36">
        <f>IF(A147="","",(K147)*(IF((YEAR(D147)+2)&lt;YEAR(E147),0,IF((YEAR(D147)+2)&gt;YEAR(E147),1,(12-MONTH(E147)+1)/12)))*(1/(1+DiscountRate)^2))</f>
        <v/>
      </c>
      <c r="BL147" s="36">
        <f>IF(A147="","",(K147)*(IF((YEAR(D147)+3)&lt;YEAR(E147),0,IF((YEAR(D147)+3)&gt;YEAR(E147),1,(12-MONTH(E147)+1)/12)))*(1/(1+DiscountRate)^3))</f>
        <v/>
      </c>
      <c r="BM147" s="36">
        <f>IF(A147="","",(K147)*(IF((YEAR(D147)+4)&lt;YEAR(E147),0,IF((YEAR(D147)+4)&gt;YEAR(E147),1,(12-MONTH(E147)+1)/12)))*(1/(1+DiscountRate)^4))</f>
        <v/>
      </c>
      <c r="BN147" s="36">
        <f>IF(A147="","",(K147)*(IF((YEAR(D147)+5)&lt;YEAR(E147),0,IF((YEAR(D147)+5)&gt;YEAR(E147),1,(12-MONTH(E147)+1)/12)))*(1/(1+DiscountRate)^5))</f>
        <v/>
      </c>
      <c r="BO147" s="36">
        <f>IF(A147="","",(K147)*(IF((YEAR(D147)+6)&lt;YEAR(E147),0,IF((YEAR(D147)+6)&gt;YEAR(E147),1,(12-MONTH(E147)+1)/12)))*(1/(1+DiscountRate)^6))</f>
        <v/>
      </c>
      <c r="BP147" s="36">
        <f>IF(A147="","",(K147)*(IF((YEAR(D147)+7)&lt;YEAR(E147),0,IF((YEAR(D147)+7)&gt;YEAR(E147),1,(12-MONTH(E147)+1)/12)))*(1/(1+DiscountRate)^7))</f>
        <v/>
      </c>
      <c r="BQ147" s="36">
        <f>IF(A147="","",(K147)*(IF((YEAR(D147)+8)&lt;YEAR(E147),0,IF((YEAR(D147)+8)&gt;YEAR(E147),1,(12-MONTH(E147)+1)/12)))*(1/(1+DiscountRate)^8))</f>
        <v/>
      </c>
      <c r="BR147" s="36">
        <f>IF(A147="","",(K147)*(IF((YEAR(D147)+9)&lt;YEAR(E147),0,IF((YEAR(D147)+9)&gt;YEAR(E147),1,(12-MONTH(E147)+1)/12)))*(1/(1+DiscountRate)^9))</f>
        <v/>
      </c>
      <c r="BS147" s="36">
        <f>IF(A147="","",(K147)*(IF((YEAR(D147)+10)&lt;YEAR(E147),0,IF((YEAR(D147)+10)&gt;YEAR(E147),1,(12-MONTH(E147)+1)/12)))*(1/(1+DiscountRate)^10))</f>
        <v/>
      </c>
      <c r="BT147" s="36">
        <f>IF(A147="","",(K147)*(IF((YEAR(D147)+11)&lt;YEAR(E147),0,IF((YEAR(D147)+11)&gt;YEAR(E147),1,(12-MONTH(E147)+1)/12)))*(1/(1+DiscountRate)^11))</f>
        <v/>
      </c>
      <c r="BU147" s="36">
        <f>IF(A147="","",(K147)*(IF((YEAR(D147)+12)&lt;YEAR(E147),0,IF((YEAR(D147)+12)&gt;YEAR(E147),1,(12-MONTH(E147)+1)/12)))*(1/(1+DiscountRate)^12))</f>
        <v/>
      </c>
      <c r="BV147" s="36">
        <f>IF(A147="","",(K147)*(IF((YEAR(D147)+13)&lt;YEAR(E147),0,IF((YEAR(D147)+13)&gt;YEAR(E147),1,(12-MONTH(E147)+1)/12)))*(1/(1+DiscountRate)^13))</f>
        <v/>
      </c>
      <c r="BW147" s="36">
        <f>IF(A147="","",(K147)*(IF((YEAR(D147)+14)&lt;YEAR(E147),0,IF((YEAR(D147)+14)&gt;YEAR(E147),1,(12-MONTH(E147)+1)/12)))*(1/(1+DiscountRate)^14))</f>
        <v/>
      </c>
      <c r="BX147" s="36">
        <f>IF(A147="","",(K147)*(IF((YEAR(D147)+15)&lt;YEAR(E147),0,IF((YEAR(D147)+15)&gt;YEAR(E147),1,(12-MONTH(E147)+1)/12)))*(1/(1+DiscountRate)^15))</f>
        <v/>
      </c>
      <c r="BY147" s="36">
        <f>IF(A147="","",(K147)*(IF((YEAR(D147)+16)&lt;YEAR(E147),0,IF((YEAR(D147)+16)&gt;YEAR(E147),1,(12-MONTH(E147)+1)/12)))*(1/(1+DiscountRate)^16))</f>
        <v/>
      </c>
      <c r="BZ147" s="36">
        <f>IF(A147="","",(K147)*(IF((YEAR(D147)+17)&lt;YEAR(E147),0,IF((YEAR(D147)+17)&gt;YEAR(E147),1,(12-MONTH(E147)+1)/12)))*(1/(1+DiscountRate)^17))</f>
        <v/>
      </c>
      <c r="CA147" s="36">
        <f>IF(A147="","",(K147)*(IF((YEAR(D147)+18)&lt;YEAR(E147),0,IF((YEAR(D147)+18)&gt;YEAR(E147),1,(12-MONTH(E147)+1)/12)))*(1/(1+DiscountRate)^18))</f>
        <v/>
      </c>
      <c r="CB147" s="36">
        <f>IF(A147="","",(K147)*(IF((YEAR(D147)+19)&lt;YEAR(E147),0,IF((YEAR(D147)+19)&gt;YEAR(E147),1,(12-MONTH(E147)+1)/12)))*(1/(1+DiscountRate)^19))</f>
        <v/>
      </c>
      <c r="CC147" s="36">
        <f>IF(A147="","",(K147)*(IF((YEAR(D147)+20)&lt;YEAR(E147),0,IF((YEAR(D147)+20)&gt;YEAR(E147),1,(12-MONTH(E147)+1)/12)))*(1/(1+DiscountRate)^20))</f>
        <v/>
      </c>
      <c r="CD147" s="29">
        <f>IF(A147="","",S147/(1+DiscountRate)^0+T147/(1+DiscountRate)^1+U147/(1+DiscountRate)^2+V147/(1+DiscountRate)^3+W147/(1+DiscountRate)^4+X147/(1+DiscountRate)^5+Y147/(1+DiscountRate)^6+Z147/(1+DiscountRate)^7+AA147/(1+DiscountRate)^8+AB147/(1+DiscountRate)^9+AC147/(1+DiscountRate)^10+AD147/(1+DiscountRate)^11+AE147/(1+DiscountRate)^12+AF147/(1+DiscountRate)^13+AG147/(1+DiscountRate)^14+AH147/(1+DiscountRate)^15+AI147/(1+DiscountRate)^16+AJ147/(1+DiscountRate)^17+AK147/(1+DiscountRate)^18+AL147/(1+DiscountRate)^19+AM147/(1+DiscountRate)^20)</f>
        <v/>
      </c>
      <c r="CE147" s="37">
        <f>IF(A147="","",IFERROR(IRR(OFFSET(S147,0,0,1,MIN(HorizonYears,20)+1)),"n/a"))</f>
        <v/>
      </c>
      <c r="CF147" s="28">
        <f>IF(A147="","",IFERROR(MATCH(TRUE,OFFSET(AN147,0,0,1,MIN(HorizonYears,20)+1)&gt;=0,0)-1,"n/a"))</f>
        <v/>
      </c>
      <c r="CG147" s="36">
        <f>IF(A147="","",SUM(OFFSET(BI147,0,0,1,MIN(HorizonYears,20)+1)))</f>
        <v/>
      </c>
      <c r="CH147" s="36">
        <f>IF(A147="","",IFERROR(-CD147/CG147,"n/a"))</f>
        <v/>
      </c>
    </row>
    <row r="148">
      <c r="A148" s="6">
        <f>Actions!A146</f>
        <v/>
      </c>
      <c r="B148" s="6">
        <f>Actions!B146</f>
        <v/>
      </c>
      <c r="C148" s="6">
        <f>Actions!D146</f>
        <v/>
      </c>
      <c r="D148" s="35">
        <f>Actions!E146</f>
        <v/>
      </c>
      <c r="E148" s="35">
        <f>Actions!F146</f>
        <v/>
      </c>
      <c r="F148" s="6">
        <f>Actions!G146</f>
        <v/>
      </c>
      <c r="G148" s="6">
        <f>Actions!H146</f>
        <v/>
      </c>
      <c r="H148" s="29">
        <f>Actions!I146</f>
        <v/>
      </c>
      <c r="I148" s="6">
        <f>Actions!J146</f>
        <v/>
      </c>
      <c r="J148" s="16">
        <f>Actions!K146</f>
        <v/>
      </c>
      <c r="K148" s="16">
        <f>IF(A148="","",IF(I148="%",H148*J148,J148))</f>
        <v/>
      </c>
      <c r="L148" s="16">
        <f>Actions!L146</f>
        <v/>
      </c>
      <c r="M148" s="6">
        <f>Actions!M146</f>
        <v/>
      </c>
      <c r="N148" s="28">
        <f>Actions!N146</f>
        <v/>
      </c>
      <c r="O148" s="29">
        <f>Actions!T146</f>
        <v/>
      </c>
      <c r="P148" s="29">
        <f>Actions!Y146</f>
        <v/>
      </c>
      <c r="Q148" s="29">
        <f>Actions!Z146</f>
        <v/>
      </c>
      <c r="R148" s="29">
        <f>Actions!AA146</f>
        <v/>
      </c>
      <c r="S148" s="29">
        <f>IF(A148="","",((K148)*(IF(M148="",L148,IFERROR(IF(INDEX(Variablen!$I:$AT, MATCH(M148, Variablen!$A:$A, 0), MATCH((YEAR(D148)+0), Variablen!$I$3:$AT$3, 0))="",L148,INDEX(Variablen!$I:$AT, MATCH(M148, Variablen!$A:$A, 0), MATCH((YEAR(D148)+0), Variablen!$I$3:$AT$3, 0))),L148)))*(IF((YEAR(D148)+0)&lt;YEAR(E148),0,IF((YEAR(D148)+0)&gt;YEAR(E148),1,(12-MONTH(E148)+1)/12))) + (Q148)*(IF((YEAR(D148)+0)&lt;YEAR(E148),0,IF((YEAR(D148)+0)&gt;YEAR(E148),1,(12-MONTH(E148)+1)/12))))-((P148)*(IF((YEAR(D148)+0)&lt;YEAR(E148),0,IF((YEAR(D148)+0)&gt;YEAR(E148),1,(12-MONTH(E148)+1)/12))) + (R148)*(IF((YEAR(D148)+0)&lt;YEAR(E148),0,IF((YEAR(D148)+0)&gt;YEAR(E148),1,(12-MONTH(E148)+1)/12))))-(IF((((K148)*(IF(M148="",L148,IFERROR(IF(INDEX(Variablen!$I:$AT, MATCH(M148, Variablen!$A:$A, 0), MATCH((YEAR(D148)+0), Variablen!$I$3:$AT$3, 0))="",L148,INDEX(Variablen!$I:$AT, MATCH(M148, Variablen!$A:$A, 0), MATCH((YEAR(D148)+0), Variablen!$I$3:$AT$3, 0))),L148)))*(IF((YEAR(D148)+0)&lt;YEAR(E148),0,IF((YEAR(D148)+0)&gt;YEAR(E148),1,(12-MONTH(E148)+1)/12))) + (Q148)*(IF((YEAR(D148)+0)&lt;YEAR(E148),0,IF((YEAR(D148)+0)&gt;YEAR(E148),1,(12-MONTH(E148)+1)/12))))-((P148)*(IF((YEAR(D148)+0)&lt;YEAR(E148),0,IF((YEAR(D148)+0)&gt;YEAR(E148),1,(12-MONTH(E148)+1)/12))) + (R148)*(IF((YEAR(D148)+0)&lt;YEAR(E148),0,IF((YEAR(D148)+0)&gt;YEAR(E148),1,(12-MONTH(E148)+1)/12))))-(IF(OR(N148="",N148&lt;=0),0,(O148/N148)*(IF(OR(N148="",N148&lt;=0),0,IF((YEAR(D148)+0)&lt;YEAR(E148),0,IF((YEAR(D148)+0)&gt;=YEAR(E148)+N148,0,IF((YEAR(D148)+0)=YEAR(E148),(12-MONTH(E148)+1)/12,1))))))))&gt;0,(((K148)*(IF(M148="",L148,IFERROR(IF(INDEX(Variablen!$I:$AT, MATCH(M148, Variablen!$A:$A, 0), MATCH((YEAR(D148)+0), Variablen!$I$3:$AT$3, 0))="",L148,INDEX(Variablen!$I:$AT, MATCH(M148, Variablen!$A:$A, 0), MATCH((YEAR(D148)+0), Variablen!$I$3:$AT$3, 0))),L148)))*(IF((YEAR(D148)+0)&lt;YEAR(E148),0,IF((YEAR(D148)+0)&gt;YEAR(E148),1,(12-MONTH(E148)+1)/12))) + (Q148)*(IF((YEAR(D148)+0)&lt;YEAR(E148),0,IF((YEAR(D148)+0)&gt;YEAR(E148),1,(12-MONTH(E148)+1)/12))))-((P148)*(IF((YEAR(D148)+0)&lt;YEAR(E148),0,IF((YEAR(D148)+0)&gt;YEAR(E148),1,(12-MONTH(E148)+1)/12))) + (R148)*(IF((YEAR(D148)+0)&lt;YEAR(E148),0,IF((YEAR(D148)+0)&gt;YEAR(E148),1,(12-MONTH(E148)+1)/12))))-(IF(OR(N148="",N148&lt;=0),0,(O148/N148)*(IF(OR(N148="",N148&lt;=0),0,IF((YEAR(D148)+0)&lt;YEAR(E148),0,IF((YEAR(D148)+0)&gt;=YEAR(E148)+N148,0,IF((YEAR(D148)+0)=YEAR(E148),(12-MONTH(E148)+1)/12,1))))))))*TaxRate,0))-IF(0=0,O148,0))</f>
        <v/>
      </c>
      <c r="T148" s="29">
        <f>IF(A148="","",((K148)*(IF(M148="",L148,IFERROR(IF(INDEX(Variablen!$I:$AT, MATCH(M148, Variablen!$A:$A, 0), MATCH((YEAR(D148)+1), Variablen!$I$3:$AT$3, 0))="",L148,INDEX(Variablen!$I:$AT, MATCH(M148, Variablen!$A:$A, 0), MATCH((YEAR(D148)+1), Variablen!$I$3:$AT$3, 0))),L148)))*(IF((YEAR(D148)+1)&lt;YEAR(E148),0,IF((YEAR(D148)+1)&gt;YEAR(E148),1,(12-MONTH(E148)+1)/12))) + (Q148)*(IF((YEAR(D148)+1)&lt;YEAR(E148),0,IF((YEAR(D148)+1)&gt;YEAR(E148),1,(12-MONTH(E148)+1)/12))))-((P148)*(IF((YEAR(D148)+1)&lt;YEAR(E148),0,IF((YEAR(D148)+1)&gt;YEAR(E148),1,(12-MONTH(E148)+1)/12))) + (R148)*(IF((YEAR(D148)+1)&lt;YEAR(E148),0,IF((YEAR(D148)+1)&gt;YEAR(E148),1,(12-MONTH(E148)+1)/12))))-(IF((((K148)*(IF(M148="",L148,IFERROR(IF(INDEX(Variablen!$I:$AT, MATCH(M148, Variablen!$A:$A, 0), MATCH((YEAR(D148)+1), Variablen!$I$3:$AT$3, 0))="",L148,INDEX(Variablen!$I:$AT, MATCH(M148, Variablen!$A:$A, 0), MATCH((YEAR(D148)+1), Variablen!$I$3:$AT$3, 0))),L148)))*(IF((YEAR(D148)+1)&lt;YEAR(E148),0,IF((YEAR(D148)+1)&gt;YEAR(E148),1,(12-MONTH(E148)+1)/12))) + (Q148)*(IF((YEAR(D148)+1)&lt;YEAR(E148),0,IF((YEAR(D148)+1)&gt;YEAR(E148),1,(12-MONTH(E148)+1)/12))))-((P148)*(IF((YEAR(D148)+1)&lt;YEAR(E148),0,IF((YEAR(D148)+1)&gt;YEAR(E148),1,(12-MONTH(E148)+1)/12))) + (R148)*(IF((YEAR(D148)+1)&lt;YEAR(E148),0,IF((YEAR(D148)+1)&gt;YEAR(E148),1,(12-MONTH(E148)+1)/12))))-(IF(OR(N148="",N148&lt;=0),0,(O148/N148)*(IF(OR(N148="",N148&lt;=0),0,IF((YEAR(D148)+1)&lt;YEAR(E148),0,IF((YEAR(D148)+1)&gt;=YEAR(E148)+N148,0,IF((YEAR(D148)+1)=YEAR(E148),(12-MONTH(E148)+1)/12,1))))))))&gt;0,(((K148)*(IF(M148="",L148,IFERROR(IF(INDEX(Variablen!$I:$AT, MATCH(M148, Variablen!$A:$A, 0), MATCH((YEAR(D148)+1), Variablen!$I$3:$AT$3, 0))="",L148,INDEX(Variablen!$I:$AT, MATCH(M148, Variablen!$A:$A, 0), MATCH((YEAR(D148)+1), Variablen!$I$3:$AT$3, 0))),L148)))*(IF((YEAR(D148)+1)&lt;YEAR(E148),0,IF((YEAR(D148)+1)&gt;YEAR(E148),1,(12-MONTH(E148)+1)/12))) + (Q148)*(IF((YEAR(D148)+1)&lt;YEAR(E148),0,IF((YEAR(D148)+1)&gt;YEAR(E148),1,(12-MONTH(E148)+1)/12))))-((P148)*(IF((YEAR(D148)+1)&lt;YEAR(E148),0,IF((YEAR(D148)+1)&gt;YEAR(E148),1,(12-MONTH(E148)+1)/12))) + (R148)*(IF((YEAR(D148)+1)&lt;YEAR(E148),0,IF((YEAR(D148)+1)&gt;YEAR(E148),1,(12-MONTH(E148)+1)/12))))-(IF(OR(N148="",N148&lt;=0),0,(O148/N148)*(IF(OR(N148="",N148&lt;=0),0,IF((YEAR(D148)+1)&lt;YEAR(E148),0,IF((YEAR(D148)+1)&gt;=YEAR(E148)+N148,0,IF((YEAR(D148)+1)=YEAR(E148),(12-MONTH(E148)+1)/12,1))))))))*TaxRate,0))-IF(1=0,O148,0))</f>
        <v/>
      </c>
      <c r="U148" s="29">
        <f>IF(A148="","",((K148)*(IF(M148="",L148,IFERROR(IF(INDEX(Variablen!$I:$AT, MATCH(M148, Variablen!$A:$A, 0), MATCH((YEAR(D148)+2), Variablen!$I$3:$AT$3, 0))="",L148,INDEX(Variablen!$I:$AT, MATCH(M148, Variablen!$A:$A, 0), MATCH((YEAR(D148)+2), Variablen!$I$3:$AT$3, 0))),L148)))*(IF((YEAR(D148)+2)&lt;YEAR(E148),0,IF((YEAR(D148)+2)&gt;YEAR(E148),1,(12-MONTH(E148)+1)/12))) + (Q148)*(IF((YEAR(D148)+2)&lt;YEAR(E148),0,IF((YEAR(D148)+2)&gt;YEAR(E148),1,(12-MONTH(E148)+1)/12))))-((P148)*(IF((YEAR(D148)+2)&lt;YEAR(E148),0,IF((YEAR(D148)+2)&gt;YEAR(E148),1,(12-MONTH(E148)+1)/12))) + (R148)*(IF((YEAR(D148)+2)&lt;YEAR(E148),0,IF((YEAR(D148)+2)&gt;YEAR(E148),1,(12-MONTH(E148)+1)/12))))-(IF((((K148)*(IF(M148="",L148,IFERROR(IF(INDEX(Variablen!$I:$AT, MATCH(M148, Variablen!$A:$A, 0), MATCH((YEAR(D148)+2), Variablen!$I$3:$AT$3, 0))="",L148,INDEX(Variablen!$I:$AT, MATCH(M148, Variablen!$A:$A, 0), MATCH((YEAR(D148)+2), Variablen!$I$3:$AT$3, 0))),L148)))*(IF((YEAR(D148)+2)&lt;YEAR(E148),0,IF((YEAR(D148)+2)&gt;YEAR(E148),1,(12-MONTH(E148)+1)/12))) + (Q148)*(IF((YEAR(D148)+2)&lt;YEAR(E148),0,IF((YEAR(D148)+2)&gt;YEAR(E148),1,(12-MONTH(E148)+1)/12))))-((P148)*(IF((YEAR(D148)+2)&lt;YEAR(E148),0,IF((YEAR(D148)+2)&gt;YEAR(E148),1,(12-MONTH(E148)+1)/12))) + (R148)*(IF((YEAR(D148)+2)&lt;YEAR(E148),0,IF((YEAR(D148)+2)&gt;YEAR(E148),1,(12-MONTH(E148)+1)/12))))-(IF(OR(N148="",N148&lt;=0),0,(O148/N148)*(IF(OR(N148="",N148&lt;=0),0,IF((YEAR(D148)+2)&lt;YEAR(E148),0,IF((YEAR(D148)+2)&gt;=YEAR(E148)+N148,0,IF((YEAR(D148)+2)=YEAR(E148),(12-MONTH(E148)+1)/12,1))))))))&gt;0,(((K148)*(IF(M148="",L148,IFERROR(IF(INDEX(Variablen!$I:$AT, MATCH(M148, Variablen!$A:$A, 0), MATCH((YEAR(D148)+2), Variablen!$I$3:$AT$3, 0))="",L148,INDEX(Variablen!$I:$AT, MATCH(M148, Variablen!$A:$A, 0), MATCH((YEAR(D148)+2), Variablen!$I$3:$AT$3, 0))),L148)))*(IF((YEAR(D148)+2)&lt;YEAR(E148),0,IF((YEAR(D148)+2)&gt;YEAR(E148),1,(12-MONTH(E148)+1)/12))) + (Q148)*(IF((YEAR(D148)+2)&lt;YEAR(E148),0,IF((YEAR(D148)+2)&gt;YEAR(E148),1,(12-MONTH(E148)+1)/12))))-((P148)*(IF((YEAR(D148)+2)&lt;YEAR(E148),0,IF((YEAR(D148)+2)&gt;YEAR(E148),1,(12-MONTH(E148)+1)/12))) + (R148)*(IF((YEAR(D148)+2)&lt;YEAR(E148),0,IF((YEAR(D148)+2)&gt;YEAR(E148),1,(12-MONTH(E148)+1)/12))))-(IF(OR(N148="",N148&lt;=0),0,(O148/N148)*(IF(OR(N148="",N148&lt;=0),0,IF((YEAR(D148)+2)&lt;YEAR(E148),0,IF((YEAR(D148)+2)&gt;=YEAR(E148)+N148,0,IF((YEAR(D148)+2)=YEAR(E148),(12-MONTH(E148)+1)/12,1))))))))*TaxRate,0))-IF(2=0,O148,0))</f>
        <v/>
      </c>
      <c r="V148" s="29">
        <f>IF(A148="","",((K148)*(IF(M148="",L148,IFERROR(IF(INDEX(Variablen!$I:$AT, MATCH(M148, Variablen!$A:$A, 0), MATCH((YEAR(D148)+3), Variablen!$I$3:$AT$3, 0))="",L148,INDEX(Variablen!$I:$AT, MATCH(M148, Variablen!$A:$A, 0), MATCH((YEAR(D148)+3), Variablen!$I$3:$AT$3, 0))),L148)))*(IF((YEAR(D148)+3)&lt;YEAR(E148),0,IF((YEAR(D148)+3)&gt;YEAR(E148),1,(12-MONTH(E148)+1)/12))) + (Q148)*(IF((YEAR(D148)+3)&lt;YEAR(E148),0,IF((YEAR(D148)+3)&gt;YEAR(E148),1,(12-MONTH(E148)+1)/12))))-((P148)*(IF((YEAR(D148)+3)&lt;YEAR(E148),0,IF((YEAR(D148)+3)&gt;YEAR(E148),1,(12-MONTH(E148)+1)/12))) + (R148)*(IF((YEAR(D148)+3)&lt;YEAR(E148),0,IF((YEAR(D148)+3)&gt;YEAR(E148),1,(12-MONTH(E148)+1)/12))))-(IF((((K148)*(IF(M148="",L148,IFERROR(IF(INDEX(Variablen!$I:$AT, MATCH(M148, Variablen!$A:$A, 0), MATCH((YEAR(D148)+3), Variablen!$I$3:$AT$3, 0))="",L148,INDEX(Variablen!$I:$AT, MATCH(M148, Variablen!$A:$A, 0), MATCH((YEAR(D148)+3), Variablen!$I$3:$AT$3, 0))),L148)))*(IF((YEAR(D148)+3)&lt;YEAR(E148),0,IF((YEAR(D148)+3)&gt;YEAR(E148),1,(12-MONTH(E148)+1)/12))) + (Q148)*(IF((YEAR(D148)+3)&lt;YEAR(E148),0,IF((YEAR(D148)+3)&gt;YEAR(E148),1,(12-MONTH(E148)+1)/12))))-((P148)*(IF((YEAR(D148)+3)&lt;YEAR(E148),0,IF((YEAR(D148)+3)&gt;YEAR(E148),1,(12-MONTH(E148)+1)/12))) + (R148)*(IF((YEAR(D148)+3)&lt;YEAR(E148),0,IF((YEAR(D148)+3)&gt;YEAR(E148),1,(12-MONTH(E148)+1)/12))))-(IF(OR(N148="",N148&lt;=0),0,(O148/N148)*(IF(OR(N148="",N148&lt;=0),0,IF((YEAR(D148)+3)&lt;YEAR(E148),0,IF((YEAR(D148)+3)&gt;=YEAR(E148)+N148,0,IF((YEAR(D148)+3)=YEAR(E148),(12-MONTH(E148)+1)/12,1))))))))&gt;0,(((K148)*(IF(M148="",L148,IFERROR(IF(INDEX(Variablen!$I:$AT, MATCH(M148, Variablen!$A:$A, 0), MATCH((YEAR(D148)+3), Variablen!$I$3:$AT$3, 0))="",L148,INDEX(Variablen!$I:$AT, MATCH(M148, Variablen!$A:$A, 0), MATCH((YEAR(D148)+3), Variablen!$I$3:$AT$3, 0))),L148)))*(IF((YEAR(D148)+3)&lt;YEAR(E148),0,IF((YEAR(D148)+3)&gt;YEAR(E148),1,(12-MONTH(E148)+1)/12))) + (Q148)*(IF((YEAR(D148)+3)&lt;YEAR(E148),0,IF((YEAR(D148)+3)&gt;YEAR(E148),1,(12-MONTH(E148)+1)/12))))-((P148)*(IF((YEAR(D148)+3)&lt;YEAR(E148),0,IF((YEAR(D148)+3)&gt;YEAR(E148),1,(12-MONTH(E148)+1)/12))) + (R148)*(IF((YEAR(D148)+3)&lt;YEAR(E148),0,IF((YEAR(D148)+3)&gt;YEAR(E148),1,(12-MONTH(E148)+1)/12))))-(IF(OR(N148="",N148&lt;=0),0,(O148/N148)*(IF(OR(N148="",N148&lt;=0),0,IF((YEAR(D148)+3)&lt;YEAR(E148),0,IF((YEAR(D148)+3)&gt;=YEAR(E148)+N148,0,IF((YEAR(D148)+3)=YEAR(E148),(12-MONTH(E148)+1)/12,1))))))))*TaxRate,0))-IF(3=0,O148,0))</f>
        <v/>
      </c>
      <c r="W148" s="29">
        <f>IF(A148="","",((K148)*(IF(M148="",L148,IFERROR(IF(INDEX(Variablen!$I:$AT, MATCH(M148, Variablen!$A:$A, 0), MATCH((YEAR(D148)+4), Variablen!$I$3:$AT$3, 0))="",L148,INDEX(Variablen!$I:$AT, MATCH(M148, Variablen!$A:$A, 0), MATCH((YEAR(D148)+4), Variablen!$I$3:$AT$3, 0))),L148)))*(IF((YEAR(D148)+4)&lt;YEAR(E148),0,IF((YEAR(D148)+4)&gt;YEAR(E148),1,(12-MONTH(E148)+1)/12))) + (Q148)*(IF((YEAR(D148)+4)&lt;YEAR(E148),0,IF((YEAR(D148)+4)&gt;YEAR(E148),1,(12-MONTH(E148)+1)/12))))-((P148)*(IF((YEAR(D148)+4)&lt;YEAR(E148),0,IF((YEAR(D148)+4)&gt;YEAR(E148),1,(12-MONTH(E148)+1)/12))) + (R148)*(IF((YEAR(D148)+4)&lt;YEAR(E148),0,IF((YEAR(D148)+4)&gt;YEAR(E148),1,(12-MONTH(E148)+1)/12))))-(IF((((K148)*(IF(M148="",L148,IFERROR(IF(INDEX(Variablen!$I:$AT, MATCH(M148, Variablen!$A:$A, 0), MATCH((YEAR(D148)+4), Variablen!$I$3:$AT$3, 0))="",L148,INDEX(Variablen!$I:$AT, MATCH(M148, Variablen!$A:$A, 0), MATCH((YEAR(D148)+4), Variablen!$I$3:$AT$3, 0))),L148)))*(IF((YEAR(D148)+4)&lt;YEAR(E148),0,IF((YEAR(D148)+4)&gt;YEAR(E148),1,(12-MONTH(E148)+1)/12))) + (Q148)*(IF((YEAR(D148)+4)&lt;YEAR(E148),0,IF((YEAR(D148)+4)&gt;YEAR(E148),1,(12-MONTH(E148)+1)/12))))-((P148)*(IF((YEAR(D148)+4)&lt;YEAR(E148),0,IF((YEAR(D148)+4)&gt;YEAR(E148),1,(12-MONTH(E148)+1)/12))) + (R148)*(IF((YEAR(D148)+4)&lt;YEAR(E148),0,IF((YEAR(D148)+4)&gt;YEAR(E148),1,(12-MONTH(E148)+1)/12))))-(IF(OR(N148="",N148&lt;=0),0,(O148/N148)*(IF(OR(N148="",N148&lt;=0),0,IF((YEAR(D148)+4)&lt;YEAR(E148),0,IF((YEAR(D148)+4)&gt;=YEAR(E148)+N148,0,IF((YEAR(D148)+4)=YEAR(E148),(12-MONTH(E148)+1)/12,1))))))))&gt;0,(((K148)*(IF(M148="",L148,IFERROR(IF(INDEX(Variablen!$I:$AT, MATCH(M148, Variablen!$A:$A, 0), MATCH((YEAR(D148)+4), Variablen!$I$3:$AT$3, 0))="",L148,INDEX(Variablen!$I:$AT, MATCH(M148, Variablen!$A:$A, 0), MATCH((YEAR(D148)+4), Variablen!$I$3:$AT$3, 0))),L148)))*(IF((YEAR(D148)+4)&lt;YEAR(E148),0,IF((YEAR(D148)+4)&gt;YEAR(E148),1,(12-MONTH(E148)+1)/12))) + (Q148)*(IF((YEAR(D148)+4)&lt;YEAR(E148),0,IF((YEAR(D148)+4)&gt;YEAR(E148),1,(12-MONTH(E148)+1)/12))))-((P148)*(IF((YEAR(D148)+4)&lt;YEAR(E148),0,IF((YEAR(D148)+4)&gt;YEAR(E148),1,(12-MONTH(E148)+1)/12))) + (R148)*(IF((YEAR(D148)+4)&lt;YEAR(E148),0,IF((YEAR(D148)+4)&gt;YEAR(E148),1,(12-MONTH(E148)+1)/12))))-(IF(OR(N148="",N148&lt;=0),0,(O148/N148)*(IF(OR(N148="",N148&lt;=0),0,IF((YEAR(D148)+4)&lt;YEAR(E148),0,IF((YEAR(D148)+4)&gt;=YEAR(E148)+N148,0,IF((YEAR(D148)+4)=YEAR(E148),(12-MONTH(E148)+1)/12,1))))))))*TaxRate,0))-IF(4=0,O148,0))</f>
        <v/>
      </c>
      <c r="X148" s="29">
        <f>IF(A148="","",((K148)*(IF(M148="",L148,IFERROR(IF(INDEX(Variablen!$I:$AT, MATCH(M148, Variablen!$A:$A, 0), MATCH((YEAR(D148)+5), Variablen!$I$3:$AT$3, 0))="",L148,INDEX(Variablen!$I:$AT, MATCH(M148, Variablen!$A:$A, 0), MATCH((YEAR(D148)+5), Variablen!$I$3:$AT$3, 0))),L148)))*(IF((YEAR(D148)+5)&lt;YEAR(E148),0,IF((YEAR(D148)+5)&gt;YEAR(E148),1,(12-MONTH(E148)+1)/12))) + (Q148)*(IF((YEAR(D148)+5)&lt;YEAR(E148),0,IF((YEAR(D148)+5)&gt;YEAR(E148),1,(12-MONTH(E148)+1)/12))))-((P148)*(IF((YEAR(D148)+5)&lt;YEAR(E148),0,IF((YEAR(D148)+5)&gt;YEAR(E148),1,(12-MONTH(E148)+1)/12))) + (R148)*(IF((YEAR(D148)+5)&lt;YEAR(E148),0,IF((YEAR(D148)+5)&gt;YEAR(E148),1,(12-MONTH(E148)+1)/12))))-(IF((((K148)*(IF(M148="",L148,IFERROR(IF(INDEX(Variablen!$I:$AT, MATCH(M148, Variablen!$A:$A, 0), MATCH((YEAR(D148)+5), Variablen!$I$3:$AT$3, 0))="",L148,INDEX(Variablen!$I:$AT, MATCH(M148, Variablen!$A:$A, 0), MATCH((YEAR(D148)+5), Variablen!$I$3:$AT$3, 0))),L148)))*(IF((YEAR(D148)+5)&lt;YEAR(E148),0,IF((YEAR(D148)+5)&gt;YEAR(E148),1,(12-MONTH(E148)+1)/12))) + (Q148)*(IF((YEAR(D148)+5)&lt;YEAR(E148),0,IF((YEAR(D148)+5)&gt;YEAR(E148),1,(12-MONTH(E148)+1)/12))))-((P148)*(IF((YEAR(D148)+5)&lt;YEAR(E148),0,IF((YEAR(D148)+5)&gt;YEAR(E148),1,(12-MONTH(E148)+1)/12))) + (R148)*(IF((YEAR(D148)+5)&lt;YEAR(E148),0,IF((YEAR(D148)+5)&gt;YEAR(E148),1,(12-MONTH(E148)+1)/12))))-(IF(OR(N148="",N148&lt;=0),0,(O148/N148)*(IF(OR(N148="",N148&lt;=0),0,IF((YEAR(D148)+5)&lt;YEAR(E148),0,IF((YEAR(D148)+5)&gt;=YEAR(E148)+N148,0,IF((YEAR(D148)+5)=YEAR(E148),(12-MONTH(E148)+1)/12,1))))))))&gt;0,(((K148)*(IF(M148="",L148,IFERROR(IF(INDEX(Variablen!$I:$AT, MATCH(M148, Variablen!$A:$A, 0), MATCH((YEAR(D148)+5), Variablen!$I$3:$AT$3, 0))="",L148,INDEX(Variablen!$I:$AT, MATCH(M148, Variablen!$A:$A, 0), MATCH((YEAR(D148)+5), Variablen!$I$3:$AT$3, 0))),L148)))*(IF((YEAR(D148)+5)&lt;YEAR(E148),0,IF((YEAR(D148)+5)&gt;YEAR(E148),1,(12-MONTH(E148)+1)/12))) + (Q148)*(IF((YEAR(D148)+5)&lt;YEAR(E148),0,IF((YEAR(D148)+5)&gt;YEAR(E148),1,(12-MONTH(E148)+1)/12))))-((P148)*(IF((YEAR(D148)+5)&lt;YEAR(E148),0,IF((YEAR(D148)+5)&gt;YEAR(E148),1,(12-MONTH(E148)+1)/12))) + (R148)*(IF((YEAR(D148)+5)&lt;YEAR(E148),0,IF((YEAR(D148)+5)&gt;YEAR(E148),1,(12-MONTH(E148)+1)/12))))-(IF(OR(N148="",N148&lt;=0),0,(O148/N148)*(IF(OR(N148="",N148&lt;=0),0,IF((YEAR(D148)+5)&lt;YEAR(E148),0,IF((YEAR(D148)+5)&gt;=YEAR(E148)+N148,0,IF((YEAR(D148)+5)=YEAR(E148),(12-MONTH(E148)+1)/12,1))))))))*TaxRate,0))-IF(5=0,O148,0))</f>
        <v/>
      </c>
      <c r="Y148" s="29">
        <f>IF(A148="","",((K148)*(IF(M148="",L148,IFERROR(IF(INDEX(Variablen!$I:$AT, MATCH(M148, Variablen!$A:$A, 0), MATCH((YEAR(D148)+6), Variablen!$I$3:$AT$3, 0))="",L148,INDEX(Variablen!$I:$AT, MATCH(M148, Variablen!$A:$A, 0), MATCH((YEAR(D148)+6), Variablen!$I$3:$AT$3, 0))),L148)))*(IF((YEAR(D148)+6)&lt;YEAR(E148),0,IF((YEAR(D148)+6)&gt;YEAR(E148),1,(12-MONTH(E148)+1)/12))) + (Q148)*(IF((YEAR(D148)+6)&lt;YEAR(E148),0,IF((YEAR(D148)+6)&gt;YEAR(E148),1,(12-MONTH(E148)+1)/12))))-((P148)*(IF((YEAR(D148)+6)&lt;YEAR(E148),0,IF((YEAR(D148)+6)&gt;YEAR(E148),1,(12-MONTH(E148)+1)/12))) + (R148)*(IF((YEAR(D148)+6)&lt;YEAR(E148),0,IF((YEAR(D148)+6)&gt;YEAR(E148),1,(12-MONTH(E148)+1)/12))))-(IF((((K148)*(IF(M148="",L148,IFERROR(IF(INDEX(Variablen!$I:$AT, MATCH(M148, Variablen!$A:$A, 0), MATCH((YEAR(D148)+6), Variablen!$I$3:$AT$3, 0))="",L148,INDEX(Variablen!$I:$AT, MATCH(M148, Variablen!$A:$A, 0), MATCH((YEAR(D148)+6), Variablen!$I$3:$AT$3, 0))),L148)))*(IF((YEAR(D148)+6)&lt;YEAR(E148),0,IF((YEAR(D148)+6)&gt;YEAR(E148),1,(12-MONTH(E148)+1)/12))) + (Q148)*(IF((YEAR(D148)+6)&lt;YEAR(E148),0,IF((YEAR(D148)+6)&gt;YEAR(E148),1,(12-MONTH(E148)+1)/12))))-((P148)*(IF((YEAR(D148)+6)&lt;YEAR(E148),0,IF((YEAR(D148)+6)&gt;YEAR(E148),1,(12-MONTH(E148)+1)/12))) + (R148)*(IF((YEAR(D148)+6)&lt;YEAR(E148),0,IF((YEAR(D148)+6)&gt;YEAR(E148),1,(12-MONTH(E148)+1)/12))))-(IF(OR(N148="",N148&lt;=0),0,(O148/N148)*(IF(OR(N148="",N148&lt;=0),0,IF((YEAR(D148)+6)&lt;YEAR(E148),0,IF((YEAR(D148)+6)&gt;=YEAR(E148)+N148,0,IF((YEAR(D148)+6)=YEAR(E148),(12-MONTH(E148)+1)/12,1))))))))&gt;0,(((K148)*(IF(M148="",L148,IFERROR(IF(INDEX(Variablen!$I:$AT, MATCH(M148, Variablen!$A:$A, 0), MATCH((YEAR(D148)+6), Variablen!$I$3:$AT$3, 0))="",L148,INDEX(Variablen!$I:$AT, MATCH(M148, Variablen!$A:$A, 0), MATCH((YEAR(D148)+6), Variablen!$I$3:$AT$3, 0))),L148)))*(IF((YEAR(D148)+6)&lt;YEAR(E148),0,IF((YEAR(D148)+6)&gt;YEAR(E148),1,(12-MONTH(E148)+1)/12))) + (Q148)*(IF((YEAR(D148)+6)&lt;YEAR(E148),0,IF((YEAR(D148)+6)&gt;YEAR(E148),1,(12-MONTH(E148)+1)/12))))-((P148)*(IF((YEAR(D148)+6)&lt;YEAR(E148),0,IF((YEAR(D148)+6)&gt;YEAR(E148),1,(12-MONTH(E148)+1)/12))) + (R148)*(IF((YEAR(D148)+6)&lt;YEAR(E148),0,IF((YEAR(D148)+6)&gt;YEAR(E148),1,(12-MONTH(E148)+1)/12))))-(IF(OR(N148="",N148&lt;=0),0,(O148/N148)*(IF(OR(N148="",N148&lt;=0),0,IF((YEAR(D148)+6)&lt;YEAR(E148),0,IF((YEAR(D148)+6)&gt;=YEAR(E148)+N148,0,IF((YEAR(D148)+6)=YEAR(E148),(12-MONTH(E148)+1)/12,1))))))))*TaxRate,0))-IF(6=0,O148,0))</f>
        <v/>
      </c>
      <c r="Z148" s="29">
        <f>IF(A148="","",((K148)*(IF(M148="",L148,IFERROR(IF(INDEX(Variablen!$I:$AT, MATCH(M148, Variablen!$A:$A, 0), MATCH((YEAR(D148)+7), Variablen!$I$3:$AT$3, 0))="",L148,INDEX(Variablen!$I:$AT, MATCH(M148, Variablen!$A:$A, 0), MATCH((YEAR(D148)+7), Variablen!$I$3:$AT$3, 0))),L148)))*(IF((YEAR(D148)+7)&lt;YEAR(E148),0,IF((YEAR(D148)+7)&gt;YEAR(E148),1,(12-MONTH(E148)+1)/12))) + (Q148)*(IF((YEAR(D148)+7)&lt;YEAR(E148),0,IF((YEAR(D148)+7)&gt;YEAR(E148),1,(12-MONTH(E148)+1)/12))))-((P148)*(IF((YEAR(D148)+7)&lt;YEAR(E148),0,IF((YEAR(D148)+7)&gt;YEAR(E148),1,(12-MONTH(E148)+1)/12))) + (R148)*(IF((YEAR(D148)+7)&lt;YEAR(E148),0,IF((YEAR(D148)+7)&gt;YEAR(E148),1,(12-MONTH(E148)+1)/12))))-(IF((((K148)*(IF(M148="",L148,IFERROR(IF(INDEX(Variablen!$I:$AT, MATCH(M148, Variablen!$A:$A, 0), MATCH((YEAR(D148)+7), Variablen!$I$3:$AT$3, 0))="",L148,INDEX(Variablen!$I:$AT, MATCH(M148, Variablen!$A:$A, 0), MATCH((YEAR(D148)+7), Variablen!$I$3:$AT$3, 0))),L148)))*(IF((YEAR(D148)+7)&lt;YEAR(E148),0,IF((YEAR(D148)+7)&gt;YEAR(E148),1,(12-MONTH(E148)+1)/12))) + (Q148)*(IF((YEAR(D148)+7)&lt;YEAR(E148),0,IF((YEAR(D148)+7)&gt;YEAR(E148),1,(12-MONTH(E148)+1)/12))))-((P148)*(IF((YEAR(D148)+7)&lt;YEAR(E148),0,IF((YEAR(D148)+7)&gt;YEAR(E148),1,(12-MONTH(E148)+1)/12))) + (R148)*(IF((YEAR(D148)+7)&lt;YEAR(E148),0,IF((YEAR(D148)+7)&gt;YEAR(E148),1,(12-MONTH(E148)+1)/12))))-(IF(OR(N148="",N148&lt;=0),0,(O148/N148)*(IF(OR(N148="",N148&lt;=0),0,IF((YEAR(D148)+7)&lt;YEAR(E148),0,IF((YEAR(D148)+7)&gt;=YEAR(E148)+N148,0,IF((YEAR(D148)+7)=YEAR(E148),(12-MONTH(E148)+1)/12,1))))))))&gt;0,(((K148)*(IF(M148="",L148,IFERROR(IF(INDEX(Variablen!$I:$AT, MATCH(M148, Variablen!$A:$A, 0), MATCH((YEAR(D148)+7), Variablen!$I$3:$AT$3, 0))="",L148,INDEX(Variablen!$I:$AT, MATCH(M148, Variablen!$A:$A, 0), MATCH((YEAR(D148)+7), Variablen!$I$3:$AT$3, 0))),L148)))*(IF((YEAR(D148)+7)&lt;YEAR(E148),0,IF((YEAR(D148)+7)&gt;YEAR(E148),1,(12-MONTH(E148)+1)/12))) + (Q148)*(IF((YEAR(D148)+7)&lt;YEAR(E148),0,IF((YEAR(D148)+7)&gt;YEAR(E148),1,(12-MONTH(E148)+1)/12))))-((P148)*(IF((YEAR(D148)+7)&lt;YEAR(E148),0,IF((YEAR(D148)+7)&gt;YEAR(E148),1,(12-MONTH(E148)+1)/12))) + (R148)*(IF((YEAR(D148)+7)&lt;YEAR(E148),0,IF((YEAR(D148)+7)&gt;YEAR(E148),1,(12-MONTH(E148)+1)/12))))-(IF(OR(N148="",N148&lt;=0),0,(O148/N148)*(IF(OR(N148="",N148&lt;=0),0,IF((YEAR(D148)+7)&lt;YEAR(E148),0,IF((YEAR(D148)+7)&gt;=YEAR(E148)+N148,0,IF((YEAR(D148)+7)=YEAR(E148),(12-MONTH(E148)+1)/12,1))))))))*TaxRate,0))-IF(7=0,O148,0))</f>
        <v/>
      </c>
      <c r="AA148" s="29">
        <f>IF(A148="","",((K148)*(IF(M148="",L148,IFERROR(IF(INDEX(Variablen!$I:$AT, MATCH(M148, Variablen!$A:$A, 0), MATCH((YEAR(D148)+8), Variablen!$I$3:$AT$3, 0))="",L148,INDEX(Variablen!$I:$AT, MATCH(M148, Variablen!$A:$A, 0), MATCH((YEAR(D148)+8), Variablen!$I$3:$AT$3, 0))),L148)))*(IF((YEAR(D148)+8)&lt;YEAR(E148),0,IF((YEAR(D148)+8)&gt;YEAR(E148),1,(12-MONTH(E148)+1)/12))) + (Q148)*(IF((YEAR(D148)+8)&lt;YEAR(E148),0,IF((YEAR(D148)+8)&gt;YEAR(E148),1,(12-MONTH(E148)+1)/12))))-((P148)*(IF((YEAR(D148)+8)&lt;YEAR(E148),0,IF((YEAR(D148)+8)&gt;YEAR(E148),1,(12-MONTH(E148)+1)/12))) + (R148)*(IF((YEAR(D148)+8)&lt;YEAR(E148),0,IF((YEAR(D148)+8)&gt;YEAR(E148),1,(12-MONTH(E148)+1)/12))))-(IF((((K148)*(IF(M148="",L148,IFERROR(IF(INDEX(Variablen!$I:$AT, MATCH(M148, Variablen!$A:$A, 0), MATCH((YEAR(D148)+8), Variablen!$I$3:$AT$3, 0))="",L148,INDEX(Variablen!$I:$AT, MATCH(M148, Variablen!$A:$A, 0), MATCH((YEAR(D148)+8), Variablen!$I$3:$AT$3, 0))),L148)))*(IF((YEAR(D148)+8)&lt;YEAR(E148),0,IF((YEAR(D148)+8)&gt;YEAR(E148),1,(12-MONTH(E148)+1)/12))) + (Q148)*(IF((YEAR(D148)+8)&lt;YEAR(E148),0,IF((YEAR(D148)+8)&gt;YEAR(E148),1,(12-MONTH(E148)+1)/12))))-((P148)*(IF((YEAR(D148)+8)&lt;YEAR(E148),0,IF((YEAR(D148)+8)&gt;YEAR(E148),1,(12-MONTH(E148)+1)/12))) + (R148)*(IF((YEAR(D148)+8)&lt;YEAR(E148),0,IF((YEAR(D148)+8)&gt;YEAR(E148),1,(12-MONTH(E148)+1)/12))))-(IF(OR(N148="",N148&lt;=0),0,(O148/N148)*(IF(OR(N148="",N148&lt;=0),0,IF((YEAR(D148)+8)&lt;YEAR(E148),0,IF((YEAR(D148)+8)&gt;=YEAR(E148)+N148,0,IF((YEAR(D148)+8)=YEAR(E148),(12-MONTH(E148)+1)/12,1))))))))&gt;0,(((K148)*(IF(M148="",L148,IFERROR(IF(INDEX(Variablen!$I:$AT, MATCH(M148, Variablen!$A:$A, 0), MATCH((YEAR(D148)+8), Variablen!$I$3:$AT$3, 0))="",L148,INDEX(Variablen!$I:$AT, MATCH(M148, Variablen!$A:$A, 0), MATCH((YEAR(D148)+8), Variablen!$I$3:$AT$3, 0))),L148)))*(IF((YEAR(D148)+8)&lt;YEAR(E148),0,IF((YEAR(D148)+8)&gt;YEAR(E148),1,(12-MONTH(E148)+1)/12))) + (Q148)*(IF((YEAR(D148)+8)&lt;YEAR(E148),0,IF((YEAR(D148)+8)&gt;YEAR(E148),1,(12-MONTH(E148)+1)/12))))-((P148)*(IF((YEAR(D148)+8)&lt;YEAR(E148),0,IF((YEAR(D148)+8)&gt;YEAR(E148),1,(12-MONTH(E148)+1)/12))) + (R148)*(IF((YEAR(D148)+8)&lt;YEAR(E148),0,IF((YEAR(D148)+8)&gt;YEAR(E148),1,(12-MONTH(E148)+1)/12))))-(IF(OR(N148="",N148&lt;=0),0,(O148/N148)*(IF(OR(N148="",N148&lt;=0),0,IF((YEAR(D148)+8)&lt;YEAR(E148),0,IF((YEAR(D148)+8)&gt;=YEAR(E148)+N148,0,IF((YEAR(D148)+8)=YEAR(E148),(12-MONTH(E148)+1)/12,1))))))))*TaxRate,0))-IF(8=0,O148,0))</f>
        <v/>
      </c>
      <c r="AB148" s="29">
        <f>IF(A148="","",((K148)*(IF(M148="",L148,IFERROR(IF(INDEX(Variablen!$I:$AT, MATCH(M148, Variablen!$A:$A, 0), MATCH((YEAR(D148)+9), Variablen!$I$3:$AT$3, 0))="",L148,INDEX(Variablen!$I:$AT, MATCH(M148, Variablen!$A:$A, 0), MATCH((YEAR(D148)+9), Variablen!$I$3:$AT$3, 0))),L148)))*(IF((YEAR(D148)+9)&lt;YEAR(E148),0,IF((YEAR(D148)+9)&gt;YEAR(E148),1,(12-MONTH(E148)+1)/12))) + (Q148)*(IF((YEAR(D148)+9)&lt;YEAR(E148),0,IF((YEAR(D148)+9)&gt;YEAR(E148),1,(12-MONTH(E148)+1)/12))))-((P148)*(IF((YEAR(D148)+9)&lt;YEAR(E148),0,IF((YEAR(D148)+9)&gt;YEAR(E148),1,(12-MONTH(E148)+1)/12))) + (R148)*(IF((YEAR(D148)+9)&lt;YEAR(E148),0,IF((YEAR(D148)+9)&gt;YEAR(E148),1,(12-MONTH(E148)+1)/12))))-(IF((((K148)*(IF(M148="",L148,IFERROR(IF(INDEX(Variablen!$I:$AT, MATCH(M148, Variablen!$A:$A, 0), MATCH((YEAR(D148)+9), Variablen!$I$3:$AT$3, 0))="",L148,INDEX(Variablen!$I:$AT, MATCH(M148, Variablen!$A:$A, 0), MATCH((YEAR(D148)+9), Variablen!$I$3:$AT$3, 0))),L148)))*(IF((YEAR(D148)+9)&lt;YEAR(E148),0,IF((YEAR(D148)+9)&gt;YEAR(E148),1,(12-MONTH(E148)+1)/12))) + (Q148)*(IF((YEAR(D148)+9)&lt;YEAR(E148),0,IF((YEAR(D148)+9)&gt;YEAR(E148),1,(12-MONTH(E148)+1)/12))))-((P148)*(IF((YEAR(D148)+9)&lt;YEAR(E148),0,IF((YEAR(D148)+9)&gt;YEAR(E148),1,(12-MONTH(E148)+1)/12))) + (R148)*(IF((YEAR(D148)+9)&lt;YEAR(E148),0,IF((YEAR(D148)+9)&gt;YEAR(E148),1,(12-MONTH(E148)+1)/12))))-(IF(OR(N148="",N148&lt;=0),0,(O148/N148)*(IF(OR(N148="",N148&lt;=0),0,IF((YEAR(D148)+9)&lt;YEAR(E148),0,IF((YEAR(D148)+9)&gt;=YEAR(E148)+N148,0,IF((YEAR(D148)+9)=YEAR(E148),(12-MONTH(E148)+1)/12,1))))))))&gt;0,(((K148)*(IF(M148="",L148,IFERROR(IF(INDEX(Variablen!$I:$AT, MATCH(M148, Variablen!$A:$A, 0), MATCH((YEAR(D148)+9), Variablen!$I$3:$AT$3, 0))="",L148,INDEX(Variablen!$I:$AT, MATCH(M148, Variablen!$A:$A, 0), MATCH((YEAR(D148)+9), Variablen!$I$3:$AT$3, 0))),L148)))*(IF((YEAR(D148)+9)&lt;YEAR(E148),0,IF((YEAR(D148)+9)&gt;YEAR(E148),1,(12-MONTH(E148)+1)/12))) + (Q148)*(IF((YEAR(D148)+9)&lt;YEAR(E148),0,IF((YEAR(D148)+9)&gt;YEAR(E148),1,(12-MONTH(E148)+1)/12))))-((P148)*(IF((YEAR(D148)+9)&lt;YEAR(E148),0,IF((YEAR(D148)+9)&gt;YEAR(E148),1,(12-MONTH(E148)+1)/12))) + (R148)*(IF((YEAR(D148)+9)&lt;YEAR(E148),0,IF((YEAR(D148)+9)&gt;YEAR(E148),1,(12-MONTH(E148)+1)/12))))-(IF(OR(N148="",N148&lt;=0),0,(O148/N148)*(IF(OR(N148="",N148&lt;=0),0,IF((YEAR(D148)+9)&lt;YEAR(E148),0,IF((YEAR(D148)+9)&gt;=YEAR(E148)+N148,0,IF((YEAR(D148)+9)=YEAR(E148),(12-MONTH(E148)+1)/12,1))))))))*TaxRate,0))-IF(9=0,O148,0))</f>
        <v/>
      </c>
      <c r="AC148" s="29">
        <f>IF(A148="","",((K148)*(IF(M148="",L148,IFERROR(IF(INDEX(Variablen!$I:$AT, MATCH(M148, Variablen!$A:$A, 0), MATCH((YEAR(D148)+10), Variablen!$I$3:$AT$3, 0))="",L148,INDEX(Variablen!$I:$AT, MATCH(M148, Variablen!$A:$A, 0), MATCH((YEAR(D148)+10), Variablen!$I$3:$AT$3, 0))),L148)))*(IF((YEAR(D148)+10)&lt;YEAR(E148),0,IF((YEAR(D148)+10)&gt;YEAR(E148),1,(12-MONTH(E148)+1)/12))) + (Q148)*(IF((YEAR(D148)+10)&lt;YEAR(E148),0,IF((YEAR(D148)+10)&gt;YEAR(E148),1,(12-MONTH(E148)+1)/12))))-((P148)*(IF((YEAR(D148)+10)&lt;YEAR(E148),0,IF((YEAR(D148)+10)&gt;YEAR(E148),1,(12-MONTH(E148)+1)/12))) + (R148)*(IF((YEAR(D148)+10)&lt;YEAR(E148),0,IF((YEAR(D148)+10)&gt;YEAR(E148),1,(12-MONTH(E148)+1)/12))))-(IF((((K148)*(IF(M148="",L148,IFERROR(IF(INDEX(Variablen!$I:$AT, MATCH(M148, Variablen!$A:$A, 0), MATCH((YEAR(D148)+10), Variablen!$I$3:$AT$3, 0))="",L148,INDEX(Variablen!$I:$AT, MATCH(M148, Variablen!$A:$A, 0), MATCH((YEAR(D148)+10), Variablen!$I$3:$AT$3, 0))),L148)))*(IF((YEAR(D148)+10)&lt;YEAR(E148),0,IF((YEAR(D148)+10)&gt;YEAR(E148),1,(12-MONTH(E148)+1)/12))) + (Q148)*(IF((YEAR(D148)+10)&lt;YEAR(E148),0,IF((YEAR(D148)+10)&gt;YEAR(E148),1,(12-MONTH(E148)+1)/12))))-((P148)*(IF((YEAR(D148)+10)&lt;YEAR(E148),0,IF((YEAR(D148)+10)&gt;YEAR(E148),1,(12-MONTH(E148)+1)/12))) + (R148)*(IF((YEAR(D148)+10)&lt;YEAR(E148),0,IF((YEAR(D148)+10)&gt;YEAR(E148),1,(12-MONTH(E148)+1)/12))))-(IF(OR(N148="",N148&lt;=0),0,(O148/N148)*(IF(OR(N148="",N148&lt;=0),0,IF((YEAR(D148)+10)&lt;YEAR(E148),0,IF((YEAR(D148)+10)&gt;=YEAR(E148)+N148,0,IF((YEAR(D148)+10)=YEAR(E148),(12-MONTH(E148)+1)/12,1))))))))&gt;0,(((K148)*(IF(M148="",L148,IFERROR(IF(INDEX(Variablen!$I:$AT, MATCH(M148, Variablen!$A:$A, 0), MATCH((YEAR(D148)+10), Variablen!$I$3:$AT$3, 0))="",L148,INDEX(Variablen!$I:$AT, MATCH(M148, Variablen!$A:$A, 0), MATCH((YEAR(D148)+10), Variablen!$I$3:$AT$3, 0))),L148)))*(IF((YEAR(D148)+10)&lt;YEAR(E148),0,IF((YEAR(D148)+10)&gt;YEAR(E148),1,(12-MONTH(E148)+1)/12))) + (Q148)*(IF((YEAR(D148)+10)&lt;YEAR(E148),0,IF((YEAR(D148)+10)&gt;YEAR(E148),1,(12-MONTH(E148)+1)/12))))-((P148)*(IF((YEAR(D148)+10)&lt;YEAR(E148),0,IF((YEAR(D148)+10)&gt;YEAR(E148),1,(12-MONTH(E148)+1)/12))) + (R148)*(IF((YEAR(D148)+10)&lt;YEAR(E148),0,IF((YEAR(D148)+10)&gt;YEAR(E148),1,(12-MONTH(E148)+1)/12))))-(IF(OR(N148="",N148&lt;=0),0,(O148/N148)*(IF(OR(N148="",N148&lt;=0),0,IF((YEAR(D148)+10)&lt;YEAR(E148),0,IF((YEAR(D148)+10)&gt;=YEAR(E148)+N148,0,IF((YEAR(D148)+10)=YEAR(E148),(12-MONTH(E148)+1)/12,1))))))))*TaxRate,0))-IF(10=0,O148,0))</f>
        <v/>
      </c>
      <c r="AD148" s="29">
        <f>IF(A148="","",((K148)*(IF(M148="",L148,IFERROR(IF(INDEX(Variablen!$I:$AT, MATCH(M148, Variablen!$A:$A, 0), MATCH((YEAR(D148)+11), Variablen!$I$3:$AT$3, 0))="",L148,INDEX(Variablen!$I:$AT, MATCH(M148, Variablen!$A:$A, 0), MATCH((YEAR(D148)+11), Variablen!$I$3:$AT$3, 0))),L148)))*(IF((YEAR(D148)+11)&lt;YEAR(E148),0,IF((YEAR(D148)+11)&gt;YEAR(E148),1,(12-MONTH(E148)+1)/12))) + (Q148)*(IF((YEAR(D148)+11)&lt;YEAR(E148),0,IF((YEAR(D148)+11)&gt;YEAR(E148),1,(12-MONTH(E148)+1)/12))))-((P148)*(IF((YEAR(D148)+11)&lt;YEAR(E148),0,IF((YEAR(D148)+11)&gt;YEAR(E148),1,(12-MONTH(E148)+1)/12))) + (R148)*(IF((YEAR(D148)+11)&lt;YEAR(E148),0,IF((YEAR(D148)+11)&gt;YEAR(E148),1,(12-MONTH(E148)+1)/12))))-(IF((((K148)*(IF(M148="",L148,IFERROR(IF(INDEX(Variablen!$I:$AT, MATCH(M148, Variablen!$A:$A, 0), MATCH((YEAR(D148)+11), Variablen!$I$3:$AT$3, 0))="",L148,INDEX(Variablen!$I:$AT, MATCH(M148, Variablen!$A:$A, 0), MATCH((YEAR(D148)+11), Variablen!$I$3:$AT$3, 0))),L148)))*(IF((YEAR(D148)+11)&lt;YEAR(E148),0,IF((YEAR(D148)+11)&gt;YEAR(E148),1,(12-MONTH(E148)+1)/12))) + (Q148)*(IF((YEAR(D148)+11)&lt;YEAR(E148),0,IF((YEAR(D148)+11)&gt;YEAR(E148),1,(12-MONTH(E148)+1)/12))))-((P148)*(IF((YEAR(D148)+11)&lt;YEAR(E148),0,IF((YEAR(D148)+11)&gt;YEAR(E148),1,(12-MONTH(E148)+1)/12))) + (R148)*(IF((YEAR(D148)+11)&lt;YEAR(E148),0,IF((YEAR(D148)+11)&gt;YEAR(E148),1,(12-MONTH(E148)+1)/12))))-(IF(OR(N148="",N148&lt;=0),0,(O148/N148)*(IF(OR(N148="",N148&lt;=0),0,IF((YEAR(D148)+11)&lt;YEAR(E148),0,IF((YEAR(D148)+11)&gt;=YEAR(E148)+N148,0,IF((YEAR(D148)+11)=YEAR(E148),(12-MONTH(E148)+1)/12,1))))))))&gt;0,(((K148)*(IF(M148="",L148,IFERROR(IF(INDEX(Variablen!$I:$AT, MATCH(M148, Variablen!$A:$A, 0), MATCH((YEAR(D148)+11), Variablen!$I$3:$AT$3, 0))="",L148,INDEX(Variablen!$I:$AT, MATCH(M148, Variablen!$A:$A, 0), MATCH((YEAR(D148)+11), Variablen!$I$3:$AT$3, 0))),L148)))*(IF((YEAR(D148)+11)&lt;YEAR(E148),0,IF((YEAR(D148)+11)&gt;YEAR(E148),1,(12-MONTH(E148)+1)/12))) + (Q148)*(IF((YEAR(D148)+11)&lt;YEAR(E148),0,IF((YEAR(D148)+11)&gt;YEAR(E148),1,(12-MONTH(E148)+1)/12))))-((P148)*(IF((YEAR(D148)+11)&lt;YEAR(E148),0,IF((YEAR(D148)+11)&gt;YEAR(E148),1,(12-MONTH(E148)+1)/12))) + (R148)*(IF((YEAR(D148)+11)&lt;YEAR(E148),0,IF((YEAR(D148)+11)&gt;YEAR(E148),1,(12-MONTH(E148)+1)/12))))-(IF(OR(N148="",N148&lt;=0),0,(O148/N148)*(IF(OR(N148="",N148&lt;=0),0,IF((YEAR(D148)+11)&lt;YEAR(E148),0,IF((YEAR(D148)+11)&gt;=YEAR(E148)+N148,0,IF((YEAR(D148)+11)=YEAR(E148),(12-MONTH(E148)+1)/12,1))))))))*TaxRate,0))-IF(11=0,O148,0))</f>
        <v/>
      </c>
      <c r="AE148" s="29">
        <f>IF(A148="","",((K148)*(IF(M148="",L148,IFERROR(IF(INDEX(Variablen!$I:$AT, MATCH(M148, Variablen!$A:$A, 0), MATCH((YEAR(D148)+12), Variablen!$I$3:$AT$3, 0))="",L148,INDEX(Variablen!$I:$AT, MATCH(M148, Variablen!$A:$A, 0), MATCH((YEAR(D148)+12), Variablen!$I$3:$AT$3, 0))),L148)))*(IF((YEAR(D148)+12)&lt;YEAR(E148),0,IF((YEAR(D148)+12)&gt;YEAR(E148),1,(12-MONTH(E148)+1)/12))) + (Q148)*(IF((YEAR(D148)+12)&lt;YEAR(E148),0,IF((YEAR(D148)+12)&gt;YEAR(E148),1,(12-MONTH(E148)+1)/12))))-((P148)*(IF((YEAR(D148)+12)&lt;YEAR(E148),0,IF((YEAR(D148)+12)&gt;YEAR(E148),1,(12-MONTH(E148)+1)/12))) + (R148)*(IF((YEAR(D148)+12)&lt;YEAR(E148),0,IF((YEAR(D148)+12)&gt;YEAR(E148),1,(12-MONTH(E148)+1)/12))))-(IF((((K148)*(IF(M148="",L148,IFERROR(IF(INDEX(Variablen!$I:$AT, MATCH(M148, Variablen!$A:$A, 0), MATCH((YEAR(D148)+12), Variablen!$I$3:$AT$3, 0))="",L148,INDEX(Variablen!$I:$AT, MATCH(M148, Variablen!$A:$A, 0), MATCH((YEAR(D148)+12), Variablen!$I$3:$AT$3, 0))),L148)))*(IF((YEAR(D148)+12)&lt;YEAR(E148),0,IF((YEAR(D148)+12)&gt;YEAR(E148),1,(12-MONTH(E148)+1)/12))) + (Q148)*(IF((YEAR(D148)+12)&lt;YEAR(E148),0,IF((YEAR(D148)+12)&gt;YEAR(E148),1,(12-MONTH(E148)+1)/12))))-((P148)*(IF((YEAR(D148)+12)&lt;YEAR(E148),0,IF((YEAR(D148)+12)&gt;YEAR(E148),1,(12-MONTH(E148)+1)/12))) + (R148)*(IF((YEAR(D148)+12)&lt;YEAR(E148),0,IF((YEAR(D148)+12)&gt;YEAR(E148),1,(12-MONTH(E148)+1)/12))))-(IF(OR(N148="",N148&lt;=0),0,(O148/N148)*(IF(OR(N148="",N148&lt;=0),0,IF((YEAR(D148)+12)&lt;YEAR(E148),0,IF((YEAR(D148)+12)&gt;=YEAR(E148)+N148,0,IF((YEAR(D148)+12)=YEAR(E148),(12-MONTH(E148)+1)/12,1))))))))&gt;0,(((K148)*(IF(M148="",L148,IFERROR(IF(INDEX(Variablen!$I:$AT, MATCH(M148, Variablen!$A:$A, 0), MATCH((YEAR(D148)+12), Variablen!$I$3:$AT$3, 0))="",L148,INDEX(Variablen!$I:$AT, MATCH(M148, Variablen!$A:$A, 0), MATCH((YEAR(D148)+12), Variablen!$I$3:$AT$3, 0))),L148)))*(IF((YEAR(D148)+12)&lt;YEAR(E148),0,IF((YEAR(D148)+12)&gt;YEAR(E148),1,(12-MONTH(E148)+1)/12))) + (Q148)*(IF((YEAR(D148)+12)&lt;YEAR(E148),0,IF((YEAR(D148)+12)&gt;YEAR(E148),1,(12-MONTH(E148)+1)/12))))-((P148)*(IF((YEAR(D148)+12)&lt;YEAR(E148),0,IF((YEAR(D148)+12)&gt;YEAR(E148),1,(12-MONTH(E148)+1)/12))) + (R148)*(IF((YEAR(D148)+12)&lt;YEAR(E148),0,IF((YEAR(D148)+12)&gt;YEAR(E148),1,(12-MONTH(E148)+1)/12))))-(IF(OR(N148="",N148&lt;=0),0,(O148/N148)*(IF(OR(N148="",N148&lt;=0),0,IF((YEAR(D148)+12)&lt;YEAR(E148),0,IF((YEAR(D148)+12)&gt;=YEAR(E148)+N148,0,IF((YEAR(D148)+12)=YEAR(E148),(12-MONTH(E148)+1)/12,1))))))))*TaxRate,0))-IF(12=0,O148,0))</f>
        <v/>
      </c>
      <c r="AF148" s="29">
        <f>IF(A148="","",((K148)*(IF(M148="",L148,IFERROR(IF(INDEX(Variablen!$I:$AT, MATCH(M148, Variablen!$A:$A, 0), MATCH((YEAR(D148)+13), Variablen!$I$3:$AT$3, 0))="",L148,INDEX(Variablen!$I:$AT, MATCH(M148, Variablen!$A:$A, 0), MATCH((YEAR(D148)+13), Variablen!$I$3:$AT$3, 0))),L148)))*(IF((YEAR(D148)+13)&lt;YEAR(E148),0,IF((YEAR(D148)+13)&gt;YEAR(E148),1,(12-MONTH(E148)+1)/12))) + (Q148)*(IF((YEAR(D148)+13)&lt;YEAR(E148),0,IF((YEAR(D148)+13)&gt;YEAR(E148),1,(12-MONTH(E148)+1)/12))))-((P148)*(IF((YEAR(D148)+13)&lt;YEAR(E148),0,IF((YEAR(D148)+13)&gt;YEAR(E148),1,(12-MONTH(E148)+1)/12))) + (R148)*(IF((YEAR(D148)+13)&lt;YEAR(E148),0,IF((YEAR(D148)+13)&gt;YEAR(E148),1,(12-MONTH(E148)+1)/12))))-(IF((((K148)*(IF(M148="",L148,IFERROR(IF(INDEX(Variablen!$I:$AT, MATCH(M148, Variablen!$A:$A, 0), MATCH((YEAR(D148)+13), Variablen!$I$3:$AT$3, 0))="",L148,INDEX(Variablen!$I:$AT, MATCH(M148, Variablen!$A:$A, 0), MATCH((YEAR(D148)+13), Variablen!$I$3:$AT$3, 0))),L148)))*(IF((YEAR(D148)+13)&lt;YEAR(E148),0,IF((YEAR(D148)+13)&gt;YEAR(E148),1,(12-MONTH(E148)+1)/12))) + (Q148)*(IF((YEAR(D148)+13)&lt;YEAR(E148),0,IF((YEAR(D148)+13)&gt;YEAR(E148),1,(12-MONTH(E148)+1)/12))))-((P148)*(IF((YEAR(D148)+13)&lt;YEAR(E148),0,IF((YEAR(D148)+13)&gt;YEAR(E148),1,(12-MONTH(E148)+1)/12))) + (R148)*(IF((YEAR(D148)+13)&lt;YEAR(E148),0,IF((YEAR(D148)+13)&gt;YEAR(E148),1,(12-MONTH(E148)+1)/12))))-(IF(OR(N148="",N148&lt;=0),0,(O148/N148)*(IF(OR(N148="",N148&lt;=0),0,IF((YEAR(D148)+13)&lt;YEAR(E148),0,IF((YEAR(D148)+13)&gt;=YEAR(E148)+N148,0,IF((YEAR(D148)+13)=YEAR(E148),(12-MONTH(E148)+1)/12,1))))))))&gt;0,(((K148)*(IF(M148="",L148,IFERROR(IF(INDEX(Variablen!$I:$AT, MATCH(M148, Variablen!$A:$A, 0), MATCH((YEAR(D148)+13), Variablen!$I$3:$AT$3, 0))="",L148,INDEX(Variablen!$I:$AT, MATCH(M148, Variablen!$A:$A, 0), MATCH((YEAR(D148)+13), Variablen!$I$3:$AT$3, 0))),L148)))*(IF((YEAR(D148)+13)&lt;YEAR(E148),0,IF((YEAR(D148)+13)&gt;YEAR(E148),1,(12-MONTH(E148)+1)/12))) + (Q148)*(IF((YEAR(D148)+13)&lt;YEAR(E148),0,IF((YEAR(D148)+13)&gt;YEAR(E148),1,(12-MONTH(E148)+1)/12))))-((P148)*(IF((YEAR(D148)+13)&lt;YEAR(E148),0,IF((YEAR(D148)+13)&gt;YEAR(E148),1,(12-MONTH(E148)+1)/12))) + (R148)*(IF((YEAR(D148)+13)&lt;YEAR(E148),0,IF((YEAR(D148)+13)&gt;YEAR(E148),1,(12-MONTH(E148)+1)/12))))-(IF(OR(N148="",N148&lt;=0),0,(O148/N148)*(IF(OR(N148="",N148&lt;=0),0,IF((YEAR(D148)+13)&lt;YEAR(E148),0,IF((YEAR(D148)+13)&gt;=YEAR(E148)+N148,0,IF((YEAR(D148)+13)=YEAR(E148),(12-MONTH(E148)+1)/12,1))))))))*TaxRate,0))-IF(13=0,O148,0))</f>
        <v/>
      </c>
      <c r="AG148" s="29">
        <f>IF(A148="","",((K148)*(IF(M148="",L148,IFERROR(IF(INDEX(Variablen!$I:$AT, MATCH(M148, Variablen!$A:$A, 0), MATCH((YEAR(D148)+14), Variablen!$I$3:$AT$3, 0))="",L148,INDEX(Variablen!$I:$AT, MATCH(M148, Variablen!$A:$A, 0), MATCH((YEAR(D148)+14), Variablen!$I$3:$AT$3, 0))),L148)))*(IF((YEAR(D148)+14)&lt;YEAR(E148),0,IF((YEAR(D148)+14)&gt;YEAR(E148),1,(12-MONTH(E148)+1)/12))) + (Q148)*(IF((YEAR(D148)+14)&lt;YEAR(E148),0,IF((YEAR(D148)+14)&gt;YEAR(E148),1,(12-MONTH(E148)+1)/12))))-((P148)*(IF((YEAR(D148)+14)&lt;YEAR(E148),0,IF((YEAR(D148)+14)&gt;YEAR(E148),1,(12-MONTH(E148)+1)/12))) + (R148)*(IF((YEAR(D148)+14)&lt;YEAR(E148),0,IF((YEAR(D148)+14)&gt;YEAR(E148),1,(12-MONTH(E148)+1)/12))))-(IF((((K148)*(IF(M148="",L148,IFERROR(IF(INDEX(Variablen!$I:$AT, MATCH(M148, Variablen!$A:$A, 0), MATCH((YEAR(D148)+14), Variablen!$I$3:$AT$3, 0))="",L148,INDEX(Variablen!$I:$AT, MATCH(M148, Variablen!$A:$A, 0), MATCH((YEAR(D148)+14), Variablen!$I$3:$AT$3, 0))),L148)))*(IF((YEAR(D148)+14)&lt;YEAR(E148),0,IF((YEAR(D148)+14)&gt;YEAR(E148),1,(12-MONTH(E148)+1)/12))) + (Q148)*(IF((YEAR(D148)+14)&lt;YEAR(E148),0,IF((YEAR(D148)+14)&gt;YEAR(E148),1,(12-MONTH(E148)+1)/12))))-((P148)*(IF((YEAR(D148)+14)&lt;YEAR(E148),0,IF((YEAR(D148)+14)&gt;YEAR(E148),1,(12-MONTH(E148)+1)/12))) + (R148)*(IF((YEAR(D148)+14)&lt;YEAR(E148),0,IF((YEAR(D148)+14)&gt;YEAR(E148),1,(12-MONTH(E148)+1)/12))))-(IF(OR(N148="",N148&lt;=0),0,(O148/N148)*(IF(OR(N148="",N148&lt;=0),0,IF((YEAR(D148)+14)&lt;YEAR(E148),0,IF((YEAR(D148)+14)&gt;=YEAR(E148)+N148,0,IF((YEAR(D148)+14)=YEAR(E148),(12-MONTH(E148)+1)/12,1))))))))&gt;0,(((K148)*(IF(M148="",L148,IFERROR(IF(INDEX(Variablen!$I:$AT, MATCH(M148, Variablen!$A:$A, 0), MATCH((YEAR(D148)+14), Variablen!$I$3:$AT$3, 0))="",L148,INDEX(Variablen!$I:$AT, MATCH(M148, Variablen!$A:$A, 0), MATCH((YEAR(D148)+14), Variablen!$I$3:$AT$3, 0))),L148)))*(IF((YEAR(D148)+14)&lt;YEAR(E148),0,IF((YEAR(D148)+14)&gt;YEAR(E148),1,(12-MONTH(E148)+1)/12))) + (Q148)*(IF((YEAR(D148)+14)&lt;YEAR(E148),0,IF((YEAR(D148)+14)&gt;YEAR(E148),1,(12-MONTH(E148)+1)/12))))-((P148)*(IF((YEAR(D148)+14)&lt;YEAR(E148),0,IF((YEAR(D148)+14)&gt;YEAR(E148),1,(12-MONTH(E148)+1)/12))) + (R148)*(IF((YEAR(D148)+14)&lt;YEAR(E148),0,IF((YEAR(D148)+14)&gt;YEAR(E148),1,(12-MONTH(E148)+1)/12))))-(IF(OR(N148="",N148&lt;=0),0,(O148/N148)*(IF(OR(N148="",N148&lt;=0),0,IF((YEAR(D148)+14)&lt;YEAR(E148),0,IF((YEAR(D148)+14)&gt;=YEAR(E148)+N148,0,IF((YEAR(D148)+14)=YEAR(E148),(12-MONTH(E148)+1)/12,1))))))))*TaxRate,0))-IF(14=0,O148,0))</f>
        <v/>
      </c>
      <c r="AH148" s="29">
        <f>IF(A148="","",((K148)*(IF(M148="",L148,IFERROR(IF(INDEX(Variablen!$I:$AT, MATCH(M148, Variablen!$A:$A, 0), MATCH((YEAR(D148)+15), Variablen!$I$3:$AT$3, 0))="",L148,INDEX(Variablen!$I:$AT, MATCH(M148, Variablen!$A:$A, 0), MATCH((YEAR(D148)+15), Variablen!$I$3:$AT$3, 0))),L148)))*(IF((YEAR(D148)+15)&lt;YEAR(E148),0,IF((YEAR(D148)+15)&gt;YEAR(E148),1,(12-MONTH(E148)+1)/12))) + (Q148)*(IF((YEAR(D148)+15)&lt;YEAR(E148),0,IF((YEAR(D148)+15)&gt;YEAR(E148),1,(12-MONTH(E148)+1)/12))))-((P148)*(IF((YEAR(D148)+15)&lt;YEAR(E148),0,IF((YEAR(D148)+15)&gt;YEAR(E148),1,(12-MONTH(E148)+1)/12))) + (R148)*(IF((YEAR(D148)+15)&lt;YEAR(E148),0,IF((YEAR(D148)+15)&gt;YEAR(E148),1,(12-MONTH(E148)+1)/12))))-(IF((((K148)*(IF(M148="",L148,IFERROR(IF(INDEX(Variablen!$I:$AT, MATCH(M148, Variablen!$A:$A, 0), MATCH((YEAR(D148)+15), Variablen!$I$3:$AT$3, 0))="",L148,INDEX(Variablen!$I:$AT, MATCH(M148, Variablen!$A:$A, 0), MATCH((YEAR(D148)+15), Variablen!$I$3:$AT$3, 0))),L148)))*(IF((YEAR(D148)+15)&lt;YEAR(E148),0,IF((YEAR(D148)+15)&gt;YEAR(E148),1,(12-MONTH(E148)+1)/12))) + (Q148)*(IF((YEAR(D148)+15)&lt;YEAR(E148),0,IF((YEAR(D148)+15)&gt;YEAR(E148),1,(12-MONTH(E148)+1)/12))))-((P148)*(IF((YEAR(D148)+15)&lt;YEAR(E148),0,IF((YEAR(D148)+15)&gt;YEAR(E148),1,(12-MONTH(E148)+1)/12))) + (R148)*(IF((YEAR(D148)+15)&lt;YEAR(E148),0,IF((YEAR(D148)+15)&gt;YEAR(E148),1,(12-MONTH(E148)+1)/12))))-(IF(OR(N148="",N148&lt;=0),0,(O148/N148)*(IF(OR(N148="",N148&lt;=0),0,IF((YEAR(D148)+15)&lt;YEAR(E148),0,IF((YEAR(D148)+15)&gt;=YEAR(E148)+N148,0,IF((YEAR(D148)+15)=YEAR(E148),(12-MONTH(E148)+1)/12,1))))))))&gt;0,(((K148)*(IF(M148="",L148,IFERROR(IF(INDEX(Variablen!$I:$AT, MATCH(M148, Variablen!$A:$A, 0), MATCH((YEAR(D148)+15), Variablen!$I$3:$AT$3, 0))="",L148,INDEX(Variablen!$I:$AT, MATCH(M148, Variablen!$A:$A, 0), MATCH((YEAR(D148)+15), Variablen!$I$3:$AT$3, 0))),L148)))*(IF((YEAR(D148)+15)&lt;YEAR(E148),0,IF((YEAR(D148)+15)&gt;YEAR(E148),1,(12-MONTH(E148)+1)/12))) + (Q148)*(IF((YEAR(D148)+15)&lt;YEAR(E148),0,IF((YEAR(D148)+15)&gt;YEAR(E148),1,(12-MONTH(E148)+1)/12))))-((P148)*(IF((YEAR(D148)+15)&lt;YEAR(E148),0,IF((YEAR(D148)+15)&gt;YEAR(E148),1,(12-MONTH(E148)+1)/12))) + (R148)*(IF((YEAR(D148)+15)&lt;YEAR(E148),0,IF((YEAR(D148)+15)&gt;YEAR(E148),1,(12-MONTH(E148)+1)/12))))-(IF(OR(N148="",N148&lt;=0),0,(O148/N148)*(IF(OR(N148="",N148&lt;=0),0,IF((YEAR(D148)+15)&lt;YEAR(E148),0,IF((YEAR(D148)+15)&gt;=YEAR(E148)+N148,0,IF((YEAR(D148)+15)=YEAR(E148),(12-MONTH(E148)+1)/12,1))))))))*TaxRate,0))-IF(15=0,O148,0))</f>
        <v/>
      </c>
      <c r="AI148" s="29">
        <f>IF(A148="","",((K148)*(IF(M148="",L148,IFERROR(IF(INDEX(Variablen!$I:$AT, MATCH(M148, Variablen!$A:$A, 0), MATCH((YEAR(D148)+16), Variablen!$I$3:$AT$3, 0))="",L148,INDEX(Variablen!$I:$AT, MATCH(M148, Variablen!$A:$A, 0), MATCH((YEAR(D148)+16), Variablen!$I$3:$AT$3, 0))),L148)))*(IF((YEAR(D148)+16)&lt;YEAR(E148),0,IF((YEAR(D148)+16)&gt;YEAR(E148),1,(12-MONTH(E148)+1)/12))) + (Q148)*(IF((YEAR(D148)+16)&lt;YEAR(E148),0,IF((YEAR(D148)+16)&gt;YEAR(E148),1,(12-MONTH(E148)+1)/12))))-((P148)*(IF((YEAR(D148)+16)&lt;YEAR(E148),0,IF((YEAR(D148)+16)&gt;YEAR(E148),1,(12-MONTH(E148)+1)/12))) + (R148)*(IF((YEAR(D148)+16)&lt;YEAR(E148),0,IF((YEAR(D148)+16)&gt;YEAR(E148),1,(12-MONTH(E148)+1)/12))))-(IF((((K148)*(IF(M148="",L148,IFERROR(IF(INDEX(Variablen!$I:$AT, MATCH(M148, Variablen!$A:$A, 0), MATCH((YEAR(D148)+16), Variablen!$I$3:$AT$3, 0))="",L148,INDEX(Variablen!$I:$AT, MATCH(M148, Variablen!$A:$A, 0), MATCH((YEAR(D148)+16), Variablen!$I$3:$AT$3, 0))),L148)))*(IF((YEAR(D148)+16)&lt;YEAR(E148),0,IF((YEAR(D148)+16)&gt;YEAR(E148),1,(12-MONTH(E148)+1)/12))) + (Q148)*(IF((YEAR(D148)+16)&lt;YEAR(E148),0,IF((YEAR(D148)+16)&gt;YEAR(E148),1,(12-MONTH(E148)+1)/12))))-((P148)*(IF((YEAR(D148)+16)&lt;YEAR(E148),0,IF((YEAR(D148)+16)&gt;YEAR(E148),1,(12-MONTH(E148)+1)/12))) + (R148)*(IF((YEAR(D148)+16)&lt;YEAR(E148),0,IF((YEAR(D148)+16)&gt;YEAR(E148),1,(12-MONTH(E148)+1)/12))))-(IF(OR(N148="",N148&lt;=0),0,(O148/N148)*(IF(OR(N148="",N148&lt;=0),0,IF((YEAR(D148)+16)&lt;YEAR(E148),0,IF((YEAR(D148)+16)&gt;=YEAR(E148)+N148,0,IF((YEAR(D148)+16)=YEAR(E148),(12-MONTH(E148)+1)/12,1))))))))&gt;0,(((K148)*(IF(M148="",L148,IFERROR(IF(INDEX(Variablen!$I:$AT, MATCH(M148, Variablen!$A:$A, 0), MATCH((YEAR(D148)+16), Variablen!$I$3:$AT$3, 0))="",L148,INDEX(Variablen!$I:$AT, MATCH(M148, Variablen!$A:$A, 0), MATCH((YEAR(D148)+16), Variablen!$I$3:$AT$3, 0))),L148)))*(IF((YEAR(D148)+16)&lt;YEAR(E148),0,IF((YEAR(D148)+16)&gt;YEAR(E148),1,(12-MONTH(E148)+1)/12))) + (Q148)*(IF((YEAR(D148)+16)&lt;YEAR(E148),0,IF((YEAR(D148)+16)&gt;YEAR(E148),1,(12-MONTH(E148)+1)/12))))-((P148)*(IF((YEAR(D148)+16)&lt;YEAR(E148),0,IF((YEAR(D148)+16)&gt;YEAR(E148),1,(12-MONTH(E148)+1)/12))) + (R148)*(IF((YEAR(D148)+16)&lt;YEAR(E148),0,IF((YEAR(D148)+16)&gt;YEAR(E148),1,(12-MONTH(E148)+1)/12))))-(IF(OR(N148="",N148&lt;=0),0,(O148/N148)*(IF(OR(N148="",N148&lt;=0),0,IF((YEAR(D148)+16)&lt;YEAR(E148),0,IF((YEAR(D148)+16)&gt;=YEAR(E148)+N148,0,IF((YEAR(D148)+16)=YEAR(E148),(12-MONTH(E148)+1)/12,1))))))))*TaxRate,0))-IF(16=0,O148,0))</f>
        <v/>
      </c>
      <c r="AJ148" s="29">
        <f>IF(A148="","",((K148)*(IF(M148="",L148,IFERROR(IF(INDEX(Variablen!$I:$AT, MATCH(M148, Variablen!$A:$A, 0), MATCH((YEAR(D148)+17), Variablen!$I$3:$AT$3, 0))="",L148,INDEX(Variablen!$I:$AT, MATCH(M148, Variablen!$A:$A, 0), MATCH((YEAR(D148)+17), Variablen!$I$3:$AT$3, 0))),L148)))*(IF((YEAR(D148)+17)&lt;YEAR(E148),0,IF((YEAR(D148)+17)&gt;YEAR(E148),1,(12-MONTH(E148)+1)/12))) + (Q148)*(IF((YEAR(D148)+17)&lt;YEAR(E148),0,IF((YEAR(D148)+17)&gt;YEAR(E148),1,(12-MONTH(E148)+1)/12))))-((P148)*(IF((YEAR(D148)+17)&lt;YEAR(E148),0,IF((YEAR(D148)+17)&gt;YEAR(E148),1,(12-MONTH(E148)+1)/12))) + (R148)*(IF((YEAR(D148)+17)&lt;YEAR(E148),0,IF((YEAR(D148)+17)&gt;YEAR(E148),1,(12-MONTH(E148)+1)/12))))-(IF((((K148)*(IF(M148="",L148,IFERROR(IF(INDEX(Variablen!$I:$AT, MATCH(M148, Variablen!$A:$A, 0), MATCH((YEAR(D148)+17), Variablen!$I$3:$AT$3, 0))="",L148,INDEX(Variablen!$I:$AT, MATCH(M148, Variablen!$A:$A, 0), MATCH((YEAR(D148)+17), Variablen!$I$3:$AT$3, 0))),L148)))*(IF((YEAR(D148)+17)&lt;YEAR(E148),0,IF((YEAR(D148)+17)&gt;YEAR(E148),1,(12-MONTH(E148)+1)/12))) + (Q148)*(IF((YEAR(D148)+17)&lt;YEAR(E148),0,IF((YEAR(D148)+17)&gt;YEAR(E148),1,(12-MONTH(E148)+1)/12))))-((P148)*(IF((YEAR(D148)+17)&lt;YEAR(E148),0,IF((YEAR(D148)+17)&gt;YEAR(E148),1,(12-MONTH(E148)+1)/12))) + (R148)*(IF((YEAR(D148)+17)&lt;YEAR(E148),0,IF((YEAR(D148)+17)&gt;YEAR(E148),1,(12-MONTH(E148)+1)/12))))-(IF(OR(N148="",N148&lt;=0),0,(O148/N148)*(IF(OR(N148="",N148&lt;=0),0,IF((YEAR(D148)+17)&lt;YEAR(E148),0,IF((YEAR(D148)+17)&gt;=YEAR(E148)+N148,0,IF((YEAR(D148)+17)=YEAR(E148),(12-MONTH(E148)+1)/12,1))))))))&gt;0,(((K148)*(IF(M148="",L148,IFERROR(IF(INDEX(Variablen!$I:$AT, MATCH(M148, Variablen!$A:$A, 0), MATCH((YEAR(D148)+17), Variablen!$I$3:$AT$3, 0))="",L148,INDEX(Variablen!$I:$AT, MATCH(M148, Variablen!$A:$A, 0), MATCH((YEAR(D148)+17), Variablen!$I$3:$AT$3, 0))),L148)))*(IF((YEAR(D148)+17)&lt;YEAR(E148),0,IF((YEAR(D148)+17)&gt;YEAR(E148),1,(12-MONTH(E148)+1)/12))) + (Q148)*(IF((YEAR(D148)+17)&lt;YEAR(E148),0,IF((YEAR(D148)+17)&gt;YEAR(E148),1,(12-MONTH(E148)+1)/12))))-((P148)*(IF((YEAR(D148)+17)&lt;YEAR(E148),0,IF((YEAR(D148)+17)&gt;YEAR(E148),1,(12-MONTH(E148)+1)/12))) + (R148)*(IF((YEAR(D148)+17)&lt;YEAR(E148),0,IF((YEAR(D148)+17)&gt;YEAR(E148),1,(12-MONTH(E148)+1)/12))))-(IF(OR(N148="",N148&lt;=0),0,(O148/N148)*(IF(OR(N148="",N148&lt;=0),0,IF((YEAR(D148)+17)&lt;YEAR(E148),0,IF((YEAR(D148)+17)&gt;=YEAR(E148)+N148,0,IF((YEAR(D148)+17)=YEAR(E148),(12-MONTH(E148)+1)/12,1))))))))*TaxRate,0))-IF(17=0,O148,0))</f>
        <v/>
      </c>
      <c r="AK148" s="29">
        <f>IF(A148="","",((K148)*(IF(M148="",L148,IFERROR(IF(INDEX(Variablen!$I:$AT, MATCH(M148, Variablen!$A:$A, 0), MATCH((YEAR(D148)+18), Variablen!$I$3:$AT$3, 0))="",L148,INDEX(Variablen!$I:$AT, MATCH(M148, Variablen!$A:$A, 0), MATCH((YEAR(D148)+18), Variablen!$I$3:$AT$3, 0))),L148)))*(IF((YEAR(D148)+18)&lt;YEAR(E148),0,IF((YEAR(D148)+18)&gt;YEAR(E148),1,(12-MONTH(E148)+1)/12))) + (Q148)*(IF((YEAR(D148)+18)&lt;YEAR(E148),0,IF((YEAR(D148)+18)&gt;YEAR(E148),1,(12-MONTH(E148)+1)/12))))-((P148)*(IF((YEAR(D148)+18)&lt;YEAR(E148),0,IF((YEAR(D148)+18)&gt;YEAR(E148),1,(12-MONTH(E148)+1)/12))) + (R148)*(IF((YEAR(D148)+18)&lt;YEAR(E148),0,IF((YEAR(D148)+18)&gt;YEAR(E148),1,(12-MONTH(E148)+1)/12))))-(IF((((K148)*(IF(M148="",L148,IFERROR(IF(INDEX(Variablen!$I:$AT, MATCH(M148, Variablen!$A:$A, 0), MATCH((YEAR(D148)+18), Variablen!$I$3:$AT$3, 0))="",L148,INDEX(Variablen!$I:$AT, MATCH(M148, Variablen!$A:$A, 0), MATCH((YEAR(D148)+18), Variablen!$I$3:$AT$3, 0))),L148)))*(IF((YEAR(D148)+18)&lt;YEAR(E148),0,IF((YEAR(D148)+18)&gt;YEAR(E148),1,(12-MONTH(E148)+1)/12))) + (Q148)*(IF((YEAR(D148)+18)&lt;YEAR(E148),0,IF((YEAR(D148)+18)&gt;YEAR(E148),1,(12-MONTH(E148)+1)/12))))-((P148)*(IF((YEAR(D148)+18)&lt;YEAR(E148),0,IF((YEAR(D148)+18)&gt;YEAR(E148),1,(12-MONTH(E148)+1)/12))) + (R148)*(IF((YEAR(D148)+18)&lt;YEAR(E148),0,IF((YEAR(D148)+18)&gt;YEAR(E148),1,(12-MONTH(E148)+1)/12))))-(IF(OR(N148="",N148&lt;=0),0,(O148/N148)*(IF(OR(N148="",N148&lt;=0),0,IF((YEAR(D148)+18)&lt;YEAR(E148),0,IF((YEAR(D148)+18)&gt;=YEAR(E148)+N148,0,IF((YEAR(D148)+18)=YEAR(E148),(12-MONTH(E148)+1)/12,1))))))))&gt;0,(((K148)*(IF(M148="",L148,IFERROR(IF(INDEX(Variablen!$I:$AT, MATCH(M148, Variablen!$A:$A, 0), MATCH((YEAR(D148)+18), Variablen!$I$3:$AT$3, 0))="",L148,INDEX(Variablen!$I:$AT, MATCH(M148, Variablen!$A:$A, 0), MATCH((YEAR(D148)+18), Variablen!$I$3:$AT$3, 0))),L148)))*(IF((YEAR(D148)+18)&lt;YEAR(E148),0,IF((YEAR(D148)+18)&gt;YEAR(E148),1,(12-MONTH(E148)+1)/12))) + (Q148)*(IF((YEAR(D148)+18)&lt;YEAR(E148),0,IF((YEAR(D148)+18)&gt;YEAR(E148),1,(12-MONTH(E148)+1)/12))))-((P148)*(IF((YEAR(D148)+18)&lt;YEAR(E148),0,IF((YEAR(D148)+18)&gt;YEAR(E148),1,(12-MONTH(E148)+1)/12))) + (R148)*(IF((YEAR(D148)+18)&lt;YEAR(E148),0,IF((YEAR(D148)+18)&gt;YEAR(E148),1,(12-MONTH(E148)+1)/12))))-(IF(OR(N148="",N148&lt;=0),0,(O148/N148)*(IF(OR(N148="",N148&lt;=0),0,IF((YEAR(D148)+18)&lt;YEAR(E148),0,IF((YEAR(D148)+18)&gt;=YEAR(E148)+N148,0,IF((YEAR(D148)+18)=YEAR(E148),(12-MONTH(E148)+1)/12,1))))))))*TaxRate,0))-IF(18=0,O148,0))</f>
        <v/>
      </c>
      <c r="AL148" s="29">
        <f>IF(A148="","",((K148)*(IF(M148="",L148,IFERROR(IF(INDEX(Variablen!$I:$AT, MATCH(M148, Variablen!$A:$A, 0), MATCH((YEAR(D148)+19), Variablen!$I$3:$AT$3, 0))="",L148,INDEX(Variablen!$I:$AT, MATCH(M148, Variablen!$A:$A, 0), MATCH((YEAR(D148)+19), Variablen!$I$3:$AT$3, 0))),L148)))*(IF((YEAR(D148)+19)&lt;YEAR(E148),0,IF((YEAR(D148)+19)&gt;YEAR(E148),1,(12-MONTH(E148)+1)/12))) + (Q148)*(IF((YEAR(D148)+19)&lt;YEAR(E148),0,IF((YEAR(D148)+19)&gt;YEAR(E148),1,(12-MONTH(E148)+1)/12))))-((P148)*(IF((YEAR(D148)+19)&lt;YEAR(E148),0,IF((YEAR(D148)+19)&gt;YEAR(E148),1,(12-MONTH(E148)+1)/12))) + (R148)*(IF((YEAR(D148)+19)&lt;YEAR(E148),0,IF((YEAR(D148)+19)&gt;YEAR(E148),1,(12-MONTH(E148)+1)/12))))-(IF((((K148)*(IF(M148="",L148,IFERROR(IF(INDEX(Variablen!$I:$AT, MATCH(M148, Variablen!$A:$A, 0), MATCH((YEAR(D148)+19), Variablen!$I$3:$AT$3, 0))="",L148,INDEX(Variablen!$I:$AT, MATCH(M148, Variablen!$A:$A, 0), MATCH((YEAR(D148)+19), Variablen!$I$3:$AT$3, 0))),L148)))*(IF((YEAR(D148)+19)&lt;YEAR(E148),0,IF((YEAR(D148)+19)&gt;YEAR(E148),1,(12-MONTH(E148)+1)/12))) + (Q148)*(IF((YEAR(D148)+19)&lt;YEAR(E148),0,IF((YEAR(D148)+19)&gt;YEAR(E148),1,(12-MONTH(E148)+1)/12))))-((P148)*(IF((YEAR(D148)+19)&lt;YEAR(E148),0,IF((YEAR(D148)+19)&gt;YEAR(E148),1,(12-MONTH(E148)+1)/12))) + (R148)*(IF((YEAR(D148)+19)&lt;YEAR(E148),0,IF((YEAR(D148)+19)&gt;YEAR(E148),1,(12-MONTH(E148)+1)/12))))-(IF(OR(N148="",N148&lt;=0),0,(O148/N148)*(IF(OR(N148="",N148&lt;=0),0,IF((YEAR(D148)+19)&lt;YEAR(E148),0,IF((YEAR(D148)+19)&gt;=YEAR(E148)+N148,0,IF((YEAR(D148)+19)=YEAR(E148),(12-MONTH(E148)+1)/12,1))))))))&gt;0,(((K148)*(IF(M148="",L148,IFERROR(IF(INDEX(Variablen!$I:$AT, MATCH(M148, Variablen!$A:$A, 0), MATCH((YEAR(D148)+19), Variablen!$I$3:$AT$3, 0))="",L148,INDEX(Variablen!$I:$AT, MATCH(M148, Variablen!$A:$A, 0), MATCH((YEAR(D148)+19), Variablen!$I$3:$AT$3, 0))),L148)))*(IF((YEAR(D148)+19)&lt;YEAR(E148),0,IF((YEAR(D148)+19)&gt;YEAR(E148),1,(12-MONTH(E148)+1)/12))) + (Q148)*(IF((YEAR(D148)+19)&lt;YEAR(E148),0,IF((YEAR(D148)+19)&gt;YEAR(E148),1,(12-MONTH(E148)+1)/12))))-((P148)*(IF((YEAR(D148)+19)&lt;YEAR(E148),0,IF((YEAR(D148)+19)&gt;YEAR(E148),1,(12-MONTH(E148)+1)/12))) + (R148)*(IF((YEAR(D148)+19)&lt;YEAR(E148),0,IF((YEAR(D148)+19)&gt;YEAR(E148),1,(12-MONTH(E148)+1)/12))))-(IF(OR(N148="",N148&lt;=0),0,(O148/N148)*(IF(OR(N148="",N148&lt;=0),0,IF((YEAR(D148)+19)&lt;YEAR(E148),0,IF((YEAR(D148)+19)&gt;=YEAR(E148)+N148,0,IF((YEAR(D148)+19)=YEAR(E148),(12-MONTH(E148)+1)/12,1))))))))*TaxRate,0))-IF(19=0,O148,0))</f>
        <v/>
      </c>
      <c r="AM148" s="29">
        <f>IF(A148="","",((K148)*(IF(M148="",L148,IFERROR(IF(INDEX(Variablen!$I:$AT, MATCH(M148, Variablen!$A:$A, 0), MATCH((YEAR(D148)+20), Variablen!$I$3:$AT$3, 0))="",L148,INDEX(Variablen!$I:$AT, MATCH(M148, Variablen!$A:$A, 0), MATCH((YEAR(D148)+20), Variablen!$I$3:$AT$3, 0))),L148)))*(IF((YEAR(D148)+20)&lt;YEAR(E148),0,IF((YEAR(D148)+20)&gt;YEAR(E148),1,(12-MONTH(E148)+1)/12))) + (Q148)*(IF((YEAR(D148)+20)&lt;YEAR(E148),0,IF((YEAR(D148)+20)&gt;YEAR(E148),1,(12-MONTH(E148)+1)/12))))-((P148)*(IF((YEAR(D148)+20)&lt;YEAR(E148),0,IF((YEAR(D148)+20)&gt;YEAR(E148),1,(12-MONTH(E148)+1)/12))) + (R148)*(IF((YEAR(D148)+20)&lt;YEAR(E148),0,IF((YEAR(D148)+20)&gt;YEAR(E148),1,(12-MONTH(E148)+1)/12))))-(IF((((K148)*(IF(M148="",L148,IFERROR(IF(INDEX(Variablen!$I:$AT, MATCH(M148, Variablen!$A:$A, 0), MATCH((YEAR(D148)+20), Variablen!$I$3:$AT$3, 0))="",L148,INDEX(Variablen!$I:$AT, MATCH(M148, Variablen!$A:$A, 0), MATCH((YEAR(D148)+20), Variablen!$I$3:$AT$3, 0))),L148)))*(IF((YEAR(D148)+20)&lt;YEAR(E148),0,IF((YEAR(D148)+20)&gt;YEAR(E148),1,(12-MONTH(E148)+1)/12))) + (Q148)*(IF((YEAR(D148)+20)&lt;YEAR(E148),0,IF((YEAR(D148)+20)&gt;YEAR(E148),1,(12-MONTH(E148)+1)/12))))-((P148)*(IF((YEAR(D148)+20)&lt;YEAR(E148),0,IF((YEAR(D148)+20)&gt;YEAR(E148),1,(12-MONTH(E148)+1)/12))) + (R148)*(IF((YEAR(D148)+20)&lt;YEAR(E148),0,IF((YEAR(D148)+20)&gt;YEAR(E148),1,(12-MONTH(E148)+1)/12))))-(IF(OR(N148="",N148&lt;=0),0,(O148/N148)*(IF(OR(N148="",N148&lt;=0),0,IF((YEAR(D148)+20)&lt;YEAR(E148),0,IF((YEAR(D148)+20)&gt;=YEAR(E148)+N148,0,IF((YEAR(D148)+20)=YEAR(E148),(12-MONTH(E148)+1)/12,1))))))))&gt;0,(((K148)*(IF(M148="",L148,IFERROR(IF(INDEX(Variablen!$I:$AT, MATCH(M148, Variablen!$A:$A, 0), MATCH((YEAR(D148)+20), Variablen!$I$3:$AT$3, 0))="",L148,INDEX(Variablen!$I:$AT, MATCH(M148, Variablen!$A:$A, 0), MATCH((YEAR(D148)+20), Variablen!$I$3:$AT$3, 0))),L148)))*(IF((YEAR(D148)+20)&lt;YEAR(E148),0,IF((YEAR(D148)+20)&gt;YEAR(E148),1,(12-MONTH(E148)+1)/12))) + (Q148)*(IF((YEAR(D148)+20)&lt;YEAR(E148),0,IF((YEAR(D148)+20)&gt;YEAR(E148),1,(12-MONTH(E148)+1)/12))))-((P148)*(IF((YEAR(D148)+20)&lt;YEAR(E148),0,IF((YEAR(D148)+20)&gt;YEAR(E148),1,(12-MONTH(E148)+1)/12))) + (R148)*(IF((YEAR(D148)+20)&lt;YEAR(E148),0,IF((YEAR(D148)+20)&gt;YEAR(E148),1,(12-MONTH(E148)+1)/12))))-(IF(OR(N148="",N148&lt;=0),0,(O148/N148)*(IF(OR(N148="",N148&lt;=0),0,IF((YEAR(D148)+20)&lt;YEAR(E148),0,IF((YEAR(D148)+20)&gt;=YEAR(E148)+N148,0,IF((YEAR(D148)+20)=YEAR(E148),(12-MONTH(E148)+1)/12,1))))))))*TaxRate,0))-IF(20=0,O148,0))</f>
        <v/>
      </c>
      <c r="AN148" s="29">
        <f>IF(A148="","",S148)</f>
        <v/>
      </c>
      <c r="AO148" s="29">
        <f>IF(A148="","",AN148+T148)</f>
        <v/>
      </c>
      <c r="AP148" s="29">
        <f>IF(A148="","",AO148+U148)</f>
        <v/>
      </c>
      <c r="AQ148" s="29">
        <f>IF(A148="","",AP148+V148)</f>
        <v/>
      </c>
      <c r="AR148" s="29">
        <f>IF(A148="","",AQ148+W148)</f>
        <v/>
      </c>
      <c r="AS148" s="29">
        <f>IF(A148="","",AR148+X148)</f>
        <v/>
      </c>
      <c r="AT148" s="29">
        <f>IF(A148="","",AS148+Y148)</f>
        <v/>
      </c>
      <c r="AU148" s="29">
        <f>IF(A148="","",AT148+Z148)</f>
        <v/>
      </c>
      <c r="AV148" s="29">
        <f>IF(A148="","",AU148+AA148)</f>
        <v/>
      </c>
      <c r="AW148" s="29">
        <f>IF(A148="","",AV148+AB148)</f>
        <v/>
      </c>
      <c r="AX148" s="29">
        <f>IF(A148="","",AW148+AC148)</f>
        <v/>
      </c>
      <c r="AY148" s="29">
        <f>IF(A148="","",AX148+AD148)</f>
        <v/>
      </c>
      <c r="AZ148" s="29">
        <f>IF(A148="","",AY148+AE148)</f>
        <v/>
      </c>
      <c r="BA148" s="29">
        <f>IF(A148="","",AZ148+AF148)</f>
        <v/>
      </c>
      <c r="BB148" s="29">
        <f>IF(A148="","",BA148+AG148)</f>
        <v/>
      </c>
      <c r="BC148" s="29">
        <f>IF(A148="","",BB148+AH148)</f>
        <v/>
      </c>
      <c r="BD148" s="29">
        <f>IF(A148="","",BC148+AI148)</f>
        <v/>
      </c>
      <c r="BE148" s="29">
        <f>IF(A148="","",BD148+AJ148)</f>
        <v/>
      </c>
      <c r="BF148" s="29">
        <f>IF(A148="","",BE148+AK148)</f>
        <v/>
      </c>
      <c r="BG148" s="29">
        <f>IF(A148="","",BF148+AL148)</f>
        <v/>
      </c>
      <c r="BH148" s="29">
        <f>IF(A148="","",BG148+AM148)</f>
        <v/>
      </c>
      <c r="BI148" s="36">
        <f>IF(A148="","",(K148)*(IF((YEAR(D148)+0)&lt;YEAR(E148),0,IF((YEAR(D148)+0)&gt;YEAR(E148),1,(12-MONTH(E148)+1)/12)))*(1/(1+DiscountRate)^0))</f>
        <v/>
      </c>
      <c r="BJ148" s="36">
        <f>IF(A148="","",(K148)*(IF((YEAR(D148)+1)&lt;YEAR(E148),0,IF((YEAR(D148)+1)&gt;YEAR(E148),1,(12-MONTH(E148)+1)/12)))*(1/(1+DiscountRate)^1))</f>
        <v/>
      </c>
      <c r="BK148" s="36">
        <f>IF(A148="","",(K148)*(IF((YEAR(D148)+2)&lt;YEAR(E148),0,IF((YEAR(D148)+2)&gt;YEAR(E148),1,(12-MONTH(E148)+1)/12)))*(1/(1+DiscountRate)^2))</f>
        <v/>
      </c>
      <c r="BL148" s="36">
        <f>IF(A148="","",(K148)*(IF((YEAR(D148)+3)&lt;YEAR(E148),0,IF((YEAR(D148)+3)&gt;YEAR(E148),1,(12-MONTH(E148)+1)/12)))*(1/(1+DiscountRate)^3))</f>
        <v/>
      </c>
      <c r="BM148" s="36">
        <f>IF(A148="","",(K148)*(IF((YEAR(D148)+4)&lt;YEAR(E148),0,IF((YEAR(D148)+4)&gt;YEAR(E148),1,(12-MONTH(E148)+1)/12)))*(1/(1+DiscountRate)^4))</f>
        <v/>
      </c>
      <c r="BN148" s="36">
        <f>IF(A148="","",(K148)*(IF((YEAR(D148)+5)&lt;YEAR(E148),0,IF((YEAR(D148)+5)&gt;YEAR(E148),1,(12-MONTH(E148)+1)/12)))*(1/(1+DiscountRate)^5))</f>
        <v/>
      </c>
      <c r="BO148" s="36">
        <f>IF(A148="","",(K148)*(IF((YEAR(D148)+6)&lt;YEAR(E148),0,IF((YEAR(D148)+6)&gt;YEAR(E148),1,(12-MONTH(E148)+1)/12)))*(1/(1+DiscountRate)^6))</f>
        <v/>
      </c>
      <c r="BP148" s="36">
        <f>IF(A148="","",(K148)*(IF((YEAR(D148)+7)&lt;YEAR(E148),0,IF((YEAR(D148)+7)&gt;YEAR(E148),1,(12-MONTH(E148)+1)/12)))*(1/(1+DiscountRate)^7))</f>
        <v/>
      </c>
      <c r="BQ148" s="36">
        <f>IF(A148="","",(K148)*(IF((YEAR(D148)+8)&lt;YEAR(E148),0,IF((YEAR(D148)+8)&gt;YEAR(E148),1,(12-MONTH(E148)+1)/12)))*(1/(1+DiscountRate)^8))</f>
        <v/>
      </c>
      <c r="BR148" s="36">
        <f>IF(A148="","",(K148)*(IF((YEAR(D148)+9)&lt;YEAR(E148),0,IF((YEAR(D148)+9)&gt;YEAR(E148),1,(12-MONTH(E148)+1)/12)))*(1/(1+DiscountRate)^9))</f>
        <v/>
      </c>
      <c r="BS148" s="36">
        <f>IF(A148="","",(K148)*(IF((YEAR(D148)+10)&lt;YEAR(E148),0,IF((YEAR(D148)+10)&gt;YEAR(E148),1,(12-MONTH(E148)+1)/12)))*(1/(1+DiscountRate)^10))</f>
        <v/>
      </c>
      <c r="BT148" s="36">
        <f>IF(A148="","",(K148)*(IF((YEAR(D148)+11)&lt;YEAR(E148),0,IF((YEAR(D148)+11)&gt;YEAR(E148),1,(12-MONTH(E148)+1)/12)))*(1/(1+DiscountRate)^11))</f>
        <v/>
      </c>
      <c r="BU148" s="36">
        <f>IF(A148="","",(K148)*(IF((YEAR(D148)+12)&lt;YEAR(E148),0,IF((YEAR(D148)+12)&gt;YEAR(E148),1,(12-MONTH(E148)+1)/12)))*(1/(1+DiscountRate)^12))</f>
        <v/>
      </c>
      <c r="BV148" s="36">
        <f>IF(A148="","",(K148)*(IF((YEAR(D148)+13)&lt;YEAR(E148),0,IF((YEAR(D148)+13)&gt;YEAR(E148),1,(12-MONTH(E148)+1)/12)))*(1/(1+DiscountRate)^13))</f>
        <v/>
      </c>
      <c r="BW148" s="36">
        <f>IF(A148="","",(K148)*(IF((YEAR(D148)+14)&lt;YEAR(E148),0,IF((YEAR(D148)+14)&gt;YEAR(E148),1,(12-MONTH(E148)+1)/12)))*(1/(1+DiscountRate)^14))</f>
        <v/>
      </c>
      <c r="BX148" s="36">
        <f>IF(A148="","",(K148)*(IF((YEAR(D148)+15)&lt;YEAR(E148),0,IF((YEAR(D148)+15)&gt;YEAR(E148),1,(12-MONTH(E148)+1)/12)))*(1/(1+DiscountRate)^15))</f>
        <v/>
      </c>
      <c r="BY148" s="36">
        <f>IF(A148="","",(K148)*(IF((YEAR(D148)+16)&lt;YEAR(E148),0,IF((YEAR(D148)+16)&gt;YEAR(E148),1,(12-MONTH(E148)+1)/12)))*(1/(1+DiscountRate)^16))</f>
        <v/>
      </c>
      <c r="BZ148" s="36">
        <f>IF(A148="","",(K148)*(IF((YEAR(D148)+17)&lt;YEAR(E148),0,IF((YEAR(D148)+17)&gt;YEAR(E148),1,(12-MONTH(E148)+1)/12)))*(1/(1+DiscountRate)^17))</f>
        <v/>
      </c>
      <c r="CA148" s="36">
        <f>IF(A148="","",(K148)*(IF((YEAR(D148)+18)&lt;YEAR(E148),0,IF((YEAR(D148)+18)&gt;YEAR(E148),1,(12-MONTH(E148)+1)/12)))*(1/(1+DiscountRate)^18))</f>
        <v/>
      </c>
      <c r="CB148" s="36">
        <f>IF(A148="","",(K148)*(IF((YEAR(D148)+19)&lt;YEAR(E148),0,IF((YEAR(D148)+19)&gt;YEAR(E148),1,(12-MONTH(E148)+1)/12)))*(1/(1+DiscountRate)^19))</f>
        <v/>
      </c>
      <c r="CC148" s="36">
        <f>IF(A148="","",(K148)*(IF((YEAR(D148)+20)&lt;YEAR(E148),0,IF((YEAR(D148)+20)&gt;YEAR(E148),1,(12-MONTH(E148)+1)/12)))*(1/(1+DiscountRate)^20))</f>
        <v/>
      </c>
      <c r="CD148" s="29">
        <f>IF(A148="","",S148/(1+DiscountRate)^0+T148/(1+DiscountRate)^1+U148/(1+DiscountRate)^2+V148/(1+DiscountRate)^3+W148/(1+DiscountRate)^4+X148/(1+DiscountRate)^5+Y148/(1+DiscountRate)^6+Z148/(1+DiscountRate)^7+AA148/(1+DiscountRate)^8+AB148/(1+DiscountRate)^9+AC148/(1+DiscountRate)^10+AD148/(1+DiscountRate)^11+AE148/(1+DiscountRate)^12+AF148/(1+DiscountRate)^13+AG148/(1+DiscountRate)^14+AH148/(1+DiscountRate)^15+AI148/(1+DiscountRate)^16+AJ148/(1+DiscountRate)^17+AK148/(1+DiscountRate)^18+AL148/(1+DiscountRate)^19+AM148/(1+DiscountRate)^20)</f>
        <v/>
      </c>
      <c r="CE148" s="37">
        <f>IF(A148="","",IFERROR(IRR(OFFSET(S148,0,0,1,MIN(HorizonYears,20)+1)),"n/a"))</f>
        <v/>
      </c>
      <c r="CF148" s="28">
        <f>IF(A148="","",IFERROR(MATCH(TRUE,OFFSET(AN148,0,0,1,MIN(HorizonYears,20)+1)&gt;=0,0)-1,"n/a"))</f>
        <v/>
      </c>
      <c r="CG148" s="36">
        <f>IF(A148="","",SUM(OFFSET(BI148,0,0,1,MIN(HorizonYears,20)+1)))</f>
        <v/>
      </c>
      <c r="CH148" s="36">
        <f>IF(A148="","",IFERROR(-CD148/CG148,"n/a"))</f>
        <v/>
      </c>
    </row>
    <row r="149">
      <c r="A149" s="6">
        <f>Actions!A147</f>
        <v/>
      </c>
      <c r="B149" s="6">
        <f>Actions!B147</f>
        <v/>
      </c>
      <c r="C149" s="6">
        <f>Actions!D147</f>
        <v/>
      </c>
      <c r="D149" s="35">
        <f>Actions!E147</f>
        <v/>
      </c>
      <c r="E149" s="35">
        <f>Actions!F147</f>
        <v/>
      </c>
      <c r="F149" s="6">
        <f>Actions!G147</f>
        <v/>
      </c>
      <c r="G149" s="6">
        <f>Actions!H147</f>
        <v/>
      </c>
      <c r="H149" s="29">
        <f>Actions!I147</f>
        <v/>
      </c>
      <c r="I149" s="6">
        <f>Actions!J147</f>
        <v/>
      </c>
      <c r="J149" s="16">
        <f>Actions!K147</f>
        <v/>
      </c>
      <c r="K149" s="16">
        <f>IF(A149="","",IF(I149="%",H149*J149,J149))</f>
        <v/>
      </c>
      <c r="L149" s="16">
        <f>Actions!L147</f>
        <v/>
      </c>
      <c r="M149" s="6">
        <f>Actions!M147</f>
        <v/>
      </c>
      <c r="N149" s="28">
        <f>Actions!N147</f>
        <v/>
      </c>
      <c r="O149" s="29">
        <f>Actions!T147</f>
        <v/>
      </c>
      <c r="P149" s="29">
        <f>Actions!Y147</f>
        <v/>
      </c>
      <c r="Q149" s="29">
        <f>Actions!Z147</f>
        <v/>
      </c>
      <c r="R149" s="29">
        <f>Actions!AA147</f>
        <v/>
      </c>
      <c r="S149" s="29">
        <f>IF(A149="","",((K149)*(IF(M149="",L149,IFERROR(IF(INDEX(Variablen!$I:$AT, MATCH(M149, Variablen!$A:$A, 0), MATCH((YEAR(D149)+0), Variablen!$I$3:$AT$3, 0))="",L149,INDEX(Variablen!$I:$AT, MATCH(M149, Variablen!$A:$A, 0), MATCH((YEAR(D149)+0), Variablen!$I$3:$AT$3, 0))),L149)))*(IF((YEAR(D149)+0)&lt;YEAR(E149),0,IF((YEAR(D149)+0)&gt;YEAR(E149),1,(12-MONTH(E149)+1)/12))) + (Q149)*(IF((YEAR(D149)+0)&lt;YEAR(E149),0,IF((YEAR(D149)+0)&gt;YEAR(E149),1,(12-MONTH(E149)+1)/12))))-((P149)*(IF((YEAR(D149)+0)&lt;YEAR(E149),0,IF((YEAR(D149)+0)&gt;YEAR(E149),1,(12-MONTH(E149)+1)/12))) + (R149)*(IF((YEAR(D149)+0)&lt;YEAR(E149),0,IF((YEAR(D149)+0)&gt;YEAR(E149),1,(12-MONTH(E149)+1)/12))))-(IF((((K149)*(IF(M149="",L149,IFERROR(IF(INDEX(Variablen!$I:$AT, MATCH(M149, Variablen!$A:$A, 0), MATCH((YEAR(D149)+0), Variablen!$I$3:$AT$3, 0))="",L149,INDEX(Variablen!$I:$AT, MATCH(M149, Variablen!$A:$A, 0), MATCH((YEAR(D149)+0), Variablen!$I$3:$AT$3, 0))),L149)))*(IF((YEAR(D149)+0)&lt;YEAR(E149),0,IF((YEAR(D149)+0)&gt;YEAR(E149),1,(12-MONTH(E149)+1)/12))) + (Q149)*(IF((YEAR(D149)+0)&lt;YEAR(E149),0,IF((YEAR(D149)+0)&gt;YEAR(E149),1,(12-MONTH(E149)+1)/12))))-((P149)*(IF((YEAR(D149)+0)&lt;YEAR(E149),0,IF((YEAR(D149)+0)&gt;YEAR(E149),1,(12-MONTH(E149)+1)/12))) + (R149)*(IF((YEAR(D149)+0)&lt;YEAR(E149),0,IF((YEAR(D149)+0)&gt;YEAR(E149),1,(12-MONTH(E149)+1)/12))))-(IF(OR(N149="",N149&lt;=0),0,(O149/N149)*(IF(OR(N149="",N149&lt;=0),0,IF((YEAR(D149)+0)&lt;YEAR(E149),0,IF((YEAR(D149)+0)&gt;=YEAR(E149)+N149,0,IF((YEAR(D149)+0)=YEAR(E149),(12-MONTH(E149)+1)/12,1))))))))&gt;0,(((K149)*(IF(M149="",L149,IFERROR(IF(INDEX(Variablen!$I:$AT, MATCH(M149, Variablen!$A:$A, 0), MATCH((YEAR(D149)+0), Variablen!$I$3:$AT$3, 0))="",L149,INDEX(Variablen!$I:$AT, MATCH(M149, Variablen!$A:$A, 0), MATCH((YEAR(D149)+0), Variablen!$I$3:$AT$3, 0))),L149)))*(IF((YEAR(D149)+0)&lt;YEAR(E149),0,IF((YEAR(D149)+0)&gt;YEAR(E149),1,(12-MONTH(E149)+1)/12))) + (Q149)*(IF((YEAR(D149)+0)&lt;YEAR(E149),0,IF((YEAR(D149)+0)&gt;YEAR(E149),1,(12-MONTH(E149)+1)/12))))-((P149)*(IF((YEAR(D149)+0)&lt;YEAR(E149),0,IF((YEAR(D149)+0)&gt;YEAR(E149),1,(12-MONTH(E149)+1)/12))) + (R149)*(IF((YEAR(D149)+0)&lt;YEAR(E149),0,IF((YEAR(D149)+0)&gt;YEAR(E149),1,(12-MONTH(E149)+1)/12))))-(IF(OR(N149="",N149&lt;=0),0,(O149/N149)*(IF(OR(N149="",N149&lt;=0),0,IF((YEAR(D149)+0)&lt;YEAR(E149),0,IF((YEAR(D149)+0)&gt;=YEAR(E149)+N149,0,IF((YEAR(D149)+0)=YEAR(E149),(12-MONTH(E149)+1)/12,1))))))))*TaxRate,0))-IF(0=0,O149,0))</f>
        <v/>
      </c>
      <c r="T149" s="29">
        <f>IF(A149="","",((K149)*(IF(M149="",L149,IFERROR(IF(INDEX(Variablen!$I:$AT, MATCH(M149, Variablen!$A:$A, 0), MATCH((YEAR(D149)+1), Variablen!$I$3:$AT$3, 0))="",L149,INDEX(Variablen!$I:$AT, MATCH(M149, Variablen!$A:$A, 0), MATCH((YEAR(D149)+1), Variablen!$I$3:$AT$3, 0))),L149)))*(IF((YEAR(D149)+1)&lt;YEAR(E149),0,IF((YEAR(D149)+1)&gt;YEAR(E149),1,(12-MONTH(E149)+1)/12))) + (Q149)*(IF((YEAR(D149)+1)&lt;YEAR(E149),0,IF((YEAR(D149)+1)&gt;YEAR(E149),1,(12-MONTH(E149)+1)/12))))-((P149)*(IF((YEAR(D149)+1)&lt;YEAR(E149),0,IF((YEAR(D149)+1)&gt;YEAR(E149),1,(12-MONTH(E149)+1)/12))) + (R149)*(IF((YEAR(D149)+1)&lt;YEAR(E149),0,IF((YEAR(D149)+1)&gt;YEAR(E149),1,(12-MONTH(E149)+1)/12))))-(IF((((K149)*(IF(M149="",L149,IFERROR(IF(INDEX(Variablen!$I:$AT, MATCH(M149, Variablen!$A:$A, 0), MATCH((YEAR(D149)+1), Variablen!$I$3:$AT$3, 0))="",L149,INDEX(Variablen!$I:$AT, MATCH(M149, Variablen!$A:$A, 0), MATCH((YEAR(D149)+1), Variablen!$I$3:$AT$3, 0))),L149)))*(IF((YEAR(D149)+1)&lt;YEAR(E149),0,IF((YEAR(D149)+1)&gt;YEAR(E149),1,(12-MONTH(E149)+1)/12))) + (Q149)*(IF((YEAR(D149)+1)&lt;YEAR(E149),0,IF((YEAR(D149)+1)&gt;YEAR(E149),1,(12-MONTH(E149)+1)/12))))-((P149)*(IF((YEAR(D149)+1)&lt;YEAR(E149),0,IF((YEAR(D149)+1)&gt;YEAR(E149),1,(12-MONTH(E149)+1)/12))) + (R149)*(IF((YEAR(D149)+1)&lt;YEAR(E149),0,IF((YEAR(D149)+1)&gt;YEAR(E149),1,(12-MONTH(E149)+1)/12))))-(IF(OR(N149="",N149&lt;=0),0,(O149/N149)*(IF(OR(N149="",N149&lt;=0),0,IF((YEAR(D149)+1)&lt;YEAR(E149),0,IF((YEAR(D149)+1)&gt;=YEAR(E149)+N149,0,IF((YEAR(D149)+1)=YEAR(E149),(12-MONTH(E149)+1)/12,1))))))))&gt;0,(((K149)*(IF(M149="",L149,IFERROR(IF(INDEX(Variablen!$I:$AT, MATCH(M149, Variablen!$A:$A, 0), MATCH((YEAR(D149)+1), Variablen!$I$3:$AT$3, 0))="",L149,INDEX(Variablen!$I:$AT, MATCH(M149, Variablen!$A:$A, 0), MATCH((YEAR(D149)+1), Variablen!$I$3:$AT$3, 0))),L149)))*(IF((YEAR(D149)+1)&lt;YEAR(E149),0,IF((YEAR(D149)+1)&gt;YEAR(E149),1,(12-MONTH(E149)+1)/12))) + (Q149)*(IF((YEAR(D149)+1)&lt;YEAR(E149),0,IF((YEAR(D149)+1)&gt;YEAR(E149),1,(12-MONTH(E149)+1)/12))))-((P149)*(IF((YEAR(D149)+1)&lt;YEAR(E149),0,IF((YEAR(D149)+1)&gt;YEAR(E149),1,(12-MONTH(E149)+1)/12))) + (R149)*(IF((YEAR(D149)+1)&lt;YEAR(E149),0,IF((YEAR(D149)+1)&gt;YEAR(E149),1,(12-MONTH(E149)+1)/12))))-(IF(OR(N149="",N149&lt;=0),0,(O149/N149)*(IF(OR(N149="",N149&lt;=0),0,IF((YEAR(D149)+1)&lt;YEAR(E149),0,IF((YEAR(D149)+1)&gt;=YEAR(E149)+N149,0,IF((YEAR(D149)+1)=YEAR(E149),(12-MONTH(E149)+1)/12,1))))))))*TaxRate,0))-IF(1=0,O149,0))</f>
        <v/>
      </c>
      <c r="U149" s="29">
        <f>IF(A149="","",((K149)*(IF(M149="",L149,IFERROR(IF(INDEX(Variablen!$I:$AT, MATCH(M149, Variablen!$A:$A, 0), MATCH((YEAR(D149)+2), Variablen!$I$3:$AT$3, 0))="",L149,INDEX(Variablen!$I:$AT, MATCH(M149, Variablen!$A:$A, 0), MATCH((YEAR(D149)+2), Variablen!$I$3:$AT$3, 0))),L149)))*(IF((YEAR(D149)+2)&lt;YEAR(E149),0,IF((YEAR(D149)+2)&gt;YEAR(E149),1,(12-MONTH(E149)+1)/12))) + (Q149)*(IF((YEAR(D149)+2)&lt;YEAR(E149),0,IF((YEAR(D149)+2)&gt;YEAR(E149),1,(12-MONTH(E149)+1)/12))))-((P149)*(IF((YEAR(D149)+2)&lt;YEAR(E149),0,IF((YEAR(D149)+2)&gt;YEAR(E149),1,(12-MONTH(E149)+1)/12))) + (R149)*(IF((YEAR(D149)+2)&lt;YEAR(E149),0,IF((YEAR(D149)+2)&gt;YEAR(E149),1,(12-MONTH(E149)+1)/12))))-(IF((((K149)*(IF(M149="",L149,IFERROR(IF(INDEX(Variablen!$I:$AT, MATCH(M149, Variablen!$A:$A, 0), MATCH((YEAR(D149)+2), Variablen!$I$3:$AT$3, 0))="",L149,INDEX(Variablen!$I:$AT, MATCH(M149, Variablen!$A:$A, 0), MATCH((YEAR(D149)+2), Variablen!$I$3:$AT$3, 0))),L149)))*(IF((YEAR(D149)+2)&lt;YEAR(E149),0,IF((YEAR(D149)+2)&gt;YEAR(E149),1,(12-MONTH(E149)+1)/12))) + (Q149)*(IF((YEAR(D149)+2)&lt;YEAR(E149),0,IF((YEAR(D149)+2)&gt;YEAR(E149),1,(12-MONTH(E149)+1)/12))))-((P149)*(IF((YEAR(D149)+2)&lt;YEAR(E149),0,IF((YEAR(D149)+2)&gt;YEAR(E149),1,(12-MONTH(E149)+1)/12))) + (R149)*(IF((YEAR(D149)+2)&lt;YEAR(E149),0,IF((YEAR(D149)+2)&gt;YEAR(E149),1,(12-MONTH(E149)+1)/12))))-(IF(OR(N149="",N149&lt;=0),0,(O149/N149)*(IF(OR(N149="",N149&lt;=0),0,IF((YEAR(D149)+2)&lt;YEAR(E149),0,IF((YEAR(D149)+2)&gt;=YEAR(E149)+N149,0,IF((YEAR(D149)+2)=YEAR(E149),(12-MONTH(E149)+1)/12,1))))))))&gt;0,(((K149)*(IF(M149="",L149,IFERROR(IF(INDEX(Variablen!$I:$AT, MATCH(M149, Variablen!$A:$A, 0), MATCH((YEAR(D149)+2), Variablen!$I$3:$AT$3, 0))="",L149,INDEX(Variablen!$I:$AT, MATCH(M149, Variablen!$A:$A, 0), MATCH((YEAR(D149)+2), Variablen!$I$3:$AT$3, 0))),L149)))*(IF((YEAR(D149)+2)&lt;YEAR(E149),0,IF((YEAR(D149)+2)&gt;YEAR(E149),1,(12-MONTH(E149)+1)/12))) + (Q149)*(IF((YEAR(D149)+2)&lt;YEAR(E149),0,IF((YEAR(D149)+2)&gt;YEAR(E149),1,(12-MONTH(E149)+1)/12))))-((P149)*(IF((YEAR(D149)+2)&lt;YEAR(E149),0,IF((YEAR(D149)+2)&gt;YEAR(E149),1,(12-MONTH(E149)+1)/12))) + (R149)*(IF((YEAR(D149)+2)&lt;YEAR(E149),0,IF((YEAR(D149)+2)&gt;YEAR(E149),1,(12-MONTH(E149)+1)/12))))-(IF(OR(N149="",N149&lt;=0),0,(O149/N149)*(IF(OR(N149="",N149&lt;=0),0,IF((YEAR(D149)+2)&lt;YEAR(E149),0,IF((YEAR(D149)+2)&gt;=YEAR(E149)+N149,0,IF((YEAR(D149)+2)=YEAR(E149),(12-MONTH(E149)+1)/12,1))))))))*TaxRate,0))-IF(2=0,O149,0))</f>
        <v/>
      </c>
      <c r="V149" s="29">
        <f>IF(A149="","",((K149)*(IF(M149="",L149,IFERROR(IF(INDEX(Variablen!$I:$AT, MATCH(M149, Variablen!$A:$A, 0), MATCH((YEAR(D149)+3), Variablen!$I$3:$AT$3, 0))="",L149,INDEX(Variablen!$I:$AT, MATCH(M149, Variablen!$A:$A, 0), MATCH((YEAR(D149)+3), Variablen!$I$3:$AT$3, 0))),L149)))*(IF((YEAR(D149)+3)&lt;YEAR(E149),0,IF((YEAR(D149)+3)&gt;YEAR(E149),1,(12-MONTH(E149)+1)/12))) + (Q149)*(IF((YEAR(D149)+3)&lt;YEAR(E149),0,IF((YEAR(D149)+3)&gt;YEAR(E149),1,(12-MONTH(E149)+1)/12))))-((P149)*(IF((YEAR(D149)+3)&lt;YEAR(E149),0,IF((YEAR(D149)+3)&gt;YEAR(E149),1,(12-MONTH(E149)+1)/12))) + (R149)*(IF((YEAR(D149)+3)&lt;YEAR(E149),0,IF((YEAR(D149)+3)&gt;YEAR(E149),1,(12-MONTH(E149)+1)/12))))-(IF((((K149)*(IF(M149="",L149,IFERROR(IF(INDEX(Variablen!$I:$AT, MATCH(M149, Variablen!$A:$A, 0), MATCH((YEAR(D149)+3), Variablen!$I$3:$AT$3, 0))="",L149,INDEX(Variablen!$I:$AT, MATCH(M149, Variablen!$A:$A, 0), MATCH((YEAR(D149)+3), Variablen!$I$3:$AT$3, 0))),L149)))*(IF((YEAR(D149)+3)&lt;YEAR(E149),0,IF((YEAR(D149)+3)&gt;YEAR(E149),1,(12-MONTH(E149)+1)/12))) + (Q149)*(IF((YEAR(D149)+3)&lt;YEAR(E149),0,IF((YEAR(D149)+3)&gt;YEAR(E149),1,(12-MONTH(E149)+1)/12))))-((P149)*(IF((YEAR(D149)+3)&lt;YEAR(E149),0,IF((YEAR(D149)+3)&gt;YEAR(E149),1,(12-MONTH(E149)+1)/12))) + (R149)*(IF((YEAR(D149)+3)&lt;YEAR(E149),0,IF((YEAR(D149)+3)&gt;YEAR(E149),1,(12-MONTH(E149)+1)/12))))-(IF(OR(N149="",N149&lt;=0),0,(O149/N149)*(IF(OR(N149="",N149&lt;=0),0,IF((YEAR(D149)+3)&lt;YEAR(E149),0,IF((YEAR(D149)+3)&gt;=YEAR(E149)+N149,0,IF((YEAR(D149)+3)=YEAR(E149),(12-MONTH(E149)+1)/12,1))))))))&gt;0,(((K149)*(IF(M149="",L149,IFERROR(IF(INDEX(Variablen!$I:$AT, MATCH(M149, Variablen!$A:$A, 0), MATCH((YEAR(D149)+3), Variablen!$I$3:$AT$3, 0))="",L149,INDEX(Variablen!$I:$AT, MATCH(M149, Variablen!$A:$A, 0), MATCH((YEAR(D149)+3), Variablen!$I$3:$AT$3, 0))),L149)))*(IF((YEAR(D149)+3)&lt;YEAR(E149),0,IF((YEAR(D149)+3)&gt;YEAR(E149),1,(12-MONTH(E149)+1)/12))) + (Q149)*(IF((YEAR(D149)+3)&lt;YEAR(E149),0,IF((YEAR(D149)+3)&gt;YEAR(E149),1,(12-MONTH(E149)+1)/12))))-((P149)*(IF((YEAR(D149)+3)&lt;YEAR(E149),0,IF((YEAR(D149)+3)&gt;YEAR(E149),1,(12-MONTH(E149)+1)/12))) + (R149)*(IF((YEAR(D149)+3)&lt;YEAR(E149),0,IF((YEAR(D149)+3)&gt;YEAR(E149),1,(12-MONTH(E149)+1)/12))))-(IF(OR(N149="",N149&lt;=0),0,(O149/N149)*(IF(OR(N149="",N149&lt;=0),0,IF((YEAR(D149)+3)&lt;YEAR(E149),0,IF((YEAR(D149)+3)&gt;=YEAR(E149)+N149,0,IF((YEAR(D149)+3)=YEAR(E149),(12-MONTH(E149)+1)/12,1))))))))*TaxRate,0))-IF(3=0,O149,0))</f>
        <v/>
      </c>
      <c r="W149" s="29">
        <f>IF(A149="","",((K149)*(IF(M149="",L149,IFERROR(IF(INDEX(Variablen!$I:$AT, MATCH(M149, Variablen!$A:$A, 0), MATCH((YEAR(D149)+4), Variablen!$I$3:$AT$3, 0))="",L149,INDEX(Variablen!$I:$AT, MATCH(M149, Variablen!$A:$A, 0), MATCH((YEAR(D149)+4), Variablen!$I$3:$AT$3, 0))),L149)))*(IF((YEAR(D149)+4)&lt;YEAR(E149),0,IF((YEAR(D149)+4)&gt;YEAR(E149),1,(12-MONTH(E149)+1)/12))) + (Q149)*(IF((YEAR(D149)+4)&lt;YEAR(E149),0,IF((YEAR(D149)+4)&gt;YEAR(E149),1,(12-MONTH(E149)+1)/12))))-((P149)*(IF((YEAR(D149)+4)&lt;YEAR(E149),0,IF((YEAR(D149)+4)&gt;YEAR(E149),1,(12-MONTH(E149)+1)/12))) + (R149)*(IF((YEAR(D149)+4)&lt;YEAR(E149),0,IF((YEAR(D149)+4)&gt;YEAR(E149),1,(12-MONTH(E149)+1)/12))))-(IF((((K149)*(IF(M149="",L149,IFERROR(IF(INDEX(Variablen!$I:$AT, MATCH(M149, Variablen!$A:$A, 0), MATCH((YEAR(D149)+4), Variablen!$I$3:$AT$3, 0))="",L149,INDEX(Variablen!$I:$AT, MATCH(M149, Variablen!$A:$A, 0), MATCH((YEAR(D149)+4), Variablen!$I$3:$AT$3, 0))),L149)))*(IF((YEAR(D149)+4)&lt;YEAR(E149),0,IF((YEAR(D149)+4)&gt;YEAR(E149),1,(12-MONTH(E149)+1)/12))) + (Q149)*(IF((YEAR(D149)+4)&lt;YEAR(E149),0,IF((YEAR(D149)+4)&gt;YEAR(E149),1,(12-MONTH(E149)+1)/12))))-((P149)*(IF((YEAR(D149)+4)&lt;YEAR(E149),0,IF((YEAR(D149)+4)&gt;YEAR(E149),1,(12-MONTH(E149)+1)/12))) + (R149)*(IF((YEAR(D149)+4)&lt;YEAR(E149),0,IF((YEAR(D149)+4)&gt;YEAR(E149),1,(12-MONTH(E149)+1)/12))))-(IF(OR(N149="",N149&lt;=0),0,(O149/N149)*(IF(OR(N149="",N149&lt;=0),0,IF((YEAR(D149)+4)&lt;YEAR(E149),0,IF((YEAR(D149)+4)&gt;=YEAR(E149)+N149,0,IF((YEAR(D149)+4)=YEAR(E149),(12-MONTH(E149)+1)/12,1))))))))&gt;0,(((K149)*(IF(M149="",L149,IFERROR(IF(INDEX(Variablen!$I:$AT, MATCH(M149, Variablen!$A:$A, 0), MATCH((YEAR(D149)+4), Variablen!$I$3:$AT$3, 0))="",L149,INDEX(Variablen!$I:$AT, MATCH(M149, Variablen!$A:$A, 0), MATCH((YEAR(D149)+4), Variablen!$I$3:$AT$3, 0))),L149)))*(IF((YEAR(D149)+4)&lt;YEAR(E149),0,IF((YEAR(D149)+4)&gt;YEAR(E149),1,(12-MONTH(E149)+1)/12))) + (Q149)*(IF((YEAR(D149)+4)&lt;YEAR(E149),0,IF((YEAR(D149)+4)&gt;YEAR(E149),1,(12-MONTH(E149)+1)/12))))-((P149)*(IF((YEAR(D149)+4)&lt;YEAR(E149),0,IF((YEAR(D149)+4)&gt;YEAR(E149),1,(12-MONTH(E149)+1)/12))) + (R149)*(IF((YEAR(D149)+4)&lt;YEAR(E149),0,IF((YEAR(D149)+4)&gt;YEAR(E149),1,(12-MONTH(E149)+1)/12))))-(IF(OR(N149="",N149&lt;=0),0,(O149/N149)*(IF(OR(N149="",N149&lt;=0),0,IF((YEAR(D149)+4)&lt;YEAR(E149),0,IF((YEAR(D149)+4)&gt;=YEAR(E149)+N149,0,IF((YEAR(D149)+4)=YEAR(E149),(12-MONTH(E149)+1)/12,1))))))))*TaxRate,0))-IF(4=0,O149,0))</f>
        <v/>
      </c>
      <c r="X149" s="29">
        <f>IF(A149="","",((K149)*(IF(M149="",L149,IFERROR(IF(INDEX(Variablen!$I:$AT, MATCH(M149, Variablen!$A:$A, 0), MATCH((YEAR(D149)+5), Variablen!$I$3:$AT$3, 0))="",L149,INDEX(Variablen!$I:$AT, MATCH(M149, Variablen!$A:$A, 0), MATCH((YEAR(D149)+5), Variablen!$I$3:$AT$3, 0))),L149)))*(IF((YEAR(D149)+5)&lt;YEAR(E149),0,IF((YEAR(D149)+5)&gt;YEAR(E149),1,(12-MONTH(E149)+1)/12))) + (Q149)*(IF((YEAR(D149)+5)&lt;YEAR(E149),0,IF((YEAR(D149)+5)&gt;YEAR(E149),1,(12-MONTH(E149)+1)/12))))-((P149)*(IF((YEAR(D149)+5)&lt;YEAR(E149),0,IF((YEAR(D149)+5)&gt;YEAR(E149),1,(12-MONTH(E149)+1)/12))) + (R149)*(IF((YEAR(D149)+5)&lt;YEAR(E149),0,IF((YEAR(D149)+5)&gt;YEAR(E149),1,(12-MONTH(E149)+1)/12))))-(IF((((K149)*(IF(M149="",L149,IFERROR(IF(INDEX(Variablen!$I:$AT, MATCH(M149, Variablen!$A:$A, 0), MATCH((YEAR(D149)+5), Variablen!$I$3:$AT$3, 0))="",L149,INDEX(Variablen!$I:$AT, MATCH(M149, Variablen!$A:$A, 0), MATCH((YEAR(D149)+5), Variablen!$I$3:$AT$3, 0))),L149)))*(IF((YEAR(D149)+5)&lt;YEAR(E149),0,IF((YEAR(D149)+5)&gt;YEAR(E149),1,(12-MONTH(E149)+1)/12))) + (Q149)*(IF((YEAR(D149)+5)&lt;YEAR(E149),0,IF((YEAR(D149)+5)&gt;YEAR(E149),1,(12-MONTH(E149)+1)/12))))-((P149)*(IF((YEAR(D149)+5)&lt;YEAR(E149),0,IF((YEAR(D149)+5)&gt;YEAR(E149),1,(12-MONTH(E149)+1)/12))) + (R149)*(IF((YEAR(D149)+5)&lt;YEAR(E149),0,IF((YEAR(D149)+5)&gt;YEAR(E149),1,(12-MONTH(E149)+1)/12))))-(IF(OR(N149="",N149&lt;=0),0,(O149/N149)*(IF(OR(N149="",N149&lt;=0),0,IF((YEAR(D149)+5)&lt;YEAR(E149),0,IF((YEAR(D149)+5)&gt;=YEAR(E149)+N149,0,IF((YEAR(D149)+5)=YEAR(E149),(12-MONTH(E149)+1)/12,1))))))))&gt;0,(((K149)*(IF(M149="",L149,IFERROR(IF(INDEX(Variablen!$I:$AT, MATCH(M149, Variablen!$A:$A, 0), MATCH((YEAR(D149)+5), Variablen!$I$3:$AT$3, 0))="",L149,INDEX(Variablen!$I:$AT, MATCH(M149, Variablen!$A:$A, 0), MATCH((YEAR(D149)+5), Variablen!$I$3:$AT$3, 0))),L149)))*(IF((YEAR(D149)+5)&lt;YEAR(E149),0,IF((YEAR(D149)+5)&gt;YEAR(E149),1,(12-MONTH(E149)+1)/12))) + (Q149)*(IF((YEAR(D149)+5)&lt;YEAR(E149),0,IF((YEAR(D149)+5)&gt;YEAR(E149),1,(12-MONTH(E149)+1)/12))))-((P149)*(IF((YEAR(D149)+5)&lt;YEAR(E149),0,IF((YEAR(D149)+5)&gt;YEAR(E149),1,(12-MONTH(E149)+1)/12))) + (R149)*(IF((YEAR(D149)+5)&lt;YEAR(E149),0,IF((YEAR(D149)+5)&gt;YEAR(E149),1,(12-MONTH(E149)+1)/12))))-(IF(OR(N149="",N149&lt;=0),0,(O149/N149)*(IF(OR(N149="",N149&lt;=0),0,IF((YEAR(D149)+5)&lt;YEAR(E149),0,IF((YEAR(D149)+5)&gt;=YEAR(E149)+N149,0,IF((YEAR(D149)+5)=YEAR(E149),(12-MONTH(E149)+1)/12,1))))))))*TaxRate,0))-IF(5=0,O149,0))</f>
        <v/>
      </c>
      <c r="Y149" s="29">
        <f>IF(A149="","",((K149)*(IF(M149="",L149,IFERROR(IF(INDEX(Variablen!$I:$AT, MATCH(M149, Variablen!$A:$A, 0), MATCH((YEAR(D149)+6), Variablen!$I$3:$AT$3, 0))="",L149,INDEX(Variablen!$I:$AT, MATCH(M149, Variablen!$A:$A, 0), MATCH((YEAR(D149)+6), Variablen!$I$3:$AT$3, 0))),L149)))*(IF((YEAR(D149)+6)&lt;YEAR(E149),0,IF((YEAR(D149)+6)&gt;YEAR(E149),1,(12-MONTH(E149)+1)/12))) + (Q149)*(IF((YEAR(D149)+6)&lt;YEAR(E149),0,IF((YEAR(D149)+6)&gt;YEAR(E149),1,(12-MONTH(E149)+1)/12))))-((P149)*(IF((YEAR(D149)+6)&lt;YEAR(E149),0,IF((YEAR(D149)+6)&gt;YEAR(E149),1,(12-MONTH(E149)+1)/12))) + (R149)*(IF((YEAR(D149)+6)&lt;YEAR(E149),0,IF((YEAR(D149)+6)&gt;YEAR(E149),1,(12-MONTH(E149)+1)/12))))-(IF((((K149)*(IF(M149="",L149,IFERROR(IF(INDEX(Variablen!$I:$AT, MATCH(M149, Variablen!$A:$A, 0), MATCH((YEAR(D149)+6), Variablen!$I$3:$AT$3, 0))="",L149,INDEX(Variablen!$I:$AT, MATCH(M149, Variablen!$A:$A, 0), MATCH((YEAR(D149)+6), Variablen!$I$3:$AT$3, 0))),L149)))*(IF((YEAR(D149)+6)&lt;YEAR(E149),0,IF((YEAR(D149)+6)&gt;YEAR(E149),1,(12-MONTH(E149)+1)/12))) + (Q149)*(IF((YEAR(D149)+6)&lt;YEAR(E149),0,IF((YEAR(D149)+6)&gt;YEAR(E149),1,(12-MONTH(E149)+1)/12))))-((P149)*(IF((YEAR(D149)+6)&lt;YEAR(E149),0,IF((YEAR(D149)+6)&gt;YEAR(E149),1,(12-MONTH(E149)+1)/12))) + (R149)*(IF((YEAR(D149)+6)&lt;YEAR(E149),0,IF((YEAR(D149)+6)&gt;YEAR(E149),1,(12-MONTH(E149)+1)/12))))-(IF(OR(N149="",N149&lt;=0),0,(O149/N149)*(IF(OR(N149="",N149&lt;=0),0,IF((YEAR(D149)+6)&lt;YEAR(E149),0,IF((YEAR(D149)+6)&gt;=YEAR(E149)+N149,0,IF((YEAR(D149)+6)=YEAR(E149),(12-MONTH(E149)+1)/12,1))))))))&gt;0,(((K149)*(IF(M149="",L149,IFERROR(IF(INDEX(Variablen!$I:$AT, MATCH(M149, Variablen!$A:$A, 0), MATCH((YEAR(D149)+6), Variablen!$I$3:$AT$3, 0))="",L149,INDEX(Variablen!$I:$AT, MATCH(M149, Variablen!$A:$A, 0), MATCH((YEAR(D149)+6), Variablen!$I$3:$AT$3, 0))),L149)))*(IF((YEAR(D149)+6)&lt;YEAR(E149),0,IF((YEAR(D149)+6)&gt;YEAR(E149),1,(12-MONTH(E149)+1)/12))) + (Q149)*(IF((YEAR(D149)+6)&lt;YEAR(E149),0,IF((YEAR(D149)+6)&gt;YEAR(E149),1,(12-MONTH(E149)+1)/12))))-((P149)*(IF((YEAR(D149)+6)&lt;YEAR(E149),0,IF((YEAR(D149)+6)&gt;YEAR(E149),1,(12-MONTH(E149)+1)/12))) + (R149)*(IF((YEAR(D149)+6)&lt;YEAR(E149),0,IF((YEAR(D149)+6)&gt;YEAR(E149),1,(12-MONTH(E149)+1)/12))))-(IF(OR(N149="",N149&lt;=0),0,(O149/N149)*(IF(OR(N149="",N149&lt;=0),0,IF((YEAR(D149)+6)&lt;YEAR(E149),0,IF((YEAR(D149)+6)&gt;=YEAR(E149)+N149,0,IF((YEAR(D149)+6)=YEAR(E149),(12-MONTH(E149)+1)/12,1))))))))*TaxRate,0))-IF(6=0,O149,0))</f>
        <v/>
      </c>
      <c r="Z149" s="29">
        <f>IF(A149="","",((K149)*(IF(M149="",L149,IFERROR(IF(INDEX(Variablen!$I:$AT, MATCH(M149, Variablen!$A:$A, 0), MATCH((YEAR(D149)+7), Variablen!$I$3:$AT$3, 0))="",L149,INDEX(Variablen!$I:$AT, MATCH(M149, Variablen!$A:$A, 0), MATCH((YEAR(D149)+7), Variablen!$I$3:$AT$3, 0))),L149)))*(IF((YEAR(D149)+7)&lt;YEAR(E149),0,IF((YEAR(D149)+7)&gt;YEAR(E149),1,(12-MONTH(E149)+1)/12))) + (Q149)*(IF((YEAR(D149)+7)&lt;YEAR(E149),0,IF((YEAR(D149)+7)&gt;YEAR(E149),1,(12-MONTH(E149)+1)/12))))-((P149)*(IF((YEAR(D149)+7)&lt;YEAR(E149),0,IF((YEAR(D149)+7)&gt;YEAR(E149),1,(12-MONTH(E149)+1)/12))) + (R149)*(IF((YEAR(D149)+7)&lt;YEAR(E149),0,IF((YEAR(D149)+7)&gt;YEAR(E149),1,(12-MONTH(E149)+1)/12))))-(IF((((K149)*(IF(M149="",L149,IFERROR(IF(INDEX(Variablen!$I:$AT, MATCH(M149, Variablen!$A:$A, 0), MATCH((YEAR(D149)+7), Variablen!$I$3:$AT$3, 0))="",L149,INDEX(Variablen!$I:$AT, MATCH(M149, Variablen!$A:$A, 0), MATCH((YEAR(D149)+7), Variablen!$I$3:$AT$3, 0))),L149)))*(IF((YEAR(D149)+7)&lt;YEAR(E149),0,IF((YEAR(D149)+7)&gt;YEAR(E149),1,(12-MONTH(E149)+1)/12))) + (Q149)*(IF((YEAR(D149)+7)&lt;YEAR(E149),0,IF((YEAR(D149)+7)&gt;YEAR(E149),1,(12-MONTH(E149)+1)/12))))-((P149)*(IF((YEAR(D149)+7)&lt;YEAR(E149),0,IF((YEAR(D149)+7)&gt;YEAR(E149),1,(12-MONTH(E149)+1)/12))) + (R149)*(IF((YEAR(D149)+7)&lt;YEAR(E149),0,IF((YEAR(D149)+7)&gt;YEAR(E149),1,(12-MONTH(E149)+1)/12))))-(IF(OR(N149="",N149&lt;=0),0,(O149/N149)*(IF(OR(N149="",N149&lt;=0),0,IF((YEAR(D149)+7)&lt;YEAR(E149),0,IF((YEAR(D149)+7)&gt;=YEAR(E149)+N149,0,IF((YEAR(D149)+7)=YEAR(E149),(12-MONTH(E149)+1)/12,1))))))))&gt;0,(((K149)*(IF(M149="",L149,IFERROR(IF(INDEX(Variablen!$I:$AT, MATCH(M149, Variablen!$A:$A, 0), MATCH((YEAR(D149)+7), Variablen!$I$3:$AT$3, 0))="",L149,INDEX(Variablen!$I:$AT, MATCH(M149, Variablen!$A:$A, 0), MATCH((YEAR(D149)+7), Variablen!$I$3:$AT$3, 0))),L149)))*(IF((YEAR(D149)+7)&lt;YEAR(E149),0,IF((YEAR(D149)+7)&gt;YEAR(E149),1,(12-MONTH(E149)+1)/12))) + (Q149)*(IF((YEAR(D149)+7)&lt;YEAR(E149),0,IF((YEAR(D149)+7)&gt;YEAR(E149),1,(12-MONTH(E149)+1)/12))))-((P149)*(IF((YEAR(D149)+7)&lt;YEAR(E149),0,IF((YEAR(D149)+7)&gt;YEAR(E149),1,(12-MONTH(E149)+1)/12))) + (R149)*(IF((YEAR(D149)+7)&lt;YEAR(E149),0,IF((YEAR(D149)+7)&gt;YEAR(E149),1,(12-MONTH(E149)+1)/12))))-(IF(OR(N149="",N149&lt;=0),0,(O149/N149)*(IF(OR(N149="",N149&lt;=0),0,IF((YEAR(D149)+7)&lt;YEAR(E149),0,IF((YEAR(D149)+7)&gt;=YEAR(E149)+N149,0,IF((YEAR(D149)+7)=YEAR(E149),(12-MONTH(E149)+1)/12,1))))))))*TaxRate,0))-IF(7=0,O149,0))</f>
        <v/>
      </c>
      <c r="AA149" s="29">
        <f>IF(A149="","",((K149)*(IF(M149="",L149,IFERROR(IF(INDEX(Variablen!$I:$AT, MATCH(M149, Variablen!$A:$A, 0), MATCH((YEAR(D149)+8), Variablen!$I$3:$AT$3, 0))="",L149,INDEX(Variablen!$I:$AT, MATCH(M149, Variablen!$A:$A, 0), MATCH((YEAR(D149)+8), Variablen!$I$3:$AT$3, 0))),L149)))*(IF((YEAR(D149)+8)&lt;YEAR(E149),0,IF((YEAR(D149)+8)&gt;YEAR(E149),1,(12-MONTH(E149)+1)/12))) + (Q149)*(IF((YEAR(D149)+8)&lt;YEAR(E149),0,IF((YEAR(D149)+8)&gt;YEAR(E149),1,(12-MONTH(E149)+1)/12))))-((P149)*(IF((YEAR(D149)+8)&lt;YEAR(E149),0,IF((YEAR(D149)+8)&gt;YEAR(E149),1,(12-MONTH(E149)+1)/12))) + (R149)*(IF((YEAR(D149)+8)&lt;YEAR(E149),0,IF((YEAR(D149)+8)&gt;YEAR(E149),1,(12-MONTH(E149)+1)/12))))-(IF((((K149)*(IF(M149="",L149,IFERROR(IF(INDEX(Variablen!$I:$AT, MATCH(M149, Variablen!$A:$A, 0), MATCH((YEAR(D149)+8), Variablen!$I$3:$AT$3, 0))="",L149,INDEX(Variablen!$I:$AT, MATCH(M149, Variablen!$A:$A, 0), MATCH((YEAR(D149)+8), Variablen!$I$3:$AT$3, 0))),L149)))*(IF((YEAR(D149)+8)&lt;YEAR(E149),0,IF((YEAR(D149)+8)&gt;YEAR(E149),1,(12-MONTH(E149)+1)/12))) + (Q149)*(IF((YEAR(D149)+8)&lt;YEAR(E149),0,IF((YEAR(D149)+8)&gt;YEAR(E149),1,(12-MONTH(E149)+1)/12))))-((P149)*(IF((YEAR(D149)+8)&lt;YEAR(E149),0,IF((YEAR(D149)+8)&gt;YEAR(E149),1,(12-MONTH(E149)+1)/12))) + (R149)*(IF((YEAR(D149)+8)&lt;YEAR(E149),0,IF((YEAR(D149)+8)&gt;YEAR(E149),1,(12-MONTH(E149)+1)/12))))-(IF(OR(N149="",N149&lt;=0),0,(O149/N149)*(IF(OR(N149="",N149&lt;=0),0,IF((YEAR(D149)+8)&lt;YEAR(E149),0,IF((YEAR(D149)+8)&gt;=YEAR(E149)+N149,0,IF((YEAR(D149)+8)=YEAR(E149),(12-MONTH(E149)+1)/12,1))))))))&gt;0,(((K149)*(IF(M149="",L149,IFERROR(IF(INDEX(Variablen!$I:$AT, MATCH(M149, Variablen!$A:$A, 0), MATCH((YEAR(D149)+8), Variablen!$I$3:$AT$3, 0))="",L149,INDEX(Variablen!$I:$AT, MATCH(M149, Variablen!$A:$A, 0), MATCH((YEAR(D149)+8), Variablen!$I$3:$AT$3, 0))),L149)))*(IF((YEAR(D149)+8)&lt;YEAR(E149),0,IF((YEAR(D149)+8)&gt;YEAR(E149),1,(12-MONTH(E149)+1)/12))) + (Q149)*(IF((YEAR(D149)+8)&lt;YEAR(E149),0,IF((YEAR(D149)+8)&gt;YEAR(E149),1,(12-MONTH(E149)+1)/12))))-((P149)*(IF((YEAR(D149)+8)&lt;YEAR(E149),0,IF((YEAR(D149)+8)&gt;YEAR(E149),1,(12-MONTH(E149)+1)/12))) + (R149)*(IF((YEAR(D149)+8)&lt;YEAR(E149),0,IF((YEAR(D149)+8)&gt;YEAR(E149),1,(12-MONTH(E149)+1)/12))))-(IF(OR(N149="",N149&lt;=0),0,(O149/N149)*(IF(OR(N149="",N149&lt;=0),0,IF((YEAR(D149)+8)&lt;YEAR(E149),0,IF((YEAR(D149)+8)&gt;=YEAR(E149)+N149,0,IF((YEAR(D149)+8)=YEAR(E149),(12-MONTH(E149)+1)/12,1))))))))*TaxRate,0))-IF(8=0,O149,0))</f>
        <v/>
      </c>
      <c r="AB149" s="29">
        <f>IF(A149="","",((K149)*(IF(M149="",L149,IFERROR(IF(INDEX(Variablen!$I:$AT, MATCH(M149, Variablen!$A:$A, 0), MATCH((YEAR(D149)+9), Variablen!$I$3:$AT$3, 0))="",L149,INDEX(Variablen!$I:$AT, MATCH(M149, Variablen!$A:$A, 0), MATCH((YEAR(D149)+9), Variablen!$I$3:$AT$3, 0))),L149)))*(IF((YEAR(D149)+9)&lt;YEAR(E149),0,IF((YEAR(D149)+9)&gt;YEAR(E149),1,(12-MONTH(E149)+1)/12))) + (Q149)*(IF((YEAR(D149)+9)&lt;YEAR(E149),0,IF((YEAR(D149)+9)&gt;YEAR(E149),1,(12-MONTH(E149)+1)/12))))-((P149)*(IF((YEAR(D149)+9)&lt;YEAR(E149),0,IF((YEAR(D149)+9)&gt;YEAR(E149),1,(12-MONTH(E149)+1)/12))) + (R149)*(IF((YEAR(D149)+9)&lt;YEAR(E149),0,IF((YEAR(D149)+9)&gt;YEAR(E149),1,(12-MONTH(E149)+1)/12))))-(IF((((K149)*(IF(M149="",L149,IFERROR(IF(INDEX(Variablen!$I:$AT, MATCH(M149, Variablen!$A:$A, 0), MATCH((YEAR(D149)+9), Variablen!$I$3:$AT$3, 0))="",L149,INDEX(Variablen!$I:$AT, MATCH(M149, Variablen!$A:$A, 0), MATCH((YEAR(D149)+9), Variablen!$I$3:$AT$3, 0))),L149)))*(IF((YEAR(D149)+9)&lt;YEAR(E149),0,IF((YEAR(D149)+9)&gt;YEAR(E149),1,(12-MONTH(E149)+1)/12))) + (Q149)*(IF((YEAR(D149)+9)&lt;YEAR(E149),0,IF((YEAR(D149)+9)&gt;YEAR(E149),1,(12-MONTH(E149)+1)/12))))-((P149)*(IF((YEAR(D149)+9)&lt;YEAR(E149),0,IF((YEAR(D149)+9)&gt;YEAR(E149),1,(12-MONTH(E149)+1)/12))) + (R149)*(IF((YEAR(D149)+9)&lt;YEAR(E149),0,IF((YEAR(D149)+9)&gt;YEAR(E149),1,(12-MONTH(E149)+1)/12))))-(IF(OR(N149="",N149&lt;=0),0,(O149/N149)*(IF(OR(N149="",N149&lt;=0),0,IF((YEAR(D149)+9)&lt;YEAR(E149),0,IF((YEAR(D149)+9)&gt;=YEAR(E149)+N149,0,IF((YEAR(D149)+9)=YEAR(E149),(12-MONTH(E149)+1)/12,1))))))))&gt;0,(((K149)*(IF(M149="",L149,IFERROR(IF(INDEX(Variablen!$I:$AT, MATCH(M149, Variablen!$A:$A, 0), MATCH((YEAR(D149)+9), Variablen!$I$3:$AT$3, 0))="",L149,INDEX(Variablen!$I:$AT, MATCH(M149, Variablen!$A:$A, 0), MATCH((YEAR(D149)+9), Variablen!$I$3:$AT$3, 0))),L149)))*(IF((YEAR(D149)+9)&lt;YEAR(E149),0,IF((YEAR(D149)+9)&gt;YEAR(E149),1,(12-MONTH(E149)+1)/12))) + (Q149)*(IF((YEAR(D149)+9)&lt;YEAR(E149),0,IF((YEAR(D149)+9)&gt;YEAR(E149),1,(12-MONTH(E149)+1)/12))))-((P149)*(IF((YEAR(D149)+9)&lt;YEAR(E149),0,IF((YEAR(D149)+9)&gt;YEAR(E149),1,(12-MONTH(E149)+1)/12))) + (R149)*(IF((YEAR(D149)+9)&lt;YEAR(E149),0,IF((YEAR(D149)+9)&gt;YEAR(E149),1,(12-MONTH(E149)+1)/12))))-(IF(OR(N149="",N149&lt;=0),0,(O149/N149)*(IF(OR(N149="",N149&lt;=0),0,IF((YEAR(D149)+9)&lt;YEAR(E149),0,IF((YEAR(D149)+9)&gt;=YEAR(E149)+N149,0,IF((YEAR(D149)+9)=YEAR(E149),(12-MONTH(E149)+1)/12,1))))))))*TaxRate,0))-IF(9=0,O149,0))</f>
        <v/>
      </c>
      <c r="AC149" s="29">
        <f>IF(A149="","",((K149)*(IF(M149="",L149,IFERROR(IF(INDEX(Variablen!$I:$AT, MATCH(M149, Variablen!$A:$A, 0), MATCH((YEAR(D149)+10), Variablen!$I$3:$AT$3, 0))="",L149,INDEX(Variablen!$I:$AT, MATCH(M149, Variablen!$A:$A, 0), MATCH((YEAR(D149)+10), Variablen!$I$3:$AT$3, 0))),L149)))*(IF((YEAR(D149)+10)&lt;YEAR(E149),0,IF((YEAR(D149)+10)&gt;YEAR(E149),1,(12-MONTH(E149)+1)/12))) + (Q149)*(IF((YEAR(D149)+10)&lt;YEAR(E149),0,IF((YEAR(D149)+10)&gt;YEAR(E149),1,(12-MONTH(E149)+1)/12))))-((P149)*(IF((YEAR(D149)+10)&lt;YEAR(E149),0,IF((YEAR(D149)+10)&gt;YEAR(E149),1,(12-MONTH(E149)+1)/12))) + (R149)*(IF((YEAR(D149)+10)&lt;YEAR(E149),0,IF((YEAR(D149)+10)&gt;YEAR(E149),1,(12-MONTH(E149)+1)/12))))-(IF((((K149)*(IF(M149="",L149,IFERROR(IF(INDEX(Variablen!$I:$AT, MATCH(M149, Variablen!$A:$A, 0), MATCH((YEAR(D149)+10), Variablen!$I$3:$AT$3, 0))="",L149,INDEX(Variablen!$I:$AT, MATCH(M149, Variablen!$A:$A, 0), MATCH((YEAR(D149)+10), Variablen!$I$3:$AT$3, 0))),L149)))*(IF((YEAR(D149)+10)&lt;YEAR(E149),0,IF((YEAR(D149)+10)&gt;YEAR(E149),1,(12-MONTH(E149)+1)/12))) + (Q149)*(IF((YEAR(D149)+10)&lt;YEAR(E149),0,IF((YEAR(D149)+10)&gt;YEAR(E149),1,(12-MONTH(E149)+1)/12))))-((P149)*(IF((YEAR(D149)+10)&lt;YEAR(E149),0,IF((YEAR(D149)+10)&gt;YEAR(E149),1,(12-MONTH(E149)+1)/12))) + (R149)*(IF((YEAR(D149)+10)&lt;YEAR(E149),0,IF((YEAR(D149)+10)&gt;YEAR(E149),1,(12-MONTH(E149)+1)/12))))-(IF(OR(N149="",N149&lt;=0),0,(O149/N149)*(IF(OR(N149="",N149&lt;=0),0,IF((YEAR(D149)+10)&lt;YEAR(E149),0,IF((YEAR(D149)+10)&gt;=YEAR(E149)+N149,0,IF((YEAR(D149)+10)=YEAR(E149),(12-MONTH(E149)+1)/12,1))))))))&gt;0,(((K149)*(IF(M149="",L149,IFERROR(IF(INDEX(Variablen!$I:$AT, MATCH(M149, Variablen!$A:$A, 0), MATCH((YEAR(D149)+10), Variablen!$I$3:$AT$3, 0))="",L149,INDEX(Variablen!$I:$AT, MATCH(M149, Variablen!$A:$A, 0), MATCH((YEAR(D149)+10), Variablen!$I$3:$AT$3, 0))),L149)))*(IF((YEAR(D149)+10)&lt;YEAR(E149),0,IF((YEAR(D149)+10)&gt;YEAR(E149),1,(12-MONTH(E149)+1)/12))) + (Q149)*(IF((YEAR(D149)+10)&lt;YEAR(E149),0,IF((YEAR(D149)+10)&gt;YEAR(E149),1,(12-MONTH(E149)+1)/12))))-((P149)*(IF((YEAR(D149)+10)&lt;YEAR(E149),0,IF((YEAR(D149)+10)&gt;YEAR(E149),1,(12-MONTH(E149)+1)/12))) + (R149)*(IF((YEAR(D149)+10)&lt;YEAR(E149),0,IF((YEAR(D149)+10)&gt;YEAR(E149),1,(12-MONTH(E149)+1)/12))))-(IF(OR(N149="",N149&lt;=0),0,(O149/N149)*(IF(OR(N149="",N149&lt;=0),0,IF((YEAR(D149)+10)&lt;YEAR(E149),0,IF((YEAR(D149)+10)&gt;=YEAR(E149)+N149,0,IF((YEAR(D149)+10)=YEAR(E149),(12-MONTH(E149)+1)/12,1))))))))*TaxRate,0))-IF(10=0,O149,0))</f>
        <v/>
      </c>
      <c r="AD149" s="29">
        <f>IF(A149="","",((K149)*(IF(M149="",L149,IFERROR(IF(INDEX(Variablen!$I:$AT, MATCH(M149, Variablen!$A:$A, 0), MATCH((YEAR(D149)+11), Variablen!$I$3:$AT$3, 0))="",L149,INDEX(Variablen!$I:$AT, MATCH(M149, Variablen!$A:$A, 0), MATCH((YEAR(D149)+11), Variablen!$I$3:$AT$3, 0))),L149)))*(IF((YEAR(D149)+11)&lt;YEAR(E149),0,IF((YEAR(D149)+11)&gt;YEAR(E149),1,(12-MONTH(E149)+1)/12))) + (Q149)*(IF((YEAR(D149)+11)&lt;YEAR(E149),0,IF((YEAR(D149)+11)&gt;YEAR(E149),1,(12-MONTH(E149)+1)/12))))-((P149)*(IF((YEAR(D149)+11)&lt;YEAR(E149),0,IF((YEAR(D149)+11)&gt;YEAR(E149),1,(12-MONTH(E149)+1)/12))) + (R149)*(IF((YEAR(D149)+11)&lt;YEAR(E149),0,IF((YEAR(D149)+11)&gt;YEAR(E149),1,(12-MONTH(E149)+1)/12))))-(IF((((K149)*(IF(M149="",L149,IFERROR(IF(INDEX(Variablen!$I:$AT, MATCH(M149, Variablen!$A:$A, 0), MATCH((YEAR(D149)+11), Variablen!$I$3:$AT$3, 0))="",L149,INDEX(Variablen!$I:$AT, MATCH(M149, Variablen!$A:$A, 0), MATCH((YEAR(D149)+11), Variablen!$I$3:$AT$3, 0))),L149)))*(IF((YEAR(D149)+11)&lt;YEAR(E149),0,IF((YEAR(D149)+11)&gt;YEAR(E149),1,(12-MONTH(E149)+1)/12))) + (Q149)*(IF((YEAR(D149)+11)&lt;YEAR(E149),0,IF((YEAR(D149)+11)&gt;YEAR(E149),1,(12-MONTH(E149)+1)/12))))-((P149)*(IF((YEAR(D149)+11)&lt;YEAR(E149),0,IF((YEAR(D149)+11)&gt;YEAR(E149),1,(12-MONTH(E149)+1)/12))) + (R149)*(IF((YEAR(D149)+11)&lt;YEAR(E149),0,IF((YEAR(D149)+11)&gt;YEAR(E149),1,(12-MONTH(E149)+1)/12))))-(IF(OR(N149="",N149&lt;=0),0,(O149/N149)*(IF(OR(N149="",N149&lt;=0),0,IF((YEAR(D149)+11)&lt;YEAR(E149),0,IF((YEAR(D149)+11)&gt;=YEAR(E149)+N149,0,IF((YEAR(D149)+11)=YEAR(E149),(12-MONTH(E149)+1)/12,1))))))))&gt;0,(((K149)*(IF(M149="",L149,IFERROR(IF(INDEX(Variablen!$I:$AT, MATCH(M149, Variablen!$A:$A, 0), MATCH((YEAR(D149)+11), Variablen!$I$3:$AT$3, 0))="",L149,INDEX(Variablen!$I:$AT, MATCH(M149, Variablen!$A:$A, 0), MATCH((YEAR(D149)+11), Variablen!$I$3:$AT$3, 0))),L149)))*(IF((YEAR(D149)+11)&lt;YEAR(E149),0,IF((YEAR(D149)+11)&gt;YEAR(E149),1,(12-MONTH(E149)+1)/12))) + (Q149)*(IF((YEAR(D149)+11)&lt;YEAR(E149),0,IF((YEAR(D149)+11)&gt;YEAR(E149),1,(12-MONTH(E149)+1)/12))))-((P149)*(IF((YEAR(D149)+11)&lt;YEAR(E149),0,IF((YEAR(D149)+11)&gt;YEAR(E149),1,(12-MONTH(E149)+1)/12))) + (R149)*(IF((YEAR(D149)+11)&lt;YEAR(E149),0,IF((YEAR(D149)+11)&gt;YEAR(E149),1,(12-MONTH(E149)+1)/12))))-(IF(OR(N149="",N149&lt;=0),0,(O149/N149)*(IF(OR(N149="",N149&lt;=0),0,IF((YEAR(D149)+11)&lt;YEAR(E149),0,IF((YEAR(D149)+11)&gt;=YEAR(E149)+N149,0,IF((YEAR(D149)+11)=YEAR(E149),(12-MONTH(E149)+1)/12,1))))))))*TaxRate,0))-IF(11=0,O149,0))</f>
        <v/>
      </c>
      <c r="AE149" s="29">
        <f>IF(A149="","",((K149)*(IF(M149="",L149,IFERROR(IF(INDEX(Variablen!$I:$AT, MATCH(M149, Variablen!$A:$A, 0), MATCH((YEAR(D149)+12), Variablen!$I$3:$AT$3, 0))="",L149,INDEX(Variablen!$I:$AT, MATCH(M149, Variablen!$A:$A, 0), MATCH((YEAR(D149)+12), Variablen!$I$3:$AT$3, 0))),L149)))*(IF((YEAR(D149)+12)&lt;YEAR(E149),0,IF((YEAR(D149)+12)&gt;YEAR(E149),1,(12-MONTH(E149)+1)/12))) + (Q149)*(IF((YEAR(D149)+12)&lt;YEAR(E149),0,IF((YEAR(D149)+12)&gt;YEAR(E149),1,(12-MONTH(E149)+1)/12))))-((P149)*(IF((YEAR(D149)+12)&lt;YEAR(E149),0,IF((YEAR(D149)+12)&gt;YEAR(E149),1,(12-MONTH(E149)+1)/12))) + (R149)*(IF((YEAR(D149)+12)&lt;YEAR(E149),0,IF((YEAR(D149)+12)&gt;YEAR(E149),1,(12-MONTH(E149)+1)/12))))-(IF((((K149)*(IF(M149="",L149,IFERROR(IF(INDEX(Variablen!$I:$AT, MATCH(M149, Variablen!$A:$A, 0), MATCH((YEAR(D149)+12), Variablen!$I$3:$AT$3, 0))="",L149,INDEX(Variablen!$I:$AT, MATCH(M149, Variablen!$A:$A, 0), MATCH((YEAR(D149)+12), Variablen!$I$3:$AT$3, 0))),L149)))*(IF((YEAR(D149)+12)&lt;YEAR(E149),0,IF((YEAR(D149)+12)&gt;YEAR(E149),1,(12-MONTH(E149)+1)/12))) + (Q149)*(IF((YEAR(D149)+12)&lt;YEAR(E149),0,IF((YEAR(D149)+12)&gt;YEAR(E149),1,(12-MONTH(E149)+1)/12))))-((P149)*(IF((YEAR(D149)+12)&lt;YEAR(E149),0,IF((YEAR(D149)+12)&gt;YEAR(E149),1,(12-MONTH(E149)+1)/12))) + (R149)*(IF((YEAR(D149)+12)&lt;YEAR(E149),0,IF((YEAR(D149)+12)&gt;YEAR(E149),1,(12-MONTH(E149)+1)/12))))-(IF(OR(N149="",N149&lt;=0),0,(O149/N149)*(IF(OR(N149="",N149&lt;=0),0,IF((YEAR(D149)+12)&lt;YEAR(E149),0,IF((YEAR(D149)+12)&gt;=YEAR(E149)+N149,0,IF((YEAR(D149)+12)=YEAR(E149),(12-MONTH(E149)+1)/12,1))))))))&gt;0,(((K149)*(IF(M149="",L149,IFERROR(IF(INDEX(Variablen!$I:$AT, MATCH(M149, Variablen!$A:$A, 0), MATCH((YEAR(D149)+12), Variablen!$I$3:$AT$3, 0))="",L149,INDEX(Variablen!$I:$AT, MATCH(M149, Variablen!$A:$A, 0), MATCH((YEAR(D149)+12), Variablen!$I$3:$AT$3, 0))),L149)))*(IF((YEAR(D149)+12)&lt;YEAR(E149),0,IF((YEAR(D149)+12)&gt;YEAR(E149),1,(12-MONTH(E149)+1)/12))) + (Q149)*(IF((YEAR(D149)+12)&lt;YEAR(E149),0,IF((YEAR(D149)+12)&gt;YEAR(E149),1,(12-MONTH(E149)+1)/12))))-((P149)*(IF((YEAR(D149)+12)&lt;YEAR(E149),0,IF((YEAR(D149)+12)&gt;YEAR(E149),1,(12-MONTH(E149)+1)/12))) + (R149)*(IF((YEAR(D149)+12)&lt;YEAR(E149),0,IF((YEAR(D149)+12)&gt;YEAR(E149),1,(12-MONTH(E149)+1)/12))))-(IF(OR(N149="",N149&lt;=0),0,(O149/N149)*(IF(OR(N149="",N149&lt;=0),0,IF((YEAR(D149)+12)&lt;YEAR(E149),0,IF((YEAR(D149)+12)&gt;=YEAR(E149)+N149,0,IF((YEAR(D149)+12)=YEAR(E149),(12-MONTH(E149)+1)/12,1))))))))*TaxRate,0))-IF(12=0,O149,0))</f>
        <v/>
      </c>
      <c r="AF149" s="29">
        <f>IF(A149="","",((K149)*(IF(M149="",L149,IFERROR(IF(INDEX(Variablen!$I:$AT, MATCH(M149, Variablen!$A:$A, 0), MATCH((YEAR(D149)+13), Variablen!$I$3:$AT$3, 0))="",L149,INDEX(Variablen!$I:$AT, MATCH(M149, Variablen!$A:$A, 0), MATCH((YEAR(D149)+13), Variablen!$I$3:$AT$3, 0))),L149)))*(IF((YEAR(D149)+13)&lt;YEAR(E149),0,IF((YEAR(D149)+13)&gt;YEAR(E149),1,(12-MONTH(E149)+1)/12))) + (Q149)*(IF((YEAR(D149)+13)&lt;YEAR(E149),0,IF((YEAR(D149)+13)&gt;YEAR(E149),1,(12-MONTH(E149)+1)/12))))-((P149)*(IF((YEAR(D149)+13)&lt;YEAR(E149),0,IF((YEAR(D149)+13)&gt;YEAR(E149),1,(12-MONTH(E149)+1)/12))) + (R149)*(IF((YEAR(D149)+13)&lt;YEAR(E149),0,IF((YEAR(D149)+13)&gt;YEAR(E149),1,(12-MONTH(E149)+1)/12))))-(IF((((K149)*(IF(M149="",L149,IFERROR(IF(INDEX(Variablen!$I:$AT, MATCH(M149, Variablen!$A:$A, 0), MATCH((YEAR(D149)+13), Variablen!$I$3:$AT$3, 0))="",L149,INDEX(Variablen!$I:$AT, MATCH(M149, Variablen!$A:$A, 0), MATCH((YEAR(D149)+13), Variablen!$I$3:$AT$3, 0))),L149)))*(IF((YEAR(D149)+13)&lt;YEAR(E149),0,IF((YEAR(D149)+13)&gt;YEAR(E149),1,(12-MONTH(E149)+1)/12))) + (Q149)*(IF((YEAR(D149)+13)&lt;YEAR(E149),0,IF((YEAR(D149)+13)&gt;YEAR(E149),1,(12-MONTH(E149)+1)/12))))-((P149)*(IF((YEAR(D149)+13)&lt;YEAR(E149),0,IF((YEAR(D149)+13)&gt;YEAR(E149),1,(12-MONTH(E149)+1)/12))) + (R149)*(IF((YEAR(D149)+13)&lt;YEAR(E149),0,IF((YEAR(D149)+13)&gt;YEAR(E149),1,(12-MONTH(E149)+1)/12))))-(IF(OR(N149="",N149&lt;=0),0,(O149/N149)*(IF(OR(N149="",N149&lt;=0),0,IF((YEAR(D149)+13)&lt;YEAR(E149),0,IF((YEAR(D149)+13)&gt;=YEAR(E149)+N149,0,IF((YEAR(D149)+13)=YEAR(E149),(12-MONTH(E149)+1)/12,1))))))))&gt;0,(((K149)*(IF(M149="",L149,IFERROR(IF(INDEX(Variablen!$I:$AT, MATCH(M149, Variablen!$A:$A, 0), MATCH((YEAR(D149)+13), Variablen!$I$3:$AT$3, 0))="",L149,INDEX(Variablen!$I:$AT, MATCH(M149, Variablen!$A:$A, 0), MATCH((YEAR(D149)+13), Variablen!$I$3:$AT$3, 0))),L149)))*(IF((YEAR(D149)+13)&lt;YEAR(E149),0,IF((YEAR(D149)+13)&gt;YEAR(E149),1,(12-MONTH(E149)+1)/12))) + (Q149)*(IF((YEAR(D149)+13)&lt;YEAR(E149),0,IF((YEAR(D149)+13)&gt;YEAR(E149),1,(12-MONTH(E149)+1)/12))))-((P149)*(IF((YEAR(D149)+13)&lt;YEAR(E149),0,IF((YEAR(D149)+13)&gt;YEAR(E149),1,(12-MONTH(E149)+1)/12))) + (R149)*(IF((YEAR(D149)+13)&lt;YEAR(E149),0,IF((YEAR(D149)+13)&gt;YEAR(E149),1,(12-MONTH(E149)+1)/12))))-(IF(OR(N149="",N149&lt;=0),0,(O149/N149)*(IF(OR(N149="",N149&lt;=0),0,IF((YEAR(D149)+13)&lt;YEAR(E149),0,IF((YEAR(D149)+13)&gt;=YEAR(E149)+N149,0,IF((YEAR(D149)+13)=YEAR(E149),(12-MONTH(E149)+1)/12,1))))))))*TaxRate,0))-IF(13=0,O149,0))</f>
        <v/>
      </c>
      <c r="AG149" s="29">
        <f>IF(A149="","",((K149)*(IF(M149="",L149,IFERROR(IF(INDEX(Variablen!$I:$AT, MATCH(M149, Variablen!$A:$A, 0), MATCH((YEAR(D149)+14), Variablen!$I$3:$AT$3, 0))="",L149,INDEX(Variablen!$I:$AT, MATCH(M149, Variablen!$A:$A, 0), MATCH((YEAR(D149)+14), Variablen!$I$3:$AT$3, 0))),L149)))*(IF((YEAR(D149)+14)&lt;YEAR(E149),0,IF((YEAR(D149)+14)&gt;YEAR(E149),1,(12-MONTH(E149)+1)/12))) + (Q149)*(IF((YEAR(D149)+14)&lt;YEAR(E149),0,IF((YEAR(D149)+14)&gt;YEAR(E149),1,(12-MONTH(E149)+1)/12))))-((P149)*(IF((YEAR(D149)+14)&lt;YEAR(E149),0,IF((YEAR(D149)+14)&gt;YEAR(E149),1,(12-MONTH(E149)+1)/12))) + (R149)*(IF((YEAR(D149)+14)&lt;YEAR(E149),0,IF((YEAR(D149)+14)&gt;YEAR(E149),1,(12-MONTH(E149)+1)/12))))-(IF((((K149)*(IF(M149="",L149,IFERROR(IF(INDEX(Variablen!$I:$AT, MATCH(M149, Variablen!$A:$A, 0), MATCH((YEAR(D149)+14), Variablen!$I$3:$AT$3, 0))="",L149,INDEX(Variablen!$I:$AT, MATCH(M149, Variablen!$A:$A, 0), MATCH((YEAR(D149)+14), Variablen!$I$3:$AT$3, 0))),L149)))*(IF((YEAR(D149)+14)&lt;YEAR(E149),0,IF((YEAR(D149)+14)&gt;YEAR(E149),1,(12-MONTH(E149)+1)/12))) + (Q149)*(IF((YEAR(D149)+14)&lt;YEAR(E149),0,IF((YEAR(D149)+14)&gt;YEAR(E149),1,(12-MONTH(E149)+1)/12))))-((P149)*(IF((YEAR(D149)+14)&lt;YEAR(E149),0,IF((YEAR(D149)+14)&gt;YEAR(E149),1,(12-MONTH(E149)+1)/12))) + (R149)*(IF((YEAR(D149)+14)&lt;YEAR(E149),0,IF((YEAR(D149)+14)&gt;YEAR(E149),1,(12-MONTH(E149)+1)/12))))-(IF(OR(N149="",N149&lt;=0),0,(O149/N149)*(IF(OR(N149="",N149&lt;=0),0,IF((YEAR(D149)+14)&lt;YEAR(E149),0,IF((YEAR(D149)+14)&gt;=YEAR(E149)+N149,0,IF((YEAR(D149)+14)=YEAR(E149),(12-MONTH(E149)+1)/12,1))))))))&gt;0,(((K149)*(IF(M149="",L149,IFERROR(IF(INDEX(Variablen!$I:$AT, MATCH(M149, Variablen!$A:$A, 0), MATCH((YEAR(D149)+14), Variablen!$I$3:$AT$3, 0))="",L149,INDEX(Variablen!$I:$AT, MATCH(M149, Variablen!$A:$A, 0), MATCH((YEAR(D149)+14), Variablen!$I$3:$AT$3, 0))),L149)))*(IF((YEAR(D149)+14)&lt;YEAR(E149),0,IF((YEAR(D149)+14)&gt;YEAR(E149),1,(12-MONTH(E149)+1)/12))) + (Q149)*(IF((YEAR(D149)+14)&lt;YEAR(E149),0,IF((YEAR(D149)+14)&gt;YEAR(E149),1,(12-MONTH(E149)+1)/12))))-((P149)*(IF((YEAR(D149)+14)&lt;YEAR(E149),0,IF((YEAR(D149)+14)&gt;YEAR(E149),1,(12-MONTH(E149)+1)/12))) + (R149)*(IF((YEAR(D149)+14)&lt;YEAR(E149),0,IF((YEAR(D149)+14)&gt;YEAR(E149),1,(12-MONTH(E149)+1)/12))))-(IF(OR(N149="",N149&lt;=0),0,(O149/N149)*(IF(OR(N149="",N149&lt;=0),0,IF((YEAR(D149)+14)&lt;YEAR(E149),0,IF((YEAR(D149)+14)&gt;=YEAR(E149)+N149,0,IF((YEAR(D149)+14)=YEAR(E149),(12-MONTH(E149)+1)/12,1))))))))*TaxRate,0))-IF(14=0,O149,0))</f>
        <v/>
      </c>
      <c r="AH149" s="29">
        <f>IF(A149="","",((K149)*(IF(M149="",L149,IFERROR(IF(INDEX(Variablen!$I:$AT, MATCH(M149, Variablen!$A:$A, 0), MATCH((YEAR(D149)+15), Variablen!$I$3:$AT$3, 0))="",L149,INDEX(Variablen!$I:$AT, MATCH(M149, Variablen!$A:$A, 0), MATCH((YEAR(D149)+15), Variablen!$I$3:$AT$3, 0))),L149)))*(IF((YEAR(D149)+15)&lt;YEAR(E149),0,IF((YEAR(D149)+15)&gt;YEAR(E149),1,(12-MONTH(E149)+1)/12))) + (Q149)*(IF((YEAR(D149)+15)&lt;YEAR(E149),0,IF((YEAR(D149)+15)&gt;YEAR(E149),1,(12-MONTH(E149)+1)/12))))-((P149)*(IF((YEAR(D149)+15)&lt;YEAR(E149),0,IF((YEAR(D149)+15)&gt;YEAR(E149),1,(12-MONTH(E149)+1)/12))) + (R149)*(IF((YEAR(D149)+15)&lt;YEAR(E149),0,IF((YEAR(D149)+15)&gt;YEAR(E149),1,(12-MONTH(E149)+1)/12))))-(IF((((K149)*(IF(M149="",L149,IFERROR(IF(INDEX(Variablen!$I:$AT, MATCH(M149, Variablen!$A:$A, 0), MATCH((YEAR(D149)+15), Variablen!$I$3:$AT$3, 0))="",L149,INDEX(Variablen!$I:$AT, MATCH(M149, Variablen!$A:$A, 0), MATCH((YEAR(D149)+15), Variablen!$I$3:$AT$3, 0))),L149)))*(IF((YEAR(D149)+15)&lt;YEAR(E149),0,IF((YEAR(D149)+15)&gt;YEAR(E149),1,(12-MONTH(E149)+1)/12))) + (Q149)*(IF((YEAR(D149)+15)&lt;YEAR(E149),0,IF((YEAR(D149)+15)&gt;YEAR(E149),1,(12-MONTH(E149)+1)/12))))-((P149)*(IF((YEAR(D149)+15)&lt;YEAR(E149),0,IF((YEAR(D149)+15)&gt;YEAR(E149),1,(12-MONTH(E149)+1)/12))) + (R149)*(IF((YEAR(D149)+15)&lt;YEAR(E149),0,IF((YEAR(D149)+15)&gt;YEAR(E149),1,(12-MONTH(E149)+1)/12))))-(IF(OR(N149="",N149&lt;=0),0,(O149/N149)*(IF(OR(N149="",N149&lt;=0),0,IF((YEAR(D149)+15)&lt;YEAR(E149),0,IF((YEAR(D149)+15)&gt;=YEAR(E149)+N149,0,IF((YEAR(D149)+15)=YEAR(E149),(12-MONTH(E149)+1)/12,1))))))))&gt;0,(((K149)*(IF(M149="",L149,IFERROR(IF(INDEX(Variablen!$I:$AT, MATCH(M149, Variablen!$A:$A, 0), MATCH((YEAR(D149)+15), Variablen!$I$3:$AT$3, 0))="",L149,INDEX(Variablen!$I:$AT, MATCH(M149, Variablen!$A:$A, 0), MATCH((YEAR(D149)+15), Variablen!$I$3:$AT$3, 0))),L149)))*(IF((YEAR(D149)+15)&lt;YEAR(E149),0,IF((YEAR(D149)+15)&gt;YEAR(E149),1,(12-MONTH(E149)+1)/12))) + (Q149)*(IF((YEAR(D149)+15)&lt;YEAR(E149),0,IF((YEAR(D149)+15)&gt;YEAR(E149),1,(12-MONTH(E149)+1)/12))))-((P149)*(IF((YEAR(D149)+15)&lt;YEAR(E149),0,IF((YEAR(D149)+15)&gt;YEAR(E149),1,(12-MONTH(E149)+1)/12))) + (R149)*(IF((YEAR(D149)+15)&lt;YEAR(E149),0,IF((YEAR(D149)+15)&gt;YEAR(E149),1,(12-MONTH(E149)+1)/12))))-(IF(OR(N149="",N149&lt;=0),0,(O149/N149)*(IF(OR(N149="",N149&lt;=0),0,IF((YEAR(D149)+15)&lt;YEAR(E149),0,IF((YEAR(D149)+15)&gt;=YEAR(E149)+N149,0,IF((YEAR(D149)+15)=YEAR(E149),(12-MONTH(E149)+1)/12,1))))))))*TaxRate,0))-IF(15=0,O149,0))</f>
        <v/>
      </c>
      <c r="AI149" s="29">
        <f>IF(A149="","",((K149)*(IF(M149="",L149,IFERROR(IF(INDEX(Variablen!$I:$AT, MATCH(M149, Variablen!$A:$A, 0), MATCH((YEAR(D149)+16), Variablen!$I$3:$AT$3, 0))="",L149,INDEX(Variablen!$I:$AT, MATCH(M149, Variablen!$A:$A, 0), MATCH((YEAR(D149)+16), Variablen!$I$3:$AT$3, 0))),L149)))*(IF((YEAR(D149)+16)&lt;YEAR(E149),0,IF((YEAR(D149)+16)&gt;YEAR(E149),1,(12-MONTH(E149)+1)/12))) + (Q149)*(IF((YEAR(D149)+16)&lt;YEAR(E149),0,IF((YEAR(D149)+16)&gt;YEAR(E149),1,(12-MONTH(E149)+1)/12))))-((P149)*(IF((YEAR(D149)+16)&lt;YEAR(E149),0,IF((YEAR(D149)+16)&gt;YEAR(E149),1,(12-MONTH(E149)+1)/12))) + (R149)*(IF((YEAR(D149)+16)&lt;YEAR(E149),0,IF((YEAR(D149)+16)&gt;YEAR(E149),1,(12-MONTH(E149)+1)/12))))-(IF((((K149)*(IF(M149="",L149,IFERROR(IF(INDEX(Variablen!$I:$AT, MATCH(M149, Variablen!$A:$A, 0), MATCH((YEAR(D149)+16), Variablen!$I$3:$AT$3, 0))="",L149,INDEX(Variablen!$I:$AT, MATCH(M149, Variablen!$A:$A, 0), MATCH((YEAR(D149)+16), Variablen!$I$3:$AT$3, 0))),L149)))*(IF((YEAR(D149)+16)&lt;YEAR(E149),0,IF((YEAR(D149)+16)&gt;YEAR(E149),1,(12-MONTH(E149)+1)/12))) + (Q149)*(IF((YEAR(D149)+16)&lt;YEAR(E149),0,IF((YEAR(D149)+16)&gt;YEAR(E149),1,(12-MONTH(E149)+1)/12))))-((P149)*(IF((YEAR(D149)+16)&lt;YEAR(E149),0,IF((YEAR(D149)+16)&gt;YEAR(E149),1,(12-MONTH(E149)+1)/12))) + (R149)*(IF((YEAR(D149)+16)&lt;YEAR(E149),0,IF((YEAR(D149)+16)&gt;YEAR(E149),1,(12-MONTH(E149)+1)/12))))-(IF(OR(N149="",N149&lt;=0),0,(O149/N149)*(IF(OR(N149="",N149&lt;=0),0,IF((YEAR(D149)+16)&lt;YEAR(E149),0,IF((YEAR(D149)+16)&gt;=YEAR(E149)+N149,0,IF((YEAR(D149)+16)=YEAR(E149),(12-MONTH(E149)+1)/12,1))))))))&gt;0,(((K149)*(IF(M149="",L149,IFERROR(IF(INDEX(Variablen!$I:$AT, MATCH(M149, Variablen!$A:$A, 0), MATCH((YEAR(D149)+16), Variablen!$I$3:$AT$3, 0))="",L149,INDEX(Variablen!$I:$AT, MATCH(M149, Variablen!$A:$A, 0), MATCH((YEAR(D149)+16), Variablen!$I$3:$AT$3, 0))),L149)))*(IF((YEAR(D149)+16)&lt;YEAR(E149),0,IF((YEAR(D149)+16)&gt;YEAR(E149),1,(12-MONTH(E149)+1)/12))) + (Q149)*(IF((YEAR(D149)+16)&lt;YEAR(E149),0,IF((YEAR(D149)+16)&gt;YEAR(E149),1,(12-MONTH(E149)+1)/12))))-((P149)*(IF((YEAR(D149)+16)&lt;YEAR(E149),0,IF((YEAR(D149)+16)&gt;YEAR(E149),1,(12-MONTH(E149)+1)/12))) + (R149)*(IF((YEAR(D149)+16)&lt;YEAR(E149),0,IF((YEAR(D149)+16)&gt;YEAR(E149),1,(12-MONTH(E149)+1)/12))))-(IF(OR(N149="",N149&lt;=0),0,(O149/N149)*(IF(OR(N149="",N149&lt;=0),0,IF((YEAR(D149)+16)&lt;YEAR(E149),0,IF((YEAR(D149)+16)&gt;=YEAR(E149)+N149,0,IF((YEAR(D149)+16)=YEAR(E149),(12-MONTH(E149)+1)/12,1))))))))*TaxRate,0))-IF(16=0,O149,0))</f>
        <v/>
      </c>
      <c r="AJ149" s="29">
        <f>IF(A149="","",((K149)*(IF(M149="",L149,IFERROR(IF(INDEX(Variablen!$I:$AT, MATCH(M149, Variablen!$A:$A, 0), MATCH((YEAR(D149)+17), Variablen!$I$3:$AT$3, 0))="",L149,INDEX(Variablen!$I:$AT, MATCH(M149, Variablen!$A:$A, 0), MATCH((YEAR(D149)+17), Variablen!$I$3:$AT$3, 0))),L149)))*(IF((YEAR(D149)+17)&lt;YEAR(E149),0,IF((YEAR(D149)+17)&gt;YEAR(E149),1,(12-MONTH(E149)+1)/12))) + (Q149)*(IF((YEAR(D149)+17)&lt;YEAR(E149),0,IF((YEAR(D149)+17)&gt;YEAR(E149),1,(12-MONTH(E149)+1)/12))))-((P149)*(IF((YEAR(D149)+17)&lt;YEAR(E149),0,IF((YEAR(D149)+17)&gt;YEAR(E149),1,(12-MONTH(E149)+1)/12))) + (R149)*(IF((YEAR(D149)+17)&lt;YEAR(E149),0,IF((YEAR(D149)+17)&gt;YEAR(E149),1,(12-MONTH(E149)+1)/12))))-(IF((((K149)*(IF(M149="",L149,IFERROR(IF(INDEX(Variablen!$I:$AT, MATCH(M149, Variablen!$A:$A, 0), MATCH((YEAR(D149)+17), Variablen!$I$3:$AT$3, 0))="",L149,INDEX(Variablen!$I:$AT, MATCH(M149, Variablen!$A:$A, 0), MATCH((YEAR(D149)+17), Variablen!$I$3:$AT$3, 0))),L149)))*(IF((YEAR(D149)+17)&lt;YEAR(E149),0,IF((YEAR(D149)+17)&gt;YEAR(E149),1,(12-MONTH(E149)+1)/12))) + (Q149)*(IF((YEAR(D149)+17)&lt;YEAR(E149),0,IF((YEAR(D149)+17)&gt;YEAR(E149),1,(12-MONTH(E149)+1)/12))))-((P149)*(IF((YEAR(D149)+17)&lt;YEAR(E149),0,IF((YEAR(D149)+17)&gt;YEAR(E149),1,(12-MONTH(E149)+1)/12))) + (R149)*(IF((YEAR(D149)+17)&lt;YEAR(E149),0,IF((YEAR(D149)+17)&gt;YEAR(E149),1,(12-MONTH(E149)+1)/12))))-(IF(OR(N149="",N149&lt;=0),0,(O149/N149)*(IF(OR(N149="",N149&lt;=0),0,IF((YEAR(D149)+17)&lt;YEAR(E149),0,IF((YEAR(D149)+17)&gt;=YEAR(E149)+N149,0,IF((YEAR(D149)+17)=YEAR(E149),(12-MONTH(E149)+1)/12,1))))))))&gt;0,(((K149)*(IF(M149="",L149,IFERROR(IF(INDEX(Variablen!$I:$AT, MATCH(M149, Variablen!$A:$A, 0), MATCH((YEAR(D149)+17), Variablen!$I$3:$AT$3, 0))="",L149,INDEX(Variablen!$I:$AT, MATCH(M149, Variablen!$A:$A, 0), MATCH((YEAR(D149)+17), Variablen!$I$3:$AT$3, 0))),L149)))*(IF((YEAR(D149)+17)&lt;YEAR(E149),0,IF((YEAR(D149)+17)&gt;YEAR(E149),1,(12-MONTH(E149)+1)/12))) + (Q149)*(IF((YEAR(D149)+17)&lt;YEAR(E149),0,IF((YEAR(D149)+17)&gt;YEAR(E149),1,(12-MONTH(E149)+1)/12))))-((P149)*(IF((YEAR(D149)+17)&lt;YEAR(E149),0,IF((YEAR(D149)+17)&gt;YEAR(E149),1,(12-MONTH(E149)+1)/12))) + (R149)*(IF((YEAR(D149)+17)&lt;YEAR(E149),0,IF((YEAR(D149)+17)&gt;YEAR(E149),1,(12-MONTH(E149)+1)/12))))-(IF(OR(N149="",N149&lt;=0),0,(O149/N149)*(IF(OR(N149="",N149&lt;=0),0,IF((YEAR(D149)+17)&lt;YEAR(E149),0,IF((YEAR(D149)+17)&gt;=YEAR(E149)+N149,0,IF((YEAR(D149)+17)=YEAR(E149),(12-MONTH(E149)+1)/12,1))))))))*TaxRate,0))-IF(17=0,O149,0))</f>
        <v/>
      </c>
      <c r="AK149" s="29">
        <f>IF(A149="","",((K149)*(IF(M149="",L149,IFERROR(IF(INDEX(Variablen!$I:$AT, MATCH(M149, Variablen!$A:$A, 0), MATCH((YEAR(D149)+18), Variablen!$I$3:$AT$3, 0))="",L149,INDEX(Variablen!$I:$AT, MATCH(M149, Variablen!$A:$A, 0), MATCH((YEAR(D149)+18), Variablen!$I$3:$AT$3, 0))),L149)))*(IF((YEAR(D149)+18)&lt;YEAR(E149),0,IF((YEAR(D149)+18)&gt;YEAR(E149),1,(12-MONTH(E149)+1)/12))) + (Q149)*(IF((YEAR(D149)+18)&lt;YEAR(E149),0,IF((YEAR(D149)+18)&gt;YEAR(E149),1,(12-MONTH(E149)+1)/12))))-((P149)*(IF((YEAR(D149)+18)&lt;YEAR(E149),0,IF((YEAR(D149)+18)&gt;YEAR(E149),1,(12-MONTH(E149)+1)/12))) + (R149)*(IF((YEAR(D149)+18)&lt;YEAR(E149),0,IF((YEAR(D149)+18)&gt;YEAR(E149),1,(12-MONTH(E149)+1)/12))))-(IF((((K149)*(IF(M149="",L149,IFERROR(IF(INDEX(Variablen!$I:$AT, MATCH(M149, Variablen!$A:$A, 0), MATCH((YEAR(D149)+18), Variablen!$I$3:$AT$3, 0))="",L149,INDEX(Variablen!$I:$AT, MATCH(M149, Variablen!$A:$A, 0), MATCH((YEAR(D149)+18), Variablen!$I$3:$AT$3, 0))),L149)))*(IF((YEAR(D149)+18)&lt;YEAR(E149),0,IF((YEAR(D149)+18)&gt;YEAR(E149),1,(12-MONTH(E149)+1)/12))) + (Q149)*(IF((YEAR(D149)+18)&lt;YEAR(E149),0,IF((YEAR(D149)+18)&gt;YEAR(E149),1,(12-MONTH(E149)+1)/12))))-((P149)*(IF((YEAR(D149)+18)&lt;YEAR(E149),0,IF((YEAR(D149)+18)&gt;YEAR(E149),1,(12-MONTH(E149)+1)/12))) + (R149)*(IF((YEAR(D149)+18)&lt;YEAR(E149),0,IF((YEAR(D149)+18)&gt;YEAR(E149),1,(12-MONTH(E149)+1)/12))))-(IF(OR(N149="",N149&lt;=0),0,(O149/N149)*(IF(OR(N149="",N149&lt;=0),0,IF((YEAR(D149)+18)&lt;YEAR(E149),0,IF((YEAR(D149)+18)&gt;=YEAR(E149)+N149,0,IF((YEAR(D149)+18)=YEAR(E149),(12-MONTH(E149)+1)/12,1))))))))&gt;0,(((K149)*(IF(M149="",L149,IFERROR(IF(INDEX(Variablen!$I:$AT, MATCH(M149, Variablen!$A:$A, 0), MATCH((YEAR(D149)+18), Variablen!$I$3:$AT$3, 0))="",L149,INDEX(Variablen!$I:$AT, MATCH(M149, Variablen!$A:$A, 0), MATCH((YEAR(D149)+18), Variablen!$I$3:$AT$3, 0))),L149)))*(IF((YEAR(D149)+18)&lt;YEAR(E149),0,IF((YEAR(D149)+18)&gt;YEAR(E149),1,(12-MONTH(E149)+1)/12))) + (Q149)*(IF((YEAR(D149)+18)&lt;YEAR(E149),0,IF((YEAR(D149)+18)&gt;YEAR(E149),1,(12-MONTH(E149)+1)/12))))-((P149)*(IF((YEAR(D149)+18)&lt;YEAR(E149),0,IF((YEAR(D149)+18)&gt;YEAR(E149),1,(12-MONTH(E149)+1)/12))) + (R149)*(IF((YEAR(D149)+18)&lt;YEAR(E149),0,IF((YEAR(D149)+18)&gt;YEAR(E149),1,(12-MONTH(E149)+1)/12))))-(IF(OR(N149="",N149&lt;=0),0,(O149/N149)*(IF(OR(N149="",N149&lt;=0),0,IF((YEAR(D149)+18)&lt;YEAR(E149),0,IF((YEAR(D149)+18)&gt;=YEAR(E149)+N149,0,IF((YEAR(D149)+18)=YEAR(E149),(12-MONTH(E149)+1)/12,1))))))))*TaxRate,0))-IF(18=0,O149,0))</f>
        <v/>
      </c>
      <c r="AL149" s="29">
        <f>IF(A149="","",((K149)*(IF(M149="",L149,IFERROR(IF(INDEX(Variablen!$I:$AT, MATCH(M149, Variablen!$A:$A, 0), MATCH((YEAR(D149)+19), Variablen!$I$3:$AT$3, 0))="",L149,INDEX(Variablen!$I:$AT, MATCH(M149, Variablen!$A:$A, 0), MATCH((YEAR(D149)+19), Variablen!$I$3:$AT$3, 0))),L149)))*(IF((YEAR(D149)+19)&lt;YEAR(E149),0,IF((YEAR(D149)+19)&gt;YEAR(E149),1,(12-MONTH(E149)+1)/12))) + (Q149)*(IF((YEAR(D149)+19)&lt;YEAR(E149),0,IF((YEAR(D149)+19)&gt;YEAR(E149),1,(12-MONTH(E149)+1)/12))))-((P149)*(IF((YEAR(D149)+19)&lt;YEAR(E149),0,IF((YEAR(D149)+19)&gt;YEAR(E149),1,(12-MONTH(E149)+1)/12))) + (R149)*(IF((YEAR(D149)+19)&lt;YEAR(E149),0,IF((YEAR(D149)+19)&gt;YEAR(E149),1,(12-MONTH(E149)+1)/12))))-(IF((((K149)*(IF(M149="",L149,IFERROR(IF(INDEX(Variablen!$I:$AT, MATCH(M149, Variablen!$A:$A, 0), MATCH((YEAR(D149)+19), Variablen!$I$3:$AT$3, 0))="",L149,INDEX(Variablen!$I:$AT, MATCH(M149, Variablen!$A:$A, 0), MATCH((YEAR(D149)+19), Variablen!$I$3:$AT$3, 0))),L149)))*(IF((YEAR(D149)+19)&lt;YEAR(E149),0,IF((YEAR(D149)+19)&gt;YEAR(E149),1,(12-MONTH(E149)+1)/12))) + (Q149)*(IF((YEAR(D149)+19)&lt;YEAR(E149),0,IF((YEAR(D149)+19)&gt;YEAR(E149),1,(12-MONTH(E149)+1)/12))))-((P149)*(IF((YEAR(D149)+19)&lt;YEAR(E149),0,IF((YEAR(D149)+19)&gt;YEAR(E149),1,(12-MONTH(E149)+1)/12))) + (R149)*(IF((YEAR(D149)+19)&lt;YEAR(E149),0,IF((YEAR(D149)+19)&gt;YEAR(E149),1,(12-MONTH(E149)+1)/12))))-(IF(OR(N149="",N149&lt;=0),0,(O149/N149)*(IF(OR(N149="",N149&lt;=0),0,IF((YEAR(D149)+19)&lt;YEAR(E149),0,IF((YEAR(D149)+19)&gt;=YEAR(E149)+N149,0,IF((YEAR(D149)+19)=YEAR(E149),(12-MONTH(E149)+1)/12,1))))))))&gt;0,(((K149)*(IF(M149="",L149,IFERROR(IF(INDEX(Variablen!$I:$AT, MATCH(M149, Variablen!$A:$A, 0), MATCH((YEAR(D149)+19), Variablen!$I$3:$AT$3, 0))="",L149,INDEX(Variablen!$I:$AT, MATCH(M149, Variablen!$A:$A, 0), MATCH((YEAR(D149)+19), Variablen!$I$3:$AT$3, 0))),L149)))*(IF((YEAR(D149)+19)&lt;YEAR(E149),0,IF((YEAR(D149)+19)&gt;YEAR(E149),1,(12-MONTH(E149)+1)/12))) + (Q149)*(IF((YEAR(D149)+19)&lt;YEAR(E149),0,IF((YEAR(D149)+19)&gt;YEAR(E149),1,(12-MONTH(E149)+1)/12))))-((P149)*(IF((YEAR(D149)+19)&lt;YEAR(E149),0,IF((YEAR(D149)+19)&gt;YEAR(E149),1,(12-MONTH(E149)+1)/12))) + (R149)*(IF((YEAR(D149)+19)&lt;YEAR(E149),0,IF((YEAR(D149)+19)&gt;YEAR(E149),1,(12-MONTH(E149)+1)/12))))-(IF(OR(N149="",N149&lt;=0),0,(O149/N149)*(IF(OR(N149="",N149&lt;=0),0,IF((YEAR(D149)+19)&lt;YEAR(E149),0,IF((YEAR(D149)+19)&gt;=YEAR(E149)+N149,0,IF((YEAR(D149)+19)=YEAR(E149),(12-MONTH(E149)+1)/12,1))))))))*TaxRate,0))-IF(19=0,O149,0))</f>
        <v/>
      </c>
      <c r="AM149" s="29">
        <f>IF(A149="","",((K149)*(IF(M149="",L149,IFERROR(IF(INDEX(Variablen!$I:$AT, MATCH(M149, Variablen!$A:$A, 0), MATCH((YEAR(D149)+20), Variablen!$I$3:$AT$3, 0))="",L149,INDEX(Variablen!$I:$AT, MATCH(M149, Variablen!$A:$A, 0), MATCH((YEAR(D149)+20), Variablen!$I$3:$AT$3, 0))),L149)))*(IF((YEAR(D149)+20)&lt;YEAR(E149),0,IF((YEAR(D149)+20)&gt;YEAR(E149),1,(12-MONTH(E149)+1)/12))) + (Q149)*(IF((YEAR(D149)+20)&lt;YEAR(E149),0,IF((YEAR(D149)+20)&gt;YEAR(E149),1,(12-MONTH(E149)+1)/12))))-((P149)*(IF((YEAR(D149)+20)&lt;YEAR(E149),0,IF((YEAR(D149)+20)&gt;YEAR(E149),1,(12-MONTH(E149)+1)/12))) + (R149)*(IF((YEAR(D149)+20)&lt;YEAR(E149),0,IF((YEAR(D149)+20)&gt;YEAR(E149),1,(12-MONTH(E149)+1)/12))))-(IF((((K149)*(IF(M149="",L149,IFERROR(IF(INDEX(Variablen!$I:$AT, MATCH(M149, Variablen!$A:$A, 0), MATCH((YEAR(D149)+20), Variablen!$I$3:$AT$3, 0))="",L149,INDEX(Variablen!$I:$AT, MATCH(M149, Variablen!$A:$A, 0), MATCH((YEAR(D149)+20), Variablen!$I$3:$AT$3, 0))),L149)))*(IF((YEAR(D149)+20)&lt;YEAR(E149),0,IF((YEAR(D149)+20)&gt;YEAR(E149),1,(12-MONTH(E149)+1)/12))) + (Q149)*(IF((YEAR(D149)+20)&lt;YEAR(E149),0,IF((YEAR(D149)+20)&gt;YEAR(E149),1,(12-MONTH(E149)+1)/12))))-((P149)*(IF((YEAR(D149)+20)&lt;YEAR(E149),0,IF((YEAR(D149)+20)&gt;YEAR(E149),1,(12-MONTH(E149)+1)/12))) + (R149)*(IF((YEAR(D149)+20)&lt;YEAR(E149),0,IF((YEAR(D149)+20)&gt;YEAR(E149),1,(12-MONTH(E149)+1)/12))))-(IF(OR(N149="",N149&lt;=0),0,(O149/N149)*(IF(OR(N149="",N149&lt;=0),0,IF((YEAR(D149)+20)&lt;YEAR(E149),0,IF((YEAR(D149)+20)&gt;=YEAR(E149)+N149,0,IF((YEAR(D149)+20)=YEAR(E149),(12-MONTH(E149)+1)/12,1))))))))&gt;0,(((K149)*(IF(M149="",L149,IFERROR(IF(INDEX(Variablen!$I:$AT, MATCH(M149, Variablen!$A:$A, 0), MATCH((YEAR(D149)+20), Variablen!$I$3:$AT$3, 0))="",L149,INDEX(Variablen!$I:$AT, MATCH(M149, Variablen!$A:$A, 0), MATCH((YEAR(D149)+20), Variablen!$I$3:$AT$3, 0))),L149)))*(IF((YEAR(D149)+20)&lt;YEAR(E149),0,IF((YEAR(D149)+20)&gt;YEAR(E149),1,(12-MONTH(E149)+1)/12))) + (Q149)*(IF((YEAR(D149)+20)&lt;YEAR(E149),0,IF((YEAR(D149)+20)&gt;YEAR(E149),1,(12-MONTH(E149)+1)/12))))-((P149)*(IF((YEAR(D149)+20)&lt;YEAR(E149),0,IF((YEAR(D149)+20)&gt;YEAR(E149),1,(12-MONTH(E149)+1)/12))) + (R149)*(IF((YEAR(D149)+20)&lt;YEAR(E149),0,IF((YEAR(D149)+20)&gt;YEAR(E149),1,(12-MONTH(E149)+1)/12))))-(IF(OR(N149="",N149&lt;=0),0,(O149/N149)*(IF(OR(N149="",N149&lt;=0),0,IF((YEAR(D149)+20)&lt;YEAR(E149),0,IF((YEAR(D149)+20)&gt;=YEAR(E149)+N149,0,IF((YEAR(D149)+20)=YEAR(E149),(12-MONTH(E149)+1)/12,1))))))))*TaxRate,0))-IF(20=0,O149,0))</f>
        <v/>
      </c>
      <c r="AN149" s="29">
        <f>IF(A149="","",S149)</f>
        <v/>
      </c>
      <c r="AO149" s="29">
        <f>IF(A149="","",AN149+T149)</f>
        <v/>
      </c>
      <c r="AP149" s="29">
        <f>IF(A149="","",AO149+U149)</f>
        <v/>
      </c>
      <c r="AQ149" s="29">
        <f>IF(A149="","",AP149+V149)</f>
        <v/>
      </c>
      <c r="AR149" s="29">
        <f>IF(A149="","",AQ149+W149)</f>
        <v/>
      </c>
      <c r="AS149" s="29">
        <f>IF(A149="","",AR149+X149)</f>
        <v/>
      </c>
      <c r="AT149" s="29">
        <f>IF(A149="","",AS149+Y149)</f>
        <v/>
      </c>
      <c r="AU149" s="29">
        <f>IF(A149="","",AT149+Z149)</f>
        <v/>
      </c>
      <c r="AV149" s="29">
        <f>IF(A149="","",AU149+AA149)</f>
        <v/>
      </c>
      <c r="AW149" s="29">
        <f>IF(A149="","",AV149+AB149)</f>
        <v/>
      </c>
      <c r="AX149" s="29">
        <f>IF(A149="","",AW149+AC149)</f>
        <v/>
      </c>
      <c r="AY149" s="29">
        <f>IF(A149="","",AX149+AD149)</f>
        <v/>
      </c>
      <c r="AZ149" s="29">
        <f>IF(A149="","",AY149+AE149)</f>
        <v/>
      </c>
      <c r="BA149" s="29">
        <f>IF(A149="","",AZ149+AF149)</f>
        <v/>
      </c>
      <c r="BB149" s="29">
        <f>IF(A149="","",BA149+AG149)</f>
        <v/>
      </c>
      <c r="BC149" s="29">
        <f>IF(A149="","",BB149+AH149)</f>
        <v/>
      </c>
      <c r="BD149" s="29">
        <f>IF(A149="","",BC149+AI149)</f>
        <v/>
      </c>
      <c r="BE149" s="29">
        <f>IF(A149="","",BD149+AJ149)</f>
        <v/>
      </c>
      <c r="BF149" s="29">
        <f>IF(A149="","",BE149+AK149)</f>
        <v/>
      </c>
      <c r="BG149" s="29">
        <f>IF(A149="","",BF149+AL149)</f>
        <v/>
      </c>
      <c r="BH149" s="29">
        <f>IF(A149="","",BG149+AM149)</f>
        <v/>
      </c>
      <c r="BI149" s="36">
        <f>IF(A149="","",(K149)*(IF((YEAR(D149)+0)&lt;YEAR(E149),0,IF((YEAR(D149)+0)&gt;YEAR(E149),1,(12-MONTH(E149)+1)/12)))*(1/(1+DiscountRate)^0))</f>
        <v/>
      </c>
      <c r="BJ149" s="36">
        <f>IF(A149="","",(K149)*(IF((YEAR(D149)+1)&lt;YEAR(E149),0,IF((YEAR(D149)+1)&gt;YEAR(E149),1,(12-MONTH(E149)+1)/12)))*(1/(1+DiscountRate)^1))</f>
        <v/>
      </c>
      <c r="BK149" s="36">
        <f>IF(A149="","",(K149)*(IF((YEAR(D149)+2)&lt;YEAR(E149),0,IF((YEAR(D149)+2)&gt;YEAR(E149),1,(12-MONTH(E149)+1)/12)))*(1/(1+DiscountRate)^2))</f>
        <v/>
      </c>
      <c r="BL149" s="36">
        <f>IF(A149="","",(K149)*(IF((YEAR(D149)+3)&lt;YEAR(E149),0,IF((YEAR(D149)+3)&gt;YEAR(E149),1,(12-MONTH(E149)+1)/12)))*(1/(1+DiscountRate)^3))</f>
        <v/>
      </c>
      <c r="BM149" s="36">
        <f>IF(A149="","",(K149)*(IF((YEAR(D149)+4)&lt;YEAR(E149),0,IF((YEAR(D149)+4)&gt;YEAR(E149),1,(12-MONTH(E149)+1)/12)))*(1/(1+DiscountRate)^4))</f>
        <v/>
      </c>
      <c r="BN149" s="36">
        <f>IF(A149="","",(K149)*(IF((YEAR(D149)+5)&lt;YEAR(E149),0,IF((YEAR(D149)+5)&gt;YEAR(E149),1,(12-MONTH(E149)+1)/12)))*(1/(1+DiscountRate)^5))</f>
        <v/>
      </c>
      <c r="BO149" s="36">
        <f>IF(A149="","",(K149)*(IF((YEAR(D149)+6)&lt;YEAR(E149),0,IF((YEAR(D149)+6)&gt;YEAR(E149),1,(12-MONTH(E149)+1)/12)))*(1/(1+DiscountRate)^6))</f>
        <v/>
      </c>
      <c r="BP149" s="36">
        <f>IF(A149="","",(K149)*(IF((YEAR(D149)+7)&lt;YEAR(E149),0,IF((YEAR(D149)+7)&gt;YEAR(E149),1,(12-MONTH(E149)+1)/12)))*(1/(1+DiscountRate)^7))</f>
        <v/>
      </c>
      <c r="BQ149" s="36">
        <f>IF(A149="","",(K149)*(IF((YEAR(D149)+8)&lt;YEAR(E149),0,IF((YEAR(D149)+8)&gt;YEAR(E149),1,(12-MONTH(E149)+1)/12)))*(1/(1+DiscountRate)^8))</f>
        <v/>
      </c>
      <c r="BR149" s="36">
        <f>IF(A149="","",(K149)*(IF((YEAR(D149)+9)&lt;YEAR(E149),0,IF((YEAR(D149)+9)&gt;YEAR(E149),1,(12-MONTH(E149)+1)/12)))*(1/(1+DiscountRate)^9))</f>
        <v/>
      </c>
      <c r="BS149" s="36">
        <f>IF(A149="","",(K149)*(IF((YEAR(D149)+10)&lt;YEAR(E149),0,IF((YEAR(D149)+10)&gt;YEAR(E149),1,(12-MONTH(E149)+1)/12)))*(1/(1+DiscountRate)^10))</f>
        <v/>
      </c>
      <c r="BT149" s="36">
        <f>IF(A149="","",(K149)*(IF((YEAR(D149)+11)&lt;YEAR(E149),0,IF((YEAR(D149)+11)&gt;YEAR(E149),1,(12-MONTH(E149)+1)/12)))*(1/(1+DiscountRate)^11))</f>
        <v/>
      </c>
      <c r="BU149" s="36">
        <f>IF(A149="","",(K149)*(IF((YEAR(D149)+12)&lt;YEAR(E149),0,IF((YEAR(D149)+12)&gt;YEAR(E149),1,(12-MONTH(E149)+1)/12)))*(1/(1+DiscountRate)^12))</f>
        <v/>
      </c>
      <c r="BV149" s="36">
        <f>IF(A149="","",(K149)*(IF((YEAR(D149)+13)&lt;YEAR(E149),0,IF((YEAR(D149)+13)&gt;YEAR(E149),1,(12-MONTH(E149)+1)/12)))*(1/(1+DiscountRate)^13))</f>
        <v/>
      </c>
      <c r="BW149" s="36">
        <f>IF(A149="","",(K149)*(IF((YEAR(D149)+14)&lt;YEAR(E149),0,IF((YEAR(D149)+14)&gt;YEAR(E149),1,(12-MONTH(E149)+1)/12)))*(1/(1+DiscountRate)^14))</f>
        <v/>
      </c>
      <c r="BX149" s="36">
        <f>IF(A149="","",(K149)*(IF((YEAR(D149)+15)&lt;YEAR(E149),0,IF((YEAR(D149)+15)&gt;YEAR(E149),1,(12-MONTH(E149)+1)/12)))*(1/(1+DiscountRate)^15))</f>
        <v/>
      </c>
      <c r="BY149" s="36">
        <f>IF(A149="","",(K149)*(IF((YEAR(D149)+16)&lt;YEAR(E149),0,IF((YEAR(D149)+16)&gt;YEAR(E149),1,(12-MONTH(E149)+1)/12)))*(1/(1+DiscountRate)^16))</f>
        <v/>
      </c>
      <c r="BZ149" s="36">
        <f>IF(A149="","",(K149)*(IF((YEAR(D149)+17)&lt;YEAR(E149),0,IF((YEAR(D149)+17)&gt;YEAR(E149),1,(12-MONTH(E149)+1)/12)))*(1/(1+DiscountRate)^17))</f>
        <v/>
      </c>
      <c r="CA149" s="36">
        <f>IF(A149="","",(K149)*(IF((YEAR(D149)+18)&lt;YEAR(E149),0,IF((YEAR(D149)+18)&gt;YEAR(E149),1,(12-MONTH(E149)+1)/12)))*(1/(1+DiscountRate)^18))</f>
        <v/>
      </c>
      <c r="CB149" s="36">
        <f>IF(A149="","",(K149)*(IF((YEAR(D149)+19)&lt;YEAR(E149),0,IF((YEAR(D149)+19)&gt;YEAR(E149),1,(12-MONTH(E149)+1)/12)))*(1/(1+DiscountRate)^19))</f>
        <v/>
      </c>
      <c r="CC149" s="36">
        <f>IF(A149="","",(K149)*(IF((YEAR(D149)+20)&lt;YEAR(E149),0,IF((YEAR(D149)+20)&gt;YEAR(E149),1,(12-MONTH(E149)+1)/12)))*(1/(1+DiscountRate)^20))</f>
        <v/>
      </c>
      <c r="CD149" s="29">
        <f>IF(A149="","",S149/(1+DiscountRate)^0+T149/(1+DiscountRate)^1+U149/(1+DiscountRate)^2+V149/(1+DiscountRate)^3+W149/(1+DiscountRate)^4+X149/(1+DiscountRate)^5+Y149/(1+DiscountRate)^6+Z149/(1+DiscountRate)^7+AA149/(1+DiscountRate)^8+AB149/(1+DiscountRate)^9+AC149/(1+DiscountRate)^10+AD149/(1+DiscountRate)^11+AE149/(1+DiscountRate)^12+AF149/(1+DiscountRate)^13+AG149/(1+DiscountRate)^14+AH149/(1+DiscountRate)^15+AI149/(1+DiscountRate)^16+AJ149/(1+DiscountRate)^17+AK149/(1+DiscountRate)^18+AL149/(1+DiscountRate)^19+AM149/(1+DiscountRate)^20)</f>
        <v/>
      </c>
      <c r="CE149" s="37">
        <f>IF(A149="","",IFERROR(IRR(OFFSET(S149,0,0,1,MIN(HorizonYears,20)+1)),"n/a"))</f>
        <v/>
      </c>
      <c r="CF149" s="28">
        <f>IF(A149="","",IFERROR(MATCH(TRUE,OFFSET(AN149,0,0,1,MIN(HorizonYears,20)+1)&gt;=0,0)-1,"n/a"))</f>
        <v/>
      </c>
      <c r="CG149" s="36">
        <f>IF(A149="","",SUM(OFFSET(BI149,0,0,1,MIN(HorizonYears,20)+1)))</f>
        <v/>
      </c>
      <c r="CH149" s="36">
        <f>IF(A149="","",IFERROR(-CD149/CG149,"n/a"))</f>
        <v/>
      </c>
    </row>
    <row r="150">
      <c r="A150" s="6">
        <f>Actions!A148</f>
        <v/>
      </c>
      <c r="B150" s="6">
        <f>Actions!B148</f>
        <v/>
      </c>
      <c r="C150" s="6">
        <f>Actions!D148</f>
        <v/>
      </c>
      <c r="D150" s="35">
        <f>Actions!E148</f>
        <v/>
      </c>
      <c r="E150" s="35">
        <f>Actions!F148</f>
        <v/>
      </c>
      <c r="F150" s="6">
        <f>Actions!G148</f>
        <v/>
      </c>
      <c r="G150" s="6">
        <f>Actions!H148</f>
        <v/>
      </c>
      <c r="H150" s="29">
        <f>Actions!I148</f>
        <v/>
      </c>
      <c r="I150" s="6">
        <f>Actions!J148</f>
        <v/>
      </c>
      <c r="J150" s="16">
        <f>Actions!K148</f>
        <v/>
      </c>
      <c r="K150" s="16">
        <f>IF(A150="","",IF(I150="%",H150*J150,J150))</f>
        <v/>
      </c>
      <c r="L150" s="16">
        <f>Actions!L148</f>
        <v/>
      </c>
      <c r="M150" s="6">
        <f>Actions!M148</f>
        <v/>
      </c>
      <c r="N150" s="28">
        <f>Actions!N148</f>
        <v/>
      </c>
      <c r="O150" s="29">
        <f>Actions!T148</f>
        <v/>
      </c>
      <c r="P150" s="29">
        <f>Actions!Y148</f>
        <v/>
      </c>
      <c r="Q150" s="29">
        <f>Actions!Z148</f>
        <v/>
      </c>
      <c r="R150" s="29">
        <f>Actions!AA148</f>
        <v/>
      </c>
      <c r="S150" s="29">
        <f>IF(A150="","",((K150)*(IF(M150="",L150,IFERROR(IF(INDEX(Variablen!$I:$AT, MATCH(M150, Variablen!$A:$A, 0), MATCH((YEAR(D150)+0), Variablen!$I$3:$AT$3, 0))="",L150,INDEX(Variablen!$I:$AT, MATCH(M150, Variablen!$A:$A, 0), MATCH((YEAR(D150)+0), Variablen!$I$3:$AT$3, 0))),L150)))*(IF((YEAR(D150)+0)&lt;YEAR(E150),0,IF((YEAR(D150)+0)&gt;YEAR(E150),1,(12-MONTH(E150)+1)/12))) + (Q150)*(IF((YEAR(D150)+0)&lt;YEAR(E150),0,IF((YEAR(D150)+0)&gt;YEAR(E150),1,(12-MONTH(E150)+1)/12))))-((P150)*(IF((YEAR(D150)+0)&lt;YEAR(E150),0,IF((YEAR(D150)+0)&gt;YEAR(E150),1,(12-MONTH(E150)+1)/12))) + (R150)*(IF((YEAR(D150)+0)&lt;YEAR(E150),0,IF((YEAR(D150)+0)&gt;YEAR(E150),1,(12-MONTH(E150)+1)/12))))-(IF((((K150)*(IF(M150="",L150,IFERROR(IF(INDEX(Variablen!$I:$AT, MATCH(M150, Variablen!$A:$A, 0), MATCH((YEAR(D150)+0), Variablen!$I$3:$AT$3, 0))="",L150,INDEX(Variablen!$I:$AT, MATCH(M150, Variablen!$A:$A, 0), MATCH((YEAR(D150)+0), Variablen!$I$3:$AT$3, 0))),L150)))*(IF((YEAR(D150)+0)&lt;YEAR(E150),0,IF((YEAR(D150)+0)&gt;YEAR(E150),1,(12-MONTH(E150)+1)/12))) + (Q150)*(IF((YEAR(D150)+0)&lt;YEAR(E150),0,IF((YEAR(D150)+0)&gt;YEAR(E150),1,(12-MONTH(E150)+1)/12))))-((P150)*(IF((YEAR(D150)+0)&lt;YEAR(E150),0,IF((YEAR(D150)+0)&gt;YEAR(E150),1,(12-MONTH(E150)+1)/12))) + (R150)*(IF((YEAR(D150)+0)&lt;YEAR(E150),0,IF((YEAR(D150)+0)&gt;YEAR(E150),1,(12-MONTH(E150)+1)/12))))-(IF(OR(N150="",N150&lt;=0),0,(O150/N150)*(IF(OR(N150="",N150&lt;=0),0,IF((YEAR(D150)+0)&lt;YEAR(E150),0,IF((YEAR(D150)+0)&gt;=YEAR(E150)+N150,0,IF((YEAR(D150)+0)=YEAR(E150),(12-MONTH(E150)+1)/12,1))))))))&gt;0,(((K150)*(IF(M150="",L150,IFERROR(IF(INDEX(Variablen!$I:$AT, MATCH(M150, Variablen!$A:$A, 0), MATCH((YEAR(D150)+0), Variablen!$I$3:$AT$3, 0))="",L150,INDEX(Variablen!$I:$AT, MATCH(M150, Variablen!$A:$A, 0), MATCH((YEAR(D150)+0), Variablen!$I$3:$AT$3, 0))),L150)))*(IF((YEAR(D150)+0)&lt;YEAR(E150),0,IF((YEAR(D150)+0)&gt;YEAR(E150),1,(12-MONTH(E150)+1)/12))) + (Q150)*(IF((YEAR(D150)+0)&lt;YEAR(E150),0,IF((YEAR(D150)+0)&gt;YEAR(E150),1,(12-MONTH(E150)+1)/12))))-((P150)*(IF((YEAR(D150)+0)&lt;YEAR(E150),0,IF((YEAR(D150)+0)&gt;YEAR(E150),1,(12-MONTH(E150)+1)/12))) + (R150)*(IF((YEAR(D150)+0)&lt;YEAR(E150),0,IF((YEAR(D150)+0)&gt;YEAR(E150),1,(12-MONTH(E150)+1)/12))))-(IF(OR(N150="",N150&lt;=0),0,(O150/N150)*(IF(OR(N150="",N150&lt;=0),0,IF((YEAR(D150)+0)&lt;YEAR(E150),0,IF((YEAR(D150)+0)&gt;=YEAR(E150)+N150,0,IF((YEAR(D150)+0)=YEAR(E150),(12-MONTH(E150)+1)/12,1))))))))*TaxRate,0))-IF(0=0,O150,0))</f>
        <v/>
      </c>
      <c r="T150" s="29">
        <f>IF(A150="","",((K150)*(IF(M150="",L150,IFERROR(IF(INDEX(Variablen!$I:$AT, MATCH(M150, Variablen!$A:$A, 0), MATCH((YEAR(D150)+1), Variablen!$I$3:$AT$3, 0))="",L150,INDEX(Variablen!$I:$AT, MATCH(M150, Variablen!$A:$A, 0), MATCH((YEAR(D150)+1), Variablen!$I$3:$AT$3, 0))),L150)))*(IF((YEAR(D150)+1)&lt;YEAR(E150),0,IF((YEAR(D150)+1)&gt;YEAR(E150),1,(12-MONTH(E150)+1)/12))) + (Q150)*(IF((YEAR(D150)+1)&lt;YEAR(E150),0,IF((YEAR(D150)+1)&gt;YEAR(E150),1,(12-MONTH(E150)+1)/12))))-((P150)*(IF((YEAR(D150)+1)&lt;YEAR(E150),0,IF((YEAR(D150)+1)&gt;YEAR(E150),1,(12-MONTH(E150)+1)/12))) + (R150)*(IF((YEAR(D150)+1)&lt;YEAR(E150),0,IF((YEAR(D150)+1)&gt;YEAR(E150),1,(12-MONTH(E150)+1)/12))))-(IF((((K150)*(IF(M150="",L150,IFERROR(IF(INDEX(Variablen!$I:$AT, MATCH(M150, Variablen!$A:$A, 0), MATCH((YEAR(D150)+1), Variablen!$I$3:$AT$3, 0))="",L150,INDEX(Variablen!$I:$AT, MATCH(M150, Variablen!$A:$A, 0), MATCH((YEAR(D150)+1), Variablen!$I$3:$AT$3, 0))),L150)))*(IF((YEAR(D150)+1)&lt;YEAR(E150),0,IF((YEAR(D150)+1)&gt;YEAR(E150),1,(12-MONTH(E150)+1)/12))) + (Q150)*(IF((YEAR(D150)+1)&lt;YEAR(E150),0,IF((YEAR(D150)+1)&gt;YEAR(E150),1,(12-MONTH(E150)+1)/12))))-((P150)*(IF((YEAR(D150)+1)&lt;YEAR(E150),0,IF((YEAR(D150)+1)&gt;YEAR(E150),1,(12-MONTH(E150)+1)/12))) + (R150)*(IF((YEAR(D150)+1)&lt;YEAR(E150),0,IF((YEAR(D150)+1)&gt;YEAR(E150),1,(12-MONTH(E150)+1)/12))))-(IF(OR(N150="",N150&lt;=0),0,(O150/N150)*(IF(OR(N150="",N150&lt;=0),0,IF((YEAR(D150)+1)&lt;YEAR(E150),0,IF((YEAR(D150)+1)&gt;=YEAR(E150)+N150,0,IF((YEAR(D150)+1)=YEAR(E150),(12-MONTH(E150)+1)/12,1))))))))&gt;0,(((K150)*(IF(M150="",L150,IFERROR(IF(INDEX(Variablen!$I:$AT, MATCH(M150, Variablen!$A:$A, 0), MATCH((YEAR(D150)+1), Variablen!$I$3:$AT$3, 0))="",L150,INDEX(Variablen!$I:$AT, MATCH(M150, Variablen!$A:$A, 0), MATCH((YEAR(D150)+1), Variablen!$I$3:$AT$3, 0))),L150)))*(IF((YEAR(D150)+1)&lt;YEAR(E150),0,IF((YEAR(D150)+1)&gt;YEAR(E150),1,(12-MONTH(E150)+1)/12))) + (Q150)*(IF((YEAR(D150)+1)&lt;YEAR(E150),0,IF((YEAR(D150)+1)&gt;YEAR(E150),1,(12-MONTH(E150)+1)/12))))-((P150)*(IF((YEAR(D150)+1)&lt;YEAR(E150),0,IF((YEAR(D150)+1)&gt;YEAR(E150),1,(12-MONTH(E150)+1)/12))) + (R150)*(IF((YEAR(D150)+1)&lt;YEAR(E150),0,IF((YEAR(D150)+1)&gt;YEAR(E150),1,(12-MONTH(E150)+1)/12))))-(IF(OR(N150="",N150&lt;=0),0,(O150/N150)*(IF(OR(N150="",N150&lt;=0),0,IF((YEAR(D150)+1)&lt;YEAR(E150),0,IF((YEAR(D150)+1)&gt;=YEAR(E150)+N150,0,IF((YEAR(D150)+1)=YEAR(E150),(12-MONTH(E150)+1)/12,1))))))))*TaxRate,0))-IF(1=0,O150,0))</f>
        <v/>
      </c>
      <c r="U150" s="29">
        <f>IF(A150="","",((K150)*(IF(M150="",L150,IFERROR(IF(INDEX(Variablen!$I:$AT, MATCH(M150, Variablen!$A:$A, 0), MATCH((YEAR(D150)+2), Variablen!$I$3:$AT$3, 0))="",L150,INDEX(Variablen!$I:$AT, MATCH(M150, Variablen!$A:$A, 0), MATCH((YEAR(D150)+2), Variablen!$I$3:$AT$3, 0))),L150)))*(IF((YEAR(D150)+2)&lt;YEAR(E150),0,IF((YEAR(D150)+2)&gt;YEAR(E150),1,(12-MONTH(E150)+1)/12))) + (Q150)*(IF((YEAR(D150)+2)&lt;YEAR(E150),0,IF((YEAR(D150)+2)&gt;YEAR(E150),1,(12-MONTH(E150)+1)/12))))-((P150)*(IF((YEAR(D150)+2)&lt;YEAR(E150),0,IF((YEAR(D150)+2)&gt;YEAR(E150),1,(12-MONTH(E150)+1)/12))) + (R150)*(IF((YEAR(D150)+2)&lt;YEAR(E150),0,IF((YEAR(D150)+2)&gt;YEAR(E150),1,(12-MONTH(E150)+1)/12))))-(IF((((K150)*(IF(M150="",L150,IFERROR(IF(INDEX(Variablen!$I:$AT, MATCH(M150, Variablen!$A:$A, 0), MATCH((YEAR(D150)+2), Variablen!$I$3:$AT$3, 0))="",L150,INDEX(Variablen!$I:$AT, MATCH(M150, Variablen!$A:$A, 0), MATCH((YEAR(D150)+2), Variablen!$I$3:$AT$3, 0))),L150)))*(IF((YEAR(D150)+2)&lt;YEAR(E150),0,IF((YEAR(D150)+2)&gt;YEAR(E150),1,(12-MONTH(E150)+1)/12))) + (Q150)*(IF((YEAR(D150)+2)&lt;YEAR(E150),0,IF((YEAR(D150)+2)&gt;YEAR(E150),1,(12-MONTH(E150)+1)/12))))-((P150)*(IF((YEAR(D150)+2)&lt;YEAR(E150),0,IF((YEAR(D150)+2)&gt;YEAR(E150),1,(12-MONTH(E150)+1)/12))) + (R150)*(IF((YEAR(D150)+2)&lt;YEAR(E150),0,IF((YEAR(D150)+2)&gt;YEAR(E150),1,(12-MONTH(E150)+1)/12))))-(IF(OR(N150="",N150&lt;=0),0,(O150/N150)*(IF(OR(N150="",N150&lt;=0),0,IF((YEAR(D150)+2)&lt;YEAR(E150),0,IF((YEAR(D150)+2)&gt;=YEAR(E150)+N150,0,IF((YEAR(D150)+2)=YEAR(E150),(12-MONTH(E150)+1)/12,1))))))))&gt;0,(((K150)*(IF(M150="",L150,IFERROR(IF(INDEX(Variablen!$I:$AT, MATCH(M150, Variablen!$A:$A, 0), MATCH((YEAR(D150)+2), Variablen!$I$3:$AT$3, 0))="",L150,INDEX(Variablen!$I:$AT, MATCH(M150, Variablen!$A:$A, 0), MATCH((YEAR(D150)+2), Variablen!$I$3:$AT$3, 0))),L150)))*(IF((YEAR(D150)+2)&lt;YEAR(E150),0,IF((YEAR(D150)+2)&gt;YEAR(E150),1,(12-MONTH(E150)+1)/12))) + (Q150)*(IF((YEAR(D150)+2)&lt;YEAR(E150),0,IF((YEAR(D150)+2)&gt;YEAR(E150),1,(12-MONTH(E150)+1)/12))))-((P150)*(IF((YEAR(D150)+2)&lt;YEAR(E150),0,IF((YEAR(D150)+2)&gt;YEAR(E150),1,(12-MONTH(E150)+1)/12))) + (R150)*(IF((YEAR(D150)+2)&lt;YEAR(E150),0,IF((YEAR(D150)+2)&gt;YEAR(E150),1,(12-MONTH(E150)+1)/12))))-(IF(OR(N150="",N150&lt;=0),0,(O150/N150)*(IF(OR(N150="",N150&lt;=0),0,IF((YEAR(D150)+2)&lt;YEAR(E150),0,IF((YEAR(D150)+2)&gt;=YEAR(E150)+N150,0,IF((YEAR(D150)+2)=YEAR(E150),(12-MONTH(E150)+1)/12,1))))))))*TaxRate,0))-IF(2=0,O150,0))</f>
        <v/>
      </c>
      <c r="V150" s="29">
        <f>IF(A150="","",((K150)*(IF(M150="",L150,IFERROR(IF(INDEX(Variablen!$I:$AT, MATCH(M150, Variablen!$A:$A, 0), MATCH((YEAR(D150)+3), Variablen!$I$3:$AT$3, 0))="",L150,INDEX(Variablen!$I:$AT, MATCH(M150, Variablen!$A:$A, 0), MATCH((YEAR(D150)+3), Variablen!$I$3:$AT$3, 0))),L150)))*(IF((YEAR(D150)+3)&lt;YEAR(E150),0,IF((YEAR(D150)+3)&gt;YEAR(E150),1,(12-MONTH(E150)+1)/12))) + (Q150)*(IF((YEAR(D150)+3)&lt;YEAR(E150),0,IF((YEAR(D150)+3)&gt;YEAR(E150),1,(12-MONTH(E150)+1)/12))))-((P150)*(IF((YEAR(D150)+3)&lt;YEAR(E150),0,IF((YEAR(D150)+3)&gt;YEAR(E150),1,(12-MONTH(E150)+1)/12))) + (R150)*(IF((YEAR(D150)+3)&lt;YEAR(E150),0,IF((YEAR(D150)+3)&gt;YEAR(E150),1,(12-MONTH(E150)+1)/12))))-(IF((((K150)*(IF(M150="",L150,IFERROR(IF(INDEX(Variablen!$I:$AT, MATCH(M150, Variablen!$A:$A, 0), MATCH((YEAR(D150)+3), Variablen!$I$3:$AT$3, 0))="",L150,INDEX(Variablen!$I:$AT, MATCH(M150, Variablen!$A:$A, 0), MATCH((YEAR(D150)+3), Variablen!$I$3:$AT$3, 0))),L150)))*(IF((YEAR(D150)+3)&lt;YEAR(E150),0,IF((YEAR(D150)+3)&gt;YEAR(E150),1,(12-MONTH(E150)+1)/12))) + (Q150)*(IF((YEAR(D150)+3)&lt;YEAR(E150),0,IF((YEAR(D150)+3)&gt;YEAR(E150),1,(12-MONTH(E150)+1)/12))))-((P150)*(IF((YEAR(D150)+3)&lt;YEAR(E150),0,IF((YEAR(D150)+3)&gt;YEAR(E150),1,(12-MONTH(E150)+1)/12))) + (R150)*(IF((YEAR(D150)+3)&lt;YEAR(E150),0,IF((YEAR(D150)+3)&gt;YEAR(E150),1,(12-MONTH(E150)+1)/12))))-(IF(OR(N150="",N150&lt;=0),0,(O150/N150)*(IF(OR(N150="",N150&lt;=0),0,IF((YEAR(D150)+3)&lt;YEAR(E150),0,IF((YEAR(D150)+3)&gt;=YEAR(E150)+N150,0,IF((YEAR(D150)+3)=YEAR(E150),(12-MONTH(E150)+1)/12,1))))))))&gt;0,(((K150)*(IF(M150="",L150,IFERROR(IF(INDEX(Variablen!$I:$AT, MATCH(M150, Variablen!$A:$A, 0), MATCH((YEAR(D150)+3), Variablen!$I$3:$AT$3, 0))="",L150,INDEX(Variablen!$I:$AT, MATCH(M150, Variablen!$A:$A, 0), MATCH((YEAR(D150)+3), Variablen!$I$3:$AT$3, 0))),L150)))*(IF((YEAR(D150)+3)&lt;YEAR(E150),0,IF((YEAR(D150)+3)&gt;YEAR(E150),1,(12-MONTH(E150)+1)/12))) + (Q150)*(IF((YEAR(D150)+3)&lt;YEAR(E150),0,IF((YEAR(D150)+3)&gt;YEAR(E150),1,(12-MONTH(E150)+1)/12))))-((P150)*(IF((YEAR(D150)+3)&lt;YEAR(E150),0,IF((YEAR(D150)+3)&gt;YEAR(E150),1,(12-MONTH(E150)+1)/12))) + (R150)*(IF((YEAR(D150)+3)&lt;YEAR(E150),0,IF((YEAR(D150)+3)&gt;YEAR(E150),1,(12-MONTH(E150)+1)/12))))-(IF(OR(N150="",N150&lt;=0),0,(O150/N150)*(IF(OR(N150="",N150&lt;=0),0,IF((YEAR(D150)+3)&lt;YEAR(E150),0,IF((YEAR(D150)+3)&gt;=YEAR(E150)+N150,0,IF((YEAR(D150)+3)=YEAR(E150),(12-MONTH(E150)+1)/12,1))))))))*TaxRate,0))-IF(3=0,O150,0))</f>
        <v/>
      </c>
      <c r="W150" s="29">
        <f>IF(A150="","",((K150)*(IF(M150="",L150,IFERROR(IF(INDEX(Variablen!$I:$AT, MATCH(M150, Variablen!$A:$A, 0), MATCH((YEAR(D150)+4), Variablen!$I$3:$AT$3, 0))="",L150,INDEX(Variablen!$I:$AT, MATCH(M150, Variablen!$A:$A, 0), MATCH((YEAR(D150)+4), Variablen!$I$3:$AT$3, 0))),L150)))*(IF((YEAR(D150)+4)&lt;YEAR(E150),0,IF((YEAR(D150)+4)&gt;YEAR(E150),1,(12-MONTH(E150)+1)/12))) + (Q150)*(IF((YEAR(D150)+4)&lt;YEAR(E150),0,IF((YEAR(D150)+4)&gt;YEAR(E150),1,(12-MONTH(E150)+1)/12))))-((P150)*(IF((YEAR(D150)+4)&lt;YEAR(E150),0,IF((YEAR(D150)+4)&gt;YEAR(E150),1,(12-MONTH(E150)+1)/12))) + (R150)*(IF((YEAR(D150)+4)&lt;YEAR(E150),0,IF((YEAR(D150)+4)&gt;YEAR(E150),1,(12-MONTH(E150)+1)/12))))-(IF((((K150)*(IF(M150="",L150,IFERROR(IF(INDEX(Variablen!$I:$AT, MATCH(M150, Variablen!$A:$A, 0), MATCH((YEAR(D150)+4), Variablen!$I$3:$AT$3, 0))="",L150,INDEX(Variablen!$I:$AT, MATCH(M150, Variablen!$A:$A, 0), MATCH((YEAR(D150)+4), Variablen!$I$3:$AT$3, 0))),L150)))*(IF((YEAR(D150)+4)&lt;YEAR(E150),0,IF((YEAR(D150)+4)&gt;YEAR(E150),1,(12-MONTH(E150)+1)/12))) + (Q150)*(IF((YEAR(D150)+4)&lt;YEAR(E150),0,IF((YEAR(D150)+4)&gt;YEAR(E150),1,(12-MONTH(E150)+1)/12))))-((P150)*(IF((YEAR(D150)+4)&lt;YEAR(E150),0,IF((YEAR(D150)+4)&gt;YEAR(E150),1,(12-MONTH(E150)+1)/12))) + (R150)*(IF((YEAR(D150)+4)&lt;YEAR(E150),0,IF((YEAR(D150)+4)&gt;YEAR(E150),1,(12-MONTH(E150)+1)/12))))-(IF(OR(N150="",N150&lt;=0),0,(O150/N150)*(IF(OR(N150="",N150&lt;=0),0,IF((YEAR(D150)+4)&lt;YEAR(E150),0,IF((YEAR(D150)+4)&gt;=YEAR(E150)+N150,0,IF((YEAR(D150)+4)=YEAR(E150),(12-MONTH(E150)+1)/12,1))))))))&gt;0,(((K150)*(IF(M150="",L150,IFERROR(IF(INDEX(Variablen!$I:$AT, MATCH(M150, Variablen!$A:$A, 0), MATCH((YEAR(D150)+4), Variablen!$I$3:$AT$3, 0))="",L150,INDEX(Variablen!$I:$AT, MATCH(M150, Variablen!$A:$A, 0), MATCH((YEAR(D150)+4), Variablen!$I$3:$AT$3, 0))),L150)))*(IF((YEAR(D150)+4)&lt;YEAR(E150),0,IF((YEAR(D150)+4)&gt;YEAR(E150),1,(12-MONTH(E150)+1)/12))) + (Q150)*(IF((YEAR(D150)+4)&lt;YEAR(E150),0,IF((YEAR(D150)+4)&gt;YEAR(E150),1,(12-MONTH(E150)+1)/12))))-((P150)*(IF((YEAR(D150)+4)&lt;YEAR(E150),0,IF((YEAR(D150)+4)&gt;YEAR(E150),1,(12-MONTH(E150)+1)/12))) + (R150)*(IF((YEAR(D150)+4)&lt;YEAR(E150),0,IF((YEAR(D150)+4)&gt;YEAR(E150),1,(12-MONTH(E150)+1)/12))))-(IF(OR(N150="",N150&lt;=0),0,(O150/N150)*(IF(OR(N150="",N150&lt;=0),0,IF((YEAR(D150)+4)&lt;YEAR(E150),0,IF((YEAR(D150)+4)&gt;=YEAR(E150)+N150,0,IF((YEAR(D150)+4)=YEAR(E150),(12-MONTH(E150)+1)/12,1))))))))*TaxRate,0))-IF(4=0,O150,0))</f>
        <v/>
      </c>
      <c r="X150" s="29">
        <f>IF(A150="","",((K150)*(IF(M150="",L150,IFERROR(IF(INDEX(Variablen!$I:$AT, MATCH(M150, Variablen!$A:$A, 0), MATCH((YEAR(D150)+5), Variablen!$I$3:$AT$3, 0))="",L150,INDEX(Variablen!$I:$AT, MATCH(M150, Variablen!$A:$A, 0), MATCH((YEAR(D150)+5), Variablen!$I$3:$AT$3, 0))),L150)))*(IF((YEAR(D150)+5)&lt;YEAR(E150),0,IF((YEAR(D150)+5)&gt;YEAR(E150),1,(12-MONTH(E150)+1)/12))) + (Q150)*(IF((YEAR(D150)+5)&lt;YEAR(E150),0,IF((YEAR(D150)+5)&gt;YEAR(E150),1,(12-MONTH(E150)+1)/12))))-((P150)*(IF((YEAR(D150)+5)&lt;YEAR(E150),0,IF((YEAR(D150)+5)&gt;YEAR(E150),1,(12-MONTH(E150)+1)/12))) + (R150)*(IF((YEAR(D150)+5)&lt;YEAR(E150),0,IF((YEAR(D150)+5)&gt;YEAR(E150),1,(12-MONTH(E150)+1)/12))))-(IF((((K150)*(IF(M150="",L150,IFERROR(IF(INDEX(Variablen!$I:$AT, MATCH(M150, Variablen!$A:$A, 0), MATCH((YEAR(D150)+5), Variablen!$I$3:$AT$3, 0))="",L150,INDEX(Variablen!$I:$AT, MATCH(M150, Variablen!$A:$A, 0), MATCH((YEAR(D150)+5), Variablen!$I$3:$AT$3, 0))),L150)))*(IF((YEAR(D150)+5)&lt;YEAR(E150),0,IF((YEAR(D150)+5)&gt;YEAR(E150),1,(12-MONTH(E150)+1)/12))) + (Q150)*(IF((YEAR(D150)+5)&lt;YEAR(E150),0,IF((YEAR(D150)+5)&gt;YEAR(E150),1,(12-MONTH(E150)+1)/12))))-((P150)*(IF((YEAR(D150)+5)&lt;YEAR(E150),0,IF((YEAR(D150)+5)&gt;YEAR(E150),1,(12-MONTH(E150)+1)/12))) + (R150)*(IF((YEAR(D150)+5)&lt;YEAR(E150),0,IF((YEAR(D150)+5)&gt;YEAR(E150),1,(12-MONTH(E150)+1)/12))))-(IF(OR(N150="",N150&lt;=0),0,(O150/N150)*(IF(OR(N150="",N150&lt;=0),0,IF((YEAR(D150)+5)&lt;YEAR(E150),0,IF((YEAR(D150)+5)&gt;=YEAR(E150)+N150,0,IF((YEAR(D150)+5)=YEAR(E150),(12-MONTH(E150)+1)/12,1))))))))&gt;0,(((K150)*(IF(M150="",L150,IFERROR(IF(INDEX(Variablen!$I:$AT, MATCH(M150, Variablen!$A:$A, 0), MATCH((YEAR(D150)+5), Variablen!$I$3:$AT$3, 0))="",L150,INDEX(Variablen!$I:$AT, MATCH(M150, Variablen!$A:$A, 0), MATCH((YEAR(D150)+5), Variablen!$I$3:$AT$3, 0))),L150)))*(IF((YEAR(D150)+5)&lt;YEAR(E150),0,IF((YEAR(D150)+5)&gt;YEAR(E150),1,(12-MONTH(E150)+1)/12))) + (Q150)*(IF((YEAR(D150)+5)&lt;YEAR(E150),0,IF((YEAR(D150)+5)&gt;YEAR(E150),1,(12-MONTH(E150)+1)/12))))-((P150)*(IF((YEAR(D150)+5)&lt;YEAR(E150),0,IF((YEAR(D150)+5)&gt;YEAR(E150),1,(12-MONTH(E150)+1)/12))) + (R150)*(IF((YEAR(D150)+5)&lt;YEAR(E150),0,IF((YEAR(D150)+5)&gt;YEAR(E150),1,(12-MONTH(E150)+1)/12))))-(IF(OR(N150="",N150&lt;=0),0,(O150/N150)*(IF(OR(N150="",N150&lt;=0),0,IF((YEAR(D150)+5)&lt;YEAR(E150),0,IF((YEAR(D150)+5)&gt;=YEAR(E150)+N150,0,IF((YEAR(D150)+5)=YEAR(E150),(12-MONTH(E150)+1)/12,1))))))))*TaxRate,0))-IF(5=0,O150,0))</f>
        <v/>
      </c>
      <c r="Y150" s="29">
        <f>IF(A150="","",((K150)*(IF(M150="",L150,IFERROR(IF(INDEX(Variablen!$I:$AT, MATCH(M150, Variablen!$A:$A, 0), MATCH((YEAR(D150)+6), Variablen!$I$3:$AT$3, 0))="",L150,INDEX(Variablen!$I:$AT, MATCH(M150, Variablen!$A:$A, 0), MATCH((YEAR(D150)+6), Variablen!$I$3:$AT$3, 0))),L150)))*(IF((YEAR(D150)+6)&lt;YEAR(E150),0,IF((YEAR(D150)+6)&gt;YEAR(E150),1,(12-MONTH(E150)+1)/12))) + (Q150)*(IF((YEAR(D150)+6)&lt;YEAR(E150),0,IF((YEAR(D150)+6)&gt;YEAR(E150),1,(12-MONTH(E150)+1)/12))))-((P150)*(IF((YEAR(D150)+6)&lt;YEAR(E150),0,IF((YEAR(D150)+6)&gt;YEAR(E150),1,(12-MONTH(E150)+1)/12))) + (R150)*(IF((YEAR(D150)+6)&lt;YEAR(E150),0,IF((YEAR(D150)+6)&gt;YEAR(E150),1,(12-MONTH(E150)+1)/12))))-(IF((((K150)*(IF(M150="",L150,IFERROR(IF(INDEX(Variablen!$I:$AT, MATCH(M150, Variablen!$A:$A, 0), MATCH((YEAR(D150)+6), Variablen!$I$3:$AT$3, 0))="",L150,INDEX(Variablen!$I:$AT, MATCH(M150, Variablen!$A:$A, 0), MATCH((YEAR(D150)+6), Variablen!$I$3:$AT$3, 0))),L150)))*(IF((YEAR(D150)+6)&lt;YEAR(E150),0,IF((YEAR(D150)+6)&gt;YEAR(E150),1,(12-MONTH(E150)+1)/12))) + (Q150)*(IF((YEAR(D150)+6)&lt;YEAR(E150),0,IF((YEAR(D150)+6)&gt;YEAR(E150),1,(12-MONTH(E150)+1)/12))))-((P150)*(IF((YEAR(D150)+6)&lt;YEAR(E150),0,IF((YEAR(D150)+6)&gt;YEAR(E150),1,(12-MONTH(E150)+1)/12))) + (R150)*(IF((YEAR(D150)+6)&lt;YEAR(E150),0,IF((YEAR(D150)+6)&gt;YEAR(E150),1,(12-MONTH(E150)+1)/12))))-(IF(OR(N150="",N150&lt;=0),0,(O150/N150)*(IF(OR(N150="",N150&lt;=0),0,IF((YEAR(D150)+6)&lt;YEAR(E150),0,IF((YEAR(D150)+6)&gt;=YEAR(E150)+N150,0,IF((YEAR(D150)+6)=YEAR(E150),(12-MONTH(E150)+1)/12,1))))))))&gt;0,(((K150)*(IF(M150="",L150,IFERROR(IF(INDEX(Variablen!$I:$AT, MATCH(M150, Variablen!$A:$A, 0), MATCH((YEAR(D150)+6), Variablen!$I$3:$AT$3, 0))="",L150,INDEX(Variablen!$I:$AT, MATCH(M150, Variablen!$A:$A, 0), MATCH((YEAR(D150)+6), Variablen!$I$3:$AT$3, 0))),L150)))*(IF((YEAR(D150)+6)&lt;YEAR(E150),0,IF((YEAR(D150)+6)&gt;YEAR(E150),1,(12-MONTH(E150)+1)/12))) + (Q150)*(IF((YEAR(D150)+6)&lt;YEAR(E150),0,IF((YEAR(D150)+6)&gt;YEAR(E150),1,(12-MONTH(E150)+1)/12))))-((P150)*(IF((YEAR(D150)+6)&lt;YEAR(E150),0,IF((YEAR(D150)+6)&gt;YEAR(E150),1,(12-MONTH(E150)+1)/12))) + (R150)*(IF((YEAR(D150)+6)&lt;YEAR(E150),0,IF((YEAR(D150)+6)&gt;YEAR(E150),1,(12-MONTH(E150)+1)/12))))-(IF(OR(N150="",N150&lt;=0),0,(O150/N150)*(IF(OR(N150="",N150&lt;=0),0,IF((YEAR(D150)+6)&lt;YEAR(E150),0,IF((YEAR(D150)+6)&gt;=YEAR(E150)+N150,0,IF((YEAR(D150)+6)=YEAR(E150),(12-MONTH(E150)+1)/12,1))))))))*TaxRate,0))-IF(6=0,O150,0))</f>
        <v/>
      </c>
      <c r="Z150" s="29">
        <f>IF(A150="","",((K150)*(IF(M150="",L150,IFERROR(IF(INDEX(Variablen!$I:$AT, MATCH(M150, Variablen!$A:$A, 0), MATCH((YEAR(D150)+7), Variablen!$I$3:$AT$3, 0))="",L150,INDEX(Variablen!$I:$AT, MATCH(M150, Variablen!$A:$A, 0), MATCH((YEAR(D150)+7), Variablen!$I$3:$AT$3, 0))),L150)))*(IF((YEAR(D150)+7)&lt;YEAR(E150),0,IF((YEAR(D150)+7)&gt;YEAR(E150),1,(12-MONTH(E150)+1)/12))) + (Q150)*(IF((YEAR(D150)+7)&lt;YEAR(E150),0,IF((YEAR(D150)+7)&gt;YEAR(E150),1,(12-MONTH(E150)+1)/12))))-((P150)*(IF((YEAR(D150)+7)&lt;YEAR(E150),0,IF((YEAR(D150)+7)&gt;YEAR(E150),1,(12-MONTH(E150)+1)/12))) + (R150)*(IF((YEAR(D150)+7)&lt;YEAR(E150),0,IF((YEAR(D150)+7)&gt;YEAR(E150),1,(12-MONTH(E150)+1)/12))))-(IF((((K150)*(IF(M150="",L150,IFERROR(IF(INDEX(Variablen!$I:$AT, MATCH(M150, Variablen!$A:$A, 0), MATCH((YEAR(D150)+7), Variablen!$I$3:$AT$3, 0))="",L150,INDEX(Variablen!$I:$AT, MATCH(M150, Variablen!$A:$A, 0), MATCH((YEAR(D150)+7), Variablen!$I$3:$AT$3, 0))),L150)))*(IF((YEAR(D150)+7)&lt;YEAR(E150),0,IF((YEAR(D150)+7)&gt;YEAR(E150),1,(12-MONTH(E150)+1)/12))) + (Q150)*(IF((YEAR(D150)+7)&lt;YEAR(E150),0,IF((YEAR(D150)+7)&gt;YEAR(E150),1,(12-MONTH(E150)+1)/12))))-((P150)*(IF((YEAR(D150)+7)&lt;YEAR(E150),0,IF((YEAR(D150)+7)&gt;YEAR(E150),1,(12-MONTH(E150)+1)/12))) + (R150)*(IF((YEAR(D150)+7)&lt;YEAR(E150),0,IF((YEAR(D150)+7)&gt;YEAR(E150),1,(12-MONTH(E150)+1)/12))))-(IF(OR(N150="",N150&lt;=0),0,(O150/N150)*(IF(OR(N150="",N150&lt;=0),0,IF((YEAR(D150)+7)&lt;YEAR(E150),0,IF((YEAR(D150)+7)&gt;=YEAR(E150)+N150,0,IF((YEAR(D150)+7)=YEAR(E150),(12-MONTH(E150)+1)/12,1))))))))&gt;0,(((K150)*(IF(M150="",L150,IFERROR(IF(INDEX(Variablen!$I:$AT, MATCH(M150, Variablen!$A:$A, 0), MATCH((YEAR(D150)+7), Variablen!$I$3:$AT$3, 0))="",L150,INDEX(Variablen!$I:$AT, MATCH(M150, Variablen!$A:$A, 0), MATCH((YEAR(D150)+7), Variablen!$I$3:$AT$3, 0))),L150)))*(IF((YEAR(D150)+7)&lt;YEAR(E150),0,IF((YEAR(D150)+7)&gt;YEAR(E150),1,(12-MONTH(E150)+1)/12))) + (Q150)*(IF((YEAR(D150)+7)&lt;YEAR(E150),0,IF((YEAR(D150)+7)&gt;YEAR(E150),1,(12-MONTH(E150)+1)/12))))-((P150)*(IF((YEAR(D150)+7)&lt;YEAR(E150),0,IF((YEAR(D150)+7)&gt;YEAR(E150),1,(12-MONTH(E150)+1)/12))) + (R150)*(IF((YEAR(D150)+7)&lt;YEAR(E150),0,IF((YEAR(D150)+7)&gt;YEAR(E150),1,(12-MONTH(E150)+1)/12))))-(IF(OR(N150="",N150&lt;=0),0,(O150/N150)*(IF(OR(N150="",N150&lt;=0),0,IF((YEAR(D150)+7)&lt;YEAR(E150),0,IF((YEAR(D150)+7)&gt;=YEAR(E150)+N150,0,IF((YEAR(D150)+7)=YEAR(E150),(12-MONTH(E150)+1)/12,1))))))))*TaxRate,0))-IF(7=0,O150,0))</f>
        <v/>
      </c>
      <c r="AA150" s="29">
        <f>IF(A150="","",((K150)*(IF(M150="",L150,IFERROR(IF(INDEX(Variablen!$I:$AT, MATCH(M150, Variablen!$A:$A, 0), MATCH((YEAR(D150)+8), Variablen!$I$3:$AT$3, 0))="",L150,INDEX(Variablen!$I:$AT, MATCH(M150, Variablen!$A:$A, 0), MATCH((YEAR(D150)+8), Variablen!$I$3:$AT$3, 0))),L150)))*(IF((YEAR(D150)+8)&lt;YEAR(E150),0,IF((YEAR(D150)+8)&gt;YEAR(E150),1,(12-MONTH(E150)+1)/12))) + (Q150)*(IF((YEAR(D150)+8)&lt;YEAR(E150),0,IF((YEAR(D150)+8)&gt;YEAR(E150),1,(12-MONTH(E150)+1)/12))))-((P150)*(IF((YEAR(D150)+8)&lt;YEAR(E150),0,IF((YEAR(D150)+8)&gt;YEAR(E150),1,(12-MONTH(E150)+1)/12))) + (R150)*(IF((YEAR(D150)+8)&lt;YEAR(E150),0,IF((YEAR(D150)+8)&gt;YEAR(E150),1,(12-MONTH(E150)+1)/12))))-(IF((((K150)*(IF(M150="",L150,IFERROR(IF(INDEX(Variablen!$I:$AT, MATCH(M150, Variablen!$A:$A, 0), MATCH((YEAR(D150)+8), Variablen!$I$3:$AT$3, 0))="",L150,INDEX(Variablen!$I:$AT, MATCH(M150, Variablen!$A:$A, 0), MATCH((YEAR(D150)+8), Variablen!$I$3:$AT$3, 0))),L150)))*(IF((YEAR(D150)+8)&lt;YEAR(E150),0,IF((YEAR(D150)+8)&gt;YEAR(E150),1,(12-MONTH(E150)+1)/12))) + (Q150)*(IF((YEAR(D150)+8)&lt;YEAR(E150),0,IF((YEAR(D150)+8)&gt;YEAR(E150),1,(12-MONTH(E150)+1)/12))))-((P150)*(IF((YEAR(D150)+8)&lt;YEAR(E150),0,IF((YEAR(D150)+8)&gt;YEAR(E150),1,(12-MONTH(E150)+1)/12))) + (R150)*(IF((YEAR(D150)+8)&lt;YEAR(E150),0,IF((YEAR(D150)+8)&gt;YEAR(E150),1,(12-MONTH(E150)+1)/12))))-(IF(OR(N150="",N150&lt;=0),0,(O150/N150)*(IF(OR(N150="",N150&lt;=0),0,IF((YEAR(D150)+8)&lt;YEAR(E150),0,IF((YEAR(D150)+8)&gt;=YEAR(E150)+N150,0,IF((YEAR(D150)+8)=YEAR(E150),(12-MONTH(E150)+1)/12,1))))))))&gt;0,(((K150)*(IF(M150="",L150,IFERROR(IF(INDEX(Variablen!$I:$AT, MATCH(M150, Variablen!$A:$A, 0), MATCH((YEAR(D150)+8), Variablen!$I$3:$AT$3, 0))="",L150,INDEX(Variablen!$I:$AT, MATCH(M150, Variablen!$A:$A, 0), MATCH((YEAR(D150)+8), Variablen!$I$3:$AT$3, 0))),L150)))*(IF((YEAR(D150)+8)&lt;YEAR(E150),0,IF((YEAR(D150)+8)&gt;YEAR(E150),1,(12-MONTH(E150)+1)/12))) + (Q150)*(IF((YEAR(D150)+8)&lt;YEAR(E150),0,IF((YEAR(D150)+8)&gt;YEAR(E150),1,(12-MONTH(E150)+1)/12))))-((P150)*(IF((YEAR(D150)+8)&lt;YEAR(E150),0,IF((YEAR(D150)+8)&gt;YEAR(E150),1,(12-MONTH(E150)+1)/12))) + (R150)*(IF((YEAR(D150)+8)&lt;YEAR(E150),0,IF((YEAR(D150)+8)&gt;YEAR(E150),1,(12-MONTH(E150)+1)/12))))-(IF(OR(N150="",N150&lt;=0),0,(O150/N150)*(IF(OR(N150="",N150&lt;=0),0,IF((YEAR(D150)+8)&lt;YEAR(E150),0,IF((YEAR(D150)+8)&gt;=YEAR(E150)+N150,0,IF((YEAR(D150)+8)=YEAR(E150),(12-MONTH(E150)+1)/12,1))))))))*TaxRate,0))-IF(8=0,O150,0))</f>
        <v/>
      </c>
      <c r="AB150" s="29">
        <f>IF(A150="","",((K150)*(IF(M150="",L150,IFERROR(IF(INDEX(Variablen!$I:$AT, MATCH(M150, Variablen!$A:$A, 0), MATCH((YEAR(D150)+9), Variablen!$I$3:$AT$3, 0))="",L150,INDEX(Variablen!$I:$AT, MATCH(M150, Variablen!$A:$A, 0), MATCH((YEAR(D150)+9), Variablen!$I$3:$AT$3, 0))),L150)))*(IF((YEAR(D150)+9)&lt;YEAR(E150),0,IF((YEAR(D150)+9)&gt;YEAR(E150),1,(12-MONTH(E150)+1)/12))) + (Q150)*(IF((YEAR(D150)+9)&lt;YEAR(E150),0,IF((YEAR(D150)+9)&gt;YEAR(E150),1,(12-MONTH(E150)+1)/12))))-((P150)*(IF((YEAR(D150)+9)&lt;YEAR(E150),0,IF((YEAR(D150)+9)&gt;YEAR(E150),1,(12-MONTH(E150)+1)/12))) + (R150)*(IF((YEAR(D150)+9)&lt;YEAR(E150),0,IF((YEAR(D150)+9)&gt;YEAR(E150),1,(12-MONTH(E150)+1)/12))))-(IF((((K150)*(IF(M150="",L150,IFERROR(IF(INDEX(Variablen!$I:$AT, MATCH(M150, Variablen!$A:$A, 0), MATCH((YEAR(D150)+9), Variablen!$I$3:$AT$3, 0))="",L150,INDEX(Variablen!$I:$AT, MATCH(M150, Variablen!$A:$A, 0), MATCH((YEAR(D150)+9), Variablen!$I$3:$AT$3, 0))),L150)))*(IF((YEAR(D150)+9)&lt;YEAR(E150),0,IF((YEAR(D150)+9)&gt;YEAR(E150),1,(12-MONTH(E150)+1)/12))) + (Q150)*(IF((YEAR(D150)+9)&lt;YEAR(E150),0,IF((YEAR(D150)+9)&gt;YEAR(E150),1,(12-MONTH(E150)+1)/12))))-((P150)*(IF((YEAR(D150)+9)&lt;YEAR(E150),0,IF((YEAR(D150)+9)&gt;YEAR(E150),1,(12-MONTH(E150)+1)/12))) + (R150)*(IF((YEAR(D150)+9)&lt;YEAR(E150),0,IF((YEAR(D150)+9)&gt;YEAR(E150),1,(12-MONTH(E150)+1)/12))))-(IF(OR(N150="",N150&lt;=0),0,(O150/N150)*(IF(OR(N150="",N150&lt;=0),0,IF((YEAR(D150)+9)&lt;YEAR(E150),0,IF((YEAR(D150)+9)&gt;=YEAR(E150)+N150,0,IF((YEAR(D150)+9)=YEAR(E150),(12-MONTH(E150)+1)/12,1))))))))&gt;0,(((K150)*(IF(M150="",L150,IFERROR(IF(INDEX(Variablen!$I:$AT, MATCH(M150, Variablen!$A:$A, 0), MATCH((YEAR(D150)+9), Variablen!$I$3:$AT$3, 0))="",L150,INDEX(Variablen!$I:$AT, MATCH(M150, Variablen!$A:$A, 0), MATCH((YEAR(D150)+9), Variablen!$I$3:$AT$3, 0))),L150)))*(IF((YEAR(D150)+9)&lt;YEAR(E150),0,IF((YEAR(D150)+9)&gt;YEAR(E150),1,(12-MONTH(E150)+1)/12))) + (Q150)*(IF((YEAR(D150)+9)&lt;YEAR(E150),0,IF((YEAR(D150)+9)&gt;YEAR(E150),1,(12-MONTH(E150)+1)/12))))-((P150)*(IF((YEAR(D150)+9)&lt;YEAR(E150),0,IF((YEAR(D150)+9)&gt;YEAR(E150),1,(12-MONTH(E150)+1)/12))) + (R150)*(IF((YEAR(D150)+9)&lt;YEAR(E150),0,IF((YEAR(D150)+9)&gt;YEAR(E150),1,(12-MONTH(E150)+1)/12))))-(IF(OR(N150="",N150&lt;=0),0,(O150/N150)*(IF(OR(N150="",N150&lt;=0),0,IF((YEAR(D150)+9)&lt;YEAR(E150),0,IF((YEAR(D150)+9)&gt;=YEAR(E150)+N150,0,IF((YEAR(D150)+9)=YEAR(E150),(12-MONTH(E150)+1)/12,1))))))))*TaxRate,0))-IF(9=0,O150,0))</f>
        <v/>
      </c>
      <c r="AC150" s="29">
        <f>IF(A150="","",((K150)*(IF(M150="",L150,IFERROR(IF(INDEX(Variablen!$I:$AT, MATCH(M150, Variablen!$A:$A, 0), MATCH((YEAR(D150)+10), Variablen!$I$3:$AT$3, 0))="",L150,INDEX(Variablen!$I:$AT, MATCH(M150, Variablen!$A:$A, 0), MATCH((YEAR(D150)+10), Variablen!$I$3:$AT$3, 0))),L150)))*(IF((YEAR(D150)+10)&lt;YEAR(E150),0,IF((YEAR(D150)+10)&gt;YEAR(E150),1,(12-MONTH(E150)+1)/12))) + (Q150)*(IF((YEAR(D150)+10)&lt;YEAR(E150),0,IF((YEAR(D150)+10)&gt;YEAR(E150),1,(12-MONTH(E150)+1)/12))))-((P150)*(IF((YEAR(D150)+10)&lt;YEAR(E150),0,IF((YEAR(D150)+10)&gt;YEAR(E150),1,(12-MONTH(E150)+1)/12))) + (R150)*(IF((YEAR(D150)+10)&lt;YEAR(E150),0,IF((YEAR(D150)+10)&gt;YEAR(E150),1,(12-MONTH(E150)+1)/12))))-(IF((((K150)*(IF(M150="",L150,IFERROR(IF(INDEX(Variablen!$I:$AT, MATCH(M150, Variablen!$A:$A, 0), MATCH((YEAR(D150)+10), Variablen!$I$3:$AT$3, 0))="",L150,INDEX(Variablen!$I:$AT, MATCH(M150, Variablen!$A:$A, 0), MATCH((YEAR(D150)+10), Variablen!$I$3:$AT$3, 0))),L150)))*(IF((YEAR(D150)+10)&lt;YEAR(E150),0,IF((YEAR(D150)+10)&gt;YEAR(E150),1,(12-MONTH(E150)+1)/12))) + (Q150)*(IF((YEAR(D150)+10)&lt;YEAR(E150),0,IF((YEAR(D150)+10)&gt;YEAR(E150),1,(12-MONTH(E150)+1)/12))))-((P150)*(IF((YEAR(D150)+10)&lt;YEAR(E150),0,IF((YEAR(D150)+10)&gt;YEAR(E150),1,(12-MONTH(E150)+1)/12))) + (R150)*(IF((YEAR(D150)+10)&lt;YEAR(E150),0,IF((YEAR(D150)+10)&gt;YEAR(E150),1,(12-MONTH(E150)+1)/12))))-(IF(OR(N150="",N150&lt;=0),0,(O150/N150)*(IF(OR(N150="",N150&lt;=0),0,IF((YEAR(D150)+10)&lt;YEAR(E150),0,IF((YEAR(D150)+10)&gt;=YEAR(E150)+N150,0,IF((YEAR(D150)+10)=YEAR(E150),(12-MONTH(E150)+1)/12,1))))))))&gt;0,(((K150)*(IF(M150="",L150,IFERROR(IF(INDEX(Variablen!$I:$AT, MATCH(M150, Variablen!$A:$A, 0), MATCH((YEAR(D150)+10), Variablen!$I$3:$AT$3, 0))="",L150,INDEX(Variablen!$I:$AT, MATCH(M150, Variablen!$A:$A, 0), MATCH((YEAR(D150)+10), Variablen!$I$3:$AT$3, 0))),L150)))*(IF((YEAR(D150)+10)&lt;YEAR(E150),0,IF((YEAR(D150)+10)&gt;YEAR(E150),1,(12-MONTH(E150)+1)/12))) + (Q150)*(IF((YEAR(D150)+10)&lt;YEAR(E150),0,IF((YEAR(D150)+10)&gt;YEAR(E150),1,(12-MONTH(E150)+1)/12))))-((P150)*(IF((YEAR(D150)+10)&lt;YEAR(E150),0,IF((YEAR(D150)+10)&gt;YEAR(E150),1,(12-MONTH(E150)+1)/12))) + (R150)*(IF((YEAR(D150)+10)&lt;YEAR(E150),0,IF((YEAR(D150)+10)&gt;YEAR(E150),1,(12-MONTH(E150)+1)/12))))-(IF(OR(N150="",N150&lt;=0),0,(O150/N150)*(IF(OR(N150="",N150&lt;=0),0,IF((YEAR(D150)+10)&lt;YEAR(E150),0,IF((YEAR(D150)+10)&gt;=YEAR(E150)+N150,0,IF((YEAR(D150)+10)=YEAR(E150),(12-MONTH(E150)+1)/12,1))))))))*TaxRate,0))-IF(10=0,O150,0))</f>
        <v/>
      </c>
      <c r="AD150" s="29">
        <f>IF(A150="","",((K150)*(IF(M150="",L150,IFERROR(IF(INDEX(Variablen!$I:$AT, MATCH(M150, Variablen!$A:$A, 0), MATCH((YEAR(D150)+11), Variablen!$I$3:$AT$3, 0))="",L150,INDEX(Variablen!$I:$AT, MATCH(M150, Variablen!$A:$A, 0), MATCH((YEAR(D150)+11), Variablen!$I$3:$AT$3, 0))),L150)))*(IF((YEAR(D150)+11)&lt;YEAR(E150),0,IF((YEAR(D150)+11)&gt;YEAR(E150),1,(12-MONTH(E150)+1)/12))) + (Q150)*(IF((YEAR(D150)+11)&lt;YEAR(E150),0,IF((YEAR(D150)+11)&gt;YEAR(E150),1,(12-MONTH(E150)+1)/12))))-((P150)*(IF((YEAR(D150)+11)&lt;YEAR(E150),0,IF((YEAR(D150)+11)&gt;YEAR(E150),1,(12-MONTH(E150)+1)/12))) + (R150)*(IF((YEAR(D150)+11)&lt;YEAR(E150),0,IF((YEAR(D150)+11)&gt;YEAR(E150),1,(12-MONTH(E150)+1)/12))))-(IF((((K150)*(IF(M150="",L150,IFERROR(IF(INDEX(Variablen!$I:$AT, MATCH(M150, Variablen!$A:$A, 0), MATCH((YEAR(D150)+11), Variablen!$I$3:$AT$3, 0))="",L150,INDEX(Variablen!$I:$AT, MATCH(M150, Variablen!$A:$A, 0), MATCH((YEAR(D150)+11), Variablen!$I$3:$AT$3, 0))),L150)))*(IF((YEAR(D150)+11)&lt;YEAR(E150),0,IF((YEAR(D150)+11)&gt;YEAR(E150),1,(12-MONTH(E150)+1)/12))) + (Q150)*(IF((YEAR(D150)+11)&lt;YEAR(E150),0,IF((YEAR(D150)+11)&gt;YEAR(E150),1,(12-MONTH(E150)+1)/12))))-((P150)*(IF((YEAR(D150)+11)&lt;YEAR(E150),0,IF((YEAR(D150)+11)&gt;YEAR(E150),1,(12-MONTH(E150)+1)/12))) + (R150)*(IF((YEAR(D150)+11)&lt;YEAR(E150),0,IF((YEAR(D150)+11)&gt;YEAR(E150),1,(12-MONTH(E150)+1)/12))))-(IF(OR(N150="",N150&lt;=0),0,(O150/N150)*(IF(OR(N150="",N150&lt;=0),0,IF((YEAR(D150)+11)&lt;YEAR(E150),0,IF((YEAR(D150)+11)&gt;=YEAR(E150)+N150,0,IF((YEAR(D150)+11)=YEAR(E150),(12-MONTH(E150)+1)/12,1))))))))&gt;0,(((K150)*(IF(M150="",L150,IFERROR(IF(INDEX(Variablen!$I:$AT, MATCH(M150, Variablen!$A:$A, 0), MATCH((YEAR(D150)+11), Variablen!$I$3:$AT$3, 0))="",L150,INDEX(Variablen!$I:$AT, MATCH(M150, Variablen!$A:$A, 0), MATCH((YEAR(D150)+11), Variablen!$I$3:$AT$3, 0))),L150)))*(IF((YEAR(D150)+11)&lt;YEAR(E150),0,IF((YEAR(D150)+11)&gt;YEAR(E150),1,(12-MONTH(E150)+1)/12))) + (Q150)*(IF((YEAR(D150)+11)&lt;YEAR(E150),0,IF((YEAR(D150)+11)&gt;YEAR(E150),1,(12-MONTH(E150)+1)/12))))-((P150)*(IF((YEAR(D150)+11)&lt;YEAR(E150),0,IF((YEAR(D150)+11)&gt;YEAR(E150),1,(12-MONTH(E150)+1)/12))) + (R150)*(IF((YEAR(D150)+11)&lt;YEAR(E150),0,IF((YEAR(D150)+11)&gt;YEAR(E150),1,(12-MONTH(E150)+1)/12))))-(IF(OR(N150="",N150&lt;=0),0,(O150/N150)*(IF(OR(N150="",N150&lt;=0),0,IF((YEAR(D150)+11)&lt;YEAR(E150),0,IF((YEAR(D150)+11)&gt;=YEAR(E150)+N150,0,IF((YEAR(D150)+11)=YEAR(E150),(12-MONTH(E150)+1)/12,1))))))))*TaxRate,0))-IF(11=0,O150,0))</f>
        <v/>
      </c>
      <c r="AE150" s="29">
        <f>IF(A150="","",((K150)*(IF(M150="",L150,IFERROR(IF(INDEX(Variablen!$I:$AT, MATCH(M150, Variablen!$A:$A, 0), MATCH((YEAR(D150)+12), Variablen!$I$3:$AT$3, 0))="",L150,INDEX(Variablen!$I:$AT, MATCH(M150, Variablen!$A:$A, 0), MATCH((YEAR(D150)+12), Variablen!$I$3:$AT$3, 0))),L150)))*(IF((YEAR(D150)+12)&lt;YEAR(E150),0,IF((YEAR(D150)+12)&gt;YEAR(E150),1,(12-MONTH(E150)+1)/12))) + (Q150)*(IF((YEAR(D150)+12)&lt;YEAR(E150),0,IF((YEAR(D150)+12)&gt;YEAR(E150),1,(12-MONTH(E150)+1)/12))))-((P150)*(IF((YEAR(D150)+12)&lt;YEAR(E150),0,IF((YEAR(D150)+12)&gt;YEAR(E150),1,(12-MONTH(E150)+1)/12))) + (R150)*(IF((YEAR(D150)+12)&lt;YEAR(E150),0,IF((YEAR(D150)+12)&gt;YEAR(E150),1,(12-MONTH(E150)+1)/12))))-(IF((((K150)*(IF(M150="",L150,IFERROR(IF(INDEX(Variablen!$I:$AT, MATCH(M150, Variablen!$A:$A, 0), MATCH((YEAR(D150)+12), Variablen!$I$3:$AT$3, 0))="",L150,INDEX(Variablen!$I:$AT, MATCH(M150, Variablen!$A:$A, 0), MATCH((YEAR(D150)+12), Variablen!$I$3:$AT$3, 0))),L150)))*(IF((YEAR(D150)+12)&lt;YEAR(E150),0,IF((YEAR(D150)+12)&gt;YEAR(E150),1,(12-MONTH(E150)+1)/12))) + (Q150)*(IF((YEAR(D150)+12)&lt;YEAR(E150),0,IF((YEAR(D150)+12)&gt;YEAR(E150),1,(12-MONTH(E150)+1)/12))))-((P150)*(IF((YEAR(D150)+12)&lt;YEAR(E150),0,IF((YEAR(D150)+12)&gt;YEAR(E150),1,(12-MONTH(E150)+1)/12))) + (R150)*(IF((YEAR(D150)+12)&lt;YEAR(E150),0,IF((YEAR(D150)+12)&gt;YEAR(E150),1,(12-MONTH(E150)+1)/12))))-(IF(OR(N150="",N150&lt;=0),0,(O150/N150)*(IF(OR(N150="",N150&lt;=0),0,IF((YEAR(D150)+12)&lt;YEAR(E150),0,IF((YEAR(D150)+12)&gt;=YEAR(E150)+N150,0,IF((YEAR(D150)+12)=YEAR(E150),(12-MONTH(E150)+1)/12,1))))))))&gt;0,(((K150)*(IF(M150="",L150,IFERROR(IF(INDEX(Variablen!$I:$AT, MATCH(M150, Variablen!$A:$A, 0), MATCH((YEAR(D150)+12), Variablen!$I$3:$AT$3, 0))="",L150,INDEX(Variablen!$I:$AT, MATCH(M150, Variablen!$A:$A, 0), MATCH((YEAR(D150)+12), Variablen!$I$3:$AT$3, 0))),L150)))*(IF((YEAR(D150)+12)&lt;YEAR(E150),0,IF((YEAR(D150)+12)&gt;YEAR(E150),1,(12-MONTH(E150)+1)/12))) + (Q150)*(IF((YEAR(D150)+12)&lt;YEAR(E150),0,IF((YEAR(D150)+12)&gt;YEAR(E150),1,(12-MONTH(E150)+1)/12))))-((P150)*(IF((YEAR(D150)+12)&lt;YEAR(E150),0,IF((YEAR(D150)+12)&gt;YEAR(E150),1,(12-MONTH(E150)+1)/12))) + (R150)*(IF((YEAR(D150)+12)&lt;YEAR(E150),0,IF((YEAR(D150)+12)&gt;YEAR(E150),1,(12-MONTH(E150)+1)/12))))-(IF(OR(N150="",N150&lt;=0),0,(O150/N150)*(IF(OR(N150="",N150&lt;=0),0,IF((YEAR(D150)+12)&lt;YEAR(E150),0,IF((YEAR(D150)+12)&gt;=YEAR(E150)+N150,0,IF((YEAR(D150)+12)=YEAR(E150),(12-MONTH(E150)+1)/12,1))))))))*TaxRate,0))-IF(12=0,O150,0))</f>
        <v/>
      </c>
      <c r="AF150" s="29">
        <f>IF(A150="","",((K150)*(IF(M150="",L150,IFERROR(IF(INDEX(Variablen!$I:$AT, MATCH(M150, Variablen!$A:$A, 0), MATCH((YEAR(D150)+13), Variablen!$I$3:$AT$3, 0))="",L150,INDEX(Variablen!$I:$AT, MATCH(M150, Variablen!$A:$A, 0), MATCH((YEAR(D150)+13), Variablen!$I$3:$AT$3, 0))),L150)))*(IF((YEAR(D150)+13)&lt;YEAR(E150),0,IF((YEAR(D150)+13)&gt;YEAR(E150),1,(12-MONTH(E150)+1)/12))) + (Q150)*(IF((YEAR(D150)+13)&lt;YEAR(E150),0,IF((YEAR(D150)+13)&gt;YEAR(E150),1,(12-MONTH(E150)+1)/12))))-((P150)*(IF((YEAR(D150)+13)&lt;YEAR(E150),0,IF((YEAR(D150)+13)&gt;YEAR(E150),1,(12-MONTH(E150)+1)/12))) + (R150)*(IF((YEAR(D150)+13)&lt;YEAR(E150),0,IF((YEAR(D150)+13)&gt;YEAR(E150),1,(12-MONTH(E150)+1)/12))))-(IF((((K150)*(IF(M150="",L150,IFERROR(IF(INDEX(Variablen!$I:$AT, MATCH(M150, Variablen!$A:$A, 0), MATCH((YEAR(D150)+13), Variablen!$I$3:$AT$3, 0))="",L150,INDEX(Variablen!$I:$AT, MATCH(M150, Variablen!$A:$A, 0), MATCH((YEAR(D150)+13), Variablen!$I$3:$AT$3, 0))),L150)))*(IF((YEAR(D150)+13)&lt;YEAR(E150),0,IF((YEAR(D150)+13)&gt;YEAR(E150),1,(12-MONTH(E150)+1)/12))) + (Q150)*(IF((YEAR(D150)+13)&lt;YEAR(E150),0,IF((YEAR(D150)+13)&gt;YEAR(E150),1,(12-MONTH(E150)+1)/12))))-((P150)*(IF((YEAR(D150)+13)&lt;YEAR(E150),0,IF((YEAR(D150)+13)&gt;YEAR(E150),1,(12-MONTH(E150)+1)/12))) + (R150)*(IF((YEAR(D150)+13)&lt;YEAR(E150),0,IF((YEAR(D150)+13)&gt;YEAR(E150),1,(12-MONTH(E150)+1)/12))))-(IF(OR(N150="",N150&lt;=0),0,(O150/N150)*(IF(OR(N150="",N150&lt;=0),0,IF((YEAR(D150)+13)&lt;YEAR(E150),0,IF((YEAR(D150)+13)&gt;=YEAR(E150)+N150,0,IF((YEAR(D150)+13)=YEAR(E150),(12-MONTH(E150)+1)/12,1))))))))&gt;0,(((K150)*(IF(M150="",L150,IFERROR(IF(INDEX(Variablen!$I:$AT, MATCH(M150, Variablen!$A:$A, 0), MATCH((YEAR(D150)+13), Variablen!$I$3:$AT$3, 0))="",L150,INDEX(Variablen!$I:$AT, MATCH(M150, Variablen!$A:$A, 0), MATCH((YEAR(D150)+13), Variablen!$I$3:$AT$3, 0))),L150)))*(IF((YEAR(D150)+13)&lt;YEAR(E150),0,IF((YEAR(D150)+13)&gt;YEAR(E150),1,(12-MONTH(E150)+1)/12))) + (Q150)*(IF((YEAR(D150)+13)&lt;YEAR(E150),0,IF((YEAR(D150)+13)&gt;YEAR(E150),1,(12-MONTH(E150)+1)/12))))-((P150)*(IF((YEAR(D150)+13)&lt;YEAR(E150),0,IF((YEAR(D150)+13)&gt;YEAR(E150),1,(12-MONTH(E150)+1)/12))) + (R150)*(IF((YEAR(D150)+13)&lt;YEAR(E150),0,IF((YEAR(D150)+13)&gt;YEAR(E150),1,(12-MONTH(E150)+1)/12))))-(IF(OR(N150="",N150&lt;=0),0,(O150/N150)*(IF(OR(N150="",N150&lt;=0),0,IF((YEAR(D150)+13)&lt;YEAR(E150),0,IF((YEAR(D150)+13)&gt;=YEAR(E150)+N150,0,IF((YEAR(D150)+13)=YEAR(E150),(12-MONTH(E150)+1)/12,1))))))))*TaxRate,0))-IF(13=0,O150,0))</f>
        <v/>
      </c>
      <c r="AG150" s="29">
        <f>IF(A150="","",((K150)*(IF(M150="",L150,IFERROR(IF(INDEX(Variablen!$I:$AT, MATCH(M150, Variablen!$A:$A, 0), MATCH((YEAR(D150)+14), Variablen!$I$3:$AT$3, 0))="",L150,INDEX(Variablen!$I:$AT, MATCH(M150, Variablen!$A:$A, 0), MATCH((YEAR(D150)+14), Variablen!$I$3:$AT$3, 0))),L150)))*(IF((YEAR(D150)+14)&lt;YEAR(E150),0,IF((YEAR(D150)+14)&gt;YEAR(E150),1,(12-MONTH(E150)+1)/12))) + (Q150)*(IF((YEAR(D150)+14)&lt;YEAR(E150),0,IF((YEAR(D150)+14)&gt;YEAR(E150),1,(12-MONTH(E150)+1)/12))))-((P150)*(IF((YEAR(D150)+14)&lt;YEAR(E150),0,IF((YEAR(D150)+14)&gt;YEAR(E150),1,(12-MONTH(E150)+1)/12))) + (R150)*(IF((YEAR(D150)+14)&lt;YEAR(E150),0,IF((YEAR(D150)+14)&gt;YEAR(E150),1,(12-MONTH(E150)+1)/12))))-(IF((((K150)*(IF(M150="",L150,IFERROR(IF(INDEX(Variablen!$I:$AT, MATCH(M150, Variablen!$A:$A, 0), MATCH((YEAR(D150)+14), Variablen!$I$3:$AT$3, 0))="",L150,INDEX(Variablen!$I:$AT, MATCH(M150, Variablen!$A:$A, 0), MATCH((YEAR(D150)+14), Variablen!$I$3:$AT$3, 0))),L150)))*(IF((YEAR(D150)+14)&lt;YEAR(E150),0,IF((YEAR(D150)+14)&gt;YEAR(E150),1,(12-MONTH(E150)+1)/12))) + (Q150)*(IF((YEAR(D150)+14)&lt;YEAR(E150),0,IF((YEAR(D150)+14)&gt;YEAR(E150),1,(12-MONTH(E150)+1)/12))))-((P150)*(IF((YEAR(D150)+14)&lt;YEAR(E150),0,IF((YEAR(D150)+14)&gt;YEAR(E150),1,(12-MONTH(E150)+1)/12))) + (R150)*(IF((YEAR(D150)+14)&lt;YEAR(E150),0,IF((YEAR(D150)+14)&gt;YEAR(E150),1,(12-MONTH(E150)+1)/12))))-(IF(OR(N150="",N150&lt;=0),0,(O150/N150)*(IF(OR(N150="",N150&lt;=0),0,IF((YEAR(D150)+14)&lt;YEAR(E150),0,IF((YEAR(D150)+14)&gt;=YEAR(E150)+N150,0,IF((YEAR(D150)+14)=YEAR(E150),(12-MONTH(E150)+1)/12,1))))))))&gt;0,(((K150)*(IF(M150="",L150,IFERROR(IF(INDEX(Variablen!$I:$AT, MATCH(M150, Variablen!$A:$A, 0), MATCH((YEAR(D150)+14), Variablen!$I$3:$AT$3, 0))="",L150,INDEX(Variablen!$I:$AT, MATCH(M150, Variablen!$A:$A, 0), MATCH((YEAR(D150)+14), Variablen!$I$3:$AT$3, 0))),L150)))*(IF((YEAR(D150)+14)&lt;YEAR(E150),0,IF((YEAR(D150)+14)&gt;YEAR(E150),1,(12-MONTH(E150)+1)/12))) + (Q150)*(IF((YEAR(D150)+14)&lt;YEAR(E150),0,IF((YEAR(D150)+14)&gt;YEAR(E150),1,(12-MONTH(E150)+1)/12))))-((P150)*(IF((YEAR(D150)+14)&lt;YEAR(E150),0,IF((YEAR(D150)+14)&gt;YEAR(E150),1,(12-MONTH(E150)+1)/12))) + (R150)*(IF((YEAR(D150)+14)&lt;YEAR(E150),0,IF((YEAR(D150)+14)&gt;YEAR(E150),1,(12-MONTH(E150)+1)/12))))-(IF(OR(N150="",N150&lt;=0),0,(O150/N150)*(IF(OR(N150="",N150&lt;=0),0,IF((YEAR(D150)+14)&lt;YEAR(E150),0,IF((YEAR(D150)+14)&gt;=YEAR(E150)+N150,0,IF((YEAR(D150)+14)=YEAR(E150),(12-MONTH(E150)+1)/12,1))))))))*TaxRate,0))-IF(14=0,O150,0))</f>
        <v/>
      </c>
      <c r="AH150" s="29">
        <f>IF(A150="","",((K150)*(IF(M150="",L150,IFERROR(IF(INDEX(Variablen!$I:$AT, MATCH(M150, Variablen!$A:$A, 0), MATCH((YEAR(D150)+15), Variablen!$I$3:$AT$3, 0))="",L150,INDEX(Variablen!$I:$AT, MATCH(M150, Variablen!$A:$A, 0), MATCH((YEAR(D150)+15), Variablen!$I$3:$AT$3, 0))),L150)))*(IF((YEAR(D150)+15)&lt;YEAR(E150),0,IF((YEAR(D150)+15)&gt;YEAR(E150),1,(12-MONTH(E150)+1)/12))) + (Q150)*(IF((YEAR(D150)+15)&lt;YEAR(E150),0,IF((YEAR(D150)+15)&gt;YEAR(E150),1,(12-MONTH(E150)+1)/12))))-((P150)*(IF((YEAR(D150)+15)&lt;YEAR(E150),0,IF((YEAR(D150)+15)&gt;YEAR(E150),1,(12-MONTH(E150)+1)/12))) + (R150)*(IF((YEAR(D150)+15)&lt;YEAR(E150),0,IF((YEAR(D150)+15)&gt;YEAR(E150),1,(12-MONTH(E150)+1)/12))))-(IF((((K150)*(IF(M150="",L150,IFERROR(IF(INDEX(Variablen!$I:$AT, MATCH(M150, Variablen!$A:$A, 0), MATCH((YEAR(D150)+15), Variablen!$I$3:$AT$3, 0))="",L150,INDEX(Variablen!$I:$AT, MATCH(M150, Variablen!$A:$A, 0), MATCH((YEAR(D150)+15), Variablen!$I$3:$AT$3, 0))),L150)))*(IF((YEAR(D150)+15)&lt;YEAR(E150),0,IF((YEAR(D150)+15)&gt;YEAR(E150),1,(12-MONTH(E150)+1)/12))) + (Q150)*(IF((YEAR(D150)+15)&lt;YEAR(E150),0,IF((YEAR(D150)+15)&gt;YEAR(E150),1,(12-MONTH(E150)+1)/12))))-((P150)*(IF((YEAR(D150)+15)&lt;YEAR(E150),0,IF((YEAR(D150)+15)&gt;YEAR(E150),1,(12-MONTH(E150)+1)/12))) + (R150)*(IF((YEAR(D150)+15)&lt;YEAR(E150),0,IF((YEAR(D150)+15)&gt;YEAR(E150),1,(12-MONTH(E150)+1)/12))))-(IF(OR(N150="",N150&lt;=0),0,(O150/N150)*(IF(OR(N150="",N150&lt;=0),0,IF((YEAR(D150)+15)&lt;YEAR(E150),0,IF((YEAR(D150)+15)&gt;=YEAR(E150)+N150,0,IF((YEAR(D150)+15)=YEAR(E150),(12-MONTH(E150)+1)/12,1))))))))&gt;0,(((K150)*(IF(M150="",L150,IFERROR(IF(INDEX(Variablen!$I:$AT, MATCH(M150, Variablen!$A:$A, 0), MATCH((YEAR(D150)+15), Variablen!$I$3:$AT$3, 0))="",L150,INDEX(Variablen!$I:$AT, MATCH(M150, Variablen!$A:$A, 0), MATCH((YEAR(D150)+15), Variablen!$I$3:$AT$3, 0))),L150)))*(IF((YEAR(D150)+15)&lt;YEAR(E150),0,IF((YEAR(D150)+15)&gt;YEAR(E150),1,(12-MONTH(E150)+1)/12))) + (Q150)*(IF((YEAR(D150)+15)&lt;YEAR(E150),0,IF((YEAR(D150)+15)&gt;YEAR(E150),1,(12-MONTH(E150)+1)/12))))-((P150)*(IF((YEAR(D150)+15)&lt;YEAR(E150),0,IF((YEAR(D150)+15)&gt;YEAR(E150),1,(12-MONTH(E150)+1)/12))) + (R150)*(IF((YEAR(D150)+15)&lt;YEAR(E150),0,IF((YEAR(D150)+15)&gt;YEAR(E150),1,(12-MONTH(E150)+1)/12))))-(IF(OR(N150="",N150&lt;=0),0,(O150/N150)*(IF(OR(N150="",N150&lt;=0),0,IF((YEAR(D150)+15)&lt;YEAR(E150),0,IF((YEAR(D150)+15)&gt;=YEAR(E150)+N150,0,IF((YEAR(D150)+15)=YEAR(E150),(12-MONTH(E150)+1)/12,1))))))))*TaxRate,0))-IF(15=0,O150,0))</f>
        <v/>
      </c>
      <c r="AI150" s="29">
        <f>IF(A150="","",((K150)*(IF(M150="",L150,IFERROR(IF(INDEX(Variablen!$I:$AT, MATCH(M150, Variablen!$A:$A, 0), MATCH((YEAR(D150)+16), Variablen!$I$3:$AT$3, 0))="",L150,INDEX(Variablen!$I:$AT, MATCH(M150, Variablen!$A:$A, 0), MATCH((YEAR(D150)+16), Variablen!$I$3:$AT$3, 0))),L150)))*(IF((YEAR(D150)+16)&lt;YEAR(E150),0,IF((YEAR(D150)+16)&gt;YEAR(E150),1,(12-MONTH(E150)+1)/12))) + (Q150)*(IF((YEAR(D150)+16)&lt;YEAR(E150),0,IF((YEAR(D150)+16)&gt;YEAR(E150),1,(12-MONTH(E150)+1)/12))))-((P150)*(IF((YEAR(D150)+16)&lt;YEAR(E150),0,IF((YEAR(D150)+16)&gt;YEAR(E150),1,(12-MONTH(E150)+1)/12))) + (R150)*(IF((YEAR(D150)+16)&lt;YEAR(E150),0,IF((YEAR(D150)+16)&gt;YEAR(E150),1,(12-MONTH(E150)+1)/12))))-(IF((((K150)*(IF(M150="",L150,IFERROR(IF(INDEX(Variablen!$I:$AT, MATCH(M150, Variablen!$A:$A, 0), MATCH((YEAR(D150)+16), Variablen!$I$3:$AT$3, 0))="",L150,INDEX(Variablen!$I:$AT, MATCH(M150, Variablen!$A:$A, 0), MATCH((YEAR(D150)+16), Variablen!$I$3:$AT$3, 0))),L150)))*(IF((YEAR(D150)+16)&lt;YEAR(E150),0,IF((YEAR(D150)+16)&gt;YEAR(E150),1,(12-MONTH(E150)+1)/12))) + (Q150)*(IF((YEAR(D150)+16)&lt;YEAR(E150),0,IF((YEAR(D150)+16)&gt;YEAR(E150),1,(12-MONTH(E150)+1)/12))))-((P150)*(IF((YEAR(D150)+16)&lt;YEAR(E150),0,IF((YEAR(D150)+16)&gt;YEAR(E150),1,(12-MONTH(E150)+1)/12))) + (R150)*(IF((YEAR(D150)+16)&lt;YEAR(E150),0,IF((YEAR(D150)+16)&gt;YEAR(E150),1,(12-MONTH(E150)+1)/12))))-(IF(OR(N150="",N150&lt;=0),0,(O150/N150)*(IF(OR(N150="",N150&lt;=0),0,IF((YEAR(D150)+16)&lt;YEAR(E150),0,IF((YEAR(D150)+16)&gt;=YEAR(E150)+N150,0,IF((YEAR(D150)+16)=YEAR(E150),(12-MONTH(E150)+1)/12,1))))))))&gt;0,(((K150)*(IF(M150="",L150,IFERROR(IF(INDEX(Variablen!$I:$AT, MATCH(M150, Variablen!$A:$A, 0), MATCH((YEAR(D150)+16), Variablen!$I$3:$AT$3, 0))="",L150,INDEX(Variablen!$I:$AT, MATCH(M150, Variablen!$A:$A, 0), MATCH((YEAR(D150)+16), Variablen!$I$3:$AT$3, 0))),L150)))*(IF((YEAR(D150)+16)&lt;YEAR(E150),0,IF((YEAR(D150)+16)&gt;YEAR(E150),1,(12-MONTH(E150)+1)/12))) + (Q150)*(IF((YEAR(D150)+16)&lt;YEAR(E150),0,IF((YEAR(D150)+16)&gt;YEAR(E150),1,(12-MONTH(E150)+1)/12))))-((P150)*(IF((YEAR(D150)+16)&lt;YEAR(E150),0,IF((YEAR(D150)+16)&gt;YEAR(E150),1,(12-MONTH(E150)+1)/12))) + (R150)*(IF((YEAR(D150)+16)&lt;YEAR(E150),0,IF((YEAR(D150)+16)&gt;YEAR(E150),1,(12-MONTH(E150)+1)/12))))-(IF(OR(N150="",N150&lt;=0),0,(O150/N150)*(IF(OR(N150="",N150&lt;=0),0,IF((YEAR(D150)+16)&lt;YEAR(E150),0,IF((YEAR(D150)+16)&gt;=YEAR(E150)+N150,0,IF((YEAR(D150)+16)=YEAR(E150),(12-MONTH(E150)+1)/12,1))))))))*TaxRate,0))-IF(16=0,O150,0))</f>
        <v/>
      </c>
      <c r="AJ150" s="29">
        <f>IF(A150="","",((K150)*(IF(M150="",L150,IFERROR(IF(INDEX(Variablen!$I:$AT, MATCH(M150, Variablen!$A:$A, 0), MATCH((YEAR(D150)+17), Variablen!$I$3:$AT$3, 0))="",L150,INDEX(Variablen!$I:$AT, MATCH(M150, Variablen!$A:$A, 0), MATCH((YEAR(D150)+17), Variablen!$I$3:$AT$3, 0))),L150)))*(IF((YEAR(D150)+17)&lt;YEAR(E150),0,IF((YEAR(D150)+17)&gt;YEAR(E150),1,(12-MONTH(E150)+1)/12))) + (Q150)*(IF((YEAR(D150)+17)&lt;YEAR(E150),0,IF((YEAR(D150)+17)&gt;YEAR(E150),1,(12-MONTH(E150)+1)/12))))-((P150)*(IF((YEAR(D150)+17)&lt;YEAR(E150),0,IF((YEAR(D150)+17)&gt;YEAR(E150),1,(12-MONTH(E150)+1)/12))) + (R150)*(IF((YEAR(D150)+17)&lt;YEAR(E150),0,IF((YEAR(D150)+17)&gt;YEAR(E150),1,(12-MONTH(E150)+1)/12))))-(IF((((K150)*(IF(M150="",L150,IFERROR(IF(INDEX(Variablen!$I:$AT, MATCH(M150, Variablen!$A:$A, 0), MATCH((YEAR(D150)+17), Variablen!$I$3:$AT$3, 0))="",L150,INDEX(Variablen!$I:$AT, MATCH(M150, Variablen!$A:$A, 0), MATCH((YEAR(D150)+17), Variablen!$I$3:$AT$3, 0))),L150)))*(IF((YEAR(D150)+17)&lt;YEAR(E150),0,IF((YEAR(D150)+17)&gt;YEAR(E150),1,(12-MONTH(E150)+1)/12))) + (Q150)*(IF((YEAR(D150)+17)&lt;YEAR(E150),0,IF((YEAR(D150)+17)&gt;YEAR(E150),1,(12-MONTH(E150)+1)/12))))-((P150)*(IF((YEAR(D150)+17)&lt;YEAR(E150),0,IF((YEAR(D150)+17)&gt;YEAR(E150),1,(12-MONTH(E150)+1)/12))) + (R150)*(IF((YEAR(D150)+17)&lt;YEAR(E150),0,IF((YEAR(D150)+17)&gt;YEAR(E150),1,(12-MONTH(E150)+1)/12))))-(IF(OR(N150="",N150&lt;=0),0,(O150/N150)*(IF(OR(N150="",N150&lt;=0),0,IF((YEAR(D150)+17)&lt;YEAR(E150),0,IF((YEAR(D150)+17)&gt;=YEAR(E150)+N150,0,IF((YEAR(D150)+17)=YEAR(E150),(12-MONTH(E150)+1)/12,1))))))))&gt;0,(((K150)*(IF(M150="",L150,IFERROR(IF(INDEX(Variablen!$I:$AT, MATCH(M150, Variablen!$A:$A, 0), MATCH((YEAR(D150)+17), Variablen!$I$3:$AT$3, 0))="",L150,INDEX(Variablen!$I:$AT, MATCH(M150, Variablen!$A:$A, 0), MATCH((YEAR(D150)+17), Variablen!$I$3:$AT$3, 0))),L150)))*(IF((YEAR(D150)+17)&lt;YEAR(E150),0,IF((YEAR(D150)+17)&gt;YEAR(E150),1,(12-MONTH(E150)+1)/12))) + (Q150)*(IF((YEAR(D150)+17)&lt;YEAR(E150),0,IF((YEAR(D150)+17)&gt;YEAR(E150),1,(12-MONTH(E150)+1)/12))))-((P150)*(IF((YEAR(D150)+17)&lt;YEAR(E150),0,IF((YEAR(D150)+17)&gt;YEAR(E150),1,(12-MONTH(E150)+1)/12))) + (R150)*(IF((YEAR(D150)+17)&lt;YEAR(E150),0,IF((YEAR(D150)+17)&gt;YEAR(E150),1,(12-MONTH(E150)+1)/12))))-(IF(OR(N150="",N150&lt;=0),0,(O150/N150)*(IF(OR(N150="",N150&lt;=0),0,IF((YEAR(D150)+17)&lt;YEAR(E150),0,IF((YEAR(D150)+17)&gt;=YEAR(E150)+N150,0,IF((YEAR(D150)+17)=YEAR(E150),(12-MONTH(E150)+1)/12,1))))))))*TaxRate,0))-IF(17=0,O150,0))</f>
        <v/>
      </c>
      <c r="AK150" s="29">
        <f>IF(A150="","",((K150)*(IF(M150="",L150,IFERROR(IF(INDEX(Variablen!$I:$AT, MATCH(M150, Variablen!$A:$A, 0), MATCH((YEAR(D150)+18), Variablen!$I$3:$AT$3, 0))="",L150,INDEX(Variablen!$I:$AT, MATCH(M150, Variablen!$A:$A, 0), MATCH((YEAR(D150)+18), Variablen!$I$3:$AT$3, 0))),L150)))*(IF((YEAR(D150)+18)&lt;YEAR(E150),0,IF((YEAR(D150)+18)&gt;YEAR(E150),1,(12-MONTH(E150)+1)/12))) + (Q150)*(IF((YEAR(D150)+18)&lt;YEAR(E150),0,IF((YEAR(D150)+18)&gt;YEAR(E150),1,(12-MONTH(E150)+1)/12))))-((P150)*(IF((YEAR(D150)+18)&lt;YEAR(E150),0,IF((YEAR(D150)+18)&gt;YEAR(E150),1,(12-MONTH(E150)+1)/12))) + (R150)*(IF((YEAR(D150)+18)&lt;YEAR(E150),0,IF((YEAR(D150)+18)&gt;YEAR(E150),1,(12-MONTH(E150)+1)/12))))-(IF((((K150)*(IF(M150="",L150,IFERROR(IF(INDEX(Variablen!$I:$AT, MATCH(M150, Variablen!$A:$A, 0), MATCH((YEAR(D150)+18), Variablen!$I$3:$AT$3, 0))="",L150,INDEX(Variablen!$I:$AT, MATCH(M150, Variablen!$A:$A, 0), MATCH((YEAR(D150)+18), Variablen!$I$3:$AT$3, 0))),L150)))*(IF((YEAR(D150)+18)&lt;YEAR(E150),0,IF((YEAR(D150)+18)&gt;YEAR(E150),1,(12-MONTH(E150)+1)/12))) + (Q150)*(IF((YEAR(D150)+18)&lt;YEAR(E150),0,IF((YEAR(D150)+18)&gt;YEAR(E150),1,(12-MONTH(E150)+1)/12))))-((P150)*(IF((YEAR(D150)+18)&lt;YEAR(E150),0,IF((YEAR(D150)+18)&gt;YEAR(E150),1,(12-MONTH(E150)+1)/12))) + (R150)*(IF((YEAR(D150)+18)&lt;YEAR(E150),0,IF((YEAR(D150)+18)&gt;YEAR(E150),1,(12-MONTH(E150)+1)/12))))-(IF(OR(N150="",N150&lt;=0),0,(O150/N150)*(IF(OR(N150="",N150&lt;=0),0,IF((YEAR(D150)+18)&lt;YEAR(E150),0,IF((YEAR(D150)+18)&gt;=YEAR(E150)+N150,0,IF((YEAR(D150)+18)=YEAR(E150),(12-MONTH(E150)+1)/12,1))))))))&gt;0,(((K150)*(IF(M150="",L150,IFERROR(IF(INDEX(Variablen!$I:$AT, MATCH(M150, Variablen!$A:$A, 0), MATCH((YEAR(D150)+18), Variablen!$I$3:$AT$3, 0))="",L150,INDEX(Variablen!$I:$AT, MATCH(M150, Variablen!$A:$A, 0), MATCH((YEAR(D150)+18), Variablen!$I$3:$AT$3, 0))),L150)))*(IF((YEAR(D150)+18)&lt;YEAR(E150),0,IF((YEAR(D150)+18)&gt;YEAR(E150),1,(12-MONTH(E150)+1)/12))) + (Q150)*(IF((YEAR(D150)+18)&lt;YEAR(E150),0,IF((YEAR(D150)+18)&gt;YEAR(E150),1,(12-MONTH(E150)+1)/12))))-((P150)*(IF((YEAR(D150)+18)&lt;YEAR(E150),0,IF((YEAR(D150)+18)&gt;YEAR(E150),1,(12-MONTH(E150)+1)/12))) + (R150)*(IF((YEAR(D150)+18)&lt;YEAR(E150),0,IF((YEAR(D150)+18)&gt;YEAR(E150),1,(12-MONTH(E150)+1)/12))))-(IF(OR(N150="",N150&lt;=0),0,(O150/N150)*(IF(OR(N150="",N150&lt;=0),0,IF((YEAR(D150)+18)&lt;YEAR(E150),0,IF((YEAR(D150)+18)&gt;=YEAR(E150)+N150,0,IF((YEAR(D150)+18)=YEAR(E150),(12-MONTH(E150)+1)/12,1))))))))*TaxRate,0))-IF(18=0,O150,0))</f>
        <v/>
      </c>
      <c r="AL150" s="29">
        <f>IF(A150="","",((K150)*(IF(M150="",L150,IFERROR(IF(INDEX(Variablen!$I:$AT, MATCH(M150, Variablen!$A:$A, 0), MATCH((YEAR(D150)+19), Variablen!$I$3:$AT$3, 0))="",L150,INDEX(Variablen!$I:$AT, MATCH(M150, Variablen!$A:$A, 0), MATCH((YEAR(D150)+19), Variablen!$I$3:$AT$3, 0))),L150)))*(IF((YEAR(D150)+19)&lt;YEAR(E150),0,IF((YEAR(D150)+19)&gt;YEAR(E150),1,(12-MONTH(E150)+1)/12))) + (Q150)*(IF((YEAR(D150)+19)&lt;YEAR(E150),0,IF((YEAR(D150)+19)&gt;YEAR(E150),1,(12-MONTH(E150)+1)/12))))-((P150)*(IF((YEAR(D150)+19)&lt;YEAR(E150),0,IF((YEAR(D150)+19)&gt;YEAR(E150),1,(12-MONTH(E150)+1)/12))) + (R150)*(IF((YEAR(D150)+19)&lt;YEAR(E150),0,IF((YEAR(D150)+19)&gt;YEAR(E150),1,(12-MONTH(E150)+1)/12))))-(IF((((K150)*(IF(M150="",L150,IFERROR(IF(INDEX(Variablen!$I:$AT, MATCH(M150, Variablen!$A:$A, 0), MATCH((YEAR(D150)+19), Variablen!$I$3:$AT$3, 0))="",L150,INDEX(Variablen!$I:$AT, MATCH(M150, Variablen!$A:$A, 0), MATCH((YEAR(D150)+19), Variablen!$I$3:$AT$3, 0))),L150)))*(IF((YEAR(D150)+19)&lt;YEAR(E150),0,IF((YEAR(D150)+19)&gt;YEAR(E150),1,(12-MONTH(E150)+1)/12))) + (Q150)*(IF((YEAR(D150)+19)&lt;YEAR(E150),0,IF((YEAR(D150)+19)&gt;YEAR(E150),1,(12-MONTH(E150)+1)/12))))-((P150)*(IF((YEAR(D150)+19)&lt;YEAR(E150),0,IF((YEAR(D150)+19)&gt;YEAR(E150),1,(12-MONTH(E150)+1)/12))) + (R150)*(IF((YEAR(D150)+19)&lt;YEAR(E150),0,IF((YEAR(D150)+19)&gt;YEAR(E150),1,(12-MONTH(E150)+1)/12))))-(IF(OR(N150="",N150&lt;=0),0,(O150/N150)*(IF(OR(N150="",N150&lt;=0),0,IF((YEAR(D150)+19)&lt;YEAR(E150),0,IF((YEAR(D150)+19)&gt;=YEAR(E150)+N150,0,IF((YEAR(D150)+19)=YEAR(E150),(12-MONTH(E150)+1)/12,1))))))))&gt;0,(((K150)*(IF(M150="",L150,IFERROR(IF(INDEX(Variablen!$I:$AT, MATCH(M150, Variablen!$A:$A, 0), MATCH((YEAR(D150)+19), Variablen!$I$3:$AT$3, 0))="",L150,INDEX(Variablen!$I:$AT, MATCH(M150, Variablen!$A:$A, 0), MATCH((YEAR(D150)+19), Variablen!$I$3:$AT$3, 0))),L150)))*(IF((YEAR(D150)+19)&lt;YEAR(E150),0,IF((YEAR(D150)+19)&gt;YEAR(E150),1,(12-MONTH(E150)+1)/12))) + (Q150)*(IF((YEAR(D150)+19)&lt;YEAR(E150),0,IF((YEAR(D150)+19)&gt;YEAR(E150),1,(12-MONTH(E150)+1)/12))))-((P150)*(IF((YEAR(D150)+19)&lt;YEAR(E150),0,IF((YEAR(D150)+19)&gt;YEAR(E150),1,(12-MONTH(E150)+1)/12))) + (R150)*(IF((YEAR(D150)+19)&lt;YEAR(E150),0,IF((YEAR(D150)+19)&gt;YEAR(E150),1,(12-MONTH(E150)+1)/12))))-(IF(OR(N150="",N150&lt;=0),0,(O150/N150)*(IF(OR(N150="",N150&lt;=0),0,IF((YEAR(D150)+19)&lt;YEAR(E150),0,IF((YEAR(D150)+19)&gt;=YEAR(E150)+N150,0,IF((YEAR(D150)+19)=YEAR(E150),(12-MONTH(E150)+1)/12,1))))))))*TaxRate,0))-IF(19=0,O150,0))</f>
        <v/>
      </c>
      <c r="AM150" s="29">
        <f>IF(A150="","",((K150)*(IF(M150="",L150,IFERROR(IF(INDEX(Variablen!$I:$AT, MATCH(M150, Variablen!$A:$A, 0), MATCH((YEAR(D150)+20), Variablen!$I$3:$AT$3, 0))="",L150,INDEX(Variablen!$I:$AT, MATCH(M150, Variablen!$A:$A, 0), MATCH((YEAR(D150)+20), Variablen!$I$3:$AT$3, 0))),L150)))*(IF((YEAR(D150)+20)&lt;YEAR(E150),0,IF((YEAR(D150)+20)&gt;YEAR(E150),1,(12-MONTH(E150)+1)/12))) + (Q150)*(IF((YEAR(D150)+20)&lt;YEAR(E150),0,IF((YEAR(D150)+20)&gt;YEAR(E150),1,(12-MONTH(E150)+1)/12))))-((P150)*(IF((YEAR(D150)+20)&lt;YEAR(E150),0,IF((YEAR(D150)+20)&gt;YEAR(E150),1,(12-MONTH(E150)+1)/12))) + (R150)*(IF((YEAR(D150)+20)&lt;YEAR(E150),0,IF((YEAR(D150)+20)&gt;YEAR(E150),1,(12-MONTH(E150)+1)/12))))-(IF((((K150)*(IF(M150="",L150,IFERROR(IF(INDEX(Variablen!$I:$AT, MATCH(M150, Variablen!$A:$A, 0), MATCH((YEAR(D150)+20), Variablen!$I$3:$AT$3, 0))="",L150,INDEX(Variablen!$I:$AT, MATCH(M150, Variablen!$A:$A, 0), MATCH((YEAR(D150)+20), Variablen!$I$3:$AT$3, 0))),L150)))*(IF((YEAR(D150)+20)&lt;YEAR(E150),0,IF((YEAR(D150)+20)&gt;YEAR(E150),1,(12-MONTH(E150)+1)/12))) + (Q150)*(IF((YEAR(D150)+20)&lt;YEAR(E150),0,IF((YEAR(D150)+20)&gt;YEAR(E150),1,(12-MONTH(E150)+1)/12))))-((P150)*(IF((YEAR(D150)+20)&lt;YEAR(E150),0,IF((YEAR(D150)+20)&gt;YEAR(E150),1,(12-MONTH(E150)+1)/12))) + (R150)*(IF((YEAR(D150)+20)&lt;YEAR(E150),0,IF((YEAR(D150)+20)&gt;YEAR(E150),1,(12-MONTH(E150)+1)/12))))-(IF(OR(N150="",N150&lt;=0),0,(O150/N150)*(IF(OR(N150="",N150&lt;=0),0,IF((YEAR(D150)+20)&lt;YEAR(E150),0,IF((YEAR(D150)+20)&gt;=YEAR(E150)+N150,0,IF((YEAR(D150)+20)=YEAR(E150),(12-MONTH(E150)+1)/12,1))))))))&gt;0,(((K150)*(IF(M150="",L150,IFERROR(IF(INDEX(Variablen!$I:$AT, MATCH(M150, Variablen!$A:$A, 0), MATCH((YEAR(D150)+20), Variablen!$I$3:$AT$3, 0))="",L150,INDEX(Variablen!$I:$AT, MATCH(M150, Variablen!$A:$A, 0), MATCH((YEAR(D150)+20), Variablen!$I$3:$AT$3, 0))),L150)))*(IF((YEAR(D150)+20)&lt;YEAR(E150),0,IF((YEAR(D150)+20)&gt;YEAR(E150),1,(12-MONTH(E150)+1)/12))) + (Q150)*(IF((YEAR(D150)+20)&lt;YEAR(E150),0,IF((YEAR(D150)+20)&gt;YEAR(E150),1,(12-MONTH(E150)+1)/12))))-((P150)*(IF((YEAR(D150)+20)&lt;YEAR(E150),0,IF((YEAR(D150)+20)&gt;YEAR(E150),1,(12-MONTH(E150)+1)/12))) + (R150)*(IF((YEAR(D150)+20)&lt;YEAR(E150),0,IF((YEAR(D150)+20)&gt;YEAR(E150),1,(12-MONTH(E150)+1)/12))))-(IF(OR(N150="",N150&lt;=0),0,(O150/N150)*(IF(OR(N150="",N150&lt;=0),0,IF((YEAR(D150)+20)&lt;YEAR(E150),0,IF((YEAR(D150)+20)&gt;=YEAR(E150)+N150,0,IF((YEAR(D150)+20)=YEAR(E150),(12-MONTH(E150)+1)/12,1))))))))*TaxRate,0))-IF(20=0,O150,0))</f>
        <v/>
      </c>
      <c r="AN150" s="29">
        <f>IF(A150="","",S150)</f>
        <v/>
      </c>
      <c r="AO150" s="29">
        <f>IF(A150="","",AN150+T150)</f>
        <v/>
      </c>
      <c r="AP150" s="29">
        <f>IF(A150="","",AO150+U150)</f>
        <v/>
      </c>
      <c r="AQ150" s="29">
        <f>IF(A150="","",AP150+V150)</f>
        <v/>
      </c>
      <c r="AR150" s="29">
        <f>IF(A150="","",AQ150+W150)</f>
        <v/>
      </c>
      <c r="AS150" s="29">
        <f>IF(A150="","",AR150+X150)</f>
        <v/>
      </c>
      <c r="AT150" s="29">
        <f>IF(A150="","",AS150+Y150)</f>
        <v/>
      </c>
      <c r="AU150" s="29">
        <f>IF(A150="","",AT150+Z150)</f>
        <v/>
      </c>
      <c r="AV150" s="29">
        <f>IF(A150="","",AU150+AA150)</f>
        <v/>
      </c>
      <c r="AW150" s="29">
        <f>IF(A150="","",AV150+AB150)</f>
        <v/>
      </c>
      <c r="AX150" s="29">
        <f>IF(A150="","",AW150+AC150)</f>
        <v/>
      </c>
      <c r="AY150" s="29">
        <f>IF(A150="","",AX150+AD150)</f>
        <v/>
      </c>
      <c r="AZ150" s="29">
        <f>IF(A150="","",AY150+AE150)</f>
        <v/>
      </c>
      <c r="BA150" s="29">
        <f>IF(A150="","",AZ150+AF150)</f>
        <v/>
      </c>
      <c r="BB150" s="29">
        <f>IF(A150="","",BA150+AG150)</f>
        <v/>
      </c>
      <c r="BC150" s="29">
        <f>IF(A150="","",BB150+AH150)</f>
        <v/>
      </c>
      <c r="BD150" s="29">
        <f>IF(A150="","",BC150+AI150)</f>
        <v/>
      </c>
      <c r="BE150" s="29">
        <f>IF(A150="","",BD150+AJ150)</f>
        <v/>
      </c>
      <c r="BF150" s="29">
        <f>IF(A150="","",BE150+AK150)</f>
        <v/>
      </c>
      <c r="BG150" s="29">
        <f>IF(A150="","",BF150+AL150)</f>
        <v/>
      </c>
      <c r="BH150" s="29">
        <f>IF(A150="","",BG150+AM150)</f>
        <v/>
      </c>
      <c r="BI150" s="36">
        <f>IF(A150="","",(K150)*(IF((YEAR(D150)+0)&lt;YEAR(E150),0,IF((YEAR(D150)+0)&gt;YEAR(E150),1,(12-MONTH(E150)+1)/12)))*(1/(1+DiscountRate)^0))</f>
        <v/>
      </c>
      <c r="BJ150" s="36">
        <f>IF(A150="","",(K150)*(IF((YEAR(D150)+1)&lt;YEAR(E150),0,IF((YEAR(D150)+1)&gt;YEAR(E150),1,(12-MONTH(E150)+1)/12)))*(1/(1+DiscountRate)^1))</f>
        <v/>
      </c>
      <c r="BK150" s="36">
        <f>IF(A150="","",(K150)*(IF((YEAR(D150)+2)&lt;YEAR(E150),0,IF((YEAR(D150)+2)&gt;YEAR(E150),1,(12-MONTH(E150)+1)/12)))*(1/(1+DiscountRate)^2))</f>
        <v/>
      </c>
      <c r="BL150" s="36">
        <f>IF(A150="","",(K150)*(IF((YEAR(D150)+3)&lt;YEAR(E150),0,IF((YEAR(D150)+3)&gt;YEAR(E150),1,(12-MONTH(E150)+1)/12)))*(1/(1+DiscountRate)^3))</f>
        <v/>
      </c>
      <c r="BM150" s="36">
        <f>IF(A150="","",(K150)*(IF((YEAR(D150)+4)&lt;YEAR(E150),0,IF((YEAR(D150)+4)&gt;YEAR(E150),1,(12-MONTH(E150)+1)/12)))*(1/(1+DiscountRate)^4))</f>
        <v/>
      </c>
      <c r="BN150" s="36">
        <f>IF(A150="","",(K150)*(IF((YEAR(D150)+5)&lt;YEAR(E150),0,IF((YEAR(D150)+5)&gt;YEAR(E150),1,(12-MONTH(E150)+1)/12)))*(1/(1+DiscountRate)^5))</f>
        <v/>
      </c>
      <c r="BO150" s="36">
        <f>IF(A150="","",(K150)*(IF((YEAR(D150)+6)&lt;YEAR(E150),0,IF((YEAR(D150)+6)&gt;YEAR(E150),1,(12-MONTH(E150)+1)/12)))*(1/(1+DiscountRate)^6))</f>
        <v/>
      </c>
      <c r="BP150" s="36">
        <f>IF(A150="","",(K150)*(IF((YEAR(D150)+7)&lt;YEAR(E150),0,IF((YEAR(D150)+7)&gt;YEAR(E150),1,(12-MONTH(E150)+1)/12)))*(1/(1+DiscountRate)^7))</f>
        <v/>
      </c>
      <c r="BQ150" s="36">
        <f>IF(A150="","",(K150)*(IF((YEAR(D150)+8)&lt;YEAR(E150),0,IF((YEAR(D150)+8)&gt;YEAR(E150),1,(12-MONTH(E150)+1)/12)))*(1/(1+DiscountRate)^8))</f>
        <v/>
      </c>
      <c r="BR150" s="36">
        <f>IF(A150="","",(K150)*(IF((YEAR(D150)+9)&lt;YEAR(E150),0,IF((YEAR(D150)+9)&gt;YEAR(E150),1,(12-MONTH(E150)+1)/12)))*(1/(1+DiscountRate)^9))</f>
        <v/>
      </c>
      <c r="BS150" s="36">
        <f>IF(A150="","",(K150)*(IF((YEAR(D150)+10)&lt;YEAR(E150),0,IF((YEAR(D150)+10)&gt;YEAR(E150),1,(12-MONTH(E150)+1)/12)))*(1/(1+DiscountRate)^10))</f>
        <v/>
      </c>
      <c r="BT150" s="36">
        <f>IF(A150="","",(K150)*(IF((YEAR(D150)+11)&lt;YEAR(E150),0,IF((YEAR(D150)+11)&gt;YEAR(E150),1,(12-MONTH(E150)+1)/12)))*(1/(1+DiscountRate)^11))</f>
        <v/>
      </c>
      <c r="BU150" s="36">
        <f>IF(A150="","",(K150)*(IF((YEAR(D150)+12)&lt;YEAR(E150),0,IF((YEAR(D150)+12)&gt;YEAR(E150),1,(12-MONTH(E150)+1)/12)))*(1/(1+DiscountRate)^12))</f>
        <v/>
      </c>
      <c r="BV150" s="36">
        <f>IF(A150="","",(K150)*(IF((YEAR(D150)+13)&lt;YEAR(E150),0,IF((YEAR(D150)+13)&gt;YEAR(E150),1,(12-MONTH(E150)+1)/12)))*(1/(1+DiscountRate)^13))</f>
        <v/>
      </c>
      <c r="BW150" s="36">
        <f>IF(A150="","",(K150)*(IF((YEAR(D150)+14)&lt;YEAR(E150),0,IF((YEAR(D150)+14)&gt;YEAR(E150),1,(12-MONTH(E150)+1)/12)))*(1/(1+DiscountRate)^14))</f>
        <v/>
      </c>
      <c r="BX150" s="36">
        <f>IF(A150="","",(K150)*(IF((YEAR(D150)+15)&lt;YEAR(E150),0,IF((YEAR(D150)+15)&gt;YEAR(E150),1,(12-MONTH(E150)+1)/12)))*(1/(1+DiscountRate)^15))</f>
        <v/>
      </c>
      <c r="BY150" s="36">
        <f>IF(A150="","",(K150)*(IF((YEAR(D150)+16)&lt;YEAR(E150),0,IF((YEAR(D150)+16)&gt;YEAR(E150),1,(12-MONTH(E150)+1)/12)))*(1/(1+DiscountRate)^16))</f>
        <v/>
      </c>
      <c r="BZ150" s="36">
        <f>IF(A150="","",(K150)*(IF((YEAR(D150)+17)&lt;YEAR(E150),0,IF((YEAR(D150)+17)&gt;YEAR(E150),1,(12-MONTH(E150)+1)/12)))*(1/(1+DiscountRate)^17))</f>
        <v/>
      </c>
      <c r="CA150" s="36">
        <f>IF(A150="","",(K150)*(IF((YEAR(D150)+18)&lt;YEAR(E150),0,IF((YEAR(D150)+18)&gt;YEAR(E150),1,(12-MONTH(E150)+1)/12)))*(1/(1+DiscountRate)^18))</f>
        <v/>
      </c>
      <c r="CB150" s="36">
        <f>IF(A150="","",(K150)*(IF((YEAR(D150)+19)&lt;YEAR(E150),0,IF((YEAR(D150)+19)&gt;YEAR(E150),1,(12-MONTH(E150)+1)/12)))*(1/(1+DiscountRate)^19))</f>
        <v/>
      </c>
      <c r="CC150" s="36">
        <f>IF(A150="","",(K150)*(IF((YEAR(D150)+20)&lt;YEAR(E150),0,IF((YEAR(D150)+20)&gt;YEAR(E150),1,(12-MONTH(E150)+1)/12)))*(1/(1+DiscountRate)^20))</f>
        <v/>
      </c>
      <c r="CD150" s="29">
        <f>IF(A150="","",S150/(1+DiscountRate)^0+T150/(1+DiscountRate)^1+U150/(1+DiscountRate)^2+V150/(1+DiscountRate)^3+W150/(1+DiscountRate)^4+X150/(1+DiscountRate)^5+Y150/(1+DiscountRate)^6+Z150/(1+DiscountRate)^7+AA150/(1+DiscountRate)^8+AB150/(1+DiscountRate)^9+AC150/(1+DiscountRate)^10+AD150/(1+DiscountRate)^11+AE150/(1+DiscountRate)^12+AF150/(1+DiscountRate)^13+AG150/(1+DiscountRate)^14+AH150/(1+DiscountRate)^15+AI150/(1+DiscountRate)^16+AJ150/(1+DiscountRate)^17+AK150/(1+DiscountRate)^18+AL150/(1+DiscountRate)^19+AM150/(1+DiscountRate)^20)</f>
        <v/>
      </c>
      <c r="CE150" s="37">
        <f>IF(A150="","",IFERROR(IRR(OFFSET(S150,0,0,1,MIN(HorizonYears,20)+1)),"n/a"))</f>
        <v/>
      </c>
      <c r="CF150" s="28">
        <f>IF(A150="","",IFERROR(MATCH(TRUE,OFFSET(AN150,0,0,1,MIN(HorizonYears,20)+1)&gt;=0,0)-1,"n/a"))</f>
        <v/>
      </c>
      <c r="CG150" s="36">
        <f>IF(A150="","",SUM(OFFSET(BI150,0,0,1,MIN(HorizonYears,20)+1)))</f>
        <v/>
      </c>
      <c r="CH150" s="36">
        <f>IF(A150="","",IFERROR(-CD150/CG150,"n/a"))</f>
        <v/>
      </c>
    </row>
    <row r="151">
      <c r="A151" s="6">
        <f>Actions!A149</f>
        <v/>
      </c>
      <c r="B151" s="6">
        <f>Actions!B149</f>
        <v/>
      </c>
      <c r="C151" s="6">
        <f>Actions!D149</f>
        <v/>
      </c>
      <c r="D151" s="35">
        <f>Actions!E149</f>
        <v/>
      </c>
      <c r="E151" s="35">
        <f>Actions!F149</f>
        <v/>
      </c>
      <c r="F151" s="6">
        <f>Actions!G149</f>
        <v/>
      </c>
      <c r="G151" s="6">
        <f>Actions!H149</f>
        <v/>
      </c>
      <c r="H151" s="29">
        <f>Actions!I149</f>
        <v/>
      </c>
      <c r="I151" s="6">
        <f>Actions!J149</f>
        <v/>
      </c>
      <c r="J151" s="16">
        <f>Actions!K149</f>
        <v/>
      </c>
      <c r="K151" s="16">
        <f>IF(A151="","",IF(I151="%",H151*J151,J151))</f>
        <v/>
      </c>
      <c r="L151" s="16">
        <f>Actions!L149</f>
        <v/>
      </c>
      <c r="M151" s="6">
        <f>Actions!M149</f>
        <v/>
      </c>
      <c r="N151" s="28">
        <f>Actions!N149</f>
        <v/>
      </c>
      <c r="O151" s="29">
        <f>Actions!T149</f>
        <v/>
      </c>
      <c r="P151" s="29">
        <f>Actions!Y149</f>
        <v/>
      </c>
      <c r="Q151" s="29">
        <f>Actions!Z149</f>
        <v/>
      </c>
      <c r="R151" s="29">
        <f>Actions!AA149</f>
        <v/>
      </c>
      <c r="S151" s="29">
        <f>IF(A151="","",((K151)*(IF(M151="",L151,IFERROR(IF(INDEX(Variablen!$I:$AT, MATCH(M151, Variablen!$A:$A, 0), MATCH((YEAR(D151)+0), Variablen!$I$3:$AT$3, 0))="",L151,INDEX(Variablen!$I:$AT, MATCH(M151, Variablen!$A:$A, 0), MATCH((YEAR(D151)+0), Variablen!$I$3:$AT$3, 0))),L151)))*(IF((YEAR(D151)+0)&lt;YEAR(E151),0,IF((YEAR(D151)+0)&gt;YEAR(E151),1,(12-MONTH(E151)+1)/12))) + (Q151)*(IF((YEAR(D151)+0)&lt;YEAR(E151),0,IF((YEAR(D151)+0)&gt;YEAR(E151),1,(12-MONTH(E151)+1)/12))))-((P151)*(IF((YEAR(D151)+0)&lt;YEAR(E151),0,IF((YEAR(D151)+0)&gt;YEAR(E151),1,(12-MONTH(E151)+1)/12))) + (R151)*(IF((YEAR(D151)+0)&lt;YEAR(E151),0,IF((YEAR(D151)+0)&gt;YEAR(E151),1,(12-MONTH(E151)+1)/12))))-(IF((((K151)*(IF(M151="",L151,IFERROR(IF(INDEX(Variablen!$I:$AT, MATCH(M151, Variablen!$A:$A, 0), MATCH((YEAR(D151)+0), Variablen!$I$3:$AT$3, 0))="",L151,INDEX(Variablen!$I:$AT, MATCH(M151, Variablen!$A:$A, 0), MATCH((YEAR(D151)+0), Variablen!$I$3:$AT$3, 0))),L151)))*(IF((YEAR(D151)+0)&lt;YEAR(E151),0,IF((YEAR(D151)+0)&gt;YEAR(E151),1,(12-MONTH(E151)+1)/12))) + (Q151)*(IF((YEAR(D151)+0)&lt;YEAR(E151),0,IF((YEAR(D151)+0)&gt;YEAR(E151),1,(12-MONTH(E151)+1)/12))))-((P151)*(IF((YEAR(D151)+0)&lt;YEAR(E151),0,IF((YEAR(D151)+0)&gt;YEAR(E151),1,(12-MONTH(E151)+1)/12))) + (R151)*(IF((YEAR(D151)+0)&lt;YEAR(E151),0,IF((YEAR(D151)+0)&gt;YEAR(E151),1,(12-MONTH(E151)+1)/12))))-(IF(OR(N151="",N151&lt;=0),0,(O151/N151)*(IF(OR(N151="",N151&lt;=0),0,IF((YEAR(D151)+0)&lt;YEAR(E151),0,IF((YEAR(D151)+0)&gt;=YEAR(E151)+N151,0,IF((YEAR(D151)+0)=YEAR(E151),(12-MONTH(E151)+1)/12,1))))))))&gt;0,(((K151)*(IF(M151="",L151,IFERROR(IF(INDEX(Variablen!$I:$AT, MATCH(M151, Variablen!$A:$A, 0), MATCH((YEAR(D151)+0), Variablen!$I$3:$AT$3, 0))="",L151,INDEX(Variablen!$I:$AT, MATCH(M151, Variablen!$A:$A, 0), MATCH((YEAR(D151)+0), Variablen!$I$3:$AT$3, 0))),L151)))*(IF((YEAR(D151)+0)&lt;YEAR(E151),0,IF((YEAR(D151)+0)&gt;YEAR(E151),1,(12-MONTH(E151)+1)/12))) + (Q151)*(IF((YEAR(D151)+0)&lt;YEAR(E151),0,IF((YEAR(D151)+0)&gt;YEAR(E151),1,(12-MONTH(E151)+1)/12))))-((P151)*(IF((YEAR(D151)+0)&lt;YEAR(E151),0,IF((YEAR(D151)+0)&gt;YEAR(E151),1,(12-MONTH(E151)+1)/12))) + (R151)*(IF((YEAR(D151)+0)&lt;YEAR(E151),0,IF((YEAR(D151)+0)&gt;YEAR(E151),1,(12-MONTH(E151)+1)/12))))-(IF(OR(N151="",N151&lt;=0),0,(O151/N151)*(IF(OR(N151="",N151&lt;=0),0,IF((YEAR(D151)+0)&lt;YEAR(E151),0,IF((YEAR(D151)+0)&gt;=YEAR(E151)+N151,0,IF((YEAR(D151)+0)=YEAR(E151),(12-MONTH(E151)+1)/12,1))))))))*TaxRate,0))-IF(0=0,O151,0))</f>
        <v/>
      </c>
      <c r="T151" s="29">
        <f>IF(A151="","",((K151)*(IF(M151="",L151,IFERROR(IF(INDEX(Variablen!$I:$AT, MATCH(M151, Variablen!$A:$A, 0), MATCH((YEAR(D151)+1), Variablen!$I$3:$AT$3, 0))="",L151,INDEX(Variablen!$I:$AT, MATCH(M151, Variablen!$A:$A, 0), MATCH((YEAR(D151)+1), Variablen!$I$3:$AT$3, 0))),L151)))*(IF((YEAR(D151)+1)&lt;YEAR(E151),0,IF((YEAR(D151)+1)&gt;YEAR(E151),1,(12-MONTH(E151)+1)/12))) + (Q151)*(IF((YEAR(D151)+1)&lt;YEAR(E151),0,IF((YEAR(D151)+1)&gt;YEAR(E151),1,(12-MONTH(E151)+1)/12))))-((P151)*(IF((YEAR(D151)+1)&lt;YEAR(E151),0,IF((YEAR(D151)+1)&gt;YEAR(E151),1,(12-MONTH(E151)+1)/12))) + (R151)*(IF((YEAR(D151)+1)&lt;YEAR(E151),0,IF((YEAR(D151)+1)&gt;YEAR(E151),1,(12-MONTH(E151)+1)/12))))-(IF((((K151)*(IF(M151="",L151,IFERROR(IF(INDEX(Variablen!$I:$AT, MATCH(M151, Variablen!$A:$A, 0), MATCH((YEAR(D151)+1), Variablen!$I$3:$AT$3, 0))="",L151,INDEX(Variablen!$I:$AT, MATCH(M151, Variablen!$A:$A, 0), MATCH((YEAR(D151)+1), Variablen!$I$3:$AT$3, 0))),L151)))*(IF((YEAR(D151)+1)&lt;YEAR(E151),0,IF((YEAR(D151)+1)&gt;YEAR(E151),1,(12-MONTH(E151)+1)/12))) + (Q151)*(IF((YEAR(D151)+1)&lt;YEAR(E151),0,IF((YEAR(D151)+1)&gt;YEAR(E151),1,(12-MONTH(E151)+1)/12))))-((P151)*(IF((YEAR(D151)+1)&lt;YEAR(E151),0,IF((YEAR(D151)+1)&gt;YEAR(E151),1,(12-MONTH(E151)+1)/12))) + (R151)*(IF((YEAR(D151)+1)&lt;YEAR(E151),0,IF((YEAR(D151)+1)&gt;YEAR(E151),1,(12-MONTH(E151)+1)/12))))-(IF(OR(N151="",N151&lt;=0),0,(O151/N151)*(IF(OR(N151="",N151&lt;=0),0,IF((YEAR(D151)+1)&lt;YEAR(E151),0,IF((YEAR(D151)+1)&gt;=YEAR(E151)+N151,0,IF((YEAR(D151)+1)=YEAR(E151),(12-MONTH(E151)+1)/12,1))))))))&gt;0,(((K151)*(IF(M151="",L151,IFERROR(IF(INDEX(Variablen!$I:$AT, MATCH(M151, Variablen!$A:$A, 0), MATCH((YEAR(D151)+1), Variablen!$I$3:$AT$3, 0))="",L151,INDEX(Variablen!$I:$AT, MATCH(M151, Variablen!$A:$A, 0), MATCH((YEAR(D151)+1), Variablen!$I$3:$AT$3, 0))),L151)))*(IF((YEAR(D151)+1)&lt;YEAR(E151),0,IF((YEAR(D151)+1)&gt;YEAR(E151),1,(12-MONTH(E151)+1)/12))) + (Q151)*(IF((YEAR(D151)+1)&lt;YEAR(E151),0,IF((YEAR(D151)+1)&gt;YEAR(E151),1,(12-MONTH(E151)+1)/12))))-((P151)*(IF((YEAR(D151)+1)&lt;YEAR(E151),0,IF((YEAR(D151)+1)&gt;YEAR(E151),1,(12-MONTH(E151)+1)/12))) + (R151)*(IF((YEAR(D151)+1)&lt;YEAR(E151),0,IF((YEAR(D151)+1)&gt;YEAR(E151),1,(12-MONTH(E151)+1)/12))))-(IF(OR(N151="",N151&lt;=0),0,(O151/N151)*(IF(OR(N151="",N151&lt;=0),0,IF((YEAR(D151)+1)&lt;YEAR(E151),0,IF((YEAR(D151)+1)&gt;=YEAR(E151)+N151,0,IF((YEAR(D151)+1)=YEAR(E151),(12-MONTH(E151)+1)/12,1))))))))*TaxRate,0))-IF(1=0,O151,0))</f>
        <v/>
      </c>
      <c r="U151" s="29">
        <f>IF(A151="","",((K151)*(IF(M151="",L151,IFERROR(IF(INDEX(Variablen!$I:$AT, MATCH(M151, Variablen!$A:$A, 0), MATCH((YEAR(D151)+2), Variablen!$I$3:$AT$3, 0))="",L151,INDEX(Variablen!$I:$AT, MATCH(M151, Variablen!$A:$A, 0), MATCH((YEAR(D151)+2), Variablen!$I$3:$AT$3, 0))),L151)))*(IF((YEAR(D151)+2)&lt;YEAR(E151),0,IF((YEAR(D151)+2)&gt;YEAR(E151),1,(12-MONTH(E151)+1)/12))) + (Q151)*(IF((YEAR(D151)+2)&lt;YEAR(E151),0,IF((YEAR(D151)+2)&gt;YEAR(E151),1,(12-MONTH(E151)+1)/12))))-((P151)*(IF((YEAR(D151)+2)&lt;YEAR(E151),0,IF((YEAR(D151)+2)&gt;YEAR(E151),1,(12-MONTH(E151)+1)/12))) + (R151)*(IF((YEAR(D151)+2)&lt;YEAR(E151),0,IF((YEAR(D151)+2)&gt;YEAR(E151),1,(12-MONTH(E151)+1)/12))))-(IF((((K151)*(IF(M151="",L151,IFERROR(IF(INDEX(Variablen!$I:$AT, MATCH(M151, Variablen!$A:$A, 0), MATCH((YEAR(D151)+2), Variablen!$I$3:$AT$3, 0))="",L151,INDEX(Variablen!$I:$AT, MATCH(M151, Variablen!$A:$A, 0), MATCH((YEAR(D151)+2), Variablen!$I$3:$AT$3, 0))),L151)))*(IF((YEAR(D151)+2)&lt;YEAR(E151),0,IF((YEAR(D151)+2)&gt;YEAR(E151),1,(12-MONTH(E151)+1)/12))) + (Q151)*(IF((YEAR(D151)+2)&lt;YEAR(E151),0,IF((YEAR(D151)+2)&gt;YEAR(E151),1,(12-MONTH(E151)+1)/12))))-((P151)*(IF((YEAR(D151)+2)&lt;YEAR(E151),0,IF((YEAR(D151)+2)&gt;YEAR(E151),1,(12-MONTH(E151)+1)/12))) + (R151)*(IF((YEAR(D151)+2)&lt;YEAR(E151),0,IF((YEAR(D151)+2)&gt;YEAR(E151),1,(12-MONTH(E151)+1)/12))))-(IF(OR(N151="",N151&lt;=0),0,(O151/N151)*(IF(OR(N151="",N151&lt;=0),0,IF((YEAR(D151)+2)&lt;YEAR(E151),0,IF((YEAR(D151)+2)&gt;=YEAR(E151)+N151,0,IF((YEAR(D151)+2)=YEAR(E151),(12-MONTH(E151)+1)/12,1))))))))&gt;0,(((K151)*(IF(M151="",L151,IFERROR(IF(INDEX(Variablen!$I:$AT, MATCH(M151, Variablen!$A:$A, 0), MATCH((YEAR(D151)+2), Variablen!$I$3:$AT$3, 0))="",L151,INDEX(Variablen!$I:$AT, MATCH(M151, Variablen!$A:$A, 0), MATCH((YEAR(D151)+2), Variablen!$I$3:$AT$3, 0))),L151)))*(IF((YEAR(D151)+2)&lt;YEAR(E151),0,IF((YEAR(D151)+2)&gt;YEAR(E151),1,(12-MONTH(E151)+1)/12))) + (Q151)*(IF((YEAR(D151)+2)&lt;YEAR(E151),0,IF((YEAR(D151)+2)&gt;YEAR(E151),1,(12-MONTH(E151)+1)/12))))-((P151)*(IF((YEAR(D151)+2)&lt;YEAR(E151),0,IF((YEAR(D151)+2)&gt;YEAR(E151),1,(12-MONTH(E151)+1)/12))) + (R151)*(IF((YEAR(D151)+2)&lt;YEAR(E151),0,IF((YEAR(D151)+2)&gt;YEAR(E151),1,(12-MONTH(E151)+1)/12))))-(IF(OR(N151="",N151&lt;=0),0,(O151/N151)*(IF(OR(N151="",N151&lt;=0),0,IF((YEAR(D151)+2)&lt;YEAR(E151),0,IF((YEAR(D151)+2)&gt;=YEAR(E151)+N151,0,IF((YEAR(D151)+2)=YEAR(E151),(12-MONTH(E151)+1)/12,1))))))))*TaxRate,0))-IF(2=0,O151,0))</f>
        <v/>
      </c>
      <c r="V151" s="29">
        <f>IF(A151="","",((K151)*(IF(M151="",L151,IFERROR(IF(INDEX(Variablen!$I:$AT, MATCH(M151, Variablen!$A:$A, 0), MATCH((YEAR(D151)+3), Variablen!$I$3:$AT$3, 0))="",L151,INDEX(Variablen!$I:$AT, MATCH(M151, Variablen!$A:$A, 0), MATCH((YEAR(D151)+3), Variablen!$I$3:$AT$3, 0))),L151)))*(IF((YEAR(D151)+3)&lt;YEAR(E151),0,IF((YEAR(D151)+3)&gt;YEAR(E151),1,(12-MONTH(E151)+1)/12))) + (Q151)*(IF((YEAR(D151)+3)&lt;YEAR(E151),0,IF((YEAR(D151)+3)&gt;YEAR(E151),1,(12-MONTH(E151)+1)/12))))-((P151)*(IF((YEAR(D151)+3)&lt;YEAR(E151),0,IF((YEAR(D151)+3)&gt;YEAR(E151),1,(12-MONTH(E151)+1)/12))) + (R151)*(IF((YEAR(D151)+3)&lt;YEAR(E151),0,IF((YEAR(D151)+3)&gt;YEAR(E151),1,(12-MONTH(E151)+1)/12))))-(IF((((K151)*(IF(M151="",L151,IFERROR(IF(INDEX(Variablen!$I:$AT, MATCH(M151, Variablen!$A:$A, 0), MATCH((YEAR(D151)+3), Variablen!$I$3:$AT$3, 0))="",L151,INDEX(Variablen!$I:$AT, MATCH(M151, Variablen!$A:$A, 0), MATCH((YEAR(D151)+3), Variablen!$I$3:$AT$3, 0))),L151)))*(IF((YEAR(D151)+3)&lt;YEAR(E151),0,IF((YEAR(D151)+3)&gt;YEAR(E151),1,(12-MONTH(E151)+1)/12))) + (Q151)*(IF((YEAR(D151)+3)&lt;YEAR(E151),0,IF((YEAR(D151)+3)&gt;YEAR(E151),1,(12-MONTH(E151)+1)/12))))-((P151)*(IF((YEAR(D151)+3)&lt;YEAR(E151),0,IF((YEAR(D151)+3)&gt;YEAR(E151),1,(12-MONTH(E151)+1)/12))) + (R151)*(IF((YEAR(D151)+3)&lt;YEAR(E151),0,IF((YEAR(D151)+3)&gt;YEAR(E151),1,(12-MONTH(E151)+1)/12))))-(IF(OR(N151="",N151&lt;=0),0,(O151/N151)*(IF(OR(N151="",N151&lt;=0),0,IF((YEAR(D151)+3)&lt;YEAR(E151),0,IF((YEAR(D151)+3)&gt;=YEAR(E151)+N151,0,IF((YEAR(D151)+3)=YEAR(E151),(12-MONTH(E151)+1)/12,1))))))))&gt;0,(((K151)*(IF(M151="",L151,IFERROR(IF(INDEX(Variablen!$I:$AT, MATCH(M151, Variablen!$A:$A, 0), MATCH((YEAR(D151)+3), Variablen!$I$3:$AT$3, 0))="",L151,INDEX(Variablen!$I:$AT, MATCH(M151, Variablen!$A:$A, 0), MATCH((YEAR(D151)+3), Variablen!$I$3:$AT$3, 0))),L151)))*(IF((YEAR(D151)+3)&lt;YEAR(E151),0,IF((YEAR(D151)+3)&gt;YEAR(E151),1,(12-MONTH(E151)+1)/12))) + (Q151)*(IF((YEAR(D151)+3)&lt;YEAR(E151),0,IF((YEAR(D151)+3)&gt;YEAR(E151),1,(12-MONTH(E151)+1)/12))))-((P151)*(IF((YEAR(D151)+3)&lt;YEAR(E151),0,IF((YEAR(D151)+3)&gt;YEAR(E151),1,(12-MONTH(E151)+1)/12))) + (R151)*(IF((YEAR(D151)+3)&lt;YEAR(E151),0,IF((YEAR(D151)+3)&gt;YEAR(E151),1,(12-MONTH(E151)+1)/12))))-(IF(OR(N151="",N151&lt;=0),0,(O151/N151)*(IF(OR(N151="",N151&lt;=0),0,IF((YEAR(D151)+3)&lt;YEAR(E151),0,IF((YEAR(D151)+3)&gt;=YEAR(E151)+N151,0,IF((YEAR(D151)+3)=YEAR(E151),(12-MONTH(E151)+1)/12,1))))))))*TaxRate,0))-IF(3=0,O151,0))</f>
        <v/>
      </c>
      <c r="W151" s="29">
        <f>IF(A151="","",((K151)*(IF(M151="",L151,IFERROR(IF(INDEX(Variablen!$I:$AT, MATCH(M151, Variablen!$A:$A, 0), MATCH((YEAR(D151)+4), Variablen!$I$3:$AT$3, 0))="",L151,INDEX(Variablen!$I:$AT, MATCH(M151, Variablen!$A:$A, 0), MATCH((YEAR(D151)+4), Variablen!$I$3:$AT$3, 0))),L151)))*(IF((YEAR(D151)+4)&lt;YEAR(E151),0,IF((YEAR(D151)+4)&gt;YEAR(E151),1,(12-MONTH(E151)+1)/12))) + (Q151)*(IF((YEAR(D151)+4)&lt;YEAR(E151),0,IF((YEAR(D151)+4)&gt;YEAR(E151),1,(12-MONTH(E151)+1)/12))))-((P151)*(IF((YEAR(D151)+4)&lt;YEAR(E151),0,IF((YEAR(D151)+4)&gt;YEAR(E151),1,(12-MONTH(E151)+1)/12))) + (R151)*(IF((YEAR(D151)+4)&lt;YEAR(E151),0,IF((YEAR(D151)+4)&gt;YEAR(E151),1,(12-MONTH(E151)+1)/12))))-(IF((((K151)*(IF(M151="",L151,IFERROR(IF(INDEX(Variablen!$I:$AT, MATCH(M151, Variablen!$A:$A, 0), MATCH((YEAR(D151)+4), Variablen!$I$3:$AT$3, 0))="",L151,INDEX(Variablen!$I:$AT, MATCH(M151, Variablen!$A:$A, 0), MATCH((YEAR(D151)+4), Variablen!$I$3:$AT$3, 0))),L151)))*(IF((YEAR(D151)+4)&lt;YEAR(E151),0,IF((YEAR(D151)+4)&gt;YEAR(E151),1,(12-MONTH(E151)+1)/12))) + (Q151)*(IF((YEAR(D151)+4)&lt;YEAR(E151),0,IF((YEAR(D151)+4)&gt;YEAR(E151),1,(12-MONTH(E151)+1)/12))))-((P151)*(IF((YEAR(D151)+4)&lt;YEAR(E151),0,IF((YEAR(D151)+4)&gt;YEAR(E151),1,(12-MONTH(E151)+1)/12))) + (R151)*(IF((YEAR(D151)+4)&lt;YEAR(E151),0,IF((YEAR(D151)+4)&gt;YEAR(E151),1,(12-MONTH(E151)+1)/12))))-(IF(OR(N151="",N151&lt;=0),0,(O151/N151)*(IF(OR(N151="",N151&lt;=0),0,IF((YEAR(D151)+4)&lt;YEAR(E151),0,IF((YEAR(D151)+4)&gt;=YEAR(E151)+N151,0,IF((YEAR(D151)+4)=YEAR(E151),(12-MONTH(E151)+1)/12,1))))))))&gt;0,(((K151)*(IF(M151="",L151,IFERROR(IF(INDEX(Variablen!$I:$AT, MATCH(M151, Variablen!$A:$A, 0), MATCH((YEAR(D151)+4), Variablen!$I$3:$AT$3, 0))="",L151,INDEX(Variablen!$I:$AT, MATCH(M151, Variablen!$A:$A, 0), MATCH((YEAR(D151)+4), Variablen!$I$3:$AT$3, 0))),L151)))*(IF((YEAR(D151)+4)&lt;YEAR(E151),0,IF((YEAR(D151)+4)&gt;YEAR(E151),1,(12-MONTH(E151)+1)/12))) + (Q151)*(IF((YEAR(D151)+4)&lt;YEAR(E151),0,IF((YEAR(D151)+4)&gt;YEAR(E151),1,(12-MONTH(E151)+1)/12))))-((P151)*(IF((YEAR(D151)+4)&lt;YEAR(E151),0,IF((YEAR(D151)+4)&gt;YEAR(E151),1,(12-MONTH(E151)+1)/12))) + (R151)*(IF((YEAR(D151)+4)&lt;YEAR(E151),0,IF((YEAR(D151)+4)&gt;YEAR(E151),1,(12-MONTH(E151)+1)/12))))-(IF(OR(N151="",N151&lt;=0),0,(O151/N151)*(IF(OR(N151="",N151&lt;=0),0,IF((YEAR(D151)+4)&lt;YEAR(E151),0,IF((YEAR(D151)+4)&gt;=YEAR(E151)+N151,0,IF((YEAR(D151)+4)=YEAR(E151),(12-MONTH(E151)+1)/12,1))))))))*TaxRate,0))-IF(4=0,O151,0))</f>
        <v/>
      </c>
      <c r="X151" s="29">
        <f>IF(A151="","",((K151)*(IF(M151="",L151,IFERROR(IF(INDEX(Variablen!$I:$AT, MATCH(M151, Variablen!$A:$A, 0), MATCH((YEAR(D151)+5), Variablen!$I$3:$AT$3, 0))="",L151,INDEX(Variablen!$I:$AT, MATCH(M151, Variablen!$A:$A, 0), MATCH((YEAR(D151)+5), Variablen!$I$3:$AT$3, 0))),L151)))*(IF((YEAR(D151)+5)&lt;YEAR(E151),0,IF((YEAR(D151)+5)&gt;YEAR(E151),1,(12-MONTH(E151)+1)/12))) + (Q151)*(IF((YEAR(D151)+5)&lt;YEAR(E151),0,IF((YEAR(D151)+5)&gt;YEAR(E151),1,(12-MONTH(E151)+1)/12))))-((P151)*(IF((YEAR(D151)+5)&lt;YEAR(E151),0,IF((YEAR(D151)+5)&gt;YEAR(E151),1,(12-MONTH(E151)+1)/12))) + (R151)*(IF((YEAR(D151)+5)&lt;YEAR(E151),0,IF((YEAR(D151)+5)&gt;YEAR(E151),1,(12-MONTH(E151)+1)/12))))-(IF((((K151)*(IF(M151="",L151,IFERROR(IF(INDEX(Variablen!$I:$AT, MATCH(M151, Variablen!$A:$A, 0), MATCH((YEAR(D151)+5), Variablen!$I$3:$AT$3, 0))="",L151,INDEX(Variablen!$I:$AT, MATCH(M151, Variablen!$A:$A, 0), MATCH((YEAR(D151)+5), Variablen!$I$3:$AT$3, 0))),L151)))*(IF((YEAR(D151)+5)&lt;YEAR(E151),0,IF((YEAR(D151)+5)&gt;YEAR(E151),1,(12-MONTH(E151)+1)/12))) + (Q151)*(IF((YEAR(D151)+5)&lt;YEAR(E151),0,IF((YEAR(D151)+5)&gt;YEAR(E151),1,(12-MONTH(E151)+1)/12))))-((P151)*(IF((YEAR(D151)+5)&lt;YEAR(E151),0,IF((YEAR(D151)+5)&gt;YEAR(E151),1,(12-MONTH(E151)+1)/12))) + (R151)*(IF((YEAR(D151)+5)&lt;YEAR(E151),0,IF((YEAR(D151)+5)&gt;YEAR(E151),1,(12-MONTH(E151)+1)/12))))-(IF(OR(N151="",N151&lt;=0),0,(O151/N151)*(IF(OR(N151="",N151&lt;=0),0,IF((YEAR(D151)+5)&lt;YEAR(E151),0,IF((YEAR(D151)+5)&gt;=YEAR(E151)+N151,0,IF((YEAR(D151)+5)=YEAR(E151),(12-MONTH(E151)+1)/12,1))))))))&gt;0,(((K151)*(IF(M151="",L151,IFERROR(IF(INDEX(Variablen!$I:$AT, MATCH(M151, Variablen!$A:$A, 0), MATCH((YEAR(D151)+5), Variablen!$I$3:$AT$3, 0))="",L151,INDEX(Variablen!$I:$AT, MATCH(M151, Variablen!$A:$A, 0), MATCH((YEAR(D151)+5), Variablen!$I$3:$AT$3, 0))),L151)))*(IF((YEAR(D151)+5)&lt;YEAR(E151),0,IF((YEAR(D151)+5)&gt;YEAR(E151),1,(12-MONTH(E151)+1)/12))) + (Q151)*(IF((YEAR(D151)+5)&lt;YEAR(E151),0,IF((YEAR(D151)+5)&gt;YEAR(E151),1,(12-MONTH(E151)+1)/12))))-((P151)*(IF((YEAR(D151)+5)&lt;YEAR(E151),0,IF((YEAR(D151)+5)&gt;YEAR(E151),1,(12-MONTH(E151)+1)/12))) + (R151)*(IF((YEAR(D151)+5)&lt;YEAR(E151),0,IF((YEAR(D151)+5)&gt;YEAR(E151),1,(12-MONTH(E151)+1)/12))))-(IF(OR(N151="",N151&lt;=0),0,(O151/N151)*(IF(OR(N151="",N151&lt;=0),0,IF((YEAR(D151)+5)&lt;YEAR(E151),0,IF((YEAR(D151)+5)&gt;=YEAR(E151)+N151,0,IF((YEAR(D151)+5)=YEAR(E151),(12-MONTH(E151)+1)/12,1))))))))*TaxRate,0))-IF(5=0,O151,0))</f>
        <v/>
      </c>
      <c r="Y151" s="29">
        <f>IF(A151="","",((K151)*(IF(M151="",L151,IFERROR(IF(INDEX(Variablen!$I:$AT, MATCH(M151, Variablen!$A:$A, 0), MATCH((YEAR(D151)+6), Variablen!$I$3:$AT$3, 0))="",L151,INDEX(Variablen!$I:$AT, MATCH(M151, Variablen!$A:$A, 0), MATCH((YEAR(D151)+6), Variablen!$I$3:$AT$3, 0))),L151)))*(IF((YEAR(D151)+6)&lt;YEAR(E151),0,IF((YEAR(D151)+6)&gt;YEAR(E151),1,(12-MONTH(E151)+1)/12))) + (Q151)*(IF((YEAR(D151)+6)&lt;YEAR(E151),0,IF((YEAR(D151)+6)&gt;YEAR(E151),1,(12-MONTH(E151)+1)/12))))-((P151)*(IF((YEAR(D151)+6)&lt;YEAR(E151),0,IF((YEAR(D151)+6)&gt;YEAR(E151),1,(12-MONTH(E151)+1)/12))) + (R151)*(IF((YEAR(D151)+6)&lt;YEAR(E151),0,IF((YEAR(D151)+6)&gt;YEAR(E151),1,(12-MONTH(E151)+1)/12))))-(IF((((K151)*(IF(M151="",L151,IFERROR(IF(INDEX(Variablen!$I:$AT, MATCH(M151, Variablen!$A:$A, 0), MATCH((YEAR(D151)+6), Variablen!$I$3:$AT$3, 0))="",L151,INDEX(Variablen!$I:$AT, MATCH(M151, Variablen!$A:$A, 0), MATCH((YEAR(D151)+6), Variablen!$I$3:$AT$3, 0))),L151)))*(IF((YEAR(D151)+6)&lt;YEAR(E151),0,IF((YEAR(D151)+6)&gt;YEAR(E151),1,(12-MONTH(E151)+1)/12))) + (Q151)*(IF((YEAR(D151)+6)&lt;YEAR(E151),0,IF((YEAR(D151)+6)&gt;YEAR(E151),1,(12-MONTH(E151)+1)/12))))-((P151)*(IF((YEAR(D151)+6)&lt;YEAR(E151),0,IF((YEAR(D151)+6)&gt;YEAR(E151),1,(12-MONTH(E151)+1)/12))) + (R151)*(IF((YEAR(D151)+6)&lt;YEAR(E151),0,IF((YEAR(D151)+6)&gt;YEAR(E151),1,(12-MONTH(E151)+1)/12))))-(IF(OR(N151="",N151&lt;=0),0,(O151/N151)*(IF(OR(N151="",N151&lt;=0),0,IF((YEAR(D151)+6)&lt;YEAR(E151),0,IF((YEAR(D151)+6)&gt;=YEAR(E151)+N151,0,IF((YEAR(D151)+6)=YEAR(E151),(12-MONTH(E151)+1)/12,1))))))))&gt;0,(((K151)*(IF(M151="",L151,IFERROR(IF(INDEX(Variablen!$I:$AT, MATCH(M151, Variablen!$A:$A, 0), MATCH((YEAR(D151)+6), Variablen!$I$3:$AT$3, 0))="",L151,INDEX(Variablen!$I:$AT, MATCH(M151, Variablen!$A:$A, 0), MATCH((YEAR(D151)+6), Variablen!$I$3:$AT$3, 0))),L151)))*(IF((YEAR(D151)+6)&lt;YEAR(E151),0,IF((YEAR(D151)+6)&gt;YEAR(E151),1,(12-MONTH(E151)+1)/12))) + (Q151)*(IF((YEAR(D151)+6)&lt;YEAR(E151),0,IF((YEAR(D151)+6)&gt;YEAR(E151),1,(12-MONTH(E151)+1)/12))))-((P151)*(IF((YEAR(D151)+6)&lt;YEAR(E151),0,IF((YEAR(D151)+6)&gt;YEAR(E151),1,(12-MONTH(E151)+1)/12))) + (R151)*(IF((YEAR(D151)+6)&lt;YEAR(E151),0,IF((YEAR(D151)+6)&gt;YEAR(E151),1,(12-MONTH(E151)+1)/12))))-(IF(OR(N151="",N151&lt;=0),0,(O151/N151)*(IF(OR(N151="",N151&lt;=0),0,IF((YEAR(D151)+6)&lt;YEAR(E151),0,IF((YEAR(D151)+6)&gt;=YEAR(E151)+N151,0,IF((YEAR(D151)+6)=YEAR(E151),(12-MONTH(E151)+1)/12,1))))))))*TaxRate,0))-IF(6=0,O151,0))</f>
        <v/>
      </c>
      <c r="Z151" s="29">
        <f>IF(A151="","",((K151)*(IF(M151="",L151,IFERROR(IF(INDEX(Variablen!$I:$AT, MATCH(M151, Variablen!$A:$A, 0), MATCH((YEAR(D151)+7), Variablen!$I$3:$AT$3, 0))="",L151,INDEX(Variablen!$I:$AT, MATCH(M151, Variablen!$A:$A, 0), MATCH((YEAR(D151)+7), Variablen!$I$3:$AT$3, 0))),L151)))*(IF((YEAR(D151)+7)&lt;YEAR(E151),0,IF((YEAR(D151)+7)&gt;YEAR(E151),1,(12-MONTH(E151)+1)/12))) + (Q151)*(IF((YEAR(D151)+7)&lt;YEAR(E151),0,IF((YEAR(D151)+7)&gt;YEAR(E151),1,(12-MONTH(E151)+1)/12))))-((P151)*(IF((YEAR(D151)+7)&lt;YEAR(E151),0,IF((YEAR(D151)+7)&gt;YEAR(E151),1,(12-MONTH(E151)+1)/12))) + (R151)*(IF((YEAR(D151)+7)&lt;YEAR(E151),0,IF((YEAR(D151)+7)&gt;YEAR(E151),1,(12-MONTH(E151)+1)/12))))-(IF((((K151)*(IF(M151="",L151,IFERROR(IF(INDEX(Variablen!$I:$AT, MATCH(M151, Variablen!$A:$A, 0), MATCH((YEAR(D151)+7), Variablen!$I$3:$AT$3, 0))="",L151,INDEX(Variablen!$I:$AT, MATCH(M151, Variablen!$A:$A, 0), MATCH((YEAR(D151)+7), Variablen!$I$3:$AT$3, 0))),L151)))*(IF((YEAR(D151)+7)&lt;YEAR(E151),0,IF((YEAR(D151)+7)&gt;YEAR(E151),1,(12-MONTH(E151)+1)/12))) + (Q151)*(IF((YEAR(D151)+7)&lt;YEAR(E151),0,IF((YEAR(D151)+7)&gt;YEAR(E151),1,(12-MONTH(E151)+1)/12))))-((P151)*(IF((YEAR(D151)+7)&lt;YEAR(E151),0,IF((YEAR(D151)+7)&gt;YEAR(E151),1,(12-MONTH(E151)+1)/12))) + (R151)*(IF((YEAR(D151)+7)&lt;YEAR(E151),0,IF((YEAR(D151)+7)&gt;YEAR(E151),1,(12-MONTH(E151)+1)/12))))-(IF(OR(N151="",N151&lt;=0),0,(O151/N151)*(IF(OR(N151="",N151&lt;=0),0,IF((YEAR(D151)+7)&lt;YEAR(E151),0,IF((YEAR(D151)+7)&gt;=YEAR(E151)+N151,0,IF((YEAR(D151)+7)=YEAR(E151),(12-MONTH(E151)+1)/12,1))))))))&gt;0,(((K151)*(IF(M151="",L151,IFERROR(IF(INDEX(Variablen!$I:$AT, MATCH(M151, Variablen!$A:$A, 0), MATCH((YEAR(D151)+7), Variablen!$I$3:$AT$3, 0))="",L151,INDEX(Variablen!$I:$AT, MATCH(M151, Variablen!$A:$A, 0), MATCH((YEAR(D151)+7), Variablen!$I$3:$AT$3, 0))),L151)))*(IF((YEAR(D151)+7)&lt;YEAR(E151),0,IF((YEAR(D151)+7)&gt;YEAR(E151),1,(12-MONTH(E151)+1)/12))) + (Q151)*(IF((YEAR(D151)+7)&lt;YEAR(E151),0,IF((YEAR(D151)+7)&gt;YEAR(E151),1,(12-MONTH(E151)+1)/12))))-((P151)*(IF((YEAR(D151)+7)&lt;YEAR(E151),0,IF((YEAR(D151)+7)&gt;YEAR(E151),1,(12-MONTH(E151)+1)/12))) + (R151)*(IF((YEAR(D151)+7)&lt;YEAR(E151),0,IF((YEAR(D151)+7)&gt;YEAR(E151),1,(12-MONTH(E151)+1)/12))))-(IF(OR(N151="",N151&lt;=0),0,(O151/N151)*(IF(OR(N151="",N151&lt;=0),0,IF((YEAR(D151)+7)&lt;YEAR(E151),0,IF((YEAR(D151)+7)&gt;=YEAR(E151)+N151,0,IF((YEAR(D151)+7)=YEAR(E151),(12-MONTH(E151)+1)/12,1))))))))*TaxRate,0))-IF(7=0,O151,0))</f>
        <v/>
      </c>
      <c r="AA151" s="29">
        <f>IF(A151="","",((K151)*(IF(M151="",L151,IFERROR(IF(INDEX(Variablen!$I:$AT, MATCH(M151, Variablen!$A:$A, 0), MATCH((YEAR(D151)+8), Variablen!$I$3:$AT$3, 0))="",L151,INDEX(Variablen!$I:$AT, MATCH(M151, Variablen!$A:$A, 0), MATCH((YEAR(D151)+8), Variablen!$I$3:$AT$3, 0))),L151)))*(IF((YEAR(D151)+8)&lt;YEAR(E151),0,IF((YEAR(D151)+8)&gt;YEAR(E151),1,(12-MONTH(E151)+1)/12))) + (Q151)*(IF((YEAR(D151)+8)&lt;YEAR(E151),0,IF((YEAR(D151)+8)&gt;YEAR(E151),1,(12-MONTH(E151)+1)/12))))-((P151)*(IF((YEAR(D151)+8)&lt;YEAR(E151),0,IF((YEAR(D151)+8)&gt;YEAR(E151),1,(12-MONTH(E151)+1)/12))) + (R151)*(IF((YEAR(D151)+8)&lt;YEAR(E151),0,IF((YEAR(D151)+8)&gt;YEAR(E151),1,(12-MONTH(E151)+1)/12))))-(IF((((K151)*(IF(M151="",L151,IFERROR(IF(INDEX(Variablen!$I:$AT, MATCH(M151, Variablen!$A:$A, 0), MATCH((YEAR(D151)+8), Variablen!$I$3:$AT$3, 0))="",L151,INDEX(Variablen!$I:$AT, MATCH(M151, Variablen!$A:$A, 0), MATCH((YEAR(D151)+8), Variablen!$I$3:$AT$3, 0))),L151)))*(IF((YEAR(D151)+8)&lt;YEAR(E151),0,IF((YEAR(D151)+8)&gt;YEAR(E151),1,(12-MONTH(E151)+1)/12))) + (Q151)*(IF((YEAR(D151)+8)&lt;YEAR(E151),0,IF((YEAR(D151)+8)&gt;YEAR(E151),1,(12-MONTH(E151)+1)/12))))-((P151)*(IF((YEAR(D151)+8)&lt;YEAR(E151),0,IF((YEAR(D151)+8)&gt;YEAR(E151),1,(12-MONTH(E151)+1)/12))) + (R151)*(IF((YEAR(D151)+8)&lt;YEAR(E151),0,IF((YEAR(D151)+8)&gt;YEAR(E151),1,(12-MONTH(E151)+1)/12))))-(IF(OR(N151="",N151&lt;=0),0,(O151/N151)*(IF(OR(N151="",N151&lt;=0),0,IF((YEAR(D151)+8)&lt;YEAR(E151),0,IF((YEAR(D151)+8)&gt;=YEAR(E151)+N151,0,IF((YEAR(D151)+8)=YEAR(E151),(12-MONTH(E151)+1)/12,1))))))))&gt;0,(((K151)*(IF(M151="",L151,IFERROR(IF(INDEX(Variablen!$I:$AT, MATCH(M151, Variablen!$A:$A, 0), MATCH((YEAR(D151)+8), Variablen!$I$3:$AT$3, 0))="",L151,INDEX(Variablen!$I:$AT, MATCH(M151, Variablen!$A:$A, 0), MATCH((YEAR(D151)+8), Variablen!$I$3:$AT$3, 0))),L151)))*(IF((YEAR(D151)+8)&lt;YEAR(E151),0,IF((YEAR(D151)+8)&gt;YEAR(E151),1,(12-MONTH(E151)+1)/12))) + (Q151)*(IF((YEAR(D151)+8)&lt;YEAR(E151),0,IF((YEAR(D151)+8)&gt;YEAR(E151),1,(12-MONTH(E151)+1)/12))))-((P151)*(IF((YEAR(D151)+8)&lt;YEAR(E151),0,IF((YEAR(D151)+8)&gt;YEAR(E151),1,(12-MONTH(E151)+1)/12))) + (R151)*(IF((YEAR(D151)+8)&lt;YEAR(E151),0,IF((YEAR(D151)+8)&gt;YEAR(E151),1,(12-MONTH(E151)+1)/12))))-(IF(OR(N151="",N151&lt;=0),0,(O151/N151)*(IF(OR(N151="",N151&lt;=0),0,IF((YEAR(D151)+8)&lt;YEAR(E151),0,IF((YEAR(D151)+8)&gt;=YEAR(E151)+N151,0,IF((YEAR(D151)+8)=YEAR(E151),(12-MONTH(E151)+1)/12,1))))))))*TaxRate,0))-IF(8=0,O151,0))</f>
        <v/>
      </c>
      <c r="AB151" s="29">
        <f>IF(A151="","",((K151)*(IF(M151="",L151,IFERROR(IF(INDEX(Variablen!$I:$AT, MATCH(M151, Variablen!$A:$A, 0), MATCH((YEAR(D151)+9), Variablen!$I$3:$AT$3, 0))="",L151,INDEX(Variablen!$I:$AT, MATCH(M151, Variablen!$A:$A, 0), MATCH((YEAR(D151)+9), Variablen!$I$3:$AT$3, 0))),L151)))*(IF((YEAR(D151)+9)&lt;YEAR(E151),0,IF((YEAR(D151)+9)&gt;YEAR(E151),1,(12-MONTH(E151)+1)/12))) + (Q151)*(IF((YEAR(D151)+9)&lt;YEAR(E151),0,IF((YEAR(D151)+9)&gt;YEAR(E151),1,(12-MONTH(E151)+1)/12))))-((P151)*(IF((YEAR(D151)+9)&lt;YEAR(E151),0,IF((YEAR(D151)+9)&gt;YEAR(E151),1,(12-MONTH(E151)+1)/12))) + (R151)*(IF((YEAR(D151)+9)&lt;YEAR(E151),0,IF((YEAR(D151)+9)&gt;YEAR(E151),1,(12-MONTH(E151)+1)/12))))-(IF((((K151)*(IF(M151="",L151,IFERROR(IF(INDEX(Variablen!$I:$AT, MATCH(M151, Variablen!$A:$A, 0), MATCH((YEAR(D151)+9), Variablen!$I$3:$AT$3, 0))="",L151,INDEX(Variablen!$I:$AT, MATCH(M151, Variablen!$A:$A, 0), MATCH((YEAR(D151)+9), Variablen!$I$3:$AT$3, 0))),L151)))*(IF((YEAR(D151)+9)&lt;YEAR(E151),0,IF((YEAR(D151)+9)&gt;YEAR(E151),1,(12-MONTH(E151)+1)/12))) + (Q151)*(IF((YEAR(D151)+9)&lt;YEAR(E151),0,IF((YEAR(D151)+9)&gt;YEAR(E151),1,(12-MONTH(E151)+1)/12))))-((P151)*(IF((YEAR(D151)+9)&lt;YEAR(E151),0,IF((YEAR(D151)+9)&gt;YEAR(E151),1,(12-MONTH(E151)+1)/12))) + (R151)*(IF((YEAR(D151)+9)&lt;YEAR(E151),0,IF((YEAR(D151)+9)&gt;YEAR(E151),1,(12-MONTH(E151)+1)/12))))-(IF(OR(N151="",N151&lt;=0),0,(O151/N151)*(IF(OR(N151="",N151&lt;=0),0,IF((YEAR(D151)+9)&lt;YEAR(E151),0,IF((YEAR(D151)+9)&gt;=YEAR(E151)+N151,0,IF((YEAR(D151)+9)=YEAR(E151),(12-MONTH(E151)+1)/12,1))))))))&gt;0,(((K151)*(IF(M151="",L151,IFERROR(IF(INDEX(Variablen!$I:$AT, MATCH(M151, Variablen!$A:$A, 0), MATCH((YEAR(D151)+9), Variablen!$I$3:$AT$3, 0))="",L151,INDEX(Variablen!$I:$AT, MATCH(M151, Variablen!$A:$A, 0), MATCH((YEAR(D151)+9), Variablen!$I$3:$AT$3, 0))),L151)))*(IF((YEAR(D151)+9)&lt;YEAR(E151),0,IF((YEAR(D151)+9)&gt;YEAR(E151),1,(12-MONTH(E151)+1)/12))) + (Q151)*(IF((YEAR(D151)+9)&lt;YEAR(E151),0,IF((YEAR(D151)+9)&gt;YEAR(E151),1,(12-MONTH(E151)+1)/12))))-((P151)*(IF((YEAR(D151)+9)&lt;YEAR(E151),0,IF((YEAR(D151)+9)&gt;YEAR(E151),1,(12-MONTH(E151)+1)/12))) + (R151)*(IF((YEAR(D151)+9)&lt;YEAR(E151),0,IF((YEAR(D151)+9)&gt;YEAR(E151),1,(12-MONTH(E151)+1)/12))))-(IF(OR(N151="",N151&lt;=0),0,(O151/N151)*(IF(OR(N151="",N151&lt;=0),0,IF((YEAR(D151)+9)&lt;YEAR(E151),0,IF((YEAR(D151)+9)&gt;=YEAR(E151)+N151,0,IF((YEAR(D151)+9)=YEAR(E151),(12-MONTH(E151)+1)/12,1))))))))*TaxRate,0))-IF(9=0,O151,0))</f>
        <v/>
      </c>
      <c r="AC151" s="29">
        <f>IF(A151="","",((K151)*(IF(M151="",L151,IFERROR(IF(INDEX(Variablen!$I:$AT, MATCH(M151, Variablen!$A:$A, 0), MATCH((YEAR(D151)+10), Variablen!$I$3:$AT$3, 0))="",L151,INDEX(Variablen!$I:$AT, MATCH(M151, Variablen!$A:$A, 0), MATCH((YEAR(D151)+10), Variablen!$I$3:$AT$3, 0))),L151)))*(IF((YEAR(D151)+10)&lt;YEAR(E151),0,IF((YEAR(D151)+10)&gt;YEAR(E151),1,(12-MONTH(E151)+1)/12))) + (Q151)*(IF((YEAR(D151)+10)&lt;YEAR(E151),0,IF((YEAR(D151)+10)&gt;YEAR(E151),1,(12-MONTH(E151)+1)/12))))-((P151)*(IF((YEAR(D151)+10)&lt;YEAR(E151),0,IF((YEAR(D151)+10)&gt;YEAR(E151),1,(12-MONTH(E151)+1)/12))) + (R151)*(IF((YEAR(D151)+10)&lt;YEAR(E151),0,IF((YEAR(D151)+10)&gt;YEAR(E151),1,(12-MONTH(E151)+1)/12))))-(IF((((K151)*(IF(M151="",L151,IFERROR(IF(INDEX(Variablen!$I:$AT, MATCH(M151, Variablen!$A:$A, 0), MATCH((YEAR(D151)+10), Variablen!$I$3:$AT$3, 0))="",L151,INDEX(Variablen!$I:$AT, MATCH(M151, Variablen!$A:$A, 0), MATCH((YEAR(D151)+10), Variablen!$I$3:$AT$3, 0))),L151)))*(IF((YEAR(D151)+10)&lt;YEAR(E151),0,IF((YEAR(D151)+10)&gt;YEAR(E151),1,(12-MONTH(E151)+1)/12))) + (Q151)*(IF((YEAR(D151)+10)&lt;YEAR(E151),0,IF((YEAR(D151)+10)&gt;YEAR(E151),1,(12-MONTH(E151)+1)/12))))-((P151)*(IF((YEAR(D151)+10)&lt;YEAR(E151),0,IF((YEAR(D151)+10)&gt;YEAR(E151),1,(12-MONTH(E151)+1)/12))) + (R151)*(IF((YEAR(D151)+10)&lt;YEAR(E151),0,IF((YEAR(D151)+10)&gt;YEAR(E151),1,(12-MONTH(E151)+1)/12))))-(IF(OR(N151="",N151&lt;=0),0,(O151/N151)*(IF(OR(N151="",N151&lt;=0),0,IF((YEAR(D151)+10)&lt;YEAR(E151),0,IF((YEAR(D151)+10)&gt;=YEAR(E151)+N151,0,IF((YEAR(D151)+10)=YEAR(E151),(12-MONTH(E151)+1)/12,1))))))))&gt;0,(((K151)*(IF(M151="",L151,IFERROR(IF(INDEX(Variablen!$I:$AT, MATCH(M151, Variablen!$A:$A, 0), MATCH((YEAR(D151)+10), Variablen!$I$3:$AT$3, 0))="",L151,INDEX(Variablen!$I:$AT, MATCH(M151, Variablen!$A:$A, 0), MATCH((YEAR(D151)+10), Variablen!$I$3:$AT$3, 0))),L151)))*(IF((YEAR(D151)+10)&lt;YEAR(E151),0,IF((YEAR(D151)+10)&gt;YEAR(E151),1,(12-MONTH(E151)+1)/12))) + (Q151)*(IF((YEAR(D151)+10)&lt;YEAR(E151),0,IF((YEAR(D151)+10)&gt;YEAR(E151),1,(12-MONTH(E151)+1)/12))))-((P151)*(IF((YEAR(D151)+10)&lt;YEAR(E151),0,IF((YEAR(D151)+10)&gt;YEAR(E151),1,(12-MONTH(E151)+1)/12))) + (R151)*(IF((YEAR(D151)+10)&lt;YEAR(E151),0,IF((YEAR(D151)+10)&gt;YEAR(E151),1,(12-MONTH(E151)+1)/12))))-(IF(OR(N151="",N151&lt;=0),0,(O151/N151)*(IF(OR(N151="",N151&lt;=0),0,IF((YEAR(D151)+10)&lt;YEAR(E151),0,IF((YEAR(D151)+10)&gt;=YEAR(E151)+N151,0,IF((YEAR(D151)+10)=YEAR(E151),(12-MONTH(E151)+1)/12,1))))))))*TaxRate,0))-IF(10=0,O151,0))</f>
        <v/>
      </c>
      <c r="AD151" s="29">
        <f>IF(A151="","",((K151)*(IF(M151="",L151,IFERROR(IF(INDEX(Variablen!$I:$AT, MATCH(M151, Variablen!$A:$A, 0), MATCH((YEAR(D151)+11), Variablen!$I$3:$AT$3, 0))="",L151,INDEX(Variablen!$I:$AT, MATCH(M151, Variablen!$A:$A, 0), MATCH((YEAR(D151)+11), Variablen!$I$3:$AT$3, 0))),L151)))*(IF((YEAR(D151)+11)&lt;YEAR(E151),0,IF((YEAR(D151)+11)&gt;YEAR(E151),1,(12-MONTH(E151)+1)/12))) + (Q151)*(IF((YEAR(D151)+11)&lt;YEAR(E151),0,IF((YEAR(D151)+11)&gt;YEAR(E151),1,(12-MONTH(E151)+1)/12))))-((P151)*(IF((YEAR(D151)+11)&lt;YEAR(E151),0,IF((YEAR(D151)+11)&gt;YEAR(E151),1,(12-MONTH(E151)+1)/12))) + (R151)*(IF((YEAR(D151)+11)&lt;YEAR(E151),0,IF((YEAR(D151)+11)&gt;YEAR(E151),1,(12-MONTH(E151)+1)/12))))-(IF((((K151)*(IF(M151="",L151,IFERROR(IF(INDEX(Variablen!$I:$AT, MATCH(M151, Variablen!$A:$A, 0), MATCH((YEAR(D151)+11), Variablen!$I$3:$AT$3, 0))="",L151,INDEX(Variablen!$I:$AT, MATCH(M151, Variablen!$A:$A, 0), MATCH((YEAR(D151)+11), Variablen!$I$3:$AT$3, 0))),L151)))*(IF((YEAR(D151)+11)&lt;YEAR(E151),0,IF((YEAR(D151)+11)&gt;YEAR(E151),1,(12-MONTH(E151)+1)/12))) + (Q151)*(IF((YEAR(D151)+11)&lt;YEAR(E151),0,IF((YEAR(D151)+11)&gt;YEAR(E151),1,(12-MONTH(E151)+1)/12))))-((P151)*(IF((YEAR(D151)+11)&lt;YEAR(E151),0,IF((YEAR(D151)+11)&gt;YEAR(E151),1,(12-MONTH(E151)+1)/12))) + (R151)*(IF((YEAR(D151)+11)&lt;YEAR(E151),0,IF((YEAR(D151)+11)&gt;YEAR(E151),1,(12-MONTH(E151)+1)/12))))-(IF(OR(N151="",N151&lt;=0),0,(O151/N151)*(IF(OR(N151="",N151&lt;=0),0,IF((YEAR(D151)+11)&lt;YEAR(E151),0,IF((YEAR(D151)+11)&gt;=YEAR(E151)+N151,0,IF((YEAR(D151)+11)=YEAR(E151),(12-MONTH(E151)+1)/12,1))))))))&gt;0,(((K151)*(IF(M151="",L151,IFERROR(IF(INDEX(Variablen!$I:$AT, MATCH(M151, Variablen!$A:$A, 0), MATCH((YEAR(D151)+11), Variablen!$I$3:$AT$3, 0))="",L151,INDEX(Variablen!$I:$AT, MATCH(M151, Variablen!$A:$A, 0), MATCH((YEAR(D151)+11), Variablen!$I$3:$AT$3, 0))),L151)))*(IF((YEAR(D151)+11)&lt;YEAR(E151),0,IF((YEAR(D151)+11)&gt;YEAR(E151),1,(12-MONTH(E151)+1)/12))) + (Q151)*(IF((YEAR(D151)+11)&lt;YEAR(E151),0,IF((YEAR(D151)+11)&gt;YEAR(E151),1,(12-MONTH(E151)+1)/12))))-((P151)*(IF((YEAR(D151)+11)&lt;YEAR(E151),0,IF((YEAR(D151)+11)&gt;YEAR(E151),1,(12-MONTH(E151)+1)/12))) + (R151)*(IF((YEAR(D151)+11)&lt;YEAR(E151),0,IF((YEAR(D151)+11)&gt;YEAR(E151),1,(12-MONTH(E151)+1)/12))))-(IF(OR(N151="",N151&lt;=0),0,(O151/N151)*(IF(OR(N151="",N151&lt;=0),0,IF((YEAR(D151)+11)&lt;YEAR(E151),0,IF((YEAR(D151)+11)&gt;=YEAR(E151)+N151,0,IF((YEAR(D151)+11)=YEAR(E151),(12-MONTH(E151)+1)/12,1))))))))*TaxRate,0))-IF(11=0,O151,0))</f>
        <v/>
      </c>
      <c r="AE151" s="29">
        <f>IF(A151="","",((K151)*(IF(M151="",L151,IFERROR(IF(INDEX(Variablen!$I:$AT, MATCH(M151, Variablen!$A:$A, 0), MATCH((YEAR(D151)+12), Variablen!$I$3:$AT$3, 0))="",L151,INDEX(Variablen!$I:$AT, MATCH(M151, Variablen!$A:$A, 0), MATCH((YEAR(D151)+12), Variablen!$I$3:$AT$3, 0))),L151)))*(IF((YEAR(D151)+12)&lt;YEAR(E151),0,IF((YEAR(D151)+12)&gt;YEAR(E151),1,(12-MONTH(E151)+1)/12))) + (Q151)*(IF((YEAR(D151)+12)&lt;YEAR(E151),0,IF((YEAR(D151)+12)&gt;YEAR(E151),1,(12-MONTH(E151)+1)/12))))-((P151)*(IF((YEAR(D151)+12)&lt;YEAR(E151),0,IF((YEAR(D151)+12)&gt;YEAR(E151),1,(12-MONTH(E151)+1)/12))) + (R151)*(IF((YEAR(D151)+12)&lt;YEAR(E151),0,IF((YEAR(D151)+12)&gt;YEAR(E151),1,(12-MONTH(E151)+1)/12))))-(IF((((K151)*(IF(M151="",L151,IFERROR(IF(INDEX(Variablen!$I:$AT, MATCH(M151, Variablen!$A:$A, 0), MATCH((YEAR(D151)+12), Variablen!$I$3:$AT$3, 0))="",L151,INDEX(Variablen!$I:$AT, MATCH(M151, Variablen!$A:$A, 0), MATCH((YEAR(D151)+12), Variablen!$I$3:$AT$3, 0))),L151)))*(IF((YEAR(D151)+12)&lt;YEAR(E151),0,IF((YEAR(D151)+12)&gt;YEAR(E151),1,(12-MONTH(E151)+1)/12))) + (Q151)*(IF((YEAR(D151)+12)&lt;YEAR(E151),0,IF((YEAR(D151)+12)&gt;YEAR(E151),1,(12-MONTH(E151)+1)/12))))-((P151)*(IF((YEAR(D151)+12)&lt;YEAR(E151),0,IF((YEAR(D151)+12)&gt;YEAR(E151),1,(12-MONTH(E151)+1)/12))) + (R151)*(IF((YEAR(D151)+12)&lt;YEAR(E151),0,IF((YEAR(D151)+12)&gt;YEAR(E151),1,(12-MONTH(E151)+1)/12))))-(IF(OR(N151="",N151&lt;=0),0,(O151/N151)*(IF(OR(N151="",N151&lt;=0),0,IF((YEAR(D151)+12)&lt;YEAR(E151),0,IF((YEAR(D151)+12)&gt;=YEAR(E151)+N151,0,IF((YEAR(D151)+12)=YEAR(E151),(12-MONTH(E151)+1)/12,1))))))))&gt;0,(((K151)*(IF(M151="",L151,IFERROR(IF(INDEX(Variablen!$I:$AT, MATCH(M151, Variablen!$A:$A, 0), MATCH((YEAR(D151)+12), Variablen!$I$3:$AT$3, 0))="",L151,INDEX(Variablen!$I:$AT, MATCH(M151, Variablen!$A:$A, 0), MATCH((YEAR(D151)+12), Variablen!$I$3:$AT$3, 0))),L151)))*(IF((YEAR(D151)+12)&lt;YEAR(E151),0,IF((YEAR(D151)+12)&gt;YEAR(E151),1,(12-MONTH(E151)+1)/12))) + (Q151)*(IF((YEAR(D151)+12)&lt;YEAR(E151),0,IF((YEAR(D151)+12)&gt;YEAR(E151),1,(12-MONTH(E151)+1)/12))))-((P151)*(IF((YEAR(D151)+12)&lt;YEAR(E151),0,IF((YEAR(D151)+12)&gt;YEAR(E151),1,(12-MONTH(E151)+1)/12))) + (R151)*(IF((YEAR(D151)+12)&lt;YEAR(E151),0,IF((YEAR(D151)+12)&gt;YEAR(E151),1,(12-MONTH(E151)+1)/12))))-(IF(OR(N151="",N151&lt;=0),0,(O151/N151)*(IF(OR(N151="",N151&lt;=0),0,IF((YEAR(D151)+12)&lt;YEAR(E151),0,IF((YEAR(D151)+12)&gt;=YEAR(E151)+N151,0,IF((YEAR(D151)+12)=YEAR(E151),(12-MONTH(E151)+1)/12,1))))))))*TaxRate,0))-IF(12=0,O151,0))</f>
        <v/>
      </c>
      <c r="AF151" s="29">
        <f>IF(A151="","",((K151)*(IF(M151="",L151,IFERROR(IF(INDEX(Variablen!$I:$AT, MATCH(M151, Variablen!$A:$A, 0), MATCH((YEAR(D151)+13), Variablen!$I$3:$AT$3, 0))="",L151,INDEX(Variablen!$I:$AT, MATCH(M151, Variablen!$A:$A, 0), MATCH((YEAR(D151)+13), Variablen!$I$3:$AT$3, 0))),L151)))*(IF((YEAR(D151)+13)&lt;YEAR(E151),0,IF((YEAR(D151)+13)&gt;YEAR(E151),1,(12-MONTH(E151)+1)/12))) + (Q151)*(IF((YEAR(D151)+13)&lt;YEAR(E151),0,IF((YEAR(D151)+13)&gt;YEAR(E151),1,(12-MONTH(E151)+1)/12))))-((P151)*(IF((YEAR(D151)+13)&lt;YEAR(E151),0,IF((YEAR(D151)+13)&gt;YEAR(E151),1,(12-MONTH(E151)+1)/12))) + (R151)*(IF((YEAR(D151)+13)&lt;YEAR(E151),0,IF((YEAR(D151)+13)&gt;YEAR(E151),1,(12-MONTH(E151)+1)/12))))-(IF((((K151)*(IF(M151="",L151,IFERROR(IF(INDEX(Variablen!$I:$AT, MATCH(M151, Variablen!$A:$A, 0), MATCH((YEAR(D151)+13), Variablen!$I$3:$AT$3, 0))="",L151,INDEX(Variablen!$I:$AT, MATCH(M151, Variablen!$A:$A, 0), MATCH((YEAR(D151)+13), Variablen!$I$3:$AT$3, 0))),L151)))*(IF((YEAR(D151)+13)&lt;YEAR(E151),0,IF((YEAR(D151)+13)&gt;YEAR(E151),1,(12-MONTH(E151)+1)/12))) + (Q151)*(IF((YEAR(D151)+13)&lt;YEAR(E151),0,IF((YEAR(D151)+13)&gt;YEAR(E151),1,(12-MONTH(E151)+1)/12))))-((P151)*(IF((YEAR(D151)+13)&lt;YEAR(E151),0,IF((YEAR(D151)+13)&gt;YEAR(E151),1,(12-MONTH(E151)+1)/12))) + (R151)*(IF((YEAR(D151)+13)&lt;YEAR(E151),0,IF((YEAR(D151)+13)&gt;YEAR(E151),1,(12-MONTH(E151)+1)/12))))-(IF(OR(N151="",N151&lt;=0),0,(O151/N151)*(IF(OR(N151="",N151&lt;=0),0,IF((YEAR(D151)+13)&lt;YEAR(E151),0,IF((YEAR(D151)+13)&gt;=YEAR(E151)+N151,0,IF((YEAR(D151)+13)=YEAR(E151),(12-MONTH(E151)+1)/12,1))))))))&gt;0,(((K151)*(IF(M151="",L151,IFERROR(IF(INDEX(Variablen!$I:$AT, MATCH(M151, Variablen!$A:$A, 0), MATCH((YEAR(D151)+13), Variablen!$I$3:$AT$3, 0))="",L151,INDEX(Variablen!$I:$AT, MATCH(M151, Variablen!$A:$A, 0), MATCH((YEAR(D151)+13), Variablen!$I$3:$AT$3, 0))),L151)))*(IF((YEAR(D151)+13)&lt;YEAR(E151),0,IF((YEAR(D151)+13)&gt;YEAR(E151),1,(12-MONTH(E151)+1)/12))) + (Q151)*(IF((YEAR(D151)+13)&lt;YEAR(E151),0,IF((YEAR(D151)+13)&gt;YEAR(E151),1,(12-MONTH(E151)+1)/12))))-((P151)*(IF((YEAR(D151)+13)&lt;YEAR(E151),0,IF((YEAR(D151)+13)&gt;YEAR(E151),1,(12-MONTH(E151)+1)/12))) + (R151)*(IF((YEAR(D151)+13)&lt;YEAR(E151),0,IF((YEAR(D151)+13)&gt;YEAR(E151),1,(12-MONTH(E151)+1)/12))))-(IF(OR(N151="",N151&lt;=0),0,(O151/N151)*(IF(OR(N151="",N151&lt;=0),0,IF((YEAR(D151)+13)&lt;YEAR(E151),0,IF((YEAR(D151)+13)&gt;=YEAR(E151)+N151,0,IF((YEAR(D151)+13)=YEAR(E151),(12-MONTH(E151)+1)/12,1))))))))*TaxRate,0))-IF(13=0,O151,0))</f>
        <v/>
      </c>
      <c r="AG151" s="29">
        <f>IF(A151="","",((K151)*(IF(M151="",L151,IFERROR(IF(INDEX(Variablen!$I:$AT, MATCH(M151, Variablen!$A:$A, 0), MATCH((YEAR(D151)+14), Variablen!$I$3:$AT$3, 0))="",L151,INDEX(Variablen!$I:$AT, MATCH(M151, Variablen!$A:$A, 0), MATCH((YEAR(D151)+14), Variablen!$I$3:$AT$3, 0))),L151)))*(IF((YEAR(D151)+14)&lt;YEAR(E151),0,IF((YEAR(D151)+14)&gt;YEAR(E151),1,(12-MONTH(E151)+1)/12))) + (Q151)*(IF((YEAR(D151)+14)&lt;YEAR(E151),0,IF((YEAR(D151)+14)&gt;YEAR(E151),1,(12-MONTH(E151)+1)/12))))-((P151)*(IF((YEAR(D151)+14)&lt;YEAR(E151),0,IF((YEAR(D151)+14)&gt;YEAR(E151),1,(12-MONTH(E151)+1)/12))) + (R151)*(IF((YEAR(D151)+14)&lt;YEAR(E151),0,IF((YEAR(D151)+14)&gt;YEAR(E151),1,(12-MONTH(E151)+1)/12))))-(IF((((K151)*(IF(M151="",L151,IFERROR(IF(INDEX(Variablen!$I:$AT, MATCH(M151, Variablen!$A:$A, 0), MATCH((YEAR(D151)+14), Variablen!$I$3:$AT$3, 0))="",L151,INDEX(Variablen!$I:$AT, MATCH(M151, Variablen!$A:$A, 0), MATCH((YEAR(D151)+14), Variablen!$I$3:$AT$3, 0))),L151)))*(IF((YEAR(D151)+14)&lt;YEAR(E151),0,IF((YEAR(D151)+14)&gt;YEAR(E151),1,(12-MONTH(E151)+1)/12))) + (Q151)*(IF((YEAR(D151)+14)&lt;YEAR(E151),0,IF((YEAR(D151)+14)&gt;YEAR(E151),1,(12-MONTH(E151)+1)/12))))-((P151)*(IF((YEAR(D151)+14)&lt;YEAR(E151),0,IF((YEAR(D151)+14)&gt;YEAR(E151),1,(12-MONTH(E151)+1)/12))) + (R151)*(IF((YEAR(D151)+14)&lt;YEAR(E151),0,IF((YEAR(D151)+14)&gt;YEAR(E151),1,(12-MONTH(E151)+1)/12))))-(IF(OR(N151="",N151&lt;=0),0,(O151/N151)*(IF(OR(N151="",N151&lt;=0),0,IF((YEAR(D151)+14)&lt;YEAR(E151),0,IF((YEAR(D151)+14)&gt;=YEAR(E151)+N151,0,IF((YEAR(D151)+14)=YEAR(E151),(12-MONTH(E151)+1)/12,1))))))))&gt;0,(((K151)*(IF(M151="",L151,IFERROR(IF(INDEX(Variablen!$I:$AT, MATCH(M151, Variablen!$A:$A, 0), MATCH((YEAR(D151)+14), Variablen!$I$3:$AT$3, 0))="",L151,INDEX(Variablen!$I:$AT, MATCH(M151, Variablen!$A:$A, 0), MATCH((YEAR(D151)+14), Variablen!$I$3:$AT$3, 0))),L151)))*(IF((YEAR(D151)+14)&lt;YEAR(E151),0,IF((YEAR(D151)+14)&gt;YEAR(E151),1,(12-MONTH(E151)+1)/12))) + (Q151)*(IF((YEAR(D151)+14)&lt;YEAR(E151),0,IF((YEAR(D151)+14)&gt;YEAR(E151),1,(12-MONTH(E151)+1)/12))))-((P151)*(IF((YEAR(D151)+14)&lt;YEAR(E151),0,IF((YEAR(D151)+14)&gt;YEAR(E151),1,(12-MONTH(E151)+1)/12))) + (R151)*(IF((YEAR(D151)+14)&lt;YEAR(E151),0,IF((YEAR(D151)+14)&gt;YEAR(E151),1,(12-MONTH(E151)+1)/12))))-(IF(OR(N151="",N151&lt;=0),0,(O151/N151)*(IF(OR(N151="",N151&lt;=0),0,IF((YEAR(D151)+14)&lt;YEAR(E151),0,IF((YEAR(D151)+14)&gt;=YEAR(E151)+N151,0,IF((YEAR(D151)+14)=YEAR(E151),(12-MONTH(E151)+1)/12,1))))))))*TaxRate,0))-IF(14=0,O151,0))</f>
        <v/>
      </c>
      <c r="AH151" s="29">
        <f>IF(A151="","",((K151)*(IF(M151="",L151,IFERROR(IF(INDEX(Variablen!$I:$AT, MATCH(M151, Variablen!$A:$A, 0), MATCH((YEAR(D151)+15), Variablen!$I$3:$AT$3, 0))="",L151,INDEX(Variablen!$I:$AT, MATCH(M151, Variablen!$A:$A, 0), MATCH((YEAR(D151)+15), Variablen!$I$3:$AT$3, 0))),L151)))*(IF((YEAR(D151)+15)&lt;YEAR(E151),0,IF((YEAR(D151)+15)&gt;YEAR(E151),1,(12-MONTH(E151)+1)/12))) + (Q151)*(IF((YEAR(D151)+15)&lt;YEAR(E151),0,IF((YEAR(D151)+15)&gt;YEAR(E151),1,(12-MONTH(E151)+1)/12))))-((P151)*(IF((YEAR(D151)+15)&lt;YEAR(E151),0,IF((YEAR(D151)+15)&gt;YEAR(E151),1,(12-MONTH(E151)+1)/12))) + (R151)*(IF((YEAR(D151)+15)&lt;YEAR(E151),0,IF((YEAR(D151)+15)&gt;YEAR(E151),1,(12-MONTH(E151)+1)/12))))-(IF((((K151)*(IF(M151="",L151,IFERROR(IF(INDEX(Variablen!$I:$AT, MATCH(M151, Variablen!$A:$A, 0), MATCH((YEAR(D151)+15), Variablen!$I$3:$AT$3, 0))="",L151,INDEX(Variablen!$I:$AT, MATCH(M151, Variablen!$A:$A, 0), MATCH((YEAR(D151)+15), Variablen!$I$3:$AT$3, 0))),L151)))*(IF((YEAR(D151)+15)&lt;YEAR(E151),0,IF((YEAR(D151)+15)&gt;YEAR(E151),1,(12-MONTH(E151)+1)/12))) + (Q151)*(IF((YEAR(D151)+15)&lt;YEAR(E151),0,IF((YEAR(D151)+15)&gt;YEAR(E151),1,(12-MONTH(E151)+1)/12))))-((P151)*(IF((YEAR(D151)+15)&lt;YEAR(E151),0,IF((YEAR(D151)+15)&gt;YEAR(E151),1,(12-MONTH(E151)+1)/12))) + (R151)*(IF((YEAR(D151)+15)&lt;YEAR(E151),0,IF((YEAR(D151)+15)&gt;YEAR(E151),1,(12-MONTH(E151)+1)/12))))-(IF(OR(N151="",N151&lt;=0),0,(O151/N151)*(IF(OR(N151="",N151&lt;=0),0,IF((YEAR(D151)+15)&lt;YEAR(E151),0,IF((YEAR(D151)+15)&gt;=YEAR(E151)+N151,0,IF((YEAR(D151)+15)=YEAR(E151),(12-MONTH(E151)+1)/12,1))))))))&gt;0,(((K151)*(IF(M151="",L151,IFERROR(IF(INDEX(Variablen!$I:$AT, MATCH(M151, Variablen!$A:$A, 0), MATCH((YEAR(D151)+15), Variablen!$I$3:$AT$3, 0))="",L151,INDEX(Variablen!$I:$AT, MATCH(M151, Variablen!$A:$A, 0), MATCH((YEAR(D151)+15), Variablen!$I$3:$AT$3, 0))),L151)))*(IF((YEAR(D151)+15)&lt;YEAR(E151),0,IF((YEAR(D151)+15)&gt;YEAR(E151),1,(12-MONTH(E151)+1)/12))) + (Q151)*(IF((YEAR(D151)+15)&lt;YEAR(E151),0,IF((YEAR(D151)+15)&gt;YEAR(E151),1,(12-MONTH(E151)+1)/12))))-((P151)*(IF((YEAR(D151)+15)&lt;YEAR(E151),0,IF((YEAR(D151)+15)&gt;YEAR(E151),1,(12-MONTH(E151)+1)/12))) + (R151)*(IF((YEAR(D151)+15)&lt;YEAR(E151),0,IF((YEAR(D151)+15)&gt;YEAR(E151),1,(12-MONTH(E151)+1)/12))))-(IF(OR(N151="",N151&lt;=0),0,(O151/N151)*(IF(OR(N151="",N151&lt;=0),0,IF((YEAR(D151)+15)&lt;YEAR(E151),0,IF((YEAR(D151)+15)&gt;=YEAR(E151)+N151,0,IF((YEAR(D151)+15)=YEAR(E151),(12-MONTH(E151)+1)/12,1))))))))*TaxRate,0))-IF(15=0,O151,0))</f>
        <v/>
      </c>
      <c r="AI151" s="29">
        <f>IF(A151="","",((K151)*(IF(M151="",L151,IFERROR(IF(INDEX(Variablen!$I:$AT, MATCH(M151, Variablen!$A:$A, 0), MATCH((YEAR(D151)+16), Variablen!$I$3:$AT$3, 0))="",L151,INDEX(Variablen!$I:$AT, MATCH(M151, Variablen!$A:$A, 0), MATCH((YEAR(D151)+16), Variablen!$I$3:$AT$3, 0))),L151)))*(IF((YEAR(D151)+16)&lt;YEAR(E151),0,IF((YEAR(D151)+16)&gt;YEAR(E151),1,(12-MONTH(E151)+1)/12))) + (Q151)*(IF((YEAR(D151)+16)&lt;YEAR(E151),0,IF((YEAR(D151)+16)&gt;YEAR(E151),1,(12-MONTH(E151)+1)/12))))-((P151)*(IF((YEAR(D151)+16)&lt;YEAR(E151),0,IF((YEAR(D151)+16)&gt;YEAR(E151),1,(12-MONTH(E151)+1)/12))) + (R151)*(IF((YEAR(D151)+16)&lt;YEAR(E151),0,IF((YEAR(D151)+16)&gt;YEAR(E151),1,(12-MONTH(E151)+1)/12))))-(IF((((K151)*(IF(M151="",L151,IFERROR(IF(INDEX(Variablen!$I:$AT, MATCH(M151, Variablen!$A:$A, 0), MATCH((YEAR(D151)+16), Variablen!$I$3:$AT$3, 0))="",L151,INDEX(Variablen!$I:$AT, MATCH(M151, Variablen!$A:$A, 0), MATCH((YEAR(D151)+16), Variablen!$I$3:$AT$3, 0))),L151)))*(IF((YEAR(D151)+16)&lt;YEAR(E151),0,IF((YEAR(D151)+16)&gt;YEAR(E151),1,(12-MONTH(E151)+1)/12))) + (Q151)*(IF((YEAR(D151)+16)&lt;YEAR(E151),0,IF((YEAR(D151)+16)&gt;YEAR(E151),1,(12-MONTH(E151)+1)/12))))-((P151)*(IF((YEAR(D151)+16)&lt;YEAR(E151),0,IF((YEAR(D151)+16)&gt;YEAR(E151),1,(12-MONTH(E151)+1)/12))) + (R151)*(IF((YEAR(D151)+16)&lt;YEAR(E151),0,IF((YEAR(D151)+16)&gt;YEAR(E151),1,(12-MONTH(E151)+1)/12))))-(IF(OR(N151="",N151&lt;=0),0,(O151/N151)*(IF(OR(N151="",N151&lt;=0),0,IF((YEAR(D151)+16)&lt;YEAR(E151),0,IF((YEAR(D151)+16)&gt;=YEAR(E151)+N151,0,IF((YEAR(D151)+16)=YEAR(E151),(12-MONTH(E151)+1)/12,1))))))))&gt;0,(((K151)*(IF(M151="",L151,IFERROR(IF(INDEX(Variablen!$I:$AT, MATCH(M151, Variablen!$A:$A, 0), MATCH((YEAR(D151)+16), Variablen!$I$3:$AT$3, 0))="",L151,INDEX(Variablen!$I:$AT, MATCH(M151, Variablen!$A:$A, 0), MATCH((YEAR(D151)+16), Variablen!$I$3:$AT$3, 0))),L151)))*(IF((YEAR(D151)+16)&lt;YEAR(E151),0,IF((YEAR(D151)+16)&gt;YEAR(E151),1,(12-MONTH(E151)+1)/12))) + (Q151)*(IF((YEAR(D151)+16)&lt;YEAR(E151),0,IF((YEAR(D151)+16)&gt;YEAR(E151),1,(12-MONTH(E151)+1)/12))))-((P151)*(IF((YEAR(D151)+16)&lt;YEAR(E151),0,IF((YEAR(D151)+16)&gt;YEAR(E151),1,(12-MONTH(E151)+1)/12))) + (R151)*(IF((YEAR(D151)+16)&lt;YEAR(E151),0,IF((YEAR(D151)+16)&gt;YEAR(E151),1,(12-MONTH(E151)+1)/12))))-(IF(OR(N151="",N151&lt;=0),0,(O151/N151)*(IF(OR(N151="",N151&lt;=0),0,IF((YEAR(D151)+16)&lt;YEAR(E151),0,IF((YEAR(D151)+16)&gt;=YEAR(E151)+N151,0,IF((YEAR(D151)+16)=YEAR(E151),(12-MONTH(E151)+1)/12,1))))))))*TaxRate,0))-IF(16=0,O151,0))</f>
        <v/>
      </c>
      <c r="AJ151" s="29">
        <f>IF(A151="","",((K151)*(IF(M151="",L151,IFERROR(IF(INDEX(Variablen!$I:$AT, MATCH(M151, Variablen!$A:$A, 0), MATCH((YEAR(D151)+17), Variablen!$I$3:$AT$3, 0))="",L151,INDEX(Variablen!$I:$AT, MATCH(M151, Variablen!$A:$A, 0), MATCH((YEAR(D151)+17), Variablen!$I$3:$AT$3, 0))),L151)))*(IF((YEAR(D151)+17)&lt;YEAR(E151),0,IF((YEAR(D151)+17)&gt;YEAR(E151),1,(12-MONTH(E151)+1)/12))) + (Q151)*(IF((YEAR(D151)+17)&lt;YEAR(E151),0,IF((YEAR(D151)+17)&gt;YEAR(E151),1,(12-MONTH(E151)+1)/12))))-((P151)*(IF((YEAR(D151)+17)&lt;YEAR(E151),0,IF((YEAR(D151)+17)&gt;YEAR(E151),1,(12-MONTH(E151)+1)/12))) + (R151)*(IF((YEAR(D151)+17)&lt;YEAR(E151),0,IF((YEAR(D151)+17)&gt;YEAR(E151),1,(12-MONTH(E151)+1)/12))))-(IF((((K151)*(IF(M151="",L151,IFERROR(IF(INDEX(Variablen!$I:$AT, MATCH(M151, Variablen!$A:$A, 0), MATCH((YEAR(D151)+17), Variablen!$I$3:$AT$3, 0))="",L151,INDEX(Variablen!$I:$AT, MATCH(M151, Variablen!$A:$A, 0), MATCH((YEAR(D151)+17), Variablen!$I$3:$AT$3, 0))),L151)))*(IF((YEAR(D151)+17)&lt;YEAR(E151),0,IF((YEAR(D151)+17)&gt;YEAR(E151),1,(12-MONTH(E151)+1)/12))) + (Q151)*(IF((YEAR(D151)+17)&lt;YEAR(E151),0,IF((YEAR(D151)+17)&gt;YEAR(E151),1,(12-MONTH(E151)+1)/12))))-((P151)*(IF((YEAR(D151)+17)&lt;YEAR(E151),0,IF((YEAR(D151)+17)&gt;YEAR(E151),1,(12-MONTH(E151)+1)/12))) + (R151)*(IF((YEAR(D151)+17)&lt;YEAR(E151),0,IF((YEAR(D151)+17)&gt;YEAR(E151),1,(12-MONTH(E151)+1)/12))))-(IF(OR(N151="",N151&lt;=0),0,(O151/N151)*(IF(OR(N151="",N151&lt;=0),0,IF((YEAR(D151)+17)&lt;YEAR(E151),0,IF((YEAR(D151)+17)&gt;=YEAR(E151)+N151,0,IF((YEAR(D151)+17)=YEAR(E151),(12-MONTH(E151)+1)/12,1))))))))&gt;0,(((K151)*(IF(M151="",L151,IFERROR(IF(INDEX(Variablen!$I:$AT, MATCH(M151, Variablen!$A:$A, 0), MATCH((YEAR(D151)+17), Variablen!$I$3:$AT$3, 0))="",L151,INDEX(Variablen!$I:$AT, MATCH(M151, Variablen!$A:$A, 0), MATCH((YEAR(D151)+17), Variablen!$I$3:$AT$3, 0))),L151)))*(IF((YEAR(D151)+17)&lt;YEAR(E151),0,IF((YEAR(D151)+17)&gt;YEAR(E151),1,(12-MONTH(E151)+1)/12))) + (Q151)*(IF((YEAR(D151)+17)&lt;YEAR(E151),0,IF((YEAR(D151)+17)&gt;YEAR(E151),1,(12-MONTH(E151)+1)/12))))-((P151)*(IF((YEAR(D151)+17)&lt;YEAR(E151),0,IF((YEAR(D151)+17)&gt;YEAR(E151),1,(12-MONTH(E151)+1)/12))) + (R151)*(IF((YEAR(D151)+17)&lt;YEAR(E151),0,IF((YEAR(D151)+17)&gt;YEAR(E151),1,(12-MONTH(E151)+1)/12))))-(IF(OR(N151="",N151&lt;=0),0,(O151/N151)*(IF(OR(N151="",N151&lt;=0),0,IF((YEAR(D151)+17)&lt;YEAR(E151),0,IF((YEAR(D151)+17)&gt;=YEAR(E151)+N151,0,IF((YEAR(D151)+17)=YEAR(E151),(12-MONTH(E151)+1)/12,1))))))))*TaxRate,0))-IF(17=0,O151,0))</f>
        <v/>
      </c>
      <c r="AK151" s="29">
        <f>IF(A151="","",((K151)*(IF(M151="",L151,IFERROR(IF(INDEX(Variablen!$I:$AT, MATCH(M151, Variablen!$A:$A, 0), MATCH((YEAR(D151)+18), Variablen!$I$3:$AT$3, 0))="",L151,INDEX(Variablen!$I:$AT, MATCH(M151, Variablen!$A:$A, 0), MATCH((YEAR(D151)+18), Variablen!$I$3:$AT$3, 0))),L151)))*(IF((YEAR(D151)+18)&lt;YEAR(E151),0,IF((YEAR(D151)+18)&gt;YEAR(E151),1,(12-MONTH(E151)+1)/12))) + (Q151)*(IF((YEAR(D151)+18)&lt;YEAR(E151),0,IF((YEAR(D151)+18)&gt;YEAR(E151),1,(12-MONTH(E151)+1)/12))))-((P151)*(IF((YEAR(D151)+18)&lt;YEAR(E151),0,IF((YEAR(D151)+18)&gt;YEAR(E151),1,(12-MONTH(E151)+1)/12))) + (R151)*(IF((YEAR(D151)+18)&lt;YEAR(E151),0,IF((YEAR(D151)+18)&gt;YEAR(E151),1,(12-MONTH(E151)+1)/12))))-(IF((((K151)*(IF(M151="",L151,IFERROR(IF(INDEX(Variablen!$I:$AT, MATCH(M151, Variablen!$A:$A, 0), MATCH((YEAR(D151)+18), Variablen!$I$3:$AT$3, 0))="",L151,INDEX(Variablen!$I:$AT, MATCH(M151, Variablen!$A:$A, 0), MATCH((YEAR(D151)+18), Variablen!$I$3:$AT$3, 0))),L151)))*(IF((YEAR(D151)+18)&lt;YEAR(E151),0,IF((YEAR(D151)+18)&gt;YEAR(E151),1,(12-MONTH(E151)+1)/12))) + (Q151)*(IF((YEAR(D151)+18)&lt;YEAR(E151),0,IF((YEAR(D151)+18)&gt;YEAR(E151),1,(12-MONTH(E151)+1)/12))))-((P151)*(IF((YEAR(D151)+18)&lt;YEAR(E151),0,IF((YEAR(D151)+18)&gt;YEAR(E151),1,(12-MONTH(E151)+1)/12))) + (R151)*(IF((YEAR(D151)+18)&lt;YEAR(E151),0,IF((YEAR(D151)+18)&gt;YEAR(E151),1,(12-MONTH(E151)+1)/12))))-(IF(OR(N151="",N151&lt;=0),0,(O151/N151)*(IF(OR(N151="",N151&lt;=0),0,IF((YEAR(D151)+18)&lt;YEAR(E151),0,IF((YEAR(D151)+18)&gt;=YEAR(E151)+N151,0,IF((YEAR(D151)+18)=YEAR(E151),(12-MONTH(E151)+1)/12,1))))))))&gt;0,(((K151)*(IF(M151="",L151,IFERROR(IF(INDEX(Variablen!$I:$AT, MATCH(M151, Variablen!$A:$A, 0), MATCH((YEAR(D151)+18), Variablen!$I$3:$AT$3, 0))="",L151,INDEX(Variablen!$I:$AT, MATCH(M151, Variablen!$A:$A, 0), MATCH((YEAR(D151)+18), Variablen!$I$3:$AT$3, 0))),L151)))*(IF((YEAR(D151)+18)&lt;YEAR(E151),0,IF((YEAR(D151)+18)&gt;YEAR(E151),1,(12-MONTH(E151)+1)/12))) + (Q151)*(IF((YEAR(D151)+18)&lt;YEAR(E151),0,IF((YEAR(D151)+18)&gt;YEAR(E151),1,(12-MONTH(E151)+1)/12))))-((P151)*(IF((YEAR(D151)+18)&lt;YEAR(E151),0,IF((YEAR(D151)+18)&gt;YEAR(E151),1,(12-MONTH(E151)+1)/12))) + (R151)*(IF((YEAR(D151)+18)&lt;YEAR(E151),0,IF((YEAR(D151)+18)&gt;YEAR(E151),1,(12-MONTH(E151)+1)/12))))-(IF(OR(N151="",N151&lt;=0),0,(O151/N151)*(IF(OR(N151="",N151&lt;=0),0,IF((YEAR(D151)+18)&lt;YEAR(E151),0,IF((YEAR(D151)+18)&gt;=YEAR(E151)+N151,0,IF((YEAR(D151)+18)=YEAR(E151),(12-MONTH(E151)+1)/12,1))))))))*TaxRate,0))-IF(18=0,O151,0))</f>
        <v/>
      </c>
      <c r="AL151" s="29">
        <f>IF(A151="","",((K151)*(IF(M151="",L151,IFERROR(IF(INDEX(Variablen!$I:$AT, MATCH(M151, Variablen!$A:$A, 0), MATCH((YEAR(D151)+19), Variablen!$I$3:$AT$3, 0))="",L151,INDEX(Variablen!$I:$AT, MATCH(M151, Variablen!$A:$A, 0), MATCH((YEAR(D151)+19), Variablen!$I$3:$AT$3, 0))),L151)))*(IF((YEAR(D151)+19)&lt;YEAR(E151),0,IF((YEAR(D151)+19)&gt;YEAR(E151),1,(12-MONTH(E151)+1)/12))) + (Q151)*(IF((YEAR(D151)+19)&lt;YEAR(E151),0,IF((YEAR(D151)+19)&gt;YEAR(E151),1,(12-MONTH(E151)+1)/12))))-((P151)*(IF((YEAR(D151)+19)&lt;YEAR(E151),0,IF((YEAR(D151)+19)&gt;YEAR(E151),1,(12-MONTH(E151)+1)/12))) + (R151)*(IF((YEAR(D151)+19)&lt;YEAR(E151),0,IF((YEAR(D151)+19)&gt;YEAR(E151),1,(12-MONTH(E151)+1)/12))))-(IF((((K151)*(IF(M151="",L151,IFERROR(IF(INDEX(Variablen!$I:$AT, MATCH(M151, Variablen!$A:$A, 0), MATCH((YEAR(D151)+19), Variablen!$I$3:$AT$3, 0))="",L151,INDEX(Variablen!$I:$AT, MATCH(M151, Variablen!$A:$A, 0), MATCH((YEAR(D151)+19), Variablen!$I$3:$AT$3, 0))),L151)))*(IF((YEAR(D151)+19)&lt;YEAR(E151),0,IF((YEAR(D151)+19)&gt;YEAR(E151),1,(12-MONTH(E151)+1)/12))) + (Q151)*(IF((YEAR(D151)+19)&lt;YEAR(E151),0,IF((YEAR(D151)+19)&gt;YEAR(E151),1,(12-MONTH(E151)+1)/12))))-((P151)*(IF((YEAR(D151)+19)&lt;YEAR(E151),0,IF((YEAR(D151)+19)&gt;YEAR(E151),1,(12-MONTH(E151)+1)/12))) + (R151)*(IF((YEAR(D151)+19)&lt;YEAR(E151),0,IF((YEAR(D151)+19)&gt;YEAR(E151),1,(12-MONTH(E151)+1)/12))))-(IF(OR(N151="",N151&lt;=0),0,(O151/N151)*(IF(OR(N151="",N151&lt;=0),0,IF((YEAR(D151)+19)&lt;YEAR(E151),0,IF((YEAR(D151)+19)&gt;=YEAR(E151)+N151,0,IF((YEAR(D151)+19)=YEAR(E151),(12-MONTH(E151)+1)/12,1))))))))&gt;0,(((K151)*(IF(M151="",L151,IFERROR(IF(INDEX(Variablen!$I:$AT, MATCH(M151, Variablen!$A:$A, 0), MATCH((YEAR(D151)+19), Variablen!$I$3:$AT$3, 0))="",L151,INDEX(Variablen!$I:$AT, MATCH(M151, Variablen!$A:$A, 0), MATCH((YEAR(D151)+19), Variablen!$I$3:$AT$3, 0))),L151)))*(IF((YEAR(D151)+19)&lt;YEAR(E151),0,IF((YEAR(D151)+19)&gt;YEAR(E151),1,(12-MONTH(E151)+1)/12))) + (Q151)*(IF((YEAR(D151)+19)&lt;YEAR(E151),0,IF((YEAR(D151)+19)&gt;YEAR(E151),1,(12-MONTH(E151)+1)/12))))-((P151)*(IF((YEAR(D151)+19)&lt;YEAR(E151),0,IF((YEAR(D151)+19)&gt;YEAR(E151),1,(12-MONTH(E151)+1)/12))) + (R151)*(IF((YEAR(D151)+19)&lt;YEAR(E151),0,IF((YEAR(D151)+19)&gt;YEAR(E151),1,(12-MONTH(E151)+1)/12))))-(IF(OR(N151="",N151&lt;=0),0,(O151/N151)*(IF(OR(N151="",N151&lt;=0),0,IF((YEAR(D151)+19)&lt;YEAR(E151),0,IF((YEAR(D151)+19)&gt;=YEAR(E151)+N151,0,IF((YEAR(D151)+19)=YEAR(E151),(12-MONTH(E151)+1)/12,1))))))))*TaxRate,0))-IF(19=0,O151,0))</f>
        <v/>
      </c>
      <c r="AM151" s="29">
        <f>IF(A151="","",((K151)*(IF(M151="",L151,IFERROR(IF(INDEX(Variablen!$I:$AT, MATCH(M151, Variablen!$A:$A, 0), MATCH((YEAR(D151)+20), Variablen!$I$3:$AT$3, 0))="",L151,INDEX(Variablen!$I:$AT, MATCH(M151, Variablen!$A:$A, 0), MATCH((YEAR(D151)+20), Variablen!$I$3:$AT$3, 0))),L151)))*(IF((YEAR(D151)+20)&lt;YEAR(E151),0,IF((YEAR(D151)+20)&gt;YEAR(E151),1,(12-MONTH(E151)+1)/12))) + (Q151)*(IF((YEAR(D151)+20)&lt;YEAR(E151),0,IF((YEAR(D151)+20)&gt;YEAR(E151),1,(12-MONTH(E151)+1)/12))))-((P151)*(IF((YEAR(D151)+20)&lt;YEAR(E151),0,IF((YEAR(D151)+20)&gt;YEAR(E151),1,(12-MONTH(E151)+1)/12))) + (R151)*(IF((YEAR(D151)+20)&lt;YEAR(E151),0,IF((YEAR(D151)+20)&gt;YEAR(E151),1,(12-MONTH(E151)+1)/12))))-(IF((((K151)*(IF(M151="",L151,IFERROR(IF(INDEX(Variablen!$I:$AT, MATCH(M151, Variablen!$A:$A, 0), MATCH((YEAR(D151)+20), Variablen!$I$3:$AT$3, 0))="",L151,INDEX(Variablen!$I:$AT, MATCH(M151, Variablen!$A:$A, 0), MATCH((YEAR(D151)+20), Variablen!$I$3:$AT$3, 0))),L151)))*(IF((YEAR(D151)+20)&lt;YEAR(E151),0,IF((YEAR(D151)+20)&gt;YEAR(E151),1,(12-MONTH(E151)+1)/12))) + (Q151)*(IF((YEAR(D151)+20)&lt;YEAR(E151),0,IF((YEAR(D151)+20)&gt;YEAR(E151),1,(12-MONTH(E151)+1)/12))))-((P151)*(IF((YEAR(D151)+20)&lt;YEAR(E151),0,IF((YEAR(D151)+20)&gt;YEAR(E151),1,(12-MONTH(E151)+1)/12))) + (R151)*(IF((YEAR(D151)+20)&lt;YEAR(E151),0,IF((YEAR(D151)+20)&gt;YEAR(E151),1,(12-MONTH(E151)+1)/12))))-(IF(OR(N151="",N151&lt;=0),0,(O151/N151)*(IF(OR(N151="",N151&lt;=0),0,IF((YEAR(D151)+20)&lt;YEAR(E151),0,IF((YEAR(D151)+20)&gt;=YEAR(E151)+N151,0,IF((YEAR(D151)+20)=YEAR(E151),(12-MONTH(E151)+1)/12,1))))))))&gt;0,(((K151)*(IF(M151="",L151,IFERROR(IF(INDEX(Variablen!$I:$AT, MATCH(M151, Variablen!$A:$A, 0), MATCH((YEAR(D151)+20), Variablen!$I$3:$AT$3, 0))="",L151,INDEX(Variablen!$I:$AT, MATCH(M151, Variablen!$A:$A, 0), MATCH((YEAR(D151)+20), Variablen!$I$3:$AT$3, 0))),L151)))*(IF((YEAR(D151)+20)&lt;YEAR(E151),0,IF((YEAR(D151)+20)&gt;YEAR(E151),1,(12-MONTH(E151)+1)/12))) + (Q151)*(IF((YEAR(D151)+20)&lt;YEAR(E151),0,IF((YEAR(D151)+20)&gt;YEAR(E151),1,(12-MONTH(E151)+1)/12))))-((P151)*(IF((YEAR(D151)+20)&lt;YEAR(E151),0,IF((YEAR(D151)+20)&gt;YEAR(E151),1,(12-MONTH(E151)+1)/12))) + (R151)*(IF((YEAR(D151)+20)&lt;YEAR(E151),0,IF((YEAR(D151)+20)&gt;YEAR(E151),1,(12-MONTH(E151)+1)/12))))-(IF(OR(N151="",N151&lt;=0),0,(O151/N151)*(IF(OR(N151="",N151&lt;=0),0,IF((YEAR(D151)+20)&lt;YEAR(E151),0,IF((YEAR(D151)+20)&gt;=YEAR(E151)+N151,0,IF((YEAR(D151)+20)=YEAR(E151),(12-MONTH(E151)+1)/12,1))))))))*TaxRate,0))-IF(20=0,O151,0))</f>
        <v/>
      </c>
      <c r="AN151" s="29">
        <f>IF(A151="","",S151)</f>
        <v/>
      </c>
      <c r="AO151" s="29">
        <f>IF(A151="","",AN151+T151)</f>
        <v/>
      </c>
      <c r="AP151" s="29">
        <f>IF(A151="","",AO151+U151)</f>
        <v/>
      </c>
      <c r="AQ151" s="29">
        <f>IF(A151="","",AP151+V151)</f>
        <v/>
      </c>
      <c r="AR151" s="29">
        <f>IF(A151="","",AQ151+W151)</f>
        <v/>
      </c>
      <c r="AS151" s="29">
        <f>IF(A151="","",AR151+X151)</f>
        <v/>
      </c>
      <c r="AT151" s="29">
        <f>IF(A151="","",AS151+Y151)</f>
        <v/>
      </c>
      <c r="AU151" s="29">
        <f>IF(A151="","",AT151+Z151)</f>
        <v/>
      </c>
      <c r="AV151" s="29">
        <f>IF(A151="","",AU151+AA151)</f>
        <v/>
      </c>
      <c r="AW151" s="29">
        <f>IF(A151="","",AV151+AB151)</f>
        <v/>
      </c>
      <c r="AX151" s="29">
        <f>IF(A151="","",AW151+AC151)</f>
        <v/>
      </c>
      <c r="AY151" s="29">
        <f>IF(A151="","",AX151+AD151)</f>
        <v/>
      </c>
      <c r="AZ151" s="29">
        <f>IF(A151="","",AY151+AE151)</f>
        <v/>
      </c>
      <c r="BA151" s="29">
        <f>IF(A151="","",AZ151+AF151)</f>
        <v/>
      </c>
      <c r="BB151" s="29">
        <f>IF(A151="","",BA151+AG151)</f>
        <v/>
      </c>
      <c r="BC151" s="29">
        <f>IF(A151="","",BB151+AH151)</f>
        <v/>
      </c>
      <c r="BD151" s="29">
        <f>IF(A151="","",BC151+AI151)</f>
        <v/>
      </c>
      <c r="BE151" s="29">
        <f>IF(A151="","",BD151+AJ151)</f>
        <v/>
      </c>
      <c r="BF151" s="29">
        <f>IF(A151="","",BE151+AK151)</f>
        <v/>
      </c>
      <c r="BG151" s="29">
        <f>IF(A151="","",BF151+AL151)</f>
        <v/>
      </c>
      <c r="BH151" s="29">
        <f>IF(A151="","",BG151+AM151)</f>
        <v/>
      </c>
      <c r="BI151" s="36">
        <f>IF(A151="","",(K151)*(IF((YEAR(D151)+0)&lt;YEAR(E151),0,IF((YEAR(D151)+0)&gt;YEAR(E151),1,(12-MONTH(E151)+1)/12)))*(1/(1+DiscountRate)^0))</f>
        <v/>
      </c>
      <c r="BJ151" s="36">
        <f>IF(A151="","",(K151)*(IF((YEAR(D151)+1)&lt;YEAR(E151),0,IF((YEAR(D151)+1)&gt;YEAR(E151),1,(12-MONTH(E151)+1)/12)))*(1/(1+DiscountRate)^1))</f>
        <v/>
      </c>
      <c r="BK151" s="36">
        <f>IF(A151="","",(K151)*(IF((YEAR(D151)+2)&lt;YEAR(E151),0,IF((YEAR(D151)+2)&gt;YEAR(E151),1,(12-MONTH(E151)+1)/12)))*(1/(1+DiscountRate)^2))</f>
        <v/>
      </c>
      <c r="BL151" s="36">
        <f>IF(A151="","",(K151)*(IF((YEAR(D151)+3)&lt;YEAR(E151),0,IF((YEAR(D151)+3)&gt;YEAR(E151),1,(12-MONTH(E151)+1)/12)))*(1/(1+DiscountRate)^3))</f>
        <v/>
      </c>
      <c r="BM151" s="36">
        <f>IF(A151="","",(K151)*(IF((YEAR(D151)+4)&lt;YEAR(E151),0,IF((YEAR(D151)+4)&gt;YEAR(E151),1,(12-MONTH(E151)+1)/12)))*(1/(1+DiscountRate)^4))</f>
        <v/>
      </c>
      <c r="BN151" s="36">
        <f>IF(A151="","",(K151)*(IF((YEAR(D151)+5)&lt;YEAR(E151),0,IF((YEAR(D151)+5)&gt;YEAR(E151),1,(12-MONTH(E151)+1)/12)))*(1/(1+DiscountRate)^5))</f>
        <v/>
      </c>
      <c r="BO151" s="36">
        <f>IF(A151="","",(K151)*(IF((YEAR(D151)+6)&lt;YEAR(E151),0,IF((YEAR(D151)+6)&gt;YEAR(E151),1,(12-MONTH(E151)+1)/12)))*(1/(1+DiscountRate)^6))</f>
        <v/>
      </c>
      <c r="BP151" s="36">
        <f>IF(A151="","",(K151)*(IF((YEAR(D151)+7)&lt;YEAR(E151),0,IF((YEAR(D151)+7)&gt;YEAR(E151),1,(12-MONTH(E151)+1)/12)))*(1/(1+DiscountRate)^7))</f>
        <v/>
      </c>
      <c r="BQ151" s="36">
        <f>IF(A151="","",(K151)*(IF((YEAR(D151)+8)&lt;YEAR(E151),0,IF((YEAR(D151)+8)&gt;YEAR(E151),1,(12-MONTH(E151)+1)/12)))*(1/(1+DiscountRate)^8))</f>
        <v/>
      </c>
      <c r="BR151" s="36">
        <f>IF(A151="","",(K151)*(IF((YEAR(D151)+9)&lt;YEAR(E151),0,IF((YEAR(D151)+9)&gt;YEAR(E151),1,(12-MONTH(E151)+1)/12)))*(1/(1+DiscountRate)^9))</f>
        <v/>
      </c>
      <c r="BS151" s="36">
        <f>IF(A151="","",(K151)*(IF((YEAR(D151)+10)&lt;YEAR(E151),0,IF((YEAR(D151)+10)&gt;YEAR(E151),1,(12-MONTH(E151)+1)/12)))*(1/(1+DiscountRate)^10))</f>
        <v/>
      </c>
      <c r="BT151" s="36">
        <f>IF(A151="","",(K151)*(IF((YEAR(D151)+11)&lt;YEAR(E151),0,IF((YEAR(D151)+11)&gt;YEAR(E151),1,(12-MONTH(E151)+1)/12)))*(1/(1+DiscountRate)^11))</f>
        <v/>
      </c>
      <c r="BU151" s="36">
        <f>IF(A151="","",(K151)*(IF((YEAR(D151)+12)&lt;YEAR(E151),0,IF((YEAR(D151)+12)&gt;YEAR(E151),1,(12-MONTH(E151)+1)/12)))*(1/(1+DiscountRate)^12))</f>
        <v/>
      </c>
      <c r="BV151" s="36">
        <f>IF(A151="","",(K151)*(IF((YEAR(D151)+13)&lt;YEAR(E151),0,IF((YEAR(D151)+13)&gt;YEAR(E151),1,(12-MONTH(E151)+1)/12)))*(1/(1+DiscountRate)^13))</f>
        <v/>
      </c>
      <c r="BW151" s="36">
        <f>IF(A151="","",(K151)*(IF((YEAR(D151)+14)&lt;YEAR(E151),0,IF((YEAR(D151)+14)&gt;YEAR(E151),1,(12-MONTH(E151)+1)/12)))*(1/(1+DiscountRate)^14))</f>
        <v/>
      </c>
      <c r="BX151" s="36">
        <f>IF(A151="","",(K151)*(IF((YEAR(D151)+15)&lt;YEAR(E151),0,IF((YEAR(D151)+15)&gt;YEAR(E151),1,(12-MONTH(E151)+1)/12)))*(1/(1+DiscountRate)^15))</f>
        <v/>
      </c>
      <c r="BY151" s="36">
        <f>IF(A151="","",(K151)*(IF((YEAR(D151)+16)&lt;YEAR(E151),0,IF((YEAR(D151)+16)&gt;YEAR(E151),1,(12-MONTH(E151)+1)/12)))*(1/(1+DiscountRate)^16))</f>
        <v/>
      </c>
      <c r="BZ151" s="36">
        <f>IF(A151="","",(K151)*(IF((YEAR(D151)+17)&lt;YEAR(E151),0,IF((YEAR(D151)+17)&gt;YEAR(E151),1,(12-MONTH(E151)+1)/12)))*(1/(1+DiscountRate)^17))</f>
        <v/>
      </c>
      <c r="CA151" s="36">
        <f>IF(A151="","",(K151)*(IF((YEAR(D151)+18)&lt;YEAR(E151),0,IF((YEAR(D151)+18)&gt;YEAR(E151),1,(12-MONTH(E151)+1)/12)))*(1/(1+DiscountRate)^18))</f>
        <v/>
      </c>
      <c r="CB151" s="36">
        <f>IF(A151="","",(K151)*(IF((YEAR(D151)+19)&lt;YEAR(E151),0,IF((YEAR(D151)+19)&gt;YEAR(E151),1,(12-MONTH(E151)+1)/12)))*(1/(1+DiscountRate)^19))</f>
        <v/>
      </c>
      <c r="CC151" s="36">
        <f>IF(A151="","",(K151)*(IF((YEAR(D151)+20)&lt;YEAR(E151),0,IF((YEAR(D151)+20)&gt;YEAR(E151),1,(12-MONTH(E151)+1)/12)))*(1/(1+DiscountRate)^20))</f>
        <v/>
      </c>
      <c r="CD151" s="29">
        <f>IF(A151="","",S151/(1+DiscountRate)^0+T151/(1+DiscountRate)^1+U151/(1+DiscountRate)^2+V151/(1+DiscountRate)^3+W151/(1+DiscountRate)^4+X151/(1+DiscountRate)^5+Y151/(1+DiscountRate)^6+Z151/(1+DiscountRate)^7+AA151/(1+DiscountRate)^8+AB151/(1+DiscountRate)^9+AC151/(1+DiscountRate)^10+AD151/(1+DiscountRate)^11+AE151/(1+DiscountRate)^12+AF151/(1+DiscountRate)^13+AG151/(1+DiscountRate)^14+AH151/(1+DiscountRate)^15+AI151/(1+DiscountRate)^16+AJ151/(1+DiscountRate)^17+AK151/(1+DiscountRate)^18+AL151/(1+DiscountRate)^19+AM151/(1+DiscountRate)^20)</f>
        <v/>
      </c>
      <c r="CE151" s="37">
        <f>IF(A151="","",IFERROR(IRR(OFFSET(S151,0,0,1,MIN(HorizonYears,20)+1)),"n/a"))</f>
        <v/>
      </c>
      <c r="CF151" s="28">
        <f>IF(A151="","",IFERROR(MATCH(TRUE,OFFSET(AN151,0,0,1,MIN(HorizonYears,20)+1)&gt;=0,0)-1,"n/a"))</f>
        <v/>
      </c>
      <c r="CG151" s="36">
        <f>IF(A151="","",SUM(OFFSET(BI151,0,0,1,MIN(HorizonYears,20)+1)))</f>
        <v/>
      </c>
      <c r="CH151" s="36">
        <f>IF(A151="","",IFERROR(-CD151/CG151,"n/a"))</f>
        <v/>
      </c>
    </row>
    <row r="152">
      <c r="A152" s="6">
        <f>Actions!A150</f>
        <v/>
      </c>
      <c r="B152" s="6">
        <f>Actions!B150</f>
        <v/>
      </c>
      <c r="C152" s="6">
        <f>Actions!D150</f>
        <v/>
      </c>
      <c r="D152" s="35">
        <f>Actions!E150</f>
        <v/>
      </c>
      <c r="E152" s="35">
        <f>Actions!F150</f>
        <v/>
      </c>
      <c r="F152" s="6">
        <f>Actions!G150</f>
        <v/>
      </c>
      <c r="G152" s="6">
        <f>Actions!H150</f>
        <v/>
      </c>
      <c r="H152" s="29">
        <f>Actions!I150</f>
        <v/>
      </c>
      <c r="I152" s="6">
        <f>Actions!J150</f>
        <v/>
      </c>
      <c r="J152" s="16">
        <f>Actions!K150</f>
        <v/>
      </c>
      <c r="K152" s="16">
        <f>IF(A152="","",IF(I152="%",H152*J152,J152))</f>
        <v/>
      </c>
      <c r="L152" s="16">
        <f>Actions!L150</f>
        <v/>
      </c>
      <c r="M152" s="6">
        <f>Actions!M150</f>
        <v/>
      </c>
      <c r="N152" s="28">
        <f>Actions!N150</f>
        <v/>
      </c>
      <c r="O152" s="29">
        <f>Actions!T150</f>
        <v/>
      </c>
      <c r="P152" s="29">
        <f>Actions!Y150</f>
        <v/>
      </c>
      <c r="Q152" s="29">
        <f>Actions!Z150</f>
        <v/>
      </c>
      <c r="R152" s="29">
        <f>Actions!AA150</f>
        <v/>
      </c>
      <c r="S152" s="29">
        <f>IF(A152="","",((K152)*(IF(M152="",L152,IFERROR(IF(INDEX(Variablen!$I:$AT, MATCH(M152, Variablen!$A:$A, 0), MATCH((YEAR(D152)+0), Variablen!$I$3:$AT$3, 0))="",L152,INDEX(Variablen!$I:$AT, MATCH(M152, Variablen!$A:$A, 0), MATCH((YEAR(D152)+0), Variablen!$I$3:$AT$3, 0))),L152)))*(IF((YEAR(D152)+0)&lt;YEAR(E152),0,IF((YEAR(D152)+0)&gt;YEAR(E152),1,(12-MONTH(E152)+1)/12))) + (Q152)*(IF((YEAR(D152)+0)&lt;YEAR(E152),0,IF((YEAR(D152)+0)&gt;YEAR(E152),1,(12-MONTH(E152)+1)/12))))-((P152)*(IF((YEAR(D152)+0)&lt;YEAR(E152),0,IF((YEAR(D152)+0)&gt;YEAR(E152),1,(12-MONTH(E152)+1)/12))) + (R152)*(IF((YEAR(D152)+0)&lt;YEAR(E152),0,IF((YEAR(D152)+0)&gt;YEAR(E152),1,(12-MONTH(E152)+1)/12))))-(IF((((K152)*(IF(M152="",L152,IFERROR(IF(INDEX(Variablen!$I:$AT, MATCH(M152, Variablen!$A:$A, 0), MATCH((YEAR(D152)+0), Variablen!$I$3:$AT$3, 0))="",L152,INDEX(Variablen!$I:$AT, MATCH(M152, Variablen!$A:$A, 0), MATCH((YEAR(D152)+0), Variablen!$I$3:$AT$3, 0))),L152)))*(IF((YEAR(D152)+0)&lt;YEAR(E152),0,IF((YEAR(D152)+0)&gt;YEAR(E152),1,(12-MONTH(E152)+1)/12))) + (Q152)*(IF((YEAR(D152)+0)&lt;YEAR(E152),0,IF((YEAR(D152)+0)&gt;YEAR(E152),1,(12-MONTH(E152)+1)/12))))-((P152)*(IF((YEAR(D152)+0)&lt;YEAR(E152),0,IF((YEAR(D152)+0)&gt;YEAR(E152),1,(12-MONTH(E152)+1)/12))) + (R152)*(IF((YEAR(D152)+0)&lt;YEAR(E152),0,IF((YEAR(D152)+0)&gt;YEAR(E152),1,(12-MONTH(E152)+1)/12))))-(IF(OR(N152="",N152&lt;=0),0,(O152/N152)*(IF(OR(N152="",N152&lt;=0),0,IF((YEAR(D152)+0)&lt;YEAR(E152),0,IF((YEAR(D152)+0)&gt;=YEAR(E152)+N152,0,IF((YEAR(D152)+0)=YEAR(E152),(12-MONTH(E152)+1)/12,1))))))))&gt;0,(((K152)*(IF(M152="",L152,IFERROR(IF(INDEX(Variablen!$I:$AT, MATCH(M152, Variablen!$A:$A, 0), MATCH((YEAR(D152)+0), Variablen!$I$3:$AT$3, 0))="",L152,INDEX(Variablen!$I:$AT, MATCH(M152, Variablen!$A:$A, 0), MATCH((YEAR(D152)+0), Variablen!$I$3:$AT$3, 0))),L152)))*(IF((YEAR(D152)+0)&lt;YEAR(E152),0,IF((YEAR(D152)+0)&gt;YEAR(E152),1,(12-MONTH(E152)+1)/12))) + (Q152)*(IF((YEAR(D152)+0)&lt;YEAR(E152),0,IF((YEAR(D152)+0)&gt;YEAR(E152),1,(12-MONTH(E152)+1)/12))))-((P152)*(IF((YEAR(D152)+0)&lt;YEAR(E152),0,IF((YEAR(D152)+0)&gt;YEAR(E152),1,(12-MONTH(E152)+1)/12))) + (R152)*(IF((YEAR(D152)+0)&lt;YEAR(E152),0,IF((YEAR(D152)+0)&gt;YEAR(E152),1,(12-MONTH(E152)+1)/12))))-(IF(OR(N152="",N152&lt;=0),0,(O152/N152)*(IF(OR(N152="",N152&lt;=0),0,IF((YEAR(D152)+0)&lt;YEAR(E152),0,IF((YEAR(D152)+0)&gt;=YEAR(E152)+N152,0,IF((YEAR(D152)+0)=YEAR(E152),(12-MONTH(E152)+1)/12,1))))))))*TaxRate,0))-IF(0=0,O152,0))</f>
        <v/>
      </c>
      <c r="T152" s="29">
        <f>IF(A152="","",((K152)*(IF(M152="",L152,IFERROR(IF(INDEX(Variablen!$I:$AT, MATCH(M152, Variablen!$A:$A, 0), MATCH((YEAR(D152)+1), Variablen!$I$3:$AT$3, 0))="",L152,INDEX(Variablen!$I:$AT, MATCH(M152, Variablen!$A:$A, 0), MATCH((YEAR(D152)+1), Variablen!$I$3:$AT$3, 0))),L152)))*(IF((YEAR(D152)+1)&lt;YEAR(E152),0,IF((YEAR(D152)+1)&gt;YEAR(E152),1,(12-MONTH(E152)+1)/12))) + (Q152)*(IF((YEAR(D152)+1)&lt;YEAR(E152),0,IF((YEAR(D152)+1)&gt;YEAR(E152),1,(12-MONTH(E152)+1)/12))))-((P152)*(IF((YEAR(D152)+1)&lt;YEAR(E152),0,IF((YEAR(D152)+1)&gt;YEAR(E152),1,(12-MONTH(E152)+1)/12))) + (R152)*(IF((YEAR(D152)+1)&lt;YEAR(E152),0,IF((YEAR(D152)+1)&gt;YEAR(E152),1,(12-MONTH(E152)+1)/12))))-(IF((((K152)*(IF(M152="",L152,IFERROR(IF(INDEX(Variablen!$I:$AT, MATCH(M152, Variablen!$A:$A, 0), MATCH((YEAR(D152)+1), Variablen!$I$3:$AT$3, 0))="",L152,INDEX(Variablen!$I:$AT, MATCH(M152, Variablen!$A:$A, 0), MATCH((YEAR(D152)+1), Variablen!$I$3:$AT$3, 0))),L152)))*(IF((YEAR(D152)+1)&lt;YEAR(E152),0,IF((YEAR(D152)+1)&gt;YEAR(E152),1,(12-MONTH(E152)+1)/12))) + (Q152)*(IF((YEAR(D152)+1)&lt;YEAR(E152),0,IF((YEAR(D152)+1)&gt;YEAR(E152),1,(12-MONTH(E152)+1)/12))))-((P152)*(IF((YEAR(D152)+1)&lt;YEAR(E152),0,IF((YEAR(D152)+1)&gt;YEAR(E152),1,(12-MONTH(E152)+1)/12))) + (R152)*(IF((YEAR(D152)+1)&lt;YEAR(E152),0,IF((YEAR(D152)+1)&gt;YEAR(E152),1,(12-MONTH(E152)+1)/12))))-(IF(OR(N152="",N152&lt;=0),0,(O152/N152)*(IF(OR(N152="",N152&lt;=0),0,IF((YEAR(D152)+1)&lt;YEAR(E152),0,IF((YEAR(D152)+1)&gt;=YEAR(E152)+N152,0,IF((YEAR(D152)+1)=YEAR(E152),(12-MONTH(E152)+1)/12,1))))))))&gt;0,(((K152)*(IF(M152="",L152,IFERROR(IF(INDEX(Variablen!$I:$AT, MATCH(M152, Variablen!$A:$A, 0), MATCH((YEAR(D152)+1), Variablen!$I$3:$AT$3, 0))="",L152,INDEX(Variablen!$I:$AT, MATCH(M152, Variablen!$A:$A, 0), MATCH((YEAR(D152)+1), Variablen!$I$3:$AT$3, 0))),L152)))*(IF((YEAR(D152)+1)&lt;YEAR(E152),0,IF((YEAR(D152)+1)&gt;YEAR(E152),1,(12-MONTH(E152)+1)/12))) + (Q152)*(IF((YEAR(D152)+1)&lt;YEAR(E152),0,IF((YEAR(D152)+1)&gt;YEAR(E152),1,(12-MONTH(E152)+1)/12))))-((P152)*(IF((YEAR(D152)+1)&lt;YEAR(E152),0,IF((YEAR(D152)+1)&gt;YEAR(E152),1,(12-MONTH(E152)+1)/12))) + (R152)*(IF((YEAR(D152)+1)&lt;YEAR(E152),0,IF((YEAR(D152)+1)&gt;YEAR(E152),1,(12-MONTH(E152)+1)/12))))-(IF(OR(N152="",N152&lt;=0),0,(O152/N152)*(IF(OR(N152="",N152&lt;=0),0,IF((YEAR(D152)+1)&lt;YEAR(E152),0,IF((YEAR(D152)+1)&gt;=YEAR(E152)+N152,0,IF((YEAR(D152)+1)=YEAR(E152),(12-MONTH(E152)+1)/12,1))))))))*TaxRate,0))-IF(1=0,O152,0))</f>
        <v/>
      </c>
      <c r="U152" s="29">
        <f>IF(A152="","",((K152)*(IF(M152="",L152,IFERROR(IF(INDEX(Variablen!$I:$AT, MATCH(M152, Variablen!$A:$A, 0), MATCH((YEAR(D152)+2), Variablen!$I$3:$AT$3, 0))="",L152,INDEX(Variablen!$I:$AT, MATCH(M152, Variablen!$A:$A, 0), MATCH((YEAR(D152)+2), Variablen!$I$3:$AT$3, 0))),L152)))*(IF((YEAR(D152)+2)&lt;YEAR(E152),0,IF((YEAR(D152)+2)&gt;YEAR(E152),1,(12-MONTH(E152)+1)/12))) + (Q152)*(IF((YEAR(D152)+2)&lt;YEAR(E152),0,IF((YEAR(D152)+2)&gt;YEAR(E152),1,(12-MONTH(E152)+1)/12))))-((P152)*(IF((YEAR(D152)+2)&lt;YEAR(E152),0,IF((YEAR(D152)+2)&gt;YEAR(E152),1,(12-MONTH(E152)+1)/12))) + (R152)*(IF((YEAR(D152)+2)&lt;YEAR(E152),0,IF((YEAR(D152)+2)&gt;YEAR(E152),1,(12-MONTH(E152)+1)/12))))-(IF((((K152)*(IF(M152="",L152,IFERROR(IF(INDEX(Variablen!$I:$AT, MATCH(M152, Variablen!$A:$A, 0), MATCH((YEAR(D152)+2), Variablen!$I$3:$AT$3, 0))="",L152,INDEX(Variablen!$I:$AT, MATCH(M152, Variablen!$A:$A, 0), MATCH((YEAR(D152)+2), Variablen!$I$3:$AT$3, 0))),L152)))*(IF((YEAR(D152)+2)&lt;YEAR(E152),0,IF((YEAR(D152)+2)&gt;YEAR(E152),1,(12-MONTH(E152)+1)/12))) + (Q152)*(IF((YEAR(D152)+2)&lt;YEAR(E152),0,IF((YEAR(D152)+2)&gt;YEAR(E152),1,(12-MONTH(E152)+1)/12))))-((P152)*(IF((YEAR(D152)+2)&lt;YEAR(E152),0,IF((YEAR(D152)+2)&gt;YEAR(E152),1,(12-MONTH(E152)+1)/12))) + (R152)*(IF((YEAR(D152)+2)&lt;YEAR(E152),0,IF((YEAR(D152)+2)&gt;YEAR(E152),1,(12-MONTH(E152)+1)/12))))-(IF(OR(N152="",N152&lt;=0),0,(O152/N152)*(IF(OR(N152="",N152&lt;=0),0,IF((YEAR(D152)+2)&lt;YEAR(E152),0,IF((YEAR(D152)+2)&gt;=YEAR(E152)+N152,0,IF((YEAR(D152)+2)=YEAR(E152),(12-MONTH(E152)+1)/12,1))))))))&gt;0,(((K152)*(IF(M152="",L152,IFERROR(IF(INDEX(Variablen!$I:$AT, MATCH(M152, Variablen!$A:$A, 0), MATCH((YEAR(D152)+2), Variablen!$I$3:$AT$3, 0))="",L152,INDEX(Variablen!$I:$AT, MATCH(M152, Variablen!$A:$A, 0), MATCH((YEAR(D152)+2), Variablen!$I$3:$AT$3, 0))),L152)))*(IF((YEAR(D152)+2)&lt;YEAR(E152),0,IF((YEAR(D152)+2)&gt;YEAR(E152),1,(12-MONTH(E152)+1)/12))) + (Q152)*(IF((YEAR(D152)+2)&lt;YEAR(E152),0,IF((YEAR(D152)+2)&gt;YEAR(E152),1,(12-MONTH(E152)+1)/12))))-((P152)*(IF((YEAR(D152)+2)&lt;YEAR(E152),0,IF((YEAR(D152)+2)&gt;YEAR(E152),1,(12-MONTH(E152)+1)/12))) + (R152)*(IF((YEAR(D152)+2)&lt;YEAR(E152),0,IF((YEAR(D152)+2)&gt;YEAR(E152),1,(12-MONTH(E152)+1)/12))))-(IF(OR(N152="",N152&lt;=0),0,(O152/N152)*(IF(OR(N152="",N152&lt;=0),0,IF((YEAR(D152)+2)&lt;YEAR(E152),0,IF((YEAR(D152)+2)&gt;=YEAR(E152)+N152,0,IF((YEAR(D152)+2)=YEAR(E152),(12-MONTH(E152)+1)/12,1))))))))*TaxRate,0))-IF(2=0,O152,0))</f>
        <v/>
      </c>
      <c r="V152" s="29">
        <f>IF(A152="","",((K152)*(IF(M152="",L152,IFERROR(IF(INDEX(Variablen!$I:$AT, MATCH(M152, Variablen!$A:$A, 0), MATCH((YEAR(D152)+3), Variablen!$I$3:$AT$3, 0))="",L152,INDEX(Variablen!$I:$AT, MATCH(M152, Variablen!$A:$A, 0), MATCH((YEAR(D152)+3), Variablen!$I$3:$AT$3, 0))),L152)))*(IF((YEAR(D152)+3)&lt;YEAR(E152),0,IF((YEAR(D152)+3)&gt;YEAR(E152),1,(12-MONTH(E152)+1)/12))) + (Q152)*(IF((YEAR(D152)+3)&lt;YEAR(E152),0,IF((YEAR(D152)+3)&gt;YEAR(E152),1,(12-MONTH(E152)+1)/12))))-((P152)*(IF((YEAR(D152)+3)&lt;YEAR(E152),0,IF((YEAR(D152)+3)&gt;YEAR(E152),1,(12-MONTH(E152)+1)/12))) + (R152)*(IF((YEAR(D152)+3)&lt;YEAR(E152),0,IF((YEAR(D152)+3)&gt;YEAR(E152),1,(12-MONTH(E152)+1)/12))))-(IF((((K152)*(IF(M152="",L152,IFERROR(IF(INDEX(Variablen!$I:$AT, MATCH(M152, Variablen!$A:$A, 0), MATCH((YEAR(D152)+3), Variablen!$I$3:$AT$3, 0))="",L152,INDEX(Variablen!$I:$AT, MATCH(M152, Variablen!$A:$A, 0), MATCH((YEAR(D152)+3), Variablen!$I$3:$AT$3, 0))),L152)))*(IF((YEAR(D152)+3)&lt;YEAR(E152),0,IF((YEAR(D152)+3)&gt;YEAR(E152),1,(12-MONTH(E152)+1)/12))) + (Q152)*(IF((YEAR(D152)+3)&lt;YEAR(E152),0,IF((YEAR(D152)+3)&gt;YEAR(E152),1,(12-MONTH(E152)+1)/12))))-((P152)*(IF((YEAR(D152)+3)&lt;YEAR(E152),0,IF((YEAR(D152)+3)&gt;YEAR(E152),1,(12-MONTH(E152)+1)/12))) + (R152)*(IF((YEAR(D152)+3)&lt;YEAR(E152),0,IF((YEAR(D152)+3)&gt;YEAR(E152),1,(12-MONTH(E152)+1)/12))))-(IF(OR(N152="",N152&lt;=0),0,(O152/N152)*(IF(OR(N152="",N152&lt;=0),0,IF((YEAR(D152)+3)&lt;YEAR(E152),0,IF((YEAR(D152)+3)&gt;=YEAR(E152)+N152,0,IF((YEAR(D152)+3)=YEAR(E152),(12-MONTH(E152)+1)/12,1))))))))&gt;0,(((K152)*(IF(M152="",L152,IFERROR(IF(INDEX(Variablen!$I:$AT, MATCH(M152, Variablen!$A:$A, 0), MATCH((YEAR(D152)+3), Variablen!$I$3:$AT$3, 0))="",L152,INDEX(Variablen!$I:$AT, MATCH(M152, Variablen!$A:$A, 0), MATCH((YEAR(D152)+3), Variablen!$I$3:$AT$3, 0))),L152)))*(IF((YEAR(D152)+3)&lt;YEAR(E152),0,IF((YEAR(D152)+3)&gt;YEAR(E152),1,(12-MONTH(E152)+1)/12))) + (Q152)*(IF((YEAR(D152)+3)&lt;YEAR(E152),0,IF((YEAR(D152)+3)&gt;YEAR(E152),1,(12-MONTH(E152)+1)/12))))-((P152)*(IF((YEAR(D152)+3)&lt;YEAR(E152),0,IF((YEAR(D152)+3)&gt;YEAR(E152),1,(12-MONTH(E152)+1)/12))) + (R152)*(IF((YEAR(D152)+3)&lt;YEAR(E152),0,IF((YEAR(D152)+3)&gt;YEAR(E152),1,(12-MONTH(E152)+1)/12))))-(IF(OR(N152="",N152&lt;=0),0,(O152/N152)*(IF(OR(N152="",N152&lt;=0),0,IF((YEAR(D152)+3)&lt;YEAR(E152),0,IF((YEAR(D152)+3)&gt;=YEAR(E152)+N152,0,IF((YEAR(D152)+3)=YEAR(E152),(12-MONTH(E152)+1)/12,1))))))))*TaxRate,0))-IF(3=0,O152,0))</f>
        <v/>
      </c>
      <c r="W152" s="29">
        <f>IF(A152="","",((K152)*(IF(M152="",L152,IFERROR(IF(INDEX(Variablen!$I:$AT, MATCH(M152, Variablen!$A:$A, 0), MATCH((YEAR(D152)+4), Variablen!$I$3:$AT$3, 0))="",L152,INDEX(Variablen!$I:$AT, MATCH(M152, Variablen!$A:$A, 0), MATCH((YEAR(D152)+4), Variablen!$I$3:$AT$3, 0))),L152)))*(IF((YEAR(D152)+4)&lt;YEAR(E152),0,IF((YEAR(D152)+4)&gt;YEAR(E152),1,(12-MONTH(E152)+1)/12))) + (Q152)*(IF((YEAR(D152)+4)&lt;YEAR(E152),0,IF((YEAR(D152)+4)&gt;YEAR(E152),1,(12-MONTH(E152)+1)/12))))-((P152)*(IF((YEAR(D152)+4)&lt;YEAR(E152),0,IF((YEAR(D152)+4)&gt;YEAR(E152),1,(12-MONTH(E152)+1)/12))) + (R152)*(IF((YEAR(D152)+4)&lt;YEAR(E152),0,IF((YEAR(D152)+4)&gt;YEAR(E152),1,(12-MONTH(E152)+1)/12))))-(IF((((K152)*(IF(M152="",L152,IFERROR(IF(INDEX(Variablen!$I:$AT, MATCH(M152, Variablen!$A:$A, 0), MATCH((YEAR(D152)+4), Variablen!$I$3:$AT$3, 0))="",L152,INDEX(Variablen!$I:$AT, MATCH(M152, Variablen!$A:$A, 0), MATCH((YEAR(D152)+4), Variablen!$I$3:$AT$3, 0))),L152)))*(IF((YEAR(D152)+4)&lt;YEAR(E152),0,IF((YEAR(D152)+4)&gt;YEAR(E152),1,(12-MONTH(E152)+1)/12))) + (Q152)*(IF((YEAR(D152)+4)&lt;YEAR(E152),0,IF((YEAR(D152)+4)&gt;YEAR(E152),1,(12-MONTH(E152)+1)/12))))-((P152)*(IF((YEAR(D152)+4)&lt;YEAR(E152),0,IF((YEAR(D152)+4)&gt;YEAR(E152),1,(12-MONTH(E152)+1)/12))) + (R152)*(IF((YEAR(D152)+4)&lt;YEAR(E152),0,IF((YEAR(D152)+4)&gt;YEAR(E152),1,(12-MONTH(E152)+1)/12))))-(IF(OR(N152="",N152&lt;=0),0,(O152/N152)*(IF(OR(N152="",N152&lt;=0),0,IF((YEAR(D152)+4)&lt;YEAR(E152),0,IF((YEAR(D152)+4)&gt;=YEAR(E152)+N152,0,IF((YEAR(D152)+4)=YEAR(E152),(12-MONTH(E152)+1)/12,1))))))))&gt;0,(((K152)*(IF(M152="",L152,IFERROR(IF(INDEX(Variablen!$I:$AT, MATCH(M152, Variablen!$A:$A, 0), MATCH((YEAR(D152)+4), Variablen!$I$3:$AT$3, 0))="",L152,INDEX(Variablen!$I:$AT, MATCH(M152, Variablen!$A:$A, 0), MATCH((YEAR(D152)+4), Variablen!$I$3:$AT$3, 0))),L152)))*(IF((YEAR(D152)+4)&lt;YEAR(E152),0,IF((YEAR(D152)+4)&gt;YEAR(E152),1,(12-MONTH(E152)+1)/12))) + (Q152)*(IF((YEAR(D152)+4)&lt;YEAR(E152),0,IF((YEAR(D152)+4)&gt;YEAR(E152),1,(12-MONTH(E152)+1)/12))))-((P152)*(IF((YEAR(D152)+4)&lt;YEAR(E152),0,IF((YEAR(D152)+4)&gt;YEAR(E152),1,(12-MONTH(E152)+1)/12))) + (R152)*(IF((YEAR(D152)+4)&lt;YEAR(E152),0,IF((YEAR(D152)+4)&gt;YEAR(E152),1,(12-MONTH(E152)+1)/12))))-(IF(OR(N152="",N152&lt;=0),0,(O152/N152)*(IF(OR(N152="",N152&lt;=0),0,IF((YEAR(D152)+4)&lt;YEAR(E152),0,IF((YEAR(D152)+4)&gt;=YEAR(E152)+N152,0,IF((YEAR(D152)+4)=YEAR(E152),(12-MONTH(E152)+1)/12,1))))))))*TaxRate,0))-IF(4=0,O152,0))</f>
        <v/>
      </c>
      <c r="X152" s="29">
        <f>IF(A152="","",((K152)*(IF(M152="",L152,IFERROR(IF(INDEX(Variablen!$I:$AT, MATCH(M152, Variablen!$A:$A, 0), MATCH((YEAR(D152)+5), Variablen!$I$3:$AT$3, 0))="",L152,INDEX(Variablen!$I:$AT, MATCH(M152, Variablen!$A:$A, 0), MATCH((YEAR(D152)+5), Variablen!$I$3:$AT$3, 0))),L152)))*(IF((YEAR(D152)+5)&lt;YEAR(E152),0,IF((YEAR(D152)+5)&gt;YEAR(E152),1,(12-MONTH(E152)+1)/12))) + (Q152)*(IF((YEAR(D152)+5)&lt;YEAR(E152),0,IF((YEAR(D152)+5)&gt;YEAR(E152),1,(12-MONTH(E152)+1)/12))))-((P152)*(IF((YEAR(D152)+5)&lt;YEAR(E152),0,IF((YEAR(D152)+5)&gt;YEAR(E152),1,(12-MONTH(E152)+1)/12))) + (R152)*(IF((YEAR(D152)+5)&lt;YEAR(E152),0,IF((YEAR(D152)+5)&gt;YEAR(E152),1,(12-MONTH(E152)+1)/12))))-(IF((((K152)*(IF(M152="",L152,IFERROR(IF(INDEX(Variablen!$I:$AT, MATCH(M152, Variablen!$A:$A, 0), MATCH((YEAR(D152)+5), Variablen!$I$3:$AT$3, 0))="",L152,INDEX(Variablen!$I:$AT, MATCH(M152, Variablen!$A:$A, 0), MATCH((YEAR(D152)+5), Variablen!$I$3:$AT$3, 0))),L152)))*(IF((YEAR(D152)+5)&lt;YEAR(E152),0,IF((YEAR(D152)+5)&gt;YEAR(E152),1,(12-MONTH(E152)+1)/12))) + (Q152)*(IF((YEAR(D152)+5)&lt;YEAR(E152),0,IF((YEAR(D152)+5)&gt;YEAR(E152),1,(12-MONTH(E152)+1)/12))))-((P152)*(IF((YEAR(D152)+5)&lt;YEAR(E152),0,IF((YEAR(D152)+5)&gt;YEAR(E152),1,(12-MONTH(E152)+1)/12))) + (R152)*(IF((YEAR(D152)+5)&lt;YEAR(E152),0,IF((YEAR(D152)+5)&gt;YEAR(E152),1,(12-MONTH(E152)+1)/12))))-(IF(OR(N152="",N152&lt;=0),0,(O152/N152)*(IF(OR(N152="",N152&lt;=0),0,IF((YEAR(D152)+5)&lt;YEAR(E152),0,IF((YEAR(D152)+5)&gt;=YEAR(E152)+N152,0,IF((YEAR(D152)+5)=YEAR(E152),(12-MONTH(E152)+1)/12,1))))))))&gt;0,(((K152)*(IF(M152="",L152,IFERROR(IF(INDEX(Variablen!$I:$AT, MATCH(M152, Variablen!$A:$A, 0), MATCH((YEAR(D152)+5), Variablen!$I$3:$AT$3, 0))="",L152,INDEX(Variablen!$I:$AT, MATCH(M152, Variablen!$A:$A, 0), MATCH((YEAR(D152)+5), Variablen!$I$3:$AT$3, 0))),L152)))*(IF((YEAR(D152)+5)&lt;YEAR(E152),0,IF((YEAR(D152)+5)&gt;YEAR(E152),1,(12-MONTH(E152)+1)/12))) + (Q152)*(IF((YEAR(D152)+5)&lt;YEAR(E152),0,IF((YEAR(D152)+5)&gt;YEAR(E152),1,(12-MONTH(E152)+1)/12))))-((P152)*(IF((YEAR(D152)+5)&lt;YEAR(E152),0,IF((YEAR(D152)+5)&gt;YEAR(E152),1,(12-MONTH(E152)+1)/12))) + (R152)*(IF((YEAR(D152)+5)&lt;YEAR(E152),0,IF((YEAR(D152)+5)&gt;YEAR(E152),1,(12-MONTH(E152)+1)/12))))-(IF(OR(N152="",N152&lt;=0),0,(O152/N152)*(IF(OR(N152="",N152&lt;=0),0,IF((YEAR(D152)+5)&lt;YEAR(E152),0,IF((YEAR(D152)+5)&gt;=YEAR(E152)+N152,0,IF((YEAR(D152)+5)=YEAR(E152),(12-MONTH(E152)+1)/12,1))))))))*TaxRate,0))-IF(5=0,O152,0))</f>
        <v/>
      </c>
      <c r="Y152" s="29">
        <f>IF(A152="","",((K152)*(IF(M152="",L152,IFERROR(IF(INDEX(Variablen!$I:$AT, MATCH(M152, Variablen!$A:$A, 0), MATCH((YEAR(D152)+6), Variablen!$I$3:$AT$3, 0))="",L152,INDEX(Variablen!$I:$AT, MATCH(M152, Variablen!$A:$A, 0), MATCH((YEAR(D152)+6), Variablen!$I$3:$AT$3, 0))),L152)))*(IF((YEAR(D152)+6)&lt;YEAR(E152),0,IF((YEAR(D152)+6)&gt;YEAR(E152),1,(12-MONTH(E152)+1)/12))) + (Q152)*(IF((YEAR(D152)+6)&lt;YEAR(E152),0,IF((YEAR(D152)+6)&gt;YEAR(E152),1,(12-MONTH(E152)+1)/12))))-((P152)*(IF((YEAR(D152)+6)&lt;YEAR(E152),0,IF((YEAR(D152)+6)&gt;YEAR(E152),1,(12-MONTH(E152)+1)/12))) + (R152)*(IF((YEAR(D152)+6)&lt;YEAR(E152),0,IF((YEAR(D152)+6)&gt;YEAR(E152),1,(12-MONTH(E152)+1)/12))))-(IF((((K152)*(IF(M152="",L152,IFERROR(IF(INDEX(Variablen!$I:$AT, MATCH(M152, Variablen!$A:$A, 0), MATCH((YEAR(D152)+6), Variablen!$I$3:$AT$3, 0))="",L152,INDEX(Variablen!$I:$AT, MATCH(M152, Variablen!$A:$A, 0), MATCH((YEAR(D152)+6), Variablen!$I$3:$AT$3, 0))),L152)))*(IF((YEAR(D152)+6)&lt;YEAR(E152),0,IF((YEAR(D152)+6)&gt;YEAR(E152),1,(12-MONTH(E152)+1)/12))) + (Q152)*(IF((YEAR(D152)+6)&lt;YEAR(E152),0,IF((YEAR(D152)+6)&gt;YEAR(E152),1,(12-MONTH(E152)+1)/12))))-((P152)*(IF((YEAR(D152)+6)&lt;YEAR(E152),0,IF((YEAR(D152)+6)&gt;YEAR(E152),1,(12-MONTH(E152)+1)/12))) + (R152)*(IF((YEAR(D152)+6)&lt;YEAR(E152),0,IF((YEAR(D152)+6)&gt;YEAR(E152),1,(12-MONTH(E152)+1)/12))))-(IF(OR(N152="",N152&lt;=0),0,(O152/N152)*(IF(OR(N152="",N152&lt;=0),0,IF((YEAR(D152)+6)&lt;YEAR(E152),0,IF((YEAR(D152)+6)&gt;=YEAR(E152)+N152,0,IF((YEAR(D152)+6)=YEAR(E152),(12-MONTH(E152)+1)/12,1))))))))&gt;0,(((K152)*(IF(M152="",L152,IFERROR(IF(INDEX(Variablen!$I:$AT, MATCH(M152, Variablen!$A:$A, 0), MATCH((YEAR(D152)+6), Variablen!$I$3:$AT$3, 0))="",L152,INDEX(Variablen!$I:$AT, MATCH(M152, Variablen!$A:$A, 0), MATCH((YEAR(D152)+6), Variablen!$I$3:$AT$3, 0))),L152)))*(IF((YEAR(D152)+6)&lt;YEAR(E152),0,IF((YEAR(D152)+6)&gt;YEAR(E152),1,(12-MONTH(E152)+1)/12))) + (Q152)*(IF((YEAR(D152)+6)&lt;YEAR(E152),0,IF((YEAR(D152)+6)&gt;YEAR(E152),1,(12-MONTH(E152)+1)/12))))-((P152)*(IF((YEAR(D152)+6)&lt;YEAR(E152),0,IF((YEAR(D152)+6)&gt;YEAR(E152),1,(12-MONTH(E152)+1)/12))) + (R152)*(IF((YEAR(D152)+6)&lt;YEAR(E152),0,IF((YEAR(D152)+6)&gt;YEAR(E152),1,(12-MONTH(E152)+1)/12))))-(IF(OR(N152="",N152&lt;=0),0,(O152/N152)*(IF(OR(N152="",N152&lt;=0),0,IF((YEAR(D152)+6)&lt;YEAR(E152),0,IF((YEAR(D152)+6)&gt;=YEAR(E152)+N152,0,IF((YEAR(D152)+6)=YEAR(E152),(12-MONTH(E152)+1)/12,1))))))))*TaxRate,0))-IF(6=0,O152,0))</f>
        <v/>
      </c>
      <c r="Z152" s="29">
        <f>IF(A152="","",((K152)*(IF(M152="",L152,IFERROR(IF(INDEX(Variablen!$I:$AT, MATCH(M152, Variablen!$A:$A, 0), MATCH((YEAR(D152)+7), Variablen!$I$3:$AT$3, 0))="",L152,INDEX(Variablen!$I:$AT, MATCH(M152, Variablen!$A:$A, 0), MATCH((YEAR(D152)+7), Variablen!$I$3:$AT$3, 0))),L152)))*(IF((YEAR(D152)+7)&lt;YEAR(E152),0,IF((YEAR(D152)+7)&gt;YEAR(E152),1,(12-MONTH(E152)+1)/12))) + (Q152)*(IF((YEAR(D152)+7)&lt;YEAR(E152),0,IF((YEAR(D152)+7)&gt;YEAR(E152),1,(12-MONTH(E152)+1)/12))))-((P152)*(IF((YEAR(D152)+7)&lt;YEAR(E152),0,IF((YEAR(D152)+7)&gt;YEAR(E152),1,(12-MONTH(E152)+1)/12))) + (R152)*(IF((YEAR(D152)+7)&lt;YEAR(E152),0,IF((YEAR(D152)+7)&gt;YEAR(E152),1,(12-MONTH(E152)+1)/12))))-(IF((((K152)*(IF(M152="",L152,IFERROR(IF(INDEX(Variablen!$I:$AT, MATCH(M152, Variablen!$A:$A, 0), MATCH((YEAR(D152)+7), Variablen!$I$3:$AT$3, 0))="",L152,INDEX(Variablen!$I:$AT, MATCH(M152, Variablen!$A:$A, 0), MATCH((YEAR(D152)+7), Variablen!$I$3:$AT$3, 0))),L152)))*(IF((YEAR(D152)+7)&lt;YEAR(E152),0,IF((YEAR(D152)+7)&gt;YEAR(E152),1,(12-MONTH(E152)+1)/12))) + (Q152)*(IF((YEAR(D152)+7)&lt;YEAR(E152),0,IF((YEAR(D152)+7)&gt;YEAR(E152),1,(12-MONTH(E152)+1)/12))))-((P152)*(IF((YEAR(D152)+7)&lt;YEAR(E152),0,IF((YEAR(D152)+7)&gt;YEAR(E152),1,(12-MONTH(E152)+1)/12))) + (R152)*(IF((YEAR(D152)+7)&lt;YEAR(E152),0,IF((YEAR(D152)+7)&gt;YEAR(E152),1,(12-MONTH(E152)+1)/12))))-(IF(OR(N152="",N152&lt;=0),0,(O152/N152)*(IF(OR(N152="",N152&lt;=0),0,IF((YEAR(D152)+7)&lt;YEAR(E152),0,IF((YEAR(D152)+7)&gt;=YEAR(E152)+N152,0,IF((YEAR(D152)+7)=YEAR(E152),(12-MONTH(E152)+1)/12,1))))))))&gt;0,(((K152)*(IF(M152="",L152,IFERROR(IF(INDEX(Variablen!$I:$AT, MATCH(M152, Variablen!$A:$A, 0), MATCH((YEAR(D152)+7), Variablen!$I$3:$AT$3, 0))="",L152,INDEX(Variablen!$I:$AT, MATCH(M152, Variablen!$A:$A, 0), MATCH((YEAR(D152)+7), Variablen!$I$3:$AT$3, 0))),L152)))*(IF((YEAR(D152)+7)&lt;YEAR(E152),0,IF((YEAR(D152)+7)&gt;YEAR(E152),1,(12-MONTH(E152)+1)/12))) + (Q152)*(IF((YEAR(D152)+7)&lt;YEAR(E152),0,IF((YEAR(D152)+7)&gt;YEAR(E152),1,(12-MONTH(E152)+1)/12))))-((P152)*(IF((YEAR(D152)+7)&lt;YEAR(E152),0,IF((YEAR(D152)+7)&gt;YEAR(E152),1,(12-MONTH(E152)+1)/12))) + (R152)*(IF((YEAR(D152)+7)&lt;YEAR(E152),0,IF((YEAR(D152)+7)&gt;YEAR(E152),1,(12-MONTH(E152)+1)/12))))-(IF(OR(N152="",N152&lt;=0),0,(O152/N152)*(IF(OR(N152="",N152&lt;=0),0,IF((YEAR(D152)+7)&lt;YEAR(E152),0,IF((YEAR(D152)+7)&gt;=YEAR(E152)+N152,0,IF((YEAR(D152)+7)=YEAR(E152),(12-MONTH(E152)+1)/12,1))))))))*TaxRate,0))-IF(7=0,O152,0))</f>
        <v/>
      </c>
      <c r="AA152" s="29">
        <f>IF(A152="","",((K152)*(IF(M152="",L152,IFERROR(IF(INDEX(Variablen!$I:$AT, MATCH(M152, Variablen!$A:$A, 0), MATCH((YEAR(D152)+8), Variablen!$I$3:$AT$3, 0))="",L152,INDEX(Variablen!$I:$AT, MATCH(M152, Variablen!$A:$A, 0), MATCH((YEAR(D152)+8), Variablen!$I$3:$AT$3, 0))),L152)))*(IF((YEAR(D152)+8)&lt;YEAR(E152),0,IF((YEAR(D152)+8)&gt;YEAR(E152),1,(12-MONTH(E152)+1)/12))) + (Q152)*(IF((YEAR(D152)+8)&lt;YEAR(E152),0,IF((YEAR(D152)+8)&gt;YEAR(E152),1,(12-MONTH(E152)+1)/12))))-((P152)*(IF((YEAR(D152)+8)&lt;YEAR(E152),0,IF((YEAR(D152)+8)&gt;YEAR(E152),1,(12-MONTH(E152)+1)/12))) + (R152)*(IF((YEAR(D152)+8)&lt;YEAR(E152),0,IF((YEAR(D152)+8)&gt;YEAR(E152),1,(12-MONTH(E152)+1)/12))))-(IF((((K152)*(IF(M152="",L152,IFERROR(IF(INDEX(Variablen!$I:$AT, MATCH(M152, Variablen!$A:$A, 0), MATCH((YEAR(D152)+8), Variablen!$I$3:$AT$3, 0))="",L152,INDEX(Variablen!$I:$AT, MATCH(M152, Variablen!$A:$A, 0), MATCH((YEAR(D152)+8), Variablen!$I$3:$AT$3, 0))),L152)))*(IF((YEAR(D152)+8)&lt;YEAR(E152),0,IF((YEAR(D152)+8)&gt;YEAR(E152),1,(12-MONTH(E152)+1)/12))) + (Q152)*(IF((YEAR(D152)+8)&lt;YEAR(E152),0,IF((YEAR(D152)+8)&gt;YEAR(E152),1,(12-MONTH(E152)+1)/12))))-((P152)*(IF((YEAR(D152)+8)&lt;YEAR(E152),0,IF((YEAR(D152)+8)&gt;YEAR(E152),1,(12-MONTH(E152)+1)/12))) + (R152)*(IF((YEAR(D152)+8)&lt;YEAR(E152),0,IF((YEAR(D152)+8)&gt;YEAR(E152),1,(12-MONTH(E152)+1)/12))))-(IF(OR(N152="",N152&lt;=0),0,(O152/N152)*(IF(OR(N152="",N152&lt;=0),0,IF((YEAR(D152)+8)&lt;YEAR(E152),0,IF((YEAR(D152)+8)&gt;=YEAR(E152)+N152,0,IF((YEAR(D152)+8)=YEAR(E152),(12-MONTH(E152)+1)/12,1))))))))&gt;0,(((K152)*(IF(M152="",L152,IFERROR(IF(INDEX(Variablen!$I:$AT, MATCH(M152, Variablen!$A:$A, 0), MATCH((YEAR(D152)+8), Variablen!$I$3:$AT$3, 0))="",L152,INDEX(Variablen!$I:$AT, MATCH(M152, Variablen!$A:$A, 0), MATCH((YEAR(D152)+8), Variablen!$I$3:$AT$3, 0))),L152)))*(IF((YEAR(D152)+8)&lt;YEAR(E152),0,IF((YEAR(D152)+8)&gt;YEAR(E152),1,(12-MONTH(E152)+1)/12))) + (Q152)*(IF((YEAR(D152)+8)&lt;YEAR(E152),0,IF((YEAR(D152)+8)&gt;YEAR(E152),1,(12-MONTH(E152)+1)/12))))-((P152)*(IF((YEAR(D152)+8)&lt;YEAR(E152),0,IF((YEAR(D152)+8)&gt;YEAR(E152),1,(12-MONTH(E152)+1)/12))) + (R152)*(IF((YEAR(D152)+8)&lt;YEAR(E152),0,IF((YEAR(D152)+8)&gt;YEAR(E152),1,(12-MONTH(E152)+1)/12))))-(IF(OR(N152="",N152&lt;=0),0,(O152/N152)*(IF(OR(N152="",N152&lt;=0),0,IF((YEAR(D152)+8)&lt;YEAR(E152),0,IF((YEAR(D152)+8)&gt;=YEAR(E152)+N152,0,IF((YEAR(D152)+8)=YEAR(E152),(12-MONTH(E152)+1)/12,1))))))))*TaxRate,0))-IF(8=0,O152,0))</f>
        <v/>
      </c>
      <c r="AB152" s="29">
        <f>IF(A152="","",((K152)*(IF(M152="",L152,IFERROR(IF(INDEX(Variablen!$I:$AT, MATCH(M152, Variablen!$A:$A, 0), MATCH((YEAR(D152)+9), Variablen!$I$3:$AT$3, 0))="",L152,INDEX(Variablen!$I:$AT, MATCH(M152, Variablen!$A:$A, 0), MATCH((YEAR(D152)+9), Variablen!$I$3:$AT$3, 0))),L152)))*(IF((YEAR(D152)+9)&lt;YEAR(E152),0,IF((YEAR(D152)+9)&gt;YEAR(E152),1,(12-MONTH(E152)+1)/12))) + (Q152)*(IF((YEAR(D152)+9)&lt;YEAR(E152),0,IF((YEAR(D152)+9)&gt;YEAR(E152),1,(12-MONTH(E152)+1)/12))))-((P152)*(IF((YEAR(D152)+9)&lt;YEAR(E152),0,IF((YEAR(D152)+9)&gt;YEAR(E152),1,(12-MONTH(E152)+1)/12))) + (R152)*(IF((YEAR(D152)+9)&lt;YEAR(E152),0,IF((YEAR(D152)+9)&gt;YEAR(E152),1,(12-MONTH(E152)+1)/12))))-(IF((((K152)*(IF(M152="",L152,IFERROR(IF(INDEX(Variablen!$I:$AT, MATCH(M152, Variablen!$A:$A, 0), MATCH((YEAR(D152)+9), Variablen!$I$3:$AT$3, 0))="",L152,INDEX(Variablen!$I:$AT, MATCH(M152, Variablen!$A:$A, 0), MATCH((YEAR(D152)+9), Variablen!$I$3:$AT$3, 0))),L152)))*(IF((YEAR(D152)+9)&lt;YEAR(E152),0,IF((YEAR(D152)+9)&gt;YEAR(E152),1,(12-MONTH(E152)+1)/12))) + (Q152)*(IF((YEAR(D152)+9)&lt;YEAR(E152),0,IF((YEAR(D152)+9)&gt;YEAR(E152),1,(12-MONTH(E152)+1)/12))))-((P152)*(IF((YEAR(D152)+9)&lt;YEAR(E152),0,IF((YEAR(D152)+9)&gt;YEAR(E152),1,(12-MONTH(E152)+1)/12))) + (R152)*(IF((YEAR(D152)+9)&lt;YEAR(E152),0,IF((YEAR(D152)+9)&gt;YEAR(E152),1,(12-MONTH(E152)+1)/12))))-(IF(OR(N152="",N152&lt;=0),0,(O152/N152)*(IF(OR(N152="",N152&lt;=0),0,IF((YEAR(D152)+9)&lt;YEAR(E152),0,IF((YEAR(D152)+9)&gt;=YEAR(E152)+N152,0,IF((YEAR(D152)+9)=YEAR(E152),(12-MONTH(E152)+1)/12,1))))))))&gt;0,(((K152)*(IF(M152="",L152,IFERROR(IF(INDEX(Variablen!$I:$AT, MATCH(M152, Variablen!$A:$A, 0), MATCH((YEAR(D152)+9), Variablen!$I$3:$AT$3, 0))="",L152,INDEX(Variablen!$I:$AT, MATCH(M152, Variablen!$A:$A, 0), MATCH((YEAR(D152)+9), Variablen!$I$3:$AT$3, 0))),L152)))*(IF((YEAR(D152)+9)&lt;YEAR(E152),0,IF((YEAR(D152)+9)&gt;YEAR(E152),1,(12-MONTH(E152)+1)/12))) + (Q152)*(IF((YEAR(D152)+9)&lt;YEAR(E152),0,IF((YEAR(D152)+9)&gt;YEAR(E152),1,(12-MONTH(E152)+1)/12))))-((P152)*(IF((YEAR(D152)+9)&lt;YEAR(E152),0,IF((YEAR(D152)+9)&gt;YEAR(E152),1,(12-MONTH(E152)+1)/12))) + (R152)*(IF((YEAR(D152)+9)&lt;YEAR(E152),0,IF((YEAR(D152)+9)&gt;YEAR(E152),1,(12-MONTH(E152)+1)/12))))-(IF(OR(N152="",N152&lt;=0),0,(O152/N152)*(IF(OR(N152="",N152&lt;=0),0,IF((YEAR(D152)+9)&lt;YEAR(E152),0,IF((YEAR(D152)+9)&gt;=YEAR(E152)+N152,0,IF((YEAR(D152)+9)=YEAR(E152),(12-MONTH(E152)+1)/12,1))))))))*TaxRate,0))-IF(9=0,O152,0))</f>
        <v/>
      </c>
      <c r="AC152" s="29">
        <f>IF(A152="","",((K152)*(IF(M152="",L152,IFERROR(IF(INDEX(Variablen!$I:$AT, MATCH(M152, Variablen!$A:$A, 0), MATCH((YEAR(D152)+10), Variablen!$I$3:$AT$3, 0))="",L152,INDEX(Variablen!$I:$AT, MATCH(M152, Variablen!$A:$A, 0), MATCH((YEAR(D152)+10), Variablen!$I$3:$AT$3, 0))),L152)))*(IF((YEAR(D152)+10)&lt;YEAR(E152),0,IF((YEAR(D152)+10)&gt;YEAR(E152),1,(12-MONTH(E152)+1)/12))) + (Q152)*(IF((YEAR(D152)+10)&lt;YEAR(E152),0,IF((YEAR(D152)+10)&gt;YEAR(E152),1,(12-MONTH(E152)+1)/12))))-((P152)*(IF((YEAR(D152)+10)&lt;YEAR(E152),0,IF((YEAR(D152)+10)&gt;YEAR(E152),1,(12-MONTH(E152)+1)/12))) + (R152)*(IF((YEAR(D152)+10)&lt;YEAR(E152),0,IF((YEAR(D152)+10)&gt;YEAR(E152),1,(12-MONTH(E152)+1)/12))))-(IF((((K152)*(IF(M152="",L152,IFERROR(IF(INDEX(Variablen!$I:$AT, MATCH(M152, Variablen!$A:$A, 0), MATCH((YEAR(D152)+10), Variablen!$I$3:$AT$3, 0))="",L152,INDEX(Variablen!$I:$AT, MATCH(M152, Variablen!$A:$A, 0), MATCH((YEAR(D152)+10), Variablen!$I$3:$AT$3, 0))),L152)))*(IF((YEAR(D152)+10)&lt;YEAR(E152),0,IF((YEAR(D152)+10)&gt;YEAR(E152),1,(12-MONTH(E152)+1)/12))) + (Q152)*(IF((YEAR(D152)+10)&lt;YEAR(E152),0,IF((YEAR(D152)+10)&gt;YEAR(E152),1,(12-MONTH(E152)+1)/12))))-((P152)*(IF((YEAR(D152)+10)&lt;YEAR(E152),0,IF((YEAR(D152)+10)&gt;YEAR(E152),1,(12-MONTH(E152)+1)/12))) + (R152)*(IF((YEAR(D152)+10)&lt;YEAR(E152),0,IF((YEAR(D152)+10)&gt;YEAR(E152),1,(12-MONTH(E152)+1)/12))))-(IF(OR(N152="",N152&lt;=0),0,(O152/N152)*(IF(OR(N152="",N152&lt;=0),0,IF((YEAR(D152)+10)&lt;YEAR(E152),0,IF((YEAR(D152)+10)&gt;=YEAR(E152)+N152,0,IF((YEAR(D152)+10)=YEAR(E152),(12-MONTH(E152)+1)/12,1))))))))&gt;0,(((K152)*(IF(M152="",L152,IFERROR(IF(INDEX(Variablen!$I:$AT, MATCH(M152, Variablen!$A:$A, 0), MATCH((YEAR(D152)+10), Variablen!$I$3:$AT$3, 0))="",L152,INDEX(Variablen!$I:$AT, MATCH(M152, Variablen!$A:$A, 0), MATCH((YEAR(D152)+10), Variablen!$I$3:$AT$3, 0))),L152)))*(IF((YEAR(D152)+10)&lt;YEAR(E152),0,IF((YEAR(D152)+10)&gt;YEAR(E152),1,(12-MONTH(E152)+1)/12))) + (Q152)*(IF((YEAR(D152)+10)&lt;YEAR(E152),0,IF((YEAR(D152)+10)&gt;YEAR(E152),1,(12-MONTH(E152)+1)/12))))-((P152)*(IF((YEAR(D152)+10)&lt;YEAR(E152),0,IF((YEAR(D152)+10)&gt;YEAR(E152),1,(12-MONTH(E152)+1)/12))) + (R152)*(IF((YEAR(D152)+10)&lt;YEAR(E152),0,IF((YEAR(D152)+10)&gt;YEAR(E152),1,(12-MONTH(E152)+1)/12))))-(IF(OR(N152="",N152&lt;=0),0,(O152/N152)*(IF(OR(N152="",N152&lt;=0),0,IF((YEAR(D152)+10)&lt;YEAR(E152),0,IF((YEAR(D152)+10)&gt;=YEAR(E152)+N152,0,IF((YEAR(D152)+10)=YEAR(E152),(12-MONTH(E152)+1)/12,1))))))))*TaxRate,0))-IF(10=0,O152,0))</f>
        <v/>
      </c>
      <c r="AD152" s="29">
        <f>IF(A152="","",((K152)*(IF(M152="",L152,IFERROR(IF(INDEX(Variablen!$I:$AT, MATCH(M152, Variablen!$A:$A, 0), MATCH((YEAR(D152)+11), Variablen!$I$3:$AT$3, 0))="",L152,INDEX(Variablen!$I:$AT, MATCH(M152, Variablen!$A:$A, 0), MATCH((YEAR(D152)+11), Variablen!$I$3:$AT$3, 0))),L152)))*(IF((YEAR(D152)+11)&lt;YEAR(E152),0,IF((YEAR(D152)+11)&gt;YEAR(E152),1,(12-MONTH(E152)+1)/12))) + (Q152)*(IF((YEAR(D152)+11)&lt;YEAR(E152),0,IF((YEAR(D152)+11)&gt;YEAR(E152),1,(12-MONTH(E152)+1)/12))))-((P152)*(IF((YEAR(D152)+11)&lt;YEAR(E152),0,IF((YEAR(D152)+11)&gt;YEAR(E152),1,(12-MONTH(E152)+1)/12))) + (R152)*(IF((YEAR(D152)+11)&lt;YEAR(E152),0,IF((YEAR(D152)+11)&gt;YEAR(E152),1,(12-MONTH(E152)+1)/12))))-(IF((((K152)*(IF(M152="",L152,IFERROR(IF(INDEX(Variablen!$I:$AT, MATCH(M152, Variablen!$A:$A, 0), MATCH((YEAR(D152)+11), Variablen!$I$3:$AT$3, 0))="",L152,INDEX(Variablen!$I:$AT, MATCH(M152, Variablen!$A:$A, 0), MATCH((YEAR(D152)+11), Variablen!$I$3:$AT$3, 0))),L152)))*(IF((YEAR(D152)+11)&lt;YEAR(E152),0,IF((YEAR(D152)+11)&gt;YEAR(E152),1,(12-MONTH(E152)+1)/12))) + (Q152)*(IF((YEAR(D152)+11)&lt;YEAR(E152),0,IF((YEAR(D152)+11)&gt;YEAR(E152),1,(12-MONTH(E152)+1)/12))))-((P152)*(IF((YEAR(D152)+11)&lt;YEAR(E152),0,IF((YEAR(D152)+11)&gt;YEAR(E152),1,(12-MONTH(E152)+1)/12))) + (R152)*(IF((YEAR(D152)+11)&lt;YEAR(E152),0,IF((YEAR(D152)+11)&gt;YEAR(E152),1,(12-MONTH(E152)+1)/12))))-(IF(OR(N152="",N152&lt;=0),0,(O152/N152)*(IF(OR(N152="",N152&lt;=0),0,IF((YEAR(D152)+11)&lt;YEAR(E152),0,IF((YEAR(D152)+11)&gt;=YEAR(E152)+N152,0,IF((YEAR(D152)+11)=YEAR(E152),(12-MONTH(E152)+1)/12,1))))))))&gt;0,(((K152)*(IF(M152="",L152,IFERROR(IF(INDEX(Variablen!$I:$AT, MATCH(M152, Variablen!$A:$A, 0), MATCH((YEAR(D152)+11), Variablen!$I$3:$AT$3, 0))="",L152,INDEX(Variablen!$I:$AT, MATCH(M152, Variablen!$A:$A, 0), MATCH((YEAR(D152)+11), Variablen!$I$3:$AT$3, 0))),L152)))*(IF((YEAR(D152)+11)&lt;YEAR(E152),0,IF((YEAR(D152)+11)&gt;YEAR(E152),1,(12-MONTH(E152)+1)/12))) + (Q152)*(IF((YEAR(D152)+11)&lt;YEAR(E152),0,IF((YEAR(D152)+11)&gt;YEAR(E152),1,(12-MONTH(E152)+1)/12))))-((P152)*(IF((YEAR(D152)+11)&lt;YEAR(E152),0,IF((YEAR(D152)+11)&gt;YEAR(E152),1,(12-MONTH(E152)+1)/12))) + (R152)*(IF((YEAR(D152)+11)&lt;YEAR(E152),0,IF((YEAR(D152)+11)&gt;YEAR(E152),1,(12-MONTH(E152)+1)/12))))-(IF(OR(N152="",N152&lt;=0),0,(O152/N152)*(IF(OR(N152="",N152&lt;=0),0,IF((YEAR(D152)+11)&lt;YEAR(E152),0,IF((YEAR(D152)+11)&gt;=YEAR(E152)+N152,0,IF((YEAR(D152)+11)=YEAR(E152),(12-MONTH(E152)+1)/12,1))))))))*TaxRate,0))-IF(11=0,O152,0))</f>
        <v/>
      </c>
      <c r="AE152" s="29">
        <f>IF(A152="","",((K152)*(IF(M152="",L152,IFERROR(IF(INDEX(Variablen!$I:$AT, MATCH(M152, Variablen!$A:$A, 0), MATCH((YEAR(D152)+12), Variablen!$I$3:$AT$3, 0))="",L152,INDEX(Variablen!$I:$AT, MATCH(M152, Variablen!$A:$A, 0), MATCH((YEAR(D152)+12), Variablen!$I$3:$AT$3, 0))),L152)))*(IF((YEAR(D152)+12)&lt;YEAR(E152),0,IF((YEAR(D152)+12)&gt;YEAR(E152),1,(12-MONTH(E152)+1)/12))) + (Q152)*(IF((YEAR(D152)+12)&lt;YEAR(E152),0,IF((YEAR(D152)+12)&gt;YEAR(E152),1,(12-MONTH(E152)+1)/12))))-((P152)*(IF((YEAR(D152)+12)&lt;YEAR(E152),0,IF((YEAR(D152)+12)&gt;YEAR(E152),1,(12-MONTH(E152)+1)/12))) + (R152)*(IF((YEAR(D152)+12)&lt;YEAR(E152),0,IF((YEAR(D152)+12)&gt;YEAR(E152),1,(12-MONTH(E152)+1)/12))))-(IF((((K152)*(IF(M152="",L152,IFERROR(IF(INDEX(Variablen!$I:$AT, MATCH(M152, Variablen!$A:$A, 0), MATCH((YEAR(D152)+12), Variablen!$I$3:$AT$3, 0))="",L152,INDEX(Variablen!$I:$AT, MATCH(M152, Variablen!$A:$A, 0), MATCH((YEAR(D152)+12), Variablen!$I$3:$AT$3, 0))),L152)))*(IF((YEAR(D152)+12)&lt;YEAR(E152),0,IF((YEAR(D152)+12)&gt;YEAR(E152),1,(12-MONTH(E152)+1)/12))) + (Q152)*(IF((YEAR(D152)+12)&lt;YEAR(E152),0,IF((YEAR(D152)+12)&gt;YEAR(E152),1,(12-MONTH(E152)+1)/12))))-((P152)*(IF((YEAR(D152)+12)&lt;YEAR(E152),0,IF((YEAR(D152)+12)&gt;YEAR(E152),1,(12-MONTH(E152)+1)/12))) + (R152)*(IF((YEAR(D152)+12)&lt;YEAR(E152),0,IF((YEAR(D152)+12)&gt;YEAR(E152),1,(12-MONTH(E152)+1)/12))))-(IF(OR(N152="",N152&lt;=0),0,(O152/N152)*(IF(OR(N152="",N152&lt;=0),0,IF((YEAR(D152)+12)&lt;YEAR(E152),0,IF((YEAR(D152)+12)&gt;=YEAR(E152)+N152,0,IF((YEAR(D152)+12)=YEAR(E152),(12-MONTH(E152)+1)/12,1))))))))&gt;0,(((K152)*(IF(M152="",L152,IFERROR(IF(INDEX(Variablen!$I:$AT, MATCH(M152, Variablen!$A:$A, 0), MATCH((YEAR(D152)+12), Variablen!$I$3:$AT$3, 0))="",L152,INDEX(Variablen!$I:$AT, MATCH(M152, Variablen!$A:$A, 0), MATCH((YEAR(D152)+12), Variablen!$I$3:$AT$3, 0))),L152)))*(IF((YEAR(D152)+12)&lt;YEAR(E152),0,IF((YEAR(D152)+12)&gt;YEAR(E152),1,(12-MONTH(E152)+1)/12))) + (Q152)*(IF((YEAR(D152)+12)&lt;YEAR(E152),0,IF((YEAR(D152)+12)&gt;YEAR(E152),1,(12-MONTH(E152)+1)/12))))-((P152)*(IF((YEAR(D152)+12)&lt;YEAR(E152),0,IF((YEAR(D152)+12)&gt;YEAR(E152),1,(12-MONTH(E152)+1)/12))) + (R152)*(IF((YEAR(D152)+12)&lt;YEAR(E152),0,IF((YEAR(D152)+12)&gt;YEAR(E152),1,(12-MONTH(E152)+1)/12))))-(IF(OR(N152="",N152&lt;=0),0,(O152/N152)*(IF(OR(N152="",N152&lt;=0),0,IF((YEAR(D152)+12)&lt;YEAR(E152),0,IF((YEAR(D152)+12)&gt;=YEAR(E152)+N152,0,IF((YEAR(D152)+12)=YEAR(E152),(12-MONTH(E152)+1)/12,1))))))))*TaxRate,0))-IF(12=0,O152,0))</f>
        <v/>
      </c>
      <c r="AF152" s="29">
        <f>IF(A152="","",((K152)*(IF(M152="",L152,IFERROR(IF(INDEX(Variablen!$I:$AT, MATCH(M152, Variablen!$A:$A, 0), MATCH((YEAR(D152)+13), Variablen!$I$3:$AT$3, 0))="",L152,INDEX(Variablen!$I:$AT, MATCH(M152, Variablen!$A:$A, 0), MATCH((YEAR(D152)+13), Variablen!$I$3:$AT$3, 0))),L152)))*(IF((YEAR(D152)+13)&lt;YEAR(E152),0,IF((YEAR(D152)+13)&gt;YEAR(E152),1,(12-MONTH(E152)+1)/12))) + (Q152)*(IF((YEAR(D152)+13)&lt;YEAR(E152),0,IF((YEAR(D152)+13)&gt;YEAR(E152),1,(12-MONTH(E152)+1)/12))))-((P152)*(IF((YEAR(D152)+13)&lt;YEAR(E152),0,IF((YEAR(D152)+13)&gt;YEAR(E152),1,(12-MONTH(E152)+1)/12))) + (R152)*(IF((YEAR(D152)+13)&lt;YEAR(E152),0,IF((YEAR(D152)+13)&gt;YEAR(E152),1,(12-MONTH(E152)+1)/12))))-(IF((((K152)*(IF(M152="",L152,IFERROR(IF(INDEX(Variablen!$I:$AT, MATCH(M152, Variablen!$A:$A, 0), MATCH((YEAR(D152)+13), Variablen!$I$3:$AT$3, 0))="",L152,INDEX(Variablen!$I:$AT, MATCH(M152, Variablen!$A:$A, 0), MATCH((YEAR(D152)+13), Variablen!$I$3:$AT$3, 0))),L152)))*(IF((YEAR(D152)+13)&lt;YEAR(E152),0,IF((YEAR(D152)+13)&gt;YEAR(E152),1,(12-MONTH(E152)+1)/12))) + (Q152)*(IF((YEAR(D152)+13)&lt;YEAR(E152),0,IF((YEAR(D152)+13)&gt;YEAR(E152),1,(12-MONTH(E152)+1)/12))))-((P152)*(IF((YEAR(D152)+13)&lt;YEAR(E152),0,IF((YEAR(D152)+13)&gt;YEAR(E152),1,(12-MONTH(E152)+1)/12))) + (R152)*(IF((YEAR(D152)+13)&lt;YEAR(E152),0,IF((YEAR(D152)+13)&gt;YEAR(E152),1,(12-MONTH(E152)+1)/12))))-(IF(OR(N152="",N152&lt;=0),0,(O152/N152)*(IF(OR(N152="",N152&lt;=0),0,IF((YEAR(D152)+13)&lt;YEAR(E152),0,IF((YEAR(D152)+13)&gt;=YEAR(E152)+N152,0,IF((YEAR(D152)+13)=YEAR(E152),(12-MONTH(E152)+1)/12,1))))))))&gt;0,(((K152)*(IF(M152="",L152,IFERROR(IF(INDEX(Variablen!$I:$AT, MATCH(M152, Variablen!$A:$A, 0), MATCH((YEAR(D152)+13), Variablen!$I$3:$AT$3, 0))="",L152,INDEX(Variablen!$I:$AT, MATCH(M152, Variablen!$A:$A, 0), MATCH((YEAR(D152)+13), Variablen!$I$3:$AT$3, 0))),L152)))*(IF((YEAR(D152)+13)&lt;YEAR(E152),0,IF((YEAR(D152)+13)&gt;YEAR(E152),1,(12-MONTH(E152)+1)/12))) + (Q152)*(IF((YEAR(D152)+13)&lt;YEAR(E152),0,IF((YEAR(D152)+13)&gt;YEAR(E152),1,(12-MONTH(E152)+1)/12))))-((P152)*(IF((YEAR(D152)+13)&lt;YEAR(E152),0,IF((YEAR(D152)+13)&gt;YEAR(E152),1,(12-MONTH(E152)+1)/12))) + (R152)*(IF((YEAR(D152)+13)&lt;YEAR(E152),0,IF((YEAR(D152)+13)&gt;YEAR(E152),1,(12-MONTH(E152)+1)/12))))-(IF(OR(N152="",N152&lt;=0),0,(O152/N152)*(IF(OR(N152="",N152&lt;=0),0,IF((YEAR(D152)+13)&lt;YEAR(E152),0,IF((YEAR(D152)+13)&gt;=YEAR(E152)+N152,0,IF((YEAR(D152)+13)=YEAR(E152),(12-MONTH(E152)+1)/12,1))))))))*TaxRate,0))-IF(13=0,O152,0))</f>
        <v/>
      </c>
      <c r="AG152" s="29">
        <f>IF(A152="","",((K152)*(IF(M152="",L152,IFERROR(IF(INDEX(Variablen!$I:$AT, MATCH(M152, Variablen!$A:$A, 0), MATCH((YEAR(D152)+14), Variablen!$I$3:$AT$3, 0))="",L152,INDEX(Variablen!$I:$AT, MATCH(M152, Variablen!$A:$A, 0), MATCH((YEAR(D152)+14), Variablen!$I$3:$AT$3, 0))),L152)))*(IF((YEAR(D152)+14)&lt;YEAR(E152),0,IF((YEAR(D152)+14)&gt;YEAR(E152),1,(12-MONTH(E152)+1)/12))) + (Q152)*(IF((YEAR(D152)+14)&lt;YEAR(E152),0,IF((YEAR(D152)+14)&gt;YEAR(E152),1,(12-MONTH(E152)+1)/12))))-((P152)*(IF((YEAR(D152)+14)&lt;YEAR(E152),0,IF((YEAR(D152)+14)&gt;YEAR(E152),1,(12-MONTH(E152)+1)/12))) + (R152)*(IF((YEAR(D152)+14)&lt;YEAR(E152),0,IF((YEAR(D152)+14)&gt;YEAR(E152),1,(12-MONTH(E152)+1)/12))))-(IF((((K152)*(IF(M152="",L152,IFERROR(IF(INDEX(Variablen!$I:$AT, MATCH(M152, Variablen!$A:$A, 0), MATCH((YEAR(D152)+14), Variablen!$I$3:$AT$3, 0))="",L152,INDEX(Variablen!$I:$AT, MATCH(M152, Variablen!$A:$A, 0), MATCH((YEAR(D152)+14), Variablen!$I$3:$AT$3, 0))),L152)))*(IF((YEAR(D152)+14)&lt;YEAR(E152),0,IF((YEAR(D152)+14)&gt;YEAR(E152),1,(12-MONTH(E152)+1)/12))) + (Q152)*(IF((YEAR(D152)+14)&lt;YEAR(E152),0,IF((YEAR(D152)+14)&gt;YEAR(E152),1,(12-MONTH(E152)+1)/12))))-((P152)*(IF((YEAR(D152)+14)&lt;YEAR(E152),0,IF((YEAR(D152)+14)&gt;YEAR(E152),1,(12-MONTH(E152)+1)/12))) + (R152)*(IF((YEAR(D152)+14)&lt;YEAR(E152),0,IF((YEAR(D152)+14)&gt;YEAR(E152),1,(12-MONTH(E152)+1)/12))))-(IF(OR(N152="",N152&lt;=0),0,(O152/N152)*(IF(OR(N152="",N152&lt;=0),0,IF((YEAR(D152)+14)&lt;YEAR(E152),0,IF((YEAR(D152)+14)&gt;=YEAR(E152)+N152,0,IF((YEAR(D152)+14)=YEAR(E152),(12-MONTH(E152)+1)/12,1))))))))&gt;0,(((K152)*(IF(M152="",L152,IFERROR(IF(INDEX(Variablen!$I:$AT, MATCH(M152, Variablen!$A:$A, 0), MATCH((YEAR(D152)+14), Variablen!$I$3:$AT$3, 0))="",L152,INDEX(Variablen!$I:$AT, MATCH(M152, Variablen!$A:$A, 0), MATCH((YEAR(D152)+14), Variablen!$I$3:$AT$3, 0))),L152)))*(IF((YEAR(D152)+14)&lt;YEAR(E152),0,IF((YEAR(D152)+14)&gt;YEAR(E152),1,(12-MONTH(E152)+1)/12))) + (Q152)*(IF((YEAR(D152)+14)&lt;YEAR(E152),0,IF((YEAR(D152)+14)&gt;YEAR(E152),1,(12-MONTH(E152)+1)/12))))-((P152)*(IF((YEAR(D152)+14)&lt;YEAR(E152),0,IF((YEAR(D152)+14)&gt;YEAR(E152),1,(12-MONTH(E152)+1)/12))) + (R152)*(IF((YEAR(D152)+14)&lt;YEAR(E152),0,IF((YEAR(D152)+14)&gt;YEAR(E152),1,(12-MONTH(E152)+1)/12))))-(IF(OR(N152="",N152&lt;=0),0,(O152/N152)*(IF(OR(N152="",N152&lt;=0),0,IF((YEAR(D152)+14)&lt;YEAR(E152),0,IF((YEAR(D152)+14)&gt;=YEAR(E152)+N152,0,IF((YEAR(D152)+14)=YEAR(E152),(12-MONTH(E152)+1)/12,1))))))))*TaxRate,0))-IF(14=0,O152,0))</f>
        <v/>
      </c>
      <c r="AH152" s="29">
        <f>IF(A152="","",((K152)*(IF(M152="",L152,IFERROR(IF(INDEX(Variablen!$I:$AT, MATCH(M152, Variablen!$A:$A, 0), MATCH((YEAR(D152)+15), Variablen!$I$3:$AT$3, 0))="",L152,INDEX(Variablen!$I:$AT, MATCH(M152, Variablen!$A:$A, 0), MATCH((YEAR(D152)+15), Variablen!$I$3:$AT$3, 0))),L152)))*(IF((YEAR(D152)+15)&lt;YEAR(E152),0,IF((YEAR(D152)+15)&gt;YEAR(E152),1,(12-MONTH(E152)+1)/12))) + (Q152)*(IF((YEAR(D152)+15)&lt;YEAR(E152),0,IF((YEAR(D152)+15)&gt;YEAR(E152),1,(12-MONTH(E152)+1)/12))))-((P152)*(IF((YEAR(D152)+15)&lt;YEAR(E152),0,IF((YEAR(D152)+15)&gt;YEAR(E152),1,(12-MONTH(E152)+1)/12))) + (R152)*(IF((YEAR(D152)+15)&lt;YEAR(E152),0,IF((YEAR(D152)+15)&gt;YEAR(E152),1,(12-MONTH(E152)+1)/12))))-(IF((((K152)*(IF(M152="",L152,IFERROR(IF(INDEX(Variablen!$I:$AT, MATCH(M152, Variablen!$A:$A, 0), MATCH((YEAR(D152)+15), Variablen!$I$3:$AT$3, 0))="",L152,INDEX(Variablen!$I:$AT, MATCH(M152, Variablen!$A:$A, 0), MATCH((YEAR(D152)+15), Variablen!$I$3:$AT$3, 0))),L152)))*(IF((YEAR(D152)+15)&lt;YEAR(E152),0,IF((YEAR(D152)+15)&gt;YEAR(E152),1,(12-MONTH(E152)+1)/12))) + (Q152)*(IF((YEAR(D152)+15)&lt;YEAR(E152),0,IF((YEAR(D152)+15)&gt;YEAR(E152),1,(12-MONTH(E152)+1)/12))))-((P152)*(IF((YEAR(D152)+15)&lt;YEAR(E152),0,IF((YEAR(D152)+15)&gt;YEAR(E152),1,(12-MONTH(E152)+1)/12))) + (R152)*(IF((YEAR(D152)+15)&lt;YEAR(E152),0,IF((YEAR(D152)+15)&gt;YEAR(E152),1,(12-MONTH(E152)+1)/12))))-(IF(OR(N152="",N152&lt;=0),0,(O152/N152)*(IF(OR(N152="",N152&lt;=0),0,IF((YEAR(D152)+15)&lt;YEAR(E152),0,IF((YEAR(D152)+15)&gt;=YEAR(E152)+N152,0,IF((YEAR(D152)+15)=YEAR(E152),(12-MONTH(E152)+1)/12,1))))))))&gt;0,(((K152)*(IF(M152="",L152,IFERROR(IF(INDEX(Variablen!$I:$AT, MATCH(M152, Variablen!$A:$A, 0), MATCH((YEAR(D152)+15), Variablen!$I$3:$AT$3, 0))="",L152,INDEX(Variablen!$I:$AT, MATCH(M152, Variablen!$A:$A, 0), MATCH((YEAR(D152)+15), Variablen!$I$3:$AT$3, 0))),L152)))*(IF((YEAR(D152)+15)&lt;YEAR(E152),0,IF((YEAR(D152)+15)&gt;YEAR(E152),1,(12-MONTH(E152)+1)/12))) + (Q152)*(IF((YEAR(D152)+15)&lt;YEAR(E152),0,IF((YEAR(D152)+15)&gt;YEAR(E152),1,(12-MONTH(E152)+1)/12))))-((P152)*(IF((YEAR(D152)+15)&lt;YEAR(E152),0,IF((YEAR(D152)+15)&gt;YEAR(E152),1,(12-MONTH(E152)+1)/12))) + (R152)*(IF((YEAR(D152)+15)&lt;YEAR(E152),0,IF((YEAR(D152)+15)&gt;YEAR(E152),1,(12-MONTH(E152)+1)/12))))-(IF(OR(N152="",N152&lt;=0),0,(O152/N152)*(IF(OR(N152="",N152&lt;=0),0,IF((YEAR(D152)+15)&lt;YEAR(E152),0,IF((YEAR(D152)+15)&gt;=YEAR(E152)+N152,0,IF((YEAR(D152)+15)=YEAR(E152),(12-MONTH(E152)+1)/12,1))))))))*TaxRate,0))-IF(15=0,O152,0))</f>
        <v/>
      </c>
      <c r="AI152" s="29">
        <f>IF(A152="","",((K152)*(IF(M152="",L152,IFERROR(IF(INDEX(Variablen!$I:$AT, MATCH(M152, Variablen!$A:$A, 0), MATCH((YEAR(D152)+16), Variablen!$I$3:$AT$3, 0))="",L152,INDEX(Variablen!$I:$AT, MATCH(M152, Variablen!$A:$A, 0), MATCH((YEAR(D152)+16), Variablen!$I$3:$AT$3, 0))),L152)))*(IF((YEAR(D152)+16)&lt;YEAR(E152),0,IF((YEAR(D152)+16)&gt;YEAR(E152),1,(12-MONTH(E152)+1)/12))) + (Q152)*(IF((YEAR(D152)+16)&lt;YEAR(E152),0,IF((YEAR(D152)+16)&gt;YEAR(E152),1,(12-MONTH(E152)+1)/12))))-((P152)*(IF((YEAR(D152)+16)&lt;YEAR(E152),0,IF((YEAR(D152)+16)&gt;YEAR(E152),1,(12-MONTH(E152)+1)/12))) + (R152)*(IF((YEAR(D152)+16)&lt;YEAR(E152),0,IF((YEAR(D152)+16)&gt;YEAR(E152),1,(12-MONTH(E152)+1)/12))))-(IF((((K152)*(IF(M152="",L152,IFERROR(IF(INDEX(Variablen!$I:$AT, MATCH(M152, Variablen!$A:$A, 0), MATCH((YEAR(D152)+16), Variablen!$I$3:$AT$3, 0))="",L152,INDEX(Variablen!$I:$AT, MATCH(M152, Variablen!$A:$A, 0), MATCH((YEAR(D152)+16), Variablen!$I$3:$AT$3, 0))),L152)))*(IF((YEAR(D152)+16)&lt;YEAR(E152),0,IF((YEAR(D152)+16)&gt;YEAR(E152),1,(12-MONTH(E152)+1)/12))) + (Q152)*(IF((YEAR(D152)+16)&lt;YEAR(E152),0,IF((YEAR(D152)+16)&gt;YEAR(E152),1,(12-MONTH(E152)+1)/12))))-((P152)*(IF((YEAR(D152)+16)&lt;YEAR(E152),0,IF((YEAR(D152)+16)&gt;YEAR(E152),1,(12-MONTH(E152)+1)/12))) + (R152)*(IF((YEAR(D152)+16)&lt;YEAR(E152),0,IF((YEAR(D152)+16)&gt;YEAR(E152),1,(12-MONTH(E152)+1)/12))))-(IF(OR(N152="",N152&lt;=0),0,(O152/N152)*(IF(OR(N152="",N152&lt;=0),0,IF((YEAR(D152)+16)&lt;YEAR(E152),0,IF((YEAR(D152)+16)&gt;=YEAR(E152)+N152,0,IF((YEAR(D152)+16)=YEAR(E152),(12-MONTH(E152)+1)/12,1))))))))&gt;0,(((K152)*(IF(M152="",L152,IFERROR(IF(INDEX(Variablen!$I:$AT, MATCH(M152, Variablen!$A:$A, 0), MATCH((YEAR(D152)+16), Variablen!$I$3:$AT$3, 0))="",L152,INDEX(Variablen!$I:$AT, MATCH(M152, Variablen!$A:$A, 0), MATCH((YEAR(D152)+16), Variablen!$I$3:$AT$3, 0))),L152)))*(IF((YEAR(D152)+16)&lt;YEAR(E152),0,IF((YEAR(D152)+16)&gt;YEAR(E152),1,(12-MONTH(E152)+1)/12))) + (Q152)*(IF((YEAR(D152)+16)&lt;YEAR(E152),0,IF((YEAR(D152)+16)&gt;YEAR(E152),1,(12-MONTH(E152)+1)/12))))-((P152)*(IF((YEAR(D152)+16)&lt;YEAR(E152),0,IF((YEAR(D152)+16)&gt;YEAR(E152),1,(12-MONTH(E152)+1)/12))) + (R152)*(IF((YEAR(D152)+16)&lt;YEAR(E152),0,IF((YEAR(D152)+16)&gt;YEAR(E152),1,(12-MONTH(E152)+1)/12))))-(IF(OR(N152="",N152&lt;=0),0,(O152/N152)*(IF(OR(N152="",N152&lt;=0),0,IF((YEAR(D152)+16)&lt;YEAR(E152),0,IF((YEAR(D152)+16)&gt;=YEAR(E152)+N152,0,IF((YEAR(D152)+16)=YEAR(E152),(12-MONTH(E152)+1)/12,1))))))))*TaxRate,0))-IF(16=0,O152,0))</f>
        <v/>
      </c>
      <c r="AJ152" s="29">
        <f>IF(A152="","",((K152)*(IF(M152="",L152,IFERROR(IF(INDEX(Variablen!$I:$AT, MATCH(M152, Variablen!$A:$A, 0), MATCH((YEAR(D152)+17), Variablen!$I$3:$AT$3, 0))="",L152,INDEX(Variablen!$I:$AT, MATCH(M152, Variablen!$A:$A, 0), MATCH((YEAR(D152)+17), Variablen!$I$3:$AT$3, 0))),L152)))*(IF((YEAR(D152)+17)&lt;YEAR(E152),0,IF((YEAR(D152)+17)&gt;YEAR(E152),1,(12-MONTH(E152)+1)/12))) + (Q152)*(IF((YEAR(D152)+17)&lt;YEAR(E152),0,IF((YEAR(D152)+17)&gt;YEAR(E152),1,(12-MONTH(E152)+1)/12))))-((P152)*(IF((YEAR(D152)+17)&lt;YEAR(E152),0,IF((YEAR(D152)+17)&gt;YEAR(E152),1,(12-MONTH(E152)+1)/12))) + (R152)*(IF((YEAR(D152)+17)&lt;YEAR(E152),0,IF((YEAR(D152)+17)&gt;YEAR(E152),1,(12-MONTH(E152)+1)/12))))-(IF((((K152)*(IF(M152="",L152,IFERROR(IF(INDEX(Variablen!$I:$AT, MATCH(M152, Variablen!$A:$A, 0), MATCH((YEAR(D152)+17), Variablen!$I$3:$AT$3, 0))="",L152,INDEX(Variablen!$I:$AT, MATCH(M152, Variablen!$A:$A, 0), MATCH((YEAR(D152)+17), Variablen!$I$3:$AT$3, 0))),L152)))*(IF((YEAR(D152)+17)&lt;YEAR(E152),0,IF((YEAR(D152)+17)&gt;YEAR(E152),1,(12-MONTH(E152)+1)/12))) + (Q152)*(IF((YEAR(D152)+17)&lt;YEAR(E152),0,IF((YEAR(D152)+17)&gt;YEAR(E152),1,(12-MONTH(E152)+1)/12))))-((P152)*(IF((YEAR(D152)+17)&lt;YEAR(E152),0,IF((YEAR(D152)+17)&gt;YEAR(E152),1,(12-MONTH(E152)+1)/12))) + (R152)*(IF((YEAR(D152)+17)&lt;YEAR(E152),0,IF((YEAR(D152)+17)&gt;YEAR(E152),1,(12-MONTH(E152)+1)/12))))-(IF(OR(N152="",N152&lt;=0),0,(O152/N152)*(IF(OR(N152="",N152&lt;=0),0,IF((YEAR(D152)+17)&lt;YEAR(E152),0,IF((YEAR(D152)+17)&gt;=YEAR(E152)+N152,0,IF((YEAR(D152)+17)=YEAR(E152),(12-MONTH(E152)+1)/12,1))))))))&gt;0,(((K152)*(IF(M152="",L152,IFERROR(IF(INDEX(Variablen!$I:$AT, MATCH(M152, Variablen!$A:$A, 0), MATCH((YEAR(D152)+17), Variablen!$I$3:$AT$3, 0))="",L152,INDEX(Variablen!$I:$AT, MATCH(M152, Variablen!$A:$A, 0), MATCH((YEAR(D152)+17), Variablen!$I$3:$AT$3, 0))),L152)))*(IF((YEAR(D152)+17)&lt;YEAR(E152),0,IF((YEAR(D152)+17)&gt;YEAR(E152),1,(12-MONTH(E152)+1)/12))) + (Q152)*(IF((YEAR(D152)+17)&lt;YEAR(E152),0,IF((YEAR(D152)+17)&gt;YEAR(E152),1,(12-MONTH(E152)+1)/12))))-((P152)*(IF((YEAR(D152)+17)&lt;YEAR(E152),0,IF((YEAR(D152)+17)&gt;YEAR(E152),1,(12-MONTH(E152)+1)/12))) + (R152)*(IF((YEAR(D152)+17)&lt;YEAR(E152),0,IF((YEAR(D152)+17)&gt;YEAR(E152),1,(12-MONTH(E152)+1)/12))))-(IF(OR(N152="",N152&lt;=0),0,(O152/N152)*(IF(OR(N152="",N152&lt;=0),0,IF((YEAR(D152)+17)&lt;YEAR(E152),0,IF((YEAR(D152)+17)&gt;=YEAR(E152)+N152,0,IF((YEAR(D152)+17)=YEAR(E152),(12-MONTH(E152)+1)/12,1))))))))*TaxRate,0))-IF(17=0,O152,0))</f>
        <v/>
      </c>
      <c r="AK152" s="29">
        <f>IF(A152="","",((K152)*(IF(M152="",L152,IFERROR(IF(INDEX(Variablen!$I:$AT, MATCH(M152, Variablen!$A:$A, 0), MATCH((YEAR(D152)+18), Variablen!$I$3:$AT$3, 0))="",L152,INDEX(Variablen!$I:$AT, MATCH(M152, Variablen!$A:$A, 0), MATCH((YEAR(D152)+18), Variablen!$I$3:$AT$3, 0))),L152)))*(IF((YEAR(D152)+18)&lt;YEAR(E152),0,IF((YEAR(D152)+18)&gt;YEAR(E152),1,(12-MONTH(E152)+1)/12))) + (Q152)*(IF((YEAR(D152)+18)&lt;YEAR(E152),0,IF((YEAR(D152)+18)&gt;YEAR(E152),1,(12-MONTH(E152)+1)/12))))-((P152)*(IF((YEAR(D152)+18)&lt;YEAR(E152),0,IF((YEAR(D152)+18)&gt;YEAR(E152),1,(12-MONTH(E152)+1)/12))) + (R152)*(IF((YEAR(D152)+18)&lt;YEAR(E152),0,IF((YEAR(D152)+18)&gt;YEAR(E152),1,(12-MONTH(E152)+1)/12))))-(IF((((K152)*(IF(M152="",L152,IFERROR(IF(INDEX(Variablen!$I:$AT, MATCH(M152, Variablen!$A:$A, 0), MATCH((YEAR(D152)+18), Variablen!$I$3:$AT$3, 0))="",L152,INDEX(Variablen!$I:$AT, MATCH(M152, Variablen!$A:$A, 0), MATCH((YEAR(D152)+18), Variablen!$I$3:$AT$3, 0))),L152)))*(IF((YEAR(D152)+18)&lt;YEAR(E152),0,IF((YEAR(D152)+18)&gt;YEAR(E152),1,(12-MONTH(E152)+1)/12))) + (Q152)*(IF((YEAR(D152)+18)&lt;YEAR(E152),0,IF((YEAR(D152)+18)&gt;YEAR(E152),1,(12-MONTH(E152)+1)/12))))-((P152)*(IF((YEAR(D152)+18)&lt;YEAR(E152),0,IF((YEAR(D152)+18)&gt;YEAR(E152),1,(12-MONTH(E152)+1)/12))) + (R152)*(IF((YEAR(D152)+18)&lt;YEAR(E152),0,IF((YEAR(D152)+18)&gt;YEAR(E152),1,(12-MONTH(E152)+1)/12))))-(IF(OR(N152="",N152&lt;=0),0,(O152/N152)*(IF(OR(N152="",N152&lt;=0),0,IF((YEAR(D152)+18)&lt;YEAR(E152),0,IF((YEAR(D152)+18)&gt;=YEAR(E152)+N152,0,IF((YEAR(D152)+18)=YEAR(E152),(12-MONTH(E152)+1)/12,1))))))))&gt;0,(((K152)*(IF(M152="",L152,IFERROR(IF(INDEX(Variablen!$I:$AT, MATCH(M152, Variablen!$A:$A, 0), MATCH((YEAR(D152)+18), Variablen!$I$3:$AT$3, 0))="",L152,INDEX(Variablen!$I:$AT, MATCH(M152, Variablen!$A:$A, 0), MATCH((YEAR(D152)+18), Variablen!$I$3:$AT$3, 0))),L152)))*(IF((YEAR(D152)+18)&lt;YEAR(E152),0,IF((YEAR(D152)+18)&gt;YEAR(E152),1,(12-MONTH(E152)+1)/12))) + (Q152)*(IF((YEAR(D152)+18)&lt;YEAR(E152),0,IF((YEAR(D152)+18)&gt;YEAR(E152),1,(12-MONTH(E152)+1)/12))))-((P152)*(IF((YEAR(D152)+18)&lt;YEAR(E152),0,IF((YEAR(D152)+18)&gt;YEAR(E152),1,(12-MONTH(E152)+1)/12))) + (R152)*(IF((YEAR(D152)+18)&lt;YEAR(E152),0,IF((YEAR(D152)+18)&gt;YEAR(E152),1,(12-MONTH(E152)+1)/12))))-(IF(OR(N152="",N152&lt;=0),0,(O152/N152)*(IF(OR(N152="",N152&lt;=0),0,IF((YEAR(D152)+18)&lt;YEAR(E152),0,IF((YEAR(D152)+18)&gt;=YEAR(E152)+N152,0,IF((YEAR(D152)+18)=YEAR(E152),(12-MONTH(E152)+1)/12,1))))))))*TaxRate,0))-IF(18=0,O152,0))</f>
        <v/>
      </c>
      <c r="AL152" s="29">
        <f>IF(A152="","",((K152)*(IF(M152="",L152,IFERROR(IF(INDEX(Variablen!$I:$AT, MATCH(M152, Variablen!$A:$A, 0), MATCH((YEAR(D152)+19), Variablen!$I$3:$AT$3, 0))="",L152,INDEX(Variablen!$I:$AT, MATCH(M152, Variablen!$A:$A, 0), MATCH((YEAR(D152)+19), Variablen!$I$3:$AT$3, 0))),L152)))*(IF((YEAR(D152)+19)&lt;YEAR(E152),0,IF((YEAR(D152)+19)&gt;YEAR(E152),1,(12-MONTH(E152)+1)/12))) + (Q152)*(IF((YEAR(D152)+19)&lt;YEAR(E152),0,IF((YEAR(D152)+19)&gt;YEAR(E152),1,(12-MONTH(E152)+1)/12))))-((P152)*(IF((YEAR(D152)+19)&lt;YEAR(E152),0,IF((YEAR(D152)+19)&gt;YEAR(E152),1,(12-MONTH(E152)+1)/12))) + (R152)*(IF((YEAR(D152)+19)&lt;YEAR(E152),0,IF((YEAR(D152)+19)&gt;YEAR(E152),1,(12-MONTH(E152)+1)/12))))-(IF((((K152)*(IF(M152="",L152,IFERROR(IF(INDEX(Variablen!$I:$AT, MATCH(M152, Variablen!$A:$A, 0), MATCH((YEAR(D152)+19), Variablen!$I$3:$AT$3, 0))="",L152,INDEX(Variablen!$I:$AT, MATCH(M152, Variablen!$A:$A, 0), MATCH((YEAR(D152)+19), Variablen!$I$3:$AT$3, 0))),L152)))*(IF((YEAR(D152)+19)&lt;YEAR(E152),0,IF((YEAR(D152)+19)&gt;YEAR(E152),1,(12-MONTH(E152)+1)/12))) + (Q152)*(IF((YEAR(D152)+19)&lt;YEAR(E152),0,IF((YEAR(D152)+19)&gt;YEAR(E152),1,(12-MONTH(E152)+1)/12))))-((P152)*(IF((YEAR(D152)+19)&lt;YEAR(E152),0,IF((YEAR(D152)+19)&gt;YEAR(E152),1,(12-MONTH(E152)+1)/12))) + (R152)*(IF((YEAR(D152)+19)&lt;YEAR(E152),0,IF((YEAR(D152)+19)&gt;YEAR(E152),1,(12-MONTH(E152)+1)/12))))-(IF(OR(N152="",N152&lt;=0),0,(O152/N152)*(IF(OR(N152="",N152&lt;=0),0,IF((YEAR(D152)+19)&lt;YEAR(E152),0,IF((YEAR(D152)+19)&gt;=YEAR(E152)+N152,0,IF((YEAR(D152)+19)=YEAR(E152),(12-MONTH(E152)+1)/12,1))))))))&gt;0,(((K152)*(IF(M152="",L152,IFERROR(IF(INDEX(Variablen!$I:$AT, MATCH(M152, Variablen!$A:$A, 0), MATCH((YEAR(D152)+19), Variablen!$I$3:$AT$3, 0))="",L152,INDEX(Variablen!$I:$AT, MATCH(M152, Variablen!$A:$A, 0), MATCH((YEAR(D152)+19), Variablen!$I$3:$AT$3, 0))),L152)))*(IF((YEAR(D152)+19)&lt;YEAR(E152),0,IF((YEAR(D152)+19)&gt;YEAR(E152),1,(12-MONTH(E152)+1)/12))) + (Q152)*(IF((YEAR(D152)+19)&lt;YEAR(E152),0,IF((YEAR(D152)+19)&gt;YEAR(E152),1,(12-MONTH(E152)+1)/12))))-((P152)*(IF((YEAR(D152)+19)&lt;YEAR(E152),0,IF((YEAR(D152)+19)&gt;YEAR(E152),1,(12-MONTH(E152)+1)/12))) + (R152)*(IF((YEAR(D152)+19)&lt;YEAR(E152),0,IF((YEAR(D152)+19)&gt;YEAR(E152),1,(12-MONTH(E152)+1)/12))))-(IF(OR(N152="",N152&lt;=0),0,(O152/N152)*(IF(OR(N152="",N152&lt;=0),0,IF((YEAR(D152)+19)&lt;YEAR(E152),0,IF((YEAR(D152)+19)&gt;=YEAR(E152)+N152,0,IF((YEAR(D152)+19)=YEAR(E152),(12-MONTH(E152)+1)/12,1))))))))*TaxRate,0))-IF(19=0,O152,0))</f>
        <v/>
      </c>
      <c r="AM152" s="29">
        <f>IF(A152="","",((K152)*(IF(M152="",L152,IFERROR(IF(INDEX(Variablen!$I:$AT, MATCH(M152, Variablen!$A:$A, 0), MATCH((YEAR(D152)+20), Variablen!$I$3:$AT$3, 0))="",L152,INDEX(Variablen!$I:$AT, MATCH(M152, Variablen!$A:$A, 0), MATCH((YEAR(D152)+20), Variablen!$I$3:$AT$3, 0))),L152)))*(IF((YEAR(D152)+20)&lt;YEAR(E152),0,IF((YEAR(D152)+20)&gt;YEAR(E152),1,(12-MONTH(E152)+1)/12))) + (Q152)*(IF((YEAR(D152)+20)&lt;YEAR(E152),0,IF((YEAR(D152)+20)&gt;YEAR(E152),1,(12-MONTH(E152)+1)/12))))-((P152)*(IF((YEAR(D152)+20)&lt;YEAR(E152),0,IF((YEAR(D152)+20)&gt;YEAR(E152),1,(12-MONTH(E152)+1)/12))) + (R152)*(IF((YEAR(D152)+20)&lt;YEAR(E152),0,IF((YEAR(D152)+20)&gt;YEAR(E152),1,(12-MONTH(E152)+1)/12))))-(IF((((K152)*(IF(M152="",L152,IFERROR(IF(INDEX(Variablen!$I:$AT, MATCH(M152, Variablen!$A:$A, 0), MATCH((YEAR(D152)+20), Variablen!$I$3:$AT$3, 0))="",L152,INDEX(Variablen!$I:$AT, MATCH(M152, Variablen!$A:$A, 0), MATCH((YEAR(D152)+20), Variablen!$I$3:$AT$3, 0))),L152)))*(IF((YEAR(D152)+20)&lt;YEAR(E152),0,IF((YEAR(D152)+20)&gt;YEAR(E152),1,(12-MONTH(E152)+1)/12))) + (Q152)*(IF((YEAR(D152)+20)&lt;YEAR(E152),0,IF((YEAR(D152)+20)&gt;YEAR(E152),1,(12-MONTH(E152)+1)/12))))-((P152)*(IF((YEAR(D152)+20)&lt;YEAR(E152),0,IF((YEAR(D152)+20)&gt;YEAR(E152),1,(12-MONTH(E152)+1)/12))) + (R152)*(IF((YEAR(D152)+20)&lt;YEAR(E152),0,IF((YEAR(D152)+20)&gt;YEAR(E152),1,(12-MONTH(E152)+1)/12))))-(IF(OR(N152="",N152&lt;=0),0,(O152/N152)*(IF(OR(N152="",N152&lt;=0),0,IF((YEAR(D152)+20)&lt;YEAR(E152),0,IF((YEAR(D152)+20)&gt;=YEAR(E152)+N152,0,IF((YEAR(D152)+20)=YEAR(E152),(12-MONTH(E152)+1)/12,1))))))))&gt;0,(((K152)*(IF(M152="",L152,IFERROR(IF(INDEX(Variablen!$I:$AT, MATCH(M152, Variablen!$A:$A, 0), MATCH((YEAR(D152)+20), Variablen!$I$3:$AT$3, 0))="",L152,INDEX(Variablen!$I:$AT, MATCH(M152, Variablen!$A:$A, 0), MATCH((YEAR(D152)+20), Variablen!$I$3:$AT$3, 0))),L152)))*(IF((YEAR(D152)+20)&lt;YEAR(E152),0,IF((YEAR(D152)+20)&gt;YEAR(E152),1,(12-MONTH(E152)+1)/12))) + (Q152)*(IF((YEAR(D152)+20)&lt;YEAR(E152),0,IF((YEAR(D152)+20)&gt;YEAR(E152),1,(12-MONTH(E152)+1)/12))))-((P152)*(IF((YEAR(D152)+20)&lt;YEAR(E152),0,IF((YEAR(D152)+20)&gt;YEAR(E152),1,(12-MONTH(E152)+1)/12))) + (R152)*(IF((YEAR(D152)+20)&lt;YEAR(E152),0,IF((YEAR(D152)+20)&gt;YEAR(E152),1,(12-MONTH(E152)+1)/12))))-(IF(OR(N152="",N152&lt;=0),0,(O152/N152)*(IF(OR(N152="",N152&lt;=0),0,IF((YEAR(D152)+20)&lt;YEAR(E152),0,IF((YEAR(D152)+20)&gt;=YEAR(E152)+N152,0,IF((YEAR(D152)+20)=YEAR(E152),(12-MONTH(E152)+1)/12,1))))))))*TaxRate,0))-IF(20=0,O152,0))</f>
        <v/>
      </c>
      <c r="AN152" s="29">
        <f>IF(A152="","",S152)</f>
        <v/>
      </c>
      <c r="AO152" s="29">
        <f>IF(A152="","",AN152+T152)</f>
        <v/>
      </c>
      <c r="AP152" s="29">
        <f>IF(A152="","",AO152+U152)</f>
        <v/>
      </c>
      <c r="AQ152" s="29">
        <f>IF(A152="","",AP152+V152)</f>
        <v/>
      </c>
      <c r="AR152" s="29">
        <f>IF(A152="","",AQ152+W152)</f>
        <v/>
      </c>
      <c r="AS152" s="29">
        <f>IF(A152="","",AR152+X152)</f>
        <v/>
      </c>
      <c r="AT152" s="29">
        <f>IF(A152="","",AS152+Y152)</f>
        <v/>
      </c>
      <c r="AU152" s="29">
        <f>IF(A152="","",AT152+Z152)</f>
        <v/>
      </c>
      <c r="AV152" s="29">
        <f>IF(A152="","",AU152+AA152)</f>
        <v/>
      </c>
      <c r="AW152" s="29">
        <f>IF(A152="","",AV152+AB152)</f>
        <v/>
      </c>
      <c r="AX152" s="29">
        <f>IF(A152="","",AW152+AC152)</f>
        <v/>
      </c>
      <c r="AY152" s="29">
        <f>IF(A152="","",AX152+AD152)</f>
        <v/>
      </c>
      <c r="AZ152" s="29">
        <f>IF(A152="","",AY152+AE152)</f>
        <v/>
      </c>
      <c r="BA152" s="29">
        <f>IF(A152="","",AZ152+AF152)</f>
        <v/>
      </c>
      <c r="BB152" s="29">
        <f>IF(A152="","",BA152+AG152)</f>
        <v/>
      </c>
      <c r="BC152" s="29">
        <f>IF(A152="","",BB152+AH152)</f>
        <v/>
      </c>
      <c r="BD152" s="29">
        <f>IF(A152="","",BC152+AI152)</f>
        <v/>
      </c>
      <c r="BE152" s="29">
        <f>IF(A152="","",BD152+AJ152)</f>
        <v/>
      </c>
      <c r="BF152" s="29">
        <f>IF(A152="","",BE152+AK152)</f>
        <v/>
      </c>
      <c r="BG152" s="29">
        <f>IF(A152="","",BF152+AL152)</f>
        <v/>
      </c>
      <c r="BH152" s="29">
        <f>IF(A152="","",BG152+AM152)</f>
        <v/>
      </c>
      <c r="BI152" s="36">
        <f>IF(A152="","",(K152)*(IF((YEAR(D152)+0)&lt;YEAR(E152),0,IF((YEAR(D152)+0)&gt;YEAR(E152),1,(12-MONTH(E152)+1)/12)))*(1/(1+DiscountRate)^0))</f>
        <v/>
      </c>
      <c r="BJ152" s="36">
        <f>IF(A152="","",(K152)*(IF((YEAR(D152)+1)&lt;YEAR(E152),0,IF((YEAR(D152)+1)&gt;YEAR(E152),1,(12-MONTH(E152)+1)/12)))*(1/(1+DiscountRate)^1))</f>
        <v/>
      </c>
      <c r="BK152" s="36">
        <f>IF(A152="","",(K152)*(IF((YEAR(D152)+2)&lt;YEAR(E152),0,IF((YEAR(D152)+2)&gt;YEAR(E152),1,(12-MONTH(E152)+1)/12)))*(1/(1+DiscountRate)^2))</f>
        <v/>
      </c>
      <c r="BL152" s="36">
        <f>IF(A152="","",(K152)*(IF((YEAR(D152)+3)&lt;YEAR(E152),0,IF((YEAR(D152)+3)&gt;YEAR(E152),1,(12-MONTH(E152)+1)/12)))*(1/(1+DiscountRate)^3))</f>
        <v/>
      </c>
      <c r="BM152" s="36">
        <f>IF(A152="","",(K152)*(IF((YEAR(D152)+4)&lt;YEAR(E152),0,IF((YEAR(D152)+4)&gt;YEAR(E152),1,(12-MONTH(E152)+1)/12)))*(1/(1+DiscountRate)^4))</f>
        <v/>
      </c>
      <c r="BN152" s="36">
        <f>IF(A152="","",(K152)*(IF((YEAR(D152)+5)&lt;YEAR(E152),0,IF((YEAR(D152)+5)&gt;YEAR(E152),1,(12-MONTH(E152)+1)/12)))*(1/(1+DiscountRate)^5))</f>
        <v/>
      </c>
      <c r="BO152" s="36">
        <f>IF(A152="","",(K152)*(IF((YEAR(D152)+6)&lt;YEAR(E152),0,IF((YEAR(D152)+6)&gt;YEAR(E152),1,(12-MONTH(E152)+1)/12)))*(1/(1+DiscountRate)^6))</f>
        <v/>
      </c>
      <c r="BP152" s="36">
        <f>IF(A152="","",(K152)*(IF((YEAR(D152)+7)&lt;YEAR(E152),0,IF((YEAR(D152)+7)&gt;YEAR(E152),1,(12-MONTH(E152)+1)/12)))*(1/(1+DiscountRate)^7))</f>
        <v/>
      </c>
      <c r="BQ152" s="36">
        <f>IF(A152="","",(K152)*(IF((YEAR(D152)+8)&lt;YEAR(E152),0,IF((YEAR(D152)+8)&gt;YEAR(E152),1,(12-MONTH(E152)+1)/12)))*(1/(1+DiscountRate)^8))</f>
        <v/>
      </c>
      <c r="BR152" s="36">
        <f>IF(A152="","",(K152)*(IF((YEAR(D152)+9)&lt;YEAR(E152),0,IF((YEAR(D152)+9)&gt;YEAR(E152),1,(12-MONTH(E152)+1)/12)))*(1/(1+DiscountRate)^9))</f>
        <v/>
      </c>
      <c r="BS152" s="36">
        <f>IF(A152="","",(K152)*(IF((YEAR(D152)+10)&lt;YEAR(E152),0,IF((YEAR(D152)+10)&gt;YEAR(E152),1,(12-MONTH(E152)+1)/12)))*(1/(1+DiscountRate)^10))</f>
        <v/>
      </c>
      <c r="BT152" s="36">
        <f>IF(A152="","",(K152)*(IF((YEAR(D152)+11)&lt;YEAR(E152),0,IF((YEAR(D152)+11)&gt;YEAR(E152),1,(12-MONTH(E152)+1)/12)))*(1/(1+DiscountRate)^11))</f>
        <v/>
      </c>
      <c r="BU152" s="36">
        <f>IF(A152="","",(K152)*(IF((YEAR(D152)+12)&lt;YEAR(E152),0,IF((YEAR(D152)+12)&gt;YEAR(E152),1,(12-MONTH(E152)+1)/12)))*(1/(1+DiscountRate)^12))</f>
        <v/>
      </c>
      <c r="BV152" s="36">
        <f>IF(A152="","",(K152)*(IF((YEAR(D152)+13)&lt;YEAR(E152),0,IF((YEAR(D152)+13)&gt;YEAR(E152),1,(12-MONTH(E152)+1)/12)))*(1/(1+DiscountRate)^13))</f>
        <v/>
      </c>
      <c r="BW152" s="36">
        <f>IF(A152="","",(K152)*(IF((YEAR(D152)+14)&lt;YEAR(E152),0,IF((YEAR(D152)+14)&gt;YEAR(E152),1,(12-MONTH(E152)+1)/12)))*(1/(1+DiscountRate)^14))</f>
        <v/>
      </c>
      <c r="BX152" s="36">
        <f>IF(A152="","",(K152)*(IF((YEAR(D152)+15)&lt;YEAR(E152),0,IF((YEAR(D152)+15)&gt;YEAR(E152),1,(12-MONTH(E152)+1)/12)))*(1/(1+DiscountRate)^15))</f>
        <v/>
      </c>
      <c r="BY152" s="36">
        <f>IF(A152="","",(K152)*(IF((YEAR(D152)+16)&lt;YEAR(E152),0,IF((YEAR(D152)+16)&gt;YEAR(E152),1,(12-MONTH(E152)+1)/12)))*(1/(1+DiscountRate)^16))</f>
        <v/>
      </c>
      <c r="BZ152" s="36">
        <f>IF(A152="","",(K152)*(IF((YEAR(D152)+17)&lt;YEAR(E152),0,IF((YEAR(D152)+17)&gt;YEAR(E152),1,(12-MONTH(E152)+1)/12)))*(1/(1+DiscountRate)^17))</f>
        <v/>
      </c>
      <c r="CA152" s="36">
        <f>IF(A152="","",(K152)*(IF((YEAR(D152)+18)&lt;YEAR(E152),0,IF((YEAR(D152)+18)&gt;YEAR(E152),1,(12-MONTH(E152)+1)/12)))*(1/(1+DiscountRate)^18))</f>
        <v/>
      </c>
      <c r="CB152" s="36">
        <f>IF(A152="","",(K152)*(IF((YEAR(D152)+19)&lt;YEAR(E152),0,IF((YEAR(D152)+19)&gt;YEAR(E152),1,(12-MONTH(E152)+1)/12)))*(1/(1+DiscountRate)^19))</f>
        <v/>
      </c>
      <c r="CC152" s="36">
        <f>IF(A152="","",(K152)*(IF((YEAR(D152)+20)&lt;YEAR(E152),0,IF((YEAR(D152)+20)&gt;YEAR(E152),1,(12-MONTH(E152)+1)/12)))*(1/(1+DiscountRate)^20))</f>
        <v/>
      </c>
      <c r="CD152" s="29">
        <f>IF(A152="","",S152/(1+DiscountRate)^0+T152/(1+DiscountRate)^1+U152/(1+DiscountRate)^2+V152/(1+DiscountRate)^3+W152/(1+DiscountRate)^4+X152/(1+DiscountRate)^5+Y152/(1+DiscountRate)^6+Z152/(1+DiscountRate)^7+AA152/(1+DiscountRate)^8+AB152/(1+DiscountRate)^9+AC152/(1+DiscountRate)^10+AD152/(1+DiscountRate)^11+AE152/(1+DiscountRate)^12+AF152/(1+DiscountRate)^13+AG152/(1+DiscountRate)^14+AH152/(1+DiscountRate)^15+AI152/(1+DiscountRate)^16+AJ152/(1+DiscountRate)^17+AK152/(1+DiscountRate)^18+AL152/(1+DiscountRate)^19+AM152/(1+DiscountRate)^20)</f>
        <v/>
      </c>
      <c r="CE152" s="37">
        <f>IF(A152="","",IFERROR(IRR(OFFSET(S152,0,0,1,MIN(HorizonYears,20)+1)),"n/a"))</f>
        <v/>
      </c>
      <c r="CF152" s="28">
        <f>IF(A152="","",IFERROR(MATCH(TRUE,OFFSET(AN152,0,0,1,MIN(HorizonYears,20)+1)&gt;=0,0)-1,"n/a"))</f>
        <v/>
      </c>
      <c r="CG152" s="36">
        <f>IF(A152="","",SUM(OFFSET(BI152,0,0,1,MIN(HorizonYears,20)+1)))</f>
        <v/>
      </c>
      <c r="CH152" s="36">
        <f>IF(A152="","",IFERROR(-CD152/CG152,"n/a"))</f>
        <v/>
      </c>
    </row>
    <row r="153">
      <c r="A153" s="6">
        <f>Actions!A151</f>
        <v/>
      </c>
      <c r="B153" s="6">
        <f>Actions!B151</f>
        <v/>
      </c>
      <c r="C153" s="6">
        <f>Actions!D151</f>
        <v/>
      </c>
      <c r="D153" s="35">
        <f>Actions!E151</f>
        <v/>
      </c>
      <c r="E153" s="35">
        <f>Actions!F151</f>
        <v/>
      </c>
      <c r="F153" s="6">
        <f>Actions!G151</f>
        <v/>
      </c>
      <c r="G153" s="6">
        <f>Actions!H151</f>
        <v/>
      </c>
      <c r="H153" s="29">
        <f>Actions!I151</f>
        <v/>
      </c>
      <c r="I153" s="6">
        <f>Actions!J151</f>
        <v/>
      </c>
      <c r="J153" s="16">
        <f>Actions!K151</f>
        <v/>
      </c>
      <c r="K153" s="16">
        <f>IF(A153="","",IF(I153="%",H153*J153,J153))</f>
        <v/>
      </c>
      <c r="L153" s="16">
        <f>Actions!L151</f>
        <v/>
      </c>
      <c r="M153" s="6">
        <f>Actions!M151</f>
        <v/>
      </c>
      <c r="N153" s="28">
        <f>Actions!N151</f>
        <v/>
      </c>
      <c r="O153" s="29">
        <f>Actions!T151</f>
        <v/>
      </c>
      <c r="P153" s="29">
        <f>Actions!Y151</f>
        <v/>
      </c>
      <c r="Q153" s="29">
        <f>Actions!Z151</f>
        <v/>
      </c>
      <c r="R153" s="29">
        <f>Actions!AA151</f>
        <v/>
      </c>
      <c r="S153" s="29">
        <f>IF(A153="","",((K153)*(IF(M153="",L153,IFERROR(IF(INDEX(Variablen!$I:$AT, MATCH(M153, Variablen!$A:$A, 0), MATCH((YEAR(D153)+0), Variablen!$I$3:$AT$3, 0))="",L153,INDEX(Variablen!$I:$AT, MATCH(M153, Variablen!$A:$A, 0), MATCH((YEAR(D153)+0), Variablen!$I$3:$AT$3, 0))),L153)))*(IF((YEAR(D153)+0)&lt;YEAR(E153),0,IF((YEAR(D153)+0)&gt;YEAR(E153),1,(12-MONTH(E153)+1)/12))) + (Q153)*(IF((YEAR(D153)+0)&lt;YEAR(E153),0,IF((YEAR(D153)+0)&gt;YEAR(E153),1,(12-MONTH(E153)+1)/12))))-((P153)*(IF((YEAR(D153)+0)&lt;YEAR(E153),0,IF((YEAR(D153)+0)&gt;YEAR(E153),1,(12-MONTH(E153)+1)/12))) + (R153)*(IF((YEAR(D153)+0)&lt;YEAR(E153),0,IF((YEAR(D153)+0)&gt;YEAR(E153),1,(12-MONTH(E153)+1)/12))))-(IF((((K153)*(IF(M153="",L153,IFERROR(IF(INDEX(Variablen!$I:$AT, MATCH(M153, Variablen!$A:$A, 0), MATCH((YEAR(D153)+0), Variablen!$I$3:$AT$3, 0))="",L153,INDEX(Variablen!$I:$AT, MATCH(M153, Variablen!$A:$A, 0), MATCH((YEAR(D153)+0), Variablen!$I$3:$AT$3, 0))),L153)))*(IF((YEAR(D153)+0)&lt;YEAR(E153),0,IF((YEAR(D153)+0)&gt;YEAR(E153),1,(12-MONTH(E153)+1)/12))) + (Q153)*(IF((YEAR(D153)+0)&lt;YEAR(E153),0,IF((YEAR(D153)+0)&gt;YEAR(E153),1,(12-MONTH(E153)+1)/12))))-((P153)*(IF((YEAR(D153)+0)&lt;YEAR(E153),0,IF((YEAR(D153)+0)&gt;YEAR(E153),1,(12-MONTH(E153)+1)/12))) + (R153)*(IF((YEAR(D153)+0)&lt;YEAR(E153),0,IF((YEAR(D153)+0)&gt;YEAR(E153),1,(12-MONTH(E153)+1)/12))))-(IF(OR(N153="",N153&lt;=0),0,(O153/N153)*(IF(OR(N153="",N153&lt;=0),0,IF((YEAR(D153)+0)&lt;YEAR(E153),0,IF((YEAR(D153)+0)&gt;=YEAR(E153)+N153,0,IF((YEAR(D153)+0)=YEAR(E153),(12-MONTH(E153)+1)/12,1))))))))&gt;0,(((K153)*(IF(M153="",L153,IFERROR(IF(INDEX(Variablen!$I:$AT, MATCH(M153, Variablen!$A:$A, 0), MATCH((YEAR(D153)+0), Variablen!$I$3:$AT$3, 0))="",L153,INDEX(Variablen!$I:$AT, MATCH(M153, Variablen!$A:$A, 0), MATCH((YEAR(D153)+0), Variablen!$I$3:$AT$3, 0))),L153)))*(IF((YEAR(D153)+0)&lt;YEAR(E153),0,IF((YEAR(D153)+0)&gt;YEAR(E153),1,(12-MONTH(E153)+1)/12))) + (Q153)*(IF((YEAR(D153)+0)&lt;YEAR(E153),0,IF((YEAR(D153)+0)&gt;YEAR(E153),1,(12-MONTH(E153)+1)/12))))-((P153)*(IF((YEAR(D153)+0)&lt;YEAR(E153),0,IF((YEAR(D153)+0)&gt;YEAR(E153),1,(12-MONTH(E153)+1)/12))) + (R153)*(IF((YEAR(D153)+0)&lt;YEAR(E153),0,IF((YEAR(D153)+0)&gt;YEAR(E153),1,(12-MONTH(E153)+1)/12))))-(IF(OR(N153="",N153&lt;=0),0,(O153/N153)*(IF(OR(N153="",N153&lt;=0),0,IF((YEAR(D153)+0)&lt;YEAR(E153),0,IF((YEAR(D153)+0)&gt;=YEAR(E153)+N153,0,IF((YEAR(D153)+0)=YEAR(E153),(12-MONTH(E153)+1)/12,1))))))))*TaxRate,0))-IF(0=0,O153,0))</f>
        <v/>
      </c>
      <c r="T153" s="29">
        <f>IF(A153="","",((K153)*(IF(M153="",L153,IFERROR(IF(INDEX(Variablen!$I:$AT, MATCH(M153, Variablen!$A:$A, 0), MATCH((YEAR(D153)+1), Variablen!$I$3:$AT$3, 0))="",L153,INDEX(Variablen!$I:$AT, MATCH(M153, Variablen!$A:$A, 0), MATCH((YEAR(D153)+1), Variablen!$I$3:$AT$3, 0))),L153)))*(IF((YEAR(D153)+1)&lt;YEAR(E153),0,IF((YEAR(D153)+1)&gt;YEAR(E153),1,(12-MONTH(E153)+1)/12))) + (Q153)*(IF((YEAR(D153)+1)&lt;YEAR(E153),0,IF((YEAR(D153)+1)&gt;YEAR(E153),1,(12-MONTH(E153)+1)/12))))-((P153)*(IF((YEAR(D153)+1)&lt;YEAR(E153),0,IF((YEAR(D153)+1)&gt;YEAR(E153),1,(12-MONTH(E153)+1)/12))) + (R153)*(IF((YEAR(D153)+1)&lt;YEAR(E153),0,IF((YEAR(D153)+1)&gt;YEAR(E153),1,(12-MONTH(E153)+1)/12))))-(IF((((K153)*(IF(M153="",L153,IFERROR(IF(INDEX(Variablen!$I:$AT, MATCH(M153, Variablen!$A:$A, 0), MATCH((YEAR(D153)+1), Variablen!$I$3:$AT$3, 0))="",L153,INDEX(Variablen!$I:$AT, MATCH(M153, Variablen!$A:$A, 0), MATCH((YEAR(D153)+1), Variablen!$I$3:$AT$3, 0))),L153)))*(IF((YEAR(D153)+1)&lt;YEAR(E153),0,IF((YEAR(D153)+1)&gt;YEAR(E153),1,(12-MONTH(E153)+1)/12))) + (Q153)*(IF((YEAR(D153)+1)&lt;YEAR(E153),0,IF((YEAR(D153)+1)&gt;YEAR(E153),1,(12-MONTH(E153)+1)/12))))-((P153)*(IF((YEAR(D153)+1)&lt;YEAR(E153),0,IF((YEAR(D153)+1)&gt;YEAR(E153),1,(12-MONTH(E153)+1)/12))) + (R153)*(IF((YEAR(D153)+1)&lt;YEAR(E153),0,IF((YEAR(D153)+1)&gt;YEAR(E153),1,(12-MONTH(E153)+1)/12))))-(IF(OR(N153="",N153&lt;=0),0,(O153/N153)*(IF(OR(N153="",N153&lt;=0),0,IF((YEAR(D153)+1)&lt;YEAR(E153),0,IF((YEAR(D153)+1)&gt;=YEAR(E153)+N153,0,IF((YEAR(D153)+1)=YEAR(E153),(12-MONTH(E153)+1)/12,1))))))))&gt;0,(((K153)*(IF(M153="",L153,IFERROR(IF(INDEX(Variablen!$I:$AT, MATCH(M153, Variablen!$A:$A, 0), MATCH((YEAR(D153)+1), Variablen!$I$3:$AT$3, 0))="",L153,INDEX(Variablen!$I:$AT, MATCH(M153, Variablen!$A:$A, 0), MATCH((YEAR(D153)+1), Variablen!$I$3:$AT$3, 0))),L153)))*(IF((YEAR(D153)+1)&lt;YEAR(E153),0,IF((YEAR(D153)+1)&gt;YEAR(E153),1,(12-MONTH(E153)+1)/12))) + (Q153)*(IF((YEAR(D153)+1)&lt;YEAR(E153),0,IF((YEAR(D153)+1)&gt;YEAR(E153),1,(12-MONTH(E153)+1)/12))))-((P153)*(IF((YEAR(D153)+1)&lt;YEAR(E153),0,IF((YEAR(D153)+1)&gt;YEAR(E153),1,(12-MONTH(E153)+1)/12))) + (R153)*(IF((YEAR(D153)+1)&lt;YEAR(E153),0,IF((YEAR(D153)+1)&gt;YEAR(E153),1,(12-MONTH(E153)+1)/12))))-(IF(OR(N153="",N153&lt;=0),0,(O153/N153)*(IF(OR(N153="",N153&lt;=0),0,IF((YEAR(D153)+1)&lt;YEAR(E153),0,IF((YEAR(D153)+1)&gt;=YEAR(E153)+N153,0,IF((YEAR(D153)+1)=YEAR(E153),(12-MONTH(E153)+1)/12,1))))))))*TaxRate,0))-IF(1=0,O153,0))</f>
        <v/>
      </c>
      <c r="U153" s="29">
        <f>IF(A153="","",((K153)*(IF(M153="",L153,IFERROR(IF(INDEX(Variablen!$I:$AT, MATCH(M153, Variablen!$A:$A, 0), MATCH((YEAR(D153)+2), Variablen!$I$3:$AT$3, 0))="",L153,INDEX(Variablen!$I:$AT, MATCH(M153, Variablen!$A:$A, 0), MATCH((YEAR(D153)+2), Variablen!$I$3:$AT$3, 0))),L153)))*(IF((YEAR(D153)+2)&lt;YEAR(E153),0,IF((YEAR(D153)+2)&gt;YEAR(E153),1,(12-MONTH(E153)+1)/12))) + (Q153)*(IF((YEAR(D153)+2)&lt;YEAR(E153),0,IF((YEAR(D153)+2)&gt;YEAR(E153),1,(12-MONTH(E153)+1)/12))))-((P153)*(IF((YEAR(D153)+2)&lt;YEAR(E153),0,IF((YEAR(D153)+2)&gt;YEAR(E153),1,(12-MONTH(E153)+1)/12))) + (R153)*(IF((YEAR(D153)+2)&lt;YEAR(E153),0,IF((YEAR(D153)+2)&gt;YEAR(E153),1,(12-MONTH(E153)+1)/12))))-(IF((((K153)*(IF(M153="",L153,IFERROR(IF(INDEX(Variablen!$I:$AT, MATCH(M153, Variablen!$A:$A, 0), MATCH((YEAR(D153)+2), Variablen!$I$3:$AT$3, 0))="",L153,INDEX(Variablen!$I:$AT, MATCH(M153, Variablen!$A:$A, 0), MATCH((YEAR(D153)+2), Variablen!$I$3:$AT$3, 0))),L153)))*(IF((YEAR(D153)+2)&lt;YEAR(E153),0,IF((YEAR(D153)+2)&gt;YEAR(E153),1,(12-MONTH(E153)+1)/12))) + (Q153)*(IF((YEAR(D153)+2)&lt;YEAR(E153),0,IF((YEAR(D153)+2)&gt;YEAR(E153),1,(12-MONTH(E153)+1)/12))))-((P153)*(IF((YEAR(D153)+2)&lt;YEAR(E153),0,IF((YEAR(D153)+2)&gt;YEAR(E153),1,(12-MONTH(E153)+1)/12))) + (R153)*(IF((YEAR(D153)+2)&lt;YEAR(E153),0,IF((YEAR(D153)+2)&gt;YEAR(E153),1,(12-MONTH(E153)+1)/12))))-(IF(OR(N153="",N153&lt;=0),0,(O153/N153)*(IF(OR(N153="",N153&lt;=0),0,IF((YEAR(D153)+2)&lt;YEAR(E153),0,IF((YEAR(D153)+2)&gt;=YEAR(E153)+N153,0,IF((YEAR(D153)+2)=YEAR(E153),(12-MONTH(E153)+1)/12,1))))))))&gt;0,(((K153)*(IF(M153="",L153,IFERROR(IF(INDEX(Variablen!$I:$AT, MATCH(M153, Variablen!$A:$A, 0), MATCH((YEAR(D153)+2), Variablen!$I$3:$AT$3, 0))="",L153,INDEX(Variablen!$I:$AT, MATCH(M153, Variablen!$A:$A, 0), MATCH((YEAR(D153)+2), Variablen!$I$3:$AT$3, 0))),L153)))*(IF((YEAR(D153)+2)&lt;YEAR(E153),0,IF((YEAR(D153)+2)&gt;YEAR(E153),1,(12-MONTH(E153)+1)/12))) + (Q153)*(IF((YEAR(D153)+2)&lt;YEAR(E153),0,IF((YEAR(D153)+2)&gt;YEAR(E153),1,(12-MONTH(E153)+1)/12))))-((P153)*(IF((YEAR(D153)+2)&lt;YEAR(E153),0,IF((YEAR(D153)+2)&gt;YEAR(E153),1,(12-MONTH(E153)+1)/12))) + (R153)*(IF((YEAR(D153)+2)&lt;YEAR(E153),0,IF((YEAR(D153)+2)&gt;YEAR(E153),1,(12-MONTH(E153)+1)/12))))-(IF(OR(N153="",N153&lt;=0),0,(O153/N153)*(IF(OR(N153="",N153&lt;=0),0,IF((YEAR(D153)+2)&lt;YEAR(E153),0,IF((YEAR(D153)+2)&gt;=YEAR(E153)+N153,0,IF((YEAR(D153)+2)=YEAR(E153),(12-MONTH(E153)+1)/12,1))))))))*TaxRate,0))-IF(2=0,O153,0))</f>
        <v/>
      </c>
      <c r="V153" s="29">
        <f>IF(A153="","",((K153)*(IF(M153="",L153,IFERROR(IF(INDEX(Variablen!$I:$AT, MATCH(M153, Variablen!$A:$A, 0), MATCH((YEAR(D153)+3), Variablen!$I$3:$AT$3, 0))="",L153,INDEX(Variablen!$I:$AT, MATCH(M153, Variablen!$A:$A, 0), MATCH((YEAR(D153)+3), Variablen!$I$3:$AT$3, 0))),L153)))*(IF((YEAR(D153)+3)&lt;YEAR(E153),0,IF((YEAR(D153)+3)&gt;YEAR(E153),1,(12-MONTH(E153)+1)/12))) + (Q153)*(IF((YEAR(D153)+3)&lt;YEAR(E153),0,IF((YEAR(D153)+3)&gt;YEAR(E153),1,(12-MONTH(E153)+1)/12))))-((P153)*(IF((YEAR(D153)+3)&lt;YEAR(E153),0,IF((YEAR(D153)+3)&gt;YEAR(E153),1,(12-MONTH(E153)+1)/12))) + (R153)*(IF((YEAR(D153)+3)&lt;YEAR(E153),0,IF((YEAR(D153)+3)&gt;YEAR(E153),1,(12-MONTH(E153)+1)/12))))-(IF((((K153)*(IF(M153="",L153,IFERROR(IF(INDEX(Variablen!$I:$AT, MATCH(M153, Variablen!$A:$A, 0), MATCH((YEAR(D153)+3), Variablen!$I$3:$AT$3, 0))="",L153,INDEX(Variablen!$I:$AT, MATCH(M153, Variablen!$A:$A, 0), MATCH((YEAR(D153)+3), Variablen!$I$3:$AT$3, 0))),L153)))*(IF((YEAR(D153)+3)&lt;YEAR(E153),0,IF((YEAR(D153)+3)&gt;YEAR(E153),1,(12-MONTH(E153)+1)/12))) + (Q153)*(IF((YEAR(D153)+3)&lt;YEAR(E153),0,IF((YEAR(D153)+3)&gt;YEAR(E153),1,(12-MONTH(E153)+1)/12))))-((P153)*(IF((YEAR(D153)+3)&lt;YEAR(E153),0,IF((YEAR(D153)+3)&gt;YEAR(E153),1,(12-MONTH(E153)+1)/12))) + (R153)*(IF((YEAR(D153)+3)&lt;YEAR(E153),0,IF((YEAR(D153)+3)&gt;YEAR(E153),1,(12-MONTH(E153)+1)/12))))-(IF(OR(N153="",N153&lt;=0),0,(O153/N153)*(IF(OR(N153="",N153&lt;=0),0,IF((YEAR(D153)+3)&lt;YEAR(E153),0,IF((YEAR(D153)+3)&gt;=YEAR(E153)+N153,0,IF((YEAR(D153)+3)=YEAR(E153),(12-MONTH(E153)+1)/12,1))))))))&gt;0,(((K153)*(IF(M153="",L153,IFERROR(IF(INDEX(Variablen!$I:$AT, MATCH(M153, Variablen!$A:$A, 0), MATCH((YEAR(D153)+3), Variablen!$I$3:$AT$3, 0))="",L153,INDEX(Variablen!$I:$AT, MATCH(M153, Variablen!$A:$A, 0), MATCH((YEAR(D153)+3), Variablen!$I$3:$AT$3, 0))),L153)))*(IF((YEAR(D153)+3)&lt;YEAR(E153),0,IF((YEAR(D153)+3)&gt;YEAR(E153),1,(12-MONTH(E153)+1)/12))) + (Q153)*(IF((YEAR(D153)+3)&lt;YEAR(E153),0,IF((YEAR(D153)+3)&gt;YEAR(E153),1,(12-MONTH(E153)+1)/12))))-((P153)*(IF((YEAR(D153)+3)&lt;YEAR(E153),0,IF((YEAR(D153)+3)&gt;YEAR(E153),1,(12-MONTH(E153)+1)/12))) + (R153)*(IF((YEAR(D153)+3)&lt;YEAR(E153),0,IF((YEAR(D153)+3)&gt;YEAR(E153),1,(12-MONTH(E153)+1)/12))))-(IF(OR(N153="",N153&lt;=0),0,(O153/N153)*(IF(OR(N153="",N153&lt;=0),0,IF((YEAR(D153)+3)&lt;YEAR(E153),0,IF((YEAR(D153)+3)&gt;=YEAR(E153)+N153,0,IF((YEAR(D153)+3)=YEAR(E153),(12-MONTH(E153)+1)/12,1))))))))*TaxRate,0))-IF(3=0,O153,0))</f>
        <v/>
      </c>
      <c r="W153" s="29">
        <f>IF(A153="","",((K153)*(IF(M153="",L153,IFERROR(IF(INDEX(Variablen!$I:$AT, MATCH(M153, Variablen!$A:$A, 0), MATCH((YEAR(D153)+4), Variablen!$I$3:$AT$3, 0))="",L153,INDEX(Variablen!$I:$AT, MATCH(M153, Variablen!$A:$A, 0), MATCH((YEAR(D153)+4), Variablen!$I$3:$AT$3, 0))),L153)))*(IF((YEAR(D153)+4)&lt;YEAR(E153),0,IF((YEAR(D153)+4)&gt;YEAR(E153),1,(12-MONTH(E153)+1)/12))) + (Q153)*(IF((YEAR(D153)+4)&lt;YEAR(E153),0,IF((YEAR(D153)+4)&gt;YEAR(E153),1,(12-MONTH(E153)+1)/12))))-((P153)*(IF((YEAR(D153)+4)&lt;YEAR(E153),0,IF((YEAR(D153)+4)&gt;YEAR(E153),1,(12-MONTH(E153)+1)/12))) + (R153)*(IF((YEAR(D153)+4)&lt;YEAR(E153),0,IF((YEAR(D153)+4)&gt;YEAR(E153),1,(12-MONTH(E153)+1)/12))))-(IF((((K153)*(IF(M153="",L153,IFERROR(IF(INDEX(Variablen!$I:$AT, MATCH(M153, Variablen!$A:$A, 0), MATCH((YEAR(D153)+4), Variablen!$I$3:$AT$3, 0))="",L153,INDEX(Variablen!$I:$AT, MATCH(M153, Variablen!$A:$A, 0), MATCH((YEAR(D153)+4), Variablen!$I$3:$AT$3, 0))),L153)))*(IF((YEAR(D153)+4)&lt;YEAR(E153),0,IF((YEAR(D153)+4)&gt;YEAR(E153),1,(12-MONTH(E153)+1)/12))) + (Q153)*(IF((YEAR(D153)+4)&lt;YEAR(E153),0,IF((YEAR(D153)+4)&gt;YEAR(E153),1,(12-MONTH(E153)+1)/12))))-((P153)*(IF((YEAR(D153)+4)&lt;YEAR(E153),0,IF((YEAR(D153)+4)&gt;YEAR(E153),1,(12-MONTH(E153)+1)/12))) + (R153)*(IF((YEAR(D153)+4)&lt;YEAR(E153),0,IF((YEAR(D153)+4)&gt;YEAR(E153),1,(12-MONTH(E153)+1)/12))))-(IF(OR(N153="",N153&lt;=0),0,(O153/N153)*(IF(OR(N153="",N153&lt;=0),0,IF((YEAR(D153)+4)&lt;YEAR(E153),0,IF((YEAR(D153)+4)&gt;=YEAR(E153)+N153,0,IF((YEAR(D153)+4)=YEAR(E153),(12-MONTH(E153)+1)/12,1))))))))&gt;0,(((K153)*(IF(M153="",L153,IFERROR(IF(INDEX(Variablen!$I:$AT, MATCH(M153, Variablen!$A:$A, 0), MATCH((YEAR(D153)+4), Variablen!$I$3:$AT$3, 0))="",L153,INDEX(Variablen!$I:$AT, MATCH(M153, Variablen!$A:$A, 0), MATCH((YEAR(D153)+4), Variablen!$I$3:$AT$3, 0))),L153)))*(IF((YEAR(D153)+4)&lt;YEAR(E153),0,IF((YEAR(D153)+4)&gt;YEAR(E153),1,(12-MONTH(E153)+1)/12))) + (Q153)*(IF((YEAR(D153)+4)&lt;YEAR(E153),0,IF((YEAR(D153)+4)&gt;YEAR(E153),1,(12-MONTH(E153)+1)/12))))-((P153)*(IF((YEAR(D153)+4)&lt;YEAR(E153),0,IF((YEAR(D153)+4)&gt;YEAR(E153),1,(12-MONTH(E153)+1)/12))) + (R153)*(IF((YEAR(D153)+4)&lt;YEAR(E153),0,IF((YEAR(D153)+4)&gt;YEAR(E153),1,(12-MONTH(E153)+1)/12))))-(IF(OR(N153="",N153&lt;=0),0,(O153/N153)*(IF(OR(N153="",N153&lt;=0),0,IF((YEAR(D153)+4)&lt;YEAR(E153),0,IF((YEAR(D153)+4)&gt;=YEAR(E153)+N153,0,IF((YEAR(D153)+4)=YEAR(E153),(12-MONTH(E153)+1)/12,1))))))))*TaxRate,0))-IF(4=0,O153,0))</f>
        <v/>
      </c>
      <c r="X153" s="29">
        <f>IF(A153="","",((K153)*(IF(M153="",L153,IFERROR(IF(INDEX(Variablen!$I:$AT, MATCH(M153, Variablen!$A:$A, 0), MATCH((YEAR(D153)+5), Variablen!$I$3:$AT$3, 0))="",L153,INDEX(Variablen!$I:$AT, MATCH(M153, Variablen!$A:$A, 0), MATCH((YEAR(D153)+5), Variablen!$I$3:$AT$3, 0))),L153)))*(IF((YEAR(D153)+5)&lt;YEAR(E153),0,IF((YEAR(D153)+5)&gt;YEAR(E153),1,(12-MONTH(E153)+1)/12))) + (Q153)*(IF((YEAR(D153)+5)&lt;YEAR(E153),0,IF((YEAR(D153)+5)&gt;YEAR(E153),1,(12-MONTH(E153)+1)/12))))-((P153)*(IF((YEAR(D153)+5)&lt;YEAR(E153),0,IF((YEAR(D153)+5)&gt;YEAR(E153),1,(12-MONTH(E153)+1)/12))) + (R153)*(IF((YEAR(D153)+5)&lt;YEAR(E153),0,IF((YEAR(D153)+5)&gt;YEAR(E153),1,(12-MONTH(E153)+1)/12))))-(IF((((K153)*(IF(M153="",L153,IFERROR(IF(INDEX(Variablen!$I:$AT, MATCH(M153, Variablen!$A:$A, 0), MATCH((YEAR(D153)+5), Variablen!$I$3:$AT$3, 0))="",L153,INDEX(Variablen!$I:$AT, MATCH(M153, Variablen!$A:$A, 0), MATCH((YEAR(D153)+5), Variablen!$I$3:$AT$3, 0))),L153)))*(IF((YEAR(D153)+5)&lt;YEAR(E153),0,IF((YEAR(D153)+5)&gt;YEAR(E153),1,(12-MONTH(E153)+1)/12))) + (Q153)*(IF((YEAR(D153)+5)&lt;YEAR(E153),0,IF((YEAR(D153)+5)&gt;YEAR(E153),1,(12-MONTH(E153)+1)/12))))-((P153)*(IF((YEAR(D153)+5)&lt;YEAR(E153),0,IF((YEAR(D153)+5)&gt;YEAR(E153),1,(12-MONTH(E153)+1)/12))) + (R153)*(IF((YEAR(D153)+5)&lt;YEAR(E153),0,IF((YEAR(D153)+5)&gt;YEAR(E153),1,(12-MONTH(E153)+1)/12))))-(IF(OR(N153="",N153&lt;=0),0,(O153/N153)*(IF(OR(N153="",N153&lt;=0),0,IF((YEAR(D153)+5)&lt;YEAR(E153),0,IF((YEAR(D153)+5)&gt;=YEAR(E153)+N153,0,IF((YEAR(D153)+5)=YEAR(E153),(12-MONTH(E153)+1)/12,1))))))))&gt;0,(((K153)*(IF(M153="",L153,IFERROR(IF(INDEX(Variablen!$I:$AT, MATCH(M153, Variablen!$A:$A, 0), MATCH((YEAR(D153)+5), Variablen!$I$3:$AT$3, 0))="",L153,INDEX(Variablen!$I:$AT, MATCH(M153, Variablen!$A:$A, 0), MATCH((YEAR(D153)+5), Variablen!$I$3:$AT$3, 0))),L153)))*(IF((YEAR(D153)+5)&lt;YEAR(E153),0,IF((YEAR(D153)+5)&gt;YEAR(E153),1,(12-MONTH(E153)+1)/12))) + (Q153)*(IF((YEAR(D153)+5)&lt;YEAR(E153),0,IF((YEAR(D153)+5)&gt;YEAR(E153),1,(12-MONTH(E153)+1)/12))))-((P153)*(IF((YEAR(D153)+5)&lt;YEAR(E153),0,IF((YEAR(D153)+5)&gt;YEAR(E153),1,(12-MONTH(E153)+1)/12))) + (R153)*(IF((YEAR(D153)+5)&lt;YEAR(E153),0,IF((YEAR(D153)+5)&gt;YEAR(E153),1,(12-MONTH(E153)+1)/12))))-(IF(OR(N153="",N153&lt;=0),0,(O153/N153)*(IF(OR(N153="",N153&lt;=0),0,IF((YEAR(D153)+5)&lt;YEAR(E153),0,IF((YEAR(D153)+5)&gt;=YEAR(E153)+N153,0,IF((YEAR(D153)+5)=YEAR(E153),(12-MONTH(E153)+1)/12,1))))))))*TaxRate,0))-IF(5=0,O153,0))</f>
        <v/>
      </c>
      <c r="Y153" s="29">
        <f>IF(A153="","",((K153)*(IF(M153="",L153,IFERROR(IF(INDEX(Variablen!$I:$AT, MATCH(M153, Variablen!$A:$A, 0), MATCH((YEAR(D153)+6), Variablen!$I$3:$AT$3, 0))="",L153,INDEX(Variablen!$I:$AT, MATCH(M153, Variablen!$A:$A, 0), MATCH((YEAR(D153)+6), Variablen!$I$3:$AT$3, 0))),L153)))*(IF((YEAR(D153)+6)&lt;YEAR(E153),0,IF((YEAR(D153)+6)&gt;YEAR(E153),1,(12-MONTH(E153)+1)/12))) + (Q153)*(IF((YEAR(D153)+6)&lt;YEAR(E153),0,IF((YEAR(D153)+6)&gt;YEAR(E153),1,(12-MONTH(E153)+1)/12))))-((P153)*(IF((YEAR(D153)+6)&lt;YEAR(E153),0,IF((YEAR(D153)+6)&gt;YEAR(E153),1,(12-MONTH(E153)+1)/12))) + (R153)*(IF((YEAR(D153)+6)&lt;YEAR(E153),0,IF((YEAR(D153)+6)&gt;YEAR(E153),1,(12-MONTH(E153)+1)/12))))-(IF((((K153)*(IF(M153="",L153,IFERROR(IF(INDEX(Variablen!$I:$AT, MATCH(M153, Variablen!$A:$A, 0), MATCH((YEAR(D153)+6), Variablen!$I$3:$AT$3, 0))="",L153,INDEX(Variablen!$I:$AT, MATCH(M153, Variablen!$A:$A, 0), MATCH((YEAR(D153)+6), Variablen!$I$3:$AT$3, 0))),L153)))*(IF((YEAR(D153)+6)&lt;YEAR(E153),0,IF((YEAR(D153)+6)&gt;YEAR(E153),1,(12-MONTH(E153)+1)/12))) + (Q153)*(IF((YEAR(D153)+6)&lt;YEAR(E153),0,IF((YEAR(D153)+6)&gt;YEAR(E153),1,(12-MONTH(E153)+1)/12))))-((P153)*(IF((YEAR(D153)+6)&lt;YEAR(E153),0,IF((YEAR(D153)+6)&gt;YEAR(E153),1,(12-MONTH(E153)+1)/12))) + (R153)*(IF((YEAR(D153)+6)&lt;YEAR(E153),0,IF((YEAR(D153)+6)&gt;YEAR(E153),1,(12-MONTH(E153)+1)/12))))-(IF(OR(N153="",N153&lt;=0),0,(O153/N153)*(IF(OR(N153="",N153&lt;=0),0,IF((YEAR(D153)+6)&lt;YEAR(E153),0,IF((YEAR(D153)+6)&gt;=YEAR(E153)+N153,0,IF((YEAR(D153)+6)=YEAR(E153),(12-MONTH(E153)+1)/12,1))))))))&gt;0,(((K153)*(IF(M153="",L153,IFERROR(IF(INDEX(Variablen!$I:$AT, MATCH(M153, Variablen!$A:$A, 0), MATCH((YEAR(D153)+6), Variablen!$I$3:$AT$3, 0))="",L153,INDEX(Variablen!$I:$AT, MATCH(M153, Variablen!$A:$A, 0), MATCH((YEAR(D153)+6), Variablen!$I$3:$AT$3, 0))),L153)))*(IF((YEAR(D153)+6)&lt;YEAR(E153),0,IF((YEAR(D153)+6)&gt;YEAR(E153),1,(12-MONTH(E153)+1)/12))) + (Q153)*(IF((YEAR(D153)+6)&lt;YEAR(E153),0,IF((YEAR(D153)+6)&gt;YEAR(E153),1,(12-MONTH(E153)+1)/12))))-((P153)*(IF((YEAR(D153)+6)&lt;YEAR(E153),0,IF((YEAR(D153)+6)&gt;YEAR(E153),1,(12-MONTH(E153)+1)/12))) + (R153)*(IF((YEAR(D153)+6)&lt;YEAR(E153),0,IF((YEAR(D153)+6)&gt;YEAR(E153),1,(12-MONTH(E153)+1)/12))))-(IF(OR(N153="",N153&lt;=0),0,(O153/N153)*(IF(OR(N153="",N153&lt;=0),0,IF((YEAR(D153)+6)&lt;YEAR(E153),0,IF((YEAR(D153)+6)&gt;=YEAR(E153)+N153,0,IF((YEAR(D153)+6)=YEAR(E153),(12-MONTH(E153)+1)/12,1))))))))*TaxRate,0))-IF(6=0,O153,0))</f>
        <v/>
      </c>
      <c r="Z153" s="29">
        <f>IF(A153="","",((K153)*(IF(M153="",L153,IFERROR(IF(INDEX(Variablen!$I:$AT, MATCH(M153, Variablen!$A:$A, 0), MATCH((YEAR(D153)+7), Variablen!$I$3:$AT$3, 0))="",L153,INDEX(Variablen!$I:$AT, MATCH(M153, Variablen!$A:$A, 0), MATCH((YEAR(D153)+7), Variablen!$I$3:$AT$3, 0))),L153)))*(IF((YEAR(D153)+7)&lt;YEAR(E153),0,IF((YEAR(D153)+7)&gt;YEAR(E153),1,(12-MONTH(E153)+1)/12))) + (Q153)*(IF((YEAR(D153)+7)&lt;YEAR(E153),0,IF((YEAR(D153)+7)&gt;YEAR(E153),1,(12-MONTH(E153)+1)/12))))-((P153)*(IF((YEAR(D153)+7)&lt;YEAR(E153),0,IF((YEAR(D153)+7)&gt;YEAR(E153),1,(12-MONTH(E153)+1)/12))) + (R153)*(IF((YEAR(D153)+7)&lt;YEAR(E153),0,IF((YEAR(D153)+7)&gt;YEAR(E153),1,(12-MONTH(E153)+1)/12))))-(IF((((K153)*(IF(M153="",L153,IFERROR(IF(INDEX(Variablen!$I:$AT, MATCH(M153, Variablen!$A:$A, 0), MATCH((YEAR(D153)+7), Variablen!$I$3:$AT$3, 0))="",L153,INDEX(Variablen!$I:$AT, MATCH(M153, Variablen!$A:$A, 0), MATCH((YEAR(D153)+7), Variablen!$I$3:$AT$3, 0))),L153)))*(IF((YEAR(D153)+7)&lt;YEAR(E153),0,IF((YEAR(D153)+7)&gt;YEAR(E153),1,(12-MONTH(E153)+1)/12))) + (Q153)*(IF((YEAR(D153)+7)&lt;YEAR(E153),0,IF((YEAR(D153)+7)&gt;YEAR(E153),1,(12-MONTH(E153)+1)/12))))-((P153)*(IF((YEAR(D153)+7)&lt;YEAR(E153),0,IF((YEAR(D153)+7)&gt;YEAR(E153),1,(12-MONTH(E153)+1)/12))) + (R153)*(IF((YEAR(D153)+7)&lt;YEAR(E153),0,IF((YEAR(D153)+7)&gt;YEAR(E153),1,(12-MONTH(E153)+1)/12))))-(IF(OR(N153="",N153&lt;=0),0,(O153/N153)*(IF(OR(N153="",N153&lt;=0),0,IF((YEAR(D153)+7)&lt;YEAR(E153),0,IF((YEAR(D153)+7)&gt;=YEAR(E153)+N153,0,IF((YEAR(D153)+7)=YEAR(E153),(12-MONTH(E153)+1)/12,1))))))))&gt;0,(((K153)*(IF(M153="",L153,IFERROR(IF(INDEX(Variablen!$I:$AT, MATCH(M153, Variablen!$A:$A, 0), MATCH((YEAR(D153)+7), Variablen!$I$3:$AT$3, 0))="",L153,INDEX(Variablen!$I:$AT, MATCH(M153, Variablen!$A:$A, 0), MATCH((YEAR(D153)+7), Variablen!$I$3:$AT$3, 0))),L153)))*(IF((YEAR(D153)+7)&lt;YEAR(E153),0,IF((YEAR(D153)+7)&gt;YEAR(E153),1,(12-MONTH(E153)+1)/12))) + (Q153)*(IF((YEAR(D153)+7)&lt;YEAR(E153),0,IF((YEAR(D153)+7)&gt;YEAR(E153),1,(12-MONTH(E153)+1)/12))))-((P153)*(IF((YEAR(D153)+7)&lt;YEAR(E153),0,IF((YEAR(D153)+7)&gt;YEAR(E153),1,(12-MONTH(E153)+1)/12))) + (R153)*(IF((YEAR(D153)+7)&lt;YEAR(E153),0,IF((YEAR(D153)+7)&gt;YEAR(E153),1,(12-MONTH(E153)+1)/12))))-(IF(OR(N153="",N153&lt;=0),0,(O153/N153)*(IF(OR(N153="",N153&lt;=0),0,IF((YEAR(D153)+7)&lt;YEAR(E153),0,IF((YEAR(D153)+7)&gt;=YEAR(E153)+N153,0,IF((YEAR(D153)+7)=YEAR(E153),(12-MONTH(E153)+1)/12,1))))))))*TaxRate,0))-IF(7=0,O153,0))</f>
        <v/>
      </c>
      <c r="AA153" s="29">
        <f>IF(A153="","",((K153)*(IF(M153="",L153,IFERROR(IF(INDEX(Variablen!$I:$AT, MATCH(M153, Variablen!$A:$A, 0), MATCH((YEAR(D153)+8), Variablen!$I$3:$AT$3, 0))="",L153,INDEX(Variablen!$I:$AT, MATCH(M153, Variablen!$A:$A, 0), MATCH((YEAR(D153)+8), Variablen!$I$3:$AT$3, 0))),L153)))*(IF((YEAR(D153)+8)&lt;YEAR(E153),0,IF((YEAR(D153)+8)&gt;YEAR(E153),1,(12-MONTH(E153)+1)/12))) + (Q153)*(IF((YEAR(D153)+8)&lt;YEAR(E153),0,IF((YEAR(D153)+8)&gt;YEAR(E153),1,(12-MONTH(E153)+1)/12))))-((P153)*(IF((YEAR(D153)+8)&lt;YEAR(E153),0,IF((YEAR(D153)+8)&gt;YEAR(E153),1,(12-MONTH(E153)+1)/12))) + (R153)*(IF((YEAR(D153)+8)&lt;YEAR(E153),0,IF((YEAR(D153)+8)&gt;YEAR(E153),1,(12-MONTH(E153)+1)/12))))-(IF((((K153)*(IF(M153="",L153,IFERROR(IF(INDEX(Variablen!$I:$AT, MATCH(M153, Variablen!$A:$A, 0), MATCH((YEAR(D153)+8), Variablen!$I$3:$AT$3, 0))="",L153,INDEX(Variablen!$I:$AT, MATCH(M153, Variablen!$A:$A, 0), MATCH((YEAR(D153)+8), Variablen!$I$3:$AT$3, 0))),L153)))*(IF((YEAR(D153)+8)&lt;YEAR(E153),0,IF((YEAR(D153)+8)&gt;YEAR(E153),1,(12-MONTH(E153)+1)/12))) + (Q153)*(IF((YEAR(D153)+8)&lt;YEAR(E153),0,IF((YEAR(D153)+8)&gt;YEAR(E153),1,(12-MONTH(E153)+1)/12))))-((P153)*(IF((YEAR(D153)+8)&lt;YEAR(E153),0,IF((YEAR(D153)+8)&gt;YEAR(E153),1,(12-MONTH(E153)+1)/12))) + (R153)*(IF((YEAR(D153)+8)&lt;YEAR(E153),0,IF((YEAR(D153)+8)&gt;YEAR(E153),1,(12-MONTH(E153)+1)/12))))-(IF(OR(N153="",N153&lt;=0),0,(O153/N153)*(IF(OR(N153="",N153&lt;=0),0,IF((YEAR(D153)+8)&lt;YEAR(E153),0,IF((YEAR(D153)+8)&gt;=YEAR(E153)+N153,0,IF((YEAR(D153)+8)=YEAR(E153),(12-MONTH(E153)+1)/12,1))))))))&gt;0,(((K153)*(IF(M153="",L153,IFERROR(IF(INDEX(Variablen!$I:$AT, MATCH(M153, Variablen!$A:$A, 0), MATCH((YEAR(D153)+8), Variablen!$I$3:$AT$3, 0))="",L153,INDEX(Variablen!$I:$AT, MATCH(M153, Variablen!$A:$A, 0), MATCH((YEAR(D153)+8), Variablen!$I$3:$AT$3, 0))),L153)))*(IF((YEAR(D153)+8)&lt;YEAR(E153),0,IF((YEAR(D153)+8)&gt;YEAR(E153),1,(12-MONTH(E153)+1)/12))) + (Q153)*(IF((YEAR(D153)+8)&lt;YEAR(E153),0,IF((YEAR(D153)+8)&gt;YEAR(E153),1,(12-MONTH(E153)+1)/12))))-((P153)*(IF((YEAR(D153)+8)&lt;YEAR(E153),0,IF((YEAR(D153)+8)&gt;YEAR(E153),1,(12-MONTH(E153)+1)/12))) + (R153)*(IF((YEAR(D153)+8)&lt;YEAR(E153),0,IF((YEAR(D153)+8)&gt;YEAR(E153),1,(12-MONTH(E153)+1)/12))))-(IF(OR(N153="",N153&lt;=0),0,(O153/N153)*(IF(OR(N153="",N153&lt;=0),0,IF((YEAR(D153)+8)&lt;YEAR(E153),0,IF((YEAR(D153)+8)&gt;=YEAR(E153)+N153,0,IF((YEAR(D153)+8)=YEAR(E153),(12-MONTH(E153)+1)/12,1))))))))*TaxRate,0))-IF(8=0,O153,0))</f>
        <v/>
      </c>
      <c r="AB153" s="29">
        <f>IF(A153="","",((K153)*(IF(M153="",L153,IFERROR(IF(INDEX(Variablen!$I:$AT, MATCH(M153, Variablen!$A:$A, 0), MATCH((YEAR(D153)+9), Variablen!$I$3:$AT$3, 0))="",L153,INDEX(Variablen!$I:$AT, MATCH(M153, Variablen!$A:$A, 0), MATCH((YEAR(D153)+9), Variablen!$I$3:$AT$3, 0))),L153)))*(IF((YEAR(D153)+9)&lt;YEAR(E153),0,IF((YEAR(D153)+9)&gt;YEAR(E153),1,(12-MONTH(E153)+1)/12))) + (Q153)*(IF((YEAR(D153)+9)&lt;YEAR(E153),0,IF((YEAR(D153)+9)&gt;YEAR(E153),1,(12-MONTH(E153)+1)/12))))-((P153)*(IF((YEAR(D153)+9)&lt;YEAR(E153),0,IF((YEAR(D153)+9)&gt;YEAR(E153),1,(12-MONTH(E153)+1)/12))) + (R153)*(IF((YEAR(D153)+9)&lt;YEAR(E153),0,IF((YEAR(D153)+9)&gt;YEAR(E153),1,(12-MONTH(E153)+1)/12))))-(IF((((K153)*(IF(M153="",L153,IFERROR(IF(INDEX(Variablen!$I:$AT, MATCH(M153, Variablen!$A:$A, 0), MATCH((YEAR(D153)+9), Variablen!$I$3:$AT$3, 0))="",L153,INDEX(Variablen!$I:$AT, MATCH(M153, Variablen!$A:$A, 0), MATCH((YEAR(D153)+9), Variablen!$I$3:$AT$3, 0))),L153)))*(IF((YEAR(D153)+9)&lt;YEAR(E153),0,IF((YEAR(D153)+9)&gt;YEAR(E153),1,(12-MONTH(E153)+1)/12))) + (Q153)*(IF((YEAR(D153)+9)&lt;YEAR(E153),0,IF((YEAR(D153)+9)&gt;YEAR(E153),1,(12-MONTH(E153)+1)/12))))-((P153)*(IF((YEAR(D153)+9)&lt;YEAR(E153),0,IF((YEAR(D153)+9)&gt;YEAR(E153),1,(12-MONTH(E153)+1)/12))) + (R153)*(IF((YEAR(D153)+9)&lt;YEAR(E153),0,IF((YEAR(D153)+9)&gt;YEAR(E153),1,(12-MONTH(E153)+1)/12))))-(IF(OR(N153="",N153&lt;=0),0,(O153/N153)*(IF(OR(N153="",N153&lt;=0),0,IF((YEAR(D153)+9)&lt;YEAR(E153),0,IF((YEAR(D153)+9)&gt;=YEAR(E153)+N153,0,IF((YEAR(D153)+9)=YEAR(E153),(12-MONTH(E153)+1)/12,1))))))))&gt;0,(((K153)*(IF(M153="",L153,IFERROR(IF(INDEX(Variablen!$I:$AT, MATCH(M153, Variablen!$A:$A, 0), MATCH((YEAR(D153)+9), Variablen!$I$3:$AT$3, 0))="",L153,INDEX(Variablen!$I:$AT, MATCH(M153, Variablen!$A:$A, 0), MATCH((YEAR(D153)+9), Variablen!$I$3:$AT$3, 0))),L153)))*(IF((YEAR(D153)+9)&lt;YEAR(E153),0,IF((YEAR(D153)+9)&gt;YEAR(E153),1,(12-MONTH(E153)+1)/12))) + (Q153)*(IF((YEAR(D153)+9)&lt;YEAR(E153),0,IF((YEAR(D153)+9)&gt;YEAR(E153),1,(12-MONTH(E153)+1)/12))))-((P153)*(IF((YEAR(D153)+9)&lt;YEAR(E153),0,IF((YEAR(D153)+9)&gt;YEAR(E153),1,(12-MONTH(E153)+1)/12))) + (R153)*(IF((YEAR(D153)+9)&lt;YEAR(E153),0,IF((YEAR(D153)+9)&gt;YEAR(E153),1,(12-MONTH(E153)+1)/12))))-(IF(OR(N153="",N153&lt;=0),0,(O153/N153)*(IF(OR(N153="",N153&lt;=0),0,IF((YEAR(D153)+9)&lt;YEAR(E153),0,IF((YEAR(D153)+9)&gt;=YEAR(E153)+N153,0,IF((YEAR(D153)+9)=YEAR(E153),(12-MONTH(E153)+1)/12,1))))))))*TaxRate,0))-IF(9=0,O153,0))</f>
        <v/>
      </c>
      <c r="AC153" s="29">
        <f>IF(A153="","",((K153)*(IF(M153="",L153,IFERROR(IF(INDEX(Variablen!$I:$AT, MATCH(M153, Variablen!$A:$A, 0), MATCH((YEAR(D153)+10), Variablen!$I$3:$AT$3, 0))="",L153,INDEX(Variablen!$I:$AT, MATCH(M153, Variablen!$A:$A, 0), MATCH((YEAR(D153)+10), Variablen!$I$3:$AT$3, 0))),L153)))*(IF((YEAR(D153)+10)&lt;YEAR(E153),0,IF((YEAR(D153)+10)&gt;YEAR(E153),1,(12-MONTH(E153)+1)/12))) + (Q153)*(IF((YEAR(D153)+10)&lt;YEAR(E153),0,IF((YEAR(D153)+10)&gt;YEAR(E153),1,(12-MONTH(E153)+1)/12))))-((P153)*(IF((YEAR(D153)+10)&lt;YEAR(E153),0,IF((YEAR(D153)+10)&gt;YEAR(E153),1,(12-MONTH(E153)+1)/12))) + (R153)*(IF((YEAR(D153)+10)&lt;YEAR(E153),0,IF((YEAR(D153)+10)&gt;YEAR(E153),1,(12-MONTH(E153)+1)/12))))-(IF((((K153)*(IF(M153="",L153,IFERROR(IF(INDEX(Variablen!$I:$AT, MATCH(M153, Variablen!$A:$A, 0), MATCH((YEAR(D153)+10), Variablen!$I$3:$AT$3, 0))="",L153,INDEX(Variablen!$I:$AT, MATCH(M153, Variablen!$A:$A, 0), MATCH((YEAR(D153)+10), Variablen!$I$3:$AT$3, 0))),L153)))*(IF((YEAR(D153)+10)&lt;YEAR(E153),0,IF((YEAR(D153)+10)&gt;YEAR(E153),1,(12-MONTH(E153)+1)/12))) + (Q153)*(IF((YEAR(D153)+10)&lt;YEAR(E153),0,IF((YEAR(D153)+10)&gt;YEAR(E153),1,(12-MONTH(E153)+1)/12))))-((P153)*(IF((YEAR(D153)+10)&lt;YEAR(E153),0,IF((YEAR(D153)+10)&gt;YEAR(E153),1,(12-MONTH(E153)+1)/12))) + (R153)*(IF((YEAR(D153)+10)&lt;YEAR(E153),0,IF((YEAR(D153)+10)&gt;YEAR(E153),1,(12-MONTH(E153)+1)/12))))-(IF(OR(N153="",N153&lt;=0),0,(O153/N153)*(IF(OR(N153="",N153&lt;=0),0,IF((YEAR(D153)+10)&lt;YEAR(E153),0,IF((YEAR(D153)+10)&gt;=YEAR(E153)+N153,0,IF((YEAR(D153)+10)=YEAR(E153),(12-MONTH(E153)+1)/12,1))))))))&gt;0,(((K153)*(IF(M153="",L153,IFERROR(IF(INDEX(Variablen!$I:$AT, MATCH(M153, Variablen!$A:$A, 0), MATCH((YEAR(D153)+10), Variablen!$I$3:$AT$3, 0))="",L153,INDEX(Variablen!$I:$AT, MATCH(M153, Variablen!$A:$A, 0), MATCH((YEAR(D153)+10), Variablen!$I$3:$AT$3, 0))),L153)))*(IF((YEAR(D153)+10)&lt;YEAR(E153),0,IF((YEAR(D153)+10)&gt;YEAR(E153),1,(12-MONTH(E153)+1)/12))) + (Q153)*(IF((YEAR(D153)+10)&lt;YEAR(E153),0,IF((YEAR(D153)+10)&gt;YEAR(E153),1,(12-MONTH(E153)+1)/12))))-((P153)*(IF((YEAR(D153)+10)&lt;YEAR(E153),0,IF((YEAR(D153)+10)&gt;YEAR(E153),1,(12-MONTH(E153)+1)/12))) + (R153)*(IF((YEAR(D153)+10)&lt;YEAR(E153),0,IF((YEAR(D153)+10)&gt;YEAR(E153),1,(12-MONTH(E153)+1)/12))))-(IF(OR(N153="",N153&lt;=0),0,(O153/N153)*(IF(OR(N153="",N153&lt;=0),0,IF((YEAR(D153)+10)&lt;YEAR(E153),0,IF((YEAR(D153)+10)&gt;=YEAR(E153)+N153,0,IF((YEAR(D153)+10)=YEAR(E153),(12-MONTH(E153)+1)/12,1))))))))*TaxRate,0))-IF(10=0,O153,0))</f>
        <v/>
      </c>
      <c r="AD153" s="29">
        <f>IF(A153="","",((K153)*(IF(M153="",L153,IFERROR(IF(INDEX(Variablen!$I:$AT, MATCH(M153, Variablen!$A:$A, 0), MATCH((YEAR(D153)+11), Variablen!$I$3:$AT$3, 0))="",L153,INDEX(Variablen!$I:$AT, MATCH(M153, Variablen!$A:$A, 0), MATCH((YEAR(D153)+11), Variablen!$I$3:$AT$3, 0))),L153)))*(IF((YEAR(D153)+11)&lt;YEAR(E153),0,IF((YEAR(D153)+11)&gt;YEAR(E153),1,(12-MONTH(E153)+1)/12))) + (Q153)*(IF((YEAR(D153)+11)&lt;YEAR(E153),0,IF((YEAR(D153)+11)&gt;YEAR(E153),1,(12-MONTH(E153)+1)/12))))-((P153)*(IF((YEAR(D153)+11)&lt;YEAR(E153),0,IF((YEAR(D153)+11)&gt;YEAR(E153),1,(12-MONTH(E153)+1)/12))) + (R153)*(IF((YEAR(D153)+11)&lt;YEAR(E153),0,IF((YEAR(D153)+11)&gt;YEAR(E153),1,(12-MONTH(E153)+1)/12))))-(IF((((K153)*(IF(M153="",L153,IFERROR(IF(INDEX(Variablen!$I:$AT, MATCH(M153, Variablen!$A:$A, 0), MATCH((YEAR(D153)+11), Variablen!$I$3:$AT$3, 0))="",L153,INDEX(Variablen!$I:$AT, MATCH(M153, Variablen!$A:$A, 0), MATCH((YEAR(D153)+11), Variablen!$I$3:$AT$3, 0))),L153)))*(IF((YEAR(D153)+11)&lt;YEAR(E153),0,IF((YEAR(D153)+11)&gt;YEAR(E153),1,(12-MONTH(E153)+1)/12))) + (Q153)*(IF((YEAR(D153)+11)&lt;YEAR(E153),0,IF((YEAR(D153)+11)&gt;YEAR(E153),1,(12-MONTH(E153)+1)/12))))-((P153)*(IF((YEAR(D153)+11)&lt;YEAR(E153),0,IF((YEAR(D153)+11)&gt;YEAR(E153),1,(12-MONTH(E153)+1)/12))) + (R153)*(IF((YEAR(D153)+11)&lt;YEAR(E153),0,IF((YEAR(D153)+11)&gt;YEAR(E153),1,(12-MONTH(E153)+1)/12))))-(IF(OR(N153="",N153&lt;=0),0,(O153/N153)*(IF(OR(N153="",N153&lt;=0),0,IF((YEAR(D153)+11)&lt;YEAR(E153),0,IF((YEAR(D153)+11)&gt;=YEAR(E153)+N153,0,IF((YEAR(D153)+11)=YEAR(E153),(12-MONTH(E153)+1)/12,1))))))))&gt;0,(((K153)*(IF(M153="",L153,IFERROR(IF(INDEX(Variablen!$I:$AT, MATCH(M153, Variablen!$A:$A, 0), MATCH((YEAR(D153)+11), Variablen!$I$3:$AT$3, 0))="",L153,INDEX(Variablen!$I:$AT, MATCH(M153, Variablen!$A:$A, 0), MATCH((YEAR(D153)+11), Variablen!$I$3:$AT$3, 0))),L153)))*(IF((YEAR(D153)+11)&lt;YEAR(E153),0,IF((YEAR(D153)+11)&gt;YEAR(E153),1,(12-MONTH(E153)+1)/12))) + (Q153)*(IF((YEAR(D153)+11)&lt;YEAR(E153),0,IF((YEAR(D153)+11)&gt;YEAR(E153),1,(12-MONTH(E153)+1)/12))))-((P153)*(IF((YEAR(D153)+11)&lt;YEAR(E153),0,IF((YEAR(D153)+11)&gt;YEAR(E153),1,(12-MONTH(E153)+1)/12))) + (R153)*(IF((YEAR(D153)+11)&lt;YEAR(E153),0,IF((YEAR(D153)+11)&gt;YEAR(E153),1,(12-MONTH(E153)+1)/12))))-(IF(OR(N153="",N153&lt;=0),0,(O153/N153)*(IF(OR(N153="",N153&lt;=0),0,IF((YEAR(D153)+11)&lt;YEAR(E153),0,IF((YEAR(D153)+11)&gt;=YEAR(E153)+N153,0,IF((YEAR(D153)+11)=YEAR(E153),(12-MONTH(E153)+1)/12,1))))))))*TaxRate,0))-IF(11=0,O153,0))</f>
        <v/>
      </c>
      <c r="AE153" s="29">
        <f>IF(A153="","",((K153)*(IF(M153="",L153,IFERROR(IF(INDEX(Variablen!$I:$AT, MATCH(M153, Variablen!$A:$A, 0), MATCH((YEAR(D153)+12), Variablen!$I$3:$AT$3, 0))="",L153,INDEX(Variablen!$I:$AT, MATCH(M153, Variablen!$A:$A, 0), MATCH((YEAR(D153)+12), Variablen!$I$3:$AT$3, 0))),L153)))*(IF((YEAR(D153)+12)&lt;YEAR(E153),0,IF((YEAR(D153)+12)&gt;YEAR(E153),1,(12-MONTH(E153)+1)/12))) + (Q153)*(IF((YEAR(D153)+12)&lt;YEAR(E153),0,IF((YEAR(D153)+12)&gt;YEAR(E153),1,(12-MONTH(E153)+1)/12))))-((P153)*(IF((YEAR(D153)+12)&lt;YEAR(E153),0,IF((YEAR(D153)+12)&gt;YEAR(E153),1,(12-MONTH(E153)+1)/12))) + (R153)*(IF((YEAR(D153)+12)&lt;YEAR(E153),0,IF((YEAR(D153)+12)&gt;YEAR(E153),1,(12-MONTH(E153)+1)/12))))-(IF((((K153)*(IF(M153="",L153,IFERROR(IF(INDEX(Variablen!$I:$AT, MATCH(M153, Variablen!$A:$A, 0), MATCH((YEAR(D153)+12), Variablen!$I$3:$AT$3, 0))="",L153,INDEX(Variablen!$I:$AT, MATCH(M153, Variablen!$A:$A, 0), MATCH((YEAR(D153)+12), Variablen!$I$3:$AT$3, 0))),L153)))*(IF((YEAR(D153)+12)&lt;YEAR(E153),0,IF((YEAR(D153)+12)&gt;YEAR(E153),1,(12-MONTH(E153)+1)/12))) + (Q153)*(IF((YEAR(D153)+12)&lt;YEAR(E153),0,IF((YEAR(D153)+12)&gt;YEAR(E153),1,(12-MONTH(E153)+1)/12))))-((P153)*(IF((YEAR(D153)+12)&lt;YEAR(E153),0,IF((YEAR(D153)+12)&gt;YEAR(E153),1,(12-MONTH(E153)+1)/12))) + (R153)*(IF((YEAR(D153)+12)&lt;YEAR(E153),0,IF((YEAR(D153)+12)&gt;YEAR(E153),1,(12-MONTH(E153)+1)/12))))-(IF(OR(N153="",N153&lt;=0),0,(O153/N153)*(IF(OR(N153="",N153&lt;=0),0,IF((YEAR(D153)+12)&lt;YEAR(E153),0,IF((YEAR(D153)+12)&gt;=YEAR(E153)+N153,0,IF((YEAR(D153)+12)=YEAR(E153),(12-MONTH(E153)+1)/12,1))))))))&gt;0,(((K153)*(IF(M153="",L153,IFERROR(IF(INDEX(Variablen!$I:$AT, MATCH(M153, Variablen!$A:$A, 0), MATCH((YEAR(D153)+12), Variablen!$I$3:$AT$3, 0))="",L153,INDEX(Variablen!$I:$AT, MATCH(M153, Variablen!$A:$A, 0), MATCH((YEAR(D153)+12), Variablen!$I$3:$AT$3, 0))),L153)))*(IF((YEAR(D153)+12)&lt;YEAR(E153),0,IF((YEAR(D153)+12)&gt;YEAR(E153),1,(12-MONTH(E153)+1)/12))) + (Q153)*(IF((YEAR(D153)+12)&lt;YEAR(E153),0,IF((YEAR(D153)+12)&gt;YEAR(E153),1,(12-MONTH(E153)+1)/12))))-((P153)*(IF((YEAR(D153)+12)&lt;YEAR(E153),0,IF((YEAR(D153)+12)&gt;YEAR(E153),1,(12-MONTH(E153)+1)/12))) + (R153)*(IF((YEAR(D153)+12)&lt;YEAR(E153),0,IF((YEAR(D153)+12)&gt;YEAR(E153),1,(12-MONTH(E153)+1)/12))))-(IF(OR(N153="",N153&lt;=0),0,(O153/N153)*(IF(OR(N153="",N153&lt;=0),0,IF((YEAR(D153)+12)&lt;YEAR(E153),0,IF((YEAR(D153)+12)&gt;=YEAR(E153)+N153,0,IF((YEAR(D153)+12)=YEAR(E153),(12-MONTH(E153)+1)/12,1))))))))*TaxRate,0))-IF(12=0,O153,0))</f>
        <v/>
      </c>
      <c r="AF153" s="29">
        <f>IF(A153="","",((K153)*(IF(M153="",L153,IFERROR(IF(INDEX(Variablen!$I:$AT, MATCH(M153, Variablen!$A:$A, 0), MATCH((YEAR(D153)+13), Variablen!$I$3:$AT$3, 0))="",L153,INDEX(Variablen!$I:$AT, MATCH(M153, Variablen!$A:$A, 0), MATCH((YEAR(D153)+13), Variablen!$I$3:$AT$3, 0))),L153)))*(IF((YEAR(D153)+13)&lt;YEAR(E153),0,IF((YEAR(D153)+13)&gt;YEAR(E153),1,(12-MONTH(E153)+1)/12))) + (Q153)*(IF((YEAR(D153)+13)&lt;YEAR(E153),0,IF((YEAR(D153)+13)&gt;YEAR(E153),1,(12-MONTH(E153)+1)/12))))-((P153)*(IF((YEAR(D153)+13)&lt;YEAR(E153),0,IF((YEAR(D153)+13)&gt;YEAR(E153),1,(12-MONTH(E153)+1)/12))) + (R153)*(IF((YEAR(D153)+13)&lt;YEAR(E153),0,IF((YEAR(D153)+13)&gt;YEAR(E153),1,(12-MONTH(E153)+1)/12))))-(IF((((K153)*(IF(M153="",L153,IFERROR(IF(INDEX(Variablen!$I:$AT, MATCH(M153, Variablen!$A:$A, 0), MATCH((YEAR(D153)+13), Variablen!$I$3:$AT$3, 0))="",L153,INDEX(Variablen!$I:$AT, MATCH(M153, Variablen!$A:$A, 0), MATCH((YEAR(D153)+13), Variablen!$I$3:$AT$3, 0))),L153)))*(IF((YEAR(D153)+13)&lt;YEAR(E153),0,IF((YEAR(D153)+13)&gt;YEAR(E153),1,(12-MONTH(E153)+1)/12))) + (Q153)*(IF((YEAR(D153)+13)&lt;YEAR(E153),0,IF((YEAR(D153)+13)&gt;YEAR(E153),1,(12-MONTH(E153)+1)/12))))-((P153)*(IF((YEAR(D153)+13)&lt;YEAR(E153),0,IF((YEAR(D153)+13)&gt;YEAR(E153),1,(12-MONTH(E153)+1)/12))) + (R153)*(IF((YEAR(D153)+13)&lt;YEAR(E153),0,IF((YEAR(D153)+13)&gt;YEAR(E153),1,(12-MONTH(E153)+1)/12))))-(IF(OR(N153="",N153&lt;=0),0,(O153/N153)*(IF(OR(N153="",N153&lt;=0),0,IF((YEAR(D153)+13)&lt;YEAR(E153),0,IF((YEAR(D153)+13)&gt;=YEAR(E153)+N153,0,IF((YEAR(D153)+13)=YEAR(E153),(12-MONTH(E153)+1)/12,1))))))))&gt;0,(((K153)*(IF(M153="",L153,IFERROR(IF(INDEX(Variablen!$I:$AT, MATCH(M153, Variablen!$A:$A, 0), MATCH((YEAR(D153)+13), Variablen!$I$3:$AT$3, 0))="",L153,INDEX(Variablen!$I:$AT, MATCH(M153, Variablen!$A:$A, 0), MATCH((YEAR(D153)+13), Variablen!$I$3:$AT$3, 0))),L153)))*(IF((YEAR(D153)+13)&lt;YEAR(E153),0,IF((YEAR(D153)+13)&gt;YEAR(E153),1,(12-MONTH(E153)+1)/12))) + (Q153)*(IF((YEAR(D153)+13)&lt;YEAR(E153),0,IF((YEAR(D153)+13)&gt;YEAR(E153),1,(12-MONTH(E153)+1)/12))))-((P153)*(IF((YEAR(D153)+13)&lt;YEAR(E153),0,IF((YEAR(D153)+13)&gt;YEAR(E153),1,(12-MONTH(E153)+1)/12))) + (R153)*(IF((YEAR(D153)+13)&lt;YEAR(E153),0,IF((YEAR(D153)+13)&gt;YEAR(E153),1,(12-MONTH(E153)+1)/12))))-(IF(OR(N153="",N153&lt;=0),0,(O153/N153)*(IF(OR(N153="",N153&lt;=0),0,IF((YEAR(D153)+13)&lt;YEAR(E153),0,IF((YEAR(D153)+13)&gt;=YEAR(E153)+N153,0,IF((YEAR(D153)+13)=YEAR(E153),(12-MONTH(E153)+1)/12,1))))))))*TaxRate,0))-IF(13=0,O153,0))</f>
        <v/>
      </c>
      <c r="AG153" s="29">
        <f>IF(A153="","",((K153)*(IF(M153="",L153,IFERROR(IF(INDEX(Variablen!$I:$AT, MATCH(M153, Variablen!$A:$A, 0), MATCH((YEAR(D153)+14), Variablen!$I$3:$AT$3, 0))="",L153,INDEX(Variablen!$I:$AT, MATCH(M153, Variablen!$A:$A, 0), MATCH((YEAR(D153)+14), Variablen!$I$3:$AT$3, 0))),L153)))*(IF((YEAR(D153)+14)&lt;YEAR(E153),0,IF((YEAR(D153)+14)&gt;YEAR(E153),1,(12-MONTH(E153)+1)/12))) + (Q153)*(IF((YEAR(D153)+14)&lt;YEAR(E153),0,IF((YEAR(D153)+14)&gt;YEAR(E153),1,(12-MONTH(E153)+1)/12))))-((P153)*(IF((YEAR(D153)+14)&lt;YEAR(E153),0,IF((YEAR(D153)+14)&gt;YEAR(E153),1,(12-MONTH(E153)+1)/12))) + (R153)*(IF((YEAR(D153)+14)&lt;YEAR(E153),0,IF((YEAR(D153)+14)&gt;YEAR(E153),1,(12-MONTH(E153)+1)/12))))-(IF((((K153)*(IF(M153="",L153,IFERROR(IF(INDEX(Variablen!$I:$AT, MATCH(M153, Variablen!$A:$A, 0), MATCH((YEAR(D153)+14), Variablen!$I$3:$AT$3, 0))="",L153,INDEX(Variablen!$I:$AT, MATCH(M153, Variablen!$A:$A, 0), MATCH((YEAR(D153)+14), Variablen!$I$3:$AT$3, 0))),L153)))*(IF((YEAR(D153)+14)&lt;YEAR(E153),0,IF((YEAR(D153)+14)&gt;YEAR(E153),1,(12-MONTH(E153)+1)/12))) + (Q153)*(IF((YEAR(D153)+14)&lt;YEAR(E153),0,IF((YEAR(D153)+14)&gt;YEAR(E153),1,(12-MONTH(E153)+1)/12))))-((P153)*(IF((YEAR(D153)+14)&lt;YEAR(E153),0,IF((YEAR(D153)+14)&gt;YEAR(E153),1,(12-MONTH(E153)+1)/12))) + (R153)*(IF((YEAR(D153)+14)&lt;YEAR(E153),0,IF((YEAR(D153)+14)&gt;YEAR(E153),1,(12-MONTH(E153)+1)/12))))-(IF(OR(N153="",N153&lt;=0),0,(O153/N153)*(IF(OR(N153="",N153&lt;=0),0,IF((YEAR(D153)+14)&lt;YEAR(E153),0,IF((YEAR(D153)+14)&gt;=YEAR(E153)+N153,0,IF((YEAR(D153)+14)=YEAR(E153),(12-MONTH(E153)+1)/12,1))))))))&gt;0,(((K153)*(IF(M153="",L153,IFERROR(IF(INDEX(Variablen!$I:$AT, MATCH(M153, Variablen!$A:$A, 0), MATCH((YEAR(D153)+14), Variablen!$I$3:$AT$3, 0))="",L153,INDEX(Variablen!$I:$AT, MATCH(M153, Variablen!$A:$A, 0), MATCH((YEAR(D153)+14), Variablen!$I$3:$AT$3, 0))),L153)))*(IF((YEAR(D153)+14)&lt;YEAR(E153),0,IF((YEAR(D153)+14)&gt;YEAR(E153),1,(12-MONTH(E153)+1)/12))) + (Q153)*(IF((YEAR(D153)+14)&lt;YEAR(E153),0,IF((YEAR(D153)+14)&gt;YEAR(E153),1,(12-MONTH(E153)+1)/12))))-((P153)*(IF((YEAR(D153)+14)&lt;YEAR(E153),0,IF((YEAR(D153)+14)&gt;YEAR(E153),1,(12-MONTH(E153)+1)/12))) + (R153)*(IF((YEAR(D153)+14)&lt;YEAR(E153),0,IF((YEAR(D153)+14)&gt;YEAR(E153),1,(12-MONTH(E153)+1)/12))))-(IF(OR(N153="",N153&lt;=0),0,(O153/N153)*(IF(OR(N153="",N153&lt;=0),0,IF((YEAR(D153)+14)&lt;YEAR(E153),0,IF((YEAR(D153)+14)&gt;=YEAR(E153)+N153,0,IF((YEAR(D153)+14)=YEAR(E153),(12-MONTH(E153)+1)/12,1))))))))*TaxRate,0))-IF(14=0,O153,0))</f>
        <v/>
      </c>
      <c r="AH153" s="29">
        <f>IF(A153="","",((K153)*(IF(M153="",L153,IFERROR(IF(INDEX(Variablen!$I:$AT, MATCH(M153, Variablen!$A:$A, 0), MATCH((YEAR(D153)+15), Variablen!$I$3:$AT$3, 0))="",L153,INDEX(Variablen!$I:$AT, MATCH(M153, Variablen!$A:$A, 0), MATCH((YEAR(D153)+15), Variablen!$I$3:$AT$3, 0))),L153)))*(IF((YEAR(D153)+15)&lt;YEAR(E153),0,IF((YEAR(D153)+15)&gt;YEAR(E153),1,(12-MONTH(E153)+1)/12))) + (Q153)*(IF((YEAR(D153)+15)&lt;YEAR(E153),0,IF((YEAR(D153)+15)&gt;YEAR(E153),1,(12-MONTH(E153)+1)/12))))-((P153)*(IF((YEAR(D153)+15)&lt;YEAR(E153),0,IF((YEAR(D153)+15)&gt;YEAR(E153),1,(12-MONTH(E153)+1)/12))) + (R153)*(IF((YEAR(D153)+15)&lt;YEAR(E153),0,IF((YEAR(D153)+15)&gt;YEAR(E153),1,(12-MONTH(E153)+1)/12))))-(IF((((K153)*(IF(M153="",L153,IFERROR(IF(INDEX(Variablen!$I:$AT, MATCH(M153, Variablen!$A:$A, 0), MATCH((YEAR(D153)+15), Variablen!$I$3:$AT$3, 0))="",L153,INDEX(Variablen!$I:$AT, MATCH(M153, Variablen!$A:$A, 0), MATCH((YEAR(D153)+15), Variablen!$I$3:$AT$3, 0))),L153)))*(IF((YEAR(D153)+15)&lt;YEAR(E153),0,IF((YEAR(D153)+15)&gt;YEAR(E153),1,(12-MONTH(E153)+1)/12))) + (Q153)*(IF((YEAR(D153)+15)&lt;YEAR(E153),0,IF((YEAR(D153)+15)&gt;YEAR(E153),1,(12-MONTH(E153)+1)/12))))-((P153)*(IF((YEAR(D153)+15)&lt;YEAR(E153),0,IF((YEAR(D153)+15)&gt;YEAR(E153),1,(12-MONTH(E153)+1)/12))) + (R153)*(IF((YEAR(D153)+15)&lt;YEAR(E153),0,IF((YEAR(D153)+15)&gt;YEAR(E153),1,(12-MONTH(E153)+1)/12))))-(IF(OR(N153="",N153&lt;=0),0,(O153/N153)*(IF(OR(N153="",N153&lt;=0),0,IF((YEAR(D153)+15)&lt;YEAR(E153),0,IF((YEAR(D153)+15)&gt;=YEAR(E153)+N153,0,IF((YEAR(D153)+15)=YEAR(E153),(12-MONTH(E153)+1)/12,1))))))))&gt;0,(((K153)*(IF(M153="",L153,IFERROR(IF(INDEX(Variablen!$I:$AT, MATCH(M153, Variablen!$A:$A, 0), MATCH((YEAR(D153)+15), Variablen!$I$3:$AT$3, 0))="",L153,INDEX(Variablen!$I:$AT, MATCH(M153, Variablen!$A:$A, 0), MATCH((YEAR(D153)+15), Variablen!$I$3:$AT$3, 0))),L153)))*(IF((YEAR(D153)+15)&lt;YEAR(E153),0,IF((YEAR(D153)+15)&gt;YEAR(E153),1,(12-MONTH(E153)+1)/12))) + (Q153)*(IF((YEAR(D153)+15)&lt;YEAR(E153),0,IF((YEAR(D153)+15)&gt;YEAR(E153),1,(12-MONTH(E153)+1)/12))))-((P153)*(IF((YEAR(D153)+15)&lt;YEAR(E153),0,IF((YEAR(D153)+15)&gt;YEAR(E153),1,(12-MONTH(E153)+1)/12))) + (R153)*(IF((YEAR(D153)+15)&lt;YEAR(E153),0,IF((YEAR(D153)+15)&gt;YEAR(E153),1,(12-MONTH(E153)+1)/12))))-(IF(OR(N153="",N153&lt;=0),0,(O153/N153)*(IF(OR(N153="",N153&lt;=0),0,IF((YEAR(D153)+15)&lt;YEAR(E153),0,IF((YEAR(D153)+15)&gt;=YEAR(E153)+N153,0,IF((YEAR(D153)+15)=YEAR(E153),(12-MONTH(E153)+1)/12,1))))))))*TaxRate,0))-IF(15=0,O153,0))</f>
        <v/>
      </c>
      <c r="AI153" s="29">
        <f>IF(A153="","",((K153)*(IF(M153="",L153,IFERROR(IF(INDEX(Variablen!$I:$AT, MATCH(M153, Variablen!$A:$A, 0), MATCH((YEAR(D153)+16), Variablen!$I$3:$AT$3, 0))="",L153,INDEX(Variablen!$I:$AT, MATCH(M153, Variablen!$A:$A, 0), MATCH((YEAR(D153)+16), Variablen!$I$3:$AT$3, 0))),L153)))*(IF((YEAR(D153)+16)&lt;YEAR(E153),0,IF((YEAR(D153)+16)&gt;YEAR(E153),1,(12-MONTH(E153)+1)/12))) + (Q153)*(IF((YEAR(D153)+16)&lt;YEAR(E153),0,IF((YEAR(D153)+16)&gt;YEAR(E153),1,(12-MONTH(E153)+1)/12))))-((P153)*(IF((YEAR(D153)+16)&lt;YEAR(E153),0,IF((YEAR(D153)+16)&gt;YEAR(E153),1,(12-MONTH(E153)+1)/12))) + (R153)*(IF((YEAR(D153)+16)&lt;YEAR(E153),0,IF((YEAR(D153)+16)&gt;YEAR(E153),1,(12-MONTH(E153)+1)/12))))-(IF((((K153)*(IF(M153="",L153,IFERROR(IF(INDEX(Variablen!$I:$AT, MATCH(M153, Variablen!$A:$A, 0), MATCH((YEAR(D153)+16), Variablen!$I$3:$AT$3, 0))="",L153,INDEX(Variablen!$I:$AT, MATCH(M153, Variablen!$A:$A, 0), MATCH((YEAR(D153)+16), Variablen!$I$3:$AT$3, 0))),L153)))*(IF((YEAR(D153)+16)&lt;YEAR(E153),0,IF((YEAR(D153)+16)&gt;YEAR(E153),1,(12-MONTH(E153)+1)/12))) + (Q153)*(IF((YEAR(D153)+16)&lt;YEAR(E153),0,IF((YEAR(D153)+16)&gt;YEAR(E153),1,(12-MONTH(E153)+1)/12))))-((P153)*(IF((YEAR(D153)+16)&lt;YEAR(E153),0,IF((YEAR(D153)+16)&gt;YEAR(E153),1,(12-MONTH(E153)+1)/12))) + (R153)*(IF((YEAR(D153)+16)&lt;YEAR(E153),0,IF((YEAR(D153)+16)&gt;YEAR(E153),1,(12-MONTH(E153)+1)/12))))-(IF(OR(N153="",N153&lt;=0),0,(O153/N153)*(IF(OR(N153="",N153&lt;=0),0,IF((YEAR(D153)+16)&lt;YEAR(E153),0,IF((YEAR(D153)+16)&gt;=YEAR(E153)+N153,0,IF((YEAR(D153)+16)=YEAR(E153),(12-MONTH(E153)+1)/12,1))))))))&gt;0,(((K153)*(IF(M153="",L153,IFERROR(IF(INDEX(Variablen!$I:$AT, MATCH(M153, Variablen!$A:$A, 0), MATCH((YEAR(D153)+16), Variablen!$I$3:$AT$3, 0))="",L153,INDEX(Variablen!$I:$AT, MATCH(M153, Variablen!$A:$A, 0), MATCH((YEAR(D153)+16), Variablen!$I$3:$AT$3, 0))),L153)))*(IF((YEAR(D153)+16)&lt;YEAR(E153),0,IF((YEAR(D153)+16)&gt;YEAR(E153),1,(12-MONTH(E153)+1)/12))) + (Q153)*(IF((YEAR(D153)+16)&lt;YEAR(E153),0,IF((YEAR(D153)+16)&gt;YEAR(E153),1,(12-MONTH(E153)+1)/12))))-((P153)*(IF((YEAR(D153)+16)&lt;YEAR(E153),0,IF((YEAR(D153)+16)&gt;YEAR(E153),1,(12-MONTH(E153)+1)/12))) + (R153)*(IF((YEAR(D153)+16)&lt;YEAR(E153),0,IF((YEAR(D153)+16)&gt;YEAR(E153),1,(12-MONTH(E153)+1)/12))))-(IF(OR(N153="",N153&lt;=0),0,(O153/N153)*(IF(OR(N153="",N153&lt;=0),0,IF((YEAR(D153)+16)&lt;YEAR(E153),0,IF((YEAR(D153)+16)&gt;=YEAR(E153)+N153,0,IF((YEAR(D153)+16)=YEAR(E153),(12-MONTH(E153)+1)/12,1))))))))*TaxRate,0))-IF(16=0,O153,0))</f>
        <v/>
      </c>
      <c r="AJ153" s="29">
        <f>IF(A153="","",((K153)*(IF(M153="",L153,IFERROR(IF(INDEX(Variablen!$I:$AT, MATCH(M153, Variablen!$A:$A, 0), MATCH((YEAR(D153)+17), Variablen!$I$3:$AT$3, 0))="",L153,INDEX(Variablen!$I:$AT, MATCH(M153, Variablen!$A:$A, 0), MATCH((YEAR(D153)+17), Variablen!$I$3:$AT$3, 0))),L153)))*(IF((YEAR(D153)+17)&lt;YEAR(E153),0,IF((YEAR(D153)+17)&gt;YEAR(E153),1,(12-MONTH(E153)+1)/12))) + (Q153)*(IF((YEAR(D153)+17)&lt;YEAR(E153),0,IF((YEAR(D153)+17)&gt;YEAR(E153),1,(12-MONTH(E153)+1)/12))))-((P153)*(IF((YEAR(D153)+17)&lt;YEAR(E153),0,IF((YEAR(D153)+17)&gt;YEAR(E153),1,(12-MONTH(E153)+1)/12))) + (R153)*(IF((YEAR(D153)+17)&lt;YEAR(E153),0,IF((YEAR(D153)+17)&gt;YEAR(E153),1,(12-MONTH(E153)+1)/12))))-(IF((((K153)*(IF(M153="",L153,IFERROR(IF(INDEX(Variablen!$I:$AT, MATCH(M153, Variablen!$A:$A, 0), MATCH((YEAR(D153)+17), Variablen!$I$3:$AT$3, 0))="",L153,INDEX(Variablen!$I:$AT, MATCH(M153, Variablen!$A:$A, 0), MATCH((YEAR(D153)+17), Variablen!$I$3:$AT$3, 0))),L153)))*(IF((YEAR(D153)+17)&lt;YEAR(E153),0,IF((YEAR(D153)+17)&gt;YEAR(E153),1,(12-MONTH(E153)+1)/12))) + (Q153)*(IF((YEAR(D153)+17)&lt;YEAR(E153),0,IF((YEAR(D153)+17)&gt;YEAR(E153),1,(12-MONTH(E153)+1)/12))))-((P153)*(IF((YEAR(D153)+17)&lt;YEAR(E153),0,IF((YEAR(D153)+17)&gt;YEAR(E153),1,(12-MONTH(E153)+1)/12))) + (R153)*(IF((YEAR(D153)+17)&lt;YEAR(E153),0,IF((YEAR(D153)+17)&gt;YEAR(E153),1,(12-MONTH(E153)+1)/12))))-(IF(OR(N153="",N153&lt;=0),0,(O153/N153)*(IF(OR(N153="",N153&lt;=0),0,IF((YEAR(D153)+17)&lt;YEAR(E153),0,IF((YEAR(D153)+17)&gt;=YEAR(E153)+N153,0,IF((YEAR(D153)+17)=YEAR(E153),(12-MONTH(E153)+1)/12,1))))))))&gt;0,(((K153)*(IF(M153="",L153,IFERROR(IF(INDEX(Variablen!$I:$AT, MATCH(M153, Variablen!$A:$A, 0), MATCH((YEAR(D153)+17), Variablen!$I$3:$AT$3, 0))="",L153,INDEX(Variablen!$I:$AT, MATCH(M153, Variablen!$A:$A, 0), MATCH((YEAR(D153)+17), Variablen!$I$3:$AT$3, 0))),L153)))*(IF((YEAR(D153)+17)&lt;YEAR(E153),0,IF((YEAR(D153)+17)&gt;YEAR(E153),1,(12-MONTH(E153)+1)/12))) + (Q153)*(IF((YEAR(D153)+17)&lt;YEAR(E153),0,IF((YEAR(D153)+17)&gt;YEAR(E153),1,(12-MONTH(E153)+1)/12))))-((P153)*(IF((YEAR(D153)+17)&lt;YEAR(E153),0,IF((YEAR(D153)+17)&gt;YEAR(E153),1,(12-MONTH(E153)+1)/12))) + (R153)*(IF((YEAR(D153)+17)&lt;YEAR(E153),0,IF((YEAR(D153)+17)&gt;YEAR(E153),1,(12-MONTH(E153)+1)/12))))-(IF(OR(N153="",N153&lt;=0),0,(O153/N153)*(IF(OR(N153="",N153&lt;=0),0,IF((YEAR(D153)+17)&lt;YEAR(E153),0,IF((YEAR(D153)+17)&gt;=YEAR(E153)+N153,0,IF((YEAR(D153)+17)=YEAR(E153),(12-MONTH(E153)+1)/12,1))))))))*TaxRate,0))-IF(17=0,O153,0))</f>
        <v/>
      </c>
      <c r="AK153" s="29">
        <f>IF(A153="","",((K153)*(IF(M153="",L153,IFERROR(IF(INDEX(Variablen!$I:$AT, MATCH(M153, Variablen!$A:$A, 0), MATCH((YEAR(D153)+18), Variablen!$I$3:$AT$3, 0))="",L153,INDEX(Variablen!$I:$AT, MATCH(M153, Variablen!$A:$A, 0), MATCH((YEAR(D153)+18), Variablen!$I$3:$AT$3, 0))),L153)))*(IF((YEAR(D153)+18)&lt;YEAR(E153),0,IF((YEAR(D153)+18)&gt;YEAR(E153),1,(12-MONTH(E153)+1)/12))) + (Q153)*(IF((YEAR(D153)+18)&lt;YEAR(E153),0,IF((YEAR(D153)+18)&gt;YEAR(E153),1,(12-MONTH(E153)+1)/12))))-((P153)*(IF((YEAR(D153)+18)&lt;YEAR(E153),0,IF((YEAR(D153)+18)&gt;YEAR(E153),1,(12-MONTH(E153)+1)/12))) + (R153)*(IF((YEAR(D153)+18)&lt;YEAR(E153),0,IF((YEAR(D153)+18)&gt;YEAR(E153),1,(12-MONTH(E153)+1)/12))))-(IF((((K153)*(IF(M153="",L153,IFERROR(IF(INDEX(Variablen!$I:$AT, MATCH(M153, Variablen!$A:$A, 0), MATCH((YEAR(D153)+18), Variablen!$I$3:$AT$3, 0))="",L153,INDEX(Variablen!$I:$AT, MATCH(M153, Variablen!$A:$A, 0), MATCH((YEAR(D153)+18), Variablen!$I$3:$AT$3, 0))),L153)))*(IF((YEAR(D153)+18)&lt;YEAR(E153),0,IF((YEAR(D153)+18)&gt;YEAR(E153),1,(12-MONTH(E153)+1)/12))) + (Q153)*(IF((YEAR(D153)+18)&lt;YEAR(E153),0,IF((YEAR(D153)+18)&gt;YEAR(E153),1,(12-MONTH(E153)+1)/12))))-((P153)*(IF((YEAR(D153)+18)&lt;YEAR(E153),0,IF((YEAR(D153)+18)&gt;YEAR(E153),1,(12-MONTH(E153)+1)/12))) + (R153)*(IF((YEAR(D153)+18)&lt;YEAR(E153),0,IF((YEAR(D153)+18)&gt;YEAR(E153),1,(12-MONTH(E153)+1)/12))))-(IF(OR(N153="",N153&lt;=0),0,(O153/N153)*(IF(OR(N153="",N153&lt;=0),0,IF((YEAR(D153)+18)&lt;YEAR(E153),0,IF((YEAR(D153)+18)&gt;=YEAR(E153)+N153,0,IF((YEAR(D153)+18)=YEAR(E153),(12-MONTH(E153)+1)/12,1))))))))&gt;0,(((K153)*(IF(M153="",L153,IFERROR(IF(INDEX(Variablen!$I:$AT, MATCH(M153, Variablen!$A:$A, 0), MATCH((YEAR(D153)+18), Variablen!$I$3:$AT$3, 0))="",L153,INDEX(Variablen!$I:$AT, MATCH(M153, Variablen!$A:$A, 0), MATCH((YEAR(D153)+18), Variablen!$I$3:$AT$3, 0))),L153)))*(IF((YEAR(D153)+18)&lt;YEAR(E153),0,IF((YEAR(D153)+18)&gt;YEAR(E153),1,(12-MONTH(E153)+1)/12))) + (Q153)*(IF((YEAR(D153)+18)&lt;YEAR(E153),0,IF((YEAR(D153)+18)&gt;YEAR(E153),1,(12-MONTH(E153)+1)/12))))-((P153)*(IF((YEAR(D153)+18)&lt;YEAR(E153),0,IF((YEAR(D153)+18)&gt;YEAR(E153),1,(12-MONTH(E153)+1)/12))) + (R153)*(IF((YEAR(D153)+18)&lt;YEAR(E153),0,IF((YEAR(D153)+18)&gt;YEAR(E153),1,(12-MONTH(E153)+1)/12))))-(IF(OR(N153="",N153&lt;=0),0,(O153/N153)*(IF(OR(N153="",N153&lt;=0),0,IF((YEAR(D153)+18)&lt;YEAR(E153),0,IF((YEAR(D153)+18)&gt;=YEAR(E153)+N153,0,IF((YEAR(D153)+18)=YEAR(E153),(12-MONTH(E153)+1)/12,1))))))))*TaxRate,0))-IF(18=0,O153,0))</f>
        <v/>
      </c>
      <c r="AL153" s="29">
        <f>IF(A153="","",((K153)*(IF(M153="",L153,IFERROR(IF(INDEX(Variablen!$I:$AT, MATCH(M153, Variablen!$A:$A, 0), MATCH((YEAR(D153)+19), Variablen!$I$3:$AT$3, 0))="",L153,INDEX(Variablen!$I:$AT, MATCH(M153, Variablen!$A:$A, 0), MATCH((YEAR(D153)+19), Variablen!$I$3:$AT$3, 0))),L153)))*(IF((YEAR(D153)+19)&lt;YEAR(E153),0,IF((YEAR(D153)+19)&gt;YEAR(E153),1,(12-MONTH(E153)+1)/12))) + (Q153)*(IF((YEAR(D153)+19)&lt;YEAR(E153),0,IF((YEAR(D153)+19)&gt;YEAR(E153),1,(12-MONTH(E153)+1)/12))))-((P153)*(IF((YEAR(D153)+19)&lt;YEAR(E153),0,IF((YEAR(D153)+19)&gt;YEAR(E153),1,(12-MONTH(E153)+1)/12))) + (R153)*(IF((YEAR(D153)+19)&lt;YEAR(E153),0,IF((YEAR(D153)+19)&gt;YEAR(E153),1,(12-MONTH(E153)+1)/12))))-(IF((((K153)*(IF(M153="",L153,IFERROR(IF(INDEX(Variablen!$I:$AT, MATCH(M153, Variablen!$A:$A, 0), MATCH((YEAR(D153)+19), Variablen!$I$3:$AT$3, 0))="",L153,INDEX(Variablen!$I:$AT, MATCH(M153, Variablen!$A:$A, 0), MATCH((YEAR(D153)+19), Variablen!$I$3:$AT$3, 0))),L153)))*(IF((YEAR(D153)+19)&lt;YEAR(E153),0,IF((YEAR(D153)+19)&gt;YEAR(E153),1,(12-MONTH(E153)+1)/12))) + (Q153)*(IF((YEAR(D153)+19)&lt;YEAR(E153),0,IF((YEAR(D153)+19)&gt;YEAR(E153),1,(12-MONTH(E153)+1)/12))))-((P153)*(IF((YEAR(D153)+19)&lt;YEAR(E153),0,IF((YEAR(D153)+19)&gt;YEAR(E153),1,(12-MONTH(E153)+1)/12))) + (R153)*(IF((YEAR(D153)+19)&lt;YEAR(E153),0,IF((YEAR(D153)+19)&gt;YEAR(E153),1,(12-MONTH(E153)+1)/12))))-(IF(OR(N153="",N153&lt;=0),0,(O153/N153)*(IF(OR(N153="",N153&lt;=0),0,IF((YEAR(D153)+19)&lt;YEAR(E153),0,IF((YEAR(D153)+19)&gt;=YEAR(E153)+N153,0,IF((YEAR(D153)+19)=YEAR(E153),(12-MONTH(E153)+1)/12,1))))))))&gt;0,(((K153)*(IF(M153="",L153,IFERROR(IF(INDEX(Variablen!$I:$AT, MATCH(M153, Variablen!$A:$A, 0), MATCH((YEAR(D153)+19), Variablen!$I$3:$AT$3, 0))="",L153,INDEX(Variablen!$I:$AT, MATCH(M153, Variablen!$A:$A, 0), MATCH((YEAR(D153)+19), Variablen!$I$3:$AT$3, 0))),L153)))*(IF((YEAR(D153)+19)&lt;YEAR(E153),0,IF((YEAR(D153)+19)&gt;YEAR(E153),1,(12-MONTH(E153)+1)/12))) + (Q153)*(IF((YEAR(D153)+19)&lt;YEAR(E153),0,IF((YEAR(D153)+19)&gt;YEAR(E153),1,(12-MONTH(E153)+1)/12))))-((P153)*(IF((YEAR(D153)+19)&lt;YEAR(E153),0,IF((YEAR(D153)+19)&gt;YEAR(E153),1,(12-MONTH(E153)+1)/12))) + (R153)*(IF((YEAR(D153)+19)&lt;YEAR(E153),0,IF((YEAR(D153)+19)&gt;YEAR(E153),1,(12-MONTH(E153)+1)/12))))-(IF(OR(N153="",N153&lt;=0),0,(O153/N153)*(IF(OR(N153="",N153&lt;=0),0,IF((YEAR(D153)+19)&lt;YEAR(E153),0,IF((YEAR(D153)+19)&gt;=YEAR(E153)+N153,0,IF((YEAR(D153)+19)=YEAR(E153),(12-MONTH(E153)+1)/12,1))))))))*TaxRate,0))-IF(19=0,O153,0))</f>
        <v/>
      </c>
      <c r="AM153" s="29">
        <f>IF(A153="","",((K153)*(IF(M153="",L153,IFERROR(IF(INDEX(Variablen!$I:$AT, MATCH(M153, Variablen!$A:$A, 0), MATCH((YEAR(D153)+20), Variablen!$I$3:$AT$3, 0))="",L153,INDEX(Variablen!$I:$AT, MATCH(M153, Variablen!$A:$A, 0), MATCH((YEAR(D153)+20), Variablen!$I$3:$AT$3, 0))),L153)))*(IF((YEAR(D153)+20)&lt;YEAR(E153),0,IF((YEAR(D153)+20)&gt;YEAR(E153),1,(12-MONTH(E153)+1)/12))) + (Q153)*(IF((YEAR(D153)+20)&lt;YEAR(E153),0,IF((YEAR(D153)+20)&gt;YEAR(E153),1,(12-MONTH(E153)+1)/12))))-((P153)*(IF((YEAR(D153)+20)&lt;YEAR(E153),0,IF((YEAR(D153)+20)&gt;YEAR(E153),1,(12-MONTH(E153)+1)/12))) + (R153)*(IF((YEAR(D153)+20)&lt;YEAR(E153),0,IF((YEAR(D153)+20)&gt;YEAR(E153),1,(12-MONTH(E153)+1)/12))))-(IF((((K153)*(IF(M153="",L153,IFERROR(IF(INDEX(Variablen!$I:$AT, MATCH(M153, Variablen!$A:$A, 0), MATCH((YEAR(D153)+20), Variablen!$I$3:$AT$3, 0))="",L153,INDEX(Variablen!$I:$AT, MATCH(M153, Variablen!$A:$A, 0), MATCH((YEAR(D153)+20), Variablen!$I$3:$AT$3, 0))),L153)))*(IF((YEAR(D153)+20)&lt;YEAR(E153),0,IF((YEAR(D153)+20)&gt;YEAR(E153),1,(12-MONTH(E153)+1)/12))) + (Q153)*(IF((YEAR(D153)+20)&lt;YEAR(E153),0,IF((YEAR(D153)+20)&gt;YEAR(E153),1,(12-MONTH(E153)+1)/12))))-((P153)*(IF((YEAR(D153)+20)&lt;YEAR(E153),0,IF((YEAR(D153)+20)&gt;YEAR(E153),1,(12-MONTH(E153)+1)/12))) + (R153)*(IF((YEAR(D153)+20)&lt;YEAR(E153),0,IF((YEAR(D153)+20)&gt;YEAR(E153),1,(12-MONTH(E153)+1)/12))))-(IF(OR(N153="",N153&lt;=0),0,(O153/N153)*(IF(OR(N153="",N153&lt;=0),0,IF((YEAR(D153)+20)&lt;YEAR(E153),0,IF((YEAR(D153)+20)&gt;=YEAR(E153)+N153,0,IF((YEAR(D153)+20)=YEAR(E153),(12-MONTH(E153)+1)/12,1))))))))&gt;0,(((K153)*(IF(M153="",L153,IFERROR(IF(INDEX(Variablen!$I:$AT, MATCH(M153, Variablen!$A:$A, 0), MATCH((YEAR(D153)+20), Variablen!$I$3:$AT$3, 0))="",L153,INDEX(Variablen!$I:$AT, MATCH(M153, Variablen!$A:$A, 0), MATCH((YEAR(D153)+20), Variablen!$I$3:$AT$3, 0))),L153)))*(IF((YEAR(D153)+20)&lt;YEAR(E153),0,IF((YEAR(D153)+20)&gt;YEAR(E153),1,(12-MONTH(E153)+1)/12))) + (Q153)*(IF((YEAR(D153)+20)&lt;YEAR(E153),0,IF((YEAR(D153)+20)&gt;YEAR(E153),1,(12-MONTH(E153)+1)/12))))-((P153)*(IF((YEAR(D153)+20)&lt;YEAR(E153),0,IF((YEAR(D153)+20)&gt;YEAR(E153),1,(12-MONTH(E153)+1)/12))) + (R153)*(IF((YEAR(D153)+20)&lt;YEAR(E153),0,IF((YEAR(D153)+20)&gt;YEAR(E153),1,(12-MONTH(E153)+1)/12))))-(IF(OR(N153="",N153&lt;=0),0,(O153/N153)*(IF(OR(N153="",N153&lt;=0),0,IF((YEAR(D153)+20)&lt;YEAR(E153),0,IF((YEAR(D153)+20)&gt;=YEAR(E153)+N153,0,IF((YEAR(D153)+20)=YEAR(E153),(12-MONTH(E153)+1)/12,1))))))))*TaxRate,0))-IF(20=0,O153,0))</f>
        <v/>
      </c>
      <c r="AN153" s="29">
        <f>IF(A153="","",S153)</f>
        <v/>
      </c>
      <c r="AO153" s="29">
        <f>IF(A153="","",AN153+T153)</f>
        <v/>
      </c>
      <c r="AP153" s="29">
        <f>IF(A153="","",AO153+U153)</f>
        <v/>
      </c>
      <c r="AQ153" s="29">
        <f>IF(A153="","",AP153+V153)</f>
        <v/>
      </c>
      <c r="AR153" s="29">
        <f>IF(A153="","",AQ153+W153)</f>
        <v/>
      </c>
      <c r="AS153" s="29">
        <f>IF(A153="","",AR153+X153)</f>
        <v/>
      </c>
      <c r="AT153" s="29">
        <f>IF(A153="","",AS153+Y153)</f>
        <v/>
      </c>
      <c r="AU153" s="29">
        <f>IF(A153="","",AT153+Z153)</f>
        <v/>
      </c>
      <c r="AV153" s="29">
        <f>IF(A153="","",AU153+AA153)</f>
        <v/>
      </c>
      <c r="AW153" s="29">
        <f>IF(A153="","",AV153+AB153)</f>
        <v/>
      </c>
      <c r="AX153" s="29">
        <f>IF(A153="","",AW153+AC153)</f>
        <v/>
      </c>
      <c r="AY153" s="29">
        <f>IF(A153="","",AX153+AD153)</f>
        <v/>
      </c>
      <c r="AZ153" s="29">
        <f>IF(A153="","",AY153+AE153)</f>
        <v/>
      </c>
      <c r="BA153" s="29">
        <f>IF(A153="","",AZ153+AF153)</f>
        <v/>
      </c>
      <c r="BB153" s="29">
        <f>IF(A153="","",BA153+AG153)</f>
        <v/>
      </c>
      <c r="BC153" s="29">
        <f>IF(A153="","",BB153+AH153)</f>
        <v/>
      </c>
      <c r="BD153" s="29">
        <f>IF(A153="","",BC153+AI153)</f>
        <v/>
      </c>
      <c r="BE153" s="29">
        <f>IF(A153="","",BD153+AJ153)</f>
        <v/>
      </c>
      <c r="BF153" s="29">
        <f>IF(A153="","",BE153+AK153)</f>
        <v/>
      </c>
      <c r="BG153" s="29">
        <f>IF(A153="","",BF153+AL153)</f>
        <v/>
      </c>
      <c r="BH153" s="29">
        <f>IF(A153="","",BG153+AM153)</f>
        <v/>
      </c>
      <c r="BI153" s="36">
        <f>IF(A153="","",(K153)*(IF((YEAR(D153)+0)&lt;YEAR(E153),0,IF((YEAR(D153)+0)&gt;YEAR(E153),1,(12-MONTH(E153)+1)/12)))*(1/(1+DiscountRate)^0))</f>
        <v/>
      </c>
      <c r="BJ153" s="36">
        <f>IF(A153="","",(K153)*(IF((YEAR(D153)+1)&lt;YEAR(E153),0,IF((YEAR(D153)+1)&gt;YEAR(E153),1,(12-MONTH(E153)+1)/12)))*(1/(1+DiscountRate)^1))</f>
        <v/>
      </c>
      <c r="BK153" s="36">
        <f>IF(A153="","",(K153)*(IF((YEAR(D153)+2)&lt;YEAR(E153),0,IF((YEAR(D153)+2)&gt;YEAR(E153),1,(12-MONTH(E153)+1)/12)))*(1/(1+DiscountRate)^2))</f>
        <v/>
      </c>
      <c r="BL153" s="36">
        <f>IF(A153="","",(K153)*(IF((YEAR(D153)+3)&lt;YEAR(E153),0,IF((YEAR(D153)+3)&gt;YEAR(E153),1,(12-MONTH(E153)+1)/12)))*(1/(1+DiscountRate)^3))</f>
        <v/>
      </c>
      <c r="BM153" s="36">
        <f>IF(A153="","",(K153)*(IF((YEAR(D153)+4)&lt;YEAR(E153),0,IF((YEAR(D153)+4)&gt;YEAR(E153),1,(12-MONTH(E153)+1)/12)))*(1/(1+DiscountRate)^4))</f>
        <v/>
      </c>
      <c r="BN153" s="36">
        <f>IF(A153="","",(K153)*(IF((YEAR(D153)+5)&lt;YEAR(E153),0,IF((YEAR(D153)+5)&gt;YEAR(E153),1,(12-MONTH(E153)+1)/12)))*(1/(1+DiscountRate)^5))</f>
        <v/>
      </c>
      <c r="BO153" s="36">
        <f>IF(A153="","",(K153)*(IF((YEAR(D153)+6)&lt;YEAR(E153),0,IF((YEAR(D153)+6)&gt;YEAR(E153),1,(12-MONTH(E153)+1)/12)))*(1/(1+DiscountRate)^6))</f>
        <v/>
      </c>
      <c r="BP153" s="36">
        <f>IF(A153="","",(K153)*(IF((YEAR(D153)+7)&lt;YEAR(E153),0,IF((YEAR(D153)+7)&gt;YEAR(E153),1,(12-MONTH(E153)+1)/12)))*(1/(1+DiscountRate)^7))</f>
        <v/>
      </c>
      <c r="BQ153" s="36">
        <f>IF(A153="","",(K153)*(IF((YEAR(D153)+8)&lt;YEAR(E153),0,IF((YEAR(D153)+8)&gt;YEAR(E153),1,(12-MONTH(E153)+1)/12)))*(1/(1+DiscountRate)^8))</f>
        <v/>
      </c>
      <c r="BR153" s="36">
        <f>IF(A153="","",(K153)*(IF((YEAR(D153)+9)&lt;YEAR(E153),0,IF((YEAR(D153)+9)&gt;YEAR(E153),1,(12-MONTH(E153)+1)/12)))*(1/(1+DiscountRate)^9))</f>
        <v/>
      </c>
      <c r="BS153" s="36">
        <f>IF(A153="","",(K153)*(IF((YEAR(D153)+10)&lt;YEAR(E153),0,IF((YEAR(D153)+10)&gt;YEAR(E153),1,(12-MONTH(E153)+1)/12)))*(1/(1+DiscountRate)^10))</f>
        <v/>
      </c>
      <c r="BT153" s="36">
        <f>IF(A153="","",(K153)*(IF((YEAR(D153)+11)&lt;YEAR(E153),0,IF((YEAR(D153)+11)&gt;YEAR(E153),1,(12-MONTH(E153)+1)/12)))*(1/(1+DiscountRate)^11))</f>
        <v/>
      </c>
      <c r="BU153" s="36">
        <f>IF(A153="","",(K153)*(IF((YEAR(D153)+12)&lt;YEAR(E153),0,IF((YEAR(D153)+12)&gt;YEAR(E153),1,(12-MONTH(E153)+1)/12)))*(1/(1+DiscountRate)^12))</f>
        <v/>
      </c>
      <c r="BV153" s="36">
        <f>IF(A153="","",(K153)*(IF((YEAR(D153)+13)&lt;YEAR(E153),0,IF((YEAR(D153)+13)&gt;YEAR(E153),1,(12-MONTH(E153)+1)/12)))*(1/(1+DiscountRate)^13))</f>
        <v/>
      </c>
      <c r="BW153" s="36">
        <f>IF(A153="","",(K153)*(IF((YEAR(D153)+14)&lt;YEAR(E153),0,IF((YEAR(D153)+14)&gt;YEAR(E153),1,(12-MONTH(E153)+1)/12)))*(1/(1+DiscountRate)^14))</f>
        <v/>
      </c>
      <c r="BX153" s="36">
        <f>IF(A153="","",(K153)*(IF((YEAR(D153)+15)&lt;YEAR(E153),0,IF((YEAR(D153)+15)&gt;YEAR(E153),1,(12-MONTH(E153)+1)/12)))*(1/(1+DiscountRate)^15))</f>
        <v/>
      </c>
      <c r="BY153" s="36">
        <f>IF(A153="","",(K153)*(IF((YEAR(D153)+16)&lt;YEAR(E153),0,IF((YEAR(D153)+16)&gt;YEAR(E153),1,(12-MONTH(E153)+1)/12)))*(1/(1+DiscountRate)^16))</f>
        <v/>
      </c>
      <c r="BZ153" s="36">
        <f>IF(A153="","",(K153)*(IF((YEAR(D153)+17)&lt;YEAR(E153),0,IF((YEAR(D153)+17)&gt;YEAR(E153),1,(12-MONTH(E153)+1)/12)))*(1/(1+DiscountRate)^17))</f>
        <v/>
      </c>
      <c r="CA153" s="36">
        <f>IF(A153="","",(K153)*(IF((YEAR(D153)+18)&lt;YEAR(E153),0,IF((YEAR(D153)+18)&gt;YEAR(E153),1,(12-MONTH(E153)+1)/12)))*(1/(1+DiscountRate)^18))</f>
        <v/>
      </c>
      <c r="CB153" s="36">
        <f>IF(A153="","",(K153)*(IF((YEAR(D153)+19)&lt;YEAR(E153),0,IF((YEAR(D153)+19)&gt;YEAR(E153),1,(12-MONTH(E153)+1)/12)))*(1/(1+DiscountRate)^19))</f>
        <v/>
      </c>
      <c r="CC153" s="36">
        <f>IF(A153="","",(K153)*(IF((YEAR(D153)+20)&lt;YEAR(E153),0,IF((YEAR(D153)+20)&gt;YEAR(E153),1,(12-MONTH(E153)+1)/12)))*(1/(1+DiscountRate)^20))</f>
        <v/>
      </c>
      <c r="CD153" s="29">
        <f>IF(A153="","",S153/(1+DiscountRate)^0+T153/(1+DiscountRate)^1+U153/(1+DiscountRate)^2+V153/(1+DiscountRate)^3+W153/(1+DiscountRate)^4+X153/(1+DiscountRate)^5+Y153/(1+DiscountRate)^6+Z153/(1+DiscountRate)^7+AA153/(1+DiscountRate)^8+AB153/(1+DiscountRate)^9+AC153/(1+DiscountRate)^10+AD153/(1+DiscountRate)^11+AE153/(1+DiscountRate)^12+AF153/(1+DiscountRate)^13+AG153/(1+DiscountRate)^14+AH153/(1+DiscountRate)^15+AI153/(1+DiscountRate)^16+AJ153/(1+DiscountRate)^17+AK153/(1+DiscountRate)^18+AL153/(1+DiscountRate)^19+AM153/(1+DiscountRate)^20)</f>
        <v/>
      </c>
      <c r="CE153" s="37">
        <f>IF(A153="","",IFERROR(IRR(OFFSET(S153,0,0,1,MIN(HorizonYears,20)+1)),"n/a"))</f>
        <v/>
      </c>
      <c r="CF153" s="28">
        <f>IF(A153="","",IFERROR(MATCH(TRUE,OFFSET(AN153,0,0,1,MIN(HorizonYears,20)+1)&gt;=0,0)-1,"n/a"))</f>
        <v/>
      </c>
      <c r="CG153" s="36">
        <f>IF(A153="","",SUM(OFFSET(BI153,0,0,1,MIN(HorizonYears,20)+1)))</f>
        <v/>
      </c>
      <c r="CH153" s="36">
        <f>IF(A153="","",IFERROR(-CD153/CG153,"n/a"))</f>
        <v/>
      </c>
    </row>
    <row r="154">
      <c r="A154" s="6">
        <f>Actions!A152</f>
        <v/>
      </c>
      <c r="B154" s="6">
        <f>Actions!B152</f>
        <v/>
      </c>
      <c r="C154" s="6">
        <f>Actions!D152</f>
        <v/>
      </c>
      <c r="D154" s="35">
        <f>Actions!E152</f>
        <v/>
      </c>
      <c r="E154" s="35">
        <f>Actions!F152</f>
        <v/>
      </c>
      <c r="F154" s="6">
        <f>Actions!G152</f>
        <v/>
      </c>
      <c r="G154" s="6">
        <f>Actions!H152</f>
        <v/>
      </c>
      <c r="H154" s="29">
        <f>Actions!I152</f>
        <v/>
      </c>
      <c r="I154" s="6">
        <f>Actions!J152</f>
        <v/>
      </c>
      <c r="J154" s="16">
        <f>Actions!K152</f>
        <v/>
      </c>
      <c r="K154" s="16">
        <f>IF(A154="","",IF(I154="%",H154*J154,J154))</f>
        <v/>
      </c>
      <c r="L154" s="16">
        <f>Actions!L152</f>
        <v/>
      </c>
      <c r="M154" s="6">
        <f>Actions!M152</f>
        <v/>
      </c>
      <c r="N154" s="28">
        <f>Actions!N152</f>
        <v/>
      </c>
      <c r="O154" s="29">
        <f>Actions!T152</f>
        <v/>
      </c>
      <c r="P154" s="29">
        <f>Actions!Y152</f>
        <v/>
      </c>
      <c r="Q154" s="29">
        <f>Actions!Z152</f>
        <v/>
      </c>
      <c r="R154" s="29">
        <f>Actions!AA152</f>
        <v/>
      </c>
      <c r="S154" s="29">
        <f>IF(A154="","",((K154)*(IF(M154="",L154,IFERROR(IF(INDEX(Variablen!$I:$AT, MATCH(M154, Variablen!$A:$A, 0), MATCH((YEAR(D154)+0), Variablen!$I$3:$AT$3, 0))="",L154,INDEX(Variablen!$I:$AT, MATCH(M154, Variablen!$A:$A, 0), MATCH((YEAR(D154)+0), Variablen!$I$3:$AT$3, 0))),L154)))*(IF((YEAR(D154)+0)&lt;YEAR(E154),0,IF((YEAR(D154)+0)&gt;YEAR(E154),1,(12-MONTH(E154)+1)/12))) + (Q154)*(IF((YEAR(D154)+0)&lt;YEAR(E154),0,IF((YEAR(D154)+0)&gt;YEAR(E154),1,(12-MONTH(E154)+1)/12))))-((P154)*(IF((YEAR(D154)+0)&lt;YEAR(E154),0,IF((YEAR(D154)+0)&gt;YEAR(E154),1,(12-MONTH(E154)+1)/12))) + (R154)*(IF((YEAR(D154)+0)&lt;YEAR(E154),0,IF((YEAR(D154)+0)&gt;YEAR(E154),1,(12-MONTH(E154)+1)/12))))-(IF((((K154)*(IF(M154="",L154,IFERROR(IF(INDEX(Variablen!$I:$AT, MATCH(M154, Variablen!$A:$A, 0), MATCH((YEAR(D154)+0), Variablen!$I$3:$AT$3, 0))="",L154,INDEX(Variablen!$I:$AT, MATCH(M154, Variablen!$A:$A, 0), MATCH((YEAR(D154)+0), Variablen!$I$3:$AT$3, 0))),L154)))*(IF((YEAR(D154)+0)&lt;YEAR(E154),0,IF((YEAR(D154)+0)&gt;YEAR(E154),1,(12-MONTH(E154)+1)/12))) + (Q154)*(IF((YEAR(D154)+0)&lt;YEAR(E154),0,IF((YEAR(D154)+0)&gt;YEAR(E154),1,(12-MONTH(E154)+1)/12))))-((P154)*(IF((YEAR(D154)+0)&lt;YEAR(E154),0,IF((YEAR(D154)+0)&gt;YEAR(E154),1,(12-MONTH(E154)+1)/12))) + (R154)*(IF((YEAR(D154)+0)&lt;YEAR(E154),0,IF((YEAR(D154)+0)&gt;YEAR(E154),1,(12-MONTH(E154)+1)/12))))-(IF(OR(N154="",N154&lt;=0),0,(O154/N154)*(IF(OR(N154="",N154&lt;=0),0,IF((YEAR(D154)+0)&lt;YEAR(E154),0,IF((YEAR(D154)+0)&gt;=YEAR(E154)+N154,0,IF((YEAR(D154)+0)=YEAR(E154),(12-MONTH(E154)+1)/12,1))))))))&gt;0,(((K154)*(IF(M154="",L154,IFERROR(IF(INDEX(Variablen!$I:$AT, MATCH(M154, Variablen!$A:$A, 0), MATCH((YEAR(D154)+0), Variablen!$I$3:$AT$3, 0))="",L154,INDEX(Variablen!$I:$AT, MATCH(M154, Variablen!$A:$A, 0), MATCH((YEAR(D154)+0), Variablen!$I$3:$AT$3, 0))),L154)))*(IF((YEAR(D154)+0)&lt;YEAR(E154),0,IF((YEAR(D154)+0)&gt;YEAR(E154),1,(12-MONTH(E154)+1)/12))) + (Q154)*(IF((YEAR(D154)+0)&lt;YEAR(E154),0,IF((YEAR(D154)+0)&gt;YEAR(E154),1,(12-MONTH(E154)+1)/12))))-((P154)*(IF((YEAR(D154)+0)&lt;YEAR(E154),0,IF((YEAR(D154)+0)&gt;YEAR(E154),1,(12-MONTH(E154)+1)/12))) + (R154)*(IF((YEAR(D154)+0)&lt;YEAR(E154),0,IF((YEAR(D154)+0)&gt;YEAR(E154),1,(12-MONTH(E154)+1)/12))))-(IF(OR(N154="",N154&lt;=0),0,(O154/N154)*(IF(OR(N154="",N154&lt;=0),0,IF((YEAR(D154)+0)&lt;YEAR(E154),0,IF((YEAR(D154)+0)&gt;=YEAR(E154)+N154,0,IF((YEAR(D154)+0)=YEAR(E154),(12-MONTH(E154)+1)/12,1))))))))*TaxRate,0))-IF(0=0,O154,0))</f>
        <v/>
      </c>
      <c r="T154" s="29">
        <f>IF(A154="","",((K154)*(IF(M154="",L154,IFERROR(IF(INDEX(Variablen!$I:$AT, MATCH(M154, Variablen!$A:$A, 0), MATCH((YEAR(D154)+1), Variablen!$I$3:$AT$3, 0))="",L154,INDEX(Variablen!$I:$AT, MATCH(M154, Variablen!$A:$A, 0), MATCH((YEAR(D154)+1), Variablen!$I$3:$AT$3, 0))),L154)))*(IF((YEAR(D154)+1)&lt;YEAR(E154),0,IF((YEAR(D154)+1)&gt;YEAR(E154),1,(12-MONTH(E154)+1)/12))) + (Q154)*(IF((YEAR(D154)+1)&lt;YEAR(E154),0,IF((YEAR(D154)+1)&gt;YEAR(E154),1,(12-MONTH(E154)+1)/12))))-((P154)*(IF((YEAR(D154)+1)&lt;YEAR(E154),0,IF((YEAR(D154)+1)&gt;YEAR(E154),1,(12-MONTH(E154)+1)/12))) + (R154)*(IF((YEAR(D154)+1)&lt;YEAR(E154),0,IF((YEAR(D154)+1)&gt;YEAR(E154),1,(12-MONTH(E154)+1)/12))))-(IF((((K154)*(IF(M154="",L154,IFERROR(IF(INDEX(Variablen!$I:$AT, MATCH(M154, Variablen!$A:$A, 0), MATCH((YEAR(D154)+1), Variablen!$I$3:$AT$3, 0))="",L154,INDEX(Variablen!$I:$AT, MATCH(M154, Variablen!$A:$A, 0), MATCH((YEAR(D154)+1), Variablen!$I$3:$AT$3, 0))),L154)))*(IF((YEAR(D154)+1)&lt;YEAR(E154),0,IF((YEAR(D154)+1)&gt;YEAR(E154),1,(12-MONTH(E154)+1)/12))) + (Q154)*(IF((YEAR(D154)+1)&lt;YEAR(E154),0,IF((YEAR(D154)+1)&gt;YEAR(E154),1,(12-MONTH(E154)+1)/12))))-((P154)*(IF((YEAR(D154)+1)&lt;YEAR(E154),0,IF((YEAR(D154)+1)&gt;YEAR(E154),1,(12-MONTH(E154)+1)/12))) + (R154)*(IF((YEAR(D154)+1)&lt;YEAR(E154),0,IF((YEAR(D154)+1)&gt;YEAR(E154),1,(12-MONTH(E154)+1)/12))))-(IF(OR(N154="",N154&lt;=0),0,(O154/N154)*(IF(OR(N154="",N154&lt;=0),0,IF((YEAR(D154)+1)&lt;YEAR(E154),0,IF((YEAR(D154)+1)&gt;=YEAR(E154)+N154,0,IF((YEAR(D154)+1)=YEAR(E154),(12-MONTH(E154)+1)/12,1))))))))&gt;0,(((K154)*(IF(M154="",L154,IFERROR(IF(INDEX(Variablen!$I:$AT, MATCH(M154, Variablen!$A:$A, 0), MATCH((YEAR(D154)+1), Variablen!$I$3:$AT$3, 0))="",L154,INDEX(Variablen!$I:$AT, MATCH(M154, Variablen!$A:$A, 0), MATCH((YEAR(D154)+1), Variablen!$I$3:$AT$3, 0))),L154)))*(IF((YEAR(D154)+1)&lt;YEAR(E154),0,IF((YEAR(D154)+1)&gt;YEAR(E154),1,(12-MONTH(E154)+1)/12))) + (Q154)*(IF((YEAR(D154)+1)&lt;YEAR(E154),0,IF((YEAR(D154)+1)&gt;YEAR(E154),1,(12-MONTH(E154)+1)/12))))-((P154)*(IF((YEAR(D154)+1)&lt;YEAR(E154),0,IF((YEAR(D154)+1)&gt;YEAR(E154),1,(12-MONTH(E154)+1)/12))) + (R154)*(IF((YEAR(D154)+1)&lt;YEAR(E154),0,IF((YEAR(D154)+1)&gt;YEAR(E154),1,(12-MONTH(E154)+1)/12))))-(IF(OR(N154="",N154&lt;=0),0,(O154/N154)*(IF(OR(N154="",N154&lt;=0),0,IF((YEAR(D154)+1)&lt;YEAR(E154),0,IF((YEAR(D154)+1)&gt;=YEAR(E154)+N154,0,IF((YEAR(D154)+1)=YEAR(E154),(12-MONTH(E154)+1)/12,1))))))))*TaxRate,0))-IF(1=0,O154,0))</f>
        <v/>
      </c>
      <c r="U154" s="29">
        <f>IF(A154="","",((K154)*(IF(M154="",L154,IFERROR(IF(INDEX(Variablen!$I:$AT, MATCH(M154, Variablen!$A:$A, 0), MATCH((YEAR(D154)+2), Variablen!$I$3:$AT$3, 0))="",L154,INDEX(Variablen!$I:$AT, MATCH(M154, Variablen!$A:$A, 0), MATCH((YEAR(D154)+2), Variablen!$I$3:$AT$3, 0))),L154)))*(IF((YEAR(D154)+2)&lt;YEAR(E154),0,IF((YEAR(D154)+2)&gt;YEAR(E154),1,(12-MONTH(E154)+1)/12))) + (Q154)*(IF((YEAR(D154)+2)&lt;YEAR(E154),0,IF((YEAR(D154)+2)&gt;YEAR(E154),1,(12-MONTH(E154)+1)/12))))-((P154)*(IF((YEAR(D154)+2)&lt;YEAR(E154),0,IF((YEAR(D154)+2)&gt;YEAR(E154),1,(12-MONTH(E154)+1)/12))) + (R154)*(IF((YEAR(D154)+2)&lt;YEAR(E154),0,IF((YEAR(D154)+2)&gt;YEAR(E154),1,(12-MONTH(E154)+1)/12))))-(IF((((K154)*(IF(M154="",L154,IFERROR(IF(INDEX(Variablen!$I:$AT, MATCH(M154, Variablen!$A:$A, 0), MATCH((YEAR(D154)+2), Variablen!$I$3:$AT$3, 0))="",L154,INDEX(Variablen!$I:$AT, MATCH(M154, Variablen!$A:$A, 0), MATCH((YEAR(D154)+2), Variablen!$I$3:$AT$3, 0))),L154)))*(IF((YEAR(D154)+2)&lt;YEAR(E154),0,IF((YEAR(D154)+2)&gt;YEAR(E154),1,(12-MONTH(E154)+1)/12))) + (Q154)*(IF((YEAR(D154)+2)&lt;YEAR(E154),0,IF((YEAR(D154)+2)&gt;YEAR(E154),1,(12-MONTH(E154)+1)/12))))-((P154)*(IF((YEAR(D154)+2)&lt;YEAR(E154),0,IF((YEAR(D154)+2)&gt;YEAR(E154),1,(12-MONTH(E154)+1)/12))) + (R154)*(IF((YEAR(D154)+2)&lt;YEAR(E154),0,IF((YEAR(D154)+2)&gt;YEAR(E154),1,(12-MONTH(E154)+1)/12))))-(IF(OR(N154="",N154&lt;=0),0,(O154/N154)*(IF(OR(N154="",N154&lt;=0),0,IF((YEAR(D154)+2)&lt;YEAR(E154),0,IF((YEAR(D154)+2)&gt;=YEAR(E154)+N154,0,IF((YEAR(D154)+2)=YEAR(E154),(12-MONTH(E154)+1)/12,1))))))))&gt;0,(((K154)*(IF(M154="",L154,IFERROR(IF(INDEX(Variablen!$I:$AT, MATCH(M154, Variablen!$A:$A, 0), MATCH((YEAR(D154)+2), Variablen!$I$3:$AT$3, 0))="",L154,INDEX(Variablen!$I:$AT, MATCH(M154, Variablen!$A:$A, 0), MATCH((YEAR(D154)+2), Variablen!$I$3:$AT$3, 0))),L154)))*(IF((YEAR(D154)+2)&lt;YEAR(E154),0,IF((YEAR(D154)+2)&gt;YEAR(E154),1,(12-MONTH(E154)+1)/12))) + (Q154)*(IF((YEAR(D154)+2)&lt;YEAR(E154),0,IF((YEAR(D154)+2)&gt;YEAR(E154),1,(12-MONTH(E154)+1)/12))))-((P154)*(IF((YEAR(D154)+2)&lt;YEAR(E154),0,IF((YEAR(D154)+2)&gt;YEAR(E154),1,(12-MONTH(E154)+1)/12))) + (R154)*(IF((YEAR(D154)+2)&lt;YEAR(E154),0,IF((YEAR(D154)+2)&gt;YEAR(E154),1,(12-MONTH(E154)+1)/12))))-(IF(OR(N154="",N154&lt;=0),0,(O154/N154)*(IF(OR(N154="",N154&lt;=0),0,IF((YEAR(D154)+2)&lt;YEAR(E154),0,IF((YEAR(D154)+2)&gt;=YEAR(E154)+N154,0,IF((YEAR(D154)+2)=YEAR(E154),(12-MONTH(E154)+1)/12,1))))))))*TaxRate,0))-IF(2=0,O154,0))</f>
        <v/>
      </c>
      <c r="V154" s="29">
        <f>IF(A154="","",((K154)*(IF(M154="",L154,IFERROR(IF(INDEX(Variablen!$I:$AT, MATCH(M154, Variablen!$A:$A, 0), MATCH((YEAR(D154)+3), Variablen!$I$3:$AT$3, 0))="",L154,INDEX(Variablen!$I:$AT, MATCH(M154, Variablen!$A:$A, 0), MATCH((YEAR(D154)+3), Variablen!$I$3:$AT$3, 0))),L154)))*(IF((YEAR(D154)+3)&lt;YEAR(E154),0,IF((YEAR(D154)+3)&gt;YEAR(E154),1,(12-MONTH(E154)+1)/12))) + (Q154)*(IF((YEAR(D154)+3)&lt;YEAR(E154),0,IF((YEAR(D154)+3)&gt;YEAR(E154),1,(12-MONTH(E154)+1)/12))))-((P154)*(IF((YEAR(D154)+3)&lt;YEAR(E154),0,IF((YEAR(D154)+3)&gt;YEAR(E154),1,(12-MONTH(E154)+1)/12))) + (R154)*(IF((YEAR(D154)+3)&lt;YEAR(E154),0,IF((YEAR(D154)+3)&gt;YEAR(E154),1,(12-MONTH(E154)+1)/12))))-(IF((((K154)*(IF(M154="",L154,IFERROR(IF(INDEX(Variablen!$I:$AT, MATCH(M154, Variablen!$A:$A, 0), MATCH((YEAR(D154)+3), Variablen!$I$3:$AT$3, 0))="",L154,INDEX(Variablen!$I:$AT, MATCH(M154, Variablen!$A:$A, 0), MATCH((YEAR(D154)+3), Variablen!$I$3:$AT$3, 0))),L154)))*(IF((YEAR(D154)+3)&lt;YEAR(E154),0,IF((YEAR(D154)+3)&gt;YEAR(E154),1,(12-MONTH(E154)+1)/12))) + (Q154)*(IF((YEAR(D154)+3)&lt;YEAR(E154),0,IF((YEAR(D154)+3)&gt;YEAR(E154),1,(12-MONTH(E154)+1)/12))))-((P154)*(IF((YEAR(D154)+3)&lt;YEAR(E154),0,IF((YEAR(D154)+3)&gt;YEAR(E154),1,(12-MONTH(E154)+1)/12))) + (R154)*(IF((YEAR(D154)+3)&lt;YEAR(E154),0,IF((YEAR(D154)+3)&gt;YEAR(E154),1,(12-MONTH(E154)+1)/12))))-(IF(OR(N154="",N154&lt;=0),0,(O154/N154)*(IF(OR(N154="",N154&lt;=0),0,IF((YEAR(D154)+3)&lt;YEAR(E154),0,IF((YEAR(D154)+3)&gt;=YEAR(E154)+N154,0,IF((YEAR(D154)+3)=YEAR(E154),(12-MONTH(E154)+1)/12,1))))))))&gt;0,(((K154)*(IF(M154="",L154,IFERROR(IF(INDEX(Variablen!$I:$AT, MATCH(M154, Variablen!$A:$A, 0), MATCH((YEAR(D154)+3), Variablen!$I$3:$AT$3, 0))="",L154,INDEX(Variablen!$I:$AT, MATCH(M154, Variablen!$A:$A, 0), MATCH((YEAR(D154)+3), Variablen!$I$3:$AT$3, 0))),L154)))*(IF((YEAR(D154)+3)&lt;YEAR(E154),0,IF((YEAR(D154)+3)&gt;YEAR(E154),1,(12-MONTH(E154)+1)/12))) + (Q154)*(IF((YEAR(D154)+3)&lt;YEAR(E154),0,IF((YEAR(D154)+3)&gt;YEAR(E154),1,(12-MONTH(E154)+1)/12))))-((P154)*(IF((YEAR(D154)+3)&lt;YEAR(E154),0,IF((YEAR(D154)+3)&gt;YEAR(E154),1,(12-MONTH(E154)+1)/12))) + (R154)*(IF((YEAR(D154)+3)&lt;YEAR(E154),0,IF((YEAR(D154)+3)&gt;YEAR(E154),1,(12-MONTH(E154)+1)/12))))-(IF(OR(N154="",N154&lt;=0),0,(O154/N154)*(IF(OR(N154="",N154&lt;=0),0,IF((YEAR(D154)+3)&lt;YEAR(E154),0,IF((YEAR(D154)+3)&gt;=YEAR(E154)+N154,0,IF((YEAR(D154)+3)=YEAR(E154),(12-MONTH(E154)+1)/12,1))))))))*TaxRate,0))-IF(3=0,O154,0))</f>
        <v/>
      </c>
      <c r="W154" s="29">
        <f>IF(A154="","",((K154)*(IF(M154="",L154,IFERROR(IF(INDEX(Variablen!$I:$AT, MATCH(M154, Variablen!$A:$A, 0), MATCH((YEAR(D154)+4), Variablen!$I$3:$AT$3, 0))="",L154,INDEX(Variablen!$I:$AT, MATCH(M154, Variablen!$A:$A, 0), MATCH((YEAR(D154)+4), Variablen!$I$3:$AT$3, 0))),L154)))*(IF((YEAR(D154)+4)&lt;YEAR(E154),0,IF((YEAR(D154)+4)&gt;YEAR(E154),1,(12-MONTH(E154)+1)/12))) + (Q154)*(IF((YEAR(D154)+4)&lt;YEAR(E154),0,IF((YEAR(D154)+4)&gt;YEAR(E154),1,(12-MONTH(E154)+1)/12))))-((P154)*(IF((YEAR(D154)+4)&lt;YEAR(E154),0,IF((YEAR(D154)+4)&gt;YEAR(E154),1,(12-MONTH(E154)+1)/12))) + (R154)*(IF((YEAR(D154)+4)&lt;YEAR(E154),0,IF((YEAR(D154)+4)&gt;YEAR(E154),1,(12-MONTH(E154)+1)/12))))-(IF((((K154)*(IF(M154="",L154,IFERROR(IF(INDEX(Variablen!$I:$AT, MATCH(M154, Variablen!$A:$A, 0), MATCH((YEAR(D154)+4), Variablen!$I$3:$AT$3, 0))="",L154,INDEX(Variablen!$I:$AT, MATCH(M154, Variablen!$A:$A, 0), MATCH((YEAR(D154)+4), Variablen!$I$3:$AT$3, 0))),L154)))*(IF((YEAR(D154)+4)&lt;YEAR(E154),0,IF((YEAR(D154)+4)&gt;YEAR(E154),1,(12-MONTH(E154)+1)/12))) + (Q154)*(IF((YEAR(D154)+4)&lt;YEAR(E154),0,IF((YEAR(D154)+4)&gt;YEAR(E154),1,(12-MONTH(E154)+1)/12))))-((P154)*(IF((YEAR(D154)+4)&lt;YEAR(E154),0,IF((YEAR(D154)+4)&gt;YEAR(E154),1,(12-MONTH(E154)+1)/12))) + (R154)*(IF((YEAR(D154)+4)&lt;YEAR(E154),0,IF((YEAR(D154)+4)&gt;YEAR(E154),1,(12-MONTH(E154)+1)/12))))-(IF(OR(N154="",N154&lt;=0),0,(O154/N154)*(IF(OR(N154="",N154&lt;=0),0,IF((YEAR(D154)+4)&lt;YEAR(E154),0,IF((YEAR(D154)+4)&gt;=YEAR(E154)+N154,0,IF((YEAR(D154)+4)=YEAR(E154),(12-MONTH(E154)+1)/12,1))))))))&gt;0,(((K154)*(IF(M154="",L154,IFERROR(IF(INDEX(Variablen!$I:$AT, MATCH(M154, Variablen!$A:$A, 0), MATCH((YEAR(D154)+4), Variablen!$I$3:$AT$3, 0))="",L154,INDEX(Variablen!$I:$AT, MATCH(M154, Variablen!$A:$A, 0), MATCH((YEAR(D154)+4), Variablen!$I$3:$AT$3, 0))),L154)))*(IF((YEAR(D154)+4)&lt;YEAR(E154),0,IF((YEAR(D154)+4)&gt;YEAR(E154),1,(12-MONTH(E154)+1)/12))) + (Q154)*(IF((YEAR(D154)+4)&lt;YEAR(E154),0,IF((YEAR(D154)+4)&gt;YEAR(E154),1,(12-MONTH(E154)+1)/12))))-((P154)*(IF((YEAR(D154)+4)&lt;YEAR(E154),0,IF((YEAR(D154)+4)&gt;YEAR(E154),1,(12-MONTH(E154)+1)/12))) + (R154)*(IF((YEAR(D154)+4)&lt;YEAR(E154),0,IF((YEAR(D154)+4)&gt;YEAR(E154),1,(12-MONTH(E154)+1)/12))))-(IF(OR(N154="",N154&lt;=0),0,(O154/N154)*(IF(OR(N154="",N154&lt;=0),0,IF((YEAR(D154)+4)&lt;YEAR(E154),0,IF((YEAR(D154)+4)&gt;=YEAR(E154)+N154,0,IF((YEAR(D154)+4)=YEAR(E154),(12-MONTH(E154)+1)/12,1))))))))*TaxRate,0))-IF(4=0,O154,0))</f>
        <v/>
      </c>
      <c r="X154" s="29">
        <f>IF(A154="","",((K154)*(IF(M154="",L154,IFERROR(IF(INDEX(Variablen!$I:$AT, MATCH(M154, Variablen!$A:$A, 0), MATCH((YEAR(D154)+5), Variablen!$I$3:$AT$3, 0))="",L154,INDEX(Variablen!$I:$AT, MATCH(M154, Variablen!$A:$A, 0), MATCH((YEAR(D154)+5), Variablen!$I$3:$AT$3, 0))),L154)))*(IF((YEAR(D154)+5)&lt;YEAR(E154),0,IF((YEAR(D154)+5)&gt;YEAR(E154),1,(12-MONTH(E154)+1)/12))) + (Q154)*(IF((YEAR(D154)+5)&lt;YEAR(E154),0,IF((YEAR(D154)+5)&gt;YEAR(E154),1,(12-MONTH(E154)+1)/12))))-((P154)*(IF((YEAR(D154)+5)&lt;YEAR(E154),0,IF((YEAR(D154)+5)&gt;YEAR(E154),1,(12-MONTH(E154)+1)/12))) + (R154)*(IF((YEAR(D154)+5)&lt;YEAR(E154),0,IF((YEAR(D154)+5)&gt;YEAR(E154),1,(12-MONTH(E154)+1)/12))))-(IF((((K154)*(IF(M154="",L154,IFERROR(IF(INDEX(Variablen!$I:$AT, MATCH(M154, Variablen!$A:$A, 0), MATCH((YEAR(D154)+5), Variablen!$I$3:$AT$3, 0))="",L154,INDEX(Variablen!$I:$AT, MATCH(M154, Variablen!$A:$A, 0), MATCH((YEAR(D154)+5), Variablen!$I$3:$AT$3, 0))),L154)))*(IF((YEAR(D154)+5)&lt;YEAR(E154),0,IF((YEAR(D154)+5)&gt;YEAR(E154),1,(12-MONTH(E154)+1)/12))) + (Q154)*(IF((YEAR(D154)+5)&lt;YEAR(E154),0,IF((YEAR(D154)+5)&gt;YEAR(E154),1,(12-MONTH(E154)+1)/12))))-((P154)*(IF((YEAR(D154)+5)&lt;YEAR(E154),0,IF((YEAR(D154)+5)&gt;YEAR(E154),1,(12-MONTH(E154)+1)/12))) + (R154)*(IF((YEAR(D154)+5)&lt;YEAR(E154),0,IF((YEAR(D154)+5)&gt;YEAR(E154),1,(12-MONTH(E154)+1)/12))))-(IF(OR(N154="",N154&lt;=0),0,(O154/N154)*(IF(OR(N154="",N154&lt;=0),0,IF((YEAR(D154)+5)&lt;YEAR(E154),0,IF((YEAR(D154)+5)&gt;=YEAR(E154)+N154,0,IF((YEAR(D154)+5)=YEAR(E154),(12-MONTH(E154)+1)/12,1))))))))&gt;0,(((K154)*(IF(M154="",L154,IFERROR(IF(INDEX(Variablen!$I:$AT, MATCH(M154, Variablen!$A:$A, 0), MATCH((YEAR(D154)+5), Variablen!$I$3:$AT$3, 0))="",L154,INDEX(Variablen!$I:$AT, MATCH(M154, Variablen!$A:$A, 0), MATCH((YEAR(D154)+5), Variablen!$I$3:$AT$3, 0))),L154)))*(IF((YEAR(D154)+5)&lt;YEAR(E154),0,IF((YEAR(D154)+5)&gt;YEAR(E154),1,(12-MONTH(E154)+1)/12))) + (Q154)*(IF((YEAR(D154)+5)&lt;YEAR(E154),0,IF((YEAR(D154)+5)&gt;YEAR(E154),1,(12-MONTH(E154)+1)/12))))-((P154)*(IF((YEAR(D154)+5)&lt;YEAR(E154),0,IF((YEAR(D154)+5)&gt;YEAR(E154),1,(12-MONTH(E154)+1)/12))) + (R154)*(IF((YEAR(D154)+5)&lt;YEAR(E154),0,IF((YEAR(D154)+5)&gt;YEAR(E154),1,(12-MONTH(E154)+1)/12))))-(IF(OR(N154="",N154&lt;=0),0,(O154/N154)*(IF(OR(N154="",N154&lt;=0),0,IF((YEAR(D154)+5)&lt;YEAR(E154),0,IF((YEAR(D154)+5)&gt;=YEAR(E154)+N154,0,IF((YEAR(D154)+5)=YEAR(E154),(12-MONTH(E154)+1)/12,1))))))))*TaxRate,0))-IF(5=0,O154,0))</f>
        <v/>
      </c>
      <c r="Y154" s="29">
        <f>IF(A154="","",((K154)*(IF(M154="",L154,IFERROR(IF(INDEX(Variablen!$I:$AT, MATCH(M154, Variablen!$A:$A, 0), MATCH((YEAR(D154)+6), Variablen!$I$3:$AT$3, 0))="",L154,INDEX(Variablen!$I:$AT, MATCH(M154, Variablen!$A:$A, 0), MATCH((YEAR(D154)+6), Variablen!$I$3:$AT$3, 0))),L154)))*(IF((YEAR(D154)+6)&lt;YEAR(E154),0,IF((YEAR(D154)+6)&gt;YEAR(E154),1,(12-MONTH(E154)+1)/12))) + (Q154)*(IF((YEAR(D154)+6)&lt;YEAR(E154),0,IF((YEAR(D154)+6)&gt;YEAR(E154),1,(12-MONTH(E154)+1)/12))))-((P154)*(IF((YEAR(D154)+6)&lt;YEAR(E154),0,IF((YEAR(D154)+6)&gt;YEAR(E154),1,(12-MONTH(E154)+1)/12))) + (R154)*(IF((YEAR(D154)+6)&lt;YEAR(E154),0,IF((YEAR(D154)+6)&gt;YEAR(E154),1,(12-MONTH(E154)+1)/12))))-(IF((((K154)*(IF(M154="",L154,IFERROR(IF(INDEX(Variablen!$I:$AT, MATCH(M154, Variablen!$A:$A, 0), MATCH((YEAR(D154)+6), Variablen!$I$3:$AT$3, 0))="",L154,INDEX(Variablen!$I:$AT, MATCH(M154, Variablen!$A:$A, 0), MATCH((YEAR(D154)+6), Variablen!$I$3:$AT$3, 0))),L154)))*(IF((YEAR(D154)+6)&lt;YEAR(E154),0,IF((YEAR(D154)+6)&gt;YEAR(E154),1,(12-MONTH(E154)+1)/12))) + (Q154)*(IF((YEAR(D154)+6)&lt;YEAR(E154),0,IF((YEAR(D154)+6)&gt;YEAR(E154),1,(12-MONTH(E154)+1)/12))))-((P154)*(IF((YEAR(D154)+6)&lt;YEAR(E154),0,IF((YEAR(D154)+6)&gt;YEAR(E154),1,(12-MONTH(E154)+1)/12))) + (R154)*(IF((YEAR(D154)+6)&lt;YEAR(E154),0,IF((YEAR(D154)+6)&gt;YEAR(E154),1,(12-MONTH(E154)+1)/12))))-(IF(OR(N154="",N154&lt;=0),0,(O154/N154)*(IF(OR(N154="",N154&lt;=0),0,IF((YEAR(D154)+6)&lt;YEAR(E154),0,IF((YEAR(D154)+6)&gt;=YEAR(E154)+N154,0,IF((YEAR(D154)+6)=YEAR(E154),(12-MONTH(E154)+1)/12,1))))))))&gt;0,(((K154)*(IF(M154="",L154,IFERROR(IF(INDEX(Variablen!$I:$AT, MATCH(M154, Variablen!$A:$A, 0), MATCH((YEAR(D154)+6), Variablen!$I$3:$AT$3, 0))="",L154,INDEX(Variablen!$I:$AT, MATCH(M154, Variablen!$A:$A, 0), MATCH((YEAR(D154)+6), Variablen!$I$3:$AT$3, 0))),L154)))*(IF((YEAR(D154)+6)&lt;YEAR(E154),0,IF((YEAR(D154)+6)&gt;YEAR(E154),1,(12-MONTH(E154)+1)/12))) + (Q154)*(IF((YEAR(D154)+6)&lt;YEAR(E154),0,IF((YEAR(D154)+6)&gt;YEAR(E154),1,(12-MONTH(E154)+1)/12))))-((P154)*(IF((YEAR(D154)+6)&lt;YEAR(E154),0,IF((YEAR(D154)+6)&gt;YEAR(E154),1,(12-MONTH(E154)+1)/12))) + (R154)*(IF((YEAR(D154)+6)&lt;YEAR(E154),0,IF((YEAR(D154)+6)&gt;YEAR(E154),1,(12-MONTH(E154)+1)/12))))-(IF(OR(N154="",N154&lt;=0),0,(O154/N154)*(IF(OR(N154="",N154&lt;=0),0,IF((YEAR(D154)+6)&lt;YEAR(E154),0,IF((YEAR(D154)+6)&gt;=YEAR(E154)+N154,0,IF((YEAR(D154)+6)=YEAR(E154),(12-MONTH(E154)+1)/12,1))))))))*TaxRate,0))-IF(6=0,O154,0))</f>
        <v/>
      </c>
      <c r="Z154" s="29">
        <f>IF(A154="","",((K154)*(IF(M154="",L154,IFERROR(IF(INDEX(Variablen!$I:$AT, MATCH(M154, Variablen!$A:$A, 0), MATCH((YEAR(D154)+7), Variablen!$I$3:$AT$3, 0))="",L154,INDEX(Variablen!$I:$AT, MATCH(M154, Variablen!$A:$A, 0), MATCH((YEAR(D154)+7), Variablen!$I$3:$AT$3, 0))),L154)))*(IF((YEAR(D154)+7)&lt;YEAR(E154),0,IF((YEAR(D154)+7)&gt;YEAR(E154),1,(12-MONTH(E154)+1)/12))) + (Q154)*(IF((YEAR(D154)+7)&lt;YEAR(E154),0,IF((YEAR(D154)+7)&gt;YEAR(E154),1,(12-MONTH(E154)+1)/12))))-((P154)*(IF((YEAR(D154)+7)&lt;YEAR(E154),0,IF((YEAR(D154)+7)&gt;YEAR(E154),1,(12-MONTH(E154)+1)/12))) + (R154)*(IF((YEAR(D154)+7)&lt;YEAR(E154),0,IF((YEAR(D154)+7)&gt;YEAR(E154),1,(12-MONTH(E154)+1)/12))))-(IF((((K154)*(IF(M154="",L154,IFERROR(IF(INDEX(Variablen!$I:$AT, MATCH(M154, Variablen!$A:$A, 0), MATCH((YEAR(D154)+7), Variablen!$I$3:$AT$3, 0))="",L154,INDEX(Variablen!$I:$AT, MATCH(M154, Variablen!$A:$A, 0), MATCH((YEAR(D154)+7), Variablen!$I$3:$AT$3, 0))),L154)))*(IF((YEAR(D154)+7)&lt;YEAR(E154),0,IF((YEAR(D154)+7)&gt;YEAR(E154),1,(12-MONTH(E154)+1)/12))) + (Q154)*(IF((YEAR(D154)+7)&lt;YEAR(E154),0,IF((YEAR(D154)+7)&gt;YEAR(E154),1,(12-MONTH(E154)+1)/12))))-((P154)*(IF((YEAR(D154)+7)&lt;YEAR(E154),0,IF((YEAR(D154)+7)&gt;YEAR(E154),1,(12-MONTH(E154)+1)/12))) + (R154)*(IF((YEAR(D154)+7)&lt;YEAR(E154),0,IF((YEAR(D154)+7)&gt;YEAR(E154),1,(12-MONTH(E154)+1)/12))))-(IF(OR(N154="",N154&lt;=0),0,(O154/N154)*(IF(OR(N154="",N154&lt;=0),0,IF((YEAR(D154)+7)&lt;YEAR(E154),0,IF((YEAR(D154)+7)&gt;=YEAR(E154)+N154,0,IF((YEAR(D154)+7)=YEAR(E154),(12-MONTH(E154)+1)/12,1))))))))&gt;0,(((K154)*(IF(M154="",L154,IFERROR(IF(INDEX(Variablen!$I:$AT, MATCH(M154, Variablen!$A:$A, 0), MATCH((YEAR(D154)+7), Variablen!$I$3:$AT$3, 0))="",L154,INDEX(Variablen!$I:$AT, MATCH(M154, Variablen!$A:$A, 0), MATCH((YEAR(D154)+7), Variablen!$I$3:$AT$3, 0))),L154)))*(IF((YEAR(D154)+7)&lt;YEAR(E154),0,IF((YEAR(D154)+7)&gt;YEAR(E154),1,(12-MONTH(E154)+1)/12))) + (Q154)*(IF((YEAR(D154)+7)&lt;YEAR(E154),0,IF((YEAR(D154)+7)&gt;YEAR(E154),1,(12-MONTH(E154)+1)/12))))-((P154)*(IF((YEAR(D154)+7)&lt;YEAR(E154),0,IF((YEAR(D154)+7)&gt;YEAR(E154),1,(12-MONTH(E154)+1)/12))) + (R154)*(IF((YEAR(D154)+7)&lt;YEAR(E154),0,IF((YEAR(D154)+7)&gt;YEAR(E154),1,(12-MONTH(E154)+1)/12))))-(IF(OR(N154="",N154&lt;=0),0,(O154/N154)*(IF(OR(N154="",N154&lt;=0),0,IF((YEAR(D154)+7)&lt;YEAR(E154),0,IF((YEAR(D154)+7)&gt;=YEAR(E154)+N154,0,IF((YEAR(D154)+7)=YEAR(E154),(12-MONTH(E154)+1)/12,1))))))))*TaxRate,0))-IF(7=0,O154,0))</f>
        <v/>
      </c>
      <c r="AA154" s="29">
        <f>IF(A154="","",((K154)*(IF(M154="",L154,IFERROR(IF(INDEX(Variablen!$I:$AT, MATCH(M154, Variablen!$A:$A, 0), MATCH((YEAR(D154)+8), Variablen!$I$3:$AT$3, 0))="",L154,INDEX(Variablen!$I:$AT, MATCH(M154, Variablen!$A:$A, 0), MATCH((YEAR(D154)+8), Variablen!$I$3:$AT$3, 0))),L154)))*(IF((YEAR(D154)+8)&lt;YEAR(E154),0,IF((YEAR(D154)+8)&gt;YEAR(E154),1,(12-MONTH(E154)+1)/12))) + (Q154)*(IF((YEAR(D154)+8)&lt;YEAR(E154),0,IF((YEAR(D154)+8)&gt;YEAR(E154),1,(12-MONTH(E154)+1)/12))))-((P154)*(IF((YEAR(D154)+8)&lt;YEAR(E154),0,IF((YEAR(D154)+8)&gt;YEAR(E154),1,(12-MONTH(E154)+1)/12))) + (R154)*(IF((YEAR(D154)+8)&lt;YEAR(E154),0,IF((YEAR(D154)+8)&gt;YEAR(E154),1,(12-MONTH(E154)+1)/12))))-(IF((((K154)*(IF(M154="",L154,IFERROR(IF(INDEX(Variablen!$I:$AT, MATCH(M154, Variablen!$A:$A, 0), MATCH((YEAR(D154)+8), Variablen!$I$3:$AT$3, 0))="",L154,INDEX(Variablen!$I:$AT, MATCH(M154, Variablen!$A:$A, 0), MATCH((YEAR(D154)+8), Variablen!$I$3:$AT$3, 0))),L154)))*(IF((YEAR(D154)+8)&lt;YEAR(E154),0,IF((YEAR(D154)+8)&gt;YEAR(E154),1,(12-MONTH(E154)+1)/12))) + (Q154)*(IF((YEAR(D154)+8)&lt;YEAR(E154),0,IF((YEAR(D154)+8)&gt;YEAR(E154),1,(12-MONTH(E154)+1)/12))))-((P154)*(IF((YEAR(D154)+8)&lt;YEAR(E154),0,IF((YEAR(D154)+8)&gt;YEAR(E154),1,(12-MONTH(E154)+1)/12))) + (R154)*(IF((YEAR(D154)+8)&lt;YEAR(E154),0,IF((YEAR(D154)+8)&gt;YEAR(E154),1,(12-MONTH(E154)+1)/12))))-(IF(OR(N154="",N154&lt;=0),0,(O154/N154)*(IF(OR(N154="",N154&lt;=0),0,IF((YEAR(D154)+8)&lt;YEAR(E154),0,IF((YEAR(D154)+8)&gt;=YEAR(E154)+N154,0,IF((YEAR(D154)+8)=YEAR(E154),(12-MONTH(E154)+1)/12,1))))))))&gt;0,(((K154)*(IF(M154="",L154,IFERROR(IF(INDEX(Variablen!$I:$AT, MATCH(M154, Variablen!$A:$A, 0), MATCH((YEAR(D154)+8), Variablen!$I$3:$AT$3, 0))="",L154,INDEX(Variablen!$I:$AT, MATCH(M154, Variablen!$A:$A, 0), MATCH((YEAR(D154)+8), Variablen!$I$3:$AT$3, 0))),L154)))*(IF((YEAR(D154)+8)&lt;YEAR(E154),0,IF((YEAR(D154)+8)&gt;YEAR(E154),1,(12-MONTH(E154)+1)/12))) + (Q154)*(IF((YEAR(D154)+8)&lt;YEAR(E154),0,IF((YEAR(D154)+8)&gt;YEAR(E154),1,(12-MONTH(E154)+1)/12))))-((P154)*(IF((YEAR(D154)+8)&lt;YEAR(E154),0,IF((YEAR(D154)+8)&gt;YEAR(E154),1,(12-MONTH(E154)+1)/12))) + (R154)*(IF((YEAR(D154)+8)&lt;YEAR(E154),0,IF((YEAR(D154)+8)&gt;YEAR(E154),1,(12-MONTH(E154)+1)/12))))-(IF(OR(N154="",N154&lt;=0),0,(O154/N154)*(IF(OR(N154="",N154&lt;=0),0,IF((YEAR(D154)+8)&lt;YEAR(E154),0,IF((YEAR(D154)+8)&gt;=YEAR(E154)+N154,0,IF((YEAR(D154)+8)=YEAR(E154),(12-MONTH(E154)+1)/12,1))))))))*TaxRate,0))-IF(8=0,O154,0))</f>
        <v/>
      </c>
      <c r="AB154" s="29">
        <f>IF(A154="","",((K154)*(IF(M154="",L154,IFERROR(IF(INDEX(Variablen!$I:$AT, MATCH(M154, Variablen!$A:$A, 0), MATCH((YEAR(D154)+9), Variablen!$I$3:$AT$3, 0))="",L154,INDEX(Variablen!$I:$AT, MATCH(M154, Variablen!$A:$A, 0), MATCH((YEAR(D154)+9), Variablen!$I$3:$AT$3, 0))),L154)))*(IF((YEAR(D154)+9)&lt;YEAR(E154),0,IF((YEAR(D154)+9)&gt;YEAR(E154),1,(12-MONTH(E154)+1)/12))) + (Q154)*(IF((YEAR(D154)+9)&lt;YEAR(E154),0,IF((YEAR(D154)+9)&gt;YEAR(E154),1,(12-MONTH(E154)+1)/12))))-((P154)*(IF((YEAR(D154)+9)&lt;YEAR(E154),0,IF((YEAR(D154)+9)&gt;YEAR(E154),1,(12-MONTH(E154)+1)/12))) + (R154)*(IF((YEAR(D154)+9)&lt;YEAR(E154),0,IF((YEAR(D154)+9)&gt;YEAR(E154),1,(12-MONTH(E154)+1)/12))))-(IF((((K154)*(IF(M154="",L154,IFERROR(IF(INDEX(Variablen!$I:$AT, MATCH(M154, Variablen!$A:$A, 0), MATCH((YEAR(D154)+9), Variablen!$I$3:$AT$3, 0))="",L154,INDEX(Variablen!$I:$AT, MATCH(M154, Variablen!$A:$A, 0), MATCH((YEAR(D154)+9), Variablen!$I$3:$AT$3, 0))),L154)))*(IF((YEAR(D154)+9)&lt;YEAR(E154),0,IF((YEAR(D154)+9)&gt;YEAR(E154),1,(12-MONTH(E154)+1)/12))) + (Q154)*(IF((YEAR(D154)+9)&lt;YEAR(E154),0,IF((YEAR(D154)+9)&gt;YEAR(E154),1,(12-MONTH(E154)+1)/12))))-((P154)*(IF((YEAR(D154)+9)&lt;YEAR(E154),0,IF((YEAR(D154)+9)&gt;YEAR(E154),1,(12-MONTH(E154)+1)/12))) + (R154)*(IF((YEAR(D154)+9)&lt;YEAR(E154),0,IF((YEAR(D154)+9)&gt;YEAR(E154),1,(12-MONTH(E154)+1)/12))))-(IF(OR(N154="",N154&lt;=0),0,(O154/N154)*(IF(OR(N154="",N154&lt;=0),0,IF((YEAR(D154)+9)&lt;YEAR(E154),0,IF((YEAR(D154)+9)&gt;=YEAR(E154)+N154,0,IF((YEAR(D154)+9)=YEAR(E154),(12-MONTH(E154)+1)/12,1))))))))&gt;0,(((K154)*(IF(M154="",L154,IFERROR(IF(INDEX(Variablen!$I:$AT, MATCH(M154, Variablen!$A:$A, 0), MATCH((YEAR(D154)+9), Variablen!$I$3:$AT$3, 0))="",L154,INDEX(Variablen!$I:$AT, MATCH(M154, Variablen!$A:$A, 0), MATCH((YEAR(D154)+9), Variablen!$I$3:$AT$3, 0))),L154)))*(IF((YEAR(D154)+9)&lt;YEAR(E154),0,IF((YEAR(D154)+9)&gt;YEAR(E154),1,(12-MONTH(E154)+1)/12))) + (Q154)*(IF((YEAR(D154)+9)&lt;YEAR(E154),0,IF((YEAR(D154)+9)&gt;YEAR(E154),1,(12-MONTH(E154)+1)/12))))-((P154)*(IF((YEAR(D154)+9)&lt;YEAR(E154),0,IF((YEAR(D154)+9)&gt;YEAR(E154),1,(12-MONTH(E154)+1)/12))) + (R154)*(IF((YEAR(D154)+9)&lt;YEAR(E154),0,IF((YEAR(D154)+9)&gt;YEAR(E154),1,(12-MONTH(E154)+1)/12))))-(IF(OR(N154="",N154&lt;=0),0,(O154/N154)*(IF(OR(N154="",N154&lt;=0),0,IF((YEAR(D154)+9)&lt;YEAR(E154),0,IF((YEAR(D154)+9)&gt;=YEAR(E154)+N154,0,IF((YEAR(D154)+9)=YEAR(E154),(12-MONTH(E154)+1)/12,1))))))))*TaxRate,0))-IF(9=0,O154,0))</f>
        <v/>
      </c>
      <c r="AC154" s="29">
        <f>IF(A154="","",((K154)*(IF(M154="",L154,IFERROR(IF(INDEX(Variablen!$I:$AT, MATCH(M154, Variablen!$A:$A, 0), MATCH((YEAR(D154)+10), Variablen!$I$3:$AT$3, 0))="",L154,INDEX(Variablen!$I:$AT, MATCH(M154, Variablen!$A:$A, 0), MATCH((YEAR(D154)+10), Variablen!$I$3:$AT$3, 0))),L154)))*(IF((YEAR(D154)+10)&lt;YEAR(E154),0,IF((YEAR(D154)+10)&gt;YEAR(E154),1,(12-MONTH(E154)+1)/12))) + (Q154)*(IF((YEAR(D154)+10)&lt;YEAR(E154),0,IF((YEAR(D154)+10)&gt;YEAR(E154),1,(12-MONTH(E154)+1)/12))))-((P154)*(IF((YEAR(D154)+10)&lt;YEAR(E154),0,IF((YEAR(D154)+10)&gt;YEAR(E154),1,(12-MONTH(E154)+1)/12))) + (R154)*(IF((YEAR(D154)+10)&lt;YEAR(E154),0,IF((YEAR(D154)+10)&gt;YEAR(E154),1,(12-MONTH(E154)+1)/12))))-(IF((((K154)*(IF(M154="",L154,IFERROR(IF(INDEX(Variablen!$I:$AT, MATCH(M154, Variablen!$A:$A, 0), MATCH((YEAR(D154)+10), Variablen!$I$3:$AT$3, 0))="",L154,INDEX(Variablen!$I:$AT, MATCH(M154, Variablen!$A:$A, 0), MATCH((YEAR(D154)+10), Variablen!$I$3:$AT$3, 0))),L154)))*(IF((YEAR(D154)+10)&lt;YEAR(E154),0,IF((YEAR(D154)+10)&gt;YEAR(E154),1,(12-MONTH(E154)+1)/12))) + (Q154)*(IF((YEAR(D154)+10)&lt;YEAR(E154),0,IF((YEAR(D154)+10)&gt;YEAR(E154),1,(12-MONTH(E154)+1)/12))))-((P154)*(IF((YEAR(D154)+10)&lt;YEAR(E154),0,IF((YEAR(D154)+10)&gt;YEAR(E154),1,(12-MONTH(E154)+1)/12))) + (R154)*(IF((YEAR(D154)+10)&lt;YEAR(E154),0,IF((YEAR(D154)+10)&gt;YEAR(E154),1,(12-MONTH(E154)+1)/12))))-(IF(OR(N154="",N154&lt;=0),0,(O154/N154)*(IF(OR(N154="",N154&lt;=0),0,IF((YEAR(D154)+10)&lt;YEAR(E154),0,IF((YEAR(D154)+10)&gt;=YEAR(E154)+N154,0,IF((YEAR(D154)+10)=YEAR(E154),(12-MONTH(E154)+1)/12,1))))))))&gt;0,(((K154)*(IF(M154="",L154,IFERROR(IF(INDEX(Variablen!$I:$AT, MATCH(M154, Variablen!$A:$A, 0), MATCH((YEAR(D154)+10), Variablen!$I$3:$AT$3, 0))="",L154,INDEX(Variablen!$I:$AT, MATCH(M154, Variablen!$A:$A, 0), MATCH((YEAR(D154)+10), Variablen!$I$3:$AT$3, 0))),L154)))*(IF((YEAR(D154)+10)&lt;YEAR(E154),0,IF((YEAR(D154)+10)&gt;YEAR(E154),1,(12-MONTH(E154)+1)/12))) + (Q154)*(IF((YEAR(D154)+10)&lt;YEAR(E154),0,IF((YEAR(D154)+10)&gt;YEAR(E154),1,(12-MONTH(E154)+1)/12))))-((P154)*(IF((YEAR(D154)+10)&lt;YEAR(E154),0,IF((YEAR(D154)+10)&gt;YEAR(E154),1,(12-MONTH(E154)+1)/12))) + (R154)*(IF((YEAR(D154)+10)&lt;YEAR(E154),0,IF((YEAR(D154)+10)&gt;YEAR(E154),1,(12-MONTH(E154)+1)/12))))-(IF(OR(N154="",N154&lt;=0),0,(O154/N154)*(IF(OR(N154="",N154&lt;=0),0,IF((YEAR(D154)+10)&lt;YEAR(E154),0,IF((YEAR(D154)+10)&gt;=YEAR(E154)+N154,0,IF((YEAR(D154)+10)=YEAR(E154),(12-MONTH(E154)+1)/12,1))))))))*TaxRate,0))-IF(10=0,O154,0))</f>
        <v/>
      </c>
      <c r="AD154" s="29">
        <f>IF(A154="","",((K154)*(IF(M154="",L154,IFERROR(IF(INDEX(Variablen!$I:$AT, MATCH(M154, Variablen!$A:$A, 0), MATCH((YEAR(D154)+11), Variablen!$I$3:$AT$3, 0))="",L154,INDEX(Variablen!$I:$AT, MATCH(M154, Variablen!$A:$A, 0), MATCH((YEAR(D154)+11), Variablen!$I$3:$AT$3, 0))),L154)))*(IF((YEAR(D154)+11)&lt;YEAR(E154),0,IF((YEAR(D154)+11)&gt;YEAR(E154),1,(12-MONTH(E154)+1)/12))) + (Q154)*(IF((YEAR(D154)+11)&lt;YEAR(E154),0,IF((YEAR(D154)+11)&gt;YEAR(E154),1,(12-MONTH(E154)+1)/12))))-((P154)*(IF((YEAR(D154)+11)&lt;YEAR(E154),0,IF((YEAR(D154)+11)&gt;YEAR(E154),1,(12-MONTH(E154)+1)/12))) + (R154)*(IF((YEAR(D154)+11)&lt;YEAR(E154),0,IF((YEAR(D154)+11)&gt;YEAR(E154),1,(12-MONTH(E154)+1)/12))))-(IF((((K154)*(IF(M154="",L154,IFERROR(IF(INDEX(Variablen!$I:$AT, MATCH(M154, Variablen!$A:$A, 0), MATCH((YEAR(D154)+11), Variablen!$I$3:$AT$3, 0))="",L154,INDEX(Variablen!$I:$AT, MATCH(M154, Variablen!$A:$A, 0), MATCH((YEAR(D154)+11), Variablen!$I$3:$AT$3, 0))),L154)))*(IF((YEAR(D154)+11)&lt;YEAR(E154),0,IF((YEAR(D154)+11)&gt;YEAR(E154),1,(12-MONTH(E154)+1)/12))) + (Q154)*(IF((YEAR(D154)+11)&lt;YEAR(E154),0,IF((YEAR(D154)+11)&gt;YEAR(E154),1,(12-MONTH(E154)+1)/12))))-((P154)*(IF((YEAR(D154)+11)&lt;YEAR(E154),0,IF((YEAR(D154)+11)&gt;YEAR(E154),1,(12-MONTH(E154)+1)/12))) + (R154)*(IF((YEAR(D154)+11)&lt;YEAR(E154),0,IF((YEAR(D154)+11)&gt;YEAR(E154),1,(12-MONTH(E154)+1)/12))))-(IF(OR(N154="",N154&lt;=0),0,(O154/N154)*(IF(OR(N154="",N154&lt;=0),0,IF((YEAR(D154)+11)&lt;YEAR(E154),0,IF((YEAR(D154)+11)&gt;=YEAR(E154)+N154,0,IF((YEAR(D154)+11)=YEAR(E154),(12-MONTH(E154)+1)/12,1))))))))&gt;0,(((K154)*(IF(M154="",L154,IFERROR(IF(INDEX(Variablen!$I:$AT, MATCH(M154, Variablen!$A:$A, 0), MATCH((YEAR(D154)+11), Variablen!$I$3:$AT$3, 0))="",L154,INDEX(Variablen!$I:$AT, MATCH(M154, Variablen!$A:$A, 0), MATCH((YEAR(D154)+11), Variablen!$I$3:$AT$3, 0))),L154)))*(IF((YEAR(D154)+11)&lt;YEAR(E154),0,IF((YEAR(D154)+11)&gt;YEAR(E154),1,(12-MONTH(E154)+1)/12))) + (Q154)*(IF((YEAR(D154)+11)&lt;YEAR(E154),0,IF((YEAR(D154)+11)&gt;YEAR(E154),1,(12-MONTH(E154)+1)/12))))-((P154)*(IF((YEAR(D154)+11)&lt;YEAR(E154),0,IF((YEAR(D154)+11)&gt;YEAR(E154),1,(12-MONTH(E154)+1)/12))) + (R154)*(IF((YEAR(D154)+11)&lt;YEAR(E154),0,IF((YEAR(D154)+11)&gt;YEAR(E154),1,(12-MONTH(E154)+1)/12))))-(IF(OR(N154="",N154&lt;=0),0,(O154/N154)*(IF(OR(N154="",N154&lt;=0),0,IF((YEAR(D154)+11)&lt;YEAR(E154),0,IF((YEAR(D154)+11)&gt;=YEAR(E154)+N154,0,IF((YEAR(D154)+11)=YEAR(E154),(12-MONTH(E154)+1)/12,1))))))))*TaxRate,0))-IF(11=0,O154,0))</f>
        <v/>
      </c>
      <c r="AE154" s="29">
        <f>IF(A154="","",((K154)*(IF(M154="",L154,IFERROR(IF(INDEX(Variablen!$I:$AT, MATCH(M154, Variablen!$A:$A, 0), MATCH((YEAR(D154)+12), Variablen!$I$3:$AT$3, 0))="",L154,INDEX(Variablen!$I:$AT, MATCH(M154, Variablen!$A:$A, 0), MATCH((YEAR(D154)+12), Variablen!$I$3:$AT$3, 0))),L154)))*(IF((YEAR(D154)+12)&lt;YEAR(E154),0,IF((YEAR(D154)+12)&gt;YEAR(E154),1,(12-MONTH(E154)+1)/12))) + (Q154)*(IF((YEAR(D154)+12)&lt;YEAR(E154),0,IF((YEAR(D154)+12)&gt;YEAR(E154),1,(12-MONTH(E154)+1)/12))))-((P154)*(IF((YEAR(D154)+12)&lt;YEAR(E154),0,IF((YEAR(D154)+12)&gt;YEAR(E154),1,(12-MONTH(E154)+1)/12))) + (R154)*(IF((YEAR(D154)+12)&lt;YEAR(E154),0,IF((YEAR(D154)+12)&gt;YEAR(E154),1,(12-MONTH(E154)+1)/12))))-(IF((((K154)*(IF(M154="",L154,IFERROR(IF(INDEX(Variablen!$I:$AT, MATCH(M154, Variablen!$A:$A, 0), MATCH((YEAR(D154)+12), Variablen!$I$3:$AT$3, 0))="",L154,INDEX(Variablen!$I:$AT, MATCH(M154, Variablen!$A:$A, 0), MATCH((YEAR(D154)+12), Variablen!$I$3:$AT$3, 0))),L154)))*(IF((YEAR(D154)+12)&lt;YEAR(E154),0,IF((YEAR(D154)+12)&gt;YEAR(E154),1,(12-MONTH(E154)+1)/12))) + (Q154)*(IF((YEAR(D154)+12)&lt;YEAR(E154),0,IF((YEAR(D154)+12)&gt;YEAR(E154),1,(12-MONTH(E154)+1)/12))))-((P154)*(IF((YEAR(D154)+12)&lt;YEAR(E154),0,IF((YEAR(D154)+12)&gt;YEAR(E154),1,(12-MONTH(E154)+1)/12))) + (R154)*(IF((YEAR(D154)+12)&lt;YEAR(E154),0,IF((YEAR(D154)+12)&gt;YEAR(E154),1,(12-MONTH(E154)+1)/12))))-(IF(OR(N154="",N154&lt;=0),0,(O154/N154)*(IF(OR(N154="",N154&lt;=0),0,IF((YEAR(D154)+12)&lt;YEAR(E154),0,IF((YEAR(D154)+12)&gt;=YEAR(E154)+N154,0,IF((YEAR(D154)+12)=YEAR(E154),(12-MONTH(E154)+1)/12,1))))))))&gt;0,(((K154)*(IF(M154="",L154,IFERROR(IF(INDEX(Variablen!$I:$AT, MATCH(M154, Variablen!$A:$A, 0), MATCH((YEAR(D154)+12), Variablen!$I$3:$AT$3, 0))="",L154,INDEX(Variablen!$I:$AT, MATCH(M154, Variablen!$A:$A, 0), MATCH((YEAR(D154)+12), Variablen!$I$3:$AT$3, 0))),L154)))*(IF((YEAR(D154)+12)&lt;YEAR(E154),0,IF((YEAR(D154)+12)&gt;YEAR(E154),1,(12-MONTH(E154)+1)/12))) + (Q154)*(IF((YEAR(D154)+12)&lt;YEAR(E154),0,IF((YEAR(D154)+12)&gt;YEAR(E154),1,(12-MONTH(E154)+1)/12))))-((P154)*(IF((YEAR(D154)+12)&lt;YEAR(E154),0,IF((YEAR(D154)+12)&gt;YEAR(E154),1,(12-MONTH(E154)+1)/12))) + (R154)*(IF((YEAR(D154)+12)&lt;YEAR(E154),0,IF((YEAR(D154)+12)&gt;YEAR(E154),1,(12-MONTH(E154)+1)/12))))-(IF(OR(N154="",N154&lt;=0),0,(O154/N154)*(IF(OR(N154="",N154&lt;=0),0,IF((YEAR(D154)+12)&lt;YEAR(E154),0,IF((YEAR(D154)+12)&gt;=YEAR(E154)+N154,0,IF((YEAR(D154)+12)=YEAR(E154),(12-MONTH(E154)+1)/12,1))))))))*TaxRate,0))-IF(12=0,O154,0))</f>
        <v/>
      </c>
      <c r="AF154" s="29">
        <f>IF(A154="","",((K154)*(IF(M154="",L154,IFERROR(IF(INDEX(Variablen!$I:$AT, MATCH(M154, Variablen!$A:$A, 0), MATCH((YEAR(D154)+13), Variablen!$I$3:$AT$3, 0))="",L154,INDEX(Variablen!$I:$AT, MATCH(M154, Variablen!$A:$A, 0), MATCH((YEAR(D154)+13), Variablen!$I$3:$AT$3, 0))),L154)))*(IF((YEAR(D154)+13)&lt;YEAR(E154),0,IF((YEAR(D154)+13)&gt;YEAR(E154),1,(12-MONTH(E154)+1)/12))) + (Q154)*(IF((YEAR(D154)+13)&lt;YEAR(E154),0,IF((YEAR(D154)+13)&gt;YEAR(E154),1,(12-MONTH(E154)+1)/12))))-((P154)*(IF((YEAR(D154)+13)&lt;YEAR(E154),0,IF((YEAR(D154)+13)&gt;YEAR(E154),1,(12-MONTH(E154)+1)/12))) + (R154)*(IF((YEAR(D154)+13)&lt;YEAR(E154),0,IF((YEAR(D154)+13)&gt;YEAR(E154),1,(12-MONTH(E154)+1)/12))))-(IF((((K154)*(IF(M154="",L154,IFERROR(IF(INDEX(Variablen!$I:$AT, MATCH(M154, Variablen!$A:$A, 0), MATCH((YEAR(D154)+13), Variablen!$I$3:$AT$3, 0))="",L154,INDEX(Variablen!$I:$AT, MATCH(M154, Variablen!$A:$A, 0), MATCH((YEAR(D154)+13), Variablen!$I$3:$AT$3, 0))),L154)))*(IF((YEAR(D154)+13)&lt;YEAR(E154),0,IF((YEAR(D154)+13)&gt;YEAR(E154),1,(12-MONTH(E154)+1)/12))) + (Q154)*(IF((YEAR(D154)+13)&lt;YEAR(E154),0,IF((YEAR(D154)+13)&gt;YEAR(E154),1,(12-MONTH(E154)+1)/12))))-((P154)*(IF((YEAR(D154)+13)&lt;YEAR(E154),0,IF((YEAR(D154)+13)&gt;YEAR(E154),1,(12-MONTH(E154)+1)/12))) + (R154)*(IF((YEAR(D154)+13)&lt;YEAR(E154),0,IF((YEAR(D154)+13)&gt;YEAR(E154),1,(12-MONTH(E154)+1)/12))))-(IF(OR(N154="",N154&lt;=0),0,(O154/N154)*(IF(OR(N154="",N154&lt;=0),0,IF((YEAR(D154)+13)&lt;YEAR(E154),0,IF((YEAR(D154)+13)&gt;=YEAR(E154)+N154,0,IF((YEAR(D154)+13)=YEAR(E154),(12-MONTH(E154)+1)/12,1))))))))&gt;0,(((K154)*(IF(M154="",L154,IFERROR(IF(INDEX(Variablen!$I:$AT, MATCH(M154, Variablen!$A:$A, 0), MATCH((YEAR(D154)+13), Variablen!$I$3:$AT$3, 0))="",L154,INDEX(Variablen!$I:$AT, MATCH(M154, Variablen!$A:$A, 0), MATCH((YEAR(D154)+13), Variablen!$I$3:$AT$3, 0))),L154)))*(IF((YEAR(D154)+13)&lt;YEAR(E154),0,IF((YEAR(D154)+13)&gt;YEAR(E154),1,(12-MONTH(E154)+1)/12))) + (Q154)*(IF((YEAR(D154)+13)&lt;YEAR(E154),0,IF((YEAR(D154)+13)&gt;YEAR(E154),1,(12-MONTH(E154)+1)/12))))-((P154)*(IF((YEAR(D154)+13)&lt;YEAR(E154),0,IF((YEAR(D154)+13)&gt;YEAR(E154),1,(12-MONTH(E154)+1)/12))) + (R154)*(IF((YEAR(D154)+13)&lt;YEAR(E154),0,IF((YEAR(D154)+13)&gt;YEAR(E154),1,(12-MONTH(E154)+1)/12))))-(IF(OR(N154="",N154&lt;=0),0,(O154/N154)*(IF(OR(N154="",N154&lt;=0),0,IF((YEAR(D154)+13)&lt;YEAR(E154),0,IF((YEAR(D154)+13)&gt;=YEAR(E154)+N154,0,IF((YEAR(D154)+13)=YEAR(E154),(12-MONTH(E154)+1)/12,1))))))))*TaxRate,0))-IF(13=0,O154,0))</f>
        <v/>
      </c>
      <c r="AG154" s="29">
        <f>IF(A154="","",((K154)*(IF(M154="",L154,IFERROR(IF(INDEX(Variablen!$I:$AT, MATCH(M154, Variablen!$A:$A, 0), MATCH((YEAR(D154)+14), Variablen!$I$3:$AT$3, 0))="",L154,INDEX(Variablen!$I:$AT, MATCH(M154, Variablen!$A:$A, 0), MATCH((YEAR(D154)+14), Variablen!$I$3:$AT$3, 0))),L154)))*(IF((YEAR(D154)+14)&lt;YEAR(E154),0,IF((YEAR(D154)+14)&gt;YEAR(E154),1,(12-MONTH(E154)+1)/12))) + (Q154)*(IF((YEAR(D154)+14)&lt;YEAR(E154),0,IF((YEAR(D154)+14)&gt;YEAR(E154),1,(12-MONTH(E154)+1)/12))))-((P154)*(IF((YEAR(D154)+14)&lt;YEAR(E154),0,IF((YEAR(D154)+14)&gt;YEAR(E154),1,(12-MONTH(E154)+1)/12))) + (R154)*(IF((YEAR(D154)+14)&lt;YEAR(E154),0,IF((YEAR(D154)+14)&gt;YEAR(E154),1,(12-MONTH(E154)+1)/12))))-(IF((((K154)*(IF(M154="",L154,IFERROR(IF(INDEX(Variablen!$I:$AT, MATCH(M154, Variablen!$A:$A, 0), MATCH((YEAR(D154)+14), Variablen!$I$3:$AT$3, 0))="",L154,INDEX(Variablen!$I:$AT, MATCH(M154, Variablen!$A:$A, 0), MATCH((YEAR(D154)+14), Variablen!$I$3:$AT$3, 0))),L154)))*(IF((YEAR(D154)+14)&lt;YEAR(E154),0,IF((YEAR(D154)+14)&gt;YEAR(E154),1,(12-MONTH(E154)+1)/12))) + (Q154)*(IF((YEAR(D154)+14)&lt;YEAR(E154),0,IF((YEAR(D154)+14)&gt;YEAR(E154),1,(12-MONTH(E154)+1)/12))))-((P154)*(IF((YEAR(D154)+14)&lt;YEAR(E154),0,IF((YEAR(D154)+14)&gt;YEAR(E154),1,(12-MONTH(E154)+1)/12))) + (R154)*(IF((YEAR(D154)+14)&lt;YEAR(E154),0,IF((YEAR(D154)+14)&gt;YEAR(E154),1,(12-MONTH(E154)+1)/12))))-(IF(OR(N154="",N154&lt;=0),0,(O154/N154)*(IF(OR(N154="",N154&lt;=0),0,IF((YEAR(D154)+14)&lt;YEAR(E154),0,IF((YEAR(D154)+14)&gt;=YEAR(E154)+N154,0,IF((YEAR(D154)+14)=YEAR(E154),(12-MONTH(E154)+1)/12,1))))))))&gt;0,(((K154)*(IF(M154="",L154,IFERROR(IF(INDEX(Variablen!$I:$AT, MATCH(M154, Variablen!$A:$A, 0), MATCH((YEAR(D154)+14), Variablen!$I$3:$AT$3, 0))="",L154,INDEX(Variablen!$I:$AT, MATCH(M154, Variablen!$A:$A, 0), MATCH((YEAR(D154)+14), Variablen!$I$3:$AT$3, 0))),L154)))*(IF((YEAR(D154)+14)&lt;YEAR(E154),0,IF((YEAR(D154)+14)&gt;YEAR(E154),1,(12-MONTH(E154)+1)/12))) + (Q154)*(IF((YEAR(D154)+14)&lt;YEAR(E154),0,IF((YEAR(D154)+14)&gt;YEAR(E154),1,(12-MONTH(E154)+1)/12))))-((P154)*(IF((YEAR(D154)+14)&lt;YEAR(E154),0,IF((YEAR(D154)+14)&gt;YEAR(E154),1,(12-MONTH(E154)+1)/12))) + (R154)*(IF((YEAR(D154)+14)&lt;YEAR(E154),0,IF((YEAR(D154)+14)&gt;YEAR(E154),1,(12-MONTH(E154)+1)/12))))-(IF(OR(N154="",N154&lt;=0),0,(O154/N154)*(IF(OR(N154="",N154&lt;=0),0,IF((YEAR(D154)+14)&lt;YEAR(E154),0,IF((YEAR(D154)+14)&gt;=YEAR(E154)+N154,0,IF((YEAR(D154)+14)=YEAR(E154),(12-MONTH(E154)+1)/12,1))))))))*TaxRate,0))-IF(14=0,O154,0))</f>
        <v/>
      </c>
      <c r="AH154" s="29">
        <f>IF(A154="","",((K154)*(IF(M154="",L154,IFERROR(IF(INDEX(Variablen!$I:$AT, MATCH(M154, Variablen!$A:$A, 0), MATCH((YEAR(D154)+15), Variablen!$I$3:$AT$3, 0))="",L154,INDEX(Variablen!$I:$AT, MATCH(M154, Variablen!$A:$A, 0), MATCH((YEAR(D154)+15), Variablen!$I$3:$AT$3, 0))),L154)))*(IF((YEAR(D154)+15)&lt;YEAR(E154),0,IF((YEAR(D154)+15)&gt;YEAR(E154),1,(12-MONTH(E154)+1)/12))) + (Q154)*(IF((YEAR(D154)+15)&lt;YEAR(E154),0,IF((YEAR(D154)+15)&gt;YEAR(E154),1,(12-MONTH(E154)+1)/12))))-((P154)*(IF((YEAR(D154)+15)&lt;YEAR(E154),0,IF((YEAR(D154)+15)&gt;YEAR(E154),1,(12-MONTH(E154)+1)/12))) + (R154)*(IF((YEAR(D154)+15)&lt;YEAR(E154),0,IF((YEAR(D154)+15)&gt;YEAR(E154),1,(12-MONTH(E154)+1)/12))))-(IF((((K154)*(IF(M154="",L154,IFERROR(IF(INDEX(Variablen!$I:$AT, MATCH(M154, Variablen!$A:$A, 0), MATCH((YEAR(D154)+15), Variablen!$I$3:$AT$3, 0))="",L154,INDEX(Variablen!$I:$AT, MATCH(M154, Variablen!$A:$A, 0), MATCH((YEAR(D154)+15), Variablen!$I$3:$AT$3, 0))),L154)))*(IF((YEAR(D154)+15)&lt;YEAR(E154),0,IF((YEAR(D154)+15)&gt;YEAR(E154),1,(12-MONTH(E154)+1)/12))) + (Q154)*(IF((YEAR(D154)+15)&lt;YEAR(E154),0,IF((YEAR(D154)+15)&gt;YEAR(E154),1,(12-MONTH(E154)+1)/12))))-((P154)*(IF((YEAR(D154)+15)&lt;YEAR(E154),0,IF((YEAR(D154)+15)&gt;YEAR(E154),1,(12-MONTH(E154)+1)/12))) + (R154)*(IF((YEAR(D154)+15)&lt;YEAR(E154),0,IF((YEAR(D154)+15)&gt;YEAR(E154),1,(12-MONTH(E154)+1)/12))))-(IF(OR(N154="",N154&lt;=0),0,(O154/N154)*(IF(OR(N154="",N154&lt;=0),0,IF((YEAR(D154)+15)&lt;YEAR(E154),0,IF((YEAR(D154)+15)&gt;=YEAR(E154)+N154,0,IF((YEAR(D154)+15)=YEAR(E154),(12-MONTH(E154)+1)/12,1))))))))&gt;0,(((K154)*(IF(M154="",L154,IFERROR(IF(INDEX(Variablen!$I:$AT, MATCH(M154, Variablen!$A:$A, 0), MATCH((YEAR(D154)+15), Variablen!$I$3:$AT$3, 0))="",L154,INDEX(Variablen!$I:$AT, MATCH(M154, Variablen!$A:$A, 0), MATCH((YEAR(D154)+15), Variablen!$I$3:$AT$3, 0))),L154)))*(IF((YEAR(D154)+15)&lt;YEAR(E154),0,IF((YEAR(D154)+15)&gt;YEAR(E154),1,(12-MONTH(E154)+1)/12))) + (Q154)*(IF((YEAR(D154)+15)&lt;YEAR(E154),0,IF((YEAR(D154)+15)&gt;YEAR(E154),1,(12-MONTH(E154)+1)/12))))-((P154)*(IF((YEAR(D154)+15)&lt;YEAR(E154),0,IF((YEAR(D154)+15)&gt;YEAR(E154),1,(12-MONTH(E154)+1)/12))) + (R154)*(IF((YEAR(D154)+15)&lt;YEAR(E154),0,IF((YEAR(D154)+15)&gt;YEAR(E154),1,(12-MONTH(E154)+1)/12))))-(IF(OR(N154="",N154&lt;=0),0,(O154/N154)*(IF(OR(N154="",N154&lt;=0),0,IF((YEAR(D154)+15)&lt;YEAR(E154),0,IF((YEAR(D154)+15)&gt;=YEAR(E154)+N154,0,IF((YEAR(D154)+15)=YEAR(E154),(12-MONTH(E154)+1)/12,1))))))))*TaxRate,0))-IF(15=0,O154,0))</f>
        <v/>
      </c>
      <c r="AI154" s="29">
        <f>IF(A154="","",((K154)*(IF(M154="",L154,IFERROR(IF(INDEX(Variablen!$I:$AT, MATCH(M154, Variablen!$A:$A, 0), MATCH((YEAR(D154)+16), Variablen!$I$3:$AT$3, 0))="",L154,INDEX(Variablen!$I:$AT, MATCH(M154, Variablen!$A:$A, 0), MATCH((YEAR(D154)+16), Variablen!$I$3:$AT$3, 0))),L154)))*(IF((YEAR(D154)+16)&lt;YEAR(E154),0,IF((YEAR(D154)+16)&gt;YEAR(E154),1,(12-MONTH(E154)+1)/12))) + (Q154)*(IF((YEAR(D154)+16)&lt;YEAR(E154),0,IF((YEAR(D154)+16)&gt;YEAR(E154),1,(12-MONTH(E154)+1)/12))))-((P154)*(IF((YEAR(D154)+16)&lt;YEAR(E154),0,IF((YEAR(D154)+16)&gt;YEAR(E154),1,(12-MONTH(E154)+1)/12))) + (R154)*(IF((YEAR(D154)+16)&lt;YEAR(E154),0,IF((YEAR(D154)+16)&gt;YEAR(E154),1,(12-MONTH(E154)+1)/12))))-(IF((((K154)*(IF(M154="",L154,IFERROR(IF(INDEX(Variablen!$I:$AT, MATCH(M154, Variablen!$A:$A, 0), MATCH((YEAR(D154)+16), Variablen!$I$3:$AT$3, 0))="",L154,INDEX(Variablen!$I:$AT, MATCH(M154, Variablen!$A:$A, 0), MATCH((YEAR(D154)+16), Variablen!$I$3:$AT$3, 0))),L154)))*(IF((YEAR(D154)+16)&lt;YEAR(E154),0,IF((YEAR(D154)+16)&gt;YEAR(E154),1,(12-MONTH(E154)+1)/12))) + (Q154)*(IF((YEAR(D154)+16)&lt;YEAR(E154),0,IF((YEAR(D154)+16)&gt;YEAR(E154),1,(12-MONTH(E154)+1)/12))))-((P154)*(IF((YEAR(D154)+16)&lt;YEAR(E154),0,IF((YEAR(D154)+16)&gt;YEAR(E154),1,(12-MONTH(E154)+1)/12))) + (R154)*(IF((YEAR(D154)+16)&lt;YEAR(E154),0,IF((YEAR(D154)+16)&gt;YEAR(E154),1,(12-MONTH(E154)+1)/12))))-(IF(OR(N154="",N154&lt;=0),0,(O154/N154)*(IF(OR(N154="",N154&lt;=0),0,IF((YEAR(D154)+16)&lt;YEAR(E154),0,IF((YEAR(D154)+16)&gt;=YEAR(E154)+N154,0,IF((YEAR(D154)+16)=YEAR(E154),(12-MONTH(E154)+1)/12,1))))))))&gt;0,(((K154)*(IF(M154="",L154,IFERROR(IF(INDEX(Variablen!$I:$AT, MATCH(M154, Variablen!$A:$A, 0), MATCH((YEAR(D154)+16), Variablen!$I$3:$AT$3, 0))="",L154,INDEX(Variablen!$I:$AT, MATCH(M154, Variablen!$A:$A, 0), MATCH((YEAR(D154)+16), Variablen!$I$3:$AT$3, 0))),L154)))*(IF((YEAR(D154)+16)&lt;YEAR(E154),0,IF((YEAR(D154)+16)&gt;YEAR(E154),1,(12-MONTH(E154)+1)/12))) + (Q154)*(IF((YEAR(D154)+16)&lt;YEAR(E154),0,IF((YEAR(D154)+16)&gt;YEAR(E154),1,(12-MONTH(E154)+1)/12))))-((P154)*(IF((YEAR(D154)+16)&lt;YEAR(E154),0,IF((YEAR(D154)+16)&gt;YEAR(E154),1,(12-MONTH(E154)+1)/12))) + (R154)*(IF((YEAR(D154)+16)&lt;YEAR(E154),0,IF((YEAR(D154)+16)&gt;YEAR(E154),1,(12-MONTH(E154)+1)/12))))-(IF(OR(N154="",N154&lt;=0),0,(O154/N154)*(IF(OR(N154="",N154&lt;=0),0,IF((YEAR(D154)+16)&lt;YEAR(E154),0,IF((YEAR(D154)+16)&gt;=YEAR(E154)+N154,0,IF((YEAR(D154)+16)=YEAR(E154),(12-MONTH(E154)+1)/12,1))))))))*TaxRate,0))-IF(16=0,O154,0))</f>
        <v/>
      </c>
      <c r="AJ154" s="29">
        <f>IF(A154="","",((K154)*(IF(M154="",L154,IFERROR(IF(INDEX(Variablen!$I:$AT, MATCH(M154, Variablen!$A:$A, 0), MATCH((YEAR(D154)+17), Variablen!$I$3:$AT$3, 0))="",L154,INDEX(Variablen!$I:$AT, MATCH(M154, Variablen!$A:$A, 0), MATCH((YEAR(D154)+17), Variablen!$I$3:$AT$3, 0))),L154)))*(IF((YEAR(D154)+17)&lt;YEAR(E154),0,IF((YEAR(D154)+17)&gt;YEAR(E154),1,(12-MONTH(E154)+1)/12))) + (Q154)*(IF((YEAR(D154)+17)&lt;YEAR(E154),0,IF((YEAR(D154)+17)&gt;YEAR(E154),1,(12-MONTH(E154)+1)/12))))-((P154)*(IF((YEAR(D154)+17)&lt;YEAR(E154),0,IF((YEAR(D154)+17)&gt;YEAR(E154),1,(12-MONTH(E154)+1)/12))) + (R154)*(IF((YEAR(D154)+17)&lt;YEAR(E154),0,IF((YEAR(D154)+17)&gt;YEAR(E154),1,(12-MONTH(E154)+1)/12))))-(IF((((K154)*(IF(M154="",L154,IFERROR(IF(INDEX(Variablen!$I:$AT, MATCH(M154, Variablen!$A:$A, 0), MATCH((YEAR(D154)+17), Variablen!$I$3:$AT$3, 0))="",L154,INDEX(Variablen!$I:$AT, MATCH(M154, Variablen!$A:$A, 0), MATCH((YEAR(D154)+17), Variablen!$I$3:$AT$3, 0))),L154)))*(IF((YEAR(D154)+17)&lt;YEAR(E154),0,IF((YEAR(D154)+17)&gt;YEAR(E154),1,(12-MONTH(E154)+1)/12))) + (Q154)*(IF((YEAR(D154)+17)&lt;YEAR(E154),0,IF((YEAR(D154)+17)&gt;YEAR(E154),1,(12-MONTH(E154)+1)/12))))-((P154)*(IF((YEAR(D154)+17)&lt;YEAR(E154),0,IF((YEAR(D154)+17)&gt;YEAR(E154),1,(12-MONTH(E154)+1)/12))) + (R154)*(IF((YEAR(D154)+17)&lt;YEAR(E154),0,IF((YEAR(D154)+17)&gt;YEAR(E154),1,(12-MONTH(E154)+1)/12))))-(IF(OR(N154="",N154&lt;=0),0,(O154/N154)*(IF(OR(N154="",N154&lt;=0),0,IF((YEAR(D154)+17)&lt;YEAR(E154),0,IF((YEAR(D154)+17)&gt;=YEAR(E154)+N154,0,IF((YEAR(D154)+17)=YEAR(E154),(12-MONTH(E154)+1)/12,1))))))))&gt;0,(((K154)*(IF(M154="",L154,IFERROR(IF(INDEX(Variablen!$I:$AT, MATCH(M154, Variablen!$A:$A, 0), MATCH((YEAR(D154)+17), Variablen!$I$3:$AT$3, 0))="",L154,INDEX(Variablen!$I:$AT, MATCH(M154, Variablen!$A:$A, 0), MATCH((YEAR(D154)+17), Variablen!$I$3:$AT$3, 0))),L154)))*(IF((YEAR(D154)+17)&lt;YEAR(E154),0,IF((YEAR(D154)+17)&gt;YEAR(E154),1,(12-MONTH(E154)+1)/12))) + (Q154)*(IF((YEAR(D154)+17)&lt;YEAR(E154),0,IF((YEAR(D154)+17)&gt;YEAR(E154),1,(12-MONTH(E154)+1)/12))))-((P154)*(IF((YEAR(D154)+17)&lt;YEAR(E154),0,IF((YEAR(D154)+17)&gt;YEAR(E154),1,(12-MONTH(E154)+1)/12))) + (R154)*(IF((YEAR(D154)+17)&lt;YEAR(E154),0,IF((YEAR(D154)+17)&gt;YEAR(E154),1,(12-MONTH(E154)+1)/12))))-(IF(OR(N154="",N154&lt;=0),0,(O154/N154)*(IF(OR(N154="",N154&lt;=0),0,IF((YEAR(D154)+17)&lt;YEAR(E154),0,IF((YEAR(D154)+17)&gt;=YEAR(E154)+N154,0,IF((YEAR(D154)+17)=YEAR(E154),(12-MONTH(E154)+1)/12,1))))))))*TaxRate,0))-IF(17=0,O154,0))</f>
        <v/>
      </c>
      <c r="AK154" s="29">
        <f>IF(A154="","",((K154)*(IF(M154="",L154,IFERROR(IF(INDEX(Variablen!$I:$AT, MATCH(M154, Variablen!$A:$A, 0), MATCH((YEAR(D154)+18), Variablen!$I$3:$AT$3, 0))="",L154,INDEX(Variablen!$I:$AT, MATCH(M154, Variablen!$A:$A, 0), MATCH((YEAR(D154)+18), Variablen!$I$3:$AT$3, 0))),L154)))*(IF((YEAR(D154)+18)&lt;YEAR(E154),0,IF((YEAR(D154)+18)&gt;YEAR(E154),1,(12-MONTH(E154)+1)/12))) + (Q154)*(IF((YEAR(D154)+18)&lt;YEAR(E154),0,IF((YEAR(D154)+18)&gt;YEAR(E154),1,(12-MONTH(E154)+1)/12))))-((P154)*(IF((YEAR(D154)+18)&lt;YEAR(E154),0,IF((YEAR(D154)+18)&gt;YEAR(E154),1,(12-MONTH(E154)+1)/12))) + (R154)*(IF((YEAR(D154)+18)&lt;YEAR(E154),0,IF((YEAR(D154)+18)&gt;YEAR(E154),1,(12-MONTH(E154)+1)/12))))-(IF((((K154)*(IF(M154="",L154,IFERROR(IF(INDEX(Variablen!$I:$AT, MATCH(M154, Variablen!$A:$A, 0), MATCH((YEAR(D154)+18), Variablen!$I$3:$AT$3, 0))="",L154,INDEX(Variablen!$I:$AT, MATCH(M154, Variablen!$A:$A, 0), MATCH((YEAR(D154)+18), Variablen!$I$3:$AT$3, 0))),L154)))*(IF((YEAR(D154)+18)&lt;YEAR(E154),0,IF((YEAR(D154)+18)&gt;YEAR(E154),1,(12-MONTH(E154)+1)/12))) + (Q154)*(IF((YEAR(D154)+18)&lt;YEAR(E154),0,IF((YEAR(D154)+18)&gt;YEAR(E154),1,(12-MONTH(E154)+1)/12))))-((P154)*(IF((YEAR(D154)+18)&lt;YEAR(E154),0,IF((YEAR(D154)+18)&gt;YEAR(E154),1,(12-MONTH(E154)+1)/12))) + (R154)*(IF((YEAR(D154)+18)&lt;YEAR(E154),0,IF((YEAR(D154)+18)&gt;YEAR(E154),1,(12-MONTH(E154)+1)/12))))-(IF(OR(N154="",N154&lt;=0),0,(O154/N154)*(IF(OR(N154="",N154&lt;=0),0,IF((YEAR(D154)+18)&lt;YEAR(E154),0,IF((YEAR(D154)+18)&gt;=YEAR(E154)+N154,0,IF((YEAR(D154)+18)=YEAR(E154),(12-MONTH(E154)+1)/12,1))))))))&gt;0,(((K154)*(IF(M154="",L154,IFERROR(IF(INDEX(Variablen!$I:$AT, MATCH(M154, Variablen!$A:$A, 0), MATCH((YEAR(D154)+18), Variablen!$I$3:$AT$3, 0))="",L154,INDEX(Variablen!$I:$AT, MATCH(M154, Variablen!$A:$A, 0), MATCH((YEAR(D154)+18), Variablen!$I$3:$AT$3, 0))),L154)))*(IF((YEAR(D154)+18)&lt;YEAR(E154),0,IF((YEAR(D154)+18)&gt;YEAR(E154),1,(12-MONTH(E154)+1)/12))) + (Q154)*(IF((YEAR(D154)+18)&lt;YEAR(E154),0,IF((YEAR(D154)+18)&gt;YEAR(E154),1,(12-MONTH(E154)+1)/12))))-((P154)*(IF((YEAR(D154)+18)&lt;YEAR(E154),0,IF((YEAR(D154)+18)&gt;YEAR(E154),1,(12-MONTH(E154)+1)/12))) + (R154)*(IF((YEAR(D154)+18)&lt;YEAR(E154),0,IF((YEAR(D154)+18)&gt;YEAR(E154),1,(12-MONTH(E154)+1)/12))))-(IF(OR(N154="",N154&lt;=0),0,(O154/N154)*(IF(OR(N154="",N154&lt;=0),0,IF((YEAR(D154)+18)&lt;YEAR(E154),0,IF((YEAR(D154)+18)&gt;=YEAR(E154)+N154,0,IF((YEAR(D154)+18)=YEAR(E154),(12-MONTH(E154)+1)/12,1))))))))*TaxRate,0))-IF(18=0,O154,0))</f>
        <v/>
      </c>
      <c r="AL154" s="29">
        <f>IF(A154="","",((K154)*(IF(M154="",L154,IFERROR(IF(INDEX(Variablen!$I:$AT, MATCH(M154, Variablen!$A:$A, 0), MATCH((YEAR(D154)+19), Variablen!$I$3:$AT$3, 0))="",L154,INDEX(Variablen!$I:$AT, MATCH(M154, Variablen!$A:$A, 0), MATCH((YEAR(D154)+19), Variablen!$I$3:$AT$3, 0))),L154)))*(IF((YEAR(D154)+19)&lt;YEAR(E154),0,IF((YEAR(D154)+19)&gt;YEAR(E154),1,(12-MONTH(E154)+1)/12))) + (Q154)*(IF((YEAR(D154)+19)&lt;YEAR(E154),0,IF((YEAR(D154)+19)&gt;YEAR(E154),1,(12-MONTH(E154)+1)/12))))-((P154)*(IF((YEAR(D154)+19)&lt;YEAR(E154),0,IF((YEAR(D154)+19)&gt;YEAR(E154),1,(12-MONTH(E154)+1)/12))) + (R154)*(IF((YEAR(D154)+19)&lt;YEAR(E154),0,IF((YEAR(D154)+19)&gt;YEAR(E154),1,(12-MONTH(E154)+1)/12))))-(IF((((K154)*(IF(M154="",L154,IFERROR(IF(INDEX(Variablen!$I:$AT, MATCH(M154, Variablen!$A:$A, 0), MATCH((YEAR(D154)+19), Variablen!$I$3:$AT$3, 0))="",L154,INDEX(Variablen!$I:$AT, MATCH(M154, Variablen!$A:$A, 0), MATCH((YEAR(D154)+19), Variablen!$I$3:$AT$3, 0))),L154)))*(IF((YEAR(D154)+19)&lt;YEAR(E154),0,IF((YEAR(D154)+19)&gt;YEAR(E154),1,(12-MONTH(E154)+1)/12))) + (Q154)*(IF((YEAR(D154)+19)&lt;YEAR(E154),0,IF((YEAR(D154)+19)&gt;YEAR(E154),1,(12-MONTH(E154)+1)/12))))-((P154)*(IF((YEAR(D154)+19)&lt;YEAR(E154),0,IF((YEAR(D154)+19)&gt;YEAR(E154),1,(12-MONTH(E154)+1)/12))) + (R154)*(IF((YEAR(D154)+19)&lt;YEAR(E154),0,IF((YEAR(D154)+19)&gt;YEAR(E154),1,(12-MONTH(E154)+1)/12))))-(IF(OR(N154="",N154&lt;=0),0,(O154/N154)*(IF(OR(N154="",N154&lt;=0),0,IF((YEAR(D154)+19)&lt;YEAR(E154),0,IF((YEAR(D154)+19)&gt;=YEAR(E154)+N154,0,IF((YEAR(D154)+19)=YEAR(E154),(12-MONTH(E154)+1)/12,1))))))))&gt;0,(((K154)*(IF(M154="",L154,IFERROR(IF(INDEX(Variablen!$I:$AT, MATCH(M154, Variablen!$A:$A, 0), MATCH((YEAR(D154)+19), Variablen!$I$3:$AT$3, 0))="",L154,INDEX(Variablen!$I:$AT, MATCH(M154, Variablen!$A:$A, 0), MATCH((YEAR(D154)+19), Variablen!$I$3:$AT$3, 0))),L154)))*(IF((YEAR(D154)+19)&lt;YEAR(E154),0,IF((YEAR(D154)+19)&gt;YEAR(E154),1,(12-MONTH(E154)+1)/12))) + (Q154)*(IF((YEAR(D154)+19)&lt;YEAR(E154),0,IF((YEAR(D154)+19)&gt;YEAR(E154),1,(12-MONTH(E154)+1)/12))))-((P154)*(IF((YEAR(D154)+19)&lt;YEAR(E154),0,IF((YEAR(D154)+19)&gt;YEAR(E154),1,(12-MONTH(E154)+1)/12))) + (R154)*(IF((YEAR(D154)+19)&lt;YEAR(E154),0,IF((YEAR(D154)+19)&gt;YEAR(E154),1,(12-MONTH(E154)+1)/12))))-(IF(OR(N154="",N154&lt;=0),0,(O154/N154)*(IF(OR(N154="",N154&lt;=0),0,IF((YEAR(D154)+19)&lt;YEAR(E154),0,IF((YEAR(D154)+19)&gt;=YEAR(E154)+N154,0,IF((YEAR(D154)+19)=YEAR(E154),(12-MONTH(E154)+1)/12,1))))))))*TaxRate,0))-IF(19=0,O154,0))</f>
        <v/>
      </c>
      <c r="AM154" s="29">
        <f>IF(A154="","",((K154)*(IF(M154="",L154,IFERROR(IF(INDEX(Variablen!$I:$AT, MATCH(M154, Variablen!$A:$A, 0), MATCH((YEAR(D154)+20), Variablen!$I$3:$AT$3, 0))="",L154,INDEX(Variablen!$I:$AT, MATCH(M154, Variablen!$A:$A, 0), MATCH((YEAR(D154)+20), Variablen!$I$3:$AT$3, 0))),L154)))*(IF((YEAR(D154)+20)&lt;YEAR(E154),0,IF((YEAR(D154)+20)&gt;YEAR(E154),1,(12-MONTH(E154)+1)/12))) + (Q154)*(IF((YEAR(D154)+20)&lt;YEAR(E154),0,IF((YEAR(D154)+20)&gt;YEAR(E154),1,(12-MONTH(E154)+1)/12))))-((P154)*(IF((YEAR(D154)+20)&lt;YEAR(E154),0,IF((YEAR(D154)+20)&gt;YEAR(E154),1,(12-MONTH(E154)+1)/12))) + (R154)*(IF((YEAR(D154)+20)&lt;YEAR(E154),0,IF((YEAR(D154)+20)&gt;YEAR(E154),1,(12-MONTH(E154)+1)/12))))-(IF((((K154)*(IF(M154="",L154,IFERROR(IF(INDEX(Variablen!$I:$AT, MATCH(M154, Variablen!$A:$A, 0), MATCH((YEAR(D154)+20), Variablen!$I$3:$AT$3, 0))="",L154,INDEX(Variablen!$I:$AT, MATCH(M154, Variablen!$A:$A, 0), MATCH((YEAR(D154)+20), Variablen!$I$3:$AT$3, 0))),L154)))*(IF((YEAR(D154)+20)&lt;YEAR(E154),0,IF((YEAR(D154)+20)&gt;YEAR(E154),1,(12-MONTH(E154)+1)/12))) + (Q154)*(IF((YEAR(D154)+20)&lt;YEAR(E154),0,IF((YEAR(D154)+20)&gt;YEAR(E154),1,(12-MONTH(E154)+1)/12))))-((P154)*(IF((YEAR(D154)+20)&lt;YEAR(E154),0,IF((YEAR(D154)+20)&gt;YEAR(E154),1,(12-MONTH(E154)+1)/12))) + (R154)*(IF((YEAR(D154)+20)&lt;YEAR(E154),0,IF((YEAR(D154)+20)&gt;YEAR(E154),1,(12-MONTH(E154)+1)/12))))-(IF(OR(N154="",N154&lt;=0),0,(O154/N154)*(IF(OR(N154="",N154&lt;=0),0,IF((YEAR(D154)+20)&lt;YEAR(E154),0,IF((YEAR(D154)+20)&gt;=YEAR(E154)+N154,0,IF((YEAR(D154)+20)=YEAR(E154),(12-MONTH(E154)+1)/12,1))))))))&gt;0,(((K154)*(IF(M154="",L154,IFERROR(IF(INDEX(Variablen!$I:$AT, MATCH(M154, Variablen!$A:$A, 0), MATCH((YEAR(D154)+20), Variablen!$I$3:$AT$3, 0))="",L154,INDEX(Variablen!$I:$AT, MATCH(M154, Variablen!$A:$A, 0), MATCH((YEAR(D154)+20), Variablen!$I$3:$AT$3, 0))),L154)))*(IF((YEAR(D154)+20)&lt;YEAR(E154),0,IF((YEAR(D154)+20)&gt;YEAR(E154),1,(12-MONTH(E154)+1)/12))) + (Q154)*(IF((YEAR(D154)+20)&lt;YEAR(E154),0,IF((YEAR(D154)+20)&gt;YEAR(E154),1,(12-MONTH(E154)+1)/12))))-((P154)*(IF((YEAR(D154)+20)&lt;YEAR(E154),0,IF((YEAR(D154)+20)&gt;YEAR(E154),1,(12-MONTH(E154)+1)/12))) + (R154)*(IF((YEAR(D154)+20)&lt;YEAR(E154),0,IF((YEAR(D154)+20)&gt;YEAR(E154),1,(12-MONTH(E154)+1)/12))))-(IF(OR(N154="",N154&lt;=0),0,(O154/N154)*(IF(OR(N154="",N154&lt;=0),0,IF((YEAR(D154)+20)&lt;YEAR(E154),0,IF((YEAR(D154)+20)&gt;=YEAR(E154)+N154,0,IF((YEAR(D154)+20)=YEAR(E154),(12-MONTH(E154)+1)/12,1))))))))*TaxRate,0))-IF(20=0,O154,0))</f>
        <v/>
      </c>
      <c r="AN154" s="29">
        <f>IF(A154="","",S154)</f>
        <v/>
      </c>
      <c r="AO154" s="29">
        <f>IF(A154="","",AN154+T154)</f>
        <v/>
      </c>
      <c r="AP154" s="29">
        <f>IF(A154="","",AO154+U154)</f>
        <v/>
      </c>
      <c r="AQ154" s="29">
        <f>IF(A154="","",AP154+V154)</f>
        <v/>
      </c>
      <c r="AR154" s="29">
        <f>IF(A154="","",AQ154+W154)</f>
        <v/>
      </c>
      <c r="AS154" s="29">
        <f>IF(A154="","",AR154+X154)</f>
        <v/>
      </c>
      <c r="AT154" s="29">
        <f>IF(A154="","",AS154+Y154)</f>
        <v/>
      </c>
      <c r="AU154" s="29">
        <f>IF(A154="","",AT154+Z154)</f>
        <v/>
      </c>
      <c r="AV154" s="29">
        <f>IF(A154="","",AU154+AA154)</f>
        <v/>
      </c>
      <c r="AW154" s="29">
        <f>IF(A154="","",AV154+AB154)</f>
        <v/>
      </c>
      <c r="AX154" s="29">
        <f>IF(A154="","",AW154+AC154)</f>
        <v/>
      </c>
      <c r="AY154" s="29">
        <f>IF(A154="","",AX154+AD154)</f>
        <v/>
      </c>
      <c r="AZ154" s="29">
        <f>IF(A154="","",AY154+AE154)</f>
        <v/>
      </c>
      <c r="BA154" s="29">
        <f>IF(A154="","",AZ154+AF154)</f>
        <v/>
      </c>
      <c r="BB154" s="29">
        <f>IF(A154="","",BA154+AG154)</f>
        <v/>
      </c>
      <c r="BC154" s="29">
        <f>IF(A154="","",BB154+AH154)</f>
        <v/>
      </c>
      <c r="BD154" s="29">
        <f>IF(A154="","",BC154+AI154)</f>
        <v/>
      </c>
      <c r="BE154" s="29">
        <f>IF(A154="","",BD154+AJ154)</f>
        <v/>
      </c>
      <c r="BF154" s="29">
        <f>IF(A154="","",BE154+AK154)</f>
        <v/>
      </c>
      <c r="BG154" s="29">
        <f>IF(A154="","",BF154+AL154)</f>
        <v/>
      </c>
      <c r="BH154" s="29">
        <f>IF(A154="","",BG154+AM154)</f>
        <v/>
      </c>
      <c r="BI154" s="36">
        <f>IF(A154="","",(K154)*(IF((YEAR(D154)+0)&lt;YEAR(E154),0,IF((YEAR(D154)+0)&gt;YEAR(E154),1,(12-MONTH(E154)+1)/12)))*(1/(1+DiscountRate)^0))</f>
        <v/>
      </c>
      <c r="BJ154" s="36">
        <f>IF(A154="","",(K154)*(IF((YEAR(D154)+1)&lt;YEAR(E154),0,IF((YEAR(D154)+1)&gt;YEAR(E154),1,(12-MONTH(E154)+1)/12)))*(1/(1+DiscountRate)^1))</f>
        <v/>
      </c>
      <c r="BK154" s="36">
        <f>IF(A154="","",(K154)*(IF((YEAR(D154)+2)&lt;YEAR(E154),0,IF((YEAR(D154)+2)&gt;YEAR(E154),1,(12-MONTH(E154)+1)/12)))*(1/(1+DiscountRate)^2))</f>
        <v/>
      </c>
      <c r="BL154" s="36">
        <f>IF(A154="","",(K154)*(IF((YEAR(D154)+3)&lt;YEAR(E154),0,IF((YEAR(D154)+3)&gt;YEAR(E154),1,(12-MONTH(E154)+1)/12)))*(1/(1+DiscountRate)^3))</f>
        <v/>
      </c>
      <c r="BM154" s="36">
        <f>IF(A154="","",(K154)*(IF((YEAR(D154)+4)&lt;YEAR(E154),0,IF((YEAR(D154)+4)&gt;YEAR(E154),1,(12-MONTH(E154)+1)/12)))*(1/(1+DiscountRate)^4))</f>
        <v/>
      </c>
      <c r="BN154" s="36">
        <f>IF(A154="","",(K154)*(IF((YEAR(D154)+5)&lt;YEAR(E154),0,IF((YEAR(D154)+5)&gt;YEAR(E154),1,(12-MONTH(E154)+1)/12)))*(1/(1+DiscountRate)^5))</f>
        <v/>
      </c>
      <c r="BO154" s="36">
        <f>IF(A154="","",(K154)*(IF((YEAR(D154)+6)&lt;YEAR(E154),0,IF((YEAR(D154)+6)&gt;YEAR(E154),1,(12-MONTH(E154)+1)/12)))*(1/(1+DiscountRate)^6))</f>
        <v/>
      </c>
      <c r="BP154" s="36">
        <f>IF(A154="","",(K154)*(IF((YEAR(D154)+7)&lt;YEAR(E154),0,IF((YEAR(D154)+7)&gt;YEAR(E154),1,(12-MONTH(E154)+1)/12)))*(1/(1+DiscountRate)^7))</f>
        <v/>
      </c>
      <c r="BQ154" s="36">
        <f>IF(A154="","",(K154)*(IF((YEAR(D154)+8)&lt;YEAR(E154),0,IF((YEAR(D154)+8)&gt;YEAR(E154),1,(12-MONTH(E154)+1)/12)))*(1/(1+DiscountRate)^8))</f>
        <v/>
      </c>
      <c r="BR154" s="36">
        <f>IF(A154="","",(K154)*(IF((YEAR(D154)+9)&lt;YEAR(E154),0,IF((YEAR(D154)+9)&gt;YEAR(E154),1,(12-MONTH(E154)+1)/12)))*(1/(1+DiscountRate)^9))</f>
        <v/>
      </c>
      <c r="BS154" s="36">
        <f>IF(A154="","",(K154)*(IF((YEAR(D154)+10)&lt;YEAR(E154),0,IF((YEAR(D154)+10)&gt;YEAR(E154),1,(12-MONTH(E154)+1)/12)))*(1/(1+DiscountRate)^10))</f>
        <v/>
      </c>
      <c r="BT154" s="36">
        <f>IF(A154="","",(K154)*(IF((YEAR(D154)+11)&lt;YEAR(E154),0,IF((YEAR(D154)+11)&gt;YEAR(E154),1,(12-MONTH(E154)+1)/12)))*(1/(1+DiscountRate)^11))</f>
        <v/>
      </c>
      <c r="BU154" s="36">
        <f>IF(A154="","",(K154)*(IF((YEAR(D154)+12)&lt;YEAR(E154),0,IF((YEAR(D154)+12)&gt;YEAR(E154),1,(12-MONTH(E154)+1)/12)))*(1/(1+DiscountRate)^12))</f>
        <v/>
      </c>
      <c r="BV154" s="36">
        <f>IF(A154="","",(K154)*(IF((YEAR(D154)+13)&lt;YEAR(E154),0,IF((YEAR(D154)+13)&gt;YEAR(E154),1,(12-MONTH(E154)+1)/12)))*(1/(1+DiscountRate)^13))</f>
        <v/>
      </c>
      <c r="BW154" s="36">
        <f>IF(A154="","",(K154)*(IF((YEAR(D154)+14)&lt;YEAR(E154),0,IF((YEAR(D154)+14)&gt;YEAR(E154),1,(12-MONTH(E154)+1)/12)))*(1/(1+DiscountRate)^14))</f>
        <v/>
      </c>
      <c r="BX154" s="36">
        <f>IF(A154="","",(K154)*(IF((YEAR(D154)+15)&lt;YEAR(E154),0,IF((YEAR(D154)+15)&gt;YEAR(E154),1,(12-MONTH(E154)+1)/12)))*(1/(1+DiscountRate)^15))</f>
        <v/>
      </c>
      <c r="BY154" s="36">
        <f>IF(A154="","",(K154)*(IF((YEAR(D154)+16)&lt;YEAR(E154),0,IF((YEAR(D154)+16)&gt;YEAR(E154),1,(12-MONTH(E154)+1)/12)))*(1/(1+DiscountRate)^16))</f>
        <v/>
      </c>
      <c r="BZ154" s="36">
        <f>IF(A154="","",(K154)*(IF((YEAR(D154)+17)&lt;YEAR(E154),0,IF((YEAR(D154)+17)&gt;YEAR(E154),1,(12-MONTH(E154)+1)/12)))*(1/(1+DiscountRate)^17))</f>
        <v/>
      </c>
      <c r="CA154" s="36">
        <f>IF(A154="","",(K154)*(IF((YEAR(D154)+18)&lt;YEAR(E154),0,IF((YEAR(D154)+18)&gt;YEAR(E154),1,(12-MONTH(E154)+1)/12)))*(1/(1+DiscountRate)^18))</f>
        <v/>
      </c>
      <c r="CB154" s="36">
        <f>IF(A154="","",(K154)*(IF((YEAR(D154)+19)&lt;YEAR(E154),0,IF((YEAR(D154)+19)&gt;YEAR(E154),1,(12-MONTH(E154)+1)/12)))*(1/(1+DiscountRate)^19))</f>
        <v/>
      </c>
      <c r="CC154" s="36">
        <f>IF(A154="","",(K154)*(IF((YEAR(D154)+20)&lt;YEAR(E154),0,IF((YEAR(D154)+20)&gt;YEAR(E154),1,(12-MONTH(E154)+1)/12)))*(1/(1+DiscountRate)^20))</f>
        <v/>
      </c>
      <c r="CD154" s="29">
        <f>IF(A154="","",S154/(1+DiscountRate)^0+T154/(1+DiscountRate)^1+U154/(1+DiscountRate)^2+V154/(1+DiscountRate)^3+W154/(1+DiscountRate)^4+X154/(1+DiscountRate)^5+Y154/(1+DiscountRate)^6+Z154/(1+DiscountRate)^7+AA154/(1+DiscountRate)^8+AB154/(1+DiscountRate)^9+AC154/(1+DiscountRate)^10+AD154/(1+DiscountRate)^11+AE154/(1+DiscountRate)^12+AF154/(1+DiscountRate)^13+AG154/(1+DiscountRate)^14+AH154/(1+DiscountRate)^15+AI154/(1+DiscountRate)^16+AJ154/(1+DiscountRate)^17+AK154/(1+DiscountRate)^18+AL154/(1+DiscountRate)^19+AM154/(1+DiscountRate)^20)</f>
        <v/>
      </c>
      <c r="CE154" s="37">
        <f>IF(A154="","",IFERROR(IRR(OFFSET(S154,0,0,1,MIN(HorizonYears,20)+1)),"n/a"))</f>
        <v/>
      </c>
      <c r="CF154" s="28">
        <f>IF(A154="","",IFERROR(MATCH(TRUE,OFFSET(AN154,0,0,1,MIN(HorizonYears,20)+1)&gt;=0,0)-1,"n/a"))</f>
        <v/>
      </c>
      <c r="CG154" s="36">
        <f>IF(A154="","",SUM(OFFSET(BI154,0,0,1,MIN(HorizonYears,20)+1)))</f>
        <v/>
      </c>
      <c r="CH154" s="36">
        <f>IF(A154="","",IFERROR(-CD154/CG154,"n/a"))</f>
        <v/>
      </c>
    </row>
    <row r="155">
      <c r="A155" s="6">
        <f>Actions!A153</f>
        <v/>
      </c>
      <c r="B155" s="6">
        <f>Actions!B153</f>
        <v/>
      </c>
      <c r="C155" s="6">
        <f>Actions!D153</f>
        <v/>
      </c>
      <c r="D155" s="35">
        <f>Actions!E153</f>
        <v/>
      </c>
      <c r="E155" s="35">
        <f>Actions!F153</f>
        <v/>
      </c>
      <c r="F155" s="6">
        <f>Actions!G153</f>
        <v/>
      </c>
      <c r="G155" s="6">
        <f>Actions!H153</f>
        <v/>
      </c>
      <c r="H155" s="29">
        <f>Actions!I153</f>
        <v/>
      </c>
      <c r="I155" s="6">
        <f>Actions!J153</f>
        <v/>
      </c>
      <c r="J155" s="16">
        <f>Actions!K153</f>
        <v/>
      </c>
      <c r="K155" s="16">
        <f>IF(A155="","",IF(I155="%",H155*J155,J155))</f>
        <v/>
      </c>
      <c r="L155" s="16">
        <f>Actions!L153</f>
        <v/>
      </c>
      <c r="M155" s="6">
        <f>Actions!M153</f>
        <v/>
      </c>
      <c r="N155" s="28">
        <f>Actions!N153</f>
        <v/>
      </c>
      <c r="O155" s="29">
        <f>Actions!T153</f>
        <v/>
      </c>
      <c r="P155" s="29">
        <f>Actions!Y153</f>
        <v/>
      </c>
      <c r="Q155" s="29">
        <f>Actions!Z153</f>
        <v/>
      </c>
      <c r="R155" s="29">
        <f>Actions!AA153</f>
        <v/>
      </c>
      <c r="S155" s="29">
        <f>IF(A155="","",((K155)*(IF(M155="",L155,IFERROR(IF(INDEX(Variablen!$I:$AT, MATCH(M155, Variablen!$A:$A, 0), MATCH((YEAR(D155)+0), Variablen!$I$3:$AT$3, 0))="",L155,INDEX(Variablen!$I:$AT, MATCH(M155, Variablen!$A:$A, 0), MATCH((YEAR(D155)+0), Variablen!$I$3:$AT$3, 0))),L155)))*(IF((YEAR(D155)+0)&lt;YEAR(E155),0,IF((YEAR(D155)+0)&gt;YEAR(E155),1,(12-MONTH(E155)+1)/12))) + (Q155)*(IF((YEAR(D155)+0)&lt;YEAR(E155),0,IF((YEAR(D155)+0)&gt;YEAR(E155),1,(12-MONTH(E155)+1)/12))))-((P155)*(IF((YEAR(D155)+0)&lt;YEAR(E155),0,IF((YEAR(D155)+0)&gt;YEAR(E155),1,(12-MONTH(E155)+1)/12))) + (R155)*(IF((YEAR(D155)+0)&lt;YEAR(E155),0,IF((YEAR(D155)+0)&gt;YEAR(E155),1,(12-MONTH(E155)+1)/12))))-(IF((((K155)*(IF(M155="",L155,IFERROR(IF(INDEX(Variablen!$I:$AT, MATCH(M155, Variablen!$A:$A, 0), MATCH((YEAR(D155)+0), Variablen!$I$3:$AT$3, 0))="",L155,INDEX(Variablen!$I:$AT, MATCH(M155, Variablen!$A:$A, 0), MATCH((YEAR(D155)+0), Variablen!$I$3:$AT$3, 0))),L155)))*(IF((YEAR(D155)+0)&lt;YEAR(E155),0,IF((YEAR(D155)+0)&gt;YEAR(E155),1,(12-MONTH(E155)+1)/12))) + (Q155)*(IF((YEAR(D155)+0)&lt;YEAR(E155),0,IF((YEAR(D155)+0)&gt;YEAR(E155),1,(12-MONTH(E155)+1)/12))))-((P155)*(IF((YEAR(D155)+0)&lt;YEAR(E155),0,IF((YEAR(D155)+0)&gt;YEAR(E155),1,(12-MONTH(E155)+1)/12))) + (R155)*(IF((YEAR(D155)+0)&lt;YEAR(E155),0,IF((YEAR(D155)+0)&gt;YEAR(E155),1,(12-MONTH(E155)+1)/12))))-(IF(OR(N155="",N155&lt;=0),0,(O155/N155)*(IF(OR(N155="",N155&lt;=0),0,IF((YEAR(D155)+0)&lt;YEAR(E155),0,IF((YEAR(D155)+0)&gt;=YEAR(E155)+N155,0,IF((YEAR(D155)+0)=YEAR(E155),(12-MONTH(E155)+1)/12,1))))))))&gt;0,(((K155)*(IF(M155="",L155,IFERROR(IF(INDEX(Variablen!$I:$AT, MATCH(M155, Variablen!$A:$A, 0), MATCH((YEAR(D155)+0), Variablen!$I$3:$AT$3, 0))="",L155,INDEX(Variablen!$I:$AT, MATCH(M155, Variablen!$A:$A, 0), MATCH((YEAR(D155)+0), Variablen!$I$3:$AT$3, 0))),L155)))*(IF((YEAR(D155)+0)&lt;YEAR(E155),0,IF((YEAR(D155)+0)&gt;YEAR(E155),1,(12-MONTH(E155)+1)/12))) + (Q155)*(IF((YEAR(D155)+0)&lt;YEAR(E155),0,IF((YEAR(D155)+0)&gt;YEAR(E155),1,(12-MONTH(E155)+1)/12))))-((P155)*(IF((YEAR(D155)+0)&lt;YEAR(E155),0,IF((YEAR(D155)+0)&gt;YEAR(E155),1,(12-MONTH(E155)+1)/12))) + (R155)*(IF((YEAR(D155)+0)&lt;YEAR(E155),0,IF((YEAR(D155)+0)&gt;YEAR(E155),1,(12-MONTH(E155)+1)/12))))-(IF(OR(N155="",N155&lt;=0),0,(O155/N155)*(IF(OR(N155="",N155&lt;=0),0,IF((YEAR(D155)+0)&lt;YEAR(E155),0,IF((YEAR(D155)+0)&gt;=YEAR(E155)+N155,0,IF((YEAR(D155)+0)=YEAR(E155),(12-MONTH(E155)+1)/12,1))))))))*TaxRate,0))-IF(0=0,O155,0))</f>
        <v/>
      </c>
      <c r="T155" s="29">
        <f>IF(A155="","",((K155)*(IF(M155="",L155,IFERROR(IF(INDEX(Variablen!$I:$AT, MATCH(M155, Variablen!$A:$A, 0), MATCH((YEAR(D155)+1), Variablen!$I$3:$AT$3, 0))="",L155,INDEX(Variablen!$I:$AT, MATCH(M155, Variablen!$A:$A, 0), MATCH((YEAR(D155)+1), Variablen!$I$3:$AT$3, 0))),L155)))*(IF((YEAR(D155)+1)&lt;YEAR(E155),0,IF((YEAR(D155)+1)&gt;YEAR(E155),1,(12-MONTH(E155)+1)/12))) + (Q155)*(IF((YEAR(D155)+1)&lt;YEAR(E155),0,IF((YEAR(D155)+1)&gt;YEAR(E155),1,(12-MONTH(E155)+1)/12))))-((P155)*(IF((YEAR(D155)+1)&lt;YEAR(E155),0,IF((YEAR(D155)+1)&gt;YEAR(E155),1,(12-MONTH(E155)+1)/12))) + (R155)*(IF((YEAR(D155)+1)&lt;YEAR(E155),0,IF((YEAR(D155)+1)&gt;YEAR(E155),1,(12-MONTH(E155)+1)/12))))-(IF((((K155)*(IF(M155="",L155,IFERROR(IF(INDEX(Variablen!$I:$AT, MATCH(M155, Variablen!$A:$A, 0), MATCH((YEAR(D155)+1), Variablen!$I$3:$AT$3, 0))="",L155,INDEX(Variablen!$I:$AT, MATCH(M155, Variablen!$A:$A, 0), MATCH((YEAR(D155)+1), Variablen!$I$3:$AT$3, 0))),L155)))*(IF((YEAR(D155)+1)&lt;YEAR(E155),0,IF((YEAR(D155)+1)&gt;YEAR(E155),1,(12-MONTH(E155)+1)/12))) + (Q155)*(IF((YEAR(D155)+1)&lt;YEAR(E155),0,IF((YEAR(D155)+1)&gt;YEAR(E155),1,(12-MONTH(E155)+1)/12))))-((P155)*(IF((YEAR(D155)+1)&lt;YEAR(E155),0,IF((YEAR(D155)+1)&gt;YEAR(E155),1,(12-MONTH(E155)+1)/12))) + (R155)*(IF((YEAR(D155)+1)&lt;YEAR(E155),0,IF((YEAR(D155)+1)&gt;YEAR(E155),1,(12-MONTH(E155)+1)/12))))-(IF(OR(N155="",N155&lt;=0),0,(O155/N155)*(IF(OR(N155="",N155&lt;=0),0,IF((YEAR(D155)+1)&lt;YEAR(E155),0,IF((YEAR(D155)+1)&gt;=YEAR(E155)+N155,0,IF((YEAR(D155)+1)=YEAR(E155),(12-MONTH(E155)+1)/12,1))))))))&gt;0,(((K155)*(IF(M155="",L155,IFERROR(IF(INDEX(Variablen!$I:$AT, MATCH(M155, Variablen!$A:$A, 0), MATCH((YEAR(D155)+1), Variablen!$I$3:$AT$3, 0))="",L155,INDEX(Variablen!$I:$AT, MATCH(M155, Variablen!$A:$A, 0), MATCH((YEAR(D155)+1), Variablen!$I$3:$AT$3, 0))),L155)))*(IF((YEAR(D155)+1)&lt;YEAR(E155),0,IF((YEAR(D155)+1)&gt;YEAR(E155),1,(12-MONTH(E155)+1)/12))) + (Q155)*(IF((YEAR(D155)+1)&lt;YEAR(E155),0,IF((YEAR(D155)+1)&gt;YEAR(E155),1,(12-MONTH(E155)+1)/12))))-((P155)*(IF((YEAR(D155)+1)&lt;YEAR(E155),0,IF((YEAR(D155)+1)&gt;YEAR(E155),1,(12-MONTH(E155)+1)/12))) + (R155)*(IF((YEAR(D155)+1)&lt;YEAR(E155),0,IF((YEAR(D155)+1)&gt;YEAR(E155),1,(12-MONTH(E155)+1)/12))))-(IF(OR(N155="",N155&lt;=0),0,(O155/N155)*(IF(OR(N155="",N155&lt;=0),0,IF((YEAR(D155)+1)&lt;YEAR(E155),0,IF((YEAR(D155)+1)&gt;=YEAR(E155)+N155,0,IF((YEAR(D155)+1)=YEAR(E155),(12-MONTH(E155)+1)/12,1))))))))*TaxRate,0))-IF(1=0,O155,0))</f>
        <v/>
      </c>
      <c r="U155" s="29">
        <f>IF(A155="","",((K155)*(IF(M155="",L155,IFERROR(IF(INDEX(Variablen!$I:$AT, MATCH(M155, Variablen!$A:$A, 0), MATCH((YEAR(D155)+2), Variablen!$I$3:$AT$3, 0))="",L155,INDEX(Variablen!$I:$AT, MATCH(M155, Variablen!$A:$A, 0), MATCH((YEAR(D155)+2), Variablen!$I$3:$AT$3, 0))),L155)))*(IF((YEAR(D155)+2)&lt;YEAR(E155),0,IF((YEAR(D155)+2)&gt;YEAR(E155),1,(12-MONTH(E155)+1)/12))) + (Q155)*(IF((YEAR(D155)+2)&lt;YEAR(E155),0,IF((YEAR(D155)+2)&gt;YEAR(E155),1,(12-MONTH(E155)+1)/12))))-((P155)*(IF((YEAR(D155)+2)&lt;YEAR(E155),0,IF((YEAR(D155)+2)&gt;YEAR(E155),1,(12-MONTH(E155)+1)/12))) + (R155)*(IF((YEAR(D155)+2)&lt;YEAR(E155),0,IF((YEAR(D155)+2)&gt;YEAR(E155),1,(12-MONTH(E155)+1)/12))))-(IF((((K155)*(IF(M155="",L155,IFERROR(IF(INDEX(Variablen!$I:$AT, MATCH(M155, Variablen!$A:$A, 0), MATCH((YEAR(D155)+2), Variablen!$I$3:$AT$3, 0))="",L155,INDEX(Variablen!$I:$AT, MATCH(M155, Variablen!$A:$A, 0), MATCH((YEAR(D155)+2), Variablen!$I$3:$AT$3, 0))),L155)))*(IF((YEAR(D155)+2)&lt;YEAR(E155),0,IF((YEAR(D155)+2)&gt;YEAR(E155),1,(12-MONTH(E155)+1)/12))) + (Q155)*(IF((YEAR(D155)+2)&lt;YEAR(E155),0,IF((YEAR(D155)+2)&gt;YEAR(E155),1,(12-MONTH(E155)+1)/12))))-((P155)*(IF((YEAR(D155)+2)&lt;YEAR(E155),0,IF((YEAR(D155)+2)&gt;YEAR(E155),1,(12-MONTH(E155)+1)/12))) + (R155)*(IF((YEAR(D155)+2)&lt;YEAR(E155),0,IF((YEAR(D155)+2)&gt;YEAR(E155),1,(12-MONTH(E155)+1)/12))))-(IF(OR(N155="",N155&lt;=0),0,(O155/N155)*(IF(OR(N155="",N155&lt;=0),0,IF((YEAR(D155)+2)&lt;YEAR(E155),0,IF((YEAR(D155)+2)&gt;=YEAR(E155)+N155,0,IF((YEAR(D155)+2)=YEAR(E155),(12-MONTH(E155)+1)/12,1))))))))&gt;0,(((K155)*(IF(M155="",L155,IFERROR(IF(INDEX(Variablen!$I:$AT, MATCH(M155, Variablen!$A:$A, 0), MATCH((YEAR(D155)+2), Variablen!$I$3:$AT$3, 0))="",L155,INDEX(Variablen!$I:$AT, MATCH(M155, Variablen!$A:$A, 0), MATCH((YEAR(D155)+2), Variablen!$I$3:$AT$3, 0))),L155)))*(IF((YEAR(D155)+2)&lt;YEAR(E155),0,IF((YEAR(D155)+2)&gt;YEAR(E155),1,(12-MONTH(E155)+1)/12))) + (Q155)*(IF((YEAR(D155)+2)&lt;YEAR(E155),0,IF((YEAR(D155)+2)&gt;YEAR(E155),1,(12-MONTH(E155)+1)/12))))-((P155)*(IF((YEAR(D155)+2)&lt;YEAR(E155),0,IF((YEAR(D155)+2)&gt;YEAR(E155),1,(12-MONTH(E155)+1)/12))) + (R155)*(IF((YEAR(D155)+2)&lt;YEAR(E155),0,IF((YEAR(D155)+2)&gt;YEAR(E155),1,(12-MONTH(E155)+1)/12))))-(IF(OR(N155="",N155&lt;=0),0,(O155/N155)*(IF(OR(N155="",N155&lt;=0),0,IF((YEAR(D155)+2)&lt;YEAR(E155),0,IF((YEAR(D155)+2)&gt;=YEAR(E155)+N155,0,IF((YEAR(D155)+2)=YEAR(E155),(12-MONTH(E155)+1)/12,1))))))))*TaxRate,0))-IF(2=0,O155,0))</f>
        <v/>
      </c>
      <c r="V155" s="29">
        <f>IF(A155="","",((K155)*(IF(M155="",L155,IFERROR(IF(INDEX(Variablen!$I:$AT, MATCH(M155, Variablen!$A:$A, 0), MATCH((YEAR(D155)+3), Variablen!$I$3:$AT$3, 0))="",L155,INDEX(Variablen!$I:$AT, MATCH(M155, Variablen!$A:$A, 0), MATCH((YEAR(D155)+3), Variablen!$I$3:$AT$3, 0))),L155)))*(IF((YEAR(D155)+3)&lt;YEAR(E155),0,IF((YEAR(D155)+3)&gt;YEAR(E155),1,(12-MONTH(E155)+1)/12))) + (Q155)*(IF((YEAR(D155)+3)&lt;YEAR(E155),0,IF((YEAR(D155)+3)&gt;YEAR(E155),1,(12-MONTH(E155)+1)/12))))-((P155)*(IF((YEAR(D155)+3)&lt;YEAR(E155),0,IF((YEAR(D155)+3)&gt;YEAR(E155),1,(12-MONTH(E155)+1)/12))) + (R155)*(IF((YEAR(D155)+3)&lt;YEAR(E155),0,IF((YEAR(D155)+3)&gt;YEAR(E155),1,(12-MONTH(E155)+1)/12))))-(IF((((K155)*(IF(M155="",L155,IFERROR(IF(INDEX(Variablen!$I:$AT, MATCH(M155, Variablen!$A:$A, 0), MATCH((YEAR(D155)+3), Variablen!$I$3:$AT$3, 0))="",L155,INDEX(Variablen!$I:$AT, MATCH(M155, Variablen!$A:$A, 0), MATCH((YEAR(D155)+3), Variablen!$I$3:$AT$3, 0))),L155)))*(IF((YEAR(D155)+3)&lt;YEAR(E155),0,IF((YEAR(D155)+3)&gt;YEAR(E155),1,(12-MONTH(E155)+1)/12))) + (Q155)*(IF((YEAR(D155)+3)&lt;YEAR(E155),0,IF((YEAR(D155)+3)&gt;YEAR(E155),1,(12-MONTH(E155)+1)/12))))-((P155)*(IF((YEAR(D155)+3)&lt;YEAR(E155),0,IF((YEAR(D155)+3)&gt;YEAR(E155),1,(12-MONTH(E155)+1)/12))) + (R155)*(IF((YEAR(D155)+3)&lt;YEAR(E155),0,IF((YEAR(D155)+3)&gt;YEAR(E155),1,(12-MONTH(E155)+1)/12))))-(IF(OR(N155="",N155&lt;=0),0,(O155/N155)*(IF(OR(N155="",N155&lt;=0),0,IF((YEAR(D155)+3)&lt;YEAR(E155),0,IF((YEAR(D155)+3)&gt;=YEAR(E155)+N155,0,IF((YEAR(D155)+3)=YEAR(E155),(12-MONTH(E155)+1)/12,1))))))))&gt;0,(((K155)*(IF(M155="",L155,IFERROR(IF(INDEX(Variablen!$I:$AT, MATCH(M155, Variablen!$A:$A, 0), MATCH((YEAR(D155)+3), Variablen!$I$3:$AT$3, 0))="",L155,INDEX(Variablen!$I:$AT, MATCH(M155, Variablen!$A:$A, 0), MATCH((YEAR(D155)+3), Variablen!$I$3:$AT$3, 0))),L155)))*(IF((YEAR(D155)+3)&lt;YEAR(E155),0,IF((YEAR(D155)+3)&gt;YEAR(E155),1,(12-MONTH(E155)+1)/12))) + (Q155)*(IF((YEAR(D155)+3)&lt;YEAR(E155),0,IF((YEAR(D155)+3)&gt;YEAR(E155),1,(12-MONTH(E155)+1)/12))))-((P155)*(IF((YEAR(D155)+3)&lt;YEAR(E155),0,IF((YEAR(D155)+3)&gt;YEAR(E155),1,(12-MONTH(E155)+1)/12))) + (R155)*(IF((YEAR(D155)+3)&lt;YEAR(E155),0,IF((YEAR(D155)+3)&gt;YEAR(E155),1,(12-MONTH(E155)+1)/12))))-(IF(OR(N155="",N155&lt;=0),0,(O155/N155)*(IF(OR(N155="",N155&lt;=0),0,IF((YEAR(D155)+3)&lt;YEAR(E155),0,IF((YEAR(D155)+3)&gt;=YEAR(E155)+N155,0,IF((YEAR(D155)+3)=YEAR(E155),(12-MONTH(E155)+1)/12,1))))))))*TaxRate,0))-IF(3=0,O155,0))</f>
        <v/>
      </c>
      <c r="W155" s="29">
        <f>IF(A155="","",((K155)*(IF(M155="",L155,IFERROR(IF(INDEX(Variablen!$I:$AT, MATCH(M155, Variablen!$A:$A, 0), MATCH((YEAR(D155)+4), Variablen!$I$3:$AT$3, 0))="",L155,INDEX(Variablen!$I:$AT, MATCH(M155, Variablen!$A:$A, 0), MATCH((YEAR(D155)+4), Variablen!$I$3:$AT$3, 0))),L155)))*(IF((YEAR(D155)+4)&lt;YEAR(E155),0,IF((YEAR(D155)+4)&gt;YEAR(E155),1,(12-MONTH(E155)+1)/12))) + (Q155)*(IF((YEAR(D155)+4)&lt;YEAR(E155),0,IF((YEAR(D155)+4)&gt;YEAR(E155),1,(12-MONTH(E155)+1)/12))))-((P155)*(IF((YEAR(D155)+4)&lt;YEAR(E155),0,IF((YEAR(D155)+4)&gt;YEAR(E155),1,(12-MONTH(E155)+1)/12))) + (R155)*(IF((YEAR(D155)+4)&lt;YEAR(E155),0,IF((YEAR(D155)+4)&gt;YEAR(E155),1,(12-MONTH(E155)+1)/12))))-(IF((((K155)*(IF(M155="",L155,IFERROR(IF(INDEX(Variablen!$I:$AT, MATCH(M155, Variablen!$A:$A, 0), MATCH((YEAR(D155)+4), Variablen!$I$3:$AT$3, 0))="",L155,INDEX(Variablen!$I:$AT, MATCH(M155, Variablen!$A:$A, 0), MATCH((YEAR(D155)+4), Variablen!$I$3:$AT$3, 0))),L155)))*(IF((YEAR(D155)+4)&lt;YEAR(E155),0,IF((YEAR(D155)+4)&gt;YEAR(E155),1,(12-MONTH(E155)+1)/12))) + (Q155)*(IF((YEAR(D155)+4)&lt;YEAR(E155),0,IF((YEAR(D155)+4)&gt;YEAR(E155),1,(12-MONTH(E155)+1)/12))))-((P155)*(IF((YEAR(D155)+4)&lt;YEAR(E155),0,IF((YEAR(D155)+4)&gt;YEAR(E155),1,(12-MONTH(E155)+1)/12))) + (R155)*(IF((YEAR(D155)+4)&lt;YEAR(E155),0,IF((YEAR(D155)+4)&gt;YEAR(E155),1,(12-MONTH(E155)+1)/12))))-(IF(OR(N155="",N155&lt;=0),0,(O155/N155)*(IF(OR(N155="",N155&lt;=0),0,IF((YEAR(D155)+4)&lt;YEAR(E155),0,IF((YEAR(D155)+4)&gt;=YEAR(E155)+N155,0,IF((YEAR(D155)+4)=YEAR(E155),(12-MONTH(E155)+1)/12,1))))))))&gt;0,(((K155)*(IF(M155="",L155,IFERROR(IF(INDEX(Variablen!$I:$AT, MATCH(M155, Variablen!$A:$A, 0), MATCH((YEAR(D155)+4), Variablen!$I$3:$AT$3, 0))="",L155,INDEX(Variablen!$I:$AT, MATCH(M155, Variablen!$A:$A, 0), MATCH((YEAR(D155)+4), Variablen!$I$3:$AT$3, 0))),L155)))*(IF((YEAR(D155)+4)&lt;YEAR(E155),0,IF((YEAR(D155)+4)&gt;YEAR(E155),1,(12-MONTH(E155)+1)/12))) + (Q155)*(IF((YEAR(D155)+4)&lt;YEAR(E155),0,IF((YEAR(D155)+4)&gt;YEAR(E155),1,(12-MONTH(E155)+1)/12))))-((P155)*(IF((YEAR(D155)+4)&lt;YEAR(E155),0,IF((YEAR(D155)+4)&gt;YEAR(E155),1,(12-MONTH(E155)+1)/12))) + (R155)*(IF((YEAR(D155)+4)&lt;YEAR(E155),0,IF((YEAR(D155)+4)&gt;YEAR(E155),1,(12-MONTH(E155)+1)/12))))-(IF(OR(N155="",N155&lt;=0),0,(O155/N155)*(IF(OR(N155="",N155&lt;=0),0,IF((YEAR(D155)+4)&lt;YEAR(E155),0,IF((YEAR(D155)+4)&gt;=YEAR(E155)+N155,0,IF((YEAR(D155)+4)=YEAR(E155),(12-MONTH(E155)+1)/12,1))))))))*TaxRate,0))-IF(4=0,O155,0))</f>
        <v/>
      </c>
      <c r="X155" s="29">
        <f>IF(A155="","",((K155)*(IF(M155="",L155,IFERROR(IF(INDEX(Variablen!$I:$AT, MATCH(M155, Variablen!$A:$A, 0), MATCH((YEAR(D155)+5), Variablen!$I$3:$AT$3, 0))="",L155,INDEX(Variablen!$I:$AT, MATCH(M155, Variablen!$A:$A, 0), MATCH((YEAR(D155)+5), Variablen!$I$3:$AT$3, 0))),L155)))*(IF((YEAR(D155)+5)&lt;YEAR(E155),0,IF((YEAR(D155)+5)&gt;YEAR(E155),1,(12-MONTH(E155)+1)/12))) + (Q155)*(IF((YEAR(D155)+5)&lt;YEAR(E155),0,IF((YEAR(D155)+5)&gt;YEAR(E155),1,(12-MONTH(E155)+1)/12))))-((P155)*(IF((YEAR(D155)+5)&lt;YEAR(E155),0,IF((YEAR(D155)+5)&gt;YEAR(E155),1,(12-MONTH(E155)+1)/12))) + (R155)*(IF((YEAR(D155)+5)&lt;YEAR(E155),0,IF((YEAR(D155)+5)&gt;YEAR(E155),1,(12-MONTH(E155)+1)/12))))-(IF((((K155)*(IF(M155="",L155,IFERROR(IF(INDEX(Variablen!$I:$AT, MATCH(M155, Variablen!$A:$A, 0), MATCH((YEAR(D155)+5), Variablen!$I$3:$AT$3, 0))="",L155,INDEX(Variablen!$I:$AT, MATCH(M155, Variablen!$A:$A, 0), MATCH((YEAR(D155)+5), Variablen!$I$3:$AT$3, 0))),L155)))*(IF((YEAR(D155)+5)&lt;YEAR(E155),0,IF((YEAR(D155)+5)&gt;YEAR(E155),1,(12-MONTH(E155)+1)/12))) + (Q155)*(IF((YEAR(D155)+5)&lt;YEAR(E155),0,IF((YEAR(D155)+5)&gt;YEAR(E155),1,(12-MONTH(E155)+1)/12))))-((P155)*(IF((YEAR(D155)+5)&lt;YEAR(E155),0,IF((YEAR(D155)+5)&gt;YEAR(E155),1,(12-MONTH(E155)+1)/12))) + (R155)*(IF((YEAR(D155)+5)&lt;YEAR(E155),0,IF((YEAR(D155)+5)&gt;YEAR(E155),1,(12-MONTH(E155)+1)/12))))-(IF(OR(N155="",N155&lt;=0),0,(O155/N155)*(IF(OR(N155="",N155&lt;=0),0,IF((YEAR(D155)+5)&lt;YEAR(E155),0,IF((YEAR(D155)+5)&gt;=YEAR(E155)+N155,0,IF((YEAR(D155)+5)=YEAR(E155),(12-MONTH(E155)+1)/12,1))))))))&gt;0,(((K155)*(IF(M155="",L155,IFERROR(IF(INDEX(Variablen!$I:$AT, MATCH(M155, Variablen!$A:$A, 0), MATCH((YEAR(D155)+5), Variablen!$I$3:$AT$3, 0))="",L155,INDEX(Variablen!$I:$AT, MATCH(M155, Variablen!$A:$A, 0), MATCH((YEAR(D155)+5), Variablen!$I$3:$AT$3, 0))),L155)))*(IF((YEAR(D155)+5)&lt;YEAR(E155),0,IF((YEAR(D155)+5)&gt;YEAR(E155),1,(12-MONTH(E155)+1)/12))) + (Q155)*(IF((YEAR(D155)+5)&lt;YEAR(E155),0,IF((YEAR(D155)+5)&gt;YEAR(E155),1,(12-MONTH(E155)+1)/12))))-((P155)*(IF((YEAR(D155)+5)&lt;YEAR(E155),0,IF((YEAR(D155)+5)&gt;YEAR(E155),1,(12-MONTH(E155)+1)/12))) + (R155)*(IF((YEAR(D155)+5)&lt;YEAR(E155),0,IF((YEAR(D155)+5)&gt;YEAR(E155),1,(12-MONTH(E155)+1)/12))))-(IF(OR(N155="",N155&lt;=0),0,(O155/N155)*(IF(OR(N155="",N155&lt;=0),0,IF((YEAR(D155)+5)&lt;YEAR(E155),0,IF((YEAR(D155)+5)&gt;=YEAR(E155)+N155,0,IF((YEAR(D155)+5)=YEAR(E155),(12-MONTH(E155)+1)/12,1))))))))*TaxRate,0))-IF(5=0,O155,0))</f>
        <v/>
      </c>
      <c r="Y155" s="29">
        <f>IF(A155="","",((K155)*(IF(M155="",L155,IFERROR(IF(INDEX(Variablen!$I:$AT, MATCH(M155, Variablen!$A:$A, 0), MATCH((YEAR(D155)+6), Variablen!$I$3:$AT$3, 0))="",L155,INDEX(Variablen!$I:$AT, MATCH(M155, Variablen!$A:$A, 0), MATCH((YEAR(D155)+6), Variablen!$I$3:$AT$3, 0))),L155)))*(IF((YEAR(D155)+6)&lt;YEAR(E155),0,IF((YEAR(D155)+6)&gt;YEAR(E155),1,(12-MONTH(E155)+1)/12))) + (Q155)*(IF((YEAR(D155)+6)&lt;YEAR(E155),0,IF((YEAR(D155)+6)&gt;YEAR(E155),1,(12-MONTH(E155)+1)/12))))-((P155)*(IF((YEAR(D155)+6)&lt;YEAR(E155),0,IF((YEAR(D155)+6)&gt;YEAR(E155),1,(12-MONTH(E155)+1)/12))) + (R155)*(IF((YEAR(D155)+6)&lt;YEAR(E155),0,IF((YEAR(D155)+6)&gt;YEAR(E155),1,(12-MONTH(E155)+1)/12))))-(IF((((K155)*(IF(M155="",L155,IFERROR(IF(INDEX(Variablen!$I:$AT, MATCH(M155, Variablen!$A:$A, 0), MATCH((YEAR(D155)+6), Variablen!$I$3:$AT$3, 0))="",L155,INDEX(Variablen!$I:$AT, MATCH(M155, Variablen!$A:$A, 0), MATCH((YEAR(D155)+6), Variablen!$I$3:$AT$3, 0))),L155)))*(IF((YEAR(D155)+6)&lt;YEAR(E155),0,IF((YEAR(D155)+6)&gt;YEAR(E155),1,(12-MONTH(E155)+1)/12))) + (Q155)*(IF((YEAR(D155)+6)&lt;YEAR(E155),0,IF((YEAR(D155)+6)&gt;YEAR(E155),1,(12-MONTH(E155)+1)/12))))-((P155)*(IF((YEAR(D155)+6)&lt;YEAR(E155),0,IF((YEAR(D155)+6)&gt;YEAR(E155),1,(12-MONTH(E155)+1)/12))) + (R155)*(IF((YEAR(D155)+6)&lt;YEAR(E155),0,IF((YEAR(D155)+6)&gt;YEAR(E155),1,(12-MONTH(E155)+1)/12))))-(IF(OR(N155="",N155&lt;=0),0,(O155/N155)*(IF(OR(N155="",N155&lt;=0),0,IF((YEAR(D155)+6)&lt;YEAR(E155),0,IF((YEAR(D155)+6)&gt;=YEAR(E155)+N155,0,IF((YEAR(D155)+6)=YEAR(E155),(12-MONTH(E155)+1)/12,1))))))))&gt;0,(((K155)*(IF(M155="",L155,IFERROR(IF(INDEX(Variablen!$I:$AT, MATCH(M155, Variablen!$A:$A, 0), MATCH((YEAR(D155)+6), Variablen!$I$3:$AT$3, 0))="",L155,INDEX(Variablen!$I:$AT, MATCH(M155, Variablen!$A:$A, 0), MATCH((YEAR(D155)+6), Variablen!$I$3:$AT$3, 0))),L155)))*(IF((YEAR(D155)+6)&lt;YEAR(E155),0,IF((YEAR(D155)+6)&gt;YEAR(E155),1,(12-MONTH(E155)+1)/12))) + (Q155)*(IF((YEAR(D155)+6)&lt;YEAR(E155),0,IF((YEAR(D155)+6)&gt;YEAR(E155),1,(12-MONTH(E155)+1)/12))))-((P155)*(IF((YEAR(D155)+6)&lt;YEAR(E155),0,IF((YEAR(D155)+6)&gt;YEAR(E155),1,(12-MONTH(E155)+1)/12))) + (R155)*(IF((YEAR(D155)+6)&lt;YEAR(E155),0,IF((YEAR(D155)+6)&gt;YEAR(E155),1,(12-MONTH(E155)+1)/12))))-(IF(OR(N155="",N155&lt;=0),0,(O155/N155)*(IF(OR(N155="",N155&lt;=0),0,IF((YEAR(D155)+6)&lt;YEAR(E155),0,IF((YEAR(D155)+6)&gt;=YEAR(E155)+N155,0,IF((YEAR(D155)+6)=YEAR(E155),(12-MONTH(E155)+1)/12,1))))))))*TaxRate,0))-IF(6=0,O155,0))</f>
        <v/>
      </c>
      <c r="Z155" s="29">
        <f>IF(A155="","",((K155)*(IF(M155="",L155,IFERROR(IF(INDEX(Variablen!$I:$AT, MATCH(M155, Variablen!$A:$A, 0), MATCH((YEAR(D155)+7), Variablen!$I$3:$AT$3, 0))="",L155,INDEX(Variablen!$I:$AT, MATCH(M155, Variablen!$A:$A, 0), MATCH((YEAR(D155)+7), Variablen!$I$3:$AT$3, 0))),L155)))*(IF((YEAR(D155)+7)&lt;YEAR(E155),0,IF((YEAR(D155)+7)&gt;YEAR(E155),1,(12-MONTH(E155)+1)/12))) + (Q155)*(IF((YEAR(D155)+7)&lt;YEAR(E155),0,IF((YEAR(D155)+7)&gt;YEAR(E155),1,(12-MONTH(E155)+1)/12))))-((P155)*(IF((YEAR(D155)+7)&lt;YEAR(E155),0,IF((YEAR(D155)+7)&gt;YEAR(E155),1,(12-MONTH(E155)+1)/12))) + (R155)*(IF((YEAR(D155)+7)&lt;YEAR(E155),0,IF((YEAR(D155)+7)&gt;YEAR(E155),1,(12-MONTH(E155)+1)/12))))-(IF((((K155)*(IF(M155="",L155,IFERROR(IF(INDEX(Variablen!$I:$AT, MATCH(M155, Variablen!$A:$A, 0), MATCH((YEAR(D155)+7), Variablen!$I$3:$AT$3, 0))="",L155,INDEX(Variablen!$I:$AT, MATCH(M155, Variablen!$A:$A, 0), MATCH((YEAR(D155)+7), Variablen!$I$3:$AT$3, 0))),L155)))*(IF((YEAR(D155)+7)&lt;YEAR(E155),0,IF((YEAR(D155)+7)&gt;YEAR(E155),1,(12-MONTH(E155)+1)/12))) + (Q155)*(IF((YEAR(D155)+7)&lt;YEAR(E155),0,IF((YEAR(D155)+7)&gt;YEAR(E155),1,(12-MONTH(E155)+1)/12))))-((P155)*(IF((YEAR(D155)+7)&lt;YEAR(E155),0,IF((YEAR(D155)+7)&gt;YEAR(E155),1,(12-MONTH(E155)+1)/12))) + (R155)*(IF((YEAR(D155)+7)&lt;YEAR(E155),0,IF((YEAR(D155)+7)&gt;YEAR(E155),1,(12-MONTH(E155)+1)/12))))-(IF(OR(N155="",N155&lt;=0),0,(O155/N155)*(IF(OR(N155="",N155&lt;=0),0,IF((YEAR(D155)+7)&lt;YEAR(E155),0,IF((YEAR(D155)+7)&gt;=YEAR(E155)+N155,0,IF((YEAR(D155)+7)=YEAR(E155),(12-MONTH(E155)+1)/12,1))))))))&gt;0,(((K155)*(IF(M155="",L155,IFERROR(IF(INDEX(Variablen!$I:$AT, MATCH(M155, Variablen!$A:$A, 0), MATCH((YEAR(D155)+7), Variablen!$I$3:$AT$3, 0))="",L155,INDEX(Variablen!$I:$AT, MATCH(M155, Variablen!$A:$A, 0), MATCH((YEAR(D155)+7), Variablen!$I$3:$AT$3, 0))),L155)))*(IF((YEAR(D155)+7)&lt;YEAR(E155),0,IF((YEAR(D155)+7)&gt;YEAR(E155),1,(12-MONTH(E155)+1)/12))) + (Q155)*(IF((YEAR(D155)+7)&lt;YEAR(E155),0,IF((YEAR(D155)+7)&gt;YEAR(E155),1,(12-MONTH(E155)+1)/12))))-((P155)*(IF((YEAR(D155)+7)&lt;YEAR(E155),0,IF((YEAR(D155)+7)&gt;YEAR(E155),1,(12-MONTH(E155)+1)/12))) + (R155)*(IF((YEAR(D155)+7)&lt;YEAR(E155),0,IF((YEAR(D155)+7)&gt;YEAR(E155),1,(12-MONTH(E155)+1)/12))))-(IF(OR(N155="",N155&lt;=0),0,(O155/N155)*(IF(OR(N155="",N155&lt;=0),0,IF((YEAR(D155)+7)&lt;YEAR(E155),0,IF((YEAR(D155)+7)&gt;=YEAR(E155)+N155,0,IF((YEAR(D155)+7)=YEAR(E155),(12-MONTH(E155)+1)/12,1))))))))*TaxRate,0))-IF(7=0,O155,0))</f>
        <v/>
      </c>
      <c r="AA155" s="29">
        <f>IF(A155="","",((K155)*(IF(M155="",L155,IFERROR(IF(INDEX(Variablen!$I:$AT, MATCH(M155, Variablen!$A:$A, 0), MATCH((YEAR(D155)+8), Variablen!$I$3:$AT$3, 0))="",L155,INDEX(Variablen!$I:$AT, MATCH(M155, Variablen!$A:$A, 0), MATCH((YEAR(D155)+8), Variablen!$I$3:$AT$3, 0))),L155)))*(IF((YEAR(D155)+8)&lt;YEAR(E155),0,IF((YEAR(D155)+8)&gt;YEAR(E155),1,(12-MONTH(E155)+1)/12))) + (Q155)*(IF((YEAR(D155)+8)&lt;YEAR(E155),0,IF((YEAR(D155)+8)&gt;YEAR(E155),1,(12-MONTH(E155)+1)/12))))-((P155)*(IF((YEAR(D155)+8)&lt;YEAR(E155),0,IF((YEAR(D155)+8)&gt;YEAR(E155),1,(12-MONTH(E155)+1)/12))) + (R155)*(IF((YEAR(D155)+8)&lt;YEAR(E155),0,IF((YEAR(D155)+8)&gt;YEAR(E155),1,(12-MONTH(E155)+1)/12))))-(IF((((K155)*(IF(M155="",L155,IFERROR(IF(INDEX(Variablen!$I:$AT, MATCH(M155, Variablen!$A:$A, 0), MATCH((YEAR(D155)+8), Variablen!$I$3:$AT$3, 0))="",L155,INDEX(Variablen!$I:$AT, MATCH(M155, Variablen!$A:$A, 0), MATCH((YEAR(D155)+8), Variablen!$I$3:$AT$3, 0))),L155)))*(IF((YEAR(D155)+8)&lt;YEAR(E155),0,IF((YEAR(D155)+8)&gt;YEAR(E155),1,(12-MONTH(E155)+1)/12))) + (Q155)*(IF((YEAR(D155)+8)&lt;YEAR(E155),0,IF((YEAR(D155)+8)&gt;YEAR(E155),1,(12-MONTH(E155)+1)/12))))-((P155)*(IF((YEAR(D155)+8)&lt;YEAR(E155),0,IF((YEAR(D155)+8)&gt;YEAR(E155),1,(12-MONTH(E155)+1)/12))) + (R155)*(IF((YEAR(D155)+8)&lt;YEAR(E155),0,IF((YEAR(D155)+8)&gt;YEAR(E155),1,(12-MONTH(E155)+1)/12))))-(IF(OR(N155="",N155&lt;=0),0,(O155/N155)*(IF(OR(N155="",N155&lt;=0),0,IF((YEAR(D155)+8)&lt;YEAR(E155),0,IF((YEAR(D155)+8)&gt;=YEAR(E155)+N155,0,IF((YEAR(D155)+8)=YEAR(E155),(12-MONTH(E155)+1)/12,1))))))))&gt;0,(((K155)*(IF(M155="",L155,IFERROR(IF(INDEX(Variablen!$I:$AT, MATCH(M155, Variablen!$A:$A, 0), MATCH((YEAR(D155)+8), Variablen!$I$3:$AT$3, 0))="",L155,INDEX(Variablen!$I:$AT, MATCH(M155, Variablen!$A:$A, 0), MATCH((YEAR(D155)+8), Variablen!$I$3:$AT$3, 0))),L155)))*(IF((YEAR(D155)+8)&lt;YEAR(E155),0,IF((YEAR(D155)+8)&gt;YEAR(E155),1,(12-MONTH(E155)+1)/12))) + (Q155)*(IF((YEAR(D155)+8)&lt;YEAR(E155),0,IF((YEAR(D155)+8)&gt;YEAR(E155),1,(12-MONTH(E155)+1)/12))))-((P155)*(IF((YEAR(D155)+8)&lt;YEAR(E155),0,IF((YEAR(D155)+8)&gt;YEAR(E155),1,(12-MONTH(E155)+1)/12))) + (R155)*(IF((YEAR(D155)+8)&lt;YEAR(E155),0,IF((YEAR(D155)+8)&gt;YEAR(E155),1,(12-MONTH(E155)+1)/12))))-(IF(OR(N155="",N155&lt;=0),0,(O155/N155)*(IF(OR(N155="",N155&lt;=0),0,IF((YEAR(D155)+8)&lt;YEAR(E155),0,IF((YEAR(D155)+8)&gt;=YEAR(E155)+N155,0,IF((YEAR(D155)+8)=YEAR(E155),(12-MONTH(E155)+1)/12,1))))))))*TaxRate,0))-IF(8=0,O155,0))</f>
        <v/>
      </c>
      <c r="AB155" s="29">
        <f>IF(A155="","",((K155)*(IF(M155="",L155,IFERROR(IF(INDEX(Variablen!$I:$AT, MATCH(M155, Variablen!$A:$A, 0), MATCH((YEAR(D155)+9), Variablen!$I$3:$AT$3, 0))="",L155,INDEX(Variablen!$I:$AT, MATCH(M155, Variablen!$A:$A, 0), MATCH((YEAR(D155)+9), Variablen!$I$3:$AT$3, 0))),L155)))*(IF((YEAR(D155)+9)&lt;YEAR(E155),0,IF((YEAR(D155)+9)&gt;YEAR(E155),1,(12-MONTH(E155)+1)/12))) + (Q155)*(IF((YEAR(D155)+9)&lt;YEAR(E155),0,IF((YEAR(D155)+9)&gt;YEAR(E155),1,(12-MONTH(E155)+1)/12))))-((P155)*(IF((YEAR(D155)+9)&lt;YEAR(E155),0,IF((YEAR(D155)+9)&gt;YEAR(E155),1,(12-MONTH(E155)+1)/12))) + (R155)*(IF((YEAR(D155)+9)&lt;YEAR(E155),0,IF((YEAR(D155)+9)&gt;YEAR(E155),1,(12-MONTH(E155)+1)/12))))-(IF((((K155)*(IF(M155="",L155,IFERROR(IF(INDEX(Variablen!$I:$AT, MATCH(M155, Variablen!$A:$A, 0), MATCH((YEAR(D155)+9), Variablen!$I$3:$AT$3, 0))="",L155,INDEX(Variablen!$I:$AT, MATCH(M155, Variablen!$A:$A, 0), MATCH((YEAR(D155)+9), Variablen!$I$3:$AT$3, 0))),L155)))*(IF((YEAR(D155)+9)&lt;YEAR(E155),0,IF((YEAR(D155)+9)&gt;YEAR(E155),1,(12-MONTH(E155)+1)/12))) + (Q155)*(IF((YEAR(D155)+9)&lt;YEAR(E155),0,IF((YEAR(D155)+9)&gt;YEAR(E155),1,(12-MONTH(E155)+1)/12))))-((P155)*(IF((YEAR(D155)+9)&lt;YEAR(E155),0,IF((YEAR(D155)+9)&gt;YEAR(E155),1,(12-MONTH(E155)+1)/12))) + (R155)*(IF((YEAR(D155)+9)&lt;YEAR(E155),0,IF((YEAR(D155)+9)&gt;YEAR(E155),1,(12-MONTH(E155)+1)/12))))-(IF(OR(N155="",N155&lt;=0),0,(O155/N155)*(IF(OR(N155="",N155&lt;=0),0,IF((YEAR(D155)+9)&lt;YEAR(E155),0,IF((YEAR(D155)+9)&gt;=YEAR(E155)+N155,0,IF((YEAR(D155)+9)=YEAR(E155),(12-MONTH(E155)+1)/12,1))))))))&gt;0,(((K155)*(IF(M155="",L155,IFERROR(IF(INDEX(Variablen!$I:$AT, MATCH(M155, Variablen!$A:$A, 0), MATCH((YEAR(D155)+9), Variablen!$I$3:$AT$3, 0))="",L155,INDEX(Variablen!$I:$AT, MATCH(M155, Variablen!$A:$A, 0), MATCH((YEAR(D155)+9), Variablen!$I$3:$AT$3, 0))),L155)))*(IF((YEAR(D155)+9)&lt;YEAR(E155),0,IF((YEAR(D155)+9)&gt;YEAR(E155),1,(12-MONTH(E155)+1)/12))) + (Q155)*(IF((YEAR(D155)+9)&lt;YEAR(E155),0,IF((YEAR(D155)+9)&gt;YEAR(E155),1,(12-MONTH(E155)+1)/12))))-((P155)*(IF((YEAR(D155)+9)&lt;YEAR(E155),0,IF((YEAR(D155)+9)&gt;YEAR(E155),1,(12-MONTH(E155)+1)/12))) + (R155)*(IF((YEAR(D155)+9)&lt;YEAR(E155),0,IF((YEAR(D155)+9)&gt;YEAR(E155),1,(12-MONTH(E155)+1)/12))))-(IF(OR(N155="",N155&lt;=0),0,(O155/N155)*(IF(OR(N155="",N155&lt;=0),0,IF((YEAR(D155)+9)&lt;YEAR(E155),0,IF((YEAR(D155)+9)&gt;=YEAR(E155)+N155,0,IF((YEAR(D155)+9)=YEAR(E155),(12-MONTH(E155)+1)/12,1))))))))*TaxRate,0))-IF(9=0,O155,0))</f>
        <v/>
      </c>
      <c r="AC155" s="29">
        <f>IF(A155="","",((K155)*(IF(M155="",L155,IFERROR(IF(INDEX(Variablen!$I:$AT, MATCH(M155, Variablen!$A:$A, 0), MATCH((YEAR(D155)+10), Variablen!$I$3:$AT$3, 0))="",L155,INDEX(Variablen!$I:$AT, MATCH(M155, Variablen!$A:$A, 0), MATCH((YEAR(D155)+10), Variablen!$I$3:$AT$3, 0))),L155)))*(IF((YEAR(D155)+10)&lt;YEAR(E155),0,IF((YEAR(D155)+10)&gt;YEAR(E155),1,(12-MONTH(E155)+1)/12))) + (Q155)*(IF((YEAR(D155)+10)&lt;YEAR(E155),0,IF((YEAR(D155)+10)&gt;YEAR(E155),1,(12-MONTH(E155)+1)/12))))-((P155)*(IF((YEAR(D155)+10)&lt;YEAR(E155),0,IF((YEAR(D155)+10)&gt;YEAR(E155),1,(12-MONTH(E155)+1)/12))) + (R155)*(IF((YEAR(D155)+10)&lt;YEAR(E155),0,IF((YEAR(D155)+10)&gt;YEAR(E155),1,(12-MONTH(E155)+1)/12))))-(IF((((K155)*(IF(M155="",L155,IFERROR(IF(INDEX(Variablen!$I:$AT, MATCH(M155, Variablen!$A:$A, 0), MATCH((YEAR(D155)+10), Variablen!$I$3:$AT$3, 0))="",L155,INDEX(Variablen!$I:$AT, MATCH(M155, Variablen!$A:$A, 0), MATCH((YEAR(D155)+10), Variablen!$I$3:$AT$3, 0))),L155)))*(IF((YEAR(D155)+10)&lt;YEAR(E155),0,IF((YEAR(D155)+10)&gt;YEAR(E155),1,(12-MONTH(E155)+1)/12))) + (Q155)*(IF((YEAR(D155)+10)&lt;YEAR(E155),0,IF((YEAR(D155)+10)&gt;YEAR(E155),1,(12-MONTH(E155)+1)/12))))-((P155)*(IF((YEAR(D155)+10)&lt;YEAR(E155),0,IF((YEAR(D155)+10)&gt;YEAR(E155),1,(12-MONTH(E155)+1)/12))) + (R155)*(IF((YEAR(D155)+10)&lt;YEAR(E155),0,IF((YEAR(D155)+10)&gt;YEAR(E155),1,(12-MONTH(E155)+1)/12))))-(IF(OR(N155="",N155&lt;=0),0,(O155/N155)*(IF(OR(N155="",N155&lt;=0),0,IF((YEAR(D155)+10)&lt;YEAR(E155),0,IF((YEAR(D155)+10)&gt;=YEAR(E155)+N155,0,IF((YEAR(D155)+10)=YEAR(E155),(12-MONTH(E155)+1)/12,1))))))))&gt;0,(((K155)*(IF(M155="",L155,IFERROR(IF(INDEX(Variablen!$I:$AT, MATCH(M155, Variablen!$A:$A, 0), MATCH((YEAR(D155)+10), Variablen!$I$3:$AT$3, 0))="",L155,INDEX(Variablen!$I:$AT, MATCH(M155, Variablen!$A:$A, 0), MATCH((YEAR(D155)+10), Variablen!$I$3:$AT$3, 0))),L155)))*(IF((YEAR(D155)+10)&lt;YEAR(E155),0,IF((YEAR(D155)+10)&gt;YEAR(E155),1,(12-MONTH(E155)+1)/12))) + (Q155)*(IF((YEAR(D155)+10)&lt;YEAR(E155),0,IF((YEAR(D155)+10)&gt;YEAR(E155),1,(12-MONTH(E155)+1)/12))))-((P155)*(IF((YEAR(D155)+10)&lt;YEAR(E155),0,IF((YEAR(D155)+10)&gt;YEAR(E155),1,(12-MONTH(E155)+1)/12))) + (R155)*(IF((YEAR(D155)+10)&lt;YEAR(E155),0,IF((YEAR(D155)+10)&gt;YEAR(E155),1,(12-MONTH(E155)+1)/12))))-(IF(OR(N155="",N155&lt;=0),0,(O155/N155)*(IF(OR(N155="",N155&lt;=0),0,IF((YEAR(D155)+10)&lt;YEAR(E155),0,IF((YEAR(D155)+10)&gt;=YEAR(E155)+N155,0,IF((YEAR(D155)+10)=YEAR(E155),(12-MONTH(E155)+1)/12,1))))))))*TaxRate,0))-IF(10=0,O155,0))</f>
        <v/>
      </c>
      <c r="AD155" s="29">
        <f>IF(A155="","",((K155)*(IF(M155="",L155,IFERROR(IF(INDEX(Variablen!$I:$AT, MATCH(M155, Variablen!$A:$A, 0), MATCH((YEAR(D155)+11), Variablen!$I$3:$AT$3, 0))="",L155,INDEX(Variablen!$I:$AT, MATCH(M155, Variablen!$A:$A, 0), MATCH((YEAR(D155)+11), Variablen!$I$3:$AT$3, 0))),L155)))*(IF((YEAR(D155)+11)&lt;YEAR(E155),0,IF((YEAR(D155)+11)&gt;YEAR(E155),1,(12-MONTH(E155)+1)/12))) + (Q155)*(IF((YEAR(D155)+11)&lt;YEAR(E155),0,IF((YEAR(D155)+11)&gt;YEAR(E155),1,(12-MONTH(E155)+1)/12))))-((P155)*(IF((YEAR(D155)+11)&lt;YEAR(E155),0,IF((YEAR(D155)+11)&gt;YEAR(E155),1,(12-MONTH(E155)+1)/12))) + (R155)*(IF((YEAR(D155)+11)&lt;YEAR(E155),0,IF((YEAR(D155)+11)&gt;YEAR(E155),1,(12-MONTH(E155)+1)/12))))-(IF((((K155)*(IF(M155="",L155,IFERROR(IF(INDEX(Variablen!$I:$AT, MATCH(M155, Variablen!$A:$A, 0), MATCH((YEAR(D155)+11), Variablen!$I$3:$AT$3, 0))="",L155,INDEX(Variablen!$I:$AT, MATCH(M155, Variablen!$A:$A, 0), MATCH((YEAR(D155)+11), Variablen!$I$3:$AT$3, 0))),L155)))*(IF((YEAR(D155)+11)&lt;YEAR(E155),0,IF((YEAR(D155)+11)&gt;YEAR(E155),1,(12-MONTH(E155)+1)/12))) + (Q155)*(IF((YEAR(D155)+11)&lt;YEAR(E155),0,IF((YEAR(D155)+11)&gt;YEAR(E155),1,(12-MONTH(E155)+1)/12))))-((P155)*(IF((YEAR(D155)+11)&lt;YEAR(E155),0,IF((YEAR(D155)+11)&gt;YEAR(E155),1,(12-MONTH(E155)+1)/12))) + (R155)*(IF((YEAR(D155)+11)&lt;YEAR(E155),0,IF((YEAR(D155)+11)&gt;YEAR(E155),1,(12-MONTH(E155)+1)/12))))-(IF(OR(N155="",N155&lt;=0),0,(O155/N155)*(IF(OR(N155="",N155&lt;=0),0,IF((YEAR(D155)+11)&lt;YEAR(E155),0,IF((YEAR(D155)+11)&gt;=YEAR(E155)+N155,0,IF((YEAR(D155)+11)=YEAR(E155),(12-MONTH(E155)+1)/12,1))))))))&gt;0,(((K155)*(IF(M155="",L155,IFERROR(IF(INDEX(Variablen!$I:$AT, MATCH(M155, Variablen!$A:$A, 0), MATCH((YEAR(D155)+11), Variablen!$I$3:$AT$3, 0))="",L155,INDEX(Variablen!$I:$AT, MATCH(M155, Variablen!$A:$A, 0), MATCH((YEAR(D155)+11), Variablen!$I$3:$AT$3, 0))),L155)))*(IF((YEAR(D155)+11)&lt;YEAR(E155),0,IF((YEAR(D155)+11)&gt;YEAR(E155),1,(12-MONTH(E155)+1)/12))) + (Q155)*(IF((YEAR(D155)+11)&lt;YEAR(E155),0,IF((YEAR(D155)+11)&gt;YEAR(E155),1,(12-MONTH(E155)+1)/12))))-((P155)*(IF((YEAR(D155)+11)&lt;YEAR(E155),0,IF((YEAR(D155)+11)&gt;YEAR(E155),1,(12-MONTH(E155)+1)/12))) + (R155)*(IF((YEAR(D155)+11)&lt;YEAR(E155),0,IF((YEAR(D155)+11)&gt;YEAR(E155),1,(12-MONTH(E155)+1)/12))))-(IF(OR(N155="",N155&lt;=0),0,(O155/N155)*(IF(OR(N155="",N155&lt;=0),0,IF((YEAR(D155)+11)&lt;YEAR(E155),0,IF((YEAR(D155)+11)&gt;=YEAR(E155)+N155,0,IF((YEAR(D155)+11)=YEAR(E155),(12-MONTH(E155)+1)/12,1))))))))*TaxRate,0))-IF(11=0,O155,0))</f>
        <v/>
      </c>
      <c r="AE155" s="29">
        <f>IF(A155="","",((K155)*(IF(M155="",L155,IFERROR(IF(INDEX(Variablen!$I:$AT, MATCH(M155, Variablen!$A:$A, 0), MATCH((YEAR(D155)+12), Variablen!$I$3:$AT$3, 0))="",L155,INDEX(Variablen!$I:$AT, MATCH(M155, Variablen!$A:$A, 0), MATCH((YEAR(D155)+12), Variablen!$I$3:$AT$3, 0))),L155)))*(IF((YEAR(D155)+12)&lt;YEAR(E155),0,IF((YEAR(D155)+12)&gt;YEAR(E155),1,(12-MONTH(E155)+1)/12))) + (Q155)*(IF((YEAR(D155)+12)&lt;YEAR(E155),0,IF((YEAR(D155)+12)&gt;YEAR(E155),1,(12-MONTH(E155)+1)/12))))-((P155)*(IF((YEAR(D155)+12)&lt;YEAR(E155),0,IF((YEAR(D155)+12)&gt;YEAR(E155),1,(12-MONTH(E155)+1)/12))) + (R155)*(IF((YEAR(D155)+12)&lt;YEAR(E155),0,IF((YEAR(D155)+12)&gt;YEAR(E155),1,(12-MONTH(E155)+1)/12))))-(IF((((K155)*(IF(M155="",L155,IFERROR(IF(INDEX(Variablen!$I:$AT, MATCH(M155, Variablen!$A:$A, 0), MATCH((YEAR(D155)+12), Variablen!$I$3:$AT$3, 0))="",L155,INDEX(Variablen!$I:$AT, MATCH(M155, Variablen!$A:$A, 0), MATCH((YEAR(D155)+12), Variablen!$I$3:$AT$3, 0))),L155)))*(IF((YEAR(D155)+12)&lt;YEAR(E155),0,IF((YEAR(D155)+12)&gt;YEAR(E155),1,(12-MONTH(E155)+1)/12))) + (Q155)*(IF((YEAR(D155)+12)&lt;YEAR(E155),0,IF((YEAR(D155)+12)&gt;YEAR(E155),1,(12-MONTH(E155)+1)/12))))-((P155)*(IF((YEAR(D155)+12)&lt;YEAR(E155),0,IF((YEAR(D155)+12)&gt;YEAR(E155),1,(12-MONTH(E155)+1)/12))) + (R155)*(IF((YEAR(D155)+12)&lt;YEAR(E155),0,IF((YEAR(D155)+12)&gt;YEAR(E155),1,(12-MONTH(E155)+1)/12))))-(IF(OR(N155="",N155&lt;=0),0,(O155/N155)*(IF(OR(N155="",N155&lt;=0),0,IF((YEAR(D155)+12)&lt;YEAR(E155),0,IF((YEAR(D155)+12)&gt;=YEAR(E155)+N155,0,IF((YEAR(D155)+12)=YEAR(E155),(12-MONTH(E155)+1)/12,1))))))))&gt;0,(((K155)*(IF(M155="",L155,IFERROR(IF(INDEX(Variablen!$I:$AT, MATCH(M155, Variablen!$A:$A, 0), MATCH((YEAR(D155)+12), Variablen!$I$3:$AT$3, 0))="",L155,INDEX(Variablen!$I:$AT, MATCH(M155, Variablen!$A:$A, 0), MATCH((YEAR(D155)+12), Variablen!$I$3:$AT$3, 0))),L155)))*(IF((YEAR(D155)+12)&lt;YEAR(E155),0,IF((YEAR(D155)+12)&gt;YEAR(E155),1,(12-MONTH(E155)+1)/12))) + (Q155)*(IF((YEAR(D155)+12)&lt;YEAR(E155),0,IF((YEAR(D155)+12)&gt;YEAR(E155),1,(12-MONTH(E155)+1)/12))))-((P155)*(IF((YEAR(D155)+12)&lt;YEAR(E155),0,IF((YEAR(D155)+12)&gt;YEAR(E155),1,(12-MONTH(E155)+1)/12))) + (R155)*(IF((YEAR(D155)+12)&lt;YEAR(E155),0,IF((YEAR(D155)+12)&gt;YEAR(E155),1,(12-MONTH(E155)+1)/12))))-(IF(OR(N155="",N155&lt;=0),0,(O155/N155)*(IF(OR(N155="",N155&lt;=0),0,IF((YEAR(D155)+12)&lt;YEAR(E155),0,IF((YEAR(D155)+12)&gt;=YEAR(E155)+N155,0,IF((YEAR(D155)+12)=YEAR(E155),(12-MONTH(E155)+1)/12,1))))))))*TaxRate,0))-IF(12=0,O155,0))</f>
        <v/>
      </c>
      <c r="AF155" s="29">
        <f>IF(A155="","",((K155)*(IF(M155="",L155,IFERROR(IF(INDEX(Variablen!$I:$AT, MATCH(M155, Variablen!$A:$A, 0), MATCH((YEAR(D155)+13), Variablen!$I$3:$AT$3, 0))="",L155,INDEX(Variablen!$I:$AT, MATCH(M155, Variablen!$A:$A, 0), MATCH((YEAR(D155)+13), Variablen!$I$3:$AT$3, 0))),L155)))*(IF((YEAR(D155)+13)&lt;YEAR(E155),0,IF((YEAR(D155)+13)&gt;YEAR(E155),1,(12-MONTH(E155)+1)/12))) + (Q155)*(IF((YEAR(D155)+13)&lt;YEAR(E155),0,IF((YEAR(D155)+13)&gt;YEAR(E155),1,(12-MONTH(E155)+1)/12))))-((P155)*(IF((YEAR(D155)+13)&lt;YEAR(E155),0,IF((YEAR(D155)+13)&gt;YEAR(E155),1,(12-MONTH(E155)+1)/12))) + (R155)*(IF((YEAR(D155)+13)&lt;YEAR(E155),0,IF((YEAR(D155)+13)&gt;YEAR(E155),1,(12-MONTH(E155)+1)/12))))-(IF((((K155)*(IF(M155="",L155,IFERROR(IF(INDEX(Variablen!$I:$AT, MATCH(M155, Variablen!$A:$A, 0), MATCH((YEAR(D155)+13), Variablen!$I$3:$AT$3, 0))="",L155,INDEX(Variablen!$I:$AT, MATCH(M155, Variablen!$A:$A, 0), MATCH((YEAR(D155)+13), Variablen!$I$3:$AT$3, 0))),L155)))*(IF((YEAR(D155)+13)&lt;YEAR(E155),0,IF((YEAR(D155)+13)&gt;YEAR(E155),1,(12-MONTH(E155)+1)/12))) + (Q155)*(IF((YEAR(D155)+13)&lt;YEAR(E155),0,IF((YEAR(D155)+13)&gt;YEAR(E155),1,(12-MONTH(E155)+1)/12))))-((P155)*(IF((YEAR(D155)+13)&lt;YEAR(E155),0,IF((YEAR(D155)+13)&gt;YEAR(E155),1,(12-MONTH(E155)+1)/12))) + (R155)*(IF((YEAR(D155)+13)&lt;YEAR(E155),0,IF((YEAR(D155)+13)&gt;YEAR(E155),1,(12-MONTH(E155)+1)/12))))-(IF(OR(N155="",N155&lt;=0),0,(O155/N155)*(IF(OR(N155="",N155&lt;=0),0,IF((YEAR(D155)+13)&lt;YEAR(E155),0,IF((YEAR(D155)+13)&gt;=YEAR(E155)+N155,0,IF((YEAR(D155)+13)=YEAR(E155),(12-MONTH(E155)+1)/12,1))))))))&gt;0,(((K155)*(IF(M155="",L155,IFERROR(IF(INDEX(Variablen!$I:$AT, MATCH(M155, Variablen!$A:$A, 0), MATCH((YEAR(D155)+13), Variablen!$I$3:$AT$3, 0))="",L155,INDEX(Variablen!$I:$AT, MATCH(M155, Variablen!$A:$A, 0), MATCH((YEAR(D155)+13), Variablen!$I$3:$AT$3, 0))),L155)))*(IF((YEAR(D155)+13)&lt;YEAR(E155),0,IF((YEAR(D155)+13)&gt;YEAR(E155),1,(12-MONTH(E155)+1)/12))) + (Q155)*(IF((YEAR(D155)+13)&lt;YEAR(E155),0,IF((YEAR(D155)+13)&gt;YEAR(E155),1,(12-MONTH(E155)+1)/12))))-((P155)*(IF((YEAR(D155)+13)&lt;YEAR(E155),0,IF((YEAR(D155)+13)&gt;YEAR(E155),1,(12-MONTH(E155)+1)/12))) + (R155)*(IF((YEAR(D155)+13)&lt;YEAR(E155),0,IF((YEAR(D155)+13)&gt;YEAR(E155),1,(12-MONTH(E155)+1)/12))))-(IF(OR(N155="",N155&lt;=0),0,(O155/N155)*(IF(OR(N155="",N155&lt;=0),0,IF((YEAR(D155)+13)&lt;YEAR(E155),0,IF((YEAR(D155)+13)&gt;=YEAR(E155)+N155,0,IF((YEAR(D155)+13)=YEAR(E155),(12-MONTH(E155)+1)/12,1))))))))*TaxRate,0))-IF(13=0,O155,0))</f>
        <v/>
      </c>
      <c r="AG155" s="29">
        <f>IF(A155="","",((K155)*(IF(M155="",L155,IFERROR(IF(INDEX(Variablen!$I:$AT, MATCH(M155, Variablen!$A:$A, 0), MATCH((YEAR(D155)+14), Variablen!$I$3:$AT$3, 0))="",L155,INDEX(Variablen!$I:$AT, MATCH(M155, Variablen!$A:$A, 0), MATCH((YEAR(D155)+14), Variablen!$I$3:$AT$3, 0))),L155)))*(IF((YEAR(D155)+14)&lt;YEAR(E155),0,IF((YEAR(D155)+14)&gt;YEAR(E155),1,(12-MONTH(E155)+1)/12))) + (Q155)*(IF((YEAR(D155)+14)&lt;YEAR(E155),0,IF((YEAR(D155)+14)&gt;YEAR(E155),1,(12-MONTH(E155)+1)/12))))-((P155)*(IF((YEAR(D155)+14)&lt;YEAR(E155),0,IF((YEAR(D155)+14)&gt;YEAR(E155),1,(12-MONTH(E155)+1)/12))) + (R155)*(IF((YEAR(D155)+14)&lt;YEAR(E155),0,IF((YEAR(D155)+14)&gt;YEAR(E155),1,(12-MONTH(E155)+1)/12))))-(IF((((K155)*(IF(M155="",L155,IFERROR(IF(INDEX(Variablen!$I:$AT, MATCH(M155, Variablen!$A:$A, 0), MATCH((YEAR(D155)+14), Variablen!$I$3:$AT$3, 0))="",L155,INDEX(Variablen!$I:$AT, MATCH(M155, Variablen!$A:$A, 0), MATCH((YEAR(D155)+14), Variablen!$I$3:$AT$3, 0))),L155)))*(IF((YEAR(D155)+14)&lt;YEAR(E155),0,IF((YEAR(D155)+14)&gt;YEAR(E155),1,(12-MONTH(E155)+1)/12))) + (Q155)*(IF((YEAR(D155)+14)&lt;YEAR(E155),0,IF((YEAR(D155)+14)&gt;YEAR(E155),1,(12-MONTH(E155)+1)/12))))-((P155)*(IF((YEAR(D155)+14)&lt;YEAR(E155),0,IF((YEAR(D155)+14)&gt;YEAR(E155),1,(12-MONTH(E155)+1)/12))) + (R155)*(IF((YEAR(D155)+14)&lt;YEAR(E155),0,IF((YEAR(D155)+14)&gt;YEAR(E155),1,(12-MONTH(E155)+1)/12))))-(IF(OR(N155="",N155&lt;=0),0,(O155/N155)*(IF(OR(N155="",N155&lt;=0),0,IF((YEAR(D155)+14)&lt;YEAR(E155),0,IF((YEAR(D155)+14)&gt;=YEAR(E155)+N155,0,IF((YEAR(D155)+14)=YEAR(E155),(12-MONTH(E155)+1)/12,1))))))))&gt;0,(((K155)*(IF(M155="",L155,IFERROR(IF(INDEX(Variablen!$I:$AT, MATCH(M155, Variablen!$A:$A, 0), MATCH((YEAR(D155)+14), Variablen!$I$3:$AT$3, 0))="",L155,INDEX(Variablen!$I:$AT, MATCH(M155, Variablen!$A:$A, 0), MATCH((YEAR(D155)+14), Variablen!$I$3:$AT$3, 0))),L155)))*(IF((YEAR(D155)+14)&lt;YEAR(E155),0,IF((YEAR(D155)+14)&gt;YEAR(E155),1,(12-MONTH(E155)+1)/12))) + (Q155)*(IF((YEAR(D155)+14)&lt;YEAR(E155),0,IF((YEAR(D155)+14)&gt;YEAR(E155),1,(12-MONTH(E155)+1)/12))))-((P155)*(IF((YEAR(D155)+14)&lt;YEAR(E155),0,IF((YEAR(D155)+14)&gt;YEAR(E155),1,(12-MONTH(E155)+1)/12))) + (R155)*(IF((YEAR(D155)+14)&lt;YEAR(E155),0,IF((YEAR(D155)+14)&gt;YEAR(E155),1,(12-MONTH(E155)+1)/12))))-(IF(OR(N155="",N155&lt;=0),0,(O155/N155)*(IF(OR(N155="",N155&lt;=0),0,IF((YEAR(D155)+14)&lt;YEAR(E155),0,IF((YEAR(D155)+14)&gt;=YEAR(E155)+N155,0,IF((YEAR(D155)+14)=YEAR(E155),(12-MONTH(E155)+1)/12,1))))))))*TaxRate,0))-IF(14=0,O155,0))</f>
        <v/>
      </c>
      <c r="AH155" s="29">
        <f>IF(A155="","",((K155)*(IF(M155="",L155,IFERROR(IF(INDEX(Variablen!$I:$AT, MATCH(M155, Variablen!$A:$A, 0), MATCH((YEAR(D155)+15), Variablen!$I$3:$AT$3, 0))="",L155,INDEX(Variablen!$I:$AT, MATCH(M155, Variablen!$A:$A, 0), MATCH((YEAR(D155)+15), Variablen!$I$3:$AT$3, 0))),L155)))*(IF((YEAR(D155)+15)&lt;YEAR(E155),0,IF((YEAR(D155)+15)&gt;YEAR(E155),1,(12-MONTH(E155)+1)/12))) + (Q155)*(IF((YEAR(D155)+15)&lt;YEAR(E155),0,IF((YEAR(D155)+15)&gt;YEAR(E155),1,(12-MONTH(E155)+1)/12))))-((P155)*(IF((YEAR(D155)+15)&lt;YEAR(E155),0,IF((YEAR(D155)+15)&gt;YEAR(E155),1,(12-MONTH(E155)+1)/12))) + (R155)*(IF((YEAR(D155)+15)&lt;YEAR(E155),0,IF((YEAR(D155)+15)&gt;YEAR(E155),1,(12-MONTH(E155)+1)/12))))-(IF((((K155)*(IF(M155="",L155,IFERROR(IF(INDEX(Variablen!$I:$AT, MATCH(M155, Variablen!$A:$A, 0), MATCH((YEAR(D155)+15), Variablen!$I$3:$AT$3, 0))="",L155,INDEX(Variablen!$I:$AT, MATCH(M155, Variablen!$A:$A, 0), MATCH((YEAR(D155)+15), Variablen!$I$3:$AT$3, 0))),L155)))*(IF((YEAR(D155)+15)&lt;YEAR(E155),0,IF((YEAR(D155)+15)&gt;YEAR(E155),1,(12-MONTH(E155)+1)/12))) + (Q155)*(IF((YEAR(D155)+15)&lt;YEAR(E155),0,IF((YEAR(D155)+15)&gt;YEAR(E155),1,(12-MONTH(E155)+1)/12))))-((P155)*(IF((YEAR(D155)+15)&lt;YEAR(E155),0,IF((YEAR(D155)+15)&gt;YEAR(E155),1,(12-MONTH(E155)+1)/12))) + (R155)*(IF((YEAR(D155)+15)&lt;YEAR(E155),0,IF((YEAR(D155)+15)&gt;YEAR(E155),1,(12-MONTH(E155)+1)/12))))-(IF(OR(N155="",N155&lt;=0),0,(O155/N155)*(IF(OR(N155="",N155&lt;=0),0,IF((YEAR(D155)+15)&lt;YEAR(E155),0,IF((YEAR(D155)+15)&gt;=YEAR(E155)+N155,0,IF((YEAR(D155)+15)=YEAR(E155),(12-MONTH(E155)+1)/12,1))))))))&gt;0,(((K155)*(IF(M155="",L155,IFERROR(IF(INDEX(Variablen!$I:$AT, MATCH(M155, Variablen!$A:$A, 0), MATCH((YEAR(D155)+15), Variablen!$I$3:$AT$3, 0))="",L155,INDEX(Variablen!$I:$AT, MATCH(M155, Variablen!$A:$A, 0), MATCH((YEAR(D155)+15), Variablen!$I$3:$AT$3, 0))),L155)))*(IF((YEAR(D155)+15)&lt;YEAR(E155),0,IF((YEAR(D155)+15)&gt;YEAR(E155),1,(12-MONTH(E155)+1)/12))) + (Q155)*(IF((YEAR(D155)+15)&lt;YEAR(E155),0,IF((YEAR(D155)+15)&gt;YEAR(E155),1,(12-MONTH(E155)+1)/12))))-((P155)*(IF((YEAR(D155)+15)&lt;YEAR(E155),0,IF((YEAR(D155)+15)&gt;YEAR(E155),1,(12-MONTH(E155)+1)/12))) + (R155)*(IF((YEAR(D155)+15)&lt;YEAR(E155),0,IF((YEAR(D155)+15)&gt;YEAR(E155),1,(12-MONTH(E155)+1)/12))))-(IF(OR(N155="",N155&lt;=0),0,(O155/N155)*(IF(OR(N155="",N155&lt;=0),0,IF((YEAR(D155)+15)&lt;YEAR(E155),0,IF((YEAR(D155)+15)&gt;=YEAR(E155)+N155,0,IF((YEAR(D155)+15)=YEAR(E155),(12-MONTH(E155)+1)/12,1))))))))*TaxRate,0))-IF(15=0,O155,0))</f>
        <v/>
      </c>
      <c r="AI155" s="29">
        <f>IF(A155="","",((K155)*(IF(M155="",L155,IFERROR(IF(INDEX(Variablen!$I:$AT, MATCH(M155, Variablen!$A:$A, 0), MATCH((YEAR(D155)+16), Variablen!$I$3:$AT$3, 0))="",L155,INDEX(Variablen!$I:$AT, MATCH(M155, Variablen!$A:$A, 0), MATCH((YEAR(D155)+16), Variablen!$I$3:$AT$3, 0))),L155)))*(IF((YEAR(D155)+16)&lt;YEAR(E155),0,IF((YEAR(D155)+16)&gt;YEAR(E155),1,(12-MONTH(E155)+1)/12))) + (Q155)*(IF((YEAR(D155)+16)&lt;YEAR(E155),0,IF((YEAR(D155)+16)&gt;YEAR(E155),1,(12-MONTH(E155)+1)/12))))-((P155)*(IF((YEAR(D155)+16)&lt;YEAR(E155),0,IF((YEAR(D155)+16)&gt;YEAR(E155),1,(12-MONTH(E155)+1)/12))) + (R155)*(IF((YEAR(D155)+16)&lt;YEAR(E155),0,IF((YEAR(D155)+16)&gt;YEAR(E155),1,(12-MONTH(E155)+1)/12))))-(IF((((K155)*(IF(M155="",L155,IFERROR(IF(INDEX(Variablen!$I:$AT, MATCH(M155, Variablen!$A:$A, 0), MATCH((YEAR(D155)+16), Variablen!$I$3:$AT$3, 0))="",L155,INDEX(Variablen!$I:$AT, MATCH(M155, Variablen!$A:$A, 0), MATCH((YEAR(D155)+16), Variablen!$I$3:$AT$3, 0))),L155)))*(IF((YEAR(D155)+16)&lt;YEAR(E155),0,IF((YEAR(D155)+16)&gt;YEAR(E155),1,(12-MONTH(E155)+1)/12))) + (Q155)*(IF((YEAR(D155)+16)&lt;YEAR(E155),0,IF((YEAR(D155)+16)&gt;YEAR(E155),1,(12-MONTH(E155)+1)/12))))-((P155)*(IF((YEAR(D155)+16)&lt;YEAR(E155),0,IF((YEAR(D155)+16)&gt;YEAR(E155),1,(12-MONTH(E155)+1)/12))) + (R155)*(IF((YEAR(D155)+16)&lt;YEAR(E155),0,IF((YEAR(D155)+16)&gt;YEAR(E155),1,(12-MONTH(E155)+1)/12))))-(IF(OR(N155="",N155&lt;=0),0,(O155/N155)*(IF(OR(N155="",N155&lt;=0),0,IF((YEAR(D155)+16)&lt;YEAR(E155),0,IF((YEAR(D155)+16)&gt;=YEAR(E155)+N155,0,IF((YEAR(D155)+16)=YEAR(E155),(12-MONTH(E155)+1)/12,1))))))))&gt;0,(((K155)*(IF(M155="",L155,IFERROR(IF(INDEX(Variablen!$I:$AT, MATCH(M155, Variablen!$A:$A, 0), MATCH((YEAR(D155)+16), Variablen!$I$3:$AT$3, 0))="",L155,INDEX(Variablen!$I:$AT, MATCH(M155, Variablen!$A:$A, 0), MATCH((YEAR(D155)+16), Variablen!$I$3:$AT$3, 0))),L155)))*(IF((YEAR(D155)+16)&lt;YEAR(E155),0,IF((YEAR(D155)+16)&gt;YEAR(E155),1,(12-MONTH(E155)+1)/12))) + (Q155)*(IF((YEAR(D155)+16)&lt;YEAR(E155),0,IF((YEAR(D155)+16)&gt;YEAR(E155),1,(12-MONTH(E155)+1)/12))))-((P155)*(IF((YEAR(D155)+16)&lt;YEAR(E155),0,IF((YEAR(D155)+16)&gt;YEAR(E155),1,(12-MONTH(E155)+1)/12))) + (R155)*(IF((YEAR(D155)+16)&lt;YEAR(E155),0,IF((YEAR(D155)+16)&gt;YEAR(E155),1,(12-MONTH(E155)+1)/12))))-(IF(OR(N155="",N155&lt;=0),0,(O155/N155)*(IF(OR(N155="",N155&lt;=0),0,IF((YEAR(D155)+16)&lt;YEAR(E155),0,IF((YEAR(D155)+16)&gt;=YEAR(E155)+N155,0,IF((YEAR(D155)+16)=YEAR(E155),(12-MONTH(E155)+1)/12,1))))))))*TaxRate,0))-IF(16=0,O155,0))</f>
        <v/>
      </c>
      <c r="AJ155" s="29">
        <f>IF(A155="","",((K155)*(IF(M155="",L155,IFERROR(IF(INDEX(Variablen!$I:$AT, MATCH(M155, Variablen!$A:$A, 0), MATCH((YEAR(D155)+17), Variablen!$I$3:$AT$3, 0))="",L155,INDEX(Variablen!$I:$AT, MATCH(M155, Variablen!$A:$A, 0), MATCH((YEAR(D155)+17), Variablen!$I$3:$AT$3, 0))),L155)))*(IF((YEAR(D155)+17)&lt;YEAR(E155),0,IF((YEAR(D155)+17)&gt;YEAR(E155),1,(12-MONTH(E155)+1)/12))) + (Q155)*(IF((YEAR(D155)+17)&lt;YEAR(E155),0,IF((YEAR(D155)+17)&gt;YEAR(E155),1,(12-MONTH(E155)+1)/12))))-((P155)*(IF((YEAR(D155)+17)&lt;YEAR(E155),0,IF((YEAR(D155)+17)&gt;YEAR(E155),1,(12-MONTH(E155)+1)/12))) + (R155)*(IF((YEAR(D155)+17)&lt;YEAR(E155),0,IF((YEAR(D155)+17)&gt;YEAR(E155),1,(12-MONTH(E155)+1)/12))))-(IF((((K155)*(IF(M155="",L155,IFERROR(IF(INDEX(Variablen!$I:$AT, MATCH(M155, Variablen!$A:$A, 0), MATCH((YEAR(D155)+17), Variablen!$I$3:$AT$3, 0))="",L155,INDEX(Variablen!$I:$AT, MATCH(M155, Variablen!$A:$A, 0), MATCH((YEAR(D155)+17), Variablen!$I$3:$AT$3, 0))),L155)))*(IF((YEAR(D155)+17)&lt;YEAR(E155),0,IF((YEAR(D155)+17)&gt;YEAR(E155),1,(12-MONTH(E155)+1)/12))) + (Q155)*(IF((YEAR(D155)+17)&lt;YEAR(E155),0,IF((YEAR(D155)+17)&gt;YEAR(E155),1,(12-MONTH(E155)+1)/12))))-((P155)*(IF((YEAR(D155)+17)&lt;YEAR(E155),0,IF((YEAR(D155)+17)&gt;YEAR(E155),1,(12-MONTH(E155)+1)/12))) + (R155)*(IF((YEAR(D155)+17)&lt;YEAR(E155),0,IF((YEAR(D155)+17)&gt;YEAR(E155),1,(12-MONTH(E155)+1)/12))))-(IF(OR(N155="",N155&lt;=0),0,(O155/N155)*(IF(OR(N155="",N155&lt;=0),0,IF((YEAR(D155)+17)&lt;YEAR(E155),0,IF((YEAR(D155)+17)&gt;=YEAR(E155)+N155,0,IF((YEAR(D155)+17)=YEAR(E155),(12-MONTH(E155)+1)/12,1))))))))&gt;0,(((K155)*(IF(M155="",L155,IFERROR(IF(INDEX(Variablen!$I:$AT, MATCH(M155, Variablen!$A:$A, 0), MATCH((YEAR(D155)+17), Variablen!$I$3:$AT$3, 0))="",L155,INDEX(Variablen!$I:$AT, MATCH(M155, Variablen!$A:$A, 0), MATCH((YEAR(D155)+17), Variablen!$I$3:$AT$3, 0))),L155)))*(IF((YEAR(D155)+17)&lt;YEAR(E155),0,IF((YEAR(D155)+17)&gt;YEAR(E155),1,(12-MONTH(E155)+1)/12))) + (Q155)*(IF((YEAR(D155)+17)&lt;YEAR(E155),0,IF((YEAR(D155)+17)&gt;YEAR(E155),1,(12-MONTH(E155)+1)/12))))-((P155)*(IF((YEAR(D155)+17)&lt;YEAR(E155),0,IF((YEAR(D155)+17)&gt;YEAR(E155),1,(12-MONTH(E155)+1)/12))) + (R155)*(IF((YEAR(D155)+17)&lt;YEAR(E155),0,IF((YEAR(D155)+17)&gt;YEAR(E155),1,(12-MONTH(E155)+1)/12))))-(IF(OR(N155="",N155&lt;=0),0,(O155/N155)*(IF(OR(N155="",N155&lt;=0),0,IF((YEAR(D155)+17)&lt;YEAR(E155),0,IF((YEAR(D155)+17)&gt;=YEAR(E155)+N155,0,IF((YEAR(D155)+17)=YEAR(E155),(12-MONTH(E155)+1)/12,1))))))))*TaxRate,0))-IF(17=0,O155,0))</f>
        <v/>
      </c>
      <c r="AK155" s="29">
        <f>IF(A155="","",((K155)*(IF(M155="",L155,IFERROR(IF(INDEX(Variablen!$I:$AT, MATCH(M155, Variablen!$A:$A, 0), MATCH((YEAR(D155)+18), Variablen!$I$3:$AT$3, 0))="",L155,INDEX(Variablen!$I:$AT, MATCH(M155, Variablen!$A:$A, 0), MATCH((YEAR(D155)+18), Variablen!$I$3:$AT$3, 0))),L155)))*(IF((YEAR(D155)+18)&lt;YEAR(E155),0,IF((YEAR(D155)+18)&gt;YEAR(E155),1,(12-MONTH(E155)+1)/12))) + (Q155)*(IF((YEAR(D155)+18)&lt;YEAR(E155),0,IF((YEAR(D155)+18)&gt;YEAR(E155),1,(12-MONTH(E155)+1)/12))))-((P155)*(IF((YEAR(D155)+18)&lt;YEAR(E155),0,IF((YEAR(D155)+18)&gt;YEAR(E155),1,(12-MONTH(E155)+1)/12))) + (R155)*(IF((YEAR(D155)+18)&lt;YEAR(E155),0,IF((YEAR(D155)+18)&gt;YEAR(E155),1,(12-MONTH(E155)+1)/12))))-(IF((((K155)*(IF(M155="",L155,IFERROR(IF(INDEX(Variablen!$I:$AT, MATCH(M155, Variablen!$A:$A, 0), MATCH((YEAR(D155)+18), Variablen!$I$3:$AT$3, 0))="",L155,INDEX(Variablen!$I:$AT, MATCH(M155, Variablen!$A:$A, 0), MATCH((YEAR(D155)+18), Variablen!$I$3:$AT$3, 0))),L155)))*(IF((YEAR(D155)+18)&lt;YEAR(E155),0,IF((YEAR(D155)+18)&gt;YEAR(E155),1,(12-MONTH(E155)+1)/12))) + (Q155)*(IF((YEAR(D155)+18)&lt;YEAR(E155),0,IF((YEAR(D155)+18)&gt;YEAR(E155),1,(12-MONTH(E155)+1)/12))))-((P155)*(IF((YEAR(D155)+18)&lt;YEAR(E155),0,IF((YEAR(D155)+18)&gt;YEAR(E155),1,(12-MONTH(E155)+1)/12))) + (R155)*(IF((YEAR(D155)+18)&lt;YEAR(E155),0,IF((YEAR(D155)+18)&gt;YEAR(E155),1,(12-MONTH(E155)+1)/12))))-(IF(OR(N155="",N155&lt;=0),0,(O155/N155)*(IF(OR(N155="",N155&lt;=0),0,IF((YEAR(D155)+18)&lt;YEAR(E155),0,IF((YEAR(D155)+18)&gt;=YEAR(E155)+N155,0,IF((YEAR(D155)+18)=YEAR(E155),(12-MONTH(E155)+1)/12,1))))))))&gt;0,(((K155)*(IF(M155="",L155,IFERROR(IF(INDEX(Variablen!$I:$AT, MATCH(M155, Variablen!$A:$A, 0), MATCH((YEAR(D155)+18), Variablen!$I$3:$AT$3, 0))="",L155,INDEX(Variablen!$I:$AT, MATCH(M155, Variablen!$A:$A, 0), MATCH((YEAR(D155)+18), Variablen!$I$3:$AT$3, 0))),L155)))*(IF((YEAR(D155)+18)&lt;YEAR(E155),0,IF((YEAR(D155)+18)&gt;YEAR(E155),1,(12-MONTH(E155)+1)/12))) + (Q155)*(IF((YEAR(D155)+18)&lt;YEAR(E155),0,IF((YEAR(D155)+18)&gt;YEAR(E155),1,(12-MONTH(E155)+1)/12))))-((P155)*(IF((YEAR(D155)+18)&lt;YEAR(E155),0,IF((YEAR(D155)+18)&gt;YEAR(E155),1,(12-MONTH(E155)+1)/12))) + (R155)*(IF((YEAR(D155)+18)&lt;YEAR(E155),0,IF((YEAR(D155)+18)&gt;YEAR(E155),1,(12-MONTH(E155)+1)/12))))-(IF(OR(N155="",N155&lt;=0),0,(O155/N155)*(IF(OR(N155="",N155&lt;=0),0,IF((YEAR(D155)+18)&lt;YEAR(E155),0,IF((YEAR(D155)+18)&gt;=YEAR(E155)+N155,0,IF((YEAR(D155)+18)=YEAR(E155),(12-MONTH(E155)+1)/12,1))))))))*TaxRate,0))-IF(18=0,O155,0))</f>
        <v/>
      </c>
      <c r="AL155" s="29">
        <f>IF(A155="","",((K155)*(IF(M155="",L155,IFERROR(IF(INDEX(Variablen!$I:$AT, MATCH(M155, Variablen!$A:$A, 0), MATCH((YEAR(D155)+19), Variablen!$I$3:$AT$3, 0))="",L155,INDEX(Variablen!$I:$AT, MATCH(M155, Variablen!$A:$A, 0), MATCH((YEAR(D155)+19), Variablen!$I$3:$AT$3, 0))),L155)))*(IF((YEAR(D155)+19)&lt;YEAR(E155),0,IF((YEAR(D155)+19)&gt;YEAR(E155),1,(12-MONTH(E155)+1)/12))) + (Q155)*(IF((YEAR(D155)+19)&lt;YEAR(E155),0,IF((YEAR(D155)+19)&gt;YEAR(E155),1,(12-MONTH(E155)+1)/12))))-((P155)*(IF((YEAR(D155)+19)&lt;YEAR(E155),0,IF((YEAR(D155)+19)&gt;YEAR(E155),1,(12-MONTH(E155)+1)/12))) + (R155)*(IF((YEAR(D155)+19)&lt;YEAR(E155),0,IF((YEAR(D155)+19)&gt;YEAR(E155),1,(12-MONTH(E155)+1)/12))))-(IF((((K155)*(IF(M155="",L155,IFERROR(IF(INDEX(Variablen!$I:$AT, MATCH(M155, Variablen!$A:$A, 0), MATCH((YEAR(D155)+19), Variablen!$I$3:$AT$3, 0))="",L155,INDEX(Variablen!$I:$AT, MATCH(M155, Variablen!$A:$A, 0), MATCH((YEAR(D155)+19), Variablen!$I$3:$AT$3, 0))),L155)))*(IF((YEAR(D155)+19)&lt;YEAR(E155),0,IF((YEAR(D155)+19)&gt;YEAR(E155),1,(12-MONTH(E155)+1)/12))) + (Q155)*(IF((YEAR(D155)+19)&lt;YEAR(E155),0,IF((YEAR(D155)+19)&gt;YEAR(E155),1,(12-MONTH(E155)+1)/12))))-((P155)*(IF((YEAR(D155)+19)&lt;YEAR(E155),0,IF((YEAR(D155)+19)&gt;YEAR(E155),1,(12-MONTH(E155)+1)/12))) + (R155)*(IF((YEAR(D155)+19)&lt;YEAR(E155),0,IF((YEAR(D155)+19)&gt;YEAR(E155),1,(12-MONTH(E155)+1)/12))))-(IF(OR(N155="",N155&lt;=0),0,(O155/N155)*(IF(OR(N155="",N155&lt;=0),0,IF((YEAR(D155)+19)&lt;YEAR(E155),0,IF((YEAR(D155)+19)&gt;=YEAR(E155)+N155,0,IF((YEAR(D155)+19)=YEAR(E155),(12-MONTH(E155)+1)/12,1))))))))&gt;0,(((K155)*(IF(M155="",L155,IFERROR(IF(INDEX(Variablen!$I:$AT, MATCH(M155, Variablen!$A:$A, 0), MATCH((YEAR(D155)+19), Variablen!$I$3:$AT$3, 0))="",L155,INDEX(Variablen!$I:$AT, MATCH(M155, Variablen!$A:$A, 0), MATCH((YEAR(D155)+19), Variablen!$I$3:$AT$3, 0))),L155)))*(IF((YEAR(D155)+19)&lt;YEAR(E155),0,IF((YEAR(D155)+19)&gt;YEAR(E155),1,(12-MONTH(E155)+1)/12))) + (Q155)*(IF((YEAR(D155)+19)&lt;YEAR(E155),0,IF((YEAR(D155)+19)&gt;YEAR(E155),1,(12-MONTH(E155)+1)/12))))-((P155)*(IF((YEAR(D155)+19)&lt;YEAR(E155),0,IF((YEAR(D155)+19)&gt;YEAR(E155),1,(12-MONTH(E155)+1)/12))) + (R155)*(IF((YEAR(D155)+19)&lt;YEAR(E155),0,IF((YEAR(D155)+19)&gt;YEAR(E155),1,(12-MONTH(E155)+1)/12))))-(IF(OR(N155="",N155&lt;=0),0,(O155/N155)*(IF(OR(N155="",N155&lt;=0),0,IF((YEAR(D155)+19)&lt;YEAR(E155),0,IF((YEAR(D155)+19)&gt;=YEAR(E155)+N155,0,IF((YEAR(D155)+19)=YEAR(E155),(12-MONTH(E155)+1)/12,1))))))))*TaxRate,0))-IF(19=0,O155,0))</f>
        <v/>
      </c>
      <c r="AM155" s="29">
        <f>IF(A155="","",((K155)*(IF(M155="",L155,IFERROR(IF(INDEX(Variablen!$I:$AT, MATCH(M155, Variablen!$A:$A, 0), MATCH((YEAR(D155)+20), Variablen!$I$3:$AT$3, 0))="",L155,INDEX(Variablen!$I:$AT, MATCH(M155, Variablen!$A:$A, 0), MATCH((YEAR(D155)+20), Variablen!$I$3:$AT$3, 0))),L155)))*(IF((YEAR(D155)+20)&lt;YEAR(E155),0,IF((YEAR(D155)+20)&gt;YEAR(E155),1,(12-MONTH(E155)+1)/12))) + (Q155)*(IF((YEAR(D155)+20)&lt;YEAR(E155),0,IF((YEAR(D155)+20)&gt;YEAR(E155),1,(12-MONTH(E155)+1)/12))))-((P155)*(IF((YEAR(D155)+20)&lt;YEAR(E155),0,IF((YEAR(D155)+20)&gt;YEAR(E155),1,(12-MONTH(E155)+1)/12))) + (R155)*(IF((YEAR(D155)+20)&lt;YEAR(E155),0,IF((YEAR(D155)+20)&gt;YEAR(E155),1,(12-MONTH(E155)+1)/12))))-(IF((((K155)*(IF(M155="",L155,IFERROR(IF(INDEX(Variablen!$I:$AT, MATCH(M155, Variablen!$A:$A, 0), MATCH((YEAR(D155)+20), Variablen!$I$3:$AT$3, 0))="",L155,INDEX(Variablen!$I:$AT, MATCH(M155, Variablen!$A:$A, 0), MATCH((YEAR(D155)+20), Variablen!$I$3:$AT$3, 0))),L155)))*(IF((YEAR(D155)+20)&lt;YEAR(E155),0,IF((YEAR(D155)+20)&gt;YEAR(E155),1,(12-MONTH(E155)+1)/12))) + (Q155)*(IF((YEAR(D155)+20)&lt;YEAR(E155),0,IF((YEAR(D155)+20)&gt;YEAR(E155),1,(12-MONTH(E155)+1)/12))))-((P155)*(IF((YEAR(D155)+20)&lt;YEAR(E155),0,IF((YEAR(D155)+20)&gt;YEAR(E155),1,(12-MONTH(E155)+1)/12))) + (R155)*(IF((YEAR(D155)+20)&lt;YEAR(E155),0,IF((YEAR(D155)+20)&gt;YEAR(E155),1,(12-MONTH(E155)+1)/12))))-(IF(OR(N155="",N155&lt;=0),0,(O155/N155)*(IF(OR(N155="",N155&lt;=0),0,IF((YEAR(D155)+20)&lt;YEAR(E155),0,IF((YEAR(D155)+20)&gt;=YEAR(E155)+N155,0,IF((YEAR(D155)+20)=YEAR(E155),(12-MONTH(E155)+1)/12,1))))))))&gt;0,(((K155)*(IF(M155="",L155,IFERROR(IF(INDEX(Variablen!$I:$AT, MATCH(M155, Variablen!$A:$A, 0), MATCH((YEAR(D155)+20), Variablen!$I$3:$AT$3, 0))="",L155,INDEX(Variablen!$I:$AT, MATCH(M155, Variablen!$A:$A, 0), MATCH((YEAR(D155)+20), Variablen!$I$3:$AT$3, 0))),L155)))*(IF((YEAR(D155)+20)&lt;YEAR(E155),0,IF((YEAR(D155)+20)&gt;YEAR(E155),1,(12-MONTH(E155)+1)/12))) + (Q155)*(IF((YEAR(D155)+20)&lt;YEAR(E155),0,IF((YEAR(D155)+20)&gt;YEAR(E155),1,(12-MONTH(E155)+1)/12))))-((P155)*(IF((YEAR(D155)+20)&lt;YEAR(E155),0,IF((YEAR(D155)+20)&gt;YEAR(E155),1,(12-MONTH(E155)+1)/12))) + (R155)*(IF((YEAR(D155)+20)&lt;YEAR(E155),0,IF((YEAR(D155)+20)&gt;YEAR(E155),1,(12-MONTH(E155)+1)/12))))-(IF(OR(N155="",N155&lt;=0),0,(O155/N155)*(IF(OR(N155="",N155&lt;=0),0,IF((YEAR(D155)+20)&lt;YEAR(E155),0,IF((YEAR(D155)+20)&gt;=YEAR(E155)+N155,0,IF((YEAR(D155)+20)=YEAR(E155),(12-MONTH(E155)+1)/12,1))))))))*TaxRate,0))-IF(20=0,O155,0))</f>
        <v/>
      </c>
      <c r="AN155" s="29">
        <f>IF(A155="","",S155)</f>
        <v/>
      </c>
      <c r="AO155" s="29">
        <f>IF(A155="","",AN155+T155)</f>
        <v/>
      </c>
      <c r="AP155" s="29">
        <f>IF(A155="","",AO155+U155)</f>
        <v/>
      </c>
      <c r="AQ155" s="29">
        <f>IF(A155="","",AP155+V155)</f>
        <v/>
      </c>
      <c r="AR155" s="29">
        <f>IF(A155="","",AQ155+W155)</f>
        <v/>
      </c>
      <c r="AS155" s="29">
        <f>IF(A155="","",AR155+X155)</f>
        <v/>
      </c>
      <c r="AT155" s="29">
        <f>IF(A155="","",AS155+Y155)</f>
        <v/>
      </c>
      <c r="AU155" s="29">
        <f>IF(A155="","",AT155+Z155)</f>
        <v/>
      </c>
      <c r="AV155" s="29">
        <f>IF(A155="","",AU155+AA155)</f>
        <v/>
      </c>
      <c r="AW155" s="29">
        <f>IF(A155="","",AV155+AB155)</f>
        <v/>
      </c>
      <c r="AX155" s="29">
        <f>IF(A155="","",AW155+AC155)</f>
        <v/>
      </c>
      <c r="AY155" s="29">
        <f>IF(A155="","",AX155+AD155)</f>
        <v/>
      </c>
      <c r="AZ155" s="29">
        <f>IF(A155="","",AY155+AE155)</f>
        <v/>
      </c>
      <c r="BA155" s="29">
        <f>IF(A155="","",AZ155+AF155)</f>
        <v/>
      </c>
      <c r="BB155" s="29">
        <f>IF(A155="","",BA155+AG155)</f>
        <v/>
      </c>
      <c r="BC155" s="29">
        <f>IF(A155="","",BB155+AH155)</f>
        <v/>
      </c>
      <c r="BD155" s="29">
        <f>IF(A155="","",BC155+AI155)</f>
        <v/>
      </c>
      <c r="BE155" s="29">
        <f>IF(A155="","",BD155+AJ155)</f>
        <v/>
      </c>
      <c r="BF155" s="29">
        <f>IF(A155="","",BE155+AK155)</f>
        <v/>
      </c>
      <c r="BG155" s="29">
        <f>IF(A155="","",BF155+AL155)</f>
        <v/>
      </c>
      <c r="BH155" s="29">
        <f>IF(A155="","",BG155+AM155)</f>
        <v/>
      </c>
      <c r="BI155" s="36">
        <f>IF(A155="","",(K155)*(IF((YEAR(D155)+0)&lt;YEAR(E155),0,IF((YEAR(D155)+0)&gt;YEAR(E155),1,(12-MONTH(E155)+1)/12)))*(1/(1+DiscountRate)^0))</f>
        <v/>
      </c>
      <c r="BJ155" s="36">
        <f>IF(A155="","",(K155)*(IF((YEAR(D155)+1)&lt;YEAR(E155),0,IF((YEAR(D155)+1)&gt;YEAR(E155),1,(12-MONTH(E155)+1)/12)))*(1/(1+DiscountRate)^1))</f>
        <v/>
      </c>
      <c r="BK155" s="36">
        <f>IF(A155="","",(K155)*(IF((YEAR(D155)+2)&lt;YEAR(E155),0,IF((YEAR(D155)+2)&gt;YEAR(E155),1,(12-MONTH(E155)+1)/12)))*(1/(1+DiscountRate)^2))</f>
        <v/>
      </c>
      <c r="BL155" s="36">
        <f>IF(A155="","",(K155)*(IF((YEAR(D155)+3)&lt;YEAR(E155),0,IF((YEAR(D155)+3)&gt;YEAR(E155),1,(12-MONTH(E155)+1)/12)))*(1/(1+DiscountRate)^3))</f>
        <v/>
      </c>
      <c r="BM155" s="36">
        <f>IF(A155="","",(K155)*(IF((YEAR(D155)+4)&lt;YEAR(E155),0,IF((YEAR(D155)+4)&gt;YEAR(E155),1,(12-MONTH(E155)+1)/12)))*(1/(1+DiscountRate)^4))</f>
        <v/>
      </c>
      <c r="BN155" s="36">
        <f>IF(A155="","",(K155)*(IF((YEAR(D155)+5)&lt;YEAR(E155),0,IF((YEAR(D155)+5)&gt;YEAR(E155),1,(12-MONTH(E155)+1)/12)))*(1/(1+DiscountRate)^5))</f>
        <v/>
      </c>
      <c r="BO155" s="36">
        <f>IF(A155="","",(K155)*(IF((YEAR(D155)+6)&lt;YEAR(E155),0,IF((YEAR(D155)+6)&gt;YEAR(E155),1,(12-MONTH(E155)+1)/12)))*(1/(1+DiscountRate)^6))</f>
        <v/>
      </c>
      <c r="BP155" s="36">
        <f>IF(A155="","",(K155)*(IF((YEAR(D155)+7)&lt;YEAR(E155),0,IF((YEAR(D155)+7)&gt;YEAR(E155),1,(12-MONTH(E155)+1)/12)))*(1/(1+DiscountRate)^7))</f>
        <v/>
      </c>
      <c r="BQ155" s="36">
        <f>IF(A155="","",(K155)*(IF((YEAR(D155)+8)&lt;YEAR(E155),0,IF((YEAR(D155)+8)&gt;YEAR(E155),1,(12-MONTH(E155)+1)/12)))*(1/(1+DiscountRate)^8))</f>
        <v/>
      </c>
      <c r="BR155" s="36">
        <f>IF(A155="","",(K155)*(IF((YEAR(D155)+9)&lt;YEAR(E155),0,IF((YEAR(D155)+9)&gt;YEAR(E155),1,(12-MONTH(E155)+1)/12)))*(1/(1+DiscountRate)^9))</f>
        <v/>
      </c>
      <c r="BS155" s="36">
        <f>IF(A155="","",(K155)*(IF((YEAR(D155)+10)&lt;YEAR(E155),0,IF((YEAR(D155)+10)&gt;YEAR(E155),1,(12-MONTH(E155)+1)/12)))*(1/(1+DiscountRate)^10))</f>
        <v/>
      </c>
      <c r="BT155" s="36">
        <f>IF(A155="","",(K155)*(IF((YEAR(D155)+11)&lt;YEAR(E155),0,IF((YEAR(D155)+11)&gt;YEAR(E155),1,(12-MONTH(E155)+1)/12)))*(1/(1+DiscountRate)^11))</f>
        <v/>
      </c>
      <c r="BU155" s="36">
        <f>IF(A155="","",(K155)*(IF((YEAR(D155)+12)&lt;YEAR(E155),0,IF((YEAR(D155)+12)&gt;YEAR(E155),1,(12-MONTH(E155)+1)/12)))*(1/(1+DiscountRate)^12))</f>
        <v/>
      </c>
      <c r="BV155" s="36">
        <f>IF(A155="","",(K155)*(IF((YEAR(D155)+13)&lt;YEAR(E155),0,IF((YEAR(D155)+13)&gt;YEAR(E155),1,(12-MONTH(E155)+1)/12)))*(1/(1+DiscountRate)^13))</f>
        <v/>
      </c>
      <c r="BW155" s="36">
        <f>IF(A155="","",(K155)*(IF((YEAR(D155)+14)&lt;YEAR(E155),0,IF((YEAR(D155)+14)&gt;YEAR(E155),1,(12-MONTH(E155)+1)/12)))*(1/(1+DiscountRate)^14))</f>
        <v/>
      </c>
      <c r="BX155" s="36">
        <f>IF(A155="","",(K155)*(IF((YEAR(D155)+15)&lt;YEAR(E155),0,IF((YEAR(D155)+15)&gt;YEAR(E155),1,(12-MONTH(E155)+1)/12)))*(1/(1+DiscountRate)^15))</f>
        <v/>
      </c>
      <c r="BY155" s="36">
        <f>IF(A155="","",(K155)*(IF((YEAR(D155)+16)&lt;YEAR(E155),0,IF((YEAR(D155)+16)&gt;YEAR(E155),1,(12-MONTH(E155)+1)/12)))*(1/(1+DiscountRate)^16))</f>
        <v/>
      </c>
      <c r="BZ155" s="36">
        <f>IF(A155="","",(K155)*(IF((YEAR(D155)+17)&lt;YEAR(E155),0,IF((YEAR(D155)+17)&gt;YEAR(E155),1,(12-MONTH(E155)+1)/12)))*(1/(1+DiscountRate)^17))</f>
        <v/>
      </c>
      <c r="CA155" s="36">
        <f>IF(A155="","",(K155)*(IF((YEAR(D155)+18)&lt;YEAR(E155),0,IF((YEAR(D155)+18)&gt;YEAR(E155),1,(12-MONTH(E155)+1)/12)))*(1/(1+DiscountRate)^18))</f>
        <v/>
      </c>
      <c r="CB155" s="36">
        <f>IF(A155="","",(K155)*(IF((YEAR(D155)+19)&lt;YEAR(E155),0,IF((YEAR(D155)+19)&gt;YEAR(E155),1,(12-MONTH(E155)+1)/12)))*(1/(1+DiscountRate)^19))</f>
        <v/>
      </c>
      <c r="CC155" s="36">
        <f>IF(A155="","",(K155)*(IF((YEAR(D155)+20)&lt;YEAR(E155),0,IF((YEAR(D155)+20)&gt;YEAR(E155),1,(12-MONTH(E155)+1)/12)))*(1/(1+DiscountRate)^20))</f>
        <v/>
      </c>
      <c r="CD155" s="29">
        <f>IF(A155="","",S155/(1+DiscountRate)^0+T155/(1+DiscountRate)^1+U155/(1+DiscountRate)^2+V155/(1+DiscountRate)^3+W155/(1+DiscountRate)^4+X155/(1+DiscountRate)^5+Y155/(1+DiscountRate)^6+Z155/(1+DiscountRate)^7+AA155/(1+DiscountRate)^8+AB155/(1+DiscountRate)^9+AC155/(1+DiscountRate)^10+AD155/(1+DiscountRate)^11+AE155/(1+DiscountRate)^12+AF155/(1+DiscountRate)^13+AG155/(1+DiscountRate)^14+AH155/(1+DiscountRate)^15+AI155/(1+DiscountRate)^16+AJ155/(1+DiscountRate)^17+AK155/(1+DiscountRate)^18+AL155/(1+DiscountRate)^19+AM155/(1+DiscountRate)^20)</f>
        <v/>
      </c>
      <c r="CE155" s="37">
        <f>IF(A155="","",IFERROR(IRR(OFFSET(S155,0,0,1,MIN(HorizonYears,20)+1)),"n/a"))</f>
        <v/>
      </c>
      <c r="CF155" s="28">
        <f>IF(A155="","",IFERROR(MATCH(TRUE,OFFSET(AN155,0,0,1,MIN(HorizonYears,20)+1)&gt;=0,0)-1,"n/a"))</f>
        <v/>
      </c>
      <c r="CG155" s="36">
        <f>IF(A155="","",SUM(OFFSET(BI155,0,0,1,MIN(HorizonYears,20)+1)))</f>
        <v/>
      </c>
      <c r="CH155" s="36">
        <f>IF(A155="","",IFERROR(-CD155/CG155,"n/a"))</f>
        <v/>
      </c>
    </row>
    <row r="156">
      <c r="A156" s="6">
        <f>Actions!A154</f>
        <v/>
      </c>
      <c r="B156" s="6">
        <f>Actions!B154</f>
        <v/>
      </c>
      <c r="C156" s="6">
        <f>Actions!D154</f>
        <v/>
      </c>
      <c r="D156" s="35">
        <f>Actions!E154</f>
        <v/>
      </c>
      <c r="E156" s="35">
        <f>Actions!F154</f>
        <v/>
      </c>
      <c r="F156" s="6">
        <f>Actions!G154</f>
        <v/>
      </c>
      <c r="G156" s="6">
        <f>Actions!H154</f>
        <v/>
      </c>
      <c r="H156" s="29">
        <f>Actions!I154</f>
        <v/>
      </c>
      <c r="I156" s="6">
        <f>Actions!J154</f>
        <v/>
      </c>
      <c r="J156" s="16">
        <f>Actions!K154</f>
        <v/>
      </c>
      <c r="K156" s="16">
        <f>IF(A156="","",IF(I156="%",H156*J156,J156))</f>
        <v/>
      </c>
      <c r="L156" s="16">
        <f>Actions!L154</f>
        <v/>
      </c>
      <c r="M156" s="6">
        <f>Actions!M154</f>
        <v/>
      </c>
      <c r="N156" s="28">
        <f>Actions!N154</f>
        <v/>
      </c>
      <c r="O156" s="29">
        <f>Actions!T154</f>
        <v/>
      </c>
      <c r="P156" s="29">
        <f>Actions!Y154</f>
        <v/>
      </c>
      <c r="Q156" s="29">
        <f>Actions!Z154</f>
        <v/>
      </c>
      <c r="R156" s="29">
        <f>Actions!AA154</f>
        <v/>
      </c>
      <c r="S156" s="29">
        <f>IF(A156="","",((K156)*(IF(M156="",L156,IFERROR(IF(INDEX(Variablen!$I:$AT, MATCH(M156, Variablen!$A:$A, 0), MATCH((YEAR(D156)+0), Variablen!$I$3:$AT$3, 0))="",L156,INDEX(Variablen!$I:$AT, MATCH(M156, Variablen!$A:$A, 0), MATCH((YEAR(D156)+0), Variablen!$I$3:$AT$3, 0))),L156)))*(IF((YEAR(D156)+0)&lt;YEAR(E156),0,IF((YEAR(D156)+0)&gt;YEAR(E156),1,(12-MONTH(E156)+1)/12))) + (Q156)*(IF((YEAR(D156)+0)&lt;YEAR(E156),0,IF((YEAR(D156)+0)&gt;YEAR(E156),1,(12-MONTH(E156)+1)/12))))-((P156)*(IF((YEAR(D156)+0)&lt;YEAR(E156),0,IF((YEAR(D156)+0)&gt;YEAR(E156),1,(12-MONTH(E156)+1)/12))) + (R156)*(IF((YEAR(D156)+0)&lt;YEAR(E156),0,IF((YEAR(D156)+0)&gt;YEAR(E156),1,(12-MONTH(E156)+1)/12))))-(IF((((K156)*(IF(M156="",L156,IFERROR(IF(INDEX(Variablen!$I:$AT, MATCH(M156, Variablen!$A:$A, 0), MATCH((YEAR(D156)+0), Variablen!$I$3:$AT$3, 0))="",L156,INDEX(Variablen!$I:$AT, MATCH(M156, Variablen!$A:$A, 0), MATCH((YEAR(D156)+0), Variablen!$I$3:$AT$3, 0))),L156)))*(IF((YEAR(D156)+0)&lt;YEAR(E156),0,IF((YEAR(D156)+0)&gt;YEAR(E156),1,(12-MONTH(E156)+1)/12))) + (Q156)*(IF((YEAR(D156)+0)&lt;YEAR(E156),0,IF((YEAR(D156)+0)&gt;YEAR(E156),1,(12-MONTH(E156)+1)/12))))-((P156)*(IF((YEAR(D156)+0)&lt;YEAR(E156),0,IF((YEAR(D156)+0)&gt;YEAR(E156),1,(12-MONTH(E156)+1)/12))) + (R156)*(IF((YEAR(D156)+0)&lt;YEAR(E156),0,IF((YEAR(D156)+0)&gt;YEAR(E156),1,(12-MONTH(E156)+1)/12))))-(IF(OR(N156="",N156&lt;=0),0,(O156/N156)*(IF(OR(N156="",N156&lt;=0),0,IF((YEAR(D156)+0)&lt;YEAR(E156),0,IF((YEAR(D156)+0)&gt;=YEAR(E156)+N156,0,IF((YEAR(D156)+0)=YEAR(E156),(12-MONTH(E156)+1)/12,1))))))))&gt;0,(((K156)*(IF(M156="",L156,IFERROR(IF(INDEX(Variablen!$I:$AT, MATCH(M156, Variablen!$A:$A, 0), MATCH((YEAR(D156)+0), Variablen!$I$3:$AT$3, 0))="",L156,INDEX(Variablen!$I:$AT, MATCH(M156, Variablen!$A:$A, 0), MATCH((YEAR(D156)+0), Variablen!$I$3:$AT$3, 0))),L156)))*(IF((YEAR(D156)+0)&lt;YEAR(E156),0,IF((YEAR(D156)+0)&gt;YEAR(E156),1,(12-MONTH(E156)+1)/12))) + (Q156)*(IF((YEAR(D156)+0)&lt;YEAR(E156),0,IF((YEAR(D156)+0)&gt;YEAR(E156),1,(12-MONTH(E156)+1)/12))))-((P156)*(IF((YEAR(D156)+0)&lt;YEAR(E156),0,IF((YEAR(D156)+0)&gt;YEAR(E156),1,(12-MONTH(E156)+1)/12))) + (R156)*(IF((YEAR(D156)+0)&lt;YEAR(E156),0,IF((YEAR(D156)+0)&gt;YEAR(E156),1,(12-MONTH(E156)+1)/12))))-(IF(OR(N156="",N156&lt;=0),0,(O156/N156)*(IF(OR(N156="",N156&lt;=0),0,IF((YEAR(D156)+0)&lt;YEAR(E156),0,IF((YEAR(D156)+0)&gt;=YEAR(E156)+N156,0,IF((YEAR(D156)+0)=YEAR(E156),(12-MONTH(E156)+1)/12,1))))))))*TaxRate,0))-IF(0=0,O156,0))</f>
        <v/>
      </c>
      <c r="T156" s="29">
        <f>IF(A156="","",((K156)*(IF(M156="",L156,IFERROR(IF(INDEX(Variablen!$I:$AT, MATCH(M156, Variablen!$A:$A, 0), MATCH((YEAR(D156)+1), Variablen!$I$3:$AT$3, 0))="",L156,INDEX(Variablen!$I:$AT, MATCH(M156, Variablen!$A:$A, 0), MATCH((YEAR(D156)+1), Variablen!$I$3:$AT$3, 0))),L156)))*(IF((YEAR(D156)+1)&lt;YEAR(E156),0,IF((YEAR(D156)+1)&gt;YEAR(E156),1,(12-MONTH(E156)+1)/12))) + (Q156)*(IF((YEAR(D156)+1)&lt;YEAR(E156),0,IF((YEAR(D156)+1)&gt;YEAR(E156),1,(12-MONTH(E156)+1)/12))))-((P156)*(IF((YEAR(D156)+1)&lt;YEAR(E156),0,IF((YEAR(D156)+1)&gt;YEAR(E156),1,(12-MONTH(E156)+1)/12))) + (R156)*(IF((YEAR(D156)+1)&lt;YEAR(E156),0,IF((YEAR(D156)+1)&gt;YEAR(E156),1,(12-MONTH(E156)+1)/12))))-(IF((((K156)*(IF(M156="",L156,IFERROR(IF(INDEX(Variablen!$I:$AT, MATCH(M156, Variablen!$A:$A, 0), MATCH((YEAR(D156)+1), Variablen!$I$3:$AT$3, 0))="",L156,INDEX(Variablen!$I:$AT, MATCH(M156, Variablen!$A:$A, 0), MATCH((YEAR(D156)+1), Variablen!$I$3:$AT$3, 0))),L156)))*(IF((YEAR(D156)+1)&lt;YEAR(E156),0,IF((YEAR(D156)+1)&gt;YEAR(E156),1,(12-MONTH(E156)+1)/12))) + (Q156)*(IF((YEAR(D156)+1)&lt;YEAR(E156),0,IF((YEAR(D156)+1)&gt;YEAR(E156),1,(12-MONTH(E156)+1)/12))))-((P156)*(IF((YEAR(D156)+1)&lt;YEAR(E156),0,IF((YEAR(D156)+1)&gt;YEAR(E156),1,(12-MONTH(E156)+1)/12))) + (R156)*(IF((YEAR(D156)+1)&lt;YEAR(E156),0,IF((YEAR(D156)+1)&gt;YEAR(E156),1,(12-MONTH(E156)+1)/12))))-(IF(OR(N156="",N156&lt;=0),0,(O156/N156)*(IF(OR(N156="",N156&lt;=0),0,IF((YEAR(D156)+1)&lt;YEAR(E156),0,IF((YEAR(D156)+1)&gt;=YEAR(E156)+N156,0,IF((YEAR(D156)+1)=YEAR(E156),(12-MONTH(E156)+1)/12,1))))))))&gt;0,(((K156)*(IF(M156="",L156,IFERROR(IF(INDEX(Variablen!$I:$AT, MATCH(M156, Variablen!$A:$A, 0), MATCH((YEAR(D156)+1), Variablen!$I$3:$AT$3, 0))="",L156,INDEX(Variablen!$I:$AT, MATCH(M156, Variablen!$A:$A, 0), MATCH((YEAR(D156)+1), Variablen!$I$3:$AT$3, 0))),L156)))*(IF((YEAR(D156)+1)&lt;YEAR(E156),0,IF((YEAR(D156)+1)&gt;YEAR(E156),1,(12-MONTH(E156)+1)/12))) + (Q156)*(IF((YEAR(D156)+1)&lt;YEAR(E156),0,IF((YEAR(D156)+1)&gt;YEAR(E156),1,(12-MONTH(E156)+1)/12))))-((P156)*(IF((YEAR(D156)+1)&lt;YEAR(E156),0,IF((YEAR(D156)+1)&gt;YEAR(E156),1,(12-MONTH(E156)+1)/12))) + (R156)*(IF((YEAR(D156)+1)&lt;YEAR(E156),0,IF((YEAR(D156)+1)&gt;YEAR(E156),1,(12-MONTH(E156)+1)/12))))-(IF(OR(N156="",N156&lt;=0),0,(O156/N156)*(IF(OR(N156="",N156&lt;=0),0,IF((YEAR(D156)+1)&lt;YEAR(E156),0,IF((YEAR(D156)+1)&gt;=YEAR(E156)+N156,0,IF((YEAR(D156)+1)=YEAR(E156),(12-MONTH(E156)+1)/12,1))))))))*TaxRate,0))-IF(1=0,O156,0))</f>
        <v/>
      </c>
      <c r="U156" s="29">
        <f>IF(A156="","",((K156)*(IF(M156="",L156,IFERROR(IF(INDEX(Variablen!$I:$AT, MATCH(M156, Variablen!$A:$A, 0), MATCH((YEAR(D156)+2), Variablen!$I$3:$AT$3, 0))="",L156,INDEX(Variablen!$I:$AT, MATCH(M156, Variablen!$A:$A, 0), MATCH((YEAR(D156)+2), Variablen!$I$3:$AT$3, 0))),L156)))*(IF((YEAR(D156)+2)&lt;YEAR(E156),0,IF((YEAR(D156)+2)&gt;YEAR(E156),1,(12-MONTH(E156)+1)/12))) + (Q156)*(IF((YEAR(D156)+2)&lt;YEAR(E156),0,IF((YEAR(D156)+2)&gt;YEAR(E156),1,(12-MONTH(E156)+1)/12))))-((P156)*(IF((YEAR(D156)+2)&lt;YEAR(E156),0,IF((YEAR(D156)+2)&gt;YEAR(E156),1,(12-MONTH(E156)+1)/12))) + (R156)*(IF((YEAR(D156)+2)&lt;YEAR(E156),0,IF((YEAR(D156)+2)&gt;YEAR(E156),1,(12-MONTH(E156)+1)/12))))-(IF((((K156)*(IF(M156="",L156,IFERROR(IF(INDEX(Variablen!$I:$AT, MATCH(M156, Variablen!$A:$A, 0), MATCH((YEAR(D156)+2), Variablen!$I$3:$AT$3, 0))="",L156,INDEX(Variablen!$I:$AT, MATCH(M156, Variablen!$A:$A, 0), MATCH((YEAR(D156)+2), Variablen!$I$3:$AT$3, 0))),L156)))*(IF((YEAR(D156)+2)&lt;YEAR(E156),0,IF((YEAR(D156)+2)&gt;YEAR(E156),1,(12-MONTH(E156)+1)/12))) + (Q156)*(IF((YEAR(D156)+2)&lt;YEAR(E156),0,IF((YEAR(D156)+2)&gt;YEAR(E156),1,(12-MONTH(E156)+1)/12))))-((P156)*(IF((YEAR(D156)+2)&lt;YEAR(E156),0,IF((YEAR(D156)+2)&gt;YEAR(E156),1,(12-MONTH(E156)+1)/12))) + (R156)*(IF((YEAR(D156)+2)&lt;YEAR(E156),0,IF((YEAR(D156)+2)&gt;YEAR(E156),1,(12-MONTH(E156)+1)/12))))-(IF(OR(N156="",N156&lt;=0),0,(O156/N156)*(IF(OR(N156="",N156&lt;=0),0,IF((YEAR(D156)+2)&lt;YEAR(E156),0,IF((YEAR(D156)+2)&gt;=YEAR(E156)+N156,0,IF((YEAR(D156)+2)=YEAR(E156),(12-MONTH(E156)+1)/12,1))))))))&gt;0,(((K156)*(IF(M156="",L156,IFERROR(IF(INDEX(Variablen!$I:$AT, MATCH(M156, Variablen!$A:$A, 0), MATCH((YEAR(D156)+2), Variablen!$I$3:$AT$3, 0))="",L156,INDEX(Variablen!$I:$AT, MATCH(M156, Variablen!$A:$A, 0), MATCH((YEAR(D156)+2), Variablen!$I$3:$AT$3, 0))),L156)))*(IF((YEAR(D156)+2)&lt;YEAR(E156),0,IF((YEAR(D156)+2)&gt;YEAR(E156),1,(12-MONTH(E156)+1)/12))) + (Q156)*(IF((YEAR(D156)+2)&lt;YEAR(E156),0,IF((YEAR(D156)+2)&gt;YEAR(E156),1,(12-MONTH(E156)+1)/12))))-((P156)*(IF((YEAR(D156)+2)&lt;YEAR(E156),0,IF((YEAR(D156)+2)&gt;YEAR(E156),1,(12-MONTH(E156)+1)/12))) + (R156)*(IF((YEAR(D156)+2)&lt;YEAR(E156),0,IF((YEAR(D156)+2)&gt;YEAR(E156),1,(12-MONTH(E156)+1)/12))))-(IF(OR(N156="",N156&lt;=0),0,(O156/N156)*(IF(OR(N156="",N156&lt;=0),0,IF((YEAR(D156)+2)&lt;YEAR(E156),0,IF((YEAR(D156)+2)&gt;=YEAR(E156)+N156,0,IF((YEAR(D156)+2)=YEAR(E156),(12-MONTH(E156)+1)/12,1))))))))*TaxRate,0))-IF(2=0,O156,0))</f>
        <v/>
      </c>
      <c r="V156" s="29">
        <f>IF(A156="","",((K156)*(IF(M156="",L156,IFERROR(IF(INDEX(Variablen!$I:$AT, MATCH(M156, Variablen!$A:$A, 0), MATCH((YEAR(D156)+3), Variablen!$I$3:$AT$3, 0))="",L156,INDEX(Variablen!$I:$AT, MATCH(M156, Variablen!$A:$A, 0), MATCH((YEAR(D156)+3), Variablen!$I$3:$AT$3, 0))),L156)))*(IF((YEAR(D156)+3)&lt;YEAR(E156),0,IF((YEAR(D156)+3)&gt;YEAR(E156),1,(12-MONTH(E156)+1)/12))) + (Q156)*(IF((YEAR(D156)+3)&lt;YEAR(E156),0,IF((YEAR(D156)+3)&gt;YEAR(E156),1,(12-MONTH(E156)+1)/12))))-((P156)*(IF((YEAR(D156)+3)&lt;YEAR(E156),0,IF((YEAR(D156)+3)&gt;YEAR(E156),1,(12-MONTH(E156)+1)/12))) + (R156)*(IF((YEAR(D156)+3)&lt;YEAR(E156),0,IF((YEAR(D156)+3)&gt;YEAR(E156),1,(12-MONTH(E156)+1)/12))))-(IF((((K156)*(IF(M156="",L156,IFERROR(IF(INDEX(Variablen!$I:$AT, MATCH(M156, Variablen!$A:$A, 0), MATCH((YEAR(D156)+3), Variablen!$I$3:$AT$3, 0))="",L156,INDEX(Variablen!$I:$AT, MATCH(M156, Variablen!$A:$A, 0), MATCH((YEAR(D156)+3), Variablen!$I$3:$AT$3, 0))),L156)))*(IF((YEAR(D156)+3)&lt;YEAR(E156),0,IF((YEAR(D156)+3)&gt;YEAR(E156),1,(12-MONTH(E156)+1)/12))) + (Q156)*(IF((YEAR(D156)+3)&lt;YEAR(E156),0,IF((YEAR(D156)+3)&gt;YEAR(E156),1,(12-MONTH(E156)+1)/12))))-((P156)*(IF((YEAR(D156)+3)&lt;YEAR(E156),0,IF((YEAR(D156)+3)&gt;YEAR(E156),1,(12-MONTH(E156)+1)/12))) + (R156)*(IF((YEAR(D156)+3)&lt;YEAR(E156),0,IF((YEAR(D156)+3)&gt;YEAR(E156),1,(12-MONTH(E156)+1)/12))))-(IF(OR(N156="",N156&lt;=0),0,(O156/N156)*(IF(OR(N156="",N156&lt;=0),0,IF((YEAR(D156)+3)&lt;YEAR(E156),0,IF((YEAR(D156)+3)&gt;=YEAR(E156)+N156,0,IF((YEAR(D156)+3)=YEAR(E156),(12-MONTH(E156)+1)/12,1))))))))&gt;0,(((K156)*(IF(M156="",L156,IFERROR(IF(INDEX(Variablen!$I:$AT, MATCH(M156, Variablen!$A:$A, 0), MATCH((YEAR(D156)+3), Variablen!$I$3:$AT$3, 0))="",L156,INDEX(Variablen!$I:$AT, MATCH(M156, Variablen!$A:$A, 0), MATCH((YEAR(D156)+3), Variablen!$I$3:$AT$3, 0))),L156)))*(IF((YEAR(D156)+3)&lt;YEAR(E156),0,IF((YEAR(D156)+3)&gt;YEAR(E156),1,(12-MONTH(E156)+1)/12))) + (Q156)*(IF((YEAR(D156)+3)&lt;YEAR(E156),0,IF((YEAR(D156)+3)&gt;YEAR(E156),1,(12-MONTH(E156)+1)/12))))-((P156)*(IF((YEAR(D156)+3)&lt;YEAR(E156),0,IF((YEAR(D156)+3)&gt;YEAR(E156),1,(12-MONTH(E156)+1)/12))) + (R156)*(IF((YEAR(D156)+3)&lt;YEAR(E156),0,IF((YEAR(D156)+3)&gt;YEAR(E156),1,(12-MONTH(E156)+1)/12))))-(IF(OR(N156="",N156&lt;=0),0,(O156/N156)*(IF(OR(N156="",N156&lt;=0),0,IF((YEAR(D156)+3)&lt;YEAR(E156),0,IF((YEAR(D156)+3)&gt;=YEAR(E156)+N156,0,IF((YEAR(D156)+3)=YEAR(E156),(12-MONTH(E156)+1)/12,1))))))))*TaxRate,0))-IF(3=0,O156,0))</f>
        <v/>
      </c>
      <c r="W156" s="29">
        <f>IF(A156="","",((K156)*(IF(M156="",L156,IFERROR(IF(INDEX(Variablen!$I:$AT, MATCH(M156, Variablen!$A:$A, 0), MATCH((YEAR(D156)+4), Variablen!$I$3:$AT$3, 0))="",L156,INDEX(Variablen!$I:$AT, MATCH(M156, Variablen!$A:$A, 0), MATCH((YEAR(D156)+4), Variablen!$I$3:$AT$3, 0))),L156)))*(IF((YEAR(D156)+4)&lt;YEAR(E156),0,IF((YEAR(D156)+4)&gt;YEAR(E156),1,(12-MONTH(E156)+1)/12))) + (Q156)*(IF((YEAR(D156)+4)&lt;YEAR(E156),0,IF((YEAR(D156)+4)&gt;YEAR(E156),1,(12-MONTH(E156)+1)/12))))-((P156)*(IF((YEAR(D156)+4)&lt;YEAR(E156),0,IF((YEAR(D156)+4)&gt;YEAR(E156),1,(12-MONTH(E156)+1)/12))) + (R156)*(IF((YEAR(D156)+4)&lt;YEAR(E156),0,IF((YEAR(D156)+4)&gt;YEAR(E156),1,(12-MONTH(E156)+1)/12))))-(IF((((K156)*(IF(M156="",L156,IFERROR(IF(INDEX(Variablen!$I:$AT, MATCH(M156, Variablen!$A:$A, 0), MATCH((YEAR(D156)+4), Variablen!$I$3:$AT$3, 0))="",L156,INDEX(Variablen!$I:$AT, MATCH(M156, Variablen!$A:$A, 0), MATCH((YEAR(D156)+4), Variablen!$I$3:$AT$3, 0))),L156)))*(IF((YEAR(D156)+4)&lt;YEAR(E156),0,IF((YEAR(D156)+4)&gt;YEAR(E156),1,(12-MONTH(E156)+1)/12))) + (Q156)*(IF((YEAR(D156)+4)&lt;YEAR(E156),0,IF((YEAR(D156)+4)&gt;YEAR(E156),1,(12-MONTH(E156)+1)/12))))-((P156)*(IF((YEAR(D156)+4)&lt;YEAR(E156),0,IF((YEAR(D156)+4)&gt;YEAR(E156),1,(12-MONTH(E156)+1)/12))) + (R156)*(IF((YEAR(D156)+4)&lt;YEAR(E156),0,IF((YEAR(D156)+4)&gt;YEAR(E156),1,(12-MONTH(E156)+1)/12))))-(IF(OR(N156="",N156&lt;=0),0,(O156/N156)*(IF(OR(N156="",N156&lt;=0),0,IF((YEAR(D156)+4)&lt;YEAR(E156),0,IF((YEAR(D156)+4)&gt;=YEAR(E156)+N156,0,IF((YEAR(D156)+4)=YEAR(E156),(12-MONTH(E156)+1)/12,1))))))))&gt;0,(((K156)*(IF(M156="",L156,IFERROR(IF(INDEX(Variablen!$I:$AT, MATCH(M156, Variablen!$A:$A, 0), MATCH((YEAR(D156)+4), Variablen!$I$3:$AT$3, 0))="",L156,INDEX(Variablen!$I:$AT, MATCH(M156, Variablen!$A:$A, 0), MATCH((YEAR(D156)+4), Variablen!$I$3:$AT$3, 0))),L156)))*(IF((YEAR(D156)+4)&lt;YEAR(E156),0,IF((YEAR(D156)+4)&gt;YEAR(E156),1,(12-MONTH(E156)+1)/12))) + (Q156)*(IF((YEAR(D156)+4)&lt;YEAR(E156),0,IF((YEAR(D156)+4)&gt;YEAR(E156),1,(12-MONTH(E156)+1)/12))))-((P156)*(IF((YEAR(D156)+4)&lt;YEAR(E156),0,IF((YEAR(D156)+4)&gt;YEAR(E156),1,(12-MONTH(E156)+1)/12))) + (R156)*(IF((YEAR(D156)+4)&lt;YEAR(E156),0,IF((YEAR(D156)+4)&gt;YEAR(E156),1,(12-MONTH(E156)+1)/12))))-(IF(OR(N156="",N156&lt;=0),0,(O156/N156)*(IF(OR(N156="",N156&lt;=0),0,IF((YEAR(D156)+4)&lt;YEAR(E156),0,IF((YEAR(D156)+4)&gt;=YEAR(E156)+N156,0,IF((YEAR(D156)+4)=YEAR(E156),(12-MONTH(E156)+1)/12,1))))))))*TaxRate,0))-IF(4=0,O156,0))</f>
        <v/>
      </c>
      <c r="X156" s="29">
        <f>IF(A156="","",((K156)*(IF(M156="",L156,IFERROR(IF(INDEX(Variablen!$I:$AT, MATCH(M156, Variablen!$A:$A, 0), MATCH((YEAR(D156)+5), Variablen!$I$3:$AT$3, 0))="",L156,INDEX(Variablen!$I:$AT, MATCH(M156, Variablen!$A:$A, 0), MATCH((YEAR(D156)+5), Variablen!$I$3:$AT$3, 0))),L156)))*(IF((YEAR(D156)+5)&lt;YEAR(E156),0,IF((YEAR(D156)+5)&gt;YEAR(E156),1,(12-MONTH(E156)+1)/12))) + (Q156)*(IF((YEAR(D156)+5)&lt;YEAR(E156),0,IF((YEAR(D156)+5)&gt;YEAR(E156),1,(12-MONTH(E156)+1)/12))))-((P156)*(IF((YEAR(D156)+5)&lt;YEAR(E156),0,IF((YEAR(D156)+5)&gt;YEAR(E156),1,(12-MONTH(E156)+1)/12))) + (R156)*(IF((YEAR(D156)+5)&lt;YEAR(E156),0,IF((YEAR(D156)+5)&gt;YEAR(E156),1,(12-MONTH(E156)+1)/12))))-(IF((((K156)*(IF(M156="",L156,IFERROR(IF(INDEX(Variablen!$I:$AT, MATCH(M156, Variablen!$A:$A, 0), MATCH((YEAR(D156)+5), Variablen!$I$3:$AT$3, 0))="",L156,INDEX(Variablen!$I:$AT, MATCH(M156, Variablen!$A:$A, 0), MATCH((YEAR(D156)+5), Variablen!$I$3:$AT$3, 0))),L156)))*(IF((YEAR(D156)+5)&lt;YEAR(E156),0,IF((YEAR(D156)+5)&gt;YEAR(E156),1,(12-MONTH(E156)+1)/12))) + (Q156)*(IF((YEAR(D156)+5)&lt;YEAR(E156),0,IF((YEAR(D156)+5)&gt;YEAR(E156),1,(12-MONTH(E156)+1)/12))))-((P156)*(IF((YEAR(D156)+5)&lt;YEAR(E156),0,IF((YEAR(D156)+5)&gt;YEAR(E156),1,(12-MONTH(E156)+1)/12))) + (R156)*(IF((YEAR(D156)+5)&lt;YEAR(E156),0,IF((YEAR(D156)+5)&gt;YEAR(E156),1,(12-MONTH(E156)+1)/12))))-(IF(OR(N156="",N156&lt;=0),0,(O156/N156)*(IF(OR(N156="",N156&lt;=0),0,IF((YEAR(D156)+5)&lt;YEAR(E156),0,IF((YEAR(D156)+5)&gt;=YEAR(E156)+N156,0,IF((YEAR(D156)+5)=YEAR(E156),(12-MONTH(E156)+1)/12,1))))))))&gt;0,(((K156)*(IF(M156="",L156,IFERROR(IF(INDEX(Variablen!$I:$AT, MATCH(M156, Variablen!$A:$A, 0), MATCH((YEAR(D156)+5), Variablen!$I$3:$AT$3, 0))="",L156,INDEX(Variablen!$I:$AT, MATCH(M156, Variablen!$A:$A, 0), MATCH((YEAR(D156)+5), Variablen!$I$3:$AT$3, 0))),L156)))*(IF((YEAR(D156)+5)&lt;YEAR(E156),0,IF((YEAR(D156)+5)&gt;YEAR(E156),1,(12-MONTH(E156)+1)/12))) + (Q156)*(IF((YEAR(D156)+5)&lt;YEAR(E156),0,IF((YEAR(D156)+5)&gt;YEAR(E156),1,(12-MONTH(E156)+1)/12))))-((P156)*(IF((YEAR(D156)+5)&lt;YEAR(E156),0,IF((YEAR(D156)+5)&gt;YEAR(E156),1,(12-MONTH(E156)+1)/12))) + (R156)*(IF((YEAR(D156)+5)&lt;YEAR(E156),0,IF((YEAR(D156)+5)&gt;YEAR(E156),1,(12-MONTH(E156)+1)/12))))-(IF(OR(N156="",N156&lt;=0),0,(O156/N156)*(IF(OR(N156="",N156&lt;=0),0,IF((YEAR(D156)+5)&lt;YEAR(E156),0,IF((YEAR(D156)+5)&gt;=YEAR(E156)+N156,0,IF((YEAR(D156)+5)=YEAR(E156),(12-MONTH(E156)+1)/12,1))))))))*TaxRate,0))-IF(5=0,O156,0))</f>
        <v/>
      </c>
      <c r="Y156" s="29">
        <f>IF(A156="","",((K156)*(IF(M156="",L156,IFERROR(IF(INDEX(Variablen!$I:$AT, MATCH(M156, Variablen!$A:$A, 0), MATCH((YEAR(D156)+6), Variablen!$I$3:$AT$3, 0))="",L156,INDEX(Variablen!$I:$AT, MATCH(M156, Variablen!$A:$A, 0), MATCH((YEAR(D156)+6), Variablen!$I$3:$AT$3, 0))),L156)))*(IF((YEAR(D156)+6)&lt;YEAR(E156),0,IF((YEAR(D156)+6)&gt;YEAR(E156),1,(12-MONTH(E156)+1)/12))) + (Q156)*(IF((YEAR(D156)+6)&lt;YEAR(E156),0,IF((YEAR(D156)+6)&gt;YEAR(E156),1,(12-MONTH(E156)+1)/12))))-((P156)*(IF((YEAR(D156)+6)&lt;YEAR(E156),0,IF((YEAR(D156)+6)&gt;YEAR(E156),1,(12-MONTH(E156)+1)/12))) + (R156)*(IF((YEAR(D156)+6)&lt;YEAR(E156),0,IF((YEAR(D156)+6)&gt;YEAR(E156),1,(12-MONTH(E156)+1)/12))))-(IF((((K156)*(IF(M156="",L156,IFERROR(IF(INDEX(Variablen!$I:$AT, MATCH(M156, Variablen!$A:$A, 0), MATCH((YEAR(D156)+6), Variablen!$I$3:$AT$3, 0))="",L156,INDEX(Variablen!$I:$AT, MATCH(M156, Variablen!$A:$A, 0), MATCH((YEAR(D156)+6), Variablen!$I$3:$AT$3, 0))),L156)))*(IF((YEAR(D156)+6)&lt;YEAR(E156),0,IF((YEAR(D156)+6)&gt;YEAR(E156),1,(12-MONTH(E156)+1)/12))) + (Q156)*(IF((YEAR(D156)+6)&lt;YEAR(E156),0,IF((YEAR(D156)+6)&gt;YEAR(E156),1,(12-MONTH(E156)+1)/12))))-((P156)*(IF((YEAR(D156)+6)&lt;YEAR(E156),0,IF((YEAR(D156)+6)&gt;YEAR(E156),1,(12-MONTH(E156)+1)/12))) + (R156)*(IF((YEAR(D156)+6)&lt;YEAR(E156),0,IF((YEAR(D156)+6)&gt;YEAR(E156),1,(12-MONTH(E156)+1)/12))))-(IF(OR(N156="",N156&lt;=0),0,(O156/N156)*(IF(OR(N156="",N156&lt;=0),0,IF((YEAR(D156)+6)&lt;YEAR(E156),0,IF((YEAR(D156)+6)&gt;=YEAR(E156)+N156,0,IF((YEAR(D156)+6)=YEAR(E156),(12-MONTH(E156)+1)/12,1))))))))&gt;0,(((K156)*(IF(M156="",L156,IFERROR(IF(INDEX(Variablen!$I:$AT, MATCH(M156, Variablen!$A:$A, 0), MATCH((YEAR(D156)+6), Variablen!$I$3:$AT$3, 0))="",L156,INDEX(Variablen!$I:$AT, MATCH(M156, Variablen!$A:$A, 0), MATCH((YEAR(D156)+6), Variablen!$I$3:$AT$3, 0))),L156)))*(IF((YEAR(D156)+6)&lt;YEAR(E156),0,IF((YEAR(D156)+6)&gt;YEAR(E156),1,(12-MONTH(E156)+1)/12))) + (Q156)*(IF((YEAR(D156)+6)&lt;YEAR(E156),0,IF((YEAR(D156)+6)&gt;YEAR(E156),1,(12-MONTH(E156)+1)/12))))-((P156)*(IF((YEAR(D156)+6)&lt;YEAR(E156),0,IF((YEAR(D156)+6)&gt;YEAR(E156),1,(12-MONTH(E156)+1)/12))) + (R156)*(IF((YEAR(D156)+6)&lt;YEAR(E156),0,IF((YEAR(D156)+6)&gt;YEAR(E156),1,(12-MONTH(E156)+1)/12))))-(IF(OR(N156="",N156&lt;=0),0,(O156/N156)*(IF(OR(N156="",N156&lt;=0),0,IF((YEAR(D156)+6)&lt;YEAR(E156),0,IF((YEAR(D156)+6)&gt;=YEAR(E156)+N156,0,IF((YEAR(D156)+6)=YEAR(E156),(12-MONTH(E156)+1)/12,1))))))))*TaxRate,0))-IF(6=0,O156,0))</f>
        <v/>
      </c>
      <c r="Z156" s="29">
        <f>IF(A156="","",((K156)*(IF(M156="",L156,IFERROR(IF(INDEX(Variablen!$I:$AT, MATCH(M156, Variablen!$A:$A, 0), MATCH((YEAR(D156)+7), Variablen!$I$3:$AT$3, 0))="",L156,INDEX(Variablen!$I:$AT, MATCH(M156, Variablen!$A:$A, 0), MATCH((YEAR(D156)+7), Variablen!$I$3:$AT$3, 0))),L156)))*(IF((YEAR(D156)+7)&lt;YEAR(E156),0,IF((YEAR(D156)+7)&gt;YEAR(E156),1,(12-MONTH(E156)+1)/12))) + (Q156)*(IF((YEAR(D156)+7)&lt;YEAR(E156),0,IF((YEAR(D156)+7)&gt;YEAR(E156),1,(12-MONTH(E156)+1)/12))))-((P156)*(IF((YEAR(D156)+7)&lt;YEAR(E156),0,IF((YEAR(D156)+7)&gt;YEAR(E156),1,(12-MONTH(E156)+1)/12))) + (R156)*(IF((YEAR(D156)+7)&lt;YEAR(E156),0,IF((YEAR(D156)+7)&gt;YEAR(E156),1,(12-MONTH(E156)+1)/12))))-(IF((((K156)*(IF(M156="",L156,IFERROR(IF(INDEX(Variablen!$I:$AT, MATCH(M156, Variablen!$A:$A, 0), MATCH((YEAR(D156)+7), Variablen!$I$3:$AT$3, 0))="",L156,INDEX(Variablen!$I:$AT, MATCH(M156, Variablen!$A:$A, 0), MATCH((YEAR(D156)+7), Variablen!$I$3:$AT$3, 0))),L156)))*(IF((YEAR(D156)+7)&lt;YEAR(E156),0,IF((YEAR(D156)+7)&gt;YEAR(E156),1,(12-MONTH(E156)+1)/12))) + (Q156)*(IF((YEAR(D156)+7)&lt;YEAR(E156),0,IF((YEAR(D156)+7)&gt;YEAR(E156),1,(12-MONTH(E156)+1)/12))))-((P156)*(IF((YEAR(D156)+7)&lt;YEAR(E156),0,IF((YEAR(D156)+7)&gt;YEAR(E156),1,(12-MONTH(E156)+1)/12))) + (R156)*(IF((YEAR(D156)+7)&lt;YEAR(E156),0,IF((YEAR(D156)+7)&gt;YEAR(E156),1,(12-MONTH(E156)+1)/12))))-(IF(OR(N156="",N156&lt;=0),0,(O156/N156)*(IF(OR(N156="",N156&lt;=0),0,IF((YEAR(D156)+7)&lt;YEAR(E156),0,IF((YEAR(D156)+7)&gt;=YEAR(E156)+N156,0,IF((YEAR(D156)+7)=YEAR(E156),(12-MONTH(E156)+1)/12,1))))))))&gt;0,(((K156)*(IF(M156="",L156,IFERROR(IF(INDEX(Variablen!$I:$AT, MATCH(M156, Variablen!$A:$A, 0), MATCH((YEAR(D156)+7), Variablen!$I$3:$AT$3, 0))="",L156,INDEX(Variablen!$I:$AT, MATCH(M156, Variablen!$A:$A, 0), MATCH((YEAR(D156)+7), Variablen!$I$3:$AT$3, 0))),L156)))*(IF((YEAR(D156)+7)&lt;YEAR(E156),0,IF((YEAR(D156)+7)&gt;YEAR(E156),1,(12-MONTH(E156)+1)/12))) + (Q156)*(IF((YEAR(D156)+7)&lt;YEAR(E156),0,IF((YEAR(D156)+7)&gt;YEAR(E156),1,(12-MONTH(E156)+1)/12))))-((P156)*(IF((YEAR(D156)+7)&lt;YEAR(E156),0,IF((YEAR(D156)+7)&gt;YEAR(E156),1,(12-MONTH(E156)+1)/12))) + (R156)*(IF((YEAR(D156)+7)&lt;YEAR(E156),0,IF((YEAR(D156)+7)&gt;YEAR(E156),1,(12-MONTH(E156)+1)/12))))-(IF(OR(N156="",N156&lt;=0),0,(O156/N156)*(IF(OR(N156="",N156&lt;=0),0,IF((YEAR(D156)+7)&lt;YEAR(E156),0,IF((YEAR(D156)+7)&gt;=YEAR(E156)+N156,0,IF((YEAR(D156)+7)=YEAR(E156),(12-MONTH(E156)+1)/12,1))))))))*TaxRate,0))-IF(7=0,O156,0))</f>
        <v/>
      </c>
      <c r="AA156" s="29">
        <f>IF(A156="","",((K156)*(IF(M156="",L156,IFERROR(IF(INDEX(Variablen!$I:$AT, MATCH(M156, Variablen!$A:$A, 0), MATCH((YEAR(D156)+8), Variablen!$I$3:$AT$3, 0))="",L156,INDEX(Variablen!$I:$AT, MATCH(M156, Variablen!$A:$A, 0), MATCH((YEAR(D156)+8), Variablen!$I$3:$AT$3, 0))),L156)))*(IF((YEAR(D156)+8)&lt;YEAR(E156),0,IF((YEAR(D156)+8)&gt;YEAR(E156),1,(12-MONTH(E156)+1)/12))) + (Q156)*(IF((YEAR(D156)+8)&lt;YEAR(E156),0,IF((YEAR(D156)+8)&gt;YEAR(E156),1,(12-MONTH(E156)+1)/12))))-((P156)*(IF((YEAR(D156)+8)&lt;YEAR(E156),0,IF((YEAR(D156)+8)&gt;YEAR(E156),1,(12-MONTH(E156)+1)/12))) + (R156)*(IF((YEAR(D156)+8)&lt;YEAR(E156),0,IF((YEAR(D156)+8)&gt;YEAR(E156),1,(12-MONTH(E156)+1)/12))))-(IF((((K156)*(IF(M156="",L156,IFERROR(IF(INDEX(Variablen!$I:$AT, MATCH(M156, Variablen!$A:$A, 0), MATCH((YEAR(D156)+8), Variablen!$I$3:$AT$3, 0))="",L156,INDEX(Variablen!$I:$AT, MATCH(M156, Variablen!$A:$A, 0), MATCH((YEAR(D156)+8), Variablen!$I$3:$AT$3, 0))),L156)))*(IF((YEAR(D156)+8)&lt;YEAR(E156),0,IF((YEAR(D156)+8)&gt;YEAR(E156),1,(12-MONTH(E156)+1)/12))) + (Q156)*(IF((YEAR(D156)+8)&lt;YEAR(E156),0,IF((YEAR(D156)+8)&gt;YEAR(E156),1,(12-MONTH(E156)+1)/12))))-((P156)*(IF((YEAR(D156)+8)&lt;YEAR(E156),0,IF((YEAR(D156)+8)&gt;YEAR(E156),1,(12-MONTH(E156)+1)/12))) + (R156)*(IF((YEAR(D156)+8)&lt;YEAR(E156),0,IF((YEAR(D156)+8)&gt;YEAR(E156),1,(12-MONTH(E156)+1)/12))))-(IF(OR(N156="",N156&lt;=0),0,(O156/N156)*(IF(OR(N156="",N156&lt;=0),0,IF((YEAR(D156)+8)&lt;YEAR(E156),0,IF((YEAR(D156)+8)&gt;=YEAR(E156)+N156,0,IF((YEAR(D156)+8)=YEAR(E156),(12-MONTH(E156)+1)/12,1))))))))&gt;0,(((K156)*(IF(M156="",L156,IFERROR(IF(INDEX(Variablen!$I:$AT, MATCH(M156, Variablen!$A:$A, 0), MATCH((YEAR(D156)+8), Variablen!$I$3:$AT$3, 0))="",L156,INDEX(Variablen!$I:$AT, MATCH(M156, Variablen!$A:$A, 0), MATCH((YEAR(D156)+8), Variablen!$I$3:$AT$3, 0))),L156)))*(IF((YEAR(D156)+8)&lt;YEAR(E156),0,IF((YEAR(D156)+8)&gt;YEAR(E156),1,(12-MONTH(E156)+1)/12))) + (Q156)*(IF((YEAR(D156)+8)&lt;YEAR(E156),0,IF((YEAR(D156)+8)&gt;YEAR(E156),1,(12-MONTH(E156)+1)/12))))-((P156)*(IF((YEAR(D156)+8)&lt;YEAR(E156),0,IF((YEAR(D156)+8)&gt;YEAR(E156),1,(12-MONTH(E156)+1)/12))) + (R156)*(IF((YEAR(D156)+8)&lt;YEAR(E156),0,IF((YEAR(D156)+8)&gt;YEAR(E156),1,(12-MONTH(E156)+1)/12))))-(IF(OR(N156="",N156&lt;=0),0,(O156/N156)*(IF(OR(N156="",N156&lt;=0),0,IF((YEAR(D156)+8)&lt;YEAR(E156),0,IF((YEAR(D156)+8)&gt;=YEAR(E156)+N156,0,IF((YEAR(D156)+8)=YEAR(E156),(12-MONTH(E156)+1)/12,1))))))))*TaxRate,0))-IF(8=0,O156,0))</f>
        <v/>
      </c>
      <c r="AB156" s="29">
        <f>IF(A156="","",((K156)*(IF(M156="",L156,IFERROR(IF(INDEX(Variablen!$I:$AT, MATCH(M156, Variablen!$A:$A, 0), MATCH((YEAR(D156)+9), Variablen!$I$3:$AT$3, 0))="",L156,INDEX(Variablen!$I:$AT, MATCH(M156, Variablen!$A:$A, 0), MATCH((YEAR(D156)+9), Variablen!$I$3:$AT$3, 0))),L156)))*(IF((YEAR(D156)+9)&lt;YEAR(E156),0,IF((YEAR(D156)+9)&gt;YEAR(E156),1,(12-MONTH(E156)+1)/12))) + (Q156)*(IF((YEAR(D156)+9)&lt;YEAR(E156),0,IF((YEAR(D156)+9)&gt;YEAR(E156),1,(12-MONTH(E156)+1)/12))))-((P156)*(IF((YEAR(D156)+9)&lt;YEAR(E156),0,IF((YEAR(D156)+9)&gt;YEAR(E156),1,(12-MONTH(E156)+1)/12))) + (R156)*(IF((YEAR(D156)+9)&lt;YEAR(E156),0,IF((YEAR(D156)+9)&gt;YEAR(E156),1,(12-MONTH(E156)+1)/12))))-(IF((((K156)*(IF(M156="",L156,IFERROR(IF(INDEX(Variablen!$I:$AT, MATCH(M156, Variablen!$A:$A, 0), MATCH((YEAR(D156)+9), Variablen!$I$3:$AT$3, 0))="",L156,INDEX(Variablen!$I:$AT, MATCH(M156, Variablen!$A:$A, 0), MATCH((YEAR(D156)+9), Variablen!$I$3:$AT$3, 0))),L156)))*(IF((YEAR(D156)+9)&lt;YEAR(E156),0,IF((YEAR(D156)+9)&gt;YEAR(E156),1,(12-MONTH(E156)+1)/12))) + (Q156)*(IF((YEAR(D156)+9)&lt;YEAR(E156),0,IF((YEAR(D156)+9)&gt;YEAR(E156),1,(12-MONTH(E156)+1)/12))))-((P156)*(IF((YEAR(D156)+9)&lt;YEAR(E156),0,IF((YEAR(D156)+9)&gt;YEAR(E156),1,(12-MONTH(E156)+1)/12))) + (R156)*(IF((YEAR(D156)+9)&lt;YEAR(E156),0,IF((YEAR(D156)+9)&gt;YEAR(E156),1,(12-MONTH(E156)+1)/12))))-(IF(OR(N156="",N156&lt;=0),0,(O156/N156)*(IF(OR(N156="",N156&lt;=0),0,IF((YEAR(D156)+9)&lt;YEAR(E156),0,IF((YEAR(D156)+9)&gt;=YEAR(E156)+N156,0,IF((YEAR(D156)+9)=YEAR(E156),(12-MONTH(E156)+1)/12,1))))))))&gt;0,(((K156)*(IF(M156="",L156,IFERROR(IF(INDEX(Variablen!$I:$AT, MATCH(M156, Variablen!$A:$A, 0), MATCH((YEAR(D156)+9), Variablen!$I$3:$AT$3, 0))="",L156,INDEX(Variablen!$I:$AT, MATCH(M156, Variablen!$A:$A, 0), MATCH((YEAR(D156)+9), Variablen!$I$3:$AT$3, 0))),L156)))*(IF((YEAR(D156)+9)&lt;YEAR(E156),0,IF((YEAR(D156)+9)&gt;YEAR(E156),1,(12-MONTH(E156)+1)/12))) + (Q156)*(IF((YEAR(D156)+9)&lt;YEAR(E156),0,IF((YEAR(D156)+9)&gt;YEAR(E156),1,(12-MONTH(E156)+1)/12))))-((P156)*(IF((YEAR(D156)+9)&lt;YEAR(E156),0,IF((YEAR(D156)+9)&gt;YEAR(E156),1,(12-MONTH(E156)+1)/12))) + (R156)*(IF((YEAR(D156)+9)&lt;YEAR(E156),0,IF((YEAR(D156)+9)&gt;YEAR(E156),1,(12-MONTH(E156)+1)/12))))-(IF(OR(N156="",N156&lt;=0),0,(O156/N156)*(IF(OR(N156="",N156&lt;=0),0,IF((YEAR(D156)+9)&lt;YEAR(E156),0,IF((YEAR(D156)+9)&gt;=YEAR(E156)+N156,0,IF((YEAR(D156)+9)=YEAR(E156),(12-MONTH(E156)+1)/12,1))))))))*TaxRate,0))-IF(9=0,O156,0))</f>
        <v/>
      </c>
      <c r="AC156" s="29">
        <f>IF(A156="","",((K156)*(IF(M156="",L156,IFERROR(IF(INDEX(Variablen!$I:$AT, MATCH(M156, Variablen!$A:$A, 0), MATCH((YEAR(D156)+10), Variablen!$I$3:$AT$3, 0))="",L156,INDEX(Variablen!$I:$AT, MATCH(M156, Variablen!$A:$A, 0), MATCH((YEAR(D156)+10), Variablen!$I$3:$AT$3, 0))),L156)))*(IF((YEAR(D156)+10)&lt;YEAR(E156),0,IF((YEAR(D156)+10)&gt;YEAR(E156),1,(12-MONTH(E156)+1)/12))) + (Q156)*(IF((YEAR(D156)+10)&lt;YEAR(E156),0,IF((YEAR(D156)+10)&gt;YEAR(E156),1,(12-MONTH(E156)+1)/12))))-((P156)*(IF((YEAR(D156)+10)&lt;YEAR(E156),0,IF((YEAR(D156)+10)&gt;YEAR(E156),1,(12-MONTH(E156)+1)/12))) + (R156)*(IF((YEAR(D156)+10)&lt;YEAR(E156),0,IF((YEAR(D156)+10)&gt;YEAR(E156),1,(12-MONTH(E156)+1)/12))))-(IF((((K156)*(IF(M156="",L156,IFERROR(IF(INDEX(Variablen!$I:$AT, MATCH(M156, Variablen!$A:$A, 0), MATCH((YEAR(D156)+10), Variablen!$I$3:$AT$3, 0))="",L156,INDEX(Variablen!$I:$AT, MATCH(M156, Variablen!$A:$A, 0), MATCH((YEAR(D156)+10), Variablen!$I$3:$AT$3, 0))),L156)))*(IF((YEAR(D156)+10)&lt;YEAR(E156),0,IF((YEAR(D156)+10)&gt;YEAR(E156),1,(12-MONTH(E156)+1)/12))) + (Q156)*(IF((YEAR(D156)+10)&lt;YEAR(E156),0,IF((YEAR(D156)+10)&gt;YEAR(E156),1,(12-MONTH(E156)+1)/12))))-((P156)*(IF((YEAR(D156)+10)&lt;YEAR(E156),0,IF((YEAR(D156)+10)&gt;YEAR(E156),1,(12-MONTH(E156)+1)/12))) + (R156)*(IF((YEAR(D156)+10)&lt;YEAR(E156),0,IF((YEAR(D156)+10)&gt;YEAR(E156),1,(12-MONTH(E156)+1)/12))))-(IF(OR(N156="",N156&lt;=0),0,(O156/N156)*(IF(OR(N156="",N156&lt;=0),0,IF((YEAR(D156)+10)&lt;YEAR(E156),0,IF((YEAR(D156)+10)&gt;=YEAR(E156)+N156,0,IF((YEAR(D156)+10)=YEAR(E156),(12-MONTH(E156)+1)/12,1))))))))&gt;0,(((K156)*(IF(M156="",L156,IFERROR(IF(INDEX(Variablen!$I:$AT, MATCH(M156, Variablen!$A:$A, 0), MATCH((YEAR(D156)+10), Variablen!$I$3:$AT$3, 0))="",L156,INDEX(Variablen!$I:$AT, MATCH(M156, Variablen!$A:$A, 0), MATCH((YEAR(D156)+10), Variablen!$I$3:$AT$3, 0))),L156)))*(IF((YEAR(D156)+10)&lt;YEAR(E156),0,IF((YEAR(D156)+10)&gt;YEAR(E156),1,(12-MONTH(E156)+1)/12))) + (Q156)*(IF((YEAR(D156)+10)&lt;YEAR(E156),0,IF((YEAR(D156)+10)&gt;YEAR(E156),1,(12-MONTH(E156)+1)/12))))-((P156)*(IF((YEAR(D156)+10)&lt;YEAR(E156),0,IF((YEAR(D156)+10)&gt;YEAR(E156),1,(12-MONTH(E156)+1)/12))) + (R156)*(IF((YEAR(D156)+10)&lt;YEAR(E156),0,IF((YEAR(D156)+10)&gt;YEAR(E156),1,(12-MONTH(E156)+1)/12))))-(IF(OR(N156="",N156&lt;=0),0,(O156/N156)*(IF(OR(N156="",N156&lt;=0),0,IF((YEAR(D156)+10)&lt;YEAR(E156),0,IF((YEAR(D156)+10)&gt;=YEAR(E156)+N156,0,IF((YEAR(D156)+10)=YEAR(E156),(12-MONTH(E156)+1)/12,1))))))))*TaxRate,0))-IF(10=0,O156,0))</f>
        <v/>
      </c>
      <c r="AD156" s="29">
        <f>IF(A156="","",((K156)*(IF(M156="",L156,IFERROR(IF(INDEX(Variablen!$I:$AT, MATCH(M156, Variablen!$A:$A, 0), MATCH((YEAR(D156)+11), Variablen!$I$3:$AT$3, 0))="",L156,INDEX(Variablen!$I:$AT, MATCH(M156, Variablen!$A:$A, 0), MATCH((YEAR(D156)+11), Variablen!$I$3:$AT$3, 0))),L156)))*(IF((YEAR(D156)+11)&lt;YEAR(E156),0,IF((YEAR(D156)+11)&gt;YEAR(E156),1,(12-MONTH(E156)+1)/12))) + (Q156)*(IF((YEAR(D156)+11)&lt;YEAR(E156),0,IF((YEAR(D156)+11)&gt;YEAR(E156),1,(12-MONTH(E156)+1)/12))))-((P156)*(IF((YEAR(D156)+11)&lt;YEAR(E156),0,IF((YEAR(D156)+11)&gt;YEAR(E156),1,(12-MONTH(E156)+1)/12))) + (R156)*(IF((YEAR(D156)+11)&lt;YEAR(E156),0,IF((YEAR(D156)+11)&gt;YEAR(E156),1,(12-MONTH(E156)+1)/12))))-(IF((((K156)*(IF(M156="",L156,IFERROR(IF(INDEX(Variablen!$I:$AT, MATCH(M156, Variablen!$A:$A, 0), MATCH((YEAR(D156)+11), Variablen!$I$3:$AT$3, 0))="",L156,INDEX(Variablen!$I:$AT, MATCH(M156, Variablen!$A:$A, 0), MATCH((YEAR(D156)+11), Variablen!$I$3:$AT$3, 0))),L156)))*(IF((YEAR(D156)+11)&lt;YEAR(E156),0,IF((YEAR(D156)+11)&gt;YEAR(E156),1,(12-MONTH(E156)+1)/12))) + (Q156)*(IF((YEAR(D156)+11)&lt;YEAR(E156),0,IF((YEAR(D156)+11)&gt;YEAR(E156),1,(12-MONTH(E156)+1)/12))))-((P156)*(IF((YEAR(D156)+11)&lt;YEAR(E156),0,IF((YEAR(D156)+11)&gt;YEAR(E156),1,(12-MONTH(E156)+1)/12))) + (R156)*(IF((YEAR(D156)+11)&lt;YEAR(E156),0,IF((YEAR(D156)+11)&gt;YEAR(E156),1,(12-MONTH(E156)+1)/12))))-(IF(OR(N156="",N156&lt;=0),0,(O156/N156)*(IF(OR(N156="",N156&lt;=0),0,IF((YEAR(D156)+11)&lt;YEAR(E156),0,IF((YEAR(D156)+11)&gt;=YEAR(E156)+N156,0,IF((YEAR(D156)+11)=YEAR(E156),(12-MONTH(E156)+1)/12,1))))))))&gt;0,(((K156)*(IF(M156="",L156,IFERROR(IF(INDEX(Variablen!$I:$AT, MATCH(M156, Variablen!$A:$A, 0), MATCH((YEAR(D156)+11), Variablen!$I$3:$AT$3, 0))="",L156,INDEX(Variablen!$I:$AT, MATCH(M156, Variablen!$A:$A, 0), MATCH((YEAR(D156)+11), Variablen!$I$3:$AT$3, 0))),L156)))*(IF((YEAR(D156)+11)&lt;YEAR(E156),0,IF((YEAR(D156)+11)&gt;YEAR(E156),1,(12-MONTH(E156)+1)/12))) + (Q156)*(IF((YEAR(D156)+11)&lt;YEAR(E156),0,IF((YEAR(D156)+11)&gt;YEAR(E156),1,(12-MONTH(E156)+1)/12))))-((P156)*(IF((YEAR(D156)+11)&lt;YEAR(E156),0,IF((YEAR(D156)+11)&gt;YEAR(E156),1,(12-MONTH(E156)+1)/12))) + (R156)*(IF((YEAR(D156)+11)&lt;YEAR(E156),0,IF((YEAR(D156)+11)&gt;YEAR(E156),1,(12-MONTH(E156)+1)/12))))-(IF(OR(N156="",N156&lt;=0),0,(O156/N156)*(IF(OR(N156="",N156&lt;=0),0,IF((YEAR(D156)+11)&lt;YEAR(E156),0,IF((YEAR(D156)+11)&gt;=YEAR(E156)+N156,0,IF((YEAR(D156)+11)=YEAR(E156),(12-MONTH(E156)+1)/12,1))))))))*TaxRate,0))-IF(11=0,O156,0))</f>
        <v/>
      </c>
      <c r="AE156" s="29">
        <f>IF(A156="","",((K156)*(IF(M156="",L156,IFERROR(IF(INDEX(Variablen!$I:$AT, MATCH(M156, Variablen!$A:$A, 0), MATCH((YEAR(D156)+12), Variablen!$I$3:$AT$3, 0))="",L156,INDEX(Variablen!$I:$AT, MATCH(M156, Variablen!$A:$A, 0), MATCH((YEAR(D156)+12), Variablen!$I$3:$AT$3, 0))),L156)))*(IF((YEAR(D156)+12)&lt;YEAR(E156),0,IF((YEAR(D156)+12)&gt;YEAR(E156),1,(12-MONTH(E156)+1)/12))) + (Q156)*(IF((YEAR(D156)+12)&lt;YEAR(E156),0,IF((YEAR(D156)+12)&gt;YEAR(E156),1,(12-MONTH(E156)+1)/12))))-((P156)*(IF((YEAR(D156)+12)&lt;YEAR(E156),0,IF((YEAR(D156)+12)&gt;YEAR(E156),1,(12-MONTH(E156)+1)/12))) + (R156)*(IF((YEAR(D156)+12)&lt;YEAR(E156),0,IF((YEAR(D156)+12)&gt;YEAR(E156),1,(12-MONTH(E156)+1)/12))))-(IF((((K156)*(IF(M156="",L156,IFERROR(IF(INDEX(Variablen!$I:$AT, MATCH(M156, Variablen!$A:$A, 0), MATCH((YEAR(D156)+12), Variablen!$I$3:$AT$3, 0))="",L156,INDEX(Variablen!$I:$AT, MATCH(M156, Variablen!$A:$A, 0), MATCH((YEAR(D156)+12), Variablen!$I$3:$AT$3, 0))),L156)))*(IF((YEAR(D156)+12)&lt;YEAR(E156),0,IF((YEAR(D156)+12)&gt;YEAR(E156),1,(12-MONTH(E156)+1)/12))) + (Q156)*(IF((YEAR(D156)+12)&lt;YEAR(E156),0,IF((YEAR(D156)+12)&gt;YEAR(E156),1,(12-MONTH(E156)+1)/12))))-((P156)*(IF((YEAR(D156)+12)&lt;YEAR(E156),0,IF((YEAR(D156)+12)&gt;YEAR(E156),1,(12-MONTH(E156)+1)/12))) + (R156)*(IF((YEAR(D156)+12)&lt;YEAR(E156),0,IF((YEAR(D156)+12)&gt;YEAR(E156),1,(12-MONTH(E156)+1)/12))))-(IF(OR(N156="",N156&lt;=0),0,(O156/N156)*(IF(OR(N156="",N156&lt;=0),0,IF((YEAR(D156)+12)&lt;YEAR(E156),0,IF((YEAR(D156)+12)&gt;=YEAR(E156)+N156,0,IF((YEAR(D156)+12)=YEAR(E156),(12-MONTH(E156)+1)/12,1))))))))&gt;0,(((K156)*(IF(M156="",L156,IFERROR(IF(INDEX(Variablen!$I:$AT, MATCH(M156, Variablen!$A:$A, 0), MATCH((YEAR(D156)+12), Variablen!$I$3:$AT$3, 0))="",L156,INDEX(Variablen!$I:$AT, MATCH(M156, Variablen!$A:$A, 0), MATCH((YEAR(D156)+12), Variablen!$I$3:$AT$3, 0))),L156)))*(IF((YEAR(D156)+12)&lt;YEAR(E156),0,IF((YEAR(D156)+12)&gt;YEAR(E156),1,(12-MONTH(E156)+1)/12))) + (Q156)*(IF((YEAR(D156)+12)&lt;YEAR(E156),0,IF((YEAR(D156)+12)&gt;YEAR(E156),1,(12-MONTH(E156)+1)/12))))-((P156)*(IF((YEAR(D156)+12)&lt;YEAR(E156),0,IF((YEAR(D156)+12)&gt;YEAR(E156),1,(12-MONTH(E156)+1)/12))) + (R156)*(IF((YEAR(D156)+12)&lt;YEAR(E156),0,IF((YEAR(D156)+12)&gt;YEAR(E156),1,(12-MONTH(E156)+1)/12))))-(IF(OR(N156="",N156&lt;=0),0,(O156/N156)*(IF(OR(N156="",N156&lt;=0),0,IF((YEAR(D156)+12)&lt;YEAR(E156),0,IF((YEAR(D156)+12)&gt;=YEAR(E156)+N156,0,IF((YEAR(D156)+12)=YEAR(E156),(12-MONTH(E156)+1)/12,1))))))))*TaxRate,0))-IF(12=0,O156,0))</f>
        <v/>
      </c>
      <c r="AF156" s="29">
        <f>IF(A156="","",((K156)*(IF(M156="",L156,IFERROR(IF(INDEX(Variablen!$I:$AT, MATCH(M156, Variablen!$A:$A, 0), MATCH((YEAR(D156)+13), Variablen!$I$3:$AT$3, 0))="",L156,INDEX(Variablen!$I:$AT, MATCH(M156, Variablen!$A:$A, 0), MATCH((YEAR(D156)+13), Variablen!$I$3:$AT$3, 0))),L156)))*(IF((YEAR(D156)+13)&lt;YEAR(E156),0,IF((YEAR(D156)+13)&gt;YEAR(E156),1,(12-MONTH(E156)+1)/12))) + (Q156)*(IF((YEAR(D156)+13)&lt;YEAR(E156),0,IF((YEAR(D156)+13)&gt;YEAR(E156),1,(12-MONTH(E156)+1)/12))))-((P156)*(IF((YEAR(D156)+13)&lt;YEAR(E156),0,IF((YEAR(D156)+13)&gt;YEAR(E156),1,(12-MONTH(E156)+1)/12))) + (R156)*(IF((YEAR(D156)+13)&lt;YEAR(E156),0,IF((YEAR(D156)+13)&gt;YEAR(E156),1,(12-MONTH(E156)+1)/12))))-(IF((((K156)*(IF(M156="",L156,IFERROR(IF(INDEX(Variablen!$I:$AT, MATCH(M156, Variablen!$A:$A, 0), MATCH((YEAR(D156)+13), Variablen!$I$3:$AT$3, 0))="",L156,INDEX(Variablen!$I:$AT, MATCH(M156, Variablen!$A:$A, 0), MATCH((YEAR(D156)+13), Variablen!$I$3:$AT$3, 0))),L156)))*(IF((YEAR(D156)+13)&lt;YEAR(E156),0,IF((YEAR(D156)+13)&gt;YEAR(E156),1,(12-MONTH(E156)+1)/12))) + (Q156)*(IF((YEAR(D156)+13)&lt;YEAR(E156),0,IF((YEAR(D156)+13)&gt;YEAR(E156),1,(12-MONTH(E156)+1)/12))))-((P156)*(IF((YEAR(D156)+13)&lt;YEAR(E156),0,IF((YEAR(D156)+13)&gt;YEAR(E156),1,(12-MONTH(E156)+1)/12))) + (R156)*(IF((YEAR(D156)+13)&lt;YEAR(E156),0,IF((YEAR(D156)+13)&gt;YEAR(E156),1,(12-MONTH(E156)+1)/12))))-(IF(OR(N156="",N156&lt;=0),0,(O156/N156)*(IF(OR(N156="",N156&lt;=0),0,IF((YEAR(D156)+13)&lt;YEAR(E156),0,IF((YEAR(D156)+13)&gt;=YEAR(E156)+N156,0,IF((YEAR(D156)+13)=YEAR(E156),(12-MONTH(E156)+1)/12,1))))))))&gt;0,(((K156)*(IF(M156="",L156,IFERROR(IF(INDEX(Variablen!$I:$AT, MATCH(M156, Variablen!$A:$A, 0), MATCH((YEAR(D156)+13), Variablen!$I$3:$AT$3, 0))="",L156,INDEX(Variablen!$I:$AT, MATCH(M156, Variablen!$A:$A, 0), MATCH((YEAR(D156)+13), Variablen!$I$3:$AT$3, 0))),L156)))*(IF((YEAR(D156)+13)&lt;YEAR(E156),0,IF((YEAR(D156)+13)&gt;YEAR(E156),1,(12-MONTH(E156)+1)/12))) + (Q156)*(IF((YEAR(D156)+13)&lt;YEAR(E156),0,IF((YEAR(D156)+13)&gt;YEAR(E156),1,(12-MONTH(E156)+1)/12))))-((P156)*(IF((YEAR(D156)+13)&lt;YEAR(E156),0,IF((YEAR(D156)+13)&gt;YEAR(E156),1,(12-MONTH(E156)+1)/12))) + (R156)*(IF((YEAR(D156)+13)&lt;YEAR(E156),0,IF((YEAR(D156)+13)&gt;YEAR(E156),1,(12-MONTH(E156)+1)/12))))-(IF(OR(N156="",N156&lt;=0),0,(O156/N156)*(IF(OR(N156="",N156&lt;=0),0,IF((YEAR(D156)+13)&lt;YEAR(E156),0,IF((YEAR(D156)+13)&gt;=YEAR(E156)+N156,0,IF((YEAR(D156)+13)=YEAR(E156),(12-MONTH(E156)+1)/12,1))))))))*TaxRate,0))-IF(13=0,O156,0))</f>
        <v/>
      </c>
      <c r="AG156" s="29">
        <f>IF(A156="","",((K156)*(IF(M156="",L156,IFERROR(IF(INDEX(Variablen!$I:$AT, MATCH(M156, Variablen!$A:$A, 0), MATCH((YEAR(D156)+14), Variablen!$I$3:$AT$3, 0))="",L156,INDEX(Variablen!$I:$AT, MATCH(M156, Variablen!$A:$A, 0), MATCH((YEAR(D156)+14), Variablen!$I$3:$AT$3, 0))),L156)))*(IF((YEAR(D156)+14)&lt;YEAR(E156),0,IF((YEAR(D156)+14)&gt;YEAR(E156),1,(12-MONTH(E156)+1)/12))) + (Q156)*(IF((YEAR(D156)+14)&lt;YEAR(E156),0,IF((YEAR(D156)+14)&gt;YEAR(E156),1,(12-MONTH(E156)+1)/12))))-((P156)*(IF((YEAR(D156)+14)&lt;YEAR(E156),0,IF((YEAR(D156)+14)&gt;YEAR(E156),1,(12-MONTH(E156)+1)/12))) + (R156)*(IF((YEAR(D156)+14)&lt;YEAR(E156),0,IF((YEAR(D156)+14)&gt;YEAR(E156),1,(12-MONTH(E156)+1)/12))))-(IF((((K156)*(IF(M156="",L156,IFERROR(IF(INDEX(Variablen!$I:$AT, MATCH(M156, Variablen!$A:$A, 0), MATCH((YEAR(D156)+14), Variablen!$I$3:$AT$3, 0))="",L156,INDEX(Variablen!$I:$AT, MATCH(M156, Variablen!$A:$A, 0), MATCH((YEAR(D156)+14), Variablen!$I$3:$AT$3, 0))),L156)))*(IF((YEAR(D156)+14)&lt;YEAR(E156),0,IF((YEAR(D156)+14)&gt;YEAR(E156),1,(12-MONTH(E156)+1)/12))) + (Q156)*(IF((YEAR(D156)+14)&lt;YEAR(E156),0,IF((YEAR(D156)+14)&gt;YEAR(E156),1,(12-MONTH(E156)+1)/12))))-((P156)*(IF((YEAR(D156)+14)&lt;YEAR(E156),0,IF((YEAR(D156)+14)&gt;YEAR(E156),1,(12-MONTH(E156)+1)/12))) + (R156)*(IF((YEAR(D156)+14)&lt;YEAR(E156),0,IF((YEAR(D156)+14)&gt;YEAR(E156),1,(12-MONTH(E156)+1)/12))))-(IF(OR(N156="",N156&lt;=0),0,(O156/N156)*(IF(OR(N156="",N156&lt;=0),0,IF((YEAR(D156)+14)&lt;YEAR(E156),0,IF((YEAR(D156)+14)&gt;=YEAR(E156)+N156,0,IF((YEAR(D156)+14)=YEAR(E156),(12-MONTH(E156)+1)/12,1))))))))&gt;0,(((K156)*(IF(M156="",L156,IFERROR(IF(INDEX(Variablen!$I:$AT, MATCH(M156, Variablen!$A:$A, 0), MATCH((YEAR(D156)+14), Variablen!$I$3:$AT$3, 0))="",L156,INDEX(Variablen!$I:$AT, MATCH(M156, Variablen!$A:$A, 0), MATCH((YEAR(D156)+14), Variablen!$I$3:$AT$3, 0))),L156)))*(IF((YEAR(D156)+14)&lt;YEAR(E156),0,IF((YEAR(D156)+14)&gt;YEAR(E156),1,(12-MONTH(E156)+1)/12))) + (Q156)*(IF((YEAR(D156)+14)&lt;YEAR(E156),0,IF((YEAR(D156)+14)&gt;YEAR(E156),1,(12-MONTH(E156)+1)/12))))-((P156)*(IF((YEAR(D156)+14)&lt;YEAR(E156),0,IF((YEAR(D156)+14)&gt;YEAR(E156),1,(12-MONTH(E156)+1)/12))) + (R156)*(IF((YEAR(D156)+14)&lt;YEAR(E156),0,IF((YEAR(D156)+14)&gt;YEAR(E156),1,(12-MONTH(E156)+1)/12))))-(IF(OR(N156="",N156&lt;=0),0,(O156/N156)*(IF(OR(N156="",N156&lt;=0),0,IF((YEAR(D156)+14)&lt;YEAR(E156),0,IF((YEAR(D156)+14)&gt;=YEAR(E156)+N156,0,IF((YEAR(D156)+14)=YEAR(E156),(12-MONTH(E156)+1)/12,1))))))))*TaxRate,0))-IF(14=0,O156,0))</f>
        <v/>
      </c>
      <c r="AH156" s="29">
        <f>IF(A156="","",((K156)*(IF(M156="",L156,IFERROR(IF(INDEX(Variablen!$I:$AT, MATCH(M156, Variablen!$A:$A, 0), MATCH((YEAR(D156)+15), Variablen!$I$3:$AT$3, 0))="",L156,INDEX(Variablen!$I:$AT, MATCH(M156, Variablen!$A:$A, 0), MATCH((YEAR(D156)+15), Variablen!$I$3:$AT$3, 0))),L156)))*(IF((YEAR(D156)+15)&lt;YEAR(E156),0,IF((YEAR(D156)+15)&gt;YEAR(E156),1,(12-MONTH(E156)+1)/12))) + (Q156)*(IF((YEAR(D156)+15)&lt;YEAR(E156),0,IF((YEAR(D156)+15)&gt;YEAR(E156),1,(12-MONTH(E156)+1)/12))))-((P156)*(IF((YEAR(D156)+15)&lt;YEAR(E156),0,IF((YEAR(D156)+15)&gt;YEAR(E156),1,(12-MONTH(E156)+1)/12))) + (R156)*(IF((YEAR(D156)+15)&lt;YEAR(E156),0,IF((YEAR(D156)+15)&gt;YEAR(E156),1,(12-MONTH(E156)+1)/12))))-(IF((((K156)*(IF(M156="",L156,IFERROR(IF(INDEX(Variablen!$I:$AT, MATCH(M156, Variablen!$A:$A, 0), MATCH((YEAR(D156)+15), Variablen!$I$3:$AT$3, 0))="",L156,INDEX(Variablen!$I:$AT, MATCH(M156, Variablen!$A:$A, 0), MATCH((YEAR(D156)+15), Variablen!$I$3:$AT$3, 0))),L156)))*(IF((YEAR(D156)+15)&lt;YEAR(E156),0,IF((YEAR(D156)+15)&gt;YEAR(E156),1,(12-MONTH(E156)+1)/12))) + (Q156)*(IF((YEAR(D156)+15)&lt;YEAR(E156),0,IF((YEAR(D156)+15)&gt;YEAR(E156),1,(12-MONTH(E156)+1)/12))))-((P156)*(IF((YEAR(D156)+15)&lt;YEAR(E156),0,IF((YEAR(D156)+15)&gt;YEAR(E156),1,(12-MONTH(E156)+1)/12))) + (R156)*(IF((YEAR(D156)+15)&lt;YEAR(E156),0,IF((YEAR(D156)+15)&gt;YEAR(E156),1,(12-MONTH(E156)+1)/12))))-(IF(OR(N156="",N156&lt;=0),0,(O156/N156)*(IF(OR(N156="",N156&lt;=0),0,IF((YEAR(D156)+15)&lt;YEAR(E156),0,IF((YEAR(D156)+15)&gt;=YEAR(E156)+N156,0,IF((YEAR(D156)+15)=YEAR(E156),(12-MONTH(E156)+1)/12,1))))))))&gt;0,(((K156)*(IF(M156="",L156,IFERROR(IF(INDEX(Variablen!$I:$AT, MATCH(M156, Variablen!$A:$A, 0), MATCH((YEAR(D156)+15), Variablen!$I$3:$AT$3, 0))="",L156,INDEX(Variablen!$I:$AT, MATCH(M156, Variablen!$A:$A, 0), MATCH((YEAR(D156)+15), Variablen!$I$3:$AT$3, 0))),L156)))*(IF((YEAR(D156)+15)&lt;YEAR(E156),0,IF((YEAR(D156)+15)&gt;YEAR(E156),1,(12-MONTH(E156)+1)/12))) + (Q156)*(IF((YEAR(D156)+15)&lt;YEAR(E156),0,IF((YEAR(D156)+15)&gt;YEAR(E156),1,(12-MONTH(E156)+1)/12))))-((P156)*(IF((YEAR(D156)+15)&lt;YEAR(E156),0,IF((YEAR(D156)+15)&gt;YEAR(E156),1,(12-MONTH(E156)+1)/12))) + (R156)*(IF((YEAR(D156)+15)&lt;YEAR(E156),0,IF((YEAR(D156)+15)&gt;YEAR(E156),1,(12-MONTH(E156)+1)/12))))-(IF(OR(N156="",N156&lt;=0),0,(O156/N156)*(IF(OR(N156="",N156&lt;=0),0,IF((YEAR(D156)+15)&lt;YEAR(E156),0,IF((YEAR(D156)+15)&gt;=YEAR(E156)+N156,0,IF((YEAR(D156)+15)=YEAR(E156),(12-MONTH(E156)+1)/12,1))))))))*TaxRate,0))-IF(15=0,O156,0))</f>
        <v/>
      </c>
      <c r="AI156" s="29">
        <f>IF(A156="","",((K156)*(IF(M156="",L156,IFERROR(IF(INDEX(Variablen!$I:$AT, MATCH(M156, Variablen!$A:$A, 0), MATCH((YEAR(D156)+16), Variablen!$I$3:$AT$3, 0))="",L156,INDEX(Variablen!$I:$AT, MATCH(M156, Variablen!$A:$A, 0), MATCH((YEAR(D156)+16), Variablen!$I$3:$AT$3, 0))),L156)))*(IF((YEAR(D156)+16)&lt;YEAR(E156),0,IF((YEAR(D156)+16)&gt;YEAR(E156),1,(12-MONTH(E156)+1)/12))) + (Q156)*(IF((YEAR(D156)+16)&lt;YEAR(E156),0,IF((YEAR(D156)+16)&gt;YEAR(E156),1,(12-MONTH(E156)+1)/12))))-((P156)*(IF((YEAR(D156)+16)&lt;YEAR(E156),0,IF((YEAR(D156)+16)&gt;YEAR(E156),1,(12-MONTH(E156)+1)/12))) + (R156)*(IF((YEAR(D156)+16)&lt;YEAR(E156),0,IF((YEAR(D156)+16)&gt;YEAR(E156),1,(12-MONTH(E156)+1)/12))))-(IF((((K156)*(IF(M156="",L156,IFERROR(IF(INDEX(Variablen!$I:$AT, MATCH(M156, Variablen!$A:$A, 0), MATCH((YEAR(D156)+16), Variablen!$I$3:$AT$3, 0))="",L156,INDEX(Variablen!$I:$AT, MATCH(M156, Variablen!$A:$A, 0), MATCH((YEAR(D156)+16), Variablen!$I$3:$AT$3, 0))),L156)))*(IF((YEAR(D156)+16)&lt;YEAR(E156),0,IF((YEAR(D156)+16)&gt;YEAR(E156),1,(12-MONTH(E156)+1)/12))) + (Q156)*(IF((YEAR(D156)+16)&lt;YEAR(E156),0,IF((YEAR(D156)+16)&gt;YEAR(E156),1,(12-MONTH(E156)+1)/12))))-((P156)*(IF((YEAR(D156)+16)&lt;YEAR(E156),0,IF((YEAR(D156)+16)&gt;YEAR(E156),1,(12-MONTH(E156)+1)/12))) + (R156)*(IF((YEAR(D156)+16)&lt;YEAR(E156),0,IF((YEAR(D156)+16)&gt;YEAR(E156),1,(12-MONTH(E156)+1)/12))))-(IF(OR(N156="",N156&lt;=0),0,(O156/N156)*(IF(OR(N156="",N156&lt;=0),0,IF((YEAR(D156)+16)&lt;YEAR(E156),0,IF((YEAR(D156)+16)&gt;=YEAR(E156)+N156,0,IF((YEAR(D156)+16)=YEAR(E156),(12-MONTH(E156)+1)/12,1))))))))&gt;0,(((K156)*(IF(M156="",L156,IFERROR(IF(INDEX(Variablen!$I:$AT, MATCH(M156, Variablen!$A:$A, 0), MATCH((YEAR(D156)+16), Variablen!$I$3:$AT$3, 0))="",L156,INDEX(Variablen!$I:$AT, MATCH(M156, Variablen!$A:$A, 0), MATCH((YEAR(D156)+16), Variablen!$I$3:$AT$3, 0))),L156)))*(IF((YEAR(D156)+16)&lt;YEAR(E156),0,IF((YEAR(D156)+16)&gt;YEAR(E156),1,(12-MONTH(E156)+1)/12))) + (Q156)*(IF((YEAR(D156)+16)&lt;YEAR(E156),0,IF((YEAR(D156)+16)&gt;YEAR(E156),1,(12-MONTH(E156)+1)/12))))-((P156)*(IF((YEAR(D156)+16)&lt;YEAR(E156),0,IF((YEAR(D156)+16)&gt;YEAR(E156),1,(12-MONTH(E156)+1)/12))) + (R156)*(IF((YEAR(D156)+16)&lt;YEAR(E156),0,IF((YEAR(D156)+16)&gt;YEAR(E156),1,(12-MONTH(E156)+1)/12))))-(IF(OR(N156="",N156&lt;=0),0,(O156/N156)*(IF(OR(N156="",N156&lt;=0),0,IF((YEAR(D156)+16)&lt;YEAR(E156),0,IF((YEAR(D156)+16)&gt;=YEAR(E156)+N156,0,IF((YEAR(D156)+16)=YEAR(E156),(12-MONTH(E156)+1)/12,1))))))))*TaxRate,0))-IF(16=0,O156,0))</f>
        <v/>
      </c>
      <c r="AJ156" s="29">
        <f>IF(A156="","",((K156)*(IF(M156="",L156,IFERROR(IF(INDEX(Variablen!$I:$AT, MATCH(M156, Variablen!$A:$A, 0), MATCH((YEAR(D156)+17), Variablen!$I$3:$AT$3, 0))="",L156,INDEX(Variablen!$I:$AT, MATCH(M156, Variablen!$A:$A, 0), MATCH((YEAR(D156)+17), Variablen!$I$3:$AT$3, 0))),L156)))*(IF((YEAR(D156)+17)&lt;YEAR(E156),0,IF((YEAR(D156)+17)&gt;YEAR(E156),1,(12-MONTH(E156)+1)/12))) + (Q156)*(IF((YEAR(D156)+17)&lt;YEAR(E156),0,IF((YEAR(D156)+17)&gt;YEAR(E156),1,(12-MONTH(E156)+1)/12))))-((P156)*(IF((YEAR(D156)+17)&lt;YEAR(E156),0,IF((YEAR(D156)+17)&gt;YEAR(E156),1,(12-MONTH(E156)+1)/12))) + (R156)*(IF((YEAR(D156)+17)&lt;YEAR(E156),0,IF((YEAR(D156)+17)&gt;YEAR(E156),1,(12-MONTH(E156)+1)/12))))-(IF((((K156)*(IF(M156="",L156,IFERROR(IF(INDEX(Variablen!$I:$AT, MATCH(M156, Variablen!$A:$A, 0), MATCH((YEAR(D156)+17), Variablen!$I$3:$AT$3, 0))="",L156,INDEX(Variablen!$I:$AT, MATCH(M156, Variablen!$A:$A, 0), MATCH((YEAR(D156)+17), Variablen!$I$3:$AT$3, 0))),L156)))*(IF((YEAR(D156)+17)&lt;YEAR(E156),0,IF((YEAR(D156)+17)&gt;YEAR(E156),1,(12-MONTH(E156)+1)/12))) + (Q156)*(IF((YEAR(D156)+17)&lt;YEAR(E156),0,IF((YEAR(D156)+17)&gt;YEAR(E156),1,(12-MONTH(E156)+1)/12))))-((P156)*(IF((YEAR(D156)+17)&lt;YEAR(E156),0,IF((YEAR(D156)+17)&gt;YEAR(E156),1,(12-MONTH(E156)+1)/12))) + (R156)*(IF((YEAR(D156)+17)&lt;YEAR(E156),0,IF((YEAR(D156)+17)&gt;YEAR(E156),1,(12-MONTH(E156)+1)/12))))-(IF(OR(N156="",N156&lt;=0),0,(O156/N156)*(IF(OR(N156="",N156&lt;=0),0,IF((YEAR(D156)+17)&lt;YEAR(E156),0,IF((YEAR(D156)+17)&gt;=YEAR(E156)+N156,0,IF((YEAR(D156)+17)=YEAR(E156),(12-MONTH(E156)+1)/12,1))))))))&gt;0,(((K156)*(IF(M156="",L156,IFERROR(IF(INDEX(Variablen!$I:$AT, MATCH(M156, Variablen!$A:$A, 0), MATCH((YEAR(D156)+17), Variablen!$I$3:$AT$3, 0))="",L156,INDEX(Variablen!$I:$AT, MATCH(M156, Variablen!$A:$A, 0), MATCH((YEAR(D156)+17), Variablen!$I$3:$AT$3, 0))),L156)))*(IF((YEAR(D156)+17)&lt;YEAR(E156),0,IF((YEAR(D156)+17)&gt;YEAR(E156),1,(12-MONTH(E156)+1)/12))) + (Q156)*(IF((YEAR(D156)+17)&lt;YEAR(E156),0,IF((YEAR(D156)+17)&gt;YEAR(E156),1,(12-MONTH(E156)+1)/12))))-((P156)*(IF((YEAR(D156)+17)&lt;YEAR(E156),0,IF((YEAR(D156)+17)&gt;YEAR(E156),1,(12-MONTH(E156)+1)/12))) + (R156)*(IF((YEAR(D156)+17)&lt;YEAR(E156),0,IF((YEAR(D156)+17)&gt;YEAR(E156),1,(12-MONTH(E156)+1)/12))))-(IF(OR(N156="",N156&lt;=0),0,(O156/N156)*(IF(OR(N156="",N156&lt;=0),0,IF((YEAR(D156)+17)&lt;YEAR(E156),0,IF((YEAR(D156)+17)&gt;=YEAR(E156)+N156,0,IF((YEAR(D156)+17)=YEAR(E156),(12-MONTH(E156)+1)/12,1))))))))*TaxRate,0))-IF(17=0,O156,0))</f>
        <v/>
      </c>
      <c r="AK156" s="29">
        <f>IF(A156="","",((K156)*(IF(M156="",L156,IFERROR(IF(INDEX(Variablen!$I:$AT, MATCH(M156, Variablen!$A:$A, 0), MATCH((YEAR(D156)+18), Variablen!$I$3:$AT$3, 0))="",L156,INDEX(Variablen!$I:$AT, MATCH(M156, Variablen!$A:$A, 0), MATCH((YEAR(D156)+18), Variablen!$I$3:$AT$3, 0))),L156)))*(IF((YEAR(D156)+18)&lt;YEAR(E156),0,IF((YEAR(D156)+18)&gt;YEAR(E156),1,(12-MONTH(E156)+1)/12))) + (Q156)*(IF((YEAR(D156)+18)&lt;YEAR(E156),0,IF((YEAR(D156)+18)&gt;YEAR(E156),1,(12-MONTH(E156)+1)/12))))-((P156)*(IF((YEAR(D156)+18)&lt;YEAR(E156),0,IF((YEAR(D156)+18)&gt;YEAR(E156),1,(12-MONTH(E156)+1)/12))) + (R156)*(IF((YEAR(D156)+18)&lt;YEAR(E156),0,IF((YEAR(D156)+18)&gt;YEAR(E156),1,(12-MONTH(E156)+1)/12))))-(IF((((K156)*(IF(M156="",L156,IFERROR(IF(INDEX(Variablen!$I:$AT, MATCH(M156, Variablen!$A:$A, 0), MATCH((YEAR(D156)+18), Variablen!$I$3:$AT$3, 0))="",L156,INDEX(Variablen!$I:$AT, MATCH(M156, Variablen!$A:$A, 0), MATCH((YEAR(D156)+18), Variablen!$I$3:$AT$3, 0))),L156)))*(IF((YEAR(D156)+18)&lt;YEAR(E156),0,IF((YEAR(D156)+18)&gt;YEAR(E156),1,(12-MONTH(E156)+1)/12))) + (Q156)*(IF((YEAR(D156)+18)&lt;YEAR(E156),0,IF((YEAR(D156)+18)&gt;YEAR(E156),1,(12-MONTH(E156)+1)/12))))-((P156)*(IF((YEAR(D156)+18)&lt;YEAR(E156),0,IF((YEAR(D156)+18)&gt;YEAR(E156),1,(12-MONTH(E156)+1)/12))) + (R156)*(IF((YEAR(D156)+18)&lt;YEAR(E156),0,IF((YEAR(D156)+18)&gt;YEAR(E156),1,(12-MONTH(E156)+1)/12))))-(IF(OR(N156="",N156&lt;=0),0,(O156/N156)*(IF(OR(N156="",N156&lt;=0),0,IF((YEAR(D156)+18)&lt;YEAR(E156),0,IF((YEAR(D156)+18)&gt;=YEAR(E156)+N156,0,IF((YEAR(D156)+18)=YEAR(E156),(12-MONTH(E156)+1)/12,1))))))))&gt;0,(((K156)*(IF(M156="",L156,IFERROR(IF(INDEX(Variablen!$I:$AT, MATCH(M156, Variablen!$A:$A, 0), MATCH((YEAR(D156)+18), Variablen!$I$3:$AT$3, 0))="",L156,INDEX(Variablen!$I:$AT, MATCH(M156, Variablen!$A:$A, 0), MATCH((YEAR(D156)+18), Variablen!$I$3:$AT$3, 0))),L156)))*(IF((YEAR(D156)+18)&lt;YEAR(E156),0,IF((YEAR(D156)+18)&gt;YEAR(E156),1,(12-MONTH(E156)+1)/12))) + (Q156)*(IF((YEAR(D156)+18)&lt;YEAR(E156),0,IF((YEAR(D156)+18)&gt;YEAR(E156),1,(12-MONTH(E156)+1)/12))))-((P156)*(IF((YEAR(D156)+18)&lt;YEAR(E156),0,IF((YEAR(D156)+18)&gt;YEAR(E156),1,(12-MONTH(E156)+1)/12))) + (R156)*(IF((YEAR(D156)+18)&lt;YEAR(E156),0,IF((YEAR(D156)+18)&gt;YEAR(E156),1,(12-MONTH(E156)+1)/12))))-(IF(OR(N156="",N156&lt;=0),0,(O156/N156)*(IF(OR(N156="",N156&lt;=0),0,IF((YEAR(D156)+18)&lt;YEAR(E156),0,IF((YEAR(D156)+18)&gt;=YEAR(E156)+N156,0,IF((YEAR(D156)+18)=YEAR(E156),(12-MONTH(E156)+1)/12,1))))))))*TaxRate,0))-IF(18=0,O156,0))</f>
        <v/>
      </c>
      <c r="AL156" s="29">
        <f>IF(A156="","",((K156)*(IF(M156="",L156,IFERROR(IF(INDEX(Variablen!$I:$AT, MATCH(M156, Variablen!$A:$A, 0), MATCH((YEAR(D156)+19), Variablen!$I$3:$AT$3, 0))="",L156,INDEX(Variablen!$I:$AT, MATCH(M156, Variablen!$A:$A, 0), MATCH((YEAR(D156)+19), Variablen!$I$3:$AT$3, 0))),L156)))*(IF((YEAR(D156)+19)&lt;YEAR(E156),0,IF((YEAR(D156)+19)&gt;YEAR(E156),1,(12-MONTH(E156)+1)/12))) + (Q156)*(IF((YEAR(D156)+19)&lt;YEAR(E156),0,IF((YEAR(D156)+19)&gt;YEAR(E156),1,(12-MONTH(E156)+1)/12))))-((P156)*(IF((YEAR(D156)+19)&lt;YEAR(E156),0,IF((YEAR(D156)+19)&gt;YEAR(E156),1,(12-MONTH(E156)+1)/12))) + (R156)*(IF((YEAR(D156)+19)&lt;YEAR(E156),0,IF((YEAR(D156)+19)&gt;YEAR(E156),1,(12-MONTH(E156)+1)/12))))-(IF((((K156)*(IF(M156="",L156,IFERROR(IF(INDEX(Variablen!$I:$AT, MATCH(M156, Variablen!$A:$A, 0), MATCH((YEAR(D156)+19), Variablen!$I$3:$AT$3, 0))="",L156,INDEX(Variablen!$I:$AT, MATCH(M156, Variablen!$A:$A, 0), MATCH((YEAR(D156)+19), Variablen!$I$3:$AT$3, 0))),L156)))*(IF((YEAR(D156)+19)&lt;YEAR(E156),0,IF((YEAR(D156)+19)&gt;YEAR(E156),1,(12-MONTH(E156)+1)/12))) + (Q156)*(IF((YEAR(D156)+19)&lt;YEAR(E156),0,IF((YEAR(D156)+19)&gt;YEAR(E156),1,(12-MONTH(E156)+1)/12))))-((P156)*(IF((YEAR(D156)+19)&lt;YEAR(E156),0,IF((YEAR(D156)+19)&gt;YEAR(E156),1,(12-MONTH(E156)+1)/12))) + (R156)*(IF((YEAR(D156)+19)&lt;YEAR(E156),0,IF((YEAR(D156)+19)&gt;YEAR(E156),1,(12-MONTH(E156)+1)/12))))-(IF(OR(N156="",N156&lt;=0),0,(O156/N156)*(IF(OR(N156="",N156&lt;=0),0,IF((YEAR(D156)+19)&lt;YEAR(E156),0,IF((YEAR(D156)+19)&gt;=YEAR(E156)+N156,0,IF((YEAR(D156)+19)=YEAR(E156),(12-MONTH(E156)+1)/12,1))))))))&gt;0,(((K156)*(IF(M156="",L156,IFERROR(IF(INDEX(Variablen!$I:$AT, MATCH(M156, Variablen!$A:$A, 0), MATCH((YEAR(D156)+19), Variablen!$I$3:$AT$3, 0))="",L156,INDEX(Variablen!$I:$AT, MATCH(M156, Variablen!$A:$A, 0), MATCH((YEAR(D156)+19), Variablen!$I$3:$AT$3, 0))),L156)))*(IF((YEAR(D156)+19)&lt;YEAR(E156),0,IF((YEAR(D156)+19)&gt;YEAR(E156),1,(12-MONTH(E156)+1)/12))) + (Q156)*(IF((YEAR(D156)+19)&lt;YEAR(E156),0,IF((YEAR(D156)+19)&gt;YEAR(E156),1,(12-MONTH(E156)+1)/12))))-((P156)*(IF((YEAR(D156)+19)&lt;YEAR(E156),0,IF((YEAR(D156)+19)&gt;YEAR(E156),1,(12-MONTH(E156)+1)/12))) + (R156)*(IF((YEAR(D156)+19)&lt;YEAR(E156),0,IF((YEAR(D156)+19)&gt;YEAR(E156),1,(12-MONTH(E156)+1)/12))))-(IF(OR(N156="",N156&lt;=0),0,(O156/N156)*(IF(OR(N156="",N156&lt;=0),0,IF((YEAR(D156)+19)&lt;YEAR(E156),0,IF((YEAR(D156)+19)&gt;=YEAR(E156)+N156,0,IF((YEAR(D156)+19)=YEAR(E156),(12-MONTH(E156)+1)/12,1))))))))*TaxRate,0))-IF(19=0,O156,0))</f>
        <v/>
      </c>
      <c r="AM156" s="29">
        <f>IF(A156="","",((K156)*(IF(M156="",L156,IFERROR(IF(INDEX(Variablen!$I:$AT, MATCH(M156, Variablen!$A:$A, 0), MATCH((YEAR(D156)+20), Variablen!$I$3:$AT$3, 0))="",L156,INDEX(Variablen!$I:$AT, MATCH(M156, Variablen!$A:$A, 0), MATCH((YEAR(D156)+20), Variablen!$I$3:$AT$3, 0))),L156)))*(IF((YEAR(D156)+20)&lt;YEAR(E156),0,IF((YEAR(D156)+20)&gt;YEAR(E156),1,(12-MONTH(E156)+1)/12))) + (Q156)*(IF((YEAR(D156)+20)&lt;YEAR(E156),0,IF((YEAR(D156)+20)&gt;YEAR(E156),1,(12-MONTH(E156)+1)/12))))-((P156)*(IF((YEAR(D156)+20)&lt;YEAR(E156),0,IF((YEAR(D156)+20)&gt;YEAR(E156),1,(12-MONTH(E156)+1)/12))) + (R156)*(IF((YEAR(D156)+20)&lt;YEAR(E156),0,IF((YEAR(D156)+20)&gt;YEAR(E156),1,(12-MONTH(E156)+1)/12))))-(IF((((K156)*(IF(M156="",L156,IFERROR(IF(INDEX(Variablen!$I:$AT, MATCH(M156, Variablen!$A:$A, 0), MATCH((YEAR(D156)+20), Variablen!$I$3:$AT$3, 0))="",L156,INDEX(Variablen!$I:$AT, MATCH(M156, Variablen!$A:$A, 0), MATCH((YEAR(D156)+20), Variablen!$I$3:$AT$3, 0))),L156)))*(IF((YEAR(D156)+20)&lt;YEAR(E156),0,IF((YEAR(D156)+20)&gt;YEAR(E156),1,(12-MONTH(E156)+1)/12))) + (Q156)*(IF((YEAR(D156)+20)&lt;YEAR(E156),0,IF((YEAR(D156)+20)&gt;YEAR(E156),1,(12-MONTH(E156)+1)/12))))-((P156)*(IF((YEAR(D156)+20)&lt;YEAR(E156),0,IF((YEAR(D156)+20)&gt;YEAR(E156),1,(12-MONTH(E156)+1)/12))) + (R156)*(IF((YEAR(D156)+20)&lt;YEAR(E156),0,IF((YEAR(D156)+20)&gt;YEAR(E156),1,(12-MONTH(E156)+1)/12))))-(IF(OR(N156="",N156&lt;=0),0,(O156/N156)*(IF(OR(N156="",N156&lt;=0),0,IF((YEAR(D156)+20)&lt;YEAR(E156),0,IF((YEAR(D156)+20)&gt;=YEAR(E156)+N156,0,IF((YEAR(D156)+20)=YEAR(E156),(12-MONTH(E156)+1)/12,1))))))))&gt;0,(((K156)*(IF(M156="",L156,IFERROR(IF(INDEX(Variablen!$I:$AT, MATCH(M156, Variablen!$A:$A, 0), MATCH((YEAR(D156)+20), Variablen!$I$3:$AT$3, 0))="",L156,INDEX(Variablen!$I:$AT, MATCH(M156, Variablen!$A:$A, 0), MATCH((YEAR(D156)+20), Variablen!$I$3:$AT$3, 0))),L156)))*(IF((YEAR(D156)+20)&lt;YEAR(E156),0,IF((YEAR(D156)+20)&gt;YEAR(E156),1,(12-MONTH(E156)+1)/12))) + (Q156)*(IF((YEAR(D156)+20)&lt;YEAR(E156),0,IF((YEAR(D156)+20)&gt;YEAR(E156),1,(12-MONTH(E156)+1)/12))))-((P156)*(IF((YEAR(D156)+20)&lt;YEAR(E156),0,IF((YEAR(D156)+20)&gt;YEAR(E156),1,(12-MONTH(E156)+1)/12))) + (R156)*(IF((YEAR(D156)+20)&lt;YEAR(E156),0,IF((YEAR(D156)+20)&gt;YEAR(E156),1,(12-MONTH(E156)+1)/12))))-(IF(OR(N156="",N156&lt;=0),0,(O156/N156)*(IF(OR(N156="",N156&lt;=0),0,IF((YEAR(D156)+20)&lt;YEAR(E156),0,IF((YEAR(D156)+20)&gt;=YEAR(E156)+N156,0,IF((YEAR(D156)+20)=YEAR(E156),(12-MONTH(E156)+1)/12,1))))))))*TaxRate,0))-IF(20=0,O156,0))</f>
        <v/>
      </c>
      <c r="AN156" s="29">
        <f>IF(A156="","",S156)</f>
        <v/>
      </c>
      <c r="AO156" s="29">
        <f>IF(A156="","",AN156+T156)</f>
        <v/>
      </c>
      <c r="AP156" s="29">
        <f>IF(A156="","",AO156+U156)</f>
        <v/>
      </c>
      <c r="AQ156" s="29">
        <f>IF(A156="","",AP156+V156)</f>
        <v/>
      </c>
      <c r="AR156" s="29">
        <f>IF(A156="","",AQ156+W156)</f>
        <v/>
      </c>
      <c r="AS156" s="29">
        <f>IF(A156="","",AR156+X156)</f>
        <v/>
      </c>
      <c r="AT156" s="29">
        <f>IF(A156="","",AS156+Y156)</f>
        <v/>
      </c>
      <c r="AU156" s="29">
        <f>IF(A156="","",AT156+Z156)</f>
        <v/>
      </c>
      <c r="AV156" s="29">
        <f>IF(A156="","",AU156+AA156)</f>
        <v/>
      </c>
      <c r="AW156" s="29">
        <f>IF(A156="","",AV156+AB156)</f>
        <v/>
      </c>
      <c r="AX156" s="29">
        <f>IF(A156="","",AW156+AC156)</f>
        <v/>
      </c>
      <c r="AY156" s="29">
        <f>IF(A156="","",AX156+AD156)</f>
        <v/>
      </c>
      <c r="AZ156" s="29">
        <f>IF(A156="","",AY156+AE156)</f>
        <v/>
      </c>
      <c r="BA156" s="29">
        <f>IF(A156="","",AZ156+AF156)</f>
        <v/>
      </c>
      <c r="BB156" s="29">
        <f>IF(A156="","",BA156+AG156)</f>
        <v/>
      </c>
      <c r="BC156" s="29">
        <f>IF(A156="","",BB156+AH156)</f>
        <v/>
      </c>
      <c r="BD156" s="29">
        <f>IF(A156="","",BC156+AI156)</f>
        <v/>
      </c>
      <c r="BE156" s="29">
        <f>IF(A156="","",BD156+AJ156)</f>
        <v/>
      </c>
      <c r="BF156" s="29">
        <f>IF(A156="","",BE156+AK156)</f>
        <v/>
      </c>
      <c r="BG156" s="29">
        <f>IF(A156="","",BF156+AL156)</f>
        <v/>
      </c>
      <c r="BH156" s="29">
        <f>IF(A156="","",BG156+AM156)</f>
        <v/>
      </c>
      <c r="BI156" s="36">
        <f>IF(A156="","",(K156)*(IF((YEAR(D156)+0)&lt;YEAR(E156),0,IF((YEAR(D156)+0)&gt;YEAR(E156),1,(12-MONTH(E156)+1)/12)))*(1/(1+DiscountRate)^0))</f>
        <v/>
      </c>
      <c r="BJ156" s="36">
        <f>IF(A156="","",(K156)*(IF((YEAR(D156)+1)&lt;YEAR(E156),0,IF((YEAR(D156)+1)&gt;YEAR(E156),1,(12-MONTH(E156)+1)/12)))*(1/(1+DiscountRate)^1))</f>
        <v/>
      </c>
      <c r="BK156" s="36">
        <f>IF(A156="","",(K156)*(IF((YEAR(D156)+2)&lt;YEAR(E156),0,IF((YEAR(D156)+2)&gt;YEAR(E156),1,(12-MONTH(E156)+1)/12)))*(1/(1+DiscountRate)^2))</f>
        <v/>
      </c>
      <c r="BL156" s="36">
        <f>IF(A156="","",(K156)*(IF((YEAR(D156)+3)&lt;YEAR(E156),0,IF((YEAR(D156)+3)&gt;YEAR(E156),1,(12-MONTH(E156)+1)/12)))*(1/(1+DiscountRate)^3))</f>
        <v/>
      </c>
      <c r="BM156" s="36">
        <f>IF(A156="","",(K156)*(IF((YEAR(D156)+4)&lt;YEAR(E156),0,IF((YEAR(D156)+4)&gt;YEAR(E156),1,(12-MONTH(E156)+1)/12)))*(1/(1+DiscountRate)^4))</f>
        <v/>
      </c>
      <c r="BN156" s="36">
        <f>IF(A156="","",(K156)*(IF((YEAR(D156)+5)&lt;YEAR(E156),0,IF((YEAR(D156)+5)&gt;YEAR(E156),1,(12-MONTH(E156)+1)/12)))*(1/(1+DiscountRate)^5))</f>
        <v/>
      </c>
      <c r="BO156" s="36">
        <f>IF(A156="","",(K156)*(IF((YEAR(D156)+6)&lt;YEAR(E156),0,IF((YEAR(D156)+6)&gt;YEAR(E156),1,(12-MONTH(E156)+1)/12)))*(1/(1+DiscountRate)^6))</f>
        <v/>
      </c>
      <c r="BP156" s="36">
        <f>IF(A156="","",(K156)*(IF((YEAR(D156)+7)&lt;YEAR(E156),0,IF((YEAR(D156)+7)&gt;YEAR(E156),1,(12-MONTH(E156)+1)/12)))*(1/(1+DiscountRate)^7))</f>
        <v/>
      </c>
      <c r="BQ156" s="36">
        <f>IF(A156="","",(K156)*(IF((YEAR(D156)+8)&lt;YEAR(E156),0,IF((YEAR(D156)+8)&gt;YEAR(E156),1,(12-MONTH(E156)+1)/12)))*(1/(1+DiscountRate)^8))</f>
        <v/>
      </c>
      <c r="BR156" s="36">
        <f>IF(A156="","",(K156)*(IF((YEAR(D156)+9)&lt;YEAR(E156),0,IF((YEAR(D156)+9)&gt;YEAR(E156),1,(12-MONTH(E156)+1)/12)))*(1/(1+DiscountRate)^9))</f>
        <v/>
      </c>
      <c r="BS156" s="36">
        <f>IF(A156="","",(K156)*(IF((YEAR(D156)+10)&lt;YEAR(E156),0,IF((YEAR(D156)+10)&gt;YEAR(E156),1,(12-MONTH(E156)+1)/12)))*(1/(1+DiscountRate)^10))</f>
        <v/>
      </c>
      <c r="BT156" s="36">
        <f>IF(A156="","",(K156)*(IF((YEAR(D156)+11)&lt;YEAR(E156),0,IF((YEAR(D156)+11)&gt;YEAR(E156),1,(12-MONTH(E156)+1)/12)))*(1/(1+DiscountRate)^11))</f>
        <v/>
      </c>
      <c r="BU156" s="36">
        <f>IF(A156="","",(K156)*(IF((YEAR(D156)+12)&lt;YEAR(E156),0,IF((YEAR(D156)+12)&gt;YEAR(E156),1,(12-MONTH(E156)+1)/12)))*(1/(1+DiscountRate)^12))</f>
        <v/>
      </c>
      <c r="BV156" s="36">
        <f>IF(A156="","",(K156)*(IF((YEAR(D156)+13)&lt;YEAR(E156),0,IF((YEAR(D156)+13)&gt;YEAR(E156),1,(12-MONTH(E156)+1)/12)))*(1/(1+DiscountRate)^13))</f>
        <v/>
      </c>
      <c r="BW156" s="36">
        <f>IF(A156="","",(K156)*(IF((YEAR(D156)+14)&lt;YEAR(E156),0,IF((YEAR(D156)+14)&gt;YEAR(E156),1,(12-MONTH(E156)+1)/12)))*(1/(1+DiscountRate)^14))</f>
        <v/>
      </c>
      <c r="BX156" s="36">
        <f>IF(A156="","",(K156)*(IF((YEAR(D156)+15)&lt;YEAR(E156),0,IF((YEAR(D156)+15)&gt;YEAR(E156),1,(12-MONTH(E156)+1)/12)))*(1/(1+DiscountRate)^15))</f>
        <v/>
      </c>
      <c r="BY156" s="36">
        <f>IF(A156="","",(K156)*(IF((YEAR(D156)+16)&lt;YEAR(E156),0,IF((YEAR(D156)+16)&gt;YEAR(E156),1,(12-MONTH(E156)+1)/12)))*(1/(1+DiscountRate)^16))</f>
        <v/>
      </c>
      <c r="BZ156" s="36">
        <f>IF(A156="","",(K156)*(IF((YEAR(D156)+17)&lt;YEAR(E156),0,IF((YEAR(D156)+17)&gt;YEAR(E156),1,(12-MONTH(E156)+1)/12)))*(1/(1+DiscountRate)^17))</f>
        <v/>
      </c>
      <c r="CA156" s="36">
        <f>IF(A156="","",(K156)*(IF((YEAR(D156)+18)&lt;YEAR(E156),0,IF((YEAR(D156)+18)&gt;YEAR(E156),1,(12-MONTH(E156)+1)/12)))*(1/(1+DiscountRate)^18))</f>
        <v/>
      </c>
      <c r="CB156" s="36">
        <f>IF(A156="","",(K156)*(IF((YEAR(D156)+19)&lt;YEAR(E156),0,IF((YEAR(D156)+19)&gt;YEAR(E156),1,(12-MONTH(E156)+1)/12)))*(1/(1+DiscountRate)^19))</f>
        <v/>
      </c>
      <c r="CC156" s="36">
        <f>IF(A156="","",(K156)*(IF((YEAR(D156)+20)&lt;YEAR(E156),0,IF((YEAR(D156)+20)&gt;YEAR(E156),1,(12-MONTH(E156)+1)/12)))*(1/(1+DiscountRate)^20))</f>
        <v/>
      </c>
      <c r="CD156" s="29">
        <f>IF(A156="","",S156/(1+DiscountRate)^0+T156/(1+DiscountRate)^1+U156/(1+DiscountRate)^2+V156/(1+DiscountRate)^3+W156/(1+DiscountRate)^4+X156/(1+DiscountRate)^5+Y156/(1+DiscountRate)^6+Z156/(1+DiscountRate)^7+AA156/(1+DiscountRate)^8+AB156/(1+DiscountRate)^9+AC156/(1+DiscountRate)^10+AD156/(1+DiscountRate)^11+AE156/(1+DiscountRate)^12+AF156/(1+DiscountRate)^13+AG156/(1+DiscountRate)^14+AH156/(1+DiscountRate)^15+AI156/(1+DiscountRate)^16+AJ156/(1+DiscountRate)^17+AK156/(1+DiscountRate)^18+AL156/(1+DiscountRate)^19+AM156/(1+DiscountRate)^20)</f>
        <v/>
      </c>
      <c r="CE156" s="37">
        <f>IF(A156="","",IFERROR(IRR(OFFSET(S156,0,0,1,MIN(HorizonYears,20)+1)),"n/a"))</f>
        <v/>
      </c>
      <c r="CF156" s="28">
        <f>IF(A156="","",IFERROR(MATCH(TRUE,OFFSET(AN156,0,0,1,MIN(HorizonYears,20)+1)&gt;=0,0)-1,"n/a"))</f>
        <v/>
      </c>
      <c r="CG156" s="36">
        <f>IF(A156="","",SUM(OFFSET(BI156,0,0,1,MIN(HorizonYears,20)+1)))</f>
        <v/>
      </c>
      <c r="CH156" s="36">
        <f>IF(A156="","",IFERROR(-CD156/CG156,"n/a"))</f>
        <v/>
      </c>
    </row>
    <row r="157">
      <c r="A157" s="6">
        <f>Actions!A155</f>
        <v/>
      </c>
      <c r="B157" s="6">
        <f>Actions!B155</f>
        <v/>
      </c>
      <c r="C157" s="6">
        <f>Actions!D155</f>
        <v/>
      </c>
      <c r="D157" s="35">
        <f>Actions!E155</f>
        <v/>
      </c>
      <c r="E157" s="35">
        <f>Actions!F155</f>
        <v/>
      </c>
      <c r="F157" s="6">
        <f>Actions!G155</f>
        <v/>
      </c>
      <c r="G157" s="6">
        <f>Actions!H155</f>
        <v/>
      </c>
      <c r="H157" s="29">
        <f>Actions!I155</f>
        <v/>
      </c>
      <c r="I157" s="6">
        <f>Actions!J155</f>
        <v/>
      </c>
      <c r="J157" s="16">
        <f>Actions!K155</f>
        <v/>
      </c>
      <c r="K157" s="16">
        <f>IF(A157="","",IF(I157="%",H157*J157,J157))</f>
        <v/>
      </c>
      <c r="L157" s="16">
        <f>Actions!L155</f>
        <v/>
      </c>
      <c r="M157" s="6">
        <f>Actions!M155</f>
        <v/>
      </c>
      <c r="N157" s="28">
        <f>Actions!N155</f>
        <v/>
      </c>
      <c r="O157" s="29">
        <f>Actions!T155</f>
        <v/>
      </c>
      <c r="P157" s="29">
        <f>Actions!Y155</f>
        <v/>
      </c>
      <c r="Q157" s="29">
        <f>Actions!Z155</f>
        <v/>
      </c>
      <c r="R157" s="29">
        <f>Actions!AA155</f>
        <v/>
      </c>
      <c r="S157" s="29">
        <f>IF(A157="","",((K157)*(IF(M157="",L157,IFERROR(IF(INDEX(Variablen!$I:$AT, MATCH(M157, Variablen!$A:$A, 0), MATCH((YEAR(D157)+0), Variablen!$I$3:$AT$3, 0))="",L157,INDEX(Variablen!$I:$AT, MATCH(M157, Variablen!$A:$A, 0), MATCH((YEAR(D157)+0), Variablen!$I$3:$AT$3, 0))),L157)))*(IF((YEAR(D157)+0)&lt;YEAR(E157),0,IF((YEAR(D157)+0)&gt;YEAR(E157),1,(12-MONTH(E157)+1)/12))) + (Q157)*(IF((YEAR(D157)+0)&lt;YEAR(E157),0,IF((YEAR(D157)+0)&gt;YEAR(E157),1,(12-MONTH(E157)+1)/12))))-((P157)*(IF((YEAR(D157)+0)&lt;YEAR(E157),0,IF((YEAR(D157)+0)&gt;YEAR(E157),1,(12-MONTH(E157)+1)/12))) + (R157)*(IF((YEAR(D157)+0)&lt;YEAR(E157),0,IF((YEAR(D157)+0)&gt;YEAR(E157),1,(12-MONTH(E157)+1)/12))))-(IF((((K157)*(IF(M157="",L157,IFERROR(IF(INDEX(Variablen!$I:$AT, MATCH(M157, Variablen!$A:$A, 0), MATCH((YEAR(D157)+0), Variablen!$I$3:$AT$3, 0))="",L157,INDEX(Variablen!$I:$AT, MATCH(M157, Variablen!$A:$A, 0), MATCH((YEAR(D157)+0), Variablen!$I$3:$AT$3, 0))),L157)))*(IF((YEAR(D157)+0)&lt;YEAR(E157),0,IF((YEAR(D157)+0)&gt;YEAR(E157),1,(12-MONTH(E157)+1)/12))) + (Q157)*(IF((YEAR(D157)+0)&lt;YEAR(E157),0,IF((YEAR(D157)+0)&gt;YEAR(E157),1,(12-MONTH(E157)+1)/12))))-((P157)*(IF((YEAR(D157)+0)&lt;YEAR(E157),0,IF((YEAR(D157)+0)&gt;YEAR(E157),1,(12-MONTH(E157)+1)/12))) + (R157)*(IF((YEAR(D157)+0)&lt;YEAR(E157),0,IF((YEAR(D157)+0)&gt;YEAR(E157),1,(12-MONTH(E157)+1)/12))))-(IF(OR(N157="",N157&lt;=0),0,(O157/N157)*(IF(OR(N157="",N157&lt;=0),0,IF((YEAR(D157)+0)&lt;YEAR(E157),0,IF((YEAR(D157)+0)&gt;=YEAR(E157)+N157,0,IF((YEAR(D157)+0)=YEAR(E157),(12-MONTH(E157)+1)/12,1))))))))&gt;0,(((K157)*(IF(M157="",L157,IFERROR(IF(INDEX(Variablen!$I:$AT, MATCH(M157, Variablen!$A:$A, 0), MATCH((YEAR(D157)+0), Variablen!$I$3:$AT$3, 0))="",L157,INDEX(Variablen!$I:$AT, MATCH(M157, Variablen!$A:$A, 0), MATCH((YEAR(D157)+0), Variablen!$I$3:$AT$3, 0))),L157)))*(IF((YEAR(D157)+0)&lt;YEAR(E157),0,IF((YEAR(D157)+0)&gt;YEAR(E157),1,(12-MONTH(E157)+1)/12))) + (Q157)*(IF((YEAR(D157)+0)&lt;YEAR(E157),0,IF((YEAR(D157)+0)&gt;YEAR(E157),1,(12-MONTH(E157)+1)/12))))-((P157)*(IF((YEAR(D157)+0)&lt;YEAR(E157),0,IF((YEAR(D157)+0)&gt;YEAR(E157),1,(12-MONTH(E157)+1)/12))) + (R157)*(IF((YEAR(D157)+0)&lt;YEAR(E157),0,IF((YEAR(D157)+0)&gt;YEAR(E157),1,(12-MONTH(E157)+1)/12))))-(IF(OR(N157="",N157&lt;=0),0,(O157/N157)*(IF(OR(N157="",N157&lt;=0),0,IF((YEAR(D157)+0)&lt;YEAR(E157),0,IF((YEAR(D157)+0)&gt;=YEAR(E157)+N157,0,IF((YEAR(D157)+0)=YEAR(E157),(12-MONTH(E157)+1)/12,1))))))))*TaxRate,0))-IF(0=0,O157,0))</f>
        <v/>
      </c>
      <c r="T157" s="29">
        <f>IF(A157="","",((K157)*(IF(M157="",L157,IFERROR(IF(INDEX(Variablen!$I:$AT, MATCH(M157, Variablen!$A:$A, 0), MATCH((YEAR(D157)+1), Variablen!$I$3:$AT$3, 0))="",L157,INDEX(Variablen!$I:$AT, MATCH(M157, Variablen!$A:$A, 0), MATCH((YEAR(D157)+1), Variablen!$I$3:$AT$3, 0))),L157)))*(IF((YEAR(D157)+1)&lt;YEAR(E157),0,IF((YEAR(D157)+1)&gt;YEAR(E157),1,(12-MONTH(E157)+1)/12))) + (Q157)*(IF((YEAR(D157)+1)&lt;YEAR(E157),0,IF((YEAR(D157)+1)&gt;YEAR(E157),1,(12-MONTH(E157)+1)/12))))-((P157)*(IF((YEAR(D157)+1)&lt;YEAR(E157),0,IF((YEAR(D157)+1)&gt;YEAR(E157),1,(12-MONTH(E157)+1)/12))) + (R157)*(IF((YEAR(D157)+1)&lt;YEAR(E157),0,IF((YEAR(D157)+1)&gt;YEAR(E157),1,(12-MONTH(E157)+1)/12))))-(IF((((K157)*(IF(M157="",L157,IFERROR(IF(INDEX(Variablen!$I:$AT, MATCH(M157, Variablen!$A:$A, 0), MATCH((YEAR(D157)+1), Variablen!$I$3:$AT$3, 0))="",L157,INDEX(Variablen!$I:$AT, MATCH(M157, Variablen!$A:$A, 0), MATCH((YEAR(D157)+1), Variablen!$I$3:$AT$3, 0))),L157)))*(IF((YEAR(D157)+1)&lt;YEAR(E157),0,IF((YEAR(D157)+1)&gt;YEAR(E157),1,(12-MONTH(E157)+1)/12))) + (Q157)*(IF((YEAR(D157)+1)&lt;YEAR(E157),0,IF((YEAR(D157)+1)&gt;YEAR(E157),1,(12-MONTH(E157)+1)/12))))-((P157)*(IF((YEAR(D157)+1)&lt;YEAR(E157),0,IF((YEAR(D157)+1)&gt;YEAR(E157),1,(12-MONTH(E157)+1)/12))) + (R157)*(IF((YEAR(D157)+1)&lt;YEAR(E157),0,IF((YEAR(D157)+1)&gt;YEAR(E157),1,(12-MONTH(E157)+1)/12))))-(IF(OR(N157="",N157&lt;=0),0,(O157/N157)*(IF(OR(N157="",N157&lt;=0),0,IF((YEAR(D157)+1)&lt;YEAR(E157),0,IF((YEAR(D157)+1)&gt;=YEAR(E157)+N157,0,IF((YEAR(D157)+1)=YEAR(E157),(12-MONTH(E157)+1)/12,1))))))))&gt;0,(((K157)*(IF(M157="",L157,IFERROR(IF(INDEX(Variablen!$I:$AT, MATCH(M157, Variablen!$A:$A, 0), MATCH((YEAR(D157)+1), Variablen!$I$3:$AT$3, 0))="",L157,INDEX(Variablen!$I:$AT, MATCH(M157, Variablen!$A:$A, 0), MATCH((YEAR(D157)+1), Variablen!$I$3:$AT$3, 0))),L157)))*(IF((YEAR(D157)+1)&lt;YEAR(E157),0,IF((YEAR(D157)+1)&gt;YEAR(E157),1,(12-MONTH(E157)+1)/12))) + (Q157)*(IF((YEAR(D157)+1)&lt;YEAR(E157),0,IF((YEAR(D157)+1)&gt;YEAR(E157),1,(12-MONTH(E157)+1)/12))))-((P157)*(IF((YEAR(D157)+1)&lt;YEAR(E157),0,IF((YEAR(D157)+1)&gt;YEAR(E157),1,(12-MONTH(E157)+1)/12))) + (R157)*(IF((YEAR(D157)+1)&lt;YEAR(E157),0,IF((YEAR(D157)+1)&gt;YEAR(E157),1,(12-MONTH(E157)+1)/12))))-(IF(OR(N157="",N157&lt;=0),0,(O157/N157)*(IF(OR(N157="",N157&lt;=0),0,IF((YEAR(D157)+1)&lt;YEAR(E157),0,IF((YEAR(D157)+1)&gt;=YEAR(E157)+N157,0,IF((YEAR(D157)+1)=YEAR(E157),(12-MONTH(E157)+1)/12,1))))))))*TaxRate,0))-IF(1=0,O157,0))</f>
        <v/>
      </c>
      <c r="U157" s="29">
        <f>IF(A157="","",((K157)*(IF(M157="",L157,IFERROR(IF(INDEX(Variablen!$I:$AT, MATCH(M157, Variablen!$A:$A, 0), MATCH((YEAR(D157)+2), Variablen!$I$3:$AT$3, 0))="",L157,INDEX(Variablen!$I:$AT, MATCH(M157, Variablen!$A:$A, 0), MATCH((YEAR(D157)+2), Variablen!$I$3:$AT$3, 0))),L157)))*(IF((YEAR(D157)+2)&lt;YEAR(E157),0,IF((YEAR(D157)+2)&gt;YEAR(E157),1,(12-MONTH(E157)+1)/12))) + (Q157)*(IF((YEAR(D157)+2)&lt;YEAR(E157),0,IF((YEAR(D157)+2)&gt;YEAR(E157),1,(12-MONTH(E157)+1)/12))))-((P157)*(IF((YEAR(D157)+2)&lt;YEAR(E157),0,IF((YEAR(D157)+2)&gt;YEAR(E157),1,(12-MONTH(E157)+1)/12))) + (R157)*(IF((YEAR(D157)+2)&lt;YEAR(E157),0,IF((YEAR(D157)+2)&gt;YEAR(E157),1,(12-MONTH(E157)+1)/12))))-(IF((((K157)*(IF(M157="",L157,IFERROR(IF(INDEX(Variablen!$I:$AT, MATCH(M157, Variablen!$A:$A, 0), MATCH((YEAR(D157)+2), Variablen!$I$3:$AT$3, 0))="",L157,INDEX(Variablen!$I:$AT, MATCH(M157, Variablen!$A:$A, 0), MATCH((YEAR(D157)+2), Variablen!$I$3:$AT$3, 0))),L157)))*(IF((YEAR(D157)+2)&lt;YEAR(E157),0,IF((YEAR(D157)+2)&gt;YEAR(E157),1,(12-MONTH(E157)+1)/12))) + (Q157)*(IF((YEAR(D157)+2)&lt;YEAR(E157),0,IF((YEAR(D157)+2)&gt;YEAR(E157),1,(12-MONTH(E157)+1)/12))))-((P157)*(IF((YEAR(D157)+2)&lt;YEAR(E157),0,IF((YEAR(D157)+2)&gt;YEAR(E157),1,(12-MONTH(E157)+1)/12))) + (R157)*(IF((YEAR(D157)+2)&lt;YEAR(E157),0,IF((YEAR(D157)+2)&gt;YEAR(E157),1,(12-MONTH(E157)+1)/12))))-(IF(OR(N157="",N157&lt;=0),0,(O157/N157)*(IF(OR(N157="",N157&lt;=0),0,IF((YEAR(D157)+2)&lt;YEAR(E157),0,IF((YEAR(D157)+2)&gt;=YEAR(E157)+N157,0,IF((YEAR(D157)+2)=YEAR(E157),(12-MONTH(E157)+1)/12,1))))))))&gt;0,(((K157)*(IF(M157="",L157,IFERROR(IF(INDEX(Variablen!$I:$AT, MATCH(M157, Variablen!$A:$A, 0), MATCH((YEAR(D157)+2), Variablen!$I$3:$AT$3, 0))="",L157,INDEX(Variablen!$I:$AT, MATCH(M157, Variablen!$A:$A, 0), MATCH((YEAR(D157)+2), Variablen!$I$3:$AT$3, 0))),L157)))*(IF((YEAR(D157)+2)&lt;YEAR(E157),0,IF((YEAR(D157)+2)&gt;YEAR(E157),1,(12-MONTH(E157)+1)/12))) + (Q157)*(IF((YEAR(D157)+2)&lt;YEAR(E157),0,IF((YEAR(D157)+2)&gt;YEAR(E157),1,(12-MONTH(E157)+1)/12))))-((P157)*(IF((YEAR(D157)+2)&lt;YEAR(E157),0,IF((YEAR(D157)+2)&gt;YEAR(E157),1,(12-MONTH(E157)+1)/12))) + (R157)*(IF((YEAR(D157)+2)&lt;YEAR(E157),0,IF((YEAR(D157)+2)&gt;YEAR(E157),1,(12-MONTH(E157)+1)/12))))-(IF(OR(N157="",N157&lt;=0),0,(O157/N157)*(IF(OR(N157="",N157&lt;=0),0,IF((YEAR(D157)+2)&lt;YEAR(E157),0,IF((YEAR(D157)+2)&gt;=YEAR(E157)+N157,0,IF((YEAR(D157)+2)=YEAR(E157),(12-MONTH(E157)+1)/12,1))))))))*TaxRate,0))-IF(2=0,O157,0))</f>
        <v/>
      </c>
      <c r="V157" s="29">
        <f>IF(A157="","",((K157)*(IF(M157="",L157,IFERROR(IF(INDEX(Variablen!$I:$AT, MATCH(M157, Variablen!$A:$A, 0), MATCH((YEAR(D157)+3), Variablen!$I$3:$AT$3, 0))="",L157,INDEX(Variablen!$I:$AT, MATCH(M157, Variablen!$A:$A, 0), MATCH((YEAR(D157)+3), Variablen!$I$3:$AT$3, 0))),L157)))*(IF((YEAR(D157)+3)&lt;YEAR(E157),0,IF((YEAR(D157)+3)&gt;YEAR(E157),1,(12-MONTH(E157)+1)/12))) + (Q157)*(IF((YEAR(D157)+3)&lt;YEAR(E157),0,IF((YEAR(D157)+3)&gt;YEAR(E157),1,(12-MONTH(E157)+1)/12))))-((P157)*(IF((YEAR(D157)+3)&lt;YEAR(E157),0,IF((YEAR(D157)+3)&gt;YEAR(E157),1,(12-MONTH(E157)+1)/12))) + (R157)*(IF((YEAR(D157)+3)&lt;YEAR(E157),0,IF((YEAR(D157)+3)&gt;YEAR(E157),1,(12-MONTH(E157)+1)/12))))-(IF((((K157)*(IF(M157="",L157,IFERROR(IF(INDEX(Variablen!$I:$AT, MATCH(M157, Variablen!$A:$A, 0), MATCH((YEAR(D157)+3), Variablen!$I$3:$AT$3, 0))="",L157,INDEX(Variablen!$I:$AT, MATCH(M157, Variablen!$A:$A, 0), MATCH((YEAR(D157)+3), Variablen!$I$3:$AT$3, 0))),L157)))*(IF((YEAR(D157)+3)&lt;YEAR(E157),0,IF((YEAR(D157)+3)&gt;YEAR(E157),1,(12-MONTH(E157)+1)/12))) + (Q157)*(IF((YEAR(D157)+3)&lt;YEAR(E157),0,IF((YEAR(D157)+3)&gt;YEAR(E157),1,(12-MONTH(E157)+1)/12))))-((P157)*(IF((YEAR(D157)+3)&lt;YEAR(E157),0,IF((YEAR(D157)+3)&gt;YEAR(E157),1,(12-MONTH(E157)+1)/12))) + (R157)*(IF((YEAR(D157)+3)&lt;YEAR(E157),0,IF((YEAR(D157)+3)&gt;YEAR(E157),1,(12-MONTH(E157)+1)/12))))-(IF(OR(N157="",N157&lt;=0),0,(O157/N157)*(IF(OR(N157="",N157&lt;=0),0,IF((YEAR(D157)+3)&lt;YEAR(E157),0,IF((YEAR(D157)+3)&gt;=YEAR(E157)+N157,0,IF((YEAR(D157)+3)=YEAR(E157),(12-MONTH(E157)+1)/12,1))))))))&gt;0,(((K157)*(IF(M157="",L157,IFERROR(IF(INDEX(Variablen!$I:$AT, MATCH(M157, Variablen!$A:$A, 0), MATCH((YEAR(D157)+3), Variablen!$I$3:$AT$3, 0))="",L157,INDEX(Variablen!$I:$AT, MATCH(M157, Variablen!$A:$A, 0), MATCH((YEAR(D157)+3), Variablen!$I$3:$AT$3, 0))),L157)))*(IF((YEAR(D157)+3)&lt;YEAR(E157),0,IF((YEAR(D157)+3)&gt;YEAR(E157),1,(12-MONTH(E157)+1)/12))) + (Q157)*(IF((YEAR(D157)+3)&lt;YEAR(E157),0,IF((YEAR(D157)+3)&gt;YEAR(E157),1,(12-MONTH(E157)+1)/12))))-((P157)*(IF((YEAR(D157)+3)&lt;YEAR(E157),0,IF((YEAR(D157)+3)&gt;YEAR(E157),1,(12-MONTH(E157)+1)/12))) + (R157)*(IF((YEAR(D157)+3)&lt;YEAR(E157),0,IF((YEAR(D157)+3)&gt;YEAR(E157),1,(12-MONTH(E157)+1)/12))))-(IF(OR(N157="",N157&lt;=0),0,(O157/N157)*(IF(OR(N157="",N157&lt;=0),0,IF((YEAR(D157)+3)&lt;YEAR(E157),0,IF((YEAR(D157)+3)&gt;=YEAR(E157)+N157,0,IF((YEAR(D157)+3)=YEAR(E157),(12-MONTH(E157)+1)/12,1))))))))*TaxRate,0))-IF(3=0,O157,0))</f>
        <v/>
      </c>
      <c r="W157" s="29">
        <f>IF(A157="","",((K157)*(IF(M157="",L157,IFERROR(IF(INDEX(Variablen!$I:$AT, MATCH(M157, Variablen!$A:$A, 0), MATCH((YEAR(D157)+4), Variablen!$I$3:$AT$3, 0))="",L157,INDEX(Variablen!$I:$AT, MATCH(M157, Variablen!$A:$A, 0), MATCH((YEAR(D157)+4), Variablen!$I$3:$AT$3, 0))),L157)))*(IF((YEAR(D157)+4)&lt;YEAR(E157),0,IF((YEAR(D157)+4)&gt;YEAR(E157),1,(12-MONTH(E157)+1)/12))) + (Q157)*(IF((YEAR(D157)+4)&lt;YEAR(E157),0,IF((YEAR(D157)+4)&gt;YEAR(E157),1,(12-MONTH(E157)+1)/12))))-((P157)*(IF((YEAR(D157)+4)&lt;YEAR(E157),0,IF((YEAR(D157)+4)&gt;YEAR(E157),1,(12-MONTH(E157)+1)/12))) + (R157)*(IF((YEAR(D157)+4)&lt;YEAR(E157),0,IF((YEAR(D157)+4)&gt;YEAR(E157),1,(12-MONTH(E157)+1)/12))))-(IF((((K157)*(IF(M157="",L157,IFERROR(IF(INDEX(Variablen!$I:$AT, MATCH(M157, Variablen!$A:$A, 0), MATCH((YEAR(D157)+4), Variablen!$I$3:$AT$3, 0))="",L157,INDEX(Variablen!$I:$AT, MATCH(M157, Variablen!$A:$A, 0), MATCH((YEAR(D157)+4), Variablen!$I$3:$AT$3, 0))),L157)))*(IF((YEAR(D157)+4)&lt;YEAR(E157),0,IF((YEAR(D157)+4)&gt;YEAR(E157),1,(12-MONTH(E157)+1)/12))) + (Q157)*(IF((YEAR(D157)+4)&lt;YEAR(E157),0,IF((YEAR(D157)+4)&gt;YEAR(E157),1,(12-MONTH(E157)+1)/12))))-((P157)*(IF((YEAR(D157)+4)&lt;YEAR(E157),0,IF((YEAR(D157)+4)&gt;YEAR(E157),1,(12-MONTH(E157)+1)/12))) + (R157)*(IF((YEAR(D157)+4)&lt;YEAR(E157),0,IF((YEAR(D157)+4)&gt;YEAR(E157),1,(12-MONTH(E157)+1)/12))))-(IF(OR(N157="",N157&lt;=0),0,(O157/N157)*(IF(OR(N157="",N157&lt;=0),0,IF((YEAR(D157)+4)&lt;YEAR(E157),0,IF((YEAR(D157)+4)&gt;=YEAR(E157)+N157,0,IF((YEAR(D157)+4)=YEAR(E157),(12-MONTH(E157)+1)/12,1))))))))&gt;0,(((K157)*(IF(M157="",L157,IFERROR(IF(INDEX(Variablen!$I:$AT, MATCH(M157, Variablen!$A:$A, 0), MATCH((YEAR(D157)+4), Variablen!$I$3:$AT$3, 0))="",L157,INDEX(Variablen!$I:$AT, MATCH(M157, Variablen!$A:$A, 0), MATCH((YEAR(D157)+4), Variablen!$I$3:$AT$3, 0))),L157)))*(IF((YEAR(D157)+4)&lt;YEAR(E157),0,IF((YEAR(D157)+4)&gt;YEAR(E157),1,(12-MONTH(E157)+1)/12))) + (Q157)*(IF((YEAR(D157)+4)&lt;YEAR(E157),0,IF((YEAR(D157)+4)&gt;YEAR(E157),1,(12-MONTH(E157)+1)/12))))-((P157)*(IF((YEAR(D157)+4)&lt;YEAR(E157),0,IF((YEAR(D157)+4)&gt;YEAR(E157),1,(12-MONTH(E157)+1)/12))) + (R157)*(IF((YEAR(D157)+4)&lt;YEAR(E157),0,IF((YEAR(D157)+4)&gt;YEAR(E157),1,(12-MONTH(E157)+1)/12))))-(IF(OR(N157="",N157&lt;=0),0,(O157/N157)*(IF(OR(N157="",N157&lt;=0),0,IF((YEAR(D157)+4)&lt;YEAR(E157),0,IF((YEAR(D157)+4)&gt;=YEAR(E157)+N157,0,IF((YEAR(D157)+4)=YEAR(E157),(12-MONTH(E157)+1)/12,1))))))))*TaxRate,0))-IF(4=0,O157,0))</f>
        <v/>
      </c>
      <c r="X157" s="29">
        <f>IF(A157="","",((K157)*(IF(M157="",L157,IFERROR(IF(INDEX(Variablen!$I:$AT, MATCH(M157, Variablen!$A:$A, 0), MATCH((YEAR(D157)+5), Variablen!$I$3:$AT$3, 0))="",L157,INDEX(Variablen!$I:$AT, MATCH(M157, Variablen!$A:$A, 0), MATCH((YEAR(D157)+5), Variablen!$I$3:$AT$3, 0))),L157)))*(IF((YEAR(D157)+5)&lt;YEAR(E157),0,IF((YEAR(D157)+5)&gt;YEAR(E157),1,(12-MONTH(E157)+1)/12))) + (Q157)*(IF((YEAR(D157)+5)&lt;YEAR(E157),0,IF((YEAR(D157)+5)&gt;YEAR(E157),1,(12-MONTH(E157)+1)/12))))-((P157)*(IF((YEAR(D157)+5)&lt;YEAR(E157),0,IF((YEAR(D157)+5)&gt;YEAR(E157),1,(12-MONTH(E157)+1)/12))) + (R157)*(IF((YEAR(D157)+5)&lt;YEAR(E157),0,IF((YEAR(D157)+5)&gt;YEAR(E157),1,(12-MONTH(E157)+1)/12))))-(IF((((K157)*(IF(M157="",L157,IFERROR(IF(INDEX(Variablen!$I:$AT, MATCH(M157, Variablen!$A:$A, 0), MATCH((YEAR(D157)+5), Variablen!$I$3:$AT$3, 0))="",L157,INDEX(Variablen!$I:$AT, MATCH(M157, Variablen!$A:$A, 0), MATCH((YEAR(D157)+5), Variablen!$I$3:$AT$3, 0))),L157)))*(IF((YEAR(D157)+5)&lt;YEAR(E157),0,IF((YEAR(D157)+5)&gt;YEAR(E157),1,(12-MONTH(E157)+1)/12))) + (Q157)*(IF((YEAR(D157)+5)&lt;YEAR(E157),0,IF((YEAR(D157)+5)&gt;YEAR(E157),1,(12-MONTH(E157)+1)/12))))-((P157)*(IF((YEAR(D157)+5)&lt;YEAR(E157),0,IF((YEAR(D157)+5)&gt;YEAR(E157),1,(12-MONTH(E157)+1)/12))) + (R157)*(IF((YEAR(D157)+5)&lt;YEAR(E157),0,IF((YEAR(D157)+5)&gt;YEAR(E157),1,(12-MONTH(E157)+1)/12))))-(IF(OR(N157="",N157&lt;=0),0,(O157/N157)*(IF(OR(N157="",N157&lt;=0),0,IF((YEAR(D157)+5)&lt;YEAR(E157),0,IF((YEAR(D157)+5)&gt;=YEAR(E157)+N157,0,IF((YEAR(D157)+5)=YEAR(E157),(12-MONTH(E157)+1)/12,1))))))))&gt;0,(((K157)*(IF(M157="",L157,IFERROR(IF(INDEX(Variablen!$I:$AT, MATCH(M157, Variablen!$A:$A, 0), MATCH((YEAR(D157)+5), Variablen!$I$3:$AT$3, 0))="",L157,INDEX(Variablen!$I:$AT, MATCH(M157, Variablen!$A:$A, 0), MATCH((YEAR(D157)+5), Variablen!$I$3:$AT$3, 0))),L157)))*(IF((YEAR(D157)+5)&lt;YEAR(E157),0,IF((YEAR(D157)+5)&gt;YEAR(E157),1,(12-MONTH(E157)+1)/12))) + (Q157)*(IF((YEAR(D157)+5)&lt;YEAR(E157),0,IF((YEAR(D157)+5)&gt;YEAR(E157),1,(12-MONTH(E157)+1)/12))))-((P157)*(IF((YEAR(D157)+5)&lt;YEAR(E157),0,IF((YEAR(D157)+5)&gt;YEAR(E157),1,(12-MONTH(E157)+1)/12))) + (R157)*(IF((YEAR(D157)+5)&lt;YEAR(E157),0,IF((YEAR(D157)+5)&gt;YEAR(E157),1,(12-MONTH(E157)+1)/12))))-(IF(OR(N157="",N157&lt;=0),0,(O157/N157)*(IF(OR(N157="",N157&lt;=0),0,IF((YEAR(D157)+5)&lt;YEAR(E157),0,IF((YEAR(D157)+5)&gt;=YEAR(E157)+N157,0,IF((YEAR(D157)+5)=YEAR(E157),(12-MONTH(E157)+1)/12,1))))))))*TaxRate,0))-IF(5=0,O157,0))</f>
        <v/>
      </c>
      <c r="Y157" s="29">
        <f>IF(A157="","",((K157)*(IF(M157="",L157,IFERROR(IF(INDEX(Variablen!$I:$AT, MATCH(M157, Variablen!$A:$A, 0), MATCH((YEAR(D157)+6), Variablen!$I$3:$AT$3, 0))="",L157,INDEX(Variablen!$I:$AT, MATCH(M157, Variablen!$A:$A, 0), MATCH((YEAR(D157)+6), Variablen!$I$3:$AT$3, 0))),L157)))*(IF((YEAR(D157)+6)&lt;YEAR(E157),0,IF((YEAR(D157)+6)&gt;YEAR(E157),1,(12-MONTH(E157)+1)/12))) + (Q157)*(IF((YEAR(D157)+6)&lt;YEAR(E157),0,IF((YEAR(D157)+6)&gt;YEAR(E157),1,(12-MONTH(E157)+1)/12))))-((P157)*(IF((YEAR(D157)+6)&lt;YEAR(E157),0,IF((YEAR(D157)+6)&gt;YEAR(E157),1,(12-MONTH(E157)+1)/12))) + (R157)*(IF((YEAR(D157)+6)&lt;YEAR(E157),0,IF((YEAR(D157)+6)&gt;YEAR(E157),1,(12-MONTH(E157)+1)/12))))-(IF((((K157)*(IF(M157="",L157,IFERROR(IF(INDEX(Variablen!$I:$AT, MATCH(M157, Variablen!$A:$A, 0), MATCH((YEAR(D157)+6), Variablen!$I$3:$AT$3, 0))="",L157,INDEX(Variablen!$I:$AT, MATCH(M157, Variablen!$A:$A, 0), MATCH((YEAR(D157)+6), Variablen!$I$3:$AT$3, 0))),L157)))*(IF((YEAR(D157)+6)&lt;YEAR(E157),0,IF((YEAR(D157)+6)&gt;YEAR(E157),1,(12-MONTH(E157)+1)/12))) + (Q157)*(IF((YEAR(D157)+6)&lt;YEAR(E157),0,IF((YEAR(D157)+6)&gt;YEAR(E157),1,(12-MONTH(E157)+1)/12))))-((P157)*(IF((YEAR(D157)+6)&lt;YEAR(E157),0,IF((YEAR(D157)+6)&gt;YEAR(E157),1,(12-MONTH(E157)+1)/12))) + (R157)*(IF((YEAR(D157)+6)&lt;YEAR(E157),0,IF((YEAR(D157)+6)&gt;YEAR(E157),1,(12-MONTH(E157)+1)/12))))-(IF(OR(N157="",N157&lt;=0),0,(O157/N157)*(IF(OR(N157="",N157&lt;=0),0,IF((YEAR(D157)+6)&lt;YEAR(E157),0,IF((YEAR(D157)+6)&gt;=YEAR(E157)+N157,0,IF((YEAR(D157)+6)=YEAR(E157),(12-MONTH(E157)+1)/12,1))))))))&gt;0,(((K157)*(IF(M157="",L157,IFERROR(IF(INDEX(Variablen!$I:$AT, MATCH(M157, Variablen!$A:$A, 0), MATCH((YEAR(D157)+6), Variablen!$I$3:$AT$3, 0))="",L157,INDEX(Variablen!$I:$AT, MATCH(M157, Variablen!$A:$A, 0), MATCH((YEAR(D157)+6), Variablen!$I$3:$AT$3, 0))),L157)))*(IF((YEAR(D157)+6)&lt;YEAR(E157),0,IF((YEAR(D157)+6)&gt;YEAR(E157),1,(12-MONTH(E157)+1)/12))) + (Q157)*(IF((YEAR(D157)+6)&lt;YEAR(E157),0,IF((YEAR(D157)+6)&gt;YEAR(E157),1,(12-MONTH(E157)+1)/12))))-((P157)*(IF((YEAR(D157)+6)&lt;YEAR(E157),0,IF((YEAR(D157)+6)&gt;YEAR(E157),1,(12-MONTH(E157)+1)/12))) + (R157)*(IF((YEAR(D157)+6)&lt;YEAR(E157),0,IF((YEAR(D157)+6)&gt;YEAR(E157),1,(12-MONTH(E157)+1)/12))))-(IF(OR(N157="",N157&lt;=0),0,(O157/N157)*(IF(OR(N157="",N157&lt;=0),0,IF((YEAR(D157)+6)&lt;YEAR(E157),0,IF((YEAR(D157)+6)&gt;=YEAR(E157)+N157,0,IF((YEAR(D157)+6)=YEAR(E157),(12-MONTH(E157)+1)/12,1))))))))*TaxRate,0))-IF(6=0,O157,0))</f>
        <v/>
      </c>
      <c r="Z157" s="29">
        <f>IF(A157="","",((K157)*(IF(M157="",L157,IFERROR(IF(INDEX(Variablen!$I:$AT, MATCH(M157, Variablen!$A:$A, 0), MATCH((YEAR(D157)+7), Variablen!$I$3:$AT$3, 0))="",L157,INDEX(Variablen!$I:$AT, MATCH(M157, Variablen!$A:$A, 0), MATCH((YEAR(D157)+7), Variablen!$I$3:$AT$3, 0))),L157)))*(IF((YEAR(D157)+7)&lt;YEAR(E157),0,IF((YEAR(D157)+7)&gt;YEAR(E157),1,(12-MONTH(E157)+1)/12))) + (Q157)*(IF((YEAR(D157)+7)&lt;YEAR(E157),0,IF((YEAR(D157)+7)&gt;YEAR(E157),1,(12-MONTH(E157)+1)/12))))-((P157)*(IF((YEAR(D157)+7)&lt;YEAR(E157),0,IF((YEAR(D157)+7)&gt;YEAR(E157),1,(12-MONTH(E157)+1)/12))) + (R157)*(IF((YEAR(D157)+7)&lt;YEAR(E157),0,IF((YEAR(D157)+7)&gt;YEAR(E157),1,(12-MONTH(E157)+1)/12))))-(IF((((K157)*(IF(M157="",L157,IFERROR(IF(INDEX(Variablen!$I:$AT, MATCH(M157, Variablen!$A:$A, 0), MATCH((YEAR(D157)+7), Variablen!$I$3:$AT$3, 0))="",L157,INDEX(Variablen!$I:$AT, MATCH(M157, Variablen!$A:$A, 0), MATCH((YEAR(D157)+7), Variablen!$I$3:$AT$3, 0))),L157)))*(IF((YEAR(D157)+7)&lt;YEAR(E157),0,IF((YEAR(D157)+7)&gt;YEAR(E157),1,(12-MONTH(E157)+1)/12))) + (Q157)*(IF((YEAR(D157)+7)&lt;YEAR(E157),0,IF((YEAR(D157)+7)&gt;YEAR(E157),1,(12-MONTH(E157)+1)/12))))-((P157)*(IF((YEAR(D157)+7)&lt;YEAR(E157),0,IF((YEAR(D157)+7)&gt;YEAR(E157),1,(12-MONTH(E157)+1)/12))) + (R157)*(IF((YEAR(D157)+7)&lt;YEAR(E157),0,IF((YEAR(D157)+7)&gt;YEAR(E157),1,(12-MONTH(E157)+1)/12))))-(IF(OR(N157="",N157&lt;=0),0,(O157/N157)*(IF(OR(N157="",N157&lt;=0),0,IF((YEAR(D157)+7)&lt;YEAR(E157),0,IF((YEAR(D157)+7)&gt;=YEAR(E157)+N157,0,IF((YEAR(D157)+7)=YEAR(E157),(12-MONTH(E157)+1)/12,1))))))))&gt;0,(((K157)*(IF(M157="",L157,IFERROR(IF(INDEX(Variablen!$I:$AT, MATCH(M157, Variablen!$A:$A, 0), MATCH((YEAR(D157)+7), Variablen!$I$3:$AT$3, 0))="",L157,INDEX(Variablen!$I:$AT, MATCH(M157, Variablen!$A:$A, 0), MATCH((YEAR(D157)+7), Variablen!$I$3:$AT$3, 0))),L157)))*(IF((YEAR(D157)+7)&lt;YEAR(E157),0,IF((YEAR(D157)+7)&gt;YEAR(E157),1,(12-MONTH(E157)+1)/12))) + (Q157)*(IF((YEAR(D157)+7)&lt;YEAR(E157),0,IF((YEAR(D157)+7)&gt;YEAR(E157),1,(12-MONTH(E157)+1)/12))))-((P157)*(IF((YEAR(D157)+7)&lt;YEAR(E157),0,IF((YEAR(D157)+7)&gt;YEAR(E157),1,(12-MONTH(E157)+1)/12))) + (R157)*(IF((YEAR(D157)+7)&lt;YEAR(E157),0,IF((YEAR(D157)+7)&gt;YEAR(E157),1,(12-MONTH(E157)+1)/12))))-(IF(OR(N157="",N157&lt;=0),0,(O157/N157)*(IF(OR(N157="",N157&lt;=0),0,IF((YEAR(D157)+7)&lt;YEAR(E157),0,IF((YEAR(D157)+7)&gt;=YEAR(E157)+N157,0,IF((YEAR(D157)+7)=YEAR(E157),(12-MONTH(E157)+1)/12,1))))))))*TaxRate,0))-IF(7=0,O157,0))</f>
        <v/>
      </c>
      <c r="AA157" s="29">
        <f>IF(A157="","",((K157)*(IF(M157="",L157,IFERROR(IF(INDEX(Variablen!$I:$AT, MATCH(M157, Variablen!$A:$A, 0), MATCH((YEAR(D157)+8), Variablen!$I$3:$AT$3, 0))="",L157,INDEX(Variablen!$I:$AT, MATCH(M157, Variablen!$A:$A, 0), MATCH((YEAR(D157)+8), Variablen!$I$3:$AT$3, 0))),L157)))*(IF((YEAR(D157)+8)&lt;YEAR(E157),0,IF((YEAR(D157)+8)&gt;YEAR(E157),1,(12-MONTH(E157)+1)/12))) + (Q157)*(IF((YEAR(D157)+8)&lt;YEAR(E157),0,IF((YEAR(D157)+8)&gt;YEAR(E157),1,(12-MONTH(E157)+1)/12))))-((P157)*(IF((YEAR(D157)+8)&lt;YEAR(E157),0,IF((YEAR(D157)+8)&gt;YEAR(E157),1,(12-MONTH(E157)+1)/12))) + (R157)*(IF((YEAR(D157)+8)&lt;YEAR(E157),0,IF((YEAR(D157)+8)&gt;YEAR(E157),1,(12-MONTH(E157)+1)/12))))-(IF((((K157)*(IF(M157="",L157,IFERROR(IF(INDEX(Variablen!$I:$AT, MATCH(M157, Variablen!$A:$A, 0), MATCH((YEAR(D157)+8), Variablen!$I$3:$AT$3, 0))="",L157,INDEX(Variablen!$I:$AT, MATCH(M157, Variablen!$A:$A, 0), MATCH((YEAR(D157)+8), Variablen!$I$3:$AT$3, 0))),L157)))*(IF((YEAR(D157)+8)&lt;YEAR(E157),0,IF((YEAR(D157)+8)&gt;YEAR(E157),1,(12-MONTH(E157)+1)/12))) + (Q157)*(IF((YEAR(D157)+8)&lt;YEAR(E157),0,IF((YEAR(D157)+8)&gt;YEAR(E157),1,(12-MONTH(E157)+1)/12))))-((P157)*(IF((YEAR(D157)+8)&lt;YEAR(E157),0,IF((YEAR(D157)+8)&gt;YEAR(E157),1,(12-MONTH(E157)+1)/12))) + (R157)*(IF((YEAR(D157)+8)&lt;YEAR(E157),0,IF((YEAR(D157)+8)&gt;YEAR(E157),1,(12-MONTH(E157)+1)/12))))-(IF(OR(N157="",N157&lt;=0),0,(O157/N157)*(IF(OR(N157="",N157&lt;=0),0,IF((YEAR(D157)+8)&lt;YEAR(E157),0,IF((YEAR(D157)+8)&gt;=YEAR(E157)+N157,0,IF((YEAR(D157)+8)=YEAR(E157),(12-MONTH(E157)+1)/12,1))))))))&gt;0,(((K157)*(IF(M157="",L157,IFERROR(IF(INDEX(Variablen!$I:$AT, MATCH(M157, Variablen!$A:$A, 0), MATCH((YEAR(D157)+8), Variablen!$I$3:$AT$3, 0))="",L157,INDEX(Variablen!$I:$AT, MATCH(M157, Variablen!$A:$A, 0), MATCH((YEAR(D157)+8), Variablen!$I$3:$AT$3, 0))),L157)))*(IF((YEAR(D157)+8)&lt;YEAR(E157),0,IF((YEAR(D157)+8)&gt;YEAR(E157),1,(12-MONTH(E157)+1)/12))) + (Q157)*(IF((YEAR(D157)+8)&lt;YEAR(E157),0,IF((YEAR(D157)+8)&gt;YEAR(E157),1,(12-MONTH(E157)+1)/12))))-((P157)*(IF((YEAR(D157)+8)&lt;YEAR(E157),0,IF((YEAR(D157)+8)&gt;YEAR(E157),1,(12-MONTH(E157)+1)/12))) + (R157)*(IF((YEAR(D157)+8)&lt;YEAR(E157),0,IF((YEAR(D157)+8)&gt;YEAR(E157),1,(12-MONTH(E157)+1)/12))))-(IF(OR(N157="",N157&lt;=0),0,(O157/N157)*(IF(OR(N157="",N157&lt;=0),0,IF((YEAR(D157)+8)&lt;YEAR(E157),0,IF((YEAR(D157)+8)&gt;=YEAR(E157)+N157,0,IF((YEAR(D157)+8)=YEAR(E157),(12-MONTH(E157)+1)/12,1))))))))*TaxRate,0))-IF(8=0,O157,0))</f>
        <v/>
      </c>
      <c r="AB157" s="29">
        <f>IF(A157="","",((K157)*(IF(M157="",L157,IFERROR(IF(INDEX(Variablen!$I:$AT, MATCH(M157, Variablen!$A:$A, 0), MATCH((YEAR(D157)+9), Variablen!$I$3:$AT$3, 0))="",L157,INDEX(Variablen!$I:$AT, MATCH(M157, Variablen!$A:$A, 0), MATCH((YEAR(D157)+9), Variablen!$I$3:$AT$3, 0))),L157)))*(IF((YEAR(D157)+9)&lt;YEAR(E157),0,IF((YEAR(D157)+9)&gt;YEAR(E157),1,(12-MONTH(E157)+1)/12))) + (Q157)*(IF((YEAR(D157)+9)&lt;YEAR(E157),0,IF((YEAR(D157)+9)&gt;YEAR(E157),1,(12-MONTH(E157)+1)/12))))-((P157)*(IF((YEAR(D157)+9)&lt;YEAR(E157),0,IF((YEAR(D157)+9)&gt;YEAR(E157),1,(12-MONTH(E157)+1)/12))) + (R157)*(IF((YEAR(D157)+9)&lt;YEAR(E157),0,IF((YEAR(D157)+9)&gt;YEAR(E157),1,(12-MONTH(E157)+1)/12))))-(IF((((K157)*(IF(M157="",L157,IFERROR(IF(INDEX(Variablen!$I:$AT, MATCH(M157, Variablen!$A:$A, 0), MATCH((YEAR(D157)+9), Variablen!$I$3:$AT$3, 0))="",L157,INDEX(Variablen!$I:$AT, MATCH(M157, Variablen!$A:$A, 0), MATCH((YEAR(D157)+9), Variablen!$I$3:$AT$3, 0))),L157)))*(IF((YEAR(D157)+9)&lt;YEAR(E157),0,IF((YEAR(D157)+9)&gt;YEAR(E157),1,(12-MONTH(E157)+1)/12))) + (Q157)*(IF((YEAR(D157)+9)&lt;YEAR(E157),0,IF((YEAR(D157)+9)&gt;YEAR(E157),1,(12-MONTH(E157)+1)/12))))-((P157)*(IF((YEAR(D157)+9)&lt;YEAR(E157),0,IF((YEAR(D157)+9)&gt;YEAR(E157),1,(12-MONTH(E157)+1)/12))) + (R157)*(IF((YEAR(D157)+9)&lt;YEAR(E157),0,IF((YEAR(D157)+9)&gt;YEAR(E157),1,(12-MONTH(E157)+1)/12))))-(IF(OR(N157="",N157&lt;=0),0,(O157/N157)*(IF(OR(N157="",N157&lt;=0),0,IF((YEAR(D157)+9)&lt;YEAR(E157),0,IF((YEAR(D157)+9)&gt;=YEAR(E157)+N157,0,IF((YEAR(D157)+9)=YEAR(E157),(12-MONTH(E157)+1)/12,1))))))))&gt;0,(((K157)*(IF(M157="",L157,IFERROR(IF(INDEX(Variablen!$I:$AT, MATCH(M157, Variablen!$A:$A, 0), MATCH((YEAR(D157)+9), Variablen!$I$3:$AT$3, 0))="",L157,INDEX(Variablen!$I:$AT, MATCH(M157, Variablen!$A:$A, 0), MATCH((YEAR(D157)+9), Variablen!$I$3:$AT$3, 0))),L157)))*(IF((YEAR(D157)+9)&lt;YEAR(E157),0,IF((YEAR(D157)+9)&gt;YEAR(E157),1,(12-MONTH(E157)+1)/12))) + (Q157)*(IF((YEAR(D157)+9)&lt;YEAR(E157),0,IF((YEAR(D157)+9)&gt;YEAR(E157),1,(12-MONTH(E157)+1)/12))))-((P157)*(IF((YEAR(D157)+9)&lt;YEAR(E157),0,IF((YEAR(D157)+9)&gt;YEAR(E157),1,(12-MONTH(E157)+1)/12))) + (R157)*(IF((YEAR(D157)+9)&lt;YEAR(E157),0,IF((YEAR(D157)+9)&gt;YEAR(E157),1,(12-MONTH(E157)+1)/12))))-(IF(OR(N157="",N157&lt;=0),0,(O157/N157)*(IF(OR(N157="",N157&lt;=0),0,IF((YEAR(D157)+9)&lt;YEAR(E157),0,IF((YEAR(D157)+9)&gt;=YEAR(E157)+N157,0,IF((YEAR(D157)+9)=YEAR(E157),(12-MONTH(E157)+1)/12,1))))))))*TaxRate,0))-IF(9=0,O157,0))</f>
        <v/>
      </c>
      <c r="AC157" s="29">
        <f>IF(A157="","",((K157)*(IF(M157="",L157,IFERROR(IF(INDEX(Variablen!$I:$AT, MATCH(M157, Variablen!$A:$A, 0), MATCH((YEAR(D157)+10), Variablen!$I$3:$AT$3, 0))="",L157,INDEX(Variablen!$I:$AT, MATCH(M157, Variablen!$A:$A, 0), MATCH((YEAR(D157)+10), Variablen!$I$3:$AT$3, 0))),L157)))*(IF((YEAR(D157)+10)&lt;YEAR(E157),0,IF((YEAR(D157)+10)&gt;YEAR(E157),1,(12-MONTH(E157)+1)/12))) + (Q157)*(IF((YEAR(D157)+10)&lt;YEAR(E157),0,IF((YEAR(D157)+10)&gt;YEAR(E157),1,(12-MONTH(E157)+1)/12))))-((P157)*(IF((YEAR(D157)+10)&lt;YEAR(E157),0,IF((YEAR(D157)+10)&gt;YEAR(E157),1,(12-MONTH(E157)+1)/12))) + (R157)*(IF((YEAR(D157)+10)&lt;YEAR(E157),0,IF((YEAR(D157)+10)&gt;YEAR(E157),1,(12-MONTH(E157)+1)/12))))-(IF((((K157)*(IF(M157="",L157,IFERROR(IF(INDEX(Variablen!$I:$AT, MATCH(M157, Variablen!$A:$A, 0), MATCH((YEAR(D157)+10), Variablen!$I$3:$AT$3, 0))="",L157,INDEX(Variablen!$I:$AT, MATCH(M157, Variablen!$A:$A, 0), MATCH((YEAR(D157)+10), Variablen!$I$3:$AT$3, 0))),L157)))*(IF((YEAR(D157)+10)&lt;YEAR(E157),0,IF((YEAR(D157)+10)&gt;YEAR(E157),1,(12-MONTH(E157)+1)/12))) + (Q157)*(IF((YEAR(D157)+10)&lt;YEAR(E157),0,IF((YEAR(D157)+10)&gt;YEAR(E157),1,(12-MONTH(E157)+1)/12))))-((P157)*(IF((YEAR(D157)+10)&lt;YEAR(E157),0,IF((YEAR(D157)+10)&gt;YEAR(E157),1,(12-MONTH(E157)+1)/12))) + (R157)*(IF((YEAR(D157)+10)&lt;YEAR(E157),0,IF((YEAR(D157)+10)&gt;YEAR(E157),1,(12-MONTH(E157)+1)/12))))-(IF(OR(N157="",N157&lt;=0),0,(O157/N157)*(IF(OR(N157="",N157&lt;=0),0,IF((YEAR(D157)+10)&lt;YEAR(E157),0,IF((YEAR(D157)+10)&gt;=YEAR(E157)+N157,0,IF((YEAR(D157)+10)=YEAR(E157),(12-MONTH(E157)+1)/12,1))))))))&gt;0,(((K157)*(IF(M157="",L157,IFERROR(IF(INDEX(Variablen!$I:$AT, MATCH(M157, Variablen!$A:$A, 0), MATCH((YEAR(D157)+10), Variablen!$I$3:$AT$3, 0))="",L157,INDEX(Variablen!$I:$AT, MATCH(M157, Variablen!$A:$A, 0), MATCH((YEAR(D157)+10), Variablen!$I$3:$AT$3, 0))),L157)))*(IF((YEAR(D157)+10)&lt;YEAR(E157),0,IF((YEAR(D157)+10)&gt;YEAR(E157),1,(12-MONTH(E157)+1)/12))) + (Q157)*(IF((YEAR(D157)+10)&lt;YEAR(E157),0,IF((YEAR(D157)+10)&gt;YEAR(E157),1,(12-MONTH(E157)+1)/12))))-((P157)*(IF((YEAR(D157)+10)&lt;YEAR(E157),0,IF((YEAR(D157)+10)&gt;YEAR(E157),1,(12-MONTH(E157)+1)/12))) + (R157)*(IF((YEAR(D157)+10)&lt;YEAR(E157),0,IF((YEAR(D157)+10)&gt;YEAR(E157),1,(12-MONTH(E157)+1)/12))))-(IF(OR(N157="",N157&lt;=0),0,(O157/N157)*(IF(OR(N157="",N157&lt;=0),0,IF((YEAR(D157)+10)&lt;YEAR(E157),0,IF((YEAR(D157)+10)&gt;=YEAR(E157)+N157,0,IF((YEAR(D157)+10)=YEAR(E157),(12-MONTH(E157)+1)/12,1))))))))*TaxRate,0))-IF(10=0,O157,0))</f>
        <v/>
      </c>
      <c r="AD157" s="29">
        <f>IF(A157="","",((K157)*(IF(M157="",L157,IFERROR(IF(INDEX(Variablen!$I:$AT, MATCH(M157, Variablen!$A:$A, 0), MATCH((YEAR(D157)+11), Variablen!$I$3:$AT$3, 0))="",L157,INDEX(Variablen!$I:$AT, MATCH(M157, Variablen!$A:$A, 0), MATCH((YEAR(D157)+11), Variablen!$I$3:$AT$3, 0))),L157)))*(IF((YEAR(D157)+11)&lt;YEAR(E157),0,IF((YEAR(D157)+11)&gt;YEAR(E157),1,(12-MONTH(E157)+1)/12))) + (Q157)*(IF((YEAR(D157)+11)&lt;YEAR(E157),0,IF((YEAR(D157)+11)&gt;YEAR(E157),1,(12-MONTH(E157)+1)/12))))-((P157)*(IF((YEAR(D157)+11)&lt;YEAR(E157),0,IF((YEAR(D157)+11)&gt;YEAR(E157),1,(12-MONTH(E157)+1)/12))) + (R157)*(IF((YEAR(D157)+11)&lt;YEAR(E157),0,IF((YEAR(D157)+11)&gt;YEAR(E157),1,(12-MONTH(E157)+1)/12))))-(IF((((K157)*(IF(M157="",L157,IFERROR(IF(INDEX(Variablen!$I:$AT, MATCH(M157, Variablen!$A:$A, 0), MATCH((YEAR(D157)+11), Variablen!$I$3:$AT$3, 0))="",L157,INDEX(Variablen!$I:$AT, MATCH(M157, Variablen!$A:$A, 0), MATCH((YEAR(D157)+11), Variablen!$I$3:$AT$3, 0))),L157)))*(IF((YEAR(D157)+11)&lt;YEAR(E157),0,IF((YEAR(D157)+11)&gt;YEAR(E157),1,(12-MONTH(E157)+1)/12))) + (Q157)*(IF((YEAR(D157)+11)&lt;YEAR(E157),0,IF((YEAR(D157)+11)&gt;YEAR(E157),1,(12-MONTH(E157)+1)/12))))-((P157)*(IF((YEAR(D157)+11)&lt;YEAR(E157),0,IF((YEAR(D157)+11)&gt;YEAR(E157),1,(12-MONTH(E157)+1)/12))) + (R157)*(IF((YEAR(D157)+11)&lt;YEAR(E157),0,IF((YEAR(D157)+11)&gt;YEAR(E157),1,(12-MONTH(E157)+1)/12))))-(IF(OR(N157="",N157&lt;=0),0,(O157/N157)*(IF(OR(N157="",N157&lt;=0),0,IF((YEAR(D157)+11)&lt;YEAR(E157),0,IF((YEAR(D157)+11)&gt;=YEAR(E157)+N157,0,IF((YEAR(D157)+11)=YEAR(E157),(12-MONTH(E157)+1)/12,1))))))))&gt;0,(((K157)*(IF(M157="",L157,IFERROR(IF(INDEX(Variablen!$I:$AT, MATCH(M157, Variablen!$A:$A, 0), MATCH((YEAR(D157)+11), Variablen!$I$3:$AT$3, 0))="",L157,INDEX(Variablen!$I:$AT, MATCH(M157, Variablen!$A:$A, 0), MATCH((YEAR(D157)+11), Variablen!$I$3:$AT$3, 0))),L157)))*(IF((YEAR(D157)+11)&lt;YEAR(E157),0,IF((YEAR(D157)+11)&gt;YEAR(E157),1,(12-MONTH(E157)+1)/12))) + (Q157)*(IF((YEAR(D157)+11)&lt;YEAR(E157),0,IF((YEAR(D157)+11)&gt;YEAR(E157),1,(12-MONTH(E157)+1)/12))))-((P157)*(IF((YEAR(D157)+11)&lt;YEAR(E157),0,IF((YEAR(D157)+11)&gt;YEAR(E157),1,(12-MONTH(E157)+1)/12))) + (R157)*(IF((YEAR(D157)+11)&lt;YEAR(E157),0,IF((YEAR(D157)+11)&gt;YEAR(E157),1,(12-MONTH(E157)+1)/12))))-(IF(OR(N157="",N157&lt;=0),0,(O157/N157)*(IF(OR(N157="",N157&lt;=0),0,IF((YEAR(D157)+11)&lt;YEAR(E157),0,IF((YEAR(D157)+11)&gt;=YEAR(E157)+N157,0,IF((YEAR(D157)+11)=YEAR(E157),(12-MONTH(E157)+1)/12,1))))))))*TaxRate,0))-IF(11=0,O157,0))</f>
        <v/>
      </c>
      <c r="AE157" s="29">
        <f>IF(A157="","",((K157)*(IF(M157="",L157,IFERROR(IF(INDEX(Variablen!$I:$AT, MATCH(M157, Variablen!$A:$A, 0), MATCH((YEAR(D157)+12), Variablen!$I$3:$AT$3, 0))="",L157,INDEX(Variablen!$I:$AT, MATCH(M157, Variablen!$A:$A, 0), MATCH((YEAR(D157)+12), Variablen!$I$3:$AT$3, 0))),L157)))*(IF((YEAR(D157)+12)&lt;YEAR(E157),0,IF((YEAR(D157)+12)&gt;YEAR(E157),1,(12-MONTH(E157)+1)/12))) + (Q157)*(IF((YEAR(D157)+12)&lt;YEAR(E157),0,IF((YEAR(D157)+12)&gt;YEAR(E157),1,(12-MONTH(E157)+1)/12))))-((P157)*(IF((YEAR(D157)+12)&lt;YEAR(E157),0,IF((YEAR(D157)+12)&gt;YEAR(E157),1,(12-MONTH(E157)+1)/12))) + (R157)*(IF((YEAR(D157)+12)&lt;YEAR(E157),0,IF((YEAR(D157)+12)&gt;YEAR(E157),1,(12-MONTH(E157)+1)/12))))-(IF((((K157)*(IF(M157="",L157,IFERROR(IF(INDEX(Variablen!$I:$AT, MATCH(M157, Variablen!$A:$A, 0), MATCH((YEAR(D157)+12), Variablen!$I$3:$AT$3, 0))="",L157,INDEX(Variablen!$I:$AT, MATCH(M157, Variablen!$A:$A, 0), MATCH((YEAR(D157)+12), Variablen!$I$3:$AT$3, 0))),L157)))*(IF((YEAR(D157)+12)&lt;YEAR(E157),0,IF((YEAR(D157)+12)&gt;YEAR(E157),1,(12-MONTH(E157)+1)/12))) + (Q157)*(IF((YEAR(D157)+12)&lt;YEAR(E157),0,IF((YEAR(D157)+12)&gt;YEAR(E157),1,(12-MONTH(E157)+1)/12))))-((P157)*(IF((YEAR(D157)+12)&lt;YEAR(E157),0,IF((YEAR(D157)+12)&gt;YEAR(E157),1,(12-MONTH(E157)+1)/12))) + (R157)*(IF((YEAR(D157)+12)&lt;YEAR(E157),0,IF((YEAR(D157)+12)&gt;YEAR(E157),1,(12-MONTH(E157)+1)/12))))-(IF(OR(N157="",N157&lt;=0),0,(O157/N157)*(IF(OR(N157="",N157&lt;=0),0,IF((YEAR(D157)+12)&lt;YEAR(E157),0,IF((YEAR(D157)+12)&gt;=YEAR(E157)+N157,0,IF((YEAR(D157)+12)=YEAR(E157),(12-MONTH(E157)+1)/12,1))))))))&gt;0,(((K157)*(IF(M157="",L157,IFERROR(IF(INDEX(Variablen!$I:$AT, MATCH(M157, Variablen!$A:$A, 0), MATCH((YEAR(D157)+12), Variablen!$I$3:$AT$3, 0))="",L157,INDEX(Variablen!$I:$AT, MATCH(M157, Variablen!$A:$A, 0), MATCH((YEAR(D157)+12), Variablen!$I$3:$AT$3, 0))),L157)))*(IF((YEAR(D157)+12)&lt;YEAR(E157),0,IF((YEAR(D157)+12)&gt;YEAR(E157),1,(12-MONTH(E157)+1)/12))) + (Q157)*(IF((YEAR(D157)+12)&lt;YEAR(E157),0,IF((YEAR(D157)+12)&gt;YEAR(E157),1,(12-MONTH(E157)+1)/12))))-((P157)*(IF((YEAR(D157)+12)&lt;YEAR(E157),0,IF((YEAR(D157)+12)&gt;YEAR(E157),1,(12-MONTH(E157)+1)/12))) + (R157)*(IF((YEAR(D157)+12)&lt;YEAR(E157),0,IF((YEAR(D157)+12)&gt;YEAR(E157),1,(12-MONTH(E157)+1)/12))))-(IF(OR(N157="",N157&lt;=0),0,(O157/N157)*(IF(OR(N157="",N157&lt;=0),0,IF((YEAR(D157)+12)&lt;YEAR(E157),0,IF((YEAR(D157)+12)&gt;=YEAR(E157)+N157,0,IF((YEAR(D157)+12)=YEAR(E157),(12-MONTH(E157)+1)/12,1))))))))*TaxRate,0))-IF(12=0,O157,0))</f>
        <v/>
      </c>
      <c r="AF157" s="29">
        <f>IF(A157="","",((K157)*(IF(M157="",L157,IFERROR(IF(INDEX(Variablen!$I:$AT, MATCH(M157, Variablen!$A:$A, 0), MATCH((YEAR(D157)+13), Variablen!$I$3:$AT$3, 0))="",L157,INDEX(Variablen!$I:$AT, MATCH(M157, Variablen!$A:$A, 0), MATCH((YEAR(D157)+13), Variablen!$I$3:$AT$3, 0))),L157)))*(IF((YEAR(D157)+13)&lt;YEAR(E157),0,IF((YEAR(D157)+13)&gt;YEAR(E157),1,(12-MONTH(E157)+1)/12))) + (Q157)*(IF((YEAR(D157)+13)&lt;YEAR(E157),0,IF((YEAR(D157)+13)&gt;YEAR(E157),1,(12-MONTH(E157)+1)/12))))-((P157)*(IF((YEAR(D157)+13)&lt;YEAR(E157),0,IF((YEAR(D157)+13)&gt;YEAR(E157),1,(12-MONTH(E157)+1)/12))) + (R157)*(IF((YEAR(D157)+13)&lt;YEAR(E157),0,IF((YEAR(D157)+13)&gt;YEAR(E157),1,(12-MONTH(E157)+1)/12))))-(IF((((K157)*(IF(M157="",L157,IFERROR(IF(INDEX(Variablen!$I:$AT, MATCH(M157, Variablen!$A:$A, 0), MATCH((YEAR(D157)+13), Variablen!$I$3:$AT$3, 0))="",L157,INDEX(Variablen!$I:$AT, MATCH(M157, Variablen!$A:$A, 0), MATCH((YEAR(D157)+13), Variablen!$I$3:$AT$3, 0))),L157)))*(IF((YEAR(D157)+13)&lt;YEAR(E157),0,IF((YEAR(D157)+13)&gt;YEAR(E157),1,(12-MONTH(E157)+1)/12))) + (Q157)*(IF((YEAR(D157)+13)&lt;YEAR(E157),0,IF((YEAR(D157)+13)&gt;YEAR(E157),1,(12-MONTH(E157)+1)/12))))-((P157)*(IF((YEAR(D157)+13)&lt;YEAR(E157),0,IF((YEAR(D157)+13)&gt;YEAR(E157),1,(12-MONTH(E157)+1)/12))) + (R157)*(IF((YEAR(D157)+13)&lt;YEAR(E157),0,IF((YEAR(D157)+13)&gt;YEAR(E157),1,(12-MONTH(E157)+1)/12))))-(IF(OR(N157="",N157&lt;=0),0,(O157/N157)*(IF(OR(N157="",N157&lt;=0),0,IF((YEAR(D157)+13)&lt;YEAR(E157),0,IF((YEAR(D157)+13)&gt;=YEAR(E157)+N157,0,IF((YEAR(D157)+13)=YEAR(E157),(12-MONTH(E157)+1)/12,1))))))))&gt;0,(((K157)*(IF(M157="",L157,IFERROR(IF(INDEX(Variablen!$I:$AT, MATCH(M157, Variablen!$A:$A, 0), MATCH((YEAR(D157)+13), Variablen!$I$3:$AT$3, 0))="",L157,INDEX(Variablen!$I:$AT, MATCH(M157, Variablen!$A:$A, 0), MATCH((YEAR(D157)+13), Variablen!$I$3:$AT$3, 0))),L157)))*(IF((YEAR(D157)+13)&lt;YEAR(E157),0,IF((YEAR(D157)+13)&gt;YEAR(E157),1,(12-MONTH(E157)+1)/12))) + (Q157)*(IF((YEAR(D157)+13)&lt;YEAR(E157),0,IF((YEAR(D157)+13)&gt;YEAR(E157),1,(12-MONTH(E157)+1)/12))))-((P157)*(IF((YEAR(D157)+13)&lt;YEAR(E157),0,IF((YEAR(D157)+13)&gt;YEAR(E157),1,(12-MONTH(E157)+1)/12))) + (R157)*(IF((YEAR(D157)+13)&lt;YEAR(E157),0,IF((YEAR(D157)+13)&gt;YEAR(E157),1,(12-MONTH(E157)+1)/12))))-(IF(OR(N157="",N157&lt;=0),0,(O157/N157)*(IF(OR(N157="",N157&lt;=0),0,IF((YEAR(D157)+13)&lt;YEAR(E157),0,IF((YEAR(D157)+13)&gt;=YEAR(E157)+N157,0,IF((YEAR(D157)+13)=YEAR(E157),(12-MONTH(E157)+1)/12,1))))))))*TaxRate,0))-IF(13=0,O157,0))</f>
        <v/>
      </c>
      <c r="AG157" s="29">
        <f>IF(A157="","",((K157)*(IF(M157="",L157,IFERROR(IF(INDEX(Variablen!$I:$AT, MATCH(M157, Variablen!$A:$A, 0), MATCH((YEAR(D157)+14), Variablen!$I$3:$AT$3, 0))="",L157,INDEX(Variablen!$I:$AT, MATCH(M157, Variablen!$A:$A, 0), MATCH((YEAR(D157)+14), Variablen!$I$3:$AT$3, 0))),L157)))*(IF((YEAR(D157)+14)&lt;YEAR(E157),0,IF((YEAR(D157)+14)&gt;YEAR(E157),1,(12-MONTH(E157)+1)/12))) + (Q157)*(IF((YEAR(D157)+14)&lt;YEAR(E157),0,IF((YEAR(D157)+14)&gt;YEAR(E157),1,(12-MONTH(E157)+1)/12))))-((P157)*(IF((YEAR(D157)+14)&lt;YEAR(E157),0,IF((YEAR(D157)+14)&gt;YEAR(E157),1,(12-MONTH(E157)+1)/12))) + (R157)*(IF((YEAR(D157)+14)&lt;YEAR(E157),0,IF((YEAR(D157)+14)&gt;YEAR(E157),1,(12-MONTH(E157)+1)/12))))-(IF((((K157)*(IF(M157="",L157,IFERROR(IF(INDEX(Variablen!$I:$AT, MATCH(M157, Variablen!$A:$A, 0), MATCH((YEAR(D157)+14), Variablen!$I$3:$AT$3, 0))="",L157,INDEX(Variablen!$I:$AT, MATCH(M157, Variablen!$A:$A, 0), MATCH((YEAR(D157)+14), Variablen!$I$3:$AT$3, 0))),L157)))*(IF((YEAR(D157)+14)&lt;YEAR(E157),0,IF((YEAR(D157)+14)&gt;YEAR(E157),1,(12-MONTH(E157)+1)/12))) + (Q157)*(IF((YEAR(D157)+14)&lt;YEAR(E157),0,IF((YEAR(D157)+14)&gt;YEAR(E157),1,(12-MONTH(E157)+1)/12))))-((P157)*(IF((YEAR(D157)+14)&lt;YEAR(E157),0,IF((YEAR(D157)+14)&gt;YEAR(E157),1,(12-MONTH(E157)+1)/12))) + (R157)*(IF((YEAR(D157)+14)&lt;YEAR(E157),0,IF((YEAR(D157)+14)&gt;YEAR(E157),1,(12-MONTH(E157)+1)/12))))-(IF(OR(N157="",N157&lt;=0),0,(O157/N157)*(IF(OR(N157="",N157&lt;=0),0,IF((YEAR(D157)+14)&lt;YEAR(E157),0,IF((YEAR(D157)+14)&gt;=YEAR(E157)+N157,0,IF((YEAR(D157)+14)=YEAR(E157),(12-MONTH(E157)+1)/12,1))))))))&gt;0,(((K157)*(IF(M157="",L157,IFERROR(IF(INDEX(Variablen!$I:$AT, MATCH(M157, Variablen!$A:$A, 0), MATCH((YEAR(D157)+14), Variablen!$I$3:$AT$3, 0))="",L157,INDEX(Variablen!$I:$AT, MATCH(M157, Variablen!$A:$A, 0), MATCH((YEAR(D157)+14), Variablen!$I$3:$AT$3, 0))),L157)))*(IF((YEAR(D157)+14)&lt;YEAR(E157),0,IF((YEAR(D157)+14)&gt;YEAR(E157),1,(12-MONTH(E157)+1)/12))) + (Q157)*(IF((YEAR(D157)+14)&lt;YEAR(E157),0,IF((YEAR(D157)+14)&gt;YEAR(E157),1,(12-MONTH(E157)+1)/12))))-((P157)*(IF((YEAR(D157)+14)&lt;YEAR(E157),0,IF((YEAR(D157)+14)&gt;YEAR(E157),1,(12-MONTH(E157)+1)/12))) + (R157)*(IF((YEAR(D157)+14)&lt;YEAR(E157),0,IF((YEAR(D157)+14)&gt;YEAR(E157),1,(12-MONTH(E157)+1)/12))))-(IF(OR(N157="",N157&lt;=0),0,(O157/N157)*(IF(OR(N157="",N157&lt;=0),0,IF((YEAR(D157)+14)&lt;YEAR(E157),0,IF((YEAR(D157)+14)&gt;=YEAR(E157)+N157,0,IF((YEAR(D157)+14)=YEAR(E157),(12-MONTH(E157)+1)/12,1))))))))*TaxRate,0))-IF(14=0,O157,0))</f>
        <v/>
      </c>
      <c r="AH157" s="29">
        <f>IF(A157="","",((K157)*(IF(M157="",L157,IFERROR(IF(INDEX(Variablen!$I:$AT, MATCH(M157, Variablen!$A:$A, 0), MATCH((YEAR(D157)+15), Variablen!$I$3:$AT$3, 0))="",L157,INDEX(Variablen!$I:$AT, MATCH(M157, Variablen!$A:$A, 0), MATCH((YEAR(D157)+15), Variablen!$I$3:$AT$3, 0))),L157)))*(IF((YEAR(D157)+15)&lt;YEAR(E157),0,IF((YEAR(D157)+15)&gt;YEAR(E157),1,(12-MONTH(E157)+1)/12))) + (Q157)*(IF((YEAR(D157)+15)&lt;YEAR(E157),0,IF((YEAR(D157)+15)&gt;YEAR(E157),1,(12-MONTH(E157)+1)/12))))-((P157)*(IF((YEAR(D157)+15)&lt;YEAR(E157),0,IF((YEAR(D157)+15)&gt;YEAR(E157),1,(12-MONTH(E157)+1)/12))) + (R157)*(IF((YEAR(D157)+15)&lt;YEAR(E157),0,IF((YEAR(D157)+15)&gt;YEAR(E157),1,(12-MONTH(E157)+1)/12))))-(IF((((K157)*(IF(M157="",L157,IFERROR(IF(INDEX(Variablen!$I:$AT, MATCH(M157, Variablen!$A:$A, 0), MATCH((YEAR(D157)+15), Variablen!$I$3:$AT$3, 0))="",L157,INDEX(Variablen!$I:$AT, MATCH(M157, Variablen!$A:$A, 0), MATCH((YEAR(D157)+15), Variablen!$I$3:$AT$3, 0))),L157)))*(IF((YEAR(D157)+15)&lt;YEAR(E157),0,IF((YEAR(D157)+15)&gt;YEAR(E157),1,(12-MONTH(E157)+1)/12))) + (Q157)*(IF((YEAR(D157)+15)&lt;YEAR(E157),0,IF((YEAR(D157)+15)&gt;YEAR(E157),1,(12-MONTH(E157)+1)/12))))-((P157)*(IF((YEAR(D157)+15)&lt;YEAR(E157),0,IF((YEAR(D157)+15)&gt;YEAR(E157),1,(12-MONTH(E157)+1)/12))) + (R157)*(IF((YEAR(D157)+15)&lt;YEAR(E157),0,IF((YEAR(D157)+15)&gt;YEAR(E157),1,(12-MONTH(E157)+1)/12))))-(IF(OR(N157="",N157&lt;=0),0,(O157/N157)*(IF(OR(N157="",N157&lt;=0),0,IF((YEAR(D157)+15)&lt;YEAR(E157),0,IF((YEAR(D157)+15)&gt;=YEAR(E157)+N157,0,IF((YEAR(D157)+15)=YEAR(E157),(12-MONTH(E157)+1)/12,1))))))))&gt;0,(((K157)*(IF(M157="",L157,IFERROR(IF(INDEX(Variablen!$I:$AT, MATCH(M157, Variablen!$A:$A, 0), MATCH((YEAR(D157)+15), Variablen!$I$3:$AT$3, 0))="",L157,INDEX(Variablen!$I:$AT, MATCH(M157, Variablen!$A:$A, 0), MATCH((YEAR(D157)+15), Variablen!$I$3:$AT$3, 0))),L157)))*(IF((YEAR(D157)+15)&lt;YEAR(E157),0,IF((YEAR(D157)+15)&gt;YEAR(E157),1,(12-MONTH(E157)+1)/12))) + (Q157)*(IF((YEAR(D157)+15)&lt;YEAR(E157),0,IF((YEAR(D157)+15)&gt;YEAR(E157),1,(12-MONTH(E157)+1)/12))))-((P157)*(IF((YEAR(D157)+15)&lt;YEAR(E157),0,IF((YEAR(D157)+15)&gt;YEAR(E157),1,(12-MONTH(E157)+1)/12))) + (R157)*(IF((YEAR(D157)+15)&lt;YEAR(E157),0,IF((YEAR(D157)+15)&gt;YEAR(E157),1,(12-MONTH(E157)+1)/12))))-(IF(OR(N157="",N157&lt;=0),0,(O157/N157)*(IF(OR(N157="",N157&lt;=0),0,IF((YEAR(D157)+15)&lt;YEAR(E157),0,IF((YEAR(D157)+15)&gt;=YEAR(E157)+N157,0,IF((YEAR(D157)+15)=YEAR(E157),(12-MONTH(E157)+1)/12,1))))))))*TaxRate,0))-IF(15=0,O157,0))</f>
        <v/>
      </c>
      <c r="AI157" s="29">
        <f>IF(A157="","",((K157)*(IF(M157="",L157,IFERROR(IF(INDEX(Variablen!$I:$AT, MATCH(M157, Variablen!$A:$A, 0), MATCH((YEAR(D157)+16), Variablen!$I$3:$AT$3, 0))="",L157,INDEX(Variablen!$I:$AT, MATCH(M157, Variablen!$A:$A, 0), MATCH((YEAR(D157)+16), Variablen!$I$3:$AT$3, 0))),L157)))*(IF((YEAR(D157)+16)&lt;YEAR(E157),0,IF((YEAR(D157)+16)&gt;YEAR(E157),1,(12-MONTH(E157)+1)/12))) + (Q157)*(IF((YEAR(D157)+16)&lt;YEAR(E157),0,IF((YEAR(D157)+16)&gt;YEAR(E157),1,(12-MONTH(E157)+1)/12))))-((P157)*(IF((YEAR(D157)+16)&lt;YEAR(E157),0,IF((YEAR(D157)+16)&gt;YEAR(E157),1,(12-MONTH(E157)+1)/12))) + (R157)*(IF((YEAR(D157)+16)&lt;YEAR(E157),0,IF((YEAR(D157)+16)&gt;YEAR(E157),1,(12-MONTH(E157)+1)/12))))-(IF((((K157)*(IF(M157="",L157,IFERROR(IF(INDEX(Variablen!$I:$AT, MATCH(M157, Variablen!$A:$A, 0), MATCH((YEAR(D157)+16), Variablen!$I$3:$AT$3, 0))="",L157,INDEX(Variablen!$I:$AT, MATCH(M157, Variablen!$A:$A, 0), MATCH((YEAR(D157)+16), Variablen!$I$3:$AT$3, 0))),L157)))*(IF((YEAR(D157)+16)&lt;YEAR(E157),0,IF((YEAR(D157)+16)&gt;YEAR(E157),1,(12-MONTH(E157)+1)/12))) + (Q157)*(IF((YEAR(D157)+16)&lt;YEAR(E157),0,IF((YEAR(D157)+16)&gt;YEAR(E157),1,(12-MONTH(E157)+1)/12))))-((P157)*(IF((YEAR(D157)+16)&lt;YEAR(E157),0,IF((YEAR(D157)+16)&gt;YEAR(E157),1,(12-MONTH(E157)+1)/12))) + (R157)*(IF((YEAR(D157)+16)&lt;YEAR(E157),0,IF((YEAR(D157)+16)&gt;YEAR(E157),1,(12-MONTH(E157)+1)/12))))-(IF(OR(N157="",N157&lt;=0),0,(O157/N157)*(IF(OR(N157="",N157&lt;=0),0,IF((YEAR(D157)+16)&lt;YEAR(E157),0,IF((YEAR(D157)+16)&gt;=YEAR(E157)+N157,0,IF((YEAR(D157)+16)=YEAR(E157),(12-MONTH(E157)+1)/12,1))))))))&gt;0,(((K157)*(IF(M157="",L157,IFERROR(IF(INDEX(Variablen!$I:$AT, MATCH(M157, Variablen!$A:$A, 0), MATCH((YEAR(D157)+16), Variablen!$I$3:$AT$3, 0))="",L157,INDEX(Variablen!$I:$AT, MATCH(M157, Variablen!$A:$A, 0), MATCH((YEAR(D157)+16), Variablen!$I$3:$AT$3, 0))),L157)))*(IF((YEAR(D157)+16)&lt;YEAR(E157),0,IF((YEAR(D157)+16)&gt;YEAR(E157),1,(12-MONTH(E157)+1)/12))) + (Q157)*(IF((YEAR(D157)+16)&lt;YEAR(E157),0,IF((YEAR(D157)+16)&gt;YEAR(E157),1,(12-MONTH(E157)+1)/12))))-((P157)*(IF((YEAR(D157)+16)&lt;YEAR(E157),0,IF((YEAR(D157)+16)&gt;YEAR(E157),1,(12-MONTH(E157)+1)/12))) + (R157)*(IF((YEAR(D157)+16)&lt;YEAR(E157),0,IF((YEAR(D157)+16)&gt;YEAR(E157),1,(12-MONTH(E157)+1)/12))))-(IF(OR(N157="",N157&lt;=0),0,(O157/N157)*(IF(OR(N157="",N157&lt;=0),0,IF((YEAR(D157)+16)&lt;YEAR(E157),0,IF((YEAR(D157)+16)&gt;=YEAR(E157)+N157,0,IF((YEAR(D157)+16)=YEAR(E157),(12-MONTH(E157)+1)/12,1))))))))*TaxRate,0))-IF(16=0,O157,0))</f>
        <v/>
      </c>
      <c r="AJ157" s="29">
        <f>IF(A157="","",((K157)*(IF(M157="",L157,IFERROR(IF(INDEX(Variablen!$I:$AT, MATCH(M157, Variablen!$A:$A, 0), MATCH((YEAR(D157)+17), Variablen!$I$3:$AT$3, 0))="",L157,INDEX(Variablen!$I:$AT, MATCH(M157, Variablen!$A:$A, 0), MATCH((YEAR(D157)+17), Variablen!$I$3:$AT$3, 0))),L157)))*(IF((YEAR(D157)+17)&lt;YEAR(E157),0,IF((YEAR(D157)+17)&gt;YEAR(E157),1,(12-MONTH(E157)+1)/12))) + (Q157)*(IF((YEAR(D157)+17)&lt;YEAR(E157),0,IF((YEAR(D157)+17)&gt;YEAR(E157),1,(12-MONTH(E157)+1)/12))))-((P157)*(IF((YEAR(D157)+17)&lt;YEAR(E157),0,IF((YEAR(D157)+17)&gt;YEAR(E157),1,(12-MONTH(E157)+1)/12))) + (R157)*(IF((YEAR(D157)+17)&lt;YEAR(E157),0,IF((YEAR(D157)+17)&gt;YEAR(E157),1,(12-MONTH(E157)+1)/12))))-(IF((((K157)*(IF(M157="",L157,IFERROR(IF(INDEX(Variablen!$I:$AT, MATCH(M157, Variablen!$A:$A, 0), MATCH((YEAR(D157)+17), Variablen!$I$3:$AT$3, 0))="",L157,INDEX(Variablen!$I:$AT, MATCH(M157, Variablen!$A:$A, 0), MATCH((YEAR(D157)+17), Variablen!$I$3:$AT$3, 0))),L157)))*(IF((YEAR(D157)+17)&lt;YEAR(E157),0,IF((YEAR(D157)+17)&gt;YEAR(E157),1,(12-MONTH(E157)+1)/12))) + (Q157)*(IF((YEAR(D157)+17)&lt;YEAR(E157),0,IF((YEAR(D157)+17)&gt;YEAR(E157),1,(12-MONTH(E157)+1)/12))))-((P157)*(IF((YEAR(D157)+17)&lt;YEAR(E157),0,IF((YEAR(D157)+17)&gt;YEAR(E157),1,(12-MONTH(E157)+1)/12))) + (R157)*(IF((YEAR(D157)+17)&lt;YEAR(E157),0,IF((YEAR(D157)+17)&gt;YEAR(E157),1,(12-MONTH(E157)+1)/12))))-(IF(OR(N157="",N157&lt;=0),0,(O157/N157)*(IF(OR(N157="",N157&lt;=0),0,IF((YEAR(D157)+17)&lt;YEAR(E157),0,IF((YEAR(D157)+17)&gt;=YEAR(E157)+N157,0,IF((YEAR(D157)+17)=YEAR(E157),(12-MONTH(E157)+1)/12,1))))))))&gt;0,(((K157)*(IF(M157="",L157,IFERROR(IF(INDEX(Variablen!$I:$AT, MATCH(M157, Variablen!$A:$A, 0), MATCH((YEAR(D157)+17), Variablen!$I$3:$AT$3, 0))="",L157,INDEX(Variablen!$I:$AT, MATCH(M157, Variablen!$A:$A, 0), MATCH((YEAR(D157)+17), Variablen!$I$3:$AT$3, 0))),L157)))*(IF((YEAR(D157)+17)&lt;YEAR(E157),0,IF((YEAR(D157)+17)&gt;YEAR(E157),1,(12-MONTH(E157)+1)/12))) + (Q157)*(IF((YEAR(D157)+17)&lt;YEAR(E157),0,IF((YEAR(D157)+17)&gt;YEAR(E157),1,(12-MONTH(E157)+1)/12))))-((P157)*(IF((YEAR(D157)+17)&lt;YEAR(E157),0,IF((YEAR(D157)+17)&gt;YEAR(E157),1,(12-MONTH(E157)+1)/12))) + (R157)*(IF((YEAR(D157)+17)&lt;YEAR(E157),0,IF((YEAR(D157)+17)&gt;YEAR(E157),1,(12-MONTH(E157)+1)/12))))-(IF(OR(N157="",N157&lt;=0),0,(O157/N157)*(IF(OR(N157="",N157&lt;=0),0,IF((YEAR(D157)+17)&lt;YEAR(E157),0,IF((YEAR(D157)+17)&gt;=YEAR(E157)+N157,0,IF((YEAR(D157)+17)=YEAR(E157),(12-MONTH(E157)+1)/12,1))))))))*TaxRate,0))-IF(17=0,O157,0))</f>
        <v/>
      </c>
      <c r="AK157" s="29">
        <f>IF(A157="","",((K157)*(IF(M157="",L157,IFERROR(IF(INDEX(Variablen!$I:$AT, MATCH(M157, Variablen!$A:$A, 0), MATCH((YEAR(D157)+18), Variablen!$I$3:$AT$3, 0))="",L157,INDEX(Variablen!$I:$AT, MATCH(M157, Variablen!$A:$A, 0), MATCH((YEAR(D157)+18), Variablen!$I$3:$AT$3, 0))),L157)))*(IF((YEAR(D157)+18)&lt;YEAR(E157),0,IF((YEAR(D157)+18)&gt;YEAR(E157),1,(12-MONTH(E157)+1)/12))) + (Q157)*(IF((YEAR(D157)+18)&lt;YEAR(E157),0,IF((YEAR(D157)+18)&gt;YEAR(E157),1,(12-MONTH(E157)+1)/12))))-((P157)*(IF((YEAR(D157)+18)&lt;YEAR(E157),0,IF((YEAR(D157)+18)&gt;YEAR(E157),1,(12-MONTH(E157)+1)/12))) + (R157)*(IF((YEAR(D157)+18)&lt;YEAR(E157),0,IF((YEAR(D157)+18)&gt;YEAR(E157),1,(12-MONTH(E157)+1)/12))))-(IF((((K157)*(IF(M157="",L157,IFERROR(IF(INDEX(Variablen!$I:$AT, MATCH(M157, Variablen!$A:$A, 0), MATCH((YEAR(D157)+18), Variablen!$I$3:$AT$3, 0))="",L157,INDEX(Variablen!$I:$AT, MATCH(M157, Variablen!$A:$A, 0), MATCH((YEAR(D157)+18), Variablen!$I$3:$AT$3, 0))),L157)))*(IF((YEAR(D157)+18)&lt;YEAR(E157),0,IF((YEAR(D157)+18)&gt;YEAR(E157),1,(12-MONTH(E157)+1)/12))) + (Q157)*(IF((YEAR(D157)+18)&lt;YEAR(E157),0,IF((YEAR(D157)+18)&gt;YEAR(E157),1,(12-MONTH(E157)+1)/12))))-((P157)*(IF((YEAR(D157)+18)&lt;YEAR(E157),0,IF((YEAR(D157)+18)&gt;YEAR(E157),1,(12-MONTH(E157)+1)/12))) + (R157)*(IF((YEAR(D157)+18)&lt;YEAR(E157),0,IF((YEAR(D157)+18)&gt;YEAR(E157),1,(12-MONTH(E157)+1)/12))))-(IF(OR(N157="",N157&lt;=0),0,(O157/N157)*(IF(OR(N157="",N157&lt;=0),0,IF((YEAR(D157)+18)&lt;YEAR(E157),0,IF((YEAR(D157)+18)&gt;=YEAR(E157)+N157,0,IF((YEAR(D157)+18)=YEAR(E157),(12-MONTH(E157)+1)/12,1))))))))&gt;0,(((K157)*(IF(M157="",L157,IFERROR(IF(INDEX(Variablen!$I:$AT, MATCH(M157, Variablen!$A:$A, 0), MATCH((YEAR(D157)+18), Variablen!$I$3:$AT$3, 0))="",L157,INDEX(Variablen!$I:$AT, MATCH(M157, Variablen!$A:$A, 0), MATCH((YEAR(D157)+18), Variablen!$I$3:$AT$3, 0))),L157)))*(IF((YEAR(D157)+18)&lt;YEAR(E157),0,IF((YEAR(D157)+18)&gt;YEAR(E157),1,(12-MONTH(E157)+1)/12))) + (Q157)*(IF((YEAR(D157)+18)&lt;YEAR(E157),0,IF((YEAR(D157)+18)&gt;YEAR(E157),1,(12-MONTH(E157)+1)/12))))-((P157)*(IF((YEAR(D157)+18)&lt;YEAR(E157),0,IF((YEAR(D157)+18)&gt;YEAR(E157),1,(12-MONTH(E157)+1)/12))) + (R157)*(IF((YEAR(D157)+18)&lt;YEAR(E157),0,IF((YEAR(D157)+18)&gt;YEAR(E157),1,(12-MONTH(E157)+1)/12))))-(IF(OR(N157="",N157&lt;=0),0,(O157/N157)*(IF(OR(N157="",N157&lt;=0),0,IF((YEAR(D157)+18)&lt;YEAR(E157),0,IF((YEAR(D157)+18)&gt;=YEAR(E157)+N157,0,IF((YEAR(D157)+18)=YEAR(E157),(12-MONTH(E157)+1)/12,1))))))))*TaxRate,0))-IF(18=0,O157,0))</f>
        <v/>
      </c>
      <c r="AL157" s="29">
        <f>IF(A157="","",((K157)*(IF(M157="",L157,IFERROR(IF(INDEX(Variablen!$I:$AT, MATCH(M157, Variablen!$A:$A, 0), MATCH((YEAR(D157)+19), Variablen!$I$3:$AT$3, 0))="",L157,INDEX(Variablen!$I:$AT, MATCH(M157, Variablen!$A:$A, 0), MATCH((YEAR(D157)+19), Variablen!$I$3:$AT$3, 0))),L157)))*(IF((YEAR(D157)+19)&lt;YEAR(E157),0,IF((YEAR(D157)+19)&gt;YEAR(E157),1,(12-MONTH(E157)+1)/12))) + (Q157)*(IF((YEAR(D157)+19)&lt;YEAR(E157),0,IF((YEAR(D157)+19)&gt;YEAR(E157),1,(12-MONTH(E157)+1)/12))))-((P157)*(IF((YEAR(D157)+19)&lt;YEAR(E157),0,IF((YEAR(D157)+19)&gt;YEAR(E157),1,(12-MONTH(E157)+1)/12))) + (R157)*(IF((YEAR(D157)+19)&lt;YEAR(E157),0,IF((YEAR(D157)+19)&gt;YEAR(E157),1,(12-MONTH(E157)+1)/12))))-(IF((((K157)*(IF(M157="",L157,IFERROR(IF(INDEX(Variablen!$I:$AT, MATCH(M157, Variablen!$A:$A, 0), MATCH((YEAR(D157)+19), Variablen!$I$3:$AT$3, 0))="",L157,INDEX(Variablen!$I:$AT, MATCH(M157, Variablen!$A:$A, 0), MATCH((YEAR(D157)+19), Variablen!$I$3:$AT$3, 0))),L157)))*(IF((YEAR(D157)+19)&lt;YEAR(E157),0,IF((YEAR(D157)+19)&gt;YEAR(E157),1,(12-MONTH(E157)+1)/12))) + (Q157)*(IF((YEAR(D157)+19)&lt;YEAR(E157),0,IF((YEAR(D157)+19)&gt;YEAR(E157),1,(12-MONTH(E157)+1)/12))))-((P157)*(IF((YEAR(D157)+19)&lt;YEAR(E157),0,IF((YEAR(D157)+19)&gt;YEAR(E157),1,(12-MONTH(E157)+1)/12))) + (R157)*(IF((YEAR(D157)+19)&lt;YEAR(E157),0,IF((YEAR(D157)+19)&gt;YEAR(E157),1,(12-MONTH(E157)+1)/12))))-(IF(OR(N157="",N157&lt;=0),0,(O157/N157)*(IF(OR(N157="",N157&lt;=0),0,IF((YEAR(D157)+19)&lt;YEAR(E157),0,IF((YEAR(D157)+19)&gt;=YEAR(E157)+N157,0,IF((YEAR(D157)+19)=YEAR(E157),(12-MONTH(E157)+1)/12,1))))))))&gt;0,(((K157)*(IF(M157="",L157,IFERROR(IF(INDEX(Variablen!$I:$AT, MATCH(M157, Variablen!$A:$A, 0), MATCH((YEAR(D157)+19), Variablen!$I$3:$AT$3, 0))="",L157,INDEX(Variablen!$I:$AT, MATCH(M157, Variablen!$A:$A, 0), MATCH((YEAR(D157)+19), Variablen!$I$3:$AT$3, 0))),L157)))*(IF((YEAR(D157)+19)&lt;YEAR(E157),0,IF((YEAR(D157)+19)&gt;YEAR(E157),1,(12-MONTH(E157)+1)/12))) + (Q157)*(IF((YEAR(D157)+19)&lt;YEAR(E157),0,IF((YEAR(D157)+19)&gt;YEAR(E157),1,(12-MONTH(E157)+1)/12))))-((P157)*(IF((YEAR(D157)+19)&lt;YEAR(E157),0,IF((YEAR(D157)+19)&gt;YEAR(E157),1,(12-MONTH(E157)+1)/12))) + (R157)*(IF((YEAR(D157)+19)&lt;YEAR(E157),0,IF((YEAR(D157)+19)&gt;YEAR(E157),1,(12-MONTH(E157)+1)/12))))-(IF(OR(N157="",N157&lt;=0),0,(O157/N157)*(IF(OR(N157="",N157&lt;=0),0,IF((YEAR(D157)+19)&lt;YEAR(E157),0,IF((YEAR(D157)+19)&gt;=YEAR(E157)+N157,0,IF((YEAR(D157)+19)=YEAR(E157),(12-MONTH(E157)+1)/12,1))))))))*TaxRate,0))-IF(19=0,O157,0))</f>
        <v/>
      </c>
      <c r="AM157" s="29">
        <f>IF(A157="","",((K157)*(IF(M157="",L157,IFERROR(IF(INDEX(Variablen!$I:$AT, MATCH(M157, Variablen!$A:$A, 0), MATCH((YEAR(D157)+20), Variablen!$I$3:$AT$3, 0))="",L157,INDEX(Variablen!$I:$AT, MATCH(M157, Variablen!$A:$A, 0), MATCH((YEAR(D157)+20), Variablen!$I$3:$AT$3, 0))),L157)))*(IF((YEAR(D157)+20)&lt;YEAR(E157),0,IF((YEAR(D157)+20)&gt;YEAR(E157),1,(12-MONTH(E157)+1)/12))) + (Q157)*(IF((YEAR(D157)+20)&lt;YEAR(E157),0,IF((YEAR(D157)+20)&gt;YEAR(E157),1,(12-MONTH(E157)+1)/12))))-((P157)*(IF((YEAR(D157)+20)&lt;YEAR(E157),0,IF((YEAR(D157)+20)&gt;YEAR(E157),1,(12-MONTH(E157)+1)/12))) + (R157)*(IF((YEAR(D157)+20)&lt;YEAR(E157),0,IF((YEAR(D157)+20)&gt;YEAR(E157),1,(12-MONTH(E157)+1)/12))))-(IF((((K157)*(IF(M157="",L157,IFERROR(IF(INDEX(Variablen!$I:$AT, MATCH(M157, Variablen!$A:$A, 0), MATCH((YEAR(D157)+20), Variablen!$I$3:$AT$3, 0))="",L157,INDEX(Variablen!$I:$AT, MATCH(M157, Variablen!$A:$A, 0), MATCH((YEAR(D157)+20), Variablen!$I$3:$AT$3, 0))),L157)))*(IF((YEAR(D157)+20)&lt;YEAR(E157),0,IF((YEAR(D157)+20)&gt;YEAR(E157),1,(12-MONTH(E157)+1)/12))) + (Q157)*(IF((YEAR(D157)+20)&lt;YEAR(E157),0,IF((YEAR(D157)+20)&gt;YEAR(E157),1,(12-MONTH(E157)+1)/12))))-((P157)*(IF((YEAR(D157)+20)&lt;YEAR(E157),0,IF((YEAR(D157)+20)&gt;YEAR(E157),1,(12-MONTH(E157)+1)/12))) + (R157)*(IF((YEAR(D157)+20)&lt;YEAR(E157),0,IF((YEAR(D157)+20)&gt;YEAR(E157),1,(12-MONTH(E157)+1)/12))))-(IF(OR(N157="",N157&lt;=0),0,(O157/N157)*(IF(OR(N157="",N157&lt;=0),0,IF((YEAR(D157)+20)&lt;YEAR(E157),0,IF((YEAR(D157)+20)&gt;=YEAR(E157)+N157,0,IF((YEAR(D157)+20)=YEAR(E157),(12-MONTH(E157)+1)/12,1))))))))&gt;0,(((K157)*(IF(M157="",L157,IFERROR(IF(INDEX(Variablen!$I:$AT, MATCH(M157, Variablen!$A:$A, 0), MATCH((YEAR(D157)+20), Variablen!$I$3:$AT$3, 0))="",L157,INDEX(Variablen!$I:$AT, MATCH(M157, Variablen!$A:$A, 0), MATCH((YEAR(D157)+20), Variablen!$I$3:$AT$3, 0))),L157)))*(IF((YEAR(D157)+20)&lt;YEAR(E157),0,IF((YEAR(D157)+20)&gt;YEAR(E157),1,(12-MONTH(E157)+1)/12))) + (Q157)*(IF((YEAR(D157)+20)&lt;YEAR(E157),0,IF((YEAR(D157)+20)&gt;YEAR(E157),1,(12-MONTH(E157)+1)/12))))-((P157)*(IF((YEAR(D157)+20)&lt;YEAR(E157),0,IF((YEAR(D157)+20)&gt;YEAR(E157),1,(12-MONTH(E157)+1)/12))) + (R157)*(IF((YEAR(D157)+20)&lt;YEAR(E157),0,IF((YEAR(D157)+20)&gt;YEAR(E157),1,(12-MONTH(E157)+1)/12))))-(IF(OR(N157="",N157&lt;=0),0,(O157/N157)*(IF(OR(N157="",N157&lt;=0),0,IF((YEAR(D157)+20)&lt;YEAR(E157),0,IF((YEAR(D157)+20)&gt;=YEAR(E157)+N157,0,IF((YEAR(D157)+20)=YEAR(E157),(12-MONTH(E157)+1)/12,1))))))))*TaxRate,0))-IF(20=0,O157,0))</f>
        <v/>
      </c>
      <c r="AN157" s="29">
        <f>IF(A157="","",S157)</f>
        <v/>
      </c>
      <c r="AO157" s="29">
        <f>IF(A157="","",AN157+T157)</f>
        <v/>
      </c>
      <c r="AP157" s="29">
        <f>IF(A157="","",AO157+U157)</f>
        <v/>
      </c>
      <c r="AQ157" s="29">
        <f>IF(A157="","",AP157+V157)</f>
        <v/>
      </c>
      <c r="AR157" s="29">
        <f>IF(A157="","",AQ157+W157)</f>
        <v/>
      </c>
      <c r="AS157" s="29">
        <f>IF(A157="","",AR157+X157)</f>
        <v/>
      </c>
      <c r="AT157" s="29">
        <f>IF(A157="","",AS157+Y157)</f>
        <v/>
      </c>
      <c r="AU157" s="29">
        <f>IF(A157="","",AT157+Z157)</f>
        <v/>
      </c>
      <c r="AV157" s="29">
        <f>IF(A157="","",AU157+AA157)</f>
        <v/>
      </c>
      <c r="AW157" s="29">
        <f>IF(A157="","",AV157+AB157)</f>
        <v/>
      </c>
      <c r="AX157" s="29">
        <f>IF(A157="","",AW157+AC157)</f>
        <v/>
      </c>
      <c r="AY157" s="29">
        <f>IF(A157="","",AX157+AD157)</f>
        <v/>
      </c>
      <c r="AZ157" s="29">
        <f>IF(A157="","",AY157+AE157)</f>
        <v/>
      </c>
      <c r="BA157" s="29">
        <f>IF(A157="","",AZ157+AF157)</f>
        <v/>
      </c>
      <c r="BB157" s="29">
        <f>IF(A157="","",BA157+AG157)</f>
        <v/>
      </c>
      <c r="BC157" s="29">
        <f>IF(A157="","",BB157+AH157)</f>
        <v/>
      </c>
      <c r="BD157" s="29">
        <f>IF(A157="","",BC157+AI157)</f>
        <v/>
      </c>
      <c r="BE157" s="29">
        <f>IF(A157="","",BD157+AJ157)</f>
        <v/>
      </c>
      <c r="BF157" s="29">
        <f>IF(A157="","",BE157+AK157)</f>
        <v/>
      </c>
      <c r="BG157" s="29">
        <f>IF(A157="","",BF157+AL157)</f>
        <v/>
      </c>
      <c r="BH157" s="29">
        <f>IF(A157="","",BG157+AM157)</f>
        <v/>
      </c>
      <c r="BI157" s="36">
        <f>IF(A157="","",(K157)*(IF((YEAR(D157)+0)&lt;YEAR(E157),0,IF((YEAR(D157)+0)&gt;YEAR(E157),1,(12-MONTH(E157)+1)/12)))*(1/(1+DiscountRate)^0))</f>
        <v/>
      </c>
      <c r="BJ157" s="36">
        <f>IF(A157="","",(K157)*(IF((YEAR(D157)+1)&lt;YEAR(E157),0,IF((YEAR(D157)+1)&gt;YEAR(E157),1,(12-MONTH(E157)+1)/12)))*(1/(1+DiscountRate)^1))</f>
        <v/>
      </c>
      <c r="BK157" s="36">
        <f>IF(A157="","",(K157)*(IF((YEAR(D157)+2)&lt;YEAR(E157),0,IF((YEAR(D157)+2)&gt;YEAR(E157),1,(12-MONTH(E157)+1)/12)))*(1/(1+DiscountRate)^2))</f>
        <v/>
      </c>
      <c r="BL157" s="36">
        <f>IF(A157="","",(K157)*(IF((YEAR(D157)+3)&lt;YEAR(E157),0,IF((YEAR(D157)+3)&gt;YEAR(E157),1,(12-MONTH(E157)+1)/12)))*(1/(1+DiscountRate)^3))</f>
        <v/>
      </c>
      <c r="BM157" s="36">
        <f>IF(A157="","",(K157)*(IF((YEAR(D157)+4)&lt;YEAR(E157),0,IF((YEAR(D157)+4)&gt;YEAR(E157),1,(12-MONTH(E157)+1)/12)))*(1/(1+DiscountRate)^4))</f>
        <v/>
      </c>
      <c r="BN157" s="36">
        <f>IF(A157="","",(K157)*(IF((YEAR(D157)+5)&lt;YEAR(E157),0,IF((YEAR(D157)+5)&gt;YEAR(E157),1,(12-MONTH(E157)+1)/12)))*(1/(1+DiscountRate)^5))</f>
        <v/>
      </c>
      <c r="BO157" s="36">
        <f>IF(A157="","",(K157)*(IF((YEAR(D157)+6)&lt;YEAR(E157),0,IF((YEAR(D157)+6)&gt;YEAR(E157),1,(12-MONTH(E157)+1)/12)))*(1/(1+DiscountRate)^6))</f>
        <v/>
      </c>
      <c r="BP157" s="36">
        <f>IF(A157="","",(K157)*(IF((YEAR(D157)+7)&lt;YEAR(E157),0,IF((YEAR(D157)+7)&gt;YEAR(E157),1,(12-MONTH(E157)+1)/12)))*(1/(1+DiscountRate)^7))</f>
        <v/>
      </c>
      <c r="BQ157" s="36">
        <f>IF(A157="","",(K157)*(IF((YEAR(D157)+8)&lt;YEAR(E157),0,IF((YEAR(D157)+8)&gt;YEAR(E157),1,(12-MONTH(E157)+1)/12)))*(1/(1+DiscountRate)^8))</f>
        <v/>
      </c>
      <c r="BR157" s="36">
        <f>IF(A157="","",(K157)*(IF((YEAR(D157)+9)&lt;YEAR(E157),0,IF((YEAR(D157)+9)&gt;YEAR(E157),1,(12-MONTH(E157)+1)/12)))*(1/(1+DiscountRate)^9))</f>
        <v/>
      </c>
      <c r="BS157" s="36">
        <f>IF(A157="","",(K157)*(IF((YEAR(D157)+10)&lt;YEAR(E157),0,IF((YEAR(D157)+10)&gt;YEAR(E157),1,(12-MONTH(E157)+1)/12)))*(1/(1+DiscountRate)^10))</f>
        <v/>
      </c>
      <c r="BT157" s="36">
        <f>IF(A157="","",(K157)*(IF((YEAR(D157)+11)&lt;YEAR(E157),0,IF((YEAR(D157)+11)&gt;YEAR(E157),1,(12-MONTH(E157)+1)/12)))*(1/(1+DiscountRate)^11))</f>
        <v/>
      </c>
      <c r="BU157" s="36">
        <f>IF(A157="","",(K157)*(IF((YEAR(D157)+12)&lt;YEAR(E157),0,IF((YEAR(D157)+12)&gt;YEAR(E157),1,(12-MONTH(E157)+1)/12)))*(1/(1+DiscountRate)^12))</f>
        <v/>
      </c>
      <c r="BV157" s="36">
        <f>IF(A157="","",(K157)*(IF((YEAR(D157)+13)&lt;YEAR(E157),0,IF((YEAR(D157)+13)&gt;YEAR(E157),1,(12-MONTH(E157)+1)/12)))*(1/(1+DiscountRate)^13))</f>
        <v/>
      </c>
      <c r="BW157" s="36">
        <f>IF(A157="","",(K157)*(IF((YEAR(D157)+14)&lt;YEAR(E157),0,IF((YEAR(D157)+14)&gt;YEAR(E157),1,(12-MONTH(E157)+1)/12)))*(1/(1+DiscountRate)^14))</f>
        <v/>
      </c>
      <c r="BX157" s="36">
        <f>IF(A157="","",(K157)*(IF((YEAR(D157)+15)&lt;YEAR(E157),0,IF((YEAR(D157)+15)&gt;YEAR(E157),1,(12-MONTH(E157)+1)/12)))*(1/(1+DiscountRate)^15))</f>
        <v/>
      </c>
      <c r="BY157" s="36">
        <f>IF(A157="","",(K157)*(IF((YEAR(D157)+16)&lt;YEAR(E157),0,IF((YEAR(D157)+16)&gt;YEAR(E157),1,(12-MONTH(E157)+1)/12)))*(1/(1+DiscountRate)^16))</f>
        <v/>
      </c>
      <c r="BZ157" s="36">
        <f>IF(A157="","",(K157)*(IF((YEAR(D157)+17)&lt;YEAR(E157),0,IF((YEAR(D157)+17)&gt;YEAR(E157),1,(12-MONTH(E157)+1)/12)))*(1/(1+DiscountRate)^17))</f>
        <v/>
      </c>
      <c r="CA157" s="36">
        <f>IF(A157="","",(K157)*(IF((YEAR(D157)+18)&lt;YEAR(E157),0,IF((YEAR(D157)+18)&gt;YEAR(E157),1,(12-MONTH(E157)+1)/12)))*(1/(1+DiscountRate)^18))</f>
        <v/>
      </c>
      <c r="CB157" s="36">
        <f>IF(A157="","",(K157)*(IF((YEAR(D157)+19)&lt;YEAR(E157),0,IF((YEAR(D157)+19)&gt;YEAR(E157),1,(12-MONTH(E157)+1)/12)))*(1/(1+DiscountRate)^19))</f>
        <v/>
      </c>
      <c r="CC157" s="36">
        <f>IF(A157="","",(K157)*(IF((YEAR(D157)+20)&lt;YEAR(E157),0,IF((YEAR(D157)+20)&gt;YEAR(E157),1,(12-MONTH(E157)+1)/12)))*(1/(1+DiscountRate)^20))</f>
        <v/>
      </c>
      <c r="CD157" s="29">
        <f>IF(A157="","",S157/(1+DiscountRate)^0+T157/(1+DiscountRate)^1+U157/(1+DiscountRate)^2+V157/(1+DiscountRate)^3+W157/(1+DiscountRate)^4+X157/(1+DiscountRate)^5+Y157/(1+DiscountRate)^6+Z157/(1+DiscountRate)^7+AA157/(1+DiscountRate)^8+AB157/(1+DiscountRate)^9+AC157/(1+DiscountRate)^10+AD157/(1+DiscountRate)^11+AE157/(1+DiscountRate)^12+AF157/(1+DiscountRate)^13+AG157/(1+DiscountRate)^14+AH157/(1+DiscountRate)^15+AI157/(1+DiscountRate)^16+AJ157/(1+DiscountRate)^17+AK157/(1+DiscountRate)^18+AL157/(1+DiscountRate)^19+AM157/(1+DiscountRate)^20)</f>
        <v/>
      </c>
      <c r="CE157" s="37">
        <f>IF(A157="","",IFERROR(IRR(OFFSET(S157,0,0,1,MIN(HorizonYears,20)+1)),"n/a"))</f>
        <v/>
      </c>
      <c r="CF157" s="28">
        <f>IF(A157="","",IFERROR(MATCH(TRUE,OFFSET(AN157,0,0,1,MIN(HorizonYears,20)+1)&gt;=0,0)-1,"n/a"))</f>
        <v/>
      </c>
      <c r="CG157" s="36">
        <f>IF(A157="","",SUM(OFFSET(BI157,0,0,1,MIN(HorizonYears,20)+1)))</f>
        <v/>
      </c>
      <c r="CH157" s="36">
        <f>IF(A157="","",IFERROR(-CD157/CG157,"n/a"))</f>
        <v/>
      </c>
    </row>
    <row r="158">
      <c r="A158" s="6">
        <f>Actions!A156</f>
        <v/>
      </c>
      <c r="B158" s="6">
        <f>Actions!B156</f>
        <v/>
      </c>
      <c r="C158" s="6">
        <f>Actions!D156</f>
        <v/>
      </c>
      <c r="D158" s="35">
        <f>Actions!E156</f>
        <v/>
      </c>
      <c r="E158" s="35">
        <f>Actions!F156</f>
        <v/>
      </c>
      <c r="F158" s="6">
        <f>Actions!G156</f>
        <v/>
      </c>
      <c r="G158" s="6">
        <f>Actions!H156</f>
        <v/>
      </c>
      <c r="H158" s="29">
        <f>Actions!I156</f>
        <v/>
      </c>
      <c r="I158" s="6">
        <f>Actions!J156</f>
        <v/>
      </c>
      <c r="J158" s="16">
        <f>Actions!K156</f>
        <v/>
      </c>
      <c r="K158" s="16">
        <f>IF(A158="","",IF(I158="%",H158*J158,J158))</f>
        <v/>
      </c>
      <c r="L158" s="16">
        <f>Actions!L156</f>
        <v/>
      </c>
      <c r="M158" s="6">
        <f>Actions!M156</f>
        <v/>
      </c>
      <c r="N158" s="28">
        <f>Actions!N156</f>
        <v/>
      </c>
      <c r="O158" s="29">
        <f>Actions!T156</f>
        <v/>
      </c>
      <c r="P158" s="29">
        <f>Actions!Y156</f>
        <v/>
      </c>
      <c r="Q158" s="29">
        <f>Actions!Z156</f>
        <v/>
      </c>
      <c r="R158" s="29">
        <f>Actions!AA156</f>
        <v/>
      </c>
      <c r="S158" s="29">
        <f>IF(A158="","",((K158)*(IF(M158="",L158,IFERROR(IF(INDEX(Variablen!$I:$AT, MATCH(M158, Variablen!$A:$A, 0), MATCH((YEAR(D158)+0), Variablen!$I$3:$AT$3, 0))="",L158,INDEX(Variablen!$I:$AT, MATCH(M158, Variablen!$A:$A, 0), MATCH((YEAR(D158)+0), Variablen!$I$3:$AT$3, 0))),L158)))*(IF((YEAR(D158)+0)&lt;YEAR(E158),0,IF((YEAR(D158)+0)&gt;YEAR(E158),1,(12-MONTH(E158)+1)/12))) + (Q158)*(IF((YEAR(D158)+0)&lt;YEAR(E158),0,IF((YEAR(D158)+0)&gt;YEAR(E158),1,(12-MONTH(E158)+1)/12))))-((P158)*(IF((YEAR(D158)+0)&lt;YEAR(E158),0,IF((YEAR(D158)+0)&gt;YEAR(E158),1,(12-MONTH(E158)+1)/12))) + (R158)*(IF((YEAR(D158)+0)&lt;YEAR(E158),0,IF((YEAR(D158)+0)&gt;YEAR(E158),1,(12-MONTH(E158)+1)/12))))-(IF((((K158)*(IF(M158="",L158,IFERROR(IF(INDEX(Variablen!$I:$AT, MATCH(M158, Variablen!$A:$A, 0), MATCH((YEAR(D158)+0), Variablen!$I$3:$AT$3, 0))="",L158,INDEX(Variablen!$I:$AT, MATCH(M158, Variablen!$A:$A, 0), MATCH((YEAR(D158)+0), Variablen!$I$3:$AT$3, 0))),L158)))*(IF((YEAR(D158)+0)&lt;YEAR(E158),0,IF((YEAR(D158)+0)&gt;YEAR(E158),1,(12-MONTH(E158)+1)/12))) + (Q158)*(IF((YEAR(D158)+0)&lt;YEAR(E158),0,IF((YEAR(D158)+0)&gt;YEAR(E158),1,(12-MONTH(E158)+1)/12))))-((P158)*(IF((YEAR(D158)+0)&lt;YEAR(E158),0,IF((YEAR(D158)+0)&gt;YEAR(E158),1,(12-MONTH(E158)+1)/12))) + (R158)*(IF((YEAR(D158)+0)&lt;YEAR(E158),0,IF((YEAR(D158)+0)&gt;YEAR(E158),1,(12-MONTH(E158)+1)/12))))-(IF(OR(N158="",N158&lt;=0),0,(O158/N158)*(IF(OR(N158="",N158&lt;=0),0,IF((YEAR(D158)+0)&lt;YEAR(E158),0,IF((YEAR(D158)+0)&gt;=YEAR(E158)+N158,0,IF((YEAR(D158)+0)=YEAR(E158),(12-MONTH(E158)+1)/12,1))))))))&gt;0,(((K158)*(IF(M158="",L158,IFERROR(IF(INDEX(Variablen!$I:$AT, MATCH(M158, Variablen!$A:$A, 0), MATCH((YEAR(D158)+0), Variablen!$I$3:$AT$3, 0))="",L158,INDEX(Variablen!$I:$AT, MATCH(M158, Variablen!$A:$A, 0), MATCH((YEAR(D158)+0), Variablen!$I$3:$AT$3, 0))),L158)))*(IF((YEAR(D158)+0)&lt;YEAR(E158),0,IF((YEAR(D158)+0)&gt;YEAR(E158),1,(12-MONTH(E158)+1)/12))) + (Q158)*(IF((YEAR(D158)+0)&lt;YEAR(E158),0,IF((YEAR(D158)+0)&gt;YEAR(E158),1,(12-MONTH(E158)+1)/12))))-((P158)*(IF((YEAR(D158)+0)&lt;YEAR(E158),0,IF((YEAR(D158)+0)&gt;YEAR(E158),1,(12-MONTH(E158)+1)/12))) + (R158)*(IF((YEAR(D158)+0)&lt;YEAR(E158),0,IF((YEAR(D158)+0)&gt;YEAR(E158),1,(12-MONTH(E158)+1)/12))))-(IF(OR(N158="",N158&lt;=0),0,(O158/N158)*(IF(OR(N158="",N158&lt;=0),0,IF((YEAR(D158)+0)&lt;YEAR(E158),0,IF((YEAR(D158)+0)&gt;=YEAR(E158)+N158,0,IF((YEAR(D158)+0)=YEAR(E158),(12-MONTH(E158)+1)/12,1))))))))*TaxRate,0))-IF(0=0,O158,0))</f>
        <v/>
      </c>
      <c r="T158" s="29">
        <f>IF(A158="","",((K158)*(IF(M158="",L158,IFERROR(IF(INDEX(Variablen!$I:$AT, MATCH(M158, Variablen!$A:$A, 0), MATCH((YEAR(D158)+1), Variablen!$I$3:$AT$3, 0))="",L158,INDEX(Variablen!$I:$AT, MATCH(M158, Variablen!$A:$A, 0), MATCH((YEAR(D158)+1), Variablen!$I$3:$AT$3, 0))),L158)))*(IF((YEAR(D158)+1)&lt;YEAR(E158),0,IF((YEAR(D158)+1)&gt;YEAR(E158),1,(12-MONTH(E158)+1)/12))) + (Q158)*(IF((YEAR(D158)+1)&lt;YEAR(E158),0,IF((YEAR(D158)+1)&gt;YEAR(E158),1,(12-MONTH(E158)+1)/12))))-((P158)*(IF((YEAR(D158)+1)&lt;YEAR(E158),0,IF((YEAR(D158)+1)&gt;YEAR(E158),1,(12-MONTH(E158)+1)/12))) + (R158)*(IF((YEAR(D158)+1)&lt;YEAR(E158),0,IF((YEAR(D158)+1)&gt;YEAR(E158),1,(12-MONTH(E158)+1)/12))))-(IF((((K158)*(IF(M158="",L158,IFERROR(IF(INDEX(Variablen!$I:$AT, MATCH(M158, Variablen!$A:$A, 0), MATCH((YEAR(D158)+1), Variablen!$I$3:$AT$3, 0))="",L158,INDEX(Variablen!$I:$AT, MATCH(M158, Variablen!$A:$A, 0), MATCH((YEAR(D158)+1), Variablen!$I$3:$AT$3, 0))),L158)))*(IF((YEAR(D158)+1)&lt;YEAR(E158),0,IF((YEAR(D158)+1)&gt;YEAR(E158),1,(12-MONTH(E158)+1)/12))) + (Q158)*(IF((YEAR(D158)+1)&lt;YEAR(E158),0,IF((YEAR(D158)+1)&gt;YEAR(E158),1,(12-MONTH(E158)+1)/12))))-((P158)*(IF((YEAR(D158)+1)&lt;YEAR(E158),0,IF((YEAR(D158)+1)&gt;YEAR(E158),1,(12-MONTH(E158)+1)/12))) + (R158)*(IF((YEAR(D158)+1)&lt;YEAR(E158),0,IF((YEAR(D158)+1)&gt;YEAR(E158),1,(12-MONTH(E158)+1)/12))))-(IF(OR(N158="",N158&lt;=0),0,(O158/N158)*(IF(OR(N158="",N158&lt;=0),0,IF((YEAR(D158)+1)&lt;YEAR(E158),0,IF((YEAR(D158)+1)&gt;=YEAR(E158)+N158,0,IF((YEAR(D158)+1)=YEAR(E158),(12-MONTH(E158)+1)/12,1))))))))&gt;0,(((K158)*(IF(M158="",L158,IFERROR(IF(INDEX(Variablen!$I:$AT, MATCH(M158, Variablen!$A:$A, 0), MATCH((YEAR(D158)+1), Variablen!$I$3:$AT$3, 0))="",L158,INDEX(Variablen!$I:$AT, MATCH(M158, Variablen!$A:$A, 0), MATCH((YEAR(D158)+1), Variablen!$I$3:$AT$3, 0))),L158)))*(IF((YEAR(D158)+1)&lt;YEAR(E158),0,IF((YEAR(D158)+1)&gt;YEAR(E158),1,(12-MONTH(E158)+1)/12))) + (Q158)*(IF((YEAR(D158)+1)&lt;YEAR(E158),0,IF((YEAR(D158)+1)&gt;YEAR(E158),1,(12-MONTH(E158)+1)/12))))-((P158)*(IF((YEAR(D158)+1)&lt;YEAR(E158),0,IF((YEAR(D158)+1)&gt;YEAR(E158),1,(12-MONTH(E158)+1)/12))) + (R158)*(IF((YEAR(D158)+1)&lt;YEAR(E158),0,IF((YEAR(D158)+1)&gt;YEAR(E158),1,(12-MONTH(E158)+1)/12))))-(IF(OR(N158="",N158&lt;=0),0,(O158/N158)*(IF(OR(N158="",N158&lt;=0),0,IF((YEAR(D158)+1)&lt;YEAR(E158),0,IF((YEAR(D158)+1)&gt;=YEAR(E158)+N158,0,IF((YEAR(D158)+1)=YEAR(E158),(12-MONTH(E158)+1)/12,1))))))))*TaxRate,0))-IF(1=0,O158,0))</f>
        <v/>
      </c>
      <c r="U158" s="29">
        <f>IF(A158="","",((K158)*(IF(M158="",L158,IFERROR(IF(INDEX(Variablen!$I:$AT, MATCH(M158, Variablen!$A:$A, 0), MATCH((YEAR(D158)+2), Variablen!$I$3:$AT$3, 0))="",L158,INDEX(Variablen!$I:$AT, MATCH(M158, Variablen!$A:$A, 0), MATCH((YEAR(D158)+2), Variablen!$I$3:$AT$3, 0))),L158)))*(IF((YEAR(D158)+2)&lt;YEAR(E158),0,IF((YEAR(D158)+2)&gt;YEAR(E158),1,(12-MONTH(E158)+1)/12))) + (Q158)*(IF((YEAR(D158)+2)&lt;YEAR(E158),0,IF((YEAR(D158)+2)&gt;YEAR(E158),1,(12-MONTH(E158)+1)/12))))-((P158)*(IF((YEAR(D158)+2)&lt;YEAR(E158),0,IF((YEAR(D158)+2)&gt;YEAR(E158),1,(12-MONTH(E158)+1)/12))) + (R158)*(IF((YEAR(D158)+2)&lt;YEAR(E158),0,IF((YEAR(D158)+2)&gt;YEAR(E158),1,(12-MONTH(E158)+1)/12))))-(IF((((K158)*(IF(M158="",L158,IFERROR(IF(INDEX(Variablen!$I:$AT, MATCH(M158, Variablen!$A:$A, 0), MATCH((YEAR(D158)+2), Variablen!$I$3:$AT$3, 0))="",L158,INDEX(Variablen!$I:$AT, MATCH(M158, Variablen!$A:$A, 0), MATCH((YEAR(D158)+2), Variablen!$I$3:$AT$3, 0))),L158)))*(IF((YEAR(D158)+2)&lt;YEAR(E158),0,IF((YEAR(D158)+2)&gt;YEAR(E158),1,(12-MONTH(E158)+1)/12))) + (Q158)*(IF((YEAR(D158)+2)&lt;YEAR(E158),0,IF((YEAR(D158)+2)&gt;YEAR(E158),1,(12-MONTH(E158)+1)/12))))-((P158)*(IF((YEAR(D158)+2)&lt;YEAR(E158),0,IF((YEAR(D158)+2)&gt;YEAR(E158),1,(12-MONTH(E158)+1)/12))) + (R158)*(IF((YEAR(D158)+2)&lt;YEAR(E158),0,IF((YEAR(D158)+2)&gt;YEAR(E158),1,(12-MONTH(E158)+1)/12))))-(IF(OR(N158="",N158&lt;=0),0,(O158/N158)*(IF(OR(N158="",N158&lt;=0),0,IF((YEAR(D158)+2)&lt;YEAR(E158),0,IF((YEAR(D158)+2)&gt;=YEAR(E158)+N158,0,IF((YEAR(D158)+2)=YEAR(E158),(12-MONTH(E158)+1)/12,1))))))))&gt;0,(((K158)*(IF(M158="",L158,IFERROR(IF(INDEX(Variablen!$I:$AT, MATCH(M158, Variablen!$A:$A, 0), MATCH((YEAR(D158)+2), Variablen!$I$3:$AT$3, 0))="",L158,INDEX(Variablen!$I:$AT, MATCH(M158, Variablen!$A:$A, 0), MATCH((YEAR(D158)+2), Variablen!$I$3:$AT$3, 0))),L158)))*(IF((YEAR(D158)+2)&lt;YEAR(E158),0,IF((YEAR(D158)+2)&gt;YEAR(E158),1,(12-MONTH(E158)+1)/12))) + (Q158)*(IF((YEAR(D158)+2)&lt;YEAR(E158),0,IF((YEAR(D158)+2)&gt;YEAR(E158),1,(12-MONTH(E158)+1)/12))))-((P158)*(IF((YEAR(D158)+2)&lt;YEAR(E158),0,IF((YEAR(D158)+2)&gt;YEAR(E158),1,(12-MONTH(E158)+1)/12))) + (R158)*(IF((YEAR(D158)+2)&lt;YEAR(E158),0,IF((YEAR(D158)+2)&gt;YEAR(E158),1,(12-MONTH(E158)+1)/12))))-(IF(OR(N158="",N158&lt;=0),0,(O158/N158)*(IF(OR(N158="",N158&lt;=0),0,IF((YEAR(D158)+2)&lt;YEAR(E158),0,IF((YEAR(D158)+2)&gt;=YEAR(E158)+N158,0,IF((YEAR(D158)+2)=YEAR(E158),(12-MONTH(E158)+1)/12,1))))))))*TaxRate,0))-IF(2=0,O158,0))</f>
        <v/>
      </c>
      <c r="V158" s="29">
        <f>IF(A158="","",((K158)*(IF(M158="",L158,IFERROR(IF(INDEX(Variablen!$I:$AT, MATCH(M158, Variablen!$A:$A, 0), MATCH((YEAR(D158)+3), Variablen!$I$3:$AT$3, 0))="",L158,INDEX(Variablen!$I:$AT, MATCH(M158, Variablen!$A:$A, 0), MATCH((YEAR(D158)+3), Variablen!$I$3:$AT$3, 0))),L158)))*(IF((YEAR(D158)+3)&lt;YEAR(E158),0,IF((YEAR(D158)+3)&gt;YEAR(E158),1,(12-MONTH(E158)+1)/12))) + (Q158)*(IF((YEAR(D158)+3)&lt;YEAR(E158),0,IF((YEAR(D158)+3)&gt;YEAR(E158),1,(12-MONTH(E158)+1)/12))))-((P158)*(IF((YEAR(D158)+3)&lt;YEAR(E158),0,IF((YEAR(D158)+3)&gt;YEAR(E158),1,(12-MONTH(E158)+1)/12))) + (R158)*(IF((YEAR(D158)+3)&lt;YEAR(E158),0,IF((YEAR(D158)+3)&gt;YEAR(E158),1,(12-MONTH(E158)+1)/12))))-(IF((((K158)*(IF(M158="",L158,IFERROR(IF(INDEX(Variablen!$I:$AT, MATCH(M158, Variablen!$A:$A, 0), MATCH((YEAR(D158)+3), Variablen!$I$3:$AT$3, 0))="",L158,INDEX(Variablen!$I:$AT, MATCH(M158, Variablen!$A:$A, 0), MATCH((YEAR(D158)+3), Variablen!$I$3:$AT$3, 0))),L158)))*(IF((YEAR(D158)+3)&lt;YEAR(E158),0,IF((YEAR(D158)+3)&gt;YEAR(E158),1,(12-MONTH(E158)+1)/12))) + (Q158)*(IF((YEAR(D158)+3)&lt;YEAR(E158),0,IF((YEAR(D158)+3)&gt;YEAR(E158),1,(12-MONTH(E158)+1)/12))))-((P158)*(IF((YEAR(D158)+3)&lt;YEAR(E158),0,IF((YEAR(D158)+3)&gt;YEAR(E158),1,(12-MONTH(E158)+1)/12))) + (R158)*(IF((YEAR(D158)+3)&lt;YEAR(E158),0,IF((YEAR(D158)+3)&gt;YEAR(E158),1,(12-MONTH(E158)+1)/12))))-(IF(OR(N158="",N158&lt;=0),0,(O158/N158)*(IF(OR(N158="",N158&lt;=0),0,IF((YEAR(D158)+3)&lt;YEAR(E158),0,IF((YEAR(D158)+3)&gt;=YEAR(E158)+N158,0,IF((YEAR(D158)+3)=YEAR(E158),(12-MONTH(E158)+1)/12,1))))))))&gt;0,(((K158)*(IF(M158="",L158,IFERROR(IF(INDEX(Variablen!$I:$AT, MATCH(M158, Variablen!$A:$A, 0), MATCH((YEAR(D158)+3), Variablen!$I$3:$AT$3, 0))="",L158,INDEX(Variablen!$I:$AT, MATCH(M158, Variablen!$A:$A, 0), MATCH((YEAR(D158)+3), Variablen!$I$3:$AT$3, 0))),L158)))*(IF((YEAR(D158)+3)&lt;YEAR(E158),0,IF((YEAR(D158)+3)&gt;YEAR(E158),1,(12-MONTH(E158)+1)/12))) + (Q158)*(IF((YEAR(D158)+3)&lt;YEAR(E158),0,IF((YEAR(D158)+3)&gt;YEAR(E158),1,(12-MONTH(E158)+1)/12))))-((P158)*(IF((YEAR(D158)+3)&lt;YEAR(E158),0,IF((YEAR(D158)+3)&gt;YEAR(E158),1,(12-MONTH(E158)+1)/12))) + (R158)*(IF((YEAR(D158)+3)&lt;YEAR(E158),0,IF((YEAR(D158)+3)&gt;YEAR(E158),1,(12-MONTH(E158)+1)/12))))-(IF(OR(N158="",N158&lt;=0),0,(O158/N158)*(IF(OR(N158="",N158&lt;=0),0,IF((YEAR(D158)+3)&lt;YEAR(E158),0,IF((YEAR(D158)+3)&gt;=YEAR(E158)+N158,0,IF((YEAR(D158)+3)=YEAR(E158),(12-MONTH(E158)+1)/12,1))))))))*TaxRate,0))-IF(3=0,O158,0))</f>
        <v/>
      </c>
      <c r="W158" s="29">
        <f>IF(A158="","",((K158)*(IF(M158="",L158,IFERROR(IF(INDEX(Variablen!$I:$AT, MATCH(M158, Variablen!$A:$A, 0), MATCH((YEAR(D158)+4), Variablen!$I$3:$AT$3, 0))="",L158,INDEX(Variablen!$I:$AT, MATCH(M158, Variablen!$A:$A, 0), MATCH((YEAR(D158)+4), Variablen!$I$3:$AT$3, 0))),L158)))*(IF((YEAR(D158)+4)&lt;YEAR(E158),0,IF((YEAR(D158)+4)&gt;YEAR(E158),1,(12-MONTH(E158)+1)/12))) + (Q158)*(IF((YEAR(D158)+4)&lt;YEAR(E158),0,IF((YEAR(D158)+4)&gt;YEAR(E158),1,(12-MONTH(E158)+1)/12))))-((P158)*(IF((YEAR(D158)+4)&lt;YEAR(E158),0,IF((YEAR(D158)+4)&gt;YEAR(E158),1,(12-MONTH(E158)+1)/12))) + (R158)*(IF((YEAR(D158)+4)&lt;YEAR(E158),0,IF((YEAR(D158)+4)&gt;YEAR(E158),1,(12-MONTH(E158)+1)/12))))-(IF((((K158)*(IF(M158="",L158,IFERROR(IF(INDEX(Variablen!$I:$AT, MATCH(M158, Variablen!$A:$A, 0), MATCH((YEAR(D158)+4), Variablen!$I$3:$AT$3, 0))="",L158,INDEX(Variablen!$I:$AT, MATCH(M158, Variablen!$A:$A, 0), MATCH((YEAR(D158)+4), Variablen!$I$3:$AT$3, 0))),L158)))*(IF((YEAR(D158)+4)&lt;YEAR(E158),0,IF((YEAR(D158)+4)&gt;YEAR(E158),1,(12-MONTH(E158)+1)/12))) + (Q158)*(IF((YEAR(D158)+4)&lt;YEAR(E158),0,IF((YEAR(D158)+4)&gt;YEAR(E158),1,(12-MONTH(E158)+1)/12))))-((P158)*(IF((YEAR(D158)+4)&lt;YEAR(E158),0,IF((YEAR(D158)+4)&gt;YEAR(E158),1,(12-MONTH(E158)+1)/12))) + (R158)*(IF((YEAR(D158)+4)&lt;YEAR(E158),0,IF((YEAR(D158)+4)&gt;YEAR(E158),1,(12-MONTH(E158)+1)/12))))-(IF(OR(N158="",N158&lt;=0),0,(O158/N158)*(IF(OR(N158="",N158&lt;=0),0,IF((YEAR(D158)+4)&lt;YEAR(E158),0,IF((YEAR(D158)+4)&gt;=YEAR(E158)+N158,0,IF((YEAR(D158)+4)=YEAR(E158),(12-MONTH(E158)+1)/12,1))))))))&gt;0,(((K158)*(IF(M158="",L158,IFERROR(IF(INDEX(Variablen!$I:$AT, MATCH(M158, Variablen!$A:$A, 0), MATCH((YEAR(D158)+4), Variablen!$I$3:$AT$3, 0))="",L158,INDEX(Variablen!$I:$AT, MATCH(M158, Variablen!$A:$A, 0), MATCH((YEAR(D158)+4), Variablen!$I$3:$AT$3, 0))),L158)))*(IF((YEAR(D158)+4)&lt;YEAR(E158),0,IF((YEAR(D158)+4)&gt;YEAR(E158),1,(12-MONTH(E158)+1)/12))) + (Q158)*(IF((YEAR(D158)+4)&lt;YEAR(E158),0,IF((YEAR(D158)+4)&gt;YEAR(E158),1,(12-MONTH(E158)+1)/12))))-((P158)*(IF((YEAR(D158)+4)&lt;YEAR(E158),0,IF((YEAR(D158)+4)&gt;YEAR(E158),1,(12-MONTH(E158)+1)/12))) + (R158)*(IF((YEAR(D158)+4)&lt;YEAR(E158),0,IF((YEAR(D158)+4)&gt;YEAR(E158),1,(12-MONTH(E158)+1)/12))))-(IF(OR(N158="",N158&lt;=0),0,(O158/N158)*(IF(OR(N158="",N158&lt;=0),0,IF((YEAR(D158)+4)&lt;YEAR(E158),0,IF((YEAR(D158)+4)&gt;=YEAR(E158)+N158,0,IF((YEAR(D158)+4)=YEAR(E158),(12-MONTH(E158)+1)/12,1))))))))*TaxRate,0))-IF(4=0,O158,0))</f>
        <v/>
      </c>
      <c r="X158" s="29">
        <f>IF(A158="","",((K158)*(IF(M158="",L158,IFERROR(IF(INDEX(Variablen!$I:$AT, MATCH(M158, Variablen!$A:$A, 0), MATCH((YEAR(D158)+5), Variablen!$I$3:$AT$3, 0))="",L158,INDEX(Variablen!$I:$AT, MATCH(M158, Variablen!$A:$A, 0), MATCH((YEAR(D158)+5), Variablen!$I$3:$AT$3, 0))),L158)))*(IF((YEAR(D158)+5)&lt;YEAR(E158),0,IF((YEAR(D158)+5)&gt;YEAR(E158),1,(12-MONTH(E158)+1)/12))) + (Q158)*(IF((YEAR(D158)+5)&lt;YEAR(E158),0,IF((YEAR(D158)+5)&gt;YEAR(E158),1,(12-MONTH(E158)+1)/12))))-((P158)*(IF((YEAR(D158)+5)&lt;YEAR(E158),0,IF((YEAR(D158)+5)&gt;YEAR(E158),1,(12-MONTH(E158)+1)/12))) + (R158)*(IF((YEAR(D158)+5)&lt;YEAR(E158),0,IF((YEAR(D158)+5)&gt;YEAR(E158),1,(12-MONTH(E158)+1)/12))))-(IF((((K158)*(IF(M158="",L158,IFERROR(IF(INDEX(Variablen!$I:$AT, MATCH(M158, Variablen!$A:$A, 0), MATCH((YEAR(D158)+5), Variablen!$I$3:$AT$3, 0))="",L158,INDEX(Variablen!$I:$AT, MATCH(M158, Variablen!$A:$A, 0), MATCH((YEAR(D158)+5), Variablen!$I$3:$AT$3, 0))),L158)))*(IF((YEAR(D158)+5)&lt;YEAR(E158),0,IF((YEAR(D158)+5)&gt;YEAR(E158),1,(12-MONTH(E158)+1)/12))) + (Q158)*(IF((YEAR(D158)+5)&lt;YEAR(E158),0,IF((YEAR(D158)+5)&gt;YEAR(E158),1,(12-MONTH(E158)+1)/12))))-((P158)*(IF((YEAR(D158)+5)&lt;YEAR(E158),0,IF((YEAR(D158)+5)&gt;YEAR(E158),1,(12-MONTH(E158)+1)/12))) + (R158)*(IF((YEAR(D158)+5)&lt;YEAR(E158),0,IF((YEAR(D158)+5)&gt;YEAR(E158),1,(12-MONTH(E158)+1)/12))))-(IF(OR(N158="",N158&lt;=0),0,(O158/N158)*(IF(OR(N158="",N158&lt;=0),0,IF((YEAR(D158)+5)&lt;YEAR(E158),0,IF((YEAR(D158)+5)&gt;=YEAR(E158)+N158,0,IF((YEAR(D158)+5)=YEAR(E158),(12-MONTH(E158)+1)/12,1))))))))&gt;0,(((K158)*(IF(M158="",L158,IFERROR(IF(INDEX(Variablen!$I:$AT, MATCH(M158, Variablen!$A:$A, 0), MATCH((YEAR(D158)+5), Variablen!$I$3:$AT$3, 0))="",L158,INDEX(Variablen!$I:$AT, MATCH(M158, Variablen!$A:$A, 0), MATCH((YEAR(D158)+5), Variablen!$I$3:$AT$3, 0))),L158)))*(IF((YEAR(D158)+5)&lt;YEAR(E158),0,IF((YEAR(D158)+5)&gt;YEAR(E158),1,(12-MONTH(E158)+1)/12))) + (Q158)*(IF((YEAR(D158)+5)&lt;YEAR(E158),0,IF((YEAR(D158)+5)&gt;YEAR(E158),1,(12-MONTH(E158)+1)/12))))-((P158)*(IF((YEAR(D158)+5)&lt;YEAR(E158),0,IF((YEAR(D158)+5)&gt;YEAR(E158),1,(12-MONTH(E158)+1)/12))) + (R158)*(IF((YEAR(D158)+5)&lt;YEAR(E158),0,IF((YEAR(D158)+5)&gt;YEAR(E158),1,(12-MONTH(E158)+1)/12))))-(IF(OR(N158="",N158&lt;=0),0,(O158/N158)*(IF(OR(N158="",N158&lt;=0),0,IF((YEAR(D158)+5)&lt;YEAR(E158),0,IF((YEAR(D158)+5)&gt;=YEAR(E158)+N158,0,IF((YEAR(D158)+5)=YEAR(E158),(12-MONTH(E158)+1)/12,1))))))))*TaxRate,0))-IF(5=0,O158,0))</f>
        <v/>
      </c>
      <c r="Y158" s="29">
        <f>IF(A158="","",((K158)*(IF(M158="",L158,IFERROR(IF(INDEX(Variablen!$I:$AT, MATCH(M158, Variablen!$A:$A, 0), MATCH((YEAR(D158)+6), Variablen!$I$3:$AT$3, 0))="",L158,INDEX(Variablen!$I:$AT, MATCH(M158, Variablen!$A:$A, 0), MATCH((YEAR(D158)+6), Variablen!$I$3:$AT$3, 0))),L158)))*(IF((YEAR(D158)+6)&lt;YEAR(E158),0,IF((YEAR(D158)+6)&gt;YEAR(E158),1,(12-MONTH(E158)+1)/12))) + (Q158)*(IF((YEAR(D158)+6)&lt;YEAR(E158),0,IF((YEAR(D158)+6)&gt;YEAR(E158),1,(12-MONTH(E158)+1)/12))))-((P158)*(IF((YEAR(D158)+6)&lt;YEAR(E158),0,IF((YEAR(D158)+6)&gt;YEAR(E158),1,(12-MONTH(E158)+1)/12))) + (R158)*(IF((YEAR(D158)+6)&lt;YEAR(E158),0,IF((YEAR(D158)+6)&gt;YEAR(E158),1,(12-MONTH(E158)+1)/12))))-(IF((((K158)*(IF(M158="",L158,IFERROR(IF(INDEX(Variablen!$I:$AT, MATCH(M158, Variablen!$A:$A, 0), MATCH((YEAR(D158)+6), Variablen!$I$3:$AT$3, 0))="",L158,INDEX(Variablen!$I:$AT, MATCH(M158, Variablen!$A:$A, 0), MATCH((YEAR(D158)+6), Variablen!$I$3:$AT$3, 0))),L158)))*(IF((YEAR(D158)+6)&lt;YEAR(E158),0,IF((YEAR(D158)+6)&gt;YEAR(E158),1,(12-MONTH(E158)+1)/12))) + (Q158)*(IF((YEAR(D158)+6)&lt;YEAR(E158),0,IF((YEAR(D158)+6)&gt;YEAR(E158),1,(12-MONTH(E158)+1)/12))))-((P158)*(IF((YEAR(D158)+6)&lt;YEAR(E158),0,IF((YEAR(D158)+6)&gt;YEAR(E158),1,(12-MONTH(E158)+1)/12))) + (R158)*(IF((YEAR(D158)+6)&lt;YEAR(E158),0,IF((YEAR(D158)+6)&gt;YEAR(E158),1,(12-MONTH(E158)+1)/12))))-(IF(OR(N158="",N158&lt;=0),0,(O158/N158)*(IF(OR(N158="",N158&lt;=0),0,IF((YEAR(D158)+6)&lt;YEAR(E158),0,IF((YEAR(D158)+6)&gt;=YEAR(E158)+N158,0,IF((YEAR(D158)+6)=YEAR(E158),(12-MONTH(E158)+1)/12,1))))))))&gt;0,(((K158)*(IF(M158="",L158,IFERROR(IF(INDEX(Variablen!$I:$AT, MATCH(M158, Variablen!$A:$A, 0), MATCH((YEAR(D158)+6), Variablen!$I$3:$AT$3, 0))="",L158,INDEX(Variablen!$I:$AT, MATCH(M158, Variablen!$A:$A, 0), MATCH((YEAR(D158)+6), Variablen!$I$3:$AT$3, 0))),L158)))*(IF((YEAR(D158)+6)&lt;YEAR(E158),0,IF((YEAR(D158)+6)&gt;YEAR(E158),1,(12-MONTH(E158)+1)/12))) + (Q158)*(IF((YEAR(D158)+6)&lt;YEAR(E158),0,IF((YEAR(D158)+6)&gt;YEAR(E158),1,(12-MONTH(E158)+1)/12))))-((P158)*(IF((YEAR(D158)+6)&lt;YEAR(E158),0,IF((YEAR(D158)+6)&gt;YEAR(E158),1,(12-MONTH(E158)+1)/12))) + (R158)*(IF((YEAR(D158)+6)&lt;YEAR(E158),0,IF((YEAR(D158)+6)&gt;YEAR(E158),1,(12-MONTH(E158)+1)/12))))-(IF(OR(N158="",N158&lt;=0),0,(O158/N158)*(IF(OR(N158="",N158&lt;=0),0,IF((YEAR(D158)+6)&lt;YEAR(E158),0,IF((YEAR(D158)+6)&gt;=YEAR(E158)+N158,0,IF((YEAR(D158)+6)=YEAR(E158),(12-MONTH(E158)+1)/12,1))))))))*TaxRate,0))-IF(6=0,O158,0))</f>
        <v/>
      </c>
      <c r="Z158" s="29">
        <f>IF(A158="","",((K158)*(IF(M158="",L158,IFERROR(IF(INDEX(Variablen!$I:$AT, MATCH(M158, Variablen!$A:$A, 0), MATCH((YEAR(D158)+7), Variablen!$I$3:$AT$3, 0))="",L158,INDEX(Variablen!$I:$AT, MATCH(M158, Variablen!$A:$A, 0), MATCH((YEAR(D158)+7), Variablen!$I$3:$AT$3, 0))),L158)))*(IF((YEAR(D158)+7)&lt;YEAR(E158),0,IF((YEAR(D158)+7)&gt;YEAR(E158),1,(12-MONTH(E158)+1)/12))) + (Q158)*(IF((YEAR(D158)+7)&lt;YEAR(E158),0,IF((YEAR(D158)+7)&gt;YEAR(E158),1,(12-MONTH(E158)+1)/12))))-((P158)*(IF((YEAR(D158)+7)&lt;YEAR(E158),0,IF((YEAR(D158)+7)&gt;YEAR(E158),1,(12-MONTH(E158)+1)/12))) + (R158)*(IF((YEAR(D158)+7)&lt;YEAR(E158),0,IF((YEAR(D158)+7)&gt;YEAR(E158),1,(12-MONTH(E158)+1)/12))))-(IF((((K158)*(IF(M158="",L158,IFERROR(IF(INDEX(Variablen!$I:$AT, MATCH(M158, Variablen!$A:$A, 0), MATCH((YEAR(D158)+7), Variablen!$I$3:$AT$3, 0))="",L158,INDEX(Variablen!$I:$AT, MATCH(M158, Variablen!$A:$A, 0), MATCH((YEAR(D158)+7), Variablen!$I$3:$AT$3, 0))),L158)))*(IF((YEAR(D158)+7)&lt;YEAR(E158),0,IF((YEAR(D158)+7)&gt;YEAR(E158),1,(12-MONTH(E158)+1)/12))) + (Q158)*(IF((YEAR(D158)+7)&lt;YEAR(E158),0,IF((YEAR(D158)+7)&gt;YEAR(E158),1,(12-MONTH(E158)+1)/12))))-((P158)*(IF((YEAR(D158)+7)&lt;YEAR(E158),0,IF((YEAR(D158)+7)&gt;YEAR(E158),1,(12-MONTH(E158)+1)/12))) + (R158)*(IF((YEAR(D158)+7)&lt;YEAR(E158),0,IF((YEAR(D158)+7)&gt;YEAR(E158),1,(12-MONTH(E158)+1)/12))))-(IF(OR(N158="",N158&lt;=0),0,(O158/N158)*(IF(OR(N158="",N158&lt;=0),0,IF((YEAR(D158)+7)&lt;YEAR(E158),0,IF((YEAR(D158)+7)&gt;=YEAR(E158)+N158,0,IF((YEAR(D158)+7)=YEAR(E158),(12-MONTH(E158)+1)/12,1))))))))&gt;0,(((K158)*(IF(M158="",L158,IFERROR(IF(INDEX(Variablen!$I:$AT, MATCH(M158, Variablen!$A:$A, 0), MATCH((YEAR(D158)+7), Variablen!$I$3:$AT$3, 0))="",L158,INDEX(Variablen!$I:$AT, MATCH(M158, Variablen!$A:$A, 0), MATCH((YEAR(D158)+7), Variablen!$I$3:$AT$3, 0))),L158)))*(IF((YEAR(D158)+7)&lt;YEAR(E158),0,IF((YEAR(D158)+7)&gt;YEAR(E158),1,(12-MONTH(E158)+1)/12))) + (Q158)*(IF((YEAR(D158)+7)&lt;YEAR(E158),0,IF((YEAR(D158)+7)&gt;YEAR(E158),1,(12-MONTH(E158)+1)/12))))-((P158)*(IF((YEAR(D158)+7)&lt;YEAR(E158),0,IF((YEAR(D158)+7)&gt;YEAR(E158),1,(12-MONTH(E158)+1)/12))) + (R158)*(IF((YEAR(D158)+7)&lt;YEAR(E158),0,IF((YEAR(D158)+7)&gt;YEAR(E158),1,(12-MONTH(E158)+1)/12))))-(IF(OR(N158="",N158&lt;=0),0,(O158/N158)*(IF(OR(N158="",N158&lt;=0),0,IF((YEAR(D158)+7)&lt;YEAR(E158),0,IF((YEAR(D158)+7)&gt;=YEAR(E158)+N158,0,IF((YEAR(D158)+7)=YEAR(E158),(12-MONTH(E158)+1)/12,1))))))))*TaxRate,0))-IF(7=0,O158,0))</f>
        <v/>
      </c>
      <c r="AA158" s="29">
        <f>IF(A158="","",((K158)*(IF(M158="",L158,IFERROR(IF(INDEX(Variablen!$I:$AT, MATCH(M158, Variablen!$A:$A, 0), MATCH((YEAR(D158)+8), Variablen!$I$3:$AT$3, 0))="",L158,INDEX(Variablen!$I:$AT, MATCH(M158, Variablen!$A:$A, 0), MATCH((YEAR(D158)+8), Variablen!$I$3:$AT$3, 0))),L158)))*(IF((YEAR(D158)+8)&lt;YEAR(E158),0,IF((YEAR(D158)+8)&gt;YEAR(E158),1,(12-MONTH(E158)+1)/12))) + (Q158)*(IF((YEAR(D158)+8)&lt;YEAR(E158),0,IF((YEAR(D158)+8)&gt;YEAR(E158),1,(12-MONTH(E158)+1)/12))))-((P158)*(IF((YEAR(D158)+8)&lt;YEAR(E158),0,IF((YEAR(D158)+8)&gt;YEAR(E158),1,(12-MONTH(E158)+1)/12))) + (R158)*(IF((YEAR(D158)+8)&lt;YEAR(E158),0,IF((YEAR(D158)+8)&gt;YEAR(E158),1,(12-MONTH(E158)+1)/12))))-(IF((((K158)*(IF(M158="",L158,IFERROR(IF(INDEX(Variablen!$I:$AT, MATCH(M158, Variablen!$A:$A, 0), MATCH((YEAR(D158)+8), Variablen!$I$3:$AT$3, 0))="",L158,INDEX(Variablen!$I:$AT, MATCH(M158, Variablen!$A:$A, 0), MATCH((YEAR(D158)+8), Variablen!$I$3:$AT$3, 0))),L158)))*(IF((YEAR(D158)+8)&lt;YEAR(E158),0,IF((YEAR(D158)+8)&gt;YEAR(E158),1,(12-MONTH(E158)+1)/12))) + (Q158)*(IF((YEAR(D158)+8)&lt;YEAR(E158),0,IF((YEAR(D158)+8)&gt;YEAR(E158),1,(12-MONTH(E158)+1)/12))))-((P158)*(IF((YEAR(D158)+8)&lt;YEAR(E158),0,IF((YEAR(D158)+8)&gt;YEAR(E158),1,(12-MONTH(E158)+1)/12))) + (R158)*(IF((YEAR(D158)+8)&lt;YEAR(E158),0,IF((YEAR(D158)+8)&gt;YEAR(E158),1,(12-MONTH(E158)+1)/12))))-(IF(OR(N158="",N158&lt;=0),0,(O158/N158)*(IF(OR(N158="",N158&lt;=0),0,IF((YEAR(D158)+8)&lt;YEAR(E158),0,IF((YEAR(D158)+8)&gt;=YEAR(E158)+N158,0,IF((YEAR(D158)+8)=YEAR(E158),(12-MONTH(E158)+1)/12,1))))))))&gt;0,(((K158)*(IF(M158="",L158,IFERROR(IF(INDEX(Variablen!$I:$AT, MATCH(M158, Variablen!$A:$A, 0), MATCH((YEAR(D158)+8), Variablen!$I$3:$AT$3, 0))="",L158,INDEX(Variablen!$I:$AT, MATCH(M158, Variablen!$A:$A, 0), MATCH((YEAR(D158)+8), Variablen!$I$3:$AT$3, 0))),L158)))*(IF((YEAR(D158)+8)&lt;YEAR(E158),0,IF((YEAR(D158)+8)&gt;YEAR(E158),1,(12-MONTH(E158)+1)/12))) + (Q158)*(IF((YEAR(D158)+8)&lt;YEAR(E158),0,IF((YEAR(D158)+8)&gt;YEAR(E158),1,(12-MONTH(E158)+1)/12))))-((P158)*(IF((YEAR(D158)+8)&lt;YEAR(E158),0,IF((YEAR(D158)+8)&gt;YEAR(E158),1,(12-MONTH(E158)+1)/12))) + (R158)*(IF((YEAR(D158)+8)&lt;YEAR(E158),0,IF((YEAR(D158)+8)&gt;YEAR(E158),1,(12-MONTH(E158)+1)/12))))-(IF(OR(N158="",N158&lt;=0),0,(O158/N158)*(IF(OR(N158="",N158&lt;=0),0,IF((YEAR(D158)+8)&lt;YEAR(E158),0,IF((YEAR(D158)+8)&gt;=YEAR(E158)+N158,0,IF((YEAR(D158)+8)=YEAR(E158),(12-MONTH(E158)+1)/12,1))))))))*TaxRate,0))-IF(8=0,O158,0))</f>
        <v/>
      </c>
      <c r="AB158" s="29">
        <f>IF(A158="","",((K158)*(IF(M158="",L158,IFERROR(IF(INDEX(Variablen!$I:$AT, MATCH(M158, Variablen!$A:$A, 0), MATCH((YEAR(D158)+9), Variablen!$I$3:$AT$3, 0))="",L158,INDEX(Variablen!$I:$AT, MATCH(M158, Variablen!$A:$A, 0), MATCH((YEAR(D158)+9), Variablen!$I$3:$AT$3, 0))),L158)))*(IF((YEAR(D158)+9)&lt;YEAR(E158),0,IF((YEAR(D158)+9)&gt;YEAR(E158),1,(12-MONTH(E158)+1)/12))) + (Q158)*(IF((YEAR(D158)+9)&lt;YEAR(E158),0,IF((YEAR(D158)+9)&gt;YEAR(E158),1,(12-MONTH(E158)+1)/12))))-((P158)*(IF((YEAR(D158)+9)&lt;YEAR(E158),0,IF((YEAR(D158)+9)&gt;YEAR(E158),1,(12-MONTH(E158)+1)/12))) + (R158)*(IF((YEAR(D158)+9)&lt;YEAR(E158),0,IF((YEAR(D158)+9)&gt;YEAR(E158),1,(12-MONTH(E158)+1)/12))))-(IF((((K158)*(IF(M158="",L158,IFERROR(IF(INDEX(Variablen!$I:$AT, MATCH(M158, Variablen!$A:$A, 0), MATCH((YEAR(D158)+9), Variablen!$I$3:$AT$3, 0))="",L158,INDEX(Variablen!$I:$AT, MATCH(M158, Variablen!$A:$A, 0), MATCH((YEAR(D158)+9), Variablen!$I$3:$AT$3, 0))),L158)))*(IF((YEAR(D158)+9)&lt;YEAR(E158),0,IF((YEAR(D158)+9)&gt;YEAR(E158),1,(12-MONTH(E158)+1)/12))) + (Q158)*(IF((YEAR(D158)+9)&lt;YEAR(E158),0,IF((YEAR(D158)+9)&gt;YEAR(E158),1,(12-MONTH(E158)+1)/12))))-((P158)*(IF((YEAR(D158)+9)&lt;YEAR(E158),0,IF((YEAR(D158)+9)&gt;YEAR(E158),1,(12-MONTH(E158)+1)/12))) + (R158)*(IF((YEAR(D158)+9)&lt;YEAR(E158),0,IF((YEAR(D158)+9)&gt;YEAR(E158),1,(12-MONTH(E158)+1)/12))))-(IF(OR(N158="",N158&lt;=0),0,(O158/N158)*(IF(OR(N158="",N158&lt;=0),0,IF((YEAR(D158)+9)&lt;YEAR(E158),0,IF((YEAR(D158)+9)&gt;=YEAR(E158)+N158,0,IF((YEAR(D158)+9)=YEAR(E158),(12-MONTH(E158)+1)/12,1))))))))&gt;0,(((K158)*(IF(M158="",L158,IFERROR(IF(INDEX(Variablen!$I:$AT, MATCH(M158, Variablen!$A:$A, 0), MATCH((YEAR(D158)+9), Variablen!$I$3:$AT$3, 0))="",L158,INDEX(Variablen!$I:$AT, MATCH(M158, Variablen!$A:$A, 0), MATCH((YEAR(D158)+9), Variablen!$I$3:$AT$3, 0))),L158)))*(IF((YEAR(D158)+9)&lt;YEAR(E158),0,IF((YEAR(D158)+9)&gt;YEAR(E158),1,(12-MONTH(E158)+1)/12))) + (Q158)*(IF((YEAR(D158)+9)&lt;YEAR(E158),0,IF((YEAR(D158)+9)&gt;YEAR(E158),1,(12-MONTH(E158)+1)/12))))-((P158)*(IF((YEAR(D158)+9)&lt;YEAR(E158),0,IF((YEAR(D158)+9)&gt;YEAR(E158),1,(12-MONTH(E158)+1)/12))) + (R158)*(IF((YEAR(D158)+9)&lt;YEAR(E158),0,IF((YEAR(D158)+9)&gt;YEAR(E158),1,(12-MONTH(E158)+1)/12))))-(IF(OR(N158="",N158&lt;=0),0,(O158/N158)*(IF(OR(N158="",N158&lt;=0),0,IF((YEAR(D158)+9)&lt;YEAR(E158),0,IF((YEAR(D158)+9)&gt;=YEAR(E158)+N158,0,IF((YEAR(D158)+9)=YEAR(E158),(12-MONTH(E158)+1)/12,1))))))))*TaxRate,0))-IF(9=0,O158,0))</f>
        <v/>
      </c>
      <c r="AC158" s="29">
        <f>IF(A158="","",((K158)*(IF(M158="",L158,IFERROR(IF(INDEX(Variablen!$I:$AT, MATCH(M158, Variablen!$A:$A, 0), MATCH((YEAR(D158)+10), Variablen!$I$3:$AT$3, 0))="",L158,INDEX(Variablen!$I:$AT, MATCH(M158, Variablen!$A:$A, 0), MATCH((YEAR(D158)+10), Variablen!$I$3:$AT$3, 0))),L158)))*(IF((YEAR(D158)+10)&lt;YEAR(E158),0,IF((YEAR(D158)+10)&gt;YEAR(E158),1,(12-MONTH(E158)+1)/12))) + (Q158)*(IF((YEAR(D158)+10)&lt;YEAR(E158),0,IF((YEAR(D158)+10)&gt;YEAR(E158),1,(12-MONTH(E158)+1)/12))))-((P158)*(IF((YEAR(D158)+10)&lt;YEAR(E158),0,IF((YEAR(D158)+10)&gt;YEAR(E158),1,(12-MONTH(E158)+1)/12))) + (R158)*(IF((YEAR(D158)+10)&lt;YEAR(E158),0,IF((YEAR(D158)+10)&gt;YEAR(E158),1,(12-MONTH(E158)+1)/12))))-(IF((((K158)*(IF(M158="",L158,IFERROR(IF(INDEX(Variablen!$I:$AT, MATCH(M158, Variablen!$A:$A, 0), MATCH((YEAR(D158)+10), Variablen!$I$3:$AT$3, 0))="",L158,INDEX(Variablen!$I:$AT, MATCH(M158, Variablen!$A:$A, 0), MATCH((YEAR(D158)+10), Variablen!$I$3:$AT$3, 0))),L158)))*(IF((YEAR(D158)+10)&lt;YEAR(E158),0,IF((YEAR(D158)+10)&gt;YEAR(E158),1,(12-MONTH(E158)+1)/12))) + (Q158)*(IF((YEAR(D158)+10)&lt;YEAR(E158),0,IF((YEAR(D158)+10)&gt;YEAR(E158),1,(12-MONTH(E158)+1)/12))))-((P158)*(IF((YEAR(D158)+10)&lt;YEAR(E158),0,IF((YEAR(D158)+10)&gt;YEAR(E158),1,(12-MONTH(E158)+1)/12))) + (R158)*(IF((YEAR(D158)+10)&lt;YEAR(E158),0,IF((YEAR(D158)+10)&gt;YEAR(E158),1,(12-MONTH(E158)+1)/12))))-(IF(OR(N158="",N158&lt;=0),0,(O158/N158)*(IF(OR(N158="",N158&lt;=0),0,IF((YEAR(D158)+10)&lt;YEAR(E158),0,IF((YEAR(D158)+10)&gt;=YEAR(E158)+N158,0,IF((YEAR(D158)+10)=YEAR(E158),(12-MONTH(E158)+1)/12,1))))))))&gt;0,(((K158)*(IF(M158="",L158,IFERROR(IF(INDEX(Variablen!$I:$AT, MATCH(M158, Variablen!$A:$A, 0), MATCH((YEAR(D158)+10), Variablen!$I$3:$AT$3, 0))="",L158,INDEX(Variablen!$I:$AT, MATCH(M158, Variablen!$A:$A, 0), MATCH((YEAR(D158)+10), Variablen!$I$3:$AT$3, 0))),L158)))*(IF((YEAR(D158)+10)&lt;YEAR(E158),0,IF((YEAR(D158)+10)&gt;YEAR(E158),1,(12-MONTH(E158)+1)/12))) + (Q158)*(IF((YEAR(D158)+10)&lt;YEAR(E158),0,IF((YEAR(D158)+10)&gt;YEAR(E158),1,(12-MONTH(E158)+1)/12))))-((P158)*(IF((YEAR(D158)+10)&lt;YEAR(E158),0,IF((YEAR(D158)+10)&gt;YEAR(E158),1,(12-MONTH(E158)+1)/12))) + (R158)*(IF((YEAR(D158)+10)&lt;YEAR(E158),0,IF((YEAR(D158)+10)&gt;YEAR(E158),1,(12-MONTH(E158)+1)/12))))-(IF(OR(N158="",N158&lt;=0),0,(O158/N158)*(IF(OR(N158="",N158&lt;=0),0,IF((YEAR(D158)+10)&lt;YEAR(E158),0,IF((YEAR(D158)+10)&gt;=YEAR(E158)+N158,0,IF((YEAR(D158)+10)=YEAR(E158),(12-MONTH(E158)+1)/12,1))))))))*TaxRate,0))-IF(10=0,O158,0))</f>
        <v/>
      </c>
      <c r="AD158" s="29">
        <f>IF(A158="","",((K158)*(IF(M158="",L158,IFERROR(IF(INDEX(Variablen!$I:$AT, MATCH(M158, Variablen!$A:$A, 0), MATCH((YEAR(D158)+11), Variablen!$I$3:$AT$3, 0))="",L158,INDEX(Variablen!$I:$AT, MATCH(M158, Variablen!$A:$A, 0), MATCH((YEAR(D158)+11), Variablen!$I$3:$AT$3, 0))),L158)))*(IF((YEAR(D158)+11)&lt;YEAR(E158),0,IF((YEAR(D158)+11)&gt;YEAR(E158),1,(12-MONTH(E158)+1)/12))) + (Q158)*(IF((YEAR(D158)+11)&lt;YEAR(E158),0,IF((YEAR(D158)+11)&gt;YEAR(E158),1,(12-MONTH(E158)+1)/12))))-((P158)*(IF((YEAR(D158)+11)&lt;YEAR(E158),0,IF((YEAR(D158)+11)&gt;YEAR(E158),1,(12-MONTH(E158)+1)/12))) + (R158)*(IF((YEAR(D158)+11)&lt;YEAR(E158),0,IF((YEAR(D158)+11)&gt;YEAR(E158),1,(12-MONTH(E158)+1)/12))))-(IF((((K158)*(IF(M158="",L158,IFERROR(IF(INDEX(Variablen!$I:$AT, MATCH(M158, Variablen!$A:$A, 0), MATCH((YEAR(D158)+11), Variablen!$I$3:$AT$3, 0))="",L158,INDEX(Variablen!$I:$AT, MATCH(M158, Variablen!$A:$A, 0), MATCH((YEAR(D158)+11), Variablen!$I$3:$AT$3, 0))),L158)))*(IF((YEAR(D158)+11)&lt;YEAR(E158),0,IF((YEAR(D158)+11)&gt;YEAR(E158),1,(12-MONTH(E158)+1)/12))) + (Q158)*(IF((YEAR(D158)+11)&lt;YEAR(E158),0,IF((YEAR(D158)+11)&gt;YEAR(E158),1,(12-MONTH(E158)+1)/12))))-((P158)*(IF((YEAR(D158)+11)&lt;YEAR(E158),0,IF((YEAR(D158)+11)&gt;YEAR(E158),1,(12-MONTH(E158)+1)/12))) + (R158)*(IF((YEAR(D158)+11)&lt;YEAR(E158),0,IF((YEAR(D158)+11)&gt;YEAR(E158),1,(12-MONTH(E158)+1)/12))))-(IF(OR(N158="",N158&lt;=0),0,(O158/N158)*(IF(OR(N158="",N158&lt;=0),0,IF((YEAR(D158)+11)&lt;YEAR(E158),0,IF((YEAR(D158)+11)&gt;=YEAR(E158)+N158,0,IF((YEAR(D158)+11)=YEAR(E158),(12-MONTH(E158)+1)/12,1))))))))&gt;0,(((K158)*(IF(M158="",L158,IFERROR(IF(INDEX(Variablen!$I:$AT, MATCH(M158, Variablen!$A:$A, 0), MATCH((YEAR(D158)+11), Variablen!$I$3:$AT$3, 0))="",L158,INDEX(Variablen!$I:$AT, MATCH(M158, Variablen!$A:$A, 0), MATCH((YEAR(D158)+11), Variablen!$I$3:$AT$3, 0))),L158)))*(IF((YEAR(D158)+11)&lt;YEAR(E158),0,IF((YEAR(D158)+11)&gt;YEAR(E158),1,(12-MONTH(E158)+1)/12))) + (Q158)*(IF((YEAR(D158)+11)&lt;YEAR(E158),0,IF((YEAR(D158)+11)&gt;YEAR(E158),1,(12-MONTH(E158)+1)/12))))-((P158)*(IF((YEAR(D158)+11)&lt;YEAR(E158),0,IF((YEAR(D158)+11)&gt;YEAR(E158),1,(12-MONTH(E158)+1)/12))) + (R158)*(IF((YEAR(D158)+11)&lt;YEAR(E158),0,IF((YEAR(D158)+11)&gt;YEAR(E158),1,(12-MONTH(E158)+1)/12))))-(IF(OR(N158="",N158&lt;=0),0,(O158/N158)*(IF(OR(N158="",N158&lt;=0),0,IF((YEAR(D158)+11)&lt;YEAR(E158),0,IF((YEAR(D158)+11)&gt;=YEAR(E158)+N158,0,IF((YEAR(D158)+11)=YEAR(E158),(12-MONTH(E158)+1)/12,1))))))))*TaxRate,0))-IF(11=0,O158,0))</f>
        <v/>
      </c>
      <c r="AE158" s="29">
        <f>IF(A158="","",((K158)*(IF(M158="",L158,IFERROR(IF(INDEX(Variablen!$I:$AT, MATCH(M158, Variablen!$A:$A, 0), MATCH((YEAR(D158)+12), Variablen!$I$3:$AT$3, 0))="",L158,INDEX(Variablen!$I:$AT, MATCH(M158, Variablen!$A:$A, 0), MATCH((YEAR(D158)+12), Variablen!$I$3:$AT$3, 0))),L158)))*(IF((YEAR(D158)+12)&lt;YEAR(E158),0,IF((YEAR(D158)+12)&gt;YEAR(E158),1,(12-MONTH(E158)+1)/12))) + (Q158)*(IF((YEAR(D158)+12)&lt;YEAR(E158),0,IF((YEAR(D158)+12)&gt;YEAR(E158),1,(12-MONTH(E158)+1)/12))))-((P158)*(IF((YEAR(D158)+12)&lt;YEAR(E158),0,IF((YEAR(D158)+12)&gt;YEAR(E158),1,(12-MONTH(E158)+1)/12))) + (R158)*(IF((YEAR(D158)+12)&lt;YEAR(E158),0,IF((YEAR(D158)+12)&gt;YEAR(E158),1,(12-MONTH(E158)+1)/12))))-(IF((((K158)*(IF(M158="",L158,IFERROR(IF(INDEX(Variablen!$I:$AT, MATCH(M158, Variablen!$A:$A, 0), MATCH((YEAR(D158)+12), Variablen!$I$3:$AT$3, 0))="",L158,INDEX(Variablen!$I:$AT, MATCH(M158, Variablen!$A:$A, 0), MATCH((YEAR(D158)+12), Variablen!$I$3:$AT$3, 0))),L158)))*(IF((YEAR(D158)+12)&lt;YEAR(E158),0,IF((YEAR(D158)+12)&gt;YEAR(E158),1,(12-MONTH(E158)+1)/12))) + (Q158)*(IF((YEAR(D158)+12)&lt;YEAR(E158),0,IF((YEAR(D158)+12)&gt;YEAR(E158),1,(12-MONTH(E158)+1)/12))))-((P158)*(IF((YEAR(D158)+12)&lt;YEAR(E158),0,IF((YEAR(D158)+12)&gt;YEAR(E158),1,(12-MONTH(E158)+1)/12))) + (R158)*(IF((YEAR(D158)+12)&lt;YEAR(E158),0,IF((YEAR(D158)+12)&gt;YEAR(E158),1,(12-MONTH(E158)+1)/12))))-(IF(OR(N158="",N158&lt;=0),0,(O158/N158)*(IF(OR(N158="",N158&lt;=0),0,IF((YEAR(D158)+12)&lt;YEAR(E158),0,IF((YEAR(D158)+12)&gt;=YEAR(E158)+N158,0,IF((YEAR(D158)+12)=YEAR(E158),(12-MONTH(E158)+1)/12,1))))))))&gt;0,(((K158)*(IF(M158="",L158,IFERROR(IF(INDEX(Variablen!$I:$AT, MATCH(M158, Variablen!$A:$A, 0), MATCH((YEAR(D158)+12), Variablen!$I$3:$AT$3, 0))="",L158,INDEX(Variablen!$I:$AT, MATCH(M158, Variablen!$A:$A, 0), MATCH((YEAR(D158)+12), Variablen!$I$3:$AT$3, 0))),L158)))*(IF((YEAR(D158)+12)&lt;YEAR(E158),0,IF((YEAR(D158)+12)&gt;YEAR(E158),1,(12-MONTH(E158)+1)/12))) + (Q158)*(IF((YEAR(D158)+12)&lt;YEAR(E158),0,IF((YEAR(D158)+12)&gt;YEAR(E158),1,(12-MONTH(E158)+1)/12))))-((P158)*(IF((YEAR(D158)+12)&lt;YEAR(E158),0,IF((YEAR(D158)+12)&gt;YEAR(E158),1,(12-MONTH(E158)+1)/12))) + (R158)*(IF((YEAR(D158)+12)&lt;YEAR(E158),0,IF((YEAR(D158)+12)&gt;YEAR(E158),1,(12-MONTH(E158)+1)/12))))-(IF(OR(N158="",N158&lt;=0),0,(O158/N158)*(IF(OR(N158="",N158&lt;=0),0,IF((YEAR(D158)+12)&lt;YEAR(E158),0,IF((YEAR(D158)+12)&gt;=YEAR(E158)+N158,0,IF((YEAR(D158)+12)=YEAR(E158),(12-MONTH(E158)+1)/12,1))))))))*TaxRate,0))-IF(12=0,O158,0))</f>
        <v/>
      </c>
      <c r="AF158" s="29">
        <f>IF(A158="","",((K158)*(IF(M158="",L158,IFERROR(IF(INDEX(Variablen!$I:$AT, MATCH(M158, Variablen!$A:$A, 0), MATCH((YEAR(D158)+13), Variablen!$I$3:$AT$3, 0))="",L158,INDEX(Variablen!$I:$AT, MATCH(M158, Variablen!$A:$A, 0), MATCH((YEAR(D158)+13), Variablen!$I$3:$AT$3, 0))),L158)))*(IF((YEAR(D158)+13)&lt;YEAR(E158),0,IF((YEAR(D158)+13)&gt;YEAR(E158),1,(12-MONTH(E158)+1)/12))) + (Q158)*(IF((YEAR(D158)+13)&lt;YEAR(E158),0,IF((YEAR(D158)+13)&gt;YEAR(E158),1,(12-MONTH(E158)+1)/12))))-((P158)*(IF((YEAR(D158)+13)&lt;YEAR(E158),0,IF((YEAR(D158)+13)&gt;YEAR(E158),1,(12-MONTH(E158)+1)/12))) + (R158)*(IF((YEAR(D158)+13)&lt;YEAR(E158),0,IF((YEAR(D158)+13)&gt;YEAR(E158),1,(12-MONTH(E158)+1)/12))))-(IF((((K158)*(IF(M158="",L158,IFERROR(IF(INDEX(Variablen!$I:$AT, MATCH(M158, Variablen!$A:$A, 0), MATCH((YEAR(D158)+13), Variablen!$I$3:$AT$3, 0))="",L158,INDEX(Variablen!$I:$AT, MATCH(M158, Variablen!$A:$A, 0), MATCH((YEAR(D158)+13), Variablen!$I$3:$AT$3, 0))),L158)))*(IF((YEAR(D158)+13)&lt;YEAR(E158),0,IF((YEAR(D158)+13)&gt;YEAR(E158),1,(12-MONTH(E158)+1)/12))) + (Q158)*(IF((YEAR(D158)+13)&lt;YEAR(E158),0,IF((YEAR(D158)+13)&gt;YEAR(E158),1,(12-MONTH(E158)+1)/12))))-((P158)*(IF((YEAR(D158)+13)&lt;YEAR(E158),0,IF((YEAR(D158)+13)&gt;YEAR(E158),1,(12-MONTH(E158)+1)/12))) + (R158)*(IF((YEAR(D158)+13)&lt;YEAR(E158),0,IF((YEAR(D158)+13)&gt;YEAR(E158),1,(12-MONTH(E158)+1)/12))))-(IF(OR(N158="",N158&lt;=0),0,(O158/N158)*(IF(OR(N158="",N158&lt;=0),0,IF((YEAR(D158)+13)&lt;YEAR(E158),0,IF((YEAR(D158)+13)&gt;=YEAR(E158)+N158,0,IF((YEAR(D158)+13)=YEAR(E158),(12-MONTH(E158)+1)/12,1))))))))&gt;0,(((K158)*(IF(M158="",L158,IFERROR(IF(INDEX(Variablen!$I:$AT, MATCH(M158, Variablen!$A:$A, 0), MATCH((YEAR(D158)+13), Variablen!$I$3:$AT$3, 0))="",L158,INDEX(Variablen!$I:$AT, MATCH(M158, Variablen!$A:$A, 0), MATCH((YEAR(D158)+13), Variablen!$I$3:$AT$3, 0))),L158)))*(IF((YEAR(D158)+13)&lt;YEAR(E158),0,IF((YEAR(D158)+13)&gt;YEAR(E158),1,(12-MONTH(E158)+1)/12))) + (Q158)*(IF((YEAR(D158)+13)&lt;YEAR(E158),0,IF((YEAR(D158)+13)&gt;YEAR(E158),1,(12-MONTH(E158)+1)/12))))-((P158)*(IF((YEAR(D158)+13)&lt;YEAR(E158),0,IF((YEAR(D158)+13)&gt;YEAR(E158),1,(12-MONTH(E158)+1)/12))) + (R158)*(IF((YEAR(D158)+13)&lt;YEAR(E158),0,IF((YEAR(D158)+13)&gt;YEAR(E158),1,(12-MONTH(E158)+1)/12))))-(IF(OR(N158="",N158&lt;=0),0,(O158/N158)*(IF(OR(N158="",N158&lt;=0),0,IF((YEAR(D158)+13)&lt;YEAR(E158),0,IF((YEAR(D158)+13)&gt;=YEAR(E158)+N158,0,IF((YEAR(D158)+13)=YEAR(E158),(12-MONTH(E158)+1)/12,1))))))))*TaxRate,0))-IF(13=0,O158,0))</f>
        <v/>
      </c>
      <c r="AG158" s="29">
        <f>IF(A158="","",((K158)*(IF(M158="",L158,IFERROR(IF(INDEX(Variablen!$I:$AT, MATCH(M158, Variablen!$A:$A, 0), MATCH((YEAR(D158)+14), Variablen!$I$3:$AT$3, 0))="",L158,INDEX(Variablen!$I:$AT, MATCH(M158, Variablen!$A:$A, 0), MATCH((YEAR(D158)+14), Variablen!$I$3:$AT$3, 0))),L158)))*(IF((YEAR(D158)+14)&lt;YEAR(E158),0,IF((YEAR(D158)+14)&gt;YEAR(E158),1,(12-MONTH(E158)+1)/12))) + (Q158)*(IF((YEAR(D158)+14)&lt;YEAR(E158),0,IF((YEAR(D158)+14)&gt;YEAR(E158),1,(12-MONTH(E158)+1)/12))))-((P158)*(IF((YEAR(D158)+14)&lt;YEAR(E158),0,IF((YEAR(D158)+14)&gt;YEAR(E158),1,(12-MONTH(E158)+1)/12))) + (R158)*(IF((YEAR(D158)+14)&lt;YEAR(E158),0,IF((YEAR(D158)+14)&gt;YEAR(E158),1,(12-MONTH(E158)+1)/12))))-(IF((((K158)*(IF(M158="",L158,IFERROR(IF(INDEX(Variablen!$I:$AT, MATCH(M158, Variablen!$A:$A, 0), MATCH((YEAR(D158)+14), Variablen!$I$3:$AT$3, 0))="",L158,INDEX(Variablen!$I:$AT, MATCH(M158, Variablen!$A:$A, 0), MATCH((YEAR(D158)+14), Variablen!$I$3:$AT$3, 0))),L158)))*(IF((YEAR(D158)+14)&lt;YEAR(E158),0,IF((YEAR(D158)+14)&gt;YEAR(E158),1,(12-MONTH(E158)+1)/12))) + (Q158)*(IF((YEAR(D158)+14)&lt;YEAR(E158),0,IF((YEAR(D158)+14)&gt;YEAR(E158),1,(12-MONTH(E158)+1)/12))))-((P158)*(IF((YEAR(D158)+14)&lt;YEAR(E158),0,IF((YEAR(D158)+14)&gt;YEAR(E158),1,(12-MONTH(E158)+1)/12))) + (R158)*(IF((YEAR(D158)+14)&lt;YEAR(E158),0,IF((YEAR(D158)+14)&gt;YEAR(E158),1,(12-MONTH(E158)+1)/12))))-(IF(OR(N158="",N158&lt;=0),0,(O158/N158)*(IF(OR(N158="",N158&lt;=0),0,IF((YEAR(D158)+14)&lt;YEAR(E158),0,IF((YEAR(D158)+14)&gt;=YEAR(E158)+N158,0,IF((YEAR(D158)+14)=YEAR(E158),(12-MONTH(E158)+1)/12,1))))))))&gt;0,(((K158)*(IF(M158="",L158,IFERROR(IF(INDEX(Variablen!$I:$AT, MATCH(M158, Variablen!$A:$A, 0), MATCH((YEAR(D158)+14), Variablen!$I$3:$AT$3, 0))="",L158,INDEX(Variablen!$I:$AT, MATCH(M158, Variablen!$A:$A, 0), MATCH((YEAR(D158)+14), Variablen!$I$3:$AT$3, 0))),L158)))*(IF((YEAR(D158)+14)&lt;YEAR(E158),0,IF((YEAR(D158)+14)&gt;YEAR(E158),1,(12-MONTH(E158)+1)/12))) + (Q158)*(IF((YEAR(D158)+14)&lt;YEAR(E158),0,IF((YEAR(D158)+14)&gt;YEAR(E158),1,(12-MONTH(E158)+1)/12))))-((P158)*(IF((YEAR(D158)+14)&lt;YEAR(E158),0,IF((YEAR(D158)+14)&gt;YEAR(E158),1,(12-MONTH(E158)+1)/12))) + (R158)*(IF((YEAR(D158)+14)&lt;YEAR(E158),0,IF((YEAR(D158)+14)&gt;YEAR(E158),1,(12-MONTH(E158)+1)/12))))-(IF(OR(N158="",N158&lt;=0),0,(O158/N158)*(IF(OR(N158="",N158&lt;=0),0,IF((YEAR(D158)+14)&lt;YEAR(E158),0,IF((YEAR(D158)+14)&gt;=YEAR(E158)+N158,0,IF((YEAR(D158)+14)=YEAR(E158),(12-MONTH(E158)+1)/12,1))))))))*TaxRate,0))-IF(14=0,O158,0))</f>
        <v/>
      </c>
      <c r="AH158" s="29">
        <f>IF(A158="","",((K158)*(IF(M158="",L158,IFERROR(IF(INDEX(Variablen!$I:$AT, MATCH(M158, Variablen!$A:$A, 0), MATCH((YEAR(D158)+15), Variablen!$I$3:$AT$3, 0))="",L158,INDEX(Variablen!$I:$AT, MATCH(M158, Variablen!$A:$A, 0), MATCH((YEAR(D158)+15), Variablen!$I$3:$AT$3, 0))),L158)))*(IF((YEAR(D158)+15)&lt;YEAR(E158),0,IF((YEAR(D158)+15)&gt;YEAR(E158),1,(12-MONTH(E158)+1)/12))) + (Q158)*(IF((YEAR(D158)+15)&lt;YEAR(E158),0,IF((YEAR(D158)+15)&gt;YEAR(E158),1,(12-MONTH(E158)+1)/12))))-((P158)*(IF((YEAR(D158)+15)&lt;YEAR(E158),0,IF((YEAR(D158)+15)&gt;YEAR(E158),1,(12-MONTH(E158)+1)/12))) + (R158)*(IF((YEAR(D158)+15)&lt;YEAR(E158),0,IF((YEAR(D158)+15)&gt;YEAR(E158),1,(12-MONTH(E158)+1)/12))))-(IF((((K158)*(IF(M158="",L158,IFERROR(IF(INDEX(Variablen!$I:$AT, MATCH(M158, Variablen!$A:$A, 0), MATCH((YEAR(D158)+15), Variablen!$I$3:$AT$3, 0))="",L158,INDEX(Variablen!$I:$AT, MATCH(M158, Variablen!$A:$A, 0), MATCH((YEAR(D158)+15), Variablen!$I$3:$AT$3, 0))),L158)))*(IF((YEAR(D158)+15)&lt;YEAR(E158),0,IF((YEAR(D158)+15)&gt;YEAR(E158),1,(12-MONTH(E158)+1)/12))) + (Q158)*(IF((YEAR(D158)+15)&lt;YEAR(E158),0,IF((YEAR(D158)+15)&gt;YEAR(E158),1,(12-MONTH(E158)+1)/12))))-((P158)*(IF((YEAR(D158)+15)&lt;YEAR(E158),0,IF((YEAR(D158)+15)&gt;YEAR(E158),1,(12-MONTH(E158)+1)/12))) + (R158)*(IF((YEAR(D158)+15)&lt;YEAR(E158),0,IF((YEAR(D158)+15)&gt;YEAR(E158),1,(12-MONTH(E158)+1)/12))))-(IF(OR(N158="",N158&lt;=0),0,(O158/N158)*(IF(OR(N158="",N158&lt;=0),0,IF((YEAR(D158)+15)&lt;YEAR(E158),0,IF((YEAR(D158)+15)&gt;=YEAR(E158)+N158,0,IF((YEAR(D158)+15)=YEAR(E158),(12-MONTH(E158)+1)/12,1))))))))&gt;0,(((K158)*(IF(M158="",L158,IFERROR(IF(INDEX(Variablen!$I:$AT, MATCH(M158, Variablen!$A:$A, 0), MATCH((YEAR(D158)+15), Variablen!$I$3:$AT$3, 0))="",L158,INDEX(Variablen!$I:$AT, MATCH(M158, Variablen!$A:$A, 0), MATCH((YEAR(D158)+15), Variablen!$I$3:$AT$3, 0))),L158)))*(IF((YEAR(D158)+15)&lt;YEAR(E158),0,IF((YEAR(D158)+15)&gt;YEAR(E158),1,(12-MONTH(E158)+1)/12))) + (Q158)*(IF((YEAR(D158)+15)&lt;YEAR(E158),0,IF((YEAR(D158)+15)&gt;YEAR(E158),1,(12-MONTH(E158)+1)/12))))-((P158)*(IF((YEAR(D158)+15)&lt;YEAR(E158),0,IF((YEAR(D158)+15)&gt;YEAR(E158),1,(12-MONTH(E158)+1)/12))) + (R158)*(IF((YEAR(D158)+15)&lt;YEAR(E158),0,IF((YEAR(D158)+15)&gt;YEAR(E158),1,(12-MONTH(E158)+1)/12))))-(IF(OR(N158="",N158&lt;=0),0,(O158/N158)*(IF(OR(N158="",N158&lt;=0),0,IF((YEAR(D158)+15)&lt;YEAR(E158),0,IF((YEAR(D158)+15)&gt;=YEAR(E158)+N158,0,IF((YEAR(D158)+15)=YEAR(E158),(12-MONTH(E158)+1)/12,1))))))))*TaxRate,0))-IF(15=0,O158,0))</f>
        <v/>
      </c>
      <c r="AI158" s="29">
        <f>IF(A158="","",((K158)*(IF(M158="",L158,IFERROR(IF(INDEX(Variablen!$I:$AT, MATCH(M158, Variablen!$A:$A, 0), MATCH((YEAR(D158)+16), Variablen!$I$3:$AT$3, 0))="",L158,INDEX(Variablen!$I:$AT, MATCH(M158, Variablen!$A:$A, 0), MATCH((YEAR(D158)+16), Variablen!$I$3:$AT$3, 0))),L158)))*(IF((YEAR(D158)+16)&lt;YEAR(E158),0,IF((YEAR(D158)+16)&gt;YEAR(E158),1,(12-MONTH(E158)+1)/12))) + (Q158)*(IF((YEAR(D158)+16)&lt;YEAR(E158),0,IF((YEAR(D158)+16)&gt;YEAR(E158),1,(12-MONTH(E158)+1)/12))))-((P158)*(IF((YEAR(D158)+16)&lt;YEAR(E158),0,IF((YEAR(D158)+16)&gt;YEAR(E158),1,(12-MONTH(E158)+1)/12))) + (R158)*(IF((YEAR(D158)+16)&lt;YEAR(E158),0,IF((YEAR(D158)+16)&gt;YEAR(E158),1,(12-MONTH(E158)+1)/12))))-(IF((((K158)*(IF(M158="",L158,IFERROR(IF(INDEX(Variablen!$I:$AT, MATCH(M158, Variablen!$A:$A, 0), MATCH((YEAR(D158)+16), Variablen!$I$3:$AT$3, 0))="",L158,INDEX(Variablen!$I:$AT, MATCH(M158, Variablen!$A:$A, 0), MATCH((YEAR(D158)+16), Variablen!$I$3:$AT$3, 0))),L158)))*(IF((YEAR(D158)+16)&lt;YEAR(E158),0,IF((YEAR(D158)+16)&gt;YEAR(E158),1,(12-MONTH(E158)+1)/12))) + (Q158)*(IF((YEAR(D158)+16)&lt;YEAR(E158),0,IF((YEAR(D158)+16)&gt;YEAR(E158),1,(12-MONTH(E158)+1)/12))))-((P158)*(IF((YEAR(D158)+16)&lt;YEAR(E158),0,IF((YEAR(D158)+16)&gt;YEAR(E158),1,(12-MONTH(E158)+1)/12))) + (R158)*(IF((YEAR(D158)+16)&lt;YEAR(E158),0,IF((YEAR(D158)+16)&gt;YEAR(E158),1,(12-MONTH(E158)+1)/12))))-(IF(OR(N158="",N158&lt;=0),0,(O158/N158)*(IF(OR(N158="",N158&lt;=0),0,IF((YEAR(D158)+16)&lt;YEAR(E158),0,IF((YEAR(D158)+16)&gt;=YEAR(E158)+N158,0,IF((YEAR(D158)+16)=YEAR(E158),(12-MONTH(E158)+1)/12,1))))))))&gt;0,(((K158)*(IF(M158="",L158,IFERROR(IF(INDEX(Variablen!$I:$AT, MATCH(M158, Variablen!$A:$A, 0), MATCH((YEAR(D158)+16), Variablen!$I$3:$AT$3, 0))="",L158,INDEX(Variablen!$I:$AT, MATCH(M158, Variablen!$A:$A, 0), MATCH((YEAR(D158)+16), Variablen!$I$3:$AT$3, 0))),L158)))*(IF((YEAR(D158)+16)&lt;YEAR(E158),0,IF((YEAR(D158)+16)&gt;YEAR(E158),1,(12-MONTH(E158)+1)/12))) + (Q158)*(IF((YEAR(D158)+16)&lt;YEAR(E158),0,IF((YEAR(D158)+16)&gt;YEAR(E158),1,(12-MONTH(E158)+1)/12))))-((P158)*(IF((YEAR(D158)+16)&lt;YEAR(E158),0,IF((YEAR(D158)+16)&gt;YEAR(E158),1,(12-MONTH(E158)+1)/12))) + (R158)*(IF((YEAR(D158)+16)&lt;YEAR(E158),0,IF((YEAR(D158)+16)&gt;YEAR(E158),1,(12-MONTH(E158)+1)/12))))-(IF(OR(N158="",N158&lt;=0),0,(O158/N158)*(IF(OR(N158="",N158&lt;=0),0,IF((YEAR(D158)+16)&lt;YEAR(E158),0,IF((YEAR(D158)+16)&gt;=YEAR(E158)+N158,0,IF((YEAR(D158)+16)=YEAR(E158),(12-MONTH(E158)+1)/12,1))))))))*TaxRate,0))-IF(16=0,O158,0))</f>
        <v/>
      </c>
      <c r="AJ158" s="29">
        <f>IF(A158="","",((K158)*(IF(M158="",L158,IFERROR(IF(INDEX(Variablen!$I:$AT, MATCH(M158, Variablen!$A:$A, 0), MATCH((YEAR(D158)+17), Variablen!$I$3:$AT$3, 0))="",L158,INDEX(Variablen!$I:$AT, MATCH(M158, Variablen!$A:$A, 0), MATCH((YEAR(D158)+17), Variablen!$I$3:$AT$3, 0))),L158)))*(IF((YEAR(D158)+17)&lt;YEAR(E158),0,IF((YEAR(D158)+17)&gt;YEAR(E158),1,(12-MONTH(E158)+1)/12))) + (Q158)*(IF((YEAR(D158)+17)&lt;YEAR(E158),0,IF((YEAR(D158)+17)&gt;YEAR(E158),1,(12-MONTH(E158)+1)/12))))-((P158)*(IF((YEAR(D158)+17)&lt;YEAR(E158),0,IF((YEAR(D158)+17)&gt;YEAR(E158),1,(12-MONTH(E158)+1)/12))) + (R158)*(IF((YEAR(D158)+17)&lt;YEAR(E158),0,IF((YEAR(D158)+17)&gt;YEAR(E158),1,(12-MONTH(E158)+1)/12))))-(IF((((K158)*(IF(M158="",L158,IFERROR(IF(INDEX(Variablen!$I:$AT, MATCH(M158, Variablen!$A:$A, 0), MATCH((YEAR(D158)+17), Variablen!$I$3:$AT$3, 0))="",L158,INDEX(Variablen!$I:$AT, MATCH(M158, Variablen!$A:$A, 0), MATCH((YEAR(D158)+17), Variablen!$I$3:$AT$3, 0))),L158)))*(IF((YEAR(D158)+17)&lt;YEAR(E158),0,IF((YEAR(D158)+17)&gt;YEAR(E158),1,(12-MONTH(E158)+1)/12))) + (Q158)*(IF((YEAR(D158)+17)&lt;YEAR(E158),0,IF((YEAR(D158)+17)&gt;YEAR(E158),1,(12-MONTH(E158)+1)/12))))-((P158)*(IF((YEAR(D158)+17)&lt;YEAR(E158),0,IF((YEAR(D158)+17)&gt;YEAR(E158),1,(12-MONTH(E158)+1)/12))) + (R158)*(IF((YEAR(D158)+17)&lt;YEAR(E158),0,IF((YEAR(D158)+17)&gt;YEAR(E158),1,(12-MONTH(E158)+1)/12))))-(IF(OR(N158="",N158&lt;=0),0,(O158/N158)*(IF(OR(N158="",N158&lt;=0),0,IF((YEAR(D158)+17)&lt;YEAR(E158),0,IF((YEAR(D158)+17)&gt;=YEAR(E158)+N158,0,IF((YEAR(D158)+17)=YEAR(E158),(12-MONTH(E158)+1)/12,1))))))))&gt;0,(((K158)*(IF(M158="",L158,IFERROR(IF(INDEX(Variablen!$I:$AT, MATCH(M158, Variablen!$A:$A, 0), MATCH((YEAR(D158)+17), Variablen!$I$3:$AT$3, 0))="",L158,INDEX(Variablen!$I:$AT, MATCH(M158, Variablen!$A:$A, 0), MATCH((YEAR(D158)+17), Variablen!$I$3:$AT$3, 0))),L158)))*(IF((YEAR(D158)+17)&lt;YEAR(E158),0,IF((YEAR(D158)+17)&gt;YEAR(E158),1,(12-MONTH(E158)+1)/12))) + (Q158)*(IF((YEAR(D158)+17)&lt;YEAR(E158),0,IF((YEAR(D158)+17)&gt;YEAR(E158),1,(12-MONTH(E158)+1)/12))))-((P158)*(IF((YEAR(D158)+17)&lt;YEAR(E158),0,IF((YEAR(D158)+17)&gt;YEAR(E158),1,(12-MONTH(E158)+1)/12))) + (R158)*(IF((YEAR(D158)+17)&lt;YEAR(E158),0,IF((YEAR(D158)+17)&gt;YEAR(E158),1,(12-MONTH(E158)+1)/12))))-(IF(OR(N158="",N158&lt;=0),0,(O158/N158)*(IF(OR(N158="",N158&lt;=0),0,IF((YEAR(D158)+17)&lt;YEAR(E158),0,IF((YEAR(D158)+17)&gt;=YEAR(E158)+N158,0,IF((YEAR(D158)+17)=YEAR(E158),(12-MONTH(E158)+1)/12,1))))))))*TaxRate,0))-IF(17=0,O158,0))</f>
        <v/>
      </c>
      <c r="AK158" s="29">
        <f>IF(A158="","",((K158)*(IF(M158="",L158,IFERROR(IF(INDEX(Variablen!$I:$AT, MATCH(M158, Variablen!$A:$A, 0), MATCH((YEAR(D158)+18), Variablen!$I$3:$AT$3, 0))="",L158,INDEX(Variablen!$I:$AT, MATCH(M158, Variablen!$A:$A, 0), MATCH((YEAR(D158)+18), Variablen!$I$3:$AT$3, 0))),L158)))*(IF((YEAR(D158)+18)&lt;YEAR(E158),0,IF((YEAR(D158)+18)&gt;YEAR(E158),1,(12-MONTH(E158)+1)/12))) + (Q158)*(IF((YEAR(D158)+18)&lt;YEAR(E158),0,IF((YEAR(D158)+18)&gt;YEAR(E158),1,(12-MONTH(E158)+1)/12))))-((P158)*(IF((YEAR(D158)+18)&lt;YEAR(E158),0,IF((YEAR(D158)+18)&gt;YEAR(E158),1,(12-MONTH(E158)+1)/12))) + (R158)*(IF((YEAR(D158)+18)&lt;YEAR(E158),0,IF((YEAR(D158)+18)&gt;YEAR(E158),1,(12-MONTH(E158)+1)/12))))-(IF((((K158)*(IF(M158="",L158,IFERROR(IF(INDEX(Variablen!$I:$AT, MATCH(M158, Variablen!$A:$A, 0), MATCH((YEAR(D158)+18), Variablen!$I$3:$AT$3, 0))="",L158,INDEX(Variablen!$I:$AT, MATCH(M158, Variablen!$A:$A, 0), MATCH((YEAR(D158)+18), Variablen!$I$3:$AT$3, 0))),L158)))*(IF((YEAR(D158)+18)&lt;YEAR(E158),0,IF((YEAR(D158)+18)&gt;YEAR(E158),1,(12-MONTH(E158)+1)/12))) + (Q158)*(IF((YEAR(D158)+18)&lt;YEAR(E158),0,IF((YEAR(D158)+18)&gt;YEAR(E158),1,(12-MONTH(E158)+1)/12))))-((P158)*(IF((YEAR(D158)+18)&lt;YEAR(E158),0,IF((YEAR(D158)+18)&gt;YEAR(E158),1,(12-MONTH(E158)+1)/12))) + (R158)*(IF((YEAR(D158)+18)&lt;YEAR(E158),0,IF((YEAR(D158)+18)&gt;YEAR(E158),1,(12-MONTH(E158)+1)/12))))-(IF(OR(N158="",N158&lt;=0),0,(O158/N158)*(IF(OR(N158="",N158&lt;=0),0,IF((YEAR(D158)+18)&lt;YEAR(E158),0,IF((YEAR(D158)+18)&gt;=YEAR(E158)+N158,0,IF((YEAR(D158)+18)=YEAR(E158),(12-MONTH(E158)+1)/12,1))))))))&gt;0,(((K158)*(IF(M158="",L158,IFERROR(IF(INDEX(Variablen!$I:$AT, MATCH(M158, Variablen!$A:$A, 0), MATCH((YEAR(D158)+18), Variablen!$I$3:$AT$3, 0))="",L158,INDEX(Variablen!$I:$AT, MATCH(M158, Variablen!$A:$A, 0), MATCH((YEAR(D158)+18), Variablen!$I$3:$AT$3, 0))),L158)))*(IF((YEAR(D158)+18)&lt;YEAR(E158),0,IF((YEAR(D158)+18)&gt;YEAR(E158),1,(12-MONTH(E158)+1)/12))) + (Q158)*(IF((YEAR(D158)+18)&lt;YEAR(E158),0,IF((YEAR(D158)+18)&gt;YEAR(E158),1,(12-MONTH(E158)+1)/12))))-((P158)*(IF((YEAR(D158)+18)&lt;YEAR(E158),0,IF((YEAR(D158)+18)&gt;YEAR(E158),1,(12-MONTH(E158)+1)/12))) + (R158)*(IF((YEAR(D158)+18)&lt;YEAR(E158),0,IF((YEAR(D158)+18)&gt;YEAR(E158),1,(12-MONTH(E158)+1)/12))))-(IF(OR(N158="",N158&lt;=0),0,(O158/N158)*(IF(OR(N158="",N158&lt;=0),0,IF((YEAR(D158)+18)&lt;YEAR(E158),0,IF((YEAR(D158)+18)&gt;=YEAR(E158)+N158,0,IF((YEAR(D158)+18)=YEAR(E158),(12-MONTH(E158)+1)/12,1))))))))*TaxRate,0))-IF(18=0,O158,0))</f>
        <v/>
      </c>
      <c r="AL158" s="29">
        <f>IF(A158="","",((K158)*(IF(M158="",L158,IFERROR(IF(INDEX(Variablen!$I:$AT, MATCH(M158, Variablen!$A:$A, 0), MATCH((YEAR(D158)+19), Variablen!$I$3:$AT$3, 0))="",L158,INDEX(Variablen!$I:$AT, MATCH(M158, Variablen!$A:$A, 0), MATCH((YEAR(D158)+19), Variablen!$I$3:$AT$3, 0))),L158)))*(IF((YEAR(D158)+19)&lt;YEAR(E158),0,IF((YEAR(D158)+19)&gt;YEAR(E158),1,(12-MONTH(E158)+1)/12))) + (Q158)*(IF((YEAR(D158)+19)&lt;YEAR(E158),0,IF((YEAR(D158)+19)&gt;YEAR(E158),1,(12-MONTH(E158)+1)/12))))-((P158)*(IF((YEAR(D158)+19)&lt;YEAR(E158),0,IF((YEAR(D158)+19)&gt;YEAR(E158),1,(12-MONTH(E158)+1)/12))) + (R158)*(IF((YEAR(D158)+19)&lt;YEAR(E158),0,IF((YEAR(D158)+19)&gt;YEAR(E158),1,(12-MONTH(E158)+1)/12))))-(IF((((K158)*(IF(M158="",L158,IFERROR(IF(INDEX(Variablen!$I:$AT, MATCH(M158, Variablen!$A:$A, 0), MATCH((YEAR(D158)+19), Variablen!$I$3:$AT$3, 0))="",L158,INDEX(Variablen!$I:$AT, MATCH(M158, Variablen!$A:$A, 0), MATCH((YEAR(D158)+19), Variablen!$I$3:$AT$3, 0))),L158)))*(IF((YEAR(D158)+19)&lt;YEAR(E158),0,IF((YEAR(D158)+19)&gt;YEAR(E158),1,(12-MONTH(E158)+1)/12))) + (Q158)*(IF((YEAR(D158)+19)&lt;YEAR(E158),0,IF((YEAR(D158)+19)&gt;YEAR(E158),1,(12-MONTH(E158)+1)/12))))-((P158)*(IF((YEAR(D158)+19)&lt;YEAR(E158),0,IF((YEAR(D158)+19)&gt;YEAR(E158),1,(12-MONTH(E158)+1)/12))) + (R158)*(IF((YEAR(D158)+19)&lt;YEAR(E158),0,IF((YEAR(D158)+19)&gt;YEAR(E158),1,(12-MONTH(E158)+1)/12))))-(IF(OR(N158="",N158&lt;=0),0,(O158/N158)*(IF(OR(N158="",N158&lt;=0),0,IF((YEAR(D158)+19)&lt;YEAR(E158),0,IF((YEAR(D158)+19)&gt;=YEAR(E158)+N158,0,IF((YEAR(D158)+19)=YEAR(E158),(12-MONTH(E158)+1)/12,1))))))))&gt;0,(((K158)*(IF(M158="",L158,IFERROR(IF(INDEX(Variablen!$I:$AT, MATCH(M158, Variablen!$A:$A, 0), MATCH((YEAR(D158)+19), Variablen!$I$3:$AT$3, 0))="",L158,INDEX(Variablen!$I:$AT, MATCH(M158, Variablen!$A:$A, 0), MATCH((YEAR(D158)+19), Variablen!$I$3:$AT$3, 0))),L158)))*(IF((YEAR(D158)+19)&lt;YEAR(E158),0,IF((YEAR(D158)+19)&gt;YEAR(E158),1,(12-MONTH(E158)+1)/12))) + (Q158)*(IF((YEAR(D158)+19)&lt;YEAR(E158),0,IF((YEAR(D158)+19)&gt;YEAR(E158),1,(12-MONTH(E158)+1)/12))))-((P158)*(IF((YEAR(D158)+19)&lt;YEAR(E158),0,IF((YEAR(D158)+19)&gt;YEAR(E158),1,(12-MONTH(E158)+1)/12))) + (R158)*(IF((YEAR(D158)+19)&lt;YEAR(E158),0,IF((YEAR(D158)+19)&gt;YEAR(E158),1,(12-MONTH(E158)+1)/12))))-(IF(OR(N158="",N158&lt;=0),0,(O158/N158)*(IF(OR(N158="",N158&lt;=0),0,IF((YEAR(D158)+19)&lt;YEAR(E158),0,IF((YEAR(D158)+19)&gt;=YEAR(E158)+N158,0,IF((YEAR(D158)+19)=YEAR(E158),(12-MONTH(E158)+1)/12,1))))))))*TaxRate,0))-IF(19=0,O158,0))</f>
        <v/>
      </c>
      <c r="AM158" s="29">
        <f>IF(A158="","",((K158)*(IF(M158="",L158,IFERROR(IF(INDEX(Variablen!$I:$AT, MATCH(M158, Variablen!$A:$A, 0), MATCH((YEAR(D158)+20), Variablen!$I$3:$AT$3, 0))="",L158,INDEX(Variablen!$I:$AT, MATCH(M158, Variablen!$A:$A, 0), MATCH((YEAR(D158)+20), Variablen!$I$3:$AT$3, 0))),L158)))*(IF((YEAR(D158)+20)&lt;YEAR(E158),0,IF((YEAR(D158)+20)&gt;YEAR(E158),1,(12-MONTH(E158)+1)/12))) + (Q158)*(IF((YEAR(D158)+20)&lt;YEAR(E158),0,IF((YEAR(D158)+20)&gt;YEAR(E158),1,(12-MONTH(E158)+1)/12))))-((P158)*(IF((YEAR(D158)+20)&lt;YEAR(E158),0,IF((YEAR(D158)+20)&gt;YEAR(E158),1,(12-MONTH(E158)+1)/12))) + (R158)*(IF((YEAR(D158)+20)&lt;YEAR(E158),0,IF((YEAR(D158)+20)&gt;YEAR(E158),1,(12-MONTH(E158)+1)/12))))-(IF((((K158)*(IF(M158="",L158,IFERROR(IF(INDEX(Variablen!$I:$AT, MATCH(M158, Variablen!$A:$A, 0), MATCH((YEAR(D158)+20), Variablen!$I$3:$AT$3, 0))="",L158,INDEX(Variablen!$I:$AT, MATCH(M158, Variablen!$A:$A, 0), MATCH((YEAR(D158)+20), Variablen!$I$3:$AT$3, 0))),L158)))*(IF((YEAR(D158)+20)&lt;YEAR(E158),0,IF((YEAR(D158)+20)&gt;YEAR(E158),1,(12-MONTH(E158)+1)/12))) + (Q158)*(IF((YEAR(D158)+20)&lt;YEAR(E158),0,IF((YEAR(D158)+20)&gt;YEAR(E158),1,(12-MONTH(E158)+1)/12))))-((P158)*(IF((YEAR(D158)+20)&lt;YEAR(E158),0,IF((YEAR(D158)+20)&gt;YEAR(E158),1,(12-MONTH(E158)+1)/12))) + (R158)*(IF((YEAR(D158)+20)&lt;YEAR(E158),0,IF((YEAR(D158)+20)&gt;YEAR(E158),1,(12-MONTH(E158)+1)/12))))-(IF(OR(N158="",N158&lt;=0),0,(O158/N158)*(IF(OR(N158="",N158&lt;=0),0,IF((YEAR(D158)+20)&lt;YEAR(E158),0,IF((YEAR(D158)+20)&gt;=YEAR(E158)+N158,0,IF((YEAR(D158)+20)=YEAR(E158),(12-MONTH(E158)+1)/12,1))))))))&gt;0,(((K158)*(IF(M158="",L158,IFERROR(IF(INDEX(Variablen!$I:$AT, MATCH(M158, Variablen!$A:$A, 0), MATCH((YEAR(D158)+20), Variablen!$I$3:$AT$3, 0))="",L158,INDEX(Variablen!$I:$AT, MATCH(M158, Variablen!$A:$A, 0), MATCH((YEAR(D158)+20), Variablen!$I$3:$AT$3, 0))),L158)))*(IF((YEAR(D158)+20)&lt;YEAR(E158),0,IF((YEAR(D158)+20)&gt;YEAR(E158),1,(12-MONTH(E158)+1)/12))) + (Q158)*(IF((YEAR(D158)+20)&lt;YEAR(E158),0,IF((YEAR(D158)+20)&gt;YEAR(E158),1,(12-MONTH(E158)+1)/12))))-((P158)*(IF((YEAR(D158)+20)&lt;YEAR(E158),0,IF((YEAR(D158)+20)&gt;YEAR(E158),1,(12-MONTH(E158)+1)/12))) + (R158)*(IF((YEAR(D158)+20)&lt;YEAR(E158),0,IF((YEAR(D158)+20)&gt;YEAR(E158),1,(12-MONTH(E158)+1)/12))))-(IF(OR(N158="",N158&lt;=0),0,(O158/N158)*(IF(OR(N158="",N158&lt;=0),0,IF((YEAR(D158)+20)&lt;YEAR(E158),0,IF((YEAR(D158)+20)&gt;=YEAR(E158)+N158,0,IF((YEAR(D158)+20)=YEAR(E158),(12-MONTH(E158)+1)/12,1))))))))*TaxRate,0))-IF(20=0,O158,0))</f>
        <v/>
      </c>
      <c r="AN158" s="29">
        <f>IF(A158="","",S158)</f>
        <v/>
      </c>
      <c r="AO158" s="29">
        <f>IF(A158="","",AN158+T158)</f>
        <v/>
      </c>
      <c r="AP158" s="29">
        <f>IF(A158="","",AO158+U158)</f>
        <v/>
      </c>
      <c r="AQ158" s="29">
        <f>IF(A158="","",AP158+V158)</f>
        <v/>
      </c>
      <c r="AR158" s="29">
        <f>IF(A158="","",AQ158+W158)</f>
        <v/>
      </c>
      <c r="AS158" s="29">
        <f>IF(A158="","",AR158+X158)</f>
        <v/>
      </c>
      <c r="AT158" s="29">
        <f>IF(A158="","",AS158+Y158)</f>
        <v/>
      </c>
      <c r="AU158" s="29">
        <f>IF(A158="","",AT158+Z158)</f>
        <v/>
      </c>
      <c r="AV158" s="29">
        <f>IF(A158="","",AU158+AA158)</f>
        <v/>
      </c>
      <c r="AW158" s="29">
        <f>IF(A158="","",AV158+AB158)</f>
        <v/>
      </c>
      <c r="AX158" s="29">
        <f>IF(A158="","",AW158+AC158)</f>
        <v/>
      </c>
      <c r="AY158" s="29">
        <f>IF(A158="","",AX158+AD158)</f>
        <v/>
      </c>
      <c r="AZ158" s="29">
        <f>IF(A158="","",AY158+AE158)</f>
        <v/>
      </c>
      <c r="BA158" s="29">
        <f>IF(A158="","",AZ158+AF158)</f>
        <v/>
      </c>
      <c r="BB158" s="29">
        <f>IF(A158="","",BA158+AG158)</f>
        <v/>
      </c>
      <c r="BC158" s="29">
        <f>IF(A158="","",BB158+AH158)</f>
        <v/>
      </c>
      <c r="BD158" s="29">
        <f>IF(A158="","",BC158+AI158)</f>
        <v/>
      </c>
      <c r="BE158" s="29">
        <f>IF(A158="","",BD158+AJ158)</f>
        <v/>
      </c>
      <c r="BF158" s="29">
        <f>IF(A158="","",BE158+AK158)</f>
        <v/>
      </c>
      <c r="BG158" s="29">
        <f>IF(A158="","",BF158+AL158)</f>
        <v/>
      </c>
      <c r="BH158" s="29">
        <f>IF(A158="","",BG158+AM158)</f>
        <v/>
      </c>
      <c r="BI158" s="36">
        <f>IF(A158="","",(K158)*(IF((YEAR(D158)+0)&lt;YEAR(E158),0,IF((YEAR(D158)+0)&gt;YEAR(E158),1,(12-MONTH(E158)+1)/12)))*(1/(1+DiscountRate)^0))</f>
        <v/>
      </c>
      <c r="BJ158" s="36">
        <f>IF(A158="","",(K158)*(IF((YEAR(D158)+1)&lt;YEAR(E158),0,IF((YEAR(D158)+1)&gt;YEAR(E158),1,(12-MONTH(E158)+1)/12)))*(1/(1+DiscountRate)^1))</f>
        <v/>
      </c>
      <c r="BK158" s="36">
        <f>IF(A158="","",(K158)*(IF((YEAR(D158)+2)&lt;YEAR(E158),0,IF((YEAR(D158)+2)&gt;YEAR(E158),1,(12-MONTH(E158)+1)/12)))*(1/(1+DiscountRate)^2))</f>
        <v/>
      </c>
      <c r="BL158" s="36">
        <f>IF(A158="","",(K158)*(IF((YEAR(D158)+3)&lt;YEAR(E158),0,IF((YEAR(D158)+3)&gt;YEAR(E158),1,(12-MONTH(E158)+1)/12)))*(1/(1+DiscountRate)^3))</f>
        <v/>
      </c>
      <c r="BM158" s="36">
        <f>IF(A158="","",(K158)*(IF((YEAR(D158)+4)&lt;YEAR(E158),0,IF((YEAR(D158)+4)&gt;YEAR(E158),1,(12-MONTH(E158)+1)/12)))*(1/(1+DiscountRate)^4))</f>
        <v/>
      </c>
      <c r="BN158" s="36">
        <f>IF(A158="","",(K158)*(IF((YEAR(D158)+5)&lt;YEAR(E158),0,IF((YEAR(D158)+5)&gt;YEAR(E158),1,(12-MONTH(E158)+1)/12)))*(1/(1+DiscountRate)^5))</f>
        <v/>
      </c>
      <c r="BO158" s="36">
        <f>IF(A158="","",(K158)*(IF((YEAR(D158)+6)&lt;YEAR(E158),0,IF((YEAR(D158)+6)&gt;YEAR(E158),1,(12-MONTH(E158)+1)/12)))*(1/(1+DiscountRate)^6))</f>
        <v/>
      </c>
      <c r="BP158" s="36">
        <f>IF(A158="","",(K158)*(IF((YEAR(D158)+7)&lt;YEAR(E158),0,IF((YEAR(D158)+7)&gt;YEAR(E158),1,(12-MONTH(E158)+1)/12)))*(1/(1+DiscountRate)^7))</f>
        <v/>
      </c>
      <c r="BQ158" s="36">
        <f>IF(A158="","",(K158)*(IF((YEAR(D158)+8)&lt;YEAR(E158),0,IF((YEAR(D158)+8)&gt;YEAR(E158),1,(12-MONTH(E158)+1)/12)))*(1/(1+DiscountRate)^8))</f>
        <v/>
      </c>
      <c r="BR158" s="36">
        <f>IF(A158="","",(K158)*(IF((YEAR(D158)+9)&lt;YEAR(E158),0,IF((YEAR(D158)+9)&gt;YEAR(E158),1,(12-MONTH(E158)+1)/12)))*(1/(1+DiscountRate)^9))</f>
        <v/>
      </c>
      <c r="BS158" s="36">
        <f>IF(A158="","",(K158)*(IF((YEAR(D158)+10)&lt;YEAR(E158),0,IF((YEAR(D158)+10)&gt;YEAR(E158),1,(12-MONTH(E158)+1)/12)))*(1/(1+DiscountRate)^10))</f>
        <v/>
      </c>
      <c r="BT158" s="36">
        <f>IF(A158="","",(K158)*(IF((YEAR(D158)+11)&lt;YEAR(E158),0,IF((YEAR(D158)+11)&gt;YEAR(E158),1,(12-MONTH(E158)+1)/12)))*(1/(1+DiscountRate)^11))</f>
        <v/>
      </c>
      <c r="BU158" s="36">
        <f>IF(A158="","",(K158)*(IF((YEAR(D158)+12)&lt;YEAR(E158),0,IF((YEAR(D158)+12)&gt;YEAR(E158),1,(12-MONTH(E158)+1)/12)))*(1/(1+DiscountRate)^12))</f>
        <v/>
      </c>
      <c r="BV158" s="36">
        <f>IF(A158="","",(K158)*(IF((YEAR(D158)+13)&lt;YEAR(E158),0,IF((YEAR(D158)+13)&gt;YEAR(E158),1,(12-MONTH(E158)+1)/12)))*(1/(1+DiscountRate)^13))</f>
        <v/>
      </c>
      <c r="BW158" s="36">
        <f>IF(A158="","",(K158)*(IF((YEAR(D158)+14)&lt;YEAR(E158),0,IF((YEAR(D158)+14)&gt;YEAR(E158),1,(12-MONTH(E158)+1)/12)))*(1/(1+DiscountRate)^14))</f>
        <v/>
      </c>
      <c r="BX158" s="36">
        <f>IF(A158="","",(K158)*(IF((YEAR(D158)+15)&lt;YEAR(E158),0,IF((YEAR(D158)+15)&gt;YEAR(E158),1,(12-MONTH(E158)+1)/12)))*(1/(1+DiscountRate)^15))</f>
        <v/>
      </c>
      <c r="BY158" s="36">
        <f>IF(A158="","",(K158)*(IF((YEAR(D158)+16)&lt;YEAR(E158),0,IF((YEAR(D158)+16)&gt;YEAR(E158),1,(12-MONTH(E158)+1)/12)))*(1/(1+DiscountRate)^16))</f>
        <v/>
      </c>
      <c r="BZ158" s="36">
        <f>IF(A158="","",(K158)*(IF((YEAR(D158)+17)&lt;YEAR(E158),0,IF((YEAR(D158)+17)&gt;YEAR(E158),1,(12-MONTH(E158)+1)/12)))*(1/(1+DiscountRate)^17))</f>
        <v/>
      </c>
      <c r="CA158" s="36">
        <f>IF(A158="","",(K158)*(IF((YEAR(D158)+18)&lt;YEAR(E158),0,IF((YEAR(D158)+18)&gt;YEAR(E158),1,(12-MONTH(E158)+1)/12)))*(1/(1+DiscountRate)^18))</f>
        <v/>
      </c>
      <c r="CB158" s="36">
        <f>IF(A158="","",(K158)*(IF((YEAR(D158)+19)&lt;YEAR(E158),0,IF((YEAR(D158)+19)&gt;YEAR(E158),1,(12-MONTH(E158)+1)/12)))*(1/(1+DiscountRate)^19))</f>
        <v/>
      </c>
      <c r="CC158" s="36">
        <f>IF(A158="","",(K158)*(IF((YEAR(D158)+20)&lt;YEAR(E158),0,IF((YEAR(D158)+20)&gt;YEAR(E158),1,(12-MONTH(E158)+1)/12)))*(1/(1+DiscountRate)^20))</f>
        <v/>
      </c>
      <c r="CD158" s="29">
        <f>IF(A158="","",S158/(1+DiscountRate)^0+T158/(1+DiscountRate)^1+U158/(1+DiscountRate)^2+V158/(1+DiscountRate)^3+W158/(1+DiscountRate)^4+X158/(1+DiscountRate)^5+Y158/(1+DiscountRate)^6+Z158/(1+DiscountRate)^7+AA158/(1+DiscountRate)^8+AB158/(1+DiscountRate)^9+AC158/(1+DiscountRate)^10+AD158/(1+DiscountRate)^11+AE158/(1+DiscountRate)^12+AF158/(1+DiscountRate)^13+AG158/(1+DiscountRate)^14+AH158/(1+DiscountRate)^15+AI158/(1+DiscountRate)^16+AJ158/(1+DiscountRate)^17+AK158/(1+DiscountRate)^18+AL158/(1+DiscountRate)^19+AM158/(1+DiscountRate)^20)</f>
        <v/>
      </c>
      <c r="CE158" s="37">
        <f>IF(A158="","",IFERROR(IRR(OFFSET(S158,0,0,1,MIN(HorizonYears,20)+1)),"n/a"))</f>
        <v/>
      </c>
      <c r="CF158" s="28">
        <f>IF(A158="","",IFERROR(MATCH(TRUE,OFFSET(AN158,0,0,1,MIN(HorizonYears,20)+1)&gt;=0,0)-1,"n/a"))</f>
        <v/>
      </c>
      <c r="CG158" s="36">
        <f>IF(A158="","",SUM(OFFSET(BI158,0,0,1,MIN(HorizonYears,20)+1)))</f>
        <v/>
      </c>
      <c r="CH158" s="36">
        <f>IF(A158="","",IFERROR(-CD158/CG158,"n/a"))</f>
        <v/>
      </c>
    </row>
    <row r="159">
      <c r="A159" s="6">
        <f>Actions!A157</f>
        <v/>
      </c>
      <c r="B159" s="6">
        <f>Actions!B157</f>
        <v/>
      </c>
      <c r="C159" s="6">
        <f>Actions!D157</f>
        <v/>
      </c>
      <c r="D159" s="35">
        <f>Actions!E157</f>
        <v/>
      </c>
      <c r="E159" s="35">
        <f>Actions!F157</f>
        <v/>
      </c>
      <c r="F159" s="6">
        <f>Actions!G157</f>
        <v/>
      </c>
      <c r="G159" s="6">
        <f>Actions!H157</f>
        <v/>
      </c>
      <c r="H159" s="29">
        <f>Actions!I157</f>
        <v/>
      </c>
      <c r="I159" s="6">
        <f>Actions!J157</f>
        <v/>
      </c>
      <c r="J159" s="16">
        <f>Actions!K157</f>
        <v/>
      </c>
      <c r="K159" s="16">
        <f>IF(A159="","",IF(I159="%",H159*J159,J159))</f>
        <v/>
      </c>
      <c r="L159" s="16">
        <f>Actions!L157</f>
        <v/>
      </c>
      <c r="M159" s="6">
        <f>Actions!M157</f>
        <v/>
      </c>
      <c r="N159" s="28">
        <f>Actions!N157</f>
        <v/>
      </c>
      <c r="O159" s="29">
        <f>Actions!T157</f>
        <v/>
      </c>
      <c r="P159" s="29">
        <f>Actions!Y157</f>
        <v/>
      </c>
      <c r="Q159" s="29">
        <f>Actions!Z157</f>
        <v/>
      </c>
      <c r="R159" s="29">
        <f>Actions!AA157</f>
        <v/>
      </c>
      <c r="S159" s="29">
        <f>IF(A159="","",((K159)*(IF(M159="",L159,IFERROR(IF(INDEX(Variablen!$I:$AT, MATCH(M159, Variablen!$A:$A, 0), MATCH((YEAR(D159)+0), Variablen!$I$3:$AT$3, 0))="",L159,INDEX(Variablen!$I:$AT, MATCH(M159, Variablen!$A:$A, 0), MATCH((YEAR(D159)+0), Variablen!$I$3:$AT$3, 0))),L159)))*(IF((YEAR(D159)+0)&lt;YEAR(E159),0,IF((YEAR(D159)+0)&gt;YEAR(E159),1,(12-MONTH(E159)+1)/12))) + (Q159)*(IF((YEAR(D159)+0)&lt;YEAR(E159),0,IF((YEAR(D159)+0)&gt;YEAR(E159),1,(12-MONTH(E159)+1)/12))))-((P159)*(IF((YEAR(D159)+0)&lt;YEAR(E159),0,IF((YEAR(D159)+0)&gt;YEAR(E159),1,(12-MONTH(E159)+1)/12))) + (R159)*(IF((YEAR(D159)+0)&lt;YEAR(E159),0,IF((YEAR(D159)+0)&gt;YEAR(E159),1,(12-MONTH(E159)+1)/12))))-(IF((((K159)*(IF(M159="",L159,IFERROR(IF(INDEX(Variablen!$I:$AT, MATCH(M159, Variablen!$A:$A, 0), MATCH((YEAR(D159)+0), Variablen!$I$3:$AT$3, 0))="",L159,INDEX(Variablen!$I:$AT, MATCH(M159, Variablen!$A:$A, 0), MATCH((YEAR(D159)+0), Variablen!$I$3:$AT$3, 0))),L159)))*(IF((YEAR(D159)+0)&lt;YEAR(E159),0,IF((YEAR(D159)+0)&gt;YEAR(E159),1,(12-MONTH(E159)+1)/12))) + (Q159)*(IF((YEAR(D159)+0)&lt;YEAR(E159),0,IF((YEAR(D159)+0)&gt;YEAR(E159),1,(12-MONTH(E159)+1)/12))))-((P159)*(IF((YEAR(D159)+0)&lt;YEAR(E159),0,IF((YEAR(D159)+0)&gt;YEAR(E159),1,(12-MONTH(E159)+1)/12))) + (R159)*(IF((YEAR(D159)+0)&lt;YEAR(E159),0,IF((YEAR(D159)+0)&gt;YEAR(E159),1,(12-MONTH(E159)+1)/12))))-(IF(OR(N159="",N159&lt;=0),0,(O159/N159)*(IF(OR(N159="",N159&lt;=0),0,IF((YEAR(D159)+0)&lt;YEAR(E159),0,IF((YEAR(D159)+0)&gt;=YEAR(E159)+N159,0,IF((YEAR(D159)+0)=YEAR(E159),(12-MONTH(E159)+1)/12,1))))))))&gt;0,(((K159)*(IF(M159="",L159,IFERROR(IF(INDEX(Variablen!$I:$AT, MATCH(M159, Variablen!$A:$A, 0), MATCH((YEAR(D159)+0), Variablen!$I$3:$AT$3, 0))="",L159,INDEX(Variablen!$I:$AT, MATCH(M159, Variablen!$A:$A, 0), MATCH((YEAR(D159)+0), Variablen!$I$3:$AT$3, 0))),L159)))*(IF((YEAR(D159)+0)&lt;YEAR(E159),0,IF((YEAR(D159)+0)&gt;YEAR(E159),1,(12-MONTH(E159)+1)/12))) + (Q159)*(IF((YEAR(D159)+0)&lt;YEAR(E159),0,IF((YEAR(D159)+0)&gt;YEAR(E159),1,(12-MONTH(E159)+1)/12))))-((P159)*(IF((YEAR(D159)+0)&lt;YEAR(E159),0,IF((YEAR(D159)+0)&gt;YEAR(E159),1,(12-MONTH(E159)+1)/12))) + (R159)*(IF((YEAR(D159)+0)&lt;YEAR(E159),0,IF((YEAR(D159)+0)&gt;YEAR(E159),1,(12-MONTH(E159)+1)/12))))-(IF(OR(N159="",N159&lt;=0),0,(O159/N159)*(IF(OR(N159="",N159&lt;=0),0,IF((YEAR(D159)+0)&lt;YEAR(E159),0,IF((YEAR(D159)+0)&gt;=YEAR(E159)+N159,0,IF((YEAR(D159)+0)=YEAR(E159),(12-MONTH(E159)+1)/12,1))))))))*TaxRate,0))-IF(0=0,O159,0))</f>
        <v/>
      </c>
      <c r="T159" s="29">
        <f>IF(A159="","",((K159)*(IF(M159="",L159,IFERROR(IF(INDEX(Variablen!$I:$AT, MATCH(M159, Variablen!$A:$A, 0), MATCH((YEAR(D159)+1), Variablen!$I$3:$AT$3, 0))="",L159,INDEX(Variablen!$I:$AT, MATCH(M159, Variablen!$A:$A, 0), MATCH((YEAR(D159)+1), Variablen!$I$3:$AT$3, 0))),L159)))*(IF((YEAR(D159)+1)&lt;YEAR(E159),0,IF((YEAR(D159)+1)&gt;YEAR(E159),1,(12-MONTH(E159)+1)/12))) + (Q159)*(IF((YEAR(D159)+1)&lt;YEAR(E159),0,IF((YEAR(D159)+1)&gt;YEAR(E159),1,(12-MONTH(E159)+1)/12))))-((P159)*(IF((YEAR(D159)+1)&lt;YEAR(E159),0,IF((YEAR(D159)+1)&gt;YEAR(E159),1,(12-MONTH(E159)+1)/12))) + (R159)*(IF((YEAR(D159)+1)&lt;YEAR(E159),0,IF((YEAR(D159)+1)&gt;YEAR(E159),1,(12-MONTH(E159)+1)/12))))-(IF((((K159)*(IF(M159="",L159,IFERROR(IF(INDEX(Variablen!$I:$AT, MATCH(M159, Variablen!$A:$A, 0), MATCH((YEAR(D159)+1), Variablen!$I$3:$AT$3, 0))="",L159,INDEX(Variablen!$I:$AT, MATCH(M159, Variablen!$A:$A, 0), MATCH((YEAR(D159)+1), Variablen!$I$3:$AT$3, 0))),L159)))*(IF((YEAR(D159)+1)&lt;YEAR(E159),0,IF((YEAR(D159)+1)&gt;YEAR(E159),1,(12-MONTH(E159)+1)/12))) + (Q159)*(IF((YEAR(D159)+1)&lt;YEAR(E159),0,IF((YEAR(D159)+1)&gt;YEAR(E159),1,(12-MONTH(E159)+1)/12))))-((P159)*(IF((YEAR(D159)+1)&lt;YEAR(E159),0,IF((YEAR(D159)+1)&gt;YEAR(E159),1,(12-MONTH(E159)+1)/12))) + (R159)*(IF((YEAR(D159)+1)&lt;YEAR(E159),0,IF((YEAR(D159)+1)&gt;YEAR(E159),1,(12-MONTH(E159)+1)/12))))-(IF(OR(N159="",N159&lt;=0),0,(O159/N159)*(IF(OR(N159="",N159&lt;=0),0,IF((YEAR(D159)+1)&lt;YEAR(E159),0,IF((YEAR(D159)+1)&gt;=YEAR(E159)+N159,0,IF((YEAR(D159)+1)=YEAR(E159),(12-MONTH(E159)+1)/12,1))))))))&gt;0,(((K159)*(IF(M159="",L159,IFERROR(IF(INDEX(Variablen!$I:$AT, MATCH(M159, Variablen!$A:$A, 0), MATCH((YEAR(D159)+1), Variablen!$I$3:$AT$3, 0))="",L159,INDEX(Variablen!$I:$AT, MATCH(M159, Variablen!$A:$A, 0), MATCH((YEAR(D159)+1), Variablen!$I$3:$AT$3, 0))),L159)))*(IF((YEAR(D159)+1)&lt;YEAR(E159),0,IF((YEAR(D159)+1)&gt;YEAR(E159),1,(12-MONTH(E159)+1)/12))) + (Q159)*(IF((YEAR(D159)+1)&lt;YEAR(E159),0,IF((YEAR(D159)+1)&gt;YEAR(E159),1,(12-MONTH(E159)+1)/12))))-((P159)*(IF((YEAR(D159)+1)&lt;YEAR(E159),0,IF((YEAR(D159)+1)&gt;YEAR(E159),1,(12-MONTH(E159)+1)/12))) + (R159)*(IF((YEAR(D159)+1)&lt;YEAR(E159),0,IF((YEAR(D159)+1)&gt;YEAR(E159),1,(12-MONTH(E159)+1)/12))))-(IF(OR(N159="",N159&lt;=0),0,(O159/N159)*(IF(OR(N159="",N159&lt;=0),0,IF((YEAR(D159)+1)&lt;YEAR(E159),0,IF((YEAR(D159)+1)&gt;=YEAR(E159)+N159,0,IF((YEAR(D159)+1)=YEAR(E159),(12-MONTH(E159)+1)/12,1))))))))*TaxRate,0))-IF(1=0,O159,0))</f>
        <v/>
      </c>
      <c r="U159" s="29">
        <f>IF(A159="","",((K159)*(IF(M159="",L159,IFERROR(IF(INDEX(Variablen!$I:$AT, MATCH(M159, Variablen!$A:$A, 0), MATCH((YEAR(D159)+2), Variablen!$I$3:$AT$3, 0))="",L159,INDEX(Variablen!$I:$AT, MATCH(M159, Variablen!$A:$A, 0), MATCH((YEAR(D159)+2), Variablen!$I$3:$AT$3, 0))),L159)))*(IF((YEAR(D159)+2)&lt;YEAR(E159),0,IF((YEAR(D159)+2)&gt;YEAR(E159),1,(12-MONTH(E159)+1)/12))) + (Q159)*(IF((YEAR(D159)+2)&lt;YEAR(E159),0,IF((YEAR(D159)+2)&gt;YEAR(E159),1,(12-MONTH(E159)+1)/12))))-((P159)*(IF((YEAR(D159)+2)&lt;YEAR(E159),0,IF((YEAR(D159)+2)&gt;YEAR(E159),1,(12-MONTH(E159)+1)/12))) + (R159)*(IF((YEAR(D159)+2)&lt;YEAR(E159),0,IF((YEAR(D159)+2)&gt;YEAR(E159),1,(12-MONTH(E159)+1)/12))))-(IF((((K159)*(IF(M159="",L159,IFERROR(IF(INDEX(Variablen!$I:$AT, MATCH(M159, Variablen!$A:$A, 0), MATCH((YEAR(D159)+2), Variablen!$I$3:$AT$3, 0))="",L159,INDEX(Variablen!$I:$AT, MATCH(M159, Variablen!$A:$A, 0), MATCH((YEAR(D159)+2), Variablen!$I$3:$AT$3, 0))),L159)))*(IF((YEAR(D159)+2)&lt;YEAR(E159),0,IF((YEAR(D159)+2)&gt;YEAR(E159),1,(12-MONTH(E159)+1)/12))) + (Q159)*(IF((YEAR(D159)+2)&lt;YEAR(E159),0,IF((YEAR(D159)+2)&gt;YEAR(E159),1,(12-MONTH(E159)+1)/12))))-((P159)*(IF((YEAR(D159)+2)&lt;YEAR(E159),0,IF((YEAR(D159)+2)&gt;YEAR(E159),1,(12-MONTH(E159)+1)/12))) + (R159)*(IF((YEAR(D159)+2)&lt;YEAR(E159),0,IF((YEAR(D159)+2)&gt;YEAR(E159),1,(12-MONTH(E159)+1)/12))))-(IF(OR(N159="",N159&lt;=0),0,(O159/N159)*(IF(OR(N159="",N159&lt;=0),0,IF((YEAR(D159)+2)&lt;YEAR(E159),0,IF((YEAR(D159)+2)&gt;=YEAR(E159)+N159,0,IF((YEAR(D159)+2)=YEAR(E159),(12-MONTH(E159)+1)/12,1))))))))&gt;0,(((K159)*(IF(M159="",L159,IFERROR(IF(INDEX(Variablen!$I:$AT, MATCH(M159, Variablen!$A:$A, 0), MATCH((YEAR(D159)+2), Variablen!$I$3:$AT$3, 0))="",L159,INDEX(Variablen!$I:$AT, MATCH(M159, Variablen!$A:$A, 0), MATCH((YEAR(D159)+2), Variablen!$I$3:$AT$3, 0))),L159)))*(IF((YEAR(D159)+2)&lt;YEAR(E159),0,IF((YEAR(D159)+2)&gt;YEAR(E159),1,(12-MONTH(E159)+1)/12))) + (Q159)*(IF((YEAR(D159)+2)&lt;YEAR(E159),0,IF((YEAR(D159)+2)&gt;YEAR(E159),1,(12-MONTH(E159)+1)/12))))-((P159)*(IF((YEAR(D159)+2)&lt;YEAR(E159),0,IF((YEAR(D159)+2)&gt;YEAR(E159),1,(12-MONTH(E159)+1)/12))) + (R159)*(IF((YEAR(D159)+2)&lt;YEAR(E159),0,IF((YEAR(D159)+2)&gt;YEAR(E159),1,(12-MONTH(E159)+1)/12))))-(IF(OR(N159="",N159&lt;=0),0,(O159/N159)*(IF(OR(N159="",N159&lt;=0),0,IF((YEAR(D159)+2)&lt;YEAR(E159),0,IF((YEAR(D159)+2)&gt;=YEAR(E159)+N159,0,IF((YEAR(D159)+2)=YEAR(E159),(12-MONTH(E159)+1)/12,1))))))))*TaxRate,0))-IF(2=0,O159,0))</f>
        <v/>
      </c>
      <c r="V159" s="29">
        <f>IF(A159="","",((K159)*(IF(M159="",L159,IFERROR(IF(INDEX(Variablen!$I:$AT, MATCH(M159, Variablen!$A:$A, 0), MATCH((YEAR(D159)+3), Variablen!$I$3:$AT$3, 0))="",L159,INDEX(Variablen!$I:$AT, MATCH(M159, Variablen!$A:$A, 0), MATCH((YEAR(D159)+3), Variablen!$I$3:$AT$3, 0))),L159)))*(IF((YEAR(D159)+3)&lt;YEAR(E159),0,IF((YEAR(D159)+3)&gt;YEAR(E159),1,(12-MONTH(E159)+1)/12))) + (Q159)*(IF((YEAR(D159)+3)&lt;YEAR(E159),0,IF((YEAR(D159)+3)&gt;YEAR(E159),1,(12-MONTH(E159)+1)/12))))-((P159)*(IF((YEAR(D159)+3)&lt;YEAR(E159),0,IF((YEAR(D159)+3)&gt;YEAR(E159),1,(12-MONTH(E159)+1)/12))) + (R159)*(IF((YEAR(D159)+3)&lt;YEAR(E159),0,IF((YEAR(D159)+3)&gt;YEAR(E159),1,(12-MONTH(E159)+1)/12))))-(IF((((K159)*(IF(M159="",L159,IFERROR(IF(INDEX(Variablen!$I:$AT, MATCH(M159, Variablen!$A:$A, 0), MATCH((YEAR(D159)+3), Variablen!$I$3:$AT$3, 0))="",L159,INDEX(Variablen!$I:$AT, MATCH(M159, Variablen!$A:$A, 0), MATCH((YEAR(D159)+3), Variablen!$I$3:$AT$3, 0))),L159)))*(IF((YEAR(D159)+3)&lt;YEAR(E159),0,IF((YEAR(D159)+3)&gt;YEAR(E159),1,(12-MONTH(E159)+1)/12))) + (Q159)*(IF((YEAR(D159)+3)&lt;YEAR(E159),0,IF((YEAR(D159)+3)&gt;YEAR(E159),1,(12-MONTH(E159)+1)/12))))-((P159)*(IF((YEAR(D159)+3)&lt;YEAR(E159),0,IF((YEAR(D159)+3)&gt;YEAR(E159),1,(12-MONTH(E159)+1)/12))) + (R159)*(IF((YEAR(D159)+3)&lt;YEAR(E159),0,IF((YEAR(D159)+3)&gt;YEAR(E159),1,(12-MONTH(E159)+1)/12))))-(IF(OR(N159="",N159&lt;=0),0,(O159/N159)*(IF(OR(N159="",N159&lt;=0),0,IF((YEAR(D159)+3)&lt;YEAR(E159),0,IF((YEAR(D159)+3)&gt;=YEAR(E159)+N159,0,IF((YEAR(D159)+3)=YEAR(E159),(12-MONTH(E159)+1)/12,1))))))))&gt;0,(((K159)*(IF(M159="",L159,IFERROR(IF(INDEX(Variablen!$I:$AT, MATCH(M159, Variablen!$A:$A, 0), MATCH((YEAR(D159)+3), Variablen!$I$3:$AT$3, 0))="",L159,INDEX(Variablen!$I:$AT, MATCH(M159, Variablen!$A:$A, 0), MATCH((YEAR(D159)+3), Variablen!$I$3:$AT$3, 0))),L159)))*(IF((YEAR(D159)+3)&lt;YEAR(E159),0,IF((YEAR(D159)+3)&gt;YEAR(E159),1,(12-MONTH(E159)+1)/12))) + (Q159)*(IF((YEAR(D159)+3)&lt;YEAR(E159),0,IF((YEAR(D159)+3)&gt;YEAR(E159),1,(12-MONTH(E159)+1)/12))))-((P159)*(IF((YEAR(D159)+3)&lt;YEAR(E159),0,IF((YEAR(D159)+3)&gt;YEAR(E159),1,(12-MONTH(E159)+1)/12))) + (R159)*(IF((YEAR(D159)+3)&lt;YEAR(E159),0,IF((YEAR(D159)+3)&gt;YEAR(E159),1,(12-MONTH(E159)+1)/12))))-(IF(OR(N159="",N159&lt;=0),0,(O159/N159)*(IF(OR(N159="",N159&lt;=0),0,IF((YEAR(D159)+3)&lt;YEAR(E159),0,IF((YEAR(D159)+3)&gt;=YEAR(E159)+N159,0,IF((YEAR(D159)+3)=YEAR(E159),(12-MONTH(E159)+1)/12,1))))))))*TaxRate,0))-IF(3=0,O159,0))</f>
        <v/>
      </c>
      <c r="W159" s="29">
        <f>IF(A159="","",((K159)*(IF(M159="",L159,IFERROR(IF(INDEX(Variablen!$I:$AT, MATCH(M159, Variablen!$A:$A, 0), MATCH((YEAR(D159)+4), Variablen!$I$3:$AT$3, 0))="",L159,INDEX(Variablen!$I:$AT, MATCH(M159, Variablen!$A:$A, 0), MATCH((YEAR(D159)+4), Variablen!$I$3:$AT$3, 0))),L159)))*(IF((YEAR(D159)+4)&lt;YEAR(E159),0,IF((YEAR(D159)+4)&gt;YEAR(E159),1,(12-MONTH(E159)+1)/12))) + (Q159)*(IF((YEAR(D159)+4)&lt;YEAR(E159),0,IF((YEAR(D159)+4)&gt;YEAR(E159),1,(12-MONTH(E159)+1)/12))))-((P159)*(IF((YEAR(D159)+4)&lt;YEAR(E159),0,IF((YEAR(D159)+4)&gt;YEAR(E159),1,(12-MONTH(E159)+1)/12))) + (R159)*(IF((YEAR(D159)+4)&lt;YEAR(E159),0,IF((YEAR(D159)+4)&gt;YEAR(E159),1,(12-MONTH(E159)+1)/12))))-(IF((((K159)*(IF(M159="",L159,IFERROR(IF(INDEX(Variablen!$I:$AT, MATCH(M159, Variablen!$A:$A, 0), MATCH((YEAR(D159)+4), Variablen!$I$3:$AT$3, 0))="",L159,INDEX(Variablen!$I:$AT, MATCH(M159, Variablen!$A:$A, 0), MATCH((YEAR(D159)+4), Variablen!$I$3:$AT$3, 0))),L159)))*(IF((YEAR(D159)+4)&lt;YEAR(E159),0,IF((YEAR(D159)+4)&gt;YEAR(E159),1,(12-MONTH(E159)+1)/12))) + (Q159)*(IF((YEAR(D159)+4)&lt;YEAR(E159),0,IF((YEAR(D159)+4)&gt;YEAR(E159),1,(12-MONTH(E159)+1)/12))))-((P159)*(IF((YEAR(D159)+4)&lt;YEAR(E159),0,IF((YEAR(D159)+4)&gt;YEAR(E159),1,(12-MONTH(E159)+1)/12))) + (R159)*(IF((YEAR(D159)+4)&lt;YEAR(E159),0,IF((YEAR(D159)+4)&gt;YEAR(E159),1,(12-MONTH(E159)+1)/12))))-(IF(OR(N159="",N159&lt;=0),0,(O159/N159)*(IF(OR(N159="",N159&lt;=0),0,IF((YEAR(D159)+4)&lt;YEAR(E159),0,IF((YEAR(D159)+4)&gt;=YEAR(E159)+N159,0,IF((YEAR(D159)+4)=YEAR(E159),(12-MONTH(E159)+1)/12,1))))))))&gt;0,(((K159)*(IF(M159="",L159,IFERROR(IF(INDEX(Variablen!$I:$AT, MATCH(M159, Variablen!$A:$A, 0), MATCH((YEAR(D159)+4), Variablen!$I$3:$AT$3, 0))="",L159,INDEX(Variablen!$I:$AT, MATCH(M159, Variablen!$A:$A, 0), MATCH((YEAR(D159)+4), Variablen!$I$3:$AT$3, 0))),L159)))*(IF((YEAR(D159)+4)&lt;YEAR(E159),0,IF((YEAR(D159)+4)&gt;YEAR(E159),1,(12-MONTH(E159)+1)/12))) + (Q159)*(IF((YEAR(D159)+4)&lt;YEAR(E159),0,IF((YEAR(D159)+4)&gt;YEAR(E159),1,(12-MONTH(E159)+1)/12))))-((P159)*(IF((YEAR(D159)+4)&lt;YEAR(E159),0,IF((YEAR(D159)+4)&gt;YEAR(E159),1,(12-MONTH(E159)+1)/12))) + (R159)*(IF((YEAR(D159)+4)&lt;YEAR(E159),0,IF((YEAR(D159)+4)&gt;YEAR(E159),1,(12-MONTH(E159)+1)/12))))-(IF(OR(N159="",N159&lt;=0),0,(O159/N159)*(IF(OR(N159="",N159&lt;=0),0,IF((YEAR(D159)+4)&lt;YEAR(E159),0,IF((YEAR(D159)+4)&gt;=YEAR(E159)+N159,0,IF((YEAR(D159)+4)=YEAR(E159),(12-MONTH(E159)+1)/12,1))))))))*TaxRate,0))-IF(4=0,O159,0))</f>
        <v/>
      </c>
      <c r="X159" s="29">
        <f>IF(A159="","",((K159)*(IF(M159="",L159,IFERROR(IF(INDEX(Variablen!$I:$AT, MATCH(M159, Variablen!$A:$A, 0), MATCH((YEAR(D159)+5), Variablen!$I$3:$AT$3, 0))="",L159,INDEX(Variablen!$I:$AT, MATCH(M159, Variablen!$A:$A, 0), MATCH((YEAR(D159)+5), Variablen!$I$3:$AT$3, 0))),L159)))*(IF((YEAR(D159)+5)&lt;YEAR(E159),0,IF((YEAR(D159)+5)&gt;YEAR(E159),1,(12-MONTH(E159)+1)/12))) + (Q159)*(IF((YEAR(D159)+5)&lt;YEAR(E159),0,IF((YEAR(D159)+5)&gt;YEAR(E159),1,(12-MONTH(E159)+1)/12))))-((P159)*(IF((YEAR(D159)+5)&lt;YEAR(E159),0,IF((YEAR(D159)+5)&gt;YEAR(E159),1,(12-MONTH(E159)+1)/12))) + (R159)*(IF((YEAR(D159)+5)&lt;YEAR(E159),0,IF((YEAR(D159)+5)&gt;YEAR(E159),1,(12-MONTH(E159)+1)/12))))-(IF((((K159)*(IF(M159="",L159,IFERROR(IF(INDEX(Variablen!$I:$AT, MATCH(M159, Variablen!$A:$A, 0), MATCH((YEAR(D159)+5), Variablen!$I$3:$AT$3, 0))="",L159,INDEX(Variablen!$I:$AT, MATCH(M159, Variablen!$A:$A, 0), MATCH((YEAR(D159)+5), Variablen!$I$3:$AT$3, 0))),L159)))*(IF((YEAR(D159)+5)&lt;YEAR(E159),0,IF((YEAR(D159)+5)&gt;YEAR(E159),1,(12-MONTH(E159)+1)/12))) + (Q159)*(IF((YEAR(D159)+5)&lt;YEAR(E159),0,IF((YEAR(D159)+5)&gt;YEAR(E159),1,(12-MONTH(E159)+1)/12))))-((P159)*(IF((YEAR(D159)+5)&lt;YEAR(E159),0,IF((YEAR(D159)+5)&gt;YEAR(E159),1,(12-MONTH(E159)+1)/12))) + (R159)*(IF((YEAR(D159)+5)&lt;YEAR(E159),0,IF((YEAR(D159)+5)&gt;YEAR(E159),1,(12-MONTH(E159)+1)/12))))-(IF(OR(N159="",N159&lt;=0),0,(O159/N159)*(IF(OR(N159="",N159&lt;=0),0,IF((YEAR(D159)+5)&lt;YEAR(E159),0,IF((YEAR(D159)+5)&gt;=YEAR(E159)+N159,0,IF((YEAR(D159)+5)=YEAR(E159),(12-MONTH(E159)+1)/12,1))))))))&gt;0,(((K159)*(IF(M159="",L159,IFERROR(IF(INDEX(Variablen!$I:$AT, MATCH(M159, Variablen!$A:$A, 0), MATCH((YEAR(D159)+5), Variablen!$I$3:$AT$3, 0))="",L159,INDEX(Variablen!$I:$AT, MATCH(M159, Variablen!$A:$A, 0), MATCH((YEAR(D159)+5), Variablen!$I$3:$AT$3, 0))),L159)))*(IF((YEAR(D159)+5)&lt;YEAR(E159),0,IF((YEAR(D159)+5)&gt;YEAR(E159),1,(12-MONTH(E159)+1)/12))) + (Q159)*(IF((YEAR(D159)+5)&lt;YEAR(E159),0,IF((YEAR(D159)+5)&gt;YEAR(E159),1,(12-MONTH(E159)+1)/12))))-((P159)*(IF((YEAR(D159)+5)&lt;YEAR(E159),0,IF((YEAR(D159)+5)&gt;YEAR(E159),1,(12-MONTH(E159)+1)/12))) + (R159)*(IF((YEAR(D159)+5)&lt;YEAR(E159),0,IF((YEAR(D159)+5)&gt;YEAR(E159),1,(12-MONTH(E159)+1)/12))))-(IF(OR(N159="",N159&lt;=0),0,(O159/N159)*(IF(OR(N159="",N159&lt;=0),0,IF((YEAR(D159)+5)&lt;YEAR(E159),0,IF((YEAR(D159)+5)&gt;=YEAR(E159)+N159,0,IF((YEAR(D159)+5)=YEAR(E159),(12-MONTH(E159)+1)/12,1))))))))*TaxRate,0))-IF(5=0,O159,0))</f>
        <v/>
      </c>
      <c r="Y159" s="29">
        <f>IF(A159="","",((K159)*(IF(M159="",L159,IFERROR(IF(INDEX(Variablen!$I:$AT, MATCH(M159, Variablen!$A:$A, 0), MATCH((YEAR(D159)+6), Variablen!$I$3:$AT$3, 0))="",L159,INDEX(Variablen!$I:$AT, MATCH(M159, Variablen!$A:$A, 0), MATCH((YEAR(D159)+6), Variablen!$I$3:$AT$3, 0))),L159)))*(IF((YEAR(D159)+6)&lt;YEAR(E159),0,IF((YEAR(D159)+6)&gt;YEAR(E159),1,(12-MONTH(E159)+1)/12))) + (Q159)*(IF((YEAR(D159)+6)&lt;YEAR(E159),0,IF((YEAR(D159)+6)&gt;YEAR(E159),1,(12-MONTH(E159)+1)/12))))-((P159)*(IF((YEAR(D159)+6)&lt;YEAR(E159),0,IF((YEAR(D159)+6)&gt;YEAR(E159),1,(12-MONTH(E159)+1)/12))) + (R159)*(IF((YEAR(D159)+6)&lt;YEAR(E159),0,IF((YEAR(D159)+6)&gt;YEAR(E159),1,(12-MONTH(E159)+1)/12))))-(IF((((K159)*(IF(M159="",L159,IFERROR(IF(INDEX(Variablen!$I:$AT, MATCH(M159, Variablen!$A:$A, 0), MATCH((YEAR(D159)+6), Variablen!$I$3:$AT$3, 0))="",L159,INDEX(Variablen!$I:$AT, MATCH(M159, Variablen!$A:$A, 0), MATCH((YEAR(D159)+6), Variablen!$I$3:$AT$3, 0))),L159)))*(IF((YEAR(D159)+6)&lt;YEAR(E159),0,IF((YEAR(D159)+6)&gt;YEAR(E159),1,(12-MONTH(E159)+1)/12))) + (Q159)*(IF((YEAR(D159)+6)&lt;YEAR(E159),0,IF((YEAR(D159)+6)&gt;YEAR(E159),1,(12-MONTH(E159)+1)/12))))-((P159)*(IF((YEAR(D159)+6)&lt;YEAR(E159),0,IF((YEAR(D159)+6)&gt;YEAR(E159),1,(12-MONTH(E159)+1)/12))) + (R159)*(IF((YEAR(D159)+6)&lt;YEAR(E159),0,IF((YEAR(D159)+6)&gt;YEAR(E159),1,(12-MONTH(E159)+1)/12))))-(IF(OR(N159="",N159&lt;=0),0,(O159/N159)*(IF(OR(N159="",N159&lt;=0),0,IF((YEAR(D159)+6)&lt;YEAR(E159),0,IF((YEAR(D159)+6)&gt;=YEAR(E159)+N159,0,IF((YEAR(D159)+6)=YEAR(E159),(12-MONTH(E159)+1)/12,1))))))))&gt;0,(((K159)*(IF(M159="",L159,IFERROR(IF(INDEX(Variablen!$I:$AT, MATCH(M159, Variablen!$A:$A, 0), MATCH((YEAR(D159)+6), Variablen!$I$3:$AT$3, 0))="",L159,INDEX(Variablen!$I:$AT, MATCH(M159, Variablen!$A:$A, 0), MATCH((YEAR(D159)+6), Variablen!$I$3:$AT$3, 0))),L159)))*(IF((YEAR(D159)+6)&lt;YEAR(E159),0,IF((YEAR(D159)+6)&gt;YEAR(E159),1,(12-MONTH(E159)+1)/12))) + (Q159)*(IF((YEAR(D159)+6)&lt;YEAR(E159),0,IF((YEAR(D159)+6)&gt;YEAR(E159),1,(12-MONTH(E159)+1)/12))))-((P159)*(IF((YEAR(D159)+6)&lt;YEAR(E159),0,IF((YEAR(D159)+6)&gt;YEAR(E159),1,(12-MONTH(E159)+1)/12))) + (R159)*(IF((YEAR(D159)+6)&lt;YEAR(E159),0,IF((YEAR(D159)+6)&gt;YEAR(E159),1,(12-MONTH(E159)+1)/12))))-(IF(OR(N159="",N159&lt;=0),0,(O159/N159)*(IF(OR(N159="",N159&lt;=0),0,IF((YEAR(D159)+6)&lt;YEAR(E159),0,IF((YEAR(D159)+6)&gt;=YEAR(E159)+N159,0,IF((YEAR(D159)+6)=YEAR(E159),(12-MONTH(E159)+1)/12,1))))))))*TaxRate,0))-IF(6=0,O159,0))</f>
        <v/>
      </c>
      <c r="Z159" s="29">
        <f>IF(A159="","",((K159)*(IF(M159="",L159,IFERROR(IF(INDEX(Variablen!$I:$AT, MATCH(M159, Variablen!$A:$A, 0), MATCH((YEAR(D159)+7), Variablen!$I$3:$AT$3, 0))="",L159,INDEX(Variablen!$I:$AT, MATCH(M159, Variablen!$A:$A, 0), MATCH((YEAR(D159)+7), Variablen!$I$3:$AT$3, 0))),L159)))*(IF((YEAR(D159)+7)&lt;YEAR(E159),0,IF((YEAR(D159)+7)&gt;YEAR(E159),1,(12-MONTH(E159)+1)/12))) + (Q159)*(IF((YEAR(D159)+7)&lt;YEAR(E159),0,IF((YEAR(D159)+7)&gt;YEAR(E159),1,(12-MONTH(E159)+1)/12))))-((P159)*(IF((YEAR(D159)+7)&lt;YEAR(E159),0,IF((YEAR(D159)+7)&gt;YEAR(E159),1,(12-MONTH(E159)+1)/12))) + (R159)*(IF((YEAR(D159)+7)&lt;YEAR(E159),0,IF((YEAR(D159)+7)&gt;YEAR(E159),1,(12-MONTH(E159)+1)/12))))-(IF((((K159)*(IF(M159="",L159,IFERROR(IF(INDEX(Variablen!$I:$AT, MATCH(M159, Variablen!$A:$A, 0), MATCH((YEAR(D159)+7), Variablen!$I$3:$AT$3, 0))="",L159,INDEX(Variablen!$I:$AT, MATCH(M159, Variablen!$A:$A, 0), MATCH((YEAR(D159)+7), Variablen!$I$3:$AT$3, 0))),L159)))*(IF((YEAR(D159)+7)&lt;YEAR(E159),0,IF((YEAR(D159)+7)&gt;YEAR(E159),1,(12-MONTH(E159)+1)/12))) + (Q159)*(IF((YEAR(D159)+7)&lt;YEAR(E159),0,IF((YEAR(D159)+7)&gt;YEAR(E159),1,(12-MONTH(E159)+1)/12))))-((P159)*(IF((YEAR(D159)+7)&lt;YEAR(E159),0,IF((YEAR(D159)+7)&gt;YEAR(E159),1,(12-MONTH(E159)+1)/12))) + (R159)*(IF((YEAR(D159)+7)&lt;YEAR(E159),0,IF((YEAR(D159)+7)&gt;YEAR(E159),1,(12-MONTH(E159)+1)/12))))-(IF(OR(N159="",N159&lt;=0),0,(O159/N159)*(IF(OR(N159="",N159&lt;=0),0,IF((YEAR(D159)+7)&lt;YEAR(E159),0,IF((YEAR(D159)+7)&gt;=YEAR(E159)+N159,0,IF((YEAR(D159)+7)=YEAR(E159),(12-MONTH(E159)+1)/12,1))))))))&gt;0,(((K159)*(IF(M159="",L159,IFERROR(IF(INDEX(Variablen!$I:$AT, MATCH(M159, Variablen!$A:$A, 0), MATCH((YEAR(D159)+7), Variablen!$I$3:$AT$3, 0))="",L159,INDEX(Variablen!$I:$AT, MATCH(M159, Variablen!$A:$A, 0), MATCH((YEAR(D159)+7), Variablen!$I$3:$AT$3, 0))),L159)))*(IF((YEAR(D159)+7)&lt;YEAR(E159),0,IF((YEAR(D159)+7)&gt;YEAR(E159),1,(12-MONTH(E159)+1)/12))) + (Q159)*(IF((YEAR(D159)+7)&lt;YEAR(E159),0,IF((YEAR(D159)+7)&gt;YEAR(E159),1,(12-MONTH(E159)+1)/12))))-((P159)*(IF((YEAR(D159)+7)&lt;YEAR(E159),0,IF((YEAR(D159)+7)&gt;YEAR(E159),1,(12-MONTH(E159)+1)/12))) + (R159)*(IF((YEAR(D159)+7)&lt;YEAR(E159),0,IF((YEAR(D159)+7)&gt;YEAR(E159),1,(12-MONTH(E159)+1)/12))))-(IF(OR(N159="",N159&lt;=0),0,(O159/N159)*(IF(OR(N159="",N159&lt;=0),0,IF((YEAR(D159)+7)&lt;YEAR(E159),0,IF((YEAR(D159)+7)&gt;=YEAR(E159)+N159,0,IF((YEAR(D159)+7)=YEAR(E159),(12-MONTH(E159)+1)/12,1))))))))*TaxRate,0))-IF(7=0,O159,0))</f>
        <v/>
      </c>
      <c r="AA159" s="29">
        <f>IF(A159="","",((K159)*(IF(M159="",L159,IFERROR(IF(INDEX(Variablen!$I:$AT, MATCH(M159, Variablen!$A:$A, 0), MATCH((YEAR(D159)+8), Variablen!$I$3:$AT$3, 0))="",L159,INDEX(Variablen!$I:$AT, MATCH(M159, Variablen!$A:$A, 0), MATCH((YEAR(D159)+8), Variablen!$I$3:$AT$3, 0))),L159)))*(IF((YEAR(D159)+8)&lt;YEAR(E159),0,IF((YEAR(D159)+8)&gt;YEAR(E159),1,(12-MONTH(E159)+1)/12))) + (Q159)*(IF((YEAR(D159)+8)&lt;YEAR(E159),0,IF((YEAR(D159)+8)&gt;YEAR(E159),1,(12-MONTH(E159)+1)/12))))-((P159)*(IF((YEAR(D159)+8)&lt;YEAR(E159),0,IF((YEAR(D159)+8)&gt;YEAR(E159),1,(12-MONTH(E159)+1)/12))) + (R159)*(IF((YEAR(D159)+8)&lt;YEAR(E159),0,IF((YEAR(D159)+8)&gt;YEAR(E159),1,(12-MONTH(E159)+1)/12))))-(IF((((K159)*(IF(M159="",L159,IFERROR(IF(INDEX(Variablen!$I:$AT, MATCH(M159, Variablen!$A:$A, 0), MATCH((YEAR(D159)+8), Variablen!$I$3:$AT$3, 0))="",L159,INDEX(Variablen!$I:$AT, MATCH(M159, Variablen!$A:$A, 0), MATCH((YEAR(D159)+8), Variablen!$I$3:$AT$3, 0))),L159)))*(IF((YEAR(D159)+8)&lt;YEAR(E159),0,IF((YEAR(D159)+8)&gt;YEAR(E159),1,(12-MONTH(E159)+1)/12))) + (Q159)*(IF((YEAR(D159)+8)&lt;YEAR(E159),0,IF((YEAR(D159)+8)&gt;YEAR(E159),1,(12-MONTH(E159)+1)/12))))-((P159)*(IF((YEAR(D159)+8)&lt;YEAR(E159),0,IF((YEAR(D159)+8)&gt;YEAR(E159),1,(12-MONTH(E159)+1)/12))) + (R159)*(IF((YEAR(D159)+8)&lt;YEAR(E159),0,IF((YEAR(D159)+8)&gt;YEAR(E159),1,(12-MONTH(E159)+1)/12))))-(IF(OR(N159="",N159&lt;=0),0,(O159/N159)*(IF(OR(N159="",N159&lt;=0),0,IF((YEAR(D159)+8)&lt;YEAR(E159),0,IF((YEAR(D159)+8)&gt;=YEAR(E159)+N159,0,IF((YEAR(D159)+8)=YEAR(E159),(12-MONTH(E159)+1)/12,1))))))))&gt;0,(((K159)*(IF(M159="",L159,IFERROR(IF(INDEX(Variablen!$I:$AT, MATCH(M159, Variablen!$A:$A, 0), MATCH((YEAR(D159)+8), Variablen!$I$3:$AT$3, 0))="",L159,INDEX(Variablen!$I:$AT, MATCH(M159, Variablen!$A:$A, 0), MATCH((YEAR(D159)+8), Variablen!$I$3:$AT$3, 0))),L159)))*(IF((YEAR(D159)+8)&lt;YEAR(E159),0,IF((YEAR(D159)+8)&gt;YEAR(E159),1,(12-MONTH(E159)+1)/12))) + (Q159)*(IF((YEAR(D159)+8)&lt;YEAR(E159),0,IF((YEAR(D159)+8)&gt;YEAR(E159),1,(12-MONTH(E159)+1)/12))))-((P159)*(IF((YEAR(D159)+8)&lt;YEAR(E159),0,IF((YEAR(D159)+8)&gt;YEAR(E159),1,(12-MONTH(E159)+1)/12))) + (R159)*(IF((YEAR(D159)+8)&lt;YEAR(E159),0,IF((YEAR(D159)+8)&gt;YEAR(E159),1,(12-MONTH(E159)+1)/12))))-(IF(OR(N159="",N159&lt;=0),0,(O159/N159)*(IF(OR(N159="",N159&lt;=0),0,IF((YEAR(D159)+8)&lt;YEAR(E159),0,IF((YEAR(D159)+8)&gt;=YEAR(E159)+N159,0,IF((YEAR(D159)+8)=YEAR(E159),(12-MONTH(E159)+1)/12,1))))))))*TaxRate,0))-IF(8=0,O159,0))</f>
        <v/>
      </c>
      <c r="AB159" s="29">
        <f>IF(A159="","",((K159)*(IF(M159="",L159,IFERROR(IF(INDEX(Variablen!$I:$AT, MATCH(M159, Variablen!$A:$A, 0), MATCH((YEAR(D159)+9), Variablen!$I$3:$AT$3, 0))="",L159,INDEX(Variablen!$I:$AT, MATCH(M159, Variablen!$A:$A, 0), MATCH((YEAR(D159)+9), Variablen!$I$3:$AT$3, 0))),L159)))*(IF((YEAR(D159)+9)&lt;YEAR(E159),0,IF((YEAR(D159)+9)&gt;YEAR(E159),1,(12-MONTH(E159)+1)/12))) + (Q159)*(IF((YEAR(D159)+9)&lt;YEAR(E159),0,IF((YEAR(D159)+9)&gt;YEAR(E159),1,(12-MONTH(E159)+1)/12))))-((P159)*(IF((YEAR(D159)+9)&lt;YEAR(E159),0,IF((YEAR(D159)+9)&gt;YEAR(E159),1,(12-MONTH(E159)+1)/12))) + (R159)*(IF((YEAR(D159)+9)&lt;YEAR(E159),0,IF((YEAR(D159)+9)&gt;YEAR(E159),1,(12-MONTH(E159)+1)/12))))-(IF((((K159)*(IF(M159="",L159,IFERROR(IF(INDEX(Variablen!$I:$AT, MATCH(M159, Variablen!$A:$A, 0), MATCH((YEAR(D159)+9), Variablen!$I$3:$AT$3, 0))="",L159,INDEX(Variablen!$I:$AT, MATCH(M159, Variablen!$A:$A, 0), MATCH((YEAR(D159)+9), Variablen!$I$3:$AT$3, 0))),L159)))*(IF((YEAR(D159)+9)&lt;YEAR(E159),0,IF((YEAR(D159)+9)&gt;YEAR(E159),1,(12-MONTH(E159)+1)/12))) + (Q159)*(IF((YEAR(D159)+9)&lt;YEAR(E159),0,IF((YEAR(D159)+9)&gt;YEAR(E159),1,(12-MONTH(E159)+1)/12))))-((P159)*(IF((YEAR(D159)+9)&lt;YEAR(E159),0,IF((YEAR(D159)+9)&gt;YEAR(E159),1,(12-MONTH(E159)+1)/12))) + (R159)*(IF((YEAR(D159)+9)&lt;YEAR(E159),0,IF((YEAR(D159)+9)&gt;YEAR(E159),1,(12-MONTH(E159)+1)/12))))-(IF(OR(N159="",N159&lt;=0),0,(O159/N159)*(IF(OR(N159="",N159&lt;=0),0,IF((YEAR(D159)+9)&lt;YEAR(E159),0,IF((YEAR(D159)+9)&gt;=YEAR(E159)+N159,0,IF((YEAR(D159)+9)=YEAR(E159),(12-MONTH(E159)+1)/12,1))))))))&gt;0,(((K159)*(IF(M159="",L159,IFERROR(IF(INDEX(Variablen!$I:$AT, MATCH(M159, Variablen!$A:$A, 0), MATCH((YEAR(D159)+9), Variablen!$I$3:$AT$3, 0))="",L159,INDEX(Variablen!$I:$AT, MATCH(M159, Variablen!$A:$A, 0), MATCH((YEAR(D159)+9), Variablen!$I$3:$AT$3, 0))),L159)))*(IF((YEAR(D159)+9)&lt;YEAR(E159),0,IF((YEAR(D159)+9)&gt;YEAR(E159),1,(12-MONTH(E159)+1)/12))) + (Q159)*(IF((YEAR(D159)+9)&lt;YEAR(E159),0,IF((YEAR(D159)+9)&gt;YEAR(E159),1,(12-MONTH(E159)+1)/12))))-((P159)*(IF((YEAR(D159)+9)&lt;YEAR(E159),0,IF((YEAR(D159)+9)&gt;YEAR(E159),1,(12-MONTH(E159)+1)/12))) + (R159)*(IF((YEAR(D159)+9)&lt;YEAR(E159),0,IF((YEAR(D159)+9)&gt;YEAR(E159),1,(12-MONTH(E159)+1)/12))))-(IF(OR(N159="",N159&lt;=0),0,(O159/N159)*(IF(OR(N159="",N159&lt;=0),0,IF((YEAR(D159)+9)&lt;YEAR(E159),0,IF((YEAR(D159)+9)&gt;=YEAR(E159)+N159,0,IF((YEAR(D159)+9)=YEAR(E159),(12-MONTH(E159)+1)/12,1))))))))*TaxRate,0))-IF(9=0,O159,0))</f>
        <v/>
      </c>
      <c r="AC159" s="29">
        <f>IF(A159="","",((K159)*(IF(M159="",L159,IFERROR(IF(INDEX(Variablen!$I:$AT, MATCH(M159, Variablen!$A:$A, 0), MATCH((YEAR(D159)+10), Variablen!$I$3:$AT$3, 0))="",L159,INDEX(Variablen!$I:$AT, MATCH(M159, Variablen!$A:$A, 0), MATCH((YEAR(D159)+10), Variablen!$I$3:$AT$3, 0))),L159)))*(IF((YEAR(D159)+10)&lt;YEAR(E159),0,IF((YEAR(D159)+10)&gt;YEAR(E159),1,(12-MONTH(E159)+1)/12))) + (Q159)*(IF((YEAR(D159)+10)&lt;YEAR(E159),0,IF((YEAR(D159)+10)&gt;YEAR(E159),1,(12-MONTH(E159)+1)/12))))-((P159)*(IF((YEAR(D159)+10)&lt;YEAR(E159),0,IF((YEAR(D159)+10)&gt;YEAR(E159),1,(12-MONTH(E159)+1)/12))) + (R159)*(IF((YEAR(D159)+10)&lt;YEAR(E159),0,IF((YEAR(D159)+10)&gt;YEAR(E159),1,(12-MONTH(E159)+1)/12))))-(IF((((K159)*(IF(M159="",L159,IFERROR(IF(INDEX(Variablen!$I:$AT, MATCH(M159, Variablen!$A:$A, 0), MATCH((YEAR(D159)+10), Variablen!$I$3:$AT$3, 0))="",L159,INDEX(Variablen!$I:$AT, MATCH(M159, Variablen!$A:$A, 0), MATCH((YEAR(D159)+10), Variablen!$I$3:$AT$3, 0))),L159)))*(IF((YEAR(D159)+10)&lt;YEAR(E159),0,IF((YEAR(D159)+10)&gt;YEAR(E159),1,(12-MONTH(E159)+1)/12))) + (Q159)*(IF((YEAR(D159)+10)&lt;YEAR(E159),0,IF((YEAR(D159)+10)&gt;YEAR(E159),1,(12-MONTH(E159)+1)/12))))-((P159)*(IF((YEAR(D159)+10)&lt;YEAR(E159),0,IF((YEAR(D159)+10)&gt;YEAR(E159),1,(12-MONTH(E159)+1)/12))) + (R159)*(IF((YEAR(D159)+10)&lt;YEAR(E159),0,IF((YEAR(D159)+10)&gt;YEAR(E159),1,(12-MONTH(E159)+1)/12))))-(IF(OR(N159="",N159&lt;=0),0,(O159/N159)*(IF(OR(N159="",N159&lt;=0),0,IF((YEAR(D159)+10)&lt;YEAR(E159),0,IF((YEAR(D159)+10)&gt;=YEAR(E159)+N159,0,IF((YEAR(D159)+10)=YEAR(E159),(12-MONTH(E159)+1)/12,1))))))))&gt;0,(((K159)*(IF(M159="",L159,IFERROR(IF(INDEX(Variablen!$I:$AT, MATCH(M159, Variablen!$A:$A, 0), MATCH((YEAR(D159)+10), Variablen!$I$3:$AT$3, 0))="",L159,INDEX(Variablen!$I:$AT, MATCH(M159, Variablen!$A:$A, 0), MATCH((YEAR(D159)+10), Variablen!$I$3:$AT$3, 0))),L159)))*(IF((YEAR(D159)+10)&lt;YEAR(E159),0,IF((YEAR(D159)+10)&gt;YEAR(E159),1,(12-MONTH(E159)+1)/12))) + (Q159)*(IF((YEAR(D159)+10)&lt;YEAR(E159),0,IF((YEAR(D159)+10)&gt;YEAR(E159),1,(12-MONTH(E159)+1)/12))))-((P159)*(IF((YEAR(D159)+10)&lt;YEAR(E159),0,IF((YEAR(D159)+10)&gt;YEAR(E159),1,(12-MONTH(E159)+1)/12))) + (R159)*(IF((YEAR(D159)+10)&lt;YEAR(E159),0,IF((YEAR(D159)+10)&gt;YEAR(E159),1,(12-MONTH(E159)+1)/12))))-(IF(OR(N159="",N159&lt;=0),0,(O159/N159)*(IF(OR(N159="",N159&lt;=0),0,IF((YEAR(D159)+10)&lt;YEAR(E159),0,IF((YEAR(D159)+10)&gt;=YEAR(E159)+N159,0,IF((YEAR(D159)+10)=YEAR(E159),(12-MONTH(E159)+1)/12,1))))))))*TaxRate,0))-IF(10=0,O159,0))</f>
        <v/>
      </c>
      <c r="AD159" s="29">
        <f>IF(A159="","",((K159)*(IF(M159="",L159,IFERROR(IF(INDEX(Variablen!$I:$AT, MATCH(M159, Variablen!$A:$A, 0), MATCH((YEAR(D159)+11), Variablen!$I$3:$AT$3, 0))="",L159,INDEX(Variablen!$I:$AT, MATCH(M159, Variablen!$A:$A, 0), MATCH((YEAR(D159)+11), Variablen!$I$3:$AT$3, 0))),L159)))*(IF((YEAR(D159)+11)&lt;YEAR(E159),0,IF((YEAR(D159)+11)&gt;YEAR(E159),1,(12-MONTH(E159)+1)/12))) + (Q159)*(IF((YEAR(D159)+11)&lt;YEAR(E159),0,IF((YEAR(D159)+11)&gt;YEAR(E159),1,(12-MONTH(E159)+1)/12))))-((P159)*(IF((YEAR(D159)+11)&lt;YEAR(E159),0,IF((YEAR(D159)+11)&gt;YEAR(E159),1,(12-MONTH(E159)+1)/12))) + (R159)*(IF((YEAR(D159)+11)&lt;YEAR(E159),0,IF((YEAR(D159)+11)&gt;YEAR(E159),1,(12-MONTH(E159)+1)/12))))-(IF((((K159)*(IF(M159="",L159,IFERROR(IF(INDEX(Variablen!$I:$AT, MATCH(M159, Variablen!$A:$A, 0), MATCH((YEAR(D159)+11), Variablen!$I$3:$AT$3, 0))="",L159,INDEX(Variablen!$I:$AT, MATCH(M159, Variablen!$A:$A, 0), MATCH((YEAR(D159)+11), Variablen!$I$3:$AT$3, 0))),L159)))*(IF((YEAR(D159)+11)&lt;YEAR(E159),0,IF((YEAR(D159)+11)&gt;YEAR(E159),1,(12-MONTH(E159)+1)/12))) + (Q159)*(IF((YEAR(D159)+11)&lt;YEAR(E159),0,IF((YEAR(D159)+11)&gt;YEAR(E159),1,(12-MONTH(E159)+1)/12))))-((P159)*(IF((YEAR(D159)+11)&lt;YEAR(E159),0,IF((YEAR(D159)+11)&gt;YEAR(E159),1,(12-MONTH(E159)+1)/12))) + (R159)*(IF((YEAR(D159)+11)&lt;YEAR(E159),0,IF((YEAR(D159)+11)&gt;YEAR(E159),1,(12-MONTH(E159)+1)/12))))-(IF(OR(N159="",N159&lt;=0),0,(O159/N159)*(IF(OR(N159="",N159&lt;=0),0,IF((YEAR(D159)+11)&lt;YEAR(E159),0,IF((YEAR(D159)+11)&gt;=YEAR(E159)+N159,0,IF((YEAR(D159)+11)=YEAR(E159),(12-MONTH(E159)+1)/12,1))))))))&gt;0,(((K159)*(IF(M159="",L159,IFERROR(IF(INDEX(Variablen!$I:$AT, MATCH(M159, Variablen!$A:$A, 0), MATCH((YEAR(D159)+11), Variablen!$I$3:$AT$3, 0))="",L159,INDEX(Variablen!$I:$AT, MATCH(M159, Variablen!$A:$A, 0), MATCH((YEAR(D159)+11), Variablen!$I$3:$AT$3, 0))),L159)))*(IF((YEAR(D159)+11)&lt;YEAR(E159),0,IF((YEAR(D159)+11)&gt;YEAR(E159),1,(12-MONTH(E159)+1)/12))) + (Q159)*(IF((YEAR(D159)+11)&lt;YEAR(E159),0,IF((YEAR(D159)+11)&gt;YEAR(E159),1,(12-MONTH(E159)+1)/12))))-((P159)*(IF((YEAR(D159)+11)&lt;YEAR(E159),0,IF((YEAR(D159)+11)&gt;YEAR(E159),1,(12-MONTH(E159)+1)/12))) + (R159)*(IF((YEAR(D159)+11)&lt;YEAR(E159),0,IF((YEAR(D159)+11)&gt;YEAR(E159),1,(12-MONTH(E159)+1)/12))))-(IF(OR(N159="",N159&lt;=0),0,(O159/N159)*(IF(OR(N159="",N159&lt;=0),0,IF((YEAR(D159)+11)&lt;YEAR(E159),0,IF((YEAR(D159)+11)&gt;=YEAR(E159)+N159,0,IF((YEAR(D159)+11)=YEAR(E159),(12-MONTH(E159)+1)/12,1))))))))*TaxRate,0))-IF(11=0,O159,0))</f>
        <v/>
      </c>
      <c r="AE159" s="29">
        <f>IF(A159="","",((K159)*(IF(M159="",L159,IFERROR(IF(INDEX(Variablen!$I:$AT, MATCH(M159, Variablen!$A:$A, 0), MATCH((YEAR(D159)+12), Variablen!$I$3:$AT$3, 0))="",L159,INDEX(Variablen!$I:$AT, MATCH(M159, Variablen!$A:$A, 0), MATCH((YEAR(D159)+12), Variablen!$I$3:$AT$3, 0))),L159)))*(IF((YEAR(D159)+12)&lt;YEAR(E159),0,IF((YEAR(D159)+12)&gt;YEAR(E159),1,(12-MONTH(E159)+1)/12))) + (Q159)*(IF((YEAR(D159)+12)&lt;YEAR(E159),0,IF((YEAR(D159)+12)&gt;YEAR(E159),1,(12-MONTH(E159)+1)/12))))-((P159)*(IF((YEAR(D159)+12)&lt;YEAR(E159),0,IF((YEAR(D159)+12)&gt;YEAR(E159),1,(12-MONTH(E159)+1)/12))) + (R159)*(IF((YEAR(D159)+12)&lt;YEAR(E159),0,IF((YEAR(D159)+12)&gt;YEAR(E159),1,(12-MONTH(E159)+1)/12))))-(IF((((K159)*(IF(M159="",L159,IFERROR(IF(INDEX(Variablen!$I:$AT, MATCH(M159, Variablen!$A:$A, 0), MATCH((YEAR(D159)+12), Variablen!$I$3:$AT$3, 0))="",L159,INDEX(Variablen!$I:$AT, MATCH(M159, Variablen!$A:$A, 0), MATCH((YEAR(D159)+12), Variablen!$I$3:$AT$3, 0))),L159)))*(IF((YEAR(D159)+12)&lt;YEAR(E159),0,IF((YEAR(D159)+12)&gt;YEAR(E159),1,(12-MONTH(E159)+1)/12))) + (Q159)*(IF((YEAR(D159)+12)&lt;YEAR(E159),0,IF((YEAR(D159)+12)&gt;YEAR(E159),1,(12-MONTH(E159)+1)/12))))-((P159)*(IF((YEAR(D159)+12)&lt;YEAR(E159),0,IF((YEAR(D159)+12)&gt;YEAR(E159),1,(12-MONTH(E159)+1)/12))) + (R159)*(IF((YEAR(D159)+12)&lt;YEAR(E159),0,IF((YEAR(D159)+12)&gt;YEAR(E159),1,(12-MONTH(E159)+1)/12))))-(IF(OR(N159="",N159&lt;=0),0,(O159/N159)*(IF(OR(N159="",N159&lt;=0),0,IF((YEAR(D159)+12)&lt;YEAR(E159),0,IF((YEAR(D159)+12)&gt;=YEAR(E159)+N159,0,IF((YEAR(D159)+12)=YEAR(E159),(12-MONTH(E159)+1)/12,1))))))))&gt;0,(((K159)*(IF(M159="",L159,IFERROR(IF(INDEX(Variablen!$I:$AT, MATCH(M159, Variablen!$A:$A, 0), MATCH((YEAR(D159)+12), Variablen!$I$3:$AT$3, 0))="",L159,INDEX(Variablen!$I:$AT, MATCH(M159, Variablen!$A:$A, 0), MATCH((YEAR(D159)+12), Variablen!$I$3:$AT$3, 0))),L159)))*(IF((YEAR(D159)+12)&lt;YEAR(E159),0,IF((YEAR(D159)+12)&gt;YEAR(E159),1,(12-MONTH(E159)+1)/12))) + (Q159)*(IF((YEAR(D159)+12)&lt;YEAR(E159),0,IF((YEAR(D159)+12)&gt;YEAR(E159),1,(12-MONTH(E159)+1)/12))))-((P159)*(IF((YEAR(D159)+12)&lt;YEAR(E159),0,IF((YEAR(D159)+12)&gt;YEAR(E159),1,(12-MONTH(E159)+1)/12))) + (R159)*(IF((YEAR(D159)+12)&lt;YEAR(E159),0,IF((YEAR(D159)+12)&gt;YEAR(E159),1,(12-MONTH(E159)+1)/12))))-(IF(OR(N159="",N159&lt;=0),0,(O159/N159)*(IF(OR(N159="",N159&lt;=0),0,IF((YEAR(D159)+12)&lt;YEAR(E159),0,IF((YEAR(D159)+12)&gt;=YEAR(E159)+N159,0,IF((YEAR(D159)+12)=YEAR(E159),(12-MONTH(E159)+1)/12,1))))))))*TaxRate,0))-IF(12=0,O159,0))</f>
        <v/>
      </c>
      <c r="AF159" s="29">
        <f>IF(A159="","",((K159)*(IF(M159="",L159,IFERROR(IF(INDEX(Variablen!$I:$AT, MATCH(M159, Variablen!$A:$A, 0), MATCH((YEAR(D159)+13), Variablen!$I$3:$AT$3, 0))="",L159,INDEX(Variablen!$I:$AT, MATCH(M159, Variablen!$A:$A, 0), MATCH((YEAR(D159)+13), Variablen!$I$3:$AT$3, 0))),L159)))*(IF((YEAR(D159)+13)&lt;YEAR(E159),0,IF((YEAR(D159)+13)&gt;YEAR(E159),1,(12-MONTH(E159)+1)/12))) + (Q159)*(IF((YEAR(D159)+13)&lt;YEAR(E159),0,IF((YEAR(D159)+13)&gt;YEAR(E159),1,(12-MONTH(E159)+1)/12))))-((P159)*(IF((YEAR(D159)+13)&lt;YEAR(E159),0,IF((YEAR(D159)+13)&gt;YEAR(E159),1,(12-MONTH(E159)+1)/12))) + (R159)*(IF((YEAR(D159)+13)&lt;YEAR(E159),0,IF((YEAR(D159)+13)&gt;YEAR(E159),1,(12-MONTH(E159)+1)/12))))-(IF((((K159)*(IF(M159="",L159,IFERROR(IF(INDEX(Variablen!$I:$AT, MATCH(M159, Variablen!$A:$A, 0), MATCH((YEAR(D159)+13), Variablen!$I$3:$AT$3, 0))="",L159,INDEX(Variablen!$I:$AT, MATCH(M159, Variablen!$A:$A, 0), MATCH((YEAR(D159)+13), Variablen!$I$3:$AT$3, 0))),L159)))*(IF((YEAR(D159)+13)&lt;YEAR(E159),0,IF((YEAR(D159)+13)&gt;YEAR(E159),1,(12-MONTH(E159)+1)/12))) + (Q159)*(IF((YEAR(D159)+13)&lt;YEAR(E159),0,IF((YEAR(D159)+13)&gt;YEAR(E159),1,(12-MONTH(E159)+1)/12))))-((P159)*(IF((YEAR(D159)+13)&lt;YEAR(E159),0,IF((YEAR(D159)+13)&gt;YEAR(E159),1,(12-MONTH(E159)+1)/12))) + (R159)*(IF((YEAR(D159)+13)&lt;YEAR(E159),0,IF((YEAR(D159)+13)&gt;YEAR(E159),1,(12-MONTH(E159)+1)/12))))-(IF(OR(N159="",N159&lt;=0),0,(O159/N159)*(IF(OR(N159="",N159&lt;=0),0,IF((YEAR(D159)+13)&lt;YEAR(E159),0,IF((YEAR(D159)+13)&gt;=YEAR(E159)+N159,0,IF((YEAR(D159)+13)=YEAR(E159),(12-MONTH(E159)+1)/12,1))))))))&gt;0,(((K159)*(IF(M159="",L159,IFERROR(IF(INDEX(Variablen!$I:$AT, MATCH(M159, Variablen!$A:$A, 0), MATCH((YEAR(D159)+13), Variablen!$I$3:$AT$3, 0))="",L159,INDEX(Variablen!$I:$AT, MATCH(M159, Variablen!$A:$A, 0), MATCH((YEAR(D159)+13), Variablen!$I$3:$AT$3, 0))),L159)))*(IF((YEAR(D159)+13)&lt;YEAR(E159),0,IF((YEAR(D159)+13)&gt;YEAR(E159),1,(12-MONTH(E159)+1)/12))) + (Q159)*(IF((YEAR(D159)+13)&lt;YEAR(E159),0,IF((YEAR(D159)+13)&gt;YEAR(E159),1,(12-MONTH(E159)+1)/12))))-((P159)*(IF((YEAR(D159)+13)&lt;YEAR(E159),0,IF((YEAR(D159)+13)&gt;YEAR(E159),1,(12-MONTH(E159)+1)/12))) + (R159)*(IF((YEAR(D159)+13)&lt;YEAR(E159),0,IF((YEAR(D159)+13)&gt;YEAR(E159),1,(12-MONTH(E159)+1)/12))))-(IF(OR(N159="",N159&lt;=0),0,(O159/N159)*(IF(OR(N159="",N159&lt;=0),0,IF((YEAR(D159)+13)&lt;YEAR(E159),0,IF((YEAR(D159)+13)&gt;=YEAR(E159)+N159,0,IF((YEAR(D159)+13)=YEAR(E159),(12-MONTH(E159)+1)/12,1))))))))*TaxRate,0))-IF(13=0,O159,0))</f>
        <v/>
      </c>
      <c r="AG159" s="29">
        <f>IF(A159="","",((K159)*(IF(M159="",L159,IFERROR(IF(INDEX(Variablen!$I:$AT, MATCH(M159, Variablen!$A:$A, 0), MATCH((YEAR(D159)+14), Variablen!$I$3:$AT$3, 0))="",L159,INDEX(Variablen!$I:$AT, MATCH(M159, Variablen!$A:$A, 0), MATCH((YEAR(D159)+14), Variablen!$I$3:$AT$3, 0))),L159)))*(IF((YEAR(D159)+14)&lt;YEAR(E159),0,IF((YEAR(D159)+14)&gt;YEAR(E159),1,(12-MONTH(E159)+1)/12))) + (Q159)*(IF((YEAR(D159)+14)&lt;YEAR(E159),0,IF((YEAR(D159)+14)&gt;YEAR(E159),1,(12-MONTH(E159)+1)/12))))-((P159)*(IF((YEAR(D159)+14)&lt;YEAR(E159),0,IF((YEAR(D159)+14)&gt;YEAR(E159),1,(12-MONTH(E159)+1)/12))) + (R159)*(IF((YEAR(D159)+14)&lt;YEAR(E159),0,IF((YEAR(D159)+14)&gt;YEAR(E159),1,(12-MONTH(E159)+1)/12))))-(IF((((K159)*(IF(M159="",L159,IFERROR(IF(INDEX(Variablen!$I:$AT, MATCH(M159, Variablen!$A:$A, 0), MATCH((YEAR(D159)+14), Variablen!$I$3:$AT$3, 0))="",L159,INDEX(Variablen!$I:$AT, MATCH(M159, Variablen!$A:$A, 0), MATCH((YEAR(D159)+14), Variablen!$I$3:$AT$3, 0))),L159)))*(IF((YEAR(D159)+14)&lt;YEAR(E159),0,IF((YEAR(D159)+14)&gt;YEAR(E159),1,(12-MONTH(E159)+1)/12))) + (Q159)*(IF((YEAR(D159)+14)&lt;YEAR(E159),0,IF((YEAR(D159)+14)&gt;YEAR(E159),1,(12-MONTH(E159)+1)/12))))-((P159)*(IF((YEAR(D159)+14)&lt;YEAR(E159),0,IF((YEAR(D159)+14)&gt;YEAR(E159),1,(12-MONTH(E159)+1)/12))) + (R159)*(IF((YEAR(D159)+14)&lt;YEAR(E159),0,IF((YEAR(D159)+14)&gt;YEAR(E159),1,(12-MONTH(E159)+1)/12))))-(IF(OR(N159="",N159&lt;=0),0,(O159/N159)*(IF(OR(N159="",N159&lt;=0),0,IF((YEAR(D159)+14)&lt;YEAR(E159),0,IF((YEAR(D159)+14)&gt;=YEAR(E159)+N159,0,IF((YEAR(D159)+14)=YEAR(E159),(12-MONTH(E159)+1)/12,1))))))))&gt;0,(((K159)*(IF(M159="",L159,IFERROR(IF(INDEX(Variablen!$I:$AT, MATCH(M159, Variablen!$A:$A, 0), MATCH((YEAR(D159)+14), Variablen!$I$3:$AT$3, 0))="",L159,INDEX(Variablen!$I:$AT, MATCH(M159, Variablen!$A:$A, 0), MATCH((YEAR(D159)+14), Variablen!$I$3:$AT$3, 0))),L159)))*(IF((YEAR(D159)+14)&lt;YEAR(E159),0,IF((YEAR(D159)+14)&gt;YEAR(E159),1,(12-MONTH(E159)+1)/12))) + (Q159)*(IF((YEAR(D159)+14)&lt;YEAR(E159),0,IF((YEAR(D159)+14)&gt;YEAR(E159),1,(12-MONTH(E159)+1)/12))))-((P159)*(IF((YEAR(D159)+14)&lt;YEAR(E159),0,IF((YEAR(D159)+14)&gt;YEAR(E159),1,(12-MONTH(E159)+1)/12))) + (R159)*(IF((YEAR(D159)+14)&lt;YEAR(E159),0,IF((YEAR(D159)+14)&gt;YEAR(E159),1,(12-MONTH(E159)+1)/12))))-(IF(OR(N159="",N159&lt;=0),0,(O159/N159)*(IF(OR(N159="",N159&lt;=0),0,IF((YEAR(D159)+14)&lt;YEAR(E159),0,IF((YEAR(D159)+14)&gt;=YEAR(E159)+N159,0,IF((YEAR(D159)+14)=YEAR(E159),(12-MONTH(E159)+1)/12,1))))))))*TaxRate,0))-IF(14=0,O159,0))</f>
        <v/>
      </c>
      <c r="AH159" s="29">
        <f>IF(A159="","",((K159)*(IF(M159="",L159,IFERROR(IF(INDEX(Variablen!$I:$AT, MATCH(M159, Variablen!$A:$A, 0), MATCH((YEAR(D159)+15), Variablen!$I$3:$AT$3, 0))="",L159,INDEX(Variablen!$I:$AT, MATCH(M159, Variablen!$A:$A, 0), MATCH((YEAR(D159)+15), Variablen!$I$3:$AT$3, 0))),L159)))*(IF((YEAR(D159)+15)&lt;YEAR(E159),0,IF((YEAR(D159)+15)&gt;YEAR(E159),1,(12-MONTH(E159)+1)/12))) + (Q159)*(IF((YEAR(D159)+15)&lt;YEAR(E159),0,IF((YEAR(D159)+15)&gt;YEAR(E159),1,(12-MONTH(E159)+1)/12))))-((P159)*(IF((YEAR(D159)+15)&lt;YEAR(E159),0,IF((YEAR(D159)+15)&gt;YEAR(E159),1,(12-MONTH(E159)+1)/12))) + (R159)*(IF((YEAR(D159)+15)&lt;YEAR(E159),0,IF((YEAR(D159)+15)&gt;YEAR(E159),1,(12-MONTH(E159)+1)/12))))-(IF((((K159)*(IF(M159="",L159,IFERROR(IF(INDEX(Variablen!$I:$AT, MATCH(M159, Variablen!$A:$A, 0), MATCH((YEAR(D159)+15), Variablen!$I$3:$AT$3, 0))="",L159,INDEX(Variablen!$I:$AT, MATCH(M159, Variablen!$A:$A, 0), MATCH((YEAR(D159)+15), Variablen!$I$3:$AT$3, 0))),L159)))*(IF((YEAR(D159)+15)&lt;YEAR(E159),0,IF((YEAR(D159)+15)&gt;YEAR(E159),1,(12-MONTH(E159)+1)/12))) + (Q159)*(IF((YEAR(D159)+15)&lt;YEAR(E159),0,IF((YEAR(D159)+15)&gt;YEAR(E159),1,(12-MONTH(E159)+1)/12))))-((P159)*(IF((YEAR(D159)+15)&lt;YEAR(E159),0,IF((YEAR(D159)+15)&gt;YEAR(E159),1,(12-MONTH(E159)+1)/12))) + (R159)*(IF((YEAR(D159)+15)&lt;YEAR(E159),0,IF((YEAR(D159)+15)&gt;YEAR(E159),1,(12-MONTH(E159)+1)/12))))-(IF(OR(N159="",N159&lt;=0),0,(O159/N159)*(IF(OR(N159="",N159&lt;=0),0,IF((YEAR(D159)+15)&lt;YEAR(E159),0,IF((YEAR(D159)+15)&gt;=YEAR(E159)+N159,0,IF((YEAR(D159)+15)=YEAR(E159),(12-MONTH(E159)+1)/12,1))))))))&gt;0,(((K159)*(IF(M159="",L159,IFERROR(IF(INDEX(Variablen!$I:$AT, MATCH(M159, Variablen!$A:$A, 0), MATCH((YEAR(D159)+15), Variablen!$I$3:$AT$3, 0))="",L159,INDEX(Variablen!$I:$AT, MATCH(M159, Variablen!$A:$A, 0), MATCH((YEAR(D159)+15), Variablen!$I$3:$AT$3, 0))),L159)))*(IF((YEAR(D159)+15)&lt;YEAR(E159),0,IF((YEAR(D159)+15)&gt;YEAR(E159),1,(12-MONTH(E159)+1)/12))) + (Q159)*(IF((YEAR(D159)+15)&lt;YEAR(E159),0,IF((YEAR(D159)+15)&gt;YEAR(E159),1,(12-MONTH(E159)+1)/12))))-((P159)*(IF((YEAR(D159)+15)&lt;YEAR(E159),0,IF((YEAR(D159)+15)&gt;YEAR(E159),1,(12-MONTH(E159)+1)/12))) + (R159)*(IF((YEAR(D159)+15)&lt;YEAR(E159),0,IF((YEAR(D159)+15)&gt;YEAR(E159),1,(12-MONTH(E159)+1)/12))))-(IF(OR(N159="",N159&lt;=0),0,(O159/N159)*(IF(OR(N159="",N159&lt;=0),0,IF((YEAR(D159)+15)&lt;YEAR(E159),0,IF((YEAR(D159)+15)&gt;=YEAR(E159)+N159,0,IF((YEAR(D159)+15)=YEAR(E159),(12-MONTH(E159)+1)/12,1))))))))*TaxRate,0))-IF(15=0,O159,0))</f>
        <v/>
      </c>
      <c r="AI159" s="29">
        <f>IF(A159="","",((K159)*(IF(M159="",L159,IFERROR(IF(INDEX(Variablen!$I:$AT, MATCH(M159, Variablen!$A:$A, 0), MATCH((YEAR(D159)+16), Variablen!$I$3:$AT$3, 0))="",L159,INDEX(Variablen!$I:$AT, MATCH(M159, Variablen!$A:$A, 0), MATCH((YEAR(D159)+16), Variablen!$I$3:$AT$3, 0))),L159)))*(IF((YEAR(D159)+16)&lt;YEAR(E159),0,IF((YEAR(D159)+16)&gt;YEAR(E159),1,(12-MONTH(E159)+1)/12))) + (Q159)*(IF((YEAR(D159)+16)&lt;YEAR(E159),0,IF((YEAR(D159)+16)&gt;YEAR(E159),1,(12-MONTH(E159)+1)/12))))-((P159)*(IF((YEAR(D159)+16)&lt;YEAR(E159),0,IF((YEAR(D159)+16)&gt;YEAR(E159),1,(12-MONTH(E159)+1)/12))) + (R159)*(IF((YEAR(D159)+16)&lt;YEAR(E159),0,IF((YEAR(D159)+16)&gt;YEAR(E159),1,(12-MONTH(E159)+1)/12))))-(IF((((K159)*(IF(M159="",L159,IFERROR(IF(INDEX(Variablen!$I:$AT, MATCH(M159, Variablen!$A:$A, 0), MATCH((YEAR(D159)+16), Variablen!$I$3:$AT$3, 0))="",L159,INDEX(Variablen!$I:$AT, MATCH(M159, Variablen!$A:$A, 0), MATCH((YEAR(D159)+16), Variablen!$I$3:$AT$3, 0))),L159)))*(IF((YEAR(D159)+16)&lt;YEAR(E159),0,IF((YEAR(D159)+16)&gt;YEAR(E159),1,(12-MONTH(E159)+1)/12))) + (Q159)*(IF((YEAR(D159)+16)&lt;YEAR(E159),0,IF((YEAR(D159)+16)&gt;YEAR(E159),1,(12-MONTH(E159)+1)/12))))-((P159)*(IF((YEAR(D159)+16)&lt;YEAR(E159),0,IF((YEAR(D159)+16)&gt;YEAR(E159),1,(12-MONTH(E159)+1)/12))) + (R159)*(IF((YEAR(D159)+16)&lt;YEAR(E159),0,IF((YEAR(D159)+16)&gt;YEAR(E159),1,(12-MONTH(E159)+1)/12))))-(IF(OR(N159="",N159&lt;=0),0,(O159/N159)*(IF(OR(N159="",N159&lt;=0),0,IF((YEAR(D159)+16)&lt;YEAR(E159),0,IF((YEAR(D159)+16)&gt;=YEAR(E159)+N159,0,IF((YEAR(D159)+16)=YEAR(E159),(12-MONTH(E159)+1)/12,1))))))))&gt;0,(((K159)*(IF(M159="",L159,IFERROR(IF(INDEX(Variablen!$I:$AT, MATCH(M159, Variablen!$A:$A, 0), MATCH((YEAR(D159)+16), Variablen!$I$3:$AT$3, 0))="",L159,INDEX(Variablen!$I:$AT, MATCH(M159, Variablen!$A:$A, 0), MATCH((YEAR(D159)+16), Variablen!$I$3:$AT$3, 0))),L159)))*(IF((YEAR(D159)+16)&lt;YEAR(E159),0,IF((YEAR(D159)+16)&gt;YEAR(E159),1,(12-MONTH(E159)+1)/12))) + (Q159)*(IF((YEAR(D159)+16)&lt;YEAR(E159),0,IF((YEAR(D159)+16)&gt;YEAR(E159),1,(12-MONTH(E159)+1)/12))))-((P159)*(IF((YEAR(D159)+16)&lt;YEAR(E159),0,IF((YEAR(D159)+16)&gt;YEAR(E159),1,(12-MONTH(E159)+1)/12))) + (R159)*(IF((YEAR(D159)+16)&lt;YEAR(E159),0,IF((YEAR(D159)+16)&gt;YEAR(E159),1,(12-MONTH(E159)+1)/12))))-(IF(OR(N159="",N159&lt;=0),0,(O159/N159)*(IF(OR(N159="",N159&lt;=0),0,IF((YEAR(D159)+16)&lt;YEAR(E159),0,IF((YEAR(D159)+16)&gt;=YEAR(E159)+N159,0,IF((YEAR(D159)+16)=YEAR(E159),(12-MONTH(E159)+1)/12,1))))))))*TaxRate,0))-IF(16=0,O159,0))</f>
        <v/>
      </c>
      <c r="AJ159" s="29">
        <f>IF(A159="","",((K159)*(IF(M159="",L159,IFERROR(IF(INDEX(Variablen!$I:$AT, MATCH(M159, Variablen!$A:$A, 0), MATCH((YEAR(D159)+17), Variablen!$I$3:$AT$3, 0))="",L159,INDEX(Variablen!$I:$AT, MATCH(M159, Variablen!$A:$A, 0), MATCH((YEAR(D159)+17), Variablen!$I$3:$AT$3, 0))),L159)))*(IF((YEAR(D159)+17)&lt;YEAR(E159),0,IF((YEAR(D159)+17)&gt;YEAR(E159),1,(12-MONTH(E159)+1)/12))) + (Q159)*(IF((YEAR(D159)+17)&lt;YEAR(E159),0,IF((YEAR(D159)+17)&gt;YEAR(E159),1,(12-MONTH(E159)+1)/12))))-((P159)*(IF((YEAR(D159)+17)&lt;YEAR(E159),0,IF((YEAR(D159)+17)&gt;YEAR(E159),1,(12-MONTH(E159)+1)/12))) + (R159)*(IF((YEAR(D159)+17)&lt;YEAR(E159),0,IF((YEAR(D159)+17)&gt;YEAR(E159),1,(12-MONTH(E159)+1)/12))))-(IF((((K159)*(IF(M159="",L159,IFERROR(IF(INDEX(Variablen!$I:$AT, MATCH(M159, Variablen!$A:$A, 0), MATCH((YEAR(D159)+17), Variablen!$I$3:$AT$3, 0))="",L159,INDEX(Variablen!$I:$AT, MATCH(M159, Variablen!$A:$A, 0), MATCH((YEAR(D159)+17), Variablen!$I$3:$AT$3, 0))),L159)))*(IF((YEAR(D159)+17)&lt;YEAR(E159),0,IF((YEAR(D159)+17)&gt;YEAR(E159),1,(12-MONTH(E159)+1)/12))) + (Q159)*(IF((YEAR(D159)+17)&lt;YEAR(E159),0,IF((YEAR(D159)+17)&gt;YEAR(E159),1,(12-MONTH(E159)+1)/12))))-((P159)*(IF((YEAR(D159)+17)&lt;YEAR(E159),0,IF((YEAR(D159)+17)&gt;YEAR(E159),1,(12-MONTH(E159)+1)/12))) + (R159)*(IF((YEAR(D159)+17)&lt;YEAR(E159),0,IF((YEAR(D159)+17)&gt;YEAR(E159),1,(12-MONTH(E159)+1)/12))))-(IF(OR(N159="",N159&lt;=0),0,(O159/N159)*(IF(OR(N159="",N159&lt;=0),0,IF((YEAR(D159)+17)&lt;YEAR(E159),0,IF((YEAR(D159)+17)&gt;=YEAR(E159)+N159,0,IF((YEAR(D159)+17)=YEAR(E159),(12-MONTH(E159)+1)/12,1))))))))&gt;0,(((K159)*(IF(M159="",L159,IFERROR(IF(INDEX(Variablen!$I:$AT, MATCH(M159, Variablen!$A:$A, 0), MATCH((YEAR(D159)+17), Variablen!$I$3:$AT$3, 0))="",L159,INDEX(Variablen!$I:$AT, MATCH(M159, Variablen!$A:$A, 0), MATCH((YEAR(D159)+17), Variablen!$I$3:$AT$3, 0))),L159)))*(IF((YEAR(D159)+17)&lt;YEAR(E159),0,IF((YEAR(D159)+17)&gt;YEAR(E159),1,(12-MONTH(E159)+1)/12))) + (Q159)*(IF((YEAR(D159)+17)&lt;YEAR(E159),0,IF((YEAR(D159)+17)&gt;YEAR(E159),1,(12-MONTH(E159)+1)/12))))-((P159)*(IF((YEAR(D159)+17)&lt;YEAR(E159),0,IF((YEAR(D159)+17)&gt;YEAR(E159),1,(12-MONTH(E159)+1)/12))) + (R159)*(IF((YEAR(D159)+17)&lt;YEAR(E159),0,IF((YEAR(D159)+17)&gt;YEAR(E159),1,(12-MONTH(E159)+1)/12))))-(IF(OR(N159="",N159&lt;=0),0,(O159/N159)*(IF(OR(N159="",N159&lt;=0),0,IF((YEAR(D159)+17)&lt;YEAR(E159),0,IF((YEAR(D159)+17)&gt;=YEAR(E159)+N159,0,IF((YEAR(D159)+17)=YEAR(E159),(12-MONTH(E159)+1)/12,1))))))))*TaxRate,0))-IF(17=0,O159,0))</f>
        <v/>
      </c>
      <c r="AK159" s="29">
        <f>IF(A159="","",((K159)*(IF(M159="",L159,IFERROR(IF(INDEX(Variablen!$I:$AT, MATCH(M159, Variablen!$A:$A, 0), MATCH((YEAR(D159)+18), Variablen!$I$3:$AT$3, 0))="",L159,INDEX(Variablen!$I:$AT, MATCH(M159, Variablen!$A:$A, 0), MATCH((YEAR(D159)+18), Variablen!$I$3:$AT$3, 0))),L159)))*(IF((YEAR(D159)+18)&lt;YEAR(E159),0,IF((YEAR(D159)+18)&gt;YEAR(E159),1,(12-MONTH(E159)+1)/12))) + (Q159)*(IF((YEAR(D159)+18)&lt;YEAR(E159),0,IF((YEAR(D159)+18)&gt;YEAR(E159),1,(12-MONTH(E159)+1)/12))))-((P159)*(IF((YEAR(D159)+18)&lt;YEAR(E159),0,IF((YEAR(D159)+18)&gt;YEAR(E159),1,(12-MONTH(E159)+1)/12))) + (R159)*(IF((YEAR(D159)+18)&lt;YEAR(E159),0,IF((YEAR(D159)+18)&gt;YEAR(E159),1,(12-MONTH(E159)+1)/12))))-(IF((((K159)*(IF(M159="",L159,IFERROR(IF(INDEX(Variablen!$I:$AT, MATCH(M159, Variablen!$A:$A, 0), MATCH((YEAR(D159)+18), Variablen!$I$3:$AT$3, 0))="",L159,INDEX(Variablen!$I:$AT, MATCH(M159, Variablen!$A:$A, 0), MATCH((YEAR(D159)+18), Variablen!$I$3:$AT$3, 0))),L159)))*(IF((YEAR(D159)+18)&lt;YEAR(E159),0,IF((YEAR(D159)+18)&gt;YEAR(E159),1,(12-MONTH(E159)+1)/12))) + (Q159)*(IF((YEAR(D159)+18)&lt;YEAR(E159),0,IF((YEAR(D159)+18)&gt;YEAR(E159),1,(12-MONTH(E159)+1)/12))))-((P159)*(IF((YEAR(D159)+18)&lt;YEAR(E159),0,IF((YEAR(D159)+18)&gt;YEAR(E159),1,(12-MONTH(E159)+1)/12))) + (R159)*(IF((YEAR(D159)+18)&lt;YEAR(E159),0,IF((YEAR(D159)+18)&gt;YEAR(E159),1,(12-MONTH(E159)+1)/12))))-(IF(OR(N159="",N159&lt;=0),0,(O159/N159)*(IF(OR(N159="",N159&lt;=0),0,IF((YEAR(D159)+18)&lt;YEAR(E159),0,IF((YEAR(D159)+18)&gt;=YEAR(E159)+N159,0,IF((YEAR(D159)+18)=YEAR(E159),(12-MONTH(E159)+1)/12,1))))))))&gt;0,(((K159)*(IF(M159="",L159,IFERROR(IF(INDEX(Variablen!$I:$AT, MATCH(M159, Variablen!$A:$A, 0), MATCH((YEAR(D159)+18), Variablen!$I$3:$AT$3, 0))="",L159,INDEX(Variablen!$I:$AT, MATCH(M159, Variablen!$A:$A, 0), MATCH((YEAR(D159)+18), Variablen!$I$3:$AT$3, 0))),L159)))*(IF((YEAR(D159)+18)&lt;YEAR(E159),0,IF((YEAR(D159)+18)&gt;YEAR(E159),1,(12-MONTH(E159)+1)/12))) + (Q159)*(IF((YEAR(D159)+18)&lt;YEAR(E159),0,IF((YEAR(D159)+18)&gt;YEAR(E159),1,(12-MONTH(E159)+1)/12))))-((P159)*(IF((YEAR(D159)+18)&lt;YEAR(E159),0,IF((YEAR(D159)+18)&gt;YEAR(E159),1,(12-MONTH(E159)+1)/12))) + (R159)*(IF((YEAR(D159)+18)&lt;YEAR(E159),0,IF((YEAR(D159)+18)&gt;YEAR(E159),1,(12-MONTH(E159)+1)/12))))-(IF(OR(N159="",N159&lt;=0),0,(O159/N159)*(IF(OR(N159="",N159&lt;=0),0,IF((YEAR(D159)+18)&lt;YEAR(E159),0,IF((YEAR(D159)+18)&gt;=YEAR(E159)+N159,0,IF((YEAR(D159)+18)=YEAR(E159),(12-MONTH(E159)+1)/12,1))))))))*TaxRate,0))-IF(18=0,O159,0))</f>
        <v/>
      </c>
      <c r="AL159" s="29">
        <f>IF(A159="","",((K159)*(IF(M159="",L159,IFERROR(IF(INDEX(Variablen!$I:$AT, MATCH(M159, Variablen!$A:$A, 0), MATCH((YEAR(D159)+19), Variablen!$I$3:$AT$3, 0))="",L159,INDEX(Variablen!$I:$AT, MATCH(M159, Variablen!$A:$A, 0), MATCH((YEAR(D159)+19), Variablen!$I$3:$AT$3, 0))),L159)))*(IF((YEAR(D159)+19)&lt;YEAR(E159),0,IF((YEAR(D159)+19)&gt;YEAR(E159),1,(12-MONTH(E159)+1)/12))) + (Q159)*(IF((YEAR(D159)+19)&lt;YEAR(E159),0,IF((YEAR(D159)+19)&gt;YEAR(E159),1,(12-MONTH(E159)+1)/12))))-((P159)*(IF((YEAR(D159)+19)&lt;YEAR(E159),0,IF((YEAR(D159)+19)&gt;YEAR(E159),1,(12-MONTH(E159)+1)/12))) + (R159)*(IF((YEAR(D159)+19)&lt;YEAR(E159),0,IF((YEAR(D159)+19)&gt;YEAR(E159),1,(12-MONTH(E159)+1)/12))))-(IF((((K159)*(IF(M159="",L159,IFERROR(IF(INDEX(Variablen!$I:$AT, MATCH(M159, Variablen!$A:$A, 0), MATCH((YEAR(D159)+19), Variablen!$I$3:$AT$3, 0))="",L159,INDEX(Variablen!$I:$AT, MATCH(M159, Variablen!$A:$A, 0), MATCH((YEAR(D159)+19), Variablen!$I$3:$AT$3, 0))),L159)))*(IF((YEAR(D159)+19)&lt;YEAR(E159),0,IF((YEAR(D159)+19)&gt;YEAR(E159),1,(12-MONTH(E159)+1)/12))) + (Q159)*(IF((YEAR(D159)+19)&lt;YEAR(E159),0,IF((YEAR(D159)+19)&gt;YEAR(E159),1,(12-MONTH(E159)+1)/12))))-((P159)*(IF((YEAR(D159)+19)&lt;YEAR(E159),0,IF((YEAR(D159)+19)&gt;YEAR(E159),1,(12-MONTH(E159)+1)/12))) + (R159)*(IF((YEAR(D159)+19)&lt;YEAR(E159),0,IF((YEAR(D159)+19)&gt;YEAR(E159),1,(12-MONTH(E159)+1)/12))))-(IF(OR(N159="",N159&lt;=0),0,(O159/N159)*(IF(OR(N159="",N159&lt;=0),0,IF((YEAR(D159)+19)&lt;YEAR(E159),0,IF((YEAR(D159)+19)&gt;=YEAR(E159)+N159,0,IF((YEAR(D159)+19)=YEAR(E159),(12-MONTH(E159)+1)/12,1))))))))&gt;0,(((K159)*(IF(M159="",L159,IFERROR(IF(INDEX(Variablen!$I:$AT, MATCH(M159, Variablen!$A:$A, 0), MATCH((YEAR(D159)+19), Variablen!$I$3:$AT$3, 0))="",L159,INDEX(Variablen!$I:$AT, MATCH(M159, Variablen!$A:$A, 0), MATCH((YEAR(D159)+19), Variablen!$I$3:$AT$3, 0))),L159)))*(IF((YEAR(D159)+19)&lt;YEAR(E159),0,IF((YEAR(D159)+19)&gt;YEAR(E159),1,(12-MONTH(E159)+1)/12))) + (Q159)*(IF((YEAR(D159)+19)&lt;YEAR(E159),0,IF((YEAR(D159)+19)&gt;YEAR(E159),1,(12-MONTH(E159)+1)/12))))-((P159)*(IF((YEAR(D159)+19)&lt;YEAR(E159),0,IF((YEAR(D159)+19)&gt;YEAR(E159),1,(12-MONTH(E159)+1)/12))) + (R159)*(IF((YEAR(D159)+19)&lt;YEAR(E159),0,IF((YEAR(D159)+19)&gt;YEAR(E159),1,(12-MONTH(E159)+1)/12))))-(IF(OR(N159="",N159&lt;=0),0,(O159/N159)*(IF(OR(N159="",N159&lt;=0),0,IF((YEAR(D159)+19)&lt;YEAR(E159),0,IF((YEAR(D159)+19)&gt;=YEAR(E159)+N159,0,IF((YEAR(D159)+19)=YEAR(E159),(12-MONTH(E159)+1)/12,1))))))))*TaxRate,0))-IF(19=0,O159,0))</f>
        <v/>
      </c>
      <c r="AM159" s="29">
        <f>IF(A159="","",((K159)*(IF(M159="",L159,IFERROR(IF(INDEX(Variablen!$I:$AT, MATCH(M159, Variablen!$A:$A, 0), MATCH((YEAR(D159)+20), Variablen!$I$3:$AT$3, 0))="",L159,INDEX(Variablen!$I:$AT, MATCH(M159, Variablen!$A:$A, 0), MATCH((YEAR(D159)+20), Variablen!$I$3:$AT$3, 0))),L159)))*(IF((YEAR(D159)+20)&lt;YEAR(E159),0,IF((YEAR(D159)+20)&gt;YEAR(E159),1,(12-MONTH(E159)+1)/12))) + (Q159)*(IF((YEAR(D159)+20)&lt;YEAR(E159),0,IF((YEAR(D159)+20)&gt;YEAR(E159),1,(12-MONTH(E159)+1)/12))))-((P159)*(IF((YEAR(D159)+20)&lt;YEAR(E159),0,IF((YEAR(D159)+20)&gt;YEAR(E159),1,(12-MONTH(E159)+1)/12))) + (R159)*(IF((YEAR(D159)+20)&lt;YEAR(E159),0,IF((YEAR(D159)+20)&gt;YEAR(E159),1,(12-MONTH(E159)+1)/12))))-(IF((((K159)*(IF(M159="",L159,IFERROR(IF(INDEX(Variablen!$I:$AT, MATCH(M159, Variablen!$A:$A, 0), MATCH((YEAR(D159)+20), Variablen!$I$3:$AT$3, 0))="",L159,INDEX(Variablen!$I:$AT, MATCH(M159, Variablen!$A:$A, 0), MATCH((YEAR(D159)+20), Variablen!$I$3:$AT$3, 0))),L159)))*(IF((YEAR(D159)+20)&lt;YEAR(E159),0,IF((YEAR(D159)+20)&gt;YEAR(E159),1,(12-MONTH(E159)+1)/12))) + (Q159)*(IF((YEAR(D159)+20)&lt;YEAR(E159),0,IF((YEAR(D159)+20)&gt;YEAR(E159),1,(12-MONTH(E159)+1)/12))))-((P159)*(IF((YEAR(D159)+20)&lt;YEAR(E159),0,IF((YEAR(D159)+20)&gt;YEAR(E159),1,(12-MONTH(E159)+1)/12))) + (R159)*(IF((YEAR(D159)+20)&lt;YEAR(E159),0,IF((YEAR(D159)+20)&gt;YEAR(E159),1,(12-MONTH(E159)+1)/12))))-(IF(OR(N159="",N159&lt;=0),0,(O159/N159)*(IF(OR(N159="",N159&lt;=0),0,IF((YEAR(D159)+20)&lt;YEAR(E159),0,IF((YEAR(D159)+20)&gt;=YEAR(E159)+N159,0,IF((YEAR(D159)+20)=YEAR(E159),(12-MONTH(E159)+1)/12,1))))))))&gt;0,(((K159)*(IF(M159="",L159,IFERROR(IF(INDEX(Variablen!$I:$AT, MATCH(M159, Variablen!$A:$A, 0), MATCH((YEAR(D159)+20), Variablen!$I$3:$AT$3, 0))="",L159,INDEX(Variablen!$I:$AT, MATCH(M159, Variablen!$A:$A, 0), MATCH((YEAR(D159)+20), Variablen!$I$3:$AT$3, 0))),L159)))*(IF((YEAR(D159)+20)&lt;YEAR(E159),0,IF((YEAR(D159)+20)&gt;YEAR(E159),1,(12-MONTH(E159)+1)/12))) + (Q159)*(IF((YEAR(D159)+20)&lt;YEAR(E159),0,IF((YEAR(D159)+20)&gt;YEAR(E159),1,(12-MONTH(E159)+1)/12))))-((P159)*(IF((YEAR(D159)+20)&lt;YEAR(E159),0,IF((YEAR(D159)+20)&gt;YEAR(E159),1,(12-MONTH(E159)+1)/12))) + (R159)*(IF((YEAR(D159)+20)&lt;YEAR(E159),0,IF((YEAR(D159)+20)&gt;YEAR(E159),1,(12-MONTH(E159)+1)/12))))-(IF(OR(N159="",N159&lt;=0),0,(O159/N159)*(IF(OR(N159="",N159&lt;=0),0,IF((YEAR(D159)+20)&lt;YEAR(E159),0,IF((YEAR(D159)+20)&gt;=YEAR(E159)+N159,0,IF((YEAR(D159)+20)=YEAR(E159),(12-MONTH(E159)+1)/12,1))))))))*TaxRate,0))-IF(20=0,O159,0))</f>
        <v/>
      </c>
      <c r="AN159" s="29">
        <f>IF(A159="","",S159)</f>
        <v/>
      </c>
      <c r="AO159" s="29">
        <f>IF(A159="","",AN159+T159)</f>
        <v/>
      </c>
      <c r="AP159" s="29">
        <f>IF(A159="","",AO159+U159)</f>
        <v/>
      </c>
      <c r="AQ159" s="29">
        <f>IF(A159="","",AP159+V159)</f>
        <v/>
      </c>
      <c r="AR159" s="29">
        <f>IF(A159="","",AQ159+W159)</f>
        <v/>
      </c>
      <c r="AS159" s="29">
        <f>IF(A159="","",AR159+X159)</f>
        <v/>
      </c>
      <c r="AT159" s="29">
        <f>IF(A159="","",AS159+Y159)</f>
        <v/>
      </c>
      <c r="AU159" s="29">
        <f>IF(A159="","",AT159+Z159)</f>
        <v/>
      </c>
      <c r="AV159" s="29">
        <f>IF(A159="","",AU159+AA159)</f>
        <v/>
      </c>
      <c r="AW159" s="29">
        <f>IF(A159="","",AV159+AB159)</f>
        <v/>
      </c>
      <c r="AX159" s="29">
        <f>IF(A159="","",AW159+AC159)</f>
        <v/>
      </c>
      <c r="AY159" s="29">
        <f>IF(A159="","",AX159+AD159)</f>
        <v/>
      </c>
      <c r="AZ159" s="29">
        <f>IF(A159="","",AY159+AE159)</f>
        <v/>
      </c>
      <c r="BA159" s="29">
        <f>IF(A159="","",AZ159+AF159)</f>
        <v/>
      </c>
      <c r="BB159" s="29">
        <f>IF(A159="","",BA159+AG159)</f>
        <v/>
      </c>
      <c r="BC159" s="29">
        <f>IF(A159="","",BB159+AH159)</f>
        <v/>
      </c>
      <c r="BD159" s="29">
        <f>IF(A159="","",BC159+AI159)</f>
        <v/>
      </c>
      <c r="BE159" s="29">
        <f>IF(A159="","",BD159+AJ159)</f>
        <v/>
      </c>
      <c r="BF159" s="29">
        <f>IF(A159="","",BE159+AK159)</f>
        <v/>
      </c>
      <c r="BG159" s="29">
        <f>IF(A159="","",BF159+AL159)</f>
        <v/>
      </c>
      <c r="BH159" s="29">
        <f>IF(A159="","",BG159+AM159)</f>
        <v/>
      </c>
      <c r="BI159" s="36">
        <f>IF(A159="","",(K159)*(IF((YEAR(D159)+0)&lt;YEAR(E159),0,IF((YEAR(D159)+0)&gt;YEAR(E159),1,(12-MONTH(E159)+1)/12)))*(1/(1+DiscountRate)^0))</f>
        <v/>
      </c>
      <c r="BJ159" s="36">
        <f>IF(A159="","",(K159)*(IF((YEAR(D159)+1)&lt;YEAR(E159),0,IF((YEAR(D159)+1)&gt;YEAR(E159),1,(12-MONTH(E159)+1)/12)))*(1/(1+DiscountRate)^1))</f>
        <v/>
      </c>
      <c r="BK159" s="36">
        <f>IF(A159="","",(K159)*(IF((YEAR(D159)+2)&lt;YEAR(E159),0,IF((YEAR(D159)+2)&gt;YEAR(E159),1,(12-MONTH(E159)+1)/12)))*(1/(1+DiscountRate)^2))</f>
        <v/>
      </c>
      <c r="BL159" s="36">
        <f>IF(A159="","",(K159)*(IF((YEAR(D159)+3)&lt;YEAR(E159),0,IF((YEAR(D159)+3)&gt;YEAR(E159),1,(12-MONTH(E159)+1)/12)))*(1/(1+DiscountRate)^3))</f>
        <v/>
      </c>
      <c r="BM159" s="36">
        <f>IF(A159="","",(K159)*(IF((YEAR(D159)+4)&lt;YEAR(E159),0,IF((YEAR(D159)+4)&gt;YEAR(E159),1,(12-MONTH(E159)+1)/12)))*(1/(1+DiscountRate)^4))</f>
        <v/>
      </c>
      <c r="BN159" s="36">
        <f>IF(A159="","",(K159)*(IF((YEAR(D159)+5)&lt;YEAR(E159),0,IF((YEAR(D159)+5)&gt;YEAR(E159),1,(12-MONTH(E159)+1)/12)))*(1/(1+DiscountRate)^5))</f>
        <v/>
      </c>
      <c r="BO159" s="36">
        <f>IF(A159="","",(K159)*(IF((YEAR(D159)+6)&lt;YEAR(E159),0,IF((YEAR(D159)+6)&gt;YEAR(E159),1,(12-MONTH(E159)+1)/12)))*(1/(1+DiscountRate)^6))</f>
        <v/>
      </c>
      <c r="BP159" s="36">
        <f>IF(A159="","",(K159)*(IF((YEAR(D159)+7)&lt;YEAR(E159),0,IF((YEAR(D159)+7)&gt;YEAR(E159),1,(12-MONTH(E159)+1)/12)))*(1/(1+DiscountRate)^7))</f>
        <v/>
      </c>
      <c r="BQ159" s="36">
        <f>IF(A159="","",(K159)*(IF((YEAR(D159)+8)&lt;YEAR(E159),0,IF((YEAR(D159)+8)&gt;YEAR(E159),1,(12-MONTH(E159)+1)/12)))*(1/(1+DiscountRate)^8))</f>
        <v/>
      </c>
      <c r="BR159" s="36">
        <f>IF(A159="","",(K159)*(IF((YEAR(D159)+9)&lt;YEAR(E159),0,IF((YEAR(D159)+9)&gt;YEAR(E159),1,(12-MONTH(E159)+1)/12)))*(1/(1+DiscountRate)^9))</f>
        <v/>
      </c>
      <c r="BS159" s="36">
        <f>IF(A159="","",(K159)*(IF((YEAR(D159)+10)&lt;YEAR(E159),0,IF((YEAR(D159)+10)&gt;YEAR(E159),1,(12-MONTH(E159)+1)/12)))*(1/(1+DiscountRate)^10))</f>
        <v/>
      </c>
      <c r="BT159" s="36">
        <f>IF(A159="","",(K159)*(IF((YEAR(D159)+11)&lt;YEAR(E159),0,IF((YEAR(D159)+11)&gt;YEAR(E159),1,(12-MONTH(E159)+1)/12)))*(1/(1+DiscountRate)^11))</f>
        <v/>
      </c>
      <c r="BU159" s="36">
        <f>IF(A159="","",(K159)*(IF((YEAR(D159)+12)&lt;YEAR(E159),0,IF((YEAR(D159)+12)&gt;YEAR(E159),1,(12-MONTH(E159)+1)/12)))*(1/(1+DiscountRate)^12))</f>
        <v/>
      </c>
      <c r="BV159" s="36">
        <f>IF(A159="","",(K159)*(IF((YEAR(D159)+13)&lt;YEAR(E159),0,IF((YEAR(D159)+13)&gt;YEAR(E159),1,(12-MONTH(E159)+1)/12)))*(1/(1+DiscountRate)^13))</f>
        <v/>
      </c>
      <c r="BW159" s="36">
        <f>IF(A159="","",(K159)*(IF((YEAR(D159)+14)&lt;YEAR(E159),0,IF((YEAR(D159)+14)&gt;YEAR(E159),1,(12-MONTH(E159)+1)/12)))*(1/(1+DiscountRate)^14))</f>
        <v/>
      </c>
      <c r="BX159" s="36">
        <f>IF(A159="","",(K159)*(IF((YEAR(D159)+15)&lt;YEAR(E159),0,IF((YEAR(D159)+15)&gt;YEAR(E159),1,(12-MONTH(E159)+1)/12)))*(1/(1+DiscountRate)^15))</f>
        <v/>
      </c>
      <c r="BY159" s="36">
        <f>IF(A159="","",(K159)*(IF((YEAR(D159)+16)&lt;YEAR(E159),0,IF((YEAR(D159)+16)&gt;YEAR(E159),1,(12-MONTH(E159)+1)/12)))*(1/(1+DiscountRate)^16))</f>
        <v/>
      </c>
      <c r="BZ159" s="36">
        <f>IF(A159="","",(K159)*(IF((YEAR(D159)+17)&lt;YEAR(E159),0,IF((YEAR(D159)+17)&gt;YEAR(E159),1,(12-MONTH(E159)+1)/12)))*(1/(1+DiscountRate)^17))</f>
        <v/>
      </c>
      <c r="CA159" s="36">
        <f>IF(A159="","",(K159)*(IF((YEAR(D159)+18)&lt;YEAR(E159),0,IF((YEAR(D159)+18)&gt;YEAR(E159),1,(12-MONTH(E159)+1)/12)))*(1/(1+DiscountRate)^18))</f>
        <v/>
      </c>
      <c r="CB159" s="36">
        <f>IF(A159="","",(K159)*(IF((YEAR(D159)+19)&lt;YEAR(E159),0,IF((YEAR(D159)+19)&gt;YEAR(E159),1,(12-MONTH(E159)+1)/12)))*(1/(1+DiscountRate)^19))</f>
        <v/>
      </c>
      <c r="CC159" s="36">
        <f>IF(A159="","",(K159)*(IF((YEAR(D159)+20)&lt;YEAR(E159),0,IF((YEAR(D159)+20)&gt;YEAR(E159),1,(12-MONTH(E159)+1)/12)))*(1/(1+DiscountRate)^20))</f>
        <v/>
      </c>
      <c r="CD159" s="29">
        <f>IF(A159="","",S159/(1+DiscountRate)^0+T159/(1+DiscountRate)^1+U159/(1+DiscountRate)^2+V159/(1+DiscountRate)^3+W159/(1+DiscountRate)^4+X159/(1+DiscountRate)^5+Y159/(1+DiscountRate)^6+Z159/(1+DiscountRate)^7+AA159/(1+DiscountRate)^8+AB159/(1+DiscountRate)^9+AC159/(1+DiscountRate)^10+AD159/(1+DiscountRate)^11+AE159/(1+DiscountRate)^12+AF159/(1+DiscountRate)^13+AG159/(1+DiscountRate)^14+AH159/(1+DiscountRate)^15+AI159/(1+DiscountRate)^16+AJ159/(1+DiscountRate)^17+AK159/(1+DiscountRate)^18+AL159/(1+DiscountRate)^19+AM159/(1+DiscountRate)^20)</f>
        <v/>
      </c>
      <c r="CE159" s="37">
        <f>IF(A159="","",IFERROR(IRR(OFFSET(S159,0,0,1,MIN(HorizonYears,20)+1)),"n/a"))</f>
        <v/>
      </c>
      <c r="CF159" s="28">
        <f>IF(A159="","",IFERROR(MATCH(TRUE,OFFSET(AN159,0,0,1,MIN(HorizonYears,20)+1)&gt;=0,0)-1,"n/a"))</f>
        <v/>
      </c>
      <c r="CG159" s="36">
        <f>IF(A159="","",SUM(OFFSET(BI159,0,0,1,MIN(HorizonYears,20)+1)))</f>
        <v/>
      </c>
      <c r="CH159" s="36">
        <f>IF(A159="","",IFERROR(-CD159/CG159,"n/a"))</f>
        <v/>
      </c>
    </row>
    <row r="160">
      <c r="A160" s="6">
        <f>Actions!A158</f>
        <v/>
      </c>
      <c r="B160" s="6">
        <f>Actions!B158</f>
        <v/>
      </c>
      <c r="C160" s="6">
        <f>Actions!D158</f>
        <v/>
      </c>
      <c r="D160" s="35">
        <f>Actions!E158</f>
        <v/>
      </c>
      <c r="E160" s="35">
        <f>Actions!F158</f>
        <v/>
      </c>
      <c r="F160" s="6">
        <f>Actions!G158</f>
        <v/>
      </c>
      <c r="G160" s="6">
        <f>Actions!H158</f>
        <v/>
      </c>
      <c r="H160" s="29">
        <f>Actions!I158</f>
        <v/>
      </c>
      <c r="I160" s="6">
        <f>Actions!J158</f>
        <v/>
      </c>
      <c r="J160" s="16">
        <f>Actions!K158</f>
        <v/>
      </c>
      <c r="K160" s="16">
        <f>IF(A160="","",IF(I160="%",H160*J160,J160))</f>
        <v/>
      </c>
      <c r="L160" s="16">
        <f>Actions!L158</f>
        <v/>
      </c>
      <c r="M160" s="6">
        <f>Actions!M158</f>
        <v/>
      </c>
      <c r="N160" s="28">
        <f>Actions!N158</f>
        <v/>
      </c>
      <c r="O160" s="29">
        <f>Actions!T158</f>
        <v/>
      </c>
      <c r="P160" s="29">
        <f>Actions!Y158</f>
        <v/>
      </c>
      <c r="Q160" s="29">
        <f>Actions!Z158</f>
        <v/>
      </c>
      <c r="R160" s="29">
        <f>Actions!AA158</f>
        <v/>
      </c>
      <c r="S160" s="29">
        <f>IF(A160="","",((K160)*(IF(M160="",L160,IFERROR(IF(INDEX(Variablen!$I:$AT, MATCH(M160, Variablen!$A:$A, 0), MATCH((YEAR(D160)+0), Variablen!$I$3:$AT$3, 0))="",L160,INDEX(Variablen!$I:$AT, MATCH(M160, Variablen!$A:$A, 0), MATCH((YEAR(D160)+0), Variablen!$I$3:$AT$3, 0))),L160)))*(IF((YEAR(D160)+0)&lt;YEAR(E160),0,IF((YEAR(D160)+0)&gt;YEAR(E160),1,(12-MONTH(E160)+1)/12))) + (Q160)*(IF((YEAR(D160)+0)&lt;YEAR(E160),0,IF((YEAR(D160)+0)&gt;YEAR(E160),1,(12-MONTH(E160)+1)/12))))-((P160)*(IF((YEAR(D160)+0)&lt;YEAR(E160),0,IF((YEAR(D160)+0)&gt;YEAR(E160),1,(12-MONTH(E160)+1)/12))) + (R160)*(IF((YEAR(D160)+0)&lt;YEAR(E160),0,IF((YEAR(D160)+0)&gt;YEAR(E160),1,(12-MONTH(E160)+1)/12))))-(IF((((K160)*(IF(M160="",L160,IFERROR(IF(INDEX(Variablen!$I:$AT, MATCH(M160, Variablen!$A:$A, 0), MATCH((YEAR(D160)+0), Variablen!$I$3:$AT$3, 0))="",L160,INDEX(Variablen!$I:$AT, MATCH(M160, Variablen!$A:$A, 0), MATCH((YEAR(D160)+0), Variablen!$I$3:$AT$3, 0))),L160)))*(IF((YEAR(D160)+0)&lt;YEAR(E160),0,IF((YEAR(D160)+0)&gt;YEAR(E160),1,(12-MONTH(E160)+1)/12))) + (Q160)*(IF((YEAR(D160)+0)&lt;YEAR(E160),0,IF((YEAR(D160)+0)&gt;YEAR(E160),1,(12-MONTH(E160)+1)/12))))-((P160)*(IF((YEAR(D160)+0)&lt;YEAR(E160),0,IF((YEAR(D160)+0)&gt;YEAR(E160),1,(12-MONTH(E160)+1)/12))) + (R160)*(IF((YEAR(D160)+0)&lt;YEAR(E160),0,IF((YEAR(D160)+0)&gt;YEAR(E160),1,(12-MONTH(E160)+1)/12))))-(IF(OR(N160="",N160&lt;=0),0,(O160/N160)*(IF(OR(N160="",N160&lt;=0),0,IF((YEAR(D160)+0)&lt;YEAR(E160),0,IF((YEAR(D160)+0)&gt;=YEAR(E160)+N160,0,IF((YEAR(D160)+0)=YEAR(E160),(12-MONTH(E160)+1)/12,1))))))))&gt;0,(((K160)*(IF(M160="",L160,IFERROR(IF(INDEX(Variablen!$I:$AT, MATCH(M160, Variablen!$A:$A, 0), MATCH((YEAR(D160)+0), Variablen!$I$3:$AT$3, 0))="",L160,INDEX(Variablen!$I:$AT, MATCH(M160, Variablen!$A:$A, 0), MATCH((YEAR(D160)+0), Variablen!$I$3:$AT$3, 0))),L160)))*(IF((YEAR(D160)+0)&lt;YEAR(E160),0,IF((YEAR(D160)+0)&gt;YEAR(E160),1,(12-MONTH(E160)+1)/12))) + (Q160)*(IF((YEAR(D160)+0)&lt;YEAR(E160),0,IF((YEAR(D160)+0)&gt;YEAR(E160),1,(12-MONTH(E160)+1)/12))))-((P160)*(IF((YEAR(D160)+0)&lt;YEAR(E160),0,IF((YEAR(D160)+0)&gt;YEAR(E160),1,(12-MONTH(E160)+1)/12))) + (R160)*(IF((YEAR(D160)+0)&lt;YEAR(E160),0,IF((YEAR(D160)+0)&gt;YEAR(E160),1,(12-MONTH(E160)+1)/12))))-(IF(OR(N160="",N160&lt;=0),0,(O160/N160)*(IF(OR(N160="",N160&lt;=0),0,IF((YEAR(D160)+0)&lt;YEAR(E160),0,IF((YEAR(D160)+0)&gt;=YEAR(E160)+N160,0,IF((YEAR(D160)+0)=YEAR(E160),(12-MONTH(E160)+1)/12,1))))))))*TaxRate,0))-IF(0=0,O160,0))</f>
        <v/>
      </c>
      <c r="T160" s="29">
        <f>IF(A160="","",((K160)*(IF(M160="",L160,IFERROR(IF(INDEX(Variablen!$I:$AT, MATCH(M160, Variablen!$A:$A, 0), MATCH((YEAR(D160)+1), Variablen!$I$3:$AT$3, 0))="",L160,INDEX(Variablen!$I:$AT, MATCH(M160, Variablen!$A:$A, 0), MATCH((YEAR(D160)+1), Variablen!$I$3:$AT$3, 0))),L160)))*(IF((YEAR(D160)+1)&lt;YEAR(E160),0,IF((YEAR(D160)+1)&gt;YEAR(E160),1,(12-MONTH(E160)+1)/12))) + (Q160)*(IF((YEAR(D160)+1)&lt;YEAR(E160),0,IF((YEAR(D160)+1)&gt;YEAR(E160),1,(12-MONTH(E160)+1)/12))))-((P160)*(IF((YEAR(D160)+1)&lt;YEAR(E160),0,IF((YEAR(D160)+1)&gt;YEAR(E160),1,(12-MONTH(E160)+1)/12))) + (R160)*(IF((YEAR(D160)+1)&lt;YEAR(E160),0,IF((YEAR(D160)+1)&gt;YEAR(E160),1,(12-MONTH(E160)+1)/12))))-(IF((((K160)*(IF(M160="",L160,IFERROR(IF(INDEX(Variablen!$I:$AT, MATCH(M160, Variablen!$A:$A, 0), MATCH((YEAR(D160)+1), Variablen!$I$3:$AT$3, 0))="",L160,INDEX(Variablen!$I:$AT, MATCH(M160, Variablen!$A:$A, 0), MATCH((YEAR(D160)+1), Variablen!$I$3:$AT$3, 0))),L160)))*(IF((YEAR(D160)+1)&lt;YEAR(E160),0,IF((YEAR(D160)+1)&gt;YEAR(E160),1,(12-MONTH(E160)+1)/12))) + (Q160)*(IF((YEAR(D160)+1)&lt;YEAR(E160),0,IF((YEAR(D160)+1)&gt;YEAR(E160),1,(12-MONTH(E160)+1)/12))))-((P160)*(IF((YEAR(D160)+1)&lt;YEAR(E160),0,IF((YEAR(D160)+1)&gt;YEAR(E160),1,(12-MONTH(E160)+1)/12))) + (R160)*(IF((YEAR(D160)+1)&lt;YEAR(E160),0,IF((YEAR(D160)+1)&gt;YEAR(E160),1,(12-MONTH(E160)+1)/12))))-(IF(OR(N160="",N160&lt;=0),0,(O160/N160)*(IF(OR(N160="",N160&lt;=0),0,IF((YEAR(D160)+1)&lt;YEAR(E160),0,IF((YEAR(D160)+1)&gt;=YEAR(E160)+N160,0,IF((YEAR(D160)+1)=YEAR(E160),(12-MONTH(E160)+1)/12,1))))))))&gt;0,(((K160)*(IF(M160="",L160,IFERROR(IF(INDEX(Variablen!$I:$AT, MATCH(M160, Variablen!$A:$A, 0), MATCH((YEAR(D160)+1), Variablen!$I$3:$AT$3, 0))="",L160,INDEX(Variablen!$I:$AT, MATCH(M160, Variablen!$A:$A, 0), MATCH((YEAR(D160)+1), Variablen!$I$3:$AT$3, 0))),L160)))*(IF((YEAR(D160)+1)&lt;YEAR(E160),0,IF((YEAR(D160)+1)&gt;YEAR(E160),1,(12-MONTH(E160)+1)/12))) + (Q160)*(IF((YEAR(D160)+1)&lt;YEAR(E160),0,IF((YEAR(D160)+1)&gt;YEAR(E160),1,(12-MONTH(E160)+1)/12))))-((P160)*(IF((YEAR(D160)+1)&lt;YEAR(E160),0,IF((YEAR(D160)+1)&gt;YEAR(E160),1,(12-MONTH(E160)+1)/12))) + (R160)*(IF((YEAR(D160)+1)&lt;YEAR(E160),0,IF((YEAR(D160)+1)&gt;YEAR(E160),1,(12-MONTH(E160)+1)/12))))-(IF(OR(N160="",N160&lt;=0),0,(O160/N160)*(IF(OR(N160="",N160&lt;=0),0,IF((YEAR(D160)+1)&lt;YEAR(E160),0,IF((YEAR(D160)+1)&gt;=YEAR(E160)+N160,0,IF((YEAR(D160)+1)=YEAR(E160),(12-MONTH(E160)+1)/12,1))))))))*TaxRate,0))-IF(1=0,O160,0))</f>
        <v/>
      </c>
      <c r="U160" s="29">
        <f>IF(A160="","",((K160)*(IF(M160="",L160,IFERROR(IF(INDEX(Variablen!$I:$AT, MATCH(M160, Variablen!$A:$A, 0), MATCH((YEAR(D160)+2), Variablen!$I$3:$AT$3, 0))="",L160,INDEX(Variablen!$I:$AT, MATCH(M160, Variablen!$A:$A, 0), MATCH((YEAR(D160)+2), Variablen!$I$3:$AT$3, 0))),L160)))*(IF((YEAR(D160)+2)&lt;YEAR(E160),0,IF((YEAR(D160)+2)&gt;YEAR(E160),1,(12-MONTH(E160)+1)/12))) + (Q160)*(IF((YEAR(D160)+2)&lt;YEAR(E160),0,IF((YEAR(D160)+2)&gt;YEAR(E160),1,(12-MONTH(E160)+1)/12))))-((P160)*(IF((YEAR(D160)+2)&lt;YEAR(E160),0,IF((YEAR(D160)+2)&gt;YEAR(E160),1,(12-MONTH(E160)+1)/12))) + (R160)*(IF((YEAR(D160)+2)&lt;YEAR(E160),0,IF((YEAR(D160)+2)&gt;YEAR(E160),1,(12-MONTH(E160)+1)/12))))-(IF((((K160)*(IF(M160="",L160,IFERROR(IF(INDEX(Variablen!$I:$AT, MATCH(M160, Variablen!$A:$A, 0), MATCH((YEAR(D160)+2), Variablen!$I$3:$AT$3, 0))="",L160,INDEX(Variablen!$I:$AT, MATCH(M160, Variablen!$A:$A, 0), MATCH((YEAR(D160)+2), Variablen!$I$3:$AT$3, 0))),L160)))*(IF((YEAR(D160)+2)&lt;YEAR(E160),0,IF((YEAR(D160)+2)&gt;YEAR(E160),1,(12-MONTH(E160)+1)/12))) + (Q160)*(IF((YEAR(D160)+2)&lt;YEAR(E160),0,IF((YEAR(D160)+2)&gt;YEAR(E160),1,(12-MONTH(E160)+1)/12))))-((P160)*(IF((YEAR(D160)+2)&lt;YEAR(E160),0,IF((YEAR(D160)+2)&gt;YEAR(E160),1,(12-MONTH(E160)+1)/12))) + (R160)*(IF((YEAR(D160)+2)&lt;YEAR(E160),0,IF((YEAR(D160)+2)&gt;YEAR(E160),1,(12-MONTH(E160)+1)/12))))-(IF(OR(N160="",N160&lt;=0),0,(O160/N160)*(IF(OR(N160="",N160&lt;=0),0,IF((YEAR(D160)+2)&lt;YEAR(E160),0,IF((YEAR(D160)+2)&gt;=YEAR(E160)+N160,0,IF((YEAR(D160)+2)=YEAR(E160),(12-MONTH(E160)+1)/12,1))))))))&gt;0,(((K160)*(IF(M160="",L160,IFERROR(IF(INDEX(Variablen!$I:$AT, MATCH(M160, Variablen!$A:$A, 0), MATCH((YEAR(D160)+2), Variablen!$I$3:$AT$3, 0))="",L160,INDEX(Variablen!$I:$AT, MATCH(M160, Variablen!$A:$A, 0), MATCH((YEAR(D160)+2), Variablen!$I$3:$AT$3, 0))),L160)))*(IF((YEAR(D160)+2)&lt;YEAR(E160),0,IF((YEAR(D160)+2)&gt;YEAR(E160),1,(12-MONTH(E160)+1)/12))) + (Q160)*(IF((YEAR(D160)+2)&lt;YEAR(E160),0,IF((YEAR(D160)+2)&gt;YEAR(E160),1,(12-MONTH(E160)+1)/12))))-((P160)*(IF((YEAR(D160)+2)&lt;YEAR(E160),0,IF((YEAR(D160)+2)&gt;YEAR(E160),1,(12-MONTH(E160)+1)/12))) + (R160)*(IF((YEAR(D160)+2)&lt;YEAR(E160),0,IF((YEAR(D160)+2)&gt;YEAR(E160),1,(12-MONTH(E160)+1)/12))))-(IF(OR(N160="",N160&lt;=0),0,(O160/N160)*(IF(OR(N160="",N160&lt;=0),0,IF((YEAR(D160)+2)&lt;YEAR(E160),0,IF((YEAR(D160)+2)&gt;=YEAR(E160)+N160,0,IF((YEAR(D160)+2)=YEAR(E160),(12-MONTH(E160)+1)/12,1))))))))*TaxRate,0))-IF(2=0,O160,0))</f>
        <v/>
      </c>
      <c r="V160" s="29">
        <f>IF(A160="","",((K160)*(IF(M160="",L160,IFERROR(IF(INDEX(Variablen!$I:$AT, MATCH(M160, Variablen!$A:$A, 0), MATCH((YEAR(D160)+3), Variablen!$I$3:$AT$3, 0))="",L160,INDEX(Variablen!$I:$AT, MATCH(M160, Variablen!$A:$A, 0), MATCH((YEAR(D160)+3), Variablen!$I$3:$AT$3, 0))),L160)))*(IF((YEAR(D160)+3)&lt;YEAR(E160),0,IF((YEAR(D160)+3)&gt;YEAR(E160),1,(12-MONTH(E160)+1)/12))) + (Q160)*(IF((YEAR(D160)+3)&lt;YEAR(E160),0,IF((YEAR(D160)+3)&gt;YEAR(E160),1,(12-MONTH(E160)+1)/12))))-((P160)*(IF((YEAR(D160)+3)&lt;YEAR(E160),0,IF((YEAR(D160)+3)&gt;YEAR(E160),1,(12-MONTH(E160)+1)/12))) + (R160)*(IF((YEAR(D160)+3)&lt;YEAR(E160),0,IF((YEAR(D160)+3)&gt;YEAR(E160),1,(12-MONTH(E160)+1)/12))))-(IF((((K160)*(IF(M160="",L160,IFERROR(IF(INDEX(Variablen!$I:$AT, MATCH(M160, Variablen!$A:$A, 0), MATCH((YEAR(D160)+3), Variablen!$I$3:$AT$3, 0))="",L160,INDEX(Variablen!$I:$AT, MATCH(M160, Variablen!$A:$A, 0), MATCH((YEAR(D160)+3), Variablen!$I$3:$AT$3, 0))),L160)))*(IF((YEAR(D160)+3)&lt;YEAR(E160),0,IF((YEAR(D160)+3)&gt;YEAR(E160),1,(12-MONTH(E160)+1)/12))) + (Q160)*(IF((YEAR(D160)+3)&lt;YEAR(E160),0,IF((YEAR(D160)+3)&gt;YEAR(E160),1,(12-MONTH(E160)+1)/12))))-((P160)*(IF((YEAR(D160)+3)&lt;YEAR(E160),0,IF((YEAR(D160)+3)&gt;YEAR(E160),1,(12-MONTH(E160)+1)/12))) + (R160)*(IF((YEAR(D160)+3)&lt;YEAR(E160),0,IF((YEAR(D160)+3)&gt;YEAR(E160),1,(12-MONTH(E160)+1)/12))))-(IF(OR(N160="",N160&lt;=0),0,(O160/N160)*(IF(OR(N160="",N160&lt;=0),0,IF((YEAR(D160)+3)&lt;YEAR(E160),0,IF((YEAR(D160)+3)&gt;=YEAR(E160)+N160,0,IF((YEAR(D160)+3)=YEAR(E160),(12-MONTH(E160)+1)/12,1))))))))&gt;0,(((K160)*(IF(M160="",L160,IFERROR(IF(INDEX(Variablen!$I:$AT, MATCH(M160, Variablen!$A:$A, 0), MATCH((YEAR(D160)+3), Variablen!$I$3:$AT$3, 0))="",L160,INDEX(Variablen!$I:$AT, MATCH(M160, Variablen!$A:$A, 0), MATCH((YEAR(D160)+3), Variablen!$I$3:$AT$3, 0))),L160)))*(IF((YEAR(D160)+3)&lt;YEAR(E160),0,IF((YEAR(D160)+3)&gt;YEAR(E160),1,(12-MONTH(E160)+1)/12))) + (Q160)*(IF((YEAR(D160)+3)&lt;YEAR(E160),0,IF((YEAR(D160)+3)&gt;YEAR(E160),1,(12-MONTH(E160)+1)/12))))-((P160)*(IF((YEAR(D160)+3)&lt;YEAR(E160),0,IF((YEAR(D160)+3)&gt;YEAR(E160),1,(12-MONTH(E160)+1)/12))) + (R160)*(IF((YEAR(D160)+3)&lt;YEAR(E160),0,IF((YEAR(D160)+3)&gt;YEAR(E160),1,(12-MONTH(E160)+1)/12))))-(IF(OR(N160="",N160&lt;=0),0,(O160/N160)*(IF(OR(N160="",N160&lt;=0),0,IF((YEAR(D160)+3)&lt;YEAR(E160),0,IF((YEAR(D160)+3)&gt;=YEAR(E160)+N160,0,IF((YEAR(D160)+3)=YEAR(E160),(12-MONTH(E160)+1)/12,1))))))))*TaxRate,0))-IF(3=0,O160,0))</f>
        <v/>
      </c>
      <c r="W160" s="29">
        <f>IF(A160="","",((K160)*(IF(M160="",L160,IFERROR(IF(INDEX(Variablen!$I:$AT, MATCH(M160, Variablen!$A:$A, 0), MATCH((YEAR(D160)+4), Variablen!$I$3:$AT$3, 0))="",L160,INDEX(Variablen!$I:$AT, MATCH(M160, Variablen!$A:$A, 0), MATCH((YEAR(D160)+4), Variablen!$I$3:$AT$3, 0))),L160)))*(IF((YEAR(D160)+4)&lt;YEAR(E160),0,IF((YEAR(D160)+4)&gt;YEAR(E160),1,(12-MONTH(E160)+1)/12))) + (Q160)*(IF((YEAR(D160)+4)&lt;YEAR(E160),0,IF((YEAR(D160)+4)&gt;YEAR(E160),1,(12-MONTH(E160)+1)/12))))-((P160)*(IF((YEAR(D160)+4)&lt;YEAR(E160),0,IF((YEAR(D160)+4)&gt;YEAR(E160),1,(12-MONTH(E160)+1)/12))) + (R160)*(IF((YEAR(D160)+4)&lt;YEAR(E160),0,IF((YEAR(D160)+4)&gt;YEAR(E160),1,(12-MONTH(E160)+1)/12))))-(IF((((K160)*(IF(M160="",L160,IFERROR(IF(INDEX(Variablen!$I:$AT, MATCH(M160, Variablen!$A:$A, 0), MATCH((YEAR(D160)+4), Variablen!$I$3:$AT$3, 0))="",L160,INDEX(Variablen!$I:$AT, MATCH(M160, Variablen!$A:$A, 0), MATCH((YEAR(D160)+4), Variablen!$I$3:$AT$3, 0))),L160)))*(IF((YEAR(D160)+4)&lt;YEAR(E160),0,IF((YEAR(D160)+4)&gt;YEAR(E160),1,(12-MONTH(E160)+1)/12))) + (Q160)*(IF((YEAR(D160)+4)&lt;YEAR(E160),0,IF((YEAR(D160)+4)&gt;YEAR(E160),1,(12-MONTH(E160)+1)/12))))-((P160)*(IF((YEAR(D160)+4)&lt;YEAR(E160),0,IF((YEAR(D160)+4)&gt;YEAR(E160),1,(12-MONTH(E160)+1)/12))) + (R160)*(IF((YEAR(D160)+4)&lt;YEAR(E160),0,IF((YEAR(D160)+4)&gt;YEAR(E160),1,(12-MONTH(E160)+1)/12))))-(IF(OR(N160="",N160&lt;=0),0,(O160/N160)*(IF(OR(N160="",N160&lt;=0),0,IF((YEAR(D160)+4)&lt;YEAR(E160),0,IF((YEAR(D160)+4)&gt;=YEAR(E160)+N160,0,IF((YEAR(D160)+4)=YEAR(E160),(12-MONTH(E160)+1)/12,1))))))))&gt;0,(((K160)*(IF(M160="",L160,IFERROR(IF(INDEX(Variablen!$I:$AT, MATCH(M160, Variablen!$A:$A, 0), MATCH((YEAR(D160)+4), Variablen!$I$3:$AT$3, 0))="",L160,INDEX(Variablen!$I:$AT, MATCH(M160, Variablen!$A:$A, 0), MATCH((YEAR(D160)+4), Variablen!$I$3:$AT$3, 0))),L160)))*(IF((YEAR(D160)+4)&lt;YEAR(E160),0,IF((YEAR(D160)+4)&gt;YEAR(E160),1,(12-MONTH(E160)+1)/12))) + (Q160)*(IF((YEAR(D160)+4)&lt;YEAR(E160),0,IF((YEAR(D160)+4)&gt;YEAR(E160),1,(12-MONTH(E160)+1)/12))))-((P160)*(IF((YEAR(D160)+4)&lt;YEAR(E160),0,IF((YEAR(D160)+4)&gt;YEAR(E160),1,(12-MONTH(E160)+1)/12))) + (R160)*(IF((YEAR(D160)+4)&lt;YEAR(E160),0,IF((YEAR(D160)+4)&gt;YEAR(E160),1,(12-MONTH(E160)+1)/12))))-(IF(OR(N160="",N160&lt;=0),0,(O160/N160)*(IF(OR(N160="",N160&lt;=0),0,IF((YEAR(D160)+4)&lt;YEAR(E160),0,IF((YEAR(D160)+4)&gt;=YEAR(E160)+N160,0,IF((YEAR(D160)+4)=YEAR(E160),(12-MONTH(E160)+1)/12,1))))))))*TaxRate,0))-IF(4=0,O160,0))</f>
        <v/>
      </c>
      <c r="X160" s="29">
        <f>IF(A160="","",((K160)*(IF(M160="",L160,IFERROR(IF(INDEX(Variablen!$I:$AT, MATCH(M160, Variablen!$A:$A, 0), MATCH((YEAR(D160)+5), Variablen!$I$3:$AT$3, 0))="",L160,INDEX(Variablen!$I:$AT, MATCH(M160, Variablen!$A:$A, 0), MATCH((YEAR(D160)+5), Variablen!$I$3:$AT$3, 0))),L160)))*(IF((YEAR(D160)+5)&lt;YEAR(E160),0,IF((YEAR(D160)+5)&gt;YEAR(E160),1,(12-MONTH(E160)+1)/12))) + (Q160)*(IF((YEAR(D160)+5)&lt;YEAR(E160),0,IF((YEAR(D160)+5)&gt;YEAR(E160),1,(12-MONTH(E160)+1)/12))))-((P160)*(IF((YEAR(D160)+5)&lt;YEAR(E160),0,IF((YEAR(D160)+5)&gt;YEAR(E160),1,(12-MONTH(E160)+1)/12))) + (R160)*(IF((YEAR(D160)+5)&lt;YEAR(E160),0,IF((YEAR(D160)+5)&gt;YEAR(E160),1,(12-MONTH(E160)+1)/12))))-(IF((((K160)*(IF(M160="",L160,IFERROR(IF(INDEX(Variablen!$I:$AT, MATCH(M160, Variablen!$A:$A, 0), MATCH((YEAR(D160)+5), Variablen!$I$3:$AT$3, 0))="",L160,INDEX(Variablen!$I:$AT, MATCH(M160, Variablen!$A:$A, 0), MATCH((YEAR(D160)+5), Variablen!$I$3:$AT$3, 0))),L160)))*(IF((YEAR(D160)+5)&lt;YEAR(E160),0,IF((YEAR(D160)+5)&gt;YEAR(E160),1,(12-MONTH(E160)+1)/12))) + (Q160)*(IF((YEAR(D160)+5)&lt;YEAR(E160),0,IF((YEAR(D160)+5)&gt;YEAR(E160),1,(12-MONTH(E160)+1)/12))))-((P160)*(IF((YEAR(D160)+5)&lt;YEAR(E160),0,IF((YEAR(D160)+5)&gt;YEAR(E160),1,(12-MONTH(E160)+1)/12))) + (R160)*(IF((YEAR(D160)+5)&lt;YEAR(E160),0,IF((YEAR(D160)+5)&gt;YEAR(E160),1,(12-MONTH(E160)+1)/12))))-(IF(OR(N160="",N160&lt;=0),0,(O160/N160)*(IF(OR(N160="",N160&lt;=0),0,IF((YEAR(D160)+5)&lt;YEAR(E160),0,IF((YEAR(D160)+5)&gt;=YEAR(E160)+N160,0,IF((YEAR(D160)+5)=YEAR(E160),(12-MONTH(E160)+1)/12,1))))))))&gt;0,(((K160)*(IF(M160="",L160,IFERROR(IF(INDEX(Variablen!$I:$AT, MATCH(M160, Variablen!$A:$A, 0), MATCH((YEAR(D160)+5), Variablen!$I$3:$AT$3, 0))="",L160,INDEX(Variablen!$I:$AT, MATCH(M160, Variablen!$A:$A, 0), MATCH((YEAR(D160)+5), Variablen!$I$3:$AT$3, 0))),L160)))*(IF((YEAR(D160)+5)&lt;YEAR(E160),0,IF((YEAR(D160)+5)&gt;YEAR(E160),1,(12-MONTH(E160)+1)/12))) + (Q160)*(IF((YEAR(D160)+5)&lt;YEAR(E160),0,IF((YEAR(D160)+5)&gt;YEAR(E160),1,(12-MONTH(E160)+1)/12))))-((P160)*(IF((YEAR(D160)+5)&lt;YEAR(E160),0,IF((YEAR(D160)+5)&gt;YEAR(E160),1,(12-MONTH(E160)+1)/12))) + (R160)*(IF((YEAR(D160)+5)&lt;YEAR(E160),0,IF((YEAR(D160)+5)&gt;YEAR(E160),1,(12-MONTH(E160)+1)/12))))-(IF(OR(N160="",N160&lt;=0),0,(O160/N160)*(IF(OR(N160="",N160&lt;=0),0,IF((YEAR(D160)+5)&lt;YEAR(E160),0,IF((YEAR(D160)+5)&gt;=YEAR(E160)+N160,0,IF((YEAR(D160)+5)=YEAR(E160),(12-MONTH(E160)+1)/12,1))))))))*TaxRate,0))-IF(5=0,O160,0))</f>
        <v/>
      </c>
      <c r="Y160" s="29">
        <f>IF(A160="","",((K160)*(IF(M160="",L160,IFERROR(IF(INDEX(Variablen!$I:$AT, MATCH(M160, Variablen!$A:$A, 0), MATCH((YEAR(D160)+6), Variablen!$I$3:$AT$3, 0))="",L160,INDEX(Variablen!$I:$AT, MATCH(M160, Variablen!$A:$A, 0), MATCH((YEAR(D160)+6), Variablen!$I$3:$AT$3, 0))),L160)))*(IF((YEAR(D160)+6)&lt;YEAR(E160),0,IF((YEAR(D160)+6)&gt;YEAR(E160),1,(12-MONTH(E160)+1)/12))) + (Q160)*(IF((YEAR(D160)+6)&lt;YEAR(E160),0,IF((YEAR(D160)+6)&gt;YEAR(E160),1,(12-MONTH(E160)+1)/12))))-((P160)*(IF((YEAR(D160)+6)&lt;YEAR(E160),0,IF((YEAR(D160)+6)&gt;YEAR(E160),1,(12-MONTH(E160)+1)/12))) + (R160)*(IF((YEAR(D160)+6)&lt;YEAR(E160),0,IF((YEAR(D160)+6)&gt;YEAR(E160),1,(12-MONTH(E160)+1)/12))))-(IF((((K160)*(IF(M160="",L160,IFERROR(IF(INDEX(Variablen!$I:$AT, MATCH(M160, Variablen!$A:$A, 0), MATCH((YEAR(D160)+6), Variablen!$I$3:$AT$3, 0))="",L160,INDEX(Variablen!$I:$AT, MATCH(M160, Variablen!$A:$A, 0), MATCH((YEAR(D160)+6), Variablen!$I$3:$AT$3, 0))),L160)))*(IF((YEAR(D160)+6)&lt;YEAR(E160),0,IF((YEAR(D160)+6)&gt;YEAR(E160),1,(12-MONTH(E160)+1)/12))) + (Q160)*(IF((YEAR(D160)+6)&lt;YEAR(E160),0,IF((YEAR(D160)+6)&gt;YEAR(E160),1,(12-MONTH(E160)+1)/12))))-((P160)*(IF((YEAR(D160)+6)&lt;YEAR(E160),0,IF((YEAR(D160)+6)&gt;YEAR(E160),1,(12-MONTH(E160)+1)/12))) + (R160)*(IF((YEAR(D160)+6)&lt;YEAR(E160),0,IF((YEAR(D160)+6)&gt;YEAR(E160),1,(12-MONTH(E160)+1)/12))))-(IF(OR(N160="",N160&lt;=0),0,(O160/N160)*(IF(OR(N160="",N160&lt;=0),0,IF((YEAR(D160)+6)&lt;YEAR(E160),0,IF((YEAR(D160)+6)&gt;=YEAR(E160)+N160,0,IF((YEAR(D160)+6)=YEAR(E160),(12-MONTH(E160)+1)/12,1))))))))&gt;0,(((K160)*(IF(M160="",L160,IFERROR(IF(INDEX(Variablen!$I:$AT, MATCH(M160, Variablen!$A:$A, 0), MATCH((YEAR(D160)+6), Variablen!$I$3:$AT$3, 0))="",L160,INDEX(Variablen!$I:$AT, MATCH(M160, Variablen!$A:$A, 0), MATCH((YEAR(D160)+6), Variablen!$I$3:$AT$3, 0))),L160)))*(IF((YEAR(D160)+6)&lt;YEAR(E160),0,IF((YEAR(D160)+6)&gt;YEAR(E160),1,(12-MONTH(E160)+1)/12))) + (Q160)*(IF((YEAR(D160)+6)&lt;YEAR(E160),0,IF((YEAR(D160)+6)&gt;YEAR(E160),1,(12-MONTH(E160)+1)/12))))-((P160)*(IF((YEAR(D160)+6)&lt;YEAR(E160),0,IF((YEAR(D160)+6)&gt;YEAR(E160),1,(12-MONTH(E160)+1)/12))) + (R160)*(IF((YEAR(D160)+6)&lt;YEAR(E160),0,IF((YEAR(D160)+6)&gt;YEAR(E160),1,(12-MONTH(E160)+1)/12))))-(IF(OR(N160="",N160&lt;=0),0,(O160/N160)*(IF(OR(N160="",N160&lt;=0),0,IF((YEAR(D160)+6)&lt;YEAR(E160),0,IF((YEAR(D160)+6)&gt;=YEAR(E160)+N160,0,IF((YEAR(D160)+6)=YEAR(E160),(12-MONTH(E160)+1)/12,1))))))))*TaxRate,0))-IF(6=0,O160,0))</f>
        <v/>
      </c>
      <c r="Z160" s="29">
        <f>IF(A160="","",((K160)*(IF(M160="",L160,IFERROR(IF(INDEX(Variablen!$I:$AT, MATCH(M160, Variablen!$A:$A, 0), MATCH((YEAR(D160)+7), Variablen!$I$3:$AT$3, 0))="",L160,INDEX(Variablen!$I:$AT, MATCH(M160, Variablen!$A:$A, 0), MATCH((YEAR(D160)+7), Variablen!$I$3:$AT$3, 0))),L160)))*(IF((YEAR(D160)+7)&lt;YEAR(E160),0,IF((YEAR(D160)+7)&gt;YEAR(E160),1,(12-MONTH(E160)+1)/12))) + (Q160)*(IF((YEAR(D160)+7)&lt;YEAR(E160),0,IF((YEAR(D160)+7)&gt;YEAR(E160),1,(12-MONTH(E160)+1)/12))))-((P160)*(IF((YEAR(D160)+7)&lt;YEAR(E160),0,IF((YEAR(D160)+7)&gt;YEAR(E160),1,(12-MONTH(E160)+1)/12))) + (R160)*(IF((YEAR(D160)+7)&lt;YEAR(E160),0,IF((YEAR(D160)+7)&gt;YEAR(E160),1,(12-MONTH(E160)+1)/12))))-(IF((((K160)*(IF(M160="",L160,IFERROR(IF(INDEX(Variablen!$I:$AT, MATCH(M160, Variablen!$A:$A, 0), MATCH((YEAR(D160)+7), Variablen!$I$3:$AT$3, 0))="",L160,INDEX(Variablen!$I:$AT, MATCH(M160, Variablen!$A:$A, 0), MATCH((YEAR(D160)+7), Variablen!$I$3:$AT$3, 0))),L160)))*(IF((YEAR(D160)+7)&lt;YEAR(E160),0,IF((YEAR(D160)+7)&gt;YEAR(E160),1,(12-MONTH(E160)+1)/12))) + (Q160)*(IF((YEAR(D160)+7)&lt;YEAR(E160),0,IF((YEAR(D160)+7)&gt;YEAR(E160),1,(12-MONTH(E160)+1)/12))))-((P160)*(IF((YEAR(D160)+7)&lt;YEAR(E160),0,IF((YEAR(D160)+7)&gt;YEAR(E160),1,(12-MONTH(E160)+1)/12))) + (R160)*(IF((YEAR(D160)+7)&lt;YEAR(E160),0,IF((YEAR(D160)+7)&gt;YEAR(E160),1,(12-MONTH(E160)+1)/12))))-(IF(OR(N160="",N160&lt;=0),0,(O160/N160)*(IF(OR(N160="",N160&lt;=0),0,IF((YEAR(D160)+7)&lt;YEAR(E160),0,IF((YEAR(D160)+7)&gt;=YEAR(E160)+N160,0,IF((YEAR(D160)+7)=YEAR(E160),(12-MONTH(E160)+1)/12,1))))))))&gt;0,(((K160)*(IF(M160="",L160,IFERROR(IF(INDEX(Variablen!$I:$AT, MATCH(M160, Variablen!$A:$A, 0), MATCH((YEAR(D160)+7), Variablen!$I$3:$AT$3, 0))="",L160,INDEX(Variablen!$I:$AT, MATCH(M160, Variablen!$A:$A, 0), MATCH((YEAR(D160)+7), Variablen!$I$3:$AT$3, 0))),L160)))*(IF((YEAR(D160)+7)&lt;YEAR(E160),0,IF((YEAR(D160)+7)&gt;YEAR(E160),1,(12-MONTH(E160)+1)/12))) + (Q160)*(IF((YEAR(D160)+7)&lt;YEAR(E160),0,IF((YEAR(D160)+7)&gt;YEAR(E160),1,(12-MONTH(E160)+1)/12))))-((P160)*(IF((YEAR(D160)+7)&lt;YEAR(E160),0,IF((YEAR(D160)+7)&gt;YEAR(E160),1,(12-MONTH(E160)+1)/12))) + (R160)*(IF((YEAR(D160)+7)&lt;YEAR(E160),0,IF((YEAR(D160)+7)&gt;YEAR(E160),1,(12-MONTH(E160)+1)/12))))-(IF(OR(N160="",N160&lt;=0),0,(O160/N160)*(IF(OR(N160="",N160&lt;=0),0,IF((YEAR(D160)+7)&lt;YEAR(E160),0,IF((YEAR(D160)+7)&gt;=YEAR(E160)+N160,0,IF((YEAR(D160)+7)=YEAR(E160),(12-MONTH(E160)+1)/12,1))))))))*TaxRate,0))-IF(7=0,O160,0))</f>
        <v/>
      </c>
      <c r="AA160" s="29">
        <f>IF(A160="","",((K160)*(IF(M160="",L160,IFERROR(IF(INDEX(Variablen!$I:$AT, MATCH(M160, Variablen!$A:$A, 0), MATCH((YEAR(D160)+8), Variablen!$I$3:$AT$3, 0))="",L160,INDEX(Variablen!$I:$AT, MATCH(M160, Variablen!$A:$A, 0), MATCH((YEAR(D160)+8), Variablen!$I$3:$AT$3, 0))),L160)))*(IF((YEAR(D160)+8)&lt;YEAR(E160),0,IF((YEAR(D160)+8)&gt;YEAR(E160),1,(12-MONTH(E160)+1)/12))) + (Q160)*(IF((YEAR(D160)+8)&lt;YEAR(E160),0,IF((YEAR(D160)+8)&gt;YEAR(E160),1,(12-MONTH(E160)+1)/12))))-((P160)*(IF((YEAR(D160)+8)&lt;YEAR(E160),0,IF((YEAR(D160)+8)&gt;YEAR(E160),1,(12-MONTH(E160)+1)/12))) + (R160)*(IF((YEAR(D160)+8)&lt;YEAR(E160),0,IF((YEAR(D160)+8)&gt;YEAR(E160),1,(12-MONTH(E160)+1)/12))))-(IF((((K160)*(IF(M160="",L160,IFERROR(IF(INDEX(Variablen!$I:$AT, MATCH(M160, Variablen!$A:$A, 0), MATCH((YEAR(D160)+8), Variablen!$I$3:$AT$3, 0))="",L160,INDEX(Variablen!$I:$AT, MATCH(M160, Variablen!$A:$A, 0), MATCH((YEAR(D160)+8), Variablen!$I$3:$AT$3, 0))),L160)))*(IF((YEAR(D160)+8)&lt;YEAR(E160),0,IF((YEAR(D160)+8)&gt;YEAR(E160),1,(12-MONTH(E160)+1)/12))) + (Q160)*(IF((YEAR(D160)+8)&lt;YEAR(E160),0,IF((YEAR(D160)+8)&gt;YEAR(E160),1,(12-MONTH(E160)+1)/12))))-((P160)*(IF((YEAR(D160)+8)&lt;YEAR(E160),0,IF((YEAR(D160)+8)&gt;YEAR(E160),1,(12-MONTH(E160)+1)/12))) + (R160)*(IF((YEAR(D160)+8)&lt;YEAR(E160),0,IF((YEAR(D160)+8)&gt;YEAR(E160),1,(12-MONTH(E160)+1)/12))))-(IF(OR(N160="",N160&lt;=0),0,(O160/N160)*(IF(OR(N160="",N160&lt;=0),0,IF((YEAR(D160)+8)&lt;YEAR(E160),0,IF((YEAR(D160)+8)&gt;=YEAR(E160)+N160,0,IF((YEAR(D160)+8)=YEAR(E160),(12-MONTH(E160)+1)/12,1))))))))&gt;0,(((K160)*(IF(M160="",L160,IFERROR(IF(INDEX(Variablen!$I:$AT, MATCH(M160, Variablen!$A:$A, 0), MATCH((YEAR(D160)+8), Variablen!$I$3:$AT$3, 0))="",L160,INDEX(Variablen!$I:$AT, MATCH(M160, Variablen!$A:$A, 0), MATCH((YEAR(D160)+8), Variablen!$I$3:$AT$3, 0))),L160)))*(IF((YEAR(D160)+8)&lt;YEAR(E160),0,IF((YEAR(D160)+8)&gt;YEAR(E160),1,(12-MONTH(E160)+1)/12))) + (Q160)*(IF((YEAR(D160)+8)&lt;YEAR(E160),0,IF((YEAR(D160)+8)&gt;YEAR(E160),1,(12-MONTH(E160)+1)/12))))-((P160)*(IF((YEAR(D160)+8)&lt;YEAR(E160),0,IF((YEAR(D160)+8)&gt;YEAR(E160),1,(12-MONTH(E160)+1)/12))) + (R160)*(IF((YEAR(D160)+8)&lt;YEAR(E160),0,IF((YEAR(D160)+8)&gt;YEAR(E160),1,(12-MONTH(E160)+1)/12))))-(IF(OR(N160="",N160&lt;=0),0,(O160/N160)*(IF(OR(N160="",N160&lt;=0),0,IF((YEAR(D160)+8)&lt;YEAR(E160),0,IF((YEAR(D160)+8)&gt;=YEAR(E160)+N160,0,IF((YEAR(D160)+8)=YEAR(E160),(12-MONTH(E160)+1)/12,1))))))))*TaxRate,0))-IF(8=0,O160,0))</f>
        <v/>
      </c>
      <c r="AB160" s="29">
        <f>IF(A160="","",((K160)*(IF(M160="",L160,IFERROR(IF(INDEX(Variablen!$I:$AT, MATCH(M160, Variablen!$A:$A, 0), MATCH((YEAR(D160)+9), Variablen!$I$3:$AT$3, 0))="",L160,INDEX(Variablen!$I:$AT, MATCH(M160, Variablen!$A:$A, 0), MATCH((YEAR(D160)+9), Variablen!$I$3:$AT$3, 0))),L160)))*(IF((YEAR(D160)+9)&lt;YEAR(E160),0,IF((YEAR(D160)+9)&gt;YEAR(E160),1,(12-MONTH(E160)+1)/12))) + (Q160)*(IF((YEAR(D160)+9)&lt;YEAR(E160),0,IF((YEAR(D160)+9)&gt;YEAR(E160),1,(12-MONTH(E160)+1)/12))))-((P160)*(IF((YEAR(D160)+9)&lt;YEAR(E160),0,IF((YEAR(D160)+9)&gt;YEAR(E160),1,(12-MONTH(E160)+1)/12))) + (R160)*(IF((YEAR(D160)+9)&lt;YEAR(E160),0,IF((YEAR(D160)+9)&gt;YEAR(E160),1,(12-MONTH(E160)+1)/12))))-(IF((((K160)*(IF(M160="",L160,IFERROR(IF(INDEX(Variablen!$I:$AT, MATCH(M160, Variablen!$A:$A, 0), MATCH((YEAR(D160)+9), Variablen!$I$3:$AT$3, 0))="",L160,INDEX(Variablen!$I:$AT, MATCH(M160, Variablen!$A:$A, 0), MATCH((YEAR(D160)+9), Variablen!$I$3:$AT$3, 0))),L160)))*(IF((YEAR(D160)+9)&lt;YEAR(E160),0,IF((YEAR(D160)+9)&gt;YEAR(E160),1,(12-MONTH(E160)+1)/12))) + (Q160)*(IF((YEAR(D160)+9)&lt;YEAR(E160),0,IF((YEAR(D160)+9)&gt;YEAR(E160),1,(12-MONTH(E160)+1)/12))))-((P160)*(IF((YEAR(D160)+9)&lt;YEAR(E160),0,IF((YEAR(D160)+9)&gt;YEAR(E160),1,(12-MONTH(E160)+1)/12))) + (R160)*(IF((YEAR(D160)+9)&lt;YEAR(E160),0,IF((YEAR(D160)+9)&gt;YEAR(E160),1,(12-MONTH(E160)+1)/12))))-(IF(OR(N160="",N160&lt;=0),0,(O160/N160)*(IF(OR(N160="",N160&lt;=0),0,IF((YEAR(D160)+9)&lt;YEAR(E160),0,IF((YEAR(D160)+9)&gt;=YEAR(E160)+N160,0,IF((YEAR(D160)+9)=YEAR(E160),(12-MONTH(E160)+1)/12,1))))))))&gt;0,(((K160)*(IF(M160="",L160,IFERROR(IF(INDEX(Variablen!$I:$AT, MATCH(M160, Variablen!$A:$A, 0), MATCH((YEAR(D160)+9), Variablen!$I$3:$AT$3, 0))="",L160,INDEX(Variablen!$I:$AT, MATCH(M160, Variablen!$A:$A, 0), MATCH((YEAR(D160)+9), Variablen!$I$3:$AT$3, 0))),L160)))*(IF((YEAR(D160)+9)&lt;YEAR(E160),0,IF((YEAR(D160)+9)&gt;YEAR(E160),1,(12-MONTH(E160)+1)/12))) + (Q160)*(IF((YEAR(D160)+9)&lt;YEAR(E160),0,IF((YEAR(D160)+9)&gt;YEAR(E160),1,(12-MONTH(E160)+1)/12))))-((P160)*(IF((YEAR(D160)+9)&lt;YEAR(E160),0,IF((YEAR(D160)+9)&gt;YEAR(E160),1,(12-MONTH(E160)+1)/12))) + (R160)*(IF((YEAR(D160)+9)&lt;YEAR(E160),0,IF((YEAR(D160)+9)&gt;YEAR(E160),1,(12-MONTH(E160)+1)/12))))-(IF(OR(N160="",N160&lt;=0),0,(O160/N160)*(IF(OR(N160="",N160&lt;=0),0,IF((YEAR(D160)+9)&lt;YEAR(E160),0,IF((YEAR(D160)+9)&gt;=YEAR(E160)+N160,0,IF((YEAR(D160)+9)=YEAR(E160),(12-MONTH(E160)+1)/12,1))))))))*TaxRate,0))-IF(9=0,O160,0))</f>
        <v/>
      </c>
      <c r="AC160" s="29">
        <f>IF(A160="","",((K160)*(IF(M160="",L160,IFERROR(IF(INDEX(Variablen!$I:$AT, MATCH(M160, Variablen!$A:$A, 0), MATCH((YEAR(D160)+10), Variablen!$I$3:$AT$3, 0))="",L160,INDEX(Variablen!$I:$AT, MATCH(M160, Variablen!$A:$A, 0), MATCH((YEAR(D160)+10), Variablen!$I$3:$AT$3, 0))),L160)))*(IF((YEAR(D160)+10)&lt;YEAR(E160),0,IF((YEAR(D160)+10)&gt;YEAR(E160),1,(12-MONTH(E160)+1)/12))) + (Q160)*(IF((YEAR(D160)+10)&lt;YEAR(E160),0,IF((YEAR(D160)+10)&gt;YEAR(E160),1,(12-MONTH(E160)+1)/12))))-((P160)*(IF((YEAR(D160)+10)&lt;YEAR(E160),0,IF((YEAR(D160)+10)&gt;YEAR(E160),1,(12-MONTH(E160)+1)/12))) + (R160)*(IF((YEAR(D160)+10)&lt;YEAR(E160),0,IF((YEAR(D160)+10)&gt;YEAR(E160),1,(12-MONTH(E160)+1)/12))))-(IF((((K160)*(IF(M160="",L160,IFERROR(IF(INDEX(Variablen!$I:$AT, MATCH(M160, Variablen!$A:$A, 0), MATCH((YEAR(D160)+10), Variablen!$I$3:$AT$3, 0))="",L160,INDEX(Variablen!$I:$AT, MATCH(M160, Variablen!$A:$A, 0), MATCH((YEAR(D160)+10), Variablen!$I$3:$AT$3, 0))),L160)))*(IF((YEAR(D160)+10)&lt;YEAR(E160),0,IF((YEAR(D160)+10)&gt;YEAR(E160),1,(12-MONTH(E160)+1)/12))) + (Q160)*(IF((YEAR(D160)+10)&lt;YEAR(E160),0,IF((YEAR(D160)+10)&gt;YEAR(E160),1,(12-MONTH(E160)+1)/12))))-((P160)*(IF((YEAR(D160)+10)&lt;YEAR(E160),0,IF((YEAR(D160)+10)&gt;YEAR(E160),1,(12-MONTH(E160)+1)/12))) + (R160)*(IF((YEAR(D160)+10)&lt;YEAR(E160),0,IF((YEAR(D160)+10)&gt;YEAR(E160),1,(12-MONTH(E160)+1)/12))))-(IF(OR(N160="",N160&lt;=0),0,(O160/N160)*(IF(OR(N160="",N160&lt;=0),0,IF((YEAR(D160)+10)&lt;YEAR(E160),0,IF((YEAR(D160)+10)&gt;=YEAR(E160)+N160,0,IF((YEAR(D160)+10)=YEAR(E160),(12-MONTH(E160)+1)/12,1))))))))&gt;0,(((K160)*(IF(M160="",L160,IFERROR(IF(INDEX(Variablen!$I:$AT, MATCH(M160, Variablen!$A:$A, 0), MATCH((YEAR(D160)+10), Variablen!$I$3:$AT$3, 0))="",L160,INDEX(Variablen!$I:$AT, MATCH(M160, Variablen!$A:$A, 0), MATCH((YEAR(D160)+10), Variablen!$I$3:$AT$3, 0))),L160)))*(IF((YEAR(D160)+10)&lt;YEAR(E160),0,IF((YEAR(D160)+10)&gt;YEAR(E160),1,(12-MONTH(E160)+1)/12))) + (Q160)*(IF((YEAR(D160)+10)&lt;YEAR(E160),0,IF((YEAR(D160)+10)&gt;YEAR(E160),1,(12-MONTH(E160)+1)/12))))-((P160)*(IF((YEAR(D160)+10)&lt;YEAR(E160),0,IF((YEAR(D160)+10)&gt;YEAR(E160),1,(12-MONTH(E160)+1)/12))) + (R160)*(IF((YEAR(D160)+10)&lt;YEAR(E160),0,IF((YEAR(D160)+10)&gt;YEAR(E160),1,(12-MONTH(E160)+1)/12))))-(IF(OR(N160="",N160&lt;=0),0,(O160/N160)*(IF(OR(N160="",N160&lt;=0),0,IF((YEAR(D160)+10)&lt;YEAR(E160),0,IF((YEAR(D160)+10)&gt;=YEAR(E160)+N160,0,IF((YEAR(D160)+10)=YEAR(E160),(12-MONTH(E160)+1)/12,1))))))))*TaxRate,0))-IF(10=0,O160,0))</f>
        <v/>
      </c>
      <c r="AD160" s="29">
        <f>IF(A160="","",((K160)*(IF(M160="",L160,IFERROR(IF(INDEX(Variablen!$I:$AT, MATCH(M160, Variablen!$A:$A, 0), MATCH((YEAR(D160)+11), Variablen!$I$3:$AT$3, 0))="",L160,INDEX(Variablen!$I:$AT, MATCH(M160, Variablen!$A:$A, 0), MATCH((YEAR(D160)+11), Variablen!$I$3:$AT$3, 0))),L160)))*(IF((YEAR(D160)+11)&lt;YEAR(E160),0,IF((YEAR(D160)+11)&gt;YEAR(E160),1,(12-MONTH(E160)+1)/12))) + (Q160)*(IF((YEAR(D160)+11)&lt;YEAR(E160),0,IF((YEAR(D160)+11)&gt;YEAR(E160),1,(12-MONTH(E160)+1)/12))))-((P160)*(IF((YEAR(D160)+11)&lt;YEAR(E160),0,IF((YEAR(D160)+11)&gt;YEAR(E160),1,(12-MONTH(E160)+1)/12))) + (R160)*(IF((YEAR(D160)+11)&lt;YEAR(E160),0,IF((YEAR(D160)+11)&gt;YEAR(E160),1,(12-MONTH(E160)+1)/12))))-(IF((((K160)*(IF(M160="",L160,IFERROR(IF(INDEX(Variablen!$I:$AT, MATCH(M160, Variablen!$A:$A, 0), MATCH((YEAR(D160)+11), Variablen!$I$3:$AT$3, 0))="",L160,INDEX(Variablen!$I:$AT, MATCH(M160, Variablen!$A:$A, 0), MATCH((YEAR(D160)+11), Variablen!$I$3:$AT$3, 0))),L160)))*(IF((YEAR(D160)+11)&lt;YEAR(E160),0,IF((YEAR(D160)+11)&gt;YEAR(E160),1,(12-MONTH(E160)+1)/12))) + (Q160)*(IF((YEAR(D160)+11)&lt;YEAR(E160),0,IF((YEAR(D160)+11)&gt;YEAR(E160),1,(12-MONTH(E160)+1)/12))))-((P160)*(IF((YEAR(D160)+11)&lt;YEAR(E160),0,IF((YEAR(D160)+11)&gt;YEAR(E160),1,(12-MONTH(E160)+1)/12))) + (R160)*(IF((YEAR(D160)+11)&lt;YEAR(E160),0,IF((YEAR(D160)+11)&gt;YEAR(E160),1,(12-MONTH(E160)+1)/12))))-(IF(OR(N160="",N160&lt;=0),0,(O160/N160)*(IF(OR(N160="",N160&lt;=0),0,IF((YEAR(D160)+11)&lt;YEAR(E160),0,IF((YEAR(D160)+11)&gt;=YEAR(E160)+N160,0,IF((YEAR(D160)+11)=YEAR(E160),(12-MONTH(E160)+1)/12,1))))))))&gt;0,(((K160)*(IF(M160="",L160,IFERROR(IF(INDEX(Variablen!$I:$AT, MATCH(M160, Variablen!$A:$A, 0), MATCH((YEAR(D160)+11), Variablen!$I$3:$AT$3, 0))="",L160,INDEX(Variablen!$I:$AT, MATCH(M160, Variablen!$A:$A, 0), MATCH((YEAR(D160)+11), Variablen!$I$3:$AT$3, 0))),L160)))*(IF((YEAR(D160)+11)&lt;YEAR(E160),0,IF((YEAR(D160)+11)&gt;YEAR(E160),1,(12-MONTH(E160)+1)/12))) + (Q160)*(IF((YEAR(D160)+11)&lt;YEAR(E160),0,IF((YEAR(D160)+11)&gt;YEAR(E160),1,(12-MONTH(E160)+1)/12))))-((P160)*(IF((YEAR(D160)+11)&lt;YEAR(E160),0,IF((YEAR(D160)+11)&gt;YEAR(E160),1,(12-MONTH(E160)+1)/12))) + (R160)*(IF((YEAR(D160)+11)&lt;YEAR(E160),0,IF((YEAR(D160)+11)&gt;YEAR(E160),1,(12-MONTH(E160)+1)/12))))-(IF(OR(N160="",N160&lt;=0),0,(O160/N160)*(IF(OR(N160="",N160&lt;=0),0,IF((YEAR(D160)+11)&lt;YEAR(E160),0,IF((YEAR(D160)+11)&gt;=YEAR(E160)+N160,0,IF((YEAR(D160)+11)=YEAR(E160),(12-MONTH(E160)+1)/12,1))))))))*TaxRate,0))-IF(11=0,O160,0))</f>
        <v/>
      </c>
      <c r="AE160" s="29">
        <f>IF(A160="","",((K160)*(IF(M160="",L160,IFERROR(IF(INDEX(Variablen!$I:$AT, MATCH(M160, Variablen!$A:$A, 0), MATCH((YEAR(D160)+12), Variablen!$I$3:$AT$3, 0))="",L160,INDEX(Variablen!$I:$AT, MATCH(M160, Variablen!$A:$A, 0), MATCH((YEAR(D160)+12), Variablen!$I$3:$AT$3, 0))),L160)))*(IF((YEAR(D160)+12)&lt;YEAR(E160),0,IF((YEAR(D160)+12)&gt;YEAR(E160),1,(12-MONTH(E160)+1)/12))) + (Q160)*(IF((YEAR(D160)+12)&lt;YEAR(E160),0,IF((YEAR(D160)+12)&gt;YEAR(E160),1,(12-MONTH(E160)+1)/12))))-((P160)*(IF((YEAR(D160)+12)&lt;YEAR(E160),0,IF((YEAR(D160)+12)&gt;YEAR(E160),1,(12-MONTH(E160)+1)/12))) + (R160)*(IF((YEAR(D160)+12)&lt;YEAR(E160),0,IF((YEAR(D160)+12)&gt;YEAR(E160),1,(12-MONTH(E160)+1)/12))))-(IF((((K160)*(IF(M160="",L160,IFERROR(IF(INDEX(Variablen!$I:$AT, MATCH(M160, Variablen!$A:$A, 0), MATCH((YEAR(D160)+12), Variablen!$I$3:$AT$3, 0))="",L160,INDEX(Variablen!$I:$AT, MATCH(M160, Variablen!$A:$A, 0), MATCH((YEAR(D160)+12), Variablen!$I$3:$AT$3, 0))),L160)))*(IF((YEAR(D160)+12)&lt;YEAR(E160),0,IF((YEAR(D160)+12)&gt;YEAR(E160),1,(12-MONTH(E160)+1)/12))) + (Q160)*(IF((YEAR(D160)+12)&lt;YEAR(E160),0,IF((YEAR(D160)+12)&gt;YEAR(E160),1,(12-MONTH(E160)+1)/12))))-((P160)*(IF((YEAR(D160)+12)&lt;YEAR(E160),0,IF((YEAR(D160)+12)&gt;YEAR(E160),1,(12-MONTH(E160)+1)/12))) + (R160)*(IF((YEAR(D160)+12)&lt;YEAR(E160),0,IF((YEAR(D160)+12)&gt;YEAR(E160),1,(12-MONTH(E160)+1)/12))))-(IF(OR(N160="",N160&lt;=0),0,(O160/N160)*(IF(OR(N160="",N160&lt;=0),0,IF((YEAR(D160)+12)&lt;YEAR(E160),0,IF((YEAR(D160)+12)&gt;=YEAR(E160)+N160,0,IF((YEAR(D160)+12)=YEAR(E160),(12-MONTH(E160)+1)/12,1))))))))&gt;0,(((K160)*(IF(M160="",L160,IFERROR(IF(INDEX(Variablen!$I:$AT, MATCH(M160, Variablen!$A:$A, 0), MATCH((YEAR(D160)+12), Variablen!$I$3:$AT$3, 0))="",L160,INDEX(Variablen!$I:$AT, MATCH(M160, Variablen!$A:$A, 0), MATCH((YEAR(D160)+12), Variablen!$I$3:$AT$3, 0))),L160)))*(IF((YEAR(D160)+12)&lt;YEAR(E160),0,IF((YEAR(D160)+12)&gt;YEAR(E160),1,(12-MONTH(E160)+1)/12))) + (Q160)*(IF((YEAR(D160)+12)&lt;YEAR(E160),0,IF((YEAR(D160)+12)&gt;YEAR(E160),1,(12-MONTH(E160)+1)/12))))-((P160)*(IF((YEAR(D160)+12)&lt;YEAR(E160),0,IF((YEAR(D160)+12)&gt;YEAR(E160),1,(12-MONTH(E160)+1)/12))) + (R160)*(IF((YEAR(D160)+12)&lt;YEAR(E160),0,IF((YEAR(D160)+12)&gt;YEAR(E160),1,(12-MONTH(E160)+1)/12))))-(IF(OR(N160="",N160&lt;=0),0,(O160/N160)*(IF(OR(N160="",N160&lt;=0),0,IF((YEAR(D160)+12)&lt;YEAR(E160),0,IF((YEAR(D160)+12)&gt;=YEAR(E160)+N160,0,IF((YEAR(D160)+12)=YEAR(E160),(12-MONTH(E160)+1)/12,1))))))))*TaxRate,0))-IF(12=0,O160,0))</f>
        <v/>
      </c>
      <c r="AF160" s="29">
        <f>IF(A160="","",((K160)*(IF(M160="",L160,IFERROR(IF(INDEX(Variablen!$I:$AT, MATCH(M160, Variablen!$A:$A, 0), MATCH((YEAR(D160)+13), Variablen!$I$3:$AT$3, 0))="",L160,INDEX(Variablen!$I:$AT, MATCH(M160, Variablen!$A:$A, 0), MATCH((YEAR(D160)+13), Variablen!$I$3:$AT$3, 0))),L160)))*(IF((YEAR(D160)+13)&lt;YEAR(E160),0,IF((YEAR(D160)+13)&gt;YEAR(E160),1,(12-MONTH(E160)+1)/12))) + (Q160)*(IF((YEAR(D160)+13)&lt;YEAR(E160),0,IF((YEAR(D160)+13)&gt;YEAR(E160),1,(12-MONTH(E160)+1)/12))))-((P160)*(IF((YEAR(D160)+13)&lt;YEAR(E160),0,IF((YEAR(D160)+13)&gt;YEAR(E160),1,(12-MONTH(E160)+1)/12))) + (R160)*(IF((YEAR(D160)+13)&lt;YEAR(E160),0,IF((YEAR(D160)+13)&gt;YEAR(E160),1,(12-MONTH(E160)+1)/12))))-(IF((((K160)*(IF(M160="",L160,IFERROR(IF(INDEX(Variablen!$I:$AT, MATCH(M160, Variablen!$A:$A, 0), MATCH((YEAR(D160)+13), Variablen!$I$3:$AT$3, 0))="",L160,INDEX(Variablen!$I:$AT, MATCH(M160, Variablen!$A:$A, 0), MATCH((YEAR(D160)+13), Variablen!$I$3:$AT$3, 0))),L160)))*(IF((YEAR(D160)+13)&lt;YEAR(E160),0,IF((YEAR(D160)+13)&gt;YEAR(E160),1,(12-MONTH(E160)+1)/12))) + (Q160)*(IF((YEAR(D160)+13)&lt;YEAR(E160),0,IF((YEAR(D160)+13)&gt;YEAR(E160),1,(12-MONTH(E160)+1)/12))))-((P160)*(IF((YEAR(D160)+13)&lt;YEAR(E160),0,IF((YEAR(D160)+13)&gt;YEAR(E160),1,(12-MONTH(E160)+1)/12))) + (R160)*(IF((YEAR(D160)+13)&lt;YEAR(E160),0,IF((YEAR(D160)+13)&gt;YEAR(E160),1,(12-MONTH(E160)+1)/12))))-(IF(OR(N160="",N160&lt;=0),0,(O160/N160)*(IF(OR(N160="",N160&lt;=0),0,IF((YEAR(D160)+13)&lt;YEAR(E160),0,IF((YEAR(D160)+13)&gt;=YEAR(E160)+N160,0,IF((YEAR(D160)+13)=YEAR(E160),(12-MONTH(E160)+1)/12,1))))))))&gt;0,(((K160)*(IF(M160="",L160,IFERROR(IF(INDEX(Variablen!$I:$AT, MATCH(M160, Variablen!$A:$A, 0), MATCH((YEAR(D160)+13), Variablen!$I$3:$AT$3, 0))="",L160,INDEX(Variablen!$I:$AT, MATCH(M160, Variablen!$A:$A, 0), MATCH((YEAR(D160)+13), Variablen!$I$3:$AT$3, 0))),L160)))*(IF((YEAR(D160)+13)&lt;YEAR(E160),0,IF((YEAR(D160)+13)&gt;YEAR(E160),1,(12-MONTH(E160)+1)/12))) + (Q160)*(IF((YEAR(D160)+13)&lt;YEAR(E160),0,IF((YEAR(D160)+13)&gt;YEAR(E160),1,(12-MONTH(E160)+1)/12))))-((P160)*(IF((YEAR(D160)+13)&lt;YEAR(E160),0,IF((YEAR(D160)+13)&gt;YEAR(E160),1,(12-MONTH(E160)+1)/12))) + (R160)*(IF((YEAR(D160)+13)&lt;YEAR(E160),0,IF((YEAR(D160)+13)&gt;YEAR(E160),1,(12-MONTH(E160)+1)/12))))-(IF(OR(N160="",N160&lt;=0),0,(O160/N160)*(IF(OR(N160="",N160&lt;=0),0,IF((YEAR(D160)+13)&lt;YEAR(E160),0,IF((YEAR(D160)+13)&gt;=YEAR(E160)+N160,0,IF((YEAR(D160)+13)=YEAR(E160),(12-MONTH(E160)+1)/12,1))))))))*TaxRate,0))-IF(13=0,O160,0))</f>
        <v/>
      </c>
      <c r="AG160" s="29">
        <f>IF(A160="","",((K160)*(IF(M160="",L160,IFERROR(IF(INDEX(Variablen!$I:$AT, MATCH(M160, Variablen!$A:$A, 0), MATCH((YEAR(D160)+14), Variablen!$I$3:$AT$3, 0))="",L160,INDEX(Variablen!$I:$AT, MATCH(M160, Variablen!$A:$A, 0), MATCH((YEAR(D160)+14), Variablen!$I$3:$AT$3, 0))),L160)))*(IF((YEAR(D160)+14)&lt;YEAR(E160),0,IF((YEAR(D160)+14)&gt;YEAR(E160),1,(12-MONTH(E160)+1)/12))) + (Q160)*(IF((YEAR(D160)+14)&lt;YEAR(E160),0,IF((YEAR(D160)+14)&gt;YEAR(E160),1,(12-MONTH(E160)+1)/12))))-((P160)*(IF((YEAR(D160)+14)&lt;YEAR(E160),0,IF((YEAR(D160)+14)&gt;YEAR(E160),1,(12-MONTH(E160)+1)/12))) + (R160)*(IF((YEAR(D160)+14)&lt;YEAR(E160),0,IF((YEAR(D160)+14)&gt;YEAR(E160),1,(12-MONTH(E160)+1)/12))))-(IF((((K160)*(IF(M160="",L160,IFERROR(IF(INDEX(Variablen!$I:$AT, MATCH(M160, Variablen!$A:$A, 0), MATCH((YEAR(D160)+14), Variablen!$I$3:$AT$3, 0))="",L160,INDEX(Variablen!$I:$AT, MATCH(M160, Variablen!$A:$A, 0), MATCH((YEAR(D160)+14), Variablen!$I$3:$AT$3, 0))),L160)))*(IF((YEAR(D160)+14)&lt;YEAR(E160),0,IF((YEAR(D160)+14)&gt;YEAR(E160),1,(12-MONTH(E160)+1)/12))) + (Q160)*(IF((YEAR(D160)+14)&lt;YEAR(E160),0,IF((YEAR(D160)+14)&gt;YEAR(E160),1,(12-MONTH(E160)+1)/12))))-((P160)*(IF((YEAR(D160)+14)&lt;YEAR(E160),0,IF((YEAR(D160)+14)&gt;YEAR(E160),1,(12-MONTH(E160)+1)/12))) + (R160)*(IF((YEAR(D160)+14)&lt;YEAR(E160),0,IF((YEAR(D160)+14)&gt;YEAR(E160),1,(12-MONTH(E160)+1)/12))))-(IF(OR(N160="",N160&lt;=0),0,(O160/N160)*(IF(OR(N160="",N160&lt;=0),0,IF((YEAR(D160)+14)&lt;YEAR(E160),0,IF((YEAR(D160)+14)&gt;=YEAR(E160)+N160,0,IF((YEAR(D160)+14)=YEAR(E160),(12-MONTH(E160)+1)/12,1))))))))&gt;0,(((K160)*(IF(M160="",L160,IFERROR(IF(INDEX(Variablen!$I:$AT, MATCH(M160, Variablen!$A:$A, 0), MATCH((YEAR(D160)+14), Variablen!$I$3:$AT$3, 0))="",L160,INDEX(Variablen!$I:$AT, MATCH(M160, Variablen!$A:$A, 0), MATCH((YEAR(D160)+14), Variablen!$I$3:$AT$3, 0))),L160)))*(IF((YEAR(D160)+14)&lt;YEAR(E160),0,IF((YEAR(D160)+14)&gt;YEAR(E160),1,(12-MONTH(E160)+1)/12))) + (Q160)*(IF((YEAR(D160)+14)&lt;YEAR(E160),0,IF((YEAR(D160)+14)&gt;YEAR(E160),1,(12-MONTH(E160)+1)/12))))-((P160)*(IF((YEAR(D160)+14)&lt;YEAR(E160),0,IF((YEAR(D160)+14)&gt;YEAR(E160),1,(12-MONTH(E160)+1)/12))) + (R160)*(IF((YEAR(D160)+14)&lt;YEAR(E160),0,IF((YEAR(D160)+14)&gt;YEAR(E160),1,(12-MONTH(E160)+1)/12))))-(IF(OR(N160="",N160&lt;=0),0,(O160/N160)*(IF(OR(N160="",N160&lt;=0),0,IF((YEAR(D160)+14)&lt;YEAR(E160),0,IF((YEAR(D160)+14)&gt;=YEAR(E160)+N160,0,IF((YEAR(D160)+14)=YEAR(E160),(12-MONTH(E160)+1)/12,1))))))))*TaxRate,0))-IF(14=0,O160,0))</f>
        <v/>
      </c>
      <c r="AH160" s="29">
        <f>IF(A160="","",((K160)*(IF(M160="",L160,IFERROR(IF(INDEX(Variablen!$I:$AT, MATCH(M160, Variablen!$A:$A, 0), MATCH((YEAR(D160)+15), Variablen!$I$3:$AT$3, 0))="",L160,INDEX(Variablen!$I:$AT, MATCH(M160, Variablen!$A:$A, 0), MATCH((YEAR(D160)+15), Variablen!$I$3:$AT$3, 0))),L160)))*(IF((YEAR(D160)+15)&lt;YEAR(E160),0,IF((YEAR(D160)+15)&gt;YEAR(E160),1,(12-MONTH(E160)+1)/12))) + (Q160)*(IF((YEAR(D160)+15)&lt;YEAR(E160),0,IF((YEAR(D160)+15)&gt;YEAR(E160),1,(12-MONTH(E160)+1)/12))))-((P160)*(IF((YEAR(D160)+15)&lt;YEAR(E160),0,IF((YEAR(D160)+15)&gt;YEAR(E160),1,(12-MONTH(E160)+1)/12))) + (R160)*(IF((YEAR(D160)+15)&lt;YEAR(E160),0,IF((YEAR(D160)+15)&gt;YEAR(E160),1,(12-MONTH(E160)+1)/12))))-(IF((((K160)*(IF(M160="",L160,IFERROR(IF(INDEX(Variablen!$I:$AT, MATCH(M160, Variablen!$A:$A, 0), MATCH((YEAR(D160)+15), Variablen!$I$3:$AT$3, 0))="",L160,INDEX(Variablen!$I:$AT, MATCH(M160, Variablen!$A:$A, 0), MATCH((YEAR(D160)+15), Variablen!$I$3:$AT$3, 0))),L160)))*(IF((YEAR(D160)+15)&lt;YEAR(E160),0,IF((YEAR(D160)+15)&gt;YEAR(E160),1,(12-MONTH(E160)+1)/12))) + (Q160)*(IF((YEAR(D160)+15)&lt;YEAR(E160),0,IF((YEAR(D160)+15)&gt;YEAR(E160),1,(12-MONTH(E160)+1)/12))))-((P160)*(IF((YEAR(D160)+15)&lt;YEAR(E160),0,IF((YEAR(D160)+15)&gt;YEAR(E160),1,(12-MONTH(E160)+1)/12))) + (R160)*(IF((YEAR(D160)+15)&lt;YEAR(E160),0,IF((YEAR(D160)+15)&gt;YEAR(E160),1,(12-MONTH(E160)+1)/12))))-(IF(OR(N160="",N160&lt;=0),0,(O160/N160)*(IF(OR(N160="",N160&lt;=0),0,IF((YEAR(D160)+15)&lt;YEAR(E160),0,IF((YEAR(D160)+15)&gt;=YEAR(E160)+N160,0,IF((YEAR(D160)+15)=YEAR(E160),(12-MONTH(E160)+1)/12,1))))))))&gt;0,(((K160)*(IF(M160="",L160,IFERROR(IF(INDEX(Variablen!$I:$AT, MATCH(M160, Variablen!$A:$A, 0), MATCH((YEAR(D160)+15), Variablen!$I$3:$AT$3, 0))="",L160,INDEX(Variablen!$I:$AT, MATCH(M160, Variablen!$A:$A, 0), MATCH((YEAR(D160)+15), Variablen!$I$3:$AT$3, 0))),L160)))*(IF((YEAR(D160)+15)&lt;YEAR(E160),0,IF((YEAR(D160)+15)&gt;YEAR(E160),1,(12-MONTH(E160)+1)/12))) + (Q160)*(IF((YEAR(D160)+15)&lt;YEAR(E160),0,IF((YEAR(D160)+15)&gt;YEAR(E160),1,(12-MONTH(E160)+1)/12))))-((P160)*(IF((YEAR(D160)+15)&lt;YEAR(E160),0,IF((YEAR(D160)+15)&gt;YEAR(E160),1,(12-MONTH(E160)+1)/12))) + (R160)*(IF((YEAR(D160)+15)&lt;YEAR(E160),0,IF((YEAR(D160)+15)&gt;YEAR(E160),1,(12-MONTH(E160)+1)/12))))-(IF(OR(N160="",N160&lt;=0),0,(O160/N160)*(IF(OR(N160="",N160&lt;=0),0,IF((YEAR(D160)+15)&lt;YEAR(E160),0,IF((YEAR(D160)+15)&gt;=YEAR(E160)+N160,0,IF((YEAR(D160)+15)=YEAR(E160),(12-MONTH(E160)+1)/12,1))))))))*TaxRate,0))-IF(15=0,O160,0))</f>
        <v/>
      </c>
      <c r="AI160" s="29">
        <f>IF(A160="","",((K160)*(IF(M160="",L160,IFERROR(IF(INDEX(Variablen!$I:$AT, MATCH(M160, Variablen!$A:$A, 0), MATCH((YEAR(D160)+16), Variablen!$I$3:$AT$3, 0))="",L160,INDEX(Variablen!$I:$AT, MATCH(M160, Variablen!$A:$A, 0), MATCH((YEAR(D160)+16), Variablen!$I$3:$AT$3, 0))),L160)))*(IF((YEAR(D160)+16)&lt;YEAR(E160),0,IF((YEAR(D160)+16)&gt;YEAR(E160),1,(12-MONTH(E160)+1)/12))) + (Q160)*(IF((YEAR(D160)+16)&lt;YEAR(E160),0,IF((YEAR(D160)+16)&gt;YEAR(E160),1,(12-MONTH(E160)+1)/12))))-((P160)*(IF((YEAR(D160)+16)&lt;YEAR(E160),0,IF((YEAR(D160)+16)&gt;YEAR(E160),1,(12-MONTH(E160)+1)/12))) + (R160)*(IF((YEAR(D160)+16)&lt;YEAR(E160),0,IF((YEAR(D160)+16)&gt;YEAR(E160),1,(12-MONTH(E160)+1)/12))))-(IF((((K160)*(IF(M160="",L160,IFERROR(IF(INDEX(Variablen!$I:$AT, MATCH(M160, Variablen!$A:$A, 0), MATCH((YEAR(D160)+16), Variablen!$I$3:$AT$3, 0))="",L160,INDEX(Variablen!$I:$AT, MATCH(M160, Variablen!$A:$A, 0), MATCH((YEAR(D160)+16), Variablen!$I$3:$AT$3, 0))),L160)))*(IF((YEAR(D160)+16)&lt;YEAR(E160),0,IF((YEAR(D160)+16)&gt;YEAR(E160),1,(12-MONTH(E160)+1)/12))) + (Q160)*(IF((YEAR(D160)+16)&lt;YEAR(E160),0,IF((YEAR(D160)+16)&gt;YEAR(E160),1,(12-MONTH(E160)+1)/12))))-((P160)*(IF((YEAR(D160)+16)&lt;YEAR(E160),0,IF((YEAR(D160)+16)&gt;YEAR(E160),1,(12-MONTH(E160)+1)/12))) + (R160)*(IF((YEAR(D160)+16)&lt;YEAR(E160),0,IF((YEAR(D160)+16)&gt;YEAR(E160),1,(12-MONTH(E160)+1)/12))))-(IF(OR(N160="",N160&lt;=0),0,(O160/N160)*(IF(OR(N160="",N160&lt;=0),0,IF((YEAR(D160)+16)&lt;YEAR(E160),0,IF((YEAR(D160)+16)&gt;=YEAR(E160)+N160,0,IF((YEAR(D160)+16)=YEAR(E160),(12-MONTH(E160)+1)/12,1))))))))&gt;0,(((K160)*(IF(M160="",L160,IFERROR(IF(INDEX(Variablen!$I:$AT, MATCH(M160, Variablen!$A:$A, 0), MATCH((YEAR(D160)+16), Variablen!$I$3:$AT$3, 0))="",L160,INDEX(Variablen!$I:$AT, MATCH(M160, Variablen!$A:$A, 0), MATCH((YEAR(D160)+16), Variablen!$I$3:$AT$3, 0))),L160)))*(IF((YEAR(D160)+16)&lt;YEAR(E160),0,IF((YEAR(D160)+16)&gt;YEAR(E160),1,(12-MONTH(E160)+1)/12))) + (Q160)*(IF((YEAR(D160)+16)&lt;YEAR(E160),0,IF((YEAR(D160)+16)&gt;YEAR(E160),1,(12-MONTH(E160)+1)/12))))-((P160)*(IF((YEAR(D160)+16)&lt;YEAR(E160),0,IF((YEAR(D160)+16)&gt;YEAR(E160),1,(12-MONTH(E160)+1)/12))) + (R160)*(IF((YEAR(D160)+16)&lt;YEAR(E160),0,IF((YEAR(D160)+16)&gt;YEAR(E160),1,(12-MONTH(E160)+1)/12))))-(IF(OR(N160="",N160&lt;=0),0,(O160/N160)*(IF(OR(N160="",N160&lt;=0),0,IF((YEAR(D160)+16)&lt;YEAR(E160),0,IF((YEAR(D160)+16)&gt;=YEAR(E160)+N160,0,IF((YEAR(D160)+16)=YEAR(E160),(12-MONTH(E160)+1)/12,1))))))))*TaxRate,0))-IF(16=0,O160,0))</f>
        <v/>
      </c>
      <c r="AJ160" s="29">
        <f>IF(A160="","",((K160)*(IF(M160="",L160,IFERROR(IF(INDEX(Variablen!$I:$AT, MATCH(M160, Variablen!$A:$A, 0), MATCH((YEAR(D160)+17), Variablen!$I$3:$AT$3, 0))="",L160,INDEX(Variablen!$I:$AT, MATCH(M160, Variablen!$A:$A, 0), MATCH((YEAR(D160)+17), Variablen!$I$3:$AT$3, 0))),L160)))*(IF((YEAR(D160)+17)&lt;YEAR(E160),0,IF((YEAR(D160)+17)&gt;YEAR(E160),1,(12-MONTH(E160)+1)/12))) + (Q160)*(IF((YEAR(D160)+17)&lt;YEAR(E160),0,IF((YEAR(D160)+17)&gt;YEAR(E160),1,(12-MONTH(E160)+1)/12))))-((P160)*(IF((YEAR(D160)+17)&lt;YEAR(E160),0,IF((YEAR(D160)+17)&gt;YEAR(E160),1,(12-MONTH(E160)+1)/12))) + (R160)*(IF((YEAR(D160)+17)&lt;YEAR(E160),0,IF((YEAR(D160)+17)&gt;YEAR(E160),1,(12-MONTH(E160)+1)/12))))-(IF((((K160)*(IF(M160="",L160,IFERROR(IF(INDEX(Variablen!$I:$AT, MATCH(M160, Variablen!$A:$A, 0), MATCH((YEAR(D160)+17), Variablen!$I$3:$AT$3, 0))="",L160,INDEX(Variablen!$I:$AT, MATCH(M160, Variablen!$A:$A, 0), MATCH((YEAR(D160)+17), Variablen!$I$3:$AT$3, 0))),L160)))*(IF((YEAR(D160)+17)&lt;YEAR(E160),0,IF((YEAR(D160)+17)&gt;YEAR(E160),1,(12-MONTH(E160)+1)/12))) + (Q160)*(IF((YEAR(D160)+17)&lt;YEAR(E160),0,IF((YEAR(D160)+17)&gt;YEAR(E160),1,(12-MONTH(E160)+1)/12))))-((P160)*(IF((YEAR(D160)+17)&lt;YEAR(E160),0,IF((YEAR(D160)+17)&gt;YEAR(E160),1,(12-MONTH(E160)+1)/12))) + (R160)*(IF((YEAR(D160)+17)&lt;YEAR(E160),0,IF((YEAR(D160)+17)&gt;YEAR(E160),1,(12-MONTH(E160)+1)/12))))-(IF(OR(N160="",N160&lt;=0),0,(O160/N160)*(IF(OR(N160="",N160&lt;=0),0,IF((YEAR(D160)+17)&lt;YEAR(E160),0,IF((YEAR(D160)+17)&gt;=YEAR(E160)+N160,0,IF((YEAR(D160)+17)=YEAR(E160),(12-MONTH(E160)+1)/12,1))))))))&gt;0,(((K160)*(IF(M160="",L160,IFERROR(IF(INDEX(Variablen!$I:$AT, MATCH(M160, Variablen!$A:$A, 0), MATCH((YEAR(D160)+17), Variablen!$I$3:$AT$3, 0))="",L160,INDEX(Variablen!$I:$AT, MATCH(M160, Variablen!$A:$A, 0), MATCH((YEAR(D160)+17), Variablen!$I$3:$AT$3, 0))),L160)))*(IF((YEAR(D160)+17)&lt;YEAR(E160),0,IF((YEAR(D160)+17)&gt;YEAR(E160),1,(12-MONTH(E160)+1)/12))) + (Q160)*(IF((YEAR(D160)+17)&lt;YEAR(E160),0,IF((YEAR(D160)+17)&gt;YEAR(E160),1,(12-MONTH(E160)+1)/12))))-((P160)*(IF((YEAR(D160)+17)&lt;YEAR(E160),0,IF((YEAR(D160)+17)&gt;YEAR(E160),1,(12-MONTH(E160)+1)/12))) + (R160)*(IF((YEAR(D160)+17)&lt;YEAR(E160),0,IF((YEAR(D160)+17)&gt;YEAR(E160),1,(12-MONTH(E160)+1)/12))))-(IF(OR(N160="",N160&lt;=0),0,(O160/N160)*(IF(OR(N160="",N160&lt;=0),0,IF((YEAR(D160)+17)&lt;YEAR(E160),0,IF((YEAR(D160)+17)&gt;=YEAR(E160)+N160,0,IF((YEAR(D160)+17)=YEAR(E160),(12-MONTH(E160)+1)/12,1))))))))*TaxRate,0))-IF(17=0,O160,0))</f>
        <v/>
      </c>
      <c r="AK160" s="29">
        <f>IF(A160="","",((K160)*(IF(M160="",L160,IFERROR(IF(INDEX(Variablen!$I:$AT, MATCH(M160, Variablen!$A:$A, 0), MATCH((YEAR(D160)+18), Variablen!$I$3:$AT$3, 0))="",L160,INDEX(Variablen!$I:$AT, MATCH(M160, Variablen!$A:$A, 0), MATCH((YEAR(D160)+18), Variablen!$I$3:$AT$3, 0))),L160)))*(IF((YEAR(D160)+18)&lt;YEAR(E160),0,IF((YEAR(D160)+18)&gt;YEAR(E160),1,(12-MONTH(E160)+1)/12))) + (Q160)*(IF((YEAR(D160)+18)&lt;YEAR(E160),0,IF((YEAR(D160)+18)&gt;YEAR(E160),1,(12-MONTH(E160)+1)/12))))-((P160)*(IF((YEAR(D160)+18)&lt;YEAR(E160),0,IF((YEAR(D160)+18)&gt;YEAR(E160),1,(12-MONTH(E160)+1)/12))) + (R160)*(IF((YEAR(D160)+18)&lt;YEAR(E160),0,IF((YEAR(D160)+18)&gt;YEAR(E160),1,(12-MONTH(E160)+1)/12))))-(IF((((K160)*(IF(M160="",L160,IFERROR(IF(INDEX(Variablen!$I:$AT, MATCH(M160, Variablen!$A:$A, 0), MATCH((YEAR(D160)+18), Variablen!$I$3:$AT$3, 0))="",L160,INDEX(Variablen!$I:$AT, MATCH(M160, Variablen!$A:$A, 0), MATCH((YEAR(D160)+18), Variablen!$I$3:$AT$3, 0))),L160)))*(IF((YEAR(D160)+18)&lt;YEAR(E160),0,IF((YEAR(D160)+18)&gt;YEAR(E160),1,(12-MONTH(E160)+1)/12))) + (Q160)*(IF((YEAR(D160)+18)&lt;YEAR(E160),0,IF((YEAR(D160)+18)&gt;YEAR(E160),1,(12-MONTH(E160)+1)/12))))-((P160)*(IF((YEAR(D160)+18)&lt;YEAR(E160),0,IF((YEAR(D160)+18)&gt;YEAR(E160),1,(12-MONTH(E160)+1)/12))) + (R160)*(IF((YEAR(D160)+18)&lt;YEAR(E160),0,IF((YEAR(D160)+18)&gt;YEAR(E160),1,(12-MONTH(E160)+1)/12))))-(IF(OR(N160="",N160&lt;=0),0,(O160/N160)*(IF(OR(N160="",N160&lt;=0),0,IF((YEAR(D160)+18)&lt;YEAR(E160),0,IF((YEAR(D160)+18)&gt;=YEAR(E160)+N160,0,IF((YEAR(D160)+18)=YEAR(E160),(12-MONTH(E160)+1)/12,1))))))))&gt;0,(((K160)*(IF(M160="",L160,IFERROR(IF(INDEX(Variablen!$I:$AT, MATCH(M160, Variablen!$A:$A, 0), MATCH((YEAR(D160)+18), Variablen!$I$3:$AT$3, 0))="",L160,INDEX(Variablen!$I:$AT, MATCH(M160, Variablen!$A:$A, 0), MATCH((YEAR(D160)+18), Variablen!$I$3:$AT$3, 0))),L160)))*(IF((YEAR(D160)+18)&lt;YEAR(E160),0,IF((YEAR(D160)+18)&gt;YEAR(E160),1,(12-MONTH(E160)+1)/12))) + (Q160)*(IF((YEAR(D160)+18)&lt;YEAR(E160),0,IF((YEAR(D160)+18)&gt;YEAR(E160),1,(12-MONTH(E160)+1)/12))))-((P160)*(IF((YEAR(D160)+18)&lt;YEAR(E160),0,IF((YEAR(D160)+18)&gt;YEAR(E160),1,(12-MONTH(E160)+1)/12))) + (R160)*(IF((YEAR(D160)+18)&lt;YEAR(E160),0,IF((YEAR(D160)+18)&gt;YEAR(E160),1,(12-MONTH(E160)+1)/12))))-(IF(OR(N160="",N160&lt;=0),0,(O160/N160)*(IF(OR(N160="",N160&lt;=0),0,IF((YEAR(D160)+18)&lt;YEAR(E160),0,IF((YEAR(D160)+18)&gt;=YEAR(E160)+N160,0,IF((YEAR(D160)+18)=YEAR(E160),(12-MONTH(E160)+1)/12,1))))))))*TaxRate,0))-IF(18=0,O160,0))</f>
        <v/>
      </c>
      <c r="AL160" s="29">
        <f>IF(A160="","",((K160)*(IF(M160="",L160,IFERROR(IF(INDEX(Variablen!$I:$AT, MATCH(M160, Variablen!$A:$A, 0), MATCH((YEAR(D160)+19), Variablen!$I$3:$AT$3, 0))="",L160,INDEX(Variablen!$I:$AT, MATCH(M160, Variablen!$A:$A, 0), MATCH((YEAR(D160)+19), Variablen!$I$3:$AT$3, 0))),L160)))*(IF((YEAR(D160)+19)&lt;YEAR(E160),0,IF((YEAR(D160)+19)&gt;YEAR(E160),1,(12-MONTH(E160)+1)/12))) + (Q160)*(IF((YEAR(D160)+19)&lt;YEAR(E160),0,IF((YEAR(D160)+19)&gt;YEAR(E160),1,(12-MONTH(E160)+1)/12))))-((P160)*(IF((YEAR(D160)+19)&lt;YEAR(E160),0,IF((YEAR(D160)+19)&gt;YEAR(E160),1,(12-MONTH(E160)+1)/12))) + (R160)*(IF((YEAR(D160)+19)&lt;YEAR(E160),0,IF((YEAR(D160)+19)&gt;YEAR(E160),1,(12-MONTH(E160)+1)/12))))-(IF((((K160)*(IF(M160="",L160,IFERROR(IF(INDEX(Variablen!$I:$AT, MATCH(M160, Variablen!$A:$A, 0), MATCH((YEAR(D160)+19), Variablen!$I$3:$AT$3, 0))="",L160,INDEX(Variablen!$I:$AT, MATCH(M160, Variablen!$A:$A, 0), MATCH((YEAR(D160)+19), Variablen!$I$3:$AT$3, 0))),L160)))*(IF((YEAR(D160)+19)&lt;YEAR(E160),0,IF((YEAR(D160)+19)&gt;YEAR(E160),1,(12-MONTH(E160)+1)/12))) + (Q160)*(IF((YEAR(D160)+19)&lt;YEAR(E160),0,IF((YEAR(D160)+19)&gt;YEAR(E160),1,(12-MONTH(E160)+1)/12))))-((P160)*(IF((YEAR(D160)+19)&lt;YEAR(E160),0,IF((YEAR(D160)+19)&gt;YEAR(E160),1,(12-MONTH(E160)+1)/12))) + (R160)*(IF((YEAR(D160)+19)&lt;YEAR(E160),0,IF((YEAR(D160)+19)&gt;YEAR(E160),1,(12-MONTH(E160)+1)/12))))-(IF(OR(N160="",N160&lt;=0),0,(O160/N160)*(IF(OR(N160="",N160&lt;=0),0,IF((YEAR(D160)+19)&lt;YEAR(E160),0,IF((YEAR(D160)+19)&gt;=YEAR(E160)+N160,0,IF((YEAR(D160)+19)=YEAR(E160),(12-MONTH(E160)+1)/12,1))))))))&gt;0,(((K160)*(IF(M160="",L160,IFERROR(IF(INDEX(Variablen!$I:$AT, MATCH(M160, Variablen!$A:$A, 0), MATCH((YEAR(D160)+19), Variablen!$I$3:$AT$3, 0))="",L160,INDEX(Variablen!$I:$AT, MATCH(M160, Variablen!$A:$A, 0), MATCH((YEAR(D160)+19), Variablen!$I$3:$AT$3, 0))),L160)))*(IF((YEAR(D160)+19)&lt;YEAR(E160),0,IF((YEAR(D160)+19)&gt;YEAR(E160),1,(12-MONTH(E160)+1)/12))) + (Q160)*(IF((YEAR(D160)+19)&lt;YEAR(E160),0,IF((YEAR(D160)+19)&gt;YEAR(E160),1,(12-MONTH(E160)+1)/12))))-((P160)*(IF((YEAR(D160)+19)&lt;YEAR(E160),0,IF((YEAR(D160)+19)&gt;YEAR(E160),1,(12-MONTH(E160)+1)/12))) + (R160)*(IF((YEAR(D160)+19)&lt;YEAR(E160),0,IF((YEAR(D160)+19)&gt;YEAR(E160),1,(12-MONTH(E160)+1)/12))))-(IF(OR(N160="",N160&lt;=0),0,(O160/N160)*(IF(OR(N160="",N160&lt;=0),0,IF((YEAR(D160)+19)&lt;YEAR(E160),0,IF((YEAR(D160)+19)&gt;=YEAR(E160)+N160,0,IF((YEAR(D160)+19)=YEAR(E160),(12-MONTH(E160)+1)/12,1))))))))*TaxRate,0))-IF(19=0,O160,0))</f>
        <v/>
      </c>
      <c r="AM160" s="29">
        <f>IF(A160="","",((K160)*(IF(M160="",L160,IFERROR(IF(INDEX(Variablen!$I:$AT, MATCH(M160, Variablen!$A:$A, 0), MATCH((YEAR(D160)+20), Variablen!$I$3:$AT$3, 0))="",L160,INDEX(Variablen!$I:$AT, MATCH(M160, Variablen!$A:$A, 0), MATCH((YEAR(D160)+20), Variablen!$I$3:$AT$3, 0))),L160)))*(IF((YEAR(D160)+20)&lt;YEAR(E160),0,IF((YEAR(D160)+20)&gt;YEAR(E160),1,(12-MONTH(E160)+1)/12))) + (Q160)*(IF((YEAR(D160)+20)&lt;YEAR(E160),0,IF((YEAR(D160)+20)&gt;YEAR(E160),1,(12-MONTH(E160)+1)/12))))-((P160)*(IF((YEAR(D160)+20)&lt;YEAR(E160),0,IF((YEAR(D160)+20)&gt;YEAR(E160),1,(12-MONTH(E160)+1)/12))) + (R160)*(IF((YEAR(D160)+20)&lt;YEAR(E160),0,IF((YEAR(D160)+20)&gt;YEAR(E160),1,(12-MONTH(E160)+1)/12))))-(IF((((K160)*(IF(M160="",L160,IFERROR(IF(INDEX(Variablen!$I:$AT, MATCH(M160, Variablen!$A:$A, 0), MATCH((YEAR(D160)+20), Variablen!$I$3:$AT$3, 0))="",L160,INDEX(Variablen!$I:$AT, MATCH(M160, Variablen!$A:$A, 0), MATCH((YEAR(D160)+20), Variablen!$I$3:$AT$3, 0))),L160)))*(IF((YEAR(D160)+20)&lt;YEAR(E160),0,IF((YEAR(D160)+20)&gt;YEAR(E160),1,(12-MONTH(E160)+1)/12))) + (Q160)*(IF((YEAR(D160)+20)&lt;YEAR(E160),0,IF((YEAR(D160)+20)&gt;YEAR(E160),1,(12-MONTH(E160)+1)/12))))-((P160)*(IF((YEAR(D160)+20)&lt;YEAR(E160),0,IF((YEAR(D160)+20)&gt;YEAR(E160),1,(12-MONTH(E160)+1)/12))) + (R160)*(IF((YEAR(D160)+20)&lt;YEAR(E160),0,IF((YEAR(D160)+20)&gt;YEAR(E160),1,(12-MONTH(E160)+1)/12))))-(IF(OR(N160="",N160&lt;=0),0,(O160/N160)*(IF(OR(N160="",N160&lt;=0),0,IF((YEAR(D160)+20)&lt;YEAR(E160),0,IF((YEAR(D160)+20)&gt;=YEAR(E160)+N160,0,IF((YEAR(D160)+20)=YEAR(E160),(12-MONTH(E160)+1)/12,1))))))))&gt;0,(((K160)*(IF(M160="",L160,IFERROR(IF(INDEX(Variablen!$I:$AT, MATCH(M160, Variablen!$A:$A, 0), MATCH((YEAR(D160)+20), Variablen!$I$3:$AT$3, 0))="",L160,INDEX(Variablen!$I:$AT, MATCH(M160, Variablen!$A:$A, 0), MATCH((YEAR(D160)+20), Variablen!$I$3:$AT$3, 0))),L160)))*(IF((YEAR(D160)+20)&lt;YEAR(E160),0,IF((YEAR(D160)+20)&gt;YEAR(E160),1,(12-MONTH(E160)+1)/12))) + (Q160)*(IF((YEAR(D160)+20)&lt;YEAR(E160),0,IF((YEAR(D160)+20)&gt;YEAR(E160),1,(12-MONTH(E160)+1)/12))))-((P160)*(IF((YEAR(D160)+20)&lt;YEAR(E160),0,IF((YEAR(D160)+20)&gt;YEAR(E160),1,(12-MONTH(E160)+1)/12))) + (R160)*(IF((YEAR(D160)+20)&lt;YEAR(E160),0,IF((YEAR(D160)+20)&gt;YEAR(E160),1,(12-MONTH(E160)+1)/12))))-(IF(OR(N160="",N160&lt;=0),0,(O160/N160)*(IF(OR(N160="",N160&lt;=0),0,IF((YEAR(D160)+20)&lt;YEAR(E160),0,IF((YEAR(D160)+20)&gt;=YEAR(E160)+N160,0,IF((YEAR(D160)+20)=YEAR(E160),(12-MONTH(E160)+1)/12,1))))))))*TaxRate,0))-IF(20=0,O160,0))</f>
        <v/>
      </c>
      <c r="AN160" s="29">
        <f>IF(A160="","",S160)</f>
        <v/>
      </c>
      <c r="AO160" s="29">
        <f>IF(A160="","",AN160+T160)</f>
        <v/>
      </c>
      <c r="AP160" s="29">
        <f>IF(A160="","",AO160+U160)</f>
        <v/>
      </c>
      <c r="AQ160" s="29">
        <f>IF(A160="","",AP160+V160)</f>
        <v/>
      </c>
      <c r="AR160" s="29">
        <f>IF(A160="","",AQ160+W160)</f>
        <v/>
      </c>
      <c r="AS160" s="29">
        <f>IF(A160="","",AR160+X160)</f>
        <v/>
      </c>
      <c r="AT160" s="29">
        <f>IF(A160="","",AS160+Y160)</f>
        <v/>
      </c>
      <c r="AU160" s="29">
        <f>IF(A160="","",AT160+Z160)</f>
        <v/>
      </c>
      <c r="AV160" s="29">
        <f>IF(A160="","",AU160+AA160)</f>
        <v/>
      </c>
      <c r="AW160" s="29">
        <f>IF(A160="","",AV160+AB160)</f>
        <v/>
      </c>
      <c r="AX160" s="29">
        <f>IF(A160="","",AW160+AC160)</f>
        <v/>
      </c>
      <c r="AY160" s="29">
        <f>IF(A160="","",AX160+AD160)</f>
        <v/>
      </c>
      <c r="AZ160" s="29">
        <f>IF(A160="","",AY160+AE160)</f>
        <v/>
      </c>
      <c r="BA160" s="29">
        <f>IF(A160="","",AZ160+AF160)</f>
        <v/>
      </c>
      <c r="BB160" s="29">
        <f>IF(A160="","",BA160+AG160)</f>
        <v/>
      </c>
      <c r="BC160" s="29">
        <f>IF(A160="","",BB160+AH160)</f>
        <v/>
      </c>
      <c r="BD160" s="29">
        <f>IF(A160="","",BC160+AI160)</f>
        <v/>
      </c>
      <c r="BE160" s="29">
        <f>IF(A160="","",BD160+AJ160)</f>
        <v/>
      </c>
      <c r="BF160" s="29">
        <f>IF(A160="","",BE160+AK160)</f>
        <v/>
      </c>
      <c r="BG160" s="29">
        <f>IF(A160="","",BF160+AL160)</f>
        <v/>
      </c>
      <c r="BH160" s="29">
        <f>IF(A160="","",BG160+AM160)</f>
        <v/>
      </c>
      <c r="BI160" s="36">
        <f>IF(A160="","",(K160)*(IF((YEAR(D160)+0)&lt;YEAR(E160),0,IF((YEAR(D160)+0)&gt;YEAR(E160),1,(12-MONTH(E160)+1)/12)))*(1/(1+DiscountRate)^0))</f>
        <v/>
      </c>
      <c r="BJ160" s="36">
        <f>IF(A160="","",(K160)*(IF((YEAR(D160)+1)&lt;YEAR(E160),0,IF((YEAR(D160)+1)&gt;YEAR(E160),1,(12-MONTH(E160)+1)/12)))*(1/(1+DiscountRate)^1))</f>
        <v/>
      </c>
      <c r="BK160" s="36">
        <f>IF(A160="","",(K160)*(IF((YEAR(D160)+2)&lt;YEAR(E160),0,IF((YEAR(D160)+2)&gt;YEAR(E160),1,(12-MONTH(E160)+1)/12)))*(1/(1+DiscountRate)^2))</f>
        <v/>
      </c>
      <c r="BL160" s="36">
        <f>IF(A160="","",(K160)*(IF((YEAR(D160)+3)&lt;YEAR(E160),0,IF((YEAR(D160)+3)&gt;YEAR(E160),1,(12-MONTH(E160)+1)/12)))*(1/(1+DiscountRate)^3))</f>
        <v/>
      </c>
      <c r="BM160" s="36">
        <f>IF(A160="","",(K160)*(IF((YEAR(D160)+4)&lt;YEAR(E160),0,IF((YEAR(D160)+4)&gt;YEAR(E160),1,(12-MONTH(E160)+1)/12)))*(1/(1+DiscountRate)^4))</f>
        <v/>
      </c>
      <c r="BN160" s="36">
        <f>IF(A160="","",(K160)*(IF((YEAR(D160)+5)&lt;YEAR(E160),0,IF((YEAR(D160)+5)&gt;YEAR(E160),1,(12-MONTH(E160)+1)/12)))*(1/(1+DiscountRate)^5))</f>
        <v/>
      </c>
      <c r="BO160" s="36">
        <f>IF(A160="","",(K160)*(IF((YEAR(D160)+6)&lt;YEAR(E160),0,IF((YEAR(D160)+6)&gt;YEAR(E160),1,(12-MONTH(E160)+1)/12)))*(1/(1+DiscountRate)^6))</f>
        <v/>
      </c>
      <c r="BP160" s="36">
        <f>IF(A160="","",(K160)*(IF((YEAR(D160)+7)&lt;YEAR(E160),0,IF((YEAR(D160)+7)&gt;YEAR(E160),1,(12-MONTH(E160)+1)/12)))*(1/(1+DiscountRate)^7))</f>
        <v/>
      </c>
      <c r="BQ160" s="36">
        <f>IF(A160="","",(K160)*(IF((YEAR(D160)+8)&lt;YEAR(E160),0,IF((YEAR(D160)+8)&gt;YEAR(E160),1,(12-MONTH(E160)+1)/12)))*(1/(1+DiscountRate)^8))</f>
        <v/>
      </c>
      <c r="BR160" s="36">
        <f>IF(A160="","",(K160)*(IF((YEAR(D160)+9)&lt;YEAR(E160),0,IF((YEAR(D160)+9)&gt;YEAR(E160),1,(12-MONTH(E160)+1)/12)))*(1/(1+DiscountRate)^9))</f>
        <v/>
      </c>
      <c r="BS160" s="36">
        <f>IF(A160="","",(K160)*(IF((YEAR(D160)+10)&lt;YEAR(E160),0,IF((YEAR(D160)+10)&gt;YEAR(E160),1,(12-MONTH(E160)+1)/12)))*(1/(1+DiscountRate)^10))</f>
        <v/>
      </c>
      <c r="BT160" s="36">
        <f>IF(A160="","",(K160)*(IF((YEAR(D160)+11)&lt;YEAR(E160),0,IF((YEAR(D160)+11)&gt;YEAR(E160),1,(12-MONTH(E160)+1)/12)))*(1/(1+DiscountRate)^11))</f>
        <v/>
      </c>
      <c r="BU160" s="36">
        <f>IF(A160="","",(K160)*(IF((YEAR(D160)+12)&lt;YEAR(E160),0,IF((YEAR(D160)+12)&gt;YEAR(E160),1,(12-MONTH(E160)+1)/12)))*(1/(1+DiscountRate)^12))</f>
        <v/>
      </c>
      <c r="BV160" s="36">
        <f>IF(A160="","",(K160)*(IF((YEAR(D160)+13)&lt;YEAR(E160),0,IF((YEAR(D160)+13)&gt;YEAR(E160),1,(12-MONTH(E160)+1)/12)))*(1/(1+DiscountRate)^13))</f>
        <v/>
      </c>
      <c r="BW160" s="36">
        <f>IF(A160="","",(K160)*(IF((YEAR(D160)+14)&lt;YEAR(E160),0,IF((YEAR(D160)+14)&gt;YEAR(E160),1,(12-MONTH(E160)+1)/12)))*(1/(1+DiscountRate)^14))</f>
        <v/>
      </c>
      <c r="BX160" s="36">
        <f>IF(A160="","",(K160)*(IF((YEAR(D160)+15)&lt;YEAR(E160),0,IF((YEAR(D160)+15)&gt;YEAR(E160),1,(12-MONTH(E160)+1)/12)))*(1/(1+DiscountRate)^15))</f>
        <v/>
      </c>
      <c r="BY160" s="36">
        <f>IF(A160="","",(K160)*(IF((YEAR(D160)+16)&lt;YEAR(E160),0,IF((YEAR(D160)+16)&gt;YEAR(E160),1,(12-MONTH(E160)+1)/12)))*(1/(1+DiscountRate)^16))</f>
        <v/>
      </c>
      <c r="BZ160" s="36">
        <f>IF(A160="","",(K160)*(IF((YEAR(D160)+17)&lt;YEAR(E160),0,IF((YEAR(D160)+17)&gt;YEAR(E160),1,(12-MONTH(E160)+1)/12)))*(1/(1+DiscountRate)^17))</f>
        <v/>
      </c>
      <c r="CA160" s="36">
        <f>IF(A160="","",(K160)*(IF((YEAR(D160)+18)&lt;YEAR(E160),0,IF((YEAR(D160)+18)&gt;YEAR(E160),1,(12-MONTH(E160)+1)/12)))*(1/(1+DiscountRate)^18))</f>
        <v/>
      </c>
      <c r="CB160" s="36">
        <f>IF(A160="","",(K160)*(IF((YEAR(D160)+19)&lt;YEAR(E160),0,IF((YEAR(D160)+19)&gt;YEAR(E160),1,(12-MONTH(E160)+1)/12)))*(1/(1+DiscountRate)^19))</f>
        <v/>
      </c>
      <c r="CC160" s="36">
        <f>IF(A160="","",(K160)*(IF((YEAR(D160)+20)&lt;YEAR(E160),0,IF((YEAR(D160)+20)&gt;YEAR(E160),1,(12-MONTH(E160)+1)/12)))*(1/(1+DiscountRate)^20))</f>
        <v/>
      </c>
      <c r="CD160" s="29">
        <f>IF(A160="","",S160/(1+DiscountRate)^0+T160/(1+DiscountRate)^1+U160/(1+DiscountRate)^2+V160/(1+DiscountRate)^3+W160/(1+DiscountRate)^4+X160/(1+DiscountRate)^5+Y160/(1+DiscountRate)^6+Z160/(1+DiscountRate)^7+AA160/(1+DiscountRate)^8+AB160/(1+DiscountRate)^9+AC160/(1+DiscountRate)^10+AD160/(1+DiscountRate)^11+AE160/(1+DiscountRate)^12+AF160/(1+DiscountRate)^13+AG160/(1+DiscountRate)^14+AH160/(1+DiscountRate)^15+AI160/(1+DiscountRate)^16+AJ160/(1+DiscountRate)^17+AK160/(1+DiscountRate)^18+AL160/(1+DiscountRate)^19+AM160/(1+DiscountRate)^20)</f>
        <v/>
      </c>
      <c r="CE160" s="37">
        <f>IF(A160="","",IFERROR(IRR(OFFSET(S160,0,0,1,MIN(HorizonYears,20)+1)),"n/a"))</f>
        <v/>
      </c>
      <c r="CF160" s="28">
        <f>IF(A160="","",IFERROR(MATCH(TRUE,OFFSET(AN160,0,0,1,MIN(HorizonYears,20)+1)&gt;=0,0)-1,"n/a"))</f>
        <v/>
      </c>
      <c r="CG160" s="36">
        <f>IF(A160="","",SUM(OFFSET(BI160,0,0,1,MIN(HorizonYears,20)+1)))</f>
        <v/>
      </c>
      <c r="CH160" s="36">
        <f>IF(A160="","",IFERROR(-CD160/CG160,"n/a"))</f>
        <v/>
      </c>
    </row>
    <row r="161">
      <c r="A161" s="6">
        <f>Actions!A159</f>
        <v/>
      </c>
      <c r="B161" s="6">
        <f>Actions!B159</f>
        <v/>
      </c>
      <c r="C161" s="6">
        <f>Actions!D159</f>
        <v/>
      </c>
      <c r="D161" s="35">
        <f>Actions!E159</f>
        <v/>
      </c>
      <c r="E161" s="35">
        <f>Actions!F159</f>
        <v/>
      </c>
      <c r="F161" s="6">
        <f>Actions!G159</f>
        <v/>
      </c>
      <c r="G161" s="6">
        <f>Actions!H159</f>
        <v/>
      </c>
      <c r="H161" s="29">
        <f>Actions!I159</f>
        <v/>
      </c>
      <c r="I161" s="6">
        <f>Actions!J159</f>
        <v/>
      </c>
      <c r="J161" s="16">
        <f>Actions!K159</f>
        <v/>
      </c>
      <c r="K161" s="16">
        <f>IF(A161="","",IF(I161="%",H161*J161,J161))</f>
        <v/>
      </c>
      <c r="L161" s="16">
        <f>Actions!L159</f>
        <v/>
      </c>
      <c r="M161" s="6">
        <f>Actions!M159</f>
        <v/>
      </c>
      <c r="N161" s="28">
        <f>Actions!N159</f>
        <v/>
      </c>
      <c r="O161" s="29">
        <f>Actions!T159</f>
        <v/>
      </c>
      <c r="P161" s="29">
        <f>Actions!Y159</f>
        <v/>
      </c>
      <c r="Q161" s="29">
        <f>Actions!Z159</f>
        <v/>
      </c>
      <c r="R161" s="29">
        <f>Actions!AA159</f>
        <v/>
      </c>
      <c r="S161" s="29">
        <f>IF(A161="","",((K161)*(IF(M161="",L161,IFERROR(IF(INDEX(Variablen!$I:$AT, MATCH(M161, Variablen!$A:$A, 0), MATCH((YEAR(D161)+0), Variablen!$I$3:$AT$3, 0))="",L161,INDEX(Variablen!$I:$AT, MATCH(M161, Variablen!$A:$A, 0), MATCH((YEAR(D161)+0), Variablen!$I$3:$AT$3, 0))),L161)))*(IF((YEAR(D161)+0)&lt;YEAR(E161),0,IF((YEAR(D161)+0)&gt;YEAR(E161),1,(12-MONTH(E161)+1)/12))) + (Q161)*(IF((YEAR(D161)+0)&lt;YEAR(E161),0,IF((YEAR(D161)+0)&gt;YEAR(E161),1,(12-MONTH(E161)+1)/12))))-((P161)*(IF((YEAR(D161)+0)&lt;YEAR(E161),0,IF((YEAR(D161)+0)&gt;YEAR(E161),1,(12-MONTH(E161)+1)/12))) + (R161)*(IF((YEAR(D161)+0)&lt;YEAR(E161),0,IF((YEAR(D161)+0)&gt;YEAR(E161),1,(12-MONTH(E161)+1)/12))))-(IF((((K161)*(IF(M161="",L161,IFERROR(IF(INDEX(Variablen!$I:$AT, MATCH(M161, Variablen!$A:$A, 0), MATCH((YEAR(D161)+0), Variablen!$I$3:$AT$3, 0))="",L161,INDEX(Variablen!$I:$AT, MATCH(M161, Variablen!$A:$A, 0), MATCH((YEAR(D161)+0), Variablen!$I$3:$AT$3, 0))),L161)))*(IF((YEAR(D161)+0)&lt;YEAR(E161),0,IF((YEAR(D161)+0)&gt;YEAR(E161),1,(12-MONTH(E161)+1)/12))) + (Q161)*(IF((YEAR(D161)+0)&lt;YEAR(E161),0,IF((YEAR(D161)+0)&gt;YEAR(E161),1,(12-MONTH(E161)+1)/12))))-((P161)*(IF((YEAR(D161)+0)&lt;YEAR(E161),0,IF((YEAR(D161)+0)&gt;YEAR(E161),1,(12-MONTH(E161)+1)/12))) + (R161)*(IF((YEAR(D161)+0)&lt;YEAR(E161),0,IF((YEAR(D161)+0)&gt;YEAR(E161),1,(12-MONTH(E161)+1)/12))))-(IF(OR(N161="",N161&lt;=0),0,(O161/N161)*(IF(OR(N161="",N161&lt;=0),0,IF((YEAR(D161)+0)&lt;YEAR(E161),0,IF((YEAR(D161)+0)&gt;=YEAR(E161)+N161,0,IF((YEAR(D161)+0)=YEAR(E161),(12-MONTH(E161)+1)/12,1))))))))&gt;0,(((K161)*(IF(M161="",L161,IFERROR(IF(INDEX(Variablen!$I:$AT, MATCH(M161, Variablen!$A:$A, 0), MATCH((YEAR(D161)+0), Variablen!$I$3:$AT$3, 0))="",L161,INDEX(Variablen!$I:$AT, MATCH(M161, Variablen!$A:$A, 0), MATCH((YEAR(D161)+0), Variablen!$I$3:$AT$3, 0))),L161)))*(IF((YEAR(D161)+0)&lt;YEAR(E161),0,IF((YEAR(D161)+0)&gt;YEAR(E161),1,(12-MONTH(E161)+1)/12))) + (Q161)*(IF((YEAR(D161)+0)&lt;YEAR(E161),0,IF((YEAR(D161)+0)&gt;YEAR(E161),1,(12-MONTH(E161)+1)/12))))-((P161)*(IF((YEAR(D161)+0)&lt;YEAR(E161),0,IF((YEAR(D161)+0)&gt;YEAR(E161),1,(12-MONTH(E161)+1)/12))) + (R161)*(IF((YEAR(D161)+0)&lt;YEAR(E161),0,IF((YEAR(D161)+0)&gt;YEAR(E161),1,(12-MONTH(E161)+1)/12))))-(IF(OR(N161="",N161&lt;=0),0,(O161/N161)*(IF(OR(N161="",N161&lt;=0),0,IF((YEAR(D161)+0)&lt;YEAR(E161),0,IF((YEAR(D161)+0)&gt;=YEAR(E161)+N161,0,IF((YEAR(D161)+0)=YEAR(E161),(12-MONTH(E161)+1)/12,1))))))))*TaxRate,0))-IF(0=0,O161,0))</f>
        <v/>
      </c>
      <c r="T161" s="29">
        <f>IF(A161="","",((K161)*(IF(M161="",L161,IFERROR(IF(INDEX(Variablen!$I:$AT, MATCH(M161, Variablen!$A:$A, 0), MATCH((YEAR(D161)+1), Variablen!$I$3:$AT$3, 0))="",L161,INDEX(Variablen!$I:$AT, MATCH(M161, Variablen!$A:$A, 0), MATCH((YEAR(D161)+1), Variablen!$I$3:$AT$3, 0))),L161)))*(IF((YEAR(D161)+1)&lt;YEAR(E161),0,IF((YEAR(D161)+1)&gt;YEAR(E161),1,(12-MONTH(E161)+1)/12))) + (Q161)*(IF((YEAR(D161)+1)&lt;YEAR(E161),0,IF((YEAR(D161)+1)&gt;YEAR(E161),1,(12-MONTH(E161)+1)/12))))-((P161)*(IF((YEAR(D161)+1)&lt;YEAR(E161),0,IF((YEAR(D161)+1)&gt;YEAR(E161),1,(12-MONTH(E161)+1)/12))) + (R161)*(IF((YEAR(D161)+1)&lt;YEAR(E161),0,IF((YEAR(D161)+1)&gt;YEAR(E161),1,(12-MONTH(E161)+1)/12))))-(IF((((K161)*(IF(M161="",L161,IFERROR(IF(INDEX(Variablen!$I:$AT, MATCH(M161, Variablen!$A:$A, 0), MATCH((YEAR(D161)+1), Variablen!$I$3:$AT$3, 0))="",L161,INDEX(Variablen!$I:$AT, MATCH(M161, Variablen!$A:$A, 0), MATCH((YEAR(D161)+1), Variablen!$I$3:$AT$3, 0))),L161)))*(IF((YEAR(D161)+1)&lt;YEAR(E161),0,IF((YEAR(D161)+1)&gt;YEAR(E161),1,(12-MONTH(E161)+1)/12))) + (Q161)*(IF((YEAR(D161)+1)&lt;YEAR(E161),0,IF((YEAR(D161)+1)&gt;YEAR(E161),1,(12-MONTH(E161)+1)/12))))-((P161)*(IF((YEAR(D161)+1)&lt;YEAR(E161),0,IF((YEAR(D161)+1)&gt;YEAR(E161),1,(12-MONTH(E161)+1)/12))) + (R161)*(IF((YEAR(D161)+1)&lt;YEAR(E161),0,IF((YEAR(D161)+1)&gt;YEAR(E161),1,(12-MONTH(E161)+1)/12))))-(IF(OR(N161="",N161&lt;=0),0,(O161/N161)*(IF(OR(N161="",N161&lt;=0),0,IF((YEAR(D161)+1)&lt;YEAR(E161),0,IF((YEAR(D161)+1)&gt;=YEAR(E161)+N161,0,IF((YEAR(D161)+1)=YEAR(E161),(12-MONTH(E161)+1)/12,1))))))))&gt;0,(((K161)*(IF(M161="",L161,IFERROR(IF(INDEX(Variablen!$I:$AT, MATCH(M161, Variablen!$A:$A, 0), MATCH((YEAR(D161)+1), Variablen!$I$3:$AT$3, 0))="",L161,INDEX(Variablen!$I:$AT, MATCH(M161, Variablen!$A:$A, 0), MATCH((YEAR(D161)+1), Variablen!$I$3:$AT$3, 0))),L161)))*(IF((YEAR(D161)+1)&lt;YEAR(E161),0,IF((YEAR(D161)+1)&gt;YEAR(E161),1,(12-MONTH(E161)+1)/12))) + (Q161)*(IF((YEAR(D161)+1)&lt;YEAR(E161),0,IF((YEAR(D161)+1)&gt;YEAR(E161),1,(12-MONTH(E161)+1)/12))))-((P161)*(IF((YEAR(D161)+1)&lt;YEAR(E161),0,IF((YEAR(D161)+1)&gt;YEAR(E161),1,(12-MONTH(E161)+1)/12))) + (R161)*(IF((YEAR(D161)+1)&lt;YEAR(E161),0,IF((YEAR(D161)+1)&gt;YEAR(E161),1,(12-MONTH(E161)+1)/12))))-(IF(OR(N161="",N161&lt;=0),0,(O161/N161)*(IF(OR(N161="",N161&lt;=0),0,IF((YEAR(D161)+1)&lt;YEAR(E161),0,IF((YEAR(D161)+1)&gt;=YEAR(E161)+N161,0,IF((YEAR(D161)+1)=YEAR(E161),(12-MONTH(E161)+1)/12,1))))))))*TaxRate,0))-IF(1=0,O161,0))</f>
        <v/>
      </c>
      <c r="U161" s="29">
        <f>IF(A161="","",((K161)*(IF(M161="",L161,IFERROR(IF(INDEX(Variablen!$I:$AT, MATCH(M161, Variablen!$A:$A, 0), MATCH((YEAR(D161)+2), Variablen!$I$3:$AT$3, 0))="",L161,INDEX(Variablen!$I:$AT, MATCH(M161, Variablen!$A:$A, 0), MATCH((YEAR(D161)+2), Variablen!$I$3:$AT$3, 0))),L161)))*(IF((YEAR(D161)+2)&lt;YEAR(E161),0,IF((YEAR(D161)+2)&gt;YEAR(E161),1,(12-MONTH(E161)+1)/12))) + (Q161)*(IF((YEAR(D161)+2)&lt;YEAR(E161),0,IF((YEAR(D161)+2)&gt;YEAR(E161),1,(12-MONTH(E161)+1)/12))))-((P161)*(IF((YEAR(D161)+2)&lt;YEAR(E161),0,IF((YEAR(D161)+2)&gt;YEAR(E161),1,(12-MONTH(E161)+1)/12))) + (R161)*(IF((YEAR(D161)+2)&lt;YEAR(E161),0,IF((YEAR(D161)+2)&gt;YEAR(E161),1,(12-MONTH(E161)+1)/12))))-(IF((((K161)*(IF(M161="",L161,IFERROR(IF(INDEX(Variablen!$I:$AT, MATCH(M161, Variablen!$A:$A, 0), MATCH((YEAR(D161)+2), Variablen!$I$3:$AT$3, 0))="",L161,INDEX(Variablen!$I:$AT, MATCH(M161, Variablen!$A:$A, 0), MATCH((YEAR(D161)+2), Variablen!$I$3:$AT$3, 0))),L161)))*(IF((YEAR(D161)+2)&lt;YEAR(E161),0,IF((YEAR(D161)+2)&gt;YEAR(E161),1,(12-MONTH(E161)+1)/12))) + (Q161)*(IF((YEAR(D161)+2)&lt;YEAR(E161),0,IF((YEAR(D161)+2)&gt;YEAR(E161),1,(12-MONTH(E161)+1)/12))))-((P161)*(IF((YEAR(D161)+2)&lt;YEAR(E161),0,IF((YEAR(D161)+2)&gt;YEAR(E161),1,(12-MONTH(E161)+1)/12))) + (R161)*(IF((YEAR(D161)+2)&lt;YEAR(E161),0,IF((YEAR(D161)+2)&gt;YEAR(E161),1,(12-MONTH(E161)+1)/12))))-(IF(OR(N161="",N161&lt;=0),0,(O161/N161)*(IF(OR(N161="",N161&lt;=0),0,IF((YEAR(D161)+2)&lt;YEAR(E161),0,IF((YEAR(D161)+2)&gt;=YEAR(E161)+N161,0,IF((YEAR(D161)+2)=YEAR(E161),(12-MONTH(E161)+1)/12,1))))))))&gt;0,(((K161)*(IF(M161="",L161,IFERROR(IF(INDEX(Variablen!$I:$AT, MATCH(M161, Variablen!$A:$A, 0), MATCH((YEAR(D161)+2), Variablen!$I$3:$AT$3, 0))="",L161,INDEX(Variablen!$I:$AT, MATCH(M161, Variablen!$A:$A, 0), MATCH((YEAR(D161)+2), Variablen!$I$3:$AT$3, 0))),L161)))*(IF((YEAR(D161)+2)&lt;YEAR(E161),0,IF((YEAR(D161)+2)&gt;YEAR(E161),1,(12-MONTH(E161)+1)/12))) + (Q161)*(IF((YEAR(D161)+2)&lt;YEAR(E161),0,IF((YEAR(D161)+2)&gt;YEAR(E161),1,(12-MONTH(E161)+1)/12))))-((P161)*(IF((YEAR(D161)+2)&lt;YEAR(E161),0,IF((YEAR(D161)+2)&gt;YEAR(E161),1,(12-MONTH(E161)+1)/12))) + (R161)*(IF((YEAR(D161)+2)&lt;YEAR(E161),0,IF((YEAR(D161)+2)&gt;YEAR(E161),1,(12-MONTH(E161)+1)/12))))-(IF(OR(N161="",N161&lt;=0),0,(O161/N161)*(IF(OR(N161="",N161&lt;=0),0,IF((YEAR(D161)+2)&lt;YEAR(E161),0,IF((YEAR(D161)+2)&gt;=YEAR(E161)+N161,0,IF((YEAR(D161)+2)=YEAR(E161),(12-MONTH(E161)+1)/12,1))))))))*TaxRate,0))-IF(2=0,O161,0))</f>
        <v/>
      </c>
      <c r="V161" s="29">
        <f>IF(A161="","",((K161)*(IF(M161="",L161,IFERROR(IF(INDEX(Variablen!$I:$AT, MATCH(M161, Variablen!$A:$A, 0), MATCH((YEAR(D161)+3), Variablen!$I$3:$AT$3, 0))="",L161,INDEX(Variablen!$I:$AT, MATCH(M161, Variablen!$A:$A, 0), MATCH((YEAR(D161)+3), Variablen!$I$3:$AT$3, 0))),L161)))*(IF((YEAR(D161)+3)&lt;YEAR(E161),0,IF((YEAR(D161)+3)&gt;YEAR(E161),1,(12-MONTH(E161)+1)/12))) + (Q161)*(IF((YEAR(D161)+3)&lt;YEAR(E161),0,IF((YEAR(D161)+3)&gt;YEAR(E161),1,(12-MONTH(E161)+1)/12))))-((P161)*(IF((YEAR(D161)+3)&lt;YEAR(E161),0,IF((YEAR(D161)+3)&gt;YEAR(E161),1,(12-MONTH(E161)+1)/12))) + (R161)*(IF((YEAR(D161)+3)&lt;YEAR(E161),0,IF((YEAR(D161)+3)&gt;YEAR(E161),1,(12-MONTH(E161)+1)/12))))-(IF((((K161)*(IF(M161="",L161,IFERROR(IF(INDEX(Variablen!$I:$AT, MATCH(M161, Variablen!$A:$A, 0), MATCH((YEAR(D161)+3), Variablen!$I$3:$AT$3, 0))="",L161,INDEX(Variablen!$I:$AT, MATCH(M161, Variablen!$A:$A, 0), MATCH((YEAR(D161)+3), Variablen!$I$3:$AT$3, 0))),L161)))*(IF((YEAR(D161)+3)&lt;YEAR(E161),0,IF((YEAR(D161)+3)&gt;YEAR(E161),1,(12-MONTH(E161)+1)/12))) + (Q161)*(IF((YEAR(D161)+3)&lt;YEAR(E161),0,IF((YEAR(D161)+3)&gt;YEAR(E161),1,(12-MONTH(E161)+1)/12))))-((P161)*(IF((YEAR(D161)+3)&lt;YEAR(E161),0,IF((YEAR(D161)+3)&gt;YEAR(E161),1,(12-MONTH(E161)+1)/12))) + (R161)*(IF((YEAR(D161)+3)&lt;YEAR(E161),0,IF((YEAR(D161)+3)&gt;YEAR(E161),1,(12-MONTH(E161)+1)/12))))-(IF(OR(N161="",N161&lt;=0),0,(O161/N161)*(IF(OR(N161="",N161&lt;=0),0,IF((YEAR(D161)+3)&lt;YEAR(E161),0,IF((YEAR(D161)+3)&gt;=YEAR(E161)+N161,0,IF((YEAR(D161)+3)=YEAR(E161),(12-MONTH(E161)+1)/12,1))))))))&gt;0,(((K161)*(IF(M161="",L161,IFERROR(IF(INDEX(Variablen!$I:$AT, MATCH(M161, Variablen!$A:$A, 0), MATCH((YEAR(D161)+3), Variablen!$I$3:$AT$3, 0))="",L161,INDEX(Variablen!$I:$AT, MATCH(M161, Variablen!$A:$A, 0), MATCH((YEAR(D161)+3), Variablen!$I$3:$AT$3, 0))),L161)))*(IF((YEAR(D161)+3)&lt;YEAR(E161),0,IF((YEAR(D161)+3)&gt;YEAR(E161),1,(12-MONTH(E161)+1)/12))) + (Q161)*(IF((YEAR(D161)+3)&lt;YEAR(E161),0,IF((YEAR(D161)+3)&gt;YEAR(E161),1,(12-MONTH(E161)+1)/12))))-((P161)*(IF((YEAR(D161)+3)&lt;YEAR(E161),0,IF((YEAR(D161)+3)&gt;YEAR(E161),1,(12-MONTH(E161)+1)/12))) + (R161)*(IF((YEAR(D161)+3)&lt;YEAR(E161),0,IF((YEAR(D161)+3)&gt;YEAR(E161),1,(12-MONTH(E161)+1)/12))))-(IF(OR(N161="",N161&lt;=0),0,(O161/N161)*(IF(OR(N161="",N161&lt;=0),0,IF((YEAR(D161)+3)&lt;YEAR(E161),0,IF((YEAR(D161)+3)&gt;=YEAR(E161)+N161,0,IF((YEAR(D161)+3)=YEAR(E161),(12-MONTH(E161)+1)/12,1))))))))*TaxRate,0))-IF(3=0,O161,0))</f>
        <v/>
      </c>
      <c r="W161" s="29">
        <f>IF(A161="","",((K161)*(IF(M161="",L161,IFERROR(IF(INDEX(Variablen!$I:$AT, MATCH(M161, Variablen!$A:$A, 0), MATCH((YEAR(D161)+4), Variablen!$I$3:$AT$3, 0))="",L161,INDEX(Variablen!$I:$AT, MATCH(M161, Variablen!$A:$A, 0), MATCH((YEAR(D161)+4), Variablen!$I$3:$AT$3, 0))),L161)))*(IF((YEAR(D161)+4)&lt;YEAR(E161),0,IF((YEAR(D161)+4)&gt;YEAR(E161),1,(12-MONTH(E161)+1)/12))) + (Q161)*(IF((YEAR(D161)+4)&lt;YEAR(E161),0,IF((YEAR(D161)+4)&gt;YEAR(E161),1,(12-MONTH(E161)+1)/12))))-((P161)*(IF((YEAR(D161)+4)&lt;YEAR(E161),0,IF((YEAR(D161)+4)&gt;YEAR(E161),1,(12-MONTH(E161)+1)/12))) + (R161)*(IF((YEAR(D161)+4)&lt;YEAR(E161),0,IF((YEAR(D161)+4)&gt;YEAR(E161),1,(12-MONTH(E161)+1)/12))))-(IF((((K161)*(IF(M161="",L161,IFERROR(IF(INDEX(Variablen!$I:$AT, MATCH(M161, Variablen!$A:$A, 0), MATCH((YEAR(D161)+4), Variablen!$I$3:$AT$3, 0))="",L161,INDEX(Variablen!$I:$AT, MATCH(M161, Variablen!$A:$A, 0), MATCH((YEAR(D161)+4), Variablen!$I$3:$AT$3, 0))),L161)))*(IF((YEAR(D161)+4)&lt;YEAR(E161),0,IF((YEAR(D161)+4)&gt;YEAR(E161),1,(12-MONTH(E161)+1)/12))) + (Q161)*(IF((YEAR(D161)+4)&lt;YEAR(E161),0,IF((YEAR(D161)+4)&gt;YEAR(E161),1,(12-MONTH(E161)+1)/12))))-((P161)*(IF((YEAR(D161)+4)&lt;YEAR(E161),0,IF((YEAR(D161)+4)&gt;YEAR(E161),1,(12-MONTH(E161)+1)/12))) + (R161)*(IF((YEAR(D161)+4)&lt;YEAR(E161),0,IF((YEAR(D161)+4)&gt;YEAR(E161),1,(12-MONTH(E161)+1)/12))))-(IF(OR(N161="",N161&lt;=0),0,(O161/N161)*(IF(OR(N161="",N161&lt;=0),0,IF((YEAR(D161)+4)&lt;YEAR(E161),0,IF((YEAR(D161)+4)&gt;=YEAR(E161)+N161,0,IF((YEAR(D161)+4)=YEAR(E161),(12-MONTH(E161)+1)/12,1))))))))&gt;0,(((K161)*(IF(M161="",L161,IFERROR(IF(INDEX(Variablen!$I:$AT, MATCH(M161, Variablen!$A:$A, 0), MATCH((YEAR(D161)+4), Variablen!$I$3:$AT$3, 0))="",L161,INDEX(Variablen!$I:$AT, MATCH(M161, Variablen!$A:$A, 0), MATCH((YEAR(D161)+4), Variablen!$I$3:$AT$3, 0))),L161)))*(IF((YEAR(D161)+4)&lt;YEAR(E161),0,IF((YEAR(D161)+4)&gt;YEAR(E161),1,(12-MONTH(E161)+1)/12))) + (Q161)*(IF((YEAR(D161)+4)&lt;YEAR(E161),0,IF((YEAR(D161)+4)&gt;YEAR(E161),1,(12-MONTH(E161)+1)/12))))-((P161)*(IF((YEAR(D161)+4)&lt;YEAR(E161),0,IF((YEAR(D161)+4)&gt;YEAR(E161),1,(12-MONTH(E161)+1)/12))) + (R161)*(IF((YEAR(D161)+4)&lt;YEAR(E161),0,IF((YEAR(D161)+4)&gt;YEAR(E161),1,(12-MONTH(E161)+1)/12))))-(IF(OR(N161="",N161&lt;=0),0,(O161/N161)*(IF(OR(N161="",N161&lt;=0),0,IF((YEAR(D161)+4)&lt;YEAR(E161),0,IF((YEAR(D161)+4)&gt;=YEAR(E161)+N161,0,IF((YEAR(D161)+4)=YEAR(E161),(12-MONTH(E161)+1)/12,1))))))))*TaxRate,0))-IF(4=0,O161,0))</f>
        <v/>
      </c>
      <c r="X161" s="29">
        <f>IF(A161="","",((K161)*(IF(M161="",L161,IFERROR(IF(INDEX(Variablen!$I:$AT, MATCH(M161, Variablen!$A:$A, 0), MATCH((YEAR(D161)+5), Variablen!$I$3:$AT$3, 0))="",L161,INDEX(Variablen!$I:$AT, MATCH(M161, Variablen!$A:$A, 0), MATCH((YEAR(D161)+5), Variablen!$I$3:$AT$3, 0))),L161)))*(IF((YEAR(D161)+5)&lt;YEAR(E161),0,IF((YEAR(D161)+5)&gt;YEAR(E161),1,(12-MONTH(E161)+1)/12))) + (Q161)*(IF((YEAR(D161)+5)&lt;YEAR(E161),0,IF((YEAR(D161)+5)&gt;YEAR(E161),1,(12-MONTH(E161)+1)/12))))-((P161)*(IF((YEAR(D161)+5)&lt;YEAR(E161),0,IF((YEAR(D161)+5)&gt;YEAR(E161),1,(12-MONTH(E161)+1)/12))) + (R161)*(IF((YEAR(D161)+5)&lt;YEAR(E161),0,IF((YEAR(D161)+5)&gt;YEAR(E161),1,(12-MONTH(E161)+1)/12))))-(IF((((K161)*(IF(M161="",L161,IFERROR(IF(INDEX(Variablen!$I:$AT, MATCH(M161, Variablen!$A:$A, 0), MATCH((YEAR(D161)+5), Variablen!$I$3:$AT$3, 0))="",L161,INDEX(Variablen!$I:$AT, MATCH(M161, Variablen!$A:$A, 0), MATCH((YEAR(D161)+5), Variablen!$I$3:$AT$3, 0))),L161)))*(IF((YEAR(D161)+5)&lt;YEAR(E161),0,IF((YEAR(D161)+5)&gt;YEAR(E161),1,(12-MONTH(E161)+1)/12))) + (Q161)*(IF((YEAR(D161)+5)&lt;YEAR(E161),0,IF((YEAR(D161)+5)&gt;YEAR(E161),1,(12-MONTH(E161)+1)/12))))-((P161)*(IF((YEAR(D161)+5)&lt;YEAR(E161),0,IF((YEAR(D161)+5)&gt;YEAR(E161),1,(12-MONTH(E161)+1)/12))) + (R161)*(IF((YEAR(D161)+5)&lt;YEAR(E161),0,IF((YEAR(D161)+5)&gt;YEAR(E161),1,(12-MONTH(E161)+1)/12))))-(IF(OR(N161="",N161&lt;=0),0,(O161/N161)*(IF(OR(N161="",N161&lt;=0),0,IF((YEAR(D161)+5)&lt;YEAR(E161),0,IF((YEAR(D161)+5)&gt;=YEAR(E161)+N161,0,IF((YEAR(D161)+5)=YEAR(E161),(12-MONTH(E161)+1)/12,1))))))))&gt;0,(((K161)*(IF(M161="",L161,IFERROR(IF(INDEX(Variablen!$I:$AT, MATCH(M161, Variablen!$A:$A, 0), MATCH((YEAR(D161)+5), Variablen!$I$3:$AT$3, 0))="",L161,INDEX(Variablen!$I:$AT, MATCH(M161, Variablen!$A:$A, 0), MATCH((YEAR(D161)+5), Variablen!$I$3:$AT$3, 0))),L161)))*(IF((YEAR(D161)+5)&lt;YEAR(E161),0,IF((YEAR(D161)+5)&gt;YEAR(E161),1,(12-MONTH(E161)+1)/12))) + (Q161)*(IF((YEAR(D161)+5)&lt;YEAR(E161),0,IF((YEAR(D161)+5)&gt;YEAR(E161),1,(12-MONTH(E161)+1)/12))))-((P161)*(IF((YEAR(D161)+5)&lt;YEAR(E161),0,IF((YEAR(D161)+5)&gt;YEAR(E161),1,(12-MONTH(E161)+1)/12))) + (R161)*(IF((YEAR(D161)+5)&lt;YEAR(E161),0,IF((YEAR(D161)+5)&gt;YEAR(E161),1,(12-MONTH(E161)+1)/12))))-(IF(OR(N161="",N161&lt;=0),0,(O161/N161)*(IF(OR(N161="",N161&lt;=0),0,IF((YEAR(D161)+5)&lt;YEAR(E161),0,IF((YEAR(D161)+5)&gt;=YEAR(E161)+N161,0,IF((YEAR(D161)+5)=YEAR(E161),(12-MONTH(E161)+1)/12,1))))))))*TaxRate,0))-IF(5=0,O161,0))</f>
        <v/>
      </c>
      <c r="Y161" s="29">
        <f>IF(A161="","",((K161)*(IF(M161="",L161,IFERROR(IF(INDEX(Variablen!$I:$AT, MATCH(M161, Variablen!$A:$A, 0), MATCH((YEAR(D161)+6), Variablen!$I$3:$AT$3, 0))="",L161,INDEX(Variablen!$I:$AT, MATCH(M161, Variablen!$A:$A, 0), MATCH((YEAR(D161)+6), Variablen!$I$3:$AT$3, 0))),L161)))*(IF((YEAR(D161)+6)&lt;YEAR(E161),0,IF((YEAR(D161)+6)&gt;YEAR(E161),1,(12-MONTH(E161)+1)/12))) + (Q161)*(IF((YEAR(D161)+6)&lt;YEAR(E161),0,IF((YEAR(D161)+6)&gt;YEAR(E161),1,(12-MONTH(E161)+1)/12))))-((P161)*(IF((YEAR(D161)+6)&lt;YEAR(E161),0,IF((YEAR(D161)+6)&gt;YEAR(E161),1,(12-MONTH(E161)+1)/12))) + (R161)*(IF((YEAR(D161)+6)&lt;YEAR(E161),0,IF((YEAR(D161)+6)&gt;YEAR(E161),1,(12-MONTH(E161)+1)/12))))-(IF((((K161)*(IF(M161="",L161,IFERROR(IF(INDEX(Variablen!$I:$AT, MATCH(M161, Variablen!$A:$A, 0), MATCH((YEAR(D161)+6), Variablen!$I$3:$AT$3, 0))="",L161,INDEX(Variablen!$I:$AT, MATCH(M161, Variablen!$A:$A, 0), MATCH((YEAR(D161)+6), Variablen!$I$3:$AT$3, 0))),L161)))*(IF((YEAR(D161)+6)&lt;YEAR(E161),0,IF((YEAR(D161)+6)&gt;YEAR(E161),1,(12-MONTH(E161)+1)/12))) + (Q161)*(IF((YEAR(D161)+6)&lt;YEAR(E161),0,IF((YEAR(D161)+6)&gt;YEAR(E161),1,(12-MONTH(E161)+1)/12))))-((P161)*(IF((YEAR(D161)+6)&lt;YEAR(E161),0,IF((YEAR(D161)+6)&gt;YEAR(E161),1,(12-MONTH(E161)+1)/12))) + (R161)*(IF((YEAR(D161)+6)&lt;YEAR(E161),0,IF((YEAR(D161)+6)&gt;YEAR(E161),1,(12-MONTH(E161)+1)/12))))-(IF(OR(N161="",N161&lt;=0),0,(O161/N161)*(IF(OR(N161="",N161&lt;=0),0,IF((YEAR(D161)+6)&lt;YEAR(E161),0,IF((YEAR(D161)+6)&gt;=YEAR(E161)+N161,0,IF((YEAR(D161)+6)=YEAR(E161),(12-MONTH(E161)+1)/12,1))))))))&gt;0,(((K161)*(IF(M161="",L161,IFERROR(IF(INDEX(Variablen!$I:$AT, MATCH(M161, Variablen!$A:$A, 0), MATCH((YEAR(D161)+6), Variablen!$I$3:$AT$3, 0))="",L161,INDEX(Variablen!$I:$AT, MATCH(M161, Variablen!$A:$A, 0), MATCH((YEAR(D161)+6), Variablen!$I$3:$AT$3, 0))),L161)))*(IF((YEAR(D161)+6)&lt;YEAR(E161),0,IF((YEAR(D161)+6)&gt;YEAR(E161),1,(12-MONTH(E161)+1)/12))) + (Q161)*(IF((YEAR(D161)+6)&lt;YEAR(E161),0,IF((YEAR(D161)+6)&gt;YEAR(E161),1,(12-MONTH(E161)+1)/12))))-((P161)*(IF((YEAR(D161)+6)&lt;YEAR(E161),0,IF((YEAR(D161)+6)&gt;YEAR(E161),1,(12-MONTH(E161)+1)/12))) + (R161)*(IF((YEAR(D161)+6)&lt;YEAR(E161),0,IF((YEAR(D161)+6)&gt;YEAR(E161),1,(12-MONTH(E161)+1)/12))))-(IF(OR(N161="",N161&lt;=0),0,(O161/N161)*(IF(OR(N161="",N161&lt;=0),0,IF((YEAR(D161)+6)&lt;YEAR(E161),0,IF((YEAR(D161)+6)&gt;=YEAR(E161)+N161,0,IF((YEAR(D161)+6)=YEAR(E161),(12-MONTH(E161)+1)/12,1))))))))*TaxRate,0))-IF(6=0,O161,0))</f>
        <v/>
      </c>
      <c r="Z161" s="29">
        <f>IF(A161="","",((K161)*(IF(M161="",L161,IFERROR(IF(INDEX(Variablen!$I:$AT, MATCH(M161, Variablen!$A:$A, 0), MATCH((YEAR(D161)+7), Variablen!$I$3:$AT$3, 0))="",L161,INDEX(Variablen!$I:$AT, MATCH(M161, Variablen!$A:$A, 0), MATCH((YEAR(D161)+7), Variablen!$I$3:$AT$3, 0))),L161)))*(IF((YEAR(D161)+7)&lt;YEAR(E161),0,IF((YEAR(D161)+7)&gt;YEAR(E161),1,(12-MONTH(E161)+1)/12))) + (Q161)*(IF((YEAR(D161)+7)&lt;YEAR(E161),0,IF((YEAR(D161)+7)&gt;YEAR(E161),1,(12-MONTH(E161)+1)/12))))-((P161)*(IF((YEAR(D161)+7)&lt;YEAR(E161),0,IF((YEAR(D161)+7)&gt;YEAR(E161),1,(12-MONTH(E161)+1)/12))) + (R161)*(IF((YEAR(D161)+7)&lt;YEAR(E161),0,IF((YEAR(D161)+7)&gt;YEAR(E161),1,(12-MONTH(E161)+1)/12))))-(IF((((K161)*(IF(M161="",L161,IFERROR(IF(INDEX(Variablen!$I:$AT, MATCH(M161, Variablen!$A:$A, 0), MATCH((YEAR(D161)+7), Variablen!$I$3:$AT$3, 0))="",L161,INDEX(Variablen!$I:$AT, MATCH(M161, Variablen!$A:$A, 0), MATCH((YEAR(D161)+7), Variablen!$I$3:$AT$3, 0))),L161)))*(IF((YEAR(D161)+7)&lt;YEAR(E161),0,IF((YEAR(D161)+7)&gt;YEAR(E161),1,(12-MONTH(E161)+1)/12))) + (Q161)*(IF((YEAR(D161)+7)&lt;YEAR(E161),0,IF((YEAR(D161)+7)&gt;YEAR(E161),1,(12-MONTH(E161)+1)/12))))-((P161)*(IF((YEAR(D161)+7)&lt;YEAR(E161),0,IF((YEAR(D161)+7)&gt;YEAR(E161),1,(12-MONTH(E161)+1)/12))) + (R161)*(IF((YEAR(D161)+7)&lt;YEAR(E161),0,IF((YEAR(D161)+7)&gt;YEAR(E161),1,(12-MONTH(E161)+1)/12))))-(IF(OR(N161="",N161&lt;=0),0,(O161/N161)*(IF(OR(N161="",N161&lt;=0),0,IF((YEAR(D161)+7)&lt;YEAR(E161),0,IF((YEAR(D161)+7)&gt;=YEAR(E161)+N161,0,IF((YEAR(D161)+7)=YEAR(E161),(12-MONTH(E161)+1)/12,1))))))))&gt;0,(((K161)*(IF(M161="",L161,IFERROR(IF(INDEX(Variablen!$I:$AT, MATCH(M161, Variablen!$A:$A, 0), MATCH((YEAR(D161)+7), Variablen!$I$3:$AT$3, 0))="",L161,INDEX(Variablen!$I:$AT, MATCH(M161, Variablen!$A:$A, 0), MATCH((YEAR(D161)+7), Variablen!$I$3:$AT$3, 0))),L161)))*(IF((YEAR(D161)+7)&lt;YEAR(E161),0,IF((YEAR(D161)+7)&gt;YEAR(E161),1,(12-MONTH(E161)+1)/12))) + (Q161)*(IF((YEAR(D161)+7)&lt;YEAR(E161),0,IF((YEAR(D161)+7)&gt;YEAR(E161),1,(12-MONTH(E161)+1)/12))))-((P161)*(IF((YEAR(D161)+7)&lt;YEAR(E161),0,IF((YEAR(D161)+7)&gt;YEAR(E161),1,(12-MONTH(E161)+1)/12))) + (R161)*(IF((YEAR(D161)+7)&lt;YEAR(E161),0,IF((YEAR(D161)+7)&gt;YEAR(E161),1,(12-MONTH(E161)+1)/12))))-(IF(OR(N161="",N161&lt;=0),0,(O161/N161)*(IF(OR(N161="",N161&lt;=0),0,IF((YEAR(D161)+7)&lt;YEAR(E161),0,IF((YEAR(D161)+7)&gt;=YEAR(E161)+N161,0,IF((YEAR(D161)+7)=YEAR(E161),(12-MONTH(E161)+1)/12,1))))))))*TaxRate,0))-IF(7=0,O161,0))</f>
        <v/>
      </c>
      <c r="AA161" s="29">
        <f>IF(A161="","",((K161)*(IF(M161="",L161,IFERROR(IF(INDEX(Variablen!$I:$AT, MATCH(M161, Variablen!$A:$A, 0), MATCH((YEAR(D161)+8), Variablen!$I$3:$AT$3, 0))="",L161,INDEX(Variablen!$I:$AT, MATCH(M161, Variablen!$A:$A, 0), MATCH((YEAR(D161)+8), Variablen!$I$3:$AT$3, 0))),L161)))*(IF((YEAR(D161)+8)&lt;YEAR(E161),0,IF((YEAR(D161)+8)&gt;YEAR(E161),1,(12-MONTH(E161)+1)/12))) + (Q161)*(IF((YEAR(D161)+8)&lt;YEAR(E161),0,IF((YEAR(D161)+8)&gt;YEAR(E161),1,(12-MONTH(E161)+1)/12))))-((P161)*(IF((YEAR(D161)+8)&lt;YEAR(E161),0,IF((YEAR(D161)+8)&gt;YEAR(E161),1,(12-MONTH(E161)+1)/12))) + (R161)*(IF((YEAR(D161)+8)&lt;YEAR(E161),0,IF((YEAR(D161)+8)&gt;YEAR(E161),1,(12-MONTH(E161)+1)/12))))-(IF((((K161)*(IF(M161="",L161,IFERROR(IF(INDEX(Variablen!$I:$AT, MATCH(M161, Variablen!$A:$A, 0), MATCH((YEAR(D161)+8), Variablen!$I$3:$AT$3, 0))="",L161,INDEX(Variablen!$I:$AT, MATCH(M161, Variablen!$A:$A, 0), MATCH((YEAR(D161)+8), Variablen!$I$3:$AT$3, 0))),L161)))*(IF((YEAR(D161)+8)&lt;YEAR(E161),0,IF((YEAR(D161)+8)&gt;YEAR(E161),1,(12-MONTH(E161)+1)/12))) + (Q161)*(IF((YEAR(D161)+8)&lt;YEAR(E161),0,IF((YEAR(D161)+8)&gt;YEAR(E161),1,(12-MONTH(E161)+1)/12))))-((P161)*(IF((YEAR(D161)+8)&lt;YEAR(E161),0,IF((YEAR(D161)+8)&gt;YEAR(E161),1,(12-MONTH(E161)+1)/12))) + (R161)*(IF((YEAR(D161)+8)&lt;YEAR(E161),0,IF((YEAR(D161)+8)&gt;YEAR(E161),1,(12-MONTH(E161)+1)/12))))-(IF(OR(N161="",N161&lt;=0),0,(O161/N161)*(IF(OR(N161="",N161&lt;=0),0,IF((YEAR(D161)+8)&lt;YEAR(E161),0,IF((YEAR(D161)+8)&gt;=YEAR(E161)+N161,0,IF((YEAR(D161)+8)=YEAR(E161),(12-MONTH(E161)+1)/12,1))))))))&gt;0,(((K161)*(IF(M161="",L161,IFERROR(IF(INDEX(Variablen!$I:$AT, MATCH(M161, Variablen!$A:$A, 0), MATCH((YEAR(D161)+8), Variablen!$I$3:$AT$3, 0))="",L161,INDEX(Variablen!$I:$AT, MATCH(M161, Variablen!$A:$A, 0), MATCH((YEAR(D161)+8), Variablen!$I$3:$AT$3, 0))),L161)))*(IF((YEAR(D161)+8)&lt;YEAR(E161),0,IF((YEAR(D161)+8)&gt;YEAR(E161),1,(12-MONTH(E161)+1)/12))) + (Q161)*(IF((YEAR(D161)+8)&lt;YEAR(E161),0,IF((YEAR(D161)+8)&gt;YEAR(E161),1,(12-MONTH(E161)+1)/12))))-((P161)*(IF((YEAR(D161)+8)&lt;YEAR(E161),0,IF((YEAR(D161)+8)&gt;YEAR(E161),1,(12-MONTH(E161)+1)/12))) + (R161)*(IF((YEAR(D161)+8)&lt;YEAR(E161),0,IF((YEAR(D161)+8)&gt;YEAR(E161),1,(12-MONTH(E161)+1)/12))))-(IF(OR(N161="",N161&lt;=0),0,(O161/N161)*(IF(OR(N161="",N161&lt;=0),0,IF((YEAR(D161)+8)&lt;YEAR(E161),0,IF((YEAR(D161)+8)&gt;=YEAR(E161)+N161,0,IF((YEAR(D161)+8)=YEAR(E161),(12-MONTH(E161)+1)/12,1))))))))*TaxRate,0))-IF(8=0,O161,0))</f>
        <v/>
      </c>
      <c r="AB161" s="29">
        <f>IF(A161="","",((K161)*(IF(M161="",L161,IFERROR(IF(INDEX(Variablen!$I:$AT, MATCH(M161, Variablen!$A:$A, 0), MATCH((YEAR(D161)+9), Variablen!$I$3:$AT$3, 0))="",L161,INDEX(Variablen!$I:$AT, MATCH(M161, Variablen!$A:$A, 0), MATCH((YEAR(D161)+9), Variablen!$I$3:$AT$3, 0))),L161)))*(IF((YEAR(D161)+9)&lt;YEAR(E161),0,IF((YEAR(D161)+9)&gt;YEAR(E161),1,(12-MONTH(E161)+1)/12))) + (Q161)*(IF((YEAR(D161)+9)&lt;YEAR(E161),0,IF((YEAR(D161)+9)&gt;YEAR(E161),1,(12-MONTH(E161)+1)/12))))-((P161)*(IF((YEAR(D161)+9)&lt;YEAR(E161),0,IF((YEAR(D161)+9)&gt;YEAR(E161),1,(12-MONTH(E161)+1)/12))) + (R161)*(IF((YEAR(D161)+9)&lt;YEAR(E161),0,IF((YEAR(D161)+9)&gt;YEAR(E161),1,(12-MONTH(E161)+1)/12))))-(IF((((K161)*(IF(M161="",L161,IFERROR(IF(INDEX(Variablen!$I:$AT, MATCH(M161, Variablen!$A:$A, 0), MATCH((YEAR(D161)+9), Variablen!$I$3:$AT$3, 0))="",L161,INDEX(Variablen!$I:$AT, MATCH(M161, Variablen!$A:$A, 0), MATCH((YEAR(D161)+9), Variablen!$I$3:$AT$3, 0))),L161)))*(IF((YEAR(D161)+9)&lt;YEAR(E161),0,IF((YEAR(D161)+9)&gt;YEAR(E161),1,(12-MONTH(E161)+1)/12))) + (Q161)*(IF((YEAR(D161)+9)&lt;YEAR(E161),0,IF((YEAR(D161)+9)&gt;YEAR(E161),1,(12-MONTH(E161)+1)/12))))-((P161)*(IF((YEAR(D161)+9)&lt;YEAR(E161),0,IF((YEAR(D161)+9)&gt;YEAR(E161),1,(12-MONTH(E161)+1)/12))) + (R161)*(IF((YEAR(D161)+9)&lt;YEAR(E161),0,IF((YEAR(D161)+9)&gt;YEAR(E161),1,(12-MONTH(E161)+1)/12))))-(IF(OR(N161="",N161&lt;=0),0,(O161/N161)*(IF(OR(N161="",N161&lt;=0),0,IF((YEAR(D161)+9)&lt;YEAR(E161),0,IF((YEAR(D161)+9)&gt;=YEAR(E161)+N161,0,IF((YEAR(D161)+9)=YEAR(E161),(12-MONTH(E161)+1)/12,1))))))))&gt;0,(((K161)*(IF(M161="",L161,IFERROR(IF(INDEX(Variablen!$I:$AT, MATCH(M161, Variablen!$A:$A, 0), MATCH((YEAR(D161)+9), Variablen!$I$3:$AT$3, 0))="",L161,INDEX(Variablen!$I:$AT, MATCH(M161, Variablen!$A:$A, 0), MATCH((YEAR(D161)+9), Variablen!$I$3:$AT$3, 0))),L161)))*(IF((YEAR(D161)+9)&lt;YEAR(E161),0,IF((YEAR(D161)+9)&gt;YEAR(E161),1,(12-MONTH(E161)+1)/12))) + (Q161)*(IF((YEAR(D161)+9)&lt;YEAR(E161),0,IF((YEAR(D161)+9)&gt;YEAR(E161),1,(12-MONTH(E161)+1)/12))))-((P161)*(IF((YEAR(D161)+9)&lt;YEAR(E161),0,IF((YEAR(D161)+9)&gt;YEAR(E161),1,(12-MONTH(E161)+1)/12))) + (R161)*(IF((YEAR(D161)+9)&lt;YEAR(E161),0,IF((YEAR(D161)+9)&gt;YEAR(E161),1,(12-MONTH(E161)+1)/12))))-(IF(OR(N161="",N161&lt;=0),0,(O161/N161)*(IF(OR(N161="",N161&lt;=0),0,IF((YEAR(D161)+9)&lt;YEAR(E161),0,IF((YEAR(D161)+9)&gt;=YEAR(E161)+N161,0,IF((YEAR(D161)+9)=YEAR(E161),(12-MONTH(E161)+1)/12,1))))))))*TaxRate,0))-IF(9=0,O161,0))</f>
        <v/>
      </c>
      <c r="AC161" s="29">
        <f>IF(A161="","",((K161)*(IF(M161="",L161,IFERROR(IF(INDEX(Variablen!$I:$AT, MATCH(M161, Variablen!$A:$A, 0), MATCH((YEAR(D161)+10), Variablen!$I$3:$AT$3, 0))="",L161,INDEX(Variablen!$I:$AT, MATCH(M161, Variablen!$A:$A, 0), MATCH((YEAR(D161)+10), Variablen!$I$3:$AT$3, 0))),L161)))*(IF((YEAR(D161)+10)&lt;YEAR(E161),0,IF((YEAR(D161)+10)&gt;YEAR(E161),1,(12-MONTH(E161)+1)/12))) + (Q161)*(IF((YEAR(D161)+10)&lt;YEAR(E161),0,IF((YEAR(D161)+10)&gt;YEAR(E161),1,(12-MONTH(E161)+1)/12))))-((P161)*(IF((YEAR(D161)+10)&lt;YEAR(E161),0,IF((YEAR(D161)+10)&gt;YEAR(E161),1,(12-MONTH(E161)+1)/12))) + (R161)*(IF((YEAR(D161)+10)&lt;YEAR(E161),0,IF((YEAR(D161)+10)&gt;YEAR(E161),1,(12-MONTH(E161)+1)/12))))-(IF((((K161)*(IF(M161="",L161,IFERROR(IF(INDEX(Variablen!$I:$AT, MATCH(M161, Variablen!$A:$A, 0), MATCH((YEAR(D161)+10), Variablen!$I$3:$AT$3, 0))="",L161,INDEX(Variablen!$I:$AT, MATCH(M161, Variablen!$A:$A, 0), MATCH((YEAR(D161)+10), Variablen!$I$3:$AT$3, 0))),L161)))*(IF((YEAR(D161)+10)&lt;YEAR(E161),0,IF((YEAR(D161)+10)&gt;YEAR(E161),1,(12-MONTH(E161)+1)/12))) + (Q161)*(IF((YEAR(D161)+10)&lt;YEAR(E161),0,IF((YEAR(D161)+10)&gt;YEAR(E161),1,(12-MONTH(E161)+1)/12))))-((P161)*(IF((YEAR(D161)+10)&lt;YEAR(E161),0,IF((YEAR(D161)+10)&gt;YEAR(E161),1,(12-MONTH(E161)+1)/12))) + (R161)*(IF((YEAR(D161)+10)&lt;YEAR(E161),0,IF((YEAR(D161)+10)&gt;YEAR(E161),1,(12-MONTH(E161)+1)/12))))-(IF(OR(N161="",N161&lt;=0),0,(O161/N161)*(IF(OR(N161="",N161&lt;=0),0,IF((YEAR(D161)+10)&lt;YEAR(E161),0,IF((YEAR(D161)+10)&gt;=YEAR(E161)+N161,0,IF((YEAR(D161)+10)=YEAR(E161),(12-MONTH(E161)+1)/12,1))))))))&gt;0,(((K161)*(IF(M161="",L161,IFERROR(IF(INDEX(Variablen!$I:$AT, MATCH(M161, Variablen!$A:$A, 0), MATCH((YEAR(D161)+10), Variablen!$I$3:$AT$3, 0))="",L161,INDEX(Variablen!$I:$AT, MATCH(M161, Variablen!$A:$A, 0), MATCH((YEAR(D161)+10), Variablen!$I$3:$AT$3, 0))),L161)))*(IF((YEAR(D161)+10)&lt;YEAR(E161),0,IF((YEAR(D161)+10)&gt;YEAR(E161),1,(12-MONTH(E161)+1)/12))) + (Q161)*(IF((YEAR(D161)+10)&lt;YEAR(E161),0,IF((YEAR(D161)+10)&gt;YEAR(E161),1,(12-MONTH(E161)+1)/12))))-((P161)*(IF((YEAR(D161)+10)&lt;YEAR(E161),0,IF((YEAR(D161)+10)&gt;YEAR(E161),1,(12-MONTH(E161)+1)/12))) + (R161)*(IF((YEAR(D161)+10)&lt;YEAR(E161),0,IF((YEAR(D161)+10)&gt;YEAR(E161),1,(12-MONTH(E161)+1)/12))))-(IF(OR(N161="",N161&lt;=0),0,(O161/N161)*(IF(OR(N161="",N161&lt;=0),0,IF((YEAR(D161)+10)&lt;YEAR(E161),0,IF((YEAR(D161)+10)&gt;=YEAR(E161)+N161,0,IF((YEAR(D161)+10)=YEAR(E161),(12-MONTH(E161)+1)/12,1))))))))*TaxRate,0))-IF(10=0,O161,0))</f>
        <v/>
      </c>
      <c r="AD161" s="29">
        <f>IF(A161="","",((K161)*(IF(M161="",L161,IFERROR(IF(INDEX(Variablen!$I:$AT, MATCH(M161, Variablen!$A:$A, 0), MATCH((YEAR(D161)+11), Variablen!$I$3:$AT$3, 0))="",L161,INDEX(Variablen!$I:$AT, MATCH(M161, Variablen!$A:$A, 0), MATCH((YEAR(D161)+11), Variablen!$I$3:$AT$3, 0))),L161)))*(IF((YEAR(D161)+11)&lt;YEAR(E161),0,IF((YEAR(D161)+11)&gt;YEAR(E161),1,(12-MONTH(E161)+1)/12))) + (Q161)*(IF((YEAR(D161)+11)&lt;YEAR(E161),0,IF((YEAR(D161)+11)&gt;YEAR(E161),1,(12-MONTH(E161)+1)/12))))-((P161)*(IF((YEAR(D161)+11)&lt;YEAR(E161),0,IF((YEAR(D161)+11)&gt;YEAR(E161),1,(12-MONTH(E161)+1)/12))) + (R161)*(IF((YEAR(D161)+11)&lt;YEAR(E161),0,IF((YEAR(D161)+11)&gt;YEAR(E161),1,(12-MONTH(E161)+1)/12))))-(IF((((K161)*(IF(M161="",L161,IFERROR(IF(INDEX(Variablen!$I:$AT, MATCH(M161, Variablen!$A:$A, 0), MATCH((YEAR(D161)+11), Variablen!$I$3:$AT$3, 0))="",L161,INDEX(Variablen!$I:$AT, MATCH(M161, Variablen!$A:$A, 0), MATCH((YEAR(D161)+11), Variablen!$I$3:$AT$3, 0))),L161)))*(IF((YEAR(D161)+11)&lt;YEAR(E161),0,IF((YEAR(D161)+11)&gt;YEAR(E161),1,(12-MONTH(E161)+1)/12))) + (Q161)*(IF((YEAR(D161)+11)&lt;YEAR(E161),0,IF((YEAR(D161)+11)&gt;YEAR(E161),1,(12-MONTH(E161)+1)/12))))-((P161)*(IF((YEAR(D161)+11)&lt;YEAR(E161),0,IF((YEAR(D161)+11)&gt;YEAR(E161),1,(12-MONTH(E161)+1)/12))) + (R161)*(IF((YEAR(D161)+11)&lt;YEAR(E161),0,IF((YEAR(D161)+11)&gt;YEAR(E161),1,(12-MONTH(E161)+1)/12))))-(IF(OR(N161="",N161&lt;=0),0,(O161/N161)*(IF(OR(N161="",N161&lt;=0),0,IF((YEAR(D161)+11)&lt;YEAR(E161),0,IF((YEAR(D161)+11)&gt;=YEAR(E161)+N161,0,IF((YEAR(D161)+11)=YEAR(E161),(12-MONTH(E161)+1)/12,1))))))))&gt;0,(((K161)*(IF(M161="",L161,IFERROR(IF(INDEX(Variablen!$I:$AT, MATCH(M161, Variablen!$A:$A, 0), MATCH((YEAR(D161)+11), Variablen!$I$3:$AT$3, 0))="",L161,INDEX(Variablen!$I:$AT, MATCH(M161, Variablen!$A:$A, 0), MATCH((YEAR(D161)+11), Variablen!$I$3:$AT$3, 0))),L161)))*(IF((YEAR(D161)+11)&lt;YEAR(E161),0,IF((YEAR(D161)+11)&gt;YEAR(E161),1,(12-MONTH(E161)+1)/12))) + (Q161)*(IF((YEAR(D161)+11)&lt;YEAR(E161),0,IF((YEAR(D161)+11)&gt;YEAR(E161),1,(12-MONTH(E161)+1)/12))))-((P161)*(IF((YEAR(D161)+11)&lt;YEAR(E161),0,IF((YEAR(D161)+11)&gt;YEAR(E161),1,(12-MONTH(E161)+1)/12))) + (R161)*(IF((YEAR(D161)+11)&lt;YEAR(E161),0,IF((YEAR(D161)+11)&gt;YEAR(E161),1,(12-MONTH(E161)+1)/12))))-(IF(OR(N161="",N161&lt;=0),0,(O161/N161)*(IF(OR(N161="",N161&lt;=0),0,IF((YEAR(D161)+11)&lt;YEAR(E161),0,IF((YEAR(D161)+11)&gt;=YEAR(E161)+N161,0,IF((YEAR(D161)+11)=YEAR(E161),(12-MONTH(E161)+1)/12,1))))))))*TaxRate,0))-IF(11=0,O161,0))</f>
        <v/>
      </c>
      <c r="AE161" s="29">
        <f>IF(A161="","",((K161)*(IF(M161="",L161,IFERROR(IF(INDEX(Variablen!$I:$AT, MATCH(M161, Variablen!$A:$A, 0), MATCH((YEAR(D161)+12), Variablen!$I$3:$AT$3, 0))="",L161,INDEX(Variablen!$I:$AT, MATCH(M161, Variablen!$A:$A, 0), MATCH((YEAR(D161)+12), Variablen!$I$3:$AT$3, 0))),L161)))*(IF((YEAR(D161)+12)&lt;YEAR(E161),0,IF((YEAR(D161)+12)&gt;YEAR(E161),1,(12-MONTH(E161)+1)/12))) + (Q161)*(IF((YEAR(D161)+12)&lt;YEAR(E161),0,IF((YEAR(D161)+12)&gt;YEAR(E161),1,(12-MONTH(E161)+1)/12))))-((P161)*(IF((YEAR(D161)+12)&lt;YEAR(E161),0,IF((YEAR(D161)+12)&gt;YEAR(E161),1,(12-MONTH(E161)+1)/12))) + (R161)*(IF((YEAR(D161)+12)&lt;YEAR(E161),0,IF((YEAR(D161)+12)&gt;YEAR(E161),1,(12-MONTH(E161)+1)/12))))-(IF((((K161)*(IF(M161="",L161,IFERROR(IF(INDEX(Variablen!$I:$AT, MATCH(M161, Variablen!$A:$A, 0), MATCH((YEAR(D161)+12), Variablen!$I$3:$AT$3, 0))="",L161,INDEX(Variablen!$I:$AT, MATCH(M161, Variablen!$A:$A, 0), MATCH((YEAR(D161)+12), Variablen!$I$3:$AT$3, 0))),L161)))*(IF((YEAR(D161)+12)&lt;YEAR(E161),0,IF((YEAR(D161)+12)&gt;YEAR(E161),1,(12-MONTH(E161)+1)/12))) + (Q161)*(IF((YEAR(D161)+12)&lt;YEAR(E161),0,IF((YEAR(D161)+12)&gt;YEAR(E161),1,(12-MONTH(E161)+1)/12))))-((P161)*(IF((YEAR(D161)+12)&lt;YEAR(E161),0,IF((YEAR(D161)+12)&gt;YEAR(E161),1,(12-MONTH(E161)+1)/12))) + (R161)*(IF((YEAR(D161)+12)&lt;YEAR(E161),0,IF((YEAR(D161)+12)&gt;YEAR(E161),1,(12-MONTH(E161)+1)/12))))-(IF(OR(N161="",N161&lt;=0),0,(O161/N161)*(IF(OR(N161="",N161&lt;=0),0,IF((YEAR(D161)+12)&lt;YEAR(E161),0,IF((YEAR(D161)+12)&gt;=YEAR(E161)+N161,0,IF((YEAR(D161)+12)=YEAR(E161),(12-MONTH(E161)+1)/12,1))))))))&gt;0,(((K161)*(IF(M161="",L161,IFERROR(IF(INDEX(Variablen!$I:$AT, MATCH(M161, Variablen!$A:$A, 0), MATCH((YEAR(D161)+12), Variablen!$I$3:$AT$3, 0))="",L161,INDEX(Variablen!$I:$AT, MATCH(M161, Variablen!$A:$A, 0), MATCH((YEAR(D161)+12), Variablen!$I$3:$AT$3, 0))),L161)))*(IF((YEAR(D161)+12)&lt;YEAR(E161),0,IF((YEAR(D161)+12)&gt;YEAR(E161),1,(12-MONTH(E161)+1)/12))) + (Q161)*(IF((YEAR(D161)+12)&lt;YEAR(E161),0,IF((YEAR(D161)+12)&gt;YEAR(E161),1,(12-MONTH(E161)+1)/12))))-((P161)*(IF((YEAR(D161)+12)&lt;YEAR(E161),0,IF((YEAR(D161)+12)&gt;YEAR(E161),1,(12-MONTH(E161)+1)/12))) + (R161)*(IF((YEAR(D161)+12)&lt;YEAR(E161),0,IF((YEAR(D161)+12)&gt;YEAR(E161),1,(12-MONTH(E161)+1)/12))))-(IF(OR(N161="",N161&lt;=0),0,(O161/N161)*(IF(OR(N161="",N161&lt;=0),0,IF((YEAR(D161)+12)&lt;YEAR(E161),0,IF((YEAR(D161)+12)&gt;=YEAR(E161)+N161,0,IF((YEAR(D161)+12)=YEAR(E161),(12-MONTH(E161)+1)/12,1))))))))*TaxRate,0))-IF(12=0,O161,0))</f>
        <v/>
      </c>
      <c r="AF161" s="29">
        <f>IF(A161="","",((K161)*(IF(M161="",L161,IFERROR(IF(INDEX(Variablen!$I:$AT, MATCH(M161, Variablen!$A:$A, 0), MATCH((YEAR(D161)+13), Variablen!$I$3:$AT$3, 0))="",L161,INDEX(Variablen!$I:$AT, MATCH(M161, Variablen!$A:$A, 0), MATCH((YEAR(D161)+13), Variablen!$I$3:$AT$3, 0))),L161)))*(IF((YEAR(D161)+13)&lt;YEAR(E161),0,IF((YEAR(D161)+13)&gt;YEAR(E161),1,(12-MONTH(E161)+1)/12))) + (Q161)*(IF((YEAR(D161)+13)&lt;YEAR(E161),0,IF((YEAR(D161)+13)&gt;YEAR(E161),1,(12-MONTH(E161)+1)/12))))-((P161)*(IF((YEAR(D161)+13)&lt;YEAR(E161),0,IF((YEAR(D161)+13)&gt;YEAR(E161),1,(12-MONTH(E161)+1)/12))) + (R161)*(IF((YEAR(D161)+13)&lt;YEAR(E161),0,IF((YEAR(D161)+13)&gt;YEAR(E161),1,(12-MONTH(E161)+1)/12))))-(IF((((K161)*(IF(M161="",L161,IFERROR(IF(INDEX(Variablen!$I:$AT, MATCH(M161, Variablen!$A:$A, 0), MATCH((YEAR(D161)+13), Variablen!$I$3:$AT$3, 0))="",L161,INDEX(Variablen!$I:$AT, MATCH(M161, Variablen!$A:$A, 0), MATCH((YEAR(D161)+13), Variablen!$I$3:$AT$3, 0))),L161)))*(IF((YEAR(D161)+13)&lt;YEAR(E161),0,IF((YEAR(D161)+13)&gt;YEAR(E161),1,(12-MONTH(E161)+1)/12))) + (Q161)*(IF((YEAR(D161)+13)&lt;YEAR(E161),0,IF((YEAR(D161)+13)&gt;YEAR(E161),1,(12-MONTH(E161)+1)/12))))-((P161)*(IF((YEAR(D161)+13)&lt;YEAR(E161),0,IF((YEAR(D161)+13)&gt;YEAR(E161),1,(12-MONTH(E161)+1)/12))) + (R161)*(IF((YEAR(D161)+13)&lt;YEAR(E161),0,IF((YEAR(D161)+13)&gt;YEAR(E161),1,(12-MONTH(E161)+1)/12))))-(IF(OR(N161="",N161&lt;=0),0,(O161/N161)*(IF(OR(N161="",N161&lt;=0),0,IF((YEAR(D161)+13)&lt;YEAR(E161),0,IF((YEAR(D161)+13)&gt;=YEAR(E161)+N161,0,IF((YEAR(D161)+13)=YEAR(E161),(12-MONTH(E161)+1)/12,1))))))))&gt;0,(((K161)*(IF(M161="",L161,IFERROR(IF(INDEX(Variablen!$I:$AT, MATCH(M161, Variablen!$A:$A, 0), MATCH((YEAR(D161)+13), Variablen!$I$3:$AT$3, 0))="",L161,INDEX(Variablen!$I:$AT, MATCH(M161, Variablen!$A:$A, 0), MATCH((YEAR(D161)+13), Variablen!$I$3:$AT$3, 0))),L161)))*(IF((YEAR(D161)+13)&lt;YEAR(E161),0,IF((YEAR(D161)+13)&gt;YEAR(E161),1,(12-MONTH(E161)+1)/12))) + (Q161)*(IF((YEAR(D161)+13)&lt;YEAR(E161),0,IF((YEAR(D161)+13)&gt;YEAR(E161),1,(12-MONTH(E161)+1)/12))))-((P161)*(IF((YEAR(D161)+13)&lt;YEAR(E161),0,IF((YEAR(D161)+13)&gt;YEAR(E161),1,(12-MONTH(E161)+1)/12))) + (R161)*(IF((YEAR(D161)+13)&lt;YEAR(E161),0,IF((YEAR(D161)+13)&gt;YEAR(E161),1,(12-MONTH(E161)+1)/12))))-(IF(OR(N161="",N161&lt;=0),0,(O161/N161)*(IF(OR(N161="",N161&lt;=0),0,IF((YEAR(D161)+13)&lt;YEAR(E161),0,IF((YEAR(D161)+13)&gt;=YEAR(E161)+N161,0,IF((YEAR(D161)+13)=YEAR(E161),(12-MONTH(E161)+1)/12,1))))))))*TaxRate,0))-IF(13=0,O161,0))</f>
        <v/>
      </c>
      <c r="AG161" s="29">
        <f>IF(A161="","",((K161)*(IF(M161="",L161,IFERROR(IF(INDEX(Variablen!$I:$AT, MATCH(M161, Variablen!$A:$A, 0), MATCH((YEAR(D161)+14), Variablen!$I$3:$AT$3, 0))="",L161,INDEX(Variablen!$I:$AT, MATCH(M161, Variablen!$A:$A, 0), MATCH((YEAR(D161)+14), Variablen!$I$3:$AT$3, 0))),L161)))*(IF((YEAR(D161)+14)&lt;YEAR(E161),0,IF((YEAR(D161)+14)&gt;YEAR(E161),1,(12-MONTH(E161)+1)/12))) + (Q161)*(IF((YEAR(D161)+14)&lt;YEAR(E161),0,IF((YEAR(D161)+14)&gt;YEAR(E161),1,(12-MONTH(E161)+1)/12))))-((P161)*(IF((YEAR(D161)+14)&lt;YEAR(E161),0,IF((YEAR(D161)+14)&gt;YEAR(E161),1,(12-MONTH(E161)+1)/12))) + (R161)*(IF((YEAR(D161)+14)&lt;YEAR(E161),0,IF((YEAR(D161)+14)&gt;YEAR(E161),1,(12-MONTH(E161)+1)/12))))-(IF((((K161)*(IF(M161="",L161,IFERROR(IF(INDEX(Variablen!$I:$AT, MATCH(M161, Variablen!$A:$A, 0), MATCH((YEAR(D161)+14), Variablen!$I$3:$AT$3, 0))="",L161,INDEX(Variablen!$I:$AT, MATCH(M161, Variablen!$A:$A, 0), MATCH((YEAR(D161)+14), Variablen!$I$3:$AT$3, 0))),L161)))*(IF((YEAR(D161)+14)&lt;YEAR(E161),0,IF((YEAR(D161)+14)&gt;YEAR(E161),1,(12-MONTH(E161)+1)/12))) + (Q161)*(IF((YEAR(D161)+14)&lt;YEAR(E161),0,IF((YEAR(D161)+14)&gt;YEAR(E161),1,(12-MONTH(E161)+1)/12))))-((P161)*(IF((YEAR(D161)+14)&lt;YEAR(E161),0,IF((YEAR(D161)+14)&gt;YEAR(E161),1,(12-MONTH(E161)+1)/12))) + (R161)*(IF((YEAR(D161)+14)&lt;YEAR(E161),0,IF((YEAR(D161)+14)&gt;YEAR(E161),1,(12-MONTH(E161)+1)/12))))-(IF(OR(N161="",N161&lt;=0),0,(O161/N161)*(IF(OR(N161="",N161&lt;=0),0,IF((YEAR(D161)+14)&lt;YEAR(E161),0,IF((YEAR(D161)+14)&gt;=YEAR(E161)+N161,0,IF((YEAR(D161)+14)=YEAR(E161),(12-MONTH(E161)+1)/12,1))))))))&gt;0,(((K161)*(IF(M161="",L161,IFERROR(IF(INDEX(Variablen!$I:$AT, MATCH(M161, Variablen!$A:$A, 0), MATCH((YEAR(D161)+14), Variablen!$I$3:$AT$3, 0))="",L161,INDEX(Variablen!$I:$AT, MATCH(M161, Variablen!$A:$A, 0), MATCH((YEAR(D161)+14), Variablen!$I$3:$AT$3, 0))),L161)))*(IF((YEAR(D161)+14)&lt;YEAR(E161),0,IF((YEAR(D161)+14)&gt;YEAR(E161),1,(12-MONTH(E161)+1)/12))) + (Q161)*(IF((YEAR(D161)+14)&lt;YEAR(E161),0,IF((YEAR(D161)+14)&gt;YEAR(E161),1,(12-MONTH(E161)+1)/12))))-((P161)*(IF((YEAR(D161)+14)&lt;YEAR(E161),0,IF((YEAR(D161)+14)&gt;YEAR(E161),1,(12-MONTH(E161)+1)/12))) + (R161)*(IF((YEAR(D161)+14)&lt;YEAR(E161),0,IF((YEAR(D161)+14)&gt;YEAR(E161),1,(12-MONTH(E161)+1)/12))))-(IF(OR(N161="",N161&lt;=0),0,(O161/N161)*(IF(OR(N161="",N161&lt;=0),0,IF((YEAR(D161)+14)&lt;YEAR(E161),0,IF((YEAR(D161)+14)&gt;=YEAR(E161)+N161,0,IF((YEAR(D161)+14)=YEAR(E161),(12-MONTH(E161)+1)/12,1))))))))*TaxRate,0))-IF(14=0,O161,0))</f>
        <v/>
      </c>
      <c r="AH161" s="29">
        <f>IF(A161="","",((K161)*(IF(M161="",L161,IFERROR(IF(INDEX(Variablen!$I:$AT, MATCH(M161, Variablen!$A:$A, 0), MATCH((YEAR(D161)+15), Variablen!$I$3:$AT$3, 0))="",L161,INDEX(Variablen!$I:$AT, MATCH(M161, Variablen!$A:$A, 0), MATCH((YEAR(D161)+15), Variablen!$I$3:$AT$3, 0))),L161)))*(IF((YEAR(D161)+15)&lt;YEAR(E161),0,IF((YEAR(D161)+15)&gt;YEAR(E161),1,(12-MONTH(E161)+1)/12))) + (Q161)*(IF((YEAR(D161)+15)&lt;YEAR(E161),0,IF((YEAR(D161)+15)&gt;YEAR(E161),1,(12-MONTH(E161)+1)/12))))-((P161)*(IF((YEAR(D161)+15)&lt;YEAR(E161),0,IF((YEAR(D161)+15)&gt;YEAR(E161),1,(12-MONTH(E161)+1)/12))) + (R161)*(IF((YEAR(D161)+15)&lt;YEAR(E161),0,IF((YEAR(D161)+15)&gt;YEAR(E161),1,(12-MONTH(E161)+1)/12))))-(IF((((K161)*(IF(M161="",L161,IFERROR(IF(INDEX(Variablen!$I:$AT, MATCH(M161, Variablen!$A:$A, 0), MATCH((YEAR(D161)+15), Variablen!$I$3:$AT$3, 0))="",L161,INDEX(Variablen!$I:$AT, MATCH(M161, Variablen!$A:$A, 0), MATCH((YEAR(D161)+15), Variablen!$I$3:$AT$3, 0))),L161)))*(IF((YEAR(D161)+15)&lt;YEAR(E161),0,IF((YEAR(D161)+15)&gt;YEAR(E161),1,(12-MONTH(E161)+1)/12))) + (Q161)*(IF((YEAR(D161)+15)&lt;YEAR(E161),0,IF((YEAR(D161)+15)&gt;YEAR(E161),1,(12-MONTH(E161)+1)/12))))-((P161)*(IF((YEAR(D161)+15)&lt;YEAR(E161),0,IF((YEAR(D161)+15)&gt;YEAR(E161),1,(12-MONTH(E161)+1)/12))) + (R161)*(IF((YEAR(D161)+15)&lt;YEAR(E161),0,IF((YEAR(D161)+15)&gt;YEAR(E161),1,(12-MONTH(E161)+1)/12))))-(IF(OR(N161="",N161&lt;=0),0,(O161/N161)*(IF(OR(N161="",N161&lt;=0),0,IF((YEAR(D161)+15)&lt;YEAR(E161),0,IF((YEAR(D161)+15)&gt;=YEAR(E161)+N161,0,IF((YEAR(D161)+15)=YEAR(E161),(12-MONTH(E161)+1)/12,1))))))))&gt;0,(((K161)*(IF(M161="",L161,IFERROR(IF(INDEX(Variablen!$I:$AT, MATCH(M161, Variablen!$A:$A, 0), MATCH((YEAR(D161)+15), Variablen!$I$3:$AT$3, 0))="",L161,INDEX(Variablen!$I:$AT, MATCH(M161, Variablen!$A:$A, 0), MATCH((YEAR(D161)+15), Variablen!$I$3:$AT$3, 0))),L161)))*(IF((YEAR(D161)+15)&lt;YEAR(E161),0,IF((YEAR(D161)+15)&gt;YEAR(E161),1,(12-MONTH(E161)+1)/12))) + (Q161)*(IF((YEAR(D161)+15)&lt;YEAR(E161),0,IF((YEAR(D161)+15)&gt;YEAR(E161),1,(12-MONTH(E161)+1)/12))))-((P161)*(IF((YEAR(D161)+15)&lt;YEAR(E161),0,IF((YEAR(D161)+15)&gt;YEAR(E161),1,(12-MONTH(E161)+1)/12))) + (R161)*(IF((YEAR(D161)+15)&lt;YEAR(E161),0,IF((YEAR(D161)+15)&gt;YEAR(E161),1,(12-MONTH(E161)+1)/12))))-(IF(OR(N161="",N161&lt;=0),0,(O161/N161)*(IF(OR(N161="",N161&lt;=0),0,IF((YEAR(D161)+15)&lt;YEAR(E161),0,IF((YEAR(D161)+15)&gt;=YEAR(E161)+N161,0,IF((YEAR(D161)+15)=YEAR(E161),(12-MONTH(E161)+1)/12,1))))))))*TaxRate,0))-IF(15=0,O161,0))</f>
        <v/>
      </c>
      <c r="AI161" s="29">
        <f>IF(A161="","",((K161)*(IF(M161="",L161,IFERROR(IF(INDEX(Variablen!$I:$AT, MATCH(M161, Variablen!$A:$A, 0), MATCH((YEAR(D161)+16), Variablen!$I$3:$AT$3, 0))="",L161,INDEX(Variablen!$I:$AT, MATCH(M161, Variablen!$A:$A, 0), MATCH((YEAR(D161)+16), Variablen!$I$3:$AT$3, 0))),L161)))*(IF((YEAR(D161)+16)&lt;YEAR(E161),0,IF((YEAR(D161)+16)&gt;YEAR(E161),1,(12-MONTH(E161)+1)/12))) + (Q161)*(IF((YEAR(D161)+16)&lt;YEAR(E161),0,IF((YEAR(D161)+16)&gt;YEAR(E161),1,(12-MONTH(E161)+1)/12))))-((P161)*(IF((YEAR(D161)+16)&lt;YEAR(E161),0,IF((YEAR(D161)+16)&gt;YEAR(E161),1,(12-MONTH(E161)+1)/12))) + (R161)*(IF((YEAR(D161)+16)&lt;YEAR(E161),0,IF((YEAR(D161)+16)&gt;YEAR(E161),1,(12-MONTH(E161)+1)/12))))-(IF((((K161)*(IF(M161="",L161,IFERROR(IF(INDEX(Variablen!$I:$AT, MATCH(M161, Variablen!$A:$A, 0), MATCH((YEAR(D161)+16), Variablen!$I$3:$AT$3, 0))="",L161,INDEX(Variablen!$I:$AT, MATCH(M161, Variablen!$A:$A, 0), MATCH((YEAR(D161)+16), Variablen!$I$3:$AT$3, 0))),L161)))*(IF((YEAR(D161)+16)&lt;YEAR(E161),0,IF((YEAR(D161)+16)&gt;YEAR(E161),1,(12-MONTH(E161)+1)/12))) + (Q161)*(IF((YEAR(D161)+16)&lt;YEAR(E161),0,IF((YEAR(D161)+16)&gt;YEAR(E161),1,(12-MONTH(E161)+1)/12))))-((P161)*(IF((YEAR(D161)+16)&lt;YEAR(E161),0,IF((YEAR(D161)+16)&gt;YEAR(E161),1,(12-MONTH(E161)+1)/12))) + (R161)*(IF((YEAR(D161)+16)&lt;YEAR(E161),0,IF((YEAR(D161)+16)&gt;YEAR(E161),1,(12-MONTH(E161)+1)/12))))-(IF(OR(N161="",N161&lt;=0),0,(O161/N161)*(IF(OR(N161="",N161&lt;=0),0,IF((YEAR(D161)+16)&lt;YEAR(E161),0,IF((YEAR(D161)+16)&gt;=YEAR(E161)+N161,0,IF((YEAR(D161)+16)=YEAR(E161),(12-MONTH(E161)+1)/12,1))))))))&gt;0,(((K161)*(IF(M161="",L161,IFERROR(IF(INDEX(Variablen!$I:$AT, MATCH(M161, Variablen!$A:$A, 0), MATCH((YEAR(D161)+16), Variablen!$I$3:$AT$3, 0))="",L161,INDEX(Variablen!$I:$AT, MATCH(M161, Variablen!$A:$A, 0), MATCH((YEAR(D161)+16), Variablen!$I$3:$AT$3, 0))),L161)))*(IF((YEAR(D161)+16)&lt;YEAR(E161),0,IF((YEAR(D161)+16)&gt;YEAR(E161),1,(12-MONTH(E161)+1)/12))) + (Q161)*(IF((YEAR(D161)+16)&lt;YEAR(E161),0,IF((YEAR(D161)+16)&gt;YEAR(E161),1,(12-MONTH(E161)+1)/12))))-((P161)*(IF((YEAR(D161)+16)&lt;YEAR(E161),0,IF((YEAR(D161)+16)&gt;YEAR(E161),1,(12-MONTH(E161)+1)/12))) + (R161)*(IF((YEAR(D161)+16)&lt;YEAR(E161),0,IF((YEAR(D161)+16)&gt;YEAR(E161),1,(12-MONTH(E161)+1)/12))))-(IF(OR(N161="",N161&lt;=0),0,(O161/N161)*(IF(OR(N161="",N161&lt;=0),0,IF((YEAR(D161)+16)&lt;YEAR(E161),0,IF((YEAR(D161)+16)&gt;=YEAR(E161)+N161,0,IF((YEAR(D161)+16)=YEAR(E161),(12-MONTH(E161)+1)/12,1))))))))*TaxRate,0))-IF(16=0,O161,0))</f>
        <v/>
      </c>
      <c r="AJ161" s="29">
        <f>IF(A161="","",((K161)*(IF(M161="",L161,IFERROR(IF(INDEX(Variablen!$I:$AT, MATCH(M161, Variablen!$A:$A, 0), MATCH((YEAR(D161)+17), Variablen!$I$3:$AT$3, 0))="",L161,INDEX(Variablen!$I:$AT, MATCH(M161, Variablen!$A:$A, 0), MATCH((YEAR(D161)+17), Variablen!$I$3:$AT$3, 0))),L161)))*(IF((YEAR(D161)+17)&lt;YEAR(E161),0,IF((YEAR(D161)+17)&gt;YEAR(E161),1,(12-MONTH(E161)+1)/12))) + (Q161)*(IF((YEAR(D161)+17)&lt;YEAR(E161),0,IF((YEAR(D161)+17)&gt;YEAR(E161),1,(12-MONTH(E161)+1)/12))))-((P161)*(IF((YEAR(D161)+17)&lt;YEAR(E161),0,IF((YEAR(D161)+17)&gt;YEAR(E161),1,(12-MONTH(E161)+1)/12))) + (R161)*(IF((YEAR(D161)+17)&lt;YEAR(E161),0,IF((YEAR(D161)+17)&gt;YEAR(E161),1,(12-MONTH(E161)+1)/12))))-(IF((((K161)*(IF(M161="",L161,IFERROR(IF(INDEX(Variablen!$I:$AT, MATCH(M161, Variablen!$A:$A, 0), MATCH((YEAR(D161)+17), Variablen!$I$3:$AT$3, 0))="",L161,INDEX(Variablen!$I:$AT, MATCH(M161, Variablen!$A:$A, 0), MATCH((YEAR(D161)+17), Variablen!$I$3:$AT$3, 0))),L161)))*(IF((YEAR(D161)+17)&lt;YEAR(E161),0,IF((YEAR(D161)+17)&gt;YEAR(E161),1,(12-MONTH(E161)+1)/12))) + (Q161)*(IF((YEAR(D161)+17)&lt;YEAR(E161),0,IF((YEAR(D161)+17)&gt;YEAR(E161),1,(12-MONTH(E161)+1)/12))))-((P161)*(IF((YEAR(D161)+17)&lt;YEAR(E161),0,IF((YEAR(D161)+17)&gt;YEAR(E161),1,(12-MONTH(E161)+1)/12))) + (R161)*(IF((YEAR(D161)+17)&lt;YEAR(E161),0,IF((YEAR(D161)+17)&gt;YEAR(E161),1,(12-MONTH(E161)+1)/12))))-(IF(OR(N161="",N161&lt;=0),0,(O161/N161)*(IF(OR(N161="",N161&lt;=0),0,IF((YEAR(D161)+17)&lt;YEAR(E161),0,IF((YEAR(D161)+17)&gt;=YEAR(E161)+N161,0,IF((YEAR(D161)+17)=YEAR(E161),(12-MONTH(E161)+1)/12,1))))))))&gt;0,(((K161)*(IF(M161="",L161,IFERROR(IF(INDEX(Variablen!$I:$AT, MATCH(M161, Variablen!$A:$A, 0), MATCH((YEAR(D161)+17), Variablen!$I$3:$AT$3, 0))="",L161,INDEX(Variablen!$I:$AT, MATCH(M161, Variablen!$A:$A, 0), MATCH((YEAR(D161)+17), Variablen!$I$3:$AT$3, 0))),L161)))*(IF((YEAR(D161)+17)&lt;YEAR(E161),0,IF((YEAR(D161)+17)&gt;YEAR(E161),1,(12-MONTH(E161)+1)/12))) + (Q161)*(IF((YEAR(D161)+17)&lt;YEAR(E161),0,IF((YEAR(D161)+17)&gt;YEAR(E161),1,(12-MONTH(E161)+1)/12))))-((P161)*(IF((YEAR(D161)+17)&lt;YEAR(E161),0,IF((YEAR(D161)+17)&gt;YEAR(E161),1,(12-MONTH(E161)+1)/12))) + (R161)*(IF((YEAR(D161)+17)&lt;YEAR(E161),0,IF((YEAR(D161)+17)&gt;YEAR(E161),1,(12-MONTH(E161)+1)/12))))-(IF(OR(N161="",N161&lt;=0),0,(O161/N161)*(IF(OR(N161="",N161&lt;=0),0,IF((YEAR(D161)+17)&lt;YEAR(E161),0,IF((YEAR(D161)+17)&gt;=YEAR(E161)+N161,0,IF((YEAR(D161)+17)=YEAR(E161),(12-MONTH(E161)+1)/12,1))))))))*TaxRate,0))-IF(17=0,O161,0))</f>
        <v/>
      </c>
      <c r="AK161" s="29">
        <f>IF(A161="","",((K161)*(IF(M161="",L161,IFERROR(IF(INDEX(Variablen!$I:$AT, MATCH(M161, Variablen!$A:$A, 0), MATCH((YEAR(D161)+18), Variablen!$I$3:$AT$3, 0))="",L161,INDEX(Variablen!$I:$AT, MATCH(M161, Variablen!$A:$A, 0), MATCH((YEAR(D161)+18), Variablen!$I$3:$AT$3, 0))),L161)))*(IF((YEAR(D161)+18)&lt;YEAR(E161),0,IF((YEAR(D161)+18)&gt;YEAR(E161),1,(12-MONTH(E161)+1)/12))) + (Q161)*(IF((YEAR(D161)+18)&lt;YEAR(E161),0,IF((YEAR(D161)+18)&gt;YEAR(E161),1,(12-MONTH(E161)+1)/12))))-((P161)*(IF((YEAR(D161)+18)&lt;YEAR(E161),0,IF((YEAR(D161)+18)&gt;YEAR(E161),1,(12-MONTH(E161)+1)/12))) + (R161)*(IF((YEAR(D161)+18)&lt;YEAR(E161),0,IF((YEAR(D161)+18)&gt;YEAR(E161),1,(12-MONTH(E161)+1)/12))))-(IF((((K161)*(IF(M161="",L161,IFERROR(IF(INDEX(Variablen!$I:$AT, MATCH(M161, Variablen!$A:$A, 0), MATCH((YEAR(D161)+18), Variablen!$I$3:$AT$3, 0))="",L161,INDEX(Variablen!$I:$AT, MATCH(M161, Variablen!$A:$A, 0), MATCH((YEAR(D161)+18), Variablen!$I$3:$AT$3, 0))),L161)))*(IF((YEAR(D161)+18)&lt;YEAR(E161),0,IF((YEAR(D161)+18)&gt;YEAR(E161),1,(12-MONTH(E161)+1)/12))) + (Q161)*(IF((YEAR(D161)+18)&lt;YEAR(E161),0,IF((YEAR(D161)+18)&gt;YEAR(E161),1,(12-MONTH(E161)+1)/12))))-((P161)*(IF((YEAR(D161)+18)&lt;YEAR(E161),0,IF((YEAR(D161)+18)&gt;YEAR(E161),1,(12-MONTH(E161)+1)/12))) + (R161)*(IF((YEAR(D161)+18)&lt;YEAR(E161),0,IF((YEAR(D161)+18)&gt;YEAR(E161),1,(12-MONTH(E161)+1)/12))))-(IF(OR(N161="",N161&lt;=0),0,(O161/N161)*(IF(OR(N161="",N161&lt;=0),0,IF((YEAR(D161)+18)&lt;YEAR(E161),0,IF((YEAR(D161)+18)&gt;=YEAR(E161)+N161,0,IF((YEAR(D161)+18)=YEAR(E161),(12-MONTH(E161)+1)/12,1))))))))&gt;0,(((K161)*(IF(M161="",L161,IFERROR(IF(INDEX(Variablen!$I:$AT, MATCH(M161, Variablen!$A:$A, 0), MATCH((YEAR(D161)+18), Variablen!$I$3:$AT$3, 0))="",L161,INDEX(Variablen!$I:$AT, MATCH(M161, Variablen!$A:$A, 0), MATCH((YEAR(D161)+18), Variablen!$I$3:$AT$3, 0))),L161)))*(IF((YEAR(D161)+18)&lt;YEAR(E161),0,IF((YEAR(D161)+18)&gt;YEAR(E161),1,(12-MONTH(E161)+1)/12))) + (Q161)*(IF((YEAR(D161)+18)&lt;YEAR(E161),0,IF((YEAR(D161)+18)&gt;YEAR(E161),1,(12-MONTH(E161)+1)/12))))-((P161)*(IF((YEAR(D161)+18)&lt;YEAR(E161),0,IF((YEAR(D161)+18)&gt;YEAR(E161),1,(12-MONTH(E161)+1)/12))) + (R161)*(IF((YEAR(D161)+18)&lt;YEAR(E161),0,IF((YEAR(D161)+18)&gt;YEAR(E161),1,(12-MONTH(E161)+1)/12))))-(IF(OR(N161="",N161&lt;=0),0,(O161/N161)*(IF(OR(N161="",N161&lt;=0),0,IF((YEAR(D161)+18)&lt;YEAR(E161),0,IF((YEAR(D161)+18)&gt;=YEAR(E161)+N161,0,IF((YEAR(D161)+18)=YEAR(E161),(12-MONTH(E161)+1)/12,1))))))))*TaxRate,0))-IF(18=0,O161,0))</f>
        <v/>
      </c>
      <c r="AL161" s="29">
        <f>IF(A161="","",((K161)*(IF(M161="",L161,IFERROR(IF(INDEX(Variablen!$I:$AT, MATCH(M161, Variablen!$A:$A, 0), MATCH((YEAR(D161)+19), Variablen!$I$3:$AT$3, 0))="",L161,INDEX(Variablen!$I:$AT, MATCH(M161, Variablen!$A:$A, 0), MATCH((YEAR(D161)+19), Variablen!$I$3:$AT$3, 0))),L161)))*(IF((YEAR(D161)+19)&lt;YEAR(E161),0,IF((YEAR(D161)+19)&gt;YEAR(E161),1,(12-MONTH(E161)+1)/12))) + (Q161)*(IF((YEAR(D161)+19)&lt;YEAR(E161),0,IF((YEAR(D161)+19)&gt;YEAR(E161),1,(12-MONTH(E161)+1)/12))))-((P161)*(IF((YEAR(D161)+19)&lt;YEAR(E161),0,IF((YEAR(D161)+19)&gt;YEAR(E161),1,(12-MONTH(E161)+1)/12))) + (R161)*(IF((YEAR(D161)+19)&lt;YEAR(E161),0,IF((YEAR(D161)+19)&gt;YEAR(E161),1,(12-MONTH(E161)+1)/12))))-(IF((((K161)*(IF(M161="",L161,IFERROR(IF(INDEX(Variablen!$I:$AT, MATCH(M161, Variablen!$A:$A, 0), MATCH((YEAR(D161)+19), Variablen!$I$3:$AT$3, 0))="",L161,INDEX(Variablen!$I:$AT, MATCH(M161, Variablen!$A:$A, 0), MATCH((YEAR(D161)+19), Variablen!$I$3:$AT$3, 0))),L161)))*(IF((YEAR(D161)+19)&lt;YEAR(E161),0,IF((YEAR(D161)+19)&gt;YEAR(E161),1,(12-MONTH(E161)+1)/12))) + (Q161)*(IF((YEAR(D161)+19)&lt;YEAR(E161),0,IF((YEAR(D161)+19)&gt;YEAR(E161),1,(12-MONTH(E161)+1)/12))))-((P161)*(IF((YEAR(D161)+19)&lt;YEAR(E161),0,IF((YEAR(D161)+19)&gt;YEAR(E161),1,(12-MONTH(E161)+1)/12))) + (R161)*(IF((YEAR(D161)+19)&lt;YEAR(E161),0,IF((YEAR(D161)+19)&gt;YEAR(E161),1,(12-MONTH(E161)+1)/12))))-(IF(OR(N161="",N161&lt;=0),0,(O161/N161)*(IF(OR(N161="",N161&lt;=0),0,IF((YEAR(D161)+19)&lt;YEAR(E161),0,IF((YEAR(D161)+19)&gt;=YEAR(E161)+N161,0,IF((YEAR(D161)+19)=YEAR(E161),(12-MONTH(E161)+1)/12,1))))))))&gt;0,(((K161)*(IF(M161="",L161,IFERROR(IF(INDEX(Variablen!$I:$AT, MATCH(M161, Variablen!$A:$A, 0), MATCH((YEAR(D161)+19), Variablen!$I$3:$AT$3, 0))="",L161,INDEX(Variablen!$I:$AT, MATCH(M161, Variablen!$A:$A, 0), MATCH((YEAR(D161)+19), Variablen!$I$3:$AT$3, 0))),L161)))*(IF((YEAR(D161)+19)&lt;YEAR(E161),0,IF((YEAR(D161)+19)&gt;YEAR(E161),1,(12-MONTH(E161)+1)/12))) + (Q161)*(IF((YEAR(D161)+19)&lt;YEAR(E161),0,IF((YEAR(D161)+19)&gt;YEAR(E161),1,(12-MONTH(E161)+1)/12))))-((P161)*(IF((YEAR(D161)+19)&lt;YEAR(E161),0,IF((YEAR(D161)+19)&gt;YEAR(E161),1,(12-MONTH(E161)+1)/12))) + (R161)*(IF((YEAR(D161)+19)&lt;YEAR(E161),0,IF((YEAR(D161)+19)&gt;YEAR(E161),1,(12-MONTH(E161)+1)/12))))-(IF(OR(N161="",N161&lt;=0),0,(O161/N161)*(IF(OR(N161="",N161&lt;=0),0,IF((YEAR(D161)+19)&lt;YEAR(E161),0,IF((YEAR(D161)+19)&gt;=YEAR(E161)+N161,0,IF((YEAR(D161)+19)=YEAR(E161),(12-MONTH(E161)+1)/12,1))))))))*TaxRate,0))-IF(19=0,O161,0))</f>
        <v/>
      </c>
      <c r="AM161" s="29">
        <f>IF(A161="","",((K161)*(IF(M161="",L161,IFERROR(IF(INDEX(Variablen!$I:$AT, MATCH(M161, Variablen!$A:$A, 0), MATCH((YEAR(D161)+20), Variablen!$I$3:$AT$3, 0))="",L161,INDEX(Variablen!$I:$AT, MATCH(M161, Variablen!$A:$A, 0), MATCH((YEAR(D161)+20), Variablen!$I$3:$AT$3, 0))),L161)))*(IF((YEAR(D161)+20)&lt;YEAR(E161),0,IF((YEAR(D161)+20)&gt;YEAR(E161),1,(12-MONTH(E161)+1)/12))) + (Q161)*(IF((YEAR(D161)+20)&lt;YEAR(E161),0,IF((YEAR(D161)+20)&gt;YEAR(E161),1,(12-MONTH(E161)+1)/12))))-((P161)*(IF((YEAR(D161)+20)&lt;YEAR(E161),0,IF((YEAR(D161)+20)&gt;YEAR(E161),1,(12-MONTH(E161)+1)/12))) + (R161)*(IF((YEAR(D161)+20)&lt;YEAR(E161),0,IF((YEAR(D161)+20)&gt;YEAR(E161),1,(12-MONTH(E161)+1)/12))))-(IF((((K161)*(IF(M161="",L161,IFERROR(IF(INDEX(Variablen!$I:$AT, MATCH(M161, Variablen!$A:$A, 0), MATCH((YEAR(D161)+20), Variablen!$I$3:$AT$3, 0))="",L161,INDEX(Variablen!$I:$AT, MATCH(M161, Variablen!$A:$A, 0), MATCH((YEAR(D161)+20), Variablen!$I$3:$AT$3, 0))),L161)))*(IF((YEAR(D161)+20)&lt;YEAR(E161),0,IF((YEAR(D161)+20)&gt;YEAR(E161),1,(12-MONTH(E161)+1)/12))) + (Q161)*(IF((YEAR(D161)+20)&lt;YEAR(E161),0,IF((YEAR(D161)+20)&gt;YEAR(E161),1,(12-MONTH(E161)+1)/12))))-((P161)*(IF((YEAR(D161)+20)&lt;YEAR(E161),0,IF((YEAR(D161)+20)&gt;YEAR(E161),1,(12-MONTH(E161)+1)/12))) + (R161)*(IF((YEAR(D161)+20)&lt;YEAR(E161),0,IF((YEAR(D161)+20)&gt;YEAR(E161),1,(12-MONTH(E161)+1)/12))))-(IF(OR(N161="",N161&lt;=0),0,(O161/N161)*(IF(OR(N161="",N161&lt;=0),0,IF((YEAR(D161)+20)&lt;YEAR(E161),0,IF((YEAR(D161)+20)&gt;=YEAR(E161)+N161,0,IF((YEAR(D161)+20)=YEAR(E161),(12-MONTH(E161)+1)/12,1))))))))&gt;0,(((K161)*(IF(M161="",L161,IFERROR(IF(INDEX(Variablen!$I:$AT, MATCH(M161, Variablen!$A:$A, 0), MATCH((YEAR(D161)+20), Variablen!$I$3:$AT$3, 0))="",L161,INDEX(Variablen!$I:$AT, MATCH(M161, Variablen!$A:$A, 0), MATCH((YEAR(D161)+20), Variablen!$I$3:$AT$3, 0))),L161)))*(IF((YEAR(D161)+20)&lt;YEAR(E161),0,IF((YEAR(D161)+20)&gt;YEAR(E161),1,(12-MONTH(E161)+1)/12))) + (Q161)*(IF((YEAR(D161)+20)&lt;YEAR(E161),0,IF((YEAR(D161)+20)&gt;YEAR(E161),1,(12-MONTH(E161)+1)/12))))-((P161)*(IF((YEAR(D161)+20)&lt;YEAR(E161),0,IF((YEAR(D161)+20)&gt;YEAR(E161),1,(12-MONTH(E161)+1)/12))) + (R161)*(IF((YEAR(D161)+20)&lt;YEAR(E161),0,IF((YEAR(D161)+20)&gt;YEAR(E161),1,(12-MONTH(E161)+1)/12))))-(IF(OR(N161="",N161&lt;=0),0,(O161/N161)*(IF(OR(N161="",N161&lt;=0),0,IF((YEAR(D161)+20)&lt;YEAR(E161),0,IF((YEAR(D161)+20)&gt;=YEAR(E161)+N161,0,IF((YEAR(D161)+20)=YEAR(E161),(12-MONTH(E161)+1)/12,1))))))))*TaxRate,0))-IF(20=0,O161,0))</f>
        <v/>
      </c>
      <c r="AN161" s="29">
        <f>IF(A161="","",S161)</f>
        <v/>
      </c>
      <c r="AO161" s="29">
        <f>IF(A161="","",AN161+T161)</f>
        <v/>
      </c>
      <c r="AP161" s="29">
        <f>IF(A161="","",AO161+U161)</f>
        <v/>
      </c>
      <c r="AQ161" s="29">
        <f>IF(A161="","",AP161+V161)</f>
        <v/>
      </c>
      <c r="AR161" s="29">
        <f>IF(A161="","",AQ161+W161)</f>
        <v/>
      </c>
      <c r="AS161" s="29">
        <f>IF(A161="","",AR161+X161)</f>
        <v/>
      </c>
      <c r="AT161" s="29">
        <f>IF(A161="","",AS161+Y161)</f>
        <v/>
      </c>
      <c r="AU161" s="29">
        <f>IF(A161="","",AT161+Z161)</f>
        <v/>
      </c>
      <c r="AV161" s="29">
        <f>IF(A161="","",AU161+AA161)</f>
        <v/>
      </c>
      <c r="AW161" s="29">
        <f>IF(A161="","",AV161+AB161)</f>
        <v/>
      </c>
      <c r="AX161" s="29">
        <f>IF(A161="","",AW161+AC161)</f>
        <v/>
      </c>
      <c r="AY161" s="29">
        <f>IF(A161="","",AX161+AD161)</f>
        <v/>
      </c>
      <c r="AZ161" s="29">
        <f>IF(A161="","",AY161+AE161)</f>
        <v/>
      </c>
      <c r="BA161" s="29">
        <f>IF(A161="","",AZ161+AF161)</f>
        <v/>
      </c>
      <c r="BB161" s="29">
        <f>IF(A161="","",BA161+AG161)</f>
        <v/>
      </c>
      <c r="BC161" s="29">
        <f>IF(A161="","",BB161+AH161)</f>
        <v/>
      </c>
      <c r="BD161" s="29">
        <f>IF(A161="","",BC161+AI161)</f>
        <v/>
      </c>
      <c r="BE161" s="29">
        <f>IF(A161="","",BD161+AJ161)</f>
        <v/>
      </c>
      <c r="BF161" s="29">
        <f>IF(A161="","",BE161+AK161)</f>
        <v/>
      </c>
      <c r="BG161" s="29">
        <f>IF(A161="","",BF161+AL161)</f>
        <v/>
      </c>
      <c r="BH161" s="29">
        <f>IF(A161="","",BG161+AM161)</f>
        <v/>
      </c>
      <c r="BI161" s="36">
        <f>IF(A161="","",(K161)*(IF((YEAR(D161)+0)&lt;YEAR(E161),0,IF((YEAR(D161)+0)&gt;YEAR(E161),1,(12-MONTH(E161)+1)/12)))*(1/(1+DiscountRate)^0))</f>
        <v/>
      </c>
      <c r="BJ161" s="36">
        <f>IF(A161="","",(K161)*(IF((YEAR(D161)+1)&lt;YEAR(E161),0,IF((YEAR(D161)+1)&gt;YEAR(E161),1,(12-MONTH(E161)+1)/12)))*(1/(1+DiscountRate)^1))</f>
        <v/>
      </c>
      <c r="BK161" s="36">
        <f>IF(A161="","",(K161)*(IF((YEAR(D161)+2)&lt;YEAR(E161),0,IF((YEAR(D161)+2)&gt;YEAR(E161),1,(12-MONTH(E161)+1)/12)))*(1/(1+DiscountRate)^2))</f>
        <v/>
      </c>
      <c r="BL161" s="36">
        <f>IF(A161="","",(K161)*(IF((YEAR(D161)+3)&lt;YEAR(E161),0,IF((YEAR(D161)+3)&gt;YEAR(E161),1,(12-MONTH(E161)+1)/12)))*(1/(1+DiscountRate)^3))</f>
        <v/>
      </c>
      <c r="BM161" s="36">
        <f>IF(A161="","",(K161)*(IF((YEAR(D161)+4)&lt;YEAR(E161),0,IF((YEAR(D161)+4)&gt;YEAR(E161),1,(12-MONTH(E161)+1)/12)))*(1/(1+DiscountRate)^4))</f>
        <v/>
      </c>
      <c r="BN161" s="36">
        <f>IF(A161="","",(K161)*(IF((YEAR(D161)+5)&lt;YEAR(E161),0,IF((YEAR(D161)+5)&gt;YEAR(E161),1,(12-MONTH(E161)+1)/12)))*(1/(1+DiscountRate)^5))</f>
        <v/>
      </c>
      <c r="BO161" s="36">
        <f>IF(A161="","",(K161)*(IF((YEAR(D161)+6)&lt;YEAR(E161),0,IF((YEAR(D161)+6)&gt;YEAR(E161),1,(12-MONTH(E161)+1)/12)))*(1/(1+DiscountRate)^6))</f>
        <v/>
      </c>
      <c r="BP161" s="36">
        <f>IF(A161="","",(K161)*(IF((YEAR(D161)+7)&lt;YEAR(E161),0,IF((YEAR(D161)+7)&gt;YEAR(E161),1,(12-MONTH(E161)+1)/12)))*(1/(1+DiscountRate)^7))</f>
        <v/>
      </c>
      <c r="BQ161" s="36">
        <f>IF(A161="","",(K161)*(IF((YEAR(D161)+8)&lt;YEAR(E161),0,IF((YEAR(D161)+8)&gt;YEAR(E161),1,(12-MONTH(E161)+1)/12)))*(1/(1+DiscountRate)^8))</f>
        <v/>
      </c>
      <c r="BR161" s="36">
        <f>IF(A161="","",(K161)*(IF((YEAR(D161)+9)&lt;YEAR(E161),0,IF((YEAR(D161)+9)&gt;YEAR(E161),1,(12-MONTH(E161)+1)/12)))*(1/(1+DiscountRate)^9))</f>
        <v/>
      </c>
      <c r="BS161" s="36">
        <f>IF(A161="","",(K161)*(IF((YEAR(D161)+10)&lt;YEAR(E161),0,IF((YEAR(D161)+10)&gt;YEAR(E161),1,(12-MONTH(E161)+1)/12)))*(1/(1+DiscountRate)^10))</f>
        <v/>
      </c>
      <c r="BT161" s="36">
        <f>IF(A161="","",(K161)*(IF((YEAR(D161)+11)&lt;YEAR(E161),0,IF((YEAR(D161)+11)&gt;YEAR(E161),1,(12-MONTH(E161)+1)/12)))*(1/(1+DiscountRate)^11))</f>
        <v/>
      </c>
      <c r="BU161" s="36">
        <f>IF(A161="","",(K161)*(IF((YEAR(D161)+12)&lt;YEAR(E161),0,IF((YEAR(D161)+12)&gt;YEAR(E161),1,(12-MONTH(E161)+1)/12)))*(1/(1+DiscountRate)^12))</f>
        <v/>
      </c>
      <c r="BV161" s="36">
        <f>IF(A161="","",(K161)*(IF((YEAR(D161)+13)&lt;YEAR(E161),0,IF((YEAR(D161)+13)&gt;YEAR(E161),1,(12-MONTH(E161)+1)/12)))*(1/(1+DiscountRate)^13))</f>
        <v/>
      </c>
      <c r="BW161" s="36">
        <f>IF(A161="","",(K161)*(IF((YEAR(D161)+14)&lt;YEAR(E161),0,IF((YEAR(D161)+14)&gt;YEAR(E161),1,(12-MONTH(E161)+1)/12)))*(1/(1+DiscountRate)^14))</f>
        <v/>
      </c>
      <c r="BX161" s="36">
        <f>IF(A161="","",(K161)*(IF((YEAR(D161)+15)&lt;YEAR(E161),0,IF((YEAR(D161)+15)&gt;YEAR(E161),1,(12-MONTH(E161)+1)/12)))*(1/(1+DiscountRate)^15))</f>
        <v/>
      </c>
      <c r="BY161" s="36">
        <f>IF(A161="","",(K161)*(IF((YEAR(D161)+16)&lt;YEAR(E161),0,IF((YEAR(D161)+16)&gt;YEAR(E161),1,(12-MONTH(E161)+1)/12)))*(1/(1+DiscountRate)^16))</f>
        <v/>
      </c>
      <c r="BZ161" s="36">
        <f>IF(A161="","",(K161)*(IF((YEAR(D161)+17)&lt;YEAR(E161),0,IF((YEAR(D161)+17)&gt;YEAR(E161),1,(12-MONTH(E161)+1)/12)))*(1/(1+DiscountRate)^17))</f>
        <v/>
      </c>
      <c r="CA161" s="36">
        <f>IF(A161="","",(K161)*(IF((YEAR(D161)+18)&lt;YEAR(E161),0,IF((YEAR(D161)+18)&gt;YEAR(E161),1,(12-MONTH(E161)+1)/12)))*(1/(1+DiscountRate)^18))</f>
        <v/>
      </c>
      <c r="CB161" s="36">
        <f>IF(A161="","",(K161)*(IF((YEAR(D161)+19)&lt;YEAR(E161),0,IF((YEAR(D161)+19)&gt;YEAR(E161),1,(12-MONTH(E161)+1)/12)))*(1/(1+DiscountRate)^19))</f>
        <v/>
      </c>
      <c r="CC161" s="36">
        <f>IF(A161="","",(K161)*(IF((YEAR(D161)+20)&lt;YEAR(E161),0,IF((YEAR(D161)+20)&gt;YEAR(E161),1,(12-MONTH(E161)+1)/12)))*(1/(1+DiscountRate)^20))</f>
        <v/>
      </c>
      <c r="CD161" s="29">
        <f>IF(A161="","",S161/(1+DiscountRate)^0+T161/(1+DiscountRate)^1+U161/(1+DiscountRate)^2+V161/(1+DiscountRate)^3+W161/(1+DiscountRate)^4+X161/(1+DiscountRate)^5+Y161/(1+DiscountRate)^6+Z161/(1+DiscountRate)^7+AA161/(1+DiscountRate)^8+AB161/(1+DiscountRate)^9+AC161/(1+DiscountRate)^10+AD161/(1+DiscountRate)^11+AE161/(1+DiscountRate)^12+AF161/(1+DiscountRate)^13+AG161/(1+DiscountRate)^14+AH161/(1+DiscountRate)^15+AI161/(1+DiscountRate)^16+AJ161/(1+DiscountRate)^17+AK161/(1+DiscountRate)^18+AL161/(1+DiscountRate)^19+AM161/(1+DiscountRate)^20)</f>
        <v/>
      </c>
      <c r="CE161" s="37">
        <f>IF(A161="","",IFERROR(IRR(OFFSET(S161,0,0,1,MIN(HorizonYears,20)+1)),"n/a"))</f>
        <v/>
      </c>
      <c r="CF161" s="28">
        <f>IF(A161="","",IFERROR(MATCH(TRUE,OFFSET(AN161,0,0,1,MIN(HorizonYears,20)+1)&gt;=0,0)-1,"n/a"))</f>
        <v/>
      </c>
      <c r="CG161" s="36">
        <f>IF(A161="","",SUM(OFFSET(BI161,0,0,1,MIN(HorizonYears,20)+1)))</f>
        <v/>
      </c>
      <c r="CH161" s="36">
        <f>IF(A161="","",IFERROR(-CD161/CG161,"n/a"))</f>
        <v/>
      </c>
    </row>
    <row r="162">
      <c r="A162" s="6">
        <f>Actions!A160</f>
        <v/>
      </c>
      <c r="B162" s="6">
        <f>Actions!B160</f>
        <v/>
      </c>
      <c r="C162" s="6">
        <f>Actions!D160</f>
        <v/>
      </c>
      <c r="D162" s="35">
        <f>Actions!E160</f>
        <v/>
      </c>
      <c r="E162" s="35">
        <f>Actions!F160</f>
        <v/>
      </c>
      <c r="F162" s="6">
        <f>Actions!G160</f>
        <v/>
      </c>
      <c r="G162" s="6">
        <f>Actions!H160</f>
        <v/>
      </c>
      <c r="H162" s="29">
        <f>Actions!I160</f>
        <v/>
      </c>
      <c r="I162" s="6">
        <f>Actions!J160</f>
        <v/>
      </c>
      <c r="J162" s="16">
        <f>Actions!K160</f>
        <v/>
      </c>
      <c r="K162" s="16">
        <f>IF(A162="","",IF(I162="%",H162*J162,J162))</f>
        <v/>
      </c>
      <c r="L162" s="16">
        <f>Actions!L160</f>
        <v/>
      </c>
      <c r="M162" s="6">
        <f>Actions!M160</f>
        <v/>
      </c>
      <c r="N162" s="28">
        <f>Actions!N160</f>
        <v/>
      </c>
      <c r="O162" s="29">
        <f>Actions!T160</f>
        <v/>
      </c>
      <c r="P162" s="29">
        <f>Actions!Y160</f>
        <v/>
      </c>
      <c r="Q162" s="29">
        <f>Actions!Z160</f>
        <v/>
      </c>
      <c r="R162" s="29">
        <f>Actions!AA160</f>
        <v/>
      </c>
      <c r="S162" s="29">
        <f>IF(A162="","",((K162)*(IF(M162="",L162,IFERROR(IF(INDEX(Variablen!$I:$AT, MATCH(M162, Variablen!$A:$A, 0), MATCH((YEAR(D162)+0), Variablen!$I$3:$AT$3, 0))="",L162,INDEX(Variablen!$I:$AT, MATCH(M162, Variablen!$A:$A, 0), MATCH((YEAR(D162)+0), Variablen!$I$3:$AT$3, 0))),L162)))*(IF((YEAR(D162)+0)&lt;YEAR(E162),0,IF((YEAR(D162)+0)&gt;YEAR(E162),1,(12-MONTH(E162)+1)/12))) + (Q162)*(IF((YEAR(D162)+0)&lt;YEAR(E162),0,IF((YEAR(D162)+0)&gt;YEAR(E162),1,(12-MONTH(E162)+1)/12))))-((P162)*(IF((YEAR(D162)+0)&lt;YEAR(E162),0,IF((YEAR(D162)+0)&gt;YEAR(E162),1,(12-MONTH(E162)+1)/12))) + (R162)*(IF((YEAR(D162)+0)&lt;YEAR(E162),0,IF((YEAR(D162)+0)&gt;YEAR(E162),1,(12-MONTH(E162)+1)/12))))-(IF((((K162)*(IF(M162="",L162,IFERROR(IF(INDEX(Variablen!$I:$AT, MATCH(M162, Variablen!$A:$A, 0), MATCH((YEAR(D162)+0), Variablen!$I$3:$AT$3, 0))="",L162,INDEX(Variablen!$I:$AT, MATCH(M162, Variablen!$A:$A, 0), MATCH((YEAR(D162)+0), Variablen!$I$3:$AT$3, 0))),L162)))*(IF((YEAR(D162)+0)&lt;YEAR(E162),0,IF((YEAR(D162)+0)&gt;YEAR(E162),1,(12-MONTH(E162)+1)/12))) + (Q162)*(IF((YEAR(D162)+0)&lt;YEAR(E162),0,IF((YEAR(D162)+0)&gt;YEAR(E162),1,(12-MONTH(E162)+1)/12))))-((P162)*(IF((YEAR(D162)+0)&lt;YEAR(E162),0,IF((YEAR(D162)+0)&gt;YEAR(E162),1,(12-MONTH(E162)+1)/12))) + (R162)*(IF((YEAR(D162)+0)&lt;YEAR(E162),0,IF((YEAR(D162)+0)&gt;YEAR(E162),1,(12-MONTH(E162)+1)/12))))-(IF(OR(N162="",N162&lt;=0),0,(O162/N162)*(IF(OR(N162="",N162&lt;=0),0,IF((YEAR(D162)+0)&lt;YEAR(E162),0,IF((YEAR(D162)+0)&gt;=YEAR(E162)+N162,0,IF((YEAR(D162)+0)=YEAR(E162),(12-MONTH(E162)+1)/12,1))))))))&gt;0,(((K162)*(IF(M162="",L162,IFERROR(IF(INDEX(Variablen!$I:$AT, MATCH(M162, Variablen!$A:$A, 0), MATCH((YEAR(D162)+0), Variablen!$I$3:$AT$3, 0))="",L162,INDEX(Variablen!$I:$AT, MATCH(M162, Variablen!$A:$A, 0), MATCH((YEAR(D162)+0), Variablen!$I$3:$AT$3, 0))),L162)))*(IF((YEAR(D162)+0)&lt;YEAR(E162),0,IF((YEAR(D162)+0)&gt;YEAR(E162),1,(12-MONTH(E162)+1)/12))) + (Q162)*(IF((YEAR(D162)+0)&lt;YEAR(E162),0,IF((YEAR(D162)+0)&gt;YEAR(E162),1,(12-MONTH(E162)+1)/12))))-((P162)*(IF((YEAR(D162)+0)&lt;YEAR(E162),0,IF((YEAR(D162)+0)&gt;YEAR(E162),1,(12-MONTH(E162)+1)/12))) + (R162)*(IF((YEAR(D162)+0)&lt;YEAR(E162),0,IF((YEAR(D162)+0)&gt;YEAR(E162),1,(12-MONTH(E162)+1)/12))))-(IF(OR(N162="",N162&lt;=0),0,(O162/N162)*(IF(OR(N162="",N162&lt;=0),0,IF((YEAR(D162)+0)&lt;YEAR(E162),0,IF((YEAR(D162)+0)&gt;=YEAR(E162)+N162,0,IF((YEAR(D162)+0)=YEAR(E162),(12-MONTH(E162)+1)/12,1))))))))*TaxRate,0))-IF(0=0,O162,0))</f>
        <v/>
      </c>
      <c r="T162" s="29">
        <f>IF(A162="","",((K162)*(IF(M162="",L162,IFERROR(IF(INDEX(Variablen!$I:$AT, MATCH(M162, Variablen!$A:$A, 0), MATCH((YEAR(D162)+1), Variablen!$I$3:$AT$3, 0))="",L162,INDEX(Variablen!$I:$AT, MATCH(M162, Variablen!$A:$A, 0), MATCH((YEAR(D162)+1), Variablen!$I$3:$AT$3, 0))),L162)))*(IF((YEAR(D162)+1)&lt;YEAR(E162),0,IF((YEAR(D162)+1)&gt;YEAR(E162),1,(12-MONTH(E162)+1)/12))) + (Q162)*(IF((YEAR(D162)+1)&lt;YEAR(E162),0,IF((YEAR(D162)+1)&gt;YEAR(E162),1,(12-MONTH(E162)+1)/12))))-((P162)*(IF((YEAR(D162)+1)&lt;YEAR(E162),0,IF((YEAR(D162)+1)&gt;YEAR(E162),1,(12-MONTH(E162)+1)/12))) + (R162)*(IF((YEAR(D162)+1)&lt;YEAR(E162),0,IF((YEAR(D162)+1)&gt;YEAR(E162),1,(12-MONTH(E162)+1)/12))))-(IF((((K162)*(IF(M162="",L162,IFERROR(IF(INDEX(Variablen!$I:$AT, MATCH(M162, Variablen!$A:$A, 0), MATCH((YEAR(D162)+1), Variablen!$I$3:$AT$3, 0))="",L162,INDEX(Variablen!$I:$AT, MATCH(M162, Variablen!$A:$A, 0), MATCH((YEAR(D162)+1), Variablen!$I$3:$AT$3, 0))),L162)))*(IF((YEAR(D162)+1)&lt;YEAR(E162),0,IF((YEAR(D162)+1)&gt;YEAR(E162),1,(12-MONTH(E162)+1)/12))) + (Q162)*(IF((YEAR(D162)+1)&lt;YEAR(E162),0,IF((YEAR(D162)+1)&gt;YEAR(E162),1,(12-MONTH(E162)+1)/12))))-((P162)*(IF((YEAR(D162)+1)&lt;YEAR(E162),0,IF((YEAR(D162)+1)&gt;YEAR(E162),1,(12-MONTH(E162)+1)/12))) + (R162)*(IF((YEAR(D162)+1)&lt;YEAR(E162),0,IF((YEAR(D162)+1)&gt;YEAR(E162),1,(12-MONTH(E162)+1)/12))))-(IF(OR(N162="",N162&lt;=0),0,(O162/N162)*(IF(OR(N162="",N162&lt;=0),0,IF((YEAR(D162)+1)&lt;YEAR(E162),0,IF((YEAR(D162)+1)&gt;=YEAR(E162)+N162,0,IF((YEAR(D162)+1)=YEAR(E162),(12-MONTH(E162)+1)/12,1))))))))&gt;0,(((K162)*(IF(M162="",L162,IFERROR(IF(INDEX(Variablen!$I:$AT, MATCH(M162, Variablen!$A:$A, 0), MATCH((YEAR(D162)+1), Variablen!$I$3:$AT$3, 0))="",L162,INDEX(Variablen!$I:$AT, MATCH(M162, Variablen!$A:$A, 0), MATCH((YEAR(D162)+1), Variablen!$I$3:$AT$3, 0))),L162)))*(IF((YEAR(D162)+1)&lt;YEAR(E162),0,IF((YEAR(D162)+1)&gt;YEAR(E162),1,(12-MONTH(E162)+1)/12))) + (Q162)*(IF((YEAR(D162)+1)&lt;YEAR(E162),0,IF((YEAR(D162)+1)&gt;YEAR(E162),1,(12-MONTH(E162)+1)/12))))-((P162)*(IF((YEAR(D162)+1)&lt;YEAR(E162),0,IF((YEAR(D162)+1)&gt;YEAR(E162),1,(12-MONTH(E162)+1)/12))) + (R162)*(IF((YEAR(D162)+1)&lt;YEAR(E162),0,IF((YEAR(D162)+1)&gt;YEAR(E162),1,(12-MONTH(E162)+1)/12))))-(IF(OR(N162="",N162&lt;=0),0,(O162/N162)*(IF(OR(N162="",N162&lt;=0),0,IF((YEAR(D162)+1)&lt;YEAR(E162),0,IF((YEAR(D162)+1)&gt;=YEAR(E162)+N162,0,IF((YEAR(D162)+1)=YEAR(E162),(12-MONTH(E162)+1)/12,1))))))))*TaxRate,0))-IF(1=0,O162,0))</f>
        <v/>
      </c>
      <c r="U162" s="29">
        <f>IF(A162="","",((K162)*(IF(M162="",L162,IFERROR(IF(INDEX(Variablen!$I:$AT, MATCH(M162, Variablen!$A:$A, 0), MATCH((YEAR(D162)+2), Variablen!$I$3:$AT$3, 0))="",L162,INDEX(Variablen!$I:$AT, MATCH(M162, Variablen!$A:$A, 0), MATCH((YEAR(D162)+2), Variablen!$I$3:$AT$3, 0))),L162)))*(IF((YEAR(D162)+2)&lt;YEAR(E162),0,IF((YEAR(D162)+2)&gt;YEAR(E162),1,(12-MONTH(E162)+1)/12))) + (Q162)*(IF((YEAR(D162)+2)&lt;YEAR(E162),0,IF((YEAR(D162)+2)&gt;YEAR(E162),1,(12-MONTH(E162)+1)/12))))-((P162)*(IF((YEAR(D162)+2)&lt;YEAR(E162),0,IF((YEAR(D162)+2)&gt;YEAR(E162),1,(12-MONTH(E162)+1)/12))) + (R162)*(IF((YEAR(D162)+2)&lt;YEAR(E162),0,IF((YEAR(D162)+2)&gt;YEAR(E162),1,(12-MONTH(E162)+1)/12))))-(IF((((K162)*(IF(M162="",L162,IFERROR(IF(INDEX(Variablen!$I:$AT, MATCH(M162, Variablen!$A:$A, 0), MATCH((YEAR(D162)+2), Variablen!$I$3:$AT$3, 0))="",L162,INDEX(Variablen!$I:$AT, MATCH(M162, Variablen!$A:$A, 0), MATCH((YEAR(D162)+2), Variablen!$I$3:$AT$3, 0))),L162)))*(IF((YEAR(D162)+2)&lt;YEAR(E162),0,IF((YEAR(D162)+2)&gt;YEAR(E162),1,(12-MONTH(E162)+1)/12))) + (Q162)*(IF((YEAR(D162)+2)&lt;YEAR(E162),0,IF((YEAR(D162)+2)&gt;YEAR(E162),1,(12-MONTH(E162)+1)/12))))-((P162)*(IF((YEAR(D162)+2)&lt;YEAR(E162),0,IF((YEAR(D162)+2)&gt;YEAR(E162),1,(12-MONTH(E162)+1)/12))) + (R162)*(IF((YEAR(D162)+2)&lt;YEAR(E162),0,IF((YEAR(D162)+2)&gt;YEAR(E162),1,(12-MONTH(E162)+1)/12))))-(IF(OR(N162="",N162&lt;=0),0,(O162/N162)*(IF(OR(N162="",N162&lt;=0),0,IF((YEAR(D162)+2)&lt;YEAR(E162),0,IF((YEAR(D162)+2)&gt;=YEAR(E162)+N162,0,IF((YEAR(D162)+2)=YEAR(E162),(12-MONTH(E162)+1)/12,1))))))))&gt;0,(((K162)*(IF(M162="",L162,IFERROR(IF(INDEX(Variablen!$I:$AT, MATCH(M162, Variablen!$A:$A, 0), MATCH((YEAR(D162)+2), Variablen!$I$3:$AT$3, 0))="",L162,INDEX(Variablen!$I:$AT, MATCH(M162, Variablen!$A:$A, 0), MATCH((YEAR(D162)+2), Variablen!$I$3:$AT$3, 0))),L162)))*(IF((YEAR(D162)+2)&lt;YEAR(E162),0,IF((YEAR(D162)+2)&gt;YEAR(E162),1,(12-MONTH(E162)+1)/12))) + (Q162)*(IF((YEAR(D162)+2)&lt;YEAR(E162),0,IF((YEAR(D162)+2)&gt;YEAR(E162),1,(12-MONTH(E162)+1)/12))))-((P162)*(IF((YEAR(D162)+2)&lt;YEAR(E162),0,IF((YEAR(D162)+2)&gt;YEAR(E162),1,(12-MONTH(E162)+1)/12))) + (R162)*(IF((YEAR(D162)+2)&lt;YEAR(E162),0,IF((YEAR(D162)+2)&gt;YEAR(E162),1,(12-MONTH(E162)+1)/12))))-(IF(OR(N162="",N162&lt;=0),0,(O162/N162)*(IF(OR(N162="",N162&lt;=0),0,IF((YEAR(D162)+2)&lt;YEAR(E162),0,IF((YEAR(D162)+2)&gt;=YEAR(E162)+N162,0,IF((YEAR(D162)+2)=YEAR(E162),(12-MONTH(E162)+1)/12,1))))))))*TaxRate,0))-IF(2=0,O162,0))</f>
        <v/>
      </c>
      <c r="V162" s="29">
        <f>IF(A162="","",((K162)*(IF(M162="",L162,IFERROR(IF(INDEX(Variablen!$I:$AT, MATCH(M162, Variablen!$A:$A, 0), MATCH((YEAR(D162)+3), Variablen!$I$3:$AT$3, 0))="",L162,INDEX(Variablen!$I:$AT, MATCH(M162, Variablen!$A:$A, 0), MATCH((YEAR(D162)+3), Variablen!$I$3:$AT$3, 0))),L162)))*(IF((YEAR(D162)+3)&lt;YEAR(E162),0,IF((YEAR(D162)+3)&gt;YEAR(E162),1,(12-MONTH(E162)+1)/12))) + (Q162)*(IF((YEAR(D162)+3)&lt;YEAR(E162),0,IF((YEAR(D162)+3)&gt;YEAR(E162),1,(12-MONTH(E162)+1)/12))))-((P162)*(IF((YEAR(D162)+3)&lt;YEAR(E162),0,IF((YEAR(D162)+3)&gt;YEAR(E162),1,(12-MONTH(E162)+1)/12))) + (R162)*(IF((YEAR(D162)+3)&lt;YEAR(E162),0,IF((YEAR(D162)+3)&gt;YEAR(E162),1,(12-MONTH(E162)+1)/12))))-(IF((((K162)*(IF(M162="",L162,IFERROR(IF(INDEX(Variablen!$I:$AT, MATCH(M162, Variablen!$A:$A, 0), MATCH((YEAR(D162)+3), Variablen!$I$3:$AT$3, 0))="",L162,INDEX(Variablen!$I:$AT, MATCH(M162, Variablen!$A:$A, 0), MATCH((YEAR(D162)+3), Variablen!$I$3:$AT$3, 0))),L162)))*(IF((YEAR(D162)+3)&lt;YEAR(E162),0,IF((YEAR(D162)+3)&gt;YEAR(E162),1,(12-MONTH(E162)+1)/12))) + (Q162)*(IF((YEAR(D162)+3)&lt;YEAR(E162),0,IF((YEAR(D162)+3)&gt;YEAR(E162),1,(12-MONTH(E162)+1)/12))))-((P162)*(IF((YEAR(D162)+3)&lt;YEAR(E162),0,IF((YEAR(D162)+3)&gt;YEAR(E162),1,(12-MONTH(E162)+1)/12))) + (R162)*(IF((YEAR(D162)+3)&lt;YEAR(E162),0,IF((YEAR(D162)+3)&gt;YEAR(E162),1,(12-MONTH(E162)+1)/12))))-(IF(OR(N162="",N162&lt;=0),0,(O162/N162)*(IF(OR(N162="",N162&lt;=0),0,IF((YEAR(D162)+3)&lt;YEAR(E162),0,IF((YEAR(D162)+3)&gt;=YEAR(E162)+N162,0,IF((YEAR(D162)+3)=YEAR(E162),(12-MONTH(E162)+1)/12,1))))))))&gt;0,(((K162)*(IF(M162="",L162,IFERROR(IF(INDEX(Variablen!$I:$AT, MATCH(M162, Variablen!$A:$A, 0), MATCH((YEAR(D162)+3), Variablen!$I$3:$AT$3, 0))="",L162,INDEX(Variablen!$I:$AT, MATCH(M162, Variablen!$A:$A, 0), MATCH((YEAR(D162)+3), Variablen!$I$3:$AT$3, 0))),L162)))*(IF((YEAR(D162)+3)&lt;YEAR(E162),0,IF((YEAR(D162)+3)&gt;YEAR(E162),1,(12-MONTH(E162)+1)/12))) + (Q162)*(IF((YEAR(D162)+3)&lt;YEAR(E162),0,IF((YEAR(D162)+3)&gt;YEAR(E162),1,(12-MONTH(E162)+1)/12))))-((P162)*(IF((YEAR(D162)+3)&lt;YEAR(E162),0,IF((YEAR(D162)+3)&gt;YEAR(E162),1,(12-MONTH(E162)+1)/12))) + (R162)*(IF((YEAR(D162)+3)&lt;YEAR(E162),0,IF((YEAR(D162)+3)&gt;YEAR(E162),1,(12-MONTH(E162)+1)/12))))-(IF(OR(N162="",N162&lt;=0),0,(O162/N162)*(IF(OR(N162="",N162&lt;=0),0,IF((YEAR(D162)+3)&lt;YEAR(E162),0,IF((YEAR(D162)+3)&gt;=YEAR(E162)+N162,0,IF((YEAR(D162)+3)=YEAR(E162),(12-MONTH(E162)+1)/12,1))))))))*TaxRate,0))-IF(3=0,O162,0))</f>
        <v/>
      </c>
      <c r="W162" s="29">
        <f>IF(A162="","",((K162)*(IF(M162="",L162,IFERROR(IF(INDEX(Variablen!$I:$AT, MATCH(M162, Variablen!$A:$A, 0), MATCH((YEAR(D162)+4), Variablen!$I$3:$AT$3, 0))="",L162,INDEX(Variablen!$I:$AT, MATCH(M162, Variablen!$A:$A, 0), MATCH((YEAR(D162)+4), Variablen!$I$3:$AT$3, 0))),L162)))*(IF((YEAR(D162)+4)&lt;YEAR(E162),0,IF((YEAR(D162)+4)&gt;YEAR(E162),1,(12-MONTH(E162)+1)/12))) + (Q162)*(IF((YEAR(D162)+4)&lt;YEAR(E162),0,IF((YEAR(D162)+4)&gt;YEAR(E162),1,(12-MONTH(E162)+1)/12))))-((P162)*(IF((YEAR(D162)+4)&lt;YEAR(E162),0,IF((YEAR(D162)+4)&gt;YEAR(E162),1,(12-MONTH(E162)+1)/12))) + (R162)*(IF((YEAR(D162)+4)&lt;YEAR(E162),0,IF((YEAR(D162)+4)&gt;YEAR(E162),1,(12-MONTH(E162)+1)/12))))-(IF((((K162)*(IF(M162="",L162,IFERROR(IF(INDEX(Variablen!$I:$AT, MATCH(M162, Variablen!$A:$A, 0), MATCH((YEAR(D162)+4), Variablen!$I$3:$AT$3, 0))="",L162,INDEX(Variablen!$I:$AT, MATCH(M162, Variablen!$A:$A, 0), MATCH((YEAR(D162)+4), Variablen!$I$3:$AT$3, 0))),L162)))*(IF((YEAR(D162)+4)&lt;YEAR(E162),0,IF((YEAR(D162)+4)&gt;YEAR(E162),1,(12-MONTH(E162)+1)/12))) + (Q162)*(IF((YEAR(D162)+4)&lt;YEAR(E162),0,IF((YEAR(D162)+4)&gt;YEAR(E162),1,(12-MONTH(E162)+1)/12))))-((P162)*(IF((YEAR(D162)+4)&lt;YEAR(E162),0,IF((YEAR(D162)+4)&gt;YEAR(E162),1,(12-MONTH(E162)+1)/12))) + (R162)*(IF((YEAR(D162)+4)&lt;YEAR(E162),0,IF((YEAR(D162)+4)&gt;YEAR(E162),1,(12-MONTH(E162)+1)/12))))-(IF(OR(N162="",N162&lt;=0),0,(O162/N162)*(IF(OR(N162="",N162&lt;=0),0,IF((YEAR(D162)+4)&lt;YEAR(E162),0,IF((YEAR(D162)+4)&gt;=YEAR(E162)+N162,0,IF((YEAR(D162)+4)=YEAR(E162),(12-MONTH(E162)+1)/12,1))))))))&gt;0,(((K162)*(IF(M162="",L162,IFERROR(IF(INDEX(Variablen!$I:$AT, MATCH(M162, Variablen!$A:$A, 0), MATCH((YEAR(D162)+4), Variablen!$I$3:$AT$3, 0))="",L162,INDEX(Variablen!$I:$AT, MATCH(M162, Variablen!$A:$A, 0), MATCH((YEAR(D162)+4), Variablen!$I$3:$AT$3, 0))),L162)))*(IF((YEAR(D162)+4)&lt;YEAR(E162),0,IF((YEAR(D162)+4)&gt;YEAR(E162),1,(12-MONTH(E162)+1)/12))) + (Q162)*(IF((YEAR(D162)+4)&lt;YEAR(E162),0,IF((YEAR(D162)+4)&gt;YEAR(E162),1,(12-MONTH(E162)+1)/12))))-((P162)*(IF((YEAR(D162)+4)&lt;YEAR(E162),0,IF((YEAR(D162)+4)&gt;YEAR(E162),1,(12-MONTH(E162)+1)/12))) + (R162)*(IF((YEAR(D162)+4)&lt;YEAR(E162),0,IF((YEAR(D162)+4)&gt;YEAR(E162),1,(12-MONTH(E162)+1)/12))))-(IF(OR(N162="",N162&lt;=0),0,(O162/N162)*(IF(OR(N162="",N162&lt;=0),0,IF((YEAR(D162)+4)&lt;YEAR(E162),0,IF((YEAR(D162)+4)&gt;=YEAR(E162)+N162,0,IF((YEAR(D162)+4)=YEAR(E162),(12-MONTH(E162)+1)/12,1))))))))*TaxRate,0))-IF(4=0,O162,0))</f>
        <v/>
      </c>
      <c r="X162" s="29">
        <f>IF(A162="","",((K162)*(IF(M162="",L162,IFERROR(IF(INDEX(Variablen!$I:$AT, MATCH(M162, Variablen!$A:$A, 0), MATCH((YEAR(D162)+5), Variablen!$I$3:$AT$3, 0))="",L162,INDEX(Variablen!$I:$AT, MATCH(M162, Variablen!$A:$A, 0), MATCH((YEAR(D162)+5), Variablen!$I$3:$AT$3, 0))),L162)))*(IF((YEAR(D162)+5)&lt;YEAR(E162),0,IF((YEAR(D162)+5)&gt;YEAR(E162),1,(12-MONTH(E162)+1)/12))) + (Q162)*(IF((YEAR(D162)+5)&lt;YEAR(E162),0,IF((YEAR(D162)+5)&gt;YEAR(E162),1,(12-MONTH(E162)+1)/12))))-((P162)*(IF((YEAR(D162)+5)&lt;YEAR(E162),0,IF((YEAR(D162)+5)&gt;YEAR(E162),1,(12-MONTH(E162)+1)/12))) + (R162)*(IF((YEAR(D162)+5)&lt;YEAR(E162),0,IF((YEAR(D162)+5)&gt;YEAR(E162),1,(12-MONTH(E162)+1)/12))))-(IF((((K162)*(IF(M162="",L162,IFERROR(IF(INDEX(Variablen!$I:$AT, MATCH(M162, Variablen!$A:$A, 0), MATCH((YEAR(D162)+5), Variablen!$I$3:$AT$3, 0))="",L162,INDEX(Variablen!$I:$AT, MATCH(M162, Variablen!$A:$A, 0), MATCH((YEAR(D162)+5), Variablen!$I$3:$AT$3, 0))),L162)))*(IF((YEAR(D162)+5)&lt;YEAR(E162),0,IF((YEAR(D162)+5)&gt;YEAR(E162),1,(12-MONTH(E162)+1)/12))) + (Q162)*(IF((YEAR(D162)+5)&lt;YEAR(E162),0,IF((YEAR(D162)+5)&gt;YEAR(E162),1,(12-MONTH(E162)+1)/12))))-((P162)*(IF((YEAR(D162)+5)&lt;YEAR(E162),0,IF((YEAR(D162)+5)&gt;YEAR(E162),1,(12-MONTH(E162)+1)/12))) + (R162)*(IF((YEAR(D162)+5)&lt;YEAR(E162),0,IF((YEAR(D162)+5)&gt;YEAR(E162),1,(12-MONTH(E162)+1)/12))))-(IF(OR(N162="",N162&lt;=0),0,(O162/N162)*(IF(OR(N162="",N162&lt;=0),0,IF((YEAR(D162)+5)&lt;YEAR(E162),0,IF((YEAR(D162)+5)&gt;=YEAR(E162)+N162,0,IF((YEAR(D162)+5)=YEAR(E162),(12-MONTH(E162)+1)/12,1))))))))&gt;0,(((K162)*(IF(M162="",L162,IFERROR(IF(INDEX(Variablen!$I:$AT, MATCH(M162, Variablen!$A:$A, 0), MATCH((YEAR(D162)+5), Variablen!$I$3:$AT$3, 0))="",L162,INDEX(Variablen!$I:$AT, MATCH(M162, Variablen!$A:$A, 0), MATCH((YEAR(D162)+5), Variablen!$I$3:$AT$3, 0))),L162)))*(IF((YEAR(D162)+5)&lt;YEAR(E162),0,IF((YEAR(D162)+5)&gt;YEAR(E162),1,(12-MONTH(E162)+1)/12))) + (Q162)*(IF((YEAR(D162)+5)&lt;YEAR(E162),0,IF((YEAR(D162)+5)&gt;YEAR(E162),1,(12-MONTH(E162)+1)/12))))-((P162)*(IF((YEAR(D162)+5)&lt;YEAR(E162),0,IF((YEAR(D162)+5)&gt;YEAR(E162),1,(12-MONTH(E162)+1)/12))) + (R162)*(IF((YEAR(D162)+5)&lt;YEAR(E162),0,IF((YEAR(D162)+5)&gt;YEAR(E162),1,(12-MONTH(E162)+1)/12))))-(IF(OR(N162="",N162&lt;=0),0,(O162/N162)*(IF(OR(N162="",N162&lt;=0),0,IF((YEAR(D162)+5)&lt;YEAR(E162),0,IF((YEAR(D162)+5)&gt;=YEAR(E162)+N162,0,IF((YEAR(D162)+5)=YEAR(E162),(12-MONTH(E162)+1)/12,1))))))))*TaxRate,0))-IF(5=0,O162,0))</f>
        <v/>
      </c>
      <c r="Y162" s="29">
        <f>IF(A162="","",((K162)*(IF(M162="",L162,IFERROR(IF(INDEX(Variablen!$I:$AT, MATCH(M162, Variablen!$A:$A, 0), MATCH((YEAR(D162)+6), Variablen!$I$3:$AT$3, 0))="",L162,INDEX(Variablen!$I:$AT, MATCH(M162, Variablen!$A:$A, 0), MATCH((YEAR(D162)+6), Variablen!$I$3:$AT$3, 0))),L162)))*(IF((YEAR(D162)+6)&lt;YEAR(E162),0,IF((YEAR(D162)+6)&gt;YEAR(E162),1,(12-MONTH(E162)+1)/12))) + (Q162)*(IF((YEAR(D162)+6)&lt;YEAR(E162),0,IF((YEAR(D162)+6)&gt;YEAR(E162),1,(12-MONTH(E162)+1)/12))))-((P162)*(IF((YEAR(D162)+6)&lt;YEAR(E162),0,IF((YEAR(D162)+6)&gt;YEAR(E162),1,(12-MONTH(E162)+1)/12))) + (R162)*(IF((YEAR(D162)+6)&lt;YEAR(E162),0,IF((YEAR(D162)+6)&gt;YEAR(E162),1,(12-MONTH(E162)+1)/12))))-(IF((((K162)*(IF(M162="",L162,IFERROR(IF(INDEX(Variablen!$I:$AT, MATCH(M162, Variablen!$A:$A, 0), MATCH((YEAR(D162)+6), Variablen!$I$3:$AT$3, 0))="",L162,INDEX(Variablen!$I:$AT, MATCH(M162, Variablen!$A:$A, 0), MATCH((YEAR(D162)+6), Variablen!$I$3:$AT$3, 0))),L162)))*(IF((YEAR(D162)+6)&lt;YEAR(E162),0,IF((YEAR(D162)+6)&gt;YEAR(E162),1,(12-MONTH(E162)+1)/12))) + (Q162)*(IF((YEAR(D162)+6)&lt;YEAR(E162),0,IF((YEAR(D162)+6)&gt;YEAR(E162),1,(12-MONTH(E162)+1)/12))))-((P162)*(IF((YEAR(D162)+6)&lt;YEAR(E162),0,IF((YEAR(D162)+6)&gt;YEAR(E162),1,(12-MONTH(E162)+1)/12))) + (R162)*(IF((YEAR(D162)+6)&lt;YEAR(E162),0,IF((YEAR(D162)+6)&gt;YEAR(E162),1,(12-MONTH(E162)+1)/12))))-(IF(OR(N162="",N162&lt;=0),0,(O162/N162)*(IF(OR(N162="",N162&lt;=0),0,IF((YEAR(D162)+6)&lt;YEAR(E162),0,IF((YEAR(D162)+6)&gt;=YEAR(E162)+N162,0,IF((YEAR(D162)+6)=YEAR(E162),(12-MONTH(E162)+1)/12,1))))))))&gt;0,(((K162)*(IF(M162="",L162,IFERROR(IF(INDEX(Variablen!$I:$AT, MATCH(M162, Variablen!$A:$A, 0), MATCH((YEAR(D162)+6), Variablen!$I$3:$AT$3, 0))="",L162,INDEX(Variablen!$I:$AT, MATCH(M162, Variablen!$A:$A, 0), MATCH((YEAR(D162)+6), Variablen!$I$3:$AT$3, 0))),L162)))*(IF((YEAR(D162)+6)&lt;YEAR(E162),0,IF((YEAR(D162)+6)&gt;YEAR(E162),1,(12-MONTH(E162)+1)/12))) + (Q162)*(IF((YEAR(D162)+6)&lt;YEAR(E162),0,IF((YEAR(D162)+6)&gt;YEAR(E162),1,(12-MONTH(E162)+1)/12))))-((P162)*(IF((YEAR(D162)+6)&lt;YEAR(E162),0,IF((YEAR(D162)+6)&gt;YEAR(E162),1,(12-MONTH(E162)+1)/12))) + (R162)*(IF((YEAR(D162)+6)&lt;YEAR(E162),0,IF((YEAR(D162)+6)&gt;YEAR(E162),1,(12-MONTH(E162)+1)/12))))-(IF(OR(N162="",N162&lt;=0),0,(O162/N162)*(IF(OR(N162="",N162&lt;=0),0,IF((YEAR(D162)+6)&lt;YEAR(E162),0,IF((YEAR(D162)+6)&gt;=YEAR(E162)+N162,0,IF((YEAR(D162)+6)=YEAR(E162),(12-MONTH(E162)+1)/12,1))))))))*TaxRate,0))-IF(6=0,O162,0))</f>
        <v/>
      </c>
      <c r="Z162" s="29">
        <f>IF(A162="","",((K162)*(IF(M162="",L162,IFERROR(IF(INDEX(Variablen!$I:$AT, MATCH(M162, Variablen!$A:$A, 0), MATCH((YEAR(D162)+7), Variablen!$I$3:$AT$3, 0))="",L162,INDEX(Variablen!$I:$AT, MATCH(M162, Variablen!$A:$A, 0), MATCH((YEAR(D162)+7), Variablen!$I$3:$AT$3, 0))),L162)))*(IF((YEAR(D162)+7)&lt;YEAR(E162),0,IF((YEAR(D162)+7)&gt;YEAR(E162),1,(12-MONTH(E162)+1)/12))) + (Q162)*(IF((YEAR(D162)+7)&lt;YEAR(E162),0,IF((YEAR(D162)+7)&gt;YEAR(E162),1,(12-MONTH(E162)+1)/12))))-((P162)*(IF((YEAR(D162)+7)&lt;YEAR(E162),0,IF((YEAR(D162)+7)&gt;YEAR(E162),1,(12-MONTH(E162)+1)/12))) + (R162)*(IF((YEAR(D162)+7)&lt;YEAR(E162),0,IF((YEAR(D162)+7)&gt;YEAR(E162),1,(12-MONTH(E162)+1)/12))))-(IF((((K162)*(IF(M162="",L162,IFERROR(IF(INDEX(Variablen!$I:$AT, MATCH(M162, Variablen!$A:$A, 0), MATCH((YEAR(D162)+7), Variablen!$I$3:$AT$3, 0))="",L162,INDEX(Variablen!$I:$AT, MATCH(M162, Variablen!$A:$A, 0), MATCH((YEAR(D162)+7), Variablen!$I$3:$AT$3, 0))),L162)))*(IF((YEAR(D162)+7)&lt;YEAR(E162),0,IF((YEAR(D162)+7)&gt;YEAR(E162),1,(12-MONTH(E162)+1)/12))) + (Q162)*(IF((YEAR(D162)+7)&lt;YEAR(E162),0,IF((YEAR(D162)+7)&gt;YEAR(E162),1,(12-MONTH(E162)+1)/12))))-((P162)*(IF((YEAR(D162)+7)&lt;YEAR(E162),0,IF((YEAR(D162)+7)&gt;YEAR(E162),1,(12-MONTH(E162)+1)/12))) + (R162)*(IF((YEAR(D162)+7)&lt;YEAR(E162),0,IF((YEAR(D162)+7)&gt;YEAR(E162),1,(12-MONTH(E162)+1)/12))))-(IF(OR(N162="",N162&lt;=0),0,(O162/N162)*(IF(OR(N162="",N162&lt;=0),0,IF((YEAR(D162)+7)&lt;YEAR(E162),0,IF((YEAR(D162)+7)&gt;=YEAR(E162)+N162,0,IF((YEAR(D162)+7)=YEAR(E162),(12-MONTH(E162)+1)/12,1))))))))&gt;0,(((K162)*(IF(M162="",L162,IFERROR(IF(INDEX(Variablen!$I:$AT, MATCH(M162, Variablen!$A:$A, 0), MATCH((YEAR(D162)+7), Variablen!$I$3:$AT$3, 0))="",L162,INDEX(Variablen!$I:$AT, MATCH(M162, Variablen!$A:$A, 0), MATCH((YEAR(D162)+7), Variablen!$I$3:$AT$3, 0))),L162)))*(IF((YEAR(D162)+7)&lt;YEAR(E162),0,IF((YEAR(D162)+7)&gt;YEAR(E162),1,(12-MONTH(E162)+1)/12))) + (Q162)*(IF((YEAR(D162)+7)&lt;YEAR(E162),0,IF((YEAR(D162)+7)&gt;YEAR(E162),1,(12-MONTH(E162)+1)/12))))-((P162)*(IF((YEAR(D162)+7)&lt;YEAR(E162),0,IF((YEAR(D162)+7)&gt;YEAR(E162),1,(12-MONTH(E162)+1)/12))) + (R162)*(IF((YEAR(D162)+7)&lt;YEAR(E162),0,IF((YEAR(D162)+7)&gt;YEAR(E162),1,(12-MONTH(E162)+1)/12))))-(IF(OR(N162="",N162&lt;=0),0,(O162/N162)*(IF(OR(N162="",N162&lt;=0),0,IF((YEAR(D162)+7)&lt;YEAR(E162),0,IF((YEAR(D162)+7)&gt;=YEAR(E162)+N162,0,IF((YEAR(D162)+7)=YEAR(E162),(12-MONTH(E162)+1)/12,1))))))))*TaxRate,0))-IF(7=0,O162,0))</f>
        <v/>
      </c>
      <c r="AA162" s="29">
        <f>IF(A162="","",((K162)*(IF(M162="",L162,IFERROR(IF(INDEX(Variablen!$I:$AT, MATCH(M162, Variablen!$A:$A, 0), MATCH((YEAR(D162)+8), Variablen!$I$3:$AT$3, 0))="",L162,INDEX(Variablen!$I:$AT, MATCH(M162, Variablen!$A:$A, 0), MATCH((YEAR(D162)+8), Variablen!$I$3:$AT$3, 0))),L162)))*(IF((YEAR(D162)+8)&lt;YEAR(E162),0,IF((YEAR(D162)+8)&gt;YEAR(E162),1,(12-MONTH(E162)+1)/12))) + (Q162)*(IF((YEAR(D162)+8)&lt;YEAR(E162),0,IF((YEAR(D162)+8)&gt;YEAR(E162),1,(12-MONTH(E162)+1)/12))))-((P162)*(IF((YEAR(D162)+8)&lt;YEAR(E162),0,IF((YEAR(D162)+8)&gt;YEAR(E162),1,(12-MONTH(E162)+1)/12))) + (R162)*(IF((YEAR(D162)+8)&lt;YEAR(E162),0,IF((YEAR(D162)+8)&gt;YEAR(E162),1,(12-MONTH(E162)+1)/12))))-(IF((((K162)*(IF(M162="",L162,IFERROR(IF(INDEX(Variablen!$I:$AT, MATCH(M162, Variablen!$A:$A, 0), MATCH((YEAR(D162)+8), Variablen!$I$3:$AT$3, 0))="",L162,INDEX(Variablen!$I:$AT, MATCH(M162, Variablen!$A:$A, 0), MATCH((YEAR(D162)+8), Variablen!$I$3:$AT$3, 0))),L162)))*(IF((YEAR(D162)+8)&lt;YEAR(E162),0,IF((YEAR(D162)+8)&gt;YEAR(E162),1,(12-MONTH(E162)+1)/12))) + (Q162)*(IF((YEAR(D162)+8)&lt;YEAR(E162),0,IF((YEAR(D162)+8)&gt;YEAR(E162),1,(12-MONTH(E162)+1)/12))))-((P162)*(IF((YEAR(D162)+8)&lt;YEAR(E162),0,IF((YEAR(D162)+8)&gt;YEAR(E162),1,(12-MONTH(E162)+1)/12))) + (R162)*(IF((YEAR(D162)+8)&lt;YEAR(E162),0,IF((YEAR(D162)+8)&gt;YEAR(E162),1,(12-MONTH(E162)+1)/12))))-(IF(OR(N162="",N162&lt;=0),0,(O162/N162)*(IF(OR(N162="",N162&lt;=0),0,IF((YEAR(D162)+8)&lt;YEAR(E162),0,IF((YEAR(D162)+8)&gt;=YEAR(E162)+N162,0,IF((YEAR(D162)+8)=YEAR(E162),(12-MONTH(E162)+1)/12,1))))))))&gt;0,(((K162)*(IF(M162="",L162,IFERROR(IF(INDEX(Variablen!$I:$AT, MATCH(M162, Variablen!$A:$A, 0), MATCH((YEAR(D162)+8), Variablen!$I$3:$AT$3, 0))="",L162,INDEX(Variablen!$I:$AT, MATCH(M162, Variablen!$A:$A, 0), MATCH((YEAR(D162)+8), Variablen!$I$3:$AT$3, 0))),L162)))*(IF((YEAR(D162)+8)&lt;YEAR(E162),0,IF((YEAR(D162)+8)&gt;YEAR(E162),1,(12-MONTH(E162)+1)/12))) + (Q162)*(IF((YEAR(D162)+8)&lt;YEAR(E162),0,IF((YEAR(D162)+8)&gt;YEAR(E162),1,(12-MONTH(E162)+1)/12))))-((P162)*(IF((YEAR(D162)+8)&lt;YEAR(E162),0,IF((YEAR(D162)+8)&gt;YEAR(E162),1,(12-MONTH(E162)+1)/12))) + (R162)*(IF((YEAR(D162)+8)&lt;YEAR(E162),0,IF((YEAR(D162)+8)&gt;YEAR(E162),1,(12-MONTH(E162)+1)/12))))-(IF(OR(N162="",N162&lt;=0),0,(O162/N162)*(IF(OR(N162="",N162&lt;=0),0,IF((YEAR(D162)+8)&lt;YEAR(E162),0,IF((YEAR(D162)+8)&gt;=YEAR(E162)+N162,0,IF((YEAR(D162)+8)=YEAR(E162),(12-MONTH(E162)+1)/12,1))))))))*TaxRate,0))-IF(8=0,O162,0))</f>
        <v/>
      </c>
      <c r="AB162" s="29">
        <f>IF(A162="","",((K162)*(IF(M162="",L162,IFERROR(IF(INDEX(Variablen!$I:$AT, MATCH(M162, Variablen!$A:$A, 0), MATCH((YEAR(D162)+9), Variablen!$I$3:$AT$3, 0))="",L162,INDEX(Variablen!$I:$AT, MATCH(M162, Variablen!$A:$A, 0), MATCH((YEAR(D162)+9), Variablen!$I$3:$AT$3, 0))),L162)))*(IF((YEAR(D162)+9)&lt;YEAR(E162),0,IF((YEAR(D162)+9)&gt;YEAR(E162),1,(12-MONTH(E162)+1)/12))) + (Q162)*(IF((YEAR(D162)+9)&lt;YEAR(E162),0,IF((YEAR(D162)+9)&gt;YEAR(E162),1,(12-MONTH(E162)+1)/12))))-((P162)*(IF((YEAR(D162)+9)&lt;YEAR(E162),0,IF((YEAR(D162)+9)&gt;YEAR(E162),1,(12-MONTH(E162)+1)/12))) + (R162)*(IF((YEAR(D162)+9)&lt;YEAR(E162),0,IF((YEAR(D162)+9)&gt;YEAR(E162),1,(12-MONTH(E162)+1)/12))))-(IF((((K162)*(IF(M162="",L162,IFERROR(IF(INDEX(Variablen!$I:$AT, MATCH(M162, Variablen!$A:$A, 0), MATCH((YEAR(D162)+9), Variablen!$I$3:$AT$3, 0))="",L162,INDEX(Variablen!$I:$AT, MATCH(M162, Variablen!$A:$A, 0), MATCH((YEAR(D162)+9), Variablen!$I$3:$AT$3, 0))),L162)))*(IF((YEAR(D162)+9)&lt;YEAR(E162),0,IF((YEAR(D162)+9)&gt;YEAR(E162),1,(12-MONTH(E162)+1)/12))) + (Q162)*(IF((YEAR(D162)+9)&lt;YEAR(E162),0,IF((YEAR(D162)+9)&gt;YEAR(E162),1,(12-MONTH(E162)+1)/12))))-((P162)*(IF((YEAR(D162)+9)&lt;YEAR(E162),0,IF((YEAR(D162)+9)&gt;YEAR(E162),1,(12-MONTH(E162)+1)/12))) + (R162)*(IF((YEAR(D162)+9)&lt;YEAR(E162),0,IF((YEAR(D162)+9)&gt;YEAR(E162),1,(12-MONTH(E162)+1)/12))))-(IF(OR(N162="",N162&lt;=0),0,(O162/N162)*(IF(OR(N162="",N162&lt;=0),0,IF((YEAR(D162)+9)&lt;YEAR(E162),0,IF((YEAR(D162)+9)&gt;=YEAR(E162)+N162,0,IF((YEAR(D162)+9)=YEAR(E162),(12-MONTH(E162)+1)/12,1))))))))&gt;0,(((K162)*(IF(M162="",L162,IFERROR(IF(INDEX(Variablen!$I:$AT, MATCH(M162, Variablen!$A:$A, 0), MATCH((YEAR(D162)+9), Variablen!$I$3:$AT$3, 0))="",L162,INDEX(Variablen!$I:$AT, MATCH(M162, Variablen!$A:$A, 0), MATCH((YEAR(D162)+9), Variablen!$I$3:$AT$3, 0))),L162)))*(IF((YEAR(D162)+9)&lt;YEAR(E162),0,IF((YEAR(D162)+9)&gt;YEAR(E162),1,(12-MONTH(E162)+1)/12))) + (Q162)*(IF((YEAR(D162)+9)&lt;YEAR(E162),0,IF((YEAR(D162)+9)&gt;YEAR(E162),1,(12-MONTH(E162)+1)/12))))-((P162)*(IF((YEAR(D162)+9)&lt;YEAR(E162),0,IF((YEAR(D162)+9)&gt;YEAR(E162),1,(12-MONTH(E162)+1)/12))) + (R162)*(IF((YEAR(D162)+9)&lt;YEAR(E162),0,IF((YEAR(D162)+9)&gt;YEAR(E162),1,(12-MONTH(E162)+1)/12))))-(IF(OR(N162="",N162&lt;=0),0,(O162/N162)*(IF(OR(N162="",N162&lt;=0),0,IF((YEAR(D162)+9)&lt;YEAR(E162),0,IF((YEAR(D162)+9)&gt;=YEAR(E162)+N162,0,IF((YEAR(D162)+9)=YEAR(E162),(12-MONTH(E162)+1)/12,1))))))))*TaxRate,0))-IF(9=0,O162,0))</f>
        <v/>
      </c>
      <c r="AC162" s="29">
        <f>IF(A162="","",((K162)*(IF(M162="",L162,IFERROR(IF(INDEX(Variablen!$I:$AT, MATCH(M162, Variablen!$A:$A, 0), MATCH((YEAR(D162)+10), Variablen!$I$3:$AT$3, 0))="",L162,INDEX(Variablen!$I:$AT, MATCH(M162, Variablen!$A:$A, 0), MATCH((YEAR(D162)+10), Variablen!$I$3:$AT$3, 0))),L162)))*(IF((YEAR(D162)+10)&lt;YEAR(E162),0,IF((YEAR(D162)+10)&gt;YEAR(E162),1,(12-MONTH(E162)+1)/12))) + (Q162)*(IF((YEAR(D162)+10)&lt;YEAR(E162),0,IF((YEAR(D162)+10)&gt;YEAR(E162),1,(12-MONTH(E162)+1)/12))))-((P162)*(IF((YEAR(D162)+10)&lt;YEAR(E162),0,IF((YEAR(D162)+10)&gt;YEAR(E162),1,(12-MONTH(E162)+1)/12))) + (R162)*(IF((YEAR(D162)+10)&lt;YEAR(E162),0,IF((YEAR(D162)+10)&gt;YEAR(E162),1,(12-MONTH(E162)+1)/12))))-(IF((((K162)*(IF(M162="",L162,IFERROR(IF(INDEX(Variablen!$I:$AT, MATCH(M162, Variablen!$A:$A, 0), MATCH((YEAR(D162)+10), Variablen!$I$3:$AT$3, 0))="",L162,INDEX(Variablen!$I:$AT, MATCH(M162, Variablen!$A:$A, 0), MATCH((YEAR(D162)+10), Variablen!$I$3:$AT$3, 0))),L162)))*(IF((YEAR(D162)+10)&lt;YEAR(E162),0,IF((YEAR(D162)+10)&gt;YEAR(E162),1,(12-MONTH(E162)+1)/12))) + (Q162)*(IF((YEAR(D162)+10)&lt;YEAR(E162),0,IF((YEAR(D162)+10)&gt;YEAR(E162),1,(12-MONTH(E162)+1)/12))))-((P162)*(IF((YEAR(D162)+10)&lt;YEAR(E162),0,IF((YEAR(D162)+10)&gt;YEAR(E162),1,(12-MONTH(E162)+1)/12))) + (R162)*(IF((YEAR(D162)+10)&lt;YEAR(E162),0,IF((YEAR(D162)+10)&gt;YEAR(E162),1,(12-MONTH(E162)+1)/12))))-(IF(OR(N162="",N162&lt;=0),0,(O162/N162)*(IF(OR(N162="",N162&lt;=0),0,IF((YEAR(D162)+10)&lt;YEAR(E162),0,IF((YEAR(D162)+10)&gt;=YEAR(E162)+N162,0,IF((YEAR(D162)+10)=YEAR(E162),(12-MONTH(E162)+1)/12,1))))))))&gt;0,(((K162)*(IF(M162="",L162,IFERROR(IF(INDEX(Variablen!$I:$AT, MATCH(M162, Variablen!$A:$A, 0), MATCH((YEAR(D162)+10), Variablen!$I$3:$AT$3, 0))="",L162,INDEX(Variablen!$I:$AT, MATCH(M162, Variablen!$A:$A, 0), MATCH((YEAR(D162)+10), Variablen!$I$3:$AT$3, 0))),L162)))*(IF((YEAR(D162)+10)&lt;YEAR(E162),0,IF((YEAR(D162)+10)&gt;YEAR(E162),1,(12-MONTH(E162)+1)/12))) + (Q162)*(IF((YEAR(D162)+10)&lt;YEAR(E162),0,IF((YEAR(D162)+10)&gt;YEAR(E162),1,(12-MONTH(E162)+1)/12))))-((P162)*(IF((YEAR(D162)+10)&lt;YEAR(E162),0,IF((YEAR(D162)+10)&gt;YEAR(E162),1,(12-MONTH(E162)+1)/12))) + (R162)*(IF((YEAR(D162)+10)&lt;YEAR(E162),0,IF((YEAR(D162)+10)&gt;YEAR(E162),1,(12-MONTH(E162)+1)/12))))-(IF(OR(N162="",N162&lt;=0),0,(O162/N162)*(IF(OR(N162="",N162&lt;=0),0,IF((YEAR(D162)+10)&lt;YEAR(E162),0,IF((YEAR(D162)+10)&gt;=YEAR(E162)+N162,0,IF((YEAR(D162)+10)=YEAR(E162),(12-MONTH(E162)+1)/12,1))))))))*TaxRate,0))-IF(10=0,O162,0))</f>
        <v/>
      </c>
      <c r="AD162" s="29">
        <f>IF(A162="","",((K162)*(IF(M162="",L162,IFERROR(IF(INDEX(Variablen!$I:$AT, MATCH(M162, Variablen!$A:$A, 0), MATCH((YEAR(D162)+11), Variablen!$I$3:$AT$3, 0))="",L162,INDEX(Variablen!$I:$AT, MATCH(M162, Variablen!$A:$A, 0), MATCH((YEAR(D162)+11), Variablen!$I$3:$AT$3, 0))),L162)))*(IF((YEAR(D162)+11)&lt;YEAR(E162),0,IF((YEAR(D162)+11)&gt;YEAR(E162),1,(12-MONTH(E162)+1)/12))) + (Q162)*(IF((YEAR(D162)+11)&lt;YEAR(E162),0,IF((YEAR(D162)+11)&gt;YEAR(E162),1,(12-MONTH(E162)+1)/12))))-((P162)*(IF((YEAR(D162)+11)&lt;YEAR(E162),0,IF((YEAR(D162)+11)&gt;YEAR(E162),1,(12-MONTH(E162)+1)/12))) + (R162)*(IF((YEAR(D162)+11)&lt;YEAR(E162),0,IF((YEAR(D162)+11)&gt;YEAR(E162),1,(12-MONTH(E162)+1)/12))))-(IF((((K162)*(IF(M162="",L162,IFERROR(IF(INDEX(Variablen!$I:$AT, MATCH(M162, Variablen!$A:$A, 0), MATCH((YEAR(D162)+11), Variablen!$I$3:$AT$3, 0))="",L162,INDEX(Variablen!$I:$AT, MATCH(M162, Variablen!$A:$A, 0), MATCH((YEAR(D162)+11), Variablen!$I$3:$AT$3, 0))),L162)))*(IF((YEAR(D162)+11)&lt;YEAR(E162),0,IF((YEAR(D162)+11)&gt;YEAR(E162),1,(12-MONTH(E162)+1)/12))) + (Q162)*(IF((YEAR(D162)+11)&lt;YEAR(E162),0,IF((YEAR(D162)+11)&gt;YEAR(E162),1,(12-MONTH(E162)+1)/12))))-((P162)*(IF((YEAR(D162)+11)&lt;YEAR(E162),0,IF((YEAR(D162)+11)&gt;YEAR(E162),1,(12-MONTH(E162)+1)/12))) + (R162)*(IF((YEAR(D162)+11)&lt;YEAR(E162),0,IF((YEAR(D162)+11)&gt;YEAR(E162),1,(12-MONTH(E162)+1)/12))))-(IF(OR(N162="",N162&lt;=0),0,(O162/N162)*(IF(OR(N162="",N162&lt;=0),0,IF((YEAR(D162)+11)&lt;YEAR(E162),0,IF((YEAR(D162)+11)&gt;=YEAR(E162)+N162,0,IF((YEAR(D162)+11)=YEAR(E162),(12-MONTH(E162)+1)/12,1))))))))&gt;0,(((K162)*(IF(M162="",L162,IFERROR(IF(INDEX(Variablen!$I:$AT, MATCH(M162, Variablen!$A:$A, 0), MATCH((YEAR(D162)+11), Variablen!$I$3:$AT$3, 0))="",L162,INDEX(Variablen!$I:$AT, MATCH(M162, Variablen!$A:$A, 0), MATCH((YEAR(D162)+11), Variablen!$I$3:$AT$3, 0))),L162)))*(IF((YEAR(D162)+11)&lt;YEAR(E162),0,IF((YEAR(D162)+11)&gt;YEAR(E162),1,(12-MONTH(E162)+1)/12))) + (Q162)*(IF((YEAR(D162)+11)&lt;YEAR(E162),0,IF((YEAR(D162)+11)&gt;YEAR(E162),1,(12-MONTH(E162)+1)/12))))-((P162)*(IF((YEAR(D162)+11)&lt;YEAR(E162),0,IF((YEAR(D162)+11)&gt;YEAR(E162),1,(12-MONTH(E162)+1)/12))) + (R162)*(IF((YEAR(D162)+11)&lt;YEAR(E162),0,IF((YEAR(D162)+11)&gt;YEAR(E162),1,(12-MONTH(E162)+1)/12))))-(IF(OR(N162="",N162&lt;=0),0,(O162/N162)*(IF(OR(N162="",N162&lt;=0),0,IF((YEAR(D162)+11)&lt;YEAR(E162),0,IF((YEAR(D162)+11)&gt;=YEAR(E162)+N162,0,IF((YEAR(D162)+11)=YEAR(E162),(12-MONTH(E162)+1)/12,1))))))))*TaxRate,0))-IF(11=0,O162,0))</f>
        <v/>
      </c>
      <c r="AE162" s="29">
        <f>IF(A162="","",((K162)*(IF(M162="",L162,IFERROR(IF(INDEX(Variablen!$I:$AT, MATCH(M162, Variablen!$A:$A, 0), MATCH((YEAR(D162)+12), Variablen!$I$3:$AT$3, 0))="",L162,INDEX(Variablen!$I:$AT, MATCH(M162, Variablen!$A:$A, 0), MATCH((YEAR(D162)+12), Variablen!$I$3:$AT$3, 0))),L162)))*(IF((YEAR(D162)+12)&lt;YEAR(E162),0,IF((YEAR(D162)+12)&gt;YEAR(E162),1,(12-MONTH(E162)+1)/12))) + (Q162)*(IF((YEAR(D162)+12)&lt;YEAR(E162),0,IF((YEAR(D162)+12)&gt;YEAR(E162),1,(12-MONTH(E162)+1)/12))))-((P162)*(IF((YEAR(D162)+12)&lt;YEAR(E162),0,IF((YEAR(D162)+12)&gt;YEAR(E162),1,(12-MONTH(E162)+1)/12))) + (R162)*(IF((YEAR(D162)+12)&lt;YEAR(E162),0,IF((YEAR(D162)+12)&gt;YEAR(E162),1,(12-MONTH(E162)+1)/12))))-(IF((((K162)*(IF(M162="",L162,IFERROR(IF(INDEX(Variablen!$I:$AT, MATCH(M162, Variablen!$A:$A, 0), MATCH((YEAR(D162)+12), Variablen!$I$3:$AT$3, 0))="",L162,INDEX(Variablen!$I:$AT, MATCH(M162, Variablen!$A:$A, 0), MATCH((YEAR(D162)+12), Variablen!$I$3:$AT$3, 0))),L162)))*(IF((YEAR(D162)+12)&lt;YEAR(E162),0,IF((YEAR(D162)+12)&gt;YEAR(E162),1,(12-MONTH(E162)+1)/12))) + (Q162)*(IF((YEAR(D162)+12)&lt;YEAR(E162),0,IF((YEAR(D162)+12)&gt;YEAR(E162),1,(12-MONTH(E162)+1)/12))))-((P162)*(IF((YEAR(D162)+12)&lt;YEAR(E162),0,IF((YEAR(D162)+12)&gt;YEAR(E162),1,(12-MONTH(E162)+1)/12))) + (R162)*(IF((YEAR(D162)+12)&lt;YEAR(E162),0,IF((YEAR(D162)+12)&gt;YEAR(E162),1,(12-MONTH(E162)+1)/12))))-(IF(OR(N162="",N162&lt;=0),0,(O162/N162)*(IF(OR(N162="",N162&lt;=0),0,IF((YEAR(D162)+12)&lt;YEAR(E162),0,IF((YEAR(D162)+12)&gt;=YEAR(E162)+N162,0,IF((YEAR(D162)+12)=YEAR(E162),(12-MONTH(E162)+1)/12,1))))))))&gt;0,(((K162)*(IF(M162="",L162,IFERROR(IF(INDEX(Variablen!$I:$AT, MATCH(M162, Variablen!$A:$A, 0), MATCH((YEAR(D162)+12), Variablen!$I$3:$AT$3, 0))="",L162,INDEX(Variablen!$I:$AT, MATCH(M162, Variablen!$A:$A, 0), MATCH((YEAR(D162)+12), Variablen!$I$3:$AT$3, 0))),L162)))*(IF((YEAR(D162)+12)&lt;YEAR(E162),0,IF((YEAR(D162)+12)&gt;YEAR(E162),1,(12-MONTH(E162)+1)/12))) + (Q162)*(IF((YEAR(D162)+12)&lt;YEAR(E162),0,IF((YEAR(D162)+12)&gt;YEAR(E162),1,(12-MONTH(E162)+1)/12))))-((P162)*(IF((YEAR(D162)+12)&lt;YEAR(E162),0,IF((YEAR(D162)+12)&gt;YEAR(E162),1,(12-MONTH(E162)+1)/12))) + (R162)*(IF((YEAR(D162)+12)&lt;YEAR(E162),0,IF((YEAR(D162)+12)&gt;YEAR(E162),1,(12-MONTH(E162)+1)/12))))-(IF(OR(N162="",N162&lt;=0),0,(O162/N162)*(IF(OR(N162="",N162&lt;=0),0,IF((YEAR(D162)+12)&lt;YEAR(E162),0,IF((YEAR(D162)+12)&gt;=YEAR(E162)+N162,0,IF((YEAR(D162)+12)=YEAR(E162),(12-MONTH(E162)+1)/12,1))))))))*TaxRate,0))-IF(12=0,O162,0))</f>
        <v/>
      </c>
      <c r="AF162" s="29">
        <f>IF(A162="","",((K162)*(IF(M162="",L162,IFERROR(IF(INDEX(Variablen!$I:$AT, MATCH(M162, Variablen!$A:$A, 0), MATCH((YEAR(D162)+13), Variablen!$I$3:$AT$3, 0))="",L162,INDEX(Variablen!$I:$AT, MATCH(M162, Variablen!$A:$A, 0), MATCH((YEAR(D162)+13), Variablen!$I$3:$AT$3, 0))),L162)))*(IF((YEAR(D162)+13)&lt;YEAR(E162),0,IF((YEAR(D162)+13)&gt;YEAR(E162),1,(12-MONTH(E162)+1)/12))) + (Q162)*(IF((YEAR(D162)+13)&lt;YEAR(E162),0,IF((YEAR(D162)+13)&gt;YEAR(E162),1,(12-MONTH(E162)+1)/12))))-((P162)*(IF((YEAR(D162)+13)&lt;YEAR(E162),0,IF((YEAR(D162)+13)&gt;YEAR(E162),1,(12-MONTH(E162)+1)/12))) + (R162)*(IF((YEAR(D162)+13)&lt;YEAR(E162),0,IF((YEAR(D162)+13)&gt;YEAR(E162),1,(12-MONTH(E162)+1)/12))))-(IF((((K162)*(IF(M162="",L162,IFERROR(IF(INDEX(Variablen!$I:$AT, MATCH(M162, Variablen!$A:$A, 0), MATCH((YEAR(D162)+13), Variablen!$I$3:$AT$3, 0))="",L162,INDEX(Variablen!$I:$AT, MATCH(M162, Variablen!$A:$A, 0), MATCH((YEAR(D162)+13), Variablen!$I$3:$AT$3, 0))),L162)))*(IF((YEAR(D162)+13)&lt;YEAR(E162),0,IF((YEAR(D162)+13)&gt;YEAR(E162),1,(12-MONTH(E162)+1)/12))) + (Q162)*(IF((YEAR(D162)+13)&lt;YEAR(E162),0,IF((YEAR(D162)+13)&gt;YEAR(E162),1,(12-MONTH(E162)+1)/12))))-((P162)*(IF((YEAR(D162)+13)&lt;YEAR(E162),0,IF((YEAR(D162)+13)&gt;YEAR(E162),1,(12-MONTH(E162)+1)/12))) + (R162)*(IF((YEAR(D162)+13)&lt;YEAR(E162),0,IF((YEAR(D162)+13)&gt;YEAR(E162),1,(12-MONTH(E162)+1)/12))))-(IF(OR(N162="",N162&lt;=0),0,(O162/N162)*(IF(OR(N162="",N162&lt;=0),0,IF((YEAR(D162)+13)&lt;YEAR(E162),0,IF((YEAR(D162)+13)&gt;=YEAR(E162)+N162,0,IF((YEAR(D162)+13)=YEAR(E162),(12-MONTH(E162)+1)/12,1))))))))&gt;0,(((K162)*(IF(M162="",L162,IFERROR(IF(INDEX(Variablen!$I:$AT, MATCH(M162, Variablen!$A:$A, 0), MATCH((YEAR(D162)+13), Variablen!$I$3:$AT$3, 0))="",L162,INDEX(Variablen!$I:$AT, MATCH(M162, Variablen!$A:$A, 0), MATCH((YEAR(D162)+13), Variablen!$I$3:$AT$3, 0))),L162)))*(IF((YEAR(D162)+13)&lt;YEAR(E162),0,IF((YEAR(D162)+13)&gt;YEAR(E162),1,(12-MONTH(E162)+1)/12))) + (Q162)*(IF((YEAR(D162)+13)&lt;YEAR(E162),0,IF((YEAR(D162)+13)&gt;YEAR(E162),1,(12-MONTH(E162)+1)/12))))-((P162)*(IF((YEAR(D162)+13)&lt;YEAR(E162),0,IF((YEAR(D162)+13)&gt;YEAR(E162),1,(12-MONTH(E162)+1)/12))) + (R162)*(IF((YEAR(D162)+13)&lt;YEAR(E162),0,IF((YEAR(D162)+13)&gt;YEAR(E162),1,(12-MONTH(E162)+1)/12))))-(IF(OR(N162="",N162&lt;=0),0,(O162/N162)*(IF(OR(N162="",N162&lt;=0),0,IF((YEAR(D162)+13)&lt;YEAR(E162),0,IF((YEAR(D162)+13)&gt;=YEAR(E162)+N162,0,IF((YEAR(D162)+13)=YEAR(E162),(12-MONTH(E162)+1)/12,1))))))))*TaxRate,0))-IF(13=0,O162,0))</f>
        <v/>
      </c>
      <c r="AG162" s="29">
        <f>IF(A162="","",((K162)*(IF(M162="",L162,IFERROR(IF(INDEX(Variablen!$I:$AT, MATCH(M162, Variablen!$A:$A, 0), MATCH((YEAR(D162)+14), Variablen!$I$3:$AT$3, 0))="",L162,INDEX(Variablen!$I:$AT, MATCH(M162, Variablen!$A:$A, 0), MATCH((YEAR(D162)+14), Variablen!$I$3:$AT$3, 0))),L162)))*(IF((YEAR(D162)+14)&lt;YEAR(E162),0,IF((YEAR(D162)+14)&gt;YEAR(E162),1,(12-MONTH(E162)+1)/12))) + (Q162)*(IF((YEAR(D162)+14)&lt;YEAR(E162),0,IF((YEAR(D162)+14)&gt;YEAR(E162),1,(12-MONTH(E162)+1)/12))))-((P162)*(IF((YEAR(D162)+14)&lt;YEAR(E162),0,IF((YEAR(D162)+14)&gt;YEAR(E162),1,(12-MONTH(E162)+1)/12))) + (R162)*(IF((YEAR(D162)+14)&lt;YEAR(E162),0,IF((YEAR(D162)+14)&gt;YEAR(E162),1,(12-MONTH(E162)+1)/12))))-(IF((((K162)*(IF(M162="",L162,IFERROR(IF(INDEX(Variablen!$I:$AT, MATCH(M162, Variablen!$A:$A, 0), MATCH((YEAR(D162)+14), Variablen!$I$3:$AT$3, 0))="",L162,INDEX(Variablen!$I:$AT, MATCH(M162, Variablen!$A:$A, 0), MATCH((YEAR(D162)+14), Variablen!$I$3:$AT$3, 0))),L162)))*(IF((YEAR(D162)+14)&lt;YEAR(E162),0,IF((YEAR(D162)+14)&gt;YEAR(E162),1,(12-MONTH(E162)+1)/12))) + (Q162)*(IF((YEAR(D162)+14)&lt;YEAR(E162),0,IF((YEAR(D162)+14)&gt;YEAR(E162),1,(12-MONTH(E162)+1)/12))))-((P162)*(IF((YEAR(D162)+14)&lt;YEAR(E162),0,IF((YEAR(D162)+14)&gt;YEAR(E162),1,(12-MONTH(E162)+1)/12))) + (R162)*(IF((YEAR(D162)+14)&lt;YEAR(E162),0,IF((YEAR(D162)+14)&gt;YEAR(E162),1,(12-MONTH(E162)+1)/12))))-(IF(OR(N162="",N162&lt;=0),0,(O162/N162)*(IF(OR(N162="",N162&lt;=0),0,IF((YEAR(D162)+14)&lt;YEAR(E162),0,IF((YEAR(D162)+14)&gt;=YEAR(E162)+N162,0,IF((YEAR(D162)+14)=YEAR(E162),(12-MONTH(E162)+1)/12,1))))))))&gt;0,(((K162)*(IF(M162="",L162,IFERROR(IF(INDEX(Variablen!$I:$AT, MATCH(M162, Variablen!$A:$A, 0), MATCH((YEAR(D162)+14), Variablen!$I$3:$AT$3, 0))="",L162,INDEX(Variablen!$I:$AT, MATCH(M162, Variablen!$A:$A, 0), MATCH((YEAR(D162)+14), Variablen!$I$3:$AT$3, 0))),L162)))*(IF((YEAR(D162)+14)&lt;YEAR(E162),0,IF((YEAR(D162)+14)&gt;YEAR(E162),1,(12-MONTH(E162)+1)/12))) + (Q162)*(IF((YEAR(D162)+14)&lt;YEAR(E162),0,IF((YEAR(D162)+14)&gt;YEAR(E162),1,(12-MONTH(E162)+1)/12))))-((P162)*(IF((YEAR(D162)+14)&lt;YEAR(E162),0,IF((YEAR(D162)+14)&gt;YEAR(E162),1,(12-MONTH(E162)+1)/12))) + (R162)*(IF((YEAR(D162)+14)&lt;YEAR(E162),0,IF((YEAR(D162)+14)&gt;YEAR(E162),1,(12-MONTH(E162)+1)/12))))-(IF(OR(N162="",N162&lt;=0),0,(O162/N162)*(IF(OR(N162="",N162&lt;=0),0,IF((YEAR(D162)+14)&lt;YEAR(E162),0,IF((YEAR(D162)+14)&gt;=YEAR(E162)+N162,0,IF((YEAR(D162)+14)=YEAR(E162),(12-MONTH(E162)+1)/12,1))))))))*TaxRate,0))-IF(14=0,O162,0))</f>
        <v/>
      </c>
      <c r="AH162" s="29">
        <f>IF(A162="","",((K162)*(IF(M162="",L162,IFERROR(IF(INDEX(Variablen!$I:$AT, MATCH(M162, Variablen!$A:$A, 0), MATCH((YEAR(D162)+15), Variablen!$I$3:$AT$3, 0))="",L162,INDEX(Variablen!$I:$AT, MATCH(M162, Variablen!$A:$A, 0), MATCH((YEAR(D162)+15), Variablen!$I$3:$AT$3, 0))),L162)))*(IF((YEAR(D162)+15)&lt;YEAR(E162),0,IF((YEAR(D162)+15)&gt;YEAR(E162),1,(12-MONTH(E162)+1)/12))) + (Q162)*(IF((YEAR(D162)+15)&lt;YEAR(E162),0,IF((YEAR(D162)+15)&gt;YEAR(E162),1,(12-MONTH(E162)+1)/12))))-((P162)*(IF((YEAR(D162)+15)&lt;YEAR(E162),0,IF((YEAR(D162)+15)&gt;YEAR(E162),1,(12-MONTH(E162)+1)/12))) + (R162)*(IF((YEAR(D162)+15)&lt;YEAR(E162),0,IF((YEAR(D162)+15)&gt;YEAR(E162),1,(12-MONTH(E162)+1)/12))))-(IF((((K162)*(IF(M162="",L162,IFERROR(IF(INDEX(Variablen!$I:$AT, MATCH(M162, Variablen!$A:$A, 0), MATCH((YEAR(D162)+15), Variablen!$I$3:$AT$3, 0))="",L162,INDEX(Variablen!$I:$AT, MATCH(M162, Variablen!$A:$A, 0), MATCH((YEAR(D162)+15), Variablen!$I$3:$AT$3, 0))),L162)))*(IF((YEAR(D162)+15)&lt;YEAR(E162),0,IF((YEAR(D162)+15)&gt;YEAR(E162),1,(12-MONTH(E162)+1)/12))) + (Q162)*(IF((YEAR(D162)+15)&lt;YEAR(E162),0,IF((YEAR(D162)+15)&gt;YEAR(E162),1,(12-MONTH(E162)+1)/12))))-((P162)*(IF((YEAR(D162)+15)&lt;YEAR(E162),0,IF((YEAR(D162)+15)&gt;YEAR(E162),1,(12-MONTH(E162)+1)/12))) + (R162)*(IF((YEAR(D162)+15)&lt;YEAR(E162),0,IF((YEAR(D162)+15)&gt;YEAR(E162),1,(12-MONTH(E162)+1)/12))))-(IF(OR(N162="",N162&lt;=0),0,(O162/N162)*(IF(OR(N162="",N162&lt;=0),0,IF((YEAR(D162)+15)&lt;YEAR(E162),0,IF((YEAR(D162)+15)&gt;=YEAR(E162)+N162,0,IF((YEAR(D162)+15)=YEAR(E162),(12-MONTH(E162)+1)/12,1))))))))&gt;0,(((K162)*(IF(M162="",L162,IFERROR(IF(INDEX(Variablen!$I:$AT, MATCH(M162, Variablen!$A:$A, 0), MATCH((YEAR(D162)+15), Variablen!$I$3:$AT$3, 0))="",L162,INDEX(Variablen!$I:$AT, MATCH(M162, Variablen!$A:$A, 0), MATCH((YEAR(D162)+15), Variablen!$I$3:$AT$3, 0))),L162)))*(IF((YEAR(D162)+15)&lt;YEAR(E162),0,IF((YEAR(D162)+15)&gt;YEAR(E162),1,(12-MONTH(E162)+1)/12))) + (Q162)*(IF((YEAR(D162)+15)&lt;YEAR(E162),0,IF((YEAR(D162)+15)&gt;YEAR(E162),1,(12-MONTH(E162)+1)/12))))-((P162)*(IF((YEAR(D162)+15)&lt;YEAR(E162),0,IF((YEAR(D162)+15)&gt;YEAR(E162),1,(12-MONTH(E162)+1)/12))) + (R162)*(IF((YEAR(D162)+15)&lt;YEAR(E162),0,IF((YEAR(D162)+15)&gt;YEAR(E162),1,(12-MONTH(E162)+1)/12))))-(IF(OR(N162="",N162&lt;=0),0,(O162/N162)*(IF(OR(N162="",N162&lt;=0),0,IF((YEAR(D162)+15)&lt;YEAR(E162),0,IF((YEAR(D162)+15)&gt;=YEAR(E162)+N162,0,IF((YEAR(D162)+15)=YEAR(E162),(12-MONTH(E162)+1)/12,1))))))))*TaxRate,0))-IF(15=0,O162,0))</f>
        <v/>
      </c>
      <c r="AI162" s="29">
        <f>IF(A162="","",((K162)*(IF(M162="",L162,IFERROR(IF(INDEX(Variablen!$I:$AT, MATCH(M162, Variablen!$A:$A, 0), MATCH((YEAR(D162)+16), Variablen!$I$3:$AT$3, 0))="",L162,INDEX(Variablen!$I:$AT, MATCH(M162, Variablen!$A:$A, 0), MATCH((YEAR(D162)+16), Variablen!$I$3:$AT$3, 0))),L162)))*(IF((YEAR(D162)+16)&lt;YEAR(E162),0,IF((YEAR(D162)+16)&gt;YEAR(E162),1,(12-MONTH(E162)+1)/12))) + (Q162)*(IF((YEAR(D162)+16)&lt;YEAR(E162),0,IF((YEAR(D162)+16)&gt;YEAR(E162),1,(12-MONTH(E162)+1)/12))))-((P162)*(IF((YEAR(D162)+16)&lt;YEAR(E162),0,IF((YEAR(D162)+16)&gt;YEAR(E162),1,(12-MONTH(E162)+1)/12))) + (R162)*(IF((YEAR(D162)+16)&lt;YEAR(E162),0,IF((YEAR(D162)+16)&gt;YEAR(E162),1,(12-MONTH(E162)+1)/12))))-(IF((((K162)*(IF(M162="",L162,IFERROR(IF(INDEX(Variablen!$I:$AT, MATCH(M162, Variablen!$A:$A, 0), MATCH((YEAR(D162)+16), Variablen!$I$3:$AT$3, 0))="",L162,INDEX(Variablen!$I:$AT, MATCH(M162, Variablen!$A:$A, 0), MATCH((YEAR(D162)+16), Variablen!$I$3:$AT$3, 0))),L162)))*(IF((YEAR(D162)+16)&lt;YEAR(E162),0,IF((YEAR(D162)+16)&gt;YEAR(E162),1,(12-MONTH(E162)+1)/12))) + (Q162)*(IF((YEAR(D162)+16)&lt;YEAR(E162),0,IF((YEAR(D162)+16)&gt;YEAR(E162),1,(12-MONTH(E162)+1)/12))))-((P162)*(IF((YEAR(D162)+16)&lt;YEAR(E162),0,IF((YEAR(D162)+16)&gt;YEAR(E162),1,(12-MONTH(E162)+1)/12))) + (R162)*(IF((YEAR(D162)+16)&lt;YEAR(E162),0,IF((YEAR(D162)+16)&gt;YEAR(E162),1,(12-MONTH(E162)+1)/12))))-(IF(OR(N162="",N162&lt;=0),0,(O162/N162)*(IF(OR(N162="",N162&lt;=0),0,IF((YEAR(D162)+16)&lt;YEAR(E162),0,IF((YEAR(D162)+16)&gt;=YEAR(E162)+N162,0,IF((YEAR(D162)+16)=YEAR(E162),(12-MONTH(E162)+1)/12,1))))))))&gt;0,(((K162)*(IF(M162="",L162,IFERROR(IF(INDEX(Variablen!$I:$AT, MATCH(M162, Variablen!$A:$A, 0), MATCH((YEAR(D162)+16), Variablen!$I$3:$AT$3, 0))="",L162,INDEX(Variablen!$I:$AT, MATCH(M162, Variablen!$A:$A, 0), MATCH((YEAR(D162)+16), Variablen!$I$3:$AT$3, 0))),L162)))*(IF((YEAR(D162)+16)&lt;YEAR(E162),0,IF((YEAR(D162)+16)&gt;YEAR(E162),1,(12-MONTH(E162)+1)/12))) + (Q162)*(IF((YEAR(D162)+16)&lt;YEAR(E162),0,IF((YEAR(D162)+16)&gt;YEAR(E162),1,(12-MONTH(E162)+1)/12))))-((P162)*(IF((YEAR(D162)+16)&lt;YEAR(E162),0,IF((YEAR(D162)+16)&gt;YEAR(E162),1,(12-MONTH(E162)+1)/12))) + (R162)*(IF((YEAR(D162)+16)&lt;YEAR(E162),0,IF((YEAR(D162)+16)&gt;YEAR(E162),1,(12-MONTH(E162)+1)/12))))-(IF(OR(N162="",N162&lt;=0),0,(O162/N162)*(IF(OR(N162="",N162&lt;=0),0,IF((YEAR(D162)+16)&lt;YEAR(E162),0,IF((YEAR(D162)+16)&gt;=YEAR(E162)+N162,0,IF((YEAR(D162)+16)=YEAR(E162),(12-MONTH(E162)+1)/12,1))))))))*TaxRate,0))-IF(16=0,O162,0))</f>
        <v/>
      </c>
      <c r="AJ162" s="29">
        <f>IF(A162="","",((K162)*(IF(M162="",L162,IFERROR(IF(INDEX(Variablen!$I:$AT, MATCH(M162, Variablen!$A:$A, 0), MATCH((YEAR(D162)+17), Variablen!$I$3:$AT$3, 0))="",L162,INDEX(Variablen!$I:$AT, MATCH(M162, Variablen!$A:$A, 0), MATCH((YEAR(D162)+17), Variablen!$I$3:$AT$3, 0))),L162)))*(IF((YEAR(D162)+17)&lt;YEAR(E162),0,IF((YEAR(D162)+17)&gt;YEAR(E162),1,(12-MONTH(E162)+1)/12))) + (Q162)*(IF((YEAR(D162)+17)&lt;YEAR(E162),0,IF((YEAR(D162)+17)&gt;YEAR(E162),1,(12-MONTH(E162)+1)/12))))-((P162)*(IF((YEAR(D162)+17)&lt;YEAR(E162),0,IF((YEAR(D162)+17)&gt;YEAR(E162),1,(12-MONTH(E162)+1)/12))) + (R162)*(IF((YEAR(D162)+17)&lt;YEAR(E162),0,IF((YEAR(D162)+17)&gt;YEAR(E162),1,(12-MONTH(E162)+1)/12))))-(IF((((K162)*(IF(M162="",L162,IFERROR(IF(INDEX(Variablen!$I:$AT, MATCH(M162, Variablen!$A:$A, 0), MATCH((YEAR(D162)+17), Variablen!$I$3:$AT$3, 0))="",L162,INDEX(Variablen!$I:$AT, MATCH(M162, Variablen!$A:$A, 0), MATCH((YEAR(D162)+17), Variablen!$I$3:$AT$3, 0))),L162)))*(IF((YEAR(D162)+17)&lt;YEAR(E162),0,IF((YEAR(D162)+17)&gt;YEAR(E162),1,(12-MONTH(E162)+1)/12))) + (Q162)*(IF((YEAR(D162)+17)&lt;YEAR(E162),0,IF((YEAR(D162)+17)&gt;YEAR(E162),1,(12-MONTH(E162)+1)/12))))-((P162)*(IF((YEAR(D162)+17)&lt;YEAR(E162),0,IF((YEAR(D162)+17)&gt;YEAR(E162),1,(12-MONTH(E162)+1)/12))) + (R162)*(IF((YEAR(D162)+17)&lt;YEAR(E162),0,IF((YEAR(D162)+17)&gt;YEAR(E162),1,(12-MONTH(E162)+1)/12))))-(IF(OR(N162="",N162&lt;=0),0,(O162/N162)*(IF(OR(N162="",N162&lt;=0),0,IF((YEAR(D162)+17)&lt;YEAR(E162),0,IF((YEAR(D162)+17)&gt;=YEAR(E162)+N162,0,IF((YEAR(D162)+17)=YEAR(E162),(12-MONTH(E162)+1)/12,1))))))))&gt;0,(((K162)*(IF(M162="",L162,IFERROR(IF(INDEX(Variablen!$I:$AT, MATCH(M162, Variablen!$A:$A, 0), MATCH((YEAR(D162)+17), Variablen!$I$3:$AT$3, 0))="",L162,INDEX(Variablen!$I:$AT, MATCH(M162, Variablen!$A:$A, 0), MATCH((YEAR(D162)+17), Variablen!$I$3:$AT$3, 0))),L162)))*(IF((YEAR(D162)+17)&lt;YEAR(E162),0,IF((YEAR(D162)+17)&gt;YEAR(E162),1,(12-MONTH(E162)+1)/12))) + (Q162)*(IF((YEAR(D162)+17)&lt;YEAR(E162),0,IF((YEAR(D162)+17)&gt;YEAR(E162),1,(12-MONTH(E162)+1)/12))))-((P162)*(IF((YEAR(D162)+17)&lt;YEAR(E162),0,IF((YEAR(D162)+17)&gt;YEAR(E162),1,(12-MONTH(E162)+1)/12))) + (R162)*(IF((YEAR(D162)+17)&lt;YEAR(E162),0,IF((YEAR(D162)+17)&gt;YEAR(E162),1,(12-MONTH(E162)+1)/12))))-(IF(OR(N162="",N162&lt;=0),0,(O162/N162)*(IF(OR(N162="",N162&lt;=0),0,IF((YEAR(D162)+17)&lt;YEAR(E162),0,IF((YEAR(D162)+17)&gt;=YEAR(E162)+N162,0,IF((YEAR(D162)+17)=YEAR(E162),(12-MONTH(E162)+1)/12,1))))))))*TaxRate,0))-IF(17=0,O162,0))</f>
        <v/>
      </c>
      <c r="AK162" s="29">
        <f>IF(A162="","",((K162)*(IF(M162="",L162,IFERROR(IF(INDEX(Variablen!$I:$AT, MATCH(M162, Variablen!$A:$A, 0), MATCH((YEAR(D162)+18), Variablen!$I$3:$AT$3, 0))="",L162,INDEX(Variablen!$I:$AT, MATCH(M162, Variablen!$A:$A, 0), MATCH((YEAR(D162)+18), Variablen!$I$3:$AT$3, 0))),L162)))*(IF((YEAR(D162)+18)&lt;YEAR(E162),0,IF((YEAR(D162)+18)&gt;YEAR(E162),1,(12-MONTH(E162)+1)/12))) + (Q162)*(IF((YEAR(D162)+18)&lt;YEAR(E162),0,IF((YEAR(D162)+18)&gt;YEAR(E162),1,(12-MONTH(E162)+1)/12))))-((P162)*(IF((YEAR(D162)+18)&lt;YEAR(E162),0,IF((YEAR(D162)+18)&gt;YEAR(E162),1,(12-MONTH(E162)+1)/12))) + (R162)*(IF((YEAR(D162)+18)&lt;YEAR(E162),0,IF((YEAR(D162)+18)&gt;YEAR(E162),1,(12-MONTH(E162)+1)/12))))-(IF((((K162)*(IF(M162="",L162,IFERROR(IF(INDEX(Variablen!$I:$AT, MATCH(M162, Variablen!$A:$A, 0), MATCH((YEAR(D162)+18), Variablen!$I$3:$AT$3, 0))="",L162,INDEX(Variablen!$I:$AT, MATCH(M162, Variablen!$A:$A, 0), MATCH((YEAR(D162)+18), Variablen!$I$3:$AT$3, 0))),L162)))*(IF((YEAR(D162)+18)&lt;YEAR(E162),0,IF((YEAR(D162)+18)&gt;YEAR(E162),1,(12-MONTH(E162)+1)/12))) + (Q162)*(IF((YEAR(D162)+18)&lt;YEAR(E162),0,IF((YEAR(D162)+18)&gt;YEAR(E162),1,(12-MONTH(E162)+1)/12))))-((P162)*(IF((YEAR(D162)+18)&lt;YEAR(E162),0,IF((YEAR(D162)+18)&gt;YEAR(E162),1,(12-MONTH(E162)+1)/12))) + (R162)*(IF((YEAR(D162)+18)&lt;YEAR(E162),0,IF((YEAR(D162)+18)&gt;YEAR(E162),1,(12-MONTH(E162)+1)/12))))-(IF(OR(N162="",N162&lt;=0),0,(O162/N162)*(IF(OR(N162="",N162&lt;=0),0,IF((YEAR(D162)+18)&lt;YEAR(E162),0,IF((YEAR(D162)+18)&gt;=YEAR(E162)+N162,0,IF((YEAR(D162)+18)=YEAR(E162),(12-MONTH(E162)+1)/12,1))))))))&gt;0,(((K162)*(IF(M162="",L162,IFERROR(IF(INDEX(Variablen!$I:$AT, MATCH(M162, Variablen!$A:$A, 0), MATCH((YEAR(D162)+18), Variablen!$I$3:$AT$3, 0))="",L162,INDEX(Variablen!$I:$AT, MATCH(M162, Variablen!$A:$A, 0), MATCH((YEAR(D162)+18), Variablen!$I$3:$AT$3, 0))),L162)))*(IF((YEAR(D162)+18)&lt;YEAR(E162),0,IF((YEAR(D162)+18)&gt;YEAR(E162),1,(12-MONTH(E162)+1)/12))) + (Q162)*(IF((YEAR(D162)+18)&lt;YEAR(E162),0,IF((YEAR(D162)+18)&gt;YEAR(E162),1,(12-MONTH(E162)+1)/12))))-((P162)*(IF((YEAR(D162)+18)&lt;YEAR(E162),0,IF((YEAR(D162)+18)&gt;YEAR(E162),1,(12-MONTH(E162)+1)/12))) + (R162)*(IF((YEAR(D162)+18)&lt;YEAR(E162),0,IF((YEAR(D162)+18)&gt;YEAR(E162),1,(12-MONTH(E162)+1)/12))))-(IF(OR(N162="",N162&lt;=0),0,(O162/N162)*(IF(OR(N162="",N162&lt;=0),0,IF((YEAR(D162)+18)&lt;YEAR(E162),0,IF((YEAR(D162)+18)&gt;=YEAR(E162)+N162,0,IF((YEAR(D162)+18)=YEAR(E162),(12-MONTH(E162)+1)/12,1))))))))*TaxRate,0))-IF(18=0,O162,0))</f>
        <v/>
      </c>
      <c r="AL162" s="29">
        <f>IF(A162="","",((K162)*(IF(M162="",L162,IFERROR(IF(INDEX(Variablen!$I:$AT, MATCH(M162, Variablen!$A:$A, 0), MATCH((YEAR(D162)+19), Variablen!$I$3:$AT$3, 0))="",L162,INDEX(Variablen!$I:$AT, MATCH(M162, Variablen!$A:$A, 0), MATCH((YEAR(D162)+19), Variablen!$I$3:$AT$3, 0))),L162)))*(IF((YEAR(D162)+19)&lt;YEAR(E162),0,IF((YEAR(D162)+19)&gt;YEAR(E162),1,(12-MONTH(E162)+1)/12))) + (Q162)*(IF((YEAR(D162)+19)&lt;YEAR(E162),0,IF((YEAR(D162)+19)&gt;YEAR(E162),1,(12-MONTH(E162)+1)/12))))-((P162)*(IF((YEAR(D162)+19)&lt;YEAR(E162),0,IF((YEAR(D162)+19)&gt;YEAR(E162),1,(12-MONTH(E162)+1)/12))) + (R162)*(IF((YEAR(D162)+19)&lt;YEAR(E162),0,IF((YEAR(D162)+19)&gt;YEAR(E162),1,(12-MONTH(E162)+1)/12))))-(IF((((K162)*(IF(M162="",L162,IFERROR(IF(INDEX(Variablen!$I:$AT, MATCH(M162, Variablen!$A:$A, 0), MATCH((YEAR(D162)+19), Variablen!$I$3:$AT$3, 0))="",L162,INDEX(Variablen!$I:$AT, MATCH(M162, Variablen!$A:$A, 0), MATCH((YEAR(D162)+19), Variablen!$I$3:$AT$3, 0))),L162)))*(IF((YEAR(D162)+19)&lt;YEAR(E162),0,IF((YEAR(D162)+19)&gt;YEAR(E162),1,(12-MONTH(E162)+1)/12))) + (Q162)*(IF((YEAR(D162)+19)&lt;YEAR(E162),0,IF((YEAR(D162)+19)&gt;YEAR(E162),1,(12-MONTH(E162)+1)/12))))-((P162)*(IF((YEAR(D162)+19)&lt;YEAR(E162),0,IF((YEAR(D162)+19)&gt;YEAR(E162),1,(12-MONTH(E162)+1)/12))) + (R162)*(IF((YEAR(D162)+19)&lt;YEAR(E162),0,IF((YEAR(D162)+19)&gt;YEAR(E162),1,(12-MONTH(E162)+1)/12))))-(IF(OR(N162="",N162&lt;=0),0,(O162/N162)*(IF(OR(N162="",N162&lt;=0),0,IF((YEAR(D162)+19)&lt;YEAR(E162),0,IF((YEAR(D162)+19)&gt;=YEAR(E162)+N162,0,IF((YEAR(D162)+19)=YEAR(E162),(12-MONTH(E162)+1)/12,1))))))))&gt;0,(((K162)*(IF(M162="",L162,IFERROR(IF(INDEX(Variablen!$I:$AT, MATCH(M162, Variablen!$A:$A, 0), MATCH((YEAR(D162)+19), Variablen!$I$3:$AT$3, 0))="",L162,INDEX(Variablen!$I:$AT, MATCH(M162, Variablen!$A:$A, 0), MATCH((YEAR(D162)+19), Variablen!$I$3:$AT$3, 0))),L162)))*(IF((YEAR(D162)+19)&lt;YEAR(E162),0,IF((YEAR(D162)+19)&gt;YEAR(E162),1,(12-MONTH(E162)+1)/12))) + (Q162)*(IF((YEAR(D162)+19)&lt;YEAR(E162),0,IF((YEAR(D162)+19)&gt;YEAR(E162),1,(12-MONTH(E162)+1)/12))))-((P162)*(IF((YEAR(D162)+19)&lt;YEAR(E162),0,IF((YEAR(D162)+19)&gt;YEAR(E162),1,(12-MONTH(E162)+1)/12))) + (R162)*(IF((YEAR(D162)+19)&lt;YEAR(E162),0,IF((YEAR(D162)+19)&gt;YEAR(E162),1,(12-MONTH(E162)+1)/12))))-(IF(OR(N162="",N162&lt;=0),0,(O162/N162)*(IF(OR(N162="",N162&lt;=0),0,IF((YEAR(D162)+19)&lt;YEAR(E162),0,IF((YEAR(D162)+19)&gt;=YEAR(E162)+N162,0,IF((YEAR(D162)+19)=YEAR(E162),(12-MONTH(E162)+1)/12,1))))))))*TaxRate,0))-IF(19=0,O162,0))</f>
        <v/>
      </c>
      <c r="AM162" s="29">
        <f>IF(A162="","",((K162)*(IF(M162="",L162,IFERROR(IF(INDEX(Variablen!$I:$AT, MATCH(M162, Variablen!$A:$A, 0), MATCH((YEAR(D162)+20), Variablen!$I$3:$AT$3, 0))="",L162,INDEX(Variablen!$I:$AT, MATCH(M162, Variablen!$A:$A, 0), MATCH((YEAR(D162)+20), Variablen!$I$3:$AT$3, 0))),L162)))*(IF((YEAR(D162)+20)&lt;YEAR(E162),0,IF((YEAR(D162)+20)&gt;YEAR(E162),1,(12-MONTH(E162)+1)/12))) + (Q162)*(IF((YEAR(D162)+20)&lt;YEAR(E162),0,IF((YEAR(D162)+20)&gt;YEAR(E162),1,(12-MONTH(E162)+1)/12))))-((P162)*(IF((YEAR(D162)+20)&lt;YEAR(E162),0,IF((YEAR(D162)+20)&gt;YEAR(E162),1,(12-MONTH(E162)+1)/12))) + (R162)*(IF((YEAR(D162)+20)&lt;YEAR(E162),0,IF((YEAR(D162)+20)&gt;YEAR(E162),1,(12-MONTH(E162)+1)/12))))-(IF((((K162)*(IF(M162="",L162,IFERROR(IF(INDEX(Variablen!$I:$AT, MATCH(M162, Variablen!$A:$A, 0), MATCH((YEAR(D162)+20), Variablen!$I$3:$AT$3, 0))="",L162,INDEX(Variablen!$I:$AT, MATCH(M162, Variablen!$A:$A, 0), MATCH((YEAR(D162)+20), Variablen!$I$3:$AT$3, 0))),L162)))*(IF((YEAR(D162)+20)&lt;YEAR(E162),0,IF((YEAR(D162)+20)&gt;YEAR(E162),1,(12-MONTH(E162)+1)/12))) + (Q162)*(IF((YEAR(D162)+20)&lt;YEAR(E162),0,IF((YEAR(D162)+20)&gt;YEAR(E162),1,(12-MONTH(E162)+1)/12))))-((P162)*(IF((YEAR(D162)+20)&lt;YEAR(E162),0,IF((YEAR(D162)+20)&gt;YEAR(E162),1,(12-MONTH(E162)+1)/12))) + (R162)*(IF((YEAR(D162)+20)&lt;YEAR(E162),0,IF((YEAR(D162)+20)&gt;YEAR(E162),1,(12-MONTH(E162)+1)/12))))-(IF(OR(N162="",N162&lt;=0),0,(O162/N162)*(IF(OR(N162="",N162&lt;=0),0,IF((YEAR(D162)+20)&lt;YEAR(E162),0,IF((YEAR(D162)+20)&gt;=YEAR(E162)+N162,0,IF((YEAR(D162)+20)=YEAR(E162),(12-MONTH(E162)+1)/12,1))))))))&gt;0,(((K162)*(IF(M162="",L162,IFERROR(IF(INDEX(Variablen!$I:$AT, MATCH(M162, Variablen!$A:$A, 0), MATCH((YEAR(D162)+20), Variablen!$I$3:$AT$3, 0))="",L162,INDEX(Variablen!$I:$AT, MATCH(M162, Variablen!$A:$A, 0), MATCH((YEAR(D162)+20), Variablen!$I$3:$AT$3, 0))),L162)))*(IF((YEAR(D162)+20)&lt;YEAR(E162),0,IF((YEAR(D162)+20)&gt;YEAR(E162),1,(12-MONTH(E162)+1)/12))) + (Q162)*(IF((YEAR(D162)+20)&lt;YEAR(E162),0,IF((YEAR(D162)+20)&gt;YEAR(E162),1,(12-MONTH(E162)+1)/12))))-((P162)*(IF((YEAR(D162)+20)&lt;YEAR(E162),0,IF((YEAR(D162)+20)&gt;YEAR(E162),1,(12-MONTH(E162)+1)/12))) + (R162)*(IF((YEAR(D162)+20)&lt;YEAR(E162),0,IF((YEAR(D162)+20)&gt;YEAR(E162),1,(12-MONTH(E162)+1)/12))))-(IF(OR(N162="",N162&lt;=0),0,(O162/N162)*(IF(OR(N162="",N162&lt;=0),0,IF((YEAR(D162)+20)&lt;YEAR(E162),0,IF((YEAR(D162)+20)&gt;=YEAR(E162)+N162,0,IF((YEAR(D162)+20)=YEAR(E162),(12-MONTH(E162)+1)/12,1))))))))*TaxRate,0))-IF(20=0,O162,0))</f>
        <v/>
      </c>
      <c r="AN162" s="29">
        <f>IF(A162="","",S162)</f>
        <v/>
      </c>
      <c r="AO162" s="29">
        <f>IF(A162="","",AN162+T162)</f>
        <v/>
      </c>
      <c r="AP162" s="29">
        <f>IF(A162="","",AO162+U162)</f>
        <v/>
      </c>
      <c r="AQ162" s="29">
        <f>IF(A162="","",AP162+V162)</f>
        <v/>
      </c>
      <c r="AR162" s="29">
        <f>IF(A162="","",AQ162+W162)</f>
        <v/>
      </c>
      <c r="AS162" s="29">
        <f>IF(A162="","",AR162+X162)</f>
        <v/>
      </c>
      <c r="AT162" s="29">
        <f>IF(A162="","",AS162+Y162)</f>
        <v/>
      </c>
      <c r="AU162" s="29">
        <f>IF(A162="","",AT162+Z162)</f>
        <v/>
      </c>
      <c r="AV162" s="29">
        <f>IF(A162="","",AU162+AA162)</f>
        <v/>
      </c>
      <c r="AW162" s="29">
        <f>IF(A162="","",AV162+AB162)</f>
        <v/>
      </c>
      <c r="AX162" s="29">
        <f>IF(A162="","",AW162+AC162)</f>
        <v/>
      </c>
      <c r="AY162" s="29">
        <f>IF(A162="","",AX162+AD162)</f>
        <v/>
      </c>
      <c r="AZ162" s="29">
        <f>IF(A162="","",AY162+AE162)</f>
        <v/>
      </c>
      <c r="BA162" s="29">
        <f>IF(A162="","",AZ162+AF162)</f>
        <v/>
      </c>
      <c r="BB162" s="29">
        <f>IF(A162="","",BA162+AG162)</f>
        <v/>
      </c>
      <c r="BC162" s="29">
        <f>IF(A162="","",BB162+AH162)</f>
        <v/>
      </c>
      <c r="BD162" s="29">
        <f>IF(A162="","",BC162+AI162)</f>
        <v/>
      </c>
      <c r="BE162" s="29">
        <f>IF(A162="","",BD162+AJ162)</f>
        <v/>
      </c>
      <c r="BF162" s="29">
        <f>IF(A162="","",BE162+AK162)</f>
        <v/>
      </c>
      <c r="BG162" s="29">
        <f>IF(A162="","",BF162+AL162)</f>
        <v/>
      </c>
      <c r="BH162" s="29">
        <f>IF(A162="","",BG162+AM162)</f>
        <v/>
      </c>
      <c r="BI162" s="36">
        <f>IF(A162="","",(K162)*(IF((YEAR(D162)+0)&lt;YEAR(E162),0,IF((YEAR(D162)+0)&gt;YEAR(E162),1,(12-MONTH(E162)+1)/12)))*(1/(1+DiscountRate)^0))</f>
        <v/>
      </c>
      <c r="BJ162" s="36">
        <f>IF(A162="","",(K162)*(IF((YEAR(D162)+1)&lt;YEAR(E162),0,IF((YEAR(D162)+1)&gt;YEAR(E162),1,(12-MONTH(E162)+1)/12)))*(1/(1+DiscountRate)^1))</f>
        <v/>
      </c>
      <c r="BK162" s="36">
        <f>IF(A162="","",(K162)*(IF((YEAR(D162)+2)&lt;YEAR(E162),0,IF((YEAR(D162)+2)&gt;YEAR(E162),1,(12-MONTH(E162)+1)/12)))*(1/(1+DiscountRate)^2))</f>
        <v/>
      </c>
      <c r="BL162" s="36">
        <f>IF(A162="","",(K162)*(IF((YEAR(D162)+3)&lt;YEAR(E162),0,IF((YEAR(D162)+3)&gt;YEAR(E162),1,(12-MONTH(E162)+1)/12)))*(1/(1+DiscountRate)^3))</f>
        <v/>
      </c>
      <c r="BM162" s="36">
        <f>IF(A162="","",(K162)*(IF((YEAR(D162)+4)&lt;YEAR(E162),0,IF((YEAR(D162)+4)&gt;YEAR(E162),1,(12-MONTH(E162)+1)/12)))*(1/(1+DiscountRate)^4))</f>
        <v/>
      </c>
      <c r="BN162" s="36">
        <f>IF(A162="","",(K162)*(IF((YEAR(D162)+5)&lt;YEAR(E162),0,IF((YEAR(D162)+5)&gt;YEAR(E162),1,(12-MONTH(E162)+1)/12)))*(1/(1+DiscountRate)^5))</f>
        <v/>
      </c>
      <c r="BO162" s="36">
        <f>IF(A162="","",(K162)*(IF((YEAR(D162)+6)&lt;YEAR(E162),0,IF((YEAR(D162)+6)&gt;YEAR(E162),1,(12-MONTH(E162)+1)/12)))*(1/(1+DiscountRate)^6))</f>
        <v/>
      </c>
      <c r="BP162" s="36">
        <f>IF(A162="","",(K162)*(IF((YEAR(D162)+7)&lt;YEAR(E162),0,IF((YEAR(D162)+7)&gt;YEAR(E162),1,(12-MONTH(E162)+1)/12)))*(1/(1+DiscountRate)^7))</f>
        <v/>
      </c>
      <c r="BQ162" s="36">
        <f>IF(A162="","",(K162)*(IF((YEAR(D162)+8)&lt;YEAR(E162),0,IF((YEAR(D162)+8)&gt;YEAR(E162),1,(12-MONTH(E162)+1)/12)))*(1/(1+DiscountRate)^8))</f>
        <v/>
      </c>
      <c r="BR162" s="36">
        <f>IF(A162="","",(K162)*(IF((YEAR(D162)+9)&lt;YEAR(E162),0,IF((YEAR(D162)+9)&gt;YEAR(E162),1,(12-MONTH(E162)+1)/12)))*(1/(1+DiscountRate)^9))</f>
        <v/>
      </c>
      <c r="BS162" s="36">
        <f>IF(A162="","",(K162)*(IF((YEAR(D162)+10)&lt;YEAR(E162),0,IF((YEAR(D162)+10)&gt;YEAR(E162),1,(12-MONTH(E162)+1)/12)))*(1/(1+DiscountRate)^10))</f>
        <v/>
      </c>
      <c r="BT162" s="36">
        <f>IF(A162="","",(K162)*(IF((YEAR(D162)+11)&lt;YEAR(E162),0,IF((YEAR(D162)+11)&gt;YEAR(E162),1,(12-MONTH(E162)+1)/12)))*(1/(1+DiscountRate)^11))</f>
        <v/>
      </c>
      <c r="BU162" s="36">
        <f>IF(A162="","",(K162)*(IF((YEAR(D162)+12)&lt;YEAR(E162),0,IF((YEAR(D162)+12)&gt;YEAR(E162),1,(12-MONTH(E162)+1)/12)))*(1/(1+DiscountRate)^12))</f>
        <v/>
      </c>
      <c r="BV162" s="36">
        <f>IF(A162="","",(K162)*(IF((YEAR(D162)+13)&lt;YEAR(E162),0,IF((YEAR(D162)+13)&gt;YEAR(E162),1,(12-MONTH(E162)+1)/12)))*(1/(1+DiscountRate)^13))</f>
        <v/>
      </c>
      <c r="BW162" s="36">
        <f>IF(A162="","",(K162)*(IF((YEAR(D162)+14)&lt;YEAR(E162),0,IF((YEAR(D162)+14)&gt;YEAR(E162),1,(12-MONTH(E162)+1)/12)))*(1/(1+DiscountRate)^14))</f>
        <v/>
      </c>
      <c r="BX162" s="36">
        <f>IF(A162="","",(K162)*(IF((YEAR(D162)+15)&lt;YEAR(E162),0,IF((YEAR(D162)+15)&gt;YEAR(E162),1,(12-MONTH(E162)+1)/12)))*(1/(1+DiscountRate)^15))</f>
        <v/>
      </c>
      <c r="BY162" s="36">
        <f>IF(A162="","",(K162)*(IF((YEAR(D162)+16)&lt;YEAR(E162),0,IF((YEAR(D162)+16)&gt;YEAR(E162),1,(12-MONTH(E162)+1)/12)))*(1/(1+DiscountRate)^16))</f>
        <v/>
      </c>
      <c r="BZ162" s="36">
        <f>IF(A162="","",(K162)*(IF((YEAR(D162)+17)&lt;YEAR(E162),0,IF((YEAR(D162)+17)&gt;YEAR(E162),1,(12-MONTH(E162)+1)/12)))*(1/(1+DiscountRate)^17))</f>
        <v/>
      </c>
      <c r="CA162" s="36">
        <f>IF(A162="","",(K162)*(IF((YEAR(D162)+18)&lt;YEAR(E162),0,IF((YEAR(D162)+18)&gt;YEAR(E162),1,(12-MONTH(E162)+1)/12)))*(1/(1+DiscountRate)^18))</f>
        <v/>
      </c>
      <c r="CB162" s="36">
        <f>IF(A162="","",(K162)*(IF((YEAR(D162)+19)&lt;YEAR(E162),0,IF((YEAR(D162)+19)&gt;YEAR(E162),1,(12-MONTH(E162)+1)/12)))*(1/(1+DiscountRate)^19))</f>
        <v/>
      </c>
      <c r="CC162" s="36">
        <f>IF(A162="","",(K162)*(IF((YEAR(D162)+20)&lt;YEAR(E162),0,IF((YEAR(D162)+20)&gt;YEAR(E162),1,(12-MONTH(E162)+1)/12)))*(1/(1+DiscountRate)^20))</f>
        <v/>
      </c>
      <c r="CD162" s="29">
        <f>IF(A162="","",S162/(1+DiscountRate)^0+T162/(1+DiscountRate)^1+U162/(1+DiscountRate)^2+V162/(1+DiscountRate)^3+W162/(1+DiscountRate)^4+X162/(1+DiscountRate)^5+Y162/(1+DiscountRate)^6+Z162/(1+DiscountRate)^7+AA162/(1+DiscountRate)^8+AB162/(1+DiscountRate)^9+AC162/(1+DiscountRate)^10+AD162/(1+DiscountRate)^11+AE162/(1+DiscountRate)^12+AF162/(1+DiscountRate)^13+AG162/(1+DiscountRate)^14+AH162/(1+DiscountRate)^15+AI162/(1+DiscountRate)^16+AJ162/(1+DiscountRate)^17+AK162/(1+DiscountRate)^18+AL162/(1+DiscountRate)^19+AM162/(1+DiscountRate)^20)</f>
        <v/>
      </c>
      <c r="CE162" s="37">
        <f>IF(A162="","",IFERROR(IRR(OFFSET(S162,0,0,1,MIN(HorizonYears,20)+1)),"n/a"))</f>
        <v/>
      </c>
      <c r="CF162" s="28">
        <f>IF(A162="","",IFERROR(MATCH(TRUE,OFFSET(AN162,0,0,1,MIN(HorizonYears,20)+1)&gt;=0,0)-1,"n/a"))</f>
        <v/>
      </c>
      <c r="CG162" s="36">
        <f>IF(A162="","",SUM(OFFSET(BI162,0,0,1,MIN(HorizonYears,20)+1)))</f>
        <v/>
      </c>
      <c r="CH162" s="36">
        <f>IF(A162="","",IFERROR(-CD162/CG162,"n/a"))</f>
        <v/>
      </c>
    </row>
    <row r="163">
      <c r="A163" s="6">
        <f>Actions!A161</f>
        <v/>
      </c>
      <c r="B163" s="6">
        <f>Actions!B161</f>
        <v/>
      </c>
      <c r="C163" s="6">
        <f>Actions!D161</f>
        <v/>
      </c>
      <c r="D163" s="35">
        <f>Actions!E161</f>
        <v/>
      </c>
      <c r="E163" s="35">
        <f>Actions!F161</f>
        <v/>
      </c>
      <c r="F163" s="6">
        <f>Actions!G161</f>
        <v/>
      </c>
      <c r="G163" s="6">
        <f>Actions!H161</f>
        <v/>
      </c>
      <c r="H163" s="29">
        <f>Actions!I161</f>
        <v/>
      </c>
      <c r="I163" s="6">
        <f>Actions!J161</f>
        <v/>
      </c>
      <c r="J163" s="16">
        <f>Actions!K161</f>
        <v/>
      </c>
      <c r="K163" s="16">
        <f>IF(A163="","",IF(I163="%",H163*J163,J163))</f>
        <v/>
      </c>
      <c r="L163" s="16">
        <f>Actions!L161</f>
        <v/>
      </c>
      <c r="M163" s="6">
        <f>Actions!M161</f>
        <v/>
      </c>
      <c r="N163" s="28">
        <f>Actions!N161</f>
        <v/>
      </c>
      <c r="O163" s="29">
        <f>Actions!T161</f>
        <v/>
      </c>
      <c r="P163" s="29">
        <f>Actions!Y161</f>
        <v/>
      </c>
      <c r="Q163" s="29">
        <f>Actions!Z161</f>
        <v/>
      </c>
      <c r="R163" s="29">
        <f>Actions!AA161</f>
        <v/>
      </c>
      <c r="S163" s="29">
        <f>IF(A163="","",((K163)*(IF(M163="",L163,IFERROR(IF(INDEX(Variablen!$I:$AT, MATCH(M163, Variablen!$A:$A, 0), MATCH((YEAR(D163)+0), Variablen!$I$3:$AT$3, 0))="",L163,INDEX(Variablen!$I:$AT, MATCH(M163, Variablen!$A:$A, 0), MATCH((YEAR(D163)+0), Variablen!$I$3:$AT$3, 0))),L163)))*(IF((YEAR(D163)+0)&lt;YEAR(E163),0,IF((YEAR(D163)+0)&gt;YEAR(E163),1,(12-MONTH(E163)+1)/12))) + (Q163)*(IF((YEAR(D163)+0)&lt;YEAR(E163),0,IF((YEAR(D163)+0)&gt;YEAR(E163),1,(12-MONTH(E163)+1)/12))))-((P163)*(IF((YEAR(D163)+0)&lt;YEAR(E163),0,IF((YEAR(D163)+0)&gt;YEAR(E163),1,(12-MONTH(E163)+1)/12))) + (R163)*(IF((YEAR(D163)+0)&lt;YEAR(E163),0,IF((YEAR(D163)+0)&gt;YEAR(E163),1,(12-MONTH(E163)+1)/12))))-(IF((((K163)*(IF(M163="",L163,IFERROR(IF(INDEX(Variablen!$I:$AT, MATCH(M163, Variablen!$A:$A, 0), MATCH((YEAR(D163)+0), Variablen!$I$3:$AT$3, 0))="",L163,INDEX(Variablen!$I:$AT, MATCH(M163, Variablen!$A:$A, 0), MATCH((YEAR(D163)+0), Variablen!$I$3:$AT$3, 0))),L163)))*(IF((YEAR(D163)+0)&lt;YEAR(E163),0,IF((YEAR(D163)+0)&gt;YEAR(E163),1,(12-MONTH(E163)+1)/12))) + (Q163)*(IF((YEAR(D163)+0)&lt;YEAR(E163),0,IF((YEAR(D163)+0)&gt;YEAR(E163),1,(12-MONTH(E163)+1)/12))))-((P163)*(IF((YEAR(D163)+0)&lt;YEAR(E163),0,IF((YEAR(D163)+0)&gt;YEAR(E163),1,(12-MONTH(E163)+1)/12))) + (R163)*(IF((YEAR(D163)+0)&lt;YEAR(E163),0,IF((YEAR(D163)+0)&gt;YEAR(E163),1,(12-MONTH(E163)+1)/12))))-(IF(OR(N163="",N163&lt;=0),0,(O163/N163)*(IF(OR(N163="",N163&lt;=0),0,IF((YEAR(D163)+0)&lt;YEAR(E163),0,IF((YEAR(D163)+0)&gt;=YEAR(E163)+N163,0,IF((YEAR(D163)+0)=YEAR(E163),(12-MONTH(E163)+1)/12,1))))))))&gt;0,(((K163)*(IF(M163="",L163,IFERROR(IF(INDEX(Variablen!$I:$AT, MATCH(M163, Variablen!$A:$A, 0), MATCH((YEAR(D163)+0), Variablen!$I$3:$AT$3, 0))="",L163,INDEX(Variablen!$I:$AT, MATCH(M163, Variablen!$A:$A, 0), MATCH((YEAR(D163)+0), Variablen!$I$3:$AT$3, 0))),L163)))*(IF((YEAR(D163)+0)&lt;YEAR(E163),0,IF((YEAR(D163)+0)&gt;YEAR(E163),1,(12-MONTH(E163)+1)/12))) + (Q163)*(IF((YEAR(D163)+0)&lt;YEAR(E163),0,IF((YEAR(D163)+0)&gt;YEAR(E163),1,(12-MONTH(E163)+1)/12))))-((P163)*(IF((YEAR(D163)+0)&lt;YEAR(E163),0,IF((YEAR(D163)+0)&gt;YEAR(E163),1,(12-MONTH(E163)+1)/12))) + (R163)*(IF((YEAR(D163)+0)&lt;YEAR(E163),0,IF((YEAR(D163)+0)&gt;YEAR(E163),1,(12-MONTH(E163)+1)/12))))-(IF(OR(N163="",N163&lt;=0),0,(O163/N163)*(IF(OR(N163="",N163&lt;=0),0,IF((YEAR(D163)+0)&lt;YEAR(E163),0,IF((YEAR(D163)+0)&gt;=YEAR(E163)+N163,0,IF((YEAR(D163)+0)=YEAR(E163),(12-MONTH(E163)+1)/12,1))))))))*TaxRate,0))-IF(0=0,O163,0))</f>
        <v/>
      </c>
      <c r="T163" s="29">
        <f>IF(A163="","",((K163)*(IF(M163="",L163,IFERROR(IF(INDEX(Variablen!$I:$AT, MATCH(M163, Variablen!$A:$A, 0), MATCH((YEAR(D163)+1), Variablen!$I$3:$AT$3, 0))="",L163,INDEX(Variablen!$I:$AT, MATCH(M163, Variablen!$A:$A, 0), MATCH((YEAR(D163)+1), Variablen!$I$3:$AT$3, 0))),L163)))*(IF((YEAR(D163)+1)&lt;YEAR(E163),0,IF((YEAR(D163)+1)&gt;YEAR(E163),1,(12-MONTH(E163)+1)/12))) + (Q163)*(IF((YEAR(D163)+1)&lt;YEAR(E163),0,IF((YEAR(D163)+1)&gt;YEAR(E163),1,(12-MONTH(E163)+1)/12))))-((P163)*(IF((YEAR(D163)+1)&lt;YEAR(E163),0,IF((YEAR(D163)+1)&gt;YEAR(E163),1,(12-MONTH(E163)+1)/12))) + (R163)*(IF((YEAR(D163)+1)&lt;YEAR(E163),0,IF((YEAR(D163)+1)&gt;YEAR(E163),1,(12-MONTH(E163)+1)/12))))-(IF((((K163)*(IF(M163="",L163,IFERROR(IF(INDEX(Variablen!$I:$AT, MATCH(M163, Variablen!$A:$A, 0), MATCH((YEAR(D163)+1), Variablen!$I$3:$AT$3, 0))="",L163,INDEX(Variablen!$I:$AT, MATCH(M163, Variablen!$A:$A, 0), MATCH((YEAR(D163)+1), Variablen!$I$3:$AT$3, 0))),L163)))*(IF((YEAR(D163)+1)&lt;YEAR(E163),0,IF((YEAR(D163)+1)&gt;YEAR(E163),1,(12-MONTH(E163)+1)/12))) + (Q163)*(IF((YEAR(D163)+1)&lt;YEAR(E163),0,IF((YEAR(D163)+1)&gt;YEAR(E163),1,(12-MONTH(E163)+1)/12))))-((P163)*(IF((YEAR(D163)+1)&lt;YEAR(E163),0,IF((YEAR(D163)+1)&gt;YEAR(E163),1,(12-MONTH(E163)+1)/12))) + (R163)*(IF((YEAR(D163)+1)&lt;YEAR(E163),0,IF((YEAR(D163)+1)&gt;YEAR(E163),1,(12-MONTH(E163)+1)/12))))-(IF(OR(N163="",N163&lt;=0),0,(O163/N163)*(IF(OR(N163="",N163&lt;=0),0,IF((YEAR(D163)+1)&lt;YEAR(E163),0,IF((YEAR(D163)+1)&gt;=YEAR(E163)+N163,0,IF((YEAR(D163)+1)=YEAR(E163),(12-MONTH(E163)+1)/12,1))))))))&gt;0,(((K163)*(IF(M163="",L163,IFERROR(IF(INDEX(Variablen!$I:$AT, MATCH(M163, Variablen!$A:$A, 0), MATCH((YEAR(D163)+1), Variablen!$I$3:$AT$3, 0))="",L163,INDEX(Variablen!$I:$AT, MATCH(M163, Variablen!$A:$A, 0), MATCH((YEAR(D163)+1), Variablen!$I$3:$AT$3, 0))),L163)))*(IF((YEAR(D163)+1)&lt;YEAR(E163),0,IF((YEAR(D163)+1)&gt;YEAR(E163),1,(12-MONTH(E163)+1)/12))) + (Q163)*(IF((YEAR(D163)+1)&lt;YEAR(E163),0,IF((YEAR(D163)+1)&gt;YEAR(E163),1,(12-MONTH(E163)+1)/12))))-((P163)*(IF((YEAR(D163)+1)&lt;YEAR(E163),0,IF((YEAR(D163)+1)&gt;YEAR(E163),1,(12-MONTH(E163)+1)/12))) + (R163)*(IF((YEAR(D163)+1)&lt;YEAR(E163),0,IF((YEAR(D163)+1)&gt;YEAR(E163),1,(12-MONTH(E163)+1)/12))))-(IF(OR(N163="",N163&lt;=0),0,(O163/N163)*(IF(OR(N163="",N163&lt;=0),0,IF((YEAR(D163)+1)&lt;YEAR(E163),0,IF((YEAR(D163)+1)&gt;=YEAR(E163)+N163,0,IF((YEAR(D163)+1)=YEAR(E163),(12-MONTH(E163)+1)/12,1))))))))*TaxRate,0))-IF(1=0,O163,0))</f>
        <v/>
      </c>
      <c r="U163" s="29">
        <f>IF(A163="","",((K163)*(IF(M163="",L163,IFERROR(IF(INDEX(Variablen!$I:$AT, MATCH(M163, Variablen!$A:$A, 0), MATCH((YEAR(D163)+2), Variablen!$I$3:$AT$3, 0))="",L163,INDEX(Variablen!$I:$AT, MATCH(M163, Variablen!$A:$A, 0), MATCH((YEAR(D163)+2), Variablen!$I$3:$AT$3, 0))),L163)))*(IF((YEAR(D163)+2)&lt;YEAR(E163),0,IF((YEAR(D163)+2)&gt;YEAR(E163),1,(12-MONTH(E163)+1)/12))) + (Q163)*(IF((YEAR(D163)+2)&lt;YEAR(E163),0,IF((YEAR(D163)+2)&gt;YEAR(E163),1,(12-MONTH(E163)+1)/12))))-((P163)*(IF((YEAR(D163)+2)&lt;YEAR(E163),0,IF((YEAR(D163)+2)&gt;YEAR(E163),1,(12-MONTH(E163)+1)/12))) + (R163)*(IF((YEAR(D163)+2)&lt;YEAR(E163),0,IF((YEAR(D163)+2)&gt;YEAR(E163),1,(12-MONTH(E163)+1)/12))))-(IF((((K163)*(IF(M163="",L163,IFERROR(IF(INDEX(Variablen!$I:$AT, MATCH(M163, Variablen!$A:$A, 0), MATCH((YEAR(D163)+2), Variablen!$I$3:$AT$3, 0))="",L163,INDEX(Variablen!$I:$AT, MATCH(M163, Variablen!$A:$A, 0), MATCH((YEAR(D163)+2), Variablen!$I$3:$AT$3, 0))),L163)))*(IF((YEAR(D163)+2)&lt;YEAR(E163),0,IF((YEAR(D163)+2)&gt;YEAR(E163),1,(12-MONTH(E163)+1)/12))) + (Q163)*(IF((YEAR(D163)+2)&lt;YEAR(E163),0,IF((YEAR(D163)+2)&gt;YEAR(E163),1,(12-MONTH(E163)+1)/12))))-((P163)*(IF((YEAR(D163)+2)&lt;YEAR(E163),0,IF((YEAR(D163)+2)&gt;YEAR(E163),1,(12-MONTH(E163)+1)/12))) + (R163)*(IF((YEAR(D163)+2)&lt;YEAR(E163),0,IF((YEAR(D163)+2)&gt;YEAR(E163),1,(12-MONTH(E163)+1)/12))))-(IF(OR(N163="",N163&lt;=0),0,(O163/N163)*(IF(OR(N163="",N163&lt;=0),0,IF((YEAR(D163)+2)&lt;YEAR(E163),0,IF((YEAR(D163)+2)&gt;=YEAR(E163)+N163,0,IF((YEAR(D163)+2)=YEAR(E163),(12-MONTH(E163)+1)/12,1))))))))&gt;0,(((K163)*(IF(M163="",L163,IFERROR(IF(INDEX(Variablen!$I:$AT, MATCH(M163, Variablen!$A:$A, 0), MATCH((YEAR(D163)+2), Variablen!$I$3:$AT$3, 0))="",L163,INDEX(Variablen!$I:$AT, MATCH(M163, Variablen!$A:$A, 0), MATCH((YEAR(D163)+2), Variablen!$I$3:$AT$3, 0))),L163)))*(IF((YEAR(D163)+2)&lt;YEAR(E163),0,IF((YEAR(D163)+2)&gt;YEAR(E163),1,(12-MONTH(E163)+1)/12))) + (Q163)*(IF((YEAR(D163)+2)&lt;YEAR(E163),0,IF((YEAR(D163)+2)&gt;YEAR(E163),1,(12-MONTH(E163)+1)/12))))-((P163)*(IF((YEAR(D163)+2)&lt;YEAR(E163),0,IF((YEAR(D163)+2)&gt;YEAR(E163),1,(12-MONTH(E163)+1)/12))) + (R163)*(IF((YEAR(D163)+2)&lt;YEAR(E163),0,IF((YEAR(D163)+2)&gt;YEAR(E163),1,(12-MONTH(E163)+1)/12))))-(IF(OR(N163="",N163&lt;=0),0,(O163/N163)*(IF(OR(N163="",N163&lt;=0),0,IF((YEAR(D163)+2)&lt;YEAR(E163),0,IF((YEAR(D163)+2)&gt;=YEAR(E163)+N163,0,IF((YEAR(D163)+2)=YEAR(E163),(12-MONTH(E163)+1)/12,1))))))))*TaxRate,0))-IF(2=0,O163,0))</f>
        <v/>
      </c>
      <c r="V163" s="29">
        <f>IF(A163="","",((K163)*(IF(M163="",L163,IFERROR(IF(INDEX(Variablen!$I:$AT, MATCH(M163, Variablen!$A:$A, 0), MATCH((YEAR(D163)+3), Variablen!$I$3:$AT$3, 0))="",L163,INDEX(Variablen!$I:$AT, MATCH(M163, Variablen!$A:$A, 0), MATCH((YEAR(D163)+3), Variablen!$I$3:$AT$3, 0))),L163)))*(IF((YEAR(D163)+3)&lt;YEAR(E163),0,IF((YEAR(D163)+3)&gt;YEAR(E163),1,(12-MONTH(E163)+1)/12))) + (Q163)*(IF((YEAR(D163)+3)&lt;YEAR(E163),0,IF((YEAR(D163)+3)&gt;YEAR(E163),1,(12-MONTH(E163)+1)/12))))-((P163)*(IF((YEAR(D163)+3)&lt;YEAR(E163),0,IF((YEAR(D163)+3)&gt;YEAR(E163),1,(12-MONTH(E163)+1)/12))) + (R163)*(IF((YEAR(D163)+3)&lt;YEAR(E163),0,IF((YEAR(D163)+3)&gt;YEAR(E163),1,(12-MONTH(E163)+1)/12))))-(IF((((K163)*(IF(M163="",L163,IFERROR(IF(INDEX(Variablen!$I:$AT, MATCH(M163, Variablen!$A:$A, 0), MATCH((YEAR(D163)+3), Variablen!$I$3:$AT$3, 0))="",L163,INDEX(Variablen!$I:$AT, MATCH(M163, Variablen!$A:$A, 0), MATCH((YEAR(D163)+3), Variablen!$I$3:$AT$3, 0))),L163)))*(IF((YEAR(D163)+3)&lt;YEAR(E163),0,IF((YEAR(D163)+3)&gt;YEAR(E163),1,(12-MONTH(E163)+1)/12))) + (Q163)*(IF((YEAR(D163)+3)&lt;YEAR(E163),0,IF((YEAR(D163)+3)&gt;YEAR(E163),1,(12-MONTH(E163)+1)/12))))-((P163)*(IF((YEAR(D163)+3)&lt;YEAR(E163),0,IF((YEAR(D163)+3)&gt;YEAR(E163),1,(12-MONTH(E163)+1)/12))) + (R163)*(IF((YEAR(D163)+3)&lt;YEAR(E163),0,IF((YEAR(D163)+3)&gt;YEAR(E163),1,(12-MONTH(E163)+1)/12))))-(IF(OR(N163="",N163&lt;=0),0,(O163/N163)*(IF(OR(N163="",N163&lt;=0),0,IF((YEAR(D163)+3)&lt;YEAR(E163),0,IF((YEAR(D163)+3)&gt;=YEAR(E163)+N163,0,IF((YEAR(D163)+3)=YEAR(E163),(12-MONTH(E163)+1)/12,1))))))))&gt;0,(((K163)*(IF(M163="",L163,IFERROR(IF(INDEX(Variablen!$I:$AT, MATCH(M163, Variablen!$A:$A, 0), MATCH((YEAR(D163)+3), Variablen!$I$3:$AT$3, 0))="",L163,INDEX(Variablen!$I:$AT, MATCH(M163, Variablen!$A:$A, 0), MATCH((YEAR(D163)+3), Variablen!$I$3:$AT$3, 0))),L163)))*(IF((YEAR(D163)+3)&lt;YEAR(E163),0,IF((YEAR(D163)+3)&gt;YEAR(E163),1,(12-MONTH(E163)+1)/12))) + (Q163)*(IF((YEAR(D163)+3)&lt;YEAR(E163),0,IF((YEAR(D163)+3)&gt;YEAR(E163),1,(12-MONTH(E163)+1)/12))))-((P163)*(IF((YEAR(D163)+3)&lt;YEAR(E163),0,IF((YEAR(D163)+3)&gt;YEAR(E163),1,(12-MONTH(E163)+1)/12))) + (R163)*(IF((YEAR(D163)+3)&lt;YEAR(E163),0,IF((YEAR(D163)+3)&gt;YEAR(E163),1,(12-MONTH(E163)+1)/12))))-(IF(OR(N163="",N163&lt;=0),0,(O163/N163)*(IF(OR(N163="",N163&lt;=0),0,IF((YEAR(D163)+3)&lt;YEAR(E163),0,IF((YEAR(D163)+3)&gt;=YEAR(E163)+N163,0,IF((YEAR(D163)+3)=YEAR(E163),(12-MONTH(E163)+1)/12,1))))))))*TaxRate,0))-IF(3=0,O163,0))</f>
        <v/>
      </c>
      <c r="W163" s="29">
        <f>IF(A163="","",((K163)*(IF(M163="",L163,IFERROR(IF(INDEX(Variablen!$I:$AT, MATCH(M163, Variablen!$A:$A, 0), MATCH((YEAR(D163)+4), Variablen!$I$3:$AT$3, 0))="",L163,INDEX(Variablen!$I:$AT, MATCH(M163, Variablen!$A:$A, 0), MATCH((YEAR(D163)+4), Variablen!$I$3:$AT$3, 0))),L163)))*(IF((YEAR(D163)+4)&lt;YEAR(E163),0,IF((YEAR(D163)+4)&gt;YEAR(E163),1,(12-MONTH(E163)+1)/12))) + (Q163)*(IF((YEAR(D163)+4)&lt;YEAR(E163),0,IF((YEAR(D163)+4)&gt;YEAR(E163),1,(12-MONTH(E163)+1)/12))))-((P163)*(IF((YEAR(D163)+4)&lt;YEAR(E163),0,IF((YEAR(D163)+4)&gt;YEAR(E163),1,(12-MONTH(E163)+1)/12))) + (R163)*(IF((YEAR(D163)+4)&lt;YEAR(E163),0,IF((YEAR(D163)+4)&gt;YEAR(E163),1,(12-MONTH(E163)+1)/12))))-(IF((((K163)*(IF(M163="",L163,IFERROR(IF(INDEX(Variablen!$I:$AT, MATCH(M163, Variablen!$A:$A, 0), MATCH((YEAR(D163)+4), Variablen!$I$3:$AT$3, 0))="",L163,INDEX(Variablen!$I:$AT, MATCH(M163, Variablen!$A:$A, 0), MATCH((YEAR(D163)+4), Variablen!$I$3:$AT$3, 0))),L163)))*(IF((YEAR(D163)+4)&lt;YEAR(E163),0,IF((YEAR(D163)+4)&gt;YEAR(E163),1,(12-MONTH(E163)+1)/12))) + (Q163)*(IF((YEAR(D163)+4)&lt;YEAR(E163),0,IF((YEAR(D163)+4)&gt;YEAR(E163),1,(12-MONTH(E163)+1)/12))))-((P163)*(IF((YEAR(D163)+4)&lt;YEAR(E163),0,IF((YEAR(D163)+4)&gt;YEAR(E163),1,(12-MONTH(E163)+1)/12))) + (R163)*(IF((YEAR(D163)+4)&lt;YEAR(E163),0,IF((YEAR(D163)+4)&gt;YEAR(E163),1,(12-MONTH(E163)+1)/12))))-(IF(OR(N163="",N163&lt;=0),0,(O163/N163)*(IF(OR(N163="",N163&lt;=0),0,IF((YEAR(D163)+4)&lt;YEAR(E163),0,IF((YEAR(D163)+4)&gt;=YEAR(E163)+N163,0,IF((YEAR(D163)+4)=YEAR(E163),(12-MONTH(E163)+1)/12,1))))))))&gt;0,(((K163)*(IF(M163="",L163,IFERROR(IF(INDEX(Variablen!$I:$AT, MATCH(M163, Variablen!$A:$A, 0), MATCH((YEAR(D163)+4), Variablen!$I$3:$AT$3, 0))="",L163,INDEX(Variablen!$I:$AT, MATCH(M163, Variablen!$A:$A, 0), MATCH((YEAR(D163)+4), Variablen!$I$3:$AT$3, 0))),L163)))*(IF((YEAR(D163)+4)&lt;YEAR(E163),0,IF((YEAR(D163)+4)&gt;YEAR(E163),1,(12-MONTH(E163)+1)/12))) + (Q163)*(IF((YEAR(D163)+4)&lt;YEAR(E163),0,IF((YEAR(D163)+4)&gt;YEAR(E163),1,(12-MONTH(E163)+1)/12))))-((P163)*(IF((YEAR(D163)+4)&lt;YEAR(E163),0,IF((YEAR(D163)+4)&gt;YEAR(E163),1,(12-MONTH(E163)+1)/12))) + (R163)*(IF((YEAR(D163)+4)&lt;YEAR(E163),0,IF((YEAR(D163)+4)&gt;YEAR(E163),1,(12-MONTH(E163)+1)/12))))-(IF(OR(N163="",N163&lt;=0),0,(O163/N163)*(IF(OR(N163="",N163&lt;=0),0,IF((YEAR(D163)+4)&lt;YEAR(E163),0,IF((YEAR(D163)+4)&gt;=YEAR(E163)+N163,0,IF((YEAR(D163)+4)=YEAR(E163),(12-MONTH(E163)+1)/12,1))))))))*TaxRate,0))-IF(4=0,O163,0))</f>
        <v/>
      </c>
      <c r="X163" s="29">
        <f>IF(A163="","",((K163)*(IF(M163="",L163,IFERROR(IF(INDEX(Variablen!$I:$AT, MATCH(M163, Variablen!$A:$A, 0), MATCH((YEAR(D163)+5), Variablen!$I$3:$AT$3, 0))="",L163,INDEX(Variablen!$I:$AT, MATCH(M163, Variablen!$A:$A, 0), MATCH((YEAR(D163)+5), Variablen!$I$3:$AT$3, 0))),L163)))*(IF((YEAR(D163)+5)&lt;YEAR(E163),0,IF((YEAR(D163)+5)&gt;YEAR(E163),1,(12-MONTH(E163)+1)/12))) + (Q163)*(IF((YEAR(D163)+5)&lt;YEAR(E163),0,IF((YEAR(D163)+5)&gt;YEAR(E163),1,(12-MONTH(E163)+1)/12))))-((P163)*(IF((YEAR(D163)+5)&lt;YEAR(E163),0,IF((YEAR(D163)+5)&gt;YEAR(E163),1,(12-MONTH(E163)+1)/12))) + (R163)*(IF((YEAR(D163)+5)&lt;YEAR(E163),0,IF((YEAR(D163)+5)&gt;YEAR(E163),1,(12-MONTH(E163)+1)/12))))-(IF((((K163)*(IF(M163="",L163,IFERROR(IF(INDEX(Variablen!$I:$AT, MATCH(M163, Variablen!$A:$A, 0), MATCH((YEAR(D163)+5), Variablen!$I$3:$AT$3, 0))="",L163,INDEX(Variablen!$I:$AT, MATCH(M163, Variablen!$A:$A, 0), MATCH((YEAR(D163)+5), Variablen!$I$3:$AT$3, 0))),L163)))*(IF((YEAR(D163)+5)&lt;YEAR(E163),0,IF((YEAR(D163)+5)&gt;YEAR(E163),1,(12-MONTH(E163)+1)/12))) + (Q163)*(IF((YEAR(D163)+5)&lt;YEAR(E163),0,IF((YEAR(D163)+5)&gt;YEAR(E163),1,(12-MONTH(E163)+1)/12))))-((P163)*(IF((YEAR(D163)+5)&lt;YEAR(E163),0,IF((YEAR(D163)+5)&gt;YEAR(E163),1,(12-MONTH(E163)+1)/12))) + (R163)*(IF((YEAR(D163)+5)&lt;YEAR(E163),0,IF((YEAR(D163)+5)&gt;YEAR(E163),1,(12-MONTH(E163)+1)/12))))-(IF(OR(N163="",N163&lt;=0),0,(O163/N163)*(IF(OR(N163="",N163&lt;=0),0,IF((YEAR(D163)+5)&lt;YEAR(E163),0,IF((YEAR(D163)+5)&gt;=YEAR(E163)+N163,0,IF((YEAR(D163)+5)=YEAR(E163),(12-MONTH(E163)+1)/12,1))))))))&gt;0,(((K163)*(IF(M163="",L163,IFERROR(IF(INDEX(Variablen!$I:$AT, MATCH(M163, Variablen!$A:$A, 0), MATCH((YEAR(D163)+5), Variablen!$I$3:$AT$3, 0))="",L163,INDEX(Variablen!$I:$AT, MATCH(M163, Variablen!$A:$A, 0), MATCH((YEAR(D163)+5), Variablen!$I$3:$AT$3, 0))),L163)))*(IF((YEAR(D163)+5)&lt;YEAR(E163),0,IF((YEAR(D163)+5)&gt;YEAR(E163),1,(12-MONTH(E163)+1)/12))) + (Q163)*(IF((YEAR(D163)+5)&lt;YEAR(E163),0,IF((YEAR(D163)+5)&gt;YEAR(E163),1,(12-MONTH(E163)+1)/12))))-((P163)*(IF((YEAR(D163)+5)&lt;YEAR(E163),0,IF((YEAR(D163)+5)&gt;YEAR(E163),1,(12-MONTH(E163)+1)/12))) + (R163)*(IF((YEAR(D163)+5)&lt;YEAR(E163),0,IF((YEAR(D163)+5)&gt;YEAR(E163),1,(12-MONTH(E163)+1)/12))))-(IF(OR(N163="",N163&lt;=0),0,(O163/N163)*(IF(OR(N163="",N163&lt;=0),0,IF((YEAR(D163)+5)&lt;YEAR(E163),0,IF((YEAR(D163)+5)&gt;=YEAR(E163)+N163,0,IF((YEAR(D163)+5)=YEAR(E163),(12-MONTH(E163)+1)/12,1))))))))*TaxRate,0))-IF(5=0,O163,0))</f>
        <v/>
      </c>
      <c r="Y163" s="29">
        <f>IF(A163="","",((K163)*(IF(M163="",L163,IFERROR(IF(INDEX(Variablen!$I:$AT, MATCH(M163, Variablen!$A:$A, 0), MATCH((YEAR(D163)+6), Variablen!$I$3:$AT$3, 0))="",L163,INDEX(Variablen!$I:$AT, MATCH(M163, Variablen!$A:$A, 0), MATCH((YEAR(D163)+6), Variablen!$I$3:$AT$3, 0))),L163)))*(IF((YEAR(D163)+6)&lt;YEAR(E163),0,IF((YEAR(D163)+6)&gt;YEAR(E163),1,(12-MONTH(E163)+1)/12))) + (Q163)*(IF((YEAR(D163)+6)&lt;YEAR(E163),0,IF((YEAR(D163)+6)&gt;YEAR(E163),1,(12-MONTH(E163)+1)/12))))-((P163)*(IF((YEAR(D163)+6)&lt;YEAR(E163),0,IF((YEAR(D163)+6)&gt;YEAR(E163),1,(12-MONTH(E163)+1)/12))) + (R163)*(IF((YEAR(D163)+6)&lt;YEAR(E163),0,IF((YEAR(D163)+6)&gt;YEAR(E163),1,(12-MONTH(E163)+1)/12))))-(IF((((K163)*(IF(M163="",L163,IFERROR(IF(INDEX(Variablen!$I:$AT, MATCH(M163, Variablen!$A:$A, 0), MATCH((YEAR(D163)+6), Variablen!$I$3:$AT$3, 0))="",L163,INDEX(Variablen!$I:$AT, MATCH(M163, Variablen!$A:$A, 0), MATCH((YEAR(D163)+6), Variablen!$I$3:$AT$3, 0))),L163)))*(IF((YEAR(D163)+6)&lt;YEAR(E163),0,IF((YEAR(D163)+6)&gt;YEAR(E163),1,(12-MONTH(E163)+1)/12))) + (Q163)*(IF((YEAR(D163)+6)&lt;YEAR(E163),0,IF((YEAR(D163)+6)&gt;YEAR(E163),1,(12-MONTH(E163)+1)/12))))-((P163)*(IF((YEAR(D163)+6)&lt;YEAR(E163),0,IF((YEAR(D163)+6)&gt;YEAR(E163),1,(12-MONTH(E163)+1)/12))) + (R163)*(IF((YEAR(D163)+6)&lt;YEAR(E163),0,IF((YEAR(D163)+6)&gt;YEAR(E163),1,(12-MONTH(E163)+1)/12))))-(IF(OR(N163="",N163&lt;=0),0,(O163/N163)*(IF(OR(N163="",N163&lt;=0),0,IF((YEAR(D163)+6)&lt;YEAR(E163),0,IF((YEAR(D163)+6)&gt;=YEAR(E163)+N163,0,IF((YEAR(D163)+6)=YEAR(E163),(12-MONTH(E163)+1)/12,1))))))))&gt;0,(((K163)*(IF(M163="",L163,IFERROR(IF(INDEX(Variablen!$I:$AT, MATCH(M163, Variablen!$A:$A, 0), MATCH((YEAR(D163)+6), Variablen!$I$3:$AT$3, 0))="",L163,INDEX(Variablen!$I:$AT, MATCH(M163, Variablen!$A:$A, 0), MATCH((YEAR(D163)+6), Variablen!$I$3:$AT$3, 0))),L163)))*(IF((YEAR(D163)+6)&lt;YEAR(E163),0,IF((YEAR(D163)+6)&gt;YEAR(E163),1,(12-MONTH(E163)+1)/12))) + (Q163)*(IF((YEAR(D163)+6)&lt;YEAR(E163),0,IF((YEAR(D163)+6)&gt;YEAR(E163),1,(12-MONTH(E163)+1)/12))))-((P163)*(IF((YEAR(D163)+6)&lt;YEAR(E163),0,IF((YEAR(D163)+6)&gt;YEAR(E163),1,(12-MONTH(E163)+1)/12))) + (R163)*(IF((YEAR(D163)+6)&lt;YEAR(E163),0,IF((YEAR(D163)+6)&gt;YEAR(E163),1,(12-MONTH(E163)+1)/12))))-(IF(OR(N163="",N163&lt;=0),0,(O163/N163)*(IF(OR(N163="",N163&lt;=0),0,IF((YEAR(D163)+6)&lt;YEAR(E163),0,IF((YEAR(D163)+6)&gt;=YEAR(E163)+N163,0,IF((YEAR(D163)+6)=YEAR(E163),(12-MONTH(E163)+1)/12,1))))))))*TaxRate,0))-IF(6=0,O163,0))</f>
        <v/>
      </c>
      <c r="Z163" s="29">
        <f>IF(A163="","",((K163)*(IF(M163="",L163,IFERROR(IF(INDEX(Variablen!$I:$AT, MATCH(M163, Variablen!$A:$A, 0), MATCH((YEAR(D163)+7), Variablen!$I$3:$AT$3, 0))="",L163,INDEX(Variablen!$I:$AT, MATCH(M163, Variablen!$A:$A, 0), MATCH((YEAR(D163)+7), Variablen!$I$3:$AT$3, 0))),L163)))*(IF((YEAR(D163)+7)&lt;YEAR(E163),0,IF((YEAR(D163)+7)&gt;YEAR(E163),1,(12-MONTH(E163)+1)/12))) + (Q163)*(IF((YEAR(D163)+7)&lt;YEAR(E163),0,IF((YEAR(D163)+7)&gt;YEAR(E163),1,(12-MONTH(E163)+1)/12))))-((P163)*(IF((YEAR(D163)+7)&lt;YEAR(E163),0,IF((YEAR(D163)+7)&gt;YEAR(E163),1,(12-MONTH(E163)+1)/12))) + (R163)*(IF((YEAR(D163)+7)&lt;YEAR(E163),0,IF((YEAR(D163)+7)&gt;YEAR(E163),1,(12-MONTH(E163)+1)/12))))-(IF((((K163)*(IF(M163="",L163,IFERROR(IF(INDEX(Variablen!$I:$AT, MATCH(M163, Variablen!$A:$A, 0), MATCH((YEAR(D163)+7), Variablen!$I$3:$AT$3, 0))="",L163,INDEX(Variablen!$I:$AT, MATCH(M163, Variablen!$A:$A, 0), MATCH((YEAR(D163)+7), Variablen!$I$3:$AT$3, 0))),L163)))*(IF((YEAR(D163)+7)&lt;YEAR(E163),0,IF((YEAR(D163)+7)&gt;YEAR(E163),1,(12-MONTH(E163)+1)/12))) + (Q163)*(IF((YEAR(D163)+7)&lt;YEAR(E163),0,IF((YEAR(D163)+7)&gt;YEAR(E163),1,(12-MONTH(E163)+1)/12))))-((P163)*(IF((YEAR(D163)+7)&lt;YEAR(E163),0,IF((YEAR(D163)+7)&gt;YEAR(E163),1,(12-MONTH(E163)+1)/12))) + (R163)*(IF((YEAR(D163)+7)&lt;YEAR(E163),0,IF((YEAR(D163)+7)&gt;YEAR(E163),1,(12-MONTH(E163)+1)/12))))-(IF(OR(N163="",N163&lt;=0),0,(O163/N163)*(IF(OR(N163="",N163&lt;=0),0,IF((YEAR(D163)+7)&lt;YEAR(E163),0,IF((YEAR(D163)+7)&gt;=YEAR(E163)+N163,0,IF((YEAR(D163)+7)=YEAR(E163),(12-MONTH(E163)+1)/12,1))))))))&gt;0,(((K163)*(IF(M163="",L163,IFERROR(IF(INDEX(Variablen!$I:$AT, MATCH(M163, Variablen!$A:$A, 0), MATCH((YEAR(D163)+7), Variablen!$I$3:$AT$3, 0))="",L163,INDEX(Variablen!$I:$AT, MATCH(M163, Variablen!$A:$A, 0), MATCH((YEAR(D163)+7), Variablen!$I$3:$AT$3, 0))),L163)))*(IF((YEAR(D163)+7)&lt;YEAR(E163),0,IF((YEAR(D163)+7)&gt;YEAR(E163),1,(12-MONTH(E163)+1)/12))) + (Q163)*(IF((YEAR(D163)+7)&lt;YEAR(E163),0,IF((YEAR(D163)+7)&gt;YEAR(E163),1,(12-MONTH(E163)+1)/12))))-((P163)*(IF((YEAR(D163)+7)&lt;YEAR(E163),0,IF((YEAR(D163)+7)&gt;YEAR(E163),1,(12-MONTH(E163)+1)/12))) + (R163)*(IF((YEAR(D163)+7)&lt;YEAR(E163),0,IF((YEAR(D163)+7)&gt;YEAR(E163),1,(12-MONTH(E163)+1)/12))))-(IF(OR(N163="",N163&lt;=0),0,(O163/N163)*(IF(OR(N163="",N163&lt;=0),0,IF((YEAR(D163)+7)&lt;YEAR(E163),0,IF((YEAR(D163)+7)&gt;=YEAR(E163)+N163,0,IF((YEAR(D163)+7)=YEAR(E163),(12-MONTH(E163)+1)/12,1))))))))*TaxRate,0))-IF(7=0,O163,0))</f>
        <v/>
      </c>
      <c r="AA163" s="29">
        <f>IF(A163="","",((K163)*(IF(M163="",L163,IFERROR(IF(INDEX(Variablen!$I:$AT, MATCH(M163, Variablen!$A:$A, 0), MATCH((YEAR(D163)+8), Variablen!$I$3:$AT$3, 0))="",L163,INDEX(Variablen!$I:$AT, MATCH(M163, Variablen!$A:$A, 0), MATCH((YEAR(D163)+8), Variablen!$I$3:$AT$3, 0))),L163)))*(IF((YEAR(D163)+8)&lt;YEAR(E163),0,IF((YEAR(D163)+8)&gt;YEAR(E163),1,(12-MONTH(E163)+1)/12))) + (Q163)*(IF((YEAR(D163)+8)&lt;YEAR(E163),0,IF((YEAR(D163)+8)&gt;YEAR(E163),1,(12-MONTH(E163)+1)/12))))-((P163)*(IF((YEAR(D163)+8)&lt;YEAR(E163),0,IF((YEAR(D163)+8)&gt;YEAR(E163),1,(12-MONTH(E163)+1)/12))) + (R163)*(IF((YEAR(D163)+8)&lt;YEAR(E163),0,IF((YEAR(D163)+8)&gt;YEAR(E163),1,(12-MONTH(E163)+1)/12))))-(IF((((K163)*(IF(M163="",L163,IFERROR(IF(INDEX(Variablen!$I:$AT, MATCH(M163, Variablen!$A:$A, 0), MATCH((YEAR(D163)+8), Variablen!$I$3:$AT$3, 0))="",L163,INDEX(Variablen!$I:$AT, MATCH(M163, Variablen!$A:$A, 0), MATCH((YEAR(D163)+8), Variablen!$I$3:$AT$3, 0))),L163)))*(IF((YEAR(D163)+8)&lt;YEAR(E163),0,IF((YEAR(D163)+8)&gt;YEAR(E163),1,(12-MONTH(E163)+1)/12))) + (Q163)*(IF((YEAR(D163)+8)&lt;YEAR(E163),0,IF((YEAR(D163)+8)&gt;YEAR(E163),1,(12-MONTH(E163)+1)/12))))-((P163)*(IF((YEAR(D163)+8)&lt;YEAR(E163),0,IF((YEAR(D163)+8)&gt;YEAR(E163),1,(12-MONTH(E163)+1)/12))) + (R163)*(IF((YEAR(D163)+8)&lt;YEAR(E163),0,IF((YEAR(D163)+8)&gt;YEAR(E163),1,(12-MONTH(E163)+1)/12))))-(IF(OR(N163="",N163&lt;=0),0,(O163/N163)*(IF(OR(N163="",N163&lt;=0),0,IF((YEAR(D163)+8)&lt;YEAR(E163),0,IF((YEAR(D163)+8)&gt;=YEAR(E163)+N163,0,IF((YEAR(D163)+8)=YEAR(E163),(12-MONTH(E163)+1)/12,1))))))))&gt;0,(((K163)*(IF(M163="",L163,IFERROR(IF(INDEX(Variablen!$I:$AT, MATCH(M163, Variablen!$A:$A, 0), MATCH((YEAR(D163)+8), Variablen!$I$3:$AT$3, 0))="",L163,INDEX(Variablen!$I:$AT, MATCH(M163, Variablen!$A:$A, 0), MATCH((YEAR(D163)+8), Variablen!$I$3:$AT$3, 0))),L163)))*(IF((YEAR(D163)+8)&lt;YEAR(E163),0,IF((YEAR(D163)+8)&gt;YEAR(E163),1,(12-MONTH(E163)+1)/12))) + (Q163)*(IF((YEAR(D163)+8)&lt;YEAR(E163),0,IF((YEAR(D163)+8)&gt;YEAR(E163),1,(12-MONTH(E163)+1)/12))))-((P163)*(IF((YEAR(D163)+8)&lt;YEAR(E163),0,IF((YEAR(D163)+8)&gt;YEAR(E163),1,(12-MONTH(E163)+1)/12))) + (R163)*(IF((YEAR(D163)+8)&lt;YEAR(E163),0,IF((YEAR(D163)+8)&gt;YEAR(E163),1,(12-MONTH(E163)+1)/12))))-(IF(OR(N163="",N163&lt;=0),0,(O163/N163)*(IF(OR(N163="",N163&lt;=0),0,IF((YEAR(D163)+8)&lt;YEAR(E163),0,IF((YEAR(D163)+8)&gt;=YEAR(E163)+N163,0,IF((YEAR(D163)+8)=YEAR(E163),(12-MONTH(E163)+1)/12,1))))))))*TaxRate,0))-IF(8=0,O163,0))</f>
        <v/>
      </c>
      <c r="AB163" s="29">
        <f>IF(A163="","",((K163)*(IF(M163="",L163,IFERROR(IF(INDEX(Variablen!$I:$AT, MATCH(M163, Variablen!$A:$A, 0), MATCH((YEAR(D163)+9), Variablen!$I$3:$AT$3, 0))="",L163,INDEX(Variablen!$I:$AT, MATCH(M163, Variablen!$A:$A, 0), MATCH((YEAR(D163)+9), Variablen!$I$3:$AT$3, 0))),L163)))*(IF((YEAR(D163)+9)&lt;YEAR(E163),0,IF((YEAR(D163)+9)&gt;YEAR(E163),1,(12-MONTH(E163)+1)/12))) + (Q163)*(IF((YEAR(D163)+9)&lt;YEAR(E163),0,IF((YEAR(D163)+9)&gt;YEAR(E163),1,(12-MONTH(E163)+1)/12))))-((P163)*(IF((YEAR(D163)+9)&lt;YEAR(E163),0,IF((YEAR(D163)+9)&gt;YEAR(E163),1,(12-MONTH(E163)+1)/12))) + (R163)*(IF((YEAR(D163)+9)&lt;YEAR(E163),0,IF((YEAR(D163)+9)&gt;YEAR(E163),1,(12-MONTH(E163)+1)/12))))-(IF((((K163)*(IF(M163="",L163,IFERROR(IF(INDEX(Variablen!$I:$AT, MATCH(M163, Variablen!$A:$A, 0), MATCH((YEAR(D163)+9), Variablen!$I$3:$AT$3, 0))="",L163,INDEX(Variablen!$I:$AT, MATCH(M163, Variablen!$A:$A, 0), MATCH((YEAR(D163)+9), Variablen!$I$3:$AT$3, 0))),L163)))*(IF((YEAR(D163)+9)&lt;YEAR(E163),0,IF((YEAR(D163)+9)&gt;YEAR(E163),1,(12-MONTH(E163)+1)/12))) + (Q163)*(IF((YEAR(D163)+9)&lt;YEAR(E163),0,IF((YEAR(D163)+9)&gt;YEAR(E163),1,(12-MONTH(E163)+1)/12))))-((P163)*(IF((YEAR(D163)+9)&lt;YEAR(E163),0,IF((YEAR(D163)+9)&gt;YEAR(E163),1,(12-MONTH(E163)+1)/12))) + (R163)*(IF((YEAR(D163)+9)&lt;YEAR(E163),0,IF((YEAR(D163)+9)&gt;YEAR(E163),1,(12-MONTH(E163)+1)/12))))-(IF(OR(N163="",N163&lt;=0),0,(O163/N163)*(IF(OR(N163="",N163&lt;=0),0,IF((YEAR(D163)+9)&lt;YEAR(E163),0,IF((YEAR(D163)+9)&gt;=YEAR(E163)+N163,0,IF((YEAR(D163)+9)=YEAR(E163),(12-MONTH(E163)+1)/12,1))))))))&gt;0,(((K163)*(IF(M163="",L163,IFERROR(IF(INDEX(Variablen!$I:$AT, MATCH(M163, Variablen!$A:$A, 0), MATCH((YEAR(D163)+9), Variablen!$I$3:$AT$3, 0))="",L163,INDEX(Variablen!$I:$AT, MATCH(M163, Variablen!$A:$A, 0), MATCH((YEAR(D163)+9), Variablen!$I$3:$AT$3, 0))),L163)))*(IF((YEAR(D163)+9)&lt;YEAR(E163),0,IF((YEAR(D163)+9)&gt;YEAR(E163),1,(12-MONTH(E163)+1)/12))) + (Q163)*(IF((YEAR(D163)+9)&lt;YEAR(E163),0,IF((YEAR(D163)+9)&gt;YEAR(E163),1,(12-MONTH(E163)+1)/12))))-((P163)*(IF((YEAR(D163)+9)&lt;YEAR(E163),0,IF((YEAR(D163)+9)&gt;YEAR(E163),1,(12-MONTH(E163)+1)/12))) + (R163)*(IF((YEAR(D163)+9)&lt;YEAR(E163),0,IF((YEAR(D163)+9)&gt;YEAR(E163),1,(12-MONTH(E163)+1)/12))))-(IF(OR(N163="",N163&lt;=0),0,(O163/N163)*(IF(OR(N163="",N163&lt;=0),0,IF((YEAR(D163)+9)&lt;YEAR(E163),0,IF((YEAR(D163)+9)&gt;=YEAR(E163)+N163,0,IF((YEAR(D163)+9)=YEAR(E163),(12-MONTH(E163)+1)/12,1))))))))*TaxRate,0))-IF(9=0,O163,0))</f>
        <v/>
      </c>
      <c r="AC163" s="29">
        <f>IF(A163="","",((K163)*(IF(M163="",L163,IFERROR(IF(INDEX(Variablen!$I:$AT, MATCH(M163, Variablen!$A:$A, 0), MATCH((YEAR(D163)+10), Variablen!$I$3:$AT$3, 0))="",L163,INDEX(Variablen!$I:$AT, MATCH(M163, Variablen!$A:$A, 0), MATCH((YEAR(D163)+10), Variablen!$I$3:$AT$3, 0))),L163)))*(IF((YEAR(D163)+10)&lt;YEAR(E163),0,IF((YEAR(D163)+10)&gt;YEAR(E163),1,(12-MONTH(E163)+1)/12))) + (Q163)*(IF((YEAR(D163)+10)&lt;YEAR(E163),0,IF((YEAR(D163)+10)&gt;YEAR(E163),1,(12-MONTH(E163)+1)/12))))-((P163)*(IF((YEAR(D163)+10)&lt;YEAR(E163),0,IF((YEAR(D163)+10)&gt;YEAR(E163),1,(12-MONTH(E163)+1)/12))) + (R163)*(IF((YEAR(D163)+10)&lt;YEAR(E163),0,IF((YEAR(D163)+10)&gt;YEAR(E163),1,(12-MONTH(E163)+1)/12))))-(IF((((K163)*(IF(M163="",L163,IFERROR(IF(INDEX(Variablen!$I:$AT, MATCH(M163, Variablen!$A:$A, 0), MATCH((YEAR(D163)+10), Variablen!$I$3:$AT$3, 0))="",L163,INDEX(Variablen!$I:$AT, MATCH(M163, Variablen!$A:$A, 0), MATCH((YEAR(D163)+10), Variablen!$I$3:$AT$3, 0))),L163)))*(IF((YEAR(D163)+10)&lt;YEAR(E163),0,IF((YEAR(D163)+10)&gt;YEAR(E163),1,(12-MONTH(E163)+1)/12))) + (Q163)*(IF((YEAR(D163)+10)&lt;YEAR(E163),0,IF((YEAR(D163)+10)&gt;YEAR(E163),1,(12-MONTH(E163)+1)/12))))-((P163)*(IF((YEAR(D163)+10)&lt;YEAR(E163),0,IF((YEAR(D163)+10)&gt;YEAR(E163),1,(12-MONTH(E163)+1)/12))) + (R163)*(IF((YEAR(D163)+10)&lt;YEAR(E163),0,IF((YEAR(D163)+10)&gt;YEAR(E163),1,(12-MONTH(E163)+1)/12))))-(IF(OR(N163="",N163&lt;=0),0,(O163/N163)*(IF(OR(N163="",N163&lt;=0),0,IF((YEAR(D163)+10)&lt;YEAR(E163),0,IF((YEAR(D163)+10)&gt;=YEAR(E163)+N163,0,IF((YEAR(D163)+10)=YEAR(E163),(12-MONTH(E163)+1)/12,1))))))))&gt;0,(((K163)*(IF(M163="",L163,IFERROR(IF(INDEX(Variablen!$I:$AT, MATCH(M163, Variablen!$A:$A, 0), MATCH((YEAR(D163)+10), Variablen!$I$3:$AT$3, 0))="",L163,INDEX(Variablen!$I:$AT, MATCH(M163, Variablen!$A:$A, 0), MATCH((YEAR(D163)+10), Variablen!$I$3:$AT$3, 0))),L163)))*(IF((YEAR(D163)+10)&lt;YEAR(E163),0,IF((YEAR(D163)+10)&gt;YEAR(E163),1,(12-MONTH(E163)+1)/12))) + (Q163)*(IF((YEAR(D163)+10)&lt;YEAR(E163),0,IF((YEAR(D163)+10)&gt;YEAR(E163),1,(12-MONTH(E163)+1)/12))))-((P163)*(IF((YEAR(D163)+10)&lt;YEAR(E163),0,IF((YEAR(D163)+10)&gt;YEAR(E163),1,(12-MONTH(E163)+1)/12))) + (R163)*(IF((YEAR(D163)+10)&lt;YEAR(E163),0,IF((YEAR(D163)+10)&gt;YEAR(E163),1,(12-MONTH(E163)+1)/12))))-(IF(OR(N163="",N163&lt;=0),0,(O163/N163)*(IF(OR(N163="",N163&lt;=0),0,IF((YEAR(D163)+10)&lt;YEAR(E163),0,IF((YEAR(D163)+10)&gt;=YEAR(E163)+N163,0,IF((YEAR(D163)+10)=YEAR(E163),(12-MONTH(E163)+1)/12,1))))))))*TaxRate,0))-IF(10=0,O163,0))</f>
        <v/>
      </c>
      <c r="AD163" s="29">
        <f>IF(A163="","",((K163)*(IF(M163="",L163,IFERROR(IF(INDEX(Variablen!$I:$AT, MATCH(M163, Variablen!$A:$A, 0), MATCH((YEAR(D163)+11), Variablen!$I$3:$AT$3, 0))="",L163,INDEX(Variablen!$I:$AT, MATCH(M163, Variablen!$A:$A, 0), MATCH((YEAR(D163)+11), Variablen!$I$3:$AT$3, 0))),L163)))*(IF((YEAR(D163)+11)&lt;YEAR(E163),0,IF((YEAR(D163)+11)&gt;YEAR(E163),1,(12-MONTH(E163)+1)/12))) + (Q163)*(IF((YEAR(D163)+11)&lt;YEAR(E163),0,IF((YEAR(D163)+11)&gt;YEAR(E163),1,(12-MONTH(E163)+1)/12))))-((P163)*(IF((YEAR(D163)+11)&lt;YEAR(E163),0,IF((YEAR(D163)+11)&gt;YEAR(E163),1,(12-MONTH(E163)+1)/12))) + (R163)*(IF((YEAR(D163)+11)&lt;YEAR(E163),0,IF((YEAR(D163)+11)&gt;YEAR(E163),1,(12-MONTH(E163)+1)/12))))-(IF((((K163)*(IF(M163="",L163,IFERROR(IF(INDEX(Variablen!$I:$AT, MATCH(M163, Variablen!$A:$A, 0), MATCH((YEAR(D163)+11), Variablen!$I$3:$AT$3, 0))="",L163,INDEX(Variablen!$I:$AT, MATCH(M163, Variablen!$A:$A, 0), MATCH((YEAR(D163)+11), Variablen!$I$3:$AT$3, 0))),L163)))*(IF((YEAR(D163)+11)&lt;YEAR(E163),0,IF((YEAR(D163)+11)&gt;YEAR(E163),1,(12-MONTH(E163)+1)/12))) + (Q163)*(IF((YEAR(D163)+11)&lt;YEAR(E163),0,IF((YEAR(D163)+11)&gt;YEAR(E163),1,(12-MONTH(E163)+1)/12))))-((P163)*(IF((YEAR(D163)+11)&lt;YEAR(E163),0,IF((YEAR(D163)+11)&gt;YEAR(E163),1,(12-MONTH(E163)+1)/12))) + (R163)*(IF((YEAR(D163)+11)&lt;YEAR(E163),0,IF((YEAR(D163)+11)&gt;YEAR(E163),1,(12-MONTH(E163)+1)/12))))-(IF(OR(N163="",N163&lt;=0),0,(O163/N163)*(IF(OR(N163="",N163&lt;=0),0,IF((YEAR(D163)+11)&lt;YEAR(E163),0,IF((YEAR(D163)+11)&gt;=YEAR(E163)+N163,0,IF((YEAR(D163)+11)=YEAR(E163),(12-MONTH(E163)+1)/12,1))))))))&gt;0,(((K163)*(IF(M163="",L163,IFERROR(IF(INDEX(Variablen!$I:$AT, MATCH(M163, Variablen!$A:$A, 0), MATCH((YEAR(D163)+11), Variablen!$I$3:$AT$3, 0))="",L163,INDEX(Variablen!$I:$AT, MATCH(M163, Variablen!$A:$A, 0), MATCH((YEAR(D163)+11), Variablen!$I$3:$AT$3, 0))),L163)))*(IF((YEAR(D163)+11)&lt;YEAR(E163),0,IF((YEAR(D163)+11)&gt;YEAR(E163),1,(12-MONTH(E163)+1)/12))) + (Q163)*(IF((YEAR(D163)+11)&lt;YEAR(E163),0,IF((YEAR(D163)+11)&gt;YEAR(E163),1,(12-MONTH(E163)+1)/12))))-((P163)*(IF((YEAR(D163)+11)&lt;YEAR(E163),0,IF((YEAR(D163)+11)&gt;YEAR(E163),1,(12-MONTH(E163)+1)/12))) + (R163)*(IF((YEAR(D163)+11)&lt;YEAR(E163),0,IF((YEAR(D163)+11)&gt;YEAR(E163),1,(12-MONTH(E163)+1)/12))))-(IF(OR(N163="",N163&lt;=0),0,(O163/N163)*(IF(OR(N163="",N163&lt;=0),0,IF((YEAR(D163)+11)&lt;YEAR(E163),0,IF((YEAR(D163)+11)&gt;=YEAR(E163)+N163,0,IF((YEAR(D163)+11)=YEAR(E163),(12-MONTH(E163)+1)/12,1))))))))*TaxRate,0))-IF(11=0,O163,0))</f>
        <v/>
      </c>
      <c r="AE163" s="29">
        <f>IF(A163="","",((K163)*(IF(M163="",L163,IFERROR(IF(INDEX(Variablen!$I:$AT, MATCH(M163, Variablen!$A:$A, 0), MATCH((YEAR(D163)+12), Variablen!$I$3:$AT$3, 0))="",L163,INDEX(Variablen!$I:$AT, MATCH(M163, Variablen!$A:$A, 0), MATCH((YEAR(D163)+12), Variablen!$I$3:$AT$3, 0))),L163)))*(IF((YEAR(D163)+12)&lt;YEAR(E163),0,IF((YEAR(D163)+12)&gt;YEAR(E163),1,(12-MONTH(E163)+1)/12))) + (Q163)*(IF((YEAR(D163)+12)&lt;YEAR(E163),0,IF((YEAR(D163)+12)&gt;YEAR(E163),1,(12-MONTH(E163)+1)/12))))-((P163)*(IF((YEAR(D163)+12)&lt;YEAR(E163),0,IF((YEAR(D163)+12)&gt;YEAR(E163),1,(12-MONTH(E163)+1)/12))) + (R163)*(IF((YEAR(D163)+12)&lt;YEAR(E163),0,IF((YEAR(D163)+12)&gt;YEAR(E163),1,(12-MONTH(E163)+1)/12))))-(IF((((K163)*(IF(M163="",L163,IFERROR(IF(INDEX(Variablen!$I:$AT, MATCH(M163, Variablen!$A:$A, 0), MATCH((YEAR(D163)+12), Variablen!$I$3:$AT$3, 0))="",L163,INDEX(Variablen!$I:$AT, MATCH(M163, Variablen!$A:$A, 0), MATCH((YEAR(D163)+12), Variablen!$I$3:$AT$3, 0))),L163)))*(IF((YEAR(D163)+12)&lt;YEAR(E163),0,IF((YEAR(D163)+12)&gt;YEAR(E163),1,(12-MONTH(E163)+1)/12))) + (Q163)*(IF((YEAR(D163)+12)&lt;YEAR(E163),0,IF((YEAR(D163)+12)&gt;YEAR(E163),1,(12-MONTH(E163)+1)/12))))-((P163)*(IF((YEAR(D163)+12)&lt;YEAR(E163),0,IF((YEAR(D163)+12)&gt;YEAR(E163),1,(12-MONTH(E163)+1)/12))) + (R163)*(IF((YEAR(D163)+12)&lt;YEAR(E163),0,IF((YEAR(D163)+12)&gt;YEAR(E163),1,(12-MONTH(E163)+1)/12))))-(IF(OR(N163="",N163&lt;=0),0,(O163/N163)*(IF(OR(N163="",N163&lt;=0),0,IF((YEAR(D163)+12)&lt;YEAR(E163),0,IF((YEAR(D163)+12)&gt;=YEAR(E163)+N163,0,IF((YEAR(D163)+12)=YEAR(E163),(12-MONTH(E163)+1)/12,1))))))))&gt;0,(((K163)*(IF(M163="",L163,IFERROR(IF(INDEX(Variablen!$I:$AT, MATCH(M163, Variablen!$A:$A, 0), MATCH((YEAR(D163)+12), Variablen!$I$3:$AT$3, 0))="",L163,INDEX(Variablen!$I:$AT, MATCH(M163, Variablen!$A:$A, 0), MATCH((YEAR(D163)+12), Variablen!$I$3:$AT$3, 0))),L163)))*(IF((YEAR(D163)+12)&lt;YEAR(E163),0,IF((YEAR(D163)+12)&gt;YEAR(E163),1,(12-MONTH(E163)+1)/12))) + (Q163)*(IF((YEAR(D163)+12)&lt;YEAR(E163),0,IF((YEAR(D163)+12)&gt;YEAR(E163),1,(12-MONTH(E163)+1)/12))))-((P163)*(IF((YEAR(D163)+12)&lt;YEAR(E163),0,IF((YEAR(D163)+12)&gt;YEAR(E163),1,(12-MONTH(E163)+1)/12))) + (R163)*(IF((YEAR(D163)+12)&lt;YEAR(E163),0,IF((YEAR(D163)+12)&gt;YEAR(E163),1,(12-MONTH(E163)+1)/12))))-(IF(OR(N163="",N163&lt;=0),0,(O163/N163)*(IF(OR(N163="",N163&lt;=0),0,IF((YEAR(D163)+12)&lt;YEAR(E163),0,IF((YEAR(D163)+12)&gt;=YEAR(E163)+N163,0,IF((YEAR(D163)+12)=YEAR(E163),(12-MONTH(E163)+1)/12,1))))))))*TaxRate,0))-IF(12=0,O163,0))</f>
        <v/>
      </c>
      <c r="AF163" s="29">
        <f>IF(A163="","",((K163)*(IF(M163="",L163,IFERROR(IF(INDEX(Variablen!$I:$AT, MATCH(M163, Variablen!$A:$A, 0), MATCH((YEAR(D163)+13), Variablen!$I$3:$AT$3, 0))="",L163,INDEX(Variablen!$I:$AT, MATCH(M163, Variablen!$A:$A, 0), MATCH((YEAR(D163)+13), Variablen!$I$3:$AT$3, 0))),L163)))*(IF((YEAR(D163)+13)&lt;YEAR(E163),0,IF((YEAR(D163)+13)&gt;YEAR(E163),1,(12-MONTH(E163)+1)/12))) + (Q163)*(IF((YEAR(D163)+13)&lt;YEAR(E163),0,IF((YEAR(D163)+13)&gt;YEAR(E163),1,(12-MONTH(E163)+1)/12))))-((P163)*(IF((YEAR(D163)+13)&lt;YEAR(E163),0,IF((YEAR(D163)+13)&gt;YEAR(E163),1,(12-MONTH(E163)+1)/12))) + (R163)*(IF((YEAR(D163)+13)&lt;YEAR(E163),0,IF((YEAR(D163)+13)&gt;YEAR(E163),1,(12-MONTH(E163)+1)/12))))-(IF((((K163)*(IF(M163="",L163,IFERROR(IF(INDEX(Variablen!$I:$AT, MATCH(M163, Variablen!$A:$A, 0), MATCH((YEAR(D163)+13), Variablen!$I$3:$AT$3, 0))="",L163,INDEX(Variablen!$I:$AT, MATCH(M163, Variablen!$A:$A, 0), MATCH((YEAR(D163)+13), Variablen!$I$3:$AT$3, 0))),L163)))*(IF((YEAR(D163)+13)&lt;YEAR(E163),0,IF((YEAR(D163)+13)&gt;YEAR(E163),1,(12-MONTH(E163)+1)/12))) + (Q163)*(IF((YEAR(D163)+13)&lt;YEAR(E163),0,IF((YEAR(D163)+13)&gt;YEAR(E163),1,(12-MONTH(E163)+1)/12))))-((P163)*(IF((YEAR(D163)+13)&lt;YEAR(E163),0,IF((YEAR(D163)+13)&gt;YEAR(E163),1,(12-MONTH(E163)+1)/12))) + (R163)*(IF((YEAR(D163)+13)&lt;YEAR(E163),0,IF((YEAR(D163)+13)&gt;YEAR(E163),1,(12-MONTH(E163)+1)/12))))-(IF(OR(N163="",N163&lt;=0),0,(O163/N163)*(IF(OR(N163="",N163&lt;=0),0,IF((YEAR(D163)+13)&lt;YEAR(E163),0,IF((YEAR(D163)+13)&gt;=YEAR(E163)+N163,0,IF((YEAR(D163)+13)=YEAR(E163),(12-MONTH(E163)+1)/12,1))))))))&gt;0,(((K163)*(IF(M163="",L163,IFERROR(IF(INDEX(Variablen!$I:$AT, MATCH(M163, Variablen!$A:$A, 0), MATCH((YEAR(D163)+13), Variablen!$I$3:$AT$3, 0))="",L163,INDEX(Variablen!$I:$AT, MATCH(M163, Variablen!$A:$A, 0), MATCH((YEAR(D163)+13), Variablen!$I$3:$AT$3, 0))),L163)))*(IF((YEAR(D163)+13)&lt;YEAR(E163),0,IF((YEAR(D163)+13)&gt;YEAR(E163),1,(12-MONTH(E163)+1)/12))) + (Q163)*(IF((YEAR(D163)+13)&lt;YEAR(E163),0,IF((YEAR(D163)+13)&gt;YEAR(E163),1,(12-MONTH(E163)+1)/12))))-((P163)*(IF((YEAR(D163)+13)&lt;YEAR(E163),0,IF((YEAR(D163)+13)&gt;YEAR(E163),1,(12-MONTH(E163)+1)/12))) + (R163)*(IF((YEAR(D163)+13)&lt;YEAR(E163),0,IF((YEAR(D163)+13)&gt;YEAR(E163),1,(12-MONTH(E163)+1)/12))))-(IF(OR(N163="",N163&lt;=0),0,(O163/N163)*(IF(OR(N163="",N163&lt;=0),0,IF((YEAR(D163)+13)&lt;YEAR(E163),0,IF((YEAR(D163)+13)&gt;=YEAR(E163)+N163,0,IF((YEAR(D163)+13)=YEAR(E163),(12-MONTH(E163)+1)/12,1))))))))*TaxRate,0))-IF(13=0,O163,0))</f>
        <v/>
      </c>
      <c r="AG163" s="29">
        <f>IF(A163="","",((K163)*(IF(M163="",L163,IFERROR(IF(INDEX(Variablen!$I:$AT, MATCH(M163, Variablen!$A:$A, 0), MATCH((YEAR(D163)+14), Variablen!$I$3:$AT$3, 0))="",L163,INDEX(Variablen!$I:$AT, MATCH(M163, Variablen!$A:$A, 0), MATCH((YEAR(D163)+14), Variablen!$I$3:$AT$3, 0))),L163)))*(IF((YEAR(D163)+14)&lt;YEAR(E163),0,IF((YEAR(D163)+14)&gt;YEAR(E163),1,(12-MONTH(E163)+1)/12))) + (Q163)*(IF((YEAR(D163)+14)&lt;YEAR(E163),0,IF((YEAR(D163)+14)&gt;YEAR(E163),1,(12-MONTH(E163)+1)/12))))-((P163)*(IF((YEAR(D163)+14)&lt;YEAR(E163),0,IF((YEAR(D163)+14)&gt;YEAR(E163),1,(12-MONTH(E163)+1)/12))) + (R163)*(IF((YEAR(D163)+14)&lt;YEAR(E163),0,IF((YEAR(D163)+14)&gt;YEAR(E163),1,(12-MONTH(E163)+1)/12))))-(IF((((K163)*(IF(M163="",L163,IFERROR(IF(INDEX(Variablen!$I:$AT, MATCH(M163, Variablen!$A:$A, 0), MATCH((YEAR(D163)+14), Variablen!$I$3:$AT$3, 0))="",L163,INDEX(Variablen!$I:$AT, MATCH(M163, Variablen!$A:$A, 0), MATCH((YEAR(D163)+14), Variablen!$I$3:$AT$3, 0))),L163)))*(IF((YEAR(D163)+14)&lt;YEAR(E163),0,IF((YEAR(D163)+14)&gt;YEAR(E163),1,(12-MONTH(E163)+1)/12))) + (Q163)*(IF((YEAR(D163)+14)&lt;YEAR(E163),0,IF((YEAR(D163)+14)&gt;YEAR(E163),1,(12-MONTH(E163)+1)/12))))-((P163)*(IF((YEAR(D163)+14)&lt;YEAR(E163),0,IF((YEAR(D163)+14)&gt;YEAR(E163),1,(12-MONTH(E163)+1)/12))) + (R163)*(IF((YEAR(D163)+14)&lt;YEAR(E163),0,IF((YEAR(D163)+14)&gt;YEAR(E163),1,(12-MONTH(E163)+1)/12))))-(IF(OR(N163="",N163&lt;=0),0,(O163/N163)*(IF(OR(N163="",N163&lt;=0),0,IF((YEAR(D163)+14)&lt;YEAR(E163),0,IF((YEAR(D163)+14)&gt;=YEAR(E163)+N163,0,IF((YEAR(D163)+14)=YEAR(E163),(12-MONTH(E163)+1)/12,1))))))))&gt;0,(((K163)*(IF(M163="",L163,IFERROR(IF(INDEX(Variablen!$I:$AT, MATCH(M163, Variablen!$A:$A, 0), MATCH((YEAR(D163)+14), Variablen!$I$3:$AT$3, 0))="",L163,INDEX(Variablen!$I:$AT, MATCH(M163, Variablen!$A:$A, 0), MATCH((YEAR(D163)+14), Variablen!$I$3:$AT$3, 0))),L163)))*(IF((YEAR(D163)+14)&lt;YEAR(E163),0,IF((YEAR(D163)+14)&gt;YEAR(E163),1,(12-MONTH(E163)+1)/12))) + (Q163)*(IF((YEAR(D163)+14)&lt;YEAR(E163),0,IF((YEAR(D163)+14)&gt;YEAR(E163),1,(12-MONTH(E163)+1)/12))))-((P163)*(IF((YEAR(D163)+14)&lt;YEAR(E163),0,IF((YEAR(D163)+14)&gt;YEAR(E163),1,(12-MONTH(E163)+1)/12))) + (R163)*(IF((YEAR(D163)+14)&lt;YEAR(E163),0,IF((YEAR(D163)+14)&gt;YEAR(E163),1,(12-MONTH(E163)+1)/12))))-(IF(OR(N163="",N163&lt;=0),0,(O163/N163)*(IF(OR(N163="",N163&lt;=0),0,IF((YEAR(D163)+14)&lt;YEAR(E163),0,IF((YEAR(D163)+14)&gt;=YEAR(E163)+N163,0,IF((YEAR(D163)+14)=YEAR(E163),(12-MONTH(E163)+1)/12,1))))))))*TaxRate,0))-IF(14=0,O163,0))</f>
        <v/>
      </c>
      <c r="AH163" s="29">
        <f>IF(A163="","",((K163)*(IF(M163="",L163,IFERROR(IF(INDEX(Variablen!$I:$AT, MATCH(M163, Variablen!$A:$A, 0), MATCH((YEAR(D163)+15), Variablen!$I$3:$AT$3, 0))="",L163,INDEX(Variablen!$I:$AT, MATCH(M163, Variablen!$A:$A, 0), MATCH((YEAR(D163)+15), Variablen!$I$3:$AT$3, 0))),L163)))*(IF((YEAR(D163)+15)&lt;YEAR(E163),0,IF((YEAR(D163)+15)&gt;YEAR(E163),1,(12-MONTH(E163)+1)/12))) + (Q163)*(IF((YEAR(D163)+15)&lt;YEAR(E163),0,IF((YEAR(D163)+15)&gt;YEAR(E163),1,(12-MONTH(E163)+1)/12))))-((P163)*(IF((YEAR(D163)+15)&lt;YEAR(E163),0,IF((YEAR(D163)+15)&gt;YEAR(E163),1,(12-MONTH(E163)+1)/12))) + (R163)*(IF((YEAR(D163)+15)&lt;YEAR(E163),0,IF((YEAR(D163)+15)&gt;YEAR(E163),1,(12-MONTH(E163)+1)/12))))-(IF((((K163)*(IF(M163="",L163,IFERROR(IF(INDEX(Variablen!$I:$AT, MATCH(M163, Variablen!$A:$A, 0), MATCH((YEAR(D163)+15), Variablen!$I$3:$AT$3, 0))="",L163,INDEX(Variablen!$I:$AT, MATCH(M163, Variablen!$A:$A, 0), MATCH((YEAR(D163)+15), Variablen!$I$3:$AT$3, 0))),L163)))*(IF((YEAR(D163)+15)&lt;YEAR(E163),0,IF((YEAR(D163)+15)&gt;YEAR(E163),1,(12-MONTH(E163)+1)/12))) + (Q163)*(IF((YEAR(D163)+15)&lt;YEAR(E163),0,IF((YEAR(D163)+15)&gt;YEAR(E163),1,(12-MONTH(E163)+1)/12))))-((P163)*(IF((YEAR(D163)+15)&lt;YEAR(E163),0,IF((YEAR(D163)+15)&gt;YEAR(E163),1,(12-MONTH(E163)+1)/12))) + (R163)*(IF((YEAR(D163)+15)&lt;YEAR(E163),0,IF((YEAR(D163)+15)&gt;YEAR(E163),1,(12-MONTH(E163)+1)/12))))-(IF(OR(N163="",N163&lt;=0),0,(O163/N163)*(IF(OR(N163="",N163&lt;=0),0,IF((YEAR(D163)+15)&lt;YEAR(E163),0,IF((YEAR(D163)+15)&gt;=YEAR(E163)+N163,0,IF((YEAR(D163)+15)=YEAR(E163),(12-MONTH(E163)+1)/12,1))))))))&gt;0,(((K163)*(IF(M163="",L163,IFERROR(IF(INDEX(Variablen!$I:$AT, MATCH(M163, Variablen!$A:$A, 0), MATCH((YEAR(D163)+15), Variablen!$I$3:$AT$3, 0))="",L163,INDEX(Variablen!$I:$AT, MATCH(M163, Variablen!$A:$A, 0), MATCH((YEAR(D163)+15), Variablen!$I$3:$AT$3, 0))),L163)))*(IF((YEAR(D163)+15)&lt;YEAR(E163),0,IF((YEAR(D163)+15)&gt;YEAR(E163),1,(12-MONTH(E163)+1)/12))) + (Q163)*(IF((YEAR(D163)+15)&lt;YEAR(E163),0,IF((YEAR(D163)+15)&gt;YEAR(E163),1,(12-MONTH(E163)+1)/12))))-((P163)*(IF((YEAR(D163)+15)&lt;YEAR(E163),0,IF((YEAR(D163)+15)&gt;YEAR(E163),1,(12-MONTH(E163)+1)/12))) + (R163)*(IF((YEAR(D163)+15)&lt;YEAR(E163),0,IF((YEAR(D163)+15)&gt;YEAR(E163),1,(12-MONTH(E163)+1)/12))))-(IF(OR(N163="",N163&lt;=0),0,(O163/N163)*(IF(OR(N163="",N163&lt;=0),0,IF((YEAR(D163)+15)&lt;YEAR(E163),0,IF((YEAR(D163)+15)&gt;=YEAR(E163)+N163,0,IF((YEAR(D163)+15)=YEAR(E163),(12-MONTH(E163)+1)/12,1))))))))*TaxRate,0))-IF(15=0,O163,0))</f>
        <v/>
      </c>
      <c r="AI163" s="29">
        <f>IF(A163="","",((K163)*(IF(M163="",L163,IFERROR(IF(INDEX(Variablen!$I:$AT, MATCH(M163, Variablen!$A:$A, 0), MATCH((YEAR(D163)+16), Variablen!$I$3:$AT$3, 0))="",L163,INDEX(Variablen!$I:$AT, MATCH(M163, Variablen!$A:$A, 0), MATCH((YEAR(D163)+16), Variablen!$I$3:$AT$3, 0))),L163)))*(IF((YEAR(D163)+16)&lt;YEAR(E163),0,IF((YEAR(D163)+16)&gt;YEAR(E163),1,(12-MONTH(E163)+1)/12))) + (Q163)*(IF((YEAR(D163)+16)&lt;YEAR(E163),0,IF((YEAR(D163)+16)&gt;YEAR(E163),1,(12-MONTH(E163)+1)/12))))-((P163)*(IF((YEAR(D163)+16)&lt;YEAR(E163),0,IF((YEAR(D163)+16)&gt;YEAR(E163),1,(12-MONTH(E163)+1)/12))) + (R163)*(IF((YEAR(D163)+16)&lt;YEAR(E163),0,IF((YEAR(D163)+16)&gt;YEAR(E163),1,(12-MONTH(E163)+1)/12))))-(IF((((K163)*(IF(M163="",L163,IFERROR(IF(INDEX(Variablen!$I:$AT, MATCH(M163, Variablen!$A:$A, 0), MATCH((YEAR(D163)+16), Variablen!$I$3:$AT$3, 0))="",L163,INDEX(Variablen!$I:$AT, MATCH(M163, Variablen!$A:$A, 0), MATCH((YEAR(D163)+16), Variablen!$I$3:$AT$3, 0))),L163)))*(IF((YEAR(D163)+16)&lt;YEAR(E163),0,IF((YEAR(D163)+16)&gt;YEAR(E163),1,(12-MONTH(E163)+1)/12))) + (Q163)*(IF((YEAR(D163)+16)&lt;YEAR(E163),0,IF((YEAR(D163)+16)&gt;YEAR(E163),1,(12-MONTH(E163)+1)/12))))-((P163)*(IF((YEAR(D163)+16)&lt;YEAR(E163),0,IF((YEAR(D163)+16)&gt;YEAR(E163),1,(12-MONTH(E163)+1)/12))) + (R163)*(IF((YEAR(D163)+16)&lt;YEAR(E163),0,IF((YEAR(D163)+16)&gt;YEAR(E163),1,(12-MONTH(E163)+1)/12))))-(IF(OR(N163="",N163&lt;=0),0,(O163/N163)*(IF(OR(N163="",N163&lt;=0),0,IF((YEAR(D163)+16)&lt;YEAR(E163),0,IF((YEAR(D163)+16)&gt;=YEAR(E163)+N163,0,IF((YEAR(D163)+16)=YEAR(E163),(12-MONTH(E163)+1)/12,1))))))))&gt;0,(((K163)*(IF(M163="",L163,IFERROR(IF(INDEX(Variablen!$I:$AT, MATCH(M163, Variablen!$A:$A, 0), MATCH((YEAR(D163)+16), Variablen!$I$3:$AT$3, 0))="",L163,INDEX(Variablen!$I:$AT, MATCH(M163, Variablen!$A:$A, 0), MATCH((YEAR(D163)+16), Variablen!$I$3:$AT$3, 0))),L163)))*(IF((YEAR(D163)+16)&lt;YEAR(E163),0,IF((YEAR(D163)+16)&gt;YEAR(E163),1,(12-MONTH(E163)+1)/12))) + (Q163)*(IF((YEAR(D163)+16)&lt;YEAR(E163),0,IF((YEAR(D163)+16)&gt;YEAR(E163),1,(12-MONTH(E163)+1)/12))))-((P163)*(IF((YEAR(D163)+16)&lt;YEAR(E163),0,IF((YEAR(D163)+16)&gt;YEAR(E163),1,(12-MONTH(E163)+1)/12))) + (R163)*(IF((YEAR(D163)+16)&lt;YEAR(E163),0,IF((YEAR(D163)+16)&gt;YEAR(E163),1,(12-MONTH(E163)+1)/12))))-(IF(OR(N163="",N163&lt;=0),0,(O163/N163)*(IF(OR(N163="",N163&lt;=0),0,IF((YEAR(D163)+16)&lt;YEAR(E163),0,IF((YEAR(D163)+16)&gt;=YEAR(E163)+N163,0,IF((YEAR(D163)+16)=YEAR(E163),(12-MONTH(E163)+1)/12,1))))))))*TaxRate,0))-IF(16=0,O163,0))</f>
        <v/>
      </c>
      <c r="AJ163" s="29">
        <f>IF(A163="","",((K163)*(IF(M163="",L163,IFERROR(IF(INDEX(Variablen!$I:$AT, MATCH(M163, Variablen!$A:$A, 0), MATCH((YEAR(D163)+17), Variablen!$I$3:$AT$3, 0))="",L163,INDEX(Variablen!$I:$AT, MATCH(M163, Variablen!$A:$A, 0), MATCH((YEAR(D163)+17), Variablen!$I$3:$AT$3, 0))),L163)))*(IF((YEAR(D163)+17)&lt;YEAR(E163),0,IF((YEAR(D163)+17)&gt;YEAR(E163),1,(12-MONTH(E163)+1)/12))) + (Q163)*(IF((YEAR(D163)+17)&lt;YEAR(E163),0,IF((YEAR(D163)+17)&gt;YEAR(E163),1,(12-MONTH(E163)+1)/12))))-((P163)*(IF((YEAR(D163)+17)&lt;YEAR(E163),0,IF((YEAR(D163)+17)&gt;YEAR(E163),1,(12-MONTH(E163)+1)/12))) + (R163)*(IF((YEAR(D163)+17)&lt;YEAR(E163),0,IF((YEAR(D163)+17)&gt;YEAR(E163),1,(12-MONTH(E163)+1)/12))))-(IF((((K163)*(IF(M163="",L163,IFERROR(IF(INDEX(Variablen!$I:$AT, MATCH(M163, Variablen!$A:$A, 0), MATCH((YEAR(D163)+17), Variablen!$I$3:$AT$3, 0))="",L163,INDEX(Variablen!$I:$AT, MATCH(M163, Variablen!$A:$A, 0), MATCH((YEAR(D163)+17), Variablen!$I$3:$AT$3, 0))),L163)))*(IF((YEAR(D163)+17)&lt;YEAR(E163),0,IF((YEAR(D163)+17)&gt;YEAR(E163),1,(12-MONTH(E163)+1)/12))) + (Q163)*(IF((YEAR(D163)+17)&lt;YEAR(E163),0,IF((YEAR(D163)+17)&gt;YEAR(E163),1,(12-MONTH(E163)+1)/12))))-((P163)*(IF((YEAR(D163)+17)&lt;YEAR(E163),0,IF((YEAR(D163)+17)&gt;YEAR(E163),1,(12-MONTH(E163)+1)/12))) + (R163)*(IF((YEAR(D163)+17)&lt;YEAR(E163),0,IF((YEAR(D163)+17)&gt;YEAR(E163),1,(12-MONTH(E163)+1)/12))))-(IF(OR(N163="",N163&lt;=0),0,(O163/N163)*(IF(OR(N163="",N163&lt;=0),0,IF((YEAR(D163)+17)&lt;YEAR(E163),0,IF((YEAR(D163)+17)&gt;=YEAR(E163)+N163,0,IF((YEAR(D163)+17)=YEAR(E163),(12-MONTH(E163)+1)/12,1))))))))&gt;0,(((K163)*(IF(M163="",L163,IFERROR(IF(INDEX(Variablen!$I:$AT, MATCH(M163, Variablen!$A:$A, 0), MATCH((YEAR(D163)+17), Variablen!$I$3:$AT$3, 0))="",L163,INDEX(Variablen!$I:$AT, MATCH(M163, Variablen!$A:$A, 0), MATCH((YEAR(D163)+17), Variablen!$I$3:$AT$3, 0))),L163)))*(IF((YEAR(D163)+17)&lt;YEAR(E163),0,IF((YEAR(D163)+17)&gt;YEAR(E163),1,(12-MONTH(E163)+1)/12))) + (Q163)*(IF((YEAR(D163)+17)&lt;YEAR(E163),0,IF((YEAR(D163)+17)&gt;YEAR(E163),1,(12-MONTH(E163)+1)/12))))-((P163)*(IF((YEAR(D163)+17)&lt;YEAR(E163),0,IF((YEAR(D163)+17)&gt;YEAR(E163),1,(12-MONTH(E163)+1)/12))) + (R163)*(IF((YEAR(D163)+17)&lt;YEAR(E163),0,IF((YEAR(D163)+17)&gt;YEAR(E163),1,(12-MONTH(E163)+1)/12))))-(IF(OR(N163="",N163&lt;=0),0,(O163/N163)*(IF(OR(N163="",N163&lt;=0),0,IF((YEAR(D163)+17)&lt;YEAR(E163),0,IF((YEAR(D163)+17)&gt;=YEAR(E163)+N163,0,IF((YEAR(D163)+17)=YEAR(E163),(12-MONTH(E163)+1)/12,1))))))))*TaxRate,0))-IF(17=0,O163,0))</f>
        <v/>
      </c>
      <c r="AK163" s="29">
        <f>IF(A163="","",((K163)*(IF(M163="",L163,IFERROR(IF(INDEX(Variablen!$I:$AT, MATCH(M163, Variablen!$A:$A, 0), MATCH((YEAR(D163)+18), Variablen!$I$3:$AT$3, 0))="",L163,INDEX(Variablen!$I:$AT, MATCH(M163, Variablen!$A:$A, 0), MATCH((YEAR(D163)+18), Variablen!$I$3:$AT$3, 0))),L163)))*(IF((YEAR(D163)+18)&lt;YEAR(E163),0,IF((YEAR(D163)+18)&gt;YEAR(E163),1,(12-MONTH(E163)+1)/12))) + (Q163)*(IF((YEAR(D163)+18)&lt;YEAR(E163),0,IF((YEAR(D163)+18)&gt;YEAR(E163),1,(12-MONTH(E163)+1)/12))))-((P163)*(IF((YEAR(D163)+18)&lt;YEAR(E163),0,IF((YEAR(D163)+18)&gt;YEAR(E163),1,(12-MONTH(E163)+1)/12))) + (R163)*(IF((YEAR(D163)+18)&lt;YEAR(E163),0,IF((YEAR(D163)+18)&gt;YEAR(E163),1,(12-MONTH(E163)+1)/12))))-(IF((((K163)*(IF(M163="",L163,IFERROR(IF(INDEX(Variablen!$I:$AT, MATCH(M163, Variablen!$A:$A, 0), MATCH((YEAR(D163)+18), Variablen!$I$3:$AT$3, 0))="",L163,INDEX(Variablen!$I:$AT, MATCH(M163, Variablen!$A:$A, 0), MATCH((YEAR(D163)+18), Variablen!$I$3:$AT$3, 0))),L163)))*(IF((YEAR(D163)+18)&lt;YEAR(E163),0,IF((YEAR(D163)+18)&gt;YEAR(E163),1,(12-MONTH(E163)+1)/12))) + (Q163)*(IF((YEAR(D163)+18)&lt;YEAR(E163),0,IF((YEAR(D163)+18)&gt;YEAR(E163),1,(12-MONTH(E163)+1)/12))))-((P163)*(IF((YEAR(D163)+18)&lt;YEAR(E163),0,IF((YEAR(D163)+18)&gt;YEAR(E163),1,(12-MONTH(E163)+1)/12))) + (R163)*(IF((YEAR(D163)+18)&lt;YEAR(E163),0,IF((YEAR(D163)+18)&gt;YEAR(E163),1,(12-MONTH(E163)+1)/12))))-(IF(OR(N163="",N163&lt;=0),0,(O163/N163)*(IF(OR(N163="",N163&lt;=0),0,IF((YEAR(D163)+18)&lt;YEAR(E163),0,IF((YEAR(D163)+18)&gt;=YEAR(E163)+N163,0,IF((YEAR(D163)+18)=YEAR(E163),(12-MONTH(E163)+1)/12,1))))))))&gt;0,(((K163)*(IF(M163="",L163,IFERROR(IF(INDEX(Variablen!$I:$AT, MATCH(M163, Variablen!$A:$A, 0), MATCH((YEAR(D163)+18), Variablen!$I$3:$AT$3, 0))="",L163,INDEX(Variablen!$I:$AT, MATCH(M163, Variablen!$A:$A, 0), MATCH((YEAR(D163)+18), Variablen!$I$3:$AT$3, 0))),L163)))*(IF((YEAR(D163)+18)&lt;YEAR(E163),0,IF((YEAR(D163)+18)&gt;YEAR(E163),1,(12-MONTH(E163)+1)/12))) + (Q163)*(IF((YEAR(D163)+18)&lt;YEAR(E163),0,IF((YEAR(D163)+18)&gt;YEAR(E163),1,(12-MONTH(E163)+1)/12))))-((P163)*(IF((YEAR(D163)+18)&lt;YEAR(E163),0,IF((YEAR(D163)+18)&gt;YEAR(E163),1,(12-MONTH(E163)+1)/12))) + (R163)*(IF((YEAR(D163)+18)&lt;YEAR(E163),0,IF((YEAR(D163)+18)&gt;YEAR(E163),1,(12-MONTH(E163)+1)/12))))-(IF(OR(N163="",N163&lt;=0),0,(O163/N163)*(IF(OR(N163="",N163&lt;=0),0,IF((YEAR(D163)+18)&lt;YEAR(E163),0,IF((YEAR(D163)+18)&gt;=YEAR(E163)+N163,0,IF((YEAR(D163)+18)=YEAR(E163),(12-MONTH(E163)+1)/12,1))))))))*TaxRate,0))-IF(18=0,O163,0))</f>
        <v/>
      </c>
      <c r="AL163" s="29">
        <f>IF(A163="","",((K163)*(IF(M163="",L163,IFERROR(IF(INDEX(Variablen!$I:$AT, MATCH(M163, Variablen!$A:$A, 0), MATCH((YEAR(D163)+19), Variablen!$I$3:$AT$3, 0))="",L163,INDEX(Variablen!$I:$AT, MATCH(M163, Variablen!$A:$A, 0), MATCH((YEAR(D163)+19), Variablen!$I$3:$AT$3, 0))),L163)))*(IF((YEAR(D163)+19)&lt;YEAR(E163),0,IF((YEAR(D163)+19)&gt;YEAR(E163),1,(12-MONTH(E163)+1)/12))) + (Q163)*(IF((YEAR(D163)+19)&lt;YEAR(E163),0,IF((YEAR(D163)+19)&gt;YEAR(E163),1,(12-MONTH(E163)+1)/12))))-((P163)*(IF((YEAR(D163)+19)&lt;YEAR(E163),0,IF((YEAR(D163)+19)&gt;YEAR(E163),1,(12-MONTH(E163)+1)/12))) + (R163)*(IF((YEAR(D163)+19)&lt;YEAR(E163),0,IF((YEAR(D163)+19)&gt;YEAR(E163),1,(12-MONTH(E163)+1)/12))))-(IF((((K163)*(IF(M163="",L163,IFERROR(IF(INDEX(Variablen!$I:$AT, MATCH(M163, Variablen!$A:$A, 0), MATCH((YEAR(D163)+19), Variablen!$I$3:$AT$3, 0))="",L163,INDEX(Variablen!$I:$AT, MATCH(M163, Variablen!$A:$A, 0), MATCH((YEAR(D163)+19), Variablen!$I$3:$AT$3, 0))),L163)))*(IF((YEAR(D163)+19)&lt;YEAR(E163),0,IF((YEAR(D163)+19)&gt;YEAR(E163),1,(12-MONTH(E163)+1)/12))) + (Q163)*(IF((YEAR(D163)+19)&lt;YEAR(E163),0,IF((YEAR(D163)+19)&gt;YEAR(E163),1,(12-MONTH(E163)+1)/12))))-((P163)*(IF((YEAR(D163)+19)&lt;YEAR(E163),0,IF((YEAR(D163)+19)&gt;YEAR(E163),1,(12-MONTH(E163)+1)/12))) + (R163)*(IF((YEAR(D163)+19)&lt;YEAR(E163),0,IF((YEAR(D163)+19)&gt;YEAR(E163),1,(12-MONTH(E163)+1)/12))))-(IF(OR(N163="",N163&lt;=0),0,(O163/N163)*(IF(OR(N163="",N163&lt;=0),0,IF((YEAR(D163)+19)&lt;YEAR(E163),0,IF((YEAR(D163)+19)&gt;=YEAR(E163)+N163,0,IF((YEAR(D163)+19)=YEAR(E163),(12-MONTH(E163)+1)/12,1))))))))&gt;0,(((K163)*(IF(M163="",L163,IFERROR(IF(INDEX(Variablen!$I:$AT, MATCH(M163, Variablen!$A:$A, 0), MATCH((YEAR(D163)+19), Variablen!$I$3:$AT$3, 0))="",L163,INDEX(Variablen!$I:$AT, MATCH(M163, Variablen!$A:$A, 0), MATCH((YEAR(D163)+19), Variablen!$I$3:$AT$3, 0))),L163)))*(IF((YEAR(D163)+19)&lt;YEAR(E163),0,IF((YEAR(D163)+19)&gt;YEAR(E163),1,(12-MONTH(E163)+1)/12))) + (Q163)*(IF((YEAR(D163)+19)&lt;YEAR(E163),0,IF((YEAR(D163)+19)&gt;YEAR(E163),1,(12-MONTH(E163)+1)/12))))-((P163)*(IF((YEAR(D163)+19)&lt;YEAR(E163),0,IF((YEAR(D163)+19)&gt;YEAR(E163),1,(12-MONTH(E163)+1)/12))) + (R163)*(IF((YEAR(D163)+19)&lt;YEAR(E163),0,IF((YEAR(D163)+19)&gt;YEAR(E163),1,(12-MONTH(E163)+1)/12))))-(IF(OR(N163="",N163&lt;=0),0,(O163/N163)*(IF(OR(N163="",N163&lt;=0),0,IF((YEAR(D163)+19)&lt;YEAR(E163),0,IF((YEAR(D163)+19)&gt;=YEAR(E163)+N163,0,IF((YEAR(D163)+19)=YEAR(E163),(12-MONTH(E163)+1)/12,1))))))))*TaxRate,0))-IF(19=0,O163,0))</f>
        <v/>
      </c>
      <c r="AM163" s="29">
        <f>IF(A163="","",((K163)*(IF(M163="",L163,IFERROR(IF(INDEX(Variablen!$I:$AT, MATCH(M163, Variablen!$A:$A, 0), MATCH((YEAR(D163)+20), Variablen!$I$3:$AT$3, 0))="",L163,INDEX(Variablen!$I:$AT, MATCH(M163, Variablen!$A:$A, 0), MATCH((YEAR(D163)+20), Variablen!$I$3:$AT$3, 0))),L163)))*(IF((YEAR(D163)+20)&lt;YEAR(E163),0,IF((YEAR(D163)+20)&gt;YEAR(E163),1,(12-MONTH(E163)+1)/12))) + (Q163)*(IF((YEAR(D163)+20)&lt;YEAR(E163),0,IF((YEAR(D163)+20)&gt;YEAR(E163),1,(12-MONTH(E163)+1)/12))))-((P163)*(IF((YEAR(D163)+20)&lt;YEAR(E163),0,IF((YEAR(D163)+20)&gt;YEAR(E163),1,(12-MONTH(E163)+1)/12))) + (R163)*(IF((YEAR(D163)+20)&lt;YEAR(E163),0,IF((YEAR(D163)+20)&gt;YEAR(E163),1,(12-MONTH(E163)+1)/12))))-(IF((((K163)*(IF(M163="",L163,IFERROR(IF(INDEX(Variablen!$I:$AT, MATCH(M163, Variablen!$A:$A, 0), MATCH((YEAR(D163)+20), Variablen!$I$3:$AT$3, 0))="",L163,INDEX(Variablen!$I:$AT, MATCH(M163, Variablen!$A:$A, 0), MATCH((YEAR(D163)+20), Variablen!$I$3:$AT$3, 0))),L163)))*(IF((YEAR(D163)+20)&lt;YEAR(E163),0,IF((YEAR(D163)+20)&gt;YEAR(E163),1,(12-MONTH(E163)+1)/12))) + (Q163)*(IF((YEAR(D163)+20)&lt;YEAR(E163),0,IF((YEAR(D163)+20)&gt;YEAR(E163),1,(12-MONTH(E163)+1)/12))))-((P163)*(IF((YEAR(D163)+20)&lt;YEAR(E163),0,IF((YEAR(D163)+20)&gt;YEAR(E163),1,(12-MONTH(E163)+1)/12))) + (R163)*(IF((YEAR(D163)+20)&lt;YEAR(E163),0,IF((YEAR(D163)+20)&gt;YEAR(E163),1,(12-MONTH(E163)+1)/12))))-(IF(OR(N163="",N163&lt;=0),0,(O163/N163)*(IF(OR(N163="",N163&lt;=0),0,IF((YEAR(D163)+20)&lt;YEAR(E163),0,IF((YEAR(D163)+20)&gt;=YEAR(E163)+N163,0,IF((YEAR(D163)+20)=YEAR(E163),(12-MONTH(E163)+1)/12,1))))))))&gt;0,(((K163)*(IF(M163="",L163,IFERROR(IF(INDEX(Variablen!$I:$AT, MATCH(M163, Variablen!$A:$A, 0), MATCH((YEAR(D163)+20), Variablen!$I$3:$AT$3, 0))="",L163,INDEX(Variablen!$I:$AT, MATCH(M163, Variablen!$A:$A, 0), MATCH((YEAR(D163)+20), Variablen!$I$3:$AT$3, 0))),L163)))*(IF((YEAR(D163)+20)&lt;YEAR(E163),0,IF((YEAR(D163)+20)&gt;YEAR(E163),1,(12-MONTH(E163)+1)/12))) + (Q163)*(IF((YEAR(D163)+20)&lt;YEAR(E163),0,IF((YEAR(D163)+20)&gt;YEAR(E163),1,(12-MONTH(E163)+1)/12))))-((P163)*(IF((YEAR(D163)+20)&lt;YEAR(E163),0,IF((YEAR(D163)+20)&gt;YEAR(E163),1,(12-MONTH(E163)+1)/12))) + (R163)*(IF((YEAR(D163)+20)&lt;YEAR(E163),0,IF((YEAR(D163)+20)&gt;YEAR(E163),1,(12-MONTH(E163)+1)/12))))-(IF(OR(N163="",N163&lt;=0),0,(O163/N163)*(IF(OR(N163="",N163&lt;=0),0,IF((YEAR(D163)+20)&lt;YEAR(E163),0,IF((YEAR(D163)+20)&gt;=YEAR(E163)+N163,0,IF((YEAR(D163)+20)=YEAR(E163),(12-MONTH(E163)+1)/12,1))))))))*TaxRate,0))-IF(20=0,O163,0))</f>
        <v/>
      </c>
      <c r="AN163" s="29">
        <f>IF(A163="","",S163)</f>
        <v/>
      </c>
      <c r="AO163" s="29">
        <f>IF(A163="","",AN163+T163)</f>
        <v/>
      </c>
      <c r="AP163" s="29">
        <f>IF(A163="","",AO163+U163)</f>
        <v/>
      </c>
      <c r="AQ163" s="29">
        <f>IF(A163="","",AP163+V163)</f>
        <v/>
      </c>
      <c r="AR163" s="29">
        <f>IF(A163="","",AQ163+W163)</f>
        <v/>
      </c>
      <c r="AS163" s="29">
        <f>IF(A163="","",AR163+X163)</f>
        <v/>
      </c>
      <c r="AT163" s="29">
        <f>IF(A163="","",AS163+Y163)</f>
        <v/>
      </c>
      <c r="AU163" s="29">
        <f>IF(A163="","",AT163+Z163)</f>
        <v/>
      </c>
      <c r="AV163" s="29">
        <f>IF(A163="","",AU163+AA163)</f>
        <v/>
      </c>
      <c r="AW163" s="29">
        <f>IF(A163="","",AV163+AB163)</f>
        <v/>
      </c>
      <c r="AX163" s="29">
        <f>IF(A163="","",AW163+AC163)</f>
        <v/>
      </c>
      <c r="AY163" s="29">
        <f>IF(A163="","",AX163+AD163)</f>
        <v/>
      </c>
      <c r="AZ163" s="29">
        <f>IF(A163="","",AY163+AE163)</f>
        <v/>
      </c>
      <c r="BA163" s="29">
        <f>IF(A163="","",AZ163+AF163)</f>
        <v/>
      </c>
      <c r="BB163" s="29">
        <f>IF(A163="","",BA163+AG163)</f>
        <v/>
      </c>
      <c r="BC163" s="29">
        <f>IF(A163="","",BB163+AH163)</f>
        <v/>
      </c>
      <c r="BD163" s="29">
        <f>IF(A163="","",BC163+AI163)</f>
        <v/>
      </c>
      <c r="BE163" s="29">
        <f>IF(A163="","",BD163+AJ163)</f>
        <v/>
      </c>
      <c r="BF163" s="29">
        <f>IF(A163="","",BE163+AK163)</f>
        <v/>
      </c>
      <c r="BG163" s="29">
        <f>IF(A163="","",BF163+AL163)</f>
        <v/>
      </c>
      <c r="BH163" s="29">
        <f>IF(A163="","",BG163+AM163)</f>
        <v/>
      </c>
      <c r="BI163" s="36">
        <f>IF(A163="","",(K163)*(IF((YEAR(D163)+0)&lt;YEAR(E163),0,IF((YEAR(D163)+0)&gt;YEAR(E163),1,(12-MONTH(E163)+1)/12)))*(1/(1+DiscountRate)^0))</f>
        <v/>
      </c>
      <c r="BJ163" s="36">
        <f>IF(A163="","",(K163)*(IF((YEAR(D163)+1)&lt;YEAR(E163),0,IF((YEAR(D163)+1)&gt;YEAR(E163),1,(12-MONTH(E163)+1)/12)))*(1/(1+DiscountRate)^1))</f>
        <v/>
      </c>
      <c r="BK163" s="36">
        <f>IF(A163="","",(K163)*(IF((YEAR(D163)+2)&lt;YEAR(E163),0,IF((YEAR(D163)+2)&gt;YEAR(E163),1,(12-MONTH(E163)+1)/12)))*(1/(1+DiscountRate)^2))</f>
        <v/>
      </c>
      <c r="BL163" s="36">
        <f>IF(A163="","",(K163)*(IF((YEAR(D163)+3)&lt;YEAR(E163),0,IF((YEAR(D163)+3)&gt;YEAR(E163),1,(12-MONTH(E163)+1)/12)))*(1/(1+DiscountRate)^3))</f>
        <v/>
      </c>
      <c r="BM163" s="36">
        <f>IF(A163="","",(K163)*(IF((YEAR(D163)+4)&lt;YEAR(E163),0,IF((YEAR(D163)+4)&gt;YEAR(E163),1,(12-MONTH(E163)+1)/12)))*(1/(1+DiscountRate)^4))</f>
        <v/>
      </c>
      <c r="BN163" s="36">
        <f>IF(A163="","",(K163)*(IF((YEAR(D163)+5)&lt;YEAR(E163),0,IF((YEAR(D163)+5)&gt;YEAR(E163),1,(12-MONTH(E163)+1)/12)))*(1/(1+DiscountRate)^5))</f>
        <v/>
      </c>
      <c r="BO163" s="36">
        <f>IF(A163="","",(K163)*(IF((YEAR(D163)+6)&lt;YEAR(E163),0,IF((YEAR(D163)+6)&gt;YEAR(E163),1,(12-MONTH(E163)+1)/12)))*(1/(1+DiscountRate)^6))</f>
        <v/>
      </c>
      <c r="BP163" s="36">
        <f>IF(A163="","",(K163)*(IF((YEAR(D163)+7)&lt;YEAR(E163),0,IF((YEAR(D163)+7)&gt;YEAR(E163),1,(12-MONTH(E163)+1)/12)))*(1/(1+DiscountRate)^7))</f>
        <v/>
      </c>
      <c r="BQ163" s="36">
        <f>IF(A163="","",(K163)*(IF((YEAR(D163)+8)&lt;YEAR(E163),0,IF((YEAR(D163)+8)&gt;YEAR(E163),1,(12-MONTH(E163)+1)/12)))*(1/(1+DiscountRate)^8))</f>
        <v/>
      </c>
      <c r="BR163" s="36">
        <f>IF(A163="","",(K163)*(IF((YEAR(D163)+9)&lt;YEAR(E163),0,IF((YEAR(D163)+9)&gt;YEAR(E163),1,(12-MONTH(E163)+1)/12)))*(1/(1+DiscountRate)^9))</f>
        <v/>
      </c>
      <c r="BS163" s="36">
        <f>IF(A163="","",(K163)*(IF((YEAR(D163)+10)&lt;YEAR(E163),0,IF((YEAR(D163)+10)&gt;YEAR(E163),1,(12-MONTH(E163)+1)/12)))*(1/(1+DiscountRate)^10))</f>
        <v/>
      </c>
      <c r="BT163" s="36">
        <f>IF(A163="","",(K163)*(IF((YEAR(D163)+11)&lt;YEAR(E163),0,IF((YEAR(D163)+11)&gt;YEAR(E163),1,(12-MONTH(E163)+1)/12)))*(1/(1+DiscountRate)^11))</f>
        <v/>
      </c>
      <c r="BU163" s="36">
        <f>IF(A163="","",(K163)*(IF((YEAR(D163)+12)&lt;YEAR(E163),0,IF((YEAR(D163)+12)&gt;YEAR(E163),1,(12-MONTH(E163)+1)/12)))*(1/(1+DiscountRate)^12))</f>
        <v/>
      </c>
      <c r="BV163" s="36">
        <f>IF(A163="","",(K163)*(IF((YEAR(D163)+13)&lt;YEAR(E163),0,IF((YEAR(D163)+13)&gt;YEAR(E163),1,(12-MONTH(E163)+1)/12)))*(1/(1+DiscountRate)^13))</f>
        <v/>
      </c>
      <c r="BW163" s="36">
        <f>IF(A163="","",(K163)*(IF((YEAR(D163)+14)&lt;YEAR(E163),0,IF((YEAR(D163)+14)&gt;YEAR(E163),1,(12-MONTH(E163)+1)/12)))*(1/(1+DiscountRate)^14))</f>
        <v/>
      </c>
      <c r="BX163" s="36">
        <f>IF(A163="","",(K163)*(IF((YEAR(D163)+15)&lt;YEAR(E163),0,IF((YEAR(D163)+15)&gt;YEAR(E163),1,(12-MONTH(E163)+1)/12)))*(1/(1+DiscountRate)^15))</f>
        <v/>
      </c>
      <c r="BY163" s="36">
        <f>IF(A163="","",(K163)*(IF((YEAR(D163)+16)&lt;YEAR(E163),0,IF((YEAR(D163)+16)&gt;YEAR(E163),1,(12-MONTH(E163)+1)/12)))*(1/(1+DiscountRate)^16))</f>
        <v/>
      </c>
      <c r="BZ163" s="36">
        <f>IF(A163="","",(K163)*(IF((YEAR(D163)+17)&lt;YEAR(E163),0,IF((YEAR(D163)+17)&gt;YEAR(E163),1,(12-MONTH(E163)+1)/12)))*(1/(1+DiscountRate)^17))</f>
        <v/>
      </c>
      <c r="CA163" s="36">
        <f>IF(A163="","",(K163)*(IF((YEAR(D163)+18)&lt;YEAR(E163),0,IF((YEAR(D163)+18)&gt;YEAR(E163),1,(12-MONTH(E163)+1)/12)))*(1/(1+DiscountRate)^18))</f>
        <v/>
      </c>
      <c r="CB163" s="36">
        <f>IF(A163="","",(K163)*(IF((YEAR(D163)+19)&lt;YEAR(E163),0,IF((YEAR(D163)+19)&gt;YEAR(E163),1,(12-MONTH(E163)+1)/12)))*(1/(1+DiscountRate)^19))</f>
        <v/>
      </c>
      <c r="CC163" s="36">
        <f>IF(A163="","",(K163)*(IF((YEAR(D163)+20)&lt;YEAR(E163),0,IF((YEAR(D163)+20)&gt;YEAR(E163),1,(12-MONTH(E163)+1)/12)))*(1/(1+DiscountRate)^20))</f>
        <v/>
      </c>
      <c r="CD163" s="29">
        <f>IF(A163="","",S163/(1+DiscountRate)^0+T163/(1+DiscountRate)^1+U163/(1+DiscountRate)^2+V163/(1+DiscountRate)^3+W163/(1+DiscountRate)^4+X163/(1+DiscountRate)^5+Y163/(1+DiscountRate)^6+Z163/(1+DiscountRate)^7+AA163/(1+DiscountRate)^8+AB163/(1+DiscountRate)^9+AC163/(1+DiscountRate)^10+AD163/(1+DiscountRate)^11+AE163/(1+DiscountRate)^12+AF163/(1+DiscountRate)^13+AG163/(1+DiscountRate)^14+AH163/(1+DiscountRate)^15+AI163/(1+DiscountRate)^16+AJ163/(1+DiscountRate)^17+AK163/(1+DiscountRate)^18+AL163/(1+DiscountRate)^19+AM163/(1+DiscountRate)^20)</f>
        <v/>
      </c>
      <c r="CE163" s="37">
        <f>IF(A163="","",IFERROR(IRR(OFFSET(S163,0,0,1,MIN(HorizonYears,20)+1)),"n/a"))</f>
        <v/>
      </c>
      <c r="CF163" s="28">
        <f>IF(A163="","",IFERROR(MATCH(TRUE,OFFSET(AN163,0,0,1,MIN(HorizonYears,20)+1)&gt;=0,0)-1,"n/a"))</f>
        <v/>
      </c>
      <c r="CG163" s="36">
        <f>IF(A163="","",SUM(OFFSET(BI163,0,0,1,MIN(HorizonYears,20)+1)))</f>
        <v/>
      </c>
      <c r="CH163" s="36">
        <f>IF(A163="","",IFERROR(-CD163/CG163,"n/a"))</f>
        <v/>
      </c>
    </row>
    <row r="164">
      <c r="A164" s="6">
        <f>Actions!A162</f>
        <v/>
      </c>
      <c r="B164" s="6">
        <f>Actions!B162</f>
        <v/>
      </c>
      <c r="C164" s="6">
        <f>Actions!D162</f>
        <v/>
      </c>
      <c r="D164" s="35">
        <f>Actions!E162</f>
        <v/>
      </c>
      <c r="E164" s="35">
        <f>Actions!F162</f>
        <v/>
      </c>
      <c r="F164" s="6">
        <f>Actions!G162</f>
        <v/>
      </c>
      <c r="G164" s="6">
        <f>Actions!H162</f>
        <v/>
      </c>
      <c r="H164" s="29">
        <f>Actions!I162</f>
        <v/>
      </c>
      <c r="I164" s="6">
        <f>Actions!J162</f>
        <v/>
      </c>
      <c r="J164" s="16">
        <f>Actions!K162</f>
        <v/>
      </c>
      <c r="K164" s="16">
        <f>IF(A164="","",IF(I164="%",H164*J164,J164))</f>
        <v/>
      </c>
      <c r="L164" s="16">
        <f>Actions!L162</f>
        <v/>
      </c>
      <c r="M164" s="6">
        <f>Actions!M162</f>
        <v/>
      </c>
      <c r="N164" s="28">
        <f>Actions!N162</f>
        <v/>
      </c>
      <c r="O164" s="29">
        <f>Actions!T162</f>
        <v/>
      </c>
      <c r="P164" s="29">
        <f>Actions!Y162</f>
        <v/>
      </c>
      <c r="Q164" s="29">
        <f>Actions!Z162</f>
        <v/>
      </c>
      <c r="R164" s="29">
        <f>Actions!AA162</f>
        <v/>
      </c>
      <c r="S164" s="29">
        <f>IF(A164="","",((K164)*(IF(M164="",L164,IFERROR(IF(INDEX(Variablen!$I:$AT, MATCH(M164, Variablen!$A:$A, 0), MATCH((YEAR(D164)+0), Variablen!$I$3:$AT$3, 0))="",L164,INDEX(Variablen!$I:$AT, MATCH(M164, Variablen!$A:$A, 0), MATCH((YEAR(D164)+0), Variablen!$I$3:$AT$3, 0))),L164)))*(IF((YEAR(D164)+0)&lt;YEAR(E164),0,IF((YEAR(D164)+0)&gt;YEAR(E164),1,(12-MONTH(E164)+1)/12))) + (Q164)*(IF((YEAR(D164)+0)&lt;YEAR(E164),0,IF((YEAR(D164)+0)&gt;YEAR(E164),1,(12-MONTH(E164)+1)/12))))-((P164)*(IF((YEAR(D164)+0)&lt;YEAR(E164),0,IF((YEAR(D164)+0)&gt;YEAR(E164),1,(12-MONTH(E164)+1)/12))) + (R164)*(IF((YEAR(D164)+0)&lt;YEAR(E164),0,IF((YEAR(D164)+0)&gt;YEAR(E164),1,(12-MONTH(E164)+1)/12))))-(IF((((K164)*(IF(M164="",L164,IFERROR(IF(INDEX(Variablen!$I:$AT, MATCH(M164, Variablen!$A:$A, 0), MATCH((YEAR(D164)+0), Variablen!$I$3:$AT$3, 0))="",L164,INDEX(Variablen!$I:$AT, MATCH(M164, Variablen!$A:$A, 0), MATCH((YEAR(D164)+0), Variablen!$I$3:$AT$3, 0))),L164)))*(IF((YEAR(D164)+0)&lt;YEAR(E164),0,IF((YEAR(D164)+0)&gt;YEAR(E164),1,(12-MONTH(E164)+1)/12))) + (Q164)*(IF((YEAR(D164)+0)&lt;YEAR(E164),0,IF((YEAR(D164)+0)&gt;YEAR(E164),1,(12-MONTH(E164)+1)/12))))-((P164)*(IF((YEAR(D164)+0)&lt;YEAR(E164),0,IF((YEAR(D164)+0)&gt;YEAR(E164),1,(12-MONTH(E164)+1)/12))) + (R164)*(IF((YEAR(D164)+0)&lt;YEAR(E164),0,IF((YEAR(D164)+0)&gt;YEAR(E164),1,(12-MONTH(E164)+1)/12))))-(IF(OR(N164="",N164&lt;=0),0,(O164/N164)*(IF(OR(N164="",N164&lt;=0),0,IF((YEAR(D164)+0)&lt;YEAR(E164),0,IF((YEAR(D164)+0)&gt;=YEAR(E164)+N164,0,IF((YEAR(D164)+0)=YEAR(E164),(12-MONTH(E164)+1)/12,1))))))))&gt;0,(((K164)*(IF(M164="",L164,IFERROR(IF(INDEX(Variablen!$I:$AT, MATCH(M164, Variablen!$A:$A, 0), MATCH((YEAR(D164)+0), Variablen!$I$3:$AT$3, 0))="",L164,INDEX(Variablen!$I:$AT, MATCH(M164, Variablen!$A:$A, 0), MATCH((YEAR(D164)+0), Variablen!$I$3:$AT$3, 0))),L164)))*(IF((YEAR(D164)+0)&lt;YEAR(E164),0,IF((YEAR(D164)+0)&gt;YEAR(E164),1,(12-MONTH(E164)+1)/12))) + (Q164)*(IF((YEAR(D164)+0)&lt;YEAR(E164),0,IF((YEAR(D164)+0)&gt;YEAR(E164),1,(12-MONTH(E164)+1)/12))))-((P164)*(IF((YEAR(D164)+0)&lt;YEAR(E164),0,IF((YEAR(D164)+0)&gt;YEAR(E164),1,(12-MONTH(E164)+1)/12))) + (R164)*(IF((YEAR(D164)+0)&lt;YEAR(E164),0,IF((YEAR(D164)+0)&gt;YEAR(E164),1,(12-MONTH(E164)+1)/12))))-(IF(OR(N164="",N164&lt;=0),0,(O164/N164)*(IF(OR(N164="",N164&lt;=0),0,IF((YEAR(D164)+0)&lt;YEAR(E164),0,IF((YEAR(D164)+0)&gt;=YEAR(E164)+N164,0,IF((YEAR(D164)+0)=YEAR(E164),(12-MONTH(E164)+1)/12,1))))))))*TaxRate,0))-IF(0=0,O164,0))</f>
        <v/>
      </c>
      <c r="T164" s="29">
        <f>IF(A164="","",((K164)*(IF(M164="",L164,IFERROR(IF(INDEX(Variablen!$I:$AT, MATCH(M164, Variablen!$A:$A, 0), MATCH((YEAR(D164)+1), Variablen!$I$3:$AT$3, 0))="",L164,INDEX(Variablen!$I:$AT, MATCH(M164, Variablen!$A:$A, 0), MATCH((YEAR(D164)+1), Variablen!$I$3:$AT$3, 0))),L164)))*(IF((YEAR(D164)+1)&lt;YEAR(E164),0,IF((YEAR(D164)+1)&gt;YEAR(E164),1,(12-MONTH(E164)+1)/12))) + (Q164)*(IF((YEAR(D164)+1)&lt;YEAR(E164),0,IF((YEAR(D164)+1)&gt;YEAR(E164),1,(12-MONTH(E164)+1)/12))))-((P164)*(IF((YEAR(D164)+1)&lt;YEAR(E164),0,IF((YEAR(D164)+1)&gt;YEAR(E164),1,(12-MONTH(E164)+1)/12))) + (R164)*(IF((YEAR(D164)+1)&lt;YEAR(E164),0,IF((YEAR(D164)+1)&gt;YEAR(E164),1,(12-MONTH(E164)+1)/12))))-(IF((((K164)*(IF(M164="",L164,IFERROR(IF(INDEX(Variablen!$I:$AT, MATCH(M164, Variablen!$A:$A, 0), MATCH((YEAR(D164)+1), Variablen!$I$3:$AT$3, 0))="",L164,INDEX(Variablen!$I:$AT, MATCH(M164, Variablen!$A:$A, 0), MATCH((YEAR(D164)+1), Variablen!$I$3:$AT$3, 0))),L164)))*(IF((YEAR(D164)+1)&lt;YEAR(E164),0,IF((YEAR(D164)+1)&gt;YEAR(E164),1,(12-MONTH(E164)+1)/12))) + (Q164)*(IF((YEAR(D164)+1)&lt;YEAR(E164),0,IF((YEAR(D164)+1)&gt;YEAR(E164),1,(12-MONTH(E164)+1)/12))))-((P164)*(IF((YEAR(D164)+1)&lt;YEAR(E164),0,IF((YEAR(D164)+1)&gt;YEAR(E164),1,(12-MONTH(E164)+1)/12))) + (R164)*(IF((YEAR(D164)+1)&lt;YEAR(E164),0,IF((YEAR(D164)+1)&gt;YEAR(E164),1,(12-MONTH(E164)+1)/12))))-(IF(OR(N164="",N164&lt;=0),0,(O164/N164)*(IF(OR(N164="",N164&lt;=0),0,IF((YEAR(D164)+1)&lt;YEAR(E164),0,IF((YEAR(D164)+1)&gt;=YEAR(E164)+N164,0,IF((YEAR(D164)+1)=YEAR(E164),(12-MONTH(E164)+1)/12,1))))))))&gt;0,(((K164)*(IF(M164="",L164,IFERROR(IF(INDEX(Variablen!$I:$AT, MATCH(M164, Variablen!$A:$A, 0), MATCH((YEAR(D164)+1), Variablen!$I$3:$AT$3, 0))="",L164,INDEX(Variablen!$I:$AT, MATCH(M164, Variablen!$A:$A, 0), MATCH((YEAR(D164)+1), Variablen!$I$3:$AT$3, 0))),L164)))*(IF((YEAR(D164)+1)&lt;YEAR(E164),0,IF((YEAR(D164)+1)&gt;YEAR(E164),1,(12-MONTH(E164)+1)/12))) + (Q164)*(IF((YEAR(D164)+1)&lt;YEAR(E164),0,IF((YEAR(D164)+1)&gt;YEAR(E164),1,(12-MONTH(E164)+1)/12))))-((P164)*(IF((YEAR(D164)+1)&lt;YEAR(E164),0,IF((YEAR(D164)+1)&gt;YEAR(E164),1,(12-MONTH(E164)+1)/12))) + (R164)*(IF((YEAR(D164)+1)&lt;YEAR(E164),0,IF((YEAR(D164)+1)&gt;YEAR(E164),1,(12-MONTH(E164)+1)/12))))-(IF(OR(N164="",N164&lt;=0),0,(O164/N164)*(IF(OR(N164="",N164&lt;=0),0,IF((YEAR(D164)+1)&lt;YEAR(E164),0,IF((YEAR(D164)+1)&gt;=YEAR(E164)+N164,0,IF((YEAR(D164)+1)=YEAR(E164),(12-MONTH(E164)+1)/12,1))))))))*TaxRate,0))-IF(1=0,O164,0))</f>
        <v/>
      </c>
      <c r="U164" s="29">
        <f>IF(A164="","",((K164)*(IF(M164="",L164,IFERROR(IF(INDEX(Variablen!$I:$AT, MATCH(M164, Variablen!$A:$A, 0), MATCH((YEAR(D164)+2), Variablen!$I$3:$AT$3, 0))="",L164,INDEX(Variablen!$I:$AT, MATCH(M164, Variablen!$A:$A, 0), MATCH((YEAR(D164)+2), Variablen!$I$3:$AT$3, 0))),L164)))*(IF((YEAR(D164)+2)&lt;YEAR(E164),0,IF((YEAR(D164)+2)&gt;YEAR(E164),1,(12-MONTH(E164)+1)/12))) + (Q164)*(IF((YEAR(D164)+2)&lt;YEAR(E164),0,IF((YEAR(D164)+2)&gt;YEAR(E164),1,(12-MONTH(E164)+1)/12))))-((P164)*(IF((YEAR(D164)+2)&lt;YEAR(E164),0,IF((YEAR(D164)+2)&gt;YEAR(E164),1,(12-MONTH(E164)+1)/12))) + (R164)*(IF((YEAR(D164)+2)&lt;YEAR(E164),0,IF((YEAR(D164)+2)&gt;YEAR(E164),1,(12-MONTH(E164)+1)/12))))-(IF((((K164)*(IF(M164="",L164,IFERROR(IF(INDEX(Variablen!$I:$AT, MATCH(M164, Variablen!$A:$A, 0), MATCH((YEAR(D164)+2), Variablen!$I$3:$AT$3, 0))="",L164,INDEX(Variablen!$I:$AT, MATCH(M164, Variablen!$A:$A, 0), MATCH((YEAR(D164)+2), Variablen!$I$3:$AT$3, 0))),L164)))*(IF((YEAR(D164)+2)&lt;YEAR(E164),0,IF((YEAR(D164)+2)&gt;YEAR(E164),1,(12-MONTH(E164)+1)/12))) + (Q164)*(IF((YEAR(D164)+2)&lt;YEAR(E164),0,IF((YEAR(D164)+2)&gt;YEAR(E164),1,(12-MONTH(E164)+1)/12))))-((P164)*(IF((YEAR(D164)+2)&lt;YEAR(E164),0,IF((YEAR(D164)+2)&gt;YEAR(E164),1,(12-MONTH(E164)+1)/12))) + (R164)*(IF((YEAR(D164)+2)&lt;YEAR(E164),0,IF((YEAR(D164)+2)&gt;YEAR(E164),1,(12-MONTH(E164)+1)/12))))-(IF(OR(N164="",N164&lt;=0),0,(O164/N164)*(IF(OR(N164="",N164&lt;=0),0,IF((YEAR(D164)+2)&lt;YEAR(E164),0,IF((YEAR(D164)+2)&gt;=YEAR(E164)+N164,0,IF((YEAR(D164)+2)=YEAR(E164),(12-MONTH(E164)+1)/12,1))))))))&gt;0,(((K164)*(IF(M164="",L164,IFERROR(IF(INDEX(Variablen!$I:$AT, MATCH(M164, Variablen!$A:$A, 0), MATCH((YEAR(D164)+2), Variablen!$I$3:$AT$3, 0))="",L164,INDEX(Variablen!$I:$AT, MATCH(M164, Variablen!$A:$A, 0), MATCH((YEAR(D164)+2), Variablen!$I$3:$AT$3, 0))),L164)))*(IF((YEAR(D164)+2)&lt;YEAR(E164),0,IF((YEAR(D164)+2)&gt;YEAR(E164),1,(12-MONTH(E164)+1)/12))) + (Q164)*(IF((YEAR(D164)+2)&lt;YEAR(E164),0,IF((YEAR(D164)+2)&gt;YEAR(E164),1,(12-MONTH(E164)+1)/12))))-((P164)*(IF((YEAR(D164)+2)&lt;YEAR(E164),0,IF((YEAR(D164)+2)&gt;YEAR(E164),1,(12-MONTH(E164)+1)/12))) + (R164)*(IF((YEAR(D164)+2)&lt;YEAR(E164),0,IF((YEAR(D164)+2)&gt;YEAR(E164),1,(12-MONTH(E164)+1)/12))))-(IF(OR(N164="",N164&lt;=0),0,(O164/N164)*(IF(OR(N164="",N164&lt;=0),0,IF((YEAR(D164)+2)&lt;YEAR(E164),0,IF((YEAR(D164)+2)&gt;=YEAR(E164)+N164,0,IF((YEAR(D164)+2)=YEAR(E164),(12-MONTH(E164)+1)/12,1))))))))*TaxRate,0))-IF(2=0,O164,0))</f>
        <v/>
      </c>
      <c r="V164" s="29">
        <f>IF(A164="","",((K164)*(IF(M164="",L164,IFERROR(IF(INDEX(Variablen!$I:$AT, MATCH(M164, Variablen!$A:$A, 0), MATCH((YEAR(D164)+3), Variablen!$I$3:$AT$3, 0))="",L164,INDEX(Variablen!$I:$AT, MATCH(M164, Variablen!$A:$A, 0), MATCH((YEAR(D164)+3), Variablen!$I$3:$AT$3, 0))),L164)))*(IF((YEAR(D164)+3)&lt;YEAR(E164),0,IF((YEAR(D164)+3)&gt;YEAR(E164),1,(12-MONTH(E164)+1)/12))) + (Q164)*(IF((YEAR(D164)+3)&lt;YEAR(E164),0,IF((YEAR(D164)+3)&gt;YEAR(E164),1,(12-MONTH(E164)+1)/12))))-((P164)*(IF((YEAR(D164)+3)&lt;YEAR(E164),0,IF((YEAR(D164)+3)&gt;YEAR(E164),1,(12-MONTH(E164)+1)/12))) + (R164)*(IF((YEAR(D164)+3)&lt;YEAR(E164),0,IF((YEAR(D164)+3)&gt;YEAR(E164),1,(12-MONTH(E164)+1)/12))))-(IF((((K164)*(IF(M164="",L164,IFERROR(IF(INDEX(Variablen!$I:$AT, MATCH(M164, Variablen!$A:$A, 0), MATCH((YEAR(D164)+3), Variablen!$I$3:$AT$3, 0))="",L164,INDEX(Variablen!$I:$AT, MATCH(M164, Variablen!$A:$A, 0), MATCH((YEAR(D164)+3), Variablen!$I$3:$AT$3, 0))),L164)))*(IF((YEAR(D164)+3)&lt;YEAR(E164),0,IF((YEAR(D164)+3)&gt;YEAR(E164),1,(12-MONTH(E164)+1)/12))) + (Q164)*(IF((YEAR(D164)+3)&lt;YEAR(E164),0,IF((YEAR(D164)+3)&gt;YEAR(E164),1,(12-MONTH(E164)+1)/12))))-((P164)*(IF((YEAR(D164)+3)&lt;YEAR(E164),0,IF((YEAR(D164)+3)&gt;YEAR(E164),1,(12-MONTH(E164)+1)/12))) + (R164)*(IF((YEAR(D164)+3)&lt;YEAR(E164),0,IF((YEAR(D164)+3)&gt;YEAR(E164),1,(12-MONTH(E164)+1)/12))))-(IF(OR(N164="",N164&lt;=0),0,(O164/N164)*(IF(OR(N164="",N164&lt;=0),0,IF((YEAR(D164)+3)&lt;YEAR(E164),0,IF((YEAR(D164)+3)&gt;=YEAR(E164)+N164,0,IF((YEAR(D164)+3)=YEAR(E164),(12-MONTH(E164)+1)/12,1))))))))&gt;0,(((K164)*(IF(M164="",L164,IFERROR(IF(INDEX(Variablen!$I:$AT, MATCH(M164, Variablen!$A:$A, 0), MATCH((YEAR(D164)+3), Variablen!$I$3:$AT$3, 0))="",L164,INDEX(Variablen!$I:$AT, MATCH(M164, Variablen!$A:$A, 0), MATCH((YEAR(D164)+3), Variablen!$I$3:$AT$3, 0))),L164)))*(IF((YEAR(D164)+3)&lt;YEAR(E164),0,IF((YEAR(D164)+3)&gt;YEAR(E164),1,(12-MONTH(E164)+1)/12))) + (Q164)*(IF((YEAR(D164)+3)&lt;YEAR(E164),0,IF((YEAR(D164)+3)&gt;YEAR(E164),1,(12-MONTH(E164)+1)/12))))-((P164)*(IF((YEAR(D164)+3)&lt;YEAR(E164),0,IF((YEAR(D164)+3)&gt;YEAR(E164),1,(12-MONTH(E164)+1)/12))) + (R164)*(IF((YEAR(D164)+3)&lt;YEAR(E164),0,IF((YEAR(D164)+3)&gt;YEAR(E164),1,(12-MONTH(E164)+1)/12))))-(IF(OR(N164="",N164&lt;=0),0,(O164/N164)*(IF(OR(N164="",N164&lt;=0),0,IF((YEAR(D164)+3)&lt;YEAR(E164),0,IF((YEAR(D164)+3)&gt;=YEAR(E164)+N164,0,IF((YEAR(D164)+3)=YEAR(E164),(12-MONTH(E164)+1)/12,1))))))))*TaxRate,0))-IF(3=0,O164,0))</f>
        <v/>
      </c>
      <c r="W164" s="29">
        <f>IF(A164="","",((K164)*(IF(M164="",L164,IFERROR(IF(INDEX(Variablen!$I:$AT, MATCH(M164, Variablen!$A:$A, 0), MATCH((YEAR(D164)+4), Variablen!$I$3:$AT$3, 0))="",L164,INDEX(Variablen!$I:$AT, MATCH(M164, Variablen!$A:$A, 0), MATCH((YEAR(D164)+4), Variablen!$I$3:$AT$3, 0))),L164)))*(IF((YEAR(D164)+4)&lt;YEAR(E164),0,IF((YEAR(D164)+4)&gt;YEAR(E164),1,(12-MONTH(E164)+1)/12))) + (Q164)*(IF((YEAR(D164)+4)&lt;YEAR(E164),0,IF((YEAR(D164)+4)&gt;YEAR(E164),1,(12-MONTH(E164)+1)/12))))-((P164)*(IF((YEAR(D164)+4)&lt;YEAR(E164),0,IF((YEAR(D164)+4)&gt;YEAR(E164),1,(12-MONTH(E164)+1)/12))) + (R164)*(IF((YEAR(D164)+4)&lt;YEAR(E164),0,IF((YEAR(D164)+4)&gt;YEAR(E164),1,(12-MONTH(E164)+1)/12))))-(IF((((K164)*(IF(M164="",L164,IFERROR(IF(INDEX(Variablen!$I:$AT, MATCH(M164, Variablen!$A:$A, 0), MATCH((YEAR(D164)+4), Variablen!$I$3:$AT$3, 0))="",L164,INDEX(Variablen!$I:$AT, MATCH(M164, Variablen!$A:$A, 0), MATCH((YEAR(D164)+4), Variablen!$I$3:$AT$3, 0))),L164)))*(IF((YEAR(D164)+4)&lt;YEAR(E164),0,IF((YEAR(D164)+4)&gt;YEAR(E164),1,(12-MONTH(E164)+1)/12))) + (Q164)*(IF((YEAR(D164)+4)&lt;YEAR(E164),0,IF((YEAR(D164)+4)&gt;YEAR(E164),1,(12-MONTH(E164)+1)/12))))-((P164)*(IF((YEAR(D164)+4)&lt;YEAR(E164),0,IF((YEAR(D164)+4)&gt;YEAR(E164),1,(12-MONTH(E164)+1)/12))) + (R164)*(IF((YEAR(D164)+4)&lt;YEAR(E164),0,IF((YEAR(D164)+4)&gt;YEAR(E164),1,(12-MONTH(E164)+1)/12))))-(IF(OR(N164="",N164&lt;=0),0,(O164/N164)*(IF(OR(N164="",N164&lt;=0),0,IF((YEAR(D164)+4)&lt;YEAR(E164),0,IF((YEAR(D164)+4)&gt;=YEAR(E164)+N164,0,IF((YEAR(D164)+4)=YEAR(E164),(12-MONTH(E164)+1)/12,1))))))))&gt;0,(((K164)*(IF(M164="",L164,IFERROR(IF(INDEX(Variablen!$I:$AT, MATCH(M164, Variablen!$A:$A, 0), MATCH((YEAR(D164)+4), Variablen!$I$3:$AT$3, 0))="",L164,INDEX(Variablen!$I:$AT, MATCH(M164, Variablen!$A:$A, 0), MATCH((YEAR(D164)+4), Variablen!$I$3:$AT$3, 0))),L164)))*(IF((YEAR(D164)+4)&lt;YEAR(E164),0,IF((YEAR(D164)+4)&gt;YEAR(E164),1,(12-MONTH(E164)+1)/12))) + (Q164)*(IF((YEAR(D164)+4)&lt;YEAR(E164),0,IF((YEAR(D164)+4)&gt;YEAR(E164),1,(12-MONTH(E164)+1)/12))))-((P164)*(IF((YEAR(D164)+4)&lt;YEAR(E164),0,IF((YEAR(D164)+4)&gt;YEAR(E164),1,(12-MONTH(E164)+1)/12))) + (R164)*(IF((YEAR(D164)+4)&lt;YEAR(E164),0,IF((YEAR(D164)+4)&gt;YEAR(E164),1,(12-MONTH(E164)+1)/12))))-(IF(OR(N164="",N164&lt;=0),0,(O164/N164)*(IF(OR(N164="",N164&lt;=0),0,IF((YEAR(D164)+4)&lt;YEAR(E164),0,IF((YEAR(D164)+4)&gt;=YEAR(E164)+N164,0,IF((YEAR(D164)+4)=YEAR(E164),(12-MONTH(E164)+1)/12,1))))))))*TaxRate,0))-IF(4=0,O164,0))</f>
        <v/>
      </c>
      <c r="X164" s="29">
        <f>IF(A164="","",((K164)*(IF(M164="",L164,IFERROR(IF(INDEX(Variablen!$I:$AT, MATCH(M164, Variablen!$A:$A, 0), MATCH((YEAR(D164)+5), Variablen!$I$3:$AT$3, 0))="",L164,INDEX(Variablen!$I:$AT, MATCH(M164, Variablen!$A:$A, 0), MATCH((YEAR(D164)+5), Variablen!$I$3:$AT$3, 0))),L164)))*(IF((YEAR(D164)+5)&lt;YEAR(E164),0,IF((YEAR(D164)+5)&gt;YEAR(E164),1,(12-MONTH(E164)+1)/12))) + (Q164)*(IF((YEAR(D164)+5)&lt;YEAR(E164),0,IF((YEAR(D164)+5)&gt;YEAR(E164),1,(12-MONTH(E164)+1)/12))))-((P164)*(IF((YEAR(D164)+5)&lt;YEAR(E164),0,IF((YEAR(D164)+5)&gt;YEAR(E164),1,(12-MONTH(E164)+1)/12))) + (R164)*(IF((YEAR(D164)+5)&lt;YEAR(E164),0,IF((YEAR(D164)+5)&gt;YEAR(E164),1,(12-MONTH(E164)+1)/12))))-(IF((((K164)*(IF(M164="",L164,IFERROR(IF(INDEX(Variablen!$I:$AT, MATCH(M164, Variablen!$A:$A, 0), MATCH((YEAR(D164)+5), Variablen!$I$3:$AT$3, 0))="",L164,INDEX(Variablen!$I:$AT, MATCH(M164, Variablen!$A:$A, 0), MATCH((YEAR(D164)+5), Variablen!$I$3:$AT$3, 0))),L164)))*(IF((YEAR(D164)+5)&lt;YEAR(E164),0,IF((YEAR(D164)+5)&gt;YEAR(E164),1,(12-MONTH(E164)+1)/12))) + (Q164)*(IF((YEAR(D164)+5)&lt;YEAR(E164),0,IF((YEAR(D164)+5)&gt;YEAR(E164),1,(12-MONTH(E164)+1)/12))))-((P164)*(IF((YEAR(D164)+5)&lt;YEAR(E164),0,IF((YEAR(D164)+5)&gt;YEAR(E164),1,(12-MONTH(E164)+1)/12))) + (R164)*(IF((YEAR(D164)+5)&lt;YEAR(E164),0,IF((YEAR(D164)+5)&gt;YEAR(E164),1,(12-MONTH(E164)+1)/12))))-(IF(OR(N164="",N164&lt;=0),0,(O164/N164)*(IF(OR(N164="",N164&lt;=0),0,IF((YEAR(D164)+5)&lt;YEAR(E164),0,IF((YEAR(D164)+5)&gt;=YEAR(E164)+N164,0,IF((YEAR(D164)+5)=YEAR(E164),(12-MONTH(E164)+1)/12,1))))))))&gt;0,(((K164)*(IF(M164="",L164,IFERROR(IF(INDEX(Variablen!$I:$AT, MATCH(M164, Variablen!$A:$A, 0), MATCH((YEAR(D164)+5), Variablen!$I$3:$AT$3, 0))="",L164,INDEX(Variablen!$I:$AT, MATCH(M164, Variablen!$A:$A, 0), MATCH((YEAR(D164)+5), Variablen!$I$3:$AT$3, 0))),L164)))*(IF((YEAR(D164)+5)&lt;YEAR(E164),0,IF((YEAR(D164)+5)&gt;YEAR(E164),1,(12-MONTH(E164)+1)/12))) + (Q164)*(IF((YEAR(D164)+5)&lt;YEAR(E164),0,IF((YEAR(D164)+5)&gt;YEAR(E164),1,(12-MONTH(E164)+1)/12))))-((P164)*(IF((YEAR(D164)+5)&lt;YEAR(E164),0,IF((YEAR(D164)+5)&gt;YEAR(E164),1,(12-MONTH(E164)+1)/12))) + (R164)*(IF((YEAR(D164)+5)&lt;YEAR(E164),0,IF((YEAR(D164)+5)&gt;YEAR(E164),1,(12-MONTH(E164)+1)/12))))-(IF(OR(N164="",N164&lt;=0),0,(O164/N164)*(IF(OR(N164="",N164&lt;=0),0,IF((YEAR(D164)+5)&lt;YEAR(E164),0,IF((YEAR(D164)+5)&gt;=YEAR(E164)+N164,0,IF((YEAR(D164)+5)=YEAR(E164),(12-MONTH(E164)+1)/12,1))))))))*TaxRate,0))-IF(5=0,O164,0))</f>
        <v/>
      </c>
      <c r="Y164" s="29">
        <f>IF(A164="","",((K164)*(IF(M164="",L164,IFERROR(IF(INDEX(Variablen!$I:$AT, MATCH(M164, Variablen!$A:$A, 0), MATCH((YEAR(D164)+6), Variablen!$I$3:$AT$3, 0))="",L164,INDEX(Variablen!$I:$AT, MATCH(M164, Variablen!$A:$A, 0), MATCH((YEAR(D164)+6), Variablen!$I$3:$AT$3, 0))),L164)))*(IF((YEAR(D164)+6)&lt;YEAR(E164),0,IF((YEAR(D164)+6)&gt;YEAR(E164),1,(12-MONTH(E164)+1)/12))) + (Q164)*(IF((YEAR(D164)+6)&lt;YEAR(E164),0,IF((YEAR(D164)+6)&gt;YEAR(E164),1,(12-MONTH(E164)+1)/12))))-((P164)*(IF((YEAR(D164)+6)&lt;YEAR(E164),0,IF((YEAR(D164)+6)&gt;YEAR(E164),1,(12-MONTH(E164)+1)/12))) + (R164)*(IF((YEAR(D164)+6)&lt;YEAR(E164),0,IF((YEAR(D164)+6)&gt;YEAR(E164),1,(12-MONTH(E164)+1)/12))))-(IF((((K164)*(IF(M164="",L164,IFERROR(IF(INDEX(Variablen!$I:$AT, MATCH(M164, Variablen!$A:$A, 0), MATCH((YEAR(D164)+6), Variablen!$I$3:$AT$3, 0))="",L164,INDEX(Variablen!$I:$AT, MATCH(M164, Variablen!$A:$A, 0), MATCH((YEAR(D164)+6), Variablen!$I$3:$AT$3, 0))),L164)))*(IF((YEAR(D164)+6)&lt;YEAR(E164),0,IF((YEAR(D164)+6)&gt;YEAR(E164),1,(12-MONTH(E164)+1)/12))) + (Q164)*(IF((YEAR(D164)+6)&lt;YEAR(E164),0,IF((YEAR(D164)+6)&gt;YEAR(E164),1,(12-MONTH(E164)+1)/12))))-((P164)*(IF((YEAR(D164)+6)&lt;YEAR(E164),0,IF((YEAR(D164)+6)&gt;YEAR(E164),1,(12-MONTH(E164)+1)/12))) + (R164)*(IF((YEAR(D164)+6)&lt;YEAR(E164),0,IF((YEAR(D164)+6)&gt;YEAR(E164),1,(12-MONTH(E164)+1)/12))))-(IF(OR(N164="",N164&lt;=0),0,(O164/N164)*(IF(OR(N164="",N164&lt;=0),0,IF((YEAR(D164)+6)&lt;YEAR(E164),0,IF((YEAR(D164)+6)&gt;=YEAR(E164)+N164,0,IF((YEAR(D164)+6)=YEAR(E164),(12-MONTH(E164)+1)/12,1))))))))&gt;0,(((K164)*(IF(M164="",L164,IFERROR(IF(INDEX(Variablen!$I:$AT, MATCH(M164, Variablen!$A:$A, 0), MATCH((YEAR(D164)+6), Variablen!$I$3:$AT$3, 0))="",L164,INDEX(Variablen!$I:$AT, MATCH(M164, Variablen!$A:$A, 0), MATCH((YEAR(D164)+6), Variablen!$I$3:$AT$3, 0))),L164)))*(IF((YEAR(D164)+6)&lt;YEAR(E164),0,IF((YEAR(D164)+6)&gt;YEAR(E164),1,(12-MONTH(E164)+1)/12))) + (Q164)*(IF((YEAR(D164)+6)&lt;YEAR(E164),0,IF((YEAR(D164)+6)&gt;YEAR(E164),1,(12-MONTH(E164)+1)/12))))-((P164)*(IF((YEAR(D164)+6)&lt;YEAR(E164),0,IF((YEAR(D164)+6)&gt;YEAR(E164),1,(12-MONTH(E164)+1)/12))) + (R164)*(IF((YEAR(D164)+6)&lt;YEAR(E164),0,IF((YEAR(D164)+6)&gt;YEAR(E164),1,(12-MONTH(E164)+1)/12))))-(IF(OR(N164="",N164&lt;=0),0,(O164/N164)*(IF(OR(N164="",N164&lt;=0),0,IF((YEAR(D164)+6)&lt;YEAR(E164),0,IF((YEAR(D164)+6)&gt;=YEAR(E164)+N164,0,IF((YEAR(D164)+6)=YEAR(E164),(12-MONTH(E164)+1)/12,1))))))))*TaxRate,0))-IF(6=0,O164,0))</f>
        <v/>
      </c>
      <c r="Z164" s="29">
        <f>IF(A164="","",((K164)*(IF(M164="",L164,IFERROR(IF(INDEX(Variablen!$I:$AT, MATCH(M164, Variablen!$A:$A, 0), MATCH((YEAR(D164)+7), Variablen!$I$3:$AT$3, 0))="",L164,INDEX(Variablen!$I:$AT, MATCH(M164, Variablen!$A:$A, 0), MATCH((YEAR(D164)+7), Variablen!$I$3:$AT$3, 0))),L164)))*(IF((YEAR(D164)+7)&lt;YEAR(E164),0,IF((YEAR(D164)+7)&gt;YEAR(E164),1,(12-MONTH(E164)+1)/12))) + (Q164)*(IF((YEAR(D164)+7)&lt;YEAR(E164),0,IF((YEAR(D164)+7)&gt;YEAR(E164),1,(12-MONTH(E164)+1)/12))))-((P164)*(IF((YEAR(D164)+7)&lt;YEAR(E164),0,IF((YEAR(D164)+7)&gt;YEAR(E164),1,(12-MONTH(E164)+1)/12))) + (R164)*(IF((YEAR(D164)+7)&lt;YEAR(E164),0,IF((YEAR(D164)+7)&gt;YEAR(E164),1,(12-MONTH(E164)+1)/12))))-(IF((((K164)*(IF(M164="",L164,IFERROR(IF(INDEX(Variablen!$I:$AT, MATCH(M164, Variablen!$A:$A, 0), MATCH((YEAR(D164)+7), Variablen!$I$3:$AT$3, 0))="",L164,INDEX(Variablen!$I:$AT, MATCH(M164, Variablen!$A:$A, 0), MATCH((YEAR(D164)+7), Variablen!$I$3:$AT$3, 0))),L164)))*(IF((YEAR(D164)+7)&lt;YEAR(E164),0,IF((YEAR(D164)+7)&gt;YEAR(E164),1,(12-MONTH(E164)+1)/12))) + (Q164)*(IF((YEAR(D164)+7)&lt;YEAR(E164),0,IF((YEAR(D164)+7)&gt;YEAR(E164),1,(12-MONTH(E164)+1)/12))))-((P164)*(IF((YEAR(D164)+7)&lt;YEAR(E164),0,IF((YEAR(D164)+7)&gt;YEAR(E164),1,(12-MONTH(E164)+1)/12))) + (R164)*(IF((YEAR(D164)+7)&lt;YEAR(E164),0,IF((YEAR(D164)+7)&gt;YEAR(E164),1,(12-MONTH(E164)+1)/12))))-(IF(OR(N164="",N164&lt;=0),0,(O164/N164)*(IF(OR(N164="",N164&lt;=0),0,IF((YEAR(D164)+7)&lt;YEAR(E164),0,IF((YEAR(D164)+7)&gt;=YEAR(E164)+N164,0,IF((YEAR(D164)+7)=YEAR(E164),(12-MONTH(E164)+1)/12,1))))))))&gt;0,(((K164)*(IF(M164="",L164,IFERROR(IF(INDEX(Variablen!$I:$AT, MATCH(M164, Variablen!$A:$A, 0), MATCH((YEAR(D164)+7), Variablen!$I$3:$AT$3, 0))="",L164,INDEX(Variablen!$I:$AT, MATCH(M164, Variablen!$A:$A, 0), MATCH((YEAR(D164)+7), Variablen!$I$3:$AT$3, 0))),L164)))*(IF((YEAR(D164)+7)&lt;YEAR(E164),0,IF((YEAR(D164)+7)&gt;YEAR(E164),1,(12-MONTH(E164)+1)/12))) + (Q164)*(IF((YEAR(D164)+7)&lt;YEAR(E164),0,IF((YEAR(D164)+7)&gt;YEAR(E164),1,(12-MONTH(E164)+1)/12))))-((P164)*(IF((YEAR(D164)+7)&lt;YEAR(E164),0,IF((YEAR(D164)+7)&gt;YEAR(E164),1,(12-MONTH(E164)+1)/12))) + (R164)*(IF((YEAR(D164)+7)&lt;YEAR(E164),0,IF((YEAR(D164)+7)&gt;YEAR(E164),1,(12-MONTH(E164)+1)/12))))-(IF(OR(N164="",N164&lt;=0),0,(O164/N164)*(IF(OR(N164="",N164&lt;=0),0,IF((YEAR(D164)+7)&lt;YEAR(E164),0,IF((YEAR(D164)+7)&gt;=YEAR(E164)+N164,0,IF((YEAR(D164)+7)=YEAR(E164),(12-MONTH(E164)+1)/12,1))))))))*TaxRate,0))-IF(7=0,O164,0))</f>
        <v/>
      </c>
      <c r="AA164" s="29">
        <f>IF(A164="","",((K164)*(IF(M164="",L164,IFERROR(IF(INDEX(Variablen!$I:$AT, MATCH(M164, Variablen!$A:$A, 0), MATCH((YEAR(D164)+8), Variablen!$I$3:$AT$3, 0))="",L164,INDEX(Variablen!$I:$AT, MATCH(M164, Variablen!$A:$A, 0), MATCH((YEAR(D164)+8), Variablen!$I$3:$AT$3, 0))),L164)))*(IF((YEAR(D164)+8)&lt;YEAR(E164),0,IF((YEAR(D164)+8)&gt;YEAR(E164),1,(12-MONTH(E164)+1)/12))) + (Q164)*(IF((YEAR(D164)+8)&lt;YEAR(E164),0,IF((YEAR(D164)+8)&gt;YEAR(E164),1,(12-MONTH(E164)+1)/12))))-((P164)*(IF((YEAR(D164)+8)&lt;YEAR(E164),0,IF((YEAR(D164)+8)&gt;YEAR(E164),1,(12-MONTH(E164)+1)/12))) + (R164)*(IF((YEAR(D164)+8)&lt;YEAR(E164),0,IF((YEAR(D164)+8)&gt;YEAR(E164),1,(12-MONTH(E164)+1)/12))))-(IF((((K164)*(IF(M164="",L164,IFERROR(IF(INDEX(Variablen!$I:$AT, MATCH(M164, Variablen!$A:$A, 0), MATCH((YEAR(D164)+8), Variablen!$I$3:$AT$3, 0))="",L164,INDEX(Variablen!$I:$AT, MATCH(M164, Variablen!$A:$A, 0), MATCH((YEAR(D164)+8), Variablen!$I$3:$AT$3, 0))),L164)))*(IF((YEAR(D164)+8)&lt;YEAR(E164),0,IF((YEAR(D164)+8)&gt;YEAR(E164),1,(12-MONTH(E164)+1)/12))) + (Q164)*(IF((YEAR(D164)+8)&lt;YEAR(E164),0,IF((YEAR(D164)+8)&gt;YEAR(E164),1,(12-MONTH(E164)+1)/12))))-((P164)*(IF((YEAR(D164)+8)&lt;YEAR(E164),0,IF((YEAR(D164)+8)&gt;YEAR(E164),1,(12-MONTH(E164)+1)/12))) + (R164)*(IF((YEAR(D164)+8)&lt;YEAR(E164),0,IF((YEAR(D164)+8)&gt;YEAR(E164),1,(12-MONTH(E164)+1)/12))))-(IF(OR(N164="",N164&lt;=0),0,(O164/N164)*(IF(OR(N164="",N164&lt;=0),0,IF((YEAR(D164)+8)&lt;YEAR(E164),0,IF((YEAR(D164)+8)&gt;=YEAR(E164)+N164,0,IF((YEAR(D164)+8)=YEAR(E164),(12-MONTH(E164)+1)/12,1))))))))&gt;0,(((K164)*(IF(M164="",L164,IFERROR(IF(INDEX(Variablen!$I:$AT, MATCH(M164, Variablen!$A:$A, 0), MATCH((YEAR(D164)+8), Variablen!$I$3:$AT$3, 0))="",L164,INDEX(Variablen!$I:$AT, MATCH(M164, Variablen!$A:$A, 0), MATCH((YEAR(D164)+8), Variablen!$I$3:$AT$3, 0))),L164)))*(IF((YEAR(D164)+8)&lt;YEAR(E164),0,IF((YEAR(D164)+8)&gt;YEAR(E164),1,(12-MONTH(E164)+1)/12))) + (Q164)*(IF((YEAR(D164)+8)&lt;YEAR(E164),0,IF((YEAR(D164)+8)&gt;YEAR(E164),1,(12-MONTH(E164)+1)/12))))-((P164)*(IF((YEAR(D164)+8)&lt;YEAR(E164),0,IF((YEAR(D164)+8)&gt;YEAR(E164),1,(12-MONTH(E164)+1)/12))) + (R164)*(IF((YEAR(D164)+8)&lt;YEAR(E164),0,IF((YEAR(D164)+8)&gt;YEAR(E164),1,(12-MONTH(E164)+1)/12))))-(IF(OR(N164="",N164&lt;=0),0,(O164/N164)*(IF(OR(N164="",N164&lt;=0),0,IF((YEAR(D164)+8)&lt;YEAR(E164),0,IF((YEAR(D164)+8)&gt;=YEAR(E164)+N164,0,IF((YEAR(D164)+8)=YEAR(E164),(12-MONTH(E164)+1)/12,1))))))))*TaxRate,0))-IF(8=0,O164,0))</f>
        <v/>
      </c>
      <c r="AB164" s="29">
        <f>IF(A164="","",((K164)*(IF(M164="",L164,IFERROR(IF(INDEX(Variablen!$I:$AT, MATCH(M164, Variablen!$A:$A, 0), MATCH((YEAR(D164)+9), Variablen!$I$3:$AT$3, 0))="",L164,INDEX(Variablen!$I:$AT, MATCH(M164, Variablen!$A:$A, 0), MATCH((YEAR(D164)+9), Variablen!$I$3:$AT$3, 0))),L164)))*(IF((YEAR(D164)+9)&lt;YEAR(E164),0,IF((YEAR(D164)+9)&gt;YEAR(E164),1,(12-MONTH(E164)+1)/12))) + (Q164)*(IF((YEAR(D164)+9)&lt;YEAR(E164),0,IF((YEAR(D164)+9)&gt;YEAR(E164),1,(12-MONTH(E164)+1)/12))))-((P164)*(IF((YEAR(D164)+9)&lt;YEAR(E164),0,IF((YEAR(D164)+9)&gt;YEAR(E164),1,(12-MONTH(E164)+1)/12))) + (R164)*(IF((YEAR(D164)+9)&lt;YEAR(E164),0,IF((YEAR(D164)+9)&gt;YEAR(E164),1,(12-MONTH(E164)+1)/12))))-(IF((((K164)*(IF(M164="",L164,IFERROR(IF(INDEX(Variablen!$I:$AT, MATCH(M164, Variablen!$A:$A, 0), MATCH((YEAR(D164)+9), Variablen!$I$3:$AT$3, 0))="",L164,INDEX(Variablen!$I:$AT, MATCH(M164, Variablen!$A:$A, 0), MATCH((YEAR(D164)+9), Variablen!$I$3:$AT$3, 0))),L164)))*(IF((YEAR(D164)+9)&lt;YEAR(E164),0,IF((YEAR(D164)+9)&gt;YEAR(E164),1,(12-MONTH(E164)+1)/12))) + (Q164)*(IF((YEAR(D164)+9)&lt;YEAR(E164),0,IF((YEAR(D164)+9)&gt;YEAR(E164),1,(12-MONTH(E164)+1)/12))))-((P164)*(IF((YEAR(D164)+9)&lt;YEAR(E164),0,IF((YEAR(D164)+9)&gt;YEAR(E164),1,(12-MONTH(E164)+1)/12))) + (R164)*(IF((YEAR(D164)+9)&lt;YEAR(E164),0,IF((YEAR(D164)+9)&gt;YEAR(E164),1,(12-MONTH(E164)+1)/12))))-(IF(OR(N164="",N164&lt;=0),0,(O164/N164)*(IF(OR(N164="",N164&lt;=0),0,IF((YEAR(D164)+9)&lt;YEAR(E164),0,IF((YEAR(D164)+9)&gt;=YEAR(E164)+N164,0,IF((YEAR(D164)+9)=YEAR(E164),(12-MONTH(E164)+1)/12,1))))))))&gt;0,(((K164)*(IF(M164="",L164,IFERROR(IF(INDEX(Variablen!$I:$AT, MATCH(M164, Variablen!$A:$A, 0), MATCH((YEAR(D164)+9), Variablen!$I$3:$AT$3, 0))="",L164,INDEX(Variablen!$I:$AT, MATCH(M164, Variablen!$A:$A, 0), MATCH((YEAR(D164)+9), Variablen!$I$3:$AT$3, 0))),L164)))*(IF((YEAR(D164)+9)&lt;YEAR(E164),0,IF((YEAR(D164)+9)&gt;YEAR(E164),1,(12-MONTH(E164)+1)/12))) + (Q164)*(IF((YEAR(D164)+9)&lt;YEAR(E164),0,IF((YEAR(D164)+9)&gt;YEAR(E164),1,(12-MONTH(E164)+1)/12))))-((P164)*(IF((YEAR(D164)+9)&lt;YEAR(E164),0,IF((YEAR(D164)+9)&gt;YEAR(E164),1,(12-MONTH(E164)+1)/12))) + (R164)*(IF((YEAR(D164)+9)&lt;YEAR(E164),0,IF((YEAR(D164)+9)&gt;YEAR(E164),1,(12-MONTH(E164)+1)/12))))-(IF(OR(N164="",N164&lt;=0),0,(O164/N164)*(IF(OR(N164="",N164&lt;=0),0,IF((YEAR(D164)+9)&lt;YEAR(E164),0,IF((YEAR(D164)+9)&gt;=YEAR(E164)+N164,0,IF((YEAR(D164)+9)=YEAR(E164),(12-MONTH(E164)+1)/12,1))))))))*TaxRate,0))-IF(9=0,O164,0))</f>
        <v/>
      </c>
      <c r="AC164" s="29">
        <f>IF(A164="","",((K164)*(IF(M164="",L164,IFERROR(IF(INDEX(Variablen!$I:$AT, MATCH(M164, Variablen!$A:$A, 0), MATCH((YEAR(D164)+10), Variablen!$I$3:$AT$3, 0))="",L164,INDEX(Variablen!$I:$AT, MATCH(M164, Variablen!$A:$A, 0), MATCH((YEAR(D164)+10), Variablen!$I$3:$AT$3, 0))),L164)))*(IF((YEAR(D164)+10)&lt;YEAR(E164),0,IF((YEAR(D164)+10)&gt;YEAR(E164),1,(12-MONTH(E164)+1)/12))) + (Q164)*(IF((YEAR(D164)+10)&lt;YEAR(E164),0,IF((YEAR(D164)+10)&gt;YEAR(E164),1,(12-MONTH(E164)+1)/12))))-((P164)*(IF((YEAR(D164)+10)&lt;YEAR(E164),0,IF((YEAR(D164)+10)&gt;YEAR(E164),1,(12-MONTH(E164)+1)/12))) + (R164)*(IF((YEAR(D164)+10)&lt;YEAR(E164),0,IF((YEAR(D164)+10)&gt;YEAR(E164),1,(12-MONTH(E164)+1)/12))))-(IF((((K164)*(IF(M164="",L164,IFERROR(IF(INDEX(Variablen!$I:$AT, MATCH(M164, Variablen!$A:$A, 0), MATCH((YEAR(D164)+10), Variablen!$I$3:$AT$3, 0))="",L164,INDEX(Variablen!$I:$AT, MATCH(M164, Variablen!$A:$A, 0), MATCH((YEAR(D164)+10), Variablen!$I$3:$AT$3, 0))),L164)))*(IF((YEAR(D164)+10)&lt;YEAR(E164),0,IF((YEAR(D164)+10)&gt;YEAR(E164),1,(12-MONTH(E164)+1)/12))) + (Q164)*(IF((YEAR(D164)+10)&lt;YEAR(E164),0,IF((YEAR(D164)+10)&gt;YEAR(E164),1,(12-MONTH(E164)+1)/12))))-((P164)*(IF((YEAR(D164)+10)&lt;YEAR(E164),0,IF((YEAR(D164)+10)&gt;YEAR(E164),1,(12-MONTH(E164)+1)/12))) + (R164)*(IF((YEAR(D164)+10)&lt;YEAR(E164),0,IF((YEAR(D164)+10)&gt;YEAR(E164),1,(12-MONTH(E164)+1)/12))))-(IF(OR(N164="",N164&lt;=0),0,(O164/N164)*(IF(OR(N164="",N164&lt;=0),0,IF((YEAR(D164)+10)&lt;YEAR(E164),0,IF((YEAR(D164)+10)&gt;=YEAR(E164)+N164,0,IF((YEAR(D164)+10)=YEAR(E164),(12-MONTH(E164)+1)/12,1))))))))&gt;0,(((K164)*(IF(M164="",L164,IFERROR(IF(INDEX(Variablen!$I:$AT, MATCH(M164, Variablen!$A:$A, 0), MATCH((YEAR(D164)+10), Variablen!$I$3:$AT$3, 0))="",L164,INDEX(Variablen!$I:$AT, MATCH(M164, Variablen!$A:$A, 0), MATCH((YEAR(D164)+10), Variablen!$I$3:$AT$3, 0))),L164)))*(IF((YEAR(D164)+10)&lt;YEAR(E164),0,IF((YEAR(D164)+10)&gt;YEAR(E164),1,(12-MONTH(E164)+1)/12))) + (Q164)*(IF((YEAR(D164)+10)&lt;YEAR(E164),0,IF((YEAR(D164)+10)&gt;YEAR(E164),1,(12-MONTH(E164)+1)/12))))-((P164)*(IF((YEAR(D164)+10)&lt;YEAR(E164),0,IF((YEAR(D164)+10)&gt;YEAR(E164),1,(12-MONTH(E164)+1)/12))) + (R164)*(IF((YEAR(D164)+10)&lt;YEAR(E164),0,IF((YEAR(D164)+10)&gt;YEAR(E164),1,(12-MONTH(E164)+1)/12))))-(IF(OR(N164="",N164&lt;=0),0,(O164/N164)*(IF(OR(N164="",N164&lt;=0),0,IF((YEAR(D164)+10)&lt;YEAR(E164),0,IF((YEAR(D164)+10)&gt;=YEAR(E164)+N164,0,IF((YEAR(D164)+10)=YEAR(E164),(12-MONTH(E164)+1)/12,1))))))))*TaxRate,0))-IF(10=0,O164,0))</f>
        <v/>
      </c>
      <c r="AD164" s="29">
        <f>IF(A164="","",((K164)*(IF(M164="",L164,IFERROR(IF(INDEX(Variablen!$I:$AT, MATCH(M164, Variablen!$A:$A, 0), MATCH((YEAR(D164)+11), Variablen!$I$3:$AT$3, 0))="",L164,INDEX(Variablen!$I:$AT, MATCH(M164, Variablen!$A:$A, 0), MATCH((YEAR(D164)+11), Variablen!$I$3:$AT$3, 0))),L164)))*(IF((YEAR(D164)+11)&lt;YEAR(E164),0,IF((YEAR(D164)+11)&gt;YEAR(E164),1,(12-MONTH(E164)+1)/12))) + (Q164)*(IF((YEAR(D164)+11)&lt;YEAR(E164),0,IF((YEAR(D164)+11)&gt;YEAR(E164),1,(12-MONTH(E164)+1)/12))))-((P164)*(IF((YEAR(D164)+11)&lt;YEAR(E164),0,IF((YEAR(D164)+11)&gt;YEAR(E164),1,(12-MONTH(E164)+1)/12))) + (R164)*(IF((YEAR(D164)+11)&lt;YEAR(E164),0,IF((YEAR(D164)+11)&gt;YEAR(E164),1,(12-MONTH(E164)+1)/12))))-(IF((((K164)*(IF(M164="",L164,IFERROR(IF(INDEX(Variablen!$I:$AT, MATCH(M164, Variablen!$A:$A, 0), MATCH((YEAR(D164)+11), Variablen!$I$3:$AT$3, 0))="",L164,INDEX(Variablen!$I:$AT, MATCH(M164, Variablen!$A:$A, 0), MATCH((YEAR(D164)+11), Variablen!$I$3:$AT$3, 0))),L164)))*(IF((YEAR(D164)+11)&lt;YEAR(E164),0,IF((YEAR(D164)+11)&gt;YEAR(E164),1,(12-MONTH(E164)+1)/12))) + (Q164)*(IF((YEAR(D164)+11)&lt;YEAR(E164),0,IF((YEAR(D164)+11)&gt;YEAR(E164),1,(12-MONTH(E164)+1)/12))))-((P164)*(IF((YEAR(D164)+11)&lt;YEAR(E164),0,IF((YEAR(D164)+11)&gt;YEAR(E164),1,(12-MONTH(E164)+1)/12))) + (R164)*(IF((YEAR(D164)+11)&lt;YEAR(E164),0,IF((YEAR(D164)+11)&gt;YEAR(E164),1,(12-MONTH(E164)+1)/12))))-(IF(OR(N164="",N164&lt;=0),0,(O164/N164)*(IF(OR(N164="",N164&lt;=0),0,IF((YEAR(D164)+11)&lt;YEAR(E164),0,IF((YEAR(D164)+11)&gt;=YEAR(E164)+N164,0,IF((YEAR(D164)+11)=YEAR(E164),(12-MONTH(E164)+1)/12,1))))))))&gt;0,(((K164)*(IF(M164="",L164,IFERROR(IF(INDEX(Variablen!$I:$AT, MATCH(M164, Variablen!$A:$A, 0), MATCH((YEAR(D164)+11), Variablen!$I$3:$AT$3, 0))="",L164,INDEX(Variablen!$I:$AT, MATCH(M164, Variablen!$A:$A, 0), MATCH((YEAR(D164)+11), Variablen!$I$3:$AT$3, 0))),L164)))*(IF((YEAR(D164)+11)&lt;YEAR(E164),0,IF((YEAR(D164)+11)&gt;YEAR(E164),1,(12-MONTH(E164)+1)/12))) + (Q164)*(IF((YEAR(D164)+11)&lt;YEAR(E164),0,IF((YEAR(D164)+11)&gt;YEAR(E164),1,(12-MONTH(E164)+1)/12))))-((P164)*(IF((YEAR(D164)+11)&lt;YEAR(E164),0,IF((YEAR(D164)+11)&gt;YEAR(E164),1,(12-MONTH(E164)+1)/12))) + (R164)*(IF((YEAR(D164)+11)&lt;YEAR(E164),0,IF((YEAR(D164)+11)&gt;YEAR(E164),1,(12-MONTH(E164)+1)/12))))-(IF(OR(N164="",N164&lt;=0),0,(O164/N164)*(IF(OR(N164="",N164&lt;=0),0,IF((YEAR(D164)+11)&lt;YEAR(E164),0,IF((YEAR(D164)+11)&gt;=YEAR(E164)+N164,0,IF((YEAR(D164)+11)=YEAR(E164),(12-MONTH(E164)+1)/12,1))))))))*TaxRate,0))-IF(11=0,O164,0))</f>
        <v/>
      </c>
      <c r="AE164" s="29">
        <f>IF(A164="","",((K164)*(IF(M164="",L164,IFERROR(IF(INDEX(Variablen!$I:$AT, MATCH(M164, Variablen!$A:$A, 0), MATCH((YEAR(D164)+12), Variablen!$I$3:$AT$3, 0))="",L164,INDEX(Variablen!$I:$AT, MATCH(M164, Variablen!$A:$A, 0), MATCH((YEAR(D164)+12), Variablen!$I$3:$AT$3, 0))),L164)))*(IF((YEAR(D164)+12)&lt;YEAR(E164),0,IF((YEAR(D164)+12)&gt;YEAR(E164),1,(12-MONTH(E164)+1)/12))) + (Q164)*(IF((YEAR(D164)+12)&lt;YEAR(E164),0,IF((YEAR(D164)+12)&gt;YEAR(E164),1,(12-MONTH(E164)+1)/12))))-((P164)*(IF((YEAR(D164)+12)&lt;YEAR(E164),0,IF((YEAR(D164)+12)&gt;YEAR(E164),1,(12-MONTH(E164)+1)/12))) + (R164)*(IF((YEAR(D164)+12)&lt;YEAR(E164),0,IF((YEAR(D164)+12)&gt;YEAR(E164),1,(12-MONTH(E164)+1)/12))))-(IF((((K164)*(IF(M164="",L164,IFERROR(IF(INDEX(Variablen!$I:$AT, MATCH(M164, Variablen!$A:$A, 0), MATCH((YEAR(D164)+12), Variablen!$I$3:$AT$3, 0))="",L164,INDEX(Variablen!$I:$AT, MATCH(M164, Variablen!$A:$A, 0), MATCH((YEAR(D164)+12), Variablen!$I$3:$AT$3, 0))),L164)))*(IF((YEAR(D164)+12)&lt;YEAR(E164),0,IF((YEAR(D164)+12)&gt;YEAR(E164),1,(12-MONTH(E164)+1)/12))) + (Q164)*(IF((YEAR(D164)+12)&lt;YEAR(E164),0,IF((YEAR(D164)+12)&gt;YEAR(E164),1,(12-MONTH(E164)+1)/12))))-((P164)*(IF((YEAR(D164)+12)&lt;YEAR(E164),0,IF((YEAR(D164)+12)&gt;YEAR(E164),1,(12-MONTH(E164)+1)/12))) + (R164)*(IF((YEAR(D164)+12)&lt;YEAR(E164),0,IF((YEAR(D164)+12)&gt;YEAR(E164),1,(12-MONTH(E164)+1)/12))))-(IF(OR(N164="",N164&lt;=0),0,(O164/N164)*(IF(OR(N164="",N164&lt;=0),0,IF((YEAR(D164)+12)&lt;YEAR(E164),0,IF((YEAR(D164)+12)&gt;=YEAR(E164)+N164,0,IF((YEAR(D164)+12)=YEAR(E164),(12-MONTH(E164)+1)/12,1))))))))&gt;0,(((K164)*(IF(M164="",L164,IFERROR(IF(INDEX(Variablen!$I:$AT, MATCH(M164, Variablen!$A:$A, 0), MATCH((YEAR(D164)+12), Variablen!$I$3:$AT$3, 0))="",L164,INDEX(Variablen!$I:$AT, MATCH(M164, Variablen!$A:$A, 0), MATCH((YEAR(D164)+12), Variablen!$I$3:$AT$3, 0))),L164)))*(IF((YEAR(D164)+12)&lt;YEAR(E164),0,IF((YEAR(D164)+12)&gt;YEAR(E164),1,(12-MONTH(E164)+1)/12))) + (Q164)*(IF((YEAR(D164)+12)&lt;YEAR(E164),0,IF((YEAR(D164)+12)&gt;YEAR(E164),1,(12-MONTH(E164)+1)/12))))-((P164)*(IF((YEAR(D164)+12)&lt;YEAR(E164),0,IF((YEAR(D164)+12)&gt;YEAR(E164),1,(12-MONTH(E164)+1)/12))) + (R164)*(IF((YEAR(D164)+12)&lt;YEAR(E164),0,IF((YEAR(D164)+12)&gt;YEAR(E164),1,(12-MONTH(E164)+1)/12))))-(IF(OR(N164="",N164&lt;=0),0,(O164/N164)*(IF(OR(N164="",N164&lt;=0),0,IF((YEAR(D164)+12)&lt;YEAR(E164),0,IF((YEAR(D164)+12)&gt;=YEAR(E164)+N164,0,IF((YEAR(D164)+12)=YEAR(E164),(12-MONTH(E164)+1)/12,1))))))))*TaxRate,0))-IF(12=0,O164,0))</f>
        <v/>
      </c>
      <c r="AF164" s="29">
        <f>IF(A164="","",((K164)*(IF(M164="",L164,IFERROR(IF(INDEX(Variablen!$I:$AT, MATCH(M164, Variablen!$A:$A, 0), MATCH((YEAR(D164)+13), Variablen!$I$3:$AT$3, 0))="",L164,INDEX(Variablen!$I:$AT, MATCH(M164, Variablen!$A:$A, 0), MATCH((YEAR(D164)+13), Variablen!$I$3:$AT$3, 0))),L164)))*(IF((YEAR(D164)+13)&lt;YEAR(E164),0,IF((YEAR(D164)+13)&gt;YEAR(E164),1,(12-MONTH(E164)+1)/12))) + (Q164)*(IF((YEAR(D164)+13)&lt;YEAR(E164),0,IF((YEAR(D164)+13)&gt;YEAR(E164),1,(12-MONTH(E164)+1)/12))))-((P164)*(IF((YEAR(D164)+13)&lt;YEAR(E164),0,IF((YEAR(D164)+13)&gt;YEAR(E164),1,(12-MONTH(E164)+1)/12))) + (R164)*(IF((YEAR(D164)+13)&lt;YEAR(E164),0,IF((YEAR(D164)+13)&gt;YEAR(E164),1,(12-MONTH(E164)+1)/12))))-(IF((((K164)*(IF(M164="",L164,IFERROR(IF(INDEX(Variablen!$I:$AT, MATCH(M164, Variablen!$A:$A, 0), MATCH((YEAR(D164)+13), Variablen!$I$3:$AT$3, 0))="",L164,INDEX(Variablen!$I:$AT, MATCH(M164, Variablen!$A:$A, 0), MATCH((YEAR(D164)+13), Variablen!$I$3:$AT$3, 0))),L164)))*(IF((YEAR(D164)+13)&lt;YEAR(E164),0,IF((YEAR(D164)+13)&gt;YEAR(E164),1,(12-MONTH(E164)+1)/12))) + (Q164)*(IF((YEAR(D164)+13)&lt;YEAR(E164),0,IF((YEAR(D164)+13)&gt;YEAR(E164),1,(12-MONTH(E164)+1)/12))))-((P164)*(IF((YEAR(D164)+13)&lt;YEAR(E164),0,IF((YEAR(D164)+13)&gt;YEAR(E164),1,(12-MONTH(E164)+1)/12))) + (R164)*(IF((YEAR(D164)+13)&lt;YEAR(E164),0,IF((YEAR(D164)+13)&gt;YEAR(E164),1,(12-MONTH(E164)+1)/12))))-(IF(OR(N164="",N164&lt;=0),0,(O164/N164)*(IF(OR(N164="",N164&lt;=0),0,IF((YEAR(D164)+13)&lt;YEAR(E164),0,IF((YEAR(D164)+13)&gt;=YEAR(E164)+N164,0,IF((YEAR(D164)+13)=YEAR(E164),(12-MONTH(E164)+1)/12,1))))))))&gt;0,(((K164)*(IF(M164="",L164,IFERROR(IF(INDEX(Variablen!$I:$AT, MATCH(M164, Variablen!$A:$A, 0), MATCH((YEAR(D164)+13), Variablen!$I$3:$AT$3, 0))="",L164,INDEX(Variablen!$I:$AT, MATCH(M164, Variablen!$A:$A, 0), MATCH((YEAR(D164)+13), Variablen!$I$3:$AT$3, 0))),L164)))*(IF((YEAR(D164)+13)&lt;YEAR(E164),0,IF((YEAR(D164)+13)&gt;YEAR(E164),1,(12-MONTH(E164)+1)/12))) + (Q164)*(IF((YEAR(D164)+13)&lt;YEAR(E164),0,IF((YEAR(D164)+13)&gt;YEAR(E164),1,(12-MONTH(E164)+1)/12))))-((P164)*(IF((YEAR(D164)+13)&lt;YEAR(E164),0,IF((YEAR(D164)+13)&gt;YEAR(E164),1,(12-MONTH(E164)+1)/12))) + (R164)*(IF((YEAR(D164)+13)&lt;YEAR(E164),0,IF((YEAR(D164)+13)&gt;YEAR(E164),1,(12-MONTH(E164)+1)/12))))-(IF(OR(N164="",N164&lt;=0),0,(O164/N164)*(IF(OR(N164="",N164&lt;=0),0,IF((YEAR(D164)+13)&lt;YEAR(E164),0,IF((YEAR(D164)+13)&gt;=YEAR(E164)+N164,0,IF((YEAR(D164)+13)=YEAR(E164),(12-MONTH(E164)+1)/12,1))))))))*TaxRate,0))-IF(13=0,O164,0))</f>
        <v/>
      </c>
      <c r="AG164" s="29">
        <f>IF(A164="","",((K164)*(IF(M164="",L164,IFERROR(IF(INDEX(Variablen!$I:$AT, MATCH(M164, Variablen!$A:$A, 0), MATCH((YEAR(D164)+14), Variablen!$I$3:$AT$3, 0))="",L164,INDEX(Variablen!$I:$AT, MATCH(M164, Variablen!$A:$A, 0), MATCH((YEAR(D164)+14), Variablen!$I$3:$AT$3, 0))),L164)))*(IF((YEAR(D164)+14)&lt;YEAR(E164),0,IF((YEAR(D164)+14)&gt;YEAR(E164),1,(12-MONTH(E164)+1)/12))) + (Q164)*(IF((YEAR(D164)+14)&lt;YEAR(E164),0,IF((YEAR(D164)+14)&gt;YEAR(E164),1,(12-MONTH(E164)+1)/12))))-((P164)*(IF((YEAR(D164)+14)&lt;YEAR(E164),0,IF((YEAR(D164)+14)&gt;YEAR(E164),1,(12-MONTH(E164)+1)/12))) + (R164)*(IF((YEAR(D164)+14)&lt;YEAR(E164),0,IF((YEAR(D164)+14)&gt;YEAR(E164),1,(12-MONTH(E164)+1)/12))))-(IF((((K164)*(IF(M164="",L164,IFERROR(IF(INDEX(Variablen!$I:$AT, MATCH(M164, Variablen!$A:$A, 0), MATCH((YEAR(D164)+14), Variablen!$I$3:$AT$3, 0))="",L164,INDEX(Variablen!$I:$AT, MATCH(M164, Variablen!$A:$A, 0), MATCH((YEAR(D164)+14), Variablen!$I$3:$AT$3, 0))),L164)))*(IF((YEAR(D164)+14)&lt;YEAR(E164),0,IF((YEAR(D164)+14)&gt;YEAR(E164),1,(12-MONTH(E164)+1)/12))) + (Q164)*(IF((YEAR(D164)+14)&lt;YEAR(E164),0,IF((YEAR(D164)+14)&gt;YEAR(E164),1,(12-MONTH(E164)+1)/12))))-((P164)*(IF((YEAR(D164)+14)&lt;YEAR(E164),0,IF((YEAR(D164)+14)&gt;YEAR(E164),1,(12-MONTH(E164)+1)/12))) + (R164)*(IF((YEAR(D164)+14)&lt;YEAR(E164),0,IF((YEAR(D164)+14)&gt;YEAR(E164),1,(12-MONTH(E164)+1)/12))))-(IF(OR(N164="",N164&lt;=0),0,(O164/N164)*(IF(OR(N164="",N164&lt;=0),0,IF((YEAR(D164)+14)&lt;YEAR(E164),0,IF((YEAR(D164)+14)&gt;=YEAR(E164)+N164,0,IF((YEAR(D164)+14)=YEAR(E164),(12-MONTH(E164)+1)/12,1))))))))&gt;0,(((K164)*(IF(M164="",L164,IFERROR(IF(INDEX(Variablen!$I:$AT, MATCH(M164, Variablen!$A:$A, 0), MATCH((YEAR(D164)+14), Variablen!$I$3:$AT$3, 0))="",L164,INDEX(Variablen!$I:$AT, MATCH(M164, Variablen!$A:$A, 0), MATCH((YEAR(D164)+14), Variablen!$I$3:$AT$3, 0))),L164)))*(IF((YEAR(D164)+14)&lt;YEAR(E164),0,IF((YEAR(D164)+14)&gt;YEAR(E164),1,(12-MONTH(E164)+1)/12))) + (Q164)*(IF((YEAR(D164)+14)&lt;YEAR(E164),0,IF((YEAR(D164)+14)&gt;YEAR(E164),1,(12-MONTH(E164)+1)/12))))-((P164)*(IF((YEAR(D164)+14)&lt;YEAR(E164),0,IF((YEAR(D164)+14)&gt;YEAR(E164),1,(12-MONTH(E164)+1)/12))) + (R164)*(IF((YEAR(D164)+14)&lt;YEAR(E164),0,IF((YEAR(D164)+14)&gt;YEAR(E164),1,(12-MONTH(E164)+1)/12))))-(IF(OR(N164="",N164&lt;=0),0,(O164/N164)*(IF(OR(N164="",N164&lt;=0),0,IF((YEAR(D164)+14)&lt;YEAR(E164),0,IF((YEAR(D164)+14)&gt;=YEAR(E164)+N164,0,IF((YEAR(D164)+14)=YEAR(E164),(12-MONTH(E164)+1)/12,1))))))))*TaxRate,0))-IF(14=0,O164,0))</f>
        <v/>
      </c>
      <c r="AH164" s="29">
        <f>IF(A164="","",((K164)*(IF(M164="",L164,IFERROR(IF(INDEX(Variablen!$I:$AT, MATCH(M164, Variablen!$A:$A, 0), MATCH((YEAR(D164)+15), Variablen!$I$3:$AT$3, 0))="",L164,INDEX(Variablen!$I:$AT, MATCH(M164, Variablen!$A:$A, 0), MATCH((YEAR(D164)+15), Variablen!$I$3:$AT$3, 0))),L164)))*(IF((YEAR(D164)+15)&lt;YEAR(E164),0,IF((YEAR(D164)+15)&gt;YEAR(E164),1,(12-MONTH(E164)+1)/12))) + (Q164)*(IF((YEAR(D164)+15)&lt;YEAR(E164),0,IF((YEAR(D164)+15)&gt;YEAR(E164),1,(12-MONTH(E164)+1)/12))))-((P164)*(IF((YEAR(D164)+15)&lt;YEAR(E164),0,IF((YEAR(D164)+15)&gt;YEAR(E164),1,(12-MONTH(E164)+1)/12))) + (R164)*(IF((YEAR(D164)+15)&lt;YEAR(E164),0,IF((YEAR(D164)+15)&gt;YEAR(E164),1,(12-MONTH(E164)+1)/12))))-(IF((((K164)*(IF(M164="",L164,IFERROR(IF(INDEX(Variablen!$I:$AT, MATCH(M164, Variablen!$A:$A, 0), MATCH((YEAR(D164)+15), Variablen!$I$3:$AT$3, 0))="",L164,INDEX(Variablen!$I:$AT, MATCH(M164, Variablen!$A:$A, 0), MATCH((YEAR(D164)+15), Variablen!$I$3:$AT$3, 0))),L164)))*(IF((YEAR(D164)+15)&lt;YEAR(E164),0,IF((YEAR(D164)+15)&gt;YEAR(E164),1,(12-MONTH(E164)+1)/12))) + (Q164)*(IF((YEAR(D164)+15)&lt;YEAR(E164),0,IF((YEAR(D164)+15)&gt;YEAR(E164),1,(12-MONTH(E164)+1)/12))))-((P164)*(IF((YEAR(D164)+15)&lt;YEAR(E164),0,IF((YEAR(D164)+15)&gt;YEAR(E164),1,(12-MONTH(E164)+1)/12))) + (R164)*(IF((YEAR(D164)+15)&lt;YEAR(E164),0,IF((YEAR(D164)+15)&gt;YEAR(E164),1,(12-MONTH(E164)+1)/12))))-(IF(OR(N164="",N164&lt;=0),0,(O164/N164)*(IF(OR(N164="",N164&lt;=0),0,IF((YEAR(D164)+15)&lt;YEAR(E164),0,IF((YEAR(D164)+15)&gt;=YEAR(E164)+N164,0,IF((YEAR(D164)+15)=YEAR(E164),(12-MONTH(E164)+1)/12,1))))))))&gt;0,(((K164)*(IF(M164="",L164,IFERROR(IF(INDEX(Variablen!$I:$AT, MATCH(M164, Variablen!$A:$A, 0), MATCH((YEAR(D164)+15), Variablen!$I$3:$AT$3, 0))="",L164,INDEX(Variablen!$I:$AT, MATCH(M164, Variablen!$A:$A, 0), MATCH((YEAR(D164)+15), Variablen!$I$3:$AT$3, 0))),L164)))*(IF((YEAR(D164)+15)&lt;YEAR(E164),0,IF((YEAR(D164)+15)&gt;YEAR(E164),1,(12-MONTH(E164)+1)/12))) + (Q164)*(IF((YEAR(D164)+15)&lt;YEAR(E164),0,IF((YEAR(D164)+15)&gt;YEAR(E164),1,(12-MONTH(E164)+1)/12))))-((P164)*(IF((YEAR(D164)+15)&lt;YEAR(E164),0,IF((YEAR(D164)+15)&gt;YEAR(E164),1,(12-MONTH(E164)+1)/12))) + (R164)*(IF((YEAR(D164)+15)&lt;YEAR(E164),0,IF((YEAR(D164)+15)&gt;YEAR(E164),1,(12-MONTH(E164)+1)/12))))-(IF(OR(N164="",N164&lt;=0),0,(O164/N164)*(IF(OR(N164="",N164&lt;=0),0,IF((YEAR(D164)+15)&lt;YEAR(E164),0,IF((YEAR(D164)+15)&gt;=YEAR(E164)+N164,0,IF((YEAR(D164)+15)=YEAR(E164),(12-MONTH(E164)+1)/12,1))))))))*TaxRate,0))-IF(15=0,O164,0))</f>
        <v/>
      </c>
      <c r="AI164" s="29">
        <f>IF(A164="","",((K164)*(IF(M164="",L164,IFERROR(IF(INDEX(Variablen!$I:$AT, MATCH(M164, Variablen!$A:$A, 0), MATCH((YEAR(D164)+16), Variablen!$I$3:$AT$3, 0))="",L164,INDEX(Variablen!$I:$AT, MATCH(M164, Variablen!$A:$A, 0), MATCH((YEAR(D164)+16), Variablen!$I$3:$AT$3, 0))),L164)))*(IF((YEAR(D164)+16)&lt;YEAR(E164),0,IF((YEAR(D164)+16)&gt;YEAR(E164),1,(12-MONTH(E164)+1)/12))) + (Q164)*(IF((YEAR(D164)+16)&lt;YEAR(E164),0,IF((YEAR(D164)+16)&gt;YEAR(E164),1,(12-MONTH(E164)+1)/12))))-((P164)*(IF((YEAR(D164)+16)&lt;YEAR(E164),0,IF((YEAR(D164)+16)&gt;YEAR(E164),1,(12-MONTH(E164)+1)/12))) + (R164)*(IF((YEAR(D164)+16)&lt;YEAR(E164),0,IF((YEAR(D164)+16)&gt;YEAR(E164),1,(12-MONTH(E164)+1)/12))))-(IF((((K164)*(IF(M164="",L164,IFERROR(IF(INDEX(Variablen!$I:$AT, MATCH(M164, Variablen!$A:$A, 0), MATCH((YEAR(D164)+16), Variablen!$I$3:$AT$3, 0))="",L164,INDEX(Variablen!$I:$AT, MATCH(M164, Variablen!$A:$A, 0), MATCH((YEAR(D164)+16), Variablen!$I$3:$AT$3, 0))),L164)))*(IF((YEAR(D164)+16)&lt;YEAR(E164),0,IF((YEAR(D164)+16)&gt;YEAR(E164),1,(12-MONTH(E164)+1)/12))) + (Q164)*(IF((YEAR(D164)+16)&lt;YEAR(E164),0,IF((YEAR(D164)+16)&gt;YEAR(E164),1,(12-MONTH(E164)+1)/12))))-((P164)*(IF((YEAR(D164)+16)&lt;YEAR(E164),0,IF((YEAR(D164)+16)&gt;YEAR(E164),1,(12-MONTH(E164)+1)/12))) + (R164)*(IF((YEAR(D164)+16)&lt;YEAR(E164),0,IF((YEAR(D164)+16)&gt;YEAR(E164),1,(12-MONTH(E164)+1)/12))))-(IF(OR(N164="",N164&lt;=0),0,(O164/N164)*(IF(OR(N164="",N164&lt;=0),0,IF((YEAR(D164)+16)&lt;YEAR(E164),0,IF((YEAR(D164)+16)&gt;=YEAR(E164)+N164,0,IF((YEAR(D164)+16)=YEAR(E164),(12-MONTH(E164)+1)/12,1))))))))&gt;0,(((K164)*(IF(M164="",L164,IFERROR(IF(INDEX(Variablen!$I:$AT, MATCH(M164, Variablen!$A:$A, 0), MATCH((YEAR(D164)+16), Variablen!$I$3:$AT$3, 0))="",L164,INDEX(Variablen!$I:$AT, MATCH(M164, Variablen!$A:$A, 0), MATCH((YEAR(D164)+16), Variablen!$I$3:$AT$3, 0))),L164)))*(IF((YEAR(D164)+16)&lt;YEAR(E164),0,IF((YEAR(D164)+16)&gt;YEAR(E164),1,(12-MONTH(E164)+1)/12))) + (Q164)*(IF((YEAR(D164)+16)&lt;YEAR(E164),0,IF((YEAR(D164)+16)&gt;YEAR(E164),1,(12-MONTH(E164)+1)/12))))-((P164)*(IF((YEAR(D164)+16)&lt;YEAR(E164),0,IF((YEAR(D164)+16)&gt;YEAR(E164),1,(12-MONTH(E164)+1)/12))) + (R164)*(IF((YEAR(D164)+16)&lt;YEAR(E164),0,IF((YEAR(D164)+16)&gt;YEAR(E164),1,(12-MONTH(E164)+1)/12))))-(IF(OR(N164="",N164&lt;=0),0,(O164/N164)*(IF(OR(N164="",N164&lt;=0),0,IF((YEAR(D164)+16)&lt;YEAR(E164),0,IF((YEAR(D164)+16)&gt;=YEAR(E164)+N164,0,IF((YEAR(D164)+16)=YEAR(E164),(12-MONTH(E164)+1)/12,1))))))))*TaxRate,0))-IF(16=0,O164,0))</f>
        <v/>
      </c>
      <c r="AJ164" s="29">
        <f>IF(A164="","",((K164)*(IF(M164="",L164,IFERROR(IF(INDEX(Variablen!$I:$AT, MATCH(M164, Variablen!$A:$A, 0), MATCH((YEAR(D164)+17), Variablen!$I$3:$AT$3, 0))="",L164,INDEX(Variablen!$I:$AT, MATCH(M164, Variablen!$A:$A, 0), MATCH((YEAR(D164)+17), Variablen!$I$3:$AT$3, 0))),L164)))*(IF((YEAR(D164)+17)&lt;YEAR(E164),0,IF((YEAR(D164)+17)&gt;YEAR(E164),1,(12-MONTH(E164)+1)/12))) + (Q164)*(IF((YEAR(D164)+17)&lt;YEAR(E164),0,IF((YEAR(D164)+17)&gt;YEAR(E164),1,(12-MONTH(E164)+1)/12))))-((P164)*(IF((YEAR(D164)+17)&lt;YEAR(E164),0,IF((YEAR(D164)+17)&gt;YEAR(E164),1,(12-MONTH(E164)+1)/12))) + (R164)*(IF((YEAR(D164)+17)&lt;YEAR(E164),0,IF((YEAR(D164)+17)&gt;YEAR(E164),1,(12-MONTH(E164)+1)/12))))-(IF((((K164)*(IF(M164="",L164,IFERROR(IF(INDEX(Variablen!$I:$AT, MATCH(M164, Variablen!$A:$A, 0), MATCH((YEAR(D164)+17), Variablen!$I$3:$AT$3, 0))="",L164,INDEX(Variablen!$I:$AT, MATCH(M164, Variablen!$A:$A, 0), MATCH((YEAR(D164)+17), Variablen!$I$3:$AT$3, 0))),L164)))*(IF((YEAR(D164)+17)&lt;YEAR(E164),0,IF((YEAR(D164)+17)&gt;YEAR(E164),1,(12-MONTH(E164)+1)/12))) + (Q164)*(IF((YEAR(D164)+17)&lt;YEAR(E164),0,IF((YEAR(D164)+17)&gt;YEAR(E164),1,(12-MONTH(E164)+1)/12))))-((P164)*(IF((YEAR(D164)+17)&lt;YEAR(E164),0,IF((YEAR(D164)+17)&gt;YEAR(E164),1,(12-MONTH(E164)+1)/12))) + (R164)*(IF((YEAR(D164)+17)&lt;YEAR(E164),0,IF((YEAR(D164)+17)&gt;YEAR(E164),1,(12-MONTH(E164)+1)/12))))-(IF(OR(N164="",N164&lt;=0),0,(O164/N164)*(IF(OR(N164="",N164&lt;=0),0,IF((YEAR(D164)+17)&lt;YEAR(E164),0,IF((YEAR(D164)+17)&gt;=YEAR(E164)+N164,0,IF((YEAR(D164)+17)=YEAR(E164),(12-MONTH(E164)+1)/12,1))))))))&gt;0,(((K164)*(IF(M164="",L164,IFERROR(IF(INDEX(Variablen!$I:$AT, MATCH(M164, Variablen!$A:$A, 0), MATCH((YEAR(D164)+17), Variablen!$I$3:$AT$3, 0))="",L164,INDEX(Variablen!$I:$AT, MATCH(M164, Variablen!$A:$A, 0), MATCH((YEAR(D164)+17), Variablen!$I$3:$AT$3, 0))),L164)))*(IF((YEAR(D164)+17)&lt;YEAR(E164),0,IF((YEAR(D164)+17)&gt;YEAR(E164),1,(12-MONTH(E164)+1)/12))) + (Q164)*(IF((YEAR(D164)+17)&lt;YEAR(E164),0,IF((YEAR(D164)+17)&gt;YEAR(E164),1,(12-MONTH(E164)+1)/12))))-((P164)*(IF((YEAR(D164)+17)&lt;YEAR(E164),0,IF((YEAR(D164)+17)&gt;YEAR(E164),1,(12-MONTH(E164)+1)/12))) + (R164)*(IF((YEAR(D164)+17)&lt;YEAR(E164),0,IF((YEAR(D164)+17)&gt;YEAR(E164),1,(12-MONTH(E164)+1)/12))))-(IF(OR(N164="",N164&lt;=0),0,(O164/N164)*(IF(OR(N164="",N164&lt;=0),0,IF((YEAR(D164)+17)&lt;YEAR(E164),0,IF((YEAR(D164)+17)&gt;=YEAR(E164)+N164,0,IF((YEAR(D164)+17)=YEAR(E164),(12-MONTH(E164)+1)/12,1))))))))*TaxRate,0))-IF(17=0,O164,0))</f>
        <v/>
      </c>
      <c r="AK164" s="29">
        <f>IF(A164="","",((K164)*(IF(M164="",L164,IFERROR(IF(INDEX(Variablen!$I:$AT, MATCH(M164, Variablen!$A:$A, 0), MATCH((YEAR(D164)+18), Variablen!$I$3:$AT$3, 0))="",L164,INDEX(Variablen!$I:$AT, MATCH(M164, Variablen!$A:$A, 0), MATCH((YEAR(D164)+18), Variablen!$I$3:$AT$3, 0))),L164)))*(IF((YEAR(D164)+18)&lt;YEAR(E164),0,IF((YEAR(D164)+18)&gt;YEAR(E164),1,(12-MONTH(E164)+1)/12))) + (Q164)*(IF((YEAR(D164)+18)&lt;YEAR(E164),0,IF((YEAR(D164)+18)&gt;YEAR(E164),1,(12-MONTH(E164)+1)/12))))-((P164)*(IF((YEAR(D164)+18)&lt;YEAR(E164),0,IF((YEAR(D164)+18)&gt;YEAR(E164),1,(12-MONTH(E164)+1)/12))) + (R164)*(IF((YEAR(D164)+18)&lt;YEAR(E164),0,IF((YEAR(D164)+18)&gt;YEAR(E164),1,(12-MONTH(E164)+1)/12))))-(IF((((K164)*(IF(M164="",L164,IFERROR(IF(INDEX(Variablen!$I:$AT, MATCH(M164, Variablen!$A:$A, 0), MATCH((YEAR(D164)+18), Variablen!$I$3:$AT$3, 0))="",L164,INDEX(Variablen!$I:$AT, MATCH(M164, Variablen!$A:$A, 0), MATCH((YEAR(D164)+18), Variablen!$I$3:$AT$3, 0))),L164)))*(IF((YEAR(D164)+18)&lt;YEAR(E164),0,IF((YEAR(D164)+18)&gt;YEAR(E164),1,(12-MONTH(E164)+1)/12))) + (Q164)*(IF((YEAR(D164)+18)&lt;YEAR(E164),0,IF((YEAR(D164)+18)&gt;YEAR(E164),1,(12-MONTH(E164)+1)/12))))-((P164)*(IF((YEAR(D164)+18)&lt;YEAR(E164),0,IF((YEAR(D164)+18)&gt;YEAR(E164),1,(12-MONTH(E164)+1)/12))) + (R164)*(IF((YEAR(D164)+18)&lt;YEAR(E164),0,IF((YEAR(D164)+18)&gt;YEAR(E164),1,(12-MONTH(E164)+1)/12))))-(IF(OR(N164="",N164&lt;=0),0,(O164/N164)*(IF(OR(N164="",N164&lt;=0),0,IF((YEAR(D164)+18)&lt;YEAR(E164),0,IF((YEAR(D164)+18)&gt;=YEAR(E164)+N164,0,IF((YEAR(D164)+18)=YEAR(E164),(12-MONTH(E164)+1)/12,1))))))))&gt;0,(((K164)*(IF(M164="",L164,IFERROR(IF(INDEX(Variablen!$I:$AT, MATCH(M164, Variablen!$A:$A, 0), MATCH((YEAR(D164)+18), Variablen!$I$3:$AT$3, 0))="",L164,INDEX(Variablen!$I:$AT, MATCH(M164, Variablen!$A:$A, 0), MATCH((YEAR(D164)+18), Variablen!$I$3:$AT$3, 0))),L164)))*(IF((YEAR(D164)+18)&lt;YEAR(E164),0,IF((YEAR(D164)+18)&gt;YEAR(E164),1,(12-MONTH(E164)+1)/12))) + (Q164)*(IF((YEAR(D164)+18)&lt;YEAR(E164),0,IF((YEAR(D164)+18)&gt;YEAR(E164),1,(12-MONTH(E164)+1)/12))))-((P164)*(IF((YEAR(D164)+18)&lt;YEAR(E164),0,IF((YEAR(D164)+18)&gt;YEAR(E164),1,(12-MONTH(E164)+1)/12))) + (R164)*(IF((YEAR(D164)+18)&lt;YEAR(E164),0,IF((YEAR(D164)+18)&gt;YEAR(E164),1,(12-MONTH(E164)+1)/12))))-(IF(OR(N164="",N164&lt;=0),0,(O164/N164)*(IF(OR(N164="",N164&lt;=0),0,IF((YEAR(D164)+18)&lt;YEAR(E164),0,IF((YEAR(D164)+18)&gt;=YEAR(E164)+N164,0,IF((YEAR(D164)+18)=YEAR(E164),(12-MONTH(E164)+1)/12,1))))))))*TaxRate,0))-IF(18=0,O164,0))</f>
        <v/>
      </c>
      <c r="AL164" s="29">
        <f>IF(A164="","",((K164)*(IF(M164="",L164,IFERROR(IF(INDEX(Variablen!$I:$AT, MATCH(M164, Variablen!$A:$A, 0), MATCH((YEAR(D164)+19), Variablen!$I$3:$AT$3, 0))="",L164,INDEX(Variablen!$I:$AT, MATCH(M164, Variablen!$A:$A, 0), MATCH((YEAR(D164)+19), Variablen!$I$3:$AT$3, 0))),L164)))*(IF((YEAR(D164)+19)&lt;YEAR(E164),0,IF((YEAR(D164)+19)&gt;YEAR(E164),1,(12-MONTH(E164)+1)/12))) + (Q164)*(IF((YEAR(D164)+19)&lt;YEAR(E164),0,IF((YEAR(D164)+19)&gt;YEAR(E164),1,(12-MONTH(E164)+1)/12))))-((P164)*(IF((YEAR(D164)+19)&lt;YEAR(E164),0,IF((YEAR(D164)+19)&gt;YEAR(E164),1,(12-MONTH(E164)+1)/12))) + (R164)*(IF((YEAR(D164)+19)&lt;YEAR(E164),0,IF((YEAR(D164)+19)&gt;YEAR(E164),1,(12-MONTH(E164)+1)/12))))-(IF((((K164)*(IF(M164="",L164,IFERROR(IF(INDEX(Variablen!$I:$AT, MATCH(M164, Variablen!$A:$A, 0), MATCH((YEAR(D164)+19), Variablen!$I$3:$AT$3, 0))="",L164,INDEX(Variablen!$I:$AT, MATCH(M164, Variablen!$A:$A, 0), MATCH((YEAR(D164)+19), Variablen!$I$3:$AT$3, 0))),L164)))*(IF((YEAR(D164)+19)&lt;YEAR(E164),0,IF((YEAR(D164)+19)&gt;YEAR(E164),1,(12-MONTH(E164)+1)/12))) + (Q164)*(IF((YEAR(D164)+19)&lt;YEAR(E164),0,IF((YEAR(D164)+19)&gt;YEAR(E164),1,(12-MONTH(E164)+1)/12))))-((P164)*(IF((YEAR(D164)+19)&lt;YEAR(E164),0,IF((YEAR(D164)+19)&gt;YEAR(E164),1,(12-MONTH(E164)+1)/12))) + (R164)*(IF((YEAR(D164)+19)&lt;YEAR(E164),0,IF((YEAR(D164)+19)&gt;YEAR(E164),1,(12-MONTH(E164)+1)/12))))-(IF(OR(N164="",N164&lt;=0),0,(O164/N164)*(IF(OR(N164="",N164&lt;=0),0,IF((YEAR(D164)+19)&lt;YEAR(E164),0,IF((YEAR(D164)+19)&gt;=YEAR(E164)+N164,0,IF((YEAR(D164)+19)=YEAR(E164),(12-MONTH(E164)+1)/12,1))))))))&gt;0,(((K164)*(IF(M164="",L164,IFERROR(IF(INDEX(Variablen!$I:$AT, MATCH(M164, Variablen!$A:$A, 0), MATCH((YEAR(D164)+19), Variablen!$I$3:$AT$3, 0))="",L164,INDEX(Variablen!$I:$AT, MATCH(M164, Variablen!$A:$A, 0), MATCH((YEAR(D164)+19), Variablen!$I$3:$AT$3, 0))),L164)))*(IF((YEAR(D164)+19)&lt;YEAR(E164),0,IF((YEAR(D164)+19)&gt;YEAR(E164),1,(12-MONTH(E164)+1)/12))) + (Q164)*(IF((YEAR(D164)+19)&lt;YEAR(E164),0,IF((YEAR(D164)+19)&gt;YEAR(E164),1,(12-MONTH(E164)+1)/12))))-((P164)*(IF((YEAR(D164)+19)&lt;YEAR(E164),0,IF((YEAR(D164)+19)&gt;YEAR(E164),1,(12-MONTH(E164)+1)/12))) + (R164)*(IF((YEAR(D164)+19)&lt;YEAR(E164),0,IF((YEAR(D164)+19)&gt;YEAR(E164),1,(12-MONTH(E164)+1)/12))))-(IF(OR(N164="",N164&lt;=0),0,(O164/N164)*(IF(OR(N164="",N164&lt;=0),0,IF((YEAR(D164)+19)&lt;YEAR(E164),0,IF((YEAR(D164)+19)&gt;=YEAR(E164)+N164,0,IF((YEAR(D164)+19)=YEAR(E164),(12-MONTH(E164)+1)/12,1))))))))*TaxRate,0))-IF(19=0,O164,0))</f>
        <v/>
      </c>
      <c r="AM164" s="29">
        <f>IF(A164="","",((K164)*(IF(M164="",L164,IFERROR(IF(INDEX(Variablen!$I:$AT, MATCH(M164, Variablen!$A:$A, 0), MATCH((YEAR(D164)+20), Variablen!$I$3:$AT$3, 0))="",L164,INDEX(Variablen!$I:$AT, MATCH(M164, Variablen!$A:$A, 0), MATCH((YEAR(D164)+20), Variablen!$I$3:$AT$3, 0))),L164)))*(IF((YEAR(D164)+20)&lt;YEAR(E164),0,IF((YEAR(D164)+20)&gt;YEAR(E164),1,(12-MONTH(E164)+1)/12))) + (Q164)*(IF((YEAR(D164)+20)&lt;YEAR(E164),0,IF((YEAR(D164)+20)&gt;YEAR(E164),1,(12-MONTH(E164)+1)/12))))-((P164)*(IF((YEAR(D164)+20)&lt;YEAR(E164),0,IF((YEAR(D164)+20)&gt;YEAR(E164),1,(12-MONTH(E164)+1)/12))) + (R164)*(IF((YEAR(D164)+20)&lt;YEAR(E164),0,IF((YEAR(D164)+20)&gt;YEAR(E164),1,(12-MONTH(E164)+1)/12))))-(IF((((K164)*(IF(M164="",L164,IFERROR(IF(INDEX(Variablen!$I:$AT, MATCH(M164, Variablen!$A:$A, 0), MATCH((YEAR(D164)+20), Variablen!$I$3:$AT$3, 0))="",L164,INDEX(Variablen!$I:$AT, MATCH(M164, Variablen!$A:$A, 0), MATCH((YEAR(D164)+20), Variablen!$I$3:$AT$3, 0))),L164)))*(IF((YEAR(D164)+20)&lt;YEAR(E164),0,IF((YEAR(D164)+20)&gt;YEAR(E164),1,(12-MONTH(E164)+1)/12))) + (Q164)*(IF((YEAR(D164)+20)&lt;YEAR(E164),0,IF((YEAR(D164)+20)&gt;YEAR(E164),1,(12-MONTH(E164)+1)/12))))-((P164)*(IF((YEAR(D164)+20)&lt;YEAR(E164),0,IF((YEAR(D164)+20)&gt;YEAR(E164),1,(12-MONTH(E164)+1)/12))) + (R164)*(IF((YEAR(D164)+20)&lt;YEAR(E164),0,IF((YEAR(D164)+20)&gt;YEAR(E164),1,(12-MONTH(E164)+1)/12))))-(IF(OR(N164="",N164&lt;=0),0,(O164/N164)*(IF(OR(N164="",N164&lt;=0),0,IF((YEAR(D164)+20)&lt;YEAR(E164),0,IF((YEAR(D164)+20)&gt;=YEAR(E164)+N164,0,IF((YEAR(D164)+20)=YEAR(E164),(12-MONTH(E164)+1)/12,1))))))))&gt;0,(((K164)*(IF(M164="",L164,IFERROR(IF(INDEX(Variablen!$I:$AT, MATCH(M164, Variablen!$A:$A, 0), MATCH((YEAR(D164)+20), Variablen!$I$3:$AT$3, 0))="",L164,INDEX(Variablen!$I:$AT, MATCH(M164, Variablen!$A:$A, 0), MATCH((YEAR(D164)+20), Variablen!$I$3:$AT$3, 0))),L164)))*(IF((YEAR(D164)+20)&lt;YEAR(E164),0,IF((YEAR(D164)+20)&gt;YEAR(E164),1,(12-MONTH(E164)+1)/12))) + (Q164)*(IF((YEAR(D164)+20)&lt;YEAR(E164),0,IF((YEAR(D164)+20)&gt;YEAR(E164),1,(12-MONTH(E164)+1)/12))))-((P164)*(IF((YEAR(D164)+20)&lt;YEAR(E164),0,IF((YEAR(D164)+20)&gt;YEAR(E164),1,(12-MONTH(E164)+1)/12))) + (R164)*(IF((YEAR(D164)+20)&lt;YEAR(E164),0,IF((YEAR(D164)+20)&gt;YEAR(E164),1,(12-MONTH(E164)+1)/12))))-(IF(OR(N164="",N164&lt;=0),0,(O164/N164)*(IF(OR(N164="",N164&lt;=0),0,IF((YEAR(D164)+20)&lt;YEAR(E164),0,IF((YEAR(D164)+20)&gt;=YEAR(E164)+N164,0,IF((YEAR(D164)+20)=YEAR(E164),(12-MONTH(E164)+1)/12,1))))))))*TaxRate,0))-IF(20=0,O164,0))</f>
        <v/>
      </c>
      <c r="AN164" s="29">
        <f>IF(A164="","",S164)</f>
        <v/>
      </c>
      <c r="AO164" s="29">
        <f>IF(A164="","",AN164+T164)</f>
        <v/>
      </c>
      <c r="AP164" s="29">
        <f>IF(A164="","",AO164+U164)</f>
        <v/>
      </c>
      <c r="AQ164" s="29">
        <f>IF(A164="","",AP164+V164)</f>
        <v/>
      </c>
      <c r="AR164" s="29">
        <f>IF(A164="","",AQ164+W164)</f>
        <v/>
      </c>
      <c r="AS164" s="29">
        <f>IF(A164="","",AR164+X164)</f>
        <v/>
      </c>
      <c r="AT164" s="29">
        <f>IF(A164="","",AS164+Y164)</f>
        <v/>
      </c>
      <c r="AU164" s="29">
        <f>IF(A164="","",AT164+Z164)</f>
        <v/>
      </c>
      <c r="AV164" s="29">
        <f>IF(A164="","",AU164+AA164)</f>
        <v/>
      </c>
      <c r="AW164" s="29">
        <f>IF(A164="","",AV164+AB164)</f>
        <v/>
      </c>
      <c r="AX164" s="29">
        <f>IF(A164="","",AW164+AC164)</f>
        <v/>
      </c>
      <c r="AY164" s="29">
        <f>IF(A164="","",AX164+AD164)</f>
        <v/>
      </c>
      <c r="AZ164" s="29">
        <f>IF(A164="","",AY164+AE164)</f>
        <v/>
      </c>
      <c r="BA164" s="29">
        <f>IF(A164="","",AZ164+AF164)</f>
        <v/>
      </c>
      <c r="BB164" s="29">
        <f>IF(A164="","",BA164+AG164)</f>
        <v/>
      </c>
      <c r="BC164" s="29">
        <f>IF(A164="","",BB164+AH164)</f>
        <v/>
      </c>
      <c r="BD164" s="29">
        <f>IF(A164="","",BC164+AI164)</f>
        <v/>
      </c>
      <c r="BE164" s="29">
        <f>IF(A164="","",BD164+AJ164)</f>
        <v/>
      </c>
      <c r="BF164" s="29">
        <f>IF(A164="","",BE164+AK164)</f>
        <v/>
      </c>
      <c r="BG164" s="29">
        <f>IF(A164="","",BF164+AL164)</f>
        <v/>
      </c>
      <c r="BH164" s="29">
        <f>IF(A164="","",BG164+AM164)</f>
        <v/>
      </c>
      <c r="BI164" s="36">
        <f>IF(A164="","",(K164)*(IF((YEAR(D164)+0)&lt;YEAR(E164),0,IF((YEAR(D164)+0)&gt;YEAR(E164),1,(12-MONTH(E164)+1)/12)))*(1/(1+DiscountRate)^0))</f>
        <v/>
      </c>
      <c r="BJ164" s="36">
        <f>IF(A164="","",(K164)*(IF((YEAR(D164)+1)&lt;YEAR(E164),0,IF((YEAR(D164)+1)&gt;YEAR(E164),1,(12-MONTH(E164)+1)/12)))*(1/(1+DiscountRate)^1))</f>
        <v/>
      </c>
      <c r="BK164" s="36">
        <f>IF(A164="","",(K164)*(IF((YEAR(D164)+2)&lt;YEAR(E164),0,IF((YEAR(D164)+2)&gt;YEAR(E164),1,(12-MONTH(E164)+1)/12)))*(1/(1+DiscountRate)^2))</f>
        <v/>
      </c>
      <c r="BL164" s="36">
        <f>IF(A164="","",(K164)*(IF((YEAR(D164)+3)&lt;YEAR(E164),0,IF((YEAR(D164)+3)&gt;YEAR(E164),1,(12-MONTH(E164)+1)/12)))*(1/(1+DiscountRate)^3))</f>
        <v/>
      </c>
      <c r="BM164" s="36">
        <f>IF(A164="","",(K164)*(IF((YEAR(D164)+4)&lt;YEAR(E164),0,IF((YEAR(D164)+4)&gt;YEAR(E164),1,(12-MONTH(E164)+1)/12)))*(1/(1+DiscountRate)^4))</f>
        <v/>
      </c>
      <c r="BN164" s="36">
        <f>IF(A164="","",(K164)*(IF((YEAR(D164)+5)&lt;YEAR(E164),0,IF((YEAR(D164)+5)&gt;YEAR(E164),1,(12-MONTH(E164)+1)/12)))*(1/(1+DiscountRate)^5))</f>
        <v/>
      </c>
      <c r="BO164" s="36">
        <f>IF(A164="","",(K164)*(IF((YEAR(D164)+6)&lt;YEAR(E164),0,IF((YEAR(D164)+6)&gt;YEAR(E164),1,(12-MONTH(E164)+1)/12)))*(1/(1+DiscountRate)^6))</f>
        <v/>
      </c>
      <c r="BP164" s="36">
        <f>IF(A164="","",(K164)*(IF((YEAR(D164)+7)&lt;YEAR(E164),0,IF((YEAR(D164)+7)&gt;YEAR(E164),1,(12-MONTH(E164)+1)/12)))*(1/(1+DiscountRate)^7))</f>
        <v/>
      </c>
      <c r="BQ164" s="36">
        <f>IF(A164="","",(K164)*(IF((YEAR(D164)+8)&lt;YEAR(E164),0,IF((YEAR(D164)+8)&gt;YEAR(E164),1,(12-MONTH(E164)+1)/12)))*(1/(1+DiscountRate)^8))</f>
        <v/>
      </c>
      <c r="BR164" s="36">
        <f>IF(A164="","",(K164)*(IF((YEAR(D164)+9)&lt;YEAR(E164),0,IF((YEAR(D164)+9)&gt;YEAR(E164),1,(12-MONTH(E164)+1)/12)))*(1/(1+DiscountRate)^9))</f>
        <v/>
      </c>
      <c r="BS164" s="36">
        <f>IF(A164="","",(K164)*(IF((YEAR(D164)+10)&lt;YEAR(E164),0,IF((YEAR(D164)+10)&gt;YEAR(E164),1,(12-MONTH(E164)+1)/12)))*(1/(1+DiscountRate)^10))</f>
        <v/>
      </c>
      <c r="BT164" s="36">
        <f>IF(A164="","",(K164)*(IF((YEAR(D164)+11)&lt;YEAR(E164),0,IF((YEAR(D164)+11)&gt;YEAR(E164),1,(12-MONTH(E164)+1)/12)))*(1/(1+DiscountRate)^11))</f>
        <v/>
      </c>
      <c r="BU164" s="36">
        <f>IF(A164="","",(K164)*(IF((YEAR(D164)+12)&lt;YEAR(E164),0,IF((YEAR(D164)+12)&gt;YEAR(E164),1,(12-MONTH(E164)+1)/12)))*(1/(1+DiscountRate)^12))</f>
        <v/>
      </c>
      <c r="BV164" s="36">
        <f>IF(A164="","",(K164)*(IF((YEAR(D164)+13)&lt;YEAR(E164),0,IF((YEAR(D164)+13)&gt;YEAR(E164),1,(12-MONTH(E164)+1)/12)))*(1/(1+DiscountRate)^13))</f>
        <v/>
      </c>
      <c r="BW164" s="36">
        <f>IF(A164="","",(K164)*(IF((YEAR(D164)+14)&lt;YEAR(E164),0,IF((YEAR(D164)+14)&gt;YEAR(E164),1,(12-MONTH(E164)+1)/12)))*(1/(1+DiscountRate)^14))</f>
        <v/>
      </c>
      <c r="BX164" s="36">
        <f>IF(A164="","",(K164)*(IF((YEAR(D164)+15)&lt;YEAR(E164),0,IF((YEAR(D164)+15)&gt;YEAR(E164),1,(12-MONTH(E164)+1)/12)))*(1/(1+DiscountRate)^15))</f>
        <v/>
      </c>
      <c r="BY164" s="36">
        <f>IF(A164="","",(K164)*(IF((YEAR(D164)+16)&lt;YEAR(E164),0,IF((YEAR(D164)+16)&gt;YEAR(E164),1,(12-MONTH(E164)+1)/12)))*(1/(1+DiscountRate)^16))</f>
        <v/>
      </c>
      <c r="BZ164" s="36">
        <f>IF(A164="","",(K164)*(IF((YEAR(D164)+17)&lt;YEAR(E164),0,IF((YEAR(D164)+17)&gt;YEAR(E164),1,(12-MONTH(E164)+1)/12)))*(1/(1+DiscountRate)^17))</f>
        <v/>
      </c>
      <c r="CA164" s="36">
        <f>IF(A164="","",(K164)*(IF((YEAR(D164)+18)&lt;YEAR(E164),0,IF((YEAR(D164)+18)&gt;YEAR(E164),1,(12-MONTH(E164)+1)/12)))*(1/(1+DiscountRate)^18))</f>
        <v/>
      </c>
      <c r="CB164" s="36">
        <f>IF(A164="","",(K164)*(IF((YEAR(D164)+19)&lt;YEAR(E164),0,IF((YEAR(D164)+19)&gt;YEAR(E164),1,(12-MONTH(E164)+1)/12)))*(1/(1+DiscountRate)^19))</f>
        <v/>
      </c>
      <c r="CC164" s="36">
        <f>IF(A164="","",(K164)*(IF((YEAR(D164)+20)&lt;YEAR(E164),0,IF((YEAR(D164)+20)&gt;YEAR(E164),1,(12-MONTH(E164)+1)/12)))*(1/(1+DiscountRate)^20))</f>
        <v/>
      </c>
      <c r="CD164" s="29">
        <f>IF(A164="","",S164/(1+DiscountRate)^0+T164/(1+DiscountRate)^1+U164/(1+DiscountRate)^2+V164/(1+DiscountRate)^3+W164/(1+DiscountRate)^4+X164/(1+DiscountRate)^5+Y164/(1+DiscountRate)^6+Z164/(1+DiscountRate)^7+AA164/(1+DiscountRate)^8+AB164/(1+DiscountRate)^9+AC164/(1+DiscountRate)^10+AD164/(1+DiscountRate)^11+AE164/(1+DiscountRate)^12+AF164/(1+DiscountRate)^13+AG164/(1+DiscountRate)^14+AH164/(1+DiscountRate)^15+AI164/(1+DiscountRate)^16+AJ164/(1+DiscountRate)^17+AK164/(1+DiscountRate)^18+AL164/(1+DiscountRate)^19+AM164/(1+DiscountRate)^20)</f>
        <v/>
      </c>
      <c r="CE164" s="37">
        <f>IF(A164="","",IFERROR(IRR(OFFSET(S164,0,0,1,MIN(HorizonYears,20)+1)),"n/a"))</f>
        <v/>
      </c>
      <c r="CF164" s="28">
        <f>IF(A164="","",IFERROR(MATCH(TRUE,OFFSET(AN164,0,0,1,MIN(HorizonYears,20)+1)&gt;=0,0)-1,"n/a"))</f>
        <v/>
      </c>
      <c r="CG164" s="36">
        <f>IF(A164="","",SUM(OFFSET(BI164,0,0,1,MIN(HorizonYears,20)+1)))</f>
        <v/>
      </c>
      <c r="CH164" s="36">
        <f>IF(A164="","",IFERROR(-CD164/CG164,"n/a"))</f>
        <v/>
      </c>
    </row>
    <row r="165">
      <c r="A165" s="6">
        <f>Actions!A163</f>
        <v/>
      </c>
      <c r="B165" s="6">
        <f>Actions!B163</f>
        <v/>
      </c>
      <c r="C165" s="6">
        <f>Actions!D163</f>
        <v/>
      </c>
      <c r="D165" s="35">
        <f>Actions!E163</f>
        <v/>
      </c>
      <c r="E165" s="35">
        <f>Actions!F163</f>
        <v/>
      </c>
      <c r="F165" s="6">
        <f>Actions!G163</f>
        <v/>
      </c>
      <c r="G165" s="6">
        <f>Actions!H163</f>
        <v/>
      </c>
      <c r="H165" s="29">
        <f>Actions!I163</f>
        <v/>
      </c>
      <c r="I165" s="6">
        <f>Actions!J163</f>
        <v/>
      </c>
      <c r="J165" s="16">
        <f>Actions!K163</f>
        <v/>
      </c>
      <c r="K165" s="16">
        <f>IF(A165="","",IF(I165="%",H165*J165,J165))</f>
        <v/>
      </c>
      <c r="L165" s="16">
        <f>Actions!L163</f>
        <v/>
      </c>
      <c r="M165" s="6">
        <f>Actions!M163</f>
        <v/>
      </c>
      <c r="N165" s="28">
        <f>Actions!N163</f>
        <v/>
      </c>
      <c r="O165" s="29">
        <f>Actions!T163</f>
        <v/>
      </c>
      <c r="P165" s="29">
        <f>Actions!Y163</f>
        <v/>
      </c>
      <c r="Q165" s="29">
        <f>Actions!Z163</f>
        <v/>
      </c>
      <c r="R165" s="29">
        <f>Actions!AA163</f>
        <v/>
      </c>
      <c r="S165" s="29">
        <f>IF(A165="","",((K165)*(IF(M165="",L165,IFERROR(IF(INDEX(Variablen!$I:$AT, MATCH(M165, Variablen!$A:$A, 0), MATCH((YEAR(D165)+0), Variablen!$I$3:$AT$3, 0))="",L165,INDEX(Variablen!$I:$AT, MATCH(M165, Variablen!$A:$A, 0), MATCH((YEAR(D165)+0), Variablen!$I$3:$AT$3, 0))),L165)))*(IF((YEAR(D165)+0)&lt;YEAR(E165),0,IF((YEAR(D165)+0)&gt;YEAR(E165),1,(12-MONTH(E165)+1)/12))) + (Q165)*(IF((YEAR(D165)+0)&lt;YEAR(E165),0,IF((YEAR(D165)+0)&gt;YEAR(E165),1,(12-MONTH(E165)+1)/12))))-((P165)*(IF((YEAR(D165)+0)&lt;YEAR(E165),0,IF((YEAR(D165)+0)&gt;YEAR(E165),1,(12-MONTH(E165)+1)/12))) + (R165)*(IF((YEAR(D165)+0)&lt;YEAR(E165),0,IF((YEAR(D165)+0)&gt;YEAR(E165),1,(12-MONTH(E165)+1)/12))))-(IF((((K165)*(IF(M165="",L165,IFERROR(IF(INDEX(Variablen!$I:$AT, MATCH(M165, Variablen!$A:$A, 0), MATCH((YEAR(D165)+0), Variablen!$I$3:$AT$3, 0))="",L165,INDEX(Variablen!$I:$AT, MATCH(M165, Variablen!$A:$A, 0), MATCH((YEAR(D165)+0), Variablen!$I$3:$AT$3, 0))),L165)))*(IF((YEAR(D165)+0)&lt;YEAR(E165),0,IF((YEAR(D165)+0)&gt;YEAR(E165),1,(12-MONTH(E165)+1)/12))) + (Q165)*(IF((YEAR(D165)+0)&lt;YEAR(E165),0,IF((YEAR(D165)+0)&gt;YEAR(E165),1,(12-MONTH(E165)+1)/12))))-((P165)*(IF((YEAR(D165)+0)&lt;YEAR(E165),0,IF((YEAR(D165)+0)&gt;YEAR(E165),1,(12-MONTH(E165)+1)/12))) + (R165)*(IF((YEAR(D165)+0)&lt;YEAR(E165),0,IF((YEAR(D165)+0)&gt;YEAR(E165),1,(12-MONTH(E165)+1)/12))))-(IF(OR(N165="",N165&lt;=0),0,(O165/N165)*(IF(OR(N165="",N165&lt;=0),0,IF((YEAR(D165)+0)&lt;YEAR(E165),0,IF((YEAR(D165)+0)&gt;=YEAR(E165)+N165,0,IF((YEAR(D165)+0)=YEAR(E165),(12-MONTH(E165)+1)/12,1))))))))&gt;0,(((K165)*(IF(M165="",L165,IFERROR(IF(INDEX(Variablen!$I:$AT, MATCH(M165, Variablen!$A:$A, 0), MATCH((YEAR(D165)+0), Variablen!$I$3:$AT$3, 0))="",L165,INDEX(Variablen!$I:$AT, MATCH(M165, Variablen!$A:$A, 0), MATCH((YEAR(D165)+0), Variablen!$I$3:$AT$3, 0))),L165)))*(IF((YEAR(D165)+0)&lt;YEAR(E165),0,IF((YEAR(D165)+0)&gt;YEAR(E165),1,(12-MONTH(E165)+1)/12))) + (Q165)*(IF((YEAR(D165)+0)&lt;YEAR(E165),0,IF((YEAR(D165)+0)&gt;YEAR(E165),1,(12-MONTH(E165)+1)/12))))-((P165)*(IF((YEAR(D165)+0)&lt;YEAR(E165),0,IF((YEAR(D165)+0)&gt;YEAR(E165),1,(12-MONTH(E165)+1)/12))) + (R165)*(IF((YEAR(D165)+0)&lt;YEAR(E165),0,IF((YEAR(D165)+0)&gt;YEAR(E165),1,(12-MONTH(E165)+1)/12))))-(IF(OR(N165="",N165&lt;=0),0,(O165/N165)*(IF(OR(N165="",N165&lt;=0),0,IF((YEAR(D165)+0)&lt;YEAR(E165),0,IF((YEAR(D165)+0)&gt;=YEAR(E165)+N165,0,IF((YEAR(D165)+0)=YEAR(E165),(12-MONTH(E165)+1)/12,1))))))))*TaxRate,0))-IF(0=0,O165,0))</f>
        <v/>
      </c>
      <c r="T165" s="29">
        <f>IF(A165="","",((K165)*(IF(M165="",L165,IFERROR(IF(INDEX(Variablen!$I:$AT, MATCH(M165, Variablen!$A:$A, 0), MATCH((YEAR(D165)+1), Variablen!$I$3:$AT$3, 0))="",L165,INDEX(Variablen!$I:$AT, MATCH(M165, Variablen!$A:$A, 0), MATCH((YEAR(D165)+1), Variablen!$I$3:$AT$3, 0))),L165)))*(IF((YEAR(D165)+1)&lt;YEAR(E165),0,IF((YEAR(D165)+1)&gt;YEAR(E165),1,(12-MONTH(E165)+1)/12))) + (Q165)*(IF((YEAR(D165)+1)&lt;YEAR(E165),0,IF((YEAR(D165)+1)&gt;YEAR(E165),1,(12-MONTH(E165)+1)/12))))-((P165)*(IF((YEAR(D165)+1)&lt;YEAR(E165),0,IF((YEAR(D165)+1)&gt;YEAR(E165),1,(12-MONTH(E165)+1)/12))) + (R165)*(IF((YEAR(D165)+1)&lt;YEAR(E165),0,IF((YEAR(D165)+1)&gt;YEAR(E165),1,(12-MONTH(E165)+1)/12))))-(IF((((K165)*(IF(M165="",L165,IFERROR(IF(INDEX(Variablen!$I:$AT, MATCH(M165, Variablen!$A:$A, 0), MATCH((YEAR(D165)+1), Variablen!$I$3:$AT$3, 0))="",L165,INDEX(Variablen!$I:$AT, MATCH(M165, Variablen!$A:$A, 0), MATCH((YEAR(D165)+1), Variablen!$I$3:$AT$3, 0))),L165)))*(IF((YEAR(D165)+1)&lt;YEAR(E165),0,IF((YEAR(D165)+1)&gt;YEAR(E165),1,(12-MONTH(E165)+1)/12))) + (Q165)*(IF((YEAR(D165)+1)&lt;YEAR(E165),0,IF((YEAR(D165)+1)&gt;YEAR(E165),1,(12-MONTH(E165)+1)/12))))-((P165)*(IF((YEAR(D165)+1)&lt;YEAR(E165),0,IF((YEAR(D165)+1)&gt;YEAR(E165),1,(12-MONTH(E165)+1)/12))) + (R165)*(IF((YEAR(D165)+1)&lt;YEAR(E165),0,IF((YEAR(D165)+1)&gt;YEAR(E165),1,(12-MONTH(E165)+1)/12))))-(IF(OR(N165="",N165&lt;=0),0,(O165/N165)*(IF(OR(N165="",N165&lt;=0),0,IF((YEAR(D165)+1)&lt;YEAR(E165),0,IF((YEAR(D165)+1)&gt;=YEAR(E165)+N165,0,IF((YEAR(D165)+1)=YEAR(E165),(12-MONTH(E165)+1)/12,1))))))))&gt;0,(((K165)*(IF(M165="",L165,IFERROR(IF(INDEX(Variablen!$I:$AT, MATCH(M165, Variablen!$A:$A, 0), MATCH((YEAR(D165)+1), Variablen!$I$3:$AT$3, 0))="",L165,INDEX(Variablen!$I:$AT, MATCH(M165, Variablen!$A:$A, 0), MATCH((YEAR(D165)+1), Variablen!$I$3:$AT$3, 0))),L165)))*(IF((YEAR(D165)+1)&lt;YEAR(E165),0,IF((YEAR(D165)+1)&gt;YEAR(E165),1,(12-MONTH(E165)+1)/12))) + (Q165)*(IF((YEAR(D165)+1)&lt;YEAR(E165),0,IF((YEAR(D165)+1)&gt;YEAR(E165),1,(12-MONTH(E165)+1)/12))))-((P165)*(IF((YEAR(D165)+1)&lt;YEAR(E165),0,IF((YEAR(D165)+1)&gt;YEAR(E165),1,(12-MONTH(E165)+1)/12))) + (R165)*(IF((YEAR(D165)+1)&lt;YEAR(E165),0,IF((YEAR(D165)+1)&gt;YEAR(E165),1,(12-MONTH(E165)+1)/12))))-(IF(OR(N165="",N165&lt;=0),0,(O165/N165)*(IF(OR(N165="",N165&lt;=0),0,IF((YEAR(D165)+1)&lt;YEAR(E165),0,IF((YEAR(D165)+1)&gt;=YEAR(E165)+N165,0,IF((YEAR(D165)+1)=YEAR(E165),(12-MONTH(E165)+1)/12,1))))))))*TaxRate,0))-IF(1=0,O165,0))</f>
        <v/>
      </c>
      <c r="U165" s="29">
        <f>IF(A165="","",((K165)*(IF(M165="",L165,IFERROR(IF(INDEX(Variablen!$I:$AT, MATCH(M165, Variablen!$A:$A, 0), MATCH((YEAR(D165)+2), Variablen!$I$3:$AT$3, 0))="",L165,INDEX(Variablen!$I:$AT, MATCH(M165, Variablen!$A:$A, 0), MATCH((YEAR(D165)+2), Variablen!$I$3:$AT$3, 0))),L165)))*(IF((YEAR(D165)+2)&lt;YEAR(E165),0,IF((YEAR(D165)+2)&gt;YEAR(E165),1,(12-MONTH(E165)+1)/12))) + (Q165)*(IF((YEAR(D165)+2)&lt;YEAR(E165),0,IF((YEAR(D165)+2)&gt;YEAR(E165),1,(12-MONTH(E165)+1)/12))))-((P165)*(IF((YEAR(D165)+2)&lt;YEAR(E165),0,IF((YEAR(D165)+2)&gt;YEAR(E165),1,(12-MONTH(E165)+1)/12))) + (R165)*(IF((YEAR(D165)+2)&lt;YEAR(E165),0,IF((YEAR(D165)+2)&gt;YEAR(E165),1,(12-MONTH(E165)+1)/12))))-(IF((((K165)*(IF(M165="",L165,IFERROR(IF(INDEX(Variablen!$I:$AT, MATCH(M165, Variablen!$A:$A, 0), MATCH((YEAR(D165)+2), Variablen!$I$3:$AT$3, 0))="",L165,INDEX(Variablen!$I:$AT, MATCH(M165, Variablen!$A:$A, 0), MATCH((YEAR(D165)+2), Variablen!$I$3:$AT$3, 0))),L165)))*(IF((YEAR(D165)+2)&lt;YEAR(E165),0,IF((YEAR(D165)+2)&gt;YEAR(E165),1,(12-MONTH(E165)+1)/12))) + (Q165)*(IF((YEAR(D165)+2)&lt;YEAR(E165),0,IF((YEAR(D165)+2)&gt;YEAR(E165),1,(12-MONTH(E165)+1)/12))))-((P165)*(IF((YEAR(D165)+2)&lt;YEAR(E165),0,IF((YEAR(D165)+2)&gt;YEAR(E165),1,(12-MONTH(E165)+1)/12))) + (R165)*(IF((YEAR(D165)+2)&lt;YEAR(E165),0,IF((YEAR(D165)+2)&gt;YEAR(E165),1,(12-MONTH(E165)+1)/12))))-(IF(OR(N165="",N165&lt;=0),0,(O165/N165)*(IF(OR(N165="",N165&lt;=0),0,IF((YEAR(D165)+2)&lt;YEAR(E165),0,IF((YEAR(D165)+2)&gt;=YEAR(E165)+N165,0,IF((YEAR(D165)+2)=YEAR(E165),(12-MONTH(E165)+1)/12,1))))))))&gt;0,(((K165)*(IF(M165="",L165,IFERROR(IF(INDEX(Variablen!$I:$AT, MATCH(M165, Variablen!$A:$A, 0), MATCH((YEAR(D165)+2), Variablen!$I$3:$AT$3, 0))="",L165,INDEX(Variablen!$I:$AT, MATCH(M165, Variablen!$A:$A, 0), MATCH((YEAR(D165)+2), Variablen!$I$3:$AT$3, 0))),L165)))*(IF((YEAR(D165)+2)&lt;YEAR(E165),0,IF((YEAR(D165)+2)&gt;YEAR(E165),1,(12-MONTH(E165)+1)/12))) + (Q165)*(IF((YEAR(D165)+2)&lt;YEAR(E165),0,IF((YEAR(D165)+2)&gt;YEAR(E165),1,(12-MONTH(E165)+1)/12))))-((P165)*(IF((YEAR(D165)+2)&lt;YEAR(E165),0,IF((YEAR(D165)+2)&gt;YEAR(E165),1,(12-MONTH(E165)+1)/12))) + (R165)*(IF((YEAR(D165)+2)&lt;YEAR(E165),0,IF((YEAR(D165)+2)&gt;YEAR(E165),1,(12-MONTH(E165)+1)/12))))-(IF(OR(N165="",N165&lt;=0),0,(O165/N165)*(IF(OR(N165="",N165&lt;=0),0,IF((YEAR(D165)+2)&lt;YEAR(E165),0,IF((YEAR(D165)+2)&gt;=YEAR(E165)+N165,0,IF((YEAR(D165)+2)=YEAR(E165),(12-MONTH(E165)+1)/12,1))))))))*TaxRate,0))-IF(2=0,O165,0))</f>
        <v/>
      </c>
      <c r="V165" s="29">
        <f>IF(A165="","",((K165)*(IF(M165="",L165,IFERROR(IF(INDEX(Variablen!$I:$AT, MATCH(M165, Variablen!$A:$A, 0), MATCH((YEAR(D165)+3), Variablen!$I$3:$AT$3, 0))="",L165,INDEX(Variablen!$I:$AT, MATCH(M165, Variablen!$A:$A, 0), MATCH((YEAR(D165)+3), Variablen!$I$3:$AT$3, 0))),L165)))*(IF((YEAR(D165)+3)&lt;YEAR(E165),0,IF((YEAR(D165)+3)&gt;YEAR(E165),1,(12-MONTH(E165)+1)/12))) + (Q165)*(IF((YEAR(D165)+3)&lt;YEAR(E165),0,IF((YEAR(D165)+3)&gt;YEAR(E165),1,(12-MONTH(E165)+1)/12))))-((P165)*(IF((YEAR(D165)+3)&lt;YEAR(E165),0,IF((YEAR(D165)+3)&gt;YEAR(E165),1,(12-MONTH(E165)+1)/12))) + (R165)*(IF((YEAR(D165)+3)&lt;YEAR(E165),0,IF((YEAR(D165)+3)&gt;YEAR(E165),1,(12-MONTH(E165)+1)/12))))-(IF((((K165)*(IF(M165="",L165,IFERROR(IF(INDEX(Variablen!$I:$AT, MATCH(M165, Variablen!$A:$A, 0), MATCH((YEAR(D165)+3), Variablen!$I$3:$AT$3, 0))="",L165,INDEX(Variablen!$I:$AT, MATCH(M165, Variablen!$A:$A, 0), MATCH((YEAR(D165)+3), Variablen!$I$3:$AT$3, 0))),L165)))*(IF((YEAR(D165)+3)&lt;YEAR(E165),0,IF((YEAR(D165)+3)&gt;YEAR(E165),1,(12-MONTH(E165)+1)/12))) + (Q165)*(IF((YEAR(D165)+3)&lt;YEAR(E165),0,IF((YEAR(D165)+3)&gt;YEAR(E165),1,(12-MONTH(E165)+1)/12))))-((P165)*(IF((YEAR(D165)+3)&lt;YEAR(E165),0,IF((YEAR(D165)+3)&gt;YEAR(E165),1,(12-MONTH(E165)+1)/12))) + (R165)*(IF((YEAR(D165)+3)&lt;YEAR(E165),0,IF((YEAR(D165)+3)&gt;YEAR(E165),1,(12-MONTH(E165)+1)/12))))-(IF(OR(N165="",N165&lt;=0),0,(O165/N165)*(IF(OR(N165="",N165&lt;=0),0,IF((YEAR(D165)+3)&lt;YEAR(E165),0,IF((YEAR(D165)+3)&gt;=YEAR(E165)+N165,0,IF((YEAR(D165)+3)=YEAR(E165),(12-MONTH(E165)+1)/12,1))))))))&gt;0,(((K165)*(IF(M165="",L165,IFERROR(IF(INDEX(Variablen!$I:$AT, MATCH(M165, Variablen!$A:$A, 0), MATCH((YEAR(D165)+3), Variablen!$I$3:$AT$3, 0))="",L165,INDEX(Variablen!$I:$AT, MATCH(M165, Variablen!$A:$A, 0), MATCH((YEAR(D165)+3), Variablen!$I$3:$AT$3, 0))),L165)))*(IF((YEAR(D165)+3)&lt;YEAR(E165),0,IF((YEAR(D165)+3)&gt;YEAR(E165),1,(12-MONTH(E165)+1)/12))) + (Q165)*(IF((YEAR(D165)+3)&lt;YEAR(E165),0,IF((YEAR(D165)+3)&gt;YEAR(E165),1,(12-MONTH(E165)+1)/12))))-((P165)*(IF((YEAR(D165)+3)&lt;YEAR(E165),0,IF((YEAR(D165)+3)&gt;YEAR(E165),1,(12-MONTH(E165)+1)/12))) + (R165)*(IF((YEAR(D165)+3)&lt;YEAR(E165),0,IF((YEAR(D165)+3)&gt;YEAR(E165),1,(12-MONTH(E165)+1)/12))))-(IF(OR(N165="",N165&lt;=0),0,(O165/N165)*(IF(OR(N165="",N165&lt;=0),0,IF((YEAR(D165)+3)&lt;YEAR(E165),0,IF((YEAR(D165)+3)&gt;=YEAR(E165)+N165,0,IF((YEAR(D165)+3)=YEAR(E165),(12-MONTH(E165)+1)/12,1))))))))*TaxRate,0))-IF(3=0,O165,0))</f>
        <v/>
      </c>
      <c r="W165" s="29">
        <f>IF(A165="","",((K165)*(IF(M165="",L165,IFERROR(IF(INDEX(Variablen!$I:$AT, MATCH(M165, Variablen!$A:$A, 0), MATCH((YEAR(D165)+4), Variablen!$I$3:$AT$3, 0))="",L165,INDEX(Variablen!$I:$AT, MATCH(M165, Variablen!$A:$A, 0), MATCH((YEAR(D165)+4), Variablen!$I$3:$AT$3, 0))),L165)))*(IF((YEAR(D165)+4)&lt;YEAR(E165),0,IF((YEAR(D165)+4)&gt;YEAR(E165),1,(12-MONTH(E165)+1)/12))) + (Q165)*(IF((YEAR(D165)+4)&lt;YEAR(E165),0,IF((YEAR(D165)+4)&gt;YEAR(E165),1,(12-MONTH(E165)+1)/12))))-((P165)*(IF((YEAR(D165)+4)&lt;YEAR(E165),0,IF((YEAR(D165)+4)&gt;YEAR(E165),1,(12-MONTH(E165)+1)/12))) + (R165)*(IF((YEAR(D165)+4)&lt;YEAR(E165),0,IF((YEAR(D165)+4)&gt;YEAR(E165),1,(12-MONTH(E165)+1)/12))))-(IF((((K165)*(IF(M165="",L165,IFERROR(IF(INDEX(Variablen!$I:$AT, MATCH(M165, Variablen!$A:$A, 0), MATCH((YEAR(D165)+4), Variablen!$I$3:$AT$3, 0))="",L165,INDEX(Variablen!$I:$AT, MATCH(M165, Variablen!$A:$A, 0), MATCH((YEAR(D165)+4), Variablen!$I$3:$AT$3, 0))),L165)))*(IF((YEAR(D165)+4)&lt;YEAR(E165),0,IF((YEAR(D165)+4)&gt;YEAR(E165),1,(12-MONTH(E165)+1)/12))) + (Q165)*(IF((YEAR(D165)+4)&lt;YEAR(E165),0,IF((YEAR(D165)+4)&gt;YEAR(E165),1,(12-MONTH(E165)+1)/12))))-((P165)*(IF((YEAR(D165)+4)&lt;YEAR(E165),0,IF((YEAR(D165)+4)&gt;YEAR(E165),1,(12-MONTH(E165)+1)/12))) + (R165)*(IF((YEAR(D165)+4)&lt;YEAR(E165),0,IF((YEAR(D165)+4)&gt;YEAR(E165),1,(12-MONTH(E165)+1)/12))))-(IF(OR(N165="",N165&lt;=0),0,(O165/N165)*(IF(OR(N165="",N165&lt;=0),0,IF((YEAR(D165)+4)&lt;YEAR(E165),0,IF((YEAR(D165)+4)&gt;=YEAR(E165)+N165,0,IF((YEAR(D165)+4)=YEAR(E165),(12-MONTH(E165)+1)/12,1))))))))&gt;0,(((K165)*(IF(M165="",L165,IFERROR(IF(INDEX(Variablen!$I:$AT, MATCH(M165, Variablen!$A:$A, 0), MATCH((YEAR(D165)+4), Variablen!$I$3:$AT$3, 0))="",L165,INDEX(Variablen!$I:$AT, MATCH(M165, Variablen!$A:$A, 0), MATCH((YEAR(D165)+4), Variablen!$I$3:$AT$3, 0))),L165)))*(IF((YEAR(D165)+4)&lt;YEAR(E165),0,IF((YEAR(D165)+4)&gt;YEAR(E165),1,(12-MONTH(E165)+1)/12))) + (Q165)*(IF((YEAR(D165)+4)&lt;YEAR(E165),0,IF((YEAR(D165)+4)&gt;YEAR(E165),1,(12-MONTH(E165)+1)/12))))-((P165)*(IF((YEAR(D165)+4)&lt;YEAR(E165),0,IF((YEAR(D165)+4)&gt;YEAR(E165),1,(12-MONTH(E165)+1)/12))) + (R165)*(IF((YEAR(D165)+4)&lt;YEAR(E165),0,IF((YEAR(D165)+4)&gt;YEAR(E165),1,(12-MONTH(E165)+1)/12))))-(IF(OR(N165="",N165&lt;=0),0,(O165/N165)*(IF(OR(N165="",N165&lt;=0),0,IF((YEAR(D165)+4)&lt;YEAR(E165),0,IF((YEAR(D165)+4)&gt;=YEAR(E165)+N165,0,IF((YEAR(D165)+4)=YEAR(E165),(12-MONTH(E165)+1)/12,1))))))))*TaxRate,0))-IF(4=0,O165,0))</f>
        <v/>
      </c>
      <c r="X165" s="29">
        <f>IF(A165="","",((K165)*(IF(M165="",L165,IFERROR(IF(INDEX(Variablen!$I:$AT, MATCH(M165, Variablen!$A:$A, 0), MATCH((YEAR(D165)+5), Variablen!$I$3:$AT$3, 0))="",L165,INDEX(Variablen!$I:$AT, MATCH(M165, Variablen!$A:$A, 0), MATCH((YEAR(D165)+5), Variablen!$I$3:$AT$3, 0))),L165)))*(IF((YEAR(D165)+5)&lt;YEAR(E165),0,IF((YEAR(D165)+5)&gt;YEAR(E165),1,(12-MONTH(E165)+1)/12))) + (Q165)*(IF((YEAR(D165)+5)&lt;YEAR(E165),0,IF((YEAR(D165)+5)&gt;YEAR(E165),1,(12-MONTH(E165)+1)/12))))-((P165)*(IF((YEAR(D165)+5)&lt;YEAR(E165),0,IF((YEAR(D165)+5)&gt;YEAR(E165),1,(12-MONTH(E165)+1)/12))) + (R165)*(IF((YEAR(D165)+5)&lt;YEAR(E165),0,IF((YEAR(D165)+5)&gt;YEAR(E165),1,(12-MONTH(E165)+1)/12))))-(IF((((K165)*(IF(M165="",L165,IFERROR(IF(INDEX(Variablen!$I:$AT, MATCH(M165, Variablen!$A:$A, 0), MATCH((YEAR(D165)+5), Variablen!$I$3:$AT$3, 0))="",L165,INDEX(Variablen!$I:$AT, MATCH(M165, Variablen!$A:$A, 0), MATCH((YEAR(D165)+5), Variablen!$I$3:$AT$3, 0))),L165)))*(IF((YEAR(D165)+5)&lt;YEAR(E165),0,IF((YEAR(D165)+5)&gt;YEAR(E165),1,(12-MONTH(E165)+1)/12))) + (Q165)*(IF((YEAR(D165)+5)&lt;YEAR(E165),0,IF((YEAR(D165)+5)&gt;YEAR(E165),1,(12-MONTH(E165)+1)/12))))-((P165)*(IF((YEAR(D165)+5)&lt;YEAR(E165),0,IF((YEAR(D165)+5)&gt;YEAR(E165),1,(12-MONTH(E165)+1)/12))) + (R165)*(IF((YEAR(D165)+5)&lt;YEAR(E165),0,IF((YEAR(D165)+5)&gt;YEAR(E165),1,(12-MONTH(E165)+1)/12))))-(IF(OR(N165="",N165&lt;=0),0,(O165/N165)*(IF(OR(N165="",N165&lt;=0),0,IF((YEAR(D165)+5)&lt;YEAR(E165),0,IF((YEAR(D165)+5)&gt;=YEAR(E165)+N165,0,IF((YEAR(D165)+5)=YEAR(E165),(12-MONTH(E165)+1)/12,1))))))))&gt;0,(((K165)*(IF(M165="",L165,IFERROR(IF(INDEX(Variablen!$I:$AT, MATCH(M165, Variablen!$A:$A, 0), MATCH((YEAR(D165)+5), Variablen!$I$3:$AT$3, 0))="",L165,INDEX(Variablen!$I:$AT, MATCH(M165, Variablen!$A:$A, 0), MATCH((YEAR(D165)+5), Variablen!$I$3:$AT$3, 0))),L165)))*(IF((YEAR(D165)+5)&lt;YEAR(E165),0,IF((YEAR(D165)+5)&gt;YEAR(E165),1,(12-MONTH(E165)+1)/12))) + (Q165)*(IF((YEAR(D165)+5)&lt;YEAR(E165),0,IF((YEAR(D165)+5)&gt;YEAR(E165),1,(12-MONTH(E165)+1)/12))))-((P165)*(IF((YEAR(D165)+5)&lt;YEAR(E165),0,IF((YEAR(D165)+5)&gt;YEAR(E165),1,(12-MONTH(E165)+1)/12))) + (R165)*(IF((YEAR(D165)+5)&lt;YEAR(E165),0,IF((YEAR(D165)+5)&gt;YEAR(E165),1,(12-MONTH(E165)+1)/12))))-(IF(OR(N165="",N165&lt;=0),0,(O165/N165)*(IF(OR(N165="",N165&lt;=0),0,IF((YEAR(D165)+5)&lt;YEAR(E165),0,IF((YEAR(D165)+5)&gt;=YEAR(E165)+N165,0,IF((YEAR(D165)+5)=YEAR(E165),(12-MONTH(E165)+1)/12,1))))))))*TaxRate,0))-IF(5=0,O165,0))</f>
        <v/>
      </c>
      <c r="Y165" s="29">
        <f>IF(A165="","",((K165)*(IF(M165="",L165,IFERROR(IF(INDEX(Variablen!$I:$AT, MATCH(M165, Variablen!$A:$A, 0), MATCH((YEAR(D165)+6), Variablen!$I$3:$AT$3, 0))="",L165,INDEX(Variablen!$I:$AT, MATCH(M165, Variablen!$A:$A, 0), MATCH((YEAR(D165)+6), Variablen!$I$3:$AT$3, 0))),L165)))*(IF((YEAR(D165)+6)&lt;YEAR(E165),0,IF((YEAR(D165)+6)&gt;YEAR(E165),1,(12-MONTH(E165)+1)/12))) + (Q165)*(IF((YEAR(D165)+6)&lt;YEAR(E165),0,IF((YEAR(D165)+6)&gt;YEAR(E165),1,(12-MONTH(E165)+1)/12))))-((P165)*(IF((YEAR(D165)+6)&lt;YEAR(E165),0,IF((YEAR(D165)+6)&gt;YEAR(E165),1,(12-MONTH(E165)+1)/12))) + (R165)*(IF((YEAR(D165)+6)&lt;YEAR(E165),0,IF((YEAR(D165)+6)&gt;YEAR(E165),1,(12-MONTH(E165)+1)/12))))-(IF((((K165)*(IF(M165="",L165,IFERROR(IF(INDEX(Variablen!$I:$AT, MATCH(M165, Variablen!$A:$A, 0), MATCH((YEAR(D165)+6), Variablen!$I$3:$AT$3, 0))="",L165,INDEX(Variablen!$I:$AT, MATCH(M165, Variablen!$A:$A, 0), MATCH((YEAR(D165)+6), Variablen!$I$3:$AT$3, 0))),L165)))*(IF((YEAR(D165)+6)&lt;YEAR(E165),0,IF((YEAR(D165)+6)&gt;YEAR(E165),1,(12-MONTH(E165)+1)/12))) + (Q165)*(IF((YEAR(D165)+6)&lt;YEAR(E165),0,IF((YEAR(D165)+6)&gt;YEAR(E165),1,(12-MONTH(E165)+1)/12))))-((P165)*(IF((YEAR(D165)+6)&lt;YEAR(E165),0,IF((YEAR(D165)+6)&gt;YEAR(E165),1,(12-MONTH(E165)+1)/12))) + (R165)*(IF((YEAR(D165)+6)&lt;YEAR(E165),0,IF((YEAR(D165)+6)&gt;YEAR(E165),1,(12-MONTH(E165)+1)/12))))-(IF(OR(N165="",N165&lt;=0),0,(O165/N165)*(IF(OR(N165="",N165&lt;=0),0,IF((YEAR(D165)+6)&lt;YEAR(E165),0,IF((YEAR(D165)+6)&gt;=YEAR(E165)+N165,0,IF((YEAR(D165)+6)=YEAR(E165),(12-MONTH(E165)+1)/12,1))))))))&gt;0,(((K165)*(IF(M165="",L165,IFERROR(IF(INDEX(Variablen!$I:$AT, MATCH(M165, Variablen!$A:$A, 0), MATCH((YEAR(D165)+6), Variablen!$I$3:$AT$3, 0))="",L165,INDEX(Variablen!$I:$AT, MATCH(M165, Variablen!$A:$A, 0), MATCH((YEAR(D165)+6), Variablen!$I$3:$AT$3, 0))),L165)))*(IF((YEAR(D165)+6)&lt;YEAR(E165),0,IF((YEAR(D165)+6)&gt;YEAR(E165),1,(12-MONTH(E165)+1)/12))) + (Q165)*(IF((YEAR(D165)+6)&lt;YEAR(E165),0,IF((YEAR(D165)+6)&gt;YEAR(E165),1,(12-MONTH(E165)+1)/12))))-((P165)*(IF((YEAR(D165)+6)&lt;YEAR(E165),0,IF((YEAR(D165)+6)&gt;YEAR(E165),1,(12-MONTH(E165)+1)/12))) + (R165)*(IF((YEAR(D165)+6)&lt;YEAR(E165),0,IF((YEAR(D165)+6)&gt;YEAR(E165),1,(12-MONTH(E165)+1)/12))))-(IF(OR(N165="",N165&lt;=0),0,(O165/N165)*(IF(OR(N165="",N165&lt;=0),0,IF((YEAR(D165)+6)&lt;YEAR(E165),0,IF((YEAR(D165)+6)&gt;=YEAR(E165)+N165,0,IF((YEAR(D165)+6)=YEAR(E165),(12-MONTH(E165)+1)/12,1))))))))*TaxRate,0))-IF(6=0,O165,0))</f>
        <v/>
      </c>
      <c r="Z165" s="29">
        <f>IF(A165="","",((K165)*(IF(M165="",L165,IFERROR(IF(INDEX(Variablen!$I:$AT, MATCH(M165, Variablen!$A:$A, 0), MATCH((YEAR(D165)+7), Variablen!$I$3:$AT$3, 0))="",L165,INDEX(Variablen!$I:$AT, MATCH(M165, Variablen!$A:$A, 0), MATCH((YEAR(D165)+7), Variablen!$I$3:$AT$3, 0))),L165)))*(IF((YEAR(D165)+7)&lt;YEAR(E165),0,IF((YEAR(D165)+7)&gt;YEAR(E165),1,(12-MONTH(E165)+1)/12))) + (Q165)*(IF((YEAR(D165)+7)&lt;YEAR(E165),0,IF((YEAR(D165)+7)&gt;YEAR(E165),1,(12-MONTH(E165)+1)/12))))-((P165)*(IF((YEAR(D165)+7)&lt;YEAR(E165),0,IF((YEAR(D165)+7)&gt;YEAR(E165),1,(12-MONTH(E165)+1)/12))) + (R165)*(IF((YEAR(D165)+7)&lt;YEAR(E165),0,IF((YEAR(D165)+7)&gt;YEAR(E165),1,(12-MONTH(E165)+1)/12))))-(IF((((K165)*(IF(M165="",L165,IFERROR(IF(INDEX(Variablen!$I:$AT, MATCH(M165, Variablen!$A:$A, 0), MATCH((YEAR(D165)+7), Variablen!$I$3:$AT$3, 0))="",L165,INDEX(Variablen!$I:$AT, MATCH(M165, Variablen!$A:$A, 0), MATCH((YEAR(D165)+7), Variablen!$I$3:$AT$3, 0))),L165)))*(IF((YEAR(D165)+7)&lt;YEAR(E165),0,IF((YEAR(D165)+7)&gt;YEAR(E165),1,(12-MONTH(E165)+1)/12))) + (Q165)*(IF((YEAR(D165)+7)&lt;YEAR(E165),0,IF((YEAR(D165)+7)&gt;YEAR(E165),1,(12-MONTH(E165)+1)/12))))-((P165)*(IF((YEAR(D165)+7)&lt;YEAR(E165),0,IF((YEAR(D165)+7)&gt;YEAR(E165),1,(12-MONTH(E165)+1)/12))) + (R165)*(IF((YEAR(D165)+7)&lt;YEAR(E165),0,IF((YEAR(D165)+7)&gt;YEAR(E165),1,(12-MONTH(E165)+1)/12))))-(IF(OR(N165="",N165&lt;=0),0,(O165/N165)*(IF(OR(N165="",N165&lt;=0),0,IF((YEAR(D165)+7)&lt;YEAR(E165),0,IF((YEAR(D165)+7)&gt;=YEAR(E165)+N165,0,IF((YEAR(D165)+7)=YEAR(E165),(12-MONTH(E165)+1)/12,1))))))))&gt;0,(((K165)*(IF(M165="",L165,IFERROR(IF(INDEX(Variablen!$I:$AT, MATCH(M165, Variablen!$A:$A, 0), MATCH((YEAR(D165)+7), Variablen!$I$3:$AT$3, 0))="",L165,INDEX(Variablen!$I:$AT, MATCH(M165, Variablen!$A:$A, 0), MATCH((YEAR(D165)+7), Variablen!$I$3:$AT$3, 0))),L165)))*(IF((YEAR(D165)+7)&lt;YEAR(E165),0,IF((YEAR(D165)+7)&gt;YEAR(E165),1,(12-MONTH(E165)+1)/12))) + (Q165)*(IF((YEAR(D165)+7)&lt;YEAR(E165),0,IF((YEAR(D165)+7)&gt;YEAR(E165),1,(12-MONTH(E165)+1)/12))))-((P165)*(IF((YEAR(D165)+7)&lt;YEAR(E165),0,IF((YEAR(D165)+7)&gt;YEAR(E165),1,(12-MONTH(E165)+1)/12))) + (R165)*(IF((YEAR(D165)+7)&lt;YEAR(E165),0,IF((YEAR(D165)+7)&gt;YEAR(E165),1,(12-MONTH(E165)+1)/12))))-(IF(OR(N165="",N165&lt;=0),0,(O165/N165)*(IF(OR(N165="",N165&lt;=0),0,IF((YEAR(D165)+7)&lt;YEAR(E165),0,IF((YEAR(D165)+7)&gt;=YEAR(E165)+N165,0,IF((YEAR(D165)+7)=YEAR(E165),(12-MONTH(E165)+1)/12,1))))))))*TaxRate,0))-IF(7=0,O165,0))</f>
        <v/>
      </c>
      <c r="AA165" s="29">
        <f>IF(A165="","",((K165)*(IF(M165="",L165,IFERROR(IF(INDEX(Variablen!$I:$AT, MATCH(M165, Variablen!$A:$A, 0), MATCH((YEAR(D165)+8), Variablen!$I$3:$AT$3, 0))="",L165,INDEX(Variablen!$I:$AT, MATCH(M165, Variablen!$A:$A, 0), MATCH((YEAR(D165)+8), Variablen!$I$3:$AT$3, 0))),L165)))*(IF((YEAR(D165)+8)&lt;YEAR(E165),0,IF((YEAR(D165)+8)&gt;YEAR(E165),1,(12-MONTH(E165)+1)/12))) + (Q165)*(IF((YEAR(D165)+8)&lt;YEAR(E165),0,IF((YEAR(D165)+8)&gt;YEAR(E165),1,(12-MONTH(E165)+1)/12))))-((P165)*(IF((YEAR(D165)+8)&lt;YEAR(E165),0,IF((YEAR(D165)+8)&gt;YEAR(E165),1,(12-MONTH(E165)+1)/12))) + (R165)*(IF((YEAR(D165)+8)&lt;YEAR(E165),0,IF((YEAR(D165)+8)&gt;YEAR(E165),1,(12-MONTH(E165)+1)/12))))-(IF((((K165)*(IF(M165="",L165,IFERROR(IF(INDEX(Variablen!$I:$AT, MATCH(M165, Variablen!$A:$A, 0), MATCH((YEAR(D165)+8), Variablen!$I$3:$AT$3, 0))="",L165,INDEX(Variablen!$I:$AT, MATCH(M165, Variablen!$A:$A, 0), MATCH((YEAR(D165)+8), Variablen!$I$3:$AT$3, 0))),L165)))*(IF((YEAR(D165)+8)&lt;YEAR(E165),0,IF((YEAR(D165)+8)&gt;YEAR(E165),1,(12-MONTH(E165)+1)/12))) + (Q165)*(IF((YEAR(D165)+8)&lt;YEAR(E165),0,IF((YEAR(D165)+8)&gt;YEAR(E165),1,(12-MONTH(E165)+1)/12))))-((P165)*(IF((YEAR(D165)+8)&lt;YEAR(E165),0,IF((YEAR(D165)+8)&gt;YEAR(E165),1,(12-MONTH(E165)+1)/12))) + (R165)*(IF((YEAR(D165)+8)&lt;YEAR(E165),0,IF((YEAR(D165)+8)&gt;YEAR(E165),1,(12-MONTH(E165)+1)/12))))-(IF(OR(N165="",N165&lt;=0),0,(O165/N165)*(IF(OR(N165="",N165&lt;=0),0,IF((YEAR(D165)+8)&lt;YEAR(E165),0,IF((YEAR(D165)+8)&gt;=YEAR(E165)+N165,0,IF((YEAR(D165)+8)=YEAR(E165),(12-MONTH(E165)+1)/12,1))))))))&gt;0,(((K165)*(IF(M165="",L165,IFERROR(IF(INDEX(Variablen!$I:$AT, MATCH(M165, Variablen!$A:$A, 0), MATCH((YEAR(D165)+8), Variablen!$I$3:$AT$3, 0))="",L165,INDEX(Variablen!$I:$AT, MATCH(M165, Variablen!$A:$A, 0), MATCH((YEAR(D165)+8), Variablen!$I$3:$AT$3, 0))),L165)))*(IF((YEAR(D165)+8)&lt;YEAR(E165),0,IF((YEAR(D165)+8)&gt;YEAR(E165),1,(12-MONTH(E165)+1)/12))) + (Q165)*(IF((YEAR(D165)+8)&lt;YEAR(E165),0,IF((YEAR(D165)+8)&gt;YEAR(E165),1,(12-MONTH(E165)+1)/12))))-((P165)*(IF((YEAR(D165)+8)&lt;YEAR(E165),0,IF((YEAR(D165)+8)&gt;YEAR(E165),1,(12-MONTH(E165)+1)/12))) + (R165)*(IF((YEAR(D165)+8)&lt;YEAR(E165),0,IF((YEAR(D165)+8)&gt;YEAR(E165),1,(12-MONTH(E165)+1)/12))))-(IF(OR(N165="",N165&lt;=0),0,(O165/N165)*(IF(OR(N165="",N165&lt;=0),0,IF((YEAR(D165)+8)&lt;YEAR(E165),0,IF((YEAR(D165)+8)&gt;=YEAR(E165)+N165,0,IF((YEAR(D165)+8)=YEAR(E165),(12-MONTH(E165)+1)/12,1))))))))*TaxRate,0))-IF(8=0,O165,0))</f>
        <v/>
      </c>
      <c r="AB165" s="29">
        <f>IF(A165="","",((K165)*(IF(M165="",L165,IFERROR(IF(INDEX(Variablen!$I:$AT, MATCH(M165, Variablen!$A:$A, 0), MATCH((YEAR(D165)+9), Variablen!$I$3:$AT$3, 0))="",L165,INDEX(Variablen!$I:$AT, MATCH(M165, Variablen!$A:$A, 0), MATCH((YEAR(D165)+9), Variablen!$I$3:$AT$3, 0))),L165)))*(IF((YEAR(D165)+9)&lt;YEAR(E165),0,IF((YEAR(D165)+9)&gt;YEAR(E165),1,(12-MONTH(E165)+1)/12))) + (Q165)*(IF((YEAR(D165)+9)&lt;YEAR(E165),0,IF((YEAR(D165)+9)&gt;YEAR(E165),1,(12-MONTH(E165)+1)/12))))-((P165)*(IF((YEAR(D165)+9)&lt;YEAR(E165),0,IF((YEAR(D165)+9)&gt;YEAR(E165),1,(12-MONTH(E165)+1)/12))) + (R165)*(IF((YEAR(D165)+9)&lt;YEAR(E165),0,IF((YEAR(D165)+9)&gt;YEAR(E165),1,(12-MONTH(E165)+1)/12))))-(IF((((K165)*(IF(M165="",L165,IFERROR(IF(INDEX(Variablen!$I:$AT, MATCH(M165, Variablen!$A:$A, 0), MATCH((YEAR(D165)+9), Variablen!$I$3:$AT$3, 0))="",L165,INDEX(Variablen!$I:$AT, MATCH(M165, Variablen!$A:$A, 0), MATCH((YEAR(D165)+9), Variablen!$I$3:$AT$3, 0))),L165)))*(IF((YEAR(D165)+9)&lt;YEAR(E165),0,IF((YEAR(D165)+9)&gt;YEAR(E165),1,(12-MONTH(E165)+1)/12))) + (Q165)*(IF((YEAR(D165)+9)&lt;YEAR(E165),0,IF((YEAR(D165)+9)&gt;YEAR(E165),1,(12-MONTH(E165)+1)/12))))-((P165)*(IF((YEAR(D165)+9)&lt;YEAR(E165),0,IF((YEAR(D165)+9)&gt;YEAR(E165),1,(12-MONTH(E165)+1)/12))) + (R165)*(IF((YEAR(D165)+9)&lt;YEAR(E165),0,IF((YEAR(D165)+9)&gt;YEAR(E165),1,(12-MONTH(E165)+1)/12))))-(IF(OR(N165="",N165&lt;=0),0,(O165/N165)*(IF(OR(N165="",N165&lt;=0),0,IF((YEAR(D165)+9)&lt;YEAR(E165),0,IF((YEAR(D165)+9)&gt;=YEAR(E165)+N165,0,IF((YEAR(D165)+9)=YEAR(E165),(12-MONTH(E165)+1)/12,1))))))))&gt;0,(((K165)*(IF(M165="",L165,IFERROR(IF(INDEX(Variablen!$I:$AT, MATCH(M165, Variablen!$A:$A, 0), MATCH((YEAR(D165)+9), Variablen!$I$3:$AT$3, 0))="",L165,INDEX(Variablen!$I:$AT, MATCH(M165, Variablen!$A:$A, 0), MATCH((YEAR(D165)+9), Variablen!$I$3:$AT$3, 0))),L165)))*(IF((YEAR(D165)+9)&lt;YEAR(E165),0,IF((YEAR(D165)+9)&gt;YEAR(E165),1,(12-MONTH(E165)+1)/12))) + (Q165)*(IF((YEAR(D165)+9)&lt;YEAR(E165),0,IF((YEAR(D165)+9)&gt;YEAR(E165),1,(12-MONTH(E165)+1)/12))))-((P165)*(IF((YEAR(D165)+9)&lt;YEAR(E165),0,IF((YEAR(D165)+9)&gt;YEAR(E165),1,(12-MONTH(E165)+1)/12))) + (R165)*(IF((YEAR(D165)+9)&lt;YEAR(E165),0,IF((YEAR(D165)+9)&gt;YEAR(E165),1,(12-MONTH(E165)+1)/12))))-(IF(OR(N165="",N165&lt;=0),0,(O165/N165)*(IF(OR(N165="",N165&lt;=0),0,IF((YEAR(D165)+9)&lt;YEAR(E165),0,IF((YEAR(D165)+9)&gt;=YEAR(E165)+N165,0,IF((YEAR(D165)+9)=YEAR(E165),(12-MONTH(E165)+1)/12,1))))))))*TaxRate,0))-IF(9=0,O165,0))</f>
        <v/>
      </c>
      <c r="AC165" s="29">
        <f>IF(A165="","",((K165)*(IF(M165="",L165,IFERROR(IF(INDEX(Variablen!$I:$AT, MATCH(M165, Variablen!$A:$A, 0), MATCH((YEAR(D165)+10), Variablen!$I$3:$AT$3, 0))="",L165,INDEX(Variablen!$I:$AT, MATCH(M165, Variablen!$A:$A, 0), MATCH((YEAR(D165)+10), Variablen!$I$3:$AT$3, 0))),L165)))*(IF((YEAR(D165)+10)&lt;YEAR(E165),0,IF((YEAR(D165)+10)&gt;YEAR(E165),1,(12-MONTH(E165)+1)/12))) + (Q165)*(IF((YEAR(D165)+10)&lt;YEAR(E165),0,IF((YEAR(D165)+10)&gt;YEAR(E165),1,(12-MONTH(E165)+1)/12))))-((P165)*(IF((YEAR(D165)+10)&lt;YEAR(E165),0,IF((YEAR(D165)+10)&gt;YEAR(E165),1,(12-MONTH(E165)+1)/12))) + (R165)*(IF((YEAR(D165)+10)&lt;YEAR(E165),0,IF((YEAR(D165)+10)&gt;YEAR(E165),1,(12-MONTH(E165)+1)/12))))-(IF((((K165)*(IF(M165="",L165,IFERROR(IF(INDEX(Variablen!$I:$AT, MATCH(M165, Variablen!$A:$A, 0), MATCH((YEAR(D165)+10), Variablen!$I$3:$AT$3, 0))="",L165,INDEX(Variablen!$I:$AT, MATCH(M165, Variablen!$A:$A, 0), MATCH((YEAR(D165)+10), Variablen!$I$3:$AT$3, 0))),L165)))*(IF((YEAR(D165)+10)&lt;YEAR(E165),0,IF((YEAR(D165)+10)&gt;YEAR(E165),1,(12-MONTH(E165)+1)/12))) + (Q165)*(IF((YEAR(D165)+10)&lt;YEAR(E165),0,IF((YEAR(D165)+10)&gt;YEAR(E165),1,(12-MONTH(E165)+1)/12))))-((P165)*(IF((YEAR(D165)+10)&lt;YEAR(E165),0,IF((YEAR(D165)+10)&gt;YEAR(E165),1,(12-MONTH(E165)+1)/12))) + (R165)*(IF((YEAR(D165)+10)&lt;YEAR(E165),0,IF((YEAR(D165)+10)&gt;YEAR(E165),1,(12-MONTH(E165)+1)/12))))-(IF(OR(N165="",N165&lt;=0),0,(O165/N165)*(IF(OR(N165="",N165&lt;=0),0,IF((YEAR(D165)+10)&lt;YEAR(E165),0,IF((YEAR(D165)+10)&gt;=YEAR(E165)+N165,0,IF((YEAR(D165)+10)=YEAR(E165),(12-MONTH(E165)+1)/12,1))))))))&gt;0,(((K165)*(IF(M165="",L165,IFERROR(IF(INDEX(Variablen!$I:$AT, MATCH(M165, Variablen!$A:$A, 0), MATCH((YEAR(D165)+10), Variablen!$I$3:$AT$3, 0))="",L165,INDEX(Variablen!$I:$AT, MATCH(M165, Variablen!$A:$A, 0), MATCH((YEAR(D165)+10), Variablen!$I$3:$AT$3, 0))),L165)))*(IF((YEAR(D165)+10)&lt;YEAR(E165),0,IF((YEAR(D165)+10)&gt;YEAR(E165),1,(12-MONTH(E165)+1)/12))) + (Q165)*(IF((YEAR(D165)+10)&lt;YEAR(E165),0,IF((YEAR(D165)+10)&gt;YEAR(E165),1,(12-MONTH(E165)+1)/12))))-((P165)*(IF((YEAR(D165)+10)&lt;YEAR(E165),0,IF((YEAR(D165)+10)&gt;YEAR(E165),1,(12-MONTH(E165)+1)/12))) + (R165)*(IF((YEAR(D165)+10)&lt;YEAR(E165),0,IF((YEAR(D165)+10)&gt;YEAR(E165),1,(12-MONTH(E165)+1)/12))))-(IF(OR(N165="",N165&lt;=0),0,(O165/N165)*(IF(OR(N165="",N165&lt;=0),0,IF((YEAR(D165)+10)&lt;YEAR(E165),0,IF((YEAR(D165)+10)&gt;=YEAR(E165)+N165,0,IF((YEAR(D165)+10)=YEAR(E165),(12-MONTH(E165)+1)/12,1))))))))*TaxRate,0))-IF(10=0,O165,0))</f>
        <v/>
      </c>
      <c r="AD165" s="29">
        <f>IF(A165="","",((K165)*(IF(M165="",L165,IFERROR(IF(INDEX(Variablen!$I:$AT, MATCH(M165, Variablen!$A:$A, 0), MATCH((YEAR(D165)+11), Variablen!$I$3:$AT$3, 0))="",L165,INDEX(Variablen!$I:$AT, MATCH(M165, Variablen!$A:$A, 0), MATCH((YEAR(D165)+11), Variablen!$I$3:$AT$3, 0))),L165)))*(IF((YEAR(D165)+11)&lt;YEAR(E165),0,IF((YEAR(D165)+11)&gt;YEAR(E165),1,(12-MONTH(E165)+1)/12))) + (Q165)*(IF((YEAR(D165)+11)&lt;YEAR(E165),0,IF((YEAR(D165)+11)&gt;YEAR(E165),1,(12-MONTH(E165)+1)/12))))-((P165)*(IF((YEAR(D165)+11)&lt;YEAR(E165),0,IF((YEAR(D165)+11)&gt;YEAR(E165),1,(12-MONTH(E165)+1)/12))) + (R165)*(IF((YEAR(D165)+11)&lt;YEAR(E165),0,IF((YEAR(D165)+11)&gt;YEAR(E165),1,(12-MONTH(E165)+1)/12))))-(IF((((K165)*(IF(M165="",L165,IFERROR(IF(INDEX(Variablen!$I:$AT, MATCH(M165, Variablen!$A:$A, 0), MATCH((YEAR(D165)+11), Variablen!$I$3:$AT$3, 0))="",L165,INDEX(Variablen!$I:$AT, MATCH(M165, Variablen!$A:$A, 0), MATCH((YEAR(D165)+11), Variablen!$I$3:$AT$3, 0))),L165)))*(IF((YEAR(D165)+11)&lt;YEAR(E165),0,IF((YEAR(D165)+11)&gt;YEAR(E165),1,(12-MONTH(E165)+1)/12))) + (Q165)*(IF((YEAR(D165)+11)&lt;YEAR(E165),0,IF((YEAR(D165)+11)&gt;YEAR(E165),1,(12-MONTH(E165)+1)/12))))-((P165)*(IF((YEAR(D165)+11)&lt;YEAR(E165),0,IF((YEAR(D165)+11)&gt;YEAR(E165),1,(12-MONTH(E165)+1)/12))) + (R165)*(IF((YEAR(D165)+11)&lt;YEAR(E165),0,IF((YEAR(D165)+11)&gt;YEAR(E165),1,(12-MONTH(E165)+1)/12))))-(IF(OR(N165="",N165&lt;=0),0,(O165/N165)*(IF(OR(N165="",N165&lt;=0),0,IF((YEAR(D165)+11)&lt;YEAR(E165),0,IF((YEAR(D165)+11)&gt;=YEAR(E165)+N165,0,IF((YEAR(D165)+11)=YEAR(E165),(12-MONTH(E165)+1)/12,1))))))))&gt;0,(((K165)*(IF(M165="",L165,IFERROR(IF(INDEX(Variablen!$I:$AT, MATCH(M165, Variablen!$A:$A, 0), MATCH((YEAR(D165)+11), Variablen!$I$3:$AT$3, 0))="",L165,INDEX(Variablen!$I:$AT, MATCH(M165, Variablen!$A:$A, 0), MATCH((YEAR(D165)+11), Variablen!$I$3:$AT$3, 0))),L165)))*(IF((YEAR(D165)+11)&lt;YEAR(E165),0,IF((YEAR(D165)+11)&gt;YEAR(E165),1,(12-MONTH(E165)+1)/12))) + (Q165)*(IF((YEAR(D165)+11)&lt;YEAR(E165),0,IF((YEAR(D165)+11)&gt;YEAR(E165),1,(12-MONTH(E165)+1)/12))))-((P165)*(IF((YEAR(D165)+11)&lt;YEAR(E165),0,IF((YEAR(D165)+11)&gt;YEAR(E165),1,(12-MONTH(E165)+1)/12))) + (R165)*(IF((YEAR(D165)+11)&lt;YEAR(E165),0,IF((YEAR(D165)+11)&gt;YEAR(E165),1,(12-MONTH(E165)+1)/12))))-(IF(OR(N165="",N165&lt;=0),0,(O165/N165)*(IF(OR(N165="",N165&lt;=0),0,IF((YEAR(D165)+11)&lt;YEAR(E165),0,IF((YEAR(D165)+11)&gt;=YEAR(E165)+N165,0,IF((YEAR(D165)+11)=YEAR(E165),(12-MONTH(E165)+1)/12,1))))))))*TaxRate,0))-IF(11=0,O165,0))</f>
        <v/>
      </c>
      <c r="AE165" s="29">
        <f>IF(A165="","",((K165)*(IF(M165="",L165,IFERROR(IF(INDEX(Variablen!$I:$AT, MATCH(M165, Variablen!$A:$A, 0), MATCH((YEAR(D165)+12), Variablen!$I$3:$AT$3, 0))="",L165,INDEX(Variablen!$I:$AT, MATCH(M165, Variablen!$A:$A, 0), MATCH((YEAR(D165)+12), Variablen!$I$3:$AT$3, 0))),L165)))*(IF((YEAR(D165)+12)&lt;YEAR(E165),0,IF((YEAR(D165)+12)&gt;YEAR(E165),1,(12-MONTH(E165)+1)/12))) + (Q165)*(IF((YEAR(D165)+12)&lt;YEAR(E165),0,IF((YEAR(D165)+12)&gt;YEAR(E165),1,(12-MONTH(E165)+1)/12))))-((P165)*(IF((YEAR(D165)+12)&lt;YEAR(E165),0,IF((YEAR(D165)+12)&gt;YEAR(E165),1,(12-MONTH(E165)+1)/12))) + (R165)*(IF((YEAR(D165)+12)&lt;YEAR(E165),0,IF((YEAR(D165)+12)&gt;YEAR(E165),1,(12-MONTH(E165)+1)/12))))-(IF((((K165)*(IF(M165="",L165,IFERROR(IF(INDEX(Variablen!$I:$AT, MATCH(M165, Variablen!$A:$A, 0), MATCH((YEAR(D165)+12), Variablen!$I$3:$AT$3, 0))="",L165,INDEX(Variablen!$I:$AT, MATCH(M165, Variablen!$A:$A, 0), MATCH((YEAR(D165)+12), Variablen!$I$3:$AT$3, 0))),L165)))*(IF((YEAR(D165)+12)&lt;YEAR(E165),0,IF((YEAR(D165)+12)&gt;YEAR(E165),1,(12-MONTH(E165)+1)/12))) + (Q165)*(IF((YEAR(D165)+12)&lt;YEAR(E165),0,IF((YEAR(D165)+12)&gt;YEAR(E165),1,(12-MONTH(E165)+1)/12))))-((P165)*(IF((YEAR(D165)+12)&lt;YEAR(E165),0,IF((YEAR(D165)+12)&gt;YEAR(E165),1,(12-MONTH(E165)+1)/12))) + (R165)*(IF((YEAR(D165)+12)&lt;YEAR(E165),0,IF((YEAR(D165)+12)&gt;YEAR(E165),1,(12-MONTH(E165)+1)/12))))-(IF(OR(N165="",N165&lt;=0),0,(O165/N165)*(IF(OR(N165="",N165&lt;=0),0,IF((YEAR(D165)+12)&lt;YEAR(E165),0,IF((YEAR(D165)+12)&gt;=YEAR(E165)+N165,0,IF((YEAR(D165)+12)=YEAR(E165),(12-MONTH(E165)+1)/12,1))))))))&gt;0,(((K165)*(IF(M165="",L165,IFERROR(IF(INDEX(Variablen!$I:$AT, MATCH(M165, Variablen!$A:$A, 0), MATCH((YEAR(D165)+12), Variablen!$I$3:$AT$3, 0))="",L165,INDEX(Variablen!$I:$AT, MATCH(M165, Variablen!$A:$A, 0), MATCH((YEAR(D165)+12), Variablen!$I$3:$AT$3, 0))),L165)))*(IF((YEAR(D165)+12)&lt;YEAR(E165),0,IF((YEAR(D165)+12)&gt;YEAR(E165),1,(12-MONTH(E165)+1)/12))) + (Q165)*(IF((YEAR(D165)+12)&lt;YEAR(E165),0,IF((YEAR(D165)+12)&gt;YEAR(E165),1,(12-MONTH(E165)+1)/12))))-((P165)*(IF((YEAR(D165)+12)&lt;YEAR(E165),0,IF((YEAR(D165)+12)&gt;YEAR(E165),1,(12-MONTH(E165)+1)/12))) + (R165)*(IF((YEAR(D165)+12)&lt;YEAR(E165),0,IF((YEAR(D165)+12)&gt;YEAR(E165),1,(12-MONTH(E165)+1)/12))))-(IF(OR(N165="",N165&lt;=0),0,(O165/N165)*(IF(OR(N165="",N165&lt;=0),0,IF((YEAR(D165)+12)&lt;YEAR(E165),0,IF((YEAR(D165)+12)&gt;=YEAR(E165)+N165,0,IF((YEAR(D165)+12)=YEAR(E165),(12-MONTH(E165)+1)/12,1))))))))*TaxRate,0))-IF(12=0,O165,0))</f>
        <v/>
      </c>
      <c r="AF165" s="29">
        <f>IF(A165="","",((K165)*(IF(M165="",L165,IFERROR(IF(INDEX(Variablen!$I:$AT, MATCH(M165, Variablen!$A:$A, 0), MATCH((YEAR(D165)+13), Variablen!$I$3:$AT$3, 0))="",L165,INDEX(Variablen!$I:$AT, MATCH(M165, Variablen!$A:$A, 0), MATCH((YEAR(D165)+13), Variablen!$I$3:$AT$3, 0))),L165)))*(IF((YEAR(D165)+13)&lt;YEAR(E165),0,IF((YEAR(D165)+13)&gt;YEAR(E165),1,(12-MONTH(E165)+1)/12))) + (Q165)*(IF((YEAR(D165)+13)&lt;YEAR(E165),0,IF((YEAR(D165)+13)&gt;YEAR(E165),1,(12-MONTH(E165)+1)/12))))-((P165)*(IF((YEAR(D165)+13)&lt;YEAR(E165),0,IF((YEAR(D165)+13)&gt;YEAR(E165),1,(12-MONTH(E165)+1)/12))) + (R165)*(IF((YEAR(D165)+13)&lt;YEAR(E165),0,IF((YEAR(D165)+13)&gt;YEAR(E165),1,(12-MONTH(E165)+1)/12))))-(IF((((K165)*(IF(M165="",L165,IFERROR(IF(INDEX(Variablen!$I:$AT, MATCH(M165, Variablen!$A:$A, 0), MATCH((YEAR(D165)+13), Variablen!$I$3:$AT$3, 0))="",L165,INDEX(Variablen!$I:$AT, MATCH(M165, Variablen!$A:$A, 0), MATCH((YEAR(D165)+13), Variablen!$I$3:$AT$3, 0))),L165)))*(IF((YEAR(D165)+13)&lt;YEAR(E165),0,IF((YEAR(D165)+13)&gt;YEAR(E165),1,(12-MONTH(E165)+1)/12))) + (Q165)*(IF((YEAR(D165)+13)&lt;YEAR(E165),0,IF((YEAR(D165)+13)&gt;YEAR(E165),1,(12-MONTH(E165)+1)/12))))-((P165)*(IF((YEAR(D165)+13)&lt;YEAR(E165),0,IF((YEAR(D165)+13)&gt;YEAR(E165),1,(12-MONTH(E165)+1)/12))) + (R165)*(IF((YEAR(D165)+13)&lt;YEAR(E165),0,IF((YEAR(D165)+13)&gt;YEAR(E165),1,(12-MONTH(E165)+1)/12))))-(IF(OR(N165="",N165&lt;=0),0,(O165/N165)*(IF(OR(N165="",N165&lt;=0),0,IF((YEAR(D165)+13)&lt;YEAR(E165),0,IF((YEAR(D165)+13)&gt;=YEAR(E165)+N165,0,IF((YEAR(D165)+13)=YEAR(E165),(12-MONTH(E165)+1)/12,1))))))))&gt;0,(((K165)*(IF(M165="",L165,IFERROR(IF(INDEX(Variablen!$I:$AT, MATCH(M165, Variablen!$A:$A, 0), MATCH((YEAR(D165)+13), Variablen!$I$3:$AT$3, 0))="",L165,INDEX(Variablen!$I:$AT, MATCH(M165, Variablen!$A:$A, 0), MATCH((YEAR(D165)+13), Variablen!$I$3:$AT$3, 0))),L165)))*(IF((YEAR(D165)+13)&lt;YEAR(E165),0,IF((YEAR(D165)+13)&gt;YEAR(E165),1,(12-MONTH(E165)+1)/12))) + (Q165)*(IF((YEAR(D165)+13)&lt;YEAR(E165),0,IF((YEAR(D165)+13)&gt;YEAR(E165),1,(12-MONTH(E165)+1)/12))))-((P165)*(IF((YEAR(D165)+13)&lt;YEAR(E165),0,IF((YEAR(D165)+13)&gt;YEAR(E165),1,(12-MONTH(E165)+1)/12))) + (R165)*(IF((YEAR(D165)+13)&lt;YEAR(E165),0,IF((YEAR(D165)+13)&gt;YEAR(E165),1,(12-MONTH(E165)+1)/12))))-(IF(OR(N165="",N165&lt;=0),0,(O165/N165)*(IF(OR(N165="",N165&lt;=0),0,IF((YEAR(D165)+13)&lt;YEAR(E165),0,IF((YEAR(D165)+13)&gt;=YEAR(E165)+N165,0,IF((YEAR(D165)+13)=YEAR(E165),(12-MONTH(E165)+1)/12,1))))))))*TaxRate,0))-IF(13=0,O165,0))</f>
        <v/>
      </c>
      <c r="AG165" s="29">
        <f>IF(A165="","",((K165)*(IF(M165="",L165,IFERROR(IF(INDEX(Variablen!$I:$AT, MATCH(M165, Variablen!$A:$A, 0), MATCH((YEAR(D165)+14), Variablen!$I$3:$AT$3, 0))="",L165,INDEX(Variablen!$I:$AT, MATCH(M165, Variablen!$A:$A, 0), MATCH((YEAR(D165)+14), Variablen!$I$3:$AT$3, 0))),L165)))*(IF((YEAR(D165)+14)&lt;YEAR(E165),0,IF((YEAR(D165)+14)&gt;YEAR(E165),1,(12-MONTH(E165)+1)/12))) + (Q165)*(IF((YEAR(D165)+14)&lt;YEAR(E165),0,IF((YEAR(D165)+14)&gt;YEAR(E165),1,(12-MONTH(E165)+1)/12))))-((P165)*(IF((YEAR(D165)+14)&lt;YEAR(E165),0,IF((YEAR(D165)+14)&gt;YEAR(E165),1,(12-MONTH(E165)+1)/12))) + (R165)*(IF((YEAR(D165)+14)&lt;YEAR(E165),0,IF((YEAR(D165)+14)&gt;YEAR(E165),1,(12-MONTH(E165)+1)/12))))-(IF((((K165)*(IF(M165="",L165,IFERROR(IF(INDEX(Variablen!$I:$AT, MATCH(M165, Variablen!$A:$A, 0), MATCH((YEAR(D165)+14), Variablen!$I$3:$AT$3, 0))="",L165,INDEX(Variablen!$I:$AT, MATCH(M165, Variablen!$A:$A, 0), MATCH((YEAR(D165)+14), Variablen!$I$3:$AT$3, 0))),L165)))*(IF((YEAR(D165)+14)&lt;YEAR(E165),0,IF((YEAR(D165)+14)&gt;YEAR(E165),1,(12-MONTH(E165)+1)/12))) + (Q165)*(IF((YEAR(D165)+14)&lt;YEAR(E165),0,IF((YEAR(D165)+14)&gt;YEAR(E165),1,(12-MONTH(E165)+1)/12))))-((P165)*(IF((YEAR(D165)+14)&lt;YEAR(E165),0,IF((YEAR(D165)+14)&gt;YEAR(E165),1,(12-MONTH(E165)+1)/12))) + (R165)*(IF((YEAR(D165)+14)&lt;YEAR(E165),0,IF((YEAR(D165)+14)&gt;YEAR(E165),1,(12-MONTH(E165)+1)/12))))-(IF(OR(N165="",N165&lt;=0),0,(O165/N165)*(IF(OR(N165="",N165&lt;=0),0,IF((YEAR(D165)+14)&lt;YEAR(E165),0,IF((YEAR(D165)+14)&gt;=YEAR(E165)+N165,0,IF((YEAR(D165)+14)=YEAR(E165),(12-MONTH(E165)+1)/12,1))))))))&gt;0,(((K165)*(IF(M165="",L165,IFERROR(IF(INDEX(Variablen!$I:$AT, MATCH(M165, Variablen!$A:$A, 0), MATCH((YEAR(D165)+14), Variablen!$I$3:$AT$3, 0))="",L165,INDEX(Variablen!$I:$AT, MATCH(M165, Variablen!$A:$A, 0), MATCH((YEAR(D165)+14), Variablen!$I$3:$AT$3, 0))),L165)))*(IF((YEAR(D165)+14)&lt;YEAR(E165),0,IF((YEAR(D165)+14)&gt;YEAR(E165),1,(12-MONTH(E165)+1)/12))) + (Q165)*(IF((YEAR(D165)+14)&lt;YEAR(E165),0,IF((YEAR(D165)+14)&gt;YEAR(E165),1,(12-MONTH(E165)+1)/12))))-((P165)*(IF((YEAR(D165)+14)&lt;YEAR(E165),0,IF((YEAR(D165)+14)&gt;YEAR(E165),1,(12-MONTH(E165)+1)/12))) + (R165)*(IF((YEAR(D165)+14)&lt;YEAR(E165),0,IF((YEAR(D165)+14)&gt;YEAR(E165),1,(12-MONTH(E165)+1)/12))))-(IF(OR(N165="",N165&lt;=0),0,(O165/N165)*(IF(OR(N165="",N165&lt;=0),0,IF((YEAR(D165)+14)&lt;YEAR(E165),0,IF((YEAR(D165)+14)&gt;=YEAR(E165)+N165,0,IF((YEAR(D165)+14)=YEAR(E165),(12-MONTH(E165)+1)/12,1))))))))*TaxRate,0))-IF(14=0,O165,0))</f>
        <v/>
      </c>
      <c r="AH165" s="29">
        <f>IF(A165="","",((K165)*(IF(M165="",L165,IFERROR(IF(INDEX(Variablen!$I:$AT, MATCH(M165, Variablen!$A:$A, 0), MATCH((YEAR(D165)+15), Variablen!$I$3:$AT$3, 0))="",L165,INDEX(Variablen!$I:$AT, MATCH(M165, Variablen!$A:$A, 0), MATCH((YEAR(D165)+15), Variablen!$I$3:$AT$3, 0))),L165)))*(IF((YEAR(D165)+15)&lt;YEAR(E165),0,IF((YEAR(D165)+15)&gt;YEAR(E165),1,(12-MONTH(E165)+1)/12))) + (Q165)*(IF((YEAR(D165)+15)&lt;YEAR(E165),0,IF((YEAR(D165)+15)&gt;YEAR(E165),1,(12-MONTH(E165)+1)/12))))-((P165)*(IF((YEAR(D165)+15)&lt;YEAR(E165),0,IF((YEAR(D165)+15)&gt;YEAR(E165),1,(12-MONTH(E165)+1)/12))) + (R165)*(IF((YEAR(D165)+15)&lt;YEAR(E165),0,IF((YEAR(D165)+15)&gt;YEAR(E165),1,(12-MONTH(E165)+1)/12))))-(IF((((K165)*(IF(M165="",L165,IFERROR(IF(INDEX(Variablen!$I:$AT, MATCH(M165, Variablen!$A:$A, 0), MATCH((YEAR(D165)+15), Variablen!$I$3:$AT$3, 0))="",L165,INDEX(Variablen!$I:$AT, MATCH(M165, Variablen!$A:$A, 0), MATCH((YEAR(D165)+15), Variablen!$I$3:$AT$3, 0))),L165)))*(IF((YEAR(D165)+15)&lt;YEAR(E165),0,IF((YEAR(D165)+15)&gt;YEAR(E165),1,(12-MONTH(E165)+1)/12))) + (Q165)*(IF((YEAR(D165)+15)&lt;YEAR(E165),0,IF((YEAR(D165)+15)&gt;YEAR(E165),1,(12-MONTH(E165)+1)/12))))-((P165)*(IF((YEAR(D165)+15)&lt;YEAR(E165),0,IF((YEAR(D165)+15)&gt;YEAR(E165),1,(12-MONTH(E165)+1)/12))) + (R165)*(IF((YEAR(D165)+15)&lt;YEAR(E165),0,IF((YEAR(D165)+15)&gt;YEAR(E165),1,(12-MONTH(E165)+1)/12))))-(IF(OR(N165="",N165&lt;=0),0,(O165/N165)*(IF(OR(N165="",N165&lt;=0),0,IF((YEAR(D165)+15)&lt;YEAR(E165),0,IF((YEAR(D165)+15)&gt;=YEAR(E165)+N165,0,IF((YEAR(D165)+15)=YEAR(E165),(12-MONTH(E165)+1)/12,1))))))))&gt;0,(((K165)*(IF(M165="",L165,IFERROR(IF(INDEX(Variablen!$I:$AT, MATCH(M165, Variablen!$A:$A, 0), MATCH((YEAR(D165)+15), Variablen!$I$3:$AT$3, 0))="",L165,INDEX(Variablen!$I:$AT, MATCH(M165, Variablen!$A:$A, 0), MATCH((YEAR(D165)+15), Variablen!$I$3:$AT$3, 0))),L165)))*(IF((YEAR(D165)+15)&lt;YEAR(E165),0,IF((YEAR(D165)+15)&gt;YEAR(E165),1,(12-MONTH(E165)+1)/12))) + (Q165)*(IF((YEAR(D165)+15)&lt;YEAR(E165),0,IF((YEAR(D165)+15)&gt;YEAR(E165),1,(12-MONTH(E165)+1)/12))))-((P165)*(IF((YEAR(D165)+15)&lt;YEAR(E165),0,IF((YEAR(D165)+15)&gt;YEAR(E165),1,(12-MONTH(E165)+1)/12))) + (R165)*(IF((YEAR(D165)+15)&lt;YEAR(E165),0,IF((YEAR(D165)+15)&gt;YEAR(E165),1,(12-MONTH(E165)+1)/12))))-(IF(OR(N165="",N165&lt;=0),0,(O165/N165)*(IF(OR(N165="",N165&lt;=0),0,IF((YEAR(D165)+15)&lt;YEAR(E165),0,IF((YEAR(D165)+15)&gt;=YEAR(E165)+N165,0,IF((YEAR(D165)+15)=YEAR(E165),(12-MONTH(E165)+1)/12,1))))))))*TaxRate,0))-IF(15=0,O165,0))</f>
        <v/>
      </c>
      <c r="AI165" s="29">
        <f>IF(A165="","",((K165)*(IF(M165="",L165,IFERROR(IF(INDEX(Variablen!$I:$AT, MATCH(M165, Variablen!$A:$A, 0), MATCH((YEAR(D165)+16), Variablen!$I$3:$AT$3, 0))="",L165,INDEX(Variablen!$I:$AT, MATCH(M165, Variablen!$A:$A, 0), MATCH((YEAR(D165)+16), Variablen!$I$3:$AT$3, 0))),L165)))*(IF((YEAR(D165)+16)&lt;YEAR(E165),0,IF((YEAR(D165)+16)&gt;YEAR(E165),1,(12-MONTH(E165)+1)/12))) + (Q165)*(IF((YEAR(D165)+16)&lt;YEAR(E165),0,IF((YEAR(D165)+16)&gt;YEAR(E165),1,(12-MONTH(E165)+1)/12))))-((P165)*(IF((YEAR(D165)+16)&lt;YEAR(E165),0,IF((YEAR(D165)+16)&gt;YEAR(E165),1,(12-MONTH(E165)+1)/12))) + (R165)*(IF((YEAR(D165)+16)&lt;YEAR(E165),0,IF((YEAR(D165)+16)&gt;YEAR(E165),1,(12-MONTH(E165)+1)/12))))-(IF((((K165)*(IF(M165="",L165,IFERROR(IF(INDEX(Variablen!$I:$AT, MATCH(M165, Variablen!$A:$A, 0), MATCH((YEAR(D165)+16), Variablen!$I$3:$AT$3, 0))="",L165,INDEX(Variablen!$I:$AT, MATCH(M165, Variablen!$A:$A, 0), MATCH((YEAR(D165)+16), Variablen!$I$3:$AT$3, 0))),L165)))*(IF((YEAR(D165)+16)&lt;YEAR(E165),0,IF((YEAR(D165)+16)&gt;YEAR(E165),1,(12-MONTH(E165)+1)/12))) + (Q165)*(IF((YEAR(D165)+16)&lt;YEAR(E165),0,IF((YEAR(D165)+16)&gt;YEAR(E165),1,(12-MONTH(E165)+1)/12))))-((P165)*(IF((YEAR(D165)+16)&lt;YEAR(E165),0,IF((YEAR(D165)+16)&gt;YEAR(E165),1,(12-MONTH(E165)+1)/12))) + (R165)*(IF((YEAR(D165)+16)&lt;YEAR(E165),0,IF((YEAR(D165)+16)&gt;YEAR(E165),1,(12-MONTH(E165)+1)/12))))-(IF(OR(N165="",N165&lt;=0),0,(O165/N165)*(IF(OR(N165="",N165&lt;=0),0,IF((YEAR(D165)+16)&lt;YEAR(E165),0,IF((YEAR(D165)+16)&gt;=YEAR(E165)+N165,0,IF((YEAR(D165)+16)=YEAR(E165),(12-MONTH(E165)+1)/12,1))))))))&gt;0,(((K165)*(IF(M165="",L165,IFERROR(IF(INDEX(Variablen!$I:$AT, MATCH(M165, Variablen!$A:$A, 0), MATCH((YEAR(D165)+16), Variablen!$I$3:$AT$3, 0))="",L165,INDEX(Variablen!$I:$AT, MATCH(M165, Variablen!$A:$A, 0), MATCH((YEAR(D165)+16), Variablen!$I$3:$AT$3, 0))),L165)))*(IF((YEAR(D165)+16)&lt;YEAR(E165),0,IF((YEAR(D165)+16)&gt;YEAR(E165),1,(12-MONTH(E165)+1)/12))) + (Q165)*(IF((YEAR(D165)+16)&lt;YEAR(E165),0,IF((YEAR(D165)+16)&gt;YEAR(E165),1,(12-MONTH(E165)+1)/12))))-((P165)*(IF((YEAR(D165)+16)&lt;YEAR(E165),0,IF((YEAR(D165)+16)&gt;YEAR(E165),1,(12-MONTH(E165)+1)/12))) + (R165)*(IF((YEAR(D165)+16)&lt;YEAR(E165),0,IF((YEAR(D165)+16)&gt;YEAR(E165),1,(12-MONTH(E165)+1)/12))))-(IF(OR(N165="",N165&lt;=0),0,(O165/N165)*(IF(OR(N165="",N165&lt;=0),0,IF((YEAR(D165)+16)&lt;YEAR(E165),0,IF((YEAR(D165)+16)&gt;=YEAR(E165)+N165,0,IF((YEAR(D165)+16)=YEAR(E165),(12-MONTH(E165)+1)/12,1))))))))*TaxRate,0))-IF(16=0,O165,0))</f>
        <v/>
      </c>
      <c r="AJ165" s="29">
        <f>IF(A165="","",((K165)*(IF(M165="",L165,IFERROR(IF(INDEX(Variablen!$I:$AT, MATCH(M165, Variablen!$A:$A, 0), MATCH((YEAR(D165)+17), Variablen!$I$3:$AT$3, 0))="",L165,INDEX(Variablen!$I:$AT, MATCH(M165, Variablen!$A:$A, 0), MATCH((YEAR(D165)+17), Variablen!$I$3:$AT$3, 0))),L165)))*(IF((YEAR(D165)+17)&lt;YEAR(E165),0,IF((YEAR(D165)+17)&gt;YEAR(E165),1,(12-MONTH(E165)+1)/12))) + (Q165)*(IF((YEAR(D165)+17)&lt;YEAR(E165),0,IF((YEAR(D165)+17)&gt;YEAR(E165),1,(12-MONTH(E165)+1)/12))))-((P165)*(IF((YEAR(D165)+17)&lt;YEAR(E165),0,IF((YEAR(D165)+17)&gt;YEAR(E165),1,(12-MONTH(E165)+1)/12))) + (R165)*(IF((YEAR(D165)+17)&lt;YEAR(E165),0,IF((YEAR(D165)+17)&gt;YEAR(E165),1,(12-MONTH(E165)+1)/12))))-(IF((((K165)*(IF(M165="",L165,IFERROR(IF(INDEX(Variablen!$I:$AT, MATCH(M165, Variablen!$A:$A, 0), MATCH((YEAR(D165)+17), Variablen!$I$3:$AT$3, 0))="",L165,INDEX(Variablen!$I:$AT, MATCH(M165, Variablen!$A:$A, 0), MATCH((YEAR(D165)+17), Variablen!$I$3:$AT$3, 0))),L165)))*(IF((YEAR(D165)+17)&lt;YEAR(E165),0,IF((YEAR(D165)+17)&gt;YEAR(E165),1,(12-MONTH(E165)+1)/12))) + (Q165)*(IF((YEAR(D165)+17)&lt;YEAR(E165),0,IF((YEAR(D165)+17)&gt;YEAR(E165),1,(12-MONTH(E165)+1)/12))))-((P165)*(IF((YEAR(D165)+17)&lt;YEAR(E165),0,IF((YEAR(D165)+17)&gt;YEAR(E165),1,(12-MONTH(E165)+1)/12))) + (R165)*(IF((YEAR(D165)+17)&lt;YEAR(E165),0,IF((YEAR(D165)+17)&gt;YEAR(E165),1,(12-MONTH(E165)+1)/12))))-(IF(OR(N165="",N165&lt;=0),0,(O165/N165)*(IF(OR(N165="",N165&lt;=0),0,IF((YEAR(D165)+17)&lt;YEAR(E165),0,IF((YEAR(D165)+17)&gt;=YEAR(E165)+N165,0,IF((YEAR(D165)+17)=YEAR(E165),(12-MONTH(E165)+1)/12,1))))))))&gt;0,(((K165)*(IF(M165="",L165,IFERROR(IF(INDEX(Variablen!$I:$AT, MATCH(M165, Variablen!$A:$A, 0), MATCH((YEAR(D165)+17), Variablen!$I$3:$AT$3, 0))="",L165,INDEX(Variablen!$I:$AT, MATCH(M165, Variablen!$A:$A, 0), MATCH((YEAR(D165)+17), Variablen!$I$3:$AT$3, 0))),L165)))*(IF((YEAR(D165)+17)&lt;YEAR(E165),0,IF((YEAR(D165)+17)&gt;YEAR(E165),1,(12-MONTH(E165)+1)/12))) + (Q165)*(IF((YEAR(D165)+17)&lt;YEAR(E165),0,IF((YEAR(D165)+17)&gt;YEAR(E165),1,(12-MONTH(E165)+1)/12))))-((P165)*(IF((YEAR(D165)+17)&lt;YEAR(E165),0,IF((YEAR(D165)+17)&gt;YEAR(E165),1,(12-MONTH(E165)+1)/12))) + (R165)*(IF((YEAR(D165)+17)&lt;YEAR(E165),0,IF((YEAR(D165)+17)&gt;YEAR(E165),1,(12-MONTH(E165)+1)/12))))-(IF(OR(N165="",N165&lt;=0),0,(O165/N165)*(IF(OR(N165="",N165&lt;=0),0,IF((YEAR(D165)+17)&lt;YEAR(E165),0,IF((YEAR(D165)+17)&gt;=YEAR(E165)+N165,0,IF((YEAR(D165)+17)=YEAR(E165),(12-MONTH(E165)+1)/12,1))))))))*TaxRate,0))-IF(17=0,O165,0))</f>
        <v/>
      </c>
      <c r="AK165" s="29">
        <f>IF(A165="","",((K165)*(IF(M165="",L165,IFERROR(IF(INDEX(Variablen!$I:$AT, MATCH(M165, Variablen!$A:$A, 0), MATCH((YEAR(D165)+18), Variablen!$I$3:$AT$3, 0))="",L165,INDEX(Variablen!$I:$AT, MATCH(M165, Variablen!$A:$A, 0), MATCH((YEAR(D165)+18), Variablen!$I$3:$AT$3, 0))),L165)))*(IF((YEAR(D165)+18)&lt;YEAR(E165),0,IF((YEAR(D165)+18)&gt;YEAR(E165),1,(12-MONTH(E165)+1)/12))) + (Q165)*(IF((YEAR(D165)+18)&lt;YEAR(E165),0,IF((YEAR(D165)+18)&gt;YEAR(E165),1,(12-MONTH(E165)+1)/12))))-((P165)*(IF((YEAR(D165)+18)&lt;YEAR(E165),0,IF((YEAR(D165)+18)&gt;YEAR(E165),1,(12-MONTH(E165)+1)/12))) + (R165)*(IF((YEAR(D165)+18)&lt;YEAR(E165),0,IF((YEAR(D165)+18)&gt;YEAR(E165),1,(12-MONTH(E165)+1)/12))))-(IF((((K165)*(IF(M165="",L165,IFERROR(IF(INDEX(Variablen!$I:$AT, MATCH(M165, Variablen!$A:$A, 0), MATCH((YEAR(D165)+18), Variablen!$I$3:$AT$3, 0))="",L165,INDEX(Variablen!$I:$AT, MATCH(M165, Variablen!$A:$A, 0), MATCH((YEAR(D165)+18), Variablen!$I$3:$AT$3, 0))),L165)))*(IF((YEAR(D165)+18)&lt;YEAR(E165),0,IF((YEAR(D165)+18)&gt;YEAR(E165),1,(12-MONTH(E165)+1)/12))) + (Q165)*(IF((YEAR(D165)+18)&lt;YEAR(E165),0,IF((YEAR(D165)+18)&gt;YEAR(E165),1,(12-MONTH(E165)+1)/12))))-((P165)*(IF((YEAR(D165)+18)&lt;YEAR(E165),0,IF((YEAR(D165)+18)&gt;YEAR(E165),1,(12-MONTH(E165)+1)/12))) + (R165)*(IF((YEAR(D165)+18)&lt;YEAR(E165),0,IF((YEAR(D165)+18)&gt;YEAR(E165),1,(12-MONTH(E165)+1)/12))))-(IF(OR(N165="",N165&lt;=0),0,(O165/N165)*(IF(OR(N165="",N165&lt;=0),0,IF((YEAR(D165)+18)&lt;YEAR(E165),0,IF((YEAR(D165)+18)&gt;=YEAR(E165)+N165,0,IF((YEAR(D165)+18)=YEAR(E165),(12-MONTH(E165)+1)/12,1))))))))&gt;0,(((K165)*(IF(M165="",L165,IFERROR(IF(INDEX(Variablen!$I:$AT, MATCH(M165, Variablen!$A:$A, 0), MATCH((YEAR(D165)+18), Variablen!$I$3:$AT$3, 0))="",L165,INDEX(Variablen!$I:$AT, MATCH(M165, Variablen!$A:$A, 0), MATCH((YEAR(D165)+18), Variablen!$I$3:$AT$3, 0))),L165)))*(IF((YEAR(D165)+18)&lt;YEAR(E165),0,IF((YEAR(D165)+18)&gt;YEAR(E165),1,(12-MONTH(E165)+1)/12))) + (Q165)*(IF((YEAR(D165)+18)&lt;YEAR(E165),0,IF((YEAR(D165)+18)&gt;YEAR(E165),1,(12-MONTH(E165)+1)/12))))-((P165)*(IF((YEAR(D165)+18)&lt;YEAR(E165),0,IF((YEAR(D165)+18)&gt;YEAR(E165),1,(12-MONTH(E165)+1)/12))) + (R165)*(IF((YEAR(D165)+18)&lt;YEAR(E165),0,IF((YEAR(D165)+18)&gt;YEAR(E165),1,(12-MONTH(E165)+1)/12))))-(IF(OR(N165="",N165&lt;=0),0,(O165/N165)*(IF(OR(N165="",N165&lt;=0),0,IF((YEAR(D165)+18)&lt;YEAR(E165),0,IF((YEAR(D165)+18)&gt;=YEAR(E165)+N165,0,IF((YEAR(D165)+18)=YEAR(E165),(12-MONTH(E165)+1)/12,1))))))))*TaxRate,0))-IF(18=0,O165,0))</f>
        <v/>
      </c>
      <c r="AL165" s="29">
        <f>IF(A165="","",((K165)*(IF(M165="",L165,IFERROR(IF(INDEX(Variablen!$I:$AT, MATCH(M165, Variablen!$A:$A, 0), MATCH((YEAR(D165)+19), Variablen!$I$3:$AT$3, 0))="",L165,INDEX(Variablen!$I:$AT, MATCH(M165, Variablen!$A:$A, 0), MATCH((YEAR(D165)+19), Variablen!$I$3:$AT$3, 0))),L165)))*(IF((YEAR(D165)+19)&lt;YEAR(E165),0,IF((YEAR(D165)+19)&gt;YEAR(E165),1,(12-MONTH(E165)+1)/12))) + (Q165)*(IF((YEAR(D165)+19)&lt;YEAR(E165),0,IF((YEAR(D165)+19)&gt;YEAR(E165),1,(12-MONTH(E165)+1)/12))))-((P165)*(IF((YEAR(D165)+19)&lt;YEAR(E165),0,IF((YEAR(D165)+19)&gt;YEAR(E165),1,(12-MONTH(E165)+1)/12))) + (R165)*(IF((YEAR(D165)+19)&lt;YEAR(E165),0,IF((YEAR(D165)+19)&gt;YEAR(E165),1,(12-MONTH(E165)+1)/12))))-(IF((((K165)*(IF(M165="",L165,IFERROR(IF(INDEX(Variablen!$I:$AT, MATCH(M165, Variablen!$A:$A, 0), MATCH((YEAR(D165)+19), Variablen!$I$3:$AT$3, 0))="",L165,INDEX(Variablen!$I:$AT, MATCH(M165, Variablen!$A:$A, 0), MATCH((YEAR(D165)+19), Variablen!$I$3:$AT$3, 0))),L165)))*(IF((YEAR(D165)+19)&lt;YEAR(E165),0,IF((YEAR(D165)+19)&gt;YEAR(E165),1,(12-MONTH(E165)+1)/12))) + (Q165)*(IF((YEAR(D165)+19)&lt;YEAR(E165),0,IF((YEAR(D165)+19)&gt;YEAR(E165),1,(12-MONTH(E165)+1)/12))))-((P165)*(IF((YEAR(D165)+19)&lt;YEAR(E165),0,IF((YEAR(D165)+19)&gt;YEAR(E165),1,(12-MONTH(E165)+1)/12))) + (R165)*(IF((YEAR(D165)+19)&lt;YEAR(E165),0,IF((YEAR(D165)+19)&gt;YEAR(E165),1,(12-MONTH(E165)+1)/12))))-(IF(OR(N165="",N165&lt;=0),0,(O165/N165)*(IF(OR(N165="",N165&lt;=0),0,IF((YEAR(D165)+19)&lt;YEAR(E165),0,IF((YEAR(D165)+19)&gt;=YEAR(E165)+N165,0,IF((YEAR(D165)+19)=YEAR(E165),(12-MONTH(E165)+1)/12,1))))))))&gt;0,(((K165)*(IF(M165="",L165,IFERROR(IF(INDEX(Variablen!$I:$AT, MATCH(M165, Variablen!$A:$A, 0), MATCH((YEAR(D165)+19), Variablen!$I$3:$AT$3, 0))="",L165,INDEX(Variablen!$I:$AT, MATCH(M165, Variablen!$A:$A, 0), MATCH((YEAR(D165)+19), Variablen!$I$3:$AT$3, 0))),L165)))*(IF((YEAR(D165)+19)&lt;YEAR(E165),0,IF((YEAR(D165)+19)&gt;YEAR(E165),1,(12-MONTH(E165)+1)/12))) + (Q165)*(IF((YEAR(D165)+19)&lt;YEAR(E165),0,IF((YEAR(D165)+19)&gt;YEAR(E165),1,(12-MONTH(E165)+1)/12))))-((P165)*(IF((YEAR(D165)+19)&lt;YEAR(E165),0,IF((YEAR(D165)+19)&gt;YEAR(E165),1,(12-MONTH(E165)+1)/12))) + (R165)*(IF((YEAR(D165)+19)&lt;YEAR(E165),0,IF((YEAR(D165)+19)&gt;YEAR(E165),1,(12-MONTH(E165)+1)/12))))-(IF(OR(N165="",N165&lt;=0),0,(O165/N165)*(IF(OR(N165="",N165&lt;=0),0,IF((YEAR(D165)+19)&lt;YEAR(E165),0,IF((YEAR(D165)+19)&gt;=YEAR(E165)+N165,0,IF((YEAR(D165)+19)=YEAR(E165),(12-MONTH(E165)+1)/12,1))))))))*TaxRate,0))-IF(19=0,O165,0))</f>
        <v/>
      </c>
      <c r="AM165" s="29">
        <f>IF(A165="","",((K165)*(IF(M165="",L165,IFERROR(IF(INDEX(Variablen!$I:$AT, MATCH(M165, Variablen!$A:$A, 0), MATCH((YEAR(D165)+20), Variablen!$I$3:$AT$3, 0))="",L165,INDEX(Variablen!$I:$AT, MATCH(M165, Variablen!$A:$A, 0), MATCH((YEAR(D165)+20), Variablen!$I$3:$AT$3, 0))),L165)))*(IF((YEAR(D165)+20)&lt;YEAR(E165),0,IF((YEAR(D165)+20)&gt;YEAR(E165),1,(12-MONTH(E165)+1)/12))) + (Q165)*(IF((YEAR(D165)+20)&lt;YEAR(E165),0,IF((YEAR(D165)+20)&gt;YEAR(E165),1,(12-MONTH(E165)+1)/12))))-((P165)*(IF((YEAR(D165)+20)&lt;YEAR(E165),0,IF((YEAR(D165)+20)&gt;YEAR(E165),1,(12-MONTH(E165)+1)/12))) + (R165)*(IF((YEAR(D165)+20)&lt;YEAR(E165),0,IF((YEAR(D165)+20)&gt;YEAR(E165),1,(12-MONTH(E165)+1)/12))))-(IF((((K165)*(IF(M165="",L165,IFERROR(IF(INDEX(Variablen!$I:$AT, MATCH(M165, Variablen!$A:$A, 0), MATCH((YEAR(D165)+20), Variablen!$I$3:$AT$3, 0))="",L165,INDEX(Variablen!$I:$AT, MATCH(M165, Variablen!$A:$A, 0), MATCH((YEAR(D165)+20), Variablen!$I$3:$AT$3, 0))),L165)))*(IF((YEAR(D165)+20)&lt;YEAR(E165),0,IF((YEAR(D165)+20)&gt;YEAR(E165),1,(12-MONTH(E165)+1)/12))) + (Q165)*(IF((YEAR(D165)+20)&lt;YEAR(E165),0,IF((YEAR(D165)+20)&gt;YEAR(E165),1,(12-MONTH(E165)+1)/12))))-((P165)*(IF((YEAR(D165)+20)&lt;YEAR(E165),0,IF((YEAR(D165)+20)&gt;YEAR(E165),1,(12-MONTH(E165)+1)/12))) + (R165)*(IF((YEAR(D165)+20)&lt;YEAR(E165),0,IF((YEAR(D165)+20)&gt;YEAR(E165),1,(12-MONTH(E165)+1)/12))))-(IF(OR(N165="",N165&lt;=0),0,(O165/N165)*(IF(OR(N165="",N165&lt;=0),0,IF((YEAR(D165)+20)&lt;YEAR(E165),0,IF((YEAR(D165)+20)&gt;=YEAR(E165)+N165,0,IF((YEAR(D165)+20)=YEAR(E165),(12-MONTH(E165)+1)/12,1))))))))&gt;0,(((K165)*(IF(M165="",L165,IFERROR(IF(INDEX(Variablen!$I:$AT, MATCH(M165, Variablen!$A:$A, 0), MATCH((YEAR(D165)+20), Variablen!$I$3:$AT$3, 0))="",L165,INDEX(Variablen!$I:$AT, MATCH(M165, Variablen!$A:$A, 0), MATCH((YEAR(D165)+20), Variablen!$I$3:$AT$3, 0))),L165)))*(IF((YEAR(D165)+20)&lt;YEAR(E165),0,IF((YEAR(D165)+20)&gt;YEAR(E165),1,(12-MONTH(E165)+1)/12))) + (Q165)*(IF((YEAR(D165)+20)&lt;YEAR(E165),0,IF((YEAR(D165)+20)&gt;YEAR(E165),1,(12-MONTH(E165)+1)/12))))-((P165)*(IF((YEAR(D165)+20)&lt;YEAR(E165),0,IF((YEAR(D165)+20)&gt;YEAR(E165),1,(12-MONTH(E165)+1)/12))) + (R165)*(IF((YEAR(D165)+20)&lt;YEAR(E165),0,IF((YEAR(D165)+20)&gt;YEAR(E165),1,(12-MONTH(E165)+1)/12))))-(IF(OR(N165="",N165&lt;=0),0,(O165/N165)*(IF(OR(N165="",N165&lt;=0),0,IF((YEAR(D165)+20)&lt;YEAR(E165),0,IF((YEAR(D165)+20)&gt;=YEAR(E165)+N165,0,IF((YEAR(D165)+20)=YEAR(E165),(12-MONTH(E165)+1)/12,1))))))))*TaxRate,0))-IF(20=0,O165,0))</f>
        <v/>
      </c>
      <c r="AN165" s="29">
        <f>IF(A165="","",S165)</f>
        <v/>
      </c>
      <c r="AO165" s="29">
        <f>IF(A165="","",AN165+T165)</f>
        <v/>
      </c>
      <c r="AP165" s="29">
        <f>IF(A165="","",AO165+U165)</f>
        <v/>
      </c>
      <c r="AQ165" s="29">
        <f>IF(A165="","",AP165+V165)</f>
        <v/>
      </c>
      <c r="AR165" s="29">
        <f>IF(A165="","",AQ165+W165)</f>
        <v/>
      </c>
      <c r="AS165" s="29">
        <f>IF(A165="","",AR165+X165)</f>
        <v/>
      </c>
      <c r="AT165" s="29">
        <f>IF(A165="","",AS165+Y165)</f>
        <v/>
      </c>
      <c r="AU165" s="29">
        <f>IF(A165="","",AT165+Z165)</f>
        <v/>
      </c>
      <c r="AV165" s="29">
        <f>IF(A165="","",AU165+AA165)</f>
        <v/>
      </c>
      <c r="AW165" s="29">
        <f>IF(A165="","",AV165+AB165)</f>
        <v/>
      </c>
      <c r="AX165" s="29">
        <f>IF(A165="","",AW165+AC165)</f>
        <v/>
      </c>
      <c r="AY165" s="29">
        <f>IF(A165="","",AX165+AD165)</f>
        <v/>
      </c>
      <c r="AZ165" s="29">
        <f>IF(A165="","",AY165+AE165)</f>
        <v/>
      </c>
      <c r="BA165" s="29">
        <f>IF(A165="","",AZ165+AF165)</f>
        <v/>
      </c>
      <c r="BB165" s="29">
        <f>IF(A165="","",BA165+AG165)</f>
        <v/>
      </c>
      <c r="BC165" s="29">
        <f>IF(A165="","",BB165+AH165)</f>
        <v/>
      </c>
      <c r="BD165" s="29">
        <f>IF(A165="","",BC165+AI165)</f>
        <v/>
      </c>
      <c r="BE165" s="29">
        <f>IF(A165="","",BD165+AJ165)</f>
        <v/>
      </c>
      <c r="BF165" s="29">
        <f>IF(A165="","",BE165+AK165)</f>
        <v/>
      </c>
      <c r="BG165" s="29">
        <f>IF(A165="","",BF165+AL165)</f>
        <v/>
      </c>
      <c r="BH165" s="29">
        <f>IF(A165="","",BG165+AM165)</f>
        <v/>
      </c>
      <c r="BI165" s="36">
        <f>IF(A165="","",(K165)*(IF((YEAR(D165)+0)&lt;YEAR(E165),0,IF((YEAR(D165)+0)&gt;YEAR(E165),1,(12-MONTH(E165)+1)/12)))*(1/(1+DiscountRate)^0))</f>
        <v/>
      </c>
      <c r="BJ165" s="36">
        <f>IF(A165="","",(K165)*(IF((YEAR(D165)+1)&lt;YEAR(E165),0,IF((YEAR(D165)+1)&gt;YEAR(E165),1,(12-MONTH(E165)+1)/12)))*(1/(1+DiscountRate)^1))</f>
        <v/>
      </c>
      <c r="BK165" s="36">
        <f>IF(A165="","",(K165)*(IF((YEAR(D165)+2)&lt;YEAR(E165),0,IF((YEAR(D165)+2)&gt;YEAR(E165),1,(12-MONTH(E165)+1)/12)))*(1/(1+DiscountRate)^2))</f>
        <v/>
      </c>
      <c r="BL165" s="36">
        <f>IF(A165="","",(K165)*(IF((YEAR(D165)+3)&lt;YEAR(E165),0,IF((YEAR(D165)+3)&gt;YEAR(E165),1,(12-MONTH(E165)+1)/12)))*(1/(1+DiscountRate)^3))</f>
        <v/>
      </c>
      <c r="BM165" s="36">
        <f>IF(A165="","",(K165)*(IF((YEAR(D165)+4)&lt;YEAR(E165),0,IF((YEAR(D165)+4)&gt;YEAR(E165),1,(12-MONTH(E165)+1)/12)))*(1/(1+DiscountRate)^4))</f>
        <v/>
      </c>
      <c r="BN165" s="36">
        <f>IF(A165="","",(K165)*(IF((YEAR(D165)+5)&lt;YEAR(E165),0,IF((YEAR(D165)+5)&gt;YEAR(E165),1,(12-MONTH(E165)+1)/12)))*(1/(1+DiscountRate)^5))</f>
        <v/>
      </c>
      <c r="BO165" s="36">
        <f>IF(A165="","",(K165)*(IF((YEAR(D165)+6)&lt;YEAR(E165),0,IF((YEAR(D165)+6)&gt;YEAR(E165),1,(12-MONTH(E165)+1)/12)))*(1/(1+DiscountRate)^6))</f>
        <v/>
      </c>
      <c r="BP165" s="36">
        <f>IF(A165="","",(K165)*(IF((YEAR(D165)+7)&lt;YEAR(E165),0,IF((YEAR(D165)+7)&gt;YEAR(E165),1,(12-MONTH(E165)+1)/12)))*(1/(1+DiscountRate)^7))</f>
        <v/>
      </c>
      <c r="BQ165" s="36">
        <f>IF(A165="","",(K165)*(IF((YEAR(D165)+8)&lt;YEAR(E165),0,IF((YEAR(D165)+8)&gt;YEAR(E165),1,(12-MONTH(E165)+1)/12)))*(1/(1+DiscountRate)^8))</f>
        <v/>
      </c>
      <c r="BR165" s="36">
        <f>IF(A165="","",(K165)*(IF((YEAR(D165)+9)&lt;YEAR(E165),0,IF((YEAR(D165)+9)&gt;YEAR(E165),1,(12-MONTH(E165)+1)/12)))*(1/(1+DiscountRate)^9))</f>
        <v/>
      </c>
      <c r="BS165" s="36">
        <f>IF(A165="","",(K165)*(IF((YEAR(D165)+10)&lt;YEAR(E165),0,IF((YEAR(D165)+10)&gt;YEAR(E165),1,(12-MONTH(E165)+1)/12)))*(1/(1+DiscountRate)^10))</f>
        <v/>
      </c>
      <c r="BT165" s="36">
        <f>IF(A165="","",(K165)*(IF((YEAR(D165)+11)&lt;YEAR(E165),0,IF((YEAR(D165)+11)&gt;YEAR(E165),1,(12-MONTH(E165)+1)/12)))*(1/(1+DiscountRate)^11))</f>
        <v/>
      </c>
      <c r="BU165" s="36">
        <f>IF(A165="","",(K165)*(IF((YEAR(D165)+12)&lt;YEAR(E165),0,IF((YEAR(D165)+12)&gt;YEAR(E165),1,(12-MONTH(E165)+1)/12)))*(1/(1+DiscountRate)^12))</f>
        <v/>
      </c>
      <c r="BV165" s="36">
        <f>IF(A165="","",(K165)*(IF((YEAR(D165)+13)&lt;YEAR(E165),0,IF((YEAR(D165)+13)&gt;YEAR(E165),1,(12-MONTH(E165)+1)/12)))*(1/(1+DiscountRate)^13))</f>
        <v/>
      </c>
      <c r="BW165" s="36">
        <f>IF(A165="","",(K165)*(IF((YEAR(D165)+14)&lt;YEAR(E165),0,IF((YEAR(D165)+14)&gt;YEAR(E165),1,(12-MONTH(E165)+1)/12)))*(1/(1+DiscountRate)^14))</f>
        <v/>
      </c>
      <c r="BX165" s="36">
        <f>IF(A165="","",(K165)*(IF((YEAR(D165)+15)&lt;YEAR(E165),0,IF((YEAR(D165)+15)&gt;YEAR(E165),1,(12-MONTH(E165)+1)/12)))*(1/(1+DiscountRate)^15))</f>
        <v/>
      </c>
      <c r="BY165" s="36">
        <f>IF(A165="","",(K165)*(IF((YEAR(D165)+16)&lt;YEAR(E165),0,IF((YEAR(D165)+16)&gt;YEAR(E165),1,(12-MONTH(E165)+1)/12)))*(1/(1+DiscountRate)^16))</f>
        <v/>
      </c>
      <c r="BZ165" s="36">
        <f>IF(A165="","",(K165)*(IF((YEAR(D165)+17)&lt;YEAR(E165),0,IF((YEAR(D165)+17)&gt;YEAR(E165),1,(12-MONTH(E165)+1)/12)))*(1/(1+DiscountRate)^17))</f>
        <v/>
      </c>
      <c r="CA165" s="36">
        <f>IF(A165="","",(K165)*(IF((YEAR(D165)+18)&lt;YEAR(E165),0,IF((YEAR(D165)+18)&gt;YEAR(E165),1,(12-MONTH(E165)+1)/12)))*(1/(1+DiscountRate)^18))</f>
        <v/>
      </c>
      <c r="CB165" s="36">
        <f>IF(A165="","",(K165)*(IF((YEAR(D165)+19)&lt;YEAR(E165),0,IF((YEAR(D165)+19)&gt;YEAR(E165),1,(12-MONTH(E165)+1)/12)))*(1/(1+DiscountRate)^19))</f>
        <v/>
      </c>
      <c r="CC165" s="36">
        <f>IF(A165="","",(K165)*(IF((YEAR(D165)+20)&lt;YEAR(E165),0,IF((YEAR(D165)+20)&gt;YEAR(E165),1,(12-MONTH(E165)+1)/12)))*(1/(1+DiscountRate)^20))</f>
        <v/>
      </c>
      <c r="CD165" s="29">
        <f>IF(A165="","",S165/(1+DiscountRate)^0+T165/(1+DiscountRate)^1+U165/(1+DiscountRate)^2+V165/(1+DiscountRate)^3+W165/(1+DiscountRate)^4+X165/(1+DiscountRate)^5+Y165/(1+DiscountRate)^6+Z165/(1+DiscountRate)^7+AA165/(1+DiscountRate)^8+AB165/(1+DiscountRate)^9+AC165/(1+DiscountRate)^10+AD165/(1+DiscountRate)^11+AE165/(1+DiscountRate)^12+AF165/(1+DiscountRate)^13+AG165/(1+DiscountRate)^14+AH165/(1+DiscountRate)^15+AI165/(1+DiscountRate)^16+AJ165/(1+DiscountRate)^17+AK165/(1+DiscountRate)^18+AL165/(1+DiscountRate)^19+AM165/(1+DiscountRate)^20)</f>
        <v/>
      </c>
      <c r="CE165" s="37">
        <f>IF(A165="","",IFERROR(IRR(OFFSET(S165,0,0,1,MIN(HorizonYears,20)+1)),"n/a"))</f>
        <v/>
      </c>
      <c r="CF165" s="28">
        <f>IF(A165="","",IFERROR(MATCH(TRUE,OFFSET(AN165,0,0,1,MIN(HorizonYears,20)+1)&gt;=0,0)-1,"n/a"))</f>
        <v/>
      </c>
      <c r="CG165" s="36">
        <f>IF(A165="","",SUM(OFFSET(BI165,0,0,1,MIN(HorizonYears,20)+1)))</f>
        <v/>
      </c>
      <c r="CH165" s="36">
        <f>IF(A165="","",IFERROR(-CD165/CG165,"n/a"))</f>
        <v/>
      </c>
    </row>
    <row r="166">
      <c r="A166" s="6">
        <f>Actions!A164</f>
        <v/>
      </c>
      <c r="B166" s="6">
        <f>Actions!B164</f>
        <v/>
      </c>
      <c r="C166" s="6">
        <f>Actions!D164</f>
        <v/>
      </c>
      <c r="D166" s="35">
        <f>Actions!E164</f>
        <v/>
      </c>
      <c r="E166" s="35">
        <f>Actions!F164</f>
        <v/>
      </c>
      <c r="F166" s="6">
        <f>Actions!G164</f>
        <v/>
      </c>
      <c r="G166" s="6">
        <f>Actions!H164</f>
        <v/>
      </c>
      <c r="H166" s="29">
        <f>Actions!I164</f>
        <v/>
      </c>
      <c r="I166" s="6">
        <f>Actions!J164</f>
        <v/>
      </c>
      <c r="J166" s="16">
        <f>Actions!K164</f>
        <v/>
      </c>
      <c r="K166" s="16">
        <f>IF(A166="","",IF(I166="%",H166*J166,J166))</f>
        <v/>
      </c>
      <c r="L166" s="16">
        <f>Actions!L164</f>
        <v/>
      </c>
      <c r="M166" s="6">
        <f>Actions!M164</f>
        <v/>
      </c>
      <c r="N166" s="28">
        <f>Actions!N164</f>
        <v/>
      </c>
      <c r="O166" s="29">
        <f>Actions!T164</f>
        <v/>
      </c>
      <c r="P166" s="29">
        <f>Actions!Y164</f>
        <v/>
      </c>
      <c r="Q166" s="29">
        <f>Actions!Z164</f>
        <v/>
      </c>
      <c r="R166" s="29">
        <f>Actions!AA164</f>
        <v/>
      </c>
      <c r="S166" s="29">
        <f>IF(A166="","",((K166)*(IF(M166="",L166,IFERROR(IF(INDEX(Variablen!$I:$AT, MATCH(M166, Variablen!$A:$A, 0), MATCH((YEAR(D166)+0), Variablen!$I$3:$AT$3, 0))="",L166,INDEX(Variablen!$I:$AT, MATCH(M166, Variablen!$A:$A, 0), MATCH((YEAR(D166)+0), Variablen!$I$3:$AT$3, 0))),L166)))*(IF((YEAR(D166)+0)&lt;YEAR(E166),0,IF((YEAR(D166)+0)&gt;YEAR(E166),1,(12-MONTH(E166)+1)/12))) + (Q166)*(IF((YEAR(D166)+0)&lt;YEAR(E166),0,IF((YEAR(D166)+0)&gt;YEAR(E166),1,(12-MONTH(E166)+1)/12))))-((P166)*(IF((YEAR(D166)+0)&lt;YEAR(E166),0,IF((YEAR(D166)+0)&gt;YEAR(E166),1,(12-MONTH(E166)+1)/12))) + (R166)*(IF((YEAR(D166)+0)&lt;YEAR(E166),0,IF((YEAR(D166)+0)&gt;YEAR(E166),1,(12-MONTH(E166)+1)/12))))-(IF((((K166)*(IF(M166="",L166,IFERROR(IF(INDEX(Variablen!$I:$AT, MATCH(M166, Variablen!$A:$A, 0), MATCH((YEAR(D166)+0), Variablen!$I$3:$AT$3, 0))="",L166,INDEX(Variablen!$I:$AT, MATCH(M166, Variablen!$A:$A, 0), MATCH((YEAR(D166)+0), Variablen!$I$3:$AT$3, 0))),L166)))*(IF((YEAR(D166)+0)&lt;YEAR(E166),0,IF((YEAR(D166)+0)&gt;YEAR(E166),1,(12-MONTH(E166)+1)/12))) + (Q166)*(IF((YEAR(D166)+0)&lt;YEAR(E166),0,IF((YEAR(D166)+0)&gt;YEAR(E166),1,(12-MONTH(E166)+1)/12))))-((P166)*(IF((YEAR(D166)+0)&lt;YEAR(E166),0,IF((YEAR(D166)+0)&gt;YEAR(E166),1,(12-MONTH(E166)+1)/12))) + (R166)*(IF((YEAR(D166)+0)&lt;YEAR(E166),0,IF((YEAR(D166)+0)&gt;YEAR(E166),1,(12-MONTH(E166)+1)/12))))-(IF(OR(N166="",N166&lt;=0),0,(O166/N166)*(IF(OR(N166="",N166&lt;=0),0,IF((YEAR(D166)+0)&lt;YEAR(E166),0,IF((YEAR(D166)+0)&gt;=YEAR(E166)+N166,0,IF((YEAR(D166)+0)=YEAR(E166),(12-MONTH(E166)+1)/12,1))))))))&gt;0,(((K166)*(IF(M166="",L166,IFERROR(IF(INDEX(Variablen!$I:$AT, MATCH(M166, Variablen!$A:$A, 0), MATCH((YEAR(D166)+0), Variablen!$I$3:$AT$3, 0))="",L166,INDEX(Variablen!$I:$AT, MATCH(M166, Variablen!$A:$A, 0), MATCH((YEAR(D166)+0), Variablen!$I$3:$AT$3, 0))),L166)))*(IF((YEAR(D166)+0)&lt;YEAR(E166),0,IF((YEAR(D166)+0)&gt;YEAR(E166),1,(12-MONTH(E166)+1)/12))) + (Q166)*(IF((YEAR(D166)+0)&lt;YEAR(E166),0,IF((YEAR(D166)+0)&gt;YEAR(E166),1,(12-MONTH(E166)+1)/12))))-((P166)*(IF((YEAR(D166)+0)&lt;YEAR(E166),0,IF((YEAR(D166)+0)&gt;YEAR(E166),1,(12-MONTH(E166)+1)/12))) + (R166)*(IF((YEAR(D166)+0)&lt;YEAR(E166),0,IF((YEAR(D166)+0)&gt;YEAR(E166),1,(12-MONTH(E166)+1)/12))))-(IF(OR(N166="",N166&lt;=0),0,(O166/N166)*(IF(OR(N166="",N166&lt;=0),0,IF((YEAR(D166)+0)&lt;YEAR(E166),0,IF((YEAR(D166)+0)&gt;=YEAR(E166)+N166,0,IF((YEAR(D166)+0)=YEAR(E166),(12-MONTH(E166)+1)/12,1))))))))*TaxRate,0))-IF(0=0,O166,0))</f>
        <v/>
      </c>
      <c r="T166" s="29">
        <f>IF(A166="","",((K166)*(IF(M166="",L166,IFERROR(IF(INDEX(Variablen!$I:$AT, MATCH(M166, Variablen!$A:$A, 0), MATCH((YEAR(D166)+1), Variablen!$I$3:$AT$3, 0))="",L166,INDEX(Variablen!$I:$AT, MATCH(M166, Variablen!$A:$A, 0), MATCH((YEAR(D166)+1), Variablen!$I$3:$AT$3, 0))),L166)))*(IF((YEAR(D166)+1)&lt;YEAR(E166),0,IF((YEAR(D166)+1)&gt;YEAR(E166),1,(12-MONTH(E166)+1)/12))) + (Q166)*(IF((YEAR(D166)+1)&lt;YEAR(E166),0,IF((YEAR(D166)+1)&gt;YEAR(E166),1,(12-MONTH(E166)+1)/12))))-((P166)*(IF((YEAR(D166)+1)&lt;YEAR(E166),0,IF((YEAR(D166)+1)&gt;YEAR(E166),1,(12-MONTH(E166)+1)/12))) + (R166)*(IF((YEAR(D166)+1)&lt;YEAR(E166),0,IF((YEAR(D166)+1)&gt;YEAR(E166),1,(12-MONTH(E166)+1)/12))))-(IF((((K166)*(IF(M166="",L166,IFERROR(IF(INDEX(Variablen!$I:$AT, MATCH(M166, Variablen!$A:$A, 0), MATCH((YEAR(D166)+1), Variablen!$I$3:$AT$3, 0))="",L166,INDEX(Variablen!$I:$AT, MATCH(M166, Variablen!$A:$A, 0), MATCH((YEAR(D166)+1), Variablen!$I$3:$AT$3, 0))),L166)))*(IF((YEAR(D166)+1)&lt;YEAR(E166),0,IF((YEAR(D166)+1)&gt;YEAR(E166),1,(12-MONTH(E166)+1)/12))) + (Q166)*(IF((YEAR(D166)+1)&lt;YEAR(E166),0,IF((YEAR(D166)+1)&gt;YEAR(E166),1,(12-MONTH(E166)+1)/12))))-((P166)*(IF((YEAR(D166)+1)&lt;YEAR(E166),0,IF((YEAR(D166)+1)&gt;YEAR(E166),1,(12-MONTH(E166)+1)/12))) + (R166)*(IF((YEAR(D166)+1)&lt;YEAR(E166),0,IF((YEAR(D166)+1)&gt;YEAR(E166),1,(12-MONTH(E166)+1)/12))))-(IF(OR(N166="",N166&lt;=0),0,(O166/N166)*(IF(OR(N166="",N166&lt;=0),0,IF((YEAR(D166)+1)&lt;YEAR(E166),0,IF((YEAR(D166)+1)&gt;=YEAR(E166)+N166,0,IF((YEAR(D166)+1)=YEAR(E166),(12-MONTH(E166)+1)/12,1))))))))&gt;0,(((K166)*(IF(M166="",L166,IFERROR(IF(INDEX(Variablen!$I:$AT, MATCH(M166, Variablen!$A:$A, 0), MATCH((YEAR(D166)+1), Variablen!$I$3:$AT$3, 0))="",L166,INDEX(Variablen!$I:$AT, MATCH(M166, Variablen!$A:$A, 0), MATCH((YEAR(D166)+1), Variablen!$I$3:$AT$3, 0))),L166)))*(IF((YEAR(D166)+1)&lt;YEAR(E166),0,IF((YEAR(D166)+1)&gt;YEAR(E166),1,(12-MONTH(E166)+1)/12))) + (Q166)*(IF((YEAR(D166)+1)&lt;YEAR(E166),0,IF((YEAR(D166)+1)&gt;YEAR(E166),1,(12-MONTH(E166)+1)/12))))-((P166)*(IF((YEAR(D166)+1)&lt;YEAR(E166),0,IF((YEAR(D166)+1)&gt;YEAR(E166),1,(12-MONTH(E166)+1)/12))) + (R166)*(IF((YEAR(D166)+1)&lt;YEAR(E166),0,IF((YEAR(D166)+1)&gt;YEAR(E166),1,(12-MONTH(E166)+1)/12))))-(IF(OR(N166="",N166&lt;=0),0,(O166/N166)*(IF(OR(N166="",N166&lt;=0),0,IF((YEAR(D166)+1)&lt;YEAR(E166),0,IF((YEAR(D166)+1)&gt;=YEAR(E166)+N166,0,IF((YEAR(D166)+1)=YEAR(E166),(12-MONTH(E166)+1)/12,1))))))))*TaxRate,0))-IF(1=0,O166,0))</f>
        <v/>
      </c>
      <c r="U166" s="29">
        <f>IF(A166="","",((K166)*(IF(M166="",L166,IFERROR(IF(INDEX(Variablen!$I:$AT, MATCH(M166, Variablen!$A:$A, 0), MATCH((YEAR(D166)+2), Variablen!$I$3:$AT$3, 0))="",L166,INDEX(Variablen!$I:$AT, MATCH(M166, Variablen!$A:$A, 0), MATCH((YEAR(D166)+2), Variablen!$I$3:$AT$3, 0))),L166)))*(IF((YEAR(D166)+2)&lt;YEAR(E166),0,IF((YEAR(D166)+2)&gt;YEAR(E166),1,(12-MONTH(E166)+1)/12))) + (Q166)*(IF((YEAR(D166)+2)&lt;YEAR(E166),0,IF((YEAR(D166)+2)&gt;YEAR(E166),1,(12-MONTH(E166)+1)/12))))-((P166)*(IF((YEAR(D166)+2)&lt;YEAR(E166),0,IF((YEAR(D166)+2)&gt;YEAR(E166),1,(12-MONTH(E166)+1)/12))) + (R166)*(IF((YEAR(D166)+2)&lt;YEAR(E166),0,IF((YEAR(D166)+2)&gt;YEAR(E166),1,(12-MONTH(E166)+1)/12))))-(IF((((K166)*(IF(M166="",L166,IFERROR(IF(INDEX(Variablen!$I:$AT, MATCH(M166, Variablen!$A:$A, 0), MATCH((YEAR(D166)+2), Variablen!$I$3:$AT$3, 0))="",L166,INDEX(Variablen!$I:$AT, MATCH(M166, Variablen!$A:$A, 0), MATCH((YEAR(D166)+2), Variablen!$I$3:$AT$3, 0))),L166)))*(IF((YEAR(D166)+2)&lt;YEAR(E166),0,IF((YEAR(D166)+2)&gt;YEAR(E166),1,(12-MONTH(E166)+1)/12))) + (Q166)*(IF((YEAR(D166)+2)&lt;YEAR(E166),0,IF((YEAR(D166)+2)&gt;YEAR(E166),1,(12-MONTH(E166)+1)/12))))-((P166)*(IF((YEAR(D166)+2)&lt;YEAR(E166),0,IF((YEAR(D166)+2)&gt;YEAR(E166),1,(12-MONTH(E166)+1)/12))) + (R166)*(IF((YEAR(D166)+2)&lt;YEAR(E166),0,IF((YEAR(D166)+2)&gt;YEAR(E166),1,(12-MONTH(E166)+1)/12))))-(IF(OR(N166="",N166&lt;=0),0,(O166/N166)*(IF(OR(N166="",N166&lt;=0),0,IF((YEAR(D166)+2)&lt;YEAR(E166),0,IF((YEAR(D166)+2)&gt;=YEAR(E166)+N166,0,IF((YEAR(D166)+2)=YEAR(E166),(12-MONTH(E166)+1)/12,1))))))))&gt;0,(((K166)*(IF(M166="",L166,IFERROR(IF(INDEX(Variablen!$I:$AT, MATCH(M166, Variablen!$A:$A, 0), MATCH((YEAR(D166)+2), Variablen!$I$3:$AT$3, 0))="",L166,INDEX(Variablen!$I:$AT, MATCH(M166, Variablen!$A:$A, 0), MATCH((YEAR(D166)+2), Variablen!$I$3:$AT$3, 0))),L166)))*(IF((YEAR(D166)+2)&lt;YEAR(E166),0,IF((YEAR(D166)+2)&gt;YEAR(E166),1,(12-MONTH(E166)+1)/12))) + (Q166)*(IF((YEAR(D166)+2)&lt;YEAR(E166),0,IF((YEAR(D166)+2)&gt;YEAR(E166),1,(12-MONTH(E166)+1)/12))))-((P166)*(IF((YEAR(D166)+2)&lt;YEAR(E166),0,IF((YEAR(D166)+2)&gt;YEAR(E166),1,(12-MONTH(E166)+1)/12))) + (R166)*(IF((YEAR(D166)+2)&lt;YEAR(E166),0,IF((YEAR(D166)+2)&gt;YEAR(E166),1,(12-MONTH(E166)+1)/12))))-(IF(OR(N166="",N166&lt;=0),0,(O166/N166)*(IF(OR(N166="",N166&lt;=0),0,IF((YEAR(D166)+2)&lt;YEAR(E166),0,IF((YEAR(D166)+2)&gt;=YEAR(E166)+N166,0,IF((YEAR(D166)+2)=YEAR(E166),(12-MONTH(E166)+1)/12,1))))))))*TaxRate,0))-IF(2=0,O166,0))</f>
        <v/>
      </c>
      <c r="V166" s="29">
        <f>IF(A166="","",((K166)*(IF(M166="",L166,IFERROR(IF(INDEX(Variablen!$I:$AT, MATCH(M166, Variablen!$A:$A, 0), MATCH((YEAR(D166)+3), Variablen!$I$3:$AT$3, 0))="",L166,INDEX(Variablen!$I:$AT, MATCH(M166, Variablen!$A:$A, 0), MATCH((YEAR(D166)+3), Variablen!$I$3:$AT$3, 0))),L166)))*(IF((YEAR(D166)+3)&lt;YEAR(E166),0,IF((YEAR(D166)+3)&gt;YEAR(E166),1,(12-MONTH(E166)+1)/12))) + (Q166)*(IF((YEAR(D166)+3)&lt;YEAR(E166),0,IF((YEAR(D166)+3)&gt;YEAR(E166),1,(12-MONTH(E166)+1)/12))))-((P166)*(IF((YEAR(D166)+3)&lt;YEAR(E166),0,IF((YEAR(D166)+3)&gt;YEAR(E166),1,(12-MONTH(E166)+1)/12))) + (R166)*(IF((YEAR(D166)+3)&lt;YEAR(E166),0,IF((YEAR(D166)+3)&gt;YEAR(E166),1,(12-MONTH(E166)+1)/12))))-(IF((((K166)*(IF(M166="",L166,IFERROR(IF(INDEX(Variablen!$I:$AT, MATCH(M166, Variablen!$A:$A, 0), MATCH((YEAR(D166)+3), Variablen!$I$3:$AT$3, 0))="",L166,INDEX(Variablen!$I:$AT, MATCH(M166, Variablen!$A:$A, 0), MATCH((YEAR(D166)+3), Variablen!$I$3:$AT$3, 0))),L166)))*(IF((YEAR(D166)+3)&lt;YEAR(E166),0,IF((YEAR(D166)+3)&gt;YEAR(E166),1,(12-MONTH(E166)+1)/12))) + (Q166)*(IF((YEAR(D166)+3)&lt;YEAR(E166),0,IF((YEAR(D166)+3)&gt;YEAR(E166),1,(12-MONTH(E166)+1)/12))))-((P166)*(IF((YEAR(D166)+3)&lt;YEAR(E166),0,IF((YEAR(D166)+3)&gt;YEAR(E166),1,(12-MONTH(E166)+1)/12))) + (R166)*(IF((YEAR(D166)+3)&lt;YEAR(E166),0,IF((YEAR(D166)+3)&gt;YEAR(E166),1,(12-MONTH(E166)+1)/12))))-(IF(OR(N166="",N166&lt;=0),0,(O166/N166)*(IF(OR(N166="",N166&lt;=0),0,IF((YEAR(D166)+3)&lt;YEAR(E166),0,IF((YEAR(D166)+3)&gt;=YEAR(E166)+N166,0,IF((YEAR(D166)+3)=YEAR(E166),(12-MONTH(E166)+1)/12,1))))))))&gt;0,(((K166)*(IF(M166="",L166,IFERROR(IF(INDEX(Variablen!$I:$AT, MATCH(M166, Variablen!$A:$A, 0), MATCH((YEAR(D166)+3), Variablen!$I$3:$AT$3, 0))="",L166,INDEX(Variablen!$I:$AT, MATCH(M166, Variablen!$A:$A, 0), MATCH((YEAR(D166)+3), Variablen!$I$3:$AT$3, 0))),L166)))*(IF((YEAR(D166)+3)&lt;YEAR(E166),0,IF((YEAR(D166)+3)&gt;YEAR(E166),1,(12-MONTH(E166)+1)/12))) + (Q166)*(IF((YEAR(D166)+3)&lt;YEAR(E166),0,IF((YEAR(D166)+3)&gt;YEAR(E166),1,(12-MONTH(E166)+1)/12))))-((P166)*(IF((YEAR(D166)+3)&lt;YEAR(E166),0,IF((YEAR(D166)+3)&gt;YEAR(E166),1,(12-MONTH(E166)+1)/12))) + (R166)*(IF((YEAR(D166)+3)&lt;YEAR(E166),0,IF((YEAR(D166)+3)&gt;YEAR(E166),1,(12-MONTH(E166)+1)/12))))-(IF(OR(N166="",N166&lt;=0),0,(O166/N166)*(IF(OR(N166="",N166&lt;=0),0,IF((YEAR(D166)+3)&lt;YEAR(E166),0,IF((YEAR(D166)+3)&gt;=YEAR(E166)+N166,0,IF((YEAR(D166)+3)=YEAR(E166),(12-MONTH(E166)+1)/12,1))))))))*TaxRate,0))-IF(3=0,O166,0))</f>
        <v/>
      </c>
      <c r="W166" s="29">
        <f>IF(A166="","",((K166)*(IF(M166="",L166,IFERROR(IF(INDEX(Variablen!$I:$AT, MATCH(M166, Variablen!$A:$A, 0), MATCH((YEAR(D166)+4), Variablen!$I$3:$AT$3, 0))="",L166,INDEX(Variablen!$I:$AT, MATCH(M166, Variablen!$A:$A, 0), MATCH((YEAR(D166)+4), Variablen!$I$3:$AT$3, 0))),L166)))*(IF((YEAR(D166)+4)&lt;YEAR(E166),0,IF((YEAR(D166)+4)&gt;YEAR(E166),1,(12-MONTH(E166)+1)/12))) + (Q166)*(IF((YEAR(D166)+4)&lt;YEAR(E166),0,IF((YEAR(D166)+4)&gt;YEAR(E166),1,(12-MONTH(E166)+1)/12))))-((P166)*(IF((YEAR(D166)+4)&lt;YEAR(E166),0,IF((YEAR(D166)+4)&gt;YEAR(E166),1,(12-MONTH(E166)+1)/12))) + (R166)*(IF((YEAR(D166)+4)&lt;YEAR(E166),0,IF((YEAR(D166)+4)&gt;YEAR(E166),1,(12-MONTH(E166)+1)/12))))-(IF((((K166)*(IF(M166="",L166,IFERROR(IF(INDEX(Variablen!$I:$AT, MATCH(M166, Variablen!$A:$A, 0), MATCH((YEAR(D166)+4), Variablen!$I$3:$AT$3, 0))="",L166,INDEX(Variablen!$I:$AT, MATCH(M166, Variablen!$A:$A, 0), MATCH((YEAR(D166)+4), Variablen!$I$3:$AT$3, 0))),L166)))*(IF((YEAR(D166)+4)&lt;YEAR(E166),0,IF((YEAR(D166)+4)&gt;YEAR(E166),1,(12-MONTH(E166)+1)/12))) + (Q166)*(IF((YEAR(D166)+4)&lt;YEAR(E166),0,IF((YEAR(D166)+4)&gt;YEAR(E166),1,(12-MONTH(E166)+1)/12))))-((P166)*(IF((YEAR(D166)+4)&lt;YEAR(E166),0,IF((YEAR(D166)+4)&gt;YEAR(E166),1,(12-MONTH(E166)+1)/12))) + (R166)*(IF((YEAR(D166)+4)&lt;YEAR(E166),0,IF((YEAR(D166)+4)&gt;YEAR(E166),1,(12-MONTH(E166)+1)/12))))-(IF(OR(N166="",N166&lt;=0),0,(O166/N166)*(IF(OR(N166="",N166&lt;=0),0,IF((YEAR(D166)+4)&lt;YEAR(E166),0,IF((YEAR(D166)+4)&gt;=YEAR(E166)+N166,0,IF((YEAR(D166)+4)=YEAR(E166),(12-MONTH(E166)+1)/12,1))))))))&gt;0,(((K166)*(IF(M166="",L166,IFERROR(IF(INDEX(Variablen!$I:$AT, MATCH(M166, Variablen!$A:$A, 0), MATCH((YEAR(D166)+4), Variablen!$I$3:$AT$3, 0))="",L166,INDEX(Variablen!$I:$AT, MATCH(M166, Variablen!$A:$A, 0), MATCH((YEAR(D166)+4), Variablen!$I$3:$AT$3, 0))),L166)))*(IF((YEAR(D166)+4)&lt;YEAR(E166),0,IF((YEAR(D166)+4)&gt;YEAR(E166),1,(12-MONTH(E166)+1)/12))) + (Q166)*(IF((YEAR(D166)+4)&lt;YEAR(E166),0,IF((YEAR(D166)+4)&gt;YEAR(E166),1,(12-MONTH(E166)+1)/12))))-((P166)*(IF((YEAR(D166)+4)&lt;YEAR(E166),0,IF((YEAR(D166)+4)&gt;YEAR(E166),1,(12-MONTH(E166)+1)/12))) + (R166)*(IF((YEAR(D166)+4)&lt;YEAR(E166),0,IF((YEAR(D166)+4)&gt;YEAR(E166),1,(12-MONTH(E166)+1)/12))))-(IF(OR(N166="",N166&lt;=0),0,(O166/N166)*(IF(OR(N166="",N166&lt;=0),0,IF((YEAR(D166)+4)&lt;YEAR(E166),0,IF((YEAR(D166)+4)&gt;=YEAR(E166)+N166,0,IF((YEAR(D166)+4)=YEAR(E166),(12-MONTH(E166)+1)/12,1))))))))*TaxRate,0))-IF(4=0,O166,0))</f>
        <v/>
      </c>
      <c r="X166" s="29">
        <f>IF(A166="","",((K166)*(IF(M166="",L166,IFERROR(IF(INDEX(Variablen!$I:$AT, MATCH(M166, Variablen!$A:$A, 0), MATCH((YEAR(D166)+5), Variablen!$I$3:$AT$3, 0))="",L166,INDEX(Variablen!$I:$AT, MATCH(M166, Variablen!$A:$A, 0), MATCH((YEAR(D166)+5), Variablen!$I$3:$AT$3, 0))),L166)))*(IF((YEAR(D166)+5)&lt;YEAR(E166),0,IF((YEAR(D166)+5)&gt;YEAR(E166),1,(12-MONTH(E166)+1)/12))) + (Q166)*(IF((YEAR(D166)+5)&lt;YEAR(E166),0,IF((YEAR(D166)+5)&gt;YEAR(E166),1,(12-MONTH(E166)+1)/12))))-((P166)*(IF((YEAR(D166)+5)&lt;YEAR(E166),0,IF((YEAR(D166)+5)&gt;YEAR(E166),1,(12-MONTH(E166)+1)/12))) + (R166)*(IF((YEAR(D166)+5)&lt;YEAR(E166),0,IF((YEAR(D166)+5)&gt;YEAR(E166),1,(12-MONTH(E166)+1)/12))))-(IF((((K166)*(IF(M166="",L166,IFERROR(IF(INDEX(Variablen!$I:$AT, MATCH(M166, Variablen!$A:$A, 0), MATCH((YEAR(D166)+5), Variablen!$I$3:$AT$3, 0))="",L166,INDEX(Variablen!$I:$AT, MATCH(M166, Variablen!$A:$A, 0), MATCH((YEAR(D166)+5), Variablen!$I$3:$AT$3, 0))),L166)))*(IF((YEAR(D166)+5)&lt;YEAR(E166),0,IF((YEAR(D166)+5)&gt;YEAR(E166),1,(12-MONTH(E166)+1)/12))) + (Q166)*(IF((YEAR(D166)+5)&lt;YEAR(E166),0,IF((YEAR(D166)+5)&gt;YEAR(E166),1,(12-MONTH(E166)+1)/12))))-((P166)*(IF((YEAR(D166)+5)&lt;YEAR(E166),0,IF((YEAR(D166)+5)&gt;YEAR(E166),1,(12-MONTH(E166)+1)/12))) + (R166)*(IF((YEAR(D166)+5)&lt;YEAR(E166),0,IF((YEAR(D166)+5)&gt;YEAR(E166),1,(12-MONTH(E166)+1)/12))))-(IF(OR(N166="",N166&lt;=0),0,(O166/N166)*(IF(OR(N166="",N166&lt;=0),0,IF((YEAR(D166)+5)&lt;YEAR(E166),0,IF((YEAR(D166)+5)&gt;=YEAR(E166)+N166,0,IF((YEAR(D166)+5)=YEAR(E166),(12-MONTH(E166)+1)/12,1))))))))&gt;0,(((K166)*(IF(M166="",L166,IFERROR(IF(INDEX(Variablen!$I:$AT, MATCH(M166, Variablen!$A:$A, 0), MATCH((YEAR(D166)+5), Variablen!$I$3:$AT$3, 0))="",L166,INDEX(Variablen!$I:$AT, MATCH(M166, Variablen!$A:$A, 0), MATCH((YEAR(D166)+5), Variablen!$I$3:$AT$3, 0))),L166)))*(IF((YEAR(D166)+5)&lt;YEAR(E166),0,IF((YEAR(D166)+5)&gt;YEAR(E166),1,(12-MONTH(E166)+1)/12))) + (Q166)*(IF((YEAR(D166)+5)&lt;YEAR(E166),0,IF((YEAR(D166)+5)&gt;YEAR(E166),1,(12-MONTH(E166)+1)/12))))-((P166)*(IF((YEAR(D166)+5)&lt;YEAR(E166),0,IF((YEAR(D166)+5)&gt;YEAR(E166),1,(12-MONTH(E166)+1)/12))) + (R166)*(IF((YEAR(D166)+5)&lt;YEAR(E166),0,IF((YEAR(D166)+5)&gt;YEAR(E166),1,(12-MONTH(E166)+1)/12))))-(IF(OR(N166="",N166&lt;=0),0,(O166/N166)*(IF(OR(N166="",N166&lt;=0),0,IF((YEAR(D166)+5)&lt;YEAR(E166),0,IF((YEAR(D166)+5)&gt;=YEAR(E166)+N166,0,IF((YEAR(D166)+5)=YEAR(E166),(12-MONTH(E166)+1)/12,1))))))))*TaxRate,0))-IF(5=0,O166,0))</f>
        <v/>
      </c>
      <c r="Y166" s="29">
        <f>IF(A166="","",((K166)*(IF(M166="",L166,IFERROR(IF(INDEX(Variablen!$I:$AT, MATCH(M166, Variablen!$A:$A, 0), MATCH((YEAR(D166)+6), Variablen!$I$3:$AT$3, 0))="",L166,INDEX(Variablen!$I:$AT, MATCH(M166, Variablen!$A:$A, 0), MATCH((YEAR(D166)+6), Variablen!$I$3:$AT$3, 0))),L166)))*(IF((YEAR(D166)+6)&lt;YEAR(E166),0,IF((YEAR(D166)+6)&gt;YEAR(E166),1,(12-MONTH(E166)+1)/12))) + (Q166)*(IF((YEAR(D166)+6)&lt;YEAR(E166),0,IF((YEAR(D166)+6)&gt;YEAR(E166),1,(12-MONTH(E166)+1)/12))))-((P166)*(IF((YEAR(D166)+6)&lt;YEAR(E166),0,IF((YEAR(D166)+6)&gt;YEAR(E166),1,(12-MONTH(E166)+1)/12))) + (R166)*(IF((YEAR(D166)+6)&lt;YEAR(E166),0,IF((YEAR(D166)+6)&gt;YEAR(E166),1,(12-MONTH(E166)+1)/12))))-(IF((((K166)*(IF(M166="",L166,IFERROR(IF(INDEX(Variablen!$I:$AT, MATCH(M166, Variablen!$A:$A, 0), MATCH((YEAR(D166)+6), Variablen!$I$3:$AT$3, 0))="",L166,INDEX(Variablen!$I:$AT, MATCH(M166, Variablen!$A:$A, 0), MATCH((YEAR(D166)+6), Variablen!$I$3:$AT$3, 0))),L166)))*(IF((YEAR(D166)+6)&lt;YEAR(E166),0,IF((YEAR(D166)+6)&gt;YEAR(E166),1,(12-MONTH(E166)+1)/12))) + (Q166)*(IF((YEAR(D166)+6)&lt;YEAR(E166),0,IF((YEAR(D166)+6)&gt;YEAR(E166),1,(12-MONTH(E166)+1)/12))))-((P166)*(IF((YEAR(D166)+6)&lt;YEAR(E166),0,IF((YEAR(D166)+6)&gt;YEAR(E166),1,(12-MONTH(E166)+1)/12))) + (R166)*(IF((YEAR(D166)+6)&lt;YEAR(E166),0,IF((YEAR(D166)+6)&gt;YEAR(E166),1,(12-MONTH(E166)+1)/12))))-(IF(OR(N166="",N166&lt;=0),0,(O166/N166)*(IF(OR(N166="",N166&lt;=0),0,IF((YEAR(D166)+6)&lt;YEAR(E166),0,IF((YEAR(D166)+6)&gt;=YEAR(E166)+N166,0,IF((YEAR(D166)+6)=YEAR(E166),(12-MONTH(E166)+1)/12,1))))))))&gt;0,(((K166)*(IF(M166="",L166,IFERROR(IF(INDEX(Variablen!$I:$AT, MATCH(M166, Variablen!$A:$A, 0), MATCH((YEAR(D166)+6), Variablen!$I$3:$AT$3, 0))="",L166,INDEX(Variablen!$I:$AT, MATCH(M166, Variablen!$A:$A, 0), MATCH((YEAR(D166)+6), Variablen!$I$3:$AT$3, 0))),L166)))*(IF((YEAR(D166)+6)&lt;YEAR(E166),0,IF((YEAR(D166)+6)&gt;YEAR(E166),1,(12-MONTH(E166)+1)/12))) + (Q166)*(IF((YEAR(D166)+6)&lt;YEAR(E166),0,IF((YEAR(D166)+6)&gt;YEAR(E166),1,(12-MONTH(E166)+1)/12))))-((P166)*(IF((YEAR(D166)+6)&lt;YEAR(E166),0,IF((YEAR(D166)+6)&gt;YEAR(E166),1,(12-MONTH(E166)+1)/12))) + (R166)*(IF((YEAR(D166)+6)&lt;YEAR(E166),0,IF((YEAR(D166)+6)&gt;YEAR(E166),1,(12-MONTH(E166)+1)/12))))-(IF(OR(N166="",N166&lt;=0),0,(O166/N166)*(IF(OR(N166="",N166&lt;=0),0,IF((YEAR(D166)+6)&lt;YEAR(E166),0,IF((YEAR(D166)+6)&gt;=YEAR(E166)+N166,0,IF((YEAR(D166)+6)=YEAR(E166),(12-MONTH(E166)+1)/12,1))))))))*TaxRate,0))-IF(6=0,O166,0))</f>
        <v/>
      </c>
      <c r="Z166" s="29">
        <f>IF(A166="","",((K166)*(IF(M166="",L166,IFERROR(IF(INDEX(Variablen!$I:$AT, MATCH(M166, Variablen!$A:$A, 0), MATCH((YEAR(D166)+7), Variablen!$I$3:$AT$3, 0))="",L166,INDEX(Variablen!$I:$AT, MATCH(M166, Variablen!$A:$A, 0), MATCH((YEAR(D166)+7), Variablen!$I$3:$AT$3, 0))),L166)))*(IF((YEAR(D166)+7)&lt;YEAR(E166),0,IF((YEAR(D166)+7)&gt;YEAR(E166),1,(12-MONTH(E166)+1)/12))) + (Q166)*(IF((YEAR(D166)+7)&lt;YEAR(E166),0,IF((YEAR(D166)+7)&gt;YEAR(E166),1,(12-MONTH(E166)+1)/12))))-((P166)*(IF((YEAR(D166)+7)&lt;YEAR(E166),0,IF((YEAR(D166)+7)&gt;YEAR(E166),1,(12-MONTH(E166)+1)/12))) + (R166)*(IF((YEAR(D166)+7)&lt;YEAR(E166),0,IF((YEAR(D166)+7)&gt;YEAR(E166),1,(12-MONTH(E166)+1)/12))))-(IF((((K166)*(IF(M166="",L166,IFERROR(IF(INDEX(Variablen!$I:$AT, MATCH(M166, Variablen!$A:$A, 0), MATCH((YEAR(D166)+7), Variablen!$I$3:$AT$3, 0))="",L166,INDEX(Variablen!$I:$AT, MATCH(M166, Variablen!$A:$A, 0), MATCH((YEAR(D166)+7), Variablen!$I$3:$AT$3, 0))),L166)))*(IF((YEAR(D166)+7)&lt;YEAR(E166),0,IF((YEAR(D166)+7)&gt;YEAR(E166),1,(12-MONTH(E166)+1)/12))) + (Q166)*(IF((YEAR(D166)+7)&lt;YEAR(E166),0,IF((YEAR(D166)+7)&gt;YEAR(E166),1,(12-MONTH(E166)+1)/12))))-((P166)*(IF((YEAR(D166)+7)&lt;YEAR(E166),0,IF((YEAR(D166)+7)&gt;YEAR(E166),1,(12-MONTH(E166)+1)/12))) + (R166)*(IF((YEAR(D166)+7)&lt;YEAR(E166),0,IF((YEAR(D166)+7)&gt;YEAR(E166),1,(12-MONTH(E166)+1)/12))))-(IF(OR(N166="",N166&lt;=0),0,(O166/N166)*(IF(OR(N166="",N166&lt;=0),0,IF((YEAR(D166)+7)&lt;YEAR(E166),0,IF((YEAR(D166)+7)&gt;=YEAR(E166)+N166,0,IF((YEAR(D166)+7)=YEAR(E166),(12-MONTH(E166)+1)/12,1))))))))&gt;0,(((K166)*(IF(M166="",L166,IFERROR(IF(INDEX(Variablen!$I:$AT, MATCH(M166, Variablen!$A:$A, 0), MATCH((YEAR(D166)+7), Variablen!$I$3:$AT$3, 0))="",L166,INDEX(Variablen!$I:$AT, MATCH(M166, Variablen!$A:$A, 0), MATCH((YEAR(D166)+7), Variablen!$I$3:$AT$3, 0))),L166)))*(IF((YEAR(D166)+7)&lt;YEAR(E166),0,IF((YEAR(D166)+7)&gt;YEAR(E166),1,(12-MONTH(E166)+1)/12))) + (Q166)*(IF((YEAR(D166)+7)&lt;YEAR(E166),0,IF((YEAR(D166)+7)&gt;YEAR(E166),1,(12-MONTH(E166)+1)/12))))-((P166)*(IF((YEAR(D166)+7)&lt;YEAR(E166),0,IF((YEAR(D166)+7)&gt;YEAR(E166),1,(12-MONTH(E166)+1)/12))) + (R166)*(IF((YEAR(D166)+7)&lt;YEAR(E166),0,IF((YEAR(D166)+7)&gt;YEAR(E166),1,(12-MONTH(E166)+1)/12))))-(IF(OR(N166="",N166&lt;=0),0,(O166/N166)*(IF(OR(N166="",N166&lt;=0),0,IF((YEAR(D166)+7)&lt;YEAR(E166),0,IF((YEAR(D166)+7)&gt;=YEAR(E166)+N166,0,IF((YEAR(D166)+7)=YEAR(E166),(12-MONTH(E166)+1)/12,1))))))))*TaxRate,0))-IF(7=0,O166,0))</f>
        <v/>
      </c>
      <c r="AA166" s="29">
        <f>IF(A166="","",((K166)*(IF(M166="",L166,IFERROR(IF(INDEX(Variablen!$I:$AT, MATCH(M166, Variablen!$A:$A, 0), MATCH((YEAR(D166)+8), Variablen!$I$3:$AT$3, 0))="",L166,INDEX(Variablen!$I:$AT, MATCH(M166, Variablen!$A:$A, 0), MATCH((YEAR(D166)+8), Variablen!$I$3:$AT$3, 0))),L166)))*(IF((YEAR(D166)+8)&lt;YEAR(E166),0,IF((YEAR(D166)+8)&gt;YEAR(E166),1,(12-MONTH(E166)+1)/12))) + (Q166)*(IF((YEAR(D166)+8)&lt;YEAR(E166),0,IF((YEAR(D166)+8)&gt;YEAR(E166),1,(12-MONTH(E166)+1)/12))))-((P166)*(IF((YEAR(D166)+8)&lt;YEAR(E166),0,IF((YEAR(D166)+8)&gt;YEAR(E166),1,(12-MONTH(E166)+1)/12))) + (R166)*(IF((YEAR(D166)+8)&lt;YEAR(E166),0,IF((YEAR(D166)+8)&gt;YEAR(E166),1,(12-MONTH(E166)+1)/12))))-(IF((((K166)*(IF(M166="",L166,IFERROR(IF(INDEX(Variablen!$I:$AT, MATCH(M166, Variablen!$A:$A, 0), MATCH((YEAR(D166)+8), Variablen!$I$3:$AT$3, 0))="",L166,INDEX(Variablen!$I:$AT, MATCH(M166, Variablen!$A:$A, 0), MATCH((YEAR(D166)+8), Variablen!$I$3:$AT$3, 0))),L166)))*(IF((YEAR(D166)+8)&lt;YEAR(E166),0,IF((YEAR(D166)+8)&gt;YEAR(E166),1,(12-MONTH(E166)+1)/12))) + (Q166)*(IF((YEAR(D166)+8)&lt;YEAR(E166),0,IF((YEAR(D166)+8)&gt;YEAR(E166),1,(12-MONTH(E166)+1)/12))))-((P166)*(IF((YEAR(D166)+8)&lt;YEAR(E166),0,IF((YEAR(D166)+8)&gt;YEAR(E166),1,(12-MONTH(E166)+1)/12))) + (R166)*(IF((YEAR(D166)+8)&lt;YEAR(E166),0,IF((YEAR(D166)+8)&gt;YEAR(E166),1,(12-MONTH(E166)+1)/12))))-(IF(OR(N166="",N166&lt;=0),0,(O166/N166)*(IF(OR(N166="",N166&lt;=0),0,IF((YEAR(D166)+8)&lt;YEAR(E166),0,IF((YEAR(D166)+8)&gt;=YEAR(E166)+N166,0,IF((YEAR(D166)+8)=YEAR(E166),(12-MONTH(E166)+1)/12,1))))))))&gt;0,(((K166)*(IF(M166="",L166,IFERROR(IF(INDEX(Variablen!$I:$AT, MATCH(M166, Variablen!$A:$A, 0), MATCH((YEAR(D166)+8), Variablen!$I$3:$AT$3, 0))="",L166,INDEX(Variablen!$I:$AT, MATCH(M166, Variablen!$A:$A, 0), MATCH((YEAR(D166)+8), Variablen!$I$3:$AT$3, 0))),L166)))*(IF((YEAR(D166)+8)&lt;YEAR(E166),0,IF((YEAR(D166)+8)&gt;YEAR(E166),1,(12-MONTH(E166)+1)/12))) + (Q166)*(IF((YEAR(D166)+8)&lt;YEAR(E166),0,IF((YEAR(D166)+8)&gt;YEAR(E166),1,(12-MONTH(E166)+1)/12))))-((P166)*(IF((YEAR(D166)+8)&lt;YEAR(E166),0,IF((YEAR(D166)+8)&gt;YEAR(E166),1,(12-MONTH(E166)+1)/12))) + (R166)*(IF((YEAR(D166)+8)&lt;YEAR(E166),0,IF((YEAR(D166)+8)&gt;YEAR(E166),1,(12-MONTH(E166)+1)/12))))-(IF(OR(N166="",N166&lt;=0),0,(O166/N166)*(IF(OR(N166="",N166&lt;=0),0,IF((YEAR(D166)+8)&lt;YEAR(E166),0,IF((YEAR(D166)+8)&gt;=YEAR(E166)+N166,0,IF((YEAR(D166)+8)=YEAR(E166),(12-MONTH(E166)+1)/12,1))))))))*TaxRate,0))-IF(8=0,O166,0))</f>
        <v/>
      </c>
      <c r="AB166" s="29">
        <f>IF(A166="","",((K166)*(IF(M166="",L166,IFERROR(IF(INDEX(Variablen!$I:$AT, MATCH(M166, Variablen!$A:$A, 0), MATCH((YEAR(D166)+9), Variablen!$I$3:$AT$3, 0))="",L166,INDEX(Variablen!$I:$AT, MATCH(M166, Variablen!$A:$A, 0), MATCH((YEAR(D166)+9), Variablen!$I$3:$AT$3, 0))),L166)))*(IF((YEAR(D166)+9)&lt;YEAR(E166),0,IF((YEAR(D166)+9)&gt;YEAR(E166),1,(12-MONTH(E166)+1)/12))) + (Q166)*(IF((YEAR(D166)+9)&lt;YEAR(E166),0,IF((YEAR(D166)+9)&gt;YEAR(E166),1,(12-MONTH(E166)+1)/12))))-((P166)*(IF((YEAR(D166)+9)&lt;YEAR(E166),0,IF((YEAR(D166)+9)&gt;YEAR(E166),1,(12-MONTH(E166)+1)/12))) + (R166)*(IF((YEAR(D166)+9)&lt;YEAR(E166),0,IF((YEAR(D166)+9)&gt;YEAR(E166),1,(12-MONTH(E166)+1)/12))))-(IF((((K166)*(IF(M166="",L166,IFERROR(IF(INDEX(Variablen!$I:$AT, MATCH(M166, Variablen!$A:$A, 0), MATCH((YEAR(D166)+9), Variablen!$I$3:$AT$3, 0))="",L166,INDEX(Variablen!$I:$AT, MATCH(M166, Variablen!$A:$A, 0), MATCH((YEAR(D166)+9), Variablen!$I$3:$AT$3, 0))),L166)))*(IF((YEAR(D166)+9)&lt;YEAR(E166),0,IF((YEAR(D166)+9)&gt;YEAR(E166),1,(12-MONTH(E166)+1)/12))) + (Q166)*(IF((YEAR(D166)+9)&lt;YEAR(E166),0,IF((YEAR(D166)+9)&gt;YEAR(E166),1,(12-MONTH(E166)+1)/12))))-((P166)*(IF((YEAR(D166)+9)&lt;YEAR(E166),0,IF((YEAR(D166)+9)&gt;YEAR(E166),1,(12-MONTH(E166)+1)/12))) + (R166)*(IF((YEAR(D166)+9)&lt;YEAR(E166),0,IF((YEAR(D166)+9)&gt;YEAR(E166),1,(12-MONTH(E166)+1)/12))))-(IF(OR(N166="",N166&lt;=0),0,(O166/N166)*(IF(OR(N166="",N166&lt;=0),0,IF((YEAR(D166)+9)&lt;YEAR(E166),0,IF((YEAR(D166)+9)&gt;=YEAR(E166)+N166,0,IF((YEAR(D166)+9)=YEAR(E166),(12-MONTH(E166)+1)/12,1))))))))&gt;0,(((K166)*(IF(M166="",L166,IFERROR(IF(INDEX(Variablen!$I:$AT, MATCH(M166, Variablen!$A:$A, 0), MATCH((YEAR(D166)+9), Variablen!$I$3:$AT$3, 0))="",L166,INDEX(Variablen!$I:$AT, MATCH(M166, Variablen!$A:$A, 0), MATCH((YEAR(D166)+9), Variablen!$I$3:$AT$3, 0))),L166)))*(IF((YEAR(D166)+9)&lt;YEAR(E166),0,IF((YEAR(D166)+9)&gt;YEAR(E166),1,(12-MONTH(E166)+1)/12))) + (Q166)*(IF((YEAR(D166)+9)&lt;YEAR(E166),0,IF((YEAR(D166)+9)&gt;YEAR(E166),1,(12-MONTH(E166)+1)/12))))-((P166)*(IF((YEAR(D166)+9)&lt;YEAR(E166),0,IF((YEAR(D166)+9)&gt;YEAR(E166),1,(12-MONTH(E166)+1)/12))) + (R166)*(IF((YEAR(D166)+9)&lt;YEAR(E166),0,IF((YEAR(D166)+9)&gt;YEAR(E166),1,(12-MONTH(E166)+1)/12))))-(IF(OR(N166="",N166&lt;=0),0,(O166/N166)*(IF(OR(N166="",N166&lt;=0),0,IF((YEAR(D166)+9)&lt;YEAR(E166),0,IF((YEAR(D166)+9)&gt;=YEAR(E166)+N166,0,IF((YEAR(D166)+9)=YEAR(E166),(12-MONTH(E166)+1)/12,1))))))))*TaxRate,0))-IF(9=0,O166,0))</f>
        <v/>
      </c>
      <c r="AC166" s="29">
        <f>IF(A166="","",((K166)*(IF(M166="",L166,IFERROR(IF(INDEX(Variablen!$I:$AT, MATCH(M166, Variablen!$A:$A, 0), MATCH((YEAR(D166)+10), Variablen!$I$3:$AT$3, 0))="",L166,INDEX(Variablen!$I:$AT, MATCH(M166, Variablen!$A:$A, 0), MATCH((YEAR(D166)+10), Variablen!$I$3:$AT$3, 0))),L166)))*(IF((YEAR(D166)+10)&lt;YEAR(E166),0,IF((YEAR(D166)+10)&gt;YEAR(E166),1,(12-MONTH(E166)+1)/12))) + (Q166)*(IF((YEAR(D166)+10)&lt;YEAR(E166),0,IF((YEAR(D166)+10)&gt;YEAR(E166),1,(12-MONTH(E166)+1)/12))))-((P166)*(IF((YEAR(D166)+10)&lt;YEAR(E166),0,IF((YEAR(D166)+10)&gt;YEAR(E166),1,(12-MONTH(E166)+1)/12))) + (R166)*(IF((YEAR(D166)+10)&lt;YEAR(E166),0,IF((YEAR(D166)+10)&gt;YEAR(E166),1,(12-MONTH(E166)+1)/12))))-(IF((((K166)*(IF(M166="",L166,IFERROR(IF(INDEX(Variablen!$I:$AT, MATCH(M166, Variablen!$A:$A, 0), MATCH((YEAR(D166)+10), Variablen!$I$3:$AT$3, 0))="",L166,INDEX(Variablen!$I:$AT, MATCH(M166, Variablen!$A:$A, 0), MATCH((YEAR(D166)+10), Variablen!$I$3:$AT$3, 0))),L166)))*(IF((YEAR(D166)+10)&lt;YEAR(E166),0,IF((YEAR(D166)+10)&gt;YEAR(E166),1,(12-MONTH(E166)+1)/12))) + (Q166)*(IF((YEAR(D166)+10)&lt;YEAR(E166),0,IF((YEAR(D166)+10)&gt;YEAR(E166),1,(12-MONTH(E166)+1)/12))))-((P166)*(IF((YEAR(D166)+10)&lt;YEAR(E166),0,IF((YEAR(D166)+10)&gt;YEAR(E166),1,(12-MONTH(E166)+1)/12))) + (R166)*(IF((YEAR(D166)+10)&lt;YEAR(E166),0,IF((YEAR(D166)+10)&gt;YEAR(E166),1,(12-MONTH(E166)+1)/12))))-(IF(OR(N166="",N166&lt;=0),0,(O166/N166)*(IF(OR(N166="",N166&lt;=0),0,IF((YEAR(D166)+10)&lt;YEAR(E166),0,IF((YEAR(D166)+10)&gt;=YEAR(E166)+N166,0,IF((YEAR(D166)+10)=YEAR(E166),(12-MONTH(E166)+1)/12,1))))))))&gt;0,(((K166)*(IF(M166="",L166,IFERROR(IF(INDEX(Variablen!$I:$AT, MATCH(M166, Variablen!$A:$A, 0), MATCH((YEAR(D166)+10), Variablen!$I$3:$AT$3, 0))="",L166,INDEX(Variablen!$I:$AT, MATCH(M166, Variablen!$A:$A, 0), MATCH((YEAR(D166)+10), Variablen!$I$3:$AT$3, 0))),L166)))*(IF((YEAR(D166)+10)&lt;YEAR(E166),0,IF((YEAR(D166)+10)&gt;YEAR(E166),1,(12-MONTH(E166)+1)/12))) + (Q166)*(IF((YEAR(D166)+10)&lt;YEAR(E166),0,IF((YEAR(D166)+10)&gt;YEAR(E166),1,(12-MONTH(E166)+1)/12))))-((P166)*(IF((YEAR(D166)+10)&lt;YEAR(E166),0,IF((YEAR(D166)+10)&gt;YEAR(E166),1,(12-MONTH(E166)+1)/12))) + (R166)*(IF((YEAR(D166)+10)&lt;YEAR(E166),0,IF((YEAR(D166)+10)&gt;YEAR(E166),1,(12-MONTH(E166)+1)/12))))-(IF(OR(N166="",N166&lt;=0),0,(O166/N166)*(IF(OR(N166="",N166&lt;=0),0,IF((YEAR(D166)+10)&lt;YEAR(E166),0,IF((YEAR(D166)+10)&gt;=YEAR(E166)+N166,0,IF((YEAR(D166)+10)=YEAR(E166),(12-MONTH(E166)+1)/12,1))))))))*TaxRate,0))-IF(10=0,O166,0))</f>
        <v/>
      </c>
      <c r="AD166" s="29">
        <f>IF(A166="","",((K166)*(IF(M166="",L166,IFERROR(IF(INDEX(Variablen!$I:$AT, MATCH(M166, Variablen!$A:$A, 0), MATCH((YEAR(D166)+11), Variablen!$I$3:$AT$3, 0))="",L166,INDEX(Variablen!$I:$AT, MATCH(M166, Variablen!$A:$A, 0), MATCH((YEAR(D166)+11), Variablen!$I$3:$AT$3, 0))),L166)))*(IF((YEAR(D166)+11)&lt;YEAR(E166),0,IF((YEAR(D166)+11)&gt;YEAR(E166),1,(12-MONTH(E166)+1)/12))) + (Q166)*(IF((YEAR(D166)+11)&lt;YEAR(E166),0,IF((YEAR(D166)+11)&gt;YEAR(E166),1,(12-MONTH(E166)+1)/12))))-((P166)*(IF((YEAR(D166)+11)&lt;YEAR(E166),0,IF((YEAR(D166)+11)&gt;YEAR(E166),1,(12-MONTH(E166)+1)/12))) + (R166)*(IF((YEAR(D166)+11)&lt;YEAR(E166),0,IF((YEAR(D166)+11)&gt;YEAR(E166),1,(12-MONTH(E166)+1)/12))))-(IF((((K166)*(IF(M166="",L166,IFERROR(IF(INDEX(Variablen!$I:$AT, MATCH(M166, Variablen!$A:$A, 0), MATCH((YEAR(D166)+11), Variablen!$I$3:$AT$3, 0))="",L166,INDEX(Variablen!$I:$AT, MATCH(M166, Variablen!$A:$A, 0), MATCH((YEAR(D166)+11), Variablen!$I$3:$AT$3, 0))),L166)))*(IF((YEAR(D166)+11)&lt;YEAR(E166),0,IF((YEAR(D166)+11)&gt;YEAR(E166),1,(12-MONTH(E166)+1)/12))) + (Q166)*(IF((YEAR(D166)+11)&lt;YEAR(E166),0,IF((YEAR(D166)+11)&gt;YEAR(E166),1,(12-MONTH(E166)+1)/12))))-((P166)*(IF((YEAR(D166)+11)&lt;YEAR(E166),0,IF((YEAR(D166)+11)&gt;YEAR(E166),1,(12-MONTH(E166)+1)/12))) + (R166)*(IF((YEAR(D166)+11)&lt;YEAR(E166),0,IF((YEAR(D166)+11)&gt;YEAR(E166),1,(12-MONTH(E166)+1)/12))))-(IF(OR(N166="",N166&lt;=0),0,(O166/N166)*(IF(OR(N166="",N166&lt;=0),0,IF((YEAR(D166)+11)&lt;YEAR(E166),0,IF((YEAR(D166)+11)&gt;=YEAR(E166)+N166,0,IF((YEAR(D166)+11)=YEAR(E166),(12-MONTH(E166)+1)/12,1))))))))&gt;0,(((K166)*(IF(M166="",L166,IFERROR(IF(INDEX(Variablen!$I:$AT, MATCH(M166, Variablen!$A:$A, 0), MATCH((YEAR(D166)+11), Variablen!$I$3:$AT$3, 0))="",L166,INDEX(Variablen!$I:$AT, MATCH(M166, Variablen!$A:$A, 0), MATCH((YEAR(D166)+11), Variablen!$I$3:$AT$3, 0))),L166)))*(IF((YEAR(D166)+11)&lt;YEAR(E166),0,IF((YEAR(D166)+11)&gt;YEAR(E166),1,(12-MONTH(E166)+1)/12))) + (Q166)*(IF((YEAR(D166)+11)&lt;YEAR(E166),0,IF((YEAR(D166)+11)&gt;YEAR(E166),1,(12-MONTH(E166)+1)/12))))-((P166)*(IF((YEAR(D166)+11)&lt;YEAR(E166),0,IF((YEAR(D166)+11)&gt;YEAR(E166),1,(12-MONTH(E166)+1)/12))) + (R166)*(IF((YEAR(D166)+11)&lt;YEAR(E166),0,IF((YEAR(D166)+11)&gt;YEAR(E166),1,(12-MONTH(E166)+1)/12))))-(IF(OR(N166="",N166&lt;=0),0,(O166/N166)*(IF(OR(N166="",N166&lt;=0),0,IF((YEAR(D166)+11)&lt;YEAR(E166),0,IF((YEAR(D166)+11)&gt;=YEAR(E166)+N166,0,IF((YEAR(D166)+11)=YEAR(E166),(12-MONTH(E166)+1)/12,1))))))))*TaxRate,0))-IF(11=0,O166,0))</f>
        <v/>
      </c>
      <c r="AE166" s="29">
        <f>IF(A166="","",((K166)*(IF(M166="",L166,IFERROR(IF(INDEX(Variablen!$I:$AT, MATCH(M166, Variablen!$A:$A, 0), MATCH((YEAR(D166)+12), Variablen!$I$3:$AT$3, 0))="",L166,INDEX(Variablen!$I:$AT, MATCH(M166, Variablen!$A:$A, 0), MATCH((YEAR(D166)+12), Variablen!$I$3:$AT$3, 0))),L166)))*(IF((YEAR(D166)+12)&lt;YEAR(E166),0,IF((YEAR(D166)+12)&gt;YEAR(E166),1,(12-MONTH(E166)+1)/12))) + (Q166)*(IF((YEAR(D166)+12)&lt;YEAR(E166),0,IF((YEAR(D166)+12)&gt;YEAR(E166),1,(12-MONTH(E166)+1)/12))))-((P166)*(IF((YEAR(D166)+12)&lt;YEAR(E166),0,IF((YEAR(D166)+12)&gt;YEAR(E166),1,(12-MONTH(E166)+1)/12))) + (R166)*(IF((YEAR(D166)+12)&lt;YEAR(E166),0,IF((YEAR(D166)+12)&gt;YEAR(E166),1,(12-MONTH(E166)+1)/12))))-(IF((((K166)*(IF(M166="",L166,IFERROR(IF(INDEX(Variablen!$I:$AT, MATCH(M166, Variablen!$A:$A, 0), MATCH((YEAR(D166)+12), Variablen!$I$3:$AT$3, 0))="",L166,INDEX(Variablen!$I:$AT, MATCH(M166, Variablen!$A:$A, 0), MATCH((YEAR(D166)+12), Variablen!$I$3:$AT$3, 0))),L166)))*(IF((YEAR(D166)+12)&lt;YEAR(E166),0,IF((YEAR(D166)+12)&gt;YEAR(E166),1,(12-MONTH(E166)+1)/12))) + (Q166)*(IF((YEAR(D166)+12)&lt;YEAR(E166),0,IF((YEAR(D166)+12)&gt;YEAR(E166),1,(12-MONTH(E166)+1)/12))))-((P166)*(IF((YEAR(D166)+12)&lt;YEAR(E166),0,IF((YEAR(D166)+12)&gt;YEAR(E166),1,(12-MONTH(E166)+1)/12))) + (R166)*(IF((YEAR(D166)+12)&lt;YEAR(E166),0,IF((YEAR(D166)+12)&gt;YEAR(E166),1,(12-MONTH(E166)+1)/12))))-(IF(OR(N166="",N166&lt;=0),0,(O166/N166)*(IF(OR(N166="",N166&lt;=0),0,IF((YEAR(D166)+12)&lt;YEAR(E166),0,IF((YEAR(D166)+12)&gt;=YEAR(E166)+N166,0,IF((YEAR(D166)+12)=YEAR(E166),(12-MONTH(E166)+1)/12,1))))))))&gt;0,(((K166)*(IF(M166="",L166,IFERROR(IF(INDEX(Variablen!$I:$AT, MATCH(M166, Variablen!$A:$A, 0), MATCH((YEAR(D166)+12), Variablen!$I$3:$AT$3, 0))="",L166,INDEX(Variablen!$I:$AT, MATCH(M166, Variablen!$A:$A, 0), MATCH((YEAR(D166)+12), Variablen!$I$3:$AT$3, 0))),L166)))*(IF((YEAR(D166)+12)&lt;YEAR(E166),0,IF((YEAR(D166)+12)&gt;YEAR(E166),1,(12-MONTH(E166)+1)/12))) + (Q166)*(IF((YEAR(D166)+12)&lt;YEAR(E166),0,IF((YEAR(D166)+12)&gt;YEAR(E166),1,(12-MONTH(E166)+1)/12))))-((P166)*(IF((YEAR(D166)+12)&lt;YEAR(E166),0,IF((YEAR(D166)+12)&gt;YEAR(E166),1,(12-MONTH(E166)+1)/12))) + (R166)*(IF((YEAR(D166)+12)&lt;YEAR(E166),0,IF((YEAR(D166)+12)&gt;YEAR(E166),1,(12-MONTH(E166)+1)/12))))-(IF(OR(N166="",N166&lt;=0),0,(O166/N166)*(IF(OR(N166="",N166&lt;=0),0,IF((YEAR(D166)+12)&lt;YEAR(E166),0,IF((YEAR(D166)+12)&gt;=YEAR(E166)+N166,0,IF((YEAR(D166)+12)=YEAR(E166),(12-MONTH(E166)+1)/12,1))))))))*TaxRate,0))-IF(12=0,O166,0))</f>
        <v/>
      </c>
      <c r="AF166" s="29">
        <f>IF(A166="","",((K166)*(IF(M166="",L166,IFERROR(IF(INDEX(Variablen!$I:$AT, MATCH(M166, Variablen!$A:$A, 0), MATCH((YEAR(D166)+13), Variablen!$I$3:$AT$3, 0))="",L166,INDEX(Variablen!$I:$AT, MATCH(M166, Variablen!$A:$A, 0), MATCH((YEAR(D166)+13), Variablen!$I$3:$AT$3, 0))),L166)))*(IF((YEAR(D166)+13)&lt;YEAR(E166),0,IF((YEAR(D166)+13)&gt;YEAR(E166),1,(12-MONTH(E166)+1)/12))) + (Q166)*(IF((YEAR(D166)+13)&lt;YEAR(E166),0,IF((YEAR(D166)+13)&gt;YEAR(E166),1,(12-MONTH(E166)+1)/12))))-((P166)*(IF((YEAR(D166)+13)&lt;YEAR(E166),0,IF((YEAR(D166)+13)&gt;YEAR(E166),1,(12-MONTH(E166)+1)/12))) + (R166)*(IF((YEAR(D166)+13)&lt;YEAR(E166),0,IF((YEAR(D166)+13)&gt;YEAR(E166),1,(12-MONTH(E166)+1)/12))))-(IF((((K166)*(IF(M166="",L166,IFERROR(IF(INDEX(Variablen!$I:$AT, MATCH(M166, Variablen!$A:$A, 0), MATCH((YEAR(D166)+13), Variablen!$I$3:$AT$3, 0))="",L166,INDEX(Variablen!$I:$AT, MATCH(M166, Variablen!$A:$A, 0), MATCH((YEAR(D166)+13), Variablen!$I$3:$AT$3, 0))),L166)))*(IF((YEAR(D166)+13)&lt;YEAR(E166),0,IF((YEAR(D166)+13)&gt;YEAR(E166),1,(12-MONTH(E166)+1)/12))) + (Q166)*(IF((YEAR(D166)+13)&lt;YEAR(E166),0,IF((YEAR(D166)+13)&gt;YEAR(E166),1,(12-MONTH(E166)+1)/12))))-((P166)*(IF((YEAR(D166)+13)&lt;YEAR(E166),0,IF((YEAR(D166)+13)&gt;YEAR(E166),1,(12-MONTH(E166)+1)/12))) + (R166)*(IF((YEAR(D166)+13)&lt;YEAR(E166),0,IF((YEAR(D166)+13)&gt;YEAR(E166),1,(12-MONTH(E166)+1)/12))))-(IF(OR(N166="",N166&lt;=0),0,(O166/N166)*(IF(OR(N166="",N166&lt;=0),0,IF((YEAR(D166)+13)&lt;YEAR(E166),0,IF((YEAR(D166)+13)&gt;=YEAR(E166)+N166,0,IF((YEAR(D166)+13)=YEAR(E166),(12-MONTH(E166)+1)/12,1))))))))&gt;0,(((K166)*(IF(M166="",L166,IFERROR(IF(INDEX(Variablen!$I:$AT, MATCH(M166, Variablen!$A:$A, 0), MATCH((YEAR(D166)+13), Variablen!$I$3:$AT$3, 0))="",L166,INDEX(Variablen!$I:$AT, MATCH(M166, Variablen!$A:$A, 0), MATCH((YEAR(D166)+13), Variablen!$I$3:$AT$3, 0))),L166)))*(IF((YEAR(D166)+13)&lt;YEAR(E166),0,IF((YEAR(D166)+13)&gt;YEAR(E166),1,(12-MONTH(E166)+1)/12))) + (Q166)*(IF((YEAR(D166)+13)&lt;YEAR(E166),0,IF((YEAR(D166)+13)&gt;YEAR(E166),1,(12-MONTH(E166)+1)/12))))-((P166)*(IF((YEAR(D166)+13)&lt;YEAR(E166),0,IF((YEAR(D166)+13)&gt;YEAR(E166),1,(12-MONTH(E166)+1)/12))) + (R166)*(IF((YEAR(D166)+13)&lt;YEAR(E166),0,IF((YEAR(D166)+13)&gt;YEAR(E166),1,(12-MONTH(E166)+1)/12))))-(IF(OR(N166="",N166&lt;=0),0,(O166/N166)*(IF(OR(N166="",N166&lt;=0),0,IF((YEAR(D166)+13)&lt;YEAR(E166),0,IF((YEAR(D166)+13)&gt;=YEAR(E166)+N166,0,IF((YEAR(D166)+13)=YEAR(E166),(12-MONTH(E166)+1)/12,1))))))))*TaxRate,0))-IF(13=0,O166,0))</f>
        <v/>
      </c>
      <c r="AG166" s="29">
        <f>IF(A166="","",((K166)*(IF(M166="",L166,IFERROR(IF(INDEX(Variablen!$I:$AT, MATCH(M166, Variablen!$A:$A, 0), MATCH((YEAR(D166)+14), Variablen!$I$3:$AT$3, 0))="",L166,INDEX(Variablen!$I:$AT, MATCH(M166, Variablen!$A:$A, 0), MATCH((YEAR(D166)+14), Variablen!$I$3:$AT$3, 0))),L166)))*(IF((YEAR(D166)+14)&lt;YEAR(E166),0,IF((YEAR(D166)+14)&gt;YEAR(E166),1,(12-MONTH(E166)+1)/12))) + (Q166)*(IF((YEAR(D166)+14)&lt;YEAR(E166),0,IF((YEAR(D166)+14)&gt;YEAR(E166),1,(12-MONTH(E166)+1)/12))))-((P166)*(IF((YEAR(D166)+14)&lt;YEAR(E166),0,IF((YEAR(D166)+14)&gt;YEAR(E166),1,(12-MONTH(E166)+1)/12))) + (R166)*(IF((YEAR(D166)+14)&lt;YEAR(E166),0,IF((YEAR(D166)+14)&gt;YEAR(E166),1,(12-MONTH(E166)+1)/12))))-(IF((((K166)*(IF(M166="",L166,IFERROR(IF(INDEX(Variablen!$I:$AT, MATCH(M166, Variablen!$A:$A, 0), MATCH((YEAR(D166)+14), Variablen!$I$3:$AT$3, 0))="",L166,INDEX(Variablen!$I:$AT, MATCH(M166, Variablen!$A:$A, 0), MATCH((YEAR(D166)+14), Variablen!$I$3:$AT$3, 0))),L166)))*(IF((YEAR(D166)+14)&lt;YEAR(E166),0,IF((YEAR(D166)+14)&gt;YEAR(E166),1,(12-MONTH(E166)+1)/12))) + (Q166)*(IF((YEAR(D166)+14)&lt;YEAR(E166),0,IF((YEAR(D166)+14)&gt;YEAR(E166),1,(12-MONTH(E166)+1)/12))))-((P166)*(IF((YEAR(D166)+14)&lt;YEAR(E166),0,IF((YEAR(D166)+14)&gt;YEAR(E166),1,(12-MONTH(E166)+1)/12))) + (R166)*(IF((YEAR(D166)+14)&lt;YEAR(E166),0,IF((YEAR(D166)+14)&gt;YEAR(E166),1,(12-MONTH(E166)+1)/12))))-(IF(OR(N166="",N166&lt;=0),0,(O166/N166)*(IF(OR(N166="",N166&lt;=0),0,IF((YEAR(D166)+14)&lt;YEAR(E166),0,IF((YEAR(D166)+14)&gt;=YEAR(E166)+N166,0,IF((YEAR(D166)+14)=YEAR(E166),(12-MONTH(E166)+1)/12,1))))))))&gt;0,(((K166)*(IF(M166="",L166,IFERROR(IF(INDEX(Variablen!$I:$AT, MATCH(M166, Variablen!$A:$A, 0), MATCH((YEAR(D166)+14), Variablen!$I$3:$AT$3, 0))="",L166,INDEX(Variablen!$I:$AT, MATCH(M166, Variablen!$A:$A, 0), MATCH((YEAR(D166)+14), Variablen!$I$3:$AT$3, 0))),L166)))*(IF((YEAR(D166)+14)&lt;YEAR(E166),0,IF((YEAR(D166)+14)&gt;YEAR(E166),1,(12-MONTH(E166)+1)/12))) + (Q166)*(IF((YEAR(D166)+14)&lt;YEAR(E166),0,IF((YEAR(D166)+14)&gt;YEAR(E166),1,(12-MONTH(E166)+1)/12))))-((P166)*(IF((YEAR(D166)+14)&lt;YEAR(E166),0,IF((YEAR(D166)+14)&gt;YEAR(E166),1,(12-MONTH(E166)+1)/12))) + (R166)*(IF((YEAR(D166)+14)&lt;YEAR(E166),0,IF((YEAR(D166)+14)&gt;YEAR(E166),1,(12-MONTH(E166)+1)/12))))-(IF(OR(N166="",N166&lt;=0),0,(O166/N166)*(IF(OR(N166="",N166&lt;=0),0,IF((YEAR(D166)+14)&lt;YEAR(E166),0,IF((YEAR(D166)+14)&gt;=YEAR(E166)+N166,0,IF((YEAR(D166)+14)=YEAR(E166),(12-MONTH(E166)+1)/12,1))))))))*TaxRate,0))-IF(14=0,O166,0))</f>
        <v/>
      </c>
      <c r="AH166" s="29">
        <f>IF(A166="","",((K166)*(IF(M166="",L166,IFERROR(IF(INDEX(Variablen!$I:$AT, MATCH(M166, Variablen!$A:$A, 0), MATCH((YEAR(D166)+15), Variablen!$I$3:$AT$3, 0))="",L166,INDEX(Variablen!$I:$AT, MATCH(M166, Variablen!$A:$A, 0), MATCH((YEAR(D166)+15), Variablen!$I$3:$AT$3, 0))),L166)))*(IF((YEAR(D166)+15)&lt;YEAR(E166),0,IF((YEAR(D166)+15)&gt;YEAR(E166),1,(12-MONTH(E166)+1)/12))) + (Q166)*(IF((YEAR(D166)+15)&lt;YEAR(E166),0,IF((YEAR(D166)+15)&gt;YEAR(E166),1,(12-MONTH(E166)+1)/12))))-((P166)*(IF((YEAR(D166)+15)&lt;YEAR(E166),0,IF((YEAR(D166)+15)&gt;YEAR(E166),1,(12-MONTH(E166)+1)/12))) + (R166)*(IF((YEAR(D166)+15)&lt;YEAR(E166),0,IF((YEAR(D166)+15)&gt;YEAR(E166),1,(12-MONTH(E166)+1)/12))))-(IF((((K166)*(IF(M166="",L166,IFERROR(IF(INDEX(Variablen!$I:$AT, MATCH(M166, Variablen!$A:$A, 0), MATCH((YEAR(D166)+15), Variablen!$I$3:$AT$3, 0))="",L166,INDEX(Variablen!$I:$AT, MATCH(M166, Variablen!$A:$A, 0), MATCH((YEAR(D166)+15), Variablen!$I$3:$AT$3, 0))),L166)))*(IF((YEAR(D166)+15)&lt;YEAR(E166),0,IF((YEAR(D166)+15)&gt;YEAR(E166),1,(12-MONTH(E166)+1)/12))) + (Q166)*(IF((YEAR(D166)+15)&lt;YEAR(E166),0,IF((YEAR(D166)+15)&gt;YEAR(E166),1,(12-MONTH(E166)+1)/12))))-((P166)*(IF((YEAR(D166)+15)&lt;YEAR(E166),0,IF((YEAR(D166)+15)&gt;YEAR(E166),1,(12-MONTH(E166)+1)/12))) + (R166)*(IF((YEAR(D166)+15)&lt;YEAR(E166),0,IF((YEAR(D166)+15)&gt;YEAR(E166),1,(12-MONTH(E166)+1)/12))))-(IF(OR(N166="",N166&lt;=0),0,(O166/N166)*(IF(OR(N166="",N166&lt;=0),0,IF((YEAR(D166)+15)&lt;YEAR(E166),0,IF((YEAR(D166)+15)&gt;=YEAR(E166)+N166,0,IF((YEAR(D166)+15)=YEAR(E166),(12-MONTH(E166)+1)/12,1))))))))&gt;0,(((K166)*(IF(M166="",L166,IFERROR(IF(INDEX(Variablen!$I:$AT, MATCH(M166, Variablen!$A:$A, 0), MATCH((YEAR(D166)+15), Variablen!$I$3:$AT$3, 0))="",L166,INDEX(Variablen!$I:$AT, MATCH(M166, Variablen!$A:$A, 0), MATCH((YEAR(D166)+15), Variablen!$I$3:$AT$3, 0))),L166)))*(IF((YEAR(D166)+15)&lt;YEAR(E166),0,IF((YEAR(D166)+15)&gt;YEAR(E166),1,(12-MONTH(E166)+1)/12))) + (Q166)*(IF((YEAR(D166)+15)&lt;YEAR(E166),0,IF((YEAR(D166)+15)&gt;YEAR(E166),1,(12-MONTH(E166)+1)/12))))-((P166)*(IF((YEAR(D166)+15)&lt;YEAR(E166),0,IF((YEAR(D166)+15)&gt;YEAR(E166),1,(12-MONTH(E166)+1)/12))) + (R166)*(IF((YEAR(D166)+15)&lt;YEAR(E166),0,IF((YEAR(D166)+15)&gt;YEAR(E166),1,(12-MONTH(E166)+1)/12))))-(IF(OR(N166="",N166&lt;=0),0,(O166/N166)*(IF(OR(N166="",N166&lt;=0),0,IF((YEAR(D166)+15)&lt;YEAR(E166),0,IF((YEAR(D166)+15)&gt;=YEAR(E166)+N166,0,IF((YEAR(D166)+15)=YEAR(E166),(12-MONTH(E166)+1)/12,1))))))))*TaxRate,0))-IF(15=0,O166,0))</f>
        <v/>
      </c>
      <c r="AI166" s="29">
        <f>IF(A166="","",((K166)*(IF(M166="",L166,IFERROR(IF(INDEX(Variablen!$I:$AT, MATCH(M166, Variablen!$A:$A, 0), MATCH((YEAR(D166)+16), Variablen!$I$3:$AT$3, 0))="",L166,INDEX(Variablen!$I:$AT, MATCH(M166, Variablen!$A:$A, 0), MATCH((YEAR(D166)+16), Variablen!$I$3:$AT$3, 0))),L166)))*(IF((YEAR(D166)+16)&lt;YEAR(E166),0,IF((YEAR(D166)+16)&gt;YEAR(E166),1,(12-MONTH(E166)+1)/12))) + (Q166)*(IF((YEAR(D166)+16)&lt;YEAR(E166),0,IF((YEAR(D166)+16)&gt;YEAR(E166),1,(12-MONTH(E166)+1)/12))))-((P166)*(IF((YEAR(D166)+16)&lt;YEAR(E166),0,IF((YEAR(D166)+16)&gt;YEAR(E166),1,(12-MONTH(E166)+1)/12))) + (R166)*(IF((YEAR(D166)+16)&lt;YEAR(E166),0,IF((YEAR(D166)+16)&gt;YEAR(E166),1,(12-MONTH(E166)+1)/12))))-(IF((((K166)*(IF(M166="",L166,IFERROR(IF(INDEX(Variablen!$I:$AT, MATCH(M166, Variablen!$A:$A, 0), MATCH((YEAR(D166)+16), Variablen!$I$3:$AT$3, 0))="",L166,INDEX(Variablen!$I:$AT, MATCH(M166, Variablen!$A:$A, 0), MATCH((YEAR(D166)+16), Variablen!$I$3:$AT$3, 0))),L166)))*(IF((YEAR(D166)+16)&lt;YEAR(E166),0,IF((YEAR(D166)+16)&gt;YEAR(E166),1,(12-MONTH(E166)+1)/12))) + (Q166)*(IF((YEAR(D166)+16)&lt;YEAR(E166),0,IF((YEAR(D166)+16)&gt;YEAR(E166),1,(12-MONTH(E166)+1)/12))))-((P166)*(IF((YEAR(D166)+16)&lt;YEAR(E166),0,IF((YEAR(D166)+16)&gt;YEAR(E166),1,(12-MONTH(E166)+1)/12))) + (R166)*(IF((YEAR(D166)+16)&lt;YEAR(E166),0,IF((YEAR(D166)+16)&gt;YEAR(E166),1,(12-MONTH(E166)+1)/12))))-(IF(OR(N166="",N166&lt;=0),0,(O166/N166)*(IF(OR(N166="",N166&lt;=0),0,IF((YEAR(D166)+16)&lt;YEAR(E166),0,IF((YEAR(D166)+16)&gt;=YEAR(E166)+N166,0,IF((YEAR(D166)+16)=YEAR(E166),(12-MONTH(E166)+1)/12,1))))))))&gt;0,(((K166)*(IF(M166="",L166,IFERROR(IF(INDEX(Variablen!$I:$AT, MATCH(M166, Variablen!$A:$A, 0), MATCH((YEAR(D166)+16), Variablen!$I$3:$AT$3, 0))="",L166,INDEX(Variablen!$I:$AT, MATCH(M166, Variablen!$A:$A, 0), MATCH((YEAR(D166)+16), Variablen!$I$3:$AT$3, 0))),L166)))*(IF((YEAR(D166)+16)&lt;YEAR(E166),0,IF((YEAR(D166)+16)&gt;YEAR(E166),1,(12-MONTH(E166)+1)/12))) + (Q166)*(IF((YEAR(D166)+16)&lt;YEAR(E166),0,IF((YEAR(D166)+16)&gt;YEAR(E166),1,(12-MONTH(E166)+1)/12))))-((P166)*(IF((YEAR(D166)+16)&lt;YEAR(E166),0,IF((YEAR(D166)+16)&gt;YEAR(E166),1,(12-MONTH(E166)+1)/12))) + (R166)*(IF((YEAR(D166)+16)&lt;YEAR(E166),0,IF((YEAR(D166)+16)&gt;YEAR(E166),1,(12-MONTH(E166)+1)/12))))-(IF(OR(N166="",N166&lt;=0),0,(O166/N166)*(IF(OR(N166="",N166&lt;=0),0,IF((YEAR(D166)+16)&lt;YEAR(E166),0,IF((YEAR(D166)+16)&gt;=YEAR(E166)+N166,0,IF((YEAR(D166)+16)=YEAR(E166),(12-MONTH(E166)+1)/12,1))))))))*TaxRate,0))-IF(16=0,O166,0))</f>
        <v/>
      </c>
      <c r="AJ166" s="29">
        <f>IF(A166="","",((K166)*(IF(M166="",L166,IFERROR(IF(INDEX(Variablen!$I:$AT, MATCH(M166, Variablen!$A:$A, 0), MATCH((YEAR(D166)+17), Variablen!$I$3:$AT$3, 0))="",L166,INDEX(Variablen!$I:$AT, MATCH(M166, Variablen!$A:$A, 0), MATCH((YEAR(D166)+17), Variablen!$I$3:$AT$3, 0))),L166)))*(IF((YEAR(D166)+17)&lt;YEAR(E166),0,IF((YEAR(D166)+17)&gt;YEAR(E166),1,(12-MONTH(E166)+1)/12))) + (Q166)*(IF((YEAR(D166)+17)&lt;YEAR(E166),0,IF((YEAR(D166)+17)&gt;YEAR(E166),1,(12-MONTH(E166)+1)/12))))-((P166)*(IF((YEAR(D166)+17)&lt;YEAR(E166),0,IF((YEAR(D166)+17)&gt;YEAR(E166),1,(12-MONTH(E166)+1)/12))) + (R166)*(IF((YEAR(D166)+17)&lt;YEAR(E166),0,IF((YEAR(D166)+17)&gt;YEAR(E166),1,(12-MONTH(E166)+1)/12))))-(IF((((K166)*(IF(M166="",L166,IFERROR(IF(INDEX(Variablen!$I:$AT, MATCH(M166, Variablen!$A:$A, 0), MATCH((YEAR(D166)+17), Variablen!$I$3:$AT$3, 0))="",L166,INDEX(Variablen!$I:$AT, MATCH(M166, Variablen!$A:$A, 0), MATCH((YEAR(D166)+17), Variablen!$I$3:$AT$3, 0))),L166)))*(IF((YEAR(D166)+17)&lt;YEAR(E166),0,IF((YEAR(D166)+17)&gt;YEAR(E166),1,(12-MONTH(E166)+1)/12))) + (Q166)*(IF((YEAR(D166)+17)&lt;YEAR(E166),0,IF((YEAR(D166)+17)&gt;YEAR(E166),1,(12-MONTH(E166)+1)/12))))-((P166)*(IF((YEAR(D166)+17)&lt;YEAR(E166),0,IF((YEAR(D166)+17)&gt;YEAR(E166),1,(12-MONTH(E166)+1)/12))) + (R166)*(IF((YEAR(D166)+17)&lt;YEAR(E166),0,IF((YEAR(D166)+17)&gt;YEAR(E166),1,(12-MONTH(E166)+1)/12))))-(IF(OR(N166="",N166&lt;=0),0,(O166/N166)*(IF(OR(N166="",N166&lt;=0),0,IF((YEAR(D166)+17)&lt;YEAR(E166),0,IF((YEAR(D166)+17)&gt;=YEAR(E166)+N166,0,IF((YEAR(D166)+17)=YEAR(E166),(12-MONTH(E166)+1)/12,1))))))))&gt;0,(((K166)*(IF(M166="",L166,IFERROR(IF(INDEX(Variablen!$I:$AT, MATCH(M166, Variablen!$A:$A, 0), MATCH((YEAR(D166)+17), Variablen!$I$3:$AT$3, 0))="",L166,INDEX(Variablen!$I:$AT, MATCH(M166, Variablen!$A:$A, 0), MATCH((YEAR(D166)+17), Variablen!$I$3:$AT$3, 0))),L166)))*(IF((YEAR(D166)+17)&lt;YEAR(E166),0,IF((YEAR(D166)+17)&gt;YEAR(E166),1,(12-MONTH(E166)+1)/12))) + (Q166)*(IF((YEAR(D166)+17)&lt;YEAR(E166),0,IF((YEAR(D166)+17)&gt;YEAR(E166),1,(12-MONTH(E166)+1)/12))))-((P166)*(IF((YEAR(D166)+17)&lt;YEAR(E166),0,IF((YEAR(D166)+17)&gt;YEAR(E166),1,(12-MONTH(E166)+1)/12))) + (R166)*(IF((YEAR(D166)+17)&lt;YEAR(E166),0,IF((YEAR(D166)+17)&gt;YEAR(E166),1,(12-MONTH(E166)+1)/12))))-(IF(OR(N166="",N166&lt;=0),0,(O166/N166)*(IF(OR(N166="",N166&lt;=0),0,IF((YEAR(D166)+17)&lt;YEAR(E166),0,IF((YEAR(D166)+17)&gt;=YEAR(E166)+N166,0,IF((YEAR(D166)+17)=YEAR(E166),(12-MONTH(E166)+1)/12,1))))))))*TaxRate,0))-IF(17=0,O166,0))</f>
        <v/>
      </c>
      <c r="AK166" s="29">
        <f>IF(A166="","",((K166)*(IF(M166="",L166,IFERROR(IF(INDEX(Variablen!$I:$AT, MATCH(M166, Variablen!$A:$A, 0), MATCH((YEAR(D166)+18), Variablen!$I$3:$AT$3, 0))="",L166,INDEX(Variablen!$I:$AT, MATCH(M166, Variablen!$A:$A, 0), MATCH((YEAR(D166)+18), Variablen!$I$3:$AT$3, 0))),L166)))*(IF((YEAR(D166)+18)&lt;YEAR(E166),0,IF((YEAR(D166)+18)&gt;YEAR(E166),1,(12-MONTH(E166)+1)/12))) + (Q166)*(IF((YEAR(D166)+18)&lt;YEAR(E166),0,IF((YEAR(D166)+18)&gt;YEAR(E166),1,(12-MONTH(E166)+1)/12))))-((P166)*(IF((YEAR(D166)+18)&lt;YEAR(E166),0,IF((YEAR(D166)+18)&gt;YEAR(E166),1,(12-MONTH(E166)+1)/12))) + (R166)*(IF((YEAR(D166)+18)&lt;YEAR(E166),0,IF((YEAR(D166)+18)&gt;YEAR(E166),1,(12-MONTH(E166)+1)/12))))-(IF((((K166)*(IF(M166="",L166,IFERROR(IF(INDEX(Variablen!$I:$AT, MATCH(M166, Variablen!$A:$A, 0), MATCH((YEAR(D166)+18), Variablen!$I$3:$AT$3, 0))="",L166,INDEX(Variablen!$I:$AT, MATCH(M166, Variablen!$A:$A, 0), MATCH((YEAR(D166)+18), Variablen!$I$3:$AT$3, 0))),L166)))*(IF((YEAR(D166)+18)&lt;YEAR(E166),0,IF((YEAR(D166)+18)&gt;YEAR(E166),1,(12-MONTH(E166)+1)/12))) + (Q166)*(IF((YEAR(D166)+18)&lt;YEAR(E166),0,IF((YEAR(D166)+18)&gt;YEAR(E166),1,(12-MONTH(E166)+1)/12))))-((P166)*(IF((YEAR(D166)+18)&lt;YEAR(E166),0,IF((YEAR(D166)+18)&gt;YEAR(E166),1,(12-MONTH(E166)+1)/12))) + (R166)*(IF((YEAR(D166)+18)&lt;YEAR(E166),0,IF((YEAR(D166)+18)&gt;YEAR(E166),1,(12-MONTH(E166)+1)/12))))-(IF(OR(N166="",N166&lt;=0),0,(O166/N166)*(IF(OR(N166="",N166&lt;=0),0,IF((YEAR(D166)+18)&lt;YEAR(E166),0,IF((YEAR(D166)+18)&gt;=YEAR(E166)+N166,0,IF((YEAR(D166)+18)=YEAR(E166),(12-MONTH(E166)+1)/12,1))))))))&gt;0,(((K166)*(IF(M166="",L166,IFERROR(IF(INDEX(Variablen!$I:$AT, MATCH(M166, Variablen!$A:$A, 0), MATCH((YEAR(D166)+18), Variablen!$I$3:$AT$3, 0))="",L166,INDEX(Variablen!$I:$AT, MATCH(M166, Variablen!$A:$A, 0), MATCH((YEAR(D166)+18), Variablen!$I$3:$AT$3, 0))),L166)))*(IF((YEAR(D166)+18)&lt;YEAR(E166),0,IF((YEAR(D166)+18)&gt;YEAR(E166),1,(12-MONTH(E166)+1)/12))) + (Q166)*(IF((YEAR(D166)+18)&lt;YEAR(E166),0,IF((YEAR(D166)+18)&gt;YEAR(E166),1,(12-MONTH(E166)+1)/12))))-((P166)*(IF((YEAR(D166)+18)&lt;YEAR(E166),0,IF((YEAR(D166)+18)&gt;YEAR(E166),1,(12-MONTH(E166)+1)/12))) + (R166)*(IF((YEAR(D166)+18)&lt;YEAR(E166),0,IF((YEAR(D166)+18)&gt;YEAR(E166),1,(12-MONTH(E166)+1)/12))))-(IF(OR(N166="",N166&lt;=0),0,(O166/N166)*(IF(OR(N166="",N166&lt;=0),0,IF((YEAR(D166)+18)&lt;YEAR(E166),0,IF((YEAR(D166)+18)&gt;=YEAR(E166)+N166,0,IF((YEAR(D166)+18)=YEAR(E166),(12-MONTH(E166)+1)/12,1))))))))*TaxRate,0))-IF(18=0,O166,0))</f>
        <v/>
      </c>
      <c r="AL166" s="29">
        <f>IF(A166="","",((K166)*(IF(M166="",L166,IFERROR(IF(INDEX(Variablen!$I:$AT, MATCH(M166, Variablen!$A:$A, 0), MATCH((YEAR(D166)+19), Variablen!$I$3:$AT$3, 0))="",L166,INDEX(Variablen!$I:$AT, MATCH(M166, Variablen!$A:$A, 0), MATCH((YEAR(D166)+19), Variablen!$I$3:$AT$3, 0))),L166)))*(IF((YEAR(D166)+19)&lt;YEAR(E166),0,IF((YEAR(D166)+19)&gt;YEAR(E166),1,(12-MONTH(E166)+1)/12))) + (Q166)*(IF((YEAR(D166)+19)&lt;YEAR(E166),0,IF((YEAR(D166)+19)&gt;YEAR(E166),1,(12-MONTH(E166)+1)/12))))-((P166)*(IF((YEAR(D166)+19)&lt;YEAR(E166),0,IF((YEAR(D166)+19)&gt;YEAR(E166),1,(12-MONTH(E166)+1)/12))) + (R166)*(IF((YEAR(D166)+19)&lt;YEAR(E166),0,IF((YEAR(D166)+19)&gt;YEAR(E166),1,(12-MONTH(E166)+1)/12))))-(IF((((K166)*(IF(M166="",L166,IFERROR(IF(INDEX(Variablen!$I:$AT, MATCH(M166, Variablen!$A:$A, 0), MATCH((YEAR(D166)+19), Variablen!$I$3:$AT$3, 0))="",L166,INDEX(Variablen!$I:$AT, MATCH(M166, Variablen!$A:$A, 0), MATCH((YEAR(D166)+19), Variablen!$I$3:$AT$3, 0))),L166)))*(IF((YEAR(D166)+19)&lt;YEAR(E166),0,IF((YEAR(D166)+19)&gt;YEAR(E166),1,(12-MONTH(E166)+1)/12))) + (Q166)*(IF((YEAR(D166)+19)&lt;YEAR(E166),0,IF((YEAR(D166)+19)&gt;YEAR(E166),1,(12-MONTH(E166)+1)/12))))-((P166)*(IF((YEAR(D166)+19)&lt;YEAR(E166),0,IF((YEAR(D166)+19)&gt;YEAR(E166),1,(12-MONTH(E166)+1)/12))) + (R166)*(IF((YEAR(D166)+19)&lt;YEAR(E166),0,IF((YEAR(D166)+19)&gt;YEAR(E166),1,(12-MONTH(E166)+1)/12))))-(IF(OR(N166="",N166&lt;=0),0,(O166/N166)*(IF(OR(N166="",N166&lt;=0),0,IF((YEAR(D166)+19)&lt;YEAR(E166),0,IF((YEAR(D166)+19)&gt;=YEAR(E166)+N166,0,IF((YEAR(D166)+19)=YEAR(E166),(12-MONTH(E166)+1)/12,1))))))))&gt;0,(((K166)*(IF(M166="",L166,IFERROR(IF(INDEX(Variablen!$I:$AT, MATCH(M166, Variablen!$A:$A, 0), MATCH((YEAR(D166)+19), Variablen!$I$3:$AT$3, 0))="",L166,INDEX(Variablen!$I:$AT, MATCH(M166, Variablen!$A:$A, 0), MATCH((YEAR(D166)+19), Variablen!$I$3:$AT$3, 0))),L166)))*(IF((YEAR(D166)+19)&lt;YEAR(E166),0,IF((YEAR(D166)+19)&gt;YEAR(E166),1,(12-MONTH(E166)+1)/12))) + (Q166)*(IF((YEAR(D166)+19)&lt;YEAR(E166),0,IF((YEAR(D166)+19)&gt;YEAR(E166),1,(12-MONTH(E166)+1)/12))))-((P166)*(IF((YEAR(D166)+19)&lt;YEAR(E166),0,IF((YEAR(D166)+19)&gt;YEAR(E166),1,(12-MONTH(E166)+1)/12))) + (R166)*(IF((YEAR(D166)+19)&lt;YEAR(E166),0,IF((YEAR(D166)+19)&gt;YEAR(E166),1,(12-MONTH(E166)+1)/12))))-(IF(OR(N166="",N166&lt;=0),0,(O166/N166)*(IF(OR(N166="",N166&lt;=0),0,IF((YEAR(D166)+19)&lt;YEAR(E166),0,IF((YEAR(D166)+19)&gt;=YEAR(E166)+N166,0,IF((YEAR(D166)+19)=YEAR(E166),(12-MONTH(E166)+1)/12,1))))))))*TaxRate,0))-IF(19=0,O166,0))</f>
        <v/>
      </c>
      <c r="AM166" s="29">
        <f>IF(A166="","",((K166)*(IF(M166="",L166,IFERROR(IF(INDEX(Variablen!$I:$AT, MATCH(M166, Variablen!$A:$A, 0), MATCH((YEAR(D166)+20), Variablen!$I$3:$AT$3, 0))="",L166,INDEX(Variablen!$I:$AT, MATCH(M166, Variablen!$A:$A, 0), MATCH((YEAR(D166)+20), Variablen!$I$3:$AT$3, 0))),L166)))*(IF((YEAR(D166)+20)&lt;YEAR(E166),0,IF((YEAR(D166)+20)&gt;YEAR(E166),1,(12-MONTH(E166)+1)/12))) + (Q166)*(IF((YEAR(D166)+20)&lt;YEAR(E166),0,IF((YEAR(D166)+20)&gt;YEAR(E166),1,(12-MONTH(E166)+1)/12))))-((P166)*(IF((YEAR(D166)+20)&lt;YEAR(E166),0,IF((YEAR(D166)+20)&gt;YEAR(E166),1,(12-MONTH(E166)+1)/12))) + (R166)*(IF((YEAR(D166)+20)&lt;YEAR(E166),0,IF((YEAR(D166)+20)&gt;YEAR(E166),1,(12-MONTH(E166)+1)/12))))-(IF((((K166)*(IF(M166="",L166,IFERROR(IF(INDEX(Variablen!$I:$AT, MATCH(M166, Variablen!$A:$A, 0), MATCH((YEAR(D166)+20), Variablen!$I$3:$AT$3, 0))="",L166,INDEX(Variablen!$I:$AT, MATCH(M166, Variablen!$A:$A, 0), MATCH((YEAR(D166)+20), Variablen!$I$3:$AT$3, 0))),L166)))*(IF((YEAR(D166)+20)&lt;YEAR(E166),0,IF((YEAR(D166)+20)&gt;YEAR(E166),1,(12-MONTH(E166)+1)/12))) + (Q166)*(IF((YEAR(D166)+20)&lt;YEAR(E166),0,IF((YEAR(D166)+20)&gt;YEAR(E166),1,(12-MONTH(E166)+1)/12))))-((P166)*(IF((YEAR(D166)+20)&lt;YEAR(E166),0,IF((YEAR(D166)+20)&gt;YEAR(E166),1,(12-MONTH(E166)+1)/12))) + (R166)*(IF((YEAR(D166)+20)&lt;YEAR(E166),0,IF((YEAR(D166)+20)&gt;YEAR(E166),1,(12-MONTH(E166)+1)/12))))-(IF(OR(N166="",N166&lt;=0),0,(O166/N166)*(IF(OR(N166="",N166&lt;=0),0,IF((YEAR(D166)+20)&lt;YEAR(E166),0,IF((YEAR(D166)+20)&gt;=YEAR(E166)+N166,0,IF((YEAR(D166)+20)=YEAR(E166),(12-MONTH(E166)+1)/12,1))))))))&gt;0,(((K166)*(IF(M166="",L166,IFERROR(IF(INDEX(Variablen!$I:$AT, MATCH(M166, Variablen!$A:$A, 0), MATCH((YEAR(D166)+20), Variablen!$I$3:$AT$3, 0))="",L166,INDEX(Variablen!$I:$AT, MATCH(M166, Variablen!$A:$A, 0), MATCH((YEAR(D166)+20), Variablen!$I$3:$AT$3, 0))),L166)))*(IF((YEAR(D166)+20)&lt;YEAR(E166),0,IF((YEAR(D166)+20)&gt;YEAR(E166),1,(12-MONTH(E166)+1)/12))) + (Q166)*(IF((YEAR(D166)+20)&lt;YEAR(E166),0,IF((YEAR(D166)+20)&gt;YEAR(E166),1,(12-MONTH(E166)+1)/12))))-((P166)*(IF((YEAR(D166)+20)&lt;YEAR(E166),0,IF((YEAR(D166)+20)&gt;YEAR(E166),1,(12-MONTH(E166)+1)/12))) + (R166)*(IF((YEAR(D166)+20)&lt;YEAR(E166),0,IF((YEAR(D166)+20)&gt;YEAR(E166),1,(12-MONTH(E166)+1)/12))))-(IF(OR(N166="",N166&lt;=0),0,(O166/N166)*(IF(OR(N166="",N166&lt;=0),0,IF((YEAR(D166)+20)&lt;YEAR(E166),0,IF((YEAR(D166)+20)&gt;=YEAR(E166)+N166,0,IF((YEAR(D166)+20)=YEAR(E166),(12-MONTH(E166)+1)/12,1))))))))*TaxRate,0))-IF(20=0,O166,0))</f>
        <v/>
      </c>
      <c r="AN166" s="29">
        <f>IF(A166="","",S166)</f>
        <v/>
      </c>
      <c r="AO166" s="29">
        <f>IF(A166="","",AN166+T166)</f>
        <v/>
      </c>
      <c r="AP166" s="29">
        <f>IF(A166="","",AO166+U166)</f>
        <v/>
      </c>
      <c r="AQ166" s="29">
        <f>IF(A166="","",AP166+V166)</f>
        <v/>
      </c>
      <c r="AR166" s="29">
        <f>IF(A166="","",AQ166+W166)</f>
        <v/>
      </c>
      <c r="AS166" s="29">
        <f>IF(A166="","",AR166+X166)</f>
        <v/>
      </c>
      <c r="AT166" s="29">
        <f>IF(A166="","",AS166+Y166)</f>
        <v/>
      </c>
      <c r="AU166" s="29">
        <f>IF(A166="","",AT166+Z166)</f>
        <v/>
      </c>
      <c r="AV166" s="29">
        <f>IF(A166="","",AU166+AA166)</f>
        <v/>
      </c>
      <c r="AW166" s="29">
        <f>IF(A166="","",AV166+AB166)</f>
        <v/>
      </c>
      <c r="AX166" s="29">
        <f>IF(A166="","",AW166+AC166)</f>
        <v/>
      </c>
      <c r="AY166" s="29">
        <f>IF(A166="","",AX166+AD166)</f>
        <v/>
      </c>
      <c r="AZ166" s="29">
        <f>IF(A166="","",AY166+AE166)</f>
        <v/>
      </c>
      <c r="BA166" s="29">
        <f>IF(A166="","",AZ166+AF166)</f>
        <v/>
      </c>
      <c r="BB166" s="29">
        <f>IF(A166="","",BA166+AG166)</f>
        <v/>
      </c>
      <c r="BC166" s="29">
        <f>IF(A166="","",BB166+AH166)</f>
        <v/>
      </c>
      <c r="BD166" s="29">
        <f>IF(A166="","",BC166+AI166)</f>
        <v/>
      </c>
      <c r="BE166" s="29">
        <f>IF(A166="","",BD166+AJ166)</f>
        <v/>
      </c>
      <c r="BF166" s="29">
        <f>IF(A166="","",BE166+AK166)</f>
        <v/>
      </c>
      <c r="BG166" s="29">
        <f>IF(A166="","",BF166+AL166)</f>
        <v/>
      </c>
      <c r="BH166" s="29">
        <f>IF(A166="","",BG166+AM166)</f>
        <v/>
      </c>
      <c r="BI166" s="36">
        <f>IF(A166="","",(K166)*(IF((YEAR(D166)+0)&lt;YEAR(E166),0,IF((YEAR(D166)+0)&gt;YEAR(E166),1,(12-MONTH(E166)+1)/12)))*(1/(1+DiscountRate)^0))</f>
        <v/>
      </c>
      <c r="BJ166" s="36">
        <f>IF(A166="","",(K166)*(IF((YEAR(D166)+1)&lt;YEAR(E166),0,IF((YEAR(D166)+1)&gt;YEAR(E166),1,(12-MONTH(E166)+1)/12)))*(1/(1+DiscountRate)^1))</f>
        <v/>
      </c>
      <c r="BK166" s="36">
        <f>IF(A166="","",(K166)*(IF((YEAR(D166)+2)&lt;YEAR(E166),0,IF((YEAR(D166)+2)&gt;YEAR(E166),1,(12-MONTH(E166)+1)/12)))*(1/(1+DiscountRate)^2))</f>
        <v/>
      </c>
      <c r="BL166" s="36">
        <f>IF(A166="","",(K166)*(IF((YEAR(D166)+3)&lt;YEAR(E166),0,IF((YEAR(D166)+3)&gt;YEAR(E166),1,(12-MONTH(E166)+1)/12)))*(1/(1+DiscountRate)^3))</f>
        <v/>
      </c>
      <c r="BM166" s="36">
        <f>IF(A166="","",(K166)*(IF((YEAR(D166)+4)&lt;YEAR(E166),0,IF((YEAR(D166)+4)&gt;YEAR(E166),1,(12-MONTH(E166)+1)/12)))*(1/(1+DiscountRate)^4))</f>
        <v/>
      </c>
      <c r="BN166" s="36">
        <f>IF(A166="","",(K166)*(IF((YEAR(D166)+5)&lt;YEAR(E166),0,IF((YEAR(D166)+5)&gt;YEAR(E166),1,(12-MONTH(E166)+1)/12)))*(1/(1+DiscountRate)^5))</f>
        <v/>
      </c>
      <c r="BO166" s="36">
        <f>IF(A166="","",(K166)*(IF((YEAR(D166)+6)&lt;YEAR(E166),0,IF((YEAR(D166)+6)&gt;YEAR(E166),1,(12-MONTH(E166)+1)/12)))*(1/(1+DiscountRate)^6))</f>
        <v/>
      </c>
      <c r="BP166" s="36">
        <f>IF(A166="","",(K166)*(IF((YEAR(D166)+7)&lt;YEAR(E166),0,IF((YEAR(D166)+7)&gt;YEAR(E166),1,(12-MONTH(E166)+1)/12)))*(1/(1+DiscountRate)^7))</f>
        <v/>
      </c>
      <c r="BQ166" s="36">
        <f>IF(A166="","",(K166)*(IF((YEAR(D166)+8)&lt;YEAR(E166),0,IF((YEAR(D166)+8)&gt;YEAR(E166),1,(12-MONTH(E166)+1)/12)))*(1/(1+DiscountRate)^8))</f>
        <v/>
      </c>
      <c r="BR166" s="36">
        <f>IF(A166="","",(K166)*(IF((YEAR(D166)+9)&lt;YEAR(E166),0,IF((YEAR(D166)+9)&gt;YEAR(E166),1,(12-MONTH(E166)+1)/12)))*(1/(1+DiscountRate)^9))</f>
        <v/>
      </c>
      <c r="BS166" s="36">
        <f>IF(A166="","",(K166)*(IF((YEAR(D166)+10)&lt;YEAR(E166),0,IF((YEAR(D166)+10)&gt;YEAR(E166),1,(12-MONTH(E166)+1)/12)))*(1/(1+DiscountRate)^10))</f>
        <v/>
      </c>
      <c r="BT166" s="36">
        <f>IF(A166="","",(K166)*(IF((YEAR(D166)+11)&lt;YEAR(E166),0,IF((YEAR(D166)+11)&gt;YEAR(E166),1,(12-MONTH(E166)+1)/12)))*(1/(1+DiscountRate)^11))</f>
        <v/>
      </c>
      <c r="BU166" s="36">
        <f>IF(A166="","",(K166)*(IF((YEAR(D166)+12)&lt;YEAR(E166),0,IF((YEAR(D166)+12)&gt;YEAR(E166),1,(12-MONTH(E166)+1)/12)))*(1/(1+DiscountRate)^12))</f>
        <v/>
      </c>
      <c r="BV166" s="36">
        <f>IF(A166="","",(K166)*(IF((YEAR(D166)+13)&lt;YEAR(E166),0,IF((YEAR(D166)+13)&gt;YEAR(E166),1,(12-MONTH(E166)+1)/12)))*(1/(1+DiscountRate)^13))</f>
        <v/>
      </c>
      <c r="BW166" s="36">
        <f>IF(A166="","",(K166)*(IF((YEAR(D166)+14)&lt;YEAR(E166),0,IF((YEAR(D166)+14)&gt;YEAR(E166),1,(12-MONTH(E166)+1)/12)))*(1/(1+DiscountRate)^14))</f>
        <v/>
      </c>
      <c r="BX166" s="36">
        <f>IF(A166="","",(K166)*(IF((YEAR(D166)+15)&lt;YEAR(E166),0,IF((YEAR(D166)+15)&gt;YEAR(E166),1,(12-MONTH(E166)+1)/12)))*(1/(1+DiscountRate)^15))</f>
        <v/>
      </c>
      <c r="BY166" s="36">
        <f>IF(A166="","",(K166)*(IF((YEAR(D166)+16)&lt;YEAR(E166),0,IF((YEAR(D166)+16)&gt;YEAR(E166),1,(12-MONTH(E166)+1)/12)))*(1/(1+DiscountRate)^16))</f>
        <v/>
      </c>
      <c r="BZ166" s="36">
        <f>IF(A166="","",(K166)*(IF((YEAR(D166)+17)&lt;YEAR(E166),0,IF((YEAR(D166)+17)&gt;YEAR(E166),1,(12-MONTH(E166)+1)/12)))*(1/(1+DiscountRate)^17))</f>
        <v/>
      </c>
      <c r="CA166" s="36">
        <f>IF(A166="","",(K166)*(IF((YEAR(D166)+18)&lt;YEAR(E166),0,IF((YEAR(D166)+18)&gt;YEAR(E166),1,(12-MONTH(E166)+1)/12)))*(1/(1+DiscountRate)^18))</f>
        <v/>
      </c>
      <c r="CB166" s="36">
        <f>IF(A166="","",(K166)*(IF((YEAR(D166)+19)&lt;YEAR(E166),0,IF((YEAR(D166)+19)&gt;YEAR(E166),1,(12-MONTH(E166)+1)/12)))*(1/(1+DiscountRate)^19))</f>
        <v/>
      </c>
      <c r="CC166" s="36">
        <f>IF(A166="","",(K166)*(IF((YEAR(D166)+20)&lt;YEAR(E166),0,IF((YEAR(D166)+20)&gt;YEAR(E166),1,(12-MONTH(E166)+1)/12)))*(1/(1+DiscountRate)^20))</f>
        <v/>
      </c>
      <c r="CD166" s="29">
        <f>IF(A166="","",S166/(1+DiscountRate)^0+T166/(1+DiscountRate)^1+U166/(1+DiscountRate)^2+V166/(1+DiscountRate)^3+W166/(1+DiscountRate)^4+X166/(1+DiscountRate)^5+Y166/(1+DiscountRate)^6+Z166/(1+DiscountRate)^7+AA166/(1+DiscountRate)^8+AB166/(1+DiscountRate)^9+AC166/(1+DiscountRate)^10+AD166/(1+DiscountRate)^11+AE166/(1+DiscountRate)^12+AF166/(1+DiscountRate)^13+AG166/(1+DiscountRate)^14+AH166/(1+DiscountRate)^15+AI166/(1+DiscountRate)^16+AJ166/(1+DiscountRate)^17+AK166/(1+DiscountRate)^18+AL166/(1+DiscountRate)^19+AM166/(1+DiscountRate)^20)</f>
        <v/>
      </c>
      <c r="CE166" s="37">
        <f>IF(A166="","",IFERROR(IRR(OFFSET(S166,0,0,1,MIN(HorizonYears,20)+1)),"n/a"))</f>
        <v/>
      </c>
      <c r="CF166" s="28">
        <f>IF(A166="","",IFERROR(MATCH(TRUE,OFFSET(AN166,0,0,1,MIN(HorizonYears,20)+1)&gt;=0,0)-1,"n/a"))</f>
        <v/>
      </c>
      <c r="CG166" s="36">
        <f>IF(A166="","",SUM(OFFSET(BI166,0,0,1,MIN(HorizonYears,20)+1)))</f>
        <v/>
      </c>
      <c r="CH166" s="36">
        <f>IF(A166="","",IFERROR(-CD166/CG166,"n/a"))</f>
        <v/>
      </c>
    </row>
    <row r="167">
      <c r="A167" s="6">
        <f>Actions!A165</f>
        <v/>
      </c>
      <c r="B167" s="6">
        <f>Actions!B165</f>
        <v/>
      </c>
      <c r="C167" s="6">
        <f>Actions!D165</f>
        <v/>
      </c>
      <c r="D167" s="35">
        <f>Actions!E165</f>
        <v/>
      </c>
      <c r="E167" s="35">
        <f>Actions!F165</f>
        <v/>
      </c>
      <c r="F167" s="6">
        <f>Actions!G165</f>
        <v/>
      </c>
      <c r="G167" s="6">
        <f>Actions!H165</f>
        <v/>
      </c>
      <c r="H167" s="29">
        <f>Actions!I165</f>
        <v/>
      </c>
      <c r="I167" s="6">
        <f>Actions!J165</f>
        <v/>
      </c>
      <c r="J167" s="16">
        <f>Actions!K165</f>
        <v/>
      </c>
      <c r="K167" s="16">
        <f>IF(A167="","",IF(I167="%",H167*J167,J167))</f>
        <v/>
      </c>
      <c r="L167" s="16">
        <f>Actions!L165</f>
        <v/>
      </c>
      <c r="M167" s="6">
        <f>Actions!M165</f>
        <v/>
      </c>
      <c r="N167" s="28">
        <f>Actions!N165</f>
        <v/>
      </c>
      <c r="O167" s="29">
        <f>Actions!T165</f>
        <v/>
      </c>
      <c r="P167" s="29">
        <f>Actions!Y165</f>
        <v/>
      </c>
      <c r="Q167" s="29">
        <f>Actions!Z165</f>
        <v/>
      </c>
      <c r="R167" s="29">
        <f>Actions!AA165</f>
        <v/>
      </c>
      <c r="S167" s="29">
        <f>IF(A167="","",((K167)*(IF(M167="",L167,IFERROR(IF(INDEX(Variablen!$I:$AT, MATCH(M167, Variablen!$A:$A, 0), MATCH((YEAR(D167)+0), Variablen!$I$3:$AT$3, 0))="",L167,INDEX(Variablen!$I:$AT, MATCH(M167, Variablen!$A:$A, 0), MATCH((YEAR(D167)+0), Variablen!$I$3:$AT$3, 0))),L167)))*(IF((YEAR(D167)+0)&lt;YEAR(E167),0,IF((YEAR(D167)+0)&gt;YEAR(E167),1,(12-MONTH(E167)+1)/12))) + (Q167)*(IF((YEAR(D167)+0)&lt;YEAR(E167),0,IF((YEAR(D167)+0)&gt;YEAR(E167),1,(12-MONTH(E167)+1)/12))))-((P167)*(IF((YEAR(D167)+0)&lt;YEAR(E167),0,IF((YEAR(D167)+0)&gt;YEAR(E167),1,(12-MONTH(E167)+1)/12))) + (R167)*(IF((YEAR(D167)+0)&lt;YEAR(E167),0,IF((YEAR(D167)+0)&gt;YEAR(E167),1,(12-MONTH(E167)+1)/12))))-(IF((((K167)*(IF(M167="",L167,IFERROR(IF(INDEX(Variablen!$I:$AT, MATCH(M167, Variablen!$A:$A, 0), MATCH((YEAR(D167)+0), Variablen!$I$3:$AT$3, 0))="",L167,INDEX(Variablen!$I:$AT, MATCH(M167, Variablen!$A:$A, 0), MATCH((YEAR(D167)+0), Variablen!$I$3:$AT$3, 0))),L167)))*(IF((YEAR(D167)+0)&lt;YEAR(E167),0,IF((YEAR(D167)+0)&gt;YEAR(E167),1,(12-MONTH(E167)+1)/12))) + (Q167)*(IF((YEAR(D167)+0)&lt;YEAR(E167),0,IF((YEAR(D167)+0)&gt;YEAR(E167),1,(12-MONTH(E167)+1)/12))))-((P167)*(IF((YEAR(D167)+0)&lt;YEAR(E167),0,IF((YEAR(D167)+0)&gt;YEAR(E167),1,(12-MONTH(E167)+1)/12))) + (R167)*(IF((YEAR(D167)+0)&lt;YEAR(E167),0,IF((YEAR(D167)+0)&gt;YEAR(E167),1,(12-MONTH(E167)+1)/12))))-(IF(OR(N167="",N167&lt;=0),0,(O167/N167)*(IF(OR(N167="",N167&lt;=0),0,IF((YEAR(D167)+0)&lt;YEAR(E167),0,IF((YEAR(D167)+0)&gt;=YEAR(E167)+N167,0,IF((YEAR(D167)+0)=YEAR(E167),(12-MONTH(E167)+1)/12,1))))))))&gt;0,(((K167)*(IF(M167="",L167,IFERROR(IF(INDEX(Variablen!$I:$AT, MATCH(M167, Variablen!$A:$A, 0), MATCH((YEAR(D167)+0), Variablen!$I$3:$AT$3, 0))="",L167,INDEX(Variablen!$I:$AT, MATCH(M167, Variablen!$A:$A, 0), MATCH((YEAR(D167)+0), Variablen!$I$3:$AT$3, 0))),L167)))*(IF((YEAR(D167)+0)&lt;YEAR(E167),0,IF((YEAR(D167)+0)&gt;YEAR(E167),1,(12-MONTH(E167)+1)/12))) + (Q167)*(IF((YEAR(D167)+0)&lt;YEAR(E167),0,IF((YEAR(D167)+0)&gt;YEAR(E167),1,(12-MONTH(E167)+1)/12))))-((P167)*(IF((YEAR(D167)+0)&lt;YEAR(E167),0,IF((YEAR(D167)+0)&gt;YEAR(E167),1,(12-MONTH(E167)+1)/12))) + (R167)*(IF((YEAR(D167)+0)&lt;YEAR(E167),0,IF((YEAR(D167)+0)&gt;YEAR(E167),1,(12-MONTH(E167)+1)/12))))-(IF(OR(N167="",N167&lt;=0),0,(O167/N167)*(IF(OR(N167="",N167&lt;=0),0,IF((YEAR(D167)+0)&lt;YEAR(E167),0,IF((YEAR(D167)+0)&gt;=YEAR(E167)+N167,0,IF((YEAR(D167)+0)=YEAR(E167),(12-MONTH(E167)+1)/12,1))))))))*TaxRate,0))-IF(0=0,O167,0))</f>
        <v/>
      </c>
      <c r="T167" s="29">
        <f>IF(A167="","",((K167)*(IF(M167="",L167,IFERROR(IF(INDEX(Variablen!$I:$AT, MATCH(M167, Variablen!$A:$A, 0), MATCH((YEAR(D167)+1), Variablen!$I$3:$AT$3, 0))="",L167,INDEX(Variablen!$I:$AT, MATCH(M167, Variablen!$A:$A, 0), MATCH((YEAR(D167)+1), Variablen!$I$3:$AT$3, 0))),L167)))*(IF((YEAR(D167)+1)&lt;YEAR(E167),0,IF((YEAR(D167)+1)&gt;YEAR(E167),1,(12-MONTH(E167)+1)/12))) + (Q167)*(IF((YEAR(D167)+1)&lt;YEAR(E167),0,IF((YEAR(D167)+1)&gt;YEAR(E167),1,(12-MONTH(E167)+1)/12))))-((P167)*(IF((YEAR(D167)+1)&lt;YEAR(E167),0,IF((YEAR(D167)+1)&gt;YEAR(E167),1,(12-MONTH(E167)+1)/12))) + (R167)*(IF((YEAR(D167)+1)&lt;YEAR(E167),0,IF((YEAR(D167)+1)&gt;YEAR(E167),1,(12-MONTH(E167)+1)/12))))-(IF((((K167)*(IF(M167="",L167,IFERROR(IF(INDEX(Variablen!$I:$AT, MATCH(M167, Variablen!$A:$A, 0), MATCH((YEAR(D167)+1), Variablen!$I$3:$AT$3, 0))="",L167,INDEX(Variablen!$I:$AT, MATCH(M167, Variablen!$A:$A, 0), MATCH((YEAR(D167)+1), Variablen!$I$3:$AT$3, 0))),L167)))*(IF((YEAR(D167)+1)&lt;YEAR(E167),0,IF((YEAR(D167)+1)&gt;YEAR(E167),1,(12-MONTH(E167)+1)/12))) + (Q167)*(IF((YEAR(D167)+1)&lt;YEAR(E167),0,IF((YEAR(D167)+1)&gt;YEAR(E167),1,(12-MONTH(E167)+1)/12))))-((P167)*(IF((YEAR(D167)+1)&lt;YEAR(E167),0,IF((YEAR(D167)+1)&gt;YEAR(E167),1,(12-MONTH(E167)+1)/12))) + (R167)*(IF((YEAR(D167)+1)&lt;YEAR(E167),0,IF((YEAR(D167)+1)&gt;YEAR(E167),1,(12-MONTH(E167)+1)/12))))-(IF(OR(N167="",N167&lt;=0),0,(O167/N167)*(IF(OR(N167="",N167&lt;=0),0,IF((YEAR(D167)+1)&lt;YEAR(E167),0,IF((YEAR(D167)+1)&gt;=YEAR(E167)+N167,0,IF((YEAR(D167)+1)=YEAR(E167),(12-MONTH(E167)+1)/12,1))))))))&gt;0,(((K167)*(IF(M167="",L167,IFERROR(IF(INDEX(Variablen!$I:$AT, MATCH(M167, Variablen!$A:$A, 0), MATCH((YEAR(D167)+1), Variablen!$I$3:$AT$3, 0))="",L167,INDEX(Variablen!$I:$AT, MATCH(M167, Variablen!$A:$A, 0), MATCH((YEAR(D167)+1), Variablen!$I$3:$AT$3, 0))),L167)))*(IF((YEAR(D167)+1)&lt;YEAR(E167),0,IF((YEAR(D167)+1)&gt;YEAR(E167),1,(12-MONTH(E167)+1)/12))) + (Q167)*(IF((YEAR(D167)+1)&lt;YEAR(E167),0,IF((YEAR(D167)+1)&gt;YEAR(E167),1,(12-MONTH(E167)+1)/12))))-((P167)*(IF((YEAR(D167)+1)&lt;YEAR(E167),0,IF((YEAR(D167)+1)&gt;YEAR(E167),1,(12-MONTH(E167)+1)/12))) + (R167)*(IF((YEAR(D167)+1)&lt;YEAR(E167),0,IF((YEAR(D167)+1)&gt;YEAR(E167),1,(12-MONTH(E167)+1)/12))))-(IF(OR(N167="",N167&lt;=0),0,(O167/N167)*(IF(OR(N167="",N167&lt;=0),0,IF((YEAR(D167)+1)&lt;YEAR(E167),0,IF((YEAR(D167)+1)&gt;=YEAR(E167)+N167,0,IF((YEAR(D167)+1)=YEAR(E167),(12-MONTH(E167)+1)/12,1))))))))*TaxRate,0))-IF(1=0,O167,0))</f>
        <v/>
      </c>
      <c r="U167" s="29">
        <f>IF(A167="","",((K167)*(IF(M167="",L167,IFERROR(IF(INDEX(Variablen!$I:$AT, MATCH(M167, Variablen!$A:$A, 0), MATCH((YEAR(D167)+2), Variablen!$I$3:$AT$3, 0))="",L167,INDEX(Variablen!$I:$AT, MATCH(M167, Variablen!$A:$A, 0), MATCH((YEAR(D167)+2), Variablen!$I$3:$AT$3, 0))),L167)))*(IF((YEAR(D167)+2)&lt;YEAR(E167),0,IF((YEAR(D167)+2)&gt;YEAR(E167),1,(12-MONTH(E167)+1)/12))) + (Q167)*(IF((YEAR(D167)+2)&lt;YEAR(E167),0,IF((YEAR(D167)+2)&gt;YEAR(E167),1,(12-MONTH(E167)+1)/12))))-((P167)*(IF((YEAR(D167)+2)&lt;YEAR(E167),0,IF((YEAR(D167)+2)&gt;YEAR(E167),1,(12-MONTH(E167)+1)/12))) + (R167)*(IF((YEAR(D167)+2)&lt;YEAR(E167),0,IF((YEAR(D167)+2)&gt;YEAR(E167),1,(12-MONTH(E167)+1)/12))))-(IF((((K167)*(IF(M167="",L167,IFERROR(IF(INDEX(Variablen!$I:$AT, MATCH(M167, Variablen!$A:$A, 0), MATCH((YEAR(D167)+2), Variablen!$I$3:$AT$3, 0))="",L167,INDEX(Variablen!$I:$AT, MATCH(M167, Variablen!$A:$A, 0), MATCH((YEAR(D167)+2), Variablen!$I$3:$AT$3, 0))),L167)))*(IF((YEAR(D167)+2)&lt;YEAR(E167),0,IF((YEAR(D167)+2)&gt;YEAR(E167),1,(12-MONTH(E167)+1)/12))) + (Q167)*(IF((YEAR(D167)+2)&lt;YEAR(E167),0,IF((YEAR(D167)+2)&gt;YEAR(E167),1,(12-MONTH(E167)+1)/12))))-((P167)*(IF((YEAR(D167)+2)&lt;YEAR(E167),0,IF((YEAR(D167)+2)&gt;YEAR(E167),1,(12-MONTH(E167)+1)/12))) + (R167)*(IF((YEAR(D167)+2)&lt;YEAR(E167),0,IF((YEAR(D167)+2)&gt;YEAR(E167),1,(12-MONTH(E167)+1)/12))))-(IF(OR(N167="",N167&lt;=0),0,(O167/N167)*(IF(OR(N167="",N167&lt;=0),0,IF((YEAR(D167)+2)&lt;YEAR(E167),0,IF((YEAR(D167)+2)&gt;=YEAR(E167)+N167,0,IF((YEAR(D167)+2)=YEAR(E167),(12-MONTH(E167)+1)/12,1))))))))&gt;0,(((K167)*(IF(M167="",L167,IFERROR(IF(INDEX(Variablen!$I:$AT, MATCH(M167, Variablen!$A:$A, 0), MATCH((YEAR(D167)+2), Variablen!$I$3:$AT$3, 0))="",L167,INDEX(Variablen!$I:$AT, MATCH(M167, Variablen!$A:$A, 0), MATCH((YEAR(D167)+2), Variablen!$I$3:$AT$3, 0))),L167)))*(IF((YEAR(D167)+2)&lt;YEAR(E167),0,IF((YEAR(D167)+2)&gt;YEAR(E167),1,(12-MONTH(E167)+1)/12))) + (Q167)*(IF((YEAR(D167)+2)&lt;YEAR(E167),0,IF((YEAR(D167)+2)&gt;YEAR(E167),1,(12-MONTH(E167)+1)/12))))-((P167)*(IF((YEAR(D167)+2)&lt;YEAR(E167),0,IF((YEAR(D167)+2)&gt;YEAR(E167),1,(12-MONTH(E167)+1)/12))) + (R167)*(IF((YEAR(D167)+2)&lt;YEAR(E167),0,IF((YEAR(D167)+2)&gt;YEAR(E167),1,(12-MONTH(E167)+1)/12))))-(IF(OR(N167="",N167&lt;=0),0,(O167/N167)*(IF(OR(N167="",N167&lt;=0),0,IF((YEAR(D167)+2)&lt;YEAR(E167),0,IF((YEAR(D167)+2)&gt;=YEAR(E167)+N167,0,IF((YEAR(D167)+2)=YEAR(E167),(12-MONTH(E167)+1)/12,1))))))))*TaxRate,0))-IF(2=0,O167,0))</f>
        <v/>
      </c>
      <c r="V167" s="29">
        <f>IF(A167="","",((K167)*(IF(M167="",L167,IFERROR(IF(INDEX(Variablen!$I:$AT, MATCH(M167, Variablen!$A:$A, 0), MATCH((YEAR(D167)+3), Variablen!$I$3:$AT$3, 0))="",L167,INDEX(Variablen!$I:$AT, MATCH(M167, Variablen!$A:$A, 0), MATCH((YEAR(D167)+3), Variablen!$I$3:$AT$3, 0))),L167)))*(IF((YEAR(D167)+3)&lt;YEAR(E167),0,IF((YEAR(D167)+3)&gt;YEAR(E167),1,(12-MONTH(E167)+1)/12))) + (Q167)*(IF((YEAR(D167)+3)&lt;YEAR(E167),0,IF((YEAR(D167)+3)&gt;YEAR(E167),1,(12-MONTH(E167)+1)/12))))-((P167)*(IF((YEAR(D167)+3)&lt;YEAR(E167),0,IF((YEAR(D167)+3)&gt;YEAR(E167),1,(12-MONTH(E167)+1)/12))) + (R167)*(IF((YEAR(D167)+3)&lt;YEAR(E167),0,IF((YEAR(D167)+3)&gt;YEAR(E167),1,(12-MONTH(E167)+1)/12))))-(IF((((K167)*(IF(M167="",L167,IFERROR(IF(INDEX(Variablen!$I:$AT, MATCH(M167, Variablen!$A:$A, 0), MATCH((YEAR(D167)+3), Variablen!$I$3:$AT$3, 0))="",L167,INDEX(Variablen!$I:$AT, MATCH(M167, Variablen!$A:$A, 0), MATCH((YEAR(D167)+3), Variablen!$I$3:$AT$3, 0))),L167)))*(IF((YEAR(D167)+3)&lt;YEAR(E167),0,IF((YEAR(D167)+3)&gt;YEAR(E167),1,(12-MONTH(E167)+1)/12))) + (Q167)*(IF((YEAR(D167)+3)&lt;YEAR(E167),0,IF((YEAR(D167)+3)&gt;YEAR(E167),1,(12-MONTH(E167)+1)/12))))-((P167)*(IF((YEAR(D167)+3)&lt;YEAR(E167),0,IF((YEAR(D167)+3)&gt;YEAR(E167),1,(12-MONTH(E167)+1)/12))) + (R167)*(IF((YEAR(D167)+3)&lt;YEAR(E167),0,IF((YEAR(D167)+3)&gt;YEAR(E167),1,(12-MONTH(E167)+1)/12))))-(IF(OR(N167="",N167&lt;=0),0,(O167/N167)*(IF(OR(N167="",N167&lt;=0),0,IF((YEAR(D167)+3)&lt;YEAR(E167),0,IF((YEAR(D167)+3)&gt;=YEAR(E167)+N167,0,IF((YEAR(D167)+3)=YEAR(E167),(12-MONTH(E167)+1)/12,1))))))))&gt;0,(((K167)*(IF(M167="",L167,IFERROR(IF(INDEX(Variablen!$I:$AT, MATCH(M167, Variablen!$A:$A, 0), MATCH((YEAR(D167)+3), Variablen!$I$3:$AT$3, 0))="",L167,INDEX(Variablen!$I:$AT, MATCH(M167, Variablen!$A:$A, 0), MATCH((YEAR(D167)+3), Variablen!$I$3:$AT$3, 0))),L167)))*(IF((YEAR(D167)+3)&lt;YEAR(E167),0,IF((YEAR(D167)+3)&gt;YEAR(E167),1,(12-MONTH(E167)+1)/12))) + (Q167)*(IF((YEAR(D167)+3)&lt;YEAR(E167),0,IF((YEAR(D167)+3)&gt;YEAR(E167),1,(12-MONTH(E167)+1)/12))))-((P167)*(IF((YEAR(D167)+3)&lt;YEAR(E167),0,IF((YEAR(D167)+3)&gt;YEAR(E167),1,(12-MONTH(E167)+1)/12))) + (R167)*(IF((YEAR(D167)+3)&lt;YEAR(E167),0,IF((YEAR(D167)+3)&gt;YEAR(E167),1,(12-MONTH(E167)+1)/12))))-(IF(OR(N167="",N167&lt;=0),0,(O167/N167)*(IF(OR(N167="",N167&lt;=0),0,IF((YEAR(D167)+3)&lt;YEAR(E167),0,IF((YEAR(D167)+3)&gt;=YEAR(E167)+N167,0,IF((YEAR(D167)+3)=YEAR(E167),(12-MONTH(E167)+1)/12,1))))))))*TaxRate,0))-IF(3=0,O167,0))</f>
        <v/>
      </c>
      <c r="W167" s="29">
        <f>IF(A167="","",((K167)*(IF(M167="",L167,IFERROR(IF(INDEX(Variablen!$I:$AT, MATCH(M167, Variablen!$A:$A, 0), MATCH((YEAR(D167)+4), Variablen!$I$3:$AT$3, 0))="",L167,INDEX(Variablen!$I:$AT, MATCH(M167, Variablen!$A:$A, 0), MATCH((YEAR(D167)+4), Variablen!$I$3:$AT$3, 0))),L167)))*(IF((YEAR(D167)+4)&lt;YEAR(E167),0,IF((YEAR(D167)+4)&gt;YEAR(E167),1,(12-MONTH(E167)+1)/12))) + (Q167)*(IF((YEAR(D167)+4)&lt;YEAR(E167),0,IF((YEAR(D167)+4)&gt;YEAR(E167),1,(12-MONTH(E167)+1)/12))))-((P167)*(IF((YEAR(D167)+4)&lt;YEAR(E167),0,IF((YEAR(D167)+4)&gt;YEAR(E167),1,(12-MONTH(E167)+1)/12))) + (R167)*(IF((YEAR(D167)+4)&lt;YEAR(E167),0,IF((YEAR(D167)+4)&gt;YEAR(E167),1,(12-MONTH(E167)+1)/12))))-(IF((((K167)*(IF(M167="",L167,IFERROR(IF(INDEX(Variablen!$I:$AT, MATCH(M167, Variablen!$A:$A, 0), MATCH((YEAR(D167)+4), Variablen!$I$3:$AT$3, 0))="",L167,INDEX(Variablen!$I:$AT, MATCH(M167, Variablen!$A:$A, 0), MATCH((YEAR(D167)+4), Variablen!$I$3:$AT$3, 0))),L167)))*(IF((YEAR(D167)+4)&lt;YEAR(E167),0,IF((YEAR(D167)+4)&gt;YEAR(E167),1,(12-MONTH(E167)+1)/12))) + (Q167)*(IF((YEAR(D167)+4)&lt;YEAR(E167),0,IF((YEAR(D167)+4)&gt;YEAR(E167),1,(12-MONTH(E167)+1)/12))))-((P167)*(IF((YEAR(D167)+4)&lt;YEAR(E167),0,IF((YEAR(D167)+4)&gt;YEAR(E167),1,(12-MONTH(E167)+1)/12))) + (R167)*(IF((YEAR(D167)+4)&lt;YEAR(E167),0,IF((YEAR(D167)+4)&gt;YEAR(E167),1,(12-MONTH(E167)+1)/12))))-(IF(OR(N167="",N167&lt;=0),0,(O167/N167)*(IF(OR(N167="",N167&lt;=0),0,IF((YEAR(D167)+4)&lt;YEAR(E167),0,IF((YEAR(D167)+4)&gt;=YEAR(E167)+N167,0,IF((YEAR(D167)+4)=YEAR(E167),(12-MONTH(E167)+1)/12,1))))))))&gt;0,(((K167)*(IF(M167="",L167,IFERROR(IF(INDEX(Variablen!$I:$AT, MATCH(M167, Variablen!$A:$A, 0), MATCH((YEAR(D167)+4), Variablen!$I$3:$AT$3, 0))="",L167,INDEX(Variablen!$I:$AT, MATCH(M167, Variablen!$A:$A, 0), MATCH((YEAR(D167)+4), Variablen!$I$3:$AT$3, 0))),L167)))*(IF((YEAR(D167)+4)&lt;YEAR(E167),0,IF((YEAR(D167)+4)&gt;YEAR(E167),1,(12-MONTH(E167)+1)/12))) + (Q167)*(IF((YEAR(D167)+4)&lt;YEAR(E167),0,IF((YEAR(D167)+4)&gt;YEAR(E167),1,(12-MONTH(E167)+1)/12))))-((P167)*(IF((YEAR(D167)+4)&lt;YEAR(E167),0,IF((YEAR(D167)+4)&gt;YEAR(E167),1,(12-MONTH(E167)+1)/12))) + (R167)*(IF((YEAR(D167)+4)&lt;YEAR(E167),0,IF((YEAR(D167)+4)&gt;YEAR(E167),1,(12-MONTH(E167)+1)/12))))-(IF(OR(N167="",N167&lt;=0),0,(O167/N167)*(IF(OR(N167="",N167&lt;=0),0,IF((YEAR(D167)+4)&lt;YEAR(E167),0,IF((YEAR(D167)+4)&gt;=YEAR(E167)+N167,0,IF((YEAR(D167)+4)=YEAR(E167),(12-MONTH(E167)+1)/12,1))))))))*TaxRate,0))-IF(4=0,O167,0))</f>
        <v/>
      </c>
      <c r="X167" s="29">
        <f>IF(A167="","",((K167)*(IF(M167="",L167,IFERROR(IF(INDEX(Variablen!$I:$AT, MATCH(M167, Variablen!$A:$A, 0), MATCH((YEAR(D167)+5), Variablen!$I$3:$AT$3, 0))="",L167,INDEX(Variablen!$I:$AT, MATCH(M167, Variablen!$A:$A, 0), MATCH((YEAR(D167)+5), Variablen!$I$3:$AT$3, 0))),L167)))*(IF((YEAR(D167)+5)&lt;YEAR(E167),0,IF((YEAR(D167)+5)&gt;YEAR(E167),1,(12-MONTH(E167)+1)/12))) + (Q167)*(IF((YEAR(D167)+5)&lt;YEAR(E167),0,IF((YEAR(D167)+5)&gt;YEAR(E167),1,(12-MONTH(E167)+1)/12))))-((P167)*(IF((YEAR(D167)+5)&lt;YEAR(E167),0,IF((YEAR(D167)+5)&gt;YEAR(E167),1,(12-MONTH(E167)+1)/12))) + (R167)*(IF((YEAR(D167)+5)&lt;YEAR(E167),0,IF((YEAR(D167)+5)&gt;YEAR(E167),1,(12-MONTH(E167)+1)/12))))-(IF((((K167)*(IF(M167="",L167,IFERROR(IF(INDEX(Variablen!$I:$AT, MATCH(M167, Variablen!$A:$A, 0), MATCH((YEAR(D167)+5), Variablen!$I$3:$AT$3, 0))="",L167,INDEX(Variablen!$I:$AT, MATCH(M167, Variablen!$A:$A, 0), MATCH((YEAR(D167)+5), Variablen!$I$3:$AT$3, 0))),L167)))*(IF((YEAR(D167)+5)&lt;YEAR(E167),0,IF((YEAR(D167)+5)&gt;YEAR(E167),1,(12-MONTH(E167)+1)/12))) + (Q167)*(IF((YEAR(D167)+5)&lt;YEAR(E167),0,IF((YEAR(D167)+5)&gt;YEAR(E167),1,(12-MONTH(E167)+1)/12))))-((P167)*(IF((YEAR(D167)+5)&lt;YEAR(E167),0,IF((YEAR(D167)+5)&gt;YEAR(E167),1,(12-MONTH(E167)+1)/12))) + (R167)*(IF((YEAR(D167)+5)&lt;YEAR(E167),0,IF((YEAR(D167)+5)&gt;YEAR(E167),1,(12-MONTH(E167)+1)/12))))-(IF(OR(N167="",N167&lt;=0),0,(O167/N167)*(IF(OR(N167="",N167&lt;=0),0,IF((YEAR(D167)+5)&lt;YEAR(E167),0,IF((YEAR(D167)+5)&gt;=YEAR(E167)+N167,0,IF((YEAR(D167)+5)=YEAR(E167),(12-MONTH(E167)+1)/12,1))))))))&gt;0,(((K167)*(IF(M167="",L167,IFERROR(IF(INDEX(Variablen!$I:$AT, MATCH(M167, Variablen!$A:$A, 0), MATCH((YEAR(D167)+5), Variablen!$I$3:$AT$3, 0))="",L167,INDEX(Variablen!$I:$AT, MATCH(M167, Variablen!$A:$A, 0), MATCH((YEAR(D167)+5), Variablen!$I$3:$AT$3, 0))),L167)))*(IF((YEAR(D167)+5)&lt;YEAR(E167),0,IF((YEAR(D167)+5)&gt;YEAR(E167),1,(12-MONTH(E167)+1)/12))) + (Q167)*(IF((YEAR(D167)+5)&lt;YEAR(E167),0,IF((YEAR(D167)+5)&gt;YEAR(E167),1,(12-MONTH(E167)+1)/12))))-((P167)*(IF((YEAR(D167)+5)&lt;YEAR(E167),0,IF((YEAR(D167)+5)&gt;YEAR(E167),1,(12-MONTH(E167)+1)/12))) + (R167)*(IF((YEAR(D167)+5)&lt;YEAR(E167),0,IF((YEAR(D167)+5)&gt;YEAR(E167),1,(12-MONTH(E167)+1)/12))))-(IF(OR(N167="",N167&lt;=0),0,(O167/N167)*(IF(OR(N167="",N167&lt;=0),0,IF((YEAR(D167)+5)&lt;YEAR(E167),0,IF((YEAR(D167)+5)&gt;=YEAR(E167)+N167,0,IF((YEAR(D167)+5)=YEAR(E167),(12-MONTH(E167)+1)/12,1))))))))*TaxRate,0))-IF(5=0,O167,0))</f>
        <v/>
      </c>
      <c r="Y167" s="29">
        <f>IF(A167="","",((K167)*(IF(M167="",L167,IFERROR(IF(INDEX(Variablen!$I:$AT, MATCH(M167, Variablen!$A:$A, 0), MATCH((YEAR(D167)+6), Variablen!$I$3:$AT$3, 0))="",L167,INDEX(Variablen!$I:$AT, MATCH(M167, Variablen!$A:$A, 0), MATCH((YEAR(D167)+6), Variablen!$I$3:$AT$3, 0))),L167)))*(IF((YEAR(D167)+6)&lt;YEAR(E167),0,IF((YEAR(D167)+6)&gt;YEAR(E167),1,(12-MONTH(E167)+1)/12))) + (Q167)*(IF((YEAR(D167)+6)&lt;YEAR(E167),0,IF((YEAR(D167)+6)&gt;YEAR(E167),1,(12-MONTH(E167)+1)/12))))-((P167)*(IF((YEAR(D167)+6)&lt;YEAR(E167),0,IF((YEAR(D167)+6)&gt;YEAR(E167),1,(12-MONTH(E167)+1)/12))) + (R167)*(IF((YEAR(D167)+6)&lt;YEAR(E167),0,IF((YEAR(D167)+6)&gt;YEAR(E167),1,(12-MONTH(E167)+1)/12))))-(IF((((K167)*(IF(M167="",L167,IFERROR(IF(INDEX(Variablen!$I:$AT, MATCH(M167, Variablen!$A:$A, 0), MATCH((YEAR(D167)+6), Variablen!$I$3:$AT$3, 0))="",L167,INDEX(Variablen!$I:$AT, MATCH(M167, Variablen!$A:$A, 0), MATCH((YEAR(D167)+6), Variablen!$I$3:$AT$3, 0))),L167)))*(IF((YEAR(D167)+6)&lt;YEAR(E167),0,IF((YEAR(D167)+6)&gt;YEAR(E167),1,(12-MONTH(E167)+1)/12))) + (Q167)*(IF((YEAR(D167)+6)&lt;YEAR(E167),0,IF((YEAR(D167)+6)&gt;YEAR(E167),1,(12-MONTH(E167)+1)/12))))-((P167)*(IF((YEAR(D167)+6)&lt;YEAR(E167),0,IF((YEAR(D167)+6)&gt;YEAR(E167),1,(12-MONTH(E167)+1)/12))) + (R167)*(IF((YEAR(D167)+6)&lt;YEAR(E167),0,IF((YEAR(D167)+6)&gt;YEAR(E167),1,(12-MONTH(E167)+1)/12))))-(IF(OR(N167="",N167&lt;=0),0,(O167/N167)*(IF(OR(N167="",N167&lt;=0),0,IF((YEAR(D167)+6)&lt;YEAR(E167),0,IF((YEAR(D167)+6)&gt;=YEAR(E167)+N167,0,IF((YEAR(D167)+6)=YEAR(E167),(12-MONTH(E167)+1)/12,1))))))))&gt;0,(((K167)*(IF(M167="",L167,IFERROR(IF(INDEX(Variablen!$I:$AT, MATCH(M167, Variablen!$A:$A, 0), MATCH((YEAR(D167)+6), Variablen!$I$3:$AT$3, 0))="",L167,INDEX(Variablen!$I:$AT, MATCH(M167, Variablen!$A:$A, 0), MATCH((YEAR(D167)+6), Variablen!$I$3:$AT$3, 0))),L167)))*(IF((YEAR(D167)+6)&lt;YEAR(E167),0,IF((YEAR(D167)+6)&gt;YEAR(E167),1,(12-MONTH(E167)+1)/12))) + (Q167)*(IF((YEAR(D167)+6)&lt;YEAR(E167),0,IF((YEAR(D167)+6)&gt;YEAR(E167),1,(12-MONTH(E167)+1)/12))))-((P167)*(IF((YEAR(D167)+6)&lt;YEAR(E167),0,IF((YEAR(D167)+6)&gt;YEAR(E167),1,(12-MONTH(E167)+1)/12))) + (R167)*(IF((YEAR(D167)+6)&lt;YEAR(E167),0,IF((YEAR(D167)+6)&gt;YEAR(E167),1,(12-MONTH(E167)+1)/12))))-(IF(OR(N167="",N167&lt;=0),0,(O167/N167)*(IF(OR(N167="",N167&lt;=0),0,IF((YEAR(D167)+6)&lt;YEAR(E167),0,IF((YEAR(D167)+6)&gt;=YEAR(E167)+N167,0,IF((YEAR(D167)+6)=YEAR(E167),(12-MONTH(E167)+1)/12,1))))))))*TaxRate,0))-IF(6=0,O167,0))</f>
        <v/>
      </c>
      <c r="Z167" s="29">
        <f>IF(A167="","",((K167)*(IF(M167="",L167,IFERROR(IF(INDEX(Variablen!$I:$AT, MATCH(M167, Variablen!$A:$A, 0), MATCH((YEAR(D167)+7), Variablen!$I$3:$AT$3, 0))="",L167,INDEX(Variablen!$I:$AT, MATCH(M167, Variablen!$A:$A, 0), MATCH((YEAR(D167)+7), Variablen!$I$3:$AT$3, 0))),L167)))*(IF((YEAR(D167)+7)&lt;YEAR(E167),0,IF((YEAR(D167)+7)&gt;YEAR(E167),1,(12-MONTH(E167)+1)/12))) + (Q167)*(IF((YEAR(D167)+7)&lt;YEAR(E167),0,IF((YEAR(D167)+7)&gt;YEAR(E167),1,(12-MONTH(E167)+1)/12))))-((P167)*(IF((YEAR(D167)+7)&lt;YEAR(E167),0,IF((YEAR(D167)+7)&gt;YEAR(E167),1,(12-MONTH(E167)+1)/12))) + (R167)*(IF((YEAR(D167)+7)&lt;YEAR(E167),0,IF((YEAR(D167)+7)&gt;YEAR(E167),1,(12-MONTH(E167)+1)/12))))-(IF((((K167)*(IF(M167="",L167,IFERROR(IF(INDEX(Variablen!$I:$AT, MATCH(M167, Variablen!$A:$A, 0), MATCH((YEAR(D167)+7), Variablen!$I$3:$AT$3, 0))="",L167,INDEX(Variablen!$I:$AT, MATCH(M167, Variablen!$A:$A, 0), MATCH((YEAR(D167)+7), Variablen!$I$3:$AT$3, 0))),L167)))*(IF((YEAR(D167)+7)&lt;YEAR(E167),0,IF((YEAR(D167)+7)&gt;YEAR(E167),1,(12-MONTH(E167)+1)/12))) + (Q167)*(IF((YEAR(D167)+7)&lt;YEAR(E167),0,IF((YEAR(D167)+7)&gt;YEAR(E167),1,(12-MONTH(E167)+1)/12))))-((P167)*(IF((YEAR(D167)+7)&lt;YEAR(E167),0,IF((YEAR(D167)+7)&gt;YEAR(E167),1,(12-MONTH(E167)+1)/12))) + (R167)*(IF((YEAR(D167)+7)&lt;YEAR(E167),0,IF((YEAR(D167)+7)&gt;YEAR(E167),1,(12-MONTH(E167)+1)/12))))-(IF(OR(N167="",N167&lt;=0),0,(O167/N167)*(IF(OR(N167="",N167&lt;=0),0,IF((YEAR(D167)+7)&lt;YEAR(E167),0,IF((YEAR(D167)+7)&gt;=YEAR(E167)+N167,0,IF((YEAR(D167)+7)=YEAR(E167),(12-MONTH(E167)+1)/12,1))))))))&gt;0,(((K167)*(IF(M167="",L167,IFERROR(IF(INDEX(Variablen!$I:$AT, MATCH(M167, Variablen!$A:$A, 0), MATCH((YEAR(D167)+7), Variablen!$I$3:$AT$3, 0))="",L167,INDEX(Variablen!$I:$AT, MATCH(M167, Variablen!$A:$A, 0), MATCH((YEAR(D167)+7), Variablen!$I$3:$AT$3, 0))),L167)))*(IF((YEAR(D167)+7)&lt;YEAR(E167),0,IF((YEAR(D167)+7)&gt;YEAR(E167),1,(12-MONTH(E167)+1)/12))) + (Q167)*(IF((YEAR(D167)+7)&lt;YEAR(E167),0,IF((YEAR(D167)+7)&gt;YEAR(E167),1,(12-MONTH(E167)+1)/12))))-((P167)*(IF((YEAR(D167)+7)&lt;YEAR(E167),0,IF((YEAR(D167)+7)&gt;YEAR(E167),1,(12-MONTH(E167)+1)/12))) + (R167)*(IF((YEAR(D167)+7)&lt;YEAR(E167),0,IF((YEAR(D167)+7)&gt;YEAR(E167),1,(12-MONTH(E167)+1)/12))))-(IF(OR(N167="",N167&lt;=0),0,(O167/N167)*(IF(OR(N167="",N167&lt;=0),0,IF((YEAR(D167)+7)&lt;YEAR(E167),0,IF((YEAR(D167)+7)&gt;=YEAR(E167)+N167,0,IF((YEAR(D167)+7)=YEAR(E167),(12-MONTH(E167)+1)/12,1))))))))*TaxRate,0))-IF(7=0,O167,0))</f>
        <v/>
      </c>
      <c r="AA167" s="29">
        <f>IF(A167="","",((K167)*(IF(M167="",L167,IFERROR(IF(INDEX(Variablen!$I:$AT, MATCH(M167, Variablen!$A:$A, 0), MATCH((YEAR(D167)+8), Variablen!$I$3:$AT$3, 0))="",L167,INDEX(Variablen!$I:$AT, MATCH(M167, Variablen!$A:$A, 0), MATCH((YEAR(D167)+8), Variablen!$I$3:$AT$3, 0))),L167)))*(IF((YEAR(D167)+8)&lt;YEAR(E167),0,IF((YEAR(D167)+8)&gt;YEAR(E167),1,(12-MONTH(E167)+1)/12))) + (Q167)*(IF((YEAR(D167)+8)&lt;YEAR(E167),0,IF((YEAR(D167)+8)&gt;YEAR(E167),1,(12-MONTH(E167)+1)/12))))-((P167)*(IF((YEAR(D167)+8)&lt;YEAR(E167),0,IF((YEAR(D167)+8)&gt;YEAR(E167),1,(12-MONTH(E167)+1)/12))) + (R167)*(IF((YEAR(D167)+8)&lt;YEAR(E167),0,IF((YEAR(D167)+8)&gt;YEAR(E167),1,(12-MONTH(E167)+1)/12))))-(IF((((K167)*(IF(M167="",L167,IFERROR(IF(INDEX(Variablen!$I:$AT, MATCH(M167, Variablen!$A:$A, 0), MATCH((YEAR(D167)+8), Variablen!$I$3:$AT$3, 0))="",L167,INDEX(Variablen!$I:$AT, MATCH(M167, Variablen!$A:$A, 0), MATCH((YEAR(D167)+8), Variablen!$I$3:$AT$3, 0))),L167)))*(IF((YEAR(D167)+8)&lt;YEAR(E167),0,IF((YEAR(D167)+8)&gt;YEAR(E167),1,(12-MONTH(E167)+1)/12))) + (Q167)*(IF((YEAR(D167)+8)&lt;YEAR(E167),0,IF((YEAR(D167)+8)&gt;YEAR(E167),1,(12-MONTH(E167)+1)/12))))-((P167)*(IF((YEAR(D167)+8)&lt;YEAR(E167),0,IF((YEAR(D167)+8)&gt;YEAR(E167),1,(12-MONTH(E167)+1)/12))) + (R167)*(IF((YEAR(D167)+8)&lt;YEAR(E167),0,IF((YEAR(D167)+8)&gt;YEAR(E167),1,(12-MONTH(E167)+1)/12))))-(IF(OR(N167="",N167&lt;=0),0,(O167/N167)*(IF(OR(N167="",N167&lt;=0),0,IF((YEAR(D167)+8)&lt;YEAR(E167),0,IF((YEAR(D167)+8)&gt;=YEAR(E167)+N167,0,IF((YEAR(D167)+8)=YEAR(E167),(12-MONTH(E167)+1)/12,1))))))))&gt;0,(((K167)*(IF(M167="",L167,IFERROR(IF(INDEX(Variablen!$I:$AT, MATCH(M167, Variablen!$A:$A, 0), MATCH((YEAR(D167)+8), Variablen!$I$3:$AT$3, 0))="",L167,INDEX(Variablen!$I:$AT, MATCH(M167, Variablen!$A:$A, 0), MATCH((YEAR(D167)+8), Variablen!$I$3:$AT$3, 0))),L167)))*(IF((YEAR(D167)+8)&lt;YEAR(E167),0,IF((YEAR(D167)+8)&gt;YEAR(E167),1,(12-MONTH(E167)+1)/12))) + (Q167)*(IF((YEAR(D167)+8)&lt;YEAR(E167),0,IF((YEAR(D167)+8)&gt;YEAR(E167),1,(12-MONTH(E167)+1)/12))))-((P167)*(IF((YEAR(D167)+8)&lt;YEAR(E167),0,IF((YEAR(D167)+8)&gt;YEAR(E167),1,(12-MONTH(E167)+1)/12))) + (R167)*(IF((YEAR(D167)+8)&lt;YEAR(E167),0,IF((YEAR(D167)+8)&gt;YEAR(E167),1,(12-MONTH(E167)+1)/12))))-(IF(OR(N167="",N167&lt;=0),0,(O167/N167)*(IF(OR(N167="",N167&lt;=0),0,IF((YEAR(D167)+8)&lt;YEAR(E167),0,IF((YEAR(D167)+8)&gt;=YEAR(E167)+N167,0,IF((YEAR(D167)+8)=YEAR(E167),(12-MONTH(E167)+1)/12,1))))))))*TaxRate,0))-IF(8=0,O167,0))</f>
        <v/>
      </c>
      <c r="AB167" s="29">
        <f>IF(A167="","",((K167)*(IF(M167="",L167,IFERROR(IF(INDEX(Variablen!$I:$AT, MATCH(M167, Variablen!$A:$A, 0), MATCH((YEAR(D167)+9), Variablen!$I$3:$AT$3, 0))="",L167,INDEX(Variablen!$I:$AT, MATCH(M167, Variablen!$A:$A, 0), MATCH((YEAR(D167)+9), Variablen!$I$3:$AT$3, 0))),L167)))*(IF((YEAR(D167)+9)&lt;YEAR(E167),0,IF((YEAR(D167)+9)&gt;YEAR(E167),1,(12-MONTH(E167)+1)/12))) + (Q167)*(IF((YEAR(D167)+9)&lt;YEAR(E167),0,IF((YEAR(D167)+9)&gt;YEAR(E167),1,(12-MONTH(E167)+1)/12))))-((P167)*(IF((YEAR(D167)+9)&lt;YEAR(E167),0,IF((YEAR(D167)+9)&gt;YEAR(E167),1,(12-MONTH(E167)+1)/12))) + (R167)*(IF((YEAR(D167)+9)&lt;YEAR(E167),0,IF((YEAR(D167)+9)&gt;YEAR(E167),1,(12-MONTH(E167)+1)/12))))-(IF((((K167)*(IF(M167="",L167,IFERROR(IF(INDEX(Variablen!$I:$AT, MATCH(M167, Variablen!$A:$A, 0), MATCH((YEAR(D167)+9), Variablen!$I$3:$AT$3, 0))="",L167,INDEX(Variablen!$I:$AT, MATCH(M167, Variablen!$A:$A, 0), MATCH((YEAR(D167)+9), Variablen!$I$3:$AT$3, 0))),L167)))*(IF((YEAR(D167)+9)&lt;YEAR(E167),0,IF((YEAR(D167)+9)&gt;YEAR(E167),1,(12-MONTH(E167)+1)/12))) + (Q167)*(IF((YEAR(D167)+9)&lt;YEAR(E167),0,IF((YEAR(D167)+9)&gt;YEAR(E167),1,(12-MONTH(E167)+1)/12))))-((P167)*(IF((YEAR(D167)+9)&lt;YEAR(E167),0,IF((YEAR(D167)+9)&gt;YEAR(E167),1,(12-MONTH(E167)+1)/12))) + (R167)*(IF((YEAR(D167)+9)&lt;YEAR(E167),0,IF((YEAR(D167)+9)&gt;YEAR(E167),1,(12-MONTH(E167)+1)/12))))-(IF(OR(N167="",N167&lt;=0),0,(O167/N167)*(IF(OR(N167="",N167&lt;=0),0,IF((YEAR(D167)+9)&lt;YEAR(E167),0,IF((YEAR(D167)+9)&gt;=YEAR(E167)+N167,0,IF((YEAR(D167)+9)=YEAR(E167),(12-MONTH(E167)+1)/12,1))))))))&gt;0,(((K167)*(IF(M167="",L167,IFERROR(IF(INDEX(Variablen!$I:$AT, MATCH(M167, Variablen!$A:$A, 0), MATCH((YEAR(D167)+9), Variablen!$I$3:$AT$3, 0))="",L167,INDEX(Variablen!$I:$AT, MATCH(M167, Variablen!$A:$A, 0), MATCH((YEAR(D167)+9), Variablen!$I$3:$AT$3, 0))),L167)))*(IF((YEAR(D167)+9)&lt;YEAR(E167),0,IF((YEAR(D167)+9)&gt;YEAR(E167),1,(12-MONTH(E167)+1)/12))) + (Q167)*(IF((YEAR(D167)+9)&lt;YEAR(E167),0,IF((YEAR(D167)+9)&gt;YEAR(E167),1,(12-MONTH(E167)+1)/12))))-((P167)*(IF((YEAR(D167)+9)&lt;YEAR(E167),0,IF((YEAR(D167)+9)&gt;YEAR(E167),1,(12-MONTH(E167)+1)/12))) + (R167)*(IF((YEAR(D167)+9)&lt;YEAR(E167),0,IF((YEAR(D167)+9)&gt;YEAR(E167),1,(12-MONTH(E167)+1)/12))))-(IF(OR(N167="",N167&lt;=0),0,(O167/N167)*(IF(OR(N167="",N167&lt;=0),0,IF((YEAR(D167)+9)&lt;YEAR(E167),0,IF((YEAR(D167)+9)&gt;=YEAR(E167)+N167,0,IF((YEAR(D167)+9)=YEAR(E167),(12-MONTH(E167)+1)/12,1))))))))*TaxRate,0))-IF(9=0,O167,0))</f>
        <v/>
      </c>
      <c r="AC167" s="29">
        <f>IF(A167="","",((K167)*(IF(M167="",L167,IFERROR(IF(INDEX(Variablen!$I:$AT, MATCH(M167, Variablen!$A:$A, 0), MATCH((YEAR(D167)+10), Variablen!$I$3:$AT$3, 0))="",L167,INDEX(Variablen!$I:$AT, MATCH(M167, Variablen!$A:$A, 0), MATCH((YEAR(D167)+10), Variablen!$I$3:$AT$3, 0))),L167)))*(IF((YEAR(D167)+10)&lt;YEAR(E167),0,IF((YEAR(D167)+10)&gt;YEAR(E167),1,(12-MONTH(E167)+1)/12))) + (Q167)*(IF((YEAR(D167)+10)&lt;YEAR(E167),0,IF((YEAR(D167)+10)&gt;YEAR(E167),1,(12-MONTH(E167)+1)/12))))-((P167)*(IF((YEAR(D167)+10)&lt;YEAR(E167),0,IF((YEAR(D167)+10)&gt;YEAR(E167),1,(12-MONTH(E167)+1)/12))) + (R167)*(IF((YEAR(D167)+10)&lt;YEAR(E167),0,IF((YEAR(D167)+10)&gt;YEAR(E167),1,(12-MONTH(E167)+1)/12))))-(IF((((K167)*(IF(M167="",L167,IFERROR(IF(INDEX(Variablen!$I:$AT, MATCH(M167, Variablen!$A:$A, 0), MATCH((YEAR(D167)+10), Variablen!$I$3:$AT$3, 0))="",L167,INDEX(Variablen!$I:$AT, MATCH(M167, Variablen!$A:$A, 0), MATCH((YEAR(D167)+10), Variablen!$I$3:$AT$3, 0))),L167)))*(IF((YEAR(D167)+10)&lt;YEAR(E167),0,IF((YEAR(D167)+10)&gt;YEAR(E167),1,(12-MONTH(E167)+1)/12))) + (Q167)*(IF((YEAR(D167)+10)&lt;YEAR(E167),0,IF((YEAR(D167)+10)&gt;YEAR(E167),1,(12-MONTH(E167)+1)/12))))-((P167)*(IF((YEAR(D167)+10)&lt;YEAR(E167),0,IF((YEAR(D167)+10)&gt;YEAR(E167),1,(12-MONTH(E167)+1)/12))) + (R167)*(IF((YEAR(D167)+10)&lt;YEAR(E167),0,IF((YEAR(D167)+10)&gt;YEAR(E167),1,(12-MONTH(E167)+1)/12))))-(IF(OR(N167="",N167&lt;=0),0,(O167/N167)*(IF(OR(N167="",N167&lt;=0),0,IF((YEAR(D167)+10)&lt;YEAR(E167),0,IF((YEAR(D167)+10)&gt;=YEAR(E167)+N167,0,IF((YEAR(D167)+10)=YEAR(E167),(12-MONTH(E167)+1)/12,1))))))))&gt;0,(((K167)*(IF(M167="",L167,IFERROR(IF(INDEX(Variablen!$I:$AT, MATCH(M167, Variablen!$A:$A, 0), MATCH((YEAR(D167)+10), Variablen!$I$3:$AT$3, 0))="",L167,INDEX(Variablen!$I:$AT, MATCH(M167, Variablen!$A:$A, 0), MATCH((YEAR(D167)+10), Variablen!$I$3:$AT$3, 0))),L167)))*(IF((YEAR(D167)+10)&lt;YEAR(E167),0,IF((YEAR(D167)+10)&gt;YEAR(E167),1,(12-MONTH(E167)+1)/12))) + (Q167)*(IF((YEAR(D167)+10)&lt;YEAR(E167),0,IF((YEAR(D167)+10)&gt;YEAR(E167),1,(12-MONTH(E167)+1)/12))))-((P167)*(IF((YEAR(D167)+10)&lt;YEAR(E167),0,IF((YEAR(D167)+10)&gt;YEAR(E167),1,(12-MONTH(E167)+1)/12))) + (R167)*(IF((YEAR(D167)+10)&lt;YEAR(E167),0,IF((YEAR(D167)+10)&gt;YEAR(E167),1,(12-MONTH(E167)+1)/12))))-(IF(OR(N167="",N167&lt;=0),0,(O167/N167)*(IF(OR(N167="",N167&lt;=0),0,IF((YEAR(D167)+10)&lt;YEAR(E167),0,IF((YEAR(D167)+10)&gt;=YEAR(E167)+N167,0,IF((YEAR(D167)+10)=YEAR(E167),(12-MONTH(E167)+1)/12,1))))))))*TaxRate,0))-IF(10=0,O167,0))</f>
        <v/>
      </c>
      <c r="AD167" s="29">
        <f>IF(A167="","",((K167)*(IF(M167="",L167,IFERROR(IF(INDEX(Variablen!$I:$AT, MATCH(M167, Variablen!$A:$A, 0), MATCH((YEAR(D167)+11), Variablen!$I$3:$AT$3, 0))="",L167,INDEX(Variablen!$I:$AT, MATCH(M167, Variablen!$A:$A, 0), MATCH((YEAR(D167)+11), Variablen!$I$3:$AT$3, 0))),L167)))*(IF((YEAR(D167)+11)&lt;YEAR(E167),0,IF((YEAR(D167)+11)&gt;YEAR(E167),1,(12-MONTH(E167)+1)/12))) + (Q167)*(IF((YEAR(D167)+11)&lt;YEAR(E167),0,IF((YEAR(D167)+11)&gt;YEAR(E167),1,(12-MONTH(E167)+1)/12))))-((P167)*(IF((YEAR(D167)+11)&lt;YEAR(E167),0,IF((YEAR(D167)+11)&gt;YEAR(E167),1,(12-MONTH(E167)+1)/12))) + (R167)*(IF((YEAR(D167)+11)&lt;YEAR(E167),0,IF((YEAR(D167)+11)&gt;YEAR(E167),1,(12-MONTH(E167)+1)/12))))-(IF((((K167)*(IF(M167="",L167,IFERROR(IF(INDEX(Variablen!$I:$AT, MATCH(M167, Variablen!$A:$A, 0), MATCH((YEAR(D167)+11), Variablen!$I$3:$AT$3, 0))="",L167,INDEX(Variablen!$I:$AT, MATCH(M167, Variablen!$A:$A, 0), MATCH((YEAR(D167)+11), Variablen!$I$3:$AT$3, 0))),L167)))*(IF((YEAR(D167)+11)&lt;YEAR(E167),0,IF((YEAR(D167)+11)&gt;YEAR(E167),1,(12-MONTH(E167)+1)/12))) + (Q167)*(IF((YEAR(D167)+11)&lt;YEAR(E167),0,IF((YEAR(D167)+11)&gt;YEAR(E167),1,(12-MONTH(E167)+1)/12))))-((P167)*(IF((YEAR(D167)+11)&lt;YEAR(E167),0,IF((YEAR(D167)+11)&gt;YEAR(E167),1,(12-MONTH(E167)+1)/12))) + (R167)*(IF((YEAR(D167)+11)&lt;YEAR(E167),0,IF((YEAR(D167)+11)&gt;YEAR(E167),1,(12-MONTH(E167)+1)/12))))-(IF(OR(N167="",N167&lt;=0),0,(O167/N167)*(IF(OR(N167="",N167&lt;=0),0,IF((YEAR(D167)+11)&lt;YEAR(E167),0,IF((YEAR(D167)+11)&gt;=YEAR(E167)+N167,0,IF((YEAR(D167)+11)=YEAR(E167),(12-MONTH(E167)+1)/12,1))))))))&gt;0,(((K167)*(IF(M167="",L167,IFERROR(IF(INDEX(Variablen!$I:$AT, MATCH(M167, Variablen!$A:$A, 0), MATCH((YEAR(D167)+11), Variablen!$I$3:$AT$3, 0))="",L167,INDEX(Variablen!$I:$AT, MATCH(M167, Variablen!$A:$A, 0), MATCH((YEAR(D167)+11), Variablen!$I$3:$AT$3, 0))),L167)))*(IF((YEAR(D167)+11)&lt;YEAR(E167),0,IF((YEAR(D167)+11)&gt;YEAR(E167),1,(12-MONTH(E167)+1)/12))) + (Q167)*(IF((YEAR(D167)+11)&lt;YEAR(E167),0,IF((YEAR(D167)+11)&gt;YEAR(E167),1,(12-MONTH(E167)+1)/12))))-((P167)*(IF((YEAR(D167)+11)&lt;YEAR(E167),0,IF((YEAR(D167)+11)&gt;YEAR(E167),1,(12-MONTH(E167)+1)/12))) + (R167)*(IF((YEAR(D167)+11)&lt;YEAR(E167),0,IF((YEAR(D167)+11)&gt;YEAR(E167),1,(12-MONTH(E167)+1)/12))))-(IF(OR(N167="",N167&lt;=0),0,(O167/N167)*(IF(OR(N167="",N167&lt;=0),0,IF((YEAR(D167)+11)&lt;YEAR(E167),0,IF((YEAR(D167)+11)&gt;=YEAR(E167)+N167,0,IF((YEAR(D167)+11)=YEAR(E167),(12-MONTH(E167)+1)/12,1))))))))*TaxRate,0))-IF(11=0,O167,0))</f>
        <v/>
      </c>
      <c r="AE167" s="29">
        <f>IF(A167="","",((K167)*(IF(M167="",L167,IFERROR(IF(INDEX(Variablen!$I:$AT, MATCH(M167, Variablen!$A:$A, 0), MATCH((YEAR(D167)+12), Variablen!$I$3:$AT$3, 0))="",L167,INDEX(Variablen!$I:$AT, MATCH(M167, Variablen!$A:$A, 0), MATCH((YEAR(D167)+12), Variablen!$I$3:$AT$3, 0))),L167)))*(IF((YEAR(D167)+12)&lt;YEAR(E167),0,IF((YEAR(D167)+12)&gt;YEAR(E167),1,(12-MONTH(E167)+1)/12))) + (Q167)*(IF((YEAR(D167)+12)&lt;YEAR(E167),0,IF((YEAR(D167)+12)&gt;YEAR(E167),1,(12-MONTH(E167)+1)/12))))-((P167)*(IF((YEAR(D167)+12)&lt;YEAR(E167),0,IF((YEAR(D167)+12)&gt;YEAR(E167),1,(12-MONTH(E167)+1)/12))) + (R167)*(IF((YEAR(D167)+12)&lt;YEAR(E167),0,IF((YEAR(D167)+12)&gt;YEAR(E167),1,(12-MONTH(E167)+1)/12))))-(IF((((K167)*(IF(M167="",L167,IFERROR(IF(INDEX(Variablen!$I:$AT, MATCH(M167, Variablen!$A:$A, 0), MATCH((YEAR(D167)+12), Variablen!$I$3:$AT$3, 0))="",L167,INDEX(Variablen!$I:$AT, MATCH(M167, Variablen!$A:$A, 0), MATCH((YEAR(D167)+12), Variablen!$I$3:$AT$3, 0))),L167)))*(IF((YEAR(D167)+12)&lt;YEAR(E167),0,IF((YEAR(D167)+12)&gt;YEAR(E167),1,(12-MONTH(E167)+1)/12))) + (Q167)*(IF((YEAR(D167)+12)&lt;YEAR(E167),0,IF((YEAR(D167)+12)&gt;YEAR(E167),1,(12-MONTH(E167)+1)/12))))-((P167)*(IF((YEAR(D167)+12)&lt;YEAR(E167),0,IF((YEAR(D167)+12)&gt;YEAR(E167),1,(12-MONTH(E167)+1)/12))) + (R167)*(IF((YEAR(D167)+12)&lt;YEAR(E167),0,IF((YEAR(D167)+12)&gt;YEAR(E167),1,(12-MONTH(E167)+1)/12))))-(IF(OR(N167="",N167&lt;=0),0,(O167/N167)*(IF(OR(N167="",N167&lt;=0),0,IF((YEAR(D167)+12)&lt;YEAR(E167),0,IF((YEAR(D167)+12)&gt;=YEAR(E167)+N167,0,IF((YEAR(D167)+12)=YEAR(E167),(12-MONTH(E167)+1)/12,1))))))))&gt;0,(((K167)*(IF(M167="",L167,IFERROR(IF(INDEX(Variablen!$I:$AT, MATCH(M167, Variablen!$A:$A, 0), MATCH((YEAR(D167)+12), Variablen!$I$3:$AT$3, 0))="",L167,INDEX(Variablen!$I:$AT, MATCH(M167, Variablen!$A:$A, 0), MATCH((YEAR(D167)+12), Variablen!$I$3:$AT$3, 0))),L167)))*(IF((YEAR(D167)+12)&lt;YEAR(E167),0,IF((YEAR(D167)+12)&gt;YEAR(E167),1,(12-MONTH(E167)+1)/12))) + (Q167)*(IF((YEAR(D167)+12)&lt;YEAR(E167),0,IF((YEAR(D167)+12)&gt;YEAR(E167),1,(12-MONTH(E167)+1)/12))))-((P167)*(IF((YEAR(D167)+12)&lt;YEAR(E167),0,IF((YEAR(D167)+12)&gt;YEAR(E167),1,(12-MONTH(E167)+1)/12))) + (R167)*(IF((YEAR(D167)+12)&lt;YEAR(E167),0,IF((YEAR(D167)+12)&gt;YEAR(E167),1,(12-MONTH(E167)+1)/12))))-(IF(OR(N167="",N167&lt;=0),0,(O167/N167)*(IF(OR(N167="",N167&lt;=0),0,IF((YEAR(D167)+12)&lt;YEAR(E167),0,IF((YEAR(D167)+12)&gt;=YEAR(E167)+N167,0,IF((YEAR(D167)+12)=YEAR(E167),(12-MONTH(E167)+1)/12,1))))))))*TaxRate,0))-IF(12=0,O167,0))</f>
        <v/>
      </c>
      <c r="AF167" s="29">
        <f>IF(A167="","",((K167)*(IF(M167="",L167,IFERROR(IF(INDEX(Variablen!$I:$AT, MATCH(M167, Variablen!$A:$A, 0), MATCH((YEAR(D167)+13), Variablen!$I$3:$AT$3, 0))="",L167,INDEX(Variablen!$I:$AT, MATCH(M167, Variablen!$A:$A, 0), MATCH((YEAR(D167)+13), Variablen!$I$3:$AT$3, 0))),L167)))*(IF((YEAR(D167)+13)&lt;YEAR(E167),0,IF((YEAR(D167)+13)&gt;YEAR(E167),1,(12-MONTH(E167)+1)/12))) + (Q167)*(IF((YEAR(D167)+13)&lt;YEAR(E167),0,IF((YEAR(D167)+13)&gt;YEAR(E167),1,(12-MONTH(E167)+1)/12))))-((P167)*(IF((YEAR(D167)+13)&lt;YEAR(E167),0,IF((YEAR(D167)+13)&gt;YEAR(E167),1,(12-MONTH(E167)+1)/12))) + (R167)*(IF((YEAR(D167)+13)&lt;YEAR(E167),0,IF((YEAR(D167)+13)&gt;YEAR(E167),1,(12-MONTH(E167)+1)/12))))-(IF((((K167)*(IF(M167="",L167,IFERROR(IF(INDEX(Variablen!$I:$AT, MATCH(M167, Variablen!$A:$A, 0), MATCH((YEAR(D167)+13), Variablen!$I$3:$AT$3, 0))="",L167,INDEX(Variablen!$I:$AT, MATCH(M167, Variablen!$A:$A, 0), MATCH((YEAR(D167)+13), Variablen!$I$3:$AT$3, 0))),L167)))*(IF((YEAR(D167)+13)&lt;YEAR(E167),0,IF((YEAR(D167)+13)&gt;YEAR(E167),1,(12-MONTH(E167)+1)/12))) + (Q167)*(IF((YEAR(D167)+13)&lt;YEAR(E167),0,IF((YEAR(D167)+13)&gt;YEAR(E167),1,(12-MONTH(E167)+1)/12))))-((P167)*(IF((YEAR(D167)+13)&lt;YEAR(E167),0,IF((YEAR(D167)+13)&gt;YEAR(E167),1,(12-MONTH(E167)+1)/12))) + (R167)*(IF((YEAR(D167)+13)&lt;YEAR(E167),0,IF((YEAR(D167)+13)&gt;YEAR(E167),1,(12-MONTH(E167)+1)/12))))-(IF(OR(N167="",N167&lt;=0),0,(O167/N167)*(IF(OR(N167="",N167&lt;=0),0,IF((YEAR(D167)+13)&lt;YEAR(E167),0,IF((YEAR(D167)+13)&gt;=YEAR(E167)+N167,0,IF((YEAR(D167)+13)=YEAR(E167),(12-MONTH(E167)+1)/12,1))))))))&gt;0,(((K167)*(IF(M167="",L167,IFERROR(IF(INDEX(Variablen!$I:$AT, MATCH(M167, Variablen!$A:$A, 0), MATCH((YEAR(D167)+13), Variablen!$I$3:$AT$3, 0))="",L167,INDEX(Variablen!$I:$AT, MATCH(M167, Variablen!$A:$A, 0), MATCH((YEAR(D167)+13), Variablen!$I$3:$AT$3, 0))),L167)))*(IF((YEAR(D167)+13)&lt;YEAR(E167),0,IF((YEAR(D167)+13)&gt;YEAR(E167),1,(12-MONTH(E167)+1)/12))) + (Q167)*(IF((YEAR(D167)+13)&lt;YEAR(E167),0,IF((YEAR(D167)+13)&gt;YEAR(E167),1,(12-MONTH(E167)+1)/12))))-((P167)*(IF((YEAR(D167)+13)&lt;YEAR(E167),0,IF((YEAR(D167)+13)&gt;YEAR(E167),1,(12-MONTH(E167)+1)/12))) + (R167)*(IF((YEAR(D167)+13)&lt;YEAR(E167),0,IF((YEAR(D167)+13)&gt;YEAR(E167),1,(12-MONTH(E167)+1)/12))))-(IF(OR(N167="",N167&lt;=0),0,(O167/N167)*(IF(OR(N167="",N167&lt;=0),0,IF((YEAR(D167)+13)&lt;YEAR(E167),0,IF((YEAR(D167)+13)&gt;=YEAR(E167)+N167,0,IF((YEAR(D167)+13)=YEAR(E167),(12-MONTH(E167)+1)/12,1))))))))*TaxRate,0))-IF(13=0,O167,0))</f>
        <v/>
      </c>
      <c r="AG167" s="29">
        <f>IF(A167="","",((K167)*(IF(M167="",L167,IFERROR(IF(INDEX(Variablen!$I:$AT, MATCH(M167, Variablen!$A:$A, 0), MATCH((YEAR(D167)+14), Variablen!$I$3:$AT$3, 0))="",L167,INDEX(Variablen!$I:$AT, MATCH(M167, Variablen!$A:$A, 0), MATCH((YEAR(D167)+14), Variablen!$I$3:$AT$3, 0))),L167)))*(IF((YEAR(D167)+14)&lt;YEAR(E167),0,IF((YEAR(D167)+14)&gt;YEAR(E167),1,(12-MONTH(E167)+1)/12))) + (Q167)*(IF((YEAR(D167)+14)&lt;YEAR(E167),0,IF((YEAR(D167)+14)&gt;YEAR(E167),1,(12-MONTH(E167)+1)/12))))-((P167)*(IF((YEAR(D167)+14)&lt;YEAR(E167),0,IF((YEAR(D167)+14)&gt;YEAR(E167),1,(12-MONTH(E167)+1)/12))) + (R167)*(IF((YEAR(D167)+14)&lt;YEAR(E167),0,IF((YEAR(D167)+14)&gt;YEAR(E167),1,(12-MONTH(E167)+1)/12))))-(IF((((K167)*(IF(M167="",L167,IFERROR(IF(INDEX(Variablen!$I:$AT, MATCH(M167, Variablen!$A:$A, 0), MATCH((YEAR(D167)+14), Variablen!$I$3:$AT$3, 0))="",L167,INDEX(Variablen!$I:$AT, MATCH(M167, Variablen!$A:$A, 0), MATCH((YEAR(D167)+14), Variablen!$I$3:$AT$3, 0))),L167)))*(IF((YEAR(D167)+14)&lt;YEAR(E167),0,IF((YEAR(D167)+14)&gt;YEAR(E167),1,(12-MONTH(E167)+1)/12))) + (Q167)*(IF((YEAR(D167)+14)&lt;YEAR(E167),0,IF((YEAR(D167)+14)&gt;YEAR(E167),1,(12-MONTH(E167)+1)/12))))-((P167)*(IF((YEAR(D167)+14)&lt;YEAR(E167),0,IF((YEAR(D167)+14)&gt;YEAR(E167),1,(12-MONTH(E167)+1)/12))) + (R167)*(IF((YEAR(D167)+14)&lt;YEAR(E167),0,IF((YEAR(D167)+14)&gt;YEAR(E167),1,(12-MONTH(E167)+1)/12))))-(IF(OR(N167="",N167&lt;=0),0,(O167/N167)*(IF(OR(N167="",N167&lt;=0),0,IF((YEAR(D167)+14)&lt;YEAR(E167),0,IF((YEAR(D167)+14)&gt;=YEAR(E167)+N167,0,IF((YEAR(D167)+14)=YEAR(E167),(12-MONTH(E167)+1)/12,1))))))))&gt;0,(((K167)*(IF(M167="",L167,IFERROR(IF(INDEX(Variablen!$I:$AT, MATCH(M167, Variablen!$A:$A, 0), MATCH((YEAR(D167)+14), Variablen!$I$3:$AT$3, 0))="",L167,INDEX(Variablen!$I:$AT, MATCH(M167, Variablen!$A:$A, 0), MATCH((YEAR(D167)+14), Variablen!$I$3:$AT$3, 0))),L167)))*(IF((YEAR(D167)+14)&lt;YEAR(E167),0,IF((YEAR(D167)+14)&gt;YEAR(E167),1,(12-MONTH(E167)+1)/12))) + (Q167)*(IF((YEAR(D167)+14)&lt;YEAR(E167),0,IF((YEAR(D167)+14)&gt;YEAR(E167),1,(12-MONTH(E167)+1)/12))))-((P167)*(IF((YEAR(D167)+14)&lt;YEAR(E167),0,IF((YEAR(D167)+14)&gt;YEAR(E167),1,(12-MONTH(E167)+1)/12))) + (R167)*(IF((YEAR(D167)+14)&lt;YEAR(E167),0,IF((YEAR(D167)+14)&gt;YEAR(E167),1,(12-MONTH(E167)+1)/12))))-(IF(OR(N167="",N167&lt;=0),0,(O167/N167)*(IF(OR(N167="",N167&lt;=0),0,IF((YEAR(D167)+14)&lt;YEAR(E167),0,IF((YEAR(D167)+14)&gt;=YEAR(E167)+N167,0,IF((YEAR(D167)+14)=YEAR(E167),(12-MONTH(E167)+1)/12,1))))))))*TaxRate,0))-IF(14=0,O167,0))</f>
        <v/>
      </c>
      <c r="AH167" s="29">
        <f>IF(A167="","",((K167)*(IF(M167="",L167,IFERROR(IF(INDEX(Variablen!$I:$AT, MATCH(M167, Variablen!$A:$A, 0), MATCH((YEAR(D167)+15), Variablen!$I$3:$AT$3, 0))="",L167,INDEX(Variablen!$I:$AT, MATCH(M167, Variablen!$A:$A, 0), MATCH((YEAR(D167)+15), Variablen!$I$3:$AT$3, 0))),L167)))*(IF((YEAR(D167)+15)&lt;YEAR(E167),0,IF((YEAR(D167)+15)&gt;YEAR(E167),1,(12-MONTH(E167)+1)/12))) + (Q167)*(IF((YEAR(D167)+15)&lt;YEAR(E167),0,IF((YEAR(D167)+15)&gt;YEAR(E167),1,(12-MONTH(E167)+1)/12))))-((P167)*(IF((YEAR(D167)+15)&lt;YEAR(E167),0,IF((YEAR(D167)+15)&gt;YEAR(E167),1,(12-MONTH(E167)+1)/12))) + (R167)*(IF((YEAR(D167)+15)&lt;YEAR(E167),0,IF((YEAR(D167)+15)&gt;YEAR(E167),1,(12-MONTH(E167)+1)/12))))-(IF((((K167)*(IF(M167="",L167,IFERROR(IF(INDEX(Variablen!$I:$AT, MATCH(M167, Variablen!$A:$A, 0), MATCH((YEAR(D167)+15), Variablen!$I$3:$AT$3, 0))="",L167,INDEX(Variablen!$I:$AT, MATCH(M167, Variablen!$A:$A, 0), MATCH((YEAR(D167)+15), Variablen!$I$3:$AT$3, 0))),L167)))*(IF((YEAR(D167)+15)&lt;YEAR(E167),0,IF((YEAR(D167)+15)&gt;YEAR(E167),1,(12-MONTH(E167)+1)/12))) + (Q167)*(IF((YEAR(D167)+15)&lt;YEAR(E167),0,IF((YEAR(D167)+15)&gt;YEAR(E167),1,(12-MONTH(E167)+1)/12))))-((P167)*(IF((YEAR(D167)+15)&lt;YEAR(E167),0,IF((YEAR(D167)+15)&gt;YEAR(E167),1,(12-MONTH(E167)+1)/12))) + (R167)*(IF((YEAR(D167)+15)&lt;YEAR(E167),0,IF((YEAR(D167)+15)&gt;YEAR(E167),1,(12-MONTH(E167)+1)/12))))-(IF(OR(N167="",N167&lt;=0),0,(O167/N167)*(IF(OR(N167="",N167&lt;=0),0,IF((YEAR(D167)+15)&lt;YEAR(E167),0,IF((YEAR(D167)+15)&gt;=YEAR(E167)+N167,0,IF((YEAR(D167)+15)=YEAR(E167),(12-MONTH(E167)+1)/12,1))))))))&gt;0,(((K167)*(IF(M167="",L167,IFERROR(IF(INDEX(Variablen!$I:$AT, MATCH(M167, Variablen!$A:$A, 0), MATCH((YEAR(D167)+15), Variablen!$I$3:$AT$3, 0))="",L167,INDEX(Variablen!$I:$AT, MATCH(M167, Variablen!$A:$A, 0), MATCH((YEAR(D167)+15), Variablen!$I$3:$AT$3, 0))),L167)))*(IF((YEAR(D167)+15)&lt;YEAR(E167),0,IF((YEAR(D167)+15)&gt;YEAR(E167),1,(12-MONTH(E167)+1)/12))) + (Q167)*(IF((YEAR(D167)+15)&lt;YEAR(E167),0,IF((YEAR(D167)+15)&gt;YEAR(E167),1,(12-MONTH(E167)+1)/12))))-((P167)*(IF((YEAR(D167)+15)&lt;YEAR(E167),0,IF((YEAR(D167)+15)&gt;YEAR(E167),1,(12-MONTH(E167)+1)/12))) + (R167)*(IF((YEAR(D167)+15)&lt;YEAR(E167),0,IF((YEAR(D167)+15)&gt;YEAR(E167),1,(12-MONTH(E167)+1)/12))))-(IF(OR(N167="",N167&lt;=0),0,(O167/N167)*(IF(OR(N167="",N167&lt;=0),0,IF((YEAR(D167)+15)&lt;YEAR(E167),0,IF((YEAR(D167)+15)&gt;=YEAR(E167)+N167,0,IF((YEAR(D167)+15)=YEAR(E167),(12-MONTH(E167)+1)/12,1))))))))*TaxRate,0))-IF(15=0,O167,0))</f>
        <v/>
      </c>
      <c r="AI167" s="29">
        <f>IF(A167="","",((K167)*(IF(M167="",L167,IFERROR(IF(INDEX(Variablen!$I:$AT, MATCH(M167, Variablen!$A:$A, 0), MATCH((YEAR(D167)+16), Variablen!$I$3:$AT$3, 0))="",L167,INDEX(Variablen!$I:$AT, MATCH(M167, Variablen!$A:$A, 0), MATCH((YEAR(D167)+16), Variablen!$I$3:$AT$3, 0))),L167)))*(IF((YEAR(D167)+16)&lt;YEAR(E167),0,IF((YEAR(D167)+16)&gt;YEAR(E167),1,(12-MONTH(E167)+1)/12))) + (Q167)*(IF((YEAR(D167)+16)&lt;YEAR(E167),0,IF((YEAR(D167)+16)&gt;YEAR(E167),1,(12-MONTH(E167)+1)/12))))-((P167)*(IF((YEAR(D167)+16)&lt;YEAR(E167),0,IF((YEAR(D167)+16)&gt;YEAR(E167),1,(12-MONTH(E167)+1)/12))) + (R167)*(IF((YEAR(D167)+16)&lt;YEAR(E167),0,IF((YEAR(D167)+16)&gt;YEAR(E167),1,(12-MONTH(E167)+1)/12))))-(IF((((K167)*(IF(M167="",L167,IFERROR(IF(INDEX(Variablen!$I:$AT, MATCH(M167, Variablen!$A:$A, 0), MATCH((YEAR(D167)+16), Variablen!$I$3:$AT$3, 0))="",L167,INDEX(Variablen!$I:$AT, MATCH(M167, Variablen!$A:$A, 0), MATCH((YEAR(D167)+16), Variablen!$I$3:$AT$3, 0))),L167)))*(IF((YEAR(D167)+16)&lt;YEAR(E167),0,IF((YEAR(D167)+16)&gt;YEAR(E167),1,(12-MONTH(E167)+1)/12))) + (Q167)*(IF((YEAR(D167)+16)&lt;YEAR(E167),0,IF((YEAR(D167)+16)&gt;YEAR(E167),1,(12-MONTH(E167)+1)/12))))-((P167)*(IF((YEAR(D167)+16)&lt;YEAR(E167),0,IF((YEAR(D167)+16)&gt;YEAR(E167),1,(12-MONTH(E167)+1)/12))) + (R167)*(IF((YEAR(D167)+16)&lt;YEAR(E167),0,IF((YEAR(D167)+16)&gt;YEAR(E167),1,(12-MONTH(E167)+1)/12))))-(IF(OR(N167="",N167&lt;=0),0,(O167/N167)*(IF(OR(N167="",N167&lt;=0),0,IF((YEAR(D167)+16)&lt;YEAR(E167),0,IF((YEAR(D167)+16)&gt;=YEAR(E167)+N167,0,IF((YEAR(D167)+16)=YEAR(E167),(12-MONTH(E167)+1)/12,1))))))))&gt;0,(((K167)*(IF(M167="",L167,IFERROR(IF(INDEX(Variablen!$I:$AT, MATCH(M167, Variablen!$A:$A, 0), MATCH((YEAR(D167)+16), Variablen!$I$3:$AT$3, 0))="",L167,INDEX(Variablen!$I:$AT, MATCH(M167, Variablen!$A:$A, 0), MATCH((YEAR(D167)+16), Variablen!$I$3:$AT$3, 0))),L167)))*(IF((YEAR(D167)+16)&lt;YEAR(E167),0,IF((YEAR(D167)+16)&gt;YEAR(E167),1,(12-MONTH(E167)+1)/12))) + (Q167)*(IF((YEAR(D167)+16)&lt;YEAR(E167),0,IF((YEAR(D167)+16)&gt;YEAR(E167),1,(12-MONTH(E167)+1)/12))))-((P167)*(IF((YEAR(D167)+16)&lt;YEAR(E167),0,IF((YEAR(D167)+16)&gt;YEAR(E167),1,(12-MONTH(E167)+1)/12))) + (R167)*(IF((YEAR(D167)+16)&lt;YEAR(E167),0,IF((YEAR(D167)+16)&gt;YEAR(E167),1,(12-MONTH(E167)+1)/12))))-(IF(OR(N167="",N167&lt;=0),0,(O167/N167)*(IF(OR(N167="",N167&lt;=0),0,IF((YEAR(D167)+16)&lt;YEAR(E167),0,IF((YEAR(D167)+16)&gt;=YEAR(E167)+N167,0,IF((YEAR(D167)+16)=YEAR(E167),(12-MONTH(E167)+1)/12,1))))))))*TaxRate,0))-IF(16=0,O167,0))</f>
        <v/>
      </c>
      <c r="AJ167" s="29">
        <f>IF(A167="","",((K167)*(IF(M167="",L167,IFERROR(IF(INDEX(Variablen!$I:$AT, MATCH(M167, Variablen!$A:$A, 0), MATCH((YEAR(D167)+17), Variablen!$I$3:$AT$3, 0))="",L167,INDEX(Variablen!$I:$AT, MATCH(M167, Variablen!$A:$A, 0), MATCH((YEAR(D167)+17), Variablen!$I$3:$AT$3, 0))),L167)))*(IF((YEAR(D167)+17)&lt;YEAR(E167),0,IF((YEAR(D167)+17)&gt;YEAR(E167),1,(12-MONTH(E167)+1)/12))) + (Q167)*(IF((YEAR(D167)+17)&lt;YEAR(E167),0,IF((YEAR(D167)+17)&gt;YEAR(E167),1,(12-MONTH(E167)+1)/12))))-((P167)*(IF((YEAR(D167)+17)&lt;YEAR(E167),0,IF((YEAR(D167)+17)&gt;YEAR(E167),1,(12-MONTH(E167)+1)/12))) + (R167)*(IF((YEAR(D167)+17)&lt;YEAR(E167),0,IF((YEAR(D167)+17)&gt;YEAR(E167),1,(12-MONTH(E167)+1)/12))))-(IF((((K167)*(IF(M167="",L167,IFERROR(IF(INDEX(Variablen!$I:$AT, MATCH(M167, Variablen!$A:$A, 0), MATCH((YEAR(D167)+17), Variablen!$I$3:$AT$3, 0))="",L167,INDEX(Variablen!$I:$AT, MATCH(M167, Variablen!$A:$A, 0), MATCH((YEAR(D167)+17), Variablen!$I$3:$AT$3, 0))),L167)))*(IF((YEAR(D167)+17)&lt;YEAR(E167),0,IF((YEAR(D167)+17)&gt;YEAR(E167),1,(12-MONTH(E167)+1)/12))) + (Q167)*(IF((YEAR(D167)+17)&lt;YEAR(E167),0,IF((YEAR(D167)+17)&gt;YEAR(E167),1,(12-MONTH(E167)+1)/12))))-((P167)*(IF((YEAR(D167)+17)&lt;YEAR(E167),0,IF((YEAR(D167)+17)&gt;YEAR(E167),1,(12-MONTH(E167)+1)/12))) + (R167)*(IF((YEAR(D167)+17)&lt;YEAR(E167),0,IF((YEAR(D167)+17)&gt;YEAR(E167),1,(12-MONTH(E167)+1)/12))))-(IF(OR(N167="",N167&lt;=0),0,(O167/N167)*(IF(OR(N167="",N167&lt;=0),0,IF((YEAR(D167)+17)&lt;YEAR(E167),0,IF((YEAR(D167)+17)&gt;=YEAR(E167)+N167,0,IF((YEAR(D167)+17)=YEAR(E167),(12-MONTH(E167)+1)/12,1))))))))&gt;0,(((K167)*(IF(M167="",L167,IFERROR(IF(INDEX(Variablen!$I:$AT, MATCH(M167, Variablen!$A:$A, 0), MATCH((YEAR(D167)+17), Variablen!$I$3:$AT$3, 0))="",L167,INDEX(Variablen!$I:$AT, MATCH(M167, Variablen!$A:$A, 0), MATCH((YEAR(D167)+17), Variablen!$I$3:$AT$3, 0))),L167)))*(IF((YEAR(D167)+17)&lt;YEAR(E167),0,IF((YEAR(D167)+17)&gt;YEAR(E167),1,(12-MONTH(E167)+1)/12))) + (Q167)*(IF((YEAR(D167)+17)&lt;YEAR(E167),0,IF((YEAR(D167)+17)&gt;YEAR(E167),1,(12-MONTH(E167)+1)/12))))-((P167)*(IF((YEAR(D167)+17)&lt;YEAR(E167),0,IF((YEAR(D167)+17)&gt;YEAR(E167),1,(12-MONTH(E167)+1)/12))) + (R167)*(IF((YEAR(D167)+17)&lt;YEAR(E167),0,IF((YEAR(D167)+17)&gt;YEAR(E167),1,(12-MONTH(E167)+1)/12))))-(IF(OR(N167="",N167&lt;=0),0,(O167/N167)*(IF(OR(N167="",N167&lt;=0),0,IF((YEAR(D167)+17)&lt;YEAR(E167),0,IF((YEAR(D167)+17)&gt;=YEAR(E167)+N167,0,IF((YEAR(D167)+17)=YEAR(E167),(12-MONTH(E167)+1)/12,1))))))))*TaxRate,0))-IF(17=0,O167,0))</f>
        <v/>
      </c>
      <c r="AK167" s="29">
        <f>IF(A167="","",((K167)*(IF(M167="",L167,IFERROR(IF(INDEX(Variablen!$I:$AT, MATCH(M167, Variablen!$A:$A, 0), MATCH((YEAR(D167)+18), Variablen!$I$3:$AT$3, 0))="",L167,INDEX(Variablen!$I:$AT, MATCH(M167, Variablen!$A:$A, 0), MATCH((YEAR(D167)+18), Variablen!$I$3:$AT$3, 0))),L167)))*(IF((YEAR(D167)+18)&lt;YEAR(E167),0,IF((YEAR(D167)+18)&gt;YEAR(E167),1,(12-MONTH(E167)+1)/12))) + (Q167)*(IF((YEAR(D167)+18)&lt;YEAR(E167),0,IF((YEAR(D167)+18)&gt;YEAR(E167),1,(12-MONTH(E167)+1)/12))))-((P167)*(IF((YEAR(D167)+18)&lt;YEAR(E167),0,IF((YEAR(D167)+18)&gt;YEAR(E167),1,(12-MONTH(E167)+1)/12))) + (R167)*(IF((YEAR(D167)+18)&lt;YEAR(E167),0,IF((YEAR(D167)+18)&gt;YEAR(E167),1,(12-MONTH(E167)+1)/12))))-(IF((((K167)*(IF(M167="",L167,IFERROR(IF(INDEX(Variablen!$I:$AT, MATCH(M167, Variablen!$A:$A, 0), MATCH((YEAR(D167)+18), Variablen!$I$3:$AT$3, 0))="",L167,INDEX(Variablen!$I:$AT, MATCH(M167, Variablen!$A:$A, 0), MATCH((YEAR(D167)+18), Variablen!$I$3:$AT$3, 0))),L167)))*(IF((YEAR(D167)+18)&lt;YEAR(E167),0,IF((YEAR(D167)+18)&gt;YEAR(E167),1,(12-MONTH(E167)+1)/12))) + (Q167)*(IF((YEAR(D167)+18)&lt;YEAR(E167),0,IF((YEAR(D167)+18)&gt;YEAR(E167),1,(12-MONTH(E167)+1)/12))))-((P167)*(IF((YEAR(D167)+18)&lt;YEAR(E167),0,IF((YEAR(D167)+18)&gt;YEAR(E167),1,(12-MONTH(E167)+1)/12))) + (R167)*(IF((YEAR(D167)+18)&lt;YEAR(E167),0,IF((YEAR(D167)+18)&gt;YEAR(E167),1,(12-MONTH(E167)+1)/12))))-(IF(OR(N167="",N167&lt;=0),0,(O167/N167)*(IF(OR(N167="",N167&lt;=0),0,IF((YEAR(D167)+18)&lt;YEAR(E167),0,IF((YEAR(D167)+18)&gt;=YEAR(E167)+N167,0,IF((YEAR(D167)+18)=YEAR(E167),(12-MONTH(E167)+1)/12,1))))))))&gt;0,(((K167)*(IF(M167="",L167,IFERROR(IF(INDEX(Variablen!$I:$AT, MATCH(M167, Variablen!$A:$A, 0), MATCH((YEAR(D167)+18), Variablen!$I$3:$AT$3, 0))="",L167,INDEX(Variablen!$I:$AT, MATCH(M167, Variablen!$A:$A, 0), MATCH((YEAR(D167)+18), Variablen!$I$3:$AT$3, 0))),L167)))*(IF((YEAR(D167)+18)&lt;YEAR(E167),0,IF((YEAR(D167)+18)&gt;YEAR(E167),1,(12-MONTH(E167)+1)/12))) + (Q167)*(IF((YEAR(D167)+18)&lt;YEAR(E167),0,IF((YEAR(D167)+18)&gt;YEAR(E167),1,(12-MONTH(E167)+1)/12))))-((P167)*(IF((YEAR(D167)+18)&lt;YEAR(E167),0,IF((YEAR(D167)+18)&gt;YEAR(E167),1,(12-MONTH(E167)+1)/12))) + (R167)*(IF((YEAR(D167)+18)&lt;YEAR(E167),0,IF((YEAR(D167)+18)&gt;YEAR(E167),1,(12-MONTH(E167)+1)/12))))-(IF(OR(N167="",N167&lt;=0),0,(O167/N167)*(IF(OR(N167="",N167&lt;=0),0,IF((YEAR(D167)+18)&lt;YEAR(E167),0,IF((YEAR(D167)+18)&gt;=YEAR(E167)+N167,0,IF((YEAR(D167)+18)=YEAR(E167),(12-MONTH(E167)+1)/12,1))))))))*TaxRate,0))-IF(18=0,O167,0))</f>
        <v/>
      </c>
      <c r="AL167" s="29">
        <f>IF(A167="","",((K167)*(IF(M167="",L167,IFERROR(IF(INDEX(Variablen!$I:$AT, MATCH(M167, Variablen!$A:$A, 0), MATCH((YEAR(D167)+19), Variablen!$I$3:$AT$3, 0))="",L167,INDEX(Variablen!$I:$AT, MATCH(M167, Variablen!$A:$A, 0), MATCH((YEAR(D167)+19), Variablen!$I$3:$AT$3, 0))),L167)))*(IF((YEAR(D167)+19)&lt;YEAR(E167),0,IF((YEAR(D167)+19)&gt;YEAR(E167),1,(12-MONTH(E167)+1)/12))) + (Q167)*(IF((YEAR(D167)+19)&lt;YEAR(E167),0,IF((YEAR(D167)+19)&gt;YEAR(E167),1,(12-MONTH(E167)+1)/12))))-((P167)*(IF((YEAR(D167)+19)&lt;YEAR(E167),0,IF((YEAR(D167)+19)&gt;YEAR(E167),1,(12-MONTH(E167)+1)/12))) + (R167)*(IF((YEAR(D167)+19)&lt;YEAR(E167),0,IF((YEAR(D167)+19)&gt;YEAR(E167),1,(12-MONTH(E167)+1)/12))))-(IF((((K167)*(IF(M167="",L167,IFERROR(IF(INDEX(Variablen!$I:$AT, MATCH(M167, Variablen!$A:$A, 0), MATCH((YEAR(D167)+19), Variablen!$I$3:$AT$3, 0))="",L167,INDEX(Variablen!$I:$AT, MATCH(M167, Variablen!$A:$A, 0), MATCH((YEAR(D167)+19), Variablen!$I$3:$AT$3, 0))),L167)))*(IF((YEAR(D167)+19)&lt;YEAR(E167),0,IF((YEAR(D167)+19)&gt;YEAR(E167),1,(12-MONTH(E167)+1)/12))) + (Q167)*(IF((YEAR(D167)+19)&lt;YEAR(E167),0,IF((YEAR(D167)+19)&gt;YEAR(E167),1,(12-MONTH(E167)+1)/12))))-((P167)*(IF((YEAR(D167)+19)&lt;YEAR(E167),0,IF((YEAR(D167)+19)&gt;YEAR(E167),1,(12-MONTH(E167)+1)/12))) + (R167)*(IF((YEAR(D167)+19)&lt;YEAR(E167),0,IF((YEAR(D167)+19)&gt;YEAR(E167),1,(12-MONTH(E167)+1)/12))))-(IF(OR(N167="",N167&lt;=0),0,(O167/N167)*(IF(OR(N167="",N167&lt;=0),0,IF((YEAR(D167)+19)&lt;YEAR(E167),0,IF((YEAR(D167)+19)&gt;=YEAR(E167)+N167,0,IF((YEAR(D167)+19)=YEAR(E167),(12-MONTH(E167)+1)/12,1))))))))&gt;0,(((K167)*(IF(M167="",L167,IFERROR(IF(INDEX(Variablen!$I:$AT, MATCH(M167, Variablen!$A:$A, 0), MATCH((YEAR(D167)+19), Variablen!$I$3:$AT$3, 0))="",L167,INDEX(Variablen!$I:$AT, MATCH(M167, Variablen!$A:$A, 0), MATCH((YEAR(D167)+19), Variablen!$I$3:$AT$3, 0))),L167)))*(IF((YEAR(D167)+19)&lt;YEAR(E167),0,IF((YEAR(D167)+19)&gt;YEAR(E167),1,(12-MONTH(E167)+1)/12))) + (Q167)*(IF((YEAR(D167)+19)&lt;YEAR(E167),0,IF((YEAR(D167)+19)&gt;YEAR(E167),1,(12-MONTH(E167)+1)/12))))-((P167)*(IF((YEAR(D167)+19)&lt;YEAR(E167),0,IF((YEAR(D167)+19)&gt;YEAR(E167),1,(12-MONTH(E167)+1)/12))) + (R167)*(IF((YEAR(D167)+19)&lt;YEAR(E167),0,IF((YEAR(D167)+19)&gt;YEAR(E167),1,(12-MONTH(E167)+1)/12))))-(IF(OR(N167="",N167&lt;=0),0,(O167/N167)*(IF(OR(N167="",N167&lt;=0),0,IF((YEAR(D167)+19)&lt;YEAR(E167),0,IF((YEAR(D167)+19)&gt;=YEAR(E167)+N167,0,IF((YEAR(D167)+19)=YEAR(E167),(12-MONTH(E167)+1)/12,1))))))))*TaxRate,0))-IF(19=0,O167,0))</f>
        <v/>
      </c>
      <c r="AM167" s="29">
        <f>IF(A167="","",((K167)*(IF(M167="",L167,IFERROR(IF(INDEX(Variablen!$I:$AT, MATCH(M167, Variablen!$A:$A, 0), MATCH((YEAR(D167)+20), Variablen!$I$3:$AT$3, 0))="",L167,INDEX(Variablen!$I:$AT, MATCH(M167, Variablen!$A:$A, 0), MATCH((YEAR(D167)+20), Variablen!$I$3:$AT$3, 0))),L167)))*(IF((YEAR(D167)+20)&lt;YEAR(E167),0,IF((YEAR(D167)+20)&gt;YEAR(E167),1,(12-MONTH(E167)+1)/12))) + (Q167)*(IF((YEAR(D167)+20)&lt;YEAR(E167),0,IF((YEAR(D167)+20)&gt;YEAR(E167),1,(12-MONTH(E167)+1)/12))))-((P167)*(IF((YEAR(D167)+20)&lt;YEAR(E167),0,IF((YEAR(D167)+20)&gt;YEAR(E167),1,(12-MONTH(E167)+1)/12))) + (R167)*(IF((YEAR(D167)+20)&lt;YEAR(E167),0,IF((YEAR(D167)+20)&gt;YEAR(E167),1,(12-MONTH(E167)+1)/12))))-(IF((((K167)*(IF(M167="",L167,IFERROR(IF(INDEX(Variablen!$I:$AT, MATCH(M167, Variablen!$A:$A, 0), MATCH((YEAR(D167)+20), Variablen!$I$3:$AT$3, 0))="",L167,INDEX(Variablen!$I:$AT, MATCH(M167, Variablen!$A:$A, 0), MATCH((YEAR(D167)+20), Variablen!$I$3:$AT$3, 0))),L167)))*(IF((YEAR(D167)+20)&lt;YEAR(E167),0,IF((YEAR(D167)+20)&gt;YEAR(E167),1,(12-MONTH(E167)+1)/12))) + (Q167)*(IF((YEAR(D167)+20)&lt;YEAR(E167),0,IF((YEAR(D167)+20)&gt;YEAR(E167),1,(12-MONTH(E167)+1)/12))))-((P167)*(IF((YEAR(D167)+20)&lt;YEAR(E167),0,IF((YEAR(D167)+20)&gt;YEAR(E167),1,(12-MONTH(E167)+1)/12))) + (R167)*(IF((YEAR(D167)+20)&lt;YEAR(E167),0,IF((YEAR(D167)+20)&gt;YEAR(E167),1,(12-MONTH(E167)+1)/12))))-(IF(OR(N167="",N167&lt;=0),0,(O167/N167)*(IF(OR(N167="",N167&lt;=0),0,IF((YEAR(D167)+20)&lt;YEAR(E167),0,IF((YEAR(D167)+20)&gt;=YEAR(E167)+N167,0,IF((YEAR(D167)+20)=YEAR(E167),(12-MONTH(E167)+1)/12,1))))))))&gt;0,(((K167)*(IF(M167="",L167,IFERROR(IF(INDEX(Variablen!$I:$AT, MATCH(M167, Variablen!$A:$A, 0), MATCH((YEAR(D167)+20), Variablen!$I$3:$AT$3, 0))="",L167,INDEX(Variablen!$I:$AT, MATCH(M167, Variablen!$A:$A, 0), MATCH((YEAR(D167)+20), Variablen!$I$3:$AT$3, 0))),L167)))*(IF((YEAR(D167)+20)&lt;YEAR(E167),0,IF((YEAR(D167)+20)&gt;YEAR(E167),1,(12-MONTH(E167)+1)/12))) + (Q167)*(IF((YEAR(D167)+20)&lt;YEAR(E167),0,IF((YEAR(D167)+20)&gt;YEAR(E167),1,(12-MONTH(E167)+1)/12))))-((P167)*(IF((YEAR(D167)+20)&lt;YEAR(E167),0,IF((YEAR(D167)+20)&gt;YEAR(E167),1,(12-MONTH(E167)+1)/12))) + (R167)*(IF((YEAR(D167)+20)&lt;YEAR(E167),0,IF((YEAR(D167)+20)&gt;YEAR(E167),1,(12-MONTH(E167)+1)/12))))-(IF(OR(N167="",N167&lt;=0),0,(O167/N167)*(IF(OR(N167="",N167&lt;=0),0,IF((YEAR(D167)+20)&lt;YEAR(E167),0,IF((YEAR(D167)+20)&gt;=YEAR(E167)+N167,0,IF((YEAR(D167)+20)=YEAR(E167),(12-MONTH(E167)+1)/12,1))))))))*TaxRate,0))-IF(20=0,O167,0))</f>
        <v/>
      </c>
      <c r="AN167" s="29">
        <f>IF(A167="","",S167)</f>
        <v/>
      </c>
      <c r="AO167" s="29">
        <f>IF(A167="","",AN167+T167)</f>
        <v/>
      </c>
      <c r="AP167" s="29">
        <f>IF(A167="","",AO167+U167)</f>
        <v/>
      </c>
      <c r="AQ167" s="29">
        <f>IF(A167="","",AP167+V167)</f>
        <v/>
      </c>
      <c r="AR167" s="29">
        <f>IF(A167="","",AQ167+W167)</f>
        <v/>
      </c>
      <c r="AS167" s="29">
        <f>IF(A167="","",AR167+X167)</f>
        <v/>
      </c>
      <c r="AT167" s="29">
        <f>IF(A167="","",AS167+Y167)</f>
        <v/>
      </c>
      <c r="AU167" s="29">
        <f>IF(A167="","",AT167+Z167)</f>
        <v/>
      </c>
      <c r="AV167" s="29">
        <f>IF(A167="","",AU167+AA167)</f>
        <v/>
      </c>
      <c r="AW167" s="29">
        <f>IF(A167="","",AV167+AB167)</f>
        <v/>
      </c>
      <c r="AX167" s="29">
        <f>IF(A167="","",AW167+AC167)</f>
        <v/>
      </c>
      <c r="AY167" s="29">
        <f>IF(A167="","",AX167+AD167)</f>
        <v/>
      </c>
      <c r="AZ167" s="29">
        <f>IF(A167="","",AY167+AE167)</f>
        <v/>
      </c>
      <c r="BA167" s="29">
        <f>IF(A167="","",AZ167+AF167)</f>
        <v/>
      </c>
      <c r="BB167" s="29">
        <f>IF(A167="","",BA167+AG167)</f>
        <v/>
      </c>
      <c r="BC167" s="29">
        <f>IF(A167="","",BB167+AH167)</f>
        <v/>
      </c>
      <c r="BD167" s="29">
        <f>IF(A167="","",BC167+AI167)</f>
        <v/>
      </c>
      <c r="BE167" s="29">
        <f>IF(A167="","",BD167+AJ167)</f>
        <v/>
      </c>
      <c r="BF167" s="29">
        <f>IF(A167="","",BE167+AK167)</f>
        <v/>
      </c>
      <c r="BG167" s="29">
        <f>IF(A167="","",BF167+AL167)</f>
        <v/>
      </c>
      <c r="BH167" s="29">
        <f>IF(A167="","",BG167+AM167)</f>
        <v/>
      </c>
      <c r="BI167" s="36">
        <f>IF(A167="","",(K167)*(IF((YEAR(D167)+0)&lt;YEAR(E167),0,IF((YEAR(D167)+0)&gt;YEAR(E167),1,(12-MONTH(E167)+1)/12)))*(1/(1+DiscountRate)^0))</f>
        <v/>
      </c>
      <c r="BJ167" s="36">
        <f>IF(A167="","",(K167)*(IF((YEAR(D167)+1)&lt;YEAR(E167),0,IF((YEAR(D167)+1)&gt;YEAR(E167),1,(12-MONTH(E167)+1)/12)))*(1/(1+DiscountRate)^1))</f>
        <v/>
      </c>
      <c r="BK167" s="36">
        <f>IF(A167="","",(K167)*(IF((YEAR(D167)+2)&lt;YEAR(E167),0,IF((YEAR(D167)+2)&gt;YEAR(E167),1,(12-MONTH(E167)+1)/12)))*(1/(1+DiscountRate)^2))</f>
        <v/>
      </c>
      <c r="BL167" s="36">
        <f>IF(A167="","",(K167)*(IF((YEAR(D167)+3)&lt;YEAR(E167),0,IF((YEAR(D167)+3)&gt;YEAR(E167),1,(12-MONTH(E167)+1)/12)))*(1/(1+DiscountRate)^3))</f>
        <v/>
      </c>
      <c r="BM167" s="36">
        <f>IF(A167="","",(K167)*(IF((YEAR(D167)+4)&lt;YEAR(E167),0,IF((YEAR(D167)+4)&gt;YEAR(E167),1,(12-MONTH(E167)+1)/12)))*(1/(1+DiscountRate)^4))</f>
        <v/>
      </c>
      <c r="BN167" s="36">
        <f>IF(A167="","",(K167)*(IF((YEAR(D167)+5)&lt;YEAR(E167),0,IF((YEAR(D167)+5)&gt;YEAR(E167),1,(12-MONTH(E167)+1)/12)))*(1/(1+DiscountRate)^5))</f>
        <v/>
      </c>
      <c r="BO167" s="36">
        <f>IF(A167="","",(K167)*(IF((YEAR(D167)+6)&lt;YEAR(E167),0,IF((YEAR(D167)+6)&gt;YEAR(E167),1,(12-MONTH(E167)+1)/12)))*(1/(1+DiscountRate)^6))</f>
        <v/>
      </c>
      <c r="BP167" s="36">
        <f>IF(A167="","",(K167)*(IF((YEAR(D167)+7)&lt;YEAR(E167),0,IF((YEAR(D167)+7)&gt;YEAR(E167),1,(12-MONTH(E167)+1)/12)))*(1/(1+DiscountRate)^7))</f>
        <v/>
      </c>
      <c r="BQ167" s="36">
        <f>IF(A167="","",(K167)*(IF((YEAR(D167)+8)&lt;YEAR(E167),0,IF((YEAR(D167)+8)&gt;YEAR(E167),1,(12-MONTH(E167)+1)/12)))*(1/(1+DiscountRate)^8))</f>
        <v/>
      </c>
      <c r="BR167" s="36">
        <f>IF(A167="","",(K167)*(IF((YEAR(D167)+9)&lt;YEAR(E167),0,IF((YEAR(D167)+9)&gt;YEAR(E167),1,(12-MONTH(E167)+1)/12)))*(1/(1+DiscountRate)^9))</f>
        <v/>
      </c>
      <c r="BS167" s="36">
        <f>IF(A167="","",(K167)*(IF((YEAR(D167)+10)&lt;YEAR(E167),0,IF((YEAR(D167)+10)&gt;YEAR(E167),1,(12-MONTH(E167)+1)/12)))*(1/(1+DiscountRate)^10))</f>
        <v/>
      </c>
      <c r="BT167" s="36">
        <f>IF(A167="","",(K167)*(IF((YEAR(D167)+11)&lt;YEAR(E167),0,IF((YEAR(D167)+11)&gt;YEAR(E167),1,(12-MONTH(E167)+1)/12)))*(1/(1+DiscountRate)^11))</f>
        <v/>
      </c>
      <c r="BU167" s="36">
        <f>IF(A167="","",(K167)*(IF((YEAR(D167)+12)&lt;YEAR(E167),0,IF((YEAR(D167)+12)&gt;YEAR(E167),1,(12-MONTH(E167)+1)/12)))*(1/(1+DiscountRate)^12))</f>
        <v/>
      </c>
      <c r="BV167" s="36">
        <f>IF(A167="","",(K167)*(IF((YEAR(D167)+13)&lt;YEAR(E167),0,IF((YEAR(D167)+13)&gt;YEAR(E167),1,(12-MONTH(E167)+1)/12)))*(1/(1+DiscountRate)^13))</f>
        <v/>
      </c>
      <c r="BW167" s="36">
        <f>IF(A167="","",(K167)*(IF((YEAR(D167)+14)&lt;YEAR(E167),0,IF((YEAR(D167)+14)&gt;YEAR(E167),1,(12-MONTH(E167)+1)/12)))*(1/(1+DiscountRate)^14))</f>
        <v/>
      </c>
      <c r="BX167" s="36">
        <f>IF(A167="","",(K167)*(IF((YEAR(D167)+15)&lt;YEAR(E167),0,IF((YEAR(D167)+15)&gt;YEAR(E167),1,(12-MONTH(E167)+1)/12)))*(1/(1+DiscountRate)^15))</f>
        <v/>
      </c>
      <c r="BY167" s="36">
        <f>IF(A167="","",(K167)*(IF((YEAR(D167)+16)&lt;YEAR(E167),0,IF((YEAR(D167)+16)&gt;YEAR(E167),1,(12-MONTH(E167)+1)/12)))*(1/(1+DiscountRate)^16))</f>
        <v/>
      </c>
      <c r="BZ167" s="36">
        <f>IF(A167="","",(K167)*(IF((YEAR(D167)+17)&lt;YEAR(E167),0,IF((YEAR(D167)+17)&gt;YEAR(E167),1,(12-MONTH(E167)+1)/12)))*(1/(1+DiscountRate)^17))</f>
        <v/>
      </c>
      <c r="CA167" s="36">
        <f>IF(A167="","",(K167)*(IF((YEAR(D167)+18)&lt;YEAR(E167),0,IF((YEAR(D167)+18)&gt;YEAR(E167),1,(12-MONTH(E167)+1)/12)))*(1/(1+DiscountRate)^18))</f>
        <v/>
      </c>
      <c r="CB167" s="36">
        <f>IF(A167="","",(K167)*(IF((YEAR(D167)+19)&lt;YEAR(E167),0,IF((YEAR(D167)+19)&gt;YEAR(E167),1,(12-MONTH(E167)+1)/12)))*(1/(1+DiscountRate)^19))</f>
        <v/>
      </c>
      <c r="CC167" s="36">
        <f>IF(A167="","",(K167)*(IF((YEAR(D167)+20)&lt;YEAR(E167),0,IF((YEAR(D167)+20)&gt;YEAR(E167),1,(12-MONTH(E167)+1)/12)))*(1/(1+DiscountRate)^20))</f>
        <v/>
      </c>
      <c r="CD167" s="29">
        <f>IF(A167="","",S167/(1+DiscountRate)^0+T167/(1+DiscountRate)^1+U167/(1+DiscountRate)^2+V167/(1+DiscountRate)^3+W167/(1+DiscountRate)^4+X167/(1+DiscountRate)^5+Y167/(1+DiscountRate)^6+Z167/(1+DiscountRate)^7+AA167/(1+DiscountRate)^8+AB167/(1+DiscountRate)^9+AC167/(1+DiscountRate)^10+AD167/(1+DiscountRate)^11+AE167/(1+DiscountRate)^12+AF167/(1+DiscountRate)^13+AG167/(1+DiscountRate)^14+AH167/(1+DiscountRate)^15+AI167/(1+DiscountRate)^16+AJ167/(1+DiscountRate)^17+AK167/(1+DiscountRate)^18+AL167/(1+DiscountRate)^19+AM167/(1+DiscountRate)^20)</f>
        <v/>
      </c>
      <c r="CE167" s="37">
        <f>IF(A167="","",IFERROR(IRR(OFFSET(S167,0,0,1,MIN(HorizonYears,20)+1)),"n/a"))</f>
        <v/>
      </c>
      <c r="CF167" s="28">
        <f>IF(A167="","",IFERROR(MATCH(TRUE,OFFSET(AN167,0,0,1,MIN(HorizonYears,20)+1)&gt;=0,0)-1,"n/a"))</f>
        <v/>
      </c>
      <c r="CG167" s="36">
        <f>IF(A167="","",SUM(OFFSET(BI167,0,0,1,MIN(HorizonYears,20)+1)))</f>
        <v/>
      </c>
      <c r="CH167" s="36">
        <f>IF(A167="","",IFERROR(-CD167/CG167,"n/a"))</f>
        <v/>
      </c>
    </row>
    <row r="168">
      <c r="A168" s="6">
        <f>Actions!A166</f>
        <v/>
      </c>
      <c r="B168" s="6">
        <f>Actions!B166</f>
        <v/>
      </c>
      <c r="C168" s="6">
        <f>Actions!D166</f>
        <v/>
      </c>
      <c r="D168" s="35">
        <f>Actions!E166</f>
        <v/>
      </c>
      <c r="E168" s="35">
        <f>Actions!F166</f>
        <v/>
      </c>
      <c r="F168" s="6">
        <f>Actions!G166</f>
        <v/>
      </c>
      <c r="G168" s="6">
        <f>Actions!H166</f>
        <v/>
      </c>
      <c r="H168" s="29">
        <f>Actions!I166</f>
        <v/>
      </c>
      <c r="I168" s="6">
        <f>Actions!J166</f>
        <v/>
      </c>
      <c r="J168" s="16">
        <f>Actions!K166</f>
        <v/>
      </c>
      <c r="K168" s="16">
        <f>IF(A168="","",IF(I168="%",H168*J168,J168))</f>
        <v/>
      </c>
      <c r="L168" s="16">
        <f>Actions!L166</f>
        <v/>
      </c>
      <c r="M168" s="6">
        <f>Actions!M166</f>
        <v/>
      </c>
      <c r="N168" s="28">
        <f>Actions!N166</f>
        <v/>
      </c>
      <c r="O168" s="29">
        <f>Actions!T166</f>
        <v/>
      </c>
      <c r="P168" s="29">
        <f>Actions!Y166</f>
        <v/>
      </c>
      <c r="Q168" s="29">
        <f>Actions!Z166</f>
        <v/>
      </c>
      <c r="R168" s="29">
        <f>Actions!AA166</f>
        <v/>
      </c>
      <c r="S168" s="29">
        <f>IF(A168="","",((K168)*(IF(M168="",L168,IFERROR(IF(INDEX(Variablen!$I:$AT, MATCH(M168, Variablen!$A:$A, 0), MATCH((YEAR(D168)+0), Variablen!$I$3:$AT$3, 0))="",L168,INDEX(Variablen!$I:$AT, MATCH(M168, Variablen!$A:$A, 0), MATCH((YEAR(D168)+0), Variablen!$I$3:$AT$3, 0))),L168)))*(IF((YEAR(D168)+0)&lt;YEAR(E168),0,IF((YEAR(D168)+0)&gt;YEAR(E168),1,(12-MONTH(E168)+1)/12))) + (Q168)*(IF((YEAR(D168)+0)&lt;YEAR(E168),0,IF((YEAR(D168)+0)&gt;YEAR(E168),1,(12-MONTH(E168)+1)/12))))-((P168)*(IF((YEAR(D168)+0)&lt;YEAR(E168),0,IF((YEAR(D168)+0)&gt;YEAR(E168),1,(12-MONTH(E168)+1)/12))) + (R168)*(IF((YEAR(D168)+0)&lt;YEAR(E168),0,IF((YEAR(D168)+0)&gt;YEAR(E168),1,(12-MONTH(E168)+1)/12))))-(IF((((K168)*(IF(M168="",L168,IFERROR(IF(INDEX(Variablen!$I:$AT, MATCH(M168, Variablen!$A:$A, 0), MATCH((YEAR(D168)+0), Variablen!$I$3:$AT$3, 0))="",L168,INDEX(Variablen!$I:$AT, MATCH(M168, Variablen!$A:$A, 0), MATCH((YEAR(D168)+0), Variablen!$I$3:$AT$3, 0))),L168)))*(IF((YEAR(D168)+0)&lt;YEAR(E168),0,IF((YEAR(D168)+0)&gt;YEAR(E168),1,(12-MONTH(E168)+1)/12))) + (Q168)*(IF((YEAR(D168)+0)&lt;YEAR(E168),0,IF((YEAR(D168)+0)&gt;YEAR(E168),1,(12-MONTH(E168)+1)/12))))-((P168)*(IF((YEAR(D168)+0)&lt;YEAR(E168),0,IF((YEAR(D168)+0)&gt;YEAR(E168),1,(12-MONTH(E168)+1)/12))) + (R168)*(IF((YEAR(D168)+0)&lt;YEAR(E168),0,IF((YEAR(D168)+0)&gt;YEAR(E168),1,(12-MONTH(E168)+1)/12))))-(IF(OR(N168="",N168&lt;=0),0,(O168/N168)*(IF(OR(N168="",N168&lt;=0),0,IF((YEAR(D168)+0)&lt;YEAR(E168),0,IF((YEAR(D168)+0)&gt;=YEAR(E168)+N168,0,IF((YEAR(D168)+0)=YEAR(E168),(12-MONTH(E168)+1)/12,1))))))))&gt;0,(((K168)*(IF(M168="",L168,IFERROR(IF(INDEX(Variablen!$I:$AT, MATCH(M168, Variablen!$A:$A, 0), MATCH((YEAR(D168)+0), Variablen!$I$3:$AT$3, 0))="",L168,INDEX(Variablen!$I:$AT, MATCH(M168, Variablen!$A:$A, 0), MATCH((YEAR(D168)+0), Variablen!$I$3:$AT$3, 0))),L168)))*(IF((YEAR(D168)+0)&lt;YEAR(E168),0,IF((YEAR(D168)+0)&gt;YEAR(E168),1,(12-MONTH(E168)+1)/12))) + (Q168)*(IF((YEAR(D168)+0)&lt;YEAR(E168),0,IF((YEAR(D168)+0)&gt;YEAR(E168),1,(12-MONTH(E168)+1)/12))))-((P168)*(IF((YEAR(D168)+0)&lt;YEAR(E168),0,IF((YEAR(D168)+0)&gt;YEAR(E168),1,(12-MONTH(E168)+1)/12))) + (R168)*(IF((YEAR(D168)+0)&lt;YEAR(E168),0,IF((YEAR(D168)+0)&gt;YEAR(E168),1,(12-MONTH(E168)+1)/12))))-(IF(OR(N168="",N168&lt;=0),0,(O168/N168)*(IF(OR(N168="",N168&lt;=0),0,IF((YEAR(D168)+0)&lt;YEAR(E168),0,IF((YEAR(D168)+0)&gt;=YEAR(E168)+N168,0,IF((YEAR(D168)+0)=YEAR(E168),(12-MONTH(E168)+1)/12,1))))))))*TaxRate,0))-IF(0=0,O168,0))</f>
        <v/>
      </c>
      <c r="T168" s="29">
        <f>IF(A168="","",((K168)*(IF(M168="",L168,IFERROR(IF(INDEX(Variablen!$I:$AT, MATCH(M168, Variablen!$A:$A, 0), MATCH((YEAR(D168)+1), Variablen!$I$3:$AT$3, 0))="",L168,INDEX(Variablen!$I:$AT, MATCH(M168, Variablen!$A:$A, 0), MATCH((YEAR(D168)+1), Variablen!$I$3:$AT$3, 0))),L168)))*(IF((YEAR(D168)+1)&lt;YEAR(E168),0,IF((YEAR(D168)+1)&gt;YEAR(E168),1,(12-MONTH(E168)+1)/12))) + (Q168)*(IF((YEAR(D168)+1)&lt;YEAR(E168),0,IF((YEAR(D168)+1)&gt;YEAR(E168),1,(12-MONTH(E168)+1)/12))))-((P168)*(IF((YEAR(D168)+1)&lt;YEAR(E168),0,IF((YEAR(D168)+1)&gt;YEAR(E168),1,(12-MONTH(E168)+1)/12))) + (R168)*(IF((YEAR(D168)+1)&lt;YEAR(E168),0,IF((YEAR(D168)+1)&gt;YEAR(E168),1,(12-MONTH(E168)+1)/12))))-(IF((((K168)*(IF(M168="",L168,IFERROR(IF(INDEX(Variablen!$I:$AT, MATCH(M168, Variablen!$A:$A, 0), MATCH((YEAR(D168)+1), Variablen!$I$3:$AT$3, 0))="",L168,INDEX(Variablen!$I:$AT, MATCH(M168, Variablen!$A:$A, 0), MATCH((YEAR(D168)+1), Variablen!$I$3:$AT$3, 0))),L168)))*(IF((YEAR(D168)+1)&lt;YEAR(E168),0,IF((YEAR(D168)+1)&gt;YEAR(E168),1,(12-MONTH(E168)+1)/12))) + (Q168)*(IF((YEAR(D168)+1)&lt;YEAR(E168),0,IF((YEAR(D168)+1)&gt;YEAR(E168),1,(12-MONTH(E168)+1)/12))))-((P168)*(IF((YEAR(D168)+1)&lt;YEAR(E168),0,IF((YEAR(D168)+1)&gt;YEAR(E168),1,(12-MONTH(E168)+1)/12))) + (R168)*(IF((YEAR(D168)+1)&lt;YEAR(E168),0,IF((YEAR(D168)+1)&gt;YEAR(E168),1,(12-MONTH(E168)+1)/12))))-(IF(OR(N168="",N168&lt;=0),0,(O168/N168)*(IF(OR(N168="",N168&lt;=0),0,IF((YEAR(D168)+1)&lt;YEAR(E168),0,IF((YEAR(D168)+1)&gt;=YEAR(E168)+N168,0,IF((YEAR(D168)+1)=YEAR(E168),(12-MONTH(E168)+1)/12,1))))))))&gt;0,(((K168)*(IF(M168="",L168,IFERROR(IF(INDEX(Variablen!$I:$AT, MATCH(M168, Variablen!$A:$A, 0), MATCH((YEAR(D168)+1), Variablen!$I$3:$AT$3, 0))="",L168,INDEX(Variablen!$I:$AT, MATCH(M168, Variablen!$A:$A, 0), MATCH((YEAR(D168)+1), Variablen!$I$3:$AT$3, 0))),L168)))*(IF((YEAR(D168)+1)&lt;YEAR(E168),0,IF((YEAR(D168)+1)&gt;YEAR(E168),1,(12-MONTH(E168)+1)/12))) + (Q168)*(IF((YEAR(D168)+1)&lt;YEAR(E168),0,IF((YEAR(D168)+1)&gt;YEAR(E168),1,(12-MONTH(E168)+1)/12))))-((P168)*(IF((YEAR(D168)+1)&lt;YEAR(E168),0,IF((YEAR(D168)+1)&gt;YEAR(E168),1,(12-MONTH(E168)+1)/12))) + (R168)*(IF((YEAR(D168)+1)&lt;YEAR(E168),0,IF((YEAR(D168)+1)&gt;YEAR(E168),1,(12-MONTH(E168)+1)/12))))-(IF(OR(N168="",N168&lt;=0),0,(O168/N168)*(IF(OR(N168="",N168&lt;=0),0,IF((YEAR(D168)+1)&lt;YEAR(E168),0,IF((YEAR(D168)+1)&gt;=YEAR(E168)+N168,0,IF((YEAR(D168)+1)=YEAR(E168),(12-MONTH(E168)+1)/12,1))))))))*TaxRate,0))-IF(1=0,O168,0))</f>
        <v/>
      </c>
      <c r="U168" s="29">
        <f>IF(A168="","",((K168)*(IF(M168="",L168,IFERROR(IF(INDEX(Variablen!$I:$AT, MATCH(M168, Variablen!$A:$A, 0), MATCH((YEAR(D168)+2), Variablen!$I$3:$AT$3, 0))="",L168,INDEX(Variablen!$I:$AT, MATCH(M168, Variablen!$A:$A, 0), MATCH((YEAR(D168)+2), Variablen!$I$3:$AT$3, 0))),L168)))*(IF((YEAR(D168)+2)&lt;YEAR(E168),0,IF((YEAR(D168)+2)&gt;YEAR(E168),1,(12-MONTH(E168)+1)/12))) + (Q168)*(IF((YEAR(D168)+2)&lt;YEAR(E168),0,IF((YEAR(D168)+2)&gt;YEAR(E168),1,(12-MONTH(E168)+1)/12))))-((P168)*(IF((YEAR(D168)+2)&lt;YEAR(E168),0,IF((YEAR(D168)+2)&gt;YEAR(E168),1,(12-MONTH(E168)+1)/12))) + (R168)*(IF((YEAR(D168)+2)&lt;YEAR(E168),0,IF((YEAR(D168)+2)&gt;YEAR(E168),1,(12-MONTH(E168)+1)/12))))-(IF((((K168)*(IF(M168="",L168,IFERROR(IF(INDEX(Variablen!$I:$AT, MATCH(M168, Variablen!$A:$A, 0), MATCH((YEAR(D168)+2), Variablen!$I$3:$AT$3, 0))="",L168,INDEX(Variablen!$I:$AT, MATCH(M168, Variablen!$A:$A, 0), MATCH((YEAR(D168)+2), Variablen!$I$3:$AT$3, 0))),L168)))*(IF((YEAR(D168)+2)&lt;YEAR(E168),0,IF((YEAR(D168)+2)&gt;YEAR(E168),1,(12-MONTH(E168)+1)/12))) + (Q168)*(IF((YEAR(D168)+2)&lt;YEAR(E168),0,IF((YEAR(D168)+2)&gt;YEAR(E168),1,(12-MONTH(E168)+1)/12))))-((P168)*(IF((YEAR(D168)+2)&lt;YEAR(E168),0,IF((YEAR(D168)+2)&gt;YEAR(E168),1,(12-MONTH(E168)+1)/12))) + (R168)*(IF((YEAR(D168)+2)&lt;YEAR(E168),0,IF((YEAR(D168)+2)&gt;YEAR(E168),1,(12-MONTH(E168)+1)/12))))-(IF(OR(N168="",N168&lt;=0),0,(O168/N168)*(IF(OR(N168="",N168&lt;=0),0,IF((YEAR(D168)+2)&lt;YEAR(E168),0,IF((YEAR(D168)+2)&gt;=YEAR(E168)+N168,0,IF((YEAR(D168)+2)=YEAR(E168),(12-MONTH(E168)+1)/12,1))))))))&gt;0,(((K168)*(IF(M168="",L168,IFERROR(IF(INDEX(Variablen!$I:$AT, MATCH(M168, Variablen!$A:$A, 0), MATCH((YEAR(D168)+2), Variablen!$I$3:$AT$3, 0))="",L168,INDEX(Variablen!$I:$AT, MATCH(M168, Variablen!$A:$A, 0), MATCH((YEAR(D168)+2), Variablen!$I$3:$AT$3, 0))),L168)))*(IF((YEAR(D168)+2)&lt;YEAR(E168),0,IF((YEAR(D168)+2)&gt;YEAR(E168),1,(12-MONTH(E168)+1)/12))) + (Q168)*(IF((YEAR(D168)+2)&lt;YEAR(E168),0,IF((YEAR(D168)+2)&gt;YEAR(E168),1,(12-MONTH(E168)+1)/12))))-((P168)*(IF((YEAR(D168)+2)&lt;YEAR(E168),0,IF((YEAR(D168)+2)&gt;YEAR(E168),1,(12-MONTH(E168)+1)/12))) + (R168)*(IF((YEAR(D168)+2)&lt;YEAR(E168),0,IF((YEAR(D168)+2)&gt;YEAR(E168),1,(12-MONTH(E168)+1)/12))))-(IF(OR(N168="",N168&lt;=0),0,(O168/N168)*(IF(OR(N168="",N168&lt;=0),0,IF((YEAR(D168)+2)&lt;YEAR(E168),0,IF((YEAR(D168)+2)&gt;=YEAR(E168)+N168,0,IF((YEAR(D168)+2)=YEAR(E168),(12-MONTH(E168)+1)/12,1))))))))*TaxRate,0))-IF(2=0,O168,0))</f>
        <v/>
      </c>
      <c r="V168" s="29">
        <f>IF(A168="","",((K168)*(IF(M168="",L168,IFERROR(IF(INDEX(Variablen!$I:$AT, MATCH(M168, Variablen!$A:$A, 0), MATCH((YEAR(D168)+3), Variablen!$I$3:$AT$3, 0))="",L168,INDEX(Variablen!$I:$AT, MATCH(M168, Variablen!$A:$A, 0), MATCH((YEAR(D168)+3), Variablen!$I$3:$AT$3, 0))),L168)))*(IF((YEAR(D168)+3)&lt;YEAR(E168),0,IF((YEAR(D168)+3)&gt;YEAR(E168),1,(12-MONTH(E168)+1)/12))) + (Q168)*(IF((YEAR(D168)+3)&lt;YEAR(E168),0,IF((YEAR(D168)+3)&gt;YEAR(E168),1,(12-MONTH(E168)+1)/12))))-((P168)*(IF((YEAR(D168)+3)&lt;YEAR(E168),0,IF((YEAR(D168)+3)&gt;YEAR(E168),1,(12-MONTH(E168)+1)/12))) + (R168)*(IF((YEAR(D168)+3)&lt;YEAR(E168),0,IF((YEAR(D168)+3)&gt;YEAR(E168),1,(12-MONTH(E168)+1)/12))))-(IF((((K168)*(IF(M168="",L168,IFERROR(IF(INDEX(Variablen!$I:$AT, MATCH(M168, Variablen!$A:$A, 0), MATCH((YEAR(D168)+3), Variablen!$I$3:$AT$3, 0))="",L168,INDEX(Variablen!$I:$AT, MATCH(M168, Variablen!$A:$A, 0), MATCH((YEAR(D168)+3), Variablen!$I$3:$AT$3, 0))),L168)))*(IF((YEAR(D168)+3)&lt;YEAR(E168),0,IF((YEAR(D168)+3)&gt;YEAR(E168),1,(12-MONTH(E168)+1)/12))) + (Q168)*(IF((YEAR(D168)+3)&lt;YEAR(E168),0,IF((YEAR(D168)+3)&gt;YEAR(E168),1,(12-MONTH(E168)+1)/12))))-((P168)*(IF((YEAR(D168)+3)&lt;YEAR(E168),0,IF((YEAR(D168)+3)&gt;YEAR(E168),1,(12-MONTH(E168)+1)/12))) + (R168)*(IF((YEAR(D168)+3)&lt;YEAR(E168),0,IF((YEAR(D168)+3)&gt;YEAR(E168),1,(12-MONTH(E168)+1)/12))))-(IF(OR(N168="",N168&lt;=0),0,(O168/N168)*(IF(OR(N168="",N168&lt;=0),0,IF((YEAR(D168)+3)&lt;YEAR(E168),0,IF((YEAR(D168)+3)&gt;=YEAR(E168)+N168,0,IF((YEAR(D168)+3)=YEAR(E168),(12-MONTH(E168)+1)/12,1))))))))&gt;0,(((K168)*(IF(M168="",L168,IFERROR(IF(INDEX(Variablen!$I:$AT, MATCH(M168, Variablen!$A:$A, 0), MATCH((YEAR(D168)+3), Variablen!$I$3:$AT$3, 0))="",L168,INDEX(Variablen!$I:$AT, MATCH(M168, Variablen!$A:$A, 0), MATCH((YEAR(D168)+3), Variablen!$I$3:$AT$3, 0))),L168)))*(IF((YEAR(D168)+3)&lt;YEAR(E168),0,IF((YEAR(D168)+3)&gt;YEAR(E168),1,(12-MONTH(E168)+1)/12))) + (Q168)*(IF((YEAR(D168)+3)&lt;YEAR(E168),0,IF((YEAR(D168)+3)&gt;YEAR(E168),1,(12-MONTH(E168)+1)/12))))-((P168)*(IF((YEAR(D168)+3)&lt;YEAR(E168),0,IF((YEAR(D168)+3)&gt;YEAR(E168),1,(12-MONTH(E168)+1)/12))) + (R168)*(IF((YEAR(D168)+3)&lt;YEAR(E168),0,IF((YEAR(D168)+3)&gt;YEAR(E168),1,(12-MONTH(E168)+1)/12))))-(IF(OR(N168="",N168&lt;=0),0,(O168/N168)*(IF(OR(N168="",N168&lt;=0),0,IF((YEAR(D168)+3)&lt;YEAR(E168),0,IF((YEAR(D168)+3)&gt;=YEAR(E168)+N168,0,IF((YEAR(D168)+3)=YEAR(E168),(12-MONTH(E168)+1)/12,1))))))))*TaxRate,0))-IF(3=0,O168,0))</f>
        <v/>
      </c>
      <c r="W168" s="29">
        <f>IF(A168="","",((K168)*(IF(M168="",L168,IFERROR(IF(INDEX(Variablen!$I:$AT, MATCH(M168, Variablen!$A:$A, 0), MATCH((YEAR(D168)+4), Variablen!$I$3:$AT$3, 0))="",L168,INDEX(Variablen!$I:$AT, MATCH(M168, Variablen!$A:$A, 0), MATCH((YEAR(D168)+4), Variablen!$I$3:$AT$3, 0))),L168)))*(IF((YEAR(D168)+4)&lt;YEAR(E168),0,IF((YEAR(D168)+4)&gt;YEAR(E168),1,(12-MONTH(E168)+1)/12))) + (Q168)*(IF((YEAR(D168)+4)&lt;YEAR(E168),0,IF((YEAR(D168)+4)&gt;YEAR(E168),1,(12-MONTH(E168)+1)/12))))-((P168)*(IF((YEAR(D168)+4)&lt;YEAR(E168),0,IF((YEAR(D168)+4)&gt;YEAR(E168),1,(12-MONTH(E168)+1)/12))) + (R168)*(IF((YEAR(D168)+4)&lt;YEAR(E168),0,IF((YEAR(D168)+4)&gt;YEAR(E168),1,(12-MONTH(E168)+1)/12))))-(IF((((K168)*(IF(M168="",L168,IFERROR(IF(INDEX(Variablen!$I:$AT, MATCH(M168, Variablen!$A:$A, 0), MATCH((YEAR(D168)+4), Variablen!$I$3:$AT$3, 0))="",L168,INDEX(Variablen!$I:$AT, MATCH(M168, Variablen!$A:$A, 0), MATCH((YEAR(D168)+4), Variablen!$I$3:$AT$3, 0))),L168)))*(IF((YEAR(D168)+4)&lt;YEAR(E168),0,IF((YEAR(D168)+4)&gt;YEAR(E168),1,(12-MONTH(E168)+1)/12))) + (Q168)*(IF((YEAR(D168)+4)&lt;YEAR(E168),0,IF((YEAR(D168)+4)&gt;YEAR(E168),1,(12-MONTH(E168)+1)/12))))-((P168)*(IF((YEAR(D168)+4)&lt;YEAR(E168),0,IF((YEAR(D168)+4)&gt;YEAR(E168),1,(12-MONTH(E168)+1)/12))) + (R168)*(IF((YEAR(D168)+4)&lt;YEAR(E168),0,IF((YEAR(D168)+4)&gt;YEAR(E168),1,(12-MONTH(E168)+1)/12))))-(IF(OR(N168="",N168&lt;=0),0,(O168/N168)*(IF(OR(N168="",N168&lt;=0),0,IF((YEAR(D168)+4)&lt;YEAR(E168),0,IF((YEAR(D168)+4)&gt;=YEAR(E168)+N168,0,IF((YEAR(D168)+4)=YEAR(E168),(12-MONTH(E168)+1)/12,1))))))))&gt;0,(((K168)*(IF(M168="",L168,IFERROR(IF(INDEX(Variablen!$I:$AT, MATCH(M168, Variablen!$A:$A, 0), MATCH((YEAR(D168)+4), Variablen!$I$3:$AT$3, 0))="",L168,INDEX(Variablen!$I:$AT, MATCH(M168, Variablen!$A:$A, 0), MATCH((YEAR(D168)+4), Variablen!$I$3:$AT$3, 0))),L168)))*(IF((YEAR(D168)+4)&lt;YEAR(E168),0,IF((YEAR(D168)+4)&gt;YEAR(E168),1,(12-MONTH(E168)+1)/12))) + (Q168)*(IF((YEAR(D168)+4)&lt;YEAR(E168),0,IF((YEAR(D168)+4)&gt;YEAR(E168),1,(12-MONTH(E168)+1)/12))))-((P168)*(IF((YEAR(D168)+4)&lt;YEAR(E168),0,IF((YEAR(D168)+4)&gt;YEAR(E168),1,(12-MONTH(E168)+1)/12))) + (R168)*(IF((YEAR(D168)+4)&lt;YEAR(E168),0,IF((YEAR(D168)+4)&gt;YEAR(E168),1,(12-MONTH(E168)+1)/12))))-(IF(OR(N168="",N168&lt;=0),0,(O168/N168)*(IF(OR(N168="",N168&lt;=0),0,IF((YEAR(D168)+4)&lt;YEAR(E168),0,IF((YEAR(D168)+4)&gt;=YEAR(E168)+N168,0,IF((YEAR(D168)+4)=YEAR(E168),(12-MONTH(E168)+1)/12,1))))))))*TaxRate,0))-IF(4=0,O168,0))</f>
        <v/>
      </c>
      <c r="X168" s="29">
        <f>IF(A168="","",((K168)*(IF(M168="",L168,IFERROR(IF(INDEX(Variablen!$I:$AT, MATCH(M168, Variablen!$A:$A, 0), MATCH((YEAR(D168)+5), Variablen!$I$3:$AT$3, 0))="",L168,INDEX(Variablen!$I:$AT, MATCH(M168, Variablen!$A:$A, 0), MATCH((YEAR(D168)+5), Variablen!$I$3:$AT$3, 0))),L168)))*(IF((YEAR(D168)+5)&lt;YEAR(E168),0,IF((YEAR(D168)+5)&gt;YEAR(E168),1,(12-MONTH(E168)+1)/12))) + (Q168)*(IF((YEAR(D168)+5)&lt;YEAR(E168),0,IF((YEAR(D168)+5)&gt;YEAR(E168),1,(12-MONTH(E168)+1)/12))))-((P168)*(IF((YEAR(D168)+5)&lt;YEAR(E168),0,IF((YEAR(D168)+5)&gt;YEAR(E168),1,(12-MONTH(E168)+1)/12))) + (R168)*(IF((YEAR(D168)+5)&lt;YEAR(E168),0,IF((YEAR(D168)+5)&gt;YEAR(E168),1,(12-MONTH(E168)+1)/12))))-(IF((((K168)*(IF(M168="",L168,IFERROR(IF(INDEX(Variablen!$I:$AT, MATCH(M168, Variablen!$A:$A, 0), MATCH((YEAR(D168)+5), Variablen!$I$3:$AT$3, 0))="",L168,INDEX(Variablen!$I:$AT, MATCH(M168, Variablen!$A:$A, 0), MATCH((YEAR(D168)+5), Variablen!$I$3:$AT$3, 0))),L168)))*(IF((YEAR(D168)+5)&lt;YEAR(E168),0,IF((YEAR(D168)+5)&gt;YEAR(E168),1,(12-MONTH(E168)+1)/12))) + (Q168)*(IF((YEAR(D168)+5)&lt;YEAR(E168),0,IF((YEAR(D168)+5)&gt;YEAR(E168),1,(12-MONTH(E168)+1)/12))))-((P168)*(IF((YEAR(D168)+5)&lt;YEAR(E168),0,IF((YEAR(D168)+5)&gt;YEAR(E168),1,(12-MONTH(E168)+1)/12))) + (R168)*(IF((YEAR(D168)+5)&lt;YEAR(E168),0,IF((YEAR(D168)+5)&gt;YEAR(E168),1,(12-MONTH(E168)+1)/12))))-(IF(OR(N168="",N168&lt;=0),0,(O168/N168)*(IF(OR(N168="",N168&lt;=0),0,IF((YEAR(D168)+5)&lt;YEAR(E168),0,IF((YEAR(D168)+5)&gt;=YEAR(E168)+N168,0,IF((YEAR(D168)+5)=YEAR(E168),(12-MONTH(E168)+1)/12,1))))))))&gt;0,(((K168)*(IF(M168="",L168,IFERROR(IF(INDEX(Variablen!$I:$AT, MATCH(M168, Variablen!$A:$A, 0), MATCH((YEAR(D168)+5), Variablen!$I$3:$AT$3, 0))="",L168,INDEX(Variablen!$I:$AT, MATCH(M168, Variablen!$A:$A, 0), MATCH((YEAR(D168)+5), Variablen!$I$3:$AT$3, 0))),L168)))*(IF((YEAR(D168)+5)&lt;YEAR(E168),0,IF((YEAR(D168)+5)&gt;YEAR(E168),1,(12-MONTH(E168)+1)/12))) + (Q168)*(IF((YEAR(D168)+5)&lt;YEAR(E168),0,IF((YEAR(D168)+5)&gt;YEAR(E168),1,(12-MONTH(E168)+1)/12))))-((P168)*(IF((YEAR(D168)+5)&lt;YEAR(E168),0,IF((YEAR(D168)+5)&gt;YEAR(E168),1,(12-MONTH(E168)+1)/12))) + (R168)*(IF((YEAR(D168)+5)&lt;YEAR(E168),0,IF((YEAR(D168)+5)&gt;YEAR(E168),1,(12-MONTH(E168)+1)/12))))-(IF(OR(N168="",N168&lt;=0),0,(O168/N168)*(IF(OR(N168="",N168&lt;=0),0,IF((YEAR(D168)+5)&lt;YEAR(E168),0,IF((YEAR(D168)+5)&gt;=YEAR(E168)+N168,0,IF((YEAR(D168)+5)=YEAR(E168),(12-MONTH(E168)+1)/12,1))))))))*TaxRate,0))-IF(5=0,O168,0))</f>
        <v/>
      </c>
      <c r="Y168" s="29">
        <f>IF(A168="","",((K168)*(IF(M168="",L168,IFERROR(IF(INDEX(Variablen!$I:$AT, MATCH(M168, Variablen!$A:$A, 0), MATCH((YEAR(D168)+6), Variablen!$I$3:$AT$3, 0))="",L168,INDEX(Variablen!$I:$AT, MATCH(M168, Variablen!$A:$A, 0), MATCH((YEAR(D168)+6), Variablen!$I$3:$AT$3, 0))),L168)))*(IF((YEAR(D168)+6)&lt;YEAR(E168),0,IF((YEAR(D168)+6)&gt;YEAR(E168),1,(12-MONTH(E168)+1)/12))) + (Q168)*(IF((YEAR(D168)+6)&lt;YEAR(E168),0,IF((YEAR(D168)+6)&gt;YEAR(E168),1,(12-MONTH(E168)+1)/12))))-((P168)*(IF((YEAR(D168)+6)&lt;YEAR(E168),0,IF((YEAR(D168)+6)&gt;YEAR(E168),1,(12-MONTH(E168)+1)/12))) + (R168)*(IF((YEAR(D168)+6)&lt;YEAR(E168),0,IF((YEAR(D168)+6)&gt;YEAR(E168),1,(12-MONTH(E168)+1)/12))))-(IF((((K168)*(IF(M168="",L168,IFERROR(IF(INDEX(Variablen!$I:$AT, MATCH(M168, Variablen!$A:$A, 0), MATCH((YEAR(D168)+6), Variablen!$I$3:$AT$3, 0))="",L168,INDEX(Variablen!$I:$AT, MATCH(M168, Variablen!$A:$A, 0), MATCH((YEAR(D168)+6), Variablen!$I$3:$AT$3, 0))),L168)))*(IF((YEAR(D168)+6)&lt;YEAR(E168),0,IF((YEAR(D168)+6)&gt;YEAR(E168),1,(12-MONTH(E168)+1)/12))) + (Q168)*(IF((YEAR(D168)+6)&lt;YEAR(E168),0,IF((YEAR(D168)+6)&gt;YEAR(E168),1,(12-MONTH(E168)+1)/12))))-((P168)*(IF((YEAR(D168)+6)&lt;YEAR(E168),0,IF((YEAR(D168)+6)&gt;YEAR(E168),1,(12-MONTH(E168)+1)/12))) + (R168)*(IF((YEAR(D168)+6)&lt;YEAR(E168),0,IF((YEAR(D168)+6)&gt;YEAR(E168),1,(12-MONTH(E168)+1)/12))))-(IF(OR(N168="",N168&lt;=0),0,(O168/N168)*(IF(OR(N168="",N168&lt;=0),0,IF((YEAR(D168)+6)&lt;YEAR(E168),0,IF((YEAR(D168)+6)&gt;=YEAR(E168)+N168,0,IF((YEAR(D168)+6)=YEAR(E168),(12-MONTH(E168)+1)/12,1))))))))&gt;0,(((K168)*(IF(M168="",L168,IFERROR(IF(INDEX(Variablen!$I:$AT, MATCH(M168, Variablen!$A:$A, 0), MATCH((YEAR(D168)+6), Variablen!$I$3:$AT$3, 0))="",L168,INDEX(Variablen!$I:$AT, MATCH(M168, Variablen!$A:$A, 0), MATCH((YEAR(D168)+6), Variablen!$I$3:$AT$3, 0))),L168)))*(IF((YEAR(D168)+6)&lt;YEAR(E168),0,IF((YEAR(D168)+6)&gt;YEAR(E168),1,(12-MONTH(E168)+1)/12))) + (Q168)*(IF((YEAR(D168)+6)&lt;YEAR(E168),0,IF((YEAR(D168)+6)&gt;YEAR(E168),1,(12-MONTH(E168)+1)/12))))-((P168)*(IF((YEAR(D168)+6)&lt;YEAR(E168),0,IF((YEAR(D168)+6)&gt;YEAR(E168),1,(12-MONTH(E168)+1)/12))) + (R168)*(IF((YEAR(D168)+6)&lt;YEAR(E168),0,IF((YEAR(D168)+6)&gt;YEAR(E168),1,(12-MONTH(E168)+1)/12))))-(IF(OR(N168="",N168&lt;=0),0,(O168/N168)*(IF(OR(N168="",N168&lt;=0),0,IF((YEAR(D168)+6)&lt;YEAR(E168),0,IF((YEAR(D168)+6)&gt;=YEAR(E168)+N168,0,IF((YEAR(D168)+6)=YEAR(E168),(12-MONTH(E168)+1)/12,1))))))))*TaxRate,0))-IF(6=0,O168,0))</f>
        <v/>
      </c>
      <c r="Z168" s="29">
        <f>IF(A168="","",((K168)*(IF(M168="",L168,IFERROR(IF(INDEX(Variablen!$I:$AT, MATCH(M168, Variablen!$A:$A, 0), MATCH((YEAR(D168)+7), Variablen!$I$3:$AT$3, 0))="",L168,INDEX(Variablen!$I:$AT, MATCH(M168, Variablen!$A:$A, 0), MATCH((YEAR(D168)+7), Variablen!$I$3:$AT$3, 0))),L168)))*(IF((YEAR(D168)+7)&lt;YEAR(E168),0,IF((YEAR(D168)+7)&gt;YEAR(E168),1,(12-MONTH(E168)+1)/12))) + (Q168)*(IF((YEAR(D168)+7)&lt;YEAR(E168),0,IF((YEAR(D168)+7)&gt;YEAR(E168),1,(12-MONTH(E168)+1)/12))))-((P168)*(IF((YEAR(D168)+7)&lt;YEAR(E168),0,IF((YEAR(D168)+7)&gt;YEAR(E168),1,(12-MONTH(E168)+1)/12))) + (R168)*(IF((YEAR(D168)+7)&lt;YEAR(E168),0,IF((YEAR(D168)+7)&gt;YEAR(E168),1,(12-MONTH(E168)+1)/12))))-(IF((((K168)*(IF(M168="",L168,IFERROR(IF(INDEX(Variablen!$I:$AT, MATCH(M168, Variablen!$A:$A, 0), MATCH((YEAR(D168)+7), Variablen!$I$3:$AT$3, 0))="",L168,INDEX(Variablen!$I:$AT, MATCH(M168, Variablen!$A:$A, 0), MATCH((YEAR(D168)+7), Variablen!$I$3:$AT$3, 0))),L168)))*(IF((YEAR(D168)+7)&lt;YEAR(E168),0,IF((YEAR(D168)+7)&gt;YEAR(E168),1,(12-MONTH(E168)+1)/12))) + (Q168)*(IF((YEAR(D168)+7)&lt;YEAR(E168),0,IF((YEAR(D168)+7)&gt;YEAR(E168),1,(12-MONTH(E168)+1)/12))))-((P168)*(IF((YEAR(D168)+7)&lt;YEAR(E168),0,IF((YEAR(D168)+7)&gt;YEAR(E168),1,(12-MONTH(E168)+1)/12))) + (R168)*(IF((YEAR(D168)+7)&lt;YEAR(E168),0,IF((YEAR(D168)+7)&gt;YEAR(E168),1,(12-MONTH(E168)+1)/12))))-(IF(OR(N168="",N168&lt;=0),0,(O168/N168)*(IF(OR(N168="",N168&lt;=0),0,IF((YEAR(D168)+7)&lt;YEAR(E168),0,IF((YEAR(D168)+7)&gt;=YEAR(E168)+N168,0,IF((YEAR(D168)+7)=YEAR(E168),(12-MONTH(E168)+1)/12,1))))))))&gt;0,(((K168)*(IF(M168="",L168,IFERROR(IF(INDEX(Variablen!$I:$AT, MATCH(M168, Variablen!$A:$A, 0), MATCH((YEAR(D168)+7), Variablen!$I$3:$AT$3, 0))="",L168,INDEX(Variablen!$I:$AT, MATCH(M168, Variablen!$A:$A, 0), MATCH((YEAR(D168)+7), Variablen!$I$3:$AT$3, 0))),L168)))*(IF((YEAR(D168)+7)&lt;YEAR(E168),0,IF((YEAR(D168)+7)&gt;YEAR(E168),1,(12-MONTH(E168)+1)/12))) + (Q168)*(IF((YEAR(D168)+7)&lt;YEAR(E168),0,IF((YEAR(D168)+7)&gt;YEAR(E168),1,(12-MONTH(E168)+1)/12))))-((P168)*(IF((YEAR(D168)+7)&lt;YEAR(E168),0,IF((YEAR(D168)+7)&gt;YEAR(E168),1,(12-MONTH(E168)+1)/12))) + (R168)*(IF((YEAR(D168)+7)&lt;YEAR(E168),0,IF((YEAR(D168)+7)&gt;YEAR(E168),1,(12-MONTH(E168)+1)/12))))-(IF(OR(N168="",N168&lt;=0),0,(O168/N168)*(IF(OR(N168="",N168&lt;=0),0,IF((YEAR(D168)+7)&lt;YEAR(E168),0,IF((YEAR(D168)+7)&gt;=YEAR(E168)+N168,0,IF((YEAR(D168)+7)=YEAR(E168),(12-MONTH(E168)+1)/12,1))))))))*TaxRate,0))-IF(7=0,O168,0))</f>
        <v/>
      </c>
      <c r="AA168" s="29">
        <f>IF(A168="","",((K168)*(IF(M168="",L168,IFERROR(IF(INDEX(Variablen!$I:$AT, MATCH(M168, Variablen!$A:$A, 0), MATCH((YEAR(D168)+8), Variablen!$I$3:$AT$3, 0))="",L168,INDEX(Variablen!$I:$AT, MATCH(M168, Variablen!$A:$A, 0), MATCH((YEAR(D168)+8), Variablen!$I$3:$AT$3, 0))),L168)))*(IF((YEAR(D168)+8)&lt;YEAR(E168),0,IF((YEAR(D168)+8)&gt;YEAR(E168),1,(12-MONTH(E168)+1)/12))) + (Q168)*(IF((YEAR(D168)+8)&lt;YEAR(E168),0,IF((YEAR(D168)+8)&gt;YEAR(E168),1,(12-MONTH(E168)+1)/12))))-((P168)*(IF((YEAR(D168)+8)&lt;YEAR(E168),0,IF((YEAR(D168)+8)&gt;YEAR(E168),1,(12-MONTH(E168)+1)/12))) + (R168)*(IF((YEAR(D168)+8)&lt;YEAR(E168),0,IF((YEAR(D168)+8)&gt;YEAR(E168),1,(12-MONTH(E168)+1)/12))))-(IF((((K168)*(IF(M168="",L168,IFERROR(IF(INDEX(Variablen!$I:$AT, MATCH(M168, Variablen!$A:$A, 0), MATCH((YEAR(D168)+8), Variablen!$I$3:$AT$3, 0))="",L168,INDEX(Variablen!$I:$AT, MATCH(M168, Variablen!$A:$A, 0), MATCH((YEAR(D168)+8), Variablen!$I$3:$AT$3, 0))),L168)))*(IF((YEAR(D168)+8)&lt;YEAR(E168),0,IF((YEAR(D168)+8)&gt;YEAR(E168),1,(12-MONTH(E168)+1)/12))) + (Q168)*(IF((YEAR(D168)+8)&lt;YEAR(E168),0,IF((YEAR(D168)+8)&gt;YEAR(E168),1,(12-MONTH(E168)+1)/12))))-((P168)*(IF((YEAR(D168)+8)&lt;YEAR(E168),0,IF((YEAR(D168)+8)&gt;YEAR(E168),1,(12-MONTH(E168)+1)/12))) + (R168)*(IF((YEAR(D168)+8)&lt;YEAR(E168),0,IF((YEAR(D168)+8)&gt;YEAR(E168),1,(12-MONTH(E168)+1)/12))))-(IF(OR(N168="",N168&lt;=0),0,(O168/N168)*(IF(OR(N168="",N168&lt;=0),0,IF((YEAR(D168)+8)&lt;YEAR(E168),0,IF((YEAR(D168)+8)&gt;=YEAR(E168)+N168,0,IF((YEAR(D168)+8)=YEAR(E168),(12-MONTH(E168)+1)/12,1))))))))&gt;0,(((K168)*(IF(M168="",L168,IFERROR(IF(INDEX(Variablen!$I:$AT, MATCH(M168, Variablen!$A:$A, 0), MATCH((YEAR(D168)+8), Variablen!$I$3:$AT$3, 0))="",L168,INDEX(Variablen!$I:$AT, MATCH(M168, Variablen!$A:$A, 0), MATCH((YEAR(D168)+8), Variablen!$I$3:$AT$3, 0))),L168)))*(IF((YEAR(D168)+8)&lt;YEAR(E168),0,IF((YEAR(D168)+8)&gt;YEAR(E168),1,(12-MONTH(E168)+1)/12))) + (Q168)*(IF((YEAR(D168)+8)&lt;YEAR(E168),0,IF((YEAR(D168)+8)&gt;YEAR(E168),1,(12-MONTH(E168)+1)/12))))-((P168)*(IF((YEAR(D168)+8)&lt;YEAR(E168),0,IF((YEAR(D168)+8)&gt;YEAR(E168),1,(12-MONTH(E168)+1)/12))) + (R168)*(IF((YEAR(D168)+8)&lt;YEAR(E168),0,IF((YEAR(D168)+8)&gt;YEAR(E168),1,(12-MONTH(E168)+1)/12))))-(IF(OR(N168="",N168&lt;=0),0,(O168/N168)*(IF(OR(N168="",N168&lt;=0),0,IF((YEAR(D168)+8)&lt;YEAR(E168),0,IF((YEAR(D168)+8)&gt;=YEAR(E168)+N168,0,IF((YEAR(D168)+8)=YEAR(E168),(12-MONTH(E168)+1)/12,1))))))))*TaxRate,0))-IF(8=0,O168,0))</f>
        <v/>
      </c>
      <c r="AB168" s="29">
        <f>IF(A168="","",((K168)*(IF(M168="",L168,IFERROR(IF(INDEX(Variablen!$I:$AT, MATCH(M168, Variablen!$A:$A, 0), MATCH((YEAR(D168)+9), Variablen!$I$3:$AT$3, 0))="",L168,INDEX(Variablen!$I:$AT, MATCH(M168, Variablen!$A:$A, 0), MATCH((YEAR(D168)+9), Variablen!$I$3:$AT$3, 0))),L168)))*(IF((YEAR(D168)+9)&lt;YEAR(E168),0,IF((YEAR(D168)+9)&gt;YEAR(E168),1,(12-MONTH(E168)+1)/12))) + (Q168)*(IF((YEAR(D168)+9)&lt;YEAR(E168),0,IF((YEAR(D168)+9)&gt;YEAR(E168),1,(12-MONTH(E168)+1)/12))))-((P168)*(IF((YEAR(D168)+9)&lt;YEAR(E168),0,IF((YEAR(D168)+9)&gt;YEAR(E168),1,(12-MONTH(E168)+1)/12))) + (R168)*(IF((YEAR(D168)+9)&lt;YEAR(E168),0,IF((YEAR(D168)+9)&gt;YEAR(E168),1,(12-MONTH(E168)+1)/12))))-(IF((((K168)*(IF(M168="",L168,IFERROR(IF(INDEX(Variablen!$I:$AT, MATCH(M168, Variablen!$A:$A, 0), MATCH((YEAR(D168)+9), Variablen!$I$3:$AT$3, 0))="",L168,INDEX(Variablen!$I:$AT, MATCH(M168, Variablen!$A:$A, 0), MATCH((YEAR(D168)+9), Variablen!$I$3:$AT$3, 0))),L168)))*(IF((YEAR(D168)+9)&lt;YEAR(E168),0,IF((YEAR(D168)+9)&gt;YEAR(E168),1,(12-MONTH(E168)+1)/12))) + (Q168)*(IF((YEAR(D168)+9)&lt;YEAR(E168),0,IF((YEAR(D168)+9)&gt;YEAR(E168),1,(12-MONTH(E168)+1)/12))))-((P168)*(IF((YEAR(D168)+9)&lt;YEAR(E168),0,IF((YEAR(D168)+9)&gt;YEAR(E168),1,(12-MONTH(E168)+1)/12))) + (R168)*(IF((YEAR(D168)+9)&lt;YEAR(E168),0,IF((YEAR(D168)+9)&gt;YEAR(E168),1,(12-MONTH(E168)+1)/12))))-(IF(OR(N168="",N168&lt;=0),0,(O168/N168)*(IF(OR(N168="",N168&lt;=0),0,IF((YEAR(D168)+9)&lt;YEAR(E168),0,IF((YEAR(D168)+9)&gt;=YEAR(E168)+N168,0,IF((YEAR(D168)+9)=YEAR(E168),(12-MONTH(E168)+1)/12,1))))))))&gt;0,(((K168)*(IF(M168="",L168,IFERROR(IF(INDEX(Variablen!$I:$AT, MATCH(M168, Variablen!$A:$A, 0), MATCH((YEAR(D168)+9), Variablen!$I$3:$AT$3, 0))="",L168,INDEX(Variablen!$I:$AT, MATCH(M168, Variablen!$A:$A, 0), MATCH((YEAR(D168)+9), Variablen!$I$3:$AT$3, 0))),L168)))*(IF((YEAR(D168)+9)&lt;YEAR(E168),0,IF((YEAR(D168)+9)&gt;YEAR(E168),1,(12-MONTH(E168)+1)/12))) + (Q168)*(IF((YEAR(D168)+9)&lt;YEAR(E168),0,IF((YEAR(D168)+9)&gt;YEAR(E168),1,(12-MONTH(E168)+1)/12))))-((P168)*(IF((YEAR(D168)+9)&lt;YEAR(E168),0,IF((YEAR(D168)+9)&gt;YEAR(E168),1,(12-MONTH(E168)+1)/12))) + (R168)*(IF((YEAR(D168)+9)&lt;YEAR(E168),0,IF((YEAR(D168)+9)&gt;YEAR(E168),1,(12-MONTH(E168)+1)/12))))-(IF(OR(N168="",N168&lt;=0),0,(O168/N168)*(IF(OR(N168="",N168&lt;=0),0,IF((YEAR(D168)+9)&lt;YEAR(E168),0,IF((YEAR(D168)+9)&gt;=YEAR(E168)+N168,0,IF((YEAR(D168)+9)=YEAR(E168),(12-MONTH(E168)+1)/12,1))))))))*TaxRate,0))-IF(9=0,O168,0))</f>
        <v/>
      </c>
      <c r="AC168" s="29">
        <f>IF(A168="","",((K168)*(IF(M168="",L168,IFERROR(IF(INDEX(Variablen!$I:$AT, MATCH(M168, Variablen!$A:$A, 0), MATCH((YEAR(D168)+10), Variablen!$I$3:$AT$3, 0))="",L168,INDEX(Variablen!$I:$AT, MATCH(M168, Variablen!$A:$A, 0), MATCH((YEAR(D168)+10), Variablen!$I$3:$AT$3, 0))),L168)))*(IF((YEAR(D168)+10)&lt;YEAR(E168),0,IF((YEAR(D168)+10)&gt;YEAR(E168),1,(12-MONTH(E168)+1)/12))) + (Q168)*(IF((YEAR(D168)+10)&lt;YEAR(E168),0,IF((YEAR(D168)+10)&gt;YEAR(E168),1,(12-MONTH(E168)+1)/12))))-((P168)*(IF((YEAR(D168)+10)&lt;YEAR(E168),0,IF((YEAR(D168)+10)&gt;YEAR(E168),1,(12-MONTH(E168)+1)/12))) + (R168)*(IF((YEAR(D168)+10)&lt;YEAR(E168),0,IF((YEAR(D168)+10)&gt;YEAR(E168),1,(12-MONTH(E168)+1)/12))))-(IF((((K168)*(IF(M168="",L168,IFERROR(IF(INDEX(Variablen!$I:$AT, MATCH(M168, Variablen!$A:$A, 0), MATCH((YEAR(D168)+10), Variablen!$I$3:$AT$3, 0))="",L168,INDEX(Variablen!$I:$AT, MATCH(M168, Variablen!$A:$A, 0), MATCH((YEAR(D168)+10), Variablen!$I$3:$AT$3, 0))),L168)))*(IF((YEAR(D168)+10)&lt;YEAR(E168),0,IF((YEAR(D168)+10)&gt;YEAR(E168),1,(12-MONTH(E168)+1)/12))) + (Q168)*(IF((YEAR(D168)+10)&lt;YEAR(E168),0,IF((YEAR(D168)+10)&gt;YEAR(E168),1,(12-MONTH(E168)+1)/12))))-((P168)*(IF((YEAR(D168)+10)&lt;YEAR(E168),0,IF((YEAR(D168)+10)&gt;YEAR(E168),1,(12-MONTH(E168)+1)/12))) + (R168)*(IF((YEAR(D168)+10)&lt;YEAR(E168),0,IF((YEAR(D168)+10)&gt;YEAR(E168),1,(12-MONTH(E168)+1)/12))))-(IF(OR(N168="",N168&lt;=0),0,(O168/N168)*(IF(OR(N168="",N168&lt;=0),0,IF((YEAR(D168)+10)&lt;YEAR(E168),0,IF((YEAR(D168)+10)&gt;=YEAR(E168)+N168,0,IF((YEAR(D168)+10)=YEAR(E168),(12-MONTH(E168)+1)/12,1))))))))&gt;0,(((K168)*(IF(M168="",L168,IFERROR(IF(INDEX(Variablen!$I:$AT, MATCH(M168, Variablen!$A:$A, 0), MATCH((YEAR(D168)+10), Variablen!$I$3:$AT$3, 0))="",L168,INDEX(Variablen!$I:$AT, MATCH(M168, Variablen!$A:$A, 0), MATCH((YEAR(D168)+10), Variablen!$I$3:$AT$3, 0))),L168)))*(IF((YEAR(D168)+10)&lt;YEAR(E168),0,IF((YEAR(D168)+10)&gt;YEAR(E168),1,(12-MONTH(E168)+1)/12))) + (Q168)*(IF((YEAR(D168)+10)&lt;YEAR(E168),0,IF((YEAR(D168)+10)&gt;YEAR(E168),1,(12-MONTH(E168)+1)/12))))-((P168)*(IF((YEAR(D168)+10)&lt;YEAR(E168),0,IF((YEAR(D168)+10)&gt;YEAR(E168),1,(12-MONTH(E168)+1)/12))) + (R168)*(IF((YEAR(D168)+10)&lt;YEAR(E168),0,IF((YEAR(D168)+10)&gt;YEAR(E168),1,(12-MONTH(E168)+1)/12))))-(IF(OR(N168="",N168&lt;=0),0,(O168/N168)*(IF(OR(N168="",N168&lt;=0),0,IF((YEAR(D168)+10)&lt;YEAR(E168),0,IF((YEAR(D168)+10)&gt;=YEAR(E168)+N168,0,IF((YEAR(D168)+10)=YEAR(E168),(12-MONTH(E168)+1)/12,1))))))))*TaxRate,0))-IF(10=0,O168,0))</f>
        <v/>
      </c>
      <c r="AD168" s="29">
        <f>IF(A168="","",((K168)*(IF(M168="",L168,IFERROR(IF(INDEX(Variablen!$I:$AT, MATCH(M168, Variablen!$A:$A, 0), MATCH((YEAR(D168)+11), Variablen!$I$3:$AT$3, 0))="",L168,INDEX(Variablen!$I:$AT, MATCH(M168, Variablen!$A:$A, 0), MATCH((YEAR(D168)+11), Variablen!$I$3:$AT$3, 0))),L168)))*(IF((YEAR(D168)+11)&lt;YEAR(E168),0,IF((YEAR(D168)+11)&gt;YEAR(E168),1,(12-MONTH(E168)+1)/12))) + (Q168)*(IF((YEAR(D168)+11)&lt;YEAR(E168),0,IF((YEAR(D168)+11)&gt;YEAR(E168),1,(12-MONTH(E168)+1)/12))))-((P168)*(IF((YEAR(D168)+11)&lt;YEAR(E168),0,IF((YEAR(D168)+11)&gt;YEAR(E168),1,(12-MONTH(E168)+1)/12))) + (R168)*(IF((YEAR(D168)+11)&lt;YEAR(E168),0,IF((YEAR(D168)+11)&gt;YEAR(E168),1,(12-MONTH(E168)+1)/12))))-(IF((((K168)*(IF(M168="",L168,IFERROR(IF(INDEX(Variablen!$I:$AT, MATCH(M168, Variablen!$A:$A, 0), MATCH((YEAR(D168)+11), Variablen!$I$3:$AT$3, 0))="",L168,INDEX(Variablen!$I:$AT, MATCH(M168, Variablen!$A:$A, 0), MATCH((YEAR(D168)+11), Variablen!$I$3:$AT$3, 0))),L168)))*(IF((YEAR(D168)+11)&lt;YEAR(E168),0,IF((YEAR(D168)+11)&gt;YEAR(E168),1,(12-MONTH(E168)+1)/12))) + (Q168)*(IF((YEAR(D168)+11)&lt;YEAR(E168),0,IF((YEAR(D168)+11)&gt;YEAR(E168),1,(12-MONTH(E168)+1)/12))))-((P168)*(IF((YEAR(D168)+11)&lt;YEAR(E168),0,IF((YEAR(D168)+11)&gt;YEAR(E168),1,(12-MONTH(E168)+1)/12))) + (R168)*(IF((YEAR(D168)+11)&lt;YEAR(E168),0,IF((YEAR(D168)+11)&gt;YEAR(E168),1,(12-MONTH(E168)+1)/12))))-(IF(OR(N168="",N168&lt;=0),0,(O168/N168)*(IF(OR(N168="",N168&lt;=0),0,IF((YEAR(D168)+11)&lt;YEAR(E168),0,IF((YEAR(D168)+11)&gt;=YEAR(E168)+N168,0,IF((YEAR(D168)+11)=YEAR(E168),(12-MONTH(E168)+1)/12,1))))))))&gt;0,(((K168)*(IF(M168="",L168,IFERROR(IF(INDEX(Variablen!$I:$AT, MATCH(M168, Variablen!$A:$A, 0), MATCH((YEAR(D168)+11), Variablen!$I$3:$AT$3, 0))="",L168,INDEX(Variablen!$I:$AT, MATCH(M168, Variablen!$A:$A, 0), MATCH((YEAR(D168)+11), Variablen!$I$3:$AT$3, 0))),L168)))*(IF((YEAR(D168)+11)&lt;YEAR(E168),0,IF((YEAR(D168)+11)&gt;YEAR(E168),1,(12-MONTH(E168)+1)/12))) + (Q168)*(IF((YEAR(D168)+11)&lt;YEAR(E168),0,IF((YEAR(D168)+11)&gt;YEAR(E168),1,(12-MONTH(E168)+1)/12))))-((P168)*(IF((YEAR(D168)+11)&lt;YEAR(E168),0,IF((YEAR(D168)+11)&gt;YEAR(E168),1,(12-MONTH(E168)+1)/12))) + (R168)*(IF((YEAR(D168)+11)&lt;YEAR(E168),0,IF((YEAR(D168)+11)&gt;YEAR(E168),1,(12-MONTH(E168)+1)/12))))-(IF(OR(N168="",N168&lt;=0),0,(O168/N168)*(IF(OR(N168="",N168&lt;=0),0,IF((YEAR(D168)+11)&lt;YEAR(E168),0,IF((YEAR(D168)+11)&gt;=YEAR(E168)+N168,0,IF((YEAR(D168)+11)=YEAR(E168),(12-MONTH(E168)+1)/12,1))))))))*TaxRate,0))-IF(11=0,O168,0))</f>
        <v/>
      </c>
      <c r="AE168" s="29">
        <f>IF(A168="","",((K168)*(IF(M168="",L168,IFERROR(IF(INDEX(Variablen!$I:$AT, MATCH(M168, Variablen!$A:$A, 0), MATCH((YEAR(D168)+12), Variablen!$I$3:$AT$3, 0))="",L168,INDEX(Variablen!$I:$AT, MATCH(M168, Variablen!$A:$A, 0), MATCH((YEAR(D168)+12), Variablen!$I$3:$AT$3, 0))),L168)))*(IF((YEAR(D168)+12)&lt;YEAR(E168),0,IF((YEAR(D168)+12)&gt;YEAR(E168),1,(12-MONTH(E168)+1)/12))) + (Q168)*(IF((YEAR(D168)+12)&lt;YEAR(E168),0,IF((YEAR(D168)+12)&gt;YEAR(E168),1,(12-MONTH(E168)+1)/12))))-((P168)*(IF((YEAR(D168)+12)&lt;YEAR(E168),0,IF((YEAR(D168)+12)&gt;YEAR(E168),1,(12-MONTH(E168)+1)/12))) + (R168)*(IF((YEAR(D168)+12)&lt;YEAR(E168),0,IF((YEAR(D168)+12)&gt;YEAR(E168),1,(12-MONTH(E168)+1)/12))))-(IF((((K168)*(IF(M168="",L168,IFERROR(IF(INDEX(Variablen!$I:$AT, MATCH(M168, Variablen!$A:$A, 0), MATCH((YEAR(D168)+12), Variablen!$I$3:$AT$3, 0))="",L168,INDEX(Variablen!$I:$AT, MATCH(M168, Variablen!$A:$A, 0), MATCH((YEAR(D168)+12), Variablen!$I$3:$AT$3, 0))),L168)))*(IF((YEAR(D168)+12)&lt;YEAR(E168),0,IF((YEAR(D168)+12)&gt;YEAR(E168),1,(12-MONTH(E168)+1)/12))) + (Q168)*(IF((YEAR(D168)+12)&lt;YEAR(E168),0,IF((YEAR(D168)+12)&gt;YEAR(E168),1,(12-MONTH(E168)+1)/12))))-((P168)*(IF((YEAR(D168)+12)&lt;YEAR(E168),0,IF((YEAR(D168)+12)&gt;YEAR(E168),1,(12-MONTH(E168)+1)/12))) + (R168)*(IF((YEAR(D168)+12)&lt;YEAR(E168),0,IF((YEAR(D168)+12)&gt;YEAR(E168),1,(12-MONTH(E168)+1)/12))))-(IF(OR(N168="",N168&lt;=0),0,(O168/N168)*(IF(OR(N168="",N168&lt;=0),0,IF((YEAR(D168)+12)&lt;YEAR(E168),0,IF((YEAR(D168)+12)&gt;=YEAR(E168)+N168,0,IF((YEAR(D168)+12)=YEAR(E168),(12-MONTH(E168)+1)/12,1))))))))&gt;0,(((K168)*(IF(M168="",L168,IFERROR(IF(INDEX(Variablen!$I:$AT, MATCH(M168, Variablen!$A:$A, 0), MATCH((YEAR(D168)+12), Variablen!$I$3:$AT$3, 0))="",L168,INDEX(Variablen!$I:$AT, MATCH(M168, Variablen!$A:$A, 0), MATCH((YEAR(D168)+12), Variablen!$I$3:$AT$3, 0))),L168)))*(IF((YEAR(D168)+12)&lt;YEAR(E168),0,IF((YEAR(D168)+12)&gt;YEAR(E168),1,(12-MONTH(E168)+1)/12))) + (Q168)*(IF((YEAR(D168)+12)&lt;YEAR(E168),0,IF((YEAR(D168)+12)&gt;YEAR(E168),1,(12-MONTH(E168)+1)/12))))-((P168)*(IF((YEAR(D168)+12)&lt;YEAR(E168),0,IF((YEAR(D168)+12)&gt;YEAR(E168),1,(12-MONTH(E168)+1)/12))) + (R168)*(IF((YEAR(D168)+12)&lt;YEAR(E168),0,IF((YEAR(D168)+12)&gt;YEAR(E168),1,(12-MONTH(E168)+1)/12))))-(IF(OR(N168="",N168&lt;=0),0,(O168/N168)*(IF(OR(N168="",N168&lt;=0),0,IF((YEAR(D168)+12)&lt;YEAR(E168),0,IF((YEAR(D168)+12)&gt;=YEAR(E168)+N168,0,IF((YEAR(D168)+12)=YEAR(E168),(12-MONTH(E168)+1)/12,1))))))))*TaxRate,0))-IF(12=0,O168,0))</f>
        <v/>
      </c>
      <c r="AF168" s="29">
        <f>IF(A168="","",((K168)*(IF(M168="",L168,IFERROR(IF(INDEX(Variablen!$I:$AT, MATCH(M168, Variablen!$A:$A, 0), MATCH((YEAR(D168)+13), Variablen!$I$3:$AT$3, 0))="",L168,INDEX(Variablen!$I:$AT, MATCH(M168, Variablen!$A:$A, 0), MATCH((YEAR(D168)+13), Variablen!$I$3:$AT$3, 0))),L168)))*(IF((YEAR(D168)+13)&lt;YEAR(E168),0,IF((YEAR(D168)+13)&gt;YEAR(E168),1,(12-MONTH(E168)+1)/12))) + (Q168)*(IF((YEAR(D168)+13)&lt;YEAR(E168),0,IF((YEAR(D168)+13)&gt;YEAR(E168),1,(12-MONTH(E168)+1)/12))))-((P168)*(IF((YEAR(D168)+13)&lt;YEAR(E168),0,IF((YEAR(D168)+13)&gt;YEAR(E168),1,(12-MONTH(E168)+1)/12))) + (R168)*(IF((YEAR(D168)+13)&lt;YEAR(E168),0,IF((YEAR(D168)+13)&gt;YEAR(E168),1,(12-MONTH(E168)+1)/12))))-(IF((((K168)*(IF(M168="",L168,IFERROR(IF(INDEX(Variablen!$I:$AT, MATCH(M168, Variablen!$A:$A, 0), MATCH((YEAR(D168)+13), Variablen!$I$3:$AT$3, 0))="",L168,INDEX(Variablen!$I:$AT, MATCH(M168, Variablen!$A:$A, 0), MATCH((YEAR(D168)+13), Variablen!$I$3:$AT$3, 0))),L168)))*(IF((YEAR(D168)+13)&lt;YEAR(E168),0,IF((YEAR(D168)+13)&gt;YEAR(E168),1,(12-MONTH(E168)+1)/12))) + (Q168)*(IF((YEAR(D168)+13)&lt;YEAR(E168),0,IF((YEAR(D168)+13)&gt;YEAR(E168),1,(12-MONTH(E168)+1)/12))))-((P168)*(IF((YEAR(D168)+13)&lt;YEAR(E168),0,IF((YEAR(D168)+13)&gt;YEAR(E168),1,(12-MONTH(E168)+1)/12))) + (R168)*(IF((YEAR(D168)+13)&lt;YEAR(E168),0,IF((YEAR(D168)+13)&gt;YEAR(E168),1,(12-MONTH(E168)+1)/12))))-(IF(OR(N168="",N168&lt;=0),0,(O168/N168)*(IF(OR(N168="",N168&lt;=0),0,IF((YEAR(D168)+13)&lt;YEAR(E168),0,IF((YEAR(D168)+13)&gt;=YEAR(E168)+N168,0,IF((YEAR(D168)+13)=YEAR(E168),(12-MONTH(E168)+1)/12,1))))))))&gt;0,(((K168)*(IF(M168="",L168,IFERROR(IF(INDEX(Variablen!$I:$AT, MATCH(M168, Variablen!$A:$A, 0), MATCH((YEAR(D168)+13), Variablen!$I$3:$AT$3, 0))="",L168,INDEX(Variablen!$I:$AT, MATCH(M168, Variablen!$A:$A, 0), MATCH((YEAR(D168)+13), Variablen!$I$3:$AT$3, 0))),L168)))*(IF((YEAR(D168)+13)&lt;YEAR(E168),0,IF((YEAR(D168)+13)&gt;YEAR(E168),1,(12-MONTH(E168)+1)/12))) + (Q168)*(IF((YEAR(D168)+13)&lt;YEAR(E168),0,IF((YEAR(D168)+13)&gt;YEAR(E168),1,(12-MONTH(E168)+1)/12))))-((P168)*(IF((YEAR(D168)+13)&lt;YEAR(E168),0,IF((YEAR(D168)+13)&gt;YEAR(E168),1,(12-MONTH(E168)+1)/12))) + (R168)*(IF((YEAR(D168)+13)&lt;YEAR(E168),0,IF((YEAR(D168)+13)&gt;YEAR(E168),1,(12-MONTH(E168)+1)/12))))-(IF(OR(N168="",N168&lt;=0),0,(O168/N168)*(IF(OR(N168="",N168&lt;=0),0,IF((YEAR(D168)+13)&lt;YEAR(E168),0,IF((YEAR(D168)+13)&gt;=YEAR(E168)+N168,0,IF((YEAR(D168)+13)=YEAR(E168),(12-MONTH(E168)+1)/12,1))))))))*TaxRate,0))-IF(13=0,O168,0))</f>
        <v/>
      </c>
      <c r="AG168" s="29">
        <f>IF(A168="","",((K168)*(IF(M168="",L168,IFERROR(IF(INDEX(Variablen!$I:$AT, MATCH(M168, Variablen!$A:$A, 0), MATCH((YEAR(D168)+14), Variablen!$I$3:$AT$3, 0))="",L168,INDEX(Variablen!$I:$AT, MATCH(M168, Variablen!$A:$A, 0), MATCH((YEAR(D168)+14), Variablen!$I$3:$AT$3, 0))),L168)))*(IF((YEAR(D168)+14)&lt;YEAR(E168),0,IF((YEAR(D168)+14)&gt;YEAR(E168),1,(12-MONTH(E168)+1)/12))) + (Q168)*(IF((YEAR(D168)+14)&lt;YEAR(E168),0,IF((YEAR(D168)+14)&gt;YEAR(E168),1,(12-MONTH(E168)+1)/12))))-((P168)*(IF((YEAR(D168)+14)&lt;YEAR(E168),0,IF((YEAR(D168)+14)&gt;YEAR(E168),1,(12-MONTH(E168)+1)/12))) + (R168)*(IF((YEAR(D168)+14)&lt;YEAR(E168),0,IF((YEAR(D168)+14)&gt;YEAR(E168),1,(12-MONTH(E168)+1)/12))))-(IF((((K168)*(IF(M168="",L168,IFERROR(IF(INDEX(Variablen!$I:$AT, MATCH(M168, Variablen!$A:$A, 0), MATCH((YEAR(D168)+14), Variablen!$I$3:$AT$3, 0))="",L168,INDEX(Variablen!$I:$AT, MATCH(M168, Variablen!$A:$A, 0), MATCH((YEAR(D168)+14), Variablen!$I$3:$AT$3, 0))),L168)))*(IF((YEAR(D168)+14)&lt;YEAR(E168),0,IF((YEAR(D168)+14)&gt;YEAR(E168),1,(12-MONTH(E168)+1)/12))) + (Q168)*(IF((YEAR(D168)+14)&lt;YEAR(E168),0,IF((YEAR(D168)+14)&gt;YEAR(E168),1,(12-MONTH(E168)+1)/12))))-((P168)*(IF((YEAR(D168)+14)&lt;YEAR(E168),0,IF((YEAR(D168)+14)&gt;YEAR(E168),1,(12-MONTH(E168)+1)/12))) + (R168)*(IF((YEAR(D168)+14)&lt;YEAR(E168),0,IF((YEAR(D168)+14)&gt;YEAR(E168),1,(12-MONTH(E168)+1)/12))))-(IF(OR(N168="",N168&lt;=0),0,(O168/N168)*(IF(OR(N168="",N168&lt;=0),0,IF((YEAR(D168)+14)&lt;YEAR(E168),0,IF((YEAR(D168)+14)&gt;=YEAR(E168)+N168,0,IF((YEAR(D168)+14)=YEAR(E168),(12-MONTH(E168)+1)/12,1))))))))&gt;0,(((K168)*(IF(M168="",L168,IFERROR(IF(INDEX(Variablen!$I:$AT, MATCH(M168, Variablen!$A:$A, 0), MATCH((YEAR(D168)+14), Variablen!$I$3:$AT$3, 0))="",L168,INDEX(Variablen!$I:$AT, MATCH(M168, Variablen!$A:$A, 0), MATCH((YEAR(D168)+14), Variablen!$I$3:$AT$3, 0))),L168)))*(IF((YEAR(D168)+14)&lt;YEAR(E168),0,IF((YEAR(D168)+14)&gt;YEAR(E168),1,(12-MONTH(E168)+1)/12))) + (Q168)*(IF((YEAR(D168)+14)&lt;YEAR(E168),0,IF((YEAR(D168)+14)&gt;YEAR(E168),1,(12-MONTH(E168)+1)/12))))-((P168)*(IF((YEAR(D168)+14)&lt;YEAR(E168),0,IF((YEAR(D168)+14)&gt;YEAR(E168),1,(12-MONTH(E168)+1)/12))) + (R168)*(IF((YEAR(D168)+14)&lt;YEAR(E168),0,IF((YEAR(D168)+14)&gt;YEAR(E168),1,(12-MONTH(E168)+1)/12))))-(IF(OR(N168="",N168&lt;=0),0,(O168/N168)*(IF(OR(N168="",N168&lt;=0),0,IF((YEAR(D168)+14)&lt;YEAR(E168),0,IF((YEAR(D168)+14)&gt;=YEAR(E168)+N168,0,IF((YEAR(D168)+14)=YEAR(E168),(12-MONTH(E168)+1)/12,1))))))))*TaxRate,0))-IF(14=0,O168,0))</f>
        <v/>
      </c>
      <c r="AH168" s="29">
        <f>IF(A168="","",((K168)*(IF(M168="",L168,IFERROR(IF(INDEX(Variablen!$I:$AT, MATCH(M168, Variablen!$A:$A, 0), MATCH((YEAR(D168)+15), Variablen!$I$3:$AT$3, 0))="",L168,INDEX(Variablen!$I:$AT, MATCH(M168, Variablen!$A:$A, 0), MATCH((YEAR(D168)+15), Variablen!$I$3:$AT$3, 0))),L168)))*(IF((YEAR(D168)+15)&lt;YEAR(E168),0,IF((YEAR(D168)+15)&gt;YEAR(E168),1,(12-MONTH(E168)+1)/12))) + (Q168)*(IF((YEAR(D168)+15)&lt;YEAR(E168),0,IF((YEAR(D168)+15)&gt;YEAR(E168),1,(12-MONTH(E168)+1)/12))))-((P168)*(IF((YEAR(D168)+15)&lt;YEAR(E168),0,IF((YEAR(D168)+15)&gt;YEAR(E168),1,(12-MONTH(E168)+1)/12))) + (R168)*(IF((YEAR(D168)+15)&lt;YEAR(E168),0,IF((YEAR(D168)+15)&gt;YEAR(E168),1,(12-MONTH(E168)+1)/12))))-(IF((((K168)*(IF(M168="",L168,IFERROR(IF(INDEX(Variablen!$I:$AT, MATCH(M168, Variablen!$A:$A, 0), MATCH((YEAR(D168)+15), Variablen!$I$3:$AT$3, 0))="",L168,INDEX(Variablen!$I:$AT, MATCH(M168, Variablen!$A:$A, 0), MATCH((YEAR(D168)+15), Variablen!$I$3:$AT$3, 0))),L168)))*(IF((YEAR(D168)+15)&lt;YEAR(E168),0,IF((YEAR(D168)+15)&gt;YEAR(E168),1,(12-MONTH(E168)+1)/12))) + (Q168)*(IF((YEAR(D168)+15)&lt;YEAR(E168),0,IF((YEAR(D168)+15)&gt;YEAR(E168),1,(12-MONTH(E168)+1)/12))))-((P168)*(IF((YEAR(D168)+15)&lt;YEAR(E168),0,IF((YEAR(D168)+15)&gt;YEAR(E168),1,(12-MONTH(E168)+1)/12))) + (R168)*(IF((YEAR(D168)+15)&lt;YEAR(E168),0,IF((YEAR(D168)+15)&gt;YEAR(E168),1,(12-MONTH(E168)+1)/12))))-(IF(OR(N168="",N168&lt;=0),0,(O168/N168)*(IF(OR(N168="",N168&lt;=0),0,IF((YEAR(D168)+15)&lt;YEAR(E168),0,IF((YEAR(D168)+15)&gt;=YEAR(E168)+N168,0,IF((YEAR(D168)+15)=YEAR(E168),(12-MONTH(E168)+1)/12,1))))))))&gt;0,(((K168)*(IF(M168="",L168,IFERROR(IF(INDEX(Variablen!$I:$AT, MATCH(M168, Variablen!$A:$A, 0), MATCH((YEAR(D168)+15), Variablen!$I$3:$AT$3, 0))="",L168,INDEX(Variablen!$I:$AT, MATCH(M168, Variablen!$A:$A, 0), MATCH((YEAR(D168)+15), Variablen!$I$3:$AT$3, 0))),L168)))*(IF((YEAR(D168)+15)&lt;YEAR(E168),0,IF((YEAR(D168)+15)&gt;YEAR(E168),1,(12-MONTH(E168)+1)/12))) + (Q168)*(IF((YEAR(D168)+15)&lt;YEAR(E168),0,IF((YEAR(D168)+15)&gt;YEAR(E168),1,(12-MONTH(E168)+1)/12))))-((P168)*(IF((YEAR(D168)+15)&lt;YEAR(E168),0,IF((YEAR(D168)+15)&gt;YEAR(E168),1,(12-MONTH(E168)+1)/12))) + (R168)*(IF((YEAR(D168)+15)&lt;YEAR(E168),0,IF((YEAR(D168)+15)&gt;YEAR(E168),1,(12-MONTH(E168)+1)/12))))-(IF(OR(N168="",N168&lt;=0),0,(O168/N168)*(IF(OR(N168="",N168&lt;=0),0,IF((YEAR(D168)+15)&lt;YEAR(E168),0,IF((YEAR(D168)+15)&gt;=YEAR(E168)+N168,0,IF((YEAR(D168)+15)=YEAR(E168),(12-MONTH(E168)+1)/12,1))))))))*TaxRate,0))-IF(15=0,O168,0))</f>
        <v/>
      </c>
      <c r="AI168" s="29">
        <f>IF(A168="","",((K168)*(IF(M168="",L168,IFERROR(IF(INDEX(Variablen!$I:$AT, MATCH(M168, Variablen!$A:$A, 0), MATCH((YEAR(D168)+16), Variablen!$I$3:$AT$3, 0))="",L168,INDEX(Variablen!$I:$AT, MATCH(M168, Variablen!$A:$A, 0), MATCH((YEAR(D168)+16), Variablen!$I$3:$AT$3, 0))),L168)))*(IF((YEAR(D168)+16)&lt;YEAR(E168),0,IF((YEAR(D168)+16)&gt;YEAR(E168),1,(12-MONTH(E168)+1)/12))) + (Q168)*(IF((YEAR(D168)+16)&lt;YEAR(E168),0,IF((YEAR(D168)+16)&gt;YEAR(E168),1,(12-MONTH(E168)+1)/12))))-((P168)*(IF((YEAR(D168)+16)&lt;YEAR(E168),0,IF((YEAR(D168)+16)&gt;YEAR(E168),1,(12-MONTH(E168)+1)/12))) + (R168)*(IF((YEAR(D168)+16)&lt;YEAR(E168),0,IF((YEAR(D168)+16)&gt;YEAR(E168),1,(12-MONTH(E168)+1)/12))))-(IF((((K168)*(IF(M168="",L168,IFERROR(IF(INDEX(Variablen!$I:$AT, MATCH(M168, Variablen!$A:$A, 0), MATCH((YEAR(D168)+16), Variablen!$I$3:$AT$3, 0))="",L168,INDEX(Variablen!$I:$AT, MATCH(M168, Variablen!$A:$A, 0), MATCH((YEAR(D168)+16), Variablen!$I$3:$AT$3, 0))),L168)))*(IF((YEAR(D168)+16)&lt;YEAR(E168),0,IF((YEAR(D168)+16)&gt;YEAR(E168),1,(12-MONTH(E168)+1)/12))) + (Q168)*(IF((YEAR(D168)+16)&lt;YEAR(E168),0,IF((YEAR(D168)+16)&gt;YEAR(E168),1,(12-MONTH(E168)+1)/12))))-((P168)*(IF((YEAR(D168)+16)&lt;YEAR(E168),0,IF((YEAR(D168)+16)&gt;YEAR(E168),1,(12-MONTH(E168)+1)/12))) + (R168)*(IF((YEAR(D168)+16)&lt;YEAR(E168),0,IF((YEAR(D168)+16)&gt;YEAR(E168),1,(12-MONTH(E168)+1)/12))))-(IF(OR(N168="",N168&lt;=0),0,(O168/N168)*(IF(OR(N168="",N168&lt;=0),0,IF((YEAR(D168)+16)&lt;YEAR(E168),0,IF((YEAR(D168)+16)&gt;=YEAR(E168)+N168,0,IF((YEAR(D168)+16)=YEAR(E168),(12-MONTH(E168)+1)/12,1))))))))&gt;0,(((K168)*(IF(M168="",L168,IFERROR(IF(INDEX(Variablen!$I:$AT, MATCH(M168, Variablen!$A:$A, 0), MATCH((YEAR(D168)+16), Variablen!$I$3:$AT$3, 0))="",L168,INDEX(Variablen!$I:$AT, MATCH(M168, Variablen!$A:$A, 0), MATCH((YEAR(D168)+16), Variablen!$I$3:$AT$3, 0))),L168)))*(IF((YEAR(D168)+16)&lt;YEAR(E168),0,IF((YEAR(D168)+16)&gt;YEAR(E168),1,(12-MONTH(E168)+1)/12))) + (Q168)*(IF((YEAR(D168)+16)&lt;YEAR(E168),0,IF((YEAR(D168)+16)&gt;YEAR(E168),1,(12-MONTH(E168)+1)/12))))-((P168)*(IF((YEAR(D168)+16)&lt;YEAR(E168),0,IF((YEAR(D168)+16)&gt;YEAR(E168),1,(12-MONTH(E168)+1)/12))) + (R168)*(IF((YEAR(D168)+16)&lt;YEAR(E168),0,IF((YEAR(D168)+16)&gt;YEAR(E168),1,(12-MONTH(E168)+1)/12))))-(IF(OR(N168="",N168&lt;=0),0,(O168/N168)*(IF(OR(N168="",N168&lt;=0),0,IF((YEAR(D168)+16)&lt;YEAR(E168),0,IF((YEAR(D168)+16)&gt;=YEAR(E168)+N168,0,IF((YEAR(D168)+16)=YEAR(E168),(12-MONTH(E168)+1)/12,1))))))))*TaxRate,0))-IF(16=0,O168,0))</f>
        <v/>
      </c>
      <c r="AJ168" s="29">
        <f>IF(A168="","",((K168)*(IF(M168="",L168,IFERROR(IF(INDEX(Variablen!$I:$AT, MATCH(M168, Variablen!$A:$A, 0), MATCH((YEAR(D168)+17), Variablen!$I$3:$AT$3, 0))="",L168,INDEX(Variablen!$I:$AT, MATCH(M168, Variablen!$A:$A, 0), MATCH((YEAR(D168)+17), Variablen!$I$3:$AT$3, 0))),L168)))*(IF((YEAR(D168)+17)&lt;YEAR(E168),0,IF((YEAR(D168)+17)&gt;YEAR(E168),1,(12-MONTH(E168)+1)/12))) + (Q168)*(IF((YEAR(D168)+17)&lt;YEAR(E168),0,IF((YEAR(D168)+17)&gt;YEAR(E168),1,(12-MONTH(E168)+1)/12))))-((P168)*(IF((YEAR(D168)+17)&lt;YEAR(E168),0,IF((YEAR(D168)+17)&gt;YEAR(E168),1,(12-MONTH(E168)+1)/12))) + (R168)*(IF((YEAR(D168)+17)&lt;YEAR(E168),0,IF((YEAR(D168)+17)&gt;YEAR(E168),1,(12-MONTH(E168)+1)/12))))-(IF((((K168)*(IF(M168="",L168,IFERROR(IF(INDEX(Variablen!$I:$AT, MATCH(M168, Variablen!$A:$A, 0), MATCH((YEAR(D168)+17), Variablen!$I$3:$AT$3, 0))="",L168,INDEX(Variablen!$I:$AT, MATCH(M168, Variablen!$A:$A, 0), MATCH((YEAR(D168)+17), Variablen!$I$3:$AT$3, 0))),L168)))*(IF((YEAR(D168)+17)&lt;YEAR(E168),0,IF((YEAR(D168)+17)&gt;YEAR(E168),1,(12-MONTH(E168)+1)/12))) + (Q168)*(IF((YEAR(D168)+17)&lt;YEAR(E168),0,IF((YEAR(D168)+17)&gt;YEAR(E168),1,(12-MONTH(E168)+1)/12))))-((P168)*(IF((YEAR(D168)+17)&lt;YEAR(E168),0,IF((YEAR(D168)+17)&gt;YEAR(E168),1,(12-MONTH(E168)+1)/12))) + (R168)*(IF((YEAR(D168)+17)&lt;YEAR(E168),0,IF((YEAR(D168)+17)&gt;YEAR(E168),1,(12-MONTH(E168)+1)/12))))-(IF(OR(N168="",N168&lt;=0),0,(O168/N168)*(IF(OR(N168="",N168&lt;=0),0,IF((YEAR(D168)+17)&lt;YEAR(E168),0,IF((YEAR(D168)+17)&gt;=YEAR(E168)+N168,0,IF((YEAR(D168)+17)=YEAR(E168),(12-MONTH(E168)+1)/12,1))))))))&gt;0,(((K168)*(IF(M168="",L168,IFERROR(IF(INDEX(Variablen!$I:$AT, MATCH(M168, Variablen!$A:$A, 0), MATCH((YEAR(D168)+17), Variablen!$I$3:$AT$3, 0))="",L168,INDEX(Variablen!$I:$AT, MATCH(M168, Variablen!$A:$A, 0), MATCH((YEAR(D168)+17), Variablen!$I$3:$AT$3, 0))),L168)))*(IF((YEAR(D168)+17)&lt;YEAR(E168),0,IF((YEAR(D168)+17)&gt;YEAR(E168),1,(12-MONTH(E168)+1)/12))) + (Q168)*(IF((YEAR(D168)+17)&lt;YEAR(E168),0,IF((YEAR(D168)+17)&gt;YEAR(E168),1,(12-MONTH(E168)+1)/12))))-((P168)*(IF((YEAR(D168)+17)&lt;YEAR(E168),0,IF((YEAR(D168)+17)&gt;YEAR(E168),1,(12-MONTH(E168)+1)/12))) + (R168)*(IF((YEAR(D168)+17)&lt;YEAR(E168),0,IF((YEAR(D168)+17)&gt;YEAR(E168),1,(12-MONTH(E168)+1)/12))))-(IF(OR(N168="",N168&lt;=0),0,(O168/N168)*(IF(OR(N168="",N168&lt;=0),0,IF((YEAR(D168)+17)&lt;YEAR(E168),0,IF((YEAR(D168)+17)&gt;=YEAR(E168)+N168,0,IF((YEAR(D168)+17)=YEAR(E168),(12-MONTH(E168)+1)/12,1))))))))*TaxRate,0))-IF(17=0,O168,0))</f>
        <v/>
      </c>
      <c r="AK168" s="29">
        <f>IF(A168="","",((K168)*(IF(M168="",L168,IFERROR(IF(INDEX(Variablen!$I:$AT, MATCH(M168, Variablen!$A:$A, 0), MATCH((YEAR(D168)+18), Variablen!$I$3:$AT$3, 0))="",L168,INDEX(Variablen!$I:$AT, MATCH(M168, Variablen!$A:$A, 0), MATCH((YEAR(D168)+18), Variablen!$I$3:$AT$3, 0))),L168)))*(IF((YEAR(D168)+18)&lt;YEAR(E168),0,IF((YEAR(D168)+18)&gt;YEAR(E168),1,(12-MONTH(E168)+1)/12))) + (Q168)*(IF((YEAR(D168)+18)&lt;YEAR(E168),0,IF((YEAR(D168)+18)&gt;YEAR(E168),1,(12-MONTH(E168)+1)/12))))-((P168)*(IF((YEAR(D168)+18)&lt;YEAR(E168),0,IF((YEAR(D168)+18)&gt;YEAR(E168),1,(12-MONTH(E168)+1)/12))) + (R168)*(IF((YEAR(D168)+18)&lt;YEAR(E168),0,IF((YEAR(D168)+18)&gt;YEAR(E168),1,(12-MONTH(E168)+1)/12))))-(IF((((K168)*(IF(M168="",L168,IFERROR(IF(INDEX(Variablen!$I:$AT, MATCH(M168, Variablen!$A:$A, 0), MATCH((YEAR(D168)+18), Variablen!$I$3:$AT$3, 0))="",L168,INDEX(Variablen!$I:$AT, MATCH(M168, Variablen!$A:$A, 0), MATCH((YEAR(D168)+18), Variablen!$I$3:$AT$3, 0))),L168)))*(IF((YEAR(D168)+18)&lt;YEAR(E168),0,IF((YEAR(D168)+18)&gt;YEAR(E168),1,(12-MONTH(E168)+1)/12))) + (Q168)*(IF((YEAR(D168)+18)&lt;YEAR(E168),0,IF((YEAR(D168)+18)&gt;YEAR(E168),1,(12-MONTH(E168)+1)/12))))-((P168)*(IF((YEAR(D168)+18)&lt;YEAR(E168),0,IF((YEAR(D168)+18)&gt;YEAR(E168),1,(12-MONTH(E168)+1)/12))) + (R168)*(IF((YEAR(D168)+18)&lt;YEAR(E168),0,IF((YEAR(D168)+18)&gt;YEAR(E168),1,(12-MONTH(E168)+1)/12))))-(IF(OR(N168="",N168&lt;=0),0,(O168/N168)*(IF(OR(N168="",N168&lt;=0),0,IF((YEAR(D168)+18)&lt;YEAR(E168),0,IF((YEAR(D168)+18)&gt;=YEAR(E168)+N168,0,IF((YEAR(D168)+18)=YEAR(E168),(12-MONTH(E168)+1)/12,1))))))))&gt;0,(((K168)*(IF(M168="",L168,IFERROR(IF(INDEX(Variablen!$I:$AT, MATCH(M168, Variablen!$A:$A, 0), MATCH((YEAR(D168)+18), Variablen!$I$3:$AT$3, 0))="",L168,INDEX(Variablen!$I:$AT, MATCH(M168, Variablen!$A:$A, 0), MATCH((YEAR(D168)+18), Variablen!$I$3:$AT$3, 0))),L168)))*(IF((YEAR(D168)+18)&lt;YEAR(E168),0,IF((YEAR(D168)+18)&gt;YEAR(E168),1,(12-MONTH(E168)+1)/12))) + (Q168)*(IF((YEAR(D168)+18)&lt;YEAR(E168),0,IF((YEAR(D168)+18)&gt;YEAR(E168),1,(12-MONTH(E168)+1)/12))))-((P168)*(IF((YEAR(D168)+18)&lt;YEAR(E168),0,IF((YEAR(D168)+18)&gt;YEAR(E168),1,(12-MONTH(E168)+1)/12))) + (R168)*(IF((YEAR(D168)+18)&lt;YEAR(E168),0,IF((YEAR(D168)+18)&gt;YEAR(E168),1,(12-MONTH(E168)+1)/12))))-(IF(OR(N168="",N168&lt;=0),0,(O168/N168)*(IF(OR(N168="",N168&lt;=0),0,IF((YEAR(D168)+18)&lt;YEAR(E168),0,IF((YEAR(D168)+18)&gt;=YEAR(E168)+N168,0,IF((YEAR(D168)+18)=YEAR(E168),(12-MONTH(E168)+1)/12,1))))))))*TaxRate,0))-IF(18=0,O168,0))</f>
        <v/>
      </c>
      <c r="AL168" s="29">
        <f>IF(A168="","",((K168)*(IF(M168="",L168,IFERROR(IF(INDEX(Variablen!$I:$AT, MATCH(M168, Variablen!$A:$A, 0), MATCH((YEAR(D168)+19), Variablen!$I$3:$AT$3, 0))="",L168,INDEX(Variablen!$I:$AT, MATCH(M168, Variablen!$A:$A, 0), MATCH((YEAR(D168)+19), Variablen!$I$3:$AT$3, 0))),L168)))*(IF((YEAR(D168)+19)&lt;YEAR(E168),0,IF((YEAR(D168)+19)&gt;YEAR(E168),1,(12-MONTH(E168)+1)/12))) + (Q168)*(IF((YEAR(D168)+19)&lt;YEAR(E168),0,IF((YEAR(D168)+19)&gt;YEAR(E168),1,(12-MONTH(E168)+1)/12))))-((P168)*(IF((YEAR(D168)+19)&lt;YEAR(E168),0,IF((YEAR(D168)+19)&gt;YEAR(E168),1,(12-MONTH(E168)+1)/12))) + (R168)*(IF((YEAR(D168)+19)&lt;YEAR(E168),0,IF((YEAR(D168)+19)&gt;YEAR(E168),1,(12-MONTH(E168)+1)/12))))-(IF((((K168)*(IF(M168="",L168,IFERROR(IF(INDEX(Variablen!$I:$AT, MATCH(M168, Variablen!$A:$A, 0), MATCH((YEAR(D168)+19), Variablen!$I$3:$AT$3, 0))="",L168,INDEX(Variablen!$I:$AT, MATCH(M168, Variablen!$A:$A, 0), MATCH((YEAR(D168)+19), Variablen!$I$3:$AT$3, 0))),L168)))*(IF((YEAR(D168)+19)&lt;YEAR(E168),0,IF((YEAR(D168)+19)&gt;YEAR(E168),1,(12-MONTH(E168)+1)/12))) + (Q168)*(IF((YEAR(D168)+19)&lt;YEAR(E168),0,IF((YEAR(D168)+19)&gt;YEAR(E168),1,(12-MONTH(E168)+1)/12))))-((P168)*(IF((YEAR(D168)+19)&lt;YEAR(E168),0,IF((YEAR(D168)+19)&gt;YEAR(E168),1,(12-MONTH(E168)+1)/12))) + (R168)*(IF((YEAR(D168)+19)&lt;YEAR(E168),0,IF((YEAR(D168)+19)&gt;YEAR(E168),1,(12-MONTH(E168)+1)/12))))-(IF(OR(N168="",N168&lt;=0),0,(O168/N168)*(IF(OR(N168="",N168&lt;=0),0,IF((YEAR(D168)+19)&lt;YEAR(E168),0,IF((YEAR(D168)+19)&gt;=YEAR(E168)+N168,0,IF((YEAR(D168)+19)=YEAR(E168),(12-MONTH(E168)+1)/12,1))))))))&gt;0,(((K168)*(IF(M168="",L168,IFERROR(IF(INDEX(Variablen!$I:$AT, MATCH(M168, Variablen!$A:$A, 0), MATCH((YEAR(D168)+19), Variablen!$I$3:$AT$3, 0))="",L168,INDEX(Variablen!$I:$AT, MATCH(M168, Variablen!$A:$A, 0), MATCH((YEAR(D168)+19), Variablen!$I$3:$AT$3, 0))),L168)))*(IF((YEAR(D168)+19)&lt;YEAR(E168),0,IF((YEAR(D168)+19)&gt;YEAR(E168),1,(12-MONTH(E168)+1)/12))) + (Q168)*(IF((YEAR(D168)+19)&lt;YEAR(E168),0,IF((YEAR(D168)+19)&gt;YEAR(E168),1,(12-MONTH(E168)+1)/12))))-((P168)*(IF((YEAR(D168)+19)&lt;YEAR(E168),0,IF((YEAR(D168)+19)&gt;YEAR(E168),1,(12-MONTH(E168)+1)/12))) + (R168)*(IF((YEAR(D168)+19)&lt;YEAR(E168),0,IF((YEAR(D168)+19)&gt;YEAR(E168),1,(12-MONTH(E168)+1)/12))))-(IF(OR(N168="",N168&lt;=0),0,(O168/N168)*(IF(OR(N168="",N168&lt;=0),0,IF((YEAR(D168)+19)&lt;YEAR(E168),0,IF((YEAR(D168)+19)&gt;=YEAR(E168)+N168,0,IF((YEAR(D168)+19)=YEAR(E168),(12-MONTH(E168)+1)/12,1))))))))*TaxRate,0))-IF(19=0,O168,0))</f>
        <v/>
      </c>
      <c r="AM168" s="29">
        <f>IF(A168="","",((K168)*(IF(M168="",L168,IFERROR(IF(INDEX(Variablen!$I:$AT, MATCH(M168, Variablen!$A:$A, 0), MATCH((YEAR(D168)+20), Variablen!$I$3:$AT$3, 0))="",L168,INDEX(Variablen!$I:$AT, MATCH(M168, Variablen!$A:$A, 0), MATCH((YEAR(D168)+20), Variablen!$I$3:$AT$3, 0))),L168)))*(IF((YEAR(D168)+20)&lt;YEAR(E168),0,IF((YEAR(D168)+20)&gt;YEAR(E168),1,(12-MONTH(E168)+1)/12))) + (Q168)*(IF((YEAR(D168)+20)&lt;YEAR(E168),0,IF((YEAR(D168)+20)&gt;YEAR(E168),1,(12-MONTH(E168)+1)/12))))-((P168)*(IF((YEAR(D168)+20)&lt;YEAR(E168),0,IF((YEAR(D168)+20)&gt;YEAR(E168),1,(12-MONTH(E168)+1)/12))) + (R168)*(IF((YEAR(D168)+20)&lt;YEAR(E168),0,IF((YEAR(D168)+20)&gt;YEAR(E168),1,(12-MONTH(E168)+1)/12))))-(IF((((K168)*(IF(M168="",L168,IFERROR(IF(INDEX(Variablen!$I:$AT, MATCH(M168, Variablen!$A:$A, 0), MATCH((YEAR(D168)+20), Variablen!$I$3:$AT$3, 0))="",L168,INDEX(Variablen!$I:$AT, MATCH(M168, Variablen!$A:$A, 0), MATCH((YEAR(D168)+20), Variablen!$I$3:$AT$3, 0))),L168)))*(IF((YEAR(D168)+20)&lt;YEAR(E168),0,IF((YEAR(D168)+20)&gt;YEAR(E168),1,(12-MONTH(E168)+1)/12))) + (Q168)*(IF((YEAR(D168)+20)&lt;YEAR(E168),0,IF((YEAR(D168)+20)&gt;YEAR(E168),1,(12-MONTH(E168)+1)/12))))-((P168)*(IF((YEAR(D168)+20)&lt;YEAR(E168),0,IF((YEAR(D168)+20)&gt;YEAR(E168),1,(12-MONTH(E168)+1)/12))) + (R168)*(IF((YEAR(D168)+20)&lt;YEAR(E168),0,IF((YEAR(D168)+20)&gt;YEAR(E168),1,(12-MONTH(E168)+1)/12))))-(IF(OR(N168="",N168&lt;=0),0,(O168/N168)*(IF(OR(N168="",N168&lt;=0),0,IF((YEAR(D168)+20)&lt;YEAR(E168),0,IF((YEAR(D168)+20)&gt;=YEAR(E168)+N168,0,IF((YEAR(D168)+20)=YEAR(E168),(12-MONTH(E168)+1)/12,1))))))))&gt;0,(((K168)*(IF(M168="",L168,IFERROR(IF(INDEX(Variablen!$I:$AT, MATCH(M168, Variablen!$A:$A, 0), MATCH((YEAR(D168)+20), Variablen!$I$3:$AT$3, 0))="",L168,INDEX(Variablen!$I:$AT, MATCH(M168, Variablen!$A:$A, 0), MATCH((YEAR(D168)+20), Variablen!$I$3:$AT$3, 0))),L168)))*(IF((YEAR(D168)+20)&lt;YEAR(E168),0,IF((YEAR(D168)+20)&gt;YEAR(E168),1,(12-MONTH(E168)+1)/12))) + (Q168)*(IF((YEAR(D168)+20)&lt;YEAR(E168),0,IF((YEAR(D168)+20)&gt;YEAR(E168),1,(12-MONTH(E168)+1)/12))))-((P168)*(IF((YEAR(D168)+20)&lt;YEAR(E168),0,IF((YEAR(D168)+20)&gt;YEAR(E168),1,(12-MONTH(E168)+1)/12))) + (R168)*(IF((YEAR(D168)+20)&lt;YEAR(E168),0,IF((YEAR(D168)+20)&gt;YEAR(E168),1,(12-MONTH(E168)+1)/12))))-(IF(OR(N168="",N168&lt;=0),0,(O168/N168)*(IF(OR(N168="",N168&lt;=0),0,IF((YEAR(D168)+20)&lt;YEAR(E168),0,IF((YEAR(D168)+20)&gt;=YEAR(E168)+N168,0,IF((YEAR(D168)+20)=YEAR(E168),(12-MONTH(E168)+1)/12,1))))))))*TaxRate,0))-IF(20=0,O168,0))</f>
        <v/>
      </c>
      <c r="AN168" s="29">
        <f>IF(A168="","",S168)</f>
        <v/>
      </c>
      <c r="AO168" s="29">
        <f>IF(A168="","",AN168+T168)</f>
        <v/>
      </c>
      <c r="AP168" s="29">
        <f>IF(A168="","",AO168+U168)</f>
        <v/>
      </c>
      <c r="AQ168" s="29">
        <f>IF(A168="","",AP168+V168)</f>
        <v/>
      </c>
      <c r="AR168" s="29">
        <f>IF(A168="","",AQ168+W168)</f>
        <v/>
      </c>
      <c r="AS168" s="29">
        <f>IF(A168="","",AR168+X168)</f>
        <v/>
      </c>
      <c r="AT168" s="29">
        <f>IF(A168="","",AS168+Y168)</f>
        <v/>
      </c>
      <c r="AU168" s="29">
        <f>IF(A168="","",AT168+Z168)</f>
        <v/>
      </c>
      <c r="AV168" s="29">
        <f>IF(A168="","",AU168+AA168)</f>
        <v/>
      </c>
      <c r="AW168" s="29">
        <f>IF(A168="","",AV168+AB168)</f>
        <v/>
      </c>
      <c r="AX168" s="29">
        <f>IF(A168="","",AW168+AC168)</f>
        <v/>
      </c>
      <c r="AY168" s="29">
        <f>IF(A168="","",AX168+AD168)</f>
        <v/>
      </c>
      <c r="AZ168" s="29">
        <f>IF(A168="","",AY168+AE168)</f>
        <v/>
      </c>
      <c r="BA168" s="29">
        <f>IF(A168="","",AZ168+AF168)</f>
        <v/>
      </c>
      <c r="BB168" s="29">
        <f>IF(A168="","",BA168+AG168)</f>
        <v/>
      </c>
      <c r="BC168" s="29">
        <f>IF(A168="","",BB168+AH168)</f>
        <v/>
      </c>
      <c r="BD168" s="29">
        <f>IF(A168="","",BC168+AI168)</f>
        <v/>
      </c>
      <c r="BE168" s="29">
        <f>IF(A168="","",BD168+AJ168)</f>
        <v/>
      </c>
      <c r="BF168" s="29">
        <f>IF(A168="","",BE168+AK168)</f>
        <v/>
      </c>
      <c r="BG168" s="29">
        <f>IF(A168="","",BF168+AL168)</f>
        <v/>
      </c>
      <c r="BH168" s="29">
        <f>IF(A168="","",BG168+AM168)</f>
        <v/>
      </c>
      <c r="BI168" s="36">
        <f>IF(A168="","",(K168)*(IF((YEAR(D168)+0)&lt;YEAR(E168),0,IF((YEAR(D168)+0)&gt;YEAR(E168),1,(12-MONTH(E168)+1)/12)))*(1/(1+DiscountRate)^0))</f>
        <v/>
      </c>
      <c r="BJ168" s="36">
        <f>IF(A168="","",(K168)*(IF((YEAR(D168)+1)&lt;YEAR(E168),0,IF((YEAR(D168)+1)&gt;YEAR(E168),1,(12-MONTH(E168)+1)/12)))*(1/(1+DiscountRate)^1))</f>
        <v/>
      </c>
      <c r="BK168" s="36">
        <f>IF(A168="","",(K168)*(IF((YEAR(D168)+2)&lt;YEAR(E168),0,IF((YEAR(D168)+2)&gt;YEAR(E168),1,(12-MONTH(E168)+1)/12)))*(1/(1+DiscountRate)^2))</f>
        <v/>
      </c>
      <c r="BL168" s="36">
        <f>IF(A168="","",(K168)*(IF((YEAR(D168)+3)&lt;YEAR(E168),0,IF((YEAR(D168)+3)&gt;YEAR(E168),1,(12-MONTH(E168)+1)/12)))*(1/(1+DiscountRate)^3))</f>
        <v/>
      </c>
      <c r="BM168" s="36">
        <f>IF(A168="","",(K168)*(IF((YEAR(D168)+4)&lt;YEAR(E168),0,IF((YEAR(D168)+4)&gt;YEAR(E168),1,(12-MONTH(E168)+1)/12)))*(1/(1+DiscountRate)^4))</f>
        <v/>
      </c>
      <c r="BN168" s="36">
        <f>IF(A168="","",(K168)*(IF((YEAR(D168)+5)&lt;YEAR(E168),0,IF((YEAR(D168)+5)&gt;YEAR(E168),1,(12-MONTH(E168)+1)/12)))*(1/(1+DiscountRate)^5))</f>
        <v/>
      </c>
      <c r="BO168" s="36">
        <f>IF(A168="","",(K168)*(IF((YEAR(D168)+6)&lt;YEAR(E168),0,IF((YEAR(D168)+6)&gt;YEAR(E168),1,(12-MONTH(E168)+1)/12)))*(1/(1+DiscountRate)^6))</f>
        <v/>
      </c>
      <c r="BP168" s="36">
        <f>IF(A168="","",(K168)*(IF((YEAR(D168)+7)&lt;YEAR(E168),0,IF((YEAR(D168)+7)&gt;YEAR(E168),1,(12-MONTH(E168)+1)/12)))*(1/(1+DiscountRate)^7))</f>
        <v/>
      </c>
      <c r="BQ168" s="36">
        <f>IF(A168="","",(K168)*(IF((YEAR(D168)+8)&lt;YEAR(E168),0,IF((YEAR(D168)+8)&gt;YEAR(E168),1,(12-MONTH(E168)+1)/12)))*(1/(1+DiscountRate)^8))</f>
        <v/>
      </c>
      <c r="BR168" s="36">
        <f>IF(A168="","",(K168)*(IF((YEAR(D168)+9)&lt;YEAR(E168),0,IF((YEAR(D168)+9)&gt;YEAR(E168),1,(12-MONTH(E168)+1)/12)))*(1/(1+DiscountRate)^9))</f>
        <v/>
      </c>
      <c r="BS168" s="36">
        <f>IF(A168="","",(K168)*(IF((YEAR(D168)+10)&lt;YEAR(E168),0,IF((YEAR(D168)+10)&gt;YEAR(E168),1,(12-MONTH(E168)+1)/12)))*(1/(1+DiscountRate)^10))</f>
        <v/>
      </c>
      <c r="BT168" s="36">
        <f>IF(A168="","",(K168)*(IF((YEAR(D168)+11)&lt;YEAR(E168),0,IF((YEAR(D168)+11)&gt;YEAR(E168),1,(12-MONTH(E168)+1)/12)))*(1/(1+DiscountRate)^11))</f>
        <v/>
      </c>
      <c r="BU168" s="36">
        <f>IF(A168="","",(K168)*(IF((YEAR(D168)+12)&lt;YEAR(E168),0,IF((YEAR(D168)+12)&gt;YEAR(E168),1,(12-MONTH(E168)+1)/12)))*(1/(1+DiscountRate)^12))</f>
        <v/>
      </c>
      <c r="BV168" s="36">
        <f>IF(A168="","",(K168)*(IF((YEAR(D168)+13)&lt;YEAR(E168),0,IF((YEAR(D168)+13)&gt;YEAR(E168),1,(12-MONTH(E168)+1)/12)))*(1/(1+DiscountRate)^13))</f>
        <v/>
      </c>
      <c r="BW168" s="36">
        <f>IF(A168="","",(K168)*(IF((YEAR(D168)+14)&lt;YEAR(E168),0,IF((YEAR(D168)+14)&gt;YEAR(E168),1,(12-MONTH(E168)+1)/12)))*(1/(1+DiscountRate)^14))</f>
        <v/>
      </c>
      <c r="BX168" s="36">
        <f>IF(A168="","",(K168)*(IF((YEAR(D168)+15)&lt;YEAR(E168),0,IF((YEAR(D168)+15)&gt;YEAR(E168),1,(12-MONTH(E168)+1)/12)))*(1/(1+DiscountRate)^15))</f>
        <v/>
      </c>
      <c r="BY168" s="36">
        <f>IF(A168="","",(K168)*(IF((YEAR(D168)+16)&lt;YEAR(E168),0,IF((YEAR(D168)+16)&gt;YEAR(E168),1,(12-MONTH(E168)+1)/12)))*(1/(1+DiscountRate)^16))</f>
        <v/>
      </c>
      <c r="BZ168" s="36">
        <f>IF(A168="","",(K168)*(IF((YEAR(D168)+17)&lt;YEAR(E168),0,IF((YEAR(D168)+17)&gt;YEAR(E168),1,(12-MONTH(E168)+1)/12)))*(1/(1+DiscountRate)^17))</f>
        <v/>
      </c>
      <c r="CA168" s="36">
        <f>IF(A168="","",(K168)*(IF((YEAR(D168)+18)&lt;YEAR(E168),0,IF((YEAR(D168)+18)&gt;YEAR(E168),1,(12-MONTH(E168)+1)/12)))*(1/(1+DiscountRate)^18))</f>
        <v/>
      </c>
      <c r="CB168" s="36">
        <f>IF(A168="","",(K168)*(IF((YEAR(D168)+19)&lt;YEAR(E168),0,IF((YEAR(D168)+19)&gt;YEAR(E168),1,(12-MONTH(E168)+1)/12)))*(1/(1+DiscountRate)^19))</f>
        <v/>
      </c>
      <c r="CC168" s="36">
        <f>IF(A168="","",(K168)*(IF((YEAR(D168)+20)&lt;YEAR(E168),0,IF((YEAR(D168)+20)&gt;YEAR(E168),1,(12-MONTH(E168)+1)/12)))*(1/(1+DiscountRate)^20))</f>
        <v/>
      </c>
      <c r="CD168" s="29">
        <f>IF(A168="","",S168/(1+DiscountRate)^0+T168/(1+DiscountRate)^1+U168/(1+DiscountRate)^2+V168/(1+DiscountRate)^3+W168/(1+DiscountRate)^4+X168/(1+DiscountRate)^5+Y168/(1+DiscountRate)^6+Z168/(1+DiscountRate)^7+AA168/(1+DiscountRate)^8+AB168/(1+DiscountRate)^9+AC168/(1+DiscountRate)^10+AD168/(1+DiscountRate)^11+AE168/(1+DiscountRate)^12+AF168/(1+DiscountRate)^13+AG168/(1+DiscountRate)^14+AH168/(1+DiscountRate)^15+AI168/(1+DiscountRate)^16+AJ168/(1+DiscountRate)^17+AK168/(1+DiscountRate)^18+AL168/(1+DiscountRate)^19+AM168/(1+DiscountRate)^20)</f>
        <v/>
      </c>
      <c r="CE168" s="37">
        <f>IF(A168="","",IFERROR(IRR(OFFSET(S168,0,0,1,MIN(HorizonYears,20)+1)),"n/a"))</f>
        <v/>
      </c>
      <c r="CF168" s="28">
        <f>IF(A168="","",IFERROR(MATCH(TRUE,OFFSET(AN168,0,0,1,MIN(HorizonYears,20)+1)&gt;=0,0)-1,"n/a"))</f>
        <v/>
      </c>
      <c r="CG168" s="36">
        <f>IF(A168="","",SUM(OFFSET(BI168,0,0,1,MIN(HorizonYears,20)+1)))</f>
        <v/>
      </c>
      <c r="CH168" s="36">
        <f>IF(A168="","",IFERROR(-CD168/CG168,"n/a"))</f>
        <v/>
      </c>
    </row>
    <row r="169">
      <c r="A169" s="6">
        <f>Actions!A167</f>
        <v/>
      </c>
      <c r="B169" s="6">
        <f>Actions!B167</f>
        <v/>
      </c>
      <c r="C169" s="6">
        <f>Actions!D167</f>
        <v/>
      </c>
      <c r="D169" s="35">
        <f>Actions!E167</f>
        <v/>
      </c>
      <c r="E169" s="35">
        <f>Actions!F167</f>
        <v/>
      </c>
      <c r="F169" s="6">
        <f>Actions!G167</f>
        <v/>
      </c>
      <c r="G169" s="6">
        <f>Actions!H167</f>
        <v/>
      </c>
      <c r="H169" s="29">
        <f>Actions!I167</f>
        <v/>
      </c>
      <c r="I169" s="6">
        <f>Actions!J167</f>
        <v/>
      </c>
      <c r="J169" s="16">
        <f>Actions!K167</f>
        <v/>
      </c>
      <c r="K169" s="16">
        <f>IF(A169="","",IF(I169="%",H169*J169,J169))</f>
        <v/>
      </c>
      <c r="L169" s="16">
        <f>Actions!L167</f>
        <v/>
      </c>
      <c r="M169" s="6">
        <f>Actions!M167</f>
        <v/>
      </c>
      <c r="N169" s="28">
        <f>Actions!N167</f>
        <v/>
      </c>
      <c r="O169" s="29">
        <f>Actions!T167</f>
        <v/>
      </c>
      <c r="P169" s="29">
        <f>Actions!Y167</f>
        <v/>
      </c>
      <c r="Q169" s="29">
        <f>Actions!Z167</f>
        <v/>
      </c>
      <c r="R169" s="29">
        <f>Actions!AA167</f>
        <v/>
      </c>
      <c r="S169" s="29">
        <f>IF(A169="","",((K169)*(IF(M169="",L169,IFERROR(IF(INDEX(Variablen!$I:$AT, MATCH(M169, Variablen!$A:$A, 0), MATCH((YEAR(D169)+0), Variablen!$I$3:$AT$3, 0))="",L169,INDEX(Variablen!$I:$AT, MATCH(M169, Variablen!$A:$A, 0), MATCH((YEAR(D169)+0), Variablen!$I$3:$AT$3, 0))),L169)))*(IF((YEAR(D169)+0)&lt;YEAR(E169),0,IF((YEAR(D169)+0)&gt;YEAR(E169),1,(12-MONTH(E169)+1)/12))) + (Q169)*(IF((YEAR(D169)+0)&lt;YEAR(E169),0,IF((YEAR(D169)+0)&gt;YEAR(E169),1,(12-MONTH(E169)+1)/12))))-((P169)*(IF((YEAR(D169)+0)&lt;YEAR(E169),0,IF((YEAR(D169)+0)&gt;YEAR(E169),1,(12-MONTH(E169)+1)/12))) + (R169)*(IF((YEAR(D169)+0)&lt;YEAR(E169),0,IF((YEAR(D169)+0)&gt;YEAR(E169),1,(12-MONTH(E169)+1)/12))))-(IF((((K169)*(IF(M169="",L169,IFERROR(IF(INDEX(Variablen!$I:$AT, MATCH(M169, Variablen!$A:$A, 0), MATCH((YEAR(D169)+0), Variablen!$I$3:$AT$3, 0))="",L169,INDEX(Variablen!$I:$AT, MATCH(M169, Variablen!$A:$A, 0), MATCH((YEAR(D169)+0), Variablen!$I$3:$AT$3, 0))),L169)))*(IF((YEAR(D169)+0)&lt;YEAR(E169),0,IF((YEAR(D169)+0)&gt;YEAR(E169),1,(12-MONTH(E169)+1)/12))) + (Q169)*(IF((YEAR(D169)+0)&lt;YEAR(E169),0,IF((YEAR(D169)+0)&gt;YEAR(E169),1,(12-MONTH(E169)+1)/12))))-((P169)*(IF((YEAR(D169)+0)&lt;YEAR(E169),0,IF((YEAR(D169)+0)&gt;YEAR(E169),1,(12-MONTH(E169)+1)/12))) + (R169)*(IF((YEAR(D169)+0)&lt;YEAR(E169),0,IF((YEAR(D169)+0)&gt;YEAR(E169),1,(12-MONTH(E169)+1)/12))))-(IF(OR(N169="",N169&lt;=0),0,(O169/N169)*(IF(OR(N169="",N169&lt;=0),0,IF((YEAR(D169)+0)&lt;YEAR(E169),0,IF((YEAR(D169)+0)&gt;=YEAR(E169)+N169,0,IF((YEAR(D169)+0)=YEAR(E169),(12-MONTH(E169)+1)/12,1))))))))&gt;0,(((K169)*(IF(M169="",L169,IFERROR(IF(INDEX(Variablen!$I:$AT, MATCH(M169, Variablen!$A:$A, 0), MATCH((YEAR(D169)+0), Variablen!$I$3:$AT$3, 0))="",L169,INDEX(Variablen!$I:$AT, MATCH(M169, Variablen!$A:$A, 0), MATCH((YEAR(D169)+0), Variablen!$I$3:$AT$3, 0))),L169)))*(IF((YEAR(D169)+0)&lt;YEAR(E169),0,IF((YEAR(D169)+0)&gt;YEAR(E169),1,(12-MONTH(E169)+1)/12))) + (Q169)*(IF((YEAR(D169)+0)&lt;YEAR(E169),0,IF((YEAR(D169)+0)&gt;YEAR(E169),1,(12-MONTH(E169)+1)/12))))-((P169)*(IF((YEAR(D169)+0)&lt;YEAR(E169),0,IF((YEAR(D169)+0)&gt;YEAR(E169),1,(12-MONTH(E169)+1)/12))) + (R169)*(IF((YEAR(D169)+0)&lt;YEAR(E169),0,IF((YEAR(D169)+0)&gt;YEAR(E169),1,(12-MONTH(E169)+1)/12))))-(IF(OR(N169="",N169&lt;=0),0,(O169/N169)*(IF(OR(N169="",N169&lt;=0),0,IF((YEAR(D169)+0)&lt;YEAR(E169),0,IF((YEAR(D169)+0)&gt;=YEAR(E169)+N169,0,IF((YEAR(D169)+0)=YEAR(E169),(12-MONTH(E169)+1)/12,1))))))))*TaxRate,0))-IF(0=0,O169,0))</f>
        <v/>
      </c>
      <c r="T169" s="29">
        <f>IF(A169="","",((K169)*(IF(M169="",L169,IFERROR(IF(INDEX(Variablen!$I:$AT, MATCH(M169, Variablen!$A:$A, 0), MATCH((YEAR(D169)+1), Variablen!$I$3:$AT$3, 0))="",L169,INDEX(Variablen!$I:$AT, MATCH(M169, Variablen!$A:$A, 0), MATCH((YEAR(D169)+1), Variablen!$I$3:$AT$3, 0))),L169)))*(IF((YEAR(D169)+1)&lt;YEAR(E169),0,IF((YEAR(D169)+1)&gt;YEAR(E169),1,(12-MONTH(E169)+1)/12))) + (Q169)*(IF((YEAR(D169)+1)&lt;YEAR(E169),0,IF((YEAR(D169)+1)&gt;YEAR(E169),1,(12-MONTH(E169)+1)/12))))-((P169)*(IF((YEAR(D169)+1)&lt;YEAR(E169),0,IF((YEAR(D169)+1)&gt;YEAR(E169),1,(12-MONTH(E169)+1)/12))) + (R169)*(IF((YEAR(D169)+1)&lt;YEAR(E169),0,IF((YEAR(D169)+1)&gt;YEAR(E169),1,(12-MONTH(E169)+1)/12))))-(IF((((K169)*(IF(M169="",L169,IFERROR(IF(INDEX(Variablen!$I:$AT, MATCH(M169, Variablen!$A:$A, 0), MATCH((YEAR(D169)+1), Variablen!$I$3:$AT$3, 0))="",L169,INDEX(Variablen!$I:$AT, MATCH(M169, Variablen!$A:$A, 0), MATCH((YEAR(D169)+1), Variablen!$I$3:$AT$3, 0))),L169)))*(IF((YEAR(D169)+1)&lt;YEAR(E169),0,IF((YEAR(D169)+1)&gt;YEAR(E169),1,(12-MONTH(E169)+1)/12))) + (Q169)*(IF((YEAR(D169)+1)&lt;YEAR(E169),0,IF((YEAR(D169)+1)&gt;YEAR(E169),1,(12-MONTH(E169)+1)/12))))-((P169)*(IF((YEAR(D169)+1)&lt;YEAR(E169),0,IF((YEAR(D169)+1)&gt;YEAR(E169),1,(12-MONTH(E169)+1)/12))) + (R169)*(IF((YEAR(D169)+1)&lt;YEAR(E169),0,IF((YEAR(D169)+1)&gt;YEAR(E169),1,(12-MONTH(E169)+1)/12))))-(IF(OR(N169="",N169&lt;=0),0,(O169/N169)*(IF(OR(N169="",N169&lt;=0),0,IF((YEAR(D169)+1)&lt;YEAR(E169),0,IF((YEAR(D169)+1)&gt;=YEAR(E169)+N169,0,IF((YEAR(D169)+1)=YEAR(E169),(12-MONTH(E169)+1)/12,1))))))))&gt;0,(((K169)*(IF(M169="",L169,IFERROR(IF(INDEX(Variablen!$I:$AT, MATCH(M169, Variablen!$A:$A, 0), MATCH((YEAR(D169)+1), Variablen!$I$3:$AT$3, 0))="",L169,INDEX(Variablen!$I:$AT, MATCH(M169, Variablen!$A:$A, 0), MATCH((YEAR(D169)+1), Variablen!$I$3:$AT$3, 0))),L169)))*(IF((YEAR(D169)+1)&lt;YEAR(E169),0,IF((YEAR(D169)+1)&gt;YEAR(E169),1,(12-MONTH(E169)+1)/12))) + (Q169)*(IF((YEAR(D169)+1)&lt;YEAR(E169),0,IF((YEAR(D169)+1)&gt;YEAR(E169),1,(12-MONTH(E169)+1)/12))))-((P169)*(IF((YEAR(D169)+1)&lt;YEAR(E169),0,IF((YEAR(D169)+1)&gt;YEAR(E169),1,(12-MONTH(E169)+1)/12))) + (R169)*(IF((YEAR(D169)+1)&lt;YEAR(E169),0,IF((YEAR(D169)+1)&gt;YEAR(E169),1,(12-MONTH(E169)+1)/12))))-(IF(OR(N169="",N169&lt;=0),0,(O169/N169)*(IF(OR(N169="",N169&lt;=0),0,IF((YEAR(D169)+1)&lt;YEAR(E169),0,IF((YEAR(D169)+1)&gt;=YEAR(E169)+N169,0,IF((YEAR(D169)+1)=YEAR(E169),(12-MONTH(E169)+1)/12,1))))))))*TaxRate,0))-IF(1=0,O169,0))</f>
        <v/>
      </c>
      <c r="U169" s="29">
        <f>IF(A169="","",((K169)*(IF(M169="",L169,IFERROR(IF(INDEX(Variablen!$I:$AT, MATCH(M169, Variablen!$A:$A, 0), MATCH((YEAR(D169)+2), Variablen!$I$3:$AT$3, 0))="",L169,INDEX(Variablen!$I:$AT, MATCH(M169, Variablen!$A:$A, 0), MATCH((YEAR(D169)+2), Variablen!$I$3:$AT$3, 0))),L169)))*(IF((YEAR(D169)+2)&lt;YEAR(E169),0,IF((YEAR(D169)+2)&gt;YEAR(E169),1,(12-MONTH(E169)+1)/12))) + (Q169)*(IF((YEAR(D169)+2)&lt;YEAR(E169),0,IF((YEAR(D169)+2)&gt;YEAR(E169),1,(12-MONTH(E169)+1)/12))))-((P169)*(IF((YEAR(D169)+2)&lt;YEAR(E169),0,IF((YEAR(D169)+2)&gt;YEAR(E169),1,(12-MONTH(E169)+1)/12))) + (R169)*(IF((YEAR(D169)+2)&lt;YEAR(E169),0,IF((YEAR(D169)+2)&gt;YEAR(E169),1,(12-MONTH(E169)+1)/12))))-(IF((((K169)*(IF(M169="",L169,IFERROR(IF(INDEX(Variablen!$I:$AT, MATCH(M169, Variablen!$A:$A, 0), MATCH((YEAR(D169)+2), Variablen!$I$3:$AT$3, 0))="",L169,INDEX(Variablen!$I:$AT, MATCH(M169, Variablen!$A:$A, 0), MATCH((YEAR(D169)+2), Variablen!$I$3:$AT$3, 0))),L169)))*(IF((YEAR(D169)+2)&lt;YEAR(E169),0,IF((YEAR(D169)+2)&gt;YEAR(E169),1,(12-MONTH(E169)+1)/12))) + (Q169)*(IF((YEAR(D169)+2)&lt;YEAR(E169),0,IF((YEAR(D169)+2)&gt;YEAR(E169),1,(12-MONTH(E169)+1)/12))))-((P169)*(IF((YEAR(D169)+2)&lt;YEAR(E169),0,IF((YEAR(D169)+2)&gt;YEAR(E169),1,(12-MONTH(E169)+1)/12))) + (R169)*(IF((YEAR(D169)+2)&lt;YEAR(E169),0,IF((YEAR(D169)+2)&gt;YEAR(E169),1,(12-MONTH(E169)+1)/12))))-(IF(OR(N169="",N169&lt;=0),0,(O169/N169)*(IF(OR(N169="",N169&lt;=0),0,IF((YEAR(D169)+2)&lt;YEAR(E169),0,IF((YEAR(D169)+2)&gt;=YEAR(E169)+N169,0,IF((YEAR(D169)+2)=YEAR(E169),(12-MONTH(E169)+1)/12,1))))))))&gt;0,(((K169)*(IF(M169="",L169,IFERROR(IF(INDEX(Variablen!$I:$AT, MATCH(M169, Variablen!$A:$A, 0), MATCH((YEAR(D169)+2), Variablen!$I$3:$AT$3, 0))="",L169,INDEX(Variablen!$I:$AT, MATCH(M169, Variablen!$A:$A, 0), MATCH((YEAR(D169)+2), Variablen!$I$3:$AT$3, 0))),L169)))*(IF((YEAR(D169)+2)&lt;YEAR(E169),0,IF((YEAR(D169)+2)&gt;YEAR(E169),1,(12-MONTH(E169)+1)/12))) + (Q169)*(IF((YEAR(D169)+2)&lt;YEAR(E169),0,IF((YEAR(D169)+2)&gt;YEAR(E169),1,(12-MONTH(E169)+1)/12))))-((P169)*(IF((YEAR(D169)+2)&lt;YEAR(E169),0,IF((YEAR(D169)+2)&gt;YEAR(E169),1,(12-MONTH(E169)+1)/12))) + (R169)*(IF((YEAR(D169)+2)&lt;YEAR(E169),0,IF((YEAR(D169)+2)&gt;YEAR(E169),1,(12-MONTH(E169)+1)/12))))-(IF(OR(N169="",N169&lt;=0),0,(O169/N169)*(IF(OR(N169="",N169&lt;=0),0,IF((YEAR(D169)+2)&lt;YEAR(E169),0,IF((YEAR(D169)+2)&gt;=YEAR(E169)+N169,0,IF((YEAR(D169)+2)=YEAR(E169),(12-MONTH(E169)+1)/12,1))))))))*TaxRate,0))-IF(2=0,O169,0))</f>
        <v/>
      </c>
      <c r="V169" s="29">
        <f>IF(A169="","",((K169)*(IF(M169="",L169,IFERROR(IF(INDEX(Variablen!$I:$AT, MATCH(M169, Variablen!$A:$A, 0), MATCH((YEAR(D169)+3), Variablen!$I$3:$AT$3, 0))="",L169,INDEX(Variablen!$I:$AT, MATCH(M169, Variablen!$A:$A, 0), MATCH((YEAR(D169)+3), Variablen!$I$3:$AT$3, 0))),L169)))*(IF((YEAR(D169)+3)&lt;YEAR(E169),0,IF((YEAR(D169)+3)&gt;YEAR(E169),1,(12-MONTH(E169)+1)/12))) + (Q169)*(IF((YEAR(D169)+3)&lt;YEAR(E169),0,IF((YEAR(D169)+3)&gt;YEAR(E169),1,(12-MONTH(E169)+1)/12))))-((P169)*(IF((YEAR(D169)+3)&lt;YEAR(E169),0,IF((YEAR(D169)+3)&gt;YEAR(E169),1,(12-MONTH(E169)+1)/12))) + (R169)*(IF((YEAR(D169)+3)&lt;YEAR(E169),0,IF((YEAR(D169)+3)&gt;YEAR(E169),1,(12-MONTH(E169)+1)/12))))-(IF((((K169)*(IF(M169="",L169,IFERROR(IF(INDEX(Variablen!$I:$AT, MATCH(M169, Variablen!$A:$A, 0), MATCH((YEAR(D169)+3), Variablen!$I$3:$AT$3, 0))="",L169,INDEX(Variablen!$I:$AT, MATCH(M169, Variablen!$A:$A, 0), MATCH((YEAR(D169)+3), Variablen!$I$3:$AT$3, 0))),L169)))*(IF((YEAR(D169)+3)&lt;YEAR(E169),0,IF((YEAR(D169)+3)&gt;YEAR(E169),1,(12-MONTH(E169)+1)/12))) + (Q169)*(IF((YEAR(D169)+3)&lt;YEAR(E169),0,IF((YEAR(D169)+3)&gt;YEAR(E169),1,(12-MONTH(E169)+1)/12))))-((P169)*(IF((YEAR(D169)+3)&lt;YEAR(E169),0,IF((YEAR(D169)+3)&gt;YEAR(E169),1,(12-MONTH(E169)+1)/12))) + (R169)*(IF((YEAR(D169)+3)&lt;YEAR(E169),0,IF((YEAR(D169)+3)&gt;YEAR(E169),1,(12-MONTH(E169)+1)/12))))-(IF(OR(N169="",N169&lt;=0),0,(O169/N169)*(IF(OR(N169="",N169&lt;=0),0,IF((YEAR(D169)+3)&lt;YEAR(E169),0,IF((YEAR(D169)+3)&gt;=YEAR(E169)+N169,0,IF((YEAR(D169)+3)=YEAR(E169),(12-MONTH(E169)+1)/12,1))))))))&gt;0,(((K169)*(IF(M169="",L169,IFERROR(IF(INDEX(Variablen!$I:$AT, MATCH(M169, Variablen!$A:$A, 0), MATCH((YEAR(D169)+3), Variablen!$I$3:$AT$3, 0))="",L169,INDEX(Variablen!$I:$AT, MATCH(M169, Variablen!$A:$A, 0), MATCH((YEAR(D169)+3), Variablen!$I$3:$AT$3, 0))),L169)))*(IF((YEAR(D169)+3)&lt;YEAR(E169),0,IF((YEAR(D169)+3)&gt;YEAR(E169),1,(12-MONTH(E169)+1)/12))) + (Q169)*(IF((YEAR(D169)+3)&lt;YEAR(E169),0,IF((YEAR(D169)+3)&gt;YEAR(E169),1,(12-MONTH(E169)+1)/12))))-((P169)*(IF((YEAR(D169)+3)&lt;YEAR(E169),0,IF((YEAR(D169)+3)&gt;YEAR(E169),1,(12-MONTH(E169)+1)/12))) + (R169)*(IF((YEAR(D169)+3)&lt;YEAR(E169),0,IF((YEAR(D169)+3)&gt;YEAR(E169),1,(12-MONTH(E169)+1)/12))))-(IF(OR(N169="",N169&lt;=0),0,(O169/N169)*(IF(OR(N169="",N169&lt;=0),0,IF((YEAR(D169)+3)&lt;YEAR(E169),0,IF((YEAR(D169)+3)&gt;=YEAR(E169)+N169,0,IF((YEAR(D169)+3)=YEAR(E169),(12-MONTH(E169)+1)/12,1))))))))*TaxRate,0))-IF(3=0,O169,0))</f>
        <v/>
      </c>
      <c r="W169" s="29">
        <f>IF(A169="","",((K169)*(IF(M169="",L169,IFERROR(IF(INDEX(Variablen!$I:$AT, MATCH(M169, Variablen!$A:$A, 0), MATCH((YEAR(D169)+4), Variablen!$I$3:$AT$3, 0))="",L169,INDEX(Variablen!$I:$AT, MATCH(M169, Variablen!$A:$A, 0), MATCH((YEAR(D169)+4), Variablen!$I$3:$AT$3, 0))),L169)))*(IF((YEAR(D169)+4)&lt;YEAR(E169),0,IF((YEAR(D169)+4)&gt;YEAR(E169),1,(12-MONTH(E169)+1)/12))) + (Q169)*(IF((YEAR(D169)+4)&lt;YEAR(E169),0,IF((YEAR(D169)+4)&gt;YEAR(E169),1,(12-MONTH(E169)+1)/12))))-((P169)*(IF((YEAR(D169)+4)&lt;YEAR(E169),0,IF((YEAR(D169)+4)&gt;YEAR(E169),1,(12-MONTH(E169)+1)/12))) + (R169)*(IF((YEAR(D169)+4)&lt;YEAR(E169),0,IF((YEAR(D169)+4)&gt;YEAR(E169),1,(12-MONTH(E169)+1)/12))))-(IF((((K169)*(IF(M169="",L169,IFERROR(IF(INDEX(Variablen!$I:$AT, MATCH(M169, Variablen!$A:$A, 0), MATCH((YEAR(D169)+4), Variablen!$I$3:$AT$3, 0))="",L169,INDEX(Variablen!$I:$AT, MATCH(M169, Variablen!$A:$A, 0), MATCH((YEAR(D169)+4), Variablen!$I$3:$AT$3, 0))),L169)))*(IF((YEAR(D169)+4)&lt;YEAR(E169),0,IF((YEAR(D169)+4)&gt;YEAR(E169),1,(12-MONTH(E169)+1)/12))) + (Q169)*(IF((YEAR(D169)+4)&lt;YEAR(E169),0,IF((YEAR(D169)+4)&gt;YEAR(E169),1,(12-MONTH(E169)+1)/12))))-((P169)*(IF((YEAR(D169)+4)&lt;YEAR(E169),0,IF((YEAR(D169)+4)&gt;YEAR(E169),1,(12-MONTH(E169)+1)/12))) + (R169)*(IF((YEAR(D169)+4)&lt;YEAR(E169),0,IF((YEAR(D169)+4)&gt;YEAR(E169),1,(12-MONTH(E169)+1)/12))))-(IF(OR(N169="",N169&lt;=0),0,(O169/N169)*(IF(OR(N169="",N169&lt;=0),0,IF((YEAR(D169)+4)&lt;YEAR(E169),0,IF((YEAR(D169)+4)&gt;=YEAR(E169)+N169,0,IF((YEAR(D169)+4)=YEAR(E169),(12-MONTH(E169)+1)/12,1))))))))&gt;0,(((K169)*(IF(M169="",L169,IFERROR(IF(INDEX(Variablen!$I:$AT, MATCH(M169, Variablen!$A:$A, 0), MATCH((YEAR(D169)+4), Variablen!$I$3:$AT$3, 0))="",L169,INDEX(Variablen!$I:$AT, MATCH(M169, Variablen!$A:$A, 0), MATCH((YEAR(D169)+4), Variablen!$I$3:$AT$3, 0))),L169)))*(IF((YEAR(D169)+4)&lt;YEAR(E169),0,IF((YEAR(D169)+4)&gt;YEAR(E169),1,(12-MONTH(E169)+1)/12))) + (Q169)*(IF((YEAR(D169)+4)&lt;YEAR(E169),0,IF((YEAR(D169)+4)&gt;YEAR(E169),1,(12-MONTH(E169)+1)/12))))-((P169)*(IF((YEAR(D169)+4)&lt;YEAR(E169),0,IF((YEAR(D169)+4)&gt;YEAR(E169),1,(12-MONTH(E169)+1)/12))) + (R169)*(IF((YEAR(D169)+4)&lt;YEAR(E169),0,IF((YEAR(D169)+4)&gt;YEAR(E169),1,(12-MONTH(E169)+1)/12))))-(IF(OR(N169="",N169&lt;=0),0,(O169/N169)*(IF(OR(N169="",N169&lt;=0),0,IF((YEAR(D169)+4)&lt;YEAR(E169),0,IF((YEAR(D169)+4)&gt;=YEAR(E169)+N169,0,IF((YEAR(D169)+4)=YEAR(E169),(12-MONTH(E169)+1)/12,1))))))))*TaxRate,0))-IF(4=0,O169,0))</f>
        <v/>
      </c>
      <c r="X169" s="29">
        <f>IF(A169="","",((K169)*(IF(M169="",L169,IFERROR(IF(INDEX(Variablen!$I:$AT, MATCH(M169, Variablen!$A:$A, 0), MATCH((YEAR(D169)+5), Variablen!$I$3:$AT$3, 0))="",L169,INDEX(Variablen!$I:$AT, MATCH(M169, Variablen!$A:$A, 0), MATCH((YEAR(D169)+5), Variablen!$I$3:$AT$3, 0))),L169)))*(IF((YEAR(D169)+5)&lt;YEAR(E169),0,IF((YEAR(D169)+5)&gt;YEAR(E169),1,(12-MONTH(E169)+1)/12))) + (Q169)*(IF((YEAR(D169)+5)&lt;YEAR(E169),0,IF((YEAR(D169)+5)&gt;YEAR(E169),1,(12-MONTH(E169)+1)/12))))-((P169)*(IF((YEAR(D169)+5)&lt;YEAR(E169),0,IF((YEAR(D169)+5)&gt;YEAR(E169),1,(12-MONTH(E169)+1)/12))) + (R169)*(IF((YEAR(D169)+5)&lt;YEAR(E169),0,IF((YEAR(D169)+5)&gt;YEAR(E169),1,(12-MONTH(E169)+1)/12))))-(IF((((K169)*(IF(M169="",L169,IFERROR(IF(INDEX(Variablen!$I:$AT, MATCH(M169, Variablen!$A:$A, 0), MATCH((YEAR(D169)+5), Variablen!$I$3:$AT$3, 0))="",L169,INDEX(Variablen!$I:$AT, MATCH(M169, Variablen!$A:$A, 0), MATCH((YEAR(D169)+5), Variablen!$I$3:$AT$3, 0))),L169)))*(IF((YEAR(D169)+5)&lt;YEAR(E169),0,IF((YEAR(D169)+5)&gt;YEAR(E169),1,(12-MONTH(E169)+1)/12))) + (Q169)*(IF((YEAR(D169)+5)&lt;YEAR(E169),0,IF((YEAR(D169)+5)&gt;YEAR(E169),1,(12-MONTH(E169)+1)/12))))-((P169)*(IF((YEAR(D169)+5)&lt;YEAR(E169),0,IF((YEAR(D169)+5)&gt;YEAR(E169),1,(12-MONTH(E169)+1)/12))) + (R169)*(IF((YEAR(D169)+5)&lt;YEAR(E169),0,IF((YEAR(D169)+5)&gt;YEAR(E169),1,(12-MONTH(E169)+1)/12))))-(IF(OR(N169="",N169&lt;=0),0,(O169/N169)*(IF(OR(N169="",N169&lt;=0),0,IF((YEAR(D169)+5)&lt;YEAR(E169),0,IF((YEAR(D169)+5)&gt;=YEAR(E169)+N169,0,IF((YEAR(D169)+5)=YEAR(E169),(12-MONTH(E169)+1)/12,1))))))))&gt;0,(((K169)*(IF(M169="",L169,IFERROR(IF(INDEX(Variablen!$I:$AT, MATCH(M169, Variablen!$A:$A, 0), MATCH((YEAR(D169)+5), Variablen!$I$3:$AT$3, 0))="",L169,INDEX(Variablen!$I:$AT, MATCH(M169, Variablen!$A:$A, 0), MATCH((YEAR(D169)+5), Variablen!$I$3:$AT$3, 0))),L169)))*(IF((YEAR(D169)+5)&lt;YEAR(E169),0,IF((YEAR(D169)+5)&gt;YEAR(E169),1,(12-MONTH(E169)+1)/12))) + (Q169)*(IF((YEAR(D169)+5)&lt;YEAR(E169),0,IF((YEAR(D169)+5)&gt;YEAR(E169),1,(12-MONTH(E169)+1)/12))))-((P169)*(IF((YEAR(D169)+5)&lt;YEAR(E169),0,IF((YEAR(D169)+5)&gt;YEAR(E169),1,(12-MONTH(E169)+1)/12))) + (R169)*(IF((YEAR(D169)+5)&lt;YEAR(E169),0,IF((YEAR(D169)+5)&gt;YEAR(E169),1,(12-MONTH(E169)+1)/12))))-(IF(OR(N169="",N169&lt;=0),0,(O169/N169)*(IF(OR(N169="",N169&lt;=0),0,IF((YEAR(D169)+5)&lt;YEAR(E169),0,IF((YEAR(D169)+5)&gt;=YEAR(E169)+N169,0,IF((YEAR(D169)+5)=YEAR(E169),(12-MONTH(E169)+1)/12,1))))))))*TaxRate,0))-IF(5=0,O169,0))</f>
        <v/>
      </c>
      <c r="Y169" s="29">
        <f>IF(A169="","",((K169)*(IF(M169="",L169,IFERROR(IF(INDEX(Variablen!$I:$AT, MATCH(M169, Variablen!$A:$A, 0), MATCH((YEAR(D169)+6), Variablen!$I$3:$AT$3, 0))="",L169,INDEX(Variablen!$I:$AT, MATCH(M169, Variablen!$A:$A, 0), MATCH((YEAR(D169)+6), Variablen!$I$3:$AT$3, 0))),L169)))*(IF((YEAR(D169)+6)&lt;YEAR(E169),0,IF((YEAR(D169)+6)&gt;YEAR(E169),1,(12-MONTH(E169)+1)/12))) + (Q169)*(IF((YEAR(D169)+6)&lt;YEAR(E169),0,IF((YEAR(D169)+6)&gt;YEAR(E169),1,(12-MONTH(E169)+1)/12))))-((P169)*(IF((YEAR(D169)+6)&lt;YEAR(E169),0,IF((YEAR(D169)+6)&gt;YEAR(E169),1,(12-MONTH(E169)+1)/12))) + (R169)*(IF((YEAR(D169)+6)&lt;YEAR(E169),0,IF((YEAR(D169)+6)&gt;YEAR(E169),1,(12-MONTH(E169)+1)/12))))-(IF((((K169)*(IF(M169="",L169,IFERROR(IF(INDEX(Variablen!$I:$AT, MATCH(M169, Variablen!$A:$A, 0), MATCH((YEAR(D169)+6), Variablen!$I$3:$AT$3, 0))="",L169,INDEX(Variablen!$I:$AT, MATCH(M169, Variablen!$A:$A, 0), MATCH((YEAR(D169)+6), Variablen!$I$3:$AT$3, 0))),L169)))*(IF((YEAR(D169)+6)&lt;YEAR(E169),0,IF((YEAR(D169)+6)&gt;YEAR(E169),1,(12-MONTH(E169)+1)/12))) + (Q169)*(IF((YEAR(D169)+6)&lt;YEAR(E169),0,IF((YEAR(D169)+6)&gt;YEAR(E169),1,(12-MONTH(E169)+1)/12))))-((P169)*(IF((YEAR(D169)+6)&lt;YEAR(E169),0,IF((YEAR(D169)+6)&gt;YEAR(E169),1,(12-MONTH(E169)+1)/12))) + (R169)*(IF((YEAR(D169)+6)&lt;YEAR(E169),0,IF((YEAR(D169)+6)&gt;YEAR(E169),1,(12-MONTH(E169)+1)/12))))-(IF(OR(N169="",N169&lt;=0),0,(O169/N169)*(IF(OR(N169="",N169&lt;=0),0,IF((YEAR(D169)+6)&lt;YEAR(E169),0,IF((YEAR(D169)+6)&gt;=YEAR(E169)+N169,0,IF((YEAR(D169)+6)=YEAR(E169),(12-MONTH(E169)+1)/12,1))))))))&gt;0,(((K169)*(IF(M169="",L169,IFERROR(IF(INDEX(Variablen!$I:$AT, MATCH(M169, Variablen!$A:$A, 0), MATCH((YEAR(D169)+6), Variablen!$I$3:$AT$3, 0))="",L169,INDEX(Variablen!$I:$AT, MATCH(M169, Variablen!$A:$A, 0), MATCH((YEAR(D169)+6), Variablen!$I$3:$AT$3, 0))),L169)))*(IF((YEAR(D169)+6)&lt;YEAR(E169),0,IF((YEAR(D169)+6)&gt;YEAR(E169),1,(12-MONTH(E169)+1)/12))) + (Q169)*(IF((YEAR(D169)+6)&lt;YEAR(E169),0,IF((YEAR(D169)+6)&gt;YEAR(E169),1,(12-MONTH(E169)+1)/12))))-((P169)*(IF((YEAR(D169)+6)&lt;YEAR(E169),0,IF((YEAR(D169)+6)&gt;YEAR(E169),1,(12-MONTH(E169)+1)/12))) + (R169)*(IF((YEAR(D169)+6)&lt;YEAR(E169),0,IF((YEAR(D169)+6)&gt;YEAR(E169),1,(12-MONTH(E169)+1)/12))))-(IF(OR(N169="",N169&lt;=0),0,(O169/N169)*(IF(OR(N169="",N169&lt;=0),0,IF((YEAR(D169)+6)&lt;YEAR(E169),0,IF((YEAR(D169)+6)&gt;=YEAR(E169)+N169,0,IF((YEAR(D169)+6)=YEAR(E169),(12-MONTH(E169)+1)/12,1))))))))*TaxRate,0))-IF(6=0,O169,0))</f>
        <v/>
      </c>
      <c r="Z169" s="29">
        <f>IF(A169="","",((K169)*(IF(M169="",L169,IFERROR(IF(INDEX(Variablen!$I:$AT, MATCH(M169, Variablen!$A:$A, 0), MATCH((YEAR(D169)+7), Variablen!$I$3:$AT$3, 0))="",L169,INDEX(Variablen!$I:$AT, MATCH(M169, Variablen!$A:$A, 0), MATCH((YEAR(D169)+7), Variablen!$I$3:$AT$3, 0))),L169)))*(IF((YEAR(D169)+7)&lt;YEAR(E169),0,IF((YEAR(D169)+7)&gt;YEAR(E169),1,(12-MONTH(E169)+1)/12))) + (Q169)*(IF((YEAR(D169)+7)&lt;YEAR(E169),0,IF((YEAR(D169)+7)&gt;YEAR(E169),1,(12-MONTH(E169)+1)/12))))-((P169)*(IF((YEAR(D169)+7)&lt;YEAR(E169),0,IF((YEAR(D169)+7)&gt;YEAR(E169),1,(12-MONTH(E169)+1)/12))) + (R169)*(IF((YEAR(D169)+7)&lt;YEAR(E169),0,IF((YEAR(D169)+7)&gt;YEAR(E169),1,(12-MONTH(E169)+1)/12))))-(IF((((K169)*(IF(M169="",L169,IFERROR(IF(INDEX(Variablen!$I:$AT, MATCH(M169, Variablen!$A:$A, 0), MATCH((YEAR(D169)+7), Variablen!$I$3:$AT$3, 0))="",L169,INDEX(Variablen!$I:$AT, MATCH(M169, Variablen!$A:$A, 0), MATCH((YEAR(D169)+7), Variablen!$I$3:$AT$3, 0))),L169)))*(IF((YEAR(D169)+7)&lt;YEAR(E169),0,IF((YEAR(D169)+7)&gt;YEAR(E169),1,(12-MONTH(E169)+1)/12))) + (Q169)*(IF((YEAR(D169)+7)&lt;YEAR(E169),0,IF((YEAR(D169)+7)&gt;YEAR(E169),1,(12-MONTH(E169)+1)/12))))-((P169)*(IF((YEAR(D169)+7)&lt;YEAR(E169),0,IF((YEAR(D169)+7)&gt;YEAR(E169),1,(12-MONTH(E169)+1)/12))) + (R169)*(IF((YEAR(D169)+7)&lt;YEAR(E169),0,IF((YEAR(D169)+7)&gt;YEAR(E169),1,(12-MONTH(E169)+1)/12))))-(IF(OR(N169="",N169&lt;=0),0,(O169/N169)*(IF(OR(N169="",N169&lt;=0),0,IF((YEAR(D169)+7)&lt;YEAR(E169),0,IF((YEAR(D169)+7)&gt;=YEAR(E169)+N169,0,IF((YEAR(D169)+7)=YEAR(E169),(12-MONTH(E169)+1)/12,1))))))))&gt;0,(((K169)*(IF(M169="",L169,IFERROR(IF(INDEX(Variablen!$I:$AT, MATCH(M169, Variablen!$A:$A, 0), MATCH((YEAR(D169)+7), Variablen!$I$3:$AT$3, 0))="",L169,INDEX(Variablen!$I:$AT, MATCH(M169, Variablen!$A:$A, 0), MATCH((YEAR(D169)+7), Variablen!$I$3:$AT$3, 0))),L169)))*(IF((YEAR(D169)+7)&lt;YEAR(E169),0,IF((YEAR(D169)+7)&gt;YEAR(E169),1,(12-MONTH(E169)+1)/12))) + (Q169)*(IF((YEAR(D169)+7)&lt;YEAR(E169),0,IF((YEAR(D169)+7)&gt;YEAR(E169),1,(12-MONTH(E169)+1)/12))))-((P169)*(IF((YEAR(D169)+7)&lt;YEAR(E169),0,IF((YEAR(D169)+7)&gt;YEAR(E169),1,(12-MONTH(E169)+1)/12))) + (R169)*(IF((YEAR(D169)+7)&lt;YEAR(E169),0,IF((YEAR(D169)+7)&gt;YEAR(E169),1,(12-MONTH(E169)+1)/12))))-(IF(OR(N169="",N169&lt;=0),0,(O169/N169)*(IF(OR(N169="",N169&lt;=0),0,IF((YEAR(D169)+7)&lt;YEAR(E169),0,IF((YEAR(D169)+7)&gt;=YEAR(E169)+N169,0,IF((YEAR(D169)+7)=YEAR(E169),(12-MONTH(E169)+1)/12,1))))))))*TaxRate,0))-IF(7=0,O169,0))</f>
        <v/>
      </c>
      <c r="AA169" s="29">
        <f>IF(A169="","",((K169)*(IF(M169="",L169,IFERROR(IF(INDEX(Variablen!$I:$AT, MATCH(M169, Variablen!$A:$A, 0), MATCH((YEAR(D169)+8), Variablen!$I$3:$AT$3, 0))="",L169,INDEX(Variablen!$I:$AT, MATCH(M169, Variablen!$A:$A, 0), MATCH((YEAR(D169)+8), Variablen!$I$3:$AT$3, 0))),L169)))*(IF((YEAR(D169)+8)&lt;YEAR(E169),0,IF((YEAR(D169)+8)&gt;YEAR(E169),1,(12-MONTH(E169)+1)/12))) + (Q169)*(IF((YEAR(D169)+8)&lt;YEAR(E169),0,IF((YEAR(D169)+8)&gt;YEAR(E169),1,(12-MONTH(E169)+1)/12))))-((P169)*(IF((YEAR(D169)+8)&lt;YEAR(E169),0,IF((YEAR(D169)+8)&gt;YEAR(E169),1,(12-MONTH(E169)+1)/12))) + (R169)*(IF((YEAR(D169)+8)&lt;YEAR(E169),0,IF((YEAR(D169)+8)&gt;YEAR(E169),1,(12-MONTH(E169)+1)/12))))-(IF((((K169)*(IF(M169="",L169,IFERROR(IF(INDEX(Variablen!$I:$AT, MATCH(M169, Variablen!$A:$A, 0), MATCH((YEAR(D169)+8), Variablen!$I$3:$AT$3, 0))="",L169,INDEX(Variablen!$I:$AT, MATCH(M169, Variablen!$A:$A, 0), MATCH((YEAR(D169)+8), Variablen!$I$3:$AT$3, 0))),L169)))*(IF((YEAR(D169)+8)&lt;YEAR(E169),0,IF((YEAR(D169)+8)&gt;YEAR(E169),1,(12-MONTH(E169)+1)/12))) + (Q169)*(IF((YEAR(D169)+8)&lt;YEAR(E169),0,IF((YEAR(D169)+8)&gt;YEAR(E169),1,(12-MONTH(E169)+1)/12))))-((P169)*(IF((YEAR(D169)+8)&lt;YEAR(E169),0,IF((YEAR(D169)+8)&gt;YEAR(E169),1,(12-MONTH(E169)+1)/12))) + (R169)*(IF((YEAR(D169)+8)&lt;YEAR(E169),0,IF((YEAR(D169)+8)&gt;YEAR(E169),1,(12-MONTH(E169)+1)/12))))-(IF(OR(N169="",N169&lt;=0),0,(O169/N169)*(IF(OR(N169="",N169&lt;=0),0,IF((YEAR(D169)+8)&lt;YEAR(E169),0,IF((YEAR(D169)+8)&gt;=YEAR(E169)+N169,0,IF((YEAR(D169)+8)=YEAR(E169),(12-MONTH(E169)+1)/12,1))))))))&gt;0,(((K169)*(IF(M169="",L169,IFERROR(IF(INDEX(Variablen!$I:$AT, MATCH(M169, Variablen!$A:$A, 0), MATCH((YEAR(D169)+8), Variablen!$I$3:$AT$3, 0))="",L169,INDEX(Variablen!$I:$AT, MATCH(M169, Variablen!$A:$A, 0), MATCH((YEAR(D169)+8), Variablen!$I$3:$AT$3, 0))),L169)))*(IF((YEAR(D169)+8)&lt;YEAR(E169),0,IF((YEAR(D169)+8)&gt;YEAR(E169),1,(12-MONTH(E169)+1)/12))) + (Q169)*(IF((YEAR(D169)+8)&lt;YEAR(E169),0,IF((YEAR(D169)+8)&gt;YEAR(E169),1,(12-MONTH(E169)+1)/12))))-((P169)*(IF((YEAR(D169)+8)&lt;YEAR(E169),0,IF((YEAR(D169)+8)&gt;YEAR(E169),1,(12-MONTH(E169)+1)/12))) + (R169)*(IF((YEAR(D169)+8)&lt;YEAR(E169),0,IF((YEAR(D169)+8)&gt;YEAR(E169),1,(12-MONTH(E169)+1)/12))))-(IF(OR(N169="",N169&lt;=0),0,(O169/N169)*(IF(OR(N169="",N169&lt;=0),0,IF((YEAR(D169)+8)&lt;YEAR(E169),0,IF((YEAR(D169)+8)&gt;=YEAR(E169)+N169,0,IF((YEAR(D169)+8)=YEAR(E169),(12-MONTH(E169)+1)/12,1))))))))*TaxRate,0))-IF(8=0,O169,0))</f>
        <v/>
      </c>
      <c r="AB169" s="29">
        <f>IF(A169="","",((K169)*(IF(M169="",L169,IFERROR(IF(INDEX(Variablen!$I:$AT, MATCH(M169, Variablen!$A:$A, 0), MATCH((YEAR(D169)+9), Variablen!$I$3:$AT$3, 0))="",L169,INDEX(Variablen!$I:$AT, MATCH(M169, Variablen!$A:$A, 0), MATCH((YEAR(D169)+9), Variablen!$I$3:$AT$3, 0))),L169)))*(IF((YEAR(D169)+9)&lt;YEAR(E169),0,IF((YEAR(D169)+9)&gt;YEAR(E169),1,(12-MONTH(E169)+1)/12))) + (Q169)*(IF((YEAR(D169)+9)&lt;YEAR(E169),0,IF((YEAR(D169)+9)&gt;YEAR(E169),1,(12-MONTH(E169)+1)/12))))-((P169)*(IF((YEAR(D169)+9)&lt;YEAR(E169),0,IF((YEAR(D169)+9)&gt;YEAR(E169),1,(12-MONTH(E169)+1)/12))) + (R169)*(IF((YEAR(D169)+9)&lt;YEAR(E169),0,IF((YEAR(D169)+9)&gt;YEAR(E169),1,(12-MONTH(E169)+1)/12))))-(IF((((K169)*(IF(M169="",L169,IFERROR(IF(INDEX(Variablen!$I:$AT, MATCH(M169, Variablen!$A:$A, 0), MATCH((YEAR(D169)+9), Variablen!$I$3:$AT$3, 0))="",L169,INDEX(Variablen!$I:$AT, MATCH(M169, Variablen!$A:$A, 0), MATCH((YEAR(D169)+9), Variablen!$I$3:$AT$3, 0))),L169)))*(IF((YEAR(D169)+9)&lt;YEAR(E169),0,IF((YEAR(D169)+9)&gt;YEAR(E169),1,(12-MONTH(E169)+1)/12))) + (Q169)*(IF((YEAR(D169)+9)&lt;YEAR(E169),0,IF((YEAR(D169)+9)&gt;YEAR(E169),1,(12-MONTH(E169)+1)/12))))-((P169)*(IF((YEAR(D169)+9)&lt;YEAR(E169),0,IF((YEAR(D169)+9)&gt;YEAR(E169),1,(12-MONTH(E169)+1)/12))) + (R169)*(IF((YEAR(D169)+9)&lt;YEAR(E169),0,IF((YEAR(D169)+9)&gt;YEAR(E169),1,(12-MONTH(E169)+1)/12))))-(IF(OR(N169="",N169&lt;=0),0,(O169/N169)*(IF(OR(N169="",N169&lt;=0),0,IF((YEAR(D169)+9)&lt;YEAR(E169),0,IF((YEAR(D169)+9)&gt;=YEAR(E169)+N169,0,IF((YEAR(D169)+9)=YEAR(E169),(12-MONTH(E169)+1)/12,1))))))))&gt;0,(((K169)*(IF(M169="",L169,IFERROR(IF(INDEX(Variablen!$I:$AT, MATCH(M169, Variablen!$A:$A, 0), MATCH((YEAR(D169)+9), Variablen!$I$3:$AT$3, 0))="",L169,INDEX(Variablen!$I:$AT, MATCH(M169, Variablen!$A:$A, 0), MATCH((YEAR(D169)+9), Variablen!$I$3:$AT$3, 0))),L169)))*(IF((YEAR(D169)+9)&lt;YEAR(E169),0,IF((YEAR(D169)+9)&gt;YEAR(E169),1,(12-MONTH(E169)+1)/12))) + (Q169)*(IF((YEAR(D169)+9)&lt;YEAR(E169),0,IF((YEAR(D169)+9)&gt;YEAR(E169),1,(12-MONTH(E169)+1)/12))))-((P169)*(IF((YEAR(D169)+9)&lt;YEAR(E169),0,IF((YEAR(D169)+9)&gt;YEAR(E169),1,(12-MONTH(E169)+1)/12))) + (R169)*(IF((YEAR(D169)+9)&lt;YEAR(E169),0,IF((YEAR(D169)+9)&gt;YEAR(E169),1,(12-MONTH(E169)+1)/12))))-(IF(OR(N169="",N169&lt;=0),0,(O169/N169)*(IF(OR(N169="",N169&lt;=0),0,IF((YEAR(D169)+9)&lt;YEAR(E169),0,IF((YEAR(D169)+9)&gt;=YEAR(E169)+N169,0,IF((YEAR(D169)+9)=YEAR(E169),(12-MONTH(E169)+1)/12,1))))))))*TaxRate,0))-IF(9=0,O169,0))</f>
        <v/>
      </c>
      <c r="AC169" s="29">
        <f>IF(A169="","",((K169)*(IF(M169="",L169,IFERROR(IF(INDEX(Variablen!$I:$AT, MATCH(M169, Variablen!$A:$A, 0), MATCH((YEAR(D169)+10), Variablen!$I$3:$AT$3, 0))="",L169,INDEX(Variablen!$I:$AT, MATCH(M169, Variablen!$A:$A, 0), MATCH((YEAR(D169)+10), Variablen!$I$3:$AT$3, 0))),L169)))*(IF((YEAR(D169)+10)&lt;YEAR(E169),0,IF((YEAR(D169)+10)&gt;YEAR(E169),1,(12-MONTH(E169)+1)/12))) + (Q169)*(IF((YEAR(D169)+10)&lt;YEAR(E169),0,IF((YEAR(D169)+10)&gt;YEAR(E169),1,(12-MONTH(E169)+1)/12))))-((P169)*(IF((YEAR(D169)+10)&lt;YEAR(E169),0,IF((YEAR(D169)+10)&gt;YEAR(E169),1,(12-MONTH(E169)+1)/12))) + (R169)*(IF((YEAR(D169)+10)&lt;YEAR(E169),0,IF((YEAR(D169)+10)&gt;YEAR(E169),1,(12-MONTH(E169)+1)/12))))-(IF((((K169)*(IF(M169="",L169,IFERROR(IF(INDEX(Variablen!$I:$AT, MATCH(M169, Variablen!$A:$A, 0), MATCH((YEAR(D169)+10), Variablen!$I$3:$AT$3, 0))="",L169,INDEX(Variablen!$I:$AT, MATCH(M169, Variablen!$A:$A, 0), MATCH((YEAR(D169)+10), Variablen!$I$3:$AT$3, 0))),L169)))*(IF((YEAR(D169)+10)&lt;YEAR(E169),0,IF((YEAR(D169)+10)&gt;YEAR(E169),1,(12-MONTH(E169)+1)/12))) + (Q169)*(IF((YEAR(D169)+10)&lt;YEAR(E169),0,IF((YEAR(D169)+10)&gt;YEAR(E169),1,(12-MONTH(E169)+1)/12))))-((P169)*(IF((YEAR(D169)+10)&lt;YEAR(E169),0,IF((YEAR(D169)+10)&gt;YEAR(E169),1,(12-MONTH(E169)+1)/12))) + (R169)*(IF((YEAR(D169)+10)&lt;YEAR(E169),0,IF((YEAR(D169)+10)&gt;YEAR(E169),1,(12-MONTH(E169)+1)/12))))-(IF(OR(N169="",N169&lt;=0),0,(O169/N169)*(IF(OR(N169="",N169&lt;=0),0,IF((YEAR(D169)+10)&lt;YEAR(E169),0,IF((YEAR(D169)+10)&gt;=YEAR(E169)+N169,0,IF((YEAR(D169)+10)=YEAR(E169),(12-MONTH(E169)+1)/12,1))))))))&gt;0,(((K169)*(IF(M169="",L169,IFERROR(IF(INDEX(Variablen!$I:$AT, MATCH(M169, Variablen!$A:$A, 0), MATCH((YEAR(D169)+10), Variablen!$I$3:$AT$3, 0))="",L169,INDEX(Variablen!$I:$AT, MATCH(M169, Variablen!$A:$A, 0), MATCH((YEAR(D169)+10), Variablen!$I$3:$AT$3, 0))),L169)))*(IF((YEAR(D169)+10)&lt;YEAR(E169),0,IF((YEAR(D169)+10)&gt;YEAR(E169),1,(12-MONTH(E169)+1)/12))) + (Q169)*(IF((YEAR(D169)+10)&lt;YEAR(E169),0,IF((YEAR(D169)+10)&gt;YEAR(E169),1,(12-MONTH(E169)+1)/12))))-((P169)*(IF((YEAR(D169)+10)&lt;YEAR(E169),0,IF((YEAR(D169)+10)&gt;YEAR(E169),1,(12-MONTH(E169)+1)/12))) + (R169)*(IF((YEAR(D169)+10)&lt;YEAR(E169),0,IF((YEAR(D169)+10)&gt;YEAR(E169),1,(12-MONTH(E169)+1)/12))))-(IF(OR(N169="",N169&lt;=0),0,(O169/N169)*(IF(OR(N169="",N169&lt;=0),0,IF((YEAR(D169)+10)&lt;YEAR(E169),0,IF((YEAR(D169)+10)&gt;=YEAR(E169)+N169,0,IF((YEAR(D169)+10)=YEAR(E169),(12-MONTH(E169)+1)/12,1))))))))*TaxRate,0))-IF(10=0,O169,0))</f>
        <v/>
      </c>
      <c r="AD169" s="29">
        <f>IF(A169="","",((K169)*(IF(M169="",L169,IFERROR(IF(INDEX(Variablen!$I:$AT, MATCH(M169, Variablen!$A:$A, 0), MATCH((YEAR(D169)+11), Variablen!$I$3:$AT$3, 0))="",L169,INDEX(Variablen!$I:$AT, MATCH(M169, Variablen!$A:$A, 0), MATCH((YEAR(D169)+11), Variablen!$I$3:$AT$3, 0))),L169)))*(IF((YEAR(D169)+11)&lt;YEAR(E169),0,IF((YEAR(D169)+11)&gt;YEAR(E169),1,(12-MONTH(E169)+1)/12))) + (Q169)*(IF((YEAR(D169)+11)&lt;YEAR(E169),0,IF((YEAR(D169)+11)&gt;YEAR(E169),1,(12-MONTH(E169)+1)/12))))-((P169)*(IF((YEAR(D169)+11)&lt;YEAR(E169),0,IF((YEAR(D169)+11)&gt;YEAR(E169),1,(12-MONTH(E169)+1)/12))) + (R169)*(IF((YEAR(D169)+11)&lt;YEAR(E169),0,IF((YEAR(D169)+11)&gt;YEAR(E169),1,(12-MONTH(E169)+1)/12))))-(IF((((K169)*(IF(M169="",L169,IFERROR(IF(INDEX(Variablen!$I:$AT, MATCH(M169, Variablen!$A:$A, 0), MATCH((YEAR(D169)+11), Variablen!$I$3:$AT$3, 0))="",L169,INDEX(Variablen!$I:$AT, MATCH(M169, Variablen!$A:$A, 0), MATCH((YEAR(D169)+11), Variablen!$I$3:$AT$3, 0))),L169)))*(IF((YEAR(D169)+11)&lt;YEAR(E169),0,IF((YEAR(D169)+11)&gt;YEAR(E169),1,(12-MONTH(E169)+1)/12))) + (Q169)*(IF((YEAR(D169)+11)&lt;YEAR(E169),0,IF((YEAR(D169)+11)&gt;YEAR(E169),1,(12-MONTH(E169)+1)/12))))-((P169)*(IF((YEAR(D169)+11)&lt;YEAR(E169),0,IF((YEAR(D169)+11)&gt;YEAR(E169),1,(12-MONTH(E169)+1)/12))) + (R169)*(IF((YEAR(D169)+11)&lt;YEAR(E169),0,IF((YEAR(D169)+11)&gt;YEAR(E169),1,(12-MONTH(E169)+1)/12))))-(IF(OR(N169="",N169&lt;=0),0,(O169/N169)*(IF(OR(N169="",N169&lt;=0),0,IF((YEAR(D169)+11)&lt;YEAR(E169),0,IF((YEAR(D169)+11)&gt;=YEAR(E169)+N169,0,IF((YEAR(D169)+11)=YEAR(E169),(12-MONTH(E169)+1)/12,1))))))))&gt;0,(((K169)*(IF(M169="",L169,IFERROR(IF(INDEX(Variablen!$I:$AT, MATCH(M169, Variablen!$A:$A, 0), MATCH((YEAR(D169)+11), Variablen!$I$3:$AT$3, 0))="",L169,INDEX(Variablen!$I:$AT, MATCH(M169, Variablen!$A:$A, 0), MATCH((YEAR(D169)+11), Variablen!$I$3:$AT$3, 0))),L169)))*(IF((YEAR(D169)+11)&lt;YEAR(E169),0,IF((YEAR(D169)+11)&gt;YEAR(E169),1,(12-MONTH(E169)+1)/12))) + (Q169)*(IF((YEAR(D169)+11)&lt;YEAR(E169),0,IF((YEAR(D169)+11)&gt;YEAR(E169),1,(12-MONTH(E169)+1)/12))))-((P169)*(IF((YEAR(D169)+11)&lt;YEAR(E169),0,IF((YEAR(D169)+11)&gt;YEAR(E169),1,(12-MONTH(E169)+1)/12))) + (R169)*(IF((YEAR(D169)+11)&lt;YEAR(E169),0,IF((YEAR(D169)+11)&gt;YEAR(E169),1,(12-MONTH(E169)+1)/12))))-(IF(OR(N169="",N169&lt;=0),0,(O169/N169)*(IF(OR(N169="",N169&lt;=0),0,IF((YEAR(D169)+11)&lt;YEAR(E169),0,IF((YEAR(D169)+11)&gt;=YEAR(E169)+N169,0,IF((YEAR(D169)+11)=YEAR(E169),(12-MONTH(E169)+1)/12,1))))))))*TaxRate,0))-IF(11=0,O169,0))</f>
        <v/>
      </c>
      <c r="AE169" s="29">
        <f>IF(A169="","",((K169)*(IF(M169="",L169,IFERROR(IF(INDEX(Variablen!$I:$AT, MATCH(M169, Variablen!$A:$A, 0), MATCH((YEAR(D169)+12), Variablen!$I$3:$AT$3, 0))="",L169,INDEX(Variablen!$I:$AT, MATCH(M169, Variablen!$A:$A, 0), MATCH((YEAR(D169)+12), Variablen!$I$3:$AT$3, 0))),L169)))*(IF((YEAR(D169)+12)&lt;YEAR(E169),0,IF((YEAR(D169)+12)&gt;YEAR(E169),1,(12-MONTH(E169)+1)/12))) + (Q169)*(IF((YEAR(D169)+12)&lt;YEAR(E169),0,IF((YEAR(D169)+12)&gt;YEAR(E169),1,(12-MONTH(E169)+1)/12))))-((P169)*(IF((YEAR(D169)+12)&lt;YEAR(E169),0,IF((YEAR(D169)+12)&gt;YEAR(E169),1,(12-MONTH(E169)+1)/12))) + (R169)*(IF((YEAR(D169)+12)&lt;YEAR(E169),0,IF((YEAR(D169)+12)&gt;YEAR(E169),1,(12-MONTH(E169)+1)/12))))-(IF((((K169)*(IF(M169="",L169,IFERROR(IF(INDEX(Variablen!$I:$AT, MATCH(M169, Variablen!$A:$A, 0), MATCH((YEAR(D169)+12), Variablen!$I$3:$AT$3, 0))="",L169,INDEX(Variablen!$I:$AT, MATCH(M169, Variablen!$A:$A, 0), MATCH((YEAR(D169)+12), Variablen!$I$3:$AT$3, 0))),L169)))*(IF((YEAR(D169)+12)&lt;YEAR(E169),0,IF((YEAR(D169)+12)&gt;YEAR(E169),1,(12-MONTH(E169)+1)/12))) + (Q169)*(IF((YEAR(D169)+12)&lt;YEAR(E169),0,IF((YEAR(D169)+12)&gt;YEAR(E169),1,(12-MONTH(E169)+1)/12))))-((P169)*(IF((YEAR(D169)+12)&lt;YEAR(E169),0,IF((YEAR(D169)+12)&gt;YEAR(E169),1,(12-MONTH(E169)+1)/12))) + (R169)*(IF((YEAR(D169)+12)&lt;YEAR(E169),0,IF((YEAR(D169)+12)&gt;YEAR(E169),1,(12-MONTH(E169)+1)/12))))-(IF(OR(N169="",N169&lt;=0),0,(O169/N169)*(IF(OR(N169="",N169&lt;=0),0,IF((YEAR(D169)+12)&lt;YEAR(E169),0,IF((YEAR(D169)+12)&gt;=YEAR(E169)+N169,0,IF((YEAR(D169)+12)=YEAR(E169),(12-MONTH(E169)+1)/12,1))))))))&gt;0,(((K169)*(IF(M169="",L169,IFERROR(IF(INDEX(Variablen!$I:$AT, MATCH(M169, Variablen!$A:$A, 0), MATCH((YEAR(D169)+12), Variablen!$I$3:$AT$3, 0))="",L169,INDEX(Variablen!$I:$AT, MATCH(M169, Variablen!$A:$A, 0), MATCH((YEAR(D169)+12), Variablen!$I$3:$AT$3, 0))),L169)))*(IF((YEAR(D169)+12)&lt;YEAR(E169),0,IF((YEAR(D169)+12)&gt;YEAR(E169),1,(12-MONTH(E169)+1)/12))) + (Q169)*(IF((YEAR(D169)+12)&lt;YEAR(E169),0,IF((YEAR(D169)+12)&gt;YEAR(E169),1,(12-MONTH(E169)+1)/12))))-((P169)*(IF((YEAR(D169)+12)&lt;YEAR(E169),0,IF((YEAR(D169)+12)&gt;YEAR(E169),1,(12-MONTH(E169)+1)/12))) + (R169)*(IF((YEAR(D169)+12)&lt;YEAR(E169),0,IF((YEAR(D169)+12)&gt;YEAR(E169),1,(12-MONTH(E169)+1)/12))))-(IF(OR(N169="",N169&lt;=0),0,(O169/N169)*(IF(OR(N169="",N169&lt;=0),0,IF((YEAR(D169)+12)&lt;YEAR(E169),0,IF((YEAR(D169)+12)&gt;=YEAR(E169)+N169,0,IF((YEAR(D169)+12)=YEAR(E169),(12-MONTH(E169)+1)/12,1))))))))*TaxRate,0))-IF(12=0,O169,0))</f>
        <v/>
      </c>
      <c r="AF169" s="29">
        <f>IF(A169="","",((K169)*(IF(M169="",L169,IFERROR(IF(INDEX(Variablen!$I:$AT, MATCH(M169, Variablen!$A:$A, 0), MATCH((YEAR(D169)+13), Variablen!$I$3:$AT$3, 0))="",L169,INDEX(Variablen!$I:$AT, MATCH(M169, Variablen!$A:$A, 0), MATCH((YEAR(D169)+13), Variablen!$I$3:$AT$3, 0))),L169)))*(IF((YEAR(D169)+13)&lt;YEAR(E169),0,IF((YEAR(D169)+13)&gt;YEAR(E169),1,(12-MONTH(E169)+1)/12))) + (Q169)*(IF((YEAR(D169)+13)&lt;YEAR(E169),0,IF((YEAR(D169)+13)&gt;YEAR(E169),1,(12-MONTH(E169)+1)/12))))-((P169)*(IF((YEAR(D169)+13)&lt;YEAR(E169),0,IF((YEAR(D169)+13)&gt;YEAR(E169),1,(12-MONTH(E169)+1)/12))) + (R169)*(IF((YEAR(D169)+13)&lt;YEAR(E169),0,IF((YEAR(D169)+13)&gt;YEAR(E169),1,(12-MONTH(E169)+1)/12))))-(IF((((K169)*(IF(M169="",L169,IFERROR(IF(INDEX(Variablen!$I:$AT, MATCH(M169, Variablen!$A:$A, 0), MATCH((YEAR(D169)+13), Variablen!$I$3:$AT$3, 0))="",L169,INDEX(Variablen!$I:$AT, MATCH(M169, Variablen!$A:$A, 0), MATCH((YEAR(D169)+13), Variablen!$I$3:$AT$3, 0))),L169)))*(IF((YEAR(D169)+13)&lt;YEAR(E169),0,IF((YEAR(D169)+13)&gt;YEAR(E169),1,(12-MONTH(E169)+1)/12))) + (Q169)*(IF((YEAR(D169)+13)&lt;YEAR(E169),0,IF((YEAR(D169)+13)&gt;YEAR(E169),1,(12-MONTH(E169)+1)/12))))-((P169)*(IF((YEAR(D169)+13)&lt;YEAR(E169),0,IF((YEAR(D169)+13)&gt;YEAR(E169),1,(12-MONTH(E169)+1)/12))) + (R169)*(IF((YEAR(D169)+13)&lt;YEAR(E169),0,IF((YEAR(D169)+13)&gt;YEAR(E169),1,(12-MONTH(E169)+1)/12))))-(IF(OR(N169="",N169&lt;=0),0,(O169/N169)*(IF(OR(N169="",N169&lt;=0),0,IF((YEAR(D169)+13)&lt;YEAR(E169),0,IF((YEAR(D169)+13)&gt;=YEAR(E169)+N169,0,IF((YEAR(D169)+13)=YEAR(E169),(12-MONTH(E169)+1)/12,1))))))))&gt;0,(((K169)*(IF(M169="",L169,IFERROR(IF(INDEX(Variablen!$I:$AT, MATCH(M169, Variablen!$A:$A, 0), MATCH((YEAR(D169)+13), Variablen!$I$3:$AT$3, 0))="",L169,INDEX(Variablen!$I:$AT, MATCH(M169, Variablen!$A:$A, 0), MATCH((YEAR(D169)+13), Variablen!$I$3:$AT$3, 0))),L169)))*(IF((YEAR(D169)+13)&lt;YEAR(E169),0,IF((YEAR(D169)+13)&gt;YEAR(E169),1,(12-MONTH(E169)+1)/12))) + (Q169)*(IF((YEAR(D169)+13)&lt;YEAR(E169),0,IF((YEAR(D169)+13)&gt;YEAR(E169),1,(12-MONTH(E169)+1)/12))))-((P169)*(IF((YEAR(D169)+13)&lt;YEAR(E169),0,IF((YEAR(D169)+13)&gt;YEAR(E169),1,(12-MONTH(E169)+1)/12))) + (R169)*(IF((YEAR(D169)+13)&lt;YEAR(E169),0,IF((YEAR(D169)+13)&gt;YEAR(E169),1,(12-MONTH(E169)+1)/12))))-(IF(OR(N169="",N169&lt;=0),0,(O169/N169)*(IF(OR(N169="",N169&lt;=0),0,IF((YEAR(D169)+13)&lt;YEAR(E169),0,IF((YEAR(D169)+13)&gt;=YEAR(E169)+N169,0,IF((YEAR(D169)+13)=YEAR(E169),(12-MONTH(E169)+1)/12,1))))))))*TaxRate,0))-IF(13=0,O169,0))</f>
        <v/>
      </c>
      <c r="AG169" s="29">
        <f>IF(A169="","",((K169)*(IF(M169="",L169,IFERROR(IF(INDEX(Variablen!$I:$AT, MATCH(M169, Variablen!$A:$A, 0), MATCH((YEAR(D169)+14), Variablen!$I$3:$AT$3, 0))="",L169,INDEX(Variablen!$I:$AT, MATCH(M169, Variablen!$A:$A, 0), MATCH((YEAR(D169)+14), Variablen!$I$3:$AT$3, 0))),L169)))*(IF((YEAR(D169)+14)&lt;YEAR(E169),0,IF((YEAR(D169)+14)&gt;YEAR(E169),1,(12-MONTH(E169)+1)/12))) + (Q169)*(IF((YEAR(D169)+14)&lt;YEAR(E169),0,IF((YEAR(D169)+14)&gt;YEAR(E169),1,(12-MONTH(E169)+1)/12))))-((P169)*(IF((YEAR(D169)+14)&lt;YEAR(E169),0,IF((YEAR(D169)+14)&gt;YEAR(E169),1,(12-MONTH(E169)+1)/12))) + (R169)*(IF((YEAR(D169)+14)&lt;YEAR(E169),0,IF((YEAR(D169)+14)&gt;YEAR(E169),1,(12-MONTH(E169)+1)/12))))-(IF((((K169)*(IF(M169="",L169,IFERROR(IF(INDEX(Variablen!$I:$AT, MATCH(M169, Variablen!$A:$A, 0), MATCH((YEAR(D169)+14), Variablen!$I$3:$AT$3, 0))="",L169,INDEX(Variablen!$I:$AT, MATCH(M169, Variablen!$A:$A, 0), MATCH((YEAR(D169)+14), Variablen!$I$3:$AT$3, 0))),L169)))*(IF((YEAR(D169)+14)&lt;YEAR(E169),0,IF((YEAR(D169)+14)&gt;YEAR(E169),1,(12-MONTH(E169)+1)/12))) + (Q169)*(IF((YEAR(D169)+14)&lt;YEAR(E169),0,IF((YEAR(D169)+14)&gt;YEAR(E169),1,(12-MONTH(E169)+1)/12))))-((P169)*(IF((YEAR(D169)+14)&lt;YEAR(E169),0,IF((YEAR(D169)+14)&gt;YEAR(E169),1,(12-MONTH(E169)+1)/12))) + (R169)*(IF((YEAR(D169)+14)&lt;YEAR(E169),0,IF((YEAR(D169)+14)&gt;YEAR(E169),1,(12-MONTH(E169)+1)/12))))-(IF(OR(N169="",N169&lt;=0),0,(O169/N169)*(IF(OR(N169="",N169&lt;=0),0,IF((YEAR(D169)+14)&lt;YEAR(E169),0,IF((YEAR(D169)+14)&gt;=YEAR(E169)+N169,0,IF((YEAR(D169)+14)=YEAR(E169),(12-MONTH(E169)+1)/12,1))))))))&gt;0,(((K169)*(IF(M169="",L169,IFERROR(IF(INDEX(Variablen!$I:$AT, MATCH(M169, Variablen!$A:$A, 0), MATCH((YEAR(D169)+14), Variablen!$I$3:$AT$3, 0))="",L169,INDEX(Variablen!$I:$AT, MATCH(M169, Variablen!$A:$A, 0), MATCH((YEAR(D169)+14), Variablen!$I$3:$AT$3, 0))),L169)))*(IF((YEAR(D169)+14)&lt;YEAR(E169),0,IF((YEAR(D169)+14)&gt;YEAR(E169),1,(12-MONTH(E169)+1)/12))) + (Q169)*(IF((YEAR(D169)+14)&lt;YEAR(E169),0,IF((YEAR(D169)+14)&gt;YEAR(E169),1,(12-MONTH(E169)+1)/12))))-((P169)*(IF((YEAR(D169)+14)&lt;YEAR(E169),0,IF((YEAR(D169)+14)&gt;YEAR(E169),1,(12-MONTH(E169)+1)/12))) + (R169)*(IF((YEAR(D169)+14)&lt;YEAR(E169),0,IF((YEAR(D169)+14)&gt;YEAR(E169),1,(12-MONTH(E169)+1)/12))))-(IF(OR(N169="",N169&lt;=0),0,(O169/N169)*(IF(OR(N169="",N169&lt;=0),0,IF((YEAR(D169)+14)&lt;YEAR(E169),0,IF((YEAR(D169)+14)&gt;=YEAR(E169)+N169,0,IF((YEAR(D169)+14)=YEAR(E169),(12-MONTH(E169)+1)/12,1))))))))*TaxRate,0))-IF(14=0,O169,0))</f>
        <v/>
      </c>
      <c r="AH169" s="29">
        <f>IF(A169="","",((K169)*(IF(M169="",L169,IFERROR(IF(INDEX(Variablen!$I:$AT, MATCH(M169, Variablen!$A:$A, 0), MATCH((YEAR(D169)+15), Variablen!$I$3:$AT$3, 0))="",L169,INDEX(Variablen!$I:$AT, MATCH(M169, Variablen!$A:$A, 0), MATCH((YEAR(D169)+15), Variablen!$I$3:$AT$3, 0))),L169)))*(IF((YEAR(D169)+15)&lt;YEAR(E169),0,IF((YEAR(D169)+15)&gt;YEAR(E169),1,(12-MONTH(E169)+1)/12))) + (Q169)*(IF((YEAR(D169)+15)&lt;YEAR(E169),0,IF((YEAR(D169)+15)&gt;YEAR(E169),1,(12-MONTH(E169)+1)/12))))-((P169)*(IF((YEAR(D169)+15)&lt;YEAR(E169),0,IF((YEAR(D169)+15)&gt;YEAR(E169),1,(12-MONTH(E169)+1)/12))) + (R169)*(IF((YEAR(D169)+15)&lt;YEAR(E169),0,IF((YEAR(D169)+15)&gt;YEAR(E169),1,(12-MONTH(E169)+1)/12))))-(IF((((K169)*(IF(M169="",L169,IFERROR(IF(INDEX(Variablen!$I:$AT, MATCH(M169, Variablen!$A:$A, 0), MATCH((YEAR(D169)+15), Variablen!$I$3:$AT$3, 0))="",L169,INDEX(Variablen!$I:$AT, MATCH(M169, Variablen!$A:$A, 0), MATCH((YEAR(D169)+15), Variablen!$I$3:$AT$3, 0))),L169)))*(IF((YEAR(D169)+15)&lt;YEAR(E169),0,IF((YEAR(D169)+15)&gt;YEAR(E169),1,(12-MONTH(E169)+1)/12))) + (Q169)*(IF((YEAR(D169)+15)&lt;YEAR(E169),0,IF((YEAR(D169)+15)&gt;YEAR(E169),1,(12-MONTH(E169)+1)/12))))-((P169)*(IF((YEAR(D169)+15)&lt;YEAR(E169),0,IF((YEAR(D169)+15)&gt;YEAR(E169),1,(12-MONTH(E169)+1)/12))) + (R169)*(IF((YEAR(D169)+15)&lt;YEAR(E169),0,IF((YEAR(D169)+15)&gt;YEAR(E169),1,(12-MONTH(E169)+1)/12))))-(IF(OR(N169="",N169&lt;=0),0,(O169/N169)*(IF(OR(N169="",N169&lt;=0),0,IF((YEAR(D169)+15)&lt;YEAR(E169),0,IF((YEAR(D169)+15)&gt;=YEAR(E169)+N169,0,IF((YEAR(D169)+15)=YEAR(E169),(12-MONTH(E169)+1)/12,1))))))))&gt;0,(((K169)*(IF(M169="",L169,IFERROR(IF(INDEX(Variablen!$I:$AT, MATCH(M169, Variablen!$A:$A, 0), MATCH((YEAR(D169)+15), Variablen!$I$3:$AT$3, 0))="",L169,INDEX(Variablen!$I:$AT, MATCH(M169, Variablen!$A:$A, 0), MATCH((YEAR(D169)+15), Variablen!$I$3:$AT$3, 0))),L169)))*(IF((YEAR(D169)+15)&lt;YEAR(E169),0,IF((YEAR(D169)+15)&gt;YEAR(E169),1,(12-MONTH(E169)+1)/12))) + (Q169)*(IF((YEAR(D169)+15)&lt;YEAR(E169),0,IF((YEAR(D169)+15)&gt;YEAR(E169),1,(12-MONTH(E169)+1)/12))))-((P169)*(IF((YEAR(D169)+15)&lt;YEAR(E169),0,IF((YEAR(D169)+15)&gt;YEAR(E169),1,(12-MONTH(E169)+1)/12))) + (R169)*(IF((YEAR(D169)+15)&lt;YEAR(E169),0,IF((YEAR(D169)+15)&gt;YEAR(E169),1,(12-MONTH(E169)+1)/12))))-(IF(OR(N169="",N169&lt;=0),0,(O169/N169)*(IF(OR(N169="",N169&lt;=0),0,IF((YEAR(D169)+15)&lt;YEAR(E169),0,IF((YEAR(D169)+15)&gt;=YEAR(E169)+N169,0,IF((YEAR(D169)+15)=YEAR(E169),(12-MONTH(E169)+1)/12,1))))))))*TaxRate,0))-IF(15=0,O169,0))</f>
        <v/>
      </c>
      <c r="AI169" s="29">
        <f>IF(A169="","",((K169)*(IF(M169="",L169,IFERROR(IF(INDEX(Variablen!$I:$AT, MATCH(M169, Variablen!$A:$A, 0), MATCH((YEAR(D169)+16), Variablen!$I$3:$AT$3, 0))="",L169,INDEX(Variablen!$I:$AT, MATCH(M169, Variablen!$A:$A, 0), MATCH((YEAR(D169)+16), Variablen!$I$3:$AT$3, 0))),L169)))*(IF((YEAR(D169)+16)&lt;YEAR(E169),0,IF((YEAR(D169)+16)&gt;YEAR(E169),1,(12-MONTH(E169)+1)/12))) + (Q169)*(IF((YEAR(D169)+16)&lt;YEAR(E169),0,IF((YEAR(D169)+16)&gt;YEAR(E169),1,(12-MONTH(E169)+1)/12))))-((P169)*(IF((YEAR(D169)+16)&lt;YEAR(E169),0,IF((YEAR(D169)+16)&gt;YEAR(E169),1,(12-MONTH(E169)+1)/12))) + (R169)*(IF((YEAR(D169)+16)&lt;YEAR(E169),0,IF((YEAR(D169)+16)&gt;YEAR(E169),1,(12-MONTH(E169)+1)/12))))-(IF((((K169)*(IF(M169="",L169,IFERROR(IF(INDEX(Variablen!$I:$AT, MATCH(M169, Variablen!$A:$A, 0), MATCH((YEAR(D169)+16), Variablen!$I$3:$AT$3, 0))="",L169,INDEX(Variablen!$I:$AT, MATCH(M169, Variablen!$A:$A, 0), MATCH((YEAR(D169)+16), Variablen!$I$3:$AT$3, 0))),L169)))*(IF((YEAR(D169)+16)&lt;YEAR(E169),0,IF((YEAR(D169)+16)&gt;YEAR(E169),1,(12-MONTH(E169)+1)/12))) + (Q169)*(IF((YEAR(D169)+16)&lt;YEAR(E169),0,IF((YEAR(D169)+16)&gt;YEAR(E169),1,(12-MONTH(E169)+1)/12))))-((P169)*(IF((YEAR(D169)+16)&lt;YEAR(E169),0,IF((YEAR(D169)+16)&gt;YEAR(E169),1,(12-MONTH(E169)+1)/12))) + (R169)*(IF((YEAR(D169)+16)&lt;YEAR(E169),0,IF((YEAR(D169)+16)&gt;YEAR(E169),1,(12-MONTH(E169)+1)/12))))-(IF(OR(N169="",N169&lt;=0),0,(O169/N169)*(IF(OR(N169="",N169&lt;=0),0,IF((YEAR(D169)+16)&lt;YEAR(E169),0,IF((YEAR(D169)+16)&gt;=YEAR(E169)+N169,0,IF((YEAR(D169)+16)=YEAR(E169),(12-MONTH(E169)+1)/12,1))))))))&gt;0,(((K169)*(IF(M169="",L169,IFERROR(IF(INDEX(Variablen!$I:$AT, MATCH(M169, Variablen!$A:$A, 0), MATCH((YEAR(D169)+16), Variablen!$I$3:$AT$3, 0))="",L169,INDEX(Variablen!$I:$AT, MATCH(M169, Variablen!$A:$A, 0), MATCH((YEAR(D169)+16), Variablen!$I$3:$AT$3, 0))),L169)))*(IF((YEAR(D169)+16)&lt;YEAR(E169),0,IF((YEAR(D169)+16)&gt;YEAR(E169),1,(12-MONTH(E169)+1)/12))) + (Q169)*(IF((YEAR(D169)+16)&lt;YEAR(E169),0,IF((YEAR(D169)+16)&gt;YEAR(E169),1,(12-MONTH(E169)+1)/12))))-((P169)*(IF((YEAR(D169)+16)&lt;YEAR(E169),0,IF((YEAR(D169)+16)&gt;YEAR(E169),1,(12-MONTH(E169)+1)/12))) + (R169)*(IF((YEAR(D169)+16)&lt;YEAR(E169),0,IF((YEAR(D169)+16)&gt;YEAR(E169),1,(12-MONTH(E169)+1)/12))))-(IF(OR(N169="",N169&lt;=0),0,(O169/N169)*(IF(OR(N169="",N169&lt;=0),0,IF((YEAR(D169)+16)&lt;YEAR(E169),0,IF((YEAR(D169)+16)&gt;=YEAR(E169)+N169,0,IF((YEAR(D169)+16)=YEAR(E169),(12-MONTH(E169)+1)/12,1))))))))*TaxRate,0))-IF(16=0,O169,0))</f>
        <v/>
      </c>
      <c r="AJ169" s="29">
        <f>IF(A169="","",((K169)*(IF(M169="",L169,IFERROR(IF(INDEX(Variablen!$I:$AT, MATCH(M169, Variablen!$A:$A, 0), MATCH((YEAR(D169)+17), Variablen!$I$3:$AT$3, 0))="",L169,INDEX(Variablen!$I:$AT, MATCH(M169, Variablen!$A:$A, 0), MATCH((YEAR(D169)+17), Variablen!$I$3:$AT$3, 0))),L169)))*(IF((YEAR(D169)+17)&lt;YEAR(E169),0,IF((YEAR(D169)+17)&gt;YEAR(E169),1,(12-MONTH(E169)+1)/12))) + (Q169)*(IF((YEAR(D169)+17)&lt;YEAR(E169),0,IF((YEAR(D169)+17)&gt;YEAR(E169),1,(12-MONTH(E169)+1)/12))))-((P169)*(IF((YEAR(D169)+17)&lt;YEAR(E169),0,IF((YEAR(D169)+17)&gt;YEAR(E169),1,(12-MONTH(E169)+1)/12))) + (R169)*(IF((YEAR(D169)+17)&lt;YEAR(E169),0,IF((YEAR(D169)+17)&gt;YEAR(E169),1,(12-MONTH(E169)+1)/12))))-(IF((((K169)*(IF(M169="",L169,IFERROR(IF(INDEX(Variablen!$I:$AT, MATCH(M169, Variablen!$A:$A, 0), MATCH((YEAR(D169)+17), Variablen!$I$3:$AT$3, 0))="",L169,INDEX(Variablen!$I:$AT, MATCH(M169, Variablen!$A:$A, 0), MATCH((YEAR(D169)+17), Variablen!$I$3:$AT$3, 0))),L169)))*(IF((YEAR(D169)+17)&lt;YEAR(E169),0,IF((YEAR(D169)+17)&gt;YEAR(E169),1,(12-MONTH(E169)+1)/12))) + (Q169)*(IF((YEAR(D169)+17)&lt;YEAR(E169),0,IF((YEAR(D169)+17)&gt;YEAR(E169),1,(12-MONTH(E169)+1)/12))))-((P169)*(IF((YEAR(D169)+17)&lt;YEAR(E169),0,IF((YEAR(D169)+17)&gt;YEAR(E169),1,(12-MONTH(E169)+1)/12))) + (R169)*(IF((YEAR(D169)+17)&lt;YEAR(E169),0,IF((YEAR(D169)+17)&gt;YEAR(E169),1,(12-MONTH(E169)+1)/12))))-(IF(OR(N169="",N169&lt;=0),0,(O169/N169)*(IF(OR(N169="",N169&lt;=0),0,IF((YEAR(D169)+17)&lt;YEAR(E169),0,IF((YEAR(D169)+17)&gt;=YEAR(E169)+N169,0,IF((YEAR(D169)+17)=YEAR(E169),(12-MONTH(E169)+1)/12,1))))))))&gt;0,(((K169)*(IF(M169="",L169,IFERROR(IF(INDEX(Variablen!$I:$AT, MATCH(M169, Variablen!$A:$A, 0), MATCH((YEAR(D169)+17), Variablen!$I$3:$AT$3, 0))="",L169,INDEX(Variablen!$I:$AT, MATCH(M169, Variablen!$A:$A, 0), MATCH((YEAR(D169)+17), Variablen!$I$3:$AT$3, 0))),L169)))*(IF((YEAR(D169)+17)&lt;YEAR(E169),0,IF((YEAR(D169)+17)&gt;YEAR(E169),1,(12-MONTH(E169)+1)/12))) + (Q169)*(IF((YEAR(D169)+17)&lt;YEAR(E169),0,IF((YEAR(D169)+17)&gt;YEAR(E169),1,(12-MONTH(E169)+1)/12))))-((P169)*(IF((YEAR(D169)+17)&lt;YEAR(E169),0,IF((YEAR(D169)+17)&gt;YEAR(E169),1,(12-MONTH(E169)+1)/12))) + (R169)*(IF((YEAR(D169)+17)&lt;YEAR(E169),0,IF((YEAR(D169)+17)&gt;YEAR(E169),1,(12-MONTH(E169)+1)/12))))-(IF(OR(N169="",N169&lt;=0),0,(O169/N169)*(IF(OR(N169="",N169&lt;=0),0,IF((YEAR(D169)+17)&lt;YEAR(E169),0,IF((YEAR(D169)+17)&gt;=YEAR(E169)+N169,0,IF((YEAR(D169)+17)=YEAR(E169),(12-MONTH(E169)+1)/12,1))))))))*TaxRate,0))-IF(17=0,O169,0))</f>
        <v/>
      </c>
      <c r="AK169" s="29">
        <f>IF(A169="","",((K169)*(IF(M169="",L169,IFERROR(IF(INDEX(Variablen!$I:$AT, MATCH(M169, Variablen!$A:$A, 0), MATCH((YEAR(D169)+18), Variablen!$I$3:$AT$3, 0))="",L169,INDEX(Variablen!$I:$AT, MATCH(M169, Variablen!$A:$A, 0), MATCH((YEAR(D169)+18), Variablen!$I$3:$AT$3, 0))),L169)))*(IF((YEAR(D169)+18)&lt;YEAR(E169),0,IF((YEAR(D169)+18)&gt;YEAR(E169),1,(12-MONTH(E169)+1)/12))) + (Q169)*(IF((YEAR(D169)+18)&lt;YEAR(E169),0,IF((YEAR(D169)+18)&gt;YEAR(E169),1,(12-MONTH(E169)+1)/12))))-((P169)*(IF((YEAR(D169)+18)&lt;YEAR(E169),0,IF((YEAR(D169)+18)&gt;YEAR(E169),1,(12-MONTH(E169)+1)/12))) + (R169)*(IF((YEAR(D169)+18)&lt;YEAR(E169),0,IF((YEAR(D169)+18)&gt;YEAR(E169),1,(12-MONTH(E169)+1)/12))))-(IF((((K169)*(IF(M169="",L169,IFERROR(IF(INDEX(Variablen!$I:$AT, MATCH(M169, Variablen!$A:$A, 0), MATCH((YEAR(D169)+18), Variablen!$I$3:$AT$3, 0))="",L169,INDEX(Variablen!$I:$AT, MATCH(M169, Variablen!$A:$A, 0), MATCH((YEAR(D169)+18), Variablen!$I$3:$AT$3, 0))),L169)))*(IF((YEAR(D169)+18)&lt;YEAR(E169),0,IF((YEAR(D169)+18)&gt;YEAR(E169),1,(12-MONTH(E169)+1)/12))) + (Q169)*(IF((YEAR(D169)+18)&lt;YEAR(E169),0,IF((YEAR(D169)+18)&gt;YEAR(E169),1,(12-MONTH(E169)+1)/12))))-((P169)*(IF((YEAR(D169)+18)&lt;YEAR(E169),0,IF((YEAR(D169)+18)&gt;YEAR(E169),1,(12-MONTH(E169)+1)/12))) + (R169)*(IF((YEAR(D169)+18)&lt;YEAR(E169),0,IF((YEAR(D169)+18)&gt;YEAR(E169),1,(12-MONTH(E169)+1)/12))))-(IF(OR(N169="",N169&lt;=0),0,(O169/N169)*(IF(OR(N169="",N169&lt;=0),0,IF((YEAR(D169)+18)&lt;YEAR(E169),0,IF((YEAR(D169)+18)&gt;=YEAR(E169)+N169,0,IF((YEAR(D169)+18)=YEAR(E169),(12-MONTH(E169)+1)/12,1))))))))&gt;0,(((K169)*(IF(M169="",L169,IFERROR(IF(INDEX(Variablen!$I:$AT, MATCH(M169, Variablen!$A:$A, 0), MATCH((YEAR(D169)+18), Variablen!$I$3:$AT$3, 0))="",L169,INDEX(Variablen!$I:$AT, MATCH(M169, Variablen!$A:$A, 0), MATCH((YEAR(D169)+18), Variablen!$I$3:$AT$3, 0))),L169)))*(IF((YEAR(D169)+18)&lt;YEAR(E169),0,IF((YEAR(D169)+18)&gt;YEAR(E169),1,(12-MONTH(E169)+1)/12))) + (Q169)*(IF((YEAR(D169)+18)&lt;YEAR(E169),0,IF((YEAR(D169)+18)&gt;YEAR(E169),1,(12-MONTH(E169)+1)/12))))-((P169)*(IF((YEAR(D169)+18)&lt;YEAR(E169),0,IF((YEAR(D169)+18)&gt;YEAR(E169),1,(12-MONTH(E169)+1)/12))) + (R169)*(IF((YEAR(D169)+18)&lt;YEAR(E169),0,IF((YEAR(D169)+18)&gt;YEAR(E169),1,(12-MONTH(E169)+1)/12))))-(IF(OR(N169="",N169&lt;=0),0,(O169/N169)*(IF(OR(N169="",N169&lt;=0),0,IF((YEAR(D169)+18)&lt;YEAR(E169),0,IF((YEAR(D169)+18)&gt;=YEAR(E169)+N169,0,IF((YEAR(D169)+18)=YEAR(E169),(12-MONTH(E169)+1)/12,1))))))))*TaxRate,0))-IF(18=0,O169,0))</f>
        <v/>
      </c>
      <c r="AL169" s="29">
        <f>IF(A169="","",((K169)*(IF(M169="",L169,IFERROR(IF(INDEX(Variablen!$I:$AT, MATCH(M169, Variablen!$A:$A, 0), MATCH((YEAR(D169)+19), Variablen!$I$3:$AT$3, 0))="",L169,INDEX(Variablen!$I:$AT, MATCH(M169, Variablen!$A:$A, 0), MATCH((YEAR(D169)+19), Variablen!$I$3:$AT$3, 0))),L169)))*(IF((YEAR(D169)+19)&lt;YEAR(E169),0,IF((YEAR(D169)+19)&gt;YEAR(E169),1,(12-MONTH(E169)+1)/12))) + (Q169)*(IF((YEAR(D169)+19)&lt;YEAR(E169),0,IF((YEAR(D169)+19)&gt;YEAR(E169),1,(12-MONTH(E169)+1)/12))))-((P169)*(IF((YEAR(D169)+19)&lt;YEAR(E169),0,IF((YEAR(D169)+19)&gt;YEAR(E169),1,(12-MONTH(E169)+1)/12))) + (R169)*(IF((YEAR(D169)+19)&lt;YEAR(E169),0,IF((YEAR(D169)+19)&gt;YEAR(E169),1,(12-MONTH(E169)+1)/12))))-(IF((((K169)*(IF(M169="",L169,IFERROR(IF(INDEX(Variablen!$I:$AT, MATCH(M169, Variablen!$A:$A, 0), MATCH((YEAR(D169)+19), Variablen!$I$3:$AT$3, 0))="",L169,INDEX(Variablen!$I:$AT, MATCH(M169, Variablen!$A:$A, 0), MATCH((YEAR(D169)+19), Variablen!$I$3:$AT$3, 0))),L169)))*(IF((YEAR(D169)+19)&lt;YEAR(E169),0,IF((YEAR(D169)+19)&gt;YEAR(E169),1,(12-MONTH(E169)+1)/12))) + (Q169)*(IF((YEAR(D169)+19)&lt;YEAR(E169),0,IF((YEAR(D169)+19)&gt;YEAR(E169),1,(12-MONTH(E169)+1)/12))))-((P169)*(IF((YEAR(D169)+19)&lt;YEAR(E169),0,IF((YEAR(D169)+19)&gt;YEAR(E169),1,(12-MONTH(E169)+1)/12))) + (R169)*(IF((YEAR(D169)+19)&lt;YEAR(E169),0,IF((YEAR(D169)+19)&gt;YEAR(E169),1,(12-MONTH(E169)+1)/12))))-(IF(OR(N169="",N169&lt;=0),0,(O169/N169)*(IF(OR(N169="",N169&lt;=0),0,IF((YEAR(D169)+19)&lt;YEAR(E169),0,IF((YEAR(D169)+19)&gt;=YEAR(E169)+N169,0,IF((YEAR(D169)+19)=YEAR(E169),(12-MONTH(E169)+1)/12,1))))))))&gt;0,(((K169)*(IF(M169="",L169,IFERROR(IF(INDEX(Variablen!$I:$AT, MATCH(M169, Variablen!$A:$A, 0), MATCH((YEAR(D169)+19), Variablen!$I$3:$AT$3, 0))="",L169,INDEX(Variablen!$I:$AT, MATCH(M169, Variablen!$A:$A, 0), MATCH((YEAR(D169)+19), Variablen!$I$3:$AT$3, 0))),L169)))*(IF((YEAR(D169)+19)&lt;YEAR(E169),0,IF((YEAR(D169)+19)&gt;YEAR(E169),1,(12-MONTH(E169)+1)/12))) + (Q169)*(IF((YEAR(D169)+19)&lt;YEAR(E169),0,IF((YEAR(D169)+19)&gt;YEAR(E169),1,(12-MONTH(E169)+1)/12))))-((P169)*(IF((YEAR(D169)+19)&lt;YEAR(E169),0,IF((YEAR(D169)+19)&gt;YEAR(E169),1,(12-MONTH(E169)+1)/12))) + (R169)*(IF((YEAR(D169)+19)&lt;YEAR(E169),0,IF((YEAR(D169)+19)&gt;YEAR(E169),1,(12-MONTH(E169)+1)/12))))-(IF(OR(N169="",N169&lt;=0),0,(O169/N169)*(IF(OR(N169="",N169&lt;=0),0,IF((YEAR(D169)+19)&lt;YEAR(E169),0,IF((YEAR(D169)+19)&gt;=YEAR(E169)+N169,0,IF((YEAR(D169)+19)=YEAR(E169),(12-MONTH(E169)+1)/12,1))))))))*TaxRate,0))-IF(19=0,O169,0))</f>
        <v/>
      </c>
      <c r="AM169" s="29">
        <f>IF(A169="","",((K169)*(IF(M169="",L169,IFERROR(IF(INDEX(Variablen!$I:$AT, MATCH(M169, Variablen!$A:$A, 0), MATCH((YEAR(D169)+20), Variablen!$I$3:$AT$3, 0))="",L169,INDEX(Variablen!$I:$AT, MATCH(M169, Variablen!$A:$A, 0), MATCH((YEAR(D169)+20), Variablen!$I$3:$AT$3, 0))),L169)))*(IF((YEAR(D169)+20)&lt;YEAR(E169),0,IF((YEAR(D169)+20)&gt;YEAR(E169),1,(12-MONTH(E169)+1)/12))) + (Q169)*(IF((YEAR(D169)+20)&lt;YEAR(E169),0,IF((YEAR(D169)+20)&gt;YEAR(E169),1,(12-MONTH(E169)+1)/12))))-((P169)*(IF((YEAR(D169)+20)&lt;YEAR(E169),0,IF((YEAR(D169)+20)&gt;YEAR(E169),1,(12-MONTH(E169)+1)/12))) + (R169)*(IF((YEAR(D169)+20)&lt;YEAR(E169),0,IF((YEAR(D169)+20)&gt;YEAR(E169),1,(12-MONTH(E169)+1)/12))))-(IF((((K169)*(IF(M169="",L169,IFERROR(IF(INDEX(Variablen!$I:$AT, MATCH(M169, Variablen!$A:$A, 0), MATCH((YEAR(D169)+20), Variablen!$I$3:$AT$3, 0))="",L169,INDEX(Variablen!$I:$AT, MATCH(M169, Variablen!$A:$A, 0), MATCH((YEAR(D169)+20), Variablen!$I$3:$AT$3, 0))),L169)))*(IF((YEAR(D169)+20)&lt;YEAR(E169),0,IF((YEAR(D169)+20)&gt;YEAR(E169),1,(12-MONTH(E169)+1)/12))) + (Q169)*(IF((YEAR(D169)+20)&lt;YEAR(E169),0,IF((YEAR(D169)+20)&gt;YEAR(E169),1,(12-MONTH(E169)+1)/12))))-((P169)*(IF((YEAR(D169)+20)&lt;YEAR(E169),0,IF((YEAR(D169)+20)&gt;YEAR(E169),1,(12-MONTH(E169)+1)/12))) + (R169)*(IF((YEAR(D169)+20)&lt;YEAR(E169),0,IF((YEAR(D169)+20)&gt;YEAR(E169),1,(12-MONTH(E169)+1)/12))))-(IF(OR(N169="",N169&lt;=0),0,(O169/N169)*(IF(OR(N169="",N169&lt;=0),0,IF((YEAR(D169)+20)&lt;YEAR(E169),0,IF((YEAR(D169)+20)&gt;=YEAR(E169)+N169,0,IF((YEAR(D169)+20)=YEAR(E169),(12-MONTH(E169)+1)/12,1))))))))&gt;0,(((K169)*(IF(M169="",L169,IFERROR(IF(INDEX(Variablen!$I:$AT, MATCH(M169, Variablen!$A:$A, 0), MATCH((YEAR(D169)+20), Variablen!$I$3:$AT$3, 0))="",L169,INDEX(Variablen!$I:$AT, MATCH(M169, Variablen!$A:$A, 0), MATCH((YEAR(D169)+20), Variablen!$I$3:$AT$3, 0))),L169)))*(IF((YEAR(D169)+20)&lt;YEAR(E169),0,IF((YEAR(D169)+20)&gt;YEAR(E169),1,(12-MONTH(E169)+1)/12))) + (Q169)*(IF((YEAR(D169)+20)&lt;YEAR(E169),0,IF((YEAR(D169)+20)&gt;YEAR(E169),1,(12-MONTH(E169)+1)/12))))-((P169)*(IF((YEAR(D169)+20)&lt;YEAR(E169),0,IF((YEAR(D169)+20)&gt;YEAR(E169),1,(12-MONTH(E169)+1)/12))) + (R169)*(IF((YEAR(D169)+20)&lt;YEAR(E169),0,IF((YEAR(D169)+20)&gt;YEAR(E169),1,(12-MONTH(E169)+1)/12))))-(IF(OR(N169="",N169&lt;=0),0,(O169/N169)*(IF(OR(N169="",N169&lt;=0),0,IF((YEAR(D169)+20)&lt;YEAR(E169),0,IF((YEAR(D169)+20)&gt;=YEAR(E169)+N169,0,IF((YEAR(D169)+20)=YEAR(E169),(12-MONTH(E169)+1)/12,1))))))))*TaxRate,0))-IF(20=0,O169,0))</f>
        <v/>
      </c>
      <c r="AN169" s="29">
        <f>IF(A169="","",S169)</f>
        <v/>
      </c>
      <c r="AO169" s="29">
        <f>IF(A169="","",AN169+T169)</f>
        <v/>
      </c>
      <c r="AP169" s="29">
        <f>IF(A169="","",AO169+U169)</f>
        <v/>
      </c>
      <c r="AQ169" s="29">
        <f>IF(A169="","",AP169+V169)</f>
        <v/>
      </c>
      <c r="AR169" s="29">
        <f>IF(A169="","",AQ169+W169)</f>
        <v/>
      </c>
      <c r="AS169" s="29">
        <f>IF(A169="","",AR169+X169)</f>
        <v/>
      </c>
      <c r="AT169" s="29">
        <f>IF(A169="","",AS169+Y169)</f>
        <v/>
      </c>
      <c r="AU169" s="29">
        <f>IF(A169="","",AT169+Z169)</f>
        <v/>
      </c>
      <c r="AV169" s="29">
        <f>IF(A169="","",AU169+AA169)</f>
        <v/>
      </c>
      <c r="AW169" s="29">
        <f>IF(A169="","",AV169+AB169)</f>
        <v/>
      </c>
      <c r="AX169" s="29">
        <f>IF(A169="","",AW169+AC169)</f>
        <v/>
      </c>
      <c r="AY169" s="29">
        <f>IF(A169="","",AX169+AD169)</f>
        <v/>
      </c>
      <c r="AZ169" s="29">
        <f>IF(A169="","",AY169+AE169)</f>
        <v/>
      </c>
      <c r="BA169" s="29">
        <f>IF(A169="","",AZ169+AF169)</f>
        <v/>
      </c>
      <c r="BB169" s="29">
        <f>IF(A169="","",BA169+AG169)</f>
        <v/>
      </c>
      <c r="BC169" s="29">
        <f>IF(A169="","",BB169+AH169)</f>
        <v/>
      </c>
      <c r="BD169" s="29">
        <f>IF(A169="","",BC169+AI169)</f>
        <v/>
      </c>
      <c r="BE169" s="29">
        <f>IF(A169="","",BD169+AJ169)</f>
        <v/>
      </c>
      <c r="BF169" s="29">
        <f>IF(A169="","",BE169+AK169)</f>
        <v/>
      </c>
      <c r="BG169" s="29">
        <f>IF(A169="","",BF169+AL169)</f>
        <v/>
      </c>
      <c r="BH169" s="29">
        <f>IF(A169="","",BG169+AM169)</f>
        <v/>
      </c>
      <c r="BI169" s="36">
        <f>IF(A169="","",(K169)*(IF((YEAR(D169)+0)&lt;YEAR(E169),0,IF((YEAR(D169)+0)&gt;YEAR(E169),1,(12-MONTH(E169)+1)/12)))*(1/(1+DiscountRate)^0))</f>
        <v/>
      </c>
      <c r="BJ169" s="36">
        <f>IF(A169="","",(K169)*(IF((YEAR(D169)+1)&lt;YEAR(E169),0,IF((YEAR(D169)+1)&gt;YEAR(E169),1,(12-MONTH(E169)+1)/12)))*(1/(1+DiscountRate)^1))</f>
        <v/>
      </c>
      <c r="BK169" s="36">
        <f>IF(A169="","",(K169)*(IF((YEAR(D169)+2)&lt;YEAR(E169),0,IF((YEAR(D169)+2)&gt;YEAR(E169),1,(12-MONTH(E169)+1)/12)))*(1/(1+DiscountRate)^2))</f>
        <v/>
      </c>
      <c r="BL169" s="36">
        <f>IF(A169="","",(K169)*(IF((YEAR(D169)+3)&lt;YEAR(E169),0,IF((YEAR(D169)+3)&gt;YEAR(E169),1,(12-MONTH(E169)+1)/12)))*(1/(1+DiscountRate)^3))</f>
        <v/>
      </c>
      <c r="BM169" s="36">
        <f>IF(A169="","",(K169)*(IF((YEAR(D169)+4)&lt;YEAR(E169),0,IF((YEAR(D169)+4)&gt;YEAR(E169),1,(12-MONTH(E169)+1)/12)))*(1/(1+DiscountRate)^4))</f>
        <v/>
      </c>
      <c r="BN169" s="36">
        <f>IF(A169="","",(K169)*(IF((YEAR(D169)+5)&lt;YEAR(E169),0,IF((YEAR(D169)+5)&gt;YEAR(E169),1,(12-MONTH(E169)+1)/12)))*(1/(1+DiscountRate)^5))</f>
        <v/>
      </c>
      <c r="BO169" s="36">
        <f>IF(A169="","",(K169)*(IF((YEAR(D169)+6)&lt;YEAR(E169),0,IF((YEAR(D169)+6)&gt;YEAR(E169),1,(12-MONTH(E169)+1)/12)))*(1/(1+DiscountRate)^6))</f>
        <v/>
      </c>
      <c r="BP169" s="36">
        <f>IF(A169="","",(K169)*(IF((YEAR(D169)+7)&lt;YEAR(E169),0,IF((YEAR(D169)+7)&gt;YEAR(E169),1,(12-MONTH(E169)+1)/12)))*(1/(1+DiscountRate)^7))</f>
        <v/>
      </c>
      <c r="BQ169" s="36">
        <f>IF(A169="","",(K169)*(IF((YEAR(D169)+8)&lt;YEAR(E169),0,IF((YEAR(D169)+8)&gt;YEAR(E169),1,(12-MONTH(E169)+1)/12)))*(1/(1+DiscountRate)^8))</f>
        <v/>
      </c>
      <c r="BR169" s="36">
        <f>IF(A169="","",(K169)*(IF((YEAR(D169)+9)&lt;YEAR(E169),0,IF((YEAR(D169)+9)&gt;YEAR(E169),1,(12-MONTH(E169)+1)/12)))*(1/(1+DiscountRate)^9))</f>
        <v/>
      </c>
      <c r="BS169" s="36">
        <f>IF(A169="","",(K169)*(IF((YEAR(D169)+10)&lt;YEAR(E169),0,IF((YEAR(D169)+10)&gt;YEAR(E169),1,(12-MONTH(E169)+1)/12)))*(1/(1+DiscountRate)^10))</f>
        <v/>
      </c>
      <c r="BT169" s="36">
        <f>IF(A169="","",(K169)*(IF((YEAR(D169)+11)&lt;YEAR(E169),0,IF((YEAR(D169)+11)&gt;YEAR(E169),1,(12-MONTH(E169)+1)/12)))*(1/(1+DiscountRate)^11))</f>
        <v/>
      </c>
      <c r="BU169" s="36">
        <f>IF(A169="","",(K169)*(IF((YEAR(D169)+12)&lt;YEAR(E169),0,IF((YEAR(D169)+12)&gt;YEAR(E169),1,(12-MONTH(E169)+1)/12)))*(1/(1+DiscountRate)^12))</f>
        <v/>
      </c>
      <c r="BV169" s="36">
        <f>IF(A169="","",(K169)*(IF((YEAR(D169)+13)&lt;YEAR(E169),0,IF((YEAR(D169)+13)&gt;YEAR(E169),1,(12-MONTH(E169)+1)/12)))*(1/(1+DiscountRate)^13))</f>
        <v/>
      </c>
      <c r="BW169" s="36">
        <f>IF(A169="","",(K169)*(IF((YEAR(D169)+14)&lt;YEAR(E169),0,IF((YEAR(D169)+14)&gt;YEAR(E169),1,(12-MONTH(E169)+1)/12)))*(1/(1+DiscountRate)^14))</f>
        <v/>
      </c>
      <c r="BX169" s="36">
        <f>IF(A169="","",(K169)*(IF((YEAR(D169)+15)&lt;YEAR(E169),0,IF((YEAR(D169)+15)&gt;YEAR(E169),1,(12-MONTH(E169)+1)/12)))*(1/(1+DiscountRate)^15))</f>
        <v/>
      </c>
      <c r="BY169" s="36">
        <f>IF(A169="","",(K169)*(IF((YEAR(D169)+16)&lt;YEAR(E169),0,IF((YEAR(D169)+16)&gt;YEAR(E169),1,(12-MONTH(E169)+1)/12)))*(1/(1+DiscountRate)^16))</f>
        <v/>
      </c>
      <c r="BZ169" s="36">
        <f>IF(A169="","",(K169)*(IF((YEAR(D169)+17)&lt;YEAR(E169),0,IF((YEAR(D169)+17)&gt;YEAR(E169),1,(12-MONTH(E169)+1)/12)))*(1/(1+DiscountRate)^17))</f>
        <v/>
      </c>
      <c r="CA169" s="36">
        <f>IF(A169="","",(K169)*(IF((YEAR(D169)+18)&lt;YEAR(E169),0,IF((YEAR(D169)+18)&gt;YEAR(E169),1,(12-MONTH(E169)+1)/12)))*(1/(1+DiscountRate)^18))</f>
        <v/>
      </c>
      <c r="CB169" s="36">
        <f>IF(A169="","",(K169)*(IF((YEAR(D169)+19)&lt;YEAR(E169),0,IF((YEAR(D169)+19)&gt;YEAR(E169),1,(12-MONTH(E169)+1)/12)))*(1/(1+DiscountRate)^19))</f>
        <v/>
      </c>
      <c r="CC169" s="36">
        <f>IF(A169="","",(K169)*(IF((YEAR(D169)+20)&lt;YEAR(E169),0,IF((YEAR(D169)+20)&gt;YEAR(E169),1,(12-MONTH(E169)+1)/12)))*(1/(1+DiscountRate)^20))</f>
        <v/>
      </c>
      <c r="CD169" s="29">
        <f>IF(A169="","",S169/(1+DiscountRate)^0+T169/(1+DiscountRate)^1+U169/(1+DiscountRate)^2+V169/(1+DiscountRate)^3+W169/(1+DiscountRate)^4+X169/(1+DiscountRate)^5+Y169/(1+DiscountRate)^6+Z169/(1+DiscountRate)^7+AA169/(1+DiscountRate)^8+AB169/(1+DiscountRate)^9+AC169/(1+DiscountRate)^10+AD169/(1+DiscountRate)^11+AE169/(1+DiscountRate)^12+AF169/(1+DiscountRate)^13+AG169/(1+DiscountRate)^14+AH169/(1+DiscountRate)^15+AI169/(1+DiscountRate)^16+AJ169/(1+DiscountRate)^17+AK169/(1+DiscountRate)^18+AL169/(1+DiscountRate)^19+AM169/(1+DiscountRate)^20)</f>
        <v/>
      </c>
      <c r="CE169" s="37">
        <f>IF(A169="","",IFERROR(IRR(OFFSET(S169,0,0,1,MIN(HorizonYears,20)+1)),"n/a"))</f>
        <v/>
      </c>
      <c r="CF169" s="28">
        <f>IF(A169="","",IFERROR(MATCH(TRUE,OFFSET(AN169,0,0,1,MIN(HorizonYears,20)+1)&gt;=0,0)-1,"n/a"))</f>
        <v/>
      </c>
      <c r="CG169" s="36">
        <f>IF(A169="","",SUM(OFFSET(BI169,0,0,1,MIN(HorizonYears,20)+1)))</f>
        <v/>
      </c>
      <c r="CH169" s="36">
        <f>IF(A169="","",IFERROR(-CD169/CG169,"n/a"))</f>
        <v/>
      </c>
    </row>
    <row r="170">
      <c r="A170" s="6">
        <f>Actions!A168</f>
        <v/>
      </c>
      <c r="B170" s="6">
        <f>Actions!B168</f>
        <v/>
      </c>
      <c r="C170" s="6">
        <f>Actions!D168</f>
        <v/>
      </c>
      <c r="D170" s="35">
        <f>Actions!E168</f>
        <v/>
      </c>
      <c r="E170" s="35">
        <f>Actions!F168</f>
        <v/>
      </c>
      <c r="F170" s="6">
        <f>Actions!G168</f>
        <v/>
      </c>
      <c r="G170" s="6">
        <f>Actions!H168</f>
        <v/>
      </c>
      <c r="H170" s="29">
        <f>Actions!I168</f>
        <v/>
      </c>
      <c r="I170" s="6">
        <f>Actions!J168</f>
        <v/>
      </c>
      <c r="J170" s="16">
        <f>Actions!K168</f>
        <v/>
      </c>
      <c r="K170" s="16">
        <f>IF(A170="","",IF(I170="%",H170*J170,J170))</f>
        <v/>
      </c>
      <c r="L170" s="16">
        <f>Actions!L168</f>
        <v/>
      </c>
      <c r="M170" s="6">
        <f>Actions!M168</f>
        <v/>
      </c>
      <c r="N170" s="28">
        <f>Actions!N168</f>
        <v/>
      </c>
      <c r="O170" s="29">
        <f>Actions!T168</f>
        <v/>
      </c>
      <c r="P170" s="29">
        <f>Actions!Y168</f>
        <v/>
      </c>
      <c r="Q170" s="29">
        <f>Actions!Z168</f>
        <v/>
      </c>
      <c r="R170" s="29">
        <f>Actions!AA168</f>
        <v/>
      </c>
      <c r="S170" s="29">
        <f>IF(A170="","",((K170)*(IF(M170="",L170,IFERROR(IF(INDEX(Variablen!$I:$AT, MATCH(M170, Variablen!$A:$A, 0), MATCH((YEAR(D170)+0), Variablen!$I$3:$AT$3, 0))="",L170,INDEX(Variablen!$I:$AT, MATCH(M170, Variablen!$A:$A, 0), MATCH((YEAR(D170)+0), Variablen!$I$3:$AT$3, 0))),L170)))*(IF((YEAR(D170)+0)&lt;YEAR(E170),0,IF((YEAR(D170)+0)&gt;YEAR(E170),1,(12-MONTH(E170)+1)/12))) + (Q170)*(IF((YEAR(D170)+0)&lt;YEAR(E170),0,IF((YEAR(D170)+0)&gt;YEAR(E170),1,(12-MONTH(E170)+1)/12))))-((P170)*(IF((YEAR(D170)+0)&lt;YEAR(E170),0,IF((YEAR(D170)+0)&gt;YEAR(E170),1,(12-MONTH(E170)+1)/12))) + (R170)*(IF((YEAR(D170)+0)&lt;YEAR(E170),0,IF((YEAR(D170)+0)&gt;YEAR(E170),1,(12-MONTH(E170)+1)/12))))-(IF((((K170)*(IF(M170="",L170,IFERROR(IF(INDEX(Variablen!$I:$AT, MATCH(M170, Variablen!$A:$A, 0), MATCH((YEAR(D170)+0), Variablen!$I$3:$AT$3, 0))="",L170,INDEX(Variablen!$I:$AT, MATCH(M170, Variablen!$A:$A, 0), MATCH((YEAR(D170)+0), Variablen!$I$3:$AT$3, 0))),L170)))*(IF((YEAR(D170)+0)&lt;YEAR(E170),0,IF((YEAR(D170)+0)&gt;YEAR(E170),1,(12-MONTH(E170)+1)/12))) + (Q170)*(IF((YEAR(D170)+0)&lt;YEAR(E170),0,IF((YEAR(D170)+0)&gt;YEAR(E170),1,(12-MONTH(E170)+1)/12))))-((P170)*(IF((YEAR(D170)+0)&lt;YEAR(E170),0,IF((YEAR(D170)+0)&gt;YEAR(E170),1,(12-MONTH(E170)+1)/12))) + (R170)*(IF((YEAR(D170)+0)&lt;YEAR(E170),0,IF((YEAR(D170)+0)&gt;YEAR(E170),1,(12-MONTH(E170)+1)/12))))-(IF(OR(N170="",N170&lt;=0),0,(O170/N170)*(IF(OR(N170="",N170&lt;=0),0,IF((YEAR(D170)+0)&lt;YEAR(E170),0,IF((YEAR(D170)+0)&gt;=YEAR(E170)+N170,0,IF((YEAR(D170)+0)=YEAR(E170),(12-MONTH(E170)+1)/12,1))))))))&gt;0,(((K170)*(IF(M170="",L170,IFERROR(IF(INDEX(Variablen!$I:$AT, MATCH(M170, Variablen!$A:$A, 0), MATCH((YEAR(D170)+0), Variablen!$I$3:$AT$3, 0))="",L170,INDEX(Variablen!$I:$AT, MATCH(M170, Variablen!$A:$A, 0), MATCH((YEAR(D170)+0), Variablen!$I$3:$AT$3, 0))),L170)))*(IF((YEAR(D170)+0)&lt;YEAR(E170),0,IF((YEAR(D170)+0)&gt;YEAR(E170),1,(12-MONTH(E170)+1)/12))) + (Q170)*(IF((YEAR(D170)+0)&lt;YEAR(E170),0,IF((YEAR(D170)+0)&gt;YEAR(E170),1,(12-MONTH(E170)+1)/12))))-((P170)*(IF((YEAR(D170)+0)&lt;YEAR(E170),0,IF((YEAR(D170)+0)&gt;YEAR(E170),1,(12-MONTH(E170)+1)/12))) + (R170)*(IF((YEAR(D170)+0)&lt;YEAR(E170),0,IF((YEAR(D170)+0)&gt;YEAR(E170),1,(12-MONTH(E170)+1)/12))))-(IF(OR(N170="",N170&lt;=0),0,(O170/N170)*(IF(OR(N170="",N170&lt;=0),0,IF((YEAR(D170)+0)&lt;YEAR(E170),0,IF((YEAR(D170)+0)&gt;=YEAR(E170)+N170,0,IF((YEAR(D170)+0)=YEAR(E170),(12-MONTH(E170)+1)/12,1))))))))*TaxRate,0))-IF(0=0,O170,0))</f>
        <v/>
      </c>
      <c r="T170" s="29">
        <f>IF(A170="","",((K170)*(IF(M170="",L170,IFERROR(IF(INDEX(Variablen!$I:$AT, MATCH(M170, Variablen!$A:$A, 0), MATCH((YEAR(D170)+1), Variablen!$I$3:$AT$3, 0))="",L170,INDEX(Variablen!$I:$AT, MATCH(M170, Variablen!$A:$A, 0), MATCH((YEAR(D170)+1), Variablen!$I$3:$AT$3, 0))),L170)))*(IF((YEAR(D170)+1)&lt;YEAR(E170),0,IF((YEAR(D170)+1)&gt;YEAR(E170),1,(12-MONTH(E170)+1)/12))) + (Q170)*(IF((YEAR(D170)+1)&lt;YEAR(E170),0,IF((YEAR(D170)+1)&gt;YEAR(E170),1,(12-MONTH(E170)+1)/12))))-((P170)*(IF((YEAR(D170)+1)&lt;YEAR(E170),0,IF((YEAR(D170)+1)&gt;YEAR(E170),1,(12-MONTH(E170)+1)/12))) + (R170)*(IF((YEAR(D170)+1)&lt;YEAR(E170),0,IF((YEAR(D170)+1)&gt;YEAR(E170),1,(12-MONTH(E170)+1)/12))))-(IF((((K170)*(IF(M170="",L170,IFERROR(IF(INDEX(Variablen!$I:$AT, MATCH(M170, Variablen!$A:$A, 0), MATCH((YEAR(D170)+1), Variablen!$I$3:$AT$3, 0))="",L170,INDEX(Variablen!$I:$AT, MATCH(M170, Variablen!$A:$A, 0), MATCH((YEAR(D170)+1), Variablen!$I$3:$AT$3, 0))),L170)))*(IF((YEAR(D170)+1)&lt;YEAR(E170),0,IF((YEAR(D170)+1)&gt;YEAR(E170),1,(12-MONTH(E170)+1)/12))) + (Q170)*(IF((YEAR(D170)+1)&lt;YEAR(E170),0,IF((YEAR(D170)+1)&gt;YEAR(E170),1,(12-MONTH(E170)+1)/12))))-((P170)*(IF((YEAR(D170)+1)&lt;YEAR(E170),0,IF((YEAR(D170)+1)&gt;YEAR(E170),1,(12-MONTH(E170)+1)/12))) + (R170)*(IF((YEAR(D170)+1)&lt;YEAR(E170),0,IF((YEAR(D170)+1)&gt;YEAR(E170),1,(12-MONTH(E170)+1)/12))))-(IF(OR(N170="",N170&lt;=0),0,(O170/N170)*(IF(OR(N170="",N170&lt;=0),0,IF((YEAR(D170)+1)&lt;YEAR(E170),0,IF((YEAR(D170)+1)&gt;=YEAR(E170)+N170,0,IF((YEAR(D170)+1)=YEAR(E170),(12-MONTH(E170)+1)/12,1))))))))&gt;0,(((K170)*(IF(M170="",L170,IFERROR(IF(INDEX(Variablen!$I:$AT, MATCH(M170, Variablen!$A:$A, 0), MATCH((YEAR(D170)+1), Variablen!$I$3:$AT$3, 0))="",L170,INDEX(Variablen!$I:$AT, MATCH(M170, Variablen!$A:$A, 0), MATCH((YEAR(D170)+1), Variablen!$I$3:$AT$3, 0))),L170)))*(IF((YEAR(D170)+1)&lt;YEAR(E170),0,IF((YEAR(D170)+1)&gt;YEAR(E170),1,(12-MONTH(E170)+1)/12))) + (Q170)*(IF((YEAR(D170)+1)&lt;YEAR(E170),0,IF((YEAR(D170)+1)&gt;YEAR(E170),1,(12-MONTH(E170)+1)/12))))-((P170)*(IF((YEAR(D170)+1)&lt;YEAR(E170),0,IF((YEAR(D170)+1)&gt;YEAR(E170),1,(12-MONTH(E170)+1)/12))) + (R170)*(IF((YEAR(D170)+1)&lt;YEAR(E170),0,IF((YEAR(D170)+1)&gt;YEAR(E170),1,(12-MONTH(E170)+1)/12))))-(IF(OR(N170="",N170&lt;=0),0,(O170/N170)*(IF(OR(N170="",N170&lt;=0),0,IF((YEAR(D170)+1)&lt;YEAR(E170),0,IF((YEAR(D170)+1)&gt;=YEAR(E170)+N170,0,IF((YEAR(D170)+1)=YEAR(E170),(12-MONTH(E170)+1)/12,1))))))))*TaxRate,0))-IF(1=0,O170,0))</f>
        <v/>
      </c>
      <c r="U170" s="29">
        <f>IF(A170="","",((K170)*(IF(M170="",L170,IFERROR(IF(INDEX(Variablen!$I:$AT, MATCH(M170, Variablen!$A:$A, 0), MATCH((YEAR(D170)+2), Variablen!$I$3:$AT$3, 0))="",L170,INDEX(Variablen!$I:$AT, MATCH(M170, Variablen!$A:$A, 0), MATCH((YEAR(D170)+2), Variablen!$I$3:$AT$3, 0))),L170)))*(IF((YEAR(D170)+2)&lt;YEAR(E170),0,IF((YEAR(D170)+2)&gt;YEAR(E170),1,(12-MONTH(E170)+1)/12))) + (Q170)*(IF((YEAR(D170)+2)&lt;YEAR(E170),0,IF((YEAR(D170)+2)&gt;YEAR(E170),1,(12-MONTH(E170)+1)/12))))-((P170)*(IF((YEAR(D170)+2)&lt;YEAR(E170),0,IF((YEAR(D170)+2)&gt;YEAR(E170),1,(12-MONTH(E170)+1)/12))) + (R170)*(IF((YEAR(D170)+2)&lt;YEAR(E170),0,IF((YEAR(D170)+2)&gt;YEAR(E170),1,(12-MONTH(E170)+1)/12))))-(IF((((K170)*(IF(M170="",L170,IFERROR(IF(INDEX(Variablen!$I:$AT, MATCH(M170, Variablen!$A:$A, 0), MATCH((YEAR(D170)+2), Variablen!$I$3:$AT$3, 0))="",L170,INDEX(Variablen!$I:$AT, MATCH(M170, Variablen!$A:$A, 0), MATCH((YEAR(D170)+2), Variablen!$I$3:$AT$3, 0))),L170)))*(IF((YEAR(D170)+2)&lt;YEAR(E170),0,IF((YEAR(D170)+2)&gt;YEAR(E170),1,(12-MONTH(E170)+1)/12))) + (Q170)*(IF((YEAR(D170)+2)&lt;YEAR(E170),0,IF((YEAR(D170)+2)&gt;YEAR(E170),1,(12-MONTH(E170)+1)/12))))-((P170)*(IF((YEAR(D170)+2)&lt;YEAR(E170),0,IF((YEAR(D170)+2)&gt;YEAR(E170),1,(12-MONTH(E170)+1)/12))) + (R170)*(IF((YEAR(D170)+2)&lt;YEAR(E170),0,IF((YEAR(D170)+2)&gt;YEAR(E170),1,(12-MONTH(E170)+1)/12))))-(IF(OR(N170="",N170&lt;=0),0,(O170/N170)*(IF(OR(N170="",N170&lt;=0),0,IF((YEAR(D170)+2)&lt;YEAR(E170),0,IF((YEAR(D170)+2)&gt;=YEAR(E170)+N170,0,IF((YEAR(D170)+2)=YEAR(E170),(12-MONTH(E170)+1)/12,1))))))))&gt;0,(((K170)*(IF(M170="",L170,IFERROR(IF(INDEX(Variablen!$I:$AT, MATCH(M170, Variablen!$A:$A, 0), MATCH((YEAR(D170)+2), Variablen!$I$3:$AT$3, 0))="",L170,INDEX(Variablen!$I:$AT, MATCH(M170, Variablen!$A:$A, 0), MATCH((YEAR(D170)+2), Variablen!$I$3:$AT$3, 0))),L170)))*(IF((YEAR(D170)+2)&lt;YEAR(E170),0,IF((YEAR(D170)+2)&gt;YEAR(E170),1,(12-MONTH(E170)+1)/12))) + (Q170)*(IF((YEAR(D170)+2)&lt;YEAR(E170),0,IF((YEAR(D170)+2)&gt;YEAR(E170),1,(12-MONTH(E170)+1)/12))))-((P170)*(IF((YEAR(D170)+2)&lt;YEAR(E170),0,IF((YEAR(D170)+2)&gt;YEAR(E170),1,(12-MONTH(E170)+1)/12))) + (R170)*(IF((YEAR(D170)+2)&lt;YEAR(E170),0,IF((YEAR(D170)+2)&gt;YEAR(E170),1,(12-MONTH(E170)+1)/12))))-(IF(OR(N170="",N170&lt;=0),0,(O170/N170)*(IF(OR(N170="",N170&lt;=0),0,IF((YEAR(D170)+2)&lt;YEAR(E170),0,IF((YEAR(D170)+2)&gt;=YEAR(E170)+N170,0,IF((YEAR(D170)+2)=YEAR(E170),(12-MONTH(E170)+1)/12,1))))))))*TaxRate,0))-IF(2=0,O170,0))</f>
        <v/>
      </c>
      <c r="V170" s="29">
        <f>IF(A170="","",((K170)*(IF(M170="",L170,IFERROR(IF(INDEX(Variablen!$I:$AT, MATCH(M170, Variablen!$A:$A, 0), MATCH((YEAR(D170)+3), Variablen!$I$3:$AT$3, 0))="",L170,INDEX(Variablen!$I:$AT, MATCH(M170, Variablen!$A:$A, 0), MATCH((YEAR(D170)+3), Variablen!$I$3:$AT$3, 0))),L170)))*(IF((YEAR(D170)+3)&lt;YEAR(E170),0,IF((YEAR(D170)+3)&gt;YEAR(E170),1,(12-MONTH(E170)+1)/12))) + (Q170)*(IF((YEAR(D170)+3)&lt;YEAR(E170),0,IF((YEAR(D170)+3)&gt;YEAR(E170),1,(12-MONTH(E170)+1)/12))))-((P170)*(IF((YEAR(D170)+3)&lt;YEAR(E170),0,IF((YEAR(D170)+3)&gt;YEAR(E170),1,(12-MONTH(E170)+1)/12))) + (R170)*(IF((YEAR(D170)+3)&lt;YEAR(E170),0,IF((YEAR(D170)+3)&gt;YEAR(E170),1,(12-MONTH(E170)+1)/12))))-(IF((((K170)*(IF(M170="",L170,IFERROR(IF(INDEX(Variablen!$I:$AT, MATCH(M170, Variablen!$A:$A, 0), MATCH((YEAR(D170)+3), Variablen!$I$3:$AT$3, 0))="",L170,INDEX(Variablen!$I:$AT, MATCH(M170, Variablen!$A:$A, 0), MATCH((YEAR(D170)+3), Variablen!$I$3:$AT$3, 0))),L170)))*(IF((YEAR(D170)+3)&lt;YEAR(E170),0,IF((YEAR(D170)+3)&gt;YEAR(E170),1,(12-MONTH(E170)+1)/12))) + (Q170)*(IF((YEAR(D170)+3)&lt;YEAR(E170),0,IF((YEAR(D170)+3)&gt;YEAR(E170),1,(12-MONTH(E170)+1)/12))))-((P170)*(IF((YEAR(D170)+3)&lt;YEAR(E170),0,IF((YEAR(D170)+3)&gt;YEAR(E170),1,(12-MONTH(E170)+1)/12))) + (R170)*(IF((YEAR(D170)+3)&lt;YEAR(E170),0,IF((YEAR(D170)+3)&gt;YEAR(E170),1,(12-MONTH(E170)+1)/12))))-(IF(OR(N170="",N170&lt;=0),0,(O170/N170)*(IF(OR(N170="",N170&lt;=0),0,IF((YEAR(D170)+3)&lt;YEAR(E170),0,IF((YEAR(D170)+3)&gt;=YEAR(E170)+N170,0,IF((YEAR(D170)+3)=YEAR(E170),(12-MONTH(E170)+1)/12,1))))))))&gt;0,(((K170)*(IF(M170="",L170,IFERROR(IF(INDEX(Variablen!$I:$AT, MATCH(M170, Variablen!$A:$A, 0), MATCH((YEAR(D170)+3), Variablen!$I$3:$AT$3, 0))="",L170,INDEX(Variablen!$I:$AT, MATCH(M170, Variablen!$A:$A, 0), MATCH((YEAR(D170)+3), Variablen!$I$3:$AT$3, 0))),L170)))*(IF((YEAR(D170)+3)&lt;YEAR(E170),0,IF((YEAR(D170)+3)&gt;YEAR(E170),1,(12-MONTH(E170)+1)/12))) + (Q170)*(IF((YEAR(D170)+3)&lt;YEAR(E170),0,IF((YEAR(D170)+3)&gt;YEAR(E170),1,(12-MONTH(E170)+1)/12))))-((P170)*(IF((YEAR(D170)+3)&lt;YEAR(E170),0,IF((YEAR(D170)+3)&gt;YEAR(E170),1,(12-MONTH(E170)+1)/12))) + (R170)*(IF((YEAR(D170)+3)&lt;YEAR(E170),0,IF((YEAR(D170)+3)&gt;YEAR(E170),1,(12-MONTH(E170)+1)/12))))-(IF(OR(N170="",N170&lt;=0),0,(O170/N170)*(IF(OR(N170="",N170&lt;=0),0,IF((YEAR(D170)+3)&lt;YEAR(E170),0,IF((YEAR(D170)+3)&gt;=YEAR(E170)+N170,0,IF((YEAR(D170)+3)=YEAR(E170),(12-MONTH(E170)+1)/12,1))))))))*TaxRate,0))-IF(3=0,O170,0))</f>
        <v/>
      </c>
      <c r="W170" s="29">
        <f>IF(A170="","",((K170)*(IF(M170="",L170,IFERROR(IF(INDEX(Variablen!$I:$AT, MATCH(M170, Variablen!$A:$A, 0), MATCH((YEAR(D170)+4), Variablen!$I$3:$AT$3, 0))="",L170,INDEX(Variablen!$I:$AT, MATCH(M170, Variablen!$A:$A, 0), MATCH((YEAR(D170)+4), Variablen!$I$3:$AT$3, 0))),L170)))*(IF((YEAR(D170)+4)&lt;YEAR(E170),0,IF((YEAR(D170)+4)&gt;YEAR(E170),1,(12-MONTH(E170)+1)/12))) + (Q170)*(IF((YEAR(D170)+4)&lt;YEAR(E170),0,IF((YEAR(D170)+4)&gt;YEAR(E170),1,(12-MONTH(E170)+1)/12))))-((P170)*(IF((YEAR(D170)+4)&lt;YEAR(E170),0,IF((YEAR(D170)+4)&gt;YEAR(E170),1,(12-MONTH(E170)+1)/12))) + (R170)*(IF((YEAR(D170)+4)&lt;YEAR(E170),0,IF((YEAR(D170)+4)&gt;YEAR(E170),1,(12-MONTH(E170)+1)/12))))-(IF((((K170)*(IF(M170="",L170,IFERROR(IF(INDEX(Variablen!$I:$AT, MATCH(M170, Variablen!$A:$A, 0), MATCH((YEAR(D170)+4), Variablen!$I$3:$AT$3, 0))="",L170,INDEX(Variablen!$I:$AT, MATCH(M170, Variablen!$A:$A, 0), MATCH((YEAR(D170)+4), Variablen!$I$3:$AT$3, 0))),L170)))*(IF((YEAR(D170)+4)&lt;YEAR(E170),0,IF((YEAR(D170)+4)&gt;YEAR(E170),1,(12-MONTH(E170)+1)/12))) + (Q170)*(IF((YEAR(D170)+4)&lt;YEAR(E170),0,IF((YEAR(D170)+4)&gt;YEAR(E170),1,(12-MONTH(E170)+1)/12))))-((P170)*(IF((YEAR(D170)+4)&lt;YEAR(E170),0,IF((YEAR(D170)+4)&gt;YEAR(E170),1,(12-MONTH(E170)+1)/12))) + (R170)*(IF((YEAR(D170)+4)&lt;YEAR(E170),0,IF((YEAR(D170)+4)&gt;YEAR(E170),1,(12-MONTH(E170)+1)/12))))-(IF(OR(N170="",N170&lt;=0),0,(O170/N170)*(IF(OR(N170="",N170&lt;=0),0,IF((YEAR(D170)+4)&lt;YEAR(E170),0,IF((YEAR(D170)+4)&gt;=YEAR(E170)+N170,0,IF((YEAR(D170)+4)=YEAR(E170),(12-MONTH(E170)+1)/12,1))))))))&gt;0,(((K170)*(IF(M170="",L170,IFERROR(IF(INDEX(Variablen!$I:$AT, MATCH(M170, Variablen!$A:$A, 0), MATCH((YEAR(D170)+4), Variablen!$I$3:$AT$3, 0))="",L170,INDEX(Variablen!$I:$AT, MATCH(M170, Variablen!$A:$A, 0), MATCH((YEAR(D170)+4), Variablen!$I$3:$AT$3, 0))),L170)))*(IF((YEAR(D170)+4)&lt;YEAR(E170),0,IF((YEAR(D170)+4)&gt;YEAR(E170),1,(12-MONTH(E170)+1)/12))) + (Q170)*(IF((YEAR(D170)+4)&lt;YEAR(E170),0,IF((YEAR(D170)+4)&gt;YEAR(E170),1,(12-MONTH(E170)+1)/12))))-((P170)*(IF((YEAR(D170)+4)&lt;YEAR(E170),0,IF((YEAR(D170)+4)&gt;YEAR(E170),1,(12-MONTH(E170)+1)/12))) + (R170)*(IF((YEAR(D170)+4)&lt;YEAR(E170),0,IF((YEAR(D170)+4)&gt;YEAR(E170),1,(12-MONTH(E170)+1)/12))))-(IF(OR(N170="",N170&lt;=0),0,(O170/N170)*(IF(OR(N170="",N170&lt;=0),0,IF((YEAR(D170)+4)&lt;YEAR(E170),0,IF((YEAR(D170)+4)&gt;=YEAR(E170)+N170,0,IF((YEAR(D170)+4)=YEAR(E170),(12-MONTH(E170)+1)/12,1))))))))*TaxRate,0))-IF(4=0,O170,0))</f>
        <v/>
      </c>
      <c r="X170" s="29">
        <f>IF(A170="","",((K170)*(IF(M170="",L170,IFERROR(IF(INDEX(Variablen!$I:$AT, MATCH(M170, Variablen!$A:$A, 0), MATCH((YEAR(D170)+5), Variablen!$I$3:$AT$3, 0))="",L170,INDEX(Variablen!$I:$AT, MATCH(M170, Variablen!$A:$A, 0), MATCH((YEAR(D170)+5), Variablen!$I$3:$AT$3, 0))),L170)))*(IF((YEAR(D170)+5)&lt;YEAR(E170),0,IF((YEAR(D170)+5)&gt;YEAR(E170),1,(12-MONTH(E170)+1)/12))) + (Q170)*(IF((YEAR(D170)+5)&lt;YEAR(E170),0,IF((YEAR(D170)+5)&gt;YEAR(E170),1,(12-MONTH(E170)+1)/12))))-((P170)*(IF((YEAR(D170)+5)&lt;YEAR(E170),0,IF((YEAR(D170)+5)&gt;YEAR(E170),1,(12-MONTH(E170)+1)/12))) + (R170)*(IF((YEAR(D170)+5)&lt;YEAR(E170),0,IF((YEAR(D170)+5)&gt;YEAR(E170),1,(12-MONTH(E170)+1)/12))))-(IF((((K170)*(IF(M170="",L170,IFERROR(IF(INDEX(Variablen!$I:$AT, MATCH(M170, Variablen!$A:$A, 0), MATCH((YEAR(D170)+5), Variablen!$I$3:$AT$3, 0))="",L170,INDEX(Variablen!$I:$AT, MATCH(M170, Variablen!$A:$A, 0), MATCH((YEAR(D170)+5), Variablen!$I$3:$AT$3, 0))),L170)))*(IF((YEAR(D170)+5)&lt;YEAR(E170),0,IF((YEAR(D170)+5)&gt;YEAR(E170),1,(12-MONTH(E170)+1)/12))) + (Q170)*(IF((YEAR(D170)+5)&lt;YEAR(E170),0,IF((YEAR(D170)+5)&gt;YEAR(E170),1,(12-MONTH(E170)+1)/12))))-((P170)*(IF((YEAR(D170)+5)&lt;YEAR(E170),0,IF((YEAR(D170)+5)&gt;YEAR(E170),1,(12-MONTH(E170)+1)/12))) + (R170)*(IF((YEAR(D170)+5)&lt;YEAR(E170),0,IF((YEAR(D170)+5)&gt;YEAR(E170),1,(12-MONTH(E170)+1)/12))))-(IF(OR(N170="",N170&lt;=0),0,(O170/N170)*(IF(OR(N170="",N170&lt;=0),0,IF((YEAR(D170)+5)&lt;YEAR(E170),0,IF((YEAR(D170)+5)&gt;=YEAR(E170)+N170,0,IF((YEAR(D170)+5)=YEAR(E170),(12-MONTH(E170)+1)/12,1))))))))&gt;0,(((K170)*(IF(M170="",L170,IFERROR(IF(INDEX(Variablen!$I:$AT, MATCH(M170, Variablen!$A:$A, 0), MATCH((YEAR(D170)+5), Variablen!$I$3:$AT$3, 0))="",L170,INDEX(Variablen!$I:$AT, MATCH(M170, Variablen!$A:$A, 0), MATCH((YEAR(D170)+5), Variablen!$I$3:$AT$3, 0))),L170)))*(IF((YEAR(D170)+5)&lt;YEAR(E170),0,IF((YEAR(D170)+5)&gt;YEAR(E170),1,(12-MONTH(E170)+1)/12))) + (Q170)*(IF((YEAR(D170)+5)&lt;YEAR(E170),0,IF((YEAR(D170)+5)&gt;YEAR(E170),1,(12-MONTH(E170)+1)/12))))-((P170)*(IF((YEAR(D170)+5)&lt;YEAR(E170),0,IF((YEAR(D170)+5)&gt;YEAR(E170),1,(12-MONTH(E170)+1)/12))) + (R170)*(IF((YEAR(D170)+5)&lt;YEAR(E170),0,IF((YEAR(D170)+5)&gt;YEAR(E170),1,(12-MONTH(E170)+1)/12))))-(IF(OR(N170="",N170&lt;=0),0,(O170/N170)*(IF(OR(N170="",N170&lt;=0),0,IF((YEAR(D170)+5)&lt;YEAR(E170),0,IF((YEAR(D170)+5)&gt;=YEAR(E170)+N170,0,IF((YEAR(D170)+5)=YEAR(E170),(12-MONTH(E170)+1)/12,1))))))))*TaxRate,0))-IF(5=0,O170,0))</f>
        <v/>
      </c>
      <c r="Y170" s="29">
        <f>IF(A170="","",((K170)*(IF(M170="",L170,IFERROR(IF(INDEX(Variablen!$I:$AT, MATCH(M170, Variablen!$A:$A, 0), MATCH((YEAR(D170)+6), Variablen!$I$3:$AT$3, 0))="",L170,INDEX(Variablen!$I:$AT, MATCH(M170, Variablen!$A:$A, 0), MATCH((YEAR(D170)+6), Variablen!$I$3:$AT$3, 0))),L170)))*(IF((YEAR(D170)+6)&lt;YEAR(E170),0,IF((YEAR(D170)+6)&gt;YEAR(E170),1,(12-MONTH(E170)+1)/12))) + (Q170)*(IF((YEAR(D170)+6)&lt;YEAR(E170),0,IF((YEAR(D170)+6)&gt;YEAR(E170),1,(12-MONTH(E170)+1)/12))))-((P170)*(IF((YEAR(D170)+6)&lt;YEAR(E170),0,IF((YEAR(D170)+6)&gt;YEAR(E170),1,(12-MONTH(E170)+1)/12))) + (R170)*(IF((YEAR(D170)+6)&lt;YEAR(E170),0,IF((YEAR(D170)+6)&gt;YEAR(E170),1,(12-MONTH(E170)+1)/12))))-(IF((((K170)*(IF(M170="",L170,IFERROR(IF(INDEX(Variablen!$I:$AT, MATCH(M170, Variablen!$A:$A, 0), MATCH((YEAR(D170)+6), Variablen!$I$3:$AT$3, 0))="",L170,INDEX(Variablen!$I:$AT, MATCH(M170, Variablen!$A:$A, 0), MATCH((YEAR(D170)+6), Variablen!$I$3:$AT$3, 0))),L170)))*(IF((YEAR(D170)+6)&lt;YEAR(E170),0,IF((YEAR(D170)+6)&gt;YEAR(E170),1,(12-MONTH(E170)+1)/12))) + (Q170)*(IF((YEAR(D170)+6)&lt;YEAR(E170),0,IF((YEAR(D170)+6)&gt;YEAR(E170),1,(12-MONTH(E170)+1)/12))))-((P170)*(IF((YEAR(D170)+6)&lt;YEAR(E170),0,IF((YEAR(D170)+6)&gt;YEAR(E170),1,(12-MONTH(E170)+1)/12))) + (R170)*(IF((YEAR(D170)+6)&lt;YEAR(E170),0,IF((YEAR(D170)+6)&gt;YEAR(E170),1,(12-MONTH(E170)+1)/12))))-(IF(OR(N170="",N170&lt;=0),0,(O170/N170)*(IF(OR(N170="",N170&lt;=0),0,IF((YEAR(D170)+6)&lt;YEAR(E170),0,IF((YEAR(D170)+6)&gt;=YEAR(E170)+N170,0,IF((YEAR(D170)+6)=YEAR(E170),(12-MONTH(E170)+1)/12,1))))))))&gt;0,(((K170)*(IF(M170="",L170,IFERROR(IF(INDEX(Variablen!$I:$AT, MATCH(M170, Variablen!$A:$A, 0), MATCH((YEAR(D170)+6), Variablen!$I$3:$AT$3, 0))="",L170,INDEX(Variablen!$I:$AT, MATCH(M170, Variablen!$A:$A, 0), MATCH((YEAR(D170)+6), Variablen!$I$3:$AT$3, 0))),L170)))*(IF((YEAR(D170)+6)&lt;YEAR(E170),0,IF((YEAR(D170)+6)&gt;YEAR(E170),1,(12-MONTH(E170)+1)/12))) + (Q170)*(IF((YEAR(D170)+6)&lt;YEAR(E170),0,IF((YEAR(D170)+6)&gt;YEAR(E170),1,(12-MONTH(E170)+1)/12))))-((P170)*(IF((YEAR(D170)+6)&lt;YEAR(E170),0,IF((YEAR(D170)+6)&gt;YEAR(E170),1,(12-MONTH(E170)+1)/12))) + (R170)*(IF((YEAR(D170)+6)&lt;YEAR(E170),0,IF((YEAR(D170)+6)&gt;YEAR(E170),1,(12-MONTH(E170)+1)/12))))-(IF(OR(N170="",N170&lt;=0),0,(O170/N170)*(IF(OR(N170="",N170&lt;=0),0,IF((YEAR(D170)+6)&lt;YEAR(E170),0,IF((YEAR(D170)+6)&gt;=YEAR(E170)+N170,0,IF((YEAR(D170)+6)=YEAR(E170),(12-MONTH(E170)+1)/12,1))))))))*TaxRate,0))-IF(6=0,O170,0))</f>
        <v/>
      </c>
      <c r="Z170" s="29">
        <f>IF(A170="","",((K170)*(IF(M170="",L170,IFERROR(IF(INDEX(Variablen!$I:$AT, MATCH(M170, Variablen!$A:$A, 0), MATCH((YEAR(D170)+7), Variablen!$I$3:$AT$3, 0))="",L170,INDEX(Variablen!$I:$AT, MATCH(M170, Variablen!$A:$A, 0), MATCH((YEAR(D170)+7), Variablen!$I$3:$AT$3, 0))),L170)))*(IF((YEAR(D170)+7)&lt;YEAR(E170),0,IF((YEAR(D170)+7)&gt;YEAR(E170),1,(12-MONTH(E170)+1)/12))) + (Q170)*(IF((YEAR(D170)+7)&lt;YEAR(E170),0,IF((YEAR(D170)+7)&gt;YEAR(E170),1,(12-MONTH(E170)+1)/12))))-((P170)*(IF((YEAR(D170)+7)&lt;YEAR(E170),0,IF((YEAR(D170)+7)&gt;YEAR(E170),1,(12-MONTH(E170)+1)/12))) + (R170)*(IF((YEAR(D170)+7)&lt;YEAR(E170),0,IF((YEAR(D170)+7)&gt;YEAR(E170),1,(12-MONTH(E170)+1)/12))))-(IF((((K170)*(IF(M170="",L170,IFERROR(IF(INDEX(Variablen!$I:$AT, MATCH(M170, Variablen!$A:$A, 0), MATCH((YEAR(D170)+7), Variablen!$I$3:$AT$3, 0))="",L170,INDEX(Variablen!$I:$AT, MATCH(M170, Variablen!$A:$A, 0), MATCH((YEAR(D170)+7), Variablen!$I$3:$AT$3, 0))),L170)))*(IF((YEAR(D170)+7)&lt;YEAR(E170),0,IF((YEAR(D170)+7)&gt;YEAR(E170),1,(12-MONTH(E170)+1)/12))) + (Q170)*(IF((YEAR(D170)+7)&lt;YEAR(E170),0,IF((YEAR(D170)+7)&gt;YEAR(E170),1,(12-MONTH(E170)+1)/12))))-((P170)*(IF((YEAR(D170)+7)&lt;YEAR(E170),0,IF((YEAR(D170)+7)&gt;YEAR(E170),1,(12-MONTH(E170)+1)/12))) + (R170)*(IF((YEAR(D170)+7)&lt;YEAR(E170),0,IF((YEAR(D170)+7)&gt;YEAR(E170),1,(12-MONTH(E170)+1)/12))))-(IF(OR(N170="",N170&lt;=0),0,(O170/N170)*(IF(OR(N170="",N170&lt;=0),0,IF((YEAR(D170)+7)&lt;YEAR(E170),0,IF((YEAR(D170)+7)&gt;=YEAR(E170)+N170,0,IF((YEAR(D170)+7)=YEAR(E170),(12-MONTH(E170)+1)/12,1))))))))&gt;0,(((K170)*(IF(M170="",L170,IFERROR(IF(INDEX(Variablen!$I:$AT, MATCH(M170, Variablen!$A:$A, 0), MATCH((YEAR(D170)+7), Variablen!$I$3:$AT$3, 0))="",L170,INDEX(Variablen!$I:$AT, MATCH(M170, Variablen!$A:$A, 0), MATCH((YEAR(D170)+7), Variablen!$I$3:$AT$3, 0))),L170)))*(IF((YEAR(D170)+7)&lt;YEAR(E170),0,IF((YEAR(D170)+7)&gt;YEAR(E170),1,(12-MONTH(E170)+1)/12))) + (Q170)*(IF((YEAR(D170)+7)&lt;YEAR(E170),0,IF((YEAR(D170)+7)&gt;YEAR(E170),1,(12-MONTH(E170)+1)/12))))-((P170)*(IF((YEAR(D170)+7)&lt;YEAR(E170),0,IF((YEAR(D170)+7)&gt;YEAR(E170),1,(12-MONTH(E170)+1)/12))) + (R170)*(IF((YEAR(D170)+7)&lt;YEAR(E170),0,IF((YEAR(D170)+7)&gt;YEAR(E170),1,(12-MONTH(E170)+1)/12))))-(IF(OR(N170="",N170&lt;=0),0,(O170/N170)*(IF(OR(N170="",N170&lt;=0),0,IF((YEAR(D170)+7)&lt;YEAR(E170),0,IF((YEAR(D170)+7)&gt;=YEAR(E170)+N170,0,IF((YEAR(D170)+7)=YEAR(E170),(12-MONTH(E170)+1)/12,1))))))))*TaxRate,0))-IF(7=0,O170,0))</f>
        <v/>
      </c>
      <c r="AA170" s="29">
        <f>IF(A170="","",((K170)*(IF(M170="",L170,IFERROR(IF(INDEX(Variablen!$I:$AT, MATCH(M170, Variablen!$A:$A, 0), MATCH((YEAR(D170)+8), Variablen!$I$3:$AT$3, 0))="",L170,INDEX(Variablen!$I:$AT, MATCH(M170, Variablen!$A:$A, 0), MATCH((YEAR(D170)+8), Variablen!$I$3:$AT$3, 0))),L170)))*(IF((YEAR(D170)+8)&lt;YEAR(E170),0,IF((YEAR(D170)+8)&gt;YEAR(E170),1,(12-MONTH(E170)+1)/12))) + (Q170)*(IF((YEAR(D170)+8)&lt;YEAR(E170),0,IF((YEAR(D170)+8)&gt;YEAR(E170),1,(12-MONTH(E170)+1)/12))))-((P170)*(IF((YEAR(D170)+8)&lt;YEAR(E170),0,IF((YEAR(D170)+8)&gt;YEAR(E170),1,(12-MONTH(E170)+1)/12))) + (R170)*(IF((YEAR(D170)+8)&lt;YEAR(E170),0,IF((YEAR(D170)+8)&gt;YEAR(E170),1,(12-MONTH(E170)+1)/12))))-(IF((((K170)*(IF(M170="",L170,IFERROR(IF(INDEX(Variablen!$I:$AT, MATCH(M170, Variablen!$A:$A, 0), MATCH((YEAR(D170)+8), Variablen!$I$3:$AT$3, 0))="",L170,INDEX(Variablen!$I:$AT, MATCH(M170, Variablen!$A:$A, 0), MATCH((YEAR(D170)+8), Variablen!$I$3:$AT$3, 0))),L170)))*(IF((YEAR(D170)+8)&lt;YEAR(E170),0,IF((YEAR(D170)+8)&gt;YEAR(E170),1,(12-MONTH(E170)+1)/12))) + (Q170)*(IF((YEAR(D170)+8)&lt;YEAR(E170),0,IF((YEAR(D170)+8)&gt;YEAR(E170),1,(12-MONTH(E170)+1)/12))))-((P170)*(IF((YEAR(D170)+8)&lt;YEAR(E170),0,IF((YEAR(D170)+8)&gt;YEAR(E170),1,(12-MONTH(E170)+1)/12))) + (R170)*(IF((YEAR(D170)+8)&lt;YEAR(E170),0,IF((YEAR(D170)+8)&gt;YEAR(E170),1,(12-MONTH(E170)+1)/12))))-(IF(OR(N170="",N170&lt;=0),0,(O170/N170)*(IF(OR(N170="",N170&lt;=0),0,IF((YEAR(D170)+8)&lt;YEAR(E170),0,IF((YEAR(D170)+8)&gt;=YEAR(E170)+N170,0,IF((YEAR(D170)+8)=YEAR(E170),(12-MONTH(E170)+1)/12,1))))))))&gt;0,(((K170)*(IF(M170="",L170,IFERROR(IF(INDEX(Variablen!$I:$AT, MATCH(M170, Variablen!$A:$A, 0), MATCH((YEAR(D170)+8), Variablen!$I$3:$AT$3, 0))="",L170,INDEX(Variablen!$I:$AT, MATCH(M170, Variablen!$A:$A, 0), MATCH((YEAR(D170)+8), Variablen!$I$3:$AT$3, 0))),L170)))*(IF((YEAR(D170)+8)&lt;YEAR(E170),0,IF((YEAR(D170)+8)&gt;YEAR(E170),1,(12-MONTH(E170)+1)/12))) + (Q170)*(IF((YEAR(D170)+8)&lt;YEAR(E170),0,IF((YEAR(D170)+8)&gt;YEAR(E170),1,(12-MONTH(E170)+1)/12))))-((P170)*(IF((YEAR(D170)+8)&lt;YEAR(E170),0,IF((YEAR(D170)+8)&gt;YEAR(E170),1,(12-MONTH(E170)+1)/12))) + (R170)*(IF((YEAR(D170)+8)&lt;YEAR(E170),0,IF((YEAR(D170)+8)&gt;YEAR(E170),1,(12-MONTH(E170)+1)/12))))-(IF(OR(N170="",N170&lt;=0),0,(O170/N170)*(IF(OR(N170="",N170&lt;=0),0,IF((YEAR(D170)+8)&lt;YEAR(E170),0,IF((YEAR(D170)+8)&gt;=YEAR(E170)+N170,0,IF((YEAR(D170)+8)=YEAR(E170),(12-MONTH(E170)+1)/12,1))))))))*TaxRate,0))-IF(8=0,O170,0))</f>
        <v/>
      </c>
      <c r="AB170" s="29">
        <f>IF(A170="","",((K170)*(IF(M170="",L170,IFERROR(IF(INDEX(Variablen!$I:$AT, MATCH(M170, Variablen!$A:$A, 0), MATCH((YEAR(D170)+9), Variablen!$I$3:$AT$3, 0))="",L170,INDEX(Variablen!$I:$AT, MATCH(M170, Variablen!$A:$A, 0), MATCH((YEAR(D170)+9), Variablen!$I$3:$AT$3, 0))),L170)))*(IF((YEAR(D170)+9)&lt;YEAR(E170),0,IF((YEAR(D170)+9)&gt;YEAR(E170),1,(12-MONTH(E170)+1)/12))) + (Q170)*(IF((YEAR(D170)+9)&lt;YEAR(E170),0,IF((YEAR(D170)+9)&gt;YEAR(E170),1,(12-MONTH(E170)+1)/12))))-((P170)*(IF((YEAR(D170)+9)&lt;YEAR(E170),0,IF((YEAR(D170)+9)&gt;YEAR(E170),1,(12-MONTH(E170)+1)/12))) + (R170)*(IF((YEAR(D170)+9)&lt;YEAR(E170),0,IF((YEAR(D170)+9)&gt;YEAR(E170),1,(12-MONTH(E170)+1)/12))))-(IF((((K170)*(IF(M170="",L170,IFERROR(IF(INDEX(Variablen!$I:$AT, MATCH(M170, Variablen!$A:$A, 0), MATCH((YEAR(D170)+9), Variablen!$I$3:$AT$3, 0))="",L170,INDEX(Variablen!$I:$AT, MATCH(M170, Variablen!$A:$A, 0), MATCH((YEAR(D170)+9), Variablen!$I$3:$AT$3, 0))),L170)))*(IF((YEAR(D170)+9)&lt;YEAR(E170),0,IF((YEAR(D170)+9)&gt;YEAR(E170),1,(12-MONTH(E170)+1)/12))) + (Q170)*(IF((YEAR(D170)+9)&lt;YEAR(E170),0,IF((YEAR(D170)+9)&gt;YEAR(E170),1,(12-MONTH(E170)+1)/12))))-((P170)*(IF((YEAR(D170)+9)&lt;YEAR(E170),0,IF((YEAR(D170)+9)&gt;YEAR(E170),1,(12-MONTH(E170)+1)/12))) + (R170)*(IF((YEAR(D170)+9)&lt;YEAR(E170),0,IF((YEAR(D170)+9)&gt;YEAR(E170),1,(12-MONTH(E170)+1)/12))))-(IF(OR(N170="",N170&lt;=0),0,(O170/N170)*(IF(OR(N170="",N170&lt;=0),0,IF((YEAR(D170)+9)&lt;YEAR(E170),0,IF((YEAR(D170)+9)&gt;=YEAR(E170)+N170,0,IF((YEAR(D170)+9)=YEAR(E170),(12-MONTH(E170)+1)/12,1))))))))&gt;0,(((K170)*(IF(M170="",L170,IFERROR(IF(INDEX(Variablen!$I:$AT, MATCH(M170, Variablen!$A:$A, 0), MATCH((YEAR(D170)+9), Variablen!$I$3:$AT$3, 0))="",L170,INDEX(Variablen!$I:$AT, MATCH(M170, Variablen!$A:$A, 0), MATCH((YEAR(D170)+9), Variablen!$I$3:$AT$3, 0))),L170)))*(IF((YEAR(D170)+9)&lt;YEAR(E170),0,IF((YEAR(D170)+9)&gt;YEAR(E170),1,(12-MONTH(E170)+1)/12))) + (Q170)*(IF((YEAR(D170)+9)&lt;YEAR(E170),0,IF((YEAR(D170)+9)&gt;YEAR(E170),1,(12-MONTH(E170)+1)/12))))-((P170)*(IF((YEAR(D170)+9)&lt;YEAR(E170),0,IF((YEAR(D170)+9)&gt;YEAR(E170),1,(12-MONTH(E170)+1)/12))) + (R170)*(IF((YEAR(D170)+9)&lt;YEAR(E170),0,IF((YEAR(D170)+9)&gt;YEAR(E170),1,(12-MONTH(E170)+1)/12))))-(IF(OR(N170="",N170&lt;=0),0,(O170/N170)*(IF(OR(N170="",N170&lt;=0),0,IF((YEAR(D170)+9)&lt;YEAR(E170),0,IF((YEAR(D170)+9)&gt;=YEAR(E170)+N170,0,IF((YEAR(D170)+9)=YEAR(E170),(12-MONTH(E170)+1)/12,1))))))))*TaxRate,0))-IF(9=0,O170,0))</f>
        <v/>
      </c>
      <c r="AC170" s="29">
        <f>IF(A170="","",((K170)*(IF(M170="",L170,IFERROR(IF(INDEX(Variablen!$I:$AT, MATCH(M170, Variablen!$A:$A, 0), MATCH((YEAR(D170)+10), Variablen!$I$3:$AT$3, 0))="",L170,INDEX(Variablen!$I:$AT, MATCH(M170, Variablen!$A:$A, 0), MATCH((YEAR(D170)+10), Variablen!$I$3:$AT$3, 0))),L170)))*(IF((YEAR(D170)+10)&lt;YEAR(E170),0,IF((YEAR(D170)+10)&gt;YEAR(E170),1,(12-MONTH(E170)+1)/12))) + (Q170)*(IF((YEAR(D170)+10)&lt;YEAR(E170),0,IF((YEAR(D170)+10)&gt;YEAR(E170),1,(12-MONTH(E170)+1)/12))))-((P170)*(IF((YEAR(D170)+10)&lt;YEAR(E170),0,IF((YEAR(D170)+10)&gt;YEAR(E170),1,(12-MONTH(E170)+1)/12))) + (R170)*(IF((YEAR(D170)+10)&lt;YEAR(E170),0,IF((YEAR(D170)+10)&gt;YEAR(E170),1,(12-MONTH(E170)+1)/12))))-(IF((((K170)*(IF(M170="",L170,IFERROR(IF(INDEX(Variablen!$I:$AT, MATCH(M170, Variablen!$A:$A, 0), MATCH((YEAR(D170)+10), Variablen!$I$3:$AT$3, 0))="",L170,INDEX(Variablen!$I:$AT, MATCH(M170, Variablen!$A:$A, 0), MATCH((YEAR(D170)+10), Variablen!$I$3:$AT$3, 0))),L170)))*(IF((YEAR(D170)+10)&lt;YEAR(E170),0,IF((YEAR(D170)+10)&gt;YEAR(E170),1,(12-MONTH(E170)+1)/12))) + (Q170)*(IF((YEAR(D170)+10)&lt;YEAR(E170),0,IF((YEAR(D170)+10)&gt;YEAR(E170),1,(12-MONTH(E170)+1)/12))))-((P170)*(IF((YEAR(D170)+10)&lt;YEAR(E170),0,IF((YEAR(D170)+10)&gt;YEAR(E170),1,(12-MONTH(E170)+1)/12))) + (R170)*(IF((YEAR(D170)+10)&lt;YEAR(E170),0,IF((YEAR(D170)+10)&gt;YEAR(E170),1,(12-MONTH(E170)+1)/12))))-(IF(OR(N170="",N170&lt;=0),0,(O170/N170)*(IF(OR(N170="",N170&lt;=0),0,IF((YEAR(D170)+10)&lt;YEAR(E170),0,IF((YEAR(D170)+10)&gt;=YEAR(E170)+N170,0,IF((YEAR(D170)+10)=YEAR(E170),(12-MONTH(E170)+1)/12,1))))))))&gt;0,(((K170)*(IF(M170="",L170,IFERROR(IF(INDEX(Variablen!$I:$AT, MATCH(M170, Variablen!$A:$A, 0), MATCH((YEAR(D170)+10), Variablen!$I$3:$AT$3, 0))="",L170,INDEX(Variablen!$I:$AT, MATCH(M170, Variablen!$A:$A, 0), MATCH((YEAR(D170)+10), Variablen!$I$3:$AT$3, 0))),L170)))*(IF((YEAR(D170)+10)&lt;YEAR(E170),0,IF((YEAR(D170)+10)&gt;YEAR(E170),1,(12-MONTH(E170)+1)/12))) + (Q170)*(IF((YEAR(D170)+10)&lt;YEAR(E170),0,IF((YEAR(D170)+10)&gt;YEAR(E170),1,(12-MONTH(E170)+1)/12))))-((P170)*(IF((YEAR(D170)+10)&lt;YEAR(E170),0,IF((YEAR(D170)+10)&gt;YEAR(E170),1,(12-MONTH(E170)+1)/12))) + (R170)*(IF((YEAR(D170)+10)&lt;YEAR(E170),0,IF((YEAR(D170)+10)&gt;YEAR(E170),1,(12-MONTH(E170)+1)/12))))-(IF(OR(N170="",N170&lt;=0),0,(O170/N170)*(IF(OR(N170="",N170&lt;=0),0,IF((YEAR(D170)+10)&lt;YEAR(E170),0,IF((YEAR(D170)+10)&gt;=YEAR(E170)+N170,0,IF((YEAR(D170)+10)=YEAR(E170),(12-MONTH(E170)+1)/12,1))))))))*TaxRate,0))-IF(10=0,O170,0))</f>
        <v/>
      </c>
      <c r="AD170" s="29">
        <f>IF(A170="","",((K170)*(IF(M170="",L170,IFERROR(IF(INDEX(Variablen!$I:$AT, MATCH(M170, Variablen!$A:$A, 0), MATCH((YEAR(D170)+11), Variablen!$I$3:$AT$3, 0))="",L170,INDEX(Variablen!$I:$AT, MATCH(M170, Variablen!$A:$A, 0), MATCH((YEAR(D170)+11), Variablen!$I$3:$AT$3, 0))),L170)))*(IF((YEAR(D170)+11)&lt;YEAR(E170),0,IF((YEAR(D170)+11)&gt;YEAR(E170),1,(12-MONTH(E170)+1)/12))) + (Q170)*(IF((YEAR(D170)+11)&lt;YEAR(E170),0,IF((YEAR(D170)+11)&gt;YEAR(E170),1,(12-MONTH(E170)+1)/12))))-((P170)*(IF((YEAR(D170)+11)&lt;YEAR(E170),0,IF((YEAR(D170)+11)&gt;YEAR(E170),1,(12-MONTH(E170)+1)/12))) + (R170)*(IF((YEAR(D170)+11)&lt;YEAR(E170),0,IF((YEAR(D170)+11)&gt;YEAR(E170),1,(12-MONTH(E170)+1)/12))))-(IF((((K170)*(IF(M170="",L170,IFERROR(IF(INDEX(Variablen!$I:$AT, MATCH(M170, Variablen!$A:$A, 0), MATCH((YEAR(D170)+11), Variablen!$I$3:$AT$3, 0))="",L170,INDEX(Variablen!$I:$AT, MATCH(M170, Variablen!$A:$A, 0), MATCH((YEAR(D170)+11), Variablen!$I$3:$AT$3, 0))),L170)))*(IF((YEAR(D170)+11)&lt;YEAR(E170),0,IF((YEAR(D170)+11)&gt;YEAR(E170),1,(12-MONTH(E170)+1)/12))) + (Q170)*(IF((YEAR(D170)+11)&lt;YEAR(E170),0,IF((YEAR(D170)+11)&gt;YEAR(E170),1,(12-MONTH(E170)+1)/12))))-((P170)*(IF((YEAR(D170)+11)&lt;YEAR(E170),0,IF((YEAR(D170)+11)&gt;YEAR(E170),1,(12-MONTH(E170)+1)/12))) + (R170)*(IF((YEAR(D170)+11)&lt;YEAR(E170),0,IF((YEAR(D170)+11)&gt;YEAR(E170),1,(12-MONTH(E170)+1)/12))))-(IF(OR(N170="",N170&lt;=0),0,(O170/N170)*(IF(OR(N170="",N170&lt;=0),0,IF((YEAR(D170)+11)&lt;YEAR(E170),0,IF((YEAR(D170)+11)&gt;=YEAR(E170)+N170,0,IF((YEAR(D170)+11)=YEAR(E170),(12-MONTH(E170)+1)/12,1))))))))&gt;0,(((K170)*(IF(M170="",L170,IFERROR(IF(INDEX(Variablen!$I:$AT, MATCH(M170, Variablen!$A:$A, 0), MATCH((YEAR(D170)+11), Variablen!$I$3:$AT$3, 0))="",L170,INDEX(Variablen!$I:$AT, MATCH(M170, Variablen!$A:$A, 0), MATCH((YEAR(D170)+11), Variablen!$I$3:$AT$3, 0))),L170)))*(IF((YEAR(D170)+11)&lt;YEAR(E170),0,IF((YEAR(D170)+11)&gt;YEAR(E170),1,(12-MONTH(E170)+1)/12))) + (Q170)*(IF((YEAR(D170)+11)&lt;YEAR(E170),0,IF((YEAR(D170)+11)&gt;YEAR(E170),1,(12-MONTH(E170)+1)/12))))-((P170)*(IF((YEAR(D170)+11)&lt;YEAR(E170),0,IF((YEAR(D170)+11)&gt;YEAR(E170),1,(12-MONTH(E170)+1)/12))) + (R170)*(IF((YEAR(D170)+11)&lt;YEAR(E170),0,IF((YEAR(D170)+11)&gt;YEAR(E170),1,(12-MONTH(E170)+1)/12))))-(IF(OR(N170="",N170&lt;=0),0,(O170/N170)*(IF(OR(N170="",N170&lt;=0),0,IF((YEAR(D170)+11)&lt;YEAR(E170),0,IF((YEAR(D170)+11)&gt;=YEAR(E170)+N170,0,IF((YEAR(D170)+11)=YEAR(E170),(12-MONTH(E170)+1)/12,1))))))))*TaxRate,0))-IF(11=0,O170,0))</f>
        <v/>
      </c>
      <c r="AE170" s="29">
        <f>IF(A170="","",((K170)*(IF(M170="",L170,IFERROR(IF(INDEX(Variablen!$I:$AT, MATCH(M170, Variablen!$A:$A, 0), MATCH((YEAR(D170)+12), Variablen!$I$3:$AT$3, 0))="",L170,INDEX(Variablen!$I:$AT, MATCH(M170, Variablen!$A:$A, 0), MATCH((YEAR(D170)+12), Variablen!$I$3:$AT$3, 0))),L170)))*(IF((YEAR(D170)+12)&lt;YEAR(E170),0,IF((YEAR(D170)+12)&gt;YEAR(E170),1,(12-MONTH(E170)+1)/12))) + (Q170)*(IF((YEAR(D170)+12)&lt;YEAR(E170),0,IF((YEAR(D170)+12)&gt;YEAR(E170),1,(12-MONTH(E170)+1)/12))))-((P170)*(IF((YEAR(D170)+12)&lt;YEAR(E170),0,IF((YEAR(D170)+12)&gt;YEAR(E170),1,(12-MONTH(E170)+1)/12))) + (R170)*(IF((YEAR(D170)+12)&lt;YEAR(E170),0,IF((YEAR(D170)+12)&gt;YEAR(E170),1,(12-MONTH(E170)+1)/12))))-(IF((((K170)*(IF(M170="",L170,IFERROR(IF(INDEX(Variablen!$I:$AT, MATCH(M170, Variablen!$A:$A, 0), MATCH((YEAR(D170)+12), Variablen!$I$3:$AT$3, 0))="",L170,INDEX(Variablen!$I:$AT, MATCH(M170, Variablen!$A:$A, 0), MATCH((YEAR(D170)+12), Variablen!$I$3:$AT$3, 0))),L170)))*(IF((YEAR(D170)+12)&lt;YEAR(E170),0,IF((YEAR(D170)+12)&gt;YEAR(E170),1,(12-MONTH(E170)+1)/12))) + (Q170)*(IF((YEAR(D170)+12)&lt;YEAR(E170),0,IF((YEAR(D170)+12)&gt;YEAR(E170),1,(12-MONTH(E170)+1)/12))))-((P170)*(IF((YEAR(D170)+12)&lt;YEAR(E170),0,IF((YEAR(D170)+12)&gt;YEAR(E170),1,(12-MONTH(E170)+1)/12))) + (R170)*(IF((YEAR(D170)+12)&lt;YEAR(E170),0,IF((YEAR(D170)+12)&gt;YEAR(E170),1,(12-MONTH(E170)+1)/12))))-(IF(OR(N170="",N170&lt;=0),0,(O170/N170)*(IF(OR(N170="",N170&lt;=0),0,IF((YEAR(D170)+12)&lt;YEAR(E170),0,IF((YEAR(D170)+12)&gt;=YEAR(E170)+N170,0,IF((YEAR(D170)+12)=YEAR(E170),(12-MONTH(E170)+1)/12,1))))))))&gt;0,(((K170)*(IF(M170="",L170,IFERROR(IF(INDEX(Variablen!$I:$AT, MATCH(M170, Variablen!$A:$A, 0), MATCH((YEAR(D170)+12), Variablen!$I$3:$AT$3, 0))="",L170,INDEX(Variablen!$I:$AT, MATCH(M170, Variablen!$A:$A, 0), MATCH((YEAR(D170)+12), Variablen!$I$3:$AT$3, 0))),L170)))*(IF((YEAR(D170)+12)&lt;YEAR(E170),0,IF((YEAR(D170)+12)&gt;YEAR(E170),1,(12-MONTH(E170)+1)/12))) + (Q170)*(IF((YEAR(D170)+12)&lt;YEAR(E170),0,IF((YEAR(D170)+12)&gt;YEAR(E170),1,(12-MONTH(E170)+1)/12))))-((P170)*(IF((YEAR(D170)+12)&lt;YEAR(E170),0,IF((YEAR(D170)+12)&gt;YEAR(E170),1,(12-MONTH(E170)+1)/12))) + (R170)*(IF((YEAR(D170)+12)&lt;YEAR(E170),0,IF((YEAR(D170)+12)&gt;YEAR(E170),1,(12-MONTH(E170)+1)/12))))-(IF(OR(N170="",N170&lt;=0),0,(O170/N170)*(IF(OR(N170="",N170&lt;=0),0,IF((YEAR(D170)+12)&lt;YEAR(E170),0,IF((YEAR(D170)+12)&gt;=YEAR(E170)+N170,0,IF((YEAR(D170)+12)=YEAR(E170),(12-MONTH(E170)+1)/12,1))))))))*TaxRate,0))-IF(12=0,O170,0))</f>
        <v/>
      </c>
      <c r="AF170" s="29">
        <f>IF(A170="","",((K170)*(IF(M170="",L170,IFERROR(IF(INDEX(Variablen!$I:$AT, MATCH(M170, Variablen!$A:$A, 0), MATCH((YEAR(D170)+13), Variablen!$I$3:$AT$3, 0))="",L170,INDEX(Variablen!$I:$AT, MATCH(M170, Variablen!$A:$A, 0), MATCH((YEAR(D170)+13), Variablen!$I$3:$AT$3, 0))),L170)))*(IF((YEAR(D170)+13)&lt;YEAR(E170),0,IF((YEAR(D170)+13)&gt;YEAR(E170),1,(12-MONTH(E170)+1)/12))) + (Q170)*(IF((YEAR(D170)+13)&lt;YEAR(E170),0,IF((YEAR(D170)+13)&gt;YEAR(E170),1,(12-MONTH(E170)+1)/12))))-((P170)*(IF((YEAR(D170)+13)&lt;YEAR(E170),0,IF((YEAR(D170)+13)&gt;YEAR(E170),1,(12-MONTH(E170)+1)/12))) + (R170)*(IF((YEAR(D170)+13)&lt;YEAR(E170),0,IF((YEAR(D170)+13)&gt;YEAR(E170),1,(12-MONTH(E170)+1)/12))))-(IF((((K170)*(IF(M170="",L170,IFERROR(IF(INDEX(Variablen!$I:$AT, MATCH(M170, Variablen!$A:$A, 0), MATCH((YEAR(D170)+13), Variablen!$I$3:$AT$3, 0))="",L170,INDEX(Variablen!$I:$AT, MATCH(M170, Variablen!$A:$A, 0), MATCH((YEAR(D170)+13), Variablen!$I$3:$AT$3, 0))),L170)))*(IF((YEAR(D170)+13)&lt;YEAR(E170),0,IF((YEAR(D170)+13)&gt;YEAR(E170),1,(12-MONTH(E170)+1)/12))) + (Q170)*(IF((YEAR(D170)+13)&lt;YEAR(E170),0,IF((YEAR(D170)+13)&gt;YEAR(E170),1,(12-MONTH(E170)+1)/12))))-((P170)*(IF((YEAR(D170)+13)&lt;YEAR(E170),0,IF((YEAR(D170)+13)&gt;YEAR(E170),1,(12-MONTH(E170)+1)/12))) + (R170)*(IF((YEAR(D170)+13)&lt;YEAR(E170),0,IF((YEAR(D170)+13)&gt;YEAR(E170),1,(12-MONTH(E170)+1)/12))))-(IF(OR(N170="",N170&lt;=0),0,(O170/N170)*(IF(OR(N170="",N170&lt;=0),0,IF((YEAR(D170)+13)&lt;YEAR(E170),0,IF((YEAR(D170)+13)&gt;=YEAR(E170)+N170,0,IF((YEAR(D170)+13)=YEAR(E170),(12-MONTH(E170)+1)/12,1))))))))&gt;0,(((K170)*(IF(M170="",L170,IFERROR(IF(INDEX(Variablen!$I:$AT, MATCH(M170, Variablen!$A:$A, 0), MATCH((YEAR(D170)+13), Variablen!$I$3:$AT$3, 0))="",L170,INDEX(Variablen!$I:$AT, MATCH(M170, Variablen!$A:$A, 0), MATCH((YEAR(D170)+13), Variablen!$I$3:$AT$3, 0))),L170)))*(IF((YEAR(D170)+13)&lt;YEAR(E170),0,IF((YEAR(D170)+13)&gt;YEAR(E170),1,(12-MONTH(E170)+1)/12))) + (Q170)*(IF((YEAR(D170)+13)&lt;YEAR(E170),0,IF((YEAR(D170)+13)&gt;YEAR(E170),1,(12-MONTH(E170)+1)/12))))-((P170)*(IF((YEAR(D170)+13)&lt;YEAR(E170),0,IF((YEAR(D170)+13)&gt;YEAR(E170),1,(12-MONTH(E170)+1)/12))) + (R170)*(IF((YEAR(D170)+13)&lt;YEAR(E170),0,IF((YEAR(D170)+13)&gt;YEAR(E170),1,(12-MONTH(E170)+1)/12))))-(IF(OR(N170="",N170&lt;=0),0,(O170/N170)*(IF(OR(N170="",N170&lt;=0),0,IF((YEAR(D170)+13)&lt;YEAR(E170),0,IF((YEAR(D170)+13)&gt;=YEAR(E170)+N170,0,IF((YEAR(D170)+13)=YEAR(E170),(12-MONTH(E170)+1)/12,1))))))))*TaxRate,0))-IF(13=0,O170,0))</f>
        <v/>
      </c>
      <c r="AG170" s="29">
        <f>IF(A170="","",((K170)*(IF(M170="",L170,IFERROR(IF(INDEX(Variablen!$I:$AT, MATCH(M170, Variablen!$A:$A, 0), MATCH((YEAR(D170)+14), Variablen!$I$3:$AT$3, 0))="",L170,INDEX(Variablen!$I:$AT, MATCH(M170, Variablen!$A:$A, 0), MATCH((YEAR(D170)+14), Variablen!$I$3:$AT$3, 0))),L170)))*(IF((YEAR(D170)+14)&lt;YEAR(E170),0,IF((YEAR(D170)+14)&gt;YEAR(E170),1,(12-MONTH(E170)+1)/12))) + (Q170)*(IF((YEAR(D170)+14)&lt;YEAR(E170),0,IF((YEAR(D170)+14)&gt;YEAR(E170),1,(12-MONTH(E170)+1)/12))))-((P170)*(IF((YEAR(D170)+14)&lt;YEAR(E170),0,IF((YEAR(D170)+14)&gt;YEAR(E170),1,(12-MONTH(E170)+1)/12))) + (R170)*(IF((YEAR(D170)+14)&lt;YEAR(E170),0,IF((YEAR(D170)+14)&gt;YEAR(E170),1,(12-MONTH(E170)+1)/12))))-(IF((((K170)*(IF(M170="",L170,IFERROR(IF(INDEX(Variablen!$I:$AT, MATCH(M170, Variablen!$A:$A, 0), MATCH((YEAR(D170)+14), Variablen!$I$3:$AT$3, 0))="",L170,INDEX(Variablen!$I:$AT, MATCH(M170, Variablen!$A:$A, 0), MATCH((YEAR(D170)+14), Variablen!$I$3:$AT$3, 0))),L170)))*(IF((YEAR(D170)+14)&lt;YEAR(E170),0,IF((YEAR(D170)+14)&gt;YEAR(E170),1,(12-MONTH(E170)+1)/12))) + (Q170)*(IF((YEAR(D170)+14)&lt;YEAR(E170),0,IF((YEAR(D170)+14)&gt;YEAR(E170),1,(12-MONTH(E170)+1)/12))))-((P170)*(IF((YEAR(D170)+14)&lt;YEAR(E170),0,IF((YEAR(D170)+14)&gt;YEAR(E170),1,(12-MONTH(E170)+1)/12))) + (R170)*(IF((YEAR(D170)+14)&lt;YEAR(E170),0,IF((YEAR(D170)+14)&gt;YEAR(E170),1,(12-MONTH(E170)+1)/12))))-(IF(OR(N170="",N170&lt;=0),0,(O170/N170)*(IF(OR(N170="",N170&lt;=0),0,IF((YEAR(D170)+14)&lt;YEAR(E170),0,IF((YEAR(D170)+14)&gt;=YEAR(E170)+N170,0,IF((YEAR(D170)+14)=YEAR(E170),(12-MONTH(E170)+1)/12,1))))))))&gt;0,(((K170)*(IF(M170="",L170,IFERROR(IF(INDEX(Variablen!$I:$AT, MATCH(M170, Variablen!$A:$A, 0), MATCH((YEAR(D170)+14), Variablen!$I$3:$AT$3, 0))="",L170,INDEX(Variablen!$I:$AT, MATCH(M170, Variablen!$A:$A, 0), MATCH((YEAR(D170)+14), Variablen!$I$3:$AT$3, 0))),L170)))*(IF((YEAR(D170)+14)&lt;YEAR(E170),0,IF((YEAR(D170)+14)&gt;YEAR(E170),1,(12-MONTH(E170)+1)/12))) + (Q170)*(IF((YEAR(D170)+14)&lt;YEAR(E170),0,IF((YEAR(D170)+14)&gt;YEAR(E170),1,(12-MONTH(E170)+1)/12))))-((P170)*(IF((YEAR(D170)+14)&lt;YEAR(E170),0,IF((YEAR(D170)+14)&gt;YEAR(E170),1,(12-MONTH(E170)+1)/12))) + (R170)*(IF((YEAR(D170)+14)&lt;YEAR(E170),0,IF((YEAR(D170)+14)&gt;YEAR(E170),1,(12-MONTH(E170)+1)/12))))-(IF(OR(N170="",N170&lt;=0),0,(O170/N170)*(IF(OR(N170="",N170&lt;=0),0,IF((YEAR(D170)+14)&lt;YEAR(E170),0,IF((YEAR(D170)+14)&gt;=YEAR(E170)+N170,0,IF((YEAR(D170)+14)=YEAR(E170),(12-MONTH(E170)+1)/12,1))))))))*TaxRate,0))-IF(14=0,O170,0))</f>
        <v/>
      </c>
      <c r="AH170" s="29">
        <f>IF(A170="","",((K170)*(IF(M170="",L170,IFERROR(IF(INDEX(Variablen!$I:$AT, MATCH(M170, Variablen!$A:$A, 0), MATCH((YEAR(D170)+15), Variablen!$I$3:$AT$3, 0))="",L170,INDEX(Variablen!$I:$AT, MATCH(M170, Variablen!$A:$A, 0), MATCH((YEAR(D170)+15), Variablen!$I$3:$AT$3, 0))),L170)))*(IF((YEAR(D170)+15)&lt;YEAR(E170),0,IF((YEAR(D170)+15)&gt;YEAR(E170),1,(12-MONTH(E170)+1)/12))) + (Q170)*(IF((YEAR(D170)+15)&lt;YEAR(E170),0,IF((YEAR(D170)+15)&gt;YEAR(E170),1,(12-MONTH(E170)+1)/12))))-((P170)*(IF((YEAR(D170)+15)&lt;YEAR(E170),0,IF((YEAR(D170)+15)&gt;YEAR(E170),1,(12-MONTH(E170)+1)/12))) + (R170)*(IF((YEAR(D170)+15)&lt;YEAR(E170),0,IF((YEAR(D170)+15)&gt;YEAR(E170),1,(12-MONTH(E170)+1)/12))))-(IF((((K170)*(IF(M170="",L170,IFERROR(IF(INDEX(Variablen!$I:$AT, MATCH(M170, Variablen!$A:$A, 0), MATCH((YEAR(D170)+15), Variablen!$I$3:$AT$3, 0))="",L170,INDEX(Variablen!$I:$AT, MATCH(M170, Variablen!$A:$A, 0), MATCH((YEAR(D170)+15), Variablen!$I$3:$AT$3, 0))),L170)))*(IF((YEAR(D170)+15)&lt;YEAR(E170),0,IF((YEAR(D170)+15)&gt;YEAR(E170),1,(12-MONTH(E170)+1)/12))) + (Q170)*(IF((YEAR(D170)+15)&lt;YEAR(E170),0,IF((YEAR(D170)+15)&gt;YEAR(E170),1,(12-MONTH(E170)+1)/12))))-((P170)*(IF((YEAR(D170)+15)&lt;YEAR(E170),0,IF((YEAR(D170)+15)&gt;YEAR(E170),1,(12-MONTH(E170)+1)/12))) + (R170)*(IF((YEAR(D170)+15)&lt;YEAR(E170),0,IF((YEAR(D170)+15)&gt;YEAR(E170),1,(12-MONTH(E170)+1)/12))))-(IF(OR(N170="",N170&lt;=0),0,(O170/N170)*(IF(OR(N170="",N170&lt;=0),0,IF((YEAR(D170)+15)&lt;YEAR(E170),0,IF((YEAR(D170)+15)&gt;=YEAR(E170)+N170,0,IF((YEAR(D170)+15)=YEAR(E170),(12-MONTH(E170)+1)/12,1))))))))&gt;0,(((K170)*(IF(M170="",L170,IFERROR(IF(INDEX(Variablen!$I:$AT, MATCH(M170, Variablen!$A:$A, 0), MATCH((YEAR(D170)+15), Variablen!$I$3:$AT$3, 0))="",L170,INDEX(Variablen!$I:$AT, MATCH(M170, Variablen!$A:$A, 0), MATCH((YEAR(D170)+15), Variablen!$I$3:$AT$3, 0))),L170)))*(IF((YEAR(D170)+15)&lt;YEAR(E170),0,IF((YEAR(D170)+15)&gt;YEAR(E170),1,(12-MONTH(E170)+1)/12))) + (Q170)*(IF((YEAR(D170)+15)&lt;YEAR(E170),0,IF((YEAR(D170)+15)&gt;YEAR(E170),1,(12-MONTH(E170)+1)/12))))-((P170)*(IF((YEAR(D170)+15)&lt;YEAR(E170),0,IF((YEAR(D170)+15)&gt;YEAR(E170),1,(12-MONTH(E170)+1)/12))) + (R170)*(IF((YEAR(D170)+15)&lt;YEAR(E170),0,IF((YEAR(D170)+15)&gt;YEAR(E170),1,(12-MONTH(E170)+1)/12))))-(IF(OR(N170="",N170&lt;=0),0,(O170/N170)*(IF(OR(N170="",N170&lt;=0),0,IF((YEAR(D170)+15)&lt;YEAR(E170),0,IF((YEAR(D170)+15)&gt;=YEAR(E170)+N170,0,IF((YEAR(D170)+15)=YEAR(E170),(12-MONTH(E170)+1)/12,1))))))))*TaxRate,0))-IF(15=0,O170,0))</f>
        <v/>
      </c>
      <c r="AI170" s="29">
        <f>IF(A170="","",((K170)*(IF(M170="",L170,IFERROR(IF(INDEX(Variablen!$I:$AT, MATCH(M170, Variablen!$A:$A, 0), MATCH((YEAR(D170)+16), Variablen!$I$3:$AT$3, 0))="",L170,INDEX(Variablen!$I:$AT, MATCH(M170, Variablen!$A:$A, 0), MATCH((YEAR(D170)+16), Variablen!$I$3:$AT$3, 0))),L170)))*(IF((YEAR(D170)+16)&lt;YEAR(E170),0,IF((YEAR(D170)+16)&gt;YEAR(E170),1,(12-MONTH(E170)+1)/12))) + (Q170)*(IF((YEAR(D170)+16)&lt;YEAR(E170),0,IF((YEAR(D170)+16)&gt;YEAR(E170),1,(12-MONTH(E170)+1)/12))))-((P170)*(IF((YEAR(D170)+16)&lt;YEAR(E170),0,IF((YEAR(D170)+16)&gt;YEAR(E170),1,(12-MONTH(E170)+1)/12))) + (R170)*(IF((YEAR(D170)+16)&lt;YEAR(E170),0,IF((YEAR(D170)+16)&gt;YEAR(E170),1,(12-MONTH(E170)+1)/12))))-(IF((((K170)*(IF(M170="",L170,IFERROR(IF(INDEX(Variablen!$I:$AT, MATCH(M170, Variablen!$A:$A, 0), MATCH((YEAR(D170)+16), Variablen!$I$3:$AT$3, 0))="",L170,INDEX(Variablen!$I:$AT, MATCH(M170, Variablen!$A:$A, 0), MATCH((YEAR(D170)+16), Variablen!$I$3:$AT$3, 0))),L170)))*(IF((YEAR(D170)+16)&lt;YEAR(E170),0,IF((YEAR(D170)+16)&gt;YEAR(E170),1,(12-MONTH(E170)+1)/12))) + (Q170)*(IF((YEAR(D170)+16)&lt;YEAR(E170),0,IF((YEAR(D170)+16)&gt;YEAR(E170),1,(12-MONTH(E170)+1)/12))))-((P170)*(IF((YEAR(D170)+16)&lt;YEAR(E170),0,IF((YEAR(D170)+16)&gt;YEAR(E170),1,(12-MONTH(E170)+1)/12))) + (R170)*(IF((YEAR(D170)+16)&lt;YEAR(E170),0,IF((YEAR(D170)+16)&gt;YEAR(E170),1,(12-MONTH(E170)+1)/12))))-(IF(OR(N170="",N170&lt;=0),0,(O170/N170)*(IF(OR(N170="",N170&lt;=0),0,IF((YEAR(D170)+16)&lt;YEAR(E170),0,IF((YEAR(D170)+16)&gt;=YEAR(E170)+N170,0,IF((YEAR(D170)+16)=YEAR(E170),(12-MONTH(E170)+1)/12,1))))))))&gt;0,(((K170)*(IF(M170="",L170,IFERROR(IF(INDEX(Variablen!$I:$AT, MATCH(M170, Variablen!$A:$A, 0), MATCH((YEAR(D170)+16), Variablen!$I$3:$AT$3, 0))="",L170,INDEX(Variablen!$I:$AT, MATCH(M170, Variablen!$A:$A, 0), MATCH((YEAR(D170)+16), Variablen!$I$3:$AT$3, 0))),L170)))*(IF((YEAR(D170)+16)&lt;YEAR(E170),0,IF((YEAR(D170)+16)&gt;YEAR(E170),1,(12-MONTH(E170)+1)/12))) + (Q170)*(IF((YEAR(D170)+16)&lt;YEAR(E170),0,IF((YEAR(D170)+16)&gt;YEAR(E170),1,(12-MONTH(E170)+1)/12))))-((P170)*(IF((YEAR(D170)+16)&lt;YEAR(E170),0,IF((YEAR(D170)+16)&gt;YEAR(E170),1,(12-MONTH(E170)+1)/12))) + (R170)*(IF((YEAR(D170)+16)&lt;YEAR(E170),0,IF((YEAR(D170)+16)&gt;YEAR(E170),1,(12-MONTH(E170)+1)/12))))-(IF(OR(N170="",N170&lt;=0),0,(O170/N170)*(IF(OR(N170="",N170&lt;=0),0,IF((YEAR(D170)+16)&lt;YEAR(E170),0,IF((YEAR(D170)+16)&gt;=YEAR(E170)+N170,0,IF((YEAR(D170)+16)=YEAR(E170),(12-MONTH(E170)+1)/12,1))))))))*TaxRate,0))-IF(16=0,O170,0))</f>
        <v/>
      </c>
      <c r="AJ170" s="29">
        <f>IF(A170="","",((K170)*(IF(M170="",L170,IFERROR(IF(INDEX(Variablen!$I:$AT, MATCH(M170, Variablen!$A:$A, 0), MATCH((YEAR(D170)+17), Variablen!$I$3:$AT$3, 0))="",L170,INDEX(Variablen!$I:$AT, MATCH(M170, Variablen!$A:$A, 0), MATCH((YEAR(D170)+17), Variablen!$I$3:$AT$3, 0))),L170)))*(IF((YEAR(D170)+17)&lt;YEAR(E170),0,IF((YEAR(D170)+17)&gt;YEAR(E170),1,(12-MONTH(E170)+1)/12))) + (Q170)*(IF((YEAR(D170)+17)&lt;YEAR(E170),0,IF((YEAR(D170)+17)&gt;YEAR(E170),1,(12-MONTH(E170)+1)/12))))-((P170)*(IF((YEAR(D170)+17)&lt;YEAR(E170),0,IF((YEAR(D170)+17)&gt;YEAR(E170),1,(12-MONTH(E170)+1)/12))) + (R170)*(IF((YEAR(D170)+17)&lt;YEAR(E170),0,IF((YEAR(D170)+17)&gt;YEAR(E170),1,(12-MONTH(E170)+1)/12))))-(IF((((K170)*(IF(M170="",L170,IFERROR(IF(INDEX(Variablen!$I:$AT, MATCH(M170, Variablen!$A:$A, 0), MATCH((YEAR(D170)+17), Variablen!$I$3:$AT$3, 0))="",L170,INDEX(Variablen!$I:$AT, MATCH(M170, Variablen!$A:$A, 0), MATCH((YEAR(D170)+17), Variablen!$I$3:$AT$3, 0))),L170)))*(IF((YEAR(D170)+17)&lt;YEAR(E170),0,IF((YEAR(D170)+17)&gt;YEAR(E170),1,(12-MONTH(E170)+1)/12))) + (Q170)*(IF((YEAR(D170)+17)&lt;YEAR(E170),0,IF((YEAR(D170)+17)&gt;YEAR(E170),1,(12-MONTH(E170)+1)/12))))-((P170)*(IF((YEAR(D170)+17)&lt;YEAR(E170),0,IF((YEAR(D170)+17)&gt;YEAR(E170),1,(12-MONTH(E170)+1)/12))) + (R170)*(IF((YEAR(D170)+17)&lt;YEAR(E170),0,IF((YEAR(D170)+17)&gt;YEAR(E170),1,(12-MONTH(E170)+1)/12))))-(IF(OR(N170="",N170&lt;=0),0,(O170/N170)*(IF(OR(N170="",N170&lt;=0),0,IF((YEAR(D170)+17)&lt;YEAR(E170),0,IF((YEAR(D170)+17)&gt;=YEAR(E170)+N170,0,IF((YEAR(D170)+17)=YEAR(E170),(12-MONTH(E170)+1)/12,1))))))))&gt;0,(((K170)*(IF(M170="",L170,IFERROR(IF(INDEX(Variablen!$I:$AT, MATCH(M170, Variablen!$A:$A, 0), MATCH((YEAR(D170)+17), Variablen!$I$3:$AT$3, 0))="",L170,INDEX(Variablen!$I:$AT, MATCH(M170, Variablen!$A:$A, 0), MATCH((YEAR(D170)+17), Variablen!$I$3:$AT$3, 0))),L170)))*(IF((YEAR(D170)+17)&lt;YEAR(E170),0,IF((YEAR(D170)+17)&gt;YEAR(E170),1,(12-MONTH(E170)+1)/12))) + (Q170)*(IF((YEAR(D170)+17)&lt;YEAR(E170),0,IF((YEAR(D170)+17)&gt;YEAR(E170),1,(12-MONTH(E170)+1)/12))))-((P170)*(IF((YEAR(D170)+17)&lt;YEAR(E170),0,IF((YEAR(D170)+17)&gt;YEAR(E170),1,(12-MONTH(E170)+1)/12))) + (R170)*(IF((YEAR(D170)+17)&lt;YEAR(E170),0,IF((YEAR(D170)+17)&gt;YEAR(E170),1,(12-MONTH(E170)+1)/12))))-(IF(OR(N170="",N170&lt;=0),0,(O170/N170)*(IF(OR(N170="",N170&lt;=0),0,IF((YEAR(D170)+17)&lt;YEAR(E170),0,IF((YEAR(D170)+17)&gt;=YEAR(E170)+N170,0,IF((YEAR(D170)+17)=YEAR(E170),(12-MONTH(E170)+1)/12,1))))))))*TaxRate,0))-IF(17=0,O170,0))</f>
        <v/>
      </c>
      <c r="AK170" s="29">
        <f>IF(A170="","",((K170)*(IF(M170="",L170,IFERROR(IF(INDEX(Variablen!$I:$AT, MATCH(M170, Variablen!$A:$A, 0), MATCH((YEAR(D170)+18), Variablen!$I$3:$AT$3, 0))="",L170,INDEX(Variablen!$I:$AT, MATCH(M170, Variablen!$A:$A, 0), MATCH((YEAR(D170)+18), Variablen!$I$3:$AT$3, 0))),L170)))*(IF((YEAR(D170)+18)&lt;YEAR(E170),0,IF((YEAR(D170)+18)&gt;YEAR(E170),1,(12-MONTH(E170)+1)/12))) + (Q170)*(IF((YEAR(D170)+18)&lt;YEAR(E170),0,IF((YEAR(D170)+18)&gt;YEAR(E170),1,(12-MONTH(E170)+1)/12))))-((P170)*(IF((YEAR(D170)+18)&lt;YEAR(E170),0,IF((YEAR(D170)+18)&gt;YEAR(E170),1,(12-MONTH(E170)+1)/12))) + (R170)*(IF((YEAR(D170)+18)&lt;YEAR(E170),0,IF((YEAR(D170)+18)&gt;YEAR(E170),1,(12-MONTH(E170)+1)/12))))-(IF((((K170)*(IF(M170="",L170,IFERROR(IF(INDEX(Variablen!$I:$AT, MATCH(M170, Variablen!$A:$A, 0), MATCH((YEAR(D170)+18), Variablen!$I$3:$AT$3, 0))="",L170,INDEX(Variablen!$I:$AT, MATCH(M170, Variablen!$A:$A, 0), MATCH((YEAR(D170)+18), Variablen!$I$3:$AT$3, 0))),L170)))*(IF((YEAR(D170)+18)&lt;YEAR(E170),0,IF((YEAR(D170)+18)&gt;YEAR(E170),1,(12-MONTH(E170)+1)/12))) + (Q170)*(IF((YEAR(D170)+18)&lt;YEAR(E170),0,IF((YEAR(D170)+18)&gt;YEAR(E170),1,(12-MONTH(E170)+1)/12))))-((P170)*(IF((YEAR(D170)+18)&lt;YEAR(E170),0,IF((YEAR(D170)+18)&gt;YEAR(E170),1,(12-MONTH(E170)+1)/12))) + (R170)*(IF((YEAR(D170)+18)&lt;YEAR(E170),0,IF((YEAR(D170)+18)&gt;YEAR(E170),1,(12-MONTH(E170)+1)/12))))-(IF(OR(N170="",N170&lt;=0),0,(O170/N170)*(IF(OR(N170="",N170&lt;=0),0,IF((YEAR(D170)+18)&lt;YEAR(E170),0,IF((YEAR(D170)+18)&gt;=YEAR(E170)+N170,0,IF((YEAR(D170)+18)=YEAR(E170),(12-MONTH(E170)+1)/12,1))))))))&gt;0,(((K170)*(IF(M170="",L170,IFERROR(IF(INDEX(Variablen!$I:$AT, MATCH(M170, Variablen!$A:$A, 0), MATCH((YEAR(D170)+18), Variablen!$I$3:$AT$3, 0))="",L170,INDEX(Variablen!$I:$AT, MATCH(M170, Variablen!$A:$A, 0), MATCH((YEAR(D170)+18), Variablen!$I$3:$AT$3, 0))),L170)))*(IF((YEAR(D170)+18)&lt;YEAR(E170),0,IF((YEAR(D170)+18)&gt;YEAR(E170),1,(12-MONTH(E170)+1)/12))) + (Q170)*(IF((YEAR(D170)+18)&lt;YEAR(E170),0,IF((YEAR(D170)+18)&gt;YEAR(E170),1,(12-MONTH(E170)+1)/12))))-((P170)*(IF((YEAR(D170)+18)&lt;YEAR(E170),0,IF((YEAR(D170)+18)&gt;YEAR(E170),1,(12-MONTH(E170)+1)/12))) + (R170)*(IF((YEAR(D170)+18)&lt;YEAR(E170),0,IF((YEAR(D170)+18)&gt;YEAR(E170),1,(12-MONTH(E170)+1)/12))))-(IF(OR(N170="",N170&lt;=0),0,(O170/N170)*(IF(OR(N170="",N170&lt;=0),0,IF((YEAR(D170)+18)&lt;YEAR(E170),0,IF((YEAR(D170)+18)&gt;=YEAR(E170)+N170,0,IF((YEAR(D170)+18)=YEAR(E170),(12-MONTH(E170)+1)/12,1))))))))*TaxRate,0))-IF(18=0,O170,0))</f>
        <v/>
      </c>
      <c r="AL170" s="29">
        <f>IF(A170="","",((K170)*(IF(M170="",L170,IFERROR(IF(INDEX(Variablen!$I:$AT, MATCH(M170, Variablen!$A:$A, 0), MATCH((YEAR(D170)+19), Variablen!$I$3:$AT$3, 0))="",L170,INDEX(Variablen!$I:$AT, MATCH(M170, Variablen!$A:$A, 0), MATCH((YEAR(D170)+19), Variablen!$I$3:$AT$3, 0))),L170)))*(IF((YEAR(D170)+19)&lt;YEAR(E170),0,IF((YEAR(D170)+19)&gt;YEAR(E170),1,(12-MONTH(E170)+1)/12))) + (Q170)*(IF((YEAR(D170)+19)&lt;YEAR(E170),0,IF((YEAR(D170)+19)&gt;YEAR(E170),1,(12-MONTH(E170)+1)/12))))-((P170)*(IF((YEAR(D170)+19)&lt;YEAR(E170),0,IF((YEAR(D170)+19)&gt;YEAR(E170),1,(12-MONTH(E170)+1)/12))) + (R170)*(IF((YEAR(D170)+19)&lt;YEAR(E170),0,IF((YEAR(D170)+19)&gt;YEAR(E170),1,(12-MONTH(E170)+1)/12))))-(IF((((K170)*(IF(M170="",L170,IFERROR(IF(INDEX(Variablen!$I:$AT, MATCH(M170, Variablen!$A:$A, 0), MATCH((YEAR(D170)+19), Variablen!$I$3:$AT$3, 0))="",L170,INDEX(Variablen!$I:$AT, MATCH(M170, Variablen!$A:$A, 0), MATCH((YEAR(D170)+19), Variablen!$I$3:$AT$3, 0))),L170)))*(IF((YEAR(D170)+19)&lt;YEAR(E170),0,IF((YEAR(D170)+19)&gt;YEAR(E170),1,(12-MONTH(E170)+1)/12))) + (Q170)*(IF((YEAR(D170)+19)&lt;YEAR(E170),0,IF((YEAR(D170)+19)&gt;YEAR(E170),1,(12-MONTH(E170)+1)/12))))-((P170)*(IF((YEAR(D170)+19)&lt;YEAR(E170),0,IF((YEAR(D170)+19)&gt;YEAR(E170),1,(12-MONTH(E170)+1)/12))) + (R170)*(IF((YEAR(D170)+19)&lt;YEAR(E170),0,IF((YEAR(D170)+19)&gt;YEAR(E170),1,(12-MONTH(E170)+1)/12))))-(IF(OR(N170="",N170&lt;=0),0,(O170/N170)*(IF(OR(N170="",N170&lt;=0),0,IF((YEAR(D170)+19)&lt;YEAR(E170),0,IF((YEAR(D170)+19)&gt;=YEAR(E170)+N170,0,IF((YEAR(D170)+19)=YEAR(E170),(12-MONTH(E170)+1)/12,1))))))))&gt;0,(((K170)*(IF(M170="",L170,IFERROR(IF(INDEX(Variablen!$I:$AT, MATCH(M170, Variablen!$A:$A, 0), MATCH((YEAR(D170)+19), Variablen!$I$3:$AT$3, 0))="",L170,INDEX(Variablen!$I:$AT, MATCH(M170, Variablen!$A:$A, 0), MATCH((YEAR(D170)+19), Variablen!$I$3:$AT$3, 0))),L170)))*(IF((YEAR(D170)+19)&lt;YEAR(E170),0,IF((YEAR(D170)+19)&gt;YEAR(E170),1,(12-MONTH(E170)+1)/12))) + (Q170)*(IF((YEAR(D170)+19)&lt;YEAR(E170),0,IF((YEAR(D170)+19)&gt;YEAR(E170),1,(12-MONTH(E170)+1)/12))))-((P170)*(IF((YEAR(D170)+19)&lt;YEAR(E170),0,IF((YEAR(D170)+19)&gt;YEAR(E170),1,(12-MONTH(E170)+1)/12))) + (R170)*(IF((YEAR(D170)+19)&lt;YEAR(E170),0,IF((YEAR(D170)+19)&gt;YEAR(E170),1,(12-MONTH(E170)+1)/12))))-(IF(OR(N170="",N170&lt;=0),0,(O170/N170)*(IF(OR(N170="",N170&lt;=0),0,IF((YEAR(D170)+19)&lt;YEAR(E170),0,IF((YEAR(D170)+19)&gt;=YEAR(E170)+N170,0,IF((YEAR(D170)+19)=YEAR(E170),(12-MONTH(E170)+1)/12,1))))))))*TaxRate,0))-IF(19=0,O170,0))</f>
        <v/>
      </c>
      <c r="AM170" s="29">
        <f>IF(A170="","",((K170)*(IF(M170="",L170,IFERROR(IF(INDEX(Variablen!$I:$AT, MATCH(M170, Variablen!$A:$A, 0), MATCH((YEAR(D170)+20), Variablen!$I$3:$AT$3, 0))="",L170,INDEX(Variablen!$I:$AT, MATCH(M170, Variablen!$A:$A, 0), MATCH((YEAR(D170)+20), Variablen!$I$3:$AT$3, 0))),L170)))*(IF((YEAR(D170)+20)&lt;YEAR(E170),0,IF((YEAR(D170)+20)&gt;YEAR(E170),1,(12-MONTH(E170)+1)/12))) + (Q170)*(IF((YEAR(D170)+20)&lt;YEAR(E170),0,IF((YEAR(D170)+20)&gt;YEAR(E170),1,(12-MONTH(E170)+1)/12))))-((P170)*(IF((YEAR(D170)+20)&lt;YEAR(E170),0,IF((YEAR(D170)+20)&gt;YEAR(E170),1,(12-MONTH(E170)+1)/12))) + (R170)*(IF((YEAR(D170)+20)&lt;YEAR(E170),0,IF((YEAR(D170)+20)&gt;YEAR(E170),1,(12-MONTH(E170)+1)/12))))-(IF((((K170)*(IF(M170="",L170,IFERROR(IF(INDEX(Variablen!$I:$AT, MATCH(M170, Variablen!$A:$A, 0), MATCH((YEAR(D170)+20), Variablen!$I$3:$AT$3, 0))="",L170,INDEX(Variablen!$I:$AT, MATCH(M170, Variablen!$A:$A, 0), MATCH((YEAR(D170)+20), Variablen!$I$3:$AT$3, 0))),L170)))*(IF((YEAR(D170)+20)&lt;YEAR(E170),0,IF((YEAR(D170)+20)&gt;YEAR(E170),1,(12-MONTH(E170)+1)/12))) + (Q170)*(IF((YEAR(D170)+20)&lt;YEAR(E170),0,IF((YEAR(D170)+20)&gt;YEAR(E170),1,(12-MONTH(E170)+1)/12))))-((P170)*(IF((YEAR(D170)+20)&lt;YEAR(E170),0,IF((YEAR(D170)+20)&gt;YEAR(E170),1,(12-MONTH(E170)+1)/12))) + (R170)*(IF((YEAR(D170)+20)&lt;YEAR(E170),0,IF((YEAR(D170)+20)&gt;YEAR(E170),1,(12-MONTH(E170)+1)/12))))-(IF(OR(N170="",N170&lt;=0),0,(O170/N170)*(IF(OR(N170="",N170&lt;=0),0,IF((YEAR(D170)+20)&lt;YEAR(E170),0,IF((YEAR(D170)+20)&gt;=YEAR(E170)+N170,0,IF((YEAR(D170)+20)=YEAR(E170),(12-MONTH(E170)+1)/12,1))))))))&gt;0,(((K170)*(IF(M170="",L170,IFERROR(IF(INDEX(Variablen!$I:$AT, MATCH(M170, Variablen!$A:$A, 0), MATCH((YEAR(D170)+20), Variablen!$I$3:$AT$3, 0))="",L170,INDEX(Variablen!$I:$AT, MATCH(M170, Variablen!$A:$A, 0), MATCH((YEAR(D170)+20), Variablen!$I$3:$AT$3, 0))),L170)))*(IF((YEAR(D170)+20)&lt;YEAR(E170),0,IF((YEAR(D170)+20)&gt;YEAR(E170),1,(12-MONTH(E170)+1)/12))) + (Q170)*(IF((YEAR(D170)+20)&lt;YEAR(E170),0,IF((YEAR(D170)+20)&gt;YEAR(E170),1,(12-MONTH(E170)+1)/12))))-((P170)*(IF((YEAR(D170)+20)&lt;YEAR(E170),0,IF((YEAR(D170)+20)&gt;YEAR(E170),1,(12-MONTH(E170)+1)/12))) + (R170)*(IF((YEAR(D170)+20)&lt;YEAR(E170),0,IF((YEAR(D170)+20)&gt;YEAR(E170),1,(12-MONTH(E170)+1)/12))))-(IF(OR(N170="",N170&lt;=0),0,(O170/N170)*(IF(OR(N170="",N170&lt;=0),0,IF((YEAR(D170)+20)&lt;YEAR(E170),0,IF((YEAR(D170)+20)&gt;=YEAR(E170)+N170,0,IF((YEAR(D170)+20)=YEAR(E170),(12-MONTH(E170)+1)/12,1))))))))*TaxRate,0))-IF(20=0,O170,0))</f>
        <v/>
      </c>
      <c r="AN170" s="29">
        <f>IF(A170="","",S170)</f>
        <v/>
      </c>
      <c r="AO170" s="29">
        <f>IF(A170="","",AN170+T170)</f>
        <v/>
      </c>
      <c r="AP170" s="29">
        <f>IF(A170="","",AO170+U170)</f>
        <v/>
      </c>
      <c r="AQ170" s="29">
        <f>IF(A170="","",AP170+V170)</f>
        <v/>
      </c>
      <c r="AR170" s="29">
        <f>IF(A170="","",AQ170+W170)</f>
        <v/>
      </c>
      <c r="AS170" s="29">
        <f>IF(A170="","",AR170+X170)</f>
        <v/>
      </c>
      <c r="AT170" s="29">
        <f>IF(A170="","",AS170+Y170)</f>
        <v/>
      </c>
      <c r="AU170" s="29">
        <f>IF(A170="","",AT170+Z170)</f>
        <v/>
      </c>
      <c r="AV170" s="29">
        <f>IF(A170="","",AU170+AA170)</f>
        <v/>
      </c>
      <c r="AW170" s="29">
        <f>IF(A170="","",AV170+AB170)</f>
        <v/>
      </c>
      <c r="AX170" s="29">
        <f>IF(A170="","",AW170+AC170)</f>
        <v/>
      </c>
      <c r="AY170" s="29">
        <f>IF(A170="","",AX170+AD170)</f>
        <v/>
      </c>
      <c r="AZ170" s="29">
        <f>IF(A170="","",AY170+AE170)</f>
        <v/>
      </c>
      <c r="BA170" s="29">
        <f>IF(A170="","",AZ170+AF170)</f>
        <v/>
      </c>
      <c r="BB170" s="29">
        <f>IF(A170="","",BA170+AG170)</f>
        <v/>
      </c>
      <c r="BC170" s="29">
        <f>IF(A170="","",BB170+AH170)</f>
        <v/>
      </c>
      <c r="BD170" s="29">
        <f>IF(A170="","",BC170+AI170)</f>
        <v/>
      </c>
      <c r="BE170" s="29">
        <f>IF(A170="","",BD170+AJ170)</f>
        <v/>
      </c>
      <c r="BF170" s="29">
        <f>IF(A170="","",BE170+AK170)</f>
        <v/>
      </c>
      <c r="BG170" s="29">
        <f>IF(A170="","",BF170+AL170)</f>
        <v/>
      </c>
      <c r="BH170" s="29">
        <f>IF(A170="","",BG170+AM170)</f>
        <v/>
      </c>
      <c r="BI170" s="36">
        <f>IF(A170="","",(K170)*(IF((YEAR(D170)+0)&lt;YEAR(E170),0,IF((YEAR(D170)+0)&gt;YEAR(E170),1,(12-MONTH(E170)+1)/12)))*(1/(1+DiscountRate)^0))</f>
        <v/>
      </c>
      <c r="BJ170" s="36">
        <f>IF(A170="","",(K170)*(IF((YEAR(D170)+1)&lt;YEAR(E170),0,IF((YEAR(D170)+1)&gt;YEAR(E170),1,(12-MONTH(E170)+1)/12)))*(1/(1+DiscountRate)^1))</f>
        <v/>
      </c>
      <c r="BK170" s="36">
        <f>IF(A170="","",(K170)*(IF((YEAR(D170)+2)&lt;YEAR(E170),0,IF((YEAR(D170)+2)&gt;YEAR(E170),1,(12-MONTH(E170)+1)/12)))*(1/(1+DiscountRate)^2))</f>
        <v/>
      </c>
      <c r="BL170" s="36">
        <f>IF(A170="","",(K170)*(IF((YEAR(D170)+3)&lt;YEAR(E170),0,IF((YEAR(D170)+3)&gt;YEAR(E170),1,(12-MONTH(E170)+1)/12)))*(1/(1+DiscountRate)^3))</f>
        <v/>
      </c>
      <c r="BM170" s="36">
        <f>IF(A170="","",(K170)*(IF((YEAR(D170)+4)&lt;YEAR(E170),0,IF((YEAR(D170)+4)&gt;YEAR(E170),1,(12-MONTH(E170)+1)/12)))*(1/(1+DiscountRate)^4))</f>
        <v/>
      </c>
      <c r="BN170" s="36">
        <f>IF(A170="","",(K170)*(IF((YEAR(D170)+5)&lt;YEAR(E170),0,IF((YEAR(D170)+5)&gt;YEAR(E170),1,(12-MONTH(E170)+1)/12)))*(1/(1+DiscountRate)^5))</f>
        <v/>
      </c>
      <c r="BO170" s="36">
        <f>IF(A170="","",(K170)*(IF((YEAR(D170)+6)&lt;YEAR(E170),0,IF((YEAR(D170)+6)&gt;YEAR(E170),1,(12-MONTH(E170)+1)/12)))*(1/(1+DiscountRate)^6))</f>
        <v/>
      </c>
      <c r="BP170" s="36">
        <f>IF(A170="","",(K170)*(IF((YEAR(D170)+7)&lt;YEAR(E170),0,IF((YEAR(D170)+7)&gt;YEAR(E170),1,(12-MONTH(E170)+1)/12)))*(1/(1+DiscountRate)^7))</f>
        <v/>
      </c>
      <c r="BQ170" s="36">
        <f>IF(A170="","",(K170)*(IF((YEAR(D170)+8)&lt;YEAR(E170),0,IF((YEAR(D170)+8)&gt;YEAR(E170),1,(12-MONTH(E170)+1)/12)))*(1/(1+DiscountRate)^8))</f>
        <v/>
      </c>
      <c r="BR170" s="36">
        <f>IF(A170="","",(K170)*(IF((YEAR(D170)+9)&lt;YEAR(E170),0,IF((YEAR(D170)+9)&gt;YEAR(E170),1,(12-MONTH(E170)+1)/12)))*(1/(1+DiscountRate)^9))</f>
        <v/>
      </c>
      <c r="BS170" s="36">
        <f>IF(A170="","",(K170)*(IF((YEAR(D170)+10)&lt;YEAR(E170),0,IF((YEAR(D170)+10)&gt;YEAR(E170),1,(12-MONTH(E170)+1)/12)))*(1/(1+DiscountRate)^10))</f>
        <v/>
      </c>
      <c r="BT170" s="36">
        <f>IF(A170="","",(K170)*(IF((YEAR(D170)+11)&lt;YEAR(E170),0,IF((YEAR(D170)+11)&gt;YEAR(E170),1,(12-MONTH(E170)+1)/12)))*(1/(1+DiscountRate)^11))</f>
        <v/>
      </c>
      <c r="BU170" s="36">
        <f>IF(A170="","",(K170)*(IF((YEAR(D170)+12)&lt;YEAR(E170),0,IF((YEAR(D170)+12)&gt;YEAR(E170),1,(12-MONTH(E170)+1)/12)))*(1/(1+DiscountRate)^12))</f>
        <v/>
      </c>
      <c r="BV170" s="36">
        <f>IF(A170="","",(K170)*(IF((YEAR(D170)+13)&lt;YEAR(E170),0,IF((YEAR(D170)+13)&gt;YEAR(E170),1,(12-MONTH(E170)+1)/12)))*(1/(1+DiscountRate)^13))</f>
        <v/>
      </c>
      <c r="BW170" s="36">
        <f>IF(A170="","",(K170)*(IF((YEAR(D170)+14)&lt;YEAR(E170),0,IF((YEAR(D170)+14)&gt;YEAR(E170),1,(12-MONTH(E170)+1)/12)))*(1/(1+DiscountRate)^14))</f>
        <v/>
      </c>
      <c r="BX170" s="36">
        <f>IF(A170="","",(K170)*(IF((YEAR(D170)+15)&lt;YEAR(E170),0,IF((YEAR(D170)+15)&gt;YEAR(E170),1,(12-MONTH(E170)+1)/12)))*(1/(1+DiscountRate)^15))</f>
        <v/>
      </c>
      <c r="BY170" s="36">
        <f>IF(A170="","",(K170)*(IF((YEAR(D170)+16)&lt;YEAR(E170),0,IF((YEAR(D170)+16)&gt;YEAR(E170),1,(12-MONTH(E170)+1)/12)))*(1/(1+DiscountRate)^16))</f>
        <v/>
      </c>
      <c r="BZ170" s="36">
        <f>IF(A170="","",(K170)*(IF((YEAR(D170)+17)&lt;YEAR(E170),0,IF((YEAR(D170)+17)&gt;YEAR(E170),1,(12-MONTH(E170)+1)/12)))*(1/(1+DiscountRate)^17))</f>
        <v/>
      </c>
      <c r="CA170" s="36">
        <f>IF(A170="","",(K170)*(IF((YEAR(D170)+18)&lt;YEAR(E170),0,IF((YEAR(D170)+18)&gt;YEAR(E170),1,(12-MONTH(E170)+1)/12)))*(1/(1+DiscountRate)^18))</f>
        <v/>
      </c>
      <c r="CB170" s="36">
        <f>IF(A170="","",(K170)*(IF((YEAR(D170)+19)&lt;YEAR(E170),0,IF((YEAR(D170)+19)&gt;YEAR(E170),1,(12-MONTH(E170)+1)/12)))*(1/(1+DiscountRate)^19))</f>
        <v/>
      </c>
      <c r="CC170" s="36">
        <f>IF(A170="","",(K170)*(IF((YEAR(D170)+20)&lt;YEAR(E170),0,IF((YEAR(D170)+20)&gt;YEAR(E170),1,(12-MONTH(E170)+1)/12)))*(1/(1+DiscountRate)^20))</f>
        <v/>
      </c>
      <c r="CD170" s="29">
        <f>IF(A170="","",S170/(1+DiscountRate)^0+T170/(1+DiscountRate)^1+U170/(1+DiscountRate)^2+V170/(1+DiscountRate)^3+W170/(1+DiscountRate)^4+X170/(1+DiscountRate)^5+Y170/(1+DiscountRate)^6+Z170/(1+DiscountRate)^7+AA170/(1+DiscountRate)^8+AB170/(1+DiscountRate)^9+AC170/(1+DiscountRate)^10+AD170/(1+DiscountRate)^11+AE170/(1+DiscountRate)^12+AF170/(1+DiscountRate)^13+AG170/(1+DiscountRate)^14+AH170/(1+DiscountRate)^15+AI170/(1+DiscountRate)^16+AJ170/(1+DiscountRate)^17+AK170/(1+DiscountRate)^18+AL170/(1+DiscountRate)^19+AM170/(1+DiscountRate)^20)</f>
        <v/>
      </c>
      <c r="CE170" s="37">
        <f>IF(A170="","",IFERROR(IRR(OFFSET(S170,0,0,1,MIN(HorizonYears,20)+1)),"n/a"))</f>
        <v/>
      </c>
      <c r="CF170" s="28">
        <f>IF(A170="","",IFERROR(MATCH(TRUE,OFFSET(AN170,0,0,1,MIN(HorizonYears,20)+1)&gt;=0,0)-1,"n/a"))</f>
        <v/>
      </c>
      <c r="CG170" s="36">
        <f>IF(A170="","",SUM(OFFSET(BI170,0,0,1,MIN(HorizonYears,20)+1)))</f>
        <v/>
      </c>
      <c r="CH170" s="36">
        <f>IF(A170="","",IFERROR(-CD170/CG170,"n/a"))</f>
        <v/>
      </c>
    </row>
    <row r="171">
      <c r="A171" s="6">
        <f>Actions!A169</f>
        <v/>
      </c>
      <c r="B171" s="6">
        <f>Actions!B169</f>
        <v/>
      </c>
      <c r="C171" s="6">
        <f>Actions!D169</f>
        <v/>
      </c>
      <c r="D171" s="35">
        <f>Actions!E169</f>
        <v/>
      </c>
      <c r="E171" s="35">
        <f>Actions!F169</f>
        <v/>
      </c>
      <c r="F171" s="6">
        <f>Actions!G169</f>
        <v/>
      </c>
      <c r="G171" s="6">
        <f>Actions!H169</f>
        <v/>
      </c>
      <c r="H171" s="29">
        <f>Actions!I169</f>
        <v/>
      </c>
      <c r="I171" s="6">
        <f>Actions!J169</f>
        <v/>
      </c>
      <c r="J171" s="16">
        <f>Actions!K169</f>
        <v/>
      </c>
      <c r="K171" s="16">
        <f>IF(A171="","",IF(I171="%",H171*J171,J171))</f>
        <v/>
      </c>
      <c r="L171" s="16">
        <f>Actions!L169</f>
        <v/>
      </c>
      <c r="M171" s="6">
        <f>Actions!M169</f>
        <v/>
      </c>
      <c r="N171" s="28">
        <f>Actions!N169</f>
        <v/>
      </c>
      <c r="O171" s="29">
        <f>Actions!T169</f>
        <v/>
      </c>
      <c r="P171" s="29">
        <f>Actions!Y169</f>
        <v/>
      </c>
      <c r="Q171" s="29">
        <f>Actions!Z169</f>
        <v/>
      </c>
      <c r="R171" s="29">
        <f>Actions!AA169</f>
        <v/>
      </c>
      <c r="S171" s="29">
        <f>IF(A171="","",((K171)*(IF(M171="",L171,IFERROR(IF(INDEX(Variablen!$I:$AT, MATCH(M171, Variablen!$A:$A, 0), MATCH((YEAR(D171)+0), Variablen!$I$3:$AT$3, 0))="",L171,INDEX(Variablen!$I:$AT, MATCH(M171, Variablen!$A:$A, 0), MATCH((YEAR(D171)+0), Variablen!$I$3:$AT$3, 0))),L171)))*(IF((YEAR(D171)+0)&lt;YEAR(E171),0,IF((YEAR(D171)+0)&gt;YEAR(E171),1,(12-MONTH(E171)+1)/12))) + (Q171)*(IF((YEAR(D171)+0)&lt;YEAR(E171),0,IF((YEAR(D171)+0)&gt;YEAR(E171),1,(12-MONTH(E171)+1)/12))))-((P171)*(IF((YEAR(D171)+0)&lt;YEAR(E171),0,IF((YEAR(D171)+0)&gt;YEAR(E171),1,(12-MONTH(E171)+1)/12))) + (R171)*(IF((YEAR(D171)+0)&lt;YEAR(E171),0,IF((YEAR(D171)+0)&gt;YEAR(E171),1,(12-MONTH(E171)+1)/12))))-(IF((((K171)*(IF(M171="",L171,IFERROR(IF(INDEX(Variablen!$I:$AT, MATCH(M171, Variablen!$A:$A, 0), MATCH((YEAR(D171)+0), Variablen!$I$3:$AT$3, 0))="",L171,INDEX(Variablen!$I:$AT, MATCH(M171, Variablen!$A:$A, 0), MATCH((YEAR(D171)+0), Variablen!$I$3:$AT$3, 0))),L171)))*(IF((YEAR(D171)+0)&lt;YEAR(E171),0,IF((YEAR(D171)+0)&gt;YEAR(E171),1,(12-MONTH(E171)+1)/12))) + (Q171)*(IF((YEAR(D171)+0)&lt;YEAR(E171),0,IF((YEAR(D171)+0)&gt;YEAR(E171),1,(12-MONTH(E171)+1)/12))))-((P171)*(IF((YEAR(D171)+0)&lt;YEAR(E171),0,IF((YEAR(D171)+0)&gt;YEAR(E171),1,(12-MONTH(E171)+1)/12))) + (R171)*(IF((YEAR(D171)+0)&lt;YEAR(E171),0,IF((YEAR(D171)+0)&gt;YEAR(E171),1,(12-MONTH(E171)+1)/12))))-(IF(OR(N171="",N171&lt;=0),0,(O171/N171)*(IF(OR(N171="",N171&lt;=0),0,IF((YEAR(D171)+0)&lt;YEAR(E171),0,IF((YEAR(D171)+0)&gt;=YEAR(E171)+N171,0,IF((YEAR(D171)+0)=YEAR(E171),(12-MONTH(E171)+1)/12,1))))))))&gt;0,(((K171)*(IF(M171="",L171,IFERROR(IF(INDEX(Variablen!$I:$AT, MATCH(M171, Variablen!$A:$A, 0), MATCH((YEAR(D171)+0), Variablen!$I$3:$AT$3, 0))="",L171,INDEX(Variablen!$I:$AT, MATCH(M171, Variablen!$A:$A, 0), MATCH((YEAR(D171)+0), Variablen!$I$3:$AT$3, 0))),L171)))*(IF((YEAR(D171)+0)&lt;YEAR(E171),0,IF((YEAR(D171)+0)&gt;YEAR(E171),1,(12-MONTH(E171)+1)/12))) + (Q171)*(IF((YEAR(D171)+0)&lt;YEAR(E171),0,IF((YEAR(D171)+0)&gt;YEAR(E171),1,(12-MONTH(E171)+1)/12))))-((P171)*(IF((YEAR(D171)+0)&lt;YEAR(E171),0,IF((YEAR(D171)+0)&gt;YEAR(E171),1,(12-MONTH(E171)+1)/12))) + (R171)*(IF((YEAR(D171)+0)&lt;YEAR(E171),0,IF((YEAR(D171)+0)&gt;YEAR(E171),1,(12-MONTH(E171)+1)/12))))-(IF(OR(N171="",N171&lt;=0),0,(O171/N171)*(IF(OR(N171="",N171&lt;=0),0,IF((YEAR(D171)+0)&lt;YEAR(E171),0,IF((YEAR(D171)+0)&gt;=YEAR(E171)+N171,0,IF((YEAR(D171)+0)=YEAR(E171),(12-MONTH(E171)+1)/12,1))))))))*TaxRate,0))-IF(0=0,O171,0))</f>
        <v/>
      </c>
      <c r="T171" s="29">
        <f>IF(A171="","",((K171)*(IF(M171="",L171,IFERROR(IF(INDEX(Variablen!$I:$AT, MATCH(M171, Variablen!$A:$A, 0), MATCH((YEAR(D171)+1), Variablen!$I$3:$AT$3, 0))="",L171,INDEX(Variablen!$I:$AT, MATCH(M171, Variablen!$A:$A, 0), MATCH((YEAR(D171)+1), Variablen!$I$3:$AT$3, 0))),L171)))*(IF((YEAR(D171)+1)&lt;YEAR(E171),0,IF((YEAR(D171)+1)&gt;YEAR(E171),1,(12-MONTH(E171)+1)/12))) + (Q171)*(IF((YEAR(D171)+1)&lt;YEAR(E171),0,IF((YEAR(D171)+1)&gt;YEAR(E171),1,(12-MONTH(E171)+1)/12))))-((P171)*(IF((YEAR(D171)+1)&lt;YEAR(E171),0,IF((YEAR(D171)+1)&gt;YEAR(E171),1,(12-MONTH(E171)+1)/12))) + (R171)*(IF((YEAR(D171)+1)&lt;YEAR(E171),0,IF((YEAR(D171)+1)&gt;YEAR(E171),1,(12-MONTH(E171)+1)/12))))-(IF((((K171)*(IF(M171="",L171,IFERROR(IF(INDEX(Variablen!$I:$AT, MATCH(M171, Variablen!$A:$A, 0), MATCH((YEAR(D171)+1), Variablen!$I$3:$AT$3, 0))="",L171,INDEX(Variablen!$I:$AT, MATCH(M171, Variablen!$A:$A, 0), MATCH((YEAR(D171)+1), Variablen!$I$3:$AT$3, 0))),L171)))*(IF((YEAR(D171)+1)&lt;YEAR(E171),0,IF((YEAR(D171)+1)&gt;YEAR(E171),1,(12-MONTH(E171)+1)/12))) + (Q171)*(IF((YEAR(D171)+1)&lt;YEAR(E171),0,IF((YEAR(D171)+1)&gt;YEAR(E171),1,(12-MONTH(E171)+1)/12))))-((P171)*(IF((YEAR(D171)+1)&lt;YEAR(E171),0,IF((YEAR(D171)+1)&gt;YEAR(E171),1,(12-MONTH(E171)+1)/12))) + (R171)*(IF((YEAR(D171)+1)&lt;YEAR(E171),0,IF((YEAR(D171)+1)&gt;YEAR(E171),1,(12-MONTH(E171)+1)/12))))-(IF(OR(N171="",N171&lt;=0),0,(O171/N171)*(IF(OR(N171="",N171&lt;=0),0,IF((YEAR(D171)+1)&lt;YEAR(E171),0,IF((YEAR(D171)+1)&gt;=YEAR(E171)+N171,0,IF((YEAR(D171)+1)=YEAR(E171),(12-MONTH(E171)+1)/12,1))))))))&gt;0,(((K171)*(IF(M171="",L171,IFERROR(IF(INDEX(Variablen!$I:$AT, MATCH(M171, Variablen!$A:$A, 0), MATCH((YEAR(D171)+1), Variablen!$I$3:$AT$3, 0))="",L171,INDEX(Variablen!$I:$AT, MATCH(M171, Variablen!$A:$A, 0), MATCH((YEAR(D171)+1), Variablen!$I$3:$AT$3, 0))),L171)))*(IF((YEAR(D171)+1)&lt;YEAR(E171),0,IF((YEAR(D171)+1)&gt;YEAR(E171),1,(12-MONTH(E171)+1)/12))) + (Q171)*(IF((YEAR(D171)+1)&lt;YEAR(E171),0,IF((YEAR(D171)+1)&gt;YEAR(E171),1,(12-MONTH(E171)+1)/12))))-((P171)*(IF((YEAR(D171)+1)&lt;YEAR(E171),0,IF((YEAR(D171)+1)&gt;YEAR(E171),1,(12-MONTH(E171)+1)/12))) + (R171)*(IF((YEAR(D171)+1)&lt;YEAR(E171),0,IF((YEAR(D171)+1)&gt;YEAR(E171),1,(12-MONTH(E171)+1)/12))))-(IF(OR(N171="",N171&lt;=0),0,(O171/N171)*(IF(OR(N171="",N171&lt;=0),0,IF((YEAR(D171)+1)&lt;YEAR(E171),0,IF((YEAR(D171)+1)&gt;=YEAR(E171)+N171,0,IF((YEAR(D171)+1)=YEAR(E171),(12-MONTH(E171)+1)/12,1))))))))*TaxRate,0))-IF(1=0,O171,0))</f>
        <v/>
      </c>
      <c r="U171" s="29">
        <f>IF(A171="","",((K171)*(IF(M171="",L171,IFERROR(IF(INDEX(Variablen!$I:$AT, MATCH(M171, Variablen!$A:$A, 0), MATCH((YEAR(D171)+2), Variablen!$I$3:$AT$3, 0))="",L171,INDEX(Variablen!$I:$AT, MATCH(M171, Variablen!$A:$A, 0), MATCH((YEAR(D171)+2), Variablen!$I$3:$AT$3, 0))),L171)))*(IF((YEAR(D171)+2)&lt;YEAR(E171),0,IF((YEAR(D171)+2)&gt;YEAR(E171),1,(12-MONTH(E171)+1)/12))) + (Q171)*(IF((YEAR(D171)+2)&lt;YEAR(E171),0,IF((YEAR(D171)+2)&gt;YEAR(E171),1,(12-MONTH(E171)+1)/12))))-((P171)*(IF((YEAR(D171)+2)&lt;YEAR(E171),0,IF((YEAR(D171)+2)&gt;YEAR(E171),1,(12-MONTH(E171)+1)/12))) + (R171)*(IF((YEAR(D171)+2)&lt;YEAR(E171),0,IF((YEAR(D171)+2)&gt;YEAR(E171),1,(12-MONTH(E171)+1)/12))))-(IF((((K171)*(IF(M171="",L171,IFERROR(IF(INDEX(Variablen!$I:$AT, MATCH(M171, Variablen!$A:$A, 0), MATCH((YEAR(D171)+2), Variablen!$I$3:$AT$3, 0))="",L171,INDEX(Variablen!$I:$AT, MATCH(M171, Variablen!$A:$A, 0), MATCH((YEAR(D171)+2), Variablen!$I$3:$AT$3, 0))),L171)))*(IF((YEAR(D171)+2)&lt;YEAR(E171),0,IF((YEAR(D171)+2)&gt;YEAR(E171),1,(12-MONTH(E171)+1)/12))) + (Q171)*(IF((YEAR(D171)+2)&lt;YEAR(E171),0,IF((YEAR(D171)+2)&gt;YEAR(E171),1,(12-MONTH(E171)+1)/12))))-((P171)*(IF((YEAR(D171)+2)&lt;YEAR(E171),0,IF((YEAR(D171)+2)&gt;YEAR(E171),1,(12-MONTH(E171)+1)/12))) + (R171)*(IF((YEAR(D171)+2)&lt;YEAR(E171),0,IF((YEAR(D171)+2)&gt;YEAR(E171),1,(12-MONTH(E171)+1)/12))))-(IF(OR(N171="",N171&lt;=0),0,(O171/N171)*(IF(OR(N171="",N171&lt;=0),0,IF((YEAR(D171)+2)&lt;YEAR(E171),0,IF((YEAR(D171)+2)&gt;=YEAR(E171)+N171,0,IF((YEAR(D171)+2)=YEAR(E171),(12-MONTH(E171)+1)/12,1))))))))&gt;0,(((K171)*(IF(M171="",L171,IFERROR(IF(INDEX(Variablen!$I:$AT, MATCH(M171, Variablen!$A:$A, 0), MATCH((YEAR(D171)+2), Variablen!$I$3:$AT$3, 0))="",L171,INDEX(Variablen!$I:$AT, MATCH(M171, Variablen!$A:$A, 0), MATCH((YEAR(D171)+2), Variablen!$I$3:$AT$3, 0))),L171)))*(IF((YEAR(D171)+2)&lt;YEAR(E171),0,IF((YEAR(D171)+2)&gt;YEAR(E171),1,(12-MONTH(E171)+1)/12))) + (Q171)*(IF((YEAR(D171)+2)&lt;YEAR(E171),0,IF((YEAR(D171)+2)&gt;YEAR(E171),1,(12-MONTH(E171)+1)/12))))-((P171)*(IF((YEAR(D171)+2)&lt;YEAR(E171),0,IF((YEAR(D171)+2)&gt;YEAR(E171),1,(12-MONTH(E171)+1)/12))) + (R171)*(IF((YEAR(D171)+2)&lt;YEAR(E171),0,IF((YEAR(D171)+2)&gt;YEAR(E171),1,(12-MONTH(E171)+1)/12))))-(IF(OR(N171="",N171&lt;=0),0,(O171/N171)*(IF(OR(N171="",N171&lt;=0),0,IF((YEAR(D171)+2)&lt;YEAR(E171),0,IF((YEAR(D171)+2)&gt;=YEAR(E171)+N171,0,IF((YEAR(D171)+2)=YEAR(E171),(12-MONTH(E171)+1)/12,1))))))))*TaxRate,0))-IF(2=0,O171,0))</f>
        <v/>
      </c>
      <c r="V171" s="29">
        <f>IF(A171="","",((K171)*(IF(M171="",L171,IFERROR(IF(INDEX(Variablen!$I:$AT, MATCH(M171, Variablen!$A:$A, 0), MATCH((YEAR(D171)+3), Variablen!$I$3:$AT$3, 0))="",L171,INDEX(Variablen!$I:$AT, MATCH(M171, Variablen!$A:$A, 0), MATCH((YEAR(D171)+3), Variablen!$I$3:$AT$3, 0))),L171)))*(IF((YEAR(D171)+3)&lt;YEAR(E171),0,IF((YEAR(D171)+3)&gt;YEAR(E171),1,(12-MONTH(E171)+1)/12))) + (Q171)*(IF((YEAR(D171)+3)&lt;YEAR(E171),0,IF((YEAR(D171)+3)&gt;YEAR(E171),1,(12-MONTH(E171)+1)/12))))-((P171)*(IF((YEAR(D171)+3)&lt;YEAR(E171),0,IF((YEAR(D171)+3)&gt;YEAR(E171),1,(12-MONTH(E171)+1)/12))) + (R171)*(IF((YEAR(D171)+3)&lt;YEAR(E171),0,IF((YEAR(D171)+3)&gt;YEAR(E171),1,(12-MONTH(E171)+1)/12))))-(IF((((K171)*(IF(M171="",L171,IFERROR(IF(INDEX(Variablen!$I:$AT, MATCH(M171, Variablen!$A:$A, 0), MATCH((YEAR(D171)+3), Variablen!$I$3:$AT$3, 0))="",L171,INDEX(Variablen!$I:$AT, MATCH(M171, Variablen!$A:$A, 0), MATCH((YEAR(D171)+3), Variablen!$I$3:$AT$3, 0))),L171)))*(IF((YEAR(D171)+3)&lt;YEAR(E171),0,IF((YEAR(D171)+3)&gt;YEAR(E171),1,(12-MONTH(E171)+1)/12))) + (Q171)*(IF((YEAR(D171)+3)&lt;YEAR(E171),0,IF((YEAR(D171)+3)&gt;YEAR(E171),1,(12-MONTH(E171)+1)/12))))-((P171)*(IF((YEAR(D171)+3)&lt;YEAR(E171),0,IF((YEAR(D171)+3)&gt;YEAR(E171),1,(12-MONTH(E171)+1)/12))) + (R171)*(IF((YEAR(D171)+3)&lt;YEAR(E171),0,IF((YEAR(D171)+3)&gt;YEAR(E171),1,(12-MONTH(E171)+1)/12))))-(IF(OR(N171="",N171&lt;=0),0,(O171/N171)*(IF(OR(N171="",N171&lt;=0),0,IF((YEAR(D171)+3)&lt;YEAR(E171),0,IF((YEAR(D171)+3)&gt;=YEAR(E171)+N171,0,IF((YEAR(D171)+3)=YEAR(E171),(12-MONTH(E171)+1)/12,1))))))))&gt;0,(((K171)*(IF(M171="",L171,IFERROR(IF(INDEX(Variablen!$I:$AT, MATCH(M171, Variablen!$A:$A, 0), MATCH((YEAR(D171)+3), Variablen!$I$3:$AT$3, 0))="",L171,INDEX(Variablen!$I:$AT, MATCH(M171, Variablen!$A:$A, 0), MATCH((YEAR(D171)+3), Variablen!$I$3:$AT$3, 0))),L171)))*(IF((YEAR(D171)+3)&lt;YEAR(E171),0,IF((YEAR(D171)+3)&gt;YEAR(E171),1,(12-MONTH(E171)+1)/12))) + (Q171)*(IF((YEAR(D171)+3)&lt;YEAR(E171),0,IF((YEAR(D171)+3)&gt;YEAR(E171),1,(12-MONTH(E171)+1)/12))))-((P171)*(IF((YEAR(D171)+3)&lt;YEAR(E171),0,IF((YEAR(D171)+3)&gt;YEAR(E171),1,(12-MONTH(E171)+1)/12))) + (R171)*(IF((YEAR(D171)+3)&lt;YEAR(E171),0,IF((YEAR(D171)+3)&gt;YEAR(E171),1,(12-MONTH(E171)+1)/12))))-(IF(OR(N171="",N171&lt;=0),0,(O171/N171)*(IF(OR(N171="",N171&lt;=0),0,IF((YEAR(D171)+3)&lt;YEAR(E171),0,IF((YEAR(D171)+3)&gt;=YEAR(E171)+N171,0,IF((YEAR(D171)+3)=YEAR(E171),(12-MONTH(E171)+1)/12,1))))))))*TaxRate,0))-IF(3=0,O171,0))</f>
        <v/>
      </c>
      <c r="W171" s="29">
        <f>IF(A171="","",((K171)*(IF(M171="",L171,IFERROR(IF(INDEX(Variablen!$I:$AT, MATCH(M171, Variablen!$A:$A, 0), MATCH((YEAR(D171)+4), Variablen!$I$3:$AT$3, 0))="",L171,INDEX(Variablen!$I:$AT, MATCH(M171, Variablen!$A:$A, 0), MATCH((YEAR(D171)+4), Variablen!$I$3:$AT$3, 0))),L171)))*(IF((YEAR(D171)+4)&lt;YEAR(E171),0,IF((YEAR(D171)+4)&gt;YEAR(E171),1,(12-MONTH(E171)+1)/12))) + (Q171)*(IF((YEAR(D171)+4)&lt;YEAR(E171),0,IF((YEAR(D171)+4)&gt;YEAR(E171),1,(12-MONTH(E171)+1)/12))))-((P171)*(IF((YEAR(D171)+4)&lt;YEAR(E171),0,IF((YEAR(D171)+4)&gt;YEAR(E171),1,(12-MONTH(E171)+1)/12))) + (R171)*(IF((YEAR(D171)+4)&lt;YEAR(E171),0,IF((YEAR(D171)+4)&gt;YEAR(E171),1,(12-MONTH(E171)+1)/12))))-(IF((((K171)*(IF(M171="",L171,IFERROR(IF(INDEX(Variablen!$I:$AT, MATCH(M171, Variablen!$A:$A, 0), MATCH((YEAR(D171)+4), Variablen!$I$3:$AT$3, 0))="",L171,INDEX(Variablen!$I:$AT, MATCH(M171, Variablen!$A:$A, 0), MATCH((YEAR(D171)+4), Variablen!$I$3:$AT$3, 0))),L171)))*(IF((YEAR(D171)+4)&lt;YEAR(E171),0,IF((YEAR(D171)+4)&gt;YEAR(E171),1,(12-MONTH(E171)+1)/12))) + (Q171)*(IF((YEAR(D171)+4)&lt;YEAR(E171),0,IF((YEAR(D171)+4)&gt;YEAR(E171),1,(12-MONTH(E171)+1)/12))))-((P171)*(IF((YEAR(D171)+4)&lt;YEAR(E171),0,IF((YEAR(D171)+4)&gt;YEAR(E171),1,(12-MONTH(E171)+1)/12))) + (R171)*(IF((YEAR(D171)+4)&lt;YEAR(E171),0,IF((YEAR(D171)+4)&gt;YEAR(E171),1,(12-MONTH(E171)+1)/12))))-(IF(OR(N171="",N171&lt;=0),0,(O171/N171)*(IF(OR(N171="",N171&lt;=0),0,IF((YEAR(D171)+4)&lt;YEAR(E171),0,IF((YEAR(D171)+4)&gt;=YEAR(E171)+N171,0,IF((YEAR(D171)+4)=YEAR(E171),(12-MONTH(E171)+1)/12,1))))))))&gt;0,(((K171)*(IF(M171="",L171,IFERROR(IF(INDEX(Variablen!$I:$AT, MATCH(M171, Variablen!$A:$A, 0), MATCH((YEAR(D171)+4), Variablen!$I$3:$AT$3, 0))="",L171,INDEX(Variablen!$I:$AT, MATCH(M171, Variablen!$A:$A, 0), MATCH((YEAR(D171)+4), Variablen!$I$3:$AT$3, 0))),L171)))*(IF((YEAR(D171)+4)&lt;YEAR(E171),0,IF((YEAR(D171)+4)&gt;YEAR(E171),1,(12-MONTH(E171)+1)/12))) + (Q171)*(IF((YEAR(D171)+4)&lt;YEAR(E171),0,IF((YEAR(D171)+4)&gt;YEAR(E171),1,(12-MONTH(E171)+1)/12))))-((P171)*(IF((YEAR(D171)+4)&lt;YEAR(E171),0,IF((YEAR(D171)+4)&gt;YEAR(E171),1,(12-MONTH(E171)+1)/12))) + (R171)*(IF((YEAR(D171)+4)&lt;YEAR(E171),0,IF((YEAR(D171)+4)&gt;YEAR(E171),1,(12-MONTH(E171)+1)/12))))-(IF(OR(N171="",N171&lt;=0),0,(O171/N171)*(IF(OR(N171="",N171&lt;=0),0,IF((YEAR(D171)+4)&lt;YEAR(E171),0,IF((YEAR(D171)+4)&gt;=YEAR(E171)+N171,0,IF((YEAR(D171)+4)=YEAR(E171),(12-MONTH(E171)+1)/12,1))))))))*TaxRate,0))-IF(4=0,O171,0))</f>
        <v/>
      </c>
      <c r="X171" s="29">
        <f>IF(A171="","",((K171)*(IF(M171="",L171,IFERROR(IF(INDEX(Variablen!$I:$AT, MATCH(M171, Variablen!$A:$A, 0), MATCH((YEAR(D171)+5), Variablen!$I$3:$AT$3, 0))="",L171,INDEX(Variablen!$I:$AT, MATCH(M171, Variablen!$A:$A, 0), MATCH((YEAR(D171)+5), Variablen!$I$3:$AT$3, 0))),L171)))*(IF((YEAR(D171)+5)&lt;YEAR(E171),0,IF((YEAR(D171)+5)&gt;YEAR(E171),1,(12-MONTH(E171)+1)/12))) + (Q171)*(IF((YEAR(D171)+5)&lt;YEAR(E171),0,IF((YEAR(D171)+5)&gt;YEAR(E171),1,(12-MONTH(E171)+1)/12))))-((P171)*(IF((YEAR(D171)+5)&lt;YEAR(E171),0,IF((YEAR(D171)+5)&gt;YEAR(E171),1,(12-MONTH(E171)+1)/12))) + (R171)*(IF((YEAR(D171)+5)&lt;YEAR(E171),0,IF((YEAR(D171)+5)&gt;YEAR(E171),1,(12-MONTH(E171)+1)/12))))-(IF((((K171)*(IF(M171="",L171,IFERROR(IF(INDEX(Variablen!$I:$AT, MATCH(M171, Variablen!$A:$A, 0), MATCH((YEAR(D171)+5), Variablen!$I$3:$AT$3, 0))="",L171,INDEX(Variablen!$I:$AT, MATCH(M171, Variablen!$A:$A, 0), MATCH((YEAR(D171)+5), Variablen!$I$3:$AT$3, 0))),L171)))*(IF((YEAR(D171)+5)&lt;YEAR(E171),0,IF((YEAR(D171)+5)&gt;YEAR(E171),1,(12-MONTH(E171)+1)/12))) + (Q171)*(IF((YEAR(D171)+5)&lt;YEAR(E171),0,IF((YEAR(D171)+5)&gt;YEAR(E171),1,(12-MONTH(E171)+1)/12))))-((P171)*(IF((YEAR(D171)+5)&lt;YEAR(E171),0,IF((YEAR(D171)+5)&gt;YEAR(E171),1,(12-MONTH(E171)+1)/12))) + (R171)*(IF((YEAR(D171)+5)&lt;YEAR(E171),0,IF((YEAR(D171)+5)&gt;YEAR(E171),1,(12-MONTH(E171)+1)/12))))-(IF(OR(N171="",N171&lt;=0),0,(O171/N171)*(IF(OR(N171="",N171&lt;=0),0,IF((YEAR(D171)+5)&lt;YEAR(E171),0,IF((YEAR(D171)+5)&gt;=YEAR(E171)+N171,0,IF((YEAR(D171)+5)=YEAR(E171),(12-MONTH(E171)+1)/12,1))))))))&gt;0,(((K171)*(IF(M171="",L171,IFERROR(IF(INDEX(Variablen!$I:$AT, MATCH(M171, Variablen!$A:$A, 0), MATCH((YEAR(D171)+5), Variablen!$I$3:$AT$3, 0))="",L171,INDEX(Variablen!$I:$AT, MATCH(M171, Variablen!$A:$A, 0), MATCH((YEAR(D171)+5), Variablen!$I$3:$AT$3, 0))),L171)))*(IF((YEAR(D171)+5)&lt;YEAR(E171),0,IF((YEAR(D171)+5)&gt;YEAR(E171),1,(12-MONTH(E171)+1)/12))) + (Q171)*(IF((YEAR(D171)+5)&lt;YEAR(E171),0,IF((YEAR(D171)+5)&gt;YEAR(E171),1,(12-MONTH(E171)+1)/12))))-((P171)*(IF((YEAR(D171)+5)&lt;YEAR(E171),0,IF((YEAR(D171)+5)&gt;YEAR(E171),1,(12-MONTH(E171)+1)/12))) + (R171)*(IF((YEAR(D171)+5)&lt;YEAR(E171),0,IF((YEAR(D171)+5)&gt;YEAR(E171),1,(12-MONTH(E171)+1)/12))))-(IF(OR(N171="",N171&lt;=0),0,(O171/N171)*(IF(OR(N171="",N171&lt;=0),0,IF((YEAR(D171)+5)&lt;YEAR(E171),0,IF((YEAR(D171)+5)&gt;=YEAR(E171)+N171,0,IF((YEAR(D171)+5)=YEAR(E171),(12-MONTH(E171)+1)/12,1))))))))*TaxRate,0))-IF(5=0,O171,0))</f>
        <v/>
      </c>
      <c r="Y171" s="29">
        <f>IF(A171="","",((K171)*(IF(M171="",L171,IFERROR(IF(INDEX(Variablen!$I:$AT, MATCH(M171, Variablen!$A:$A, 0), MATCH((YEAR(D171)+6), Variablen!$I$3:$AT$3, 0))="",L171,INDEX(Variablen!$I:$AT, MATCH(M171, Variablen!$A:$A, 0), MATCH((YEAR(D171)+6), Variablen!$I$3:$AT$3, 0))),L171)))*(IF((YEAR(D171)+6)&lt;YEAR(E171),0,IF((YEAR(D171)+6)&gt;YEAR(E171),1,(12-MONTH(E171)+1)/12))) + (Q171)*(IF((YEAR(D171)+6)&lt;YEAR(E171),0,IF((YEAR(D171)+6)&gt;YEAR(E171),1,(12-MONTH(E171)+1)/12))))-((P171)*(IF((YEAR(D171)+6)&lt;YEAR(E171),0,IF((YEAR(D171)+6)&gt;YEAR(E171),1,(12-MONTH(E171)+1)/12))) + (R171)*(IF((YEAR(D171)+6)&lt;YEAR(E171),0,IF((YEAR(D171)+6)&gt;YEAR(E171),1,(12-MONTH(E171)+1)/12))))-(IF((((K171)*(IF(M171="",L171,IFERROR(IF(INDEX(Variablen!$I:$AT, MATCH(M171, Variablen!$A:$A, 0), MATCH((YEAR(D171)+6), Variablen!$I$3:$AT$3, 0))="",L171,INDEX(Variablen!$I:$AT, MATCH(M171, Variablen!$A:$A, 0), MATCH((YEAR(D171)+6), Variablen!$I$3:$AT$3, 0))),L171)))*(IF((YEAR(D171)+6)&lt;YEAR(E171),0,IF((YEAR(D171)+6)&gt;YEAR(E171),1,(12-MONTH(E171)+1)/12))) + (Q171)*(IF((YEAR(D171)+6)&lt;YEAR(E171),0,IF((YEAR(D171)+6)&gt;YEAR(E171),1,(12-MONTH(E171)+1)/12))))-((P171)*(IF((YEAR(D171)+6)&lt;YEAR(E171),0,IF((YEAR(D171)+6)&gt;YEAR(E171),1,(12-MONTH(E171)+1)/12))) + (R171)*(IF((YEAR(D171)+6)&lt;YEAR(E171),0,IF((YEAR(D171)+6)&gt;YEAR(E171),1,(12-MONTH(E171)+1)/12))))-(IF(OR(N171="",N171&lt;=0),0,(O171/N171)*(IF(OR(N171="",N171&lt;=0),0,IF((YEAR(D171)+6)&lt;YEAR(E171),0,IF((YEAR(D171)+6)&gt;=YEAR(E171)+N171,0,IF((YEAR(D171)+6)=YEAR(E171),(12-MONTH(E171)+1)/12,1))))))))&gt;0,(((K171)*(IF(M171="",L171,IFERROR(IF(INDEX(Variablen!$I:$AT, MATCH(M171, Variablen!$A:$A, 0), MATCH((YEAR(D171)+6), Variablen!$I$3:$AT$3, 0))="",L171,INDEX(Variablen!$I:$AT, MATCH(M171, Variablen!$A:$A, 0), MATCH((YEAR(D171)+6), Variablen!$I$3:$AT$3, 0))),L171)))*(IF((YEAR(D171)+6)&lt;YEAR(E171),0,IF((YEAR(D171)+6)&gt;YEAR(E171),1,(12-MONTH(E171)+1)/12))) + (Q171)*(IF((YEAR(D171)+6)&lt;YEAR(E171),0,IF((YEAR(D171)+6)&gt;YEAR(E171),1,(12-MONTH(E171)+1)/12))))-((P171)*(IF((YEAR(D171)+6)&lt;YEAR(E171),0,IF((YEAR(D171)+6)&gt;YEAR(E171),1,(12-MONTH(E171)+1)/12))) + (R171)*(IF((YEAR(D171)+6)&lt;YEAR(E171),0,IF((YEAR(D171)+6)&gt;YEAR(E171),1,(12-MONTH(E171)+1)/12))))-(IF(OR(N171="",N171&lt;=0),0,(O171/N171)*(IF(OR(N171="",N171&lt;=0),0,IF((YEAR(D171)+6)&lt;YEAR(E171),0,IF((YEAR(D171)+6)&gt;=YEAR(E171)+N171,0,IF((YEAR(D171)+6)=YEAR(E171),(12-MONTH(E171)+1)/12,1))))))))*TaxRate,0))-IF(6=0,O171,0))</f>
        <v/>
      </c>
      <c r="Z171" s="29">
        <f>IF(A171="","",((K171)*(IF(M171="",L171,IFERROR(IF(INDEX(Variablen!$I:$AT, MATCH(M171, Variablen!$A:$A, 0), MATCH((YEAR(D171)+7), Variablen!$I$3:$AT$3, 0))="",L171,INDEX(Variablen!$I:$AT, MATCH(M171, Variablen!$A:$A, 0), MATCH((YEAR(D171)+7), Variablen!$I$3:$AT$3, 0))),L171)))*(IF((YEAR(D171)+7)&lt;YEAR(E171),0,IF((YEAR(D171)+7)&gt;YEAR(E171),1,(12-MONTH(E171)+1)/12))) + (Q171)*(IF((YEAR(D171)+7)&lt;YEAR(E171),0,IF((YEAR(D171)+7)&gt;YEAR(E171),1,(12-MONTH(E171)+1)/12))))-((P171)*(IF((YEAR(D171)+7)&lt;YEAR(E171),0,IF((YEAR(D171)+7)&gt;YEAR(E171),1,(12-MONTH(E171)+1)/12))) + (R171)*(IF((YEAR(D171)+7)&lt;YEAR(E171),0,IF((YEAR(D171)+7)&gt;YEAR(E171),1,(12-MONTH(E171)+1)/12))))-(IF((((K171)*(IF(M171="",L171,IFERROR(IF(INDEX(Variablen!$I:$AT, MATCH(M171, Variablen!$A:$A, 0), MATCH((YEAR(D171)+7), Variablen!$I$3:$AT$3, 0))="",L171,INDEX(Variablen!$I:$AT, MATCH(M171, Variablen!$A:$A, 0), MATCH((YEAR(D171)+7), Variablen!$I$3:$AT$3, 0))),L171)))*(IF((YEAR(D171)+7)&lt;YEAR(E171),0,IF((YEAR(D171)+7)&gt;YEAR(E171),1,(12-MONTH(E171)+1)/12))) + (Q171)*(IF((YEAR(D171)+7)&lt;YEAR(E171),0,IF((YEAR(D171)+7)&gt;YEAR(E171),1,(12-MONTH(E171)+1)/12))))-((P171)*(IF((YEAR(D171)+7)&lt;YEAR(E171),0,IF((YEAR(D171)+7)&gt;YEAR(E171),1,(12-MONTH(E171)+1)/12))) + (R171)*(IF((YEAR(D171)+7)&lt;YEAR(E171),0,IF((YEAR(D171)+7)&gt;YEAR(E171),1,(12-MONTH(E171)+1)/12))))-(IF(OR(N171="",N171&lt;=0),0,(O171/N171)*(IF(OR(N171="",N171&lt;=0),0,IF((YEAR(D171)+7)&lt;YEAR(E171),0,IF((YEAR(D171)+7)&gt;=YEAR(E171)+N171,0,IF((YEAR(D171)+7)=YEAR(E171),(12-MONTH(E171)+1)/12,1))))))))&gt;0,(((K171)*(IF(M171="",L171,IFERROR(IF(INDEX(Variablen!$I:$AT, MATCH(M171, Variablen!$A:$A, 0), MATCH((YEAR(D171)+7), Variablen!$I$3:$AT$3, 0))="",L171,INDEX(Variablen!$I:$AT, MATCH(M171, Variablen!$A:$A, 0), MATCH((YEAR(D171)+7), Variablen!$I$3:$AT$3, 0))),L171)))*(IF((YEAR(D171)+7)&lt;YEAR(E171),0,IF((YEAR(D171)+7)&gt;YEAR(E171),1,(12-MONTH(E171)+1)/12))) + (Q171)*(IF((YEAR(D171)+7)&lt;YEAR(E171),0,IF((YEAR(D171)+7)&gt;YEAR(E171),1,(12-MONTH(E171)+1)/12))))-((P171)*(IF((YEAR(D171)+7)&lt;YEAR(E171),0,IF((YEAR(D171)+7)&gt;YEAR(E171),1,(12-MONTH(E171)+1)/12))) + (R171)*(IF((YEAR(D171)+7)&lt;YEAR(E171),0,IF((YEAR(D171)+7)&gt;YEAR(E171),1,(12-MONTH(E171)+1)/12))))-(IF(OR(N171="",N171&lt;=0),0,(O171/N171)*(IF(OR(N171="",N171&lt;=0),0,IF((YEAR(D171)+7)&lt;YEAR(E171),0,IF((YEAR(D171)+7)&gt;=YEAR(E171)+N171,0,IF((YEAR(D171)+7)=YEAR(E171),(12-MONTH(E171)+1)/12,1))))))))*TaxRate,0))-IF(7=0,O171,0))</f>
        <v/>
      </c>
      <c r="AA171" s="29">
        <f>IF(A171="","",((K171)*(IF(M171="",L171,IFERROR(IF(INDEX(Variablen!$I:$AT, MATCH(M171, Variablen!$A:$A, 0), MATCH((YEAR(D171)+8), Variablen!$I$3:$AT$3, 0))="",L171,INDEX(Variablen!$I:$AT, MATCH(M171, Variablen!$A:$A, 0), MATCH((YEAR(D171)+8), Variablen!$I$3:$AT$3, 0))),L171)))*(IF((YEAR(D171)+8)&lt;YEAR(E171),0,IF((YEAR(D171)+8)&gt;YEAR(E171),1,(12-MONTH(E171)+1)/12))) + (Q171)*(IF((YEAR(D171)+8)&lt;YEAR(E171),0,IF((YEAR(D171)+8)&gt;YEAR(E171),1,(12-MONTH(E171)+1)/12))))-((P171)*(IF((YEAR(D171)+8)&lt;YEAR(E171),0,IF((YEAR(D171)+8)&gt;YEAR(E171),1,(12-MONTH(E171)+1)/12))) + (R171)*(IF((YEAR(D171)+8)&lt;YEAR(E171),0,IF((YEAR(D171)+8)&gt;YEAR(E171),1,(12-MONTH(E171)+1)/12))))-(IF((((K171)*(IF(M171="",L171,IFERROR(IF(INDEX(Variablen!$I:$AT, MATCH(M171, Variablen!$A:$A, 0), MATCH((YEAR(D171)+8), Variablen!$I$3:$AT$3, 0))="",L171,INDEX(Variablen!$I:$AT, MATCH(M171, Variablen!$A:$A, 0), MATCH((YEAR(D171)+8), Variablen!$I$3:$AT$3, 0))),L171)))*(IF((YEAR(D171)+8)&lt;YEAR(E171),0,IF((YEAR(D171)+8)&gt;YEAR(E171),1,(12-MONTH(E171)+1)/12))) + (Q171)*(IF((YEAR(D171)+8)&lt;YEAR(E171),0,IF((YEAR(D171)+8)&gt;YEAR(E171),1,(12-MONTH(E171)+1)/12))))-((P171)*(IF((YEAR(D171)+8)&lt;YEAR(E171),0,IF((YEAR(D171)+8)&gt;YEAR(E171),1,(12-MONTH(E171)+1)/12))) + (R171)*(IF((YEAR(D171)+8)&lt;YEAR(E171),0,IF((YEAR(D171)+8)&gt;YEAR(E171),1,(12-MONTH(E171)+1)/12))))-(IF(OR(N171="",N171&lt;=0),0,(O171/N171)*(IF(OR(N171="",N171&lt;=0),0,IF((YEAR(D171)+8)&lt;YEAR(E171),0,IF((YEAR(D171)+8)&gt;=YEAR(E171)+N171,0,IF((YEAR(D171)+8)=YEAR(E171),(12-MONTH(E171)+1)/12,1))))))))&gt;0,(((K171)*(IF(M171="",L171,IFERROR(IF(INDEX(Variablen!$I:$AT, MATCH(M171, Variablen!$A:$A, 0), MATCH((YEAR(D171)+8), Variablen!$I$3:$AT$3, 0))="",L171,INDEX(Variablen!$I:$AT, MATCH(M171, Variablen!$A:$A, 0), MATCH((YEAR(D171)+8), Variablen!$I$3:$AT$3, 0))),L171)))*(IF((YEAR(D171)+8)&lt;YEAR(E171),0,IF((YEAR(D171)+8)&gt;YEAR(E171),1,(12-MONTH(E171)+1)/12))) + (Q171)*(IF((YEAR(D171)+8)&lt;YEAR(E171),0,IF((YEAR(D171)+8)&gt;YEAR(E171),1,(12-MONTH(E171)+1)/12))))-((P171)*(IF((YEAR(D171)+8)&lt;YEAR(E171),0,IF((YEAR(D171)+8)&gt;YEAR(E171),1,(12-MONTH(E171)+1)/12))) + (R171)*(IF((YEAR(D171)+8)&lt;YEAR(E171),0,IF((YEAR(D171)+8)&gt;YEAR(E171),1,(12-MONTH(E171)+1)/12))))-(IF(OR(N171="",N171&lt;=0),0,(O171/N171)*(IF(OR(N171="",N171&lt;=0),0,IF((YEAR(D171)+8)&lt;YEAR(E171),0,IF((YEAR(D171)+8)&gt;=YEAR(E171)+N171,0,IF((YEAR(D171)+8)=YEAR(E171),(12-MONTH(E171)+1)/12,1))))))))*TaxRate,0))-IF(8=0,O171,0))</f>
        <v/>
      </c>
      <c r="AB171" s="29">
        <f>IF(A171="","",((K171)*(IF(M171="",L171,IFERROR(IF(INDEX(Variablen!$I:$AT, MATCH(M171, Variablen!$A:$A, 0), MATCH((YEAR(D171)+9), Variablen!$I$3:$AT$3, 0))="",L171,INDEX(Variablen!$I:$AT, MATCH(M171, Variablen!$A:$A, 0), MATCH((YEAR(D171)+9), Variablen!$I$3:$AT$3, 0))),L171)))*(IF((YEAR(D171)+9)&lt;YEAR(E171),0,IF((YEAR(D171)+9)&gt;YEAR(E171),1,(12-MONTH(E171)+1)/12))) + (Q171)*(IF((YEAR(D171)+9)&lt;YEAR(E171),0,IF((YEAR(D171)+9)&gt;YEAR(E171),1,(12-MONTH(E171)+1)/12))))-((P171)*(IF((YEAR(D171)+9)&lt;YEAR(E171),0,IF((YEAR(D171)+9)&gt;YEAR(E171),1,(12-MONTH(E171)+1)/12))) + (R171)*(IF((YEAR(D171)+9)&lt;YEAR(E171),0,IF((YEAR(D171)+9)&gt;YEAR(E171),1,(12-MONTH(E171)+1)/12))))-(IF((((K171)*(IF(M171="",L171,IFERROR(IF(INDEX(Variablen!$I:$AT, MATCH(M171, Variablen!$A:$A, 0), MATCH((YEAR(D171)+9), Variablen!$I$3:$AT$3, 0))="",L171,INDEX(Variablen!$I:$AT, MATCH(M171, Variablen!$A:$A, 0), MATCH((YEAR(D171)+9), Variablen!$I$3:$AT$3, 0))),L171)))*(IF((YEAR(D171)+9)&lt;YEAR(E171),0,IF((YEAR(D171)+9)&gt;YEAR(E171),1,(12-MONTH(E171)+1)/12))) + (Q171)*(IF((YEAR(D171)+9)&lt;YEAR(E171),0,IF((YEAR(D171)+9)&gt;YEAR(E171),1,(12-MONTH(E171)+1)/12))))-((P171)*(IF((YEAR(D171)+9)&lt;YEAR(E171),0,IF((YEAR(D171)+9)&gt;YEAR(E171),1,(12-MONTH(E171)+1)/12))) + (R171)*(IF((YEAR(D171)+9)&lt;YEAR(E171),0,IF((YEAR(D171)+9)&gt;YEAR(E171),1,(12-MONTH(E171)+1)/12))))-(IF(OR(N171="",N171&lt;=0),0,(O171/N171)*(IF(OR(N171="",N171&lt;=0),0,IF((YEAR(D171)+9)&lt;YEAR(E171),0,IF((YEAR(D171)+9)&gt;=YEAR(E171)+N171,0,IF((YEAR(D171)+9)=YEAR(E171),(12-MONTH(E171)+1)/12,1))))))))&gt;0,(((K171)*(IF(M171="",L171,IFERROR(IF(INDEX(Variablen!$I:$AT, MATCH(M171, Variablen!$A:$A, 0), MATCH((YEAR(D171)+9), Variablen!$I$3:$AT$3, 0))="",L171,INDEX(Variablen!$I:$AT, MATCH(M171, Variablen!$A:$A, 0), MATCH((YEAR(D171)+9), Variablen!$I$3:$AT$3, 0))),L171)))*(IF((YEAR(D171)+9)&lt;YEAR(E171),0,IF((YEAR(D171)+9)&gt;YEAR(E171),1,(12-MONTH(E171)+1)/12))) + (Q171)*(IF((YEAR(D171)+9)&lt;YEAR(E171),0,IF((YEAR(D171)+9)&gt;YEAR(E171),1,(12-MONTH(E171)+1)/12))))-((P171)*(IF((YEAR(D171)+9)&lt;YEAR(E171),0,IF((YEAR(D171)+9)&gt;YEAR(E171),1,(12-MONTH(E171)+1)/12))) + (R171)*(IF((YEAR(D171)+9)&lt;YEAR(E171),0,IF((YEAR(D171)+9)&gt;YEAR(E171),1,(12-MONTH(E171)+1)/12))))-(IF(OR(N171="",N171&lt;=0),0,(O171/N171)*(IF(OR(N171="",N171&lt;=0),0,IF((YEAR(D171)+9)&lt;YEAR(E171),0,IF((YEAR(D171)+9)&gt;=YEAR(E171)+N171,0,IF((YEAR(D171)+9)=YEAR(E171),(12-MONTH(E171)+1)/12,1))))))))*TaxRate,0))-IF(9=0,O171,0))</f>
        <v/>
      </c>
      <c r="AC171" s="29">
        <f>IF(A171="","",((K171)*(IF(M171="",L171,IFERROR(IF(INDEX(Variablen!$I:$AT, MATCH(M171, Variablen!$A:$A, 0), MATCH((YEAR(D171)+10), Variablen!$I$3:$AT$3, 0))="",L171,INDEX(Variablen!$I:$AT, MATCH(M171, Variablen!$A:$A, 0), MATCH((YEAR(D171)+10), Variablen!$I$3:$AT$3, 0))),L171)))*(IF((YEAR(D171)+10)&lt;YEAR(E171),0,IF((YEAR(D171)+10)&gt;YEAR(E171),1,(12-MONTH(E171)+1)/12))) + (Q171)*(IF((YEAR(D171)+10)&lt;YEAR(E171),0,IF((YEAR(D171)+10)&gt;YEAR(E171),1,(12-MONTH(E171)+1)/12))))-((P171)*(IF((YEAR(D171)+10)&lt;YEAR(E171),0,IF((YEAR(D171)+10)&gt;YEAR(E171),1,(12-MONTH(E171)+1)/12))) + (R171)*(IF((YEAR(D171)+10)&lt;YEAR(E171),0,IF((YEAR(D171)+10)&gt;YEAR(E171),1,(12-MONTH(E171)+1)/12))))-(IF((((K171)*(IF(M171="",L171,IFERROR(IF(INDEX(Variablen!$I:$AT, MATCH(M171, Variablen!$A:$A, 0), MATCH((YEAR(D171)+10), Variablen!$I$3:$AT$3, 0))="",L171,INDEX(Variablen!$I:$AT, MATCH(M171, Variablen!$A:$A, 0), MATCH((YEAR(D171)+10), Variablen!$I$3:$AT$3, 0))),L171)))*(IF((YEAR(D171)+10)&lt;YEAR(E171),0,IF((YEAR(D171)+10)&gt;YEAR(E171),1,(12-MONTH(E171)+1)/12))) + (Q171)*(IF((YEAR(D171)+10)&lt;YEAR(E171),0,IF((YEAR(D171)+10)&gt;YEAR(E171),1,(12-MONTH(E171)+1)/12))))-((P171)*(IF((YEAR(D171)+10)&lt;YEAR(E171),0,IF((YEAR(D171)+10)&gt;YEAR(E171),1,(12-MONTH(E171)+1)/12))) + (R171)*(IF((YEAR(D171)+10)&lt;YEAR(E171),0,IF((YEAR(D171)+10)&gt;YEAR(E171),1,(12-MONTH(E171)+1)/12))))-(IF(OR(N171="",N171&lt;=0),0,(O171/N171)*(IF(OR(N171="",N171&lt;=0),0,IF((YEAR(D171)+10)&lt;YEAR(E171),0,IF((YEAR(D171)+10)&gt;=YEAR(E171)+N171,0,IF((YEAR(D171)+10)=YEAR(E171),(12-MONTH(E171)+1)/12,1))))))))&gt;0,(((K171)*(IF(M171="",L171,IFERROR(IF(INDEX(Variablen!$I:$AT, MATCH(M171, Variablen!$A:$A, 0), MATCH((YEAR(D171)+10), Variablen!$I$3:$AT$3, 0))="",L171,INDEX(Variablen!$I:$AT, MATCH(M171, Variablen!$A:$A, 0), MATCH((YEAR(D171)+10), Variablen!$I$3:$AT$3, 0))),L171)))*(IF((YEAR(D171)+10)&lt;YEAR(E171),0,IF((YEAR(D171)+10)&gt;YEAR(E171),1,(12-MONTH(E171)+1)/12))) + (Q171)*(IF((YEAR(D171)+10)&lt;YEAR(E171),0,IF((YEAR(D171)+10)&gt;YEAR(E171),1,(12-MONTH(E171)+1)/12))))-((P171)*(IF((YEAR(D171)+10)&lt;YEAR(E171),0,IF((YEAR(D171)+10)&gt;YEAR(E171),1,(12-MONTH(E171)+1)/12))) + (R171)*(IF((YEAR(D171)+10)&lt;YEAR(E171),0,IF((YEAR(D171)+10)&gt;YEAR(E171),1,(12-MONTH(E171)+1)/12))))-(IF(OR(N171="",N171&lt;=0),0,(O171/N171)*(IF(OR(N171="",N171&lt;=0),0,IF((YEAR(D171)+10)&lt;YEAR(E171),0,IF((YEAR(D171)+10)&gt;=YEAR(E171)+N171,0,IF((YEAR(D171)+10)=YEAR(E171),(12-MONTH(E171)+1)/12,1))))))))*TaxRate,0))-IF(10=0,O171,0))</f>
        <v/>
      </c>
      <c r="AD171" s="29">
        <f>IF(A171="","",((K171)*(IF(M171="",L171,IFERROR(IF(INDEX(Variablen!$I:$AT, MATCH(M171, Variablen!$A:$A, 0), MATCH((YEAR(D171)+11), Variablen!$I$3:$AT$3, 0))="",L171,INDEX(Variablen!$I:$AT, MATCH(M171, Variablen!$A:$A, 0), MATCH((YEAR(D171)+11), Variablen!$I$3:$AT$3, 0))),L171)))*(IF((YEAR(D171)+11)&lt;YEAR(E171),0,IF((YEAR(D171)+11)&gt;YEAR(E171),1,(12-MONTH(E171)+1)/12))) + (Q171)*(IF((YEAR(D171)+11)&lt;YEAR(E171),0,IF((YEAR(D171)+11)&gt;YEAR(E171),1,(12-MONTH(E171)+1)/12))))-((P171)*(IF((YEAR(D171)+11)&lt;YEAR(E171),0,IF((YEAR(D171)+11)&gt;YEAR(E171),1,(12-MONTH(E171)+1)/12))) + (R171)*(IF((YEAR(D171)+11)&lt;YEAR(E171),0,IF((YEAR(D171)+11)&gt;YEAR(E171),1,(12-MONTH(E171)+1)/12))))-(IF((((K171)*(IF(M171="",L171,IFERROR(IF(INDEX(Variablen!$I:$AT, MATCH(M171, Variablen!$A:$A, 0), MATCH((YEAR(D171)+11), Variablen!$I$3:$AT$3, 0))="",L171,INDEX(Variablen!$I:$AT, MATCH(M171, Variablen!$A:$A, 0), MATCH((YEAR(D171)+11), Variablen!$I$3:$AT$3, 0))),L171)))*(IF((YEAR(D171)+11)&lt;YEAR(E171),0,IF((YEAR(D171)+11)&gt;YEAR(E171),1,(12-MONTH(E171)+1)/12))) + (Q171)*(IF((YEAR(D171)+11)&lt;YEAR(E171),0,IF((YEAR(D171)+11)&gt;YEAR(E171),1,(12-MONTH(E171)+1)/12))))-((P171)*(IF((YEAR(D171)+11)&lt;YEAR(E171),0,IF((YEAR(D171)+11)&gt;YEAR(E171),1,(12-MONTH(E171)+1)/12))) + (R171)*(IF((YEAR(D171)+11)&lt;YEAR(E171),0,IF((YEAR(D171)+11)&gt;YEAR(E171),1,(12-MONTH(E171)+1)/12))))-(IF(OR(N171="",N171&lt;=0),0,(O171/N171)*(IF(OR(N171="",N171&lt;=0),0,IF((YEAR(D171)+11)&lt;YEAR(E171),0,IF((YEAR(D171)+11)&gt;=YEAR(E171)+N171,0,IF((YEAR(D171)+11)=YEAR(E171),(12-MONTH(E171)+1)/12,1))))))))&gt;0,(((K171)*(IF(M171="",L171,IFERROR(IF(INDEX(Variablen!$I:$AT, MATCH(M171, Variablen!$A:$A, 0), MATCH((YEAR(D171)+11), Variablen!$I$3:$AT$3, 0))="",L171,INDEX(Variablen!$I:$AT, MATCH(M171, Variablen!$A:$A, 0), MATCH((YEAR(D171)+11), Variablen!$I$3:$AT$3, 0))),L171)))*(IF((YEAR(D171)+11)&lt;YEAR(E171),0,IF((YEAR(D171)+11)&gt;YEAR(E171),1,(12-MONTH(E171)+1)/12))) + (Q171)*(IF((YEAR(D171)+11)&lt;YEAR(E171),0,IF((YEAR(D171)+11)&gt;YEAR(E171),1,(12-MONTH(E171)+1)/12))))-((P171)*(IF((YEAR(D171)+11)&lt;YEAR(E171),0,IF((YEAR(D171)+11)&gt;YEAR(E171),1,(12-MONTH(E171)+1)/12))) + (R171)*(IF((YEAR(D171)+11)&lt;YEAR(E171),0,IF((YEAR(D171)+11)&gt;YEAR(E171),1,(12-MONTH(E171)+1)/12))))-(IF(OR(N171="",N171&lt;=0),0,(O171/N171)*(IF(OR(N171="",N171&lt;=0),0,IF((YEAR(D171)+11)&lt;YEAR(E171),0,IF((YEAR(D171)+11)&gt;=YEAR(E171)+N171,0,IF((YEAR(D171)+11)=YEAR(E171),(12-MONTH(E171)+1)/12,1))))))))*TaxRate,0))-IF(11=0,O171,0))</f>
        <v/>
      </c>
      <c r="AE171" s="29">
        <f>IF(A171="","",((K171)*(IF(M171="",L171,IFERROR(IF(INDEX(Variablen!$I:$AT, MATCH(M171, Variablen!$A:$A, 0), MATCH((YEAR(D171)+12), Variablen!$I$3:$AT$3, 0))="",L171,INDEX(Variablen!$I:$AT, MATCH(M171, Variablen!$A:$A, 0), MATCH((YEAR(D171)+12), Variablen!$I$3:$AT$3, 0))),L171)))*(IF((YEAR(D171)+12)&lt;YEAR(E171),0,IF((YEAR(D171)+12)&gt;YEAR(E171),1,(12-MONTH(E171)+1)/12))) + (Q171)*(IF((YEAR(D171)+12)&lt;YEAR(E171),0,IF((YEAR(D171)+12)&gt;YEAR(E171),1,(12-MONTH(E171)+1)/12))))-((P171)*(IF((YEAR(D171)+12)&lt;YEAR(E171),0,IF((YEAR(D171)+12)&gt;YEAR(E171),1,(12-MONTH(E171)+1)/12))) + (R171)*(IF((YEAR(D171)+12)&lt;YEAR(E171),0,IF((YEAR(D171)+12)&gt;YEAR(E171),1,(12-MONTH(E171)+1)/12))))-(IF((((K171)*(IF(M171="",L171,IFERROR(IF(INDEX(Variablen!$I:$AT, MATCH(M171, Variablen!$A:$A, 0), MATCH((YEAR(D171)+12), Variablen!$I$3:$AT$3, 0))="",L171,INDEX(Variablen!$I:$AT, MATCH(M171, Variablen!$A:$A, 0), MATCH((YEAR(D171)+12), Variablen!$I$3:$AT$3, 0))),L171)))*(IF((YEAR(D171)+12)&lt;YEAR(E171),0,IF((YEAR(D171)+12)&gt;YEAR(E171),1,(12-MONTH(E171)+1)/12))) + (Q171)*(IF((YEAR(D171)+12)&lt;YEAR(E171),0,IF((YEAR(D171)+12)&gt;YEAR(E171),1,(12-MONTH(E171)+1)/12))))-((P171)*(IF((YEAR(D171)+12)&lt;YEAR(E171),0,IF((YEAR(D171)+12)&gt;YEAR(E171),1,(12-MONTH(E171)+1)/12))) + (R171)*(IF((YEAR(D171)+12)&lt;YEAR(E171),0,IF((YEAR(D171)+12)&gt;YEAR(E171),1,(12-MONTH(E171)+1)/12))))-(IF(OR(N171="",N171&lt;=0),0,(O171/N171)*(IF(OR(N171="",N171&lt;=0),0,IF((YEAR(D171)+12)&lt;YEAR(E171),0,IF((YEAR(D171)+12)&gt;=YEAR(E171)+N171,0,IF((YEAR(D171)+12)=YEAR(E171),(12-MONTH(E171)+1)/12,1))))))))&gt;0,(((K171)*(IF(M171="",L171,IFERROR(IF(INDEX(Variablen!$I:$AT, MATCH(M171, Variablen!$A:$A, 0), MATCH((YEAR(D171)+12), Variablen!$I$3:$AT$3, 0))="",L171,INDEX(Variablen!$I:$AT, MATCH(M171, Variablen!$A:$A, 0), MATCH((YEAR(D171)+12), Variablen!$I$3:$AT$3, 0))),L171)))*(IF((YEAR(D171)+12)&lt;YEAR(E171),0,IF((YEAR(D171)+12)&gt;YEAR(E171),1,(12-MONTH(E171)+1)/12))) + (Q171)*(IF((YEAR(D171)+12)&lt;YEAR(E171),0,IF((YEAR(D171)+12)&gt;YEAR(E171),1,(12-MONTH(E171)+1)/12))))-((P171)*(IF((YEAR(D171)+12)&lt;YEAR(E171),0,IF((YEAR(D171)+12)&gt;YEAR(E171),1,(12-MONTH(E171)+1)/12))) + (R171)*(IF((YEAR(D171)+12)&lt;YEAR(E171),0,IF((YEAR(D171)+12)&gt;YEAR(E171),1,(12-MONTH(E171)+1)/12))))-(IF(OR(N171="",N171&lt;=0),0,(O171/N171)*(IF(OR(N171="",N171&lt;=0),0,IF((YEAR(D171)+12)&lt;YEAR(E171),0,IF((YEAR(D171)+12)&gt;=YEAR(E171)+N171,0,IF((YEAR(D171)+12)=YEAR(E171),(12-MONTH(E171)+1)/12,1))))))))*TaxRate,0))-IF(12=0,O171,0))</f>
        <v/>
      </c>
      <c r="AF171" s="29">
        <f>IF(A171="","",((K171)*(IF(M171="",L171,IFERROR(IF(INDEX(Variablen!$I:$AT, MATCH(M171, Variablen!$A:$A, 0), MATCH((YEAR(D171)+13), Variablen!$I$3:$AT$3, 0))="",L171,INDEX(Variablen!$I:$AT, MATCH(M171, Variablen!$A:$A, 0), MATCH((YEAR(D171)+13), Variablen!$I$3:$AT$3, 0))),L171)))*(IF((YEAR(D171)+13)&lt;YEAR(E171),0,IF((YEAR(D171)+13)&gt;YEAR(E171),1,(12-MONTH(E171)+1)/12))) + (Q171)*(IF((YEAR(D171)+13)&lt;YEAR(E171),0,IF((YEAR(D171)+13)&gt;YEAR(E171),1,(12-MONTH(E171)+1)/12))))-((P171)*(IF((YEAR(D171)+13)&lt;YEAR(E171),0,IF((YEAR(D171)+13)&gt;YEAR(E171),1,(12-MONTH(E171)+1)/12))) + (R171)*(IF((YEAR(D171)+13)&lt;YEAR(E171),0,IF((YEAR(D171)+13)&gt;YEAR(E171),1,(12-MONTH(E171)+1)/12))))-(IF((((K171)*(IF(M171="",L171,IFERROR(IF(INDEX(Variablen!$I:$AT, MATCH(M171, Variablen!$A:$A, 0), MATCH((YEAR(D171)+13), Variablen!$I$3:$AT$3, 0))="",L171,INDEX(Variablen!$I:$AT, MATCH(M171, Variablen!$A:$A, 0), MATCH((YEAR(D171)+13), Variablen!$I$3:$AT$3, 0))),L171)))*(IF((YEAR(D171)+13)&lt;YEAR(E171),0,IF((YEAR(D171)+13)&gt;YEAR(E171),1,(12-MONTH(E171)+1)/12))) + (Q171)*(IF((YEAR(D171)+13)&lt;YEAR(E171),0,IF((YEAR(D171)+13)&gt;YEAR(E171),1,(12-MONTH(E171)+1)/12))))-((P171)*(IF((YEAR(D171)+13)&lt;YEAR(E171),0,IF((YEAR(D171)+13)&gt;YEAR(E171),1,(12-MONTH(E171)+1)/12))) + (R171)*(IF((YEAR(D171)+13)&lt;YEAR(E171),0,IF((YEAR(D171)+13)&gt;YEAR(E171),1,(12-MONTH(E171)+1)/12))))-(IF(OR(N171="",N171&lt;=0),0,(O171/N171)*(IF(OR(N171="",N171&lt;=0),0,IF((YEAR(D171)+13)&lt;YEAR(E171),0,IF((YEAR(D171)+13)&gt;=YEAR(E171)+N171,0,IF((YEAR(D171)+13)=YEAR(E171),(12-MONTH(E171)+1)/12,1))))))))&gt;0,(((K171)*(IF(M171="",L171,IFERROR(IF(INDEX(Variablen!$I:$AT, MATCH(M171, Variablen!$A:$A, 0), MATCH((YEAR(D171)+13), Variablen!$I$3:$AT$3, 0))="",L171,INDEX(Variablen!$I:$AT, MATCH(M171, Variablen!$A:$A, 0), MATCH((YEAR(D171)+13), Variablen!$I$3:$AT$3, 0))),L171)))*(IF((YEAR(D171)+13)&lt;YEAR(E171),0,IF((YEAR(D171)+13)&gt;YEAR(E171),1,(12-MONTH(E171)+1)/12))) + (Q171)*(IF((YEAR(D171)+13)&lt;YEAR(E171),0,IF((YEAR(D171)+13)&gt;YEAR(E171),1,(12-MONTH(E171)+1)/12))))-((P171)*(IF((YEAR(D171)+13)&lt;YEAR(E171),0,IF((YEAR(D171)+13)&gt;YEAR(E171),1,(12-MONTH(E171)+1)/12))) + (R171)*(IF((YEAR(D171)+13)&lt;YEAR(E171),0,IF((YEAR(D171)+13)&gt;YEAR(E171),1,(12-MONTH(E171)+1)/12))))-(IF(OR(N171="",N171&lt;=0),0,(O171/N171)*(IF(OR(N171="",N171&lt;=0),0,IF((YEAR(D171)+13)&lt;YEAR(E171),0,IF((YEAR(D171)+13)&gt;=YEAR(E171)+N171,0,IF((YEAR(D171)+13)=YEAR(E171),(12-MONTH(E171)+1)/12,1))))))))*TaxRate,0))-IF(13=0,O171,0))</f>
        <v/>
      </c>
      <c r="AG171" s="29">
        <f>IF(A171="","",((K171)*(IF(M171="",L171,IFERROR(IF(INDEX(Variablen!$I:$AT, MATCH(M171, Variablen!$A:$A, 0), MATCH((YEAR(D171)+14), Variablen!$I$3:$AT$3, 0))="",L171,INDEX(Variablen!$I:$AT, MATCH(M171, Variablen!$A:$A, 0), MATCH((YEAR(D171)+14), Variablen!$I$3:$AT$3, 0))),L171)))*(IF((YEAR(D171)+14)&lt;YEAR(E171),0,IF((YEAR(D171)+14)&gt;YEAR(E171),1,(12-MONTH(E171)+1)/12))) + (Q171)*(IF((YEAR(D171)+14)&lt;YEAR(E171),0,IF((YEAR(D171)+14)&gt;YEAR(E171),1,(12-MONTH(E171)+1)/12))))-((P171)*(IF((YEAR(D171)+14)&lt;YEAR(E171),0,IF((YEAR(D171)+14)&gt;YEAR(E171),1,(12-MONTH(E171)+1)/12))) + (R171)*(IF((YEAR(D171)+14)&lt;YEAR(E171),0,IF((YEAR(D171)+14)&gt;YEAR(E171),1,(12-MONTH(E171)+1)/12))))-(IF((((K171)*(IF(M171="",L171,IFERROR(IF(INDEX(Variablen!$I:$AT, MATCH(M171, Variablen!$A:$A, 0), MATCH((YEAR(D171)+14), Variablen!$I$3:$AT$3, 0))="",L171,INDEX(Variablen!$I:$AT, MATCH(M171, Variablen!$A:$A, 0), MATCH((YEAR(D171)+14), Variablen!$I$3:$AT$3, 0))),L171)))*(IF((YEAR(D171)+14)&lt;YEAR(E171),0,IF((YEAR(D171)+14)&gt;YEAR(E171),1,(12-MONTH(E171)+1)/12))) + (Q171)*(IF((YEAR(D171)+14)&lt;YEAR(E171),0,IF((YEAR(D171)+14)&gt;YEAR(E171),1,(12-MONTH(E171)+1)/12))))-((P171)*(IF((YEAR(D171)+14)&lt;YEAR(E171),0,IF((YEAR(D171)+14)&gt;YEAR(E171),1,(12-MONTH(E171)+1)/12))) + (R171)*(IF((YEAR(D171)+14)&lt;YEAR(E171),0,IF((YEAR(D171)+14)&gt;YEAR(E171),1,(12-MONTH(E171)+1)/12))))-(IF(OR(N171="",N171&lt;=0),0,(O171/N171)*(IF(OR(N171="",N171&lt;=0),0,IF((YEAR(D171)+14)&lt;YEAR(E171),0,IF((YEAR(D171)+14)&gt;=YEAR(E171)+N171,0,IF((YEAR(D171)+14)=YEAR(E171),(12-MONTH(E171)+1)/12,1))))))))&gt;0,(((K171)*(IF(M171="",L171,IFERROR(IF(INDEX(Variablen!$I:$AT, MATCH(M171, Variablen!$A:$A, 0), MATCH((YEAR(D171)+14), Variablen!$I$3:$AT$3, 0))="",L171,INDEX(Variablen!$I:$AT, MATCH(M171, Variablen!$A:$A, 0), MATCH((YEAR(D171)+14), Variablen!$I$3:$AT$3, 0))),L171)))*(IF((YEAR(D171)+14)&lt;YEAR(E171),0,IF((YEAR(D171)+14)&gt;YEAR(E171),1,(12-MONTH(E171)+1)/12))) + (Q171)*(IF((YEAR(D171)+14)&lt;YEAR(E171),0,IF((YEAR(D171)+14)&gt;YEAR(E171),1,(12-MONTH(E171)+1)/12))))-((P171)*(IF((YEAR(D171)+14)&lt;YEAR(E171),0,IF((YEAR(D171)+14)&gt;YEAR(E171),1,(12-MONTH(E171)+1)/12))) + (R171)*(IF((YEAR(D171)+14)&lt;YEAR(E171),0,IF((YEAR(D171)+14)&gt;YEAR(E171),1,(12-MONTH(E171)+1)/12))))-(IF(OR(N171="",N171&lt;=0),0,(O171/N171)*(IF(OR(N171="",N171&lt;=0),0,IF((YEAR(D171)+14)&lt;YEAR(E171),0,IF((YEAR(D171)+14)&gt;=YEAR(E171)+N171,0,IF((YEAR(D171)+14)=YEAR(E171),(12-MONTH(E171)+1)/12,1))))))))*TaxRate,0))-IF(14=0,O171,0))</f>
        <v/>
      </c>
      <c r="AH171" s="29">
        <f>IF(A171="","",((K171)*(IF(M171="",L171,IFERROR(IF(INDEX(Variablen!$I:$AT, MATCH(M171, Variablen!$A:$A, 0), MATCH((YEAR(D171)+15), Variablen!$I$3:$AT$3, 0))="",L171,INDEX(Variablen!$I:$AT, MATCH(M171, Variablen!$A:$A, 0), MATCH((YEAR(D171)+15), Variablen!$I$3:$AT$3, 0))),L171)))*(IF((YEAR(D171)+15)&lt;YEAR(E171),0,IF((YEAR(D171)+15)&gt;YEAR(E171),1,(12-MONTH(E171)+1)/12))) + (Q171)*(IF((YEAR(D171)+15)&lt;YEAR(E171),0,IF((YEAR(D171)+15)&gt;YEAR(E171),1,(12-MONTH(E171)+1)/12))))-((P171)*(IF((YEAR(D171)+15)&lt;YEAR(E171),0,IF((YEAR(D171)+15)&gt;YEAR(E171),1,(12-MONTH(E171)+1)/12))) + (R171)*(IF((YEAR(D171)+15)&lt;YEAR(E171),0,IF((YEAR(D171)+15)&gt;YEAR(E171),1,(12-MONTH(E171)+1)/12))))-(IF((((K171)*(IF(M171="",L171,IFERROR(IF(INDEX(Variablen!$I:$AT, MATCH(M171, Variablen!$A:$A, 0), MATCH((YEAR(D171)+15), Variablen!$I$3:$AT$3, 0))="",L171,INDEX(Variablen!$I:$AT, MATCH(M171, Variablen!$A:$A, 0), MATCH((YEAR(D171)+15), Variablen!$I$3:$AT$3, 0))),L171)))*(IF((YEAR(D171)+15)&lt;YEAR(E171),0,IF((YEAR(D171)+15)&gt;YEAR(E171),1,(12-MONTH(E171)+1)/12))) + (Q171)*(IF((YEAR(D171)+15)&lt;YEAR(E171),0,IF((YEAR(D171)+15)&gt;YEAR(E171),1,(12-MONTH(E171)+1)/12))))-((P171)*(IF((YEAR(D171)+15)&lt;YEAR(E171),0,IF((YEAR(D171)+15)&gt;YEAR(E171),1,(12-MONTH(E171)+1)/12))) + (R171)*(IF((YEAR(D171)+15)&lt;YEAR(E171),0,IF((YEAR(D171)+15)&gt;YEAR(E171),1,(12-MONTH(E171)+1)/12))))-(IF(OR(N171="",N171&lt;=0),0,(O171/N171)*(IF(OR(N171="",N171&lt;=0),0,IF((YEAR(D171)+15)&lt;YEAR(E171),0,IF((YEAR(D171)+15)&gt;=YEAR(E171)+N171,0,IF((YEAR(D171)+15)=YEAR(E171),(12-MONTH(E171)+1)/12,1))))))))&gt;0,(((K171)*(IF(M171="",L171,IFERROR(IF(INDEX(Variablen!$I:$AT, MATCH(M171, Variablen!$A:$A, 0), MATCH((YEAR(D171)+15), Variablen!$I$3:$AT$3, 0))="",L171,INDEX(Variablen!$I:$AT, MATCH(M171, Variablen!$A:$A, 0), MATCH((YEAR(D171)+15), Variablen!$I$3:$AT$3, 0))),L171)))*(IF((YEAR(D171)+15)&lt;YEAR(E171),0,IF((YEAR(D171)+15)&gt;YEAR(E171),1,(12-MONTH(E171)+1)/12))) + (Q171)*(IF((YEAR(D171)+15)&lt;YEAR(E171),0,IF((YEAR(D171)+15)&gt;YEAR(E171),1,(12-MONTH(E171)+1)/12))))-((P171)*(IF((YEAR(D171)+15)&lt;YEAR(E171),0,IF((YEAR(D171)+15)&gt;YEAR(E171),1,(12-MONTH(E171)+1)/12))) + (R171)*(IF((YEAR(D171)+15)&lt;YEAR(E171),0,IF((YEAR(D171)+15)&gt;YEAR(E171),1,(12-MONTH(E171)+1)/12))))-(IF(OR(N171="",N171&lt;=0),0,(O171/N171)*(IF(OR(N171="",N171&lt;=0),0,IF((YEAR(D171)+15)&lt;YEAR(E171),0,IF((YEAR(D171)+15)&gt;=YEAR(E171)+N171,0,IF((YEAR(D171)+15)=YEAR(E171),(12-MONTH(E171)+1)/12,1))))))))*TaxRate,0))-IF(15=0,O171,0))</f>
        <v/>
      </c>
      <c r="AI171" s="29">
        <f>IF(A171="","",((K171)*(IF(M171="",L171,IFERROR(IF(INDEX(Variablen!$I:$AT, MATCH(M171, Variablen!$A:$A, 0), MATCH((YEAR(D171)+16), Variablen!$I$3:$AT$3, 0))="",L171,INDEX(Variablen!$I:$AT, MATCH(M171, Variablen!$A:$A, 0), MATCH((YEAR(D171)+16), Variablen!$I$3:$AT$3, 0))),L171)))*(IF((YEAR(D171)+16)&lt;YEAR(E171),0,IF((YEAR(D171)+16)&gt;YEAR(E171),1,(12-MONTH(E171)+1)/12))) + (Q171)*(IF((YEAR(D171)+16)&lt;YEAR(E171),0,IF((YEAR(D171)+16)&gt;YEAR(E171),1,(12-MONTH(E171)+1)/12))))-((P171)*(IF((YEAR(D171)+16)&lt;YEAR(E171),0,IF((YEAR(D171)+16)&gt;YEAR(E171),1,(12-MONTH(E171)+1)/12))) + (R171)*(IF((YEAR(D171)+16)&lt;YEAR(E171),0,IF((YEAR(D171)+16)&gt;YEAR(E171),1,(12-MONTH(E171)+1)/12))))-(IF((((K171)*(IF(M171="",L171,IFERROR(IF(INDEX(Variablen!$I:$AT, MATCH(M171, Variablen!$A:$A, 0), MATCH((YEAR(D171)+16), Variablen!$I$3:$AT$3, 0))="",L171,INDEX(Variablen!$I:$AT, MATCH(M171, Variablen!$A:$A, 0), MATCH((YEAR(D171)+16), Variablen!$I$3:$AT$3, 0))),L171)))*(IF((YEAR(D171)+16)&lt;YEAR(E171),0,IF((YEAR(D171)+16)&gt;YEAR(E171),1,(12-MONTH(E171)+1)/12))) + (Q171)*(IF((YEAR(D171)+16)&lt;YEAR(E171),0,IF((YEAR(D171)+16)&gt;YEAR(E171),1,(12-MONTH(E171)+1)/12))))-((P171)*(IF((YEAR(D171)+16)&lt;YEAR(E171),0,IF((YEAR(D171)+16)&gt;YEAR(E171),1,(12-MONTH(E171)+1)/12))) + (R171)*(IF((YEAR(D171)+16)&lt;YEAR(E171),0,IF((YEAR(D171)+16)&gt;YEAR(E171),1,(12-MONTH(E171)+1)/12))))-(IF(OR(N171="",N171&lt;=0),0,(O171/N171)*(IF(OR(N171="",N171&lt;=0),0,IF((YEAR(D171)+16)&lt;YEAR(E171),0,IF((YEAR(D171)+16)&gt;=YEAR(E171)+N171,0,IF((YEAR(D171)+16)=YEAR(E171),(12-MONTH(E171)+1)/12,1))))))))&gt;0,(((K171)*(IF(M171="",L171,IFERROR(IF(INDEX(Variablen!$I:$AT, MATCH(M171, Variablen!$A:$A, 0), MATCH((YEAR(D171)+16), Variablen!$I$3:$AT$3, 0))="",L171,INDEX(Variablen!$I:$AT, MATCH(M171, Variablen!$A:$A, 0), MATCH((YEAR(D171)+16), Variablen!$I$3:$AT$3, 0))),L171)))*(IF((YEAR(D171)+16)&lt;YEAR(E171),0,IF((YEAR(D171)+16)&gt;YEAR(E171),1,(12-MONTH(E171)+1)/12))) + (Q171)*(IF((YEAR(D171)+16)&lt;YEAR(E171),0,IF((YEAR(D171)+16)&gt;YEAR(E171),1,(12-MONTH(E171)+1)/12))))-((P171)*(IF((YEAR(D171)+16)&lt;YEAR(E171),0,IF((YEAR(D171)+16)&gt;YEAR(E171),1,(12-MONTH(E171)+1)/12))) + (R171)*(IF((YEAR(D171)+16)&lt;YEAR(E171),0,IF((YEAR(D171)+16)&gt;YEAR(E171),1,(12-MONTH(E171)+1)/12))))-(IF(OR(N171="",N171&lt;=0),0,(O171/N171)*(IF(OR(N171="",N171&lt;=0),0,IF((YEAR(D171)+16)&lt;YEAR(E171),0,IF((YEAR(D171)+16)&gt;=YEAR(E171)+N171,0,IF((YEAR(D171)+16)=YEAR(E171),(12-MONTH(E171)+1)/12,1))))))))*TaxRate,0))-IF(16=0,O171,0))</f>
        <v/>
      </c>
      <c r="AJ171" s="29">
        <f>IF(A171="","",((K171)*(IF(M171="",L171,IFERROR(IF(INDEX(Variablen!$I:$AT, MATCH(M171, Variablen!$A:$A, 0), MATCH((YEAR(D171)+17), Variablen!$I$3:$AT$3, 0))="",L171,INDEX(Variablen!$I:$AT, MATCH(M171, Variablen!$A:$A, 0), MATCH((YEAR(D171)+17), Variablen!$I$3:$AT$3, 0))),L171)))*(IF((YEAR(D171)+17)&lt;YEAR(E171),0,IF((YEAR(D171)+17)&gt;YEAR(E171),1,(12-MONTH(E171)+1)/12))) + (Q171)*(IF((YEAR(D171)+17)&lt;YEAR(E171),0,IF((YEAR(D171)+17)&gt;YEAR(E171),1,(12-MONTH(E171)+1)/12))))-((P171)*(IF((YEAR(D171)+17)&lt;YEAR(E171),0,IF((YEAR(D171)+17)&gt;YEAR(E171),1,(12-MONTH(E171)+1)/12))) + (R171)*(IF((YEAR(D171)+17)&lt;YEAR(E171),0,IF((YEAR(D171)+17)&gt;YEAR(E171),1,(12-MONTH(E171)+1)/12))))-(IF((((K171)*(IF(M171="",L171,IFERROR(IF(INDEX(Variablen!$I:$AT, MATCH(M171, Variablen!$A:$A, 0), MATCH((YEAR(D171)+17), Variablen!$I$3:$AT$3, 0))="",L171,INDEX(Variablen!$I:$AT, MATCH(M171, Variablen!$A:$A, 0), MATCH((YEAR(D171)+17), Variablen!$I$3:$AT$3, 0))),L171)))*(IF((YEAR(D171)+17)&lt;YEAR(E171),0,IF((YEAR(D171)+17)&gt;YEAR(E171),1,(12-MONTH(E171)+1)/12))) + (Q171)*(IF((YEAR(D171)+17)&lt;YEAR(E171),0,IF((YEAR(D171)+17)&gt;YEAR(E171),1,(12-MONTH(E171)+1)/12))))-((P171)*(IF((YEAR(D171)+17)&lt;YEAR(E171),0,IF((YEAR(D171)+17)&gt;YEAR(E171),1,(12-MONTH(E171)+1)/12))) + (R171)*(IF((YEAR(D171)+17)&lt;YEAR(E171),0,IF((YEAR(D171)+17)&gt;YEAR(E171),1,(12-MONTH(E171)+1)/12))))-(IF(OR(N171="",N171&lt;=0),0,(O171/N171)*(IF(OR(N171="",N171&lt;=0),0,IF((YEAR(D171)+17)&lt;YEAR(E171),0,IF((YEAR(D171)+17)&gt;=YEAR(E171)+N171,0,IF((YEAR(D171)+17)=YEAR(E171),(12-MONTH(E171)+1)/12,1))))))))&gt;0,(((K171)*(IF(M171="",L171,IFERROR(IF(INDEX(Variablen!$I:$AT, MATCH(M171, Variablen!$A:$A, 0), MATCH((YEAR(D171)+17), Variablen!$I$3:$AT$3, 0))="",L171,INDEX(Variablen!$I:$AT, MATCH(M171, Variablen!$A:$A, 0), MATCH((YEAR(D171)+17), Variablen!$I$3:$AT$3, 0))),L171)))*(IF((YEAR(D171)+17)&lt;YEAR(E171),0,IF((YEAR(D171)+17)&gt;YEAR(E171),1,(12-MONTH(E171)+1)/12))) + (Q171)*(IF((YEAR(D171)+17)&lt;YEAR(E171),0,IF((YEAR(D171)+17)&gt;YEAR(E171),1,(12-MONTH(E171)+1)/12))))-((P171)*(IF((YEAR(D171)+17)&lt;YEAR(E171),0,IF((YEAR(D171)+17)&gt;YEAR(E171),1,(12-MONTH(E171)+1)/12))) + (R171)*(IF((YEAR(D171)+17)&lt;YEAR(E171),0,IF((YEAR(D171)+17)&gt;YEAR(E171),1,(12-MONTH(E171)+1)/12))))-(IF(OR(N171="",N171&lt;=0),0,(O171/N171)*(IF(OR(N171="",N171&lt;=0),0,IF((YEAR(D171)+17)&lt;YEAR(E171),0,IF((YEAR(D171)+17)&gt;=YEAR(E171)+N171,0,IF((YEAR(D171)+17)=YEAR(E171),(12-MONTH(E171)+1)/12,1))))))))*TaxRate,0))-IF(17=0,O171,0))</f>
        <v/>
      </c>
      <c r="AK171" s="29">
        <f>IF(A171="","",((K171)*(IF(M171="",L171,IFERROR(IF(INDEX(Variablen!$I:$AT, MATCH(M171, Variablen!$A:$A, 0), MATCH((YEAR(D171)+18), Variablen!$I$3:$AT$3, 0))="",L171,INDEX(Variablen!$I:$AT, MATCH(M171, Variablen!$A:$A, 0), MATCH((YEAR(D171)+18), Variablen!$I$3:$AT$3, 0))),L171)))*(IF((YEAR(D171)+18)&lt;YEAR(E171),0,IF((YEAR(D171)+18)&gt;YEAR(E171),1,(12-MONTH(E171)+1)/12))) + (Q171)*(IF((YEAR(D171)+18)&lt;YEAR(E171),0,IF((YEAR(D171)+18)&gt;YEAR(E171),1,(12-MONTH(E171)+1)/12))))-((P171)*(IF((YEAR(D171)+18)&lt;YEAR(E171),0,IF((YEAR(D171)+18)&gt;YEAR(E171),1,(12-MONTH(E171)+1)/12))) + (R171)*(IF((YEAR(D171)+18)&lt;YEAR(E171),0,IF((YEAR(D171)+18)&gt;YEAR(E171),1,(12-MONTH(E171)+1)/12))))-(IF((((K171)*(IF(M171="",L171,IFERROR(IF(INDEX(Variablen!$I:$AT, MATCH(M171, Variablen!$A:$A, 0), MATCH((YEAR(D171)+18), Variablen!$I$3:$AT$3, 0))="",L171,INDEX(Variablen!$I:$AT, MATCH(M171, Variablen!$A:$A, 0), MATCH((YEAR(D171)+18), Variablen!$I$3:$AT$3, 0))),L171)))*(IF((YEAR(D171)+18)&lt;YEAR(E171),0,IF((YEAR(D171)+18)&gt;YEAR(E171),1,(12-MONTH(E171)+1)/12))) + (Q171)*(IF((YEAR(D171)+18)&lt;YEAR(E171),0,IF((YEAR(D171)+18)&gt;YEAR(E171),1,(12-MONTH(E171)+1)/12))))-((P171)*(IF((YEAR(D171)+18)&lt;YEAR(E171),0,IF((YEAR(D171)+18)&gt;YEAR(E171),1,(12-MONTH(E171)+1)/12))) + (R171)*(IF((YEAR(D171)+18)&lt;YEAR(E171),0,IF((YEAR(D171)+18)&gt;YEAR(E171),1,(12-MONTH(E171)+1)/12))))-(IF(OR(N171="",N171&lt;=0),0,(O171/N171)*(IF(OR(N171="",N171&lt;=0),0,IF((YEAR(D171)+18)&lt;YEAR(E171),0,IF((YEAR(D171)+18)&gt;=YEAR(E171)+N171,0,IF((YEAR(D171)+18)=YEAR(E171),(12-MONTH(E171)+1)/12,1))))))))&gt;0,(((K171)*(IF(M171="",L171,IFERROR(IF(INDEX(Variablen!$I:$AT, MATCH(M171, Variablen!$A:$A, 0), MATCH((YEAR(D171)+18), Variablen!$I$3:$AT$3, 0))="",L171,INDEX(Variablen!$I:$AT, MATCH(M171, Variablen!$A:$A, 0), MATCH((YEAR(D171)+18), Variablen!$I$3:$AT$3, 0))),L171)))*(IF((YEAR(D171)+18)&lt;YEAR(E171),0,IF((YEAR(D171)+18)&gt;YEAR(E171),1,(12-MONTH(E171)+1)/12))) + (Q171)*(IF((YEAR(D171)+18)&lt;YEAR(E171),0,IF((YEAR(D171)+18)&gt;YEAR(E171),1,(12-MONTH(E171)+1)/12))))-((P171)*(IF((YEAR(D171)+18)&lt;YEAR(E171),0,IF((YEAR(D171)+18)&gt;YEAR(E171),1,(12-MONTH(E171)+1)/12))) + (R171)*(IF((YEAR(D171)+18)&lt;YEAR(E171),0,IF((YEAR(D171)+18)&gt;YEAR(E171),1,(12-MONTH(E171)+1)/12))))-(IF(OR(N171="",N171&lt;=0),0,(O171/N171)*(IF(OR(N171="",N171&lt;=0),0,IF((YEAR(D171)+18)&lt;YEAR(E171),0,IF((YEAR(D171)+18)&gt;=YEAR(E171)+N171,0,IF((YEAR(D171)+18)=YEAR(E171),(12-MONTH(E171)+1)/12,1))))))))*TaxRate,0))-IF(18=0,O171,0))</f>
        <v/>
      </c>
      <c r="AL171" s="29">
        <f>IF(A171="","",((K171)*(IF(M171="",L171,IFERROR(IF(INDEX(Variablen!$I:$AT, MATCH(M171, Variablen!$A:$A, 0), MATCH((YEAR(D171)+19), Variablen!$I$3:$AT$3, 0))="",L171,INDEX(Variablen!$I:$AT, MATCH(M171, Variablen!$A:$A, 0), MATCH((YEAR(D171)+19), Variablen!$I$3:$AT$3, 0))),L171)))*(IF((YEAR(D171)+19)&lt;YEAR(E171),0,IF((YEAR(D171)+19)&gt;YEAR(E171),1,(12-MONTH(E171)+1)/12))) + (Q171)*(IF((YEAR(D171)+19)&lt;YEAR(E171),0,IF((YEAR(D171)+19)&gt;YEAR(E171),1,(12-MONTH(E171)+1)/12))))-((P171)*(IF((YEAR(D171)+19)&lt;YEAR(E171),0,IF((YEAR(D171)+19)&gt;YEAR(E171),1,(12-MONTH(E171)+1)/12))) + (R171)*(IF((YEAR(D171)+19)&lt;YEAR(E171),0,IF((YEAR(D171)+19)&gt;YEAR(E171),1,(12-MONTH(E171)+1)/12))))-(IF((((K171)*(IF(M171="",L171,IFERROR(IF(INDEX(Variablen!$I:$AT, MATCH(M171, Variablen!$A:$A, 0), MATCH((YEAR(D171)+19), Variablen!$I$3:$AT$3, 0))="",L171,INDEX(Variablen!$I:$AT, MATCH(M171, Variablen!$A:$A, 0), MATCH((YEAR(D171)+19), Variablen!$I$3:$AT$3, 0))),L171)))*(IF((YEAR(D171)+19)&lt;YEAR(E171),0,IF((YEAR(D171)+19)&gt;YEAR(E171),1,(12-MONTH(E171)+1)/12))) + (Q171)*(IF((YEAR(D171)+19)&lt;YEAR(E171),0,IF((YEAR(D171)+19)&gt;YEAR(E171),1,(12-MONTH(E171)+1)/12))))-((P171)*(IF((YEAR(D171)+19)&lt;YEAR(E171),0,IF((YEAR(D171)+19)&gt;YEAR(E171),1,(12-MONTH(E171)+1)/12))) + (R171)*(IF((YEAR(D171)+19)&lt;YEAR(E171),0,IF((YEAR(D171)+19)&gt;YEAR(E171),1,(12-MONTH(E171)+1)/12))))-(IF(OR(N171="",N171&lt;=0),0,(O171/N171)*(IF(OR(N171="",N171&lt;=0),0,IF((YEAR(D171)+19)&lt;YEAR(E171),0,IF((YEAR(D171)+19)&gt;=YEAR(E171)+N171,0,IF((YEAR(D171)+19)=YEAR(E171),(12-MONTH(E171)+1)/12,1))))))))&gt;0,(((K171)*(IF(M171="",L171,IFERROR(IF(INDEX(Variablen!$I:$AT, MATCH(M171, Variablen!$A:$A, 0), MATCH((YEAR(D171)+19), Variablen!$I$3:$AT$3, 0))="",L171,INDEX(Variablen!$I:$AT, MATCH(M171, Variablen!$A:$A, 0), MATCH((YEAR(D171)+19), Variablen!$I$3:$AT$3, 0))),L171)))*(IF((YEAR(D171)+19)&lt;YEAR(E171),0,IF((YEAR(D171)+19)&gt;YEAR(E171),1,(12-MONTH(E171)+1)/12))) + (Q171)*(IF((YEAR(D171)+19)&lt;YEAR(E171),0,IF((YEAR(D171)+19)&gt;YEAR(E171),1,(12-MONTH(E171)+1)/12))))-((P171)*(IF((YEAR(D171)+19)&lt;YEAR(E171),0,IF((YEAR(D171)+19)&gt;YEAR(E171),1,(12-MONTH(E171)+1)/12))) + (R171)*(IF((YEAR(D171)+19)&lt;YEAR(E171),0,IF((YEAR(D171)+19)&gt;YEAR(E171),1,(12-MONTH(E171)+1)/12))))-(IF(OR(N171="",N171&lt;=0),0,(O171/N171)*(IF(OR(N171="",N171&lt;=0),0,IF((YEAR(D171)+19)&lt;YEAR(E171),0,IF((YEAR(D171)+19)&gt;=YEAR(E171)+N171,0,IF((YEAR(D171)+19)=YEAR(E171),(12-MONTH(E171)+1)/12,1))))))))*TaxRate,0))-IF(19=0,O171,0))</f>
        <v/>
      </c>
      <c r="AM171" s="29">
        <f>IF(A171="","",((K171)*(IF(M171="",L171,IFERROR(IF(INDEX(Variablen!$I:$AT, MATCH(M171, Variablen!$A:$A, 0), MATCH((YEAR(D171)+20), Variablen!$I$3:$AT$3, 0))="",L171,INDEX(Variablen!$I:$AT, MATCH(M171, Variablen!$A:$A, 0), MATCH((YEAR(D171)+20), Variablen!$I$3:$AT$3, 0))),L171)))*(IF((YEAR(D171)+20)&lt;YEAR(E171),0,IF((YEAR(D171)+20)&gt;YEAR(E171),1,(12-MONTH(E171)+1)/12))) + (Q171)*(IF((YEAR(D171)+20)&lt;YEAR(E171),0,IF((YEAR(D171)+20)&gt;YEAR(E171),1,(12-MONTH(E171)+1)/12))))-((P171)*(IF((YEAR(D171)+20)&lt;YEAR(E171),0,IF((YEAR(D171)+20)&gt;YEAR(E171),1,(12-MONTH(E171)+1)/12))) + (R171)*(IF((YEAR(D171)+20)&lt;YEAR(E171),0,IF((YEAR(D171)+20)&gt;YEAR(E171),1,(12-MONTH(E171)+1)/12))))-(IF((((K171)*(IF(M171="",L171,IFERROR(IF(INDEX(Variablen!$I:$AT, MATCH(M171, Variablen!$A:$A, 0), MATCH((YEAR(D171)+20), Variablen!$I$3:$AT$3, 0))="",L171,INDEX(Variablen!$I:$AT, MATCH(M171, Variablen!$A:$A, 0), MATCH((YEAR(D171)+20), Variablen!$I$3:$AT$3, 0))),L171)))*(IF((YEAR(D171)+20)&lt;YEAR(E171),0,IF((YEAR(D171)+20)&gt;YEAR(E171),1,(12-MONTH(E171)+1)/12))) + (Q171)*(IF((YEAR(D171)+20)&lt;YEAR(E171),0,IF((YEAR(D171)+20)&gt;YEAR(E171),1,(12-MONTH(E171)+1)/12))))-((P171)*(IF((YEAR(D171)+20)&lt;YEAR(E171),0,IF((YEAR(D171)+20)&gt;YEAR(E171),1,(12-MONTH(E171)+1)/12))) + (R171)*(IF((YEAR(D171)+20)&lt;YEAR(E171),0,IF((YEAR(D171)+20)&gt;YEAR(E171),1,(12-MONTH(E171)+1)/12))))-(IF(OR(N171="",N171&lt;=0),0,(O171/N171)*(IF(OR(N171="",N171&lt;=0),0,IF((YEAR(D171)+20)&lt;YEAR(E171),0,IF((YEAR(D171)+20)&gt;=YEAR(E171)+N171,0,IF((YEAR(D171)+20)=YEAR(E171),(12-MONTH(E171)+1)/12,1))))))))&gt;0,(((K171)*(IF(M171="",L171,IFERROR(IF(INDEX(Variablen!$I:$AT, MATCH(M171, Variablen!$A:$A, 0), MATCH((YEAR(D171)+20), Variablen!$I$3:$AT$3, 0))="",L171,INDEX(Variablen!$I:$AT, MATCH(M171, Variablen!$A:$A, 0), MATCH((YEAR(D171)+20), Variablen!$I$3:$AT$3, 0))),L171)))*(IF((YEAR(D171)+20)&lt;YEAR(E171),0,IF((YEAR(D171)+20)&gt;YEAR(E171),1,(12-MONTH(E171)+1)/12))) + (Q171)*(IF((YEAR(D171)+20)&lt;YEAR(E171),0,IF((YEAR(D171)+20)&gt;YEAR(E171),1,(12-MONTH(E171)+1)/12))))-((P171)*(IF((YEAR(D171)+20)&lt;YEAR(E171),0,IF((YEAR(D171)+20)&gt;YEAR(E171),1,(12-MONTH(E171)+1)/12))) + (R171)*(IF((YEAR(D171)+20)&lt;YEAR(E171),0,IF((YEAR(D171)+20)&gt;YEAR(E171),1,(12-MONTH(E171)+1)/12))))-(IF(OR(N171="",N171&lt;=0),0,(O171/N171)*(IF(OR(N171="",N171&lt;=0),0,IF((YEAR(D171)+20)&lt;YEAR(E171),0,IF((YEAR(D171)+20)&gt;=YEAR(E171)+N171,0,IF((YEAR(D171)+20)=YEAR(E171),(12-MONTH(E171)+1)/12,1))))))))*TaxRate,0))-IF(20=0,O171,0))</f>
        <v/>
      </c>
      <c r="AN171" s="29">
        <f>IF(A171="","",S171)</f>
        <v/>
      </c>
      <c r="AO171" s="29">
        <f>IF(A171="","",AN171+T171)</f>
        <v/>
      </c>
      <c r="AP171" s="29">
        <f>IF(A171="","",AO171+U171)</f>
        <v/>
      </c>
      <c r="AQ171" s="29">
        <f>IF(A171="","",AP171+V171)</f>
        <v/>
      </c>
      <c r="AR171" s="29">
        <f>IF(A171="","",AQ171+W171)</f>
        <v/>
      </c>
      <c r="AS171" s="29">
        <f>IF(A171="","",AR171+X171)</f>
        <v/>
      </c>
      <c r="AT171" s="29">
        <f>IF(A171="","",AS171+Y171)</f>
        <v/>
      </c>
      <c r="AU171" s="29">
        <f>IF(A171="","",AT171+Z171)</f>
        <v/>
      </c>
      <c r="AV171" s="29">
        <f>IF(A171="","",AU171+AA171)</f>
        <v/>
      </c>
      <c r="AW171" s="29">
        <f>IF(A171="","",AV171+AB171)</f>
        <v/>
      </c>
      <c r="AX171" s="29">
        <f>IF(A171="","",AW171+AC171)</f>
        <v/>
      </c>
      <c r="AY171" s="29">
        <f>IF(A171="","",AX171+AD171)</f>
        <v/>
      </c>
      <c r="AZ171" s="29">
        <f>IF(A171="","",AY171+AE171)</f>
        <v/>
      </c>
      <c r="BA171" s="29">
        <f>IF(A171="","",AZ171+AF171)</f>
        <v/>
      </c>
      <c r="BB171" s="29">
        <f>IF(A171="","",BA171+AG171)</f>
        <v/>
      </c>
      <c r="BC171" s="29">
        <f>IF(A171="","",BB171+AH171)</f>
        <v/>
      </c>
      <c r="BD171" s="29">
        <f>IF(A171="","",BC171+AI171)</f>
        <v/>
      </c>
      <c r="BE171" s="29">
        <f>IF(A171="","",BD171+AJ171)</f>
        <v/>
      </c>
      <c r="BF171" s="29">
        <f>IF(A171="","",BE171+AK171)</f>
        <v/>
      </c>
      <c r="BG171" s="29">
        <f>IF(A171="","",BF171+AL171)</f>
        <v/>
      </c>
      <c r="BH171" s="29">
        <f>IF(A171="","",BG171+AM171)</f>
        <v/>
      </c>
      <c r="BI171" s="36">
        <f>IF(A171="","",(K171)*(IF((YEAR(D171)+0)&lt;YEAR(E171),0,IF((YEAR(D171)+0)&gt;YEAR(E171),1,(12-MONTH(E171)+1)/12)))*(1/(1+DiscountRate)^0))</f>
        <v/>
      </c>
      <c r="BJ171" s="36">
        <f>IF(A171="","",(K171)*(IF((YEAR(D171)+1)&lt;YEAR(E171),0,IF((YEAR(D171)+1)&gt;YEAR(E171),1,(12-MONTH(E171)+1)/12)))*(1/(1+DiscountRate)^1))</f>
        <v/>
      </c>
      <c r="BK171" s="36">
        <f>IF(A171="","",(K171)*(IF((YEAR(D171)+2)&lt;YEAR(E171),0,IF((YEAR(D171)+2)&gt;YEAR(E171),1,(12-MONTH(E171)+1)/12)))*(1/(1+DiscountRate)^2))</f>
        <v/>
      </c>
      <c r="BL171" s="36">
        <f>IF(A171="","",(K171)*(IF((YEAR(D171)+3)&lt;YEAR(E171),0,IF((YEAR(D171)+3)&gt;YEAR(E171),1,(12-MONTH(E171)+1)/12)))*(1/(1+DiscountRate)^3))</f>
        <v/>
      </c>
      <c r="BM171" s="36">
        <f>IF(A171="","",(K171)*(IF((YEAR(D171)+4)&lt;YEAR(E171),0,IF((YEAR(D171)+4)&gt;YEAR(E171),1,(12-MONTH(E171)+1)/12)))*(1/(1+DiscountRate)^4))</f>
        <v/>
      </c>
      <c r="BN171" s="36">
        <f>IF(A171="","",(K171)*(IF((YEAR(D171)+5)&lt;YEAR(E171),0,IF((YEAR(D171)+5)&gt;YEAR(E171),1,(12-MONTH(E171)+1)/12)))*(1/(1+DiscountRate)^5))</f>
        <v/>
      </c>
      <c r="BO171" s="36">
        <f>IF(A171="","",(K171)*(IF((YEAR(D171)+6)&lt;YEAR(E171),0,IF((YEAR(D171)+6)&gt;YEAR(E171),1,(12-MONTH(E171)+1)/12)))*(1/(1+DiscountRate)^6))</f>
        <v/>
      </c>
      <c r="BP171" s="36">
        <f>IF(A171="","",(K171)*(IF((YEAR(D171)+7)&lt;YEAR(E171),0,IF((YEAR(D171)+7)&gt;YEAR(E171),1,(12-MONTH(E171)+1)/12)))*(1/(1+DiscountRate)^7))</f>
        <v/>
      </c>
      <c r="BQ171" s="36">
        <f>IF(A171="","",(K171)*(IF((YEAR(D171)+8)&lt;YEAR(E171),0,IF((YEAR(D171)+8)&gt;YEAR(E171),1,(12-MONTH(E171)+1)/12)))*(1/(1+DiscountRate)^8))</f>
        <v/>
      </c>
      <c r="BR171" s="36">
        <f>IF(A171="","",(K171)*(IF((YEAR(D171)+9)&lt;YEAR(E171),0,IF((YEAR(D171)+9)&gt;YEAR(E171),1,(12-MONTH(E171)+1)/12)))*(1/(1+DiscountRate)^9))</f>
        <v/>
      </c>
      <c r="BS171" s="36">
        <f>IF(A171="","",(K171)*(IF((YEAR(D171)+10)&lt;YEAR(E171),0,IF((YEAR(D171)+10)&gt;YEAR(E171),1,(12-MONTH(E171)+1)/12)))*(1/(1+DiscountRate)^10))</f>
        <v/>
      </c>
      <c r="BT171" s="36">
        <f>IF(A171="","",(K171)*(IF((YEAR(D171)+11)&lt;YEAR(E171),0,IF((YEAR(D171)+11)&gt;YEAR(E171),1,(12-MONTH(E171)+1)/12)))*(1/(1+DiscountRate)^11))</f>
        <v/>
      </c>
      <c r="BU171" s="36">
        <f>IF(A171="","",(K171)*(IF((YEAR(D171)+12)&lt;YEAR(E171),0,IF((YEAR(D171)+12)&gt;YEAR(E171),1,(12-MONTH(E171)+1)/12)))*(1/(1+DiscountRate)^12))</f>
        <v/>
      </c>
      <c r="BV171" s="36">
        <f>IF(A171="","",(K171)*(IF((YEAR(D171)+13)&lt;YEAR(E171),0,IF((YEAR(D171)+13)&gt;YEAR(E171),1,(12-MONTH(E171)+1)/12)))*(1/(1+DiscountRate)^13))</f>
        <v/>
      </c>
      <c r="BW171" s="36">
        <f>IF(A171="","",(K171)*(IF((YEAR(D171)+14)&lt;YEAR(E171),0,IF((YEAR(D171)+14)&gt;YEAR(E171),1,(12-MONTH(E171)+1)/12)))*(1/(1+DiscountRate)^14))</f>
        <v/>
      </c>
      <c r="BX171" s="36">
        <f>IF(A171="","",(K171)*(IF((YEAR(D171)+15)&lt;YEAR(E171),0,IF((YEAR(D171)+15)&gt;YEAR(E171),1,(12-MONTH(E171)+1)/12)))*(1/(1+DiscountRate)^15))</f>
        <v/>
      </c>
      <c r="BY171" s="36">
        <f>IF(A171="","",(K171)*(IF((YEAR(D171)+16)&lt;YEAR(E171),0,IF((YEAR(D171)+16)&gt;YEAR(E171),1,(12-MONTH(E171)+1)/12)))*(1/(1+DiscountRate)^16))</f>
        <v/>
      </c>
      <c r="BZ171" s="36">
        <f>IF(A171="","",(K171)*(IF((YEAR(D171)+17)&lt;YEAR(E171),0,IF((YEAR(D171)+17)&gt;YEAR(E171),1,(12-MONTH(E171)+1)/12)))*(1/(1+DiscountRate)^17))</f>
        <v/>
      </c>
      <c r="CA171" s="36">
        <f>IF(A171="","",(K171)*(IF((YEAR(D171)+18)&lt;YEAR(E171),0,IF((YEAR(D171)+18)&gt;YEAR(E171),1,(12-MONTH(E171)+1)/12)))*(1/(1+DiscountRate)^18))</f>
        <v/>
      </c>
      <c r="CB171" s="36">
        <f>IF(A171="","",(K171)*(IF((YEAR(D171)+19)&lt;YEAR(E171),0,IF((YEAR(D171)+19)&gt;YEAR(E171),1,(12-MONTH(E171)+1)/12)))*(1/(1+DiscountRate)^19))</f>
        <v/>
      </c>
      <c r="CC171" s="36">
        <f>IF(A171="","",(K171)*(IF((YEAR(D171)+20)&lt;YEAR(E171),0,IF((YEAR(D171)+20)&gt;YEAR(E171),1,(12-MONTH(E171)+1)/12)))*(1/(1+DiscountRate)^20))</f>
        <v/>
      </c>
      <c r="CD171" s="29">
        <f>IF(A171="","",S171/(1+DiscountRate)^0+T171/(1+DiscountRate)^1+U171/(1+DiscountRate)^2+V171/(1+DiscountRate)^3+W171/(1+DiscountRate)^4+X171/(1+DiscountRate)^5+Y171/(1+DiscountRate)^6+Z171/(1+DiscountRate)^7+AA171/(1+DiscountRate)^8+AB171/(1+DiscountRate)^9+AC171/(1+DiscountRate)^10+AD171/(1+DiscountRate)^11+AE171/(1+DiscountRate)^12+AF171/(1+DiscountRate)^13+AG171/(1+DiscountRate)^14+AH171/(1+DiscountRate)^15+AI171/(1+DiscountRate)^16+AJ171/(1+DiscountRate)^17+AK171/(1+DiscountRate)^18+AL171/(1+DiscountRate)^19+AM171/(1+DiscountRate)^20)</f>
        <v/>
      </c>
      <c r="CE171" s="37">
        <f>IF(A171="","",IFERROR(IRR(OFFSET(S171,0,0,1,MIN(HorizonYears,20)+1)),"n/a"))</f>
        <v/>
      </c>
      <c r="CF171" s="28">
        <f>IF(A171="","",IFERROR(MATCH(TRUE,OFFSET(AN171,0,0,1,MIN(HorizonYears,20)+1)&gt;=0,0)-1,"n/a"))</f>
        <v/>
      </c>
      <c r="CG171" s="36">
        <f>IF(A171="","",SUM(OFFSET(BI171,0,0,1,MIN(HorizonYears,20)+1)))</f>
        <v/>
      </c>
      <c r="CH171" s="36">
        <f>IF(A171="","",IFERROR(-CD171/CG171,"n/a"))</f>
        <v/>
      </c>
    </row>
    <row r="172">
      <c r="A172" s="6">
        <f>Actions!A170</f>
        <v/>
      </c>
      <c r="B172" s="6">
        <f>Actions!B170</f>
        <v/>
      </c>
      <c r="C172" s="6">
        <f>Actions!D170</f>
        <v/>
      </c>
      <c r="D172" s="35">
        <f>Actions!E170</f>
        <v/>
      </c>
      <c r="E172" s="35">
        <f>Actions!F170</f>
        <v/>
      </c>
      <c r="F172" s="6">
        <f>Actions!G170</f>
        <v/>
      </c>
      <c r="G172" s="6">
        <f>Actions!H170</f>
        <v/>
      </c>
      <c r="H172" s="29">
        <f>Actions!I170</f>
        <v/>
      </c>
      <c r="I172" s="6">
        <f>Actions!J170</f>
        <v/>
      </c>
      <c r="J172" s="16">
        <f>Actions!K170</f>
        <v/>
      </c>
      <c r="K172" s="16">
        <f>IF(A172="","",IF(I172="%",H172*J172,J172))</f>
        <v/>
      </c>
      <c r="L172" s="16">
        <f>Actions!L170</f>
        <v/>
      </c>
      <c r="M172" s="6">
        <f>Actions!M170</f>
        <v/>
      </c>
      <c r="N172" s="28">
        <f>Actions!N170</f>
        <v/>
      </c>
      <c r="O172" s="29">
        <f>Actions!T170</f>
        <v/>
      </c>
      <c r="P172" s="29">
        <f>Actions!Y170</f>
        <v/>
      </c>
      <c r="Q172" s="29">
        <f>Actions!Z170</f>
        <v/>
      </c>
      <c r="R172" s="29">
        <f>Actions!AA170</f>
        <v/>
      </c>
      <c r="S172" s="29">
        <f>IF(A172="","",((K172)*(IF(M172="",L172,IFERROR(IF(INDEX(Variablen!$I:$AT, MATCH(M172, Variablen!$A:$A, 0), MATCH((YEAR(D172)+0), Variablen!$I$3:$AT$3, 0))="",L172,INDEX(Variablen!$I:$AT, MATCH(M172, Variablen!$A:$A, 0), MATCH((YEAR(D172)+0), Variablen!$I$3:$AT$3, 0))),L172)))*(IF((YEAR(D172)+0)&lt;YEAR(E172),0,IF((YEAR(D172)+0)&gt;YEAR(E172),1,(12-MONTH(E172)+1)/12))) + (Q172)*(IF((YEAR(D172)+0)&lt;YEAR(E172),0,IF((YEAR(D172)+0)&gt;YEAR(E172),1,(12-MONTH(E172)+1)/12))))-((P172)*(IF((YEAR(D172)+0)&lt;YEAR(E172),0,IF((YEAR(D172)+0)&gt;YEAR(E172),1,(12-MONTH(E172)+1)/12))) + (R172)*(IF((YEAR(D172)+0)&lt;YEAR(E172),0,IF((YEAR(D172)+0)&gt;YEAR(E172),1,(12-MONTH(E172)+1)/12))))-(IF((((K172)*(IF(M172="",L172,IFERROR(IF(INDEX(Variablen!$I:$AT, MATCH(M172, Variablen!$A:$A, 0), MATCH((YEAR(D172)+0), Variablen!$I$3:$AT$3, 0))="",L172,INDEX(Variablen!$I:$AT, MATCH(M172, Variablen!$A:$A, 0), MATCH((YEAR(D172)+0), Variablen!$I$3:$AT$3, 0))),L172)))*(IF((YEAR(D172)+0)&lt;YEAR(E172),0,IF((YEAR(D172)+0)&gt;YEAR(E172),1,(12-MONTH(E172)+1)/12))) + (Q172)*(IF((YEAR(D172)+0)&lt;YEAR(E172),0,IF((YEAR(D172)+0)&gt;YEAR(E172),1,(12-MONTH(E172)+1)/12))))-((P172)*(IF((YEAR(D172)+0)&lt;YEAR(E172),0,IF((YEAR(D172)+0)&gt;YEAR(E172),1,(12-MONTH(E172)+1)/12))) + (R172)*(IF((YEAR(D172)+0)&lt;YEAR(E172),0,IF((YEAR(D172)+0)&gt;YEAR(E172),1,(12-MONTH(E172)+1)/12))))-(IF(OR(N172="",N172&lt;=0),0,(O172/N172)*(IF(OR(N172="",N172&lt;=0),0,IF((YEAR(D172)+0)&lt;YEAR(E172),0,IF((YEAR(D172)+0)&gt;=YEAR(E172)+N172,0,IF((YEAR(D172)+0)=YEAR(E172),(12-MONTH(E172)+1)/12,1))))))))&gt;0,(((K172)*(IF(M172="",L172,IFERROR(IF(INDEX(Variablen!$I:$AT, MATCH(M172, Variablen!$A:$A, 0), MATCH((YEAR(D172)+0), Variablen!$I$3:$AT$3, 0))="",L172,INDEX(Variablen!$I:$AT, MATCH(M172, Variablen!$A:$A, 0), MATCH((YEAR(D172)+0), Variablen!$I$3:$AT$3, 0))),L172)))*(IF((YEAR(D172)+0)&lt;YEAR(E172),0,IF((YEAR(D172)+0)&gt;YEAR(E172),1,(12-MONTH(E172)+1)/12))) + (Q172)*(IF((YEAR(D172)+0)&lt;YEAR(E172),0,IF((YEAR(D172)+0)&gt;YEAR(E172),1,(12-MONTH(E172)+1)/12))))-((P172)*(IF((YEAR(D172)+0)&lt;YEAR(E172),0,IF((YEAR(D172)+0)&gt;YEAR(E172),1,(12-MONTH(E172)+1)/12))) + (R172)*(IF((YEAR(D172)+0)&lt;YEAR(E172),0,IF((YEAR(D172)+0)&gt;YEAR(E172),1,(12-MONTH(E172)+1)/12))))-(IF(OR(N172="",N172&lt;=0),0,(O172/N172)*(IF(OR(N172="",N172&lt;=0),0,IF((YEAR(D172)+0)&lt;YEAR(E172),0,IF((YEAR(D172)+0)&gt;=YEAR(E172)+N172,0,IF((YEAR(D172)+0)=YEAR(E172),(12-MONTH(E172)+1)/12,1))))))))*TaxRate,0))-IF(0=0,O172,0))</f>
        <v/>
      </c>
      <c r="T172" s="29">
        <f>IF(A172="","",((K172)*(IF(M172="",L172,IFERROR(IF(INDEX(Variablen!$I:$AT, MATCH(M172, Variablen!$A:$A, 0), MATCH((YEAR(D172)+1), Variablen!$I$3:$AT$3, 0))="",L172,INDEX(Variablen!$I:$AT, MATCH(M172, Variablen!$A:$A, 0), MATCH((YEAR(D172)+1), Variablen!$I$3:$AT$3, 0))),L172)))*(IF((YEAR(D172)+1)&lt;YEAR(E172),0,IF((YEAR(D172)+1)&gt;YEAR(E172),1,(12-MONTH(E172)+1)/12))) + (Q172)*(IF((YEAR(D172)+1)&lt;YEAR(E172),0,IF((YEAR(D172)+1)&gt;YEAR(E172),1,(12-MONTH(E172)+1)/12))))-((P172)*(IF((YEAR(D172)+1)&lt;YEAR(E172),0,IF((YEAR(D172)+1)&gt;YEAR(E172),1,(12-MONTH(E172)+1)/12))) + (R172)*(IF((YEAR(D172)+1)&lt;YEAR(E172),0,IF((YEAR(D172)+1)&gt;YEAR(E172),1,(12-MONTH(E172)+1)/12))))-(IF((((K172)*(IF(M172="",L172,IFERROR(IF(INDEX(Variablen!$I:$AT, MATCH(M172, Variablen!$A:$A, 0), MATCH((YEAR(D172)+1), Variablen!$I$3:$AT$3, 0))="",L172,INDEX(Variablen!$I:$AT, MATCH(M172, Variablen!$A:$A, 0), MATCH((YEAR(D172)+1), Variablen!$I$3:$AT$3, 0))),L172)))*(IF((YEAR(D172)+1)&lt;YEAR(E172),0,IF((YEAR(D172)+1)&gt;YEAR(E172),1,(12-MONTH(E172)+1)/12))) + (Q172)*(IF((YEAR(D172)+1)&lt;YEAR(E172),0,IF((YEAR(D172)+1)&gt;YEAR(E172),1,(12-MONTH(E172)+1)/12))))-((P172)*(IF((YEAR(D172)+1)&lt;YEAR(E172),0,IF((YEAR(D172)+1)&gt;YEAR(E172),1,(12-MONTH(E172)+1)/12))) + (R172)*(IF((YEAR(D172)+1)&lt;YEAR(E172),0,IF((YEAR(D172)+1)&gt;YEAR(E172),1,(12-MONTH(E172)+1)/12))))-(IF(OR(N172="",N172&lt;=0),0,(O172/N172)*(IF(OR(N172="",N172&lt;=0),0,IF((YEAR(D172)+1)&lt;YEAR(E172),0,IF((YEAR(D172)+1)&gt;=YEAR(E172)+N172,0,IF((YEAR(D172)+1)=YEAR(E172),(12-MONTH(E172)+1)/12,1))))))))&gt;0,(((K172)*(IF(M172="",L172,IFERROR(IF(INDEX(Variablen!$I:$AT, MATCH(M172, Variablen!$A:$A, 0), MATCH((YEAR(D172)+1), Variablen!$I$3:$AT$3, 0))="",L172,INDEX(Variablen!$I:$AT, MATCH(M172, Variablen!$A:$A, 0), MATCH((YEAR(D172)+1), Variablen!$I$3:$AT$3, 0))),L172)))*(IF((YEAR(D172)+1)&lt;YEAR(E172),0,IF((YEAR(D172)+1)&gt;YEAR(E172),1,(12-MONTH(E172)+1)/12))) + (Q172)*(IF((YEAR(D172)+1)&lt;YEAR(E172),0,IF((YEAR(D172)+1)&gt;YEAR(E172),1,(12-MONTH(E172)+1)/12))))-((P172)*(IF((YEAR(D172)+1)&lt;YEAR(E172),0,IF((YEAR(D172)+1)&gt;YEAR(E172),1,(12-MONTH(E172)+1)/12))) + (R172)*(IF((YEAR(D172)+1)&lt;YEAR(E172),0,IF((YEAR(D172)+1)&gt;YEAR(E172),1,(12-MONTH(E172)+1)/12))))-(IF(OR(N172="",N172&lt;=0),0,(O172/N172)*(IF(OR(N172="",N172&lt;=0),0,IF((YEAR(D172)+1)&lt;YEAR(E172),0,IF((YEAR(D172)+1)&gt;=YEAR(E172)+N172,0,IF((YEAR(D172)+1)=YEAR(E172),(12-MONTH(E172)+1)/12,1))))))))*TaxRate,0))-IF(1=0,O172,0))</f>
        <v/>
      </c>
      <c r="U172" s="29">
        <f>IF(A172="","",((K172)*(IF(M172="",L172,IFERROR(IF(INDEX(Variablen!$I:$AT, MATCH(M172, Variablen!$A:$A, 0), MATCH((YEAR(D172)+2), Variablen!$I$3:$AT$3, 0))="",L172,INDEX(Variablen!$I:$AT, MATCH(M172, Variablen!$A:$A, 0), MATCH((YEAR(D172)+2), Variablen!$I$3:$AT$3, 0))),L172)))*(IF((YEAR(D172)+2)&lt;YEAR(E172),0,IF((YEAR(D172)+2)&gt;YEAR(E172),1,(12-MONTH(E172)+1)/12))) + (Q172)*(IF((YEAR(D172)+2)&lt;YEAR(E172),0,IF((YEAR(D172)+2)&gt;YEAR(E172),1,(12-MONTH(E172)+1)/12))))-((P172)*(IF((YEAR(D172)+2)&lt;YEAR(E172),0,IF((YEAR(D172)+2)&gt;YEAR(E172),1,(12-MONTH(E172)+1)/12))) + (R172)*(IF((YEAR(D172)+2)&lt;YEAR(E172),0,IF((YEAR(D172)+2)&gt;YEAR(E172),1,(12-MONTH(E172)+1)/12))))-(IF((((K172)*(IF(M172="",L172,IFERROR(IF(INDEX(Variablen!$I:$AT, MATCH(M172, Variablen!$A:$A, 0), MATCH((YEAR(D172)+2), Variablen!$I$3:$AT$3, 0))="",L172,INDEX(Variablen!$I:$AT, MATCH(M172, Variablen!$A:$A, 0), MATCH((YEAR(D172)+2), Variablen!$I$3:$AT$3, 0))),L172)))*(IF((YEAR(D172)+2)&lt;YEAR(E172),0,IF((YEAR(D172)+2)&gt;YEAR(E172),1,(12-MONTH(E172)+1)/12))) + (Q172)*(IF((YEAR(D172)+2)&lt;YEAR(E172),0,IF((YEAR(D172)+2)&gt;YEAR(E172),1,(12-MONTH(E172)+1)/12))))-((P172)*(IF((YEAR(D172)+2)&lt;YEAR(E172),0,IF((YEAR(D172)+2)&gt;YEAR(E172),1,(12-MONTH(E172)+1)/12))) + (R172)*(IF((YEAR(D172)+2)&lt;YEAR(E172),0,IF((YEAR(D172)+2)&gt;YEAR(E172),1,(12-MONTH(E172)+1)/12))))-(IF(OR(N172="",N172&lt;=0),0,(O172/N172)*(IF(OR(N172="",N172&lt;=0),0,IF((YEAR(D172)+2)&lt;YEAR(E172),0,IF((YEAR(D172)+2)&gt;=YEAR(E172)+N172,0,IF((YEAR(D172)+2)=YEAR(E172),(12-MONTH(E172)+1)/12,1))))))))&gt;0,(((K172)*(IF(M172="",L172,IFERROR(IF(INDEX(Variablen!$I:$AT, MATCH(M172, Variablen!$A:$A, 0), MATCH((YEAR(D172)+2), Variablen!$I$3:$AT$3, 0))="",L172,INDEX(Variablen!$I:$AT, MATCH(M172, Variablen!$A:$A, 0), MATCH((YEAR(D172)+2), Variablen!$I$3:$AT$3, 0))),L172)))*(IF((YEAR(D172)+2)&lt;YEAR(E172),0,IF((YEAR(D172)+2)&gt;YEAR(E172),1,(12-MONTH(E172)+1)/12))) + (Q172)*(IF((YEAR(D172)+2)&lt;YEAR(E172),0,IF((YEAR(D172)+2)&gt;YEAR(E172),1,(12-MONTH(E172)+1)/12))))-((P172)*(IF((YEAR(D172)+2)&lt;YEAR(E172),0,IF((YEAR(D172)+2)&gt;YEAR(E172),1,(12-MONTH(E172)+1)/12))) + (R172)*(IF((YEAR(D172)+2)&lt;YEAR(E172),0,IF((YEAR(D172)+2)&gt;YEAR(E172),1,(12-MONTH(E172)+1)/12))))-(IF(OR(N172="",N172&lt;=0),0,(O172/N172)*(IF(OR(N172="",N172&lt;=0),0,IF((YEAR(D172)+2)&lt;YEAR(E172),0,IF((YEAR(D172)+2)&gt;=YEAR(E172)+N172,0,IF((YEAR(D172)+2)=YEAR(E172),(12-MONTH(E172)+1)/12,1))))))))*TaxRate,0))-IF(2=0,O172,0))</f>
        <v/>
      </c>
      <c r="V172" s="29">
        <f>IF(A172="","",((K172)*(IF(M172="",L172,IFERROR(IF(INDEX(Variablen!$I:$AT, MATCH(M172, Variablen!$A:$A, 0), MATCH((YEAR(D172)+3), Variablen!$I$3:$AT$3, 0))="",L172,INDEX(Variablen!$I:$AT, MATCH(M172, Variablen!$A:$A, 0), MATCH((YEAR(D172)+3), Variablen!$I$3:$AT$3, 0))),L172)))*(IF((YEAR(D172)+3)&lt;YEAR(E172),0,IF((YEAR(D172)+3)&gt;YEAR(E172),1,(12-MONTH(E172)+1)/12))) + (Q172)*(IF((YEAR(D172)+3)&lt;YEAR(E172),0,IF((YEAR(D172)+3)&gt;YEAR(E172),1,(12-MONTH(E172)+1)/12))))-((P172)*(IF((YEAR(D172)+3)&lt;YEAR(E172),0,IF((YEAR(D172)+3)&gt;YEAR(E172),1,(12-MONTH(E172)+1)/12))) + (R172)*(IF((YEAR(D172)+3)&lt;YEAR(E172),0,IF((YEAR(D172)+3)&gt;YEAR(E172),1,(12-MONTH(E172)+1)/12))))-(IF((((K172)*(IF(M172="",L172,IFERROR(IF(INDEX(Variablen!$I:$AT, MATCH(M172, Variablen!$A:$A, 0), MATCH((YEAR(D172)+3), Variablen!$I$3:$AT$3, 0))="",L172,INDEX(Variablen!$I:$AT, MATCH(M172, Variablen!$A:$A, 0), MATCH((YEAR(D172)+3), Variablen!$I$3:$AT$3, 0))),L172)))*(IF((YEAR(D172)+3)&lt;YEAR(E172),0,IF((YEAR(D172)+3)&gt;YEAR(E172),1,(12-MONTH(E172)+1)/12))) + (Q172)*(IF((YEAR(D172)+3)&lt;YEAR(E172),0,IF((YEAR(D172)+3)&gt;YEAR(E172),1,(12-MONTH(E172)+1)/12))))-((P172)*(IF((YEAR(D172)+3)&lt;YEAR(E172),0,IF((YEAR(D172)+3)&gt;YEAR(E172),1,(12-MONTH(E172)+1)/12))) + (R172)*(IF((YEAR(D172)+3)&lt;YEAR(E172),0,IF((YEAR(D172)+3)&gt;YEAR(E172),1,(12-MONTH(E172)+1)/12))))-(IF(OR(N172="",N172&lt;=0),0,(O172/N172)*(IF(OR(N172="",N172&lt;=0),0,IF((YEAR(D172)+3)&lt;YEAR(E172),0,IF((YEAR(D172)+3)&gt;=YEAR(E172)+N172,0,IF((YEAR(D172)+3)=YEAR(E172),(12-MONTH(E172)+1)/12,1))))))))&gt;0,(((K172)*(IF(M172="",L172,IFERROR(IF(INDEX(Variablen!$I:$AT, MATCH(M172, Variablen!$A:$A, 0), MATCH((YEAR(D172)+3), Variablen!$I$3:$AT$3, 0))="",L172,INDEX(Variablen!$I:$AT, MATCH(M172, Variablen!$A:$A, 0), MATCH((YEAR(D172)+3), Variablen!$I$3:$AT$3, 0))),L172)))*(IF((YEAR(D172)+3)&lt;YEAR(E172),0,IF((YEAR(D172)+3)&gt;YEAR(E172),1,(12-MONTH(E172)+1)/12))) + (Q172)*(IF((YEAR(D172)+3)&lt;YEAR(E172),0,IF((YEAR(D172)+3)&gt;YEAR(E172),1,(12-MONTH(E172)+1)/12))))-((P172)*(IF((YEAR(D172)+3)&lt;YEAR(E172),0,IF((YEAR(D172)+3)&gt;YEAR(E172),1,(12-MONTH(E172)+1)/12))) + (R172)*(IF((YEAR(D172)+3)&lt;YEAR(E172),0,IF((YEAR(D172)+3)&gt;YEAR(E172),1,(12-MONTH(E172)+1)/12))))-(IF(OR(N172="",N172&lt;=0),0,(O172/N172)*(IF(OR(N172="",N172&lt;=0),0,IF((YEAR(D172)+3)&lt;YEAR(E172),0,IF((YEAR(D172)+3)&gt;=YEAR(E172)+N172,0,IF((YEAR(D172)+3)=YEAR(E172),(12-MONTH(E172)+1)/12,1))))))))*TaxRate,0))-IF(3=0,O172,0))</f>
        <v/>
      </c>
      <c r="W172" s="29">
        <f>IF(A172="","",((K172)*(IF(M172="",L172,IFERROR(IF(INDEX(Variablen!$I:$AT, MATCH(M172, Variablen!$A:$A, 0), MATCH((YEAR(D172)+4), Variablen!$I$3:$AT$3, 0))="",L172,INDEX(Variablen!$I:$AT, MATCH(M172, Variablen!$A:$A, 0), MATCH((YEAR(D172)+4), Variablen!$I$3:$AT$3, 0))),L172)))*(IF((YEAR(D172)+4)&lt;YEAR(E172),0,IF((YEAR(D172)+4)&gt;YEAR(E172),1,(12-MONTH(E172)+1)/12))) + (Q172)*(IF((YEAR(D172)+4)&lt;YEAR(E172),0,IF((YEAR(D172)+4)&gt;YEAR(E172),1,(12-MONTH(E172)+1)/12))))-((P172)*(IF((YEAR(D172)+4)&lt;YEAR(E172),0,IF((YEAR(D172)+4)&gt;YEAR(E172),1,(12-MONTH(E172)+1)/12))) + (R172)*(IF((YEAR(D172)+4)&lt;YEAR(E172),0,IF((YEAR(D172)+4)&gt;YEAR(E172),1,(12-MONTH(E172)+1)/12))))-(IF((((K172)*(IF(M172="",L172,IFERROR(IF(INDEX(Variablen!$I:$AT, MATCH(M172, Variablen!$A:$A, 0), MATCH((YEAR(D172)+4), Variablen!$I$3:$AT$3, 0))="",L172,INDEX(Variablen!$I:$AT, MATCH(M172, Variablen!$A:$A, 0), MATCH((YEAR(D172)+4), Variablen!$I$3:$AT$3, 0))),L172)))*(IF((YEAR(D172)+4)&lt;YEAR(E172),0,IF((YEAR(D172)+4)&gt;YEAR(E172),1,(12-MONTH(E172)+1)/12))) + (Q172)*(IF((YEAR(D172)+4)&lt;YEAR(E172),0,IF((YEAR(D172)+4)&gt;YEAR(E172),1,(12-MONTH(E172)+1)/12))))-((P172)*(IF((YEAR(D172)+4)&lt;YEAR(E172),0,IF((YEAR(D172)+4)&gt;YEAR(E172),1,(12-MONTH(E172)+1)/12))) + (R172)*(IF((YEAR(D172)+4)&lt;YEAR(E172),0,IF((YEAR(D172)+4)&gt;YEAR(E172),1,(12-MONTH(E172)+1)/12))))-(IF(OR(N172="",N172&lt;=0),0,(O172/N172)*(IF(OR(N172="",N172&lt;=0),0,IF((YEAR(D172)+4)&lt;YEAR(E172),0,IF((YEAR(D172)+4)&gt;=YEAR(E172)+N172,0,IF((YEAR(D172)+4)=YEAR(E172),(12-MONTH(E172)+1)/12,1))))))))&gt;0,(((K172)*(IF(M172="",L172,IFERROR(IF(INDEX(Variablen!$I:$AT, MATCH(M172, Variablen!$A:$A, 0), MATCH((YEAR(D172)+4), Variablen!$I$3:$AT$3, 0))="",L172,INDEX(Variablen!$I:$AT, MATCH(M172, Variablen!$A:$A, 0), MATCH((YEAR(D172)+4), Variablen!$I$3:$AT$3, 0))),L172)))*(IF((YEAR(D172)+4)&lt;YEAR(E172),0,IF((YEAR(D172)+4)&gt;YEAR(E172),1,(12-MONTH(E172)+1)/12))) + (Q172)*(IF((YEAR(D172)+4)&lt;YEAR(E172),0,IF((YEAR(D172)+4)&gt;YEAR(E172),1,(12-MONTH(E172)+1)/12))))-((P172)*(IF((YEAR(D172)+4)&lt;YEAR(E172),0,IF((YEAR(D172)+4)&gt;YEAR(E172),1,(12-MONTH(E172)+1)/12))) + (R172)*(IF((YEAR(D172)+4)&lt;YEAR(E172),0,IF((YEAR(D172)+4)&gt;YEAR(E172),1,(12-MONTH(E172)+1)/12))))-(IF(OR(N172="",N172&lt;=0),0,(O172/N172)*(IF(OR(N172="",N172&lt;=0),0,IF((YEAR(D172)+4)&lt;YEAR(E172),0,IF((YEAR(D172)+4)&gt;=YEAR(E172)+N172,0,IF((YEAR(D172)+4)=YEAR(E172),(12-MONTH(E172)+1)/12,1))))))))*TaxRate,0))-IF(4=0,O172,0))</f>
        <v/>
      </c>
      <c r="X172" s="29">
        <f>IF(A172="","",((K172)*(IF(M172="",L172,IFERROR(IF(INDEX(Variablen!$I:$AT, MATCH(M172, Variablen!$A:$A, 0), MATCH((YEAR(D172)+5), Variablen!$I$3:$AT$3, 0))="",L172,INDEX(Variablen!$I:$AT, MATCH(M172, Variablen!$A:$A, 0), MATCH((YEAR(D172)+5), Variablen!$I$3:$AT$3, 0))),L172)))*(IF((YEAR(D172)+5)&lt;YEAR(E172),0,IF((YEAR(D172)+5)&gt;YEAR(E172),1,(12-MONTH(E172)+1)/12))) + (Q172)*(IF((YEAR(D172)+5)&lt;YEAR(E172),0,IF((YEAR(D172)+5)&gt;YEAR(E172),1,(12-MONTH(E172)+1)/12))))-((P172)*(IF((YEAR(D172)+5)&lt;YEAR(E172),0,IF((YEAR(D172)+5)&gt;YEAR(E172),1,(12-MONTH(E172)+1)/12))) + (R172)*(IF((YEAR(D172)+5)&lt;YEAR(E172),0,IF((YEAR(D172)+5)&gt;YEAR(E172),1,(12-MONTH(E172)+1)/12))))-(IF((((K172)*(IF(M172="",L172,IFERROR(IF(INDEX(Variablen!$I:$AT, MATCH(M172, Variablen!$A:$A, 0), MATCH((YEAR(D172)+5), Variablen!$I$3:$AT$3, 0))="",L172,INDEX(Variablen!$I:$AT, MATCH(M172, Variablen!$A:$A, 0), MATCH((YEAR(D172)+5), Variablen!$I$3:$AT$3, 0))),L172)))*(IF((YEAR(D172)+5)&lt;YEAR(E172),0,IF((YEAR(D172)+5)&gt;YEAR(E172),1,(12-MONTH(E172)+1)/12))) + (Q172)*(IF((YEAR(D172)+5)&lt;YEAR(E172),0,IF((YEAR(D172)+5)&gt;YEAR(E172),1,(12-MONTH(E172)+1)/12))))-((P172)*(IF((YEAR(D172)+5)&lt;YEAR(E172),0,IF((YEAR(D172)+5)&gt;YEAR(E172),1,(12-MONTH(E172)+1)/12))) + (R172)*(IF((YEAR(D172)+5)&lt;YEAR(E172),0,IF((YEAR(D172)+5)&gt;YEAR(E172),1,(12-MONTH(E172)+1)/12))))-(IF(OR(N172="",N172&lt;=0),0,(O172/N172)*(IF(OR(N172="",N172&lt;=0),0,IF((YEAR(D172)+5)&lt;YEAR(E172),0,IF((YEAR(D172)+5)&gt;=YEAR(E172)+N172,0,IF((YEAR(D172)+5)=YEAR(E172),(12-MONTH(E172)+1)/12,1))))))))&gt;0,(((K172)*(IF(M172="",L172,IFERROR(IF(INDEX(Variablen!$I:$AT, MATCH(M172, Variablen!$A:$A, 0), MATCH((YEAR(D172)+5), Variablen!$I$3:$AT$3, 0))="",L172,INDEX(Variablen!$I:$AT, MATCH(M172, Variablen!$A:$A, 0), MATCH((YEAR(D172)+5), Variablen!$I$3:$AT$3, 0))),L172)))*(IF((YEAR(D172)+5)&lt;YEAR(E172),0,IF((YEAR(D172)+5)&gt;YEAR(E172),1,(12-MONTH(E172)+1)/12))) + (Q172)*(IF((YEAR(D172)+5)&lt;YEAR(E172),0,IF((YEAR(D172)+5)&gt;YEAR(E172),1,(12-MONTH(E172)+1)/12))))-((P172)*(IF((YEAR(D172)+5)&lt;YEAR(E172),0,IF((YEAR(D172)+5)&gt;YEAR(E172),1,(12-MONTH(E172)+1)/12))) + (R172)*(IF((YEAR(D172)+5)&lt;YEAR(E172),0,IF((YEAR(D172)+5)&gt;YEAR(E172),1,(12-MONTH(E172)+1)/12))))-(IF(OR(N172="",N172&lt;=0),0,(O172/N172)*(IF(OR(N172="",N172&lt;=0),0,IF((YEAR(D172)+5)&lt;YEAR(E172),0,IF((YEAR(D172)+5)&gt;=YEAR(E172)+N172,0,IF((YEAR(D172)+5)=YEAR(E172),(12-MONTH(E172)+1)/12,1))))))))*TaxRate,0))-IF(5=0,O172,0))</f>
        <v/>
      </c>
      <c r="Y172" s="29">
        <f>IF(A172="","",((K172)*(IF(M172="",L172,IFERROR(IF(INDEX(Variablen!$I:$AT, MATCH(M172, Variablen!$A:$A, 0), MATCH((YEAR(D172)+6), Variablen!$I$3:$AT$3, 0))="",L172,INDEX(Variablen!$I:$AT, MATCH(M172, Variablen!$A:$A, 0), MATCH((YEAR(D172)+6), Variablen!$I$3:$AT$3, 0))),L172)))*(IF((YEAR(D172)+6)&lt;YEAR(E172),0,IF((YEAR(D172)+6)&gt;YEAR(E172),1,(12-MONTH(E172)+1)/12))) + (Q172)*(IF((YEAR(D172)+6)&lt;YEAR(E172),0,IF((YEAR(D172)+6)&gt;YEAR(E172),1,(12-MONTH(E172)+1)/12))))-((P172)*(IF((YEAR(D172)+6)&lt;YEAR(E172),0,IF((YEAR(D172)+6)&gt;YEAR(E172),1,(12-MONTH(E172)+1)/12))) + (R172)*(IF((YEAR(D172)+6)&lt;YEAR(E172),0,IF((YEAR(D172)+6)&gt;YEAR(E172),1,(12-MONTH(E172)+1)/12))))-(IF((((K172)*(IF(M172="",L172,IFERROR(IF(INDEX(Variablen!$I:$AT, MATCH(M172, Variablen!$A:$A, 0), MATCH((YEAR(D172)+6), Variablen!$I$3:$AT$3, 0))="",L172,INDEX(Variablen!$I:$AT, MATCH(M172, Variablen!$A:$A, 0), MATCH((YEAR(D172)+6), Variablen!$I$3:$AT$3, 0))),L172)))*(IF((YEAR(D172)+6)&lt;YEAR(E172),0,IF((YEAR(D172)+6)&gt;YEAR(E172),1,(12-MONTH(E172)+1)/12))) + (Q172)*(IF((YEAR(D172)+6)&lt;YEAR(E172),0,IF((YEAR(D172)+6)&gt;YEAR(E172),1,(12-MONTH(E172)+1)/12))))-((P172)*(IF((YEAR(D172)+6)&lt;YEAR(E172),0,IF((YEAR(D172)+6)&gt;YEAR(E172),1,(12-MONTH(E172)+1)/12))) + (R172)*(IF((YEAR(D172)+6)&lt;YEAR(E172),0,IF((YEAR(D172)+6)&gt;YEAR(E172),1,(12-MONTH(E172)+1)/12))))-(IF(OR(N172="",N172&lt;=0),0,(O172/N172)*(IF(OR(N172="",N172&lt;=0),0,IF((YEAR(D172)+6)&lt;YEAR(E172),0,IF((YEAR(D172)+6)&gt;=YEAR(E172)+N172,0,IF((YEAR(D172)+6)=YEAR(E172),(12-MONTH(E172)+1)/12,1))))))))&gt;0,(((K172)*(IF(M172="",L172,IFERROR(IF(INDEX(Variablen!$I:$AT, MATCH(M172, Variablen!$A:$A, 0), MATCH((YEAR(D172)+6), Variablen!$I$3:$AT$3, 0))="",L172,INDEX(Variablen!$I:$AT, MATCH(M172, Variablen!$A:$A, 0), MATCH((YEAR(D172)+6), Variablen!$I$3:$AT$3, 0))),L172)))*(IF((YEAR(D172)+6)&lt;YEAR(E172),0,IF((YEAR(D172)+6)&gt;YEAR(E172),1,(12-MONTH(E172)+1)/12))) + (Q172)*(IF((YEAR(D172)+6)&lt;YEAR(E172),0,IF((YEAR(D172)+6)&gt;YEAR(E172),1,(12-MONTH(E172)+1)/12))))-((P172)*(IF((YEAR(D172)+6)&lt;YEAR(E172),0,IF((YEAR(D172)+6)&gt;YEAR(E172),1,(12-MONTH(E172)+1)/12))) + (R172)*(IF((YEAR(D172)+6)&lt;YEAR(E172),0,IF((YEAR(D172)+6)&gt;YEAR(E172),1,(12-MONTH(E172)+1)/12))))-(IF(OR(N172="",N172&lt;=0),0,(O172/N172)*(IF(OR(N172="",N172&lt;=0),0,IF((YEAR(D172)+6)&lt;YEAR(E172),0,IF((YEAR(D172)+6)&gt;=YEAR(E172)+N172,0,IF((YEAR(D172)+6)=YEAR(E172),(12-MONTH(E172)+1)/12,1))))))))*TaxRate,0))-IF(6=0,O172,0))</f>
        <v/>
      </c>
      <c r="Z172" s="29">
        <f>IF(A172="","",((K172)*(IF(M172="",L172,IFERROR(IF(INDEX(Variablen!$I:$AT, MATCH(M172, Variablen!$A:$A, 0), MATCH((YEAR(D172)+7), Variablen!$I$3:$AT$3, 0))="",L172,INDEX(Variablen!$I:$AT, MATCH(M172, Variablen!$A:$A, 0), MATCH((YEAR(D172)+7), Variablen!$I$3:$AT$3, 0))),L172)))*(IF((YEAR(D172)+7)&lt;YEAR(E172),0,IF((YEAR(D172)+7)&gt;YEAR(E172),1,(12-MONTH(E172)+1)/12))) + (Q172)*(IF((YEAR(D172)+7)&lt;YEAR(E172),0,IF((YEAR(D172)+7)&gt;YEAR(E172),1,(12-MONTH(E172)+1)/12))))-((P172)*(IF((YEAR(D172)+7)&lt;YEAR(E172),0,IF((YEAR(D172)+7)&gt;YEAR(E172),1,(12-MONTH(E172)+1)/12))) + (R172)*(IF((YEAR(D172)+7)&lt;YEAR(E172),0,IF((YEAR(D172)+7)&gt;YEAR(E172),1,(12-MONTH(E172)+1)/12))))-(IF((((K172)*(IF(M172="",L172,IFERROR(IF(INDEX(Variablen!$I:$AT, MATCH(M172, Variablen!$A:$A, 0), MATCH((YEAR(D172)+7), Variablen!$I$3:$AT$3, 0))="",L172,INDEX(Variablen!$I:$AT, MATCH(M172, Variablen!$A:$A, 0), MATCH((YEAR(D172)+7), Variablen!$I$3:$AT$3, 0))),L172)))*(IF((YEAR(D172)+7)&lt;YEAR(E172),0,IF((YEAR(D172)+7)&gt;YEAR(E172),1,(12-MONTH(E172)+1)/12))) + (Q172)*(IF((YEAR(D172)+7)&lt;YEAR(E172),0,IF((YEAR(D172)+7)&gt;YEAR(E172),1,(12-MONTH(E172)+1)/12))))-((P172)*(IF((YEAR(D172)+7)&lt;YEAR(E172),0,IF((YEAR(D172)+7)&gt;YEAR(E172),1,(12-MONTH(E172)+1)/12))) + (R172)*(IF((YEAR(D172)+7)&lt;YEAR(E172),0,IF((YEAR(D172)+7)&gt;YEAR(E172),1,(12-MONTH(E172)+1)/12))))-(IF(OR(N172="",N172&lt;=0),0,(O172/N172)*(IF(OR(N172="",N172&lt;=0),0,IF((YEAR(D172)+7)&lt;YEAR(E172),0,IF((YEAR(D172)+7)&gt;=YEAR(E172)+N172,0,IF((YEAR(D172)+7)=YEAR(E172),(12-MONTH(E172)+1)/12,1))))))))&gt;0,(((K172)*(IF(M172="",L172,IFERROR(IF(INDEX(Variablen!$I:$AT, MATCH(M172, Variablen!$A:$A, 0), MATCH((YEAR(D172)+7), Variablen!$I$3:$AT$3, 0))="",L172,INDEX(Variablen!$I:$AT, MATCH(M172, Variablen!$A:$A, 0), MATCH((YEAR(D172)+7), Variablen!$I$3:$AT$3, 0))),L172)))*(IF((YEAR(D172)+7)&lt;YEAR(E172),0,IF((YEAR(D172)+7)&gt;YEAR(E172),1,(12-MONTH(E172)+1)/12))) + (Q172)*(IF((YEAR(D172)+7)&lt;YEAR(E172),0,IF((YEAR(D172)+7)&gt;YEAR(E172),1,(12-MONTH(E172)+1)/12))))-((P172)*(IF((YEAR(D172)+7)&lt;YEAR(E172),0,IF((YEAR(D172)+7)&gt;YEAR(E172),1,(12-MONTH(E172)+1)/12))) + (R172)*(IF((YEAR(D172)+7)&lt;YEAR(E172),0,IF((YEAR(D172)+7)&gt;YEAR(E172),1,(12-MONTH(E172)+1)/12))))-(IF(OR(N172="",N172&lt;=0),0,(O172/N172)*(IF(OR(N172="",N172&lt;=0),0,IF((YEAR(D172)+7)&lt;YEAR(E172),0,IF((YEAR(D172)+7)&gt;=YEAR(E172)+N172,0,IF((YEAR(D172)+7)=YEAR(E172),(12-MONTH(E172)+1)/12,1))))))))*TaxRate,0))-IF(7=0,O172,0))</f>
        <v/>
      </c>
      <c r="AA172" s="29">
        <f>IF(A172="","",((K172)*(IF(M172="",L172,IFERROR(IF(INDEX(Variablen!$I:$AT, MATCH(M172, Variablen!$A:$A, 0), MATCH((YEAR(D172)+8), Variablen!$I$3:$AT$3, 0))="",L172,INDEX(Variablen!$I:$AT, MATCH(M172, Variablen!$A:$A, 0), MATCH((YEAR(D172)+8), Variablen!$I$3:$AT$3, 0))),L172)))*(IF((YEAR(D172)+8)&lt;YEAR(E172),0,IF((YEAR(D172)+8)&gt;YEAR(E172),1,(12-MONTH(E172)+1)/12))) + (Q172)*(IF((YEAR(D172)+8)&lt;YEAR(E172),0,IF((YEAR(D172)+8)&gt;YEAR(E172),1,(12-MONTH(E172)+1)/12))))-((P172)*(IF((YEAR(D172)+8)&lt;YEAR(E172),0,IF((YEAR(D172)+8)&gt;YEAR(E172),1,(12-MONTH(E172)+1)/12))) + (R172)*(IF((YEAR(D172)+8)&lt;YEAR(E172),0,IF((YEAR(D172)+8)&gt;YEAR(E172),1,(12-MONTH(E172)+1)/12))))-(IF((((K172)*(IF(M172="",L172,IFERROR(IF(INDEX(Variablen!$I:$AT, MATCH(M172, Variablen!$A:$A, 0), MATCH((YEAR(D172)+8), Variablen!$I$3:$AT$3, 0))="",L172,INDEX(Variablen!$I:$AT, MATCH(M172, Variablen!$A:$A, 0), MATCH((YEAR(D172)+8), Variablen!$I$3:$AT$3, 0))),L172)))*(IF((YEAR(D172)+8)&lt;YEAR(E172),0,IF((YEAR(D172)+8)&gt;YEAR(E172),1,(12-MONTH(E172)+1)/12))) + (Q172)*(IF((YEAR(D172)+8)&lt;YEAR(E172),0,IF((YEAR(D172)+8)&gt;YEAR(E172),1,(12-MONTH(E172)+1)/12))))-((P172)*(IF((YEAR(D172)+8)&lt;YEAR(E172),0,IF((YEAR(D172)+8)&gt;YEAR(E172),1,(12-MONTH(E172)+1)/12))) + (R172)*(IF((YEAR(D172)+8)&lt;YEAR(E172),0,IF((YEAR(D172)+8)&gt;YEAR(E172),1,(12-MONTH(E172)+1)/12))))-(IF(OR(N172="",N172&lt;=0),0,(O172/N172)*(IF(OR(N172="",N172&lt;=0),0,IF((YEAR(D172)+8)&lt;YEAR(E172),0,IF((YEAR(D172)+8)&gt;=YEAR(E172)+N172,0,IF((YEAR(D172)+8)=YEAR(E172),(12-MONTH(E172)+1)/12,1))))))))&gt;0,(((K172)*(IF(M172="",L172,IFERROR(IF(INDEX(Variablen!$I:$AT, MATCH(M172, Variablen!$A:$A, 0), MATCH((YEAR(D172)+8), Variablen!$I$3:$AT$3, 0))="",L172,INDEX(Variablen!$I:$AT, MATCH(M172, Variablen!$A:$A, 0), MATCH((YEAR(D172)+8), Variablen!$I$3:$AT$3, 0))),L172)))*(IF((YEAR(D172)+8)&lt;YEAR(E172),0,IF((YEAR(D172)+8)&gt;YEAR(E172),1,(12-MONTH(E172)+1)/12))) + (Q172)*(IF((YEAR(D172)+8)&lt;YEAR(E172),0,IF((YEAR(D172)+8)&gt;YEAR(E172),1,(12-MONTH(E172)+1)/12))))-((P172)*(IF((YEAR(D172)+8)&lt;YEAR(E172),0,IF((YEAR(D172)+8)&gt;YEAR(E172),1,(12-MONTH(E172)+1)/12))) + (R172)*(IF((YEAR(D172)+8)&lt;YEAR(E172),0,IF((YEAR(D172)+8)&gt;YEAR(E172),1,(12-MONTH(E172)+1)/12))))-(IF(OR(N172="",N172&lt;=0),0,(O172/N172)*(IF(OR(N172="",N172&lt;=0),0,IF((YEAR(D172)+8)&lt;YEAR(E172),0,IF((YEAR(D172)+8)&gt;=YEAR(E172)+N172,0,IF((YEAR(D172)+8)=YEAR(E172),(12-MONTH(E172)+1)/12,1))))))))*TaxRate,0))-IF(8=0,O172,0))</f>
        <v/>
      </c>
      <c r="AB172" s="29">
        <f>IF(A172="","",((K172)*(IF(M172="",L172,IFERROR(IF(INDEX(Variablen!$I:$AT, MATCH(M172, Variablen!$A:$A, 0), MATCH((YEAR(D172)+9), Variablen!$I$3:$AT$3, 0))="",L172,INDEX(Variablen!$I:$AT, MATCH(M172, Variablen!$A:$A, 0), MATCH((YEAR(D172)+9), Variablen!$I$3:$AT$3, 0))),L172)))*(IF((YEAR(D172)+9)&lt;YEAR(E172),0,IF((YEAR(D172)+9)&gt;YEAR(E172),1,(12-MONTH(E172)+1)/12))) + (Q172)*(IF((YEAR(D172)+9)&lt;YEAR(E172),0,IF((YEAR(D172)+9)&gt;YEAR(E172),1,(12-MONTH(E172)+1)/12))))-((P172)*(IF((YEAR(D172)+9)&lt;YEAR(E172),0,IF((YEAR(D172)+9)&gt;YEAR(E172),1,(12-MONTH(E172)+1)/12))) + (R172)*(IF((YEAR(D172)+9)&lt;YEAR(E172),0,IF((YEAR(D172)+9)&gt;YEAR(E172),1,(12-MONTH(E172)+1)/12))))-(IF((((K172)*(IF(M172="",L172,IFERROR(IF(INDEX(Variablen!$I:$AT, MATCH(M172, Variablen!$A:$A, 0), MATCH((YEAR(D172)+9), Variablen!$I$3:$AT$3, 0))="",L172,INDEX(Variablen!$I:$AT, MATCH(M172, Variablen!$A:$A, 0), MATCH((YEAR(D172)+9), Variablen!$I$3:$AT$3, 0))),L172)))*(IF((YEAR(D172)+9)&lt;YEAR(E172),0,IF((YEAR(D172)+9)&gt;YEAR(E172),1,(12-MONTH(E172)+1)/12))) + (Q172)*(IF((YEAR(D172)+9)&lt;YEAR(E172),0,IF((YEAR(D172)+9)&gt;YEAR(E172),1,(12-MONTH(E172)+1)/12))))-((P172)*(IF((YEAR(D172)+9)&lt;YEAR(E172),0,IF((YEAR(D172)+9)&gt;YEAR(E172),1,(12-MONTH(E172)+1)/12))) + (R172)*(IF((YEAR(D172)+9)&lt;YEAR(E172),0,IF((YEAR(D172)+9)&gt;YEAR(E172),1,(12-MONTH(E172)+1)/12))))-(IF(OR(N172="",N172&lt;=0),0,(O172/N172)*(IF(OR(N172="",N172&lt;=0),0,IF((YEAR(D172)+9)&lt;YEAR(E172),0,IF((YEAR(D172)+9)&gt;=YEAR(E172)+N172,0,IF((YEAR(D172)+9)=YEAR(E172),(12-MONTH(E172)+1)/12,1))))))))&gt;0,(((K172)*(IF(M172="",L172,IFERROR(IF(INDEX(Variablen!$I:$AT, MATCH(M172, Variablen!$A:$A, 0), MATCH((YEAR(D172)+9), Variablen!$I$3:$AT$3, 0))="",L172,INDEX(Variablen!$I:$AT, MATCH(M172, Variablen!$A:$A, 0), MATCH((YEAR(D172)+9), Variablen!$I$3:$AT$3, 0))),L172)))*(IF((YEAR(D172)+9)&lt;YEAR(E172),0,IF((YEAR(D172)+9)&gt;YEAR(E172),1,(12-MONTH(E172)+1)/12))) + (Q172)*(IF((YEAR(D172)+9)&lt;YEAR(E172),0,IF((YEAR(D172)+9)&gt;YEAR(E172),1,(12-MONTH(E172)+1)/12))))-((P172)*(IF((YEAR(D172)+9)&lt;YEAR(E172),0,IF((YEAR(D172)+9)&gt;YEAR(E172),1,(12-MONTH(E172)+1)/12))) + (R172)*(IF((YEAR(D172)+9)&lt;YEAR(E172),0,IF((YEAR(D172)+9)&gt;YEAR(E172),1,(12-MONTH(E172)+1)/12))))-(IF(OR(N172="",N172&lt;=0),0,(O172/N172)*(IF(OR(N172="",N172&lt;=0),0,IF((YEAR(D172)+9)&lt;YEAR(E172),0,IF((YEAR(D172)+9)&gt;=YEAR(E172)+N172,0,IF((YEAR(D172)+9)=YEAR(E172),(12-MONTH(E172)+1)/12,1))))))))*TaxRate,0))-IF(9=0,O172,0))</f>
        <v/>
      </c>
      <c r="AC172" s="29">
        <f>IF(A172="","",((K172)*(IF(M172="",L172,IFERROR(IF(INDEX(Variablen!$I:$AT, MATCH(M172, Variablen!$A:$A, 0), MATCH((YEAR(D172)+10), Variablen!$I$3:$AT$3, 0))="",L172,INDEX(Variablen!$I:$AT, MATCH(M172, Variablen!$A:$A, 0), MATCH((YEAR(D172)+10), Variablen!$I$3:$AT$3, 0))),L172)))*(IF((YEAR(D172)+10)&lt;YEAR(E172),0,IF((YEAR(D172)+10)&gt;YEAR(E172),1,(12-MONTH(E172)+1)/12))) + (Q172)*(IF((YEAR(D172)+10)&lt;YEAR(E172),0,IF((YEAR(D172)+10)&gt;YEAR(E172),1,(12-MONTH(E172)+1)/12))))-((P172)*(IF((YEAR(D172)+10)&lt;YEAR(E172),0,IF((YEAR(D172)+10)&gt;YEAR(E172),1,(12-MONTH(E172)+1)/12))) + (R172)*(IF((YEAR(D172)+10)&lt;YEAR(E172),0,IF((YEAR(D172)+10)&gt;YEAR(E172),1,(12-MONTH(E172)+1)/12))))-(IF((((K172)*(IF(M172="",L172,IFERROR(IF(INDEX(Variablen!$I:$AT, MATCH(M172, Variablen!$A:$A, 0), MATCH((YEAR(D172)+10), Variablen!$I$3:$AT$3, 0))="",L172,INDEX(Variablen!$I:$AT, MATCH(M172, Variablen!$A:$A, 0), MATCH((YEAR(D172)+10), Variablen!$I$3:$AT$3, 0))),L172)))*(IF((YEAR(D172)+10)&lt;YEAR(E172),0,IF((YEAR(D172)+10)&gt;YEAR(E172),1,(12-MONTH(E172)+1)/12))) + (Q172)*(IF((YEAR(D172)+10)&lt;YEAR(E172),0,IF((YEAR(D172)+10)&gt;YEAR(E172),1,(12-MONTH(E172)+1)/12))))-((P172)*(IF((YEAR(D172)+10)&lt;YEAR(E172),0,IF((YEAR(D172)+10)&gt;YEAR(E172),1,(12-MONTH(E172)+1)/12))) + (R172)*(IF((YEAR(D172)+10)&lt;YEAR(E172),0,IF((YEAR(D172)+10)&gt;YEAR(E172),1,(12-MONTH(E172)+1)/12))))-(IF(OR(N172="",N172&lt;=0),0,(O172/N172)*(IF(OR(N172="",N172&lt;=0),0,IF((YEAR(D172)+10)&lt;YEAR(E172),0,IF((YEAR(D172)+10)&gt;=YEAR(E172)+N172,0,IF((YEAR(D172)+10)=YEAR(E172),(12-MONTH(E172)+1)/12,1))))))))&gt;0,(((K172)*(IF(M172="",L172,IFERROR(IF(INDEX(Variablen!$I:$AT, MATCH(M172, Variablen!$A:$A, 0), MATCH((YEAR(D172)+10), Variablen!$I$3:$AT$3, 0))="",L172,INDEX(Variablen!$I:$AT, MATCH(M172, Variablen!$A:$A, 0), MATCH((YEAR(D172)+10), Variablen!$I$3:$AT$3, 0))),L172)))*(IF((YEAR(D172)+10)&lt;YEAR(E172),0,IF((YEAR(D172)+10)&gt;YEAR(E172),1,(12-MONTH(E172)+1)/12))) + (Q172)*(IF((YEAR(D172)+10)&lt;YEAR(E172),0,IF((YEAR(D172)+10)&gt;YEAR(E172),1,(12-MONTH(E172)+1)/12))))-((P172)*(IF((YEAR(D172)+10)&lt;YEAR(E172),0,IF((YEAR(D172)+10)&gt;YEAR(E172),1,(12-MONTH(E172)+1)/12))) + (R172)*(IF((YEAR(D172)+10)&lt;YEAR(E172),0,IF((YEAR(D172)+10)&gt;YEAR(E172),1,(12-MONTH(E172)+1)/12))))-(IF(OR(N172="",N172&lt;=0),0,(O172/N172)*(IF(OR(N172="",N172&lt;=0),0,IF((YEAR(D172)+10)&lt;YEAR(E172),0,IF((YEAR(D172)+10)&gt;=YEAR(E172)+N172,0,IF((YEAR(D172)+10)=YEAR(E172),(12-MONTH(E172)+1)/12,1))))))))*TaxRate,0))-IF(10=0,O172,0))</f>
        <v/>
      </c>
      <c r="AD172" s="29">
        <f>IF(A172="","",((K172)*(IF(M172="",L172,IFERROR(IF(INDEX(Variablen!$I:$AT, MATCH(M172, Variablen!$A:$A, 0), MATCH((YEAR(D172)+11), Variablen!$I$3:$AT$3, 0))="",L172,INDEX(Variablen!$I:$AT, MATCH(M172, Variablen!$A:$A, 0), MATCH((YEAR(D172)+11), Variablen!$I$3:$AT$3, 0))),L172)))*(IF((YEAR(D172)+11)&lt;YEAR(E172),0,IF((YEAR(D172)+11)&gt;YEAR(E172),1,(12-MONTH(E172)+1)/12))) + (Q172)*(IF((YEAR(D172)+11)&lt;YEAR(E172),0,IF((YEAR(D172)+11)&gt;YEAR(E172),1,(12-MONTH(E172)+1)/12))))-((P172)*(IF((YEAR(D172)+11)&lt;YEAR(E172),0,IF((YEAR(D172)+11)&gt;YEAR(E172),1,(12-MONTH(E172)+1)/12))) + (R172)*(IF((YEAR(D172)+11)&lt;YEAR(E172),0,IF((YEAR(D172)+11)&gt;YEAR(E172),1,(12-MONTH(E172)+1)/12))))-(IF((((K172)*(IF(M172="",L172,IFERROR(IF(INDEX(Variablen!$I:$AT, MATCH(M172, Variablen!$A:$A, 0), MATCH((YEAR(D172)+11), Variablen!$I$3:$AT$3, 0))="",L172,INDEX(Variablen!$I:$AT, MATCH(M172, Variablen!$A:$A, 0), MATCH((YEAR(D172)+11), Variablen!$I$3:$AT$3, 0))),L172)))*(IF((YEAR(D172)+11)&lt;YEAR(E172),0,IF((YEAR(D172)+11)&gt;YEAR(E172),1,(12-MONTH(E172)+1)/12))) + (Q172)*(IF((YEAR(D172)+11)&lt;YEAR(E172),0,IF((YEAR(D172)+11)&gt;YEAR(E172),1,(12-MONTH(E172)+1)/12))))-((P172)*(IF((YEAR(D172)+11)&lt;YEAR(E172),0,IF((YEAR(D172)+11)&gt;YEAR(E172),1,(12-MONTH(E172)+1)/12))) + (R172)*(IF((YEAR(D172)+11)&lt;YEAR(E172),0,IF((YEAR(D172)+11)&gt;YEAR(E172),1,(12-MONTH(E172)+1)/12))))-(IF(OR(N172="",N172&lt;=0),0,(O172/N172)*(IF(OR(N172="",N172&lt;=0),0,IF((YEAR(D172)+11)&lt;YEAR(E172),0,IF((YEAR(D172)+11)&gt;=YEAR(E172)+N172,0,IF((YEAR(D172)+11)=YEAR(E172),(12-MONTH(E172)+1)/12,1))))))))&gt;0,(((K172)*(IF(M172="",L172,IFERROR(IF(INDEX(Variablen!$I:$AT, MATCH(M172, Variablen!$A:$A, 0), MATCH((YEAR(D172)+11), Variablen!$I$3:$AT$3, 0))="",L172,INDEX(Variablen!$I:$AT, MATCH(M172, Variablen!$A:$A, 0), MATCH((YEAR(D172)+11), Variablen!$I$3:$AT$3, 0))),L172)))*(IF((YEAR(D172)+11)&lt;YEAR(E172),0,IF((YEAR(D172)+11)&gt;YEAR(E172),1,(12-MONTH(E172)+1)/12))) + (Q172)*(IF((YEAR(D172)+11)&lt;YEAR(E172),0,IF((YEAR(D172)+11)&gt;YEAR(E172),1,(12-MONTH(E172)+1)/12))))-((P172)*(IF((YEAR(D172)+11)&lt;YEAR(E172),0,IF((YEAR(D172)+11)&gt;YEAR(E172),1,(12-MONTH(E172)+1)/12))) + (R172)*(IF((YEAR(D172)+11)&lt;YEAR(E172),0,IF((YEAR(D172)+11)&gt;YEAR(E172),1,(12-MONTH(E172)+1)/12))))-(IF(OR(N172="",N172&lt;=0),0,(O172/N172)*(IF(OR(N172="",N172&lt;=0),0,IF((YEAR(D172)+11)&lt;YEAR(E172),0,IF((YEAR(D172)+11)&gt;=YEAR(E172)+N172,0,IF((YEAR(D172)+11)=YEAR(E172),(12-MONTH(E172)+1)/12,1))))))))*TaxRate,0))-IF(11=0,O172,0))</f>
        <v/>
      </c>
      <c r="AE172" s="29">
        <f>IF(A172="","",((K172)*(IF(M172="",L172,IFERROR(IF(INDEX(Variablen!$I:$AT, MATCH(M172, Variablen!$A:$A, 0), MATCH((YEAR(D172)+12), Variablen!$I$3:$AT$3, 0))="",L172,INDEX(Variablen!$I:$AT, MATCH(M172, Variablen!$A:$A, 0), MATCH((YEAR(D172)+12), Variablen!$I$3:$AT$3, 0))),L172)))*(IF((YEAR(D172)+12)&lt;YEAR(E172),0,IF((YEAR(D172)+12)&gt;YEAR(E172),1,(12-MONTH(E172)+1)/12))) + (Q172)*(IF((YEAR(D172)+12)&lt;YEAR(E172),0,IF((YEAR(D172)+12)&gt;YEAR(E172),1,(12-MONTH(E172)+1)/12))))-((P172)*(IF((YEAR(D172)+12)&lt;YEAR(E172),0,IF((YEAR(D172)+12)&gt;YEAR(E172),1,(12-MONTH(E172)+1)/12))) + (R172)*(IF((YEAR(D172)+12)&lt;YEAR(E172),0,IF((YEAR(D172)+12)&gt;YEAR(E172),1,(12-MONTH(E172)+1)/12))))-(IF((((K172)*(IF(M172="",L172,IFERROR(IF(INDEX(Variablen!$I:$AT, MATCH(M172, Variablen!$A:$A, 0), MATCH((YEAR(D172)+12), Variablen!$I$3:$AT$3, 0))="",L172,INDEX(Variablen!$I:$AT, MATCH(M172, Variablen!$A:$A, 0), MATCH((YEAR(D172)+12), Variablen!$I$3:$AT$3, 0))),L172)))*(IF((YEAR(D172)+12)&lt;YEAR(E172),0,IF((YEAR(D172)+12)&gt;YEAR(E172),1,(12-MONTH(E172)+1)/12))) + (Q172)*(IF((YEAR(D172)+12)&lt;YEAR(E172),0,IF((YEAR(D172)+12)&gt;YEAR(E172),1,(12-MONTH(E172)+1)/12))))-((P172)*(IF((YEAR(D172)+12)&lt;YEAR(E172),0,IF((YEAR(D172)+12)&gt;YEAR(E172),1,(12-MONTH(E172)+1)/12))) + (R172)*(IF((YEAR(D172)+12)&lt;YEAR(E172),0,IF((YEAR(D172)+12)&gt;YEAR(E172),1,(12-MONTH(E172)+1)/12))))-(IF(OR(N172="",N172&lt;=0),0,(O172/N172)*(IF(OR(N172="",N172&lt;=0),0,IF((YEAR(D172)+12)&lt;YEAR(E172),0,IF((YEAR(D172)+12)&gt;=YEAR(E172)+N172,0,IF((YEAR(D172)+12)=YEAR(E172),(12-MONTH(E172)+1)/12,1))))))))&gt;0,(((K172)*(IF(M172="",L172,IFERROR(IF(INDEX(Variablen!$I:$AT, MATCH(M172, Variablen!$A:$A, 0), MATCH((YEAR(D172)+12), Variablen!$I$3:$AT$3, 0))="",L172,INDEX(Variablen!$I:$AT, MATCH(M172, Variablen!$A:$A, 0), MATCH((YEAR(D172)+12), Variablen!$I$3:$AT$3, 0))),L172)))*(IF((YEAR(D172)+12)&lt;YEAR(E172),0,IF((YEAR(D172)+12)&gt;YEAR(E172),1,(12-MONTH(E172)+1)/12))) + (Q172)*(IF((YEAR(D172)+12)&lt;YEAR(E172),0,IF((YEAR(D172)+12)&gt;YEAR(E172),1,(12-MONTH(E172)+1)/12))))-((P172)*(IF((YEAR(D172)+12)&lt;YEAR(E172),0,IF((YEAR(D172)+12)&gt;YEAR(E172),1,(12-MONTH(E172)+1)/12))) + (R172)*(IF((YEAR(D172)+12)&lt;YEAR(E172),0,IF((YEAR(D172)+12)&gt;YEAR(E172),1,(12-MONTH(E172)+1)/12))))-(IF(OR(N172="",N172&lt;=0),0,(O172/N172)*(IF(OR(N172="",N172&lt;=0),0,IF((YEAR(D172)+12)&lt;YEAR(E172),0,IF((YEAR(D172)+12)&gt;=YEAR(E172)+N172,0,IF((YEAR(D172)+12)=YEAR(E172),(12-MONTH(E172)+1)/12,1))))))))*TaxRate,0))-IF(12=0,O172,0))</f>
        <v/>
      </c>
      <c r="AF172" s="29">
        <f>IF(A172="","",((K172)*(IF(M172="",L172,IFERROR(IF(INDEX(Variablen!$I:$AT, MATCH(M172, Variablen!$A:$A, 0), MATCH((YEAR(D172)+13), Variablen!$I$3:$AT$3, 0))="",L172,INDEX(Variablen!$I:$AT, MATCH(M172, Variablen!$A:$A, 0), MATCH((YEAR(D172)+13), Variablen!$I$3:$AT$3, 0))),L172)))*(IF((YEAR(D172)+13)&lt;YEAR(E172),0,IF((YEAR(D172)+13)&gt;YEAR(E172),1,(12-MONTH(E172)+1)/12))) + (Q172)*(IF((YEAR(D172)+13)&lt;YEAR(E172),0,IF((YEAR(D172)+13)&gt;YEAR(E172),1,(12-MONTH(E172)+1)/12))))-((P172)*(IF((YEAR(D172)+13)&lt;YEAR(E172),0,IF((YEAR(D172)+13)&gt;YEAR(E172),1,(12-MONTH(E172)+1)/12))) + (R172)*(IF((YEAR(D172)+13)&lt;YEAR(E172),0,IF((YEAR(D172)+13)&gt;YEAR(E172),1,(12-MONTH(E172)+1)/12))))-(IF((((K172)*(IF(M172="",L172,IFERROR(IF(INDEX(Variablen!$I:$AT, MATCH(M172, Variablen!$A:$A, 0), MATCH((YEAR(D172)+13), Variablen!$I$3:$AT$3, 0))="",L172,INDEX(Variablen!$I:$AT, MATCH(M172, Variablen!$A:$A, 0), MATCH((YEAR(D172)+13), Variablen!$I$3:$AT$3, 0))),L172)))*(IF((YEAR(D172)+13)&lt;YEAR(E172),0,IF((YEAR(D172)+13)&gt;YEAR(E172),1,(12-MONTH(E172)+1)/12))) + (Q172)*(IF((YEAR(D172)+13)&lt;YEAR(E172),0,IF((YEAR(D172)+13)&gt;YEAR(E172),1,(12-MONTH(E172)+1)/12))))-((P172)*(IF((YEAR(D172)+13)&lt;YEAR(E172),0,IF((YEAR(D172)+13)&gt;YEAR(E172),1,(12-MONTH(E172)+1)/12))) + (R172)*(IF((YEAR(D172)+13)&lt;YEAR(E172),0,IF((YEAR(D172)+13)&gt;YEAR(E172),1,(12-MONTH(E172)+1)/12))))-(IF(OR(N172="",N172&lt;=0),0,(O172/N172)*(IF(OR(N172="",N172&lt;=0),0,IF((YEAR(D172)+13)&lt;YEAR(E172),0,IF((YEAR(D172)+13)&gt;=YEAR(E172)+N172,0,IF((YEAR(D172)+13)=YEAR(E172),(12-MONTH(E172)+1)/12,1))))))))&gt;0,(((K172)*(IF(M172="",L172,IFERROR(IF(INDEX(Variablen!$I:$AT, MATCH(M172, Variablen!$A:$A, 0), MATCH((YEAR(D172)+13), Variablen!$I$3:$AT$3, 0))="",L172,INDEX(Variablen!$I:$AT, MATCH(M172, Variablen!$A:$A, 0), MATCH((YEAR(D172)+13), Variablen!$I$3:$AT$3, 0))),L172)))*(IF((YEAR(D172)+13)&lt;YEAR(E172),0,IF((YEAR(D172)+13)&gt;YEAR(E172),1,(12-MONTH(E172)+1)/12))) + (Q172)*(IF((YEAR(D172)+13)&lt;YEAR(E172),0,IF((YEAR(D172)+13)&gt;YEAR(E172),1,(12-MONTH(E172)+1)/12))))-((P172)*(IF((YEAR(D172)+13)&lt;YEAR(E172),0,IF((YEAR(D172)+13)&gt;YEAR(E172),1,(12-MONTH(E172)+1)/12))) + (R172)*(IF((YEAR(D172)+13)&lt;YEAR(E172),0,IF((YEAR(D172)+13)&gt;YEAR(E172),1,(12-MONTH(E172)+1)/12))))-(IF(OR(N172="",N172&lt;=0),0,(O172/N172)*(IF(OR(N172="",N172&lt;=0),0,IF((YEAR(D172)+13)&lt;YEAR(E172),0,IF((YEAR(D172)+13)&gt;=YEAR(E172)+N172,0,IF((YEAR(D172)+13)=YEAR(E172),(12-MONTH(E172)+1)/12,1))))))))*TaxRate,0))-IF(13=0,O172,0))</f>
        <v/>
      </c>
      <c r="AG172" s="29">
        <f>IF(A172="","",((K172)*(IF(M172="",L172,IFERROR(IF(INDEX(Variablen!$I:$AT, MATCH(M172, Variablen!$A:$A, 0), MATCH((YEAR(D172)+14), Variablen!$I$3:$AT$3, 0))="",L172,INDEX(Variablen!$I:$AT, MATCH(M172, Variablen!$A:$A, 0), MATCH((YEAR(D172)+14), Variablen!$I$3:$AT$3, 0))),L172)))*(IF((YEAR(D172)+14)&lt;YEAR(E172),0,IF((YEAR(D172)+14)&gt;YEAR(E172),1,(12-MONTH(E172)+1)/12))) + (Q172)*(IF((YEAR(D172)+14)&lt;YEAR(E172),0,IF((YEAR(D172)+14)&gt;YEAR(E172),1,(12-MONTH(E172)+1)/12))))-((P172)*(IF((YEAR(D172)+14)&lt;YEAR(E172),0,IF((YEAR(D172)+14)&gt;YEAR(E172),1,(12-MONTH(E172)+1)/12))) + (R172)*(IF((YEAR(D172)+14)&lt;YEAR(E172),0,IF((YEAR(D172)+14)&gt;YEAR(E172),1,(12-MONTH(E172)+1)/12))))-(IF((((K172)*(IF(M172="",L172,IFERROR(IF(INDEX(Variablen!$I:$AT, MATCH(M172, Variablen!$A:$A, 0), MATCH((YEAR(D172)+14), Variablen!$I$3:$AT$3, 0))="",L172,INDEX(Variablen!$I:$AT, MATCH(M172, Variablen!$A:$A, 0), MATCH((YEAR(D172)+14), Variablen!$I$3:$AT$3, 0))),L172)))*(IF((YEAR(D172)+14)&lt;YEAR(E172),0,IF((YEAR(D172)+14)&gt;YEAR(E172),1,(12-MONTH(E172)+1)/12))) + (Q172)*(IF((YEAR(D172)+14)&lt;YEAR(E172),0,IF((YEAR(D172)+14)&gt;YEAR(E172),1,(12-MONTH(E172)+1)/12))))-((P172)*(IF((YEAR(D172)+14)&lt;YEAR(E172),0,IF((YEAR(D172)+14)&gt;YEAR(E172),1,(12-MONTH(E172)+1)/12))) + (R172)*(IF((YEAR(D172)+14)&lt;YEAR(E172),0,IF((YEAR(D172)+14)&gt;YEAR(E172),1,(12-MONTH(E172)+1)/12))))-(IF(OR(N172="",N172&lt;=0),0,(O172/N172)*(IF(OR(N172="",N172&lt;=0),0,IF((YEAR(D172)+14)&lt;YEAR(E172),0,IF((YEAR(D172)+14)&gt;=YEAR(E172)+N172,0,IF((YEAR(D172)+14)=YEAR(E172),(12-MONTH(E172)+1)/12,1))))))))&gt;0,(((K172)*(IF(M172="",L172,IFERROR(IF(INDEX(Variablen!$I:$AT, MATCH(M172, Variablen!$A:$A, 0), MATCH((YEAR(D172)+14), Variablen!$I$3:$AT$3, 0))="",L172,INDEX(Variablen!$I:$AT, MATCH(M172, Variablen!$A:$A, 0), MATCH((YEAR(D172)+14), Variablen!$I$3:$AT$3, 0))),L172)))*(IF((YEAR(D172)+14)&lt;YEAR(E172),0,IF((YEAR(D172)+14)&gt;YEAR(E172),1,(12-MONTH(E172)+1)/12))) + (Q172)*(IF((YEAR(D172)+14)&lt;YEAR(E172),0,IF((YEAR(D172)+14)&gt;YEAR(E172),1,(12-MONTH(E172)+1)/12))))-((P172)*(IF((YEAR(D172)+14)&lt;YEAR(E172),0,IF((YEAR(D172)+14)&gt;YEAR(E172),1,(12-MONTH(E172)+1)/12))) + (R172)*(IF((YEAR(D172)+14)&lt;YEAR(E172),0,IF((YEAR(D172)+14)&gt;YEAR(E172),1,(12-MONTH(E172)+1)/12))))-(IF(OR(N172="",N172&lt;=0),0,(O172/N172)*(IF(OR(N172="",N172&lt;=0),0,IF((YEAR(D172)+14)&lt;YEAR(E172),0,IF((YEAR(D172)+14)&gt;=YEAR(E172)+N172,0,IF((YEAR(D172)+14)=YEAR(E172),(12-MONTH(E172)+1)/12,1))))))))*TaxRate,0))-IF(14=0,O172,0))</f>
        <v/>
      </c>
      <c r="AH172" s="29">
        <f>IF(A172="","",((K172)*(IF(M172="",L172,IFERROR(IF(INDEX(Variablen!$I:$AT, MATCH(M172, Variablen!$A:$A, 0), MATCH((YEAR(D172)+15), Variablen!$I$3:$AT$3, 0))="",L172,INDEX(Variablen!$I:$AT, MATCH(M172, Variablen!$A:$A, 0), MATCH((YEAR(D172)+15), Variablen!$I$3:$AT$3, 0))),L172)))*(IF((YEAR(D172)+15)&lt;YEAR(E172),0,IF((YEAR(D172)+15)&gt;YEAR(E172),1,(12-MONTH(E172)+1)/12))) + (Q172)*(IF((YEAR(D172)+15)&lt;YEAR(E172),0,IF((YEAR(D172)+15)&gt;YEAR(E172),1,(12-MONTH(E172)+1)/12))))-((P172)*(IF((YEAR(D172)+15)&lt;YEAR(E172),0,IF((YEAR(D172)+15)&gt;YEAR(E172),1,(12-MONTH(E172)+1)/12))) + (R172)*(IF((YEAR(D172)+15)&lt;YEAR(E172),0,IF((YEAR(D172)+15)&gt;YEAR(E172),1,(12-MONTH(E172)+1)/12))))-(IF((((K172)*(IF(M172="",L172,IFERROR(IF(INDEX(Variablen!$I:$AT, MATCH(M172, Variablen!$A:$A, 0), MATCH((YEAR(D172)+15), Variablen!$I$3:$AT$3, 0))="",L172,INDEX(Variablen!$I:$AT, MATCH(M172, Variablen!$A:$A, 0), MATCH((YEAR(D172)+15), Variablen!$I$3:$AT$3, 0))),L172)))*(IF((YEAR(D172)+15)&lt;YEAR(E172),0,IF((YEAR(D172)+15)&gt;YEAR(E172),1,(12-MONTH(E172)+1)/12))) + (Q172)*(IF((YEAR(D172)+15)&lt;YEAR(E172),0,IF((YEAR(D172)+15)&gt;YEAR(E172),1,(12-MONTH(E172)+1)/12))))-((P172)*(IF((YEAR(D172)+15)&lt;YEAR(E172),0,IF((YEAR(D172)+15)&gt;YEAR(E172),1,(12-MONTH(E172)+1)/12))) + (R172)*(IF((YEAR(D172)+15)&lt;YEAR(E172),0,IF((YEAR(D172)+15)&gt;YEAR(E172),1,(12-MONTH(E172)+1)/12))))-(IF(OR(N172="",N172&lt;=0),0,(O172/N172)*(IF(OR(N172="",N172&lt;=0),0,IF((YEAR(D172)+15)&lt;YEAR(E172),0,IF((YEAR(D172)+15)&gt;=YEAR(E172)+N172,0,IF((YEAR(D172)+15)=YEAR(E172),(12-MONTH(E172)+1)/12,1))))))))&gt;0,(((K172)*(IF(M172="",L172,IFERROR(IF(INDEX(Variablen!$I:$AT, MATCH(M172, Variablen!$A:$A, 0), MATCH((YEAR(D172)+15), Variablen!$I$3:$AT$3, 0))="",L172,INDEX(Variablen!$I:$AT, MATCH(M172, Variablen!$A:$A, 0), MATCH((YEAR(D172)+15), Variablen!$I$3:$AT$3, 0))),L172)))*(IF((YEAR(D172)+15)&lt;YEAR(E172),0,IF((YEAR(D172)+15)&gt;YEAR(E172),1,(12-MONTH(E172)+1)/12))) + (Q172)*(IF((YEAR(D172)+15)&lt;YEAR(E172),0,IF((YEAR(D172)+15)&gt;YEAR(E172),1,(12-MONTH(E172)+1)/12))))-((P172)*(IF((YEAR(D172)+15)&lt;YEAR(E172),0,IF((YEAR(D172)+15)&gt;YEAR(E172),1,(12-MONTH(E172)+1)/12))) + (R172)*(IF((YEAR(D172)+15)&lt;YEAR(E172),0,IF((YEAR(D172)+15)&gt;YEAR(E172),1,(12-MONTH(E172)+1)/12))))-(IF(OR(N172="",N172&lt;=0),0,(O172/N172)*(IF(OR(N172="",N172&lt;=0),0,IF((YEAR(D172)+15)&lt;YEAR(E172),0,IF((YEAR(D172)+15)&gt;=YEAR(E172)+N172,0,IF((YEAR(D172)+15)=YEAR(E172),(12-MONTH(E172)+1)/12,1))))))))*TaxRate,0))-IF(15=0,O172,0))</f>
        <v/>
      </c>
      <c r="AI172" s="29">
        <f>IF(A172="","",((K172)*(IF(M172="",L172,IFERROR(IF(INDEX(Variablen!$I:$AT, MATCH(M172, Variablen!$A:$A, 0), MATCH((YEAR(D172)+16), Variablen!$I$3:$AT$3, 0))="",L172,INDEX(Variablen!$I:$AT, MATCH(M172, Variablen!$A:$A, 0), MATCH((YEAR(D172)+16), Variablen!$I$3:$AT$3, 0))),L172)))*(IF((YEAR(D172)+16)&lt;YEAR(E172),0,IF((YEAR(D172)+16)&gt;YEAR(E172),1,(12-MONTH(E172)+1)/12))) + (Q172)*(IF((YEAR(D172)+16)&lt;YEAR(E172),0,IF((YEAR(D172)+16)&gt;YEAR(E172),1,(12-MONTH(E172)+1)/12))))-((P172)*(IF((YEAR(D172)+16)&lt;YEAR(E172),0,IF((YEAR(D172)+16)&gt;YEAR(E172),1,(12-MONTH(E172)+1)/12))) + (R172)*(IF((YEAR(D172)+16)&lt;YEAR(E172),0,IF((YEAR(D172)+16)&gt;YEAR(E172),1,(12-MONTH(E172)+1)/12))))-(IF((((K172)*(IF(M172="",L172,IFERROR(IF(INDEX(Variablen!$I:$AT, MATCH(M172, Variablen!$A:$A, 0), MATCH((YEAR(D172)+16), Variablen!$I$3:$AT$3, 0))="",L172,INDEX(Variablen!$I:$AT, MATCH(M172, Variablen!$A:$A, 0), MATCH((YEAR(D172)+16), Variablen!$I$3:$AT$3, 0))),L172)))*(IF((YEAR(D172)+16)&lt;YEAR(E172),0,IF((YEAR(D172)+16)&gt;YEAR(E172),1,(12-MONTH(E172)+1)/12))) + (Q172)*(IF((YEAR(D172)+16)&lt;YEAR(E172),0,IF((YEAR(D172)+16)&gt;YEAR(E172),1,(12-MONTH(E172)+1)/12))))-((P172)*(IF((YEAR(D172)+16)&lt;YEAR(E172),0,IF((YEAR(D172)+16)&gt;YEAR(E172),1,(12-MONTH(E172)+1)/12))) + (R172)*(IF((YEAR(D172)+16)&lt;YEAR(E172),0,IF((YEAR(D172)+16)&gt;YEAR(E172),1,(12-MONTH(E172)+1)/12))))-(IF(OR(N172="",N172&lt;=0),0,(O172/N172)*(IF(OR(N172="",N172&lt;=0),0,IF((YEAR(D172)+16)&lt;YEAR(E172),0,IF((YEAR(D172)+16)&gt;=YEAR(E172)+N172,0,IF((YEAR(D172)+16)=YEAR(E172),(12-MONTH(E172)+1)/12,1))))))))&gt;0,(((K172)*(IF(M172="",L172,IFERROR(IF(INDEX(Variablen!$I:$AT, MATCH(M172, Variablen!$A:$A, 0), MATCH((YEAR(D172)+16), Variablen!$I$3:$AT$3, 0))="",L172,INDEX(Variablen!$I:$AT, MATCH(M172, Variablen!$A:$A, 0), MATCH((YEAR(D172)+16), Variablen!$I$3:$AT$3, 0))),L172)))*(IF((YEAR(D172)+16)&lt;YEAR(E172),0,IF((YEAR(D172)+16)&gt;YEAR(E172),1,(12-MONTH(E172)+1)/12))) + (Q172)*(IF((YEAR(D172)+16)&lt;YEAR(E172),0,IF((YEAR(D172)+16)&gt;YEAR(E172),1,(12-MONTH(E172)+1)/12))))-((P172)*(IF((YEAR(D172)+16)&lt;YEAR(E172),0,IF((YEAR(D172)+16)&gt;YEAR(E172),1,(12-MONTH(E172)+1)/12))) + (R172)*(IF((YEAR(D172)+16)&lt;YEAR(E172),0,IF((YEAR(D172)+16)&gt;YEAR(E172),1,(12-MONTH(E172)+1)/12))))-(IF(OR(N172="",N172&lt;=0),0,(O172/N172)*(IF(OR(N172="",N172&lt;=0),0,IF((YEAR(D172)+16)&lt;YEAR(E172),0,IF((YEAR(D172)+16)&gt;=YEAR(E172)+N172,0,IF((YEAR(D172)+16)=YEAR(E172),(12-MONTH(E172)+1)/12,1))))))))*TaxRate,0))-IF(16=0,O172,0))</f>
        <v/>
      </c>
      <c r="AJ172" s="29">
        <f>IF(A172="","",((K172)*(IF(M172="",L172,IFERROR(IF(INDEX(Variablen!$I:$AT, MATCH(M172, Variablen!$A:$A, 0), MATCH((YEAR(D172)+17), Variablen!$I$3:$AT$3, 0))="",L172,INDEX(Variablen!$I:$AT, MATCH(M172, Variablen!$A:$A, 0), MATCH((YEAR(D172)+17), Variablen!$I$3:$AT$3, 0))),L172)))*(IF((YEAR(D172)+17)&lt;YEAR(E172),0,IF((YEAR(D172)+17)&gt;YEAR(E172),1,(12-MONTH(E172)+1)/12))) + (Q172)*(IF((YEAR(D172)+17)&lt;YEAR(E172),0,IF((YEAR(D172)+17)&gt;YEAR(E172),1,(12-MONTH(E172)+1)/12))))-((P172)*(IF((YEAR(D172)+17)&lt;YEAR(E172),0,IF((YEAR(D172)+17)&gt;YEAR(E172),1,(12-MONTH(E172)+1)/12))) + (R172)*(IF((YEAR(D172)+17)&lt;YEAR(E172),0,IF((YEAR(D172)+17)&gt;YEAR(E172),1,(12-MONTH(E172)+1)/12))))-(IF((((K172)*(IF(M172="",L172,IFERROR(IF(INDEX(Variablen!$I:$AT, MATCH(M172, Variablen!$A:$A, 0), MATCH((YEAR(D172)+17), Variablen!$I$3:$AT$3, 0))="",L172,INDEX(Variablen!$I:$AT, MATCH(M172, Variablen!$A:$A, 0), MATCH((YEAR(D172)+17), Variablen!$I$3:$AT$3, 0))),L172)))*(IF((YEAR(D172)+17)&lt;YEAR(E172),0,IF((YEAR(D172)+17)&gt;YEAR(E172),1,(12-MONTH(E172)+1)/12))) + (Q172)*(IF((YEAR(D172)+17)&lt;YEAR(E172),0,IF((YEAR(D172)+17)&gt;YEAR(E172),1,(12-MONTH(E172)+1)/12))))-((P172)*(IF((YEAR(D172)+17)&lt;YEAR(E172),0,IF((YEAR(D172)+17)&gt;YEAR(E172),1,(12-MONTH(E172)+1)/12))) + (R172)*(IF((YEAR(D172)+17)&lt;YEAR(E172),0,IF((YEAR(D172)+17)&gt;YEAR(E172),1,(12-MONTH(E172)+1)/12))))-(IF(OR(N172="",N172&lt;=0),0,(O172/N172)*(IF(OR(N172="",N172&lt;=0),0,IF((YEAR(D172)+17)&lt;YEAR(E172),0,IF((YEAR(D172)+17)&gt;=YEAR(E172)+N172,0,IF((YEAR(D172)+17)=YEAR(E172),(12-MONTH(E172)+1)/12,1))))))))&gt;0,(((K172)*(IF(M172="",L172,IFERROR(IF(INDEX(Variablen!$I:$AT, MATCH(M172, Variablen!$A:$A, 0), MATCH((YEAR(D172)+17), Variablen!$I$3:$AT$3, 0))="",L172,INDEX(Variablen!$I:$AT, MATCH(M172, Variablen!$A:$A, 0), MATCH((YEAR(D172)+17), Variablen!$I$3:$AT$3, 0))),L172)))*(IF((YEAR(D172)+17)&lt;YEAR(E172),0,IF((YEAR(D172)+17)&gt;YEAR(E172),1,(12-MONTH(E172)+1)/12))) + (Q172)*(IF((YEAR(D172)+17)&lt;YEAR(E172),0,IF((YEAR(D172)+17)&gt;YEAR(E172),1,(12-MONTH(E172)+1)/12))))-((P172)*(IF((YEAR(D172)+17)&lt;YEAR(E172),0,IF((YEAR(D172)+17)&gt;YEAR(E172),1,(12-MONTH(E172)+1)/12))) + (R172)*(IF((YEAR(D172)+17)&lt;YEAR(E172),0,IF((YEAR(D172)+17)&gt;YEAR(E172),1,(12-MONTH(E172)+1)/12))))-(IF(OR(N172="",N172&lt;=0),0,(O172/N172)*(IF(OR(N172="",N172&lt;=0),0,IF((YEAR(D172)+17)&lt;YEAR(E172),0,IF((YEAR(D172)+17)&gt;=YEAR(E172)+N172,0,IF((YEAR(D172)+17)=YEAR(E172),(12-MONTH(E172)+1)/12,1))))))))*TaxRate,0))-IF(17=0,O172,0))</f>
        <v/>
      </c>
      <c r="AK172" s="29">
        <f>IF(A172="","",((K172)*(IF(M172="",L172,IFERROR(IF(INDEX(Variablen!$I:$AT, MATCH(M172, Variablen!$A:$A, 0), MATCH((YEAR(D172)+18), Variablen!$I$3:$AT$3, 0))="",L172,INDEX(Variablen!$I:$AT, MATCH(M172, Variablen!$A:$A, 0), MATCH((YEAR(D172)+18), Variablen!$I$3:$AT$3, 0))),L172)))*(IF((YEAR(D172)+18)&lt;YEAR(E172),0,IF((YEAR(D172)+18)&gt;YEAR(E172),1,(12-MONTH(E172)+1)/12))) + (Q172)*(IF((YEAR(D172)+18)&lt;YEAR(E172),0,IF((YEAR(D172)+18)&gt;YEAR(E172),1,(12-MONTH(E172)+1)/12))))-((P172)*(IF((YEAR(D172)+18)&lt;YEAR(E172),0,IF((YEAR(D172)+18)&gt;YEAR(E172),1,(12-MONTH(E172)+1)/12))) + (R172)*(IF((YEAR(D172)+18)&lt;YEAR(E172),0,IF((YEAR(D172)+18)&gt;YEAR(E172),1,(12-MONTH(E172)+1)/12))))-(IF((((K172)*(IF(M172="",L172,IFERROR(IF(INDEX(Variablen!$I:$AT, MATCH(M172, Variablen!$A:$A, 0), MATCH((YEAR(D172)+18), Variablen!$I$3:$AT$3, 0))="",L172,INDEX(Variablen!$I:$AT, MATCH(M172, Variablen!$A:$A, 0), MATCH((YEAR(D172)+18), Variablen!$I$3:$AT$3, 0))),L172)))*(IF((YEAR(D172)+18)&lt;YEAR(E172),0,IF((YEAR(D172)+18)&gt;YEAR(E172),1,(12-MONTH(E172)+1)/12))) + (Q172)*(IF((YEAR(D172)+18)&lt;YEAR(E172),0,IF((YEAR(D172)+18)&gt;YEAR(E172),1,(12-MONTH(E172)+1)/12))))-((P172)*(IF((YEAR(D172)+18)&lt;YEAR(E172),0,IF((YEAR(D172)+18)&gt;YEAR(E172),1,(12-MONTH(E172)+1)/12))) + (R172)*(IF((YEAR(D172)+18)&lt;YEAR(E172),0,IF((YEAR(D172)+18)&gt;YEAR(E172),1,(12-MONTH(E172)+1)/12))))-(IF(OR(N172="",N172&lt;=0),0,(O172/N172)*(IF(OR(N172="",N172&lt;=0),0,IF((YEAR(D172)+18)&lt;YEAR(E172),0,IF((YEAR(D172)+18)&gt;=YEAR(E172)+N172,0,IF((YEAR(D172)+18)=YEAR(E172),(12-MONTH(E172)+1)/12,1))))))))&gt;0,(((K172)*(IF(M172="",L172,IFERROR(IF(INDEX(Variablen!$I:$AT, MATCH(M172, Variablen!$A:$A, 0), MATCH((YEAR(D172)+18), Variablen!$I$3:$AT$3, 0))="",L172,INDEX(Variablen!$I:$AT, MATCH(M172, Variablen!$A:$A, 0), MATCH((YEAR(D172)+18), Variablen!$I$3:$AT$3, 0))),L172)))*(IF((YEAR(D172)+18)&lt;YEAR(E172),0,IF((YEAR(D172)+18)&gt;YEAR(E172),1,(12-MONTH(E172)+1)/12))) + (Q172)*(IF((YEAR(D172)+18)&lt;YEAR(E172),0,IF((YEAR(D172)+18)&gt;YEAR(E172),1,(12-MONTH(E172)+1)/12))))-((P172)*(IF((YEAR(D172)+18)&lt;YEAR(E172),0,IF((YEAR(D172)+18)&gt;YEAR(E172),1,(12-MONTH(E172)+1)/12))) + (R172)*(IF((YEAR(D172)+18)&lt;YEAR(E172),0,IF((YEAR(D172)+18)&gt;YEAR(E172),1,(12-MONTH(E172)+1)/12))))-(IF(OR(N172="",N172&lt;=0),0,(O172/N172)*(IF(OR(N172="",N172&lt;=0),0,IF((YEAR(D172)+18)&lt;YEAR(E172),0,IF((YEAR(D172)+18)&gt;=YEAR(E172)+N172,0,IF((YEAR(D172)+18)=YEAR(E172),(12-MONTH(E172)+1)/12,1))))))))*TaxRate,0))-IF(18=0,O172,0))</f>
        <v/>
      </c>
      <c r="AL172" s="29">
        <f>IF(A172="","",((K172)*(IF(M172="",L172,IFERROR(IF(INDEX(Variablen!$I:$AT, MATCH(M172, Variablen!$A:$A, 0), MATCH((YEAR(D172)+19), Variablen!$I$3:$AT$3, 0))="",L172,INDEX(Variablen!$I:$AT, MATCH(M172, Variablen!$A:$A, 0), MATCH((YEAR(D172)+19), Variablen!$I$3:$AT$3, 0))),L172)))*(IF((YEAR(D172)+19)&lt;YEAR(E172),0,IF((YEAR(D172)+19)&gt;YEAR(E172),1,(12-MONTH(E172)+1)/12))) + (Q172)*(IF((YEAR(D172)+19)&lt;YEAR(E172),0,IF((YEAR(D172)+19)&gt;YEAR(E172),1,(12-MONTH(E172)+1)/12))))-((P172)*(IF((YEAR(D172)+19)&lt;YEAR(E172),0,IF((YEAR(D172)+19)&gt;YEAR(E172),1,(12-MONTH(E172)+1)/12))) + (R172)*(IF((YEAR(D172)+19)&lt;YEAR(E172),0,IF((YEAR(D172)+19)&gt;YEAR(E172),1,(12-MONTH(E172)+1)/12))))-(IF((((K172)*(IF(M172="",L172,IFERROR(IF(INDEX(Variablen!$I:$AT, MATCH(M172, Variablen!$A:$A, 0), MATCH((YEAR(D172)+19), Variablen!$I$3:$AT$3, 0))="",L172,INDEX(Variablen!$I:$AT, MATCH(M172, Variablen!$A:$A, 0), MATCH((YEAR(D172)+19), Variablen!$I$3:$AT$3, 0))),L172)))*(IF((YEAR(D172)+19)&lt;YEAR(E172),0,IF((YEAR(D172)+19)&gt;YEAR(E172),1,(12-MONTH(E172)+1)/12))) + (Q172)*(IF((YEAR(D172)+19)&lt;YEAR(E172),0,IF((YEAR(D172)+19)&gt;YEAR(E172),1,(12-MONTH(E172)+1)/12))))-((P172)*(IF((YEAR(D172)+19)&lt;YEAR(E172),0,IF((YEAR(D172)+19)&gt;YEAR(E172),1,(12-MONTH(E172)+1)/12))) + (R172)*(IF((YEAR(D172)+19)&lt;YEAR(E172),0,IF((YEAR(D172)+19)&gt;YEAR(E172),1,(12-MONTH(E172)+1)/12))))-(IF(OR(N172="",N172&lt;=0),0,(O172/N172)*(IF(OR(N172="",N172&lt;=0),0,IF((YEAR(D172)+19)&lt;YEAR(E172),0,IF((YEAR(D172)+19)&gt;=YEAR(E172)+N172,0,IF((YEAR(D172)+19)=YEAR(E172),(12-MONTH(E172)+1)/12,1))))))))&gt;0,(((K172)*(IF(M172="",L172,IFERROR(IF(INDEX(Variablen!$I:$AT, MATCH(M172, Variablen!$A:$A, 0), MATCH((YEAR(D172)+19), Variablen!$I$3:$AT$3, 0))="",L172,INDEX(Variablen!$I:$AT, MATCH(M172, Variablen!$A:$A, 0), MATCH((YEAR(D172)+19), Variablen!$I$3:$AT$3, 0))),L172)))*(IF((YEAR(D172)+19)&lt;YEAR(E172),0,IF((YEAR(D172)+19)&gt;YEAR(E172),1,(12-MONTH(E172)+1)/12))) + (Q172)*(IF((YEAR(D172)+19)&lt;YEAR(E172),0,IF((YEAR(D172)+19)&gt;YEAR(E172),1,(12-MONTH(E172)+1)/12))))-((P172)*(IF((YEAR(D172)+19)&lt;YEAR(E172),0,IF((YEAR(D172)+19)&gt;YEAR(E172),1,(12-MONTH(E172)+1)/12))) + (R172)*(IF((YEAR(D172)+19)&lt;YEAR(E172),0,IF((YEAR(D172)+19)&gt;YEAR(E172),1,(12-MONTH(E172)+1)/12))))-(IF(OR(N172="",N172&lt;=0),0,(O172/N172)*(IF(OR(N172="",N172&lt;=0),0,IF((YEAR(D172)+19)&lt;YEAR(E172),0,IF((YEAR(D172)+19)&gt;=YEAR(E172)+N172,0,IF((YEAR(D172)+19)=YEAR(E172),(12-MONTH(E172)+1)/12,1))))))))*TaxRate,0))-IF(19=0,O172,0))</f>
        <v/>
      </c>
      <c r="AM172" s="29">
        <f>IF(A172="","",((K172)*(IF(M172="",L172,IFERROR(IF(INDEX(Variablen!$I:$AT, MATCH(M172, Variablen!$A:$A, 0), MATCH((YEAR(D172)+20), Variablen!$I$3:$AT$3, 0))="",L172,INDEX(Variablen!$I:$AT, MATCH(M172, Variablen!$A:$A, 0), MATCH((YEAR(D172)+20), Variablen!$I$3:$AT$3, 0))),L172)))*(IF((YEAR(D172)+20)&lt;YEAR(E172),0,IF((YEAR(D172)+20)&gt;YEAR(E172),1,(12-MONTH(E172)+1)/12))) + (Q172)*(IF((YEAR(D172)+20)&lt;YEAR(E172),0,IF((YEAR(D172)+20)&gt;YEAR(E172),1,(12-MONTH(E172)+1)/12))))-((P172)*(IF((YEAR(D172)+20)&lt;YEAR(E172),0,IF((YEAR(D172)+20)&gt;YEAR(E172),1,(12-MONTH(E172)+1)/12))) + (R172)*(IF((YEAR(D172)+20)&lt;YEAR(E172),0,IF((YEAR(D172)+20)&gt;YEAR(E172),1,(12-MONTH(E172)+1)/12))))-(IF((((K172)*(IF(M172="",L172,IFERROR(IF(INDEX(Variablen!$I:$AT, MATCH(M172, Variablen!$A:$A, 0), MATCH((YEAR(D172)+20), Variablen!$I$3:$AT$3, 0))="",L172,INDEX(Variablen!$I:$AT, MATCH(M172, Variablen!$A:$A, 0), MATCH((YEAR(D172)+20), Variablen!$I$3:$AT$3, 0))),L172)))*(IF((YEAR(D172)+20)&lt;YEAR(E172),0,IF((YEAR(D172)+20)&gt;YEAR(E172),1,(12-MONTH(E172)+1)/12))) + (Q172)*(IF((YEAR(D172)+20)&lt;YEAR(E172),0,IF((YEAR(D172)+20)&gt;YEAR(E172),1,(12-MONTH(E172)+1)/12))))-((P172)*(IF((YEAR(D172)+20)&lt;YEAR(E172),0,IF((YEAR(D172)+20)&gt;YEAR(E172),1,(12-MONTH(E172)+1)/12))) + (R172)*(IF((YEAR(D172)+20)&lt;YEAR(E172),0,IF((YEAR(D172)+20)&gt;YEAR(E172),1,(12-MONTH(E172)+1)/12))))-(IF(OR(N172="",N172&lt;=0),0,(O172/N172)*(IF(OR(N172="",N172&lt;=0),0,IF((YEAR(D172)+20)&lt;YEAR(E172),0,IF((YEAR(D172)+20)&gt;=YEAR(E172)+N172,0,IF((YEAR(D172)+20)=YEAR(E172),(12-MONTH(E172)+1)/12,1))))))))&gt;0,(((K172)*(IF(M172="",L172,IFERROR(IF(INDEX(Variablen!$I:$AT, MATCH(M172, Variablen!$A:$A, 0), MATCH((YEAR(D172)+20), Variablen!$I$3:$AT$3, 0))="",L172,INDEX(Variablen!$I:$AT, MATCH(M172, Variablen!$A:$A, 0), MATCH((YEAR(D172)+20), Variablen!$I$3:$AT$3, 0))),L172)))*(IF((YEAR(D172)+20)&lt;YEAR(E172),0,IF((YEAR(D172)+20)&gt;YEAR(E172),1,(12-MONTH(E172)+1)/12))) + (Q172)*(IF((YEAR(D172)+20)&lt;YEAR(E172),0,IF((YEAR(D172)+20)&gt;YEAR(E172),1,(12-MONTH(E172)+1)/12))))-((P172)*(IF((YEAR(D172)+20)&lt;YEAR(E172),0,IF((YEAR(D172)+20)&gt;YEAR(E172),1,(12-MONTH(E172)+1)/12))) + (R172)*(IF((YEAR(D172)+20)&lt;YEAR(E172),0,IF((YEAR(D172)+20)&gt;YEAR(E172),1,(12-MONTH(E172)+1)/12))))-(IF(OR(N172="",N172&lt;=0),0,(O172/N172)*(IF(OR(N172="",N172&lt;=0),0,IF((YEAR(D172)+20)&lt;YEAR(E172),0,IF((YEAR(D172)+20)&gt;=YEAR(E172)+N172,0,IF((YEAR(D172)+20)=YEAR(E172),(12-MONTH(E172)+1)/12,1))))))))*TaxRate,0))-IF(20=0,O172,0))</f>
        <v/>
      </c>
      <c r="AN172" s="29">
        <f>IF(A172="","",S172)</f>
        <v/>
      </c>
      <c r="AO172" s="29">
        <f>IF(A172="","",AN172+T172)</f>
        <v/>
      </c>
      <c r="AP172" s="29">
        <f>IF(A172="","",AO172+U172)</f>
        <v/>
      </c>
      <c r="AQ172" s="29">
        <f>IF(A172="","",AP172+V172)</f>
        <v/>
      </c>
      <c r="AR172" s="29">
        <f>IF(A172="","",AQ172+W172)</f>
        <v/>
      </c>
      <c r="AS172" s="29">
        <f>IF(A172="","",AR172+X172)</f>
        <v/>
      </c>
      <c r="AT172" s="29">
        <f>IF(A172="","",AS172+Y172)</f>
        <v/>
      </c>
      <c r="AU172" s="29">
        <f>IF(A172="","",AT172+Z172)</f>
        <v/>
      </c>
      <c r="AV172" s="29">
        <f>IF(A172="","",AU172+AA172)</f>
        <v/>
      </c>
      <c r="AW172" s="29">
        <f>IF(A172="","",AV172+AB172)</f>
        <v/>
      </c>
      <c r="AX172" s="29">
        <f>IF(A172="","",AW172+AC172)</f>
        <v/>
      </c>
      <c r="AY172" s="29">
        <f>IF(A172="","",AX172+AD172)</f>
        <v/>
      </c>
      <c r="AZ172" s="29">
        <f>IF(A172="","",AY172+AE172)</f>
        <v/>
      </c>
      <c r="BA172" s="29">
        <f>IF(A172="","",AZ172+AF172)</f>
        <v/>
      </c>
      <c r="BB172" s="29">
        <f>IF(A172="","",BA172+AG172)</f>
        <v/>
      </c>
      <c r="BC172" s="29">
        <f>IF(A172="","",BB172+AH172)</f>
        <v/>
      </c>
      <c r="BD172" s="29">
        <f>IF(A172="","",BC172+AI172)</f>
        <v/>
      </c>
      <c r="BE172" s="29">
        <f>IF(A172="","",BD172+AJ172)</f>
        <v/>
      </c>
      <c r="BF172" s="29">
        <f>IF(A172="","",BE172+AK172)</f>
        <v/>
      </c>
      <c r="BG172" s="29">
        <f>IF(A172="","",BF172+AL172)</f>
        <v/>
      </c>
      <c r="BH172" s="29">
        <f>IF(A172="","",BG172+AM172)</f>
        <v/>
      </c>
      <c r="BI172" s="36">
        <f>IF(A172="","",(K172)*(IF((YEAR(D172)+0)&lt;YEAR(E172),0,IF((YEAR(D172)+0)&gt;YEAR(E172),1,(12-MONTH(E172)+1)/12)))*(1/(1+DiscountRate)^0))</f>
        <v/>
      </c>
      <c r="BJ172" s="36">
        <f>IF(A172="","",(K172)*(IF((YEAR(D172)+1)&lt;YEAR(E172),0,IF((YEAR(D172)+1)&gt;YEAR(E172),1,(12-MONTH(E172)+1)/12)))*(1/(1+DiscountRate)^1))</f>
        <v/>
      </c>
      <c r="BK172" s="36">
        <f>IF(A172="","",(K172)*(IF((YEAR(D172)+2)&lt;YEAR(E172),0,IF((YEAR(D172)+2)&gt;YEAR(E172),1,(12-MONTH(E172)+1)/12)))*(1/(1+DiscountRate)^2))</f>
        <v/>
      </c>
      <c r="BL172" s="36">
        <f>IF(A172="","",(K172)*(IF((YEAR(D172)+3)&lt;YEAR(E172),0,IF((YEAR(D172)+3)&gt;YEAR(E172),1,(12-MONTH(E172)+1)/12)))*(1/(1+DiscountRate)^3))</f>
        <v/>
      </c>
      <c r="BM172" s="36">
        <f>IF(A172="","",(K172)*(IF((YEAR(D172)+4)&lt;YEAR(E172),0,IF((YEAR(D172)+4)&gt;YEAR(E172),1,(12-MONTH(E172)+1)/12)))*(1/(1+DiscountRate)^4))</f>
        <v/>
      </c>
      <c r="BN172" s="36">
        <f>IF(A172="","",(K172)*(IF((YEAR(D172)+5)&lt;YEAR(E172),0,IF((YEAR(D172)+5)&gt;YEAR(E172),1,(12-MONTH(E172)+1)/12)))*(1/(1+DiscountRate)^5))</f>
        <v/>
      </c>
      <c r="BO172" s="36">
        <f>IF(A172="","",(K172)*(IF((YEAR(D172)+6)&lt;YEAR(E172),0,IF((YEAR(D172)+6)&gt;YEAR(E172),1,(12-MONTH(E172)+1)/12)))*(1/(1+DiscountRate)^6))</f>
        <v/>
      </c>
      <c r="BP172" s="36">
        <f>IF(A172="","",(K172)*(IF((YEAR(D172)+7)&lt;YEAR(E172),0,IF((YEAR(D172)+7)&gt;YEAR(E172),1,(12-MONTH(E172)+1)/12)))*(1/(1+DiscountRate)^7))</f>
        <v/>
      </c>
      <c r="BQ172" s="36">
        <f>IF(A172="","",(K172)*(IF((YEAR(D172)+8)&lt;YEAR(E172),0,IF((YEAR(D172)+8)&gt;YEAR(E172),1,(12-MONTH(E172)+1)/12)))*(1/(1+DiscountRate)^8))</f>
        <v/>
      </c>
      <c r="BR172" s="36">
        <f>IF(A172="","",(K172)*(IF((YEAR(D172)+9)&lt;YEAR(E172),0,IF((YEAR(D172)+9)&gt;YEAR(E172),1,(12-MONTH(E172)+1)/12)))*(1/(1+DiscountRate)^9))</f>
        <v/>
      </c>
      <c r="BS172" s="36">
        <f>IF(A172="","",(K172)*(IF((YEAR(D172)+10)&lt;YEAR(E172),0,IF((YEAR(D172)+10)&gt;YEAR(E172),1,(12-MONTH(E172)+1)/12)))*(1/(1+DiscountRate)^10))</f>
        <v/>
      </c>
      <c r="BT172" s="36">
        <f>IF(A172="","",(K172)*(IF((YEAR(D172)+11)&lt;YEAR(E172),0,IF((YEAR(D172)+11)&gt;YEAR(E172),1,(12-MONTH(E172)+1)/12)))*(1/(1+DiscountRate)^11))</f>
        <v/>
      </c>
      <c r="BU172" s="36">
        <f>IF(A172="","",(K172)*(IF((YEAR(D172)+12)&lt;YEAR(E172),0,IF((YEAR(D172)+12)&gt;YEAR(E172),1,(12-MONTH(E172)+1)/12)))*(1/(1+DiscountRate)^12))</f>
        <v/>
      </c>
      <c r="BV172" s="36">
        <f>IF(A172="","",(K172)*(IF((YEAR(D172)+13)&lt;YEAR(E172),0,IF((YEAR(D172)+13)&gt;YEAR(E172),1,(12-MONTH(E172)+1)/12)))*(1/(1+DiscountRate)^13))</f>
        <v/>
      </c>
      <c r="BW172" s="36">
        <f>IF(A172="","",(K172)*(IF((YEAR(D172)+14)&lt;YEAR(E172),0,IF((YEAR(D172)+14)&gt;YEAR(E172),1,(12-MONTH(E172)+1)/12)))*(1/(1+DiscountRate)^14))</f>
        <v/>
      </c>
      <c r="BX172" s="36">
        <f>IF(A172="","",(K172)*(IF((YEAR(D172)+15)&lt;YEAR(E172),0,IF((YEAR(D172)+15)&gt;YEAR(E172),1,(12-MONTH(E172)+1)/12)))*(1/(1+DiscountRate)^15))</f>
        <v/>
      </c>
      <c r="BY172" s="36">
        <f>IF(A172="","",(K172)*(IF((YEAR(D172)+16)&lt;YEAR(E172),0,IF((YEAR(D172)+16)&gt;YEAR(E172),1,(12-MONTH(E172)+1)/12)))*(1/(1+DiscountRate)^16))</f>
        <v/>
      </c>
      <c r="BZ172" s="36">
        <f>IF(A172="","",(K172)*(IF((YEAR(D172)+17)&lt;YEAR(E172),0,IF((YEAR(D172)+17)&gt;YEAR(E172),1,(12-MONTH(E172)+1)/12)))*(1/(1+DiscountRate)^17))</f>
        <v/>
      </c>
      <c r="CA172" s="36">
        <f>IF(A172="","",(K172)*(IF((YEAR(D172)+18)&lt;YEAR(E172),0,IF((YEAR(D172)+18)&gt;YEAR(E172),1,(12-MONTH(E172)+1)/12)))*(1/(1+DiscountRate)^18))</f>
        <v/>
      </c>
      <c r="CB172" s="36">
        <f>IF(A172="","",(K172)*(IF((YEAR(D172)+19)&lt;YEAR(E172),0,IF((YEAR(D172)+19)&gt;YEAR(E172),1,(12-MONTH(E172)+1)/12)))*(1/(1+DiscountRate)^19))</f>
        <v/>
      </c>
      <c r="CC172" s="36">
        <f>IF(A172="","",(K172)*(IF((YEAR(D172)+20)&lt;YEAR(E172),0,IF((YEAR(D172)+20)&gt;YEAR(E172),1,(12-MONTH(E172)+1)/12)))*(1/(1+DiscountRate)^20))</f>
        <v/>
      </c>
      <c r="CD172" s="29">
        <f>IF(A172="","",S172/(1+DiscountRate)^0+T172/(1+DiscountRate)^1+U172/(1+DiscountRate)^2+V172/(1+DiscountRate)^3+W172/(1+DiscountRate)^4+X172/(1+DiscountRate)^5+Y172/(1+DiscountRate)^6+Z172/(1+DiscountRate)^7+AA172/(1+DiscountRate)^8+AB172/(1+DiscountRate)^9+AC172/(1+DiscountRate)^10+AD172/(1+DiscountRate)^11+AE172/(1+DiscountRate)^12+AF172/(1+DiscountRate)^13+AG172/(1+DiscountRate)^14+AH172/(1+DiscountRate)^15+AI172/(1+DiscountRate)^16+AJ172/(1+DiscountRate)^17+AK172/(1+DiscountRate)^18+AL172/(1+DiscountRate)^19+AM172/(1+DiscountRate)^20)</f>
        <v/>
      </c>
      <c r="CE172" s="37">
        <f>IF(A172="","",IFERROR(IRR(OFFSET(S172,0,0,1,MIN(HorizonYears,20)+1)),"n/a"))</f>
        <v/>
      </c>
      <c r="CF172" s="28">
        <f>IF(A172="","",IFERROR(MATCH(TRUE,OFFSET(AN172,0,0,1,MIN(HorizonYears,20)+1)&gt;=0,0)-1,"n/a"))</f>
        <v/>
      </c>
      <c r="CG172" s="36">
        <f>IF(A172="","",SUM(OFFSET(BI172,0,0,1,MIN(HorizonYears,20)+1)))</f>
        <v/>
      </c>
      <c r="CH172" s="36">
        <f>IF(A172="","",IFERROR(-CD172/CG172,"n/a"))</f>
        <v/>
      </c>
    </row>
    <row r="173">
      <c r="A173" s="6">
        <f>Actions!A171</f>
        <v/>
      </c>
      <c r="B173" s="6">
        <f>Actions!B171</f>
        <v/>
      </c>
      <c r="C173" s="6">
        <f>Actions!D171</f>
        <v/>
      </c>
      <c r="D173" s="35">
        <f>Actions!E171</f>
        <v/>
      </c>
      <c r="E173" s="35">
        <f>Actions!F171</f>
        <v/>
      </c>
      <c r="F173" s="6">
        <f>Actions!G171</f>
        <v/>
      </c>
      <c r="G173" s="6">
        <f>Actions!H171</f>
        <v/>
      </c>
      <c r="H173" s="29">
        <f>Actions!I171</f>
        <v/>
      </c>
      <c r="I173" s="6">
        <f>Actions!J171</f>
        <v/>
      </c>
      <c r="J173" s="16">
        <f>Actions!K171</f>
        <v/>
      </c>
      <c r="K173" s="16">
        <f>IF(A173="","",IF(I173="%",H173*J173,J173))</f>
        <v/>
      </c>
      <c r="L173" s="16">
        <f>Actions!L171</f>
        <v/>
      </c>
      <c r="M173" s="6">
        <f>Actions!M171</f>
        <v/>
      </c>
      <c r="N173" s="28">
        <f>Actions!N171</f>
        <v/>
      </c>
      <c r="O173" s="29">
        <f>Actions!T171</f>
        <v/>
      </c>
      <c r="P173" s="29">
        <f>Actions!Y171</f>
        <v/>
      </c>
      <c r="Q173" s="29">
        <f>Actions!Z171</f>
        <v/>
      </c>
      <c r="R173" s="29">
        <f>Actions!AA171</f>
        <v/>
      </c>
      <c r="S173" s="29">
        <f>IF(A173="","",((K173)*(IF(M173="",L173,IFERROR(IF(INDEX(Variablen!$I:$AT, MATCH(M173, Variablen!$A:$A, 0), MATCH((YEAR(D173)+0), Variablen!$I$3:$AT$3, 0))="",L173,INDEX(Variablen!$I:$AT, MATCH(M173, Variablen!$A:$A, 0), MATCH((YEAR(D173)+0), Variablen!$I$3:$AT$3, 0))),L173)))*(IF((YEAR(D173)+0)&lt;YEAR(E173),0,IF((YEAR(D173)+0)&gt;YEAR(E173),1,(12-MONTH(E173)+1)/12))) + (Q173)*(IF((YEAR(D173)+0)&lt;YEAR(E173),0,IF((YEAR(D173)+0)&gt;YEAR(E173),1,(12-MONTH(E173)+1)/12))))-((P173)*(IF((YEAR(D173)+0)&lt;YEAR(E173),0,IF((YEAR(D173)+0)&gt;YEAR(E173),1,(12-MONTH(E173)+1)/12))) + (R173)*(IF((YEAR(D173)+0)&lt;YEAR(E173),0,IF((YEAR(D173)+0)&gt;YEAR(E173),1,(12-MONTH(E173)+1)/12))))-(IF((((K173)*(IF(M173="",L173,IFERROR(IF(INDEX(Variablen!$I:$AT, MATCH(M173, Variablen!$A:$A, 0), MATCH((YEAR(D173)+0), Variablen!$I$3:$AT$3, 0))="",L173,INDEX(Variablen!$I:$AT, MATCH(M173, Variablen!$A:$A, 0), MATCH((YEAR(D173)+0), Variablen!$I$3:$AT$3, 0))),L173)))*(IF((YEAR(D173)+0)&lt;YEAR(E173),0,IF((YEAR(D173)+0)&gt;YEAR(E173),1,(12-MONTH(E173)+1)/12))) + (Q173)*(IF((YEAR(D173)+0)&lt;YEAR(E173),0,IF((YEAR(D173)+0)&gt;YEAR(E173),1,(12-MONTH(E173)+1)/12))))-((P173)*(IF((YEAR(D173)+0)&lt;YEAR(E173),0,IF((YEAR(D173)+0)&gt;YEAR(E173),1,(12-MONTH(E173)+1)/12))) + (R173)*(IF((YEAR(D173)+0)&lt;YEAR(E173),0,IF((YEAR(D173)+0)&gt;YEAR(E173),1,(12-MONTH(E173)+1)/12))))-(IF(OR(N173="",N173&lt;=0),0,(O173/N173)*(IF(OR(N173="",N173&lt;=0),0,IF((YEAR(D173)+0)&lt;YEAR(E173),0,IF((YEAR(D173)+0)&gt;=YEAR(E173)+N173,0,IF((YEAR(D173)+0)=YEAR(E173),(12-MONTH(E173)+1)/12,1))))))))&gt;0,(((K173)*(IF(M173="",L173,IFERROR(IF(INDEX(Variablen!$I:$AT, MATCH(M173, Variablen!$A:$A, 0), MATCH((YEAR(D173)+0), Variablen!$I$3:$AT$3, 0))="",L173,INDEX(Variablen!$I:$AT, MATCH(M173, Variablen!$A:$A, 0), MATCH((YEAR(D173)+0), Variablen!$I$3:$AT$3, 0))),L173)))*(IF((YEAR(D173)+0)&lt;YEAR(E173),0,IF((YEAR(D173)+0)&gt;YEAR(E173),1,(12-MONTH(E173)+1)/12))) + (Q173)*(IF((YEAR(D173)+0)&lt;YEAR(E173),0,IF((YEAR(D173)+0)&gt;YEAR(E173),1,(12-MONTH(E173)+1)/12))))-((P173)*(IF((YEAR(D173)+0)&lt;YEAR(E173),0,IF((YEAR(D173)+0)&gt;YEAR(E173),1,(12-MONTH(E173)+1)/12))) + (R173)*(IF((YEAR(D173)+0)&lt;YEAR(E173),0,IF((YEAR(D173)+0)&gt;YEAR(E173),1,(12-MONTH(E173)+1)/12))))-(IF(OR(N173="",N173&lt;=0),0,(O173/N173)*(IF(OR(N173="",N173&lt;=0),0,IF((YEAR(D173)+0)&lt;YEAR(E173),0,IF((YEAR(D173)+0)&gt;=YEAR(E173)+N173,0,IF((YEAR(D173)+0)=YEAR(E173),(12-MONTH(E173)+1)/12,1))))))))*TaxRate,0))-IF(0=0,O173,0))</f>
        <v/>
      </c>
      <c r="T173" s="29">
        <f>IF(A173="","",((K173)*(IF(M173="",L173,IFERROR(IF(INDEX(Variablen!$I:$AT, MATCH(M173, Variablen!$A:$A, 0), MATCH((YEAR(D173)+1), Variablen!$I$3:$AT$3, 0))="",L173,INDEX(Variablen!$I:$AT, MATCH(M173, Variablen!$A:$A, 0), MATCH((YEAR(D173)+1), Variablen!$I$3:$AT$3, 0))),L173)))*(IF((YEAR(D173)+1)&lt;YEAR(E173),0,IF((YEAR(D173)+1)&gt;YEAR(E173),1,(12-MONTH(E173)+1)/12))) + (Q173)*(IF((YEAR(D173)+1)&lt;YEAR(E173),0,IF((YEAR(D173)+1)&gt;YEAR(E173),1,(12-MONTH(E173)+1)/12))))-((P173)*(IF((YEAR(D173)+1)&lt;YEAR(E173),0,IF((YEAR(D173)+1)&gt;YEAR(E173),1,(12-MONTH(E173)+1)/12))) + (R173)*(IF((YEAR(D173)+1)&lt;YEAR(E173),0,IF((YEAR(D173)+1)&gt;YEAR(E173),1,(12-MONTH(E173)+1)/12))))-(IF((((K173)*(IF(M173="",L173,IFERROR(IF(INDEX(Variablen!$I:$AT, MATCH(M173, Variablen!$A:$A, 0), MATCH((YEAR(D173)+1), Variablen!$I$3:$AT$3, 0))="",L173,INDEX(Variablen!$I:$AT, MATCH(M173, Variablen!$A:$A, 0), MATCH((YEAR(D173)+1), Variablen!$I$3:$AT$3, 0))),L173)))*(IF((YEAR(D173)+1)&lt;YEAR(E173),0,IF((YEAR(D173)+1)&gt;YEAR(E173),1,(12-MONTH(E173)+1)/12))) + (Q173)*(IF((YEAR(D173)+1)&lt;YEAR(E173),0,IF((YEAR(D173)+1)&gt;YEAR(E173),1,(12-MONTH(E173)+1)/12))))-((P173)*(IF((YEAR(D173)+1)&lt;YEAR(E173),0,IF((YEAR(D173)+1)&gt;YEAR(E173),1,(12-MONTH(E173)+1)/12))) + (R173)*(IF((YEAR(D173)+1)&lt;YEAR(E173),0,IF((YEAR(D173)+1)&gt;YEAR(E173),1,(12-MONTH(E173)+1)/12))))-(IF(OR(N173="",N173&lt;=0),0,(O173/N173)*(IF(OR(N173="",N173&lt;=0),0,IF((YEAR(D173)+1)&lt;YEAR(E173),0,IF((YEAR(D173)+1)&gt;=YEAR(E173)+N173,0,IF((YEAR(D173)+1)=YEAR(E173),(12-MONTH(E173)+1)/12,1))))))))&gt;0,(((K173)*(IF(M173="",L173,IFERROR(IF(INDEX(Variablen!$I:$AT, MATCH(M173, Variablen!$A:$A, 0), MATCH((YEAR(D173)+1), Variablen!$I$3:$AT$3, 0))="",L173,INDEX(Variablen!$I:$AT, MATCH(M173, Variablen!$A:$A, 0), MATCH((YEAR(D173)+1), Variablen!$I$3:$AT$3, 0))),L173)))*(IF((YEAR(D173)+1)&lt;YEAR(E173),0,IF((YEAR(D173)+1)&gt;YEAR(E173),1,(12-MONTH(E173)+1)/12))) + (Q173)*(IF((YEAR(D173)+1)&lt;YEAR(E173),0,IF((YEAR(D173)+1)&gt;YEAR(E173),1,(12-MONTH(E173)+1)/12))))-((P173)*(IF((YEAR(D173)+1)&lt;YEAR(E173),0,IF((YEAR(D173)+1)&gt;YEAR(E173),1,(12-MONTH(E173)+1)/12))) + (R173)*(IF((YEAR(D173)+1)&lt;YEAR(E173),0,IF((YEAR(D173)+1)&gt;YEAR(E173),1,(12-MONTH(E173)+1)/12))))-(IF(OR(N173="",N173&lt;=0),0,(O173/N173)*(IF(OR(N173="",N173&lt;=0),0,IF((YEAR(D173)+1)&lt;YEAR(E173),0,IF((YEAR(D173)+1)&gt;=YEAR(E173)+N173,0,IF((YEAR(D173)+1)=YEAR(E173),(12-MONTH(E173)+1)/12,1))))))))*TaxRate,0))-IF(1=0,O173,0))</f>
        <v/>
      </c>
      <c r="U173" s="29">
        <f>IF(A173="","",((K173)*(IF(M173="",L173,IFERROR(IF(INDEX(Variablen!$I:$AT, MATCH(M173, Variablen!$A:$A, 0), MATCH((YEAR(D173)+2), Variablen!$I$3:$AT$3, 0))="",L173,INDEX(Variablen!$I:$AT, MATCH(M173, Variablen!$A:$A, 0), MATCH((YEAR(D173)+2), Variablen!$I$3:$AT$3, 0))),L173)))*(IF((YEAR(D173)+2)&lt;YEAR(E173),0,IF((YEAR(D173)+2)&gt;YEAR(E173),1,(12-MONTH(E173)+1)/12))) + (Q173)*(IF((YEAR(D173)+2)&lt;YEAR(E173),0,IF((YEAR(D173)+2)&gt;YEAR(E173),1,(12-MONTH(E173)+1)/12))))-((P173)*(IF((YEAR(D173)+2)&lt;YEAR(E173),0,IF((YEAR(D173)+2)&gt;YEAR(E173),1,(12-MONTH(E173)+1)/12))) + (R173)*(IF((YEAR(D173)+2)&lt;YEAR(E173),0,IF((YEAR(D173)+2)&gt;YEAR(E173),1,(12-MONTH(E173)+1)/12))))-(IF((((K173)*(IF(M173="",L173,IFERROR(IF(INDEX(Variablen!$I:$AT, MATCH(M173, Variablen!$A:$A, 0), MATCH((YEAR(D173)+2), Variablen!$I$3:$AT$3, 0))="",L173,INDEX(Variablen!$I:$AT, MATCH(M173, Variablen!$A:$A, 0), MATCH((YEAR(D173)+2), Variablen!$I$3:$AT$3, 0))),L173)))*(IF((YEAR(D173)+2)&lt;YEAR(E173),0,IF((YEAR(D173)+2)&gt;YEAR(E173),1,(12-MONTH(E173)+1)/12))) + (Q173)*(IF((YEAR(D173)+2)&lt;YEAR(E173),0,IF((YEAR(D173)+2)&gt;YEAR(E173),1,(12-MONTH(E173)+1)/12))))-((P173)*(IF((YEAR(D173)+2)&lt;YEAR(E173),0,IF((YEAR(D173)+2)&gt;YEAR(E173),1,(12-MONTH(E173)+1)/12))) + (R173)*(IF((YEAR(D173)+2)&lt;YEAR(E173),0,IF((YEAR(D173)+2)&gt;YEAR(E173),1,(12-MONTH(E173)+1)/12))))-(IF(OR(N173="",N173&lt;=0),0,(O173/N173)*(IF(OR(N173="",N173&lt;=0),0,IF((YEAR(D173)+2)&lt;YEAR(E173),0,IF((YEAR(D173)+2)&gt;=YEAR(E173)+N173,0,IF((YEAR(D173)+2)=YEAR(E173),(12-MONTH(E173)+1)/12,1))))))))&gt;0,(((K173)*(IF(M173="",L173,IFERROR(IF(INDEX(Variablen!$I:$AT, MATCH(M173, Variablen!$A:$A, 0), MATCH((YEAR(D173)+2), Variablen!$I$3:$AT$3, 0))="",L173,INDEX(Variablen!$I:$AT, MATCH(M173, Variablen!$A:$A, 0), MATCH((YEAR(D173)+2), Variablen!$I$3:$AT$3, 0))),L173)))*(IF((YEAR(D173)+2)&lt;YEAR(E173),0,IF((YEAR(D173)+2)&gt;YEAR(E173),1,(12-MONTH(E173)+1)/12))) + (Q173)*(IF((YEAR(D173)+2)&lt;YEAR(E173),0,IF((YEAR(D173)+2)&gt;YEAR(E173),1,(12-MONTH(E173)+1)/12))))-((P173)*(IF((YEAR(D173)+2)&lt;YEAR(E173),0,IF((YEAR(D173)+2)&gt;YEAR(E173),1,(12-MONTH(E173)+1)/12))) + (R173)*(IF((YEAR(D173)+2)&lt;YEAR(E173),0,IF((YEAR(D173)+2)&gt;YEAR(E173),1,(12-MONTH(E173)+1)/12))))-(IF(OR(N173="",N173&lt;=0),0,(O173/N173)*(IF(OR(N173="",N173&lt;=0),0,IF((YEAR(D173)+2)&lt;YEAR(E173),0,IF((YEAR(D173)+2)&gt;=YEAR(E173)+N173,0,IF((YEAR(D173)+2)=YEAR(E173),(12-MONTH(E173)+1)/12,1))))))))*TaxRate,0))-IF(2=0,O173,0))</f>
        <v/>
      </c>
      <c r="V173" s="29">
        <f>IF(A173="","",((K173)*(IF(M173="",L173,IFERROR(IF(INDEX(Variablen!$I:$AT, MATCH(M173, Variablen!$A:$A, 0), MATCH((YEAR(D173)+3), Variablen!$I$3:$AT$3, 0))="",L173,INDEX(Variablen!$I:$AT, MATCH(M173, Variablen!$A:$A, 0), MATCH((YEAR(D173)+3), Variablen!$I$3:$AT$3, 0))),L173)))*(IF((YEAR(D173)+3)&lt;YEAR(E173),0,IF((YEAR(D173)+3)&gt;YEAR(E173),1,(12-MONTH(E173)+1)/12))) + (Q173)*(IF((YEAR(D173)+3)&lt;YEAR(E173),0,IF((YEAR(D173)+3)&gt;YEAR(E173),1,(12-MONTH(E173)+1)/12))))-((P173)*(IF((YEAR(D173)+3)&lt;YEAR(E173),0,IF((YEAR(D173)+3)&gt;YEAR(E173),1,(12-MONTH(E173)+1)/12))) + (R173)*(IF((YEAR(D173)+3)&lt;YEAR(E173),0,IF((YEAR(D173)+3)&gt;YEAR(E173),1,(12-MONTH(E173)+1)/12))))-(IF((((K173)*(IF(M173="",L173,IFERROR(IF(INDEX(Variablen!$I:$AT, MATCH(M173, Variablen!$A:$A, 0), MATCH((YEAR(D173)+3), Variablen!$I$3:$AT$3, 0))="",L173,INDEX(Variablen!$I:$AT, MATCH(M173, Variablen!$A:$A, 0), MATCH((YEAR(D173)+3), Variablen!$I$3:$AT$3, 0))),L173)))*(IF((YEAR(D173)+3)&lt;YEAR(E173),0,IF((YEAR(D173)+3)&gt;YEAR(E173),1,(12-MONTH(E173)+1)/12))) + (Q173)*(IF((YEAR(D173)+3)&lt;YEAR(E173),0,IF((YEAR(D173)+3)&gt;YEAR(E173),1,(12-MONTH(E173)+1)/12))))-((P173)*(IF((YEAR(D173)+3)&lt;YEAR(E173),0,IF((YEAR(D173)+3)&gt;YEAR(E173),1,(12-MONTH(E173)+1)/12))) + (R173)*(IF((YEAR(D173)+3)&lt;YEAR(E173),0,IF((YEAR(D173)+3)&gt;YEAR(E173),1,(12-MONTH(E173)+1)/12))))-(IF(OR(N173="",N173&lt;=0),0,(O173/N173)*(IF(OR(N173="",N173&lt;=0),0,IF((YEAR(D173)+3)&lt;YEAR(E173),0,IF((YEAR(D173)+3)&gt;=YEAR(E173)+N173,0,IF((YEAR(D173)+3)=YEAR(E173),(12-MONTH(E173)+1)/12,1))))))))&gt;0,(((K173)*(IF(M173="",L173,IFERROR(IF(INDEX(Variablen!$I:$AT, MATCH(M173, Variablen!$A:$A, 0), MATCH((YEAR(D173)+3), Variablen!$I$3:$AT$3, 0))="",L173,INDEX(Variablen!$I:$AT, MATCH(M173, Variablen!$A:$A, 0), MATCH((YEAR(D173)+3), Variablen!$I$3:$AT$3, 0))),L173)))*(IF((YEAR(D173)+3)&lt;YEAR(E173),0,IF((YEAR(D173)+3)&gt;YEAR(E173),1,(12-MONTH(E173)+1)/12))) + (Q173)*(IF((YEAR(D173)+3)&lt;YEAR(E173),0,IF((YEAR(D173)+3)&gt;YEAR(E173),1,(12-MONTH(E173)+1)/12))))-((P173)*(IF((YEAR(D173)+3)&lt;YEAR(E173),0,IF((YEAR(D173)+3)&gt;YEAR(E173),1,(12-MONTH(E173)+1)/12))) + (R173)*(IF((YEAR(D173)+3)&lt;YEAR(E173),0,IF((YEAR(D173)+3)&gt;YEAR(E173),1,(12-MONTH(E173)+1)/12))))-(IF(OR(N173="",N173&lt;=0),0,(O173/N173)*(IF(OR(N173="",N173&lt;=0),0,IF((YEAR(D173)+3)&lt;YEAR(E173),0,IF((YEAR(D173)+3)&gt;=YEAR(E173)+N173,0,IF((YEAR(D173)+3)=YEAR(E173),(12-MONTH(E173)+1)/12,1))))))))*TaxRate,0))-IF(3=0,O173,0))</f>
        <v/>
      </c>
      <c r="W173" s="29">
        <f>IF(A173="","",((K173)*(IF(M173="",L173,IFERROR(IF(INDEX(Variablen!$I:$AT, MATCH(M173, Variablen!$A:$A, 0), MATCH((YEAR(D173)+4), Variablen!$I$3:$AT$3, 0))="",L173,INDEX(Variablen!$I:$AT, MATCH(M173, Variablen!$A:$A, 0), MATCH((YEAR(D173)+4), Variablen!$I$3:$AT$3, 0))),L173)))*(IF((YEAR(D173)+4)&lt;YEAR(E173),0,IF((YEAR(D173)+4)&gt;YEAR(E173),1,(12-MONTH(E173)+1)/12))) + (Q173)*(IF((YEAR(D173)+4)&lt;YEAR(E173),0,IF((YEAR(D173)+4)&gt;YEAR(E173),1,(12-MONTH(E173)+1)/12))))-((P173)*(IF((YEAR(D173)+4)&lt;YEAR(E173),0,IF((YEAR(D173)+4)&gt;YEAR(E173),1,(12-MONTH(E173)+1)/12))) + (R173)*(IF((YEAR(D173)+4)&lt;YEAR(E173),0,IF((YEAR(D173)+4)&gt;YEAR(E173),1,(12-MONTH(E173)+1)/12))))-(IF((((K173)*(IF(M173="",L173,IFERROR(IF(INDEX(Variablen!$I:$AT, MATCH(M173, Variablen!$A:$A, 0), MATCH((YEAR(D173)+4), Variablen!$I$3:$AT$3, 0))="",L173,INDEX(Variablen!$I:$AT, MATCH(M173, Variablen!$A:$A, 0), MATCH((YEAR(D173)+4), Variablen!$I$3:$AT$3, 0))),L173)))*(IF((YEAR(D173)+4)&lt;YEAR(E173),0,IF((YEAR(D173)+4)&gt;YEAR(E173),1,(12-MONTH(E173)+1)/12))) + (Q173)*(IF((YEAR(D173)+4)&lt;YEAR(E173),0,IF((YEAR(D173)+4)&gt;YEAR(E173),1,(12-MONTH(E173)+1)/12))))-((P173)*(IF((YEAR(D173)+4)&lt;YEAR(E173),0,IF((YEAR(D173)+4)&gt;YEAR(E173),1,(12-MONTH(E173)+1)/12))) + (R173)*(IF((YEAR(D173)+4)&lt;YEAR(E173),0,IF((YEAR(D173)+4)&gt;YEAR(E173),1,(12-MONTH(E173)+1)/12))))-(IF(OR(N173="",N173&lt;=0),0,(O173/N173)*(IF(OR(N173="",N173&lt;=0),0,IF((YEAR(D173)+4)&lt;YEAR(E173),0,IF((YEAR(D173)+4)&gt;=YEAR(E173)+N173,0,IF((YEAR(D173)+4)=YEAR(E173),(12-MONTH(E173)+1)/12,1))))))))&gt;0,(((K173)*(IF(M173="",L173,IFERROR(IF(INDEX(Variablen!$I:$AT, MATCH(M173, Variablen!$A:$A, 0), MATCH((YEAR(D173)+4), Variablen!$I$3:$AT$3, 0))="",L173,INDEX(Variablen!$I:$AT, MATCH(M173, Variablen!$A:$A, 0), MATCH((YEAR(D173)+4), Variablen!$I$3:$AT$3, 0))),L173)))*(IF((YEAR(D173)+4)&lt;YEAR(E173),0,IF((YEAR(D173)+4)&gt;YEAR(E173),1,(12-MONTH(E173)+1)/12))) + (Q173)*(IF((YEAR(D173)+4)&lt;YEAR(E173),0,IF((YEAR(D173)+4)&gt;YEAR(E173),1,(12-MONTH(E173)+1)/12))))-((P173)*(IF((YEAR(D173)+4)&lt;YEAR(E173),0,IF((YEAR(D173)+4)&gt;YEAR(E173),1,(12-MONTH(E173)+1)/12))) + (R173)*(IF((YEAR(D173)+4)&lt;YEAR(E173),0,IF((YEAR(D173)+4)&gt;YEAR(E173),1,(12-MONTH(E173)+1)/12))))-(IF(OR(N173="",N173&lt;=0),0,(O173/N173)*(IF(OR(N173="",N173&lt;=0),0,IF((YEAR(D173)+4)&lt;YEAR(E173),0,IF((YEAR(D173)+4)&gt;=YEAR(E173)+N173,0,IF((YEAR(D173)+4)=YEAR(E173),(12-MONTH(E173)+1)/12,1))))))))*TaxRate,0))-IF(4=0,O173,0))</f>
        <v/>
      </c>
      <c r="X173" s="29">
        <f>IF(A173="","",((K173)*(IF(M173="",L173,IFERROR(IF(INDEX(Variablen!$I:$AT, MATCH(M173, Variablen!$A:$A, 0), MATCH((YEAR(D173)+5), Variablen!$I$3:$AT$3, 0))="",L173,INDEX(Variablen!$I:$AT, MATCH(M173, Variablen!$A:$A, 0), MATCH((YEAR(D173)+5), Variablen!$I$3:$AT$3, 0))),L173)))*(IF((YEAR(D173)+5)&lt;YEAR(E173),0,IF((YEAR(D173)+5)&gt;YEAR(E173),1,(12-MONTH(E173)+1)/12))) + (Q173)*(IF((YEAR(D173)+5)&lt;YEAR(E173),0,IF((YEAR(D173)+5)&gt;YEAR(E173),1,(12-MONTH(E173)+1)/12))))-((P173)*(IF((YEAR(D173)+5)&lt;YEAR(E173),0,IF((YEAR(D173)+5)&gt;YEAR(E173),1,(12-MONTH(E173)+1)/12))) + (R173)*(IF((YEAR(D173)+5)&lt;YEAR(E173),0,IF((YEAR(D173)+5)&gt;YEAR(E173),1,(12-MONTH(E173)+1)/12))))-(IF((((K173)*(IF(M173="",L173,IFERROR(IF(INDEX(Variablen!$I:$AT, MATCH(M173, Variablen!$A:$A, 0), MATCH((YEAR(D173)+5), Variablen!$I$3:$AT$3, 0))="",L173,INDEX(Variablen!$I:$AT, MATCH(M173, Variablen!$A:$A, 0), MATCH((YEAR(D173)+5), Variablen!$I$3:$AT$3, 0))),L173)))*(IF((YEAR(D173)+5)&lt;YEAR(E173),0,IF((YEAR(D173)+5)&gt;YEAR(E173),1,(12-MONTH(E173)+1)/12))) + (Q173)*(IF((YEAR(D173)+5)&lt;YEAR(E173),0,IF((YEAR(D173)+5)&gt;YEAR(E173),1,(12-MONTH(E173)+1)/12))))-((P173)*(IF((YEAR(D173)+5)&lt;YEAR(E173),0,IF((YEAR(D173)+5)&gt;YEAR(E173),1,(12-MONTH(E173)+1)/12))) + (R173)*(IF((YEAR(D173)+5)&lt;YEAR(E173),0,IF((YEAR(D173)+5)&gt;YEAR(E173),1,(12-MONTH(E173)+1)/12))))-(IF(OR(N173="",N173&lt;=0),0,(O173/N173)*(IF(OR(N173="",N173&lt;=0),0,IF((YEAR(D173)+5)&lt;YEAR(E173),0,IF((YEAR(D173)+5)&gt;=YEAR(E173)+N173,0,IF((YEAR(D173)+5)=YEAR(E173),(12-MONTH(E173)+1)/12,1))))))))&gt;0,(((K173)*(IF(M173="",L173,IFERROR(IF(INDEX(Variablen!$I:$AT, MATCH(M173, Variablen!$A:$A, 0), MATCH((YEAR(D173)+5), Variablen!$I$3:$AT$3, 0))="",L173,INDEX(Variablen!$I:$AT, MATCH(M173, Variablen!$A:$A, 0), MATCH((YEAR(D173)+5), Variablen!$I$3:$AT$3, 0))),L173)))*(IF((YEAR(D173)+5)&lt;YEAR(E173),0,IF((YEAR(D173)+5)&gt;YEAR(E173),1,(12-MONTH(E173)+1)/12))) + (Q173)*(IF((YEAR(D173)+5)&lt;YEAR(E173),0,IF((YEAR(D173)+5)&gt;YEAR(E173),1,(12-MONTH(E173)+1)/12))))-((P173)*(IF((YEAR(D173)+5)&lt;YEAR(E173),0,IF((YEAR(D173)+5)&gt;YEAR(E173),1,(12-MONTH(E173)+1)/12))) + (R173)*(IF((YEAR(D173)+5)&lt;YEAR(E173),0,IF((YEAR(D173)+5)&gt;YEAR(E173),1,(12-MONTH(E173)+1)/12))))-(IF(OR(N173="",N173&lt;=0),0,(O173/N173)*(IF(OR(N173="",N173&lt;=0),0,IF((YEAR(D173)+5)&lt;YEAR(E173),0,IF((YEAR(D173)+5)&gt;=YEAR(E173)+N173,0,IF((YEAR(D173)+5)=YEAR(E173),(12-MONTH(E173)+1)/12,1))))))))*TaxRate,0))-IF(5=0,O173,0))</f>
        <v/>
      </c>
      <c r="Y173" s="29">
        <f>IF(A173="","",((K173)*(IF(M173="",L173,IFERROR(IF(INDEX(Variablen!$I:$AT, MATCH(M173, Variablen!$A:$A, 0), MATCH((YEAR(D173)+6), Variablen!$I$3:$AT$3, 0))="",L173,INDEX(Variablen!$I:$AT, MATCH(M173, Variablen!$A:$A, 0), MATCH((YEAR(D173)+6), Variablen!$I$3:$AT$3, 0))),L173)))*(IF((YEAR(D173)+6)&lt;YEAR(E173),0,IF((YEAR(D173)+6)&gt;YEAR(E173),1,(12-MONTH(E173)+1)/12))) + (Q173)*(IF((YEAR(D173)+6)&lt;YEAR(E173),0,IF((YEAR(D173)+6)&gt;YEAR(E173),1,(12-MONTH(E173)+1)/12))))-((P173)*(IF((YEAR(D173)+6)&lt;YEAR(E173),0,IF((YEAR(D173)+6)&gt;YEAR(E173),1,(12-MONTH(E173)+1)/12))) + (R173)*(IF((YEAR(D173)+6)&lt;YEAR(E173),0,IF((YEAR(D173)+6)&gt;YEAR(E173),1,(12-MONTH(E173)+1)/12))))-(IF((((K173)*(IF(M173="",L173,IFERROR(IF(INDEX(Variablen!$I:$AT, MATCH(M173, Variablen!$A:$A, 0), MATCH((YEAR(D173)+6), Variablen!$I$3:$AT$3, 0))="",L173,INDEX(Variablen!$I:$AT, MATCH(M173, Variablen!$A:$A, 0), MATCH((YEAR(D173)+6), Variablen!$I$3:$AT$3, 0))),L173)))*(IF((YEAR(D173)+6)&lt;YEAR(E173),0,IF((YEAR(D173)+6)&gt;YEAR(E173),1,(12-MONTH(E173)+1)/12))) + (Q173)*(IF((YEAR(D173)+6)&lt;YEAR(E173),0,IF((YEAR(D173)+6)&gt;YEAR(E173),1,(12-MONTH(E173)+1)/12))))-((P173)*(IF((YEAR(D173)+6)&lt;YEAR(E173),0,IF((YEAR(D173)+6)&gt;YEAR(E173),1,(12-MONTH(E173)+1)/12))) + (R173)*(IF((YEAR(D173)+6)&lt;YEAR(E173),0,IF((YEAR(D173)+6)&gt;YEAR(E173),1,(12-MONTH(E173)+1)/12))))-(IF(OR(N173="",N173&lt;=0),0,(O173/N173)*(IF(OR(N173="",N173&lt;=0),0,IF((YEAR(D173)+6)&lt;YEAR(E173),0,IF((YEAR(D173)+6)&gt;=YEAR(E173)+N173,0,IF((YEAR(D173)+6)=YEAR(E173),(12-MONTH(E173)+1)/12,1))))))))&gt;0,(((K173)*(IF(M173="",L173,IFERROR(IF(INDEX(Variablen!$I:$AT, MATCH(M173, Variablen!$A:$A, 0), MATCH((YEAR(D173)+6), Variablen!$I$3:$AT$3, 0))="",L173,INDEX(Variablen!$I:$AT, MATCH(M173, Variablen!$A:$A, 0), MATCH((YEAR(D173)+6), Variablen!$I$3:$AT$3, 0))),L173)))*(IF((YEAR(D173)+6)&lt;YEAR(E173),0,IF((YEAR(D173)+6)&gt;YEAR(E173),1,(12-MONTH(E173)+1)/12))) + (Q173)*(IF((YEAR(D173)+6)&lt;YEAR(E173),0,IF((YEAR(D173)+6)&gt;YEAR(E173),1,(12-MONTH(E173)+1)/12))))-((P173)*(IF((YEAR(D173)+6)&lt;YEAR(E173),0,IF((YEAR(D173)+6)&gt;YEAR(E173),1,(12-MONTH(E173)+1)/12))) + (R173)*(IF((YEAR(D173)+6)&lt;YEAR(E173),0,IF((YEAR(D173)+6)&gt;YEAR(E173),1,(12-MONTH(E173)+1)/12))))-(IF(OR(N173="",N173&lt;=0),0,(O173/N173)*(IF(OR(N173="",N173&lt;=0),0,IF((YEAR(D173)+6)&lt;YEAR(E173),0,IF((YEAR(D173)+6)&gt;=YEAR(E173)+N173,0,IF((YEAR(D173)+6)=YEAR(E173),(12-MONTH(E173)+1)/12,1))))))))*TaxRate,0))-IF(6=0,O173,0))</f>
        <v/>
      </c>
      <c r="Z173" s="29">
        <f>IF(A173="","",((K173)*(IF(M173="",L173,IFERROR(IF(INDEX(Variablen!$I:$AT, MATCH(M173, Variablen!$A:$A, 0), MATCH((YEAR(D173)+7), Variablen!$I$3:$AT$3, 0))="",L173,INDEX(Variablen!$I:$AT, MATCH(M173, Variablen!$A:$A, 0), MATCH((YEAR(D173)+7), Variablen!$I$3:$AT$3, 0))),L173)))*(IF((YEAR(D173)+7)&lt;YEAR(E173),0,IF((YEAR(D173)+7)&gt;YEAR(E173),1,(12-MONTH(E173)+1)/12))) + (Q173)*(IF((YEAR(D173)+7)&lt;YEAR(E173),0,IF((YEAR(D173)+7)&gt;YEAR(E173),1,(12-MONTH(E173)+1)/12))))-((P173)*(IF((YEAR(D173)+7)&lt;YEAR(E173),0,IF((YEAR(D173)+7)&gt;YEAR(E173),1,(12-MONTH(E173)+1)/12))) + (R173)*(IF((YEAR(D173)+7)&lt;YEAR(E173),0,IF((YEAR(D173)+7)&gt;YEAR(E173),1,(12-MONTH(E173)+1)/12))))-(IF((((K173)*(IF(M173="",L173,IFERROR(IF(INDEX(Variablen!$I:$AT, MATCH(M173, Variablen!$A:$A, 0), MATCH((YEAR(D173)+7), Variablen!$I$3:$AT$3, 0))="",L173,INDEX(Variablen!$I:$AT, MATCH(M173, Variablen!$A:$A, 0), MATCH((YEAR(D173)+7), Variablen!$I$3:$AT$3, 0))),L173)))*(IF((YEAR(D173)+7)&lt;YEAR(E173),0,IF((YEAR(D173)+7)&gt;YEAR(E173),1,(12-MONTH(E173)+1)/12))) + (Q173)*(IF((YEAR(D173)+7)&lt;YEAR(E173),0,IF((YEAR(D173)+7)&gt;YEAR(E173),1,(12-MONTH(E173)+1)/12))))-((P173)*(IF((YEAR(D173)+7)&lt;YEAR(E173),0,IF((YEAR(D173)+7)&gt;YEAR(E173),1,(12-MONTH(E173)+1)/12))) + (R173)*(IF((YEAR(D173)+7)&lt;YEAR(E173),0,IF((YEAR(D173)+7)&gt;YEAR(E173),1,(12-MONTH(E173)+1)/12))))-(IF(OR(N173="",N173&lt;=0),0,(O173/N173)*(IF(OR(N173="",N173&lt;=0),0,IF((YEAR(D173)+7)&lt;YEAR(E173),0,IF((YEAR(D173)+7)&gt;=YEAR(E173)+N173,0,IF((YEAR(D173)+7)=YEAR(E173),(12-MONTH(E173)+1)/12,1))))))))&gt;0,(((K173)*(IF(M173="",L173,IFERROR(IF(INDEX(Variablen!$I:$AT, MATCH(M173, Variablen!$A:$A, 0), MATCH((YEAR(D173)+7), Variablen!$I$3:$AT$3, 0))="",L173,INDEX(Variablen!$I:$AT, MATCH(M173, Variablen!$A:$A, 0), MATCH((YEAR(D173)+7), Variablen!$I$3:$AT$3, 0))),L173)))*(IF((YEAR(D173)+7)&lt;YEAR(E173),0,IF((YEAR(D173)+7)&gt;YEAR(E173),1,(12-MONTH(E173)+1)/12))) + (Q173)*(IF((YEAR(D173)+7)&lt;YEAR(E173),0,IF((YEAR(D173)+7)&gt;YEAR(E173),1,(12-MONTH(E173)+1)/12))))-((P173)*(IF((YEAR(D173)+7)&lt;YEAR(E173),0,IF((YEAR(D173)+7)&gt;YEAR(E173),1,(12-MONTH(E173)+1)/12))) + (R173)*(IF((YEAR(D173)+7)&lt;YEAR(E173),0,IF((YEAR(D173)+7)&gt;YEAR(E173),1,(12-MONTH(E173)+1)/12))))-(IF(OR(N173="",N173&lt;=0),0,(O173/N173)*(IF(OR(N173="",N173&lt;=0),0,IF((YEAR(D173)+7)&lt;YEAR(E173),0,IF((YEAR(D173)+7)&gt;=YEAR(E173)+N173,0,IF((YEAR(D173)+7)=YEAR(E173),(12-MONTH(E173)+1)/12,1))))))))*TaxRate,0))-IF(7=0,O173,0))</f>
        <v/>
      </c>
      <c r="AA173" s="29">
        <f>IF(A173="","",((K173)*(IF(M173="",L173,IFERROR(IF(INDEX(Variablen!$I:$AT, MATCH(M173, Variablen!$A:$A, 0), MATCH((YEAR(D173)+8), Variablen!$I$3:$AT$3, 0))="",L173,INDEX(Variablen!$I:$AT, MATCH(M173, Variablen!$A:$A, 0), MATCH((YEAR(D173)+8), Variablen!$I$3:$AT$3, 0))),L173)))*(IF((YEAR(D173)+8)&lt;YEAR(E173),0,IF((YEAR(D173)+8)&gt;YEAR(E173),1,(12-MONTH(E173)+1)/12))) + (Q173)*(IF((YEAR(D173)+8)&lt;YEAR(E173),0,IF((YEAR(D173)+8)&gt;YEAR(E173),1,(12-MONTH(E173)+1)/12))))-((P173)*(IF((YEAR(D173)+8)&lt;YEAR(E173),0,IF((YEAR(D173)+8)&gt;YEAR(E173),1,(12-MONTH(E173)+1)/12))) + (R173)*(IF((YEAR(D173)+8)&lt;YEAR(E173),0,IF((YEAR(D173)+8)&gt;YEAR(E173),1,(12-MONTH(E173)+1)/12))))-(IF((((K173)*(IF(M173="",L173,IFERROR(IF(INDEX(Variablen!$I:$AT, MATCH(M173, Variablen!$A:$A, 0), MATCH((YEAR(D173)+8), Variablen!$I$3:$AT$3, 0))="",L173,INDEX(Variablen!$I:$AT, MATCH(M173, Variablen!$A:$A, 0), MATCH((YEAR(D173)+8), Variablen!$I$3:$AT$3, 0))),L173)))*(IF((YEAR(D173)+8)&lt;YEAR(E173),0,IF((YEAR(D173)+8)&gt;YEAR(E173),1,(12-MONTH(E173)+1)/12))) + (Q173)*(IF((YEAR(D173)+8)&lt;YEAR(E173),0,IF((YEAR(D173)+8)&gt;YEAR(E173),1,(12-MONTH(E173)+1)/12))))-((P173)*(IF((YEAR(D173)+8)&lt;YEAR(E173),0,IF((YEAR(D173)+8)&gt;YEAR(E173),1,(12-MONTH(E173)+1)/12))) + (R173)*(IF((YEAR(D173)+8)&lt;YEAR(E173),0,IF((YEAR(D173)+8)&gt;YEAR(E173),1,(12-MONTH(E173)+1)/12))))-(IF(OR(N173="",N173&lt;=0),0,(O173/N173)*(IF(OR(N173="",N173&lt;=0),0,IF((YEAR(D173)+8)&lt;YEAR(E173),0,IF((YEAR(D173)+8)&gt;=YEAR(E173)+N173,0,IF((YEAR(D173)+8)=YEAR(E173),(12-MONTH(E173)+1)/12,1))))))))&gt;0,(((K173)*(IF(M173="",L173,IFERROR(IF(INDEX(Variablen!$I:$AT, MATCH(M173, Variablen!$A:$A, 0), MATCH((YEAR(D173)+8), Variablen!$I$3:$AT$3, 0))="",L173,INDEX(Variablen!$I:$AT, MATCH(M173, Variablen!$A:$A, 0), MATCH((YEAR(D173)+8), Variablen!$I$3:$AT$3, 0))),L173)))*(IF((YEAR(D173)+8)&lt;YEAR(E173),0,IF((YEAR(D173)+8)&gt;YEAR(E173),1,(12-MONTH(E173)+1)/12))) + (Q173)*(IF((YEAR(D173)+8)&lt;YEAR(E173),0,IF((YEAR(D173)+8)&gt;YEAR(E173),1,(12-MONTH(E173)+1)/12))))-((P173)*(IF((YEAR(D173)+8)&lt;YEAR(E173),0,IF((YEAR(D173)+8)&gt;YEAR(E173),1,(12-MONTH(E173)+1)/12))) + (R173)*(IF((YEAR(D173)+8)&lt;YEAR(E173),0,IF((YEAR(D173)+8)&gt;YEAR(E173),1,(12-MONTH(E173)+1)/12))))-(IF(OR(N173="",N173&lt;=0),0,(O173/N173)*(IF(OR(N173="",N173&lt;=0),0,IF((YEAR(D173)+8)&lt;YEAR(E173),0,IF((YEAR(D173)+8)&gt;=YEAR(E173)+N173,0,IF((YEAR(D173)+8)=YEAR(E173),(12-MONTH(E173)+1)/12,1))))))))*TaxRate,0))-IF(8=0,O173,0))</f>
        <v/>
      </c>
      <c r="AB173" s="29">
        <f>IF(A173="","",((K173)*(IF(M173="",L173,IFERROR(IF(INDEX(Variablen!$I:$AT, MATCH(M173, Variablen!$A:$A, 0), MATCH((YEAR(D173)+9), Variablen!$I$3:$AT$3, 0))="",L173,INDEX(Variablen!$I:$AT, MATCH(M173, Variablen!$A:$A, 0), MATCH((YEAR(D173)+9), Variablen!$I$3:$AT$3, 0))),L173)))*(IF((YEAR(D173)+9)&lt;YEAR(E173),0,IF((YEAR(D173)+9)&gt;YEAR(E173),1,(12-MONTH(E173)+1)/12))) + (Q173)*(IF((YEAR(D173)+9)&lt;YEAR(E173),0,IF((YEAR(D173)+9)&gt;YEAR(E173),1,(12-MONTH(E173)+1)/12))))-((P173)*(IF((YEAR(D173)+9)&lt;YEAR(E173),0,IF((YEAR(D173)+9)&gt;YEAR(E173),1,(12-MONTH(E173)+1)/12))) + (R173)*(IF((YEAR(D173)+9)&lt;YEAR(E173),0,IF((YEAR(D173)+9)&gt;YEAR(E173),1,(12-MONTH(E173)+1)/12))))-(IF((((K173)*(IF(M173="",L173,IFERROR(IF(INDEX(Variablen!$I:$AT, MATCH(M173, Variablen!$A:$A, 0), MATCH((YEAR(D173)+9), Variablen!$I$3:$AT$3, 0))="",L173,INDEX(Variablen!$I:$AT, MATCH(M173, Variablen!$A:$A, 0), MATCH((YEAR(D173)+9), Variablen!$I$3:$AT$3, 0))),L173)))*(IF((YEAR(D173)+9)&lt;YEAR(E173),0,IF((YEAR(D173)+9)&gt;YEAR(E173),1,(12-MONTH(E173)+1)/12))) + (Q173)*(IF((YEAR(D173)+9)&lt;YEAR(E173),0,IF((YEAR(D173)+9)&gt;YEAR(E173),1,(12-MONTH(E173)+1)/12))))-((P173)*(IF((YEAR(D173)+9)&lt;YEAR(E173),0,IF((YEAR(D173)+9)&gt;YEAR(E173),1,(12-MONTH(E173)+1)/12))) + (R173)*(IF((YEAR(D173)+9)&lt;YEAR(E173),0,IF((YEAR(D173)+9)&gt;YEAR(E173),1,(12-MONTH(E173)+1)/12))))-(IF(OR(N173="",N173&lt;=0),0,(O173/N173)*(IF(OR(N173="",N173&lt;=0),0,IF((YEAR(D173)+9)&lt;YEAR(E173),0,IF((YEAR(D173)+9)&gt;=YEAR(E173)+N173,0,IF((YEAR(D173)+9)=YEAR(E173),(12-MONTH(E173)+1)/12,1))))))))&gt;0,(((K173)*(IF(M173="",L173,IFERROR(IF(INDEX(Variablen!$I:$AT, MATCH(M173, Variablen!$A:$A, 0), MATCH((YEAR(D173)+9), Variablen!$I$3:$AT$3, 0))="",L173,INDEX(Variablen!$I:$AT, MATCH(M173, Variablen!$A:$A, 0), MATCH((YEAR(D173)+9), Variablen!$I$3:$AT$3, 0))),L173)))*(IF((YEAR(D173)+9)&lt;YEAR(E173),0,IF((YEAR(D173)+9)&gt;YEAR(E173),1,(12-MONTH(E173)+1)/12))) + (Q173)*(IF((YEAR(D173)+9)&lt;YEAR(E173),0,IF((YEAR(D173)+9)&gt;YEAR(E173),1,(12-MONTH(E173)+1)/12))))-((P173)*(IF((YEAR(D173)+9)&lt;YEAR(E173),0,IF((YEAR(D173)+9)&gt;YEAR(E173),1,(12-MONTH(E173)+1)/12))) + (R173)*(IF((YEAR(D173)+9)&lt;YEAR(E173),0,IF((YEAR(D173)+9)&gt;YEAR(E173),1,(12-MONTH(E173)+1)/12))))-(IF(OR(N173="",N173&lt;=0),0,(O173/N173)*(IF(OR(N173="",N173&lt;=0),0,IF((YEAR(D173)+9)&lt;YEAR(E173),0,IF((YEAR(D173)+9)&gt;=YEAR(E173)+N173,0,IF((YEAR(D173)+9)=YEAR(E173),(12-MONTH(E173)+1)/12,1))))))))*TaxRate,0))-IF(9=0,O173,0))</f>
        <v/>
      </c>
      <c r="AC173" s="29">
        <f>IF(A173="","",((K173)*(IF(M173="",L173,IFERROR(IF(INDEX(Variablen!$I:$AT, MATCH(M173, Variablen!$A:$A, 0), MATCH((YEAR(D173)+10), Variablen!$I$3:$AT$3, 0))="",L173,INDEX(Variablen!$I:$AT, MATCH(M173, Variablen!$A:$A, 0), MATCH((YEAR(D173)+10), Variablen!$I$3:$AT$3, 0))),L173)))*(IF((YEAR(D173)+10)&lt;YEAR(E173),0,IF((YEAR(D173)+10)&gt;YEAR(E173),1,(12-MONTH(E173)+1)/12))) + (Q173)*(IF((YEAR(D173)+10)&lt;YEAR(E173),0,IF((YEAR(D173)+10)&gt;YEAR(E173),1,(12-MONTH(E173)+1)/12))))-((P173)*(IF((YEAR(D173)+10)&lt;YEAR(E173),0,IF((YEAR(D173)+10)&gt;YEAR(E173),1,(12-MONTH(E173)+1)/12))) + (R173)*(IF((YEAR(D173)+10)&lt;YEAR(E173),0,IF((YEAR(D173)+10)&gt;YEAR(E173),1,(12-MONTH(E173)+1)/12))))-(IF((((K173)*(IF(M173="",L173,IFERROR(IF(INDEX(Variablen!$I:$AT, MATCH(M173, Variablen!$A:$A, 0), MATCH((YEAR(D173)+10), Variablen!$I$3:$AT$3, 0))="",L173,INDEX(Variablen!$I:$AT, MATCH(M173, Variablen!$A:$A, 0), MATCH((YEAR(D173)+10), Variablen!$I$3:$AT$3, 0))),L173)))*(IF((YEAR(D173)+10)&lt;YEAR(E173),0,IF((YEAR(D173)+10)&gt;YEAR(E173),1,(12-MONTH(E173)+1)/12))) + (Q173)*(IF((YEAR(D173)+10)&lt;YEAR(E173),0,IF((YEAR(D173)+10)&gt;YEAR(E173),1,(12-MONTH(E173)+1)/12))))-((P173)*(IF((YEAR(D173)+10)&lt;YEAR(E173),0,IF((YEAR(D173)+10)&gt;YEAR(E173),1,(12-MONTH(E173)+1)/12))) + (R173)*(IF((YEAR(D173)+10)&lt;YEAR(E173),0,IF((YEAR(D173)+10)&gt;YEAR(E173),1,(12-MONTH(E173)+1)/12))))-(IF(OR(N173="",N173&lt;=0),0,(O173/N173)*(IF(OR(N173="",N173&lt;=0),0,IF((YEAR(D173)+10)&lt;YEAR(E173),0,IF((YEAR(D173)+10)&gt;=YEAR(E173)+N173,0,IF((YEAR(D173)+10)=YEAR(E173),(12-MONTH(E173)+1)/12,1))))))))&gt;0,(((K173)*(IF(M173="",L173,IFERROR(IF(INDEX(Variablen!$I:$AT, MATCH(M173, Variablen!$A:$A, 0), MATCH((YEAR(D173)+10), Variablen!$I$3:$AT$3, 0))="",L173,INDEX(Variablen!$I:$AT, MATCH(M173, Variablen!$A:$A, 0), MATCH((YEAR(D173)+10), Variablen!$I$3:$AT$3, 0))),L173)))*(IF((YEAR(D173)+10)&lt;YEAR(E173),0,IF((YEAR(D173)+10)&gt;YEAR(E173),1,(12-MONTH(E173)+1)/12))) + (Q173)*(IF((YEAR(D173)+10)&lt;YEAR(E173),0,IF((YEAR(D173)+10)&gt;YEAR(E173),1,(12-MONTH(E173)+1)/12))))-((P173)*(IF((YEAR(D173)+10)&lt;YEAR(E173),0,IF((YEAR(D173)+10)&gt;YEAR(E173),1,(12-MONTH(E173)+1)/12))) + (R173)*(IF((YEAR(D173)+10)&lt;YEAR(E173),0,IF((YEAR(D173)+10)&gt;YEAR(E173),1,(12-MONTH(E173)+1)/12))))-(IF(OR(N173="",N173&lt;=0),0,(O173/N173)*(IF(OR(N173="",N173&lt;=0),0,IF((YEAR(D173)+10)&lt;YEAR(E173),0,IF((YEAR(D173)+10)&gt;=YEAR(E173)+N173,0,IF((YEAR(D173)+10)=YEAR(E173),(12-MONTH(E173)+1)/12,1))))))))*TaxRate,0))-IF(10=0,O173,0))</f>
        <v/>
      </c>
      <c r="AD173" s="29">
        <f>IF(A173="","",((K173)*(IF(M173="",L173,IFERROR(IF(INDEX(Variablen!$I:$AT, MATCH(M173, Variablen!$A:$A, 0), MATCH((YEAR(D173)+11), Variablen!$I$3:$AT$3, 0))="",L173,INDEX(Variablen!$I:$AT, MATCH(M173, Variablen!$A:$A, 0), MATCH((YEAR(D173)+11), Variablen!$I$3:$AT$3, 0))),L173)))*(IF((YEAR(D173)+11)&lt;YEAR(E173),0,IF((YEAR(D173)+11)&gt;YEAR(E173),1,(12-MONTH(E173)+1)/12))) + (Q173)*(IF((YEAR(D173)+11)&lt;YEAR(E173),0,IF((YEAR(D173)+11)&gt;YEAR(E173),1,(12-MONTH(E173)+1)/12))))-((P173)*(IF((YEAR(D173)+11)&lt;YEAR(E173),0,IF((YEAR(D173)+11)&gt;YEAR(E173),1,(12-MONTH(E173)+1)/12))) + (R173)*(IF((YEAR(D173)+11)&lt;YEAR(E173),0,IF((YEAR(D173)+11)&gt;YEAR(E173),1,(12-MONTH(E173)+1)/12))))-(IF((((K173)*(IF(M173="",L173,IFERROR(IF(INDEX(Variablen!$I:$AT, MATCH(M173, Variablen!$A:$A, 0), MATCH((YEAR(D173)+11), Variablen!$I$3:$AT$3, 0))="",L173,INDEX(Variablen!$I:$AT, MATCH(M173, Variablen!$A:$A, 0), MATCH((YEAR(D173)+11), Variablen!$I$3:$AT$3, 0))),L173)))*(IF((YEAR(D173)+11)&lt;YEAR(E173),0,IF((YEAR(D173)+11)&gt;YEAR(E173),1,(12-MONTH(E173)+1)/12))) + (Q173)*(IF((YEAR(D173)+11)&lt;YEAR(E173),0,IF((YEAR(D173)+11)&gt;YEAR(E173),1,(12-MONTH(E173)+1)/12))))-((P173)*(IF((YEAR(D173)+11)&lt;YEAR(E173),0,IF((YEAR(D173)+11)&gt;YEAR(E173),1,(12-MONTH(E173)+1)/12))) + (R173)*(IF((YEAR(D173)+11)&lt;YEAR(E173),0,IF((YEAR(D173)+11)&gt;YEAR(E173),1,(12-MONTH(E173)+1)/12))))-(IF(OR(N173="",N173&lt;=0),0,(O173/N173)*(IF(OR(N173="",N173&lt;=0),0,IF((YEAR(D173)+11)&lt;YEAR(E173),0,IF((YEAR(D173)+11)&gt;=YEAR(E173)+N173,0,IF((YEAR(D173)+11)=YEAR(E173),(12-MONTH(E173)+1)/12,1))))))))&gt;0,(((K173)*(IF(M173="",L173,IFERROR(IF(INDEX(Variablen!$I:$AT, MATCH(M173, Variablen!$A:$A, 0), MATCH((YEAR(D173)+11), Variablen!$I$3:$AT$3, 0))="",L173,INDEX(Variablen!$I:$AT, MATCH(M173, Variablen!$A:$A, 0), MATCH((YEAR(D173)+11), Variablen!$I$3:$AT$3, 0))),L173)))*(IF((YEAR(D173)+11)&lt;YEAR(E173),0,IF((YEAR(D173)+11)&gt;YEAR(E173),1,(12-MONTH(E173)+1)/12))) + (Q173)*(IF((YEAR(D173)+11)&lt;YEAR(E173),0,IF((YEAR(D173)+11)&gt;YEAR(E173),1,(12-MONTH(E173)+1)/12))))-((P173)*(IF((YEAR(D173)+11)&lt;YEAR(E173),0,IF((YEAR(D173)+11)&gt;YEAR(E173),1,(12-MONTH(E173)+1)/12))) + (R173)*(IF((YEAR(D173)+11)&lt;YEAR(E173),0,IF((YEAR(D173)+11)&gt;YEAR(E173),1,(12-MONTH(E173)+1)/12))))-(IF(OR(N173="",N173&lt;=0),0,(O173/N173)*(IF(OR(N173="",N173&lt;=0),0,IF((YEAR(D173)+11)&lt;YEAR(E173),0,IF((YEAR(D173)+11)&gt;=YEAR(E173)+N173,0,IF((YEAR(D173)+11)=YEAR(E173),(12-MONTH(E173)+1)/12,1))))))))*TaxRate,0))-IF(11=0,O173,0))</f>
        <v/>
      </c>
      <c r="AE173" s="29">
        <f>IF(A173="","",((K173)*(IF(M173="",L173,IFERROR(IF(INDEX(Variablen!$I:$AT, MATCH(M173, Variablen!$A:$A, 0), MATCH((YEAR(D173)+12), Variablen!$I$3:$AT$3, 0))="",L173,INDEX(Variablen!$I:$AT, MATCH(M173, Variablen!$A:$A, 0), MATCH((YEAR(D173)+12), Variablen!$I$3:$AT$3, 0))),L173)))*(IF((YEAR(D173)+12)&lt;YEAR(E173),0,IF((YEAR(D173)+12)&gt;YEAR(E173),1,(12-MONTH(E173)+1)/12))) + (Q173)*(IF((YEAR(D173)+12)&lt;YEAR(E173),0,IF((YEAR(D173)+12)&gt;YEAR(E173),1,(12-MONTH(E173)+1)/12))))-((P173)*(IF((YEAR(D173)+12)&lt;YEAR(E173),0,IF((YEAR(D173)+12)&gt;YEAR(E173),1,(12-MONTH(E173)+1)/12))) + (R173)*(IF((YEAR(D173)+12)&lt;YEAR(E173),0,IF((YEAR(D173)+12)&gt;YEAR(E173),1,(12-MONTH(E173)+1)/12))))-(IF((((K173)*(IF(M173="",L173,IFERROR(IF(INDEX(Variablen!$I:$AT, MATCH(M173, Variablen!$A:$A, 0), MATCH((YEAR(D173)+12), Variablen!$I$3:$AT$3, 0))="",L173,INDEX(Variablen!$I:$AT, MATCH(M173, Variablen!$A:$A, 0), MATCH((YEAR(D173)+12), Variablen!$I$3:$AT$3, 0))),L173)))*(IF((YEAR(D173)+12)&lt;YEAR(E173),0,IF((YEAR(D173)+12)&gt;YEAR(E173),1,(12-MONTH(E173)+1)/12))) + (Q173)*(IF((YEAR(D173)+12)&lt;YEAR(E173),0,IF((YEAR(D173)+12)&gt;YEAR(E173),1,(12-MONTH(E173)+1)/12))))-((P173)*(IF((YEAR(D173)+12)&lt;YEAR(E173),0,IF((YEAR(D173)+12)&gt;YEAR(E173),1,(12-MONTH(E173)+1)/12))) + (R173)*(IF((YEAR(D173)+12)&lt;YEAR(E173),0,IF((YEAR(D173)+12)&gt;YEAR(E173),1,(12-MONTH(E173)+1)/12))))-(IF(OR(N173="",N173&lt;=0),0,(O173/N173)*(IF(OR(N173="",N173&lt;=0),0,IF((YEAR(D173)+12)&lt;YEAR(E173),0,IF((YEAR(D173)+12)&gt;=YEAR(E173)+N173,0,IF((YEAR(D173)+12)=YEAR(E173),(12-MONTH(E173)+1)/12,1))))))))&gt;0,(((K173)*(IF(M173="",L173,IFERROR(IF(INDEX(Variablen!$I:$AT, MATCH(M173, Variablen!$A:$A, 0), MATCH((YEAR(D173)+12), Variablen!$I$3:$AT$3, 0))="",L173,INDEX(Variablen!$I:$AT, MATCH(M173, Variablen!$A:$A, 0), MATCH((YEAR(D173)+12), Variablen!$I$3:$AT$3, 0))),L173)))*(IF((YEAR(D173)+12)&lt;YEAR(E173),0,IF((YEAR(D173)+12)&gt;YEAR(E173),1,(12-MONTH(E173)+1)/12))) + (Q173)*(IF((YEAR(D173)+12)&lt;YEAR(E173),0,IF((YEAR(D173)+12)&gt;YEAR(E173),1,(12-MONTH(E173)+1)/12))))-((P173)*(IF((YEAR(D173)+12)&lt;YEAR(E173),0,IF((YEAR(D173)+12)&gt;YEAR(E173),1,(12-MONTH(E173)+1)/12))) + (R173)*(IF((YEAR(D173)+12)&lt;YEAR(E173),0,IF((YEAR(D173)+12)&gt;YEAR(E173),1,(12-MONTH(E173)+1)/12))))-(IF(OR(N173="",N173&lt;=0),0,(O173/N173)*(IF(OR(N173="",N173&lt;=0),0,IF((YEAR(D173)+12)&lt;YEAR(E173),0,IF((YEAR(D173)+12)&gt;=YEAR(E173)+N173,0,IF((YEAR(D173)+12)=YEAR(E173),(12-MONTH(E173)+1)/12,1))))))))*TaxRate,0))-IF(12=0,O173,0))</f>
        <v/>
      </c>
      <c r="AF173" s="29">
        <f>IF(A173="","",((K173)*(IF(M173="",L173,IFERROR(IF(INDEX(Variablen!$I:$AT, MATCH(M173, Variablen!$A:$A, 0), MATCH((YEAR(D173)+13), Variablen!$I$3:$AT$3, 0))="",L173,INDEX(Variablen!$I:$AT, MATCH(M173, Variablen!$A:$A, 0), MATCH((YEAR(D173)+13), Variablen!$I$3:$AT$3, 0))),L173)))*(IF((YEAR(D173)+13)&lt;YEAR(E173),0,IF((YEAR(D173)+13)&gt;YEAR(E173),1,(12-MONTH(E173)+1)/12))) + (Q173)*(IF((YEAR(D173)+13)&lt;YEAR(E173),0,IF((YEAR(D173)+13)&gt;YEAR(E173),1,(12-MONTH(E173)+1)/12))))-((P173)*(IF((YEAR(D173)+13)&lt;YEAR(E173),0,IF((YEAR(D173)+13)&gt;YEAR(E173),1,(12-MONTH(E173)+1)/12))) + (R173)*(IF((YEAR(D173)+13)&lt;YEAR(E173),0,IF((YEAR(D173)+13)&gt;YEAR(E173),1,(12-MONTH(E173)+1)/12))))-(IF((((K173)*(IF(M173="",L173,IFERROR(IF(INDEX(Variablen!$I:$AT, MATCH(M173, Variablen!$A:$A, 0), MATCH((YEAR(D173)+13), Variablen!$I$3:$AT$3, 0))="",L173,INDEX(Variablen!$I:$AT, MATCH(M173, Variablen!$A:$A, 0), MATCH((YEAR(D173)+13), Variablen!$I$3:$AT$3, 0))),L173)))*(IF((YEAR(D173)+13)&lt;YEAR(E173),0,IF((YEAR(D173)+13)&gt;YEAR(E173),1,(12-MONTH(E173)+1)/12))) + (Q173)*(IF((YEAR(D173)+13)&lt;YEAR(E173),0,IF((YEAR(D173)+13)&gt;YEAR(E173),1,(12-MONTH(E173)+1)/12))))-((P173)*(IF((YEAR(D173)+13)&lt;YEAR(E173),0,IF((YEAR(D173)+13)&gt;YEAR(E173),1,(12-MONTH(E173)+1)/12))) + (R173)*(IF((YEAR(D173)+13)&lt;YEAR(E173),0,IF((YEAR(D173)+13)&gt;YEAR(E173),1,(12-MONTH(E173)+1)/12))))-(IF(OR(N173="",N173&lt;=0),0,(O173/N173)*(IF(OR(N173="",N173&lt;=0),0,IF((YEAR(D173)+13)&lt;YEAR(E173),0,IF((YEAR(D173)+13)&gt;=YEAR(E173)+N173,0,IF((YEAR(D173)+13)=YEAR(E173),(12-MONTH(E173)+1)/12,1))))))))&gt;0,(((K173)*(IF(M173="",L173,IFERROR(IF(INDEX(Variablen!$I:$AT, MATCH(M173, Variablen!$A:$A, 0), MATCH((YEAR(D173)+13), Variablen!$I$3:$AT$3, 0))="",L173,INDEX(Variablen!$I:$AT, MATCH(M173, Variablen!$A:$A, 0), MATCH((YEAR(D173)+13), Variablen!$I$3:$AT$3, 0))),L173)))*(IF((YEAR(D173)+13)&lt;YEAR(E173),0,IF((YEAR(D173)+13)&gt;YEAR(E173),1,(12-MONTH(E173)+1)/12))) + (Q173)*(IF((YEAR(D173)+13)&lt;YEAR(E173),0,IF((YEAR(D173)+13)&gt;YEAR(E173),1,(12-MONTH(E173)+1)/12))))-((P173)*(IF((YEAR(D173)+13)&lt;YEAR(E173),0,IF((YEAR(D173)+13)&gt;YEAR(E173),1,(12-MONTH(E173)+1)/12))) + (R173)*(IF((YEAR(D173)+13)&lt;YEAR(E173),0,IF((YEAR(D173)+13)&gt;YEAR(E173),1,(12-MONTH(E173)+1)/12))))-(IF(OR(N173="",N173&lt;=0),0,(O173/N173)*(IF(OR(N173="",N173&lt;=0),0,IF((YEAR(D173)+13)&lt;YEAR(E173),0,IF((YEAR(D173)+13)&gt;=YEAR(E173)+N173,0,IF((YEAR(D173)+13)=YEAR(E173),(12-MONTH(E173)+1)/12,1))))))))*TaxRate,0))-IF(13=0,O173,0))</f>
        <v/>
      </c>
      <c r="AG173" s="29">
        <f>IF(A173="","",((K173)*(IF(M173="",L173,IFERROR(IF(INDEX(Variablen!$I:$AT, MATCH(M173, Variablen!$A:$A, 0), MATCH((YEAR(D173)+14), Variablen!$I$3:$AT$3, 0))="",L173,INDEX(Variablen!$I:$AT, MATCH(M173, Variablen!$A:$A, 0), MATCH((YEAR(D173)+14), Variablen!$I$3:$AT$3, 0))),L173)))*(IF((YEAR(D173)+14)&lt;YEAR(E173),0,IF((YEAR(D173)+14)&gt;YEAR(E173),1,(12-MONTH(E173)+1)/12))) + (Q173)*(IF((YEAR(D173)+14)&lt;YEAR(E173),0,IF((YEAR(D173)+14)&gt;YEAR(E173),1,(12-MONTH(E173)+1)/12))))-((P173)*(IF((YEAR(D173)+14)&lt;YEAR(E173),0,IF((YEAR(D173)+14)&gt;YEAR(E173),1,(12-MONTH(E173)+1)/12))) + (R173)*(IF((YEAR(D173)+14)&lt;YEAR(E173),0,IF((YEAR(D173)+14)&gt;YEAR(E173),1,(12-MONTH(E173)+1)/12))))-(IF((((K173)*(IF(M173="",L173,IFERROR(IF(INDEX(Variablen!$I:$AT, MATCH(M173, Variablen!$A:$A, 0), MATCH((YEAR(D173)+14), Variablen!$I$3:$AT$3, 0))="",L173,INDEX(Variablen!$I:$AT, MATCH(M173, Variablen!$A:$A, 0), MATCH((YEAR(D173)+14), Variablen!$I$3:$AT$3, 0))),L173)))*(IF((YEAR(D173)+14)&lt;YEAR(E173),0,IF((YEAR(D173)+14)&gt;YEAR(E173),1,(12-MONTH(E173)+1)/12))) + (Q173)*(IF((YEAR(D173)+14)&lt;YEAR(E173),0,IF((YEAR(D173)+14)&gt;YEAR(E173),1,(12-MONTH(E173)+1)/12))))-((P173)*(IF((YEAR(D173)+14)&lt;YEAR(E173),0,IF((YEAR(D173)+14)&gt;YEAR(E173),1,(12-MONTH(E173)+1)/12))) + (R173)*(IF((YEAR(D173)+14)&lt;YEAR(E173),0,IF((YEAR(D173)+14)&gt;YEAR(E173),1,(12-MONTH(E173)+1)/12))))-(IF(OR(N173="",N173&lt;=0),0,(O173/N173)*(IF(OR(N173="",N173&lt;=0),0,IF((YEAR(D173)+14)&lt;YEAR(E173),0,IF((YEAR(D173)+14)&gt;=YEAR(E173)+N173,0,IF((YEAR(D173)+14)=YEAR(E173),(12-MONTH(E173)+1)/12,1))))))))&gt;0,(((K173)*(IF(M173="",L173,IFERROR(IF(INDEX(Variablen!$I:$AT, MATCH(M173, Variablen!$A:$A, 0), MATCH((YEAR(D173)+14), Variablen!$I$3:$AT$3, 0))="",L173,INDEX(Variablen!$I:$AT, MATCH(M173, Variablen!$A:$A, 0), MATCH((YEAR(D173)+14), Variablen!$I$3:$AT$3, 0))),L173)))*(IF((YEAR(D173)+14)&lt;YEAR(E173),0,IF((YEAR(D173)+14)&gt;YEAR(E173),1,(12-MONTH(E173)+1)/12))) + (Q173)*(IF((YEAR(D173)+14)&lt;YEAR(E173),0,IF((YEAR(D173)+14)&gt;YEAR(E173),1,(12-MONTH(E173)+1)/12))))-((P173)*(IF((YEAR(D173)+14)&lt;YEAR(E173),0,IF((YEAR(D173)+14)&gt;YEAR(E173),1,(12-MONTH(E173)+1)/12))) + (R173)*(IF((YEAR(D173)+14)&lt;YEAR(E173),0,IF((YEAR(D173)+14)&gt;YEAR(E173),1,(12-MONTH(E173)+1)/12))))-(IF(OR(N173="",N173&lt;=0),0,(O173/N173)*(IF(OR(N173="",N173&lt;=0),0,IF((YEAR(D173)+14)&lt;YEAR(E173),0,IF((YEAR(D173)+14)&gt;=YEAR(E173)+N173,0,IF((YEAR(D173)+14)=YEAR(E173),(12-MONTH(E173)+1)/12,1))))))))*TaxRate,0))-IF(14=0,O173,0))</f>
        <v/>
      </c>
      <c r="AH173" s="29">
        <f>IF(A173="","",((K173)*(IF(M173="",L173,IFERROR(IF(INDEX(Variablen!$I:$AT, MATCH(M173, Variablen!$A:$A, 0), MATCH((YEAR(D173)+15), Variablen!$I$3:$AT$3, 0))="",L173,INDEX(Variablen!$I:$AT, MATCH(M173, Variablen!$A:$A, 0), MATCH((YEAR(D173)+15), Variablen!$I$3:$AT$3, 0))),L173)))*(IF((YEAR(D173)+15)&lt;YEAR(E173),0,IF((YEAR(D173)+15)&gt;YEAR(E173),1,(12-MONTH(E173)+1)/12))) + (Q173)*(IF((YEAR(D173)+15)&lt;YEAR(E173),0,IF((YEAR(D173)+15)&gt;YEAR(E173),1,(12-MONTH(E173)+1)/12))))-((P173)*(IF((YEAR(D173)+15)&lt;YEAR(E173),0,IF((YEAR(D173)+15)&gt;YEAR(E173),1,(12-MONTH(E173)+1)/12))) + (R173)*(IF((YEAR(D173)+15)&lt;YEAR(E173),0,IF((YEAR(D173)+15)&gt;YEAR(E173),1,(12-MONTH(E173)+1)/12))))-(IF((((K173)*(IF(M173="",L173,IFERROR(IF(INDEX(Variablen!$I:$AT, MATCH(M173, Variablen!$A:$A, 0), MATCH((YEAR(D173)+15), Variablen!$I$3:$AT$3, 0))="",L173,INDEX(Variablen!$I:$AT, MATCH(M173, Variablen!$A:$A, 0), MATCH((YEAR(D173)+15), Variablen!$I$3:$AT$3, 0))),L173)))*(IF((YEAR(D173)+15)&lt;YEAR(E173),0,IF((YEAR(D173)+15)&gt;YEAR(E173),1,(12-MONTH(E173)+1)/12))) + (Q173)*(IF((YEAR(D173)+15)&lt;YEAR(E173),0,IF((YEAR(D173)+15)&gt;YEAR(E173),1,(12-MONTH(E173)+1)/12))))-((P173)*(IF((YEAR(D173)+15)&lt;YEAR(E173),0,IF((YEAR(D173)+15)&gt;YEAR(E173),1,(12-MONTH(E173)+1)/12))) + (R173)*(IF((YEAR(D173)+15)&lt;YEAR(E173),0,IF((YEAR(D173)+15)&gt;YEAR(E173),1,(12-MONTH(E173)+1)/12))))-(IF(OR(N173="",N173&lt;=0),0,(O173/N173)*(IF(OR(N173="",N173&lt;=0),0,IF((YEAR(D173)+15)&lt;YEAR(E173),0,IF((YEAR(D173)+15)&gt;=YEAR(E173)+N173,0,IF((YEAR(D173)+15)=YEAR(E173),(12-MONTH(E173)+1)/12,1))))))))&gt;0,(((K173)*(IF(M173="",L173,IFERROR(IF(INDEX(Variablen!$I:$AT, MATCH(M173, Variablen!$A:$A, 0), MATCH((YEAR(D173)+15), Variablen!$I$3:$AT$3, 0))="",L173,INDEX(Variablen!$I:$AT, MATCH(M173, Variablen!$A:$A, 0), MATCH((YEAR(D173)+15), Variablen!$I$3:$AT$3, 0))),L173)))*(IF((YEAR(D173)+15)&lt;YEAR(E173),0,IF((YEAR(D173)+15)&gt;YEAR(E173),1,(12-MONTH(E173)+1)/12))) + (Q173)*(IF((YEAR(D173)+15)&lt;YEAR(E173),0,IF((YEAR(D173)+15)&gt;YEAR(E173),1,(12-MONTH(E173)+1)/12))))-((P173)*(IF((YEAR(D173)+15)&lt;YEAR(E173),0,IF((YEAR(D173)+15)&gt;YEAR(E173),1,(12-MONTH(E173)+1)/12))) + (R173)*(IF((YEAR(D173)+15)&lt;YEAR(E173),0,IF((YEAR(D173)+15)&gt;YEAR(E173),1,(12-MONTH(E173)+1)/12))))-(IF(OR(N173="",N173&lt;=0),0,(O173/N173)*(IF(OR(N173="",N173&lt;=0),0,IF((YEAR(D173)+15)&lt;YEAR(E173),0,IF((YEAR(D173)+15)&gt;=YEAR(E173)+N173,0,IF((YEAR(D173)+15)=YEAR(E173),(12-MONTH(E173)+1)/12,1))))))))*TaxRate,0))-IF(15=0,O173,0))</f>
        <v/>
      </c>
      <c r="AI173" s="29">
        <f>IF(A173="","",((K173)*(IF(M173="",L173,IFERROR(IF(INDEX(Variablen!$I:$AT, MATCH(M173, Variablen!$A:$A, 0), MATCH((YEAR(D173)+16), Variablen!$I$3:$AT$3, 0))="",L173,INDEX(Variablen!$I:$AT, MATCH(M173, Variablen!$A:$A, 0), MATCH((YEAR(D173)+16), Variablen!$I$3:$AT$3, 0))),L173)))*(IF((YEAR(D173)+16)&lt;YEAR(E173),0,IF((YEAR(D173)+16)&gt;YEAR(E173),1,(12-MONTH(E173)+1)/12))) + (Q173)*(IF((YEAR(D173)+16)&lt;YEAR(E173),0,IF((YEAR(D173)+16)&gt;YEAR(E173),1,(12-MONTH(E173)+1)/12))))-((P173)*(IF((YEAR(D173)+16)&lt;YEAR(E173),0,IF((YEAR(D173)+16)&gt;YEAR(E173),1,(12-MONTH(E173)+1)/12))) + (R173)*(IF((YEAR(D173)+16)&lt;YEAR(E173),0,IF((YEAR(D173)+16)&gt;YEAR(E173),1,(12-MONTH(E173)+1)/12))))-(IF((((K173)*(IF(M173="",L173,IFERROR(IF(INDEX(Variablen!$I:$AT, MATCH(M173, Variablen!$A:$A, 0), MATCH((YEAR(D173)+16), Variablen!$I$3:$AT$3, 0))="",L173,INDEX(Variablen!$I:$AT, MATCH(M173, Variablen!$A:$A, 0), MATCH((YEAR(D173)+16), Variablen!$I$3:$AT$3, 0))),L173)))*(IF((YEAR(D173)+16)&lt;YEAR(E173),0,IF((YEAR(D173)+16)&gt;YEAR(E173),1,(12-MONTH(E173)+1)/12))) + (Q173)*(IF((YEAR(D173)+16)&lt;YEAR(E173),0,IF((YEAR(D173)+16)&gt;YEAR(E173),1,(12-MONTH(E173)+1)/12))))-((P173)*(IF((YEAR(D173)+16)&lt;YEAR(E173),0,IF((YEAR(D173)+16)&gt;YEAR(E173),1,(12-MONTH(E173)+1)/12))) + (R173)*(IF((YEAR(D173)+16)&lt;YEAR(E173),0,IF((YEAR(D173)+16)&gt;YEAR(E173),1,(12-MONTH(E173)+1)/12))))-(IF(OR(N173="",N173&lt;=0),0,(O173/N173)*(IF(OR(N173="",N173&lt;=0),0,IF((YEAR(D173)+16)&lt;YEAR(E173),0,IF((YEAR(D173)+16)&gt;=YEAR(E173)+N173,0,IF((YEAR(D173)+16)=YEAR(E173),(12-MONTH(E173)+1)/12,1))))))))&gt;0,(((K173)*(IF(M173="",L173,IFERROR(IF(INDEX(Variablen!$I:$AT, MATCH(M173, Variablen!$A:$A, 0), MATCH((YEAR(D173)+16), Variablen!$I$3:$AT$3, 0))="",L173,INDEX(Variablen!$I:$AT, MATCH(M173, Variablen!$A:$A, 0), MATCH((YEAR(D173)+16), Variablen!$I$3:$AT$3, 0))),L173)))*(IF((YEAR(D173)+16)&lt;YEAR(E173),0,IF((YEAR(D173)+16)&gt;YEAR(E173),1,(12-MONTH(E173)+1)/12))) + (Q173)*(IF((YEAR(D173)+16)&lt;YEAR(E173),0,IF((YEAR(D173)+16)&gt;YEAR(E173),1,(12-MONTH(E173)+1)/12))))-((P173)*(IF((YEAR(D173)+16)&lt;YEAR(E173),0,IF((YEAR(D173)+16)&gt;YEAR(E173),1,(12-MONTH(E173)+1)/12))) + (R173)*(IF((YEAR(D173)+16)&lt;YEAR(E173),0,IF((YEAR(D173)+16)&gt;YEAR(E173),1,(12-MONTH(E173)+1)/12))))-(IF(OR(N173="",N173&lt;=0),0,(O173/N173)*(IF(OR(N173="",N173&lt;=0),0,IF((YEAR(D173)+16)&lt;YEAR(E173),0,IF((YEAR(D173)+16)&gt;=YEAR(E173)+N173,0,IF((YEAR(D173)+16)=YEAR(E173),(12-MONTH(E173)+1)/12,1))))))))*TaxRate,0))-IF(16=0,O173,0))</f>
        <v/>
      </c>
      <c r="AJ173" s="29">
        <f>IF(A173="","",((K173)*(IF(M173="",L173,IFERROR(IF(INDEX(Variablen!$I:$AT, MATCH(M173, Variablen!$A:$A, 0), MATCH((YEAR(D173)+17), Variablen!$I$3:$AT$3, 0))="",L173,INDEX(Variablen!$I:$AT, MATCH(M173, Variablen!$A:$A, 0), MATCH((YEAR(D173)+17), Variablen!$I$3:$AT$3, 0))),L173)))*(IF((YEAR(D173)+17)&lt;YEAR(E173),0,IF((YEAR(D173)+17)&gt;YEAR(E173),1,(12-MONTH(E173)+1)/12))) + (Q173)*(IF((YEAR(D173)+17)&lt;YEAR(E173),0,IF((YEAR(D173)+17)&gt;YEAR(E173),1,(12-MONTH(E173)+1)/12))))-((P173)*(IF((YEAR(D173)+17)&lt;YEAR(E173),0,IF((YEAR(D173)+17)&gt;YEAR(E173),1,(12-MONTH(E173)+1)/12))) + (R173)*(IF((YEAR(D173)+17)&lt;YEAR(E173),0,IF((YEAR(D173)+17)&gt;YEAR(E173),1,(12-MONTH(E173)+1)/12))))-(IF((((K173)*(IF(M173="",L173,IFERROR(IF(INDEX(Variablen!$I:$AT, MATCH(M173, Variablen!$A:$A, 0), MATCH((YEAR(D173)+17), Variablen!$I$3:$AT$3, 0))="",L173,INDEX(Variablen!$I:$AT, MATCH(M173, Variablen!$A:$A, 0), MATCH((YEAR(D173)+17), Variablen!$I$3:$AT$3, 0))),L173)))*(IF((YEAR(D173)+17)&lt;YEAR(E173),0,IF((YEAR(D173)+17)&gt;YEAR(E173),1,(12-MONTH(E173)+1)/12))) + (Q173)*(IF((YEAR(D173)+17)&lt;YEAR(E173),0,IF((YEAR(D173)+17)&gt;YEAR(E173),1,(12-MONTH(E173)+1)/12))))-((P173)*(IF((YEAR(D173)+17)&lt;YEAR(E173),0,IF((YEAR(D173)+17)&gt;YEAR(E173),1,(12-MONTH(E173)+1)/12))) + (R173)*(IF((YEAR(D173)+17)&lt;YEAR(E173),0,IF((YEAR(D173)+17)&gt;YEAR(E173),1,(12-MONTH(E173)+1)/12))))-(IF(OR(N173="",N173&lt;=0),0,(O173/N173)*(IF(OR(N173="",N173&lt;=0),0,IF((YEAR(D173)+17)&lt;YEAR(E173),0,IF((YEAR(D173)+17)&gt;=YEAR(E173)+N173,0,IF((YEAR(D173)+17)=YEAR(E173),(12-MONTH(E173)+1)/12,1))))))))&gt;0,(((K173)*(IF(M173="",L173,IFERROR(IF(INDEX(Variablen!$I:$AT, MATCH(M173, Variablen!$A:$A, 0), MATCH((YEAR(D173)+17), Variablen!$I$3:$AT$3, 0))="",L173,INDEX(Variablen!$I:$AT, MATCH(M173, Variablen!$A:$A, 0), MATCH((YEAR(D173)+17), Variablen!$I$3:$AT$3, 0))),L173)))*(IF((YEAR(D173)+17)&lt;YEAR(E173),0,IF((YEAR(D173)+17)&gt;YEAR(E173),1,(12-MONTH(E173)+1)/12))) + (Q173)*(IF((YEAR(D173)+17)&lt;YEAR(E173),0,IF((YEAR(D173)+17)&gt;YEAR(E173),1,(12-MONTH(E173)+1)/12))))-((P173)*(IF((YEAR(D173)+17)&lt;YEAR(E173),0,IF((YEAR(D173)+17)&gt;YEAR(E173),1,(12-MONTH(E173)+1)/12))) + (R173)*(IF((YEAR(D173)+17)&lt;YEAR(E173),0,IF((YEAR(D173)+17)&gt;YEAR(E173),1,(12-MONTH(E173)+1)/12))))-(IF(OR(N173="",N173&lt;=0),0,(O173/N173)*(IF(OR(N173="",N173&lt;=0),0,IF((YEAR(D173)+17)&lt;YEAR(E173),0,IF((YEAR(D173)+17)&gt;=YEAR(E173)+N173,0,IF((YEAR(D173)+17)=YEAR(E173),(12-MONTH(E173)+1)/12,1))))))))*TaxRate,0))-IF(17=0,O173,0))</f>
        <v/>
      </c>
      <c r="AK173" s="29">
        <f>IF(A173="","",((K173)*(IF(M173="",L173,IFERROR(IF(INDEX(Variablen!$I:$AT, MATCH(M173, Variablen!$A:$A, 0), MATCH((YEAR(D173)+18), Variablen!$I$3:$AT$3, 0))="",L173,INDEX(Variablen!$I:$AT, MATCH(M173, Variablen!$A:$A, 0), MATCH((YEAR(D173)+18), Variablen!$I$3:$AT$3, 0))),L173)))*(IF((YEAR(D173)+18)&lt;YEAR(E173),0,IF((YEAR(D173)+18)&gt;YEAR(E173),1,(12-MONTH(E173)+1)/12))) + (Q173)*(IF((YEAR(D173)+18)&lt;YEAR(E173),0,IF((YEAR(D173)+18)&gt;YEAR(E173),1,(12-MONTH(E173)+1)/12))))-((P173)*(IF((YEAR(D173)+18)&lt;YEAR(E173),0,IF((YEAR(D173)+18)&gt;YEAR(E173),1,(12-MONTH(E173)+1)/12))) + (R173)*(IF((YEAR(D173)+18)&lt;YEAR(E173),0,IF((YEAR(D173)+18)&gt;YEAR(E173),1,(12-MONTH(E173)+1)/12))))-(IF((((K173)*(IF(M173="",L173,IFERROR(IF(INDEX(Variablen!$I:$AT, MATCH(M173, Variablen!$A:$A, 0), MATCH((YEAR(D173)+18), Variablen!$I$3:$AT$3, 0))="",L173,INDEX(Variablen!$I:$AT, MATCH(M173, Variablen!$A:$A, 0), MATCH((YEAR(D173)+18), Variablen!$I$3:$AT$3, 0))),L173)))*(IF((YEAR(D173)+18)&lt;YEAR(E173),0,IF((YEAR(D173)+18)&gt;YEAR(E173),1,(12-MONTH(E173)+1)/12))) + (Q173)*(IF((YEAR(D173)+18)&lt;YEAR(E173),0,IF((YEAR(D173)+18)&gt;YEAR(E173),1,(12-MONTH(E173)+1)/12))))-((P173)*(IF((YEAR(D173)+18)&lt;YEAR(E173),0,IF((YEAR(D173)+18)&gt;YEAR(E173),1,(12-MONTH(E173)+1)/12))) + (R173)*(IF((YEAR(D173)+18)&lt;YEAR(E173),0,IF((YEAR(D173)+18)&gt;YEAR(E173),1,(12-MONTH(E173)+1)/12))))-(IF(OR(N173="",N173&lt;=0),0,(O173/N173)*(IF(OR(N173="",N173&lt;=0),0,IF((YEAR(D173)+18)&lt;YEAR(E173),0,IF((YEAR(D173)+18)&gt;=YEAR(E173)+N173,0,IF((YEAR(D173)+18)=YEAR(E173),(12-MONTH(E173)+1)/12,1))))))))&gt;0,(((K173)*(IF(M173="",L173,IFERROR(IF(INDEX(Variablen!$I:$AT, MATCH(M173, Variablen!$A:$A, 0), MATCH((YEAR(D173)+18), Variablen!$I$3:$AT$3, 0))="",L173,INDEX(Variablen!$I:$AT, MATCH(M173, Variablen!$A:$A, 0), MATCH((YEAR(D173)+18), Variablen!$I$3:$AT$3, 0))),L173)))*(IF((YEAR(D173)+18)&lt;YEAR(E173),0,IF((YEAR(D173)+18)&gt;YEAR(E173),1,(12-MONTH(E173)+1)/12))) + (Q173)*(IF((YEAR(D173)+18)&lt;YEAR(E173),0,IF((YEAR(D173)+18)&gt;YEAR(E173),1,(12-MONTH(E173)+1)/12))))-((P173)*(IF((YEAR(D173)+18)&lt;YEAR(E173),0,IF((YEAR(D173)+18)&gt;YEAR(E173),1,(12-MONTH(E173)+1)/12))) + (R173)*(IF((YEAR(D173)+18)&lt;YEAR(E173),0,IF((YEAR(D173)+18)&gt;YEAR(E173),1,(12-MONTH(E173)+1)/12))))-(IF(OR(N173="",N173&lt;=0),0,(O173/N173)*(IF(OR(N173="",N173&lt;=0),0,IF((YEAR(D173)+18)&lt;YEAR(E173),0,IF((YEAR(D173)+18)&gt;=YEAR(E173)+N173,0,IF((YEAR(D173)+18)=YEAR(E173),(12-MONTH(E173)+1)/12,1))))))))*TaxRate,0))-IF(18=0,O173,0))</f>
        <v/>
      </c>
      <c r="AL173" s="29">
        <f>IF(A173="","",((K173)*(IF(M173="",L173,IFERROR(IF(INDEX(Variablen!$I:$AT, MATCH(M173, Variablen!$A:$A, 0), MATCH((YEAR(D173)+19), Variablen!$I$3:$AT$3, 0))="",L173,INDEX(Variablen!$I:$AT, MATCH(M173, Variablen!$A:$A, 0), MATCH((YEAR(D173)+19), Variablen!$I$3:$AT$3, 0))),L173)))*(IF((YEAR(D173)+19)&lt;YEAR(E173),0,IF((YEAR(D173)+19)&gt;YEAR(E173),1,(12-MONTH(E173)+1)/12))) + (Q173)*(IF((YEAR(D173)+19)&lt;YEAR(E173),0,IF((YEAR(D173)+19)&gt;YEAR(E173),1,(12-MONTH(E173)+1)/12))))-((P173)*(IF((YEAR(D173)+19)&lt;YEAR(E173),0,IF((YEAR(D173)+19)&gt;YEAR(E173),1,(12-MONTH(E173)+1)/12))) + (R173)*(IF((YEAR(D173)+19)&lt;YEAR(E173),0,IF((YEAR(D173)+19)&gt;YEAR(E173),1,(12-MONTH(E173)+1)/12))))-(IF((((K173)*(IF(M173="",L173,IFERROR(IF(INDEX(Variablen!$I:$AT, MATCH(M173, Variablen!$A:$A, 0), MATCH((YEAR(D173)+19), Variablen!$I$3:$AT$3, 0))="",L173,INDEX(Variablen!$I:$AT, MATCH(M173, Variablen!$A:$A, 0), MATCH((YEAR(D173)+19), Variablen!$I$3:$AT$3, 0))),L173)))*(IF((YEAR(D173)+19)&lt;YEAR(E173),0,IF((YEAR(D173)+19)&gt;YEAR(E173),1,(12-MONTH(E173)+1)/12))) + (Q173)*(IF((YEAR(D173)+19)&lt;YEAR(E173),0,IF((YEAR(D173)+19)&gt;YEAR(E173),1,(12-MONTH(E173)+1)/12))))-((P173)*(IF((YEAR(D173)+19)&lt;YEAR(E173),0,IF((YEAR(D173)+19)&gt;YEAR(E173),1,(12-MONTH(E173)+1)/12))) + (R173)*(IF((YEAR(D173)+19)&lt;YEAR(E173),0,IF((YEAR(D173)+19)&gt;YEAR(E173),1,(12-MONTH(E173)+1)/12))))-(IF(OR(N173="",N173&lt;=0),0,(O173/N173)*(IF(OR(N173="",N173&lt;=0),0,IF((YEAR(D173)+19)&lt;YEAR(E173),0,IF((YEAR(D173)+19)&gt;=YEAR(E173)+N173,0,IF((YEAR(D173)+19)=YEAR(E173),(12-MONTH(E173)+1)/12,1))))))))&gt;0,(((K173)*(IF(M173="",L173,IFERROR(IF(INDEX(Variablen!$I:$AT, MATCH(M173, Variablen!$A:$A, 0), MATCH((YEAR(D173)+19), Variablen!$I$3:$AT$3, 0))="",L173,INDEX(Variablen!$I:$AT, MATCH(M173, Variablen!$A:$A, 0), MATCH((YEAR(D173)+19), Variablen!$I$3:$AT$3, 0))),L173)))*(IF((YEAR(D173)+19)&lt;YEAR(E173),0,IF((YEAR(D173)+19)&gt;YEAR(E173),1,(12-MONTH(E173)+1)/12))) + (Q173)*(IF((YEAR(D173)+19)&lt;YEAR(E173),0,IF((YEAR(D173)+19)&gt;YEAR(E173),1,(12-MONTH(E173)+1)/12))))-((P173)*(IF((YEAR(D173)+19)&lt;YEAR(E173),0,IF((YEAR(D173)+19)&gt;YEAR(E173),1,(12-MONTH(E173)+1)/12))) + (R173)*(IF((YEAR(D173)+19)&lt;YEAR(E173),0,IF((YEAR(D173)+19)&gt;YEAR(E173),1,(12-MONTH(E173)+1)/12))))-(IF(OR(N173="",N173&lt;=0),0,(O173/N173)*(IF(OR(N173="",N173&lt;=0),0,IF((YEAR(D173)+19)&lt;YEAR(E173),0,IF((YEAR(D173)+19)&gt;=YEAR(E173)+N173,0,IF((YEAR(D173)+19)=YEAR(E173),(12-MONTH(E173)+1)/12,1))))))))*TaxRate,0))-IF(19=0,O173,0))</f>
        <v/>
      </c>
      <c r="AM173" s="29">
        <f>IF(A173="","",((K173)*(IF(M173="",L173,IFERROR(IF(INDEX(Variablen!$I:$AT, MATCH(M173, Variablen!$A:$A, 0), MATCH((YEAR(D173)+20), Variablen!$I$3:$AT$3, 0))="",L173,INDEX(Variablen!$I:$AT, MATCH(M173, Variablen!$A:$A, 0), MATCH((YEAR(D173)+20), Variablen!$I$3:$AT$3, 0))),L173)))*(IF((YEAR(D173)+20)&lt;YEAR(E173),0,IF((YEAR(D173)+20)&gt;YEAR(E173),1,(12-MONTH(E173)+1)/12))) + (Q173)*(IF((YEAR(D173)+20)&lt;YEAR(E173),0,IF((YEAR(D173)+20)&gt;YEAR(E173),1,(12-MONTH(E173)+1)/12))))-((P173)*(IF((YEAR(D173)+20)&lt;YEAR(E173),0,IF((YEAR(D173)+20)&gt;YEAR(E173),1,(12-MONTH(E173)+1)/12))) + (R173)*(IF((YEAR(D173)+20)&lt;YEAR(E173),0,IF((YEAR(D173)+20)&gt;YEAR(E173),1,(12-MONTH(E173)+1)/12))))-(IF((((K173)*(IF(M173="",L173,IFERROR(IF(INDEX(Variablen!$I:$AT, MATCH(M173, Variablen!$A:$A, 0), MATCH((YEAR(D173)+20), Variablen!$I$3:$AT$3, 0))="",L173,INDEX(Variablen!$I:$AT, MATCH(M173, Variablen!$A:$A, 0), MATCH((YEAR(D173)+20), Variablen!$I$3:$AT$3, 0))),L173)))*(IF((YEAR(D173)+20)&lt;YEAR(E173),0,IF((YEAR(D173)+20)&gt;YEAR(E173),1,(12-MONTH(E173)+1)/12))) + (Q173)*(IF((YEAR(D173)+20)&lt;YEAR(E173),0,IF((YEAR(D173)+20)&gt;YEAR(E173),1,(12-MONTH(E173)+1)/12))))-((P173)*(IF((YEAR(D173)+20)&lt;YEAR(E173),0,IF((YEAR(D173)+20)&gt;YEAR(E173),1,(12-MONTH(E173)+1)/12))) + (R173)*(IF((YEAR(D173)+20)&lt;YEAR(E173),0,IF((YEAR(D173)+20)&gt;YEAR(E173),1,(12-MONTH(E173)+1)/12))))-(IF(OR(N173="",N173&lt;=0),0,(O173/N173)*(IF(OR(N173="",N173&lt;=0),0,IF((YEAR(D173)+20)&lt;YEAR(E173),0,IF((YEAR(D173)+20)&gt;=YEAR(E173)+N173,0,IF((YEAR(D173)+20)=YEAR(E173),(12-MONTH(E173)+1)/12,1))))))))&gt;0,(((K173)*(IF(M173="",L173,IFERROR(IF(INDEX(Variablen!$I:$AT, MATCH(M173, Variablen!$A:$A, 0), MATCH((YEAR(D173)+20), Variablen!$I$3:$AT$3, 0))="",L173,INDEX(Variablen!$I:$AT, MATCH(M173, Variablen!$A:$A, 0), MATCH((YEAR(D173)+20), Variablen!$I$3:$AT$3, 0))),L173)))*(IF((YEAR(D173)+20)&lt;YEAR(E173),0,IF((YEAR(D173)+20)&gt;YEAR(E173),1,(12-MONTH(E173)+1)/12))) + (Q173)*(IF((YEAR(D173)+20)&lt;YEAR(E173),0,IF((YEAR(D173)+20)&gt;YEAR(E173),1,(12-MONTH(E173)+1)/12))))-((P173)*(IF((YEAR(D173)+20)&lt;YEAR(E173),0,IF((YEAR(D173)+20)&gt;YEAR(E173),1,(12-MONTH(E173)+1)/12))) + (R173)*(IF((YEAR(D173)+20)&lt;YEAR(E173),0,IF((YEAR(D173)+20)&gt;YEAR(E173),1,(12-MONTH(E173)+1)/12))))-(IF(OR(N173="",N173&lt;=0),0,(O173/N173)*(IF(OR(N173="",N173&lt;=0),0,IF((YEAR(D173)+20)&lt;YEAR(E173),0,IF((YEAR(D173)+20)&gt;=YEAR(E173)+N173,0,IF((YEAR(D173)+20)=YEAR(E173),(12-MONTH(E173)+1)/12,1))))))))*TaxRate,0))-IF(20=0,O173,0))</f>
        <v/>
      </c>
      <c r="AN173" s="29">
        <f>IF(A173="","",S173)</f>
        <v/>
      </c>
      <c r="AO173" s="29">
        <f>IF(A173="","",AN173+T173)</f>
        <v/>
      </c>
      <c r="AP173" s="29">
        <f>IF(A173="","",AO173+U173)</f>
        <v/>
      </c>
      <c r="AQ173" s="29">
        <f>IF(A173="","",AP173+V173)</f>
        <v/>
      </c>
      <c r="AR173" s="29">
        <f>IF(A173="","",AQ173+W173)</f>
        <v/>
      </c>
      <c r="AS173" s="29">
        <f>IF(A173="","",AR173+X173)</f>
        <v/>
      </c>
      <c r="AT173" s="29">
        <f>IF(A173="","",AS173+Y173)</f>
        <v/>
      </c>
      <c r="AU173" s="29">
        <f>IF(A173="","",AT173+Z173)</f>
        <v/>
      </c>
      <c r="AV173" s="29">
        <f>IF(A173="","",AU173+AA173)</f>
        <v/>
      </c>
      <c r="AW173" s="29">
        <f>IF(A173="","",AV173+AB173)</f>
        <v/>
      </c>
      <c r="AX173" s="29">
        <f>IF(A173="","",AW173+AC173)</f>
        <v/>
      </c>
      <c r="AY173" s="29">
        <f>IF(A173="","",AX173+AD173)</f>
        <v/>
      </c>
      <c r="AZ173" s="29">
        <f>IF(A173="","",AY173+AE173)</f>
        <v/>
      </c>
      <c r="BA173" s="29">
        <f>IF(A173="","",AZ173+AF173)</f>
        <v/>
      </c>
      <c r="BB173" s="29">
        <f>IF(A173="","",BA173+AG173)</f>
        <v/>
      </c>
      <c r="BC173" s="29">
        <f>IF(A173="","",BB173+AH173)</f>
        <v/>
      </c>
      <c r="BD173" s="29">
        <f>IF(A173="","",BC173+AI173)</f>
        <v/>
      </c>
      <c r="BE173" s="29">
        <f>IF(A173="","",BD173+AJ173)</f>
        <v/>
      </c>
      <c r="BF173" s="29">
        <f>IF(A173="","",BE173+AK173)</f>
        <v/>
      </c>
      <c r="BG173" s="29">
        <f>IF(A173="","",BF173+AL173)</f>
        <v/>
      </c>
      <c r="BH173" s="29">
        <f>IF(A173="","",BG173+AM173)</f>
        <v/>
      </c>
      <c r="BI173" s="36">
        <f>IF(A173="","",(K173)*(IF((YEAR(D173)+0)&lt;YEAR(E173),0,IF((YEAR(D173)+0)&gt;YEAR(E173),1,(12-MONTH(E173)+1)/12)))*(1/(1+DiscountRate)^0))</f>
        <v/>
      </c>
      <c r="BJ173" s="36">
        <f>IF(A173="","",(K173)*(IF((YEAR(D173)+1)&lt;YEAR(E173),0,IF((YEAR(D173)+1)&gt;YEAR(E173),1,(12-MONTH(E173)+1)/12)))*(1/(1+DiscountRate)^1))</f>
        <v/>
      </c>
      <c r="BK173" s="36">
        <f>IF(A173="","",(K173)*(IF((YEAR(D173)+2)&lt;YEAR(E173),0,IF((YEAR(D173)+2)&gt;YEAR(E173),1,(12-MONTH(E173)+1)/12)))*(1/(1+DiscountRate)^2))</f>
        <v/>
      </c>
      <c r="BL173" s="36">
        <f>IF(A173="","",(K173)*(IF((YEAR(D173)+3)&lt;YEAR(E173),0,IF((YEAR(D173)+3)&gt;YEAR(E173),1,(12-MONTH(E173)+1)/12)))*(1/(1+DiscountRate)^3))</f>
        <v/>
      </c>
      <c r="BM173" s="36">
        <f>IF(A173="","",(K173)*(IF((YEAR(D173)+4)&lt;YEAR(E173),0,IF((YEAR(D173)+4)&gt;YEAR(E173),1,(12-MONTH(E173)+1)/12)))*(1/(1+DiscountRate)^4))</f>
        <v/>
      </c>
      <c r="BN173" s="36">
        <f>IF(A173="","",(K173)*(IF((YEAR(D173)+5)&lt;YEAR(E173),0,IF((YEAR(D173)+5)&gt;YEAR(E173),1,(12-MONTH(E173)+1)/12)))*(1/(1+DiscountRate)^5))</f>
        <v/>
      </c>
      <c r="BO173" s="36">
        <f>IF(A173="","",(K173)*(IF((YEAR(D173)+6)&lt;YEAR(E173),0,IF((YEAR(D173)+6)&gt;YEAR(E173),1,(12-MONTH(E173)+1)/12)))*(1/(1+DiscountRate)^6))</f>
        <v/>
      </c>
      <c r="BP173" s="36">
        <f>IF(A173="","",(K173)*(IF((YEAR(D173)+7)&lt;YEAR(E173),0,IF((YEAR(D173)+7)&gt;YEAR(E173),1,(12-MONTH(E173)+1)/12)))*(1/(1+DiscountRate)^7))</f>
        <v/>
      </c>
      <c r="BQ173" s="36">
        <f>IF(A173="","",(K173)*(IF((YEAR(D173)+8)&lt;YEAR(E173),0,IF((YEAR(D173)+8)&gt;YEAR(E173),1,(12-MONTH(E173)+1)/12)))*(1/(1+DiscountRate)^8))</f>
        <v/>
      </c>
      <c r="BR173" s="36">
        <f>IF(A173="","",(K173)*(IF((YEAR(D173)+9)&lt;YEAR(E173),0,IF((YEAR(D173)+9)&gt;YEAR(E173),1,(12-MONTH(E173)+1)/12)))*(1/(1+DiscountRate)^9))</f>
        <v/>
      </c>
      <c r="BS173" s="36">
        <f>IF(A173="","",(K173)*(IF((YEAR(D173)+10)&lt;YEAR(E173),0,IF((YEAR(D173)+10)&gt;YEAR(E173),1,(12-MONTH(E173)+1)/12)))*(1/(1+DiscountRate)^10))</f>
        <v/>
      </c>
      <c r="BT173" s="36">
        <f>IF(A173="","",(K173)*(IF((YEAR(D173)+11)&lt;YEAR(E173),0,IF((YEAR(D173)+11)&gt;YEAR(E173),1,(12-MONTH(E173)+1)/12)))*(1/(1+DiscountRate)^11))</f>
        <v/>
      </c>
      <c r="BU173" s="36">
        <f>IF(A173="","",(K173)*(IF((YEAR(D173)+12)&lt;YEAR(E173),0,IF((YEAR(D173)+12)&gt;YEAR(E173),1,(12-MONTH(E173)+1)/12)))*(1/(1+DiscountRate)^12))</f>
        <v/>
      </c>
      <c r="BV173" s="36">
        <f>IF(A173="","",(K173)*(IF((YEAR(D173)+13)&lt;YEAR(E173),0,IF((YEAR(D173)+13)&gt;YEAR(E173),1,(12-MONTH(E173)+1)/12)))*(1/(1+DiscountRate)^13))</f>
        <v/>
      </c>
      <c r="BW173" s="36">
        <f>IF(A173="","",(K173)*(IF((YEAR(D173)+14)&lt;YEAR(E173),0,IF((YEAR(D173)+14)&gt;YEAR(E173),1,(12-MONTH(E173)+1)/12)))*(1/(1+DiscountRate)^14))</f>
        <v/>
      </c>
      <c r="BX173" s="36">
        <f>IF(A173="","",(K173)*(IF((YEAR(D173)+15)&lt;YEAR(E173),0,IF((YEAR(D173)+15)&gt;YEAR(E173),1,(12-MONTH(E173)+1)/12)))*(1/(1+DiscountRate)^15))</f>
        <v/>
      </c>
      <c r="BY173" s="36">
        <f>IF(A173="","",(K173)*(IF((YEAR(D173)+16)&lt;YEAR(E173),0,IF((YEAR(D173)+16)&gt;YEAR(E173),1,(12-MONTH(E173)+1)/12)))*(1/(1+DiscountRate)^16))</f>
        <v/>
      </c>
      <c r="BZ173" s="36">
        <f>IF(A173="","",(K173)*(IF((YEAR(D173)+17)&lt;YEAR(E173),0,IF((YEAR(D173)+17)&gt;YEAR(E173),1,(12-MONTH(E173)+1)/12)))*(1/(1+DiscountRate)^17))</f>
        <v/>
      </c>
      <c r="CA173" s="36">
        <f>IF(A173="","",(K173)*(IF((YEAR(D173)+18)&lt;YEAR(E173),0,IF((YEAR(D173)+18)&gt;YEAR(E173),1,(12-MONTH(E173)+1)/12)))*(1/(1+DiscountRate)^18))</f>
        <v/>
      </c>
      <c r="CB173" s="36">
        <f>IF(A173="","",(K173)*(IF((YEAR(D173)+19)&lt;YEAR(E173),0,IF((YEAR(D173)+19)&gt;YEAR(E173),1,(12-MONTH(E173)+1)/12)))*(1/(1+DiscountRate)^19))</f>
        <v/>
      </c>
      <c r="CC173" s="36">
        <f>IF(A173="","",(K173)*(IF((YEAR(D173)+20)&lt;YEAR(E173),0,IF((YEAR(D173)+20)&gt;YEAR(E173),1,(12-MONTH(E173)+1)/12)))*(1/(1+DiscountRate)^20))</f>
        <v/>
      </c>
      <c r="CD173" s="29">
        <f>IF(A173="","",S173/(1+DiscountRate)^0+T173/(1+DiscountRate)^1+U173/(1+DiscountRate)^2+V173/(1+DiscountRate)^3+W173/(1+DiscountRate)^4+X173/(1+DiscountRate)^5+Y173/(1+DiscountRate)^6+Z173/(1+DiscountRate)^7+AA173/(1+DiscountRate)^8+AB173/(1+DiscountRate)^9+AC173/(1+DiscountRate)^10+AD173/(1+DiscountRate)^11+AE173/(1+DiscountRate)^12+AF173/(1+DiscountRate)^13+AG173/(1+DiscountRate)^14+AH173/(1+DiscountRate)^15+AI173/(1+DiscountRate)^16+AJ173/(1+DiscountRate)^17+AK173/(1+DiscountRate)^18+AL173/(1+DiscountRate)^19+AM173/(1+DiscountRate)^20)</f>
        <v/>
      </c>
      <c r="CE173" s="37">
        <f>IF(A173="","",IFERROR(IRR(OFFSET(S173,0,0,1,MIN(HorizonYears,20)+1)),"n/a"))</f>
        <v/>
      </c>
      <c r="CF173" s="28">
        <f>IF(A173="","",IFERROR(MATCH(TRUE,OFFSET(AN173,0,0,1,MIN(HorizonYears,20)+1)&gt;=0,0)-1,"n/a"))</f>
        <v/>
      </c>
      <c r="CG173" s="36">
        <f>IF(A173="","",SUM(OFFSET(BI173,0,0,1,MIN(HorizonYears,20)+1)))</f>
        <v/>
      </c>
      <c r="CH173" s="36">
        <f>IF(A173="","",IFERROR(-CD173/CG173,"n/a"))</f>
        <v/>
      </c>
    </row>
    <row r="174">
      <c r="A174" s="6">
        <f>Actions!A172</f>
        <v/>
      </c>
      <c r="B174" s="6">
        <f>Actions!B172</f>
        <v/>
      </c>
      <c r="C174" s="6">
        <f>Actions!D172</f>
        <v/>
      </c>
      <c r="D174" s="35">
        <f>Actions!E172</f>
        <v/>
      </c>
      <c r="E174" s="35">
        <f>Actions!F172</f>
        <v/>
      </c>
      <c r="F174" s="6">
        <f>Actions!G172</f>
        <v/>
      </c>
      <c r="G174" s="6">
        <f>Actions!H172</f>
        <v/>
      </c>
      <c r="H174" s="29">
        <f>Actions!I172</f>
        <v/>
      </c>
      <c r="I174" s="6">
        <f>Actions!J172</f>
        <v/>
      </c>
      <c r="J174" s="16">
        <f>Actions!K172</f>
        <v/>
      </c>
      <c r="K174" s="16">
        <f>IF(A174="","",IF(I174="%",H174*J174,J174))</f>
        <v/>
      </c>
      <c r="L174" s="16">
        <f>Actions!L172</f>
        <v/>
      </c>
      <c r="M174" s="6">
        <f>Actions!M172</f>
        <v/>
      </c>
      <c r="N174" s="28">
        <f>Actions!N172</f>
        <v/>
      </c>
      <c r="O174" s="29">
        <f>Actions!T172</f>
        <v/>
      </c>
      <c r="P174" s="29">
        <f>Actions!Y172</f>
        <v/>
      </c>
      <c r="Q174" s="29">
        <f>Actions!Z172</f>
        <v/>
      </c>
      <c r="R174" s="29">
        <f>Actions!AA172</f>
        <v/>
      </c>
      <c r="S174" s="29">
        <f>IF(A174="","",((K174)*(IF(M174="",L174,IFERROR(IF(INDEX(Variablen!$I:$AT, MATCH(M174, Variablen!$A:$A, 0), MATCH((YEAR(D174)+0), Variablen!$I$3:$AT$3, 0))="",L174,INDEX(Variablen!$I:$AT, MATCH(M174, Variablen!$A:$A, 0), MATCH((YEAR(D174)+0), Variablen!$I$3:$AT$3, 0))),L174)))*(IF((YEAR(D174)+0)&lt;YEAR(E174),0,IF((YEAR(D174)+0)&gt;YEAR(E174),1,(12-MONTH(E174)+1)/12))) + (Q174)*(IF((YEAR(D174)+0)&lt;YEAR(E174),0,IF((YEAR(D174)+0)&gt;YEAR(E174),1,(12-MONTH(E174)+1)/12))))-((P174)*(IF((YEAR(D174)+0)&lt;YEAR(E174),0,IF((YEAR(D174)+0)&gt;YEAR(E174),1,(12-MONTH(E174)+1)/12))) + (R174)*(IF((YEAR(D174)+0)&lt;YEAR(E174),0,IF((YEAR(D174)+0)&gt;YEAR(E174),1,(12-MONTH(E174)+1)/12))))-(IF((((K174)*(IF(M174="",L174,IFERROR(IF(INDEX(Variablen!$I:$AT, MATCH(M174, Variablen!$A:$A, 0), MATCH((YEAR(D174)+0), Variablen!$I$3:$AT$3, 0))="",L174,INDEX(Variablen!$I:$AT, MATCH(M174, Variablen!$A:$A, 0), MATCH((YEAR(D174)+0), Variablen!$I$3:$AT$3, 0))),L174)))*(IF((YEAR(D174)+0)&lt;YEAR(E174),0,IF((YEAR(D174)+0)&gt;YEAR(E174),1,(12-MONTH(E174)+1)/12))) + (Q174)*(IF((YEAR(D174)+0)&lt;YEAR(E174),0,IF((YEAR(D174)+0)&gt;YEAR(E174),1,(12-MONTH(E174)+1)/12))))-((P174)*(IF((YEAR(D174)+0)&lt;YEAR(E174),0,IF((YEAR(D174)+0)&gt;YEAR(E174),1,(12-MONTH(E174)+1)/12))) + (R174)*(IF((YEAR(D174)+0)&lt;YEAR(E174),0,IF((YEAR(D174)+0)&gt;YEAR(E174),1,(12-MONTH(E174)+1)/12))))-(IF(OR(N174="",N174&lt;=0),0,(O174/N174)*(IF(OR(N174="",N174&lt;=0),0,IF((YEAR(D174)+0)&lt;YEAR(E174),0,IF((YEAR(D174)+0)&gt;=YEAR(E174)+N174,0,IF((YEAR(D174)+0)=YEAR(E174),(12-MONTH(E174)+1)/12,1))))))))&gt;0,(((K174)*(IF(M174="",L174,IFERROR(IF(INDEX(Variablen!$I:$AT, MATCH(M174, Variablen!$A:$A, 0), MATCH((YEAR(D174)+0), Variablen!$I$3:$AT$3, 0))="",L174,INDEX(Variablen!$I:$AT, MATCH(M174, Variablen!$A:$A, 0), MATCH((YEAR(D174)+0), Variablen!$I$3:$AT$3, 0))),L174)))*(IF((YEAR(D174)+0)&lt;YEAR(E174),0,IF((YEAR(D174)+0)&gt;YEAR(E174),1,(12-MONTH(E174)+1)/12))) + (Q174)*(IF((YEAR(D174)+0)&lt;YEAR(E174),0,IF((YEAR(D174)+0)&gt;YEAR(E174),1,(12-MONTH(E174)+1)/12))))-((P174)*(IF((YEAR(D174)+0)&lt;YEAR(E174),0,IF((YEAR(D174)+0)&gt;YEAR(E174),1,(12-MONTH(E174)+1)/12))) + (R174)*(IF((YEAR(D174)+0)&lt;YEAR(E174),0,IF((YEAR(D174)+0)&gt;YEAR(E174),1,(12-MONTH(E174)+1)/12))))-(IF(OR(N174="",N174&lt;=0),0,(O174/N174)*(IF(OR(N174="",N174&lt;=0),0,IF((YEAR(D174)+0)&lt;YEAR(E174),0,IF((YEAR(D174)+0)&gt;=YEAR(E174)+N174,0,IF((YEAR(D174)+0)=YEAR(E174),(12-MONTH(E174)+1)/12,1))))))))*TaxRate,0))-IF(0=0,O174,0))</f>
        <v/>
      </c>
      <c r="T174" s="29">
        <f>IF(A174="","",((K174)*(IF(M174="",L174,IFERROR(IF(INDEX(Variablen!$I:$AT, MATCH(M174, Variablen!$A:$A, 0), MATCH((YEAR(D174)+1), Variablen!$I$3:$AT$3, 0))="",L174,INDEX(Variablen!$I:$AT, MATCH(M174, Variablen!$A:$A, 0), MATCH((YEAR(D174)+1), Variablen!$I$3:$AT$3, 0))),L174)))*(IF((YEAR(D174)+1)&lt;YEAR(E174),0,IF((YEAR(D174)+1)&gt;YEAR(E174),1,(12-MONTH(E174)+1)/12))) + (Q174)*(IF((YEAR(D174)+1)&lt;YEAR(E174),0,IF((YEAR(D174)+1)&gt;YEAR(E174),1,(12-MONTH(E174)+1)/12))))-((P174)*(IF((YEAR(D174)+1)&lt;YEAR(E174),0,IF((YEAR(D174)+1)&gt;YEAR(E174),1,(12-MONTH(E174)+1)/12))) + (R174)*(IF((YEAR(D174)+1)&lt;YEAR(E174),0,IF((YEAR(D174)+1)&gt;YEAR(E174),1,(12-MONTH(E174)+1)/12))))-(IF((((K174)*(IF(M174="",L174,IFERROR(IF(INDEX(Variablen!$I:$AT, MATCH(M174, Variablen!$A:$A, 0), MATCH((YEAR(D174)+1), Variablen!$I$3:$AT$3, 0))="",L174,INDEX(Variablen!$I:$AT, MATCH(M174, Variablen!$A:$A, 0), MATCH((YEAR(D174)+1), Variablen!$I$3:$AT$3, 0))),L174)))*(IF((YEAR(D174)+1)&lt;YEAR(E174),0,IF((YEAR(D174)+1)&gt;YEAR(E174),1,(12-MONTH(E174)+1)/12))) + (Q174)*(IF((YEAR(D174)+1)&lt;YEAR(E174),0,IF((YEAR(D174)+1)&gt;YEAR(E174),1,(12-MONTH(E174)+1)/12))))-((P174)*(IF((YEAR(D174)+1)&lt;YEAR(E174),0,IF((YEAR(D174)+1)&gt;YEAR(E174),1,(12-MONTH(E174)+1)/12))) + (R174)*(IF((YEAR(D174)+1)&lt;YEAR(E174),0,IF((YEAR(D174)+1)&gt;YEAR(E174),1,(12-MONTH(E174)+1)/12))))-(IF(OR(N174="",N174&lt;=0),0,(O174/N174)*(IF(OR(N174="",N174&lt;=0),0,IF((YEAR(D174)+1)&lt;YEAR(E174),0,IF((YEAR(D174)+1)&gt;=YEAR(E174)+N174,0,IF((YEAR(D174)+1)=YEAR(E174),(12-MONTH(E174)+1)/12,1))))))))&gt;0,(((K174)*(IF(M174="",L174,IFERROR(IF(INDEX(Variablen!$I:$AT, MATCH(M174, Variablen!$A:$A, 0), MATCH((YEAR(D174)+1), Variablen!$I$3:$AT$3, 0))="",L174,INDEX(Variablen!$I:$AT, MATCH(M174, Variablen!$A:$A, 0), MATCH((YEAR(D174)+1), Variablen!$I$3:$AT$3, 0))),L174)))*(IF((YEAR(D174)+1)&lt;YEAR(E174),0,IF((YEAR(D174)+1)&gt;YEAR(E174),1,(12-MONTH(E174)+1)/12))) + (Q174)*(IF((YEAR(D174)+1)&lt;YEAR(E174),0,IF((YEAR(D174)+1)&gt;YEAR(E174),1,(12-MONTH(E174)+1)/12))))-((P174)*(IF((YEAR(D174)+1)&lt;YEAR(E174),0,IF((YEAR(D174)+1)&gt;YEAR(E174),1,(12-MONTH(E174)+1)/12))) + (R174)*(IF((YEAR(D174)+1)&lt;YEAR(E174),0,IF((YEAR(D174)+1)&gt;YEAR(E174),1,(12-MONTH(E174)+1)/12))))-(IF(OR(N174="",N174&lt;=0),0,(O174/N174)*(IF(OR(N174="",N174&lt;=0),0,IF((YEAR(D174)+1)&lt;YEAR(E174),0,IF((YEAR(D174)+1)&gt;=YEAR(E174)+N174,0,IF((YEAR(D174)+1)=YEAR(E174),(12-MONTH(E174)+1)/12,1))))))))*TaxRate,0))-IF(1=0,O174,0))</f>
        <v/>
      </c>
      <c r="U174" s="29">
        <f>IF(A174="","",((K174)*(IF(M174="",L174,IFERROR(IF(INDEX(Variablen!$I:$AT, MATCH(M174, Variablen!$A:$A, 0), MATCH((YEAR(D174)+2), Variablen!$I$3:$AT$3, 0))="",L174,INDEX(Variablen!$I:$AT, MATCH(M174, Variablen!$A:$A, 0), MATCH((YEAR(D174)+2), Variablen!$I$3:$AT$3, 0))),L174)))*(IF((YEAR(D174)+2)&lt;YEAR(E174),0,IF((YEAR(D174)+2)&gt;YEAR(E174),1,(12-MONTH(E174)+1)/12))) + (Q174)*(IF((YEAR(D174)+2)&lt;YEAR(E174),0,IF((YEAR(D174)+2)&gt;YEAR(E174),1,(12-MONTH(E174)+1)/12))))-((P174)*(IF((YEAR(D174)+2)&lt;YEAR(E174),0,IF((YEAR(D174)+2)&gt;YEAR(E174),1,(12-MONTH(E174)+1)/12))) + (R174)*(IF((YEAR(D174)+2)&lt;YEAR(E174),0,IF((YEAR(D174)+2)&gt;YEAR(E174),1,(12-MONTH(E174)+1)/12))))-(IF((((K174)*(IF(M174="",L174,IFERROR(IF(INDEX(Variablen!$I:$AT, MATCH(M174, Variablen!$A:$A, 0), MATCH((YEAR(D174)+2), Variablen!$I$3:$AT$3, 0))="",L174,INDEX(Variablen!$I:$AT, MATCH(M174, Variablen!$A:$A, 0), MATCH((YEAR(D174)+2), Variablen!$I$3:$AT$3, 0))),L174)))*(IF((YEAR(D174)+2)&lt;YEAR(E174),0,IF((YEAR(D174)+2)&gt;YEAR(E174),1,(12-MONTH(E174)+1)/12))) + (Q174)*(IF((YEAR(D174)+2)&lt;YEAR(E174),0,IF((YEAR(D174)+2)&gt;YEAR(E174),1,(12-MONTH(E174)+1)/12))))-((P174)*(IF((YEAR(D174)+2)&lt;YEAR(E174),0,IF((YEAR(D174)+2)&gt;YEAR(E174),1,(12-MONTH(E174)+1)/12))) + (R174)*(IF((YEAR(D174)+2)&lt;YEAR(E174),0,IF((YEAR(D174)+2)&gt;YEAR(E174),1,(12-MONTH(E174)+1)/12))))-(IF(OR(N174="",N174&lt;=0),0,(O174/N174)*(IF(OR(N174="",N174&lt;=0),0,IF((YEAR(D174)+2)&lt;YEAR(E174),0,IF((YEAR(D174)+2)&gt;=YEAR(E174)+N174,0,IF((YEAR(D174)+2)=YEAR(E174),(12-MONTH(E174)+1)/12,1))))))))&gt;0,(((K174)*(IF(M174="",L174,IFERROR(IF(INDEX(Variablen!$I:$AT, MATCH(M174, Variablen!$A:$A, 0), MATCH((YEAR(D174)+2), Variablen!$I$3:$AT$3, 0))="",L174,INDEX(Variablen!$I:$AT, MATCH(M174, Variablen!$A:$A, 0), MATCH((YEAR(D174)+2), Variablen!$I$3:$AT$3, 0))),L174)))*(IF((YEAR(D174)+2)&lt;YEAR(E174),0,IF((YEAR(D174)+2)&gt;YEAR(E174),1,(12-MONTH(E174)+1)/12))) + (Q174)*(IF((YEAR(D174)+2)&lt;YEAR(E174),0,IF((YEAR(D174)+2)&gt;YEAR(E174),1,(12-MONTH(E174)+1)/12))))-((P174)*(IF((YEAR(D174)+2)&lt;YEAR(E174),0,IF((YEAR(D174)+2)&gt;YEAR(E174),1,(12-MONTH(E174)+1)/12))) + (R174)*(IF((YEAR(D174)+2)&lt;YEAR(E174),0,IF((YEAR(D174)+2)&gt;YEAR(E174),1,(12-MONTH(E174)+1)/12))))-(IF(OR(N174="",N174&lt;=0),0,(O174/N174)*(IF(OR(N174="",N174&lt;=0),0,IF((YEAR(D174)+2)&lt;YEAR(E174),0,IF((YEAR(D174)+2)&gt;=YEAR(E174)+N174,0,IF((YEAR(D174)+2)=YEAR(E174),(12-MONTH(E174)+1)/12,1))))))))*TaxRate,0))-IF(2=0,O174,0))</f>
        <v/>
      </c>
      <c r="V174" s="29">
        <f>IF(A174="","",((K174)*(IF(M174="",L174,IFERROR(IF(INDEX(Variablen!$I:$AT, MATCH(M174, Variablen!$A:$A, 0), MATCH((YEAR(D174)+3), Variablen!$I$3:$AT$3, 0))="",L174,INDEX(Variablen!$I:$AT, MATCH(M174, Variablen!$A:$A, 0), MATCH((YEAR(D174)+3), Variablen!$I$3:$AT$3, 0))),L174)))*(IF((YEAR(D174)+3)&lt;YEAR(E174),0,IF((YEAR(D174)+3)&gt;YEAR(E174),1,(12-MONTH(E174)+1)/12))) + (Q174)*(IF((YEAR(D174)+3)&lt;YEAR(E174),0,IF((YEAR(D174)+3)&gt;YEAR(E174),1,(12-MONTH(E174)+1)/12))))-((P174)*(IF((YEAR(D174)+3)&lt;YEAR(E174),0,IF((YEAR(D174)+3)&gt;YEAR(E174),1,(12-MONTH(E174)+1)/12))) + (R174)*(IF((YEAR(D174)+3)&lt;YEAR(E174),0,IF((YEAR(D174)+3)&gt;YEAR(E174),1,(12-MONTH(E174)+1)/12))))-(IF((((K174)*(IF(M174="",L174,IFERROR(IF(INDEX(Variablen!$I:$AT, MATCH(M174, Variablen!$A:$A, 0), MATCH((YEAR(D174)+3), Variablen!$I$3:$AT$3, 0))="",L174,INDEX(Variablen!$I:$AT, MATCH(M174, Variablen!$A:$A, 0), MATCH((YEAR(D174)+3), Variablen!$I$3:$AT$3, 0))),L174)))*(IF((YEAR(D174)+3)&lt;YEAR(E174),0,IF((YEAR(D174)+3)&gt;YEAR(E174),1,(12-MONTH(E174)+1)/12))) + (Q174)*(IF((YEAR(D174)+3)&lt;YEAR(E174),0,IF((YEAR(D174)+3)&gt;YEAR(E174),1,(12-MONTH(E174)+1)/12))))-((P174)*(IF((YEAR(D174)+3)&lt;YEAR(E174),0,IF((YEAR(D174)+3)&gt;YEAR(E174),1,(12-MONTH(E174)+1)/12))) + (R174)*(IF((YEAR(D174)+3)&lt;YEAR(E174),0,IF((YEAR(D174)+3)&gt;YEAR(E174),1,(12-MONTH(E174)+1)/12))))-(IF(OR(N174="",N174&lt;=0),0,(O174/N174)*(IF(OR(N174="",N174&lt;=0),0,IF((YEAR(D174)+3)&lt;YEAR(E174),0,IF((YEAR(D174)+3)&gt;=YEAR(E174)+N174,0,IF((YEAR(D174)+3)=YEAR(E174),(12-MONTH(E174)+1)/12,1))))))))&gt;0,(((K174)*(IF(M174="",L174,IFERROR(IF(INDEX(Variablen!$I:$AT, MATCH(M174, Variablen!$A:$A, 0), MATCH((YEAR(D174)+3), Variablen!$I$3:$AT$3, 0))="",L174,INDEX(Variablen!$I:$AT, MATCH(M174, Variablen!$A:$A, 0), MATCH((YEAR(D174)+3), Variablen!$I$3:$AT$3, 0))),L174)))*(IF((YEAR(D174)+3)&lt;YEAR(E174),0,IF((YEAR(D174)+3)&gt;YEAR(E174),1,(12-MONTH(E174)+1)/12))) + (Q174)*(IF((YEAR(D174)+3)&lt;YEAR(E174),0,IF((YEAR(D174)+3)&gt;YEAR(E174),1,(12-MONTH(E174)+1)/12))))-((P174)*(IF((YEAR(D174)+3)&lt;YEAR(E174),0,IF((YEAR(D174)+3)&gt;YEAR(E174),1,(12-MONTH(E174)+1)/12))) + (R174)*(IF((YEAR(D174)+3)&lt;YEAR(E174),0,IF((YEAR(D174)+3)&gt;YEAR(E174),1,(12-MONTH(E174)+1)/12))))-(IF(OR(N174="",N174&lt;=0),0,(O174/N174)*(IF(OR(N174="",N174&lt;=0),0,IF((YEAR(D174)+3)&lt;YEAR(E174),0,IF((YEAR(D174)+3)&gt;=YEAR(E174)+N174,0,IF((YEAR(D174)+3)=YEAR(E174),(12-MONTH(E174)+1)/12,1))))))))*TaxRate,0))-IF(3=0,O174,0))</f>
        <v/>
      </c>
      <c r="W174" s="29">
        <f>IF(A174="","",((K174)*(IF(M174="",L174,IFERROR(IF(INDEX(Variablen!$I:$AT, MATCH(M174, Variablen!$A:$A, 0), MATCH((YEAR(D174)+4), Variablen!$I$3:$AT$3, 0))="",L174,INDEX(Variablen!$I:$AT, MATCH(M174, Variablen!$A:$A, 0), MATCH((YEAR(D174)+4), Variablen!$I$3:$AT$3, 0))),L174)))*(IF((YEAR(D174)+4)&lt;YEAR(E174),0,IF((YEAR(D174)+4)&gt;YEAR(E174),1,(12-MONTH(E174)+1)/12))) + (Q174)*(IF((YEAR(D174)+4)&lt;YEAR(E174),0,IF((YEAR(D174)+4)&gt;YEAR(E174),1,(12-MONTH(E174)+1)/12))))-((P174)*(IF((YEAR(D174)+4)&lt;YEAR(E174),0,IF((YEAR(D174)+4)&gt;YEAR(E174),1,(12-MONTH(E174)+1)/12))) + (R174)*(IF((YEAR(D174)+4)&lt;YEAR(E174),0,IF((YEAR(D174)+4)&gt;YEAR(E174),1,(12-MONTH(E174)+1)/12))))-(IF((((K174)*(IF(M174="",L174,IFERROR(IF(INDEX(Variablen!$I:$AT, MATCH(M174, Variablen!$A:$A, 0), MATCH((YEAR(D174)+4), Variablen!$I$3:$AT$3, 0))="",L174,INDEX(Variablen!$I:$AT, MATCH(M174, Variablen!$A:$A, 0), MATCH((YEAR(D174)+4), Variablen!$I$3:$AT$3, 0))),L174)))*(IF((YEAR(D174)+4)&lt;YEAR(E174),0,IF((YEAR(D174)+4)&gt;YEAR(E174),1,(12-MONTH(E174)+1)/12))) + (Q174)*(IF((YEAR(D174)+4)&lt;YEAR(E174),0,IF((YEAR(D174)+4)&gt;YEAR(E174),1,(12-MONTH(E174)+1)/12))))-((P174)*(IF((YEAR(D174)+4)&lt;YEAR(E174),0,IF((YEAR(D174)+4)&gt;YEAR(E174),1,(12-MONTH(E174)+1)/12))) + (R174)*(IF((YEAR(D174)+4)&lt;YEAR(E174),0,IF((YEAR(D174)+4)&gt;YEAR(E174),1,(12-MONTH(E174)+1)/12))))-(IF(OR(N174="",N174&lt;=0),0,(O174/N174)*(IF(OR(N174="",N174&lt;=0),0,IF((YEAR(D174)+4)&lt;YEAR(E174),0,IF((YEAR(D174)+4)&gt;=YEAR(E174)+N174,0,IF((YEAR(D174)+4)=YEAR(E174),(12-MONTH(E174)+1)/12,1))))))))&gt;0,(((K174)*(IF(M174="",L174,IFERROR(IF(INDEX(Variablen!$I:$AT, MATCH(M174, Variablen!$A:$A, 0), MATCH((YEAR(D174)+4), Variablen!$I$3:$AT$3, 0))="",L174,INDEX(Variablen!$I:$AT, MATCH(M174, Variablen!$A:$A, 0), MATCH((YEAR(D174)+4), Variablen!$I$3:$AT$3, 0))),L174)))*(IF((YEAR(D174)+4)&lt;YEAR(E174),0,IF((YEAR(D174)+4)&gt;YEAR(E174),1,(12-MONTH(E174)+1)/12))) + (Q174)*(IF((YEAR(D174)+4)&lt;YEAR(E174),0,IF((YEAR(D174)+4)&gt;YEAR(E174),1,(12-MONTH(E174)+1)/12))))-((P174)*(IF((YEAR(D174)+4)&lt;YEAR(E174),0,IF((YEAR(D174)+4)&gt;YEAR(E174),1,(12-MONTH(E174)+1)/12))) + (R174)*(IF((YEAR(D174)+4)&lt;YEAR(E174),0,IF((YEAR(D174)+4)&gt;YEAR(E174),1,(12-MONTH(E174)+1)/12))))-(IF(OR(N174="",N174&lt;=0),0,(O174/N174)*(IF(OR(N174="",N174&lt;=0),0,IF((YEAR(D174)+4)&lt;YEAR(E174),0,IF((YEAR(D174)+4)&gt;=YEAR(E174)+N174,0,IF((YEAR(D174)+4)=YEAR(E174),(12-MONTH(E174)+1)/12,1))))))))*TaxRate,0))-IF(4=0,O174,0))</f>
        <v/>
      </c>
      <c r="X174" s="29">
        <f>IF(A174="","",((K174)*(IF(M174="",L174,IFERROR(IF(INDEX(Variablen!$I:$AT, MATCH(M174, Variablen!$A:$A, 0), MATCH((YEAR(D174)+5), Variablen!$I$3:$AT$3, 0))="",L174,INDEX(Variablen!$I:$AT, MATCH(M174, Variablen!$A:$A, 0), MATCH((YEAR(D174)+5), Variablen!$I$3:$AT$3, 0))),L174)))*(IF((YEAR(D174)+5)&lt;YEAR(E174),0,IF((YEAR(D174)+5)&gt;YEAR(E174),1,(12-MONTH(E174)+1)/12))) + (Q174)*(IF((YEAR(D174)+5)&lt;YEAR(E174),0,IF((YEAR(D174)+5)&gt;YEAR(E174),1,(12-MONTH(E174)+1)/12))))-((P174)*(IF((YEAR(D174)+5)&lt;YEAR(E174),0,IF((YEAR(D174)+5)&gt;YEAR(E174),1,(12-MONTH(E174)+1)/12))) + (R174)*(IF((YEAR(D174)+5)&lt;YEAR(E174),0,IF((YEAR(D174)+5)&gt;YEAR(E174),1,(12-MONTH(E174)+1)/12))))-(IF((((K174)*(IF(M174="",L174,IFERROR(IF(INDEX(Variablen!$I:$AT, MATCH(M174, Variablen!$A:$A, 0), MATCH((YEAR(D174)+5), Variablen!$I$3:$AT$3, 0))="",L174,INDEX(Variablen!$I:$AT, MATCH(M174, Variablen!$A:$A, 0), MATCH((YEAR(D174)+5), Variablen!$I$3:$AT$3, 0))),L174)))*(IF((YEAR(D174)+5)&lt;YEAR(E174),0,IF((YEAR(D174)+5)&gt;YEAR(E174),1,(12-MONTH(E174)+1)/12))) + (Q174)*(IF((YEAR(D174)+5)&lt;YEAR(E174),0,IF((YEAR(D174)+5)&gt;YEAR(E174),1,(12-MONTH(E174)+1)/12))))-((P174)*(IF((YEAR(D174)+5)&lt;YEAR(E174),0,IF((YEAR(D174)+5)&gt;YEAR(E174),1,(12-MONTH(E174)+1)/12))) + (R174)*(IF((YEAR(D174)+5)&lt;YEAR(E174),0,IF((YEAR(D174)+5)&gt;YEAR(E174),1,(12-MONTH(E174)+1)/12))))-(IF(OR(N174="",N174&lt;=0),0,(O174/N174)*(IF(OR(N174="",N174&lt;=0),0,IF((YEAR(D174)+5)&lt;YEAR(E174),0,IF((YEAR(D174)+5)&gt;=YEAR(E174)+N174,0,IF((YEAR(D174)+5)=YEAR(E174),(12-MONTH(E174)+1)/12,1))))))))&gt;0,(((K174)*(IF(M174="",L174,IFERROR(IF(INDEX(Variablen!$I:$AT, MATCH(M174, Variablen!$A:$A, 0), MATCH((YEAR(D174)+5), Variablen!$I$3:$AT$3, 0))="",L174,INDEX(Variablen!$I:$AT, MATCH(M174, Variablen!$A:$A, 0), MATCH((YEAR(D174)+5), Variablen!$I$3:$AT$3, 0))),L174)))*(IF((YEAR(D174)+5)&lt;YEAR(E174),0,IF((YEAR(D174)+5)&gt;YEAR(E174),1,(12-MONTH(E174)+1)/12))) + (Q174)*(IF((YEAR(D174)+5)&lt;YEAR(E174),0,IF((YEAR(D174)+5)&gt;YEAR(E174),1,(12-MONTH(E174)+1)/12))))-((P174)*(IF((YEAR(D174)+5)&lt;YEAR(E174),0,IF((YEAR(D174)+5)&gt;YEAR(E174),1,(12-MONTH(E174)+1)/12))) + (R174)*(IF((YEAR(D174)+5)&lt;YEAR(E174),0,IF((YEAR(D174)+5)&gt;YEAR(E174),1,(12-MONTH(E174)+1)/12))))-(IF(OR(N174="",N174&lt;=0),0,(O174/N174)*(IF(OR(N174="",N174&lt;=0),0,IF((YEAR(D174)+5)&lt;YEAR(E174),0,IF((YEAR(D174)+5)&gt;=YEAR(E174)+N174,0,IF((YEAR(D174)+5)=YEAR(E174),(12-MONTH(E174)+1)/12,1))))))))*TaxRate,0))-IF(5=0,O174,0))</f>
        <v/>
      </c>
      <c r="Y174" s="29">
        <f>IF(A174="","",((K174)*(IF(M174="",L174,IFERROR(IF(INDEX(Variablen!$I:$AT, MATCH(M174, Variablen!$A:$A, 0), MATCH((YEAR(D174)+6), Variablen!$I$3:$AT$3, 0))="",L174,INDEX(Variablen!$I:$AT, MATCH(M174, Variablen!$A:$A, 0), MATCH((YEAR(D174)+6), Variablen!$I$3:$AT$3, 0))),L174)))*(IF((YEAR(D174)+6)&lt;YEAR(E174),0,IF((YEAR(D174)+6)&gt;YEAR(E174),1,(12-MONTH(E174)+1)/12))) + (Q174)*(IF((YEAR(D174)+6)&lt;YEAR(E174),0,IF((YEAR(D174)+6)&gt;YEAR(E174),1,(12-MONTH(E174)+1)/12))))-((P174)*(IF((YEAR(D174)+6)&lt;YEAR(E174),0,IF((YEAR(D174)+6)&gt;YEAR(E174),1,(12-MONTH(E174)+1)/12))) + (R174)*(IF((YEAR(D174)+6)&lt;YEAR(E174),0,IF((YEAR(D174)+6)&gt;YEAR(E174),1,(12-MONTH(E174)+1)/12))))-(IF((((K174)*(IF(M174="",L174,IFERROR(IF(INDEX(Variablen!$I:$AT, MATCH(M174, Variablen!$A:$A, 0), MATCH((YEAR(D174)+6), Variablen!$I$3:$AT$3, 0))="",L174,INDEX(Variablen!$I:$AT, MATCH(M174, Variablen!$A:$A, 0), MATCH((YEAR(D174)+6), Variablen!$I$3:$AT$3, 0))),L174)))*(IF((YEAR(D174)+6)&lt;YEAR(E174),0,IF((YEAR(D174)+6)&gt;YEAR(E174),1,(12-MONTH(E174)+1)/12))) + (Q174)*(IF((YEAR(D174)+6)&lt;YEAR(E174),0,IF((YEAR(D174)+6)&gt;YEAR(E174),1,(12-MONTH(E174)+1)/12))))-((P174)*(IF((YEAR(D174)+6)&lt;YEAR(E174),0,IF((YEAR(D174)+6)&gt;YEAR(E174),1,(12-MONTH(E174)+1)/12))) + (R174)*(IF((YEAR(D174)+6)&lt;YEAR(E174),0,IF((YEAR(D174)+6)&gt;YEAR(E174),1,(12-MONTH(E174)+1)/12))))-(IF(OR(N174="",N174&lt;=0),0,(O174/N174)*(IF(OR(N174="",N174&lt;=0),0,IF((YEAR(D174)+6)&lt;YEAR(E174),0,IF((YEAR(D174)+6)&gt;=YEAR(E174)+N174,0,IF((YEAR(D174)+6)=YEAR(E174),(12-MONTH(E174)+1)/12,1))))))))&gt;0,(((K174)*(IF(M174="",L174,IFERROR(IF(INDEX(Variablen!$I:$AT, MATCH(M174, Variablen!$A:$A, 0), MATCH((YEAR(D174)+6), Variablen!$I$3:$AT$3, 0))="",L174,INDEX(Variablen!$I:$AT, MATCH(M174, Variablen!$A:$A, 0), MATCH((YEAR(D174)+6), Variablen!$I$3:$AT$3, 0))),L174)))*(IF((YEAR(D174)+6)&lt;YEAR(E174),0,IF((YEAR(D174)+6)&gt;YEAR(E174),1,(12-MONTH(E174)+1)/12))) + (Q174)*(IF((YEAR(D174)+6)&lt;YEAR(E174),0,IF((YEAR(D174)+6)&gt;YEAR(E174),1,(12-MONTH(E174)+1)/12))))-((P174)*(IF((YEAR(D174)+6)&lt;YEAR(E174),0,IF((YEAR(D174)+6)&gt;YEAR(E174),1,(12-MONTH(E174)+1)/12))) + (R174)*(IF((YEAR(D174)+6)&lt;YEAR(E174),0,IF((YEAR(D174)+6)&gt;YEAR(E174),1,(12-MONTH(E174)+1)/12))))-(IF(OR(N174="",N174&lt;=0),0,(O174/N174)*(IF(OR(N174="",N174&lt;=0),0,IF((YEAR(D174)+6)&lt;YEAR(E174),0,IF((YEAR(D174)+6)&gt;=YEAR(E174)+N174,0,IF((YEAR(D174)+6)=YEAR(E174),(12-MONTH(E174)+1)/12,1))))))))*TaxRate,0))-IF(6=0,O174,0))</f>
        <v/>
      </c>
      <c r="Z174" s="29">
        <f>IF(A174="","",((K174)*(IF(M174="",L174,IFERROR(IF(INDEX(Variablen!$I:$AT, MATCH(M174, Variablen!$A:$A, 0), MATCH((YEAR(D174)+7), Variablen!$I$3:$AT$3, 0))="",L174,INDEX(Variablen!$I:$AT, MATCH(M174, Variablen!$A:$A, 0), MATCH((YEAR(D174)+7), Variablen!$I$3:$AT$3, 0))),L174)))*(IF((YEAR(D174)+7)&lt;YEAR(E174),0,IF((YEAR(D174)+7)&gt;YEAR(E174),1,(12-MONTH(E174)+1)/12))) + (Q174)*(IF((YEAR(D174)+7)&lt;YEAR(E174),0,IF((YEAR(D174)+7)&gt;YEAR(E174),1,(12-MONTH(E174)+1)/12))))-((P174)*(IF((YEAR(D174)+7)&lt;YEAR(E174),0,IF((YEAR(D174)+7)&gt;YEAR(E174),1,(12-MONTH(E174)+1)/12))) + (R174)*(IF((YEAR(D174)+7)&lt;YEAR(E174),0,IF((YEAR(D174)+7)&gt;YEAR(E174),1,(12-MONTH(E174)+1)/12))))-(IF((((K174)*(IF(M174="",L174,IFERROR(IF(INDEX(Variablen!$I:$AT, MATCH(M174, Variablen!$A:$A, 0), MATCH((YEAR(D174)+7), Variablen!$I$3:$AT$3, 0))="",L174,INDEX(Variablen!$I:$AT, MATCH(M174, Variablen!$A:$A, 0), MATCH((YEAR(D174)+7), Variablen!$I$3:$AT$3, 0))),L174)))*(IF((YEAR(D174)+7)&lt;YEAR(E174),0,IF((YEAR(D174)+7)&gt;YEAR(E174),1,(12-MONTH(E174)+1)/12))) + (Q174)*(IF((YEAR(D174)+7)&lt;YEAR(E174),0,IF((YEAR(D174)+7)&gt;YEAR(E174),1,(12-MONTH(E174)+1)/12))))-((P174)*(IF((YEAR(D174)+7)&lt;YEAR(E174),0,IF((YEAR(D174)+7)&gt;YEAR(E174),1,(12-MONTH(E174)+1)/12))) + (R174)*(IF((YEAR(D174)+7)&lt;YEAR(E174),0,IF((YEAR(D174)+7)&gt;YEAR(E174),1,(12-MONTH(E174)+1)/12))))-(IF(OR(N174="",N174&lt;=0),0,(O174/N174)*(IF(OR(N174="",N174&lt;=0),0,IF((YEAR(D174)+7)&lt;YEAR(E174),0,IF((YEAR(D174)+7)&gt;=YEAR(E174)+N174,0,IF((YEAR(D174)+7)=YEAR(E174),(12-MONTH(E174)+1)/12,1))))))))&gt;0,(((K174)*(IF(M174="",L174,IFERROR(IF(INDEX(Variablen!$I:$AT, MATCH(M174, Variablen!$A:$A, 0), MATCH((YEAR(D174)+7), Variablen!$I$3:$AT$3, 0))="",L174,INDEX(Variablen!$I:$AT, MATCH(M174, Variablen!$A:$A, 0), MATCH((YEAR(D174)+7), Variablen!$I$3:$AT$3, 0))),L174)))*(IF((YEAR(D174)+7)&lt;YEAR(E174),0,IF((YEAR(D174)+7)&gt;YEAR(E174),1,(12-MONTH(E174)+1)/12))) + (Q174)*(IF((YEAR(D174)+7)&lt;YEAR(E174),0,IF((YEAR(D174)+7)&gt;YEAR(E174),1,(12-MONTH(E174)+1)/12))))-((P174)*(IF((YEAR(D174)+7)&lt;YEAR(E174),0,IF((YEAR(D174)+7)&gt;YEAR(E174),1,(12-MONTH(E174)+1)/12))) + (R174)*(IF((YEAR(D174)+7)&lt;YEAR(E174),0,IF((YEAR(D174)+7)&gt;YEAR(E174),1,(12-MONTH(E174)+1)/12))))-(IF(OR(N174="",N174&lt;=0),0,(O174/N174)*(IF(OR(N174="",N174&lt;=0),0,IF((YEAR(D174)+7)&lt;YEAR(E174),0,IF((YEAR(D174)+7)&gt;=YEAR(E174)+N174,0,IF((YEAR(D174)+7)=YEAR(E174),(12-MONTH(E174)+1)/12,1))))))))*TaxRate,0))-IF(7=0,O174,0))</f>
        <v/>
      </c>
      <c r="AA174" s="29">
        <f>IF(A174="","",((K174)*(IF(M174="",L174,IFERROR(IF(INDEX(Variablen!$I:$AT, MATCH(M174, Variablen!$A:$A, 0), MATCH((YEAR(D174)+8), Variablen!$I$3:$AT$3, 0))="",L174,INDEX(Variablen!$I:$AT, MATCH(M174, Variablen!$A:$A, 0), MATCH((YEAR(D174)+8), Variablen!$I$3:$AT$3, 0))),L174)))*(IF((YEAR(D174)+8)&lt;YEAR(E174),0,IF((YEAR(D174)+8)&gt;YEAR(E174),1,(12-MONTH(E174)+1)/12))) + (Q174)*(IF((YEAR(D174)+8)&lt;YEAR(E174),0,IF((YEAR(D174)+8)&gt;YEAR(E174),1,(12-MONTH(E174)+1)/12))))-((P174)*(IF((YEAR(D174)+8)&lt;YEAR(E174),0,IF((YEAR(D174)+8)&gt;YEAR(E174),1,(12-MONTH(E174)+1)/12))) + (R174)*(IF((YEAR(D174)+8)&lt;YEAR(E174),0,IF((YEAR(D174)+8)&gt;YEAR(E174),1,(12-MONTH(E174)+1)/12))))-(IF((((K174)*(IF(M174="",L174,IFERROR(IF(INDEX(Variablen!$I:$AT, MATCH(M174, Variablen!$A:$A, 0), MATCH((YEAR(D174)+8), Variablen!$I$3:$AT$3, 0))="",L174,INDEX(Variablen!$I:$AT, MATCH(M174, Variablen!$A:$A, 0), MATCH((YEAR(D174)+8), Variablen!$I$3:$AT$3, 0))),L174)))*(IF((YEAR(D174)+8)&lt;YEAR(E174),0,IF((YEAR(D174)+8)&gt;YEAR(E174),1,(12-MONTH(E174)+1)/12))) + (Q174)*(IF((YEAR(D174)+8)&lt;YEAR(E174),0,IF((YEAR(D174)+8)&gt;YEAR(E174),1,(12-MONTH(E174)+1)/12))))-((P174)*(IF((YEAR(D174)+8)&lt;YEAR(E174),0,IF((YEAR(D174)+8)&gt;YEAR(E174),1,(12-MONTH(E174)+1)/12))) + (R174)*(IF((YEAR(D174)+8)&lt;YEAR(E174),0,IF((YEAR(D174)+8)&gt;YEAR(E174),1,(12-MONTH(E174)+1)/12))))-(IF(OR(N174="",N174&lt;=0),0,(O174/N174)*(IF(OR(N174="",N174&lt;=0),0,IF((YEAR(D174)+8)&lt;YEAR(E174),0,IF((YEAR(D174)+8)&gt;=YEAR(E174)+N174,0,IF((YEAR(D174)+8)=YEAR(E174),(12-MONTH(E174)+1)/12,1))))))))&gt;0,(((K174)*(IF(M174="",L174,IFERROR(IF(INDEX(Variablen!$I:$AT, MATCH(M174, Variablen!$A:$A, 0), MATCH((YEAR(D174)+8), Variablen!$I$3:$AT$3, 0))="",L174,INDEX(Variablen!$I:$AT, MATCH(M174, Variablen!$A:$A, 0), MATCH((YEAR(D174)+8), Variablen!$I$3:$AT$3, 0))),L174)))*(IF((YEAR(D174)+8)&lt;YEAR(E174),0,IF((YEAR(D174)+8)&gt;YEAR(E174),1,(12-MONTH(E174)+1)/12))) + (Q174)*(IF((YEAR(D174)+8)&lt;YEAR(E174),0,IF((YEAR(D174)+8)&gt;YEAR(E174),1,(12-MONTH(E174)+1)/12))))-((P174)*(IF((YEAR(D174)+8)&lt;YEAR(E174),0,IF((YEAR(D174)+8)&gt;YEAR(E174),1,(12-MONTH(E174)+1)/12))) + (R174)*(IF((YEAR(D174)+8)&lt;YEAR(E174),0,IF((YEAR(D174)+8)&gt;YEAR(E174),1,(12-MONTH(E174)+1)/12))))-(IF(OR(N174="",N174&lt;=0),0,(O174/N174)*(IF(OR(N174="",N174&lt;=0),0,IF((YEAR(D174)+8)&lt;YEAR(E174),0,IF((YEAR(D174)+8)&gt;=YEAR(E174)+N174,0,IF((YEAR(D174)+8)=YEAR(E174),(12-MONTH(E174)+1)/12,1))))))))*TaxRate,0))-IF(8=0,O174,0))</f>
        <v/>
      </c>
      <c r="AB174" s="29">
        <f>IF(A174="","",((K174)*(IF(M174="",L174,IFERROR(IF(INDEX(Variablen!$I:$AT, MATCH(M174, Variablen!$A:$A, 0), MATCH((YEAR(D174)+9), Variablen!$I$3:$AT$3, 0))="",L174,INDEX(Variablen!$I:$AT, MATCH(M174, Variablen!$A:$A, 0), MATCH((YEAR(D174)+9), Variablen!$I$3:$AT$3, 0))),L174)))*(IF((YEAR(D174)+9)&lt;YEAR(E174),0,IF((YEAR(D174)+9)&gt;YEAR(E174),1,(12-MONTH(E174)+1)/12))) + (Q174)*(IF((YEAR(D174)+9)&lt;YEAR(E174),0,IF((YEAR(D174)+9)&gt;YEAR(E174),1,(12-MONTH(E174)+1)/12))))-((P174)*(IF((YEAR(D174)+9)&lt;YEAR(E174),0,IF((YEAR(D174)+9)&gt;YEAR(E174),1,(12-MONTH(E174)+1)/12))) + (R174)*(IF((YEAR(D174)+9)&lt;YEAR(E174),0,IF((YEAR(D174)+9)&gt;YEAR(E174),1,(12-MONTH(E174)+1)/12))))-(IF((((K174)*(IF(M174="",L174,IFERROR(IF(INDEX(Variablen!$I:$AT, MATCH(M174, Variablen!$A:$A, 0), MATCH((YEAR(D174)+9), Variablen!$I$3:$AT$3, 0))="",L174,INDEX(Variablen!$I:$AT, MATCH(M174, Variablen!$A:$A, 0), MATCH((YEAR(D174)+9), Variablen!$I$3:$AT$3, 0))),L174)))*(IF((YEAR(D174)+9)&lt;YEAR(E174),0,IF((YEAR(D174)+9)&gt;YEAR(E174),1,(12-MONTH(E174)+1)/12))) + (Q174)*(IF((YEAR(D174)+9)&lt;YEAR(E174),0,IF((YEAR(D174)+9)&gt;YEAR(E174),1,(12-MONTH(E174)+1)/12))))-((P174)*(IF((YEAR(D174)+9)&lt;YEAR(E174),0,IF((YEAR(D174)+9)&gt;YEAR(E174),1,(12-MONTH(E174)+1)/12))) + (R174)*(IF((YEAR(D174)+9)&lt;YEAR(E174),0,IF((YEAR(D174)+9)&gt;YEAR(E174),1,(12-MONTH(E174)+1)/12))))-(IF(OR(N174="",N174&lt;=0),0,(O174/N174)*(IF(OR(N174="",N174&lt;=0),0,IF((YEAR(D174)+9)&lt;YEAR(E174),0,IF((YEAR(D174)+9)&gt;=YEAR(E174)+N174,0,IF((YEAR(D174)+9)=YEAR(E174),(12-MONTH(E174)+1)/12,1))))))))&gt;0,(((K174)*(IF(M174="",L174,IFERROR(IF(INDEX(Variablen!$I:$AT, MATCH(M174, Variablen!$A:$A, 0), MATCH((YEAR(D174)+9), Variablen!$I$3:$AT$3, 0))="",L174,INDEX(Variablen!$I:$AT, MATCH(M174, Variablen!$A:$A, 0), MATCH((YEAR(D174)+9), Variablen!$I$3:$AT$3, 0))),L174)))*(IF((YEAR(D174)+9)&lt;YEAR(E174),0,IF((YEAR(D174)+9)&gt;YEAR(E174),1,(12-MONTH(E174)+1)/12))) + (Q174)*(IF((YEAR(D174)+9)&lt;YEAR(E174),0,IF((YEAR(D174)+9)&gt;YEAR(E174),1,(12-MONTH(E174)+1)/12))))-((P174)*(IF((YEAR(D174)+9)&lt;YEAR(E174),0,IF((YEAR(D174)+9)&gt;YEAR(E174),1,(12-MONTH(E174)+1)/12))) + (R174)*(IF((YEAR(D174)+9)&lt;YEAR(E174),0,IF((YEAR(D174)+9)&gt;YEAR(E174),1,(12-MONTH(E174)+1)/12))))-(IF(OR(N174="",N174&lt;=0),0,(O174/N174)*(IF(OR(N174="",N174&lt;=0),0,IF((YEAR(D174)+9)&lt;YEAR(E174),0,IF((YEAR(D174)+9)&gt;=YEAR(E174)+N174,0,IF((YEAR(D174)+9)=YEAR(E174),(12-MONTH(E174)+1)/12,1))))))))*TaxRate,0))-IF(9=0,O174,0))</f>
        <v/>
      </c>
      <c r="AC174" s="29">
        <f>IF(A174="","",((K174)*(IF(M174="",L174,IFERROR(IF(INDEX(Variablen!$I:$AT, MATCH(M174, Variablen!$A:$A, 0), MATCH((YEAR(D174)+10), Variablen!$I$3:$AT$3, 0))="",L174,INDEX(Variablen!$I:$AT, MATCH(M174, Variablen!$A:$A, 0), MATCH((YEAR(D174)+10), Variablen!$I$3:$AT$3, 0))),L174)))*(IF((YEAR(D174)+10)&lt;YEAR(E174),0,IF((YEAR(D174)+10)&gt;YEAR(E174),1,(12-MONTH(E174)+1)/12))) + (Q174)*(IF((YEAR(D174)+10)&lt;YEAR(E174),0,IF((YEAR(D174)+10)&gt;YEAR(E174),1,(12-MONTH(E174)+1)/12))))-((P174)*(IF((YEAR(D174)+10)&lt;YEAR(E174),0,IF((YEAR(D174)+10)&gt;YEAR(E174),1,(12-MONTH(E174)+1)/12))) + (R174)*(IF((YEAR(D174)+10)&lt;YEAR(E174),0,IF((YEAR(D174)+10)&gt;YEAR(E174),1,(12-MONTH(E174)+1)/12))))-(IF((((K174)*(IF(M174="",L174,IFERROR(IF(INDEX(Variablen!$I:$AT, MATCH(M174, Variablen!$A:$A, 0), MATCH((YEAR(D174)+10), Variablen!$I$3:$AT$3, 0))="",L174,INDEX(Variablen!$I:$AT, MATCH(M174, Variablen!$A:$A, 0), MATCH((YEAR(D174)+10), Variablen!$I$3:$AT$3, 0))),L174)))*(IF((YEAR(D174)+10)&lt;YEAR(E174),0,IF((YEAR(D174)+10)&gt;YEAR(E174),1,(12-MONTH(E174)+1)/12))) + (Q174)*(IF((YEAR(D174)+10)&lt;YEAR(E174),0,IF((YEAR(D174)+10)&gt;YEAR(E174),1,(12-MONTH(E174)+1)/12))))-((P174)*(IF((YEAR(D174)+10)&lt;YEAR(E174),0,IF((YEAR(D174)+10)&gt;YEAR(E174),1,(12-MONTH(E174)+1)/12))) + (R174)*(IF((YEAR(D174)+10)&lt;YEAR(E174),0,IF((YEAR(D174)+10)&gt;YEAR(E174),1,(12-MONTH(E174)+1)/12))))-(IF(OR(N174="",N174&lt;=0),0,(O174/N174)*(IF(OR(N174="",N174&lt;=0),0,IF((YEAR(D174)+10)&lt;YEAR(E174),0,IF((YEAR(D174)+10)&gt;=YEAR(E174)+N174,0,IF((YEAR(D174)+10)=YEAR(E174),(12-MONTH(E174)+1)/12,1))))))))&gt;0,(((K174)*(IF(M174="",L174,IFERROR(IF(INDEX(Variablen!$I:$AT, MATCH(M174, Variablen!$A:$A, 0), MATCH((YEAR(D174)+10), Variablen!$I$3:$AT$3, 0))="",L174,INDEX(Variablen!$I:$AT, MATCH(M174, Variablen!$A:$A, 0), MATCH((YEAR(D174)+10), Variablen!$I$3:$AT$3, 0))),L174)))*(IF((YEAR(D174)+10)&lt;YEAR(E174),0,IF((YEAR(D174)+10)&gt;YEAR(E174),1,(12-MONTH(E174)+1)/12))) + (Q174)*(IF((YEAR(D174)+10)&lt;YEAR(E174),0,IF((YEAR(D174)+10)&gt;YEAR(E174),1,(12-MONTH(E174)+1)/12))))-((P174)*(IF((YEAR(D174)+10)&lt;YEAR(E174),0,IF((YEAR(D174)+10)&gt;YEAR(E174),1,(12-MONTH(E174)+1)/12))) + (R174)*(IF((YEAR(D174)+10)&lt;YEAR(E174),0,IF((YEAR(D174)+10)&gt;YEAR(E174),1,(12-MONTH(E174)+1)/12))))-(IF(OR(N174="",N174&lt;=0),0,(O174/N174)*(IF(OR(N174="",N174&lt;=0),0,IF((YEAR(D174)+10)&lt;YEAR(E174),0,IF((YEAR(D174)+10)&gt;=YEAR(E174)+N174,0,IF((YEAR(D174)+10)=YEAR(E174),(12-MONTH(E174)+1)/12,1))))))))*TaxRate,0))-IF(10=0,O174,0))</f>
        <v/>
      </c>
      <c r="AD174" s="29">
        <f>IF(A174="","",((K174)*(IF(M174="",L174,IFERROR(IF(INDEX(Variablen!$I:$AT, MATCH(M174, Variablen!$A:$A, 0), MATCH((YEAR(D174)+11), Variablen!$I$3:$AT$3, 0))="",L174,INDEX(Variablen!$I:$AT, MATCH(M174, Variablen!$A:$A, 0), MATCH((YEAR(D174)+11), Variablen!$I$3:$AT$3, 0))),L174)))*(IF((YEAR(D174)+11)&lt;YEAR(E174),0,IF((YEAR(D174)+11)&gt;YEAR(E174),1,(12-MONTH(E174)+1)/12))) + (Q174)*(IF((YEAR(D174)+11)&lt;YEAR(E174),0,IF((YEAR(D174)+11)&gt;YEAR(E174),1,(12-MONTH(E174)+1)/12))))-((P174)*(IF((YEAR(D174)+11)&lt;YEAR(E174),0,IF((YEAR(D174)+11)&gt;YEAR(E174),1,(12-MONTH(E174)+1)/12))) + (R174)*(IF((YEAR(D174)+11)&lt;YEAR(E174),0,IF((YEAR(D174)+11)&gt;YEAR(E174),1,(12-MONTH(E174)+1)/12))))-(IF((((K174)*(IF(M174="",L174,IFERROR(IF(INDEX(Variablen!$I:$AT, MATCH(M174, Variablen!$A:$A, 0), MATCH((YEAR(D174)+11), Variablen!$I$3:$AT$3, 0))="",L174,INDEX(Variablen!$I:$AT, MATCH(M174, Variablen!$A:$A, 0), MATCH((YEAR(D174)+11), Variablen!$I$3:$AT$3, 0))),L174)))*(IF((YEAR(D174)+11)&lt;YEAR(E174),0,IF((YEAR(D174)+11)&gt;YEAR(E174),1,(12-MONTH(E174)+1)/12))) + (Q174)*(IF((YEAR(D174)+11)&lt;YEAR(E174),0,IF((YEAR(D174)+11)&gt;YEAR(E174),1,(12-MONTH(E174)+1)/12))))-((P174)*(IF((YEAR(D174)+11)&lt;YEAR(E174),0,IF((YEAR(D174)+11)&gt;YEAR(E174),1,(12-MONTH(E174)+1)/12))) + (R174)*(IF((YEAR(D174)+11)&lt;YEAR(E174),0,IF((YEAR(D174)+11)&gt;YEAR(E174),1,(12-MONTH(E174)+1)/12))))-(IF(OR(N174="",N174&lt;=0),0,(O174/N174)*(IF(OR(N174="",N174&lt;=0),0,IF((YEAR(D174)+11)&lt;YEAR(E174),0,IF((YEAR(D174)+11)&gt;=YEAR(E174)+N174,0,IF((YEAR(D174)+11)=YEAR(E174),(12-MONTH(E174)+1)/12,1))))))))&gt;0,(((K174)*(IF(M174="",L174,IFERROR(IF(INDEX(Variablen!$I:$AT, MATCH(M174, Variablen!$A:$A, 0), MATCH((YEAR(D174)+11), Variablen!$I$3:$AT$3, 0))="",L174,INDEX(Variablen!$I:$AT, MATCH(M174, Variablen!$A:$A, 0), MATCH((YEAR(D174)+11), Variablen!$I$3:$AT$3, 0))),L174)))*(IF((YEAR(D174)+11)&lt;YEAR(E174),0,IF((YEAR(D174)+11)&gt;YEAR(E174),1,(12-MONTH(E174)+1)/12))) + (Q174)*(IF((YEAR(D174)+11)&lt;YEAR(E174),0,IF((YEAR(D174)+11)&gt;YEAR(E174),1,(12-MONTH(E174)+1)/12))))-((P174)*(IF((YEAR(D174)+11)&lt;YEAR(E174),0,IF((YEAR(D174)+11)&gt;YEAR(E174),1,(12-MONTH(E174)+1)/12))) + (R174)*(IF((YEAR(D174)+11)&lt;YEAR(E174),0,IF((YEAR(D174)+11)&gt;YEAR(E174),1,(12-MONTH(E174)+1)/12))))-(IF(OR(N174="",N174&lt;=0),0,(O174/N174)*(IF(OR(N174="",N174&lt;=0),0,IF((YEAR(D174)+11)&lt;YEAR(E174),0,IF((YEAR(D174)+11)&gt;=YEAR(E174)+N174,0,IF((YEAR(D174)+11)=YEAR(E174),(12-MONTH(E174)+1)/12,1))))))))*TaxRate,0))-IF(11=0,O174,0))</f>
        <v/>
      </c>
      <c r="AE174" s="29">
        <f>IF(A174="","",((K174)*(IF(M174="",L174,IFERROR(IF(INDEX(Variablen!$I:$AT, MATCH(M174, Variablen!$A:$A, 0), MATCH((YEAR(D174)+12), Variablen!$I$3:$AT$3, 0))="",L174,INDEX(Variablen!$I:$AT, MATCH(M174, Variablen!$A:$A, 0), MATCH((YEAR(D174)+12), Variablen!$I$3:$AT$3, 0))),L174)))*(IF((YEAR(D174)+12)&lt;YEAR(E174),0,IF((YEAR(D174)+12)&gt;YEAR(E174),1,(12-MONTH(E174)+1)/12))) + (Q174)*(IF((YEAR(D174)+12)&lt;YEAR(E174),0,IF((YEAR(D174)+12)&gt;YEAR(E174),1,(12-MONTH(E174)+1)/12))))-((P174)*(IF((YEAR(D174)+12)&lt;YEAR(E174),0,IF((YEAR(D174)+12)&gt;YEAR(E174),1,(12-MONTH(E174)+1)/12))) + (R174)*(IF((YEAR(D174)+12)&lt;YEAR(E174),0,IF((YEAR(D174)+12)&gt;YEAR(E174),1,(12-MONTH(E174)+1)/12))))-(IF((((K174)*(IF(M174="",L174,IFERROR(IF(INDEX(Variablen!$I:$AT, MATCH(M174, Variablen!$A:$A, 0), MATCH((YEAR(D174)+12), Variablen!$I$3:$AT$3, 0))="",L174,INDEX(Variablen!$I:$AT, MATCH(M174, Variablen!$A:$A, 0), MATCH((YEAR(D174)+12), Variablen!$I$3:$AT$3, 0))),L174)))*(IF((YEAR(D174)+12)&lt;YEAR(E174),0,IF((YEAR(D174)+12)&gt;YEAR(E174),1,(12-MONTH(E174)+1)/12))) + (Q174)*(IF((YEAR(D174)+12)&lt;YEAR(E174),0,IF((YEAR(D174)+12)&gt;YEAR(E174),1,(12-MONTH(E174)+1)/12))))-((P174)*(IF((YEAR(D174)+12)&lt;YEAR(E174),0,IF((YEAR(D174)+12)&gt;YEAR(E174),1,(12-MONTH(E174)+1)/12))) + (R174)*(IF((YEAR(D174)+12)&lt;YEAR(E174),0,IF((YEAR(D174)+12)&gt;YEAR(E174),1,(12-MONTH(E174)+1)/12))))-(IF(OR(N174="",N174&lt;=0),0,(O174/N174)*(IF(OR(N174="",N174&lt;=0),0,IF((YEAR(D174)+12)&lt;YEAR(E174),0,IF((YEAR(D174)+12)&gt;=YEAR(E174)+N174,0,IF((YEAR(D174)+12)=YEAR(E174),(12-MONTH(E174)+1)/12,1))))))))&gt;0,(((K174)*(IF(M174="",L174,IFERROR(IF(INDEX(Variablen!$I:$AT, MATCH(M174, Variablen!$A:$A, 0), MATCH((YEAR(D174)+12), Variablen!$I$3:$AT$3, 0))="",L174,INDEX(Variablen!$I:$AT, MATCH(M174, Variablen!$A:$A, 0), MATCH((YEAR(D174)+12), Variablen!$I$3:$AT$3, 0))),L174)))*(IF((YEAR(D174)+12)&lt;YEAR(E174),0,IF((YEAR(D174)+12)&gt;YEAR(E174),1,(12-MONTH(E174)+1)/12))) + (Q174)*(IF((YEAR(D174)+12)&lt;YEAR(E174),0,IF((YEAR(D174)+12)&gt;YEAR(E174),1,(12-MONTH(E174)+1)/12))))-((P174)*(IF((YEAR(D174)+12)&lt;YEAR(E174),0,IF((YEAR(D174)+12)&gt;YEAR(E174),1,(12-MONTH(E174)+1)/12))) + (R174)*(IF((YEAR(D174)+12)&lt;YEAR(E174),0,IF((YEAR(D174)+12)&gt;YEAR(E174),1,(12-MONTH(E174)+1)/12))))-(IF(OR(N174="",N174&lt;=0),0,(O174/N174)*(IF(OR(N174="",N174&lt;=0),0,IF((YEAR(D174)+12)&lt;YEAR(E174),0,IF((YEAR(D174)+12)&gt;=YEAR(E174)+N174,0,IF((YEAR(D174)+12)=YEAR(E174),(12-MONTH(E174)+1)/12,1))))))))*TaxRate,0))-IF(12=0,O174,0))</f>
        <v/>
      </c>
      <c r="AF174" s="29">
        <f>IF(A174="","",((K174)*(IF(M174="",L174,IFERROR(IF(INDEX(Variablen!$I:$AT, MATCH(M174, Variablen!$A:$A, 0), MATCH((YEAR(D174)+13), Variablen!$I$3:$AT$3, 0))="",L174,INDEX(Variablen!$I:$AT, MATCH(M174, Variablen!$A:$A, 0), MATCH((YEAR(D174)+13), Variablen!$I$3:$AT$3, 0))),L174)))*(IF((YEAR(D174)+13)&lt;YEAR(E174),0,IF((YEAR(D174)+13)&gt;YEAR(E174),1,(12-MONTH(E174)+1)/12))) + (Q174)*(IF((YEAR(D174)+13)&lt;YEAR(E174),0,IF((YEAR(D174)+13)&gt;YEAR(E174),1,(12-MONTH(E174)+1)/12))))-((P174)*(IF((YEAR(D174)+13)&lt;YEAR(E174),0,IF((YEAR(D174)+13)&gt;YEAR(E174),1,(12-MONTH(E174)+1)/12))) + (R174)*(IF((YEAR(D174)+13)&lt;YEAR(E174),0,IF((YEAR(D174)+13)&gt;YEAR(E174),1,(12-MONTH(E174)+1)/12))))-(IF((((K174)*(IF(M174="",L174,IFERROR(IF(INDEX(Variablen!$I:$AT, MATCH(M174, Variablen!$A:$A, 0), MATCH((YEAR(D174)+13), Variablen!$I$3:$AT$3, 0))="",L174,INDEX(Variablen!$I:$AT, MATCH(M174, Variablen!$A:$A, 0), MATCH((YEAR(D174)+13), Variablen!$I$3:$AT$3, 0))),L174)))*(IF((YEAR(D174)+13)&lt;YEAR(E174),0,IF((YEAR(D174)+13)&gt;YEAR(E174),1,(12-MONTH(E174)+1)/12))) + (Q174)*(IF((YEAR(D174)+13)&lt;YEAR(E174),0,IF((YEAR(D174)+13)&gt;YEAR(E174),1,(12-MONTH(E174)+1)/12))))-((P174)*(IF((YEAR(D174)+13)&lt;YEAR(E174),0,IF((YEAR(D174)+13)&gt;YEAR(E174),1,(12-MONTH(E174)+1)/12))) + (R174)*(IF((YEAR(D174)+13)&lt;YEAR(E174),0,IF((YEAR(D174)+13)&gt;YEAR(E174),1,(12-MONTH(E174)+1)/12))))-(IF(OR(N174="",N174&lt;=0),0,(O174/N174)*(IF(OR(N174="",N174&lt;=0),0,IF((YEAR(D174)+13)&lt;YEAR(E174),0,IF((YEAR(D174)+13)&gt;=YEAR(E174)+N174,0,IF((YEAR(D174)+13)=YEAR(E174),(12-MONTH(E174)+1)/12,1))))))))&gt;0,(((K174)*(IF(M174="",L174,IFERROR(IF(INDEX(Variablen!$I:$AT, MATCH(M174, Variablen!$A:$A, 0), MATCH((YEAR(D174)+13), Variablen!$I$3:$AT$3, 0))="",L174,INDEX(Variablen!$I:$AT, MATCH(M174, Variablen!$A:$A, 0), MATCH((YEAR(D174)+13), Variablen!$I$3:$AT$3, 0))),L174)))*(IF((YEAR(D174)+13)&lt;YEAR(E174),0,IF((YEAR(D174)+13)&gt;YEAR(E174),1,(12-MONTH(E174)+1)/12))) + (Q174)*(IF((YEAR(D174)+13)&lt;YEAR(E174),0,IF((YEAR(D174)+13)&gt;YEAR(E174),1,(12-MONTH(E174)+1)/12))))-((P174)*(IF((YEAR(D174)+13)&lt;YEAR(E174),0,IF((YEAR(D174)+13)&gt;YEAR(E174),1,(12-MONTH(E174)+1)/12))) + (R174)*(IF((YEAR(D174)+13)&lt;YEAR(E174),0,IF((YEAR(D174)+13)&gt;YEAR(E174),1,(12-MONTH(E174)+1)/12))))-(IF(OR(N174="",N174&lt;=0),0,(O174/N174)*(IF(OR(N174="",N174&lt;=0),0,IF((YEAR(D174)+13)&lt;YEAR(E174),0,IF((YEAR(D174)+13)&gt;=YEAR(E174)+N174,0,IF((YEAR(D174)+13)=YEAR(E174),(12-MONTH(E174)+1)/12,1))))))))*TaxRate,0))-IF(13=0,O174,0))</f>
        <v/>
      </c>
      <c r="AG174" s="29">
        <f>IF(A174="","",((K174)*(IF(M174="",L174,IFERROR(IF(INDEX(Variablen!$I:$AT, MATCH(M174, Variablen!$A:$A, 0), MATCH((YEAR(D174)+14), Variablen!$I$3:$AT$3, 0))="",L174,INDEX(Variablen!$I:$AT, MATCH(M174, Variablen!$A:$A, 0), MATCH((YEAR(D174)+14), Variablen!$I$3:$AT$3, 0))),L174)))*(IF((YEAR(D174)+14)&lt;YEAR(E174),0,IF((YEAR(D174)+14)&gt;YEAR(E174),1,(12-MONTH(E174)+1)/12))) + (Q174)*(IF((YEAR(D174)+14)&lt;YEAR(E174),0,IF((YEAR(D174)+14)&gt;YEAR(E174),1,(12-MONTH(E174)+1)/12))))-((P174)*(IF((YEAR(D174)+14)&lt;YEAR(E174),0,IF((YEAR(D174)+14)&gt;YEAR(E174),1,(12-MONTH(E174)+1)/12))) + (R174)*(IF((YEAR(D174)+14)&lt;YEAR(E174),0,IF((YEAR(D174)+14)&gt;YEAR(E174),1,(12-MONTH(E174)+1)/12))))-(IF((((K174)*(IF(M174="",L174,IFERROR(IF(INDEX(Variablen!$I:$AT, MATCH(M174, Variablen!$A:$A, 0), MATCH((YEAR(D174)+14), Variablen!$I$3:$AT$3, 0))="",L174,INDEX(Variablen!$I:$AT, MATCH(M174, Variablen!$A:$A, 0), MATCH((YEAR(D174)+14), Variablen!$I$3:$AT$3, 0))),L174)))*(IF((YEAR(D174)+14)&lt;YEAR(E174),0,IF((YEAR(D174)+14)&gt;YEAR(E174),1,(12-MONTH(E174)+1)/12))) + (Q174)*(IF((YEAR(D174)+14)&lt;YEAR(E174),0,IF((YEAR(D174)+14)&gt;YEAR(E174),1,(12-MONTH(E174)+1)/12))))-((P174)*(IF((YEAR(D174)+14)&lt;YEAR(E174),0,IF((YEAR(D174)+14)&gt;YEAR(E174),1,(12-MONTH(E174)+1)/12))) + (R174)*(IF((YEAR(D174)+14)&lt;YEAR(E174),0,IF((YEAR(D174)+14)&gt;YEAR(E174),1,(12-MONTH(E174)+1)/12))))-(IF(OR(N174="",N174&lt;=0),0,(O174/N174)*(IF(OR(N174="",N174&lt;=0),0,IF((YEAR(D174)+14)&lt;YEAR(E174),0,IF((YEAR(D174)+14)&gt;=YEAR(E174)+N174,0,IF((YEAR(D174)+14)=YEAR(E174),(12-MONTH(E174)+1)/12,1))))))))&gt;0,(((K174)*(IF(M174="",L174,IFERROR(IF(INDEX(Variablen!$I:$AT, MATCH(M174, Variablen!$A:$A, 0), MATCH((YEAR(D174)+14), Variablen!$I$3:$AT$3, 0))="",L174,INDEX(Variablen!$I:$AT, MATCH(M174, Variablen!$A:$A, 0), MATCH((YEAR(D174)+14), Variablen!$I$3:$AT$3, 0))),L174)))*(IF((YEAR(D174)+14)&lt;YEAR(E174),0,IF((YEAR(D174)+14)&gt;YEAR(E174),1,(12-MONTH(E174)+1)/12))) + (Q174)*(IF((YEAR(D174)+14)&lt;YEAR(E174),0,IF((YEAR(D174)+14)&gt;YEAR(E174),1,(12-MONTH(E174)+1)/12))))-((P174)*(IF((YEAR(D174)+14)&lt;YEAR(E174),0,IF((YEAR(D174)+14)&gt;YEAR(E174),1,(12-MONTH(E174)+1)/12))) + (R174)*(IF((YEAR(D174)+14)&lt;YEAR(E174),0,IF((YEAR(D174)+14)&gt;YEAR(E174),1,(12-MONTH(E174)+1)/12))))-(IF(OR(N174="",N174&lt;=0),0,(O174/N174)*(IF(OR(N174="",N174&lt;=0),0,IF((YEAR(D174)+14)&lt;YEAR(E174),0,IF((YEAR(D174)+14)&gt;=YEAR(E174)+N174,0,IF((YEAR(D174)+14)=YEAR(E174),(12-MONTH(E174)+1)/12,1))))))))*TaxRate,0))-IF(14=0,O174,0))</f>
        <v/>
      </c>
      <c r="AH174" s="29">
        <f>IF(A174="","",((K174)*(IF(M174="",L174,IFERROR(IF(INDEX(Variablen!$I:$AT, MATCH(M174, Variablen!$A:$A, 0), MATCH((YEAR(D174)+15), Variablen!$I$3:$AT$3, 0))="",L174,INDEX(Variablen!$I:$AT, MATCH(M174, Variablen!$A:$A, 0), MATCH((YEAR(D174)+15), Variablen!$I$3:$AT$3, 0))),L174)))*(IF((YEAR(D174)+15)&lt;YEAR(E174),0,IF((YEAR(D174)+15)&gt;YEAR(E174),1,(12-MONTH(E174)+1)/12))) + (Q174)*(IF((YEAR(D174)+15)&lt;YEAR(E174),0,IF((YEAR(D174)+15)&gt;YEAR(E174),1,(12-MONTH(E174)+1)/12))))-((P174)*(IF((YEAR(D174)+15)&lt;YEAR(E174),0,IF((YEAR(D174)+15)&gt;YEAR(E174),1,(12-MONTH(E174)+1)/12))) + (R174)*(IF((YEAR(D174)+15)&lt;YEAR(E174),0,IF((YEAR(D174)+15)&gt;YEAR(E174),1,(12-MONTH(E174)+1)/12))))-(IF((((K174)*(IF(M174="",L174,IFERROR(IF(INDEX(Variablen!$I:$AT, MATCH(M174, Variablen!$A:$A, 0), MATCH((YEAR(D174)+15), Variablen!$I$3:$AT$3, 0))="",L174,INDEX(Variablen!$I:$AT, MATCH(M174, Variablen!$A:$A, 0), MATCH((YEAR(D174)+15), Variablen!$I$3:$AT$3, 0))),L174)))*(IF((YEAR(D174)+15)&lt;YEAR(E174),0,IF((YEAR(D174)+15)&gt;YEAR(E174),1,(12-MONTH(E174)+1)/12))) + (Q174)*(IF((YEAR(D174)+15)&lt;YEAR(E174),0,IF((YEAR(D174)+15)&gt;YEAR(E174),1,(12-MONTH(E174)+1)/12))))-((P174)*(IF((YEAR(D174)+15)&lt;YEAR(E174),0,IF((YEAR(D174)+15)&gt;YEAR(E174),1,(12-MONTH(E174)+1)/12))) + (R174)*(IF((YEAR(D174)+15)&lt;YEAR(E174),0,IF((YEAR(D174)+15)&gt;YEAR(E174),1,(12-MONTH(E174)+1)/12))))-(IF(OR(N174="",N174&lt;=0),0,(O174/N174)*(IF(OR(N174="",N174&lt;=0),0,IF((YEAR(D174)+15)&lt;YEAR(E174),0,IF((YEAR(D174)+15)&gt;=YEAR(E174)+N174,0,IF((YEAR(D174)+15)=YEAR(E174),(12-MONTH(E174)+1)/12,1))))))))&gt;0,(((K174)*(IF(M174="",L174,IFERROR(IF(INDEX(Variablen!$I:$AT, MATCH(M174, Variablen!$A:$A, 0), MATCH((YEAR(D174)+15), Variablen!$I$3:$AT$3, 0))="",L174,INDEX(Variablen!$I:$AT, MATCH(M174, Variablen!$A:$A, 0), MATCH((YEAR(D174)+15), Variablen!$I$3:$AT$3, 0))),L174)))*(IF((YEAR(D174)+15)&lt;YEAR(E174),0,IF((YEAR(D174)+15)&gt;YEAR(E174),1,(12-MONTH(E174)+1)/12))) + (Q174)*(IF((YEAR(D174)+15)&lt;YEAR(E174),0,IF((YEAR(D174)+15)&gt;YEAR(E174),1,(12-MONTH(E174)+1)/12))))-((P174)*(IF((YEAR(D174)+15)&lt;YEAR(E174),0,IF((YEAR(D174)+15)&gt;YEAR(E174),1,(12-MONTH(E174)+1)/12))) + (R174)*(IF((YEAR(D174)+15)&lt;YEAR(E174),0,IF((YEAR(D174)+15)&gt;YEAR(E174),1,(12-MONTH(E174)+1)/12))))-(IF(OR(N174="",N174&lt;=0),0,(O174/N174)*(IF(OR(N174="",N174&lt;=0),0,IF((YEAR(D174)+15)&lt;YEAR(E174),0,IF((YEAR(D174)+15)&gt;=YEAR(E174)+N174,0,IF((YEAR(D174)+15)=YEAR(E174),(12-MONTH(E174)+1)/12,1))))))))*TaxRate,0))-IF(15=0,O174,0))</f>
        <v/>
      </c>
      <c r="AI174" s="29">
        <f>IF(A174="","",((K174)*(IF(M174="",L174,IFERROR(IF(INDEX(Variablen!$I:$AT, MATCH(M174, Variablen!$A:$A, 0), MATCH((YEAR(D174)+16), Variablen!$I$3:$AT$3, 0))="",L174,INDEX(Variablen!$I:$AT, MATCH(M174, Variablen!$A:$A, 0), MATCH((YEAR(D174)+16), Variablen!$I$3:$AT$3, 0))),L174)))*(IF((YEAR(D174)+16)&lt;YEAR(E174),0,IF((YEAR(D174)+16)&gt;YEAR(E174),1,(12-MONTH(E174)+1)/12))) + (Q174)*(IF((YEAR(D174)+16)&lt;YEAR(E174),0,IF((YEAR(D174)+16)&gt;YEAR(E174),1,(12-MONTH(E174)+1)/12))))-((P174)*(IF((YEAR(D174)+16)&lt;YEAR(E174),0,IF((YEAR(D174)+16)&gt;YEAR(E174),1,(12-MONTH(E174)+1)/12))) + (R174)*(IF((YEAR(D174)+16)&lt;YEAR(E174),0,IF((YEAR(D174)+16)&gt;YEAR(E174),1,(12-MONTH(E174)+1)/12))))-(IF((((K174)*(IF(M174="",L174,IFERROR(IF(INDEX(Variablen!$I:$AT, MATCH(M174, Variablen!$A:$A, 0), MATCH((YEAR(D174)+16), Variablen!$I$3:$AT$3, 0))="",L174,INDEX(Variablen!$I:$AT, MATCH(M174, Variablen!$A:$A, 0), MATCH((YEAR(D174)+16), Variablen!$I$3:$AT$3, 0))),L174)))*(IF((YEAR(D174)+16)&lt;YEAR(E174),0,IF((YEAR(D174)+16)&gt;YEAR(E174),1,(12-MONTH(E174)+1)/12))) + (Q174)*(IF((YEAR(D174)+16)&lt;YEAR(E174),0,IF((YEAR(D174)+16)&gt;YEAR(E174),1,(12-MONTH(E174)+1)/12))))-((P174)*(IF((YEAR(D174)+16)&lt;YEAR(E174),0,IF((YEAR(D174)+16)&gt;YEAR(E174),1,(12-MONTH(E174)+1)/12))) + (R174)*(IF((YEAR(D174)+16)&lt;YEAR(E174),0,IF((YEAR(D174)+16)&gt;YEAR(E174),1,(12-MONTH(E174)+1)/12))))-(IF(OR(N174="",N174&lt;=0),0,(O174/N174)*(IF(OR(N174="",N174&lt;=0),0,IF((YEAR(D174)+16)&lt;YEAR(E174),0,IF((YEAR(D174)+16)&gt;=YEAR(E174)+N174,0,IF((YEAR(D174)+16)=YEAR(E174),(12-MONTH(E174)+1)/12,1))))))))&gt;0,(((K174)*(IF(M174="",L174,IFERROR(IF(INDEX(Variablen!$I:$AT, MATCH(M174, Variablen!$A:$A, 0), MATCH((YEAR(D174)+16), Variablen!$I$3:$AT$3, 0))="",L174,INDEX(Variablen!$I:$AT, MATCH(M174, Variablen!$A:$A, 0), MATCH((YEAR(D174)+16), Variablen!$I$3:$AT$3, 0))),L174)))*(IF((YEAR(D174)+16)&lt;YEAR(E174),0,IF((YEAR(D174)+16)&gt;YEAR(E174),1,(12-MONTH(E174)+1)/12))) + (Q174)*(IF((YEAR(D174)+16)&lt;YEAR(E174),0,IF((YEAR(D174)+16)&gt;YEAR(E174),1,(12-MONTH(E174)+1)/12))))-((P174)*(IF((YEAR(D174)+16)&lt;YEAR(E174),0,IF((YEAR(D174)+16)&gt;YEAR(E174),1,(12-MONTH(E174)+1)/12))) + (R174)*(IF((YEAR(D174)+16)&lt;YEAR(E174),0,IF((YEAR(D174)+16)&gt;YEAR(E174),1,(12-MONTH(E174)+1)/12))))-(IF(OR(N174="",N174&lt;=0),0,(O174/N174)*(IF(OR(N174="",N174&lt;=0),0,IF((YEAR(D174)+16)&lt;YEAR(E174),0,IF((YEAR(D174)+16)&gt;=YEAR(E174)+N174,0,IF((YEAR(D174)+16)=YEAR(E174),(12-MONTH(E174)+1)/12,1))))))))*TaxRate,0))-IF(16=0,O174,0))</f>
        <v/>
      </c>
      <c r="AJ174" s="29">
        <f>IF(A174="","",((K174)*(IF(M174="",L174,IFERROR(IF(INDEX(Variablen!$I:$AT, MATCH(M174, Variablen!$A:$A, 0), MATCH((YEAR(D174)+17), Variablen!$I$3:$AT$3, 0))="",L174,INDEX(Variablen!$I:$AT, MATCH(M174, Variablen!$A:$A, 0), MATCH((YEAR(D174)+17), Variablen!$I$3:$AT$3, 0))),L174)))*(IF((YEAR(D174)+17)&lt;YEAR(E174),0,IF((YEAR(D174)+17)&gt;YEAR(E174),1,(12-MONTH(E174)+1)/12))) + (Q174)*(IF((YEAR(D174)+17)&lt;YEAR(E174),0,IF((YEAR(D174)+17)&gt;YEAR(E174),1,(12-MONTH(E174)+1)/12))))-((P174)*(IF((YEAR(D174)+17)&lt;YEAR(E174),0,IF((YEAR(D174)+17)&gt;YEAR(E174),1,(12-MONTH(E174)+1)/12))) + (R174)*(IF((YEAR(D174)+17)&lt;YEAR(E174),0,IF((YEAR(D174)+17)&gt;YEAR(E174),1,(12-MONTH(E174)+1)/12))))-(IF((((K174)*(IF(M174="",L174,IFERROR(IF(INDEX(Variablen!$I:$AT, MATCH(M174, Variablen!$A:$A, 0), MATCH((YEAR(D174)+17), Variablen!$I$3:$AT$3, 0))="",L174,INDEX(Variablen!$I:$AT, MATCH(M174, Variablen!$A:$A, 0), MATCH((YEAR(D174)+17), Variablen!$I$3:$AT$3, 0))),L174)))*(IF((YEAR(D174)+17)&lt;YEAR(E174),0,IF((YEAR(D174)+17)&gt;YEAR(E174),1,(12-MONTH(E174)+1)/12))) + (Q174)*(IF((YEAR(D174)+17)&lt;YEAR(E174),0,IF((YEAR(D174)+17)&gt;YEAR(E174),1,(12-MONTH(E174)+1)/12))))-((P174)*(IF((YEAR(D174)+17)&lt;YEAR(E174),0,IF((YEAR(D174)+17)&gt;YEAR(E174),1,(12-MONTH(E174)+1)/12))) + (R174)*(IF((YEAR(D174)+17)&lt;YEAR(E174),0,IF((YEAR(D174)+17)&gt;YEAR(E174),1,(12-MONTH(E174)+1)/12))))-(IF(OR(N174="",N174&lt;=0),0,(O174/N174)*(IF(OR(N174="",N174&lt;=0),0,IF((YEAR(D174)+17)&lt;YEAR(E174),0,IF((YEAR(D174)+17)&gt;=YEAR(E174)+N174,0,IF((YEAR(D174)+17)=YEAR(E174),(12-MONTH(E174)+1)/12,1))))))))&gt;0,(((K174)*(IF(M174="",L174,IFERROR(IF(INDEX(Variablen!$I:$AT, MATCH(M174, Variablen!$A:$A, 0), MATCH((YEAR(D174)+17), Variablen!$I$3:$AT$3, 0))="",L174,INDEX(Variablen!$I:$AT, MATCH(M174, Variablen!$A:$A, 0), MATCH((YEAR(D174)+17), Variablen!$I$3:$AT$3, 0))),L174)))*(IF((YEAR(D174)+17)&lt;YEAR(E174),0,IF((YEAR(D174)+17)&gt;YEAR(E174),1,(12-MONTH(E174)+1)/12))) + (Q174)*(IF((YEAR(D174)+17)&lt;YEAR(E174),0,IF((YEAR(D174)+17)&gt;YEAR(E174),1,(12-MONTH(E174)+1)/12))))-((P174)*(IF((YEAR(D174)+17)&lt;YEAR(E174),0,IF((YEAR(D174)+17)&gt;YEAR(E174),1,(12-MONTH(E174)+1)/12))) + (R174)*(IF((YEAR(D174)+17)&lt;YEAR(E174),0,IF((YEAR(D174)+17)&gt;YEAR(E174),1,(12-MONTH(E174)+1)/12))))-(IF(OR(N174="",N174&lt;=0),0,(O174/N174)*(IF(OR(N174="",N174&lt;=0),0,IF((YEAR(D174)+17)&lt;YEAR(E174),0,IF((YEAR(D174)+17)&gt;=YEAR(E174)+N174,0,IF((YEAR(D174)+17)=YEAR(E174),(12-MONTH(E174)+1)/12,1))))))))*TaxRate,0))-IF(17=0,O174,0))</f>
        <v/>
      </c>
      <c r="AK174" s="29">
        <f>IF(A174="","",((K174)*(IF(M174="",L174,IFERROR(IF(INDEX(Variablen!$I:$AT, MATCH(M174, Variablen!$A:$A, 0), MATCH((YEAR(D174)+18), Variablen!$I$3:$AT$3, 0))="",L174,INDEX(Variablen!$I:$AT, MATCH(M174, Variablen!$A:$A, 0), MATCH((YEAR(D174)+18), Variablen!$I$3:$AT$3, 0))),L174)))*(IF((YEAR(D174)+18)&lt;YEAR(E174),0,IF((YEAR(D174)+18)&gt;YEAR(E174),1,(12-MONTH(E174)+1)/12))) + (Q174)*(IF((YEAR(D174)+18)&lt;YEAR(E174),0,IF((YEAR(D174)+18)&gt;YEAR(E174),1,(12-MONTH(E174)+1)/12))))-((P174)*(IF((YEAR(D174)+18)&lt;YEAR(E174),0,IF((YEAR(D174)+18)&gt;YEAR(E174),1,(12-MONTH(E174)+1)/12))) + (R174)*(IF((YEAR(D174)+18)&lt;YEAR(E174),0,IF((YEAR(D174)+18)&gt;YEAR(E174),1,(12-MONTH(E174)+1)/12))))-(IF((((K174)*(IF(M174="",L174,IFERROR(IF(INDEX(Variablen!$I:$AT, MATCH(M174, Variablen!$A:$A, 0), MATCH((YEAR(D174)+18), Variablen!$I$3:$AT$3, 0))="",L174,INDEX(Variablen!$I:$AT, MATCH(M174, Variablen!$A:$A, 0), MATCH((YEAR(D174)+18), Variablen!$I$3:$AT$3, 0))),L174)))*(IF((YEAR(D174)+18)&lt;YEAR(E174),0,IF((YEAR(D174)+18)&gt;YEAR(E174),1,(12-MONTH(E174)+1)/12))) + (Q174)*(IF((YEAR(D174)+18)&lt;YEAR(E174),0,IF((YEAR(D174)+18)&gt;YEAR(E174),1,(12-MONTH(E174)+1)/12))))-((P174)*(IF((YEAR(D174)+18)&lt;YEAR(E174),0,IF((YEAR(D174)+18)&gt;YEAR(E174),1,(12-MONTH(E174)+1)/12))) + (R174)*(IF((YEAR(D174)+18)&lt;YEAR(E174),0,IF((YEAR(D174)+18)&gt;YEAR(E174),1,(12-MONTH(E174)+1)/12))))-(IF(OR(N174="",N174&lt;=0),0,(O174/N174)*(IF(OR(N174="",N174&lt;=0),0,IF((YEAR(D174)+18)&lt;YEAR(E174),0,IF((YEAR(D174)+18)&gt;=YEAR(E174)+N174,0,IF((YEAR(D174)+18)=YEAR(E174),(12-MONTH(E174)+1)/12,1))))))))&gt;0,(((K174)*(IF(M174="",L174,IFERROR(IF(INDEX(Variablen!$I:$AT, MATCH(M174, Variablen!$A:$A, 0), MATCH((YEAR(D174)+18), Variablen!$I$3:$AT$3, 0))="",L174,INDEX(Variablen!$I:$AT, MATCH(M174, Variablen!$A:$A, 0), MATCH((YEAR(D174)+18), Variablen!$I$3:$AT$3, 0))),L174)))*(IF((YEAR(D174)+18)&lt;YEAR(E174),0,IF((YEAR(D174)+18)&gt;YEAR(E174),1,(12-MONTH(E174)+1)/12))) + (Q174)*(IF((YEAR(D174)+18)&lt;YEAR(E174),0,IF((YEAR(D174)+18)&gt;YEAR(E174),1,(12-MONTH(E174)+1)/12))))-((P174)*(IF((YEAR(D174)+18)&lt;YEAR(E174),0,IF((YEAR(D174)+18)&gt;YEAR(E174),1,(12-MONTH(E174)+1)/12))) + (R174)*(IF((YEAR(D174)+18)&lt;YEAR(E174),0,IF((YEAR(D174)+18)&gt;YEAR(E174),1,(12-MONTH(E174)+1)/12))))-(IF(OR(N174="",N174&lt;=0),0,(O174/N174)*(IF(OR(N174="",N174&lt;=0),0,IF((YEAR(D174)+18)&lt;YEAR(E174),0,IF((YEAR(D174)+18)&gt;=YEAR(E174)+N174,0,IF((YEAR(D174)+18)=YEAR(E174),(12-MONTH(E174)+1)/12,1))))))))*TaxRate,0))-IF(18=0,O174,0))</f>
        <v/>
      </c>
      <c r="AL174" s="29">
        <f>IF(A174="","",((K174)*(IF(M174="",L174,IFERROR(IF(INDEX(Variablen!$I:$AT, MATCH(M174, Variablen!$A:$A, 0), MATCH((YEAR(D174)+19), Variablen!$I$3:$AT$3, 0))="",L174,INDEX(Variablen!$I:$AT, MATCH(M174, Variablen!$A:$A, 0), MATCH((YEAR(D174)+19), Variablen!$I$3:$AT$3, 0))),L174)))*(IF((YEAR(D174)+19)&lt;YEAR(E174),0,IF((YEAR(D174)+19)&gt;YEAR(E174),1,(12-MONTH(E174)+1)/12))) + (Q174)*(IF((YEAR(D174)+19)&lt;YEAR(E174),0,IF((YEAR(D174)+19)&gt;YEAR(E174),1,(12-MONTH(E174)+1)/12))))-((P174)*(IF((YEAR(D174)+19)&lt;YEAR(E174),0,IF((YEAR(D174)+19)&gt;YEAR(E174),1,(12-MONTH(E174)+1)/12))) + (R174)*(IF((YEAR(D174)+19)&lt;YEAR(E174),0,IF((YEAR(D174)+19)&gt;YEAR(E174),1,(12-MONTH(E174)+1)/12))))-(IF((((K174)*(IF(M174="",L174,IFERROR(IF(INDEX(Variablen!$I:$AT, MATCH(M174, Variablen!$A:$A, 0), MATCH((YEAR(D174)+19), Variablen!$I$3:$AT$3, 0))="",L174,INDEX(Variablen!$I:$AT, MATCH(M174, Variablen!$A:$A, 0), MATCH((YEAR(D174)+19), Variablen!$I$3:$AT$3, 0))),L174)))*(IF((YEAR(D174)+19)&lt;YEAR(E174),0,IF((YEAR(D174)+19)&gt;YEAR(E174),1,(12-MONTH(E174)+1)/12))) + (Q174)*(IF((YEAR(D174)+19)&lt;YEAR(E174),0,IF((YEAR(D174)+19)&gt;YEAR(E174),1,(12-MONTH(E174)+1)/12))))-((P174)*(IF((YEAR(D174)+19)&lt;YEAR(E174),0,IF((YEAR(D174)+19)&gt;YEAR(E174),1,(12-MONTH(E174)+1)/12))) + (R174)*(IF((YEAR(D174)+19)&lt;YEAR(E174),0,IF((YEAR(D174)+19)&gt;YEAR(E174),1,(12-MONTH(E174)+1)/12))))-(IF(OR(N174="",N174&lt;=0),0,(O174/N174)*(IF(OR(N174="",N174&lt;=0),0,IF((YEAR(D174)+19)&lt;YEAR(E174),0,IF((YEAR(D174)+19)&gt;=YEAR(E174)+N174,0,IF((YEAR(D174)+19)=YEAR(E174),(12-MONTH(E174)+1)/12,1))))))))&gt;0,(((K174)*(IF(M174="",L174,IFERROR(IF(INDEX(Variablen!$I:$AT, MATCH(M174, Variablen!$A:$A, 0), MATCH((YEAR(D174)+19), Variablen!$I$3:$AT$3, 0))="",L174,INDEX(Variablen!$I:$AT, MATCH(M174, Variablen!$A:$A, 0), MATCH((YEAR(D174)+19), Variablen!$I$3:$AT$3, 0))),L174)))*(IF((YEAR(D174)+19)&lt;YEAR(E174),0,IF((YEAR(D174)+19)&gt;YEAR(E174),1,(12-MONTH(E174)+1)/12))) + (Q174)*(IF((YEAR(D174)+19)&lt;YEAR(E174),0,IF((YEAR(D174)+19)&gt;YEAR(E174),1,(12-MONTH(E174)+1)/12))))-((P174)*(IF((YEAR(D174)+19)&lt;YEAR(E174),0,IF((YEAR(D174)+19)&gt;YEAR(E174),1,(12-MONTH(E174)+1)/12))) + (R174)*(IF((YEAR(D174)+19)&lt;YEAR(E174),0,IF((YEAR(D174)+19)&gt;YEAR(E174),1,(12-MONTH(E174)+1)/12))))-(IF(OR(N174="",N174&lt;=0),0,(O174/N174)*(IF(OR(N174="",N174&lt;=0),0,IF((YEAR(D174)+19)&lt;YEAR(E174),0,IF((YEAR(D174)+19)&gt;=YEAR(E174)+N174,0,IF((YEAR(D174)+19)=YEAR(E174),(12-MONTH(E174)+1)/12,1))))))))*TaxRate,0))-IF(19=0,O174,0))</f>
        <v/>
      </c>
      <c r="AM174" s="29">
        <f>IF(A174="","",((K174)*(IF(M174="",L174,IFERROR(IF(INDEX(Variablen!$I:$AT, MATCH(M174, Variablen!$A:$A, 0), MATCH((YEAR(D174)+20), Variablen!$I$3:$AT$3, 0))="",L174,INDEX(Variablen!$I:$AT, MATCH(M174, Variablen!$A:$A, 0), MATCH((YEAR(D174)+20), Variablen!$I$3:$AT$3, 0))),L174)))*(IF((YEAR(D174)+20)&lt;YEAR(E174),0,IF((YEAR(D174)+20)&gt;YEAR(E174),1,(12-MONTH(E174)+1)/12))) + (Q174)*(IF((YEAR(D174)+20)&lt;YEAR(E174),0,IF((YEAR(D174)+20)&gt;YEAR(E174),1,(12-MONTH(E174)+1)/12))))-((P174)*(IF((YEAR(D174)+20)&lt;YEAR(E174),0,IF((YEAR(D174)+20)&gt;YEAR(E174),1,(12-MONTH(E174)+1)/12))) + (R174)*(IF((YEAR(D174)+20)&lt;YEAR(E174),0,IF((YEAR(D174)+20)&gt;YEAR(E174),1,(12-MONTH(E174)+1)/12))))-(IF((((K174)*(IF(M174="",L174,IFERROR(IF(INDEX(Variablen!$I:$AT, MATCH(M174, Variablen!$A:$A, 0), MATCH((YEAR(D174)+20), Variablen!$I$3:$AT$3, 0))="",L174,INDEX(Variablen!$I:$AT, MATCH(M174, Variablen!$A:$A, 0), MATCH((YEAR(D174)+20), Variablen!$I$3:$AT$3, 0))),L174)))*(IF((YEAR(D174)+20)&lt;YEAR(E174),0,IF((YEAR(D174)+20)&gt;YEAR(E174),1,(12-MONTH(E174)+1)/12))) + (Q174)*(IF((YEAR(D174)+20)&lt;YEAR(E174),0,IF((YEAR(D174)+20)&gt;YEAR(E174),1,(12-MONTH(E174)+1)/12))))-((P174)*(IF((YEAR(D174)+20)&lt;YEAR(E174),0,IF((YEAR(D174)+20)&gt;YEAR(E174),1,(12-MONTH(E174)+1)/12))) + (R174)*(IF((YEAR(D174)+20)&lt;YEAR(E174),0,IF((YEAR(D174)+20)&gt;YEAR(E174),1,(12-MONTH(E174)+1)/12))))-(IF(OR(N174="",N174&lt;=0),0,(O174/N174)*(IF(OR(N174="",N174&lt;=0),0,IF((YEAR(D174)+20)&lt;YEAR(E174),0,IF((YEAR(D174)+20)&gt;=YEAR(E174)+N174,0,IF((YEAR(D174)+20)=YEAR(E174),(12-MONTH(E174)+1)/12,1))))))))&gt;0,(((K174)*(IF(M174="",L174,IFERROR(IF(INDEX(Variablen!$I:$AT, MATCH(M174, Variablen!$A:$A, 0), MATCH((YEAR(D174)+20), Variablen!$I$3:$AT$3, 0))="",L174,INDEX(Variablen!$I:$AT, MATCH(M174, Variablen!$A:$A, 0), MATCH((YEAR(D174)+20), Variablen!$I$3:$AT$3, 0))),L174)))*(IF((YEAR(D174)+20)&lt;YEAR(E174),0,IF((YEAR(D174)+20)&gt;YEAR(E174),1,(12-MONTH(E174)+1)/12))) + (Q174)*(IF((YEAR(D174)+20)&lt;YEAR(E174),0,IF((YEAR(D174)+20)&gt;YEAR(E174),1,(12-MONTH(E174)+1)/12))))-((P174)*(IF((YEAR(D174)+20)&lt;YEAR(E174),0,IF((YEAR(D174)+20)&gt;YEAR(E174),1,(12-MONTH(E174)+1)/12))) + (R174)*(IF((YEAR(D174)+20)&lt;YEAR(E174),0,IF((YEAR(D174)+20)&gt;YEAR(E174),1,(12-MONTH(E174)+1)/12))))-(IF(OR(N174="",N174&lt;=0),0,(O174/N174)*(IF(OR(N174="",N174&lt;=0),0,IF((YEAR(D174)+20)&lt;YEAR(E174),0,IF((YEAR(D174)+20)&gt;=YEAR(E174)+N174,0,IF((YEAR(D174)+20)=YEAR(E174),(12-MONTH(E174)+1)/12,1))))))))*TaxRate,0))-IF(20=0,O174,0))</f>
        <v/>
      </c>
      <c r="AN174" s="29">
        <f>IF(A174="","",S174)</f>
        <v/>
      </c>
      <c r="AO174" s="29">
        <f>IF(A174="","",AN174+T174)</f>
        <v/>
      </c>
      <c r="AP174" s="29">
        <f>IF(A174="","",AO174+U174)</f>
        <v/>
      </c>
      <c r="AQ174" s="29">
        <f>IF(A174="","",AP174+V174)</f>
        <v/>
      </c>
      <c r="AR174" s="29">
        <f>IF(A174="","",AQ174+W174)</f>
        <v/>
      </c>
      <c r="AS174" s="29">
        <f>IF(A174="","",AR174+X174)</f>
        <v/>
      </c>
      <c r="AT174" s="29">
        <f>IF(A174="","",AS174+Y174)</f>
        <v/>
      </c>
      <c r="AU174" s="29">
        <f>IF(A174="","",AT174+Z174)</f>
        <v/>
      </c>
      <c r="AV174" s="29">
        <f>IF(A174="","",AU174+AA174)</f>
        <v/>
      </c>
      <c r="AW174" s="29">
        <f>IF(A174="","",AV174+AB174)</f>
        <v/>
      </c>
      <c r="AX174" s="29">
        <f>IF(A174="","",AW174+AC174)</f>
        <v/>
      </c>
      <c r="AY174" s="29">
        <f>IF(A174="","",AX174+AD174)</f>
        <v/>
      </c>
      <c r="AZ174" s="29">
        <f>IF(A174="","",AY174+AE174)</f>
        <v/>
      </c>
      <c r="BA174" s="29">
        <f>IF(A174="","",AZ174+AF174)</f>
        <v/>
      </c>
      <c r="BB174" s="29">
        <f>IF(A174="","",BA174+AG174)</f>
        <v/>
      </c>
      <c r="BC174" s="29">
        <f>IF(A174="","",BB174+AH174)</f>
        <v/>
      </c>
      <c r="BD174" s="29">
        <f>IF(A174="","",BC174+AI174)</f>
        <v/>
      </c>
      <c r="BE174" s="29">
        <f>IF(A174="","",BD174+AJ174)</f>
        <v/>
      </c>
      <c r="BF174" s="29">
        <f>IF(A174="","",BE174+AK174)</f>
        <v/>
      </c>
      <c r="BG174" s="29">
        <f>IF(A174="","",BF174+AL174)</f>
        <v/>
      </c>
      <c r="BH174" s="29">
        <f>IF(A174="","",BG174+AM174)</f>
        <v/>
      </c>
      <c r="BI174" s="36">
        <f>IF(A174="","",(K174)*(IF((YEAR(D174)+0)&lt;YEAR(E174),0,IF((YEAR(D174)+0)&gt;YEAR(E174),1,(12-MONTH(E174)+1)/12)))*(1/(1+DiscountRate)^0))</f>
        <v/>
      </c>
      <c r="BJ174" s="36">
        <f>IF(A174="","",(K174)*(IF((YEAR(D174)+1)&lt;YEAR(E174),0,IF((YEAR(D174)+1)&gt;YEAR(E174),1,(12-MONTH(E174)+1)/12)))*(1/(1+DiscountRate)^1))</f>
        <v/>
      </c>
      <c r="BK174" s="36">
        <f>IF(A174="","",(K174)*(IF((YEAR(D174)+2)&lt;YEAR(E174),0,IF((YEAR(D174)+2)&gt;YEAR(E174),1,(12-MONTH(E174)+1)/12)))*(1/(1+DiscountRate)^2))</f>
        <v/>
      </c>
      <c r="BL174" s="36">
        <f>IF(A174="","",(K174)*(IF((YEAR(D174)+3)&lt;YEAR(E174),0,IF((YEAR(D174)+3)&gt;YEAR(E174),1,(12-MONTH(E174)+1)/12)))*(1/(1+DiscountRate)^3))</f>
        <v/>
      </c>
      <c r="BM174" s="36">
        <f>IF(A174="","",(K174)*(IF((YEAR(D174)+4)&lt;YEAR(E174),0,IF((YEAR(D174)+4)&gt;YEAR(E174),1,(12-MONTH(E174)+1)/12)))*(1/(1+DiscountRate)^4))</f>
        <v/>
      </c>
      <c r="BN174" s="36">
        <f>IF(A174="","",(K174)*(IF((YEAR(D174)+5)&lt;YEAR(E174),0,IF((YEAR(D174)+5)&gt;YEAR(E174),1,(12-MONTH(E174)+1)/12)))*(1/(1+DiscountRate)^5))</f>
        <v/>
      </c>
      <c r="BO174" s="36">
        <f>IF(A174="","",(K174)*(IF((YEAR(D174)+6)&lt;YEAR(E174),0,IF((YEAR(D174)+6)&gt;YEAR(E174),1,(12-MONTH(E174)+1)/12)))*(1/(1+DiscountRate)^6))</f>
        <v/>
      </c>
      <c r="BP174" s="36">
        <f>IF(A174="","",(K174)*(IF((YEAR(D174)+7)&lt;YEAR(E174),0,IF((YEAR(D174)+7)&gt;YEAR(E174),1,(12-MONTH(E174)+1)/12)))*(1/(1+DiscountRate)^7))</f>
        <v/>
      </c>
      <c r="BQ174" s="36">
        <f>IF(A174="","",(K174)*(IF((YEAR(D174)+8)&lt;YEAR(E174),0,IF((YEAR(D174)+8)&gt;YEAR(E174),1,(12-MONTH(E174)+1)/12)))*(1/(1+DiscountRate)^8))</f>
        <v/>
      </c>
      <c r="BR174" s="36">
        <f>IF(A174="","",(K174)*(IF((YEAR(D174)+9)&lt;YEAR(E174),0,IF((YEAR(D174)+9)&gt;YEAR(E174),1,(12-MONTH(E174)+1)/12)))*(1/(1+DiscountRate)^9))</f>
        <v/>
      </c>
      <c r="BS174" s="36">
        <f>IF(A174="","",(K174)*(IF((YEAR(D174)+10)&lt;YEAR(E174),0,IF((YEAR(D174)+10)&gt;YEAR(E174),1,(12-MONTH(E174)+1)/12)))*(1/(1+DiscountRate)^10))</f>
        <v/>
      </c>
      <c r="BT174" s="36">
        <f>IF(A174="","",(K174)*(IF((YEAR(D174)+11)&lt;YEAR(E174),0,IF((YEAR(D174)+11)&gt;YEAR(E174),1,(12-MONTH(E174)+1)/12)))*(1/(1+DiscountRate)^11))</f>
        <v/>
      </c>
      <c r="BU174" s="36">
        <f>IF(A174="","",(K174)*(IF((YEAR(D174)+12)&lt;YEAR(E174),0,IF((YEAR(D174)+12)&gt;YEAR(E174),1,(12-MONTH(E174)+1)/12)))*(1/(1+DiscountRate)^12))</f>
        <v/>
      </c>
      <c r="BV174" s="36">
        <f>IF(A174="","",(K174)*(IF((YEAR(D174)+13)&lt;YEAR(E174),0,IF((YEAR(D174)+13)&gt;YEAR(E174),1,(12-MONTH(E174)+1)/12)))*(1/(1+DiscountRate)^13))</f>
        <v/>
      </c>
      <c r="BW174" s="36">
        <f>IF(A174="","",(K174)*(IF((YEAR(D174)+14)&lt;YEAR(E174),0,IF((YEAR(D174)+14)&gt;YEAR(E174),1,(12-MONTH(E174)+1)/12)))*(1/(1+DiscountRate)^14))</f>
        <v/>
      </c>
      <c r="BX174" s="36">
        <f>IF(A174="","",(K174)*(IF((YEAR(D174)+15)&lt;YEAR(E174),0,IF((YEAR(D174)+15)&gt;YEAR(E174),1,(12-MONTH(E174)+1)/12)))*(1/(1+DiscountRate)^15))</f>
        <v/>
      </c>
      <c r="BY174" s="36">
        <f>IF(A174="","",(K174)*(IF((YEAR(D174)+16)&lt;YEAR(E174),0,IF((YEAR(D174)+16)&gt;YEAR(E174),1,(12-MONTH(E174)+1)/12)))*(1/(1+DiscountRate)^16))</f>
        <v/>
      </c>
      <c r="BZ174" s="36">
        <f>IF(A174="","",(K174)*(IF((YEAR(D174)+17)&lt;YEAR(E174),0,IF((YEAR(D174)+17)&gt;YEAR(E174),1,(12-MONTH(E174)+1)/12)))*(1/(1+DiscountRate)^17))</f>
        <v/>
      </c>
      <c r="CA174" s="36">
        <f>IF(A174="","",(K174)*(IF((YEAR(D174)+18)&lt;YEAR(E174),0,IF((YEAR(D174)+18)&gt;YEAR(E174),1,(12-MONTH(E174)+1)/12)))*(1/(1+DiscountRate)^18))</f>
        <v/>
      </c>
      <c r="CB174" s="36">
        <f>IF(A174="","",(K174)*(IF((YEAR(D174)+19)&lt;YEAR(E174),0,IF((YEAR(D174)+19)&gt;YEAR(E174),1,(12-MONTH(E174)+1)/12)))*(1/(1+DiscountRate)^19))</f>
        <v/>
      </c>
      <c r="CC174" s="36">
        <f>IF(A174="","",(K174)*(IF((YEAR(D174)+20)&lt;YEAR(E174),0,IF((YEAR(D174)+20)&gt;YEAR(E174),1,(12-MONTH(E174)+1)/12)))*(1/(1+DiscountRate)^20))</f>
        <v/>
      </c>
      <c r="CD174" s="29">
        <f>IF(A174="","",S174/(1+DiscountRate)^0+T174/(1+DiscountRate)^1+U174/(1+DiscountRate)^2+V174/(1+DiscountRate)^3+W174/(1+DiscountRate)^4+X174/(1+DiscountRate)^5+Y174/(1+DiscountRate)^6+Z174/(1+DiscountRate)^7+AA174/(1+DiscountRate)^8+AB174/(1+DiscountRate)^9+AC174/(1+DiscountRate)^10+AD174/(1+DiscountRate)^11+AE174/(1+DiscountRate)^12+AF174/(1+DiscountRate)^13+AG174/(1+DiscountRate)^14+AH174/(1+DiscountRate)^15+AI174/(1+DiscountRate)^16+AJ174/(1+DiscountRate)^17+AK174/(1+DiscountRate)^18+AL174/(1+DiscountRate)^19+AM174/(1+DiscountRate)^20)</f>
        <v/>
      </c>
      <c r="CE174" s="37">
        <f>IF(A174="","",IFERROR(IRR(OFFSET(S174,0,0,1,MIN(HorizonYears,20)+1)),"n/a"))</f>
        <v/>
      </c>
      <c r="CF174" s="28">
        <f>IF(A174="","",IFERROR(MATCH(TRUE,OFFSET(AN174,0,0,1,MIN(HorizonYears,20)+1)&gt;=0,0)-1,"n/a"))</f>
        <v/>
      </c>
      <c r="CG174" s="36">
        <f>IF(A174="","",SUM(OFFSET(BI174,0,0,1,MIN(HorizonYears,20)+1)))</f>
        <v/>
      </c>
      <c r="CH174" s="36">
        <f>IF(A174="","",IFERROR(-CD174/CG174,"n/a"))</f>
        <v/>
      </c>
    </row>
    <row r="175">
      <c r="A175" s="6">
        <f>Actions!A173</f>
        <v/>
      </c>
      <c r="B175" s="6">
        <f>Actions!B173</f>
        <v/>
      </c>
      <c r="C175" s="6">
        <f>Actions!D173</f>
        <v/>
      </c>
      <c r="D175" s="35">
        <f>Actions!E173</f>
        <v/>
      </c>
      <c r="E175" s="35">
        <f>Actions!F173</f>
        <v/>
      </c>
      <c r="F175" s="6">
        <f>Actions!G173</f>
        <v/>
      </c>
      <c r="G175" s="6">
        <f>Actions!H173</f>
        <v/>
      </c>
      <c r="H175" s="29">
        <f>Actions!I173</f>
        <v/>
      </c>
      <c r="I175" s="6">
        <f>Actions!J173</f>
        <v/>
      </c>
      <c r="J175" s="16">
        <f>Actions!K173</f>
        <v/>
      </c>
      <c r="K175" s="16">
        <f>IF(A175="","",IF(I175="%",H175*J175,J175))</f>
        <v/>
      </c>
      <c r="L175" s="16">
        <f>Actions!L173</f>
        <v/>
      </c>
      <c r="M175" s="6">
        <f>Actions!M173</f>
        <v/>
      </c>
      <c r="N175" s="28">
        <f>Actions!N173</f>
        <v/>
      </c>
      <c r="O175" s="29">
        <f>Actions!T173</f>
        <v/>
      </c>
      <c r="P175" s="29">
        <f>Actions!Y173</f>
        <v/>
      </c>
      <c r="Q175" s="29">
        <f>Actions!Z173</f>
        <v/>
      </c>
      <c r="R175" s="29">
        <f>Actions!AA173</f>
        <v/>
      </c>
      <c r="S175" s="29">
        <f>IF(A175="","",((K175)*(IF(M175="",L175,IFERROR(IF(INDEX(Variablen!$I:$AT, MATCH(M175, Variablen!$A:$A, 0), MATCH((YEAR(D175)+0), Variablen!$I$3:$AT$3, 0))="",L175,INDEX(Variablen!$I:$AT, MATCH(M175, Variablen!$A:$A, 0), MATCH((YEAR(D175)+0), Variablen!$I$3:$AT$3, 0))),L175)))*(IF((YEAR(D175)+0)&lt;YEAR(E175),0,IF((YEAR(D175)+0)&gt;YEAR(E175),1,(12-MONTH(E175)+1)/12))) + (Q175)*(IF((YEAR(D175)+0)&lt;YEAR(E175),0,IF((YEAR(D175)+0)&gt;YEAR(E175),1,(12-MONTH(E175)+1)/12))))-((P175)*(IF((YEAR(D175)+0)&lt;YEAR(E175),0,IF((YEAR(D175)+0)&gt;YEAR(E175),1,(12-MONTH(E175)+1)/12))) + (R175)*(IF((YEAR(D175)+0)&lt;YEAR(E175),0,IF((YEAR(D175)+0)&gt;YEAR(E175),1,(12-MONTH(E175)+1)/12))))-(IF((((K175)*(IF(M175="",L175,IFERROR(IF(INDEX(Variablen!$I:$AT, MATCH(M175, Variablen!$A:$A, 0), MATCH((YEAR(D175)+0), Variablen!$I$3:$AT$3, 0))="",L175,INDEX(Variablen!$I:$AT, MATCH(M175, Variablen!$A:$A, 0), MATCH((YEAR(D175)+0), Variablen!$I$3:$AT$3, 0))),L175)))*(IF((YEAR(D175)+0)&lt;YEAR(E175),0,IF((YEAR(D175)+0)&gt;YEAR(E175),1,(12-MONTH(E175)+1)/12))) + (Q175)*(IF((YEAR(D175)+0)&lt;YEAR(E175),0,IF((YEAR(D175)+0)&gt;YEAR(E175),1,(12-MONTH(E175)+1)/12))))-((P175)*(IF((YEAR(D175)+0)&lt;YEAR(E175),0,IF((YEAR(D175)+0)&gt;YEAR(E175),1,(12-MONTH(E175)+1)/12))) + (R175)*(IF((YEAR(D175)+0)&lt;YEAR(E175),0,IF((YEAR(D175)+0)&gt;YEAR(E175),1,(12-MONTH(E175)+1)/12))))-(IF(OR(N175="",N175&lt;=0),0,(O175/N175)*(IF(OR(N175="",N175&lt;=0),0,IF((YEAR(D175)+0)&lt;YEAR(E175),0,IF((YEAR(D175)+0)&gt;=YEAR(E175)+N175,0,IF((YEAR(D175)+0)=YEAR(E175),(12-MONTH(E175)+1)/12,1))))))))&gt;0,(((K175)*(IF(M175="",L175,IFERROR(IF(INDEX(Variablen!$I:$AT, MATCH(M175, Variablen!$A:$A, 0), MATCH((YEAR(D175)+0), Variablen!$I$3:$AT$3, 0))="",L175,INDEX(Variablen!$I:$AT, MATCH(M175, Variablen!$A:$A, 0), MATCH((YEAR(D175)+0), Variablen!$I$3:$AT$3, 0))),L175)))*(IF((YEAR(D175)+0)&lt;YEAR(E175),0,IF((YEAR(D175)+0)&gt;YEAR(E175),1,(12-MONTH(E175)+1)/12))) + (Q175)*(IF((YEAR(D175)+0)&lt;YEAR(E175),0,IF((YEAR(D175)+0)&gt;YEAR(E175),1,(12-MONTH(E175)+1)/12))))-((P175)*(IF((YEAR(D175)+0)&lt;YEAR(E175),0,IF((YEAR(D175)+0)&gt;YEAR(E175),1,(12-MONTH(E175)+1)/12))) + (R175)*(IF((YEAR(D175)+0)&lt;YEAR(E175),0,IF((YEAR(D175)+0)&gt;YEAR(E175),1,(12-MONTH(E175)+1)/12))))-(IF(OR(N175="",N175&lt;=0),0,(O175/N175)*(IF(OR(N175="",N175&lt;=0),0,IF((YEAR(D175)+0)&lt;YEAR(E175),0,IF((YEAR(D175)+0)&gt;=YEAR(E175)+N175,0,IF((YEAR(D175)+0)=YEAR(E175),(12-MONTH(E175)+1)/12,1))))))))*TaxRate,0))-IF(0=0,O175,0))</f>
        <v/>
      </c>
      <c r="T175" s="29">
        <f>IF(A175="","",((K175)*(IF(M175="",L175,IFERROR(IF(INDEX(Variablen!$I:$AT, MATCH(M175, Variablen!$A:$A, 0), MATCH((YEAR(D175)+1), Variablen!$I$3:$AT$3, 0))="",L175,INDEX(Variablen!$I:$AT, MATCH(M175, Variablen!$A:$A, 0), MATCH((YEAR(D175)+1), Variablen!$I$3:$AT$3, 0))),L175)))*(IF((YEAR(D175)+1)&lt;YEAR(E175),0,IF((YEAR(D175)+1)&gt;YEAR(E175),1,(12-MONTH(E175)+1)/12))) + (Q175)*(IF((YEAR(D175)+1)&lt;YEAR(E175),0,IF((YEAR(D175)+1)&gt;YEAR(E175),1,(12-MONTH(E175)+1)/12))))-((P175)*(IF((YEAR(D175)+1)&lt;YEAR(E175),0,IF((YEAR(D175)+1)&gt;YEAR(E175),1,(12-MONTH(E175)+1)/12))) + (R175)*(IF((YEAR(D175)+1)&lt;YEAR(E175),0,IF((YEAR(D175)+1)&gt;YEAR(E175),1,(12-MONTH(E175)+1)/12))))-(IF((((K175)*(IF(M175="",L175,IFERROR(IF(INDEX(Variablen!$I:$AT, MATCH(M175, Variablen!$A:$A, 0), MATCH((YEAR(D175)+1), Variablen!$I$3:$AT$3, 0))="",L175,INDEX(Variablen!$I:$AT, MATCH(M175, Variablen!$A:$A, 0), MATCH((YEAR(D175)+1), Variablen!$I$3:$AT$3, 0))),L175)))*(IF((YEAR(D175)+1)&lt;YEAR(E175),0,IF((YEAR(D175)+1)&gt;YEAR(E175),1,(12-MONTH(E175)+1)/12))) + (Q175)*(IF((YEAR(D175)+1)&lt;YEAR(E175),0,IF((YEAR(D175)+1)&gt;YEAR(E175),1,(12-MONTH(E175)+1)/12))))-((P175)*(IF((YEAR(D175)+1)&lt;YEAR(E175),0,IF((YEAR(D175)+1)&gt;YEAR(E175),1,(12-MONTH(E175)+1)/12))) + (R175)*(IF((YEAR(D175)+1)&lt;YEAR(E175),0,IF((YEAR(D175)+1)&gt;YEAR(E175),1,(12-MONTH(E175)+1)/12))))-(IF(OR(N175="",N175&lt;=0),0,(O175/N175)*(IF(OR(N175="",N175&lt;=0),0,IF((YEAR(D175)+1)&lt;YEAR(E175),0,IF((YEAR(D175)+1)&gt;=YEAR(E175)+N175,0,IF((YEAR(D175)+1)=YEAR(E175),(12-MONTH(E175)+1)/12,1))))))))&gt;0,(((K175)*(IF(M175="",L175,IFERROR(IF(INDEX(Variablen!$I:$AT, MATCH(M175, Variablen!$A:$A, 0), MATCH((YEAR(D175)+1), Variablen!$I$3:$AT$3, 0))="",L175,INDEX(Variablen!$I:$AT, MATCH(M175, Variablen!$A:$A, 0), MATCH((YEAR(D175)+1), Variablen!$I$3:$AT$3, 0))),L175)))*(IF((YEAR(D175)+1)&lt;YEAR(E175),0,IF((YEAR(D175)+1)&gt;YEAR(E175),1,(12-MONTH(E175)+1)/12))) + (Q175)*(IF((YEAR(D175)+1)&lt;YEAR(E175),0,IF((YEAR(D175)+1)&gt;YEAR(E175),1,(12-MONTH(E175)+1)/12))))-((P175)*(IF((YEAR(D175)+1)&lt;YEAR(E175),0,IF((YEAR(D175)+1)&gt;YEAR(E175),1,(12-MONTH(E175)+1)/12))) + (R175)*(IF((YEAR(D175)+1)&lt;YEAR(E175),0,IF((YEAR(D175)+1)&gt;YEAR(E175),1,(12-MONTH(E175)+1)/12))))-(IF(OR(N175="",N175&lt;=0),0,(O175/N175)*(IF(OR(N175="",N175&lt;=0),0,IF((YEAR(D175)+1)&lt;YEAR(E175),0,IF((YEAR(D175)+1)&gt;=YEAR(E175)+N175,0,IF((YEAR(D175)+1)=YEAR(E175),(12-MONTH(E175)+1)/12,1))))))))*TaxRate,0))-IF(1=0,O175,0))</f>
        <v/>
      </c>
      <c r="U175" s="29">
        <f>IF(A175="","",((K175)*(IF(M175="",L175,IFERROR(IF(INDEX(Variablen!$I:$AT, MATCH(M175, Variablen!$A:$A, 0), MATCH((YEAR(D175)+2), Variablen!$I$3:$AT$3, 0))="",L175,INDEX(Variablen!$I:$AT, MATCH(M175, Variablen!$A:$A, 0), MATCH((YEAR(D175)+2), Variablen!$I$3:$AT$3, 0))),L175)))*(IF((YEAR(D175)+2)&lt;YEAR(E175),0,IF((YEAR(D175)+2)&gt;YEAR(E175),1,(12-MONTH(E175)+1)/12))) + (Q175)*(IF((YEAR(D175)+2)&lt;YEAR(E175),0,IF((YEAR(D175)+2)&gt;YEAR(E175),1,(12-MONTH(E175)+1)/12))))-((P175)*(IF((YEAR(D175)+2)&lt;YEAR(E175),0,IF((YEAR(D175)+2)&gt;YEAR(E175),1,(12-MONTH(E175)+1)/12))) + (R175)*(IF((YEAR(D175)+2)&lt;YEAR(E175),0,IF((YEAR(D175)+2)&gt;YEAR(E175),1,(12-MONTH(E175)+1)/12))))-(IF((((K175)*(IF(M175="",L175,IFERROR(IF(INDEX(Variablen!$I:$AT, MATCH(M175, Variablen!$A:$A, 0), MATCH((YEAR(D175)+2), Variablen!$I$3:$AT$3, 0))="",L175,INDEX(Variablen!$I:$AT, MATCH(M175, Variablen!$A:$A, 0), MATCH((YEAR(D175)+2), Variablen!$I$3:$AT$3, 0))),L175)))*(IF((YEAR(D175)+2)&lt;YEAR(E175),0,IF((YEAR(D175)+2)&gt;YEAR(E175),1,(12-MONTH(E175)+1)/12))) + (Q175)*(IF((YEAR(D175)+2)&lt;YEAR(E175),0,IF((YEAR(D175)+2)&gt;YEAR(E175),1,(12-MONTH(E175)+1)/12))))-((P175)*(IF((YEAR(D175)+2)&lt;YEAR(E175),0,IF((YEAR(D175)+2)&gt;YEAR(E175),1,(12-MONTH(E175)+1)/12))) + (R175)*(IF((YEAR(D175)+2)&lt;YEAR(E175),0,IF((YEAR(D175)+2)&gt;YEAR(E175),1,(12-MONTH(E175)+1)/12))))-(IF(OR(N175="",N175&lt;=0),0,(O175/N175)*(IF(OR(N175="",N175&lt;=0),0,IF((YEAR(D175)+2)&lt;YEAR(E175),0,IF((YEAR(D175)+2)&gt;=YEAR(E175)+N175,0,IF((YEAR(D175)+2)=YEAR(E175),(12-MONTH(E175)+1)/12,1))))))))&gt;0,(((K175)*(IF(M175="",L175,IFERROR(IF(INDEX(Variablen!$I:$AT, MATCH(M175, Variablen!$A:$A, 0), MATCH((YEAR(D175)+2), Variablen!$I$3:$AT$3, 0))="",L175,INDEX(Variablen!$I:$AT, MATCH(M175, Variablen!$A:$A, 0), MATCH((YEAR(D175)+2), Variablen!$I$3:$AT$3, 0))),L175)))*(IF((YEAR(D175)+2)&lt;YEAR(E175),0,IF((YEAR(D175)+2)&gt;YEAR(E175),1,(12-MONTH(E175)+1)/12))) + (Q175)*(IF((YEAR(D175)+2)&lt;YEAR(E175),0,IF((YEAR(D175)+2)&gt;YEAR(E175),1,(12-MONTH(E175)+1)/12))))-((P175)*(IF((YEAR(D175)+2)&lt;YEAR(E175),0,IF((YEAR(D175)+2)&gt;YEAR(E175),1,(12-MONTH(E175)+1)/12))) + (R175)*(IF((YEAR(D175)+2)&lt;YEAR(E175),0,IF((YEAR(D175)+2)&gt;YEAR(E175),1,(12-MONTH(E175)+1)/12))))-(IF(OR(N175="",N175&lt;=0),0,(O175/N175)*(IF(OR(N175="",N175&lt;=0),0,IF((YEAR(D175)+2)&lt;YEAR(E175),0,IF((YEAR(D175)+2)&gt;=YEAR(E175)+N175,0,IF((YEAR(D175)+2)=YEAR(E175),(12-MONTH(E175)+1)/12,1))))))))*TaxRate,0))-IF(2=0,O175,0))</f>
        <v/>
      </c>
      <c r="V175" s="29">
        <f>IF(A175="","",((K175)*(IF(M175="",L175,IFERROR(IF(INDEX(Variablen!$I:$AT, MATCH(M175, Variablen!$A:$A, 0), MATCH((YEAR(D175)+3), Variablen!$I$3:$AT$3, 0))="",L175,INDEX(Variablen!$I:$AT, MATCH(M175, Variablen!$A:$A, 0), MATCH((YEAR(D175)+3), Variablen!$I$3:$AT$3, 0))),L175)))*(IF((YEAR(D175)+3)&lt;YEAR(E175),0,IF((YEAR(D175)+3)&gt;YEAR(E175),1,(12-MONTH(E175)+1)/12))) + (Q175)*(IF((YEAR(D175)+3)&lt;YEAR(E175),0,IF((YEAR(D175)+3)&gt;YEAR(E175),1,(12-MONTH(E175)+1)/12))))-((P175)*(IF((YEAR(D175)+3)&lt;YEAR(E175),0,IF((YEAR(D175)+3)&gt;YEAR(E175),1,(12-MONTH(E175)+1)/12))) + (R175)*(IF((YEAR(D175)+3)&lt;YEAR(E175),0,IF((YEAR(D175)+3)&gt;YEAR(E175),1,(12-MONTH(E175)+1)/12))))-(IF((((K175)*(IF(M175="",L175,IFERROR(IF(INDEX(Variablen!$I:$AT, MATCH(M175, Variablen!$A:$A, 0), MATCH((YEAR(D175)+3), Variablen!$I$3:$AT$3, 0))="",L175,INDEX(Variablen!$I:$AT, MATCH(M175, Variablen!$A:$A, 0), MATCH((YEAR(D175)+3), Variablen!$I$3:$AT$3, 0))),L175)))*(IF((YEAR(D175)+3)&lt;YEAR(E175),0,IF((YEAR(D175)+3)&gt;YEAR(E175),1,(12-MONTH(E175)+1)/12))) + (Q175)*(IF((YEAR(D175)+3)&lt;YEAR(E175),0,IF((YEAR(D175)+3)&gt;YEAR(E175),1,(12-MONTH(E175)+1)/12))))-((P175)*(IF((YEAR(D175)+3)&lt;YEAR(E175),0,IF((YEAR(D175)+3)&gt;YEAR(E175),1,(12-MONTH(E175)+1)/12))) + (R175)*(IF((YEAR(D175)+3)&lt;YEAR(E175),0,IF((YEAR(D175)+3)&gt;YEAR(E175),1,(12-MONTH(E175)+1)/12))))-(IF(OR(N175="",N175&lt;=0),0,(O175/N175)*(IF(OR(N175="",N175&lt;=0),0,IF((YEAR(D175)+3)&lt;YEAR(E175),0,IF((YEAR(D175)+3)&gt;=YEAR(E175)+N175,0,IF((YEAR(D175)+3)=YEAR(E175),(12-MONTH(E175)+1)/12,1))))))))&gt;0,(((K175)*(IF(M175="",L175,IFERROR(IF(INDEX(Variablen!$I:$AT, MATCH(M175, Variablen!$A:$A, 0), MATCH((YEAR(D175)+3), Variablen!$I$3:$AT$3, 0))="",L175,INDEX(Variablen!$I:$AT, MATCH(M175, Variablen!$A:$A, 0), MATCH((YEAR(D175)+3), Variablen!$I$3:$AT$3, 0))),L175)))*(IF((YEAR(D175)+3)&lt;YEAR(E175),0,IF((YEAR(D175)+3)&gt;YEAR(E175),1,(12-MONTH(E175)+1)/12))) + (Q175)*(IF((YEAR(D175)+3)&lt;YEAR(E175),0,IF((YEAR(D175)+3)&gt;YEAR(E175),1,(12-MONTH(E175)+1)/12))))-((P175)*(IF((YEAR(D175)+3)&lt;YEAR(E175),0,IF((YEAR(D175)+3)&gt;YEAR(E175),1,(12-MONTH(E175)+1)/12))) + (R175)*(IF((YEAR(D175)+3)&lt;YEAR(E175),0,IF((YEAR(D175)+3)&gt;YEAR(E175),1,(12-MONTH(E175)+1)/12))))-(IF(OR(N175="",N175&lt;=0),0,(O175/N175)*(IF(OR(N175="",N175&lt;=0),0,IF((YEAR(D175)+3)&lt;YEAR(E175),0,IF((YEAR(D175)+3)&gt;=YEAR(E175)+N175,0,IF((YEAR(D175)+3)=YEAR(E175),(12-MONTH(E175)+1)/12,1))))))))*TaxRate,0))-IF(3=0,O175,0))</f>
        <v/>
      </c>
      <c r="W175" s="29">
        <f>IF(A175="","",((K175)*(IF(M175="",L175,IFERROR(IF(INDEX(Variablen!$I:$AT, MATCH(M175, Variablen!$A:$A, 0), MATCH((YEAR(D175)+4), Variablen!$I$3:$AT$3, 0))="",L175,INDEX(Variablen!$I:$AT, MATCH(M175, Variablen!$A:$A, 0), MATCH((YEAR(D175)+4), Variablen!$I$3:$AT$3, 0))),L175)))*(IF((YEAR(D175)+4)&lt;YEAR(E175),0,IF((YEAR(D175)+4)&gt;YEAR(E175),1,(12-MONTH(E175)+1)/12))) + (Q175)*(IF((YEAR(D175)+4)&lt;YEAR(E175),0,IF((YEAR(D175)+4)&gt;YEAR(E175),1,(12-MONTH(E175)+1)/12))))-((P175)*(IF((YEAR(D175)+4)&lt;YEAR(E175),0,IF((YEAR(D175)+4)&gt;YEAR(E175),1,(12-MONTH(E175)+1)/12))) + (R175)*(IF((YEAR(D175)+4)&lt;YEAR(E175),0,IF((YEAR(D175)+4)&gt;YEAR(E175),1,(12-MONTH(E175)+1)/12))))-(IF((((K175)*(IF(M175="",L175,IFERROR(IF(INDEX(Variablen!$I:$AT, MATCH(M175, Variablen!$A:$A, 0), MATCH((YEAR(D175)+4), Variablen!$I$3:$AT$3, 0))="",L175,INDEX(Variablen!$I:$AT, MATCH(M175, Variablen!$A:$A, 0), MATCH((YEAR(D175)+4), Variablen!$I$3:$AT$3, 0))),L175)))*(IF((YEAR(D175)+4)&lt;YEAR(E175),0,IF((YEAR(D175)+4)&gt;YEAR(E175),1,(12-MONTH(E175)+1)/12))) + (Q175)*(IF((YEAR(D175)+4)&lt;YEAR(E175),0,IF((YEAR(D175)+4)&gt;YEAR(E175),1,(12-MONTH(E175)+1)/12))))-((P175)*(IF((YEAR(D175)+4)&lt;YEAR(E175),0,IF((YEAR(D175)+4)&gt;YEAR(E175),1,(12-MONTH(E175)+1)/12))) + (R175)*(IF((YEAR(D175)+4)&lt;YEAR(E175),0,IF((YEAR(D175)+4)&gt;YEAR(E175),1,(12-MONTH(E175)+1)/12))))-(IF(OR(N175="",N175&lt;=0),0,(O175/N175)*(IF(OR(N175="",N175&lt;=0),0,IF((YEAR(D175)+4)&lt;YEAR(E175),0,IF((YEAR(D175)+4)&gt;=YEAR(E175)+N175,0,IF((YEAR(D175)+4)=YEAR(E175),(12-MONTH(E175)+1)/12,1))))))))&gt;0,(((K175)*(IF(M175="",L175,IFERROR(IF(INDEX(Variablen!$I:$AT, MATCH(M175, Variablen!$A:$A, 0), MATCH((YEAR(D175)+4), Variablen!$I$3:$AT$3, 0))="",L175,INDEX(Variablen!$I:$AT, MATCH(M175, Variablen!$A:$A, 0), MATCH((YEAR(D175)+4), Variablen!$I$3:$AT$3, 0))),L175)))*(IF((YEAR(D175)+4)&lt;YEAR(E175),0,IF((YEAR(D175)+4)&gt;YEAR(E175),1,(12-MONTH(E175)+1)/12))) + (Q175)*(IF((YEAR(D175)+4)&lt;YEAR(E175),0,IF((YEAR(D175)+4)&gt;YEAR(E175),1,(12-MONTH(E175)+1)/12))))-((P175)*(IF((YEAR(D175)+4)&lt;YEAR(E175),0,IF((YEAR(D175)+4)&gt;YEAR(E175),1,(12-MONTH(E175)+1)/12))) + (R175)*(IF((YEAR(D175)+4)&lt;YEAR(E175),0,IF((YEAR(D175)+4)&gt;YEAR(E175),1,(12-MONTH(E175)+1)/12))))-(IF(OR(N175="",N175&lt;=0),0,(O175/N175)*(IF(OR(N175="",N175&lt;=0),0,IF((YEAR(D175)+4)&lt;YEAR(E175),0,IF((YEAR(D175)+4)&gt;=YEAR(E175)+N175,0,IF((YEAR(D175)+4)=YEAR(E175),(12-MONTH(E175)+1)/12,1))))))))*TaxRate,0))-IF(4=0,O175,0))</f>
        <v/>
      </c>
      <c r="X175" s="29">
        <f>IF(A175="","",((K175)*(IF(M175="",L175,IFERROR(IF(INDEX(Variablen!$I:$AT, MATCH(M175, Variablen!$A:$A, 0), MATCH((YEAR(D175)+5), Variablen!$I$3:$AT$3, 0))="",L175,INDEX(Variablen!$I:$AT, MATCH(M175, Variablen!$A:$A, 0), MATCH((YEAR(D175)+5), Variablen!$I$3:$AT$3, 0))),L175)))*(IF((YEAR(D175)+5)&lt;YEAR(E175),0,IF((YEAR(D175)+5)&gt;YEAR(E175),1,(12-MONTH(E175)+1)/12))) + (Q175)*(IF((YEAR(D175)+5)&lt;YEAR(E175),0,IF((YEAR(D175)+5)&gt;YEAR(E175),1,(12-MONTH(E175)+1)/12))))-((P175)*(IF((YEAR(D175)+5)&lt;YEAR(E175),0,IF((YEAR(D175)+5)&gt;YEAR(E175),1,(12-MONTH(E175)+1)/12))) + (R175)*(IF((YEAR(D175)+5)&lt;YEAR(E175),0,IF((YEAR(D175)+5)&gt;YEAR(E175),1,(12-MONTH(E175)+1)/12))))-(IF((((K175)*(IF(M175="",L175,IFERROR(IF(INDEX(Variablen!$I:$AT, MATCH(M175, Variablen!$A:$A, 0), MATCH((YEAR(D175)+5), Variablen!$I$3:$AT$3, 0))="",L175,INDEX(Variablen!$I:$AT, MATCH(M175, Variablen!$A:$A, 0), MATCH((YEAR(D175)+5), Variablen!$I$3:$AT$3, 0))),L175)))*(IF((YEAR(D175)+5)&lt;YEAR(E175),0,IF((YEAR(D175)+5)&gt;YEAR(E175),1,(12-MONTH(E175)+1)/12))) + (Q175)*(IF((YEAR(D175)+5)&lt;YEAR(E175),0,IF((YEAR(D175)+5)&gt;YEAR(E175),1,(12-MONTH(E175)+1)/12))))-((P175)*(IF((YEAR(D175)+5)&lt;YEAR(E175),0,IF((YEAR(D175)+5)&gt;YEAR(E175),1,(12-MONTH(E175)+1)/12))) + (R175)*(IF((YEAR(D175)+5)&lt;YEAR(E175),0,IF((YEAR(D175)+5)&gt;YEAR(E175),1,(12-MONTH(E175)+1)/12))))-(IF(OR(N175="",N175&lt;=0),0,(O175/N175)*(IF(OR(N175="",N175&lt;=0),0,IF((YEAR(D175)+5)&lt;YEAR(E175),0,IF((YEAR(D175)+5)&gt;=YEAR(E175)+N175,0,IF((YEAR(D175)+5)=YEAR(E175),(12-MONTH(E175)+1)/12,1))))))))&gt;0,(((K175)*(IF(M175="",L175,IFERROR(IF(INDEX(Variablen!$I:$AT, MATCH(M175, Variablen!$A:$A, 0), MATCH((YEAR(D175)+5), Variablen!$I$3:$AT$3, 0))="",L175,INDEX(Variablen!$I:$AT, MATCH(M175, Variablen!$A:$A, 0), MATCH((YEAR(D175)+5), Variablen!$I$3:$AT$3, 0))),L175)))*(IF((YEAR(D175)+5)&lt;YEAR(E175),0,IF((YEAR(D175)+5)&gt;YEAR(E175),1,(12-MONTH(E175)+1)/12))) + (Q175)*(IF((YEAR(D175)+5)&lt;YEAR(E175),0,IF((YEAR(D175)+5)&gt;YEAR(E175),1,(12-MONTH(E175)+1)/12))))-((P175)*(IF((YEAR(D175)+5)&lt;YEAR(E175),0,IF((YEAR(D175)+5)&gt;YEAR(E175),1,(12-MONTH(E175)+1)/12))) + (R175)*(IF((YEAR(D175)+5)&lt;YEAR(E175),0,IF((YEAR(D175)+5)&gt;YEAR(E175),1,(12-MONTH(E175)+1)/12))))-(IF(OR(N175="",N175&lt;=0),0,(O175/N175)*(IF(OR(N175="",N175&lt;=0),0,IF((YEAR(D175)+5)&lt;YEAR(E175),0,IF((YEAR(D175)+5)&gt;=YEAR(E175)+N175,0,IF((YEAR(D175)+5)=YEAR(E175),(12-MONTH(E175)+1)/12,1))))))))*TaxRate,0))-IF(5=0,O175,0))</f>
        <v/>
      </c>
      <c r="Y175" s="29">
        <f>IF(A175="","",((K175)*(IF(M175="",L175,IFERROR(IF(INDEX(Variablen!$I:$AT, MATCH(M175, Variablen!$A:$A, 0), MATCH((YEAR(D175)+6), Variablen!$I$3:$AT$3, 0))="",L175,INDEX(Variablen!$I:$AT, MATCH(M175, Variablen!$A:$A, 0), MATCH((YEAR(D175)+6), Variablen!$I$3:$AT$3, 0))),L175)))*(IF((YEAR(D175)+6)&lt;YEAR(E175),0,IF((YEAR(D175)+6)&gt;YEAR(E175),1,(12-MONTH(E175)+1)/12))) + (Q175)*(IF((YEAR(D175)+6)&lt;YEAR(E175),0,IF((YEAR(D175)+6)&gt;YEAR(E175),1,(12-MONTH(E175)+1)/12))))-((P175)*(IF((YEAR(D175)+6)&lt;YEAR(E175),0,IF((YEAR(D175)+6)&gt;YEAR(E175),1,(12-MONTH(E175)+1)/12))) + (R175)*(IF((YEAR(D175)+6)&lt;YEAR(E175),0,IF((YEAR(D175)+6)&gt;YEAR(E175),1,(12-MONTH(E175)+1)/12))))-(IF((((K175)*(IF(M175="",L175,IFERROR(IF(INDEX(Variablen!$I:$AT, MATCH(M175, Variablen!$A:$A, 0), MATCH((YEAR(D175)+6), Variablen!$I$3:$AT$3, 0))="",L175,INDEX(Variablen!$I:$AT, MATCH(M175, Variablen!$A:$A, 0), MATCH((YEAR(D175)+6), Variablen!$I$3:$AT$3, 0))),L175)))*(IF((YEAR(D175)+6)&lt;YEAR(E175),0,IF((YEAR(D175)+6)&gt;YEAR(E175),1,(12-MONTH(E175)+1)/12))) + (Q175)*(IF((YEAR(D175)+6)&lt;YEAR(E175),0,IF((YEAR(D175)+6)&gt;YEAR(E175),1,(12-MONTH(E175)+1)/12))))-((P175)*(IF((YEAR(D175)+6)&lt;YEAR(E175),0,IF((YEAR(D175)+6)&gt;YEAR(E175),1,(12-MONTH(E175)+1)/12))) + (R175)*(IF((YEAR(D175)+6)&lt;YEAR(E175),0,IF((YEAR(D175)+6)&gt;YEAR(E175),1,(12-MONTH(E175)+1)/12))))-(IF(OR(N175="",N175&lt;=0),0,(O175/N175)*(IF(OR(N175="",N175&lt;=0),0,IF((YEAR(D175)+6)&lt;YEAR(E175),0,IF((YEAR(D175)+6)&gt;=YEAR(E175)+N175,0,IF((YEAR(D175)+6)=YEAR(E175),(12-MONTH(E175)+1)/12,1))))))))&gt;0,(((K175)*(IF(M175="",L175,IFERROR(IF(INDEX(Variablen!$I:$AT, MATCH(M175, Variablen!$A:$A, 0), MATCH((YEAR(D175)+6), Variablen!$I$3:$AT$3, 0))="",L175,INDEX(Variablen!$I:$AT, MATCH(M175, Variablen!$A:$A, 0), MATCH((YEAR(D175)+6), Variablen!$I$3:$AT$3, 0))),L175)))*(IF((YEAR(D175)+6)&lt;YEAR(E175),0,IF((YEAR(D175)+6)&gt;YEAR(E175),1,(12-MONTH(E175)+1)/12))) + (Q175)*(IF((YEAR(D175)+6)&lt;YEAR(E175),0,IF((YEAR(D175)+6)&gt;YEAR(E175),1,(12-MONTH(E175)+1)/12))))-((P175)*(IF((YEAR(D175)+6)&lt;YEAR(E175),0,IF((YEAR(D175)+6)&gt;YEAR(E175),1,(12-MONTH(E175)+1)/12))) + (R175)*(IF((YEAR(D175)+6)&lt;YEAR(E175),0,IF((YEAR(D175)+6)&gt;YEAR(E175),1,(12-MONTH(E175)+1)/12))))-(IF(OR(N175="",N175&lt;=0),0,(O175/N175)*(IF(OR(N175="",N175&lt;=0),0,IF((YEAR(D175)+6)&lt;YEAR(E175),0,IF((YEAR(D175)+6)&gt;=YEAR(E175)+N175,0,IF((YEAR(D175)+6)=YEAR(E175),(12-MONTH(E175)+1)/12,1))))))))*TaxRate,0))-IF(6=0,O175,0))</f>
        <v/>
      </c>
      <c r="Z175" s="29">
        <f>IF(A175="","",((K175)*(IF(M175="",L175,IFERROR(IF(INDEX(Variablen!$I:$AT, MATCH(M175, Variablen!$A:$A, 0), MATCH((YEAR(D175)+7), Variablen!$I$3:$AT$3, 0))="",L175,INDEX(Variablen!$I:$AT, MATCH(M175, Variablen!$A:$A, 0), MATCH((YEAR(D175)+7), Variablen!$I$3:$AT$3, 0))),L175)))*(IF((YEAR(D175)+7)&lt;YEAR(E175),0,IF((YEAR(D175)+7)&gt;YEAR(E175),1,(12-MONTH(E175)+1)/12))) + (Q175)*(IF((YEAR(D175)+7)&lt;YEAR(E175),0,IF((YEAR(D175)+7)&gt;YEAR(E175),1,(12-MONTH(E175)+1)/12))))-((P175)*(IF((YEAR(D175)+7)&lt;YEAR(E175),0,IF((YEAR(D175)+7)&gt;YEAR(E175),1,(12-MONTH(E175)+1)/12))) + (R175)*(IF((YEAR(D175)+7)&lt;YEAR(E175),0,IF((YEAR(D175)+7)&gt;YEAR(E175),1,(12-MONTH(E175)+1)/12))))-(IF((((K175)*(IF(M175="",L175,IFERROR(IF(INDEX(Variablen!$I:$AT, MATCH(M175, Variablen!$A:$A, 0), MATCH((YEAR(D175)+7), Variablen!$I$3:$AT$3, 0))="",L175,INDEX(Variablen!$I:$AT, MATCH(M175, Variablen!$A:$A, 0), MATCH((YEAR(D175)+7), Variablen!$I$3:$AT$3, 0))),L175)))*(IF((YEAR(D175)+7)&lt;YEAR(E175),0,IF((YEAR(D175)+7)&gt;YEAR(E175),1,(12-MONTH(E175)+1)/12))) + (Q175)*(IF((YEAR(D175)+7)&lt;YEAR(E175),0,IF((YEAR(D175)+7)&gt;YEAR(E175),1,(12-MONTH(E175)+1)/12))))-((P175)*(IF((YEAR(D175)+7)&lt;YEAR(E175),0,IF((YEAR(D175)+7)&gt;YEAR(E175),1,(12-MONTH(E175)+1)/12))) + (R175)*(IF((YEAR(D175)+7)&lt;YEAR(E175),0,IF((YEAR(D175)+7)&gt;YEAR(E175),1,(12-MONTH(E175)+1)/12))))-(IF(OR(N175="",N175&lt;=0),0,(O175/N175)*(IF(OR(N175="",N175&lt;=0),0,IF((YEAR(D175)+7)&lt;YEAR(E175),0,IF((YEAR(D175)+7)&gt;=YEAR(E175)+N175,0,IF((YEAR(D175)+7)=YEAR(E175),(12-MONTH(E175)+1)/12,1))))))))&gt;0,(((K175)*(IF(M175="",L175,IFERROR(IF(INDEX(Variablen!$I:$AT, MATCH(M175, Variablen!$A:$A, 0), MATCH((YEAR(D175)+7), Variablen!$I$3:$AT$3, 0))="",L175,INDEX(Variablen!$I:$AT, MATCH(M175, Variablen!$A:$A, 0), MATCH((YEAR(D175)+7), Variablen!$I$3:$AT$3, 0))),L175)))*(IF((YEAR(D175)+7)&lt;YEAR(E175),0,IF((YEAR(D175)+7)&gt;YEAR(E175),1,(12-MONTH(E175)+1)/12))) + (Q175)*(IF((YEAR(D175)+7)&lt;YEAR(E175),0,IF((YEAR(D175)+7)&gt;YEAR(E175),1,(12-MONTH(E175)+1)/12))))-((P175)*(IF((YEAR(D175)+7)&lt;YEAR(E175),0,IF((YEAR(D175)+7)&gt;YEAR(E175),1,(12-MONTH(E175)+1)/12))) + (R175)*(IF((YEAR(D175)+7)&lt;YEAR(E175),0,IF((YEAR(D175)+7)&gt;YEAR(E175),1,(12-MONTH(E175)+1)/12))))-(IF(OR(N175="",N175&lt;=0),0,(O175/N175)*(IF(OR(N175="",N175&lt;=0),0,IF((YEAR(D175)+7)&lt;YEAR(E175),0,IF((YEAR(D175)+7)&gt;=YEAR(E175)+N175,0,IF((YEAR(D175)+7)=YEAR(E175),(12-MONTH(E175)+1)/12,1))))))))*TaxRate,0))-IF(7=0,O175,0))</f>
        <v/>
      </c>
      <c r="AA175" s="29">
        <f>IF(A175="","",((K175)*(IF(M175="",L175,IFERROR(IF(INDEX(Variablen!$I:$AT, MATCH(M175, Variablen!$A:$A, 0), MATCH((YEAR(D175)+8), Variablen!$I$3:$AT$3, 0))="",L175,INDEX(Variablen!$I:$AT, MATCH(M175, Variablen!$A:$A, 0), MATCH((YEAR(D175)+8), Variablen!$I$3:$AT$3, 0))),L175)))*(IF((YEAR(D175)+8)&lt;YEAR(E175),0,IF((YEAR(D175)+8)&gt;YEAR(E175),1,(12-MONTH(E175)+1)/12))) + (Q175)*(IF((YEAR(D175)+8)&lt;YEAR(E175),0,IF((YEAR(D175)+8)&gt;YEAR(E175),1,(12-MONTH(E175)+1)/12))))-((P175)*(IF((YEAR(D175)+8)&lt;YEAR(E175),0,IF((YEAR(D175)+8)&gt;YEAR(E175),1,(12-MONTH(E175)+1)/12))) + (R175)*(IF((YEAR(D175)+8)&lt;YEAR(E175),0,IF((YEAR(D175)+8)&gt;YEAR(E175),1,(12-MONTH(E175)+1)/12))))-(IF((((K175)*(IF(M175="",L175,IFERROR(IF(INDEX(Variablen!$I:$AT, MATCH(M175, Variablen!$A:$A, 0), MATCH((YEAR(D175)+8), Variablen!$I$3:$AT$3, 0))="",L175,INDEX(Variablen!$I:$AT, MATCH(M175, Variablen!$A:$A, 0), MATCH((YEAR(D175)+8), Variablen!$I$3:$AT$3, 0))),L175)))*(IF((YEAR(D175)+8)&lt;YEAR(E175),0,IF((YEAR(D175)+8)&gt;YEAR(E175),1,(12-MONTH(E175)+1)/12))) + (Q175)*(IF((YEAR(D175)+8)&lt;YEAR(E175),0,IF((YEAR(D175)+8)&gt;YEAR(E175),1,(12-MONTH(E175)+1)/12))))-((P175)*(IF((YEAR(D175)+8)&lt;YEAR(E175),0,IF((YEAR(D175)+8)&gt;YEAR(E175),1,(12-MONTH(E175)+1)/12))) + (R175)*(IF((YEAR(D175)+8)&lt;YEAR(E175),0,IF((YEAR(D175)+8)&gt;YEAR(E175),1,(12-MONTH(E175)+1)/12))))-(IF(OR(N175="",N175&lt;=0),0,(O175/N175)*(IF(OR(N175="",N175&lt;=0),0,IF((YEAR(D175)+8)&lt;YEAR(E175),0,IF((YEAR(D175)+8)&gt;=YEAR(E175)+N175,0,IF((YEAR(D175)+8)=YEAR(E175),(12-MONTH(E175)+1)/12,1))))))))&gt;0,(((K175)*(IF(M175="",L175,IFERROR(IF(INDEX(Variablen!$I:$AT, MATCH(M175, Variablen!$A:$A, 0), MATCH((YEAR(D175)+8), Variablen!$I$3:$AT$3, 0))="",L175,INDEX(Variablen!$I:$AT, MATCH(M175, Variablen!$A:$A, 0), MATCH((YEAR(D175)+8), Variablen!$I$3:$AT$3, 0))),L175)))*(IF((YEAR(D175)+8)&lt;YEAR(E175),0,IF((YEAR(D175)+8)&gt;YEAR(E175),1,(12-MONTH(E175)+1)/12))) + (Q175)*(IF((YEAR(D175)+8)&lt;YEAR(E175),0,IF((YEAR(D175)+8)&gt;YEAR(E175),1,(12-MONTH(E175)+1)/12))))-((P175)*(IF((YEAR(D175)+8)&lt;YEAR(E175),0,IF((YEAR(D175)+8)&gt;YEAR(E175),1,(12-MONTH(E175)+1)/12))) + (R175)*(IF((YEAR(D175)+8)&lt;YEAR(E175),0,IF((YEAR(D175)+8)&gt;YEAR(E175),1,(12-MONTH(E175)+1)/12))))-(IF(OR(N175="",N175&lt;=0),0,(O175/N175)*(IF(OR(N175="",N175&lt;=0),0,IF((YEAR(D175)+8)&lt;YEAR(E175),0,IF((YEAR(D175)+8)&gt;=YEAR(E175)+N175,0,IF((YEAR(D175)+8)=YEAR(E175),(12-MONTH(E175)+1)/12,1))))))))*TaxRate,0))-IF(8=0,O175,0))</f>
        <v/>
      </c>
      <c r="AB175" s="29">
        <f>IF(A175="","",((K175)*(IF(M175="",L175,IFERROR(IF(INDEX(Variablen!$I:$AT, MATCH(M175, Variablen!$A:$A, 0), MATCH((YEAR(D175)+9), Variablen!$I$3:$AT$3, 0))="",L175,INDEX(Variablen!$I:$AT, MATCH(M175, Variablen!$A:$A, 0), MATCH((YEAR(D175)+9), Variablen!$I$3:$AT$3, 0))),L175)))*(IF((YEAR(D175)+9)&lt;YEAR(E175),0,IF((YEAR(D175)+9)&gt;YEAR(E175),1,(12-MONTH(E175)+1)/12))) + (Q175)*(IF((YEAR(D175)+9)&lt;YEAR(E175),0,IF((YEAR(D175)+9)&gt;YEAR(E175),1,(12-MONTH(E175)+1)/12))))-((P175)*(IF((YEAR(D175)+9)&lt;YEAR(E175),0,IF((YEAR(D175)+9)&gt;YEAR(E175),1,(12-MONTH(E175)+1)/12))) + (R175)*(IF((YEAR(D175)+9)&lt;YEAR(E175),0,IF((YEAR(D175)+9)&gt;YEAR(E175),1,(12-MONTH(E175)+1)/12))))-(IF((((K175)*(IF(M175="",L175,IFERROR(IF(INDEX(Variablen!$I:$AT, MATCH(M175, Variablen!$A:$A, 0), MATCH((YEAR(D175)+9), Variablen!$I$3:$AT$3, 0))="",L175,INDEX(Variablen!$I:$AT, MATCH(M175, Variablen!$A:$A, 0), MATCH((YEAR(D175)+9), Variablen!$I$3:$AT$3, 0))),L175)))*(IF((YEAR(D175)+9)&lt;YEAR(E175),0,IF((YEAR(D175)+9)&gt;YEAR(E175),1,(12-MONTH(E175)+1)/12))) + (Q175)*(IF((YEAR(D175)+9)&lt;YEAR(E175),0,IF((YEAR(D175)+9)&gt;YEAR(E175),1,(12-MONTH(E175)+1)/12))))-((P175)*(IF((YEAR(D175)+9)&lt;YEAR(E175),0,IF((YEAR(D175)+9)&gt;YEAR(E175),1,(12-MONTH(E175)+1)/12))) + (R175)*(IF((YEAR(D175)+9)&lt;YEAR(E175),0,IF((YEAR(D175)+9)&gt;YEAR(E175),1,(12-MONTH(E175)+1)/12))))-(IF(OR(N175="",N175&lt;=0),0,(O175/N175)*(IF(OR(N175="",N175&lt;=0),0,IF((YEAR(D175)+9)&lt;YEAR(E175),0,IF((YEAR(D175)+9)&gt;=YEAR(E175)+N175,0,IF((YEAR(D175)+9)=YEAR(E175),(12-MONTH(E175)+1)/12,1))))))))&gt;0,(((K175)*(IF(M175="",L175,IFERROR(IF(INDEX(Variablen!$I:$AT, MATCH(M175, Variablen!$A:$A, 0), MATCH((YEAR(D175)+9), Variablen!$I$3:$AT$3, 0))="",L175,INDEX(Variablen!$I:$AT, MATCH(M175, Variablen!$A:$A, 0), MATCH((YEAR(D175)+9), Variablen!$I$3:$AT$3, 0))),L175)))*(IF((YEAR(D175)+9)&lt;YEAR(E175),0,IF((YEAR(D175)+9)&gt;YEAR(E175),1,(12-MONTH(E175)+1)/12))) + (Q175)*(IF((YEAR(D175)+9)&lt;YEAR(E175),0,IF((YEAR(D175)+9)&gt;YEAR(E175),1,(12-MONTH(E175)+1)/12))))-((P175)*(IF((YEAR(D175)+9)&lt;YEAR(E175),0,IF((YEAR(D175)+9)&gt;YEAR(E175),1,(12-MONTH(E175)+1)/12))) + (R175)*(IF((YEAR(D175)+9)&lt;YEAR(E175),0,IF((YEAR(D175)+9)&gt;YEAR(E175),1,(12-MONTH(E175)+1)/12))))-(IF(OR(N175="",N175&lt;=0),0,(O175/N175)*(IF(OR(N175="",N175&lt;=0),0,IF((YEAR(D175)+9)&lt;YEAR(E175),0,IF((YEAR(D175)+9)&gt;=YEAR(E175)+N175,0,IF((YEAR(D175)+9)=YEAR(E175),(12-MONTH(E175)+1)/12,1))))))))*TaxRate,0))-IF(9=0,O175,0))</f>
        <v/>
      </c>
      <c r="AC175" s="29">
        <f>IF(A175="","",((K175)*(IF(M175="",L175,IFERROR(IF(INDEX(Variablen!$I:$AT, MATCH(M175, Variablen!$A:$A, 0), MATCH((YEAR(D175)+10), Variablen!$I$3:$AT$3, 0))="",L175,INDEX(Variablen!$I:$AT, MATCH(M175, Variablen!$A:$A, 0), MATCH((YEAR(D175)+10), Variablen!$I$3:$AT$3, 0))),L175)))*(IF((YEAR(D175)+10)&lt;YEAR(E175),0,IF((YEAR(D175)+10)&gt;YEAR(E175),1,(12-MONTH(E175)+1)/12))) + (Q175)*(IF((YEAR(D175)+10)&lt;YEAR(E175),0,IF((YEAR(D175)+10)&gt;YEAR(E175),1,(12-MONTH(E175)+1)/12))))-((P175)*(IF((YEAR(D175)+10)&lt;YEAR(E175),0,IF((YEAR(D175)+10)&gt;YEAR(E175),1,(12-MONTH(E175)+1)/12))) + (R175)*(IF((YEAR(D175)+10)&lt;YEAR(E175),0,IF((YEAR(D175)+10)&gt;YEAR(E175),1,(12-MONTH(E175)+1)/12))))-(IF((((K175)*(IF(M175="",L175,IFERROR(IF(INDEX(Variablen!$I:$AT, MATCH(M175, Variablen!$A:$A, 0), MATCH((YEAR(D175)+10), Variablen!$I$3:$AT$3, 0))="",L175,INDEX(Variablen!$I:$AT, MATCH(M175, Variablen!$A:$A, 0), MATCH((YEAR(D175)+10), Variablen!$I$3:$AT$3, 0))),L175)))*(IF((YEAR(D175)+10)&lt;YEAR(E175),0,IF((YEAR(D175)+10)&gt;YEAR(E175),1,(12-MONTH(E175)+1)/12))) + (Q175)*(IF((YEAR(D175)+10)&lt;YEAR(E175),0,IF((YEAR(D175)+10)&gt;YEAR(E175),1,(12-MONTH(E175)+1)/12))))-((P175)*(IF((YEAR(D175)+10)&lt;YEAR(E175),0,IF((YEAR(D175)+10)&gt;YEAR(E175),1,(12-MONTH(E175)+1)/12))) + (R175)*(IF((YEAR(D175)+10)&lt;YEAR(E175),0,IF((YEAR(D175)+10)&gt;YEAR(E175),1,(12-MONTH(E175)+1)/12))))-(IF(OR(N175="",N175&lt;=0),0,(O175/N175)*(IF(OR(N175="",N175&lt;=0),0,IF((YEAR(D175)+10)&lt;YEAR(E175),0,IF((YEAR(D175)+10)&gt;=YEAR(E175)+N175,0,IF((YEAR(D175)+10)=YEAR(E175),(12-MONTH(E175)+1)/12,1))))))))&gt;0,(((K175)*(IF(M175="",L175,IFERROR(IF(INDEX(Variablen!$I:$AT, MATCH(M175, Variablen!$A:$A, 0), MATCH((YEAR(D175)+10), Variablen!$I$3:$AT$3, 0))="",L175,INDEX(Variablen!$I:$AT, MATCH(M175, Variablen!$A:$A, 0), MATCH((YEAR(D175)+10), Variablen!$I$3:$AT$3, 0))),L175)))*(IF((YEAR(D175)+10)&lt;YEAR(E175),0,IF((YEAR(D175)+10)&gt;YEAR(E175),1,(12-MONTH(E175)+1)/12))) + (Q175)*(IF((YEAR(D175)+10)&lt;YEAR(E175),0,IF((YEAR(D175)+10)&gt;YEAR(E175),1,(12-MONTH(E175)+1)/12))))-((P175)*(IF((YEAR(D175)+10)&lt;YEAR(E175),0,IF((YEAR(D175)+10)&gt;YEAR(E175),1,(12-MONTH(E175)+1)/12))) + (R175)*(IF((YEAR(D175)+10)&lt;YEAR(E175),0,IF((YEAR(D175)+10)&gt;YEAR(E175),1,(12-MONTH(E175)+1)/12))))-(IF(OR(N175="",N175&lt;=0),0,(O175/N175)*(IF(OR(N175="",N175&lt;=0),0,IF((YEAR(D175)+10)&lt;YEAR(E175),0,IF((YEAR(D175)+10)&gt;=YEAR(E175)+N175,0,IF((YEAR(D175)+10)=YEAR(E175),(12-MONTH(E175)+1)/12,1))))))))*TaxRate,0))-IF(10=0,O175,0))</f>
        <v/>
      </c>
      <c r="AD175" s="29">
        <f>IF(A175="","",((K175)*(IF(M175="",L175,IFERROR(IF(INDEX(Variablen!$I:$AT, MATCH(M175, Variablen!$A:$A, 0), MATCH((YEAR(D175)+11), Variablen!$I$3:$AT$3, 0))="",L175,INDEX(Variablen!$I:$AT, MATCH(M175, Variablen!$A:$A, 0), MATCH((YEAR(D175)+11), Variablen!$I$3:$AT$3, 0))),L175)))*(IF((YEAR(D175)+11)&lt;YEAR(E175),0,IF((YEAR(D175)+11)&gt;YEAR(E175),1,(12-MONTH(E175)+1)/12))) + (Q175)*(IF((YEAR(D175)+11)&lt;YEAR(E175),0,IF((YEAR(D175)+11)&gt;YEAR(E175),1,(12-MONTH(E175)+1)/12))))-((P175)*(IF((YEAR(D175)+11)&lt;YEAR(E175),0,IF((YEAR(D175)+11)&gt;YEAR(E175),1,(12-MONTH(E175)+1)/12))) + (R175)*(IF((YEAR(D175)+11)&lt;YEAR(E175),0,IF((YEAR(D175)+11)&gt;YEAR(E175),1,(12-MONTH(E175)+1)/12))))-(IF((((K175)*(IF(M175="",L175,IFERROR(IF(INDEX(Variablen!$I:$AT, MATCH(M175, Variablen!$A:$A, 0), MATCH((YEAR(D175)+11), Variablen!$I$3:$AT$3, 0))="",L175,INDEX(Variablen!$I:$AT, MATCH(M175, Variablen!$A:$A, 0), MATCH((YEAR(D175)+11), Variablen!$I$3:$AT$3, 0))),L175)))*(IF((YEAR(D175)+11)&lt;YEAR(E175),0,IF((YEAR(D175)+11)&gt;YEAR(E175),1,(12-MONTH(E175)+1)/12))) + (Q175)*(IF((YEAR(D175)+11)&lt;YEAR(E175),0,IF((YEAR(D175)+11)&gt;YEAR(E175),1,(12-MONTH(E175)+1)/12))))-((P175)*(IF((YEAR(D175)+11)&lt;YEAR(E175),0,IF((YEAR(D175)+11)&gt;YEAR(E175),1,(12-MONTH(E175)+1)/12))) + (R175)*(IF((YEAR(D175)+11)&lt;YEAR(E175),0,IF((YEAR(D175)+11)&gt;YEAR(E175),1,(12-MONTH(E175)+1)/12))))-(IF(OR(N175="",N175&lt;=0),0,(O175/N175)*(IF(OR(N175="",N175&lt;=0),0,IF((YEAR(D175)+11)&lt;YEAR(E175),0,IF((YEAR(D175)+11)&gt;=YEAR(E175)+N175,0,IF((YEAR(D175)+11)=YEAR(E175),(12-MONTH(E175)+1)/12,1))))))))&gt;0,(((K175)*(IF(M175="",L175,IFERROR(IF(INDEX(Variablen!$I:$AT, MATCH(M175, Variablen!$A:$A, 0), MATCH((YEAR(D175)+11), Variablen!$I$3:$AT$3, 0))="",L175,INDEX(Variablen!$I:$AT, MATCH(M175, Variablen!$A:$A, 0), MATCH((YEAR(D175)+11), Variablen!$I$3:$AT$3, 0))),L175)))*(IF((YEAR(D175)+11)&lt;YEAR(E175),0,IF((YEAR(D175)+11)&gt;YEAR(E175),1,(12-MONTH(E175)+1)/12))) + (Q175)*(IF((YEAR(D175)+11)&lt;YEAR(E175),0,IF((YEAR(D175)+11)&gt;YEAR(E175),1,(12-MONTH(E175)+1)/12))))-((P175)*(IF((YEAR(D175)+11)&lt;YEAR(E175),0,IF((YEAR(D175)+11)&gt;YEAR(E175),1,(12-MONTH(E175)+1)/12))) + (R175)*(IF((YEAR(D175)+11)&lt;YEAR(E175),0,IF((YEAR(D175)+11)&gt;YEAR(E175),1,(12-MONTH(E175)+1)/12))))-(IF(OR(N175="",N175&lt;=0),0,(O175/N175)*(IF(OR(N175="",N175&lt;=0),0,IF((YEAR(D175)+11)&lt;YEAR(E175),0,IF((YEAR(D175)+11)&gt;=YEAR(E175)+N175,0,IF((YEAR(D175)+11)=YEAR(E175),(12-MONTH(E175)+1)/12,1))))))))*TaxRate,0))-IF(11=0,O175,0))</f>
        <v/>
      </c>
      <c r="AE175" s="29">
        <f>IF(A175="","",((K175)*(IF(M175="",L175,IFERROR(IF(INDEX(Variablen!$I:$AT, MATCH(M175, Variablen!$A:$A, 0), MATCH((YEAR(D175)+12), Variablen!$I$3:$AT$3, 0))="",L175,INDEX(Variablen!$I:$AT, MATCH(M175, Variablen!$A:$A, 0), MATCH((YEAR(D175)+12), Variablen!$I$3:$AT$3, 0))),L175)))*(IF((YEAR(D175)+12)&lt;YEAR(E175),0,IF((YEAR(D175)+12)&gt;YEAR(E175),1,(12-MONTH(E175)+1)/12))) + (Q175)*(IF((YEAR(D175)+12)&lt;YEAR(E175),0,IF((YEAR(D175)+12)&gt;YEAR(E175),1,(12-MONTH(E175)+1)/12))))-((P175)*(IF((YEAR(D175)+12)&lt;YEAR(E175),0,IF((YEAR(D175)+12)&gt;YEAR(E175),1,(12-MONTH(E175)+1)/12))) + (R175)*(IF((YEAR(D175)+12)&lt;YEAR(E175),0,IF((YEAR(D175)+12)&gt;YEAR(E175),1,(12-MONTH(E175)+1)/12))))-(IF((((K175)*(IF(M175="",L175,IFERROR(IF(INDEX(Variablen!$I:$AT, MATCH(M175, Variablen!$A:$A, 0), MATCH((YEAR(D175)+12), Variablen!$I$3:$AT$3, 0))="",L175,INDEX(Variablen!$I:$AT, MATCH(M175, Variablen!$A:$A, 0), MATCH((YEAR(D175)+12), Variablen!$I$3:$AT$3, 0))),L175)))*(IF((YEAR(D175)+12)&lt;YEAR(E175),0,IF((YEAR(D175)+12)&gt;YEAR(E175),1,(12-MONTH(E175)+1)/12))) + (Q175)*(IF((YEAR(D175)+12)&lt;YEAR(E175),0,IF((YEAR(D175)+12)&gt;YEAR(E175),1,(12-MONTH(E175)+1)/12))))-((P175)*(IF((YEAR(D175)+12)&lt;YEAR(E175),0,IF((YEAR(D175)+12)&gt;YEAR(E175),1,(12-MONTH(E175)+1)/12))) + (R175)*(IF((YEAR(D175)+12)&lt;YEAR(E175),0,IF((YEAR(D175)+12)&gt;YEAR(E175),1,(12-MONTH(E175)+1)/12))))-(IF(OR(N175="",N175&lt;=0),0,(O175/N175)*(IF(OR(N175="",N175&lt;=0),0,IF((YEAR(D175)+12)&lt;YEAR(E175),0,IF((YEAR(D175)+12)&gt;=YEAR(E175)+N175,0,IF((YEAR(D175)+12)=YEAR(E175),(12-MONTH(E175)+1)/12,1))))))))&gt;0,(((K175)*(IF(M175="",L175,IFERROR(IF(INDEX(Variablen!$I:$AT, MATCH(M175, Variablen!$A:$A, 0), MATCH((YEAR(D175)+12), Variablen!$I$3:$AT$3, 0))="",L175,INDEX(Variablen!$I:$AT, MATCH(M175, Variablen!$A:$A, 0), MATCH((YEAR(D175)+12), Variablen!$I$3:$AT$3, 0))),L175)))*(IF((YEAR(D175)+12)&lt;YEAR(E175),0,IF((YEAR(D175)+12)&gt;YEAR(E175),1,(12-MONTH(E175)+1)/12))) + (Q175)*(IF((YEAR(D175)+12)&lt;YEAR(E175),0,IF((YEAR(D175)+12)&gt;YEAR(E175),1,(12-MONTH(E175)+1)/12))))-((P175)*(IF((YEAR(D175)+12)&lt;YEAR(E175),0,IF((YEAR(D175)+12)&gt;YEAR(E175),1,(12-MONTH(E175)+1)/12))) + (R175)*(IF((YEAR(D175)+12)&lt;YEAR(E175),0,IF((YEAR(D175)+12)&gt;YEAR(E175),1,(12-MONTH(E175)+1)/12))))-(IF(OR(N175="",N175&lt;=0),0,(O175/N175)*(IF(OR(N175="",N175&lt;=0),0,IF((YEAR(D175)+12)&lt;YEAR(E175),0,IF((YEAR(D175)+12)&gt;=YEAR(E175)+N175,0,IF((YEAR(D175)+12)=YEAR(E175),(12-MONTH(E175)+1)/12,1))))))))*TaxRate,0))-IF(12=0,O175,0))</f>
        <v/>
      </c>
      <c r="AF175" s="29">
        <f>IF(A175="","",((K175)*(IF(M175="",L175,IFERROR(IF(INDEX(Variablen!$I:$AT, MATCH(M175, Variablen!$A:$A, 0), MATCH((YEAR(D175)+13), Variablen!$I$3:$AT$3, 0))="",L175,INDEX(Variablen!$I:$AT, MATCH(M175, Variablen!$A:$A, 0), MATCH((YEAR(D175)+13), Variablen!$I$3:$AT$3, 0))),L175)))*(IF((YEAR(D175)+13)&lt;YEAR(E175),0,IF((YEAR(D175)+13)&gt;YEAR(E175),1,(12-MONTH(E175)+1)/12))) + (Q175)*(IF((YEAR(D175)+13)&lt;YEAR(E175),0,IF((YEAR(D175)+13)&gt;YEAR(E175),1,(12-MONTH(E175)+1)/12))))-((P175)*(IF((YEAR(D175)+13)&lt;YEAR(E175),0,IF((YEAR(D175)+13)&gt;YEAR(E175),1,(12-MONTH(E175)+1)/12))) + (R175)*(IF((YEAR(D175)+13)&lt;YEAR(E175),0,IF((YEAR(D175)+13)&gt;YEAR(E175),1,(12-MONTH(E175)+1)/12))))-(IF((((K175)*(IF(M175="",L175,IFERROR(IF(INDEX(Variablen!$I:$AT, MATCH(M175, Variablen!$A:$A, 0), MATCH((YEAR(D175)+13), Variablen!$I$3:$AT$3, 0))="",L175,INDEX(Variablen!$I:$AT, MATCH(M175, Variablen!$A:$A, 0), MATCH((YEAR(D175)+13), Variablen!$I$3:$AT$3, 0))),L175)))*(IF((YEAR(D175)+13)&lt;YEAR(E175),0,IF((YEAR(D175)+13)&gt;YEAR(E175),1,(12-MONTH(E175)+1)/12))) + (Q175)*(IF((YEAR(D175)+13)&lt;YEAR(E175),0,IF((YEAR(D175)+13)&gt;YEAR(E175),1,(12-MONTH(E175)+1)/12))))-((P175)*(IF((YEAR(D175)+13)&lt;YEAR(E175),0,IF((YEAR(D175)+13)&gt;YEAR(E175),1,(12-MONTH(E175)+1)/12))) + (R175)*(IF((YEAR(D175)+13)&lt;YEAR(E175),0,IF((YEAR(D175)+13)&gt;YEAR(E175),1,(12-MONTH(E175)+1)/12))))-(IF(OR(N175="",N175&lt;=0),0,(O175/N175)*(IF(OR(N175="",N175&lt;=0),0,IF((YEAR(D175)+13)&lt;YEAR(E175),0,IF((YEAR(D175)+13)&gt;=YEAR(E175)+N175,0,IF((YEAR(D175)+13)=YEAR(E175),(12-MONTH(E175)+1)/12,1))))))))&gt;0,(((K175)*(IF(M175="",L175,IFERROR(IF(INDEX(Variablen!$I:$AT, MATCH(M175, Variablen!$A:$A, 0), MATCH((YEAR(D175)+13), Variablen!$I$3:$AT$3, 0))="",L175,INDEX(Variablen!$I:$AT, MATCH(M175, Variablen!$A:$A, 0), MATCH((YEAR(D175)+13), Variablen!$I$3:$AT$3, 0))),L175)))*(IF((YEAR(D175)+13)&lt;YEAR(E175),0,IF((YEAR(D175)+13)&gt;YEAR(E175),1,(12-MONTH(E175)+1)/12))) + (Q175)*(IF((YEAR(D175)+13)&lt;YEAR(E175),0,IF((YEAR(D175)+13)&gt;YEAR(E175),1,(12-MONTH(E175)+1)/12))))-((P175)*(IF((YEAR(D175)+13)&lt;YEAR(E175),0,IF((YEAR(D175)+13)&gt;YEAR(E175),1,(12-MONTH(E175)+1)/12))) + (R175)*(IF((YEAR(D175)+13)&lt;YEAR(E175),0,IF((YEAR(D175)+13)&gt;YEAR(E175),1,(12-MONTH(E175)+1)/12))))-(IF(OR(N175="",N175&lt;=0),0,(O175/N175)*(IF(OR(N175="",N175&lt;=0),0,IF((YEAR(D175)+13)&lt;YEAR(E175),0,IF((YEAR(D175)+13)&gt;=YEAR(E175)+N175,0,IF((YEAR(D175)+13)=YEAR(E175),(12-MONTH(E175)+1)/12,1))))))))*TaxRate,0))-IF(13=0,O175,0))</f>
        <v/>
      </c>
      <c r="AG175" s="29">
        <f>IF(A175="","",((K175)*(IF(M175="",L175,IFERROR(IF(INDEX(Variablen!$I:$AT, MATCH(M175, Variablen!$A:$A, 0), MATCH((YEAR(D175)+14), Variablen!$I$3:$AT$3, 0))="",L175,INDEX(Variablen!$I:$AT, MATCH(M175, Variablen!$A:$A, 0), MATCH((YEAR(D175)+14), Variablen!$I$3:$AT$3, 0))),L175)))*(IF((YEAR(D175)+14)&lt;YEAR(E175),0,IF((YEAR(D175)+14)&gt;YEAR(E175),1,(12-MONTH(E175)+1)/12))) + (Q175)*(IF((YEAR(D175)+14)&lt;YEAR(E175),0,IF((YEAR(D175)+14)&gt;YEAR(E175),1,(12-MONTH(E175)+1)/12))))-((P175)*(IF((YEAR(D175)+14)&lt;YEAR(E175),0,IF((YEAR(D175)+14)&gt;YEAR(E175),1,(12-MONTH(E175)+1)/12))) + (R175)*(IF((YEAR(D175)+14)&lt;YEAR(E175),0,IF((YEAR(D175)+14)&gt;YEAR(E175),1,(12-MONTH(E175)+1)/12))))-(IF((((K175)*(IF(M175="",L175,IFERROR(IF(INDEX(Variablen!$I:$AT, MATCH(M175, Variablen!$A:$A, 0), MATCH((YEAR(D175)+14), Variablen!$I$3:$AT$3, 0))="",L175,INDEX(Variablen!$I:$AT, MATCH(M175, Variablen!$A:$A, 0), MATCH((YEAR(D175)+14), Variablen!$I$3:$AT$3, 0))),L175)))*(IF((YEAR(D175)+14)&lt;YEAR(E175),0,IF((YEAR(D175)+14)&gt;YEAR(E175),1,(12-MONTH(E175)+1)/12))) + (Q175)*(IF((YEAR(D175)+14)&lt;YEAR(E175),0,IF((YEAR(D175)+14)&gt;YEAR(E175),1,(12-MONTH(E175)+1)/12))))-((P175)*(IF((YEAR(D175)+14)&lt;YEAR(E175),0,IF((YEAR(D175)+14)&gt;YEAR(E175),1,(12-MONTH(E175)+1)/12))) + (R175)*(IF((YEAR(D175)+14)&lt;YEAR(E175),0,IF((YEAR(D175)+14)&gt;YEAR(E175),1,(12-MONTH(E175)+1)/12))))-(IF(OR(N175="",N175&lt;=0),0,(O175/N175)*(IF(OR(N175="",N175&lt;=0),0,IF((YEAR(D175)+14)&lt;YEAR(E175),0,IF((YEAR(D175)+14)&gt;=YEAR(E175)+N175,0,IF((YEAR(D175)+14)=YEAR(E175),(12-MONTH(E175)+1)/12,1))))))))&gt;0,(((K175)*(IF(M175="",L175,IFERROR(IF(INDEX(Variablen!$I:$AT, MATCH(M175, Variablen!$A:$A, 0), MATCH((YEAR(D175)+14), Variablen!$I$3:$AT$3, 0))="",L175,INDEX(Variablen!$I:$AT, MATCH(M175, Variablen!$A:$A, 0), MATCH((YEAR(D175)+14), Variablen!$I$3:$AT$3, 0))),L175)))*(IF((YEAR(D175)+14)&lt;YEAR(E175),0,IF((YEAR(D175)+14)&gt;YEAR(E175),1,(12-MONTH(E175)+1)/12))) + (Q175)*(IF((YEAR(D175)+14)&lt;YEAR(E175),0,IF((YEAR(D175)+14)&gt;YEAR(E175),1,(12-MONTH(E175)+1)/12))))-((P175)*(IF((YEAR(D175)+14)&lt;YEAR(E175),0,IF((YEAR(D175)+14)&gt;YEAR(E175),1,(12-MONTH(E175)+1)/12))) + (R175)*(IF((YEAR(D175)+14)&lt;YEAR(E175),0,IF((YEAR(D175)+14)&gt;YEAR(E175),1,(12-MONTH(E175)+1)/12))))-(IF(OR(N175="",N175&lt;=0),0,(O175/N175)*(IF(OR(N175="",N175&lt;=0),0,IF((YEAR(D175)+14)&lt;YEAR(E175),0,IF((YEAR(D175)+14)&gt;=YEAR(E175)+N175,0,IF((YEAR(D175)+14)=YEAR(E175),(12-MONTH(E175)+1)/12,1))))))))*TaxRate,0))-IF(14=0,O175,0))</f>
        <v/>
      </c>
      <c r="AH175" s="29">
        <f>IF(A175="","",((K175)*(IF(M175="",L175,IFERROR(IF(INDEX(Variablen!$I:$AT, MATCH(M175, Variablen!$A:$A, 0), MATCH((YEAR(D175)+15), Variablen!$I$3:$AT$3, 0))="",L175,INDEX(Variablen!$I:$AT, MATCH(M175, Variablen!$A:$A, 0), MATCH((YEAR(D175)+15), Variablen!$I$3:$AT$3, 0))),L175)))*(IF((YEAR(D175)+15)&lt;YEAR(E175),0,IF((YEAR(D175)+15)&gt;YEAR(E175),1,(12-MONTH(E175)+1)/12))) + (Q175)*(IF((YEAR(D175)+15)&lt;YEAR(E175),0,IF((YEAR(D175)+15)&gt;YEAR(E175),1,(12-MONTH(E175)+1)/12))))-((P175)*(IF((YEAR(D175)+15)&lt;YEAR(E175),0,IF((YEAR(D175)+15)&gt;YEAR(E175),1,(12-MONTH(E175)+1)/12))) + (R175)*(IF((YEAR(D175)+15)&lt;YEAR(E175),0,IF((YEAR(D175)+15)&gt;YEAR(E175),1,(12-MONTH(E175)+1)/12))))-(IF((((K175)*(IF(M175="",L175,IFERROR(IF(INDEX(Variablen!$I:$AT, MATCH(M175, Variablen!$A:$A, 0), MATCH((YEAR(D175)+15), Variablen!$I$3:$AT$3, 0))="",L175,INDEX(Variablen!$I:$AT, MATCH(M175, Variablen!$A:$A, 0), MATCH((YEAR(D175)+15), Variablen!$I$3:$AT$3, 0))),L175)))*(IF((YEAR(D175)+15)&lt;YEAR(E175),0,IF((YEAR(D175)+15)&gt;YEAR(E175),1,(12-MONTH(E175)+1)/12))) + (Q175)*(IF((YEAR(D175)+15)&lt;YEAR(E175),0,IF((YEAR(D175)+15)&gt;YEAR(E175),1,(12-MONTH(E175)+1)/12))))-((P175)*(IF((YEAR(D175)+15)&lt;YEAR(E175),0,IF((YEAR(D175)+15)&gt;YEAR(E175),1,(12-MONTH(E175)+1)/12))) + (R175)*(IF((YEAR(D175)+15)&lt;YEAR(E175),0,IF((YEAR(D175)+15)&gt;YEAR(E175),1,(12-MONTH(E175)+1)/12))))-(IF(OR(N175="",N175&lt;=0),0,(O175/N175)*(IF(OR(N175="",N175&lt;=0),0,IF((YEAR(D175)+15)&lt;YEAR(E175),0,IF((YEAR(D175)+15)&gt;=YEAR(E175)+N175,0,IF((YEAR(D175)+15)=YEAR(E175),(12-MONTH(E175)+1)/12,1))))))))&gt;0,(((K175)*(IF(M175="",L175,IFERROR(IF(INDEX(Variablen!$I:$AT, MATCH(M175, Variablen!$A:$A, 0), MATCH((YEAR(D175)+15), Variablen!$I$3:$AT$3, 0))="",L175,INDEX(Variablen!$I:$AT, MATCH(M175, Variablen!$A:$A, 0), MATCH((YEAR(D175)+15), Variablen!$I$3:$AT$3, 0))),L175)))*(IF((YEAR(D175)+15)&lt;YEAR(E175),0,IF((YEAR(D175)+15)&gt;YEAR(E175),1,(12-MONTH(E175)+1)/12))) + (Q175)*(IF((YEAR(D175)+15)&lt;YEAR(E175),0,IF((YEAR(D175)+15)&gt;YEAR(E175),1,(12-MONTH(E175)+1)/12))))-((P175)*(IF((YEAR(D175)+15)&lt;YEAR(E175),0,IF((YEAR(D175)+15)&gt;YEAR(E175),1,(12-MONTH(E175)+1)/12))) + (R175)*(IF((YEAR(D175)+15)&lt;YEAR(E175),0,IF((YEAR(D175)+15)&gt;YEAR(E175),1,(12-MONTH(E175)+1)/12))))-(IF(OR(N175="",N175&lt;=0),0,(O175/N175)*(IF(OR(N175="",N175&lt;=0),0,IF((YEAR(D175)+15)&lt;YEAR(E175),0,IF((YEAR(D175)+15)&gt;=YEAR(E175)+N175,0,IF((YEAR(D175)+15)=YEAR(E175),(12-MONTH(E175)+1)/12,1))))))))*TaxRate,0))-IF(15=0,O175,0))</f>
        <v/>
      </c>
      <c r="AI175" s="29">
        <f>IF(A175="","",((K175)*(IF(M175="",L175,IFERROR(IF(INDEX(Variablen!$I:$AT, MATCH(M175, Variablen!$A:$A, 0), MATCH((YEAR(D175)+16), Variablen!$I$3:$AT$3, 0))="",L175,INDEX(Variablen!$I:$AT, MATCH(M175, Variablen!$A:$A, 0), MATCH((YEAR(D175)+16), Variablen!$I$3:$AT$3, 0))),L175)))*(IF((YEAR(D175)+16)&lt;YEAR(E175),0,IF((YEAR(D175)+16)&gt;YEAR(E175),1,(12-MONTH(E175)+1)/12))) + (Q175)*(IF((YEAR(D175)+16)&lt;YEAR(E175),0,IF((YEAR(D175)+16)&gt;YEAR(E175),1,(12-MONTH(E175)+1)/12))))-((P175)*(IF((YEAR(D175)+16)&lt;YEAR(E175),0,IF((YEAR(D175)+16)&gt;YEAR(E175),1,(12-MONTH(E175)+1)/12))) + (R175)*(IF((YEAR(D175)+16)&lt;YEAR(E175),0,IF((YEAR(D175)+16)&gt;YEAR(E175),1,(12-MONTH(E175)+1)/12))))-(IF((((K175)*(IF(M175="",L175,IFERROR(IF(INDEX(Variablen!$I:$AT, MATCH(M175, Variablen!$A:$A, 0), MATCH((YEAR(D175)+16), Variablen!$I$3:$AT$3, 0))="",L175,INDEX(Variablen!$I:$AT, MATCH(M175, Variablen!$A:$A, 0), MATCH((YEAR(D175)+16), Variablen!$I$3:$AT$3, 0))),L175)))*(IF((YEAR(D175)+16)&lt;YEAR(E175),0,IF((YEAR(D175)+16)&gt;YEAR(E175),1,(12-MONTH(E175)+1)/12))) + (Q175)*(IF((YEAR(D175)+16)&lt;YEAR(E175),0,IF((YEAR(D175)+16)&gt;YEAR(E175),1,(12-MONTH(E175)+1)/12))))-((P175)*(IF((YEAR(D175)+16)&lt;YEAR(E175),0,IF((YEAR(D175)+16)&gt;YEAR(E175),1,(12-MONTH(E175)+1)/12))) + (R175)*(IF((YEAR(D175)+16)&lt;YEAR(E175),0,IF((YEAR(D175)+16)&gt;YEAR(E175),1,(12-MONTH(E175)+1)/12))))-(IF(OR(N175="",N175&lt;=0),0,(O175/N175)*(IF(OR(N175="",N175&lt;=0),0,IF((YEAR(D175)+16)&lt;YEAR(E175),0,IF((YEAR(D175)+16)&gt;=YEAR(E175)+N175,0,IF((YEAR(D175)+16)=YEAR(E175),(12-MONTH(E175)+1)/12,1))))))))&gt;0,(((K175)*(IF(M175="",L175,IFERROR(IF(INDEX(Variablen!$I:$AT, MATCH(M175, Variablen!$A:$A, 0), MATCH((YEAR(D175)+16), Variablen!$I$3:$AT$3, 0))="",L175,INDEX(Variablen!$I:$AT, MATCH(M175, Variablen!$A:$A, 0), MATCH((YEAR(D175)+16), Variablen!$I$3:$AT$3, 0))),L175)))*(IF((YEAR(D175)+16)&lt;YEAR(E175),0,IF((YEAR(D175)+16)&gt;YEAR(E175),1,(12-MONTH(E175)+1)/12))) + (Q175)*(IF((YEAR(D175)+16)&lt;YEAR(E175),0,IF((YEAR(D175)+16)&gt;YEAR(E175),1,(12-MONTH(E175)+1)/12))))-((P175)*(IF((YEAR(D175)+16)&lt;YEAR(E175),0,IF((YEAR(D175)+16)&gt;YEAR(E175),1,(12-MONTH(E175)+1)/12))) + (R175)*(IF((YEAR(D175)+16)&lt;YEAR(E175),0,IF((YEAR(D175)+16)&gt;YEAR(E175),1,(12-MONTH(E175)+1)/12))))-(IF(OR(N175="",N175&lt;=0),0,(O175/N175)*(IF(OR(N175="",N175&lt;=0),0,IF((YEAR(D175)+16)&lt;YEAR(E175),0,IF((YEAR(D175)+16)&gt;=YEAR(E175)+N175,0,IF((YEAR(D175)+16)=YEAR(E175),(12-MONTH(E175)+1)/12,1))))))))*TaxRate,0))-IF(16=0,O175,0))</f>
        <v/>
      </c>
      <c r="AJ175" s="29">
        <f>IF(A175="","",((K175)*(IF(M175="",L175,IFERROR(IF(INDEX(Variablen!$I:$AT, MATCH(M175, Variablen!$A:$A, 0), MATCH((YEAR(D175)+17), Variablen!$I$3:$AT$3, 0))="",L175,INDEX(Variablen!$I:$AT, MATCH(M175, Variablen!$A:$A, 0), MATCH((YEAR(D175)+17), Variablen!$I$3:$AT$3, 0))),L175)))*(IF((YEAR(D175)+17)&lt;YEAR(E175),0,IF((YEAR(D175)+17)&gt;YEAR(E175),1,(12-MONTH(E175)+1)/12))) + (Q175)*(IF((YEAR(D175)+17)&lt;YEAR(E175),0,IF((YEAR(D175)+17)&gt;YEAR(E175),1,(12-MONTH(E175)+1)/12))))-((P175)*(IF((YEAR(D175)+17)&lt;YEAR(E175),0,IF((YEAR(D175)+17)&gt;YEAR(E175),1,(12-MONTH(E175)+1)/12))) + (R175)*(IF((YEAR(D175)+17)&lt;YEAR(E175),0,IF((YEAR(D175)+17)&gt;YEAR(E175),1,(12-MONTH(E175)+1)/12))))-(IF((((K175)*(IF(M175="",L175,IFERROR(IF(INDEX(Variablen!$I:$AT, MATCH(M175, Variablen!$A:$A, 0), MATCH((YEAR(D175)+17), Variablen!$I$3:$AT$3, 0))="",L175,INDEX(Variablen!$I:$AT, MATCH(M175, Variablen!$A:$A, 0), MATCH((YEAR(D175)+17), Variablen!$I$3:$AT$3, 0))),L175)))*(IF((YEAR(D175)+17)&lt;YEAR(E175),0,IF((YEAR(D175)+17)&gt;YEAR(E175),1,(12-MONTH(E175)+1)/12))) + (Q175)*(IF((YEAR(D175)+17)&lt;YEAR(E175),0,IF((YEAR(D175)+17)&gt;YEAR(E175),1,(12-MONTH(E175)+1)/12))))-((P175)*(IF((YEAR(D175)+17)&lt;YEAR(E175),0,IF((YEAR(D175)+17)&gt;YEAR(E175),1,(12-MONTH(E175)+1)/12))) + (R175)*(IF((YEAR(D175)+17)&lt;YEAR(E175),0,IF((YEAR(D175)+17)&gt;YEAR(E175),1,(12-MONTH(E175)+1)/12))))-(IF(OR(N175="",N175&lt;=0),0,(O175/N175)*(IF(OR(N175="",N175&lt;=0),0,IF((YEAR(D175)+17)&lt;YEAR(E175),0,IF((YEAR(D175)+17)&gt;=YEAR(E175)+N175,0,IF((YEAR(D175)+17)=YEAR(E175),(12-MONTH(E175)+1)/12,1))))))))&gt;0,(((K175)*(IF(M175="",L175,IFERROR(IF(INDEX(Variablen!$I:$AT, MATCH(M175, Variablen!$A:$A, 0), MATCH((YEAR(D175)+17), Variablen!$I$3:$AT$3, 0))="",L175,INDEX(Variablen!$I:$AT, MATCH(M175, Variablen!$A:$A, 0), MATCH((YEAR(D175)+17), Variablen!$I$3:$AT$3, 0))),L175)))*(IF((YEAR(D175)+17)&lt;YEAR(E175),0,IF((YEAR(D175)+17)&gt;YEAR(E175),1,(12-MONTH(E175)+1)/12))) + (Q175)*(IF((YEAR(D175)+17)&lt;YEAR(E175),0,IF((YEAR(D175)+17)&gt;YEAR(E175),1,(12-MONTH(E175)+1)/12))))-((P175)*(IF((YEAR(D175)+17)&lt;YEAR(E175),0,IF((YEAR(D175)+17)&gt;YEAR(E175),1,(12-MONTH(E175)+1)/12))) + (R175)*(IF((YEAR(D175)+17)&lt;YEAR(E175),0,IF((YEAR(D175)+17)&gt;YEAR(E175),1,(12-MONTH(E175)+1)/12))))-(IF(OR(N175="",N175&lt;=0),0,(O175/N175)*(IF(OR(N175="",N175&lt;=0),0,IF((YEAR(D175)+17)&lt;YEAR(E175),0,IF((YEAR(D175)+17)&gt;=YEAR(E175)+N175,0,IF((YEAR(D175)+17)=YEAR(E175),(12-MONTH(E175)+1)/12,1))))))))*TaxRate,0))-IF(17=0,O175,0))</f>
        <v/>
      </c>
      <c r="AK175" s="29">
        <f>IF(A175="","",((K175)*(IF(M175="",L175,IFERROR(IF(INDEX(Variablen!$I:$AT, MATCH(M175, Variablen!$A:$A, 0), MATCH((YEAR(D175)+18), Variablen!$I$3:$AT$3, 0))="",L175,INDEX(Variablen!$I:$AT, MATCH(M175, Variablen!$A:$A, 0), MATCH((YEAR(D175)+18), Variablen!$I$3:$AT$3, 0))),L175)))*(IF((YEAR(D175)+18)&lt;YEAR(E175),0,IF((YEAR(D175)+18)&gt;YEAR(E175),1,(12-MONTH(E175)+1)/12))) + (Q175)*(IF((YEAR(D175)+18)&lt;YEAR(E175),0,IF((YEAR(D175)+18)&gt;YEAR(E175),1,(12-MONTH(E175)+1)/12))))-((P175)*(IF((YEAR(D175)+18)&lt;YEAR(E175),0,IF((YEAR(D175)+18)&gt;YEAR(E175),1,(12-MONTH(E175)+1)/12))) + (R175)*(IF((YEAR(D175)+18)&lt;YEAR(E175),0,IF((YEAR(D175)+18)&gt;YEAR(E175),1,(12-MONTH(E175)+1)/12))))-(IF((((K175)*(IF(M175="",L175,IFERROR(IF(INDEX(Variablen!$I:$AT, MATCH(M175, Variablen!$A:$A, 0), MATCH((YEAR(D175)+18), Variablen!$I$3:$AT$3, 0))="",L175,INDEX(Variablen!$I:$AT, MATCH(M175, Variablen!$A:$A, 0), MATCH((YEAR(D175)+18), Variablen!$I$3:$AT$3, 0))),L175)))*(IF((YEAR(D175)+18)&lt;YEAR(E175),0,IF((YEAR(D175)+18)&gt;YEAR(E175),1,(12-MONTH(E175)+1)/12))) + (Q175)*(IF((YEAR(D175)+18)&lt;YEAR(E175),0,IF((YEAR(D175)+18)&gt;YEAR(E175),1,(12-MONTH(E175)+1)/12))))-((P175)*(IF((YEAR(D175)+18)&lt;YEAR(E175),0,IF((YEAR(D175)+18)&gt;YEAR(E175),1,(12-MONTH(E175)+1)/12))) + (R175)*(IF((YEAR(D175)+18)&lt;YEAR(E175),0,IF((YEAR(D175)+18)&gt;YEAR(E175),1,(12-MONTH(E175)+1)/12))))-(IF(OR(N175="",N175&lt;=0),0,(O175/N175)*(IF(OR(N175="",N175&lt;=0),0,IF((YEAR(D175)+18)&lt;YEAR(E175),0,IF((YEAR(D175)+18)&gt;=YEAR(E175)+N175,0,IF((YEAR(D175)+18)=YEAR(E175),(12-MONTH(E175)+1)/12,1))))))))&gt;0,(((K175)*(IF(M175="",L175,IFERROR(IF(INDEX(Variablen!$I:$AT, MATCH(M175, Variablen!$A:$A, 0), MATCH((YEAR(D175)+18), Variablen!$I$3:$AT$3, 0))="",L175,INDEX(Variablen!$I:$AT, MATCH(M175, Variablen!$A:$A, 0), MATCH((YEAR(D175)+18), Variablen!$I$3:$AT$3, 0))),L175)))*(IF((YEAR(D175)+18)&lt;YEAR(E175),0,IF((YEAR(D175)+18)&gt;YEAR(E175),1,(12-MONTH(E175)+1)/12))) + (Q175)*(IF((YEAR(D175)+18)&lt;YEAR(E175),0,IF((YEAR(D175)+18)&gt;YEAR(E175),1,(12-MONTH(E175)+1)/12))))-((P175)*(IF((YEAR(D175)+18)&lt;YEAR(E175),0,IF((YEAR(D175)+18)&gt;YEAR(E175),1,(12-MONTH(E175)+1)/12))) + (R175)*(IF((YEAR(D175)+18)&lt;YEAR(E175),0,IF((YEAR(D175)+18)&gt;YEAR(E175),1,(12-MONTH(E175)+1)/12))))-(IF(OR(N175="",N175&lt;=0),0,(O175/N175)*(IF(OR(N175="",N175&lt;=0),0,IF((YEAR(D175)+18)&lt;YEAR(E175),0,IF((YEAR(D175)+18)&gt;=YEAR(E175)+N175,0,IF((YEAR(D175)+18)=YEAR(E175),(12-MONTH(E175)+1)/12,1))))))))*TaxRate,0))-IF(18=0,O175,0))</f>
        <v/>
      </c>
      <c r="AL175" s="29">
        <f>IF(A175="","",((K175)*(IF(M175="",L175,IFERROR(IF(INDEX(Variablen!$I:$AT, MATCH(M175, Variablen!$A:$A, 0), MATCH((YEAR(D175)+19), Variablen!$I$3:$AT$3, 0))="",L175,INDEX(Variablen!$I:$AT, MATCH(M175, Variablen!$A:$A, 0), MATCH((YEAR(D175)+19), Variablen!$I$3:$AT$3, 0))),L175)))*(IF((YEAR(D175)+19)&lt;YEAR(E175),0,IF((YEAR(D175)+19)&gt;YEAR(E175),1,(12-MONTH(E175)+1)/12))) + (Q175)*(IF((YEAR(D175)+19)&lt;YEAR(E175),0,IF((YEAR(D175)+19)&gt;YEAR(E175),1,(12-MONTH(E175)+1)/12))))-((P175)*(IF((YEAR(D175)+19)&lt;YEAR(E175),0,IF((YEAR(D175)+19)&gt;YEAR(E175),1,(12-MONTH(E175)+1)/12))) + (R175)*(IF((YEAR(D175)+19)&lt;YEAR(E175),0,IF((YEAR(D175)+19)&gt;YEAR(E175),1,(12-MONTH(E175)+1)/12))))-(IF((((K175)*(IF(M175="",L175,IFERROR(IF(INDEX(Variablen!$I:$AT, MATCH(M175, Variablen!$A:$A, 0), MATCH((YEAR(D175)+19), Variablen!$I$3:$AT$3, 0))="",L175,INDEX(Variablen!$I:$AT, MATCH(M175, Variablen!$A:$A, 0), MATCH((YEAR(D175)+19), Variablen!$I$3:$AT$3, 0))),L175)))*(IF((YEAR(D175)+19)&lt;YEAR(E175),0,IF((YEAR(D175)+19)&gt;YEAR(E175),1,(12-MONTH(E175)+1)/12))) + (Q175)*(IF((YEAR(D175)+19)&lt;YEAR(E175),0,IF((YEAR(D175)+19)&gt;YEAR(E175),1,(12-MONTH(E175)+1)/12))))-((P175)*(IF((YEAR(D175)+19)&lt;YEAR(E175),0,IF((YEAR(D175)+19)&gt;YEAR(E175),1,(12-MONTH(E175)+1)/12))) + (R175)*(IF((YEAR(D175)+19)&lt;YEAR(E175),0,IF((YEAR(D175)+19)&gt;YEAR(E175),1,(12-MONTH(E175)+1)/12))))-(IF(OR(N175="",N175&lt;=0),0,(O175/N175)*(IF(OR(N175="",N175&lt;=0),0,IF((YEAR(D175)+19)&lt;YEAR(E175),0,IF((YEAR(D175)+19)&gt;=YEAR(E175)+N175,0,IF((YEAR(D175)+19)=YEAR(E175),(12-MONTH(E175)+1)/12,1))))))))&gt;0,(((K175)*(IF(M175="",L175,IFERROR(IF(INDEX(Variablen!$I:$AT, MATCH(M175, Variablen!$A:$A, 0), MATCH((YEAR(D175)+19), Variablen!$I$3:$AT$3, 0))="",L175,INDEX(Variablen!$I:$AT, MATCH(M175, Variablen!$A:$A, 0), MATCH((YEAR(D175)+19), Variablen!$I$3:$AT$3, 0))),L175)))*(IF((YEAR(D175)+19)&lt;YEAR(E175),0,IF((YEAR(D175)+19)&gt;YEAR(E175),1,(12-MONTH(E175)+1)/12))) + (Q175)*(IF((YEAR(D175)+19)&lt;YEAR(E175),0,IF((YEAR(D175)+19)&gt;YEAR(E175),1,(12-MONTH(E175)+1)/12))))-((P175)*(IF((YEAR(D175)+19)&lt;YEAR(E175),0,IF((YEAR(D175)+19)&gt;YEAR(E175),1,(12-MONTH(E175)+1)/12))) + (R175)*(IF((YEAR(D175)+19)&lt;YEAR(E175),0,IF((YEAR(D175)+19)&gt;YEAR(E175),1,(12-MONTH(E175)+1)/12))))-(IF(OR(N175="",N175&lt;=0),0,(O175/N175)*(IF(OR(N175="",N175&lt;=0),0,IF((YEAR(D175)+19)&lt;YEAR(E175),0,IF((YEAR(D175)+19)&gt;=YEAR(E175)+N175,0,IF((YEAR(D175)+19)=YEAR(E175),(12-MONTH(E175)+1)/12,1))))))))*TaxRate,0))-IF(19=0,O175,0))</f>
        <v/>
      </c>
      <c r="AM175" s="29">
        <f>IF(A175="","",((K175)*(IF(M175="",L175,IFERROR(IF(INDEX(Variablen!$I:$AT, MATCH(M175, Variablen!$A:$A, 0), MATCH((YEAR(D175)+20), Variablen!$I$3:$AT$3, 0))="",L175,INDEX(Variablen!$I:$AT, MATCH(M175, Variablen!$A:$A, 0), MATCH((YEAR(D175)+20), Variablen!$I$3:$AT$3, 0))),L175)))*(IF((YEAR(D175)+20)&lt;YEAR(E175),0,IF((YEAR(D175)+20)&gt;YEAR(E175),1,(12-MONTH(E175)+1)/12))) + (Q175)*(IF((YEAR(D175)+20)&lt;YEAR(E175),0,IF((YEAR(D175)+20)&gt;YEAR(E175),1,(12-MONTH(E175)+1)/12))))-((P175)*(IF((YEAR(D175)+20)&lt;YEAR(E175),0,IF((YEAR(D175)+20)&gt;YEAR(E175),1,(12-MONTH(E175)+1)/12))) + (R175)*(IF((YEAR(D175)+20)&lt;YEAR(E175),0,IF((YEAR(D175)+20)&gt;YEAR(E175),1,(12-MONTH(E175)+1)/12))))-(IF((((K175)*(IF(M175="",L175,IFERROR(IF(INDEX(Variablen!$I:$AT, MATCH(M175, Variablen!$A:$A, 0), MATCH((YEAR(D175)+20), Variablen!$I$3:$AT$3, 0))="",L175,INDEX(Variablen!$I:$AT, MATCH(M175, Variablen!$A:$A, 0), MATCH((YEAR(D175)+20), Variablen!$I$3:$AT$3, 0))),L175)))*(IF((YEAR(D175)+20)&lt;YEAR(E175),0,IF((YEAR(D175)+20)&gt;YEAR(E175),1,(12-MONTH(E175)+1)/12))) + (Q175)*(IF((YEAR(D175)+20)&lt;YEAR(E175),0,IF((YEAR(D175)+20)&gt;YEAR(E175),1,(12-MONTH(E175)+1)/12))))-((P175)*(IF((YEAR(D175)+20)&lt;YEAR(E175),0,IF((YEAR(D175)+20)&gt;YEAR(E175),1,(12-MONTH(E175)+1)/12))) + (R175)*(IF((YEAR(D175)+20)&lt;YEAR(E175),0,IF((YEAR(D175)+20)&gt;YEAR(E175),1,(12-MONTH(E175)+1)/12))))-(IF(OR(N175="",N175&lt;=0),0,(O175/N175)*(IF(OR(N175="",N175&lt;=0),0,IF((YEAR(D175)+20)&lt;YEAR(E175),0,IF((YEAR(D175)+20)&gt;=YEAR(E175)+N175,0,IF((YEAR(D175)+20)=YEAR(E175),(12-MONTH(E175)+1)/12,1))))))))&gt;0,(((K175)*(IF(M175="",L175,IFERROR(IF(INDEX(Variablen!$I:$AT, MATCH(M175, Variablen!$A:$A, 0), MATCH((YEAR(D175)+20), Variablen!$I$3:$AT$3, 0))="",L175,INDEX(Variablen!$I:$AT, MATCH(M175, Variablen!$A:$A, 0), MATCH((YEAR(D175)+20), Variablen!$I$3:$AT$3, 0))),L175)))*(IF((YEAR(D175)+20)&lt;YEAR(E175),0,IF((YEAR(D175)+20)&gt;YEAR(E175),1,(12-MONTH(E175)+1)/12))) + (Q175)*(IF((YEAR(D175)+20)&lt;YEAR(E175),0,IF((YEAR(D175)+20)&gt;YEAR(E175),1,(12-MONTH(E175)+1)/12))))-((P175)*(IF((YEAR(D175)+20)&lt;YEAR(E175),0,IF((YEAR(D175)+20)&gt;YEAR(E175),1,(12-MONTH(E175)+1)/12))) + (R175)*(IF((YEAR(D175)+20)&lt;YEAR(E175),0,IF((YEAR(D175)+20)&gt;YEAR(E175),1,(12-MONTH(E175)+1)/12))))-(IF(OR(N175="",N175&lt;=0),0,(O175/N175)*(IF(OR(N175="",N175&lt;=0),0,IF((YEAR(D175)+20)&lt;YEAR(E175),0,IF((YEAR(D175)+20)&gt;=YEAR(E175)+N175,0,IF((YEAR(D175)+20)=YEAR(E175),(12-MONTH(E175)+1)/12,1))))))))*TaxRate,0))-IF(20=0,O175,0))</f>
        <v/>
      </c>
      <c r="AN175" s="29">
        <f>IF(A175="","",S175)</f>
        <v/>
      </c>
      <c r="AO175" s="29">
        <f>IF(A175="","",AN175+T175)</f>
        <v/>
      </c>
      <c r="AP175" s="29">
        <f>IF(A175="","",AO175+U175)</f>
        <v/>
      </c>
      <c r="AQ175" s="29">
        <f>IF(A175="","",AP175+V175)</f>
        <v/>
      </c>
      <c r="AR175" s="29">
        <f>IF(A175="","",AQ175+W175)</f>
        <v/>
      </c>
      <c r="AS175" s="29">
        <f>IF(A175="","",AR175+X175)</f>
        <v/>
      </c>
      <c r="AT175" s="29">
        <f>IF(A175="","",AS175+Y175)</f>
        <v/>
      </c>
      <c r="AU175" s="29">
        <f>IF(A175="","",AT175+Z175)</f>
        <v/>
      </c>
      <c r="AV175" s="29">
        <f>IF(A175="","",AU175+AA175)</f>
        <v/>
      </c>
      <c r="AW175" s="29">
        <f>IF(A175="","",AV175+AB175)</f>
        <v/>
      </c>
      <c r="AX175" s="29">
        <f>IF(A175="","",AW175+AC175)</f>
        <v/>
      </c>
      <c r="AY175" s="29">
        <f>IF(A175="","",AX175+AD175)</f>
        <v/>
      </c>
      <c r="AZ175" s="29">
        <f>IF(A175="","",AY175+AE175)</f>
        <v/>
      </c>
      <c r="BA175" s="29">
        <f>IF(A175="","",AZ175+AF175)</f>
        <v/>
      </c>
      <c r="BB175" s="29">
        <f>IF(A175="","",BA175+AG175)</f>
        <v/>
      </c>
      <c r="BC175" s="29">
        <f>IF(A175="","",BB175+AH175)</f>
        <v/>
      </c>
      <c r="BD175" s="29">
        <f>IF(A175="","",BC175+AI175)</f>
        <v/>
      </c>
      <c r="BE175" s="29">
        <f>IF(A175="","",BD175+AJ175)</f>
        <v/>
      </c>
      <c r="BF175" s="29">
        <f>IF(A175="","",BE175+AK175)</f>
        <v/>
      </c>
      <c r="BG175" s="29">
        <f>IF(A175="","",BF175+AL175)</f>
        <v/>
      </c>
      <c r="BH175" s="29">
        <f>IF(A175="","",BG175+AM175)</f>
        <v/>
      </c>
      <c r="BI175" s="36">
        <f>IF(A175="","",(K175)*(IF((YEAR(D175)+0)&lt;YEAR(E175),0,IF((YEAR(D175)+0)&gt;YEAR(E175),1,(12-MONTH(E175)+1)/12)))*(1/(1+DiscountRate)^0))</f>
        <v/>
      </c>
      <c r="BJ175" s="36">
        <f>IF(A175="","",(K175)*(IF((YEAR(D175)+1)&lt;YEAR(E175),0,IF((YEAR(D175)+1)&gt;YEAR(E175),1,(12-MONTH(E175)+1)/12)))*(1/(1+DiscountRate)^1))</f>
        <v/>
      </c>
      <c r="BK175" s="36">
        <f>IF(A175="","",(K175)*(IF((YEAR(D175)+2)&lt;YEAR(E175),0,IF((YEAR(D175)+2)&gt;YEAR(E175),1,(12-MONTH(E175)+1)/12)))*(1/(1+DiscountRate)^2))</f>
        <v/>
      </c>
      <c r="BL175" s="36">
        <f>IF(A175="","",(K175)*(IF((YEAR(D175)+3)&lt;YEAR(E175),0,IF((YEAR(D175)+3)&gt;YEAR(E175),1,(12-MONTH(E175)+1)/12)))*(1/(1+DiscountRate)^3))</f>
        <v/>
      </c>
      <c r="BM175" s="36">
        <f>IF(A175="","",(K175)*(IF((YEAR(D175)+4)&lt;YEAR(E175),0,IF((YEAR(D175)+4)&gt;YEAR(E175),1,(12-MONTH(E175)+1)/12)))*(1/(1+DiscountRate)^4))</f>
        <v/>
      </c>
      <c r="BN175" s="36">
        <f>IF(A175="","",(K175)*(IF((YEAR(D175)+5)&lt;YEAR(E175),0,IF((YEAR(D175)+5)&gt;YEAR(E175),1,(12-MONTH(E175)+1)/12)))*(1/(1+DiscountRate)^5))</f>
        <v/>
      </c>
      <c r="BO175" s="36">
        <f>IF(A175="","",(K175)*(IF((YEAR(D175)+6)&lt;YEAR(E175),0,IF((YEAR(D175)+6)&gt;YEAR(E175),1,(12-MONTH(E175)+1)/12)))*(1/(1+DiscountRate)^6))</f>
        <v/>
      </c>
      <c r="BP175" s="36">
        <f>IF(A175="","",(K175)*(IF((YEAR(D175)+7)&lt;YEAR(E175),0,IF((YEAR(D175)+7)&gt;YEAR(E175),1,(12-MONTH(E175)+1)/12)))*(1/(1+DiscountRate)^7))</f>
        <v/>
      </c>
      <c r="BQ175" s="36">
        <f>IF(A175="","",(K175)*(IF((YEAR(D175)+8)&lt;YEAR(E175),0,IF((YEAR(D175)+8)&gt;YEAR(E175),1,(12-MONTH(E175)+1)/12)))*(1/(1+DiscountRate)^8))</f>
        <v/>
      </c>
      <c r="BR175" s="36">
        <f>IF(A175="","",(K175)*(IF((YEAR(D175)+9)&lt;YEAR(E175),0,IF((YEAR(D175)+9)&gt;YEAR(E175),1,(12-MONTH(E175)+1)/12)))*(1/(1+DiscountRate)^9))</f>
        <v/>
      </c>
      <c r="BS175" s="36">
        <f>IF(A175="","",(K175)*(IF((YEAR(D175)+10)&lt;YEAR(E175),0,IF((YEAR(D175)+10)&gt;YEAR(E175),1,(12-MONTH(E175)+1)/12)))*(1/(1+DiscountRate)^10))</f>
        <v/>
      </c>
      <c r="BT175" s="36">
        <f>IF(A175="","",(K175)*(IF((YEAR(D175)+11)&lt;YEAR(E175),0,IF((YEAR(D175)+11)&gt;YEAR(E175),1,(12-MONTH(E175)+1)/12)))*(1/(1+DiscountRate)^11))</f>
        <v/>
      </c>
      <c r="BU175" s="36">
        <f>IF(A175="","",(K175)*(IF((YEAR(D175)+12)&lt;YEAR(E175),0,IF((YEAR(D175)+12)&gt;YEAR(E175),1,(12-MONTH(E175)+1)/12)))*(1/(1+DiscountRate)^12))</f>
        <v/>
      </c>
      <c r="BV175" s="36">
        <f>IF(A175="","",(K175)*(IF((YEAR(D175)+13)&lt;YEAR(E175),0,IF((YEAR(D175)+13)&gt;YEAR(E175),1,(12-MONTH(E175)+1)/12)))*(1/(1+DiscountRate)^13))</f>
        <v/>
      </c>
      <c r="BW175" s="36">
        <f>IF(A175="","",(K175)*(IF((YEAR(D175)+14)&lt;YEAR(E175),0,IF((YEAR(D175)+14)&gt;YEAR(E175),1,(12-MONTH(E175)+1)/12)))*(1/(1+DiscountRate)^14))</f>
        <v/>
      </c>
      <c r="BX175" s="36">
        <f>IF(A175="","",(K175)*(IF((YEAR(D175)+15)&lt;YEAR(E175),0,IF((YEAR(D175)+15)&gt;YEAR(E175),1,(12-MONTH(E175)+1)/12)))*(1/(1+DiscountRate)^15))</f>
        <v/>
      </c>
      <c r="BY175" s="36">
        <f>IF(A175="","",(K175)*(IF((YEAR(D175)+16)&lt;YEAR(E175),0,IF((YEAR(D175)+16)&gt;YEAR(E175),1,(12-MONTH(E175)+1)/12)))*(1/(1+DiscountRate)^16))</f>
        <v/>
      </c>
      <c r="BZ175" s="36">
        <f>IF(A175="","",(K175)*(IF((YEAR(D175)+17)&lt;YEAR(E175),0,IF((YEAR(D175)+17)&gt;YEAR(E175),1,(12-MONTH(E175)+1)/12)))*(1/(1+DiscountRate)^17))</f>
        <v/>
      </c>
      <c r="CA175" s="36">
        <f>IF(A175="","",(K175)*(IF((YEAR(D175)+18)&lt;YEAR(E175),0,IF((YEAR(D175)+18)&gt;YEAR(E175),1,(12-MONTH(E175)+1)/12)))*(1/(1+DiscountRate)^18))</f>
        <v/>
      </c>
      <c r="CB175" s="36">
        <f>IF(A175="","",(K175)*(IF((YEAR(D175)+19)&lt;YEAR(E175),0,IF((YEAR(D175)+19)&gt;YEAR(E175),1,(12-MONTH(E175)+1)/12)))*(1/(1+DiscountRate)^19))</f>
        <v/>
      </c>
      <c r="CC175" s="36">
        <f>IF(A175="","",(K175)*(IF((YEAR(D175)+20)&lt;YEAR(E175),0,IF((YEAR(D175)+20)&gt;YEAR(E175),1,(12-MONTH(E175)+1)/12)))*(1/(1+DiscountRate)^20))</f>
        <v/>
      </c>
      <c r="CD175" s="29">
        <f>IF(A175="","",S175/(1+DiscountRate)^0+T175/(1+DiscountRate)^1+U175/(1+DiscountRate)^2+V175/(1+DiscountRate)^3+W175/(1+DiscountRate)^4+X175/(1+DiscountRate)^5+Y175/(1+DiscountRate)^6+Z175/(1+DiscountRate)^7+AA175/(1+DiscountRate)^8+AB175/(1+DiscountRate)^9+AC175/(1+DiscountRate)^10+AD175/(1+DiscountRate)^11+AE175/(1+DiscountRate)^12+AF175/(1+DiscountRate)^13+AG175/(1+DiscountRate)^14+AH175/(1+DiscountRate)^15+AI175/(1+DiscountRate)^16+AJ175/(1+DiscountRate)^17+AK175/(1+DiscountRate)^18+AL175/(1+DiscountRate)^19+AM175/(1+DiscountRate)^20)</f>
        <v/>
      </c>
      <c r="CE175" s="37">
        <f>IF(A175="","",IFERROR(IRR(OFFSET(S175,0,0,1,MIN(HorizonYears,20)+1)),"n/a"))</f>
        <v/>
      </c>
      <c r="CF175" s="28">
        <f>IF(A175="","",IFERROR(MATCH(TRUE,OFFSET(AN175,0,0,1,MIN(HorizonYears,20)+1)&gt;=0,0)-1,"n/a"))</f>
        <v/>
      </c>
      <c r="CG175" s="36">
        <f>IF(A175="","",SUM(OFFSET(BI175,0,0,1,MIN(HorizonYears,20)+1)))</f>
        <v/>
      </c>
      <c r="CH175" s="36">
        <f>IF(A175="","",IFERROR(-CD175/CG175,"n/a"))</f>
        <v/>
      </c>
    </row>
    <row r="176">
      <c r="A176" s="6">
        <f>Actions!A174</f>
        <v/>
      </c>
      <c r="B176" s="6">
        <f>Actions!B174</f>
        <v/>
      </c>
      <c r="C176" s="6">
        <f>Actions!D174</f>
        <v/>
      </c>
      <c r="D176" s="35">
        <f>Actions!E174</f>
        <v/>
      </c>
      <c r="E176" s="35">
        <f>Actions!F174</f>
        <v/>
      </c>
      <c r="F176" s="6">
        <f>Actions!G174</f>
        <v/>
      </c>
      <c r="G176" s="6">
        <f>Actions!H174</f>
        <v/>
      </c>
      <c r="H176" s="29">
        <f>Actions!I174</f>
        <v/>
      </c>
      <c r="I176" s="6">
        <f>Actions!J174</f>
        <v/>
      </c>
      <c r="J176" s="16">
        <f>Actions!K174</f>
        <v/>
      </c>
      <c r="K176" s="16">
        <f>IF(A176="","",IF(I176="%",H176*J176,J176))</f>
        <v/>
      </c>
      <c r="L176" s="16">
        <f>Actions!L174</f>
        <v/>
      </c>
      <c r="M176" s="6">
        <f>Actions!M174</f>
        <v/>
      </c>
      <c r="N176" s="28">
        <f>Actions!N174</f>
        <v/>
      </c>
      <c r="O176" s="29">
        <f>Actions!T174</f>
        <v/>
      </c>
      <c r="P176" s="29">
        <f>Actions!Y174</f>
        <v/>
      </c>
      <c r="Q176" s="29">
        <f>Actions!Z174</f>
        <v/>
      </c>
      <c r="R176" s="29">
        <f>Actions!AA174</f>
        <v/>
      </c>
      <c r="S176" s="29">
        <f>IF(A176="","",((K176)*(IF(M176="",L176,IFERROR(IF(INDEX(Variablen!$I:$AT, MATCH(M176, Variablen!$A:$A, 0), MATCH((YEAR(D176)+0), Variablen!$I$3:$AT$3, 0))="",L176,INDEX(Variablen!$I:$AT, MATCH(M176, Variablen!$A:$A, 0), MATCH((YEAR(D176)+0), Variablen!$I$3:$AT$3, 0))),L176)))*(IF((YEAR(D176)+0)&lt;YEAR(E176),0,IF((YEAR(D176)+0)&gt;YEAR(E176),1,(12-MONTH(E176)+1)/12))) + (Q176)*(IF((YEAR(D176)+0)&lt;YEAR(E176),0,IF((YEAR(D176)+0)&gt;YEAR(E176),1,(12-MONTH(E176)+1)/12))))-((P176)*(IF((YEAR(D176)+0)&lt;YEAR(E176),0,IF((YEAR(D176)+0)&gt;YEAR(E176),1,(12-MONTH(E176)+1)/12))) + (R176)*(IF((YEAR(D176)+0)&lt;YEAR(E176),0,IF((YEAR(D176)+0)&gt;YEAR(E176),1,(12-MONTH(E176)+1)/12))))-(IF((((K176)*(IF(M176="",L176,IFERROR(IF(INDEX(Variablen!$I:$AT, MATCH(M176, Variablen!$A:$A, 0), MATCH((YEAR(D176)+0), Variablen!$I$3:$AT$3, 0))="",L176,INDEX(Variablen!$I:$AT, MATCH(M176, Variablen!$A:$A, 0), MATCH((YEAR(D176)+0), Variablen!$I$3:$AT$3, 0))),L176)))*(IF((YEAR(D176)+0)&lt;YEAR(E176),0,IF((YEAR(D176)+0)&gt;YEAR(E176),1,(12-MONTH(E176)+1)/12))) + (Q176)*(IF((YEAR(D176)+0)&lt;YEAR(E176),0,IF((YEAR(D176)+0)&gt;YEAR(E176),1,(12-MONTH(E176)+1)/12))))-((P176)*(IF((YEAR(D176)+0)&lt;YEAR(E176),0,IF((YEAR(D176)+0)&gt;YEAR(E176),1,(12-MONTH(E176)+1)/12))) + (R176)*(IF((YEAR(D176)+0)&lt;YEAR(E176),0,IF((YEAR(D176)+0)&gt;YEAR(E176),1,(12-MONTH(E176)+1)/12))))-(IF(OR(N176="",N176&lt;=0),0,(O176/N176)*(IF(OR(N176="",N176&lt;=0),0,IF((YEAR(D176)+0)&lt;YEAR(E176),0,IF((YEAR(D176)+0)&gt;=YEAR(E176)+N176,0,IF((YEAR(D176)+0)=YEAR(E176),(12-MONTH(E176)+1)/12,1))))))))&gt;0,(((K176)*(IF(M176="",L176,IFERROR(IF(INDEX(Variablen!$I:$AT, MATCH(M176, Variablen!$A:$A, 0), MATCH((YEAR(D176)+0), Variablen!$I$3:$AT$3, 0))="",L176,INDEX(Variablen!$I:$AT, MATCH(M176, Variablen!$A:$A, 0), MATCH((YEAR(D176)+0), Variablen!$I$3:$AT$3, 0))),L176)))*(IF((YEAR(D176)+0)&lt;YEAR(E176),0,IF((YEAR(D176)+0)&gt;YEAR(E176),1,(12-MONTH(E176)+1)/12))) + (Q176)*(IF((YEAR(D176)+0)&lt;YEAR(E176),0,IF((YEAR(D176)+0)&gt;YEAR(E176),1,(12-MONTH(E176)+1)/12))))-((P176)*(IF((YEAR(D176)+0)&lt;YEAR(E176),0,IF((YEAR(D176)+0)&gt;YEAR(E176),1,(12-MONTH(E176)+1)/12))) + (R176)*(IF((YEAR(D176)+0)&lt;YEAR(E176),0,IF((YEAR(D176)+0)&gt;YEAR(E176),1,(12-MONTH(E176)+1)/12))))-(IF(OR(N176="",N176&lt;=0),0,(O176/N176)*(IF(OR(N176="",N176&lt;=0),0,IF((YEAR(D176)+0)&lt;YEAR(E176),0,IF((YEAR(D176)+0)&gt;=YEAR(E176)+N176,0,IF((YEAR(D176)+0)=YEAR(E176),(12-MONTH(E176)+1)/12,1))))))))*TaxRate,0))-IF(0=0,O176,0))</f>
        <v/>
      </c>
      <c r="T176" s="29">
        <f>IF(A176="","",((K176)*(IF(M176="",L176,IFERROR(IF(INDEX(Variablen!$I:$AT, MATCH(M176, Variablen!$A:$A, 0), MATCH((YEAR(D176)+1), Variablen!$I$3:$AT$3, 0))="",L176,INDEX(Variablen!$I:$AT, MATCH(M176, Variablen!$A:$A, 0), MATCH((YEAR(D176)+1), Variablen!$I$3:$AT$3, 0))),L176)))*(IF((YEAR(D176)+1)&lt;YEAR(E176),0,IF((YEAR(D176)+1)&gt;YEAR(E176),1,(12-MONTH(E176)+1)/12))) + (Q176)*(IF((YEAR(D176)+1)&lt;YEAR(E176),0,IF((YEAR(D176)+1)&gt;YEAR(E176),1,(12-MONTH(E176)+1)/12))))-((P176)*(IF((YEAR(D176)+1)&lt;YEAR(E176),0,IF((YEAR(D176)+1)&gt;YEAR(E176),1,(12-MONTH(E176)+1)/12))) + (R176)*(IF((YEAR(D176)+1)&lt;YEAR(E176),0,IF((YEAR(D176)+1)&gt;YEAR(E176),1,(12-MONTH(E176)+1)/12))))-(IF((((K176)*(IF(M176="",L176,IFERROR(IF(INDEX(Variablen!$I:$AT, MATCH(M176, Variablen!$A:$A, 0), MATCH((YEAR(D176)+1), Variablen!$I$3:$AT$3, 0))="",L176,INDEX(Variablen!$I:$AT, MATCH(M176, Variablen!$A:$A, 0), MATCH((YEAR(D176)+1), Variablen!$I$3:$AT$3, 0))),L176)))*(IF((YEAR(D176)+1)&lt;YEAR(E176),0,IF((YEAR(D176)+1)&gt;YEAR(E176),1,(12-MONTH(E176)+1)/12))) + (Q176)*(IF((YEAR(D176)+1)&lt;YEAR(E176),0,IF((YEAR(D176)+1)&gt;YEAR(E176),1,(12-MONTH(E176)+1)/12))))-((P176)*(IF((YEAR(D176)+1)&lt;YEAR(E176),0,IF((YEAR(D176)+1)&gt;YEAR(E176),1,(12-MONTH(E176)+1)/12))) + (R176)*(IF((YEAR(D176)+1)&lt;YEAR(E176),0,IF((YEAR(D176)+1)&gt;YEAR(E176),1,(12-MONTH(E176)+1)/12))))-(IF(OR(N176="",N176&lt;=0),0,(O176/N176)*(IF(OR(N176="",N176&lt;=0),0,IF((YEAR(D176)+1)&lt;YEAR(E176),0,IF((YEAR(D176)+1)&gt;=YEAR(E176)+N176,0,IF((YEAR(D176)+1)=YEAR(E176),(12-MONTH(E176)+1)/12,1))))))))&gt;0,(((K176)*(IF(M176="",L176,IFERROR(IF(INDEX(Variablen!$I:$AT, MATCH(M176, Variablen!$A:$A, 0), MATCH((YEAR(D176)+1), Variablen!$I$3:$AT$3, 0))="",L176,INDEX(Variablen!$I:$AT, MATCH(M176, Variablen!$A:$A, 0), MATCH((YEAR(D176)+1), Variablen!$I$3:$AT$3, 0))),L176)))*(IF((YEAR(D176)+1)&lt;YEAR(E176),0,IF((YEAR(D176)+1)&gt;YEAR(E176),1,(12-MONTH(E176)+1)/12))) + (Q176)*(IF((YEAR(D176)+1)&lt;YEAR(E176),0,IF((YEAR(D176)+1)&gt;YEAR(E176),1,(12-MONTH(E176)+1)/12))))-((P176)*(IF((YEAR(D176)+1)&lt;YEAR(E176),0,IF((YEAR(D176)+1)&gt;YEAR(E176),1,(12-MONTH(E176)+1)/12))) + (R176)*(IF((YEAR(D176)+1)&lt;YEAR(E176),0,IF((YEAR(D176)+1)&gt;YEAR(E176),1,(12-MONTH(E176)+1)/12))))-(IF(OR(N176="",N176&lt;=0),0,(O176/N176)*(IF(OR(N176="",N176&lt;=0),0,IF((YEAR(D176)+1)&lt;YEAR(E176),0,IF((YEAR(D176)+1)&gt;=YEAR(E176)+N176,0,IF((YEAR(D176)+1)=YEAR(E176),(12-MONTH(E176)+1)/12,1))))))))*TaxRate,0))-IF(1=0,O176,0))</f>
        <v/>
      </c>
      <c r="U176" s="29">
        <f>IF(A176="","",((K176)*(IF(M176="",L176,IFERROR(IF(INDEX(Variablen!$I:$AT, MATCH(M176, Variablen!$A:$A, 0), MATCH((YEAR(D176)+2), Variablen!$I$3:$AT$3, 0))="",L176,INDEX(Variablen!$I:$AT, MATCH(M176, Variablen!$A:$A, 0), MATCH((YEAR(D176)+2), Variablen!$I$3:$AT$3, 0))),L176)))*(IF((YEAR(D176)+2)&lt;YEAR(E176),0,IF((YEAR(D176)+2)&gt;YEAR(E176),1,(12-MONTH(E176)+1)/12))) + (Q176)*(IF((YEAR(D176)+2)&lt;YEAR(E176),0,IF((YEAR(D176)+2)&gt;YEAR(E176),1,(12-MONTH(E176)+1)/12))))-((P176)*(IF((YEAR(D176)+2)&lt;YEAR(E176),0,IF((YEAR(D176)+2)&gt;YEAR(E176),1,(12-MONTH(E176)+1)/12))) + (R176)*(IF((YEAR(D176)+2)&lt;YEAR(E176),0,IF((YEAR(D176)+2)&gt;YEAR(E176),1,(12-MONTH(E176)+1)/12))))-(IF((((K176)*(IF(M176="",L176,IFERROR(IF(INDEX(Variablen!$I:$AT, MATCH(M176, Variablen!$A:$A, 0), MATCH((YEAR(D176)+2), Variablen!$I$3:$AT$3, 0))="",L176,INDEX(Variablen!$I:$AT, MATCH(M176, Variablen!$A:$A, 0), MATCH((YEAR(D176)+2), Variablen!$I$3:$AT$3, 0))),L176)))*(IF((YEAR(D176)+2)&lt;YEAR(E176),0,IF((YEAR(D176)+2)&gt;YEAR(E176),1,(12-MONTH(E176)+1)/12))) + (Q176)*(IF((YEAR(D176)+2)&lt;YEAR(E176),0,IF((YEAR(D176)+2)&gt;YEAR(E176),1,(12-MONTH(E176)+1)/12))))-((P176)*(IF((YEAR(D176)+2)&lt;YEAR(E176),0,IF((YEAR(D176)+2)&gt;YEAR(E176),1,(12-MONTH(E176)+1)/12))) + (R176)*(IF((YEAR(D176)+2)&lt;YEAR(E176),0,IF((YEAR(D176)+2)&gt;YEAR(E176),1,(12-MONTH(E176)+1)/12))))-(IF(OR(N176="",N176&lt;=0),0,(O176/N176)*(IF(OR(N176="",N176&lt;=0),0,IF((YEAR(D176)+2)&lt;YEAR(E176),0,IF((YEAR(D176)+2)&gt;=YEAR(E176)+N176,0,IF((YEAR(D176)+2)=YEAR(E176),(12-MONTH(E176)+1)/12,1))))))))&gt;0,(((K176)*(IF(M176="",L176,IFERROR(IF(INDEX(Variablen!$I:$AT, MATCH(M176, Variablen!$A:$A, 0), MATCH((YEAR(D176)+2), Variablen!$I$3:$AT$3, 0))="",L176,INDEX(Variablen!$I:$AT, MATCH(M176, Variablen!$A:$A, 0), MATCH((YEAR(D176)+2), Variablen!$I$3:$AT$3, 0))),L176)))*(IF((YEAR(D176)+2)&lt;YEAR(E176),0,IF((YEAR(D176)+2)&gt;YEAR(E176),1,(12-MONTH(E176)+1)/12))) + (Q176)*(IF((YEAR(D176)+2)&lt;YEAR(E176),0,IF((YEAR(D176)+2)&gt;YEAR(E176),1,(12-MONTH(E176)+1)/12))))-((P176)*(IF((YEAR(D176)+2)&lt;YEAR(E176),0,IF((YEAR(D176)+2)&gt;YEAR(E176),1,(12-MONTH(E176)+1)/12))) + (R176)*(IF((YEAR(D176)+2)&lt;YEAR(E176),0,IF((YEAR(D176)+2)&gt;YEAR(E176),1,(12-MONTH(E176)+1)/12))))-(IF(OR(N176="",N176&lt;=0),0,(O176/N176)*(IF(OR(N176="",N176&lt;=0),0,IF((YEAR(D176)+2)&lt;YEAR(E176),0,IF((YEAR(D176)+2)&gt;=YEAR(E176)+N176,0,IF((YEAR(D176)+2)=YEAR(E176),(12-MONTH(E176)+1)/12,1))))))))*TaxRate,0))-IF(2=0,O176,0))</f>
        <v/>
      </c>
      <c r="V176" s="29">
        <f>IF(A176="","",((K176)*(IF(M176="",L176,IFERROR(IF(INDEX(Variablen!$I:$AT, MATCH(M176, Variablen!$A:$A, 0), MATCH((YEAR(D176)+3), Variablen!$I$3:$AT$3, 0))="",L176,INDEX(Variablen!$I:$AT, MATCH(M176, Variablen!$A:$A, 0), MATCH((YEAR(D176)+3), Variablen!$I$3:$AT$3, 0))),L176)))*(IF((YEAR(D176)+3)&lt;YEAR(E176),0,IF((YEAR(D176)+3)&gt;YEAR(E176),1,(12-MONTH(E176)+1)/12))) + (Q176)*(IF((YEAR(D176)+3)&lt;YEAR(E176),0,IF((YEAR(D176)+3)&gt;YEAR(E176),1,(12-MONTH(E176)+1)/12))))-((P176)*(IF((YEAR(D176)+3)&lt;YEAR(E176),0,IF((YEAR(D176)+3)&gt;YEAR(E176),1,(12-MONTH(E176)+1)/12))) + (R176)*(IF((YEAR(D176)+3)&lt;YEAR(E176),0,IF((YEAR(D176)+3)&gt;YEAR(E176),1,(12-MONTH(E176)+1)/12))))-(IF((((K176)*(IF(M176="",L176,IFERROR(IF(INDEX(Variablen!$I:$AT, MATCH(M176, Variablen!$A:$A, 0), MATCH((YEAR(D176)+3), Variablen!$I$3:$AT$3, 0))="",L176,INDEX(Variablen!$I:$AT, MATCH(M176, Variablen!$A:$A, 0), MATCH((YEAR(D176)+3), Variablen!$I$3:$AT$3, 0))),L176)))*(IF((YEAR(D176)+3)&lt;YEAR(E176),0,IF((YEAR(D176)+3)&gt;YEAR(E176),1,(12-MONTH(E176)+1)/12))) + (Q176)*(IF((YEAR(D176)+3)&lt;YEAR(E176),0,IF((YEAR(D176)+3)&gt;YEAR(E176),1,(12-MONTH(E176)+1)/12))))-((P176)*(IF((YEAR(D176)+3)&lt;YEAR(E176),0,IF((YEAR(D176)+3)&gt;YEAR(E176),1,(12-MONTH(E176)+1)/12))) + (R176)*(IF((YEAR(D176)+3)&lt;YEAR(E176),0,IF((YEAR(D176)+3)&gt;YEAR(E176),1,(12-MONTH(E176)+1)/12))))-(IF(OR(N176="",N176&lt;=0),0,(O176/N176)*(IF(OR(N176="",N176&lt;=0),0,IF((YEAR(D176)+3)&lt;YEAR(E176),0,IF((YEAR(D176)+3)&gt;=YEAR(E176)+N176,0,IF((YEAR(D176)+3)=YEAR(E176),(12-MONTH(E176)+1)/12,1))))))))&gt;0,(((K176)*(IF(M176="",L176,IFERROR(IF(INDEX(Variablen!$I:$AT, MATCH(M176, Variablen!$A:$A, 0), MATCH((YEAR(D176)+3), Variablen!$I$3:$AT$3, 0))="",L176,INDEX(Variablen!$I:$AT, MATCH(M176, Variablen!$A:$A, 0), MATCH((YEAR(D176)+3), Variablen!$I$3:$AT$3, 0))),L176)))*(IF((YEAR(D176)+3)&lt;YEAR(E176),0,IF((YEAR(D176)+3)&gt;YEAR(E176),1,(12-MONTH(E176)+1)/12))) + (Q176)*(IF((YEAR(D176)+3)&lt;YEAR(E176),0,IF((YEAR(D176)+3)&gt;YEAR(E176),1,(12-MONTH(E176)+1)/12))))-((P176)*(IF((YEAR(D176)+3)&lt;YEAR(E176),0,IF((YEAR(D176)+3)&gt;YEAR(E176),1,(12-MONTH(E176)+1)/12))) + (R176)*(IF((YEAR(D176)+3)&lt;YEAR(E176),0,IF((YEAR(D176)+3)&gt;YEAR(E176),1,(12-MONTH(E176)+1)/12))))-(IF(OR(N176="",N176&lt;=0),0,(O176/N176)*(IF(OR(N176="",N176&lt;=0),0,IF((YEAR(D176)+3)&lt;YEAR(E176),0,IF((YEAR(D176)+3)&gt;=YEAR(E176)+N176,0,IF((YEAR(D176)+3)=YEAR(E176),(12-MONTH(E176)+1)/12,1))))))))*TaxRate,0))-IF(3=0,O176,0))</f>
        <v/>
      </c>
      <c r="W176" s="29">
        <f>IF(A176="","",((K176)*(IF(M176="",L176,IFERROR(IF(INDEX(Variablen!$I:$AT, MATCH(M176, Variablen!$A:$A, 0), MATCH((YEAR(D176)+4), Variablen!$I$3:$AT$3, 0))="",L176,INDEX(Variablen!$I:$AT, MATCH(M176, Variablen!$A:$A, 0), MATCH((YEAR(D176)+4), Variablen!$I$3:$AT$3, 0))),L176)))*(IF((YEAR(D176)+4)&lt;YEAR(E176),0,IF((YEAR(D176)+4)&gt;YEAR(E176),1,(12-MONTH(E176)+1)/12))) + (Q176)*(IF((YEAR(D176)+4)&lt;YEAR(E176),0,IF((YEAR(D176)+4)&gt;YEAR(E176),1,(12-MONTH(E176)+1)/12))))-((P176)*(IF((YEAR(D176)+4)&lt;YEAR(E176),0,IF((YEAR(D176)+4)&gt;YEAR(E176),1,(12-MONTH(E176)+1)/12))) + (R176)*(IF((YEAR(D176)+4)&lt;YEAR(E176),0,IF((YEAR(D176)+4)&gt;YEAR(E176),1,(12-MONTH(E176)+1)/12))))-(IF((((K176)*(IF(M176="",L176,IFERROR(IF(INDEX(Variablen!$I:$AT, MATCH(M176, Variablen!$A:$A, 0), MATCH((YEAR(D176)+4), Variablen!$I$3:$AT$3, 0))="",L176,INDEX(Variablen!$I:$AT, MATCH(M176, Variablen!$A:$A, 0), MATCH((YEAR(D176)+4), Variablen!$I$3:$AT$3, 0))),L176)))*(IF((YEAR(D176)+4)&lt;YEAR(E176),0,IF((YEAR(D176)+4)&gt;YEAR(E176),1,(12-MONTH(E176)+1)/12))) + (Q176)*(IF((YEAR(D176)+4)&lt;YEAR(E176),0,IF((YEAR(D176)+4)&gt;YEAR(E176),1,(12-MONTH(E176)+1)/12))))-((P176)*(IF((YEAR(D176)+4)&lt;YEAR(E176),0,IF((YEAR(D176)+4)&gt;YEAR(E176),1,(12-MONTH(E176)+1)/12))) + (R176)*(IF((YEAR(D176)+4)&lt;YEAR(E176),0,IF((YEAR(D176)+4)&gt;YEAR(E176),1,(12-MONTH(E176)+1)/12))))-(IF(OR(N176="",N176&lt;=0),0,(O176/N176)*(IF(OR(N176="",N176&lt;=0),0,IF((YEAR(D176)+4)&lt;YEAR(E176),0,IF((YEAR(D176)+4)&gt;=YEAR(E176)+N176,0,IF((YEAR(D176)+4)=YEAR(E176),(12-MONTH(E176)+1)/12,1))))))))&gt;0,(((K176)*(IF(M176="",L176,IFERROR(IF(INDEX(Variablen!$I:$AT, MATCH(M176, Variablen!$A:$A, 0), MATCH((YEAR(D176)+4), Variablen!$I$3:$AT$3, 0))="",L176,INDEX(Variablen!$I:$AT, MATCH(M176, Variablen!$A:$A, 0), MATCH((YEAR(D176)+4), Variablen!$I$3:$AT$3, 0))),L176)))*(IF((YEAR(D176)+4)&lt;YEAR(E176),0,IF((YEAR(D176)+4)&gt;YEAR(E176),1,(12-MONTH(E176)+1)/12))) + (Q176)*(IF((YEAR(D176)+4)&lt;YEAR(E176),0,IF((YEAR(D176)+4)&gt;YEAR(E176),1,(12-MONTH(E176)+1)/12))))-((P176)*(IF((YEAR(D176)+4)&lt;YEAR(E176),0,IF((YEAR(D176)+4)&gt;YEAR(E176),1,(12-MONTH(E176)+1)/12))) + (R176)*(IF((YEAR(D176)+4)&lt;YEAR(E176),0,IF((YEAR(D176)+4)&gt;YEAR(E176),1,(12-MONTH(E176)+1)/12))))-(IF(OR(N176="",N176&lt;=0),0,(O176/N176)*(IF(OR(N176="",N176&lt;=0),0,IF((YEAR(D176)+4)&lt;YEAR(E176),0,IF((YEAR(D176)+4)&gt;=YEAR(E176)+N176,0,IF((YEAR(D176)+4)=YEAR(E176),(12-MONTH(E176)+1)/12,1))))))))*TaxRate,0))-IF(4=0,O176,0))</f>
        <v/>
      </c>
      <c r="X176" s="29">
        <f>IF(A176="","",((K176)*(IF(M176="",L176,IFERROR(IF(INDEX(Variablen!$I:$AT, MATCH(M176, Variablen!$A:$A, 0), MATCH((YEAR(D176)+5), Variablen!$I$3:$AT$3, 0))="",L176,INDEX(Variablen!$I:$AT, MATCH(M176, Variablen!$A:$A, 0), MATCH((YEAR(D176)+5), Variablen!$I$3:$AT$3, 0))),L176)))*(IF((YEAR(D176)+5)&lt;YEAR(E176),0,IF((YEAR(D176)+5)&gt;YEAR(E176),1,(12-MONTH(E176)+1)/12))) + (Q176)*(IF((YEAR(D176)+5)&lt;YEAR(E176),0,IF((YEAR(D176)+5)&gt;YEAR(E176),1,(12-MONTH(E176)+1)/12))))-((P176)*(IF((YEAR(D176)+5)&lt;YEAR(E176),0,IF((YEAR(D176)+5)&gt;YEAR(E176),1,(12-MONTH(E176)+1)/12))) + (R176)*(IF((YEAR(D176)+5)&lt;YEAR(E176),0,IF((YEAR(D176)+5)&gt;YEAR(E176),1,(12-MONTH(E176)+1)/12))))-(IF((((K176)*(IF(M176="",L176,IFERROR(IF(INDEX(Variablen!$I:$AT, MATCH(M176, Variablen!$A:$A, 0), MATCH((YEAR(D176)+5), Variablen!$I$3:$AT$3, 0))="",L176,INDEX(Variablen!$I:$AT, MATCH(M176, Variablen!$A:$A, 0), MATCH((YEAR(D176)+5), Variablen!$I$3:$AT$3, 0))),L176)))*(IF((YEAR(D176)+5)&lt;YEAR(E176),0,IF((YEAR(D176)+5)&gt;YEAR(E176),1,(12-MONTH(E176)+1)/12))) + (Q176)*(IF((YEAR(D176)+5)&lt;YEAR(E176),0,IF((YEAR(D176)+5)&gt;YEAR(E176),1,(12-MONTH(E176)+1)/12))))-((P176)*(IF((YEAR(D176)+5)&lt;YEAR(E176),0,IF((YEAR(D176)+5)&gt;YEAR(E176),1,(12-MONTH(E176)+1)/12))) + (R176)*(IF((YEAR(D176)+5)&lt;YEAR(E176),0,IF((YEAR(D176)+5)&gt;YEAR(E176),1,(12-MONTH(E176)+1)/12))))-(IF(OR(N176="",N176&lt;=0),0,(O176/N176)*(IF(OR(N176="",N176&lt;=0),0,IF((YEAR(D176)+5)&lt;YEAR(E176),0,IF((YEAR(D176)+5)&gt;=YEAR(E176)+N176,0,IF((YEAR(D176)+5)=YEAR(E176),(12-MONTH(E176)+1)/12,1))))))))&gt;0,(((K176)*(IF(M176="",L176,IFERROR(IF(INDEX(Variablen!$I:$AT, MATCH(M176, Variablen!$A:$A, 0), MATCH((YEAR(D176)+5), Variablen!$I$3:$AT$3, 0))="",L176,INDEX(Variablen!$I:$AT, MATCH(M176, Variablen!$A:$A, 0), MATCH((YEAR(D176)+5), Variablen!$I$3:$AT$3, 0))),L176)))*(IF((YEAR(D176)+5)&lt;YEAR(E176),0,IF((YEAR(D176)+5)&gt;YEAR(E176),1,(12-MONTH(E176)+1)/12))) + (Q176)*(IF((YEAR(D176)+5)&lt;YEAR(E176),0,IF((YEAR(D176)+5)&gt;YEAR(E176),1,(12-MONTH(E176)+1)/12))))-((P176)*(IF((YEAR(D176)+5)&lt;YEAR(E176),0,IF((YEAR(D176)+5)&gt;YEAR(E176),1,(12-MONTH(E176)+1)/12))) + (R176)*(IF((YEAR(D176)+5)&lt;YEAR(E176),0,IF((YEAR(D176)+5)&gt;YEAR(E176),1,(12-MONTH(E176)+1)/12))))-(IF(OR(N176="",N176&lt;=0),0,(O176/N176)*(IF(OR(N176="",N176&lt;=0),0,IF((YEAR(D176)+5)&lt;YEAR(E176),0,IF((YEAR(D176)+5)&gt;=YEAR(E176)+N176,0,IF((YEAR(D176)+5)=YEAR(E176),(12-MONTH(E176)+1)/12,1))))))))*TaxRate,0))-IF(5=0,O176,0))</f>
        <v/>
      </c>
      <c r="Y176" s="29">
        <f>IF(A176="","",((K176)*(IF(M176="",L176,IFERROR(IF(INDEX(Variablen!$I:$AT, MATCH(M176, Variablen!$A:$A, 0), MATCH((YEAR(D176)+6), Variablen!$I$3:$AT$3, 0))="",L176,INDEX(Variablen!$I:$AT, MATCH(M176, Variablen!$A:$A, 0), MATCH((YEAR(D176)+6), Variablen!$I$3:$AT$3, 0))),L176)))*(IF((YEAR(D176)+6)&lt;YEAR(E176),0,IF((YEAR(D176)+6)&gt;YEAR(E176),1,(12-MONTH(E176)+1)/12))) + (Q176)*(IF((YEAR(D176)+6)&lt;YEAR(E176),0,IF((YEAR(D176)+6)&gt;YEAR(E176),1,(12-MONTH(E176)+1)/12))))-((P176)*(IF((YEAR(D176)+6)&lt;YEAR(E176),0,IF((YEAR(D176)+6)&gt;YEAR(E176),1,(12-MONTH(E176)+1)/12))) + (R176)*(IF((YEAR(D176)+6)&lt;YEAR(E176),0,IF((YEAR(D176)+6)&gt;YEAR(E176),1,(12-MONTH(E176)+1)/12))))-(IF((((K176)*(IF(M176="",L176,IFERROR(IF(INDEX(Variablen!$I:$AT, MATCH(M176, Variablen!$A:$A, 0), MATCH((YEAR(D176)+6), Variablen!$I$3:$AT$3, 0))="",L176,INDEX(Variablen!$I:$AT, MATCH(M176, Variablen!$A:$A, 0), MATCH((YEAR(D176)+6), Variablen!$I$3:$AT$3, 0))),L176)))*(IF((YEAR(D176)+6)&lt;YEAR(E176),0,IF((YEAR(D176)+6)&gt;YEAR(E176),1,(12-MONTH(E176)+1)/12))) + (Q176)*(IF((YEAR(D176)+6)&lt;YEAR(E176),0,IF((YEAR(D176)+6)&gt;YEAR(E176),1,(12-MONTH(E176)+1)/12))))-((P176)*(IF((YEAR(D176)+6)&lt;YEAR(E176),0,IF((YEAR(D176)+6)&gt;YEAR(E176),1,(12-MONTH(E176)+1)/12))) + (R176)*(IF((YEAR(D176)+6)&lt;YEAR(E176),0,IF((YEAR(D176)+6)&gt;YEAR(E176),1,(12-MONTH(E176)+1)/12))))-(IF(OR(N176="",N176&lt;=0),0,(O176/N176)*(IF(OR(N176="",N176&lt;=0),0,IF((YEAR(D176)+6)&lt;YEAR(E176),0,IF((YEAR(D176)+6)&gt;=YEAR(E176)+N176,0,IF((YEAR(D176)+6)=YEAR(E176),(12-MONTH(E176)+1)/12,1))))))))&gt;0,(((K176)*(IF(M176="",L176,IFERROR(IF(INDEX(Variablen!$I:$AT, MATCH(M176, Variablen!$A:$A, 0), MATCH((YEAR(D176)+6), Variablen!$I$3:$AT$3, 0))="",L176,INDEX(Variablen!$I:$AT, MATCH(M176, Variablen!$A:$A, 0), MATCH((YEAR(D176)+6), Variablen!$I$3:$AT$3, 0))),L176)))*(IF((YEAR(D176)+6)&lt;YEAR(E176),0,IF((YEAR(D176)+6)&gt;YEAR(E176),1,(12-MONTH(E176)+1)/12))) + (Q176)*(IF((YEAR(D176)+6)&lt;YEAR(E176),0,IF((YEAR(D176)+6)&gt;YEAR(E176),1,(12-MONTH(E176)+1)/12))))-((P176)*(IF((YEAR(D176)+6)&lt;YEAR(E176),0,IF((YEAR(D176)+6)&gt;YEAR(E176),1,(12-MONTH(E176)+1)/12))) + (R176)*(IF((YEAR(D176)+6)&lt;YEAR(E176),0,IF((YEAR(D176)+6)&gt;YEAR(E176),1,(12-MONTH(E176)+1)/12))))-(IF(OR(N176="",N176&lt;=0),0,(O176/N176)*(IF(OR(N176="",N176&lt;=0),0,IF((YEAR(D176)+6)&lt;YEAR(E176),0,IF((YEAR(D176)+6)&gt;=YEAR(E176)+N176,0,IF((YEAR(D176)+6)=YEAR(E176),(12-MONTH(E176)+1)/12,1))))))))*TaxRate,0))-IF(6=0,O176,0))</f>
        <v/>
      </c>
      <c r="Z176" s="29">
        <f>IF(A176="","",((K176)*(IF(M176="",L176,IFERROR(IF(INDEX(Variablen!$I:$AT, MATCH(M176, Variablen!$A:$A, 0), MATCH((YEAR(D176)+7), Variablen!$I$3:$AT$3, 0))="",L176,INDEX(Variablen!$I:$AT, MATCH(M176, Variablen!$A:$A, 0), MATCH((YEAR(D176)+7), Variablen!$I$3:$AT$3, 0))),L176)))*(IF((YEAR(D176)+7)&lt;YEAR(E176),0,IF((YEAR(D176)+7)&gt;YEAR(E176),1,(12-MONTH(E176)+1)/12))) + (Q176)*(IF((YEAR(D176)+7)&lt;YEAR(E176),0,IF((YEAR(D176)+7)&gt;YEAR(E176),1,(12-MONTH(E176)+1)/12))))-((P176)*(IF((YEAR(D176)+7)&lt;YEAR(E176),0,IF((YEAR(D176)+7)&gt;YEAR(E176),1,(12-MONTH(E176)+1)/12))) + (R176)*(IF((YEAR(D176)+7)&lt;YEAR(E176),0,IF((YEAR(D176)+7)&gt;YEAR(E176),1,(12-MONTH(E176)+1)/12))))-(IF((((K176)*(IF(M176="",L176,IFERROR(IF(INDEX(Variablen!$I:$AT, MATCH(M176, Variablen!$A:$A, 0), MATCH((YEAR(D176)+7), Variablen!$I$3:$AT$3, 0))="",L176,INDEX(Variablen!$I:$AT, MATCH(M176, Variablen!$A:$A, 0), MATCH((YEAR(D176)+7), Variablen!$I$3:$AT$3, 0))),L176)))*(IF((YEAR(D176)+7)&lt;YEAR(E176),0,IF((YEAR(D176)+7)&gt;YEAR(E176),1,(12-MONTH(E176)+1)/12))) + (Q176)*(IF((YEAR(D176)+7)&lt;YEAR(E176),0,IF((YEAR(D176)+7)&gt;YEAR(E176),1,(12-MONTH(E176)+1)/12))))-((P176)*(IF((YEAR(D176)+7)&lt;YEAR(E176),0,IF((YEAR(D176)+7)&gt;YEAR(E176),1,(12-MONTH(E176)+1)/12))) + (R176)*(IF((YEAR(D176)+7)&lt;YEAR(E176),0,IF((YEAR(D176)+7)&gt;YEAR(E176),1,(12-MONTH(E176)+1)/12))))-(IF(OR(N176="",N176&lt;=0),0,(O176/N176)*(IF(OR(N176="",N176&lt;=0),0,IF((YEAR(D176)+7)&lt;YEAR(E176),0,IF((YEAR(D176)+7)&gt;=YEAR(E176)+N176,0,IF((YEAR(D176)+7)=YEAR(E176),(12-MONTH(E176)+1)/12,1))))))))&gt;0,(((K176)*(IF(M176="",L176,IFERROR(IF(INDEX(Variablen!$I:$AT, MATCH(M176, Variablen!$A:$A, 0), MATCH((YEAR(D176)+7), Variablen!$I$3:$AT$3, 0))="",L176,INDEX(Variablen!$I:$AT, MATCH(M176, Variablen!$A:$A, 0), MATCH((YEAR(D176)+7), Variablen!$I$3:$AT$3, 0))),L176)))*(IF((YEAR(D176)+7)&lt;YEAR(E176),0,IF((YEAR(D176)+7)&gt;YEAR(E176),1,(12-MONTH(E176)+1)/12))) + (Q176)*(IF((YEAR(D176)+7)&lt;YEAR(E176),0,IF((YEAR(D176)+7)&gt;YEAR(E176),1,(12-MONTH(E176)+1)/12))))-((P176)*(IF((YEAR(D176)+7)&lt;YEAR(E176),0,IF((YEAR(D176)+7)&gt;YEAR(E176),1,(12-MONTH(E176)+1)/12))) + (R176)*(IF((YEAR(D176)+7)&lt;YEAR(E176),0,IF((YEAR(D176)+7)&gt;YEAR(E176),1,(12-MONTH(E176)+1)/12))))-(IF(OR(N176="",N176&lt;=0),0,(O176/N176)*(IF(OR(N176="",N176&lt;=0),0,IF((YEAR(D176)+7)&lt;YEAR(E176),0,IF((YEAR(D176)+7)&gt;=YEAR(E176)+N176,0,IF((YEAR(D176)+7)=YEAR(E176),(12-MONTH(E176)+1)/12,1))))))))*TaxRate,0))-IF(7=0,O176,0))</f>
        <v/>
      </c>
      <c r="AA176" s="29">
        <f>IF(A176="","",((K176)*(IF(M176="",L176,IFERROR(IF(INDEX(Variablen!$I:$AT, MATCH(M176, Variablen!$A:$A, 0), MATCH((YEAR(D176)+8), Variablen!$I$3:$AT$3, 0))="",L176,INDEX(Variablen!$I:$AT, MATCH(M176, Variablen!$A:$A, 0), MATCH((YEAR(D176)+8), Variablen!$I$3:$AT$3, 0))),L176)))*(IF((YEAR(D176)+8)&lt;YEAR(E176),0,IF((YEAR(D176)+8)&gt;YEAR(E176),1,(12-MONTH(E176)+1)/12))) + (Q176)*(IF((YEAR(D176)+8)&lt;YEAR(E176),0,IF((YEAR(D176)+8)&gt;YEAR(E176),1,(12-MONTH(E176)+1)/12))))-((P176)*(IF((YEAR(D176)+8)&lt;YEAR(E176),0,IF((YEAR(D176)+8)&gt;YEAR(E176),1,(12-MONTH(E176)+1)/12))) + (R176)*(IF((YEAR(D176)+8)&lt;YEAR(E176),0,IF((YEAR(D176)+8)&gt;YEAR(E176),1,(12-MONTH(E176)+1)/12))))-(IF((((K176)*(IF(M176="",L176,IFERROR(IF(INDEX(Variablen!$I:$AT, MATCH(M176, Variablen!$A:$A, 0), MATCH((YEAR(D176)+8), Variablen!$I$3:$AT$3, 0))="",L176,INDEX(Variablen!$I:$AT, MATCH(M176, Variablen!$A:$A, 0), MATCH((YEAR(D176)+8), Variablen!$I$3:$AT$3, 0))),L176)))*(IF((YEAR(D176)+8)&lt;YEAR(E176),0,IF((YEAR(D176)+8)&gt;YEAR(E176),1,(12-MONTH(E176)+1)/12))) + (Q176)*(IF((YEAR(D176)+8)&lt;YEAR(E176),0,IF((YEAR(D176)+8)&gt;YEAR(E176),1,(12-MONTH(E176)+1)/12))))-((P176)*(IF((YEAR(D176)+8)&lt;YEAR(E176),0,IF((YEAR(D176)+8)&gt;YEAR(E176),1,(12-MONTH(E176)+1)/12))) + (R176)*(IF((YEAR(D176)+8)&lt;YEAR(E176),0,IF((YEAR(D176)+8)&gt;YEAR(E176),1,(12-MONTH(E176)+1)/12))))-(IF(OR(N176="",N176&lt;=0),0,(O176/N176)*(IF(OR(N176="",N176&lt;=0),0,IF((YEAR(D176)+8)&lt;YEAR(E176),0,IF((YEAR(D176)+8)&gt;=YEAR(E176)+N176,0,IF((YEAR(D176)+8)=YEAR(E176),(12-MONTH(E176)+1)/12,1))))))))&gt;0,(((K176)*(IF(M176="",L176,IFERROR(IF(INDEX(Variablen!$I:$AT, MATCH(M176, Variablen!$A:$A, 0), MATCH((YEAR(D176)+8), Variablen!$I$3:$AT$3, 0))="",L176,INDEX(Variablen!$I:$AT, MATCH(M176, Variablen!$A:$A, 0), MATCH((YEAR(D176)+8), Variablen!$I$3:$AT$3, 0))),L176)))*(IF((YEAR(D176)+8)&lt;YEAR(E176),0,IF((YEAR(D176)+8)&gt;YEAR(E176),1,(12-MONTH(E176)+1)/12))) + (Q176)*(IF((YEAR(D176)+8)&lt;YEAR(E176),0,IF((YEAR(D176)+8)&gt;YEAR(E176),1,(12-MONTH(E176)+1)/12))))-((P176)*(IF((YEAR(D176)+8)&lt;YEAR(E176),0,IF((YEAR(D176)+8)&gt;YEAR(E176),1,(12-MONTH(E176)+1)/12))) + (R176)*(IF((YEAR(D176)+8)&lt;YEAR(E176),0,IF((YEAR(D176)+8)&gt;YEAR(E176),1,(12-MONTH(E176)+1)/12))))-(IF(OR(N176="",N176&lt;=0),0,(O176/N176)*(IF(OR(N176="",N176&lt;=0),0,IF((YEAR(D176)+8)&lt;YEAR(E176),0,IF((YEAR(D176)+8)&gt;=YEAR(E176)+N176,0,IF((YEAR(D176)+8)=YEAR(E176),(12-MONTH(E176)+1)/12,1))))))))*TaxRate,0))-IF(8=0,O176,0))</f>
        <v/>
      </c>
      <c r="AB176" s="29">
        <f>IF(A176="","",((K176)*(IF(M176="",L176,IFERROR(IF(INDEX(Variablen!$I:$AT, MATCH(M176, Variablen!$A:$A, 0), MATCH((YEAR(D176)+9), Variablen!$I$3:$AT$3, 0))="",L176,INDEX(Variablen!$I:$AT, MATCH(M176, Variablen!$A:$A, 0), MATCH((YEAR(D176)+9), Variablen!$I$3:$AT$3, 0))),L176)))*(IF((YEAR(D176)+9)&lt;YEAR(E176),0,IF((YEAR(D176)+9)&gt;YEAR(E176),1,(12-MONTH(E176)+1)/12))) + (Q176)*(IF((YEAR(D176)+9)&lt;YEAR(E176),0,IF((YEAR(D176)+9)&gt;YEAR(E176),1,(12-MONTH(E176)+1)/12))))-((P176)*(IF((YEAR(D176)+9)&lt;YEAR(E176),0,IF((YEAR(D176)+9)&gt;YEAR(E176),1,(12-MONTH(E176)+1)/12))) + (R176)*(IF((YEAR(D176)+9)&lt;YEAR(E176),0,IF((YEAR(D176)+9)&gt;YEAR(E176),1,(12-MONTH(E176)+1)/12))))-(IF((((K176)*(IF(M176="",L176,IFERROR(IF(INDEX(Variablen!$I:$AT, MATCH(M176, Variablen!$A:$A, 0), MATCH((YEAR(D176)+9), Variablen!$I$3:$AT$3, 0))="",L176,INDEX(Variablen!$I:$AT, MATCH(M176, Variablen!$A:$A, 0), MATCH((YEAR(D176)+9), Variablen!$I$3:$AT$3, 0))),L176)))*(IF((YEAR(D176)+9)&lt;YEAR(E176),0,IF((YEAR(D176)+9)&gt;YEAR(E176),1,(12-MONTH(E176)+1)/12))) + (Q176)*(IF((YEAR(D176)+9)&lt;YEAR(E176),0,IF((YEAR(D176)+9)&gt;YEAR(E176),1,(12-MONTH(E176)+1)/12))))-((P176)*(IF((YEAR(D176)+9)&lt;YEAR(E176),0,IF((YEAR(D176)+9)&gt;YEAR(E176),1,(12-MONTH(E176)+1)/12))) + (R176)*(IF((YEAR(D176)+9)&lt;YEAR(E176),0,IF((YEAR(D176)+9)&gt;YEAR(E176),1,(12-MONTH(E176)+1)/12))))-(IF(OR(N176="",N176&lt;=0),0,(O176/N176)*(IF(OR(N176="",N176&lt;=0),0,IF((YEAR(D176)+9)&lt;YEAR(E176),0,IF((YEAR(D176)+9)&gt;=YEAR(E176)+N176,0,IF((YEAR(D176)+9)=YEAR(E176),(12-MONTH(E176)+1)/12,1))))))))&gt;0,(((K176)*(IF(M176="",L176,IFERROR(IF(INDEX(Variablen!$I:$AT, MATCH(M176, Variablen!$A:$A, 0), MATCH((YEAR(D176)+9), Variablen!$I$3:$AT$3, 0))="",L176,INDEX(Variablen!$I:$AT, MATCH(M176, Variablen!$A:$A, 0), MATCH((YEAR(D176)+9), Variablen!$I$3:$AT$3, 0))),L176)))*(IF((YEAR(D176)+9)&lt;YEAR(E176),0,IF((YEAR(D176)+9)&gt;YEAR(E176),1,(12-MONTH(E176)+1)/12))) + (Q176)*(IF((YEAR(D176)+9)&lt;YEAR(E176),0,IF((YEAR(D176)+9)&gt;YEAR(E176),1,(12-MONTH(E176)+1)/12))))-((P176)*(IF((YEAR(D176)+9)&lt;YEAR(E176),0,IF((YEAR(D176)+9)&gt;YEAR(E176),1,(12-MONTH(E176)+1)/12))) + (R176)*(IF((YEAR(D176)+9)&lt;YEAR(E176),0,IF((YEAR(D176)+9)&gt;YEAR(E176),1,(12-MONTH(E176)+1)/12))))-(IF(OR(N176="",N176&lt;=0),0,(O176/N176)*(IF(OR(N176="",N176&lt;=0),0,IF((YEAR(D176)+9)&lt;YEAR(E176),0,IF((YEAR(D176)+9)&gt;=YEAR(E176)+N176,0,IF((YEAR(D176)+9)=YEAR(E176),(12-MONTH(E176)+1)/12,1))))))))*TaxRate,0))-IF(9=0,O176,0))</f>
        <v/>
      </c>
      <c r="AC176" s="29">
        <f>IF(A176="","",((K176)*(IF(M176="",L176,IFERROR(IF(INDEX(Variablen!$I:$AT, MATCH(M176, Variablen!$A:$A, 0), MATCH((YEAR(D176)+10), Variablen!$I$3:$AT$3, 0))="",L176,INDEX(Variablen!$I:$AT, MATCH(M176, Variablen!$A:$A, 0), MATCH((YEAR(D176)+10), Variablen!$I$3:$AT$3, 0))),L176)))*(IF((YEAR(D176)+10)&lt;YEAR(E176),0,IF((YEAR(D176)+10)&gt;YEAR(E176),1,(12-MONTH(E176)+1)/12))) + (Q176)*(IF((YEAR(D176)+10)&lt;YEAR(E176),0,IF((YEAR(D176)+10)&gt;YEAR(E176),1,(12-MONTH(E176)+1)/12))))-((P176)*(IF((YEAR(D176)+10)&lt;YEAR(E176),0,IF((YEAR(D176)+10)&gt;YEAR(E176),1,(12-MONTH(E176)+1)/12))) + (R176)*(IF((YEAR(D176)+10)&lt;YEAR(E176),0,IF((YEAR(D176)+10)&gt;YEAR(E176),1,(12-MONTH(E176)+1)/12))))-(IF((((K176)*(IF(M176="",L176,IFERROR(IF(INDEX(Variablen!$I:$AT, MATCH(M176, Variablen!$A:$A, 0), MATCH((YEAR(D176)+10), Variablen!$I$3:$AT$3, 0))="",L176,INDEX(Variablen!$I:$AT, MATCH(M176, Variablen!$A:$A, 0), MATCH((YEAR(D176)+10), Variablen!$I$3:$AT$3, 0))),L176)))*(IF((YEAR(D176)+10)&lt;YEAR(E176),0,IF((YEAR(D176)+10)&gt;YEAR(E176),1,(12-MONTH(E176)+1)/12))) + (Q176)*(IF((YEAR(D176)+10)&lt;YEAR(E176),0,IF((YEAR(D176)+10)&gt;YEAR(E176),1,(12-MONTH(E176)+1)/12))))-((P176)*(IF((YEAR(D176)+10)&lt;YEAR(E176),0,IF((YEAR(D176)+10)&gt;YEAR(E176),1,(12-MONTH(E176)+1)/12))) + (R176)*(IF((YEAR(D176)+10)&lt;YEAR(E176),0,IF((YEAR(D176)+10)&gt;YEAR(E176),1,(12-MONTH(E176)+1)/12))))-(IF(OR(N176="",N176&lt;=0),0,(O176/N176)*(IF(OR(N176="",N176&lt;=0),0,IF((YEAR(D176)+10)&lt;YEAR(E176),0,IF((YEAR(D176)+10)&gt;=YEAR(E176)+N176,0,IF((YEAR(D176)+10)=YEAR(E176),(12-MONTH(E176)+1)/12,1))))))))&gt;0,(((K176)*(IF(M176="",L176,IFERROR(IF(INDEX(Variablen!$I:$AT, MATCH(M176, Variablen!$A:$A, 0), MATCH((YEAR(D176)+10), Variablen!$I$3:$AT$3, 0))="",L176,INDEX(Variablen!$I:$AT, MATCH(M176, Variablen!$A:$A, 0), MATCH((YEAR(D176)+10), Variablen!$I$3:$AT$3, 0))),L176)))*(IF((YEAR(D176)+10)&lt;YEAR(E176),0,IF((YEAR(D176)+10)&gt;YEAR(E176),1,(12-MONTH(E176)+1)/12))) + (Q176)*(IF((YEAR(D176)+10)&lt;YEAR(E176),0,IF((YEAR(D176)+10)&gt;YEAR(E176),1,(12-MONTH(E176)+1)/12))))-((P176)*(IF((YEAR(D176)+10)&lt;YEAR(E176),0,IF((YEAR(D176)+10)&gt;YEAR(E176),1,(12-MONTH(E176)+1)/12))) + (R176)*(IF((YEAR(D176)+10)&lt;YEAR(E176),0,IF((YEAR(D176)+10)&gt;YEAR(E176),1,(12-MONTH(E176)+1)/12))))-(IF(OR(N176="",N176&lt;=0),0,(O176/N176)*(IF(OR(N176="",N176&lt;=0),0,IF((YEAR(D176)+10)&lt;YEAR(E176),0,IF((YEAR(D176)+10)&gt;=YEAR(E176)+N176,0,IF((YEAR(D176)+10)=YEAR(E176),(12-MONTH(E176)+1)/12,1))))))))*TaxRate,0))-IF(10=0,O176,0))</f>
        <v/>
      </c>
      <c r="AD176" s="29">
        <f>IF(A176="","",((K176)*(IF(M176="",L176,IFERROR(IF(INDEX(Variablen!$I:$AT, MATCH(M176, Variablen!$A:$A, 0), MATCH((YEAR(D176)+11), Variablen!$I$3:$AT$3, 0))="",L176,INDEX(Variablen!$I:$AT, MATCH(M176, Variablen!$A:$A, 0), MATCH((YEAR(D176)+11), Variablen!$I$3:$AT$3, 0))),L176)))*(IF((YEAR(D176)+11)&lt;YEAR(E176),0,IF((YEAR(D176)+11)&gt;YEAR(E176),1,(12-MONTH(E176)+1)/12))) + (Q176)*(IF((YEAR(D176)+11)&lt;YEAR(E176),0,IF((YEAR(D176)+11)&gt;YEAR(E176),1,(12-MONTH(E176)+1)/12))))-((P176)*(IF((YEAR(D176)+11)&lt;YEAR(E176),0,IF((YEAR(D176)+11)&gt;YEAR(E176),1,(12-MONTH(E176)+1)/12))) + (R176)*(IF((YEAR(D176)+11)&lt;YEAR(E176),0,IF((YEAR(D176)+11)&gt;YEAR(E176),1,(12-MONTH(E176)+1)/12))))-(IF((((K176)*(IF(M176="",L176,IFERROR(IF(INDEX(Variablen!$I:$AT, MATCH(M176, Variablen!$A:$A, 0), MATCH((YEAR(D176)+11), Variablen!$I$3:$AT$3, 0))="",L176,INDEX(Variablen!$I:$AT, MATCH(M176, Variablen!$A:$A, 0), MATCH((YEAR(D176)+11), Variablen!$I$3:$AT$3, 0))),L176)))*(IF((YEAR(D176)+11)&lt;YEAR(E176),0,IF((YEAR(D176)+11)&gt;YEAR(E176),1,(12-MONTH(E176)+1)/12))) + (Q176)*(IF((YEAR(D176)+11)&lt;YEAR(E176),0,IF((YEAR(D176)+11)&gt;YEAR(E176),1,(12-MONTH(E176)+1)/12))))-((P176)*(IF((YEAR(D176)+11)&lt;YEAR(E176),0,IF((YEAR(D176)+11)&gt;YEAR(E176),1,(12-MONTH(E176)+1)/12))) + (R176)*(IF((YEAR(D176)+11)&lt;YEAR(E176),0,IF((YEAR(D176)+11)&gt;YEAR(E176),1,(12-MONTH(E176)+1)/12))))-(IF(OR(N176="",N176&lt;=0),0,(O176/N176)*(IF(OR(N176="",N176&lt;=0),0,IF((YEAR(D176)+11)&lt;YEAR(E176),0,IF((YEAR(D176)+11)&gt;=YEAR(E176)+N176,0,IF((YEAR(D176)+11)=YEAR(E176),(12-MONTH(E176)+1)/12,1))))))))&gt;0,(((K176)*(IF(M176="",L176,IFERROR(IF(INDEX(Variablen!$I:$AT, MATCH(M176, Variablen!$A:$A, 0), MATCH((YEAR(D176)+11), Variablen!$I$3:$AT$3, 0))="",L176,INDEX(Variablen!$I:$AT, MATCH(M176, Variablen!$A:$A, 0), MATCH((YEAR(D176)+11), Variablen!$I$3:$AT$3, 0))),L176)))*(IF((YEAR(D176)+11)&lt;YEAR(E176),0,IF((YEAR(D176)+11)&gt;YEAR(E176),1,(12-MONTH(E176)+1)/12))) + (Q176)*(IF((YEAR(D176)+11)&lt;YEAR(E176),0,IF((YEAR(D176)+11)&gt;YEAR(E176),1,(12-MONTH(E176)+1)/12))))-((P176)*(IF((YEAR(D176)+11)&lt;YEAR(E176),0,IF((YEAR(D176)+11)&gt;YEAR(E176),1,(12-MONTH(E176)+1)/12))) + (R176)*(IF((YEAR(D176)+11)&lt;YEAR(E176),0,IF((YEAR(D176)+11)&gt;YEAR(E176),1,(12-MONTH(E176)+1)/12))))-(IF(OR(N176="",N176&lt;=0),0,(O176/N176)*(IF(OR(N176="",N176&lt;=0),0,IF((YEAR(D176)+11)&lt;YEAR(E176),0,IF((YEAR(D176)+11)&gt;=YEAR(E176)+N176,0,IF((YEAR(D176)+11)=YEAR(E176),(12-MONTH(E176)+1)/12,1))))))))*TaxRate,0))-IF(11=0,O176,0))</f>
        <v/>
      </c>
      <c r="AE176" s="29">
        <f>IF(A176="","",((K176)*(IF(M176="",L176,IFERROR(IF(INDEX(Variablen!$I:$AT, MATCH(M176, Variablen!$A:$A, 0), MATCH((YEAR(D176)+12), Variablen!$I$3:$AT$3, 0))="",L176,INDEX(Variablen!$I:$AT, MATCH(M176, Variablen!$A:$A, 0), MATCH((YEAR(D176)+12), Variablen!$I$3:$AT$3, 0))),L176)))*(IF((YEAR(D176)+12)&lt;YEAR(E176),0,IF((YEAR(D176)+12)&gt;YEAR(E176),1,(12-MONTH(E176)+1)/12))) + (Q176)*(IF((YEAR(D176)+12)&lt;YEAR(E176),0,IF((YEAR(D176)+12)&gt;YEAR(E176),1,(12-MONTH(E176)+1)/12))))-((P176)*(IF((YEAR(D176)+12)&lt;YEAR(E176),0,IF((YEAR(D176)+12)&gt;YEAR(E176),1,(12-MONTH(E176)+1)/12))) + (R176)*(IF((YEAR(D176)+12)&lt;YEAR(E176),0,IF((YEAR(D176)+12)&gt;YEAR(E176),1,(12-MONTH(E176)+1)/12))))-(IF((((K176)*(IF(M176="",L176,IFERROR(IF(INDEX(Variablen!$I:$AT, MATCH(M176, Variablen!$A:$A, 0), MATCH((YEAR(D176)+12), Variablen!$I$3:$AT$3, 0))="",L176,INDEX(Variablen!$I:$AT, MATCH(M176, Variablen!$A:$A, 0), MATCH((YEAR(D176)+12), Variablen!$I$3:$AT$3, 0))),L176)))*(IF((YEAR(D176)+12)&lt;YEAR(E176),0,IF((YEAR(D176)+12)&gt;YEAR(E176),1,(12-MONTH(E176)+1)/12))) + (Q176)*(IF((YEAR(D176)+12)&lt;YEAR(E176),0,IF((YEAR(D176)+12)&gt;YEAR(E176),1,(12-MONTH(E176)+1)/12))))-((P176)*(IF((YEAR(D176)+12)&lt;YEAR(E176),0,IF((YEAR(D176)+12)&gt;YEAR(E176),1,(12-MONTH(E176)+1)/12))) + (R176)*(IF((YEAR(D176)+12)&lt;YEAR(E176),0,IF((YEAR(D176)+12)&gt;YEAR(E176),1,(12-MONTH(E176)+1)/12))))-(IF(OR(N176="",N176&lt;=0),0,(O176/N176)*(IF(OR(N176="",N176&lt;=0),0,IF((YEAR(D176)+12)&lt;YEAR(E176),0,IF((YEAR(D176)+12)&gt;=YEAR(E176)+N176,0,IF((YEAR(D176)+12)=YEAR(E176),(12-MONTH(E176)+1)/12,1))))))))&gt;0,(((K176)*(IF(M176="",L176,IFERROR(IF(INDEX(Variablen!$I:$AT, MATCH(M176, Variablen!$A:$A, 0), MATCH((YEAR(D176)+12), Variablen!$I$3:$AT$3, 0))="",L176,INDEX(Variablen!$I:$AT, MATCH(M176, Variablen!$A:$A, 0), MATCH((YEAR(D176)+12), Variablen!$I$3:$AT$3, 0))),L176)))*(IF((YEAR(D176)+12)&lt;YEAR(E176),0,IF((YEAR(D176)+12)&gt;YEAR(E176),1,(12-MONTH(E176)+1)/12))) + (Q176)*(IF((YEAR(D176)+12)&lt;YEAR(E176),0,IF((YEAR(D176)+12)&gt;YEAR(E176),1,(12-MONTH(E176)+1)/12))))-((P176)*(IF((YEAR(D176)+12)&lt;YEAR(E176),0,IF((YEAR(D176)+12)&gt;YEAR(E176),1,(12-MONTH(E176)+1)/12))) + (R176)*(IF((YEAR(D176)+12)&lt;YEAR(E176),0,IF((YEAR(D176)+12)&gt;YEAR(E176),1,(12-MONTH(E176)+1)/12))))-(IF(OR(N176="",N176&lt;=0),0,(O176/N176)*(IF(OR(N176="",N176&lt;=0),0,IF((YEAR(D176)+12)&lt;YEAR(E176),0,IF((YEAR(D176)+12)&gt;=YEAR(E176)+N176,0,IF((YEAR(D176)+12)=YEAR(E176),(12-MONTH(E176)+1)/12,1))))))))*TaxRate,0))-IF(12=0,O176,0))</f>
        <v/>
      </c>
      <c r="AF176" s="29">
        <f>IF(A176="","",((K176)*(IF(M176="",L176,IFERROR(IF(INDEX(Variablen!$I:$AT, MATCH(M176, Variablen!$A:$A, 0), MATCH((YEAR(D176)+13), Variablen!$I$3:$AT$3, 0))="",L176,INDEX(Variablen!$I:$AT, MATCH(M176, Variablen!$A:$A, 0), MATCH((YEAR(D176)+13), Variablen!$I$3:$AT$3, 0))),L176)))*(IF((YEAR(D176)+13)&lt;YEAR(E176),0,IF((YEAR(D176)+13)&gt;YEAR(E176),1,(12-MONTH(E176)+1)/12))) + (Q176)*(IF((YEAR(D176)+13)&lt;YEAR(E176),0,IF((YEAR(D176)+13)&gt;YEAR(E176),1,(12-MONTH(E176)+1)/12))))-((P176)*(IF((YEAR(D176)+13)&lt;YEAR(E176),0,IF((YEAR(D176)+13)&gt;YEAR(E176),1,(12-MONTH(E176)+1)/12))) + (R176)*(IF((YEAR(D176)+13)&lt;YEAR(E176),0,IF((YEAR(D176)+13)&gt;YEAR(E176),1,(12-MONTH(E176)+1)/12))))-(IF((((K176)*(IF(M176="",L176,IFERROR(IF(INDEX(Variablen!$I:$AT, MATCH(M176, Variablen!$A:$A, 0), MATCH((YEAR(D176)+13), Variablen!$I$3:$AT$3, 0))="",L176,INDEX(Variablen!$I:$AT, MATCH(M176, Variablen!$A:$A, 0), MATCH((YEAR(D176)+13), Variablen!$I$3:$AT$3, 0))),L176)))*(IF((YEAR(D176)+13)&lt;YEAR(E176),0,IF((YEAR(D176)+13)&gt;YEAR(E176),1,(12-MONTH(E176)+1)/12))) + (Q176)*(IF((YEAR(D176)+13)&lt;YEAR(E176),0,IF((YEAR(D176)+13)&gt;YEAR(E176),1,(12-MONTH(E176)+1)/12))))-((P176)*(IF((YEAR(D176)+13)&lt;YEAR(E176),0,IF((YEAR(D176)+13)&gt;YEAR(E176),1,(12-MONTH(E176)+1)/12))) + (R176)*(IF((YEAR(D176)+13)&lt;YEAR(E176),0,IF((YEAR(D176)+13)&gt;YEAR(E176),1,(12-MONTH(E176)+1)/12))))-(IF(OR(N176="",N176&lt;=0),0,(O176/N176)*(IF(OR(N176="",N176&lt;=0),0,IF((YEAR(D176)+13)&lt;YEAR(E176),0,IF((YEAR(D176)+13)&gt;=YEAR(E176)+N176,0,IF((YEAR(D176)+13)=YEAR(E176),(12-MONTH(E176)+1)/12,1))))))))&gt;0,(((K176)*(IF(M176="",L176,IFERROR(IF(INDEX(Variablen!$I:$AT, MATCH(M176, Variablen!$A:$A, 0), MATCH((YEAR(D176)+13), Variablen!$I$3:$AT$3, 0))="",L176,INDEX(Variablen!$I:$AT, MATCH(M176, Variablen!$A:$A, 0), MATCH((YEAR(D176)+13), Variablen!$I$3:$AT$3, 0))),L176)))*(IF((YEAR(D176)+13)&lt;YEAR(E176),0,IF((YEAR(D176)+13)&gt;YEAR(E176),1,(12-MONTH(E176)+1)/12))) + (Q176)*(IF((YEAR(D176)+13)&lt;YEAR(E176),0,IF((YEAR(D176)+13)&gt;YEAR(E176),1,(12-MONTH(E176)+1)/12))))-((P176)*(IF((YEAR(D176)+13)&lt;YEAR(E176),0,IF((YEAR(D176)+13)&gt;YEAR(E176),1,(12-MONTH(E176)+1)/12))) + (R176)*(IF((YEAR(D176)+13)&lt;YEAR(E176),0,IF((YEAR(D176)+13)&gt;YEAR(E176),1,(12-MONTH(E176)+1)/12))))-(IF(OR(N176="",N176&lt;=0),0,(O176/N176)*(IF(OR(N176="",N176&lt;=0),0,IF((YEAR(D176)+13)&lt;YEAR(E176),0,IF((YEAR(D176)+13)&gt;=YEAR(E176)+N176,0,IF((YEAR(D176)+13)=YEAR(E176),(12-MONTH(E176)+1)/12,1))))))))*TaxRate,0))-IF(13=0,O176,0))</f>
        <v/>
      </c>
      <c r="AG176" s="29">
        <f>IF(A176="","",((K176)*(IF(M176="",L176,IFERROR(IF(INDEX(Variablen!$I:$AT, MATCH(M176, Variablen!$A:$A, 0), MATCH((YEAR(D176)+14), Variablen!$I$3:$AT$3, 0))="",L176,INDEX(Variablen!$I:$AT, MATCH(M176, Variablen!$A:$A, 0), MATCH((YEAR(D176)+14), Variablen!$I$3:$AT$3, 0))),L176)))*(IF((YEAR(D176)+14)&lt;YEAR(E176),0,IF((YEAR(D176)+14)&gt;YEAR(E176),1,(12-MONTH(E176)+1)/12))) + (Q176)*(IF((YEAR(D176)+14)&lt;YEAR(E176),0,IF((YEAR(D176)+14)&gt;YEAR(E176),1,(12-MONTH(E176)+1)/12))))-((P176)*(IF((YEAR(D176)+14)&lt;YEAR(E176),0,IF((YEAR(D176)+14)&gt;YEAR(E176),1,(12-MONTH(E176)+1)/12))) + (R176)*(IF((YEAR(D176)+14)&lt;YEAR(E176),0,IF((YEAR(D176)+14)&gt;YEAR(E176),1,(12-MONTH(E176)+1)/12))))-(IF((((K176)*(IF(M176="",L176,IFERROR(IF(INDEX(Variablen!$I:$AT, MATCH(M176, Variablen!$A:$A, 0), MATCH((YEAR(D176)+14), Variablen!$I$3:$AT$3, 0))="",L176,INDEX(Variablen!$I:$AT, MATCH(M176, Variablen!$A:$A, 0), MATCH((YEAR(D176)+14), Variablen!$I$3:$AT$3, 0))),L176)))*(IF((YEAR(D176)+14)&lt;YEAR(E176),0,IF((YEAR(D176)+14)&gt;YEAR(E176),1,(12-MONTH(E176)+1)/12))) + (Q176)*(IF((YEAR(D176)+14)&lt;YEAR(E176),0,IF((YEAR(D176)+14)&gt;YEAR(E176),1,(12-MONTH(E176)+1)/12))))-((P176)*(IF((YEAR(D176)+14)&lt;YEAR(E176),0,IF((YEAR(D176)+14)&gt;YEAR(E176),1,(12-MONTH(E176)+1)/12))) + (R176)*(IF((YEAR(D176)+14)&lt;YEAR(E176),0,IF((YEAR(D176)+14)&gt;YEAR(E176),1,(12-MONTH(E176)+1)/12))))-(IF(OR(N176="",N176&lt;=0),0,(O176/N176)*(IF(OR(N176="",N176&lt;=0),0,IF((YEAR(D176)+14)&lt;YEAR(E176),0,IF((YEAR(D176)+14)&gt;=YEAR(E176)+N176,0,IF((YEAR(D176)+14)=YEAR(E176),(12-MONTH(E176)+1)/12,1))))))))&gt;0,(((K176)*(IF(M176="",L176,IFERROR(IF(INDEX(Variablen!$I:$AT, MATCH(M176, Variablen!$A:$A, 0), MATCH((YEAR(D176)+14), Variablen!$I$3:$AT$3, 0))="",L176,INDEX(Variablen!$I:$AT, MATCH(M176, Variablen!$A:$A, 0), MATCH((YEAR(D176)+14), Variablen!$I$3:$AT$3, 0))),L176)))*(IF((YEAR(D176)+14)&lt;YEAR(E176),0,IF((YEAR(D176)+14)&gt;YEAR(E176),1,(12-MONTH(E176)+1)/12))) + (Q176)*(IF((YEAR(D176)+14)&lt;YEAR(E176),0,IF((YEAR(D176)+14)&gt;YEAR(E176),1,(12-MONTH(E176)+1)/12))))-((P176)*(IF((YEAR(D176)+14)&lt;YEAR(E176),0,IF((YEAR(D176)+14)&gt;YEAR(E176),1,(12-MONTH(E176)+1)/12))) + (R176)*(IF((YEAR(D176)+14)&lt;YEAR(E176),0,IF((YEAR(D176)+14)&gt;YEAR(E176),1,(12-MONTH(E176)+1)/12))))-(IF(OR(N176="",N176&lt;=0),0,(O176/N176)*(IF(OR(N176="",N176&lt;=0),0,IF((YEAR(D176)+14)&lt;YEAR(E176),0,IF((YEAR(D176)+14)&gt;=YEAR(E176)+N176,0,IF((YEAR(D176)+14)=YEAR(E176),(12-MONTH(E176)+1)/12,1))))))))*TaxRate,0))-IF(14=0,O176,0))</f>
        <v/>
      </c>
      <c r="AH176" s="29">
        <f>IF(A176="","",((K176)*(IF(M176="",L176,IFERROR(IF(INDEX(Variablen!$I:$AT, MATCH(M176, Variablen!$A:$A, 0), MATCH((YEAR(D176)+15), Variablen!$I$3:$AT$3, 0))="",L176,INDEX(Variablen!$I:$AT, MATCH(M176, Variablen!$A:$A, 0), MATCH((YEAR(D176)+15), Variablen!$I$3:$AT$3, 0))),L176)))*(IF((YEAR(D176)+15)&lt;YEAR(E176),0,IF((YEAR(D176)+15)&gt;YEAR(E176),1,(12-MONTH(E176)+1)/12))) + (Q176)*(IF((YEAR(D176)+15)&lt;YEAR(E176),0,IF((YEAR(D176)+15)&gt;YEAR(E176),1,(12-MONTH(E176)+1)/12))))-((P176)*(IF((YEAR(D176)+15)&lt;YEAR(E176),0,IF((YEAR(D176)+15)&gt;YEAR(E176),1,(12-MONTH(E176)+1)/12))) + (R176)*(IF((YEAR(D176)+15)&lt;YEAR(E176),0,IF((YEAR(D176)+15)&gt;YEAR(E176),1,(12-MONTH(E176)+1)/12))))-(IF((((K176)*(IF(M176="",L176,IFERROR(IF(INDEX(Variablen!$I:$AT, MATCH(M176, Variablen!$A:$A, 0), MATCH((YEAR(D176)+15), Variablen!$I$3:$AT$3, 0))="",L176,INDEX(Variablen!$I:$AT, MATCH(M176, Variablen!$A:$A, 0), MATCH((YEAR(D176)+15), Variablen!$I$3:$AT$3, 0))),L176)))*(IF((YEAR(D176)+15)&lt;YEAR(E176),0,IF((YEAR(D176)+15)&gt;YEAR(E176),1,(12-MONTH(E176)+1)/12))) + (Q176)*(IF((YEAR(D176)+15)&lt;YEAR(E176),0,IF((YEAR(D176)+15)&gt;YEAR(E176),1,(12-MONTH(E176)+1)/12))))-((P176)*(IF((YEAR(D176)+15)&lt;YEAR(E176),0,IF((YEAR(D176)+15)&gt;YEAR(E176),1,(12-MONTH(E176)+1)/12))) + (R176)*(IF((YEAR(D176)+15)&lt;YEAR(E176),0,IF((YEAR(D176)+15)&gt;YEAR(E176),1,(12-MONTH(E176)+1)/12))))-(IF(OR(N176="",N176&lt;=0),0,(O176/N176)*(IF(OR(N176="",N176&lt;=0),0,IF((YEAR(D176)+15)&lt;YEAR(E176),0,IF((YEAR(D176)+15)&gt;=YEAR(E176)+N176,0,IF((YEAR(D176)+15)=YEAR(E176),(12-MONTH(E176)+1)/12,1))))))))&gt;0,(((K176)*(IF(M176="",L176,IFERROR(IF(INDEX(Variablen!$I:$AT, MATCH(M176, Variablen!$A:$A, 0), MATCH((YEAR(D176)+15), Variablen!$I$3:$AT$3, 0))="",L176,INDEX(Variablen!$I:$AT, MATCH(M176, Variablen!$A:$A, 0), MATCH((YEAR(D176)+15), Variablen!$I$3:$AT$3, 0))),L176)))*(IF((YEAR(D176)+15)&lt;YEAR(E176),0,IF((YEAR(D176)+15)&gt;YEAR(E176),1,(12-MONTH(E176)+1)/12))) + (Q176)*(IF((YEAR(D176)+15)&lt;YEAR(E176),0,IF((YEAR(D176)+15)&gt;YEAR(E176),1,(12-MONTH(E176)+1)/12))))-((P176)*(IF((YEAR(D176)+15)&lt;YEAR(E176),0,IF((YEAR(D176)+15)&gt;YEAR(E176),1,(12-MONTH(E176)+1)/12))) + (R176)*(IF((YEAR(D176)+15)&lt;YEAR(E176),0,IF((YEAR(D176)+15)&gt;YEAR(E176),1,(12-MONTH(E176)+1)/12))))-(IF(OR(N176="",N176&lt;=0),0,(O176/N176)*(IF(OR(N176="",N176&lt;=0),0,IF((YEAR(D176)+15)&lt;YEAR(E176),0,IF((YEAR(D176)+15)&gt;=YEAR(E176)+N176,0,IF((YEAR(D176)+15)=YEAR(E176),(12-MONTH(E176)+1)/12,1))))))))*TaxRate,0))-IF(15=0,O176,0))</f>
        <v/>
      </c>
      <c r="AI176" s="29">
        <f>IF(A176="","",((K176)*(IF(M176="",L176,IFERROR(IF(INDEX(Variablen!$I:$AT, MATCH(M176, Variablen!$A:$A, 0), MATCH((YEAR(D176)+16), Variablen!$I$3:$AT$3, 0))="",L176,INDEX(Variablen!$I:$AT, MATCH(M176, Variablen!$A:$A, 0), MATCH((YEAR(D176)+16), Variablen!$I$3:$AT$3, 0))),L176)))*(IF((YEAR(D176)+16)&lt;YEAR(E176),0,IF((YEAR(D176)+16)&gt;YEAR(E176),1,(12-MONTH(E176)+1)/12))) + (Q176)*(IF((YEAR(D176)+16)&lt;YEAR(E176),0,IF((YEAR(D176)+16)&gt;YEAR(E176),1,(12-MONTH(E176)+1)/12))))-((P176)*(IF((YEAR(D176)+16)&lt;YEAR(E176),0,IF((YEAR(D176)+16)&gt;YEAR(E176),1,(12-MONTH(E176)+1)/12))) + (R176)*(IF((YEAR(D176)+16)&lt;YEAR(E176),0,IF((YEAR(D176)+16)&gt;YEAR(E176),1,(12-MONTH(E176)+1)/12))))-(IF((((K176)*(IF(M176="",L176,IFERROR(IF(INDEX(Variablen!$I:$AT, MATCH(M176, Variablen!$A:$A, 0), MATCH((YEAR(D176)+16), Variablen!$I$3:$AT$3, 0))="",L176,INDEX(Variablen!$I:$AT, MATCH(M176, Variablen!$A:$A, 0), MATCH((YEAR(D176)+16), Variablen!$I$3:$AT$3, 0))),L176)))*(IF((YEAR(D176)+16)&lt;YEAR(E176),0,IF((YEAR(D176)+16)&gt;YEAR(E176),1,(12-MONTH(E176)+1)/12))) + (Q176)*(IF((YEAR(D176)+16)&lt;YEAR(E176),0,IF((YEAR(D176)+16)&gt;YEAR(E176),1,(12-MONTH(E176)+1)/12))))-((P176)*(IF((YEAR(D176)+16)&lt;YEAR(E176),0,IF((YEAR(D176)+16)&gt;YEAR(E176),1,(12-MONTH(E176)+1)/12))) + (R176)*(IF((YEAR(D176)+16)&lt;YEAR(E176),0,IF((YEAR(D176)+16)&gt;YEAR(E176),1,(12-MONTH(E176)+1)/12))))-(IF(OR(N176="",N176&lt;=0),0,(O176/N176)*(IF(OR(N176="",N176&lt;=0),0,IF((YEAR(D176)+16)&lt;YEAR(E176),0,IF((YEAR(D176)+16)&gt;=YEAR(E176)+N176,0,IF((YEAR(D176)+16)=YEAR(E176),(12-MONTH(E176)+1)/12,1))))))))&gt;0,(((K176)*(IF(M176="",L176,IFERROR(IF(INDEX(Variablen!$I:$AT, MATCH(M176, Variablen!$A:$A, 0), MATCH((YEAR(D176)+16), Variablen!$I$3:$AT$3, 0))="",L176,INDEX(Variablen!$I:$AT, MATCH(M176, Variablen!$A:$A, 0), MATCH((YEAR(D176)+16), Variablen!$I$3:$AT$3, 0))),L176)))*(IF((YEAR(D176)+16)&lt;YEAR(E176),0,IF((YEAR(D176)+16)&gt;YEAR(E176),1,(12-MONTH(E176)+1)/12))) + (Q176)*(IF((YEAR(D176)+16)&lt;YEAR(E176),0,IF((YEAR(D176)+16)&gt;YEAR(E176),1,(12-MONTH(E176)+1)/12))))-((P176)*(IF((YEAR(D176)+16)&lt;YEAR(E176),0,IF((YEAR(D176)+16)&gt;YEAR(E176),1,(12-MONTH(E176)+1)/12))) + (R176)*(IF((YEAR(D176)+16)&lt;YEAR(E176),0,IF((YEAR(D176)+16)&gt;YEAR(E176),1,(12-MONTH(E176)+1)/12))))-(IF(OR(N176="",N176&lt;=0),0,(O176/N176)*(IF(OR(N176="",N176&lt;=0),0,IF((YEAR(D176)+16)&lt;YEAR(E176),0,IF((YEAR(D176)+16)&gt;=YEAR(E176)+N176,0,IF((YEAR(D176)+16)=YEAR(E176),(12-MONTH(E176)+1)/12,1))))))))*TaxRate,0))-IF(16=0,O176,0))</f>
        <v/>
      </c>
      <c r="AJ176" s="29">
        <f>IF(A176="","",((K176)*(IF(M176="",L176,IFERROR(IF(INDEX(Variablen!$I:$AT, MATCH(M176, Variablen!$A:$A, 0), MATCH((YEAR(D176)+17), Variablen!$I$3:$AT$3, 0))="",L176,INDEX(Variablen!$I:$AT, MATCH(M176, Variablen!$A:$A, 0), MATCH((YEAR(D176)+17), Variablen!$I$3:$AT$3, 0))),L176)))*(IF((YEAR(D176)+17)&lt;YEAR(E176),0,IF((YEAR(D176)+17)&gt;YEAR(E176),1,(12-MONTH(E176)+1)/12))) + (Q176)*(IF((YEAR(D176)+17)&lt;YEAR(E176),0,IF((YEAR(D176)+17)&gt;YEAR(E176),1,(12-MONTH(E176)+1)/12))))-((P176)*(IF((YEAR(D176)+17)&lt;YEAR(E176),0,IF((YEAR(D176)+17)&gt;YEAR(E176),1,(12-MONTH(E176)+1)/12))) + (R176)*(IF((YEAR(D176)+17)&lt;YEAR(E176),0,IF((YEAR(D176)+17)&gt;YEAR(E176),1,(12-MONTH(E176)+1)/12))))-(IF((((K176)*(IF(M176="",L176,IFERROR(IF(INDEX(Variablen!$I:$AT, MATCH(M176, Variablen!$A:$A, 0), MATCH((YEAR(D176)+17), Variablen!$I$3:$AT$3, 0))="",L176,INDEX(Variablen!$I:$AT, MATCH(M176, Variablen!$A:$A, 0), MATCH((YEAR(D176)+17), Variablen!$I$3:$AT$3, 0))),L176)))*(IF((YEAR(D176)+17)&lt;YEAR(E176),0,IF((YEAR(D176)+17)&gt;YEAR(E176),1,(12-MONTH(E176)+1)/12))) + (Q176)*(IF((YEAR(D176)+17)&lt;YEAR(E176),0,IF((YEAR(D176)+17)&gt;YEAR(E176),1,(12-MONTH(E176)+1)/12))))-((P176)*(IF((YEAR(D176)+17)&lt;YEAR(E176),0,IF((YEAR(D176)+17)&gt;YEAR(E176),1,(12-MONTH(E176)+1)/12))) + (R176)*(IF((YEAR(D176)+17)&lt;YEAR(E176),0,IF((YEAR(D176)+17)&gt;YEAR(E176),1,(12-MONTH(E176)+1)/12))))-(IF(OR(N176="",N176&lt;=0),0,(O176/N176)*(IF(OR(N176="",N176&lt;=0),0,IF((YEAR(D176)+17)&lt;YEAR(E176),0,IF((YEAR(D176)+17)&gt;=YEAR(E176)+N176,0,IF((YEAR(D176)+17)=YEAR(E176),(12-MONTH(E176)+1)/12,1))))))))&gt;0,(((K176)*(IF(M176="",L176,IFERROR(IF(INDEX(Variablen!$I:$AT, MATCH(M176, Variablen!$A:$A, 0), MATCH((YEAR(D176)+17), Variablen!$I$3:$AT$3, 0))="",L176,INDEX(Variablen!$I:$AT, MATCH(M176, Variablen!$A:$A, 0), MATCH((YEAR(D176)+17), Variablen!$I$3:$AT$3, 0))),L176)))*(IF((YEAR(D176)+17)&lt;YEAR(E176),0,IF((YEAR(D176)+17)&gt;YEAR(E176),1,(12-MONTH(E176)+1)/12))) + (Q176)*(IF((YEAR(D176)+17)&lt;YEAR(E176),0,IF((YEAR(D176)+17)&gt;YEAR(E176),1,(12-MONTH(E176)+1)/12))))-((P176)*(IF((YEAR(D176)+17)&lt;YEAR(E176),0,IF((YEAR(D176)+17)&gt;YEAR(E176),1,(12-MONTH(E176)+1)/12))) + (R176)*(IF((YEAR(D176)+17)&lt;YEAR(E176),0,IF((YEAR(D176)+17)&gt;YEAR(E176),1,(12-MONTH(E176)+1)/12))))-(IF(OR(N176="",N176&lt;=0),0,(O176/N176)*(IF(OR(N176="",N176&lt;=0),0,IF((YEAR(D176)+17)&lt;YEAR(E176),0,IF((YEAR(D176)+17)&gt;=YEAR(E176)+N176,0,IF((YEAR(D176)+17)=YEAR(E176),(12-MONTH(E176)+1)/12,1))))))))*TaxRate,0))-IF(17=0,O176,0))</f>
        <v/>
      </c>
      <c r="AK176" s="29">
        <f>IF(A176="","",((K176)*(IF(M176="",L176,IFERROR(IF(INDEX(Variablen!$I:$AT, MATCH(M176, Variablen!$A:$A, 0), MATCH((YEAR(D176)+18), Variablen!$I$3:$AT$3, 0))="",L176,INDEX(Variablen!$I:$AT, MATCH(M176, Variablen!$A:$A, 0), MATCH((YEAR(D176)+18), Variablen!$I$3:$AT$3, 0))),L176)))*(IF((YEAR(D176)+18)&lt;YEAR(E176),0,IF((YEAR(D176)+18)&gt;YEAR(E176),1,(12-MONTH(E176)+1)/12))) + (Q176)*(IF((YEAR(D176)+18)&lt;YEAR(E176),0,IF((YEAR(D176)+18)&gt;YEAR(E176),1,(12-MONTH(E176)+1)/12))))-((P176)*(IF((YEAR(D176)+18)&lt;YEAR(E176),0,IF((YEAR(D176)+18)&gt;YEAR(E176),1,(12-MONTH(E176)+1)/12))) + (R176)*(IF((YEAR(D176)+18)&lt;YEAR(E176),0,IF((YEAR(D176)+18)&gt;YEAR(E176),1,(12-MONTH(E176)+1)/12))))-(IF((((K176)*(IF(M176="",L176,IFERROR(IF(INDEX(Variablen!$I:$AT, MATCH(M176, Variablen!$A:$A, 0), MATCH((YEAR(D176)+18), Variablen!$I$3:$AT$3, 0))="",L176,INDEX(Variablen!$I:$AT, MATCH(M176, Variablen!$A:$A, 0), MATCH((YEAR(D176)+18), Variablen!$I$3:$AT$3, 0))),L176)))*(IF((YEAR(D176)+18)&lt;YEAR(E176),0,IF((YEAR(D176)+18)&gt;YEAR(E176),1,(12-MONTH(E176)+1)/12))) + (Q176)*(IF((YEAR(D176)+18)&lt;YEAR(E176),0,IF((YEAR(D176)+18)&gt;YEAR(E176),1,(12-MONTH(E176)+1)/12))))-((P176)*(IF((YEAR(D176)+18)&lt;YEAR(E176),0,IF((YEAR(D176)+18)&gt;YEAR(E176),1,(12-MONTH(E176)+1)/12))) + (R176)*(IF((YEAR(D176)+18)&lt;YEAR(E176),0,IF((YEAR(D176)+18)&gt;YEAR(E176),1,(12-MONTH(E176)+1)/12))))-(IF(OR(N176="",N176&lt;=0),0,(O176/N176)*(IF(OR(N176="",N176&lt;=0),0,IF((YEAR(D176)+18)&lt;YEAR(E176),0,IF((YEAR(D176)+18)&gt;=YEAR(E176)+N176,0,IF((YEAR(D176)+18)=YEAR(E176),(12-MONTH(E176)+1)/12,1))))))))&gt;0,(((K176)*(IF(M176="",L176,IFERROR(IF(INDEX(Variablen!$I:$AT, MATCH(M176, Variablen!$A:$A, 0), MATCH((YEAR(D176)+18), Variablen!$I$3:$AT$3, 0))="",L176,INDEX(Variablen!$I:$AT, MATCH(M176, Variablen!$A:$A, 0), MATCH((YEAR(D176)+18), Variablen!$I$3:$AT$3, 0))),L176)))*(IF((YEAR(D176)+18)&lt;YEAR(E176),0,IF((YEAR(D176)+18)&gt;YEAR(E176),1,(12-MONTH(E176)+1)/12))) + (Q176)*(IF((YEAR(D176)+18)&lt;YEAR(E176),0,IF((YEAR(D176)+18)&gt;YEAR(E176),1,(12-MONTH(E176)+1)/12))))-((P176)*(IF((YEAR(D176)+18)&lt;YEAR(E176),0,IF((YEAR(D176)+18)&gt;YEAR(E176),1,(12-MONTH(E176)+1)/12))) + (R176)*(IF((YEAR(D176)+18)&lt;YEAR(E176),0,IF((YEAR(D176)+18)&gt;YEAR(E176),1,(12-MONTH(E176)+1)/12))))-(IF(OR(N176="",N176&lt;=0),0,(O176/N176)*(IF(OR(N176="",N176&lt;=0),0,IF((YEAR(D176)+18)&lt;YEAR(E176),0,IF((YEAR(D176)+18)&gt;=YEAR(E176)+N176,0,IF((YEAR(D176)+18)=YEAR(E176),(12-MONTH(E176)+1)/12,1))))))))*TaxRate,0))-IF(18=0,O176,0))</f>
        <v/>
      </c>
      <c r="AL176" s="29">
        <f>IF(A176="","",((K176)*(IF(M176="",L176,IFERROR(IF(INDEX(Variablen!$I:$AT, MATCH(M176, Variablen!$A:$A, 0), MATCH((YEAR(D176)+19), Variablen!$I$3:$AT$3, 0))="",L176,INDEX(Variablen!$I:$AT, MATCH(M176, Variablen!$A:$A, 0), MATCH((YEAR(D176)+19), Variablen!$I$3:$AT$3, 0))),L176)))*(IF((YEAR(D176)+19)&lt;YEAR(E176),0,IF((YEAR(D176)+19)&gt;YEAR(E176),1,(12-MONTH(E176)+1)/12))) + (Q176)*(IF((YEAR(D176)+19)&lt;YEAR(E176),0,IF((YEAR(D176)+19)&gt;YEAR(E176),1,(12-MONTH(E176)+1)/12))))-((P176)*(IF((YEAR(D176)+19)&lt;YEAR(E176),0,IF((YEAR(D176)+19)&gt;YEAR(E176),1,(12-MONTH(E176)+1)/12))) + (R176)*(IF((YEAR(D176)+19)&lt;YEAR(E176),0,IF((YEAR(D176)+19)&gt;YEAR(E176),1,(12-MONTH(E176)+1)/12))))-(IF((((K176)*(IF(M176="",L176,IFERROR(IF(INDEX(Variablen!$I:$AT, MATCH(M176, Variablen!$A:$A, 0), MATCH((YEAR(D176)+19), Variablen!$I$3:$AT$3, 0))="",L176,INDEX(Variablen!$I:$AT, MATCH(M176, Variablen!$A:$A, 0), MATCH((YEAR(D176)+19), Variablen!$I$3:$AT$3, 0))),L176)))*(IF((YEAR(D176)+19)&lt;YEAR(E176),0,IF((YEAR(D176)+19)&gt;YEAR(E176),1,(12-MONTH(E176)+1)/12))) + (Q176)*(IF((YEAR(D176)+19)&lt;YEAR(E176),0,IF((YEAR(D176)+19)&gt;YEAR(E176),1,(12-MONTH(E176)+1)/12))))-((P176)*(IF((YEAR(D176)+19)&lt;YEAR(E176),0,IF((YEAR(D176)+19)&gt;YEAR(E176),1,(12-MONTH(E176)+1)/12))) + (R176)*(IF((YEAR(D176)+19)&lt;YEAR(E176),0,IF((YEAR(D176)+19)&gt;YEAR(E176),1,(12-MONTH(E176)+1)/12))))-(IF(OR(N176="",N176&lt;=0),0,(O176/N176)*(IF(OR(N176="",N176&lt;=0),0,IF((YEAR(D176)+19)&lt;YEAR(E176),0,IF((YEAR(D176)+19)&gt;=YEAR(E176)+N176,0,IF((YEAR(D176)+19)=YEAR(E176),(12-MONTH(E176)+1)/12,1))))))))&gt;0,(((K176)*(IF(M176="",L176,IFERROR(IF(INDEX(Variablen!$I:$AT, MATCH(M176, Variablen!$A:$A, 0), MATCH((YEAR(D176)+19), Variablen!$I$3:$AT$3, 0))="",L176,INDEX(Variablen!$I:$AT, MATCH(M176, Variablen!$A:$A, 0), MATCH((YEAR(D176)+19), Variablen!$I$3:$AT$3, 0))),L176)))*(IF((YEAR(D176)+19)&lt;YEAR(E176),0,IF((YEAR(D176)+19)&gt;YEAR(E176),1,(12-MONTH(E176)+1)/12))) + (Q176)*(IF((YEAR(D176)+19)&lt;YEAR(E176),0,IF((YEAR(D176)+19)&gt;YEAR(E176),1,(12-MONTH(E176)+1)/12))))-((P176)*(IF((YEAR(D176)+19)&lt;YEAR(E176),0,IF((YEAR(D176)+19)&gt;YEAR(E176),1,(12-MONTH(E176)+1)/12))) + (R176)*(IF((YEAR(D176)+19)&lt;YEAR(E176),0,IF((YEAR(D176)+19)&gt;YEAR(E176),1,(12-MONTH(E176)+1)/12))))-(IF(OR(N176="",N176&lt;=0),0,(O176/N176)*(IF(OR(N176="",N176&lt;=0),0,IF((YEAR(D176)+19)&lt;YEAR(E176),0,IF((YEAR(D176)+19)&gt;=YEAR(E176)+N176,0,IF((YEAR(D176)+19)=YEAR(E176),(12-MONTH(E176)+1)/12,1))))))))*TaxRate,0))-IF(19=0,O176,0))</f>
        <v/>
      </c>
      <c r="AM176" s="29">
        <f>IF(A176="","",((K176)*(IF(M176="",L176,IFERROR(IF(INDEX(Variablen!$I:$AT, MATCH(M176, Variablen!$A:$A, 0), MATCH((YEAR(D176)+20), Variablen!$I$3:$AT$3, 0))="",L176,INDEX(Variablen!$I:$AT, MATCH(M176, Variablen!$A:$A, 0), MATCH((YEAR(D176)+20), Variablen!$I$3:$AT$3, 0))),L176)))*(IF((YEAR(D176)+20)&lt;YEAR(E176),0,IF((YEAR(D176)+20)&gt;YEAR(E176),1,(12-MONTH(E176)+1)/12))) + (Q176)*(IF((YEAR(D176)+20)&lt;YEAR(E176),0,IF((YEAR(D176)+20)&gt;YEAR(E176),1,(12-MONTH(E176)+1)/12))))-((P176)*(IF((YEAR(D176)+20)&lt;YEAR(E176),0,IF((YEAR(D176)+20)&gt;YEAR(E176),1,(12-MONTH(E176)+1)/12))) + (R176)*(IF((YEAR(D176)+20)&lt;YEAR(E176),0,IF((YEAR(D176)+20)&gt;YEAR(E176),1,(12-MONTH(E176)+1)/12))))-(IF((((K176)*(IF(M176="",L176,IFERROR(IF(INDEX(Variablen!$I:$AT, MATCH(M176, Variablen!$A:$A, 0), MATCH((YEAR(D176)+20), Variablen!$I$3:$AT$3, 0))="",L176,INDEX(Variablen!$I:$AT, MATCH(M176, Variablen!$A:$A, 0), MATCH((YEAR(D176)+20), Variablen!$I$3:$AT$3, 0))),L176)))*(IF((YEAR(D176)+20)&lt;YEAR(E176),0,IF((YEAR(D176)+20)&gt;YEAR(E176),1,(12-MONTH(E176)+1)/12))) + (Q176)*(IF((YEAR(D176)+20)&lt;YEAR(E176),0,IF((YEAR(D176)+20)&gt;YEAR(E176),1,(12-MONTH(E176)+1)/12))))-((P176)*(IF((YEAR(D176)+20)&lt;YEAR(E176),0,IF((YEAR(D176)+20)&gt;YEAR(E176),1,(12-MONTH(E176)+1)/12))) + (R176)*(IF((YEAR(D176)+20)&lt;YEAR(E176),0,IF((YEAR(D176)+20)&gt;YEAR(E176),1,(12-MONTH(E176)+1)/12))))-(IF(OR(N176="",N176&lt;=0),0,(O176/N176)*(IF(OR(N176="",N176&lt;=0),0,IF((YEAR(D176)+20)&lt;YEAR(E176),0,IF((YEAR(D176)+20)&gt;=YEAR(E176)+N176,0,IF((YEAR(D176)+20)=YEAR(E176),(12-MONTH(E176)+1)/12,1))))))))&gt;0,(((K176)*(IF(M176="",L176,IFERROR(IF(INDEX(Variablen!$I:$AT, MATCH(M176, Variablen!$A:$A, 0), MATCH((YEAR(D176)+20), Variablen!$I$3:$AT$3, 0))="",L176,INDEX(Variablen!$I:$AT, MATCH(M176, Variablen!$A:$A, 0), MATCH((YEAR(D176)+20), Variablen!$I$3:$AT$3, 0))),L176)))*(IF((YEAR(D176)+20)&lt;YEAR(E176),0,IF((YEAR(D176)+20)&gt;YEAR(E176),1,(12-MONTH(E176)+1)/12))) + (Q176)*(IF((YEAR(D176)+20)&lt;YEAR(E176),0,IF((YEAR(D176)+20)&gt;YEAR(E176),1,(12-MONTH(E176)+1)/12))))-((P176)*(IF((YEAR(D176)+20)&lt;YEAR(E176),0,IF((YEAR(D176)+20)&gt;YEAR(E176),1,(12-MONTH(E176)+1)/12))) + (R176)*(IF((YEAR(D176)+20)&lt;YEAR(E176),0,IF((YEAR(D176)+20)&gt;YEAR(E176),1,(12-MONTH(E176)+1)/12))))-(IF(OR(N176="",N176&lt;=0),0,(O176/N176)*(IF(OR(N176="",N176&lt;=0),0,IF((YEAR(D176)+20)&lt;YEAR(E176),0,IF((YEAR(D176)+20)&gt;=YEAR(E176)+N176,0,IF((YEAR(D176)+20)=YEAR(E176),(12-MONTH(E176)+1)/12,1))))))))*TaxRate,0))-IF(20=0,O176,0))</f>
        <v/>
      </c>
      <c r="AN176" s="29">
        <f>IF(A176="","",S176)</f>
        <v/>
      </c>
      <c r="AO176" s="29">
        <f>IF(A176="","",AN176+T176)</f>
        <v/>
      </c>
      <c r="AP176" s="29">
        <f>IF(A176="","",AO176+U176)</f>
        <v/>
      </c>
      <c r="AQ176" s="29">
        <f>IF(A176="","",AP176+V176)</f>
        <v/>
      </c>
      <c r="AR176" s="29">
        <f>IF(A176="","",AQ176+W176)</f>
        <v/>
      </c>
      <c r="AS176" s="29">
        <f>IF(A176="","",AR176+X176)</f>
        <v/>
      </c>
      <c r="AT176" s="29">
        <f>IF(A176="","",AS176+Y176)</f>
        <v/>
      </c>
      <c r="AU176" s="29">
        <f>IF(A176="","",AT176+Z176)</f>
        <v/>
      </c>
      <c r="AV176" s="29">
        <f>IF(A176="","",AU176+AA176)</f>
        <v/>
      </c>
      <c r="AW176" s="29">
        <f>IF(A176="","",AV176+AB176)</f>
        <v/>
      </c>
      <c r="AX176" s="29">
        <f>IF(A176="","",AW176+AC176)</f>
        <v/>
      </c>
      <c r="AY176" s="29">
        <f>IF(A176="","",AX176+AD176)</f>
        <v/>
      </c>
      <c r="AZ176" s="29">
        <f>IF(A176="","",AY176+AE176)</f>
        <v/>
      </c>
      <c r="BA176" s="29">
        <f>IF(A176="","",AZ176+AF176)</f>
        <v/>
      </c>
      <c r="BB176" s="29">
        <f>IF(A176="","",BA176+AG176)</f>
        <v/>
      </c>
      <c r="BC176" s="29">
        <f>IF(A176="","",BB176+AH176)</f>
        <v/>
      </c>
      <c r="BD176" s="29">
        <f>IF(A176="","",BC176+AI176)</f>
        <v/>
      </c>
      <c r="BE176" s="29">
        <f>IF(A176="","",BD176+AJ176)</f>
        <v/>
      </c>
      <c r="BF176" s="29">
        <f>IF(A176="","",BE176+AK176)</f>
        <v/>
      </c>
      <c r="BG176" s="29">
        <f>IF(A176="","",BF176+AL176)</f>
        <v/>
      </c>
      <c r="BH176" s="29">
        <f>IF(A176="","",BG176+AM176)</f>
        <v/>
      </c>
      <c r="BI176" s="36">
        <f>IF(A176="","",(K176)*(IF((YEAR(D176)+0)&lt;YEAR(E176),0,IF((YEAR(D176)+0)&gt;YEAR(E176),1,(12-MONTH(E176)+1)/12)))*(1/(1+DiscountRate)^0))</f>
        <v/>
      </c>
      <c r="BJ176" s="36">
        <f>IF(A176="","",(K176)*(IF((YEAR(D176)+1)&lt;YEAR(E176),0,IF((YEAR(D176)+1)&gt;YEAR(E176),1,(12-MONTH(E176)+1)/12)))*(1/(1+DiscountRate)^1))</f>
        <v/>
      </c>
      <c r="BK176" s="36">
        <f>IF(A176="","",(K176)*(IF((YEAR(D176)+2)&lt;YEAR(E176),0,IF((YEAR(D176)+2)&gt;YEAR(E176),1,(12-MONTH(E176)+1)/12)))*(1/(1+DiscountRate)^2))</f>
        <v/>
      </c>
      <c r="BL176" s="36">
        <f>IF(A176="","",(K176)*(IF((YEAR(D176)+3)&lt;YEAR(E176),0,IF((YEAR(D176)+3)&gt;YEAR(E176),1,(12-MONTH(E176)+1)/12)))*(1/(1+DiscountRate)^3))</f>
        <v/>
      </c>
      <c r="BM176" s="36">
        <f>IF(A176="","",(K176)*(IF((YEAR(D176)+4)&lt;YEAR(E176),0,IF((YEAR(D176)+4)&gt;YEAR(E176),1,(12-MONTH(E176)+1)/12)))*(1/(1+DiscountRate)^4))</f>
        <v/>
      </c>
      <c r="BN176" s="36">
        <f>IF(A176="","",(K176)*(IF((YEAR(D176)+5)&lt;YEAR(E176),0,IF((YEAR(D176)+5)&gt;YEAR(E176),1,(12-MONTH(E176)+1)/12)))*(1/(1+DiscountRate)^5))</f>
        <v/>
      </c>
      <c r="BO176" s="36">
        <f>IF(A176="","",(K176)*(IF((YEAR(D176)+6)&lt;YEAR(E176),0,IF((YEAR(D176)+6)&gt;YEAR(E176),1,(12-MONTH(E176)+1)/12)))*(1/(1+DiscountRate)^6))</f>
        <v/>
      </c>
      <c r="BP176" s="36">
        <f>IF(A176="","",(K176)*(IF((YEAR(D176)+7)&lt;YEAR(E176),0,IF((YEAR(D176)+7)&gt;YEAR(E176),1,(12-MONTH(E176)+1)/12)))*(1/(1+DiscountRate)^7))</f>
        <v/>
      </c>
      <c r="BQ176" s="36">
        <f>IF(A176="","",(K176)*(IF((YEAR(D176)+8)&lt;YEAR(E176),0,IF((YEAR(D176)+8)&gt;YEAR(E176),1,(12-MONTH(E176)+1)/12)))*(1/(1+DiscountRate)^8))</f>
        <v/>
      </c>
      <c r="BR176" s="36">
        <f>IF(A176="","",(K176)*(IF((YEAR(D176)+9)&lt;YEAR(E176),0,IF((YEAR(D176)+9)&gt;YEAR(E176),1,(12-MONTH(E176)+1)/12)))*(1/(1+DiscountRate)^9))</f>
        <v/>
      </c>
      <c r="BS176" s="36">
        <f>IF(A176="","",(K176)*(IF((YEAR(D176)+10)&lt;YEAR(E176),0,IF((YEAR(D176)+10)&gt;YEAR(E176),1,(12-MONTH(E176)+1)/12)))*(1/(1+DiscountRate)^10))</f>
        <v/>
      </c>
      <c r="BT176" s="36">
        <f>IF(A176="","",(K176)*(IF((YEAR(D176)+11)&lt;YEAR(E176),0,IF((YEAR(D176)+11)&gt;YEAR(E176),1,(12-MONTH(E176)+1)/12)))*(1/(1+DiscountRate)^11))</f>
        <v/>
      </c>
      <c r="BU176" s="36">
        <f>IF(A176="","",(K176)*(IF((YEAR(D176)+12)&lt;YEAR(E176),0,IF((YEAR(D176)+12)&gt;YEAR(E176),1,(12-MONTH(E176)+1)/12)))*(1/(1+DiscountRate)^12))</f>
        <v/>
      </c>
      <c r="BV176" s="36">
        <f>IF(A176="","",(K176)*(IF((YEAR(D176)+13)&lt;YEAR(E176),0,IF((YEAR(D176)+13)&gt;YEAR(E176),1,(12-MONTH(E176)+1)/12)))*(1/(1+DiscountRate)^13))</f>
        <v/>
      </c>
      <c r="BW176" s="36">
        <f>IF(A176="","",(K176)*(IF((YEAR(D176)+14)&lt;YEAR(E176),0,IF((YEAR(D176)+14)&gt;YEAR(E176),1,(12-MONTH(E176)+1)/12)))*(1/(1+DiscountRate)^14))</f>
        <v/>
      </c>
      <c r="BX176" s="36">
        <f>IF(A176="","",(K176)*(IF((YEAR(D176)+15)&lt;YEAR(E176),0,IF((YEAR(D176)+15)&gt;YEAR(E176),1,(12-MONTH(E176)+1)/12)))*(1/(1+DiscountRate)^15))</f>
        <v/>
      </c>
      <c r="BY176" s="36">
        <f>IF(A176="","",(K176)*(IF((YEAR(D176)+16)&lt;YEAR(E176),0,IF((YEAR(D176)+16)&gt;YEAR(E176),1,(12-MONTH(E176)+1)/12)))*(1/(1+DiscountRate)^16))</f>
        <v/>
      </c>
      <c r="BZ176" s="36">
        <f>IF(A176="","",(K176)*(IF((YEAR(D176)+17)&lt;YEAR(E176),0,IF((YEAR(D176)+17)&gt;YEAR(E176),1,(12-MONTH(E176)+1)/12)))*(1/(1+DiscountRate)^17))</f>
        <v/>
      </c>
      <c r="CA176" s="36">
        <f>IF(A176="","",(K176)*(IF((YEAR(D176)+18)&lt;YEAR(E176),0,IF((YEAR(D176)+18)&gt;YEAR(E176),1,(12-MONTH(E176)+1)/12)))*(1/(1+DiscountRate)^18))</f>
        <v/>
      </c>
      <c r="CB176" s="36">
        <f>IF(A176="","",(K176)*(IF((YEAR(D176)+19)&lt;YEAR(E176),0,IF((YEAR(D176)+19)&gt;YEAR(E176),1,(12-MONTH(E176)+1)/12)))*(1/(1+DiscountRate)^19))</f>
        <v/>
      </c>
      <c r="CC176" s="36">
        <f>IF(A176="","",(K176)*(IF((YEAR(D176)+20)&lt;YEAR(E176),0,IF((YEAR(D176)+20)&gt;YEAR(E176),1,(12-MONTH(E176)+1)/12)))*(1/(1+DiscountRate)^20))</f>
        <v/>
      </c>
      <c r="CD176" s="29">
        <f>IF(A176="","",S176/(1+DiscountRate)^0+T176/(1+DiscountRate)^1+U176/(1+DiscountRate)^2+V176/(1+DiscountRate)^3+W176/(1+DiscountRate)^4+X176/(1+DiscountRate)^5+Y176/(1+DiscountRate)^6+Z176/(1+DiscountRate)^7+AA176/(1+DiscountRate)^8+AB176/(1+DiscountRate)^9+AC176/(1+DiscountRate)^10+AD176/(1+DiscountRate)^11+AE176/(1+DiscountRate)^12+AF176/(1+DiscountRate)^13+AG176/(1+DiscountRate)^14+AH176/(1+DiscountRate)^15+AI176/(1+DiscountRate)^16+AJ176/(1+DiscountRate)^17+AK176/(1+DiscountRate)^18+AL176/(1+DiscountRate)^19+AM176/(1+DiscountRate)^20)</f>
        <v/>
      </c>
      <c r="CE176" s="37">
        <f>IF(A176="","",IFERROR(IRR(OFFSET(S176,0,0,1,MIN(HorizonYears,20)+1)),"n/a"))</f>
        <v/>
      </c>
      <c r="CF176" s="28">
        <f>IF(A176="","",IFERROR(MATCH(TRUE,OFFSET(AN176,0,0,1,MIN(HorizonYears,20)+1)&gt;=0,0)-1,"n/a"))</f>
        <v/>
      </c>
      <c r="CG176" s="36">
        <f>IF(A176="","",SUM(OFFSET(BI176,0,0,1,MIN(HorizonYears,20)+1)))</f>
        <v/>
      </c>
      <c r="CH176" s="36">
        <f>IF(A176="","",IFERROR(-CD176/CG176,"n/a"))</f>
        <v/>
      </c>
    </row>
    <row r="177">
      <c r="A177" s="6">
        <f>Actions!A175</f>
        <v/>
      </c>
      <c r="B177" s="6">
        <f>Actions!B175</f>
        <v/>
      </c>
      <c r="C177" s="6">
        <f>Actions!D175</f>
        <v/>
      </c>
      <c r="D177" s="35">
        <f>Actions!E175</f>
        <v/>
      </c>
      <c r="E177" s="35">
        <f>Actions!F175</f>
        <v/>
      </c>
      <c r="F177" s="6">
        <f>Actions!G175</f>
        <v/>
      </c>
      <c r="G177" s="6">
        <f>Actions!H175</f>
        <v/>
      </c>
      <c r="H177" s="29">
        <f>Actions!I175</f>
        <v/>
      </c>
      <c r="I177" s="6">
        <f>Actions!J175</f>
        <v/>
      </c>
      <c r="J177" s="16">
        <f>Actions!K175</f>
        <v/>
      </c>
      <c r="K177" s="16">
        <f>IF(A177="","",IF(I177="%",H177*J177,J177))</f>
        <v/>
      </c>
      <c r="L177" s="16">
        <f>Actions!L175</f>
        <v/>
      </c>
      <c r="M177" s="6">
        <f>Actions!M175</f>
        <v/>
      </c>
      <c r="N177" s="28">
        <f>Actions!N175</f>
        <v/>
      </c>
      <c r="O177" s="29">
        <f>Actions!T175</f>
        <v/>
      </c>
      <c r="P177" s="29">
        <f>Actions!Y175</f>
        <v/>
      </c>
      <c r="Q177" s="29">
        <f>Actions!Z175</f>
        <v/>
      </c>
      <c r="R177" s="29">
        <f>Actions!AA175</f>
        <v/>
      </c>
      <c r="S177" s="29">
        <f>IF(A177="","",((K177)*(IF(M177="",L177,IFERROR(IF(INDEX(Variablen!$I:$AT, MATCH(M177, Variablen!$A:$A, 0), MATCH((YEAR(D177)+0), Variablen!$I$3:$AT$3, 0))="",L177,INDEX(Variablen!$I:$AT, MATCH(M177, Variablen!$A:$A, 0), MATCH((YEAR(D177)+0), Variablen!$I$3:$AT$3, 0))),L177)))*(IF((YEAR(D177)+0)&lt;YEAR(E177),0,IF((YEAR(D177)+0)&gt;YEAR(E177),1,(12-MONTH(E177)+1)/12))) + (Q177)*(IF((YEAR(D177)+0)&lt;YEAR(E177),0,IF((YEAR(D177)+0)&gt;YEAR(E177),1,(12-MONTH(E177)+1)/12))))-((P177)*(IF((YEAR(D177)+0)&lt;YEAR(E177),0,IF((YEAR(D177)+0)&gt;YEAR(E177),1,(12-MONTH(E177)+1)/12))) + (R177)*(IF((YEAR(D177)+0)&lt;YEAR(E177),0,IF((YEAR(D177)+0)&gt;YEAR(E177),1,(12-MONTH(E177)+1)/12))))-(IF((((K177)*(IF(M177="",L177,IFERROR(IF(INDEX(Variablen!$I:$AT, MATCH(M177, Variablen!$A:$A, 0), MATCH((YEAR(D177)+0), Variablen!$I$3:$AT$3, 0))="",L177,INDEX(Variablen!$I:$AT, MATCH(M177, Variablen!$A:$A, 0), MATCH((YEAR(D177)+0), Variablen!$I$3:$AT$3, 0))),L177)))*(IF((YEAR(D177)+0)&lt;YEAR(E177),0,IF((YEAR(D177)+0)&gt;YEAR(E177),1,(12-MONTH(E177)+1)/12))) + (Q177)*(IF((YEAR(D177)+0)&lt;YEAR(E177),0,IF((YEAR(D177)+0)&gt;YEAR(E177),1,(12-MONTH(E177)+1)/12))))-((P177)*(IF((YEAR(D177)+0)&lt;YEAR(E177),0,IF((YEAR(D177)+0)&gt;YEAR(E177),1,(12-MONTH(E177)+1)/12))) + (R177)*(IF((YEAR(D177)+0)&lt;YEAR(E177),0,IF((YEAR(D177)+0)&gt;YEAR(E177),1,(12-MONTH(E177)+1)/12))))-(IF(OR(N177="",N177&lt;=0),0,(O177/N177)*(IF(OR(N177="",N177&lt;=0),0,IF((YEAR(D177)+0)&lt;YEAR(E177),0,IF((YEAR(D177)+0)&gt;=YEAR(E177)+N177,0,IF((YEAR(D177)+0)=YEAR(E177),(12-MONTH(E177)+1)/12,1))))))))&gt;0,(((K177)*(IF(M177="",L177,IFERROR(IF(INDEX(Variablen!$I:$AT, MATCH(M177, Variablen!$A:$A, 0), MATCH((YEAR(D177)+0), Variablen!$I$3:$AT$3, 0))="",L177,INDEX(Variablen!$I:$AT, MATCH(M177, Variablen!$A:$A, 0), MATCH((YEAR(D177)+0), Variablen!$I$3:$AT$3, 0))),L177)))*(IF((YEAR(D177)+0)&lt;YEAR(E177),0,IF((YEAR(D177)+0)&gt;YEAR(E177),1,(12-MONTH(E177)+1)/12))) + (Q177)*(IF((YEAR(D177)+0)&lt;YEAR(E177),0,IF((YEAR(D177)+0)&gt;YEAR(E177),1,(12-MONTH(E177)+1)/12))))-((P177)*(IF((YEAR(D177)+0)&lt;YEAR(E177),0,IF((YEAR(D177)+0)&gt;YEAR(E177),1,(12-MONTH(E177)+1)/12))) + (R177)*(IF((YEAR(D177)+0)&lt;YEAR(E177),0,IF((YEAR(D177)+0)&gt;YEAR(E177),1,(12-MONTH(E177)+1)/12))))-(IF(OR(N177="",N177&lt;=0),0,(O177/N177)*(IF(OR(N177="",N177&lt;=0),0,IF((YEAR(D177)+0)&lt;YEAR(E177),0,IF((YEAR(D177)+0)&gt;=YEAR(E177)+N177,0,IF((YEAR(D177)+0)=YEAR(E177),(12-MONTH(E177)+1)/12,1))))))))*TaxRate,0))-IF(0=0,O177,0))</f>
        <v/>
      </c>
      <c r="T177" s="29">
        <f>IF(A177="","",((K177)*(IF(M177="",L177,IFERROR(IF(INDEX(Variablen!$I:$AT, MATCH(M177, Variablen!$A:$A, 0), MATCH((YEAR(D177)+1), Variablen!$I$3:$AT$3, 0))="",L177,INDEX(Variablen!$I:$AT, MATCH(M177, Variablen!$A:$A, 0), MATCH((YEAR(D177)+1), Variablen!$I$3:$AT$3, 0))),L177)))*(IF((YEAR(D177)+1)&lt;YEAR(E177),0,IF((YEAR(D177)+1)&gt;YEAR(E177),1,(12-MONTH(E177)+1)/12))) + (Q177)*(IF((YEAR(D177)+1)&lt;YEAR(E177),0,IF((YEAR(D177)+1)&gt;YEAR(E177),1,(12-MONTH(E177)+1)/12))))-((P177)*(IF((YEAR(D177)+1)&lt;YEAR(E177),0,IF((YEAR(D177)+1)&gt;YEAR(E177),1,(12-MONTH(E177)+1)/12))) + (R177)*(IF((YEAR(D177)+1)&lt;YEAR(E177),0,IF((YEAR(D177)+1)&gt;YEAR(E177),1,(12-MONTH(E177)+1)/12))))-(IF((((K177)*(IF(M177="",L177,IFERROR(IF(INDEX(Variablen!$I:$AT, MATCH(M177, Variablen!$A:$A, 0), MATCH((YEAR(D177)+1), Variablen!$I$3:$AT$3, 0))="",L177,INDEX(Variablen!$I:$AT, MATCH(M177, Variablen!$A:$A, 0), MATCH((YEAR(D177)+1), Variablen!$I$3:$AT$3, 0))),L177)))*(IF((YEAR(D177)+1)&lt;YEAR(E177),0,IF((YEAR(D177)+1)&gt;YEAR(E177),1,(12-MONTH(E177)+1)/12))) + (Q177)*(IF((YEAR(D177)+1)&lt;YEAR(E177),0,IF((YEAR(D177)+1)&gt;YEAR(E177),1,(12-MONTH(E177)+1)/12))))-((P177)*(IF((YEAR(D177)+1)&lt;YEAR(E177),0,IF((YEAR(D177)+1)&gt;YEAR(E177),1,(12-MONTH(E177)+1)/12))) + (R177)*(IF((YEAR(D177)+1)&lt;YEAR(E177),0,IF((YEAR(D177)+1)&gt;YEAR(E177),1,(12-MONTH(E177)+1)/12))))-(IF(OR(N177="",N177&lt;=0),0,(O177/N177)*(IF(OR(N177="",N177&lt;=0),0,IF((YEAR(D177)+1)&lt;YEAR(E177),0,IF((YEAR(D177)+1)&gt;=YEAR(E177)+N177,0,IF((YEAR(D177)+1)=YEAR(E177),(12-MONTH(E177)+1)/12,1))))))))&gt;0,(((K177)*(IF(M177="",L177,IFERROR(IF(INDEX(Variablen!$I:$AT, MATCH(M177, Variablen!$A:$A, 0), MATCH((YEAR(D177)+1), Variablen!$I$3:$AT$3, 0))="",L177,INDEX(Variablen!$I:$AT, MATCH(M177, Variablen!$A:$A, 0), MATCH((YEAR(D177)+1), Variablen!$I$3:$AT$3, 0))),L177)))*(IF((YEAR(D177)+1)&lt;YEAR(E177),0,IF((YEAR(D177)+1)&gt;YEAR(E177),1,(12-MONTH(E177)+1)/12))) + (Q177)*(IF((YEAR(D177)+1)&lt;YEAR(E177),0,IF((YEAR(D177)+1)&gt;YEAR(E177),1,(12-MONTH(E177)+1)/12))))-((P177)*(IF((YEAR(D177)+1)&lt;YEAR(E177),0,IF((YEAR(D177)+1)&gt;YEAR(E177),1,(12-MONTH(E177)+1)/12))) + (R177)*(IF((YEAR(D177)+1)&lt;YEAR(E177),0,IF((YEAR(D177)+1)&gt;YEAR(E177),1,(12-MONTH(E177)+1)/12))))-(IF(OR(N177="",N177&lt;=0),0,(O177/N177)*(IF(OR(N177="",N177&lt;=0),0,IF((YEAR(D177)+1)&lt;YEAR(E177),0,IF((YEAR(D177)+1)&gt;=YEAR(E177)+N177,0,IF((YEAR(D177)+1)=YEAR(E177),(12-MONTH(E177)+1)/12,1))))))))*TaxRate,0))-IF(1=0,O177,0))</f>
        <v/>
      </c>
      <c r="U177" s="29">
        <f>IF(A177="","",((K177)*(IF(M177="",L177,IFERROR(IF(INDEX(Variablen!$I:$AT, MATCH(M177, Variablen!$A:$A, 0), MATCH((YEAR(D177)+2), Variablen!$I$3:$AT$3, 0))="",L177,INDEX(Variablen!$I:$AT, MATCH(M177, Variablen!$A:$A, 0), MATCH((YEAR(D177)+2), Variablen!$I$3:$AT$3, 0))),L177)))*(IF((YEAR(D177)+2)&lt;YEAR(E177),0,IF((YEAR(D177)+2)&gt;YEAR(E177),1,(12-MONTH(E177)+1)/12))) + (Q177)*(IF((YEAR(D177)+2)&lt;YEAR(E177),0,IF((YEAR(D177)+2)&gt;YEAR(E177),1,(12-MONTH(E177)+1)/12))))-((P177)*(IF((YEAR(D177)+2)&lt;YEAR(E177),0,IF((YEAR(D177)+2)&gt;YEAR(E177),1,(12-MONTH(E177)+1)/12))) + (R177)*(IF((YEAR(D177)+2)&lt;YEAR(E177),0,IF((YEAR(D177)+2)&gt;YEAR(E177),1,(12-MONTH(E177)+1)/12))))-(IF((((K177)*(IF(M177="",L177,IFERROR(IF(INDEX(Variablen!$I:$AT, MATCH(M177, Variablen!$A:$A, 0), MATCH((YEAR(D177)+2), Variablen!$I$3:$AT$3, 0))="",L177,INDEX(Variablen!$I:$AT, MATCH(M177, Variablen!$A:$A, 0), MATCH((YEAR(D177)+2), Variablen!$I$3:$AT$3, 0))),L177)))*(IF((YEAR(D177)+2)&lt;YEAR(E177),0,IF((YEAR(D177)+2)&gt;YEAR(E177),1,(12-MONTH(E177)+1)/12))) + (Q177)*(IF((YEAR(D177)+2)&lt;YEAR(E177),0,IF((YEAR(D177)+2)&gt;YEAR(E177),1,(12-MONTH(E177)+1)/12))))-((P177)*(IF((YEAR(D177)+2)&lt;YEAR(E177),0,IF((YEAR(D177)+2)&gt;YEAR(E177),1,(12-MONTH(E177)+1)/12))) + (R177)*(IF((YEAR(D177)+2)&lt;YEAR(E177),0,IF((YEAR(D177)+2)&gt;YEAR(E177),1,(12-MONTH(E177)+1)/12))))-(IF(OR(N177="",N177&lt;=0),0,(O177/N177)*(IF(OR(N177="",N177&lt;=0),0,IF((YEAR(D177)+2)&lt;YEAR(E177),0,IF((YEAR(D177)+2)&gt;=YEAR(E177)+N177,0,IF((YEAR(D177)+2)=YEAR(E177),(12-MONTH(E177)+1)/12,1))))))))&gt;0,(((K177)*(IF(M177="",L177,IFERROR(IF(INDEX(Variablen!$I:$AT, MATCH(M177, Variablen!$A:$A, 0), MATCH((YEAR(D177)+2), Variablen!$I$3:$AT$3, 0))="",L177,INDEX(Variablen!$I:$AT, MATCH(M177, Variablen!$A:$A, 0), MATCH((YEAR(D177)+2), Variablen!$I$3:$AT$3, 0))),L177)))*(IF((YEAR(D177)+2)&lt;YEAR(E177),0,IF((YEAR(D177)+2)&gt;YEAR(E177),1,(12-MONTH(E177)+1)/12))) + (Q177)*(IF((YEAR(D177)+2)&lt;YEAR(E177),0,IF((YEAR(D177)+2)&gt;YEAR(E177),1,(12-MONTH(E177)+1)/12))))-((P177)*(IF((YEAR(D177)+2)&lt;YEAR(E177),0,IF((YEAR(D177)+2)&gt;YEAR(E177),1,(12-MONTH(E177)+1)/12))) + (R177)*(IF((YEAR(D177)+2)&lt;YEAR(E177),0,IF((YEAR(D177)+2)&gt;YEAR(E177),1,(12-MONTH(E177)+1)/12))))-(IF(OR(N177="",N177&lt;=0),0,(O177/N177)*(IF(OR(N177="",N177&lt;=0),0,IF((YEAR(D177)+2)&lt;YEAR(E177),0,IF((YEAR(D177)+2)&gt;=YEAR(E177)+N177,0,IF((YEAR(D177)+2)=YEAR(E177),(12-MONTH(E177)+1)/12,1))))))))*TaxRate,0))-IF(2=0,O177,0))</f>
        <v/>
      </c>
      <c r="V177" s="29">
        <f>IF(A177="","",((K177)*(IF(M177="",L177,IFERROR(IF(INDEX(Variablen!$I:$AT, MATCH(M177, Variablen!$A:$A, 0), MATCH((YEAR(D177)+3), Variablen!$I$3:$AT$3, 0))="",L177,INDEX(Variablen!$I:$AT, MATCH(M177, Variablen!$A:$A, 0), MATCH((YEAR(D177)+3), Variablen!$I$3:$AT$3, 0))),L177)))*(IF((YEAR(D177)+3)&lt;YEAR(E177),0,IF((YEAR(D177)+3)&gt;YEAR(E177),1,(12-MONTH(E177)+1)/12))) + (Q177)*(IF((YEAR(D177)+3)&lt;YEAR(E177),0,IF((YEAR(D177)+3)&gt;YEAR(E177),1,(12-MONTH(E177)+1)/12))))-((P177)*(IF((YEAR(D177)+3)&lt;YEAR(E177),0,IF((YEAR(D177)+3)&gt;YEAR(E177),1,(12-MONTH(E177)+1)/12))) + (R177)*(IF((YEAR(D177)+3)&lt;YEAR(E177),0,IF((YEAR(D177)+3)&gt;YEAR(E177),1,(12-MONTH(E177)+1)/12))))-(IF((((K177)*(IF(M177="",L177,IFERROR(IF(INDEX(Variablen!$I:$AT, MATCH(M177, Variablen!$A:$A, 0), MATCH((YEAR(D177)+3), Variablen!$I$3:$AT$3, 0))="",L177,INDEX(Variablen!$I:$AT, MATCH(M177, Variablen!$A:$A, 0), MATCH((YEAR(D177)+3), Variablen!$I$3:$AT$3, 0))),L177)))*(IF((YEAR(D177)+3)&lt;YEAR(E177),0,IF((YEAR(D177)+3)&gt;YEAR(E177),1,(12-MONTH(E177)+1)/12))) + (Q177)*(IF((YEAR(D177)+3)&lt;YEAR(E177),0,IF((YEAR(D177)+3)&gt;YEAR(E177),1,(12-MONTH(E177)+1)/12))))-((P177)*(IF((YEAR(D177)+3)&lt;YEAR(E177),0,IF((YEAR(D177)+3)&gt;YEAR(E177),1,(12-MONTH(E177)+1)/12))) + (R177)*(IF((YEAR(D177)+3)&lt;YEAR(E177),0,IF((YEAR(D177)+3)&gt;YEAR(E177),1,(12-MONTH(E177)+1)/12))))-(IF(OR(N177="",N177&lt;=0),0,(O177/N177)*(IF(OR(N177="",N177&lt;=0),0,IF((YEAR(D177)+3)&lt;YEAR(E177),0,IF((YEAR(D177)+3)&gt;=YEAR(E177)+N177,0,IF((YEAR(D177)+3)=YEAR(E177),(12-MONTH(E177)+1)/12,1))))))))&gt;0,(((K177)*(IF(M177="",L177,IFERROR(IF(INDEX(Variablen!$I:$AT, MATCH(M177, Variablen!$A:$A, 0), MATCH((YEAR(D177)+3), Variablen!$I$3:$AT$3, 0))="",L177,INDEX(Variablen!$I:$AT, MATCH(M177, Variablen!$A:$A, 0), MATCH((YEAR(D177)+3), Variablen!$I$3:$AT$3, 0))),L177)))*(IF((YEAR(D177)+3)&lt;YEAR(E177),0,IF((YEAR(D177)+3)&gt;YEAR(E177),1,(12-MONTH(E177)+1)/12))) + (Q177)*(IF((YEAR(D177)+3)&lt;YEAR(E177),0,IF((YEAR(D177)+3)&gt;YEAR(E177),1,(12-MONTH(E177)+1)/12))))-((P177)*(IF((YEAR(D177)+3)&lt;YEAR(E177),0,IF((YEAR(D177)+3)&gt;YEAR(E177),1,(12-MONTH(E177)+1)/12))) + (R177)*(IF((YEAR(D177)+3)&lt;YEAR(E177),0,IF((YEAR(D177)+3)&gt;YEAR(E177),1,(12-MONTH(E177)+1)/12))))-(IF(OR(N177="",N177&lt;=0),0,(O177/N177)*(IF(OR(N177="",N177&lt;=0),0,IF((YEAR(D177)+3)&lt;YEAR(E177),0,IF((YEAR(D177)+3)&gt;=YEAR(E177)+N177,0,IF((YEAR(D177)+3)=YEAR(E177),(12-MONTH(E177)+1)/12,1))))))))*TaxRate,0))-IF(3=0,O177,0))</f>
        <v/>
      </c>
      <c r="W177" s="29">
        <f>IF(A177="","",((K177)*(IF(M177="",L177,IFERROR(IF(INDEX(Variablen!$I:$AT, MATCH(M177, Variablen!$A:$A, 0), MATCH((YEAR(D177)+4), Variablen!$I$3:$AT$3, 0))="",L177,INDEX(Variablen!$I:$AT, MATCH(M177, Variablen!$A:$A, 0), MATCH((YEAR(D177)+4), Variablen!$I$3:$AT$3, 0))),L177)))*(IF((YEAR(D177)+4)&lt;YEAR(E177),0,IF((YEAR(D177)+4)&gt;YEAR(E177),1,(12-MONTH(E177)+1)/12))) + (Q177)*(IF((YEAR(D177)+4)&lt;YEAR(E177),0,IF((YEAR(D177)+4)&gt;YEAR(E177),1,(12-MONTH(E177)+1)/12))))-((P177)*(IF((YEAR(D177)+4)&lt;YEAR(E177),0,IF((YEAR(D177)+4)&gt;YEAR(E177),1,(12-MONTH(E177)+1)/12))) + (R177)*(IF((YEAR(D177)+4)&lt;YEAR(E177),0,IF((YEAR(D177)+4)&gt;YEAR(E177),1,(12-MONTH(E177)+1)/12))))-(IF((((K177)*(IF(M177="",L177,IFERROR(IF(INDEX(Variablen!$I:$AT, MATCH(M177, Variablen!$A:$A, 0), MATCH((YEAR(D177)+4), Variablen!$I$3:$AT$3, 0))="",L177,INDEX(Variablen!$I:$AT, MATCH(M177, Variablen!$A:$A, 0), MATCH((YEAR(D177)+4), Variablen!$I$3:$AT$3, 0))),L177)))*(IF((YEAR(D177)+4)&lt;YEAR(E177),0,IF((YEAR(D177)+4)&gt;YEAR(E177),1,(12-MONTH(E177)+1)/12))) + (Q177)*(IF((YEAR(D177)+4)&lt;YEAR(E177),0,IF((YEAR(D177)+4)&gt;YEAR(E177),1,(12-MONTH(E177)+1)/12))))-((P177)*(IF((YEAR(D177)+4)&lt;YEAR(E177),0,IF((YEAR(D177)+4)&gt;YEAR(E177),1,(12-MONTH(E177)+1)/12))) + (R177)*(IF((YEAR(D177)+4)&lt;YEAR(E177),0,IF((YEAR(D177)+4)&gt;YEAR(E177),1,(12-MONTH(E177)+1)/12))))-(IF(OR(N177="",N177&lt;=0),0,(O177/N177)*(IF(OR(N177="",N177&lt;=0),0,IF((YEAR(D177)+4)&lt;YEAR(E177),0,IF((YEAR(D177)+4)&gt;=YEAR(E177)+N177,0,IF((YEAR(D177)+4)=YEAR(E177),(12-MONTH(E177)+1)/12,1))))))))&gt;0,(((K177)*(IF(M177="",L177,IFERROR(IF(INDEX(Variablen!$I:$AT, MATCH(M177, Variablen!$A:$A, 0), MATCH((YEAR(D177)+4), Variablen!$I$3:$AT$3, 0))="",L177,INDEX(Variablen!$I:$AT, MATCH(M177, Variablen!$A:$A, 0), MATCH((YEAR(D177)+4), Variablen!$I$3:$AT$3, 0))),L177)))*(IF((YEAR(D177)+4)&lt;YEAR(E177),0,IF((YEAR(D177)+4)&gt;YEAR(E177),1,(12-MONTH(E177)+1)/12))) + (Q177)*(IF((YEAR(D177)+4)&lt;YEAR(E177),0,IF((YEAR(D177)+4)&gt;YEAR(E177),1,(12-MONTH(E177)+1)/12))))-((P177)*(IF((YEAR(D177)+4)&lt;YEAR(E177),0,IF((YEAR(D177)+4)&gt;YEAR(E177),1,(12-MONTH(E177)+1)/12))) + (R177)*(IF((YEAR(D177)+4)&lt;YEAR(E177),0,IF((YEAR(D177)+4)&gt;YEAR(E177),1,(12-MONTH(E177)+1)/12))))-(IF(OR(N177="",N177&lt;=0),0,(O177/N177)*(IF(OR(N177="",N177&lt;=0),0,IF((YEAR(D177)+4)&lt;YEAR(E177),0,IF((YEAR(D177)+4)&gt;=YEAR(E177)+N177,0,IF((YEAR(D177)+4)=YEAR(E177),(12-MONTH(E177)+1)/12,1))))))))*TaxRate,0))-IF(4=0,O177,0))</f>
        <v/>
      </c>
      <c r="X177" s="29">
        <f>IF(A177="","",((K177)*(IF(M177="",L177,IFERROR(IF(INDEX(Variablen!$I:$AT, MATCH(M177, Variablen!$A:$A, 0), MATCH((YEAR(D177)+5), Variablen!$I$3:$AT$3, 0))="",L177,INDEX(Variablen!$I:$AT, MATCH(M177, Variablen!$A:$A, 0), MATCH((YEAR(D177)+5), Variablen!$I$3:$AT$3, 0))),L177)))*(IF((YEAR(D177)+5)&lt;YEAR(E177),0,IF((YEAR(D177)+5)&gt;YEAR(E177),1,(12-MONTH(E177)+1)/12))) + (Q177)*(IF((YEAR(D177)+5)&lt;YEAR(E177),0,IF((YEAR(D177)+5)&gt;YEAR(E177),1,(12-MONTH(E177)+1)/12))))-((P177)*(IF((YEAR(D177)+5)&lt;YEAR(E177),0,IF((YEAR(D177)+5)&gt;YEAR(E177),1,(12-MONTH(E177)+1)/12))) + (R177)*(IF((YEAR(D177)+5)&lt;YEAR(E177),0,IF((YEAR(D177)+5)&gt;YEAR(E177),1,(12-MONTH(E177)+1)/12))))-(IF((((K177)*(IF(M177="",L177,IFERROR(IF(INDEX(Variablen!$I:$AT, MATCH(M177, Variablen!$A:$A, 0), MATCH((YEAR(D177)+5), Variablen!$I$3:$AT$3, 0))="",L177,INDEX(Variablen!$I:$AT, MATCH(M177, Variablen!$A:$A, 0), MATCH((YEAR(D177)+5), Variablen!$I$3:$AT$3, 0))),L177)))*(IF((YEAR(D177)+5)&lt;YEAR(E177),0,IF((YEAR(D177)+5)&gt;YEAR(E177),1,(12-MONTH(E177)+1)/12))) + (Q177)*(IF((YEAR(D177)+5)&lt;YEAR(E177),0,IF((YEAR(D177)+5)&gt;YEAR(E177),1,(12-MONTH(E177)+1)/12))))-((P177)*(IF((YEAR(D177)+5)&lt;YEAR(E177),0,IF((YEAR(D177)+5)&gt;YEAR(E177),1,(12-MONTH(E177)+1)/12))) + (R177)*(IF((YEAR(D177)+5)&lt;YEAR(E177),0,IF((YEAR(D177)+5)&gt;YEAR(E177),1,(12-MONTH(E177)+1)/12))))-(IF(OR(N177="",N177&lt;=0),0,(O177/N177)*(IF(OR(N177="",N177&lt;=0),0,IF((YEAR(D177)+5)&lt;YEAR(E177),0,IF((YEAR(D177)+5)&gt;=YEAR(E177)+N177,0,IF((YEAR(D177)+5)=YEAR(E177),(12-MONTH(E177)+1)/12,1))))))))&gt;0,(((K177)*(IF(M177="",L177,IFERROR(IF(INDEX(Variablen!$I:$AT, MATCH(M177, Variablen!$A:$A, 0), MATCH((YEAR(D177)+5), Variablen!$I$3:$AT$3, 0))="",L177,INDEX(Variablen!$I:$AT, MATCH(M177, Variablen!$A:$A, 0), MATCH((YEAR(D177)+5), Variablen!$I$3:$AT$3, 0))),L177)))*(IF((YEAR(D177)+5)&lt;YEAR(E177),0,IF((YEAR(D177)+5)&gt;YEAR(E177),1,(12-MONTH(E177)+1)/12))) + (Q177)*(IF((YEAR(D177)+5)&lt;YEAR(E177),0,IF((YEAR(D177)+5)&gt;YEAR(E177),1,(12-MONTH(E177)+1)/12))))-((P177)*(IF((YEAR(D177)+5)&lt;YEAR(E177),0,IF((YEAR(D177)+5)&gt;YEAR(E177),1,(12-MONTH(E177)+1)/12))) + (R177)*(IF((YEAR(D177)+5)&lt;YEAR(E177),0,IF((YEAR(D177)+5)&gt;YEAR(E177),1,(12-MONTH(E177)+1)/12))))-(IF(OR(N177="",N177&lt;=0),0,(O177/N177)*(IF(OR(N177="",N177&lt;=0),0,IF((YEAR(D177)+5)&lt;YEAR(E177),0,IF((YEAR(D177)+5)&gt;=YEAR(E177)+N177,0,IF((YEAR(D177)+5)=YEAR(E177),(12-MONTH(E177)+1)/12,1))))))))*TaxRate,0))-IF(5=0,O177,0))</f>
        <v/>
      </c>
      <c r="Y177" s="29">
        <f>IF(A177="","",((K177)*(IF(M177="",L177,IFERROR(IF(INDEX(Variablen!$I:$AT, MATCH(M177, Variablen!$A:$A, 0), MATCH((YEAR(D177)+6), Variablen!$I$3:$AT$3, 0))="",L177,INDEX(Variablen!$I:$AT, MATCH(M177, Variablen!$A:$A, 0), MATCH((YEAR(D177)+6), Variablen!$I$3:$AT$3, 0))),L177)))*(IF((YEAR(D177)+6)&lt;YEAR(E177),0,IF((YEAR(D177)+6)&gt;YEAR(E177),1,(12-MONTH(E177)+1)/12))) + (Q177)*(IF((YEAR(D177)+6)&lt;YEAR(E177),0,IF((YEAR(D177)+6)&gt;YEAR(E177),1,(12-MONTH(E177)+1)/12))))-((P177)*(IF((YEAR(D177)+6)&lt;YEAR(E177),0,IF((YEAR(D177)+6)&gt;YEAR(E177),1,(12-MONTH(E177)+1)/12))) + (R177)*(IF((YEAR(D177)+6)&lt;YEAR(E177),0,IF((YEAR(D177)+6)&gt;YEAR(E177),1,(12-MONTH(E177)+1)/12))))-(IF((((K177)*(IF(M177="",L177,IFERROR(IF(INDEX(Variablen!$I:$AT, MATCH(M177, Variablen!$A:$A, 0), MATCH((YEAR(D177)+6), Variablen!$I$3:$AT$3, 0))="",L177,INDEX(Variablen!$I:$AT, MATCH(M177, Variablen!$A:$A, 0), MATCH((YEAR(D177)+6), Variablen!$I$3:$AT$3, 0))),L177)))*(IF((YEAR(D177)+6)&lt;YEAR(E177),0,IF((YEAR(D177)+6)&gt;YEAR(E177),1,(12-MONTH(E177)+1)/12))) + (Q177)*(IF((YEAR(D177)+6)&lt;YEAR(E177),0,IF((YEAR(D177)+6)&gt;YEAR(E177),1,(12-MONTH(E177)+1)/12))))-((P177)*(IF((YEAR(D177)+6)&lt;YEAR(E177),0,IF((YEAR(D177)+6)&gt;YEAR(E177),1,(12-MONTH(E177)+1)/12))) + (R177)*(IF((YEAR(D177)+6)&lt;YEAR(E177),0,IF((YEAR(D177)+6)&gt;YEAR(E177),1,(12-MONTH(E177)+1)/12))))-(IF(OR(N177="",N177&lt;=0),0,(O177/N177)*(IF(OR(N177="",N177&lt;=0),0,IF((YEAR(D177)+6)&lt;YEAR(E177),0,IF((YEAR(D177)+6)&gt;=YEAR(E177)+N177,0,IF((YEAR(D177)+6)=YEAR(E177),(12-MONTH(E177)+1)/12,1))))))))&gt;0,(((K177)*(IF(M177="",L177,IFERROR(IF(INDEX(Variablen!$I:$AT, MATCH(M177, Variablen!$A:$A, 0), MATCH((YEAR(D177)+6), Variablen!$I$3:$AT$3, 0))="",L177,INDEX(Variablen!$I:$AT, MATCH(M177, Variablen!$A:$A, 0), MATCH((YEAR(D177)+6), Variablen!$I$3:$AT$3, 0))),L177)))*(IF((YEAR(D177)+6)&lt;YEAR(E177),0,IF((YEAR(D177)+6)&gt;YEAR(E177),1,(12-MONTH(E177)+1)/12))) + (Q177)*(IF((YEAR(D177)+6)&lt;YEAR(E177),0,IF((YEAR(D177)+6)&gt;YEAR(E177),1,(12-MONTH(E177)+1)/12))))-((P177)*(IF((YEAR(D177)+6)&lt;YEAR(E177),0,IF((YEAR(D177)+6)&gt;YEAR(E177),1,(12-MONTH(E177)+1)/12))) + (R177)*(IF((YEAR(D177)+6)&lt;YEAR(E177),0,IF((YEAR(D177)+6)&gt;YEAR(E177),1,(12-MONTH(E177)+1)/12))))-(IF(OR(N177="",N177&lt;=0),0,(O177/N177)*(IF(OR(N177="",N177&lt;=0),0,IF((YEAR(D177)+6)&lt;YEAR(E177),0,IF((YEAR(D177)+6)&gt;=YEAR(E177)+N177,0,IF((YEAR(D177)+6)=YEAR(E177),(12-MONTH(E177)+1)/12,1))))))))*TaxRate,0))-IF(6=0,O177,0))</f>
        <v/>
      </c>
      <c r="Z177" s="29">
        <f>IF(A177="","",((K177)*(IF(M177="",L177,IFERROR(IF(INDEX(Variablen!$I:$AT, MATCH(M177, Variablen!$A:$A, 0), MATCH((YEAR(D177)+7), Variablen!$I$3:$AT$3, 0))="",L177,INDEX(Variablen!$I:$AT, MATCH(M177, Variablen!$A:$A, 0), MATCH((YEAR(D177)+7), Variablen!$I$3:$AT$3, 0))),L177)))*(IF((YEAR(D177)+7)&lt;YEAR(E177),0,IF((YEAR(D177)+7)&gt;YEAR(E177),1,(12-MONTH(E177)+1)/12))) + (Q177)*(IF((YEAR(D177)+7)&lt;YEAR(E177),0,IF((YEAR(D177)+7)&gt;YEAR(E177),1,(12-MONTH(E177)+1)/12))))-((P177)*(IF((YEAR(D177)+7)&lt;YEAR(E177),0,IF((YEAR(D177)+7)&gt;YEAR(E177),1,(12-MONTH(E177)+1)/12))) + (R177)*(IF((YEAR(D177)+7)&lt;YEAR(E177),0,IF((YEAR(D177)+7)&gt;YEAR(E177),1,(12-MONTH(E177)+1)/12))))-(IF((((K177)*(IF(M177="",L177,IFERROR(IF(INDEX(Variablen!$I:$AT, MATCH(M177, Variablen!$A:$A, 0), MATCH((YEAR(D177)+7), Variablen!$I$3:$AT$3, 0))="",L177,INDEX(Variablen!$I:$AT, MATCH(M177, Variablen!$A:$A, 0), MATCH((YEAR(D177)+7), Variablen!$I$3:$AT$3, 0))),L177)))*(IF((YEAR(D177)+7)&lt;YEAR(E177),0,IF((YEAR(D177)+7)&gt;YEAR(E177),1,(12-MONTH(E177)+1)/12))) + (Q177)*(IF((YEAR(D177)+7)&lt;YEAR(E177),0,IF((YEAR(D177)+7)&gt;YEAR(E177),1,(12-MONTH(E177)+1)/12))))-((P177)*(IF((YEAR(D177)+7)&lt;YEAR(E177),0,IF((YEAR(D177)+7)&gt;YEAR(E177),1,(12-MONTH(E177)+1)/12))) + (R177)*(IF((YEAR(D177)+7)&lt;YEAR(E177),0,IF((YEAR(D177)+7)&gt;YEAR(E177),1,(12-MONTH(E177)+1)/12))))-(IF(OR(N177="",N177&lt;=0),0,(O177/N177)*(IF(OR(N177="",N177&lt;=0),0,IF((YEAR(D177)+7)&lt;YEAR(E177),0,IF((YEAR(D177)+7)&gt;=YEAR(E177)+N177,0,IF((YEAR(D177)+7)=YEAR(E177),(12-MONTH(E177)+1)/12,1))))))))&gt;0,(((K177)*(IF(M177="",L177,IFERROR(IF(INDEX(Variablen!$I:$AT, MATCH(M177, Variablen!$A:$A, 0), MATCH((YEAR(D177)+7), Variablen!$I$3:$AT$3, 0))="",L177,INDEX(Variablen!$I:$AT, MATCH(M177, Variablen!$A:$A, 0), MATCH((YEAR(D177)+7), Variablen!$I$3:$AT$3, 0))),L177)))*(IF((YEAR(D177)+7)&lt;YEAR(E177),0,IF((YEAR(D177)+7)&gt;YEAR(E177),1,(12-MONTH(E177)+1)/12))) + (Q177)*(IF((YEAR(D177)+7)&lt;YEAR(E177),0,IF((YEAR(D177)+7)&gt;YEAR(E177),1,(12-MONTH(E177)+1)/12))))-((P177)*(IF((YEAR(D177)+7)&lt;YEAR(E177),0,IF((YEAR(D177)+7)&gt;YEAR(E177),1,(12-MONTH(E177)+1)/12))) + (R177)*(IF((YEAR(D177)+7)&lt;YEAR(E177),0,IF((YEAR(D177)+7)&gt;YEAR(E177),1,(12-MONTH(E177)+1)/12))))-(IF(OR(N177="",N177&lt;=0),0,(O177/N177)*(IF(OR(N177="",N177&lt;=0),0,IF((YEAR(D177)+7)&lt;YEAR(E177),0,IF((YEAR(D177)+7)&gt;=YEAR(E177)+N177,0,IF((YEAR(D177)+7)=YEAR(E177),(12-MONTH(E177)+1)/12,1))))))))*TaxRate,0))-IF(7=0,O177,0))</f>
        <v/>
      </c>
      <c r="AA177" s="29">
        <f>IF(A177="","",((K177)*(IF(M177="",L177,IFERROR(IF(INDEX(Variablen!$I:$AT, MATCH(M177, Variablen!$A:$A, 0), MATCH((YEAR(D177)+8), Variablen!$I$3:$AT$3, 0))="",L177,INDEX(Variablen!$I:$AT, MATCH(M177, Variablen!$A:$A, 0), MATCH((YEAR(D177)+8), Variablen!$I$3:$AT$3, 0))),L177)))*(IF((YEAR(D177)+8)&lt;YEAR(E177),0,IF((YEAR(D177)+8)&gt;YEAR(E177),1,(12-MONTH(E177)+1)/12))) + (Q177)*(IF((YEAR(D177)+8)&lt;YEAR(E177),0,IF((YEAR(D177)+8)&gt;YEAR(E177),1,(12-MONTH(E177)+1)/12))))-((P177)*(IF((YEAR(D177)+8)&lt;YEAR(E177),0,IF((YEAR(D177)+8)&gt;YEAR(E177),1,(12-MONTH(E177)+1)/12))) + (R177)*(IF((YEAR(D177)+8)&lt;YEAR(E177),0,IF((YEAR(D177)+8)&gt;YEAR(E177),1,(12-MONTH(E177)+1)/12))))-(IF((((K177)*(IF(M177="",L177,IFERROR(IF(INDEX(Variablen!$I:$AT, MATCH(M177, Variablen!$A:$A, 0), MATCH((YEAR(D177)+8), Variablen!$I$3:$AT$3, 0))="",L177,INDEX(Variablen!$I:$AT, MATCH(M177, Variablen!$A:$A, 0), MATCH((YEAR(D177)+8), Variablen!$I$3:$AT$3, 0))),L177)))*(IF((YEAR(D177)+8)&lt;YEAR(E177),0,IF((YEAR(D177)+8)&gt;YEAR(E177),1,(12-MONTH(E177)+1)/12))) + (Q177)*(IF((YEAR(D177)+8)&lt;YEAR(E177),0,IF((YEAR(D177)+8)&gt;YEAR(E177),1,(12-MONTH(E177)+1)/12))))-((P177)*(IF((YEAR(D177)+8)&lt;YEAR(E177),0,IF((YEAR(D177)+8)&gt;YEAR(E177),1,(12-MONTH(E177)+1)/12))) + (R177)*(IF((YEAR(D177)+8)&lt;YEAR(E177),0,IF((YEAR(D177)+8)&gt;YEAR(E177),1,(12-MONTH(E177)+1)/12))))-(IF(OR(N177="",N177&lt;=0),0,(O177/N177)*(IF(OR(N177="",N177&lt;=0),0,IF((YEAR(D177)+8)&lt;YEAR(E177),0,IF((YEAR(D177)+8)&gt;=YEAR(E177)+N177,0,IF((YEAR(D177)+8)=YEAR(E177),(12-MONTH(E177)+1)/12,1))))))))&gt;0,(((K177)*(IF(M177="",L177,IFERROR(IF(INDEX(Variablen!$I:$AT, MATCH(M177, Variablen!$A:$A, 0), MATCH((YEAR(D177)+8), Variablen!$I$3:$AT$3, 0))="",L177,INDEX(Variablen!$I:$AT, MATCH(M177, Variablen!$A:$A, 0), MATCH((YEAR(D177)+8), Variablen!$I$3:$AT$3, 0))),L177)))*(IF((YEAR(D177)+8)&lt;YEAR(E177),0,IF((YEAR(D177)+8)&gt;YEAR(E177),1,(12-MONTH(E177)+1)/12))) + (Q177)*(IF((YEAR(D177)+8)&lt;YEAR(E177),0,IF((YEAR(D177)+8)&gt;YEAR(E177),1,(12-MONTH(E177)+1)/12))))-((P177)*(IF((YEAR(D177)+8)&lt;YEAR(E177),0,IF((YEAR(D177)+8)&gt;YEAR(E177),1,(12-MONTH(E177)+1)/12))) + (R177)*(IF((YEAR(D177)+8)&lt;YEAR(E177),0,IF((YEAR(D177)+8)&gt;YEAR(E177),1,(12-MONTH(E177)+1)/12))))-(IF(OR(N177="",N177&lt;=0),0,(O177/N177)*(IF(OR(N177="",N177&lt;=0),0,IF((YEAR(D177)+8)&lt;YEAR(E177),0,IF((YEAR(D177)+8)&gt;=YEAR(E177)+N177,0,IF((YEAR(D177)+8)=YEAR(E177),(12-MONTH(E177)+1)/12,1))))))))*TaxRate,0))-IF(8=0,O177,0))</f>
        <v/>
      </c>
      <c r="AB177" s="29">
        <f>IF(A177="","",((K177)*(IF(M177="",L177,IFERROR(IF(INDEX(Variablen!$I:$AT, MATCH(M177, Variablen!$A:$A, 0), MATCH((YEAR(D177)+9), Variablen!$I$3:$AT$3, 0))="",L177,INDEX(Variablen!$I:$AT, MATCH(M177, Variablen!$A:$A, 0), MATCH((YEAR(D177)+9), Variablen!$I$3:$AT$3, 0))),L177)))*(IF((YEAR(D177)+9)&lt;YEAR(E177),0,IF((YEAR(D177)+9)&gt;YEAR(E177),1,(12-MONTH(E177)+1)/12))) + (Q177)*(IF((YEAR(D177)+9)&lt;YEAR(E177),0,IF((YEAR(D177)+9)&gt;YEAR(E177),1,(12-MONTH(E177)+1)/12))))-((P177)*(IF((YEAR(D177)+9)&lt;YEAR(E177),0,IF((YEAR(D177)+9)&gt;YEAR(E177),1,(12-MONTH(E177)+1)/12))) + (R177)*(IF((YEAR(D177)+9)&lt;YEAR(E177),0,IF((YEAR(D177)+9)&gt;YEAR(E177),1,(12-MONTH(E177)+1)/12))))-(IF((((K177)*(IF(M177="",L177,IFERROR(IF(INDEX(Variablen!$I:$AT, MATCH(M177, Variablen!$A:$A, 0), MATCH((YEAR(D177)+9), Variablen!$I$3:$AT$3, 0))="",L177,INDEX(Variablen!$I:$AT, MATCH(M177, Variablen!$A:$A, 0), MATCH((YEAR(D177)+9), Variablen!$I$3:$AT$3, 0))),L177)))*(IF((YEAR(D177)+9)&lt;YEAR(E177),0,IF((YEAR(D177)+9)&gt;YEAR(E177),1,(12-MONTH(E177)+1)/12))) + (Q177)*(IF((YEAR(D177)+9)&lt;YEAR(E177),0,IF((YEAR(D177)+9)&gt;YEAR(E177),1,(12-MONTH(E177)+1)/12))))-((P177)*(IF((YEAR(D177)+9)&lt;YEAR(E177),0,IF((YEAR(D177)+9)&gt;YEAR(E177),1,(12-MONTH(E177)+1)/12))) + (R177)*(IF((YEAR(D177)+9)&lt;YEAR(E177),0,IF((YEAR(D177)+9)&gt;YEAR(E177),1,(12-MONTH(E177)+1)/12))))-(IF(OR(N177="",N177&lt;=0),0,(O177/N177)*(IF(OR(N177="",N177&lt;=0),0,IF((YEAR(D177)+9)&lt;YEAR(E177),0,IF((YEAR(D177)+9)&gt;=YEAR(E177)+N177,0,IF((YEAR(D177)+9)=YEAR(E177),(12-MONTH(E177)+1)/12,1))))))))&gt;0,(((K177)*(IF(M177="",L177,IFERROR(IF(INDEX(Variablen!$I:$AT, MATCH(M177, Variablen!$A:$A, 0), MATCH((YEAR(D177)+9), Variablen!$I$3:$AT$3, 0))="",L177,INDEX(Variablen!$I:$AT, MATCH(M177, Variablen!$A:$A, 0), MATCH((YEAR(D177)+9), Variablen!$I$3:$AT$3, 0))),L177)))*(IF((YEAR(D177)+9)&lt;YEAR(E177),0,IF((YEAR(D177)+9)&gt;YEAR(E177),1,(12-MONTH(E177)+1)/12))) + (Q177)*(IF((YEAR(D177)+9)&lt;YEAR(E177),0,IF((YEAR(D177)+9)&gt;YEAR(E177),1,(12-MONTH(E177)+1)/12))))-((P177)*(IF((YEAR(D177)+9)&lt;YEAR(E177),0,IF((YEAR(D177)+9)&gt;YEAR(E177),1,(12-MONTH(E177)+1)/12))) + (R177)*(IF((YEAR(D177)+9)&lt;YEAR(E177),0,IF((YEAR(D177)+9)&gt;YEAR(E177),1,(12-MONTH(E177)+1)/12))))-(IF(OR(N177="",N177&lt;=0),0,(O177/N177)*(IF(OR(N177="",N177&lt;=0),0,IF((YEAR(D177)+9)&lt;YEAR(E177),0,IF((YEAR(D177)+9)&gt;=YEAR(E177)+N177,0,IF((YEAR(D177)+9)=YEAR(E177),(12-MONTH(E177)+1)/12,1))))))))*TaxRate,0))-IF(9=0,O177,0))</f>
        <v/>
      </c>
      <c r="AC177" s="29">
        <f>IF(A177="","",((K177)*(IF(M177="",L177,IFERROR(IF(INDEX(Variablen!$I:$AT, MATCH(M177, Variablen!$A:$A, 0), MATCH((YEAR(D177)+10), Variablen!$I$3:$AT$3, 0))="",L177,INDEX(Variablen!$I:$AT, MATCH(M177, Variablen!$A:$A, 0), MATCH((YEAR(D177)+10), Variablen!$I$3:$AT$3, 0))),L177)))*(IF((YEAR(D177)+10)&lt;YEAR(E177),0,IF((YEAR(D177)+10)&gt;YEAR(E177),1,(12-MONTH(E177)+1)/12))) + (Q177)*(IF((YEAR(D177)+10)&lt;YEAR(E177),0,IF((YEAR(D177)+10)&gt;YEAR(E177),1,(12-MONTH(E177)+1)/12))))-((P177)*(IF((YEAR(D177)+10)&lt;YEAR(E177),0,IF((YEAR(D177)+10)&gt;YEAR(E177),1,(12-MONTH(E177)+1)/12))) + (R177)*(IF((YEAR(D177)+10)&lt;YEAR(E177),0,IF((YEAR(D177)+10)&gt;YEAR(E177),1,(12-MONTH(E177)+1)/12))))-(IF((((K177)*(IF(M177="",L177,IFERROR(IF(INDEX(Variablen!$I:$AT, MATCH(M177, Variablen!$A:$A, 0), MATCH((YEAR(D177)+10), Variablen!$I$3:$AT$3, 0))="",L177,INDEX(Variablen!$I:$AT, MATCH(M177, Variablen!$A:$A, 0), MATCH((YEAR(D177)+10), Variablen!$I$3:$AT$3, 0))),L177)))*(IF((YEAR(D177)+10)&lt;YEAR(E177),0,IF((YEAR(D177)+10)&gt;YEAR(E177),1,(12-MONTH(E177)+1)/12))) + (Q177)*(IF((YEAR(D177)+10)&lt;YEAR(E177),0,IF((YEAR(D177)+10)&gt;YEAR(E177),1,(12-MONTH(E177)+1)/12))))-((P177)*(IF((YEAR(D177)+10)&lt;YEAR(E177),0,IF((YEAR(D177)+10)&gt;YEAR(E177),1,(12-MONTH(E177)+1)/12))) + (R177)*(IF((YEAR(D177)+10)&lt;YEAR(E177),0,IF((YEAR(D177)+10)&gt;YEAR(E177),1,(12-MONTH(E177)+1)/12))))-(IF(OR(N177="",N177&lt;=0),0,(O177/N177)*(IF(OR(N177="",N177&lt;=0),0,IF((YEAR(D177)+10)&lt;YEAR(E177),0,IF((YEAR(D177)+10)&gt;=YEAR(E177)+N177,0,IF((YEAR(D177)+10)=YEAR(E177),(12-MONTH(E177)+1)/12,1))))))))&gt;0,(((K177)*(IF(M177="",L177,IFERROR(IF(INDEX(Variablen!$I:$AT, MATCH(M177, Variablen!$A:$A, 0), MATCH((YEAR(D177)+10), Variablen!$I$3:$AT$3, 0))="",L177,INDEX(Variablen!$I:$AT, MATCH(M177, Variablen!$A:$A, 0), MATCH((YEAR(D177)+10), Variablen!$I$3:$AT$3, 0))),L177)))*(IF((YEAR(D177)+10)&lt;YEAR(E177),0,IF((YEAR(D177)+10)&gt;YEAR(E177),1,(12-MONTH(E177)+1)/12))) + (Q177)*(IF((YEAR(D177)+10)&lt;YEAR(E177),0,IF((YEAR(D177)+10)&gt;YEAR(E177),1,(12-MONTH(E177)+1)/12))))-((P177)*(IF((YEAR(D177)+10)&lt;YEAR(E177),0,IF((YEAR(D177)+10)&gt;YEAR(E177),1,(12-MONTH(E177)+1)/12))) + (R177)*(IF((YEAR(D177)+10)&lt;YEAR(E177),0,IF((YEAR(D177)+10)&gt;YEAR(E177),1,(12-MONTH(E177)+1)/12))))-(IF(OR(N177="",N177&lt;=0),0,(O177/N177)*(IF(OR(N177="",N177&lt;=0),0,IF((YEAR(D177)+10)&lt;YEAR(E177),0,IF((YEAR(D177)+10)&gt;=YEAR(E177)+N177,0,IF((YEAR(D177)+10)=YEAR(E177),(12-MONTH(E177)+1)/12,1))))))))*TaxRate,0))-IF(10=0,O177,0))</f>
        <v/>
      </c>
      <c r="AD177" s="29">
        <f>IF(A177="","",((K177)*(IF(M177="",L177,IFERROR(IF(INDEX(Variablen!$I:$AT, MATCH(M177, Variablen!$A:$A, 0), MATCH((YEAR(D177)+11), Variablen!$I$3:$AT$3, 0))="",L177,INDEX(Variablen!$I:$AT, MATCH(M177, Variablen!$A:$A, 0), MATCH((YEAR(D177)+11), Variablen!$I$3:$AT$3, 0))),L177)))*(IF((YEAR(D177)+11)&lt;YEAR(E177),0,IF((YEAR(D177)+11)&gt;YEAR(E177),1,(12-MONTH(E177)+1)/12))) + (Q177)*(IF((YEAR(D177)+11)&lt;YEAR(E177),0,IF((YEAR(D177)+11)&gt;YEAR(E177),1,(12-MONTH(E177)+1)/12))))-((P177)*(IF((YEAR(D177)+11)&lt;YEAR(E177),0,IF((YEAR(D177)+11)&gt;YEAR(E177),1,(12-MONTH(E177)+1)/12))) + (R177)*(IF((YEAR(D177)+11)&lt;YEAR(E177),0,IF((YEAR(D177)+11)&gt;YEAR(E177),1,(12-MONTH(E177)+1)/12))))-(IF((((K177)*(IF(M177="",L177,IFERROR(IF(INDEX(Variablen!$I:$AT, MATCH(M177, Variablen!$A:$A, 0), MATCH((YEAR(D177)+11), Variablen!$I$3:$AT$3, 0))="",L177,INDEX(Variablen!$I:$AT, MATCH(M177, Variablen!$A:$A, 0), MATCH((YEAR(D177)+11), Variablen!$I$3:$AT$3, 0))),L177)))*(IF((YEAR(D177)+11)&lt;YEAR(E177),0,IF((YEAR(D177)+11)&gt;YEAR(E177),1,(12-MONTH(E177)+1)/12))) + (Q177)*(IF((YEAR(D177)+11)&lt;YEAR(E177),0,IF((YEAR(D177)+11)&gt;YEAR(E177),1,(12-MONTH(E177)+1)/12))))-((P177)*(IF((YEAR(D177)+11)&lt;YEAR(E177),0,IF((YEAR(D177)+11)&gt;YEAR(E177),1,(12-MONTH(E177)+1)/12))) + (R177)*(IF((YEAR(D177)+11)&lt;YEAR(E177),0,IF((YEAR(D177)+11)&gt;YEAR(E177),1,(12-MONTH(E177)+1)/12))))-(IF(OR(N177="",N177&lt;=0),0,(O177/N177)*(IF(OR(N177="",N177&lt;=0),0,IF((YEAR(D177)+11)&lt;YEAR(E177),0,IF((YEAR(D177)+11)&gt;=YEAR(E177)+N177,0,IF((YEAR(D177)+11)=YEAR(E177),(12-MONTH(E177)+1)/12,1))))))))&gt;0,(((K177)*(IF(M177="",L177,IFERROR(IF(INDEX(Variablen!$I:$AT, MATCH(M177, Variablen!$A:$A, 0), MATCH((YEAR(D177)+11), Variablen!$I$3:$AT$3, 0))="",L177,INDEX(Variablen!$I:$AT, MATCH(M177, Variablen!$A:$A, 0), MATCH((YEAR(D177)+11), Variablen!$I$3:$AT$3, 0))),L177)))*(IF((YEAR(D177)+11)&lt;YEAR(E177),0,IF((YEAR(D177)+11)&gt;YEAR(E177),1,(12-MONTH(E177)+1)/12))) + (Q177)*(IF((YEAR(D177)+11)&lt;YEAR(E177),0,IF((YEAR(D177)+11)&gt;YEAR(E177),1,(12-MONTH(E177)+1)/12))))-((P177)*(IF((YEAR(D177)+11)&lt;YEAR(E177),0,IF((YEAR(D177)+11)&gt;YEAR(E177),1,(12-MONTH(E177)+1)/12))) + (R177)*(IF((YEAR(D177)+11)&lt;YEAR(E177),0,IF((YEAR(D177)+11)&gt;YEAR(E177),1,(12-MONTH(E177)+1)/12))))-(IF(OR(N177="",N177&lt;=0),0,(O177/N177)*(IF(OR(N177="",N177&lt;=0),0,IF((YEAR(D177)+11)&lt;YEAR(E177),0,IF((YEAR(D177)+11)&gt;=YEAR(E177)+N177,0,IF((YEAR(D177)+11)=YEAR(E177),(12-MONTH(E177)+1)/12,1))))))))*TaxRate,0))-IF(11=0,O177,0))</f>
        <v/>
      </c>
      <c r="AE177" s="29">
        <f>IF(A177="","",((K177)*(IF(M177="",L177,IFERROR(IF(INDEX(Variablen!$I:$AT, MATCH(M177, Variablen!$A:$A, 0), MATCH((YEAR(D177)+12), Variablen!$I$3:$AT$3, 0))="",L177,INDEX(Variablen!$I:$AT, MATCH(M177, Variablen!$A:$A, 0), MATCH((YEAR(D177)+12), Variablen!$I$3:$AT$3, 0))),L177)))*(IF((YEAR(D177)+12)&lt;YEAR(E177),0,IF((YEAR(D177)+12)&gt;YEAR(E177),1,(12-MONTH(E177)+1)/12))) + (Q177)*(IF((YEAR(D177)+12)&lt;YEAR(E177),0,IF((YEAR(D177)+12)&gt;YEAR(E177),1,(12-MONTH(E177)+1)/12))))-((P177)*(IF((YEAR(D177)+12)&lt;YEAR(E177),0,IF((YEAR(D177)+12)&gt;YEAR(E177),1,(12-MONTH(E177)+1)/12))) + (R177)*(IF((YEAR(D177)+12)&lt;YEAR(E177),0,IF((YEAR(D177)+12)&gt;YEAR(E177),1,(12-MONTH(E177)+1)/12))))-(IF((((K177)*(IF(M177="",L177,IFERROR(IF(INDEX(Variablen!$I:$AT, MATCH(M177, Variablen!$A:$A, 0), MATCH((YEAR(D177)+12), Variablen!$I$3:$AT$3, 0))="",L177,INDEX(Variablen!$I:$AT, MATCH(M177, Variablen!$A:$A, 0), MATCH((YEAR(D177)+12), Variablen!$I$3:$AT$3, 0))),L177)))*(IF((YEAR(D177)+12)&lt;YEAR(E177),0,IF((YEAR(D177)+12)&gt;YEAR(E177),1,(12-MONTH(E177)+1)/12))) + (Q177)*(IF((YEAR(D177)+12)&lt;YEAR(E177),0,IF((YEAR(D177)+12)&gt;YEAR(E177),1,(12-MONTH(E177)+1)/12))))-((P177)*(IF((YEAR(D177)+12)&lt;YEAR(E177),0,IF((YEAR(D177)+12)&gt;YEAR(E177),1,(12-MONTH(E177)+1)/12))) + (R177)*(IF((YEAR(D177)+12)&lt;YEAR(E177),0,IF((YEAR(D177)+12)&gt;YEAR(E177),1,(12-MONTH(E177)+1)/12))))-(IF(OR(N177="",N177&lt;=0),0,(O177/N177)*(IF(OR(N177="",N177&lt;=0),0,IF((YEAR(D177)+12)&lt;YEAR(E177),0,IF((YEAR(D177)+12)&gt;=YEAR(E177)+N177,0,IF((YEAR(D177)+12)=YEAR(E177),(12-MONTH(E177)+1)/12,1))))))))&gt;0,(((K177)*(IF(M177="",L177,IFERROR(IF(INDEX(Variablen!$I:$AT, MATCH(M177, Variablen!$A:$A, 0), MATCH((YEAR(D177)+12), Variablen!$I$3:$AT$3, 0))="",L177,INDEX(Variablen!$I:$AT, MATCH(M177, Variablen!$A:$A, 0), MATCH((YEAR(D177)+12), Variablen!$I$3:$AT$3, 0))),L177)))*(IF((YEAR(D177)+12)&lt;YEAR(E177),0,IF((YEAR(D177)+12)&gt;YEAR(E177),1,(12-MONTH(E177)+1)/12))) + (Q177)*(IF((YEAR(D177)+12)&lt;YEAR(E177),0,IF((YEAR(D177)+12)&gt;YEAR(E177),1,(12-MONTH(E177)+1)/12))))-((P177)*(IF((YEAR(D177)+12)&lt;YEAR(E177),0,IF((YEAR(D177)+12)&gt;YEAR(E177),1,(12-MONTH(E177)+1)/12))) + (R177)*(IF((YEAR(D177)+12)&lt;YEAR(E177),0,IF((YEAR(D177)+12)&gt;YEAR(E177),1,(12-MONTH(E177)+1)/12))))-(IF(OR(N177="",N177&lt;=0),0,(O177/N177)*(IF(OR(N177="",N177&lt;=0),0,IF((YEAR(D177)+12)&lt;YEAR(E177),0,IF((YEAR(D177)+12)&gt;=YEAR(E177)+N177,0,IF((YEAR(D177)+12)=YEAR(E177),(12-MONTH(E177)+1)/12,1))))))))*TaxRate,0))-IF(12=0,O177,0))</f>
        <v/>
      </c>
      <c r="AF177" s="29">
        <f>IF(A177="","",((K177)*(IF(M177="",L177,IFERROR(IF(INDEX(Variablen!$I:$AT, MATCH(M177, Variablen!$A:$A, 0), MATCH((YEAR(D177)+13), Variablen!$I$3:$AT$3, 0))="",L177,INDEX(Variablen!$I:$AT, MATCH(M177, Variablen!$A:$A, 0), MATCH((YEAR(D177)+13), Variablen!$I$3:$AT$3, 0))),L177)))*(IF((YEAR(D177)+13)&lt;YEAR(E177),0,IF((YEAR(D177)+13)&gt;YEAR(E177),1,(12-MONTH(E177)+1)/12))) + (Q177)*(IF((YEAR(D177)+13)&lt;YEAR(E177),0,IF((YEAR(D177)+13)&gt;YEAR(E177),1,(12-MONTH(E177)+1)/12))))-((P177)*(IF((YEAR(D177)+13)&lt;YEAR(E177),0,IF((YEAR(D177)+13)&gt;YEAR(E177),1,(12-MONTH(E177)+1)/12))) + (R177)*(IF((YEAR(D177)+13)&lt;YEAR(E177),0,IF((YEAR(D177)+13)&gt;YEAR(E177),1,(12-MONTH(E177)+1)/12))))-(IF((((K177)*(IF(M177="",L177,IFERROR(IF(INDEX(Variablen!$I:$AT, MATCH(M177, Variablen!$A:$A, 0), MATCH((YEAR(D177)+13), Variablen!$I$3:$AT$3, 0))="",L177,INDEX(Variablen!$I:$AT, MATCH(M177, Variablen!$A:$A, 0), MATCH((YEAR(D177)+13), Variablen!$I$3:$AT$3, 0))),L177)))*(IF((YEAR(D177)+13)&lt;YEAR(E177),0,IF((YEAR(D177)+13)&gt;YEAR(E177),1,(12-MONTH(E177)+1)/12))) + (Q177)*(IF((YEAR(D177)+13)&lt;YEAR(E177),0,IF((YEAR(D177)+13)&gt;YEAR(E177),1,(12-MONTH(E177)+1)/12))))-((P177)*(IF((YEAR(D177)+13)&lt;YEAR(E177),0,IF((YEAR(D177)+13)&gt;YEAR(E177),1,(12-MONTH(E177)+1)/12))) + (R177)*(IF((YEAR(D177)+13)&lt;YEAR(E177),0,IF((YEAR(D177)+13)&gt;YEAR(E177),1,(12-MONTH(E177)+1)/12))))-(IF(OR(N177="",N177&lt;=0),0,(O177/N177)*(IF(OR(N177="",N177&lt;=0),0,IF((YEAR(D177)+13)&lt;YEAR(E177),0,IF((YEAR(D177)+13)&gt;=YEAR(E177)+N177,0,IF((YEAR(D177)+13)=YEAR(E177),(12-MONTH(E177)+1)/12,1))))))))&gt;0,(((K177)*(IF(M177="",L177,IFERROR(IF(INDEX(Variablen!$I:$AT, MATCH(M177, Variablen!$A:$A, 0), MATCH((YEAR(D177)+13), Variablen!$I$3:$AT$3, 0))="",L177,INDEX(Variablen!$I:$AT, MATCH(M177, Variablen!$A:$A, 0), MATCH((YEAR(D177)+13), Variablen!$I$3:$AT$3, 0))),L177)))*(IF((YEAR(D177)+13)&lt;YEAR(E177),0,IF((YEAR(D177)+13)&gt;YEAR(E177),1,(12-MONTH(E177)+1)/12))) + (Q177)*(IF((YEAR(D177)+13)&lt;YEAR(E177),0,IF((YEAR(D177)+13)&gt;YEAR(E177),1,(12-MONTH(E177)+1)/12))))-((P177)*(IF((YEAR(D177)+13)&lt;YEAR(E177),0,IF((YEAR(D177)+13)&gt;YEAR(E177),1,(12-MONTH(E177)+1)/12))) + (R177)*(IF((YEAR(D177)+13)&lt;YEAR(E177),0,IF((YEAR(D177)+13)&gt;YEAR(E177),1,(12-MONTH(E177)+1)/12))))-(IF(OR(N177="",N177&lt;=0),0,(O177/N177)*(IF(OR(N177="",N177&lt;=0),0,IF((YEAR(D177)+13)&lt;YEAR(E177),0,IF((YEAR(D177)+13)&gt;=YEAR(E177)+N177,0,IF((YEAR(D177)+13)=YEAR(E177),(12-MONTH(E177)+1)/12,1))))))))*TaxRate,0))-IF(13=0,O177,0))</f>
        <v/>
      </c>
      <c r="AG177" s="29">
        <f>IF(A177="","",((K177)*(IF(M177="",L177,IFERROR(IF(INDEX(Variablen!$I:$AT, MATCH(M177, Variablen!$A:$A, 0), MATCH((YEAR(D177)+14), Variablen!$I$3:$AT$3, 0))="",L177,INDEX(Variablen!$I:$AT, MATCH(M177, Variablen!$A:$A, 0), MATCH((YEAR(D177)+14), Variablen!$I$3:$AT$3, 0))),L177)))*(IF((YEAR(D177)+14)&lt;YEAR(E177),0,IF((YEAR(D177)+14)&gt;YEAR(E177),1,(12-MONTH(E177)+1)/12))) + (Q177)*(IF((YEAR(D177)+14)&lt;YEAR(E177),0,IF((YEAR(D177)+14)&gt;YEAR(E177),1,(12-MONTH(E177)+1)/12))))-((P177)*(IF((YEAR(D177)+14)&lt;YEAR(E177),0,IF((YEAR(D177)+14)&gt;YEAR(E177),1,(12-MONTH(E177)+1)/12))) + (R177)*(IF((YEAR(D177)+14)&lt;YEAR(E177),0,IF((YEAR(D177)+14)&gt;YEAR(E177),1,(12-MONTH(E177)+1)/12))))-(IF((((K177)*(IF(M177="",L177,IFERROR(IF(INDEX(Variablen!$I:$AT, MATCH(M177, Variablen!$A:$A, 0), MATCH((YEAR(D177)+14), Variablen!$I$3:$AT$3, 0))="",L177,INDEX(Variablen!$I:$AT, MATCH(M177, Variablen!$A:$A, 0), MATCH((YEAR(D177)+14), Variablen!$I$3:$AT$3, 0))),L177)))*(IF((YEAR(D177)+14)&lt;YEAR(E177),0,IF((YEAR(D177)+14)&gt;YEAR(E177),1,(12-MONTH(E177)+1)/12))) + (Q177)*(IF((YEAR(D177)+14)&lt;YEAR(E177),0,IF((YEAR(D177)+14)&gt;YEAR(E177),1,(12-MONTH(E177)+1)/12))))-((P177)*(IF((YEAR(D177)+14)&lt;YEAR(E177),0,IF((YEAR(D177)+14)&gt;YEAR(E177),1,(12-MONTH(E177)+1)/12))) + (R177)*(IF((YEAR(D177)+14)&lt;YEAR(E177),0,IF((YEAR(D177)+14)&gt;YEAR(E177),1,(12-MONTH(E177)+1)/12))))-(IF(OR(N177="",N177&lt;=0),0,(O177/N177)*(IF(OR(N177="",N177&lt;=0),0,IF((YEAR(D177)+14)&lt;YEAR(E177),0,IF((YEAR(D177)+14)&gt;=YEAR(E177)+N177,0,IF((YEAR(D177)+14)=YEAR(E177),(12-MONTH(E177)+1)/12,1))))))))&gt;0,(((K177)*(IF(M177="",L177,IFERROR(IF(INDEX(Variablen!$I:$AT, MATCH(M177, Variablen!$A:$A, 0), MATCH((YEAR(D177)+14), Variablen!$I$3:$AT$3, 0))="",L177,INDEX(Variablen!$I:$AT, MATCH(M177, Variablen!$A:$A, 0), MATCH((YEAR(D177)+14), Variablen!$I$3:$AT$3, 0))),L177)))*(IF((YEAR(D177)+14)&lt;YEAR(E177),0,IF((YEAR(D177)+14)&gt;YEAR(E177),1,(12-MONTH(E177)+1)/12))) + (Q177)*(IF((YEAR(D177)+14)&lt;YEAR(E177),0,IF((YEAR(D177)+14)&gt;YEAR(E177),1,(12-MONTH(E177)+1)/12))))-((P177)*(IF((YEAR(D177)+14)&lt;YEAR(E177),0,IF((YEAR(D177)+14)&gt;YEAR(E177),1,(12-MONTH(E177)+1)/12))) + (R177)*(IF((YEAR(D177)+14)&lt;YEAR(E177),0,IF((YEAR(D177)+14)&gt;YEAR(E177),1,(12-MONTH(E177)+1)/12))))-(IF(OR(N177="",N177&lt;=0),0,(O177/N177)*(IF(OR(N177="",N177&lt;=0),0,IF((YEAR(D177)+14)&lt;YEAR(E177),0,IF((YEAR(D177)+14)&gt;=YEAR(E177)+N177,0,IF((YEAR(D177)+14)=YEAR(E177),(12-MONTH(E177)+1)/12,1))))))))*TaxRate,0))-IF(14=0,O177,0))</f>
        <v/>
      </c>
      <c r="AH177" s="29">
        <f>IF(A177="","",((K177)*(IF(M177="",L177,IFERROR(IF(INDEX(Variablen!$I:$AT, MATCH(M177, Variablen!$A:$A, 0), MATCH((YEAR(D177)+15), Variablen!$I$3:$AT$3, 0))="",L177,INDEX(Variablen!$I:$AT, MATCH(M177, Variablen!$A:$A, 0), MATCH((YEAR(D177)+15), Variablen!$I$3:$AT$3, 0))),L177)))*(IF((YEAR(D177)+15)&lt;YEAR(E177),0,IF((YEAR(D177)+15)&gt;YEAR(E177),1,(12-MONTH(E177)+1)/12))) + (Q177)*(IF((YEAR(D177)+15)&lt;YEAR(E177),0,IF((YEAR(D177)+15)&gt;YEAR(E177),1,(12-MONTH(E177)+1)/12))))-((P177)*(IF((YEAR(D177)+15)&lt;YEAR(E177),0,IF((YEAR(D177)+15)&gt;YEAR(E177),1,(12-MONTH(E177)+1)/12))) + (R177)*(IF((YEAR(D177)+15)&lt;YEAR(E177),0,IF((YEAR(D177)+15)&gt;YEAR(E177),1,(12-MONTH(E177)+1)/12))))-(IF((((K177)*(IF(M177="",L177,IFERROR(IF(INDEX(Variablen!$I:$AT, MATCH(M177, Variablen!$A:$A, 0), MATCH((YEAR(D177)+15), Variablen!$I$3:$AT$3, 0))="",L177,INDEX(Variablen!$I:$AT, MATCH(M177, Variablen!$A:$A, 0), MATCH((YEAR(D177)+15), Variablen!$I$3:$AT$3, 0))),L177)))*(IF((YEAR(D177)+15)&lt;YEAR(E177),0,IF((YEAR(D177)+15)&gt;YEAR(E177),1,(12-MONTH(E177)+1)/12))) + (Q177)*(IF((YEAR(D177)+15)&lt;YEAR(E177),0,IF((YEAR(D177)+15)&gt;YEAR(E177),1,(12-MONTH(E177)+1)/12))))-((P177)*(IF((YEAR(D177)+15)&lt;YEAR(E177),0,IF((YEAR(D177)+15)&gt;YEAR(E177),1,(12-MONTH(E177)+1)/12))) + (R177)*(IF((YEAR(D177)+15)&lt;YEAR(E177),0,IF((YEAR(D177)+15)&gt;YEAR(E177),1,(12-MONTH(E177)+1)/12))))-(IF(OR(N177="",N177&lt;=0),0,(O177/N177)*(IF(OR(N177="",N177&lt;=0),0,IF((YEAR(D177)+15)&lt;YEAR(E177),0,IF((YEAR(D177)+15)&gt;=YEAR(E177)+N177,0,IF((YEAR(D177)+15)=YEAR(E177),(12-MONTH(E177)+1)/12,1))))))))&gt;0,(((K177)*(IF(M177="",L177,IFERROR(IF(INDEX(Variablen!$I:$AT, MATCH(M177, Variablen!$A:$A, 0), MATCH((YEAR(D177)+15), Variablen!$I$3:$AT$3, 0))="",L177,INDEX(Variablen!$I:$AT, MATCH(M177, Variablen!$A:$A, 0), MATCH((YEAR(D177)+15), Variablen!$I$3:$AT$3, 0))),L177)))*(IF((YEAR(D177)+15)&lt;YEAR(E177),0,IF((YEAR(D177)+15)&gt;YEAR(E177),1,(12-MONTH(E177)+1)/12))) + (Q177)*(IF((YEAR(D177)+15)&lt;YEAR(E177),0,IF((YEAR(D177)+15)&gt;YEAR(E177),1,(12-MONTH(E177)+1)/12))))-((P177)*(IF((YEAR(D177)+15)&lt;YEAR(E177),0,IF((YEAR(D177)+15)&gt;YEAR(E177),1,(12-MONTH(E177)+1)/12))) + (R177)*(IF((YEAR(D177)+15)&lt;YEAR(E177),0,IF((YEAR(D177)+15)&gt;YEAR(E177),1,(12-MONTH(E177)+1)/12))))-(IF(OR(N177="",N177&lt;=0),0,(O177/N177)*(IF(OR(N177="",N177&lt;=0),0,IF((YEAR(D177)+15)&lt;YEAR(E177),0,IF((YEAR(D177)+15)&gt;=YEAR(E177)+N177,0,IF((YEAR(D177)+15)=YEAR(E177),(12-MONTH(E177)+1)/12,1))))))))*TaxRate,0))-IF(15=0,O177,0))</f>
        <v/>
      </c>
      <c r="AI177" s="29">
        <f>IF(A177="","",((K177)*(IF(M177="",L177,IFERROR(IF(INDEX(Variablen!$I:$AT, MATCH(M177, Variablen!$A:$A, 0), MATCH((YEAR(D177)+16), Variablen!$I$3:$AT$3, 0))="",L177,INDEX(Variablen!$I:$AT, MATCH(M177, Variablen!$A:$A, 0), MATCH((YEAR(D177)+16), Variablen!$I$3:$AT$3, 0))),L177)))*(IF((YEAR(D177)+16)&lt;YEAR(E177),0,IF((YEAR(D177)+16)&gt;YEAR(E177),1,(12-MONTH(E177)+1)/12))) + (Q177)*(IF((YEAR(D177)+16)&lt;YEAR(E177),0,IF((YEAR(D177)+16)&gt;YEAR(E177),1,(12-MONTH(E177)+1)/12))))-((P177)*(IF((YEAR(D177)+16)&lt;YEAR(E177),0,IF((YEAR(D177)+16)&gt;YEAR(E177),1,(12-MONTH(E177)+1)/12))) + (R177)*(IF((YEAR(D177)+16)&lt;YEAR(E177),0,IF((YEAR(D177)+16)&gt;YEAR(E177),1,(12-MONTH(E177)+1)/12))))-(IF((((K177)*(IF(M177="",L177,IFERROR(IF(INDEX(Variablen!$I:$AT, MATCH(M177, Variablen!$A:$A, 0), MATCH((YEAR(D177)+16), Variablen!$I$3:$AT$3, 0))="",L177,INDEX(Variablen!$I:$AT, MATCH(M177, Variablen!$A:$A, 0), MATCH((YEAR(D177)+16), Variablen!$I$3:$AT$3, 0))),L177)))*(IF((YEAR(D177)+16)&lt;YEAR(E177),0,IF((YEAR(D177)+16)&gt;YEAR(E177),1,(12-MONTH(E177)+1)/12))) + (Q177)*(IF((YEAR(D177)+16)&lt;YEAR(E177),0,IF((YEAR(D177)+16)&gt;YEAR(E177),1,(12-MONTH(E177)+1)/12))))-((P177)*(IF((YEAR(D177)+16)&lt;YEAR(E177),0,IF((YEAR(D177)+16)&gt;YEAR(E177),1,(12-MONTH(E177)+1)/12))) + (R177)*(IF((YEAR(D177)+16)&lt;YEAR(E177),0,IF((YEAR(D177)+16)&gt;YEAR(E177),1,(12-MONTH(E177)+1)/12))))-(IF(OR(N177="",N177&lt;=0),0,(O177/N177)*(IF(OR(N177="",N177&lt;=0),0,IF((YEAR(D177)+16)&lt;YEAR(E177),0,IF((YEAR(D177)+16)&gt;=YEAR(E177)+N177,0,IF((YEAR(D177)+16)=YEAR(E177),(12-MONTH(E177)+1)/12,1))))))))&gt;0,(((K177)*(IF(M177="",L177,IFERROR(IF(INDEX(Variablen!$I:$AT, MATCH(M177, Variablen!$A:$A, 0), MATCH((YEAR(D177)+16), Variablen!$I$3:$AT$3, 0))="",L177,INDEX(Variablen!$I:$AT, MATCH(M177, Variablen!$A:$A, 0), MATCH((YEAR(D177)+16), Variablen!$I$3:$AT$3, 0))),L177)))*(IF((YEAR(D177)+16)&lt;YEAR(E177),0,IF((YEAR(D177)+16)&gt;YEAR(E177),1,(12-MONTH(E177)+1)/12))) + (Q177)*(IF((YEAR(D177)+16)&lt;YEAR(E177),0,IF((YEAR(D177)+16)&gt;YEAR(E177),1,(12-MONTH(E177)+1)/12))))-((P177)*(IF((YEAR(D177)+16)&lt;YEAR(E177),0,IF((YEAR(D177)+16)&gt;YEAR(E177),1,(12-MONTH(E177)+1)/12))) + (R177)*(IF((YEAR(D177)+16)&lt;YEAR(E177),0,IF((YEAR(D177)+16)&gt;YEAR(E177),1,(12-MONTH(E177)+1)/12))))-(IF(OR(N177="",N177&lt;=0),0,(O177/N177)*(IF(OR(N177="",N177&lt;=0),0,IF((YEAR(D177)+16)&lt;YEAR(E177),0,IF((YEAR(D177)+16)&gt;=YEAR(E177)+N177,0,IF((YEAR(D177)+16)=YEAR(E177),(12-MONTH(E177)+1)/12,1))))))))*TaxRate,0))-IF(16=0,O177,0))</f>
        <v/>
      </c>
      <c r="AJ177" s="29">
        <f>IF(A177="","",((K177)*(IF(M177="",L177,IFERROR(IF(INDEX(Variablen!$I:$AT, MATCH(M177, Variablen!$A:$A, 0), MATCH((YEAR(D177)+17), Variablen!$I$3:$AT$3, 0))="",L177,INDEX(Variablen!$I:$AT, MATCH(M177, Variablen!$A:$A, 0), MATCH((YEAR(D177)+17), Variablen!$I$3:$AT$3, 0))),L177)))*(IF((YEAR(D177)+17)&lt;YEAR(E177),0,IF((YEAR(D177)+17)&gt;YEAR(E177),1,(12-MONTH(E177)+1)/12))) + (Q177)*(IF((YEAR(D177)+17)&lt;YEAR(E177),0,IF((YEAR(D177)+17)&gt;YEAR(E177),1,(12-MONTH(E177)+1)/12))))-((P177)*(IF((YEAR(D177)+17)&lt;YEAR(E177),0,IF((YEAR(D177)+17)&gt;YEAR(E177),1,(12-MONTH(E177)+1)/12))) + (R177)*(IF((YEAR(D177)+17)&lt;YEAR(E177),0,IF((YEAR(D177)+17)&gt;YEAR(E177),1,(12-MONTH(E177)+1)/12))))-(IF((((K177)*(IF(M177="",L177,IFERROR(IF(INDEX(Variablen!$I:$AT, MATCH(M177, Variablen!$A:$A, 0), MATCH((YEAR(D177)+17), Variablen!$I$3:$AT$3, 0))="",L177,INDEX(Variablen!$I:$AT, MATCH(M177, Variablen!$A:$A, 0), MATCH((YEAR(D177)+17), Variablen!$I$3:$AT$3, 0))),L177)))*(IF((YEAR(D177)+17)&lt;YEAR(E177),0,IF((YEAR(D177)+17)&gt;YEAR(E177),1,(12-MONTH(E177)+1)/12))) + (Q177)*(IF((YEAR(D177)+17)&lt;YEAR(E177),0,IF((YEAR(D177)+17)&gt;YEAR(E177),1,(12-MONTH(E177)+1)/12))))-((P177)*(IF((YEAR(D177)+17)&lt;YEAR(E177),0,IF((YEAR(D177)+17)&gt;YEAR(E177),1,(12-MONTH(E177)+1)/12))) + (R177)*(IF((YEAR(D177)+17)&lt;YEAR(E177),0,IF((YEAR(D177)+17)&gt;YEAR(E177),1,(12-MONTH(E177)+1)/12))))-(IF(OR(N177="",N177&lt;=0),0,(O177/N177)*(IF(OR(N177="",N177&lt;=0),0,IF((YEAR(D177)+17)&lt;YEAR(E177),0,IF((YEAR(D177)+17)&gt;=YEAR(E177)+N177,0,IF((YEAR(D177)+17)=YEAR(E177),(12-MONTH(E177)+1)/12,1))))))))&gt;0,(((K177)*(IF(M177="",L177,IFERROR(IF(INDEX(Variablen!$I:$AT, MATCH(M177, Variablen!$A:$A, 0), MATCH((YEAR(D177)+17), Variablen!$I$3:$AT$3, 0))="",L177,INDEX(Variablen!$I:$AT, MATCH(M177, Variablen!$A:$A, 0), MATCH((YEAR(D177)+17), Variablen!$I$3:$AT$3, 0))),L177)))*(IF((YEAR(D177)+17)&lt;YEAR(E177),0,IF((YEAR(D177)+17)&gt;YEAR(E177),1,(12-MONTH(E177)+1)/12))) + (Q177)*(IF((YEAR(D177)+17)&lt;YEAR(E177),0,IF((YEAR(D177)+17)&gt;YEAR(E177),1,(12-MONTH(E177)+1)/12))))-((P177)*(IF((YEAR(D177)+17)&lt;YEAR(E177),0,IF((YEAR(D177)+17)&gt;YEAR(E177),1,(12-MONTH(E177)+1)/12))) + (R177)*(IF((YEAR(D177)+17)&lt;YEAR(E177),0,IF((YEAR(D177)+17)&gt;YEAR(E177),1,(12-MONTH(E177)+1)/12))))-(IF(OR(N177="",N177&lt;=0),0,(O177/N177)*(IF(OR(N177="",N177&lt;=0),0,IF((YEAR(D177)+17)&lt;YEAR(E177),0,IF((YEAR(D177)+17)&gt;=YEAR(E177)+N177,0,IF((YEAR(D177)+17)=YEAR(E177),(12-MONTH(E177)+1)/12,1))))))))*TaxRate,0))-IF(17=0,O177,0))</f>
        <v/>
      </c>
      <c r="AK177" s="29">
        <f>IF(A177="","",((K177)*(IF(M177="",L177,IFERROR(IF(INDEX(Variablen!$I:$AT, MATCH(M177, Variablen!$A:$A, 0), MATCH((YEAR(D177)+18), Variablen!$I$3:$AT$3, 0))="",L177,INDEX(Variablen!$I:$AT, MATCH(M177, Variablen!$A:$A, 0), MATCH((YEAR(D177)+18), Variablen!$I$3:$AT$3, 0))),L177)))*(IF((YEAR(D177)+18)&lt;YEAR(E177),0,IF((YEAR(D177)+18)&gt;YEAR(E177),1,(12-MONTH(E177)+1)/12))) + (Q177)*(IF((YEAR(D177)+18)&lt;YEAR(E177),0,IF((YEAR(D177)+18)&gt;YEAR(E177),1,(12-MONTH(E177)+1)/12))))-((P177)*(IF((YEAR(D177)+18)&lt;YEAR(E177),0,IF((YEAR(D177)+18)&gt;YEAR(E177),1,(12-MONTH(E177)+1)/12))) + (R177)*(IF((YEAR(D177)+18)&lt;YEAR(E177),0,IF((YEAR(D177)+18)&gt;YEAR(E177),1,(12-MONTH(E177)+1)/12))))-(IF((((K177)*(IF(M177="",L177,IFERROR(IF(INDEX(Variablen!$I:$AT, MATCH(M177, Variablen!$A:$A, 0), MATCH((YEAR(D177)+18), Variablen!$I$3:$AT$3, 0))="",L177,INDEX(Variablen!$I:$AT, MATCH(M177, Variablen!$A:$A, 0), MATCH((YEAR(D177)+18), Variablen!$I$3:$AT$3, 0))),L177)))*(IF((YEAR(D177)+18)&lt;YEAR(E177),0,IF((YEAR(D177)+18)&gt;YEAR(E177),1,(12-MONTH(E177)+1)/12))) + (Q177)*(IF((YEAR(D177)+18)&lt;YEAR(E177),0,IF((YEAR(D177)+18)&gt;YEAR(E177),1,(12-MONTH(E177)+1)/12))))-((P177)*(IF((YEAR(D177)+18)&lt;YEAR(E177),0,IF((YEAR(D177)+18)&gt;YEAR(E177),1,(12-MONTH(E177)+1)/12))) + (R177)*(IF((YEAR(D177)+18)&lt;YEAR(E177),0,IF((YEAR(D177)+18)&gt;YEAR(E177),1,(12-MONTH(E177)+1)/12))))-(IF(OR(N177="",N177&lt;=0),0,(O177/N177)*(IF(OR(N177="",N177&lt;=0),0,IF((YEAR(D177)+18)&lt;YEAR(E177),0,IF((YEAR(D177)+18)&gt;=YEAR(E177)+N177,0,IF((YEAR(D177)+18)=YEAR(E177),(12-MONTH(E177)+1)/12,1))))))))&gt;0,(((K177)*(IF(M177="",L177,IFERROR(IF(INDEX(Variablen!$I:$AT, MATCH(M177, Variablen!$A:$A, 0), MATCH((YEAR(D177)+18), Variablen!$I$3:$AT$3, 0))="",L177,INDEX(Variablen!$I:$AT, MATCH(M177, Variablen!$A:$A, 0), MATCH((YEAR(D177)+18), Variablen!$I$3:$AT$3, 0))),L177)))*(IF((YEAR(D177)+18)&lt;YEAR(E177),0,IF((YEAR(D177)+18)&gt;YEAR(E177),1,(12-MONTH(E177)+1)/12))) + (Q177)*(IF((YEAR(D177)+18)&lt;YEAR(E177),0,IF((YEAR(D177)+18)&gt;YEAR(E177),1,(12-MONTH(E177)+1)/12))))-((P177)*(IF((YEAR(D177)+18)&lt;YEAR(E177),0,IF((YEAR(D177)+18)&gt;YEAR(E177),1,(12-MONTH(E177)+1)/12))) + (R177)*(IF((YEAR(D177)+18)&lt;YEAR(E177),0,IF((YEAR(D177)+18)&gt;YEAR(E177),1,(12-MONTH(E177)+1)/12))))-(IF(OR(N177="",N177&lt;=0),0,(O177/N177)*(IF(OR(N177="",N177&lt;=0),0,IF((YEAR(D177)+18)&lt;YEAR(E177),0,IF((YEAR(D177)+18)&gt;=YEAR(E177)+N177,0,IF((YEAR(D177)+18)=YEAR(E177),(12-MONTH(E177)+1)/12,1))))))))*TaxRate,0))-IF(18=0,O177,0))</f>
        <v/>
      </c>
      <c r="AL177" s="29">
        <f>IF(A177="","",((K177)*(IF(M177="",L177,IFERROR(IF(INDEX(Variablen!$I:$AT, MATCH(M177, Variablen!$A:$A, 0), MATCH((YEAR(D177)+19), Variablen!$I$3:$AT$3, 0))="",L177,INDEX(Variablen!$I:$AT, MATCH(M177, Variablen!$A:$A, 0), MATCH((YEAR(D177)+19), Variablen!$I$3:$AT$3, 0))),L177)))*(IF((YEAR(D177)+19)&lt;YEAR(E177),0,IF((YEAR(D177)+19)&gt;YEAR(E177),1,(12-MONTH(E177)+1)/12))) + (Q177)*(IF((YEAR(D177)+19)&lt;YEAR(E177),0,IF((YEAR(D177)+19)&gt;YEAR(E177),1,(12-MONTH(E177)+1)/12))))-((P177)*(IF((YEAR(D177)+19)&lt;YEAR(E177),0,IF((YEAR(D177)+19)&gt;YEAR(E177),1,(12-MONTH(E177)+1)/12))) + (R177)*(IF((YEAR(D177)+19)&lt;YEAR(E177),0,IF((YEAR(D177)+19)&gt;YEAR(E177),1,(12-MONTH(E177)+1)/12))))-(IF((((K177)*(IF(M177="",L177,IFERROR(IF(INDEX(Variablen!$I:$AT, MATCH(M177, Variablen!$A:$A, 0), MATCH((YEAR(D177)+19), Variablen!$I$3:$AT$3, 0))="",L177,INDEX(Variablen!$I:$AT, MATCH(M177, Variablen!$A:$A, 0), MATCH((YEAR(D177)+19), Variablen!$I$3:$AT$3, 0))),L177)))*(IF((YEAR(D177)+19)&lt;YEAR(E177),0,IF((YEAR(D177)+19)&gt;YEAR(E177),1,(12-MONTH(E177)+1)/12))) + (Q177)*(IF((YEAR(D177)+19)&lt;YEAR(E177),0,IF((YEAR(D177)+19)&gt;YEAR(E177),1,(12-MONTH(E177)+1)/12))))-((P177)*(IF((YEAR(D177)+19)&lt;YEAR(E177),0,IF((YEAR(D177)+19)&gt;YEAR(E177),1,(12-MONTH(E177)+1)/12))) + (R177)*(IF((YEAR(D177)+19)&lt;YEAR(E177),0,IF((YEAR(D177)+19)&gt;YEAR(E177),1,(12-MONTH(E177)+1)/12))))-(IF(OR(N177="",N177&lt;=0),0,(O177/N177)*(IF(OR(N177="",N177&lt;=0),0,IF((YEAR(D177)+19)&lt;YEAR(E177),0,IF((YEAR(D177)+19)&gt;=YEAR(E177)+N177,0,IF((YEAR(D177)+19)=YEAR(E177),(12-MONTH(E177)+1)/12,1))))))))&gt;0,(((K177)*(IF(M177="",L177,IFERROR(IF(INDEX(Variablen!$I:$AT, MATCH(M177, Variablen!$A:$A, 0), MATCH((YEAR(D177)+19), Variablen!$I$3:$AT$3, 0))="",L177,INDEX(Variablen!$I:$AT, MATCH(M177, Variablen!$A:$A, 0), MATCH((YEAR(D177)+19), Variablen!$I$3:$AT$3, 0))),L177)))*(IF((YEAR(D177)+19)&lt;YEAR(E177),0,IF((YEAR(D177)+19)&gt;YEAR(E177),1,(12-MONTH(E177)+1)/12))) + (Q177)*(IF((YEAR(D177)+19)&lt;YEAR(E177),0,IF((YEAR(D177)+19)&gt;YEAR(E177),1,(12-MONTH(E177)+1)/12))))-((P177)*(IF((YEAR(D177)+19)&lt;YEAR(E177),0,IF((YEAR(D177)+19)&gt;YEAR(E177),1,(12-MONTH(E177)+1)/12))) + (R177)*(IF((YEAR(D177)+19)&lt;YEAR(E177),0,IF((YEAR(D177)+19)&gt;YEAR(E177),1,(12-MONTH(E177)+1)/12))))-(IF(OR(N177="",N177&lt;=0),0,(O177/N177)*(IF(OR(N177="",N177&lt;=0),0,IF((YEAR(D177)+19)&lt;YEAR(E177),0,IF((YEAR(D177)+19)&gt;=YEAR(E177)+N177,0,IF((YEAR(D177)+19)=YEAR(E177),(12-MONTH(E177)+1)/12,1))))))))*TaxRate,0))-IF(19=0,O177,0))</f>
        <v/>
      </c>
      <c r="AM177" s="29">
        <f>IF(A177="","",((K177)*(IF(M177="",L177,IFERROR(IF(INDEX(Variablen!$I:$AT, MATCH(M177, Variablen!$A:$A, 0), MATCH((YEAR(D177)+20), Variablen!$I$3:$AT$3, 0))="",L177,INDEX(Variablen!$I:$AT, MATCH(M177, Variablen!$A:$A, 0), MATCH((YEAR(D177)+20), Variablen!$I$3:$AT$3, 0))),L177)))*(IF((YEAR(D177)+20)&lt;YEAR(E177),0,IF((YEAR(D177)+20)&gt;YEAR(E177),1,(12-MONTH(E177)+1)/12))) + (Q177)*(IF((YEAR(D177)+20)&lt;YEAR(E177),0,IF((YEAR(D177)+20)&gt;YEAR(E177),1,(12-MONTH(E177)+1)/12))))-((P177)*(IF((YEAR(D177)+20)&lt;YEAR(E177),0,IF((YEAR(D177)+20)&gt;YEAR(E177),1,(12-MONTH(E177)+1)/12))) + (R177)*(IF((YEAR(D177)+20)&lt;YEAR(E177),0,IF((YEAR(D177)+20)&gt;YEAR(E177),1,(12-MONTH(E177)+1)/12))))-(IF((((K177)*(IF(M177="",L177,IFERROR(IF(INDEX(Variablen!$I:$AT, MATCH(M177, Variablen!$A:$A, 0), MATCH((YEAR(D177)+20), Variablen!$I$3:$AT$3, 0))="",L177,INDEX(Variablen!$I:$AT, MATCH(M177, Variablen!$A:$A, 0), MATCH((YEAR(D177)+20), Variablen!$I$3:$AT$3, 0))),L177)))*(IF((YEAR(D177)+20)&lt;YEAR(E177),0,IF((YEAR(D177)+20)&gt;YEAR(E177),1,(12-MONTH(E177)+1)/12))) + (Q177)*(IF((YEAR(D177)+20)&lt;YEAR(E177),0,IF((YEAR(D177)+20)&gt;YEAR(E177),1,(12-MONTH(E177)+1)/12))))-((P177)*(IF((YEAR(D177)+20)&lt;YEAR(E177),0,IF((YEAR(D177)+20)&gt;YEAR(E177),1,(12-MONTH(E177)+1)/12))) + (R177)*(IF((YEAR(D177)+20)&lt;YEAR(E177),0,IF((YEAR(D177)+20)&gt;YEAR(E177),1,(12-MONTH(E177)+1)/12))))-(IF(OR(N177="",N177&lt;=0),0,(O177/N177)*(IF(OR(N177="",N177&lt;=0),0,IF((YEAR(D177)+20)&lt;YEAR(E177),0,IF((YEAR(D177)+20)&gt;=YEAR(E177)+N177,0,IF((YEAR(D177)+20)=YEAR(E177),(12-MONTH(E177)+1)/12,1))))))))&gt;0,(((K177)*(IF(M177="",L177,IFERROR(IF(INDEX(Variablen!$I:$AT, MATCH(M177, Variablen!$A:$A, 0), MATCH((YEAR(D177)+20), Variablen!$I$3:$AT$3, 0))="",L177,INDEX(Variablen!$I:$AT, MATCH(M177, Variablen!$A:$A, 0), MATCH((YEAR(D177)+20), Variablen!$I$3:$AT$3, 0))),L177)))*(IF((YEAR(D177)+20)&lt;YEAR(E177),0,IF((YEAR(D177)+20)&gt;YEAR(E177),1,(12-MONTH(E177)+1)/12))) + (Q177)*(IF((YEAR(D177)+20)&lt;YEAR(E177),0,IF((YEAR(D177)+20)&gt;YEAR(E177),1,(12-MONTH(E177)+1)/12))))-((P177)*(IF((YEAR(D177)+20)&lt;YEAR(E177),0,IF((YEAR(D177)+20)&gt;YEAR(E177),1,(12-MONTH(E177)+1)/12))) + (R177)*(IF((YEAR(D177)+20)&lt;YEAR(E177),0,IF((YEAR(D177)+20)&gt;YEAR(E177),1,(12-MONTH(E177)+1)/12))))-(IF(OR(N177="",N177&lt;=0),0,(O177/N177)*(IF(OR(N177="",N177&lt;=0),0,IF((YEAR(D177)+20)&lt;YEAR(E177),0,IF((YEAR(D177)+20)&gt;=YEAR(E177)+N177,0,IF((YEAR(D177)+20)=YEAR(E177),(12-MONTH(E177)+1)/12,1))))))))*TaxRate,0))-IF(20=0,O177,0))</f>
        <v/>
      </c>
      <c r="AN177" s="29">
        <f>IF(A177="","",S177)</f>
        <v/>
      </c>
      <c r="AO177" s="29">
        <f>IF(A177="","",AN177+T177)</f>
        <v/>
      </c>
      <c r="AP177" s="29">
        <f>IF(A177="","",AO177+U177)</f>
        <v/>
      </c>
      <c r="AQ177" s="29">
        <f>IF(A177="","",AP177+V177)</f>
        <v/>
      </c>
      <c r="AR177" s="29">
        <f>IF(A177="","",AQ177+W177)</f>
        <v/>
      </c>
      <c r="AS177" s="29">
        <f>IF(A177="","",AR177+X177)</f>
        <v/>
      </c>
      <c r="AT177" s="29">
        <f>IF(A177="","",AS177+Y177)</f>
        <v/>
      </c>
      <c r="AU177" s="29">
        <f>IF(A177="","",AT177+Z177)</f>
        <v/>
      </c>
      <c r="AV177" s="29">
        <f>IF(A177="","",AU177+AA177)</f>
        <v/>
      </c>
      <c r="AW177" s="29">
        <f>IF(A177="","",AV177+AB177)</f>
        <v/>
      </c>
      <c r="AX177" s="29">
        <f>IF(A177="","",AW177+AC177)</f>
        <v/>
      </c>
      <c r="AY177" s="29">
        <f>IF(A177="","",AX177+AD177)</f>
        <v/>
      </c>
      <c r="AZ177" s="29">
        <f>IF(A177="","",AY177+AE177)</f>
        <v/>
      </c>
      <c r="BA177" s="29">
        <f>IF(A177="","",AZ177+AF177)</f>
        <v/>
      </c>
      <c r="BB177" s="29">
        <f>IF(A177="","",BA177+AG177)</f>
        <v/>
      </c>
      <c r="BC177" s="29">
        <f>IF(A177="","",BB177+AH177)</f>
        <v/>
      </c>
      <c r="BD177" s="29">
        <f>IF(A177="","",BC177+AI177)</f>
        <v/>
      </c>
      <c r="BE177" s="29">
        <f>IF(A177="","",BD177+AJ177)</f>
        <v/>
      </c>
      <c r="BF177" s="29">
        <f>IF(A177="","",BE177+AK177)</f>
        <v/>
      </c>
      <c r="BG177" s="29">
        <f>IF(A177="","",BF177+AL177)</f>
        <v/>
      </c>
      <c r="BH177" s="29">
        <f>IF(A177="","",BG177+AM177)</f>
        <v/>
      </c>
      <c r="BI177" s="36">
        <f>IF(A177="","",(K177)*(IF((YEAR(D177)+0)&lt;YEAR(E177),0,IF((YEAR(D177)+0)&gt;YEAR(E177),1,(12-MONTH(E177)+1)/12)))*(1/(1+DiscountRate)^0))</f>
        <v/>
      </c>
      <c r="BJ177" s="36">
        <f>IF(A177="","",(K177)*(IF((YEAR(D177)+1)&lt;YEAR(E177),0,IF((YEAR(D177)+1)&gt;YEAR(E177),1,(12-MONTH(E177)+1)/12)))*(1/(1+DiscountRate)^1))</f>
        <v/>
      </c>
      <c r="BK177" s="36">
        <f>IF(A177="","",(K177)*(IF((YEAR(D177)+2)&lt;YEAR(E177),0,IF((YEAR(D177)+2)&gt;YEAR(E177),1,(12-MONTH(E177)+1)/12)))*(1/(1+DiscountRate)^2))</f>
        <v/>
      </c>
      <c r="BL177" s="36">
        <f>IF(A177="","",(K177)*(IF((YEAR(D177)+3)&lt;YEAR(E177),0,IF((YEAR(D177)+3)&gt;YEAR(E177),1,(12-MONTH(E177)+1)/12)))*(1/(1+DiscountRate)^3))</f>
        <v/>
      </c>
      <c r="BM177" s="36">
        <f>IF(A177="","",(K177)*(IF((YEAR(D177)+4)&lt;YEAR(E177),0,IF((YEAR(D177)+4)&gt;YEAR(E177),1,(12-MONTH(E177)+1)/12)))*(1/(1+DiscountRate)^4))</f>
        <v/>
      </c>
      <c r="BN177" s="36">
        <f>IF(A177="","",(K177)*(IF((YEAR(D177)+5)&lt;YEAR(E177),0,IF((YEAR(D177)+5)&gt;YEAR(E177),1,(12-MONTH(E177)+1)/12)))*(1/(1+DiscountRate)^5))</f>
        <v/>
      </c>
      <c r="BO177" s="36">
        <f>IF(A177="","",(K177)*(IF((YEAR(D177)+6)&lt;YEAR(E177),0,IF((YEAR(D177)+6)&gt;YEAR(E177),1,(12-MONTH(E177)+1)/12)))*(1/(1+DiscountRate)^6))</f>
        <v/>
      </c>
      <c r="BP177" s="36">
        <f>IF(A177="","",(K177)*(IF((YEAR(D177)+7)&lt;YEAR(E177),0,IF((YEAR(D177)+7)&gt;YEAR(E177),1,(12-MONTH(E177)+1)/12)))*(1/(1+DiscountRate)^7))</f>
        <v/>
      </c>
      <c r="BQ177" s="36">
        <f>IF(A177="","",(K177)*(IF((YEAR(D177)+8)&lt;YEAR(E177),0,IF((YEAR(D177)+8)&gt;YEAR(E177),1,(12-MONTH(E177)+1)/12)))*(1/(1+DiscountRate)^8))</f>
        <v/>
      </c>
      <c r="BR177" s="36">
        <f>IF(A177="","",(K177)*(IF((YEAR(D177)+9)&lt;YEAR(E177),0,IF((YEAR(D177)+9)&gt;YEAR(E177),1,(12-MONTH(E177)+1)/12)))*(1/(1+DiscountRate)^9))</f>
        <v/>
      </c>
      <c r="BS177" s="36">
        <f>IF(A177="","",(K177)*(IF((YEAR(D177)+10)&lt;YEAR(E177),0,IF((YEAR(D177)+10)&gt;YEAR(E177),1,(12-MONTH(E177)+1)/12)))*(1/(1+DiscountRate)^10))</f>
        <v/>
      </c>
      <c r="BT177" s="36">
        <f>IF(A177="","",(K177)*(IF((YEAR(D177)+11)&lt;YEAR(E177),0,IF((YEAR(D177)+11)&gt;YEAR(E177),1,(12-MONTH(E177)+1)/12)))*(1/(1+DiscountRate)^11))</f>
        <v/>
      </c>
      <c r="BU177" s="36">
        <f>IF(A177="","",(K177)*(IF((YEAR(D177)+12)&lt;YEAR(E177),0,IF((YEAR(D177)+12)&gt;YEAR(E177),1,(12-MONTH(E177)+1)/12)))*(1/(1+DiscountRate)^12))</f>
        <v/>
      </c>
      <c r="BV177" s="36">
        <f>IF(A177="","",(K177)*(IF((YEAR(D177)+13)&lt;YEAR(E177),0,IF((YEAR(D177)+13)&gt;YEAR(E177),1,(12-MONTH(E177)+1)/12)))*(1/(1+DiscountRate)^13))</f>
        <v/>
      </c>
      <c r="BW177" s="36">
        <f>IF(A177="","",(K177)*(IF((YEAR(D177)+14)&lt;YEAR(E177),0,IF((YEAR(D177)+14)&gt;YEAR(E177),1,(12-MONTH(E177)+1)/12)))*(1/(1+DiscountRate)^14))</f>
        <v/>
      </c>
      <c r="BX177" s="36">
        <f>IF(A177="","",(K177)*(IF((YEAR(D177)+15)&lt;YEAR(E177),0,IF((YEAR(D177)+15)&gt;YEAR(E177),1,(12-MONTH(E177)+1)/12)))*(1/(1+DiscountRate)^15))</f>
        <v/>
      </c>
      <c r="BY177" s="36">
        <f>IF(A177="","",(K177)*(IF((YEAR(D177)+16)&lt;YEAR(E177),0,IF((YEAR(D177)+16)&gt;YEAR(E177),1,(12-MONTH(E177)+1)/12)))*(1/(1+DiscountRate)^16))</f>
        <v/>
      </c>
      <c r="BZ177" s="36">
        <f>IF(A177="","",(K177)*(IF((YEAR(D177)+17)&lt;YEAR(E177),0,IF((YEAR(D177)+17)&gt;YEAR(E177),1,(12-MONTH(E177)+1)/12)))*(1/(1+DiscountRate)^17))</f>
        <v/>
      </c>
      <c r="CA177" s="36">
        <f>IF(A177="","",(K177)*(IF((YEAR(D177)+18)&lt;YEAR(E177),0,IF((YEAR(D177)+18)&gt;YEAR(E177),1,(12-MONTH(E177)+1)/12)))*(1/(1+DiscountRate)^18))</f>
        <v/>
      </c>
      <c r="CB177" s="36">
        <f>IF(A177="","",(K177)*(IF((YEAR(D177)+19)&lt;YEAR(E177),0,IF((YEAR(D177)+19)&gt;YEAR(E177),1,(12-MONTH(E177)+1)/12)))*(1/(1+DiscountRate)^19))</f>
        <v/>
      </c>
      <c r="CC177" s="36">
        <f>IF(A177="","",(K177)*(IF((YEAR(D177)+20)&lt;YEAR(E177),0,IF((YEAR(D177)+20)&gt;YEAR(E177),1,(12-MONTH(E177)+1)/12)))*(1/(1+DiscountRate)^20))</f>
        <v/>
      </c>
      <c r="CD177" s="29">
        <f>IF(A177="","",S177/(1+DiscountRate)^0+T177/(1+DiscountRate)^1+U177/(1+DiscountRate)^2+V177/(1+DiscountRate)^3+W177/(1+DiscountRate)^4+X177/(1+DiscountRate)^5+Y177/(1+DiscountRate)^6+Z177/(1+DiscountRate)^7+AA177/(1+DiscountRate)^8+AB177/(1+DiscountRate)^9+AC177/(1+DiscountRate)^10+AD177/(1+DiscountRate)^11+AE177/(1+DiscountRate)^12+AF177/(1+DiscountRate)^13+AG177/(1+DiscountRate)^14+AH177/(1+DiscountRate)^15+AI177/(1+DiscountRate)^16+AJ177/(1+DiscountRate)^17+AK177/(1+DiscountRate)^18+AL177/(1+DiscountRate)^19+AM177/(1+DiscountRate)^20)</f>
        <v/>
      </c>
      <c r="CE177" s="37">
        <f>IF(A177="","",IFERROR(IRR(OFFSET(S177,0,0,1,MIN(HorizonYears,20)+1)),"n/a"))</f>
        <v/>
      </c>
      <c r="CF177" s="28">
        <f>IF(A177="","",IFERROR(MATCH(TRUE,OFFSET(AN177,0,0,1,MIN(HorizonYears,20)+1)&gt;=0,0)-1,"n/a"))</f>
        <v/>
      </c>
      <c r="CG177" s="36">
        <f>IF(A177="","",SUM(OFFSET(BI177,0,0,1,MIN(HorizonYears,20)+1)))</f>
        <v/>
      </c>
      <c r="CH177" s="36">
        <f>IF(A177="","",IFERROR(-CD177/CG177,"n/a"))</f>
        <v/>
      </c>
    </row>
    <row r="178">
      <c r="A178" s="6">
        <f>Actions!A176</f>
        <v/>
      </c>
      <c r="B178" s="6">
        <f>Actions!B176</f>
        <v/>
      </c>
      <c r="C178" s="6">
        <f>Actions!D176</f>
        <v/>
      </c>
      <c r="D178" s="35">
        <f>Actions!E176</f>
        <v/>
      </c>
      <c r="E178" s="35">
        <f>Actions!F176</f>
        <v/>
      </c>
      <c r="F178" s="6">
        <f>Actions!G176</f>
        <v/>
      </c>
      <c r="G178" s="6">
        <f>Actions!H176</f>
        <v/>
      </c>
      <c r="H178" s="29">
        <f>Actions!I176</f>
        <v/>
      </c>
      <c r="I178" s="6">
        <f>Actions!J176</f>
        <v/>
      </c>
      <c r="J178" s="16">
        <f>Actions!K176</f>
        <v/>
      </c>
      <c r="K178" s="16">
        <f>IF(A178="","",IF(I178="%",H178*J178,J178))</f>
        <v/>
      </c>
      <c r="L178" s="16">
        <f>Actions!L176</f>
        <v/>
      </c>
      <c r="M178" s="6">
        <f>Actions!M176</f>
        <v/>
      </c>
      <c r="N178" s="28">
        <f>Actions!N176</f>
        <v/>
      </c>
      <c r="O178" s="29">
        <f>Actions!T176</f>
        <v/>
      </c>
      <c r="P178" s="29">
        <f>Actions!Y176</f>
        <v/>
      </c>
      <c r="Q178" s="29">
        <f>Actions!Z176</f>
        <v/>
      </c>
      <c r="R178" s="29">
        <f>Actions!AA176</f>
        <v/>
      </c>
      <c r="S178" s="29">
        <f>IF(A178="","",((K178)*(IF(M178="",L178,IFERROR(IF(INDEX(Variablen!$I:$AT, MATCH(M178, Variablen!$A:$A, 0), MATCH((YEAR(D178)+0), Variablen!$I$3:$AT$3, 0))="",L178,INDEX(Variablen!$I:$AT, MATCH(M178, Variablen!$A:$A, 0), MATCH((YEAR(D178)+0), Variablen!$I$3:$AT$3, 0))),L178)))*(IF((YEAR(D178)+0)&lt;YEAR(E178),0,IF((YEAR(D178)+0)&gt;YEAR(E178),1,(12-MONTH(E178)+1)/12))) + (Q178)*(IF((YEAR(D178)+0)&lt;YEAR(E178),0,IF((YEAR(D178)+0)&gt;YEAR(E178),1,(12-MONTH(E178)+1)/12))))-((P178)*(IF((YEAR(D178)+0)&lt;YEAR(E178),0,IF((YEAR(D178)+0)&gt;YEAR(E178),1,(12-MONTH(E178)+1)/12))) + (R178)*(IF((YEAR(D178)+0)&lt;YEAR(E178),0,IF((YEAR(D178)+0)&gt;YEAR(E178),1,(12-MONTH(E178)+1)/12))))-(IF((((K178)*(IF(M178="",L178,IFERROR(IF(INDEX(Variablen!$I:$AT, MATCH(M178, Variablen!$A:$A, 0), MATCH((YEAR(D178)+0), Variablen!$I$3:$AT$3, 0))="",L178,INDEX(Variablen!$I:$AT, MATCH(M178, Variablen!$A:$A, 0), MATCH((YEAR(D178)+0), Variablen!$I$3:$AT$3, 0))),L178)))*(IF((YEAR(D178)+0)&lt;YEAR(E178),0,IF((YEAR(D178)+0)&gt;YEAR(E178),1,(12-MONTH(E178)+1)/12))) + (Q178)*(IF((YEAR(D178)+0)&lt;YEAR(E178),0,IF((YEAR(D178)+0)&gt;YEAR(E178),1,(12-MONTH(E178)+1)/12))))-((P178)*(IF((YEAR(D178)+0)&lt;YEAR(E178),0,IF((YEAR(D178)+0)&gt;YEAR(E178),1,(12-MONTH(E178)+1)/12))) + (R178)*(IF((YEAR(D178)+0)&lt;YEAR(E178),0,IF((YEAR(D178)+0)&gt;YEAR(E178),1,(12-MONTH(E178)+1)/12))))-(IF(OR(N178="",N178&lt;=0),0,(O178/N178)*(IF(OR(N178="",N178&lt;=0),0,IF((YEAR(D178)+0)&lt;YEAR(E178),0,IF((YEAR(D178)+0)&gt;=YEAR(E178)+N178,0,IF((YEAR(D178)+0)=YEAR(E178),(12-MONTH(E178)+1)/12,1))))))))&gt;0,(((K178)*(IF(M178="",L178,IFERROR(IF(INDEX(Variablen!$I:$AT, MATCH(M178, Variablen!$A:$A, 0), MATCH((YEAR(D178)+0), Variablen!$I$3:$AT$3, 0))="",L178,INDEX(Variablen!$I:$AT, MATCH(M178, Variablen!$A:$A, 0), MATCH((YEAR(D178)+0), Variablen!$I$3:$AT$3, 0))),L178)))*(IF((YEAR(D178)+0)&lt;YEAR(E178),0,IF((YEAR(D178)+0)&gt;YEAR(E178),1,(12-MONTH(E178)+1)/12))) + (Q178)*(IF((YEAR(D178)+0)&lt;YEAR(E178),0,IF((YEAR(D178)+0)&gt;YEAR(E178),1,(12-MONTH(E178)+1)/12))))-((P178)*(IF((YEAR(D178)+0)&lt;YEAR(E178),0,IF((YEAR(D178)+0)&gt;YEAR(E178),1,(12-MONTH(E178)+1)/12))) + (R178)*(IF((YEAR(D178)+0)&lt;YEAR(E178),0,IF((YEAR(D178)+0)&gt;YEAR(E178),1,(12-MONTH(E178)+1)/12))))-(IF(OR(N178="",N178&lt;=0),0,(O178/N178)*(IF(OR(N178="",N178&lt;=0),0,IF((YEAR(D178)+0)&lt;YEAR(E178),0,IF((YEAR(D178)+0)&gt;=YEAR(E178)+N178,0,IF((YEAR(D178)+0)=YEAR(E178),(12-MONTH(E178)+1)/12,1))))))))*TaxRate,0))-IF(0=0,O178,0))</f>
        <v/>
      </c>
      <c r="T178" s="29">
        <f>IF(A178="","",((K178)*(IF(M178="",L178,IFERROR(IF(INDEX(Variablen!$I:$AT, MATCH(M178, Variablen!$A:$A, 0), MATCH((YEAR(D178)+1), Variablen!$I$3:$AT$3, 0))="",L178,INDEX(Variablen!$I:$AT, MATCH(M178, Variablen!$A:$A, 0), MATCH((YEAR(D178)+1), Variablen!$I$3:$AT$3, 0))),L178)))*(IF((YEAR(D178)+1)&lt;YEAR(E178),0,IF((YEAR(D178)+1)&gt;YEAR(E178),1,(12-MONTH(E178)+1)/12))) + (Q178)*(IF((YEAR(D178)+1)&lt;YEAR(E178),0,IF((YEAR(D178)+1)&gt;YEAR(E178),1,(12-MONTH(E178)+1)/12))))-((P178)*(IF((YEAR(D178)+1)&lt;YEAR(E178),0,IF((YEAR(D178)+1)&gt;YEAR(E178),1,(12-MONTH(E178)+1)/12))) + (R178)*(IF((YEAR(D178)+1)&lt;YEAR(E178),0,IF((YEAR(D178)+1)&gt;YEAR(E178),1,(12-MONTH(E178)+1)/12))))-(IF((((K178)*(IF(M178="",L178,IFERROR(IF(INDEX(Variablen!$I:$AT, MATCH(M178, Variablen!$A:$A, 0), MATCH((YEAR(D178)+1), Variablen!$I$3:$AT$3, 0))="",L178,INDEX(Variablen!$I:$AT, MATCH(M178, Variablen!$A:$A, 0), MATCH((YEAR(D178)+1), Variablen!$I$3:$AT$3, 0))),L178)))*(IF((YEAR(D178)+1)&lt;YEAR(E178),0,IF((YEAR(D178)+1)&gt;YEAR(E178),1,(12-MONTH(E178)+1)/12))) + (Q178)*(IF((YEAR(D178)+1)&lt;YEAR(E178),0,IF((YEAR(D178)+1)&gt;YEAR(E178),1,(12-MONTH(E178)+1)/12))))-((P178)*(IF((YEAR(D178)+1)&lt;YEAR(E178),0,IF((YEAR(D178)+1)&gt;YEAR(E178),1,(12-MONTH(E178)+1)/12))) + (R178)*(IF((YEAR(D178)+1)&lt;YEAR(E178),0,IF((YEAR(D178)+1)&gt;YEAR(E178),1,(12-MONTH(E178)+1)/12))))-(IF(OR(N178="",N178&lt;=0),0,(O178/N178)*(IF(OR(N178="",N178&lt;=0),0,IF((YEAR(D178)+1)&lt;YEAR(E178),0,IF((YEAR(D178)+1)&gt;=YEAR(E178)+N178,0,IF((YEAR(D178)+1)=YEAR(E178),(12-MONTH(E178)+1)/12,1))))))))&gt;0,(((K178)*(IF(M178="",L178,IFERROR(IF(INDEX(Variablen!$I:$AT, MATCH(M178, Variablen!$A:$A, 0), MATCH((YEAR(D178)+1), Variablen!$I$3:$AT$3, 0))="",L178,INDEX(Variablen!$I:$AT, MATCH(M178, Variablen!$A:$A, 0), MATCH((YEAR(D178)+1), Variablen!$I$3:$AT$3, 0))),L178)))*(IF((YEAR(D178)+1)&lt;YEAR(E178),0,IF((YEAR(D178)+1)&gt;YEAR(E178),1,(12-MONTH(E178)+1)/12))) + (Q178)*(IF((YEAR(D178)+1)&lt;YEAR(E178),0,IF((YEAR(D178)+1)&gt;YEAR(E178),1,(12-MONTH(E178)+1)/12))))-((P178)*(IF((YEAR(D178)+1)&lt;YEAR(E178),0,IF((YEAR(D178)+1)&gt;YEAR(E178),1,(12-MONTH(E178)+1)/12))) + (R178)*(IF((YEAR(D178)+1)&lt;YEAR(E178),0,IF((YEAR(D178)+1)&gt;YEAR(E178),1,(12-MONTH(E178)+1)/12))))-(IF(OR(N178="",N178&lt;=0),0,(O178/N178)*(IF(OR(N178="",N178&lt;=0),0,IF((YEAR(D178)+1)&lt;YEAR(E178),0,IF((YEAR(D178)+1)&gt;=YEAR(E178)+N178,0,IF((YEAR(D178)+1)=YEAR(E178),(12-MONTH(E178)+1)/12,1))))))))*TaxRate,0))-IF(1=0,O178,0))</f>
        <v/>
      </c>
      <c r="U178" s="29">
        <f>IF(A178="","",((K178)*(IF(M178="",L178,IFERROR(IF(INDEX(Variablen!$I:$AT, MATCH(M178, Variablen!$A:$A, 0), MATCH((YEAR(D178)+2), Variablen!$I$3:$AT$3, 0))="",L178,INDEX(Variablen!$I:$AT, MATCH(M178, Variablen!$A:$A, 0), MATCH((YEAR(D178)+2), Variablen!$I$3:$AT$3, 0))),L178)))*(IF((YEAR(D178)+2)&lt;YEAR(E178),0,IF((YEAR(D178)+2)&gt;YEAR(E178),1,(12-MONTH(E178)+1)/12))) + (Q178)*(IF((YEAR(D178)+2)&lt;YEAR(E178),0,IF((YEAR(D178)+2)&gt;YEAR(E178),1,(12-MONTH(E178)+1)/12))))-((P178)*(IF((YEAR(D178)+2)&lt;YEAR(E178),0,IF((YEAR(D178)+2)&gt;YEAR(E178),1,(12-MONTH(E178)+1)/12))) + (R178)*(IF((YEAR(D178)+2)&lt;YEAR(E178),0,IF((YEAR(D178)+2)&gt;YEAR(E178),1,(12-MONTH(E178)+1)/12))))-(IF((((K178)*(IF(M178="",L178,IFERROR(IF(INDEX(Variablen!$I:$AT, MATCH(M178, Variablen!$A:$A, 0), MATCH((YEAR(D178)+2), Variablen!$I$3:$AT$3, 0))="",L178,INDEX(Variablen!$I:$AT, MATCH(M178, Variablen!$A:$A, 0), MATCH((YEAR(D178)+2), Variablen!$I$3:$AT$3, 0))),L178)))*(IF((YEAR(D178)+2)&lt;YEAR(E178),0,IF((YEAR(D178)+2)&gt;YEAR(E178),1,(12-MONTH(E178)+1)/12))) + (Q178)*(IF((YEAR(D178)+2)&lt;YEAR(E178),0,IF((YEAR(D178)+2)&gt;YEAR(E178),1,(12-MONTH(E178)+1)/12))))-((P178)*(IF((YEAR(D178)+2)&lt;YEAR(E178),0,IF((YEAR(D178)+2)&gt;YEAR(E178),1,(12-MONTH(E178)+1)/12))) + (R178)*(IF((YEAR(D178)+2)&lt;YEAR(E178),0,IF((YEAR(D178)+2)&gt;YEAR(E178),1,(12-MONTH(E178)+1)/12))))-(IF(OR(N178="",N178&lt;=0),0,(O178/N178)*(IF(OR(N178="",N178&lt;=0),0,IF((YEAR(D178)+2)&lt;YEAR(E178),0,IF((YEAR(D178)+2)&gt;=YEAR(E178)+N178,0,IF((YEAR(D178)+2)=YEAR(E178),(12-MONTH(E178)+1)/12,1))))))))&gt;0,(((K178)*(IF(M178="",L178,IFERROR(IF(INDEX(Variablen!$I:$AT, MATCH(M178, Variablen!$A:$A, 0), MATCH((YEAR(D178)+2), Variablen!$I$3:$AT$3, 0))="",L178,INDEX(Variablen!$I:$AT, MATCH(M178, Variablen!$A:$A, 0), MATCH((YEAR(D178)+2), Variablen!$I$3:$AT$3, 0))),L178)))*(IF((YEAR(D178)+2)&lt;YEAR(E178),0,IF((YEAR(D178)+2)&gt;YEAR(E178),1,(12-MONTH(E178)+1)/12))) + (Q178)*(IF((YEAR(D178)+2)&lt;YEAR(E178),0,IF((YEAR(D178)+2)&gt;YEAR(E178),1,(12-MONTH(E178)+1)/12))))-((P178)*(IF((YEAR(D178)+2)&lt;YEAR(E178),0,IF((YEAR(D178)+2)&gt;YEAR(E178),1,(12-MONTH(E178)+1)/12))) + (R178)*(IF((YEAR(D178)+2)&lt;YEAR(E178),0,IF((YEAR(D178)+2)&gt;YEAR(E178),1,(12-MONTH(E178)+1)/12))))-(IF(OR(N178="",N178&lt;=0),0,(O178/N178)*(IF(OR(N178="",N178&lt;=0),0,IF((YEAR(D178)+2)&lt;YEAR(E178),0,IF((YEAR(D178)+2)&gt;=YEAR(E178)+N178,0,IF((YEAR(D178)+2)=YEAR(E178),(12-MONTH(E178)+1)/12,1))))))))*TaxRate,0))-IF(2=0,O178,0))</f>
        <v/>
      </c>
      <c r="V178" s="29">
        <f>IF(A178="","",((K178)*(IF(M178="",L178,IFERROR(IF(INDEX(Variablen!$I:$AT, MATCH(M178, Variablen!$A:$A, 0), MATCH((YEAR(D178)+3), Variablen!$I$3:$AT$3, 0))="",L178,INDEX(Variablen!$I:$AT, MATCH(M178, Variablen!$A:$A, 0), MATCH((YEAR(D178)+3), Variablen!$I$3:$AT$3, 0))),L178)))*(IF((YEAR(D178)+3)&lt;YEAR(E178),0,IF((YEAR(D178)+3)&gt;YEAR(E178),1,(12-MONTH(E178)+1)/12))) + (Q178)*(IF((YEAR(D178)+3)&lt;YEAR(E178),0,IF((YEAR(D178)+3)&gt;YEAR(E178),1,(12-MONTH(E178)+1)/12))))-((P178)*(IF((YEAR(D178)+3)&lt;YEAR(E178),0,IF((YEAR(D178)+3)&gt;YEAR(E178),1,(12-MONTH(E178)+1)/12))) + (R178)*(IF((YEAR(D178)+3)&lt;YEAR(E178),0,IF((YEAR(D178)+3)&gt;YEAR(E178),1,(12-MONTH(E178)+1)/12))))-(IF((((K178)*(IF(M178="",L178,IFERROR(IF(INDEX(Variablen!$I:$AT, MATCH(M178, Variablen!$A:$A, 0), MATCH((YEAR(D178)+3), Variablen!$I$3:$AT$3, 0))="",L178,INDEX(Variablen!$I:$AT, MATCH(M178, Variablen!$A:$A, 0), MATCH((YEAR(D178)+3), Variablen!$I$3:$AT$3, 0))),L178)))*(IF((YEAR(D178)+3)&lt;YEAR(E178),0,IF((YEAR(D178)+3)&gt;YEAR(E178),1,(12-MONTH(E178)+1)/12))) + (Q178)*(IF((YEAR(D178)+3)&lt;YEAR(E178),0,IF((YEAR(D178)+3)&gt;YEAR(E178),1,(12-MONTH(E178)+1)/12))))-((P178)*(IF((YEAR(D178)+3)&lt;YEAR(E178),0,IF((YEAR(D178)+3)&gt;YEAR(E178),1,(12-MONTH(E178)+1)/12))) + (R178)*(IF((YEAR(D178)+3)&lt;YEAR(E178),0,IF((YEAR(D178)+3)&gt;YEAR(E178),1,(12-MONTH(E178)+1)/12))))-(IF(OR(N178="",N178&lt;=0),0,(O178/N178)*(IF(OR(N178="",N178&lt;=0),0,IF((YEAR(D178)+3)&lt;YEAR(E178),0,IF((YEAR(D178)+3)&gt;=YEAR(E178)+N178,0,IF((YEAR(D178)+3)=YEAR(E178),(12-MONTH(E178)+1)/12,1))))))))&gt;0,(((K178)*(IF(M178="",L178,IFERROR(IF(INDEX(Variablen!$I:$AT, MATCH(M178, Variablen!$A:$A, 0), MATCH((YEAR(D178)+3), Variablen!$I$3:$AT$3, 0))="",L178,INDEX(Variablen!$I:$AT, MATCH(M178, Variablen!$A:$A, 0), MATCH((YEAR(D178)+3), Variablen!$I$3:$AT$3, 0))),L178)))*(IF((YEAR(D178)+3)&lt;YEAR(E178),0,IF((YEAR(D178)+3)&gt;YEAR(E178),1,(12-MONTH(E178)+1)/12))) + (Q178)*(IF((YEAR(D178)+3)&lt;YEAR(E178),0,IF((YEAR(D178)+3)&gt;YEAR(E178),1,(12-MONTH(E178)+1)/12))))-((P178)*(IF((YEAR(D178)+3)&lt;YEAR(E178),0,IF((YEAR(D178)+3)&gt;YEAR(E178),1,(12-MONTH(E178)+1)/12))) + (R178)*(IF((YEAR(D178)+3)&lt;YEAR(E178),0,IF((YEAR(D178)+3)&gt;YEAR(E178),1,(12-MONTH(E178)+1)/12))))-(IF(OR(N178="",N178&lt;=0),0,(O178/N178)*(IF(OR(N178="",N178&lt;=0),0,IF((YEAR(D178)+3)&lt;YEAR(E178),0,IF((YEAR(D178)+3)&gt;=YEAR(E178)+N178,0,IF((YEAR(D178)+3)=YEAR(E178),(12-MONTH(E178)+1)/12,1))))))))*TaxRate,0))-IF(3=0,O178,0))</f>
        <v/>
      </c>
      <c r="W178" s="29">
        <f>IF(A178="","",((K178)*(IF(M178="",L178,IFERROR(IF(INDEX(Variablen!$I:$AT, MATCH(M178, Variablen!$A:$A, 0), MATCH((YEAR(D178)+4), Variablen!$I$3:$AT$3, 0))="",L178,INDEX(Variablen!$I:$AT, MATCH(M178, Variablen!$A:$A, 0), MATCH((YEAR(D178)+4), Variablen!$I$3:$AT$3, 0))),L178)))*(IF((YEAR(D178)+4)&lt;YEAR(E178),0,IF((YEAR(D178)+4)&gt;YEAR(E178),1,(12-MONTH(E178)+1)/12))) + (Q178)*(IF((YEAR(D178)+4)&lt;YEAR(E178),0,IF((YEAR(D178)+4)&gt;YEAR(E178),1,(12-MONTH(E178)+1)/12))))-((P178)*(IF((YEAR(D178)+4)&lt;YEAR(E178),0,IF((YEAR(D178)+4)&gt;YEAR(E178),1,(12-MONTH(E178)+1)/12))) + (R178)*(IF((YEAR(D178)+4)&lt;YEAR(E178),0,IF((YEAR(D178)+4)&gt;YEAR(E178),1,(12-MONTH(E178)+1)/12))))-(IF((((K178)*(IF(M178="",L178,IFERROR(IF(INDEX(Variablen!$I:$AT, MATCH(M178, Variablen!$A:$A, 0), MATCH((YEAR(D178)+4), Variablen!$I$3:$AT$3, 0))="",L178,INDEX(Variablen!$I:$AT, MATCH(M178, Variablen!$A:$A, 0), MATCH((YEAR(D178)+4), Variablen!$I$3:$AT$3, 0))),L178)))*(IF((YEAR(D178)+4)&lt;YEAR(E178),0,IF((YEAR(D178)+4)&gt;YEAR(E178),1,(12-MONTH(E178)+1)/12))) + (Q178)*(IF((YEAR(D178)+4)&lt;YEAR(E178),0,IF((YEAR(D178)+4)&gt;YEAR(E178),1,(12-MONTH(E178)+1)/12))))-((P178)*(IF((YEAR(D178)+4)&lt;YEAR(E178),0,IF((YEAR(D178)+4)&gt;YEAR(E178),1,(12-MONTH(E178)+1)/12))) + (R178)*(IF((YEAR(D178)+4)&lt;YEAR(E178),0,IF((YEAR(D178)+4)&gt;YEAR(E178),1,(12-MONTH(E178)+1)/12))))-(IF(OR(N178="",N178&lt;=0),0,(O178/N178)*(IF(OR(N178="",N178&lt;=0),0,IF((YEAR(D178)+4)&lt;YEAR(E178),0,IF((YEAR(D178)+4)&gt;=YEAR(E178)+N178,0,IF((YEAR(D178)+4)=YEAR(E178),(12-MONTH(E178)+1)/12,1))))))))&gt;0,(((K178)*(IF(M178="",L178,IFERROR(IF(INDEX(Variablen!$I:$AT, MATCH(M178, Variablen!$A:$A, 0), MATCH((YEAR(D178)+4), Variablen!$I$3:$AT$3, 0))="",L178,INDEX(Variablen!$I:$AT, MATCH(M178, Variablen!$A:$A, 0), MATCH((YEAR(D178)+4), Variablen!$I$3:$AT$3, 0))),L178)))*(IF((YEAR(D178)+4)&lt;YEAR(E178),0,IF((YEAR(D178)+4)&gt;YEAR(E178),1,(12-MONTH(E178)+1)/12))) + (Q178)*(IF((YEAR(D178)+4)&lt;YEAR(E178),0,IF((YEAR(D178)+4)&gt;YEAR(E178),1,(12-MONTH(E178)+1)/12))))-((P178)*(IF((YEAR(D178)+4)&lt;YEAR(E178),0,IF((YEAR(D178)+4)&gt;YEAR(E178),1,(12-MONTH(E178)+1)/12))) + (R178)*(IF((YEAR(D178)+4)&lt;YEAR(E178),0,IF((YEAR(D178)+4)&gt;YEAR(E178),1,(12-MONTH(E178)+1)/12))))-(IF(OR(N178="",N178&lt;=0),0,(O178/N178)*(IF(OR(N178="",N178&lt;=0),0,IF((YEAR(D178)+4)&lt;YEAR(E178),0,IF((YEAR(D178)+4)&gt;=YEAR(E178)+N178,0,IF((YEAR(D178)+4)=YEAR(E178),(12-MONTH(E178)+1)/12,1))))))))*TaxRate,0))-IF(4=0,O178,0))</f>
        <v/>
      </c>
      <c r="X178" s="29">
        <f>IF(A178="","",((K178)*(IF(M178="",L178,IFERROR(IF(INDEX(Variablen!$I:$AT, MATCH(M178, Variablen!$A:$A, 0), MATCH((YEAR(D178)+5), Variablen!$I$3:$AT$3, 0))="",L178,INDEX(Variablen!$I:$AT, MATCH(M178, Variablen!$A:$A, 0), MATCH((YEAR(D178)+5), Variablen!$I$3:$AT$3, 0))),L178)))*(IF((YEAR(D178)+5)&lt;YEAR(E178),0,IF((YEAR(D178)+5)&gt;YEAR(E178),1,(12-MONTH(E178)+1)/12))) + (Q178)*(IF((YEAR(D178)+5)&lt;YEAR(E178),0,IF((YEAR(D178)+5)&gt;YEAR(E178),1,(12-MONTH(E178)+1)/12))))-((P178)*(IF((YEAR(D178)+5)&lt;YEAR(E178),0,IF((YEAR(D178)+5)&gt;YEAR(E178),1,(12-MONTH(E178)+1)/12))) + (R178)*(IF((YEAR(D178)+5)&lt;YEAR(E178),0,IF((YEAR(D178)+5)&gt;YEAR(E178),1,(12-MONTH(E178)+1)/12))))-(IF((((K178)*(IF(M178="",L178,IFERROR(IF(INDEX(Variablen!$I:$AT, MATCH(M178, Variablen!$A:$A, 0), MATCH((YEAR(D178)+5), Variablen!$I$3:$AT$3, 0))="",L178,INDEX(Variablen!$I:$AT, MATCH(M178, Variablen!$A:$A, 0), MATCH((YEAR(D178)+5), Variablen!$I$3:$AT$3, 0))),L178)))*(IF((YEAR(D178)+5)&lt;YEAR(E178),0,IF((YEAR(D178)+5)&gt;YEAR(E178),1,(12-MONTH(E178)+1)/12))) + (Q178)*(IF((YEAR(D178)+5)&lt;YEAR(E178),0,IF((YEAR(D178)+5)&gt;YEAR(E178),1,(12-MONTH(E178)+1)/12))))-((P178)*(IF((YEAR(D178)+5)&lt;YEAR(E178),0,IF((YEAR(D178)+5)&gt;YEAR(E178),1,(12-MONTH(E178)+1)/12))) + (R178)*(IF((YEAR(D178)+5)&lt;YEAR(E178),0,IF((YEAR(D178)+5)&gt;YEAR(E178),1,(12-MONTH(E178)+1)/12))))-(IF(OR(N178="",N178&lt;=0),0,(O178/N178)*(IF(OR(N178="",N178&lt;=0),0,IF((YEAR(D178)+5)&lt;YEAR(E178),0,IF((YEAR(D178)+5)&gt;=YEAR(E178)+N178,0,IF((YEAR(D178)+5)=YEAR(E178),(12-MONTH(E178)+1)/12,1))))))))&gt;0,(((K178)*(IF(M178="",L178,IFERROR(IF(INDEX(Variablen!$I:$AT, MATCH(M178, Variablen!$A:$A, 0), MATCH((YEAR(D178)+5), Variablen!$I$3:$AT$3, 0))="",L178,INDEX(Variablen!$I:$AT, MATCH(M178, Variablen!$A:$A, 0), MATCH((YEAR(D178)+5), Variablen!$I$3:$AT$3, 0))),L178)))*(IF((YEAR(D178)+5)&lt;YEAR(E178),0,IF((YEAR(D178)+5)&gt;YEAR(E178),1,(12-MONTH(E178)+1)/12))) + (Q178)*(IF((YEAR(D178)+5)&lt;YEAR(E178),0,IF((YEAR(D178)+5)&gt;YEAR(E178),1,(12-MONTH(E178)+1)/12))))-((P178)*(IF((YEAR(D178)+5)&lt;YEAR(E178),0,IF((YEAR(D178)+5)&gt;YEAR(E178),1,(12-MONTH(E178)+1)/12))) + (R178)*(IF((YEAR(D178)+5)&lt;YEAR(E178),0,IF((YEAR(D178)+5)&gt;YEAR(E178),1,(12-MONTH(E178)+1)/12))))-(IF(OR(N178="",N178&lt;=0),0,(O178/N178)*(IF(OR(N178="",N178&lt;=0),0,IF((YEAR(D178)+5)&lt;YEAR(E178),0,IF((YEAR(D178)+5)&gt;=YEAR(E178)+N178,0,IF((YEAR(D178)+5)=YEAR(E178),(12-MONTH(E178)+1)/12,1))))))))*TaxRate,0))-IF(5=0,O178,0))</f>
        <v/>
      </c>
      <c r="Y178" s="29">
        <f>IF(A178="","",((K178)*(IF(M178="",L178,IFERROR(IF(INDEX(Variablen!$I:$AT, MATCH(M178, Variablen!$A:$A, 0), MATCH((YEAR(D178)+6), Variablen!$I$3:$AT$3, 0))="",L178,INDEX(Variablen!$I:$AT, MATCH(M178, Variablen!$A:$A, 0), MATCH((YEAR(D178)+6), Variablen!$I$3:$AT$3, 0))),L178)))*(IF((YEAR(D178)+6)&lt;YEAR(E178),0,IF((YEAR(D178)+6)&gt;YEAR(E178),1,(12-MONTH(E178)+1)/12))) + (Q178)*(IF((YEAR(D178)+6)&lt;YEAR(E178),0,IF((YEAR(D178)+6)&gt;YEAR(E178),1,(12-MONTH(E178)+1)/12))))-((P178)*(IF((YEAR(D178)+6)&lt;YEAR(E178),0,IF((YEAR(D178)+6)&gt;YEAR(E178),1,(12-MONTH(E178)+1)/12))) + (R178)*(IF((YEAR(D178)+6)&lt;YEAR(E178),0,IF((YEAR(D178)+6)&gt;YEAR(E178),1,(12-MONTH(E178)+1)/12))))-(IF((((K178)*(IF(M178="",L178,IFERROR(IF(INDEX(Variablen!$I:$AT, MATCH(M178, Variablen!$A:$A, 0), MATCH((YEAR(D178)+6), Variablen!$I$3:$AT$3, 0))="",L178,INDEX(Variablen!$I:$AT, MATCH(M178, Variablen!$A:$A, 0), MATCH((YEAR(D178)+6), Variablen!$I$3:$AT$3, 0))),L178)))*(IF((YEAR(D178)+6)&lt;YEAR(E178),0,IF((YEAR(D178)+6)&gt;YEAR(E178),1,(12-MONTH(E178)+1)/12))) + (Q178)*(IF((YEAR(D178)+6)&lt;YEAR(E178),0,IF((YEAR(D178)+6)&gt;YEAR(E178),1,(12-MONTH(E178)+1)/12))))-((P178)*(IF((YEAR(D178)+6)&lt;YEAR(E178),0,IF((YEAR(D178)+6)&gt;YEAR(E178),1,(12-MONTH(E178)+1)/12))) + (R178)*(IF((YEAR(D178)+6)&lt;YEAR(E178),0,IF((YEAR(D178)+6)&gt;YEAR(E178),1,(12-MONTH(E178)+1)/12))))-(IF(OR(N178="",N178&lt;=0),0,(O178/N178)*(IF(OR(N178="",N178&lt;=0),0,IF((YEAR(D178)+6)&lt;YEAR(E178),0,IF((YEAR(D178)+6)&gt;=YEAR(E178)+N178,0,IF((YEAR(D178)+6)=YEAR(E178),(12-MONTH(E178)+1)/12,1))))))))&gt;0,(((K178)*(IF(M178="",L178,IFERROR(IF(INDEX(Variablen!$I:$AT, MATCH(M178, Variablen!$A:$A, 0), MATCH((YEAR(D178)+6), Variablen!$I$3:$AT$3, 0))="",L178,INDEX(Variablen!$I:$AT, MATCH(M178, Variablen!$A:$A, 0), MATCH((YEAR(D178)+6), Variablen!$I$3:$AT$3, 0))),L178)))*(IF((YEAR(D178)+6)&lt;YEAR(E178),0,IF((YEAR(D178)+6)&gt;YEAR(E178),1,(12-MONTH(E178)+1)/12))) + (Q178)*(IF((YEAR(D178)+6)&lt;YEAR(E178),0,IF((YEAR(D178)+6)&gt;YEAR(E178),1,(12-MONTH(E178)+1)/12))))-((P178)*(IF((YEAR(D178)+6)&lt;YEAR(E178),0,IF((YEAR(D178)+6)&gt;YEAR(E178),1,(12-MONTH(E178)+1)/12))) + (R178)*(IF((YEAR(D178)+6)&lt;YEAR(E178),0,IF((YEAR(D178)+6)&gt;YEAR(E178),1,(12-MONTH(E178)+1)/12))))-(IF(OR(N178="",N178&lt;=0),0,(O178/N178)*(IF(OR(N178="",N178&lt;=0),0,IF((YEAR(D178)+6)&lt;YEAR(E178),0,IF((YEAR(D178)+6)&gt;=YEAR(E178)+N178,0,IF((YEAR(D178)+6)=YEAR(E178),(12-MONTH(E178)+1)/12,1))))))))*TaxRate,0))-IF(6=0,O178,0))</f>
        <v/>
      </c>
      <c r="Z178" s="29">
        <f>IF(A178="","",((K178)*(IF(M178="",L178,IFERROR(IF(INDEX(Variablen!$I:$AT, MATCH(M178, Variablen!$A:$A, 0), MATCH((YEAR(D178)+7), Variablen!$I$3:$AT$3, 0))="",L178,INDEX(Variablen!$I:$AT, MATCH(M178, Variablen!$A:$A, 0), MATCH((YEAR(D178)+7), Variablen!$I$3:$AT$3, 0))),L178)))*(IF((YEAR(D178)+7)&lt;YEAR(E178),0,IF((YEAR(D178)+7)&gt;YEAR(E178),1,(12-MONTH(E178)+1)/12))) + (Q178)*(IF((YEAR(D178)+7)&lt;YEAR(E178),0,IF((YEAR(D178)+7)&gt;YEAR(E178),1,(12-MONTH(E178)+1)/12))))-((P178)*(IF((YEAR(D178)+7)&lt;YEAR(E178),0,IF((YEAR(D178)+7)&gt;YEAR(E178),1,(12-MONTH(E178)+1)/12))) + (R178)*(IF((YEAR(D178)+7)&lt;YEAR(E178),0,IF((YEAR(D178)+7)&gt;YEAR(E178),1,(12-MONTH(E178)+1)/12))))-(IF((((K178)*(IF(M178="",L178,IFERROR(IF(INDEX(Variablen!$I:$AT, MATCH(M178, Variablen!$A:$A, 0), MATCH((YEAR(D178)+7), Variablen!$I$3:$AT$3, 0))="",L178,INDEX(Variablen!$I:$AT, MATCH(M178, Variablen!$A:$A, 0), MATCH((YEAR(D178)+7), Variablen!$I$3:$AT$3, 0))),L178)))*(IF((YEAR(D178)+7)&lt;YEAR(E178),0,IF((YEAR(D178)+7)&gt;YEAR(E178),1,(12-MONTH(E178)+1)/12))) + (Q178)*(IF((YEAR(D178)+7)&lt;YEAR(E178),0,IF((YEAR(D178)+7)&gt;YEAR(E178),1,(12-MONTH(E178)+1)/12))))-((P178)*(IF((YEAR(D178)+7)&lt;YEAR(E178),0,IF((YEAR(D178)+7)&gt;YEAR(E178),1,(12-MONTH(E178)+1)/12))) + (R178)*(IF((YEAR(D178)+7)&lt;YEAR(E178),0,IF((YEAR(D178)+7)&gt;YEAR(E178),1,(12-MONTH(E178)+1)/12))))-(IF(OR(N178="",N178&lt;=0),0,(O178/N178)*(IF(OR(N178="",N178&lt;=0),0,IF((YEAR(D178)+7)&lt;YEAR(E178),0,IF((YEAR(D178)+7)&gt;=YEAR(E178)+N178,0,IF((YEAR(D178)+7)=YEAR(E178),(12-MONTH(E178)+1)/12,1))))))))&gt;0,(((K178)*(IF(M178="",L178,IFERROR(IF(INDEX(Variablen!$I:$AT, MATCH(M178, Variablen!$A:$A, 0), MATCH((YEAR(D178)+7), Variablen!$I$3:$AT$3, 0))="",L178,INDEX(Variablen!$I:$AT, MATCH(M178, Variablen!$A:$A, 0), MATCH((YEAR(D178)+7), Variablen!$I$3:$AT$3, 0))),L178)))*(IF((YEAR(D178)+7)&lt;YEAR(E178),0,IF((YEAR(D178)+7)&gt;YEAR(E178),1,(12-MONTH(E178)+1)/12))) + (Q178)*(IF((YEAR(D178)+7)&lt;YEAR(E178),0,IF((YEAR(D178)+7)&gt;YEAR(E178),1,(12-MONTH(E178)+1)/12))))-((P178)*(IF((YEAR(D178)+7)&lt;YEAR(E178),0,IF((YEAR(D178)+7)&gt;YEAR(E178),1,(12-MONTH(E178)+1)/12))) + (R178)*(IF((YEAR(D178)+7)&lt;YEAR(E178),0,IF((YEAR(D178)+7)&gt;YEAR(E178),1,(12-MONTH(E178)+1)/12))))-(IF(OR(N178="",N178&lt;=0),0,(O178/N178)*(IF(OR(N178="",N178&lt;=0),0,IF((YEAR(D178)+7)&lt;YEAR(E178),0,IF((YEAR(D178)+7)&gt;=YEAR(E178)+N178,0,IF((YEAR(D178)+7)=YEAR(E178),(12-MONTH(E178)+1)/12,1))))))))*TaxRate,0))-IF(7=0,O178,0))</f>
        <v/>
      </c>
      <c r="AA178" s="29">
        <f>IF(A178="","",((K178)*(IF(M178="",L178,IFERROR(IF(INDEX(Variablen!$I:$AT, MATCH(M178, Variablen!$A:$A, 0), MATCH((YEAR(D178)+8), Variablen!$I$3:$AT$3, 0))="",L178,INDEX(Variablen!$I:$AT, MATCH(M178, Variablen!$A:$A, 0), MATCH((YEAR(D178)+8), Variablen!$I$3:$AT$3, 0))),L178)))*(IF((YEAR(D178)+8)&lt;YEAR(E178),0,IF((YEAR(D178)+8)&gt;YEAR(E178),1,(12-MONTH(E178)+1)/12))) + (Q178)*(IF((YEAR(D178)+8)&lt;YEAR(E178),0,IF((YEAR(D178)+8)&gt;YEAR(E178),1,(12-MONTH(E178)+1)/12))))-((P178)*(IF((YEAR(D178)+8)&lt;YEAR(E178),0,IF((YEAR(D178)+8)&gt;YEAR(E178),1,(12-MONTH(E178)+1)/12))) + (R178)*(IF((YEAR(D178)+8)&lt;YEAR(E178),0,IF((YEAR(D178)+8)&gt;YEAR(E178),1,(12-MONTH(E178)+1)/12))))-(IF((((K178)*(IF(M178="",L178,IFERROR(IF(INDEX(Variablen!$I:$AT, MATCH(M178, Variablen!$A:$A, 0), MATCH((YEAR(D178)+8), Variablen!$I$3:$AT$3, 0))="",L178,INDEX(Variablen!$I:$AT, MATCH(M178, Variablen!$A:$A, 0), MATCH((YEAR(D178)+8), Variablen!$I$3:$AT$3, 0))),L178)))*(IF((YEAR(D178)+8)&lt;YEAR(E178),0,IF((YEAR(D178)+8)&gt;YEAR(E178),1,(12-MONTH(E178)+1)/12))) + (Q178)*(IF((YEAR(D178)+8)&lt;YEAR(E178),0,IF((YEAR(D178)+8)&gt;YEAR(E178),1,(12-MONTH(E178)+1)/12))))-((P178)*(IF((YEAR(D178)+8)&lt;YEAR(E178),0,IF((YEAR(D178)+8)&gt;YEAR(E178),1,(12-MONTH(E178)+1)/12))) + (R178)*(IF((YEAR(D178)+8)&lt;YEAR(E178),0,IF((YEAR(D178)+8)&gt;YEAR(E178),1,(12-MONTH(E178)+1)/12))))-(IF(OR(N178="",N178&lt;=0),0,(O178/N178)*(IF(OR(N178="",N178&lt;=0),0,IF((YEAR(D178)+8)&lt;YEAR(E178),0,IF((YEAR(D178)+8)&gt;=YEAR(E178)+N178,0,IF((YEAR(D178)+8)=YEAR(E178),(12-MONTH(E178)+1)/12,1))))))))&gt;0,(((K178)*(IF(M178="",L178,IFERROR(IF(INDEX(Variablen!$I:$AT, MATCH(M178, Variablen!$A:$A, 0), MATCH((YEAR(D178)+8), Variablen!$I$3:$AT$3, 0))="",L178,INDEX(Variablen!$I:$AT, MATCH(M178, Variablen!$A:$A, 0), MATCH((YEAR(D178)+8), Variablen!$I$3:$AT$3, 0))),L178)))*(IF((YEAR(D178)+8)&lt;YEAR(E178),0,IF((YEAR(D178)+8)&gt;YEAR(E178),1,(12-MONTH(E178)+1)/12))) + (Q178)*(IF((YEAR(D178)+8)&lt;YEAR(E178),0,IF((YEAR(D178)+8)&gt;YEAR(E178),1,(12-MONTH(E178)+1)/12))))-((P178)*(IF((YEAR(D178)+8)&lt;YEAR(E178),0,IF((YEAR(D178)+8)&gt;YEAR(E178),1,(12-MONTH(E178)+1)/12))) + (R178)*(IF((YEAR(D178)+8)&lt;YEAR(E178),0,IF((YEAR(D178)+8)&gt;YEAR(E178),1,(12-MONTH(E178)+1)/12))))-(IF(OR(N178="",N178&lt;=0),0,(O178/N178)*(IF(OR(N178="",N178&lt;=0),0,IF((YEAR(D178)+8)&lt;YEAR(E178),0,IF((YEAR(D178)+8)&gt;=YEAR(E178)+N178,0,IF((YEAR(D178)+8)=YEAR(E178),(12-MONTH(E178)+1)/12,1))))))))*TaxRate,0))-IF(8=0,O178,0))</f>
        <v/>
      </c>
      <c r="AB178" s="29">
        <f>IF(A178="","",((K178)*(IF(M178="",L178,IFERROR(IF(INDEX(Variablen!$I:$AT, MATCH(M178, Variablen!$A:$A, 0), MATCH((YEAR(D178)+9), Variablen!$I$3:$AT$3, 0))="",L178,INDEX(Variablen!$I:$AT, MATCH(M178, Variablen!$A:$A, 0), MATCH((YEAR(D178)+9), Variablen!$I$3:$AT$3, 0))),L178)))*(IF((YEAR(D178)+9)&lt;YEAR(E178),0,IF((YEAR(D178)+9)&gt;YEAR(E178),1,(12-MONTH(E178)+1)/12))) + (Q178)*(IF((YEAR(D178)+9)&lt;YEAR(E178),0,IF((YEAR(D178)+9)&gt;YEAR(E178),1,(12-MONTH(E178)+1)/12))))-((P178)*(IF((YEAR(D178)+9)&lt;YEAR(E178),0,IF((YEAR(D178)+9)&gt;YEAR(E178),1,(12-MONTH(E178)+1)/12))) + (R178)*(IF((YEAR(D178)+9)&lt;YEAR(E178),0,IF((YEAR(D178)+9)&gt;YEAR(E178),1,(12-MONTH(E178)+1)/12))))-(IF((((K178)*(IF(M178="",L178,IFERROR(IF(INDEX(Variablen!$I:$AT, MATCH(M178, Variablen!$A:$A, 0), MATCH((YEAR(D178)+9), Variablen!$I$3:$AT$3, 0))="",L178,INDEX(Variablen!$I:$AT, MATCH(M178, Variablen!$A:$A, 0), MATCH((YEAR(D178)+9), Variablen!$I$3:$AT$3, 0))),L178)))*(IF((YEAR(D178)+9)&lt;YEAR(E178),0,IF((YEAR(D178)+9)&gt;YEAR(E178),1,(12-MONTH(E178)+1)/12))) + (Q178)*(IF((YEAR(D178)+9)&lt;YEAR(E178),0,IF((YEAR(D178)+9)&gt;YEAR(E178),1,(12-MONTH(E178)+1)/12))))-((P178)*(IF((YEAR(D178)+9)&lt;YEAR(E178),0,IF((YEAR(D178)+9)&gt;YEAR(E178),1,(12-MONTH(E178)+1)/12))) + (R178)*(IF((YEAR(D178)+9)&lt;YEAR(E178),0,IF((YEAR(D178)+9)&gt;YEAR(E178),1,(12-MONTH(E178)+1)/12))))-(IF(OR(N178="",N178&lt;=0),0,(O178/N178)*(IF(OR(N178="",N178&lt;=0),0,IF((YEAR(D178)+9)&lt;YEAR(E178),0,IF((YEAR(D178)+9)&gt;=YEAR(E178)+N178,0,IF((YEAR(D178)+9)=YEAR(E178),(12-MONTH(E178)+1)/12,1))))))))&gt;0,(((K178)*(IF(M178="",L178,IFERROR(IF(INDEX(Variablen!$I:$AT, MATCH(M178, Variablen!$A:$A, 0), MATCH((YEAR(D178)+9), Variablen!$I$3:$AT$3, 0))="",L178,INDEX(Variablen!$I:$AT, MATCH(M178, Variablen!$A:$A, 0), MATCH((YEAR(D178)+9), Variablen!$I$3:$AT$3, 0))),L178)))*(IF((YEAR(D178)+9)&lt;YEAR(E178),0,IF((YEAR(D178)+9)&gt;YEAR(E178),1,(12-MONTH(E178)+1)/12))) + (Q178)*(IF((YEAR(D178)+9)&lt;YEAR(E178),0,IF((YEAR(D178)+9)&gt;YEAR(E178),1,(12-MONTH(E178)+1)/12))))-((P178)*(IF((YEAR(D178)+9)&lt;YEAR(E178),0,IF((YEAR(D178)+9)&gt;YEAR(E178),1,(12-MONTH(E178)+1)/12))) + (R178)*(IF((YEAR(D178)+9)&lt;YEAR(E178),0,IF((YEAR(D178)+9)&gt;YEAR(E178),1,(12-MONTH(E178)+1)/12))))-(IF(OR(N178="",N178&lt;=0),0,(O178/N178)*(IF(OR(N178="",N178&lt;=0),0,IF((YEAR(D178)+9)&lt;YEAR(E178),0,IF((YEAR(D178)+9)&gt;=YEAR(E178)+N178,0,IF((YEAR(D178)+9)=YEAR(E178),(12-MONTH(E178)+1)/12,1))))))))*TaxRate,0))-IF(9=0,O178,0))</f>
        <v/>
      </c>
      <c r="AC178" s="29">
        <f>IF(A178="","",((K178)*(IF(M178="",L178,IFERROR(IF(INDEX(Variablen!$I:$AT, MATCH(M178, Variablen!$A:$A, 0), MATCH((YEAR(D178)+10), Variablen!$I$3:$AT$3, 0))="",L178,INDEX(Variablen!$I:$AT, MATCH(M178, Variablen!$A:$A, 0), MATCH((YEAR(D178)+10), Variablen!$I$3:$AT$3, 0))),L178)))*(IF((YEAR(D178)+10)&lt;YEAR(E178),0,IF((YEAR(D178)+10)&gt;YEAR(E178),1,(12-MONTH(E178)+1)/12))) + (Q178)*(IF((YEAR(D178)+10)&lt;YEAR(E178),0,IF((YEAR(D178)+10)&gt;YEAR(E178),1,(12-MONTH(E178)+1)/12))))-((P178)*(IF((YEAR(D178)+10)&lt;YEAR(E178),0,IF((YEAR(D178)+10)&gt;YEAR(E178),1,(12-MONTH(E178)+1)/12))) + (R178)*(IF((YEAR(D178)+10)&lt;YEAR(E178),0,IF((YEAR(D178)+10)&gt;YEAR(E178),1,(12-MONTH(E178)+1)/12))))-(IF((((K178)*(IF(M178="",L178,IFERROR(IF(INDEX(Variablen!$I:$AT, MATCH(M178, Variablen!$A:$A, 0), MATCH((YEAR(D178)+10), Variablen!$I$3:$AT$3, 0))="",L178,INDEX(Variablen!$I:$AT, MATCH(M178, Variablen!$A:$A, 0), MATCH((YEAR(D178)+10), Variablen!$I$3:$AT$3, 0))),L178)))*(IF((YEAR(D178)+10)&lt;YEAR(E178),0,IF((YEAR(D178)+10)&gt;YEAR(E178),1,(12-MONTH(E178)+1)/12))) + (Q178)*(IF((YEAR(D178)+10)&lt;YEAR(E178),0,IF((YEAR(D178)+10)&gt;YEAR(E178),1,(12-MONTH(E178)+1)/12))))-((P178)*(IF((YEAR(D178)+10)&lt;YEAR(E178),0,IF((YEAR(D178)+10)&gt;YEAR(E178),1,(12-MONTH(E178)+1)/12))) + (R178)*(IF((YEAR(D178)+10)&lt;YEAR(E178),0,IF((YEAR(D178)+10)&gt;YEAR(E178),1,(12-MONTH(E178)+1)/12))))-(IF(OR(N178="",N178&lt;=0),0,(O178/N178)*(IF(OR(N178="",N178&lt;=0),0,IF((YEAR(D178)+10)&lt;YEAR(E178),0,IF((YEAR(D178)+10)&gt;=YEAR(E178)+N178,0,IF((YEAR(D178)+10)=YEAR(E178),(12-MONTH(E178)+1)/12,1))))))))&gt;0,(((K178)*(IF(M178="",L178,IFERROR(IF(INDEX(Variablen!$I:$AT, MATCH(M178, Variablen!$A:$A, 0), MATCH((YEAR(D178)+10), Variablen!$I$3:$AT$3, 0))="",L178,INDEX(Variablen!$I:$AT, MATCH(M178, Variablen!$A:$A, 0), MATCH((YEAR(D178)+10), Variablen!$I$3:$AT$3, 0))),L178)))*(IF((YEAR(D178)+10)&lt;YEAR(E178),0,IF((YEAR(D178)+10)&gt;YEAR(E178),1,(12-MONTH(E178)+1)/12))) + (Q178)*(IF((YEAR(D178)+10)&lt;YEAR(E178),0,IF((YEAR(D178)+10)&gt;YEAR(E178),1,(12-MONTH(E178)+1)/12))))-((P178)*(IF((YEAR(D178)+10)&lt;YEAR(E178),0,IF((YEAR(D178)+10)&gt;YEAR(E178),1,(12-MONTH(E178)+1)/12))) + (R178)*(IF((YEAR(D178)+10)&lt;YEAR(E178),0,IF((YEAR(D178)+10)&gt;YEAR(E178),1,(12-MONTH(E178)+1)/12))))-(IF(OR(N178="",N178&lt;=0),0,(O178/N178)*(IF(OR(N178="",N178&lt;=0),0,IF((YEAR(D178)+10)&lt;YEAR(E178),0,IF((YEAR(D178)+10)&gt;=YEAR(E178)+N178,0,IF((YEAR(D178)+10)=YEAR(E178),(12-MONTH(E178)+1)/12,1))))))))*TaxRate,0))-IF(10=0,O178,0))</f>
        <v/>
      </c>
      <c r="AD178" s="29">
        <f>IF(A178="","",((K178)*(IF(M178="",L178,IFERROR(IF(INDEX(Variablen!$I:$AT, MATCH(M178, Variablen!$A:$A, 0), MATCH((YEAR(D178)+11), Variablen!$I$3:$AT$3, 0))="",L178,INDEX(Variablen!$I:$AT, MATCH(M178, Variablen!$A:$A, 0), MATCH((YEAR(D178)+11), Variablen!$I$3:$AT$3, 0))),L178)))*(IF((YEAR(D178)+11)&lt;YEAR(E178),0,IF((YEAR(D178)+11)&gt;YEAR(E178),1,(12-MONTH(E178)+1)/12))) + (Q178)*(IF((YEAR(D178)+11)&lt;YEAR(E178),0,IF((YEAR(D178)+11)&gt;YEAR(E178),1,(12-MONTH(E178)+1)/12))))-((P178)*(IF((YEAR(D178)+11)&lt;YEAR(E178),0,IF((YEAR(D178)+11)&gt;YEAR(E178),1,(12-MONTH(E178)+1)/12))) + (R178)*(IF((YEAR(D178)+11)&lt;YEAR(E178),0,IF((YEAR(D178)+11)&gt;YEAR(E178),1,(12-MONTH(E178)+1)/12))))-(IF((((K178)*(IF(M178="",L178,IFERROR(IF(INDEX(Variablen!$I:$AT, MATCH(M178, Variablen!$A:$A, 0), MATCH((YEAR(D178)+11), Variablen!$I$3:$AT$3, 0))="",L178,INDEX(Variablen!$I:$AT, MATCH(M178, Variablen!$A:$A, 0), MATCH((YEAR(D178)+11), Variablen!$I$3:$AT$3, 0))),L178)))*(IF((YEAR(D178)+11)&lt;YEAR(E178),0,IF((YEAR(D178)+11)&gt;YEAR(E178),1,(12-MONTH(E178)+1)/12))) + (Q178)*(IF((YEAR(D178)+11)&lt;YEAR(E178),0,IF((YEAR(D178)+11)&gt;YEAR(E178),1,(12-MONTH(E178)+1)/12))))-((P178)*(IF((YEAR(D178)+11)&lt;YEAR(E178),0,IF((YEAR(D178)+11)&gt;YEAR(E178),1,(12-MONTH(E178)+1)/12))) + (R178)*(IF((YEAR(D178)+11)&lt;YEAR(E178),0,IF((YEAR(D178)+11)&gt;YEAR(E178),1,(12-MONTH(E178)+1)/12))))-(IF(OR(N178="",N178&lt;=0),0,(O178/N178)*(IF(OR(N178="",N178&lt;=0),0,IF((YEAR(D178)+11)&lt;YEAR(E178),0,IF((YEAR(D178)+11)&gt;=YEAR(E178)+N178,0,IF((YEAR(D178)+11)=YEAR(E178),(12-MONTH(E178)+1)/12,1))))))))&gt;0,(((K178)*(IF(M178="",L178,IFERROR(IF(INDEX(Variablen!$I:$AT, MATCH(M178, Variablen!$A:$A, 0), MATCH((YEAR(D178)+11), Variablen!$I$3:$AT$3, 0))="",L178,INDEX(Variablen!$I:$AT, MATCH(M178, Variablen!$A:$A, 0), MATCH((YEAR(D178)+11), Variablen!$I$3:$AT$3, 0))),L178)))*(IF((YEAR(D178)+11)&lt;YEAR(E178),0,IF((YEAR(D178)+11)&gt;YEAR(E178),1,(12-MONTH(E178)+1)/12))) + (Q178)*(IF((YEAR(D178)+11)&lt;YEAR(E178),0,IF((YEAR(D178)+11)&gt;YEAR(E178),1,(12-MONTH(E178)+1)/12))))-((P178)*(IF((YEAR(D178)+11)&lt;YEAR(E178),0,IF((YEAR(D178)+11)&gt;YEAR(E178),1,(12-MONTH(E178)+1)/12))) + (R178)*(IF((YEAR(D178)+11)&lt;YEAR(E178),0,IF((YEAR(D178)+11)&gt;YEAR(E178),1,(12-MONTH(E178)+1)/12))))-(IF(OR(N178="",N178&lt;=0),0,(O178/N178)*(IF(OR(N178="",N178&lt;=0),0,IF((YEAR(D178)+11)&lt;YEAR(E178),0,IF((YEAR(D178)+11)&gt;=YEAR(E178)+N178,0,IF((YEAR(D178)+11)=YEAR(E178),(12-MONTH(E178)+1)/12,1))))))))*TaxRate,0))-IF(11=0,O178,0))</f>
        <v/>
      </c>
      <c r="AE178" s="29">
        <f>IF(A178="","",((K178)*(IF(M178="",L178,IFERROR(IF(INDEX(Variablen!$I:$AT, MATCH(M178, Variablen!$A:$A, 0), MATCH((YEAR(D178)+12), Variablen!$I$3:$AT$3, 0))="",L178,INDEX(Variablen!$I:$AT, MATCH(M178, Variablen!$A:$A, 0), MATCH((YEAR(D178)+12), Variablen!$I$3:$AT$3, 0))),L178)))*(IF((YEAR(D178)+12)&lt;YEAR(E178),0,IF((YEAR(D178)+12)&gt;YEAR(E178),1,(12-MONTH(E178)+1)/12))) + (Q178)*(IF((YEAR(D178)+12)&lt;YEAR(E178),0,IF((YEAR(D178)+12)&gt;YEAR(E178),1,(12-MONTH(E178)+1)/12))))-((P178)*(IF((YEAR(D178)+12)&lt;YEAR(E178),0,IF((YEAR(D178)+12)&gt;YEAR(E178),1,(12-MONTH(E178)+1)/12))) + (R178)*(IF((YEAR(D178)+12)&lt;YEAR(E178),0,IF((YEAR(D178)+12)&gt;YEAR(E178),1,(12-MONTH(E178)+1)/12))))-(IF((((K178)*(IF(M178="",L178,IFERROR(IF(INDEX(Variablen!$I:$AT, MATCH(M178, Variablen!$A:$A, 0), MATCH((YEAR(D178)+12), Variablen!$I$3:$AT$3, 0))="",L178,INDEX(Variablen!$I:$AT, MATCH(M178, Variablen!$A:$A, 0), MATCH((YEAR(D178)+12), Variablen!$I$3:$AT$3, 0))),L178)))*(IF((YEAR(D178)+12)&lt;YEAR(E178),0,IF((YEAR(D178)+12)&gt;YEAR(E178),1,(12-MONTH(E178)+1)/12))) + (Q178)*(IF((YEAR(D178)+12)&lt;YEAR(E178),0,IF((YEAR(D178)+12)&gt;YEAR(E178),1,(12-MONTH(E178)+1)/12))))-((P178)*(IF((YEAR(D178)+12)&lt;YEAR(E178),0,IF((YEAR(D178)+12)&gt;YEAR(E178),1,(12-MONTH(E178)+1)/12))) + (R178)*(IF((YEAR(D178)+12)&lt;YEAR(E178),0,IF((YEAR(D178)+12)&gt;YEAR(E178),1,(12-MONTH(E178)+1)/12))))-(IF(OR(N178="",N178&lt;=0),0,(O178/N178)*(IF(OR(N178="",N178&lt;=0),0,IF((YEAR(D178)+12)&lt;YEAR(E178),0,IF((YEAR(D178)+12)&gt;=YEAR(E178)+N178,0,IF((YEAR(D178)+12)=YEAR(E178),(12-MONTH(E178)+1)/12,1))))))))&gt;0,(((K178)*(IF(M178="",L178,IFERROR(IF(INDEX(Variablen!$I:$AT, MATCH(M178, Variablen!$A:$A, 0), MATCH((YEAR(D178)+12), Variablen!$I$3:$AT$3, 0))="",L178,INDEX(Variablen!$I:$AT, MATCH(M178, Variablen!$A:$A, 0), MATCH((YEAR(D178)+12), Variablen!$I$3:$AT$3, 0))),L178)))*(IF((YEAR(D178)+12)&lt;YEAR(E178),0,IF((YEAR(D178)+12)&gt;YEAR(E178),1,(12-MONTH(E178)+1)/12))) + (Q178)*(IF((YEAR(D178)+12)&lt;YEAR(E178),0,IF((YEAR(D178)+12)&gt;YEAR(E178),1,(12-MONTH(E178)+1)/12))))-((P178)*(IF((YEAR(D178)+12)&lt;YEAR(E178),0,IF((YEAR(D178)+12)&gt;YEAR(E178),1,(12-MONTH(E178)+1)/12))) + (R178)*(IF((YEAR(D178)+12)&lt;YEAR(E178),0,IF((YEAR(D178)+12)&gt;YEAR(E178),1,(12-MONTH(E178)+1)/12))))-(IF(OR(N178="",N178&lt;=0),0,(O178/N178)*(IF(OR(N178="",N178&lt;=0),0,IF((YEAR(D178)+12)&lt;YEAR(E178),0,IF((YEAR(D178)+12)&gt;=YEAR(E178)+N178,0,IF((YEAR(D178)+12)=YEAR(E178),(12-MONTH(E178)+1)/12,1))))))))*TaxRate,0))-IF(12=0,O178,0))</f>
        <v/>
      </c>
      <c r="AF178" s="29">
        <f>IF(A178="","",((K178)*(IF(M178="",L178,IFERROR(IF(INDEX(Variablen!$I:$AT, MATCH(M178, Variablen!$A:$A, 0), MATCH((YEAR(D178)+13), Variablen!$I$3:$AT$3, 0))="",L178,INDEX(Variablen!$I:$AT, MATCH(M178, Variablen!$A:$A, 0), MATCH((YEAR(D178)+13), Variablen!$I$3:$AT$3, 0))),L178)))*(IF((YEAR(D178)+13)&lt;YEAR(E178),0,IF((YEAR(D178)+13)&gt;YEAR(E178),1,(12-MONTH(E178)+1)/12))) + (Q178)*(IF((YEAR(D178)+13)&lt;YEAR(E178),0,IF((YEAR(D178)+13)&gt;YEAR(E178),1,(12-MONTH(E178)+1)/12))))-((P178)*(IF((YEAR(D178)+13)&lt;YEAR(E178),0,IF((YEAR(D178)+13)&gt;YEAR(E178),1,(12-MONTH(E178)+1)/12))) + (R178)*(IF((YEAR(D178)+13)&lt;YEAR(E178),0,IF((YEAR(D178)+13)&gt;YEAR(E178),1,(12-MONTH(E178)+1)/12))))-(IF((((K178)*(IF(M178="",L178,IFERROR(IF(INDEX(Variablen!$I:$AT, MATCH(M178, Variablen!$A:$A, 0), MATCH((YEAR(D178)+13), Variablen!$I$3:$AT$3, 0))="",L178,INDEX(Variablen!$I:$AT, MATCH(M178, Variablen!$A:$A, 0), MATCH((YEAR(D178)+13), Variablen!$I$3:$AT$3, 0))),L178)))*(IF((YEAR(D178)+13)&lt;YEAR(E178),0,IF((YEAR(D178)+13)&gt;YEAR(E178),1,(12-MONTH(E178)+1)/12))) + (Q178)*(IF((YEAR(D178)+13)&lt;YEAR(E178),0,IF((YEAR(D178)+13)&gt;YEAR(E178),1,(12-MONTH(E178)+1)/12))))-((P178)*(IF((YEAR(D178)+13)&lt;YEAR(E178),0,IF((YEAR(D178)+13)&gt;YEAR(E178),1,(12-MONTH(E178)+1)/12))) + (R178)*(IF((YEAR(D178)+13)&lt;YEAR(E178),0,IF((YEAR(D178)+13)&gt;YEAR(E178),1,(12-MONTH(E178)+1)/12))))-(IF(OR(N178="",N178&lt;=0),0,(O178/N178)*(IF(OR(N178="",N178&lt;=0),0,IF((YEAR(D178)+13)&lt;YEAR(E178),0,IF((YEAR(D178)+13)&gt;=YEAR(E178)+N178,0,IF((YEAR(D178)+13)=YEAR(E178),(12-MONTH(E178)+1)/12,1))))))))&gt;0,(((K178)*(IF(M178="",L178,IFERROR(IF(INDEX(Variablen!$I:$AT, MATCH(M178, Variablen!$A:$A, 0), MATCH((YEAR(D178)+13), Variablen!$I$3:$AT$3, 0))="",L178,INDEX(Variablen!$I:$AT, MATCH(M178, Variablen!$A:$A, 0), MATCH((YEAR(D178)+13), Variablen!$I$3:$AT$3, 0))),L178)))*(IF((YEAR(D178)+13)&lt;YEAR(E178),0,IF((YEAR(D178)+13)&gt;YEAR(E178),1,(12-MONTH(E178)+1)/12))) + (Q178)*(IF((YEAR(D178)+13)&lt;YEAR(E178),0,IF((YEAR(D178)+13)&gt;YEAR(E178),1,(12-MONTH(E178)+1)/12))))-((P178)*(IF((YEAR(D178)+13)&lt;YEAR(E178),0,IF((YEAR(D178)+13)&gt;YEAR(E178),1,(12-MONTH(E178)+1)/12))) + (R178)*(IF((YEAR(D178)+13)&lt;YEAR(E178),0,IF((YEAR(D178)+13)&gt;YEAR(E178),1,(12-MONTH(E178)+1)/12))))-(IF(OR(N178="",N178&lt;=0),0,(O178/N178)*(IF(OR(N178="",N178&lt;=0),0,IF((YEAR(D178)+13)&lt;YEAR(E178),0,IF((YEAR(D178)+13)&gt;=YEAR(E178)+N178,0,IF((YEAR(D178)+13)=YEAR(E178),(12-MONTH(E178)+1)/12,1))))))))*TaxRate,0))-IF(13=0,O178,0))</f>
        <v/>
      </c>
      <c r="AG178" s="29">
        <f>IF(A178="","",((K178)*(IF(M178="",L178,IFERROR(IF(INDEX(Variablen!$I:$AT, MATCH(M178, Variablen!$A:$A, 0), MATCH((YEAR(D178)+14), Variablen!$I$3:$AT$3, 0))="",L178,INDEX(Variablen!$I:$AT, MATCH(M178, Variablen!$A:$A, 0), MATCH((YEAR(D178)+14), Variablen!$I$3:$AT$3, 0))),L178)))*(IF((YEAR(D178)+14)&lt;YEAR(E178),0,IF((YEAR(D178)+14)&gt;YEAR(E178),1,(12-MONTH(E178)+1)/12))) + (Q178)*(IF((YEAR(D178)+14)&lt;YEAR(E178),0,IF((YEAR(D178)+14)&gt;YEAR(E178),1,(12-MONTH(E178)+1)/12))))-((P178)*(IF((YEAR(D178)+14)&lt;YEAR(E178),0,IF((YEAR(D178)+14)&gt;YEAR(E178),1,(12-MONTH(E178)+1)/12))) + (R178)*(IF((YEAR(D178)+14)&lt;YEAR(E178),0,IF((YEAR(D178)+14)&gt;YEAR(E178),1,(12-MONTH(E178)+1)/12))))-(IF((((K178)*(IF(M178="",L178,IFERROR(IF(INDEX(Variablen!$I:$AT, MATCH(M178, Variablen!$A:$A, 0), MATCH((YEAR(D178)+14), Variablen!$I$3:$AT$3, 0))="",L178,INDEX(Variablen!$I:$AT, MATCH(M178, Variablen!$A:$A, 0), MATCH((YEAR(D178)+14), Variablen!$I$3:$AT$3, 0))),L178)))*(IF((YEAR(D178)+14)&lt;YEAR(E178),0,IF((YEAR(D178)+14)&gt;YEAR(E178),1,(12-MONTH(E178)+1)/12))) + (Q178)*(IF((YEAR(D178)+14)&lt;YEAR(E178),0,IF((YEAR(D178)+14)&gt;YEAR(E178),1,(12-MONTH(E178)+1)/12))))-((P178)*(IF((YEAR(D178)+14)&lt;YEAR(E178),0,IF((YEAR(D178)+14)&gt;YEAR(E178),1,(12-MONTH(E178)+1)/12))) + (R178)*(IF((YEAR(D178)+14)&lt;YEAR(E178),0,IF((YEAR(D178)+14)&gt;YEAR(E178),1,(12-MONTH(E178)+1)/12))))-(IF(OR(N178="",N178&lt;=0),0,(O178/N178)*(IF(OR(N178="",N178&lt;=0),0,IF((YEAR(D178)+14)&lt;YEAR(E178),0,IF((YEAR(D178)+14)&gt;=YEAR(E178)+N178,0,IF((YEAR(D178)+14)=YEAR(E178),(12-MONTH(E178)+1)/12,1))))))))&gt;0,(((K178)*(IF(M178="",L178,IFERROR(IF(INDEX(Variablen!$I:$AT, MATCH(M178, Variablen!$A:$A, 0), MATCH((YEAR(D178)+14), Variablen!$I$3:$AT$3, 0))="",L178,INDEX(Variablen!$I:$AT, MATCH(M178, Variablen!$A:$A, 0), MATCH((YEAR(D178)+14), Variablen!$I$3:$AT$3, 0))),L178)))*(IF((YEAR(D178)+14)&lt;YEAR(E178),0,IF((YEAR(D178)+14)&gt;YEAR(E178),1,(12-MONTH(E178)+1)/12))) + (Q178)*(IF((YEAR(D178)+14)&lt;YEAR(E178),0,IF((YEAR(D178)+14)&gt;YEAR(E178),1,(12-MONTH(E178)+1)/12))))-((P178)*(IF((YEAR(D178)+14)&lt;YEAR(E178),0,IF((YEAR(D178)+14)&gt;YEAR(E178),1,(12-MONTH(E178)+1)/12))) + (R178)*(IF((YEAR(D178)+14)&lt;YEAR(E178),0,IF((YEAR(D178)+14)&gt;YEAR(E178),1,(12-MONTH(E178)+1)/12))))-(IF(OR(N178="",N178&lt;=0),0,(O178/N178)*(IF(OR(N178="",N178&lt;=0),0,IF((YEAR(D178)+14)&lt;YEAR(E178),0,IF((YEAR(D178)+14)&gt;=YEAR(E178)+N178,0,IF((YEAR(D178)+14)=YEAR(E178),(12-MONTH(E178)+1)/12,1))))))))*TaxRate,0))-IF(14=0,O178,0))</f>
        <v/>
      </c>
      <c r="AH178" s="29">
        <f>IF(A178="","",((K178)*(IF(M178="",L178,IFERROR(IF(INDEX(Variablen!$I:$AT, MATCH(M178, Variablen!$A:$A, 0), MATCH((YEAR(D178)+15), Variablen!$I$3:$AT$3, 0))="",L178,INDEX(Variablen!$I:$AT, MATCH(M178, Variablen!$A:$A, 0), MATCH((YEAR(D178)+15), Variablen!$I$3:$AT$3, 0))),L178)))*(IF((YEAR(D178)+15)&lt;YEAR(E178),0,IF((YEAR(D178)+15)&gt;YEAR(E178),1,(12-MONTH(E178)+1)/12))) + (Q178)*(IF((YEAR(D178)+15)&lt;YEAR(E178),0,IF((YEAR(D178)+15)&gt;YEAR(E178),1,(12-MONTH(E178)+1)/12))))-((P178)*(IF((YEAR(D178)+15)&lt;YEAR(E178),0,IF((YEAR(D178)+15)&gt;YEAR(E178),1,(12-MONTH(E178)+1)/12))) + (R178)*(IF((YEAR(D178)+15)&lt;YEAR(E178),0,IF((YEAR(D178)+15)&gt;YEAR(E178),1,(12-MONTH(E178)+1)/12))))-(IF((((K178)*(IF(M178="",L178,IFERROR(IF(INDEX(Variablen!$I:$AT, MATCH(M178, Variablen!$A:$A, 0), MATCH((YEAR(D178)+15), Variablen!$I$3:$AT$3, 0))="",L178,INDEX(Variablen!$I:$AT, MATCH(M178, Variablen!$A:$A, 0), MATCH((YEAR(D178)+15), Variablen!$I$3:$AT$3, 0))),L178)))*(IF((YEAR(D178)+15)&lt;YEAR(E178),0,IF((YEAR(D178)+15)&gt;YEAR(E178),1,(12-MONTH(E178)+1)/12))) + (Q178)*(IF((YEAR(D178)+15)&lt;YEAR(E178),0,IF((YEAR(D178)+15)&gt;YEAR(E178),1,(12-MONTH(E178)+1)/12))))-((P178)*(IF((YEAR(D178)+15)&lt;YEAR(E178),0,IF((YEAR(D178)+15)&gt;YEAR(E178),1,(12-MONTH(E178)+1)/12))) + (R178)*(IF((YEAR(D178)+15)&lt;YEAR(E178),0,IF((YEAR(D178)+15)&gt;YEAR(E178),1,(12-MONTH(E178)+1)/12))))-(IF(OR(N178="",N178&lt;=0),0,(O178/N178)*(IF(OR(N178="",N178&lt;=0),0,IF((YEAR(D178)+15)&lt;YEAR(E178),0,IF((YEAR(D178)+15)&gt;=YEAR(E178)+N178,0,IF((YEAR(D178)+15)=YEAR(E178),(12-MONTH(E178)+1)/12,1))))))))&gt;0,(((K178)*(IF(M178="",L178,IFERROR(IF(INDEX(Variablen!$I:$AT, MATCH(M178, Variablen!$A:$A, 0), MATCH((YEAR(D178)+15), Variablen!$I$3:$AT$3, 0))="",L178,INDEX(Variablen!$I:$AT, MATCH(M178, Variablen!$A:$A, 0), MATCH((YEAR(D178)+15), Variablen!$I$3:$AT$3, 0))),L178)))*(IF((YEAR(D178)+15)&lt;YEAR(E178),0,IF((YEAR(D178)+15)&gt;YEAR(E178),1,(12-MONTH(E178)+1)/12))) + (Q178)*(IF((YEAR(D178)+15)&lt;YEAR(E178),0,IF((YEAR(D178)+15)&gt;YEAR(E178),1,(12-MONTH(E178)+1)/12))))-((P178)*(IF((YEAR(D178)+15)&lt;YEAR(E178),0,IF((YEAR(D178)+15)&gt;YEAR(E178),1,(12-MONTH(E178)+1)/12))) + (R178)*(IF((YEAR(D178)+15)&lt;YEAR(E178),0,IF((YEAR(D178)+15)&gt;YEAR(E178),1,(12-MONTH(E178)+1)/12))))-(IF(OR(N178="",N178&lt;=0),0,(O178/N178)*(IF(OR(N178="",N178&lt;=0),0,IF((YEAR(D178)+15)&lt;YEAR(E178),0,IF((YEAR(D178)+15)&gt;=YEAR(E178)+N178,0,IF((YEAR(D178)+15)=YEAR(E178),(12-MONTH(E178)+1)/12,1))))))))*TaxRate,0))-IF(15=0,O178,0))</f>
        <v/>
      </c>
      <c r="AI178" s="29">
        <f>IF(A178="","",((K178)*(IF(M178="",L178,IFERROR(IF(INDEX(Variablen!$I:$AT, MATCH(M178, Variablen!$A:$A, 0), MATCH((YEAR(D178)+16), Variablen!$I$3:$AT$3, 0))="",L178,INDEX(Variablen!$I:$AT, MATCH(M178, Variablen!$A:$A, 0), MATCH((YEAR(D178)+16), Variablen!$I$3:$AT$3, 0))),L178)))*(IF((YEAR(D178)+16)&lt;YEAR(E178),0,IF((YEAR(D178)+16)&gt;YEAR(E178),1,(12-MONTH(E178)+1)/12))) + (Q178)*(IF((YEAR(D178)+16)&lt;YEAR(E178),0,IF((YEAR(D178)+16)&gt;YEAR(E178),1,(12-MONTH(E178)+1)/12))))-((P178)*(IF((YEAR(D178)+16)&lt;YEAR(E178),0,IF((YEAR(D178)+16)&gt;YEAR(E178),1,(12-MONTH(E178)+1)/12))) + (R178)*(IF((YEAR(D178)+16)&lt;YEAR(E178),0,IF((YEAR(D178)+16)&gt;YEAR(E178),1,(12-MONTH(E178)+1)/12))))-(IF((((K178)*(IF(M178="",L178,IFERROR(IF(INDEX(Variablen!$I:$AT, MATCH(M178, Variablen!$A:$A, 0), MATCH((YEAR(D178)+16), Variablen!$I$3:$AT$3, 0))="",L178,INDEX(Variablen!$I:$AT, MATCH(M178, Variablen!$A:$A, 0), MATCH((YEAR(D178)+16), Variablen!$I$3:$AT$3, 0))),L178)))*(IF((YEAR(D178)+16)&lt;YEAR(E178),0,IF((YEAR(D178)+16)&gt;YEAR(E178),1,(12-MONTH(E178)+1)/12))) + (Q178)*(IF((YEAR(D178)+16)&lt;YEAR(E178),0,IF((YEAR(D178)+16)&gt;YEAR(E178),1,(12-MONTH(E178)+1)/12))))-((P178)*(IF((YEAR(D178)+16)&lt;YEAR(E178),0,IF((YEAR(D178)+16)&gt;YEAR(E178),1,(12-MONTH(E178)+1)/12))) + (R178)*(IF((YEAR(D178)+16)&lt;YEAR(E178),0,IF((YEAR(D178)+16)&gt;YEAR(E178),1,(12-MONTH(E178)+1)/12))))-(IF(OR(N178="",N178&lt;=0),0,(O178/N178)*(IF(OR(N178="",N178&lt;=0),0,IF((YEAR(D178)+16)&lt;YEAR(E178),0,IF((YEAR(D178)+16)&gt;=YEAR(E178)+N178,0,IF((YEAR(D178)+16)=YEAR(E178),(12-MONTH(E178)+1)/12,1))))))))&gt;0,(((K178)*(IF(M178="",L178,IFERROR(IF(INDEX(Variablen!$I:$AT, MATCH(M178, Variablen!$A:$A, 0), MATCH((YEAR(D178)+16), Variablen!$I$3:$AT$3, 0))="",L178,INDEX(Variablen!$I:$AT, MATCH(M178, Variablen!$A:$A, 0), MATCH((YEAR(D178)+16), Variablen!$I$3:$AT$3, 0))),L178)))*(IF((YEAR(D178)+16)&lt;YEAR(E178),0,IF((YEAR(D178)+16)&gt;YEAR(E178),1,(12-MONTH(E178)+1)/12))) + (Q178)*(IF((YEAR(D178)+16)&lt;YEAR(E178),0,IF((YEAR(D178)+16)&gt;YEAR(E178),1,(12-MONTH(E178)+1)/12))))-((P178)*(IF((YEAR(D178)+16)&lt;YEAR(E178),0,IF((YEAR(D178)+16)&gt;YEAR(E178),1,(12-MONTH(E178)+1)/12))) + (R178)*(IF((YEAR(D178)+16)&lt;YEAR(E178),0,IF((YEAR(D178)+16)&gt;YEAR(E178),1,(12-MONTH(E178)+1)/12))))-(IF(OR(N178="",N178&lt;=0),0,(O178/N178)*(IF(OR(N178="",N178&lt;=0),0,IF((YEAR(D178)+16)&lt;YEAR(E178),0,IF((YEAR(D178)+16)&gt;=YEAR(E178)+N178,0,IF((YEAR(D178)+16)=YEAR(E178),(12-MONTH(E178)+1)/12,1))))))))*TaxRate,0))-IF(16=0,O178,0))</f>
        <v/>
      </c>
      <c r="AJ178" s="29">
        <f>IF(A178="","",((K178)*(IF(M178="",L178,IFERROR(IF(INDEX(Variablen!$I:$AT, MATCH(M178, Variablen!$A:$A, 0), MATCH((YEAR(D178)+17), Variablen!$I$3:$AT$3, 0))="",L178,INDEX(Variablen!$I:$AT, MATCH(M178, Variablen!$A:$A, 0), MATCH((YEAR(D178)+17), Variablen!$I$3:$AT$3, 0))),L178)))*(IF((YEAR(D178)+17)&lt;YEAR(E178),0,IF((YEAR(D178)+17)&gt;YEAR(E178),1,(12-MONTH(E178)+1)/12))) + (Q178)*(IF((YEAR(D178)+17)&lt;YEAR(E178),0,IF((YEAR(D178)+17)&gt;YEAR(E178),1,(12-MONTH(E178)+1)/12))))-((P178)*(IF((YEAR(D178)+17)&lt;YEAR(E178),0,IF((YEAR(D178)+17)&gt;YEAR(E178),1,(12-MONTH(E178)+1)/12))) + (R178)*(IF((YEAR(D178)+17)&lt;YEAR(E178),0,IF((YEAR(D178)+17)&gt;YEAR(E178),1,(12-MONTH(E178)+1)/12))))-(IF((((K178)*(IF(M178="",L178,IFERROR(IF(INDEX(Variablen!$I:$AT, MATCH(M178, Variablen!$A:$A, 0), MATCH((YEAR(D178)+17), Variablen!$I$3:$AT$3, 0))="",L178,INDEX(Variablen!$I:$AT, MATCH(M178, Variablen!$A:$A, 0), MATCH((YEAR(D178)+17), Variablen!$I$3:$AT$3, 0))),L178)))*(IF((YEAR(D178)+17)&lt;YEAR(E178),0,IF((YEAR(D178)+17)&gt;YEAR(E178),1,(12-MONTH(E178)+1)/12))) + (Q178)*(IF((YEAR(D178)+17)&lt;YEAR(E178),0,IF((YEAR(D178)+17)&gt;YEAR(E178),1,(12-MONTH(E178)+1)/12))))-((P178)*(IF((YEAR(D178)+17)&lt;YEAR(E178),0,IF((YEAR(D178)+17)&gt;YEAR(E178),1,(12-MONTH(E178)+1)/12))) + (R178)*(IF((YEAR(D178)+17)&lt;YEAR(E178),0,IF((YEAR(D178)+17)&gt;YEAR(E178),1,(12-MONTH(E178)+1)/12))))-(IF(OR(N178="",N178&lt;=0),0,(O178/N178)*(IF(OR(N178="",N178&lt;=0),0,IF((YEAR(D178)+17)&lt;YEAR(E178),0,IF((YEAR(D178)+17)&gt;=YEAR(E178)+N178,0,IF((YEAR(D178)+17)=YEAR(E178),(12-MONTH(E178)+1)/12,1))))))))&gt;0,(((K178)*(IF(M178="",L178,IFERROR(IF(INDEX(Variablen!$I:$AT, MATCH(M178, Variablen!$A:$A, 0), MATCH((YEAR(D178)+17), Variablen!$I$3:$AT$3, 0))="",L178,INDEX(Variablen!$I:$AT, MATCH(M178, Variablen!$A:$A, 0), MATCH((YEAR(D178)+17), Variablen!$I$3:$AT$3, 0))),L178)))*(IF((YEAR(D178)+17)&lt;YEAR(E178),0,IF((YEAR(D178)+17)&gt;YEAR(E178),1,(12-MONTH(E178)+1)/12))) + (Q178)*(IF((YEAR(D178)+17)&lt;YEAR(E178),0,IF((YEAR(D178)+17)&gt;YEAR(E178),1,(12-MONTH(E178)+1)/12))))-((P178)*(IF((YEAR(D178)+17)&lt;YEAR(E178),0,IF((YEAR(D178)+17)&gt;YEAR(E178),1,(12-MONTH(E178)+1)/12))) + (R178)*(IF((YEAR(D178)+17)&lt;YEAR(E178),0,IF((YEAR(D178)+17)&gt;YEAR(E178),1,(12-MONTH(E178)+1)/12))))-(IF(OR(N178="",N178&lt;=0),0,(O178/N178)*(IF(OR(N178="",N178&lt;=0),0,IF((YEAR(D178)+17)&lt;YEAR(E178),0,IF((YEAR(D178)+17)&gt;=YEAR(E178)+N178,0,IF((YEAR(D178)+17)=YEAR(E178),(12-MONTH(E178)+1)/12,1))))))))*TaxRate,0))-IF(17=0,O178,0))</f>
        <v/>
      </c>
      <c r="AK178" s="29">
        <f>IF(A178="","",((K178)*(IF(M178="",L178,IFERROR(IF(INDEX(Variablen!$I:$AT, MATCH(M178, Variablen!$A:$A, 0), MATCH((YEAR(D178)+18), Variablen!$I$3:$AT$3, 0))="",L178,INDEX(Variablen!$I:$AT, MATCH(M178, Variablen!$A:$A, 0), MATCH((YEAR(D178)+18), Variablen!$I$3:$AT$3, 0))),L178)))*(IF((YEAR(D178)+18)&lt;YEAR(E178),0,IF((YEAR(D178)+18)&gt;YEAR(E178),1,(12-MONTH(E178)+1)/12))) + (Q178)*(IF((YEAR(D178)+18)&lt;YEAR(E178),0,IF((YEAR(D178)+18)&gt;YEAR(E178),1,(12-MONTH(E178)+1)/12))))-((P178)*(IF((YEAR(D178)+18)&lt;YEAR(E178),0,IF((YEAR(D178)+18)&gt;YEAR(E178),1,(12-MONTH(E178)+1)/12))) + (R178)*(IF((YEAR(D178)+18)&lt;YEAR(E178),0,IF((YEAR(D178)+18)&gt;YEAR(E178),1,(12-MONTH(E178)+1)/12))))-(IF((((K178)*(IF(M178="",L178,IFERROR(IF(INDEX(Variablen!$I:$AT, MATCH(M178, Variablen!$A:$A, 0), MATCH((YEAR(D178)+18), Variablen!$I$3:$AT$3, 0))="",L178,INDEX(Variablen!$I:$AT, MATCH(M178, Variablen!$A:$A, 0), MATCH((YEAR(D178)+18), Variablen!$I$3:$AT$3, 0))),L178)))*(IF((YEAR(D178)+18)&lt;YEAR(E178),0,IF((YEAR(D178)+18)&gt;YEAR(E178),1,(12-MONTH(E178)+1)/12))) + (Q178)*(IF((YEAR(D178)+18)&lt;YEAR(E178),0,IF((YEAR(D178)+18)&gt;YEAR(E178),1,(12-MONTH(E178)+1)/12))))-((P178)*(IF((YEAR(D178)+18)&lt;YEAR(E178),0,IF((YEAR(D178)+18)&gt;YEAR(E178),1,(12-MONTH(E178)+1)/12))) + (R178)*(IF((YEAR(D178)+18)&lt;YEAR(E178),0,IF((YEAR(D178)+18)&gt;YEAR(E178),1,(12-MONTH(E178)+1)/12))))-(IF(OR(N178="",N178&lt;=0),0,(O178/N178)*(IF(OR(N178="",N178&lt;=0),0,IF((YEAR(D178)+18)&lt;YEAR(E178),0,IF((YEAR(D178)+18)&gt;=YEAR(E178)+N178,0,IF((YEAR(D178)+18)=YEAR(E178),(12-MONTH(E178)+1)/12,1))))))))&gt;0,(((K178)*(IF(M178="",L178,IFERROR(IF(INDEX(Variablen!$I:$AT, MATCH(M178, Variablen!$A:$A, 0), MATCH((YEAR(D178)+18), Variablen!$I$3:$AT$3, 0))="",L178,INDEX(Variablen!$I:$AT, MATCH(M178, Variablen!$A:$A, 0), MATCH((YEAR(D178)+18), Variablen!$I$3:$AT$3, 0))),L178)))*(IF((YEAR(D178)+18)&lt;YEAR(E178),0,IF((YEAR(D178)+18)&gt;YEAR(E178),1,(12-MONTH(E178)+1)/12))) + (Q178)*(IF((YEAR(D178)+18)&lt;YEAR(E178),0,IF((YEAR(D178)+18)&gt;YEAR(E178),1,(12-MONTH(E178)+1)/12))))-((P178)*(IF((YEAR(D178)+18)&lt;YEAR(E178),0,IF((YEAR(D178)+18)&gt;YEAR(E178),1,(12-MONTH(E178)+1)/12))) + (R178)*(IF((YEAR(D178)+18)&lt;YEAR(E178),0,IF((YEAR(D178)+18)&gt;YEAR(E178),1,(12-MONTH(E178)+1)/12))))-(IF(OR(N178="",N178&lt;=0),0,(O178/N178)*(IF(OR(N178="",N178&lt;=0),0,IF((YEAR(D178)+18)&lt;YEAR(E178),0,IF((YEAR(D178)+18)&gt;=YEAR(E178)+N178,0,IF((YEAR(D178)+18)=YEAR(E178),(12-MONTH(E178)+1)/12,1))))))))*TaxRate,0))-IF(18=0,O178,0))</f>
        <v/>
      </c>
      <c r="AL178" s="29">
        <f>IF(A178="","",((K178)*(IF(M178="",L178,IFERROR(IF(INDEX(Variablen!$I:$AT, MATCH(M178, Variablen!$A:$A, 0), MATCH((YEAR(D178)+19), Variablen!$I$3:$AT$3, 0))="",L178,INDEX(Variablen!$I:$AT, MATCH(M178, Variablen!$A:$A, 0), MATCH((YEAR(D178)+19), Variablen!$I$3:$AT$3, 0))),L178)))*(IF((YEAR(D178)+19)&lt;YEAR(E178),0,IF((YEAR(D178)+19)&gt;YEAR(E178),1,(12-MONTH(E178)+1)/12))) + (Q178)*(IF((YEAR(D178)+19)&lt;YEAR(E178),0,IF((YEAR(D178)+19)&gt;YEAR(E178),1,(12-MONTH(E178)+1)/12))))-((P178)*(IF((YEAR(D178)+19)&lt;YEAR(E178),0,IF((YEAR(D178)+19)&gt;YEAR(E178),1,(12-MONTH(E178)+1)/12))) + (R178)*(IF((YEAR(D178)+19)&lt;YEAR(E178),0,IF((YEAR(D178)+19)&gt;YEAR(E178),1,(12-MONTH(E178)+1)/12))))-(IF((((K178)*(IF(M178="",L178,IFERROR(IF(INDEX(Variablen!$I:$AT, MATCH(M178, Variablen!$A:$A, 0), MATCH((YEAR(D178)+19), Variablen!$I$3:$AT$3, 0))="",L178,INDEX(Variablen!$I:$AT, MATCH(M178, Variablen!$A:$A, 0), MATCH((YEAR(D178)+19), Variablen!$I$3:$AT$3, 0))),L178)))*(IF((YEAR(D178)+19)&lt;YEAR(E178),0,IF((YEAR(D178)+19)&gt;YEAR(E178),1,(12-MONTH(E178)+1)/12))) + (Q178)*(IF((YEAR(D178)+19)&lt;YEAR(E178),0,IF((YEAR(D178)+19)&gt;YEAR(E178),1,(12-MONTH(E178)+1)/12))))-((P178)*(IF((YEAR(D178)+19)&lt;YEAR(E178),0,IF((YEAR(D178)+19)&gt;YEAR(E178),1,(12-MONTH(E178)+1)/12))) + (R178)*(IF((YEAR(D178)+19)&lt;YEAR(E178),0,IF((YEAR(D178)+19)&gt;YEAR(E178),1,(12-MONTH(E178)+1)/12))))-(IF(OR(N178="",N178&lt;=0),0,(O178/N178)*(IF(OR(N178="",N178&lt;=0),0,IF((YEAR(D178)+19)&lt;YEAR(E178),0,IF((YEAR(D178)+19)&gt;=YEAR(E178)+N178,0,IF((YEAR(D178)+19)=YEAR(E178),(12-MONTH(E178)+1)/12,1))))))))&gt;0,(((K178)*(IF(M178="",L178,IFERROR(IF(INDEX(Variablen!$I:$AT, MATCH(M178, Variablen!$A:$A, 0), MATCH((YEAR(D178)+19), Variablen!$I$3:$AT$3, 0))="",L178,INDEX(Variablen!$I:$AT, MATCH(M178, Variablen!$A:$A, 0), MATCH((YEAR(D178)+19), Variablen!$I$3:$AT$3, 0))),L178)))*(IF((YEAR(D178)+19)&lt;YEAR(E178),0,IF((YEAR(D178)+19)&gt;YEAR(E178),1,(12-MONTH(E178)+1)/12))) + (Q178)*(IF((YEAR(D178)+19)&lt;YEAR(E178),0,IF((YEAR(D178)+19)&gt;YEAR(E178),1,(12-MONTH(E178)+1)/12))))-((P178)*(IF((YEAR(D178)+19)&lt;YEAR(E178),0,IF((YEAR(D178)+19)&gt;YEAR(E178),1,(12-MONTH(E178)+1)/12))) + (R178)*(IF((YEAR(D178)+19)&lt;YEAR(E178),0,IF((YEAR(D178)+19)&gt;YEAR(E178),1,(12-MONTH(E178)+1)/12))))-(IF(OR(N178="",N178&lt;=0),0,(O178/N178)*(IF(OR(N178="",N178&lt;=0),0,IF((YEAR(D178)+19)&lt;YEAR(E178),0,IF((YEAR(D178)+19)&gt;=YEAR(E178)+N178,0,IF((YEAR(D178)+19)=YEAR(E178),(12-MONTH(E178)+1)/12,1))))))))*TaxRate,0))-IF(19=0,O178,0))</f>
        <v/>
      </c>
      <c r="AM178" s="29">
        <f>IF(A178="","",((K178)*(IF(M178="",L178,IFERROR(IF(INDEX(Variablen!$I:$AT, MATCH(M178, Variablen!$A:$A, 0), MATCH((YEAR(D178)+20), Variablen!$I$3:$AT$3, 0))="",L178,INDEX(Variablen!$I:$AT, MATCH(M178, Variablen!$A:$A, 0), MATCH((YEAR(D178)+20), Variablen!$I$3:$AT$3, 0))),L178)))*(IF((YEAR(D178)+20)&lt;YEAR(E178),0,IF((YEAR(D178)+20)&gt;YEAR(E178),1,(12-MONTH(E178)+1)/12))) + (Q178)*(IF((YEAR(D178)+20)&lt;YEAR(E178),0,IF((YEAR(D178)+20)&gt;YEAR(E178),1,(12-MONTH(E178)+1)/12))))-((P178)*(IF((YEAR(D178)+20)&lt;YEAR(E178),0,IF((YEAR(D178)+20)&gt;YEAR(E178),1,(12-MONTH(E178)+1)/12))) + (R178)*(IF((YEAR(D178)+20)&lt;YEAR(E178),0,IF((YEAR(D178)+20)&gt;YEAR(E178),1,(12-MONTH(E178)+1)/12))))-(IF((((K178)*(IF(M178="",L178,IFERROR(IF(INDEX(Variablen!$I:$AT, MATCH(M178, Variablen!$A:$A, 0), MATCH((YEAR(D178)+20), Variablen!$I$3:$AT$3, 0))="",L178,INDEX(Variablen!$I:$AT, MATCH(M178, Variablen!$A:$A, 0), MATCH((YEAR(D178)+20), Variablen!$I$3:$AT$3, 0))),L178)))*(IF((YEAR(D178)+20)&lt;YEAR(E178),0,IF((YEAR(D178)+20)&gt;YEAR(E178),1,(12-MONTH(E178)+1)/12))) + (Q178)*(IF((YEAR(D178)+20)&lt;YEAR(E178),0,IF((YEAR(D178)+20)&gt;YEAR(E178),1,(12-MONTH(E178)+1)/12))))-((P178)*(IF((YEAR(D178)+20)&lt;YEAR(E178),0,IF((YEAR(D178)+20)&gt;YEAR(E178),1,(12-MONTH(E178)+1)/12))) + (R178)*(IF((YEAR(D178)+20)&lt;YEAR(E178),0,IF((YEAR(D178)+20)&gt;YEAR(E178),1,(12-MONTH(E178)+1)/12))))-(IF(OR(N178="",N178&lt;=0),0,(O178/N178)*(IF(OR(N178="",N178&lt;=0),0,IF((YEAR(D178)+20)&lt;YEAR(E178),0,IF((YEAR(D178)+20)&gt;=YEAR(E178)+N178,0,IF((YEAR(D178)+20)=YEAR(E178),(12-MONTH(E178)+1)/12,1))))))))&gt;0,(((K178)*(IF(M178="",L178,IFERROR(IF(INDEX(Variablen!$I:$AT, MATCH(M178, Variablen!$A:$A, 0), MATCH((YEAR(D178)+20), Variablen!$I$3:$AT$3, 0))="",L178,INDEX(Variablen!$I:$AT, MATCH(M178, Variablen!$A:$A, 0), MATCH((YEAR(D178)+20), Variablen!$I$3:$AT$3, 0))),L178)))*(IF((YEAR(D178)+20)&lt;YEAR(E178),0,IF((YEAR(D178)+20)&gt;YEAR(E178),1,(12-MONTH(E178)+1)/12))) + (Q178)*(IF((YEAR(D178)+20)&lt;YEAR(E178),0,IF((YEAR(D178)+20)&gt;YEAR(E178),1,(12-MONTH(E178)+1)/12))))-((P178)*(IF((YEAR(D178)+20)&lt;YEAR(E178),0,IF((YEAR(D178)+20)&gt;YEAR(E178),1,(12-MONTH(E178)+1)/12))) + (R178)*(IF((YEAR(D178)+20)&lt;YEAR(E178),0,IF((YEAR(D178)+20)&gt;YEAR(E178),1,(12-MONTH(E178)+1)/12))))-(IF(OR(N178="",N178&lt;=0),0,(O178/N178)*(IF(OR(N178="",N178&lt;=0),0,IF((YEAR(D178)+20)&lt;YEAR(E178),0,IF((YEAR(D178)+20)&gt;=YEAR(E178)+N178,0,IF((YEAR(D178)+20)=YEAR(E178),(12-MONTH(E178)+1)/12,1))))))))*TaxRate,0))-IF(20=0,O178,0))</f>
        <v/>
      </c>
      <c r="AN178" s="29">
        <f>IF(A178="","",S178)</f>
        <v/>
      </c>
      <c r="AO178" s="29">
        <f>IF(A178="","",AN178+T178)</f>
        <v/>
      </c>
      <c r="AP178" s="29">
        <f>IF(A178="","",AO178+U178)</f>
        <v/>
      </c>
      <c r="AQ178" s="29">
        <f>IF(A178="","",AP178+V178)</f>
        <v/>
      </c>
      <c r="AR178" s="29">
        <f>IF(A178="","",AQ178+W178)</f>
        <v/>
      </c>
      <c r="AS178" s="29">
        <f>IF(A178="","",AR178+X178)</f>
        <v/>
      </c>
      <c r="AT178" s="29">
        <f>IF(A178="","",AS178+Y178)</f>
        <v/>
      </c>
      <c r="AU178" s="29">
        <f>IF(A178="","",AT178+Z178)</f>
        <v/>
      </c>
      <c r="AV178" s="29">
        <f>IF(A178="","",AU178+AA178)</f>
        <v/>
      </c>
      <c r="AW178" s="29">
        <f>IF(A178="","",AV178+AB178)</f>
        <v/>
      </c>
      <c r="AX178" s="29">
        <f>IF(A178="","",AW178+AC178)</f>
        <v/>
      </c>
      <c r="AY178" s="29">
        <f>IF(A178="","",AX178+AD178)</f>
        <v/>
      </c>
      <c r="AZ178" s="29">
        <f>IF(A178="","",AY178+AE178)</f>
        <v/>
      </c>
      <c r="BA178" s="29">
        <f>IF(A178="","",AZ178+AF178)</f>
        <v/>
      </c>
      <c r="BB178" s="29">
        <f>IF(A178="","",BA178+AG178)</f>
        <v/>
      </c>
      <c r="BC178" s="29">
        <f>IF(A178="","",BB178+AH178)</f>
        <v/>
      </c>
      <c r="BD178" s="29">
        <f>IF(A178="","",BC178+AI178)</f>
        <v/>
      </c>
      <c r="BE178" s="29">
        <f>IF(A178="","",BD178+AJ178)</f>
        <v/>
      </c>
      <c r="BF178" s="29">
        <f>IF(A178="","",BE178+AK178)</f>
        <v/>
      </c>
      <c r="BG178" s="29">
        <f>IF(A178="","",BF178+AL178)</f>
        <v/>
      </c>
      <c r="BH178" s="29">
        <f>IF(A178="","",BG178+AM178)</f>
        <v/>
      </c>
      <c r="BI178" s="36">
        <f>IF(A178="","",(K178)*(IF((YEAR(D178)+0)&lt;YEAR(E178),0,IF((YEAR(D178)+0)&gt;YEAR(E178),1,(12-MONTH(E178)+1)/12)))*(1/(1+DiscountRate)^0))</f>
        <v/>
      </c>
      <c r="BJ178" s="36">
        <f>IF(A178="","",(K178)*(IF((YEAR(D178)+1)&lt;YEAR(E178),0,IF((YEAR(D178)+1)&gt;YEAR(E178),1,(12-MONTH(E178)+1)/12)))*(1/(1+DiscountRate)^1))</f>
        <v/>
      </c>
      <c r="BK178" s="36">
        <f>IF(A178="","",(K178)*(IF((YEAR(D178)+2)&lt;YEAR(E178),0,IF((YEAR(D178)+2)&gt;YEAR(E178),1,(12-MONTH(E178)+1)/12)))*(1/(1+DiscountRate)^2))</f>
        <v/>
      </c>
      <c r="BL178" s="36">
        <f>IF(A178="","",(K178)*(IF((YEAR(D178)+3)&lt;YEAR(E178),0,IF((YEAR(D178)+3)&gt;YEAR(E178),1,(12-MONTH(E178)+1)/12)))*(1/(1+DiscountRate)^3))</f>
        <v/>
      </c>
      <c r="BM178" s="36">
        <f>IF(A178="","",(K178)*(IF((YEAR(D178)+4)&lt;YEAR(E178),0,IF((YEAR(D178)+4)&gt;YEAR(E178),1,(12-MONTH(E178)+1)/12)))*(1/(1+DiscountRate)^4))</f>
        <v/>
      </c>
      <c r="BN178" s="36">
        <f>IF(A178="","",(K178)*(IF((YEAR(D178)+5)&lt;YEAR(E178),0,IF((YEAR(D178)+5)&gt;YEAR(E178),1,(12-MONTH(E178)+1)/12)))*(1/(1+DiscountRate)^5))</f>
        <v/>
      </c>
      <c r="BO178" s="36">
        <f>IF(A178="","",(K178)*(IF((YEAR(D178)+6)&lt;YEAR(E178),0,IF((YEAR(D178)+6)&gt;YEAR(E178),1,(12-MONTH(E178)+1)/12)))*(1/(1+DiscountRate)^6))</f>
        <v/>
      </c>
      <c r="BP178" s="36">
        <f>IF(A178="","",(K178)*(IF((YEAR(D178)+7)&lt;YEAR(E178),0,IF((YEAR(D178)+7)&gt;YEAR(E178),1,(12-MONTH(E178)+1)/12)))*(1/(1+DiscountRate)^7))</f>
        <v/>
      </c>
      <c r="BQ178" s="36">
        <f>IF(A178="","",(K178)*(IF((YEAR(D178)+8)&lt;YEAR(E178),0,IF((YEAR(D178)+8)&gt;YEAR(E178),1,(12-MONTH(E178)+1)/12)))*(1/(1+DiscountRate)^8))</f>
        <v/>
      </c>
      <c r="BR178" s="36">
        <f>IF(A178="","",(K178)*(IF((YEAR(D178)+9)&lt;YEAR(E178),0,IF((YEAR(D178)+9)&gt;YEAR(E178),1,(12-MONTH(E178)+1)/12)))*(1/(1+DiscountRate)^9))</f>
        <v/>
      </c>
      <c r="BS178" s="36">
        <f>IF(A178="","",(K178)*(IF((YEAR(D178)+10)&lt;YEAR(E178),0,IF((YEAR(D178)+10)&gt;YEAR(E178),1,(12-MONTH(E178)+1)/12)))*(1/(1+DiscountRate)^10))</f>
        <v/>
      </c>
      <c r="BT178" s="36">
        <f>IF(A178="","",(K178)*(IF((YEAR(D178)+11)&lt;YEAR(E178),0,IF((YEAR(D178)+11)&gt;YEAR(E178),1,(12-MONTH(E178)+1)/12)))*(1/(1+DiscountRate)^11))</f>
        <v/>
      </c>
      <c r="BU178" s="36">
        <f>IF(A178="","",(K178)*(IF((YEAR(D178)+12)&lt;YEAR(E178),0,IF((YEAR(D178)+12)&gt;YEAR(E178),1,(12-MONTH(E178)+1)/12)))*(1/(1+DiscountRate)^12))</f>
        <v/>
      </c>
      <c r="BV178" s="36">
        <f>IF(A178="","",(K178)*(IF((YEAR(D178)+13)&lt;YEAR(E178),0,IF((YEAR(D178)+13)&gt;YEAR(E178),1,(12-MONTH(E178)+1)/12)))*(1/(1+DiscountRate)^13))</f>
        <v/>
      </c>
      <c r="BW178" s="36">
        <f>IF(A178="","",(K178)*(IF((YEAR(D178)+14)&lt;YEAR(E178),0,IF((YEAR(D178)+14)&gt;YEAR(E178),1,(12-MONTH(E178)+1)/12)))*(1/(1+DiscountRate)^14))</f>
        <v/>
      </c>
      <c r="BX178" s="36">
        <f>IF(A178="","",(K178)*(IF((YEAR(D178)+15)&lt;YEAR(E178),0,IF((YEAR(D178)+15)&gt;YEAR(E178),1,(12-MONTH(E178)+1)/12)))*(1/(1+DiscountRate)^15))</f>
        <v/>
      </c>
      <c r="BY178" s="36">
        <f>IF(A178="","",(K178)*(IF((YEAR(D178)+16)&lt;YEAR(E178),0,IF((YEAR(D178)+16)&gt;YEAR(E178),1,(12-MONTH(E178)+1)/12)))*(1/(1+DiscountRate)^16))</f>
        <v/>
      </c>
      <c r="BZ178" s="36">
        <f>IF(A178="","",(K178)*(IF((YEAR(D178)+17)&lt;YEAR(E178),0,IF((YEAR(D178)+17)&gt;YEAR(E178),1,(12-MONTH(E178)+1)/12)))*(1/(1+DiscountRate)^17))</f>
        <v/>
      </c>
      <c r="CA178" s="36">
        <f>IF(A178="","",(K178)*(IF((YEAR(D178)+18)&lt;YEAR(E178),0,IF((YEAR(D178)+18)&gt;YEAR(E178),1,(12-MONTH(E178)+1)/12)))*(1/(1+DiscountRate)^18))</f>
        <v/>
      </c>
      <c r="CB178" s="36">
        <f>IF(A178="","",(K178)*(IF((YEAR(D178)+19)&lt;YEAR(E178),0,IF((YEAR(D178)+19)&gt;YEAR(E178),1,(12-MONTH(E178)+1)/12)))*(1/(1+DiscountRate)^19))</f>
        <v/>
      </c>
      <c r="CC178" s="36">
        <f>IF(A178="","",(K178)*(IF((YEAR(D178)+20)&lt;YEAR(E178),0,IF((YEAR(D178)+20)&gt;YEAR(E178),1,(12-MONTH(E178)+1)/12)))*(1/(1+DiscountRate)^20))</f>
        <v/>
      </c>
      <c r="CD178" s="29">
        <f>IF(A178="","",S178/(1+DiscountRate)^0+T178/(1+DiscountRate)^1+U178/(1+DiscountRate)^2+V178/(1+DiscountRate)^3+W178/(1+DiscountRate)^4+X178/(1+DiscountRate)^5+Y178/(1+DiscountRate)^6+Z178/(1+DiscountRate)^7+AA178/(1+DiscountRate)^8+AB178/(1+DiscountRate)^9+AC178/(1+DiscountRate)^10+AD178/(1+DiscountRate)^11+AE178/(1+DiscountRate)^12+AF178/(1+DiscountRate)^13+AG178/(1+DiscountRate)^14+AH178/(1+DiscountRate)^15+AI178/(1+DiscountRate)^16+AJ178/(1+DiscountRate)^17+AK178/(1+DiscountRate)^18+AL178/(1+DiscountRate)^19+AM178/(1+DiscountRate)^20)</f>
        <v/>
      </c>
      <c r="CE178" s="37">
        <f>IF(A178="","",IFERROR(IRR(OFFSET(S178,0,0,1,MIN(HorizonYears,20)+1)),"n/a"))</f>
        <v/>
      </c>
      <c r="CF178" s="28">
        <f>IF(A178="","",IFERROR(MATCH(TRUE,OFFSET(AN178,0,0,1,MIN(HorizonYears,20)+1)&gt;=0,0)-1,"n/a"))</f>
        <v/>
      </c>
      <c r="CG178" s="36">
        <f>IF(A178="","",SUM(OFFSET(BI178,0,0,1,MIN(HorizonYears,20)+1)))</f>
        <v/>
      </c>
      <c r="CH178" s="36">
        <f>IF(A178="","",IFERROR(-CD178/CG178,"n/a"))</f>
        <v/>
      </c>
    </row>
    <row r="179">
      <c r="A179" s="6">
        <f>Actions!A177</f>
        <v/>
      </c>
      <c r="B179" s="6">
        <f>Actions!B177</f>
        <v/>
      </c>
      <c r="C179" s="6">
        <f>Actions!D177</f>
        <v/>
      </c>
      <c r="D179" s="35">
        <f>Actions!E177</f>
        <v/>
      </c>
      <c r="E179" s="35">
        <f>Actions!F177</f>
        <v/>
      </c>
      <c r="F179" s="6">
        <f>Actions!G177</f>
        <v/>
      </c>
      <c r="G179" s="6">
        <f>Actions!H177</f>
        <v/>
      </c>
      <c r="H179" s="29">
        <f>Actions!I177</f>
        <v/>
      </c>
      <c r="I179" s="6">
        <f>Actions!J177</f>
        <v/>
      </c>
      <c r="J179" s="16">
        <f>Actions!K177</f>
        <v/>
      </c>
      <c r="K179" s="16">
        <f>IF(A179="","",IF(I179="%",H179*J179,J179))</f>
        <v/>
      </c>
      <c r="L179" s="16">
        <f>Actions!L177</f>
        <v/>
      </c>
      <c r="M179" s="6">
        <f>Actions!M177</f>
        <v/>
      </c>
      <c r="N179" s="28">
        <f>Actions!N177</f>
        <v/>
      </c>
      <c r="O179" s="29">
        <f>Actions!T177</f>
        <v/>
      </c>
      <c r="P179" s="29">
        <f>Actions!Y177</f>
        <v/>
      </c>
      <c r="Q179" s="29">
        <f>Actions!Z177</f>
        <v/>
      </c>
      <c r="R179" s="29">
        <f>Actions!AA177</f>
        <v/>
      </c>
      <c r="S179" s="29">
        <f>IF(A179="","",((K179)*(IF(M179="",L179,IFERROR(IF(INDEX(Variablen!$I:$AT, MATCH(M179, Variablen!$A:$A, 0), MATCH((YEAR(D179)+0), Variablen!$I$3:$AT$3, 0))="",L179,INDEX(Variablen!$I:$AT, MATCH(M179, Variablen!$A:$A, 0), MATCH((YEAR(D179)+0), Variablen!$I$3:$AT$3, 0))),L179)))*(IF((YEAR(D179)+0)&lt;YEAR(E179),0,IF((YEAR(D179)+0)&gt;YEAR(E179),1,(12-MONTH(E179)+1)/12))) + (Q179)*(IF((YEAR(D179)+0)&lt;YEAR(E179),0,IF((YEAR(D179)+0)&gt;YEAR(E179),1,(12-MONTH(E179)+1)/12))))-((P179)*(IF((YEAR(D179)+0)&lt;YEAR(E179),0,IF((YEAR(D179)+0)&gt;YEAR(E179),1,(12-MONTH(E179)+1)/12))) + (R179)*(IF((YEAR(D179)+0)&lt;YEAR(E179),0,IF((YEAR(D179)+0)&gt;YEAR(E179),1,(12-MONTH(E179)+1)/12))))-(IF((((K179)*(IF(M179="",L179,IFERROR(IF(INDEX(Variablen!$I:$AT, MATCH(M179, Variablen!$A:$A, 0), MATCH((YEAR(D179)+0), Variablen!$I$3:$AT$3, 0))="",L179,INDEX(Variablen!$I:$AT, MATCH(M179, Variablen!$A:$A, 0), MATCH((YEAR(D179)+0), Variablen!$I$3:$AT$3, 0))),L179)))*(IF((YEAR(D179)+0)&lt;YEAR(E179),0,IF((YEAR(D179)+0)&gt;YEAR(E179),1,(12-MONTH(E179)+1)/12))) + (Q179)*(IF((YEAR(D179)+0)&lt;YEAR(E179),0,IF((YEAR(D179)+0)&gt;YEAR(E179),1,(12-MONTH(E179)+1)/12))))-((P179)*(IF((YEAR(D179)+0)&lt;YEAR(E179),0,IF((YEAR(D179)+0)&gt;YEAR(E179),1,(12-MONTH(E179)+1)/12))) + (R179)*(IF((YEAR(D179)+0)&lt;YEAR(E179),0,IF((YEAR(D179)+0)&gt;YEAR(E179),1,(12-MONTH(E179)+1)/12))))-(IF(OR(N179="",N179&lt;=0),0,(O179/N179)*(IF(OR(N179="",N179&lt;=0),0,IF((YEAR(D179)+0)&lt;YEAR(E179),0,IF((YEAR(D179)+0)&gt;=YEAR(E179)+N179,0,IF((YEAR(D179)+0)=YEAR(E179),(12-MONTH(E179)+1)/12,1))))))))&gt;0,(((K179)*(IF(M179="",L179,IFERROR(IF(INDEX(Variablen!$I:$AT, MATCH(M179, Variablen!$A:$A, 0), MATCH((YEAR(D179)+0), Variablen!$I$3:$AT$3, 0))="",L179,INDEX(Variablen!$I:$AT, MATCH(M179, Variablen!$A:$A, 0), MATCH((YEAR(D179)+0), Variablen!$I$3:$AT$3, 0))),L179)))*(IF((YEAR(D179)+0)&lt;YEAR(E179),0,IF((YEAR(D179)+0)&gt;YEAR(E179),1,(12-MONTH(E179)+1)/12))) + (Q179)*(IF((YEAR(D179)+0)&lt;YEAR(E179),0,IF((YEAR(D179)+0)&gt;YEAR(E179),1,(12-MONTH(E179)+1)/12))))-((P179)*(IF((YEAR(D179)+0)&lt;YEAR(E179),0,IF((YEAR(D179)+0)&gt;YEAR(E179),1,(12-MONTH(E179)+1)/12))) + (R179)*(IF((YEAR(D179)+0)&lt;YEAR(E179),0,IF((YEAR(D179)+0)&gt;YEAR(E179),1,(12-MONTH(E179)+1)/12))))-(IF(OR(N179="",N179&lt;=0),0,(O179/N179)*(IF(OR(N179="",N179&lt;=0),0,IF((YEAR(D179)+0)&lt;YEAR(E179),0,IF((YEAR(D179)+0)&gt;=YEAR(E179)+N179,0,IF((YEAR(D179)+0)=YEAR(E179),(12-MONTH(E179)+1)/12,1))))))))*TaxRate,0))-IF(0=0,O179,0))</f>
        <v/>
      </c>
      <c r="T179" s="29">
        <f>IF(A179="","",((K179)*(IF(M179="",L179,IFERROR(IF(INDEX(Variablen!$I:$AT, MATCH(M179, Variablen!$A:$A, 0), MATCH((YEAR(D179)+1), Variablen!$I$3:$AT$3, 0))="",L179,INDEX(Variablen!$I:$AT, MATCH(M179, Variablen!$A:$A, 0), MATCH((YEAR(D179)+1), Variablen!$I$3:$AT$3, 0))),L179)))*(IF((YEAR(D179)+1)&lt;YEAR(E179),0,IF((YEAR(D179)+1)&gt;YEAR(E179),1,(12-MONTH(E179)+1)/12))) + (Q179)*(IF((YEAR(D179)+1)&lt;YEAR(E179),0,IF((YEAR(D179)+1)&gt;YEAR(E179),1,(12-MONTH(E179)+1)/12))))-((P179)*(IF((YEAR(D179)+1)&lt;YEAR(E179),0,IF((YEAR(D179)+1)&gt;YEAR(E179),1,(12-MONTH(E179)+1)/12))) + (R179)*(IF((YEAR(D179)+1)&lt;YEAR(E179),0,IF((YEAR(D179)+1)&gt;YEAR(E179),1,(12-MONTH(E179)+1)/12))))-(IF((((K179)*(IF(M179="",L179,IFERROR(IF(INDEX(Variablen!$I:$AT, MATCH(M179, Variablen!$A:$A, 0), MATCH((YEAR(D179)+1), Variablen!$I$3:$AT$3, 0))="",L179,INDEX(Variablen!$I:$AT, MATCH(M179, Variablen!$A:$A, 0), MATCH((YEAR(D179)+1), Variablen!$I$3:$AT$3, 0))),L179)))*(IF((YEAR(D179)+1)&lt;YEAR(E179),0,IF((YEAR(D179)+1)&gt;YEAR(E179),1,(12-MONTH(E179)+1)/12))) + (Q179)*(IF((YEAR(D179)+1)&lt;YEAR(E179),0,IF((YEAR(D179)+1)&gt;YEAR(E179),1,(12-MONTH(E179)+1)/12))))-((P179)*(IF((YEAR(D179)+1)&lt;YEAR(E179),0,IF((YEAR(D179)+1)&gt;YEAR(E179),1,(12-MONTH(E179)+1)/12))) + (R179)*(IF((YEAR(D179)+1)&lt;YEAR(E179),0,IF((YEAR(D179)+1)&gt;YEAR(E179),1,(12-MONTH(E179)+1)/12))))-(IF(OR(N179="",N179&lt;=0),0,(O179/N179)*(IF(OR(N179="",N179&lt;=0),0,IF((YEAR(D179)+1)&lt;YEAR(E179),0,IF((YEAR(D179)+1)&gt;=YEAR(E179)+N179,0,IF((YEAR(D179)+1)=YEAR(E179),(12-MONTH(E179)+1)/12,1))))))))&gt;0,(((K179)*(IF(M179="",L179,IFERROR(IF(INDEX(Variablen!$I:$AT, MATCH(M179, Variablen!$A:$A, 0), MATCH((YEAR(D179)+1), Variablen!$I$3:$AT$3, 0))="",L179,INDEX(Variablen!$I:$AT, MATCH(M179, Variablen!$A:$A, 0), MATCH((YEAR(D179)+1), Variablen!$I$3:$AT$3, 0))),L179)))*(IF((YEAR(D179)+1)&lt;YEAR(E179),0,IF((YEAR(D179)+1)&gt;YEAR(E179),1,(12-MONTH(E179)+1)/12))) + (Q179)*(IF((YEAR(D179)+1)&lt;YEAR(E179),0,IF((YEAR(D179)+1)&gt;YEAR(E179),1,(12-MONTH(E179)+1)/12))))-((P179)*(IF((YEAR(D179)+1)&lt;YEAR(E179),0,IF((YEAR(D179)+1)&gt;YEAR(E179),1,(12-MONTH(E179)+1)/12))) + (R179)*(IF((YEAR(D179)+1)&lt;YEAR(E179),0,IF((YEAR(D179)+1)&gt;YEAR(E179),1,(12-MONTH(E179)+1)/12))))-(IF(OR(N179="",N179&lt;=0),0,(O179/N179)*(IF(OR(N179="",N179&lt;=0),0,IF((YEAR(D179)+1)&lt;YEAR(E179),0,IF((YEAR(D179)+1)&gt;=YEAR(E179)+N179,0,IF((YEAR(D179)+1)=YEAR(E179),(12-MONTH(E179)+1)/12,1))))))))*TaxRate,0))-IF(1=0,O179,0))</f>
        <v/>
      </c>
      <c r="U179" s="29">
        <f>IF(A179="","",((K179)*(IF(M179="",L179,IFERROR(IF(INDEX(Variablen!$I:$AT, MATCH(M179, Variablen!$A:$A, 0), MATCH((YEAR(D179)+2), Variablen!$I$3:$AT$3, 0))="",L179,INDEX(Variablen!$I:$AT, MATCH(M179, Variablen!$A:$A, 0), MATCH((YEAR(D179)+2), Variablen!$I$3:$AT$3, 0))),L179)))*(IF((YEAR(D179)+2)&lt;YEAR(E179),0,IF((YEAR(D179)+2)&gt;YEAR(E179),1,(12-MONTH(E179)+1)/12))) + (Q179)*(IF((YEAR(D179)+2)&lt;YEAR(E179),0,IF((YEAR(D179)+2)&gt;YEAR(E179),1,(12-MONTH(E179)+1)/12))))-((P179)*(IF((YEAR(D179)+2)&lt;YEAR(E179),0,IF((YEAR(D179)+2)&gt;YEAR(E179),1,(12-MONTH(E179)+1)/12))) + (R179)*(IF((YEAR(D179)+2)&lt;YEAR(E179),0,IF((YEAR(D179)+2)&gt;YEAR(E179),1,(12-MONTH(E179)+1)/12))))-(IF((((K179)*(IF(M179="",L179,IFERROR(IF(INDEX(Variablen!$I:$AT, MATCH(M179, Variablen!$A:$A, 0), MATCH((YEAR(D179)+2), Variablen!$I$3:$AT$3, 0))="",L179,INDEX(Variablen!$I:$AT, MATCH(M179, Variablen!$A:$A, 0), MATCH((YEAR(D179)+2), Variablen!$I$3:$AT$3, 0))),L179)))*(IF((YEAR(D179)+2)&lt;YEAR(E179),0,IF((YEAR(D179)+2)&gt;YEAR(E179),1,(12-MONTH(E179)+1)/12))) + (Q179)*(IF((YEAR(D179)+2)&lt;YEAR(E179),0,IF((YEAR(D179)+2)&gt;YEAR(E179),1,(12-MONTH(E179)+1)/12))))-((P179)*(IF((YEAR(D179)+2)&lt;YEAR(E179),0,IF((YEAR(D179)+2)&gt;YEAR(E179),1,(12-MONTH(E179)+1)/12))) + (R179)*(IF((YEAR(D179)+2)&lt;YEAR(E179),0,IF((YEAR(D179)+2)&gt;YEAR(E179),1,(12-MONTH(E179)+1)/12))))-(IF(OR(N179="",N179&lt;=0),0,(O179/N179)*(IF(OR(N179="",N179&lt;=0),0,IF((YEAR(D179)+2)&lt;YEAR(E179),0,IF((YEAR(D179)+2)&gt;=YEAR(E179)+N179,0,IF((YEAR(D179)+2)=YEAR(E179),(12-MONTH(E179)+1)/12,1))))))))&gt;0,(((K179)*(IF(M179="",L179,IFERROR(IF(INDEX(Variablen!$I:$AT, MATCH(M179, Variablen!$A:$A, 0), MATCH((YEAR(D179)+2), Variablen!$I$3:$AT$3, 0))="",L179,INDEX(Variablen!$I:$AT, MATCH(M179, Variablen!$A:$A, 0), MATCH((YEAR(D179)+2), Variablen!$I$3:$AT$3, 0))),L179)))*(IF((YEAR(D179)+2)&lt;YEAR(E179),0,IF((YEAR(D179)+2)&gt;YEAR(E179),1,(12-MONTH(E179)+1)/12))) + (Q179)*(IF((YEAR(D179)+2)&lt;YEAR(E179),0,IF((YEAR(D179)+2)&gt;YEAR(E179),1,(12-MONTH(E179)+1)/12))))-((P179)*(IF((YEAR(D179)+2)&lt;YEAR(E179),0,IF((YEAR(D179)+2)&gt;YEAR(E179),1,(12-MONTH(E179)+1)/12))) + (R179)*(IF((YEAR(D179)+2)&lt;YEAR(E179),0,IF((YEAR(D179)+2)&gt;YEAR(E179),1,(12-MONTH(E179)+1)/12))))-(IF(OR(N179="",N179&lt;=0),0,(O179/N179)*(IF(OR(N179="",N179&lt;=0),0,IF((YEAR(D179)+2)&lt;YEAR(E179),0,IF((YEAR(D179)+2)&gt;=YEAR(E179)+N179,0,IF((YEAR(D179)+2)=YEAR(E179),(12-MONTH(E179)+1)/12,1))))))))*TaxRate,0))-IF(2=0,O179,0))</f>
        <v/>
      </c>
      <c r="V179" s="29">
        <f>IF(A179="","",((K179)*(IF(M179="",L179,IFERROR(IF(INDEX(Variablen!$I:$AT, MATCH(M179, Variablen!$A:$A, 0), MATCH((YEAR(D179)+3), Variablen!$I$3:$AT$3, 0))="",L179,INDEX(Variablen!$I:$AT, MATCH(M179, Variablen!$A:$A, 0), MATCH((YEAR(D179)+3), Variablen!$I$3:$AT$3, 0))),L179)))*(IF((YEAR(D179)+3)&lt;YEAR(E179),0,IF((YEAR(D179)+3)&gt;YEAR(E179),1,(12-MONTH(E179)+1)/12))) + (Q179)*(IF((YEAR(D179)+3)&lt;YEAR(E179),0,IF((YEAR(D179)+3)&gt;YEAR(E179),1,(12-MONTH(E179)+1)/12))))-((P179)*(IF((YEAR(D179)+3)&lt;YEAR(E179),0,IF((YEAR(D179)+3)&gt;YEAR(E179),1,(12-MONTH(E179)+1)/12))) + (R179)*(IF((YEAR(D179)+3)&lt;YEAR(E179),0,IF((YEAR(D179)+3)&gt;YEAR(E179),1,(12-MONTH(E179)+1)/12))))-(IF((((K179)*(IF(M179="",L179,IFERROR(IF(INDEX(Variablen!$I:$AT, MATCH(M179, Variablen!$A:$A, 0), MATCH((YEAR(D179)+3), Variablen!$I$3:$AT$3, 0))="",L179,INDEX(Variablen!$I:$AT, MATCH(M179, Variablen!$A:$A, 0), MATCH((YEAR(D179)+3), Variablen!$I$3:$AT$3, 0))),L179)))*(IF((YEAR(D179)+3)&lt;YEAR(E179),0,IF((YEAR(D179)+3)&gt;YEAR(E179),1,(12-MONTH(E179)+1)/12))) + (Q179)*(IF((YEAR(D179)+3)&lt;YEAR(E179),0,IF((YEAR(D179)+3)&gt;YEAR(E179),1,(12-MONTH(E179)+1)/12))))-((P179)*(IF((YEAR(D179)+3)&lt;YEAR(E179),0,IF((YEAR(D179)+3)&gt;YEAR(E179),1,(12-MONTH(E179)+1)/12))) + (R179)*(IF((YEAR(D179)+3)&lt;YEAR(E179),0,IF((YEAR(D179)+3)&gt;YEAR(E179),1,(12-MONTH(E179)+1)/12))))-(IF(OR(N179="",N179&lt;=0),0,(O179/N179)*(IF(OR(N179="",N179&lt;=0),0,IF((YEAR(D179)+3)&lt;YEAR(E179),0,IF((YEAR(D179)+3)&gt;=YEAR(E179)+N179,0,IF((YEAR(D179)+3)=YEAR(E179),(12-MONTH(E179)+1)/12,1))))))))&gt;0,(((K179)*(IF(M179="",L179,IFERROR(IF(INDEX(Variablen!$I:$AT, MATCH(M179, Variablen!$A:$A, 0), MATCH((YEAR(D179)+3), Variablen!$I$3:$AT$3, 0))="",L179,INDEX(Variablen!$I:$AT, MATCH(M179, Variablen!$A:$A, 0), MATCH((YEAR(D179)+3), Variablen!$I$3:$AT$3, 0))),L179)))*(IF((YEAR(D179)+3)&lt;YEAR(E179),0,IF((YEAR(D179)+3)&gt;YEAR(E179),1,(12-MONTH(E179)+1)/12))) + (Q179)*(IF((YEAR(D179)+3)&lt;YEAR(E179),0,IF((YEAR(D179)+3)&gt;YEAR(E179),1,(12-MONTH(E179)+1)/12))))-((P179)*(IF((YEAR(D179)+3)&lt;YEAR(E179),0,IF((YEAR(D179)+3)&gt;YEAR(E179),1,(12-MONTH(E179)+1)/12))) + (R179)*(IF((YEAR(D179)+3)&lt;YEAR(E179),0,IF((YEAR(D179)+3)&gt;YEAR(E179),1,(12-MONTH(E179)+1)/12))))-(IF(OR(N179="",N179&lt;=0),0,(O179/N179)*(IF(OR(N179="",N179&lt;=0),0,IF((YEAR(D179)+3)&lt;YEAR(E179),0,IF((YEAR(D179)+3)&gt;=YEAR(E179)+N179,0,IF((YEAR(D179)+3)=YEAR(E179),(12-MONTH(E179)+1)/12,1))))))))*TaxRate,0))-IF(3=0,O179,0))</f>
        <v/>
      </c>
      <c r="W179" s="29">
        <f>IF(A179="","",((K179)*(IF(M179="",L179,IFERROR(IF(INDEX(Variablen!$I:$AT, MATCH(M179, Variablen!$A:$A, 0), MATCH((YEAR(D179)+4), Variablen!$I$3:$AT$3, 0))="",L179,INDEX(Variablen!$I:$AT, MATCH(M179, Variablen!$A:$A, 0), MATCH((YEAR(D179)+4), Variablen!$I$3:$AT$3, 0))),L179)))*(IF((YEAR(D179)+4)&lt;YEAR(E179),0,IF((YEAR(D179)+4)&gt;YEAR(E179),1,(12-MONTH(E179)+1)/12))) + (Q179)*(IF((YEAR(D179)+4)&lt;YEAR(E179),0,IF((YEAR(D179)+4)&gt;YEAR(E179),1,(12-MONTH(E179)+1)/12))))-((P179)*(IF((YEAR(D179)+4)&lt;YEAR(E179),0,IF((YEAR(D179)+4)&gt;YEAR(E179),1,(12-MONTH(E179)+1)/12))) + (R179)*(IF((YEAR(D179)+4)&lt;YEAR(E179),0,IF((YEAR(D179)+4)&gt;YEAR(E179),1,(12-MONTH(E179)+1)/12))))-(IF((((K179)*(IF(M179="",L179,IFERROR(IF(INDEX(Variablen!$I:$AT, MATCH(M179, Variablen!$A:$A, 0), MATCH((YEAR(D179)+4), Variablen!$I$3:$AT$3, 0))="",L179,INDEX(Variablen!$I:$AT, MATCH(M179, Variablen!$A:$A, 0), MATCH((YEAR(D179)+4), Variablen!$I$3:$AT$3, 0))),L179)))*(IF((YEAR(D179)+4)&lt;YEAR(E179),0,IF((YEAR(D179)+4)&gt;YEAR(E179),1,(12-MONTH(E179)+1)/12))) + (Q179)*(IF((YEAR(D179)+4)&lt;YEAR(E179),0,IF((YEAR(D179)+4)&gt;YEAR(E179),1,(12-MONTH(E179)+1)/12))))-((P179)*(IF((YEAR(D179)+4)&lt;YEAR(E179),0,IF((YEAR(D179)+4)&gt;YEAR(E179),1,(12-MONTH(E179)+1)/12))) + (R179)*(IF((YEAR(D179)+4)&lt;YEAR(E179),0,IF((YEAR(D179)+4)&gt;YEAR(E179),1,(12-MONTH(E179)+1)/12))))-(IF(OR(N179="",N179&lt;=0),0,(O179/N179)*(IF(OR(N179="",N179&lt;=0),0,IF((YEAR(D179)+4)&lt;YEAR(E179),0,IF((YEAR(D179)+4)&gt;=YEAR(E179)+N179,0,IF((YEAR(D179)+4)=YEAR(E179),(12-MONTH(E179)+1)/12,1))))))))&gt;0,(((K179)*(IF(M179="",L179,IFERROR(IF(INDEX(Variablen!$I:$AT, MATCH(M179, Variablen!$A:$A, 0), MATCH((YEAR(D179)+4), Variablen!$I$3:$AT$3, 0))="",L179,INDEX(Variablen!$I:$AT, MATCH(M179, Variablen!$A:$A, 0), MATCH((YEAR(D179)+4), Variablen!$I$3:$AT$3, 0))),L179)))*(IF((YEAR(D179)+4)&lt;YEAR(E179),0,IF((YEAR(D179)+4)&gt;YEAR(E179),1,(12-MONTH(E179)+1)/12))) + (Q179)*(IF((YEAR(D179)+4)&lt;YEAR(E179),0,IF((YEAR(D179)+4)&gt;YEAR(E179),1,(12-MONTH(E179)+1)/12))))-((P179)*(IF((YEAR(D179)+4)&lt;YEAR(E179),0,IF((YEAR(D179)+4)&gt;YEAR(E179),1,(12-MONTH(E179)+1)/12))) + (R179)*(IF((YEAR(D179)+4)&lt;YEAR(E179),0,IF((YEAR(D179)+4)&gt;YEAR(E179),1,(12-MONTH(E179)+1)/12))))-(IF(OR(N179="",N179&lt;=0),0,(O179/N179)*(IF(OR(N179="",N179&lt;=0),0,IF((YEAR(D179)+4)&lt;YEAR(E179),0,IF((YEAR(D179)+4)&gt;=YEAR(E179)+N179,0,IF((YEAR(D179)+4)=YEAR(E179),(12-MONTH(E179)+1)/12,1))))))))*TaxRate,0))-IF(4=0,O179,0))</f>
        <v/>
      </c>
      <c r="X179" s="29">
        <f>IF(A179="","",((K179)*(IF(M179="",L179,IFERROR(IF(INDEX(Variablen!$I:$AT, MATCH(M179, Variablen!$A:$A, 0), MATCH((YEAR(D179)+5), Variablen!$I$3:$AT$3, 0))="",L179,INDEX(Variablen!$I:$AT, MATCH(M179, Variablen!$A:$A, 0), MATCH((YEAR(D179)+5), Variablen!$I$3:$AT$3, 0))),L179)))*(IF((YEAR(D179)+5)&lt;YEAR(E179),0,IF((YEAR(D179)+5)&gt;YEAR(E179),1,(12-MONTH(E179)+1)/12))) + (Q179)*(IF((YEAR(D179)+5)&lt;YEAR(E179),0,IF((YEAR(D179)+5)&gt;YEAR(E179),1,(12-MONTH(E179)+1)/12))))-((P179)*(IF((YEAR(D179)+5)&lt;YEAR(E179),0,IF((YEAR(D179)+5)&gt;YEAR(E179),1,(12-MONTH(E179)+1)/12))) + (R179)*(IF((YEAR(D179)+5)&lt;YEAR(E179),0,IF((YEAR(D179)+5)&gt;YEAR(E179),1,(12-MONTH(E179)+1)/12))))-(IF((((K179)*(IF(M179="",L179,IFERROR(IF(INDEX(Variablen!$I:$AT, MATCH(M179, Variablen!$A:$A, 0), MATCH((YEAR(D179)+5), Variablen!$I$3:$AT$3, 0))="",L179,INDEX(Variablen!$I:$AT, MATCH(M179, Variablen!$A:$A, 0), MATCH((YEAR(D179)+5), Variablen!$I$3:$AT$3, 0))),L179)))*(IF((YEAR(D179)+5)&lt;YEAR(E179),0,IF((YEAR(D179)+5)&gt;YEAR(E179),1,(12-MONTH(E179)+1)/12))) + (Q179)*(IF((YEAR(D179)+5)&lt;YEAR(E179),0,IF((YEAR(D179)+5)&gt;YEAR(E179),1,(12-MONTH(E179)+1)/12))))-((P179)*(IF((YEAR(D179)+5)&lt;YEAR(E179),0,IF((YEAR(D179)+5)&gt;YEAR(E179),1,(12-MONTH(E179)+1)/12))) + (R179)*(IF((YEAR(D179)+5)&lt;YEAR(E179),0,IF((YEAR(D179)+5)&gt;YEAR(E179),1,(12-MONTH(E179)+1)/12))))-(IF(OR(N179="",N179&lt;=0),0,(O179/N179)*(IF(OR(N179="",N179&lt;=0),0,IF((YEAR(D179)+5)&lt;YEAR(E179),0,IF((YEAR(D179)+5)&gt;=YEAR(E179)+N179,0,IF((YEAR(D179)+5)=YEAR(E179),(12-MONTH(E179)+1)/12,1))))))))&gt;0,(((K179)*(IF(M179="",L179,IFERROR(IF(INDEX(Variablen!$I:$AT, MATCH(M179, Variablen!$A:$A, 0), MATCH((YEAR(D179)+5), Variablen!$I$3:$AT$3, 0))="",L179,INDEX(Variablen!$I:$AT, MATCH(M179, Variablen!$A:$A, 0), MATCH((YEAR(D179)+5), Variablen!$I$3:$AT$3, 0))),L179)))*(IF((YEAR(D179)+5)&lt;YEAR(E179),0,IF((YEAR(D179)+5)&gt;YEAR(E179),1,(12-MONTH(E179)+1)/12))) + (Q179)*(IF((YEAR(D179)+5)&lt;YEAR(E179),0,IF((YEAR(D179)+5)&gt;YEAR(E179),1,(12-MONTH(E179)+1)/12))))-((P179)*(IF((YEAR(D179)+5)&lt;YEAR(E179),0,IF((YEAR(D179)+5)&gt;YEAR(E179),1,(12-MONTH(E179)+1)/12))) + (R179)*(IF((YEAR(D179)+5)&lt;YEAR(E179),0,IF((YEAR(D179)+5)&gt;YEAR(E179),1,(12-MONTH(E179)+1)/12))))-(IF(OR(N179="",N179&lt;=0),0,(O179/N179)*(IF(OR(N179="",N179&lt;=0),0,IF((YEAR(D179)+5)&lt;YEAR(E179),0,IF((YEAR(D179)+5)&gt;=YEAR(E179)+N179,0,IF((YEAR(D179)+5)=YEAR(E179),(12-MONTH(E179)+1)/12,1))))))))*TaxRate,0))-IF(5=0,O179,0))</f>
        <v/>
      </c>
      <c r="Y179" s="29">
        <f>IF(A179="","",((K179)*(IF(M179="",L179,IFERROR(IF(INDEX(Variablen!$I:$AT, MATCH(M179, Variablen!$A:$A, 0), MATCH((YEAR(D179)+6), Variablen!$I$3:$AT$3, 0))="",L179,INDEX(Variablen!$I:$AT, MATCH(M179, Variablen!$A:$A, 0), MATCH((YEAR(D179)+6), Variablen!$I$3:$AT$3, 0))),L179)))*(IF((YEAR(D179)+6)&lt;YEAR(E179),0,IF((YEAR(D179)+6)&gt;YEAR(E179),1,(12-MONTH(E179)+1)/12))) + (Q179)*(IF((YEAR(D179)+6)&lt;YEAR(E179),0,IF((YEAR(D179)+6)&gt;YEAR(E179),1,(12-MONTH(E179)+1)/12))))-((P179)*(IF((YEAR(D179)+6)&lt;YEAR(E179),0,IF((YEAR(D179)+6)&gt;YEAR(E179),1,(12-MONTH(E179)+1)/12))) + (R179)*(IF((YEAR(D179)+6)&lt;YEAR(E179),0,IF((YEAR(D179)+6)&gt;YEAR(E179),1,(12-MONTH(E179)+1)/12))))-(IF((((K179)*(IF(M179="",L179,IFERROR(IF(INDEX(Variablen!$I:$AT, MATCH(M179, Variablen!$A:$A, 0), MATCH((YEAR(D179)+6), Variablen!$I$3:$AT$3, 0))="",L179,INDEX(Variablen!$I:$AT, MATCH(M179, Variablen!$A:$A, 0), MATCH((YEAR(D179)+6), Variablen!$I$3:$AT$3, 0))),L179)))*(IF((YEAR(D179)+6)&lt;YEAR(E179),0,IF((YEAR(D179)+6)&gt;YEAR(E179),1,(12-MONTH(E179)+1)/12))) + (Q179)*(IF((YEAR(D179)+6)&lt;YEAR(E179),0,IF((YEAR(D179)+6)&gt;YEAR(E179),1,(12-MONTH(E179)+1)/12))))-((P179)*(IF((YEAR(D179)+6)&lt;YEAR(E179),0,IF((YEAR(D179)+6)&gt;YEAR(E179),1,(12-MONTH(E179)+1)/12))) + (R179)*(IF((YEAR(D179)+6)&lt;YEAR(E179),0,IF((YEAR(D179)+6)&gt;YEAR(E179),1,(12-MONTH(E179)+1)/12))))-(IF(OR(N179="",N179&lt;=0),0,(O179/N179)*(IF(OR(N179="",N179&lt;=0),0,IF((YEAR(D179)+6)&lt;YEAR(E179),0,IF((YEAR(D179)+6)&gt;=YEAR(E179)+N179,0,IF((YEAR(D179)+6)=YEAR(E179),(12-MONTH(E179)+1)/12,1))))))))&gt;0,(((K179)*(IF(M179="",L179,IFERROR(IF(INDEX(Variablen!$I:$AT, MATCH(M179, Variablen!$A:$A, 0), MATCH((YEAR(D179)+6), Variablen!$I$3:$AT$3, 0))="",L179,INDEX(Variablen!$I:$AT, MATCH(M179, Variablen!$A:$A, 0), MATCH((YEAR(D179)+6), Variablen!$I$3:$AT$3, 0))),L179)))*(IF((YEAR(D179)+6)&lt;YEAR(E179),0,IF((YEAR(D179)+6)&gt;YEAR(E179),1,(12-MONTH(E179)+1)/12))) + (Q179)*(IF((YEAR(D179)+6)&lt;YEAR(E179),0,IF((YEAR(D179)+6)&gt;YEAR(E179),1,(12-MONTH(E179)+1)/12))))-((P179)*(IF((YEAR(D179)+6)&lt;YEAR(E179),0,IF((YEAR(D179)+6)&gt;YEAR(E179),1,(12-MONTH(E179)+1)/12))) + (R179)*(IF((YEAR(D179)+6)&lt;YEAR(E179),0,IF((YEAR(D179)+6)&gt;YEAR(E179),1,(12-MONTH(E179)+1)/12))))-(IF(OR(N179="",N179&lt;=0),0,(O179/N179)*(IF(OR(N179="",N179&lt;=0),0,IF((YEAR(D179)+6)&lt;YEAR(E179),0,IF((YEAR(D179)+6)&gt;=YEAR(E179)+N179,0,IF((YEAR(D179)+6)=YEAR(E179),(12-MONTH(E179)+1)/12,1))))))))*TaxRate,0))-IF(6=0,O179,0))</f>
        <v/>
      </c>
      <c r="Z179" s="29">
        <f>IF(A179="","",((K179)*(IF(M179="",L179,IFERROR(IF(INDEX(Variablen!$I:$AT, MATCH(M179, Variablen!$A:$A, 0), MATCH((YEAR(D179)+7), Variablen!$I$3:$AT$3, 0))="",L179,INDEX(Variablen!$I:$AT, MATCH(M179, Variablen!$A:$A, 0), MATCH((YEAR(D179)+7), Variablen!$I$3:$AT$3, 0))),L179)))*(IF((YEAR(D179)+7)&lt;YEAR(E179),0,IF((YEAR(D179)+7)&gt;YEAR(E179),1,(12-MONTH(E179)+1)/12))) + (Q179)*(IF((YEAR(D179)+7)&lt;YEAR(E179),0,IF((YEAR(D179)+7)&gt;YEAR(E179),1,(12-MONTH(E179)+1)/12))))-((P179)*(IF((YEAR(D179)+7)&lt;YEAR(E179),0,IF((YEAR(D179)+7)&gt;YEAR(E179),1,(12-MONTH(E179)+1)/12))) + (R179)*(IF((YEAR(D179)+7)&lt;YEAR(E179),0,IF((YEAR(D179)+7)&gt;YEAR(E179),1,(12-MONTH(E179)+1)/12))))-(IF((((K179)*(IF(M179="",L179,IFERROR(IF(INDEX(Variablen!$I:$AT, MATCH(M179, Variablen!$A:$A, 0), MATCH((YEAR(D179)+7), Variablen!$I$3:$AT$3, 0))="",L179,INDEX(Variablen!$I:$AT, MATCH(M179, Variablen!$A:$A, 0), MATCH((YEAR(D179)+7), Variablen!$I$3:$AT$3, 0))),L179)))*(IF((YEAR(D179)+7)&lt;YEAR(E179),0,IF((YEAR(D179)+7)&gt;YEAR(E179),1,(12-MONTH(E179)+1)/12))) + (Q179)*(IF((YEAR(D179)+7)&lt;YEAR(E179),0,IF((YEAR(D179)+7)&gt;YEAR(E179),1,(12-MONTH(E179)+1)/12))))-((P179)*(IF((YEAR(D179)+7)&lt;YEAR(E179),0,IF((YEAR(D179)+7)&gt;YEAR(E179),1,(12-MONTH(E179)+1)/12))) + (R179)*(IF((YEAR(D179)+7)&lt;YEAR(E179),0,IF((YEAR(D179)+7)&gt;YEAR(E179),1,(12-MONTH(E179)+1)/12))))-(IF(OR(N179="",N179&lt;=0),0,(O179/N179)*(IF(OR(N179="",N179&lt;=0),0,IF((YEAR(D179)+7)&lt;YEAR(E179),0,IF((YEAR(D179)+7)&gt;=YEAR(E179)+N179,0,IF((YEAR(D179)+7)=YEAR(E179),(12-MONTH(E179)+1)/12,1))))))))&gt;0,(((K179)*(IF(M179="",L179,IFERROR(IF(INDEX(Variablen!$I:$AT, MATCH(M179, Variablen!$A:$A, 0), MATCH((YEAR(D179)+7), Variablen!$I$3:$AT$3, 0))="",L179,INDEX(Variablen!$I:$AT, MATCH(M179, Variablen!$A:$A, 0), MATCH((YEAR(D179)+7), Variablen!$I$3:$AT$3, 0))),L179)))*(IF((YEAR(D179)+7)&lt;YEAR(E179),0,IF((YEAR(D179)+7)&gt;YEAR(E179),1,(12-MONTH(E179)+1)/12))) + (Q179)*(IF((YEAR(D179)+7)&lt;YEAR(E179),0,IF((YEAR(D179)+7)&gt;YEAR(E179),1,(12-MONTH(E179)+1)/12))))-((P179)*(IF((YEAR(D179)+7)&lt;YEAR(E179),0,IF((YEAR(D179)+7)&gt;YEAR(E179),1,(12-MONTH(E179)+1)/12))) + (R179)*(IF((YEAR(D179)+7)&lt;YEAR(E179),0,IF((YEAR(D179)+7)&gt;YEAR(E179),1,(12-MONTH(E179)+1)/12))))-(IF(OR(N179="",N179&lt;=0),0,(O179/N179)*(IF(OR(N179="",N179&lt;=0),0,IF((YEAR(D179)+7)&lt;YEAR(E179),0,IF((YEAR(D179)+7)&gt;=YEAR(E179)+N179,0,IF((YEAR(D179)+7)=YEAR(E179),(12-MONTH(E179)+1)/12,1))))))))*TaxRate,0))-IF(7=0,O179,0))</f>
        <v/>
      </c>
      <c r="AA179" s="29">
        <f>IF(A179="","",((K179)*(IF(M179="",L179,IFERROR(IF(INDEX(Variablen!$I:$AT, MATCH(M179, Variablen!$A:$A, 0), MATCH((YEAR(D179)+8), Variablen!$I$3:$AT$3, 0))="",L179,INDEX(Variablen!$I:$AT, MATCH(M179, Variablen!$A:$A, 0), MATCH((YEAR(D179)+8), Variablen!$I$3:$AT$3, 0))),L179)))*(IF((YEAR(D179)+8)&lt;YEAR(E179),0,IF((YEAR(D179)+8)&gt;YEAR(E179),1,(12-MONTH(E179)+1)/12))) + (Q179)*(IF((YEAR(D179)+8)&lt;YEAR(E179),0,IF((YEAR(D179)+8)&gt;YEAR(E179),1,(12-MONTH(E179)+1)/12))))-((P179)*(IF((YEAR(D179)+8)&lt;YEAR(E179),0,IF((YEAR(D179)+8)&gt;YEAR(E179),1,(12-MONTH(E179)+1)/12))) + (R179)*(IF((YEAR(D179)+8)&lt;YEAR(E179),0,IF((YEAR(D179)+8)&gt;YEAR(E179),1,(12-MONTH(E179)+1)/12))))-(IF((((K179)*(IF(M179="",L179,IFERROR(IF(INDEX(Variablen!$I:$AT, MATCH(M179, Variablen!$A:$A, 0), MATCH((YEAR(D179)+8), Variablen!$I$3:$AT$3, 0))="",L179,INDEX(Variablen!$I:$AT, MATCH(M179, Variablen!$A:$A, 0), MATCH((YEAR(D179)+8), Variablen!$I$3:$AT$3, 0))),L179)))*(IF((YEAR(D179)+8)&lt;YEAR(E179),0,IF((YEAR(D179)+8)&gt;YEAR(E179),1,(12-MONTH(E179)+1)/12))) + (Q179)*(IF((YEAR(D179)+8)&lt;YEAR(E179),0,IF((YEAR(D179)+8)&gt;YEAR(E179),1,(12-MONTH(E179)+1)/12))))-((P179)*(IF((YEAR(D179)+8)&lt;YEAR(E179),0,IF((YEAR(D179)+8)&gt;YEAR(E179),1,(12-MONTH(E179)+1)/12))) + (R179)*(IF((YEAR(D179)+8)&lt;YEAR(E179),0,IF((YEAR(D179)+8)&gt;YEAR(E179),1,(12-MONTH(E179)+1)/12))))-(IF(OR(N179="",N179&lt;=0),0,(O179/N179)*(IF(OR(N179="",N179&lt;=0),0,IF((YEAR(D179)+8)&lt;YEAR(E179),0,IF((YEAR(D179)+8)&gt;=YEAR(E179)+N179,0,IF((YEAR(D179)+8)=YEAR(E179),(12-MONTH(E179)+1)/12,1))))))))&gt;0,(((K179)*(IF(M179="",L179,IFERROR(IF(INDEX(Variablen!$I:$AT, MATCH(M179, Variablen!$A:$A, 0), MATCH((YEAR(D179)+8), Variablen!$I$3:$AT$3, 0))="",L179,INDEX(Variablen!$I:$AT, MATCH(M179, Variablen!$A:$A, 0), MATCH((YEAR(D179)+8), Variablen!$I$3:$AT$3, 0))),L179)))*(IF((YEAR(D179)+8)&lt;YEAR(E179),0,IF((YEAR(D179)+8)&gt;YEAR(E179),1,(12-MONTH(E179)+1)/12))) + (Q179)*(IF((YEAR(D179)+8)&lt;YEAR(E179),0,IF((YEAR(D179)+8)&gt;YEAR(E179),1,(12-MONTH(E179)+1)/12))))-((P179)*(IF((YEAR(D179)+8)&lt;YEAR(E179),0,IF((YEAR(D179)+8)&gt;YEAR(E179),1,(12-MONTH(E179)+1)/12))) + (R179)*(IF((YEAR(D179)+8)&lt;YEAR(E179),0,IF((YEAR(D179)+8)&gt;YEAR(E179),1,(12-MONTH(E179)+1)/12))))-(IF(OR(N179="",N179&lt;=0),0,(O179/N179)*(IF(OR(N179="",N179&lt;=0),0,IF((YEAR(D179)+8)&lt;YEAR(E179),0,IF((YEAR(D179)+8)&gt;=YEAR(E179)+N179,0,IF((YEAR(D179)+8)=YEAR(E179),(12-MONTH(E179)+1)/12,1))))))))*TaxRate,0))-IF(8=0,O179,0))</f>
        <v/>
      </c>
      <c r="AB179" s="29">
        <f>IF(A179="","",((K179)*(IF(M179="",L179,IFERROR(IF(INDEX(Variablen!$I:$AT, MATCH(M179, Variablen!$A:$A, 0), MATCH((YEAR(D179)+9), Variablen!$I$3:$AT$3, 0))="",L179,INDEX(Variablen!$I:$AT, MATCH(M179, Variablen!$A:$A, 0), MATCH((YEAR(D179)+9), Variablen!$I$3:$AT$3, 0))),L179)))*(IF((YEAR(D179)+9)&lt;YEAR(E179),0,IF((YEAR(D179)+9)&gt;YEAR(E179),1,(12-MONTH(E179)+1)/12))) + (Q179)*(IF((YEAR(D179)+9)&lt;YEAR(E179),0,IF((YEAR(D179)+9)&gt;YEAR(E179),1,(12-MONTH(E179)+1)/12))))-((P179)*(IF((YEAR(D179)+9)&lt;YEAR(E179),0,IF((YEAR(D179)+9)&gt;YEAR(E179),1,(12-MONTH(E179)+1)/12))) + (R179)*(IF((YEAR(D179)+9)&lt;YEAR(E179),0,IF((YEAR(D179)+9)&gt;YEAR(E179),1,(12-MONTH(E179)+1)/12))))-(IF((((K179)*(IF(M179="",L179,IFERROR(IF(INDEX(Variablen!$I:$AT, MATCH(M179, Variablen!$A:$A, 0), MATCH((YEAR(D179)+9), Variablen!$I$3:$AT$3, 0))="",L179,INDEX(Variablen!$I:$AT, MATCH(M179, Variablen!$A:$A, 0), MATCH((YEAR(D179)+9), Variablen!$I$3:$AT$3, 0))),L179)))*(IF((YEAR(D179)+9)&lt;YEAR(E179),0,IF((YEAR(D179)+9)&gt;YEAR(E179),1,(12-MONTH(E179)+1)/12))) + (Q179)*(IF((YEAR(D179)+9)&lt;YEAR(E179),0,IF((YEAR(D179)+9)&gt;YEAR(E179),1,(12-MONTH(E179)+1)/12))))-((P179)*(IF((YEAR(D179)+9)&lt;YEAR(E179),0,IF((YEAR(D179)+9)&gt;YEAR(E179),1,(12-MONTH(E179)+1)/12))) + (R179)*(IF((YEAR(D179)+9)&lt;YEAR(E179),0,IF((YEAR(D179)+9)&gt;YEAR(E179),1,(12-MONTH(E179)+1)/12))))-(IF(OR(N179="",N179&lt;=0),0,(O179/N179)*(IF(OR(N179="",N179&lt;=0),0,IF((YEAR(D179)+9)&lt;YEAR(E179),0,IF((YEAR(D179)+9)&gt;=YEAR(E179)+N179,0,IF((YEAR(D179)+9)=YEAR(E179),(12-MONTH(E179)+1)/12,1))))))))&gt;0,(((K179)*(IF(M179="",L179,IFERROR(IF(INDEX(Variablen!$I:$AT, MATCH(M179, Variablen!$A:$A, 0), MATCH((YEAR(D179)+9), Variablen!$I$3:$AT$3, 0))="",L179,INDEX(Variablen!$I:$AT, MATCH(M179, Variablen!$A:$A, 0), MATCH((YEAR(D179)+9), Variablen!$I$3:$AT$3, 0))),L179)))*(IF((YEAR(D179)+9)&lt;YEAR(E179),0,IF((YEAR(D179)+9)&gt;YEAR(E179),1,(12-MONTH(E179)+1)/12))) + (Q179)*(IF((YEAR(D179)+9)&lt;YEAR(E179),0,IF((YEAR(D179)+9)&gt;YEAR(E179),1,(12-MONTH(E179)+1)/12))))-((P179)*(IF((YEAR(D179)+9)&lt;YEAR(E179),0,IF((YEAR(D179)+9)&gt;YEAR(E179),1,(12-MONTH(E179)+1)/12))) + (R179)*(IF((YEAR(D179)+9)&lt;YEAR(E179),0,IF((YEAR(D179)+9)&gt;YEAR(E179),1,(12-MONTH(E179)+1)/12))))-(IF(OR(N179="",N179&lt;=0),0,(O179/N179)*(IF(OR(N179="",N179&lt;=0),0,IF((YEAR(D179)+9)&lt;YEAR(E179),0,IF((YEAR(D179)+9)&gt;=YEAR(E179)+N179,0,IF((YEAR(D179)+9)=YEAR(E179),(12-MONTH(E179)+1)/12,1))))))))*TaxRate,0))-IF(9=0,O179,0))</f>
        <v/>
      </c>
      <c r="AC179" s="29">
        <f>IF(A179="","",((K179)*(IF(M179="",L179,IFERROR(IF(INDEX(Variablen!$I:$AT, MATCH(M179, Variablen!$A:$A, 0), MATCH((YEAR(D179)+10), Variablen!$I$3:$AT$3, 0))="",L179,INDEX(Variablen!$I:$AT, MATCH(M179, Variablen!$A:$A, 0), MATCH((YEAR(D179)+10), Variablen!$I$3:$AT$3, 0))),L179)))*(IF((YEAR(D179)+10)&lt;YEAR(E179),0,IF((YEAR(D179)+10)&gt;YEAR(E179),1,(12-MONTH(E179)+1)/12))) + (Q179)*(IF((YEAR(D179)+10)&lt;YEAR(E179),0,IF((YEAR(D179)+10)&gt;YEAR(E179),1,(12-MONTH(E179)+1)/12))))-((P179)*(IF((YEAR(D179)+10)&lt;YEAR(E179),0,IF((YEAR(D179)+10)&gt;YEAR(E179),1,(12-MONTH(E179)+1)/12))) + (R179)*(IF((YEAR(D179)+10)&lt;YEAR(E179),0,IF((YEAR(D179)+10)&gt;YEAR(E179),1,(12-MONTH(E179)+1)/12))))-(IF((((K179)*(IF(M179="",L179,IFERROR(IF(INDEX(Variablen!$I:$AT, MATCH(M179, Variablen!$A:$A, 0), MATCH((YEAR(D179)+10), Variablen!$I$3:$AT$3, 0))="",L179,INDEX(Variablen!$I:$AT, MATCH(M179, Variablen!$A:$A, 0), MATCH((YEAR(D179)+10), Variablen!$I$3:$AT$3, 0))),L179)))*(IF((YEAR(D179)+10)&lt;YEAR(E179),0,IF((YEAR(D179)+10)&gt;YEAR(E179),1,(12-MONTH(E179)+1)/12))) + (Q179)*(IF((YEAR(D179)+10)&lt;YEAR(E179),0,IF((YEAR(D179)+10)&gt;YEAR(E179),1,(12-MONTH(E179)+1)/12))))-((P179)*(IF((YEAR(D179)+10)&lt;YEAR(E179),0,IF((YEAR(D179)+10)&gt;YEAR(E179),1,(12-MONTH(E179)+1)/12))) + (R179)*(IF((YEAR(D179)+10)&lt;YEAR(E179),0,IF((YEAR(D179)+10)&gt;YEAR(E179),1,(12-MONTH(E179)+1)/12))))-(IF(OR(N179="",N179&lt;=0),0,(O179/N179)*(IF(OR(N179="",N179&lt;=0),0,IF((YEAR(D179)+10)&lt;YEAR(E179),0,IF((YEAR(D179)+10)&gt;=YEAR(E179)+N179,0,IF((YEAR(D179)+10)=YEAR(E179),(12-MONTH(E179)+1)/12,1))))))))&gt;0,(((K179)*(IF(M179="",L179,IFERROR(IF(INDEX(Variablen!$I:$AT, MATCH(M179, Variablen!$A:$A, 0), MATCH((YEAR(D179)+10), Variablen!$I$3:$AT$3, 0))="",L179,INDEX(Variablen!$I:$AT, MATCH(M179, Variablen!$A:$A, 0), MATCH((YEAR(D179)+10), Variablen!$I$3:$AT$3, 0))),L179)))*(IF((YEAR(D179)+10)&lt;YEAR(E179),0,IF((YEAR(D179)+10)&gt;YEAR(E179),1,(12-MONTH(E179)+1)/12))) + (Q179)*(IF((YEAR(D179)+10)&lt;YEAR(E179),0,IF((YEAR(D179)+10)&gt;YEAR(E179),1,(12-MONTH(E179)+1)/12))))-((P179)*(IF((YEAR(D179)+10)&lt;YEAR(E179),0,IF((YEAR(D179)+10)&gt;YEAR(E179),1,(12-MONTH(E179)+1)/12))) + (R179)*(IF((YEAR(D179)+10)&lt;YEAR(E179),0,IF((YEAR(D179)+10)&gt;YEAR(E179),1,(12-MONTH(E179)+1)/12))))-(IF(OR(N179="",N179&lt;=0),0,(O179/N179)*(IF(OR(N179="",N179&lt;=0),0,IF((YEAR(D179)+10)&lt;YEAR(E179),0,IF((YEAR(D179)+10)&gt;=YEAR(E179)+N179,0,IF((YEAR(D179)+10)=YEAR(E179),(12-MONTH(E179)+1)/12,1))))))))*TaxRate,0))-IF(10=0,O179,0))</f>
        <v/>
      </c>
      <c r="AD179" s="29">
        <f>IF(A179="","",((K179)*(IF(M179="",L179,IFERROR(IF(INDEX(Variablen!$I:$AT, MATCH(M179, Variablen!$A:$A, 0), MATCH((YEAR(D179)+11), Variablen!$I$3:$AT$3, 0))="",L179,INDEX(Variablen!$I:$AT, MATCH(M179, Variablen!$A:$A, 0), MATCH((YEAR(D179)+11), Variablen!$I$3:$AT$3, 0))),L179)))*(IF((YEAR(D179)+11)&lt;YEAR(E179),0,IF((YEAR(D179)+11)&gt;YEAR(E179),1,(12-MONTH(E179)+1)/12))) + (Q179)*(IF((YEAR(D179)+11)&lt;YEAR(E179),0,IF((YEAR(D179)+11)&gt;YEAR(E179),1,(12-MONTH(E179)+1)/12))))-((P179)*(IF((YEAR(D179)+11)&lt;YEAR(E179),0,IF((YEAR(D179)+11)&gt;YEAR(E179),1,(12-MONTH(E179)+1)/12))) + (R179)*(IF((YEAR(D179)+11)&lt;YEAR(E179),0,IF((YEAR(D179)+11)&gt;YEAR(E179),1,(12-MONTH(E179)+1)/12))))-(IF((((K179)*(IF(M179="",L179,IFERROR(IF(INDEX(Variablen!$I:$AT, MATCH(M179, Variablen!$A:$A, 0), MATCH((YEAR(D179)+11), Variablen!$I$3:$AT$3, 0))="",L179,INDEX(Variablen!$I:$AT, MATCH(M179, Variablen!$A:$A, 0), MATCH((YEAR(D179)+11), Variablen!$I$3:$AT$3, 0))),L179)))*(IF((YEAR(D179)+11)&lt;YEAR(E179),0,IF((YEAR(D179)+11)&gt;YEAR(E179),1,(12-MONTH(E179)+1)/12))) + (Q179)*(IF((YEAR(D179)+11)&lt;YEAR(E179),0,IF((YEAR(D179)+11)&gt;YEAR(E179),1,(12-MONTH(E179)+1)/12))))-((P179)*(IF((YEAR(D179)+11)&lt;YEAR(E179),0,IF((YEAR(D179)+11)&gt;YEAR(E179),1,(12-MONTH(E179)+1)/12))) + (R179)*(IF((YEAR(D179)+11)&lt;YEAR(E179),0,IF((YEAR(D179)+11)&gt;YEAR(E179),1,(12-MONTH(E179)+1)/12))))-(IF(OR(N179="",N179&lt;=0),0,(O179/N179)*(IF(OR(N179="",N179&lt;=0),0,IF((YEAR(D179)+11)&lt;YEAR(E179),0,IF((YEAR(D179)+11)&gt;=YEAR(E179)+N179,0,IF((YEAR(D179)+11)=YEAR(E179),(12-MONTH(E179)+1)/12,1))))))))&gt;0,(((K179)*(IF(M179="",L179,IFERROR(IF(INDEX(Variablen!$I:$AT, MATCH(M179, Variablen!$A:$A, 0), MATCH((YEAR(D179)+11), Variablen!$I$3:$AT$3, 0))="",L179,INDEX(Variablen!$I:$AT, MATCH(M179, Variablen!$A:$A, 0), MATCH((YEAR(D179)+11), Variablen!$I$3:$AT$3, 0))),L179)))*(IF((YEAR(D179)+11)&lt;YEAR(E179),0,IF((YEAR(D179)+11)&gt;YEAR(E179),1,(12-MONTH(E179)+1)/12))) + (Q179)*(IF((YEAR(D179)+11)&lt;YEAR(E179),0,IF((YEAR(D179)+11)&gt;YEAR(E179),1,(12-MONTH(E179)+1)/12))))-((P179)*(IF((YEAR(D179)+11)&lt;YEAR(E179),0,IF((YEAR(D179)+11)&gt;YEAR(E179),1,(12-MONTH(E179)+1)/12))) + (R179)*(IF((YEAR(D179)+11)&lt;YEAR(E179),0,IF((YEAR(D179)+11)&gt;YEAR(E179),1,(12-MONTH(E179)+1)/12))))-(IF(OR(N179="",N179&lt;=0),0,(O179/N179)*(IF(OR(N179="",N179&lt;=0),0,IF((YEAR(D179)+11)&lt;YEAR(E179),0,IF((YEAR(D179)+11)&gt;=YEAR(E179)+N179,0,IF((YEAR(D179)+11)=YEAR(E179),(12-MONTH(E179)+1)/12,1))))))))*TaxRate,0))-IF(11=0,O179,0))</f>
        <v/>
      </c>
      <c r="AE179" s="29">
        <f>IF(A179="","",((K179)*(IF(M179="",L179,IFERROR(IF(INDEX(Variablen!$I:$AT, MATCH(M179, Variablen!$A:$A, 0), MATCH((YEAR(D179)+12), Variablen!$I$3:$AT$3, 0))="",L179,INDEX(Variablen!$I:$AT, MATCH(M179, Variablen!$A:$A, 0), MATCH((YEAR(D179)+12), Variablen!$I$3:$AT$3, 0))),L179)))*(IF((YEAR(D179)+12)&lt;YEAR(E179),0,IF((YEAR(D179)+12)&gt;YEAR(E179),1,(12-MONTH(E179)+1)/12))) + (Q179)*(IF((YEAR(D179)+12)&lt;YEAR(E179),0,IF((YEAR(D179)+12)&gt;YEAR(E179),1,(12-MONTH(E179)+1)/12))))-((P179)*(IF((YEAR(D179)+12)&lt;YEAR(E179),0,IF((YEAR(D179)+12)&gt;YEAR(E179),1,(12-MONTH(E179)+1)/12))) + (R179)*(IF((YEAR(D179)+12)&lt;YEAR(E179),0,IF((YEAR(D179)+12)&gt;YEAR(E179),1,(12-MONTH(E179)+1)/12))))-(IF((((K179)*(IF(M179="",L179,IFERROR(IF(INDEX(Variablen!$I:$AT, MATCH(M179, Variablen!$A:$A, 0), MATCH((YEAR(D179)+12), Variablen!$I$3:$AT$3, 0))="",L179,INDEX(Variablen!$I:$AT, MATCH(M179, Variablen!$A:$A, 0), MATCH((YEAR(D179)+12), Variablen!$I$3:$AT$3, 0))),L179)))*(IF((YEAR(D179)+12)&lt;YEAR(E179),0,IF((YEAR(D179)+12)&gt;YEAR(E179),1,(12-MONTH(E179)+1)/12))) + (Q179)*(IF((YEAR(D179)+12)&lt;YEAR(E179),0,IF((YEAR(D179)+12)&gt;YEAR(E179),1,(12-MONTH(E179)+1)/12))))-((P179)*(IF((YEAR(D179)+12)&lt;YEAR(E179),0,IF((YEAR(D179)+12)&gt;YEAR(E179),1,(12-MONTH(E179)+1)/12))) + (R179)*(IF((YEAR(D179)+12)&lt;YEAR(E179),0,IF((YEAR(D179)+12)&gt;YEAR(E179),1,(12-MONTH(E179)+1)/12))))-(IF(OR(N179="",N179&lt;=0),0,(O179/N179)*(IF(OR(N179="",N179&lt;=0),0,IF((YEAR(D179)+12)&lt;YEAR(E179),0,IF((YEAR(D179)+12)&gt;=YEAR(E179)+N179,0,IF((YEAR(D179)+12)=YEAR(E179),(12-MONTH(E179)+1)/12,1))))))))&gt;0,(((K179)*(IF(M179="",L179,IFERROR(IF(INDEX(Variablen!$I:$AT, MATCH(M179, Variablen!$A:$A, 0), MATCH((YEAR(D179)+12), Variablen!$I$3:$AT$3, 0))="",L179,INDEX(Variablen!$I:$AT, MATCH(M179, Variablen!$A:$A, 0), MATCH((YEAR(D179)+12), Variablen!$I$3:$AT$3, 0))),L179)))*(IF((YEAR(D179)+12)&lt;YEAR(E179),0,IF((YEAR(D179)+12)&gt;YEAR(E179),1,(12-MONTH(E179)+1)/12))) + (Q179)*(IF((YEAR(D179)+12)&lt;YEAR(E179),0,IF((YEAR(D179)+12)&gt;YEAR(E179),1,(12-MONTH(E179)+1)/12))))-((P179)*(IF((YEAR(D179)+12)&lt;YEAR(E179),0,IF((YEAR(D179)+12)&gt;YEAR(E179),1,(12-MONTH(E179)+1)/12))) + (R179)*(IF((YEAR(D179)+12)&lt;YEAR(E179),0,IF((YEAR(D179)+12)&gt;YEAR(E179),1,(12-MONTH(E179)+1)/12))))-(IF(OR(N179="",N179&lt;=0),0,(O179/N179)*(IF(OR(N179="",N179&lt;=0),0,IF((YEAR(D179)+12)&lt;YEAR(E179),0,IF((YEAR(D179)+12)&gt;=YEAR(E179)+N179,0,IF((YEAR(D179)+12)=YEAR(E179),(12-MONTH(E179)+1)/12,1))))))))*TaxRate,0))-IF(12=0,O179,0))</f>
        <v/>
      </c>
      <c r="AF179" s="29">
        <f>IF(A179="","",((K179)*(IF(M179="",L179,IFERROR(IF(INDEX(Variablen!$I:$AT, MATCH(M179, Variablen!$A:$A, 0), MATCH((YEAR(D179)+13), Variablen!$I$3:$AT$3, 0))="",L179,INDEX(Variablen!$I:$AT, MATCH(M179, Variablen!$A:$A, 0), MATCH((YEAR(D179)+13), Variablen!$I$3:$AT$3, 0))),L179)))*(IF((YEAR(D179)+13)&lt;YEAR(E179),0,IF((YEAR(D179)+13)&gt;YEAR(E179),1,(12-MONTH(E179)+1)/12))) + (Q179)*(IF((YEAR(D179)+13)&lt;YEAR(E179),0,IF((YEAR(D179)+13)&gt;YEAR(E179),1,(12-MONTH(E179)+1)/12))))-((P179)*(IF((YEAR(D179)+13)&lt;YEAR(E179),0,IF((YEAR(D179)+13)&gt;YEAR(E179),1,(12-MONTH(E179)+1)/12))) + (R179)*(IF((YEAR(D179)+13)&lt;YEAR(E179),0,IF((YEAR(D179)+13)&gt;YEAR(E179),1,(12-MONTH(E179)+1)/12))))-(IF((((K179)*(IF(M179="",L179,IFERROR(IF(INDEX(Variablen!$I:$AT, MATCH(M179, Variablen!$A:$A, 0), MATCH((YEAR(D179)+13), Variablen!$I$3:$AT$3, 0))="",L179,INDEX(Variablen!$I:$AT, MATCH(M179, Variablen!$A:$A, 0), MATCH((YEAR(D179)+13), Variablen!$I$3:$AT$3, 0))),L179)))*(IF((YEAR(D179)+13)&lt;YEAR(E179),0,IF((YEAR(D179)+13)&gt;YEAR(E179),1,(12-MONTH(E179)+1)/12))) + (Q179)*(IF((YEAR(D179)+13)&lt;YEAR(E179),0,IF((YEAR(D179)+13)&gt;YEAR(E179),1,(12-MONTH(E179)+1)/12))))-((P179)*(IF((YEAR(D179)+13)&lt;YEAR(E179),0,IF((YEAR(D179)+13)&gt;YEAR(E179),1,(12-MONTH(E179)+1)/12))) + (R179)*(IF((YEAR(D179)+13)&lt;YEAR(E179),0,IF((YEAR(D179)+13)&gt;YEAR(E179),1,(12-MONTH(E179)+1)/12))))-(IF(OR(N179="",N179&lt;=0),0,(O179/N179)*(IF(OR(N179="",N179&lt;=0),0,IF((YEAR(D179)+13)&lt;YEAR(E179),0,IF((YEAR(D179)+13)&gt;=YEAR(E179)+N179,0,IF((YEAR(D179)+13)=YEAR(E179),(12-MONTH(E179)+1)/12,1))))))))&gt;0,(((K179)*(IF(M179="",L179,IFERROR(IF(INDEX(Variablen!$I:$AT, MATCH(M179, Variablen!$A:$A, 0), MATCH((YEAR(D179)+13), Variablen!$I$3:$AT$3, 0))="",L179,INDEX(Variablen!$I:$AT, MATCH(M179, Variablen!$A:$A, 0), MATCH((YEAR(D179)+13), Variablen!$I$3:$AT$3, 0))),L179)))*(IF((YEAR(D179)+13)&lt;YEAR(E179),0,IF((YEAR(D179)+13)&gt;YEAR(E179),1,(12-MONTH(E179)+1)/12))) + (Q179)*(IF((YEAR(D179)+13)&lt;YEAR(E179),0,IF((YEAR(D179)+13)&gt;YEAR(E179),1,(12-MONTH(E179)+1)/12))))-((P179)*(IF((YEAR(D179)+13)&lt;YEAR(E179),0,IF((YEAR(D179)+13)&gt;YEAR(E179),1,(12-MONTH(E179)+1)/12))) + (R179)*(IF((YEAR(D179)+13)&lt;YEAR(E179),0,IF((YEAR(D179)+13)&gt;YEAR(E179),1,(12-MONTH(E179)+1)/12))))-(IF(OR(N179="",N179&lt;=0),0,(O179/N179)*(IF(OR(N179="",N179&lt;=0),0,IF((YEAR(D179)+13)&lt;YEAR(E179),0,IF((YEAR(D179)+13)&gt;=YEAR(E179)+N179,0,IF((YEAR(D179)+13)=YEAR(E179),(12-MONTH(E179)+1)/12,1))))))))*TaxRate,0))-IF(13=0,O179,0))</f>
        <v/>
      </c>
      <c r="AG179" s="29">
        <f>IF(A179="","",((K179)*(IF(M179="",L179,IFERROR(IF(INDEX(Variablen!$I:$AT, MATCH(M179, Variablen!$A:$A, 0), MATCH((YEAR(D179)+14), Variablen!$I$3:$AT$3, 0))="",L179,INDEX(Variablen!$I:$AT, MATCH(M179, Variablen!$A:$A, 0), MATCH((YEAR(D179)+14), Variablen!$I$3:$AT$3, 0))),L179)))*(IF((YEAR(D179)+14)&lt;YEAR(E179),0,IF((YEAR(D179)+14)&gt;YEAR(E179),1,(12-MONTH(E179)+1)/12))) + (Q179)*(IF((YEAR(D179)+14)&lt;YEAR(E179),0,IF((YEAR(D179)+14)&gt;YEAR(E179),1,(12-MONTH(E179)+1)/12))))-((P179)*(IF((YEAR(D179)+14)&lt;YEAR(E179),0,IF((YEAR(D179)+14)&gt;YEAR(E179),1,(12-MONTH(E179)+1)/12))) + (R179)*(IF((YEAR(D179)+14)&lt;YEAR(E179),0,IF((YEAR(D179)+14)&gt;YEAR(E179),1,(12-MONTH(E179)+1)/12))))-(IF((((K179)*(IF(M179="",L179,IFERROR(IF(INDEX(Variablen!$I:$AT, MATCH(M179, Variablen!$A:$A, 0), MATCH((YEAR(D179)+14), Variablen!$I$3:$AT$3, 0))="",L179,INDEX(Variablen!$I:$AT, MATCH(M179, Variablen!$A:$A, 0), MATCH((YEAR(D179)+14), Variablen!$I$3:$AT$3, 0))),L179)))*(IF((YEAR(D179)+14)&lt;YEAR(E179),0,IF((YEAR(D179)+14)&gt;YEAR(E179),1,(12-MONTH(E179)+1)/12))) + (Q179)*(IF((YEAR(D179)+14)&lt;YEAR(E179),0,IF((YEAR(D179)+14)&gt;YEAR(E179),1,(12-MONTH(E179)+1)/12))))-((P179)*(IF((YEAR(D179)+14)&lt;YEAR(E179),0,IF((YEAR(D179)+14)&gt;YEAR(E179),1,(12-MONTH(E179)+1)/12))) + (R179)*(IF((YEAR(D179)+14)&lt;YEAR(E179),0,IF((YEAR(D179)+14)&gt;YEAR(E179),1,(12-MONTH(E179)+1)/12))))-(IF(OR(N179="",N179&lt;=0),0,(O179/N179)*(IF(OR(N179="",N179&lt;=0),0,IF((YEAR(D179)+14)&lt;YEAR(E179),0,IF((YEAR(D179)+14)&gt;=YEAR(E179)+N179,0,IF((YEAR(D179)+14)=YEAR(E179),(12-MONTH(E179)+1)/12,1))))))))&gt;0,(((K179)*(IF(M179="",L179,IFERROR(IF(INDEX(Variablen!$I:$AT, MATCH(M179, Variablen!$A:$A, 0), MATCH((YEAR(D179)+14), Variablen!$I$3:$AT$3, 0))="",L179,INDEX(Variablen!$I:$AT, MATCH(M179, Variablen!$A:$A, 0), MATCH((YEAR(D179)+14), Variablen!$I$3:$AT$3, 0))),L179)))*(IF((YEAR(D179)+14)&lt;YEAR(E179),0,IF((YEAR(D179)+14)&gt;YEAR(E179),1,(12-MONTH(E179)+1)/12))) + (Q179)*(IF((YEAR(D179)+14)&lt;YEAR(E179),0,IF((YEAR(D179)+14)&gt;YEAR(E179),1,(12-MONTH(E179)+1)/12))))-((P179)*(IF((YEAR(D179)+14)&lt;YEAR(E179),0,IF((YEAR(D179)+14)&gt;YEAR(E179),1,(12-MONTH(E179)+1)/12))) + (R179)*(IF((YEAR(D179)+14)&lt;YEAR(E179),0,IF((YEAR(D179)+14)&gt;YEAR(E179),1,(12-MONTH(E179)+1)/12))))-(IF(OR(N179="",N179&lt;=0),0,(O179/N179)*(IF(OR(N179="",N179&lt;=0),0,IF((YEAR(D179)+14)&lt;YEAR(E179),0,IF((YEAR(D179)+14)&gt;=YEAR(E179)+N179,0,IF((YEAR(D179)+14)=YEAR(E179),(12-MONTH(E179)+1)/12,1))))))))*TaxRate,0))-IF(14=0,O179,0))</f>
        <v/>
      </c>
      <c r="AH179" s="29">
        <f>IF(A179="","",((K179)*(IF(M179="",L179,IFERROR(IF(INDEX(Variablen!$I:$AT, MATCH(M179, Variablen!$A:$A, 0), MATCH((YEAR(D179)+15), Variablen!$I$3:$AT$3, 0))="",L179,INDEX(Variablen!$I:$AT, MATCH(M179, Variablen!$A:$A, 0), MATCH((YEAR(D179)+15), Variablen!$I$3:$AT$3, 0))),L179)))*(IF((YEAR(D179)+15)&lt;YEAR(E179),0,IF((YEAR(D179)+15)&gt;YEAR(E179),1,(12-MONTH(E179)+1)/12))) + (Q179)*(IF((YEAR(D179)+15)&lt;YEAR(E179),0,IF((YEAR(D179)+15)&gt;YEAR(E179),1,(12-MONTH(E179)+1)/12))))-((P179)*(IF((YEAR(D179)+15)&lt;YEAR(E179),0,IF((YEAR(D179)+15)&gt;YEAR(E179),1,(12-MONTH(E179)+1)/12))) + (R179)*(IF((YEAR(D179)+15)&lt;YEAR(E179),0,IF((YEAR(D179)+15)&gt;YEAR(E179),1,(12-MONTH(E179)+1)/12))))-(IF((((K179)*(IF(M179="",L179,IFERROR(IF(INDEX(Variablen!$I:$AT, MATCH(M179, Variablen!$A:$A, 0), MATCH((YEAR(D179)+15), Variablen!$I$3:$AT$3, 0))="",L179,INDEX(Variablen!$I:$AT, MATCH(M179, Variablen!$A:$A, 0), MATCH((YEAR(D179)+15), Variablen!$I$3:$AT$3, 0))),L179)))*(IF((YEAR(D179)+15)&lt;YEAR(E179),0,IF((YEAR(D179)+15)&gt;YEAR(E179),1,(12-MONTH(E179)+1)/12))) + (Q179)*(IF((YEAR(D179)+15)&lt;YEAR(E179),0,IF((YEAR(D179)+15)&gt;YEAR(E179),1,(12-MONTH(E179)+1)/12))))-((P179)*(IF((YEAR(D179)+15)&lt;YEAR(E179),0,IF((YEAR(D179)+15)&gt;YEAR(E179),1,(12-MONTH(E179)+1)/12))) + (R179)*(IF((YEAR(D179)+15)&lt;YEAR(E179),0,IF((YEAR(D179)+15)&gt;YEAR(E179),1,(12-MONTH(E179)+1)/12))))-(IF(OR(N179="",N179&lt;=0),0,(O179/N179)*(IF(OR(N179="",N179&lt;=0),0,IF((YEAR(D179)+15)&lt;YEAR(E179),0,IF((YEAR(D179)+15)&gt;=YEAR(E179)+N179,0,IF((YEAR(D179)+15)=YEAR(E179),(12-MONTH(E179)+1)/12,1))))))))&gt;0,(((K179)*(IF(M179="",L179,IFERROR(IF(INDEX(Variablen!$I:$AT, MATCH(M179, Variablen!$A:$A, 0), MATCH((YEAR(D179)+15), Variablen!$I$3:$AT$3, 0))="",L179,INDEX(Variablen!$I:$AT, MATCH(M179, Variablen!$A:$A, 0), MATCH((YEAR(D179)+15), Variablen!$I$3:$AT$3, 0))),L179)))*(IF((YEAR(D179)+15)&lt;YEAR(E179),0,IF((YEAR(D179)+15)&gt;YEAR(E179),1,(12-MONTH(E179)+1)/12))) + (Q179)*(IF((YEAR(D179)+15)&lt;YEAR(E179),0,IF((YEAR(D179)+15)&gt;YEAR(E179),1,(12-MONTH(E179)+1)/12))))-((P179)*(IF((YEAR(D179)+15)&lt;YEAR(E179),0,IF((YEAR(D179)+15)&gt;YEAR(E179),1,(12-MONTH(E179)+1)/12))) + (R179)*(IF((YEAR(D179)+15)&lt;YEAR(E179),0,IF((YEAR(D179)+15)&gt;YEAR(E179),1,(12-MONTH(E179)+1)/12))))-(IF(OR(N179="",N179&lt;=0),0,(O179/N179)*(IF(OR(N179="",N179&lt;=0),0,IF((YEAR(D179)+15)&lt;YEAR(E179),0,IF((YEAR(D179)+15)&gt;=YEAR(E179)+N179,0,IF((YEAR(D179)+15)=YEAR(E179),(12-MONTH(E179)+1)/12,1))))))))*TaxRate,0))-IF(15=0,O179,0))</f>
        <v/>
      </c>
      <c r="AI179" s="29">
        <f>IF(A179="","",((K179)*(IF(M179="",L179,IFERROR(IF(INDEX(Variablen!$I:$AT, MATCH(M179, Variablen!$A:$A, 0), MATCH((YEAR(D179)+16), Variablen!$I$3:$AT$3, 0))="",L179,INDEX(Variablen!$I:$AT, MATCH(M179, Variablen!$A:$A, 0), MATCH((YEAR(D179)+16), Variablen!$I$3:$AT$3, 0))),L179)))*(IF((YEAR(D179)+16)&lt;YEAR(E179),0,IF((YEAR(D179)+16)&gt;YEAR(E179),1,(12-MONTH(E179)+1)/12))) + (Q179)*(IF((YEAR(D179)+16)&lt;YEAR(E179),0,IF((YEAR(D179)+16)&gt;YEAR(E179),1,(12-MONTH(E179)+1)/12))))-((P179)*(IF((YEAR(D179)+16)&lt;YEAR(E179),0,IF((YEAR(D179)+16)&gt;YEAR(E179),1,(12-MONTH(E179)+1)/12))) + (R179)*(IF((YEAR(D179)+16)&lt;YEAR(E179),0,IF((YEAR(D179)+16)&gt;YEAR(E179),1,(12-MONTH(E179)+1)/12))))-(IF((((K179)*(IF(M179="",L179,IFERROR(IF(INDEX(Variablen!$I:$AT, MATCH(M179, Variablen!$A:$A, 0), MATCH((YEAR(D179)+16), Variablen!$I$3:$AT$3, 0))="",L179,INDEX(Variablen!$I:$AT, MATCH(M179, Variablen!$A:$A, 0), MATCH((YEAR(D179)+16), Variablen!$I$3:$AT$3, 0))),L179)))*(IF((YEAR(D179)+16)&lt;YEAR(E179),0,IF((YEAR(D179)+16)&gt;YEAR(E179),1,(12-MONTH(E179)+1)/12))) + (Q179)*(IF((YEAR(D179)+16)&lt;YEAR(E179),0,IF((YEAR(D179)+16)&gt;YEAR(E179),1,(12-MONTH(E179)+1)/12))))-((P179)*(IF((YEAR(D179)+16)&lt;YEAR(E179),0,IF((YEAR(D179)+16)&gt;YEAR(E179),1,(12-MONTH(E179)+1)/12))) + (R179)*(IF((YEAR(D179)+16)&lt;YEAR(E179),0,IF((YEAR(D179)+16)&gt;YEAR(E179),1,(12-MONTH(E179)+1)/12))))-(IF(OR(N179="",N179&lt;=0),0,(O179/N179)*(IF(OR(N179="",N179&lt;=0),0,IF((YEAR(D179)+16)&lt;YEAR(E179),0,IF((YEAR(D179)+16)&gt;=YEAR(E179)+N179,0,IF((YEAR(D179)+16)=YEAR(E179),(12-MONTH(E179)+1)/12,1))))))))&gt;0,(((K179)*(IF(M179="",L179,IFERROR(IF(INDEX(Variablen!$I:$AT, MATCH(M179, Variablen!$A:$A, 0), MATCH((YEAR(D179)+16), Variablen!$I$3:$AT$3, 0))="",L179,INDEX(Variablen!$I:$AT, MATCH(M179, Variablen!$A:$A, 0), MATCH((YEAR(D179)+16), Variablen!$I$3:$AT$3, 0))),L179)))*(IF((YEAR(D179)+16)&lt;YEAR(E179),0,IF((YEAR(D179)+16)&gt;YEAR(E179),1,(12-MONTH(E179)+1)/12))) + (Q179)*(IF((YEAR(D179)+16)&lt;YEAR(E179),0,IF((YEAR(D179)+16)&gt;YEAR(E179),1,(12-MONTH(E179)+1)/12))))-((P179)*(IF((YEAR(D179)+16)&lt;YEAR(E179),0,IF((YEAR(D179)+16)&gt;YEAR(E179),1,(12-MONTH(E179)+1)/12))) + (R179)*(IF((YEAR(D179)+16)&lt;YEAR(E179),0,IF((YEAR(D179)+16)&gt;YEAR(E179),1,(12-MONTH(E179)+1)/12))))-(IF(OR(N179="",N179&lt;=0),0,(O179/N179)*(IF(OR(N179="",N179&lt;=0),0,IF((YEAR(D179)+16)&lt;YEAR(E179),0,IF((YEAR(D179)+16)&gt;=YEAR(E179)+N179,0,IF((YEAR(D179)+16)=YEAR(E179),(12-MONTH(E179)+1)/12,1))))))))*TaxRate,0))-IF(16=0,O179,0))</f>
        <v/>
      </c>
      <c r="AJ179" s="29">
        <f>IF(A179="","",((K179)*(IF(M179="",L179,IFERROR(IF(INDEX(Variablen!$I:$AT, MATCH(M179, Variablen!$A:$A, 0), MATCH((YEAR(D179)+17), Variablen!$I$3:$AT$3, 0))="",L179,INDEX(Variablen!$I:$AT, MATCH(M179, Variablen!$A:$A, 0), MATCH((YEAR(D179)+17), Variablen!$I$3:$AT$3, 0))),L179)))*(IF((YEAR(D179)+17)&lt;YEAR(E179),0,IF((YEAR(D179)+17)&gt;YEAR(E179),1,(12-MONTH(E179)+1)/12))) + (Q179)*(IF((YEAR(D179)+17)&lt;YEAR(E179),0,IF((YEAR(D179)+17)&gt;YEAR(E179),1,(12-MONTH(E179)+1)/12))))-((P179)*(IF((YEAR(D179)+17)&lt;YEAR(E179),0,IF((YEAR(D179)+17)&gt;YEAR(E179),1,(12-MONTH(E179)+1)/12))) + (R179)*(IF((YEAR(D179)+17)&lt;YEAR(E179),0,IF((YEAR(D179)+17)&gt;YEAR(E179),1,(12-MONTH(E179)+1)/12))))-(IF((((K179)*(IF(M179="",L179,IFERROR(IF(INDEX(Variablen!$I:$AT, MATCH(M179, Variablen!$A:$A, 0), MATCH((YEAR(D179)+17), Variablen!$I$3:$AT$3, 0))="",L179,INDEX(Variablen!$I:$AT, MATCH(M179, Variablen!$A:$A, 0), MATCH((YEAR(D179)+17), Variablen!$I$3:$AT$3, 0))),L179)))*(IF((YEAR(D179)+17)&lt;YEAR(E179),0,IF((YEAR(D179)+17)&gt;YEAR(E179),1,(12-MONTH(E179)+1)/12))) + (Q179)*(IF((YEAR(D179)+17)&lt;YEAR(E179),0,IF((YEAR(D179)+17)&gt;YEAR(E179),1,(12-MONTH(E179)+1)/12))))-((P179)*(IF((YEAR(D179)+17)&lt;YEAR(E179),0,IF((YEAR(D179)+17)&gt;YEAR(E179),1,(12-MONTH(E179)+1)/12))) + (R179)*(IF((YEAR(D179)+17)&lt;YEAR(E179),0,IF((YEAR(D179)+17)&gt;YEAR(E179),1,(12-MONTH(E179)+1)/12))))-(IF(OR(N179="",N179&lt;=0),0,(O179/N179)*(IF(OR(N179="",N179&lt;=0),0,IF((YEAR(D179)+17)&lt;YEAR(E179),0,IF((YEAR(D179)+17)&gt;=YEAR(E179)+N179,0,IF((YEAR(D179)+17)=YEAR(E179),(12-MONTH(E179)+1)/12,1))))))))&gt;0,(((K179)*(IF(M179="",L179,IFERROR(IF(INDEX(Variablen!$I:$AT, MATCH(M179, Variablen!$A:$A, 0), MATCH((YEAR(D179)+17), Variablen!$I$3:$AT$3, 0))="",L179,INDEX(Variablen!$I:$AT, MATCH(M179, Variablen!$A:$A, 0), MATCH((YEAR(D179)+17), Variablen!$I$3:$AT$3, 0))),L179)))*(IF((YEAR(D179)+17)&lt;YEAR(E179),0,IF((YEAR(D179)+17)&gt;YEAR(E179),1,(12-MONTH(E179)+1)/12))) + (Q179)*(IF((YEAR(D179)+17)&lt;YEAR(E179),0,IF((YEAR(D179)+17)&gt;YEAR(E179),1,(12-MONTH(E179)+1)/12))))-((P179)*(IF((YEAR(D179)+17)&lt;YEAR(E179),0,IF((YEAR(D179)+17)&gt;YEAR(E179),1,(12-MONTH(E179)+1)/12))) + (R179)*(IF((YEAR(D179)+17)&lt;YEAR(E179),0,IF((YEAR(D179)+17)&gt;YEAR(E179),1,(12-MONTH(E179)+1)/12))))-(IF(OR(N179="",N179&lt;=0),0,(O179/N179)*(IF(OR(N179="",N179&lt;=0),0,IF((YEAR(D179)+17)&lt;YEAR(E179),0,IF((YEAR(D179)+17)&gt;=YEAR(E179)+N179,0,IF((YEAR(D179)+17)=YEAR(E179),(12-MONTH(E179)+1)/12,1))))))))*TaxRate,0))-IF(17=0,O179,0))</f>
        <v/>
      </c>
      <c r="AK179" s="29">
        <f>IF(A179="","",((K179)*(IF(M179="",L179,IFERROR(IF(INDEX(Variablen!$I:$AT, MATCH(M179, Variablen!$A:$A, 0), MATCH((YEAR(D179)+18), Variablen!$I$3:$AT$3, 0))="",L179,INDEX(Variablen!$I:$AT, MATCH(M179, Variablen!$A:$A, 0), MATCH((YEAR(D179)+18), Variablen!$I$3:$AT$3, 0))),L179)))*(IF((YEAR(D179)+18)&lt;YEAR(E179),0,IF((YEAR(D179)+18)&gt;YEAR(E179),1,(12-MONTH(E179)+1)/12))) + (Q179)*(IF((YEAR(D179)+18)&lt;YEAR(E179),0,IF((YEAR(D179)+18)&gt;YEAR(E179),1,(12-MONTH(E179)+1)/12))))-((P179)*(IF((YEAR(D179)+18)&lt;YEAR(E179),0,IF((YEAR(D179)+18)&gt;YEAR(E179),1,(12-MONTH(E179)+1)/12))) + (R179)*(IF((YEAR(D179)+18)&lt;YEAR(E179),0,IF((YEAR(D179)+18)&gt;YEAR(E179),1,(12-MONTH(E179)+1)/12))))-(IF((((K179)*(IF(M179="",L179,IFERROR(IF(INDEX(Variablen!$I:$AT, MATCH(M179, Variablen!$A:$A, 0), MATCH((YEAR(D179)+18), Variablen!$I$3:$AT$3, 0))="",L179,INDEX(Variablen!$I:$AT, MATCH(M179, Variablen!$A:$A, 0), MATCH((YEAR(D179)+18), Variablen!$I$3:$AT$3, 0))),L179)))*(IF((YEAR(D179)+18)&lt;YEAR(E179),0,IF((YEAR(D179)+18)&gt;YEAR(E179),1,(12-MONTH(E179)+1)/12))) + (Q179)*(IF((YEAR(D179)+18)&lt;YEAR(E179),0,IF((YEAR(D179)+18)&gt;YEAR(E179),1,(12-MONTH(E179)+1)/12))))-((P179)*(IF((YEAR(D179)+18)&lt;YEAR(E179),0,IF((YEAR(D179)+18)&gt;YEAR(E179),1,(12-MONTH(E179)+1)/12))) + (R179)*(IF((YEAR(D179)+18)&lt;YEAR(E179),0,IF((YEAR(D179)+18)&gt;YEAR(E179),1,(12-MONTH(E179)+1)/12))))-(IF(OR(N179="",N179&lt;=0),0,(O179/N179)*(IF(OR(N179="",N179&lt;=0),0,IF((YEAR(D179)+18)&lt;YEAR(E179),0,IF((YEAR(D179)+18)&gt;=YEAR(E179)+N179,0,IF((YEAR(D179)+18)=YEAR(E179),(12-MONTH(E179)+1)/12,1))))))))&gt;0,(((K179)*(IF(M179="",L179,IFERROR(IF(INDEX(Variablen!$I:$AT, MATCH(M179, Variablen!$A:$A, 0), MATCH((YEAR(D179)+18), Variablen!$I$3:$AT$3, 0))="",L179,INDEX(Variablen!$I:$AT, MATCH(M179, Variablen!$A:$A, 0), MATCH((YEAR(D179)+18), Variablen!$I$3:$AT$3, 0))),L179)))*(IF((YEAR(D179)+18)&lt;YEAR(E179),0,IF((YEAR(D179)+18)&gt;YEAR(E179),1,(12-MONTH(E179)+1)/12))) + (Q179)*(IF((YEAR(D179)+18)&lt;YEAR(E179),0,IF((YEAR(D179)+18)&gt;YEAR(E179),1,(12-MONTH(E179)+1)/12))))-((P179)*(IF((YEAR(D179)+18)&lt;YEAR(E179),0,IF((YEAR(D179)+18)&gt;YEAR(E179),1,(12-MONTH(E179)+1)/12))) + (R179)*(IF((YEAR(D179)+18)&lt;YEAR(E179),0,IF((YEAR(D179)+18)&gt;YEAR(E179),1,(12-MONTH(E179)+1)/12))))-(IF(OR(N179="",N179&lt;=0),0,(O179/N179)*(IF(OR(N179="",N179&lt;=0),0,IF((YEAR(D179)+18)&lt;YEAR(E179),0,IF((YEAR(D179)+18)&gt;=YEAR(E179)+N179,0,IF((YEAR(D179)+18)=YEAR(E179),(12-MONTH(E179)+1)/12,1))))))))*TaxRate,0))-IF(18=0,O179,0))</f>
        <v/>
      </c>
      <c r="AL179" s="29">
        <f>IF(A179="","",((K179)*(IF(M179="",L179,IFERROR(IF(INDEX(Variablen!$I:$AT, MATCH(M179, Variablen!$A:$A, 0), MATCH((YEAR(D179)+19), Variablen!$I$3:$AT$3, 0))="",L179,INDEX(Variablen!$I:$AT, MATCH(M179, Variablen!$A:$A, 0), MATCH((YEAR(D179)+19), Variablen!$I$3:$AT$3, 0))),L179)))*(IF((YEAR(D179)+19)&lt;YEAR(E179),0,IF((YEAR(D179)+19)&gt;YEAR(E179),1,(12-MONTH(E179)+1)/12))) + (Q179)*(IF((YEAR(D179)+19)&lt;YEAR(E179),0,IF((YEAR(D179)+19)&gt;YEAR(E179),1,(12-MONTH(E179)+1)/12))))-((P179)*(IF((YEAR(D179)+19)&lt;YEAR(E179),0,IF((YEAR(D179)+19)&gt;YEAR(E179),1,(12-MONTH(E179)+1)/12))) + (R179)*(IF((YEAR(D179)+19)&lt;YEAR(E179),0,IF((YEAR(D179)+19)&gt;YEAR(E179),1,(12-MONTH(E179)+1)/12))))-(IF((((K179)*(IF(M179="",L179,IFERROR(IF(INDEX(Variablen!$I:$AT, MATCH(M179, Variablen!$A:$A, 0), MATCH((YEAR(D179)+19), Variablen!$I$3:$AT$3, 0))="",L179,INDEX(Variablen!$I:$AT, MATCH(M179, Variablen!$A:$A, 0), MATCH((YEAR(D179)+19), Variablen!$I$3:$AT$3, 0))),L179)))*(IF((YEAR(D179)+19)&lt;YEAR(E179),0,IF((YEAR(D179)+19)&gt;YEAR(E179),1,(12-MONTH(E179)+1)/12))) + (Q179)*(IF((YEAR(D179)+19)&lt;YEAR(E179),0,IF((YEAR(D179)+19)&gt;YEAR(E179),1,(12-MONTH(E179)+1)/12))))-((P179)*(IF((YEAR(D179)+19)&lt;YEAR(E179),0,IF((YEAR(D179)+19)&gt;YEAR(E179),1,(12-MONTH(E179)+1)/12))) + (R179)*(IF((YEAR(D179)+19)&lt;YEAR(E179),0,IF((YEAR(D179)+19)&gt;YEAR(E179),1,(12-MONTH(E179)+1)/12))))-(IF(OR(N179="",N179&lt;=0),0,(O179/N179)*(IF(OR(N179="",N179&lt;=0),0,IF((YEAR(D179)+19)&lt;YEAR(E179),0,IF((YEAR(D179)+19)&gt;=YEAR(E179)+N179,0,IF((YEAR(D179)+19)=YEAR(E179),(12-MONTH(E179)+1)/12,1))))))))&gt;0,(((K179)*(IF(M179="",L179,IFERROR(IF(INDEX(Variablen!$I:$AT, MATCH(M179, Variablen!$A:$A, 0), MATCH((YEAR(D179)+19), Variablen!$I$3:$AT$3, 0))="",L179,INDEX(Variablen!$I:$AT, MATCH(M179, Variablen!$A:$A, 0), MATCH((YEAR(D179)+19), Variablen!$I$3:$AT$3, 0))),L179)))*(IF((YEAR(D179)+19)&lt;YEAR(E179),0,IF((YEAR(D179)+19)&gt;YEAR(E179),1,(12-MONTH(E179)+1)/12))) + (Q179)*(IF((YEAR(D179)+19)&lt;YEAR(E179),0,IF((YEAR(D179)+19)&gt;YEAR(E179),1,(12-MONTH(E179)+1)/12))))-((P179)*(IF((YEAR(D179)+19)&lt;YEAR(E179),0,IF((YEAR(D179)+19)&gt;YEAR(E179),1,(12-MONTH(E179)+1)/12))) + (R179)*(IF((YEAR(D179)+19)&lt;YEAR(E179),0,IF((YEAR(D179)+19)&gt;YEAR(E179),1,(12-MONTH(E179)+1)/12))))-(IF(OR(N179="",N179&lt;=0),0,(O179/N179)*(IF(OR(N179="",N179&lt;=0),0,IF((YEAR(D179)+19)&lt;YEAR(E179),0,IF((YEAR(D179)+19)&gt;=YEAR(E179)+N179,0,IF((YEAR(D179)+19)=YEAR(E179),(12-MONTH(E179)+1)/12,1))))))))*TaxRate,0))-IF(19=0,O179,0))</f>
        <v/>
      </c>
      <c r="AM179" s="29">
        <f>IF(A179="","",((K179)*(IF(M179="",L179,IFERROR(IF(INDEX(Variablen!$I:$AT, MATCH(M179, Variablen!$A:$A, 0), MATCH((YEAR(D179)+20), Variablen!$I$3:$AT$3, 0))="",L179,INDEX(Variablen!$I:$AT, MATCH(M179, Variablen!$A:$A, 0), MATCH((YEAR(D179)+20), Variablen!$I$3:$AT$3, 0))),L179)))*(IF((YEAR(D179)+20)&lt;YEAR(E179),0,IF((YEAR(D179)+20)&gt;YEAR(E179),1,(12-MONTH(E179)+1)/12))) + (Q179)*(IF((YEAR(D179)+20)&lt;YEAR(E179),0,IF((YEAR(D179)+20)&gt;YEAR(E179),1,(12-MONTH(E179)+1)/12))))-((P179)*(IF((YEAR(D179)+20)&lt;YEAR(E179),0,IF((YEAR(D179)+20)&gt;YEAR(E179),1,(12-MONTH(E179)+1)/12))) + (R179)*(IF((YEAR(D179)+20)&lt;YEAR(E179),0,IF((YEAR(D179)+20)&gt;YEAR(E179),1,(12-MONTH(E179)+1)/12))))-(IF((((K179)*(IF(M179="",L179,IFERROR(IF(INDEX(Variablen!$I:$AT, MATCH(M179, Variablen!$A:$A, 0), MATCH((YEAR(D179)+20), Variablen!$I$3:$AT$3, 0))="",L179,INDEX(Variablen!$I:$AT, MATCH(M179, Variablen!$A:$A, 0), MATCH((YEAR(D179)+20), Variablen!$I$3:$AT$3, 0))),L179)))*(IF((YEAR(D179)+20)&lt;YEAR(E179),0,IF((YEAR(D179)+20)&gt;YEAR(E179),1,(12-MONTH(E179)+1)/12))) + (Q179)*(IF((YEAR(D179)+20)&lt;YEAR(E179),0,IF((YEAR(D179)+20)&gt;YEAR(E179),1,(12-MONTH(E179)+1)/12))))-((P179)*(IF((YEAR(D179)+20)&lt;YEAR(E179),0,IF((YEAR(D179)+20)&gt;YEAR(E179),1,(12-MONTH(E179)+1)/12))) + (R179)*(IF((YEAR(D179)+20)&lt;YEAR(E179),0,IF((YEAR(D179)+20)&gt;YEAR(E179),1,(12-MONTH(E179)+1)/12))))-(IF(OR(N179="",N179&lt;=0),0,(O179/N179)*(IF(OR(N179="",N179&lt;=0),0,IF((YEAR(D179)+20)&lt;YEAR(E179),0,IF((YEAR(D179)+20)&gt;=YEAR(E179)+N179,0,IF((YEAR(D179)+20)=YEAR(E179),(12-MONTH(E179)+1)/12,1))))))))&gt;0,(((K179)*(IF(M179="",L179,IFERROR(IF(INDEX(Variablen!$I:$AT, MATCH(M179, Variablen!$A:$A, 0), MATCH((YEAR(D179)+20), Variablen!$I$3:$AT$3, 0))="",L179,INDEX(Variablen!$I:$AT, MATCH(M179, Variablen!$A:$A, 0), MATCH((YEAR(D179)+20), Variablen!$I$3:$AT$3, 0))),L179)))*(IF((YEAR(D179)+20)&lt;YEAR(E179),0,IF((YEAR(D179)+20)&gt;YEAR(E179),1,(12-MONTH(E179)+1)/12))) + (Q179)*(IF((YEAR(D179)+20)&lt;YEAR(E179),0,IF((YEAR(D179)+20)&gt;YEAR(E179),1,(12-MONTH(E179)+1)/12))))-((P179)*(IF((YEAR(D179)+20)&lt;YEAR(E179),0,IF((YEAR(D179)+20)&gt;YEAR(E179),1,(12-MONTH(E179)+1)/12))) + (R179)*(IF((YEAR(D179)+20)&lt;YEAR(E179),0,IF((YEAR(D179)+20)&gt;YEAR(E179),1,(12-MONTH(E179)+1)/12))))-(IF(OR(N179="",N179&lt;=0),0,(O179/N179)*(IF(OR(N179="",N179&lt;=0),0,IF((YEAR(D179)+20)&lt;YEAR(E179),0,IF((YEAR(D179)+20)&gt;=YEAR(E179)+N179,0,IF((YEAR(D179)+20)=YEAR(E179),(12-MONTH(E179)+1)/12,1))))))))*TaxRate,0))-IF(20=0,O179,0))</f>
        <v/>
      </c>
      <c r="AN179" s="29">
        <f>IF(A179="","",S179)</f>
        <v/>
      </c>
      <c r="AO179" s="29">
        <f>IF(A179="","",AN179+T179)</f>
        <v/>
      </c>
      <c r="AP179" s="29">
        <f>IF(A179="","",AO179+U179)</f>
        <v/>
      </c>
      <c r="AQ179" s="29">
        <f>IF(A179="","",AP179+V179)</f>
        <v/>
      </c>
      <c r="AR179" s="29">
        <f>IF(A179="","",AQ179+W179)</f>
        <v/>
      </c>
      <c r="AS179" s="29">
        <f>IF(A179="","",AR179+X179)</f>
        <v/>
      </c>
      <c r="AT179" s="29">
        <f>IF(A179="","",AS179+Y179)</f>
        <v/>
      </c>
      <c r="AU179" s="29">
        <f>IF(A179="","",AT179+Z179)</f>
        <v/>
      </c>
      <c r="AV179" s="29">
        <f>IF(A179="","",AU179+AA179)</f>
        <v/>
      </c>
      <c r="AW179" s="29">
        <f>IF(A179="","",AV179+AB179)</f>
        <v/>
      </c>
      <c r="AX179" s="29">
        <f>IF(A179="","",AW179+AC179)</f>
        <v/>
      </c>
      <c r="AY179" s="29">
        <f>IF(A179="","",AX179+AD179)</f>
        <v/>
      </c>
      <c r="AZ179" s="29">
        <f>IF(A179="","",AY179+AE179)</f>
        <v/>
      </c>
      <c r="BA179" s="29">
        <f>IF(A179="","",AZ179+AF179)</f>
        <v/>
      </c>
      <c r="BB179" s="29">
        <f>IF(A179="","",BA179+AG179)</f>
        <v/>
      </c>
      <c r="BC179" s="29">
        <f>IF(A179="","",BB179+AH179)</f>
        <v/>
      </c>
      <c r="BD179" s="29">
        <f>IF(A179="","",BC179+AI179)</f>
        <v/>
      </c>
      <c r="BE179" s="29">
        <f>IF(A179="","",BD179+AJ179)</f>
        <v/>
      </c>
      <c r="BF179" s="29">
        <f>IF(A179="","",BE179+AK179)</f>
        <v/>
      </c>
      <c r="BG179" s="29">
        <f>IF(A179="","",BF179+AL179)</f>
        <v/>
      </c>
      <c r="BH179" s="29">
        <f>IF(A179="","",BG179+AM179)</f>
        <v/>
      </c>
      <c r="BI179" s="36">
        <f>IF(A179="","",(K179)*(IF((YEAR(D179)+0)&lt;YEAR(E179),0,IF((YEAR(D179)+0)&gt;YEAR(E179),1,(12-MONTH(E179)+1)/12)))*(1/(1+DiscountRate)^0))</f>
        <v/>
      </c>
      <c r="BJ179" s="36">
        <f>IF(A179="","",(K179)*(IF((YEAR(D179)+1)&lt;YEAR(E179),0,IF((YEAR(D179)+1)&gt;YEAR(E179),1,(12-MONTH(E179)+1)/12)))*(1/(1+DiscountRate)^1))</f>
        <v/>
      </c>
      <c r="BK179" s="36">
        <f>IF(A179="","",(K179)*(IF((YEAR(D179)+2)&lt;YEAR(E179),0,IF((YEAR(D179)+2)&gt;YEAR(E179),1,(12-MONTH(E179)+1)/12)))*(1/(1+DiscountRate)^2))</f>
        <v/>
      </c>
      <c r="BL179" s="36">
        <f>IF(A179="","",(K179)*(IF((YEAR(D179)+3)&lt;YEAR(E179),0,IF((YEAR(D179)+3)&gt;YEAR(E179),1,(12-MONTH(E179)+1)/12)))*(1/(1+DiscountRate)^3))</f>
        <v/>
      </c>
      <c r="BM179" s="36">
        <f>IF(A179="","",(K179)*(IF((YEAR(D179)+4)&lt;YEAR(E179),0,IF((YEAR(D179)+4)&gt;YEAR(E179),1,(12-MONTH(E179)+1)/12)))*(1/(1+DiscountRate)^4))</f>
        <v/>
      </c>
      <c r="BN179" s="36">
        <f>IF(A179="","",(K179)*(IF((YEAR(D179)+5)&lt;YEAR(E179),0,IF((YEAR(D179)+5)&gt;YEAR(E179),1,(12-MONTH(E179)+1)/12)))*(1/(1+DiscountRate)^5))</f>
        <v/>
      </c>
      <c r="BO179" s="36">
        <f>IF(A179="","",(K179)*(IF((YEAR(D179)+6)&lt;YEAR(E179),0,IF((YEAR(D179)+6)&gt;YEAR(E179),1,(12-MONTH(E179)+1)/12)))*(1/(1+DiscountRate)^6))</f>
        <v/>
      </c>
      <c r="BP179" s="36">
        <f>IF(A179="","",(K179)*(IF((YEAR(D179)+7)&lt;YEAR(E179),0,IF((YEAR(D179)+7)&gt;YEAR(E179),1,(12-MONTH(E179)+1)/12)))*(1/(1+DiscountRate)^7))</f>
        <v/>
      </c>
      <c r="BQ179" s="36">
        <f>IF(A179="","",(K179)*(IF((YEAR(D179)+8)&lt;YEAR(E179),0,IF((YEAR(D179)+8)&gt;YEAR(E179),1,(12-MONTH(E179)+1)/12)))*(1/(1+DiscountRate)^8))</f>
        <v/>
      </c>
      <c r="BR179" s="36">
        <f>IF(A179="","",(K179)*(IF((YEAR(D179)+9)&lt;YEAR(E179),0,IF((YEAR(D179)+9)&gt;YEAR(E179),1,(12-MONTH(E179)+1)/12)))*(1/(1+DiscountRate)^9))</f>
        <v/>
      </c>
      <c r="BS179" s="36">
        <f>IF(A179="","",(K179)*(IF((YEAR(D179)+10)&lt;YEAR(E179),0,IF((YEAR(D179)+10)&gt;YEAR(E179),1,(12-MONTH(E179)+1)/12)))*(1/(1+DiscountRate)^10))</f>
        <v/>
      </c>
      <c r="BT179" s="36">
        <f>IF(A179="","",(K179)*(IF((YEAR(D179)+11)&lt;YEAR(E179),0,IF((YEAR(D179)+11)&gt;YEAR(E179),1,(12-MONTH(E179)+1)/12)))*(1/(1+DiscountRate)^11))</f>
        <v/>
      </c>
      <c r="BU179" s="36">
        <f>IF(A179="","",(K179)*(IF((YEAR(D179)+12)&lt;YEAR(E179),0,IF((YEAR(D179)+12)&gt;YEAR(E179),1,(12-MONTH(E179)+1)/12)))*(1/(1+DiscountRate)^12))</f>
        <v/>
      </c>
      <c r="BV179" s="36">
        <f>IF(A179="","",(K179)*(IF((YEAR(D179)+13)&lt;YEAR(E179),0,IF((YEAR(D179)+13)&gt;YEAR(E179),1,(12-MONTH(E179)+1)/12)))*(1/(1+DiscountRate)^13))</f>
        <v/>
      </c>
      <c r="BW179" s="36">
        <f>IF(A179="","",(K179)*(IF((YEAR(D179)+14)&lt;YEAR(E179),0,IF((YEAR(D179)+14)&gt;YEAR(E179),1,(12-MONTH(E179)+1)/12)))*(1/(1+DiscountRate)^14))</f>
        <v/>
      </c>
      <c r="BX179" s="36">
        <f>IF(A179="","",(K179)*(IF((YEAR(D179)+15)&lt;YEAR(E179),0,IF((YEAR(D179)+15)&gt;YEAR(E179),1,(12-MONTH(E179)+1)/12)))*(1/(1+DiscountRate)^15))</f>
        <v/>
      </c>
      <c r="BY179" s="36">
        <f>IF(A179="","",(K179)*(IF((YEAR(D179)+16)&lt;YEAR(E179),0,IF((YEAR(D179)+16)&gt;YEAR(E179),1,(12-MONTH(E179)+1)/12)))*(1/(1+DiscountRate)^16))</f>
        <v/>
      </c>
      <c r="BZ179" s="36">
        <f>IF(A179="","",(K179)*(IF((YEAR(D179)+17)&lt;YEAR(E179),0,IF((YEAR(D179)+17)&gt;YEAR(E179),1,(12-MONTH(E179)+1)/12)))*(1/(1+DiscountRate)^17))</f>
        <v/>
      </c>
      <c r="CA179" s="36">
        <f>IF(A179="","",(K179)*(IF((YEAR(D179)+18)&lt;YEAR(E179),0,IF((YEAR(D179)+18)&gt;YEAR(E179),1,(12-MONTH(E179)+1)/12)))*(1/(1+DiscountRate)^18))</f>
        <v/>
      </c>
      <c r="CB179" s="36">
        <f>IF(A179="","",(K179)*(IF((YEAR(D179)+19)&lt;YEAR(E179),0,IF((YEAR(D179)+19)&gt;YEAR(E179),1,(12-MONTH(E179)+1)/12)))*(1/(1+DiscountRate)^19))</f>
        <v/>
      </c>
      <c r="CC179" s="36">
        <f>IF(A179="","",(K179)*(IF((YEAR(D179)+20)&lt;YEAR(E179),0,IF((YEAR(D179)+20)&gt;YEAR(E179),1,(12-MONTH(E179)+1)/12)))*(1/(1+DiscountRate)^20))</f>
        <v/>
      </c>
      <c r="CD179" s="29">
        <f>IF(A179="","",S179/(1+DiscountRate)^0+T179/(1+DiscountRate)^1+U179/(1+DiscountRate)^2+V179/(1+DiscountRate)^3+W179/(1+DiscountRate)^4+X179/(1+DiscountRate)^5+Y179/(1+DiscountRate)^6+Z179/(1+DiscountRate)^7+AA179/(1+DiscountRate)^8+AB179/(1+DiscountRate)^9+AC179/(1+DiscountRate)^10+AD179/(1+DiscountRate)^11+AE179/(1+DiscountRate)^12+AF179/(1+DiscountRate)^13+AG179/(1+DiscountRate)^14+AH179/(1+DiscountRate)^15+AI179/(1+DiscountRate)^16+AJ179/(1+DiscountRate)^17+AK179/(1+DiscountRate)^18+AL179/(1+DiscountRate)^19+AM179/(1+DiscountRate)^20)</f>
        <v/>
      </c>
      <c r="CE179" s="37">
        <f>IF(A179="","",IFERROR(IRR(OFFSET(S179,0,0,1,MIN(HorizonYears,20)+1)),"n/a"))</f>
        <v/>
      </c>
      <c r="CF179" s="28">
        <f>IF(A179="","",IFERROR(MATCH(TRUE,OFFSET(AN179,0,0,1,MIN(HorizonYears,20)+1)&gt;=0,0)-1,"n/a"))</f>
        <v/>
      </c>
      <c r="CG179" s="36">
        <f>IF(A179="","",SUM(OFFSET(BI179,0,0,1,MIN(HorizonYears,20)+1)))</f>
        <v/>
      </c>
      <c r="CH179" s="36">
        <f>IF(A179="","",IFERROR(-CD179/CG179,"n/a"))</f>
        <v/>
      </c>
    </row>
    <row r="180">
      <c r="A180" s="6">
        <f>Actions!A178</f>
        <v/>
      </c>
      <c r="B180" s="6">
        <f>Actions!B178</f>
        <v/>
      </c>
      <c r="C180" s="6">
        <f>Actions!D178</f>
        <v/>
      </c>
      <c r="D180" s="35">
        <f>Actions!E178</f>
        <v/>
      </c>
      <c r="E180" s="35">
        <f>Actions!F178</f>
        <v/>
      </c>
      <c r="F180" s="6">
        <f>Actions!G178</f>
        <v/>
      </c>
      <c r="G180" s="6">
        <f>Actions!H178</f>
        <v/>
      </c>
      <c r="H180" s="29">
        <f>Actions!I178</f>
        <v/>
      </c>
      <c r="I180" s="6">
        <f>Actions!J178</f>
        <v/>
      </c>
      <c r="J180" s="16">
        <f>Actions!K178</f>
        <v/>
      </c>
      <c r="K180" s="16">
        <f>IF(A180="","",IF(I180="%",H180*J180,J180))</f>
        <v/>
      </c>
      <c r="L180" s="16">
        <f>Actions!L178</f>
        <v/>
      </c>
      <c r="M180" s="6">
        <f>Actions!M178</f>
        <v/>
      </c>
      <c r="N180" s="28">
        <f>Actions!N178</f>
        <v/>
      </c>
      <c r="O180" s="29">
        <f>Actions!T178</f>
        <v/>
      </c>
      <c r="P180" s="29">
        <f>Actions!Y178</f>
        <v/>
      </c>
      <c r="Q180" s="29">
        <f>Actions!Z178</f>
        <v/>
      </c>
      <c r="R180" s="29">
        <f>Actions!AA178</f>
        <v/>
      </c>
      <c r="S180" s="29">
        <f>IF(A180="","",((K180)*(IF(M180="",L180,IFERROR(IF(INDEX(Variablen!$I:$AT, MATCH(M180, Variablen!$A:$A, 0), MATCH((YEAR(D180)+0), Variablen!$I$3:$AT$3, 0))="",L180,INDEX(Variablen!$I:$AT, MATCH(M180, Variablen!$A:$A, 0), MATCH((YEAR(D180)+0), Variablen!$I$3:$AT$3, 0))),L180)))*(IF((YEAR(D180)+0)&lt;YEAR(E180),0,IF((YEAR(D180)+0)&gt;YEAR(E180),1,(12-MONTH(E180)+1)/12))) + (Q180)*(IF((YEAR(D180)+0)&lt;YEAR(E180),0,IF((YEAR(D180)+0)&gt;YEAR(E180),1,(12-MONTH(E180)+1)/12))))-((P180)*(IF((YEAR(D180)+0)&lt;YEAR(E180),0,IF((YEAR(D180)+0)&gt;YEAR(E180),1,(12-MONTH(E180)+1)/12))) + (R180)*(IF((YEAR(D180)+0)&lt;YEAR(E180),0,IF((YEAR(D180)+0)&gt;YEAR(E180),1,(12-MONTH(E180)+1)/12))))-(IF((((K180)*(IF(M180="",L180,IFERROR(IF(INDEX(Variablen!$I:$AT, MATCH(M180, Variablen!$A:$A, 0), MATCH((YEAR(D180)+0), Variablen!$I$3:$AT$3, 0))="",L180,INDEX(Variablen!$I:$AT, MATCH(M180, Variablen!$A:$A, 0), MATCH((YEAR(D180)+0), Variablen!$I$3:$AT$3, 0))),L180)))*(IF((YEAR(D180)+0)&lt;YEAR(E180),0,IF((YEAR(D180)+0)&gt;YEAR(E180),1,(12-MONTH(E180)+1)/12))) + (Q180)*(IF((YEAR(D180)+0)&lt;YEAR(E180),0,IF((YEAR(D180)+0)&gt;YEAR(E180),1,(12-MONTH(E180)+1)/12))))-((P180)*(IF((YEAR(D180)+0)&lt;YEAR(E180),0,IF((YEAR(D180)+0)&gt;YEAR(E180),1,(12-MONTH(E180)+1)/12))) + (R180)*(IF((YEAR(D180)+0)&lt;YEAR(E180),0,IF((YEAR(D180)+0)&gt;YEAR(E180),1,(12-MONTH(E180)+1)/12))))-(IF(OR(N180="",N180&lt;=0),0,(O180/N180)*(IF(OR(N180="",N180&lt;=0),0,IF((YEAR(D180)+0)&lt;YEAR(E180),0,IF((YEAR(D180)+0)&gt;=YEAR(E180)+N180,0,IF((YEAR(D180)+0)=YEAR(E180),(12-MONTH(E180)+1)/12,1))))))))&gt;0,(((K180)*(IF(M180="",L180,IFERROR(IF(INDEX(Variablen!$I:$AT, MATCH(M180, Variablen!$A:$A, 0), MATCH((YEAR(D180)+0), Variablen!$I$3:$AT$3, 0))="",L180,INDEX(Variablen!$I:$AT, MATCH(M180, Variablen!$A:$A, 0), MATCH((YEAR(D180)+0), Variablen!$I$3:$AT$3, 0))),L180)))*(IF((YEAR(D180)+0)&lt;YEAR(E180),0,IF((YEAR(D180)+0)&gt;YEAR(E180),1,(12-MONTH(E180)+1)/12))) + (Q180)*(IF((YEAR(D180)+0)&lt;YEAR(E180),0,IF((YEAR(D180)+0)&gt;YEAR(E180),1,(12-MONTH(E180)+1)/12))))-((P180)*(IF((YEAR(D180)+0)&lt;YEAR(E180),0,IF((YEAR(D180)+0)&gt;YEAR(E180),1,(12-MONTH(E180)+1)/12))) + (R180)*(IF((YEAR(D180)+0)&lt;YEAR(E180),0,IF((YEAR(D180)+0)&gt;YEAR(E180),1,(12-MONTH(E180)+1)/12))))-(IF(OR(N180="",N180&lt;=0),0,(O180/N180)*(IF(OR(N180="",N180&lt;=0),0,IF((YEAR(D180)+0)&lt;YEAR(E180),0,IF((YEAR(D180)+0)&gt;=YEAR(E180)+N180,0,IF((YEAR(D180)+0)=YEAR(E180),(12-MONTH(E180)+1)/12,1))))))))*TaxRate,0))-IF(0=0,O180,0))</f>
        <v/>
      </c>
      <c r="T180" s="29">
        <f>IF(A180="","",((K180)*(IF(M180="",L180,IFERROR(IF(INDEX(Variablen!$I:$AT, MATCH(M180, Variablen!$A:$A, 0), MATCH((YEAR(D180)+1), Variablen!$I$3:$AT$3, 0))="",L180,INDEX(Variablen!$I:$AT, MATCH(M180, Variablen!$A:$A, 0), MATCH((YEAR(D180)+1), Variablen!$I$3:$AT$3, 0))),L180)))*(IF((YEAR(D180)+1)&lt;YEAR(E180),0,IF((YEAR(D180)+1)&gt;YEAR(E180),1,(12-MONTH(E180)+1)/12))) + (Q180)*(IF((YEAR(D180)+1)&lt;YEAR(E180),0,IF((YEAR(D180)+1)&gt;YEAR(E180),1,(12-MONTH(E180)+1)/12))))-((P180)*(IF((YEAR(D180)+1)&lt;YEAR(E180),0,IF((YEAR(D180)+1)&gt;YEAR(E180),1,(12-MONTH(E180)+1)/12))) + (R180)*(IF((YEAR(D180)+1)&lt;YEAR(E180),0,IF((YEAR(D180)+1)&gt;YEAR(E180),1,(12-MONTH(E180)+1)/12))))-(IF((((K180)*(IF(M180="",L180,IFERROR(IF(INDEX(Variablen!$I:$AT, MATCH(M180, Variablen!$A:$A, 0), MATCH((YEAR(D180)+1), Variablen!$I$3:$AT$3, 0))="",L180,INDEX(Variablen!$I:$AT, MATCH(M180, Variablen!$A:$A, 0), MATCH((YEAR(D180)+1), Variablen!$I$3:$AT$3, 0))),L180)))*(IF((YEAR(D180)+1)&lt;YEAR(E180),0,IF((YEAR(D180)+1)&gt;YEAR(E180),1,(12-MONTH(E180)+1)/12))) + (Q180)*(IF((YEAR(D180)+1)&lt;YEAR(E180),0,IF((YEAR(D180)+1)&gt;YEAR(E180),1,(12-MONTH(E180)+1)/12))))-((P180)*(IF((YEAR(D180)+1)&lt;YEAR(E180),0,IF((YEAR(D180)+1)&gt;YEAR(E180),1,(12-MONTH(E180)+1)/12))) + (R180)*(IF((YEAR(D180)+1)&lt;YEAR(E180),0,IF((YEAR(D180)+1)&gt;YEAR(E180),1,(12-MONTH(E180)+1)/12))))-(IF(OR(N180="",N180&lt;=0),0,(O180/N180)*(IF(OR(N180="",N180&lt;=0),0,IF((YEAR(D180)+1)&lt;YEAR(E180),0,IF((YEAR(D180)+1)&gt;=YEAR(E180)+N180,0,IF((YEAR(D180)+1)=YEAR(E180),(12-MONTH(E180)+1)/12,1))))))))&gt;0,(((K180)*(IF(M180="",L180,IFERROR(IF(INDEX(Variablen!$I:$AT, MATCH(M180, Variablen!$A:$A, 0), MATCH((YEAR(D180)+1), Variablen!$I$3:$AT$3, 0))="",L180,INDEX(Variablen!$I:$AT, MATCH(M180, Variablen!$A:$A, 0), MATCH((YEAR(D180)+1), Variablen!$I$3:$AT$3, 0))),L180)))*(IF((YEAR(D180)+1)&lt;YEAR(E180),0,IF((YEAR(D180)+1)&gt;YEAR(E180),1,(12-MONTH(E180)+1)/12))) + (Q180)*(IF((YEAR(D180)+1)&lt;YEAR(E180),0,IF((YEAR(D180)+1)&gt;YEAR(E180),1,(12-MONTH(E180)+1)/12))))-((P180)*(IF((YEAR(D180)+1)&lt;YEAR(E180),0,IF((YEAR(D180)+1)&gt;YEAR(E180),1,(12-MONTH(E180)+1)/12))) + (R180)*(IF((YEAR(D180)+1)&lt;YEAR(E180),0,IF((YEAR(D180)+1)&gt;YEAR(E180),1,(12-MONTH(E180)+1)/12))))-(IF(OR(N180="",N180&lt;=0),0,(O180/N180)*(IF(OR(N180="",N180&lt;=0),0,IF((YEAR(D180)+1)&lt;YEAR(E180),0,IF((YEAR(D180)+1)&gt;=YEAR(E180)+N180,0,IF((YEAR(D180)+1)=YEAR(E180),(12-MONTH(E180)+1)/12,1))))))))*TaxRate,0))-IF(1=0,O180,0))</f>
        <v/>
      </c>
      <c r="U180" s="29">
        <f>IF(A180="","",((K180)*(IF(M180="",L180,IFERROR(IF(INDEX(Variablen!$I:$AT, MATCH(M180, Variablen!$A:$A, 0), MATCH((YEAR(D180)+2), Variablen!$I$3:$AT$3, 0))="",L180,INDEX(Variablen!$I:$AT, MATCH(M180, Variablen!$A:$A, 0), MATCH((YEAR(D180)+2), Variablen!$I$3:$AT$3, 0))),L180)))*(IF((YEAR(D180)+2)&lt;YEAR(E180),0,IF((YEAR(D180)+2)&gt;YEAR(E180),1,(12-MONTH(E180)+1)/12))) + (Q180)*(IF((YEAR(D180)+2)&lt;YEAR(E180),0,IF((YEAR(D180)+2)&gt;YEAR(E180),1,(12-MONTH(E180)+1)/12))))-((P180)*(IF((YEAR(D180)+2)&lt;YEAR(E180),0,IF((YEAR(D180)+2)&gt;YEAR(E180),1,(12-MONTH(E180)+1)/12))) + (R180)*(IF((YEAR(D180)+2)&lt;YEAR(E180),0,IF((YEAR(D180)+2)&gt;YEAR(E180),1,(12-MONTH(E180)+1)/12))))-(IF((((K180)*(IF(M180="",L180,IFERROR(IF(INDEX(Variablen!$I:$AT, MATCH(M180, Variablen!$A:$A, 0), MATCH((YEAR(D180)+2), Variablen!$I$3:$AT$3, 0))="",L180,INDEX(Variablen!$I:$AT, MATCH(M180, Variablen!$A:$A, 0), MATCH((YEAR(D180)+2), Variablen!$I$3:$AT$3, 0))),L180)))*(IF((YEAR(D180)+2)&lt;YEAR(E180),0,IF((YEAR(D180)+2)&gt;YEAR(E180),1,(12-MONTH(E180)+1)/12))) + (Q180)*(IF((YEAR(D180)+2)&lt;YEAR(E180),0,IF((YEAR(D180)+2)&gt;YEAR(E180),1,(12-MONTH(E180)+1)/12))))-((P180)*(IF((YEAR(D180)+2)&lt;YEAR(E180),0,IF((YEAR(D180)+2)&gt;YEAR(E180),1,(12-MONTH(E180)+1)/12))) + (R180)*(IF((YEAR(D180)+2)&lt;YEAR(E180),0,IF((YEAR(D180)+2)&gt;YEAR(E180),1,(12-MONTH(E180)+1)/12))))-(IF(OR(N180="",N180&lt;=0),0,(O180/N180)*(IF(OR(N180="",N180&lt;=0),0,IF((YEAR(D180)+2)&lt;YEAR(E180),0,IF((YEAR(D180)+2)&gt;=YEAR(E180)+N180,0,IF((YEAR(D180)+2)=YEAR(E180),(12-MONTH(E180)+1)/12,1))))))))&gt;0,(((K180)*(IF(M180="",L180,IFERROR(IF(INDEX(Variablen!$I:$AT, MATCH(M180, Variablen!$A:$A, 0), MATCH((YEAR(D180)+2), Variablen!$I$3:$AT$3, 0))="",L180,INDEX(Variablen!$I:$AT, MATCH(M180, Variablen!$A:$A, 0), MATCH((YEAR(D180)+2), Variablen!$I$3:$AT$3, 0))),L180)))*(IF((YEAR(D180)+2)&lt;YEAR(E180),0,IF((YEAR(D180)+2)&gt;YEAR(E180),1,(12-MONTH(E180)+1)/12))) + (Q180)*(IF((YEAR(D180)+2)&lt;YEAR(E180),0,IF((YEAR(D180)+2)&gt;YEAR(E180),1,(12-MONTH(E180)+1)/12))))-((P180)*(IF((YEAR(D180)+2)&lt;YEAR(E180),0,IF((YEAR(D180)+2)&gt;YEAR(E180),1,(12-MONTH(E180)+1)/12))) + (R180)*(IF((YEAR(D180)+2)&lt;YEAR(E180),0,IF((YEAR(D180)+2)&gt;YEAR(E180),1,(12-MONTH(E180)+1)/12))))-(IF(OR(N180="",N180&lt;=0),0,(O180/N180)*(IF(OR(N180="",N180&lt;=0),0,IF((YEAR(D180)+2)&lt;YEAR(E180),0,IF((YEAR(D180)+2)&gt;=YEAR(E180)+N180,0,IF((YEAR(D180)+2)=YEAR(E180),(12-MONTH(E180)+1)/12,1))))))))*TaxRate,0))-IF(2=0,O180,0))</f>
        <v/>
      </c>
      <c r="V180" s="29">
        <f>IF(A180="","",((K180)*(IF(M180="",L180,IFERROR(IF(INDEX(Variablen!$I:$AT, MATCH(M180, Variablen!$A:$A, 0), MATCH((YEAR(D180)+3), Variablen!$I$3:$AT$3, 0))="",L180,INDEX(Variablen!$I:$AT, MATCH(M180, Variablen!$A:$A, 0), MATCH((YEAR(D180)+3), Variablen!$I$3:$AT$3, 0))),L180)))*(IF((YEAR(D180)+3)&lt;YEAR(E180),0,IF((YEAR(D180)+3)&gt;YEAR(E180),1,(12-MONTH(E180)+1)/12))) + (Q180)*(IF((YEAR(D180)+3)&lt;YEAR(E180),0,IF((YEAR(D180)+3)&gt;YEAR(E180),1,(12-MONTH(E180)+1)/12))))-((P180)*(IF((YEAR(D180)+3)&lt;YEAR(E180),0,IF((YEAR(D180)+3)&gt;YEAR(E180),1,(12-MONTH(E180)+1)/12))) + (R180)*(IF((YEAR(D180)+3)&lt;YEAR(E180),0,IF((YEAR(D180)+3)&gt;YEAR(E180),1,(12-MONTH(E180)+1)/12))))-(IF((((K180)*(IF(M180="",L180,IFERROR(IF(INDEX(Variablen!$I:$AT, MATCH(M180, Variablen!$A:$A, 0), MATCH((YEAR(D180)+3), Variablen!$I$3:$AT$3, 0))="",L180,INDEX(Variablen!$I:$AT, MATCH(M180, Variablen!$A:$A, 0), MATCH((YEAR(D180)+3), Variablen!$I$3:$AT$3, 0))),L180)))*(IF((YEAR(D180)+3)&lt;YEAR(E180),0,IF((YEAR(D180)+3)&gt;YEAR(E180),1,(12-MONTH(E180)+1)/12))) + (Q180)*(IF((YEAR(D180)+3)&lt;YEAR(E180),0,IF((YEAR(D180)+3)&gt;YEAR(E180),1,(12-MONTH(E180)+1)/12))))-((P180)*(IF((YEAR(D180)+3)&lt;YEAR(E180),0,IF((YEAR(D180)+3)&gt;YEAR(E180),1,(12-MONTH(E180)+1)/12))) + (R180)*(IF((YEAR(D180)+3)&lt;YEAR(E180),0,IF((YEAR(D180)+3)&gt;YEAR(E180),1,(12-MONTH(E180)+1)/12))))-(IF(OR(N180="",N180&lt;=0),0,(O180/N180)*(IF(OR(N180="",N180&lt;=0),0,IF((YEAR(D180)+3)&lt;YEAR(E180),0,IF((YEAR(D180)+3)&gt;=YEAR(E180)+N180,0,IF((YEAR(D180)+3)=YEAR(E180),(12-MONTH(E180)+1)/12,1))))))))&gt;0,(((K180)*(IF(M180="",L180,IFERROR(IF(INDEX(Variablen!$I:$AT, MATCH(M180, Variablen!$A:$A, 0), MATCH((YEAR(D180)+3), Variablen!$I$3:$AT$3, 0))="",L180,INDEX(Variablen!$I:$AT, MATCH(M180, Variablen!$A:$A, 0), MATCH((YEAR(D180)+3), Variablen!$I$3:$AT$3, 0))),L180)))*(IF((YEAR(D180)+3)&lt;YEAR(E180),0,IF((YEAR(D180)+3)&gt;YEAR(E180),1,(12-MONTH(E180)+1)/12))) + (Q180)*(IF((YEAR(D180)+3)&lt;YEAR(E180),0,IF((YEAR(D180)+3)&gt;YEAR(E180),1,(12-MONTH(E180)+1)/12))))-((P180)*(IF((YEAR(D180)+3)&lt;YEAR(E180),0,IF((YEAR(D180)+3)&gt;YEAR(E180),1,(12-MONTH(E180)+1)/12))) + (R180)*(IF((YEAR(D180)+3)&lt;YEAR(E180),0,IF((YEAR(D180)+3)&gt;YEAR(E180),1,(12-MONTH(E180)+1)/12))))-(IF(OR(N180="",N180&lt;=0),0,(O180/N180)*(IF(OR(N180="",N180&lt;=0),0,IF((YEAR(D180)+3)&lt;YEAR(E180),0,IF((YEAR(D180)+3)&gt;=YEAR(E180)+N180,0,IF((YEAR(D180)+3)=YEAR(E180),(12-MONTH(E180)+1)/12,1))))))))*TaxRate,0))-IF(3=0,O180,0))</f>
        <v/>
      </c>
      <c r="W180" s="29">
        <f>IF(A180="","",((K180)*(IF(M180="",L180,IFERROR(IF(INDEX(Variablen!$I:$AT, MATCH(M180, Variablen!$A:$A, 0), MATCH((YEAR(D180)+4), Variablen!$I$3:$AT$3, 0))="",L180,INDEX(Variablen!$I:$AT, MATCH(M180, Variablen!$A:$A, 0), MATCH((YEAR(D180)+4), Variablen!$I$3:$AT$3, 0))),L180)))*(IF((YEAR(D180)+4)&lt;YEAR(E180),0,IF((YEAR(D180)+4)&gt;YEAR(E180),1,(12-MONTH(E180)+1)/12))) + (Q180)*(IF((YEAR(D180)+4)&lt;YEAR(E180),0,IF((YEAR(D180)+4)&gt;YEAR(E180),1,(12-MONTH(E180)+1)/12))))-((P180)*(IF((YEAR(D180)+4)&lt;YEAR(E180),0,IF((YEAR(D180)+4)&gt;YEAR(E180),1,(12-MONTH(E180)+1)/12))) + (R180)*(IF((YEAR(D180)+4)&lt;YEAR(E180),0,IF((YEAR(D180)+4)&gt;YEAR(E180),1,(12-MONTH(E180)+1)/12))))-(IF((((K180)*(IF(M180="",L180,IFERROR(IF(INDEX(Variablen!$I:$AT, MATCH(M180, Variablen!$A:$A, 0), MATCH((YEAR(D180)+4), Variablen!$I$3:$AT$3, 0))="",L180,INDEX(Variablen!$I:$AT, MATCH(M180, Variablen!$A:$A, 0), MATCH((YEAR(D180)+4), Variablen!$I$3:$AT$3, 0))),L180)))*(IF((YEAR(D180)+4)&lt;YEAR(E180),0,IF((YEAR(D180)+4)&gt;YEAR(E180),1,(12-MONTH(E180)+1)/12))) + (Q180)*(IF((YEAR(D180)+4)&lt;YEAR(E180),0,IF((YEAR(D180)+4)&gt;YEAR(E180),1,(12-MONTH(E180)+1)/12))))-((P180)*(IF((YEAR(D180)+4)&lt;YEAR(E180),0,IF((YEAR(D180)+4)&gt;YEAR(E180),1,(12-MONTH(E180)+1)/12))) + (R180)*(IF((YEAR(D180)+4)&lt;YEAR(E180),0,IF((YEAR(D180)+4)&gt;YEAR(E180),1,(12-MONTH(E180)+1)/12))))-(IF(OR(N180="",N180&lt;=0),0,(O180/N180)*(IF(OR(N180="",N180&lt;=0),0,IF((YEAR(D180)+4)&lt;YEAR(E180),0,IF((YEAR(D180)+4)&gt;=YEAR(E180)+N180,0,IF((YEAR(D180)+4)=YEAR(E180),(12-MONTH(E180)+1)/12,1))))))))&gt;0,(((K180)*(IF(M180="",L180,IFERROR(IF(INDEX(Variablen!$I:$AT, MATCH(M180, Variablen!$A:$A, 0), MATCH((YEAR(D180)+4), Variablen!$I$3:$AT$3, 0))="",L180,INDEX(Variablen!$I:$AT, MATCH(M180, Variablen!$A:$A, 0), MATCH((YEAR(D180)+4), Variablen!$I$3:$AT$3, 0))),L180)))*(IF((YEAR(D180)+4)&lt;YEAR(E180),0,IF((YEAR(D180)+4)&gt;YEAR(E180),1,(12-MONTH(E180)+1)/12))) + (Q180)*(IF((YEAR(D180)+4)&lt;YEAR(E180),0,IF((YEAR(D180)+4)&gt;YEAR(E180),1,(12-MONTH(E180)+1)/12))))-((P180)*(IF((YEAR(D180)+4)&lt;YEAR(E180),0,IF((YEAR(D180)+4)&gt;YEAR(E180),1,(12-MONTH(E180)+1)/12))) + (R180)*(IF((YEAR(D180)+4)&lt;YEAR(E180),0,IF((YEAR(D180)+4)&gt;YEAR(E180),1,(12-MONTH(E180)+1)/12))))-(IF(OR(N180="",N180&lt;=0),0,(O180/N180)*(IF(OR(N180="",N180&lt;=0),0,IF((YEAR(D180)+4)&lt;YEAR(E180),0,IF((YEAR(D180)+4)&gt;=YEAR(E180)+N180,0,IF((YEAR(D180)+4)=YEAR(E180),(12-MONTH(E180)+1)/12,1))))))))*TaxRate,0))-IF(4=0,O180,0))</f>
        <v/>
      </c>
      <c r="X180" s="29">
        <f>IF(A180="","",((K180)*(IF(M180="",L180,IFERROR(IF(INDEX(Variablen!$I:$AT, MATCH(M180, Variablen!$A:$A, 0), MATCH((YEAR(D180)+5), Variablen!$I$3:$AT$3, 0))="",L180,INDEX(Variablen!$I:$AT, MATCH(M180, Variablen!$A:$A, 0), MATCH((YEAR(D180)+5), Variablen!$I$3:$AT$3, 0))),L180)))*(IF((YEAR(D180)+5)&lt;YEAR(E180),0,IF((YEAR(D180)+5)&gt;YEAR(E180),1,(12-MONTH(E180)+1)/12))) + (Q180)*(IF((YEAR(D180)+5)&lt;YEAR(E180),0,IF((YEAR(D180)+5)&gt;YEAR(E180),1,(12-MONTH(E180)+1)/12))))-((P180)*(IF((YEAR(D180)+5)&lt;YEAR(E180),0,IF((YEAR(D180)+5)&gt;YEAR(E180),1,(12-MONTH(E180)+1)/12))) + (R180)*(IF((YEAR(D180)+5)&lt;YEAR(E180),0,IF((YEAR(D180)+5)&gt;YEAR(E180),1,(12-MONTH(E180)+1)/12))))-(IF((((K180)*(IF(M180="",L180,IFERROR(IF(INDEX(Variablen!$I:$AT, MATCH(M180, Variablen!$A:$A, 0), MATCH((YEAR(D180)+5), Variablen!$I$3:$AT$3, 0))="",L180,INDEX(Variablen!$I:$AT, MATCH(M180, Variablen!$A:$A, 0), MATCH((YEAR(D180)+5), Variablen!$I$3:$AT$3, 0))),L180)))*(IF((YEAR(D180)+5)&lt;YEAR(E180),0,IF((YEAR(D180)+5)&gt;YEAR(E180),1,(12-MONTH(E180)+1)/12))) + (Q180)*(IF((YEAR(D180)+5)&lt;YEAR(E180),0,IF((YEAR(D180)+5)&gt;YEAR(E180),1,(12-MONTH(E180)+1)/12))))-((P180)*(IF((YEAR(D180)+5)&lt;YEAR(E180),0,IF((YEAR(D180)+5)&gt;YEAR(E180),1,(12-MONTH(E180)+1)/12))) + (R180)*(IF((YEAR(D180)+5)&lt;YEAR(E180),0,IF((YEAR(D180)+5)&gt;YEAR(E180),1,(12-MONTH(E180)+1)/12))))-(IF(OR(N180="",N180&lt;=0),0,(O180/N180)*(IF(OR(N180="",N180&lt;=0),0,IF((YEAR(D180)+5)&lt;YEAR(E180),0,IF((YEAR(D180)+5)&gt;=YEAR(E180)+N180,0,IF((YEAR(D180)+5)=YEAR(E180),(12-MONTH(E180)+1)/12,1))))))))&gt;0,(((K180)*(IF(M180="",L180,IFERROR(IF(INDEX(Variablen!$I:$AT, MATCH(M180, Variablen!$A:$A, 0), MATCH((YEAR(D180)+5), Variablen!$I$3:$AT$3, 0))="",L180,INDEX(Variablen!$I:$AT, MATCH(M180, Variablen!$A:$A, 0), MATCH((YEAR(D180)+5), Variablen!$I$3:$AT$3, 0))),L180)))*(IF((YEAR(D180)+5)&lt;YEAR(E180),0,IF((YEAR(D180)+5)&gt;YEAR(E180),1,(12-MONTH(E180)+1)/12))) + (Q180)*(IF((YEAR(D180)+5)&lt;YEAR(E180),0,IF((YEAR(D180)+5)&gt;YEAR(E180),1,(12-MONTH(E180)+1)/12))))-((P180)*(IF((YEAR(D180)+5)&lt;YEAR(E180),0,IF((YEAR(D180)+5)&gt;YEAR(E180),1,(12-MONTH(E180)+1)/12))) + (R180)*(IF((YEAR(D180)+5)&lt;YEAR(E180),0,IF((YEAR(D180)+5)&gt;YEAR(E180),1,(12-MONTH(E180)+1)/12))))-(IF(OR(N180="",N180&lt;=0),0,(O180/N180)*(IF(OR(N180="",N180&lt;=0),0,IF((YEAR(D180)+5)&lt;YEAR(E180),0,IF((YEAR(D180)+5)&gt;=YEAR(E180)+N180,0,IF((YEAR(D180)+5)=YEAR(E180),(12-MONTH(E180)+1)/12,1))))))))*TaxRate,0))-IF(5=0,O180,0))</f>
        <v/>
      </c>
      <c r="Y180" s="29">
        <f>IF(A180="","",((K180)*(IF(M180="",L180,IFERROR(IF(INDEX(Variablen!$I:$AT, MATCH(M180, Variablen!$A:$A, 0), MATCH((YEAR(D180)+6), Variablen!$I$3:$AT$3, 0))="",L180,INDEX(Variablen!$I:$AT, MATCH(M180, Variablen!$A:$A, 0), MATCH((YEAR(D180)+6), Variablen!$I$3:$AT$3, 0))),L180)))*(IF((YEAR(D180)+6)&lt;YEAR(E180),0,IF((YEAR(D180)+6)&gt;YEAR(E180),1,(12-MONTH(E180)+1)/12))) + (Q180)*(IF((YEAR(D180)+6)&lt;YEAR(E180),0,IF((YEAR(D180)+6)&gt;YEAR(E180),1,(12-MONTH(E180)+1)/12))))-((P180)*(IF((YEAR(D180)+6)&lt;YEAR(E180),0,IF((YEAR(D180)+6)&gt;YEAR(E180),1,(12-MONTH(E180)+1)/12))) + (R180)*(IF((YEAR(D180)+6)&lt;YEAR(E180),0,IF((YEAR(D180)+6)&gt;YEAR(E180),1,(12-MONTH(E180)+1)/12))))-(IF((((K180)*(IF(M180="",L180,IFERROR(IF(INDEX(Variablen!$I:$AT, MATCH(M180, Variablen!$A:$A, 0), MATCH((YEAR(D180)+6), Variablen!$I$3:$AT$3, 0))="",L180,INDEX(Variablen!$I:$AT, MATCH(M180, Variablen!$A:$A, 0), MATCH((YEAR(D180)+6), Variablen!$I$3:$AT$3, 0))),L180)))*(IF((YEAR(D180)+6)&lt;YEAR(E180),0,IF((YEAR(D180)+6)&gt;YEAR(E180),1,(12-MONTH(E180)+1)/12))) + (Q180)*(IF((YEAR(D180)+6)&lt;YEAR(E180),0,IF((YEAR(D180)+6)&gt;YEAR(E180),1,(12-MONTH(E180)+1)/12))))-((P180)*(IF((YEAR(D180)+6)&lt;YEAR(E180),0,IF((YEAR(D180)+6)&gt;YEAR(E180),1,(12-MONTH(E180)+1)/12))) + (R180)*(IF((YEAR(D180)+6)&lt;YEAR(E180),0,IF((YEAR(D180)+6)&gt;YEAR(E180),1,(12-MONTH(E180)+1)/12))))-(IF(OR(N180="",N180&lt;=0),0,(O180/N180)*(IF(OR(N180="",N180&lt;=0),0,IF((YEAR(D180)+6)&lt;YEAR(E180),0,IF((YEAR(D180)+6)&gt;=YEAR(E180)+N180,0,IF((YEAR(D180)+6)=YEAR(E180),(12-MONTH(E180)+1)/12,1))))))))&gt;0,(((K180)*(IF(M180="",L180,IFERROR(IF(INDEX(Variablen!$I:$AT, MATCH(M180, Variablen!$A:$A, 0), MATCH((YEAR(D180)+6), Variablen!$I$3:$AT$3, 0))="",L180,INDEX(Variablen!$I:$AT, MATCH(M180, Variablen!$A:$A, 0), MATCH((YEAR(D180)+6), Variablen!$I$3:$AT$3, 0))),L180)))*(IF((YEAR(D180)+6)&lt;YEAR(E180),0,IF((YEAR(D180)+6)&gt;YEAR(E180),1,(12-MONTH(E180)+1)/12))) + (Q180)*(IF((YEAR(D180)+6)&lt;YEAR(E180),0,IF((YEAR(D180)+6)&gt;YEAR(E180),1,(12-MONTH(E180)+1)/12))))-((P180)*(IF((YEAR(D180)+6)&lt;YEAR(E180),0,IF((YEAR(D180)+6)&gt;YEAR(E180),1,(12-MONTH(E180)+1)/12))) + (R180)*(IF((YEAR(D180)+6)&lt;YEAR(E180),0,IF((YEAR(D180)+6)&gt;YEAR(E180),1,(12-MONTH(E180)+1)/12))))-(IF(OR(N180="",N180&lt;=0),0,(O180/N180)*(IF(OR(N180="",N180&lt;=0),0,IF((YEAR(D180)+6)&lt;YEAR(E180),0,IF((YEAR(D180)+6)&gt;=YEAR(E180)+N180,0,IF((YEAR(D180)+6)=YEAR(E180),(12-MONTH(E180)+1)/12,1))))))))*TaxRate,0))-IF(6=0,O180,0))</f>
        <v/>
      </c>
      <c r="Z180" s="29">
        <f>IF(A180="","",((K180)*(IF(M180="",L180,IFERROR(IF(INDEX(Variablen!$I:$AT, MATCH(M180, Variablen!$A:$A, 0), MATCH((YEAR(D180)+7), Variablen!$I$3:$AT$3, 0))="",L180,INDEX(Variablen!$I:$AT, MATCH(M180, Variablen!$A:$A, 0), MATCH((YEAR(D180)+7), Variablen!$I$3:$AT$3, 0))),L180)))*(IF((YEAR(D180)+7)&lt;YEAR(E180),0,IF((YEAR(D180)+7)&gt;YEAR(E180),1,(12-MONTH(E180)+1)/12))) + (Q180)*(IF((YEAR(D180)+7)&lt;YEAR(E180),0,IF((YEAR(D180)+7)&gt;YEAR(E180),1,(12-MONTH(E180)+1)/12))))-((P180)*(IF((YEAR(D180)+7)&lt;YEAR(E180),0,IF((YEAR(D180)+7)&gt;YEAR(E180),1,(12-MONTH(E180)+1)/12))) + (R180)*(IF((YEAR(D180)+7)&lt;YEAR(E180),0,IF((YEAR(D180)+7)&gt;YEAR(E180),1,(12-MONTH(E180)+1)/12))))-(IF((((K180)*(IF(M180="",L180,IFERROR(IF(INDEX(Variablen!$I:$AT, MATCH(M180, Variablen!$A:$A, 0), MATCH((YEAR(D180)+7), Variablen!$I$3:$AT$3, 0))="",L180,INDEX(Variablen!$I:$AT, MATCH(M180, Variablen!$A:$A, 0), MATCH((YEAR(D180)+7), Variablen!$I$3:$AT$3, 0))),L180)))*(IF((YEAR(D180)+7)&lt;YEAR(E180),0,IF((YEAR(D180)+7)&gt;YEAR(E180),1,(12-MONTH(E180)+1)/12))) + (Q180)*(IF((YEAR(D180)+7)&lt;YEAR(E180),0,IF((YEAR(D180)+7)&gt;YEAR(E180),1,(12-MONTH(E180)+1)/12))))-((P180)*(IF((YEAR(D180)+7)&lt;YEAR(E180),0,IF((YEAR(D180)+7)&gt;YEAR(E180),1,(12-MONTH(E180)+1)/12))) + (R180)*(IF((YEAR(D180)+7)&lt;YEAR(E180),0,IF((YEAR(D180)+7)&gt;YEAR(E180),1,(12-MONTH(E180)+1)/12))))-(IF(OR(N180="",N180&lt;=0),0,(O180/N180)*(IF(OR(N180="",N180&lt;=0),0,IF((YEAR(D180)+7)&lt;YEAR(E180),0,IF((YEAR(D180)+7)&gt;=YEAR(E180)+N180,0,IF((YEAR(D180)+7)=YEAR(E180),(12-MONTH(E180)+1)/12,1))))))))&gt;0,(((K180)*(IF(M180="",L180,IFERROR(IF(INDEX(Variablen!$I:$AT, MATCH(M180, Variablen!$A:$A, 0), MATCH((YEAR(D180)+7), Variablen!$I$3:$AT$3, 0))="",L180,INDEX(Variablen!$I:$AT, MATCH(M180, Variablen!$A:$A, 0), MATCH((YEAR(D180)+7), Variablen!$I$3:$AT$3, 0))),L180)))*(IF((YEAR(D180)+7)&lt;YEAR(E180),0,IF((YEAR(D180)+7)&gt;YEAR(E180),1,(12-MONTH(E180)+1)/12))) + (Q180)*(IF((YEAR(D180)+7)&lt;YEAR(E180),0,IF((YEAR(D180)+7)&gt;YEAR(E180),1,(12-MONTH(E180)+1)/12))))-((P180)*(IF((YEAR(D180)+7)&lt;YEAR(E180),0,IF((YEAR(D180)+7)&gt;YEAR(E180),1,(12-MONTH(E180)+1)/12))) + (R180)*(IF((YEAR(D180)+7)&lt;YEAR(E180),0,IF((YEAR(D180)+7)&gt;YEAR(E180),1,(12-MONTH(E180)+1)/12))))-(IF(OR(N180="",N180&lt;=0),0,(O180/N180)*(IF(OR(N180="",N180&lt;=0),0,IF((YEAR(D180)+7)&lt;YEAR(E180),0,IF((YEAR(D180)+7)&gt;=YEAR(E180)+N180,0,IF((YEAR(D180)+7)=YEAR(E180),(12-MONTH(E180)+1)/12,1))))))))*TaxRate,0))-IF(7=0,O180,0))</f>
        <v/>
      </c>
      <c r="AA180" s="29">
        <f>IF(A180="","",((K180)*(IF(M180="",L180,IFERROR(IF(INDEX(Variablen!$I:$AT, MATCH(M180, Variablen!$A:$A, 0), MATCH((YEAR(D180)+8), Variablen!$I$3:$AT$3, 0))="",L180,INDEX(Variablen!$I:$AT, MATCH(M180, Variablen!$A:$A, 0), MATCH((YEAR(D180)+8), Variablen!$I$3:$AT$3, 0))),L180)))*(IF((YEAR(D180)+8)&lt;YEAR(E180),0,IF((YEAR(D180)+8)&gt;YEAR(E180),1,(12-MONTH(E180)+1)/12))) + (Q180)*(IF((YEAR(D180)+8)&lt;YEAR(E180),0,IF((YEAR(D180)+8)&gt;YEAR(E180),1,(12-MONTH(E180)+1)/12))))-((P180)*(IF((YEAR(D180)+8)&lt;YEAR(E180),0,IF((YEAR(D180)+8)&gt;YEAR(E180),1,(12-MONTH(E180)+1)/12))) + (R180)*(IF((YEAR(D180)+8)&lt;YEAR(E180),0,IF((YEAR(D180)+8)&gt;YEAR(E180),1,(12-MONTH(E180)+1)/12))))-(IF((((K180)*(IF(M180="",L180,IFERROR(IF(INDEX(Variablen!$I:$AT, MATCH(M180, Variablen!$A:$A, 0), MATCH((YEAR(D180)+8), Variablen!$I$3:$AT$3, 0))="",L180,INDEX(Variablen!$I:$AT, MATCH(M180, Variablen!$A:$A, 0), MATCH((YEAR(D180)+8), Variablen!$I$3:$AT$3, 0))),L180)))*(IF((YEAR(D180)+8)&lt;YEAR(E180),0,IF((YEAR(D180)+8)&gt;YEAR(E180),1,(12-MONTH(E180)+1)/12))) + (Q180)*(IF((YEAR(D180)+8)&lt;YEAR(E180),0,IF((YEAR(D180)+8)&gt;YEAR(E180),1,(12-MONTH(E180)+1)/12))))-((P180)*(IF((YEAR(D180)+8)&lt;YEAR(E180),0,IF((YEAR(D180)+8)&gt;YEAR(E180),1,(12-MONTH(E180)+1)/12))) + (R180)*(IF((YEAR(D180)+8)&lt;YEAR(E180),0,IF((YEAR(D180)+8)&gt;YEAR(E180),1,(12-MONTH(E180)+1)/12))))-(IF(OR(N180="",N180&lt;=0),0,(O180/N180)*(IF(OR(N180="",N180&lt;=0),0,IF((YEAR(D180)+8)&lt;YEAR(E180),0,IF((YEAR(D180)+8)&gt;=YEAR(E180)+N180,0,IF((YEAR(D180)+8)=YEAR(E180),(12-MONTH(E180)+1)/12,1))))))))&gt;0,(((K180)*(IF(M180="",L180,IFERROR(IF(INDEX(Variablen!$I:$AT, MATCH(M180, Variablen!$A:$A, 0), MATCH((YEAR(D180)+8), Variablen!$I$3:$AT$3, 0))="",L180,INDEX(Variablen!$I:$AT, MATCH(M180, Variablen!$A:$A, 0), MATCH((YEAR(D180)+8), Variablen!$I$3:$AT$3, 0))),L180)))*(IF((YEAR(D180)+8)&lt;YEAR(E180),0,IF((YEAR(D180)+8)&gt;YEAR(E180),1,(12-MONTH(E180)+1)/12))) + (Q180)*(IF((YEAR(D180)+8)&lt;YEAR(E180),0,IF((YEAR(D180)+8)&gt;YEAR(E180),1,(12-MONTH(E180)+1)/12))))-((P180)*(IF((YEAR(D180)+8)&lt;YEAR(E180),0,IF((YEAR(D180)+8)&gt;YEAR(E180),1,(12-MONTH(E180)+1)/12))) + (R180)*(IF((YEAR(D180)+8)&lt;YEAR(E180),0,IF((YEAR(D180)+8)&gt;YEAR(E180),1,(12-MONTH(E180)+1)/12))))-(IF(OR(N180="",N180&lt;=0),0,(O180/N180)*(IF(OR(N180="",N180&lt;=0),0,IF((YEAR(D180)+8)&lt;YEAR(E180),0,IF((YEAR(D180)+8)&gt;=YEAR(E180)+N180,0,IF((YEAR(D180)+8)=YEAR(E180),(12-MONTH(E180)+1)/12,1))))))))*TaxRate,0))-IF(8=0,O180,0))</f>
        <v/>
      </c>
      <c r="AB180" s="29">
        <f>IF(A180="","",((K180)*(IF(M180="",L180,IFERROR(IF(INDEX(Variablen!$I:$AT, MATCH(M180, Variablen!$A:$A, 0), MATCH((YEAR(D180)+9), Variablen!$I$3:$AT$3, 0))="",L180,INDEX(Variablen!$I:$AT, MATCH(M180, Variablen!$A:$A, 0), MATCH((YEAR(D180)+9), Variablen!$I$3:$AT$3, 0))),L180)))*(IF((YEAR(D180)+9)&lt;YEAR(E180),0,IF((YEAR(D180)+9)&gt;YEAR(E180),1,(12-MONTH(E180)+1)/12))) + (Q180)*(IF((YEAR(D180)+9)&lt;YEAR(E180),0,IF((YEAR(D180)+9)&gt;YEAR(E180),1,(12-MONTH(E180)+1)/12))))-((P180)*(IF((YEAR(D180)+9)&lt;YEAR(E180),0,IF((YEAR(D180)+9)&gt;YEAR(E180),1,(12-MONTH(E180)+1)/12))) + (R180)*(IF((YEAR(D180)+9)&lt;YEAR(E180),0,IF((YEAR(D180)+9)&gt;YEAR(E180),1,(12-MONTH(E180)+1)/12))))-(IF((((K180)*(IF(M180="",L180,IFERROR(IF(INDEX(Variablen!$I:$AT, MATCH(M180, Variablen!$A:$A, 0), MATCH((YEAR(D180)+9), Variablen!$I$3:$AT$3, 0))="",L180,INDEX(Variablen!$I:$AT, MATCH(M180, Variablen!$A:$A, 0), MATCH((YEAR(D180)+9), Variablen!$I$3:$AT$3, 0))),L180)))*(IF((YEAR(D180)+9)&lt;YEAR(E180),0,IF((YEAR(D180)+9)&gt;YEAR(E180),1,(12-MONTH(E180)+1)/12))) + (Q180)*(IF((YEAR(D180)+9)&lt;YEAR(E180),0,IF((YEAR(D180)+9)&gt;YEAR(E180),1,(12-MONTH(E180)+1)/12))))-((P180)*(IF((YEAR(D180)+9)&lt;YEAR(E180),0,IF((YEAR(D180)+9)&gt;YEAR(E180),1,(12-MONTH(E180)+1)/12))) + (R180)*(IF((YEAR(D180)+9)&lt;YEAR(E180),0,IF((YEAR(D180)+9)&gt;YEAR(E180),1,(12-MONTH(E180)+1)/12))))-(IF(OR(N180="",N180&lt;=0),0,(O180/N180)*(IF(OR(N180="",N180&lt;=0),0,IF((YEAR(D180)+9)&lt;YEAR(E180),0,IF((YEAR(D180)+9)&gt;=YEAR(E180)+N180,0,IF((YEAR(D180)+9)=YEAR(E180),(12-MONTH(E180)+1)/12,1))))))))&gt;0,(((K180)*(IF(M180="",L180,IFERROR(IF(INDEX(Variablen!$I:$AT, MATCH(M180, Variablen!$A:$A, 0), MATCH((YEAR(D180)+9), Variablen!$I$3:$AT$3, 0))="",L180,INDEX(Variablen!$I:$AT, MATCH(M180, Variablen!$A:$A, 0), MATCH((YEAR(D180)+9), Variablen!$I$3:$AT$3, 0))),L180)))*(IF((YEAR(D180)+9)&lt;YEAR(E180),0,IF((YEAR(D180)+9)&gt;YEAR(E180),1,(12-MONTH(E180)+1)/12))) + (Q180)*(IF((YEAR(D180)+9)&lt;YEAR(E180),0,IF((YEAR(D180)+9)&gt;YEAR(E180),1,(12-MONTH(E180)+1)/12))))-((P180)*(IF((YEAR(D180)+9)&lt;YEAR(E180),0,IF((YEAR(D180)+9)&gt;YEAR(E180),1,(12-MONTH(E180)+1)/12))) + (R180)*(IF((YEAR(D180)+9)&lt;YEAR(E180),0,IF((YEAR(D180)+9)&gt;YEAR(E180),1,(12-MONTH(E180)+1)/12))))-(IF(OR(N180="",N180&lt;=0),0,(O180/N180)*(IF(OR(N180="",N180&lt;=0),0,IF((YEAR(D180)+9)&lt;YEAR(E180),0,IF((YEAR(D180)+9)&gt;=YEAR(E180)+N180,0,IF((YEAR(D180)+9)=YEAR(E180),(12-MONTH(E180)+1)/12,1))))))))*TaxRate,0))-IF(9=0,O180,0))</f>
        <v/>
      </c>
      <c r="AC180" s="29">
        <f>IF(A180="","",((K180)*(IF(M180="",L180,IFERROR(IF(INDEX(Variablen!$I:$AT, MATCH(M180, Variablen!$A:$A, 0), MATCH((YEAR(D180)+10), Variablen!$I$3:$AT$3, 0))="",L180,INDEX(Variablen!$I:$AT, MATCH(M180, Variablen!$A:$A, 0), MATCH((YEAR(D180)+10), Variablen!$I$3:$AT$3, 0))),L180)))*(IF((YEAR(D180)+10)&lt;YEAR(E180),0,IF((YEAR(D180)+10)&gt;YEAR(E180),1,(12-MONTH(E180)+1)/12))) + (Q180)*(IF((YEAR(D180)+10)&lt;YEAR(E180),0,IF((YEAR(D180)+10)&gt;YEAR(E180),1,(12-MONTH(E180)+1)/12))))-((P180)*(IF((YEAR(D180)+10)&lt;YEAR(E180),0,IF((YEAR(D180)+10)&gt;YEAR(E180),1,(12-MONTH(E180)+1)/12))) + (R180)*(IF((YEAR(D180)+10)&lt;YEAR(E180),0,IF((YEAR(D180)+10)&gt;YEAR(E180),1,(12-MONTH(E180)+1)/12))))-(IF((((K180)*(IF(M180="",L180,IFERROR(IF(INDEX(Variablen!$I:$AT, MATCH(M180, Variablen!$A:$A, 0), MATCH((YEAR(D180)+10), Variablen!$I$3:$AT$3, 0))="",L180,INDEX(Variablen!$I:$AT, MATCH(M180, Variablen!$A:$A, 0), MATCH((YEAR(D180)+10), Variablen!$I$3:$AT$3, 0))),L180)))*(IF((YEAR(D180)+10)&lt;YEAR(E180),0,IF((YEAR(D180)+10)&gt;YEAR(E180),1,(12-MONTH(E180)+1)/12))) + (Q180)*(IF((YEAR(D180)+10)&lt;YEAR(E180),0,IF((YEAR(D180)+10)&gt;YEAR(E180),1,(12-MONTH(E180)+1)/12))))-((P180)*(IF((YEAR(D180)+10)&lt;YEAR(E180),0,IF((YEAR(D180)+10)&gt;YEAR(E180),1,(12-MONTH(E180)+1)/12))) + (R180)*(IF((YEAR(D180)+10)&lt;YEAR(E180),0,IF((YEAR(D180)+10)&gt;YEAR(E180),1,(12-MONTH(E180)+1)/12))))-(IF(OR(N180="",N180&lt;=0),0,(O180/N180)*(IF(OR(N180="",N180&lt;=0),0,IF((YEAR(D180)+10)&lt;YEAR(E180),0,IF((YEAR(D180)+10)&gt;=YEAR(E180)+N180,0,IF((YEAR(D180)+10)=YEAR(E180),(12-MONTH(E180)+1)/12,1))))))))&gt;0,(((K180)*(IF(M180="",L180,IFERROR(IF(INDEX(Variablen!$I:$AT, MATCH(M180, Variablen!$A:$A, 0), MATCH((YEAR(D180)+10), Variablen!$I$3:$AT$3, 0))="",L180,INDEX(Variablen!$I:$AT, MATCH(M180, Variablen!$A:$A, 0), MATCH((YEAR(D180)+10), Variablen!$I$3:$AT$3, 0))),L180)))*(IF((YEAR(D180)+10)&lt;YEAR(E180),0,IF((YEAR(D180)+10)&gt;YEAR(E180),1,(12-MONTH(E180)+1)/12))) + (Q180)*(IF((YEAR(D180)+10)&lt;YEAR(E180),0,IF((YEAR(D180)+10)&gt;YEAR(E180),1,(12-MONTH(E180)+1)/12))))-((P180)*(IF((YEAR(D180)+10)&lt;YEAR(E180),0,IF((YEAR(D180)+10)&gt;YEAR(E180),1,(12-MONTH(E180)+1)/12))) + (R180)*(IF((YEAR(D180)+10)&lt;YEAR(E180),0,IF((YEAR(D180)+10)&gt;YEAR(E180),1,(12-MONTH(E180)+1)/12))))-(IF(OR(N180="",N180&lt;=0),0,(O180/N180)*(IF(OR(N180="",N180&lt;=0),0,IF((YEAR(D180)+10)&lt;YEAR(E180),0,IF((YEAR(D180)+10)&gt;=YEAR(E180)+N180,0,IF((YEAR(D180)+10)=YEAR(E180),(12-MONTH(E180)+1)/12,1))))))))*TaxRate,0))-IF(10=0,O180,0))</f>
        <v/>
      </c>
      <c r="AD180" s="29">
        <f>IF(A180="","",((K180)*(IF(M180="",L180,IFERROR(IF(INDEX(Variablen!$I:$AT, MATCH(M180, Variablen!$A:$A, 0), MATCH((YEAR(D180)+11), Variablen!$I$3:$AT$3, 0))="",L180,INDEX(Variablen!$I:$AT, MATCH(M180, Variablen!$A:$A, 0), MATCH((YEAR(D180)+11), Variablen!$I$3:$AT$3, 0))),L180)))*(IF((YEAR(D180)+11)&lt;YEAR(E180),0,IF((YEAR(D180)+11)&gt;YEAR(E180),1,(12-MONTH(E180)+1)/12))) + (Q180)*(IF((YEAR(D180)+11)&lt;YEAR(E180),0,IF((YEAR(D180)+11)&gt;YEAR(E180),1,(12-MONTH(E180)+1)/12))))-((P180)*(IF((YEAR(D180)+11)&lt;YEAR(E180),0,IF((YEAR(D180)+11)&gt;YEAR(E180),1,(12-MONTH(E180)+1)/12))) + (R180)*(IF((YEAR(D180)+11)&lt;YEAR(E180),0,IF((YEAR(D180)+11)&gt;YEAR(E180),1,(12-MONTH(E180)+1)/12))))-(IF((((K180)*(IF(M180="",L180,IFERROR(IF(INDEX(Variablen!$I:$AT, MATCH(M180, Variablen!$A:$A, 0), MATCH((YEAR(D180)+11), Variablen!$I$3:$AT$3, 0))="",L180,INDEX(Variablen!$I:$AT, MATCH(M180, Variablen!$A:$A, 0), MATCH((YEAR(D180)+11), Variablen!$I$3:$AT$3, 0))),L180)))*(IF((YEAR(D180)+11)&lt;YEAR(E180),0,IF((YEAR(D180)+11)&gt;YEAR(E180),1,(12-MONTH(E180)+1)/12))) + (Q180)*(IF((YEAR(D180)+11)&lt;YEAR(E180),0,IF((YEAR(D180)+11)&gt;YEAR(E180),1,(12-MONTH(E180)+1)/12))))-((P180)*(IF((YEAR(D180)+11)&lt;YEAR(E180),0,IF((YEAR(D180)+11)&gt;YEAR(E180),1,(12-MONTH(E180)+1)/12))) + (R180)*(IF((YEAR(D180)+11)&lt;YEAR(E180),0,IF((YEAR(D180)+11)&gt;YEAR(E180),1,(12-MONTH(E180)+1)/12))))-(IF(OR(N180="",N180&lt;=0),0,(O180/N180)*(IF(OR(N180="",N180&lt;=0),0,IF((YEAR(D180)+11)&lt;YEAR(E180),0,IF((YEAR(D180)+11)&gt;=YEAR(E180)+N180,0,IF((YEAR(D180)+11)=YEAR(E180),(12-MONTH(E180)+1)/12,1))))))))&gt;0,(((K180)*(IF(M180="",L180,IFERROR(IF(INDEX(Variablen!$I:$AT, MATCH(M180, Variablen!$A:$A, 0), MATCH((YEAR(D180)+11), Variablen!$I$3:$AT$3, 0))="",L180,INDEX(Variablen!$I:$AT, MATCH(M180, Variablen!$A:$A, 0), MATCH((YEAR(D180)+11), Variablen!$I$3:$AT$3, 0))),L180)))*(IF((YEAR(D180)+11)&lt;YEAR(E180),0,IF((YEAR(D180)+11)&gt;YEAR(E180),1,(12-MONTH(E180)+1)/12))) + (Q180)*(IF((YEAR(D180)+11)&lt;YEAR(E180),0,IF((YEAR(D180)+11)&gt;YEAR(E180),1,(12-MONTH(E180)+1)/12))))-((P180)*(IF((YEAR(D180)+11)&lt;YEAR(E180),0,IF((YEAR(D180)+11)&gt;YEAR(E180),1,(12-MONTH(E180)+1)/12))) + (R180)*(IF((YEAR(D180)+11)&lt;YEAR(E180),0,IF((YEAR(D180)+11)&gt;YEAR(E180),1,(12-MONTH(E180)+1)/12))))-(IF(OR(N180="",N180&lt;=0),0,(O180/N180)*(IF(OR(N180="",N180&lt;=0),0,IF((YEAR(D180)+11)&lt;YEAR(E180),0,IF((YEAR(D180)+11)&gt;=YEAR(E180)+N180,0,IF((YEAR(D180)+11)=YEAR(E180),(12-MONTH(E180)+1)/12,1))))))))*TaxRate,0))-IF(11=0,O180,0))</f>
        <v/>
      </c>
      <c r="AE180" s="29">
        <f>IF(A180="","",((K180)*(IF(M180="",L180,IFERROR(IF(INDEX(Variablen!$I:$AT, MATCH(M180, Variablen!$A:$A, 0), MATCH((YEAR(D180)+12), Variablen!$I$3:$AT$3, 0))="",L180,INDEX(Variablen!$I:$AT, MATCH(M180, Variablen!$A:$A, 0), MATCH((YEAR(D180)+12), Variablen!$I$3:$AT$3, 0))),L180)))*(IF((YEAR(D180)+12)&lt;YEAR(E180),0,IF((YEAR(D180)+12)&gt;YEAR(E180),1,(12-MONTH(E180)+1)/12))) + (Q180)*(IF((YEAR(D180)+12)&lt;YEAR(E180),0,IF((YEAR(D180)+12)&gt;YEAR(E180),1,(12-MONTH(E180)+1)/12))))-((P180)*(IF((YEAR(D180)+12)&lt;YEAR(E180),0,IF((YEAR(D180)+12)&gt;YEAR(E180),1,(12-MONTH(E180)+1)/12))) + (R180)*(IF((YEAR(D180)+12)&lt;YEAR(E180),0,IF((YEAR(D180)+12)&gt;YEAR(E180),1,(12-MONTH(E180)+1)/12))))-(IF((((K180)*(IF(M180="",L180,IFERROR(IF(INDEX(Variablen!$I:$AT, MATCH(M180, Variablen!$A:$A, 0), MATCH((YEAR(D180)+12), Variablen!$I$3:$AT$3, 0))="",L180,INDEX(Variablen!$I:$AT, MATCH(M180, Variablen!$A:$A, 0), MATCH((YEAR(D180)+12), Variablen!$I$3:$AT$3, 0))),L180)))*(IF((YEAR(D180)+12)&lt;YEAR(E180),0,IF((YEAR(D180)+12)&gt;YEAR(E180),1,(12-MONTH(E180)+1)/12))) + (Q180)*(IF((YEAR(D180)+12)&lt;YEAR(E180),0,IF((YEAR(D180)+12)&gt;YEAR(E180),1,(12-MONTH(E180)+1)/12))))-((P180)*(IF((YEAR(D180)+12)&lt;YEAR(E180),0,IF((YEAR(D180)+12)&gt;YEAR(E180),1,(12-MONTH(E180)+1)/12))) + (R180)*(IF((YEAR(D180)+12)&lt;YEAR(E180),0,IF((YEAR(D180)+12)&gt;YEAR(E180),1,(12-MONTH(E180)+1)/12))))-(IF(OR(N180="",N180&lt;=0),0,(O180/N180)*(IF(OR(N180="",N180&lt;=0),0,IF((YEAR(D180)+12)&lt;YEAR(E180),0,IF((YEAR(D180)+12)&gt;=YEAR(E180)+N180,0,IF((YEAR(D180)+12)=YEAR(E180),(12-MONTH(E180)+1)/12,1))))))))&gt;0,(((K180)*(IF(M180="",L180,IFERROR(IF(INDEX(Variablen!$I:$AT, MATCH(M180, Variablen!$A:$A, 0), MATCH((YEAR(D180)+12), Variablen!$I$3:$AT$3, 0))="",L180,INDEX(Variablen!$I:$AT, MATCH(M180, Variablen!$A:$A, 0), MATCH((YEAR(D180)+12), Variablen!$I$3:$AT$3, 0))),L180)))*(IF((YEAR(D180)+12)&lt;YEAR(E180),0,IF((YEAR(D180)+12)&gt;YEAR(E180),1,(12-MONTH(E180)+1)/12))) + (Q180)*(IF((YEAR(D180)+12)&lt;YEAR(E180),0,IF((YEAR(D180)+12)&gt;YEAR(E180),1,(12-MONTH(E180)+1)/12))))-((P180)*(IF((YEAR(D180)+12)&lt;YEAR(E180),0,IF((YEAR(D180)+12)&gt;YEAR(E180),1,(12-MONTH(E180)+1)/12))) + (R180)*(IF((YEAR(D180)+12)&lt;YEAR(E180),0,IF((YEAR(D180)+12)&gt;YEAR(E180),1,(12-MONTH(E180)+1)/12))))-(IF(OR(N180="",N180&lt;=0),0,(O180/N180)*(IF(OR(N180="",N180&lt;=0),0,IF((YEAR(D180)+12)&lt;YEAR(E180),0,IF((YEAR(D180)+12)&gt;=YEAR(E180)+N180,0,IF((YEAR(D180)+12)=YEAR(E180),(12-MONTH(E180)+1)/12,1))))))))*TaxRate,0))-IF(12=0,O180,0))</f>
        <v/>
      </c>
      <c r="AF180" s="29">
        <f>IF(A180="","",((K180)*(IF(M180="",L180,IFERROR(IF(INDEX(Variablen!$I:$AT, MATCH(M180, Variablen!$A:$A, 0), MATCH((YEAR(D180)+13), Variablen!$I$3:$AT$3, 0))="",L180,INDEX(Variablen!$I:$AT, MATCH(M180, Variablen!$A:$A, 0), MATCH((YEAR(D180)+13), Variablen!$I$3:$AT$3, 0))),L180)))*(IF((YEAR(D180)+13)&lt;YEAR(E180),0,IF((YEAR(D180)+13)&gt;YEAR(E180),1,(12-MONTH(E180)+1)/12))) + (Q180)*(IF((YEAR(D180)+13)&lt;YEAR(E180),0,IF((YEAR(D180)+13)&gt;YEAR(E180),1,(12-MONTH(E180)+1)/12))))-((P180)*(IF((YEAR(D180)+13)&lt;YEAR(E180),0,IF((YEAR(D180)+13)&gt;YEAR(E180),1,(12-MONTH(E180)+1)/12))) + (R180)*(IF((YEAR(D180)+13)&lt;YEAR(E180),0,IF((YEAR(D180)+13)&gt;YEAR(E180),1,(12-MONTH(E180)+1)/12))))-(IF((((K180)*(IF(M180="",L180,IFERROR(IF(INDEX(Variablen!$I:$AT, MATCH(M180, Variablen!$A:$A, 0), MATCH((YEAR(D180)+13), Variablen!$I$3:$AT$3, 0))="",L180,INDEX(Variablen!$I:$AT, MATCH(M180, Variablen!$A:$A, 0), MATCH((YEAR(D180)+13), Variablen!$I$3:$AT$3, 0))),L180)))*(IF((YEAR(D180)+13)&lt;YEAR(E180),0,IF((YEAR(D180)+13)&gt;YEAR(E180),1,(12-MONTH(E180)+1)/12))) + (Q180)*(IF((YEAR(D180)+13)&lt;YEAR(E180),0,IF((YEAR(D180)+13)&gt;YEAR(E180),1,(12-MONTH(E180)+1)/12))))-((P180)*(IF((YEAR(D180)+13)&lt;YEAR(E180),0,IF((YEAR(D180)+13)&gt;YEAR(E180),1,(12-MONTH(E180)+1)/12))) + (R180)*(IF((YEAR(D180)+13)&lt;YEAR(E180),0,IF((YEAR(D180)+13)&gt;YEAR(E180),1,(12-MONTH(E180)+1)/12))))-(IF(OR(N180="",N180&lt;=0),0,(O180/N180)*(IF(OR(N180="",N180&lt;=0),0,IF((YEAR(D180)+13)&lt;YEAR(E180),0,IF((YEAR(D180)+13)&gt;=YEAR(E180)+N180,0,IF((YEAR(D180)+13)=YEAR(E180),(12-MONTH(E180)+1)/12,1))))))))&gt;0,(((K180)*(IF(M180="",L180,IFERROR(IF(INDEX(Variablen!$I:$AT, MATCH(M180, Variablen!$A:$A, 0), MATCH((YEAR(D180)+13), Variablen!$I$3:$AT$3, 0))="",L180,INDEX(Variablen!$I:$AT, MATCH(M180, Variablen!$A:$A, 0), MATCH((YEAR(D180)+13), Variablen!$I$3:$AT$3, 0))),L180)))*(IF((YEAR(D180)+13)&lt;YEAR(E180),0,IF((YEAR(D180)+13)&gt;YEAR(E180),1,(12-MONTH(E180)+1)/12))) + (Q180)*(IF((YEAR(D180)+13)&lt;YEAR(E180),0,IF((YEAR(D180)+13)&gt;YEAR(E180),1,(12-MONTH(E180)+1)/12))))-((P180)*(IF((YEAR(D180)+13)&lt;YEAR(E180),0,IF((YEAR(D180)+13)&gt;YEAR(E180),1,(12-MONTH(E180)+1)/12))) + (R180)*(IF((YEAR(D180)+13)&lt;YEAR(E180),0,IF((YEAR(D180)+13)&gt;YEAR(E180),1,(12-MONTH(E180)+1)/12))))-(IF(OR(N180="",N180&lt;=0),0,(O180/N180)*(IF(OR(N180="",N180&lt;=0),0,IF((YEAR(D180)+13)&lt;YEAR(E180),0,IF((YEAR(D180)+13)&gt;=YEAR(E180)+N180,0,IF((YEAR(D180)+13)=YEAR(E180),(12-MONTH(E180)+1)/12,1))))))))*TaxRate,0))-IF(13=0,O180,0))</f>
        <v/>
      </c>
      <c r="AG180" s="29">
        <f>IF(A180="","",((K180)*(IF(M180="",L180,IFERROR(IF(INDEX(Variablen!$I:$AT, MATCH(M180, Variablen!$A:$A, 0), MATCH((YEAR(D180)+14), Variablen!$I$3:$AT$3, 0))="",L180,INDEX(Variablen!$I:$AT, MATCH(M180, Variablen!$A:$A, 0), MATCH((YEAR(D180)+14), Variablen!$I$3:$AT$3, 0))),L180)))*(IF((YEAR(D180)+14)&lt;YEAR(E180),0,IF((YEAR(D180)+14)&gt;YEAR(E180),1,(12-MONTH(E180)+1)/12))) + (Q180)*(IF((YEAR(D180)+14)&lt;YEAR(E180),0,IF((YEAR(D180)+14)&gt;YEAR(E180),1,(12-MONTH(E180)+1)/12))))-((P180)*(IF((YEAR(D180)+14)&lt;YEAR(E180),0,IF((YEAR(D180)+14)&gt;YEAR(E180),1,(12-MONTH(E180)+1)/12))) + (R180)*(IF((YEAR(D180)+14)&lt;YEAR(E180),0,IF((YEAR(D180)+14)&gt;YEAR(E180),1,(12-MONTH(E180)+1)/12))))-(IF((((K180)*(IF(M180="",L180,IFERROR(IF(INDEX(Variablen!$I:$AT, MATCH(M180, Variablen!$A:$A, 0), MATCH((YEAR(D180)+14), Variablen!$I$3:$AT$3, 0))="",L180,INDEX(Variablen!$I:$AT, MATCH(M180, Variablen!$A:$A, 0), MATCH((YEAR(D180)+14), Variablen!$I$3:$AT$3, 0))),L180)))*(IF((YEAR(D180)+14)&lt;YEAR(E180),0,IF((YEAR(D180)+14)&gt;YEAR(E180),1,(12-MONTH(E180)+1)/12))) + (Q180)*(IF((YEAR(D180)+14)&lt;YEAR(E180),0,IF((YEAR(D180)+14)&gt;YEAR(E180),1,(12-MONTH(E180)+1)/12))))-((P180)*(IF((YEAR(D180)+14)&lt;YEAR(E180),0,IF((YEAR(D180)+14)&gt;YEAR(E180),1,(12-MONTH(E180)+1)/12))) + (R180)*(IF((YEAR(D180)+14)&lt;YEAR(E180),0,IF((YEAR(D180)+14)&gt;YEAR(E180),1,(12-MONTH(E180)+1)/12))))-(IF(OR(N180="",N180&lt;=0),0,(O180/N180)*(IF(OR(N180="",N180&lt;=0),0,IF((YEAR(D180)+14)&lt;YEAR(E180),0,IF((YEAR(D180)+14)&gt;=YEAR(E180)+N180,0,IF((YEAR(D180)+14)=YEAR(E180),(12-MONTH(E180)+1)/12,1))))))))&gt;0,(((K180)*(IF(M180="",L180,IFERROR(IF(INDEX(Variablen!$I:$AT, MATCH(M180, Variablen!$A:$A, 0), MATCH((YEAR(D180)+14), Variablen!$I$3:$AT$3, 0))="",L180,INDEX(Variablen!$I:$AT, MATCH(M180, Variablen!$A:$A, 0), MATCH((YEAR(D180)+14), Variablen!$I$3:$AT$3, 0))),L180)))*(IF((YEAR(D180)+14)&lt;YEAR(E180),0,IF((YEAR(D180)+14)&gt;YEAR(E180),1,(12-MONTH(E180)+1)/12))) + (Q180)*(IF((YEAR(D180)+14)&lt;YEAR(E180),0,IF((YEAR(D180)+14)&gt;YEAR(E180),1,(12-MONTH(E180)+1)/12))))-((P180)*(IF((YEAR(D180)+14)&lt;YEAR(E180),0,IF((YEAR(D180)+14)&gt;YEAR(E180),1,(12-MONTH(E180)+1)/12))) + (R180)*(IF((YEAR(D180)+14)&lt;YEAR(E180),0,IF((YEAR(D180)+14)&gt;YEAR(E180),1,(12-MONTH(E180)+1)/12))))-(IF(OR(N180="",N180&lt;=0),0,(O180/N180)*(IF(OR(N180="",N180&lt;=0),0,IF((YEAR(D180)+14)&lt;YEAR(E180),0,IF((YEAR(D180)+14)&gt;=YEAR(E180)+N180,0,IF((YEAR(D180)+14)=YEAR(E180),(12-MONTH(E180)+1)/12,1))))))))*TaxRate,0))-IF(14=0,O180,0))</f>
        <v/>
      </c>
      <c r="AH180" s="29">
        <f>IF(A180="","",((K180)*(IF(M180="",L180,IFERROR(IF(INDEX(Variablen!$I:$AT, MATCH(M180, Variablen!$A:$A, 0), MATCH((YEAR(D180)+15), Variablen!$I$3:$AT$3, 0))="",L180,INDEX(Variablen!$I:$AT, MATCH(M180, Variablen!$A:$A, 0), MATCH((YEAR(D180)+15), Variablen!$I$3:$AT$3, 0))),L180)))*(IF((YEAR(D180)+15)&lt;YEAR(E180),0,IF((YEAR(D180)+15)&gt;YEAR(E180),1,(12-MONTH(E180)+1)/12))) + (Q180)*(IF((YEAR(D180)+15)&lt;YEAR(E180),0,IF((YEAR(D180)+15)&gt;YEAR(E180),1,(12-MONTH(E180)+1)/12))))-((P180)*(IF((YEAR(D180)+15)&lt;YEAR(E180),0,IF((YEAR(D180)+15)&gt;YEAR(E180),1,(12-MONTH(E180)+1)/12))) + (R180)*(IF((YEAR(D180)+15)&lt;YEAR(E180),0,IF((YEAR(D180)+15)&gt;YEAR(E180),1,(12-MONTH(E180)+1)/12))))-(IF((((K180)*(IF(M180="",L180,IFERROR(IF(INDEX(Variablen!$I:$AT, MATCH(M180, Variablen!$A:$A, 0), MATCH((YEAR(D180)+15), Variablen!$I$3:$AT$3, 0))="",L180,INDEX(Variablen!$I:$AT, MATCH(M180, Variablen!$A:$A, 0), MATCH((YEAR(D180)+15), Variablen!$I$3:$AT$3, 0))),L180)))*(IF((YEAR(D180)+15)&lt;YEAR(E180),0,IF((YEAR(D180)+15)&gt;YEAR(E180),1,(12-MONTH(E180)+1)/12))) + (Q180)*(IF((YEAR(D180)+15)&lt;YEAR(E180),0,IF((YEAR(D180)+15)&gt;YEAR(E180),1,(12-MONTH(E180)+1)/12))))-((P180)*(IF((YEAR(D180)+15)&lt;YEAR(E180),0,IF((YEAR(D180)+15)&gt;YEAR(E180),1,(12-MONTH(E180)+1)/12))) + (R180)*(IF((YEAR(D180)+15)&lt;YEAR(E180),0,IF((YEAR(D180)+15)&gt;YEAR(E180),1,(12-MONTH(E180)+1)/12))))-(IF(OR(N180="",N180&lt;=0),0,(O180/N180)*(IF(OR(N180="",N180&lt;=0),0,IF((YEAR(D180)+15)&lt;YEAR(E180),0,IF((YEAR(D180)+15)&gt;=YEAR(E180)+N180,0,IF((YEAR(D180)+15)=YEAR(E180),(12-MONTH(E180)+1)/12,1))))))))&gt;0,(((K180)*(IF(M180="",L180,IFERROR(IF(INDEX(Variablen!$I:$AT, MATCH(M180, Variablen!$A:$A, 0), MATCH((YEAR(D180)+15), Variablen!$I$3:$AT$3, 0))="",L180,INDEX(Variablen!$I:$AT, MATCH(M180, Variablen!$A:$A, 0), MATCH((YEAR(D180)+15), Variablen!$I$3:$AT$3, 0))),L180)))*(IF((YEAR(D180)+15)&lt;YEAR(E180),0,IF((YEAR(D180)+15)&gt;YEAR(E180),1,(12-MONTH(E180)+1)/12))) + (Q180)*(IF((YEAR(D180)+15)&lt;YEAR(E180),0,IF((YEAR(D180)+15)&gt;YEAR(E180),1,(12-MONTH(E180)+1)/12))))-((P180)*(IF((YEAR(D180)+15)&lt;YEAR(E180),0,IF((YEAR(D180)+15)&gt;YEAR(E180),1,(12-MONTH(E180)+1)/12))) + (R180)*(IF((YEAR(D180)+15)&lt;YEAR(E180),0,IF((YEAR(D180)+15)&gt;YEAR(E180),1,(12-MONTH(E180)+1)/12))))-(IF(OR(N180="",N180&lt;=0),0,(O180/N180)*(IF(OR(N180="",N180&lt;=0),0,IF((YEAR(D180)+15)&lt;YEAR(E180),0,IF((YEAR(D180)+15)&gt;=YEAR(E180)+N180,0,IF((YEAR(D180)+15)=YEAR(E180),(12-MONTH(E180)+1)/12,1))))))))*TaxRate,0))-IF(15=0,O180,0))</f>
        <v/>
      </c>
      <c r="AI180" s="29">
        <f>IF(A180="","",((K180)*(IF(M180="",L180,IFERROR(IF(INDEX(Variablen!$I:$AT, MATCH(M180, Variablen!$A:$A, 0), MATCH((YEAR(D180)+16), Variablen!$I$3:$AT$3, 0))="",L180,INDEX(Variablen!$I:$AT, MATCH(M180, Variablen!$A:$A, 0), MATCH((YEAR(D180)+16), Variablen!$I$3:$AT$3, 0))),L180)))*(IF((YEAR(D180)+16)&lt;YEAR(E180),0,IF((YEAR(D180)+16)&gt;YEAR(E180),1,(12-MONTH(E180)+1)/12))) + (Q180)*(IF((YEAR(D180)+16)&lt;YEAR(E180),0,IF((YEAR(D180)+16)&gt;YEAR(E180),1,(12-MONTH(E180)+1)/12))))-((P180)*(IF((YEAR(D180)+16)&lt;YEAR(E180),0,IF((YEAR(D180)+16)&gt;YEAR(E180),1,(12-MONTH(E180)+1)/12))) + (R180)*(IF((YEAR(D180)+16)&lt;YEAR(E180),0,IF((YEAR(D180)+16)&gt;YEAR(E180),1,(12-MONTH(E180)+1)/12))))-(IF((((K180)*(IF(M180="",L180,IFERROR(IF(INDEX(Variablen!$I:$AT, MATCH(M180, Variablen!$A:$A, 0), MATCH((YEAR(D180)+16), Variablen!$I$3:$AT$3, 0))="",L180,INDEX(Variablen!$I:$AT, MATCH(M180, Variablen!$A:$A, 0), MATCH((YEAR(D180)+16), Variablen!$I$3:$AT$3, 0))),L180)))*(IF((YEAR(D180)+16)&lt;YEAR(E180),0,IF((YEAR(D180)+16)&gt;YEAR(E180),1,(12-MONTH(E180)+1)/12))) + (Q180)*(IF((YEAR(D180)+16)&lt;YEAR(E180),0,IF((YEAR(D180)+16)&gt;YEAR(E180),1,(12-MONTH(E180)+1)/12))))-((P180)*(IF((YEAR(D180)+16)&lt;YEAR(E180),0,IF((YEAR(D180)+16)&gt;YEAR(E180),1,(12-MONTH(E180)+1)/12))) + (R180)*(IF((YEAR(D180)+16)&lt;YEAR(E180),0,IF((YEAR(D180)+16)&gt;YEAR(E180),1,(12-MONTH(E180)+1)/12))))-(IF(OR(N180="",N180&lt;=0),0,(O180/N180)*(IF(OR(N180="",N180&lt;=0),0,IF((YEAR(D180)+16)&lt;YEAR(E180),0,IF((YEAR(D180)+16)&gt;=YEAR(E180)+N180,0,IF((YEAR(D180)+16)=YEAR(E180),(12-MONTH(E180)+1)/12,1))))))))&gt;0,(((K180)*(IF(M180="",L180,IFERROR(IF(INDEX(Variablen!$I:$AT, MATCH(M180, Variablen!$A:$A, 0), MATCH((YEAR(D180)+16), Variablen!$I$3:$AT$3, 0))="",L180,INDEX(Variablen!$I:$AT, MATCH(M180, Variablen!$A:$A, 0), MATCH((YEAR(D180)+16), Variablen!$I$3:$AT$3, 0))),L180)))*(IF((YEAR(D180)+16)&lt;YEAR(E180),0,IF((YEAR(D180)+16)&gt;YEAR(E180),1,(12-MONTH(E180)+1)/12))) + (Q180)*(IF((YEAR(D180)+16)&lt;YEAR(E180),0,IF((YEAR(D180)+16)&gt;YEAR(E180),1,(12-MONTH(E180)+1)/12))))-((P180)*(IF((YEAR(D180)+16)&lt;YEAR(E180),0,IF((YEAR(D180)+16)&gt;YEAR(E180),1,(12-MONTH(E180)+1)/12))) + (R180)*(IF((YEAR(D180)+16)&lt;YEAR(E180),0,IF((YEAR(D180)+16)&gt;YEAR(E180),1,(12-MONTH(E180)+1)/12))))-(IF(OR(N180="",N180&lt;=0),0,(O180/N180)*(IF(OR(N180="",N180&lt;=0),0,IF((YEAR(D180)+16)&lt;YEAR(E180),0,IF((YEAR(D180)+16)&gt;=YEAR(E180)+N180,0,IF((YEAR(D180)+16)=YEAR(E180),(12-MONTH(E180)+1)/12,1))))))))*TaxRate,0))-IF(16=0,O180,0))</f>
        <v/>
      </c>
      <c r="AJ180" s="29">
        <f>IF(A180="","",((K180)*(IF(M180="",L180,IFERROR(IF(INDEX(Variablen!$I:$AT, MATCH(M180, Variablen!$A:$A, 0), MATCH((YEAR(D180)+17), Variablen!$I$3:$AT$3, 0))="",L180,INDEX(Variablen!$I:$AT, MATCH(M180, Variablen!$A:$A, 0), MATCH((YEAR(D180)+17), Variablen!$I$3:$AT$3, 0))),L180)))*(IF((YEAR(D180)+17)&lt;YEAR(E180),0,IF((YEAR(D180)+17)&gt;YEAR(E180),1,(12-MONTH(E180)+1)/12))) + (Q180)*(IF((YEAR(D180)+17)&lt;YEAR(E180),0,IF((YEAR(D180)+17)&gt;YEAR(E180),1,(12-MONTH(E180)+1)/12))))-((P180)*(IF((YEAR(D180)+17)&lt;YEAR(E180),0,IF((YEAR(D180)+17)&gt;YEAR(E180),1,(12-MONTH(E180)+1)/12))) + (R180)*(IF((YEAR(D180)+17)&lt;YEAR(E180),0,IF((YEAR(D180)+17)&gt;YEAR(E180),1,(12-MONTH(E180)+1)/12))))-(IF((((K180)*(IF(M180="",L180,IFERROR(IF(INDEX(Variablen!$I:$AT, MATCH(M180, Variablen!$A:$A, 0), MATCH((YEAR(D180)+17), Variablen!$I$3:$AT$3, 0))="",L180,INDEX(Variablen!$I:$AT, MATCH(M180, Variablen!$A:$A, 0), MATCH((YEAR(D180)+17), Variablen!$I$3:$AT$3, 0))),L180)))*(IF((YEAR(D180)+17)&lt;YEAR(E180),0,IF((YEAR(D180)+17)&gt;YEAR(E180),1,(12-MONTH(E180)+1)/12))) + (Q180)*(IF((YEAR(D180)+17)&lt;YEAR(E180),0,IF((YEAR(D180)+17)&gt;YEAR(E180),1,(12-MONTH(E180)+1)/12))))-((P180)*(IF((YEAR(D180)+17)&lt;YEAR(E180),0,IF((YEAR(D180)+17)&gt;YEAR(E180),1,(12-MONTH(E180)+1)/12))) + (R180)*(IF((YEAR(D180)+17)&lt;YEAR(E180),0,IF((YEAR(D180)+17)&gt;YEAR(E180),1,(12-MONTH(E180)+1)/12))))-(IF(OR(N180="",N180&lt;=0),0,(O180/N180)*(IF(OR(N180="",N180&lt;=0),0,IF((YEAR(D180)+17)&lt;YEAR(E180),0,IF((YEAR(D180)+17)&gt;=YEAR(E180)+N180,0,IF((YEAR(D180)+17)=YEAR(E180),(12-MONTH(E180)+1)/12,1))))))))&gt;0,(((K180)*(IF(M180="",L180,IFERROR(IF(INDEX(Variablen!$I:$AT, MATCH(M180, Variablen!$A:$A, 0), MATCH((YEAR(D180)+17), Variablen!$I$3:$AT$3, 0))="",L180,INDEX(Variablen!$I:$AT, MATCH(M180, Variablen!$A:$A, 0), MATCH((YEAR(D180)+17), Variablen!$I$3:$AT$3, 0))),L180)))*(IF((YEAR(D180)+17)&lt;YEAR(E180),0,IF((YEAR(D180)+17)&gt;YEAR(E180),1,(12-MONTH(E180)+1)/12))) + (Q180)*(IF((YEAR(D180)+17)&lt;YEAR(E180),0,IF((YEAR(D180)+17)&gt;YEAR(E180),1,(12-MONTH(E180)+1)/12))))-((P180)*(IF((YEAR(D180)+17)&lt;YEAR(E180),0,IF((YEAR(D180)+17)&gt;YEAR(E180),1,(12-MONTH(E180)+1)/12))) + (R180)*(IF((YEAR(D180)+17)&lt;YEAR(E180),0,IF((YEAR(D180)+17)&gt;YEAR(E180),1,(12-MONTH(E180)+1)/12))))-(IF(OR(N180="",N180&lt;=0),0,(O180/N180)*(IF(OR(N180="",N180&lt;=0),0,IF((YEAR(D180)+17)&lt;YEAR(E180),0,IF((YEAR(D180)+17)&gt;=YEAR(E180)+N180,0,IF((YEAR(D180)+17)=YEAR(E180),(12-MONTH(E180)+1)/12,1))))))))*TaxRate,0))-IF(17=0,O180,0))</f>
        <v/>
      </c>
      <c r="AK180" s="29">
        <f>IF(A180="","",((K180)*(IF(M180="",L180,IFERROR(IF(INDEX(Variablen!$I:$AT, MATCH(M180, Variablen!$A:$A, 0), MATCH((YEAR(D180)+18), Variablen!$I$3:$AT$3, 0))="",L180,INDEX(Variablen!$I:$AT, MATCH(M180, Variablen!$A:$A, 0), MATCH((YEAR(D180)+18), Variablen!$I$3:$AT$3, 0))),L180)))*(IF((YEAR(D180)+18)&lt;YEAR(E180),0,IF((YEAR(D180)+18)&gt;YEAR(E180),1,(12-MONTH(E180)+1)/12))) + (Q180)*(IF((YEAR(D180)+18)&lt;YEAR(E180),0,IF((YEAR(D180)+18)&gt;YEAR(E180),1,(12-MONTH(E180)+1)/12))))-((P180)*(IF((YEAR(D180)+18)&lt;YEAR(E180),0,IF((YEAR(D180)+18)&gt;YEAR(E180),1,(12-MONTH(E180)+1)/12))) + (R180)*(IF((YEAR(D180)+18)&lt;YEAR(E180),0,IF((YEAR(D180)+18)&gt;YEAR(E180),1,(12-MONTH(E180)+1)/12))))-(IF((((K180)*(IF(M180="",L180,IFERROR(IF(INDEX(Variablen!$I:$AT, MATCH(M180, Variablen!$A:$A, 0), MATCH((YEAR(D180)+18), Variablen!$I$3:$AT$3, 0))="",L180,INDEX(Variablen!$I:$AT, MATCH(M180, Variablen!$A:$A, 0), MATCH((YEAR(D180)+18), Variablen!$I$3:$AT$3, 0))),L180)))*(IF((YEAR(D180)+18)&lt;YEAR(E180),0,IF((YEAR(D180)+18)&gt;YEAR(E180),1,(12-MONTH(E180)+1)/12))) + (Q180)*(IF((YEAR(D180)+18)&lt;YEAR(E180),0,IF((YEAR(D180)+18)&gt;YEAR(E180),1,(12-MONTH(E180)+1)/12))))-((P180)*(IF((YEAR(D180)+18)&lt;YEAR(E180),0,IF((YEAR(D180)+18)&gt;YEAR(E180),1,(12-MONTH(E180)+1)/12))) + (R180)*(IF((YEAR(D180)+18)&lt;YEAR(E180),0,IF((YEAR(D180)+18)&gt;YEAR(E180),1,(12-MONTH(E180)+1)/12))))-(IF(OR(N180="",N180&lt;=0),0,(O180/N180)*(IF(OR(N180="",N180&lt;=0),0,IF((YEAR(D180)+18)&lt;YEAR(E180),0,IF((YEAR(D180)+18)&gt;=YEAR(E180)+N180,0,IF((YEAR(D180)+18)=YEAR(E180),(12-MONTH(E180)+1)/12,1))))))))&gt;0,(((K180)*(IF(M180="",L180,IFERROR(IF(INDEX(Variablen!$I:$AT, MATCH(M180, Variablen!$A:$A, 0), MATCH((YEAR(D180)+18), Variablen!$I$3:$AT$3, 0))="",L180,INDEX(Variablen!$I:$AT, MATCH(M180, Variablen!$A:$A, 0), MATCH((YEAR(D180)+18), Variablen!$I$3:$AT$3, 0))),L180)))*(IF((YEAR(D180)+18)&lt;YEAR(E180),0,IF((YEAR(D180)+18)&gt;YEAR(E180),1,(12-MONTH(E180)+1)/12))) + (Q180)*(IF((YEAR(D180)+18)&lt;YEAR(E180),0,IF((YEAR(D180)+18)&gt;YEAR(E180),1,(12-MONTH(E180)+1)/12))))-((P180)*(IF((YEAR(D180)+18)&lt;YEAR(E180),0,IF((YEAR(D180)+18)&gt;YEAR(E180),1,(12-MONTH(E180)+1)/12))) + (R180)*(IF((YEAR(D180)+18)&lt;YEAR(E180),0,IF((YEAR(D180)+18)&gt;YEAR(E180),1,(12-MONTH(E180)+1)/12))))-(IF(OR(N180="",N180&lt;=0),0,(O180/N180)*(IF(OR(N180="",N180&lt;=0),0,IF((YEAR(D180)+18)&lt;YEAR(E180),0,IF((YEAR(D180)+18)&gt;=YEAR(E180)+N180,0,IF((YEAR(D180)+18)=YEAR(E180),(12-MONTH(E180)+1)/12,1))))))))*TaxRate,0))-IF(18=0,O180,0))</f>
        <v/>
      </c>
      <c r="AL180" s="29">
        <f>IF(A180="","",((K180)*(IF(M180="",L180,IFERROR(IF(INDEX(Variablen!$I:$AT, MATCH(M180, Variablen!$A:$A, 0), MATCH((YEAR(D180)+19), Variablen!$I$3:$AT$3, 0))="",L180,INDEX(Variablen!$I:$AT, MATCH(M180, Variablen!$A:$A, 0), MATCH((YEAR(D180)+19), Variablen!$I$3:$AT$3, 0))),L180)))*(IF((YEAR(D180)+19)&lt;YEAR(E180),0,IF((YEAR(D180)+19)&gt;YEAR(E180),1,(12-MONTH(E180)+1)/12))) + (Q180)*(IF((YEAR(D180)+19)&lt;YEAR(E180),0,IF((YEAR(D180)+19)&gt;YEAR(E180),1,(12-MONTH(E180)+1)/12))))-((P180)*(IF((YEAR(D180)+19)&lt;YEAR(E180),0,IF((YEAR(D180)+19)&gt;YEAR(E180),1,(12-MONTH(E180)+1)/12))) + (R180)*(IF((YEAR(D180)+19)&lt;YEAR(E180),0,IF((YEAR(D180)+19)&gt;YEAR(E180),1,(12-MONTH(E180)+1)/12))))-(IF((((K180)*(IF(M180="",L180,IFERROR(IF(INDEX(Variablen!$I:$AT, MATCH(M180, Variablen!$A:$A, 0), MATCH((YEAR(D180)+19), Variablen!$I$3:$AT$3, 0))="",L180,INDEX(Variablen!$I:$AT, MATCH(M180, Variablen!$A:$A, 0), MATCH((YEAR(D180)+19), Variablen!$I$3:$AT$3, 0))),L180)))*(IF((YEAR(D180)+19)&lt;YEAR(E180),0,IF((YEAR(D180)+19)&gt;YEAR(E180),1,(12-MONTH(E180)+1)/12))) + (Q180)*(IF((YEAR(D180)+19)&lt;YEAR(E180),0,IF((YEAR(D180)+19)&gt;YEAR(E180),1,(12-MONTH(E180)+1)/12))))-((P180)*(IF((YEAR(D180)+19)&lt;YEAR(E180),0,IF((YEAR(D180)+19)&gt;YEAR(E180),1,(12-MONTH(E180)+1)/12))) + (R180)*(IF((YEAR(D180)+19)&lt;YEAR(E180),0,IF((YEAR(D180)+19)&gt;YEAR(E180),1,(12-MONTH(E180)+1)/12))))-(IF(OR(N180="",N180&lt;=0),0,(O180/N180)*(IF(OR(N180="",N180&lt;=0),0,IF((YEAR(D180)+19)&lt;YEAR(E180),0,IF((YEAR(D180)+19)&gt;=YEAR(E180)+N180,0,IF((YEAR(D180)+19)=YEAR(E180),(12-MONTH(E180)+1)/12,1))))))))&gt;0,(((K180)*(IF(M180="",L180,IFERROR(IF(INDEX(Variablen!$I:$AT, MATCH(M180, Variablen!$A:$A, 0), MATCH((YEAR(D180)+19), Variablen!$I$3:$AT$3, 0))="",L180,INDEX(Variablen!$I:$AT, MATCH(M180, Variablen!$A:$A, 0), MATCH((YEAR(D180)+19), Variablen!$I$3:$AT$3, 0))),L180)))*(IF((YEAR(D180)+19)&lt;YEAR(E180),0,IF((YEAR(D180)+19)&gt;YEAR(E180),1,(12-MONTH(E180)+1)/12))) + (Q180)*(IF((YEAR(D180)+19)&lt;YEAR(E180),0,IF((YEAR(D180)+19)&gt;YEAR(E180),1,(12-MONTH(E180)+1)/12))))-((P180)*(IF((YEAR(D180)+19)&lt;YEAR(E180),0,IF((YEAR(D180)+19)&gt;YEAR(E180),1,(12-MONTH(E180)+1)/12))) + (R180)*(IF((YEAR(D180)+19)&lt;YEAR(E180),0,IF((YEAR(D180)+19)&gt;YEAR(E180),1,(12-MONTH(E180)+1)/12))))-(IF(OR(N180="",N180&lt;=0),0,(O180/N180)*(IF(OR(N180="",N180&lt;=0),0,IF((YEAR(D180)+19)&lt;YEAR(E180),0,IF((YEAR(D180)+19)&gt;=YEAR(E180)+N180,0,IF((YEAR(D180)+19)=YEAR(E180),(12-MONTH(E180)+1)/12,1))))))))*TaxRate,0))-IF(19=0,O180,0))</f>
        <v/>
      </c>
      <c r="AM180" s="29">
        <f>IF(A180="","",((K180)*(IF(M180="",L180,IFERROR(IF(INDEX(Variablen!$I:$AT, MATCH(M180, Variablen!$A:$A, 0), MATCH((YEAR(D180)+20), Variablen!$I$3:$AT$3, 0))="",L180,INDEX(Variablen!$I:$AT, MATCH(M180, Variablen!$A:$A, 0), MATCH((YEAR(D180)+20), Variablen!$I$3:$AT$3, 0))),L180)))*(IF((YEAR(D180)+20)&lt;YEAR(E180),0,IF((YEAR(D180)+20)&gt;YEAR(E180),1,(12-MONTH(E180)+1)/12))) + (Q180)*(IF((YEAR(D180)+20)&lt;YEAR(E180),0,IF((YEAR(D180)+20)&gt;YEAR(E180),1,(12-MONTH(E180)+1)/12))))-((P180)*(IF((YEAR(D180)+20)&lt;YEAR(E180),0,IF((YEAR(D180)+20)&gt;YEAR(E180),1,(12-MONTH(E180)+1)/12))) + (R180)*(IF((YEAR(D180)+20)&lt;YEAR(E180),0,IF((YEAR(D180)+20)&gt;YEAR(E180),1,(12-MONTH(E180)+1)/12))))-(IF((((K180)*(IF(M180="",L180,IFERROR(IF(INDEX(Variablen!$I:$AT, MATCH(M180, Variablen!$A:$A, 0), MATCH((YEAR(D180)+20), Variablen!$I$3:$AT$3, 0))="",L180,INDEX(Variablen!$I:$AT, MATCH(M180, Variablen!$A:$A, 0), MATCH((YEAR(D180)+20), Variablen!$I$3:$AT$3, 0))),L180)))*(IF((YEAR(D180)+20)&lt;YEAR(E180),0,IF((YEAR(D180)+20)&gt;YEAR(E180),1,(12-MONTH(E180)+1)/12))) + (Q180)*(IF((YEAR(D180)+20)&lt;YEAR(E180),0,IF((YEAR(D180)+20)&gt;YEAR(E180),1,(12-MONTH(E180)+1)/12))))-((P180)*(IF((YEAR(D180)+20)&lt;YEAR(E180),0,IF((YEAR(D180)+20)&gt;YEAR(E180),1,(12-MONTH(E180)+1)/12))) + (R180)*(IF((YEAR(D180)+20)&lt;YEAR(E180),0,IF((YEAR(D180)+20)&gt;YEAR(E180),1,(12-MONTH(E180)+1)/12))))-(IF(OR(N180="",N180&lt;=0),0,(O180/N180)*(IF(OR(N180="",N180&lt;=0),0,IF((YEAR(D180)+20)&lt;YEAR(E180),0,IF((YEAR(D180)+20)&gt;=YEAR(E180)+N180,0,IF((YEAR(D180)+20)=YEAR(E180),(12-MONTH(E180)+1)/12,1))))))))&gt;0,(((K180)*(IF(M180="",L180,IFERROR(IF(INDEX(Variablen!$I:$AT, MATCH(M180, Variablen!$A:$A, 0), MATCH((YEAR(D180)+20), Variablen!$I$3:$AT$3, 0))="",L180,INDEX(Variablen!$I:$AT, MATCH(M180, Variablen!$A:$A, 0), MATCH((YEAR(D180)+20), Variablen!$I$3:$AT$3, 0))),L180)))*(IF((YEAR(D180)+20)&lt;YEAR(E180),0,IF((YEAR(D180)+20)&gt;YEAR(E180),1,(12-MONTH(E180)+1)/12))) + (Q180)*(IF((YEAR(D180)+20)&lt;YEAR(E180),0,IF((YEAR(D180)+20)&gt;YEAR(E180),1,(12-MONTH(E180)+1)/12))))-((P180)*(IF((YEAR(D180)+20)&lt;YEAR(E180),0,IF((YEAR(D180)+20)&gt;YEAR(E180),1,(12-MONTH(E180)+1)/12))) + (R180)*(IF((YEAR(D180)+20)&lt;YEAR(E180),0,IF((YEAR(D180)+20)&gt;YEAR(E180),1,(12-MONTH(E180)+1)/12))))-(IF(OR(N180="",N180&lt;=0),0,(O180/N180)*(IF(OR(N180="",N180&lt;=0),0,IF((YEAR(D180)+20)&lt;YEAR(E180),0,IF((YEAR(D180)+20)&gt;=YEAR(E180)+N180,0,IF((YEAR(D180)+20)=YEAR(E180),(12-MONTH(E180)+1)/12,1))))))))*TaxRate,0))-IF(20=0,O180,0))</f>
        <v/>
      </c>
      <c r="AN180" s="29">
        <f>IF(A180="","",S180)</f>
        <v/>
      </c>
      <c r="AO180" s="29">
        <f>IF(A180="","",AN180+T180)</f>
        <v/>
      </c>
      <c r="AP180" s="29">
        <f>IF(A180="","",AO180+U180)</f>
        <v/>
      </c>
      <c r="AQ180" s="29">
        <f>IF(A180="","",AP180+V180)</f>
        <v/>
      </c>
      <c r="AR180" s="29">
        <f>IF(A180="","",AQ180+W180)</f>
        <v/>
      </c>
      <c r="AS180" s="29">
        <f>IF(A180="","",AR180+X180)</f>
        <v/>
      </c>
      <c r="AT180" s="29">
        <f>IF(A180="","",AS180+Y180)</f>
        <v/>
      </c>
      <c r="AU180" s="29">
        <f>IF(A180="","",AT180+Z180)</f>
        <v/>
      </c>
      <c r="AV180" s="29">
        <f>IF(A180="","",AU180+AA180)</f>
        <v/>
      </c>
      <c r="AW180" s="29">
        <f>IF(A180="","",AV180+AB180)</f>
        <v/>
      </c>
      <c r="AX180" s="29">
        <f>IF(A180="","",AW180+AC180)</f>
        <v/>
      </c>
      <c r="AY180" s="29">
        <f>IF(A180="","",AX180+AD180)</f>
        <v/>
      </c>
      <c r="AZ180" s="29">
        <f>IF(A180="","",AY180+AE180)</f>
        <v/>
      </c>
      <c r="BA180" s="29">
        <f>IF(A180="","",AZ180+AF180)</f>
        <v/>
      </c>
      <c r="BB180" s="29">
        <f>IF(A180="","",BA180+AG180)</f>
        <v/>
      </c>
      <c r="BC180" s="29">
        <f>IF(A180="","",BB180+AH180)</f>
        <v/>
      </c>
      <c r="BD180" s="29">
        <f>IF(A180="","",BC180+AI180)</f>
        <v/>
      </c>
      <c r="BE180" s="29">
        <f>IF(A180="","",BD180+AJ180)</f>
        <v/>
      </c>
      <c r="BF180" s="29">
        <f>IF(A180="","",BE180+AK180)</f>
        <v/>
      </c>
      <c r="BG180" s="29">
        <f>IF(A180="","",BF180+AL180)</f>
        <v/>
      </c>
      <c r="BH180" s="29">
        <f>IF(A180="","",BG180+AM180)</f>
        <v/>
      </c>
      <c r="BI180" s="36">
        <f>IF(A180="","",(K180)*(IF((YEAR(D180)+0)&lt;YEAR(E180),0,IF((YEAR(D180)+0)&gt;YEAR(E180),1,(12-MONTH(E180)+1)/12)))*(1/(1+DiscountRate)^0))</f>
        <v/>
      </c>
      <c r="BJ180" s="36">
        <f>IF(A180="","",(K180)*(IF((YEAR(D180)+1)&lt;YEAR(E180),0,IF((YEAR(D180)+1)&gt;YEAR(E180),1,(12-MONTH(E180)+1)/12)))*(1/(1+DiscountRate)^1))</f>
        <v/>
      </c>
      <c r="BK180" s="36">
        <f>IF(A180="","",(K180)*(IF((YEAR(D180)+2)&lt;YEAR(E180),0,IF((YEAR(D180)+2)&gt;YEAR(E180),1,(12-MONTH(E180)+1)/12)))*(1/(1+DiscountRate)^2))</f>
        <v/>
      </c>
      <c r="BL180" s="36">
        <f>IF(A180="","",(K180)*(IF((YEAR(D180)+3)&lt;YEAR(E180),0,IF((YEAR(D180)+3)&gt;YEAR(E180),1,(12-MONTH(E180)+1)/12)))*(1/(1+DiscountRate)^3))</f>
        <v/>
      </c>
      <c r="BM180" s="36">
        <f>IF(A180="","",(K180)*(IF((YEAR(D180)+4)&lt;YEAR(E180),0,IF((YEAR(D180)+4)&gt;YEAR(E180),1,(12-MONTH(E180)+1)/12)))*(1/(1+DiscountRate)^4))</f>
        <v/>
      </c>
      <c r="BN180" s="36">
        <f>IF(A180="","",(K180)*(IF((YEAR(D180)+5)&lt;YEAR(E180),0,IF((YEAR(D180)+5)&gt;YEAR(E180),1,(12-MONTH(E180)+1)/12)))*(1/(1+DiscountRate)^5))</f>
        <v/>
      </c>
      <c r="BO180" s="36">
        <f>IF(A180="","",(K180)*(IF((YEAR(D180)+6)&lt;YEAR(E180),0,IF((YEAR(D180)+6)&gt;YEAR(E180),1,(12-MONTH(E180)+1)/12)))*(1/(1+DiscountRate)^6))</f>
        <v/>
      </c>
      <c r="BP180" s="36">
        <f>IF(A180="","",(K180)*(IF((YEAR(D180)+7)&lt;YEAR(E180),0,IF((YEAR(D180)+7)&gt;YEAR(E180),1,(12-MONTH(E180)+1)/12)))*(1/(1+DiscountRate)^7))</f>
        <v/>
      </c>
      <c r="BQ180" s="36">
        <f>IF(A180="","",(K180)*(IF((YEAR(D180)+8)&lt;YEAR(E180),0,IF((YEAR(D180)+8)&gt;YEAR(E180),1,(12-MONTH(E180)+1)/12)))*(1/(1+DiscountRate)^8))</f>
        <v/>
      </c>
      <c r="BR180" s="36">
        <f>IF(A180="","",(K180)*(IF((YEAR(D180)+9)&lt;YEAR(E180),0,IF((YEAR(D180)+9)&gt;YEAR(E180),1,(12-MONTH(E180)+1)/12)))*(1/(1+DiscountRate)^9))</f>
        <v/>
      </c>
      <c r="BS180" s="36">
        <f>IF(A180="","",(K180)*(IF((YEAR(D180)+10)&lt;YEAR(E180),0,IF((YEAR(D180)+10)&gt;YEAR(E180),1,(12-MONTH(E180)+1)/12)))*(1/(1+DiscountRate)^10))</f>
        <v/>
      </c>
      <c r="BT180" s="36">
        <f>IF(A180="","",(K180)*(IF((YEAR(D180)+11)&lt;YEAR(E180),0,IF((YEAR(D180)+11)&gt;YEAR(E180),1,(12-MONTH(E180)+1)/12)))*(1/(1+DiscountRate)^11))</f>
        <v/>
      </c>
      <c r="BU180" s="36">
        <f>IF(A180="","",(K180)*(IF((YEAR(D180)+12)&lt;YEAR(E180),0,IF((YEAR(D180)+12)&gt;YEAR(E180),1,(12-MONTH(E180)+1)/12)))*(1/(1+DiscountRate)^12))</f>
        <v/>
      </c>
      <c r="BV180" s="36">
        <f>IF(A180="","",(K180)*(IF((YEAR(D180)+13)&lt;YEAR(E180),0,IF((YEAR(D180)+13)&gt;YEAR(E180),1,(12-MONTH(E180)+1)/12)))*(1/(1+DiscountRate)^13))</f>
        <v/>
      </c>
      <c r="BW180" s="36">
        <f>IF(A180="","",(K180)*(IF((YEAR(D180)+14)&lt;YEAR(E180),0,IF((YEAR(D180)+14)&gt;YEAR(E180),1,(12-MONTH(E180)+1)/12)))*(1/(1+DiscountRate)^14))</f>
        <v/>
      </c>
      <c r="BX180" s="36">
        <f>IF(A180="","",(K180)*(IF((YEAR(D180)+15)&lt;YEAR(E180),0,IF((YEAR(D180)+15)&gt;YEAR(E180),1,(12-MONTH(E180)+1)/12)))*(1/(1+DiscountRate)^15))</f>
        <v/>
      </c>
      <c r="BY180" s="36">
        <f>IF(A180="","",(K180)*(IF((YEAR(D180)+16)&lt;YEAR(E180),0,IF((YEAR(D180)+16)&gt;YEAR(E180),1,(12-MONTH(E180)+1)/12)))*(1/(1+DiscountRate)^16))</f>
        <v/>
      </c>
      <c r="BZ180" s="36">
        <f>IF(A180="","",(K180)*(IF((YEAR(D180)+17)&lt;YEAR(E180),0,IF((YEAR(D180)+17)&gt;YEAR(E180),1,(12-MONTH(E180)+1)/12)))*(1/(1+DiscountRate)^17))</f>
        <v/>
      </c>
      <c r="CA180" s="36">
        <f>IF(A180="","",(K180)*(IF((YEAR(D180)+18)&lt;YEAR(E180),0,IF((YEAR(D180)+18)&gt;YEAR(E180),1,(12-MONTH(E180)+1)/12)))*(1/(1+DiscountRate)^18))</f>
        <v/>
      </c>
      <c r="CB180" s="36">
        <f>IF(A180="","",(K180)*(IF((YEAR(D180)+19)&lt;YEAR(E180),0,IF((YEAR(D180)+19)&gt;YEAR(E180),1,(12-MONTH(E180)+1)/12)))*(1/(1+DiscountRate)^19))</f>
        <v/>
      </c>
      <c r="CC180" s="36">
        <f>IF(A180="","",(K180)*(IF((YEAR(D180)+20)&lt;YEAR(E180),0,IF((YEAR(D180)+20)&gt;YEAR(E180),1,(12-MONTH(E180)+1)/12)))*(1/(1+DiscountRate)^20))</f>
        <v/>
      </c>
      <c r="CD180" s="29">
        <f>IF(A180="","",S180/(1+DiscountRate)^0+T180/(1+DiscountRate)^1+U180/(1+DiscountRate)^2+V180/(1+DiscountRate)^3+W180/(1+DiscountRate)^4+X180/(1+DiscountRate)^5+Y180/(1+DiscountRate)^6+Z180/(1+DiscountRate)^7+AA180/(1+DiscountRate)^8+AB180/(1+DiscountRate)^9+AC180/(1+DiscountRate)^10+AD180/(1+DiscountRate)^11+AE180/(1+DiscountRate)^12+AF180/(1+DiscountRate)^13+AG180/(1+DiscountRate)^14+AH180/(1+DiscountRate)^15+AI180/(1+DiscountRate)^16+AJ180/(1+DiscountRate)^17+AK180/(1+DiscountRate)^18+AL180/(1+DiscountRate)^19+AM180/(1+DiscountRate)^20)</f>
        <v/>
      </c>
      <c r="CE180" s="37">
        <f>IF(A180="","",IFERROR(IRR(OFFSET(S180,0,0,1,MIN(HorizonYears,20)+1)),"n/a"))</f>
        <v/>
      </c>
      <c r="CF180" s="28">
        <f>IF(A180="","",IFERROR(MATCH(TRUE,OFFSET(AN180,0,0,1,MIN(HorizonYears,20)+1)&gt;=0,0)-1,"n/a"))</f>
        <v/>
      </c>
      <c r="CG180" s="36">
        <f>IF(A180="","",SUM(OFFSET(BI180,0,0,1,MIN(HorizonYears,20)+1)))</f>
        <v/>
      </c>
      <c r="CH180" s="36">
        <f>IF(A180="","",IFERROR(-CD180/CG180,"n/a"))</f>
        <v/>
      </c>
    </row>
    <row r="181">
      <c r="A181" s="6">
        <f>Actions!A179</f>
        <v/>
      </c>
      <c r="B181" s="6">
        <f>Actions!B179</f>
        <v/>
      </c>
      <c r="C181" s="6">
        <f>Actions!D179</f>
        <v/>
      </c>
      <c r="D181" s="35">
        <f>Actions!E179</f>
        <v/>
      </c>
      <c r="E181" s="35">
        <f>Actions!F179</f>
        <v/>
      </c>
      <c r="F181" s="6">
        <f>Actions!G179</f>
        <v/>
      </c>
      <c r="G181" s="6">
        <f>Actions!H179</f>
        <v/>
      </c>
      <c r="H181" s="29">
        <f>Actions!I179</f>
        <v/>
      </c>
      <c r="I181" s="6">
        <f>Actions!J179</f>
        <v/>
      </c>
      <c r="J181" s="16">
        <f>Actions!K179</f>
        <v/>
      </c>
      <c r="K181" s="16">
        <f>IF(A181="","",IF(I181="%",H181*J181,J181))</f>
        <v/>
      </c>
      <c r="L181" s="16">
        <f>Actions!L179</f>
        <v/>
      </c>
      <c r="M181" s="6">
        <f>Actions!M179</f>
        <v/>
      </c>
      <c r="N181" s="28">
        <f>Actions!N179</f>
        <v/>
      </c>
      <c r="O181" s="29">
        <f>Actions!T179</f>
        <v/>
      </c>
      <c r="P181" s="29">
        <f>Actions!Y179</f>
        <v/>
      </c>
      <c r="Q181" s="29">
        <f>Actions!Z179</f>
        <v/>
      </c>
      <c r="R181" s="29">
        <f>Actions!AA179</f>
        <v/>
      </c>
      <c r="S181" s="29">
        <f>IF(A181="","",((K181)*(IF(M181="",L181,IFERROR(IF(INDEX(Variablen!$I:$AT, MATCH(M181, Variablen!$A:$A, 0), MATCH((YEAR(D181)+0), Variablen!$I$3:$AT$3, 0))="",L181,INDEX(Variablen!$I:$AT, MATCH(M181, Variablen!$A:$A, 0), MATCH((YEAR(D181)+0), Variablen!$I$3:$AT$3, 0))),L181)))*(IF((YEAR(D181)+0)&lt;YEAR(E181),0,IF((YEAR(D181)+0)&gt;YEAR(E181),1,(12-MONTH(E181)+1)/12))) + (Q181)*(IF((YEAR(D181)+0)&lt;YEAR(E181),0,IF((YEAR(D181)+0)&gt;YEAR(E181),1,(12-MONTH(E181)+1)/12))))-((P181)*(IF((YEAR(D181)+0)&lt;YEAR(E181),0,IF((YEAR(D181)+0)&gt;YEAR(E181),1,(12-MONTH(E181)+1)/12))) + (R181)*(IF((YEAR(D181)+0)&lt;YEAR(E181),0,IF((YEAR(D181)+0)&gt;YEAR(E181),1,(12-MONTH(E181)+1)/12))))-(IF((((K181)*(IF(M181="",L181,IFERROR(IF(INDEX(Variablen!$I:$AT, MATCH(M181, Variablen!$A:$A, 0), MATCH((YEAR(D181)+0), Variablen!$I$3:$AT$3, 0))="",L181,INDEX(Variablen!$I:$AT, MATCH(M181, Variablen!$A:$A, 0), MATCH((YEAR(D181)+0), Variablen!$I$3:$AT$3, 0))),L181)))*(IF((YEAR(D181)+0)&lt;YEAR(E181),0,IF((YEAR(D181)+0)&gt;YEAR(E181),1,(12-MONTH(E181)+1)/12))) + (Q181)*(IF((YEAR(D181)+0)&lt;YEAR(E181),0,IF((YEAR(D181)+0)&gt;YEAR(E181),1,(12-MONTH(E181)+1)/12))))-((P181)*(IF((YEAR(D181)+0)&lt;YEAR(E181),0,IF((YEAR(D181)+0)&gt;YEAR(E181),1,(12-MONTH(E181)+1)/12))) + (R181)*(IF((YEAR(D181)+0)&lt;YEAR(E181),0,IF((YEAR(D181)+0)&gt;YEAR(E181),1,(12-MONTH(E181)+1)/12))))-(IF(OR(N181="",N181&lt;=0),0,(O181/N181)*(IF(OR(N181="",N181&lt;=0),0,IF((YEAR(D181)+0)&lt;YEAR(E181),0,IF((YEAR(D181)+0)&gt;=YEAR(E181)+N181,0,IF((YEAR(D181)+0)=YEAR(E181),(12-MONTH(E181)+1)/12,1))))))))&gt;0,(((K181)*(IF(M181="",L181,IFERROR(IF(INDEX(Variablen!$I:$AT, MATCH(M181, Variablen!$A:$A, 0), MATCH((YEAR(D181)+0), Variablen!$I$3:$AT$3, 0))="",L181,INDEX(Variablen!$I:$AT, MATCH(M181, Variablen!$A:$A, 0), MATCH((YEAR(D181)+0), Variablen!$I$3:$AT$3, 0))),L181)))*(IF((YEAR(D181)+0)&lt;YEAR(E181),0,IF((YEAR(D181)+0)&gt;YEAR(E181),1,(12-MONTH(E181)+1)/12))) + (Q181)*(IF((YEAR(D181)+0)&lt;YEAR(E181),0,IF((YEAR(D181)+0)&gt;YEAR(E181),1,(12-MONTH(E181)+1)/12))))-((P181)*(IF((YEAR(D181)+0)&lt;YEAR(E181),0,IF((YEAR(D181)+0)&gt;YEAR(E181),1,(12-MONTH(E181)+1)/12))) + (R181)*(IF((YEAR(D181)+0)&lt;YEAR(E181),0,IF((YEAR(D181)+0)&gt;YEAR(E181),1,(12-MONTH(E181)+1)/12))))-(IF(OR(N181="",N181&lt;=0),0,(O181/N181)*(IF(OR(N181="",N181&lt;=0),0,IF((YEAR(D181)+0)&lt;YEAR(E181),0,IF((YEAR(D181)+0)&gt;=YEAR(E181)+N181,0,IF((YEAR(D181)+0)=YEAR(E181),(12-MONTH(E181)+1)/12,1))))))))*TaxRate,0))-IF(0=0,O181,0))</f>
        <v/>
      </c>
      <c r="T181" s="29">
        <f>IF(A181="","",((K181)*(IF(M181="",L181,IFERROR(IF(INDEX(Variablen!$I:$AT, MATCH(M181, Variablen!$A:$A, 0), MATCH((YEAR(D181)+1), Variablen!$I$3:$AT$3, 0))="",L181,INDEX(Variablen!$I:$AT, MATCH(M181, Variablen!$A:$A, 0), MATCH((YEAR(D181)+1), Variablen!$I$3:$AT$3, 0))),L181)))*(IF((YEAR(D181)+1)&lt;YEAR(E181),0,IF((YEAR(D181)+1)&gt;YEAR(E181),1,(12-MONTH(E181)+1)/12))) + (Q181)*(IF((YEAR(D181)+1)&lt;YEAR(E181),0,IF((YEAR(D181)+1)&gt;YEAR(E181),1,(12-MONTH(E181)+1)/12))))-((P181)*(IF((YEAR(D181)+1)&lt;YEAR(E181),0,IF((YEAR(D181)+1)&gt;YEAR(E181),1,(12-MONTH(E181)+1)/12))) + (R181)*(IF((YEAR(D181)+1)&lt;YEAR(E181),0,IF((YEAR(D181)+1)&gt;YEAR(E181),1,(12-MONTH(E181)+1)/12))))-(IF((((K181)*(IF(M181="",L181,IFERROR(IF(INDEX(Variablen!$I:$AT, MATCH(M181, Variablen!$A:$A, 0), MATCH((YEAR(D181)+1), Variablen!$I$3:$AT$3, 0))="",L181,INDEX(Variablen!$I:$AT, MATCH(M181, Variablen!$A:$A, 0), MATCH((YEAR(D181)+1), Variablen!$I$3:$AT$3, 0))),L181)))*(IF((YEAR(D181)+1)&lt;YEAR(E181),0,IF((YEAR(D181)+1)&gt;YEAR(E181),1,(12-MONTH(E181)+1)/12))) + (Q181)*(IF((YEAR(D181)+1)&lt;YEAR(E181),0,IF((YEAR(D181)+1)&gt;YEAR(E181),1,(12-MONTH(E181)+1)/12))))-((P181)*(IF((YEAR(D181)+1)&lt;YEAR(E181),0,IF((YEAR(D181)+1)&gt;YEAR(E181),1,(12-MONTH(E181)+1)/12))) + (R181)*(IF((YEAR(D181)+1)&lt;YEAR(E181),0,IF((YEAR(D181)+1)&gt;YEAR(E181),1,(12-MONTH(E181)+1)/12))))-(IF(OR(N181="",N181&lt;=0),0,(O181/N181)*(IF(OR(N181="",N181&lt;=0),0,IF((YEAR(D181)+1)&lt;YEAR(E181),0,IF((YEAR(D181)+1)&gt;=YEAR(E181)+N181,0,IF((YEAR(D181)+1)=YEAR(E181),(12-MONTH(E181)+1)/12,1))))))))&gt;0,(((K181)*(IF(M181="",L181,IFERROR(IF(INDEX(Variablen!$I:$AT, MATCH(M181, Variablen!$A:$A, 0), MATCH((YEAR(D181)+1), Variablen!$I$3:$AT$3, 0))="",L181,INDEX(Variablen!$I:$AT, MATCH(M181, Variablen!$A:$A, 0), MATCH((YEAR(D181)+1), Variablen!$I$3:$AT$3, 0))),L181)))*(IF((YEAR(D181)+1)&lt;YEAR(E181),0,IF((YEAR(D181)+1)&gt;YEAR(E181),1,(12-MONTH(E181)+1)/12))) + (Q181)*(IF((YEAR(D181)+1)&lt;YEAR(E181),0,IF((YEAR(D181)+1)&gt;YEAR(E181),1,(12-MONTH(E181)+1)/12))))-((P181)*(IF((YEAR(D181)+1)&lt;YEAR(E181),0,IF((YEAR(D181)+1)&gt;YEAR(E181),1,(12-MONTH(E181)+1)/12))) + (R181)*(IF((YEAR(D181)+1)&lt;YEAR(E181),0,IF((YEAR(D181)+1)&gt;YEAR(E181),1,(12-MONTH(E181)+1)/12))))-(IF(OR(N181="",N181&lt;=0),0,(O181/N181)*(IF(OR(N181="",N181&lt;=0),0,IF((YEAR(D181)+1)&lt;YEAR(E181),0,IF((YEAR(D181)+1)&gt;=YEAR(E181)+N181,0,IF((YEAR(D181)+1)=YEAR(E181),(12-MONTH(E181)+1)/12,1))))))))*TaxRate,0))-IF(1=0,O181,0))</f>
        <v/>
      </c>
      <c r="U181" s="29">
        <f>IF(A181="","",((K181)*(IF(M181="",L181,IFERROR(IF(INDEX(Variablen!$I:$AT, MATCH(M181, Variablen!$A:$A, 0), MATCH((YEAR(D181)+2), Variablen!$I$3:$AT$3, 0))="",L181,INDEX(Variablen!$I:$AT, MATCH(M181, Variablen!$A:$A, 0), MATCH((YEAR(D181)+2), Variablen!$I$3:$AT$3, 0))),L181)))*(IF((YEAR(D181)+2)&lt;YEAR(E181),0,IF((YEAR(D181)+2)&gt;YEAR(E181),1,(12-MONTH(E181)+1)/12))) + (Q181)*(IF((YEAR(D181)+2)&lt;YEAR(E181),0,IF((YEAR(D181)+2)&gt;YEAR(E181),1,(12-MONTH(E181)+1)/12))))-((P181)*(IF((YEAR(D181)+2)&lt;YEAR(E181),0,IF((YEAR(D181)+2)&gt;YEAR(E181),1,(12-MONTH(E181)+1)/12))) + (R181)*(IF((YEAR(D181)+2)&lt;YEAR(E181),0,IF((YEAR(D181)+2)&gt;YEAR(E181),1,(12-MONTH(E181)+1)/12))))-(IF((((K181)*(IF(M181="",L181,IFERROR(IF(INDEX(Variablen!$I:$AT, MATCH(M181, Variablen!$A:$A, 0), MATCH((YEAR(D181)+2), Variablen!$I$3:$AT$3, 0))="",L181,INDEX(Variablen!$I:$AT, MATCH(M181, Variablen!$A:$A, 0), MATCH((YEAR(D181)+2), Variablen!$I$3:$AT$3, 0))),L181)))*(IF((YEAR(D181)+2)&lt;YEAR(E181),0,IF((YEAR(D181)+2)&gt;YEAR(E181),1,(12-MONTH(E181)+1)/12))) + (Q181)*(IF((YEAR(D181)+2)&lt;YEAR(E181),0,IF((YEAR(D181)+2)&gt;YEAR(E181),1,(12-MONTH(E181)+1)/12))))-((P181)*(IF((YEAR(D181)+2)&lt;YEAR(E181),0,IF((YEAR(D181)+2)&gt;YEAR(E181),1,(12-MONTH(E181)+1)/12))) + (R181)*(IF((YEAR(D181)+2)&lt;YEAR(E181),0,IF((YEAR(D181)+2)&gt;YEAR(E181),1,(12-MONTH(E181)+1)/12))))-(IF(OR(N181="",N181&lt;=0),0,(O181/N181)*(IF(OR(N181="",N181&lt;=0),0,IF((YEAR(D181)+2)&lt;YEAR(E181),0,IF((YEAR(D181)+2)&gt;=YEAR(E181)+N181,0,IF((YEAR(D181)+2)=YEAR(E181),(12-MONTH(E181)+1)/12,1))))))))&gt;0,(((K181)*(IF(M181="",L181,IFERROR(IF(INDEX(Variablen!$I:$AT, MATCH(M181, Variablen!$A:$A, 0), MATCH((YEAR(D181)+2), Variablen!$I$3:$AT$3, 0))="",L181,INDEX(Variablen!$I:$AT, MATCH(M181, Variablen!$A:$A, 0), MATCH((YEAR(D181)+2), Variablen!$I$3:$AT$3, 0))),L181)))*(IF((YEAR(D181)+2)&lt;YEAR(E181),0,IF((YEAR(D181)+2)&gt;YEAR(E181),1,(12-MONTH(E181)+1)/12))) + (Q181)*(IF((YEAR(D181)+2)&lt;YEAR(E181),0,IF((YEAR(D181)+2)&gt;YEAR(E181),1,(12-MONTH(E181)+1)/12))))-((P181)*(IF((YEAR(D181)+2)&lt;YEAR(E181),0,IF((YEAR(D181)+2)&gt;YEAR(E181),1,(12-MONTH(E181)+1)/12))) + (R181)*(IF((YEAR(D181)+2)&lt;YEAR(E181),0,IF((YEAR(D181)+2)&gt;YEAR(E181),1,(12-MONTH(E181)+1)/12))))-(IF(OR(N181="",N181&lt;=0),0,(O181/N181)*(IF(OR(N181="",N181&lt;=0),0,IF((YEAR(D181)+2)&lt;YEAR(E181),0,IF((YEAR(D181)+2)&gt;=YEAR(E181)+N181,0,IF((YEAR(D181)+2)=YEAR(E181),(12-MONTH(E181)+1)/12,1))))))))*TaxRate,0))-IF(2=0,O181,0))</f>
        <v/>
      </c>
      <c r="V181" s="29">
        <f>IF(A181="","",((K181)*(IF(M181="",L181,IFERROR(IF(INDEX(Variablen!$I:$AT, MATCH(M181, Variablen!$A:$A, 0), MATCH((YEAR(D181)+3), Variablen!$I$3:$AT$3, 0))="",L181,INDEX(Variablen!$I:$AT, MATCH(M181, Variablen!$A:$A, 0), MATCH((YEAR(D181)+3), Variablen!$I$3:$AT$3, 0))),L181)))*(IF((YEAR(D181)+3)&lt;YEAR(E181),0,IF((YEAR(D181)+3)&gt;YEAR(E181),1,(12-MONTH(E181)+1)/12))) + (Q181)*(IF((YEAR(D181)+3)&lt;YEAR(E181),0,IF((YEAR(D181)+3)&gt;YEAR(E181),1,(12-MONTH(E181)+1)/12))))-((P181)*(IF((YEAR(D181)+3)&lt;YEAR(E181),0,IF((YEAR(D181)+3)&gt;YEAR(E181),1,(12-MONTH(E181)+1)/12))) + (R181)*(IF((YEAR(D181)+3)&lt;YEAR(E181),0,IF((YEAR(D181)+3)&gt;YEAR(E181),1,(12-MONTH(E181)+1)/12))))-(IF((((K181)*(IF(M181="",L181,IFERROR(IF(INDEX(Variablen!$I:$AT, MATCH(M181, Variablen!$A:$A, 0), MATCH((YEAR(D181)+3), Variablen!$I$3:$AT$3, 0))="",L181,INDEX(Variablen!$I:$AT, MATCH(M181, Variablen!$A:$A, 0), MATCH((YEAR(D181)+3), Variablen!$I$3:$AT$3, 0))),L181)))*(IF((YEAR(D181)+3)&lt;YEAR(E181),0,IF((YEAR(D181)+3)&gt;YEAR(E181),1,(12-MONTH(E181)+1)/12))) + (Q181)*(IF((YEAR(D181)+3)&lt;YEAR(E181),0,IF((YEAR(D181)+3)&gt;YEAR(E181),1,(12-MONTH(E181)+1)/12))))-((P181)*(IF((YEAR(D181)+3)&lt;YEAR(E181),0,IF((YEAR(D181)+3)&gt;YEAR(E181),1,(12-MONTH(E181)+1)/12))) + (R181)*(IF((YEAR(D181)+3)&lt;YEAR(E181),0,IF((YEAR(D181)+3)&gt;YEAR(E181),1,(12-MONTH(E181)+1)/12))))-(IF(OR(N181="",N181&lt;=0),0,(O181/N181)*(IF(OR(N181="",N181&lt;=0),0,IF((YEAR(D181)+3)&lt;YEAR(E181),0,IF((YEAR(D181)+3)&gt;=YEAR(E181)+N181,0,IF((YEAR(D181)+3)=YEAR(E181),(12-MONTH(E181)+1)/12,1))))))))&gt;0,(((K181)*(IF(M181="",L181,IFERROR(IF(INDEX(Variablen!$I:$AT, MATCH(M181, Variablen!$A:$A, 0), MATCH((YEAR(D181)+3), Variablen!$I$3:$AT$3, 0))="",L181,INDEX(Variablen!$I:$AT, MATCH(M181, Variablen!$A:$A, 0), MATCH((YEAR(D181)+3), Variablen!$I$3:$AT$3, 0))),L181)))*(IF((YEAR(D181)+3)&lt;YEAR(E181),0,IF((YEAR(D181)+3)&gt;YEAR(E181),1,(12-MONTH(E181)+1)/12))) + (Q181)*(IF((YEAR(D181)+3)&lt;YEAR(E181),0,IF((YEAR(D181)+3)&gt;YEAR(E181),1,(12-MONTH(E181)+1)/12))))-((P181)*(IF((YEAR(D181)+3)&lt;YEAR(E181),0,IF((YEAR(D181)+3)&gt;YEAR(E181),1,(12-MONTH(E181)+1)/12))) + (R181)*(IF((YEAR(D181)+3)&lt;YEAR(E181),0,IF((YEAR(D181)+3)&gt;YEAR(E181),1,(12-MONTH(E181)+1)/12))))-(IF(OR(N181="",N181&lt;=0),0,(O181/N181)*(IF(OR(N181="",N181&lt;=0),0,IF((YEAR(D181)+3)&lt;YEAR(E181),0,IF((YEAR(D181)+3)&gt;=YEAR(E181)+N181,0,IF((YEAR(D181)+3)=YEAR(E181),(12-MONTH(E181)+1)/12,1))))))))*TaxRate,0))-IF(3=0,O181,0))</f>
        <v/>
      </c>
      <c r="W181" s="29">
        <f>IF(A181="","",((K181)*(IF(M181="",L181,IFERROR(IF(INDEX(Variablen!$I:$AT, MATCH(M181, Variablen!$A:$A, 0), MATCH((YEAR(D181)+4), Variablen!$I$3:$AT$3, 0))="",L181,INDEX(Variablen!$I:$AT, MATCH(M181, Variablen!$A:$A, 0), MATCH((YEAR(D181)+4), Variablen!$I$3:$AT$3, 0))),L181)))*(IF((YEAR(D181)+4)&lt;YEAR(E181),0,IF((YEAR(D181)+4)&gt;YEAR(E181),1,(12-MONTH(E181)+1)/12))) + (Q181)*(IF((YEAR(D181)+4)&lt;YEAR(E181),0,IF((YEAR(D181)+4)&gt;YEAR(E181),1,(12-MONTH(E181)+1)/12))))-((P181)*(IF((YEAR(D181)+4)&lt;YEAR(E181),0,IF((YEAR(D181)+4)&gt;YEAR(E181),1,(12-MONTH(E181)+1)/12))) + (R181)*(IF((YEAR(D181)+4)&lt;YEAR(E181),0,IF((YEAR(D181)+4)&gt;YEAR(E181),1,(12-MONTH(E181)+1)/12))))-(IF((((K181)*(IF(M181="",L181,IFERROR(IF(INDEX(Variablen!$I:$AT, MATCH(M181, Variablen!$A:$A, 0), MATCH((YEAR(D181)+4), Variablen!$I$3:$AT$3, 0))="",L181,INDEX(Variablen!$I:$AT, MATCH(M181, Variablen!$A:$A, 0), MATCH((YEAR(D181)+4), Variablen!$I$3:$AT$3, 0))),L181)))*(IF((YEAR(D181)+4)&lt;YEAR(E181),0,IF((YEAR(D181)+4)&gt;YEAR(E181),1,(12-MONTH(E181)+1)/12))) + (Q181)*(IF((YEAR(D181)+4)&lt;YEAR(E181),0,IF((YEAR(D181)+4)&gt;YEAR(E181),1,(12-MONTH(E181)+1)/12))))-((P181)*(IF((YEAR(D181)+4)&lt;YEAR(E181),0,IF((YEAR(D181)+4)&gt;YEAR(E181),1,(12-MONTH(E181)+1)/12))) + (R181)*(IF((YEAR(D181)+4)&lt;YEAR(E181),0,IF((YEAR(D181)+4)&gt;YEAR(E181),1,(12-MONTH(E181)+1)/12))))-(IF(OR(N181="",N181&lt;=0),0,(O181/N181)*(IF(OR(N181="",N181&lt;=0),0,IF((YEAR(D181)+4)&lt;YEAR(E181),0,IF((YEAR(D181)+4)&gt;=YEAR(E181)+N181,0,IF((YEAR(D181)+4)=YEAR(E181),(12-MONTH(E181)+1)/12,1))))))))&gt;0,(((K181)*(IF(M181="",L181,IFERROR(IF(INDEX(Variablen!$I:$AT, MATCH(M181, Variablen!$A:$A, 0), MATCH((YEAR(D181)+4), Variablen!$I$3:$AT$3, 0))="",L181,INDEX(Variablen!$I:$AT, MATCH(M181, Variablen!$A:$A, 0), MATCH((YEAR(D181)+4), Variablen!$I$3:$AT$3, 0))),L181)))*(IF((YEAR(D181)+4)&lt;YEAR(E181),0,IF((YEAR(D181)+4)&gt;YEAR(E181),1,(12-MONTH(E181)+1)/12))) + (Q181)*(IF((YEAR(D181)+4)&lt;YEAR(E181),0,IF((YEAR(D181)+4)&gt;YEAR(E181),1,(12-MONTH(E181)+1)/12))))-((P181)*(IF((YEAR(D181)+4)&lt;YEAR(E181),0,IF((YEAR(D181)+4)&gt;YEAR(E181),1,(12-MONTH(E181)+1)/12))) + (R181)*(IF((YEAR(D181)+4)&lt;YEAR(E181),0,IF((YEAR(D181)+4)&gt;YEAR(E181),1,(12-MONTH(E181)+1)/12))))-(IF(OR(N181="",N181&lt;=0),0,(O181/N181)*(IF(OR(N181="",N181&lt;=0),0,IF((YEAR(D181)+4)&lt;YEAR(E181),0,IF((YEAR(D181)+4)&gt;=YEAR(E181)+N181,0,IF((YEAR(D181)+4)=YEAR(E181),(12-MONTH(E181)+1)/12,1))))))))*TaxRate,0))-IF(4=0,O181,0))</f>
        <v/>
      </c>
      <c r="X181" s="29">
        <f>IF(A181="","",((K181)*(IF(M181="",L181,IFERROR(IF(INDEX(Variablen!$I:$AT, MATCH(M181, Variablen!$A:$A, 0), MATCH((YEAR(D181)+5), Variablen!$I$3:$AT$3, 0))="",L181,INDEX(Variablen!$I:$AT, MATCH(M181, Variablen!$A:$A, 0), MATCH((YEAR(D181)+5), Variablen!$I$3:$AT$3, 0))),L181)))*(IF((YEAR(D181)+5)&lt;YEAR(E181),0,IF((YEAR(D181)+5)&gt;YEAR(E181),1,(12-MONTH(E181)+1)/12))) + (Q181)*(IF((YEAR(D181)+5)&lt;YEAR(E181),0,IF((YEAR(D181)+5)&gt;YEAR(E181),1,(12-MONTH(E181)+1)/12))))-((P181)*(IF((YEAR(D181)+5)&lt;YEAR(E181),0,IF((YEAR(D181)+5)&gt;YEAR(E181),1,(12-MONTH(E181)+1)/12))) + (R181)*(IF((YEAR(D181)+5)&lt;YEAR(E181),0,IF((YEAR(D181)+5)&gt;YEAR(E181),1,(12-MONTH(E181)+1)/12))))-(IF((((K181)*(IF(M181="",L181,IFERROR(IF(INDEX(Variablen!$I:$AT, MATCH(M181, Variablen!$A:$A, 0), MATCH((YEAR(D181)+5), Variablen!$I$3:$AT$3, 0))="",L181,INDEX(Variablen!$I:$AT, MATCH(M181, Variablen!$A:$A, 0), MATCH((YEAR(D181)+5), Variablen!$I$3:$AT$3, 0))),L181)))*(IF((YEAR(D181)+5)&lt;YEAR(E181),0,IF((YEAR(D181)+5)&gt;YEAR(E181),1,(12-MONTH(E181)+1)/12))) + (Q181)*(IF((YEAR(D181)+5)&lt;YEAR(E181),0,IF((YEAR(D181)+5)&gt;YEAR(E181),1,(12-MONTH(E181)+1)/12))))-((P181)*(IF((YEAR(D181)+5)&lt;YEAR(E181),0,IF((YEAR(D181)+5)&gt;YEAR(E181),1,(12-MONTH(E181)+1)/12))) + (R181)*(IF((YEAR(D181)+5)&lt;YEAR(E181),0,IF((YEAR(D181)+5)&gt;YEAR(E181),1,(12-MONTH(E181)+1)/12))))-(IF(OR(N181="",N181&lt;=0),0,(O181/N181)*(IF(OR(N181="",N181&lt;=0),0,IF((YEAR(D181)+5)&lt;YEAR(E181),0,IF((YEAR(D181)+5)&gt;=YEAR(E181)+N181,0,IF((YEAR(D181)+5)=YEAR(E181),(12-MONTH(E181)+1)/12,1))))))))&gt;0,(((K181)*(IF(M181="",L181,IFERROR(IF(INDEX(Variablen!$I:$AT, MATCH(M181, Variablen!$A:$A, 0), MATCH((YEAR(D181)+5), Variablen!$I$3:$AT$3, 0))="",L181,INDEX(Variablen!$I:$AT, MATCH(M181, Variablen!$A:$A, 0), MATCH((YEAR(D181)+5), Variablen!$I$3:$AT$3, 0))),L181)))*(IF((YEAR(D181)+5)&lt;YEAR(E181),0,IF((YEAR(D181)+5)&gt;YEAR(E181),1,(12-MONTH(E181)+1)/12))) + (Q181)*(IF((YEAR(D181)+5)&lt;YEAR(E181),0,IF((YEAR(D181)+5)&gt;YEAR(E181),1,(12-MONTH(E181)+1)/12))))-((P181)*(IF((YEAR(D181)+5)&lt;YEAR(E181),0,IF((YEAR(D181)+5)&gt;YEAR(E181),1,(12-MONTH(E181)+1)/12))) + (R181)*(IF((YEAR(D181)+5)&lt;YEAR(E181),0,IF((YEAR(D181)+5)&gt;YEAR(E181),1,(12-MONTH(E181)+1)/12))))-(IF(OR(N181="",N181&lt;=0),0,(O181/N181)*(IF(OR(N181="",N181&lt;=0),0,IF((YEAR(D181)+5)&lt;YEAR(E181),0,IF((YEAR(D181)+5)&gt;=YEAR(E181)+N181,0,IF((YEAR(D181)+5)=YEAR(E181),(12-MONTH(E181)+1)/12,1))))))))*TaxRate,0))-IF(5=0,O181,0))</f>
        <v/>
      </c>
      <c r="Y181" s="29">
        <f>IF(A181="","",((K181)*(IF(M181="",L181,IFERROR(IF(INDEX(Variablen!$I:$AT, MATCH(M181, Variablen!$A:$A, 0), MATCH((YEAR(D181)+6), Variablen!$I$3:$AT$3, 0))="",L181,INDEX(Variablen!$I:$AT, MATCH(M181, Variablen!$A:$A, 0), MATCH((YEAR(D181)+6), Variablen!$I$3:$AT$3, 0))),L181)))*(IF((YEAR(D181)+6)&lt;YEAR(E181),0,IF((YEAR(D181)+6)&gt;YEAR(E181),1,(12-MONTH(E181)+1)/12))) + (Q181)*(IF((YEAR(D181)+6)&lt;YEAR(E181),0,IF((YEAR(D181)+6)&gt;YEAR(E181),1,(12-MONTH(E181)+1)/12))))-((P181)*(IF((YEAR(D181)+6)&lt;YEAR(E181),0,IF((YEAR(D181)+6)&gt;YEAR(E181),1,(12-MONTH(E181)+1)/12))) + (R181)*(IF((YEAR(D181)+6)&lt;YEAR(E181),0,IF((YEAR(D181)+6)&gt;YEAR(E181),1,(12-MONTH(E181)+1)/12))))-(IF((((K181)*(IF(M181="",L181,IFERROR(IF(INDEX(Variablen!$I:$AT, MATCH(M181, Variablen!$A:$A, 0), MATCH((YEAR(D181)+6), Variablen!$I$3:$AT$3, 0))="",L181,INDEX(Variablen!$I:$AT, MATCH(M181, Variablen!$A:$A, 0), MATCH((YEAR(D181)+6), Variablen!$I$3:$AT$3, 0))),L181)))*(IF((YEAR(D181)+6)&lt;YEAR(E181),0,IF((YEAR(D181)+6)&gt;YEAR(E181),1,(12-MONTH(E181)+1)/12))) + (Q181)*(IF((YEAR(D181)+6)&lt;YEAR(E181),0,IF((YEAR(D181)+6)&gt;YEAR(E181),1,(12-MONTH(E181)+1)/12))))-((P181)*(IF((YEAR(D181)+6)&lt;YEAR(E181),0,IF((YEAR(D181)+6)&gt;YEAR(E181),1,(12-MONTH(E181)+1)/12))) + (R181)*(IF((YEAR(D181)+6)&lt;YEAR(E181),0,IF((YEAR(D181)+6)&gt;YEAR(E181),1,(12-MONTH(E181)+1)/12))))-(IF(OR(N181="",N181&lt;=0),0,(O181/N181)*(IF(OR(N181="",N181&lt;=0),0,IF((YEAR(D181)+6)&lt;YEAR(E181),0,IF((YEAR(D181)+6)&gt;=YEAR(E181)+N181,0,IF((YEAR(D181)+6)=YEAR(E181),(12-MONTH(E181)+1)/12,1))))))))&gt;0,(((K181)*(IF(M181="",L181,IFERROR(IF(INDEX(Variablen!$I:$AT, MATCH(M181, Variablen!$A:$A, 0), MATCH((YEAR(D181)+6), Variablen!$I$3:$AT$3, 0))="",L181,INDEX(Variablen!$I:$AT, MATCH(M181, Variablen!$A:$A, 0), MATCH((YEAR(D181)+6), Variablen!$I$3:$AT$3, 0))),L181)))*(IF((YEAR(D181)+6)&lt;YEAR(E181),0,IF((YEAR(D181)+6)&gt;YEAR(E181),1,(12-MONTH(E181)+1)/12))) + (Q181)*(IF((YEAR(D181)+6)&lt;YEAR(E181),0,IF((YEAR(D181)+6)&gt;YEAR(E181),1,(12-MONTH(E181)+1)/12))))-((P181)*(IF((YEAR(D181)+6)&lt;YEAR(E181),0,IF((YEAR(D181)+6)&gt;YEAR(E181),1,(12-MONTH(E181)+1)/12))) + (R181)*(IF((YEAR(D181)+6)&lt;YEAR(E181),0,IF((YEAR(D181)+6)&gt;YEAR(E181),1,(12-MONTH(E181)+1)/12))))-(IF(OR(N181="",N181&lt;=0),0,(O181/N181)*(IF(OR(N181="",N181&lt;=0),0,IF((YEAR(D181)+6)&lt;YEAR(E181),0,IF((YEAR(D181)+6)&gt;=YEAR(E181)+N181,0,IF((YEAR(D181)+6)=YEAR(E181),(12-MONTH(E181)+1)/12,1))))))))*TaxRate,0))-IF(6=0,O181,0))</f>
        <v/>
      </c>
      <c r="Z181" s="29">
        <f>IF(A181="","",((K181)*(IF(M181="",L181,IFERROR(IF(INDEX(Variablen!$I:$AT, MATCH(M181, Variablen!$A:$A, 0), MATCH((YEAR(D181)+7), Variablen!$I$3:$AT$3, 0))="",L181,INDEX(Variablen!$I:$AT, MATCH(M181, Variablen!$A:$A, 0), MATCH((YEAR(D181)+7), Variablen!$I$3:$AT$3, 0))),L181)))*(IF((YEAR(D181)+7)&lt;YEAR(E181),0,IF((YEAR(D181)+7)&gt;YEAR(E181),1,(12-MONTH(E181)+1)/12))) + (Q181)*(IF((YEAR(D181)+7)&lt;YEAR(E181),0,IF((YEAR(D181)+7)&gt;YEAR(E181),1,(12-MONTH(E181)+1)/12))))-((P181)*(IF((YEAR(D181)+7)&lt;YEAR(E181),0,IF((YEAR(D181)+7)&gt;YEAR(E181),1,(12-MONTH(E181)+1)/12))) + (R181)*(IF((YEAR(D181)+7)&lt;YEAR(E181),0,IF((YEAR(D181)+7)&gt;YEAR(E181),1,(12-MONTH(E181)+1)/12))))-(IF((((K181)*(IF(M181="",L181,IFERROR(IF(INDEX(Variablen!$I:$AT, MATCH(M181, Variablen!$A:$A, 0), MATCH((YEAR(D181)+7), Variablen!$I$3:$AT$3, 0))="",L181,INDEX(Variablen!$I:$AT, MATCH(M181, Variablen!$A:$A, 0), MATCH((YEAR(D181)+7), Variablen!$I$3:$AT$3, 0))),L181)))*(IF((YEAR(D181)+7)&lt;YEAR(E181),0,IF((YEAR(D181)+7)&gt;YEAR(E181),1,(12-MONTH(E181)+1)/12))) + (Q181)*(IF((YEAR(D181)+7)&lt;YEAR(E181),0,IF((YEAR(D181)+7)&gt;YEAR(E181),1,(12-MONTH(E181)+1)/12))))-((P181)*(IF((YEAR(D181)+7)&lt;YEAR(E181),0,IF((YEAR(D181)+7)&gt;YEAR(E181),1,(12-MONTH(E181)+1)/12))) + (R181)*(IF((YEAR(D181)+7)&lt;YEAR(E181),0,IF((YEAR(D181)+7)&gt;YEAR(E181),1,(12-MONTH(E181)+1)/12))))-(IF(OR(N181="",N181&lt;=0),0,(O181/N181)*(IF(OR(N181="",N181&lt;=0),0,IF((YEAR(D181)+7)&lt;YEAR(E181),0,IF((YEAR(D181)+7)&gt;=YEAR(E181)+N181,0,IF((YEAR(D181)+7)=YEAR(E181),(12-MONTH(E181)+1)/12,1))))))))&gt;0,(((K181)*(IF(M181="",L181,IFERROR(IF(INDEX(Variablen!$I:$AT, MATCH(M181, Variablen!$A:$A, 0), MATCH((YEAR(D181)+7), Variablen!$I$3:$AT$3, 0))="",L181,INDEX(Variablen!$I:$AT, MATCH(M181, Variablen!$A:$A, 0), MATCH((YEAR(D181)+7), Variablen!$I$3:$AT$3, 0))),L181)))*(IF((YEAR(D181)+7)&lt;YEAR(E181),0,IF((YEAR(D181)+7)&gt;YEAR(E181),1,(12-MONTH(E181)+1)/12))) + (Q181)*(IF((YEAR(D181)+7)&lt;YEAR(E181),0,IF((YEAR(D181)+7)&gt;YEAR(E181),1,(12-MONTH(E181)+1)/12))))-((P181)*(IF((YEAR(D181)+7)&lt;YEAR(E181),0,IF((YEAR(D181)+7)&gt;YEAR(E181),1,(12-MONTH(E181)+1)/12))) + (R181)*(IF((YEAR(D181)+7)&lt;YEAR(E181),0,IF((YEAR(D181)+7)&gt;YEAR(E181),1,(12-MONTH(E181)+1)/12))))-(IF(OR(N181="",N181&lt;=0),0,(O181/N181)*(IF(OR(N181="",N181&lt;=0),0,IF((YEAR(D181)+7)&lt;YEAR(E181),0,IF((YEAR(D181)+7)&gt;=YEAR(E181)+N181,0,IF((YEAR(D181)+7)=YEAR(E181),(12-MONTH(E181)+1)/12,1))))))))*TaxRate,0))-IF(7=0,O181,0))</f>
        <v/>
      </c>
      <c r="AA181" s="29">
        <f>IF(A181="","",((K181)*(IF(M181="",L181,IFERROR(IF(INDEX(Variablen!$I:$AT, MATCH(M181, Variablen!$A:$A, 0), MATCH((YEAR(D181)+8), Variablen!$I$3:$AT$3, 0))="",L181,INDEX(Variablen!$I:$AT, MATCH(M181, Variablen!$A:$A, 0), MATCH((YEAR(D181)+8), Variablen!$I$3:$AT$3, 0))),L181)))*(IF((YEAR(D181)+8)&lt;YEAR(E181),0,IF((YEAR(D181)+8)&gt;YEAR(E181),1,(12-MONTH(E181)+1)/12))) + (Q181)*(IF((YEAR(D181)+8)&lt;YEAR(E181),0,IF((YEAR(D181)+8)&gt;YEAR(E181),1,(12-MONTH(E181)+1)/12))))-((P181)*(IF((YEAR(D181)+8)&lt;YEAR(E181),0,IF((YEAR(D181)+8)&gt;YEAR(E181),1,(12-MONTH(E181)+1)/12))) + (R181)*(IF((YEAR(D181)+8)&lt;YEAR(E181),0,IF((YEAR(D181)+8)&gt;YEAR(E181),1,(12-MONTH(E181)+1)/12))))-(IF((((K181)*(IF(M181="",L181,IFERROR(IF(INDEX(Variablen!$I:$AT, MATCH(M181, Variablen!$A:$A, 0), MATCH((YEAR(D181)+8), Variablen!$I$3:$AT$3, 0))="",L181,INDEX(Variablen!$I:$AT, MATCH(M181, Variablen!$A:$A, 0), MATCH((YEAR(D181)+8), Variablen!$I$3:$AT$3, 0))),L181)))*(IF((YEAR(D181)+8)&lt;YEAR(E181),0,IF((YEAR(D181)+8)&gt;YEAR(E181),1,(12-MONTH(E181)+1)/12))) + (Q181)*(IF((YEAR(D181)+8)&lt;YEAR(E181),0,IF((YEAR(D181)+8)&gt;YEAR(E181),1,(12-MONTH(E181)+1)/12))))-((P181)*(IF((YEAR(D181)+8)&lt;YEAR(E181),0,IF((YEAR(D181)+8)&gt;YEAR(E181),1,(12-MONTH(E181)+1)/12))) + (R181)*(IF((YEAR(D181)+8)&lt;YEAR(E181),0,IF((YEAR(D181)+8)&gt;YEAR(E181),1,(12-MONTH(E181)+1)/12))))-(IF(OR(N181="",N181&lt;=0),0,(O181/N181)*(IF(OR(N181="",N181&lt;=0),0,IF((YEAR(D181)+8)&lt;YEAR(E181),0,IF((YEAR(D181)+8)&gt;=YEAR(E181)+N181,0,IF((YEAR(D181)+8)=YEAR(E181),(12-MONTH(E181)+1)/12,1))))))))&gt;0,(((K181)*(IF(M181="",L181,IFERROR(IF(INDEX(Variablen!$I:$AT, MATCH(M181, Variablen!$A:$A, 0), MATCH((YEAR(D181)+8), Variablen!$I$3:$AT$3, 0))="",L181,INDEX(Variablen!$I:$AT, MATCH(M181, Variablen!$A:$A, 0), MATCH((YEAR(D181)+8), Variablen!$I$3:$AT$3, 0))),L181)))*(IF((YEAR(D181)+8)&lt;YEAR(E181),0,IF((YEAR(D181)+8)&gt;YEAR(E181),1,(12-MONTH(E181)+1)/12))) + (Q181)*(IF((YEAR(D181)+8)&lt;YEAR(E181),0,IF((YEAR(D181)+8)&gt;YEAR(E181),1,(12-MONTH(E181)+1)/12))))-((P181)*(IF((YEAR(D181)+8)&lt;YEAR(E181),0,IF((YEAR(D181)+8)&gt;YEAR(E181),1,(12-MONTH(E181)+1)/12))) + (R181)*(IF((YEAR(D181)+8)&lt;YEAR(E181),0,IF((YEAR(D181)+8)&gt;YEAR(E181),1,(12-MONTH(E181)+1)/12))))-(IF(OR(N181="",N181&lt;=0),0,(O181/N181)*(IF(OR(N181="",N181&lt;=0),0,IF((YEAR(D181)+8)&lt;YEAR(E181),0,IF((YEAR(D181)+8)&gt;=YEAR(E181)+N181,0,IF((YEAR(D181)+8)=YEAR(E181),(12-MONTH(E181)+1)/12,1))))))))*TaxRate,0))-IF(8=0,O181,0))</f>
        <v/>
      </c>
      <c r="AB181" s="29">
        <f>IF(A181="","",((K181)*(IF(M181="",L181,IFERROR(IF(INDEX(Variablen!$I:$AT, MATCH(M181, Variablen!$A:$A, 0), MATCH((YEAR(D181)+9), Variablen!$I$3:$AT$3, 0))="",L181,INDEX(Variablen!$I:$AT, MATCH(M181, Variablen!$A:$A, 0), MATCH((YEAR(D181)+9), Variablen!$I$3:$AT$3, 0))),L181)))*(IF((YEAR(D181)+9)&lt;YEAR(E181),0,IF((YEAR(D181)+9)&gt;YEAR(E181),1,(12-MONTH(E181)+1)/12))) + (Q181)*(IF((YEAR(D181)+9)&lt;YEAR(E181),0,IF((YEAR(D181)+9)&gt;YEAR(E181),1,(12-MONTH(E181)+1)/12))))-((P181)*(IF((YEAR(D181)+9)&lt;YEAR(E181),0,IF((YEAR(D181)+9)&gt;YEAR(E181),1,(12-MONTH(E181)+1)/12))) + (R181)*(IF((YEAR(D181)+9)&lt;YEAR(E181),0,IF((YEAR(D181)+9)&gt;YEAR(E181),1,(12-MONTH(E181)+1)/12))))-(IF((((K181)*(IF(M181="",L181,IFERROR(IF(INDEX(Variablen!$I:$AT, MATCH(M181, Variablen!$A:$A, 0), MATCH((YEAR(D181)+9), Variablen!$I$3:$AT$3, 0))="",L181,INDEX(Variablen!$I:$AT, MATCH(M181, Variablen!$A:$A, 0), MATCH((YEAR(D181)+9), Variablen!$I$3:$AT$3, 0))),L181)))*(IF((YEAR(D181)+9)&lt;YEAR(E181),0,IF((YEAR(D181)+9)&gt;YEAR(E181),1,(12-MONTH(E181)+1)/12))) + (Q181)*(IF((YEAR(D181)+9)&lt;YEAR(E181),0,IF((YEAR(D181)+9)&gt;YEAR(E181),1,(12-MONTH(E181)+1)/12))))-((P181)*(IF((YEAR(D181)+9)&lt;YEAR(E181),0,IF((YEAR(D181)+9)&gt;YEAR(E181),1,(12-MONTH(E181)+1)/12))) + (R181)*(IF((YEAR(D181)+9)&lt;YEAR(E181),0,IF((YEAR(D181)+9)&gt;YEAR(E181),1,(12-MONTH(E181)+1)/12))))-(IF(OR(N181="",N181&lt;=0),0,(O181/N181)*(IF(OR(N181="",N181&lt;=0),0,IF((YEAR(D181)+9)&lt;YEAR(E181),0,IF((YEAR(D181)+9)&gt;=YEAR(E181)+N181,0,IF((YEAR(D181)+9)=YEAR(E181),(12-MONTH(E181)+1)/12,1))))))))&gt;0,(((K181)*(IF(M181="",L181,IFERROR(IF(INDEX(Variablen!$I:$AT, MATCH(M181, Variablen!$A:$A, 0), MATCH((YEAR(D181)+9), Variablen!$I$3:$AT$3, 0))="",L181,INDEX(Variablen!$I:$AT, MATCH(M181, Variablen!$A:$A, 0), MATCH((YEAR(D181)+9), Variablen!$I$3:$AT$3, 0))),L181)))*(IF((YEAR(D181)+9)&lt;YEAR(E181),0,IF((YEAR(D181)+9)&gt;YEAR(E181),1,(12-MONTH(E181)+1)/12))) + (Q181)*(IF((YEAR(D181)+9)&lt;YEAR(E181),0,IF((YEAR(D181)+9)&gt;YEAR(E181),1,(12-MONTH(E181)+1)/12))))-((P181)*(IF((YEAR(D181)+9)&lt;YEAR(E181),0,IF((YEAR(D181)+9)&gt;YEAR(E181),1,(12-MONTH(E181)+1)/12))) + (R181)*(IF((YEAR(D181)+9)&lt;YEAR(E181),0,IF((YEAR(D181)+9)&gt;YEAR(E181),1,(12-MONTH(E181)+1)/12))))-(IF(OR(N181="",N181&lt;=0),0,(O181/N181)*(IF(OR(N181="",N181&lt;=0),0,IF((YEAR(D181)+9)&lt;YEAR(E181),0,IF((YEAR(D181)+9)&gt;=YEAR(E181)+N181,0,IF((YEAR(D181)+9)=YEAR(E181),(12-MONTH(E181)+1)/12,1))))))))*TaxRate,0))-IF(9=0,O181,0))</f>
        <v/>
      </c>
      <c r="AC181" s="29">
        <f>IF(A181="","",((K181)*(IF(M181="",L181,IFERROR(IF(INDEX(Variablen!$I:$AT, MATCH(M181, Variablen!$A:$A, 0), MATCH((YEAR(D181)+10), Variablen!$I$3:$AT$3, 0))="",L181,INDEX(Variablen!$I:$AT, MATCH(M181, Variablen!$A:$A, 0), MATCH((YEAR(D181)+10), Variablen!$I$3:$AT$3, 0))),L181)))*(IF((YEAR(D181)+10)&lt;YEAR(E181),0,IF((YEAR(D181)+10)&gt;YEAR(E181),1,(12-MONTH(E181)+1)/12))) + (Q181)*(IF((YEAR(D181)+10)&lt;YEAR(E181),0,IF((YEAR(D181)+10)&gt;YEAR(E181),1,(12-MONTH(E181)+1)/12))))-((P181)*(IF((YEAR(D181)+10)&lt;YEAR(E181),0,IF((YEAR(D181)+10)&gt;YEAR(E181),1,(12-MONTH(E181)+1)/12))) + (R181)*(IF((YEAR(D181)+10)&lt;YEAR(E181),0,IF((YEAR(D181)+10)&gt;YEAR(E181),1,(12-MONTH(E181)+1)/12))))-(IF((((K181)*(IF(M181="",L181,IFERROR(IF(INDEX(Variablen!$I:$AT, MATCH(M181, Variablen!$A:$A, 0), MATCH((YEAR(D181)+10), Variablen!$I$3:$AT$3, 0))="",L181,INDEX(Variablen!$I:$AT, MATCH(M181, Variablen!$A:$A, 0), MATCH((YEAR(D181)+10), Variablen!$I$3:$AT$3, 0))),L181)))*(IF((YEAR(D181)+10)&lt;YEAR(E181),0,IF((YEAR(D181)+10)&gt;YEAR(E181),1,(12-MONTH(E181)+1)/12))) + (Q181)*(IF((YEAR(D181)+10)&lt;YEAR(E181),0,IF((YEAR(D181)+10)&gt;YEAR(E181),1,(12-MONTH(E181)+1)/12))))-((P181)*(IF((YEAR(D181)+10)&lt;YEAR(E181),0,IF((YEAR(D181)+10)&gt;YEAR(E181),1,(12-MONTH(E181)+1)/12))) + (R181)*(IF((YEAR(D181)+10)&lt;YEAR(E181),0,IF((YEAR(D181)+10)&gt;YEAR(E181),1,(12-MONTH(E181)+1)/12))))-(IF(OR(N181="",N181&lt;=0),0,(O181/N181)*(IF(OR(N181="",N181&lt;=0),0,IF((YEAR(D181)+10)&lt;YEAR(E181),0,IF((YEAR(D181)+10)&gt;=YEAR(E181)+N181,0,IF((YEAR(D181)+10)=YEAR(E181),(12-MONTH(E181)+1)/12,1))))))))&gt;0,(((K181)*(IF(M181="",L181,IFERROR(IF(INDEX(Variablen!$I:$AT, MATCH(M181, Variablen!$A:$A, 0), MATCH((YEAR(D181)+10), Variablen!$I$3:$AT$3, 0))="",L181,INDEX(Variablen!$I:$AT, MATCH(M181, Variablen!$A:$A, 0), MATCH((YEAR(D181)+10), Variablen!$I$3:$AT$3, 0))),L181)))*(IF((YEAR(D181)+10)&lt;YEAR(E181),0,IF((YEAR(D181)+10)&gt;YEAR(E181),1,(12-MONTH(E181)+1)/12))) + (Q181)*(IF((YEAR(D181)+10)&lt;YEAR(E181),0,IF((YEAR(D181)+10)&gt;YEAR(E181),1,(12-MONTH(E181)+1)/12))))-((P181)*(IF((YEAR(D181)+10)&lt;YEAR(E181),0,IF((YEAR(D181)+10)&gt;YEAR(E181),1,(12-MONTH(E181)+1)/12))) + (R181)*(IF((YEAR(D181)+10)&lt;YEAR(E181),0,IF((YEAR(D181)+10)&gt;YEAR(E181),1,(12-MONTH(E181)+1)/12))))-(IF(OR(N181="",N181&lt;=0),0,(O181/N181)*(IF(OR(N181="",N181&lt;=0),0,IF((YEAR(D181)+10)&lt;YEAR(E181),0,IF((YEAR(D181)+10)&gt;=YEAR(E181)+N181,0,IF((YEAR(D181)+10)=YEAR(E181),(12-MONTH(E181)+1)/12,1))))))))*TaxRate,0))-IF(10=0,O181,0))</f>
        <v/>
      </c>
      <c r="AD181" s="29">
        <f>IF(A181="","",((K181)*(IF(M181="",L181,IFERROR(IF(INDEX(Variablen!$I:$AT, MATCH(M181, Variablen!$A:$A, 0), MATCH((YEAR(D181)+11), Variablen!$I$3:$AT$3, 0))="",L181,INDEX(Variablen!$I:$AT, MATCH(M181, Variablen!$A:$A, 0), MATCH((YEAR(D181)+11), Variablen!$I$3:$AT$3, 0))),L181)))*(IF((YEAR(D181)+11)&lt;YEAR(E181),0,IF((YEAR(D181)+11)&gt;YEAR(E181),1,(12-MONTH(E181)+1)/12))) + (Q181)*(IF((YEAR(D181)+11)&lt;YEAR(E181),0,IF((YEAR(D181)+11)&gt;YEAR(E181),1,(12-MONTH(E181)+1)/12))))-((P181)*(IF((YEAR(D181)+11)&lt;YEAR(E181),0,IF((YEAR(D181)+11)&gt;YEAR(E181),1,(12-MONTH(E181)+1)/12))) + (R181)*(IF((YEAR(D181)+11)&lt;YEAR(E181),0,IF((YEAR(D181)+11)&gt;YEAR(E181),1,(12-MONTH(E181)+1)/12))))-(IF((((K181)*(IF(M181="",L181,IFERROR(IF(INDEX(Variablen!$I:$AT, MATCH(M181, Variablen!$A:$A, 0), MATCH((YEAR(D181)+11), Variablen!$I$3:$AT$3, 0))="",L181,INDEX(Variablen!$I:$AT, MATCH(M181, Variablen!$A:$A, 0), MATCH((YEAR(D181)+11), Variablen!$I$3:$AT$3, 0))),L181)))*(IF((YEAR(D181)+11)&lt;YEAR(E181),0,IF((YEAR(D181)+11)&gt;YEAR(E181),1,(12-MONTH(E181)+1)/12))) + (Q181)*(IF((YEAR(D181)+11)&lt;YEAR(E181),0,IF((YEAR(D181)+11)&gt;YEAR(E181),1,(12-MONTH(E181)+1)/12))))-((P181)*(IF((YEAR(D181)+11)&lt;YEAR(E181),0,IF((YEAR(D181)+11)&gt;YEAR(E181),1,(12-MONTH(E181)+1)/12))) + (R181)*(IF((YEAR(D181)+11)&lt;YEAR(E181),0,IF((YEAR(D181)+11)&gt;YEAR(E181),1,(12-MONTH(E181)+1)/12))))-(IF(OR(N181="",N181&lt;=0),0,(O181/N181)*(IF(OR(N181="",N181&lt;=0),0,IF((YEAR(D181)+11)&lt;YEAR(E181),0,IF((YEAR(D181)+11)&gt;=YEAR(E181)+N181,0,IF((YEAR(D181)+11)=YEAR(E181),(12-MONTH(E181)+1)/12,1))))))))&gt;0,(((K181)*(IF(M181="",L181,IFERROR(IF(INDEX(Variablen!$I:$AT, MATCH(M181, Variablen!$A:$A, 0), MATCH((YEAR(D181)+11), Variablen!$I$3:$AT$3, 0))="",L181,INDEX(Variablen!$I:$AT, MATCH(M181, Variablen!$A:$A, 0), MATCH((YEAR(D181)+11), Variablen!$I$3:$AT$3, 0))),L181)))*(IF((YEAR(D181)+11)&lt;YEAR(E181),0,IF((YEAR(D181)+11)&gt;YEAR(E181),1,(12-MONTH(E181)+1)/12))) + (Q181)*(IF((YEAR(D181)+11)&lt;YEAR(E181),0,IF((YEAR(D181)+11)&gt;YEAR(E181),1,(12-MONTH(E181)+1)/12))))-((P181)*(IF((YEAR(D181)+11)&lt;YEAR(E181),0,IF((YEAR(D181)+11)&gt;YEAR(E181),1,(12-MONTH(E181)+1)/12))) + (R181)*(IF((YEAR(D181)+11)&lt;YEAR(E181),0,IF((YEAR(D181)+11)&gt;YEAR(E181),1,(12-MONTH(E181)+1)/12))))-(IF(OR(N181="",N181&lt;=0),0,(O181/N181)*(IF(OR(N181="",N181&lt;=0),0,IF((YEAR(D181)+11)&lt;YEAR(E181),0,IF((YEAR(D181)+11)&gt;=YEAR(E181)+N181,0,IF((YEAR(D181)+11)=YEAR(E181),(12-MONTH(E181)+1)/12,1))))))))*TaxRate,0))-IF(11=0,O181,0))</f>
        <v/>
      </c>
      <c r="AE181" s="29">
        <f>IF(A181="","",((K181)*(IF(M181="",L181,IFERROR(IF(INDEX(Variablen!$I:$AT, MATCH(M181, Variablen!$A:$A, 0), MATCH((YEAR(D181)+12), Variablen!$I$3:$AT$3, 0))="",L181,INDEX(Variablen!$I:$AT, MATCH(M181, Variablen!$A:$A, 0), MATCH((YEAR(D181)+12), Variablen!$I$3:$AT$3, 0))),L181)))*(IF((YEAR(D181)+12)&lt;YEAR(E181),0,IF((YEAR(D181)+12)&gt;YEAR(E181),1,(12-MONTH(E181)+1)/12))) + (Q181)*(IF((YEAR(D181)+12)&lt;YEAR(E181),0,IF((YEAR(D181)+12)&gt;YEAR(E181),1,(12-MONTH(E181)+1)/12))))-((P181)*(IF((YEAR(D181)+12)&lt;YEAR(E181),0,IF((YEAR(D181)+12)&gt;YEAR(E181),1,(12-MONTH(E181)+1)/12))) + (R181)*(IF((YEAR(D181)+12)&lt;YEAR(E181),0,IF((YEAR(D181)+12)&gt;YEAR(E181),1,(12-MONTH(E181)+1)/12))))-(IF((((K181)*(IF(M181="",L181,IFERROR(IF(INDEX(Variablen!$I:$AT, MATCH(M181, Variablen!$A:$A, 0), MATCH((YEAR(D181)+12), Variablen!$I$3:$AT$3, 0))="",L181,INDEX(Variablen!$I:$AT, MATCH(M181, Variablen!$A:$A, 0), MATCH((YEAR(D181)+12), Variablen!$I$3:$AT$3, 0))),L181)))*(IF((YEAR(D181)+12)&lt;YEAR(E181),0,IF((YEAR(D181)+12)&gt;YEAR(E181),1,(12-MONTH(E181)+1)/12))) + (Q181)*(IF((YEAR(D181)+12)&lt;YEAR(E181),0,IF((YEAR(D181)+12)&gt;YEAR(E181),1,(12-MONTH(E181)+1)/12))))-((P181)*(IF((YEAR(D181)+12)&lt;YEAR(E181),0,IF((YEAR(D181)+12)&gt;YEAR(E181),1,(12-MONTH(E181)+1)/12))) + (R181)*(IF((YEAR(D181)+12)&lt;YEAR(E181),0,IF((YEAR(D181)+12)&gt;YEAR(E181),1,(12-MONTH(E181)+1)/12))))-(IF(OR(N181="",N181&lt;=0),0,(O181/N181)*(IF(OR(N181="",N181&lt;=0),0,IF((YEAR(D181)+12)&lt;YEAR(E181),0,IF((YEAR(D181)+12)&gt;=YEAR(E181)+N181,0,IF((YEAR(D181)+12)=YEAR(E181),(12-MONTH(E181)+1)/12,1))))))))&gt;0,(((K181)*(IF(M181="",L181,IFERROR(IF(INDEX(Variablen!$I:$AT, MATCH(M181, Variablen!$A:$A, 0), MATCH((YEAR(D181)+12), Variablen!$I$3:$AT$3, 0))="",L181,INDEX(Variablen!$I:$AT, MATCH(M181, Variablen!$A:$A, 0), MATCH((YEAR(D181)+12), Variablen!$I$3:$AT$3, 0))),L181)))*(IF((YEAR(D181)+12)&lt;YEAR(E181),0,IF((YEAR(D181)+12)&gt;YEAR(E181),1,(12-MONTH(E181)+1)/12))) + (Q181)*(IF((YEAR(D181)+12)&lt;YEAR(E181),0,IF((YEAR(D181)+12)&gt;YEAR(E181),1,(12-MONTH(E181)+1)/12))))-((P181)*(IF((YEAR(D181)+12)&lt;YEAR(E181),0,IF((YEAR(D181)+12)&gt;YEAR(E181),1,(12-MONTH(E181)+1)/12))) + (R181)*(IF((YEAR(D181)+12)&lt;YEAR(E181),0,IF((YEAR(D181)+12)&gt;YEAR(E181),1,(12-MONTH(E181)+1)/12))))-(IF(OR(N181="",N181&lt;=0),0,(O181/N181)*(IF(OR(N181="",N181&lt;=0),0,IF((YEAR(D181)+12)&lt;YEAR(E181),0,IF((YEAR(D181)+12)&gt;=YEAR(E181)+N181,0,IF((YEAR(D181)+12)=YEAR(E181),(12-MONTH(E181)+1)/12,1))))))))*TaxRate,0))-IF(12=0,O181,0))</f>
        <v/>
      </c>
      <c r="AF181" s="29">
        <f>IF(A181="","",((K181)*(IF(M181="",L181,IFERROR(IF(INDEX(Variablen!$I:$AT, MATCH(M181, Variablen!$A:$A, 0), MATCH((YEAR(D181)+13), Variablen!$I$3:$AT$3, 0))="",L181,INDEX(Variablen!$I:$AT, MATCH(M181, Variablen!$A:$A, 0), MATCH((YEAR(D181)+13), Variablen!$I$3:$AT$3, 0))),L181)))*(IF((YEAR(D181)+13)&lt;YEAR(E181),0,IF((YEAR(D181)+13)&gt;YEAR(E181),1,(12-MONTH(E181)+1)/12))) + (Q181)*(IF((YEAR(D181)+13)&lt;YEAR(E181),0,IF((YEAR(D181)+13)&gt;YEAR(E181),1,(12-MONTH(E181)+1)/12))))-((P181)*(IF((YEAR(D181)+13)&lt;YEAR(E181),0,IF((YEAR(D181)+13)&gt;YEAR(E181),1,(12-MONTH(E181)+1)/12))) + (R181)*(IF((YEAR(D181)+13)&lt;YEAR(E181),0,IF((YEAR(D181)+13)&gt;YEAR(E181),1,(12-MONTH(E181)+1)/12))))-(IF((((K181)*(IF(M181="",L181,IFERROR(IF(INDEX(Variablen!$I:$AT, MATCH(M181, Variablen!$A:$A, 0), MATCH((YEAR(D181)+13), Variablen!$I$3:$AT$3, 0))="",L181,INDEX(Variablen!$I:$AT, MATCH(M181, Variablen!$A:$A, 0), MATCH((YEAR(D181)+13), Variablen!$I$3:$AT$3, 0))),L181)))*(IF((YEAR(D181)+13)&lt;YEAR(E181),0,IF((YEAR(D181)+13)&gt;YEAR(E181),1,(12-MONTH(E181)+1)/12))) + (Q181)*(IF((YEAR(D181)+13)&lt;YEAR(E181),0,IF((YEAR(D181)+13)&gt;YEAR(E181),1,(12-MONTH(E181)+1)/12))))-((P181)*(IF((YEAR(D181)+13)&lt;YEAR(E181),0,IF((YEAR(D181)+13)&gt;YEAR(E181),1,(12-MONTH(E181)+1)/12))) + (R181)*(IF((YEAR(D181)+13)&lt;YEAR(E181),0,IF((YEAR(D181)+13)&gt;YEAR(E181),1,(12-MONTH(E181)+1)/12))))-(IF(OR(N181="",N181&lt;=0),0,(O181/N181)*(IF(OR(N181="",N181&lt;=0),0,IF((YEAR(D181)+13)&lt;YEAR(E181),0,IF((YEAR(D181)+13)&gt;=YEAR(E181)+N181,0,IF((YEAR(D181)+13)=YEAR(E181),(12-MONTH(E181)+1)/12,1))))))))&gt;0,(((K181)*(IF(M181="",L181,IFERROR(IF(INDEX(Variablen!$I:$AT, MATCH(M181, Variablen!$A:$A, 0), MATCH((YEAR(D181)+13), Variablen!$I$3:$AT$3, 0))="",L181,INDEX(Variablen!$I:$AT, MATCH(M181, Variablen!$A:$A, 0), MATCH((YEAR(D181)+13), Variablen!$I$3:$AT$3, 0))),L181)))*(IF((YEAR(D181)+13)&lt;YEAR(E181),0,IF((YEAR(D181)+13)&gt;YEAR(E181),1,(12-MONTH(E181)+1)/12))) + (Q181)*(IF((YEAR(D181)+13)&lt;YEAR(E181),0,IF((YEAR(D181)+13)&gt;YEAR(E181),1,(12-MONTH(E181)+1)/12))))-((P181)*(IF((YEAR(D181)+13)&lt;YEAR(E181),0,IF((YEAR(D181)+13)&gt;YEAR(E181),1,(12-MONTH(E181)+1)/12))) + (R181)*(IF((YEAR(D181)+13)&lt;YEAR(E181),0,IF((YEAR(D181)+13)&gt;YEAR(E181),1,(12-MONTH(E181)+1)/12))))-(IF(OR(N181="",N181&lt;=0),0,(O181/N181)*(IF(OR(N181="",N181&lt;=0),0,IF((YEAR(D181)+13)&lt;YEAR(E181),0,IF((YEAR(D181)+13)&gt;=YEAR(E181)+N181,0,IF((YEAR(D181)+13)=YEAR(E181),(12-MONTH(E181)+1)/12,1))))))))*TaxRate,0))-IF(13=0,O181,0))</f>
        <v/>
      </c>
      <c r="AG181" s="29">
        <f>IF(A181="","",((K181)*(IF(M181="",L181,IFERROR(IF(INDEX(Variablen!$I:$AT, MATCH(M181, Variablen!$A:$A, 0), MATCH((YEAR(D181)+14), Variablen!$I$3:$AT$3, 0))="",L181,INDEX(Variablen!$I:$AT, MATCH(M181, Variablen!$A:$A, 0), MATCH((YEAR(D181)+14), Variablen!$I$3:$AT$3, 0))),L181)))*(IF((YEAR(D181)+14)&lt;YEAR(E181),0,IF((YEAR(D181)+14)&gt;YEAR(E181),1,(12-MONTH(E181)+1)/12))) + (Q181)*(IF((YEAR(D181)+14)&lt;YEAR(E181),0,IF((YEAR(D181)+14)&gt;YEAR(E181),1,(12-MONTH(E181)+1)/12))))-((P181)*(IF((YEAR(D181)+14)&lt;YEAR(E181),0,IF((YEAR(D181)+14)&gt;YEAR(E181),1,(12-MONTH(E181)+1)/12))) + (R181)*(IF((YEAR(D181)+14)&lt;YEAR(E181),0,IF((YEAR(D181)+14)&gt;YEAR(E181),1,(12-MONTH(E181)+1)/12))))-(IF((((K181)*(IF(M181="",L181,IFERROR(IF(INDEX(Variablen!$I:$AT, MATCH(M181, Variablen!$A:$A, 0), MATCH((YEAR(D181)+14), Variablen!$I$3:$AT$3, 0))="",L181,INDEX(Variablen!$I:$AT, MATCH(M181, Variablen!$A:$A, 0), MATCH((YEAR(D181)+14), Variablen!$I$3:$AT$3, 0))),L181)))*(IF((YEAR(D181)+14)&lt;YEAR(E181),0,IF((YEAR(D181)+14)&gt;YEAR(E181),1,(12-MONTH(E181)+1)/12))) + (Q181)*(IF((YEAR(D181)+14)&lt;YEAR(E181),0,IF((YEAR(D181)+14)&gt;YEAR(E181),1,(12-MONTH(E181)+1)/12))))-((P181)*(IF((YEAR(D181)+14)&lt;YEAR(E181),0,IF((YEAR(D181)+14)&gt;YEAR(E181),1,(12-MONTH(E181)+1)/12))) + (R181)*(IF((YEAR(D181)+14)&lt;YEAR(E181),0,IF((YEAR(D181)+14)&gt;YEAR(E181),1,(12-MONTH(E181)+1)/12))))-(IF(OR(N181="",N181&lt;=0),0,(O181/N181)*(IF(OR(N181="",N181&lt;=0),0,IF((YEAR(D181)+14)&lt;YEAR(E181),0,IF((YEAR(D181)+14)&gt;=YEAR(E181)+N181,0,IF((YEAR(D181)+14)=YEAR(E181),(12-MONTH(E181)+1)/12,1))))))))&gt;0,(((K181)*(IF(M181="",L181,IFERROR(IF(INDEX(Variablen!$I:$AT, MATCH(M181, Variablen!$A:$A, 0), MATCH((YEAR(D181)+14), Variablen!$I$3:$AT$3, 0))="",L181,INDEX(Variablen!$I:$AT, MATCH(M181, Variablen!$A:$A, 0), MATCH((YEAR(D181)+14), Variablen!$I$3:$AT$3, 0))),L181)))*(IF((YEAR(D181)+14)&lt;YEAR(E181),0,IF((YEAR(D181)+14)&gt;YEAR(E181),1,(12-MONTH(E181)+1)/12))) + (Q181)*(IF((YEAR(D181)+14)&lt;YEAR(E181),0,IF((YEAR(D181)+14)&gt;YEAR(E181),1,(12-MONTH(E181)+1)/12))))-((P181)*(IF((YEAR(D181)+14)&lt;YEAR(E181),0,IF((YEAR(D181)+14)&gt;YEAR(E181),1,(12-MONTH(E181)+1)/12))) + (R181)*(IF((YEAR(D181)+14)&lt;YEAR(E181),0,IF((YEAR(D181)+14)&gt;YEAR(E181),1,(12-MONTH(E181)+1)/12))))-(IF(OR(N181="",N181&lt;=0),0,(O181/N181)*(IF(OR(N181="",N181&lt;=0),0,IF((YEAR(D181)+14)&lt;YEAR(E181),0,IF((YEAR(D181)+14)&gt;=YEAR(E181)+N181,0,IF((YEAR(D181)+14)=YEAR(E181),(12-MONTH(E181)+1)/12,1))))))))*TaxRate,0))-IF(14=0,O181,0))</f>
        <v/>
      </c>
      <c r="AH181" s="29">
        <f>IF(A181="","",((K181)*(IF(M181="",L181,IFERROR(IF(INDEX(Variablen!$I:$AT, MATCH(M181, Variablen!$A:$A, 0), MATCH((YEAR(D181)+15), Variablen!$I$3:$AT$3, 0))="",L181,INDEX(Variablen!$I:$AT, MATCH(M181, Variablen!$A:$A, 0), MATCH((YEAR(D181)+15), Variablen!$I$3:$AT$3, 0))),L181)))*(IF((YEAR(D181)+15)&lt;YEAR(E181),0,IF((YEAR(D181)+15)&gt;YEAR(E181),1,(12-MONTH(E181)+1)/12))) + (Q181)*(IF((YEAR(D181)+15)&lt;YEAR(E181),0,IF((YEAR(D181)+15)&gt;YEAR(E181),1,(12-MONTH(E181)+1)/12))))-((P181)*(IF((YEAR(D181)+15)&lt;YEAR(E181),0,IF((YEAR(D181)+15)&gt;YEAR(E181),1,(12-MONTH(E181)+1)/12))) + (R181)*(IF((YEAR(D181)+15)&lt;YEAR(E181),0,IF((YEAR(D181)+15)&gt;YEAR(E181),1,(12-MONTH(E181)+1)/12))))-(IF((((K181)*(IF(M181="",L181,IFERROR(IF(INDEX(Variablen!$I:$AT, MATCH(M181, Variablen!$A:$A, 0), MATCH((YEAR(D181)+15), Variablen!$I$3:$AT$3, 0))="",L181,INDEX(Variablen!$I:$AT, MATCH(M181, Variablen!$A:$A, 0), MATCH((YEAR(D181)+15), Variablen!$I$3:$AT$3, 0))),L181)))*(IF((YEAR(D181)+15)&lt;YEAR(E181),0,IF((YEAR(D181)+15)&gt;YEAR(E181),1,(12-MONTH(E181)+1)/12))) + (Q181)*(IF((YEAR(D181)+15)&lt;YEAR(E181),0,IF((YEAR(D181)+15)&gt;YEAR(E181),1,(12-MONTH(E181)+1)/12))))-((P181)*(IF((YEAR(D181)+15)&lt;YEAR(E181),0,IF((YEAR(D181)+15)&gt;YEAR(E181),1,(12-MONTH(E181)+1)/12))) + (R181)*(IF((YEAR(D181)+15)&lt;YEAR(E181),0,IF((YEAR(D181)+15)&gt;YEAR(E181),1,(12-MONTH(E181)+1)/12))))-(IF(OR(N181="",N181&lt;=0),0,(O181/N181)*(IF(OR(N181="",N181&lt;=0),0,IF((YEAR(D181)+15)&lt;YEAR(E181),0,IF((YEAR(D181)+15)&gt;=YEAR(E181)+N181,0,IF((YEAR(D181)+15)=YEAR(E181),(12-MONTH(E181)+1)/12,1))))))))&gt;0,(((K181)*(IF(M181="",L181,IFERROR(IF(INDEX(Variablen!$I:$AT, MATCH(M181, Variablen!$A:$A, 0), MATCH((YEAR(D181)+15), Variablen!$I$3:$AT$3, 0))="",L181,INDEX(Variablen!$I:$AT, MATCH(M181, Variablen!$A:$A, 0), MATCH((YEAR(D181)+15), Variablen!$I$3:$AT$3, 0))),L181)))*(IF((YEAR(D181)+15)&lt;YEAR(E181),0,IF((YEAR(D181)+15)&gt;YEAR(E181),1,(12-MONTH(E181)+1)/12))) + (Q181)*(IF((YEAR(D181)+15)&lt;YEAR(E181),0,IF((YEAR(D181)+15)&gt;YEAR(E181),1,(12-MONTH(E181)+1)/12))))-((P181)*(IF((YEAR(D181)+15)&lt;YEAR(E181),0,IF((YEAR(D181)+15)&gt;YEAR(E181),1,(12-MONTH(E181)+1)/12))) + (R181)*(IF((YEAR(D181)+15)&lt;YEAR(E181),0,IF((YEAR(D181)+15)&gt;YEAR(E181),1,(12-MONTH(E181)+1)/12))))-(IF(OR(N181="",N181&lt;=0),0,(O181/N181)*(IF(OR(N181="",N181&lt;=0),0,IF((YEAR(D181)+15)&lt;YEAR(E181),0,IF((YEAR(D181)+15)&gt;=YEAR(E181)+N181,0,IF((YEAR(D181)+15)=YEAR(E181),(12-MONTH(E181)+1)/12,1))))))))*TaxRate,0))-IF(15=0,O181,0))</f>
        <v/>
      </c>
      <c r="AI181" s="29">
        <f>IF(A181="","",((K181)*(IF(M181="",L181,IFERROR(IF(INDEX(Variablen!$I:$AT, MATCH(M181, Variablen!$A:$A, 0), MATCH((YEAR(D181)+16), Variablen!$I$3:$AT$3, 0))="",L181,INDEX(Variablen!$I:$AT, MATCH(M181, Variablen!$A:$A, 0), MATCH((YEAR(D181)+16), Variablen!$I$3:$AT$3, 0))),L181)))*(IF((YEAR(D181)+16)&lt;YEAR(E181),0,IF((YEAR(D181)+16)&gt;YEAR(E181),1,(12-MONTH(E181)+1)/12))) + (Q181)*(IF((YEAR(D181)+16)&lt;YEAR(E181),0,IF((YEAR(D181)+16)&gt;YEAR(E181),1,(12-MONTH(E181)+1)/12))))-((P181)*(IF((YEAR(D181)+16)&lt;YEAR(E181),0,IF((YEAR(D181)+16)&gt;YEAR(E181),1,(12-MONTH(E181)+1)/12))) + (R181)*(IF((YEAR(D181)+16)&lt;YEAR(E181),0,IF((YEAR(D181)+16)&gt;YEAR(E181),1,(12-MONTH(E181)+1)/12))))-(IF((((K181)*(IF(M181="",L181,IFERROR(IF(INDEX(Variablen!$I:$AT, MATCH(M181, Variablen!$A:$A, 0), MATCH((YEAR(D181)+16), Variablen!$I$3:$AT$3, 0))="",L181,INDEX(Variablen!$I:$AT, MATCH(M181, Variablen!$A:$A, 0), MATCH((YEAR(D181)+16), Variablen!$I$3:$AT$3, 0))),L181)))*(IF((YEAR(D181)+16)&lt;YEAR(E181),0,IF((YEAR(D181)+16)&gt;YEAR(E181),1,(12-MONTH(E181)+1)/12))) + (Q181)*(IF((YEAR(D181)+16)&lt;YEAR(E181),0,IF((YEAR(D181)+16)&gt;YEAR(E181),1,(12-MONTH(E181)+1)/12))))-((P181)*(IF((YEAR(D181)+16)&lt;YEAR(E181),0,IF((YEAR(D181)+16)&gt;YEAR(E181),1,(12-MONTH(E181)+1)/12))) + (R181)*(IF((YEAR(D181)+16)&lt;YEAR(E181),0,IF((YEAR(D181)+16)&gt;YEAR(E181),1,(12-MONTH(E181)+1)/12))))-(IF(OR(N181="",N181&lt;=0),0,(O181/N181)*(IF(OR(N181="",N181&lt;=0),0,IF((YEAR(D181)+16)&lt;YEAR(E181),0,IF((YEAR(D181)+16)&gt;=YEAR(E181)+N181,0,IF((YEAR(D181)+16)=YEAR(E181),(12-MONTH(E181)+1)/12,1))))))))&gt;0,(((K181)*(IF(M181="",L181,IFERROR(IF(INDEX(Variablen!$I:$AT, MATCH(M181, Variablen!$A:$A, 0), MATCH((YEAR(D181)+16), Variablen!$I$3:$AT$3, 0))="",L181,INDEX(Variablen!$I:$AT, MATCH(M181, Variablen!$A:$A, 0), MATCH((YEAR(D181)+16), Variablen!$I$3:$AT$3, 0))),L181)))*(IF((YEAR(D181)+16)&lt;YEAR(E181),0,IF((YEAR(D181)+16)&gt;YEAR(E181),1,(12-MONTH(E181)+1)/12))) + (Q181)*(IF((YEAR(D181)+16)&lt;YEAR(E181),0,IF((YEAR(D181)+16)&gt;YEAR(E181),1,(12-MONTH(E181)+1)/12))))-((P181)*(IF((YEAR(D181)+16)&lt;YEAR(E181),0,IF((YEAR(D181)+16)&gt;YEAR(E181),1,(12-MONTH(E181)+1)/12))) + (R181)*(IF((YEAR(D181)+16)&lt;YEAR(E181),0,IF((YEAR(D181)+16)&gt;YEAR(E181),1,(12-MONTH(E181)+1)/12))))-(IF(OR(N181="",N181&lt;=0),0,(O181/N181)*(IF(OR(N181="",N181&lt;=0),0,IF((YEAR(D181)+16)&lt;YEAR(E181),0,IF((YEAR(D181)+16)&gt;=YEAR(E181)+N181,0,IF((YEAR(D181)+16)=YEAR(E181),(12-MONTH(E181)+1)/12,1))))))))*TaxRate,0))-IF(16=0,O181,0))</f>
        <v/>
      </c>
      <c r="AJ181" s="29">
        <f>IF(A181="","",((K181)*(IF(M181="",L181,IFERROR(IF(INDEX(Variablen!$I:$AT, MATCH(M181, Variablen!$A:$A, 0), MATCH((YEAR(D181)+17), Variablen!$I$3:$AT$3, 0))="",L181,INDEX(Variablen!$I:$AT, MATCH(M181, Variablen!$A:$A, 0), MATCH((YEAR(D181)+17), Variablen!$I$3:$AT$3, 0))),L181)))*(IF((YEAR(D181)+17)&lt;YEAR(E181),0,IF((YEAR(D181)+17)&gt;YEAR(E181),1,(12-MONTH(E181)+1)/12))) + (Q181)*(IF((YEAR(D181)+17)&lt;YEAR(E181),0,IF((YEAR(D181)+17)&gt;YEAR(E181),1,(12-MONTH(E181)+1)/12))))-((P181)*(IF((YEAR(D181)+17)&lt;YEAR(E181),0,IF((YEAR(D181)+17)&gt;YEAR(E181),1,(12-MONTH(E181)+1)/12))) + (R181)*(IF((YEAR(D181)+17)&lt;YEAR(E181),0,IF((YEAR(D181)+17)&gt;YEAR(E181),1,(12-MONTH(E181)+1)/12))))-(IF((((K181)*(IF(M181="",L181,IFERROR(IF(INDEX(Variablen!$I:$AT, MATCH(M181, Variablen!$A:$A, 0), MATCH((YEAR(D181)+17), Variablen!$I$3:$AT$3, 0))="",L181,INDEX(Variablen!$I:$AT, MATCH(M181, Variablen!$A:$A, 0), MATCH((YEAR(D181)+17), Variablen!$I$3:$AT$3, 0))),L181)))*(IF((YEAR(D181)+17)&lt;YEAR(E181),0,IF((YEAR(D181)+17)&gt;YEAR(E181),1,(12-MONTH(E181)+1)/12))) + (Q181)*(IF((YEAR(D181)+17)&lt;YEAR(E181),0,IF((YEAR(D181)+17)&gt;YEAR(E181),1,(12-MONTH(E181)+1)/12))))-((P181)*(IF((YEAR(D181)+17)&lt;YEAR(E181),0,IF((YEAR(D181)+17)&gt;YEAR(E181),1,(12-MONTH(E181)+1)/12))) + (R181)*(IF((YEAR(D181)+17)&lt;YEAR(E181),0,IF((YEAR(D181)+17)&gt;YEAR(E181),1,(12-MONTH(E181)+1)/12))))-(IF(OR(N181="",N181&lt;=0),0,(O181/N181)*(IF(OR(N181="",N181&lt;=0),0,IF((YEAR(D181)+17)&lt;YEAR(E181),0,IF((YEAR(D181)+17)&gt;=YEAR(E181)+N181,0,IF((YEAR(D181)+17)=YEAR(E181),(12-MONTH(E181)+1)/12,1))))))))&gt;0,(((K181)*(IF(M181="",L181,IFERROR(IF(INDEX(Variablen!$I:$AT, MATCH(M181, Variablen!$A:$A, 0), MATCH((YEAR(D181)+17), Variablen!$I$3:$AT$3, 0))="",L181,INDEX(Variablen!$I:$AT, MATCH(M181, Variablen!$A:$A, 0), MATCH((YEAR(D181)+17), Variablen!$I$3:$AT$3, 0))),L181)))*(IF((YEAR(D181)+17)&lt;YEAR(E181),0,IF((YEAR(D181)+17)&gt;YEAR(E181),1,(12-MONTH(E181)+1)/12))) + (Q181)*(IF((YEAR(D181)+17)&lt;YEAR(E181),0,IF((YEAR(D181)+17)&gt;YEAR(E181),1,(12-MONTH(E181)+1)/12))))-((P181)*(IF((YEAR(D181)+17)&lt;YEAR(E181),0,IF((YEAR(D181)+17)&gt;YEAR(E181),1,(12-MONTH(E181)+1)/12))) + (R181)*(IF((YEAR(D181)+17)&lt;YEAR(E181),0,IF((YEAR(D181)+17)&gt;YEAR(E181),1,(12-MONTH(E181)+1)/12))))-(IF(OR(N181="",N181&lt;=0),0,(O181/N181)*(IF(OR(N181="",N181&lt;=0),0,IF((YEAR(D181)+17)&lt;YEAR(E181),0,IF((YEAR(D181)+17)&gt;=YEAR(E181)+N181,0,IF((YEAR(D181)+17)=YEAR(E181),(12-MONTH(E181)+1)/12,1))))))))*TaxRate,0))-IF(17=0,O181,0))</f>
        <v/>
      </c>
      <c r="AK181" s="29">
        <f>IF(A181="","",((K181)*(IF(M181="",L181,IFERROR(IF(INDEX(Variablen!$I:$AT, MATCH(M181, Variablen!$A:$A, 0), MATCH((YEAR(D181)+18), Variablen!$I$3:$AT$3, 0))="",L181,INDEX(Variablen!$I:$AT, MATCH(M181, Variablen!$A:$A, 0), MATCH((YEAR(D181)+18), Variablen!$I$3:$AT$3, 0))),L181)))*(IF((YEAR(D181)+18)&lt;YEAR(E181),0,IF((YEAR(D181)+18)&gt;YEAR(E181),1,(12-MONTH(E181)+1)/12))) + (Q181)*(IF((YEAR(D181)+18)&lt;YEAR(E181),0,IF((YEAR(D181)+18)&gt;YEAR(E181),1,(12-MONTH(E181)+1)/12))))-((P181)*(IF((YEAR(D181)+18)&lt;YEAR(E181),0,IF((YEAR(D181)+18)&gt;YEAR(E181),1,(12-MONTH(E181)+1)/12))) + (R181)*(IF((YEAR(D181)+18)&lt;YEAR(E181),0,IF((YEAR(D181)+18)&gt;YEAR(E181),1,(12-MONTH(E181)+1)/12))))-(IF((((K181)*(IF(M181="",L181,IFERROR(IF(INDEX(Variablen!$I:$AT, MATCH(M181, Variablen!$A:$A, 0), MATCH((YEAR(D181)+18), Variablen!$I$3:$AT$3, 0))="",L181,INDEX(Variablen!$I:$AT, MATCH(M181, Variablen!$A:$A, 0), MATCH((YEAR(D181)+18), Variablen!$I$3:$AT$3, 0))),L181)))*(IF((YEAR(D181)+18)&lt;YEAR(E181),0,IF((YEAR(D181)+18)&gt;YEAR(E181),1,(12-MONTH(E181)+1)/12))) + (Q181)*(IF((YEAR(D181)+18)&lt;YEAR(E181),0,IF((YEAR(D181)+18)&gt;YEAR(E181),1,(12-MONTH(E181)+1)/12))))-((P181)*(IF((YEAR(D181)+18)&lt;YEAR(E181),0,IF((YEAR(D181)+18)&gt;YEAR(E181),1,(12-MONTH(E181)+1)/12))) + (R181)*(IF((YEAR(D181)+18)&lt;YEAR(E181),0,IF((YEAR(D181)+18)&gt;YEAR(E181),1,(12-MONTH(E181)+1)/12))))-(IF(OR(N181="",N181&lt;=0),0,(O181/N181)*(IF(OR(N181="",N181&lt;=0),0,IF((YEAR(D181)+18)&lt;YEAR(E181),0,IF((YEAR(D181)+18)&gt;=YEAR(E181)+N181,0,IF((YEAR(D181)+18)=YEAR(E181),(12-MONTH(E181)+1)/12,1))))))))&gt;0,(((K181)*(IF(M181="",L181,IFERROR(IF(INDEX(Variablen!$I:$AT, MATCH(M181, Variablen!$A:$A, 0), MATCH((YEAR(D181)+18), Variablen!$I$3:$AT$3, 0))="",L181,INDEX(Variablen!$I:$AT, MATCH(M181, Variablen!$A:$A, 0), MATCH((YEAR(D181)+18), Variablen!$I$3:$AT$3, 0))),L181)))*(IF((YEAR(D181)+18)&lt;YEAR(E181),0,IF((YEAR(D181)+18)&gt;YEAR(E181),1,(12-MONTH(E181)+1)/12))) + (Q181)*(IF((YEAR(D181)+18)&lt;YEAR(E181),0,IF((YEAR(D181)+18)&gt;YEAR(E181),1,(12-MONTH(E181)+1)/12))))-((P181)*(IF((YEAR(D181)+18)&lt;YEAR(E181),0,IF((YEAR(D181)+18)&gt;YEAR(E181),1,(12-MONTH(E181)+1)/12))) + (R181)*(IF((YEAR(D181)+18)&lt;YEAR(E181),0,IF((YEAR(D181)+18)&gt;YEAR(E181),1,(12-MONTH(E181)+1)/12))))-(IF(OR(N181="",N181&lt;=0),0,(O181/N181)*(IF(OR(N181="",N181&lt;=0),0,IF((YEAR(D181)+18)&lt;YEAR(E181),0,IF((YEAR(D181)+18)&gt;=YEAR(E181)+N181,0,IF((YEAR(D181)+18)=YEAR(E181),(12-MONTH(E181)+1)/12,1))))))))*TaxRate,0))-IF(18=0,O181,0))</f>
        <v/>
      </c>
      <c r="AL181" s="29">
        <f>IF(A181="","",((K181)*(IF(M181="",L181,IFERROR(IF(INDEX(Variablen!$I:$AT, MATCH(M181, Variablen!$A:$A, 0), MATCH((YEAR(D181)+19), Variablen!$I$3:$AT$3, 0))="",L181,INDEX(Variablen!$I:$AT, MATCH(M181, Variablen!$A:$A, 0), MATCH((YEAR(D181)+19), Variablen!$I$3:$AT$3, 0))),L181)))*(IF((YEAR(D181)+19)&lt;YEAR(E181),0,IF((YEAR(D181)+19)&gt;YEAR(E181),1,(12-MONTH(E181)+1)/12))) + (Q181)*(IF((YEAR(D181)+19)&lt;YEAR(E181),0,IF((YEAR(D181)+19)&gt;YEAR(E181),1,(12-MONTH(E181)+1)/12))))-((P181)*(IF((YEAR(D181)+19)&lt;YEAR(E181),0,IF((YEAR(D181)+19)&gt;YEAR(E181),1,(12-MONTH(E181)+1)/12))) + (R181)*(IF((YEAR(D181)+19)&lt;YEAR(E181),0,IF((YEAR(D181)+19)&gt;YEAR(E181),1,(12-MONTH(E181)+1)/12))))-(IF((((K181)*(IF(M181="",L181,IFERROR(IF(INDEX(Variablen!$I:$AT, MATCH(M181, Variablen!$A:$A, 0), MATCH((YEAR(D181)+19), Variablen!$I$3:$AT$3, 0))="",L181,INDEX(Variablen!$I:$AT, MATCH(M181, Variablen!$A:$A, 0), MATCH((YEAR(D181)+19), Variablen!$I$3:$AT$3, 0))),L181)))*(IF((YEAR(D181)+19)&lt;YEAR(E181),0,IF((YEAR(D181)+19)&gt;YEAR(E181),1,(12-MONTH(E181)+1)/12))) + (Q181)*(IF((YEAR(D181)+19)&lt;YEAR(E181),0,IF((YEAR(D181)+19)&gt;YEAR(E181),1,(12-MONTH(E181)+1)/12))))-((P181)*(IF((YEAR(D181)+19)&lt;YEAR(E181),0,IF((YEAR(D181)+19)&gt;YEAR(E181),1,(12-MONTH(E181)+1)/12))) + (R181)*(IF((YEAR(D181)+19)&lt;YEAR(E181),0,IF((YEAR(D181)+19)&gt;YEAR(E181),1,(12-MONTH(E181)+1)/12))))-(IF(OR(N181="",N181&lt;=0),0,(O181/N181)*(IF(OR(N181="",N181&lt;=0),0,IF((YEAR(D181)+19)&lt;YEAR(E181),0,IF((YEAR(D181)+19)&gt;=YEAR(E181)+N181,0,IF((YEAR(D181)+19)=YEAR(E181),(12-MONTH(E181)+1)/12,1))))))))&gt;0,(((K181)*(IF(M181="",L181,IFERROR(IF(INDEX(Variablen!$I:$AT, MATCH(M181, Variablen!$A:$A, 0), MATCH((YEAR(D181)+19), Variablen!$I$3:$AT$3, 0))="",L181,INDEX(Variablen!$I:$AT, MATCH(M181, Variablen!$A:$A, 0), MATCH((YEAR(D181)+19), Variablen!$I$3:$AT$3, 0))),L181)))*(IF((YEAR(D181)+19)&lt;YEAR(E181),0,IF((YEAR(D181)+19)&gt;YEAR(E181),1,(12-MONTH(E181)+1)/12))) + (Q181)*(IF((YEAR(D181)+19)&lt;YEAR(E181),0,IF((YEAR(D181)+19)&gt;YEAR(E181),1,(12-MONTH(E181)+1)/12))))-((P181)*(IF((YEAR(D181)+19)&lt;YEAR(E181),0,IF((YEAR(D181)+19)&gt;YEAR(E181),1,(12-MONTH(E181)+1)/12))) + (R181)*(IF((YEAR(D181)+19)&lt;YEAR(E181),0,IF((YEAR(D181)+19)&gt;YEAR(E181),1,(12-MONTH(E181)+1)/12))))-(IF(OR(N181="",N181&lt;=0),0,(O181/N181)*(IF(OR(N181="",N181&lt;=0),0,IF((YEAR(D181)+19)&lt;YEAR(E181),0,IF((YEAR(D181)+19)&gt;=YEAR(E181)+N181,0,IF((YEAR(D181)+19)=YEAR(E181),(12-MONTH(E181)+1)/12,1))))))))*TaxRate,0))-IF(19=0,O181,0))</f>
        <v/>
      </c>
      <c r="AM181" s="29">
        <f>IF(A181="","",((K181)*(IF(M181="",L181,IFERROR(IF(INDEX(Variablen!$I:$AT, MATCH(M181, Variablen!$A:$A, 0), MATCH((YEAR(D181)+20), Variablen!$I$3:$AT$3, 0))="",L181,INDEX(Variablen!$I:$AT, MATCH(M181, Variablen!$A:$A, 0), MATCH((YEAR(D181)+20), Variablen!$I$3:$AT$3, 0))),L181)))*(IF((YEAR(D181)+20)&lt;YEAR(E181),0,IF((YEAR(D181)+20)&gt;YEAR(E181),1,(12-MONTH(E181)+1)/12))) + (Q181)*(IF((YEAR(D181)+20)&lt;YEAR(E181),0,IF((YEAR(D181)+20)&gt;YEAR(E181),1,(12-MONTH(E181)+1)/12))))-((P181)*(IF((YEAR(D181)+20)&lt;YEAR(E181),0,IF((YEAR(D181)+20)&gt;YEAR(E181),1,(12-MONTH(E181)+1)/12))) + (R181)*(IF((YEAR(D181)+20)&lt;YEAR(E181),0,IF((YEAR(D181)+20)&gt;YEAR(E181),1,(12-MONTH(E181)+1)/12))))-(IF((((K181)*(IF(M181="",L181,IFERROR(IF(INDEX(Variablen!$I:$AT, MATCH(M181, Variablen!$A:$A, 0), MATCH((YEAR(D181)+20), Variablen!$I$3:$AT$3, 0))="",L181,INDEX(Variablen!$I:$AT, MATCH(M181, Variablen!$A:$A, 0), MATCH((YEAR(D181)+20), Variablen!$I$3:$AT$3, 0))),L181)))*(IF((YEAR(D181)+20)&lt;YEAR(E181),0,IF((YEAR(D181)+20)&gt;YEAR(E181),1,(12-MONTH(E181)+1)/12))) + (Q181)*(IF((YEAR(D181)+20)&lt;YEAR(E181),0,IF((YEAR(D181)+20)&gt;YEAR(E181),1,(12-MONTH(E181)+1)/12))))-((P181)*(IF((YEAR(D181)+20)&lt;YEAR(E181),0,IF((YEAR(D181)+20)&gt;YEAR(E181),1,(12-MONTH(E181)+1)/12))) + (R181)*(IF((YEAR(D181)+20)&lt;YEAR(E181),0,IF((YEAR(D181)+20)&gt;YEAR(E181),1,(12-MONTH(E181)+1)/12))))-(IF(OR(N181="",N181&lt;=0),0,(O181/N181)*(IF(OR(N181="",N181&lt;=0),0,IF((YEAR(D181)+20)&lt;YEAR(E181),0,IF((YEAR(D181)+20)&gt;=YEAR(E181)+N181,0,IF((YEAR(D181)+20)=YEAR(E181),(12-MONTH(E181)+1)/12,1))))))))&gt;0,(((K181)*(IF(M181="",L181,IFERROR(IF(INDEX(Variablen!$I:$AT, MATCH(M181, Variablen!$A:$A, 0), MATCH((YEAR(D181)+20), Variablen!$I$3:$AT$3, 0))="",L181,INDEX(Variablen!$I:$AT, MATCH(M181, Variablen!$A:$A, 0), MATCH((YEAR(D181)+20), Variablen!$I$3:$AT$3, 0))),L181)))*(IF((YEAR(D181)+20)&lt;YEAR(E181),0,IF((YEAR(D181)+20)&gt;YEAR(E181),1,(12-MONTH(E181)+1)/12))) + (Q181)*(IF((YEAR(D181)+20)&lt;YEAR(E181),0,IF((YEAR(D181)+20)&gt;YEAR(E181),1,(12-MONTH(E181)+1)/12))))-((P181)*(IF((YEAR(D181)+20)&lt;YEAR(E181),0,IF((YEAR(D181)+20)&gt;YEAR(E181),1,(12-MONTH(E181)+1)/12))) + (R181)*(IF((YEAR(D181)+20)&lt;YEAR(E181),0,IF((YEAR(D181)+20)&gt;YEAR(E181),1,(12-MONTH(E181)+1)/12))))-(IF(OR(N181="",N181&lt;=0),0,(O181/N181)*(IF(OR(N181="",N181&lt;=0),0,IF((YEAR(D181)+20)&lt;YEAR(E181),0,IF((YEAR(D181)+20)&gt;=YEAR(E181)+N181,0,IF((YEAR(D181)+20)=YEAR(E181),(12-MONTH(E181)+1)/12,1))))))))*TaxRate,0))-IF(20=0,O181,0))</f>
        <v/>
      </c>
      <c r="AN181" s="29">
        <f>IF(A181="","",S181)</f>
        <v/>
      </c>
      <c r="AO181" s="29">
        <f>IF(A181="","",AN181+T181)</f>
        <v/>
      </c>
      <c r="AP181" s="29">
        <f>IF(A181="","",AO181+U181)</f>
        <v/>
      </c>
      <c r="AQ181" s="29">
        <f>IF(A181="","",AP181+V181)</f>
        <v/>
      </c>
      <c r="AR181" s="29">
        <f>IF(A181="","",AQ181+W181)</f>
        <v/>
      </c>
      <c r="AS181" s="29">
        <f>IF(A181="","",AR181+X181)</f>
        <v/>
      </c>
      <c r="AT181" s="29">
        <f>IF(A181="","",AS181+Y181)</f>
        <v/>
      </c>
      <c r="AU181" s="29">
        <f>IF(A181="","",AT181+Z181)</f>
        <v/>
      </c>
      <c r="AV181" s="29">
        <f>IF(A181="","",AU181+AA181)</f>
        <v/>
      </c>
      <c r="AW181" s="29">
        <f>IF(A181="","",AV181+AB181)</f>
        <v/>
      </c>
      <c r="AX181" s="29">
        <f>IF(A181="","",AW181+AC181)</f>
        <v/>
      </c>
      <c r="AY181" s="29">
        <f>IF(A181="","",AX181+AD181)</f>
        <v/>
      </c>
      <c r="AZ181" s="29">
        <f>IF(A181="","",AY181+AE181)</f>
        <v/>
      </c>
      <c r="BA181" s="29">
        <f>IF(A181="","",AZ181+AF181)</f>
        <v/>
      </c>
      <c r="BB181" s="29">
        <f>IF(A181="","",BA181+AG181)</f>
        <v/>
      </c>
      <c r="BC181" s="29">
        <f>IF(A181="","",BB181+AH181)</f>
        <v/>
      </c>
      <c r="BD181" s="29">
        <f>IF(A181="","",BC181+AI181)</f>
        <v/>
      </c>
      <c r="BE181" s="29">
        <f>IF(A181="","",BD181+AJ181)</f>
        <v/>
      </c>
      <c r="BF181" s="29">
        <f>IF(A181="","",BE181+AK181)</f>
        <v/>
      </c>
      <c r="BG181" s="29">
        <f>IF(A181="","",BF181+AL181)</f>
        <v/>
      </c>
      <c r="BH181" s="29">
        <f>IF(A181="","",BG181+AM181)</f>
        <v/>
      </c>
      <c r="BI181" s="36">
        <f>IF(A181="","",(K181)*(IF((YEAR(D181)+0)&lt;YEAR(E181),0,IF((YEAR(D181)+0)&gt;YEAR(E181),1,(12-MONTH(E181)+1)/12)))*(1/(1+DiscountRate)^0))</f>
        <v/>
      </c>
      <c r="BJ181" s="36">
        <f>IF(A181="","",(K181)*(IF((YEAR(D181)+1)&lt;YEAR(E181),0,IF((YEAR(D181)+1)&gt;YEAR(E181),1,(12-MONTH(E181)+1)/12)))*(1/(1+DiscountRate)^1))</f>
        <v/>
      </c>
      <c r="BK181" s="36">
        <f>IF(A181="","",(K181)*(IF((YEAR(D181)+2)&lt;YEAR(E181),0,IF((YEAR(D181)+2)&gt;YEAR(E181),1,(12-MONTH(E181)+1)/12)))*(1/(1+DiscountRate)^2))</f>
        <v/>
      </c>
      <c r="BL181" s="36">
        <f>IF(A181="","",(K181)*(IF((YEAR(D181)+3)&lt;YEAR(E181),0,IF((YEAR(D181)+3)&gt;YEAR(E181),1,(12-MONTH(E181)+1)/12)))*(1/(1+DiscountRate)^3))</f>
        <v/>
      </c>
      <c r="BM181" s="36">
        <f>IF(A181="","",(K181)*(IF((YEAR(D181)+4)&lt;YEAR(E181),0,IF((YEAR(D181)+4)&gt;YEAR(E181),1,(12-MONTH(E181)+1)/12)))*(1/(1+DiscountRate)^4))</f>
        <v/>
      </c>
      <c r="BN181" s="36">
        <f>IF(A181="","",(K181)*(IF((YEAR(D181)+5)&lt;YEAR(E181),0,IF((YEAR(D181)+5)&gt;YEAR(E181),1,(12-MONTH(E181)+1)/12)))*(1/(1+DiscountRate)^5))</f>
        <v/>
      </c>
      <c r="BO181" s="36">
        <f>IF(A181="","",(K181)*(IF((YEAR(D181)+6)&lt;YEAR(E181),0,IF((YEAR(D181)+6)&gt;YEAR(E181),1,(12-MONTH(E181)+1)/12)))*(1/(1+DiscountRate)^6))</f>
        <v/>
      </c>
      <c r="BP181" s="36">
        <f>IF(A181="","",(K181)*(IF((YEAR(D181)+7)&lt;YEAR(E181),0,IF((YEAR(D181)+7)&gt;YEAR(E181),1,(12-MONTH(E181)+1)/12)))*(1/(1+DiscountRate)^7))</f>
        <v/>
      </c>
      <c r="BQ181" s="36">
        <f>IF(A181="","",(K181)*(IF((YEAR(D181)+8)&lt;YEAR(E181),0,IF((YEAR(D181)+8)&gt;YEAR(E181),1,(12-MONTH(E181)+1)/12)))*(1/(1+DiscountRate)^8))</f>
        <v/>
      </c>
      <c r="BR181" s="36">
        <f>IF(A181="","",(K181)*(IF((YEAR(D181)+9)&lt;YEAR(E181),0,IF((YEAR(D181)+9)&gt;YEAR(E181),1,(12-MONTH(E181)+1)/12)))*(1/(1+DiscountRate)^9))</f>
        <v/>
      </c>
      <c r="BS181" s="36">
        <f>IF(A181="","",(K181)*(IF((YEAR(D181)+10)&lt;YEAR(E181),0,IF((YEAR(D181)+10)&gt;YEAR(E181),1,(12-MONTH(E181)+1)/12)))*(1/(1+DiscountRate)^10))</f>
        <v/>
      </c>
      <c r="BT181" s="36">
        <f>IF(A181="","",(K181)*(IF((YEAR(D181)+11)&lt;YEAR(E181),0,IF((YEAR(D181)+11)&gt;YEAR(E181),1,(12-MONTH(E181)+1)/12)))*(1/(1+DiscountRate)^11))</f>
        <v/>
      </c>
      <c r="BU181" s="36">
        <f>IF(A181="","",(K181)*(IF((YEAR(D181)+12)&lt;YEAR(E181),0,IF((YEAR(D181)+12)&gt;YEAR(E181),1,(12-MONTH(E181)+1)/12)))*(1/(1+DiscountRate)^12))</f>
        <v/>
      </c>
      <c r="BV181" s="36">
        <f>IF(A181="","",(K181)*(IF((YEAR(D181)+13)&lt;YEAR(E181),0,IF((YEAR(D181)+13)&gt;YEAR(E181),1,(12-MONTH(E181)+1)/12)))*(1/(1+DiscountRate)^13))</f>
        <v/>
      </c>
      <c r="BW181" s="36">
        <f>IF(A181="","",(K181)*(IF((YEAR(D181)+14)&lt;YEAR(E181),0,IF((YEAR(D181)+14)&gt;YEAR(E181),1,(12-MONTH(E181)+1)/12)))*(1/(1+DiscountRate)^14))</f>
        <v/>
      </c>
      <c r="BX181" s="36">
        <f>IF(A181="","",(K181)*(IF((YEAR(D181)+15)&lt;YEAR(E181),0,IF((YEAR(D181)+15)&gt;YEAR(E181),1,(12-MONTH(E181)+1)/12)))*(1/(1+DiscountRate)^15))</f>
        <v/>
      </c>
      <c r="BY181" s="36">
        <f>IF(A181="","",(K181)*(IF((YEAR(D181)+16)&lt;YEAR(E181),0,IF((YEAR(D181)+16)&gt;YEAR(E181),1,(12-MONTH(E181)+1)/12)))*(1/(1+DiscountRate)^16))</f>
        <v/>
      </c>
      <c r="BZ181" s="36">
        <f>IF(A181="","",(K181)*(IF((YEAR(D181)+17)&lt;YEAR(E181),0,IF((YEAR(D181)+17)&gt;YEAR(E181),1,(12-MONTH(E181)+1)/12)))*(1/(1+DiscountRate)^17))</f>
        <v/>
      </c>
      <c r="CA181" s="36">
        <f>IF(A181="","",(K181)*(IF((YEAR(D181)+18)&lt;YEAR(E181),0,IF((YEAR(D181)+18)&gt;YEAR(E181),1,(12-MONTH(E181)+1)/12)))*(1/(1+DiscountRate)^18))</f>
        <v/>
      </c>
      <c r="CB181" s="36">
        <f>IF(A181="","",(K181)*(IF((YEAR(D181)+19)&lt;YEAR(E181),0,IF((YEAR(D181)+19)&gt;YEAR(E181),1,(12-MONTH(E181)+1)/12)))*(1/(1+DiscountRate)^19))</f>
        <v/>
      </c>
      <c r="CC181" s="36">
        <f>IF(A181="","",(K181)*(IF((YEAR(D181)+20)&lt;YEAR(E181),0,IF((YEAR(D181)+20)&gt;YEAR(E181),1,(12-MONTH(E181)+1)/12)))*(1/(1+DiscountRate)^20))</f>
        <v/>
      </c>
      <c r="CD181" s="29">
        <f>IF(A181="","",S181/(1+DiscountRate)^0+T181/(1+DiscountRate)^1+U181/(1+DiscountRate)^2+V181/(1+DiscountRate)^3+W181/(1+DiscountRate)^4+X181/(1+DiscountRate)^5+Y181/(1+DiscountRate)^6+Z181/(1+DiscountRate)^7+AA181/(1+DiscountRate)^8+AB181/(1+DiscountRate)^9+AC181/(1+DiscountRate)^10+AD181/(1+DiscountRate)^11+AE181/(1+DiscountRate)^12+AF181/(1+DiscountRate)^13+AG181/(1+DiscountRate)^14+AH181/(1+DiscountRate)^15+AI181/(1+DiscountRate)^16+AJ181/(1+DiscountRate)^17+AK181/(1+DiscountRate)^18+AL181/(1+DiscountRate)^19+AM181/(1+DiscountRate)^20)</f>
        <v/>
      </c>
      <c r="CE181" s="37">
        <f>IF(A181="","",IFERROR(IRR(OFFSET(S181,0,0,1,MIN(HorizonYears,20)+1)),"n/a"))</f>
        <v/>
      </c>
      <c r="CF181" s="28">
        <f>IF(A181="","",IFERROR(MATCH(TRUE,OFFSET(AN181,0,0,1,MIN(HorizonYears,20)+1)&gt;=0,0)-1,"n/a"))</f>
        <v/>
      </c>
      <c r="CG181" s="36">
        <f>IF(A181="","",SUM(OFFSET(BI181,0,0,1,MIN(HorizonYears,20)+1)))</f>
        <v/>
      </c>
      <c r="CH181" s="36">
        <f>IF(A181="","",IFERROR(-CD181/CG181,"n/a"))</f>
        <v/>
      </c>
    </row>
    <row r="182">
      <c r="A182" s="6">
        <f>Actions!A180</f>
        <v/>
      </c>
      <c r="B182" s="6">
        <f>Actions!B180</f>
        <v/>
      </c>
      <c r="C182" s="6">
        <f>Actions!D180</f>
        <v/>
      </c>
      <c r="D182" s="35">
        <f>Actions!E180</f>
        <v/>
      </c>
      <c r="E182" s="35">
        <f>Actions!F180</f>
        <v/>
      </c>
      <c r="F182" s="6">
        <f>Actions!G180</f>
        <v/>
      </c>
      <c r="G182" s="6">
        <f>Actions!H180</f>
        <v/>
      </c>
      <c r="H182" s="29">
        <f>Actions!I180</f>
        <v/>
      </c>
      <c r="I182" s="6">
        <f>Actions!J180</f>
        <v/>
      </c>
      <c r="J182" s="16">
        <f>Actions!K180</f>
        <v/>
      </c>
      <c r="K182" s="16">
        <f>IF(A182="","",IF(I182="%",H182*J182,J182))</f>
        <v/>
      </c>
      <c r="L182" s="16">
        <f>Actions!L180</f>
        <v/>
      </c>
      <c r="M182" s="6">
        <f>Actions!M180</f>
        <v/>
      </c>
      <c r="N182" s="28">
        <f>Actions!N180</f>
        <v/>
      </c>
      <c r="O182" s="29">
        <f>Actions!T180</f>
        <v/>
      </c>
      <c r="P182" s="29">
        <f>Actions!Y180</f>
        <v/>
      </c>
      <c r="Q182" s="29">
        <f>Actions!Z180</f>
        <v/>
      </c>
      <c r="R182" s="29">
        <f>Actions!AA180</f>
        <v/>
      </c>
      <c r="S182" s="29">
        <f>IF(A182="","",((K182)*(IF(M182="",L182,IFERROR(IF(INDEX(Variablen!$I:$AT, MATCH(M182, Variablen!$A:$A, 0), MATCH((YEAR(D182)+0), Variablen!$I$3:$AT$3, 0))="",L182,INDEX(Variablen!$I:$AT, MATCH(M182, Variablen!$A:$A, 0), MATCH((YEAR(D182)+0), Variablen!$I$3:$AT$3, 0))),L182)))*(IF((YEAR(D182)+0)&lt;YEAR(E182),0,IF((YEAR(D182)+0)&gt;YEAR(E182),1,(12-MONTH(E182)+1)/12))) + (Q182)*(IF((YEAR(D182)+0)&lt;YEAR(E182),0,IF((YEAR(D182)+0)&gt;YEAR(E182),1,(12-MONTH(E182)+1)/12))))-((P182)*(IF((YEAR(D182)+0)&lt;YEAR(E182),0,IF((YEAR(D182)+0)&gt;YEAR(E182),1,(12-MONTH(E182)+1)/12))) + (R182)*(IF((YEAR(D182)+0)&lt;YEAR(E182),0,IF((YEAR(D182)+0)&gt;YEAR(E182),1,(12-MONTH(E182)+1)/12))))-(IF((((K182)*(IF(M182="",L182,IFERROR(IF(INDEX(Variablen!$I:$AT, MATCH(M182, Variablen!$A:$A, 0), MATCH((YEAR(D182)+0), Variablen!$I$3:$AT$3, 0))="",L182,INDEX(Variablen!$I:$AT, MATCH(M182, Variablen!$A:$A, 0), MATCH((YEAR(D182)+0), Variablen!$I$3:$AT$3, 0))),L182)))*(IF((YEAR(D182)+0)&lt;YEAR(E182),0,IF((YEAR(D182)+0)&gt;YEAR(E182),1,(12-MONTH(E182)+1)/12))) + (Q182)*(IF((YEAR(D182)+0)&lt;YEAR(E182),0,IF((YEAR(D182)+0)&gt;YEAR(E182),1,(12-MONTH(E182)+1)/12))))-((P182)*(IF((YEAR(D182)+0)&lt;YEAR(E182),0,IF((YEAR(D182)+0)&gt;YEAR(E182),1,(12-MONTH(E182)+1)/12))) + (R182)*(IF((YEAR(D182)+0)&lt;YEAR(E182),0,IF((YEAR(D182)+0)&gt;YEAR(E182),1,(12-MONTH(E182)+1)/12))))-(IF(OR(N182="",N182&lt;=0),0,(O182/N182)*(IF(OR(N182="",N182&lt;=0),0,IF((YEAR(D182)+0)&lt;YEAR(E182),0,IF((YEAR(D182)+0)&gt;=YEAR(E182)+N182,0,IF((YEAR(D182)+0)=YEAR(E182),(12-MONTH(E182)+1)/12,1))))))))&gt;0,(((K182)*(IF(M182="",L182,IFERROR(IF(INDEX(Variablen!$I:$AT, MATCH(M182, Variablen!$A:$A, 0), MATCH((YEAR(D182)+0), Variablen!$I$3:$AT$3, 0))="",L182,INDEX(Variablen!$I:$AT, MATCH(M182, Variablen!$A:$A, 0), MATCH((YEAR(D182)+0), Variablen!$I$3:$AT$3, 0))),L182)))*(IF((YEAR(D182)+0)&lt;YEAR(E182),0,IF((YEAR(D182)+0)&gt;YEAR(E182),1,(12-MONTH(E182)+1)/12))) + (Q182)*(IF((YEAR(D182)+0)&lt;YEAR(E182),0,IF((YEAR(D182)+0)&gt;YEAR(E182),1,(12-MONTH(E182)+1)/12))))-((P182)*(IF((YEAR(D182)+0)&lt;YEAR(E182),0,IF((YEAR(D182)+0)&gt;YEAR(E182),1,(12-MONTH(E182)+1)/12))) + (R182)*(IF((YEAR(D182)+0)&lt;YEAR(E182),0,IF((YEAR(D182)+0)&gt;YEAR(E182),1,(12-MONTH(E182)+1)/12))))-(IF(OR(N182="",N182&lt;=0),0,(O182/N182)*(IF(OR(N182="",N182&lt;=0),0,IF((YEAR(D182)+0)&lt;YEAR(E182),0,IF((YEAR(D182)+0)&gt;=YEAR(E182)+N182,0,IF((YEAR(D182)+0)=YEAR(E182),(12-MONTH(E182)+1)/12,1))))))))*TaxRate,0))-IF(0=0,O182,0))</f>
        <v/>
      </c>
      <c r="T182" s="29">
        <f>IF(A182="","",((K182)*(IF(M182="",L182,IFERROR(IF(INDEX(Variablen!$I:$AT, MATCH(M182, Variablen!$A:$A, 0), MATCH((YEAR(D182)+1), Variablen!$I$3:$AT$3, 0))="",L182,INDEX(Variablen!$I:$AT, MATCH(M182, Variablen!$A:$A, 0), MATCH((YEAR(D182)+1), Variablen!$I$3:$AT$3, 0))),L182)))*(IF((YEAR(D182)+1)&lt;YEAR(E182),0,IF((YEAR(D182)+1)&gt;YEAR(E182),1,(12-MONTH(E182)+1)/12))) + (Q182)*(IF((YEAR(D182)+1)&lt;YEAR(E182),0,IF((YEAR(D182)+1)&gt;YEAR(E182),1,(12-MONTH(E182)+1)/12))))-((P182)*(IF((YEAR(D182)+1)&lt;YEAR(E182),0,IF((YEAR(D182)+1)&gt;YEAR(E182),1,(12-MONTH(E182)+1)/12))) + (R182)*(IF((YEAR(D182)+1)&lt;YEAR(E182),0,IF((YEAR(D182)+1)&gt;YEAR(E182),1,(12-MONTH(E182)+1)/12))))-(IF((((K182)*(IF(M182="",L182,IFERROR(IF(INDEX(Variablen!$I:$AT, MATCH(M182, Variablen!$A:$A, 0), MATCH((YEAR(D182)+1), Variablen!$I$3:$AT$3, 0))="",L182,INDEX(Variablen!$I:$AT, MATCH(M182, Variablen!$A:$A, 0), MATCH((YEAR(D182)+1), Variablen!$I$3:$AT$3, 0))),L182)))*(IF((YEAR(D182)+1)&lt;YEAR(E182),0,IF((YEAR(D182)+1)&gt;YEAR(E182),1,(12-MONTH(E182)+1)/12))) + (Q182)*(IF((YEAR(D182)+1)&lt;YEAR(E182),0,IF((YEAR(D182)+1)&gt;YEAR(E182),1,(12-MONTH(E182)+1)/12))))-((P182)*(IF((YEAR(D182)+1)&lt;YEAR(E182),0,IF((YEAR(D182)+1)&gt;YEAR(E182),1,(12-MONTH(E182)+1)/12))) + (R182)*(IF((YEAR(D182)+1)&lt;YEAR(E182),0,IF((YEAR(D182)+1)&gt;YEAR(E182),1,(12-MONTH(E182)+1)/12))))-(IF(OR(N182="",N182&lt;=0),0,(O182/N182)*(IF(OR(N182="",N182&lt;=0),0,IF((YEAR(D182)+1)&lt;YEAR(E182),0,IF((YEAR(D182)+1)&gt;=YEAR(E182)+N182,0,IF((YEAR(D182)+1)=YEAR(E182),(12-MONTH(E182)+1)/12,1))))))))&gt;0,(((K182)*(IF(M182="",L182,IFERROR(IF(INDEX(Variablen!$I:$AT, MATCH(M182, Variablen!$A:$A, 0), MATCH((YEAR(D182)+1), Variablen!$I$3:$AT$3, 0))="",L182,INDEX(Variablen!$I:$AT, MATCH(M182, Variablen!$A:$A, 0), MATCH((YEAR(D182)+1), Variablen!$I$3:$AT$3, 0))),L182)))*(IF((YEAR(D182)+1)&lt;YEAR(E182),0,IF((YEAR(D182)+1)&gt;YEAR(E182),1,(12-MONTH(E182)+1)/12))) + (Q182)*(IF((YEAR(D182)+1)&lt;YEAR(E182),0,IF((YEAR(D182)+1)&gt;YEAR(E182),1,(12-MONTH(E182)+1)/12))))-((P182)*(IF((YEAR(D182)+1)&lt;YEAR(E182),0,IF((YEAR(D182)+1)&gt;YEAR(E182),1,(12-MONTH(E182)+1)/12))) + (R182)*(IF((YEAR(D182)+1)&lt;YEAR(E182),0,IF((YEAR(D182)+1)&gt;YEAR(E182),1,(12-MONTH(E182)+1)/12))))-(IF(OR(N182="",N182&lt;=0),0,(O182/N182)*(IF(OR(N182="",N182&lt;=0),0,IF((YEAR(D182)+1)&lt;YEAR(E182),0,IF((YEAR(D182)+1)&gt;=YEAR(E182)+N182,0,IF((YEAR(D182)+1)=YEAR(E182),(12-MONTH(E182)+1)/12,1))))))))*TaxRate,0))-IF(1=0,O182,0))</f>
        <v/>
      </c>
      <c r="U182" s="29">
        <f>IF(A182="","",((K182)*(IF(M182="",L182,IFERROR(IF(INDEX(Variablen!$I:$AT, MATCH(M182, Variablen!$A:$A, 0), MATCH((YEAR(D182)+2), Variablen!$I$3:$AT$3, 0))="",L182,INDEX(Variablen!$I:$AT, MATCH(M182, Variablen!$A:$A, 0), MATCH((YEAR(D182)+2), Variablen!$I$3:$AT$3, 0))),L182)))*(IF((YEAR(D182)+2)&lt;YEAR(E182),0,IF((YEAR(D182)+2)&gt;YEAR(E182),1,(12-MONTH(E182)+1)/12))) + (Q182)*(IF((YEAR(D182)+2)&lt;YEAR(E182),0,IF((YEAR(D182)+2)&gt;YEAR(E182),1,(12-MONTH(E182)+1)/12))))-((P182)*(IF((YEAR(D182)+2)&lt;YEAR(E182),0,IF((YEAR(D182)+2)&gt;YEAR(E182),1,(12-MONTH(E182)+1)/12))) + (R182)*(IF((YEAR(D182)+2)&lt;YEAR(E182),0,IF((YEAR(D182)+2)&gt;YEAR(E182),1,(12-MONTH(E182)+1)/12))))-(IF((((K182)*(IF(M182="",L182,IFERROR(IF(INDEX(Variablen!$I:$AT, MATCH(M182, Variablen!$A:$A, 0), MATCH((YEAR(D182)+2), Variablen!$I$3:$AT$3, 0))="",L182,INDEX(Variablen!$I:$AT, MATCH(M182, Variablen!$A:$A, 0), MATCH((YEAR(D182)+2), Variablen!$I$3:$AT$3, 0))),L182)))*(IF((YEAR(D182)+2)&lt;YEAR(E182),0,IF((YEAR(D182)+2)&gt;YEAR(E182),1,(12-MONTH(E182)+1)/12))) + (Q182)*(IF((YEAR(D182)+2)&lt;YEAR(E182),0,IF((YEAR(D182)+2)&gt;YEAR(E182),1,(12-MONTH(E182)+1)/12))))-((P182)*(IF((YEAR(D182)+2)&lt;YEAR(E182),0,IF((YEAR(D182)+2)&gt;YEAR(E182),1,(12-MONTH(E182)+1)/12))) + (R182)*(IF((YEAR(D182)+2)&lt;YEAR(E182),0,IF((YEAR(D182)+2)&gt;YEAR(E182),1,(12-MONTH(E182)+1)/12))))-(IF(OR(N182="",N182&lt;=0),0,(O182/N182)*(IF(OR(N182="",N182&lt;=0),0,IF((YEAR(D182)+2)&lt;YEAR(E182),0,IF((YEAR(D182)+2)&gt;=YEAR(E182)+N182,0,IF((YEAR(D182)+2)=YEAR(E182),(12-MONTH(E182)+1)/12,1))))))))&gt;0,(((K182)*(IF(M182="",L182,IFERROR(IF(INDEX(Variablen!$I:$AT, MATCH(M182, Variablen!$A:$A, 0), MATCH((YEAR(D182)+2), Variablen!$I$3:$AT$3, 0))="",L182,INDEX(Variablen!$I:$AT, MATCH(M182, Variablen!$A:$A, 0), MATCH((YEAR(D182)+2), Variablen!$I$3:$AT$3, 0))),L182)))*(IF((YEAR(D182)+2)&lt;YEAR(E182),0,IF((YEAR(D182)+2)&gt;YEAR(E182),1,(12-MONTH(E182)+1)/12))) + (Q182)*(IF((YEAR(D182)+2)&lt;YEAR(E182),0,IF((YEAR(D182)+2)&gt;YEAR(E182),1,(12-MONTH(E182)+1)/12))))-((P182)*(IF((YEAR(D182)+2)&lt;YEAR(E182),0,IF((YEAR(D182)+2)&gt;YEAR(E182),1,(12-MONTH(E182)+1)/12))) + (R182)*(IF((YEAR(D182)+2)&lt;YEAR(E182),0,IF((YEAR(D182)+2)&gt;YEAR(E182),1,(12-MONTH(E182)+1)/12))))-(IF(OR(N182="",N182&lt;=0),0,(O182/N182)*(IF(OR(N182="",N182&lt;=0),0,IF((YEAR(D182)+2)&lt;YEAR(E182),0,IF((YEAR(D182)+2)&gt;=YEAR(E182)+N182,0,IF((YEAR(D182)+2)=YEAR(E182),(12-MONTH(E182)+1)/12,1))))))))*TaxRate,0))-IF(2=0,O182,0))</f>
        <v/>
      </c>
      <c r="V182" s="29">
        <f>IF(A182="","",((K182)*(IF(M182="",L182,IFERROR(IF(INDEX(Variablen!$I:$AT, MATCH(M182, Variablen!$A:$A, 0), MATCH((YEAR(D182)+3), Variablen!$I$3:$AT$3, 0))="",L182,INDEX(Variablen!$I:$AT, MATCH(M182, Variablen!$A:$A, 0), MATCH((YEAR(D182)+3), Variablen!$I$3:$AT$3, 0))),L182)))*(IF((YEAR(D182)+3)&lt;YEAR(E182),0,IF((YEAR(D182)+3)&gt;YEAR(E182),1,(12-MONTH(E182)+1)/12))) + (Q182)*(IF((YEAR(D182)+3)&lt;YEAR(E182),0,IF((YEAR(D182)+3)&gt;YEAR(E182),1,(12-MONTH(E182)+1)/12))))-((P182)*(IF((YEAR(D182)+3)&lt;YEAR(E182),0,IF((YEAR(D182)+3)&gt;YEAR(E182),1,(12-MONTH(E182)+1)/12))) + (R182)*(IF((YEAR(D182)+3)&lt;YEAR(E182),0,IF((YEAR(D182)+3)&gt;YEAR(E182),1,(12-MONTH(E182)+1)/12))))-(IF((((K182)*(IF(M182="",L182,IFERROR(IF(INDEX(Variablen!$I:$AT, MATCH(M182, Variablen!$A:$A, 0), MATCH((YEAR(D182)+3), Variablen!$I$3:$AT$3, 0))="",L182,INDEX(Variablen!$I:$AT, MATCH(M182, Variablen!$A:$A, 0), MATCH((YEAR(D182)+3), Variablen!$I$3:$AT$3, 0))),L182)))*(IF((YEAR(D182)+3)&lt;YEAR(E182),0,IF((YEAR(D182)+3)&gt;YEAR(E182),1,(12-MONTH(E182)+1)/12))) + (Q182)*(IF((YEAR(D182)+3)&lt;YEAR(E182),0,IF((YEAR(D182)+3)&gt;YEAR(E182),1,(12-MONTH(E182)+1)/12))))-((P182)*(IF((YEAR(D182)+3)&lt;YEAR(E182),0,IF((YEAR(D182)+3)&gt;YEAR(E182),1,(12-MONTH(E182)+1)/12))) + (R182)*(IF((YEAR(D182)+3)&lt;YEAR(E182),0,IF((YEAR(D182)+3)&gt;YEAR(E182),1,(12-MONTH(E182)+1)/12))))-(IF(OR(N182="",N182&lt;=0),0,(O182/N182)*(IF(OR(N182="",N182&lt;=0),0,IF((YEAR(D182)+3)&lt;YEAR(E182),0,IF((YEAR(D182)+3)&gt;=YEAR(E182)+N182,0,IF((YEAR(D182)+3)=YEAR(E182),(12-MONTH(E182)+1)/12,1))))))))&gt;0,(((K182)*(IF(M182="",L182,IFERROR(IF(INDEX(Variablen!$I:$AT, MATCH(M182, Variablen!$A:$A, 0), MATCH((YEAR(D182)+3), Variablen!$I$3:$AT$3, 0))="",L182,INDEX(Variablen!$I:$AT, MATCH(M182, Variablen!$A:$A, 0), MATCH((YEAR(D182)+3), Variablen!$I$3:$AT$3, 0))),L182)))*(IF((YEAR(D182)+3)&lt;YEAR(E182),0,IF((YEAR(D182)+3)&gt;YEAR(E182),1,(12-MONTH(E182)+1)/12))) + (Q182)*(IF((YEAR(D182)+3)&lt;YEAR(E182),0,IF((YEAR(D182)+3)&gt;YEAR(E182),1,(12-MONTH(E182)+1)/12))))-((P182)*(IF((YEAR(D182)+3)&lt;YEAR(E182),0,IF((YEAR(D182)+3)&gt;YEAR(E182),1,(12-MONTH(E182)+1)/12))) + (R182)*(IF((YEAR(D182)+3)&lt;YEAR(E182),0,IF((YEAR(D182)+3)&gt;YEAR(E182),1,(12-MONTH(E182)+1)/12))))-(IF(OR(N182="",N182&lt;=0),0,(O182/N182)*(IF(OR(N182="",N182&lt;=0),0,IF((YEAR(D182)+3)&lt;YEAR(E182),0,IF((YEAR(D182)+3)&gt;=YEAR(E182)+N182,0,IF((YEAR(D182)+3)=YEAR(E182),(12-MONTH(E182)+1)/12,1))))))))*TaxRate,0))-IF(3=0,O182,0))</f>
        <v/>
      </c>
      <c r="W182" s="29">
        <f>IF(A182="","",((K182)*(IF(M182="",L182,IFERROR(IF(INDEX(Variablen!$I:$AT, MATCH(M182, Variablen!$A:$A, 0), MATCH((YEAR(D182)+4), Variablen!$I$3:$AT$3, 0))="",L182,INDEX(Variablen!$I:$AT, MATCH(M182, Variablen!$A:$A, 0), MATCH((YEAR(D182)+4), Variablen!$I$3:$AT$3, 0))),L182)))*(IF((YEAR(D182)+4)&lt;YEAR(E182),0,IF((YEAR(D182)+4)&gt;YEAR(E182),1,(12-MONTH(E182)+1)/12))) + (Q182)*(IF((YEAR(D182)+4)&lt;YEAR(E182),0,IF((YEAR(D182)+4)&gt;YEAR(E182),1,(12-MONTH(E182)+1)/12))))-((P182)*(IF((YEAR(D182)+4)&lt;YEAR(E182),0,IF((YEAR(D182)+4)&gt;YEAR(E182),1,(12-MONTH(E182)+1)/12))) + (R182)*(IF((YEAR(D182)+4)&lt;YEAR(E182),0,IF((YEAR(D182)+4)&gt;YEAR(E182),1,(12-MONTH(E182)+1)/12))))-(IF((((K182)*(IF(M182="",L182,IFERROR(IF(INDEX(Variablen!$I:$AT, MATCH(M182, Variablen!$A:$A, 0), MATCH((YEAR(D182)+4), Variablen!$I$3:$AT$3, 0))="",L182,INDEX(Variablen!$I:$AT, MATCH(M182, Variablen!$A:$A, 0), MATCH((YEAR(D182)+4), Variablen!$I$3:$AT$3, 0))),L182)))*(IF((YEAR(D182)+4)&lt;YEAR(E182),0,IF((YEAR(D182)+4)&gt;YEAR(E182),1,(12-MONTH(E182)+1)/12))) + (Q182)*(IF((YEAR(D182)+4)&lt;YEAR(E182),0,IF((YEAR(D182)+4)&gt;YEAR(E182),1,(12-MONTH(E182)+1)/12))))-((P182)*(IF((YEAR(D182)+4)&lt;YEAR(E182),0,IF((YEAR(D182)+4)&gt;YEAR(E182),1,(12-MONTH(E182)+1)/12))) + (R182)*(IF((YEAR(D182)+4)&lt;YEAR(E182),0,IF((YEAR(D182)+4)&gt;YEAR(E182),1,(12-MONTH(E182)+1)/12))))-(IF(OR(N182="",N182&lt;=0),0,(O182/N182)*(IF(OR(N182="",N182&lt;=0),0,IF((YEAR(D182)+4)&lt;YEAR(E182),0,IF((YEAR(D182)+4)&gt;=YEAR(E182)+N182,0,IF((YEAR(D182)+4)=YEAR(E182),(12-MONTH(E182)+1)/12,1))))))))&gt;0,(((K182)*(IF(M182="",L182,IFERROR(IF(INDEX(Variablen!$I:$AT, MATCH(M182, Variablen!$A:$A, 0), MATCH((YEAR(D182)+4), Variablen!$I$3:$AT$3, 0))="",L182,INDEX(Variablen!$I:$AT, MATCH(M182, Variablen!$A:$A, 0), MATCH((YEAR(D182)+4), Variablen!$I$3:$AT$3, 0))),L182)))*(IF((YEAR(D182)+4)&lt;YEAR(E182),0,IF((YEAR(D182)+4)&gt;YEAR(E182),1,(12-MONTH(E182)+1)/12))) + (Q182)*(IF((YEAR(D182)+4)&lt;YEAR(E182),0,IF((YEAR(D182)+4)&gt;YEAR(E182),1,(12-MONTH(E182)+1)/12))))-((P182)*(IF((YEAR(D182)+4)&lt;YEAR(E182),0,IF((YEAR(D182)+4)&gt;YEAR(E182),1,(12-MONTH(E182)+1)/12))) + (R182)*(IF((YEAR(D182)+4)&lt;YEAR(E182),0,IF((YEAR(D182)+4)&gt;YEAR(E182),1,(12-MONTH(E182)+1)/12))))-(IF(OR(N182="",N182&lt;=0),0,(O182/N182)*(IF(OR(N182="",N182&lt;=0),0,IF((YEAR(D182)+4)&lt;YEAR(E182),0,IF((YEAR(D182)+4)&gt;=YEAR(E182)+N182,0,IF((YEAR(D182)+4)=YEAR(E182),(12-MONTH(E182)+1)/12,1))))))))*TaxRate,0))-IF(4=0,O182,0))</f>
        <v/>
      </c>
      <c r="X182" s="29">
        <f>IF(A182="","",((K182)*(IF(M182="",L182,IFERROR(IF(INDEX(Variablen!$I:$AT, MATCH(M182, Variablen!$A:$A, 0), MATCH((YEAR(D182)+5), Variablen!$I$3:$AT$3, 0))="",L182,INDEX(Variablen!$I:$AT, MATCH(M182, Variablen!$A:$A, 0), MATCH((YEAR(D182)+5), Variablen!$I$3:$AT$3, 0))),L182)))*(IF((YEAR(D182)+5)&lt;YEAR(E182),0,IF((YEAR(D182)+5)&gt;YEAR(E182),1,(12-MONTH(E182)+1)/12))) + (Q182)*(IF((YEAR(D182)+5)&lt;YEAR(E182),0,IF((YEAR(D182)+5)&gt;YEAR(E182),1,(12-MONTH(E182)+1)/12))))-((P182)*(IF((YEAR(D182)+5)&lt;YEAR(E182),0,IF((YEAR(D182)+5)&gt;YEAR(E182),1,(12-MONTH(E182)+1)/12))) + (R182)*(IF((YEAR(D182)+5)&lt;YEAR(E182),0,IF((YEAR(D182)+5)&gt;YEAR(E182),1,(12-MONTH(E182)+1)/12))))-(IF((((K182)*(IF(M182="",L182,IFERROR(IF(INDEX(Variablen!$I:$AT, MATCH(M182, Variablen!$A:$A, 0), MATCH((YEAR(D182)+5), Variablen!$I$3:$AT$3, 0))="",L182,INDEX(Variablen!$I:$AT, MATCH(M182, Variablen!$A:$A, 0), MATCH((YEAR(D182)+5), Variablen!$I$3:$AT$3, 0))),L182)))*(IF((YEAR(D182)+5)&lt;YEAR(E182),0,IF((YEAR(D182)+5)&gt;YEAR(E182),1,(12-MONTH(E182)+1)/12))) + (Q182)*(IF((YEAR(D182)+5)&lt;YEAR(E182),0,IF((YEAR(D182)+5)&gt;YEAR(E182),1,(12-MONTH(E182)+1)/12))))-((P182)*(IF((YEAR(D182)+5)&lt;YEAR(E182),0,IF((YEAR(D182)+5)&gt;YEAR(E182),1,(12-MONTH(E182)+1)/12))) + (R182)*(IF((YEAR(D182)+5)&lt;YEAR(E182),0,IF((YEAR(D182)+5)&gt;YEAR(E182),1,(12-MONTH(E182)+1)/12))))-(IF(OR(N182="",N182&lt;=0),0,(O182/N182)*(IF(OR(N182="",N182&lt;=0),0,IF((YEAR(D182)+5)&lt;YEAR(E182),0,IF((YEAR(D182)+5)&gt;=YEAR(E182)+N182,0,IF((YEAR(D182)+5)=YEAR(E182),(12-MONTH(E182)+1)/12,1))))))))&gt;0,(((K182)*(IF(M182="",L182,IFERROR(IF(INDEX(Variablen!$I:$AT, MATCH(M182, Variablen!$A:$A, 0), MATCH((YEAR(D182)+5), Variablen!$I$3:$AT$3, 0))="",L182,INDEX(Variablen!$I:$AT, MATCH(M182, Variablen!$A:$A, 0), MATCH((YEAR(D182)+5), Variablen!$I$3:$AT$3, 0))),L182)))*(IF((YEAR(D182)+5)&lt;YEAR(E182),0,IF((YEAR(D182)+5)&gt;YEAR(E182),1,(12-MONTH(E182)+1)/12))) + (Q182)*(IF((YEAR(D182)+5)&lt;YEAR(E182),0,IF((YEAR(D182)+5)&gt;YEAR(E182),1,(12-MONTH(E182)+1)/12))))-((P182)*(IF((YEAR(D182)+5)&lt;YEAR(E182),0,IF((YEAR(D182)+5)&gt;YEAR(E182),1,(12-MONTH(E182)+1)/12))) + (R182)*(IF((YEAR(D182)+5)&lt;YEAR(E182),0,IF((YEAR(D182)+5)&gt;YEAR(E182),1,(12-MONTH(E182)+1)/12))))-(IF(OR(N182="",N182&lt;=0),0,(O182/N182)*(IF(OR(N182="",N182&lt;=0),0,IF((YEAR(D182)+5)&lt;YEAR(E182),0,IF((YEAR(D182)+5)&gt;=YEAR(E182)+N182,0,IF((YEAR(D182)+5)=YEAR(E182),(12-MONTH(E182)+1)/12,1))))))))*TaxRate,0))-IF(5=0,O182,0))</f>
        <v/>
      </c>
      <c r="Y182" s="29">
        <f>IF(A182="","",((K182)*(IF(M182="",L182,IFERROR(IF(INDEX(Variablen!$I:$AT, MATCH(M182, Variablen!$A:$A, 0), MATCH((YEAR(D182)+6), Variablen!$I$3:$AT$3, 0))="",L182,INDEX(Variablen!$I:$AT, MATCH(M182, Variablen!$A:$A, 0), MATCH((YEAR(D182)+6), Variablen!$I$3:$AT$3, 0))),L182)))*(IF((YEAR(D182)+6)&lt;YEAR(E182),0,IF((YEAR(D182)+6)&gt;YEAR(E182),1,(12-MONTH(E182)+1)/12))) + (Q182)*(IF((YEAR(D182)+6)&lt;YEAR(E182),0,IF((YEAR(D182)+6)&gt;YEAR(E182),1,(12-MONTH(E182)+1)/12))))-((P182)*(IF((YEAR(D182)+6)&lt;YEAR(E182),0,IF((YEAR(D182)+6)&gt;YEAR(E182),1,(12-MONTH(E182)+1)/12))) + (R182)*(IF((YEAR(D182)+6)&lt;YEAR(E182),0,IF((YEAR(D182)+6)&gt;YEAR(E182),1,(12-MONTH(E182)+1)/12))))-(IF((((K182)*(IF(M182="",L182,IFERROR(IF(INDEX(Variablen!$I:$AT, MATCH(M182, Variablen!$A:$A, 0), MATCH((YEAR(D182)+6), Variablen!$I$3:$AT$3, 0))="",L182,INDEX(Variablen!$I:$AT, MATCH(M182, Variablen!$A:$A, 0), MATCH((YEAR(D182)+6), Variablen!$I$3:$AT$3, 0))),L182)))*(IF((YEAR(D182)+6)&lt;YEAR(E182),0,IF((YEAR(D182)+6)&gt;YEAR(E182),1,(12-MONTH(E182)+1)/12))) + (Q182)*(IF((YEAR(D182)+6)&lt;YEAR(E182),0,IF((YEAR(D182)+6)&gt;YEAR(E182),1,(12-MONTH(E182)+1)/12))))-((P182)*(IF((YEAR(D182)+6)&lt;YEAR(E182),0,IF((YEAR(D182)+6)&gt;YEAR(E182),1,(12-MONTH(E182)+1)/12))) + (R182)*(IF((YEAR(D182)+6)&lt;YEAR(E182),0,IF((YEAR(D182)+6)&gt;YEAR(E182),1,(12-MONTH(E182)+1)/12))))-(IF(OR(N182="",N182&lt;=0),0,(O182/N182)*(IF(OR(N182="",N182&lt;=0),0,IF((YEAR(D182)+6)&lt;YEAR(E182),0,IF((YEAR(D182)+6)&gt;=YEAR(E182)+N182,0,IF((YEAR(D182)+6)=YEAR(E182),(12-MONTH(E182)+1)/12,1))))))))&gt;0,(((K182)*(IF(M182="",L182,IFERROR(IF(INDEX(Variablen!$I:$AT, MATCH(M182, Variablen!$A:$A, 0), MATCH((YEAR(D182)+6), Variablen!$I$3:$AT$3, 0))="",L182,INDEX(Variablen!$I:$AT, MATCH(M182, Variablen!$A:$A, 0), MATCH((YEAR(D182)+6), Variablen!$I$3:$AT$3, 0))),L182)))*(IF((YEAR(D182)+6)&lt;YEAR(E182),0,IF((YEAR(D182)+6)&gt;YEAR(E182),1,(12-MONTH(E182)+1)/12))) + (Q182)*(IF((YEAR(D182)+6)&lt;YEAR(E182),0,IF((YEAR(D182)+6)&gt;YEAR(E182),1,(12-MONTH(E182)+1)/12))))-((P182)*(IF((YEAR(D182)+6)&lt;YEAR(E182),0,IF((YEAR(D182)+6)&gt;YEAR(E182),1,(12-MONTH(E182)+1)/12))) + (R182)*(IF((YEAR(D182)+6)&lt;YEAR(E182),0,IF((YEAR(D182)+6)&gt;YEAR(E182),1,(12-MONTH(E182)+1)/12))))-(IF(OR(N182="",N182&lt;=0),0,(O182/N182)*(IF(OR(N182="",N182&lt;=0),0,IF((YEAR(D182)+6)&lt;YEAR(E182),0,IF((YEAR(D182)+6)&gt;=YEAR(E182)+N182,0,IF((YEAR(D182)+6)=YEAR(E182),(12-MONTH(E182)+1)/12,1))))))))*TaxRate,0))-IF(6=0,O182,0))</f>
        <v/>
      </c>
      <c r="Z182" s="29">
        <f>IF(A182="","",((K182)*(IF(M182="",L182,IFERROR(IF(INDEX(Variablen!$I:$AT, MATCH(M182, Variablen!$A:$A, 0), MATCH((YEAR(D182)+7), Variablen!$I$3:$AT$3, 0))="",L182,INDEX(Variablen!$I:$AT, MATCH(M182, Variablen!$A:$A, 0), MATCH((YEAR(D182)+7), Variablen!$I$3:$AT$3, 0))),L182)))*(IF((YEAR(D182)+7)&lt;YEAR(E182),0,IF((YEAR(D182)+7)&gt;YEAR(E182),1,(12-MONTH(E182)+1)/12))) + (Q182)*(IF((YEAR(D182)+7)&lt;YEAR(E182),0,IF((YEAR(D182)+7)&gt;YEAR(E182),1,(12-MONTH(E182)+1)/12))))-((P182)*(IF((YEAR(D182)+7)&lt;YEAR(E182),0,IF((YEAR(D182)+7)&gt;YEAR(E182),1,(12-MONTH(E182)+1)/12))) + (R182)*(IF((YEAR(D182)+7)&lt;YEAR(E182),0,IF((YEAR(D182)+7)&gt;YEAR(E182),1,(12-MONTH(E182)+1)/12))))-(IF((((K182)*(IF(M182="",L182,IFERROR(IF(INDEX(Variablen!$I:$AT, MATCH(M182, Variablen!$A:$A, 0), MATCH((YEAR(D182)+7), Variablen!$I$3:$AT$3, 0))="",L182,INDEX(Variablen!$I:$AT, MATCH(M182, Variablen!$A:$A, 0), MATCH((YEAR(D182)+7), Variablen!$I$3:$AT$3, 0))),L182)))*(IF((YEAR(D182)+7)&lt;YEAR(E182),0,IF((YEAR(D182)+7)&gt;YEAR(E182),1,(12-MONTH(E182)+1)/12))) + (Q182)*(IF((YEAR(D182)+7)&lt;YEAR(E182),0,IF((YEAR(D182)+7)&gt;YEAR(E182),1,(12-MONTH(E182)+1)/12))))-((P182)*(IF((YEAR(D182)+7)&lt;YEAR(E182),0,IF((YEAR(D182)+7)&gt;YEAR(E182),1,(12-MONTH(E182)+1)/12))) + (R182)*(IF((YEAR(D182)+7)&lt;YEAR(E182),0,IF((YEAR(D182)+7)&gt;YEAR(E182),1,(12-MONTH(E182)+1)/12))))-(IF(OR(N182="",N182&lt;=0),0,(O182/N182)*(IF(OR(N182="",N182&lt;=0),0,IF((YEAR(D182)+7)&lt;YEAR(E182),0,IF((YEAR(D182)+7)&gt;=YEAR(E182)+N182,0,IF((YEAR(D182)+7)=YEAR(E182),(12-MONTH(E182)+1)/12,1))))))))&gt;0,(((K182)*(IF(M182="",L182,IFERROR(IF(INDEX(Variablen!$I:$AT, MATCH(M182, Variablen!$A:$A, 0), MATCH((YEAR(D182)+7), Variablen!$I$3:$AT$3, 0))="",L182,INDEX(Variablen!$I:$AT, MATCH(M182, Variablen!$A:$A, 0), MATCH((YEAR(D182)+7), Variablen!$I$3:$AT$3, 0))),L182)))*(IF((YEAR(D182)+7)&lt;YEAR(E182),0,IF((YEAR(D182)+7)&gt;YEAR(E182),1,(12-MONTH(E182)+1)/12))) + (Q182)*(IF((YEAR(D182)+7)&lt;YEAR(E182),0,IF((YEAR(D182)+7)&gt;YEAR(E182),1,(12-MONTH(E182)+1)/12))))-((P182)*(IF((YEAR(D182)+7)&lt;YEAR(E182),0,IF((YEAR(D182)+7)&gt;YEAR(E182),1,(12-MONTH(E182)+1)/12))) + (R182)*(IF((YEAR(D182)+7)&lt;YEAR(E182),0,IF((YEAR(D182)+7)&gt;YEAR(E182),1,(12-MONTH(E182)+1)/12))))-(IF(OR(N182="",N182&lt;=0),0,(O182/N182)*(IF(OR(N182="",N182&lt;=0),0,IF((YEAR(D182)+7)&lt;YEAR(E182),0,IF((YEAR(D182)+7)&gt;=YEAR(E182)+N182,0,IF((YEAR(D182)+7)=YEAR(E182),(12-MONTH(E182)+1)/12,1))))))))*TaxRate,0))-IF(7=0,O182,0))</f>
        <v/>
      </c>
      <c r="AA182" s="29">
        <f>IF(A182="","",((K182)*(IF(M182="",L182,IFERROR(IF(INDEX(Variablen!$I:$AT, MATCH(M182, Variablen!$A:$A, 0), MATCH((YEAR(D182)+8), Variablen!$I$3:$AT$3, 0))="",L182,INDEX(Variablen!$I:$AT, MATCH(M182, Variablen!$A:$A, 0), MATCH((YEAR(D182)+8), Variablen!$I$3:$AT$3, 0))),L182)))*(IF((YEAR(D182)+8)&lt;YEAR(E182),0,IF((YEAR(D182)+8)&gt;YEAR(E182),1,(12-MONTH(E182)+1)/12))) + (Q182)*(IF((YEAR(D182)+8)&lt;YEAR(E182),0,IF((YEAR(D182)+8)&gt;YEAR(E182),1,(12-MONTH(E182)+1)/12))))-((P182)*(IF((YEAR(D182)+8)&lt;YEAR(E182),0,IF((YEAR(D182)+8)&gt;YEAR(E182),1,(12-MONTH(E182)+1)/12))) + (R182)*(IF((YEAR(D182)+8)&lt;YEAR(E182),0,IF((YEAR(D182)+8)&gt;YEAR(E182),1,(12-MONTH(E182)+1)/12))))-(IF((((K182)*(IF(M182="",L182,IFERROR(IF(INDEX(Variablen!$I:$AT, MATCH(M182, Variablen!$A:$A, 0), MATCH((YEAR(D182)+8), Variablen!$I$3:$AT$3, 0))="",L182,INDEX(Variablen!$I:$AT, MATCH(M182, Variablen!$A:$A, 0), MATCH((YEAR(D182)+8), Variablen!$I$3:$AT$3, 0))),L182)))*(IF((YEAR(D182)+8)&lt;YEAR(E182),0,IF((YEAR(D182)+8)&gt;YEAR(E182),1,(12-MONTH(E182)+1)/12))) + (Q182)*(IF((YEAR(D182)+8)&lt;YEAR(E182),0,IF((YEAR(D182)+8)&gt;YEAR(E182),1,(12-MONTH(E182)+1)/12))))-((P182)*(IF((YEAR(D182)+8)&lt;YEAR(E182),0,IF((YEAR(D182)+8)&gt;YEAR(E182),1,(12-MONTH(E182)+1)/12))) + (R182)*(IF((YEAR(D182)+8)&lt;YEAR(E182),0,IF((YEAR(D182)+8)&gt;YEAR(E182),1,(12-MONTH(E182)+1)/12))))-(IF(OR(N182="",N182&lt;=0),0,(O182/N182)*(IF(OR(N182="",N182&lt;=0),0,IF((YEAR(D182)+8)&lt;YEAR(E182),0,IF((YEAR(D182)+8)&gt;=YEAR(E182)+N182,0,IF((YEAR(D182)+8)=YEAR(E182),(12-MONTH(E182)+1)/12,1))))))))&gt;0,(((K182)*(IF(M182="",L182,IFERROR(IF(INDEX(Variablen!$I:$AT, MATCH(M182, Variablen!$A:$A, 0), MATCH((YEAR(D182)+8), Variablen!$I$3:$AT$3, 0))="",L182,INDEX(Variablen!$I:$AT, MATCH(M182, Variablen!$A:$A, 0), MATCH((YEAR(D182)+8), Variablen!$I$3:$AT$3, 0))),L182)))*(IF((YEAR(D182)+8)&lt;YEAR(E182),0,IF((YEAR(D182)+8)&gt;YEAR(E182),1,(12-MONTH(E182)+1)/12))) + (Q182)*(IF((YEAR(D182)+8)&lt;YEAR(E182),0,IF((YEAR(D182)+8)&gt;YEAR(E182),1,(12-MONTH(E182)+1)/12))))-((P182)*(IF((YEAR(D182)+8)&lt;YEAR(E182),0,IF((YEAR(D182)+8)&gt;YEAR(E182),1,(12-MONTH(E182)+1)/12))) + (R182)*(IF((YEAR(D182)+8)&lt;YEAR(E182),0,IF((YEAR(D182)+8)&gt;YEAR(E182),1,(12-MONTH(E182)+1)/12))))-(IF(OR(N182="",N182&lt;=0),0,(O182/N182)*(IF(OR(N182="",N182&lt;=0),0,IF((YEAR(D182)+8)&lt;YEAR(E182),0,IF((YEAR(D182)+8)&gt;=YEAR(E182)+N182,0,IF((YEAR(D182)+8)=YEAR(E182),(12-MONTH(E182)+1)/12,1))))))))*TaxRate,0))-IF(8=0,O182,0))</f>
        <v/>
      </c>
      <c r="AB182" s="29">
        <f>IF(A182="","",((K182)*(IF(M182="",L182,IFERROR(IF(INDEX(Variablen!$I:$AT, MATCH(M182, Variablen!$A:$A, 0), MATCH((YEAR(D182)+9), Variablen!$I$3:$AT$3, 0))="",L182,INDEX(Variablen!$I:$AT, MATCH(M182, Variablen!$A:$A, 0), MATCH((YEAR(D182)+9), Variablen!$I$3:$AT$3, 0))),L182)))*(IF((YEAR(D182)+9)&lt;YEAR(E182),0,IF((YEAR(D182)+9)&gt;YEAR(E182),1,(12-MONTH(E182)+1)/12))) + (Q182)*(IF((YEAR(D182)+9)&lt;YEAR(E182),0,IF((YEAR(D182)+9)&gt;YEAR(E182),1,(12-MONTH(E182)+1)/12))))-((P182)*(IF((YEAR(D182)+9)&lt;YEAR(E182),0,IF((YEAR(D182)+9)&gt;YEAR(E182),1,(12-MONTH(E182)+1)/12))) + (R182)*(IF((YEAR(D182)+9)&lt;YEAR(E182),0,IF((YEAR(D182)+9)&gt;YEAR(E182),1,(12-MONTH(E182)+1)/12))))-(IF((((K182)*(IF(M182="",L182,IFERROR(IF(INDEX(Variablen!$I:$AT, MATCH(M182, Variablen!$A:$A, 0), MATCH((YEAR(D182)+9), Variablen!$I$3:$AT$3, 0))="",L182,INDEX(Variablen!$I:$AT, MATCH(M182, Variablen!$A:$A, 0), MATCH((YEAR(D182)+9), Variablen!$I$3:$AT$3, 0))),L182)))*(IF((YEAR(D182)+9)&lt;YEAR(E182),0,IF((YEAR(D182)+9)&gt;YEAR(E182),1,(12-MONTH(E182)+1)/12))) + (Q182)*(IF((YEAR(D182)+9)&lt;YEAR(E182),0,IF((YEAR(D182)+9)&gt;YEAR(E182),1,(12-MONTH(E182)+1)/12))))-((P182)*(IF((YEAR(D182)+9)&lt;YEAR(E182),0,IF((YEAR(D182)+9)&gt;YEAR(E182),1,(12-MONTH(E182)+1)/12))) + (R182)*(IF((YEAR(D182)+9)&lt;YEAR(E182),0,IF((YEAR(D182)+9)&gt;YEAR(E182),1,(12-MONTH(E182)+1)/12))))-(IF(OR(N182="",N182&lt;=0),0,(O182/N182)*(IF(OR(N182="",N182&lt;=0),0,IF((YEAR(D182)+9)&lt;YEAR(E182),0,IF((YEAR(D182)+9)&gt;=YEAR(E182)+N182,0,IF((YEAR(D182)+9)=YEAR(E182),(12-MONTH(E182)+1)/12,1))))))))&gt;0,(((K182)*(IF(M182="",L182,IFERROR(IF(INDEX(Variablen!$I:$AT, MATCH(M182, Variablen!$A:$A, 0), MATCH((YEAR(D182)+9), Variablen!$I$3:$AT$3, 0))="",L182,INDEX(Variablen!$I:$AT, MATCH(M182, Variablen!$A:$A, 0), MATCH((YEAR(D182)+9), Variablen!$I$3:$AT$3, 0))),L182)))*(IF((YEAR(D182)+9)&lt;YEAR(E182),0,IF((YEAR(D182)+9)&gt;YEAR(E182),1,(12-MONTH(E182)+1)/12))) + (Q182)*(IF((YEAR(D182)+9)&lt;YEAR(E182),0,IF((YEAR(D182)+9)&gt;YEAR(E182),1,(12-MONTH(E182)+1)/12))))-((P182)*(IF((YEAR(D182)+9)&lt;YEAR(E182),0,IF((YEAR(D182)+9)&gt;YEAR(E182),1,(12-MONTH(E182)+1)/12))) + (R182)*(IF((YEAR(D182)+9)&lt;YEAR(E182),0,IF((YEAR(D182)+9)&gt;YEAR(E182),1,(12-MONTH(E182)+1)/12))))-(IF(OR(N182="",N182&lt;=0),0,(O182/N182)*(IF(OR(N182="",N182&lt;=0),0,IF((YEAR(D182)+9)&lt;YEAR(E182),0,IF((YEAR(D182)+9)&gt;=YEAR(E182)+N182,0,IF((YEAR(D182)+9)=YEAR(E182),(12-MONTH(E182)+1)/12,1))))))))*TaxRate,0))-IF(9=0,O182,0))</f>
        <v/>
      </c>
      <c r="AC182" s="29">
        <f>IF(A182="","",((K182)*(IF(M182="",L182,IFERROR(IF(INDEX(Variablen!$I:$AT, MATCH(M182, Variablen!$A:$A, 0), MATCH((YEAR(D182)+10), Variablen!$I$3:$AT$3, 0))="",L182,INDEX(Variablen!$I:$AT, MATCH(M182, Variablen!$A:$A, 0), MATCH((YEAR(D182)+10), Variablen!$I$3:$AT$3, 0))),L182)))*(IF((YEAR(D182)+10)&lt;YEAR(E182),0,IF((YEAR(D182)+10)&gt;YEAR(E182),1,(12-MONTH(E182)+1)/12))) + (Q182)*(IF((YEAR(D182)+10)&lt;YEAR(E182),0,IF((YEAR(D182)+10)&gt;YEAR(E182),1,(12-MONTH(E182)+1)/12))))-((P182)*(IF((YEAR(D182)+10)&lt;YEAR(E182),0,IF((YEAR(D182)+10)&gt;YEAR(E182),1,(12-MONTH(E182)+1)/12))) + (R182)*(IF((YEAR(D182)+10)&lt;YEAR(E182),0,IF((YEAR(D182)+10)&gt;YEAR(E182),1,(12-MONTH(E182)+1)/12))))-(IF((((K182)*(IF(M182="",L182,IFERROR(IF(INDEX(Variablen!$I:$AT, MATCH(M182, Variablen!$A:$A, 0), MATCH((YEAR(D182)+10), Variablen!$I$3:$AT$3, 0))="",L182,INDEX(Variablen!$I:$AT, MATCH(M182, Variablen!$A:$A, 0), MATCH((YEAR(D182)+10), Variablen!$I$3:$AT$3, 0))),L182)))*(IF((YEAR(D182)+10)&lt;YEAR(E182),0,IF((YEAR(D182)+10)&gt;YEAR(E182),1,(12-MONTH(E182)+1)/12))) + (Q182)*(IF((YEAR(D182)+10)&lt;YEAR(E182),0,IF((YEAR(D182)+10)&gt;YEAR(E182),1,(12-MONTH(E182)+1)/12))))-((P182)*(IF((YEAR(D182)+10)&lt;YEAR(E182),0,IF((YEAR(D182)+10)&gt;YEAR(E182),1,(12-MONTH(E182)+1)/12))) + (R182)*(IF((YEAR(D182)+10)&lt;YEAR(E182),0,IF((YEAR(D182)+10)&gt;YEAR(E182),1,(12-MONTH(E182)+1)/12))))-(IF(OR(N182="",N182&lt;=0),0,(O182/N182)*(IF(OR(N182="",N182&lt;=0),0,IF((YEAR(D182)+10)&lt;YEAR(E182),0,IF((YEAR(D182)+10)&gt;=YEAR(E182)+N182,0,IF((YEAR(D182)+10)=YEAR(E182),(12-MONTH(E182)+1)/12,1))))))))&gt;0,(((K182)*(IF(M182="",L182,IFERROR(IF(INDEX(Variablen!$I:$AT, MATCH(M182, Variablen!$A:$A, 0), MATCH((YEAR(D182)+10), Variablen!$I$3:$AT$3, 0))="",L182,INDEX(Variablen!$I:$AT, MATCH(M182, Variablen!$A:$A, 0), MATCH((YEAR(D182)+10), Variablen!$I$3:$AT$3, 0))),L182)))*(IF((YEAR(D182)+10)&lt;YEAR(E182),0,IF((YEAR(D182)+10)&gt;YEAR(E182),1,(12-MONTH(E182)+1)/12))) + (Q182)*(IF((YEAR(D182)+10)&lt;YEAR(E182),0,IF((YEAR(D182)+10)&gt;YEAR(E182),1,(12-MONTH(E182)+1)/12))))-((P182)*(IF((YEAR(D182)+10)&lt;YEAR(E182),0,IF((YEAR(D182)+10)&gt;YEAR(E182),1,(12-MONTH(E182)+1)/12))) + (R182)*(IF((YEAR(D182)+10)&lt;YEAR(E182),0,IF((YEAR(D182)+10)&gt;YEAR(E182),1,(12-MONTH(E182)+1)/12))))-(IF(OR(N182="",N182&lt;=0),0,(O182/N182)*(IF(OR(N182="",N182&lt;=0),0,IF((YEAR(D182)+10)&lt;YEAR(E182),0,IF((YEAR(D182)+10)&gt;=YEAR(E182)+N182,0,IF((YEAR(D182)+10)=YEAR(E182),(12-MONTH(E182)+1)/12,1))))))))*TaxRate,0))-IF(10=0,O182,0))</f>
        <v/>
      </c>
      <c r="AD182" s="29">
        <f>IF(A182="","",((K182)*(IF(M182="",L182,IFERROR(IF(INDEX(Variablen!$I:$AT, MATCH(M182, Variablen!$A:$A, 0), MATCH((YEAR(D182)+11), Variablen!$I$3:$AT$3, 0))="",L182,INDEX(Variablen!$I:$AT, MATCH(M182, Variablen!$A:$A, 0), MATCH((YEAR(D182)+11), Variablen!$I$3:$AT$3, 0))),L182)))*(IF((YEAR(D182)+11)&lt;YEAR(E182),0,IF((YEAR(D182)+11)&gt;YEAR(E182),1,(12-MONTH(E182)+1)/12))) + (Q182)*(IF((YEAR(D182)+11)&lt;YEAR(E182),0,IF((YEAR(D182)+11)&gt;YEAR(E182),1,(12-MONTH(E182)+1)/12))))-((P182)*(IF((YEAR(D182)+11)&lt;YEAR(E182),0,IF((YEAR(D182)+11)&gt;YEAR(E182),1,(12-MONTH(E182)+1)/12))) + (R182)*(IF((YEAR(D182)+11)&lt;YEAR(E182),0,IF((YEAR(D182)+11)&gt;YEAR(E182),1,(12-MONTH(E182)+1)/12))))-(IF((((K182)*(IF(M182="",L182,IFERROR(IF(INDEX(Variablen!$I:$AT, MATCH(M182, Variablen!$A:$A, 0), MATCH((YEAR(D182)+11), Variablen!$I$3:$AT$3, 0))="",L182,INDEX(Variablen!$I:$AT, MATCH(M182, Variablen!$A:$A, 0), MATCH((YEAR(D182)+11), Variablen!$I$3:$AT$3, 0))),L182)))*(IF((YEAR(D182)+11)&lt;YEAR(E182),0,IF((YEAR(D182)+11)&gt;YEAR(E182),1,(12-MONTH(E182)+1)/12))) + (Q182)*(IF((YEAR(D182)+11)&lt;YEAR(E182),0,IF((YEAR(D182)+11)&gt;YEAR(E182),1,(12-MONTH(E182)+1)/12))))-((P182)*(IF((YEAR(D182)+11)&lt;YEAR(E182),0,IF((YEAR(D182)+11)&gt;YEAR(E182),1,(12-MONTH(E182)+1)/12))) + (R182)*(IF((YEAR(D182)+11)&lt;YEAR(E182),0,IF((YEAR(D182)+11)&gt;YEAR(E182),1,(12-MONTH(E182)+1)/12))))-(IF(OR(N182="",N182&lt;=0),0,(O182/N182)*(IF(OR(N182="",N182&lt;=0),0,IF((YEAR(D182)+11)&lt;YEAR(E182),0,IF((YEAR(D182)+11)&gt;=YEAR(E182)+N182,0,IF((YEAR(D182)+11)=YEAR(E182),(12-MONTH(E182)+1)/12,1))))))))&gt;0,(((K182)*(IF(M182="",L182,IFERROR(IF(INDEX(Variablen!$I:$AT, MATCH(M182, Variablen!$A:$A, 0), MATCH((YEAR(D182)+11), Variablen!$I$3:$AT$3, 0))="",L182,INDEX(Variablen!$I:$AT, MATCH(M182, Variablen!$A:$A, 0), MATCH((YEAR(D182)+11), Variablen!$I$3:$AT$3, 0))),L182)))*(IF((YEAR(D182)+11)&lt;YEAR(E182),0,IF((YEAR(D182)+11)&gt;YEAR(E182),1,(12-MONTH(E182)+1)/12))) + (Q182)*(IF((YEAR(D182)+11)&lt;YEAR(E182),0,IF((YEAR(D182)+11)&gt;YEAR(E182),1,(12-MONTH(E182)+1)/12))))-((P182)*(IF((YEAR(D182)+11)&lt;YEAR(E182),0,IF((YEAR(D182)+11)&gt;YEAR(E182),1,(12-MONTH(E182)+1)/12))) + (R182)*(IF((YEAR(D182)+11)&lt;YEAR(E182),0,IF((YEAR(D182)+11)&gt;YEAR(E182),1,(12-MONTH(E182)+1)/12))))-(IF(OR(N182="",N182&lt;=0),0,(O182/N182)*(IF(OR(N182="",N182&lt;=0),0,IF((YEAR(D182)+11)&lt;YEAR(E182),0,IF((YEAR(D182)+11)&gt;=YEAR(E182)+N182,0,IF((YEAR(D182)+11)=YEAR(E182),(12-MONTH(E182)+1)/12,1))))))))*TaxRate,0))-IF(11=0,O182,0))</f>
        <v/>
      </c>
      <c r="AE182" s="29">
        <f>IF(A182="","",((K182)*(IF(M182="",L182,IFERROR(IF(INDEX(Variablen!$I:$AT, MATCH(M182, Variablen!$A:$A, 0), MATCH((YEAR(D182)+12), Variablen!$I$3:$AT$3, 0))="",L182,INDEX(Variablen!$I:$AT, MATCH(M182, Variablen!$A:$A, 0), MATCH((YEAR(D182)+12), Variablen!$I$3:$AT$3, 0))),L182)))*(IF((YEAR(D182)+12)&lt;YEAR(E182),0,IF((YEAR(D182)+12)&gt;YEAR(E182),1,(12-MONTH(E182)+1)/12))) + (Q182)*(IF((YEAR(D182)+12)&lt;YEAR(E182),0,IF((YEAR(D182)+12)&gt;YEAR(E182),1,(12-MONTH(E182)+1)/12))))-((P182)*(IF((YEAR(D182)+12)&lt;YEAR(E182),0,IF((YEAR(D182)+12)&gt;YEAR(E182),1,(12-MONTH(E182)+1)/12))) + (R182)*(IF((YEAR(D182)+12)&lt;YEAR(E182),0,IF((YEAR(D182)+12)&gt;YEAR(E182),1,(12-MONTH(E182)+1)/12))))-(IF((((K182)*(IF(M182="",L182,IFERROR(IF(INDEX(Variablen!$I:$AT, MATCH(M182, Variablen!$A:$A, 0), MATCH((YEAR(D182)+12), Variablen!$I$3:$AT$3, 0))="",L182,INDEX(Variablen!$I:$AT, MATCH(M182, Variablen!$A:$A, 0), MATCH((YEAR(D182)+12), Variablen!$I$3:$AT$3, 0))),L182)))*(IF((YEAR(D182)+12)&lt;YEAR(E182),0,IF((YEAR(D182)+12)&gt;YEAR(E182),1,(12-MONTH(E182)+1)/12))) + (Q182)*(IF((YEAR(D182)+12)&lt;YEAR(E182),0,IF((YEAR(D182)+12)&gt;YEAR(E182),1,(12-MONTH(E182)+1)/12))))-((P182)*(IF((YEAR(D182)+12)&lt;YEAR(E182),0,IF((YEAR(D182)+12)&gt;YEAR(E182),1,(12-MONTH(E182)+1)/12))) + (R182)*(IF((YEAR(D182)+12)&lt;YEAR(E182),0,IF((YEAR(D182)+12)&gt;YEAR(E182),1,(12-MONTH(E182)+1)/12))))-(IF(OR(N182="",N182&lt;=0),0,(O182/N182)*(IF(OR(N182="",N182&lt;=0),0,IF((YEAR(D182)+12)&lt;YEAR(E182),0,IF((YEAR(D182)+12)&gt;=YEAR(E182)+N182,0,IF((YEAR(D182)+12)=YEAR(E182),(12-MONTH(E182)+1)/12,1))))))))&gt;0,(((K182)*(IF(M182="",L182,IFERROR(IF(INDEX(Variablen!$I:$AT, MATCH(M182, Variablen!$A:$A, 0), MATCH((YEAR(D182)+12), Variablen!$I$3:$AT$3, 0))="",L182,INDEX(Variablen!$I:$AT, MATCH(M182, Variablen!$A:$A, 0), MATCH((YEAR(D182)+12), Variablen!$I$3:$AT$3, 0))),L182)))*(IF((YEAR(D182)+12)&lt;YEAR(E182),0,IF((YEAR(D182)+12)&gt;YEAR(E182),1,(12-MONTH(E182)+1)/12))) + (Q182)*(IF((YEAR(D182)+12)&lt;YEAR(E182),0,IF((YEAR(D182)+12)&gt;YEAR(E182),1,(12-MONTH(E182)+1)/12))))-((P182)*(IF((YEAR(D182)+12)&lt;YEAR(E182),0,IF((YEAR(D182)+12)&gt;YEAR(E182),1,(12-MONTH(E182)+1)/12))) + (R182)*(IF((YEAR(D182)+12)&lt;YEAR(E182),0,IF((YEAR(D182)+12)&gt;YEAR(E182),1,(12-MONTH(E182)+1)/12))))-(IF(OR(N182="",N182&lt;=0),0,(O182/N182)*(IF(OR(N182="",N182&lt;=0),0,IF((YEAR(D182)+12)&lt;YEAR(E182),0,IF((YEAR(D182)+12)&gt;=YEAR(E182)+N182,0,IF((YEAR(D182)+12)=YEAR(E182),(12-MONTH(E182)+1)/12,1))))))))*TaxRate,0))-IF(12=0,O182,0))</f>
        <v/>
      </c>
      <c r="AF182" s="29">
        <f>IF(A182="","",((K182)*(IF(M182="",L182,IFERROR(IF(INDEX(Variablen!$I:$AT, MATCH(M182, Variablen!$A:$A, 0), MATCH((YEAR(D182)+13), Variablen!$I$3:$AT$3, 0))="",L182,INDEX(Variablen!$I:$AT, MATCH(M182, Variablen!$A:$A, 0), MATCH((YEAR(D182)+13), Variablen!$I$3:$AT$3, 0))),L182)))*(IF((YEAR(D182)+13)&lt;YEAR(E182),0,IF((YEAR(D182)+13)&gt;YEAR(E182),1,(12-MONTH(E182)+1)/12))) + (Q182)*(IF((YEAR(D182)+13)&lt;YEAR(E182),0,IF((YEAR(D182)+13)&gt;YEAR(E182),1,(12-MONTH(E182)+1)/12))))-((P182)*(IF((YEAR(D182)+13)&lt;YEAR(E182),0,IF((YEAR(D182)+13)&gt;YEAR(E182),1,(12-MONTH(E182)+1)/12))) + (R182)*(IF((YEAR(D182)+13)&lt;YEAR(E182),0,IF((YEAR(D182)+13)&gt;YEAR(E182),1,(12-MONTH(E182)+1)/12))))-(IF((((K182)*(IF(M182="",L182,IFERROR(IF(INDEX(Variablen!$I:$AT, MATCH(M182, Variablen!$A:$A, 0), MATCH((YEAR(D182)+13), Variablen!$I$3:$AT$3, 0))="",L182,INDEX(Variablen!$I:$AT, MATCH(M182, Variablen!$A:$A, 0), MATCH((YEAR(D182)+13), Variablen!$I$3:$AT$3, 0))),L182)))*(IF((YEAR(D182)+13)&lt;YEAR(E182),0,IF((YEAR(D182)+13)&gt;YEAR(E182),1,(12-MONTH(E182)+1)/12))) + (Q182)*(IF((YEAR(D182)+13)&lt;YEAR(E182),0,IF((YEAR(D182)+13)&gt;YEAR(E182),1,(12-MONTH(E182)+1)/12))))-((P182)*(IF((YEAR(D182)+13)&lt;YEAR(E182),0,IF((YEAR(D182)+13)&gt;YEAR(E182),1,(12-MONTH(E182)+1)/12))) + (R182)*(IF((YEAR(D182)+13)&lt;YEAR(E182),0,IF((YEAR(D182)+13)&gt;YEAR(E182),1,(12-MONTH(E182)+1)/12))))-(IF(OR(N182="",N182&lt;=0),0,(O182/N182)*(IF(OR(N182="",N182&lt;=0),0,IF((YEAR(D182)+13)&lt;YEAR(E182),0,IF((YEAR(D182)+13)&gt;=YEAR(E182)+N182,0,IF((YEAR(D182)+13)=YEAR(E182),(12-MONTH(E182)+1)/12,1))))))))&gt;0,(((K182)*(IF(M182="",L182,IFERROR(IF(INDEX(Variablen!$I:$AT, MATCH(M182, Variablen!$A:$A, 0), MATCH((YEAR(D182)+13), Variablen!$I$3:$AT$3, 0))="",L182,INDEX(Variablen!$I:$AT, MATCH(M182, Variablen!$A:$A, 0), MATCH((YEAR(D182)+13), Variablen!$I$3:$AT$3, 0))),L182)))*(IF((YEAR(D182)+13)&lt;YEAR(E182),0,IF((YEAR(D182)+13)&gt;YEAR(E182),1,(12-MONTH(E182)+1)/12))) + (Q182)*(IF((YEAR(D182)+13)&lt;YEAR(E182),0,IF((YEAR(D182)+13)&gt;YEAR(E182),1,(12-MONTH(E182)+1)/12))))-((P182)*(IF((YEAR(D182)+13)&lt;YEAR(E182),0,IF((YEAR(D182)+13)&gt;YEAR(E182),1,(12-MONTH(E182)+1)/12))) + (R182)*(IF((YEAR(D182)+13)&lt;YEAR(E182),0,IF((YEAR(D182)+13)&gt;YEAR(E182),1,(12-MONTH(E182)+1)/12))))-(IF(OR(N182="",N182&lt;=0),0,(O182/N182)*(IF(OR(N182="",N182&lt;=0),0,IF((YEAR(D182)+13)&lt;YEAR(E182),0,IF((YEAR(D182)+13)&gt;=YEAR(E182)+N182,0,IF((YEAR(D182)+13)=YEAR(E182),(12-MONTH(E182)+1)/12,1))))))))*TaxRate,0))-IF(13=0,O182,0))</f>
        <v/>
      </c>
      <c r="AG182" s="29">
        <f>IF(A182="","",((K182)*(IF(M182="",L182,IFERROR(IF(INDEX(Variablen!$I:$AT, MATCH(M182, Variablen!$A:$A, 0), MATCH((YEAR(D182)+14), Variablen!$I$3:$AT$3, 0))="",L182,INDEX(Variablen!$I:$AT, MATCH(M182, Variablen!$A:$A, 0), MATCH((YEAR(D182)+14), Variablen!$I$3:$AT$3, 0))),L182)))*(IF((YEAR(D182)+14)&lt;YEAR(E182),0,IF((YEAR(D182)+14)&gt;YEAR(E182),1,(12-MONTH(E182)+1)/12))) + (Q182)*(IF((YEAR(D182)+14)&lt;YEAR(E182),0,IF((YEAR(D182)+14)&gt;YEAR(E182),1,(12-MONTH(E182)+1)/12))))-((P182)*(IF((YEAR(D182)+14)&lt;YEAR(E182),0,IF((YEAR(D182)+14)&gt;YEAR(E182),1,(12-MONTH(E182)+1)/12))) + (R182)*(IF((YEAR(D182)+14)&lt;YEAR(E182),0,IF((YEAR(D182)+14)&gt;YEAR(E182),1,(12-MONTH(E182)+1)/12))))-(IF((((K182)*(IF(M182="",L182,IFERROR(IF(INDEX(Variablen!$I:$AT, MATCH(M182, Variablen!$A:$A, 0), MATCH((YEAR(D182)+14), Variablen!$I$3:$AT$3, 0))="",L182,INDEX(Variablen!$I:$AT, MATCH(M182, Variablen!$A:$A, 0), MATCH((YEAR(D182)+14), Variablen!$I$3:$AT$3, 0))),L182)))*(IF((YEAR(D182)+14)&lt;YEAR(E182),0,IF((YEAR(D182)+14)&gt;YEAR(E182),1,(12-MONTH(E182)+1)/12))) + (Q182)*(IF((YEAR(D182)+14)&lt;YEAR(E182),0,IF((YEAR(D182)+14)&gt;YEAR(E182),1,(12-MONTH(E182)+1)/12))))-((P182)*(IF((YEAR(D182)+14)&lt;YEAR(E182),0,IF((YEAR(D182)+14)&gt;YEAR(E182),1,(12-MONTH(E182)+1)/12))) + (R182)*(IF((YEAR(D182)+14)&lt;YEAR(E182),0,IF((YEAR(D182)+14)&gt;YEAR(E182),1,(12-MONTH(E182)+1)/12))))-(IF(OR(N182="",N182&lt;=0),0,(O182/N182)*(IF(OR(N182="",N182&lt;=0),0,IF((YEAR(D182)+14)&lt;YEAR(E182),0,IF((YEAR(D182)+14)&gt;=YEAR(E182)+N182,0,IF((YEAR(D182)+14)=YEAR(E182),(12-MONTH(E182)+1)/12,1))))))))&gt;0,(((K182)*(IF(M182="",L182,IFERROR(IF(INDEX(Variablen!$I:$AT, MATCH(M182, Variablen!$A:$A, 0), MATCH((YEAR(D182)+14), Variablen!$I$3:$AT$3, 0))="",L182,INDEX(Variablen!$I:$AT, MATCH(M182, Variablen!$A:$A, 0), MATCH((YEAR(D182)+14), Variablen!$I$3:$AT$3, 0))),L182)))*(IF((YEAR(D182)+14)&lt;YEAR(E182),0,IF((YEAR(D182)+14)&gt;YEAR(E182),1,(12-MONTH(E182)+1)/12))) + (Q182)*(IF((YEAR(D182)+14)&lt;YEAR(E182),0,IF((YEAR(D182)+14)&gt;YEAR(E182),1,(12-MONTH(E182)+1)/12))))-((P182)*(IF((YEAR(D182)+14)&lt;YEAR(E182),0,IF((YEAR(D182)+14)&gt;YEAR(E182),1,(12-MONTH(E182)+1)/12))) + (R182)*(IF((YEAR(D182)+14)&lt;YEAR(E182),0,IF((YEAR(D182)+14)&gt;YEAR(E182),1,(12-MONTH(E182)+1)/12))))-(IF(OR(N182="",N182&lt;=0),0,(O182/N182)*(IF(OR(N182="",N182&lt;=0),0,IF((YEAR(D182)+14)&lt;YEAR(E182),0,IF((YEAR(D182)+14)&gt;=YEAR(E182)+N182,0,IF((YEAR(D182)+14)=YEAR(E182),(12-MONTH(E182)+1)/12,1))))))))*TaxRate,0))-IF(14=0,O182,0))</f>
        <v/>
      </c>
      <c r="AH182" s="29">
        <f>IF(A182="","",((K182)*(IF(M182="",L182,IFERROR(IF(INDEX(Variablen!$I:$AT, MATCH(M182, Variablen!$A:$A, 0), MATCH((YEAR(D182)+15), Variablen!$I$3:$AT$3, 0))="",L182,INDEX(Variablen!$I:$AT, MATCH(M182, Variablen!$A:$A, 0), MATCH((YEAR(D182)+15), Variablen!$I$3:$AT$3, 0))),L182)))*(IF((YEAR(D182)+15)&lt;YEAR(E182),0,IF((YEAR(D182)+15)&gt;YEAR(E182),1,(12-MONTH(E182)+1)/12))) + (Q182)*(IF((YEAR(D182)+15)&lt;YEAR(E182),0,IF((YEAR(D182)+15)&gt;YEAR(E182),1,(12-MONTH(E182)+1)/12))))-((P182)*(IF((YEAR(D182)+15)&lt;YEAR(E182),0,IF((YEAR(D182)+15)&gt;YEAR(E182),1,(12-MONTH(E182)+1)/12))) + (R182)*(IF((YEAR(D182)+15)&lt;YEAR(E182),0,IF((YEAR(D182)+15)&gt;YEAR(E182),1,(12-MONTH(E182)+1)/12))))-(IF((((K182)*(IF(M182="",L182,IFERROR(IF(INDEX(Variablen!$I:$AT, MATCH(M182, Variablen!$A:$A, 0), MATCH((YEAR(D182)+15), Variablen!$I$3:$AT$3, 0))="",L182,INDEX(Variablen!$I:$AT, MATCH(M182, Variablen!$A:$A, 0), MATCH((YEAR(D182)+15), Variablen!$I$3:$AT$3, 0))),L182)))*(IF((YEAR(D182)+15)&lt;YEAR(E182),0,IF((YEAR(D182)+15)&gt;YEAR(E182),1,(12-MONTH(E182)+1)/12))) + (Q182)*(IF((YEAR(D182)+15)&lt;YEAR(E182),0,IF((YEAR(D182)+15)&gt;YEAR(E182),1,(12-MONTH(E182)+1)/12))))-((P182)*(IF((YEAR(D182)+15)&lt;YEAR(E182),0,IF((YEAR(D182)+15)&gt;YEAR(E182),1,(12-MONTH(E182)+1)/12))) + (R182)*(IF((YEAR(D182)+15)&lt;YEAR(E182),0,IF((YEAR(D182)+15)&gt;YEAR(E182),1,(12-MONTH(E182)+1)/12))))-(IF(OR(N182="",N182&lt;=0),0,(O182/N182)*(IF(OR(N182="",N182&lt;=0),0,IF((YEAR(D182)+15)&lt;YEAR(E182),0,IF((YEAR(D182)+15)&gt;=YEAR(E182)+N182,0,IF((YEAR(D182)+15)=YEAR(E182),(12-MONTH(E182)+1)/12,1))))))))&gt;0,(((K182)*(IF(M182="",L182,IFERROR(IF(INDEX(Variablen!$I:$AT, MATCH(M182, Variablen!$A:$A, 0), MATCH((YEAR(D182)+15), Variablen!$I$3:$AT$3, 0))="",L182,INDEX(Variablen!$I:$AT, MATCH(M182, Variablen!$A:$A, 0), MATCH((YEAR(D182)+15), Variablen!$I$3:$AT$3, 0))),L182)))*(IF((YEAR(D182)+15)&lt;YEAR(E182),0,IF((YEAR(D182)+15)&gt;YEAR(E182),1,(12-MONTH(E182)+1)/12))) + (Q182)*(IF((YEAR(D182)+15)&lt;YEAR(E182),0,IF((YEAR(D182)+15)&gt;YEAR(E182),1,(12-MONTH(E182)+1)/12))))-((P182)*(IF((YEAR(D182)+15)&lt;YEAR(E182),0,IF((YEAR(D182)+15)&gt;YEAR(E182),1,(12-MONTH(E182)+1)/12))) + (R182)*(IF((YEAR(D182)+15)&lt;YEAR(E182),0,IF((YEAR(D182)+15)&gt;YEAR(E182),1,(12-MONTH(E182)+1)/12))))-(IF(OR(N182="",N182&lt;=0),0,(O182/N182)*(IF(OR(N182="",N182&lt;=0),0,IF((YEAR(D182)+15)&lt;YEAR(E182),0,IF((YEAR(D182)+15)&gt;=YEAR(E182)+N182,0,IF((YEAR(D182)+15)=YEAR(E182),(12-MONTH(E182)+1)/12,1))))))))*TaxRate,0))-IF(15=0,O182,0))</f>
        <v/>
      </c>
      <c r="AI182" s="29">
        <f>IF(A182="","",((K182)*(IF(M182="",L182,IFERROR(IF(INDEX(Variablen!$I:$AT, MATCH(M182, Variablen!$A:$A, 0), MATCH((YEAR(D182)+16), Variablen!$I$3:$AT$3, 0))="",L182,INDEX(Variablen!$I:$AT, MATCH(M182, Variablen!$A:$A, 0), MATCH((YEAR(D182)+16), Variablen!$I$3:$AT$3, 0))),L182)))*(IF((YEAR(D182)+16)&lt;YEAR(E182),0,IF((YEAR(D182)+16)&gt;YEAR(E182),1,(12-MONTH(E182)+1)/12))) + (Q182)*(IF((YEAR(D182)+16)&lt;YEAR(E182),0,IF((YEAR(D182)+16)&gt;YEAR(E182),1,(12-MONTH(E182)+1)/12))))-((P182)*(IF((YEAR(D182)+16)&lt;YEAR(E182),0,IF((YEAR(D182)+16)&gt;YEAR(E182),1,(12-MONTH(E182)+1)/12))) + (R182)*(IF((YEAR(D182)+16)&lt;YEAR(E182),0,IF((YEAR(D182)+16)&gt;YEAR(E182),1,(12-MONTH(E182)+1)/12))))-(IF((((K182)*(IF(M182="",L182,IFERROR(IF(INDEX(Variablen!$I:$AT, MATCH(M182, Variablen!$A:$A, 0), MATCH((YEAR(D182)+16), Variablen!$I$3:$AT$3, 0))="",L182,INDEX(Variablen!$I:$AT, MATCH(M182, Variablen!$A:$A, 0), MATCH((YEAR(D182)+16), Variablen!$I$3:$AT$3, 0))),L182)))*(IF((YEAR(D182)+16)&lt;YEAR(E182),0,IF((YEAR(D182)+16)&gt;YEAR(E182),1,(12-MONTH(E182)+1)/12))) + (Q182)*(IF((YEAR(D182)+16)&lt;YEAR(E182),0,IF((YEAR(D182)+16)&gt;YEAR(E182),1,(12-MONTH(E182)+1)/12))))-((P182)*(IF((YEAR(D182)+16)&lt;YEAR(E182),0,IF((YEAR(D182)+16)&gt;YEAR(E182),1,(12-MONTH(E182)+1)/12))) + (R182)*(IF((YEAR(D182)+16)&lt;YEAR(E182),0,IF((YEAR(D182)+16)&gt;YEAR(E182),1,(12-MONTH(E182)+1)/12))))-(IF(OR(N182="",N182&lt;=0),0,(O182/N182)*(IF(OR(N182="",N182&lt;=0),0,IF((YEAR(D182)+16)&lt;YEAR(E182),0,IF((YEAR(D182)+16)&gt;=YEAR(E182)+N182,0,IF((YEAR(D182)+16)=YEAR(E182),(12-MONTH(E182)+1)/12,1))))))))&gt;0,(((K182)*(IF(M182="",L182,IFERROR(IF(INDEX(Variablen!$I:$AT, MATCH(M182, Variablen!$A:$A, 0), MATCH((YEAR(D182)+16), Variablen!$I$3:$AT$3, 0))="",L182,INDEX(Variablen!$I:$AT, MATCH(M182, Variablen!$A:$A, 0), MATCH((YEAR(D182)+16), Variablen!$I$3:$AT$3, 0))),L182)))*(IF((YEAR(D182)+16)&lt;YEAR(E182),0,IF((YEAR(D182)+16)&gt;YEAR(E182),1,(12-MONTH(E182)+1)/12))) + (Q182)*(IF((YEAR(D182)+16)&lt;YEAR(E182),0,IF((YEAR(D182)+16)&gt;YEAR(E182),1,(12-MONTH(E182)+1)/12))))-((P182)*(IF((YEAR(D182)+16)&lt;YEAR(E182),0,IF((YEAR(D182)+16)&gt;YEAR(E182),1,(12-MONTH(E182)+1)/12))) + (R182)*(IF((YEAR(D182)+16)&lt;YEAR(E182),0,IF((YEAR(D182)+16)&gt;YEAR(E182),1,(12-MONTH(E182)+1)/12))))-(IF(OR(N182="",N182&lt;=0),0,(O182/N182)*(IF(OR(N182="",N182&lt;=0),0,IF((YEAR(D182)+16)&lt;YEAR(E182),0,IF((YEAR(D182)+16)&gt;=YEAR(E182)+N182,0,IF((YEAR(D182)+16)=YEAR(E182),(12-MONTH(E182)+1)/12,1))))))))*TaxRate,0))-IF(16=0,O182,0))</f>
        <v/>
      </c>
      <c r="AJ182" s="29">
        <f>IF(A182="","",((K182)*(IF(M182="",L182,IFERROR(IF(INDEX(Variablen!$I:$AT, MATCH(M182, Variablen!$A:$A, 0), MATCH((YEAR(D182)+17), Variablen!$I$3:$AT$3, 0))="",L182,INDEX(Variablen!$I:$AT, MATCH(M182, Variablen!$A:$A, 0), MATCH((YEAR(D182)+17), Variablen!$I$3:$AT$3, 0))),L182)))*(IF((YEAR(D182)+17)&lt;YEAR(E182),0,IF((YEAR(D182)+17)&gt;YEAR(E182),1,(12-MONTH(E182)+1)/12))) + (Q182)*(IF((YEAR(D182)+17)&lt;YEAR(E182),0,IF((YEAR(D182)+17)&gt;YEAR(E182),1,(12-MONTH(E182)+1)/12))))-((P182)*(IF((YEAR(D182)+17)&lt;YEAR(E182),0,IF((YEAR(D182)+17)&gt;YEAR(E182),1,(12-MONTH(E182)+1)/12))) + (R182)*(IF((YEAR(D182)+17)&lt;YEAR(E182),0,IF((YEAR(D182)+17)&gt;YEAR(E182),1,(12-MONTH(E182)+1)/12))))-(IF((((K182)*(IF(M182="",L182,IFERROR(IF(INDEX(Variablen!$I:$AT, MATCH(M182, Variablen!$A:$A, 0), MATCH((YEAR(D182)+17), Variablen!$I$3:$AT$3, 0))="",L182,INDEX(Variablen!$I:$AT, MATCH(M182, Variablen!$A:$A, 0), MATCH((YEAR(D182)+17), Variablen!$I$3:$AT$3, 0))),L182)))*(IF((YEAR(D182)+17)&lt;YEAR(E182),0,IF((YEAR(D182)+17)&gt;YEAR(E182),1,(12-MONTH(E182)+1)/12))) + (Q182)*(IF((YEAR(D182)+17)&lt;YEAR(E182),0,IF((YEAR(D182)+17)&gt;YEAR(E182),1,(12-MONTH(E182)+1)/12))))-((P182)*(IF((YEAR(D182)+17)&lt;YEAR(E182),0,IF((YEAR(D182)+17)&gt;YEAR(E182),1,(12-MONTH(E182)+1)/12))) + (R182)*(IF((YEAR(D182)+17)&lt;YEAR(E182),0,IF((YEAR(D182)+17)&gt;YEAR(E182),1,(12-MONTH(E182)+1)/12))))-(IF(OR(N182="",N182&lt;=0),0,(O182/N182)*(IF(OR(N182="",N182&lt;=0),0,IF((YEAR(D182)+17)&lt;YEAR(E182),0,IF((YEAR(D182)+17)&gt;=YEAR(E182)+N182,0,IF((YEAR(D182)+17)=YEAR(E182),(12-MONTH(E182)+1)/12,1))))))))&gt;0,(((K182)*(IF(M182="",L182,IFERROR(IF(INDEX(Variablen!$I:$AT, MATCH(M182, Variablen!$A:$A, 0), MATCH((YEAR(D182)+17), Variablen!$I$3:$AT$3, 0))="",L182,INDEX(Variablen!$I:$AT, MATCH(M182, Variablen!$A:$A, 0), MATCH((YEAR(D182)+17), Variablen!$I$3:$AT$3, 0))),L182)))*(IF((YEAR(D182)+17)&lt;YEAR(E182),0,IF((YEAR(D182)+17)&gt;YEAR(E182),1,(12-MONTH(E182)+1)/12))) + (Q182)*(IF((YEAR(D182)+17)&lt;YEAR(E182),0,IF((YEAR(D182)+17)&gt;YEAR(E182),1,(12-MONTH(E182)+1)/12))))-((P182)*(IF((YEAR(D182)+17)&lt;YEAR(E182),0,IF((YEAR(D182)+17)&gt;YEAR(E182),1,(12-MONTH(E182)+1)/12))) + (R182)*(IF((YEAR(D182)+17)&lt;YEAR(E182),0,IF((YEAR(D182)+17)&gt;YEAR(E182),1,(12-MONTH(E182)+1)/12))))-(IF(OR(N182="",N182&lt;=0),0,(O182/N182)*(IF(OR(N182="",N182&lt;=0),0,IF((YEAR(D182)+17)&lt;YEAR(E182),0,IF((YEAR(D182)+17)&gt;=YEAR(E182)+N182,0,IF((YEAR(D182)+17)=YEAR(E182),(12-MONTH(E182)+1)/12,1))))))))*TaxRate,0))-IF(17=0,O182,0))</f>
        <v/>
      </c>
      <c r="AK182" s="29">
        <f>IF(A182="","",((K182)*(IF(M182="",L182,IFERROR(IF(INDEX(Variablen!$I:$AT, MATCH(M182, Variablen!$A:$A, 0), MATCH((YEAR(D182)+18), Variablen!$I$3:$AT$3, 0))="",L182,INDEX(Variablen!$I:$AT, MATCH(M182, Variablen!$A:$A, 0), MATCH((YEAR(D182)+18), Variablen!$I$3:$AT$3, 0))),L182)))*(IF((YEAR(D182)+18)&lt;YEAR(E182),0,IF((YEAR(D182)+18)&gt;YEAR(E182),1,(12-MONTH(E182)+1)/12))) + (Q182)*(IF((YEAR(D182)+18)&lt;YEAR(E182),0,IF((YEAR(D182)+18)&gt;YEAR(E182),1,(12-MONTH(E182)+1)/12))))-((P182)*(IF((YEAR(D182)+18)&lt;YEAR(E182),0,IF((YEAR(D182)+18)&gt;YEAR(E182),1,(12-MONTH(E182)+1)/12))) + (R182)*(IF((YEAR(D182)+18)&lt;YEAR(E182),0,IF((YEAR(D182)+18)&gt;YEAR(E182),1,(12-MONTH(E182)+1)/12))))-(IF((((K182)*(IF(M182="",L182,IFERROR(IF(INDEX(Variablen!$I:$AT, MATCH(M182, Variablen!$A:$A, 0), MATCH((YEAR(D182)+18), Variablen!$I$3:$AT$3, 0))="",L182,INDEX(Variablen!$I:$AT, MATCH(M182, Variablen!$A:$A, 0), MATCH((YEAR(D182)+18), Variablen!$I$3:$AT$3, 0))),L182)))*(IF((YEAR(D182)+18)&lt;YEAR(E182),0,IF((YEAR(D182)+18)&gt;YEAR(E182),1,(12-MONTH(E182)+1)/12))) + (Q182)*(IF((YEAR(D182)+18)&lt;YEAR(E182),0,IF((YEAR(D182)+18)&gt;YEAR(E182),1,(12-MONTH(E182)+1)/12))))-((P182)*(IF((YEAR(D182)+18)&lt;YEAR(E182),0,IF((YEAR(D182)+18)&gt;YEAR(E182),1,(12-MONTH(E182)+1)/12))) + (R182)*(IF((YEAR(D182)+18)&lt;YEAR(E182),0,IF((YEAR(D182)+18)&gt;YEAR(E182),1,(12-MONTH(E182)+1)/12))))-(IF(OR(N182="",N182&lt;=0),0,(O182/N182)*(IF(OR(N182="",N182&lt;=0),0,IF((YEAR(D182)+18)&lt;YEAR(E182),0,IF((YEAR(D182)+18)&gt;=YEAR(E182)+N182,0,IF((YEAR(D182)+18)=YEAR(E182),(12-MONTH(E182)+1)/12,1))))))))&gt;0,(((K182)*(IF(M182="",L182,IFERROR(IF(INDEX(Variablen!$I:$AT, MATCH(M182, Variablen!$A:$A, 0), MATCH((YEAR(D182)+18), Variablen!$I$3:$AT$3, 0))="",L182,INDEX(Variablen!$I:$AT, MATCH(M182, Variablen!$A:$A, 0), MATCH((YEAR(D182)+18), Variablen!$I$3:$AT$3, 0))),L182)))*(IF((YEAR(D182)+18)&lt;YEAR(E182),0,IF((YEAR(D182)+18)&gt;YEAR(E182),1,(12-MONTH(E182)+1)/12))) + (Q182)*(IF((YEAR(D182)+18)&lt;YEAR(E182),0,IF((YEAR(D182)+18)&gt;YEAR(E182),1,(12-MONTH(E182)+1)/12))))-((P182)*(IF((YEAR(D182)+18)&lt;YEAR(E182),0,IF((YEAR(D182)+18)&gt;YEAR(E182),1,(12-MONTH(E182)+1)/12))) + (R182)*(IF((YEAR(D182)+18)&lt;YEAR(E182),0,IF((YEAR(D182)+18)&gt;YEAR(E182),1,(12-MONTH(E182)+1)/12))))-(IF(OR(N182="",N182&lt;=0),0,(O182/N182)*(IF(OR(N182="",N182&lt;=0),0,IF((YEAR(D182)+18)&lt;YEAR(E182),0,IF((YEAR(D182)+18)&gt;=YEAR(E182)+N182,0,IF((YEAR(D182)+18)=YEAR(E182),(12-MONTH(E182)+1)/12,1))))))))*TaxRate,0))-IF(18=0,O182,0))</f>
        <v/>
      </c>
      <c r="AL182" s="29">
        <f>IF(A182="","",((K182)*(IF(M182="",L182,IFERROR(IF(INDEX(Variablen!$I:$AT, MATCH(M182, Variablen!$A:$A, 0), MATCH((YEAR(D182)+19), Variablen!$I$3:$AT$3, 0))="",L182,INDEX(Variablen!$I:$AT, MATCH(M182, Variablen!$A:$A, 0), MATCH((YEAR(D182)+19), Variablen!$I$3:$AT$3, 0))),L182)))*(IF((YEAR(D182)+19)&lt;YEAR(E182),0,IF((YEAR(D182)+19)&gt;YEAR(E182),1,(12-MONTH(E182)+1)/12))) + (Q182)*(IF((YEAR(D182)+19)&lt;YEAR(E182),0,IF((YEAR(D182)+19)&gt;YEAR(E182),1,(12-MONTH(E182)+1)/12))))-((P182)*(IF((YEAR(D182)+19)&lt;YEAR(E182),0,IF((YEAR(D182)+19)&gt;YEAR(E182),1,(12-MONTH(E182)+1)/12))) + (R182)*(IF((YEAR(D182)+19)&lt;YEAR(E182),0,IF((YEAR(D182)+19)&gt;YEAR(E182),1,(12-MONTH(E182)+1)/12))))-(IF((((K182)*(IF(M182="",L182,IFERROR(IF(INDEX(Variablen!$I:$AT, MATCH(M182, Variablen!$A:$A, 0), MATCH((YEAR(D182)+19), Variablen!$I$3:$AT$3, 0))="",L182,INDEX(Variablen!$I:$AT, MATCH(M182, Variablen!$A:$A, 0), MATCH((YEAR(D182)+19), Variablen!$I$3:$AT$3, 0))),L182)))*(IF((YEAR(D182)+19)&lt;YEAR(E182),0,IF((YEAR(D182)+19)&gt;YEAR(E182),1,(12-MONTH(E182)+1)/12))) + (Q182)*(IF((YEAR(D182)+19)&lt;YEAR(E182),0,IF((YEAR(D182)+19)&gt;YEAR(E182),1,(12-MONTH(E182)+1)/12))))-((P182)*(IF((YEAR(D182)+19)&lt;YEAR(E182),0,IF((YEAR(D182)+19)&gt;YEAR(E182),1,(12-MONTH(E182)+1)/12))) + (R182)*(IF((YEAR(D182)+19)&lt;YEAR(E182),0,IF((YEAR(D182)+19)&gt;YEAR(E182),1,(12-MONTH(E182)+1)/12))))-(IF(OR(N182="",N182&lt;=0),0,(O182/N182)*(IF(OR(N182="",N182&lt;=0),0,IF((YEAR(D182)+19)&lt;YEAR(E182),0,IF((YEAR(D182)+19)&gt;=YEAR(E182)+N182,0,IF((YEAR(D182)+19)=YEAR(E182),(12-MONTH(E182)+1)/12,1))))))))&gt;0,(((K182)*(IF(M182="",L182,IFERROR(IF(INDEX(Variablen!$I:$AT, MATCH(M182, Variablen!$A:$A, 0), MATCH((YEAR(D182)+19), Variablen!$I$3:$AT$3, 0))="",L182,INDEX(Variablen!$I:$AT, MATCH(M182, Variablen!$A:$A, 0), MATCH((YEAR(D182)+19), Variablen!$I$3:$AT$3, 0))),L182)))*(IF((YEAR(D182)+19)&lt;YEAR(E182),0,IF((YEAR(D182)+19)&gt;YEAR(E182),1,(12-MONTH(E182)+1)/12))) + (Q182)*(IF((YEAR(D182)+19)&lt;YEAR(E182),0,IF((YEAR(D182)+19)&gt;YEAR(E182),1,(12-MONTH(E182)+1)/12))))-((P182)*(IF((YEAR(D182)+19)&lt;YEAR(E182),0,IF((YEAR(D182)+19)&gt;YEAR(E182),1,(12-MONTH(E182)+1)/12))) + (R182)*(IF((YEAR(D182)+19)&lt;YEAR(E182),0,IF((YEAR(D182)+19)&gt;YEAR(E182),1,(12-MONTH(E182)+1)/12))))-(IF(OR(N182="",N182&lt;=0),0,(O182/N182)*(IF(OR(N182="",N182&lt;=0),0,IF((YEAR(D182)+19)&lt;YEAR(E182),0,IF((YEAR(D182)+19)&gt;=YEAR(E182)+N182,0,IF((YEAR(D182)+19)=YEAR(E182),(12-MONTH(E182)+1)/12,1))))))))*TaxRate,0))-IF(19=0,O182,0))</f>
        <v/>
      </c>
      <c r="AM182" s="29">
        <f>IF(A182="","",((K182)*(IF(M182="",L182,IFERROR(IF(INDEX(Variablen!$I:$AT, MATCH(M182, Variablen!$A:$A, 0), MATCH((YEAR(D182)+20), Variablen!$I$3:$AT$3, 0))="",L182,INDEX(Variablen!$I:$AT, MATCH(M182, Variablen!$A:$A, 0), MATCH((YEAR(D182)+20), Variablen!$I$3:$AT$3, 0))),L182)))*(IF((YEAR(D182)+20)&lt;YEAR(E182),0,IF((YEAR(D182)+20)&gt;YEAR(E182),1,(12-MONTH(E182)+1)/12))) + (Q182)*(IF((YEAR(D182)+20)&lt;YEAR(E182),0,IF((YEAR(D182)+20)&gt;YEAR(E182),1,(12-MONTH(E182)+1)/12))))-((P182)*(IF((YEAR(D182)+20)&lt;YEAR(E182),0,IF((YEAR(D182)+20)&gt;YEAR(E182),1,(12-MONTH(E182)+1)/12))) + (R182)*(IF((YEAR(D182)+20)&lt;YEAR(E182),0,IF((YEAR(D182)+20)&gt;YEAR(E182),1,(12-MONTH(E182)+1)/12))))-(IF((((K182)*(IF(M182="",L182,IFERROR(IF(INDEX(Variablen!$I:$AT, MATCH(M182, Variablen!$A:$A, 0), MATCH((YEAR(D182)+20), Variablen!$I$3:$AT$3, 0))="",L182,INDEX(Variablen!$I:$AT, MATCH(M182, Variablen!$A:$A, 0), MATCH((YEAR(D182)+20), Variablen!$I$3:$AT$3, 0))),L182)))*(IF((YEAR(D182)+20)&lt;YEAR(E182),0,IF((YEAR(D182)+20)&gt;YEAR(E182),1,(12-MONTH(E182)+1)/12))) + (Q182)*(IF((YEAR(D182)+20)&lt;YEAR(E182),0,IF((YEAR(D182)+20)&gt;YEAR(E182),1,(12-MONTH(E182)+1)/12))))-((P182)*(IF((YEAR(D182)+20)&lt;YEAR(E182),0,IF((YEAR(D182)+20)&gt;YEAR(E182),1,(12-MONTH(E182)+1)/12))) + (R182)*(IF((YEAR(D182)+20)&lt;YEAR(E182),0,IF((YEAR(D182)+20)&gt;YEAR(E182),1,(12-MONTH(E182)+1)/12))))-(IF(OR(N182="",N182&lt;=0),0,(O182/N182)*(IF(OR(N182="",N182&lt;=0),0,IF((YEAR(D182)+20)&lt;YEAR(E182),0,IF((YEAR(D182)+20)&gt;=YEAR(E182)+N182,0,IF((YEAR(D182)+20)=YEAR(E182),(12-MONTH(E182)+1)/12,1))))))))&gt;0,(((K182)*(IF(M182="",L182,IFERROR(IF(INDEX(Variablen!$I:$AT, MATCH(M182, Variablen!$A:$A, 0), MATCH((YEAR(D182)+20), Variablen!$I$3:$AT$3, 0))="",L182,INDEX(Variablen!$I:$AT, MATCH(M182, Variablen!$A:$A, 0), MATCH((YEAR(D182)+20), Variablen!$I$3:$AT$3, 0))),L182)))*(IF((YEAR(D182)+20)&lt;YEAR(E182),0,IF((YEAR(D182)+20)&gt;YEAR(E182),1,(12-MONTH(E182)+1)/12))) + (Q182)*(IF((YEAR(D182)+20)&lt;YEAR(E182),0,IF((YEAR(D182)+20)&gt;YEAR(E182),1,(12-MONTH(E182)+1)/12))))-((P182)*(IF((YEAR(D182)+20)&lt;YEAR(E182),0,IF((YEAR(D182)+20)&gt;YEAR(E182),1,(12-MONTH(E182)+1)/12))) + (R182)*(IF((YEAR(D182)+20)&lt;YEAR(E182),0,IF((YEAR(D182)+20)&gt;YEAR(E182),1,(12-MONTH(E182)+1)/12))))-(IF(OR(N182="",N182&lt;=0),0,(O182/N182)*(IF(OR(N182="",N182&lt;=0),0,IF((YEAR(D182)+20)&lt;YEAR(E182),0,IF((YEAR(D182)+20)&gt;=YEAR(E182)+N182,0,IF((YEAR(D182)+20)=YEAR(E182),(12-MONTH(E182)+1)/12,1))))))))*TaxRate,0))-IF(20=0,O182,0))</f>
        <v/>
      </c>
      <c r="AN182" s="29">
        <f>IF(A182="","",S182)</f>
        <v/>
      </c>
      <c r="AO182" s="29">
        <f>IF(A182="","",AN182+T182)</f>
        <v/>
      </c>
      <c r="AP182" s="29">
        <f>IF(A182="","",AO182+U182)</f>
        <v/>
      </c>
      <c r="AQ182" s="29">
        <f>IF(A182="","",AP182+V182)</f>
        <v/>
      </c>
      <c r="AR182" s="29">
        <f>IF(A182="","",AQ182+W182)</f>
        <v/>
      </c>
      <c r="AS182" s="29">
        <f>IF(A182="","",AR182+X182)</f>
        <v/>
      </c>
      <c r="AT182" s="29">
        <f>IF(A182="","",AS182+Y182)</f>
        <v/>
      </c>
      <c r="AU182" s="29">
        <f>IF(A182="","",AT182+Z182)</f>
        <v/>
      </c>
      <c r="AV182" s="29">
        <f>IF(A182="","",AU182+AA182)</f>
        <v/>
      </c>
      <c r="AW182" s="29">
        <f>IF(A182="","",AV182+AB182)</f>
        <v/>
      </c>
      <c r="AX182" s="29">
        <f>IF(A182="","",AW182+AC182)</f>
        <v/>
      </c>
      <c r="AY182" s="29">
        <f>IF(A182="","",AX182+AD182)</f>
        <v/>
      </c>
      <c r="AZ182" s="29">
        <f>IF(A182="","",AY182+AE182)</f>
        <v/>
      </c>
      <c r="BA182" s="29">
        <f>IF(A182="","",AZ182+AF182)</f>
        <v/>
      </c>
      <c r="BB182" s="29">
        <f>IF(A182="","",BA182+AG182)</f>
        <v/>
      </c>
      <c r="BC182" s="29">
        <f>IF(A182="","",BB182+AH182)</f>
        <v/>
      </c>
      <c r="BD182" s="29">
        <f>IF(A182="","",BC182+AI182)</f>
        <v/>
      </c>
      <c r="BE182" s="29">
        <f>IF(A182="","",BD182+AJ182)</f>
        <v/>
      </c>
      <c r="BF182" s="29">
        <f>IF(A182="","",BE182+AK182)</f>
        <v/>
      </c>
      <c r="BG182" s="29">
        <f>IF(A182="","",BF182+AL182)</f>
        <v/>
      </c>
      <c r="BH182" s="29">
        <f>IF(A182="","",BG182+AM182)</f>
        <v/>
      </c>
      <c r="BI182" s="36">
        <f>IF(A182="","",(K182)*(IF((YEAR(D182)+0)&lt;YEAR(E182),0,IF((YEAR(D182)+0)&gt;YEAR(E182),1,(12-MONTH(E182)+1)/12)))*(1/(1+DiscountRate)^0))</f>
        <v/>
      </c>
      <c r="BJ182" s="36">
        <f>IF(A182="","",(K182)*(IF((YEAR(D182)+1)&lt;YEAR(E182),0,IF((YEAR(D182)+1)&gt;YEAR(E182),1,(12-MONTH(E182)+1)/12)))*(1/(1+DiscountRate)^1))</f>
        <v/>
      </c>
      <c r="BK182" s="36">
        <f>IF(A182="","",(K182)*(IF((YEAR(D182)+2)&lt;YEAR(E182),0,IF((YEAR(D182)+2)&gt;YEAR(E182),1,(12-MONTH(E182)+1)/12)))*(1/(1+DiscountRate)^2))</f>
        <v/>
      </c>
      <c r="BL182" s="36">
        <f>IF(A182="","",(K182)*(IF((YEAR(D182)+3)&lt;YEAR(E182),0,IF((YEAR(D182)+3)&gt;YEAR(E182),1,(12-MONTH(E182)+1)/12)))*(1/(1+DiscountRate)^3))</f>
        <v/>
      </c>
      <c r="BM182" s="36">
        <f>IF(A182="","",(K182)*(IF((YEAR(D182)+4)&lt;YEAR(E182),0,IF((YEAR(D182)+4)&gt;YEAR(E182),1,(12-MONTH(E182)+1)/12)))*(1/(1+DiscountRate)^4))</f>
        <v/>
      </c>
      <c r="BN182" s="36">
        <f>IF(A182="","",(K182)*(IF((YEAR(D182)+5)&lt;YEAR(E182),0,IF((YEAR(D182)+5)&gt;YEAR(E182),1,(12-MONTH(E182)+1)/12)))*(1/(1+DiscountRate)^5))</f>
        <v/>
      </c>
      <c r="BO182" s="36">
        <f>IF(A182="","",(K182)*(IF((YEAR(D182)+6)&lt;YEAR(E182),0,IF((YEAR(D182)+6)&gt;YEAR(E182),1,(12-MONTH(E182)+1)/12)))*(1/(1+DiscountRate)^6))</f>
        <v/>
      </c>
      <c r="BP182" s="36">
        <f>IF(A182="","",(K182)*(IF((YEAR(D182)+7)&lt;YEAR(E182),0,IF((YEAR(D182)+7)&gt;YEAR(E182),1,(12-MONTH(E182)+1)/12)))*(1/(1+DiscountRate)^7))</f>
        <v/>
      </c>
      <c r="BQ182" s="36">
        <f>IF(A182="","",(K182)*(IF((YEAR(D182)+8)&lt;YEAR(E182),0,IF((YEAR(D182)+8)&gt;YEAR(E182),1,(12-MONTH(E182)+1)/12)))*(1/(1+DiscountRate)^8))</f>
        <v/>
      </c>
      <c r="BR182" s="36">
        <f>IF(A182="","",(K182)*(IF((YEAR(D182)+9)&lt;YEAR(E182),0,IF((YEAR(D182)+9)&gt;YEAR(E182),1,(12-MONTH(E182)+1)/12)))*(1/(1+DiscountRate)^9))</f>
        <v/>
      </c>
      <c r="BS182" s="36">
        <f>IF(A182="","",(K182)*(IF((YEAR(D182)+10)&lt;YEAR(E182),0,IF((YEAR(D182)+10)&gt;YEAR(E182),1,(12-MONTH(E182)+1)/12)))*(1/(1+DiscountRate)^10))</f>
        <v/>
      </c>
      <c r="BT182" s="36">
        <f>IF(A182="","",(K182)*(IF((YEAR(D182)+11)&lt;YEAR(E182),0,IF((YEAR(D182)+11)&gt;YEAR(E182),1,(12-MONTH(E182)+1)/12)))*(1/(1+DiscountRate)^11))</f>
        <v/>
      </c>
      <c r="BU182" s="36">
        <f>IF(A182="","",(K182)*(IF((YEAR(D182)+12)&lt;YEAR(E182),0,IF((YEAR(D182)+12)&gt;YEAR(E182),1,(12-MONTH(E182)+1)/12)))*(1/(1+DiscountRate)^12))</f>
        <v/>
      </c>
      <c r="BV182" s="36">
        <f>IF(A182="","",(K182)*(IF((YEAR(D182)+13)&lt;YEAR(E182),0,IF((YEAR(D182)+13)&gt;YEAR(E182),1,(12-MONTH(E182)+1)/12)))*(1/(1+DiscountRate)^13))</f>
        <v/>
      </c>
      <c r="BW182" s="36">
        <f>IF(A182="","",(K182)*(IF((YEAR(D182)+14)&lt;YEAR(E182),0,IF((YEAR(D182)+14)&gt;YEAR(E182),1,(12-MONTH(E182)+1)/12)))*(1/(1+DiscountRate)^14))</f>
        <v/>
      </c>
      <c r="BX182" s="36">
        <f>IF(A182="","",(K182)*(IF((YEAR(D182)+15)&lt;YEAR(E182),0,IF((YEAR(D182)+15)&gt;YEAR(E182),1,(12-MONTH(E182)+1)/12)))*(1/(1+DiscountRate)^15))</f>
        <v/>
      </c>
      <c r="BY182" s="36">
        <f>IF(A182="","",(K182)*(IF((YEAR(D182)+16)&lt;YEAR(E182),0,IF((YEAR(D182)+16)&gt;YEAR(E182),1,(12-MONTH(E182)+1)/12)))*(1/(1+DiscountRate)^16))</f>
        <v/>
      </c>
      <c r="BZ182" s="36">
        <f>IF(A182="","",(K182)*(IF((YEAR(D182)+17)&lt;YEAR(E182),0,IF((YEAR(D182)+17)&gt;YEAR(E182),1,(12-MONTH(E182)+1)/12)))*(1/(1+DiscountRate)^17))</f>
        <v/>
      </c>
      <c r="CA182" s="36">
        <f>IF(A182="","",(K182)*(IF((YEAR(D182)+18)&lt;YEAR(E182),0,IF((YEAR(D182)+18)&gt;YEAR(E182),1,(12-MONTH(E182)+1)/12)))*(1/(1+DiscountRate)^18))</f>
        <v/>
      </c>
      <c r="CB182" s="36">
        <f>IF(A182="","",(K182)*(IF((YEAR(D182)+19)&lt;YEAR(E182),0,IF((YEAR(D182)+19)&gt;YEAR(E182),1,(12-MONTH(E182)+1)/12)))*(1/(1+DiscountRate)^19))</f>
        <v/>
      </c>
      <c r="CC182" s="36">
        <f>IF(A182="","",(K182)*(IF((YEAR(D182)+20)&lt;YEAR(E182),0,IF((YEAR(D182)+20)&gt;YEAR(E182),1,(12-MONTH(E182)+1)/12)))*(1/(1+DiscountRate)^20))</f>
        <v/>
      </c>
      <c r="CD182" s="29">
        <f>IF(A182="","",S182/(1+DiscountRate)^0+T182/(1+DiscountRate)^1+U182/(1+DiscountRate)^2+V182/(1+DiscountRate)^3+W182/(1+DiscountRate)^4+X182/(1+DiscountRate)^5+Y182/(1+DiscountRate)^6+Z182/(1+DiscountRate)^7+AA182/(1+DiscountRate)^8+AB182/(1+DiscountRate)^9+AC182/(1+DiscountRate)^10+AD182/(1+DiscountRate)^11+AE182/(1+DiscountRate)^12+AF182/(1+DiscountRate)^13+AG182/(1+DiscountRate)^14+AH182/(1+DiscountRate)^15+AI182/(1+DiscountRate)^16+AJ182/(1+DiscountRate)^17+AK182/(1+DiscountRate)^18+AL182/(1+DiscountRate)^19+AM182/(1+DiscountRate)^20)</f>
        <v/>
      </c>
      <c r="CE182" s="37">
        <f>IF(A182="","",IFERROR(IRR(OFFSET(S182,0,0,1,MIN(HorizonYears,20)+1)),"n/a"))</f>
        <v/>
      </c>
      <c r="CF182" s="28">
        <f>IF(A182="","",IFERROR(MATCH(TRUE,OFFSET(AN182,0,0,1,MIN(HorizonYears,20)+1)&gt;=0,0)-1,"n/a"))</f>
        <v/>
      </c>
      <c r="CG182" s="36">
        <f>IF(A182="","",SUM(OFFSET(BI182,0,0,1,MIN(HorizonYears,20)+1)))</f>
        <v/>
      </c>
      <c r="CH182" s="36">
        <f>IF(A182="","",IFERROR(-CD182/CG182,"n/a"))</f>
        <v/>
      </c>
    </row>
    <row r="183">
      <c r="A183" s="6">
        <f>Actions!A181</f>
        <v/>
      </c>
      <c r="B183" s="6">
        <f>Actions!B181</f>
        <v/>
      </c>
      <c r="C183" s="6">
        <f>Actions!D181</f>
        <v/>
      </c>
      <c r="D183" s="35">
        <f>Actions!E181</f>
        <v/>
      </c>
      <c r="E183" s="35">
        <f>Actions!F181</f>
        <v/>
      </c>
      <c r="F183" s="6">
        <f>Actions!G181</f>
        <v/>
      </c>
      <c r="G183" s="6">
        <f>Actions!H181</f>
        <v/>
      </c>
      <c r="H183" s="29">
        <f>Actions!I181</f>
        <v/>
      </c>
      <c r="I183" s="6">
        <f>Actions!J181</f>
        <v/>
      </c>
      <c r="J183" s="16">
        <f>Actions!K181</f>
        <v/>
      </c>
      <c r="K183" s="16">
        <f>IF(A183="","",IF(I183="%",H183*J183,J183))</f>
        <v/>
      </c>
      <c r="L183" s="16">
        <f>Actions!L181</f>
        <v/>
      </c>
      <c r="M183" s="6">
        <f>Actions!M181</f>
        <v/>
      </c>
      <c r="N183" s="28">
        <f>Actions!N181</f>
        <v/>
      </c>
      <c r="O183" s="29">
        <f>Actions!T181</f>
        <v/>
      </c>
      <c r="P183" s="29">
        <f>Actions!Y181</f>
        <v/>
      </c>
      <c r="Q183" s="29">
        <f>Actions!Z181</f>
        <v/>
      </c>
      <c r="R183" s="29">
        <f>Actions!AA181</f>
        <v/>
      </c>
      <c r="S183" s="29">
        <f>IF(A183="","",((K183)*(IF(M183="",L183,IFERROR(IF(INDEX(Variablen!$I:$AT, MATCH(M183, Variablen!$A:$A, 0), MATCH((YEAR(D183)+0), Variablen!$I$3:$AT$3, 0))="",L183,INDEX(Variablen!$I:$AT, MATCH(M183, Variablen!$A:$A, 0), MATCH((YEAR(D183)+0), Variablen!$I$3:$AT$3, 0))),L183)))*(IF((YEAR(D183)+0)&lt;YEAR(E183),0,IF((YEAR(D183)+0)&gt;YEAR(E183),1,(12-MONTH(E183)+1)/12))) + (Q183)*(IF((YEAR(D183)+0)&lt;YEAR(E183),0,IF((YEAR(D183)+0)&gt;YEAR(E183),1,(12-MONTH(E183)+1)/12))))-((P183)*(IF((YEAR(D183)+0)&lt;YEAR(E183),0,IF((YEAR(D183)+0)&gt;YEAR(E183),1,(12-MONTH(E183)+1)/12))) + (R183)*(IF((YEAR(D183)+0)&lt;YEAR(E183),0,IF((YEAR(D183)+0)&gt;YEAR(E183),1,(12-MONTH(E183)+1)/12))))-(IF((((K183)*(IF(M183="",L183,IFERROR(IF(INDEX(Variablen!$I:$AT, MATCH(M183, Variablen!$A:$A, 0), MATCH((YEAR(D183)+0), Variablen!$I$3:$AT$3, 0))="",L183,INDEX(Variablen!$I:$AT, MATCH(M183, Variablen!$A:$A, 0), MATCH((YEAR(D183)+0), Variablen!$I$3:$AT$3, 0))),L183)))*(IF((YEAR(D183)+0)&lt;YEAR(E183),0,IF((YEAR(D183)+0)&gt;YEAR(E183),1,(12-MONTH(E183)+1)/12))) + (Q183)*(IF((YEAR(D183)+0)&lt;YEAR(E183),0,IF((YEAR(D183)+0)&gt;YEAR(E183),1,(12-MONTH(E183)+1)/12))))-((P183)*(IF((YEAR(D183)+0)&lt;YEAR(E183),0,IF((YEAR(D183)+0)&gt;YEAR(E183),1,(12-MONTH(E183)+1)/12))) + (R183)*(IF((YEAR(D183)+0)&lt;YEAR(E183),0,IF((YEAR(D183)+0)&gt;YEAR(E183),1,(12-MONTH(E183)+1)/12))))-(IF(OR(N183="",N183&lt;=0),0,(O183/N183)*(IF(OR(N183="",N183&lt;=0),0,IF((YEAR(D183)+0)&lt;YEAR(E183),0,IF((YEAR(D183)+0)&gt;=YEAR(E183)+N183,0,IF((YEAR(D183)+0)=YEAR(E183),(12-MONTH(E183)+1)/12,1))))))))&gt;0,(((K183)*(IF(M183="",L183,IFERROR(IF(INDEX(Variablen!$I:$AT, MATCH(M183, Variablen!$A:$A, 0), MATCH((YEAR(D183)+0), Variablen!$I$3:$AT$3, 0))="",L183,INDEX(Variablen!$I:$AT, MATCH(M183, Variablen!$A:$A, 0), MATCH((YEAR(D183)+0), Variablen!$I$3:$AT$3, 0))),L183)))*(IF((YEAR(D183)+0)&lt;YEAR(E183),0,IF((YEAR(D183)+0)&gt;YEAR(E183),1,(12-MONTH(E183)+1)/12))) + (Q183)*(IF((YEAR(D183)+0)&lt;YEAR(E183),0,IF((YEAR(D183)+0)&gt;YEAR(E183),1,(12-MONTH(E183)+1)/12))))-((P183)*(IF((YEAR(D183)+0)&lt;YEAR(E183),0,IF((YEAR(D183)+0)&gt;YEAR(E183),1,(12-MONTH(E183)+1)/12))) + (R183)*(IF((YEAR(D183)+0)&lt;YEAR(E183),0,IF((YEAR(D183)+0)&gt;YEAR(E183),1,(12-MONTH(E183)+1)/12))))-(IF(OR(N183="",N183&lt;=0),0,(O183/N183)*(IF(OR(N183="",N183&lt;=0),0,IF((YEAR(D183)+0)&lt;YEAR(E183),0,IF((YEAR(D183)+0)&gt;=YEAR(E183)+N183,0,IF((YEAR(D183)+0)=YEAR(E183),(12-MONTH(E183)+1)/12,1))))))))*TaxRate,0))-IF(0=0,O183,0))</f>
        <v/>
      </c>
      <c r="T183" s="29">
        <f>IF(A183="","",((K183)*(IF(M183="",L183,IFERROR(IF(INDEX(Variablen!$I:$AT, MATCH(M183, Variablen!$A:$A, 0), MATCH((YEAR(D183)+1), Variablen!$I$3:$AT$3, 0))="",L183,INDEX(Variablen!$I:$AT, MATCH(M183, Variablen!$A:$A, 0), MATCH((YEAR(D183)+1), Variablen!$I$3:$AT$3, 0))),L183)))*(IF((YEAR(D183)+1)&lt;YEAR(E183),0,IF((YEAR(D183)+1)&gt;YEAR(E183),1,(12-MONTH(E183)+1)/12))) + (Q183)*(IF((YEAR(D183)+1)&lt;YEAR(E183),0,IF((YEAR(D183)+1)&gt;YEAR(E183),1,(12-MONTH(E183)+1)/12))))-((P183)*(IF((YEAR(D183)+1)&lt;YEAR(E183),0,IF((YEAR(D183)+1)&gt;YEAR(E183),1,(12-MONTH(E183)+1)/12))) + (R183)*(IF((YEAR(D183)+1)&lt;YEAR(E183),0,IF((YEAR(D183)+1)&gt;YEAR(E183),1,(12-MONTH(E183)+1)/12))))-(IF((((K183)*(IF(M183="",L183,IFERROR(IF(INDEX(Variablen!$I:$AT, MATCH(M183, Variablen!$A:$A, 0), MATCH((YEAR(D183)+1), Variablen!$I$3:$AT$3, 0))="",L183,INDEX(Variablen!$I:$AT, MATCH(M183, Variablen!$A:$A, 0), MATCH((YEAR(D183)+1), Variablen!$I$3:$AT$3, 0))),L183)))*(IF((YEAR(D183)+1)&lt;YEAR(E183),0,IF((YEAR(D183)+1)&gt;YEAR(E183),1,(12-MONTH(E183)+1)/12))) + (Q183)*(IF((YEAR(D183)+1)&lt;YEAR(E183),0,IF((YEAR(D183)+1)&gt;YEAR(E183),1,(12-MONTH(E183)+1)/12))))-((P183)*(IF((YEAR(D183)+1)&lt;YEAR(E183),0,IF((YEAR(D183)+1)&gt;YEAR(E183),1,(12-MONTH(E183)+1)/12))) + (R183)*(IF((YEAR(D183)+1)&lt;YEAR(E183),0,IF((YEAR(D183)+1)&gt;YEAR(E183),1,(12-MONTH(E183)+1)/12))))-(IF(OR(N183="",N183&lt;=0),0,(O183/N183)*(IF(OR(N183="",N183&lt;=0),0,IF((YEAR(D183)+1)&lt;YEAR(E183),0,IF((YEAR(D183)+1)&gt;=YEAR(E183)+N183,0,IF((YEAR(D183)+1)=YEAR(E183),(12-MONTH(E183)+1)/12,1))))))))&gt;0,(((K183)*(IF(M183="",L183,IFERROR(IF(INDEX(Variablen!$I:$AT, MATCH(M183, Variablen!$A:$A, 0), MATCH((YEAR(D183)+1), Variablen!$I$3:$AT$3, 0))="",L183,INDEX(Variablen!$I:$AT, MATCH(M183, Variablen!$A:$A, 0), MATCH((YEAR(D183)+1), Variablen!$I$3:$AT$3, 0))),L183)))*(IF((YEAR(D183)+1)&lt;YEAR(E183),0,IF((YEAR(D183)+1)&gt;YEAR(E183),1,(12-MONTH(E183)+1)/12))) + (Q183)*(IF((YEAR(D183)+1)&lt;YEAR(E183),0,IF((YEAR(D183)+1)&gt;YEAR(E183),1,(12-MONTH(E183)+1)/12))))-((P183)*(IF((YEAR(D183)+1)&lt;YEAR(E183),0,IF((YEAR(D183)+1)&gt;YEAR(E183),1,(12-MONTH(E183)+1)/12))) + (R183)*(IF((YEAR(D183)+1)&lt;YEAR(E183),0,IF((YEAR(D183)+1)&gt;YEAR(E183),1,(12-MONTH(E183)+1)/12))))-(IF(OR(N183="",N183&lt;=0),0,(O183/N183)*(IF(OR(N183="",N183&lt;=0),0,IF((YEAR(D183)+1)&lt;YEAR(E183),0,IF((YEAR(D183)+1)&gt;=YEAR(E183)+N183,0,IF((YEAR(D183)+1)=YEAR(E183),(12-MONTH(E183)+1)/12,1))))))))*TaxRate,0))-IF(1=0,O183,0))</f>
        <v/>
      </c>
      <c r="U183" s="29">
        <f>IF(A183="","",((K183)*(IF(M183="",L183,IFERROR(IF(INDEX(Variablen!$I:$AT, MATCH(M183, Variablen!$A:$A, 0), MATCH((YEAR(D183)+2), Variablen!$I$3:$AT$3, 0))="",L183,INDEX(Variablen!$I:$AT, MATCH(M183, Variablen!$A:$A, 0), MATCH((YEAR(D183)+2), Variablen!$I$3:$AT$3, 0))),L183)))*(IF((YEAR(D183)+2)&lt;YEAR(E183),0,IF((YEAR(D183)+2)&gt;YEAR(E183),1,(12-MONTH(E183)+1)/12))) + (Q183)*(IF((YEAR(D183)+2)&lt;YEAR(E183),0,IF((YEAR(D183)+2)&gt;YEAR(E183),1,(12-MONTH(E183)+1)/12))))-((P183)*(IF((YEAR(D183)+2)&lt;YEAR(E183),0,IF((YEAR(D183)+2)&gt;YEAR(E183),1,(12-MONTH(E183)+1)/12))) + (R183)*(IF((YEAR(D183)+2)&lt;YEAR(E183),0,IF((YEAR(D183)+2)&gt;YEAR(E183),1,(12-MONTH(E183)+1)/12))))-(IF((((K183)*(IF(M183="",L183,IFERROR(IF(INDEX(Variablen!$I:$AT, MATCH(M183, Variablen!$A:$A, 0), MATCH((YEAR(D183)+2), Variablen!$I$3:$AT$3, 0))="",L183,INDEX(Variablen!$I:$AT, MATCH(M183, Variablen!$A:$A, 0), MATCH((YEAR(D183)+2), Variablen!$I$3:$AT$3, 0))),L183)))*(IF((YEAR(D183)+2)&lt;YEAR(E183),0,IF((YEAR(D183)+2)&gt;YEAR(E183),1,(12-MONTH(E183)+1)/12))) + (Q183)*(IF((YEAR(D183)+2)&lt;YEAR(E183),0,IF((YEAR(D183)+2)&gt;YEAR(E183),1,(12-MONTH(E183)+1)/12))))-((P183)*(IF((YEAR(D183)+2)&lt;YEAR(E183),0,IF((YEAR(D183)+2)&gt;YEAR(E183),1,(12-MONTH(E183)+1)/12))) + (R183)*(IF((YEAR(D183)+2)&lt;YEAR(E183),0,IF((YEAR(D183)+2)&gt;YEAR(E183),1,(12-MONTH(E183)+1)/12))))-(IF(OR(N183="",N183&lt;=0),0,(O183/N183)*(IF(OR(N183="",N183&lt;=0),0,IF((YEAR(D183)+2)&lt;YEAR(E183),0,IF((YEAR(D183)+2)&gt;=YEAR(E183)+N183,0,IF((YEAR(D183)+2)=YEAR(E183),(12-MONTH(E183)+1)/12,1))))))))&gt;0,(((K183)*(IF(M183="",L183,IFERROR(IF(INDEX(Variablen!$I:$AT, MATCH(M183, Variablen!$A:$A, 0), MATCH((YEAR(D183)+2), Variablen!$I$3:$AT$3, 0))="",L183,INDEX(Variablen!$I:$AT, MATCH(M183, Variablen!$A:$A, 0), MATCH((YEAR(D183)+2), Variablen!$I$3:$AT$3, 0))),L183)))*(IF((YEAR(D183)+2)&lt;YEAR(E183),0,IF((YEAR(D183)+2)&gt;YEAR(E183),1,(12-MONTH(E183)+1)/12))) + (Q183)*(IF((YEAR(D183)+2)&lt;YEAR(E183),0,IF((YEAR(D183)+2)&gt;YEAR(E183),1,(12-MONTH(E183)+1)/12))))-((P183)*(IF((YEAR(D183)+2)&lt;YEAR(E183),0,IF((YEAR(D183)+2)&gt;YEAR(E183),1,(12-MONTH(E183)+1)/12))) + (R183)*(IF((YEAR(D183)+2)&lt;YEAR(E183),0,IF((YEAR(D183)+2)&gt;YEAR(E183),1,(12-MONTH(E183)+1)/12))))-(IF(OR(N183="",N183&lt;=0),0,(O183/N183)*(IF(OR(N183="",N183&lt;=0),0,IF((YEAR(D183)+2)&lt;YEAR(E183),0,IF((YEAR(D183)+2)&gt;=YEAR(E183)+N183,0,IF((YEAR(D183)+2)=YEAR(E183),(12-MONTH(E183)+1)/12,1))))))))*TaxRate,0))-IF(2=0,O183,0))</f>
        <v/>
      </c>
      <c r="V183" s="29">
        <f>IF(A183="","",((K183)*(IF(M183="",L183,IFERROR(IF(INDEX(Variablen!$I:$AT, MATCH(M183, Variablen!$A:$A, 0), MATCH((YEAR(D183)+3), Variablen!$I$3:$AT$3, 0))="",L183,INDEX(Variablen!$I:$AT, MATCH(M183, Variablen!$A:$A, 0), MATCH((YEAR(D183)+3), Variablen!$I$3:$AT$3, 0))),L183)))*(IF((YEAR(D183)+3)&lt;YEAR(E183),0,IF((YEAR(D183)+3)&gt;YEAR(E183),1,(12-MONTH(E183)+1)/12))) + (Q183)*(IF((YEAR(D183)+3)&lt;YEAR(E183),0,IF((YEAR(D183)+3)&gt;YEAR(E183),1,(12-MONTH(E183)+1)/12))))-((P183)*(IF((YEAR(D183)+3)&lt;YEAR(E183),0,IF((YEAR(D183)+3)&gt;YEAR(E183),1,(12-MONTH(E183)+1)/12))) + (R183)*(IF((YEAR(D183)+3)&lt;YEAR(E183),0,IF((YEAR(D183)+3)&gt;YEAR(E183),1,(12-MONTH(E183)+1)/12))))-(IF((((K183)*(IF(M183="",L183,IFERROR(IF(INDEX(Variablen!$I:$AT, MATCH(M183, Variablen!$A:$A, 0), MATCH((YEAR(D183)+3), Variablen!$I$3:$AT$3, 0))="",L183,INDEX(Variablen!$I:$AT, MATCH(M183, Variablen!$A:$A, 0), MATCH((YEAR(D183)+3), Variablen!$I$3:$AT$3, 0))),L183)))*(IF((YEAR(D183)+3)&lt;YEAR(E183),0,IF((YEAR(D183)+3)&gt;YEAR(E183),1,(12-MONTH(E183)+1)/12))) + (Q183)*(IF((YEAR(D183)+3)&lt;YEAR(E183),0,IF((YEAR(D183)+3)&gt;YEAR(E183),1,(12-MONTH(E183)+1)/12))))-((P183)*(IF((YEAR(D183)+3)&lt;YEAR(E183),0,IF((YEAR(D183)+3)&gt;YEAR(E183),1,(12-MONTH(E183)+1)/12))) + (R183)*(IF((YEAR(D183)+3)&lt;YEAR(E183),0,IF((YEAR(D183)+3)&gt;YEAR(E183),1,(12-MONTH(E183)+1)/12))))-(IF(OR(N183="",N183&lt;=0),0,(O183/N183)*(IF(OR(N183="",N183&lt;=0),0,IF((YEAR(D183)+3)&lt;YEAR(E183),0,IF((YEAR(D183)+3)&gt;=YEAR(E183)+N183,0,IF((YEAR(D183)+3)=YEAR(E183),(12-MONTH(E183)+1)/12,1))))))))&gt;0,(((K183)*(IF(M183="",L183,IFERROR(IF(INDEX(Variablen!$I:$AT, MATCH(M183, Variablen!$A:$A, 0), MATCH((YEAR(D183)+3), Variablen!$I$3:$AT$3, 0))="",L183,INDEX(Variablen!$I:$AT, MATCH(M183, Variablen!$A:$A, 0), MATCH((YEAR(D183)+3), Variablen!$I$3:$AT$3, 0))),L183)))*(IF((YEAR(D183)+3)&lt;YEAR(E183),0,IF((YEAR(D183)+3)&gt;YEAR(E183),1,(12-MONTH(E183)+1)/12))) + (Q183)*(IF((YEAR(D183)+3)&lt;YEAR(E183),0,IF((YEAR(D183)+3)&gt;YEAR(E183),1,(12-MONTH(E183)+1)/12))))-((P183)*(IF((YEAR(D183)+3)&lt;YEAR(E183),0,IF((YEAR(D183)+3)&gt;YEAR(E183),1,(12-MONTH(E183)+1)/12))) + (R183)*(IF((YEAR(D183)+3)&lt;YEAR(E183),0,IF((YEAR(D183)+3)&gt;YEAR(E183),1,(12-MONTH(E183)+1)/12))))-(IF(OR(N183="",N183&lt;=0),0,(O183/N183)*(IF(OR(N183="",N183&lt;=0),0,IF((YEAR(D183)+3)&lt;YEAR(E183),0,IF((YEAR(D183)+3)&gt;=YEAR(E183)+N183,0,IF((YEAR(D183)+3)=YEAR(E183),(12-MONTH(E183)+1)/12,1))))))))*TaxRate,0))-IF(3=0,O183,0))</f>
        <v/>
      </c>
      <c r="W183" s="29">
        <f>IF(A183="","",((K183)*(IF(M183="",L183,IFERROR(IF(INDEX(Variablen!$I:$AT, MATCH(M183, Variablen!$A:$A, 0), MATCH((YEAR(D183)+4), Variablen!$I$3:$AT$3, 0))="",L183,INDEX(Variablen!$I:$AT, MATCH(M183, Variablen!$A:$A, 0), MATCH((YEAR(D183)+4), Variablen!$I$3:$AT$3, 0))),L183)))*(IF((YEAR(D183)+4)&lt;YEAR(E183),0,IF((YEAR(D183)+4)&gt;YEAR(E183),1,(12-MONTH(E183)+1)/12))) + (Q183)*(IF((YEAR(D183)+4)&lt;YEAR(E183),0,IF((YEAR(D183)+4)&gt;YEAR(E183),1,(12-MONTH(E183)+1)/12))))-((P183)*(IF((YEAR(D183)+4)&lt;YEAR(E183),0,IF((YEAR(D183)+4)&gt;YEAR(E183),1,(12-MONTH(E183)+1)/12))) + (R183)*(IF((YEAR(D183)+4)&lt;YEAR(E183),0,IF((YEAR(D183)+4)&gt;YEAR(E183),1,(12-MONTH(E183)+1)/12))))-(IF((((K183)*(IF(M183="",L183,IFERROR(IF(INDEX(Variablen!$I:$AT, MATCH(M183, Variablen!$A:$A, 0), MATCH((YEAR(D183)+4), Variablen!$I$3:$AT$3, 0))="",L183,INDEX(Variablen!$I:$AT, MATCH(M183, Variablen!$A:$A, 0), MATCH((YEAR(D183)+4), Variablen!$I$3:$AT$3, 0))),L183)))*(IF((YEAR(D183)+4)&lt;YEAR(E183),0,IF((YEAR(D183)+4)&gt;YEAR(E183),1,(12-MONTH(E183)+1)/12))) + (Q183)*(IF((YEAR(D183)+4)&lt;YEAR(E183),0,IF((YEAR(D183)+4)&gt;YEAR(E183),1,(12-MONTH(E183)+1)/12))))-((P183)*(IF((YEAR(D183)+4)&lt;YEAR(E183),0,IF((YEAR(D183)+4)&gt;YEAR(E183),1,(12-MONTH(E183)+1)/12))) + (R183)*(IF((YEAR(D183)+4)&lt;YEAR(E183),0,IF((YEAR(D183)+4)&gt;YEAR(E183),1,(12-MONTH(E183)+1)/12))))-(IF(OR(N183="",N183&lt;=0),0,(O183/N183)*(IF(OR(N183="",N183&lt;=0),0,IF((YEAR(D183)+4)&lt;YEAR(E183),0,IF((YEAR(D183)+4)&gt;=YEAR(E183)+N183,0,IF((YEAR(D183)+4)=YEAR(E183),(12-MONTH(E183)+1)/12,1))))))))&gt;0,(((K183)*(IF(M183="",L183,IFERROR(IF(INDEX(Variablen!$I:$AT, MATCH(M183, Variablen!$A:$A, 0), MATCH((YEAR(D183)+4), Variablen!$I$3:$AT$3, 0))="",L183,INDEX(Variablen!$I:$AT, MATCH(M183, Variablen!$A:$A, 0), MATCH((YEAR(D183)+4), Variablen!$I$3:$AT$3, 0))),L183)))*(IF((YEAR(D183)+4)&lt;YEAR(E183),0,IF((YEAR(D183)+4)&gt;YEAR(E183),1,(12-MONTH(E183)+1)/12))) + (Q183)*(IF((YEAR(D183)+4)&lt;YEAR(E183),0,IF((YEAR(D183)+4)&gt;YEAR(E183),1,(12-MONTH(E183)+1)/12))))-((P183)*(IF((YEAR(D183)+4)&lt;YEAR(E183),0,IF((YEAR(D183)+4)&gt;YEAR(E183),1,(12-MONTH(E183)+1)/12))) + (R183)*(IF((YEAR(D183)+4)&lt;YEAR(E183),0,IF((YEAR(D183)+4)&gt;YEAR(E183),1,(12-MONTH(E183)+1)/12))))-(IF(OR(N183="",N183&lt;=0),0,(O183/N183)*(IF(OR(N183="",N183&lt;=0),0,IF((YEAR(D183)+4)&lt;YEAR(E183),0,IF((YEAR(D183)+4)&gt;=YEAR(E183)+N183,0,IF((YEAR(D183)+4)=YEAR(E183),(12-MONTH(E183)+1)/12,1))))))))*TaxRate,0))-IF(4=0,O183,0))</f>
        <v/>
      </c>
      <c r="X183" s="29">
        <f>IF(A183="","",((K183)*(IF(M183="",L183,IFERROR(IF(INDEX(Variablen!$I:$AT, MATCH(M183, Variablen!$A:$A, 0), MATCH((YEAR(D183)+5), Variablen!$I$3:$AT$3, 0))="",L183,INDEX(Variablen!$I:$AT, MATCH(M183, Variablen!$A:$A, 0), MATCH((YEAR(D183)+5), Variablen!$I$3:$AT$3, 0))),L183)))*(IF((YEAR(D183)+5)&lt;YEAR(E183),0,IF((YEAR(D183)+5)&gt;YEAR(E183),1,(12-MONTH(E183)+1)/12))) + (Q183)*(IF((YEAR(D183)+5)&lt;YEAR(E183),0,IF((YEAR(D183)+5)&gt;YEAR(E183),1,(12-MONTH(E183)+1)/12))))-((P183)*(IF((YEAR(D183)+5)&lt;YEAR(E183),0,IF((YEAR(D183)+5)&gt;YEAR(E183),1,(12-MONTH(E183)+1)/12))) + (R183)*(IF((YEAR(D183)+5)&lt;YEAR(E183),0,IF((YEAR(D183)+5)&gt;YEAR(E183),1,(12-MONTH(E183)+1)/12))))-(IF((((K183)*(IF(M183="",L183,IFERROR(IF(INDEX(Variablen!$I:$AT, MATCH(M183, Variablen!$A:$A, 0), MATCH((YEAR(D183)+5), Variablen!$I$3:$AT$3, 0))="",L183,INDEX(Variablen!$I:$AT, MATCH(M183, Variablen!$A:$A, 0), MATCH((YEAR(D183)+5), Variablen!$I$3:$AT$3, 0))),L183)))*(IF((YEAR(D183)+5)&lt;YEAR(E183),0,IF((YEAR(D183)+5)&gt;YEAR(E183),1,(12-MONTH(E183)+1)/12))) + (Q183)*(IF((YEAR(D183)+5)&lt;YEAR(E183),0,IF((YEAR(D183)+5)&gt;YEAR(E183),1,(12-MONTH(E183)+1)/12))))-((P183)*(IF((YEAR(D183)+5)&lt;YEAR(E183),0,IF((YEAR(D183)+5)&gt;YEAR(E183),1,(12-MONTH(E183)+1)/12))) + (R183)*(IF((YEAR(D183)+5)&lt;YEAR(E183),0,IF((YEAR(D183)+5)&gt;YEAR(E183),1,(12-MONTH(E183)+1)/12))))-(IF(OR(N183="",N183&lt;=0),0,(O183/N183)*(IF(OR(N183="",N183&lt;=0),0,IF((YEAR(D183)+5)&lt;YEAR(E183),0,IF((YEAR(D183)+5)&gt;=YEAR(E183)+N183,0,IF((YEAR(D183)+5)=YEAR(E183),(12-MONTH(E183)+1)/12,1))))))))&gt;0,(((K183)*(IF(M183="",L183,IFERROR(IF(INDEX(Variablen!$I:$AT, MATCH(M183, Variablen!$A:$A, 0), MATCH((YEAR(D183)+5), Variablen!$I$3:$AT$3, 0))="",L183,INDEX(Variablen!$I:$AT, MATCH(M183, Variablen!$A:$A, 0), MATCH((YEAR(D183)+5), Variablen!$I$3:$AT$3, 0))),L183)))*(IF((YEAR(D183)+5)&lt;YEAR(E183),0,IF((YEAR(D183)+5)&gt;YEAR(E183),1,(12-MONTH(E183)+1)/12))) + (Q183)*(IF((YEAR(D183)+5)&lt;YEAR(E183),0,IF((YEAR(D183)+5)&gt;YEAR(E183),1,(12-MONTH(E183)+1)/12))))-((P183)*(IF((YEAR(D183)+5)&lt;YEAR(E183),0,IF((YEAR(D183)+5)&gt;YEAR(E183),1,(12-MONTH(E183)+1)/12))) + (R183)*(IF((YEAR(D183)+5)&lt;YEAR(E183),0,IF((YEAR(D183)+5)&gt;YEAR(E183),1,(12-MONTH(E183)+1)/12))))-(IF(OR(N183="",N183&lt;=0),0,(O183/N183)*(IF(OR(N183="",N183&lt;=0),0,IF((YEAR(D183)+5)&lt;YEAR(E183),0,IF((YEAR(D183)+5)&gt;=YEAR(E183)+N183,0,IF((YEAR(D183)+5)=YEAR(E183),(12-MONTH(E183)+1)/12,1))))))))*TaxRate,0))-IF(5=0,O183,0))</f>
        <v/>
      </c>
      <c r="Y183" s="29">
        <f>IF(A183="","",((K183)*(IF(M183="",L183,IFERROR(IF(INDEX(Variablen!$I:$AT, MATCH(M183, Variablen!$A:$A, 0), MATCH((YEAR(D183)+6), Variablen!$I$3:$AT$3, 0))="",L183,INDEX(Variablen!$I:$AT, MATCH(M183, Variablen!$A:$A, 0), MATCH((YEAR(D183)+6), Variablen!$I$3:$AT$3, 0))),L183)))*(IF((YEAR(D183)+6)&lt;YEAR(E183),0,IF((YEAR(D183)+6)&gt;YEAR(E183),1,(12-MONTH(E183)+1)/12))) + (Q183)*(IF((YEAR(D183)+6)&lt;YEAR(E183),0,IF((YEAR(D183)+6)&gt;YEAR(E183),1,(12-MONTH(E183)+1)/12))))-((P183)*(IF((YEAR(D183)+6)&lt;YEAR(E183),0,IF((YEAR(D183)+6)&gt;YEAR(E183),1,(12-MONTH(E183)+1)/12))) + (R183)*(IF((YEAR(D183)+6)&lt;YEAR(E183),0,IF((YEAR(D183)+6)&gt;YEAR(E183),1,(12-MONTH(E183)+1)/12))))-(IF((((K183)*(IF(M183="",L183,IFERROR(IF(INDEX(Variablen!$I:$AT, MATCH(M183, Variablen!$A:$A, 0), MATCH((YEAR(D183)+6), Variablen!$I$3:$AT$3, 0))="",L183,INDEX(Variablen!$I:$AT, MATCH(M183, Variablen!$A:$A, 0), MATCH((YEAR(D183)+6), Variablen!$I$3:$AT$3, 0))),L183)))*(IF((YEAR(D183)+6)&lt;YEAR(E183),0,IF((YEAR(D183)+6)&gt;YEAR(E183),1,(12-MONTH(E183)+1)/12))) + (Q183)*(IF((YEAR(D183)+6)&lt;YEAR(E183),0,IF((YEAR(D183)+6)&gt;YEAR(E183),1,(12-MONTH(E183)+1)/12))))-((P183)*(IF((YEAR(D183)+6)&lt;YEAR(E183),0,IF((YEAR(D183)+6)&gt;YEAR(E183),1,(12-MONTH(E183)+1)/12))) + (R183)*(IF((YEAR(D183)+6)&lt;YEAR(E183),0,IF((YEAR(D183)+6)&gt;YEAR(E183),1,(12-MONTH(E183)+1)/12))))-(IF(OR(N183="",N183&lt;=0),0,(O183/N183)*(IF(OR(N183="",N183&lt;=0),0,IF((YEAR(D183)+6)&lt;YEAR(E183),0,IF((YEAR(D183)+6)&gt;=YEAR(E183)+N183,0,IF((YEAR(D183)+6)=YEAR(E183),(12-MONTH(E183)+1)/12,1))))))))&gt;0,(((K183)*(IF(M183="",L183,IFERROR(IF(INDEX(Variablen!$I:$AT, MATCH(M183, Variablen!$A:$A, 0), MATCH((YEAR(D183)+6), Variablen!$I$3:$AT$3, 0))="",L183,INDEX(Variablen!$I:$AT, MATCH(M183, Variablen!$A:$A, 0), MATCH((YEAR(D183)+6), Variablen!$I$3:$AT$3, 0))),L183)))*(IF((YEAR(D183)+6)&lt;YEAR(E183),0,IF((YEAR(D183)+6)&gt;YEAR(E183),1,(12-MONTH(E183)+1)/12))) + (Q183)*(IF((YEAR(D183)+6)&lt;YEAR(E183),0,IF((YEAR(D183)+6)&gt;YEAR(E183),1,(12-MONTH(E183)+1)/12))))-((P183)*(IF((YEAR(D183)+6)&lt;YEAR(E183),0,IF((YEAR(D183)+6)&gt;YEAR(E183),1,(12-MONTH(E183)+1)/12))) + (R183)*(IF((YEAR(D183)+6)&lt;YEAR(E183),0,IF((YEAR(D183)+6)&gt;YEAR(E183),1,(12-MONTH(E183)+1)/12))))-(IF(OR(N183="",N183&lt;=0),0,(O183/N183)*(IF(OR(N183="",N183&lt;=0),0,IF((YEAR(D183)+6)&lt;YEAR(E183),0,IF((YEAR(D183)+6)&gt;=YEAR(E183)+N183,0,IF((YEAR(D183)+6)=YEAR(E183),(12-MONTH(E183)+1)/12,1))))))))*TaxRate,0))-IF(6=0,O183,0))</f>
        <v/>
      </c>
      <c r="Z183" s="29">
        <f>IF(A183="","",((K183)*(IF(M183="",L183,IFERROR(IF(INDEX(Variablen!$I:$AT, MATCH(M183, Variablen!$A:$A, 0), MATCH((YEAR(D183)+7), Variablen!$I$3:$AT$3, 0))="",L183,INDEX(Variablen!$I:$AT, MATCH(M183, Variablen!$A:$A, 0), MATCH((YEAR(D183)+7), Variablen!$I$3:$AT$3, 0))),L183)))*(IF((YEAR(D183)+7)&lt;YEAR(E183),0,IF((YEAR(D183)+7)&gt;YEAR(E183),1,(12-MONTH(E183)+1)/12))) + (Q183)*(IF((YEAR(D183)+7)&lt;YEAR(E183),0,IF((YEAR(D183)+7)&gt;YEAR(E183),1,(12-MONTH(E183)+1)/12))))-((P183)*(IF((YEAR(D183)+7)&lt;YEAR(E183),0,IF((YEAR(D183)+7)&gt;YEAR(E183),1,(12-MONTH(E183)+1)/12))) + (R183)*(IF((YEAR(D183)+7)&lt;YEAR(E183),0,IF((YEAR(D183)+7)&gt;YEAR(E183),1,(12-MONTH(E183)+1)/12))))-(IF((((K183)*(IF(M183="",L183,IFERROR(IF(INDEX(Variablen!$I:$AT, MATCH(M183, Variablen!$A:$A, 0), MATCH((YEAR(D183)+7), Variablen!$I$3:$AT$3, 0))="",L183,INDEX(Variablen!$I:$AT, MATCH(M183, Variablen!$A:$A, 0), MATCH((YEAR(D183)+7), Variablen!$I$3:$AT$3, 0))),L183)))*(IF((YEAR(D183)+7)&lt;YEAR(E183),0,IF((YEAR(D183)+7)&gt;YEAR(E183),1,(12-MONTH(E183)+1)/12))) + (Q183)*(IF((YEAR(D183)+7)&lt;YEAR(E183),0,IF((YEAR(D183)+7)&gt;YEAR(E183),1,(12-MONTH(E183)+1)/12))))-((P183)*(IF((YEAR(D183)+7)&lt;YEAR(E183),0,IF((YEAR(D183)+7)&gt;YEAR(E183),1,(12-MONTH(E183)+1)/12))) + (R183)*(IF((YEAR(D183)+7)&lt;YEAR(E183),0,IF((YEAR(D183)+7)&gt;YEAR(E183),1,(12-MONTH(E183)+1)/12))))-(IF(OR(N183="",N183&lt;=0),0,(O183/N183)*(IF(OR(N183="",N183&lt;=0),0,IF((YEAR(D183)+7)&lt;YEAR(E183),0,IF((YEAR(D183)+7)&gt;=YEAR(E183)+N183,0,IF((YEAR(D183)+7)=YEAR(E183),(12-MONTH(E183)+1)/12,1))))))))&gt;0,(((K183)*(IF(M183="",L183,IFERROR(IF(INDEX(Variablen!$I:$AT, MATCH(M183, Variablen!$A:$A, 0), MATCH((YEAR(D183)+7), Variablen!$I$3:$AT$3, 0))="",L183,INDEX(Variablen!$I:$AT, MATCH(M183, Variablen!$A:$A, 0), MATCH((YEAR(D183)+7), Variablen!$I$3:$AT$3, 0))),L183)))*(IF((YEAR(D183)+7)&lt;YEAR(E183),0,IF((YEAR(D183)+7)&gt;YEAR(E183),1,(12-MONTH(E183)+1)/12))) + (Q183)*(IF((YEAR(D183)+7)&lt;YEAR(E183),0,IF((YEAR(D183)+7)&gt;YEAR(E183),1,(12-MONTH(E183)+1)/12))))-((P183)*(IF((YEAR(D183)+7)&lt;YEAR(E183),0,IF((YEAR(D183)+7)&gt;YEAR(E183),1,(12-MONTH(E183)+1)/12))) + (R183)*(IF((YEAR(D183)+7)&lt;YEAR(E183),0,IF((YEAR(D183)+7)&gt;YEAR(E183),1,(12-MONTH(E183)+1)/12))))-(IF(OR(N183="",N183&lt;=0),0,(O183/N183)*(IF(OR(N183="",N183&lt;=0),0,IF((YEAR(D183)+7)&lt;YEAR(E183),0,IF((YEAR(D183)+7)&gt;=YEAR(E183)+N183,0,IF((YEAR(D183)+7)=YEAR(E183),(12-MONTH(E183)+1)/12,1))))))))*TaxRate,0))-IF(7=0,O183,0))</f>
        <v/>
      </c>
      <c r="AA183" s="29">
        <f>IF(A183="","",((K183)*(IF(M183="",L183,IFERROR(IF(INDEX(Variablen!$I:$AT, MATCH(M183, Variablen!$A:$A, 0), MATCH((YEAR(D183)+8), Variablen!$I$3:$AT$3, 0))="",L183,INDEX(Variablen!$I:$AT, MATCH(M183, Variablen!$A:$A, 0), MATCH((YEAR(D183)+8), Variablen!$I$3:$AT$3, 0))),L183)))*(IF((YEAR(D183)+8)&lt;YEAR(E183),0,IF((YEAR(D183)+8)&gt;YEAR(E183),1,(12-MONTH(E183)+1)/12))) + (Q183)*(IF((YEAR(D183)+8)&lt;YEAR(E183),0,IF((YEAR(D183)+8)&gt;YEAR(E183),1,(12-MONTH(E183)+1)/12))))-((P183)*(IF((YEAR(D183)+8)&lt;YEAR(E183),0,IF((YEAR(D183)+8)&gt;YEAR(E183),1,(12-MONTH(E183)+1)/12))) + (R183)*(IF((YEAR(D183)+8)&lt;YEAR(E183),0,IF((YEAR(D183)+8)&gt;YEAR(E183),1,(12-MONTH(E183)+1)/12))))-(IF((((K183)*(IF(M183="",L183,IFERROR(IF(INDEX(Variablen!$I:$AT, MATCH(M183, Variablen!$A:$A, 0), MATCH((YEAR(D183)+8), Variablen!$I$3:$AT$3, 0))="",L183,INDEX(Variablen!$I:$AT, MATCH(M183, Variablen!$A:$A, 0), MATCH((YEAR(D183)+8), Variablen!$I$3:$AT$3, 0))),L183)))*(IF((YEAR(D183)+8)&lt;YEAR(E183),0,IF((YEAR(D183)+8)&gt;YEAR(E183),1,(12-MONTH(E183)+1)/12))) + (Q183)*(IF((YEAR(D183)+8)&lt;YEAR(E183),0,IF((YEAR(D183)+8)&gt;YEAR(E183),1,(12-MONTH(E183)+1)/12))))-((P183)*(IF((YEAR(D183)+8)&lt;YEAR(E183),0,IF((YEAR(D183)+8)&gt;YEAR(E183),1,(12-MONTH(E183)+1)/12))) + (R183)*(IF((YEAR(D183)+8)&lt;YEAR(E183),0,IF((YEAR(D183)+8)&gt;YEAR(E183),1,(12-MONTH(E183)+1)/12))))-(IF(OR(N183="",N183&lt;=0),0,(O183/N183)*(IF(OR(N183="",N183&lt;=0),0,IF((YEAR(D183)+8)&lt;YEAR(E183),0,IF((YEAR(D183)+8)&gt;=YEAR(E183)+N183,0,IF((YEAR(D183)+8)=YEAR(E183),(12-MONTH(E183)+1)/12,1))))))))&gt;0,(((K183)*(IF(M183="",L183,IFERROR(IF(INDEX(Variablen!$I:$AT, MATCH(M183, Variablen!$A:$A, 0), MATCH((YEAR(D183)+8), Variablen!$I$3:$AT$3, 0))="",L183,INDEX(Variablen!$I:$AT, MATCH(M183, Variablen!$A:$A, 0), MATCH((YEAR(D183)+8), Variablen!$I$3:$AT$3, 0))),L183)))*(IF((YEAR(D183)+8)&lt;YEAR(E183),0,IF((YEAR(D183)+8)&gt;YEAR(E183),1,(12-MONTH(E183)+1)/12))) + (Q183)*(IF((YEAR(D183)+8)&lt;YEAR(E183),0,IF((YEAR(D183)+8)&gt;YEAR(E183),1,(12-MONTH(E183)+1)/12))))-((P183)*(IF((YEAR(D183)+8)&lt;YEAR(E183),0,IF((YEAR(D183)+8)&gt;YEAR(E183),1,(12-MONTH(E183)+1)/12))) + (R183)*(IF((YEAR(D183)+8)&lt;YEAR(E183),0,IF((YEAR(D183)+8)&gt;YEAR(E183),1,(12-MONTH(E183)+1)/12))))-(IF(OR(N183="",N183&lt;=0),0,(O183/N183)*(IF(OR(N183="",N183&lt;=0),0,IF((YEAR(D183)+8)&lt;YEAR(E183),0,IF((YEAR(D183)+8)&gt;=YEAR(E183)+N183,0,IF((YEAR(D183)+8)=YEAR(E183),(12-MONTH(E183)+1)/12,1))))))))*TaxRate,0))-IF(8=0,O183,0))</f>
        <v/>
      </c>
      <c r="AB183" s="29">
        <f>IF(A183="","",((K183)*(IF(M183="",L183,IFERROR(IF(INDEX(Variablen!$I:$AT, MATCH(M183, Variablen!$A:$A, 0), MATCH((YEAR(D183)+9), Variablen!$I$3:$AT$3, 0))="",L183,INDEX(Variablen!$I:$AT, MATCH(M183, Variablen!$A:$A, 0), MATCH((YEAR(D183)+9), Variablen!$I$3:$AT$3, 0))),L183)))*(IF((YEAR(D183)+9)&lt;YEAR(E183),0,IF((YEAR(D183)+9)&gt;YEAR(E183),1,(12-MONTH(E183)+1)/12))) + (Q183)*(IF((YEAR(D183)+9)&lt;YEAR(E183),0,IF((YEAR(D183)+9)&gt;YEAR(E183),1,(12-MONTH(E183)+1)/12))))-((P183)*(IF((YEAR(D183)+9)&lt;YEAR(E183),0,IF((YEAR(D183)+9)&gt;YEAR(E183),1,(12-MONTH(E183)+1)/12))) + (R183)*(IF((YEAR(D183)+9)&lt;YEAR(E183),0,IF((YEAR(D183)+9)&gt;YEAR(E183),1,(12-MONTH(E183)+1)/12))))-(IF((((K183)*(IF(M183="",L183,IFERROR(IF(INDEX(Variablen!$I:$AT, MATCH(M183, Variablen!$A:$A, 0), MATCH((YEAR(D183)+9), Variablen!$I$3:$AT$3, 0))="",L183,INDEX(Variablen!$I:$AT, MATCH(M183, Variablen!$A:$A, 0), MATCH((YEAR(D183)+9), Variablen!$I$3:$AT$3, 0))),L183)))*(IF((YEAR(D183)+9)&lt;YEAR(E183),0,IF((YEAR(D183)+9)&gt;YEAR(E183),1,(12-MONTH(E183)+1)/12))) + (Q183)*(IF((YEAR(D183)+9)&lt;YEAR(E183),0,IF((YEAR(D183)+9)&gt;YEAR(E183),1,(12-MONTH(E183)+1)/12))))-((P183)*(IF((YEAR(D183)+9)&lt;YEAR(E183),0,IF((YEAR(D183)+9)&gt;YEAR(E183),1,(12-MONTH(E183)+1)/12))) + (R183)*(IF((YEAR(D183)+9)&lt;YEAR(E183),0,IF((YEAR(D183)+9)&gt;YEAR(E183),1,(12-MONTH(E183)+1)/12))))-(IF(OR(N183="",N183&lt;=0),0,(O183/N183)*(IF(OR(N183="",N183&lt;=0),0,IF((YEAR(D183)+9)&lt;YEAR(E183),0,IF((YEAR(D183)+9)&gt;=YEAR(E183)+N183,0,IF((YEAR(D183)+9)=YEAR(E183),(12-MONTH(E183)+1)/12,1))))))))&gt;0,(((K183)*(IF(M183="",L183,IFERROR(IF(INDEX(Variablen!$I:$AT, MATCH(M183, Variablen!$A:$A, 0), MATCH((YEAR(D183)+9), Variablen!$I$3:$AT$3, 0))="",L183,INDEX(Variablen!$I:$AT, MATCH(M183, Variablen!$A:$A, 0), MATCH((YEAR(D183)+9), Variablen!$I$3:$AT$3, 0))),L183)))*(IF((YEAR(D183)+9)&lt;YEAR(E183),0,IF((YEAR(D183)+9)&gt;YEAR(E183),1,(12-MONTH(E183)+1)/12))) + (Q183)*(IF((YEAR(D183)+9)&lt;YEAR(E183),0,IF((YEAR(D183)+9)&gt;YEAR(E183),1,(12-MONTH(E183)+1)/12))))-((P183)*(IF((YEAR(D183)+9)&lt;YEAR(E183),0,IF((YEAR(D183)+9)&gt;YEAR(E183),1,(12-MONTH(E183)+1)/12))) + (R183)*(IF((YEAR(D183)+9)&lt;YEAR(E183),0,IF((YEAR(D183)+9)&gt;YEAR(E183),1,(12-MONTH(E183)+1)/12))))-(IF(OR(N183="",N183&lt;=0),0,(O183/N183)*(IF(OR(N183="",N183&lt;=0),0,IF((YEAR(D183)+9)&lt;YEAR(E183),0,IF((YEAR(D183)+9)&gt;=YEAR(E183)+N183,0,IF((YEAR(D183)+9)=YEAR(E183),(12-MONTH(E183)+1)/12,1))))))))*TaxRate,0))-IF(9=0,O183,0))</f>
        <v/>
      </c>
      <c r="AC183" s="29">
        <f>IF(A183="","",((K183)*(IF(M183="",L183,IFERROR(IF(INDEX(Variablen!$I:$AT, MATCH(M183, Variablen!$A:$A, 0), MATCH((YEAR(D183)+10), Variablen!$I$3:$AT$3, 0))="",L183,INDEX(Variablen!$I:$AT, MATCH(M183, Variablen!$A:$A, 0), MATCH((YEAR(D183)+10), Variablen!$I$3:$AT$3, 0))),L183)))*(IF((YEAR(D183)+10)&lt;YEAR(E183),0,IF((YEAR(D183)+10)&gt;YEAR(E183),1,(12-MONTH(E183)+1)/12))) + (Q183)*(IF((YEAR(D183)+10)&lt;YEAR(E183),0,IF((YEAR(D183)+10)&gt;YEAR(E183),1,(12-MONTH(E183)+1)/12))))-((P183)*(IF((YEAR(D183)+10)&lt;YEAR(E183),0,IF((YEAR(D183)+10)&gt;YEAR(E183),1,(12-MONTH(E183)+1)/12))) + (R183)*(IF((YEAR(D183)+10)&lt;YEAR(E183),0,IF((YEAR(D183)+10)&gt;YEAR(E183),1,(12-MONTH(E183)+1)/12))))-(IF((((K183)*(IF(M183="",L183,IFERROR(IF(INDEX(Variablen!$I:$AT, MATCH(M183, Variablen!$A:$A, 0), MATCH((YEAR(D183)+10), Variablen!$I$3:$AT$3, 0))="",L183,INDEX(Variablen!$I:$AT, MATCH(M183, Variablen!$A:$A, 0), MATCH((YEAR(D183)+10), Variablen!$I$3:$AT$3, 0))),L183)))*(IF((YEAR(D183)+10)&lt;YEAR(E183),0,IF((YEAR(D183)+10)&gt;YEAR(E183),1,(12-MONTH(E183)+1)/12))) + (Q183)*(IF((YEAR(D183)+10)&lt;YEAR(E183),0,IF((YEAR(D183)+10)&gt;YEAR(E183),1,(12-MONTH(E183)+1)/12))))-((P183)*(IF((YEAR(D183)+10)&lt;YEAR(E183),0,IF((YEAR(D183)+10)&gt;YEAR(E183),1,(12-MONTH(E183)+1)/12))) + (R183)*(IF((YEAR(D183)+10)&lt;YEAR(E183),0,IF((YEAR(D183)+10)&gt;YEAR(E183),1,(12-MONTH(E183)+1)/12))))-(IF(OR(N183="",N183&lt;=0),0,(O183/N183)*(IF(OR(N183="",N183&lt;=0),0,IF((YEAR(D183)+10)&lt;YEAR(E183),0,IF((YEAR(D183)+10)&gt;=YEAR(E183)+N183,0,IF((YEAR(D183)+10)=YEAR(E183),(12-MONTH(E183)+1)/12,1))))))))&gt;0,(((K183)*(IF(M183="",L183,IFERROR(IF(INDEX(Variablen!$I:$AT, MATCH(M183, Variablen!$A:$A, 0), MATCH((YEAR(D183)+10), Variablen!$I$3:$AT$3, 0))="",L183,INDEX(Variablen!$I:$AT, MATCH(M183, Variablen!$A:$A, 0), MATCH((YEAR(D183)+10), Variablen!$I$3:$AT$3, 0))),L183)))*(IF((YEAR(D183)+10)&lt;YEAR(E183),0,IF((YEAR(D183)+10)&gt;YEAR(E183),1,(12-MONTH(E183)+1)/12))) + (Q183)*(IF((YEAR(D183)+10)&lt;YEAR(E183),0,IF((YEAR(D183)+10)&gt;YEAR(E183),1,(12-MONTH(E183)+1)/12))))-((P183)*(IF((YEAR(D183)+10)&lt;YEAR(E183),0,IF((YEAR(D183)+10)&gt;YEAR(E183),1,(12-MONTH(E183)+1)/12))) + (R183)*(IF((YEAR(D183)+10)&lt;YEAR(E183),0,IF((YEAR(D183)+10)&gt;YEAR(E183),1,(12-MONTH(E183)+1)/12))))-(IF(OR(N183="",N183&lt;=0),0,(O183/N183)*(IF(OR(N183="",N183&lt;=0),0,IF((YEAR(D183)+10)&lt;YEAR(E183),0,IF((YEAR(D183)+10)&gt;=YEAR(E183)+N183,0,IF((YEAR(D183)+10)=YEAR(E183),(12-MONTH(E183)+1)/12,1))))))))*TaxRate,0))-IF(10=0,O183,0))</f>
        <v/>
      </c>
      <c r="AD183" s="29">
        <f>IF(A183="","",((K183)*(IF(M183="",L183,IFERROR(IF(INDEX(Variablen!$I:$AT, MATCH(M183, Variablen!$A:$A, 0), MATCH((YEAR(D183)+11), Variablen!$I$3:$AT$3, 0))="",L183,INDEX(Variablen!$I:$AT, MATCH(M183, Variablen!$A:$A, 0), MATCH((YEAR(D183)+11), Variablen!$I$3:$AT$3, 0))),L183)))*(IF((YEAR(D183)+11)&lt;YEAR(E183),0,IF((YEAR(D183)+11)&gt;YEAR(E183),1,(12-MONTH(E183)+1)/12))) + (Q183)*(IF((YEAR(D183)+11)&lt;YEAR(E183),0,IF((YEAR(D183)+11)&gt;YEAR(E183),1,(12-MONTH(E183)+1)/12))))-((P183)*(IF((YEAR(D183)+11)&lt;YEAR(E183),0,IF((YEAR(D183)+11)&gt;YEAR(E183),1,(12-MONTH(E183)+1)/12))) + (R183)*(IF((YEAR(D183)+11)&lt;YEAR(E183),0,IF((YEAR(D183)+11)&gt;YEAR(E183),1,(12-MONTH(E183)+1)/12))))-(IF((((K183)*(IF(M183="",L183,IFERROR(IF(INDEX(Variablen!$I:$AT, MATCH(M183, Variablen!$A:$A, 0), MATCH((YEAR(D183)+11), Variablen!$I$3:$AT$3, 0))="",L183,INDEX(Variablen!$I:$AT, MATCH(M183, Variablen!$A:$A, 0), MATCH((YEAR(D183)+11), Variablen!$I$3:$AT$3, 0))),L183)))*(IF((YEAR(D183)+11)&lt;YEAR(E183),0,IF((YEAR(D183)+11)&gt;YEAR(E183),1,(12-MONTH(E183)+1)/12))) + (Q183)*(IF((YEAR(D183)+11)&lt;YEAR(E183),0,IF((YEAR(D183)+11)&gt;YEAR(E183),1,(12-MONTH(E183)+1)/12))))-((P183)*(IF((YEAR(D183)+11)&lt;YEAR(E183),0,IF((YEAR(D183)+11)&gt;YEAR(E183),1,(12-MONTH(E183)+1)/12))) + (R183)*(IF((YEAR(D183)+11)&lt;YEAR(E183),0,IF((YEAR(D183)+11)&gt;YEAR(E183),1,(12-MONTH(E183)+1)/12))))-(IF(OR(N183="",N183&lt;=0),0,(O183/N183)*(IF(OR(N183="",N183&lt;=0),0,IF((YEAR(D183)+11)&lt;YEAR(E183),0,IF((YEAR(D183)+11)&gt;=YEAR(E183)+N183,0,IF((YEAR(D183)+11)=YEAR(E183),(12-MONTH(E183)+1)/12,1))))))))&gt;0,(((K183)*(IF(M183="",L183,IFERROR(IF(INDEX(Variablen!$I:$AT, MATCH(M183, Variablen!$A:$A, 0), MATCH((YEAR(D183)+11), Variablen!$I$3:$AT$3, 0))="",L183,INDEX(Variablen!$I:$AT, MATCH(M183, Variablen!$A:$A, 0), MATCH((YEAR(D183)+11), Variablen!$I$3:$AT$3, 0))),L183)))*(IF((YEAR(D183)+11)&lt;YEAR(E183),0,IF((YEAR(D183)+11)&gt;YEAR(E183),1,(12-MONTH(E183)+1)/12))) + (Q183)*(IF((YEAR(D183)+11)&lt;YEAR(E183),0,IF((YEAR(D183)+11)&gt;YEAR(E183),1,(12-MONTH(E183)+1)/12))))-((P183)*(IF((YEAR(D183)+11)&lt;YEAR(E183),0,IF((YEAR(D183)+11)&gt;YEAR(E183),1,(12-MONTH(E183)+1)/12))) + (R183)*(IF((YEAR(D183)+11)&lt;YEAR(E183),0,IF((YEAR(D183)+11)&gt;YEAR(E183),1,(12-MONTH(E183)+1)/12))))-(IF(OR(N183="",N183&lt;=0),0,(O183/N183)*(IF(OR(N183="",N183&lt;=0),0,IF((YEAR(D183)+11)&lt;YEAR(E183),0,IF((YEAR(D183)+11)&gt;=YEAR(E183)+N183,0,IF((YEAR(D183)+11)=YEAR(E183),(12-MONTH(E183)+1)/12,1))))))))*TaxRate,0))-IF(11=0,O183,0))</f>
        <v/>
      </c>
      <c r="AE183" s="29">
        <f>IF(A183="","",((K183)*(IF(M183="",L183,IFERROR(IF(INDEX(Variablen!$I:$AT, MATCH(M183, Variablen!$A:$A, 0), MATCH((YEAR(D183)+12), Variablen!$I$3:$AT$3, 0))="",L183,INDEX(Variablen!$I:$AT, MATCH(M183, Variablen!$A:$A, 0), MATCH((YEAR(D183)+12), Variablen!$I$3:$AT$3, 0))),L183)))*(IF((YEAR(D183)+12)&lt;YEAR(E183),0,IF((YEAR(D183)+12)&gt;YEAR(E183),1,(12-MONTH(E183)+1)/12))) + (Q183)*(IF((YEAR(D183)+12)&lt;YEAR(E183),0,IF((YEAR(D183)+12)&gt;YEAR(E183),1,(12-MONTH(E183)+1)/12))))-((P183)*(IF((YEAR(D183)+12)&lt;YEAR(E183),0,IF((YEAR(D183)+12)&gt;YEAR(E183),1,(12-MONTH(E183)+1)/12))) + (R183)*(IF((YEAR(D183)+12)&lt;YEAR(E183),0,IF((YEAR(D183)+12)&gt;YEAR(E183),1,(12-MONTH(E183)+1)/12))))-(IF((((K183)*(IF(M183="",L183,IFERROR(IF(INDEX(Variablen!$I:$AT, MATCH(M183, Variablen!$A:$A, 0), MATCH((YEAR(D183)+12), Variablen!$I$3:$AT$3, 0))="",L183,INDEX(Variablen!$I:$AT, MATCH(M183, Variablen!$A:$A, 0), MATCH((YEAR(D183)+12), Variablen!$I$3:$AT$3, 0))),L183)))*(IF((YEAR(D183)+12)&lt;YEAR(E183),0,IF((YEAR(D183)+12)&gt;YEAR(E183),1,(12-MONTH(E183)+1)/12))) + (Q183)*(IF((YEAR(D183)+12)&lt;YEAR(E183),0,IF((YEAR(D183)+12)&gt;YEAR(E183),1,(12-MONTH(E183)+1)/12))))-((P183)*(IF((YEAR(D183)+12)&lt;YEAR(E183),0,IF((YEAR(D183)+12)&gt;YEAR(E183),1,(12-MONTH(E183)+1)/12))) + (R183)*(IF((YEAR(D183)+12)&lt;YEAR(E183),0,IF((YEAR(D183)+12)&gt;YEAR(E183),1,(12-MONTH(E183)+1)/12))))-(IF(OR(N183="",N183&lt;=0),0,(O183/N183)*(IF(OR(N183="",N183&lt;=0),0,IF((YEAR(D183)+12)&lt;YEAR(E183),0,IF((YEAR(D183)+12)&gt;=YEAR(E183)+N183,0,IF((YEAR(D183)+12)=YEAR(E183),(12-MONTH(E183)+1)/12,1))))))))&gt;0,(((K183)*(IF(M183="",L183,IFERROR(IF(INDEX(Variablen!$I:$AT, MATCH(M183, Variablen!$A:$A, 0), MATCH((YEAR(D183)+12), Variablen!$I$3:$AT$3, 0))="",L183,INDEX(Variablen!$I:$AT, MATCH(M183, Variablen!$A:$A, 0), MATCH((YEAR(D183)+12), Variablen!$I$3:$AT$3, 0))),L183)))*(IF((YEAR(D183)+12)&lt;YEAR(E183),0,IF((YEAR(D183)+12)&gt;YEAR(E183),1,(12-MONTH(E183)+1)/12))) + (Q183)*(IF((YEAR(D183)+12)&lt;YEAR(E183),0,IF((YEAR(D183)+12)&gt;YEAR(E183),1,(12-MONTH(E183)+1)/12))))-((P183)*(IF((YEAR(D183)+12)&lt;YEAR(E183),0,IF((YEAR(D183)+12)&gt;YEAR(E183),1,(12-MONTH(E183)+1)/12))) + (R183)*(IF((YEAR(D183)+12)&lt;YEAR(E183),0,IF((YEAR(D183)+12)&gt;YEAR(E183),1,(12-MONTH(E183)+1)/12))))-(IF(OR(N183="",N183&lt;=0),0,(O183/N183)*(IF(OR(N183="",N183&lt;=0),0,IF((YEAR(D183)+12)&lt;YEAR(E183),0,IF((YEAR(D183)+12)&gt;=YEAR(E183)+N183,0,IF((YEAR(D183)+12)=YEAR(E183),(12-MONTH(E183)+1)/12,1))))))))*TaxRate,0))-IF(12=0,O183,0))</f>
        <v/>
      </c>
      <c r="AF183" s="29">
        <f>IF(A183="","",((K183)*(IF(M183="",L183,IFERROR(IF(INDEX(Variablen!$I:$AT, MATCH(M183, Variablen!$A:$A, 0), MATCH((YEAR(D183)+13), Variablen!$I$3:$AT$3, 0))="",L183,INDEX(Variablen!$I:$AT, MATCH(M183, Variablen!$A:$A, 0), MATCH((YEAR(D183)+13), Variablen!$I$3:$AT$3, 0))),L183)))*(IF((YEAR(D183)+13)&lt;YEAR(E183),0,IF((YEAR(D183)+13)&gt;YEAR(E183),1,(12-MONTH(E183)+1)/12))) + (Q183)*(IF((YEAR(D183)+13)&lt;YEAR(E183),0,IF((YEAR(D183)+13)&gt;YEAR(E183),1,(12-MONTH(E183)+1)/12))))-((P183)*(IF((YEAR(D183)+13)&lt;YEAR(E183),0,IF((YEAR(D183)+13)&gt;YEAR(E183),1,(12-MONTH(E183)+1)/12))) + (R183)*(IF((YEAR(D183)+13)&lt;YEAR(E183),0,IF((YEAR(D183)+13)&gt;YEAR(E183),1,(12-MONTH(E183)+1)/12))))-(IF((((K183)*(IF(M183="",L183,IFERROR(IF(INDEX(Variablen!$I:$AT, MATCH(M183, Variablen!$A:$A, 0), MATCH((YEAR(D183)+13), Variablen!$I$3:$AT$3, 0))="",L183,INDEX(Variablen!$I:$AT, MATCH(M183, Variablen!$A:$A, 0), MATCH((YEAR(D183)+13), Variablen!$I$3:$AT$3, 0))),L183)))*(IF((YEAR(D183)+13)&lt;YEAR(E183),0,IF((YEAR(D183)+13)&gt;YEAR(E183),1,(12-MONTH(E183)+1)/12))) + (Q183)*(IF((YEAR(D183)+13)&lt;YEAR(E183),0,IF((YEAR(D183)+13)&gt;YEAR(E183),1,(12-MONTH(E183)+1)/12))))-((P183)*(IF((YEAR(D183)+13)&lt;YEAR(E183),0,IF((YEAR(D183)+13)&gt;YEAR(E183),1,(12-MONTH(E183)+1)/12))) + (R183)*(IF((YEAR(D183)+13)&lt;YEAR(E183),0,IF((YEAR(D183)+13)&gt;YEAR(E183),1,(12-MONTH(E183)+1)/12))))-(IF(OR(N183="",N183&lt;=0),0,(O183/N183)*(IF(OR(N183="",N183&lt;=0),0,IF((YEAR(D183)+13)&lt;YEAR(E183),0,IF((YEAR(D183)+13)&gt;=YEAR(E183)+N183,0,IF((YEAR(D183)+13)=YEAR(E183),(12-MONTH(E183)+1)/12,1))))))))&gt;0,(((K183)*(IF(M183="",L183,IFERROR(IF(INDEX(Variablen!$I:$AT, MATCH(M183, Variablen!$A:$A, 0), MATCH((YEAR(D183)+13), Variablen!$I$3:$AT$3, 0))="",L183,INDEX(Variablen!$I:$AT, MATCH(M183, Variablen!$A:$A, 0), MATCH((YEAR(D183)+13), Variablen!$I$3:$AT$3, 0))),L183)))*(IF((YEAR(D183)+13)&lt;YEAR(E183),0,IF((YEAR(D183)+13)&gt;YEAR(E183),1,(12-MONTH(E183)+1)/12))) + (Q183)*(IF((YEAR(D183)+13)&lt;YEAR(E183),0,IF((YEAR(D183)+13)&gt;YEAR(E183),1,(12-MONTH(E183)+1)/12))))-((P183)*(IF((YEAR(D183)+13)&lt;YEAR(E183),0,IF((YEAR(D183)+13)&gt;YEAR(E183),1,(12-MONTH(E183)+1)/12))) + (R183)*(IF((YEAR(D183)+13)&lt;YEAR(E183),0,IF((YEAR(D183)+13)&gt;YEAR(E183),1,(12-MONTH(E183)+1)/12))))-(IF(OR(N183="",N183&lt;=0),0,(O183/N183)*(IF(OR(N183="",N183&lt;=0),0,IF((YEAR(D183)+13)&lt;YEAR(E183),0,IF((YEAR(D183)+13)&gt;=YEAR(E183)+N183,0,IF((YEAR(D183)+13)=YEAR(E183),(12-MONTH(E183)+1)/12,1))))))))*TaxRate,0))-IF(13=0,O183,0))</f>
        <v/>
      </c>
      <c r="AG183" s="29">
        <f>IF(A183="","",((K183)*(IF(M183="",L183,IFERROR(IF(INDEX(Variablen!$I:$AT, MATCH(M183, Variablen!$A:$A, 0), MATCH((YEAR(D183)+14), Variablen!$I$3:$AT$3, 0))="",L183,INDEX(Variablen!$I:$AT, MATCH(M183, Variablen!$A:$A, 0), MATCH((YEAR(D183)+14), Variablen!$I$3:$AT$3, 0))),L183)))*(IF((YEAR(D183)+14)&lt;YEAR(E183),0,IF((YEAR(D183)+14)&gt;YEAR(E183),1,(12-MONTH(E183)+1)/12))) + (Q183)*(IF((YEAR(D183)+14)&lt;YEAR(E183),0,IF((YEAR(D183)+14)&gt;YEAR(E183),1,(12-MONTH(E183)+1)/12))))-((P183)*(IF((YEAR(D183)+14)&lt;YEAR(E183),0,IF((YEAR(D183)+14)&gt;YEAR(E183),1,(12-MONTH(E183)+1)/12))) + (R183)*(IF((YEAR(D183)+14)&lt;YEAR(E183),0,IF((YEAR(D183)+14)&gt;YEAR(E183),1,(12-MONTH(E183)+1)/12))))-(IF((((K183)*(IF(M183="",L183,IFERROR(IF(INDEX(Variablen!$I:$AT, MATCH(M183, Variablen!$A:$A, 0), MATCH((YEAR(D183)+14), Variablen!$I$3:$AT$3, 0))="",L183,INDEX(Variablen!$I:$AT, MATCH(M183, Variablen!$A:$A, 0), MATCH((YEAR(D183)+14), Variablen!$I$3:$AT$3, 0))),L183)))*(IF((YEAR(D183)+14)&lt;YEAR(E183),0,IF((YEAR(D183)+14)&gt;YEAR(E183),1,(12-MONTH(E183)+1)/12))) + (Q183)*(IF((YEAR(D183)+14)&lt;YEAR(E183),0,IF((YEAR(D183)+14)&gt;YEAR(E183),1,(12-MONTH(E183)+1)/12))))-((P183)*(IF((YEAR(D183)+14)&lt;YEAR(E183),0,IF((YEAR(D183)+14)&gt;YEAR(E183),1,(12-MONTH(E183)+1)/12))) + (R183)*(IF((YEAR(D183)+14)&lt;YEAR(E183),0,IF((YEAR(D183)+14)&gt;YEAR(E183),1,(12-MONTH(E183)+1)/12))))-(IF(OR(N183="",N183&lt;=0),0,(O183/N183)*(IF(OR(N183="",N183&lt;=0),0,IF((YEAR(D183)+14)&lt;YEAR(E183),0,IF((YEAR(D183)+14)&gt;=YEAR(E183)+N183,0,IF((YEAR(D183)+14)=YEAR(E183),(12-MONTH(E183)+1)/12,1))))))))&gt;0,(((K183)*(IF(M183="",L183,IFERROR(IF(INDEX(Variablen!$I:$AT, MATCH(M183, Variablen!$A:$A, 0), MATCH((YEAR(D183)+14), Variablen!$I$3:$AT$3, 0))="",L183,INDEX(Variablen!$I:$AT, MATCH(M183, Variablen!$A:$A, 0), MATCH((YEAR(D183)+14), Variablen!$I$3:$AT$3, 0))),L183)))*(IF((YEAR(D183)+14)&lt;YEAR(E183),0,IF((YEAR(D183)+14)&gt;YEAR(E183),1,(12-MONTH(E183)+1)/12))) + (Q183)*(IF((YEAR(D183)+14)&lt;YEAR(E183),0,IF((YEAR(D183)+14)&gt;YEAR(E183),1,(12-MONTH(E183)+1)/12))))-((P183)*(IF((YEAR(D183)+14)&lt;YEAR(E183),0,IF((YEAR(D183)+14)&gt;YEAR(E183),1,(12-MONTH(E183)+1)/12))) + (R183)*(IF((YEAR(D183)+14)&lt;YEAR(E183),0,IF((YEAR(D183)+14)&gt;YEAR(E183),1,(12-MONTH(E183)+1)/12))))-(IF(OR(N183="",N183&lt;=0),0,(O183/N183)*(IF(OR(N183="",N183&lt;=0),0,IF((YEAR(D183)+14)&lt;YEAR(E183),0,IF((YEAR(D183)+14)&gt;=YEAR(E183)+N183,0,IF((YEAR(D183)+14)=YEAR(E183),(12-MONTH(E183)+1)/12,1))))))))*TaxRate,0))-IF(14=0,O183,0))</f>
        <v/>
      </c>
      <c r="AH183" s="29">
        <f>IF(A183="","",((K183)*(IF(M183="",L183,IFERROR(IF(INDEX(Variablen!$I:$AT, MATCH(M183, Variablen!$A:$A, 0), MATCH((YEAR(D183)+15), Variablen!$I$3:$AT$3, 0))="",L183,INDEX(Variablen!$I:$AT, MATCH(M183, Variablen!$A:$A, 0), MATCH((YEAR(D183)+15), Variablen!$I$3:$AT$3, 0))),L183)))*(IF((YEAR(D183)+15)&lt;YEAR(E183),0,IF((YEAR(D183)+15)&gt;YEAR(E183),1,(12-MONTH(E183)+1)/12))) + (Q183)*(IF((YEAR(D183)+15)&lt;YEAR(E183),0,IF((YEAR(D183)+15)&gt;YEAR(E183),1,(12-MONTH(E183)+1)/12))))-((P183)*(IF((YEAR(D183)+15)&lt;YEAR(E183),0,IF((YEAR(D183)+15)&gt;YEAR(E183),1,(12-MONTH(E183)+1)/12))) + (R183)*(IF((YEAR(D183)+15)&lt;YEAR(E183),0,IF((YEAR(D183)+15)&gt;YEAR(E183),1,(12-MONTH(E183)+1)/12))))-(IF((((K183)*(IF(M183="",L183,IFERROR(IF(INDEX(Variablen!$I:$AT, MATCH(M183, Variablen!$A:$A, 0), MATCH((YEAR(D183)+15), Variablen!$I$3:$AT$3, 0))="",L183,INDEX(Variablen!$I:$AT, MATCH(M183, Variablen!$A:$A, 0), MATCH((YEAR(D183)+15), Variablen!$I$3:$AT$3, 0))),L183)))*(IF((YEAR(D183)+15)&lt;YEAR(E183),0,IF((YEAR(D183)+15)&gt;YEAR(E183),1,(12-MONTH(E183)+1)/12))) + (Q183)*(IF((YEAR(D183)+15)&lt;YEAR(E183),0,IF((YEAR(D183)+15)&gt;YEAR(E183),1,(12-MONTH(E183)+1)/12))))-((P183)*(IF((YEAR(D183)+15)&lt;YEAR(E183),0,IF((YEAR(D183)+15)&gt;YEAR(E183),1,(12-MONTH(E183)+1)/12))) + (R183)*(IF((YEAR(D183)+15)&lt;YEAR(E183),0,IF((YEAR(D183)+15)&gt;YEAR(E183),1,(12-MONTH(E183)+1)/12))))-(IF(OR(N183="",N183&lt;=0),0,(O183/N183)*(IF(OR(N183="",N183&lt;=0),0,IF((YEAR(D183)+15)&lt;YEAR(E183),0,IF((YEAR(D183)+15)&gt;=YEAR(E183)+N183,0,IF((YEAR(D183)+15)=YEAR(E183),(12-MONTH(E183)+1)/12,1))))))))&gt;0,(((K183)*(IF(M183="",L183,IFERROR(IF(INDEX(Variablen!$I:$AT, MATCH(M183, Variablen!$A:$A, 0), MATCH((YEAR(D183)+15), Variablen!$I$3:$AT$3, 0))="",L183,INDEX(Variablen!$I:$AT, MATCH(M183, Variablen!$A:$A, 0), MATCH((YEAR(D183)+15), Variablen!$I$3:$AT$3, 0))),L183)))*(IF((YEAR(D183)+15)&lt;YEAR(E183),0,IF((YEAR(D183)+15)&gt;YEAR(E183),1,(12-MONTH(E183)+1)/12))) + (Q183)*(IF((YEAR(D183)+15)&lt;YEAR(E183),0,IF((YEAR(D183)+15)&gt;YEAR(E183),1,(12-MONTH(E183)+1)/12))))-((P183)*(IF((YEAR(D183)+15)&lt;YEAR(E183),0,IF((YEAR(D183)+15)&gt;YEAR(E183),1,(12-MONTH(E183)+1)/12))) + (R183)*(IF((YEAR(D183)+15)&lt;YEAR(E183),0,IF((YEAR(D183)+15)&gt;YEAR(E183),1,(12-MONTH(E183)+1)/12))))-(IF(OR(N183="",N183&lt;=0),0,(O183/N183)*(IF(OR(N183="",N183&lt;=0),0,IF((YEAR(D183)+15)&lt;YEAR(E183),0,IF((YEAR(D183)+15)&gt;=YEAR(E183)+N183,0,IF((YEAR(D183)+15)=YEAR(E183),(12-MONTH(E183)+1)/12,1))))))))*TaxRate,0))-IF(15=0,O183,0))</f>
        <v/>
      </c>
      <c r="AI183" s="29">
        <f>IF(A183="","",((K183)*(IF(M183="",L183,IFERROR(IF(INDEX(Variablen!$I:$AT, MATCH(M183, Variablen!$A:$A, 0), MATCH((YEAR(D183)+16), Variablen!$I$3:$AT$3, 0))="",L183,INDEX(Variablen!$I:$AT, MATCH(M183, Variablen!$A:$A, 0), MATCH((YEAR(D183)+16), Variablen!$I$3:$AT$3, 0))),L183)))*(IF((YEAR(D183)+16)&lt;YEAR(E183),0,IF((YEAR(D183)+16)&gt;YEAR(E183),1,(12-MONTH(E183)+1)/12))) + (Q183)*(IF((YEAR(D183)+16)&lt;YEAR(E183),0,IF((YEAR(D183)+16)&gt;YEAR(E183),1,(12-MONTH(E183)+1)/12))))-((P183)*(IF((YEAR(D183)+16)&lt;YEAR(E183),0,IF((YEAR(D183)+16)&gt;YEAR(E183),1,(12-MONTH(E183)+1)/12))) + (R183)*(IF((YEAR(D183)+16)&lt;YEAR(E183),0,IF((YEAR(D183)+16)&gt;YEAR(E183),1,(12-MONTH(E183)+1)/12))))-(IF((((K183)*(IF(M183="",L183,IFERROR(IF(INDEX(Variablen!$I:$AT, MATCH(M183, Variablen!$A:$A, 0), MATCH((YEAR(D183)+16), Variablen!$I$3:$AT$3, 0))="",L183,INDEX(Variablen!$I:$AT, MATCH(M183, Variablen!$A:$A, 0), MATCH((YEAR(D183)+16), Variablen!$I$3:$AT$3, 0))),L183)))*(IF((YEAR(D183)+16)&lt;YEAR(E183),0,IF((YEAR(D183)+16)&gt;YEAR(E183),1,(12-MONTH(E183)+1)/12))) + (Q183)*(IF((YEAR(D183)+16)&lt;YEAR(E183),0,IF((YEAR(D183)+16)&gt;YEAR(E183),1,(12-MONTH(E183)+1)/12))))-((P183)*(IF((YEAR(D183)+16)&lt;YEAR(E183),0,IF((YEAR(D183)+16)&gt;YEAR(E183),1,(12-MONTH(E183)+1)/12))) + (R183)*(IF((YEAR(D183)+16)&lt;YEAR(E183),0,IF((YEAR(D183)+16)&gt;YEAR(E183),1,(12-MONTH(E183)+1)/12))))-(IF(OR(N183="",N183&lt;=0),0,(O183/N183)*(IF(OR(N183="",N183&lt;=0),0,IF((YEAR(D183)+16)&lt;YEAR(E183),0,IF((YEAR(D183)+16)&gt;=YEAR(E183)+N183,0,IF((YEAR(D183)+16)=YEAR(E183),(12-MONTH(E183)+1)/12,1))))))))&gt;0,(((K183)*(IF(M183="",L183,IFERROR(IF(INDEX(Variablen!$I:$AT, MATCH(M183, Variablen!$A:$A, 0), MATCH((YEAR(D183)+16), Variablen!$I$3:$AT$3, 0))="",L183,INDEX(Variablen!$I:$AT, MATCH(M183, Variablen!$A:$A, 0), MATCH((YEAR(D183)+16), Variablen!$I$3:$AT$3, 0))),L183)))*(IF((YEAR(D183)+16)&lt;YEAR(E183),0,IF((YEAR(D183)+16)&gt;YEAR(E183),1,(12-MONTH(E183)+1)/12))) + (Q183)*(IF((YEAR(D183)+16)&lt;YEAR(E183),0,IF((YEAR(D183)+16)&gt;YEAR(E183),1,(12-MONTH(E183)+1)/12))))-((P183)*(IF((YEAR(D183)+16)&lt;YEAR(E183),0,IF((YEAR(D183)+16)&gt;YEAR(E183),1,(12-MONTH(E183)+1)/12))) + (R183)*(IF((YEAR(D183)+16)&lt;YEAR(E183),0,IF((YEAR(D183)+16)&gt;YEAR(E183),1,(12-MONTH(E183)+1)/12))))-(IF(OR(N183="",N183&lt;=0),0,(O183/N183)*(IF(OR(N183="",N183&lt;=0),0,IF((YEAR(D183)+16)&lt;YEAR(E183),0,IF((YEAR(D183)+16)&gt;=YEAR(E183)+N183,0,IF((YEAR(D183)+16)=YEAR(E183),(12-MONTH(E183)+1)/12,1))))))))*TaxRate,0))-IF(16=0,O183,0))</f>
        <v/>
      </c>
      <c r="AJ183" s="29">
        <f>IF(A183="","",((K183)*(IF(M183="",L183,IFERROR(IF(INDEX(Variablen!$I:$AT, MATCH(M183, Variablen!$A:$A, 0), MATCH((YEAR(D183)+17), Variablen!$I$3:$AT$3, 0))="",L183,INDEX(Variablen!$I:$AT, MATCH(M183, Variablen!$A:$A, 0), MATCH((YEAR(D183)+17), Variablen!$I$3:$AT$3, 0))),L183)))*(IF((YEAR(D183)+17)&lt;YEAR(E183),0,IF((YEAR(D183)+17)&gt;YEAR(E183),1,(12-MONTH(E183)+1)/12))) + (Q183)*(IF((YEAR(D183)+17)&lt;YEAR(E183),0,IF((YEAR(D183)+17)&gt;YEAR(E183),1,(12-MONTH(E183)+1)/12))))-((P183)*(IF((YEAR(D183)+17)&lt;YEAR(E183),0,IF((YEAR(D183)+17)&gt;YEAR(E183),1,(12-MONTH(E183)+1)/12))) + (R183)*(IF((YEAR(D183)+17)&lt;YEAR(E183),0,IF((YEAR(D183)+17)&gt;YEAR(E183),1,(12-MONTH(E183)+1)/12))))-(IF((((K183)*(IF(M183="",L183,IFERROR(IF(INDEX(Variablen!$I:$AT, MATCH(M183, Variablen!$A:$A, 0), MATCH((YEAR(D183)+17), Variablen!$I$3:$AT$3, 0))="",L183,INDEX(Variablen!$I:$AT, MATCH(M183, Variablen!$A:$A, 0), MATCH((YEAR(D183)+17), Variablen!$I$3:$AT$3, 0))),L183)))*(IF((YEAR(D183)+17)&lt;YEAR(E183),0,IF((YEAR(D183)+17)&gt;YEAR(E183),1,(12-MONTH(E183)+1)/12))) + (Q183)*(IF((YEAR(D183)+17)&lt;YEAR(E183),0,IF((YEAR(D183)+17)&gt;YEAR(E183),1,(12-MONTH(E183)+1)/12))))-((P183)*(IF((YEAR(D183)+17)&lt;YEAR(E183),0,IF((YEAR(D183)+17)&gt;YEAR(E183),1,(12-MONTH(E183)+1)/12))) + (R183)*(IF((YEAR(D183)+17)&lt;YEAR(E183),0,IF((YEAR(D183)+17)&gt;YEAR(E183),1,(12-MONTH(E183)+1)/12))))-(IF(OR(N183="",N183&lt;=0),0,(O183/N183)*(IF(OR(N183="",N183&lt;=0),0,IF((YEAR(D183)+17)&lt;YEAR(E183),0,IF((YEAR(D183)+17)&gt;=YEAR(E183)+N183,0,IF((YEAR(D183)+17)=YEAR(E183),(12-MONTH(E183)+1)/12,1))))))))&gt;0,(((K183)*(IF(M183="",L183,IFERROR(IF(INDEX(Variablen!$I:$AT, MATCH(M183, Variablen!$A:$A, 0), MATCH((YEAR(D183)+17), Variablen!$I$3:$AT$3, 0))="",L183,INDEX(Variablen!$I:$AT, MATCH(M183, Variablen!$A:$A, 0), MATCH((YEAR(D183)+17), Variablen!$I$3:$AT$3, 0))),L183)))*(IF((YEAR(D183)+17)&lt;YEAR(E183),0,IF((YEAR(D183)+17)&gt;YEAR(E183),1,(12-MONTH(E183)+1)/12))) + (Q183)*(IF((YEAR(D183)+17)&lt;YEAR(E183),0,IF((YEAR(D183)+17)&gt;YEAR(E183),1,(12-MONTH(E183)+1)/12))))-((P183)*(IF((YEAR(D183)+17)&lt;YEAR(E183),0,IF((YEAR(D183)+17)&gt;YEAR(E183),1,(12-MONTH(E183)+1)/12))) + (R183)*(IF((YEAR(D183)+17)&lt;YEAR(E183),0,IF((YEAR(D183)+17)&gt;YEAR(E183),1,(12-MONTH(E183)+1)/12))))-(IF(OR(N183="",N183&lt;=0),0,(O183/N183)*(IF(OR(N183="",N183&lt;=0),0,IF((YEAR(D183)+17)&lt;YEAR(E183),0,IF((YEAR(D183)+17)&gt;=YEAR(E183)+N183,0,IF((YEAR(D183)+17)=YEAR(E183),(12-MONTH(E183)+1)/12,1))))))))*TaxRate,0))-IF(17=0,O183,0))</f>
        <v/>
      </c>
      <c r="AK183" s="29">
        <f>IF(A183="","",((K183)*(IF(M183="",L183,IFERROR(IF(INDEX(Variablen!$I:$AT, MATCH(M183, Variablen!$A:$A, 0), MATCH((YEAR(D183)+18), Variablen!$I$3:$AT$3, 0))="",L183,INDEX(Variablen!$I:$AT, MATCH(M183, Variablen!$A:$A, 0), MATCH((YEAR(D183)+18), Variablen!$I$3:$AT$3, 0))),L183)))*(IF((YEAR(D183)+18)&lt;YEAR(E183),0,IF((YEAR(D183)+18)&gt;YEAR(E183),1,(12-MONTH(E183)+1)/12))) + (Q183)*(IF((YEAR(D183)+18)&lt;YEAR(E183),0,IF((YEAR(D183)+18)&gt;YEAR(E183),1,(12-MONTH(E183)+1)/12))))-((P183)*(IF((YEAR(D183)+18)&lt;YEAR(E183),0,IF((YEAR(D183)+18)&gt;YEAR(E183),1,(12-MONTH(E183)+1)/12))) + (R183)*(IF((YEAR(D183)+18)&lt;YEAR(E183),0,IF((YEAR(D183)+18)&gt;YEAR(E183),1,(12-MONTH(E183)+1)/12))))-(IF((((K183)*(IF(M183="",L183,IFERROR(IF(INDEX(Variablen!$I:$AT, MATCH(M183, Variablen!$A:$A, 0), MATCH((YEAR(D183)+18), Variablen!$I$3:$AT$3, 0))="",L183,INDEX(Variablen!$I:$AT, MATCH(M183, Variablen!$A:$A, 0), MATCH((YEAR(D183)+18), Variablen!$I$3:$AT$3, 0))),L183)))*(IF((YEAR(D183)+18)&lt;YEAR(E183),0,IF((YEAR(D183)+18)&gt;YEAR(E183),1,(12-MONTH(E183)+1)/12))) + (Q183)*(IF((YEAR(D183)+18)&lt;YEAR(E183),0,IF((YEAR(D183)+18)&gt;YEAR(E183),1,(12-MONTH(E183)+1)/12))))-((P183)*(IF((YEAR(D183)+18)&lt;YEAR(E183),0,IF((YEAR(D183)+18)&gt;YEAR(E183),1,(12-MONTH(E183)+1)/12))) + (R183)*(IF((YEAR(D183)+18)&lt;YEAR(E183),0,IF((YEAR(D183)+18)&gt;YEAR(E183),1,(12-MONTH(E183)+1)/12))))-(IF(OR(N183="",N183&lt;=0),0,(O183/N183)*(IF(OR(N183="",N183&lt;=0),0,IF((YEAR(D183)+18)&lt;YEAR(E183),0,IF((YEAR(D183)+18)&gt;=YEAR(E183)+N183,0,IF((YEAR(D183)+18)=YEAR(E183),(12-MONTH(E183)+1)/12,1))))))))&gt;0,(((K183)*(IF(M183="",L183,IFERROR(IF(INDEX(Variablen!$I:$AT, MATCH(M183, Variablen!$A:$A, 0), MATCH((YEAR(D183)+18), Variablen!$I$3:$AT$3, 0))="",L183,INDEX(Variablen!$I:$AT, MATCH(M183, Variablen!$A:$A, 0), MATCH((YEAR(D183)+18), Variablen!$I$3:$AT$3, 0))),L183)))*(IF((YEAR(D183)+18)&lt;YEAR(E183),0,IF((YEAR(D183)+18)&gt;YEAR(E183),1,(12-MONTH(E183)+1)/12))) + (Q183)*(IF((YEAR(D183)+18)&lt;YEAR(E183),0,IF((YEAR(D183)+18)&gt;YEAR(E183),1,(12-MONTH(E183)+1)/12))))-((P183)*(IF((YEAR(D183)+18)&lt;YEAR(E183),0,IF((YEAR(D183)+18)&gt;YEAR(E183),1,(12-MONTH(E183)+1)/12))) + (R183)*(IF((YEAR(D183)+18)&lt;YEAR(E183),0,IF((YEAR(D183)+18)&gt;YEAR(E183),1,(12-MONTH(E183)+1)/12))))-(IF(OR(N183="",N183&lt;=0),0,(O183/N183)*(IF(OR(N183="",N183&lt;=0),0,IF((YEAR(D183)+18)&lt;YEAR(E183),0,IF((YEAR(D183)+18)&gt;=YEAR(E183)+N183,0,IF((YEAR(D183)+18)=YEAR(E183),(12-MONTH(E183)+1)/12,1))))))))*TaxRate,0))-IF(18=0,O183,0))</f>
        <v/>
      </c>
      <c r="AL183" s="29">
        <f>IF(A183="","",((K183)*(IF(M183="",L183,IFERROR(IF(INDEX(Variablen!$I:$AT, MATCH(M183, Variablen!$A:$A, 0), MATCH((YEAR(D183)+19), Variablen!$I$3:$AT$3, 0))="",L183,INDEX(Variablen!$I:$AT, MATCH(M183, Variablen!$A:$A, 0), MATCH((YEAR(D183)+19), Variablen!$I$3:$AT$3, 0))),L183)))*(IF((YEAR(D183)+19)&lt;YEAR(E183),0,IF((YEAR(D183)+19)&gt;YEAR(E183),1,(12-MONTH(E183)+1)/12))) + (Q183)*(IF((YEAR(D183)+19)&lt;YEAR(E183),0,IF((YEAR(D183)+19)&gt;YEAR(E183),1,(12-MONTH(E183)+1)/12))))-((P183)*(IF((YEAR(D183)+19)&lt;YEAR(E183),0,IF((YEAR(D183)+19)&gt;YEAR(E183),1,(12-MONTH(E183)+1)/12))) + (R183)*(IF((YEAR(D183)+19)&lt;YEAR(E183),0,IF((YEAR(D183)+19)&gt;YEAR(E183),1,(12-MONTH(E183)+1)/12))))-(IF((((K183)*(IF(M183="",L183,IFERROR(IF(INDEX(Variablen!$I:$AT, MATCH(M183, Variablen!$A:$A, 0), MATCH((YEAR(D183)+19), Variablen!$I$3:$AT$3, 0))="",L183,INDEX(Variablen!$I:$AT, MATCH(M183, Variablen!$A:$A, 0), MATCH((YEAR(D183)+19), Variablen!$I$3:$AT$3, 0))),L183)))*(IF((YEAR(D183)+19)&lt;YEAR(E183),0,IF((YEAR(D183)+19)&gt;YEAR(E183),1,(12-MONTH(E183)+1)/12))) + (Q183)*(IF((YEAR(D183)+19)&lt;YEAR(E183),0,IF((YEAR(D183)+19)&gt;YEAR(E183),1,(12-MONTH(E183)+1)/12))))-((P183)*(IF((YEAR(D183)+19)&lt;YEAR(E183),0,IF((YEAR(D183)+19)&gt;YEAR(E183),1,(12-MONTH(E183)+1)/12))) + (R183)*(IF((YEAR(D183)+19)&lt;YEAR(E183),0,IF((YEAR(D183)+19)&gt;YEAR(E183),1,(12-MONTH(E183)+1)/12))))-(IF(OR(N183="",N183&lt;=0),0,(O183/N183)*(IF(OR(N183="",N183&lt;=0),0,IF((YEAR(D183)+19)&lt;YEAR(E183),0,IF((YEAR(D183)+19)&gt;=YEAR(E183)+N183,0,IF((YEAR(D183)+19)=YEAR(E183),(12-MONTH(E183)+1)/12,1))))))))&gt;0,(((K183)*(IF(M183="",L183,IFERROR(IF(INDEX(Variablen!$I:$AT, MATCH(M183, Variablen!$A:$A, 0), MATCH((YEAR(D183)+19), Variablen!$I$3:$AT$3, 0))="",L183,INDEX(Variablen!$I:$AT, MATCH(M183, Variablen!$A:$A, 0), MATCH((YEAR(D183)+19), Variablen!$I$3:$AT$3, 0))),L183)))*(IF((YEAR(D183)+19)&lt;YEAR(E183),0,IF((YEAR(D183)+19)&gt;YEAR(E183),1,(12-MONTH(E183)+1)/12))) + (Q183)*(IF((YEAR(D183)+19)&lt;YEAR(E183),0,IF((YEAR(D183)+19)&gt;YEAR(E183),1,(12-MONTH(E183)+1)/12))))-((P183)*(IF((YEAR(D183)+19)&lt;YEAR(E183),0,IF((YEAR(D183)+19)&gt;YEAR(E183),1,(12-MONTH(E183)+1)/12))) + (R183)*(IF((YEAR(D183)+19)&lt;YEAR(E183),0,IF((YEAR(D183)+19)&gt;YEAR(E183),1,(12-MONTH(E183)+1)/12))))-(IF(OR(N183="",N183&lt;=0),0,(O183/N183)*(IF(OR(N183="",N183&lt;=0),0,IF((YEAR(D183)+19)&lt;YEAR(E183),0,IF((YEAR(D183)+19)&gt;=YEAR(E183)+N183,0,IF((YEAR(D183)+19)=YEAR(E183),(12-MONTH(E183)+1)/12,1))))))))*TaxRate,0))-IF(19=0,O183,0))</f>
        <v/>
      </c>
      <c r="AM183" s="29">
        <f>IF(A183="","",((K183)*(IF(M183="",L183,IFERROR(IF(INDEX(Variablen!$I:$AT, MATCH(M183, Variablen!$A:$A, 0), MATCH((YEAR(D183)+20), Variablen!$I$3:$AT$3, 0))="",L183,INDEX(Variablen!$I:$AT, MATCH(M183, Variablen!$A:$A, 0), MATCH((YEAR(D183)+20), Variablen!$I$3:$AT$3, 0))),L183)))*(IF((YEAR(D183)+20)&lt;YEAR(E183),0,IF((YEAR(D183)+20)&gt;YEAR(E183),1,(12-MONTH(E183)+1)/12))) + (Q183)*(IF((YEAR(D183)+20)&lt;YEAR(E183),0,IF((YEAR(D183)+20)&gt;YEAR(E183),1,(12-MONTH(E183)+1)/12))))-((P183)*(IF((YEAR(D183)+20)&lt;YEAR(E183),0,IF((YEAR(D183)+20)&gt;YEAR(E183),1,(12-MONTH(E183)+1)/12))) + (R183)*(IF((YEAR(D183)+20)&lt;YEAR(E183),0,IF((YEAR(D183)+20)&gt;YEAR(E183),1,(12-MONTH(E183)+1)/12))))-(IF((((K183)*(IF(M183="",L183,IFERROR(IF(INDEX(Variablen!$I:$AT, MATCH(M183, Variablen!$A:$A, 0), MATCH((YEAR(D183)+20), Variablen!$I$3:$AT$3, 0))="",L183,INDEX(Variablen!$I:$AT, MATCH(M183, Variablen!$A:$A, 0), MATCH((YEAR(D183)+20), Variablen!$I$3:$AT$3, 0))),L183)))*(IF((YEAR(D183)+20)&lt;YEAR(E183),0,IF((YEAR(D183)+20)&gt;YEAR(E183),1,(12-MONTH(E183)+1)/12))) + (Q183)*(IF((YEAR(D183)+20)&lt;YEAR(E183),0,IF((YEAR(D183)+20)&gt;YEAR(E183),1,(12-MONTH(E183)+1)/12))))-((P183)*(IF((YEAR(D183)+20)&lt;YEAR(E183),0,IF((YEAR(D183)+20)&gt;YEAR(E183),1,(12-MONTH(E183)+1)/12))) + (R183)*(IF((YEAR(D183)+20)&lt;YEAR(E183),0,IF((YEAR(D183)+20)&gt;YEAR(E183),1,(12-MONTH(E183)+1)/12))))-(IF(OR(N183="",N183&lt;=0),0,(O183/N183)*(IF(OR(N183="",N183&lt;=0),0,IF((YEAR(D183)+20)&lt;YEAR(E183),0,IF((YEAR(D183)+20)&gt;=YEAR(E183)+N183,0,IF((YEAR(D183)+20)=YEAR(E183),(12-MONTH(E183)+1)/12,1))))))))&gt;0,(((K183)*(IF(M183="",L183,IFERROR(IF(INDEX(Variablen!$I:$AT, MATCH(M183, Variablen!$A:$A, 0), MATCH((YEAR(D183)+20), Variablen!$I$3:$AT$3, 0))="",L183,INDEX(Variablen!$I:$AT, MATCH(M183, Variablen!$A:$A, 0), MATCH((YEAR(D183)+20), Variablen!$I$3:$AT$3, 0))),L183)))*(IF((YEAR(D183)+20)&lt;YEAR(E183),0,IF((YEAR(D183)+20)&gt;YEAR(E183),1,(12-MONTH(E183)+1)/12))) + (Q183)*(IF((YEAR(D183)+20)&lt;YEAR(E183),0,IF((YEAR(D183)+20)&gt;YEAR(E183),1,(12-MONTH(E183)+1)/12))))-((P183)*(IF((YEAR(D183)+20)&lt;YEAR(E183),0,IF((YEAR(D183)+20)&gt;YEAR(E183),1,(12-MONTH(E183)+1)/12))) + (R183)*(IF((YEAR(D183)+20)&lt;YEAR(E183),0,IF((YEAR(D183)+20)&gt;YEAR(E183),1,(12-MONTH(E183)+1)/12))))-(IF(OR(N183="",N183&lt;=0),0,(O183/N183)*(IF(OR(N183="",N183&lt;=0),0,IF((YEAR(D183)+20)&lt;YEAR(E183),0,IF((YEAR(D183)+20)&gt;=YEAR(E183)+N183,0,IF((YEAR(D183)+20)=YEAR(E183),(12-MONTH(E183)+1)/12,1))))))))*TaxRate,0))-IF(20=0,O183,0))</f>
        <v/>
      </c>
      <c r="AN183" s="29">
        <f>IF(A183="","",S183)</f>
        <v/>
      </c>
      <c r="AO183" s="29">
        <f>IF(A183="","",AN183+T183)</f>
        <v/>
      </c>
      <c r="AP183" s="29">
        <f>IF(A183="","",AO183+U183)</f>
        <v/>
      </c>
      <c r="AQ183" s="29">
        <f>IF(A183="","",AP183+V183)</f>
        <v/>
      </c>
      <c r="AR183" s="29">
        <f>IF(A183="","",AQ183+W183)</f>
        <v/>
      </c>
      <c r="AS183" s="29">
        <f>IF(A183="","",AR183+X183)</f>
        <v/>
      </c>
      <c r="AT183" s="29">
        <f>IF(A183="","",AS183+Y183)</f>
        <v/>
      </c>
      <c r="AU183" s="29">
        <f>IF(A183="","",AT183+Z183)</f>
        <v/>
      </c>
      <c r="AV183" s="29">
        <f>IF(A183="","",AU183+AA183)</f>
        <v/>
      </c>
      <c r="AW183" s="29">
        <f>IF(A183="","",AV183+AB183)</f>
        <v/>
      </c>
      <c r="AX183" s="29">
        <f>IF(A183="","",AW183+AC183)</f>
        <v/>
      </c>
      <c r="AY183" s="29">
        <f>IF(A183="","",AX183+AD183)</f>
        <v/>
      </c>
      <c r="AZ183" s="29">
        <f>IF(A183="","",AY183+AE183)</f>
        <v/>
      </c>
      <c r="BA183" s="29">
        <f>IF(A183="","",AZ183+AF183)</f>
        <v/>
      </c>
      <c r="BB183" s="29">
        <f>IF(A183="","",BA183+AG183)</f>
        <v/>
      </c>
      <c r="BC183" s="29">
        <f>IF(A183="","",BB183+AH183)</f>
        <v/>
      </c>
      <c r="BD183" s="29">
        <f>IF(A183="","",BC183+AI183)</f>
        <v/>
      </c>
      <c r="BE183" s="29">
        <f>IF(A183="","",BD183+AJ183)</f>
        <v/>
      </c>
      <c r="BF183" s="29">
        <f>IF(A183="","",BE183+AK183)</f>
        <v/>
      </c>
      <c r="BG183" s="29">
        <f>IF(A183="","",BF183+AL183)</f>
        <v/>
      </c>
      <c r="BH183" s="29">
        <f>IF(A183="","",BG183+AM183)</f>
        <v/>
      </c>
      <c r="BI183" s="36">
        <f>IF(A183="","",(K183)*(IF((YEAR(D183)+0)&lt;YEAR(E183),0,IF((YEAR(D183)+0)&gt;YEAR(E183),1,(12-MONTH(E183)+1)/12)))*(1/(1+DiscountRate)^0))</f>
        <v/>
      </c>
      <c r="BJ183" s="36">
        <f>IF(A183="","",(K183)*(IF((YEAR(D183)+1)&lt;YEAR(E183),0,IF((YEAR(D183)+1)&gt;YEAR(E183),1,(12-MONTH(E183)+1)/12)))*(1/(1+DiscountRate)^1))</f>
        <v/>
      </c>
      <c r="BK183" s="36">
        <f>IF(A183="","",(K183)*(IF((YEAR(D183)+2)&lt;YEAR(E183),0,IF((YEAR(D183)+2)&gt;YEAR(E183),1,(12-MONTH(E183)+1)/12)))*(1/(1+DiscountRate)^2))</f>
        <v/>
      </c>
      <c r="BL183" s="36">
        <f>IF(A183="","",(K183)*(IF((YEAR(D183)+3)&lt;YEAR(E183),0,IF((YEAR(D183)+3)&gt;YEAR(E183),1,(12-MONTH(E183)+1)/12)))*(1/(1+DiscountRate)^3))</f>
        <v/>
      </c>
      <c r="BM183" s="36">
        <f>IF(A183="","",(K183)*(IF((YEAR(D183)+4)&lt;YEAR(E183),0,IF((YEAR(D183)+4)&gt;YEAR(E183),1,(12-MONTH(E183)+1)/12)))*(1/(1+DiscountRate)^4))</f>
        <v/>
      </c>
      <c r="BN183" s="36">
        <f>IF(A183="","",(K183)*(IF((YEAR(D183)+5)&lt;YEAR(E183),0,IF((YEAR(D183)+5)&gt;YEAR(E183),1,(12-MONTH(E183)+1)/12)))*(1/(1+DiscountRate)^5))</f>
        <v/>
      </c>
      <c r="BO183" s="36">
        <f>IF(A183="","",(K183)*(IF((YEAR(D183)+6)&lt;YEAR(E183),0,IF((YEAR(D183)+6)&gt;YEAR(E183),1,(12-MONTH(E183)+1)/12)))*(1/(1+DiscountRate)^6))</f>
        <v/>
      </c>
      <c r="BP183" s="36">
        <f>IF(A183="","",(K183)*(IF((YEAR(D183)+7)&lt;YEAR(E183),0,IF((YEAR(D183)+7)&gt;YEAR(E183),1,(12-MONTH(E183)+1)/12)))*(1/(1+DiscountRate)^7))</f>
        <v/>
      </c>
      <c r="BQ183" s="36">
        <f>IF(A183="","",(K183)*(IF((YEAR(D183)+8)&lt;YEAR(E183),0,IF((YEAR(D183)+8)&gt;YEAR(E183),1,(12-MONTH(E183)+1)/12)))*(1/(1+DiscountRate)^8))</f>
        <v/>
      </c>
      <c r="BR183" s="36">
        <f>IF(A183="","",(K183)*(IF((YEAR(D183)+9)&lt;YEAR(E183),0,IF((YEAR(D183)+9)&gt;YEAR(E183),1,(12-MONTH(E183)+1)/12)))*(1/(1+DiscountRate)^9))</f>
        <v/>
      </c>
      <c r="BS183" s="36">
        <f>IF(A183="","",(K183)*(IF((YEAR(D183)+10)&lt;YEAR(E183),0,IF((YEAR(D183)+10)&gt;YEAR(E183),1,(12-MONTH(E183)+1)/12)))*(1/(1+DiscountRate)^10))</f>
        <v/>
      </c>
      <c r="BT183" s="36">
        <f>IF(A183="","",(K183)*(IF((YEAR(D183)+11)&lt;YEAR(E183),0,IF((YEAR(D183)+11)&gt;YEAR(E183),1,(12-MONTH(E183)+1)/12)))*(1/(1+DiscountRate)^11))</f>
        <v/>
      </c>
      <c r="BU183" s="36">
        <f>IF(A183="","",(K183)*(IF((YEAR(D183)+12)&lt;YEAR(E183),0,IF((YEAR(D183)+12)&gt;YEAR(E183),1,(12-MONTH(E183)+1)/12)))*(1/(1+DiscountRate)^12))</f>
        <v/>
      </c>
      <c r="BV183" s="36">
        <f>IF(A183="","",(K183)*(IF((YEAR(D183)+13)&lt;YEAR(E183),0,IF((YEAR(D183)+13)&gt;YEAR(E183),1,(12-MONTH(E183)+1)/12)))*(1/(1+DiscountRate)^13))</f>
        <v/>
      </c>
      <c r="BW183" s="36">
        <f>IF(A183="","",(K183)*(IF((YEAR(D183)+14)&lt;YEAR(E183),0,IF((YEAR(D183)+14)&gt;YEAR(E183),1,(12-MONTH(E183)+1)/12)))*(1/(1+DiscountRate)^14))</f>
        <v/>
      </c>
      <c r="BX183" s="36">
        <f>IF(A183="","",(K183)*(IF((YEAR(D183)+15)&lt;YEAR(E183),0,IF((YEAR(D183)+15)&gt;YEAR(E183),1,(12-MONTH(E183)+1)/12)))*(1/(1+DiscountRate)^15))</f>
        <v/>
      </c>
      <c r="BY183" s="36">
        <f>IF(A183="","",(K183)*(IF((YEAR(D183)+16)&lt;YEAR(E183),0,IF((YEAR(D183)+16)&gt;YEAR(E183),1,(12-MONTH(E183)+1)/12)))*(1/(1+DiscountRate)^16))</f>
        <v/>
      </c>
      <c r="BZ183" s="36">
        <f>IF(A183="","",(K183)*(IF((YEAR(D183)+17)&lt;YEAR(E183),0,IF((YEAR(D183)+17)&gt;YEAR(E183),1,(12-MONTH(E183)+1)/12)))*(1/(1+DiscountRate)^17))</f>
        <v/>
      </c>
      <c r="CA183" s="36">
        <f>IF(A183="","",(K183)*(IF((YEAR(D183)+18)&lt;YEAR(E183),0,IF((YEAR(D183)+18)&gt;YEAR(E183),1,(12-MONTH(E183)+1)/12)))*(1/(1+DiscountRate)^18))</f>
        <v/>
      </c>
      <c r="CB183" s="36">
        <f>IF(A183="","",(K183)*(IF((YEAR(D183)+19)&lt;YEAR(E183),0,IF((YEAR(D183)+19)&gt;YEAR(E183),1,(12-MONTH(E183)+1)/12)))*(1/(1+DiscountRate)^19))</f>
        <v/>
      </c>
      <c r="CC183" s="36">
        <f>IF(A183="","",(K183)*(IF((YEAR(D183)+20)&lt;YEAR(E183),0,IF((YEAR(D183)+20)&gt;YEAR(E183),1,(12-MONTH(E183)+1)/12)))*(1/(1+DiscountRate)^20))</f>
        <v/>
      </c>
      <c r="CD183" s="29">
        <f>IF(A183="","",S183/(1+DiscountRate)^0+T183/(1+DiscountRate)^1+U183/(1+DiscountRate)^2+V183/(1+DiscountRate)^3+W183/(1+DiscountRate)^4+X183/(1+DiscountRate)^5+Y183/(1+DiscountRate)^6+Z183/(1+DiscountRate)^7+AA183/(1+DiscountRate)^8+AB183/(1+DiscountRate)^9+AC183/(1+DiscountRate)^10+AD183/(1+DiscountRate)^11+AE183/(1+DiscountRate)^12+AF183/(1+DiscountRate)^13+AG183/(1+DiscountRate)^14+AH183/(1+DiscountRate)^15+AI183/(1+DiscountRate)^16+AJ183/(1+DiscountRate)^17+AK183/(1+DiscountRate)^18+AL183/(1+DiscountRate)^19+AM183/(1+DiscountRate)^20)</f>
        <v/>
      </c>
      <c r="CE183" s="37">
        <f>IF(A183="","",IFERROR(IRR(OFFSET(S183,0,0,1,MIN(HorizonYears,20)+1)),"n/a"))</f>
        <v/>
      </c>
      <c r="CF183" s="28">
        <f>IF(A183="","",IFERROR(MATCH(TRUE,OFFSET(AN183,0,0,1,MIN(HorizonYears,20)+1)&gt;=0,0)-1,"n/a"))</f>
        <v/>
      </c>
      <c r="CG183" s="36">
        <f>IF(A183="","",SUM(OFFSET(BI183,0,0,1,MIN(HorizonYears,20)+1)))</f>
        <v/>
      </c>
      <c r="CH183" s="36">
        <f>IF(A183="","",IFERROR(-CD183/CG183,"n/a"))</f>
        <v/>
      </c>
    </row>
    <row r="184">
      <c r="A184" s="6">
        <f>Actions!A182</f>
        <v/>
      </c>
      <c r="B184" s="6">
        <f>Actions!B182</f>
        <v/>
      </c>
      <c r="C184" s="6">
        <f>Actions!D182</f>
        <v/>
      </c>
      <c r="D184" s="35">
        <f>Actions!E182</f>
        <v/>
      </c>
      <c r="E184" s="35">
        <f>Actions!F182</f>
        <v/>
      </c>
      <c r="F184" s="6">
        <f>Actions!G182</f>
        <v/>
      </c>
      <c r="G184" s="6">
        <f>Actions!H182</f>
        <v/>
      </c>
      <c r="H184" s="29">
        <f>Actions!I182</f>
        <v/>
      </c>
      <c r="I184" s="6">
        <f>Actions!J182</f>
        <v/>
      </c>
      <c r="J184" s="16">
        <f>Actions!K182</f>
        <v/>
      </c>
      <c r="K184" s="16">
        <f>IF(A184="","",IF(I184="%",H184*J184,J184))</f>
        <v/>
      </c>
      <c r="L184" s="16">
        <f>Actions!L182</f>
        <v/>
      </c>
      <c r="M184" s="6">
        <f>Actions!M182</f>
        <v/>
      </c>
      <c r="N184" s="28">
        <f>Actions!N182</f>
        <v/>
      </c>
      <c r="O184" s="29">
        <f>Actions!T182</f>
        <v/>
      </c>
      <c r="P184" s="29">
        <f>Actions!Y182</f>
        <v/>
      </c>
      <c r="Q184" s="29">
        <f>Actions!Z182</f>
        <v/>
      </c>
      <c r="R184" s="29">
        <f>Actions!AA182</f>
        <v/>
      </c>
      <c r="S184" s="29">
        <f>IF(A184="","",((K184)*(IF(M184="",L184,IFERROR(IF(INDEX(Variablen!$I:$AT, MATCH(M184, Variablen!$A:$A, 0), MATCH((YEAR(D184)+0), Variablen!$I$3:$AT$3, 0))="",L184,INDEX(Variablen!$I:$AT, MATCH(M184, Variablen!$A:$A, 0), MATCH((YEAR(D184)+0), Variablen!$I$3:$AT$3, 0))),L184)))*(IF((YEAR(D184)+0)&lt;YEAR(E184),0,IF((YEAR(D184)+0)&gt;YEAR(E184),1,(12-MONTH(E184)+1)/12))) + (Q184)*(IF((YEAR(D184)+0)&lt;YEAR(E184),0,IF((YEAR(D184)+0)&gt;YEAR(E184),1,(12-MONTH(E184)+1)/12))))-((P184)*(IF((YEAR(D184)+0)&lt;YEAR(E184),0,IF((YEAR(D184)+0)&gt;YEAR(E184),1,(12-MONTH(E184)+1)/12))) + (R184)*(IF((YEAR(D184)+0)&lt;YEAR(E184),0,IF((YEAR(D184)+0)&gt;YEAR(E184),1,(12-MONTH(E184)+1)/12))))-(IF((((K184)*(IF(M184="",L184,IFERROR(IF(INDEX(Variablen!$I:$AT, MATCH(M184, Variablen!$A:$A, 0), MATCH((YEAR(D184)+0), Variablen!$I$3:$AT$3, 0))="",L184,INDEX(Variablen!$I:$AT, MATCH(M184, Variablen!$A:$A, 0), MATCH((YEAR(D184)+0), Variablen!$I$3:$AT$3, 0))),L184)))*(IF((YEAR(D184)+0)&lt;YEAR(E184),0,IF((YEAR(D184)+0)&gt;YEAR(E184),1,(12-MONTH(E184)+1)/12))) + (Q184)*(IF((YEAR(D184)+0)&lt;YEAR(E184),0,IF((YEAR(D184)+0)&gt;YEAR(E184),1,(12-MONTH(E184)+1)/12))))-((P184)*(IF((YEAR(D184)+0)&lt;YEAR(E184),0,IF((YEAR(D184)+0)&gt;YEAR(E184),1,(12-MONTH(E184)+1)/12))) + (R184)*(IF((YEAR(D184)+0)&lt;YEAR(E184),0,IF((YEAR(D184)+0)&gt;YEAR(E184),1,(12-MONTH(E184)+1)/12))))-(IF(OR(N184="",N184&lt;=0),0,(O184/N184)*(IF(OR(N184="",N184&lt;=0),0,IF((YEAR(D184)+0)&lt;YEAR(E184),0,IF((YEAR(D184)+0)&gt;=YEAR(E184)+N184,0,IF((YEAR(D184)+0)=YEAR(E184),(12-MONTH(E184)+1)/12,1))))))))&gt;0,(((K184)*(IF(M184="",L184,IFERROR(IF(INDEX(Variablen!$I:$AT, MATCH(M184, Variablen!$A:$A, 0), MATCH((YEAR(D184)+0), Variablen!$I$3:$AT$3, 0))="",L184,INDEX(Variablen!$I:$AT, MATCH(M184, Variablen!$A:$A, 0), MATCH((YEAR(D184)+0), Variablen!$I$3:$AT$3, 0))),L184)))*(IF((YEAR(D184)+0)&lt;YEAR(E184),0,IF((YEAR(D184)+0)&gt;YEAR(E184),1,(12-MONTH(E184)+1)/12))) + (Q184)*(IF((YEAR(D184)+0)&lt;YEAR(E184),0,IF((YEAR(D184)+0)&gt;YEAR(E184),1,(12-MONTH(E184)+1)/12))))-((P184)*(IF((YEAR(D184)+0)&lt;YEAR(E184),0,IF((YEAR(D184)+0)&gt;YEAR(E184),1,(12-MONTH(E184)+1)/12))) + (R184)*(IF((YEAR(D184)+0)&lt;YEAR(E184),0,IF((YEAR(D184)+0)&gt;YEAR(E184),1,(12-MONTH(E184)+1)/12))))-(IF(OR(N184="",N184&lt;=0),0,(O184/N184)*(IF(OR(N184="",N184&lt;=0),0,IF((YEAR(D184)+0)&lt;YEAR(E184),0,IF((YEAR(D184)+0)&gt;=YEAR(E184)+N184,0,IF((YEAR(D184)+0)=YEAR(E184),(12-MONTH(E184)+1)/12,1))))))))*TaxRate,0))-IF(0=0,O184,0))</f>
        <v/>
      </c>
      <c r="T184" s="29">
        <f>IF(A184="","",((K184)*(IF(M184="",L184,IFERROR(IF(INDEX(Variablen!$I:$AT, MATCH(M184, Variablen!$A:$A, 0), MATCH((YEAR(D184)+1), Variablen!$I$3:$AT$3, 0))="",L184,INDEX(Variablen!$I:$AT, MATCH(M184, Variablen!$A:$A, 0), MATCH((YEAR(D184)+1), Variablen!$I$3:$AT$3, 0))),L184)))*(IF((YEAR(D184)+1)&lt;YEAR(E184),0,IF((YEAR(D184)+1)&gt;YEAR(E184),1,(12-MONTH(E184)+1)/12))) + (Q184)*(IF((YEAR(D184)+1)&lt;YEAR(E184),0,IF((YEAR(D184)+1)&gt;YEAR(E184),1,(12-MONTH(E184)+1)/12))))-((P184)*(IF((YEAR(D184)+1)&lt;YEAR(E184),0,IF((YEAR(D184)+1)&gt;YEAR(E184),1,(12-MONTH(E184)+1)/12))) + (R184)*(IF((YEAR(D184)+1)&lt;YEAR(E184),0,IF((YEAR(D184)+1)&gt;YEAR(E184),1,(12-MONTH(E184)+1)/12))))-(IF((((K184)*(IF(M184="",L184,IFERROR(IF(INDEX(Variablen!$I:$AT, MATCH(M184, Variablen!$A:$A, 0), MATCH((YEAR(D184)+1), Variablen!$I$3:$AT$3, 0))="",L184,INDEX(Variablen!$I:$AT, MATCH(M184, Variablen!$A:$A, 0), MATCH((YEAR(D184)+1), Variablen!$I$3:$AT$3, 0))),L184)))*(IF((YEAR(D184)+1)&lt;YEAR(E184),0,IF((YEAR(D184)+1)&gt;YEAR(E184),1,(12-MONTH(E184)+1)/12))) + (Q184)*(IF((YEAR(D184)+1)&lt;YEAR(E184),0,IF((YEAR(D184)+1)&gt;YEAR(E184),1,(12-MONTH(E184)+1)/12))))-((P184)*(IF((YEAR(D184)+1)&lt;YEAR(E184),0,IF((YEAR(D184)+1)&gt;YEAR(E184),1,(12-MONTH(E184)+1)/12))) + (R184)*(IF((YEAR(D184)+1)&lt;YEAR(E184),0,IF((YEAR(D184)+1)&gt;YEAR(E184),1,(12-MONTH(E184)+1)/12))))-(IF(OR(N184="",N184&lt;=0),0,(O184/N184)*(IF(OR(N184="",N184&lt;=0),0,IF((YEAR(D184)+1)&lt;YEAR(E184),0,IF((YEAR(D184)+1)&gt;=YEAR(E184)+N184,0,IF((YEAR(D184)+1)=YEAR(E184),(12-MONTH(E184)+1)/12,1))))))))&gt;0,(((K184)*(IF(M184="",L184,IFERROR(IF(INDEX(Variablen!$I:$AT, MATCH(M184, Variablen!$A:$A, 0), MATCH((YEAR(D184)+1), Variablen!$I$3:$AT$3, 0))="",L184,INDEX(Variablen!$I:$AT, MATCH(M184, Variablen!$A:$A, 0), MATCH((YEAR(D184)+1), Variablen!$I$3:$AT$3, 0))),L184)))*(IF((YEAR(D184)+1)&lt;YEAR(E184),0,IF((YEAR(D184)+1)&gt;YEAR(E184),1,(12-MONTH(E184)+1)/12))) + (Q184)*(IF((YEAR(D184)+1)&lt;YEAR(E184),0,IF((YEAR(D184)+1)&gt;YEAR(E184),1,(12-MONTH(E184)+1)/12))))-((P184)*(IF((YEAR(D184)+1)&lt;YEAR(E184),0,IF((YEAR(D184)+1)&gt;YEAR(E184),1,(12-MONTH(E184)+1)/12))) + (R184)*(IF((YEAR(D184)+1)&lt;YEAR(E184),0,IF((YEAR(D184)+1)&gt;YEAR(E184),1,(12-MONTH(E184)+1)/12))))-(IF(OR(N184="",N184&lt;=0),0,(O184/N184)*(IF(OR(N184="",N184&lt;=0),0,IF((YEAR(D184)+1)&lt;YEAR(E184),0,IF((YEAR(D184)+1)&gt;=YEAR(E184)+N184,0,IF((YEAR(D184)+1)=YEAR(E184),(12-MONTH(E184)+1)/12,1))))))))*TaxRate,0))-IF(1=0,O184,0))</f>
        <v/>
      </c>
      <c r="U184" s="29">
        <f>IF(A184="","",((K184)*(IF(M184="",L184,IFERROR(IF(INDEX(Variablen!$I:$AT, MATCH(M184, Variablen!$A:$A, 0), MATCH((YEAR(D184)+2), Variablen!$I$3:$AT$3, 0))="",L184,INDEX(Variablen!$I:$AT, MATCH(M184, Variablen!$A:$A, 0), MATCH((YEAR(D184)+2), Variablen!$I$3:$AT$3, 0))),L184)))*(IF((YEAR(D184)+2)&lt;YEAR(E184),0,IF((YEAR(D184)+2)&gt;YEAR(E184),1,(12-MONTH(E184)+1)/12))) + (Q184)*(IF((YEAR(D184)+2)&lt;YEAR(E184),0,IF((YEAR(D184)+2)&gt;YEAR(E184),1,(12-MONTH(E184)+1)/12))))-((P184)*(IF((YEAR(D184)+2)&lt;YEAR(E184),0,IF((YEAR(D184)+2)&gt;YEAR(E184),1,(12-MONTH(E184)+1)/12))) + (R184)*(IF((YEAR(D184)+2)&lt;YEAR(E184),0,IF((YEAR(D184)+2)&gt;YEAR(E184),1,(12-MONTH(E184)+1)/12))))-(IF((((K184)*(IF(M184="",L184,IFERROR(IF(INDEX(Variablen!$I:$AT, MATCH(M184, Variablen!$A:$A, 0), MATCH((YEAR(D184)+2), Variablen!$I$3:$AT$3, 0))="",L184,INDEX(Variablen!$I:$AT, MATCH(M184, Variablen!$A:$A, 0), MATCH((YEAR(D184)+2), Variablen!$I$3:$AT$3, 0))),L184)))*(IF((YEAR(D184)+2)&lt;YEAR(E184),0,IF((YEAR(D184)+2)&gt;YEAR(E184),1,(12-MONTH(E184)+1)/12))) + (Q184)*(IF((YEAR(D184)+2)&lt;YEAR(E184),0,IF((YEAR(D184)+2)&gt;YEAR(E184),1,(12-MONTH(E184)+1)/12))))-((P184)*(IF((YEAR(D184)+2)&lt;YEAR(E184),0,IF((YEAR(D184)+2)&gt;YEAR(E184),1,(12-MONTH(E184)+1)/12))) + (R184)*(IF((YEAR(D184)+2)&lt;YEAR(E184),0,IF((YEAR(D184)+2)&gt;YEAR(E184),1,(12-MONTH(E184)+1)/12))))-(IF(OR(N184="",N184&lt;=0),0,(O184/N184)*(IF(OR(N184="",N184&lt;=0),0,IF((YEAR(D184)+2)&lt;YEAR(E184),0,IF((YEAR(D184)+2)&gt;=YEAR(E184)+N184,0,IF((YEAR(D184)+2)=YEAR(E184),(12-MONTH(E184)+1)/12,1))))))))&gt;0,(((K184)*(IF(M184="",L184,IFERROR(IF(INDEX(Variablen!$I:$AT, MATCH(M184, Variablen!$A:$A, 0), MATCH((YEAR(D184)+2), Variablen!$I$3:$AT$3, 0))="",L184,INDEX(Variablen!$I:$AT, MATCH(M184, Variablen!$A:$A, 0), MATCH((YEAR(D184)+2), Variablen!$I$3:$AT$3, 0))),L184)))*(IF((YEAR(D184)+2)&lt;YEAR(E184),0,IF((YEAR(D184)+2)&gt;YEAR(E184),1,(12-MONTH(E184)+1)/12))) + (Q184)*(IF((YEAR(D184)+2)&lt;YEAR(E184),0,IF((YEAR(D184)+2)&gt;YEAR(E184),1,(12-MONTH(E184)+1)/12))))-((P184)*(IF((YEAR(D184)+2)&lt;YEAR(E184),0,IF((YEAR(D184)+2)&gt;YEAR(E184),1,(12-MONTH(E184)+1)/12))) + (R184)*(IF((YEAR(D184)+2)&lt;YEAR(E184),0,IF((YEAR(D184)+2)&gt;YEAR(E184),1,(12-MONTH(E184)+1)/12))))-(IF(OR(N184="",N184&lt;=0),0,(O184/N184)*(IF(OR(N184="",N184&lt;=0),0,IF((YEAR(D184)+2)&lt;YEAR(E184),0,IF((YEAR(D184)+2)&gt;=YEAR(E184)+N184,0,IF((YEAR(D184)+2)=YEAR(E184),(12-MONTH(E184)+1)/12,1))))))))*TaxRate,0))-IF(2=0,O184,0))</f>
        <v/>
      </c>
      <c r="V184" s="29">
        <f>IF(A184="","",((K184)*(IF(M184="",L184,IFERROR(IF(INDEX(Variablen!$I:$AT, MATCH(M184, Variablen!$A:$A, 0), MATCH((YEAR(D184)+3), Variablen!$I$3:$AT$3, 0))="",L184,INDEX(Variablen!$I:$AT, MATCH(M184, Variablen!$A:$A, 0), MATCH((YEAR(D184)+3), Variablen!$I$3:$AT$3, 0))),L184)))*(IF((YEAR(D184)+3)&lt;YEAR(E184),0,IF((YEAR(D184)+3)&gt;YEAR(E184),1,(12-MONTH(E184)+1)/12))) + (Q184)*(IF((YEAR(D184)+3)&lt;YEAR(E184),0,IF((YEAR(D184)+3)&gt;YEAR(E184),1,(12-MONTH(E184)+1)/12))))-((P184)*(IF((YEAR(D184)+3)&lt;YEAR(E184),0,IF((YEAR(D184)+3)&gt;YEAR(E184),1,(12-MONTH(E184)+1)/12))) + (R184)*(IF((YEAR(D184)+3)&lt;YEAR(E184),0,IF((YEAR(D184)+3)&gt;YEAR(E184),1,(12-MONTH(E184)+1)/12))))-(IF((((K184)*(IF(M184="",L184,IFERROR(IF(INDEX(Variablen!$I:$AT, MATCH(M184, Variablen!$A:$A, 0), MATCH((YEAR(D184)+3), Variablen!$I$3:$AT$3, 0))="",L184,INDEX(Variablen!$I:$AT, MATCH(M184, Variablen!$A:$A, 0), MATCH((YEAR(D184)+3), Variablen!$I$3:$AT$3, 0))),L184)))*(IF((YEAR(D184)+3)&lt;YEAR(E184),0,IF((YEAR(D184)+3)&gt;YEAR(E184),1,(12-MONTH(E184)+1)/12))) + (Q184)*(IF((YEAR(D184)+3)&lt;YEAR(E184),0,IF((YEAR(D184)+3)&gt;YEAR(E184),1,(12-MONTH(E184)+1)/12))))-((P184)*(IF((YEAR(D184)+3)&lt;YEAR(E184),0,IF((YEAR(D184)+3)&gt;YEAR(E184),1,(12-MONTH(E184)+1)/12))) + (R184)*(IF((YEAR(D184)+3)&lt;YEAR(E184),0,IF((YEAR(D184)+3)&gt;YEAR(E184),1,(12-MONTH(E184)+1)/12))))-(IF(OR(N184="",N184&lt;=0),0,(O184/N184)*(IF(OR(N184="",N184&lt;=0),0,IF((YEAR(D184)+3)&lt;YEAR(E184),0,IF((YEAR(D184)+3)&gt;=YEAR(E184)+N184,0,IF((YEAR(D184)+3)=YEAR(E184),(12-MONTH(E184)+1)/12,1))))))))&gt;0,(((K184)*(IF(M184="",L184,IFERROR(IF(INDEX(Variablen!$I:$AT, MATCH(M184, Variablen!$A:$A, 0), MATCH((YEAR(D184)+3), Variablen!$I$3:$AT$3, 0))="",L184,INDEX(Variablen!$I:$AT, MATCH(M184, Variablen!$A:$A, 0), MATCH((YEAR(D184)+3), Variablen!$I$3:$AT$3, 0))),L184)))*(IF((YEAR(D184)+3)&lt;YEAR(E184),0,IF((YEAR(D184)+3)&gt;YEAR(E184),1,(12-MONTH(E184)+1)/12))) + (Q184)*(IF((YEAR(D184)+3)&lt;YEAR(E184),0,IF((YEAR(D184)+3)&gt;YEAR(E184),1,(12-MONTH(E184)+1)/12))))-((P184)*(IF((YEAR(D184)+3)&lt;YEAR(E184),0,IF((YEAR(D184)+3)&gt;YEAR(E184),1,(12-MONTH(E184)+1)/12))) + (R184)*(IF((YEAR(D184)+3)&lt;YEAR(E184),0,IF((YEAR(D184)+3)&gt;YEAR(E184),1,(12-MONTH(E184)+1)/12))))-(IF(OR(N184="",N184&lt;=0),0,(O184/N184)*(IF(OR(N184="",N184&lt;=0),0,IF((YEAR(D184)+3)&lt;YEAR(E184),0,IF((YEAR(D184)+3)&gt;=YEAR(E184)+N184,0,IF((YEAR(D184)+3)=YEAR(E184),(12-MONTH(E184)+1)/12,1))))))))*TaxRate,0))-IF(3=0,O184,0))</f>
        <v/>
      </c>
      <c r="W184" s="29">
        <f>IF(A184="","",((K184)*(IF(M184="",L184,IFERROR(IF(INDEX(Variablen!$I:$AT, MATCH(M184, Variablen!$A:$A, 0), MATCH((YEAR(D184)+4), Variablen!$I$3:$AT$3, 0))="",L184,INDEX(Variablen!$I:$AT, MATCH(M184, Variablen!$A:$A, 0), MATCH((YEAR(D184)+4), Variablen!$I$3:$AT$3, 0))),L184)))*(IF((YEAR(D184)+4)&lt;YEAR(E184),0,IF((YEAR(D184)+4)&gt;YEAR(E184),1,(12-MONTH(E184)+1)/12))) + (Q184)*(IF((YEAR(D184)+4)&lt;YEAR(E184),0,IF((YEAR(D184)+4)&gt;YEAR(E184),1,(12-MONTH(E184)+1)/12))))-((P184)*(IF((YEAR(D184)+4)&lt;YEAR(E184),0,IF((YEAR(D184)+4)&gt;YEAR(E184),1,(12-MONTH(E184)+1)/12))) + (R184)*(IF((YEAR(D184)+4)&lt;YEAR(E184),0,IF((YEAR(D184)+4)&gt;YEAR(E184),1,(12-MONTH(E184)+1)/12))))-(IF((((K184)*(IF(M184="",L184,IFERROR(IF(INDEX(Variablen!$I:$AT, MATCH(M184, Variablen!$A:$A, 0), MATCH((YEAR(D184)+4), Variablen!$I$3:$AT$3, 0))="",L184,INDEX(Variablen!$I:$AT, MATCH(M184, Variablen!$A:$A, 0), MATCH((YEAR(D184)+4), Variablen!$I$3:$AT$3, 0))),L184)))*(IF((YEAR(D184)+4)&lt;YEAR(E184),0,IF((YEAR(D184)+4)&gt;YEAR(E184),1,(12-MONTH(E184)+1)/12))) + (Q184)*(IF((YEAR(D184)+4)&lt;YEAR(E184),0,IF((YEAR(D184)+4)&gt;YEAR(E184),1,(12-MONTH(E184)+1)/12))))-((P184)*(IF((YEAR(D184)+4)&lt;YEAR(E184),0,IF((YEAR(D184)+4)&gt;YEAR(E184),1,(12-MONTH(E184)+1)/12))) + (R184)*(IF((YEAR(D184)+4)&lt;YEAR(E184),0,IF((YEAR(D184)+4)&gt;YEAR(E184),1,(12-MONTH(E184)+1)/12))))-(IF(OR(N184="",N184&lt;=0),0,(O184/N184)*(IF(OR(N184="",N184&lt;=0),0,IF((YEAR(D184)+4)&lt;YEAR(E184),0,IF((YEAR(D184)+4)&gt;=YEAR(E184)+N184,0,IF((YEAR(D184)+4)=YEAR(E184),(12-MONTH(E184)+1)/12,1))))))))&gt;0,(((K184)*(IF(M184="",L184,IFERROR(IF(INDEX(Variablen!$I:$AT, MATCH(M184, Variablen!$A:$A, 0), MATCH((YEAR(D184)+4), Variablen!$I$3:$AT$3, 0))="",L184,INDEX(Variablen!$I:$AT, MATCH(M184, Variablen!$A:$A, 0), MATCH((YEAR(D184)+4), Variablen!$I$3:$AT$3, 0))),L184)))*(IF((YEAR(D184)+4)&lt;YEAR(E184),0,IF((YEAR(D184)+4)&gt;YEAR(E184),1,(12-MONTH(E184)+1)/12))) + (Q184)*(IF((YEAR(D184)+4)&lt;YEAR(E184),0,IF((YEAR(D184)+4)&gt;YEAR(E184),1,(12-MONTH(E184)+1)/12))))-((P184)*(IF((YEAR(D184)+4)&lt;YEAR(E184),0,IF((YEAR(D184)+4)&gt;YEAR(E184),1,(12-MONTH(E184)+1)/12))) + (R184)*(IF((YEAR(D184)+4)&lt;YEAR(E184),0,IF((YEAR(D184)+4)&gt;YEAR(E184),1,(12-MONTH(E184)+1)/12))))-(IF(OR(N184="",N184&lt;=0),0,(O184/N184)*(IF(OR(N184="",N184&lt;=0),0,IF((YEAR(D184)+4)&lt;YEAR(E184),0,IF((YEAR(D184)+4)&gt;=YEAR(E184)+N184,0,IF((YEAR(D184)+4)=YEAR(E184),(12-MONTH(E184)+1)/12,1))))))))*TaxRate,0))-IF(4=0,O184,0))</f>
        <v/>
      </c>
      <c r="X184" s="29">
        <f>IF(A184="","",((K184)*(IF(M184="",L184,IFERROR(IF(INDEX(Variablen!$I:$AT, MATCH(M184, Variablen!$A:$A, 0), MATCH((YEAR(D184)+5), Variablen!$I$3:$AT$3, 0))="",L184,INDEX(Variablen!$I:$AT, MATCH(M184, Variablen!$A:$A, 0), MATCH((YEAR(D184)+5), Variablen!$I$3:$AT$3, 0))),L184)))*(IF((YEAR(D184)+5)&lt;YEAR(E184),0,IF((YEAR(D184)+5)&gt;YEAR(E184),1,(12-MONTH(E184)+1)/12))) + (Q184)*(IF((YEAR(D184)+5)&lt;YEAR(E184),0,IF((YEAR(D184)+5)&gt;YEAR(E184),1,(12-MONTH(E184)+1)/12))))-((P184)*(IF((YEAR(D184)+5)&lt;YEAR(E184),0,IF((YEAR(D184)+5)&gt;YEAR(E184),1,(12-MONTH(E184)+1)/12))) + (R184)*(IF((YEAR(D184)+5)&lt;YEAR(E184),0,IF((YEAR(D184)+5)&gt;YEAR(E184),1,(12-MONTH(E184)+1)/12))))-(IF((((K184)*(IF(M184="",L184,IFERROR(IF(INDEX(Variablen!$I:$AT, MATCH(M184, Variablen!$A:$A, 0), MATCH((YEAR(D184)+5), Variablen!$I$3:$AT$3, 0))="",L184,INDEX(Variablen!$I:$AT, MATCH(M184, Variablen!$A:$A, 0), MATCH((YEAR(D184)+5), Variablen!$I$3:$AT$3, 0))),L184)))*(IF((YEAR(D184)+5)&lt;YEAR(E184),0,IF((YEAR(D184)+5)&gt;YEAR(E184),1,(12-MONTH(E184)+1)/12))) + (Q184)*(IF((YEAR(D184)+5)&lt;YEAR(E184),0,IF((YEAR(D184)+5)&gt;YEAR(E184),1,(12-MONTH(E184)+1)/12))))-((P184)*(IF((YEAR(D184)+5)&lt;YEAR(E184),0,IF((YEAR(D184)+5)&gt;YEAR(E184),1,(12-MONTH(E184)+1)/12))) + (R184)*(IF((YEAR(D184)+5)&lt;YEAR(E184),0,IF((YEAR(D184)+5)&gt;YEAR(E184),1,(12-MONTH(E184)+1)/12))))-(IF(OR(N184="",N184&lt;=0),0,(O184/N184)*(IF(OR(N184="",N184&lt;=0),0,IF((YEAR(D184)+5)&lt;YEAR(E184),0,IF((YEAR(D184)+5)&gt;=YEAR(E184)+N184,0,IF((YEAR(D184)+5)=YEAR(E184),(12-MONTH(E184)+1)/12,1))))))))&gt;0,(((K184)*(IF(M184="",L184,IFERROR(IF(INDEX(Variablen!$I:$AT, MATCH(M184, Variablen!$A:$A, 0), MATCH((YEAR(D184)+5), Variablen!$I$3:$AT$3, 0))="",L184,INDEX(Variablen!$I:$AT, MATCH(M184, Variablen!$A:$A, 0), MATCH((YEAR(D184)+5), Variablen!$I$3:$AT$3, 0))),L184)))*(IF((YEAR(D184)+5)&lt;YEAR(E184),0,IF((YEAR(D184)+5)&gt;YEAR(E184),1,(12-MONTH(E184)+1)/12))) + (Q184)*(IF((YEAR(D184)+5)&lt;YEAR(E184),0,IF((YEAR(D184)+5)&gt;YEAR(E184),1,(12-MONTH(E184)+1)/12))))-((P184)*(IF((YEAR(D184)+5)&lt;YEAR(E184),0,IF((YEAR(D184)+5)&gt;YEAR(E184),1,(12-MONTH(E184)+1)/12))) + (R184)*(IF((YEAR(D184)+5)&lt;YEAR(E184),0,IF((YEAR(D184)+5)&gt;YEAR(E184),1,(12-MONTH(E184)+1)/12))))-(IF(OR(N184="",N184&lt;=0),0,(O184/N184)*(IF(OR(N184="",N184&lt;=0),0,IF((YEAR(D184)+5)&lt;YEAR(E184),0,IF((YEAR(D184)+5)&gt;=YEAR(E184)+N184,0,IF((YEAR(D184)+5)=YEAR(E184),(12-MONTH(E184)+1)/12,1))))))))*TaxRate,0))-IF(5=0,O184,0))</f>
        <v/>
      </c>
      <c r="Y184" s="29">
        <f>IF(A184="","",((K184)*(IF(M184="",L184,IFERROR(IF(INDEX(Variablen!$I:$AT, MATCH(M184, Variablen!$A:$A, 0), MATCH((YEAR(D184)+6), Variablen!$I$3:$AT$3, 0))="",L184,INDEX(Variablen!$I:$AT, MATCH(M184, Variablen!$A:$A, 0), MATCH((YEAR(D184)+6), Variablen!$I$3:$AT$3, 0))),L184)))*(IF((YEAR(D184)+6)&lt;YEAR(E184),0,IF((YEAR(D184)+6)&gt;YEAR(E184),1,(12-MONTH(E184)+1)/12))) + (Q184)*(IF((YEAR(D184)+6)&lt;YEAR(E184),0,IF((YEAR(D184)+6)&gt;YEAR(E184),1,(12-MONTH(E184)+1)/12))))-((P184)*(IF((YEAR(D184)+6)&lt;YEAR(E184),0,IF((YEAR(D184)+6)&gt;YEAR(E184),1,(12-MONTH(E184)+1)/12))) + (R184)*(IF((YEAR(D184)+6)&lt;YEAR(E184),0,IF((YEAR(D184)+6)&gt;YEAR(E184),1,(12-MONTH(E184)+1)/12))))-(IF((((K184)*(IF(M184="",L184,IFERROR(IF(INDEX(Variablen!$I:$AT, MATCH(M184, Variablen!$A:$A, 0), MATCH((YEAR(D184)+6), Variablen!$I$3:$AT$3, 0))="",L184,INDEX(Variablen!$I:$AT, MATCH(M184, Variablen!$A:$A, 0), MATCH((YEAR(D184)+6), Variablen!$I$3:$AT$3, 0))),L184)))*(IF((YEAR(D184)+6)&lt;YEAR(E184),0,IF((YEAR(D184)+6)&gt;YEAR(E184),1,(12-MONTH(E184)+1)/12))) + (Q184)*(IF((YEAR(D184)+6)&lt;YEAR(E184),0,IF((YEAR(D184)+6)&gt;YEAR(E184),1,(12-MONTH(E184)+1)/12))))-((P184)*(IF((YEAR(D184)+6)&lt;YEAR(E184),0,IF((YEAR(D184)+6)&gt;YEAR(E184),1,(12-MONTH(E184)+1)/12))) + (R184)*(IF((YEAR(D184)+6)&lt;YEAR(E184),0,IF((YEAR(D184)+6)&gt;YEAR(E184),1,(12-MONTH(E184)+1)/12))))-(IF(OR(N184="",N184&lt;=0),0,(O184/N184)*(IF(OR(N184="",N184&lt;=0),0,IF((YEAR(D184)+6)&lt;YEAR(E184),0,IF((YEAR(D184)+6)&gt;=YEAR(E184)+N184,0,IF((YEAR(D184)+6)=YEAR(E184),(12-MONTH(E184)+1)/12,1))))))))&gt;0,(((K184)*(IF(M184="",L184,IFERROR(IF(INDEX(Variablen!$I:$AT, MATCH(M184, Variablen!$A:$A, 0), MATCH((YEAR(D184)+6), Variablen!$I$3:$AT$3, 0))="",L184,INDEX(Variablen!$I:$AT, MATCH(M184, Variablen!$A:$A, 0), MATCH((YEAR(D184)+6), Variablen!$I$3:$AT$3, 0))),L184)))*(IF((YEAR(D184)+6)&lt;YEAR(E184),0,IF((YEAR(D184)+6)&gt;YEAR(E184),1,(12-MONTH(E184)+1)/12))) + (Q184)*(IF((YEAR(D184)+6)&lt;YEAR(E184),0,IF((YEAR(D184)+6)&gt;YEAR(E184),1,(12-MONTH(E184)+1)/12))))-((P184)*(IF((YEAR(D184)+6)&lt;YEAR(E184),0,IF((YEAR(D184)+6)&gt;YEAR(E184),1,(12-MONTH(E184)+1)/12))) + (R184)*(IF((YEAR(D184)+6)&lt;YEAR(E184),0,IF((YEAR(D184)+6)&gt;YEAR(E184),1,(12-MONTH(E184)+1)/12))))-(IF(OR(N184="",N184&lt;=0),0,(O184/N184)*(IF(OR(N184="",N184&lt;=0),0,IF((YEAR(D184)+6)&lt;YEAR(E184),0,IF((YEAR(D184)+6)&gt;=YEAR(E184)+N184,0,IF((YEAR(D184)+6)=YEAR(E184),(12-MONTH(E184)+1)/12,1))))))))*TaxRate,0))-IF(6=0,O184,0))</f>
        <v/>
      </c>
      <c r="Z184" s="29">
        <f>IF(A184="","",((K184)*(IF(M184="",L184,IFERROR(IF(INDEX(Variablen!$I:$AT, MATCH(M184, Variablen!$A:$A, 0), MATCH((YEAR(D184)+7), Variablen!$I$3:$AT$3, 0))="",L184,INDEX(Variablen!$I:$AT, MATCH(M184, Variablen!$A:$A, 0), MATCH((YEAR(D184)+7), Variablen!$I$3:$AT$3, 0))),L184)))*(IF((YEAR(D184)+7)&lt;YEAR(E184),0,IF((YEAR(D184)+7)&gt;YEAR(E184),1,(12-MONTH(E184)+1)/12))) + (Q184)*(IF((YEAR(D184)+7)&lt;YEAR(E184),0,IF((YEAR(D184)+7)&gt;YEAR(E184),1,(12-MONTH(E184)+1)/12))))-((P184)*(IF((YEAR(D184)+7)&lt;YEAR(E184),0,IF((YEAR(D184)+7)&gt;YEAR(E184),1,(12-MONTH(E184)+1)/12))) + (R184)*(IF((YEAR(D184)+7)&lt;YEAR(E184),0,IF((YEAR(D184)+7)&gt;YEAR(E184),1,(12-MONTH(E184)+1)/12))))-(IF((((K184)*(IF(M184="",L184,IFERROR(IF(INDEX(Variablen!$I:$AT, MATCH(M184, Variablen!$A:$A, 0), MATCH((YEAR(D184)+7), Variablen!$I$3:$AT$3, 0))="",L184,INDEX(Variablen!$I:$AT, MATCH(M184, Variablen!$A:$A, 0), MATCH((YEAR(D184)+7), Variablen!$I$3:$AT$3, 0))),L184)))*(IF((YEAR(D184)+7)&lt;YEAR(E184),0,IF((YEAR(D184)+7)&gt;YEAR(E184),1,(12-MONTH(E184)+1)/12))) + (Q184)*(IF((YEAR(D184)+7)&lt;YEAR(E184),0,IF((YEAR(D184)+7)&gt;YEAR(E184),1,(12-MONTH(E184)+1)/12))))-((P184)*(IF((YEAR(D184)+7)&lt;YEAR(E184),0,IF((YEAR(D184)+7)&gt;YEAR(E184),1,(12-MONTH(E184)+1)/12))) + (R184)*(IF((YEAR(D184)+7)&lt;YEAR(E184),0,IF((YEAR(D184)+7)&gt;YEAR(E184),1,(12-MONTH(E184)+1)/12))))-(IF(OR(N184="",N184&lt;=0),0,(O184/N184)*(IF(OR(N184="",N184&lt;=0),0,IF((YEAR(D184)+7)&lt;YEAR(E184),0,IF((YEAR(D184)+7)&gt;=YEAR(E184)+N184,0,IF((YEAR(D184)+7)=YEAR(E184),(12-MONTH(E184)+1)/12,1))))))))&gt;0,(((K184)*(IF(M184="",L184,IFERROR(IF(INDEX(Variablen!$I:$AT, MATCH(M184, Variablen!$A:$A, 0), MATCH((YEAR(D184)+7), Variablen!$I$3:$AT$3, 0))="",L184,INDEX(Variablen!$I:$AT, MATCH(M184, Variablen!$A:$A, 0), MATCH((YEAR(D184)+7), Variablen!$I$3:$AT$3, 0))),L184)))*(IF((YEAR(D184)+7)&lt;YEAR(E184),0,IF((YEAR(D184)+7)&gt;YEAR(E184),1,(12-MONTH(E184)+1)/12))) + (Q184)*(IF((YEAR(D184)+7)&lt;YEAR(E184),0,IF((YEAR(D184)+7)&gt;YEAR(E184),1,(12-MONTH(E184)+1)/12))))-((P184)*(IF((YEAR(D184)+7)&lt;YEAR(E184),0,IF((YEAR(D184)+7)&gt;YEAR(E184),1,(12-MONTH(E184)+1)/12))) + (R184)*(IF((YEAR(D184)+7)&lt;YEAR(E184),0,IF((YEAR(D184)+7)&gt;YEAR(E184),1,(12-MONTH(E184)+1)/12))))-(IF(OR(N184="",N184&lt;=0),0,(O184/N184)*(IF(OR(N184="",N184&lt;=0),0,IF((YEAR(D184)+7)&lt;YEAR(E184),0,IF((YEAR(D184)+7)&gt;=YEAR(E184)+N184,0,IF((YEAR(D184)+7)=YEAR(E184),(12-MONTH(E184)+1)/12,1))))))))*TaxRate,0))-IF(7=0,O184,0))</f>
        <v/>
      </c>
      <c r="AA184" s="29">
        <f>IF(A184="","",((K184)*(IF(M184="",L184,IFERROR(IF(INDEX(Variablen!$I:$AT, MATCH(M184, Variablen!$A:$A, 0), MATCH((YEAR(D184)+8), Variablen!$I$3:$AT$3, 0))="",L184,INDEX(Variablen!$I:$AT, MATCH(M184, Variablen!$A:$A, 0), MATCH((YEAR(D184)+8), Variablen!$I$3:$AT$3, 0))),L184)))*(IF((YEAR(D184)+8)&lt;YEAR(E184),0,IF((YEAR(D184)+8)&gt;YEAR(E184),1,(12-MONTH(E184)+1)/12))) + (Q184)*(IF((YEAR(D184)+8)&lt;YEAR(E184),0,IF((YEAR(D184)+8)&gt;YEAR(E184),1,(12-MONTH(E184)+1)/12))))-((P184)*(IF((YEAR(D184)+8)&lt;YEAR(E184),0,IF((YEAR(D184)+8)&gt;YEAR(E184),1,(12-MONTH(E184)+1)/12))) + (R184)*(IF((YEAR(D184)+8)&lt;YEAR(E184),0,IF((YEAR(D184)+8)&gt;YEAR(E184),1,(12-MONTH(E184)+1)/12))))-(IF((((K184)*(IF(M184="",L184,IFERROR(IF(INDEX(Variablen!$I:$AT, MATCH(M184, Variablen!$A:$A, 0), MATCH((YEAR(D184)+8), Variablen!$I$3:$AT$3, 0))="",L184,INDEX(Variablen!$I:$AT, MATCH(M184, Variablen!$A:$A, 0), MATCH((YEAR(D184)+8), Variablen!$I$3:$AT$3, 0))),L184)))*(IF((YEAR(D184)+8)&lt;YEAR(E184),0,IF((YEAR(D184)+8)&gt;YEAR(E184),1,(12-MONTH(E184)+1)/12))) + (Q184)*(IF((YEAR(D184)+8)&lt;YEAR(E184),0,IF((YEAR(D184)+8)&gt;YEAR(E184),1,(12-MONTH(E184)+1)/12))))-((P184)*(IF((YEAR(D184)+8)&lt;YEAR(E184),0,IF((YEAR(D184)+8)&gt;YEAR(E184),1,(12-MONTH(E184)+1)/12))) + (R184)*(IF((YEAR(D184)+8)&lt;YEAR(E184),0,IF((YEAR(D184)+8)&gt;YEAR(E184),1,(12-MONTH(E184)+1)/12))))-(IF(OR(N184="",N184&lt;=0),0,(O184/N184)*(IF(OR(N184="",N184&lt;=0),0,IF((YEAR(D184)+8)&lt;YEAR(E184),0,IF((YEAR(D184)+8)&gt;=YEAR(E184)+N184,0,IF((YEAR(D184)+8)=YEAR(E184),(12-MONTH(E184)+1)/12,1))))))))&gt;0,(((K184)*(IF(M184="",L184,IFERROR(IF(INDEX(Variablen!$I:$AT, MATCH(M184, Variablen!$A:$A, 0), MATCH((YEAR(D184)+8), Variablen!$I$3:$AT$3, 0))="",L184,INDEX(Variablen!$I:$AT, MATCH(M184, Variablen!$A:$A, 0), MATCH((YEAR(D184)+8), Variablen!$I$3:$AT$3, 0))),L184)))*(IF((YEAR(D184)+8)&lt;YEAR(E184),0,IF((YEAR(D184)+8)&gt;YEAR(E184),1,(12-MONTH(E184)+1)/12))) + (Q184)*(IF((YEAR(D184)+8)&lt;YEAR(E184),0,IF((YEAR(D184)+8)&gt;YEAR(E184),1,(12-MONTH(E184)+1)/12))))-((P184)*(IF((YEAR(D184)+8)&lt;YEAR(E184),0,IF((YEAR(D184)+8)&gt;YEAR(E184),1,(12-MONTH(E184)+1)/12))) + (R184)*(IF((YEAR(D184)+8)&lt;YEAR(E184),0,IF((YEAR(D184)+8)&gt;YEAR(E184),1,(12-MONTH(E184)+1)/12))))-(IF(OR(N184="",N184&lt;=0),0,(O184/N184)*(IF(OR(N184="",N184&lt;=0),0,IF((YEAR(D184)+8)&lt;YEAR(E184),0,IF((YEAR(D184)+8)&gt;=YEAR(E184)+N184,0,IF((YEAR(D184)+8)=YEAR(E184),(12-MONTH(E184)+1)/12,1))))))))*TaxRate,0))-IF(8=0,O184,0))</f>
        <v/>
      </c>
      <c r="AB184" s="29">
        <f>IF(A184="","",((K184)*(IF(M184="",L184,IFERROR(IF(INDEX(Variablen!$I:$AT, MATCH(M184, Variablen!$A:$A, 0), MATCH((YEAR(D184)+9), Variablen!$I$3:$AT$3, 0))="",L184,INDEX(Variablen!$I:$AT, MATCH(M184, Variablen!$A:$A, 0), MATCH((YEAR(D184)+9), Variablen!$I$3:$AT$3, 0))),L184)))*(IF((YEAR(D184)+9)&lt;YEAR(E184),0,IF((YEAR(D184)+9)&gt;YEAR(E184),1,(12-MONTH(E184)+1)/12))) + (Q184)*(IF((YEAR(D184)+9)&lt;YEAR(E184),0,IF((YEAR(D184)+9)&gt;YEAR(E184),1,(12-MONTH(E184)+1)/12))))-((P184)*(IF((YEAR(D184)+9)&lt;YEAR(E184),0,IF((YEAR(D184)+9)&gt;YEAR(E184),1,(12-MONTH(E184)+1)/12))) + (R184)*(IF((YEAR(D184)+9)&lt;YEAR(E184),0,IF((YEAR(D184)+9)&gt;YEAR(E184),1,(12-MONTH(E184)+1)/12))))-(IF((((K184)*(IF(M184="",L184,IFERROR(IF(INDEX(Variablen!$I:$AT, MATCH(M184, Variablen!$A:$A, 0), MATCH((YEAR(D184)+9), Variablen!$I$3:$AT$3, 0))="",L184,INDEX(Variablen!$I:$AT, MATCH(M184, Variablen!$A:$A, 0), MATCH((YEAR(D184)+9), Variablen!$I$3:$AT$3, 0))),L184)))*(IF((YEAR(D184)+9)&lt;YEAR(E184),0,IF((YEAR(D184)+9)&gt;YEAR(E184),1,(12-MONTH(E184)+1)/12))) + (Q184)*(IF((YEAR(D184)+9)&lt;YEAR(E184),0,IF((YEAR(D184)+9)&gt;YEAR(E184),1,(12-MONTH(E184)+1)/12))))-((P184)*(IF((YEAR(D184)+9)&lt;YEAR(E184),0,IF((YEAR(D184)+9)&gt;YEAR(E184),1,(12-MONTH(E184)+1)/12))) + (R184)*(IF((YEAR(D184)+9)&lt;YEAR(E184),0,IF((YEAR(D184)+9)&gt;YEAR(E184),1,(12-MONTH(E184)+1)/12))))-(IF(OR(N184="",N184&lt;=0),0,(O184/N184)*(IF(OR(N184="",N184&lt;=0),0,IF((YEAR(D184)+9)&lt;YEAR(E184),0,IF((YEAR(D184)+9)&gt;=YEAR(E184)+N184,0,IF((YEAR(D184)+9)=YEAR(E184),(12-MONTH(E184)+1)/12,1))))))))&gt;0,(((K184)*(IF(M184="",L184,IFERROR(IF(INDEX(Variablen!$I:$AT, MATCH(M184, Variablen!$A:$A, 0), MATCH((YEAR(D184)+9), Variablen!$I$3:$AT$3, 0))="",L184,INDEX(Variablen!$I:$AT, MATCH(M184, Variablen!$A:$A, 0), MATCH((YEAR(D184)+9), Variablen!$I$3:$AT$3, 0))),L184)))*(IF((YEAR(D184)+9)&lt;YEAR(E184),0,IF((YEAR(D184)+9)&gt;YEAR(E184),1,(12-MONTH(E184)+1)/12))) + (Q184)*(IF((YEAR(D184)+9)&lt;YEAR(E184),0,IF((YEAR(D184)+9)&gt;YEAR(E184),1,(12-MONTH(E184)+1)/12))))-((P184)*(IF((YEAR(D184)+9)&lt;YEAR(E184),0,IF((YEAR(D184)+9)&gt;YEAR(E184),1,(12-MONTH(E184)+1)/12))) + (R184)*(IF((YEAR(D184)+9)&lt;YEAR(E184),0,IF((YEAR(D184)+9)&gt;YEAR(E184),1,(12-MONTH(E184)+1)/12))))-(IF(OR(N184="",N184&lt;=0),0,(O184/N184)*(IF(OR(N184="",N184&lt;=0),0,IF((YEAR(D184)+9)&lt;YEAR(E184),0,IF((YEAR(D184)+9)&gt;=YEAR(E184)+N184,0,IF((YEAR(D184)+9)=YEAR(E184),(12-MONTH(E184)+1)/12,1))))))))*TaxRate,0))-IF(9=0,O184,0))</f>
        <v/>
      </c>
      <c r="AC184" s="29">
        <f>IF(A184="","",((K184)*(IF(M184="",L184,IFERROR(IF(INDEX(Variablen!$I:$AT, MATCH(M184, Variablen!$A:$A, 0), MATCH((YEAR(D184)+10), Variablen!$I$3:$AT$3, 0))="",L184,INDEX(Variablen!$I:$AT, MATCH(M184, Variablen!$A:$A, 0), MATCH((YEAR(D184)+10), Variablen!$I$3:$AT$3, 0))),L184)))*(IF((YEAR(D184)+10)&lt;YEAR(E184),0,IF((YEAR(D184)+10)&gt;YEAR(E184),1,(12-MONTH(E184)+1)/12))) + (Q184)*(IF((YEAR(D184)+10)&lt;YEAR(E184),0,IF((YEAR(D184)+10)&gt;YEAR(E184),1,(12-MONTH(E184)+1)/12))))-((P184)*(IF((YEAR(D184)+10)&lt;YEAR(E184),0,IF((YEAR(D184)+10)&gt;YEAR(E184),1,(12-MONTH(E184)+1)/12))) + (R184)*(IF((YEAR(D184)+10)&lt;YEAR(E184),0,IF((YEAR(D184)+10)&gt;YEAR(E184),1,(12-MONTH(E184)+1)/12))))-(IF((((K184)*(IF(M184="",L184,IFERROR(IF(INDEX(Variablen!$I:$AT, MATCH(M184, Variablen!$A:$A, 0), MATCH((YEAR(D184)+10), Variablen!$I$3:$AT$3, 0))="",L184,INDEX(Variablen!$I:$AT, MATCH(M184, Variablen!$A:$A, 0), MATCH((YEAR(D184)+10), Variablen!$I$3:$AT$3, 0))),L184)))*(IF((YEAR(D184)+10)&lt;YEAR(E184),0,IF((YEAR(D184)+10)&gt;YEAR(E184),1,(12-MONTH(E184)+1)/12))) + (Q184)*(IF((YEAR(D184)+10)&lt;YEAR(E184),0,IF((YEAR(D184)+10)&gt;YEAR(E184),1,(12-MONTH(E184)+1)/12))))-((P184)*(IF((YEAR(D184)+10)&lt;YEAR(E184),0,IF((YEAR(D184)+10)&gt;YEAR(E184),1,(12-MONTH(E184)+1)/12))) + (R184)*(IF((YEAR(D184)+10)&lt;YEAR(E184),0,IF((YEAR(D184)+10)&gt;YEAR(E184),1,(12-MONTH(E184)+1)/12))))-(IF(OR(N184="",N184&lt;=0),0,(O184/N184)*(IF(OR(N184="",N184&lt;=0),0,IF((YEAR(D184)+10)&lt;YEAR(E184),0,IF((YEAR(D184)+10)&gt;=YEAR(E184)+N184,0,IF((YEAR(D184)+10)=YEAR(E184),(12-MONTH(E184)+1)/12,1))))))))&gt;0,(((K184)*(IF(M184="",L184,IFERROR(IF(INDEX(Variablen!$I:$AT, MATCH(M184, Variablen!$A:$A, 0), MATCH((YEAR(D184)+10), Variablen!$I$3:$AT$3, 0))="",L184,INDEX(Variablen!$I:$AT, MATCH(M184, Variablen!$A:$A, 0), MATCH((YEAR(D184)+10), Variablen!$I$3:$AT$3, 0))),L184)))*(IF((YEAR(D184)+10)&lt;YEAR(E184),0,IF((YEAR(D184)+10)&gt;YEAR(E184),1,(12-MONTH(E184)+1)/12))) + (Q184)*(IF((YEAR(D184)+10)&lt;YEAR(E184),0,IF((YEAR(D184)+10)&gt;YEAR(E184),1,(12-MONTH(E184)+1)/12))))-((P184)*(IF((YEAR(D184)+10)&lt;YEAR(E184),0,IF((YEAR(D184)+10)&gt;YEAR(E184),1,(12-MONTH(E184)+1)/12))) + (R184)*(IF((YEAR(D184)+10)&lt;YEAR(E184),0,IF((YEAR(D184)+10)&gt;YEAR(E184),1,(12-MONTH(E184)+1)/12))))-(IF(OR(N184="",N184&lt;=0),0,(O184/N184)*(IF(OR(N184="",N184&lt;=0),0,IF((YEAR(D184)+10)&lt;YEAR(E184),0,IF((YEAR(D184)+10)&gt;=YEAR(E184)+N184,0,IF((YEAR(D184)+10)=YEAR(E184),(12-MONTH(E184)+1)/12,1))))))))*TaxRate,0))-IF(10=0,O184,0))</f>
        <v/>
      </c>
      <c r="AD184" s="29">
        <f>IF(A184="","",((K184)*(IF(M184="",L184,IFERROR(IF(INDEX(Variablen!$I:$AT, MATCH(M184, Variablen!$A:$A, 0), MATCH((YEAR(D184)+11), Variablen!$I$3:$AT$3, 0))="",L184,INDEX(Variablen!$I:$AT, MATCH(M184, Variablen!$A:$A, 0), MATCH((YEAR(D184)+11), Variablen!$I$3:$AT$3, 0))),L184)))*(IF((YEAR(D184)+11)&lt;YEAR(E184),0,IF((YEAR(D184)+11)&gt;YEAR(E184),1,(12-MONTH(E184)+1)/12))) + (Q184)*(IF((YEAR(D184)+11)&lt;YEAR(E184),0,IF((YEAR(D184)+11)&gt;YEAR(E184),1,(12-MONTH(E184)+1)/12))))-((P184)*(IF((YEAR(D184)+11)&lt;YEAR(E184),0,IF((YEAR(D184)+11)&gt;YEAR(E184),1,(12-MONTH(E184)+1)/12))) + (R184)*(IF((YEAR(D184)+11)&lt;YEAR(E184),0,IF((YEAR(D184)+11)&gt;YEAR(E184),1,(12-MONTH(E184)+1)/12))))-(IF((((K184)*(IF(M184="",L184,IFERROR(IF(INDEX(Variablen!$I:$AT, MATCH(M184, Variablen!$A:$A, 0), MATCH((YEAR(D184)+11), Variablen!$I$3:$AT$3, 0))="",L184,INDEX(Variablen!$I:$AT, MATCH(M184, Variablen!$A:$A, 0), MATCH((YEAR(D184)+11), Variablen!$I$3:$AT$3, 0))),L184)))*(IF((YEAR(D184)+11)&lt;YEAR(E184),0,IF((YEAR(D184)+11)&gt;YEAR(E184),1,(12-MONTH(E184)+1)/12))) + (Q184)*(IF((YEAR(D184)+11)&lt;YEAR(E184),0,IF((YEAR(D184)+11)&gt;YEAR(E184),1,(12-MONTH(E184)+1)/12))))-((P184)*(IF((YEAR(D184)+11)&lt;YEAR(E184),0,IF((YEAR(D184)+11)&gt;YEAR(E184),1,(12-MONTH(E184)+1)/12))) + (R184)*(IF((YEAR(D184)+11)&lt;YEAR(E184),0,IF((YEAR(D184)+11)&gt;YEAR(E184),1,(12-MONTH(E184)+1)/12))))-(IF(OR(N184="",N184&lt;=0),0,(O184/N184)*(IF(OR(N184="",N184&lt;=0),0,IF((YEAR(D184)+11)&lt;YEAR(E184),0,IF((YEAR(D184)+11)&gt;=YEAR(E184)+N184,0,IF((YEAR(D184)+11)=YEAR(E184),(12-MONTH(E184)+1)/12,1))))))))&gt;0,(((K184)*(IF(M184="",L184,IFERROR(IF(INDEX(Variablen!$I:$AT, MATCH(M184, Variablen!$A:$A, 0), MATCH((YEAR(D184)+11), Variablen!$I$3:$AT$3, 0))="",L184,INDEX(Variablen!$I:$AT, MATCH(M184, Variablen!$A:$A, 0), MATCH((YEAR(D184)+11), Variablen!$I$3:$AT$3, 0))),L184)))*(IF((YEAR(D184)+11)&lt;YEAR(E184),0,IF((YEAR(D184)+11)&gt;YEAR(E184),1,(12-MONTH(E184)+1)/12))) + (Q184)*(IF((YEAR(D184)+11)&lt;YEAR(E184),0,IF((YEAR(D184)+11)&gt;YEAR(E184),1,(12-MONTH(E184)+1)/12))))-((P184)*(IF((YEAR(D184)+11)&lt;YEAR(E184),0,IF((YEAR(D184)+11)&gt;YEAR(E184),1,(12-MONTH(E184)+1)/12))) + (R184)*(IF((YEAR(D184)+11)&lt;YEAR(E184),0,IF((YEAR(D184)+11)&gt;YEAR(E184),1,(12-MONTH(E184)+1)/12))))-(IF(OR(N184="",N184&lt;=0),0,(O184/N184)*(IF(OR(N184="",N184&lt;=0),0,IF((YEAR(D184)+11)&lt;YEAR(E184),0,IF((YEAR(D184)+11)&gt;=YEAR(E184)+N184,0,IF((YEAR(D184)+11)=YEAR(E184),(12-MONTH(E184)+1)/12,1))))))))*TaxRate,0))-IF(11=0,O184,0))</f>
        <v/>
      </c>
      <c r="AE184" s="29">
        <f>IF(A184="","",((K184)*(IF(M184="",L184,IFERROR(IF(INDEX(Variablen!$I:$AT, MATCH(M184, Variablen!$A:$A, 0), MATCH((YEAR(D184)+12), Variablen!$I$3:$AT$3, 0))="",L184,INDEX(Variablen!$I:$AT, MATCH(M184, Variablen!$A:$A, 0), MATCH((YEAR(D184)+12), Variablen!$I$3:$AT$3, 0))),L184)))*(IF((YEAR(D184)+12)&lt;YEAR(E184),0,IF((YEAR(D184)+12)&gt;YEAR(E184),1,(12-MONTH(E184)+1)/12))) + (Q184)*(IF((YEAR(D184)+12)&lt;YEAR(E184),0,IF((YEAR(D184)+12)&gt;YEAR(E184),1,(12-MONTH(E184)+1)/12))))-((P184)*(IF((YEAR(D184)+12)&lt;YEAR(E184),0,IF((YEAR(D184)+12)&gt;YEAR(E184),1,(12-MONTH(E184)+1)/12))) + (R184)*(IF((YEAR(D184)+12)&lt;YEAR(E184),0,IF((YEAR(D184)+12)&gt;YEAR(E184),1,(12-MONTH(E184)+1)/12))))-(IF((((K184)*(IF(M184="",L184,IFERROR(IF(INDEX(Variablen!$I:$AT, MATCH(M184, Variablen!$A:$A, 0), MATCH((YEAR(D184)+12), Variablen!$I$3:$AT$3, 0))="",L184,INDEX(Variablen!$I:$AT, MATCH(M184, Variablen!$A:$A, 0), MATCH((YEAR(D184)+12), Variablen!$I$3:$AT$3, 0))),L184)))*(IF((YEAR(D184)+12)&lt;YEAR(E184),0,IF((YEAR(D184)+12)&gt;YEAR(E184),1,(12-MONTH(E184)+1)/12))) + (Q184)*(IF((YEAR(D184)+12)&lt;YEAR(E184),0,IF((YEAR(D184)+12)&gt;YEAR(E184),1,(12-MONTH(E184)+1)/12))))-((P184)*(IF((YEAR(D184)+12)&lt;YEAR(E184),0,IF((YEAR(D184)+12)&gt;YEAR(E184),1,(12-MONTH(E184)+1)/12))) + (R184)*(IF((YEAR(D184)+12)&lt;YEAR(E184),0,IF((YEAR(D184)+12)&gt;YEAR(E184),1,(12-MONTH(E184)+1)/12))))-(IF(OR(N184="",N184&lt;=0),0,(O184/N184)*(IF(OR(N184="",N184&lt;=0),0,IF((YEAR(D184)+12)&lt;YEAR(E184),0,IF((YEAR(D184)+12)&gt;=YEAR(E184)+N184,0,IF((YEAR(D184)+12)=YEAR(E184),(12-MONTH(E184)+1)/12,1))))))))&gt;0,(((K184)*(IF(M184="",L184,IFERROR(IF(INDEX(Variablen!$I:$AT, MATCH(M184, Variablen!$A:$A, 0), MATCH((YEAR(D184)+12), Variablen!$I$3:$AT$3, 0))="",L184,INDEX(Variablen!$I:$AT, MATCH(M184, Variablen!$A:$A, 0), MATCH((YEAR(D184)+12), Variablen!$I$3:$AT$3, 0))),L184)))*(IF((YEAR(D184)+12)&lt;YEAR(E184),0,IF((YEAR(D184)+12)&gt;YEAR(E184),1,(12-MONTH(E184)+1)/12))) + (Q184)*(IF((YEAR(D184)+12)&lt;YEAR(E184),0,IF((YEAR(D184)+12)&gt;YEAR(E184),1,(12-MONTH(E184)+1)/12))))-((P184)*(IF((YEAR(D184)+12)&lt;YEAR(E184),0,IF((YEAR(D184)+12)&gt;YEAR(E184),1,(12-MONTH(E184)+1)/12))) + (R184)*(IF((YEAR(D184)+12)&lt;YEAR(E184),0,IF((YEAR(D184)+12)&gt;YEAR(E184),1,(12-MONTH(E184)+1)/12))))-(IF(OR(N184="",N184&lt;=0),0,(O184/N184)*(IF(OR(N184="",N184&lt;=0),0,IF((YEAR(D184)+12)&lt;YEAR(E184),0,IF((YEAR(D184)+12)&gt;=YEAR(E184)+N184,0,IF((YEAR(D184)+12)=YEAR(E184),(12-MONTH(E184)+1)/12,1))))))))*TaxRate,0))-IF(12=0,O184,0))</f>
        <v/>
      </c>
      <c r="AF184" s="29">
        <f>IF(A184="","",((K184)*(IF(M184="",L184,IFERROR(IF(INDEX(Variablen!$I:$AT, MATCH(M184, Variablen!$A:$A, 0), MATCH((YEAR(D184)+13), Variablen!$I$3:$AT$3, 0))="",L184,INDEX(Variablen!$I:$AT, MATCH(M184, Variablen!$A:$A, 0), MATCH((YEAR(D184)+13), Variablen!$I$3:$AT$3, 0))),L184)))*(IF((YEAR(D184)+13)&lt;YEAR(E184),0,IF((YEAR(D184)+13)&gt;YEAR(E184),1,(12-MONTH(E184)+1)/12))) + (Q184)*(IF((YEAR(D184)+13)&lt;YEAR(E184),0,IF((YEAR(D184)+13)&gt;YEAR(E184),1,(12-MONTH(E184)+1)/12))))-((P184)*(IF((YEAR(D184)+13)&lt;YEAR(E184),0,IF((YEAR(D184)+13)&gt;YEAR(E184),1,(12-MONTH(E184)+1)/12))) + (R184)*(IF((YEAR(D184)+13)&lt;YEAR(E184),0,IF((YEAR(D184)+13)&gt;YEAR(E184),1,(12-MONTH(E184)+1)/12))))-(IF((((K184)*(IF(M184="",L184,IFERROR(IF(INDEX(Variablen!$I:$AT, MATCH(M184, Variablen!$A:$A, 0), MATCH((YEAR(D184)+13), Variablen!$I$3:$AT$3, 0))="",L184,INDEX(Variablen!$I:$AT, MATCH(M184, Variablen!$A:$A, 0), MATCH((YEAR(D184)+13), Variablen!$I$3:$AT$3, 0))),L184)))*(IF((YEAR(D184)+13)&lt;YEAR(E184),0,IF((YEAR(D184)+13)&gt;YEAR(E184),1,(12-MONTH(E184)+1)/12))) + (Q184)*(IF((YEAR(D184)+13)&lt;YEAR(E184),0,IF((YEAR(D184)+13)&gt;YEAR(E184),1,(12-MONTH(E184)+1)/12))))-((P184)*(IF((YEAR(D184)+13)&lt;YEAR(E184),0,IF((YEAR(D184)+13)&gt;YEAR(E184),1,(12-MONTH(E184)+1)/12))) + (R184)*(IF((YEAR(D184)+13)&lt;YEAR(E184),0,IF((YEAR(D184)+13)&gt;YEAR(E184),1,(12-MONTH(E184)+1)/12))))-(IF(OR(N184="",N184&lt;=0),0,(O184/N184)*(IF(OR(N184="",N184&lt;=0),0,IF((YEAR(D184)+13)&lt;YEAR(E184),0,IF((YEAR(D184)+13)&gt;=YEAR(E184)+N184,0,IF((YEAR(D184)+13)=YEAR(E184),(12-MONTH(E184)+1)/12,1))))))))&gt;0,(((K184)*(IF(M184="",L184,IFERROR(IF(INDEX(Variablen!$I:$AT, MATCH(M184, Variablen!$A:$A, 0), MATCH((YEAR(D184)+13), Variablen!$I$3:$AT$3, 0))="",L184,INDEX(Variablen!$I:$AT, MATCH(M184, Variablen!$A:$A, 0), MATCH((YEAR(D184)+13), Variablen!$I$3:$AT$3, 0))),L184)))*(IF((YEAR(D184)+13)&lt;YEAR(E184),0,IF((YEAR(D184)+13)&gt;YEAR(E184),1,(12-MONTH(E184)+1)/12))) + (Q184)*(IF((YEAR(D184)+13)&lt;YEAR(E184),0,IF((YEAR(D184)+13)&gt;YEAR(E184),1,(12-MONTH(E184)+1)/12))))-((P184)*(IF((YEAR(D184)+13)&lt;YEAR(E184),0,IF((YEAR(D184)+13)&gt;YEAR(E184),1,(12-MONTH(E184)+1)/12))) + (R184)*(IF((YEAR(D184)+13)&lt;YEAR(E184),0,IF((YEAR(D184)+13)&gt;YEAR(E184),1,(12-MONTH(E184)+1)/12))))-(IF(OR(N184="",N184&lt;=0),0,(O184/N184)*(IF(OR(N184="",N184&lt;=0),0,IF((YEAR(D184)+13)&lt;YEAR(E184),0,IF((YEAR(D184)+13)&gt;=YEAR(E184)+N184,0,IF((YEAR(D184)+13)=YEAR(E184),(12-MONTH(E184)+1)/12,1))))))))*TaxRate,0))-IF(13=0,O184,0))</f>
        <v/>
      </c>
      <c r="AG184" s="29">
        <f>IF(A184="","",((K184)*(IF(M184="",L184,IFERROR(IF(INDEX(Variablen!$I:$AT, MATCH(M184, Variablen!$A:$A, 0), MATCH((YEAR(D184)+14), Variablen!$I$3:$AT$3, 0))="",L184,INDEX(Variablen!$I:$AT, MATCH(M184, Variablen!$A:$A, 0), MATCH((YEAR(D184)+14), Variablen!$I$3:$AT$3, 0))),L184)))*(IF((YEAR(D184)+14)&lt;YEAR(E184),0,IF((YEAR(D184)+14)&gt;YEAR(E184),1,(12-MONTH(E184)+1)/12))) + (Q184)*(IF((YEAR(D184)+14)&lt;YEAR(E184),0,IF((YEAR(D184)+14)&gt;YEAR(E184),1,(12-MONTH(E184)+1)/12))))-((P184)*(IF((YEAR(D184)+14)&lt;YEAR(E184),0,IF((YEAR(D184)+14)&gt;YEAR(E184),1,(12-MONTH(E184)+1)/12))) + (R184)*(IF((YEAR(D184)+14)&lt;YEAR(E184),0,IF((YEAR(D184)+14)&gt;YEAR(E184),1,(12-MONTH(E184)+1)/12))))-(IF((((K184)*(IF(M184="",L184,IFERROR(IF(INDEX(Variablen!$I:$AT, MATCH(M184, Variablen!$A:$A, 0), MATCH((YEAR(D184)+14), Variablen!$I$3:$AT$3, 0))="",L184,INDEX(Variablen!$I:$AT, MATCH(M184, Variablen!$A:$A, 0), MATCH((YEAR(D184)+14), Variablen!$I$3:$AT$3, 0))),L184)))*(IF((YEAR(D184)+14)&lt;YEAR(E184),0,IF((YEAR(D184)+14)&gt;YEAR(E184),1,(12-MONTH(E184)+1)/12))) + (Q184)*(IF((YEAR(D184)+14)&lt;YEAR(E184),0,IF((YEAR(D184)+14)&gt;YEAR(E184),1,(12-MONTH(E184)+1)/12))))-((P184)*(IF((YEAR(D184)+14)&lt;YEAR(E184),0,IF((YEAR(D184)+14)&gt;YEAR(E184),1,(12-MONTH(E184)+1)/12))) + (R184)*(IF((YEAR(D184)+14)&lt;YEAR(E184),0,IF((YEAR(D184)+14)&gt;YEAR(E184),1,(12-MONTH(E184)+1)/12))))-(IF(OR(N184="",N184&lt;=0),0,(O184/N184)*(IF(OR(N184="",N184&lt;=0),0,IF((YEAR(D184)+14)&lt;YEAR(E184),0,IF((YEAR(D184)+14)&gt;=YEAR(E184)+N184,0,IF((YEAR(D184)+14)=YEAR(E184),(12-MONTH(E184)+1)/12,1))))))))&gt;0,(((K184)*(IF(M184="",L184,IFERROR(IF(INDEX(Variablen!$I:$AT, MATCH(M184, Variablen!$A:$A, 0), MATCH((YEAR(D184)+14), Variablen!$I$3:$AT$3, 0))="",L184,INDEX(Variablen!$I:$AT, MATCH(M184, Variablen!$A:$A, 0), MATCH((YEAR(D184)+14), Variablen!$I$3:$AT$3, 0))),L184)))*(IF((YEAR(D184)+14)&lt;YEAR(E184),0,IF((YEAR(D184)+14)&gt;YEAR(E184),1,(12-MONTH(E184)+1)/12))) + (Q184)*(IF((YEAR(D184)+14)&lt;YEAR(E184),0,IF((YEAR(D184)+14)&gt;YEAR(E184),1,(12-MONTH(E184)+1)/12))))-((P184)*(IF((YEAR(D184)+14)&lt;YEAR(E184),0,IF((YEAR(D184)+14)&gt;YEAR(E184),1,(12-MONTH(E184)+1)/12))) + (R184)*(IF((YEAR(D184)+14)&lt;YEAR(E184),0,IF((YEAR(D184)+14)&gt;YEAR(E184),1,(12-MONTH(E184)+1)/12))))-(IF(OR(N184="",N184&lt;=0),0,(O184/N184)*(IF(OR(N184="",N184&lt;=0),0,IF((YEAR(D184)+14)&lt;YEAR(E184),0,IF((YEAR(D184)+14)&gt;=YEAR(E184)+N184,0,IF((YEAR(D184)+14)=YEAR(E184),(12-MONTH(E184)+1)/12,1))))))))*TaxRate,0))-IF(14=0,O184,0))</f>
        <v/>
      </c>
      <c r="AH184" s="29">
        <f>IF(A184="","",((K184)*(IF(M184="",L184,IFERROR(IF(INDEX(Variablen!$I:$AT, MATCH(M184, Variablen!$A:$A, 0), MATCH((YEAR(D184)+15), Variablen!$I$3:$AT$3, 0))="",L184,INDEX(Variablen!$I:$AT, MATCH(M184, Variablen!$A:$A, 0), MATCH((YEAR(D184)+15), Variablen!$I$3:$AT$3, 0))),L184)))*(IF((YEAR(D184)+15)&lt;YEAR(E184),0,IF((YEAR(D184)+15)&gt;YEAR(E184),1,(12-MONTH(E184)+1)/12))) + (Q184)*(IF((YEAR(D184)+15)&lt;YEAR(E184),0,IF((YEAR(D184)+15)&gt;YEAR(E184),1,(12-MONTH(E184)+1)/12))))-((P184)*(IF((YEAR(D184)+15)&lt;YEAR(E184),0,IF((YEAR(D184)+15)&gt;YEAR(E184),1,(12-MONTH(E184)+1)/12))) + (R184)*(IF((YEAR(D184)+15)&lt;YEAR(E184),0,IF((YEAR(D184)+15)&gt;YEAR(E184),1,(12-MONTH(E184)+1)/12))))-(IF((((K184)*(IF(M184="",L184,IFERROR(IF(INDEX(Variablen!$I:$AT, MATCH(M184, Variablen!$A:$A, 0), MATCH((YEAR(D184)+15), Variablen!$I$3:$AT$3, 0))="",L184,INDEX(Variablen!$I:$AT, MATCH(M184, Variablen!$A:$A, 0), MATCH((YEAR(D184)+15), Variablen!$I$3:$AT$3, 0))),L184)))*(IF((YEAR(D184)+15)&lt;YEAR(E184),0,IF((YEAR(D184)+15)&gt;YEAR(E184),1,(12-MONTH(E184)+1)/12))) + (Q184)*(IF((YEAR(D184)+15)&lt;YEAR(E184),0,IF((YEAR(D184)+15)&gt;YEAR(E184),1,(12-MONTH(E184)+1)/12))))-((P184)*(IF((YEAR(D184)+15)&lt;YEAR(E184),0,IF((YEAR(D184)+15)&gt;YEAR(E184),1,(12-MONTH(E184)+1)/12))) + (R184)*(IF((YEAR(D184)+15)&lt;YEAR(E184),0,IF((YEAR(D184)+15)&gt;YEAR(E184),1,(12-MONTH(E184)+1)/12))))-(IF(OR(N184="",N184&lt;=0),0,(O184/N184)*(IF(OR(N184="",N184&lt;=0),0,IF((YEAR(D184)+15)&lt;YEAR(E184),0,IF((YEAR(D184)+15)&gt;=YEAR(E184)+N184,0,IF((YEAR(D184)+15)=YEAR(E184),(12-MONTH(E184)+1)/12,1))))))))&gt;0,(((K184)*(IF(M184="",L184,IFERROR(IF(INDEX(Variablen!$I:$AT, MATCH(M184, Variablen!$A:$A, 0), MATCH((YEAR(D184)+15), Variablen!$I$3:$AT$3, 0))="",L184,INDEX(Variablen!$I:$AT, MATCH(M184, Variablen!$A:$A, 0), MATCH((YEAR(D184)+15), Variablen!$I$3:$AT$3, 0))),L184)))*(IF((YEAR(D184)+15)&lt;YEAR(E184),0,IF((YEAR(D184)+15)&gt;YEAR(E184),1,(12-MONTH(E184)+1)/12))) + (Q184)*(IF((YEAR(D184)+15)&lt;YEAR(E184),0,IF((YEAR(D184)+15)&gt;YEAR(E184),1,(12-MONTH(E184)+1)/12))))-((P184)*(IF((YEAR(D184)+15)&lt;YEAR(E184),0,IF((YEAR(D184)+15)&gt;YEAR(E184),1,(12-MONTH(E184)+1)/12))) + (R184)*(IF((YEAR(D184)+15)&lt;YEAR(E184),0,IF((YEAR(D184)+15)&gt;YEAR(E184),1,(12-MONTH(E184)+1)/12))))-(IF(OR(N184="",N184&lt;=0),0,(O184/N184)*(IF(OR(N184="",N184&lt;=0),0,IF((YEAR(D184)+15)&lt;YEAR(E184),0,IF((YEAR(D184)+15)&gt;=YEAR(E184)+N184,0,IF((YEAR(D184)+15)=YEAR(E184),(12-MONTH(E184)+1)/12,1))))))))*TaxRate,0))-IF(15=0,O184,0))</f>
        <v/>
      </c>
      <c r="AI184" s="29">
        <f>IF(A184="","",((K184)*(IF(M184="",L184,IFERROR(IF(INDEX(Variablen!$I:$AT, MATCH(M184, Variablen!$A:$A, 0), MATCH((YEAR(D184)+16), Variablen!$I$3:$AT$3, 0))="",L184,INDEX(Variablen!$I:$AT, MATCH(M184, Variablen!$A:$A, 0), MATCH((YEAR(D184)+16), Variablen!$I$3:$AT$3, 0))),L184)))*(IF((YEAR(D184)+16)&lt;YEAR(E184),0,IF((YEAR(D184)+16)&gt;YEAR(E184),1,(12-MONTH(E184)+1)/12))) + (Q184)*(IF((YEAR(D184)+16)&lt;YEAR(E184),0,IF((YEAR(D184)+16)&gt;YEAR(E184),1,(12-MONTH(E184)+1)/12))))-((P184)*(IF((YEAR(D184)+16)&lt;YEAR(E184),0,IF((YEAR(D184)+16)&gt;YEAR(E184),1,(12-MONTH(E184)+1)/12))) + (R184)*(IF((YEAR(D184)+16)&lt;YEAR(E184),0,IF((YEAR(D184)+16)&gt;YEAR(E184),1,(12-MONTH(E184)+1)/12))))-(IF((((K184)*(IF(M184="",L184,IFERROR(IF(INDEX(Variablen!$I:$AT, MATCH(M184, Variablen!$A:$A, 0), MATCH((YEAR(D184)+16), Variablen!$I$3:$AT$3, 0))="",L184,INDEX(Variablen!$I:$AT, MATCH(M184, Variablen!$A:$A, 0), MATCH((YEAR(D184)+16), Variablen!$I$3:$AT$3, 0))),L184)))*(IF((YEAR(D184)+16)&lt;YEAR(E184),0,IF((YEAR(D184)+16)&gt;YEAR(E184),1,(12-MONTH(E184)+1)/12))) + (Q184)*(IF((YEAR(D184)+16)&lt;YEAR(E184),0,IF((YEAR(D184)+16)&gt;YEAR(E184),1,(12-MONTH(E184)+1)/12))))-((P184)*(IF((YEAR(D184)+16)&lt;YEAR(E184),0,IF((YEAR(D184)+16)&gt;YEAR(E184),1,(12-MONTH(E184)+1)/12))) + (R184)*(IF((YEAR(D184)+16)&lt;YEAR(E184),0,IF((YEAR(D184)+16)&gt;YEAR(E184),1,(12-MONTH(E184)+1)/12))))-(IF(OR(N184="",N184&lt;=0),0,(O184/N184)*(IF(OR(N184="",N184&lt;=0),0,IF((YEAR(D184)+16)&lt;YEAR(E184),0,IF((YEAR(D184)+16)&gt;=YEAR(E184)+N184,0,IF((YEAR(D184)+16)=YEAR(E184),(12-MONTH(E184)+1)/12,1))))))))&gt;0,(((K184)*(IF(M184="",L184,IFERROR(IF(INDEX(Variablen!$I:$AT, MATCH(M184, Variablen!$A:$A, 0), MATCH((YEAR(D184)+16), Variablen!$I$3:$AT$3, 0))="",L184,INDEX(Variablen!$I:$AT, MATCH(M184, Variablen!$A:$A, 0), MATCH((YEAR(D184)+16), Variablen!$I$3:$AT$3, 0))),L184)))*(IF((YEAR(D184)+16)&lt;YEAR(E184),0,IF((YEAR(D184)+16)&gt;YEAR(E184),1,(12-MONTH(E184)+1)/12))) + (Q184)*(IF((YEAR(D184)+16)&lt;YEAR(E184),0,IF((YEAR(D184)+16)&gt;YEAR(E184),1,(12-MONTH(E184)+1)/12))))-((P184)*(IF((YEAR(D184)+16)&lt;YEAR(E184),0,IF((YEAR(D184)+16)&gt;YEAR(E184),1,(12-MONTH(E184)+1)/12))) + (R184)*(IF((YEAR(D184)+16)&lt;YEAR(E184),0,IF((YEAR(D184)+16)&gt;YEAR(E184),1,(12-MONTH(E184)+1)/12))))-(IF(OR(N184="",N184&lt;=0),0,(O184/N184)*(IF(OR(N184="",N184&lt;=0),0,IF((YEAR(D184)+16)&lt;YEAR(E184),0,IF((YEAR(D184)+16)&gt;=YEAR(E184)+N184,0,IF((YEAR(D184)+16)=YEAR(E184),(12-MONTH(E184)+1)/12,1))))))))*TaxRate,0))-IF(16=0,O184,0))</f>
        <v/>
      </c>
      <c r="AJ184" s="29">
        <f>IF(A184="","",((K184)*(IF(M184="",L184,IFERROR(IF(INDEX(Variablen!$I:$AT, MATCH(M184, Variablen!$A:$A, 0), MATCH((YEAR(D184)+17), Variablen!$I$3:$AT$3, 0))="",L184,INDEX(Variablen!$I:$AT, MATCH(M184, Variablen!$A:$A, 0), MATCH((YEAR(D184)+17), Variablen!$I$3:$AT$3, 0))),L184)))*(IF((YEAR(D184)+17)&lt;YEAR(E184),0,IF((YEAR(D184)+17)&gt;YEAR(E184),1,(12-MONTH(E184)+1)/12))) + (Q184)*(IF((YEAR(D184)+17)&lt;YEAR(E184),0,IF((YEAR(D184)+17)&gt;YEAR(E184),1,(12-MONTH(E184)+1)/12))))-((P184)*(IF((YEAR(D184)+17)&lt;YEAR(E184),0,IF((YEAR(D184)+17)&gt;YEAR(E184),1,(12-MONTH(E184)+1)/12))) + (R184)*(IF((YEAR(D184)+17)&lt;YEAR(E184),0,IF((YEAR(D184)+17)&gt;YEAR(E184),1,(12-MONTH(E184)+1)/12))))-(IF((((K184)*(IF(M184="",L184,IFERROR(IF(INDEX(Variablen!$I:$AT, MATCH(M184, Variablen!$A:$A, 0), MATCH((YEAR(D184)+17), Variablen!$I$3:$AT$3, 0))="",L184,INDEX(Variablen!$I:$AT, MATCH(M184, Variablen!$A:$A, 0), MATCH((YEAR(D184)+17), Variablen!$I$3:$AT$3, 0))),L184)))*(IF((YEAR(D184)+17)&lt;YEAR(E184),0,IF((YEAR(D184)+17)&gt;YEAR(E184),1,(12-MONTH(E184)+1)/12))) + (Q184)*(IF((YEAR(D184)+17)&lt;YEAR(E184),0,IF((YEAR(D184)+17)&gt;YEAR(E184),1,(12-MONTH(E184)+1)/12))))-((P184)*(IF((YEAR(D184)+17)&lt;YEAR(E184),0,IF((YEAR(D184)+17)&gt;YEAR(E184),1,(12-MONTH(E184)+1)/12))) + (R184)*(IF((YEAR(D184)+17)&lt;YEAR(E184),0,IF((YEAR(D184)+17)&gt;YEAR(E184),1,(12-MONTH(E184)+1)/12))))-(IF(OR(N184="",N184&lt;=0),0,(O184/N184)*(IF(OR(N184="",N184&lt;=0),0,IF((YEAR(D184)+17)&lt;YEAR(E184),0,IF((YEAR(D184)+17)&gt;=YEAR(E184)+N184,0,IF((YEAR(D184)+17)=YEAR(E184),(12-MONTH(E184)+1)/12,1))))))))&gt;0,(((K184)*(IF(M184="",L184,IFERROR(IF(INDEX(Variablen!$I:$AT, MATCH(M184, Variablen!$A:$A, 0), MATCH((YEAR(D184)+17), Variablen!$I$3:$AT$3, 0))="",L184,INDEX(Variablen!$I:$AT, MATCH(M184, Variablen!$A:$A, 0), MATCH((YEAR(D184)+17), Variablen!$I$3:$AT$3, 0))),L184)))*(IF((YEAR(D184)+17)&lt;YEAR(E184),0,IF((YEAR(D184)+17)&gt;YEAR(E184),1,(12-MONTH(E184)+1)/12))) + (Q184)*(IF((YEAR(D184)+17)&lt;YEAR(E184),0,IF((YEAR(D184)+17)&gt;YEAR(E184),1,(12-MONTH(E184)+1)/12))))-((P184)*(IF((YEAR(D184)+17)&lt;YEAR(E184),0,IF((YEAR(D184)+17)&gt;YEAR(E184),1,(12-MONTH(E184)+1)/12))) + (R184)*(IF((YEAR(D184)+17)&lt;YEAR(E184),0,IF((YEAR(D184)+17)&gt;YEAR(E184),1,(12-MONTH(E184)+1)/12))))-(IF(OR(N184="",N184&lt;=0),0,(O184/N184)*(IF(OR(N184="",N184&lt;=0),0,IF((YEAR(D184)+17)&lt;YEAR(E184),0,IF((YEAR(D184)+17)&gt;=YEAR(E184)+N184,0,IF((YEAR(D184)+17)=YEAR(E184),(12-MONTH(E184)+1)/12,1))))))))*TaxRate,0))-IF(17=0,O184,0))</f>
        <v/>
      </c>
      <c r="AK184" s="29">
        <f>IF(A184="","",((K184)*(IF(M184="",L184,IFERROR(IF(INDEX(Variablen!$I:$AT, MATCH(M184, Variablen!$A:$A, 0), MATCH((YEAR(D184)+18), Variablen!$I$3:$AT$3, 0))="",L184,INDEX(Variablen!$I:$AT, MATCH(M184, Variablen!$A:$A, 0), MATCH((YEAR(D184)+18), Variablen!$I$3:$AT$3, 0))),L184)))*(IF((YEAR(D184)+18)&lt;YEAR(E184),0,IF((YEAR(D184)+18)&gt;YEAR(E184),1,(12-MONTH(E184)+1)/12))) + (Q184)*(IF((YEAR(D184)+18)&lt;YEAR(E184),0,IF((YEAR(D184)+18)&gt;YEAR(E184),1,(12-MONTH(E184)+1)/12))))-((P184)*(IF((YEAR(D184)+18)&lt;YEAR(E184),0,IF((YEAR(D184)+18)&gt;YEAR(E184),1,(12-MONTH(E184)+1)/12))) + (R184)*(IF((YEAR(D184)+18)&lt;YEAR(E184),0,IF((YEAR(D184)+18)&gt;YEAR(E184),1,(12-MONTH(E184)+1)/12))))-(IF((((K184)*(IF(M184="",L184,IFERROR(IF(INDEX(Variablen!$I:$AT, MATCH(M184, Variablen!$A:$A, 0), MATCH((YEAR(D184)+18), Variablen!$I$3:$AT$3, 0))="",L184,INDEX(Variablen!$I:$AT, MATCH(M184, Variablen!$A:$A, 0), MATCH((YEAR(D184)+18), Variablen!$I$3:$AT$3, 0))),L184)))*(IF((YEAR(D184)+18)&lt;YEAR(E184),0,IF((YEAR(D184)+18)&gt;YEAR(E184),1,(12-MONTH(E184)+1)/12))) + (Q184)*(IF((YEAR(D184)+18)&lt;YEAR(E184),0,IF((YEAR(D184)+18)&gt;YEAR(E184),1,(12-MONTH(E184)+1)/12))))-((P184)*(IF((YEAR(D184)+18)&lt;YEAR(E184),0,IF((YEAR(D184)+18)&gt;YEAR(E184),1,(12-MONTH(E184)+1)/12))) + (R184)*(IF((YEAR(D184)+18)&lt;YEAR(E184),0,IF((YEAR(D184)+18)&gt;YEAR(E184),1,(12-MONTH(E184)+1)/12))))-(IF(OR(N184="",N184&lt;=0),0,(O184/N184)*(IF(OR(N184="",N184&lt;=0),0,IF((YEAR(D184)+18)&lt;YEAR(E184),0,IF((YEAR(D184)+18)&gt;=YEAR(E184)+N184,0,IF((YEAR(D184)+18)=YEAR(E184),(12-MONTH(E184)+1)/12,1))))))))&gt;0,(((K184)*(IF(M184="",L184,IFERROR(IF(INDEX(Variablen!$I:$AT, MATCH(M184, Variablen!$A:$A, 0), MATCH((YEAR(D184)+18), Variablen!$I$3:$AT$3, 0))="",L184,INDEX(Variablen!$I:$AT, MATCH(M184, Variablen!$A:$A, 0), MATCH((YEAR(D184)+18), Variablen!$I$3:$AT$3, 0))),L184)))*(IF((YEAR(D184)+18)&lt;YEAR(E184),0,IF((YEAR(D184)+18)&gt;YEAR(E184),1,(12-MONTH(E184)+1)/12))) + (Q184)*(IF((YEAR(D184)+18)&lt;YEAR(E184),0,IF((YEAR(D184)+18)&gt;YEAR(E184),1,(12-MONTH(E184)+1)/12))))-((P184)*(IF((YEAR(D184)+18)&lt;YEAR(E184),0,IF((YEAR(D184)+18)&gt;YEAR(E184),1,(12-MONTH(E184)+1)/12))) + (R184)*(IF((YEAR(D184)+18)&lt;YEAR(E184),0,IF((YEAR(D184)+18)&gt;YEAR(E184),1,(12-MONTH(E184)+1)/12))))-(IF(OR(N184="",N184&lt;=0),0,(O184/N184)*(IF(OR(N184="",N184&lt;=0),0,IF((YEAR(D184)+18)&lt;YEAR(E184),0,IF((YEAR(D184)+18)&gt;=YEAR(E184)+N184,0,IF((YEAR(D184)+18)=YEAR(E184),(12-MONTH(E184)+1)/12,1))))))))*TaxRate,0))-IF(18=0,O184,0))</f>
        <v/>
      </c>
      <c r="AL184" s="29">
        <f>IF(A184="","",((K184)*(IF(M184="",L184,IFERROR(IF(INDEX(Variablen!$I:$AT, MATCH(M184, Variablen!$A:$A, 0), MATCH((YEAR(D184)+19), Variablen!$I$3:$AT$3, 0))="",L184,INDEX(Variablen!$I:$AT, MATCH(M184, Variablen!$A:$A, 0), MATCH((YEAR(D184)+19), Variablen!$I$3:$AT$3, 0))),L184)))*(IF((YEAR(D184)+19)&lt;YEAR(E184),0,IF((YEAR(D184)+19)&gt;YEAR(E184),1,(12-MONTH(E184)+1)/12))) + (Q184)*(IF((YEAR(D184)+19)&lt;YEAR(E184),0,IF((YEAR(D184)+19)&gt;YEAR(E184),1,(12-MONTH(E184)+1)/12))))-((P184)*(IF((YEAR(D184)+19)&lt;YEAR(E184),0,IF((YEAR(D184)+19)&gt;YEAR(E184),1,(12-MONTH(E184)+1)/12))) + (R184)*(IF((YEAR(D184)+19)&lt;YEAR(E184),0,IF((YEAR(D184)+19)&gt;YEAR(E184),1,(12-MONTH(E184)+1)/12))))-(IF((((K184)*(IF(M184="",L184,IFERROR(IF(INDEX(Variablen!$I:$AT, MATCH(M184, Variablen!$A:$A, 0), MATCH((YEAR(D184)+19), Variablen!$I$3:$AT$3, 0))="",L184,INDEX(Variablen!$I:$AT, MATCH(M184, Variablen!$A:$A, 0), MATCH((YEAR(D184)+19), Variablen!$I$3:$AT$3, 0))),L184)))*(IF((YEAR(D184)+19)&lt;YEAR(E184),0,IF((YEAR(D184)+19)&gt;YEAR(E184),1,(12-MONTH(E184)+1)/12))) + (Q184)*(IF((YEAR(D184)+19)&lt;YEAR(E184),0,IF((YEAR(D184)+19)&gt;YEAR(E184),1,(12-MONTH(E184)+1)/12))))-((P184)*(IF((YEAR(D184)+19)&lt;YEAR(E184),0,IF((YEAR(D184)+19)&gt;YEAR(E184),1,(12-MONTH(E184)+1)/12))) + (R184)*(IF((YEAR(D184)+19)&lt;YEAR(E184),0,IF((YEAR(D184)+19)&gt;YEAR(E184),1,(12-MONTH(E184)+1)/12))))-(IF(OR(N184="",N184&lt;=0),0,(O184/N184)*(IF(OR(N184="",N184&lt;=0),0,IF((YEAR(D184)+19)&lt;YEAR(E184),0,IF((YEAR(D184)+19)&gt;=YEAR(E184)+N184,0,IF((YEAR(D184)+19)=YEAR(E184),(12-MONTH(E184)+1)/12,1))))))))&gt;0,(((K184)*(IF(M184="",L184,IFERROR(IF(INDEX(Variablen!$I:$AT, MATCH(M184, Variablen!$A:$A, 0), MATCH((YEAR(D184)+19), Variablen!$I$3:$AT$3, 0))="",L184,INDEX(Variablen!$I:$AT, MATCH(M184, Variablen!$A:$A, 0), MATCH((YEAR(D184)+19), Variablen!$I$3:$AT$3, 0))),L184)))*(IF((YEAR(D184)+19)&lt;YEAR(E184),0,IF((YEAR(D184)+19)&gt;YEAR(E184),1,(12-MONTH(E184)+1)/12))) + (Q184)*(IF((YEAR(D184)+19)&lt;YEAR(E184),0,IF((YEAR(D184)+19)&gt;YEAR(E184),1,(12-MONTH(E184)+1)/12))))-((P184)*(IF((YEAR(D184)+19)&lt;YEAR(E184),0,IF((YEAR(D184)+19)&gt;YEAR(E184),1,(12-MONTH(E184)+1)/12))) + (R184)*(IF((YEAR(D184)+19)&lt;YEAR(E184),0,IF((YEAR(D184)+19)&gt;YEAR(E184),1,(12-MONTH(E184)+1)/12))))-(IF(OR(N184="",N184&lt;=0),0,(O184/N184)*(IF(OR(N184="",N184&lt;=0),0,IF((YEAR(D184)+19)&lt;YEAR(E184),0,IF((YEAR(D184)+19)&gt;=YEAR(E184)+N184,0,IF((YEAR(D184)+19)=YEAR(E184),(12-MONTH(E184)+1)/12,1))))))))*TaxRate,0))-IF(19=0,O184,0))</f>
        <v/>
      </c>
      <c r="AM184" s="29">
        <f>IF(A184="","",((K184)*(IF(M184="",L184,IFERROR(IF(INDEX(Variablen!$I:$AT, MATCH(M184, Variablen!$A:$A, 0), MATCH((YEAR(D184)+20), Variablen!$I$3:$AT$3, 0))="",L184,INDEX(Variablen!$I:$AT, MATCH(M184, Variablen!$A:$A, 0), MATCH((YEAR(D184)+20), Variablen!$I$3:$AT$3, 0))),L184)))*(IF((YEAR(D184)+20)&lt;YEAR(E184),0,IF((YEAR(D184)+20)&gt;YEAR(E184),1,(12-MONTH(E184)+1)/12))) + (Q184)*(IF((YEAR(D184)+20)&lt;YEAR(E184),0,IF((YEAR(D184)+20)&gt;YEAR(E184),1,(12-MONTH(E184)+1)/12))))-((P184)*(IF((YEAR(D184)+20)&lt;YEAR(E184),0,IF((YEAR(D184)+20)&gt;YEAR(E184),1,(12-MONTH(E184)+1)/12))) + (R184)*(IF((YEAR(D184)+20)&lt;YEAR(E184),0,IF((YEAR(D184)+20)&gt;YEAR(E184),1,(12-MONTH(E184)+1)/12))))-(IF((((K184)*(IF(M184="",L184,IFERROR(IF(INDEX(Variablen!$I:$AT, MATCH(M184, Variablen!$A:$A, 0), MATCH((YEAR(D184)+20), Variablen!$I$3:$AT$3, 0))="",L184,INDEX(Variablen!$I:$AT, MATCH(M184, Variablen!$A:$A, 0), MATCH((YEAR(D184)+20), Variablen!$I$3:$AT$3, 0))),L184)))*(IF((YEAR(D184)+20)&lt;YEAR(E184),0,IF((YEAR(D184)+20)&gt;YEAR(E184),1,(12-MONTH(E184)+1)/12))) + (Q184)*(IF((YEAR(D184)+20)&lt;YEAR(E184),0,IF((YEAR(D184)+20)&gt;YEAR(E184),1,(12-MONTH(E184)+1)/12))))-((P184)*(IF((YEAR(D184)+20)&lt;YEAR(E184),0,IF((YEAR(D184)+20)&gt;YEAR(E184),1,(12-MONTH(E184)+1)/12))) + (R184)*(IF((YEAR(D184)+20)&lt;YEAR(E184),0,IF((YEAR(D184)+20)&gt;YEAR(E184),1,(12-MONTH(E184)+1)/12))))-(IF(OR(N184="",N184&lt;=0),0,(O184/N184)*(IF(OR(N184="",N184&lt;=0),0,IF((YEAR(D184)+20)&lt;YEAR(E184),0,IF((YEAR(D184)+20)&gt;=YEAR(E184)+N184,0,IF((YEAR(D184)+20)=YEAR(E184),(12-MONTH(E184)+1)/12,1))))))))&gt;0,(((K184)*(IF(M184="",L184,IFERROR(IF(INDEX(Variablen!$I:$AT, MATCH(M184, Variablen!$A:$A, 0), MATCH((YEAR(D184)+20), Variablen!$I$3:$AT$3, 0))="",L184,INDEX(Variablen!$I:$AT, MATCH(M184, Variablen!$A:$A, 0), MATCH((YEAR(D184)+20), Variablen!$I$3:$AT$3, 0))),L184)))*(IF((YEAR(D184)+20)&lt;YEAR(E184),0,IF((YEAR(D184)+20)&gt;YEAR(E184),1,(12-MONTH(E184)+1)/12))) + (Q184)*(IF((YEAR(D184)+20)&lt;YEAR(E184),0,IF((YEAR(D184)+20)&gt;YEAR(E184),1,(12-MONTH(E184)+1)/12))))-((P184)*(IF((YEAR(D184)+20)&lt;YEAR(E184),0,IF((YEAR(D184)+20)&gt;YEAR(E184),1,(12-MONTH(E184)+1)/12))) + (R184)*(IF((YEAR(D184)+20)&lt;YEAR(E184),0,IF((YEAR(D184)+20)&gt;YEAR(E184),1,(12-MONTH(E184)+1)/12))))-(IF(OR(N184="",N184&lt;=0),0,(O184/N184)*(IF(OR(N184="",N184&lt;=0),0,IF((YEAR(D184)+20)&lt;YEAR(E184),0,IF((YEAR(D184)+20)&gt;=YEAR(E184)+N184,0,IF((YEAR(D184)+20)=YEAR(E184),(12-MONTH(E184)+1)/12,1))))))))*TaxRate,0))-IF(20=0,O184,0))</f>
        <v/>
      </c>
      <c r="AN184" s="29">
        <f>IF(A184="","",S184)</f>
        <v/>
      </c>
      <c r="AO184" s="29">
        <f>IF(A184="","",AN184+T184)</f>
        <v/>
      </c>
      <c r="AP184" s="29">
        <f>IF(A184="","",AO184+U184)</f>
        <v/>
      </c>
      <c r="AQ184" s="29">
        <f>IF(A184="","",AP184+V184)</f>
        <v/>
      </c>
      <c r="AR184" s="29">
        <f>IF(A184="","",AQ184+W184)</f>
        <v/>
      </c>
      <c r="AS184" s="29">
        <f>IF(A184="","",AR184+X184)</f>
        <v/>
      </c>
      <c r="AT184" s="29">
        <f>IF(A184="","",AS184+Y184)</f>
        <v/>
      </c>
      <c r="AU184" s="29">
        <f>IF(A184="","",AT184+Z184)</f>
        <v/>
      </c>
      <c r="AV184" s="29">
        <f>IF(A184="","",AU184+AA184)</f>
        <v/>
      </c>
      <c r="AW184" s="29">
        <f>IF(A184="","",AV184+AB184)</f>
        <v/>
      </c>
      <c r="AX184" s="29">
        <f>IF(A184="","",AW184+AC184)</f>
        <v/>
      </c>
      <c r="AY184" s="29">
        <f>IF(A184="","",AX184+AD184)</f>
        <v/>
      </c>
      <c r="AZ184" s="29">
        <f>IF(A184="","",AY184+AE184)</f>
        <v/>
      </c>
      <c r="BA184" s="29">
        <f>IF(A184="","",AZ184+AF184)</f>
        <v/>
      </c>
      <c r="BB184" s="29">
        <f>IF(A184="","",BA184+AG184)</f>
        <v/>
      </c>
      <c r="BC184" s="29">
        <f>IF(A184="","",BB184+AH184)</f>
        <v/>
      </c>
      <c r="BD184" s="29">
        <f>IF(A184="","",BC184+AI184)</f>
        <v/>
      </c>
      <c r="BE184" s="29">
        <f>IF(A184="","",BD184+AJ184)</f>
        <v/>
      </c>
      <c r="BF184" s="29">
        <f>IF(A184="","",BE184+AK184)</f>
        <v/>
      </c>
      <c r="BG184" s="29">
        <f>IF(A184="","",BF184+AL184)</f>
        <v/>
      </c>
      <c r="BH184" s="29">
        <f>IF(A184="","",BG184+AM184)</f>
        <v/>
      </c>
      <c r="BI184" s="36">
        <f>IF(A184="","",(K184)*(IF((YEAR(D184)+0)&lt;YEAR(E184),0,IF((YEAR(D184)+0)&gt;YEAR(E184),1,(12-MONTH(E184)+1)/12)))*(1/(1+DiscountRate)^0))</f>
        <v/>
      </c>
      <c r="BJ184" s="36">
        <f>IF(A184="","",(K184)*(IF((YEAR(D184)+1)&lt;YEAR(E184),0,IF((YEAR(D184)+1)&gt;YEAR(E184),1,(12-MONTH(E184)+1)/12)))*(1/(1+DiscountRate)^1))</f>
        <v/>
      </c>
      <c r="BK184" s="36">
        <f>IF(A184="","",(K184)*(IF((YEAR(D184)+2)&lt;YEAR(E184),0,IF((YEAR(D184)+2)&gt;YEAR(E184),1,(12-MONTH(E184)+1)/12)))*(1/(1+DiscountRate)^2))</f>
        <v/>
      </c>
      <c r="BL184" s="36">
        <f>IF(A184="","",(K184)*(IF((YEAR(D184)+3)&lt;YEAR(E184),0,IF((YEAR(D184)+3)&gt;YEAR(E184),1,(12-MONTH(E184)+1)/12)))*(1/(1+DiscountRate)^3))</f>
        <v/>
      </c>
      <c r="BM184" s="36">
        <f>IF(A184="","",(K184)*(IF((YEAR(D184)+4)&lt;YEAR(E184),0,IF((YEAR(D184)+4)&gt;YEAR(E184),1,(12-MONTH(E184)+1)/12)))*(1/(1+DiscountRate)^4))</f>
        <v/>
      </c>
      <c r="BN184" s="36">
        <f>IF(A184="","",(K184)*(IF((YEAR(D184)+5)&lt;YEAR(E184),0,IF((YEAR(D184)+5)&gt;YEAR(E184),1,(12-MONTH(E184)+1)/12)))*(1/(1+DiscountRate)^5))</f>
        <v/>
      </c>
      <c r="BO184" s="36">
        <f>IF(A184="","",(K184)*(IF((YEAR(D184)+6)&lt;YEAR(E184),0,IF((YEAR(D184)+6)&gt;YEAR(E184),1,(12-MONTH(E184)+1)/12)))*(1/(1+DiscountRate)^6))</f>
        <v/>
      </c>
      <c r="BP184" s="36">
        <f>IF(A184="","",(K184)*(IF((YEAR(D184)+7)&lt;YEAR(E184),0,IF((YEAR(D184)+7)&gt;YEAR(E184),1,(12-MONTH(E184)+1)/12)))*(1/(1+DiscountRate)^7))</f>
        <v/>
      </c>
      <c r="BQ184" s="36">
        <f>IF(A184="","",(K184)*(IF((YEAR(D184)+8)&lt;YEAR(E184),0,IF((YEAR(D184)+8)&gt;YEAR(E184),1,(12-MONTH(E184)+1)/12)))*(1/(1+DiscountRate)^8))</f>
        <v/>
      </c>
      <c r="BR184" s="36">
        <f>IF(A184="","",(K184)*(IF((YEAR(D184)+9)&lt;YEAR(E184),0,IF((YEAR(D184)+9)&gt;YEAR(E184),1,(12-MONTH(E184)+1)/12)))*(1/(1+DiscountRate)^9))</f>
        <v/>
      </c>
      <c r="BS184" s="36">
        <f>IF(A184="","",(K184)*(IF((YEAR(D184)+10)&lt;YEAR(E184),0,IF((YEAR(D184)+10)&gt;YEAR(E184),1,(12-MONTH(E184)+1)/12)))*(1/(1+DiscountRate)^10))</f>
        <v/>
      </c>
      <c r="BT184" s="36">
        <f>IF(A184="","",(K184)*(IF((YEAR(D184)+11)&lt;YEAR(E184),0,IF((YEAR(D184)+11)&gt;YEAR(E184),1,(12-MONTH(E184)+1)/12)))*(1/(1+DiscountRate)^11))</f>
        <v/>
      </c>
      <c r="BU184" s="36">
        <f>IF(A184="","",(K184)*(IF((YEAR(D184)+12)&lt;YEAR(E184),0,IF((YEAR(D184)+12)&gt;YEAR(E184),1,(12-MONTH(E184)+1)/12)))*(1/(1+DiscountRate)^12))</f>
        <v/>
      </c>
      <c r="BV184" s="36">
        <f>IF(A184="","",(K184)*(IF((YEAR(D184)+13)&lt;YEAR(E184),0,IF((YEAR(D184)+13)&gt;YEAR(E184),1,(12-MONTH(E184)+1)/12)))*(1/(1+DiscountRate)^13))</f>
        <v/>
      </c>
      <c r="BW184" s="36">
        <f>IF(A184="","",(K184)*(IF((YEAR(D184)+14)&lt;YEAR(E184),0,IF((YEAR(D184)+14)&gt;YEAR(E184),1,(12-MONTH(E184)+1)/12)))*(1/(1+DiscountRate)^14))</f>
        <v/>
      </c>
      <c r="BX184" s="36">
        <f>IF(A184="","",(K184)*(IF((YEAR(D184)+15)&lt;YEAR(E184),0,IF((YEAR(D184)+15)&gt;YEAR(E184),1,(12-MONTH(E184)+1)/12)))*(1/(1+DiscountRate)^15))</f>
        <v/>
      </c>
      <c r="BY184" s="36">
        <f>IF(A184="","",(K184)*(IF((YEAR(D184)+16)&lt;YEAR(E184),0,IF((YEAR(D184)+16)&gt;YEAR(E184),1,(12-MONTH(E184)+1)/12)))*(1/(1+DiscountRate)^16))</f>
        <v/>
      </c>
      <c r="BZ184" s="36">
        <f>IF(A184="","",(K184)*(IF((YEAR(D184)+17)&lt;YEAR(E184),0,IF((YEAR(D184)+17)&gt;YEAR(E184),1,(12-MONTH(E184)+1)/12)))*(1/(1+DiscountRate)^17))</f>
        <v/>
      </c>
      <c r="CA184" s="36">
        <f>IF(A184="","",(K184)*(IF((YEAR(D184)+18)&lt;YEAR(E184),0,IF((YEAR(D184)+18)&gt;YEAR(E184),1,(12-MONTH(E184)+1)/12)))*(1/(1+DiscountRate)^18))</f>
        <v/>
      </c>
      <c r="CB184" s="36">
        <f>IF(A184="","",(K184)*(IF((YEAR(D184)+19)&lt;YEAR(E184),0,IF((YEAR(D184)+19)&gt;YEAR(E184),1,(12-MONTH(E184)+1)/12)))*(1/(1+DiscountRate)^19))</f>
        <v/>
      </c>
      <c r="CC184" s="36">
        <f>IF(A184="","",(K184)*(IF((YEAR(D184)+20)&lt;YEAR(E184),0,IF((YEAR(D184)+20)&gt;YEAR(E184),1,(12-MONTH(E184)+1)/12)))*(1/(1+DiscountRate)^20))</f>
        <v/>
      </c>
      <c r="CD184" s="29">
        <f>IF(A184="","",S184/(1+DiscountRate)^0+T184/(1+DiscountRate)^1+U184/(1+DiscountRate)^2+V184/(1+DiscountRate)^3+W184/(1+DiscountRate)^4+X184/(1+DiscountRate)^5+Y184/(1+DiscountRate)^6+Z184/(1+DiscountRate)^7+AA184/(1+DiscountRate)^8+AB184/(1+DiscountRate)^9+AC184/(1+DiscountRate)^10+AD184/(1+DiscountRate)^11+AE184/(1+DiscountRate)^12+AF184/(1+DiscountRate)^13+AG184/(1+DiscountRate)^14+AH184/(1+DiscountRate)^15+AI184/(1+DiscountRate)^16+AJ184/(1+DiscountRate)^17+AK184/(1+DiscountRate)^18+AL184/(1+DiscountRate)^19+AM184/(1+DiscountRate)^20)</f>
        <v/>
      </c>
      <c r="CE184" s="37">
        <f>IF(A184="","",IFERROR(IRR(OFFSET(S184,0,0,1,MIN(HorizonYears,20)+1)),"n/a"))</f>
        <v/>
      </c>
      <c r="CF184" s="28">
        <f>IF(A184="","",IFERROR(MATCH(TRUE,OFFSET(AN184,0,0,1,MIN(HorizonYears,20)+1)&gt;=0,0)-1,"n/a"))</f>
        <v/>
      </c>
      <c r="CG184" s="36">
        <f>IF(A184="","",SUM(OFFSET(BI184,0,0,1,MIN(HorizonYears,20)+1)))</f>
        <v/>
      </c>
      <c r="CH184" s="36">
        <f>IF(A184="","",IFERROR(-CD184/CG184,"n/a"))</f>
        <v/>
      </c>
    </row>
    <row r="185">
      <c r="A185" s="6">
        <f>Actions!A183</f>
        <v/>
      </c>
      <c r="B185" s="6">
        <f>Actions!B183</f>
        <v/>
      </c>
      <c r="C185" s="6">
        <f>Actions!D183</f>
        <v/>
      </c>
      <c r="D185" s="35">
        <f>Actions!E183</f>
        <v/>
      </c>
      <c r="E185" s="35">
        <f>Actions!F183</f>
        <v/>
      </c>
      <c r="F185" s="6">
        <f>Actions!G183</f>
        <v/>
      </c>
      <c r="G185" s="6">
        <f>Actions!H183</f>
        <v/>
      </c>
      <c r="H185" s="29">
        <f>Actions!I183</f>
        <v/>
      </c>
      <c r="I185" s="6">
        <f>Actions!J183</f>
        <v/>
      </c>
      <c r="J185" s="16">
        <f>Actions!K183</f>
        <v/>
      </c>
      <c r="K185" s="16">
        <f>IF(A185="","",IF(I185="%",H185*J185,J185))</f>
        <v/>
      </c>
      <c r="L185" s="16">
        <f>Actions!L183</f>
        <v/>
      </c>
      <c r="M185" s="6">
        <f>Actions!M183</f>
        <v/>
      </c>
      <c r="N185" s="28">
        <f>Actions!N183</f>
        <v/>
      </c>
      <c r="O185" s="29">
        <f>Actions!T183</f>
        <v/>
      </c>
      <c r="P185" s="29">
        <f>Actions!Y183</f>
        <v/>
      </c>
      <c r="Q185" s="29">
        <f>Actions!Z183</f>
        <v/>
      </c>
      <c r="R185" s="29">
        <f>Actions!AA183</f>
        <v/>
      </c>
      <c r="S185" s="29">
        <f>IF(A185="","",((K185)*(IF(M185="",L185,IFERROR(IF(INDEX(Variablen!$I:$AT, MATCH(M185, Variablen!$A:$A, 0), MATCH((YEAR(D185)+0), Variablen!$I$3:$AT$3, 0))="",L185,INDEX(Variablen!$I:$AT, MATCH(M185, Variablen!$A:$A, 0), MATCH((YEAR(D185)+0), Variablen!$I$3:$AT$3, 0))),L185)))*(IF((YEAR(D185)+0)&lt;YEAR(E185),0,IF((YEAR(D185)+0)&gt;YEAR(E185),1,(12-MONTH(E185)+1)/12))) + (Q185)*(IF((YEAR(D185)+0)&lt;YEAR(E185),0,IF((YEAR(D185)+0)&gt;YEAR(E185),1,(12-MONTH(E185)+1)/12))))-((P185)*(IF((YEAR(D185)+0)&lt;YEAR(E185),0,IF((YEAR(D185)+0)&gt;YEAR(E185),1,(12-MONTH(E185)+1)/12))) + (R185)*(IF((YEAR(D185)+0)&lt;YEAR(E185),0,IF((YEAR(D185)+0)&gt;YEAR(E185),1,(12-MONTH(E185)+1)/12))))-(IF((((K185)*(IF(M185="",L185,IFERROR(IF(INDEX(Variablen!$I:$AT, MATCH(M185, Variablen!$A:$A, 0), MATCH((YEAR(D185)+0), Variablen!$I$3:$AT$3, 0))="",L185,INDEX(Variablen!$I:$AT, MATCH(M185, Variablen!$A:$A, 0), MATCH((YEAR(D185)+0), Variablen!$I$3:$AT$3, 0))),L185)))*(IF((YEAR(D185)+0)&lt;YEAR(E185),0,IF((YEAR(D185)+0)&gt;YEAR(E185),1,(12-MONTH(E185)+1)/12))) + (Q185)*(IF((YEAR(D185)+0)&lt;YEAR(E185),0,IF((YEAR(D185)+0)&gt;YEAR(E185),1,(12-MONTH(E185)+1)/12))))-((P185)*(IF((YEAR(D185)+0)&lt;YEAR(E185),0,IF((YEAR(D185)+0)&gt;YEAR(E185),1,(12-MONTH(E185)+1)/12))) + (R185)*(IF((YEAR(D185)+0)&lt;YEAR(E185),0,IF((YEAR(D185)+0)&gt;YEAR(E185),1,(12-MONTH(E185)+1)/12))))-(IF(OR(N185="",N185&lt;=0),0,(O185/N185)*(IF(OR(N185="",N185&lt;=0),0,IF((YEAR(D185)+0)&lt;YEAR(E185),0,IF((YEAR(D185)+0)&gt;=YEAR(E185)+N185,0,IF((YEAR(D185)+0)=YEAR(E185),(12-MONTH(E185)+1)/12,1))))))))&gt;0,(((K185)*(IF(M185="",L185,IFERROR(IF(INDEX(Variablen!$I:$AT, MATCH(M185, Variablen!$A:$A, 0), MATCH((YEAR(D185)+0), Variablen!$I$3:$AT$3, 0))="",L185,INDEX(Variablen!$I:$AT, MATCH(M185, Variablen!$A:$A, 0), MATCH((YEAR(D185)+0), Variablen!$I$3:$AT$3, 0))),L185)))*(IF((YEAR(D185)+0)&lt;YEAR(E185),0,IF((YEAR(D185)+0)&gt;YEAR(E185),1,(12-MONTH(E185)+1)/12))) + (Q185)*(IF((YEAR(D185)+0)&lt;YEAR(E185),0,IF((YEAR(D185)+0)&gt;YEAR(E185),1,(12-MONTH(E185)+1)/12))))-((P185)*(IF((YEAR(D185)+0)&lt;YEAR(E185),0,IF((YEAR(D185)+0)&gt;YEAR(E185),1,(12-MONTH(E185)+1)/12))) + (R185)*(IF((YEAR(D185)+0)&lt;YEAR(E185),0,IF((YEAR(D185)+0)&gt;YEAR(E185),1,(12-MONTH(E185)+1)/12))))-(IF(OR(N185="",N185&lt;=0),0,(O185/N185)*(IF(OR(N185="",N185&lt;=0),0,IF((YEAR(D185)+0)&lt;YEAR(E185),0,IF((YEAR(D185)+0)&gt;=YEAR(E185)+N185,0,IF((YEAR(D185)+0)=YEAR(E185),(12-MONTH(E185)+1)/12,1))))))))*TaxRate,0))-IF(0=0,O185,0))</f>
        <v/>
      </c>
      <c r="T185" s="29">
        <f>IF(A185="","",((K185)*(IF(M185="",L185,IFERROR(IF(INDEX(Variablen!$I:$AT, MATCH(M185, Variablen!$A:$A, 0), MATCH((YEAR(D185)+1), Variablen!$I$3:$AT$3, 0))="",L185,INDEX(Variablen!$I:$AT, MATCH(M185, Variablen!$A:$A, 0), MATCH((YEAR(D185)+1), Variablen!$I$3:$AT$3, 0))),L185)))*(IF((YEAR(D185)+1)&lt;YEAR(E185),0,IF((YEAR(D185)+1)&gt;YEAR(E185),1,(12-MONTH(E185)+1)/12))) + (Q185)*(IF((YEAR(D185)+1)&lt;YEAR(E185),0,IF((YEAR(D185)+1)&gt;YEAR(E185),1,(12-MONTH(E185)+1)/12))))-((P185)*(IF((YEAR(D185)+1)&lt;YEAR(E185),0,IF((YEAR(D185)+1)&gt;YEAR(E185),1,(12-MONTH(E185)+1)/12))) + (R185)*(IF((YEAR(D185)+1)&lt;YEAR(E185),0,IF((YEAR(D185)+1)&gt;YEAR(E185),1,(12-MONTH(E185)+1)/12))))-(IF((((K185)*(IF(M185="",L185,IFERROR(IF(INDEX(Variablen!$I:$AT, MATCH(M185, Variablen!$A:$A, 0), MATCH((YEAR(D185)+1), Variablen!$I$3:$AT$3, 0))="",L185,INDEX(Variablen!$I:$AT, MATCH(M185, Variablen!$A:$A, 0), MATCH((YEAR(D185)+1), Variablen!$I$3:$AT$3, 0))),L185)))*(IF((YEAR(D185)+1)&lt;YEAR(E185),0,IF((YEAR(D185)+1)&gt;YEAR(E185),1,(12-MONTH(E185)+1)/12))) + (Q185)*(IF((YEAR(D185)+1)&lt;YEAR(E185),0,IF((YEAR(D185)+1)&gt;YEAR(E185),1,(12-MONTH(E185)+1)/12))))-((P185)*(IF((YEAR(D185)+1)&lt;YEAR(E185),0,IF((YEAR(D185)+1)&gt;YEAR(E185),1,(12-MONTH(E185)+1)/12))) + (R185)*(IF((YEAR(D185)+1)&lt;YEAR(E185),0,IF((YEAR(D185)+1)&gt;YEAR(E185),1,(12-MONTH(E185)+1)/12))))-(IF(OR(N185="",N185&lt;=0),0,(O185/N185)*(IF(OR(N185="",N185&lt;=0),0,IF((YEAR(D185)+1)&lt;YEAR(E185),0,IF((YEAR(D185)+1)&gt;=YEAR(E185)+N185,0,IF((YEAR(D185)+1)=YEAR(E185),(12-MONTH(E185)+1)/12,1))))))))&gt;0,(((K185)*(IF(M185="",L185,IFERROR(IF(INDEX(Variablen!$I:$AT, MATCH(M185, Variablen!$A:$A, 0), MATCH((YEAR(D185)+1), Variablen!$I$3:$AT$3, 0))="",L185,INDEX(Variablen!$I:$AT, MATCH(M185, Variablen!$A:$A, 0), MATCH((YEAR(D185)+1), Variablen!$I$3:$AT$3, 0))),L185)))*(IF((YEAR(D185)+1)&lt;YEAR(E185),0,IF((YEAR(D185)+1)&gt;YEAR(E185),1,(12-MONTH(E185)+1)/12))) + (Q185)*(IF((YEAR(D185)+1)&lt;YEAR(E185),0,IF((YEAR(D185)+1)&gt;YEAR(E185),1,(12-MONTH(E185)+1)/12))))-((P185)*(IF((YEAR(D185)+1)&lt;YEAR(E185),0,IF((YEAR(D185)+1)&gt;YEAR(E185),1,(12-MONTH(E185)+1)/12))) + (R185)*(IF((YEAR(D185)+1)&lt;YEAR(E185),0,IF((YEAR(D185)+1)&gt;YEAR(E185),1,(12-MONTH(E185)+1)/12))))-(IF(OR(N185="",N185&lt;=0),0,(O185/N185)*(IF(OR(N185="",N185&lt;=0),0,IF((YEAR(D185)+1)&lt;YEAR(E185),0,IF((YEAR(D185)+1)&gt;=YEAR(E185)+N185,0,IF((YEAR(D185)+1)=YEAR(E185),(12-MONTH(E185)+1)/12,1))))))))*TaxRate,0))-IF(1=0,O185,0))</f>
        <v/>
      </c>
      <c r="U185" s="29">
        <f>IF(A185="","",((K185)*(IF(M185="",L185,IFERROR(IF(INDEX(Variablen!$I:$AT, MATCH(M185, Variablen!$A:$A, 0), MATCH((YEAR(D185)+2), Variablen!$I$3:$AT$3, 0))="",L185,INDEX(Variablen!$I:$AT, MATCH(M185, Variablen!$A:$A, 0), MATCH((YEAR(D185)+2), Variablen!$I$3:$AT$3, 0))),L185)))*(IF((YEAR(D185)+2)&lt;YEAR(E185),0,IF((YEAR(D185)+2)&gt;YEAR(E185),1,(12-MONTH(E185)+1)/12))) + (Q185)*(IF((YEAR(D185)+2)&lt;YEAR(E185),0,IF((YEAR(D185)+2)&gt;YEAR(E185),1,(12-MONTH(E185)+1)/12))))-((P185)*(IF((YEAR(D185)+2)&lt;YEAR(E185),0,IF((YEAR(D185)+2)&gt;YEAR(E185),1,(12-MONTH(E185)+1)/12))) + (R185)*(IF((YEAR(D185)+2)&lt;YEAR(E185),0,IF((YEAR(D185)+2)&gt;YEAR(E185),1,(12-MONTH(E185)+1)/12))))-(IF((((K185)*(IF(M185="",L185,IFERROR(IF(INDEX(Variablen!$I:$AT, MATCH(M185, Variablen!$A:$A, 0), MATCH((YEAR(D185)+2), Variablen!$I$3:$AT$3, 0))="",L185,INDEX(Variablen!$I:$AT, MATCH(M185, Variablen!$A:$A, 0), MATCH((YEAR(D185)+2), Variablen!$I$3:$AT$3, 0))),L185)))*(IF((YEAR(D185)+2)&lt;YEAR(E185),0,IF((YEAR(D185)+2)&gt;YEAR(E185),1,(12-MONTH(E185)+1)/12))) + (Q185)*(IF((YEAR(D185)+2)&lt;YEAR(E185),0,IF((YEAR(D185)+2)&gt;YEAR(E185),1,(12-MONTH(E185)+1)/12))))-((P185)*(IF((YEAR(D185)+2)&lt;YEAR(E185),0,IF((YEAR(D185)+2)&gt;YEAR(E185),1,(12-MONTH(E185)+1)/12))) + (R185)*(IF((YEAR(D185)+2)&lt;YEAR(E185),0,IF((YEAR(D185)+2)&gt;YEAR(E185),1,(12-MONTH(E185)+1)/12))))-(IF(OR(N185="",N185&lt;=0),0,(O185/N185)*(IF(OR(N185="",N185&lt;=0),0,IF((YEAR(D185)+2)&lt;YEAR(E185),0,IF((YEAR(D185)+2)&gt;=YEAR(E185)+N185,0,IF((YEAR(D185)+2)=YEAR(E185),(12-MONTH(E185)+1)/12,1))))))))&gt;0,(((K185)*(IF(M185="",L185,IFERROR(IF(INDEX(Variablen!$I:$AT, MATCH(M185, Variablen!$A:$A, 0), MATCH((YEAR(D185)+2), Variablen!$I$3:$AT$3, 0))="",L185,INDEX(Variablen!$I:$AT, MATCH(M185, Variablen!$A:$A, 0), MATCH((YEAR(D185)+2), Variablen!$I$3:$AT$3, 0))),L185)))*(IF((YEAR(D185)+2)&lt;YEAR(E185),0,IF((YEAR(D185)+2)&gt;YEAR(E185),1,(12-MONTH(E185)+1)/12))) + (Q185)*(IF((YEAR(D185)+2)&lt;YEAR(E185),0,IF((YEAR(D185)+2)&gt;YEAR(E185),1,(12-MONTH(E185)+1)/12))))-((P185)*(IF((YEAR(D185)+2)&lt;YEAR(E185),0,IF((YEAR(D185)+2)&gt;YEAR(E185),1,(12-MONTH(E185)+1)/12))) + (R185)*(IF((YEAR(D185)+2)&lt;YEAR(E185),0,IF((YEAR(D185)+2)&gt;YEAR(E185),1,(12-MONTH(E185)+1)/12))))-(IF(OR(N185="",N185&lt;=0),0,(O185/N185)*(IF(OR(N185="",N185&lt;=0),0,IF((YEAR(D185)+2)&lt;YEAR(E185),0,IF((YEAR(D185)+2)&gt;=YEAR(E185)+N185,0,IF((YEAR(D185)+2)=YEAR(E185),(12-MONTH(E185)+1)/12,1))))))))*TaxRate,0))-IF(2=0,O185,0))</f>
        <v/>
      </c>
      <c r="V185" s="29">
        <f>IF(A185="","",((K185)*(IF(M185="",L185,IFERROR(IF(INDEX(Variablen!$I:$AT, MATCH(M185, Variablen!$A:$A, 0), MATCH((YEAR(D185)+3), Variablen!$I$3:$AT$3, 0))="",L185,INDEX(Variablen!$I:$AT, MATCH(M185, Variablen!$A:$A, 0), MATCH((YEAR(D185)+3), Variablen!$I$3:$AT$3, 0))),L185)))*(IF((YEAR(D185)+3)&lt;YEAR(E185),0,IF((YEAR(D185)+3)&gt;YEAR(E185),1,(12-MONTH(E185)+1)/12))) + (Q185)*(IF((YEAR(D185)+3)&lt;YEAR(E185),0,IF((YEAR(D185)+3)&gt;YEAR(E185),1,(12-MONTH(E185)+1)/12))))-((P185)*(IF((YEAR(D185)+3)&lt;YEAR(E185),0,IF((YEAR(D185)+3)&gt;YEAR(E185),1,(12-MONTH(E185)+1)/12))) + (R185)*(IF((YEAR(D185)+3)&lt;YEAR(E185),0,IF((YEAR(D185)+3)&gt;YEAR(E185),1,(12-MONTH(E185)+1)/12))))-(IF((((K185)*(IF(M185="",L185,IFERROR(IF(INDEX(Variablen!$I:$AT, MATCH(M185, Variablen!$A:$A, 0), MATCH((YEAR(D185)+3), Variablen!$I$3:$AT$3, 0))="",L185,INDEX(Variablen!$I:$AT, MATCH(M185, Variablen!$A:$A, 0), MATCH((YEAR(D185)+3), Variablen!$I$3:$AT$3, 0))),L185)))*(IF((YEAR(D185)+3)&lt;YEAR(E185),0,IF((YEAR(D185)+3)&gt;YEAR(E185),1,(12-MONTH(E185)+1)/12))) + (Q185)*(IF((YEAR(D185)+3)&lt;YEAR(E185),0,IF((YEAR(D185)+3)&gt;YEAR(E185),1,(12-MONTH(E185)+1)/12))))-((P185)*(IF((YEAR(D185)+3)&lt;YEAR(E185),0,IF((YEAR(D185)+3)&gt;YEAR(E185),1,(12-MONTH(E185)+1)/12))) + (R185)*(IF((YEAR(D185)+3)&lt;YEAR(E185),0,IF((YEAR(D185)+3)&gt;YEAR(E185),1,(12-MONTH(E185)+1)/12))))-(IF(OR(N185="",N185&lt;=0),0,(O185/N185)*(IF(OR(N185="",N185&lt;=0),0,IF((YEAR(D185)+3)&lt;YEAR(E185),0,IF((YEAR(D185)+3)&gt;=YEAR(E185)+N185,0,IF((YEAR(D185)+3)=YEAR(E185),(12-MONTH(E185)+1)/12,1))))))))&gt;0,(((K185)*(IF(M185="",L185,IFERROR(IF(INDEX(Variablen!$I:$AT, MATCH(M185, Variablen!$A:$A, 0), MATCH((YEAR(D185)+3), Variablen!$I$3:$AT$3, 0))="",L185,INDEX(Variablen!$I:$AT, MATCH(M185, Variablen!$A:$A, 0), MATCH((YEAR(D185)+3), Variablen!$I$3:$AT$3, 0))),L185)))*(IF((YEAR(D185)+3)&lt;YEAR(E185),0,IF((YEAR(D185)+3)&gt;YEAR(E185),1,(12-MONTH(E185)+1)/12))) + (Q185)*(IF((YEAR(D185)+3)&lt;YEAR(E185),0,IF((YEAR(D185)+3)&gt;YEAR(E185),1,(12-MONTH(E185)+1)/12))))-((P185)*(IF((YEAR(D185)+3)&lt;YEAR(E185),0,IF((YEAR(D185)+3)&gt;YEAR(E185),1,(12-MONTH(E185)+1)/12))) + (R185)*(IF((YEAR(D185)+3)&lt;YEAR(E185),0,IF((YEAR(D185)+3)&gt;YEAR(E185),1,(12-MONTH(E185)+1)/12))))-(IF(OR(N185="",N185&lt;=0),0,(O185/N185)*(IF(OR(N185="",N185&lt;=0),0,IF((YEAR(D185)+3)&lt;YEAR(E185),0,IF((YEAR(D185)+3)&gt;=YEAR(E185)+N185,0,IF((YEAR(D185)+3)=YEAR(E185),(12-MONTH(E185)+1)/12,1))))))))*TaxRate,0))-IF(3=0,O185,0))</f>
        <v/>
      </c>
      <c r="W185" s="29">
        <f>IF(A185="","",((K185)*(IF(M185="",L185,IFERROR(IF(INDEX(Variablen!$I:$AT, MATCH(M185, Variablen!$A:$A, 0), MATCH((YEAR(D185)+4), Variablen!$I$3:$AT$3, 0))="",L185,INDEX(Variablen!$I:$AT, MATCH(M185, Variablen!$A:$A, 0), MATCH((YEAR(D185)+4), Variablen!$I$3:$AT$3, 0))),L185)))*(IF((YEAR(D185)+4)&lt;YEAR(E185),0,IF((YEAR(D185)+4)&gt;YEAR(E185),1,(12-MONTH(E185)+1)/12))) + (Q185)*(IF((YEAR(D185)+4)&lt;YEAR(E185),0,IF((YEAR(D185)+4)&gt;YEAR(E185),1,(12-MONTH(E185)+1)/12))))-((P185)*(IF((YEAR(D185)+4)&lt;YEAR(E185),0,IF((YEAR(D185)+4)&gt;YEAR(E185),1,(12-MONTH(E185)+1)/12))) + (R185)*(IF((YEAR(D185)+4)&lt;YEAR(E185),0,IF((YEAR(D185)+4)&gt;YEAR(E185),1,(12-MONTH(E185)+1)/12))))-(IF((((K185)*(IF(M185="",L185,IFERROR(IF(INDEX(Variablen!$I:$AT, MATCH(M185, Variablen!$A:$A, 0), MATCH((YEAR(D185)+4), Variablen!$I$3:$AT$3, 0))="",L185,INDEX(Variablen!$I:$AT, MATCH(M185, Variablen!$A:$A, 0), MATCH((YEAR(D185)+4), Variablen!$I$3:$AT$3, 0))),L185)))*(IF((YEAR(D185)+4)&lt;YEAR(E185),0,IF((YEAR(D185)+4)&gt;YEAR(E185),1,(12-MONTH(E185)+1)/12))) + (Q185)*(IF((YEAR(D185)+4)&lt;YEAR(E185),0,IF((YEAR(D185)+4)&gt;YEAR(E185),1,(12-MONTH(E185)+1)/12))))-((P185)*(IF((YEAR(D185)+4)&lt;YEAR(E185),0,IF((YEAR(D185)+4)&gt;YEAR(E185),1,(12-MONTH(E185)+1)/12))) + (R185)*(IF((YEAR(D185)+4)&lt;YEAR(E185),0,IF((YEAR(D185)+4)&gt;YEAR(E185),1,(12-MONTH(E185)+1)/12))))-(IF(OR(N185="",N185&lt;=0),0,(O185/N185)*(IF(OR(N185="",N185&lt;=0),0,IF((YEAR(D185)+4)&lt;YEAR(E185),0,IF((YEAR(D185)+4)&gt;=YEAR(E185)+N185,0,IF((YEAR(D185)+4)=YEAR(E185),(12-MONTH(E185)+1)/12,1))))))))&gt;0,(((K185)*(IF(M185="",L185,IFERROR(IF(INDEX(Variablen!$I:$AT, MATCH(M185, Variablen!$A:$A, 0), MATCH((YEAR(D185)+4), Variablen!$I$3:$AT$3, 0))="",L185,INDEX(Variablen!$I:$AT, MATCH(M185, Variablen!$A:$A, 0), MATCH((YEAR(D185)+4), Variablen!$I$3:$AT$3, 0))),L185)))*(IF((YEAR(D185)+4)&lt;YEAR(E185),0,IF((YEAR(D185)+4)&gt;YEAR(E185),1,(12-MONTH(E185)+1)/12))) + (Q185)*(IF((YEAR(D185)+4)&lt;YEAR(E185),0,IF((YEAR(D185)+4)&gt;YEAR(E185),1,(12-MONTH(E185)+1)/12))))-((P185)*(IF((YEAR(D185)+4)&lt;YEAR(E185),0,IF((YEAR(D185)+4)&gt;YEAR(E185),1,(12-MONTH(E185)+1)/12))) + (R185)*(IF((YEAR(D185)+4)&lt;YEAR(E185),0,IF((YEAR(D185)+4)&gt;YEAR(E185),1,(12-MONTH(E185)+1)/12))))-(IF(OR(N185="",N185&lt;=0),0,(O185/N185)*(IF(OR(N185="",N185&lt;=0),0,IF((YEAR(D185)+4)&lt;YEAR(E185),0,IF((YEAR(D185)+4)&gt;=YEAR(E185)+N185,0,IF((YEAR(D185)+4)=YEAR(E185),(12-MONTH(E185)+1)/12,1))))))))*TaxRate,0))-IF(4=0,O185,0))</f>
        <v/>
      </c>
      <c r="X185" s="29">
        <f>IF(A185="","",((K185)*(IF(M185="",L185,IFERROR(IF(INDEX(Variablen!$I:$AT, MATCH(M185, Variablen!$A:$A, 0), MATCH((YEAR(D185)+5), Variablen!$I$3:$AT$3, 0))="",L185,INDEX(Variablen!$I:$AT, MATCH(M185, Variablen!$A:$A, 0), MATCH((YEAR(D185)+5), Variablen!$I$3:$AT$3, 0))),L185)))*(IF((YEAR(D185)+5)&lt;YEAR(E185),0,IF((YEAR(D185)+5)&gt;YEAR(E185),1,(12-MONTH(E185)+1)/12))) + (Q185)*(IF((YEAR(D185)+5)&lt;YEAR(E185),0,IF((YEAR(D185)+5)&gt;YEAR(E185),1,(12-MONTH(E185)+1)/12))))-((P185)*(IF((YEAR(D185)+5)&lt;YEAR(E185),0,IF((YEAR(D185)+5)&gt;YEAR(E185),1,(12-MONTH(E185)+1)/12))) + (R185)*(IF((YEAR(D185)+5)&lt;YEAR(E185),0,IF((YEAR(D185)+5)&gt;YEAR(E185),1,(12-MONTH(E185)+1)/12))))-(IF((((K185)*(IF(M185="",L185,IFERROR(IF(INDEX(Variablen!$I:$AT, MATCH(M185, Variablen!$A:$A, 0), MATCH((YEAR(D185)+5), Variablen!$I$3:$AT$3, 0))="",L185,INDEX(Variablen!$I:$AT, MATCH(M185, Variablen!$A:$A, 0), MATCH((YEAR(D185)+5), Variablen!$I$3:$AT$3, 0))),L185)))*(IF((YEAR(D185)+5)&lt;YEAR(E185),0,IF((YEAR(D185)+5)&gt;YEAR(E185),1,(12-MONTH(E185)+1)/12))) + (Q185)*(IF((YEAR(D185)+5)&lt;YEAR(E185),0,IF((YEAR(D185)+5)&gt;YEAR(E185),1,(12-MONTH(E185)+1)/12))))-((P185)*(IF((YEAR(D185)+5)&lt;YEAR(E185),0,IF((YEAR(D185)+5)&gt;YEAR(E185),1,(12-MONTH(E185)+1)/12))) + (R185)*(IF((YEAR(D185)+5)&lt;YEAR(E185),0,IF((YEAR(D185)+5)&gt;YEAR(E185),1,(12-MONTH(E185)+1)/12))))-(IF(OR(N185="",N185&lt;=0),0,(O185/N185)*(IF(OR(N185="",N185&lt;=0),0,IF((YEAR(D185)+5)&lt;YEAR(E185),0,IF((YEAR(D185)+5)&gt;=YEAR(E185)+N185,0,IF((YEAR(D185)+5)=YEAR(E185),(12-MONTH(E185)+1)/12,1))))))))&gt;0,(((K185)*(IF(M185="",L185,IFERROR(IF(INDEX(Variablen!$I:$AT, MATCH(M185, Variablen!$A:$A, 0), MATCH((YEAR(D185)+5), Variablen!$I$3:$AT$3, 0))="",L185,INDEX(Variablen!$I:$AT, MATCH(M185, Variablen!$A:$A, 0), MATCH((YEAR(D185)+5), Variablen!$I$3:$AT$3, 0))),L185)))*(IF((YEAR(D185)+5)&lt;YEAR(E185),0,IF((YEAR(D185)+5)&gt;YEAR(E185),1,(12-MONTH(E185)+1)/12))) + (Q185)*(IF((YEAR(D185)+5)&lt;YEAR(E185),0,IF((YEAR(D185)+5)&gt;YEAR(E185),1,(12-MONTH(E185)+1)/12))))-((P185)*(IF((YEAR(D185)+5)&lt;YEAR(E185),0,IF((YEAR(D185)+5)&gt;YEAR(E185),1,(12-MONTH(E185)+1)/12))) + (R185)*(IF((YEAR(D185)+5)&lt;YEAR(E185),0,IF((YEAR(D185)+5)&gt;YEAR(E185),1,(12-MONTH(E185)+1)/12))))-(IF(OR(N185="",N185&lt;=0),0,(O185/N185)*(IF(OR(N185="",N185&lt;=0),0,IF((YEAR(D185)+5)&lt;YEAR(E185),0,IF((YEAR(D185)+5)&gt;=YEAR(E185)+N185,0,IF((YEAR(D185)+5)=YEAR(E185),(12-MONTH(E185)+1)/12,1))))))))*TaxRate,0))-IF(5=0,O185,0))</f>
        <v/>
      </c>
      <c r="Y185" s="29">
        <f>IF(A185="","",((K185)*(IF(M185="",L185,IFERROR(IF(INDEX(Variablen!$I:$AT, MATCH(M185, Variablen!$A:$A, 0), MATCH((YEAR(D185)+6), Variablen!$I$3:$AT$3, 0))="",L185,INDEX(Variablen!$I:$AT, MATCH(M185, Variablen!$A:$A, 0), MATCH((YEAR(D185)+6), Variablen!$I$3:$AT$3, 0))),L185)))*(IF((YEAR(D185)+6)&lt;YEAR(E185),0,IF((YEAR(D185)+6)&gt;YEAR(E185),1,(12-MONTH(E185)+1)/12))) + (Q185)*(IF((YEAR(D185)+6)&lt;YEAR(E185),0,IF((YEAR(D185)+6)&gt;YEAR(E185),1,(12-MONTH(E185)+1)/12))))-((P185)*(IF((YEAR(D185)+6)&lt;YEAR(E185),0,IF((YEAR(D185)+6)&gt;YEAR(E185),1,(12-MONTH(E185)+1)/12))) + (R185)*(IF((YEAR(D185)+6)&lt;YEAR(E185),0,IF((YEAR(D185)+6)&gt;YEAR(E185),1,(12-MONTH(E185)+1)/12))))-(IF((((K185)*(IF(M185="",L185,IFERROR(IF(INDEX(Variablen!$I:$AT, MATCH(M185, Variablen!$A:$A, 0), MATCH((YEAR(D185)+6), Variablen!$I$3:$AT$3, 0))="",L185,INDEX(Variablen!$I:$AT, MATCH(M185, Variablen!$A:$A, 0), MATCH((YEAR(D185)+6), Variablen!$I$3:$AT$3, 0))),L185)))*(IF((YEAR(D185)+6)&lt;YEAR(E185),0,IF((YEAR(D185)+6)&gt;YEAR(E185),1,(12-MONTH(E185)+1)/12))) + (Q185)*(IF((YEAR(D185)+6)&lt;YEAR(E185),0,IF((YEAR(D185)+6)&gt;YEAR(E185),1,(12-MONTH(E185)+1)/12))))-((P185)*(IF((YEAR(D185)+6)&lt;YEAR(E185),0,IF((YEAR(D185)+6)&gt;YEAR(E185),1,(12-MONTH(E185)+1)/12))) + (R185)*(IF((YEAR(D185)+6)&lt;YEAR(E185),0,IF((YEAR(D185)+6)&gt;YEAR(E185),1,(12-MONTH(E185)+1)/12))))-(IF(OR(N185="",N185&lt;=0),0,(O185/N185)*(IF(OR(N185="",N185&lt;=0),0,IF((YEAR(D185)+6)&lt;YEAR(E185),0,IF((YEAR(D185)+6)&gt;=YEAR(E185)+N185,0,IF((YEAR(D185)+6)=YEAR(E185),(12-MONTH(E185)+1)/12,1))))))))&gt;0,(((K185)*(IF(M185="",L185,IFERROR(IF(INDEX(Variablen!$I:$AT, MATCH(M185, Variablen!$A:$A, 0), MATCH((YEAR(D185)+6), Variablen!$I$3:$AT$3, 0))="",L185,INDEX(Variablen!$I:$AT, MATCH(M185, Variablen!$A:$A, 0), MATCH((YEAR(D185)+6), Variablen!$I$3:$AT$3, 0))),L185)))*(IF((YEAR(D185)+6)&lt;YEAR(E185),0,IF((YEAR(D185)+6)&gt;YEAR(E185),1,(12-MONTH(E185)+1)/12))) + (Q185)*(IF((YEAR(D185)+6)&lt;YEAR(E185),0,IF((YEAR(D185)+6)&gt;YEAR(E185),1,(12-MONTH(E185)+1)/12))))-((P185)*(IF((YEAR(D185)+6)&lt;YEAR(E185),0,IF((YEAR(D185)+6)&gt;YEAR(E185),1,(12-MONTH(E185)+1)/12))) + (R185)*(IF((YEAR(D185)+6)&lt;YEAR(E185),0,IF((YEAR(D185)+6)&gt;YEAR(E185),1,(12-MONTH(E185)+1)/12))))-(IF(OR(N185="",N185&lt;=0),0,(O185/N185)*(IF(OR(N185="",N185&lt;=0),0,IF((YEAR(D185)+6)&lt;YEAR(E185),0,IF((YEAR(D185)+6)&gt;=YEAR(E185)+N185,0,IF((YEAR(D185)+6)=YEAR(E185),(12-MONTH(E185)+1)/12,1))))))))*TaxRate,0))-IF(6=0,O185,0))</f>
        <v/>
      </c>
      <c r="Z185" s="29">
        <f>IF(A185="","",((K185)*(IF(M185="",L185,IFERROR(IF(INDEX(Variablen!$I:$AT, MATCH(M185, Variablen!$A:$A, 0), MATCH((YEAR(D185)+7), Variablen!$I$3:$AT$3, 0))="",L185,INDEX(Variablen!$I:$AT, MATCH(M185, Variablen!$A:$A, 0), MATCH((YEAR(D185)+7), Variablen!$I$3:$AT$3, 0))),L185)))*(IF((YEAR(D185)+7)&lt;YEAR(E185),0,IF((YEAR(D185)+7)&gt;YEAR(E185),1,(12-MONTH(E185)+1)/12))) + (Q185)*(IF((YEAR(D185)+7)&lt;YEAR(E185),0,IF((YEAR(D185)+7)&gt;YEAR(E185),1,(12-MONTH(E185)+1)/12))))-((P185)*(IF((YEAR(D185)+7)&lt;YEAR(E185),0,IF((YEAR(D185)+7)&gt;YEAR(E185),1,(12-MONTH(E185)+1)/12))) + (R185)*(IF((YEAR(D185)+7)&lt;YEAR(E185),0,IF((YEAR(D185)+7)&gt;YEAR(E185),1,(12-MONTH(E185)+1)/12))))-(IF((((K185)*(IF(M185="",L185,IFERROR(IF(INDEX(Variablen!$I:$AT, MATCH(M185, Variablen!$A:$A, 0), MATCH((YEAR(D185)+7), Variablen!$I$3:$AT$3, 0))="",L185,INDEX(Variablen!$I:$AT, MATCH(M185, Variablen!$A:$A, 0), MATCH((YEAR(D185)+7), Variablen!$I$3:$AT$3, 0))),L185)))*(IF((YEAR(D185)+7)&lt;YEAR(E185),0,IF((YEAR(D185)+7)&gt;YEAR(E185),1,(12-MONTH(E185)+1)/12))) + (Q185)*(IF((YEAR(D185)+7)&lt;YEAR(E185),0,IF((YEAR(D185)+7)&gt;YEAR(E185),1,(12-MONTH(E185)+1)/12))))-((P185)*(IF((YEAR(D185)+7)&lt;YEAR(E185),0,IF((YEAR(D185)+7)&gt;YEAR(E185),1,(12-MONTH(E185)+1)/12))) + (R185)*(IF((YEAR(D185)+7)&lt;YEAR(E185),0,IF((YEAR(D185)+7)&gt;YEAR(E185),1,(12-MONTH(E185)+1)/12))))-(IF(OR(N185="",N185&lt;=0),0,(O185/N185)*(IF(OR(N185="",N185&lt;=0),0,IF((YEAR(D185)+7)&lt;YEAR(E185),0,IF((YEAR(D185)+7)&gt;=YEAR(E185)+N185,0,IF((YEAR(D185)+7)=YEAR(E185),(12-MONTH(E185)+1)/12,1))))))))&gt;0,(((K185)*(IF(M185="",L185,IFERROR(IF(INDEX(Variablen!$I:$AT, MATCH(M185, Variablen!$A:$A, 0), MATCH((YEAR(D185)+7), Variablen!$I$3:$AT$3, 0))="",L185,INDEX(Variablen!$I:$AT, MATCH(M185, Variablen!$A:$A, 0), MATCH((YEAR(D185)+7), Variablen!$I$3:$AT$3, 0))),L185)))*(IF((YEAR(D185)+7)&lt;YEAR(E185),0,IF((YEAR(D185)+7)&gt;YEAR(E185),1,(12-MONTH(E185)+1)/12))) + (Q185)*(IF((YEAR(D185)+7)&lt;YEAR(E185),0,IF((YEAR(D185)+7)&gt;YEAR(E185),1,(12-MONTH(E185)+1)/12))))-((P185)*(IF((YEAR(D185)+7)&lt;YEAR(E185),0,IF((YEAR(D185)+7)&gt;YEAR(E185),1,(12-MONTH(E185)+1)/12))) + (R185)*(IF((YEAR(D185)+7)&lt;YEAR(E185),0,IF((YEAR(D185)+7)&gt;YEAR(E185),1,(12-MONTH(E185)+1)/12))))-(IF(OR(N185="",N185&lt;=0),0,(O185/N185)*(IF(OR(N185="",N185&lt;=0),0,IF((YEAR(D185)+7)&lt;YEAR(E185),0,IF((YEAR(D185)+7)&gt;=YEAR(E185)+N185,0,IF((YEAR(D185)+7)=YEAR(E185),(12-MONTH(E185)+1)/12,1))))))))*TaxRate,0))-IF(7=0,O185,0))</f>
        <v/>
      </c>
      <c r="AA185" s="29">
        <f>IF(A185="","",((K185)*(IF(M185="",L185,IFERROR(IF(INDEX(Variablen!$I:$AT, MATCH(M185, Variablen!$A:$A, 0), MATCH((YEAR(D185)+8), Variablen!$I$3:$AT$3, 0))="",L185,INDEX(Variablen!$I:$AT, MATCH(M185, Variablen!$A:$A, 0), MATCH((YEAR(D185)+8), Variablen!$I$3:$AT$3, 0))),L185)))*(IF((YEAR(D185)+8)&lt;YEAR(E185),0,IF((YEAR(D185)+8)&gt;YEAR(E185),1,(12-MONTH(E185)+1)/12))) + (Q185)*(IF((YEAR(D185)+8)&lt;YEAR(E185),0,IF((YEAR(D185)+8)&gt;YEAR(E185),1,(12-MONTH(E185)+1)/12))))-((P185)*(IF((YEAR(D185)+8)&lt;YEAR(E185),0,IF((YEAR(D185)+8)&gt;YEAR(E185),1,(12-MONTH(E185)+1)/12))) + (R185)*(IF((YEAR(D185)+8)&lt;YEAR(E185),0,IF((YEAR(D185)+8)&gt;YEAR(E185),1,(12-MONTH(E185)+1)/12))))-(IF((((K185)*(IF(M185="",L185,IFERROR(IF(INDEX(Variablen!$I:$AT, MATCH(M185, Variablen!$A:$A, 0), MATCH((YEAR(D185)+8), Variablen!$I$3:$AT$3, 0))="",L185,INDEX(Variablen!$I:$AT, MATCH(M185, Variablen!$A:$A, 0), MATCH((YEAR(D185)+8), Variablen!$I$3:$AT$3, 0))),L185)))*(IF((YEAR(D185)+8)&lt;YEAR(E185),0,IF((YEAR(D185)+8)&gt;YEAR(E185),1,(12-MONTH(E185)+1)/12))) + (Q185)*(IF((YEAR(D185)+8)&lt;YEAR(E185),0,IF((YEAR(D185)+8)&gt;YEAR(E185),1,(12-MONTH(E185)+1)/12))))-((P185)*(IF((YEAR(D185)+8)&lt;YEAR(E185),0,IF((YEAR(D185)+8)&gt;YEAR(E185),1,(12-MONTH(E185)+1)/12))) + (R185)*(IF((YEAR(D185)+8)&lt;YEAR(E185),0,IF((YEAR(D185)+8)&gt;YEAR(E185),1,(12-MONTH(E185)+1)/12))))-(IF(OR(N185="",N185&lt;=0),0,(O185/N185)*(IF(OR(N185="",N185&lt;=0),0,IF((YEAR(D185)+8)&lt;YEAR(E185),0,IF((YEAR(D185)+8)&gt;=YEAR(E185)+N185,0,IF((YEAR(D185)+8)=YEAR(E185),(12-MONTH(E185)+1)/12,1))))))))&gt;0,(((K185)*(IF(M185="",L185,IFERROR(IF(INDEX(Variablen!$I:$AT, MATCH(M185, Variablen!$A:$A, 0), MATCH((YEAR(D185)+8), Variablen!$I$3:$AT$3, 0))="",L185,INDEX(Variablen!$I:$AT, MATCH(M185, Variablen!$A:$A, 0), MATCH((YEAR(D185)+8), Variablen!$I$3:$AT$3, 0))),L185)))*(IF((YEAR(D185)+8)&lt;YEAR(E185),0,IF((YEAR(D185)+8)&gt;YEAR(E185),1,(12-MONTH(E185)+1)/12))) + (Q185)*(IF((YEAR(D185)+8)&lt;YEAR(E185),0,IF((YEAR(D185)+8)&gt;YEAR(E185),1,(12-MONTH(E185)+1)/12))))-((P185)*(IF((YEAR(D185)+8)&lt;YEAR(E185),0,IF((YEAR(D185)+8)&gt;YEAR(E185),1,(12-MONTH(E185)+1)/12))) + (R185)*(IF((YEAR(D185)+8)&lt;YEAR(E185),0,IF((YEAR(D185)+8)&gt;YEAR(E185),1,(12-MONTH(E185)+1)/12))))-(IF(OR(N185="",N185&lt;=0),0,(O185/N185)*(IF(OR(N185="",N185&lt;=0),0,IF((YEAR(D185)+8)&lt;YEAR(E185),0,IF((YEAR(D185)+8)&gt;=YEAR(E185)+N185,0,IF((YEAR(D185)+8)=YEAR(E185),(12-MONTH(E185)+1)/12,1))))))))*TaxRate,0))-IF(8=0,O185,0))</f>
        <v/>
      </c>
      <c r="AB185" s="29">
        <f>IF(A185="","",((K185)*(IF(M185="",L185,IFERROR(IF(INDEX(Variablen!$I:$AT, MATCH(M185, Variablen!$A:$A, 0), MATCH((YEAR(D185)+9), Variablen!$I$3:$AT$3, 0))="",L185,INDEX(Variablen!$I:$AT, MATCH(M185, Variablen!$A:$A, 0), MATCH((YEAR(D185)+9), Variablen!$I$3:$AT$3, 0))),L185)))*(IF((YEAR(D185)+9)&lt;YEAR(E185),0,IF((YEAR(D185)+9)&gt;YEAR(E185),1,(12-MONTH(E185)+1)/12))) + (Q185)*(IF((YEAR(D185)+9)&lt;YEAR(E185),0,IF((YEAR(D185)+9)&gt;YEAR(E185),1,(12-MONTH(E185)+1)/12))))-((P185)*(IF((YEAR(D185)+9)&lt;YEAR(E185),0,IF((YEAR(D185)+9)&gt;YEAR(E185),1,(12-MONTH(E185)+1)/12))) + (R185)*(IF((YEAR(D185)+9)&lt;YEAR(E185),0,IF((YEAR(D185)+9)&gt;YEAR(E185),1,(12-MONTH(E185)+1)/12))))-(IF((((K185)*(IF(M185="",L185,IFERROR(IF(INDEX(Variablen!$I:$AT, MATCH(M185, Variablen!$A:$A, 0), MATCH((YEAR(D185)+9), Variablen!$I$3:$AT$3, 0))="",L185,INDEX(Variablen!$I:$AT, MATCH(M185, Variablen!$A:$A, 0), MATCH((YEAR(D185)+9), Variablen!$I$3:$AT$3, 0))),L185)))*(IF((YEAR(D185)+9)&lt;YEAR(E185),0,IF((YEAR(D185)+9)&gt;YEAR(E185),1,(12-MONTH(E185)+1)/12))) + (Q185)*(IF((YEAR(D185)+9)&lt;YEAR(E185),0,IF((YEAR(D185)+9)&gt;YEAR(E185),1,(12-MONTH(E185)+1)/12))))-((P185)*(IF((YEAR(D185)+9)&lt;YEAR(E185),0,IF((YEAR(D185)+9)&gt;YEAR(E185),1,(12-MONTH(E185)+1)/12))) + (R185)*(IF((YEAR(D185)+9)&lt;YEAR(E185),0,IF((YEAR(D185)+9)&gt;YEAR(E185),1,(12-MONTH(E185)+1)/12))))-(IF(OR(N185="",N185&lt;=0),0,(O185/N185)*(IF(OR(N185="",N185&lt;=0),0,IF((YEAR(D185)+9)&lt;YEAR(E185),0,IF((YEAR(D185)+9)&gt;=YEAR(E185)+N185,0,IF((YEAR(D185)+9)=YEAR(E185),(12-MONTH(E185)+1)/12,1))))))))&gt;0,(((K185)*(IF(M185="",L185,IFERROR(IF(INDEX(Variablen!$I:$AT, MATCH(M185, Variablen!$A:$A, 0), MATCH((YEAR(D185)+9), Variablen!$I$3:$AT$3, 0))="",L185,INDEX(Variablen!$I:$AT, MATCH(M185, Variablen!$A:$A, 0), MATCH((YEAR(D185)+9), Variablen!$I$3:$AT$3, 0))),L185)))*(IF((YEAR(D185)+9)&lt;YEAR(E185),0,IF((YEAR(D185)+9)&gt;YEAR(E185),1,(12-MONTH(E185)+1)/12))) + (Q185)*(IF((YEAR(D185)+9)&lt;YEAR(E185),0,IF((YEAR(D185)+9)&gt;YEAR(E185),1,(12-MONTH(E185)+1)/12))))-((P185)*(IF((YEAR(D185)+9)&lt;YEAR(E185),0,IF((YEAR(D185)+9)&gt;YEAR(E185),1,(12-MONTH(E185)+1)/12))) + (R185)*(IF((YEAR(D185)+9)&lt;YEAR(E185),0,IF((YEAR(D185)+9)&gt;YEAR(E185),1,(12-MONTH(E185)+1)/12))))-(IF(OR(N185="",N185&lt;=0),0,(O185/N185)*(IF(OR(N185="",N185&lt;=0),0,IF((YEAR(D185)+9)&lt;YEAR(E185),0,IF((YEAR(D185)+9)&gt;=YEAR(E185)+N185,0,IF((YEAR(D185)+9)=YEAR(E185),(12-MONTH(E185)+1)/12,1))))))))*TaxRate,0))-IF(9=0,O185,0))</f>
        <v/>
      </c>
      <c r="AC185" s="29">
        <f>IF(A185="","",((K185)*(IF(M185="",L185,IFERROR(IF(INDEX(Variablen!$I:$AT, MATCH(M185, Variablen!$A:$A, 0), MATCH((YEAR(D185)+10), Variablen!$I$3:$AT$3, 0))="",L185,INDEX(Variablen!$I:$AT, MATCH(M185, Variablen!$A:$A, 0), MATCH((YEAR(D185)+10), Variablen!$I$3:$AT$3, 0))),L185)))*(IF((YEAR(D185)+10)&lt;YEAR(E185),0,IF((YEAR(D185)+10)&gt;YEAR(E185),1,(12-MONTH(E185)+1)/12))) + (Q185)*(IF((YEAR(D185)+10)&lt;YEAR(E185),0,IF((YEAR(D185)+10)&gt;YEAR(E185),1,(12-MONTH(E185)+1)/12))))-((P185)*(IF((YEAR(D185)+10)&lt;YEAR(E185),0,IF((YEAR(D185)+10)&gt;YEAR(E185),1,(12-MONTH(E185)+1)/12))) + (R185)*(IF((YEAR(D185)+10)&lt;YEAR(E185),0,IF((YEAR(D185)+10)&gt;YEAR(E185),1,(12-MONTH(E185)+1)/12))))-(IF((((K185)*(IF(M185="",L185,IFERROR(IF(INDEX(Variablen!$I:$AT, MATCH(M185, Variablen!$A:$A, 0), MATCH((YEAR(D185)+10), Variablen!$I$3:$AT$3, 0))="",L185,INDEX(Variablen!$I:$AT, MATCH(M185, Variablen!$A:$A, 0), MATCH((YEAR(D185)+10), Variablen!$I$3:$AT$3, 0))),L185)))*(IF((YEAR(D185)+10)&lt;YEAR(E185),0,IF((YEAR(D185)+10)&gt;YEAR(E185),1,(12-MONTH(E185)+1)/12))) + (Q185)*(IF((YEAR(D185)+10)&lt;YEAR(E185),0,IF((YEAR(D185)+10)&gt;YEAR(E185),1,(12-MONTH(E185)+1)/12))))-((P185)*(IF((YEAR(D185)+10)&lt;YEAR(E185),0,IF((YEAR(D185)+10)&gt;YEAR(E185),1,(12-MONTH(E185)+1)/12))) + (R185)*(IF((YEAR(D185)+10)&lt;YEAR(E185),0,IF((YEAR(D185)+10)&gt;YEAR(E185),1,(12-MONTH(E185)+1)/12))))-(IF(OR(N185="",N185&lt;=0),0,(O185/N185)*(IF(OR(N185="",N185&lt;=0),0,IF((YEAR(D185)+10)&lt;YEAR(E185),0,IF((YEAR(D185)+10)&gt;=YEAR(E185)+N185,0,IF((YEAR(D185)+10)=YEAR(E185),(12-MONTH(E185)+1)/12,1))))))))&gt;0,(((K185)*(IF(M185="",L185,IFERROR(IF(INDEX(Variablen!$I:$AT, MATCH(M185, Variablen!$A:$A, 0), MATCH((YEAR(D185)+10), Variablen!$I$3:$AT$3, 0))="",L185,INDEX(Variablen!$I:$AT, MATCH(M185, Variablen!$A:$A, 0), MATCH((YEAR(D185)+10), Variablen!$I$3:$AT$3, 0))),L185)))*(IF((YEAR(D185)+10)&lt;YEAR(E185),0,IF((YEAR(D185)+10)&gt;YEAR(E185),1,(12-MONTH(E185)+1)/12))) + (Q185)*(IF((YEAR(D185)+10)&lt;YEAR(E185),0,IF((YEAR(D185)+10)&gt;YEAR(E185),1,(12-MONTH(E185)+1)/12))))-((P185)*(IF((YEAR(D185)+10)&lt;YEAR(E185),0,IF((YEAR(D185)+10)&gt;YEAR(E185),1,(12-MONTH(E185)+1)/12))) + (R185)*(IF((YEAR(D185)+10)&lt;YEAR(E185),0,IF((YEAR(D185)+10)&gt;YEAR(E185),1,(12-MONTH(E185)+1)/12))))-(IF(OR(N185="",N185&lt;=0),0,(O185/N185)*(IF(OR(N185="",N185&lt;=0),0,IF((YEAR(D185)+10)&lt;YEAR(E185),0,IF((YEAR(D185)+10)&gt;=YEAR(E185)+N185,0,IF((YEAR(D185)+10)=YEAR(E185),(12-MONTH(E185)+1)/12,1))))))))*TaxRate,0))-IF(10=0,O185,0))</f>
        <v/>
      </c>
      <c r="AD185" s="29">
        <f>IF(A185="","",((K185)*(IF(M185="",L185,IFERROR(IF(INDEX(Variablen!$I:$AT, MATCH(M185, Variablen!$A:$A, 0), MATCH((YEAR(D185)+11), Variablen!$I$3:$AT$3, 0))="",L185,INDEX(Variablen!$I:$AT, MATCH(M185, Variablen!$A:$A, 0), MATCH((YEAR(D185)+11), Variablen!$I$3:$AT$3, 0))),L185)))*(IF((YEAR(D185)+11)&lt;YEAR(E185),0,IF((YEAR(D185)+11)&gt;YEAR(E185),1,(12-MONTH(E185)+1)/12))) + (Q185)*(IF((YEAR(D185)+11)&lt;YEAR(E185),0,IF((YEAR(D185)+11)&gt;YEAR(E185),1,(12-MONTH(E185)+1)/12))))-((P185)*(IF((YEAR(D185)+11)&lt;YEAR(E185),0,IF((YEAR(D185)+11)&gt;YEAR(E185),1,(12-MONTH(E185)+1)/12))) + (R185)*(IF((YEAR(D185)+11)&lt;YEAR(E185),0,IF((YEAR(D185)+11)&gt;YEAR(E185),1,(12-MONTH(E185)+1)/12))))-(IF((((K185)*(IF(M185="",L185,IFERROR(IF(INDEX(Variablen!$I:$AT, MATCH(M185, Variablen!$A:$A, 0), MATCH((YEAR(D185)+11), Variablen!$I$3:$AT$3, 0))="",L185,INDEX(Variablen!$I:$AT, MATCH(M185, Variablen!$A:$A, 0), MATCH((YEAR(D185)+11), Variablen!$I$3:$AT$3, 0))),L185)))*(IF((YEAR(D185)+11)&lt;YEAR(E185),0,IF((YEAR(D185)+11)&gt;YEAR(E185),1,(12-MONTH(E185)+1)/12))) + (Q185)*(IF((YEAR(D185)+11)&lt;YEAR(E185),0,IF((YEAR(D185)+11)&gt;YEAR(E185),1,(12-MONTH(E185)+1)/12))))-((P185)*(IF((YEAR(D185)+11)&lt;YEAR(E185),0,IF((YEAR(D185)+11)&gt;YEAR(E185),1,(12-MONTH(E185)+1)/12))) + (R185)*(IF((YEAR(D185)+11)&lt;YEAR(E185),0,IF((YEAR(D185)+11)&gt;YEAR(E185),1,(12-MONTH(E185)+1)/12))))-(IF(OR(N185="",N185&lt;=0),0,(O185/N185)*(IF(OR(N185="",N185&lt;=0),0,IF((YEAR(D185)+11)&lt;YEAR(E185),0,IF((YEAR(D185)+11)&gt;=YEAR(E185)+N185,0,IF((YEAR(D185)+11)=YEAR(E185),(12-MONTH(E185)+1)/12,1))))))))&gt;0,(((K185)*(IF(M185="",L185,IFERROR(IF(INDEX(Variablen!$I:$AT, MATCH(M185, Variablen!$A:$A, 0), MATCH((YEAR(D185)+11), Variablen!$I$3:$AT$3, 0))="",L185,INDEX(Variablen!$I:$AT, MATCH(M185, Variablen!$A:$A, 0), MATCH((YEAR(D185)+11), Variablen!$I$3:$AT$3, 0))),L185)))*(IF((YEAR(D185)+11)&lt;YEAR(E185),0,IF((YEAR(D185)+11)&gt;YEAR(E185),1,(12-MONTH(E185)+1)/12))) + (Q185)*(IF((YEAR(D185)+11)&lt;YEAR(E185),0,IF((YEAR(D185)+11)&gt;YEAR(E185),1,(12-MONTH(E185)+1)/12))))-((P185)*(IF((YEAR(D185)+11)&lt;YEAR(E185),0,IF((YEAR(D185)+11)&gt;YEAR(E185),1,(12-MONTH(E185)+1)/12))) + (R185)*(IF((YEAR(D185)+11)&lt;YEAR(E185),0,IF((YEAR(D185)+11)&gt;YEAR(E185),1,(12-MONTH(E185)+1)/12))))-(IF(OR(N185="",N185&lt;=0),0,(O185/N185)*(IF(OR(N185="",N185&lt;=0),0,IF((YEAR(D185)+11)&lt;YEAR(E185),0,IF((YEAR(D185)+11)&gt;=YEAR(E185)+N185,0,IF((YEAR(D185)+11)=YEAR(E185),(12-MONTH(E185)+1)/12,1))))))))*TaxRate,0))-IF(11=0,O185,0))</f>
        <v/>
      </c>
      <c r="AE185" s="29">
        <f>IF(A185="","",((K185)*(IF(M185="",L185,IFERROR(IF(INDEX(Variablen!$I:$AT, MATCH(M185, Variablen!$A:$A, 0), MATCH((YEAR(D185)+12), Variablen!$I$3:$AT$3, 0))="",L185,INDEX(Variablen!$I:$AT, MATCH(M185, Variablen!$A:$A, 0), MATCH((YEAR(D185)+12), Variablen!$I$3:$AT$3, 0))),L185)))*(IF((YEAR(D185)+12)&lt;YEAR(E185),0,IF((YEAR(D185)+12)&gt;YEAR(E185),1,(12-MONTH(E185)+1)/12))) + (Q185)*(IF((YEAR(D185)+12)&lt;YEAR(E185),0,IF((YEAR(D185)+12)&gt;YEAR(E185),1,(12-MONTH(E185)+1)/12))))-((P185)*(IF((YEAR(D185)+12)&lt;YEAR(E185),0,IF((YEAR(D185)+12)&gt;YEAR(E185),1,(12-MONTH(E185)+1)/12))) + (R185)*(IF((YEAR(D185)+12)&lt;YEAR(E185),0,IF((YEAR(D185)+12)&gt;YEAR(E185),1,(12-MONTH(E185)+1)/12))))-(IF((((K185)*(IF(M185="",L185,IFERROR(IF(INDEX(Variablen!$I:$AT, MATCH(M185, Variablen!$A:$A, 0), MATCH((YEAR(D185)+12), Variablen!$I$3:$AT$3, 0))="",L185,INDEX(Variablen!$I:$AT, MATCH(M185, Variablen!$A:$A, 0), MATCH((YEAR(D185)+12), Variablen!$I$3:$AT$3, 0))),L185)))*(IF((YEAR(D185)+12)&lt;YEAR(E185),0,IF((YEAR(D185)+12)&gt;YEAR(E185),1,(12-MONTH(E185)+1)/12))) + (Q185)*(IF((YEAR(D185)+12)&lt;YEAR(E185),0,IF((YEAR(D185)+12)&gt;YEAR(E185),1,(12-MONTH(E185)+1)/12))))-((P185)*(IF((YEAR(D185)+12)&lt;YEAR(E185),0,IF((YEAR(D185)+12)&gt;YEAR(E185),1,(12-MONTH(E185)+1)/12))) + (R185)*(IF((YEAR(D185)+12)&lt;YEAR(E185),0,IF((YEAR(D185)+12)&gt;YEAR(E185),1,(12-MONTH(E185)+1)/12))))-(IF(OR(N185="",N185&lt;=0),0,(O185/N185)*(IF(OR(N185="",N185&lt;=0),0,IF((YEAR(D185)+12)&lt;YEAR(E185),0,IF((YEAR(D185)+12)&gt;=YEAR(E185)+N185,0,IF((YEAR(D185)+12)=YEAR(E185),(12-MONTH(E185)+1)/12,1))))))))&gt;0,(((K185)*(IF(M185="",L185,IFERROR(IF(INDEX(Variablen!$I:$AT, MATCH(M185, Variablen!$A:$A, 0), MATCH((YEAR(D185)+12), Variablen!$I$3:$AT$3, 0))="",L185,INDEX(Variablen!$I:$AT, MATCH(M185, Variablen!$A:$A, 0), MATCH((YEAR(D185)+12), Variablen!$I$3:$AT$3, 0))),L185)))*(IF((YEAR(D185)+12)&lt;YEAR(E185),0,IF((YEAR(D185)+12)&gt;YEAR(E185),1,(12-MONTH(E185)+1)/12))) + (Q185)*(IF((YEAR(D185)+12)&lt;YEAR(E185),0,IF((YEAR(D185)+12)&gt;YEAR(E185),1,(12-MONTH(E185)+1)/12))))-((P185)*(IF((YEAR(D185)+12)&lt;YEAR(E185),0,IF((YEAR(D185)+12)&gt;YEAR(E185),1,(12-MONTH(E185)+1)/12))) + (R185)*(IF((YEAR(D185)+12)&lt;YEAR(E185),0,IF((YEAR(D185)+12)&gt;YEAR(E185),1,(12-MONTH(E185)+1)/12))))-(IF(OR(N185="",N185&lt;=0),0,(O185/N185)*(IF(OR(N185="",N185&lt;=0),0,IF((YEAR(D185)+12)&lt;YEAR(E185),0,IF((YEAR(D185)+12)&gt;=YEAR(E185)+N185,0,IF((YEAR(D185)+12)=YEAR(E185),(12-MONTH(E185)+1)/12,1))))))))*TaxRate,0))-IF(12=0,O185,0))</f>
        <v/>
      </c>
      <c r="AF185" s="29">
        <f>IF(A185="","",((K185)*(IF(M185="",L185,IFERROR(IF(INDEX(Variablen!$I:$AT, MATCH(M185, Variablen!$A:$A, 0), MATCH((YEAR(D185)+13), Variablen!$I$3:$AT$3, 0))="",L185,INDEX(Variablen!$I:$AT, MATCH(M185, Variablen!$A:$A, 0), MATCH((YEAR(D185)+13), Variablen!$I$3:$AT$3, 0))),L185)))*(IF((YEAR(D185)+13)&lt;YEAR(E185),0,IF((YEAR(D185)+13)&gt;YEAR(E185),1,(12-MONTH(E185)+1)/12))) + (Q185)*(IF((YEAR(D185)+13)&lt;YEAR(E185),0,IF((YEAR(D185)+13)&gt;YEAR(E185),1,(12-MONTH(E185)+1)/12))))-((P185)*(IF((YEAR(D185)+13)&lt;YEAR(E185),0,IF((YEAR(D185)+13)&gt;YEAR(E185),1,(12-MONTH(E185)+1)/12))) + (R185)*(IF((YEAR(D185)+13)&lt;YEAR(E185),0,IF((YEAR(D185)+13)&gt;YEAR(E185),1,(12-MONTH(E185)+1)/12))))-(IF((((K185)*(IF(M185="",L185,IFERROR(IF(INDEX(Variablen!$I:$AT, MATCH(M185, Variablen!$A:$A, 0), MATCH((YEAR(D185)+13), Variablen!$I$3:$AT$3, 0))="",L185,INDEX(Variablen!$I:$AT, MATCH(M185, Variablen!$A:$A, 0), MATCH((YEAR(D185)+13), Variablen!$I$3:$AT$3, 0))),L185)))*(IF((YEAR(D185)+13)&lt;YEAR(E185),0,IF((YEAR(D185)+13)&gt;YEAR(E185),1,(12-MONTH(E185)+1)/12))) + (Q185)*(IF((YEAR(D185)+13)&lt;YEAR(E185),0,IF((YEAR(D185)+13)&gt;YEAR(E185),1,(12-MONTH(E185)+1)/12))))-((P185)*(IF((YEAR(D185)+13)&lt;YEAR(E185),0,IF((YEAR(D185)+13)&gt;YEAR(E185),1,(12-MONTH(E185)+1)/12))) + (R185)*(IF((YEAR(D185)+13)&lt;YEAR(E185),0,IF((YEAR(D185)+13)&gt;YEAR(E185),1,(12-MONTH(E185)+1)/12))))-(IF(OR(N185="",N185&lt;=0),0,(O185/N185)*(IF(OR(N185="",N185&lt;=0),0,IF((YEAR(D185)+13)&lt;YEAR(E185),0,IF((YEAR(D185)+13)&gt;=YEAR(E185)+N185,0,IF((YEAR(D185)+13)=YEAR(E185),(12-MONTH(E185)+1)/12,1))))))))&gt;0,(((K185)*(IF(M185="",L185,IFERROR(IF(INDEX(Variablen!$I:$AT, MATCH(M185, Variablen!$A:$A, 0), MATCH((YEAR(D185)+13), Variablen!$I$3:$AT$3, 0))="",L185,INDEX(Variablen!$I:$AT, MATCH(M185, Variablen!$A:$A, 0), MATCH((YEAR(D185)+13), Variablen!$I$3:$AT$3, 0))),L185)))*(IF((YEAR(D185)+13)&lt;YEAR(E185),0,IF((YEAR(D185)+13)&gt;YEAR(E185),1,(12-MONTH(E185)+1)/12))) + (Q185)*(IF((YEAR(D185)+13)&lt;YEAR(E185),0,IF((YEAR(D185)+13)&gt;YEAR(E185),1,(12-MONTH(E185)+1)/12))))-((P185)*(IF((YEAR(D185)+13)&lt;YEAR(E185),0,IF((YEAR(D185)+13)&gt;YEAR(E185),1,(12-MONTH(E185)+1)/12))) + (R185)*(IF((YEAR(D185)+13)&lt;YEAR(E185),0,IF((YEAR(D185)+13)&gt;YEAR(E185),1,(12-MONTH(E185)+1)/12))))-(IF(OR(N185="",N185&lt;=0),0,(O185/N185)*(IF(OR(N185="",N185&lt;=0),0,IF((YEAR(D185)+13)&lt;YEAR(E185),0,IF((YEAR(D185)+13)&gt;=YEAR(E185)+N185,0,IF((YEAR(D185)+13)=YEAR(E185),(12-MONTH(E185)+1)/12,1))))))))*TaxRate,0))-IF(13=0,O185,0))</f>
        <v/>
      </c>
      <c r="AG185" s="29">
        <f>IF(A185="","",((K185)*(IF(M185="",L185,IFERROR(IF(INDEX(Variablen!$I:$AT, MATCH(M185, Variablen!$A:$A, 0), MATCH((YEAR(D185)+14), Variablen!$I$3:$AT$3, 0))="",L185,INDEX(Variablen!$I:$AT, MATCH(M185, Variablen!$A:$A, 0), MATCH((YEAR(D185)+14), Variablen!$I$3:$AT$3, 0))),L185)))*(IF((YEAR(D185)+14)&lt;YEAR(E185),0,IF((YEAR(D185)+14)&gt;YEAR(E185),1,(12-MONTH(E185)+1)/12))) + (Q185)*(IF((YEAR(D185)+14)&lt;YEAR(E185),0,IF((YEAR(D185)+14)&gt;YEAR(E185),1,(12-MONTH(E185)+1)/12))))-((P185)*(IF((YEAR(D185)+14)&lt;YEAR(E185),0,IF((YEAR(D185)+14)&gt;YEAR(E185),1,(12-MONTH(E185)+1)/12))) + (R185)*(IF((YEAR(D185)+14)&lt;YEAR(E185),0,IF((YEAR(D185)+14)&gt;YEAR(E185),1,(12-MONTH(E185)+1)/12))))-(IF((((K185)*(IF(M185="",L185,IFERROR(IF(INDEX(Variablen!$I:$AT, MATCH(M185, Variablen!$A:$A, 0), MATCH((YEAR(D185)+14), Variablen!$I$3:$AT$3, 0))="",L185,INDEX(Variablen!$I:$AT, MATCH(M185, Variablen!$A:$A, 0), MATCH((YEAR(D185)+14), Variablen!$I$3:$AT$3, 0))),L185)))*(IF((YEAR(D185)+14)&lt;YEAR(E185),0,IF((YEAR(D185)+14)&gt;YEAR(E185),1,(12-MONTH(E185)+1)/12))) + (Q185)*(IF((YEAR(D185)+14)&lt;YEAR(E185),0,IF((YEAR(D185)+14)&gt;YEAR(E185),1,(12-MONTH(E185)+1)/12))))-((P185)*(IF((YEAR(D185)+14)&lt;YEAR(E185),0,IF((YEAR(D185)+14)&gt;YEAR(E185),1,(12-MONTH(E185)+1)/12))) + (R185)*(IF((YEAR(D185)+14)&lt;YEAR(E185),0,IF((YEAR(D185)+14)&gt;YEAR(E185),1,(12-MONTH(E185)+1)/12))))-(IF(OR(N185="",N185&lt;=0),0,(O185/N185)*(IF(OR(N185="",N185&lt;=0),0,IF((YEAR(D185)+14)&lt;YEAR(E185),0,IF((YEAR(D185)+14)&gt;=YEAR(E185)+N185,0,IF((YEAR(D185)+14)=YEAR(E185),(12-MONTH(E185)+1)/12,1))))))))&gt;0,(((K185)*(IF(M185="",L185,IFERROR(IF(INDEX(Variablen!$I:$AT, MATCH(M185, Variablen!$A:$A, 0), MATCH((YEAR(D185)+14), Variablen!$I$3:$AT$3, 0))="",L185,INDEX(Variablen!$I:$AT, MATCH(M185, Variablen!$A:$A, 0), MATCH((YEAR(D185)+14), Variablen!$I$3:$AT$3, 0))),L185)))*(IF((YEAR(D185)+14)&lt;YEAR(E185),0,IF((YEAR(D185)+14)&gt;YEAR(E185),1,(12-MONTH(E185)+1)/12))) + (Q185)*(IF((YEAR(D185)+14)&lt;YEAR(E185),0,IF((YEAR(D185)+14)&gt;YEAR(E185),1,(12-MONTH(E185)+1)/12))))-((P185)*(IF((YEAR(D185)+14)&lt;YEAR(E185),0,IF((YEAR(D185)+14)&gt;YEAR(E185),1,(12-MONTH(E185)+1)/12))) + (R185)*(IF((YEAR(D185)+14)&lt;YEAR(E185),0,IF((YEAR(D185)+14)&gt;YEAR(E185),1,(12-MONTH(E185)+1)/12))))-(IF(OR(N185="",N185&lt;=0),0,(O185/N185)*(IF(OR(N185="",N185&lt;=0),0,IF((YEAR(D185)+14)&lt;YEAR(E185),0,IF((YEAR(D185)+14)&gt;=YEAR(E185)+N185,0,IF((YEAR(D185)+14)=YEAR(E185),(12-MONTH(E185)+1)/12,1))))))))*TaxRate,0))-IF(14=0,O185,0))</f>
        <v/>
      </c>
      <c r="AH185" s="29">
        <f>IF(A185="","",((K185)*(IF(M185="",L185,IFERROR(IF(INDEX(Variablen!$I:$AT, MATCH(M185, Variablen!$A:$A, 0), MATCH((YEAR(D185)+15), Variablen!$I$3:$AT$3, 0))="",L185,INDEX(Variablen!$I:$AT, MATCH(M185, Variablen!$A:$A, 0), MATCH((YEAR(D185)+15), Variablen!$I$3:$AT$3, 0))),L185)))*(IF((YEAR(D185)+15)&lt;YEAR(E185),0,IF((YEAR(D185)+15)&gt;YEAR(E185),1,(12-MONTH(E185)+1)/12))) + (Q185)*(IF((YEAR(D185)+15)&lt;YEAR(E185),0,IF((YEAR(D185)+15)&gt;YEAR(E185),1,(12-MONTH(E185)+1)/12))))-((P185)*(IF((YEAR(D185)+15)&lt;YEAR(E185),0,IF((YEAR(D185)+15)&gt;YEAR(E185),1,(12-MONTH(E185)+1)/12))) + (R185)*(IF((YEAR(D185)+15)&lt;YEAR(E185),0,IF((YEAR(D185)+15)&gt;YEAR(E185),1,(12-MONTH(E185)+1)/12))))-(IF((((K185)*(IF(M185="",L185,IFERROR(IF(INDEX(Variablen!$I:$AT, MATCH(M185, Variablen!$A:$A, 0), MATCH((YEAR(D185)+15), Variablen!$I$3:$AT$3, 0))="",L185,INDEX(Variablen!$I:$AT, MATCH(M185, Variablen!$A:$A, 0), MATCH((YEAR(D185)+15), Variablen!$I$3:$AT$3, 0))),L185)))*(IF((YEAR(D185)+15)&lt;YEAR(E185),0,IF((YEAR(D185)+15)&gt;YEAR(E185),1,(12-MONTH(E185)+1)/12))) + (Q185)*(IF((YEAR(D185)+15)&lt;YEAR(E185),0,IF((YEAR(D185)+15)&gt;YEAR(E185),1,(12-MONTH(E185)+1)/12))))-((P185)*(IF((YEAR(D185)+15)&lt;YEAR(E185),0,IF((YEAR(D185)+15)&gt;YEAR(E185),1,(12-MONTH(E185)+1)/12))) + (R185)*(IF((YEAR(D185)+15)&lt;YEAR(E185),0,IF((YEAR(D185)+15)&gt;YEAR(E185),1,(12-MONTH(E185)+1)/12))))-(IF(OR(N185="",N185&lt;=0),0,(O185/N185)*(IF(OR(N185="",N185&lt;=0),0,IF((YEAR(D185)+15)&lt;YEAR(E185),0,IF((YEAR(D185)+15)&gt;=YEAR(E185)+N185,0,IF((YEAR(D185)+15)=YEAR(E185),(12-MONTH(E185)+1)/12,1))))))))&gt;0,(((K185)*(IF(M185="",L185,IFERROR(IF(INDEX(Variablen!$I:$AT, MATCH(M185, Variablen!$A:$A, 0), MATCH((YEAR(D185)+15), Variablen!$I$3:$AT$3, 0))="",L185,INDEX(Variablen!$I:$AT, MATCH(M185, Variablen!$A:$A, 0), MATCH((YEAR(D185)+15), Variablen!$I$3:$AT$3, 0))),L185)))*(IF((YEAR(D185)+15)&lt;YEAR(E185),0,IF((YEAR(D185)+15)&gt;YEAR(E185),1,(12-MONTH(E185)+1)/12))) + (Q185)*(IF((YEAR(D185)+15)&lt;YEAR(E185),0,IF((YEAR(D185)+15)&gt;YEAR(E185),1,(12-MONTH(E185)+1)/12))))-((P185)*(IF((YEAR(D185)+15)&lt;YEAR(E185),0,IF((YEAR(D185)+15)&gt;YEAR(E185),1,(12-MONTH(E185)+1)/12))) + (R185)*(IF((YEAR(D185)+15)&lt;YEAR(E185),0,IF((YEAR(D185)+15)&gt;YEAR(E185),1,(12-MONTH(E185)+1)/12))))-(IF(OR(N185="",N185&lt;=0),0,(O185/N185)*(IF(OR(N185="",N185&lt;=0),0,IF((YEAR(D185)+15)&lt;YEAR(E185),0,IF((YEAR(D185)+15)&gt;=YEAR(E185)+N185,0,IF((YEAR(D185)+15)=YEAR(E185),(12-MONTH(E185)+1)/12,1))))))))*TaxRate,0))-IF(15=0,O185,0))</f>
        <v/>
      </c>
      <c r="AI185" s="29">
        <f>IF(A185="","",((K185)*(IF(M185="",L185,IFERROR(IF(INDEX(Variablen!$I:$AT, MATCH(M185, Variablen!$A:$A, 0), MATCH((YEAR(D185)+16), Variablen!$I$3:$AT$3, 0))="",L185,INDEX(Variablen!$I:$AT, MATCH(M185, Variablen!$A:$A, 0), MATCH((YEAR(D185)+16), Variablen!$I$3:$AT$3, 0))),L185)))*(IF((YEAR(D185)+16)&lt;YEAR(E185),0,IF((YEAR(D185)+16)&gt;YEAR(E185),1,(12-MONTH(E185)+1)/12))) + (Q185)*(IF((YEAR(D185)+16)&lt;YEAR(E185),0,IF((YEAR(D185)+16)&gt;YEAR(E185),1,(12-MONTH(E185)+1)/12))))-((P185)*(IF((YEAR(D185)+16)&lt;YEAR(E185),0,IF((YEAR(D185)+16)&gt;YEAR(E185),1,(12-MONTH(E185)+1)/12))) + (R185)*(IF((YEAR(D185)+16)&lt;YEAR(E185),0,IF((YEAR(D185)+16)&gt;YEAR(E185),1,(12-MONTH(E185)+1)/12))))-(IF((((K185)*(IF(M185="",L185,IFERROR(IF(INDEX(Variablen!$I:$AT, MATCH(M185, Variablen!$A:$A, 0), MATCH((YEAR(D185)+16), Variablen!$I$3:$AT$3, 0))="",L185,INDEX(Variablen!$I:$AT, MATCH(M185, Variablen!$A:$A, 0), MATCH((YEAR(D185)+16), Variablen!$I$3:$AT$3, 0))),L185)))*(IF((YEAR(D185)+16)&lt;YEAR(E185),0,IF((YEAR(D185)+16)&gt;YEAR(E185),1,(12-MONTH(E185)+1)/12))) + (Q185)*(IF((YEAR(D185)+16)&lt;YEAR(E185),0,IF((YEAR(D185)+16)&gt;YEAR(E185),1,(12-MONTH(E185)+1)/12))))-((P185)*(IF((YEAR(D185)+16)&lt;YEAR(E185),0,IF((YEAR(D185)+16)&gt;YEAR(E185),1,(12-MONTH(E185)+1)/12))) + (R185)*(IF((YEAR(D185)+16)&lt;YEAR(E185),0,IF((YEAR(D185)+16)&gt;YEAR(E185),1,(12-MONTH(E185)+1)/12))))-(IF(OR(N185="",N185&lt;=0),0,(O185/N185)*(IF(OR(N185="",N185&lt;=0),0,IF((YEAR(D185)+16)&lt;YEAR(E185),0,IF((YEAR(D185)+16)&gt;=YEAR(E185)+N185,0,IF((YEAR(D185)+16)=YEAR(E185),(12-MONTH(E185)+1)/12,1))))))))&gt;0,(((K185)*(IF(M185="",L185,IFERROR(IF(INDEX(Variablen!$I:$AT, MATCH(M185, Variablen!$A:$A, 0), MATCH((YEAR(D185)+16), Variablen!$I$3:$AT$3, 0))="",L185,INDEX(Variablen!$I:$AT, MATCH(M185, Variablen!$A:$A, 0), MATCH((YEAR(D185)+16), Variablen!$I$3:$AT$3, 0))),L185)))*(IF((YEAR(D185)+16)&lt;YEAR(E185),0,IF((YEAR(D185)+16)&gt;YEAR(E185),1,(12-MONTH(E185)+1)/12))) + (Q185)*(IF((YEAR(D185)+16)&lt;YEAR(E185),0,IF((YEAR(D185)+16)&gt;YEAR(E185),1,(12-MONTH(E185)+1)/12))))-((P185)*(IF((YEAR(D185)+16)&lt;YEAR(E185),0,IF((YEAR(D185)+16)&gt;YEAR(E185),1,(12-MONTH(E185)+1)/12))) + (R185)*(IF((YEAR(D185)+16)&lt;YEAR(E185),0,IF((YEAR(D185)+16)&gt;YEAR(E185),1,(12-MONTH(E185)+1)/12))))-(IF(OR(N185="",N185&lt;=0),0,(O185/N185)*(IF(OR(N185="",N185&lt;=0),0,IF((YEAR(D185)+16)&lt;YEAR(E185),0,IF((YEAR(D185)+16)&gt;=YEAR(E185)+N185,0,IF((YEAR(D185)+16)=YEAR(E185),(12-MONTH(E185)+1)/12,1))))))))*TaxRate,0))-IF(16=0,O185,0))</f>
        <v/>
      </c>
      <c r="AJ185" s="29">
        <f>IF(A185="","",((K185)*(IF(M185="",L185,IFERROR(IF(INDEX(Variablen!$I:$AT, MATCH(M185, Variablen!$A:$A, 0), MATCH((YEAR(D185)+17), Variablen!$I$3:$AT$3, 0))="",L185,INDEX(Variablen!$I:$AT, MATCH(M185, Variablen!$A:$A, 0), MATCH((YEAR(D185)+17), Variablen!$I$3:$AT$3, 0))),L185)))*(IF((YEAR(D185)+17)&lt;YEAR(E185),0,IF((YEAR(D185)+17)&gt;YEAR(E185),1,(12-MONTH(E185)+1)/12))) + (Q185)*(IF((YEAR(D185)+17)&lt;YEAR(E185),0,IF((YEAR(D185)+17)&gt;YEAR(E185),1,(12-MONTH(E185)+1)/12))))-((P185)*(IF((YEAR(D185)+17)&lt;YEAR(E185),0,IF((YEAR(D185)+17)&gt;YEAR(E185),1,(12-MONTH(E185)+1)/12))) + (R185)*(IF((YEAR(D185)+17)&lt;YEAR(E185),0,IF((YEAR(D185)+17)&gt;YEAR(E185),1,(12-MONTH(E185)+1)/12))))-(IF((((K185)*(IF(M185="",L185,IFERROR(IF(INDEX(Variablen!$I:$AT, MATCH(M185, Variablen!$A:$A, 0), MATCH((YEAR(D185)+17), Variablen!$I$3:$AT$3, 0))="",L185,INDEX(Variablen!$I:$AT, MATCH(M185, Variablen!$A:$A, 0), MATCH((YEAR(D185)+17), Variablen!$I$3:$AT$3, 0))),L185)))*(IF((YEAR(D185)+17)&lt;YEAR(E185),0,IF((YEAR(D185)+17)&gt;YEAR(E185),1,(12-MONTH(E185)+1)/12))) + (Q185)*(IF((YEAR(D185)+17)&lt;YEAR(E185),0,IF((YEAR(D185)+17)&gt;YEAR(E185),1,(12-MONTH(E185)+1)/12))))-((P185)*(IF((YEAR(D185)+17)&lt;YEAR(E185),0,IF((YEAR(D185)+17)&gt;YEAR(E185),1,(12-MONTH(E185)+1)/12))) + (R185)*(IF((YEAR(D185)+17)&lt;YEAR(E185),0,IF((YEAR(D185)+17)&gt;YEAR(E185),1,(12-MONTH(E185)+1)/12))))-(IF(OR(N185="",N185&lt;=0),0,(O185/N185)*(IF(OR(N185="",N185&lt;=0),0,IF((YEAR(D185)+17)&lt;YEAR(E185),0,IF((YEAR(D185)+17)&gt;=YEAR(E185)+N185,0,IF((YEAR(D185)+17)=YEAR(E185),(12-MONTH(E185)+1)/12,1))))))))&gt;0,(((K185)*(IF(M185="",L185,IFERROR(IF(INDEX(Variablen!$I:$AT, MATCH(M185, Variablen!$A:$A, 0), MATCH((YEAR(D185)+17), Variablen!$I$3:$AT$3, 0))="",L185,INDEX(Variablen!$I:$AT, MATCH(M185, Variablen!$A:$A, 0), MATCH((YEAR(D185)+17), Variablen!$I$3:$AT$3, 0))),L185)))*(IF((YEAR(D185)+17)&lt;YEAR(E185),0,IF((YEAR(D185)+17)&gt;YEAR(E185),1,(12-MONTH(E185)+1)/12))) + (Q185)*(IF((YEAR(D185)+17)&lt;YEAR(E185),0,IF((YEAR(D185)+17)&gt;YEAR(E185),1,(12-MONTH(E185)+1)/12))))-((P185)*(IF((YEAR(D185)+17)&lt;YEAR(E185),0,IF((YEAR(D185)+17)&gt;YEAR(E185),1,(12-MONTH(E185)+1)/12))) + (R185)*(IF((YEAR(D185)+17)&lt;YEAR(E185),0,IF((YEAR(D185)+17)&gt;YEAR(E185),1,(12-MONTH(E185)+1)/12))))-(IF(OR(N185="",N185&lt;=0),0,(O185/N185)*(IF(OR(N185="",N185&lt;=0),0,IF((YEAR(D185)+17)&lt;YEAR(E185),0,IF((YEAR(D185)+17)&gt;=YEAR(E185)+N185,0,IF((YEAR(D185)+17)=YEAR(E185),(12-MONTH(E185)+1)/12,1))))))))*TaxRate,0))-IF(17=0,O185,0))</f>
        <v/>
      </c>
      <c r="AK185" s="29">
        <f>IF(A185="","",((K185)*(IF(M185="",L185,IFERROR(IF(INDEX(Variablen!$I:$AT, MATCH(M185, Variablen!$A:$A, 0), MATCH((YEAR(D185)+18), Variablen!$I$3:$AT$3, 0))="",L185,INDEX(Variablen!$I:$AT, MATCH(M185, Variablen!$A:$A, 0), MATCH((YEAR(D185)+18), Variablen!$I$3:$AT$3, 0))),L185)))*(IF((YEAR(D185)+18)&lt;YEAR(E185),0,IF((YEAR(D185)+18)&gt;YEAR(E185),1,(12-MONTH(E185)+1)/12))) + (Q185)*(IF((YEAR(D185)+18)&lt;YEAR(E185),0,IF((YEAR(D185)+18)&gt;YEAR(E185),1,(12-MONTH(E185)+1)/12))))-((P185)*(IF((YEAR(D185)+18)&lt;YEAR(E185),0,IF((YEAR(D185)+18)&gt;YEAR(E185),1,(12-MONTH(E185)+1)/12))) + (R185)*(IF((YEAR(D185)+18)&lt;YEAR(E185),0,IF((YEAR(D185)+18)&gt;YEAR(E185),1,(12-MONTH(E185)+1)/12))))-(IF((((K185)*(IF(M185="",L185,IFERROR(IF(INDEX(Variablen!$I:$AT, MATCH(M185, Variablen!$A:$A, 0), MATCH((YEAR(D185)+18), Variablen!$I$3:$AT$3, 0))="",L185,INDEX(Variablen!$I:$AT, MATCH(M185, Variablen!$A:$A, 0), MATCH((YEAR(D185)+18), Variablen!$I$3:$AT$3, 0))),L185)))*(IF((YEAR(D185)+18)&lt;YEAR(E185),0,IF((YEAR(D185)+18)&gt;YEAR(E185),1,(12-MONTH(E185)+1)/12))) + (Q185)*(IF((YEAR(D185)+18)&lt;YEAR(E185),0,IF((YEAR(D185)+18)&gt;YEAR(E185),1,(12-MONTH(E185)+1)/12))))-((P185)*(IF((YEAR(D185)+18)&lt;YEAR(E185),0,IF((YEAR(D185)+18)&gt;YEAR(E185),1,(12-MONTH(E185)+1)/12))) + (R185)*(IF((YEAR(D185)+18)&lt;YEAR(E185),0,IF((YEAR(D185)+18)&gt;YEAR(E185),1,(12-MONTH(E185)+1)/12))))-(IF(OR(N185="",N185&lt;=0),0,(O185/N185)*(IF(OR(N185="",N185&lt;=0),0,IF((YEAR(D185)+18)&lt;YEAR(E185),0,IF((YEAR(D185)+18)&gt;=YEAR(E185)+N185,0,IF((YEAR(D185)+18)=YEAR(E185),(12-MONTH(E185)+1)/12,1))))))))&gt;0,(((K185)*(IF(M185="",L185,IFERROR(IF(INDEX(Variablen!$I:$AT, MATCH(M185, Variablen!$A:$A, 0), MATCH((YEAR(D185)+18), Variablen!$I$3:$AT$3, 0))="",L185,INDEX(Variablen!$I:$AT, MATCH(M185, Variablen!$A:$A, 0), MATCH((YEAR(D185)+18), Variablen!$I$3:$AT$3, 0))),L185)))*(IF((YEAR(D185)+18)&lt;YEAR(E185),0,IF((YEAR(D185)+18)&gt;YEAR(E185),1,(12-MONTH(E185)+1)/12))) + (Q185)*(IF((YEAR(D185)+18)&lt;YEAR(E185),0,IF((YEAR(D185)+18)&gt;YEAR(E185),1,(12-MONTH(E185)+1)/12))))-((P185)*(IF((YEAR(D185)+18)&lt;YEAR(E185),0,IF((YEAR(D185)+18)&gt;YEAR(E185),1,(12-MONTH(E185)+1)/12))) + (R185)*(IF((YEAR(D185)+18)&lt;YEAR(E185),0,IF((YEAR(D185)+18)&gt;YEAR(E185),1,(12-MONTH(E185)+1)/12))))-(IF(OR(N185="",N185&lt;=0),0,(O185/N185)*(IF(OR(N185="",N185&lt;=0),0,IF((YEAR(D185)+18)&lt;YEAR(E185),0,IF((YEAR(D185)+18)&gt;=YEAR(E185)+N185,0,IF((YEAR(D185)+18)=YEAR(E185),(12-MONTH(E185)+1)/12,1))))))))*TaxRate,0))-IF(18=0,O185,0))</f>
        <v/>
      </c>
      <c r="AL185" s="29">
        <f>IF(A185="","",((K185)*(IF(M185="",L185,IFERROR(IF(INDEX(Variablen!$I:$AT, MATCH(M185, Variablen!$A:$A, 0), MATCH((YEAR(D185)+19), Variablen!$I$3:$AT$3, 0))="",L185,INDEX(Variablen!$I:$AT, MATCH(M185, Variablen!$A:$A, 0), MATCH((YEAR(D185)+19), Variablen!$I$3:$AT$3, 0))),L185)))*(IF((YEAR(D185)+19)&lt;YEAR(E185),0,IF((YEAR(D185)+19)&gt;YEAR(E185),1,(12-MONTH(E185)+1)/12))) + (Q185)*(IF((YEAR(D185)+19)&lt;YEAR(E185),0,IF((YEAR(D185)+19)&gt;YEAR(E185),1,(12-MONTH(E185)+1)/12))))-((P185)*(IF((YEAR(D185)+19)&lt;YEAR(E185),0,IF((YEAR(D185)+19)&gt;YEAR(E185),1,(12-MONTH(E185)+1)/12))) + (R185)*(IF((YEAR(D185)+19)&lt;YEAR(E185),0,IF((YEAR(D185)+19)&gt;YEAR(E185),1,(12-MONTH(E185)+1)/12))))-(IF((((K185)*(IF(M185="",L185,IFERROR(IF(INDEX(Variablen!$I:$AT, MATCH(M185, Variablen!$A:$A, 0), MATCH((YEAR(D185)+19), Variablen!$I$3:$AT$3, 0))="",L185,INDEX(Variablen!$I:$AT, MATCH(M185, Variablen!$A:$A, 0), MATCH((YEAR(D185)+19), Variablen!$I$3:$AT$3, 0))),L185)))*(IF((YEAR(D185)+19)&lt;YEAR(E185),0,IF((YEAR(D185)+19)&gt;YEAR(E185),1,(12-MONTH(E185)+1)/12))) + (Q185)*(IF((YEAR(D185)+19)&lt;YEAR(E185),0,IF((YEAR(D185)+19)&gt;YEAR(E185),1,(12-MONTH(E185)+1)/12))))-((P185)*(IF((YEAR(D185)+19)&lt;YEAR(E185),0,IF((YEAR(D185)+19)&gt;YEAR(E185),1,(12-MONTH(E185)+1)/12))) + (R185)*(IF((YEAR(D185)+19)&lt;YEAR(E185),0,IF((YEAR(D185)+19)&gt;YEAR(E185),1,(12-MONTH(E185)+1)/12))))-(IF(OR(N185="",N185&lt;=0),0,(O185/N185)*(IF(OR(N185="",N185&lt;=0),0,IF((YEAR(D185)+19)&lt;YEAR(E185),0,IF((YEAR(D185)+19)&gt;=YEAR(E185)+N185,0,IF((YEAR(D185)+19)=YEAR(E185),(12-MONTH(E185)+1)/12,1))))))))&gt;0,(((K185)*(IF(M185="",L185,IFERROR(IF(INDEX(Variablen!$I:$AT, MATCH(M185, Variablen!$A:$A, 0), MATCH((YEAR(D185)+19), Variablen!$I$3:$AT$3, 0))="",L185,INDEX(Variablen!$I:$AT, MATCH(M185, Variablen!$A:$A, 0), MATCH((YEAR(D185)+19), Variablen!$I$3:$AT$3, 0))),L185)))*(IF((YEAR(D185)+19)&lt;YEAR(E185),0,IF((YEAR(D185)+19)&gt;YEAR(E185),1,(12-MONTH(E185)+1)/12))) + (Q185)*(IF((YEAR(D185)+19)&lt;YEAR(E185),0,IF((YEAR(D185)+19)&gt;YEAR(E185),1,(12-MONTH(E185)+1)/12))))-((P185)*(IF((YEAR(D185)+19)&lt;YEAR(E185),0,IF((YEAR(D185)+19)&gt;YEAR(E185),1,(12-MONTH(E185)+1)/12))) + (R185)*(IF((YEAR(D185)+19)&lt;YEAR(E185),0,IF((YEAR(D185)+19)&gt;YEAR(E185),1,(12-MONTH(E185)+1)/12))))-(IF(OR(N185="",N185&lt;=0),0,(O185/N185)*(IF(OR(N185="",N185&lt;=0),0,IF((YEAR(D185)+19)&lt;YEAR(E185),0,IF((YEAR(D185)+19)&gt;=YEAR(E185)+N185,0,IF((YEAR(D185)+19)=YEAR(E185),(12-MONTH(E185)+1)/12,1))))))))*TaxRate,0))-IF(19=0,O185,0))</f>
        <v/>
      </c>
      <c r="AM185" s="29">
        <f>IF(A185="","",((K185)*(IF(M185="",L185,IFERROR(IF(INDEX(Variablen!$I:$AT, MATCH(M185, Variablen!$A:$A, 0), MATCH((YEAR(D185)+20), Variablen!$I$3:$AT$3, 0))="",L185,INDEX(Variablen!$I:$AT, MATCH(M185, Variablen!$A:$A, 0), MATCH((YEAR(D185)+20), Variablen!$I$3:$AT$3, 0))),L185)))*(IF((YEAR(D185)+20)&lt;YEAR(E185),0,IF((YEAR(D185)+20)&gt;YEAR(E185),1,(12-MONTH(E185)+1)/12))) + (Q185)*(IF((YEAR(D185)+20)&lt;YEAR(E185),0,IF((YEAR(D185)+20)&gt;YEAR(E185),1,(12-MONTH(E185)+1)/12))))-((P185)*(IF((YEAR(D185)+20)&lt;YEAR(E185),0,IF((YEAR(D185)+20)&gt;YEAR(E185),1,(12-MONTH(E185)+1)/12))) + (R185)*(IF((YEAR(D185)+20)&lt;YEAR(E185),0,IF((YEAR(D185)+20)&gt;YEAR(E185),1,(12-MONTH(E185)+1)/12))))-(IF((((K185)*(IF(M185="",L185,IFERROR(IF(INDEX(Variablen!$I:$AT, MATCH(M185, Variablen!$A:$A, 0), MATCH((YEAR(D185)+20), Variablen!$I$3:$AT$3, 0))="",L185,INDEX(Variablen!$I:$AT, MATCH(M185, Variablen!$A:$A, 0), MATCH((YEAR(D185)+20), Variablen!$I$3:$AT$3, 0))),L185)))*(IF((YEAR(D185)+20)&lt;YEAR(E185),0,IF((YEAR(D185)+20)&gt;YEAR(E185),1,(12-MONTH(E185)+1)/12))) + (Q185)*(IF((YEAR(D185)+20)&lt;YEAR(E185),0,IF((YEAR(D185)+20)&gt;YEAR(E185),1,(12-MONTH(E185)+1)/12))))-((P185)*(IF((YEAR(D185)+20)&lt;YEAR(E185),0,IF((YEAR(D185)+20)&gt;YEAR(E185),1,(12-MONTH(E185)+1)/12))) + (R185)*(IF((YEAR(D185)+20)&lt;YEAR(E185),0,IF((YEAR(D185)+20)&gt;YEAR(E185),1,(12-MONTH(E185)+1)/12))))-(IF(OR(N185="",N185&lt;=0),0,(O185/N185)*(IF(OR(N185="",N185&lt;=0),0,IF((YEAR(D185)+20)&lt;YEAR(E185),0,IF((YEAR(D185)+20)&gt;=YEAR(E185)+N185,0,IF((YEAR(D185)+20)=YEAR(E185),(12-MONTH(E185)+1)/12,1))))))))&gt;0,(((K185)*(IF(M185="",L185,IFERROR(IF(INDEX(Variablen!$I:$AT, MATCH(M185, Variablen!$A:$A, 0), MATCH((YEAR(D185)+20), Variablen!$I$3:$AT$3, 0))="",L185,INDEX(Variablen!$I:$AT, MATCH(M185, Variablen!$A:$A, 0), MATCH((YEAR(D185)+20), Variablen!$I$3:$AT$3, 0))),L185)))*(IF((YEAR(D185)+20)&lt;YEAR(E185),0,IF((YEAR(D185)+20)&gt;YEAR(E185),1,(12-MONTH(E185)+1)/12))) + (Q185)*(IF((YEAR(D185)+20)&lt;YEAR(E185),0,IF((YEAR(D185)+20)&gt;YEAR(E185),1,(12-MONTH(E185)+1)/12))))-((P185)*(IF((YEAR(D185)+20)&lt;YEAR(E185),0,IF((YEAR(D185)+20)&gt;YEAR(E185),1,(12-MONTH(E185)+1)/12))) + (R185)*(IF((YEAR(D185)+20)&lt;YEAR(E185),0,IF((YEAR(D185)+20)&gt;YEAR(E185),1,(12-MONTH(E185)+1)/12))))-(IF(OR(N185="",N185&lt;=0),0,(O185/N185)*(IF(OR(N185="",N185&lt;=0),0,IF((YEAR(D185)+20)&lt;YEAR(E185),0,IF((YEAR(D185)+20)&gt;=YEAR(E185)+N185,0,IF((YEAR(D185)+20)=YEAR(E185),(12-MONTH(E185)+1)/12,1))))))))*TaxRate,0))-IF(20=0,O185,0))</f>
        <v/>
      </c>
      <c r="AN185" s="29">
        <f>IF(A185="","",S185)</f>
        <v/>
      </c>
      <c r="AO185" s="29">
        <f>IF(A185="","",AN185+T185)</f>
        <v/>
      </c>
      <c r="AP185" s="29">
        <f>IF(A185="","",AO185+U185)</f>
        <v/>
      </c>
      <c r="AQ185" s="29">
        <f>IF(A185="","",AP185+V185)</f>
        <v/>
      </c>
      <c r="AR185" s="29">
        <f>IF(A185="","",AQ185+W185)</f>
        <v/>
      </c>
      <c r="AS185" s="29">
        <f>IF(A185="","",AR185+X185)</f>
        <v/>
      </c>
      <c r="AT185" s="29">
        <f>IF(A185="","",AS185+Y185)</f>
        <v/>
      </c>
      <c r="AU185" s="29">
        <f>IF(A185="","",AT185+Z185)</f>
        <v/>
      </c>
      <c r="AV185" s="29">
        <f>IF(A185="","",AU185+AA185)</f>
        <v/>
      </c>
      <c r="AW185" s="29">
        <f>IF(A185="","",AV185+AB185)</f>
        <v/>
      </c>
      <c r="AX185" s="29">
        <f>IF(A185="","",AW185+AC185)</f>
        <v/>
      </c>
      <c r="AY185" s="29">
        <f>IF(A185="","",AX185+AD185)</f>
        <v/>
      </c>
      <c r="AZ185" s="29">
        <f>IF(A185="","",AY185+AE185)</f>
        <v/>
      </c>
      <c r="BA185" s="29">
        <f>IF(A185="","",AZ185+AF185)</f>
        <v/>
      </c>
      <c r="BB185" s="29">
        <f>IF(A185="","",BA185+AG185)</f>
        <v/>
      </c>
      <c r="BC185" s="29">
        <f>IF(A185="","",BB185+AH185)</f>
        <v/>
      </c>
      <c r="BD185" s="29">
        <f>IF(A185="","",BC185+AI185)</f>
        <v/>
      </c>
      <c r="BE185" s="29">
        <f>IF(A185="","",BD185+AJ185)</f>
        <v/>
      </c>
      <c r="BF185" s="29">
        <f>IF(A185="","",BE185+AK185)</f>
        <v/>
      </c>
      <c r="BG185" s="29">
        <f>IF(A185="","",BF185+AL185)</f>
        <v/>
      </c>
      <c r="BH185" s="29">
        <f>IF(A185="","",BG185+AM185)</f>
        <v/>
      </c>
      <c r="BI185" s="36">
        <f>IF(A185="","",(K185)*(IF((YEAR(D185)+0)&lt;YEAR(E185),0,IF((YEAR(D185)+0)&gt;YEAR(E185),1,(12-MONTH(E185)+1)/12)))*(1/(1+DiscountRate)^0))</f>
        <v/>
      </c>
      <c r="BJ185" s="36">
        <f>IF(A185="","",(K185)*(IF((YEAR(D185)+1)&lt;YEAR(E185),0,IF((YEAR(D185)+1)&gt;YEAR(E185),1,(12-MONTH(E185)+1)/12)))*(1/(1+DiscountRate)^1))</f>
        <v/>
      </c>
      <c r="BK185" s="36">
        <f>IF(A185="","",(K185)*(IF((YEAR(D185)+2)&lt;YEAR(E185),0,IF((YEAR(D185)+2)&gt;YEAR(E185),1,(12-MONTH(E185)+1)/12)))*(1/(1+DiscountRate)^2))</f>
        <v/>
      </c>
      <c r="BL185" s="36">
        <f>IF(A185="","",(K185)*(IF((YEAR(D185)+3)&lt;YEAR(E185),0,IF((YEAR(D185)+3)&gt;YEAR(E185),1,(12-MONTH(E185)+1)/12)))*(1/(1+DiscountRate)^3))</f>
        <v/>
      </c>
      <c r="BM185" s="36">
        <f>IF(A185="","",(K185)*(IF((YEAR(D185)+4)&lt;YEAR(E185),0,IF((YEAR(D185)+4)&gt;YEAR(E185),1,(12-MONTH(E185)+1)/12)))*(1/(1+DiscountRate)^4))</f>
        <v/>
      </c>
      <c r="BN185" s="36">
        <f>IF(A185="","",(K185)*(IF((YEAR(D185)+5)&lt;YEAR(E185),0,IF((YEAR(D185)+5)&gt;YEAR(E185),1,(12-MONTH(E185)+1)/12)))*(1/(1+DiscountRate)^5))</f>
        <v/>
      </c>
      <c r="BO185" s="36">
        <f>IF(A185="","",(K185)*(IF((YEAR(D185)+6)&lt;YEAR(E185),0,IF((YEAR(D185)+6)&gt;YEAR(E185),1,(12-MONTH(E185)+1)/12)))*(1/(1+DiscountRate)^6))</f>
        <v/>
      </c>
      <c r="BP185" s="36">
        <f>IF(A185="","",(K185)*(IF((YEAR(D185)+7)&lt;YEAR(E185),0,IF((YEAR(D185)+7)&gt;YEAR(E185),1,(12-MONTH(E185)+1)/12)))*(1/(1+DiscountRate)^7))</f>
        <v/>
      </c>
      <c r="BQ185" s="36">
        <f>IF(A185="","",(K185)*(IF((YEAR(D185)+8)&lt;YEAR(E185),0,IF((YEAR(D185)+8)&gt;YEAR(E185),1,(12-MONTH(E185)+1)/12)))*(1/(1+DiscountRate)^8))</f>
        <v/>
      </c>
      <c r="BR185" s="36">
        <f>IF(A185="","",(K185)*(IF((YEAR(D185)+9)&lt;YEAR(E185),0,IF((YEAR(D185)+9)&gt;YEAR(E185),1,(12-MONTH(E185)+1)/12)))*(1/(1+DiscountRate)^9))</f>
        <v/>
      </c>
      <c r="BS185" s="36">
        <f>IF(A185="","",(K185)*(IF((YEAR(D185)+10)&lt;YEAR(E185),0,IF((YEAR(D185)+10)&gt;YEAR(E185),1,(12-MONTH(E185)+1)/12)))*(1/(1+DiscountRate)^10))</f>
        <v/>
      </c>
      <c r="BT185" s="36">
        <f>IF(A185="","",(K185)*(IF((YEAR(D185)+11)&lt;YEAR(E185),0,IF((YEAR(D185)+11)&gt;YEAR(E185),1,(12-MONTH(E185)+1)/12)))*(1/(1+DiscountRate)^11))</f>
        <v/>
      </c>
      <c r="BU185" s="36">
        <f>IF(A185="","",(K185)*(IF((YEAR(D185)+12)&lt;YEAR(E185),0,IF((YEAR(D185)+12)&gt;YEAR(E185),1,(12-MONTH(E185)+1)/12)))*(1/(1+DiscountRate)^12))</f>
        <v/>
      </c>
      <c r="BV185" s="36">
        <f>IF(A185="","",(K185)*(IF((YEAR(D185)+13)&lt;YEAR(E185),0,IF((YEAR(D185)+13)&gt;YEAR(E185),1,(12-MONTH(E185)+1)/12)))*(1/(1+DiscountRate)^13))</f>
        <v/>
      </c>
      <c r="BW185" s="36">
        <f>IF(A185="","",(K185)*(IF((YEAR(D185)+14)&lt;YEAR(E185),0,IF((YEAR(D185)+14)&gt;YEAR(E185),1,(12-MONTH(E185)+1)/12)))*(1/(1+DiscountRate)^14))</f>
        <v/>
      </c>
      <c r="BX185" s="36">
        <f>IF(A185="","",(K185)*(IF((YEAR(D185)+15)&lt;YEAR(E185),0,IF((YEAR(D185)+15)&gt;YEAR(E185),1,(12-MONTH(E185)+1)/12)))*(1/(1+DiscountRate)^15))</f>
        <v/>
      </c>
      <c r="BY185" s="36">
        <f>IF(A185="","",(K185)*(IF((YEAR(D185)+16)&lt;YEAR(E185),0,IF((YEAR(D185)+16)&gt;YEAR(E185),1,(12-MONTH(E185)+1)/12)))*(1/(1+DiscountRate)^16))</f>
        <v/>
      </c>
      <c r="BZ185" s="36">
        <f>IF(A185="","",(K185)*(IF((YEAR(D185)+17)&lt;YEAR(E185),0,IF((YEAR(D185)+17)&gt;YEAR(E185),1,(12-MONTH(E185)+1)/12)))*(1/(1+DiscountRate)^17))</f>
        <v/>
      </c>
      <c r="CA185" s="36">
        <f>IF(A185="","",(K185)*(IF((YEAR(D185)+18)&lt;YEAR(E185),0,IF((YEAR(D185)+18)&gt;YEAR(E185),1,(12-MONTH(E185)+1)/12)))*(1/(1+DiscountRate)^18))</f>
        <v/>
      </c>
      <c r="CB185" s="36">
        <f>IF(A185="","",(K185)*(IF((YEAR(D185)+19)&lt;YEAR(E185),0,IF((YEAR(D185)+19)&gt;YEAR(E185),1,(12-MONTH(E185)+1)/12)))*(1/(1+DiscountRate)^19))</f>
        <v/>
      </c>
      <c r="CC185" s="36">
        <f>IF(A185="","",(K185)*(IF((YEAR(D185)+20)&lt;YEAR(E185),0,IF((YEAR(D185)+20)&gt;YEAR(E185),1,(12-MONTH(E185)+1)/12)))*(1/(1+DiscountRate)^20))</f>
        <v/>
      </c>
      <c r="CD185" s="29">
        <f>IF(A185="","",S185/(1+DiscountRate)^0+T185/(1+DiscountRate)^1+U185/(1+DiscountRate)^2+V185/(1+DiscountRate)^3+W185/(1+DiscountRate)^4+X185/(1+DiscountRate)^5+Y185/(1+DiscountRate)^6+Z185/(1+DiscountRate)^7+AA185/(1+DiscountRate)^8+AB185/(1+DiscountRate)^9+AC185/(1+DiscountRate)^10+AD185/(1+DiscountRate)^11+AE185/(1+DiscountRate)^12+AF185/(1+DiscountRate)^13+AG185/(1+DiscountRate)^14+AH185/(1+DiscountRate)^15+AI185/(1+DiscountRate)^16+AJ185/(1+DiscountRate)^17+AK185/(1+DiscountRate)^18+AL185/(1+DiscountRate)^19+AM185/(1+DiscountRate)^20)</f>
        <v/>
      </c>
      <c r="CE185" s="37">
        <f>IF(A185="","",IFERROR(IRR(OFFSET(S185,0,0,1,MIN(HorizonYears,20)+1)),"n/a"))</f>
        <v/>
      </c>
      <c r="CF185" s="28">
        <f>IF(A185="","",IFERROR(MATCH(TRUE,OFFSET(AN185,0,0,1,MIN(HorizonYears,20)+1)&gt;=0,0)-1,"n/a"))</f>
        <v/>
      </c>
      <c r="CG185" s="36">
        <f>IF(A185="","",SUM(OFFSET(BI185,0,0,1,MIN(HorizonYears,20)+1)))</f>
        <v/>
      </c>
      <c r="CH185" s="36">
        <f>IF(A185="","",IFERROR(-CD185/CG185,"n/a"))</f>
        <v/>
      </c>
    </row>
    <row r="186">
      <c r="A186" s="6">
        <f>Actions!A184</f>
        <v/>
      </c>
      <c r="B186" s="6">
        <f>Actions!B184</f>
        <v/>
      </c>
      <c r="C186" s="6">
        <f>Actions!D184</f>
        <v/>
      </c>
      <c r="D186" s="35">
        <f>Actions!E184</f>
        <v/>
      </c>
      <c r="E186" s="35">
        <f>Actions!F184</f>
        <v/>
      </c>
      <c r="F186" s="6">
        <f>Actions!G184</f>
        <v/>
      </c>
      <c r="G186" s="6">
        <f>Actions!H184</f>
        <v/>
      </c>
      <c r="H186" s="29">
        <f>Actions!I184</f>
        <v/>
      </c>
      <c r="I186" s="6">
        <f>Actions!J184</f>
        <v/>
      </c>
      <c r="J186" s="16">
        <f>Actions!K184</f>
        <v/>
      </c>
      <c r="K186" s="16">
        <f>IF(A186="","",IF(I186="%",H186*J186,J186))</f>
        <v/>
      </c>
      <c r="L186" s="16">
        <f>Actions!L184</f>
        <v/>
      </c>
      <c r="M186" s="6">
        <f>Actions!M184</f>
        <v/>
      </c>
      <c r="N186" s="28">
        <f>Actions!N184</f>
        <v/>
      </c>
      <c r="O186" s="29">
        <f>Actions!T184</f>
        <v/>
      </c>
      <c r="P186" s="29">
        <f>Actions!Y184</f>
        <v/>
      </c>
      <c r="Q186" s="29">
        <f>Actions!Z184</f>
        <v/>
      </c>
      <c r="R186" s="29">
        <f>Actions!AA184</f>
        <v/>
      </c>
      <c r="S186" s="29">
        <f>IF(A186="","",((K186)*(IF(M186="",L186,IFERROR(IF(INDEX(Variablen!$I:$AT, MATCH(M186, Variablen!$A:$A, 0), MATCH((YEAR(D186)+0), Variablen!$I$3:$AT$3, 0))="",L186,INDEX(Variablen!$I:$AT, MATCH(M186, Variablen!$A:$A, 0), MATCH((YEAR(D186)+0), Variablen!$I$3:$AT$3, 0))),L186)))*(IF((YEAR(D186)+0)&lt;YEAR(E186),0,IF((YEAR(D186)+0)&gt;YEAR(E186),1,(12-MONTH(E186)+1)/12))) + (Q186)*(IF((YEAR(D186)+0)&lt;YEAR(E186),0,IF((YEAR(D186)+0)&gt;YEAR(E186),1,(12-MONTH(E186)+1)/12))))-((P186)*(IF((YEAR(D186)+0)&lt;YEAR(E186),0,IF((YEAR(D186)+0)&gt;YEAR(E186),1,(12-MONTH(E186)+1)/12))) + (R186)*(IF((YEAR(D186)+0)&lt;YEAR(E186),0,IF((YEAR(D186)+0)&gt;YEAR(E186),1,(12-MONTH(E186)+1)/12))))-(IF((((K186)*(IF(M186="",L186,IFERROR(IF(INDEX(Variablen!$I:$AT, MATCH(M186, Variablen!$A:$A, 0), MATCH((YEAR(D186)+0), Variablen!$I$3:$AT$3, 0))="",L186,INDEX(Variablen!$I:$AT, MATCH(M186, Variablen!$A:$A, 0), MATCH((YEAR(D186)+0), Variablen!$I$3:$AT$3, 0))),L186)))*(IF((YEAR(D186)+0)&lt;YEAR(E186),0,IF((YEAR(D186)+0)&gt;YEAR(E186),1,(12-MONTH(E186)+1)/12))) + (Q186)*(IF((YEAR(D186)+0)&lt;YEAR(E186),0,IF((YEAR(D186)+0)&gt;YEAR(E186),1,(12-MONTH(E186)+1)/12))))-((P186)*(IF((YEAR(D186)+0)&lt;YEAR(E186),0,IF((YEAR(D186)+0)&gt;YEAR(E186),1,(12-MONTH(E186)+1)/12))) + (R186)*(IF((YEAR(D186)+0)&lt;YEAR(E186),0,IF((YEAR(D186)+0)&gt;YEAR(E186),1,(12-MONTH(E186)+1)/12))))-(IF(OR(N186="",N186&lt;=0),0,(O186/N186)*(IF(OR(N186="",N186&lt;=0),0,IF((YEAR(D186)+0)&lt;YEAR(E186),0,IF((YEAR(D186)+0)&gt;=YEAR(E186)+N186,0,IF((YEAR(D186)+0)=YEAR(E186),(12-MONTH(E186)+1)/12,1))))))))&gt;0,(((K186)*(IF(M186="",L186,IFERROR(IF(INDEX(Variablen!$I:$AT, MATCH(M186, Variablen!$A:$A, 0), MATCH((YEAR(D186)+0), Variablen!$I$3:$AT$3, 0))="",L186,INDEX(Variablen!$I:$AT, MATCH(M186, Variablen!$A:$A, 0), MATCH((YEAR(D186)+0), Variablen!$I$3:$AT$3, 0))),L186)))*(IF((YEAR(D186)+0)&lt;YEAR(E186),0,IF((YEAR(D186)+0)&gt;YEAR(E186),1,(12-MONTH(E186)+1)/12))) + (Q186)*(IF((YEAR(D186)+0)&lt;YEAR(E186),0,IF((YEAR(D186)+0)&gt;YEAR(E186),1,(12-MONTH(E186)+1)/12))))-((P186)*(IF((YEAR(D186)+0)&lt;YEAR(E186),0,IF((YEAR(D186)+0)&gt;YEAR(E186),1,(12-MONTH(E186)+1)/12))) + (R186)*(IF((YEAR(D186)+0)&lt;YEAR(E186),0,IF((YEAR(D186)+0)&gt;YEAR(E186),1,(12-MONTH(E186)+1)/12))))-(IF(OR(N186="",N186&lt;=0),0,(O186/N186)*(IF(OR(N186="",N186&lt;=0),0,IF((YEAR(D186)+0)&lt;YEAR(E186),0,IF((YEAR(D186)+0)&gt;=YEAR(E186)+N186,0,IF((YEAR(D186)+0)=YEAR(E186),(12-MONTH(E186)+1)/12,1))))))))*TaxRate,0))-IF(0=0,O186,0))</f>
        <v/>
      </c>
      <c r="T186" s="29">
        <f>IF(A186="","",((K186)*(IF(M186="",L186,IFERROR(IF(INDEX(Variablen!$I:$AT, MATCH(M186, Variablen!$A:$A, 0), MATCH((YEAR(D186)+1), Variablen!$I$3:$AT$3, 0))="",L186,INDEX(Variablen!$I:$AT, MATCH(M186, Variablen!$A:$A, 0), MATCH((YEAR(D186)+1), Variablen!$I$3:$AT$3, 0))),L186)))*(IF((YEAR(D186)+1)&lt;YEAR(E186),0,IF((YEAR(D186)+1)&gt;YEAR(E186),1,(12-MONTH(E186)+1)/12))) + (Q186)*(IF((YEAR(D186)+1)&lt;YEAR(E186),0,IF((YEAR(D186)+1)&gt;YEAR(E186),1,(12-MONTH(E186)+1)/12))))-((P186)*(IF((YEAR(D186)+1)&lt;YEAR(E186),0,IF((YEAR(D186)+1)&gt;YEAR(E186),1,(12-MONTH(E186)+1)/12))) + (R186)*(IF((YEAR(D186)+1)&lt;YEAR(E186),0,IF((YEAR(D186)+1)&gt;YEAR(E186),1,(12-MONTH(E186)+1)/12))))-(IF((((K186)*(IF(M186="",L186,IFERROR(IF(INDEX(Variablen!$I:$AT, MATCH(M186, Variablen!$A:$A, 0), MATCH((YEAR(D186)+1), Variablen!$I$3:$AT$3, 0))="",L186,INDEX(Variablen!$I:$AT, MATCH(M186, Variablen!$A:$A, 0), MATCH((YEAR(D186)+1), Variablen!$I$3:$AT$3, 0))),L186)))*(IF((YEAR(D186)+1)&lt;YEAR(E186),0,IF((YEAR(D186)+1)&gt;YEAR(E186),1,(12-MONTH(E186)+1)/12))) + (Q186)*(IF((YEAR(D186)+1)&lt;YEAR(E186),0,IF((YEAR(D186)+1)&gt;YEAR(E186),1,(12-MONTH(E186)+1)/12))))-((P186)*(IF((YEAR(D186)+1)&lt;YEAR(E186),0,IF((YEAR(D186)+1)&gt;YEAR(E186),1,(12-MONTH(E186)+1)/12))) + (R186)*(IF((YEAR(D186)+1)&lt;YEAR(E186),0,IF((YEAR(D186)+1)&gt;YEAR(E186),1,(12-MONTH(E186)+1)/12))))-(IF(OR(N186="",N186&lt;=0),0,(O186/N186)*(IF(OR(N186="",N186&lt;=0),0,IF((YEAR(D186)+1)&lt;YEAR(E186),0,IF((YEAR(D186)+1)&gt;=YEAR(E186)+N186,0,IF((YEAR(D186)+1)=YEAR(E186),(12-MONTH(E186)+1)/12,1))))))))&gt;0,(((K186)*(IF(M186="",L186,IFERROR(IF(INDEX(Variablen!$I:$AT, MATCH(M186, Variablen!$A:$A, 0), MATCH((YEAR(D186)+1), Variablen!$I$3:$AT$3, 0))="",L186,INDEX(Variablen!$I:$AT, MATCH(M186, Variablen!$A:$A, 0), MATCH((YEAR(D186)+1), Variablen!$I$3:$AT$3, 0))),L186)))*(IF((YEAR(D186)+1)&lt;YEAR(E186),0,IF((YEAR(D186)+1)&gt;YEAR(E186),1,(12-MONTH(E186)+1)/12))) + (Q186)*(IF((YEAR(D186)+1)&lt;YEAR(E186),0,IF((YEAR(D186)+1)&gt;YEAR(E186),1,(12-MONTH(E186)+1)/12))))-((P186)*(IF((YEAR(D186)+1)&lt;YEAR(E186),0,IF((YEAR(D186)+1)&gt;YEAR(E186),1,(12-MONTH(E186)+1)/12))) + (R186)*(IF((YEAR(D186)+1)&lt;YEAR(E186),0,IF((YEAR(D186)+1)&gt;YEAR(E186),1,(12-MONTH(E186)+1)/12))))-(IF(OR(N186="",N186&lt;=0),0,(O186/N186)*(IF(OR(N186="",N186&lt;=0),0,IF((YEAR(D186)+1)&lt;YEAR(E186),0,IF((YEAR(D186)+1)&gt;=YEAR(E186)+N186,0,IF((YEAR(D186)+1)=YEAR(E186),(12-MONTH(E186)+1)/12,1))))))))*TaxRate,0))-IF(1=0,O186,0))</f>
        <v/>
      </c>
      <c r="U186" s="29">
        <f>IF(A186="","",((K186)*(IF(M186="",L186,IFERROR(IF(INDEX(Variablen!$I:$AT, MATCH(M186, Variablen!$A:$A, 0), MATCH((YEAR(D186)+2), Variablen!$I$3:$AT$3, 0))="",L186,INDEX(Variablen!$I:$AT, MATCH(M186, Variablen!$A:$A, 0), MATCH((YEAR(D186)+2), Variablen!$I$3:$AT$3, 0))),L186)))*(IF((YEAR(D186)+2)&lt;YEAR(E186),0,IF((YEAR(D186)+2)&gt;YEAR(E186),1,(12-MONTH(E186)+1)/12))) + (Q186)*(IF((YEAR(D186)+2)&lt;YEAR(E186),0,IF((YEAR(D186)+2)&gt;YEAR(E186),1,(12-MONTH(E186)+1)/12))))-((P186)*(IF((YEAR(D186)+2)&lt;YEAR(E186),0,IF((YEAR(D186)+2)&gt;YEAR(E186),1,(12-MONTH(E186)+1)/12))) + (R186)*(IF((YEAR(D186)+2)&lt;YEAR(E186),0,IF((YEAR(D186)+2)&gt;YEAR(E186),1,(12-MONTH(E186)+1)/12))))-(IF((((K186)*(IF(M186="",L186,IFERROR(IF(INDEX(Variablen!$I:$AT, MATCH(M186, Variablen!$A:$A, 0), MATCH((YEAR(D186)+2), Variablen!$I$3:$AT$3, 0))="",L186,INDEX(Variablen!$I:$AT, MATCH(M186, Variablen!$A:$A, 0), MATCH((YEAR(D186)+2), Variablen!$I$3:$AT$3, 0))),L186)))*(IF((YEAR(D186)+2)&lt;YEAR(E186),0,IF((YEAR(D186)+2)&gt;YEAR(E186),1,(12-MONTH(E186)+1)/12))) + (Q186)*(IF((YEAR(D186)+2)&lt;YEAR(E186),0,IF((YEAR(D186)+2)&gt;YEAR(E186),1,(12-MONTH(E186)+1)/12))))-((P186)*(IF((YEAR(D186)+2)&lt;YEAR(E186),0,IF((YEAR(D186)+2)&gt;YEAR(E186),1,(12-MONTH(E186)+1)/12))) + (R186)*(IF((YEAR(D186)+2)&lt;YEAR(E186),0,IF((YEAR(D186)+2)&gt;YEAR(E186),1,(12-MONTH(E186)+1)/12))))-(IF(OR(N186="",N186&lt;=0),0,(O186/N186)*(IF(OR(N186="",N186&lt;=0),0,IF((YEAR(D186)+2)&lt;YEAR(E186),0,IF((YEAR(D186)+2)&gt;=YEAR(E186)+N186,0,IF((YEAR(D186)+2)=YEAR(E186),(12-MONTH(E186)+1)/12,1))))))))&gt;0,(((K186)*(IF(M186="",L186,IFERROR(IF(INDEX(Variablen!$I:$AT, MATCH(M186, Variablen!$A:$A, 0), MATCH((YEAR(D186)+2), Variablen!$I$3:$AT$3, 0))="",L186,INDEX(Variablen!$I:$AT, MATCH(M186, Variablen!$A:$A, 0), MATCH((YEAR(D186)+2), Variablen!$I$3:$AT$3, 0))),L186)))*(IF((YEAR(D186)+2)&lt;YEAR(E186),0,IF((YEAR(D186)+2)&gt;YEAR(E186),1,(12-MONTH(E186)+1)/12))) + (Q186)*(IF((YEAR(D186)+2)&lt;YEAR(E186),0,IF((YEAR(D186)+2)&gt;YEAR(E186),1,(12-MONTH(E186)+1)/12))))-((P186)*(IF((YEAR(D186)+2)&lt;YEAR(E186),0,IF((YEAR(D186)+2)&gt;YEAR(E186),1,(12-MONTH(E186)+1)/12))) + (R186)*(IF((YEAR(D186)+2)&lt;YEAR(E186),0,IF((YEAR(D186)+2)&gt;YEAR(E186),1,(12-MONTH(E186)+1)/12))))-(IF(OR(N186="",N186&lt;=0),0,(O186/N186)*(IF(OR(N186="",N186&lt;=0),0,IF((YEAR(D186)+2)&lt;YEAR(E186),0,IF((YEAR(D186)+2)&gt;=YEAR(E186)+N186,0,IF((YEAR(D186)+2)=YEAR(E186),(12-MONTH(E186)+1)/12,1))))))))*TaxRate,0))-IF(2=0,O186,0))</f>
        <v/>
      </c>
      <c r="V186" s="29">
        <f>IF(A186="","",((K186)*(IF(M186="",L186,IFERROR(IF(INDEX(Variablen!$I:$AT, MATCH(M186, Variablen!$A:$A, 0), MATCH((YEAR(D186)+3), Variablen!$I$3:$AT$3, 0))="",L186,INDEX(Variablen!$I:$AT, MATCH(M186, Variablen!$A:$A, 0), MATCH((YEAR(D186)+3), Variablen!$I$3:$AT$3, 0))),L186)))*(IF((YEAR(D186)+3)&lt;YEAR(E186),0,IF((YEAR(D186)+3)&gt;YEAR(E186),1,(12-MONTH(E186)+1)/12))) + (Q186)*(IF((YEAR(D186)+3)&lt;YEAR(E186),0,IF((YEAR(D186)+3)&gt;YEAR(E186),1,(12-MONTH(E186)+1)/12))))-((P186)*(IF((YEAR(D186)+3)&lt;YEAR(E186),0,IF((YEAR(D186)+3)&gt;YEAR(E186),1,(12-MONTH(E186)+1)/12))) + (R186)*(IF((YEAR(D186)+3)&lt;YEAR(E186),0,IF((YEAR(D186)+3)&gt;YEAR(E186),1,(12-MONTH(E186)+1)/12))))-(IF((((K186)*(IF(M186="",L186,IFERROR(IF(INDEX(Variablen!$I:$AT, MATCH(M186, Variablen!$A:$A, 0), MATCH((YEAR(D186)+3), Variablen!$I$3:$AT$3, 0))="",L186,INDEX(Variablen!$I:$AT, MATCH(M186, Variablen!$A:$A, 0), MATCH((YEAR(D186)+3), Variablen!$I$3:$AT$3, 0))),L186)))*(IF((YEAR(D186)+3)&lt;YEAR(E186),0,IF((YEAR(D186)+3)&gt;YEAR(E186),1,(12-MONTH(E186)+1)/12))) + (Q186)*(IF((YEAR(D186)+3)&lt;YEAR(E186),0,IF((YEAR(D186)+3)&gt;YEAR(E186),1,(12-MONTH(E186)+1)/12))))-((P186)*(IF((YEAR(D186)+3)&lt;YEAR(E186),0,IF((YEAR(D186)+3)&gt;YEAR(E186),1,(12-MONTH(E186)+1)/12))) + (R186)*(IF((YEAR(D186)+3)&lt;YEAR(E186),0,IF((YEAR(D186)+3)&gt;YEAR(E186),1,(12-MONTH(E186)+1)/12))))-(IF(OR(N186="",N186&lt;=0),0,(O186/N186)*(IF(OR(N186="",N186&lt;=0),0,IF((YEAR(D186)+3)&lt;YEAR(E186),0,IF((YEAR(D186)+3)&gt;=YEAR(E186)+N186,0,IF((YEAR(D186)+3)=YEAR(E186),(12-MONTH(E186)+1)/12,1))))))))&gt;0,(((K186)*(IF(M186="",L186,IFERROR(IF(INDEX(Variablen!$I:$AT, MATCH(M186, Variablen!$A:$A, 0), MATCH((YEAR(D186)+3), Variablen!$I$3:$AT$3, 0))="",L186,INDEX(Variablen!$I:$AT, MATCH(M186, Variablen!$A:$A, 0), MATCH((YEAR(D186)+3), Variablen!$I$3:$AT$3, 0))),L186)))*(IF((YEAR(D186)+3)&lt;YEAR(E186),0,IF((YEAR(D186)+3)&gt;YEAR(E186),1,(12-MONTH(E186)+1)/12))) + (Q186)*(IF((YEAR(D186)+3)&lt;YEAR(E186),0,IF((YEAR(D186)+3)&gt;YEAR(E186),1,(12-MONTH(E186)+1)/12))))-((P186)*(IF((YEAR(D186)+3)&lt;YEAR(E186),0,IF((YEAR(D186)+3)&gt;YEAR(E186),1,(12-MONTH(E186)+1)/12))) + (R186)*(IF((YEAR(D186)+3)&lt;YEAR(E186),0,IF((YEAR(D186)+3)&gt;YEAR(E186),1,(12-MONTH(E186)+1)/12))))-(IF(OR(N186="",N186&lt;=0),0,(O186/N186)*(IF(OR(N186="",N186&lt;=0),0,IF((YEAR(D186)+3)&lt;YEAR(E186),0,IF((YEAR(D186)+3)&gt;=YEAR(E186)+N186,0,IF((YEAR(D186)+3)=YEAR(E186),(12-MONTH(E186)+1)/12,1))))))))*TaxRate,0))-IF(3=0,O186,0))</f>
        <v/>
      </c>
      <c r="W186" s="29">
        <f>IF(A186="","",((K186)*(IF(M186="",L186,IFERROR(IF(INDEX(Variablen!$I:$AT, MATCH(M186, Variablen!$A:$A, 0), MATCH((YEAR(D186)+4), Variablen!$I$3:$AT$3, 0))="",L186,INDEX(Variablen!$I:$AT, MATCH(M186, Variablen!$A:$A, 0), MATCH((YEAR(D186)+4), Variablen!$I$3:$AT$3, 0))),L186)))*(IF((YEAR(D186)+4)&lt;YEAR(E186),0,IF((YEAR(D186)+4)&gt;YEAR(E186),1,(12-MONTH(E186)+1)/12))) + (Q186)*(IF((YEAR(D186)+4)&lt;YEAR(E186),0,IF((YEAR(D186)+4)&gt;YEAR(E186),1,(12-MONTH(E186)+1)/12))))-((P186)*(IF((YEAR(D186)+4)&lt;YEAR(E186),0,IF((YEAR(D186)+4)&gt;YEAR(E186),1,(12-MONTH(E186)+1)/12))) + (R186)*(IF((YEAR(D186)+4)&lt;YEAR(E186),0,IF((YEAR(D186)+4)&gt;YEAR(E186),1,(12-MONTH(E186)+1)/12))))-(IF((((K186)*(IF(M186="",L186,IFERROR(IF(INDEX(Variablen!$I:$AT, MATCH(M186, Variablen!$A:$A, 0), MATCH((YEAR(D186)+4), Variablen!$I$3:$AT$3, 0))="",L186,INDEX(Variablen!$I:$AT, MATCH(M186, Variablen!$A:$A, 0), MATCH((YEAR(D186)+4), Variablen!$I$3:$AT$3, 0))),L186)))*(IF((YEAR(D186)+4)&lt;YEAR(E186),0,IF((YEAR(D186)+4)&gt;YEAR(E186),1,(12-MONTH(E186)+1)/12))) + (Q186)*(IF((YEAR(D186)+4)&lt;YEAR(E186),0,IF((YEAR(D186)+4)&gt;YEAR(E186),1,(12-MONTH(E186)+1)/12))))-((P186)*(IF((YEAR(D186)+4)&lt;YEAR(E186),0,IF((YEAR(D186)+4)&gt;YEAR(E186),1,(12-MONTH(E186)+1)/12))) + (R186)*(IF((YEAR(D186)+4)&lt;YEAR(E186),0,IF((YEAR(D186)+4)&gt;YEAR(E186),1,(12-MONTH(E186)+1)/12))))-(IF(OR(N186="",N186&lt;=0),0,(O186/N186)*(IF(OR(N186="",N186&lt;=0),0,IF((YEAR(D186)+4)&lt;YEAR(E186),0,IF((YEAR(D186)+4)&gt;=YEAR(E186)+N186,0,IF((YEAR(D186)+4)=YEAR(E186),(12-MONTH(E186)+1)/12,1))))))))&gt;0,(((K186)*(IF(M186="",L186,IFERROR(IF(INDEX(Variablen!$I:$AT, MATCH(M186, Variablen!$A:$A, 0), MATCH((YEAR(D186)+4), Variablen!$I$3:$AT$3, 0))="",L186,INDEX(Variablen!$I:$AT, MATCH(M186, Variablen!$A:$A, 0), MATCH((YEAR(D186)+4), Variablen!$I$3:$AT$3, 0))),L186)))*(IF((YEAR(D186)+4)&lt;YEAR(E186),0,IF((YEAR(D186)+4)&gt;YEAR(E186),1,(12-MONTH(E186)+1)/12))) + (Q186)*(IF((YEAR(D186)+4)&lt;YEAR(E186),0,IF((YEAR(D186)+4)&gt;YEAR(E186),1,(12-MONTH(E186)+1)/12))))-((P186)*(IF((YEAR(D186)+4)&lt;YEAR(E186),0,IF((YEAR(D186)+4)&gt;YEAR(E186),1,(12-MONTH(E186)+1)/12))) + (R186)*(IF((YEAR(D186)+4)&lt;YEAR(E186),0,IF((YEAR(D186)+4)&gt;YEAR(E186),1,(12-MONTH(E186)+1)/12))))-(IF(OR(N186="",N186&lt;=0),0,(O186/N186)*(IF(OR(N186="",N186&lt;=0),0,IF((YEAR(D186)+4)&lt;YEAR(E186),0,IF((YEAR(D186)+4)&gt;=YEAR(E186)+N186,0,IF((YEAR(D186)+4)=YEAR(E186),(12-MONTH(E186)+1)/12,1))))))))*TaxRate,0))-IF(4=0,O186,0))</f>
        <v/>
      </c>
      <c r="X186" s="29">
        <f>IF(A186="","",((K186)*(IF(M186="",L186,IFERROR(IF(INDEX(Variablen!$I:$AT, MATCH(M186, Variablen!$A:$A, 0), MATCH((YEAR(D186)+5), Variablen!$I$3:$AT$3, 0))="",L186,INDEX(Variablen!$I:$AT, MATCH(M186, Variablen!$A:$A, 0), MATCH((YEAR(D186)+5), Variablen!$I$3:$AT$3, 0))),L186)))*(IF((YEAR(D186)+5)&lt;YEAR(E186),0,IF((YEAR(D186)+5)&gt;YEAR(E186),1,(12-MONTH(E186)+1)/12))) + (Q186)*(IF((YEAR(D186)+5)&lt;YEAR(E186),0,IF((YEAR(D186)+5)&gt;YEAR(E186),1,(12-MONTH(E186)+1)/12))))-((P186)*(IF((YEAR(D186)+5)&lt;YEAR(E186),0,IF((YEAR(D186)+5)&gt;YEAR(E186),1,(12-MONTH(E186)+1)/12))) + (R186)*(IF((YEAR(D186)+5)&lt;YEAR(E186),0,IF((YEAR(D186)+5)&gt;YEAR(E186),1,(12-MONTH(E186)+1)/12))))-(IF((((K186)*(IF(M186="",L186,IFERROR(IF(INDEX(Variablen!$I:$AT, MATCH(M186, Variablen!$A:$A, 0), MATCH((YEAR(D186)+5), Variablen!$I$3:$AT$3, 0))="",L186,INDEX(Variablen!$I:$AT, MATCH(M186, Variablen!$A:$A, 0), MATCH((YEAR(D186)+5), Variablen!$I$3:$AT$3, 0))),L186)))*(IF((YEAR(D186)+5)&lt;YEAR(E186),0,IF((YEAR(D186)+5)&gt;YEAR(E186),1,(12-MONTH(E186)+1)/12))) + (Q186)*(IF((YEAR(D186)+5)&lt;YEAR(E186),0,IF((YEAR(D186)+5)&gt;YEAR(E186),1,(12-MONTH(E186)+1)/12))))-((P186)*(IF((YEAR(D186)+5)&lt;YEAR(E186),0,IF((YEAR(D186)+5)&gt;YEAR(E186),1,(12-MONTH(E186)+1)/12))) + (R186)*(IF((YEAR(D186)+5)&lt;YEAR(E186),0,IF((YEAR(D186)+5)&gt;YEAR(E186),1,(12-MONTH(E186)+1)/12))))-(IF(OR(N186="",N186&lt;=0),0,(O186/N186)*(IF(OR(N186="",N186&lt;=0),0,IF((YEAR(D186)+5)&lt;YEAR(E186),0,IF((YEAR(D186)+5)&gt;=YEAR(E186)+N186,0,IF((YEAR(D186)+5)=YEAR(E186),(12-MONTH(E186)+1)/12,1))))))))&gt;0,(((K186)*(IF(M186="",L186,IFERROR(IF(INDEX(Variablen!$I:$AT, MATCH(M186, Variablen!$A:$A, 0), MATCH((YEAR(D186)+5), Variablen!$I$3:$AT$3, 0))="",L186,INDEX(Variablen!$I:$AT, MATCH(M186, Variablen!$A:$A, 0), MATCH((YEAR(D186)+5), Variablen!$I$3:$AT$3, 0))),L186)))*(IF((YEAR(D186)+5)&lt;YEAR(E186),0,IF((YEAR(D186)+5)&gt;YEAR(E186),1,(12-MONTH(E186)+1)/12))) + (Q186)*(IF((YEAR(D186)+5)&lt;YEAR(E186),0,IF((YEAR(D186)+5)&gt;YEAR(E186),1,(12-MONTH(E186)+1)/12))))-((P186)*(IF((YEAR(D186)+5)&lt;YEAR(E186),0,IF((YEAR(D186)+5)&gt;YEAR(E186),1,(12-MONTH(E186)+1)/12))) + (R186)*(IF((YEAR(D186)+5)&lt;YEAR(E186),0,IF((YEAR(D186)+5)&gt;YEAR(E186),1,(12-MONTH(E186)+1)/12))))-(IF(OR(N186="",N186&lt;=0),0,(O186/N186)*(IF(OR(N186="",N186&lt;=0),0,IF((YEAR(D186)+5)&lt;YEAR(E186),0,IF((YEAR(D186)+5)&gt;=YEAR(E186)+N186,0,IF((YEAR(D186)+5)=YEAR(E186),(12-MONTH(E186)+1)/12,1))))))))*TaxRate,0))-IF(5=0,O186,0))</f>
        <v/>
      </c>
      <c r="Y186" s="29">
        <f>IF(A186="","",((K186)*(IF(M186="",L186,IFERROR(IF(INDEX(Variablen!$I:$AT, MATCH(M186, Variablen!$A:$A, 0), MATCH((YEAR(D186)+6), Variablen!$I$3:$AT$3, 0))="",L186,INDEX(Variablen!$I:$AT, MATCH(M186, Variablen!$A:$A, 0), MATCH((YEAR(D186)+6), Variablen!$I$3:$AT$3, 0))),L186)))*(IF((YEAR(D186)+6)&lt;YEAR(E186),0,IF((YEAR(D186)+6)&gt;YEAR(E186),1,(12-MONTH(E186)+1)/12))) + (Q186)*(IF((YEAR(D186)+6)&lt;YEAR(E186),0,IF((YEAR(D186)+6)&gt;YEAR(E186),1,(12-MONTH(E186)+1)/12))))-((P186)*(IF((YEAR(D186)+6)&lt;YEAR(E186),0,IF((YEAR(D186)+6)&gt;YEAR(E186),1,(12-MONTH(E186)+1)/12))) + (R186)*(IF((YEAR(D186)+6)&lt;YEAR(E186),0,IF((YEAR(D186)+6)&gt;YEAR(E186),1,(12-MONTH(E186)+1)/12))))-(IF((((K186)*(IF(M186="",L186,IFERROR(IF(INDEX(Variablen!$I:$AT, MATCH(M186, Variablen!$A:$A, 0), MATCH((YEAR(D186)+6), Variablen!$I$3:$AT$3, 0))="",L186,INDEX(Variablen!$I:$AT, MATCH(M186, Variablen!$A:$A, 0), MATCH((YEAR(D186)+6), Variablen!$I$3:$AT$3, 0))),L186)))*(IF((YEAR(D186)+6)&lt;YEAR(E186),0,IF((YEAR(D186)+6)&gt;YEAR(E186),1,(12-MONTH(E186)+1)/12))) + (Q186)*(IF((YEAR(D186)+6)&lt;YEAR(E186),0,IF((YEAR(D186)+6)&gt;YEAR(E186),1,(12-MONTH(E186)+1)/12))))-((P186)*(IF((YEAR(D186)+6)&lt;YEAR(E186),0,IF((YEAR(D186)+6)&gt;YEAR(E186),1,(12-MONTH(E186)+1)/12))) + (R186)*(IF((YEAR(D186)+6)&lt;YEAR(E186),0,IF((YEAR(D186)+6)&gt;YEAR(E186),1,(12-MONTH(E186)+1)/12))))-(IF(OR(N186="",N186&lt;=0),0,(O186/N186)*(IF(OR(N186="",N186&lt;=0),0,IF((YEAR(D186)+6)&lt;YEAR(E186),0,IF((YEAR(D186)+6)&gt;=YEAR(E186)+N186,0,IF((YEAR(D186)+6)=YEAR(E186),(12-MONTH(E186)+1)/12,1))))))))&gt;0,(((K186)*(IF(M186="",L186,IFERROR(IF(INDEX(Variablen!$I:$AT, MATCH(M186, Variablen!$A:$A, 0), MATCH((YEAR(D186)+6), Variablen!$I$3:$AT$3, 0))="",L186,INDEX(Variablen!$I:$AT, MATCH(M186, Variablen!$A:$A, 0), MATCH((YEAR(D186)+6), Variablen!$I$3:$AT$3, 0))),L186)))*(IF((YEAR(D186)+6)&lt;YEAR(E186),0,IF((YEAR(D186)+6)&gt;YEAR(E186),1,(12-MONTH(E186)+1)/12))) + (Q186)*(IF((YEAR(D186)+6)&lt;YEAR(E186),0,IF((YEAR(D186)+6)&gt;YEAR(E186),1,(12-MONTH(E186)+1)/12))))-((P186)*(IF((YEAR(D186)+6)&lt;YEAR(E186),0,IF((YEAR(D186)+6)&gt;YEAR(E186),1,(12-MONTH(E186)+1)/12))) + (R186)*(IF((YEAR(D186)+6)&lt;YEAR(E186),0,IF((YEAR(D186)+6)&gt;YEAR(E186),1,(12-MONTH(E186)+1)/12))))-(IF(OR(N186="",N186&lt;=0),0,(O186/N186)*(IF(OR(N186="",N186&lt;=0),0,IF((YEAR(D186)+6)&lt;YEAR(E186),0,IF((YEAR(D186)+6)&gt;=YEAR(E186)+N186,0,IF((YEAR(D186)+6)=YEAR(E186),(12-MONTH(E186)+1)/12,1))))))))*TaxRate,0))-IF(6=0,O186,0))</f>
        <v/>
      </c>
      <c r="Z186" s="29">
        <f>IF(A186="","",((K186)*(IF(M186="",L186,IFERROR(IF(INDEX(Variablen!$I:$AT, MATCH(M186, Variablen!$A:$A, 0), MATCH((YEAR(D186)+7), Variablen!$I$3:$AT$3, 0))="",L186,INDEX(Variablen!$I:$AT, MATCH(M186, Variablen!$A:$A, 0), MATCH((YEAR(D186)+7), Variablen!$I$3:$AT$3, 0))),L186)))*(IF((YEAR(D186)+7)&lt;YEAR(E186),0,IF((YEAR(D186)+7)&gt;YEAR(E186),1,(12-MONTH(E186)+1)/12))) + (Q186)*(IF((YEAR(D186)+7)&lt;YEAR(E186),0,IF((YEAR(D186)+7)&gt;YEAR(E186),1,(12-MONTH(E186)+1)/12))))-((P186)*(IF((YEAR(D186)+7)&lt;YEAR(E186),0,IF((YEAR(D186)+7)&gt;YEAR(E186),1,(12-MONTH(E186)+1)/12))) + (R186)*(IF((YEAR(D186)+7)&lt;YEAR(E186),0,IF((YEAR(D186)+7)&gt;YEAR(E186),1,(12-MONTH(E186)+1)/12))))-(IF((((K186)*(IF(M186="",L186,IFERROR(IF(INDEX(Variablen!$I:$AT, MATCH(M186, Variablen!$A:$A, 0), MATCH((YEAR(D186)+7), Variablen!$I$3:$AT$3, 0))="",L186,INDEX(Variablen!$I:$AT, MATCH(M186, Variablen!$A:$A, 0), MATCH((YEAR(D186)+7), Variablen!$I$3:$AT$3, 0))),L186)))*(IF((YEAR(D186)+7)&lt;YEAR(E186),0,IF((YEAR(D186)+7)&gt;YEAR(E186),1,(12-MONTH(E186)+1)/12))) + (Q186)*(IF((YEAR(D186)+7)&lt;YEAR(E186),0,IF((YEAR(D186)+7)&gt;YEAR(E186),1,(12-MONTH(E186)+1)/12))))-((P186)*(IF((YEAR(D186)+7)&lt;YEAR(E186),0,IF((YEAR(D186)+7)&gt;YEAR(E186),1,(12-MONTH(E186)+1)/12))) + (R186)*(IF((YEAR(D186)+7)&lt;YEAR(E186),0,IF((YEAR(D186)+7)&gt;YEAR(E186),1,(12-MONTH(E186)+1)/12))))-(IF(OR(N186="",N186&lt;=0),0,(O186/N186)*(IF(OR(N186="",N186&lt;=0),0,IF((YEAR(D186)+7)&lt;YEAR(E186),0,IF((YEAR(D186)+7)&gt;=YEAR(E186)+N186,0,IF((YEAR(D186)+7)=YEAR(E186),(12-MONTH(E186)+1)/12,1))))))))&gt;0,(((K186)*(IF(M186="",L186,IFERROR(IF(INDEX(Variablen!$I:$AT, MATCH(M186, Variablen!$A:$A, 0), MATCH((YEAR(D186)+7), Variablen!$I$3:$AT$3, 0))="",L186,INDEX(Variablen!$I:$AT, MATCH(M186, Variablen!$A:$A, 0), MATCH((YEAR(D186)+7), Variablen!$I$3:$AT$3, 0))),L186)))*(IF((YEAR(D186)+7)&lt;YEAR(E186),0,IF((YEAR(D186)+7)&gt;YEAR(E186),1,(12-MONTH(E186)+1)/12))) + (Q186)*(IF((YEAR(D186)+7)&lt;YEAR(E186),0,IF((YEAR(D186)+7)&gt;YEAR(E186),1,(12-MONTH(E186)+1)/12))))-((P186)*(IF((YEAR(D186)+7)&lt;YEAR(E186),0,IF((YEAR(D186)+7)&gt;YEAR(E186),1,(12-MONTH(E186)+1)/12))) + (R186)*(IF((YEAR(D186)+7)&lt;YEAR(E186),0,IF((YEAR(D186)+7)&gt;YEAR(E186),1,(12-MONTH(E186)+1)/12))))-(IF(OR(N186="",N186&lt;=0),0,(O186/N186)*(IF(OR(N186="",N186&lt;=0),0,IF((YEAR(D186)+7)&lt;YEAR(E186),0,IF((YEAR(D186)+7)&gt;=YEAR(E186)+N186,0,IF((YEAR(D186)+7)=YEAR(E186),(12-MONTH(E186)+1)/12,1))))))))*TaxRate,0))-IF(7=0,O186,0))</f>
        <v/>
      </c>
      <c r="AA186" s="29">
        <f>IF(A186="","",((K186)*(IF(M186="",L186,IFERROR(IF(INDEX(Variablen!$I:$AT, MATCH(M186, Variablen!$A:$A, 0), MATCH((YEAR(D186)+8), Variablen!$I$3:$AT$3, 0))="",L186,INDEX(Variablen!$I:$AT, MATCH(M186, Variablen!$A:$A, 0), MATCH((YEAR(D186)+8), Variablen!$I$3:$AT$3, 0))),L186)))*(IF((YEAR(D186)+8)&lt;YEAR(E186),0,IF((YEAR(D186)+8)&gt;YEAR(E186),1,(12-MONTH(E186)+1)/12))) + (Q186)*(IF((YEAR(D186)+8)&lt;YEAR(E186),0,IF((YEAR(D186)+8)&gt;YEAR(E186),1,(12-MONTH(E186)+1)/12))))-((P186)*(IF((YEAR(D186)+8)&lt;YEAR(E186),0,IF((YEAR(D186)+8)&gt;YEAR(E186),1,(12-MONTH(E186)+1)/12))) + (R186)*(IF((YEAR(D186)+8)&lt;YEAR(E186),0,IF((YEAR(D186)+8)&gt;YEAR(E186),1,(12-MONTH(E186)+1)/12))))-(IF((((K186)*(IF(M186="",L186,IFERROR(IF(INDEX(Variablen!$I:$AT, MATCH(M186, Variablen!$A:$A, 0), MATCH((YEAR(D186)+8), Variablen!$I$3:$AT$3, 0))="",L186,INDEX(Variablen!$I:$AT, MATCH(M186, Variablen!$A:$A, 0), MATCH((YEAR(D186)+8), Variablen!$I$3:$AT$3, 0))),L186)))*(IF((YEAR(D186)+8)&lt;YEAR(E186),0,IF((YEAR(D186)+8)&gt;YEAR(E186),1,(12-MONTH(E186)+1)/12))) + (Q186)*(IF((YEAR(D186)+8)&lt;YEAR(E186),0,IF((YEAR(D186)+8)&gt;YEAR(E186),1,(12-MONTH(E186)+1)/12))))-((P186)*(IF((YEAR(D186)+8)&lt;YEAR(E186),0,IF((YEAR(D186)+8)&gt;YEAR(E186),1,(12-MONTH(E186)+1)/12))) + (R186)*(IF((YEAR(D186)+8)&lt;YEAR(E186),0,IF((YEAR(D186)+8)&gt;YEAR(E186),1,(12-MONTH(E186)+1)/12))))-(IF(OR(N186="",N186&lt;=0),0,(O186/N186)*(IF(OR(N186="",N186&lt;=0),0,IF((YEAR(D186)+8)&lt;YEAR(E186),0,IF((YEAR(D186)+8)&gt;=YEAR(E186)+N186,0,IF((YEAR(D186)+8)=YEAR(E186),(12-MONTH(E186)+1)/12,1))))))))&gt;0,(((K186)*(IF(M186="",L186,IFERROR(IF(INDEX(Variablen!$I:$AT, MATCH(M186, Variablen!$A:$A, 0), MATCH((YEAR(D186)+8), Variablen!$I$3:$AT$3, 0))="",L186,INDEX(Variablen!$I:$AT, MATCH(M186, Variablen!$A:$A, 0), MATCH((YEAR(D186)+8), Variablen!$I$3:$AT$3, 0))),L186)))*(IF((YEAR(D186)+8)&lt;YEAR(E186),0,IF((YEAR(D186)+8)&gt;YEAR(E186),1,(12-MONTH(E186)+1)/12))) + (Q186)*(IF((YEAR(D186)+8)&lt;YEAR(E186),0,IF((YEAR(D186)+8)&gt;YEAR(E186),1,(12-MONTH(E186)+1)/12))))-((P186)*(IF((YEAR(D186)+8)&lt;YEAR(E186),0,IF((YEAR(D186)+8)&gt;YEAR(E186),1,(12-MONTH(E186)+1)/12))) + (R186)*(IF((YEAR(D186)+8)&lt;YEAR(E186),0,IF((YEAR(D186)+8)&gt;YEAR(E186),1,(12-MONTH(E186)+1)/12))))-(IF(OR(N186="",N186&lt;=0),0,(O186/N186)*(IF(OR(N186="",N186&lt;=0),0,IF((YEAR(D186)+8)&lt;YEAR(E186),0,IF((YEAR(D186)+8)&gt;=YEAR(E186)+N186,0,IF((YEAR(D186)+8)=YEAR(E186),(12-MONTH(E186)+1)/12,1))))))))*TaxRate,0))-IF(8=0,O186,0))</f>
        <v/>
      </c>
      <c r="AB186" s="29">
        <f>IF(A186="","",((K186)*(IF(M186="",L186,IFERROR(IF(INDEX(Variablen!$I:$AT, MATCH(M186, Variablen!$A:$A, 0), MATCH((YEAR(D186)+9), Variablen!$I$3:$AT$3, 0))="",L186,INDEX(Variablen!$I:$AT, MATCH(M186, Variablen!$A:$A, 0), MATCH((YEAR(D186)+9), Variablen!$I$3:$AT$3, 0))),L186)))*(IF((YEAR(D186)+9)&lt;YEAR(E186),0,IF((YEAR(D186)+9)&gt;YEAR(E186),1,(12-MONTH(E186)+1)/12))) + (Q186)*(IF((YEAR(D186)+9)&lt;YEAR(E186),0,IF((YEAR(D186)+9)&gt;YEAR(E186),1,(12-MONTH(E186)+1)/12))))-((P186)*(IF((YEAR(D186)+9)&lt;YEAR(E186),0,IF((YEAR(D186)+9)&gt;YEAR(E186),1,(12-MONTH(E186)+1)/12))) + (R186)*(IF((YEAR(D186)+9)&lt;YEAR(E186),0,IF((YEAR(D186)+9)&gt;YEAR(E186),1,(12-MONTH(E186)+1)/12))))-(IF((((K186)*(IF(M186="",L186,IFERROR(IF(INDEX(Variablen!$I:$AT, MATCH(M186, Variablen!$A:$A, 0), MATCH((YEAR(D186)+9), Variablen!$I$3:$AT$3, 0))="",L186,INDEX(Variablen!$I:$AT, MATCH(M186, Variablen!$A:$A, 0), MATCH((YEAR(D186)+9), Variablen!$I$3:$AT$3, 0))),L186)))*(IF((YEAR(D186)+9)&lt;YEAR(E186),0,IF((YEAR(D186)+9)&gt;YEAR(E186),1,(12-MONTH(E186)+1)/12))) + (Q186)*(IF((YEAR(D186)+9)&lt;YEAR(E186),0,IF((YEAR(D186)+9)&gt;YEAR(E186),1,(12-MONTH(E186)+1)/12))))-((P186)*(IF((YEAR(D186)+9)&lt;YEAR(E186),0,IF((YEAR(D186)+9)&gt;YEAR(E186),1,(12-MONTH(E186)+1)/12))) + (R186)*(IF((YEAR(D186)+9)&lt;YEAR(E186),0,IF((YEAR(D186)+9)&gt;YEAR(E186),1,(12-MONTH(E186)+1)/12))))-(IF(OR(N186="",N186&lt;=0),0,(O186/N186)*(IF(OR(N186="",N186&lt;=0),0,IF((YEAR(D186)+9)&lt;YEAR(E186),0,IF((YEAR(D186)+9)&gt;=YEAR(E186)+N186,0,IF((YEAR(D186)+9)=YEAR(E186),(12-MONTH(E186)+1)/12,1))))))))&gt;0,(((K186)*(IF(M186="",L186,IFERROR(IF(INDEX(Variablen!$I:$AT, MATCH(M186, Variablen!$A:$A, 0), MATCH((YEAR(D186)+9), Variablen!$I$3:$AT$3, 0))="",L186,INDEX(Variablen!$I:$AT, MATCH(M186, Variablen!$A:$A, 0), MATCH((YEAR(D186)+9), Variablen!$I$3:$AT$3, 0))),L186)))*(IF((YEAR(D186)+9)&lt;YEAR(E186),0,IF((YEAR(D186)+9)&gt;YEAR(E186),1,(12-MONTH(E186)+1)/12))) + (Q186)*(IF((YEAR(D186)+9)&lt;YEAR(E186),0,IF((YEAR(D186)+9)&gt;YEAR(E186),1,(12-MONTH(E186)+1)/12))))-((P186)*(IF((YEAR(D186)+9)&lt;YEAR(E186),0,IF((YEAR(D186)+9)&gt;YEAR(E186),1,(12-MONTH(E186)+1)/12))) + (R186)*(IF((YEAR(D186)+9)&lt;YEAR(E186),0,IF((YEAR(D186)+9)&gt;YEAR(E186),1,(12-MONTH(E186)+1)/12))))-(IF(OR(N186="",N186&lt;=0),0,(O186/N186)*(IF(OR(N186="",N186&lt;=0),0,IF((YEAR(D186)+9)&lt;YEAR(E186),0,IF((YEAR(D186)+9)&gt;=YEAR(E186)+N186,0,IF((YEAR(D186)+9)=YEAR(E186),(12-MONTH(E186)+1)/12,1))))))))*TaxRate,0))-IF(9=0,O186,0))</f>
        <v/>
      </c>
      <c r="AC186" s="29">
        <f>IF(A186="","",((K186)*(IF(M186="",L186,IFERROR(IF(INDEX(Variablen!$I:$AT, MATCH(M186, Variablen!$A:$A, 0), MATCH((YEAR(D186)+10), Variablen!$I$3:$AT$3, 0))="",L186,INDEX(Variablen!$I:$AT, MATCH(M186, Variablen!$A:$A, 0), MATCH((YEAR(D186)+10), Variablen!$I$3:$AT$3, 0))),L186)))*(IF((YEAR(D186)+10)&lt;YEAR(E186),0,IF((YEAR(D186)+10)&gt;YEAR(E186),1,(12-MONTH(E186)+1)/12))) + (Q186)*(IF((YEAR(D186)+10)&lt;YEAR(E186),0,IF((YEAR(D186)+10)&gt;YEAR(E186),1,(12-MONTH(E186)+1)/12))))-((P186)*(IF((YEAR(D186)+10)&lt;YEAR(E186),0,IF((YEAR(D186)+10)&gt;YEAR(E186),1,(12-MONTH(E186)+1)/12))) + (R186)*(IF((YEAR(D186)+10)&lt;YEAR(E186),0,IF((YEAR(D186)+10)&gt;YEAR(E186),1,(12-MONTH(E186)+1)/12))))-(IF((((K186)*(IF(M186="",L186,IFERROR(IF(INDEX(Variablen!$I:$AT, MATCH(M186, Variablen!$A:$A, 0), MATCH((YEAR(D186)+10), Variablen!$I$3:$AT$3, 0))="",L186,INDEX(Variablen!$I:$AT, MATCH(M186, Variablen!$A:$A, 0), MATCH((YEAR(D186)+10), Variablen!$I$3:$AT$3, 0))),L186)))*(IF((YEAR(D186)+10)&lt;YEAR(E186),0,IF((YEAR(D186)+10)&gt;YEAR(E186),1,(12-MONTH(E186)+1)/12))) + (Q186)*(IF((YEAR(D186)+10)&lt;YEAR(E186),0,IF((YEAR(D186)+10)&gt;YEAR(E186),1,(12-MONTH(E186)+1)/12))))-((P186)*(IF((YEAR(D186)+10)&lt;YEAR(E186),0,IF((YEAR(D186)+10)&gt;YEAR(E186),1,(12-MONTH(E186)+1)/12))) + (R186)*(IF((YEAR(D186)+10)&lt;YEAR(E186),0,IF((YEAR(D186)+10)&gt;YEAR(E186),1,(12-MONTH(E186)+1)/12))))-(IF(OR(N186="",N186&lt;=0),0,(O186/N186)*(IF(OR(N186="",N186&lt;=0),0,IF((YEAR(D186)+10)&lt;YEAR(E186),0,IF((YEAR(D186)+10)&gt;=YEAR(E186)+N186,0,IF((YEAR(D186)+10)=YEAR(E186),(12-MONTH(E186)+1)/12,1))))))))&gt;0,(((K186)*(IF(M186="",L186,IFERROR(IF(INDEX(Variablen!$I:$AT, MATCH(M186, Variablen!$A:$A, 0), MATCH((YEAR(D186)+10), Variablen!$I$3:$AT$3, 0))="",L186,INDEX(Variablen!$I:$AT, MATCH(M186, Variablen!$A:$A, 0), MATCH((YEAR(D186)+10), Variablen!$I$3:$AT$3, 0))),L186)))*(IF((YEAR(D186)+10)&lt;YEAR(E186),0,IF((YEAR(D186)+10)&gt;YEAR(E186),1,(12-MONTH(E186)+1)/12))) + (Q186)*(IF((YEAR(D186)+10)&lt;YEAR(E186),0,IF((YEAR(D186)+10)&gt;YEAR(E186),1,(12-MONTH(E186)+1)/12))))-((P186)*(IF((YEAR(D186)+10)&lt;YEAR(E186),0,IF((YEAR(D186)+10)&gt;YEAR(E186),1,(12-MONTH(E186)+1)/12))) + (R186)*(IF((YEAR(D186)+10)&lt;YEAR(E186),0,IF((YEAR(D186)+10)&gt;YEAR(E186),1,(12-MONTH(E186)+1)/12))))-(IF(OR(N186="",N186&lt;=0),0,(O186/N186)*(IF(OR(N186="",N186&lt;=0),0,IF((YEAR(D186)+10)&lt;YEAR(E186),0,IF((YEAR(D186)+10)&gt;=YEAR(E186)+N186,0,IF((YEAR(D186)+10)=YEAR(E186),(12-MONTH(E186)+1)/12,1))))))))*TaxRate,0))-IF(10=0,O186,0))</f>
        <v/>
      </c>
      <c r="AD186" s="29">
        <f>IF(A186="","",((K186)*(IF(M186="",L186,IFERROR(IF(INDEX(Variablen!$I:$AT, MATCH(M186, Variablen!$A:$A, 0), MATCH((YEAR(D186)+11), Variablen!$I$3:$AT$3, 0))="",L186,INDEX(Variablen!$I:$AT, MATCH(M186, Variablen!$A:$A, 0), MATCH((YEAR(D186)+11), Variablen!$I$3:$AT$3, 0))),L186)))*(IF((YEAR(D186)+11)&lt;YEAR(E186),0,IF((YEAR(D186)+11)&gt;YEAR(E186),1,(12-MONTH(E186)+1)/12))) + (Q186)*(IF((YEAR(D186)+11)&lt;YEAR(E186),0,IF((YEAR(D186)+11)&gt;YEAR(E186),1,(12-MONTH(E186)+1)/12))))-((P186)*(IF((YEAR(D186)+11)&lt;YEAR(E186),0,IF((YEAR(D186)+11)&gt;YEAR(E186),1,(12-MONTH(E186)+1)/12))) + (R186)*(IF((YEAR(D186)+11)&lt;YEAR(E186),0,IF((YEAR(D186)+11)&gt;YEAR(E186),1,(12-MONTH(E186)+1)/12))))-(IF((((K186)*(IF(M186="",L186,IFERROR(IF(INDEX(Variablen!$I:$AT, MATCH(M186, Variablen!$A:$A, 0), MATCH((YEAR(D186)+11), Variablen!$I$3:$AT$3, 0))="",L186,INDEX(Variablen!$I:$AT, MATCH(M186, Variablen!$A:$A, 0), MATCH((YEAR(D186)+11), Variablen!$I$3:$AT$3, 0))),L186)))*(IF((YEAR(D186)+11)&lt;YEAR(E186),0,IF((YEAR(D186)+11)&gt;YEAR(E186),1,(12-MONTH(E186)+1)/12))) + (Q186)*(IF((YEAR(D186)+11)&lt;YEAR(E186),0,IF((YEAR(D186)+11)&gt;YEAR(E186),1,(12-MONTH(E186)+1)/12))))-((P186)*(IF((YEAR(D186)+11)&lt;YEAR(E186),0,IF((YEAR(D186)+11)&gt;YEAR(E186),1,(12-MONTH(E186)+1)/12))) + (R186)*(IF((YEAR(D186)+11)&lt;YEAR(E186),0,IF((YEAR(D186)+11)&gt;YEAR(E186),1,(12-MONTH(E186)+1)/12))))-(IF(OR(N186="",N186&lt;=0),0,(O186/N186)*(IF(OR(N186="",N186&lt;=0),0,IF((YEAR(D186)+11)&lt;YEAR(E186),0,IF((YEAR(D186)+11)&gt;=YEAR(E186)+N186,0,IF((YEAR(D186)+11)=YEAR(E186),(12-MONTH(E186)+1)/12,1))))))))&gt;0,(((K186)*(IF(M186="",L186,IFERROR(IF(INDEX(Variablen!$I:$AT, MATCH(M186, Variablen!$A:$A, 0), MATCH((YEAR(D186)+11), Variablen!$I$3:$AT$3, 0))="",L186,INDEX(Variablen!$I:$AT, MATCH(M186, Variablen!$A:$A, 0), MATCH((YEAR(D186)+11), Variablen!$I$3:$AT$3, 0))),L186)))*(IF((YEAR(D186)+11)&lt;YEAR(E186),0,IF((YEAR(D186)+11)&gt;YEAR(E186),1,(12-MONTH(E186)+1)/12))) + (Q186)*(IF((YEAR(D186)+11)&lt;YEAR(E186),0,IF((YEAR(D186)+11)&gt;YEAR(E186),1,(12-MONTH(E186)+1)/12))))-((P186)*(IF((YEAR(D186)+11)&lt;YEAR(E186),0,IF((YEAR(D186)+11)&gt;YEAR(E186),1,(12-MONTH(E186)+1)/12))) + (R186)*(IF((YEAR(D186)+11)&lt;YEAR(E186),0,IF((YEAR(D186)+11)&gt;YEAR(E186),1,(12-MONTH(E186)+1)/12))))-(IF(OR(N186="",N186&lt;=0),0,(O186/N186)*(IF(OR(N186="",N186&lt;=0),0,IF((YEAR(D186)+11)&lt;YEAR(E186),0,IF((YEAR(D186)+11)&gt;=YEAR(E186)+N186,0,IF((YEAR(D186)+11)=YEAR(E186),(12-MONTH(E186)+1)/12,1))))))))*TaxRate,0))-IF(11=0,O186,0))</f>
        <v/>
      </c>
      <c r="AE186" s="29">
        <f>IF(A186="","",((K186)*(IF(M186="",L186,IFERROR(IF(INDEX(Variablen!$I:$AT, MATCH(M186, Variablen!$A:$A, 0), MATCH((YEAR(D186)+12), Variablen!$I$3:$AT$3, 0))="",L186,INDEX(Variablen!$I:$AT, MATCH(M186, Variablen!$A:$A, 0), MATCH((YEAR(D186)+12), Variablen!$I$3:$AT$3, 0))),L186)))*(IF((YEAR(D186)+12)&lt;YEAR(E186),0,IF((YEAR(D186)+12)&gt;YEAR(E186),1,(12-MONTH(E186)+1)/12))) + (Q186)*(IF((YEAR(D186)+12)&lt;YEAR(E186),0,IF((YEAR(D186)+12)&gt;YEAR(E186),1,(12-MONTH(E186)+1)/12))))-((P186)*(IF((YEAR(D186)+12)&lt;YEAR(E186),0,IF((YEAR(D186)+12)&gt;YEAR(E186),1,(12-MONTH(E186)+1)/12))) + (R186)*(IF((YEAR(D186)+12)&lt;YEAR(E186),0,IF((YEAR(D186)+12)&gt;YEAR(E186),1,(12-MONTH(E186)+1)/12))))-(IF((((K186)*(IF(M186="",L186,IFERROR(IF(INDEX(Variablen!$I:$AT, MATCH(M186, Variablen!$A:$A, 0), MATCH((YEAR(D186)+12), Variablen!$I$3:$AT$3, 0))="",L186,INDEX(Variablen!$I:$AT, MATCH(M186, Variablen!$A:$A, 0), MATCH((YEAR(D186)+12), Variablen!$I$3:$AT$3, 0))),L186)))*(IF((YEAR(D186)+12)&lt;YEAR(E186),0,IF((YEAR(D186)+12)&gt;YEAR(E186),1,(12-MONTH(E186)+1)/12))) + (Q186)*(IF((YEAR(D186)+12)&lt;YEAR(E186),0,IF((YEAR(D186)+12)&gt;YEAR(E186),1,(12-MONTH(E186)+1)/12))))-((P186)*(IF((YEAR(D186)+12)&lt;YEAR(E186),0,IF((YEAR(D186)+12)&gt;YEAR(E186),1,(12-MONTH(E186)+1)/12))) + (R186)*(IF((YEAR(D186)+12)&lt;YEAR(E186),0,IF((YEAR(D186)+12)&gt;YEAR(E186),1,(12-MONTH(E186)+1)/12))))-(IF(OR(N186="",N186&lt;=0),0,(O186/N186)*(IF(OR(N186="",N186&lt;=0),0,IF((YEAR(D186)+12)&lt;YEAR(E186),0,IF((YEAR(D186)+12)&gt;=YEAR(E186)+N186,0,IF((YEAR(D186)+12)=YEAR(E186),(12-MONTH(E186)+1)/12,1))))))))&gt;0,(((K186)*(IF(M186="",L186,IFERROR(IF(INDEX(Variablen!$I:$AT, MATCH(M186, Variablen!$A:$A, 0), MATCH((YEAR(D186)+12), Variablen!$I$3:$AT$3, 0))="",L186,INDEX(Variablen!$I:$AT, MATCH(M186, Variablen!$A:$A, 0), MATCH((YEAR(D186)+12), Variablen!$I$3:$AT$3, 0))),L186)))*(IF((YEAR(D186)+12)&lt;YEAR(E186),0,IF((YEAR(D186)+12)&gt;YEAR(E186),1,(12-MONTH(E186)+1)/12))) + (Q186)*(IF((YEAR(D186)+12)&lt;YEAR(E186),0,IF((YEAR(D186)+12)&gt;YEAR(E186),1,(12-MONTH(E186)+1)/12))))-((P186)*(IF((YEAR(D186)+12)&lt;YEAR(E186),0,IF((YEAR(D186)+12)&gt;YEAR(E186),1,(12-MONTH(E186)+1)/12))) + (R186)*(IF((YEAR(D186)+12)&lt;YEAR(E186),0,IF((YEAR(D186)+12)&gt;YEAR(E186),1,(12-MONTH(E186)+1)/12))))-(IF(OR(N186="",N186&lt;=0),0,(O186/N186)*(IF(OR(N186="",N186&lt;=0),0,IF((YEAR(D186)+12)&lt;YEAR(E186),0,IF((YEAR(D186)+12)&gt;=YEAR(E186)+N186,0,IF((YEAR(D186)+12)=YEAR(E186),(12-MONTH(E186)+1)/12,1))))))))*TaxRate,0))-IF(12=0,O186,0))</f>
        <v/>
      </c>
      <c r="AF186" s="29">
        <f>IF(A186="","",((K186)*(IF(M186="",L186,IFERROR(IF(INDEX(Variablen!$I:$AT, MATCH(M186, Variablen!$A:$A, 0), MATCH((YEAR(D186)+13), Variablen!$I$3:$AT$3, 0))="",L186,INDEX(Variablen!$I:$AT, MATCH(M186, Variablen!$A:$A, 0), MATCH((YEAR(D186)+13), Variablen!$I$3:$AT$3, 0))),L186)))*(IF((YEAR(D186)+13)&lt;YEAR(E186),0,IF((YEAR(D186)+13)&gt;YEAR(E186),1,(12-MONTH(E186)+1)/12))) + (Q186)*(IF((YEAR(D186)+13)&lt;YEAR(E186),0,IF((YEAR(D186)+13)&gt;YEAR(E186),1,(12-MONTH(E186)+1)/12))))-((P186)*(IF((YEAR(D186)+13)&lt;YEAR(E186),0,IF((YEAR(D186)+13)&gt;YEAR(E186),1,(12-MONTH(E186)+1)/12))) + (R186)*(IF((YEAR(D186)+13)&lt;YEAR(E186),0,IF((YEAR(D186)+13)&gt;YEAR(E186),1,(12-MONTH(E186)+1)/12))))-(IF((((K186)*(IF(M186="",L186,IFERROR(IF(INDEX(Variablen!$I:$AT, MATCH(M186, Variablen!$A:$A, 0), MATCH((YEAR(D186)+13), Variablen!$I$3:$AT$3, 0))="",L186,INDEX(Variablen!$I:$AT, MATCH(M186, Variablen!$A:$A, 0), MATCH((YEAR(D186)+13), Variablen!$I$3:$AT$3, 0))),L186)))*(IF((YEAR(D186)+13)&lt;YEAR(E186),0,IF((YEAR(D186)+13)&gt;YEAR(E186),1,(12-MONTH(E186)+1)/12))) + (Q186)*(IF((YEAR(D186)+13)&lt;YEAR(E186),0,IF((YEAR(D186)+13)&gt;YEAR(E186),1,(12-MONTH(E186)+1)/12))))-((P186)*(IF((YEAR(D186)+13)&lt;YEAR(E186),0,IF((YEAR(D186)+13)&gt;YEAR(E186),1,(12-MONTH(E186)+1)/12))) + (R186)*(IF((YEAR(D186)+13)&lt;YEAR(E186),0,IF((YEAR(D186)+13)&gt;YEAR(E186),1,(12-MONTH(E186)+1)/12))))-(IF(OR(N186="",N186&lt;=0),0,(O186/N186)*(IF(OR(N186="",N186&lt;=0),0,IF((YEAR(D186)+13)&lt;YEAR(E186),0,IF((YEAR(D186)+13)&gt;=YEAR(E186)+N186,0,IF((YEAR(D186)+13)=YEAR(E186),(12-MONTH(E186)+1)/12,1))))))))&gt;0,(((K186)*(IF(M186="",L186,IFERROR(IF(INDEX(Variablen!$I:$AT, MATCH(M186, Variablen!$A:$A, 0), MATCH((YEAR(D186)+13), Variablen!$I$3:$AT$3, 0))="",L186,INDEX(Variablen!$I:$AT, MATCH(M186, Variablen!$A:$A, 0), MATCH((YEAR(D186)+13), Variablen!$I$3:$AT$3, 0))),L186)))*(IF((YEAR(D186)+13)&lt;YEAR(E186),0,IF((YEAR(D186)+13)&gt;YEAR(E186),1,(12-MONTH(E186)+1)/12))) + (Q186)*(IF((YEAR(D186)+13)&lt;YEAR(E186),0,IF((YEAR(D186)+13)&gt;YEAR(E186),1,(12-MONTH(E186)+1)/12))))-((P186)*(IF((YEAR(D186)+13)&lt;YEAR(E186),0,IF((YEAR(D186)+13)&gt;YEAR(E186),1,(12-MONTH(E186)+1)/12))) + (R186)*(IF((YEAR(D186)+13)&lt;YEAR(E186),0,IF((YEAR(D186)+13)&gt;YEAR(E186),1,(12-MONTH(E186)+1)/12))))-(IF(OR(N186="",N186&lt;=0),0,(O186/N186)*(IF(OR(N186="",N186&lt;=0),0,IF((YEAR(D186)+13)&lt;YEAR(E186),0,IF((YEAR(D186)+13)&gt;=YEAR(E186)+N186,0,IF((YEAR(D186)+13)=YEAR(E186),(12-MONTH(E186)+1)/12,1))))))))*TaxRate,0))-IF(13=0,O186,0))</f>
        <v/>
      </c>
      <c r="AG186" s="29">
        <f>IF(A186="","",((K186)*(IF(M186="",L186,IFERROR(IF(INDEX(Variablen!$I:$AT, MATCH(M186, Variablen!$A:$A, 0), MATCH((YEAR(D186)+14), Variablen!$I$3:$AT$3, 0))="",L186,INDEX(Variablen!$I:$AT, MATCH(M186, Variablen!$A:$A, 0), MATCH((YEAR(D186)+14), Variablen!$I$3:$AT$3, 0))),L186)))*(IF((YEAR(D186)+14)&lt;YEAR(E186),0,IF((YEAR(D186)+14)&gt;YEAR(E186),1,(12-MONTH(E186)+1)/12))) + (Q186)*(IF((YEAR(D186)+14)&lt;YEAR(E186),0,IF((YEAR(D186)+14)&gt;YEAR(E186),1,(12-MONTH(E186)+1)/12))))-((P186)*(IF((YEAR(D186)+14)&lt;YEAR(E186),0,IF((YEAR(D186)+14)&gt;YEAR(E186),1,(12-MONTH(E186)+1)/12))) + (R186)*(IF((YEAR(D186)+14)&lt;YEAR(E186),0,IF((YEAR(D186)+14)&gt;YEAR(E186),1,(12-MONTH(E186)+1)/12))))-(IF((((K186)*(IF(M186="",L186,IFERROR(IF(INDEX(Variablen!$I:$AT, MATCH(M186, Variablen!$A:$A, 0), MATCH((YEAR(D186)+14), Variablen!$I$3:$AT$3, 0))="",L186,INDEX(Variablen!$I:$AT, MATCH(M186, Variablen!$A:$A, 0), MATCH((YEAR(D186)+14), Variablen!$I$3:$AT$3, 0))),L186)))*(IF((YEAR(D186)+14)&lt;YEAR(E186),0,IF((YEAR(D186)+14)&gt;YEAR(E186),1,(12-MONTH(E186)+1)/12))) + (Q186)*(IF((YEAR(D186)+14)&lt;YEAR(E186),0,IF((YEAR(D186)+14)&gt;YEAR(E186),1,(12-MONTH(E186)+1)/12))))-((P186)*(IF((YEAR(D186)+14)&lt;YEAR(E186),0,IF((YEAR(D186)+14)&gt;YEAR(E186),1,(12-MONTH(E186)+1)/12))) + (R186)*(IF((YEAR(D186)+14)&lt;YEAR(E186),0,IF((YEAR(D186)+14)&gt;YEAR(E186),1,(12-MONTH(E186)+1)/12))))-(IF(OR(N186="",N186&lt;=0),0,(O186/N186)*(IF(OR(N186="",N186&lt;=0),0,IF((YEAR(D186)+14)&lt;YEAR(E186),0,IF((YEAR(D186)+14)&gt;=YEAR(E186)+N186,0,IF((YEAR(D186)+14)=YEAR(E186),(12-MONTH(E186)+1)/12,1))))))))&gt;0,(((K186)*(IF(M186="",L186,IFERROR(IF(INDEX(Variablen!$I:$AT, MATCH(M186, Variablen!$A:$A, 0), MATCH((YEAR(D186)+14), Variablen!$I$3:$AT$3, 0))="",L186,INDEX(Variablen!$I:$AT, MATCH(M186, Variablen!$A:$A, 0), MATCH((YEAR(D186)+14), Variablen!$I$3:$AT$3, 0))),L186)))*(IF((YEAR(D186)+14)&lt;YEAR(E186),0,IF((YEAR(D186)+14)&gt;YEAR(E186),1,(12-MONTH(E186)+1)/12))) + (Q186)*(IF((YEAR(D186)+14)&lt;YEAR(E186),0,IF((YEAR(D186)+14)&gt;YEAR(E186),1,(12-MONTH(E186)+1)/12))))-((P186)*(IF((YEAR(D186)+14)&lt;YEAR(E186),0,IF((YEAR(D186)+14)&gt;YEAR(E186),1,(12-MONTH(E186)+1)/12))) + (R186)*(IF((YEAR(D186)+14)&lt;YEAR(E186),0,IF((YEAR(D186)+14)&gt;YEAR(E186),1,(12-MONTH(E186)+1)/12))))-(IF(OR(N186="",N186&lt;=0),0,(O186/N186)*(IF(OR(N186="",N186&lt;=0),0,IF((YEAR(D186)+14)&lt;YEAR(E186),0,IF((YEAR(D186)+14)&gt;=YEAR(E186)+N186,0,IF((YEAR(D186)+14)=YEAR(E186),(12-MONTH(E186)+1)/12,1))))))))*TaxRate,0))-IF(14=0,O186,0))</f>
        <v/>
      </c>
      <c r="AH186" s="29">
        <f>IF(A186="","",((K186)*(IF(M186="",L186,IFERROR(IF(INDEX(Variablen!$I:$AT, MATCH(M186, Variablen!$A:$A, 0), MATCH((YEAR(D186)+15), Variablen!$I$3:$AT$3, 0))="",L186,INDEX(Variablen!$I:$AT, MATCH(M186, Variablen!$A:$A, 0), MATCH((YEAR(D186)+15), Variablen!$I$3:$AT$3, 0))),L186)))*(IF((YEAR(D186)+15)&lt;YEAR(E186),0,IF((YEAR(D186)+15)&gt;YEAR(E186),1,(12-MONTH(E186)+1)/12))) + (Q186)*(IF((YEAR(D186)+15)&lt;YEAR(E186),0,IF((YEAR(D186)+15)&gt;YEAR(E186),1,(12-MONTH(E186)+1)/12))))-((P186)*(IF((YEAR(D186)+15)&lt;YEAR(E186),0,IF((YEAR(D186)+15)&gt;YEAR(E186),1,(12-MONTH(E186)+1)/12))) + (R186)*(IF((YEAR(D186)+15)&lt;YEAR(E186),0,IF((YEAR(D186)+15)&gt;YEAR(E186),1,(12-MONTH(E186)+1)/12))))-(IF((((K186)*(IF(M186="",L186,IFERROR(IF(INDEX(Variablen!$I:$AT, MATCH(M186, Variablen!$A:$A, 0), MATCH((YEAR(D186)+15), Variablen!$I$3:$AT$3, 0))="",L186,INDEX(Variablen!$I:$AT, MATCH(M186, Variablen!$A:$A, 0), MATCH((YEAR(D186)+15), Variablen!$I$3:$AT$3, 0))),L186)))*(IF((YEAR(D186)+15)&lt;YEAR(E186),0,IF((YEAR(D186)+15)&gt;YEAR(E186),1,(12-MONTH(E186)+1)/12))) + (Q186)*(IF((YEAR(D186)+15)&lt;YEAR(E186),0,IF((YEAR(D186)+15)&gt;YEAR(E186),1,(12-MONTH(E186)+1)/12))))-((P186)*(IF((YEAR(D186)+15)&lt;YEAR(E186),0,IF((YEAR(D186)+15)&gt;YEAR(E186),1,(12-MONTH(E186)+1)/12))) + (R186)*(IF((YEAR(D186)+15)&lt;YEAR(E186),0,IF((YEAR(D186)+15)&gt;YEAR(E186),1,(12-MONTH(E186)+1)/12))))-(IF(OR(N186="",N186&lt;=0),0,(O186/N186)*(IF(OR(N186="",N186&lt;=0),0,IF((YEAR(D186)+15)&lt;YEAR(E186),0,IF((YEAR(D186)+15)&gt;=YEAR(E186)+N186,0,IF((YEAR(D186)+15)=YEAR(E186),(12-MONTH(E186)+1)/12,1))))))))&gt;0,(((K186)*(IF(M186="",L186,IFERROR(IF(INDEX(Variablen!$I:$AT, MATCH(M186, Variablen!$A:$A, 0), MATCH((YEAR(D186)+15), Variablen!$I$3:$AT$3, 0))="",L186,INDEX(Variablen!$I:$AT, MATCH(M186, Variablen!$A:$A, 0), MATCH((YEAR(D186)+15), Variablen!$I$3:$AT$3, 0))),L186)))*(IF((YEAR(D186)+15)&lt;YEAR(E186),0,IF((YEAR(D186)+15)&gt;YEAR(E186),1,(12-MONTH(E186)+1)/12))) + (Q186)*(IF((YEAR(D186)+15)&lt;YEAR(E186),0,IF((YEAR(D186)+15)&gt;YEAR(E186),1,(12-MONTH(E186)+1)/12))))-((P186)*(IF((YEAR(D186)+15)&lt;YEAR(E186),0,IF((YEAR(D186)+15)&gt;YEAR(E186),1,(12-MONTH(E186)+1)/12))) + (R186)*(IF((YEAR(D186)+15)&lt;YEAR(E186),0,IF((YEAR(D186)+15)&gt;YEAR(E186),1,(12-MONTH(E186)+1)/12))))-(IF(OR(N186="",N186&lt;=0),0,(O186/N186)*(IF(OR(N186="",N186&lt;=0),0,IF((YEAR(D186)+15)&lt;YEAR(E186),0,IF((YEAR(D186)+15)&gt;=YEAR(E186)+N186,0,IF((YEAR(D186)+15)=YEAR(E186),(12-MONTH(E186)+1)/12,1))))))))*TaxRate,0))-IF(15=0,O186,0))</f>
        <v/>
      </c>
      <c r="AI186" s="29">
        <f>IF(A186="","",((K186)*(IF(M186="",L186,IFERROR(IF(INDEX(Variablen!$I:$AT, MATCH(M186, Variablen!$A:$A, 0), MATCH((YEAR(D186)+16), Variablen!$I$3:$AT$3, 0))="",L186,INDEX(Variablen!$I:$AT, MATCH(M186, Variablen!$A:$A, 0), MATCH((YEAR(D186)+16), Variablen!$I$3:$AT$3, 0))),L186)))*(IF((YEAR(D186)+16)&lt;YEAR(E186),0,IF((YEAR(D186)+16)&gt;YEAR(E186),1,(12-MONTH(E186)+1)/12))) + (Q186)*(IF((YEAR(D186)+16)&lt;YEAR(E186),0,IF((YEAR(D186)+16)&gt;YEAR(E186),1,(12-MONTH(E186)+1)/12))))-((P186)*(IF((YEAR(D186)+16)&lt;YEAR(E186),0,IF((YEAR(D186)+16)&gt;YEAR(E186),1,(12-MONTH(E186)+1)/12))) + (R186)*(IF((YEAR(D186)+16)&lt;YEAR(E186),0,IF((YEAR(D186)+16)&gt;YEAR(E186),1,(12-MONTH(E186)+1)/12))))-(IF((((K186)*(IF(M186="",L186,IFERROR(IF(INDEX(Variablen!$I:$AT, MATCH(M186, Variablen!$A:$A, 0), MATCH((YEAR(D186)+16), Variablen!$I$3:$AT$3, 0))="",L186,INDEX(Variablen!$I:$AT, MATCH(M186, Variablen!$A:$A, 0), MATCH((YEAR(D186)+16), Variablen!$I$3:$AT$3, 0))),L186)))*(IF((YEAR(D186)+16)&lt;YEAR(E186),0,IF((YEAR(D186)+16)&gt;YEAR(E186),1,(12-MONTH(E186)+1)/12))) + (Q186)*(IF((YEAR(D186)+16)&lt;YEAR(E186),0,IF((YEAR(D186)+16)&gt;YEAR(E186),1,(12-MONTH(E186)+1)/12))))-((P186)*(IF((YEAR(D186)+16)&lt;YEAR(E186),0,IF((YEAR(D186)+16)&gt;YEAR(E186),1,(12-MONTH(E186)+1)/12))) + (R186)*(IF((YEAR(D186)+16)&lt;YEAR(E186),0,IF((YEAR(D186)+16)&gt;YEAR(E186),1,(12-MONTH(E186)+1)/12))))-(IF(OR(N186="",N186&lt;=0),0,(O186/N186)*(IF(OR(N186="",N186&lt;=0),0,IF((YEAR(D186)+16)&lt;YEAR(E186),0,IF((YEAR(D186)+16)&gt;=YEAR(E186)+N186,0,IF((YEAR(D186)+16)=YEAR(E186),(12-MONTH(E186)+1)/12,1))))))))&gt;0,(((K186)*(IF(M186="",L186,IFERROR(IF(INDEX(Variablen!$I:$AT, MATCH(M186, Variablen!$A:$A, 0), MATCH((YEAR(D186)+16), Variablen!$I$3:$AT$3, 0))="",L186,INDEX(Variablen!$I:$AT, MATCH(M186, Variablen!$A:$A, 0), MATCH((YEAR(D186)+16), Variablen!$I$3:$AT$3, 0))),L186)))*(IF((YEAR(D186)+16)&lt;YEAR(E186),0,IF((YEAR(D186)+16)&gt;YEAR(E186),1,(12-MONTH(E186)+1)/12))) + (Q186)*(IF((YEAR(D186)+16)&lt;YEAR(E186),0,IF((YEAR(D186)+16)&gt;YEAR(E186),1,(12-MONTH(E186)+1)/12))))-((P186)*(IF((YEAR(D186)+16)&lt;YEAR(E186),0,IF((YEAR(D186)+16)&gt;YEAR(E186),1,(12-MONTH(E186)+1)/12))) + (R186)*(IF((YEAR(D186)+16)&lt;YEAR(E186),0,IF((YEAR(D186)+16)&gt;YEAR(E186),1,(12-MONTH(E186)+1)/12))))-(IF(OR(N186="",N186&lt;=0),0,(O186/N186)*(IF(OR(N186="",N186&lt;=0),0,IF((YEAR(D186)+16)&lt;YEAR(E186),0,IF((YEAR(D186)+16)&gt;=YEAR(E186)+N186,0,IF((YEAR(D186)+16)=YEAR(E186),(12-MONTH(E186)+1)/12,1))))))))*TaxRate,0))-IF(16=0,O186,0))</f>
        <v/>
      </c>
      <c r="AJ186" s="29">
        <f>IF(A186="","",((K186)*(IF(M186="",L186,IFERROR(IF(INDEX(Variablen!$I:$AT, MATCH(M186, Variablen!$A:$A, 0), MATCH((YEAR(D186)+17), Variablen!$I$3:$AT$3, 0))="",L186,INDEX(Variablen!$I:$AT, MATCH(M186, Variablen!$A:$A, 0), MATCH((YEAR(D186)+17), Variablen!$I$3:$AT$3, 0))),L186)))*(IF((YEAR(D186)+17)&lt;YEAR(E186),0,IF((YEAR(D186)+17)&gt;YEAR(E186),1,(12-MONTH(E186)+1)/12))) + (Q186)*(IF((YEAR(D186)+17)&lt;YEAR(E186),0,IF((YEAR(D186)+17)&gt;YEAR(E186),1,(12-MONTH(E186)+1)/12))))-((P186)*(IF((YEAR(D186)+17)&lt;YEAR(E186),0,IF((YEAR(D186)+17)&gt;YEAR(E186),1,(12-MONTH(E186)+1)/12))) + (R186)*(IF((YEAR(D186)+17)&lt;YEAR(E186),0,IF((YEAR(D186)+17)&gt;YEAR(E186),1,(12-MONTH(E186)+1)/12))))-(IF((((K186)*(IF(M186="",L186,IFERROR(IF(INDEX(Variablen!$I:$AT, MATCH(M186, Variablen!$A:$A, 0), MATCH((YEAR(D186)+17), Variablen!$I$3:$AT$3, 0))="",L186,INDEX(Variablen!$I:$AT, MATCH(M186, Variablen!$A:$A, 0), MATCH((YEAR(D186)+17), Variablen!$I$3:$AT$3, 0))),L186)))*(IF((YEAR(D186)+17)&lt;YEAR(E186),0,IF((YEAR(D186)+17)&gt;YEAR(E186),1,(12-MONTH(E186)+1)/12))) + (Q186)*(IF((YEAR(D186)+17)&lt;YEAR(E186),0,IF((YEAR(D186)+17)&gt;YEAR(E186),1,(12-MONTH(E186)+1)/12))))-((P186)*(IF((YEAR(D186)+17)&lt;YEAR(E186),0,IF((YEAR(D186)+17)&gt;YEAR(E186),1,(12-MONTH(E186)+1)/12))) + (R186)*(IF((YEAR(D186)+17)&lt;YEAR(E186),0,IF((YEAR(D186)+17)&gt;YEAR(E186),1,(12-MONTH(E186)+1)/12))))-(IF(OR(N186="",N186&lt;=0),0,(O186/N186)*(IF(OR(N186="",N186&lt;=0),0,IF((YEAR(D186)+17)&lt;YEAR(E186),0,IF((YEAR(D186)+17)&gt;=YEAR(E186)+N186,0,IF((YEAR(D186)+17)=YEAR(E186),(12-MONTH(E186)+1)/12,1))))))))&gt;0,(((K186)*(IF(M186="",L186,IFERROR(IF(INDEX(Variablen!$I:$AT, MATCH(M186, Variablen!$A:$A, 0), MATCH((YEAR(D186)+17), Variablen!$I$3:$AT$3, 0))="",L186,INDEX(Variablen!$I:$AT, MATCH(M186, Variablen!$A:$A, 0), MATCH((YEAR(D186)+17), Variablen!$I$3:$AT$3, 0))),L186)))*(IF((YEAR(D186)+17)&lt;YEAR(E186),0,IF((YEAR(D186)+17)&gt;YEAR(E186),1,(12-MONTH(E186)+1)/12))) + (Q186)*(IF((YEAR(D186)+17)&lt;YEAR(E186),0,IF((YEAR(D186)+17)&gt;YEAR(E186),1,(12-MONTH(E186)+1)/12))))-((P186)*(IF((YEAR(D186)+17)&lt;YEAR(E186),0,IF((YEAR(D186)+17)&gt;YEAR(E186),1,(12-MONTH(E186)+1)/12))) + (R186)*(IF((YEAR(D186)+17)&lt;YEAR(E186),0,IF((YEAR(D186)+17)&gt;YEAR(E186),1,(12-MONTH(E186)+1)/12))))-(IF(OR(N186="",N186&lt;=0),0,(O186/N186)*(IF(OR(N186="",N186&lt;=0),0,IF((YEAR(D186)+17)&lt;YEAR(E186),0,IF((YEAR(D186)+17)&gt;=YEAR(E186)+N186,0,IF((YEAR(D186)+17)=YEAR(E186),(12-MONTH(E186)+1)/12,1))))))))*TaxRate,0))-IF(17=0,O186,0))</f>
        <v/>
      </c>
      <c r="AK186" s="29">
        <f>IF(A186="","",((K186)*(IF(M186="",L186,IFERROR(IF(INDEX(Variablen!$I:$AT, MATCH(M186, Variablen!$A:$A, 0), MATCH((YEAR(D186)+18), Variablen!$I$3:$AT$3, 0))="",L186,INDEX(Variablen!$I:$AT, MATCH(M186, Variablen!$A:$A, 0), MATCH((YEAR(D186)+18), Variablen!$I$3:$AT$3, 0))),L186)))*(IF((YEAR(D186)+18)&lt;YEAR(E186),0,IF((YEAR(D186)+18)&gt;YEAR(E186),1,(12-MONTH(E186)+1)/12))) + (Q186)*(IF((YEAR(D186)+18)&lt;YEAR(E186),0,IF((YEAR(D186)+18)&gt;YEAR(E186),1,(12-MONTH(E186)+1)/12))))-((P186)*(IF((YEAR(D186)+18)&lt;YEAR(E186),0,IF((YEAR(D186)+18)&gt;YEAR(E186),1,(12-MONTH(E186)+1)/12))) + (R186)*(IF((YEAR(D186)+18)&lt;YEAR(E186),0,IF((YEAR(D186)+18)&gt;YEAR(E186),1,(12-MONTH(E186)+1)/12))))-(IF((((K186)*(IF(M186="",L186,IFERROR(IF(INDEX(Variablen!$I:$AT, MATCH(M186, Variablen!$A:$A, 0), MATCH((YEAR(D186)+18), Variablen!$I$3:$AT$3, 0))="",L186,INDEX(Variablen!$I:$AT, MATCH(M186, Variablen!$A:$A, 0), MATCH((YEAR(D186)+18), Variablen!$I$3:$AT$3, 0))),L186)))*(IF((YEAR(D186)+18)&lt;YEAR(E186),0,IF((YEAR(D186)+18)&gt;YEAR(E186),1,(12-MONTH(E186)+1)/12))) + (Q186)*(IF((YEAR(D186)+18)&lt;YEAR(E186),0,IF((YEAR(D186)+18)&gt;YEAR(E186),1,(12-MONTH(E186)+1)/12))))-((P186)*(IF((YEAR(D186)+18)&lt;YEAR(E186),0,IF((YEAR(D186)+18)&gt;YEAR(E186),1,(12-MONTH(E186)+1)/12))) + (R186)*(IF((YEAR(D186)+18)&lt;YEAR(E186),0,IF((YEAR(D186)+18)&gt;YEAR(E186),1,(12-MONTH(E186)+1)/12))))-(IF(OR(N186="",N186&lt;=0),0,(O186/N186)*(IF(OR(N186="",N186&lt;=0),0,IF((YEAR(D186)+18)&lt;YEAR(E186),0,IF((YEAR(D186)+18)&gt;=YEAR(E186)+N186,0,IF((YEAR(D186)+18)=YEAR(E186),(12-MONTH(E186)+1)/12,1))))))))&gt;0,(((K186)*(IF(M186="",L186,IFERROR(IF(INDEX(Variablen!$I:$AT, MATCH(M186, Variablen!$A:$A, 0), MATCH((YEAR(D186)+18), Variablen!$I$3:$AT$3, 0))="",L186,INDEX(Variablen!$I:$AT, MATCH(M186, Variablen!$A:$A, 0), MATCH((YEAR(D186)+18), Variablen!$I$3:$AT$3, 0))),L186)))*(IF((YEAR(D186)+18)&lt;YEAR(E186),0,IF((YEAR(D186)+18)&gt;YEAR(E186),1,(12-MONTH(E186)+1)/12))) + (Q186)*(IF((YEAR(D186)+18)&lt;YEAR(E186),0,IF((YEAR(D186)+18)&gt;YEAR(E186),1,(12-MONTH(E186)+1)/12))))-((P186)*(IF((YEAR(D186)+18)&lt;YEAR(E186),0,IF((YEAR(D186)+18)&gt;YEAR(E186),1,(12-MONTH(E186)+1)/12))) + (R186)*(IF((YEAR(D186)+18)&lt;YEAR(E186),0,IF((YEAR(D186)+18)&gt;YEAR(E186),1,(12-MONTH(E186)+1)/12))))-(IF(OR(N186="",N186&lt;=0),0,(O186/N186)*(IF(OR(N186="",N186&lt;=0),0,IF((YEAR(D186)+18)&lt;YEAR(E186),0,IF((YEAR(D186)+18)&gt;=YEAR(E186)+N186,0,IF((YEAR(D186)+18)=YEAR(E186),(12-MONTH(E186)+1)/12,1))))))))*TaxRate,0))-IF(18=0,O186,0))</f>
        <v/>
      </c>
      <c r="AL186" s="29">
        <f>IF(A186="","",((K186)*(IF(M186="",L186,IFERROR(IF(INDEX(Variablen!$I:$AT, MATCH(M186, Variablen!$A:$A, 0), MATCH((YEAR(D186)+19), Variablen!$I$3:$AT$3, 0))="",L186,INDEX(Variablen!$I:$AT, MATCH(M186, Variablen!$A:$A, 0), MATCH((YEAR(D186)+19), Variablen!$I$3:$AT$3, 0))),L186)))*(IF((YEAR(D186)+19)&lt;YEAR(E186),0,IF((YEAR(D186)+19)&gt;YEAR(E186),1,(12-MONTH(E186)+1)/12))) + (Q186)*(IF((YEAR(D186)+19)&lt;YEAR(E186),0,IF((YEAR(D186)+19)&gt;YEAR(E186),1,(12-MONTH(E186)+1)/12))))-((P186)*(IF((YEAR(D186)+19)&lt;YEAR(E186),0,IF((YEAR(D186)+19)&gt;YEAR(E186),1,(12-MONTH(E186)+1)/12))) + (R186)*(IF((YEAR(D186)+19)&lt;YEAR(E186),0,IF((YEAR(D186)+19)&gt;YEAR(E186),1,(12-MONTH(E186)+1)/12))))-(IF((((K186)*(IF(M186="",L186,IFERROR(IF(INDEX(Variablen!$I:$AT, MATCH(M186, Variablen!$A:$A, 0), MATCH((YEAR(D186)+19), Variablen!$I$3:$AT$3, 0))="",L186,INDEX(Variablen!$I:$AT, MATCH(M186, Variablen!$A:$A, 0), MATCH((YEAR(D186)+19), Variablen!$I$3:$AT$3, 0))),L186)))*(IF((YEAR(D186)+19)&lt;YEAR(E186),0,IF((YEAR(D186)+19)&gt;YEAR(E186),1,(12-MONTH(E186)+1)/12))) + (Q186)*(IF((YEAR(D186)+19)&lt;YEAR(E186),0,IF((YEAR(D186)+19)&gt;YEAR(E186),1,(12-MONTH(E186)+1)/12))))-((P186)*(IF((YEAR(D186)+19)&lt;YEAR(E186),0,IF((YEAR(D186)+19)&gt;YEAR(E186),1,(12-MONTH(E186)+1)/12))) + (R186)*(IF((YEAR(D186)+19)&lt;YEAR(E186),0,IF((YEAR(D186)+19)&gt;YEAR(E186),1,(12-MONTH(E186)+1)/12))))-(IF(OR(N186="",N186&lt;=0),0,(O186/N186)*(IF(OR(N186="",N186&lt;=0),0,IF((YEAR(D186)+19)&lt;YEAR(E186),0,IF((YEAR(D186)+19)&gt;=YEAR(E186)+N186,0,IF((YEAR(D186)+19)=YEAR(E186),(12-MONTH(E186)+1)/12,1))))))))&gt;0,(((K186)*(IF(M186="",L186,IFERROR(IF(INDEX(Variablen!$I:$AT, MATCH(M186, Variablen!$A:$A, 0), MATCH((YEAR(D186)+19), Variablen!$I$3:$AT$3, 0))="",L186,INDEX(Variablen!$I:$AT, MATCH(M186, Variablen!$A:$A, 0), MATCH((YEAR(D186)+19), Variablen!$I$3:$AT$3, 0))),L186)))*(IF((YEAR(D186)+19)&lt;YEAR(E186),0,IF((YEAR(D186)+19)&gt;YEAR(E186),1,(12-MONTH(E186)+1)/12))) + (Q186)*(IF((YEAR(D186)+19)&lt;YEAR(E186),0,IF((YEAR(D186)+19)&gt;YEAR(E186),1,(12-MONTH(E186)+1)/12))))-((P186)*(IF((YEAR(D186)+19)&lt;YEAR(E186),0,IF((YEAR(D186)+19)&gt;YEAR(E186),1,(12-MONTH(E186)+1)/12))) + (R186)*(IF((YEAR(D186)+19)&lt;YEAR(E186),0,IF((YEAR(D186)+19)&gt;YEAR(E186),1,(12-MONTH(E186)+1)/12))))-(IF(OR(N186="",N186&lt;=0),0,(O186/N186)*(IF(OR(N186="",N186&lt;=0),0,IF((YEAR(D186)+19)&lt;YEAR(E186),0,IF((YEAR(D186)+19)&gt;=YEAR(E186)+N186,0,IF((YEAR(D186)+19)=YEAR(E186),(12-MONTH(E186)+1)/12,1))))))))*TaxRate,0))-IF(19=0,O186,0))</f>
        <v/>
      </c>
      <c r="AM186" s="29">
        <f>IF(A186="","",((K186)*(IF(M186="",L186,IFERROR(IF(INDEX(Variablen!$I:$AT, MATCH(M186, Variablen!$A:$A, 0), MATCH((YEAR(D186)+20), Variablen!$I$3:$AT$3, 0))="",L186,INDEX(Variablen!$I:$AT, MATCH(M186, Variablen!$A:$A, 0), MATCH((YEAR(D186)+20), Variablen!$I$3:$AT$3, 0))),L186)))*(IF((YEAR(D186)+20)&lt;YEAR(E186),0,IF((YEAR(D186)+20)&gt;YEAR(E186),1,(12-MONTH(E186)+1)/12))) + (Q186)*(IF((YEAR(D186)+20)&lt;YEAR(E186),0,IF((YEAR(D186)+20)&gt;YEAR(E186),1,(12-MONTH(E186)+1)/12))))-((P186)*(IF((YEAR(D186)+20)&lt;YEAR(E186),0,IF((YEAR(D186)+20)&gt;YEAR(E186),1,(12-MONTH(E186)+1)/12))) + (R186)*(IF((YEAR(D186)+20)&lt;YEAR(E186),0,IF((YEAR(D186)+20)&gt;YEAR(E186),1,(12-MONTH(E186)+1)/12))))-(IF((((K186)*(IF(M186="",L186,IFERROR(IF(INDEX(Variablen!$I:$AT, MATCH(M186, Variablen!$A:$A, 0), MATCH((YEAR(D186)+20), Variablen!$I$3:$AT$3, 0))="",L186,INDEX(Variablen!$I:$AT, MATCH(M186, Variablen!$A:$A, 0), MATCH((YEAR(D186)+20), Variablen!$I$3:$AT$3, 0))),L186)))*(IF((YEAR(D186)+20)&lt;YEAR(E186),0,IF((YEAR(D186)+20)&gt;YEAR(E186),1,(12-MONTH(E186)+1)/12))) + (Q186)*(IF((YEAR(D186)+20)&lt;YEAR(E186),0,IF((YEAR(D186)+20)&gt;YEAR(E186),1,(12-MONTH(E186)+1)/12))))-((P186)*(IF((YEAR(D186)+20)&lt;YEAR(E186),0,IF((YEAR(D186)+20)&gt;YEAR(E186),1,(12-MONTH(E186)+1)/12))) + (R186)*(IF((YEAR(D186)+20)&lt;YEAR(E186),0,IF((YEAR(D186)+20)&gt;YEAR(E186),1,(12-MONTH(E186)+1)/12))))-(IF(OR(N186="",N186&lt;=0),0,(O186/N186)*(IF(OR(N186="",N186&lt;=0),0,IF((YEAR(D186)+20)&lt;YEAR(E186),0,IF((YEAR(D186)+20)&gt;=YEAR(E186)+N186,0,IF((YEAR(D186)+20)=YEAR(E186),(12-MONTH(E186)+1)/12,1))))))))&gt;0,(((K186)*(IF(M186="",L186,IFERROR(IF(INDEX(Variablen!$I:$AT, MATCH(M186, Variablen!$A:$A, 0), MATCH((YEAR(D186)+20), Variablen!$I$3:$AT$3, 0))="",L186,INDEX(Variablen!$I:$AT, MATCH(M186, Variablen!$A:$A, 0), MATCH((YEAR(D186)+20), Variablen!$I$3:$AT$3, 0))),L186)))*(IF((YEAR(D186)+20)&lt;YEAR(E186),0,IF((YEAR(D186)+20)&gt;YEAR(E186),1,(12-MONTH(E186)+1)/12))) + (Q186)*(IF((YEAR(D186)+20)&lt;YEAR(E186),0,IF((YEAR(D186)+20)&gt;YEAR(E186),1,(12-MONTH(E186)+1)/12))))-((P186)*(IF((YEAR(D186)+20)&lt;YEAR(E186),0,IF((YEAR(D186)+20)&gt;YEAR(E186),1,(12-MONTH(E186)+1)/12))) + (R186)*(IF((YEAR(D186)+20)&lt;YEAR(E186),0,IF((YEAR(D186)+20)&gt;YEAR(E186),1,(12-MONTH(E186)+1)/12))))-(IF(OR(N186="",N186&lt;=0),0,(O186/N186)*(IF(OR(N186="",N186&lt;=0),0,IF((YEAR(D186)+20)&lt;YEAR(E186),0,IF((YEAR(D186)+20)&gt;=YEAR(E186)+N186,0,IF((YEAR(D186)+20)=YEAR(E186),(12-MONTH(E186)+1)/12,1))))))))*TaxRate,0))-IF(20=0,O186,0))</f>
        <v/>
      </c>
      <c r="AN186" s="29">
        <f>IF(A186="","",S186)</f>
        <v/>
      </c>
      <c r="AO186" s="29">
        <f>IF(A186="","",AN186+T186)</f>
        <v/>
      </c>
      <c r="AP186" s="29">
        <f>IF(A186="","",AO186+U186)</f>
        <v/>
      </c>
      <c r="AQ186" s="29">
        <f>IF(A186="","",AP186+V186)</f>
        <v/>
      </c>
      <c r="AR186" s="29">
        <f>IF(A186="","",AQ186+W186)</f>
        <v/>
      </c>
      <c r="AS186" s="29">
        <f>IF(A186="","",AR186+X186)</f>
        <v/>
      </c>
      <c r="AT186" s="29">
        <f>IF(A186="","",AS186+Y186)</f>
        <v/>
      </c>
      <c r="AU186" s="29">
        <f>IF(A186="","",AT186+Z186)</f>
        <v/>
      </c>
      <c r="AV186" s="29">
        <f>IF(A186="","",AU186+AA186)</f>
        <v/>
      </c>
      <c r="AW186" s="29">
        <f>IF(A186="","",AV186+AB186)</f>
        <v/>
      </c>
      <c r="AX186" s="29">
        <f>IF(A186="","",AW186+AC186)</f>
        <v/>
      </c>
      <c r="AY186" s="29">
        <f>IF(A186="","",AX186+AD186)</f>
        <v/>
      </c>
      <c r="AZ186" s="29">
        <f>IF(A186="","",AY186+AE186)</f>
        <v/>
      </c>
      <c r="BA186" s="29">
        <f>IF(A186="","",AZ186+AF186)</f>
        <v/>
      </c>
      <c r="BB186" s="29">
        <f>IF(A186="","",BA186+AG186)</f>
        <v/>
      </c>
      <c r="BC186" s="29">
        <f>IF(A186="","",BB186+AH186)</f>
        <v/>
      </c>
      <c r="BD186" s="29">
        <f>IF(A186="","",BC186+AI186)</f>
        <v/>
      </c>
      <c r="BE186" s="29">
        <f>IF(A186="","",BD186+AJ186)</f>
        <v/>
      </c>
      <c r="BF186" s="29">
        <f>IF(A186="","",BE186+AK186)</f>
        <v/>
      </c>
      <c r="BG186" s="29">
        <f>IF(A186="","",BF186+AL186)</f>
        <v/>
      </c>
      <c r="BH186" s="29">
        <f>IF(A186="","",BG186+AM186)</f>
        <v/>
      </c>
      <c r="BI186" s="36">
        <f>IF(A186="","",(K186)*(IF((YEAR(D186)+0)&lt;YEAR(E186),0,IF((YEAR(D186)+0)&gt;YEAR(E186),1,(12-MONTH(E186)+1)/12)))*(1/(1+DiscountRate)^0))</f>
        <v/>
      </c>
      <c r="BJ186" s="36">
        <f>IF(A186="","",(K186)*(IF((YEAR(D186)+1)&lt;YEAR(E186),0,IF((YEAR(D186)+1)&gt;YEAR(E186),1,(12-MONTH(E186)+1)/12)))*(1/(1+DiscountRate)^1))</f>
        <v/>
      </c>
      <c r="BK186" s="36">
        <f>IF(A186="","",(K186)*(IF((YEAR(D186)+2)&lt;YEAR(E186),0,IF((YEAR(D186)+2)&gt;YEAR(E186),1,(12-MONTH(E186)+1)/12)))*(1/(1+DiscountRate)^2))</f>
        <v/>
      </c>
      <c r="BL186" s="36">
        <f>IF(A186="","",(K186)*(IF((YEAR(D186)+3)&lt;YEAR(E186),0,IF((YEAR(D186)+3)&gt;YEAR(E186),1,(12-MONTH(E186)+1)/12)))*(1/(1+DiscountRate)^3))</f>
        <v/>
      </c>
      <c r="BM186" s="36">
        <f>IF(A186="","",(K186)*(IF((YEAR(D186)+4)&lt;YEAR(E186),0,IF((YEAR(D186)+4)&gt;YEAR(E186),1,(12-MONTH(E186)+1)/12)))*(1/(1+DiscountRate)^4))</f>
        <v/>
      </c>
      <c r="BN186" s="36">
        <f>IF(A186="","",(K186)*(IF((YEAR(D186)+5)&lt;YEAR(E186),0,IF((YEAR(D186)+5)&gt;YEAR(E186),1,(12-MONTH(E186)+1)/12)))*(1/(1+DiscountRate)^5))</f>
        <v/>
      </c>
      <c r="BO186" s="36">
        <f>IF(A186="","",(K186)*(IF((YEAR(D186)+6)&lt;YEAR(E186),0,IF((YEAR(D186)+6)&gt;YEAR(E186),1,(12-MONTH(E186)+1)/12)))*(1/(1+DiscountRate)^6))</f>
        <v/>
      </c>
      <c r="BP186" s="36">
        <f>IF(A186="","",(K186)*(IF((YEAR(D186)+7)&lt;YEAR(E186),0,IF((YEAR(D186)+7)&gt;YEAR(E186),1,(12-MONTH(E186)+1)/12)))*(1/(1+DiscountRate)^7))</f>
        <v/>
      </c>
      <c r="BQ186" s="36">
        <f>IF(A186="","",(K186)*(IF((YEAR(D186)+8)&lt;YEAR(E186),0,IF((YEAR(D186)+8)&gt;YEAR(E186),1,(12-MONTH(E186)+1)/12)))*(1/(1+DiscountRate)^8))</f>
        <v/>
      </c>
      <c r="BR186" s="36">
        <f>IF(A186="","",(K186)*(IF((YEAR(D186)+9)&lt;YEAR(E186),0,IF((YEAR(D186)+9)&gt;YEAR(E186),1,(12-MONTH(E186)+1)/12)))*(1/(1+DiscountRate)^9))</f>
        <v/>
      </c>
      <c r="BS186" s="36">
        <f>IF(A186="","",(K186)*(IF((YEAR(D186)+10)&lt;YEAR(E186),0,IF((YEAR(D186)+10)&gt;YEAR(E186),1,(12-MONTH(E186)+1)/12)))*(1/(1+DiscountRate)^10))</f>
        <v/>
      </c>
      <c r="BT186" s="36">
        <f>IF(A186="","",(K186)*(IF((YEAR(D186)+11)&lt;YEAR(E186),0,IF((YEAR(D186)+11)&gt;YEAR(E186),1,(12-MONTH(E186)+1)/12)))*(1/(1+DiscountRate)^11))</f>
        <v/>
      </c>
      <c r="BU186" s="36">
        <f>IF(A186="","",(K186)*(IF((YEAR(D186)+12)&lt;YEAR(E186),0,IF((YEAR(D186)+12)&gt;YEAR(E186),1,(12-MONTH(E186)+1)/12)))*(1/(1+DiscountRate)^12))</f>
        <v/>
      </c>
      <c r="BV186" s="36">
        <f>IF(A186="","",(K186)*(IF((YEAR(D186)+13)&lt;YEAR(E186),0,IF((YEAR(D186)+13)&gt;YEAR(E186),1,(12-MONTH(E186)+1)/12)))*(1/(1+DiscountRate)^13))</f>
        <v/>
      </c>
      <c r="BW186" s="36">
        <f>IF(A186="","",(K186)*(IF((YEAR(D186)+14)&lt;YEAR(E186),0,IF((YEAR(D186)+14)&gt;YEAR(E186),1,(12-MONTH(E186)+1)/12)))*(1/(1+DiscountRate)^14))</f>
        <v/>
      </c>
      <c r="BX186" s="36">
        <f>IF(A186="","",(K186)*(IF((YEAR(D186)+15)&lt;YEAR(E186),0,IF((YEAR(D186)+15)&gt;YEAR(E186),1,(12-MONTH(E186)+1)/12)))*(1/(1+DiscountRate)^15))</f>
        <v/>
      </c>
      <c r="BY186" s="36">
        <f>IF(A186="","",(K186)*(IF((YEAR(D186)+16)&lt;YEAR(E186),0,IF((YEAR(D186)+16)&gt;YEAR(E186),1,(12-MONTH(E186)+1)/12)))*(1/(1+DiscountRate)^16))</f>
        <v/>
      </c>
      <c r="BZ186" s="36">
        <f>IF(A186="","",(K186)*(IF((YEAR(D186)+17)&lt;YEAR(E186),0,IF((YEAR(D186)+17)&gt;YEAR(E186),1,(12-MONTH(E186)+1)/12)))*(1/(1+DiscountRate)^17))</f>
        <v/>
      </c>
      <c r="CA186" s="36">
        <f>IF(A186="","",(K186)*(IF((YEAR(D186)+18)&lt;YEAR(E186),0,IF((YEAR(D186)+18)&gt;YEAR(E186),1,(12-MONTH(E186)+1)/12)))*(1/(1+DiscountRate)^18))</f>
        <v/>
      </c>
      <c r="CB186" s="36">
        <f>IF(A186="","",(K186)*(IF((YEAR(D186)+19)&lt;YEAR(E186),0,IF((YEAR(D186)+19)&gt;YEAR(E186),1,(12-MONTH(E186)+1)/12)))*(1/(1+DiscountRate)^19))</f>
        <v/>
      </c>
      <c r="CC186" s="36">
        <f>IF(A186="","",(K186)*(IF((YEAR(D186)+20)&lt;YEAR(E186),0,IF((YEAR(D186)+20)&gt;YEAR(E186),1,(12-MONTH(E186)+1)/12)))*(1/(1+DiscountRate)^20))</f>
        <v/>
      </c>
      <c r="CD186" s="29">
        <f>IF(A186="","",S186/(1+DiscountRate)^0+T186/(1+DiscountRate)^1+U186/(1+DiscountRate)^2+V186/(1+DiscountRate)^3+W186/(1+DiscountRate)^4+X186/(1+DiscountRate)^5+Y186/(1+DiscountRate)^6+Z186/(1+DiscountRate)^7+AA186/(1+DiscountRate)^8+AB186/(1+DiscountRate)^9+AC186/(1+DiscountRate)^10+AD186/(1+DiscountRate)^11+AE186/(1+DiscountRate)^12+AF186/(1+DiscountRate)^13+AG186/(1+DiscountRate)^14+AH186/(1+DiscountRate)^15+AI186/(1+DiscountRate)^16+AJ186/(1+DiscountRate)^17+AK186/(1+DiscountRate)^18+AL186/(1+DiscountRate)^19+AM186/(1+DiscountRate)^20)</f>
        <v/>
      </c>
      <c r="CE186" s="37">
        <f>IF(A186="","",IFERROR(IRR(OFFSET(S186,0,0,1,MIN(HorizonYears,20)+1)),"n/a"))</f>
        <v/>
      </c>
      <c r="CF186" s="28">
        <f>IF(A186="","",IFERROR(MATCH(TRUE,OFFSET(AN186,0,0,1,MIN(HorizonYears,20)+1)&gt;=0,0)-1,"n/a"))</f>
        <v/>
      </c>
      <c r="CG186" s="36">
        <f>IF(A186="","",SUM(OFFSET(BI186,0,0,1,MIN(HorizonYears,20)+1)))</f>
        <v/>
      </c>
      <c r="CH186" s="36">
        <f>IF(A186="","",IFERROR(-CD186/CG186,"n/a"))</f>
        <v/>
      </c>
    </row>
    <row r="187">
      <c r="A187" s="6">
        <f>Actions!A185</f>
        <v/>
      </c>
      <c r="B187" s="6">
        <f>Actions!B185</f>
        <v/>
      </c>
      <c r="C187" s="6">
        <f>Actions!D185</f>
        <v/>
      </c>
      <c r="D187" s="35">
        <f>Actions!E185</f>
        <v/>
      </c>
      <c r="E187" s="35">
        <f>Actions!F185</f>
        <v/>
      </c>
      <c r="F187" s="6">
        <f>Actions!G185</f>
        <v/>
      </c>
      <c r="G187" s="6">
        <f>Actions!H185</f>
        <v/>
      </c>
      <c r="H187" s="29">
        <f>Actions!I185</f>
        <v/>
      </c>
      <c r="I187" s="6">
        <f>Actions!J185</f>
        <v/>
      </c>
      <c r="J187" s="16">
        <f>Actions!K185</f>
        <v/>
      </c>
      <c r="K187" s="16">
        <f>IF(A187="","",IF(I187="%",H187*J187,J187))</f>
        <v/>
      </c>
      <c r="L187" s="16">
        <f>Actions!L185</f>
        <v/>
      </c>
      <c r="M187" s="6">
        <f>Actions!M185</f>
        <v/>
      </c>
      <c r="N187" s="28">
        <f>Actions!N185</f>
        <v/>
      </c>
      <c r="O187" s="29">
        <f>Actions!T185</f>
        <v/>
      </c>
      <c r="P187" s="29">
        <f>Actions!Y185</f>
        <v/>
      </c>
      <c r="Q187" s="29">
        <f>Actions!Z185</f>
        <v/>
      </c>
      <c r="R187" s="29">
        <f>Actions!AA185</f>
        <v/>
      </c>
      <c r="S187" s="29">
        <f>IF(A187="","",((K187)*(IF(M187="",L187,IFERROR(IF(INDEX(Variablen!$I:$AT, MATCH(M187, Variablen!$A:$A, 0), MATCH((YEAR(D187)+0), Variablen!$I$3:$AT$3, 0))="",L187,INDEX(Variablen!$I:$AT, MATCH(M187, Variablen!$A:$A, 0), MATCH((YEAR(D187)+0), Variablen!$I$3:$AT$3, 0))),L187)))*(IF((YEAR(D187)+0)&lt;YEAR(E187),0,IF((YEAR(D187)+0)&gt;YEAR(E187),1,(12-MONTH(E187)+1)/12))) + (Q187)*(IF((YEAR(D187)+0)&lt;YEAR(E187),0,IF((YEAR(D187)+0)&gt;YEAR(E187),1,(12-MONTH(E187)+1)/12))))-((P187)*(IF((YEAR(D187)+0)&lt;YEAR(E187),0,IF((YEAR(D187)+0)&gt;YEAR(E187),1,(12-MONTH(E187)+1)/12))) + (R187)*(IF((YEAR(D187)+0)&lt;YEAR(E187),0,IF((YEAR(D187)+0)&gt;YEAR(E187),1,(12-MONTH(E187)+1)/12))))-(IF((((K187)*(IF(M187="",L187,IFERROR(IF(INDEX(Variablen!$I:$AT, MATCH(M187, Variablen!$A:$A, 0), MATCH((YEAR(D187)+0), Variablen!$I$3:$AT$3, 0))="",L187,INDEX(Variablen!$I:$AT, MATCH(M187, Variablen!$A:$A, 0), MATCH((YEAR(D187)+0), Variablen!$I$3:$AT$3, 0))),L187)))*(IF((YEAR(D187)+0)&lt;YEAR(E187),0,IF((YEAR(D187)+0)&gt;YEAR(E187),1,(12-MONTH(E187)+1)/12))) + (Q187)*(IF((YEAR(D187)+0)&lt;YEAR(E187),0,IF((YEAR(D187)+0)&gt;YEAR(E187),1,(12-MONTH(E187)+1)/12))))-((P187)*(IF((YEAR(D187)+0)&lt;YEAR(E187),0,IF((YEAR(D187)+0)&gt;YEAR(E187),1,(12-MONTH(E187)+1)/12))) + (R187)*(IF((YEAR(D187)+0)&lt;YEAR(E187),0,IF((YEAR(D187)+0)&gt;YEAR(E187),1,(12-MONTH(E187)+1)/12))))-(IF(OR(N187="",N187&lt;=0),0,(O187/N187)*(IF(OR(N187="",N187&lt;=0),0,IF((YEAR(D187)+0)&lt;YEAR(E187),0,IF((YEAR(D187)+0)&gt;=YEAR(E187)+N187,0,IF((YEAR(D187)+0)=YEAR(E187),(12-MONTH(E187)+1)/12,1))))))))&gt;0,(((K187)*(IF(M187="",L187,IFERROR(IF(INDEX(Variablen!$I:$AT, MATCH(M187, Variablen!$A:$A, 0), MATCH((YEAR(D187)+0), Variablen!$I$3:$AT$3, 0))="",L187,INDEX(Variablen!$I:$AT, MATCH(M187, Variablen!$A:$A, 0), MATCH((YEAR(D187)+0), Variablen!$I$3:$AT$3, 0))),L187)))*(IF((YEAR(D187)+0)&lt;YEAR(E187),0,IF((YEAR(D187)+0)&gt;YEAR(E187),1,(12-MONTH(E187)+1)/12))) + (Q187)*(IF((YEAR(D187)+0)&lt;YEAR(E187),0,IF((YEAR(D187)+0)&gt;YEAR(E187),1,(12-MONTH(E187)+1)/12))))-((P187)*(IF((YEAR(D187)+0)&lt;YEAR(E187),0,IF((YEAR(D187)+0)&gt;YEAR(E187),1,(12-MONTH(E187)+1)/12))) + (R187)*(IF((YEAR(D187)+0)&lt;YEAR(E187),0,IF((YEAR(D187)+0)&gt;YEAR(E187),1,(12-MONTH(E187)+1)/12))))-(IF(OR(N187="",N187&lt;=0),0,(O187/N187)*(IF(OR(N187="",N187&lt;=0),0,IF((YEAR(D187)+0)&lt;YEAR(E187),0,IF((YEAR(D187)+0)&gt;=YEAR(E187)+N187,0,IF((YEAR(D187)+0)=YEAR(E187),(12-MONTH(E187)+1)/12,1))))))))*TaxRate,0))-IF(0=0,O187,0))</f>
        <v/>
      </c>
      <c r="T187" s="29">
        <f>IF(A187="","",((K187)*(IF(M187="",L187,IFERROR(IF(INDEX(Variablen!$I:$AT, MATCH(M187, Variablen!$A:$A, 0), MATCH((YEAR(D187)+1), Variablen!$I$3:$AT$3, 0))="",L187,INDEX(Variablen!$I:$AT, MATCH(M187, Variablen!$A:$A, 0), MATCH((YEAR(D187)+1), Variablen!$I$3:$AT$3, 0))),L187)))*(IF((YEAR(D187)+1)&lt;YEAR(E187),0,IF((YEAR(D187)+1)&gt;YEAR(E187),1,(12-MONTH(E187)+1)/12))) + (Q187)*(IF((YEAR(D187)+1)&lt;YEAR(E187),0,IF((YEAR(D187)+1)&gt;YEAR(E187),1,(12-MONTH(E187)+1)/12))))-((P187)*(IF((YEAR(D187)+1)&lt;YEAR(E187),0,IF((YEAR(D187)+1)&gt;YEAR(E187),1,(12-MONTH(E187)+1)/12))) + (R187)*(IF((YEAR(D187)+1)&lt;YEAR(E187),0,IF((YEAR(D187)+1)&gt;YEAR(E187),1,(12-MONTH(E187)+1)/12))))-(IF((((K187)*(IF(M187="",L187,IFERROR(IF(INDEX(Variablen!$I:$AT, MATCH(M187, Variablen!$A:$A, 0), MATCH((YEAR(D187)+1), Variablen!$I$3:$AT$3, 0))="",L187,INDEX(Variablen!$I:$AT, MATCH(M187, Variablen!$A:$A, 0), MATCH((YEAR(D187)+1), Variablen!$I$3:$AT$3, 0))),L187)))*(IF((YEAR(D187)+1)&lt;YEAR(E187),0,IF((YEAR(D187)+1)&gt;YEAR(E187),1,(12-MONTH(E187)+1)/12))) + (Q187)*(IF((YEAR(D187)+1)&lt;YEAR(E187),0,IF((YEAR(D187)+1)&gt;YEAR(E187),1,(12-MONTH(E187)+1)/12))))-((P187)*(IF((YEAR(D187)+1)&lt;YEAR(E187),0,IF((YEAR(D187)+1)&gt;YEAR(E187),1,(12-MONTH(E187)+1)/12))) + (R187)*(IF((YEAR(D187)+1)&lt;YEAR(E187),0,IF((YEAR(D187)+1)&gt;YEAR(E187),1,(12-MONTH(E187)+1)/12))))-(IF(OR(N187="",N187&lt;=0),0,(O187/N187)*(IF(OR(N187="",N187&lt;=0),0,IF((YEAR(D187)+1)&lt;YEAR(E187),0,IF((YEAR(D187)+1)&gt;=YEAR(E187)+N187,0,IF((YEAR(D187)+1)=YEAR(E187),(12-MONTH(E187)+1)/12,1))))))))&gt;0,(((K187)*(IF(M187="",L187,IFERROR(IF(INDEX(Variablen!$I:$AT, MATCH(M187, Variablen!$A:$A, 0), MATCH((YEAR(D187)+1), Variablen!$I$3:$AT$3, 0))="",L187,INDEX(Variablen!$I:$AT, MATCH(M187, Variablen!$A:$A, 0), MATCH((YEAR(D187)+1), Variablen!$I$3:$AT$3, 0))),L187)))*(IF((YEAR(D187)+1)&lt;YEAR(E187),0,IF((YEAR(D187)+1)&gt;YEAR(E187),1,(12-MONTH(E187)+1)/12))) + (Q187)*(IF((YEAR(D187)+1)&lt;YEAR(E187),0,IF((YEAR(D187)+1)&gt;YEAR(E187),1,(12-MONTH(E187)+1)/12))))-((P187)*(IF((YEAR(D187)+1)&lt;YEAR(E187),0,IF((YEAR(D187)+1)&gt;YEAR(E187),1,(12-MONTH(E187)+1)/12))) + (R187)*(IF((YEAR(D187)+1)&lt;YEAR(E187),0,IF((YEAR(D187)+1)&gt;YEAR(E187),1,(12-MONTH(E187)+1)/12))))-(IF(OR(N187="",N187&lt;=0),0,(O187/N187)*(IF(OR(N187="",N187&lt;=0),0,IF((YEAR(D187)+1)&lt;YEAR(E187),0,IF((YEAR(D187)+1)&gt;=YEAR(E187)+N187,0,IF((YEAR(D187)+1)=YEAR(E187),(12-MONTH(E187)+1)/12,1))))))))*TaxRate,0))-IF(1=0,O187,0))</f>
        <v/>
      </c>
      <c r="U187" s="29">
        <f>IF(A187="","",((K187)*(IF(M187="",L187,IFERROR(IF(INDEX(Variablen!$I:$AT, MATCH(M187, Variablen!$A:$A, 0), MATCH((YEAR(D187)+2), Variablen!$I$3:$AT$3, 0))="",L187,INDEX(Variablen!$I:$AT, MATCH(M187, Variablen!$A:$A, 0), MATCH((YEAR(D187)+2), Variablen!$I$3:$AT$3, 0))),L187)))*(IF((YEAR(D187)+2)&lt;YEAR(E187),0,IF((YEAR(D187)+2)&gt;YEAR(E187),1,(12-MONTH(E187)+1)/12))) + (Q187)*(IF((YEAR(D187)+2)&lt;YEAR(E187),0,IF((YEAR(D187)+2)&gt;YEAR(E187),1,(12-MONTH(E187)+1)/12))))-((P187)*(IF((YEAR(D187)+2)&lt;YEAR(E187),0,IF((YEAR(D187)+2)&gt;YEAR(E187),1,(12-MONTH(E187)+1)/12))) + (R187)*(IF((YEAR(D187)+2)&lt;YEAR(E187),0,IF((YEAR(D187)+2)&gt;YEAR(E187),1,(12-MONTH(E187)+1)/12))))-(IF((((K187)*(IF(M187="",L187,IFERROR(IF(INDEX(Variablen!$I:$AT, MATCH(M187, Variablen!$A:$A, 0), MATCH((YEAR(D187)+2), Variablen!$I$3:$AT$3, 0))="",L187,INDEX(Variablen!$I:$AT, MATCH(M187, Variablen!$A:$A, 0), MATCH((YEAR(D187)+2), Variablen!$I$3:$AT$3, 0))),L187)))*(IF((YEAR(D187)+2)&lt;YEAR(E187),0,IF((YEAR(D187)+2)&gt;YEAR(E187),1,(12-MONTH(E187)+1)/12))) + (Q187)*(IF((YEAR(D187)+2)&lt;YEAR(E187),0,IF((YEAR(D187)+2)&gt;YEAR(E187),1,(12-MONTH(E187)+1)/12))))-((P187)*(IF((YEAR(D187)+2)&lt;YEAR(E187),0,IF((YEAR(D187)+2)&gt;YEAR(E187),1,(12-MONTH(E187)+1)/12))) + (R187)*(IF((YEAR(D187)+2)&lt;YEAR(E187),0,IF((YEAR(D187)+2)&gt;YEAR(E187),1,(12-MONTH(E187)+1)/12))))-(IF(OR(N187="",N187&lt;=0),0,(O187/N187)*(IF(OR(N187="",N187&lt;=0),0,IF((YEAR(D187)+2)&lt;YEAR(E187),0,IF((YEAR(D187)+2)&gt;=YEAR(E187)+N187,0,IF((YEAR(D187)+2)=YEAR(E187),(12-MONTH(E187)+1)/12,1))))))))&gt;0,(((K187)*(IF(M187="",L187,IFERROR(IF(INDEX(Variablen!$I:$AT, MATCH(M187, Variablen!$A:$A, 0), MATCH((YEAR(D187)+2), Variablen!$I$3:$AT$3, 0))="",L187,INDEX(Variablen!$I:$AT, MATCH(M187, Variablen!$A:$A, 0), MATCH((YEAR(D187)+2), Variablen!$I$3:$AT$3, 0))),L187)))*(IF((YEAR(D187)+2)&lt;YEAR(E187),0,IF((YEAR(D187)+2)&gt;YEAR(E187),1,(12-MONTH(E187)+1)/12))) + (Q187)*(IF((YEAR(D187)+2)&lt;YEAR(E187),0,IF((YEAR(D187)+2)&gt;YEAR(E187),1,(12-MONTH(E187)+1)/12))))-((P187)*(IF((YEAR(D187)+2)&lt;YEAR(E187),0,IF((YEAR(D187)+2)&gt;YEAR(E187),1,(12-MONTH(E187)+1)/12))) + (R187)*(IF((YEAR(D187)+2)&lt;YEAR(E187),0,IF((YEAR(D187)+2)&gt;YEAR(E187),1,(12-MONTH(E187)+1)/12))))-(IF(OR(N187="",N187&lt;=0),0,(O187/N187)*(IF(OR(N187="",N187&lt;=0),0,IF((YEAR(D187)+2)&lt;YEAR(E187),0,IF((YEAR(D187)+2)&gt;=YEAR(E187)+N187,0,IF((YEAR(D187)+2)=YEAR(E187),(12-MONTH(E187)+1)/12,1))))))))*TaxRate,0))-IF(2=0,O187,0))</f>
        <v/>
      </c>
      <c r="V187" s="29">
        <f>IF(A187="","",((K187)*(IF(M187="",L187,IFERROR(IF(INDEX(Variablen!$I:$AT, MATCH(M187, Variablen!$A:$A, 0), MATCH((YEAR(D187)+3), Variablen!$I$3:$AT$3, 0))="",L187,INDEX(Variablen!$I:$AT, MATCH(M187, Variablen!$A:$A, 0), MATCH((YEAR(D187)+3), Variablen!$I$3:$AT$3, 0))),L187)))*(IF((YEAR(D187)+3)&lt;YEAR(E187),0,IF((YEAR(D187)+3)&gt;YEAR(E187),1,(12-MONTH(E187)+1)/12))) + (Q187)*(IF((YEAR(D187)+3)&lt;YEAR(E187),0,IF((YEAR(D187)+3)&gt;YEAR(E187),1,(12-MONTH(E187)+1)/12))))-((P187)*(IF((YEAR(D187)+3)&lt;YEAR(E187),0,IF((YEAR(D187)+3)&gt;YEAR(E187),1,(12-MONTH(E187)+1)/12))) + (R187)*(IF((YEAR(D187)+3)&lt;YEAR(E187),0,IF((YEAR(D187)+3)&gt;YEAR(E187),1,(12-MONTH(E187)+1)/12))))-(IF((((K187)*(IF(M187="",L187,IFERROR(IF(INDEX(Variablen!$I:$AT, MATCH(M187, Variablen!$A:$A, 0), MATCH((YEAR(D187)+3), Variablen!$I$3:$AT$3, 0))="",L187,INDEX(Variablen!$I:$AT, MATCH(M187, Variablen!$A:$A, 0), MATCH((YEAR(D187)+3), Variablen!$I$3:$AT$3, 0))),L187)))*(IF((YEAR(D187)+3)&lt;YEAR(E187),0,IF((YEAR(D187)+3)&gt;YEAR(E187),1,(12-MONTH(E187)+1)/12))) + (Q187)*(IF((YEAR(D187)+3)&lt;YEAR(E187),0,IF((YEAR(D187)+3)&gt;YEAR(E187),1,(12-MONTH(E187)+1)/12))))-((P187)*(IF((YEAR(D187)+3)&lt;YEAR(E187),0,IF((YEAR(D187)+3)&gt;YEAR(E187),1,(12-MONTH(E187)+1)/12))) + (R187)*(IF((YEAR(D187)+3)&lt;YEAR(E187),0,IF((YEAR(D187)+3)&gt;YEAR(E187),1,(12-MONTH(E187)+1)/12))))-(IF(OR(N187="",N187&lt;=0),0,(O187/N187)*(IF(OR(N187="",N187&lt;=0),0,IF((YEAR(D187)+3)&lt;YEAR(E187),0,IF((YEAR(D187)+3)&gt;=YEAR(E187)+N187,0,IF((YEAR(D187)+3)=YEAR(E187),(12-MONTH(E187)+1)/12,1))))))))&gt;0,(((K187)*(IF(M187="",L187,IFERROR(IF(INDEX(Variablen!$I:$AT, MATCH(M187, Variablen!$A:$A, 0), MATCH((YEAR(D187)+3), Variablen!$I$3:$AT$3, 0))="",L187,INDEX(Variablen!$I:$AT, MATCH(M187, Variablen!$A:$A, 0), MATCH((YEAR(D187)+3), Variablen!$I$3:$AT$3, 0))),L187)))*(IF((YEAR(D187)+3)&lt;YEAR(E187),0,IF((YEAR(D187)+3)&gt;YEAR(E187),1,(12-MONTH(E187)+1)/12))) + (Q187)*(IF((YEAR(D187)+3)&lt;YEAR(E187),0,IF((YEAR(D187)+3)&gt;YEAR(E187),1,(12-MONTH(E187)+1)/12))))-((P187)*(IF((YEAR(D187)+3)&lt;YEAR(E187),0,IF((YEAR(D187)+3)&gt;YEAR(E187),1,(12-MONTH(E187)+1)/12))) + (R187)*(IF((YEAR(D187)+3)&lt;YEAR(E187),0,IF((YEAR(D187)+3)&gt;YEAR(E187),1,(12-MONTH(E187)+1)/12))))-(IF(OR(N187="",N187&lt;=0),0,(O187/N187)*(IF(OR(N187="",N187&lt;=0),0,IF((YEAR(D187)+3)&lt;YEAR(E187),0,IF((YEAR(D187)+3)&gt;=YEAR(E187)+N187,0,IF((YEAR(D187)+3)=YEAR(E187),(12-MONTH(E187)+1)/12,1))))))))*TaxRate,0))-IF(3=0,O187,0))</f>
        <v/>
      </c>
      <c r="W187" s="29">
        <f>IF(A187="","",((K187)*(IF(M187="",L187,IFERROR(IF(INDEX(Variablen!$I:$AT, MATCH(M187, Variablen!$A:$A, 0), MATCH((YEAR(D187)+4), Variablen!$I$3:$AT$3, 0))="",L187,INDEX(Variablen!$I:$AT, MATCH(M187, Variablen!$A:$A, 0), MATCH((YEAR(D187)+4), Variablen!$I$3:$AT$3, 0))),L187)))*(IF((YEAR(D187)+4)&lt;YEAR(E187),0,IF((YEAR(D187)+4)&gt;YEAR(E187),1,(12-MONTH(E187)+1)/12))) + (Q187)*(IF((YEAR(D187)+4)&lt;YEAR(E187),0,IF((YEAR(D187)+4)&gt;YEAR(E187),1,(12-MONTH(E187)+1)/12))))-((P187)*(IF((YEAR(D187)+4)&lt;YEAR(E187),0,IF((YEAR(D187)+4)&gt;YEAR(E187),1,(12-MONTH(E187)+1)/12))) + (R187)*(IF((YEAR(D187)+4)&lt;YEAR(E187),0,IF((YEAR(D187)+4)&gt;YEAR(E187),1,(12-MONTH(E187)+1)/12))))-(IF((((K187)*(IF(M187="",L187,IFERROR(IF(INDEX(Variablen!$I:$AT, MATCH(M187, Variablen!$A:$A, 0), MATCH((YEAR(D187)+4), Variablen!$I$3:$AT$3, 0))="",L187,INDEX(Variablen!$I:$AT, MATCH(M187, Variablen!$A:$A, 0), MATCH((YEAR(D187)+4), Variablen!$I$3:$AT$3, 0))),L187)))*(IF((YEAR(D187)+4)&lt;YEAR(E187),0,IF((YEAR(D187)+4)&gt;YEAR(E187),1,(12-MONTH(E187)+1)/12))) + (Q187)*(IF((YEAR(D187)+4)&lt;YEAR(E187),0,IF((YEAR(D187)+4)&gt;YEAR(E187),1,(12-MONTH(E187)+1)/12))))-((P187)*(IF((YEAR(D187)+4)&lt;YEAR(E187),0,IF((YEAR(D187)+4)&gt;YEAR(E187),1,(12-MONTH(E187)+1)/12))) + (R187)*(IF((YEAR(D187)+4)&lt;YEAR(E187),0,IF((YEAR(D187)+4)&gt;YEAR(E187),1,(12-MONTH(E187)+1)/12))))-(IF(OR(N187="",N187&lt;=0),0,(O187/N187)*(IF(OR(N187="",N187&lt;=0),0,IF((YEAR(D187)+4)&lt;YEAR(E187),0,IF((YEAR(D187)+4)&gt;=YEAR(E187)+N187,0,IF((YEAR(D187)+4)=YEAR(E187),(12-MONTH(E187)+1)/12,1))))))))&gt;0,(((K187)*(IF(M187="",L187,IFERROR(IF(INDEX(Variablen!$I:$AT, MATCH(M187, Variablen!$A:$A, 0), MATCH((YEAR(D187)+4), Variablen!$I$3:$AT$3, 0))="",L187,INDEX(Variablen!$I:$AT, MATCH(M187, Variablen!$A:$A, 0), MATCH((YEAR(D187)+4), Variablen!$I$3:$AT$3, 0))),L187)))*(IF((YEAR(D187)+4)&lt;YEAR(E187),0,IF((YEAR(D187)+4)&gt;YEAR(E187),1,(12-MONTH(E187)+1)/12))) + (Q187)*(IF((YEAR(D187)+4)&lt;YEAR(E187),0,IF((YEAR(D187)+4)&gt;YEAR(E187),1,(12-MONTH(E187)+1)/12))))-((P187)*(IF((YEAR(D187)+4)&lt;YEAR(E187),0,IF((YEAR(D187)+4)&gt;YEAR(E187),1,(12-MONTH(E187)+1)/12))) + (R187)*(IF((YEAR(D187)+4)&lt;YEAR(E187),0,IF((YEAR(D187)+4)&gt;YEAR(E187),1,(12-MONTH(E187)+1)/12))))-(IF(OR(N187="",N187&lt;=0),0,(O187/N187)*(IF(OR(N187="",N187&lt;=0),0,IF((YEAR(D187)+4)&lt;YEAR(E187),0,IF((YEAR(D187)+4)&gt;=YEAR(E187)+N187,0,IF((YEAR(D187)+4)=YEAR(E187),(12-MONTH(E187)+1)/12,1))))))))*TaxRate,0))-IF(4=0,O187,0))</f>
        <v/>
      </c>
      <c r="X187" s="29">
        <f>IF(A187="","",((K187)*(IF(M187="",L187,IFERROR(IF(INDEX(Variablen!$I:$AT, MATCH(M187, Variablen!$A:$A, 0), MATCH((YEAR(D187)+5), Variablen!$I$3:$AT$3, 0))="",L187,INDEX(Variablen!$I:$AT, MATCH(M187, Variablen!$A:$A, 0), MATCH((YEAR(D187)+5), Variablen!$I$3:$AT$3, 0))),L187)))*(IF((YEAR(D187)+5)&lt;YEAR(E187),0,IF((YEAR(D187)+5)&gt;YEAR(E187),1,(12-MONTH(E187)+1)/12))) + (Q187)*(IF((YEAR(D187)+5)&lt;YEAR(E187),0,IF((YEAR(D187)+5)&gt;YEAR(E187),1,(12-MONTH(E187)+1)/12))))-((P187)*(IF((YEAR(D187)+5)&lt;YEAR(E187),0,IF((YEAR(D187)+5)&gt;YEAR(E187),1,(12-MONTH(E187)+1)/12))) + (R187)*(IF((YEAR(D187)+5)&lt;YEAR(E187),0,IF((YEAR(D187)+5)&gt;YEAR(E187),1,(12-MONTH(E187)+1)/12))))-(IF((((K187)*(IF(M187="",L187,IFERROR(IF(INDEX(Variablen!$I:$AT, MATCH(M187, Variablen!$A:$A, 0), MATCH((YEAR(D187)+5), Variablen!$I$3:$AT$3, 0))="",L187,INDEX(Variablen!$I:$AT, MATCH(M187, Variablen!$A:$A, 0), MATCH((YEAR(D187)+5), Variablen!$I$3:$AT$3, 0))),L187)))*(IF((YEAR(D187)+5)&lt;YEAR(E187),0,IF((YEAR(D187)+5)&gt;YEAR(E187),1,(12-MONTH(E187)+1)/12))) + (Q187)*(IF((YEAR(D187)+5)&lt;YEAR(E187),0,IF((YEAR(D187)+5)&gt;YEAR(E187),1,(12-MONTH(E187)+1)/12))))-((P187)*(IF((YEAR(D187)+5)&lt;YEAR(E187),0,IF((YEAR(D187)+5)&gt;YEAR(E187),1,(12-MONTH(E187)+1)/12))) + (R187)*(IF((YEAR(D187)+5)&lt;YEAR(E187),0,IF((YEAR(D187)+5)&gt;YEAR(E187),1,(12-MONTH(E187)+1)/12))))-(IF(OR(N187="",N187&lt;=0),0,(O187/N187)*(IF(OR(N187="",N187&lt;=0),0,IF((YEAR(D187)+5)&lt;YEAR(E187),0,IF((YEAR(D187)+5)&gt;=YEAR(E187)+N187,0,IF((YEAR(D187)+5)=YEAR(E187),(12-MONTH(E187)+1)/12,1))))))))&gt;0,(((K187)*(IF(M187="",L187,IFERROR(IF(INDEX(Variablen!$I:$AT, MATCH(M187, Variablen!$A:$A, 0), MATCH((YEAR(D187)+5), Variablen!$I$3:$AT$3, 0))="",L187,INDEX(Variablen!$I:$AT, MATCH(M187, Variablen!$A:$A, 0), MATCH((YEAR(D187)+5), Variablen!$I$3:$AT$3, 0))),L187)))*(IF((YEAR(D187)+5)&lt;YEAR(E187),0,IF((YEAR(D187)+5)&gt;YEAR(E187),1,(12-MONTH(E187)+1)/12))) + (Q187)*(IF((YEAR(D187)+5)&lt;YEAR(E187),0,IF((YEAR(D187)+5)&gt;YEAR(E187),1,(12-MONTH(E187)+1)/12))))-((P187)*(IF((YEAR(D187)+5)&lt;YEAR(E187),0,IF((YEAR(D187)+5)&gt;YEAR(E187),1,(12-MONTH(E187)+1)/12))) + (R187)*(IF((YEAR(D187)+5)&lt;YEAR(E187),0,IF((YEAR(D187)+5)&gt;YEAR(E187),1,(12-MONTH(E187)+1)/12))))-(IF(OR(N187="",N187&lt;=0),0,(O187/N187)*(IF(OR(N187="",N187&lt;=0),0,IF((YEAR(D187)+5)&lt;YEAR(E187),0,IF((YEAR(D187)+5)&gt;=YEAR(E187)+N187,0,IF((YEAR(D187)+5)=YEAR(E187),(12-MONTH(E187)+1)/12,1))))))))*TaxRate,0))-IF(5=0,O187,0))</f>
        <v/>
      </c>
      <c r="Y187" s="29">
        <f>IF(A187="","",((K187)*(IF(M187="",L187,IFERROR(IF(INDEX(Variablen!$I:$AT, MATCH(M187, Variablen!$A:$A, 0), MATCH((YEAR(D187)+6), Variablen!$I$3:$AT$3, 0))="",L187,INDEX(Variablen!$I:$AT, MATCH(M187, Variablen!$A:$A, 0), MATCH((YEAR(D187)+6), Variablen!$I$3:$AT$3, 0))),L187)))*(IF((YEAR(D187)+6)&lt;YEAR(E187),0,IF((YEAR(D187)+6)&gt;YEAR(E187),1,(12-MONTH(E187)+1)/12))) + (Q187)*(IF((YEAR(D187)+6)&lt;YEAR(E187),0,IF((YEAR(D187)+6)&gt;YEAR(E187),1,(12-MONTH(E187)+1)/12))))-((P187)*(IF((YEAR(D187)+6)&lt;YEAR(E187),0,IF((YEAR(D187)+6)&gt;YEAR(E187),1,(12-MONTH(E187)+1)/12))) + (R187)*(IF((YEAR(D187)+6)&lt;YEAR(E187),0,IF((YEAR(D187)+6)&gt;YEAR(E187),1,(12-MONTH(E187)+1)/12))))-(IF((((K187)*(IF(M187="",L187,IFERROR(IF(INDEX(Variablen!$I:$AT, MATCH(M187, Variablen!$A:$A, 0), MATCH((YEAR(D187)+6), Variablen!$I$3:$AT$3, 0))="",L187,INDEX(Variablen!$I:$AT, MATCH(M187, Variablen!$A:$A, 0), MATCH((YEAR(D187)+6), Variablen!$I$3:$AT$3, 0))),L187)))*(IF((YEAR(D187)+6)&lt;YEAR(E187),0,IF((YEAR(D187)+6)&gt;YEAR(E187),1,(12-MONTH(E187)+1)/12))) + (Q187)*(IF((YEAR(D187)+6)&lt;YEAR(E187),0,IF((YEAR(D187)+6)&gt;YEAR(E187),1,(12-MONTH(E187)+1)/12))))-((P187)*(IF((YEAR(D187)+6)&lt;YEAR(E187),0,IF((YEAR(D187)+6)&gt;YEAR(E187),1,(12-MONTH(E187)+1)/12))) + (R187)*(IF((YEAR(D187)+6)&lt;YEAR(E187),0,IF((YEAR(D187)+6)&gt;YEAR(E187),1,(12-MONTH(E187)+1)/12))))-(IF(OR(N187="",N187&lt;=0),0,(O187/N187)*(IF(OR(N187="",N187&lt;=0),0,IF((YEAR(D187)+6)&lt;YEAR(E187),0,IF((YEAR(D187)+6)&gt;=YEAR(E187)+N187,0,IF((YEAR(D187)+6)=YEAR(E187),(12-MONTH(E187)+1)/12,1))))))))&gt;0,(((K187)*(IF(M187="",L187,IFERROR(IF(INDEX(Variablen!$I:$AT, MATCH(M187, Variablen!$A:$A, 0), MATCH((YEAR(D187)+6), Variablen!$I$3:$AT$3, 0))="",L187,INDEX(Variablen!$I:$AT, MATCH(M187, Variablen!$A:$A, 0), MATCH((YEAR(D187)+6), Variablen!$I$3:$AT$3, 0))),L187)))*(IF((YEAR(D187)+6)&lt;YEAR(E187),0,IF((YEAR(D187)+6)&gt;YEAR(E187),1,(12-MONTH(E187)+1)/12))) + (Q187)*(IF((YEAR(D187)+6)&lt;YEAR(E187),0,IF((YEAR(D187)+6)&gt;YEAR(E187),1,(12-MONTH(E187)+1)/12))))-((P187)*(IF((YEAR(D187)+6)&lt;YEAR(E187),0,IF((YEAR(D187)+6)&gt;YEAR(E187),1,(12-MONTH(E187)+1)/12))) + (R187)*(IF((YEAR(D187)+6)&lt;YEAR(E187),0,IF((YEAR(D187)+6)&gt;YEAR(E187),1,(12-MONTH(E187)+1)/12))))-(IF(OR(N187="",N187&lt;=0),0,(O187/N187)*(IF(OR(N187="",N187&lt;=0),0,IF((YEAR(D187)+6)&lt;YEAR(E187),0,IF((YEAR(D187)+6)&gt;=YEAR(E187)+N187,0,IF((YEAR(D187)+6)=YEAR(E187),(12-MONTH(E187)+1)/12,1))))))))*TaxRate,0))-IF(6=0,O187,0))</f>
        <v/>
      </c>
      <c r="Z187" s="29">
        <f>IF(A187="","",((K187)*(IF(M187="",L187,IFERROR(IF(INDEX(Variablen!$I:$AT, MATCH(M187, Variablen!$A:$A, 0), MATCH((YEAR(D187)+7), Variablen!$I$3:$AT$3, 0))="",L187,INDEX(Variablen!$I:$AT, MATCH(M187, Variablen!$A:$A, 0), MATCH((YEAR(D187)+7), Variablen!$I$3:$AT$3, 0))),L187)))*(IF((YEAR(D187)+7)&lt;YEAR(E187),0,IF((YEAR(D187)+7)&gt;YEAR(E187),1,(12-MONTH(E187)+1)/12))) + (Q187)*(IF((YEAR(D187)+7)&lt;YEAR(E187),0,IF((YEAR(D187)+7)&gt;YEAR(E187),1,(12-MONTH(E187)+1)/12))))-((P187)*(IF((YEAR(D187)+7)&lt;YEAR(E187),0,IF((YEAR(D187)+7)&gt;YEAR(E187),1,(12-MONTH(E187)+1)/12))) + (R187)*(IF((YEAR(D187)+7)&lt;YEAR(E187),0,IF((YEAR(D187)+7)&gt;YEAR(E187),1,(12-MONTH(E187)+1)/12))))-(IF((((K187)*(IF(M187="",L187,IFERROR(IF(INDEX(Variablen!$I:$AT, MATCH(M187, Variablen!$A:$A, 0), MATCH((YEAR(D187)+7), Variablen!$I$3:$AT$3, 0))="",L187,INDEX(Variablen!$I:$AT, MATCH(M187, Variablen!$A:$A, 0), MATCH((YEAR(D187)+7), Variablen!$I$3:$AT$3, 0))),L187)))*(IF((YEAR(D187)+7)&lt;YEAR(E187),0,IF((YEAR(D187)+7)&gt;YEAR(E187),1,(12-MONTH(E187)+1)/12))) + (Q187)*(IF((YEAR(D187)+7)&lt;YEAR(E187),0,IF((YEAR(D187)+7)&gt;YEAR(E187),1,(12-MONTH(E187)+1)/12))))-((P187)*(IF((YEAR(D187)+7)&lt;YEAR(E187),0,IF((YEAR(D187)+7)&gt;YEAR(E187),1,(12-MONTH(E187)+1)/12))) + (R187)*(IF((YEAR(D187)+7)&lt;YEAR(E187),0,IF((YEAR(D187)+7)&gt;YEAR(E187),1,(12-MONTH(E187)+1)/12))))-(IF(OR(N187="",N187&lt;=0),0,(O187/N187)*(IF(OR(N187="",N187&lt;=0),0,IF((YEAR(D187)+7)&lt;YEAR(E187),0,IF((YEAR(D187)+7)&gt;=YEAR(E187)+N187,0,IF((YEAR(D187)+7)=YEAR(E187),(12-MONTH(E187)+1)/12,1))))))))&gt;0,(((K187)*(IF(M187="",L187,IFERROR(IF(INDEX(Variablen!$I:$AT, MATCH(M187, Variablen!$A:$A, 0), MATCH((YEAR(D187)+7), Variablen!$I$3:$AT$3, 0))="",L187,INDEX(Variablen!$I:$AT, MATCH(M187, Variablen!$A:$A, 0), MATCH((YEAR(D187)+7), Variablen!$I$3:$AT$3, 0))),L187)))*(IF((YEAR(D187)+7)&lt;YEAR(E187),0,IF((YEAR(D187)+7)&gt;YEAR(E187),1,(12-MONTH(E187)+1)/12))) + (Q187)*(IF((YEAR(D187)+7)&lt;YEAR(E187),0,IF((YEAR(D187)+7)&gt;YEAR(E187),1,(12-MONTH(E187)+1)/12))))-((P187)*(IF((YEAR(D187)+7)&lt;YEAR(E187),0,IF((YEAR(D187)+7)&gt;YEAR(E187),1,(12-MONTH(E187)+1)/12))) + (R187)*(IF((YEAR(D187)+7)&lt;YEAR(E187),0,IF((YEAR(D187)+7)&gt;YEAR(E187),1,(12-MONTH(E187)+1)/12))))-(IF(OR(N187="",N187&lt;=0),0,(O187/N187)*(IF(OR(N187="",N187&lt;=0),0,IF((YEAR(D187)+7)&lt;YEAR(E187),0,IF((YEAR(D187)+7)&gt;=YEAR(E187)+N187,0,IF((YEAR(D187)+7)=YEAR(E187),(12-MONTH(E187)+1)/12,1))))))))*TaxRate,0))-IF(7=0,O187,0))</f>
        <v/>
      </c>
      <c r="AA187" s="29">
        <f>IF(A187="","",((K187)*(IF(M187="",L187,IFERROR(IF(INDEX(Variablen!$I:$AT, MATCH(M187, Variablen!$A:$A, 0), MATCH((YEAR(D187)+8), Variablen!$I$3:$AT$3, 0))="",L187,INDEX(Variablen!$I:$AT, MATCH(M187, Variablen!$A:$A, 0), MATCH((YEAR(D187)+8), Variablen!$I$3:$AT$3, 0))),L187)))*(IF((YEAR(D187)+8)&lt;YEAR(E187),0,IF((YEAR(D187)+8)&gt;YEAR(E187),1,(12-MONTH(E187)+1)/12))) + (Q187)*(IF((YEAR(D187)+8)&lt;YEAR(E187),0,IF((YEAR(D187)+8)&gt;YEAR(E187),1,(12-MONTH(E187)+1)/12))))-((P187)*(IF((YEAR(D187)+8)&lt;YEAR(E187),0,IF((YEAR(D187)+8)&gt;YEAR(E187),1,(12-MONTH(E187)+1)/12))) + (R187)*(IF((YEAR(D187)+8)&lt;YEAR(E187),0,IF((YEAR(D187)+8)&gt;YEAR(E187),1,(12-MONTH(E187)+1)/12))))-(IF((((K187)*(IF(M187="",L187,IFERROR(IF(INDEX(Variablen!$I:$AT, MATCH(M187, Variablen!$A:$A, 0), MATCH((YEAR(D187)+8), Variablen!$I$3:$AT$3, 0))="",L187,INDEX(Variablen!$I:$AT, MATCH(M187, Variablen!$A:$A, 0), MATCH((YEAR(D187)+8), Variablen!$I$3:$AT$3, 0))),L187)))*(IF((YEAR(D187)+8)&lt;YEAR(E187),0,IF((YEAR(D187)+8)&gt;YEAR(E187),1,(12-MONTH(E187)+1)/12))) + (Q187)*(IF((YEAR(D187)+8)&lt;YEAR(E187),0,IF((YEAR(D187)+8)&gt;YEAR(E187),1,(12-MONTH(E187)+1)/12))))-((P187)*(IF((YEAR(D187)+8)&lt;YEAR(E187),0,IF((YEAR(D187)+8)&gt;YEAR(E187),1,(12-MONTH(E187)+1)/12))) + (R187)*(IF((YEAR(D187)+8)&lt;YEAR(E187),0,IF((YEAR(D187)+8)&gt;YEAR(E187),1,(12-MONTH(E187)+1)/12))))-(IF(OR(N187="",N187&lt;=0),0,(O187/N187)*(IF(OR(N187="",N187&lt;=0),0,IF((YEAR(D187)+8)&lt;YEAR(E187),0,IF((YEAR(D187)+8)&gt;=YEAR(E187)+N187,0,IF((YEAR(D187)+8)=YEAR(E187),(12-MONTH(E187)+1)/12,1))))))))&gt;0,(((K187)*(IF(M187="",L187,IFERROR(IF(INDEX(Variablen!$I:$AT, MATCH(M187, Variablen!$A:$A, 0), MATCH((YEAR(D187)+8), Variablen!$I$3:$AT$3, 0))="",L187,INDEX(Variablen!$I:$AT, MATCH(M187, Variablen!$A:$A, 0), MATCH((YEAR(D187)+8), Variablen!$I$3:$AT$3, 0))),L187)))*(IF((YEAR(D187)+8)&lt;YEAR(E187),0,IF((YEAR(D187)+8)&gt;YEAR(E187),1,(12-MONTH(E187)+1)/12))) + (Q187)*(IF((YEAR(D187)+8)&lt;YEAR(E187),0,IF((YEAR(D187)+8)&gt;YEAR(E187),1,(12-MONTH(E187)+1)/12))))-((P187)*(IF((YEAR(D187)+8)&lt;YEAR(E187),0,IF((YEAR(D187)+8)&gt;YEAR(E187),1,(12-MONTH(E187)+1)/12))) + (R187)*(IF((YEAR(D187)+8)&lt;YEAR(E187),0,IF((YEAR(D187)+8)&gt;YEAR(E187),1,(12-MONTH(E187)+1)/12))))-(IF(OR(N187="",N187&lt;=0),0,(O187/N187)*(IF(OR(N187="",N187&lt;=0),0,IF((YEAR(D187)+8)&lt;YEAR(E187),0,IF((YEAR(D187)+8)&gt;=YEAR(E187)+N187,0,IF((YEAR(D187)+8)=YEAR(E187),(12-MONTH(E187)+1)/12,1))))))))*TaxRate,0))-IF(8=0,O187,0))</f>
        <v/>
      </c>
      <c r="AB187" s="29">
        <f>IF(A187="","",((K187)*(IF(M187="",L187,IFERROR(IF(INDEX(Variablen!$I:$AT, MATCH(M187, Variablen!$A:$A, 0), MATCH((YEAR(D187)+9), Variablen!$I$3:$AT$3, 0))="",L187,INDEX(Variablen!$I:$AT, MATCH(M187, Variablen!$A:$A, 0), MATCH((YEAR(D187)+9), Variablen!$I$3:$AT$3, 0))),L187)))*(IF((YEAR(D187)+9)&lt;YEAR(E187),0,IF((YEAR(D187)+9)&gt;YEAR(E187),1,(12-MONTH(E187)+1)/12))) + (Q187)*(IF((YEAR(D187)+9)&lt;YEAR(E187),0,IF((YEAR(D187)+9)&gt;YEAR(E187),1,(12-MONTH(E187)+1)/12))))-((P187)*(IF((YEAR(D187)+9)&lt;YEAR(E187),0,IF((YEAR(D187)+9)&gt;YEAR(E187),1,(12-MONTH(E187)+1)/12))) + (R187)*(IF((YEAR(D187)+9)&lt;YEAR(E187),0,IF((YEAR(D187)+9)&gt;YEAR(E187),1,(12-MONTH(E187)+1)/12))))-(IF((((K187)*(IF(M187="",L187,IFERROR(IF(INDEX(Variablen!$I:$AT, MATCH(M187, Variablen!$A:$A, 0), MATCH((YEAR(D187)+9), Variablen!$I$3:$AT$3, 0))="",L187,INDEX(Variablen!$I:$AT, MATCH(M187, Variablen!$A:$A, 0), MATCH((YEAR(D187)+9), Variablen!$I$3:$AT$3, 0))),L187)))*(IF((YEAR(D187)+9)&lt;YEAR(E187),0,IF((YEAR(D187)+9)&gt;YEAR(E187),1,(12-MONTH(E187)+1)/12))) + (Q187)*(IF((YEAR(D187)+9)&lt;YEAR(E187),0,IF((YEAR(D187)+9)&gt;YEAR(E187),1,(12-MONTH(E187)+1)/12))))-((P187)*(IF((YEAR(D187)+9)&lt;YEAR(E187),0,IF((YEAR(D187)+9)&gt;YEAR(E187),1,(12-MONTH(E187)+1)/12))) + (R187)*(IF((YEAR(D187)+9)&lt;YEAR(E187),0,IF((YEAR(D187)+9)&gt;YEAR(E187),1,(12-MONTH(E187)+1)/12))))-(IF(OR(N187="",N187&lt;=0),0,(O187/N187)*(IF(OR(N187="",N187&lt;=0),0,IF((YEAR(D187)+9)&lt;YEAR(E187),0,IF((YEAR(D187)+9)&gt;=YEAR(E187)+N187,0,IF((YEAR(D187)+9)=YEAR(E187),(12-MONTH(E187)+1)/12,1))))))))&gt;0,(((K187)*(IF(M187="",L187,IFERROR(IF(INDEX(Variablen!$I:$AT, MATCH(M187, Variablen!$A:$A, 0), MATCH((YEAR(D187)+9), Variablen!$I$3:$AT$3, 0))="",L187,INDEX(Variablen!$I:$AT, MATCH(M187, Variablen!$A:$A, 0), MATCH((YEAR(D187)+9), Variablen!$I$3:$AT$3, 0))),L187)))*(IF((YEAR(D187)+9)&lt;YEAR(E187),0,IF((YEAR(D187)+9)&gt;YEAR(E187),1,(12-MONTH(E187)+1)/12))) + (Q187)*(IF((YEAR(D187)+9)&lt;YEAR(E187),0,IF((YEAR(D187)+9)&gt;YEAR(E187),1,(12-MONTH(E187)+1)/12))))-((P187)*(IF((YEAR(D187)+9)&lt;YEAR(E187),0,IF((YEAR(D187)+9)&gt;YEAR(E187),1,(12-MONTH(E187)+1)/12))) + (R187)*(IF((YEAR(D187)+9)&lt;YEAR(E187),0,IF((YEAR(D187)+9)&gt;YEAR(E187),1,(12-MONTH(E187)+1)/12))))-(IF(OR(N187="",N187&lt;=0),0,(O187/N187)*(IF(OR(N187="",N187&lt;=0),0,IF((YEAR(D187)+9)&lt;YEAR(E187),0,IF((YEAR(D187)+9)&gt;=YEAR(E187)+N187,0,IF((YEAR(D187)+9)=YEAR(E187),(12-MONTH(E187)+1)/12,1))))))))*TaxRate,0))-IF(9=0,O187,0))</f>
        <v/>
      </c>
      <c r="AC187" s="29">
        <f>IF(A187="","",((K187)*(IF(M187="",L187,IFERROR(IF(INDEX(Variablen!$I:$AT, MATCH(M187, Variablen!$A:$A, 0), MATCH((YEAR(D187)+10), Variablen!$I$3:$AT$3, 0))="",L187,INDEX(Variablen!$I:$AT, MATCH(M187, Variablen!$A:$A, 0), MATCH((YEAR(D187)+10), Variablen!$I$3:$AT$3, 0))),L187)))*(IF((YEAR(D187)+10)&lt;YEAR(E187),0,IF((YEAR(D187)+10)&gt;YEAR(E187),1,(12-MONTH(E187)+1)/12))) + (Q187)*(IF((YEAR(D187)+10)&lt;YEAR(E187),0,IF((YEAR(D187)+10)&gt;YEAR(E187),1,(12-MONTH(E187)+1)/12))))-((P187)*(IF((YEAR(D187)+10)&lt;YEAR(E187),0,IF((YEAR(D187)+10)&gt;YEAR(E187),1,(12-MONTH(E187)+1)/12))) + (R187)*(IF((YEAR(D187)+10)&lt;YEAR(E187),0,IF((YEAR(D187)+10)&gt;YEAR(E187),1,(12-MONTH(E187)+1)/12))))-(IF((((K187)*(IF(M187="",L187,IFERROR(IF(INDEX(Variablen!$I:$AT, MATCH(M187, Variablen!$A:$A, 0), MATCH((YEAR(D187)+10), Variablen!$I$3:$AT$3, 0))="",L187,INDEX(Variablen!$I:$AT, MATCH(M187, Variablen!$A:$A, 0), MATCH((YEAR(D187)+10), Variablen!$I$3:$AT$3, 0))),L187)))*(IF((YEAR(D187)+10)&lt;YEAR(E187),0,IF((YEAR(D187)+10)&gt;YEAR(E187),1,(12-MONTH(E187)+1)/12))) + (Q187)*(IF((YEAR(D187)+10)&lt;YEAR(E187),0,IF((YEAR(D187)+10)&gt;YEAR(E187),1,(12-MONTH(E187)+1)/12))))-((P187)*(IF((YEAR(D187)+10)&lt;YEAR(E187),0,IF((YEAR(D187)+10)&gt;YEAR(E187),1,(12-MONTH(E187)+1)/12))) + (R187)*(IF((YEAR(D187)+10)&lt;YEAR(E187),0,IF((YEAR(D187)+10)&gt;YEAR(E187),1,(12-MONTH(E187)+1)/12))))-(IF(OR(N187="",N187&lt;=0),0,(O187/N187)*(IF(OR(N187="",N187&lt;=0),0,IF((YEAR(D187)+10)&lt;YEAR(E187),0,IF((YEAR(D187)+10)&gt;=YEAR(E187)+N187,0,IF((YEAR(D187)+10)=YEAR(E187),(12-MONTH(E187)+1)/12,1))))))))&gt;0,(((K187)*(IF(M187="",L187,IFERROR(IF(INDEX(Variablen!$I:$AT, MATCH(M187, Variablen!$A:$A, 0), MATCH((YEAR(D187)+10), Variablen!$I$3:$AT$3, 0))="",L187,INDEX(Variablen!$I:$AT, MATCH(M187, Variablen!$A:$A, 0), MATCH((YEAR(D187)+10), Variablen!$I$3:$AT$3, 0))),L187)))*(IF((YEAR(D187)+10)&lt;YEAR(E187),0,IF((YEAR(D187)+10)&gt;YEAR(E187),1,(12-MONTH(E187)+1)/12))) + (Q187)*(IF((YEAR(D187)+10)&lt;YEAR(E187),0,IF((YEAR(D187)+10)&gt;YEAR(E187),1,(12-MONTH(E187)+1)/12))))-((P187)*(IF((YEAR(D187)+10)&lt;YEAR(E187),0,IF((YEAR(D187)+10)&gt;YEAR(E187),1,(12-MONTH(E187)+1)/12))) + (R187)*(IF((YEAR(D187)+10)&lt;YEAR(E187),0,IF((YEAR(D187)+10)&gt;YEAR(E187),1,(12-MONTH(E187)+1)/12))))-(IF(OR(N187="",N187&lt;=0),0,(O187/N187)*(IF(OR(N187="",N187&lt;=0),0,IF((YEAR(D187)+10)&lt;YEAR(E187),0,IF((YEAR(D187)+10)&gt;=YEAR(E187)+N187,0,IF((YEAR(D187)+10)=YEAR(E187),(12-MONTH(E187)+1)/12,1))))))))*TaxRate,0))-IF(10=0,O187,0))</f>
        <v/>
      </c>
      <c r="AD187" s="29">
        <f>IF(A187="","",((K187)*(IF(M187="",L187,IFERROR(IF(INDEX(Variablen!$I:$AT, MATCH(M187, Variablen!$A:$A, 0), MATCH((YEAR(D187)+11), Variablen!$I$3:$AT$3, 0))="",L187,INDEX(Variablen!$I:$AT, MATCH(M187, Variablen!$A:$A, 0), MATCH((YEAR(D187)+11), Variablen!$I$3:$AT$3, 0))),L187)))*(IF((YEAR(D187)+11)&lt;YEAR(E187),0,IF((YEAR(D187)+11)&gt;YEAR(E187),1,(12-MONTH(E187)+1)/12))) + (Q187)*(IF((YEAR(D187)+11)&lt;YEAR(E187),0,IF((YEAR(D187)+11)&gt;YEAR(E187),1,(12-MONTH(E187)+1)/12))))-((P187)*(IF((YEAR(D187)+11)&lt;YEAR(E187),0,IF((YEAR(D187)+11)&gt;YEAR(E187),1,(12-MONTH(E187)+1)/12))) + (R187)*(IF((YEAR(D187)+11)&lt;YEAR(E187),0,IF((YEAR(D187)+11)&gt;YEAR(E187),1,(12-MONTH(E187)+1)/12))))-(IF((((K187)*(IF(M187="",L187,IFERROR(IF(INDEX(Variablen!$I:$AT, MATCH(M187, Variablen!$A:$A, 0), MATCH((YEAR(D187)+11), Variablen!$I$3:$AT$3, 0))="",L187,INDEX(Variablen!$I:$AT, MATCH(M187, Variablen!$A:$A, 0), MATCH((YEAR(D187)+11), Variablen!$I$3:$AT$3, 0))),L187)))*(IF((YEAR(D187)+11)&lt;YEAR(E187),0,IF((YEAR(D187)+11)&gt;YEAR(E187),1,(12-MONTH(E187)+1)/12))) + (Q187)*(IF((YEAR(D187)+11)&lt;YEAR(E187),0,IF((YEAR(D187)+11)&gt;YEAR(E187),1,(12-MONTH(E187)+1)/12))))-((P187)*(IF((YEAR(D187)+11)&lt;YEAR(E187),0,IF((YEAR(D187)+11)&gt;YEAR(E187),1,(12-MONTH(E187)+1)/12))) + (R187)*(IF((YEAR(D187)+11)&lt;YEAR(E187),0,IF((YEAR(D187)+11)&gt;YEAR(E187),1,(12-MONTH(E187)+1)/12))))-(IF(OR(N187="",N187&lt;=0),0,(O187/N187)*(IF(OR(N187="",N187&lt;=0),0,IF((YEAR(D187)+11)&lt;YEAR(E187),0,IF((YEAR(D187)+11)&gt;=YEAR(E187)+N187,0,IF((YEAR(D187)+11)=YEAR(E187),(12-MONTH(E187)+1)/12,1))))))))&gt;0,(((K187)*(IF(M187="",L187,IFERROR(IF(INDEX(Variablen!$I:$AT, MATCH(M187, Variablen!$A:$A, 0), MATCH((YEAR(D187)+11), Variablen!$I$3:$AT$3, 0))="",L187,INDEX(Variablen!$I:$AT, MATCH(M187, Variablen!$A:$A, 0), MATCH((YEAR(D187)+11), Variablen!$I$3:$AT$3, 0))),L187)))*(IF((YEAR(D187)+11)&lt;YEAR(E187),0,IF((YEAR(D187)+11)&gt;YEAR(E187),1,(12-MONTH(E187)+1)/12))) + (Q187)*(IF((YEAR(D187)+11)&lt;YEAR(E187),0,IF((YEAR(D187)+11)&gt;YEAR(E187),1,(12-MONTH(E187)+1)/12))))-((P187)*(IF((YEAR(D187)+11)&lt;YEAR(E187),0,IF((YEAR(D187)+11)&gt;YEAR(E187),1,(12-MONTH(E187)+1)/12))) + (R187)*(IF((YEAR(D187)+11)&lt;YEAR(E187),0,IF((YEAR(D187)+11)&gt;YEAR(E187),1,(12-MONTH(E187)+1)/12))))-(IF(OR(N187="",N187&lt;=0),0,(O187/N187)*(IF(OR(N187="",N187&lt;=0),0,IF((YEAR(D187)+11)&lt;YEAR(E187),0,IF((YEAR(D187)+11)&gt;=YEAR(E187)+N187,0,IF((YEAR(D187)+11)=YEAR(E187),(12-MONTH(E187)+1)/12,1))))))))*TaxRate,0))-IF(11=0,O187,0))</f>
        <v/>
      </c>
      <c r="AE187" s="29">
        <f>IF(A187="","",((K187)*(IF(M187="",L187,IFERROR(IF(INDEX(Variablen!$I:$AT, MATCH(M187, Variablen!$A:$A, 0), MATCH((YEAR(D187)+12), Variablen!$I$3:$AT$3, 0))="",L187,INDEX(Variablen!$I:$AT, MATCH(M187, Variablen!$A:$A, 0), MATCH((YEAR(D187)+12), Variablen!$I$3:$AT$3, 0))),L187)))*(IF((YEAR(D187)+12)&lt;YEAR(E187),0,IF((YEAR(D187)+12)&gt;YEAR(E187),1,(12-MONTH(E187)+1)/12))) + (Q187)*(IF((YEAR(D187)+12)&lt;YEAR(E187),0,IF((YEAR(D187)+12)&gt;YEAR(E187),1,(12-MONTH(E187)+1)/12))))-((P187)*(IF((YEAR(D187)+12)&lt;YEAR(E187),0,IF((YEAR(D187)+12)&gt;YEAR(E187),1,(12-MONTH(E187)+1)/12))) + (R187)*(IF((YEAR(D187)+12)&lt;YEAR(E187),0,IF((YEAR(D187)+12)&gt;YEAR(E187),1,(12-MONTH(E187)+1)/12))))-(IF((((K187)*(IF(M187="",L187,IFERROR(IF(INDEX(Variablen!$I:$AT, MATCH(M187, Variablen!$A:$A, 0), MATCH((YEAR(D187)+12), Variablen!$I$3:$AT$3, 0))="",L187,INDEX(Variablen!$I:$AT, MATCH(M187, Variablen!$A:$A, 0), MATCH((YEAR(D187)+12), Variablen!$I$3:$AT$3, 0))),L187)))*(IF((YEAR(D187)+12)&lt;YEAR(E187),0,IF((YEAR(D187)+12)&gt;YEAR(E187),1,(12-MONTH(E187)+1)/12))) + (Q187)*(IF((YEAR(D187)+12)&lt;YEAR(E187),0,IF((YEAR(D187)+12)&gt;YEAR(E187),1,(12-MONTH(E187)+1)/12))))-((P187)*(IF((YEAR(D187)+12)&lt;YEAR(E187),0,IF((YEAR(D187)+12)&gt;YEAR(E187),1,(12-MONTH(E187)+1)/12))) + (R187)*(IF((YEAR(D187)+12)&lt;YEAR(E187),0,IF((YEAR(D187)+12)&gt;YEAR(E187),1,(12-MONTH(E187)+1)/12))))-(IF(OR(N187="",N187&lt;=0),0,(O187/N187)*(IF(OR(N187="",N187&lt;=0),0,IF((YEAR(D187)+12)&lt;YEAR(E187),0,IF((YEAR(D187)+12)&gt;=YEAR(E187)+N187,0,IF((YEAR(D187)+12)=YEAR(E187),(12-MONTH(E187)+1)/12,1))))))))&gt;0,(((K187)*(IF(M187="",L187,IFERROR(IF(INDEX(Variablen!$I:$AT, MATCH(M187, Variablen!$A:$A, 0), MATCH((YEAR(D187)+12), Variablen!$I$3:$AT$3, 0))="",L187,INDEX(Variablen!$I:$AT, MATCH(M187, Variablen!$A:$A, 0), MATCH((YEAR(D187)+12), Variablen!$I$3:$AT$3, 0))),L187)))*(IF((YEAR(D187)+12)&lt;YEAR(E187),0,IF((YEAR(D187)+12)&gt;YEAR(E187),1,(12-MONTH(E187)+1)/12))) + (Q187)*(IF((YEAR(D187)+12)&lt;YEAR(E187),0,IF((YEAR(D187)+12)&gt;YEAR(E187),1,(12-MONTH(E187)+1)/12))))-((P187)*(IF((YEAR(D187)+12)&lt;YEAR(E187),0,IF((YEAR(D187)+12)&gt;YEAR(E187),1,(12-MONTH(E187)+1)/12))) + (R187)*(IF((YEAR(D187)+12)&lt;YEAR(E187),0,IF((YEAR(D187)+12)&gt;YEAR(E187),1,(12-MONTH(E187)+1)/12))))-(IF(OR(N187="",N187&lt;=0),0,(O187/N187)*(IF(OR(N187="",N187&lt;=0),0,IF((YEAR(D187)+12)&lt;YEAR(E187),0,IF((YEAR(D187)+12)&gt;=YEAR(E187)+N187,0,IF((YEAR(D187)+12)=YEAR(E187),(12-MONTH(E187)+1)/12,1))))))))*TaxRate,0))-IF(12=0,O187,0))</f>
        <v/>
      </c>
      <c r="AF187" s="29">
        <f>IF(A187="","",((K187)*(IF(M187="",L187,IFERROR(IF(INDEX(Variablen!$I:$AT, MATCH(M187, Variablen!$A:$A, 0), MATCH((YEAR(D187)+13), Variablen!$I$3:$AT$3, 0))="",L187,INDEX(Variablen!$I:$AT, MATCH(M187, Variablen!$A:$A, 0), MATCH((YEAR(D187)+13), Variablen!$I$3:$AT$3, 0))),L187)))*(IF((YEAR(D187)+13)&lt;YEAR(E187),0,IF((YEAR(D187)+13)&gt;YEAR(E187),1,(12-MONTH(E187)+1)/12))) + (Q187)*(IF((YEAR(D187)+13)&lt;YEAR(E187),0,IF((YEAR(D187)+13)&gt;YEAR(E187),1,(12-MONTH(E187)+1)/12))))-((P187)*(IF((YEAR(D187)+13)&lt;YEAR(E187),0,IF((YEAR(D187)+13)&gt;YEAR(E187),1,(12-MONTH(E187)+1)/12))) + (R187)*(IF((YEAR(D187)+13)&lt;YEAR(E187),0,IF((YEAR(D187)+13)&gt;YEAR(E187),1,(12-MONTH(E187)+1)/12))))-(IF((((K187)*(IF(M187="",L187,IFERROR(IF(INDEX(Variablen!$I:$AT, MATCH(M187, Variablen!$A:$A, 0), MATCH((YEAR(D187)+13), Variablen!$I$3:$AT$3, 0))="",L187,INDEX(Variablen!$I:$AT, MATCH(M187, Variablen!$A:$A, 0), MATCH((YEAR(D187)+13), Variablen!$I$3:$AT$3, 0))),L187)))*(IF((YEAR(D187)+13)&lt;YEAR(E187),0,IF((YEAR(D187)+13)&gt;YEAR(E187),1,(12-MONTH(E187)+1)/12))) + (Q187)*(IF((YEAR(D187)+13)&lt;YEAR(E187),0,IF((YEAR(D187)+13)&gt;YEAR(E187),1,(12-MONTH(E187)+1)/12))))-((P187)*(IF((YEAR(D187)+13)&lt;YEAR(E187),0,IF((YEAR(D187)+13)&gt;YEAR(E187),1,(12-MONTH(E187)+1)/12))) + (R187)*(IF((YEAR(D187)+13)&lt;YEAR(E187),0,IF((YEAR(D187)+13)&gt;YEAR(E187),1,(12-MONTH(E187)+1)/12))))-(IF(OR(N187="",N187&lt;=0),0,(O187/N187)*(IF(OR(N187="",N187&lt;=0),0,IF((YEAR(D187)+13)&lt;YEAR(E187),0,IF((YEAR(D187)+13)&gt;=YEAR(E187)+N187,0,IF((YEAR(D187)+13)=YEAR(E187),(12-MONTH(E187)+1)/12,1))))))))&gt;0,(((K187)*(IF(M187="",L187,IFERROR(IF(INDEX(Variablen!$I:$AT, MATCH(M187, Variablen!$A:$A, 0), MATCH((YEAR(D187)+13), Variablen!$I$3:$AT$3, 0))="",L187,INDEX(Variablen!$I:$AT, MATCH(M187, Variablen!$A:$A, 0), MATCH((YEAR(D187)+13), Variablen!$I$3:$AT$3, 0))),L187)))*(IF((YEAR(D187)+13)&lt;YEAR(E187),0,IF((YEAR(D187)+13)&gt;YEAR(E187),1,(12-MONTH(E187)+1)/12))) + (Q187)*(IF((YEAR(D187)+13)&lt;YEAR(E187),0,IF((YEAR(D187)+13)&gt;YEAR(E187),1,(12-MONTH(E187)+1)/12))))-((P187)*(IF((YEAR(D187)+13)&lt;YEAR(E187),0,IF((YEAR(D187)+13)&gt;YEAR(E187),1,(12-MONTH(E187)+1)/12))) + (R187)*(IF((YEAR(D187)+13)&lt;YEAR(E187),0,IF((YEAR(D187)+13)&gt;YEAR(E187),1,(12-MONTH(E187)+1)/12))))-(IF(OR(N187="",N187&lt;=0),0,(O187/N187)*(IF(OR(N187="",N187&lt;=0),0,IF((YEAR(D187)+13)&lt;YEAR(E187),0,IF((YEAR(D187)+13)&gt;=YEAR(E187)+N187,0,IF((YEAR(D187)+13)=YEAR(E187),(12-MONTH(E187)+1)/12,1))))))))*TaxRate,0))-IF(13=0,O187,0))</f>
        <v/>
      </c>
      <c r="AG187" s="29">
        <f>IF(A187="","",((K187)*(IF(M187="",L187,IFERROR(IF(INDEX(Variablen!$I:$AT, MATCH(M187, Variablen!$A:$A, 0), MATCH((YEAR(D187)+14), Variablen!$I$3:$AT$3, 0))="",L187,INDEX(Variablen!$I:$AT, MATCH(M187, Variablen!$A:$A, 0), MATCH((YEAR(D187)+14), Variablen!$I$3:$AT$3, 0))),L187)))*(IF((YEAR(D187)+14)&lt;YEAR(E187),0,IF((YEAR(D187)+14)&gt;YEAR(E187),1,(12-MONTH(E187)+1)/12))) + (Q187)*(IF((YEAR(D187)+14)&lt;YEAR(E187),0,IF((YEAR(D187)+14)&gt;YEAR(E187),1,(12-MONTH(E187)+1)/12))))-((P187)*(IF((YEAR(D187)+14)&lt;YEAR(E187),0,IF((YEAR(D187)+14)&gt;YEAR(E187),1,(12-MONTH(E187)+1)/12))) + (R187)*(IF((YEAR(D187)+14)&lt;YEAR(E187),0,IF((YEAR(D187)+14)&gt;YEAR(E187),1,(12-MONTH(E187)+1)/12))))-(IF((((K187)*(IF(M187="",L187,IFERROR(IF(INDEX(Variablen!$I:$AT, MATCH(M187, Variablen!$A:$A, 0), MATCH((YEAR(D187)+14), Variablen!$I$3:$AT$3, 0))="",L187,INDEX(Variablen!$I:$AT, MATCH(M187, Variablen!$A:$A, 0), MATCH((YEAR(D187)+14), Variablen!$I$3:$AT$3, 0))),L187)))*(IF((YEAR(D187)+14)&lt;YEAR(E187),0,IF((YEAR(D187)+14)&gt;YEAR(E187),1,(12-MONTH(E187)+1)/12))) + (Q187)*(IF((YEAR(D187)+14)&lt;YEAR(E187),0,IF((YEAR(D187)+14)&gt;YEAR(E187),1,(12-MONTH(E187)+1)/12))))-((P187)*(IF((YEAR(D187)+14)&lt;YEAR(E187),0,IF((YEAR(D187)+14)&gt;YEAR(E187),1,(12-MONTH(E187)+1)/12))) + (R187)*(IF((YEAR(D187)+14)&lt;YEAR(E187),0,IF((YEAR(D187)+14)&gt;YEAR(E187),1,(12-MONTH(E187)+1)/12))))-(IF(OR(N187="",N187&lt;=0),0,(O187/N187)*(IF(OR(N187="",N187&lt;=0),0,IF((YEAR(D187)+14)&lt;YEAR(E187),0,IF((YEAR(D187)+14)&gt;=YEAR(E187)+N187,0,IF((YEAR(D187)+14)=YEAR(E187),(12-MONTH(E187)+1)/12,1))))))))&gt;0,(((K187)*(IF(M187="",L187,IFERROR(IF(INDEX(Variablen!$I:$AT, MATCH(M187, Variablen!$A:$A, 0), MATCH((YEAR(D187)+14), Variablen!$I$3:$AT$3, 0))="",L187,INDEX(Variablen!$I:$AT, MATCH(M187, Variablen!$A:$A, 0), MATCH((YEAR(D187)+14), Variablen!$I$3:$AT$3, 0))),L187)))*(IF((YEAR(D187)+14)&lt;YEAR(E187),0,IF((YEAR(D187)+14)&gt;YEAR(E187),1,(12-MONTH(E187)+1)/12))) + (Q187)*(IF((YEAR(D187)+14)&lt;YEAR(E187),0,IF((YEAR(D187)+14)&gt;YEAR(E187),1,(12-MONTH(E187)+1)/12))))-((P187)*(IF((YEAR(D187)+14)&lt;YEAR(E187),0,IF((YEAR(D187)+14)&gt;YEAR(E187),1,(12-MONTH(E187)+1)/12))) + (R187)*(IF((YEAR(D187)+14)&lt;YEAR(E187),0,IF((YEAR(D187)+14)&gt;YEAR(E187),1,(12-MONTH(E187)+1)/12))))-(IF(OR(N187="",N187&lt;=0),0,(O187/N187)*(IF(OR(N187="",N187&lt;=0),0,IF((YEAR(D187)+14)&lt;YEAR(E187),0,IF((YEAR(D187)+14)&gt;=YEAR(E187)+N187,0,IF((YEAR(D187)+14)=YEAR(E187),(12-MONTH(E187)+1)/12,1))))))))*TaxRate,0))-IF(14=0,O187,0))</f>
        <v/>
      </c>
      <c r="AH187" s="29">
        <f>IF(A187="","",((K187)*(IF(M187="",L187,IFERROR(IF(INDEX(Variablen!$I:$AT, MATCH(M187, Variablen!$A:$A, 0), MATCH((YEAR(D187)+15), Variablen!$I$3:$AT$3, 0))="",L187,INDEX(Variablen!$I:$AT, MATCH(M187, Variablen!$A:$A, 0), MATCH((YEAR(D187)+15), Variablen!$I$3:$AT$3, 0))),L187)))*(IF((YEAR(D187)+15)&lt;YEAR(E187),0,IF((YEAR(D187)+15)&gt;YEAR(E187),1,(12-MONTH(E187)+1)/12))) + (Q187)*(IF((YEAR(D187)+15)&lt;YEAR(E187),0,IF((YEAR(D187)+15)&gt;YEAR(E187),1,(12-MONTH(E187)+1)/12))))-((P187)*(IF((YEAR(D187)+15)&lt;YEAR(E187),0,IF((YEAR(D187)+15)&gt;YEAR(E187),1,(12-MONTH(E187)+1)/12))) + (R187)*(IF((YEAR(D187)+15)&lt;YEAR(E187),0,IF((YEAR(D187)+15)&gt;YEAR(E187),1,(12-MONTH(E187)+1)/12))))-(IF((((K187)*(IF(M187="",L187,IFERROR(IF(INDEX(Variablen!$I:$AT, MATCH(M187, Variablen!$A:$A, 0), MATCH((YEAR(D187)+15), Variablen!$I$3:$AT$3, 0))="",L187,INDEX(Variablen!$I:$AT, MATCH(M187, Variablen!$A:$A, 0), MATCH((YEAR(D187)+15), Variablen!$I$3:$AT$3, 0))),L187)))*(IF((YEAR(D187)+15)&lt;YEAR(E187),0,IF((YEAR(D187)+15)&gt;YEAR(E187),1,(12-MONTH(E187)+1)/12))) + (Q187)*(IF((YEAR(D187)+15)&lt;YEAR(E187),0,IF((YEAR(D187)+15)&gt;YEAR(E187),1,(12-MONTH(E187)+1)/12))))-((P187)*(IF((YEAR(D187)+15)&lt;YEAR(E187),0,IF((YEAR(D187)+15)&gt;YEAR(E187),1,(12-MONTH(E187)+1)/12))) + (R187)*(IF((YEAR(D187)+15)&lt;YEAR(E187),0,IF((YEAR(D187)+15)&gt;YEAR(E187),1,(12-MONTH(E187)+1)/12))))-(IF(OR(N187="",N187&lt;=0),0,(O187/N187)*(IF(OR(N187="",N187&lt;=0),0,IF((YEAR(D187)+15)&lt;YEAR(E187),0,IF((YEAR(D187)+15)&gt;=YEAR(E187)+N187,0,IF((YEAR(D187)+15)=YEAR(E187),(12-MONTH(E187)+1)/12,1))))))))&gt;0,(((K187)*(IF(M187="",L187,IFERROR(IF(INDEX(Variablen!$I:$AT, MATCH(M187, Variablen!$A:$A, 0), MATCH((YEAR(D187)+15), Variablen!$I$3:$AT$3, 0))="",L187,INDEX(Variablen!$I:$AT, MATCH(M187, Variablen!$A:$A, 0), MATCH((YEAR(D187)+15), Variablen!$I$3:$AT$3, 0))),L187)))*(IF((YEAR(D187)+15)&lt;YEAR(E187),0,IF((YEAR(D187)+15)&gt;YEAR(E187),1,(12-MONTH(E187)+1)/12))) + (Q187)*(IF((YEAR(D187)+15)&lt;YEAR(E187),0,IF((YEAR(D187)+15)&gt;YEAR(E187),1,(12-MONTH(E187)+1)/12))))-((P187)*(IF((YEAR(D187)+15)&lt;YEAR(E187),0,IF((YEAR(D187)+15)&gt;YEAR(E187),1,(12-MONTH(E187)+1)/12))) + (R187)*(IF((YEAR(D187)+15)&lt;YEAR(E187),0,IF((YEAR(D187)+15)&gt;YEAR(E187),1,(12-MONTH(E187)+1)/12))))-(IF(OR(N187="",N187&lt;=0),0,(O187/N187)*(IF(OR(N187="",N187&lt;=0),0,IF((YEAR(D187)+15)&lt;YEAR(E187),0,IF((YEAR(D187)+15)&gt;=YEAR(E187)+N187,0,IF((YEAR(D187)+15)=YEAR(E187),(12-MONTH(E187)+1)/12,1))))))))*TaxRate,0))-IF(15=0,O187,0))</f>
        <v/>
      </c>
      <c r="AI187" s="29">
        <f>IF(A187="","",((K187)*(IF(M187="",L187,IFERROR(IF(INDEX(Variablen!$I:$AT, MATCH(M187, Variablen!$A:$A, 0), MATCH((YEAR(D187)+16), Variablen!$I$3:$AT$3, 0))="",L187,INDEX(Variablen!$I:$AT, MATCH(M187, Variablen!$A:$A, 0), MATCH((YEAR(D187)+16), Variablen!$I$3:$AT$3, 0))),L187)))*(IF((YEAR(D187)+16)&lt;YEAR(E187),0,IF((YEAR(D187)+16)&gt;YEAR(E187),1,(12-MONTH(E187)+1)/12))) + (Q187)*(IF((YEAR(D187)+16)&lt;YEAR(E187),0,IF((YEAR(D187)+16)&gt;YEAR(E187),1,(12-MONTH(E187)+1)/12))))-((P187)*(IF((YEAR(D187)+16)&lt;YEAR(E187),0,IF((YEAR(D187)+16)&gt;YEAR(E187),1,(12-MONTH(E187)+1)/12))) + (R187)*(IF((YEAR(D187)+16)&lt;YEAR(E187),0,IF((YEAR(D187)+16)&gt;YEAR(E187),1,(12-MONTH(E187)+1)/12))))-(IF((((K187)*(IF(M187="",L187,IFERROR(IF(INDEX(Variablen!$I:$AT, MATCH(M187, Variablen!$A:$A, 0), MATCH((YEAR(D187)+16), Variablen!$I$3:$AT$3, 0))="",L187,INDEX(Variablen!$I:$AT, MATCH(M187, Variablen!$A:$A, 0), MATCH((YEAR(D187)+16), Variablen!$I$3:$AT$3, 0))),L187)))*(IF((YEAR(D187)+16)&lt;YEAR(E187),0,IF((YEAR(D187)+16)&gt;YEAR(E187),1,(12-MONTH(E187)+1)/12))) + (Q187)*(IF((YEAR(D187)+16)&lt;YEAR(E187),0,IF((YEAR(D187)+16)&gt;YEAR(E187),1,(12-MONTH(E187)+1)/12))))-((P187)*(IF((YEAR(D187)+16)&lt;YEAR(E187),0,IF((YEAR(D187)+16)&gt;YEAR(E187),1,(12-MONTH(E187)+1)/12))) + (R187)*(IF((YEAR(D187)+16)&lt;YEAR(E187),0,IF((YEAR(D187)+16)&gt;YEAR(E187),1,(12-MONTH(E187)+1)/12))))-(IF(OR(N187="",N187&lt;=0),0,(O187/N187)*(IF(OR(N187="",N187&lt;=0),0,IF((YEAR(D187)+16)&lt;YEAR(E187),0,IF((YEAR(D187)+16)&gt;=YEAR(E187)+N187,0,IF((YEAR(D187)+16)=YEAR(E187),(12-MONTH(E187)+1)/12,1))))))))&gt;0,(((K187)*(IF(M187="",L187,IFERROR(IF(INDEX(Variablen!$I:$AT, MATCH(M187, Variablen!$A:$A, 0), MATCH((YEAR(D187)+16), Variablen!$I$3:$AT$3, 0))="",L187,INDEX(Variablen!$I:$AT, MATCH(M187, Variablen!$A:$A, 0), MATCH((YEAR(D187)+16), Variablen!$I$3:$AT$3, 0))),L187)))*(IF((YEAR(D187)+16)&lt;YEAR(E187),0,IF((YEAR(D187)+16)&gt;YEAR(E187),1,(12-MONTH(E187)+1)/12))) + (Q187)*(IF((YEAR(D187)+16)&lt;YEAR(E187),0,IF((YEAR(D187)+16)&gt;YEAR(E187),1,(12-MONTH(E187)+1)/12))))-((P187)*(IF((YEAR(D187)+16)&lt;YEAR(E187),0,IF((YEAR(D187)+16)&gt;YEAR(E187),1,(12-MONTH(E187)+1)/12))) + (R187)*(IF((YEAR(D187)+16)&lt;YEAR(E187),0,IF((YEAR(D187)+16)&gt;YEAR(E187),1,(12-MONTH(E187)+1)/12))))-(IF(OR(N187="",N187&lt;=0),0,(O187/N187)*(IF(OR(N187="",N187&lt;=0),0,IF((YEAR(D187)+16)&lt;YEAR(E187),0,IF((YEAR(D187)+16)&gt;=YEAR(E187)+N187,0,IF((YEAR(D187)+16)=YEAR(E187),(12-MONTH(E187)+1)/12,1))))))))*TaxRate,0))-IF(16=0,O187,0))</f>
        <v/>
      </c>
      <c r="AJ187" s="29">
        <f>IF(A187="","",((K187)*(IF(M187="",L187,IFERROR(IF(INDEX(Variablen!$I:$AT, MATCH(M187, Variablen!$A:$A, 0), MATCH((YEAR(D187)+17), Variablen!$I$3:$AT$3, 0))="",L187,INDEX(Variablen!$I:$AT, MATCH(M187, Variablen!$A:$A, 0), MATCH((YEAR(D187)+17), Variablen!$I$3:$AT$3, 0))),L187)))*(IF((YEAR(D187)+17)&lt;YEAR(E187),0,IF((YEAR(D187)+17)&gt;YEAR(E187),1,(12-MONTH(E187)+1)/12))) + (Q187)*(IF((YEAR(D187)+17)&lt;YEAR(E187),0,IF((YEAR(D187)+17)&gt;YEAR(E187),1,(12-MONTH(E187)+1)/12))))-((P187)*(IF((YEAR(D187)+17)&lt;YEAR(E187),0,IF((YEAR(D187)+17)&gt;YEAR(E187),1,(12-MONTH(E187)+1)/12))) + (R187)*(IF((YEAR(D187)+17)&lt;YEAR(E187),0,IF((YEAR(D187)+17)&gt;YEAR(E187),1,(12-MONTH(E187)+1)/12))))-(IF((((K187)*(IF(M187="",L187,IFERROR(IF(INDEX(Variablen!$I:$AT, MATCH(M187, Variablen!$A:$A, 0), MATCH((YEAR(D187)+17), Variablen!$I$3:$AT$3, 0))="",L187,INDEX(Variablen!$I:$AT, MATCH(M187, Variablen!$A:$A, 0), MATCH((YEAR(D187)+17), Variablen!$I$3:$AT$3, 0))),L187)))*(IF((YEAR(D187)+17)&lt;YEAR(E187),0,IF((YEAR(D187)+17)&gt;YEAR(E187),1,(12-MONTH(E187)+1)/12))) + (Q187)*(IF((YEAR(D187)+17)&lt;YEAR(E187),0,IF((YEAR(D187)+17)&gt;YEAR(E187),1,(12-MONTH(E187)+1)/12))))-((P187)*(IF((YEAR(D187)+17)&lt;YEAR(E187),0,IF((YEAR(D187)+17)&gt;YEAR(E187),1,(12-MONTH(E187)+1)/12))) + (R187)*(IF((YEAR(D187)+17)&lt;YEAR(E187),0,IF((YEAR(D187)+17)&gt;YEAR(E187),1,(12-MONTH(E187)+1)/12))))-(IF(OR(N187="",N187&lt;=0),0,(O187/N187)*(IF(OR(N187="",N187&lt;=0),0,IF((YEAR(D187)+17)&lt;YEAR(E187),0,IF((YEAR(D187)+17)&gt;=YEAR(E187)+N187,0,IF((YEAR(D187)+17)=YEAR(E187),(12-MONTH(E187)+1)/12,1))))))))&gt;0,(((K187)*(IF(M187="",L187,IFERROR(IF(INDEX(Variablen!$I:$AT, MATCH(M187, Variablen!$A:$A, 0), MATCH((YEAR(D187)+17), Variablen!$I$3:$AT$3, 0))="",L187,INDEX(Variablen!$I:$AT, MATCH(M187, Variablen!$A:$A, 0), MATCH((YEAR(D187)+17), Variablen!$I$3:$AT$3, 0))),L187)))*(IF((YEAR(D187)+17)&lt;YEAR(E187),0,IF((YEAR(D187)+17)&gt;YEAR(E187),1,(12-MONTH(E187)+1)/12))) + (Q187)*(IF((YEAR(D187)+17)&lt;YEAR(E187),0,IF((YEAR(D187)+17)&gt;YEAR(E187),1,(12-MONTH(E187)+1)/12))))-((P187)*(IF((YEAR(D187)+17)&lt;YEAR(E187),0,IF((YEAR(D187)+17)&gt;YEAR(E187),1,(12-MONTH(E187)+1)/12))) + (R187)*(IF((YEAR(D187)+17)&lt;YEAR(E187),0,IF((YEAR(D187)+17)&gt;YEAR(E187),1,(12-MONTH(E187)+1)/12))))-(IF(OR(N187="",N187&lt;=0),0,(O187/N187)*(IF(OR(N187="",N187&lt;=0),0,IF((YEAR(D187)+17)&lt;YEAR(E187),0,IF((YEAR(D187)+17)&gt;=YEAR(E187)+N187,0,IF((YEAR(D187)+17)=YEAR(E187),(12-MONTH(E187)+1)/12,1))))))))*TaxRate,0))-IF(17=0,O187,0))</f>
        <v/>
      </c>
      <c r="AK187" s="29">
        <f>IF(A187="","",((K187)*(IF(M187="",L187,IFERROR(IF(INDEX(Variablen!$I:$AT, MATCH(M187, Variablen!$A:$A, 0), MATCH((YEAR(D187)+18), Variablen!$I$3:$AT$3, 0))="",L187,INDEX(Variablen!$I:$AT, MATCH(M187, Variablen!$A:$A, 0), MATCH((YEAR(D187)+18), Variablen!$I$3:$AT$3, 0))),L187)))*(IF((YEAR(D187)+18)&lt;YEAR(E187),0,IF((YEAR(D187)+18)&gt;YEAR(E187),1,(12-MONTH(E187)+1)/12))) + (Q187)*(IF((YEAR(D187)+18)&lt;YEAR(E187),0,IF((YEAR(D187)+18)&gt;YEAR(E187),1,(12-MONTH(E187)+1)/12))))-((P187)*(IF((YEAR(D187)+18)&lt;YEAR(E187),0,IF((YEAR(D187)+18)&gt;YEAR(E187),1,(12-MONTH(E187)+1)/12))) + (R187)*(IF((YEAR(D187)+18)&lt;YEAR(E187),0,IF((YEAR(D187)+18)&gt;YEAR(E187),1,(12-MONTH(E187)+1)/12))))-(IF((((K187)*(IF(M187="",L187,IFERROR(IF(INDEX(Variablen!$I:$AT, MATCH(M187, Variablen!$A:$A, 0), MATCH((YEAR(D187)+18), Variablen!$I$3:$AT$3, 0))="",L187,INDEX(Variablen!$I:$AT, MATCH(M187, Variablen!$A:$A, 0), MATCH((YEAR(D187)+18), Variablen!$I$3:$AT$3, 0))),L187)))*(IF((YEAR(D187)+18)&lt;YEAR(E187),0,IF((YEAR(D187)+18)&gt;YEAR(E187),1,(12-MONTH(E187)+1)/12))) + (Q187)*(IF((YEAR(D187)+18)&lt;YEAR(E187),0,IF((YEAR(D187)+18)&gt;YEAR(E187),1,(12-MONTH(E187)+1)/12))))-((P187)*(IF((YEAR(D187)+18)&lt;YEAR(E187),0,IF((YEAR(D187)+18)&gt;YEAR(E187),1,(12-MONTH(E187)+1)/12))) + (R187)*(IF((YEAR(D187)+18)&lt;YEAR(E187),0,IF((YEAR(D187)+18)&gt;YEAR(E187),1,(12-MONTH(E187)+1)/12))))-(IF(OR(N187="",N187&lt;=0),0,(O187/N187)*(IF(OR(N187="",N187&lt;=0),0,IF((YEAR(D187)+18)&lt;YEAR(E187),0,IF((YEAR(D187)+18)&gt;=YEAR(E187)+N187,0,IF((YEAR(D187)+18)=YEAR(E187),(12-MONTH(E187)+1)/12,1))))))))&gt;0,(((K187)*(IF(M187="",L187,IFERROR(IF(INDEX(Variablen!$I:$AT, MATCH(M187, Variablen!$A:$A, 0), MATCH((YEAR(D187)+18), Variablen!$I$3:$AT$3, 0))="",L187,INDEX(Variablen!$I:$AT, MATCH(M187, Variablen!$A:$A, 0), MATCH((YEAR(D187)+18), Variablen!$I$3:$AT$3, 0))),L187)))*(IF((YEAR(D187)+18)&lt;YEAR(E187),0,IF((YEAR(D187)+18)&gt;YEAR(E187),1,(12-MONTH(E187)+1)/12))) + (Q187)*(IF((YEAR(D187)+18)&lt;YEAR(E187),0,IF((YEAR(D187)+18)&gt;YEAR(E187),1,(12-MONTH(E187)+1)/12))))-((P187)*(IF((YEAR(D187)+18)&lt;YEAR(E187),0,IF((YEAR(D187)+18)&gt;YEAR(E187),1,(12-MONTH(E187)+1)/12))) + (R187)*(IF((YEAR(D187)+18)&lt;YEAR(E187),0,IF((YEAR(D187)+18)&gt;YEAR(E187),1,(12-MONTH(E187)+1)/12))))-(IF(OR(N187="",N187&lt;=0),0,(O187/N187)*(IF(OR(N187="",N187&lt;=0),0,IF((YEAR(D187)+18)&lt;YEAR(E187),0,IF((YEAR(D187)+18)&gt;=YEAR(E187)+N187,0,IF((YEAR(D187)+18)=YEAR(E187),(12-MONTH(E187)+1)/12,1))))))))*TaxRate,0))-IF(18=0,O187,0))</f>
        <v/>
      </c>
      <c r="AL187" s="29">
        <f>IF(A187="","",((K187)*(IF(M187="",L187,IFERROR(IF(INDEX(Variablen!$I:$AT, MATCH(M187, Variablen!$A:$A, 0), MATCH((YEAR(D187)+19), Variablen!$I$3:$AT$3, 0))="",L187,INDEX(Variablen!$I:$AT, MATCH(M187, Variablen!$A:$A, 0), MATCH((YEAR(D187)+19), Variablen!$I$3:$AT$3, 0))),L187)))*(IF((YEAR(D187)+19)&lt;YEAR(E187),0,IF((YEAR(D187)+19)&gt;YEAR(E187),1,(12-MONTH(E187)+1)/12))) + (Q187)*(IF((YEAR(D187)+19)&lt;YEAR(E187),0,IF((YEAR(D187)+19)&gt;YEAR(E187),1,(12-MONTH(E187)+1)/12))))-((P187)*(IF((YEAR(D187)+19)&lt;YEAR(E187),0,IF((YEAR(D187)+19)&gt;YEAR(E187),1,(12-MONTH(E187)+1)/12))) + (R187)*(IF((YEAR(D187)+19)&lt;YEAR(E187),0,IF((YEAR(D187)+19)&gt;YEAR(E187),1,(12-MONTH(E187)+1)/12))))-(IF((((K187)*(IF(M187="",L187,IFERROR(IF(INDEX(Variablen!$I:$AT, MATCH(M187, Variablen!$A:$A, 0), MATCH((YEAR(D187)+19), Variablen!$I$3:$AT$3, 0))="",L187,INDEX(Variablen!$I:$AT, MATCH(M187, Variablen!$A:$A, 0), MATCH((YEAR(D187)+19), Variablen!$I$3:$AT$3, 0))),L187)))*(IF((YEAR(D187)+19)&lt;YEAR(E187),0,IF((YEAR(D187)+19)&gt;YEAR(E187),1,(12-MONTH(E187)+1)/12))) + (Q187)*(IF((YEAR(D187)+19)&lt;YEAR(E187),0,IF((YEAR(D187)+19)&gt;YEAR(E187),1,(12-MONTH(E187)+1)/12))))-((P187)*(IF((YEAR(D187)+19)&lt;YEAR(E187),0,IF((YEAR(D187)+19)&gt;YEAR(E187),1,(12-MONTH(E187)+1)/12))) + (R187)*(IF((YEAR(D187)+19)&lt;YEAR(E187),0,IF((YEAR(D187)+19)&gt;YEAR(E187),1,(12-MONTH(E187)+1)/12))))-(IF(OR(N187="",N187&lt;=0),0,(O187/N187)*(IF(OR(N187="",N187&lt;=0),0,IF((YEAR(D187)+19)&lt;YEAR(E187),0,IF((YEAR(D187)+19)&gt;=YEAR(E187)+N187,0,IF((YEAR(D187)+19)=YEAR(E187),(12-MONTH(E187)+1)/12,1))))))))&gt;0,(((K187)*(IF(M187="",L187,IFERROR(IF(INDEX(Variablen!$I:$AT, MATCH(M187, Variablen!$A:$A, 0), MATCH((YEAR(D187)+19), Variablen!$I$3:$AT$3, 0))="",L187,INDEX(Variablen!$I:$AT, MATCH(M187, Variablen!$A:$A, 0), MATCH((YEAR(D187)+19), Variablen!$I$3:$AT$3, 0))),L187)))*(IF((YEAR(D187)+19)&lt;YEAR(E187),0,IF((YEAR(D187)+19)&gt;YEAR(E187),1,(12-MONTH(E187)+1)/12))) + (Q187)*(IF((YEAR(D187)+19)&lt;YEAR(E187),0,IF((YEAR(D187)+19)&gt;YEAR(E187),1,(12-MONTH(E187)+1)/12))))-((P187)*(IF((YEAR(D187)+19)&lt;YEAR(E187),0,IF((YEAR(D187)+19)&gt;YEAR(E187),1,(12-MONTH(E187)+1)/12))) + (R187)*(IF((YEAR(D187)+19)&lt;YEAR(E187),0,IF((YEAR(D187)+19)&gt;YEAR(E187),1,(12-MONTH(E187)+1)/12))))-(IF(OR(N187="",N187&lt;=0),0,(O187/N187)*(IF(OR(N187="",N187&lt;=0),0,IF((YEAR(D187)+19)&lt;YEAR(E187),0,IF((YEAR(D187)+19)&gt;=YEAR(E187)+N187,0,IF((YEAR(D187)+19)=YEAR(E187),(12-MONTH(E187)+1)/12,1))))))))*TaxRate,0))-IF(19=0,O187,0))</f>
        <v/>
      </c>
      <c r="AM187" s="29">
        <f>IF(A187="","",((K187)*(IF(M187="",L187,IFERROR(IF(INDEX(Variablen!$I:$AT, MATCH(M187, Variablen!$A:$A, 0), MATCH((YEAR(D187)+20), Variablen!$I$3:$AT$3, 0))="",L187,INDEX(Variablen!$I:$AT, MATCH(M187, Variablen!$A:$A, 0), MATCH((YEAR(D187)+20), Variablen!$I$3:$AT$3, 0))),L187)))*(IF((YEAR(D187)+20)&lt;YEAR(E187),0,IF((YEAR(D187)+20)&gt;YEAR(E187),1,(12-MONTH(E187)+1)/12))) + (Q187)*(IF((YEAR(D187)+20)&lt;YEAR(E187),0,IF((YEAR(D187)+20)&gt;YEAR(E187),1,(12-MONTH(E187)+1)/12))))-((P187)*(IF((YEAR(D187)+20)&lt;YEAR(E187),0,IF((YEAR(D187)+20)&gt;YEAR(E187),1,(12-MONTH(E187)+1)/12))) + (R187)*(IF((YEAR(D187)+20)&lt;YEAR(E187),0,IF((YEAR(D187)+20)&gt;YEAR(E187),1,(12-MONTH(E187)+1)/12))))-(IF((((K187)*(IF(M187="",L187,IFERROR(IF(INDEX(Variablen!$I:$AT, MATCH(M187, Variablen!$A:$A, 0), MATCH((YEAR(D187)+20), Variablen!$I$3:$AT$3, 0))="",L187,INDEX(Variablen!$I:$AT, MATCH(M187, Variablen!$A:$A, 0), MATCH((YEAR(D187)+20), Variablen!$I$3:$AT$3, 0))),L187)))*(IF((YEAR(D187)+20)&lt;YEAR(E187),0,IF((YEAR(D187)+20)&gt;YEAR(E187),1,(12-MONTH(E187)+1)/12))) + (Q187)*(IF((YEAR(D187)+20)&lt;YEAR(E187),0,IF((YEAR(D187)+20)&gt;YEAR(E187),1,(12-MONTH(E187)+1)/12))))-((P187)*(IF((YEAR(D187)+20)&lt;YEAR(E187),0,IF((YEAR(D187)+20)&gt;YEAR(E187),1,(12-MONTH(E187)+1)/12))) + (R187)*(IF((YEAR(D187)+20)&lt;YEAR(E187),0,IF((YEAR(D187)+20)&gt;YEAR(E187),1,(12-MONTH(E187)+1)/12))))-(IF(OR(N187="",N187&lt;=0),0,(O187/N187)*(IF(OR(N187="",N187&lt;=0),0,IF((YEAR(D187)+20)&lt;YEAR(E187),0,IF((YEAR(D187)+20)&gt;=YEAR(E187)+N187,0,IF((YEAR(D187)+20)=YEAR(E187),(12-MONTH(E187)+1)/12,1))))))))&gt;0,(((K187)*(IF(M187="",L187,IFERROR(IF(INDEX(Variablen!$I:$AT, MATCH(M187, Variablen!$A:$A, 0), MATCH((YEAR(D187)+20), Variablen!$I$3:$AT$3, 0))="",L187,INDEX(Variablen!$I:$AT, MATCH(M187, Variablen!$A:$A, 0), MATCH((YEAR(D187)+20), Variablen!$I$3:$AT$3, 0))),L187)))*(IF((YEAR(D187)+20)&lt;YEAR(E187),0,IF((YEAR(D187)+20)&gt;YEAR(E187),1,(12-MONTH(E187)+1)/12))) + (Q187)*(IF((YEAR(D187)+20)&lt;YEAR(E187),0,IF((YEAR(D187)+20)&gt;YEAR(E187),1,(12-MONTH(E187)+1)/12))))-((P187)*(IF((YEAR(D187)+20)&lt;YEAR(E187),0,IF((YEAR(D187)+20)&gt;YEAR(E187),1,(12-MONTH(E187)+1)/12))) + (R187)*(IF((YEAR(D187)+20)&lt;YEAR(E187),0,IF((YEAR(D187)+20)&gt;YEAR(E187),1,(12-MONTH(E187)+1)/12))))-(IF(OR(N187="",N187&lt;=0),0,(O187/N187)*(IF(OR(N187="",N187&lt;=0),0,IF((YEAR(D187)+20)&lt;YEAR(E187),0,IF((YEAR(D187)+20)&gt;=YEAR(E187)+N187,0,IF((YEAR(D187)+20)=YEAR(E187),(12-MONTH(E187)+1)/12,1))))))))*TaxRate,0))-IF(20=0,O187,0))</f>
        <v/>
      </c>
      <c r="AN187" s="29">
        <f>IF(A187="","",S187)</f>
        <v/>
      </c>
      <c r="AO187" s="29">
        <f>IF(A187="","",AN187+T187)</f>
        <v/>
      </c>
      <c r="AP187" s="29">
        <f>IF(A187="","",AO187+U187)</f>
        <v/>
      </c>
      <c r="AQ187" s="29">
        <f>IF(A187="","",AP187+V187)</f>
        <v/>
      </c>
      <c r="AR187" s="29">
        <f>IF(A187="","",AQ187+W187)</f>
        <v/>
      </c>
      <c r="AS187" s="29">
        <f>IF(A187="","",AR187+X187)</f>
        <v/>
      </c>
      <c r="AT187" s="29">
        <f>IF(A187="","",AS187+Y187)</f>
        <v/>
      </c>
      <c r="AU187" s="29">
        <f>IF(A187="","",AT187+Z187)</f>
        <v/>
      </c>
      <c r="AV187" s="29">
        <f>IF(A187="","",AU187+AA187)</f>
        <v/>
      </c>
      <c r="AW187" s="29">
        <f>IF(A187="","",AV187+AB187)</f>
        <v/>
      </c>
      <c r="AX187" s="29">
        <f>IF(A187="","",AW187+AC187)</f>
        <v/>
      </c>
      <c r="AY187" s="29">
        <f>IF(A187="","",AX187+AD187)</f>
        <v/>
      </c>
      <c r="AZ187" s="29">
        <f>IF(A187="","",AY187+AE187)</f>
        <v/>
      </c>
      <c r="BA187" s="29">
        <f>IF(A187="","",AZ187+AF187)</f>
        <v/>
      </c>
      <c r="BB187" s="29">
        <f>IF(A187="","",BA187+AG187)</f>
        <v/>
      </c>
      <c r="BC187" s="29">
        <f>IF(A187="","",BB187+AH187)</f>
        <v/>
      </c>
      <c r="BD187" s="29">
        <f>IF(A187="","",BC187+AI187)</f>
        <v/>
      </c>
      <c r="BE187" s="29">
        <f>IF(A187="","",BD187+AJ187)</f>
        <v/>
      </c>
      <c r="BF187" s="29">
        <f>IF(A187="","",BE187+AK187)</f>
        <v/>
      </c>
      <c r="BG187" s="29">
        <f>IF(A187="","",BF187+AL187)</f>
        <v/>
      </c>
      <c r="BH187" s="29">
        <f>IF(A187="","",BG187+AM187)</f>
        <v/>
      </c>
      <c r="BI187" s="36">
        <f>IF(A187="","",(K187)*(IF((YEAR(D187)+0)&lt;YEAR(E187),0,IF((YEAR(D187)+0)&gt;YEAR(E187),1,(12-MONTH(E187)+1)/12)))*(1/(1+DiscountRate)^0))</f>
        <v/>
      </c>
      <c r="BJ187" s="36">
        <f>IF(A187="","",(K187)*(IF((YEAR(D187)+1)&lt;YEAR(E187),0,IF((YEAR(D187)+1)&gt;YEAR(E187),1,(12-MONTH(E187)+1)/12)))*(1/(1+DiscountRate)^1))</f>
        <v/>
      </c>
      <c r="BK187" s="36">
        <f>IF(A187="","",(K187)*(IF((YEAR(D187)+2)&lt;YEAR(E187),0,IF((YEAR(D187)+2)&gt;YEAR(E187),1,(12-MONTH(E187)+1)/12)))*(1/(1+DiscountRate)^2))</f>
        <v/>
      </c>
      <c r="BL187" s="36">
        <f>IF(A187="","",(K187)*(IF((YEAR(D187)+3)&lt;YEAR(E187),0,IF((YEAR(D187)+3)&gt;YEAR(E187),1,(12-MONTH(E187)+1)/12)))*(1/(1+DiscountRate)^3))</f>
        <v/>
      </c>
      <c r="BM187" s="36">
        <f>IF(A187="","",(K187)*(IF((YEAR(D187)+4)&lt;YEAR(E187),0,IF((YEAR(D187)+4)&gt;YEAR(E187),1,(12-MONTH(E187)+1)/12)))*(1/(1+DiscountRate)^4))</f>
        <v/>
      </c>
      <c r="BN187" s="36">
        <f>IF(A187="","",(K187)*(IF((YEAR(D187)+5)&lt;YEAR(E187),0,IF((YEAR(D187)+5)&gt;YEAR(E187),1,(12-MONTH(E187)+1)/12)))*(1/(1+DiscountRate)^5))</f>
        <v/>
      </c>
      <c r="BO187" s="36">
        <f>IF(A187="","",(K187)*(IF((YEAR(D187)+6)&lt;YEAR(E187),0,IF((YEAR(D187)+6)&gt;YEAR(E187),1,(12-MONTH(E187)+1)/12)))*(1/(1+DiscountRate)^6))</f>
        <v/>
      </c>
      <c r="BP187" s="36">
        <f>IF(A187="","",(K187)*(IF((YEAR(D187)+7)&lt;YEAR(E187),0,IF((YEAR(D187)+7)&gt;YEAR(E187),1,(12-MONTH(E187)+1)/12)))*(1/(1+DiscountRate)^7))</f>
        <v/>
      </c>
      <c r="BQ187" s="36">
        <f>IF(A187="","",(K187)*(IF((YEAR(D187)+8)&lt;YEAR(E187),0,IF((YEAR(D187)+8)&gt;YEAR(E187),1,(12-MONTH(E187)+1)/12)))*(1/(1+DiscountRate)^8))</f>
        <v/>
      </c>
      <c r="BR187" s="36">
        <f>IF(A187="","",(K187)*(IF((YEAR(D187)+9)&lt;YEAR(E187),0,IF((YEAR(D187)+9)&gt;YEAR(E187),1,(12-MONTH(E187)+1)/12)))*(1/(1+DiscountRate)^9))</f>
        <v/>
      </c>
      <c r="BS187" s="36">
        <f>IF(A187="","",(K187)*(IF((YEAR(D187)+10)&lt;YEAR(E187),0,IF((YEAR(D187)+10)&gt;YEAR(E187),1,(12-MONTH(E187)+1)/12)))*(1/(1+DiscountRate)^10))</f>
        <v/>
      </c>
      <c r="BT187" s="36">
        <f>IF(A187="","",(K187)*(IF((YEAR(D187)+11)&lt;YEAR(E187),0,IF((YEAR(D187)+11)&gt;YEAR(E187),1,(12-MONTH(E187)+1)/12)))*(1/(1+DiscountRate)^11))</f>
        <v/>
      </c>
      <c r="BU187" s="36">
        <f>IF(A187="","",(K187)*(IF((YEAR(D187)+12)&lt;YEAR(E187),0,IF((YEAR(D187)+12)&gt;YEAR(E187),1,(12-MONTH(E187)+1)/12)))*(1/(1+DiscountRate)^12))</f>
        <v/>
      </c>
      <c r="BV187" s="36">
        <f>IF(A187="","",(K187)*(IF((YEAR(D187)+13)&lt;YEAR(E187),0,IF((YEAR(D187)+13)&gt;YEAR(E187),1,(12-MONTH(E187)+1)/12)))*(1/(1+DiscountRate)^13))</f>
        <v/>
      </c>
      <c r="BW187" s="36">
        <f>IF(A187="","",(K187)*(IF((YEAR(D187)+14)&lt;YEAR(E187),0,IF((YEAR(D187)+14)&gt;YEAR(E187),1,(12-MONTH(E187)+1)/12)))*(1/(1+DiscountRate)^14))</f>
        <v/>
      </c>
      <c r="BX187" s="36">
        <f>IF(A187="","",(K187)*(IF((YEAR(D187)+15)&lt;YEAR(E187),0,IF((YEAR(D187)+15)&gt;YEAR(E187),1,(12-MONTH(E187)+1)/12)))*(1/(1+DiscountRate)^15))</f>
        <v/>
      </c>
      <c r="BY187" s="36">
        <f>IF(A187="","",(K187)*(IF((YEAR(D187)+16)&lt;YEAR(E187),0,IF((YEAR(D187)+16)&gt;YEAR(E187),1,(12-MONTH(E187)+1)/12)))*(1/(1+DiscountRate)^16))</f>
        <v/>
      </c>
      <c r="BZ187" s="36">
        <f>IF(A187="","",(K187)*(IF((YEAR(D187)+17)&lt;YEAR(E187),0,IF((YEAR(D187)+17)&gt;YEAR(E187),1,(12-MONTH(E187)+1)/12)))*(1/(1+DiscountRate)^17))</f>
        <v/>
      </c>
      <c r="CA187" s="36">
        <f>IF(A187="","",(K187)*(IF((YEAR(D187)+18)&lt;YEAR(E187),0,IF((YEAR(D187)+18)&gt;YEAR(E187),1,(12-MONTH(E187)+1)/12)))*(1/(1+DiscountRate)^18))</f>
        <v/>
      </c>
      <c r="CB187" s="36">
        <f>IF(A187="","",(K187)*(IF((YEAR(D187)+19)&lt;YEAR(E187),0,IF((YEAR(D187)+19)&gt;YEAR(E187),1,(12-MONTH(E187)+1)/12)))*(1/(1+DiscountRate)^19))</f>
        <v/>
      </c>
      <c r="CC187" s="36">
        <f>IF(A187="","",(K187)*(IF((YEAR(D187)+20)&lt;YEAR(E187),0,IF((YEAR(D187)+20)&gt;YEAR(E187),1,(12-MONTH(E187)+1)/12)))*(1/(1+DiscountRate)^20))</f>
        <v/>
      </c>
      <c r="CD187" s="29">
        <f>IF(A187="","",S187/(1+DiscountRate)^0+T187/(1+DiscountRate)^1+U187/(1+DiscountRate)^2+V187/(1+DiscountRate)^3+W187/(1+DiscountRate)^4+X187/(1+DiscountRate)^5+Y187/(1+DiscountRate)^6+Z187/(1+DiscountRate)^7+AA187/(1+DiscountRate)^8+AB187/(1+DiscountRate)^9+AC187/(1+DiscountRate)^10+AD187/(1+DiscountRate)^11+AE187/(1+DiscountRate)^12+AF187/(1+DiscountRate)^13+AG187/(1+DiscountRate)^14+AH187/(1+DiscountRate)^15+AI187/(1+DiscountRate)^16+AJ187/(1+DiscountRate)^17+AK187/(1+DiscountRate)^18+AL187/(1+DiscountRate)^19+AM187/(1+DiscountRate)^20)</f>
        <v/>
      </c>
      <c r="CE187" s="37">
        <f>IF(A187="","",IFERROR(IRR(OFFSET(S187,0,0,1,MIN(HorizonYears,20)+1)),"n/a"))</f>
        <v/>
      </c>
      <c r="CF187" s="28">
        <f>IF(A187="","",IFERROR(MATCH(TRUE,OFFSET(AN187,0,0,1,MIN(HorizonYears,20)+1)&gt;=0,0)-1,"n/a"))</f>
        <v/>
      </c>
      <c r="CG187" s="36">
        <f>IF(A187="","",SUM(OFFSET(BI187,0,0,1,MIN(HorizonYears,20)+1)))</f>
        <v/>
      </c>
      <c r="CH187" s="36">
        <f>IF(A187="","",IFERROR(-CD187/CG187,"n/a"))</f>
        <v/>
      </c>
    </row>
    <row r="188">
      <c r="A188" s="6">
        <f>Actions!A186</f>
        <v/>
      </c>
      <c r="B188" s="6">
        <f>Actions!B186</f>
        <v/>
      </c>
      <c r="C188" s="6">
        <f>Actions!D186</f>
        <v/>
      </c>
      <c r="D188" s="35">
        <f>Actions!E186</f>
        <v/>
      </c>
      <c r="E188" s="35">
        <f>Actions!F186</f>
        <v/>
      </c>
      <c r="F188" s="6">
        <f>Actions!G186</f>
        <v/>
      </c>
      <c r="G188" s="6">
        <f>Actions!H186</f>
        <v/>
      </c>
      <c r="H188" s="29">
        <f>Actions!I186</f>
        <v/>
      </c>
      <c r="I188" s="6">
        <f>Actions!J186</f>
        <v/>
      </c>
      <c r="J188" s="16">
        <f>Actions!K186</f>
        <v/>
      </c>
      <c r="K188" s="16">
        <f>IF(A188="","",IF(I188="%",H188*J188,J188))</f>
        <v/>
      </c>
      <c r="L188" s="16">
        <f>Actions!L186</f>
        <v/>
      </c>
      <c r="M188" s="6">
        <f>Actions!M186</f>
        <v/>
      </c>
      <c r="N188" s="28">
        <f>Actions!N186</f>
        <v/>
      </c>
      <c r="O188" s="29">
        <f>Actions!T186</f>
        <v/>
      </c>
      <c r="P188" s="29">
        <f>Actions!Y186</f>
        <v/>
      </c>
      <c r="Q188" s="29">
        <f>Actions!Z186</f>
        <v/>
      </c>
      <c r="R188" s="29">
        <f>Actions!AA186</f>
        <v/>
      </c>
      <c r="S188" s="29">
        <f>IF(A188="","",((K188)*(IF(M188="",L188,IFERROR(IF(INDEX(Variablen!$I:$AT, MATCH(M188, Variablen!$A:$A, 0), MATCH((YEAR(D188)+0), Variablen!$I$3:$AT$3, 0))="",L188,INDEX(Variablen!$I:$AT, MATCH(M188, Variablen!$A:$A, 0), MATCH((YEAR(D188)+0), Variablen!$I$3:$AT$3, 0))),L188)))*(IF((YEAR(D188)+0)&lt;YEAR(E188),0,IF((YEAR(D188)+0)&gt;YEAR(E188),1,(12-MONTH(E188)+1)/12))) + (Q188)*(IF((YEAR(D188)+0)&lt;YEAR(E188),0,IF((YEAR(D188)+0)&gt;YEAR(E188),1,(12-MONTH(E188)+1)/12))))-((P188)*(IF((YEAR(D188)+0)&lt;YEAR(E188),0,IF((YEAR(D188)+0)&gt;YEAR(E188),1,(12-MONTH(E188)+1)/12))) + (R188)*(IF((YEAR(D188)+0)&lt;YEAR(E188),0,IF((YEAR(D188)+0)&gt;YEAR(E188),1,(12-MONTH(E188)+1)/12))))-(IF((((K188)*(IF(M188="",L188,IFERROR(IF(INDEX(Variablen!$I:$AT, MATCH(M188, Variablen!$A:$A, 0), MATCH((YEAR(D188)+0), Variablen!$I$3:$AT$3, 0))="",L188,INDEX(Variablen!$I:$AT, MATCH(M188, Variablen!$A:$A, 0), MATCH((YEAR(D188)+0), Variablen!$I$3:$AT$3, 0))),L188)))*(IF((YEAR(D188)+0)&lt;YEAR(E188),0,IF((YEAR(D188)+0)&gt;YEAR(E188),1,(12-MONTH(E188)+1)/12))) + (Q188)*(IF((YEAR(D188)+0)&lt;YEAR(E188),0,IF((YEAR(D188)+0)&gt;YEAR(E188),1,(12-MONTH(E188)+1)/12))))-((P188)*(IF((YEAR(D188)+0)&lt;YEAR(E188),0,IF((YEAR(D188)+0)&gt;YEAR(E188),1,(12-MONTH(E188)+1)/12))) + (R188)*(IF((YEAR(D188)+0)&lt;YEAR(E188),0,IF((YEAR(D188)+0)&gt;YEAR(E188),1,(12-MONTH(E188)+1)/12))))-(IF(OR(N188="",N188&lt;=0),0,(O188/N188)*(IF(OR(N188="",N188&lt;=0),0,IF((YEAR(D188)+0)&lt;YEAR(E188),0,IF((YEAR(D188)+0)&gt;=YEAR(E188)+N188,0,IF((YEAR(D188)+0)=YEAR(E188),(12-MONTH(E188)+1)/12,1))))))))&gt;0,(((K188)*(IF(M188="",L188,IFERROR(IF(INDEX(Variablen!$I:$AT, MATCH(M188, Variablen!$A:$A, 0), MATCH((YEAR(D188)+0), Variablen!$I$3:$AT$3, 0))="",L188,INDEX(Variablen!$I:$AT, MATCH(M188, Variablen!$A:$A, 0), MATCH((YEAR(D188)+0), Variablen!$I$3:$AT$3, 0))),L188)))*(IF((YEAR(D188)+0)&lt;YEAR(E188),0,IF((YEAR(D188)+0)&gt;YEAR(E188),1,(12-MONTH(E188)+1)/12))) + (Q188)*(IF((YEAR(D188)+0)&lt;YEAR(E188),0,IF((YEAR(D188)+0)&gt;YEAR(E188),1,(12-MONTH(E188)+1)/12))))-((P188)*(IF((YEAR(D188)+0)&lt;YEAR(E188),0,IF((YEAR(D188)+0)&gt;YEAR(E188),1,(12-MONTH(E188)+1)/12))) + (R188)*(IF((YEAR(D188)+0)&lt;YEAR(E188),0,IF((YEAR(D188)+0)&gt;YEAR(E188),1,(12-MONTH(E188)+1)/12))))-(IF(OR(N188="",N188&lt;=0),0,(O188/N188)*(IF(OR(N188="",N188&lt;=0),0,IF((YEAR(D188)+0)&lt;YEAR(E188),0,IF((YEAR(D188)+0)&gt;=YEAR(E188)+N188,0,IF((YEAR(D188)+0)=YEAR(E188),(12-MONTH(E188)+1)/12,1))))))))*TaxRate,0))-IF(0=0,O188,0))</f>
        <v/>
      </c>
      <c r="T188" s="29">
        <f>IF(A188="","",((K188)*(IF(M188="",L188,IFERROR(IF(INDEX(Variablen!$I:$AT, MATCH(M188, Variablen!$A:$A, 0), MATCH((YEAR(D188)+1), Variablen!$I$3:$AT$3, 0))="",L188,INDEX(Variablen!$I:$AT, MATCH(M188, Variablen!$A:$A, 0), MATCH((YEAR(D188)+1), Variablen!$I$3:$AT$3, 0))),L188)))*(IF((YEAR(D188)+1)&lt;YEAR(E188),0,IF((YEAR(D188)+1)&gt;YEAR(E188),1,(12-MONTH(E188)+1)/12))) + (Q188)*(IF((YEAR(D188)+1)&lt;YEAR(E188),0,IF((YEAR(D188)+1)&gt;YEAR(E188),1,(12-MONTH(E188)+1)/12))))-((P188)*(IF((YEAR(D188)+1)&lt;YEAR(E188),0,IF((YEAR(D188)+1)&gt;YEAR(E188),1,(12-MONTH(E188)+1)/12))) + (R188)*(IF((YEAR(D188)+1)&lt;YEAR(E188),0,IF((YEAR(D188)+1)&gt;YEAR(E188),1,(12-MONTH(E188)+1)/12))))-(IF((((K188)*(IF(M188="",L188,IFERROR(IF(INDEX(Variablen!$I:$AT, MATCH(M188, Variablen!$A:$A, 0), MATCH((YEAR(D188)+1), Variablen!$I$3:$AT$3, 0))="",L188,INDEX(Variablen!$I:$AT, MATCH(M188, Variablen!$A:$A, 0), MATCH((YEAR(D188)+1), Variablen!$I$3:$AT$3, 0))),L188)))*(IF((YEAR(D188)+1)&lt;YEAR(E188),0,IF((YEAR(D188)+1)&gt;YEAR(E188),1,(12-MONTH(E188)+1)/12))) + (Q188)*(IF((YEAR(D188)+1)&lt;YEAR(E188),0,IF((YEAR(D188)+1)&gt;YEAR(E188),1,(12-MONTH(E188)+1)/12))))-((P188)*(IF((YEAR(D188)+1)&lt;YEAR(E188),0,IF((YEAR(D188)+1)&gt;YEAR(E188),1,(12-MONTH(E188)+1)/12))) + (R188)*(IF((YEAR(D188)+1)&lt;YEAR(E188),0,IF((YEAR(D188)+1)&gt;YEAR(E188),1,(12-MONTH(E188)+1)/12))))-(IF(OR(N188="",N188&lt;=0),0,(O188/N188)*(IF(OR(N188="",N188&lt;=0),0,IF((YEAR(D188)+1)&lt;YEAR(E188),0,IF((YEAR(D188)+1)&gt;=YEAR(E188)+N188,0,IF((YEAR(D188)+1)=YEAR(E188),(12-MONTH(E188)+1)/12,1))))))))&gt;0,(((K188)*(IF(M188="",L188,IFERROR(IF(INDEX(Variablen!$I:$AT, MATCH(M188, Variablen!$A:$A, 0), MATCH((YEAR(D188)+1), Variablen!$I$3:$AT$3, 0))="",L188,INDEX(Variablen!$I:$AT, MATCH(M188, Variablen!$A:$A, 0), MATCH((YEAR(D188)+1), Variablen!$I$3:$AT$3, 0))),L188)))*(IF((YEAR(D188)+1)&lt;YEAR(E188),0,IF((YEAR(D188)+1)&gt;YEAR(E188),1,(12-MONTH(E188)+1)/12))) + (Q188)*(IF((YEAR(D188)+1)&lt;YEAR(E188),0,IF((YEAR(D188)+1)&gt;YEAR(E188),1,(12-MONTH(E188)+1)/12))))-((P188)*(IF((YEAR(D188)+1)&lt;YEAR(E188),0,IF((YEAR(D188)+1)&gt;YEAR(E188),1,(12-MONTH(E188)+1)/12))) + (R188)*(IF((YEAR(D188)+1)&lt;YEAR(E188),0,IF((YEAR(D188)+1)&gt;YEAR(E188),1,(12-MONTH(E188)+1)/12))))-(IF(OR(N188="",N188&lt;=0),0,(O188/N188)*(IF(OR(N188="",N188&lt;=0),0,IF((YEAR(D188)+1)&lt;YEAR(E188),0,IF((YEAR(D188)+1)&gt;=YEAR(E188)+N188,0,IF((YEAR(D188)+1)=YEAR(E188),(12-MONTH(E188)+1)/12,1))))))))*TaxRate,0))-IF(1=0,O188,0))</f>
        <v/>
      </c>
      <c r="U188" s="29">
        <f>IF(A188="","",((K188)*(IF(M188="",L188,IFERROR(IF(INDEX(Variablen!$I:$AT, MATCH(M188, Variablen!$A:$A, 0), MATCH((YEAR(D188)+2), Variablen!$I$3:$AT$3, 0))="",L188,INDEX(Variablen!$I:$AT, MATCH(M188, Variablen!$A:$A, 0), MATCH((YEAR(D188)+2), Variablen!$I$3:$AT$3, 0))),L188)))*(IF((YEAR(D188)+2)&lt;YEAR(E188),0,IF((YEAR(D188)+2)&gt;YEAR(E188),1,(12-MONTH(E188)+1)/12))) + (Q188)*(IF((YEAR(D188)+2)&lt;YEAR(E188),0,IF((YEAR(D188)+2)&gt;YEAR(E188),1,(12-MONTH(E188)+1)/12))))-((P188)*(IF((YEAR(D188)+2)&lt;YEAR(E188),0,IF((YEAR(D188)+2)&gt;YEAR(E188),1,(12-MONTH(E188)+1)/12))) + (R188)*(IF((YEAR(D188)+2)&lt;YEAR(E188),0,IF((YEAR(D188)+2)&gt;YEAR(E188),1,(12-MONTH(E188)+1)/12))))-(IF((((K188)*(IF(M188="",L188,IFERROR(IF(INDEX(Variablen!$I:$AT, MATCH(M188, Variablen!$A:$A, 0), MATCH((YEAR(D188)+2), Variablen!$I$3:$AT$3, 0))="",L188,INDEX(Variablen!$I:$AT, MATCH(M188, Variablen!$A:$A, 0), MATCH((YEAR(D188)+2), Variablen!$I$3:$AT$3, 0))),L188)))*(IF((YEAR(D188)+2)&lt;YEAR(E188),0,IF((YEAR(D188)+2)&gt;YEAR(E188),1,(12-MONTH(E188)+1)/12))) + (Q188)*(IF((YEAR(D188)+2)&lt;YEAR(E188),0,IF((YEAR(D188)+2)&gt;YEAR(E188),1,(12-MONTH(E188)+1)/12))))-((P188)*(IF((YEAR(D188)+2)&lt;YEAR(E188),0,IF((YEAR(D188)+2)&gt;YEAR(E188),1,(12-MONTH(E188)+1)/12))) + (R188)*(IF((YEAR(D188)+2)&lt;YEAR(E188),0,IF((YEAR(D188)+2)&gt;YEAR(E188),1,(12-MONTH(E188)+1)/12))))-(IF(OR(N188="",N188&lt;=0),0,(O188/N188)*(IF(OR(N188="",N188&lt;=0),0,IF((YEAR(D188)+2)&lt;YEAR(E188),0,IF((YEAR(D188)+2)&gt;=YEAR(E188)+N188,0,IF((YEAR(D188)+2)=YEAR(E188),(12-MONTH(E188)+1)/12,1))))))))&gt;0,(((K188)*(IF(M188="",L188,IFERROR(IF(INDEX(Variablen!$I:$AT, MATCH(M188, Variablen!$A:$A, 0), MATCH((YEAR(D188)+2), Variablen!$I$3:$AT$3, 0))="",L188,INDEX(Variablen!$I:$AT, MATCH(M188, Variablen!$A:$A, 0), MATCH((YEAR(D188)+2), Variablen!$I$3:$AT$3, 0))),L188)))*(IF((YEAR(D188)+2)&lt;YEAR(E188),0,IF((YEAR(D188)+2)&gt;YEAR(E188),1,(12-MONTH(E188)+1)/12))) + (Q188)*(IF((YEAR(D188)+2)&lt;YEAR(E188),0,IF((YEAR(D188)+2)&gt;YEAR(E188),1,(12-MONTH(E188)+1)/12))))-((P188)*(IF((YEAR(D188)+2)&lt;YEAR(E188),0,IF((YEAR(D188)+2)&gt;YEAR(E188),1,(12-MONTH(E188)+1)/12))) + (R188)*(IF((YEAR(D188)+2)&lt;YEAR(E188),0,IF((YEAR(D188)+2)&gt;YEAR(E188),1,(12-MONTH(E188)+1)/12))))-(IF(OR(N188="",N188&lt;=0),0,(O188/N188)*(IF(OR(N188="",N188&lt;=0),0,IF((YEAR(D188)+2)&lt;YEAR(E188),0,IF((YEAR(D188)+2)&gt;=YEAR(E188)+N188,0,IF((YEAR(D188)+2)=YEAR(E188),(12-MONTH(E188)+1)/12,1))))))))*TaxRate,0))-IF(2=0,O188,0))</f>
        <v/>
      </c>
      <c r="V188" s="29">
        <f>IF(A188="","",((K188)*(IF(M188="",L188,IFERROR(IF(INDEX(Variablen!$I:$AT, MATCH(M188, Variablen!$A:$A, 0), MATCH((YEAR(D188)+3), Variablen!$I$3:$AT$3, 0))="",L188,INDEX(Variablen!$I:$AT, MATCH(M188, Variablen!$A:$A, 0), MATCH((YEAR(D188)+3), Variablen!$I$3:$AT$3, 0))),L188)))*(IF((YEAR(D188)+3)&lt;YEAR(E188),0,IF((YEAR(D188)+3)&gt;YEAR(E188),1,(12-MONTH(E188)+1)/12))) + (Q188)*(IF((YEAR(D188)+3)&lt;YEAR(E188),0,IF((YEAR(D188)+3)&gt;YEAR(E188),1,(12-MONTH(E188)+1)/12))))-((P188)*(IF((YEAR(D188)+3)&lt;YEAR(E188),0,IF((YEAR(D188)+3)&gt;YEAR(E188),1,(12-MONTH(E188)+1)/12))) + (R188)*(IF((YEAR(D188)+3)&lt;YEAR(E188),0,IF((YEAR(D188)+3)&gt;YEAR(E188),1,(12-MONTH(E188)+1)/12))))-(IF((((K188)*(IF(M188="",L188,IFERROR(IF(INDEX(Variablen!$I:$AT, MATCH(M188, Variablen!$A:$A, 0), MATCH((YEAR(D188)+3), Variablen!$I$3:$AT$3, 0))="",L188,INDEX(Variablen!$I:$AT, MATCH(M188, Variablen!$A:$A, 0), MATCH((YEAR(D188)+3), Variablen!$I$3:$AT$3, 0))),L188)))*(IF((YEAR(D188)+3)&lt;YEAR(E188),0,IF((YEAR(D188)+3)&gt;YEAR(E188),1,(12-MONTH(E188)+1)/12))) + (Q188)*(IF((YEAR(D188)+3)&lt;YEAR(E188),0,IF((YEAR(D188)+3)&gt;YEAR(E188),1,(12-MONTH(E188)+1)/12))))-((P188)*(IF((YEAR(D188)+3)&lt;YEAR(E188),0,IF((YEAR(D188)+3)&gt;YEAR(E188),1,(12-MONTH(E188)+1)/12))) + (R188)*(IF((YEAR(D188)+3)&lt;YEAR(E188),0,IF((YEAR(D188)+3)&gt;YEAR(E188),1,(12-MONTH(E188)+1)/12))))-(IF(OR(N188="",N188&lt;=0),0,(O188/N188)*(IF(OR(N188="",N188&lt;=0),0,IF((YEAR(D188)+3)&lt;YEAR(E188),0,IF((YEAR(D188)+3)&gt;=YEAR(E188)+N188,0,IF((YEAR(D188)+3)=YEAR(E188),(12-MONTH(E188)+1)/12,1))))))))&gt;0,(((K188)*(IF(M188="",L188,IFERROR(IF(INDEX(Variablen!$I:$AT, MATCH(M188, Variablen!$A:$A, 0), MATCH((YEAR(D188)+3), Variablen!$I$3:$AT$3, 0))="",L188,INDEX(Variablen!$I:$AT, MATCH(M188, Variablen!$A:$A, 0), MATCH((YEAR(D188)+3), Variablen!$I$3:$AT$3, 0))),L188)))*(IF((YEAR(D188)+3)&lt;YEAR(E188),0,IF((YEAR(D188)+3)&gt;YEAR(E188),1,(12-MONTH(E188)+1)/12))) + (Q188)*(IF((YEAR(D188)+3)&lt;YEAR(E188),0,IF((YEAR(D188)+3)&gt;YEAR(E188),1,(12-MONTH(E188)+1)/12))))-((P188)*(IF((YEAR(D188)+3)&lt;YEAR(E188),0,IF((YEAR(D188)+3)&gt;YEAR(E188),1,(12-MONTH(E188)+1)/12))) + (R188)*(IF((YEAR(D188)+3)&lt;YEAR(E188),0,IF((YEAR(D188)+3)&gt;YEAR(E188),1,(12-MONTH(E188)+1)/12))))-(IF(OR(N188="",N188&lt;=0),0,(O188/N188)*(IF(OR(N188="",N188&lt;=0),0,IF((YEAR(D188)+3)&lt;YEAR(E188),0,IF((YEAR(D188)+3)&gt;=YEAR(E188)+N188,0,IF((YEAR(D188)+3)=YEAR(E188),(12-MONTH(E188)+1)/12,1))))))))*TaxRate,0))-IF(3=0,O188,0))</f>
        <v/>
      </c>
      <c r="W188" s="29">
        <f>IF(A188="","",((K188)*(IF(M188="",L188,IFERROR(IF(INDEX(Variablen!$I:$AT, MATCH(M188, Variablen!$A:$A, 0), MATCH((YEAR(D188)+4), Variablen!$I$3:$AT$3, 0))="",L188,INDEX(Variablen!$I:$AT, MATCH(M188, Variablen!$A:$A, 0), MATCH((YEAR(D188)+4), Variablen!$I$3:$AT$3, 0))),L188)))*(IF((YEAR(D188)+4)&lt;YEAR(E188),0,IF((YEAR(D188)+4)&gt;YEAR(E188),1,(12-MONTH(E188)+1)/12))) + (Q188)*(IF((YEAR(D188)+4)&lt;YEAR(E188),0,IF((YEAR(D188)+4)&gt;YEAR(E188),1,(12-MONTH(E188)+1)/12))))-((P188)*(IF((YEAR(D188)+4)&lt;YEAR(E188),0,IF((YEAR(D188)+4)&gt;YEAR(E188),1,(12-MONTH(E188)+1)/12))) + (R188)*(IF((YEAR(D188)+4)&lt;YEAR(E188),0,IF((YEAR(D188)+4)&gt;YEAR(E188),1,(12-MONTH(E188)+1)/12))))-(IF((((K188)*(IF(M188="",L188,IFERROR(IF(INDEX(Variablen!$I:$AT, MATCH(M188, Variablen!$A:$A, 0), MATCH((YEAR(D188)+4), Variablen!$I$3:$AT$3, 0))="",L188,INDEX(Variablen!$I:$AT, MATCH(M188, Variablen!$A:$A, 0), MATCH((YEAR(D188)+4), Variablen!$I$3:$AT$3, 0))),L188)))*(IF((YEAR(D188)+4)&lt;YEAR(E188),0,IF((YEAR(D188)+4)&gt;YEAR(E188),1,(12-MONTH(E188)+1)/12))) + (Q188)*(IF((YEAR(D188)+4)&lt;YEAR(E188),0,IF((YEAR(D188)+4)&gt;YEAR(E188),1,(12-MONTH(E188)+1)/12))))-((P188)*(IF((YEAR(D188)+4)&lt;YEAR(E188),0,IF((YEAR(D188)+4)&gt;YEAR(E188),1,(12-MONTH(E188)+1)/12))) + (R188)*(IF((YEAR(D188)+4)&lt;YEAR(E188),0,IF((YEAR(D188)+4)&gt;YEAR(E188),1,(12-MONTH(E188)+1)/12))))-(IF(OR(N188="",N188&lt;=0),0,(O188/N188)*(IF(OR(N188="",N188&lt;=0),0,IF((YEAR(D188)+4)&lt;YEAR(E188),0,IF((YEAR(D188)+4)&gt;=YEAR(E188)+N188,0,IF((YEAR(D188)+4)=YEAR(E188),(12-MONTH(E188)+1)/12,1))))))))&gt;0,(((K188)*(IF(M188="",L188,IFERROR(IF(INDEX(Variablen!$I:$AT, MATCH(M188, Variablen!$A:$A, 0), MATCH((YEAR(D188)+4), Variablen!$I$3:$AT$3, 0))="",L188,INDEX(Variablen!$I:$AT, MATCH(M188, Variablen!$A:$A, 0), MATCH((YEAR(D188)+4), Variablen!$I$3:$AT$3, 0))),L188)))*(IF((YEAR(D188)+4)&lt;YEAR(E188),0,IF((YEAR(D188)+4)&gt;YEAR(E188),1,(12-MONTH(E188)+1)/12))) + (Q188)*(IF((YEAR(D188)+4)&lt;YEAR(E188),0,IF((YEAR(D188)+4)&gt;YEAR(E188),1,(12-MONTH(E188)+1)/12))))-((P188)*(IF((YEAR(D188)+4)&lt;YEAR(E188),0,IF((YEAR(D188)+4)&gt;YEAR(E188),1,(12-MONTH(E188)+1)/12))) + (R188)*(IF((YEAR(D188)+4)&lt;YEAR(E188),0,IF((YEAR(D188)+4)&gt;YEAR(E188),1,(12-MONTH(E188)+1)/12))))-(IF(OR(N188="",N188&lt;=0),0,(O188/N188)*(IF(OR(N188="",N188&lt;=0),0,IF((YEAR(D188)+4)&lt;YEAR(E188),0,IF((YEAR(D188)+4)&gt;=YEAR(E188)+N188,0,IF((YEAR(D188)+4)=YEAR(E188),(12-MONTH(E188)+1)/12,1))))))))*TaxRate,0))-IF(4=0,O188,0))</f>
        <v/>
      </c>
      <c r="X188" s="29">
        <f>IF(A188="","",((K188)*(IF(M188="",L188,IFERROR(IF(INDEX(Variablen!$I:$AT, MATCH(M188, Variablen!$A:$A, 0), MATCH((YEAR(D188)+5), Variablen!$I$3:$AT$3, 0))="",L188,INDEX(Variablen!$I:$AT, MATCH(M188, Variablen!$A:$A, 0), MATCH((YEAR(D188)+5), Variablen!$I$3:$AT$3, 0))),L188)))*(IF((YEAR(D188)+5)&lt;YEAR(E188),0,IF((YEAR(D188)+5)&gt;YEAR(E188),1,(12-MONTH(E188)+1)/12))) + (Q188)*(IF((YEAR(D188)+5)&lt;YEAR(E188),0,IF((YEAR(D188)+5)&gt;YEAR(E188),1,(12-MONTH(E188)+1)/12))))-((P188)*(IF((YEAR(D188)+5)&lt;YEAR(E188),0,IF((YEAR(D188)+5)&gt;YEAR(E188),1,(12-MONTH(E188)+1)/12))) + (R188)*(IF((YEAR(D188)+5)&lt;YEAR(E188),0,IF((YEAR(D188)+5)&gt;YEAR(E188),1,(12-MONTH(E188)+1)/12))))-(IF((((K188)*(IF(M188="",L188,IFERROR(IF(INDEX(Variablen!$I:$AT, MATCH(M188, Variablen!$A:$A, 0), MATCH((YEAR(D188)+5), Variablen!$I$3:$AT$3, 0))="",L188,INDEX(Variablen!$I:$AT, MATCH(M188, Variablen!$A:$A, 0), MATCH((YEAR(D188)+5), Variablen!$I$3:$AT$3, 0))),L188)))*(IF((YEAR(D188)+5)&lt;YEAR(E188),0,IF((YEAR(D188)+5)&gt;YEAR(E188),1,(12-MONTH(E188)+1)/12))) + (Q188)*(IF((YEAR(D188)+5)&lt;YEAR(E188),0,IF((YEAR(D188)+5)&gt;YEAR(E188),1,(12-MONTH(E188)+1)/12))))-((P188)*(IF((YEAR(D188)+5)&lt;YEAR(E188),0,IF((YEAR(D188)+5)&gt;YEAR(E188),1,(12-MONTH(E188)+1)/12))) + (R188)*(IF((YEAR(D188)+5)&lt;YEAR(E188),0,IF((YEAR(D188)+5)&gt;YEAR(E188),1,(12-MONTH(E188)+1)/12))))-(IF(OR(N188="",N188&lt;=0),0,(O188/N188)*(IF(OR(N188="",N188&lt;=0),0,IF((YEAR(D188)+5)&lt;YEAR(E188),0,IF((YEAR(D188)+5)&gt;=YEAR(E188)+N188,0,IF((YEAR(D188)+5)=YEAR(E188),(12-MONTH(E188)+1)/12,1))))))))&gt;0,(((K188)*(IF(M188="",L188,IFERROR(IF(INDEX(Variablen!$I:$AT, MATCH(M188, Variablen!$A:$A, 0), MATCH((YEAR(D188)+5), Variablen!$I$3:$AT$3, 0))="",L188,INDEX(Variablen!$I:$AT, MATCH(M188, Variablen!$A:$A, 0), MATCH((YEAR(D188)+5), Variablen!$I$3:$AT$3, 0))),L188)))*(IF((YEAR(D188)+5)&lt;YEAR(E188),0,IF((YEAR(D188)+5)&gt;YEAR(E188),1,(12-MONTH(E188)+1)/12))) + (Q188)*(IF((YEAR(D188)+5)&lt;YEAR(E188),0,IF((YEAR(D188)+5)&gt;YEAR(E188),1,(12-MONTH(E188)+1)/12))))-((P188)*(IF((YEAR(D188)+5)&lt;YEAR(E188),0,IF((YEAR(D188)+5)&gt;YEAR(E188),1,(12-MONTH(E188)+1)/12))) + (R188)*(IF((YEAR(D188)+5)&lt;YEAR(E188),0,IF((YEAR(D188)+5)&gt;YEAR(E188),1,(12-MONTH(E188)+1)/12))))-(IF(OR(N188="",N188&lt;=0),0,(O188/N188)*(IF(OR(N188="",N188&lt;=0),0,IF((YEAR(D188)+5)&lt;YEAR(E188),0,IF((YEAR(D188)+5)&gt;=YEAR(E188)+N188,0,IF((YEAR(D188)+5)=YEAR(E188),(12-MONTH(E188)+1)/12,1))))))))*TaxRate,0))-IF(5=0,O188,0))</f>
        <v/>
      </c>
      <c r="Y188" s="29">
        <f>IF(A188="","",((K188)*(IF(M188="",L188,IFERROR(IF(INDEX(Variablen!$I:$AT, MATCH(M188, Variablen!$A:$A, 0), MATCH((YEAR(D188)+6), Variablen!$I$3:$AT$3, 0))="",L188,INDEX(Variablen!$I:$AT, MATCH(M188, Variablen!$A:$A, 0), MATCH((YEAR(D188)+6), Variablen!$I$3:$AT$3, 0))),L188)))*(IF((YEAR(D188)+6)&lt;YEAR(E188),0,IF((YEAR(D188)+6)&gt;YEAR(E188),1,(12-MONTH(E188)+1)/12))) + (Q188)*(IF((YEAR(D188)+6)&lt;YEAR(E188),0,IF((YEAR(D188)+6)&gt;YEAR(E188),1,(12-MONTH(E188)+1)/12))))-((P188)*(IF((YEAR(D188)+6)&lt;YEAR(E188),0,IF((YEAR(D188)+6)&gt;YEAR(E188),1,(12-MONTH(E188)+1)/12))) + (R188)*(IF((YEAR(D188)+6)&lt;YEAR(E188),0,IF((YEAR(D188)+6)&gt;YEAR(E188),1,(12-MONTH(E188)+1)/12))))-(IF((((K188)*(IF(M188="",L188,IFERROR(IF(INDEX(Variablen!$I:$AT, MATCH(M188, Variablen!$A:$A, 0), MATCH((YEAR(D188)+6), Variablen!$I$3:$AT$3, 0))="",L188,INDEX(Variablen!$I:$AT, MATCH(M188, Variablen!$A:$A, 0), MATCH((YEAR(D188)+6), Variablen!$I$3:$AT$3, 0))),L188)))*(IF((YEAR(D188)+6)&lt;YEAR(E188),0,IF((YEAR(D188)+6)&gt;YEAR(E188),1,(12-MONTH(E188)+1)/12))) + (Q188)*(IF((YEAR(D188)+6)&lt;YEAR(E188),0,IF((YEAR(D188)+6)&gt;YEAR(E188),1,(12-MONTH(E188)+1)/12))))-((P188)*(IF((YEAR(D188)+6)&lt;YEAR(E188),0,IF((YEAR(D188)+6)&gt;YEAR(E188),1,(12-MONTH(E188)+1)/12))) + (R188)*(IF((YEAR(D188)+6)&lt;YEAR(E188),0,IF((YEAR(D188)+6)&gt;YEAR(E188),1,(12-MONTH(E188)+1)/12))))-(IF(OR(N188="",N188&lt;=0),0,(O188/N188)*(IF(OR(N188="",N188&lt;=0),0,IF((YEAR(D188)+6)&lt;YEAR(E188),0,IF((YEAR(D188)+6)&gt;=YEAR(E188)+N188,0,IF((YEAR(D188)+6)=YEAR(E188),(12-MONTH(E188)+1)/12,1))))))))&gt;0,(((K188)*(IF(M188="",L188,IFERROR(IF(INDEX(Variablen!$I:$AT, MATCH(M188, Variablen!$A:$A, 0), MATCH((YEAR(D188)+6), Variablen!$I$3:$AT$3, 0))="",L188,INDEX(Variablen!$I:$AT, MATCH(M188, Variablen!$A:$A, 0), MATCH((YEAR(D188)+6), Variablen!$I$3:$AT$3, 0))),L188)))*(IF((YEAR(D188)+6)&lt;YEAR(E188),0,IF((YEAR(D188)+6)&gt;YEAR(E188),1,(12-MONTH(E188)+1)/12))) + (Q188)*(IF((YEAR(D188)+6)&lt;YEAR(E188),0,IF((YEAR(D188)+6)&gt;YEAR(E188),1,(12-MONTH(E188)+1)/12))))-((P188)*(IF((YEAR(D188)+6)&lt;YEAR(E188),0,IF((YEAR(D188)+6)&gt;YEAR(E188),1,(12-MONTH(E188)+1)/12))) + (R188)*(IF((YEAR(D188)+6)&lt;YEAR(E188),0,IF((YEAR(D188)+6)&gt;YEAR(E188),1,(12-MONTH(E188)+1)/12))))-(IF(OR(N188="",N188&lt;=0),0,(O188/N188)*(IF(OR(N188="",N188&lt;=0),0,IF((YEAR(D188)+6)&lt;YEAR(E188),0,IF((YEAR(D188)+6)&gt;=YEAR(E188)+N188,0,IF((YEAR(D188)+6)=YEAR(E188),(12-MONTH(E188)+1)/12,1))))))))*TaxRate,0))-IF(6=0,O188,0))</f>
        <v/>
      </c>
      <c r="Z188" s="29">
        <f>IF(A188="","",((K188)*(IF(M188="",L188,IFERROR(IF(INDEX(Variablen!$I:$AT, MATCH(M188, Variablen!$A:$A, 0), MATCH((YEAR(D188)+7), Variablen!$I$3:$AT$3, 0))="",L188,INDEX(Variablen!$I:$AT, MATCH(M188, Variablen!$A:$A, 0), MATCH((YEAR(D188)+7), Variablen!$I$3:$AT$3, 0))),L188)))*(IF((YEAR(D188)+7)&lt;YEAR(E188),0,IF((YEAR(D188)+7)&gt;YEAR(E188),1,(12-MONTH(E188)+1)/12))) + (Q188)*(IF((YEAR(D188)+7)&lt;YEAR(E188),0,IF((YEAR(D188)+7)&gt;YEAR(E188),1,(12-MONTH(E188)+1)/12))))-((P188)*(IF((YEAR(D188)+7)&lt;YEAR(E188),0,IF((YEAR(D188)+7)&gt;YEAR(E188),1,(12-MONTH(E188)+1)/12))) + (R188)*(IF((YEAR(D188)+7)&lt;YEAR(E188),0,IF((YEAR(D188)+7)&gt;YEAR(E188),1,(12-MONTH(E188)+1)/12))))-(IF((((K188)*(IF(M188="",L188,IFERROR(IF(INDEX(Variablen!$I:$AT, MATCH(M188, Variablen!$A:$A, 0), MATCH((YEAR(D188)+7), Variablen!$I$3:$AT$3, 0))="",L188,INDEX(Variablen!$I:$AT, MATCH(M188, Variablen!$A:$A, 0), MATCH((YEAR(D188)+7), Variablen!$I$3:$AT$3, 0))),L188)))*(IF((YEAR(D188)+7)&lt;YEAR(E188),0,IF((YEAR(D188)+7)&gt;YEAR(E188),1,(12-MONTH(E188)+1)/12))) + (Q188)*(IF((YEAR(D188)+7)&lt;YEAR(E188),0,IF((YEAR(D188)+7)&gt;YEAR(E188),1,(12-MONTH(E188)+1)/12))))-((P188)*(IF((YEAR(D188)+7)&lt;YEAR(E188),0,IF((YEAR(D188)+7)&gt;YEAR(E188),1,(12-MONTH(E188)+1)/12))) + (R188)*(IF((YEAR(D188)+7)&lt;YEAR(E188),0,IF((YEAR(D188)+7)&gt;YEAR(E188),1,(12-MONTH(E188)+1)/12))))-(IF(OR(N188="",N188&lt;=0),0,(O188/N188)*(IF(OR(N188="",N188&lt;=0),0,IF((YEAR(D188)+7)&lt;YEAR(E188),0,IF((YEAR(D188)+7)&gt;=YEAR(E188)+N188,0,IF((YEAR(D188)+7)=YEAR(E188),(12-MONTH(E188)+1)/12,1))))))))&gt;0,(((K188)*(IF(M188="",L188,IFERROR(IF(INDEX(Variablen!$I:$AT, MATCH(M188, Variablen!$A:$A, 0), MATCH((YEAR(D188)+7), Variablen!$I$3:$AT$3, 0))="",L188,INDEX(Variablen!$I:$AT, MATCH(M188, Variablen!$A:$A, 0), MATCH((YEAR(D188)+7), Variablen!$I$3:$AT$3, 0))),L188)))*(IF((YEAR(D188)+7)&lt;YEAR(E188),0,IF((YEAR(D188)+7)&gt;YEAR(E188),1,(12-MONTH(E188)+1)/12))) + (Q188)*(IF((YEAR(D188)+7)&lt;YEAR(E188),0,IF((YEAR(D188)+7)&gt;YEAR(E188),1,(12-MONTH(E188)+1)/12))))-((P188)*(IF((YEAR(D188)+7)&lt;YEAR(E188),0,IF((YEAR(D188)+7)&gt;YEAR(E188),1,(12-MONTH(E188)+1)/12))) + (R188)*(IF((YEAR(D188)+7)&lt;YEAR(E188),0,IF((YEAR(D188)+7)&gt;YEAR(E188),1,(12-MONTH(E188)+1)/12))))-(IF(OR(N188="",N188&lt;=0),0,(O188/N188)*(IF(OR(N188="",N188&lt;=0),0,IF((YEAR(D188)+7)&lt;YEAR(E188),0,IF((YEAR(D188)+7)&gt;=YEAR(E188)+N188,0,IF((YEAR(D188)+7)=YEAR(E188),(12-MONTH(E188)+1)/12,1))))))))*TaxRate,0))-IF(7=0,O188,0))</f>
        <v/>
      </c>
      <c r="AA188" s="29">
        <f>IF(A188="","",((K188)*(IF(M188="",L188,IFERROR(IF(INDEX(Variablen!$I:$AT, MATCH(M188, Variablen!$A:$A, 0), MATCH((YEAR(D188)+8), Variablen!$I$3:$AT$3, 0))="",L188,INDEX(Variablen!$I:$AT, MATCH(M188, Variablen!$A:$A, 0), MATCH((YEAR(D188)+8), Variablen!$I$3:$AT$3, 0))),L188)))*(IF((YEAR(D188)+8)&lt;YEAR(E188),0,IF((YEAR(D188)+8)&gt;YEAR(E188),1,(12-MONTH(E188)+1)/12))) + (Q188)*(IF((YEAR(D188)+8)&lt;YEAR(E188),0,IF((YEAR(D188)+8)&gt;YEAR(E188),1,(12-MONTH(E188)+1)/12))))-((P188)*(IF((YEAR(D188)+8)&lt;YEAR(E188),0,IF((YEAR(D188)+8)&gt;YEAR(E188),1,(12-MONTH(E188)+1)/12))) + (R188)*(IF((YEAR(D188)+8)&lt;YEAR(E188),0,IF((YEAR(D188)+8)&gt;YEAR(E188),1,(12-MONTH(E188)+1)/12))))-(IF((((K188)*(IF(M188="",L188,IFERROR(IF(INDEX(Variablen!$I:$AT, MATCH(M188, Variablen!$A:$A, 0), MATCH((YEAR(D188)+8), Variablen!$I$3:$AT$3, 0))="",L188,INDEX(Variablen!$I:$AT, MATCH(M188, Variablen!$A:$A, 0), MATCH((YEAR(D188)+8), Variablen!$I$3:$AT$3, 0))),L188)))*(IF((YEAR(D188)+8)&lt;YEAR(E188),0,IF((YEAR(D188)+8)&gt;YEAR(E188),1,(12-MONTH(E188)+1)/12))) + (Q188)*(IF((YEAR(D188)+8)&lt;YEAR(E188),0,IF((YEAR(D188)+8)&gt;YEAR(E188),1,(12-MONTH(E188)+1)/12))))-((P188)*(IF((YEAR(D188)+8)&lt;YEAR(E188),0,IF((YEAR(D188)+8)&gt;YEAR(E188),1,(12-MONTH(E188)+1)/12))) + (R188)*(IF((YEAR(D188)+8)&lt;YEAR(E188),0,IF((YEAR(D188)+8)&gt;YEAR(E188),1,(12-MONTH(E188)+1)/12))))-(IF(OR(N188="",N188&lt;=0),0,(O188/N188)*(IF(OR(N188="",N188&lt;=0),0,IF((YEAR(D188)+8)&lt;YEAR(E188),0,IF((YEAR(D188)+8)&gt;=YEAR(E188)+N188,0,IF((YEAR(D188)+8)=YEAR(E188),(12-MONTH(E188)+1)/12,1))))))))&gt;0,(((K188)*(IF(M188="",L188,IFERROR(IF(INDEX(Variablen!$I:$AT, MATCH(M188, Variablen!$A:$A, 0), MATCH((YEAR(D188)+8), Variablen!$I$3:$AT$3, 0))="",L188,INDEX(Variablen!$I:$AT, MATCH(M188, Variablen!$A:$A, 0), MATCH((YEAR(D188)+8), Variablen!$I$3:$AT$3, 0))),L188)))*(IF((YEAR(D188)+8)&lt;YEAR(E188),0,IF((YEAR(D188)+8)&gt;YEAR(E188),1,(12-MONTH(E188)+1)/12))) + (Q188)*(IF((YEAR(D188)+8)&lt;YEAR(E188),0,IF((YEAR(D188)+8)&gt;YEAR(E188),1,(12-MONTH(E188)+1)/12))))-((P188)*(IF((YEAR(D188)+8)&lt;YEAR(E188),0,IF((YEAR(D188)+8)&gt;YEAR(E188),1,(12-MONTH(E188)+1)/12))) + (R188)*(IF((YEAR(D188)+8)&lt;YEAR(E188),0,IF((YEAR(D188)+8)&gt;YEAR(E188),1,(12-MONTH(E188)+1)/12))))-(IF(OR(N188="",N188&lt;=0),0,(O188/N188)*(IF(OR(N188="",N188&lt;=0),0,IF((YEAR(D188)+8)&lt;YEAR(E188),0,IF((YEAR(D188)+8)&gt;=YEAR(E188)+N188,0,IF((YEAR(D188)+8)=YEAR(E188),(12-MONTH(E188)+1)/12,1))))))))*TaxRate,0))-IF(8=0,O188,0))</f>
        <v/>
      </c>
      <c r="AB188" s="29">
        <f>IF(A188="","",((K188)*(IF(M188="",L188,IFERROR(IF(INDEX(Variablen!$I:$AT, MATCH(M188, Variablen!$A:$A, 0), MATCH((YEAR(D188)+9), Variablen!$I$3:$AT$3, 0))="",L188,INDEX(Variablen!$I:$AT, MATCH(M188, Variablen!$A:$A, 0), MATCH((YEAR(D188)+9), Variablen!$I$3:$AT$3, 0))),L188)))*(IF((YEAR(D188)+9)&lt;YEAR(E188),0,IF((YEAR(D188)+9)&gt;YEAR(E188),1,(12-MONTH(E188)+1)/12))) + (Q188)*(IF((YEAR(D188)+9)&lt;YEAR(E188),0,IF((YEAR(D188)+9)&gt;YEAR(E188),1,(12-MONTH(E188)+1)/12))))-((P188)*(IF((YEAR(D188)+9)&lt;YEAR(E188),0,IF((YEAR(D188)+9)&gt;YEAR(E188),1,(12-MONTH(E188)+1)/12))) + (R188)*(IF((YEAR(D188)+9)&lt;YEAR(E188),0,IF((YEAR(D188)+9)&gt;YEAR(E188),1,(12-MONTH(E188)+1)/12))))-(IF((((K188)*(IF(M188="",L188,IFERROR(IF(INDEX(Variablen!$I:$AT, MATCH(M188, Variablen!$A:$A, 0), MATCH((YEAR(D188)+9), Variablen!$I$3:$AT$3, 0))="",L188,INDEX(Variablen!$I:$AT, MATCH(M188, Variablen!$A:$A, 0), MATCH((YEAR(D188)+9), Variablen!$I$3:$AT$3, 0))),L188)))*(IF((YEAR(D188)+9)&lt;YEAR(E188),0,IF((YEAR(D188)+9)&gt;YEAR(E188),1,(12-MONTH(E188)+1)/12))) + (Q188)*(IF((YEAR(D188)+9)&lt;YEAR(E188),0,IF((YEAR(D188)+9)&gt;YEAR(E188),1,(12-MONTH(E188)+1)/12))))-((P188)*(IF((YEAR(D188)+9)&lt;YEAR(E188),0,IF((YEAR(D188)+9)&gt;YEAR(E188),1,(12-MONTH(E188)+1)/12))) + (R188)*(IF((YEAR(D188)+9)&lt;YEAR(E188),0,IF((YEAR(D188)+9)&gt;YEAR(E188),1,(12-MONTH(E188)+1)/12))))-(IF(OR(N188="",N188&lt;=0),0,(O188/N188)*(IF(OR(N188="",N188&lt;=0),0,IF((YEAR(D188)+9)&lt;YEAR(E188),0,IF((YEAR(D188)+9)&gt;=YEAR(E188)+N188,0,IF((YEAR(D188)+9)=YEAR(E188),(12-MONTH(E188)+1)/12,1))))))))&gt;0,(((K188)*(IF(M188="",L188,IFERROR(IF(INDEX(Variablen!$I:$AT, MATCH(M188, Variablen!$A:$A, 0), MATCH((YEAR(D188)+9), Variablen!$I$3:$AT$3, 0))="",L188,INDEX(Variablen!$I:$AT, MATCH(M188, Variablen!$A:$A, 0), MATCH((YEAR(D188)+9), Variablen!$I$3:$AT$3, 0))),L188)))*(IF((YEAR(D188)+9)&lt;YEAR(E188),0,IF((YEAR(D188)+9)&gt;YEAR(E188),1,(12-MONTH(E188)+1)/12))) + (Q188)*(IF((YEAR(D188)+9)&lt;YEAR(E188),0,IF((YEAR(D188)+9)&gt;YEAR(E188),1,(12-MONTH(E188)+1)/12))))-((P188)*(IF((YEAR(D188)+9)&lt;YEAR(E188),0,IF((YEAR(D188)+9)&gt;YEAR(E188),1,(12-MONTH(E188)+1)/12))) + (R188)*(IF((YEAR(D188)+9)&lt;YEAR(E188),0,IF((YEAR(D188)+9)&gt;YEAR(E188),1,(12-MONTH(E188)+1)/12))))-(IF(OR(N188="",N188&lt;=0),0,(O188/N188)*(IF(OR(N188="",N188&lt;=0),0,IF((YEAR(D188)+9)&lt;YEAR(E188),0,IF((YEAR(D188)+9)&gt;=YEAR(E188)+N188,0,IF((YEAR(D188)+9)=YEAR(E188),(12-MONTH(E188)+1)/12,1))))))))*TaxRate,0))-IF(9=0,O188,0))</f>
        <v/>
      </c>
      <c r="AC188" s="29">
        <f>IF(A188="","",((K188)*(IF(M188="",L188,IFERROR(IF(INDEX(Variablen!$I:$AT, MATCH(M188, Variablen!$A:$A, 0), MATCH((YEAR(D188)+10), Variablen!$I$3:$AT$3, 0))="",L188,INDEX(Variablen!$I:$AT, MATCH(M188, Variablen!$A:$A, 0), MATCH((YEAR(D188)+10), Variablen!$I$3:$AT$3, 0))),L188)))*(IF((YEAR(D188)+10)&lt;YEAR(E188),0,IF((YEAR(D188)+10)&gt;YEAR(E188),1,(12-MONTH(E188)+1)/12))) + (Q188)*(IF((YEAR(D188)+10)&lt;YEAR(E188),0,IF((YEAR(D188)+10)&gt;YEAR(E188),1,(12-MONTH(E188)+1)/12))))-((P188)*(IF((YEAR(D188)+10)&lt;YEAR(E188),0,IF((YEAR(D188)+10)&gt;YEAR(E188),1,(12-MONTH(E188)+1)/12))) + (R188)*(IF((YEAR(D188)+10)&lt;YEAR(E188),0,IF((YEAR(D188)+10)&gt;YEAR(E188),1,(12-MONTH(E188)+1)/12))))-(IF((((K188)*(IF(M188="",L188,IFERROR(IF(INDEX(Variablen!$I:$AT, MATCH(M188, Variablen!$A:$A, 0), MATCH((YEAR(D188)+10), Variablen!$I$3:$AT$3, 0))="",L188,INDEX(Variablen!$I:$AT, MATCH(M188, Variablen!$A:$A, 0), MATCH((YEAR(D188)+10), Variablen!$I$3:$AT$3, 0))),L188)))*(IF((YEAR(D188)+10)&lt;YEAR(E188),0,IF((YEAR(D188)+10)&gt;YEAR(E188),1,(12-MONTH(E188)+1)/12))) + (Q188)*(IF((YEAR(D188)+10)&lt;YEAR(E188),0,IF((YEAR(D188)+10)&gt;YEAR(E188),1,(12-MONTH(E188)+1)/12))))-((P188)*(IF((YEAR(D188)+10)&lt;YEAR(E188),0,IF((YEAR(D188)+10)&gt;YEAR(E188),1,(12-MONTH(E188)+1)/12))) + (R188)*(IF((YEAR(D188)+10)&lt;YEAR(E188),0,IF((YEAR(D188)+10)&gt;YEAR(E188),1,(12-MONTH(E188)+1)/12))))-(IF(OR(N188="",N188&lt;=0),0,(O188/N188)*(IF(OR(N188="",N188&lt;=0),0,IF((YEAR(D188)+10)&lt;YEAR(E188),0,IF((YEAR(D188)+10)&gt;=YEAR(E188)+N188,0,IF((YEAR(D188)+10)=YEAR(E188),(12-MONTH(E188)+1)/12,1))))))))&gt;0,(((K188)*(IF(M188="",L188,IFERROR(IF(INDEX(Variablen!$I:$AT, MATCH(M188, Variablen!$A:$A, 0), MATCH((YEAR(D188)+10), Variablen!$I$3:$AT$3, 0))="",L188,INDEX(Variablen!$I:$AT, MATCH(M188, Variablen!$A:$A, 0), MATCH((YEAR(D188)+10), Variablen!$I$3:$AT$3, 0))),L188)))*(IF((YEAR(D188)+10)&lt;YEAR(E188),0,IF((YEAR(D188)+10)&gt;YEAR(E188),1,(12-MONTH(E188)+1)/12))) + (Q188)*(IF((YEAR(D188)+10)&lt;YEAR(E188),0,IF((YEAR(D188)+10)&gt;YEAR(E188),1,(12-MONTH(E188)+1)/12))))-((P188)*(IF((YEAR(D188)+10)&lt;YEAR(E188),0,IF((YEAR(D188)+10)&gt;YEAR(E188),1,(12-MONTH(E188)+1)/12))) + (R188)*(IF((YEAR(D188)+10)&lt;YEAR(E188),0,IF((YEAR(D188)+10)&gt;YEAR(E188),1,(12-MONTH(E188)+1)/12))))-(IF(OR(N188="",N188&lt;=0),0,(O188/N188)*(IF(OR(N188="",N188&lt;=0),0,IF((YEAR(D188)+10)&lt;YEAR(E188),0,IF((YEAR(D188)+10)&gt;=YEAR(E188)+N188,0,IF((YEAR(D188)+10)=YEAR(E188),(12-MONTH(E188)+1)/12,1))))))))*TaxRate,0))-IF(10=0,O188,0))</f>
        <v/>
      </c>
      <c r="AD188" s="29">
        <f>IF(A188="","",((K188)*(IF(M188="",L188,IFERROR(IF(INDEX(Variablen!$I:$AT, MATCH(M188, Variablen!$A:$A, 0), MATCH((YEAR(D188)+11), Variablen!$I$3:$AT$3, 0))="",L188,INDEX(Variablen!$I:$AT, MATCH(M188, Variablen!$A:$A, 0), MATCH((YEAR(D188)+11), Variablen!$I$3:$AT$3, 0))),L188)))*(IF((YEAR(D188)+11)&lt;YEAR(E188),0,IF((YEAR(D188)+11)&gt;YEAR(E188),1,(12-MONTH(E188)+1)/12))) + (Q188)*(IF((YEAR(D188)+11)&lt;YEAR(E188),0,IF((YEAR(D188)+11)&gt;YEAR(E188),1,(12-MONTH(E188)+1)/12))))-((P188)*(IF((YEAR(D188)+11)&lt;YEAR(E188),0,IF((YEAR(D188)+11)&gt;YEAR(E188),1,(12-MONTH(E188)+1)/12))) + (R188)*(IF((YEAR(D188)+11)&lt;YEAR(E188),0,IF((YEAR(D188)+11)&gt;YEAR(E188),1,(12-MONTH(E188)+1)/12))))-(IF((((K188)*(IF(M188="",L188,IFERROR(IF(INDEX(Variablen!$I:$AT, MATCH(M188, Variablen!$A:$A, 0), MATCH((YEAR(D188)+11), Variablen!$I$3:$AT$3, 0))="",L188,INDEX(Variablen!$I:$AT, MATCH(M188, Variablen!$A:$A, 0), MATCH((YEAR(D188)+11), Variablen!$I$3:$AT$3, 0))),L188)))*(IF((YEAR(D188)+11)&lt;YEAR(E188),0,IF((YEAR(D188)+11)&gt;YEAR(E188),1,(12-MONTH(E188)+1)/12))) + (Q188)*(IF((YEAR(D188)+11)&lt;YEAR(E188),0,IF((YEAR(D188)+11)&gt;YEAR(E188),1,(12-MONTH(E188)+1)/12))))-((P188)*(IF((YEAR(D188)+11)&lt;YEAR(E188),0,IF((YEAR(D188)+11)&gt;YEAR(E188),1,(12-MONTH(E188)+1)/12))) + (R188)*(IF((YEAR(D188)+11)&lt;YEAR(E188),0,IF((YEAR(D188)+11)&gt;YEAR(E188),1,(12-MONTH(E188)+1)/12))))-(IF(OR(N188="",N188&lt;=0),0,(O188/N188)*(IF(OR(N188="",N188&lt;=0),0,IF((YEAR(D188)+11)&lt;YEAR(E188),0,IF((YEAR(D188)+11)&gt;=YEAR(E188)+N188,0,IF((YEAR(D188)+11)=YEAR(E188),(12-MONTH(E188)+1)/12,1))))))))&gt;0,(((K188)*(IF(M188="",L188,IFERROR(IF(INDEX(Variablen!$I:$AT, MATCH(M188, Variablen!$A:$A, 0), MATCH((YEAR(D188)+11), Variablen!$I$3:$AT$3, 0))="",L188,INDEX(Variablen!$I:$AT, MATCH(M188, Variablen!$A:$A, 0), MATCH((YEAR(D188)+11), Variablen!$I$3:$AT$3, 0))),L188)))*(IF((YEAR(D188)+11)&lt;YEAR(E188),0,IF((YEAR(D188)+11)&gt;YEAR(E188),1,(12-MONTH(E188)+1)/12))) + (Q188)*(IF((YEAR(D188)+11)&lt;YEAR(E188),0,IF((YEAR(D188)+11)&gt;YEAR(E188),1,(12-MONTH(E188)+1)/12))))-((P188)*(IF((YEAR(D188)+11)&lt;YEAR(E188),0,IF((YEAR(D188)+11)&gt;YEAR(E188),1,(12-MONTH(E188)+1)/12))) + (R188)*(IF((YEAR(D188)+11)&lt;YEAR(E188),0,IF((YEAR(D188)+11)&gt;YEAR(E188),1,(12-MONTH(E188)+1)/12))))-(IF(OR(N188="",N188&lt;=0),0,(O188/N188)*(IF(OR(N188="",N188&lt;=0),0,IF((YEAR(D188)+11)&lt;YEAR(E188),0,IF((YEAR(D188)+11)&gt;=YEAR(E188)+N188,0,IF((YEAR(D188)+11)=YEAR(E188),(12-MONTH(E188)+1)/12,1))))))))*TaxRate,0))-IF(11=0,O188,0))</f>
        <v/>
      </c>
      <c r="AE188" s="29">
        <f>IF(A188="","",((K188)*(IF(M188="",L188,IFERROR(IF(INDEX(Variablen!$I:$AT, MATCH(M188, Variablen!$A:$A, 0), MATCH((YEAR(D188)+12), Variablen!$I$3:$AT$3, 0))="",L188,INDEX(Variablen!$I:$AT, MATCH(M188, Variablen!$A:$A, 0), MATCH((YEAR(D188)+12), Variablen!$I$3:$AT$3, 0))),L188)))*(IF((YEAR(D188)+12)&lt;YEAR(E188),0,IF((YEAR(D188)+12)&gt;YEAR(E188),1,(12-MONTH(E188)+1)/12))) + (Q188)*(IF((YEAR(D188)+12)&lt;YEAR(E188),0,IF((YEAR(D188)+12)&gt;YEAR(E188),1,(12-MONTH(E188)+1)/12))))-((P188)*(IF((YEAR(D188)+12)&lt;YEAR(E188),0,IF((YEAR(D188)+12)&gt;YEAR(E188),1,(12-MONTH(E188)+1)/12))) + (R188)*(IF((YEAR(D188)+12)&lt;YEAR(E188),0,IF((YEAR(D188)+12)&gt;YEAR(E188),1,(12-MONTH(E188)+1)/12))))-(IF((((K188)*(IF(M188="",L188,IFERROR(IF(INDEX(Variablen!$I:$AT, MATCH(M188, Variablen!$A:$A, 0), MATCH((YEAR(D188)+12), Variablen!$I$3:$AT$3, 0))="",L188,INDEX(Variablen!$I:$AT, MATCH(M188, Variablen!$A:$A, 0), MATCH((YEAR(D188)+12), Variablen!$I$3:$AT$3, 0))),L188)))*(IF((YEAR(D188)+12)&lt;YEAR(E188),0,IF((YEAR(D188)+12)&gt;YEAR(E188),1,(12-MONTH(E188)+1)/12))) + (Q188)*(IF((YEAR(D188)+12)&lt;YEAR(E188),0,IF((YEAR(D188)+12)&gt;YEAR(E188),1,(12-MONTH(E188)+1)/12))))-((P188)*(IF((YEAR(D188)+12)&lt;YEAR(E188),0,IF((YEAR(D188)+12)&gt;YEAR(E188),1,(12-MONTH(E188)+1)/12))) + (R188)*(IF((YEAR(D188)+12)&lt;YEAR(E188),0,IF((YEAR(D188)+12)&gt;YEAR(E188),1,(12-MONTH(E188)+1)/12))))-(IF(OR(N188="",N188&lt;=0),0,(O188/N188)*(IF(OR(N188="",N188&lt;=0),0,IF((YEAR(D188)+12)&lt;YEAR(E188),0,IF((YEAR(D188)+12)&gt;=YEAR(E188)+N188,0,IF((YEAR(D188)+12)=YEAR(E188),(12-MONTH(E188)+1)/12,1))))))))&gt;0,(((K188)*(IF(M188="",L188,IFERROR(IF(INDEX(Variablen!$I:$AT, MATCH(M188, Variablen!$A:$A, 0), MATCH((YEAR(D188)+12), Variablen!$I$3:$AT$3, 0))="",L188,INDEX(Variablen!$I:$AT, MATCH(M188, Variablen!$A:$A, 0), MATCH((YEAR(D188)+12), Variablen!$I$3:$AT$3, 0))),L188)))*(IF((YEAR(D188)+12)&lt;YEAR(E188),0,IF((YEAR(D188)+12)&gt;YEAR(E188),1,(12-MONTH(E188)+1)/12))) + (Q188)*(IF((YEAR(D188)+12)&lt;YEAR(E188),0,IF((YEAR(D188)+12)&gt;YEAR(E188),1,(12-MONTH(E188)+1)/12))))-((P188)*(IF((YEAR(D188)+12)&lt;YEAR(E188),0,IF((YEAR(D188)+12)&gt;YEAR(E188),1,(12-MONTH(E188)+1)/12))) + (R188)*(IF((YEAR(D188)+12)&lt;YEAR(E188),0,IF((YEAR(D188)+12)&gt;YEAR(E188),1,(12-MONTH(E188)+1)/12))))-(IF(OR(N188="",N188&lt;=0),0,(O188/N188)*(IF(OR(N188="",N188&lt;=0),0,IF((YEAR(D188)+12)&lt;YEAR(E188),0,IF((YEAR(D188)+12)&gt;=YEAR(E188)+N188,0,IF((YEAR(D188)+12)=YEAR(E188),(12-MONTH(E188)+1)/12,1))))))))*TaxRate,0))-IF(12=0,O188,0))</f>
        <v/>
      </c>
      <c r="AF188" s="29">
        <f>IF(A188="","",((K188)*(IF(M188="",L188,IFERROR(IF(INDEX(Variablen!$I:$AT, MATCH(M188, Variablen!$A:$A, 0), MATCH((YEAR(D188)+13), Variablen!$I$3:$AT$3, 0))="",L188,INDEX(Variablen!$I:$AT, MATCH(M188, Variablen!$A:$A, 0), MATCH((YEAR(D188)+13), Variablen!$I$3:$AT$3, 0))),L188)))*(IF((YEAR(D188)+13)&lt;YEAR(E188),0,IF((YEAR(D188)+13)&gt;YEAR(E188),1,(12-MONTH(E188)+1)/12))) + (Q188)*(IF((YEAR(D188)+13)&lt;YEAR(E188),0,IF((YEAR(D188)+13)&gt;YEAR(E188),1,(12-MONTH(E188)+1)/12))))-((P188)*(IF((YEAR(D188)+13)&lt;YEAR(E188),0,IF((YEAR(D188)+13)&gt;YEAR(E188),1,(12-MONTH(E188)+1)/12))) + (R188)*(IF((YEAR(D188)+13)&lt;YEAR(E188),0,IF((YEAR(D188)+13)&gt;YEAR(E188),1,(12-MONTH(E188)+1)/12))))-(IF((((K188)*(IF(M188="",L188,IFERROR(IF(INDEX(Variablen!$I:$AT, MATCH(M188, Variablen!$A:$A, 0), MATCH((YEAR(D188)+13), Variablen!$I$3:$AT$3, 0))="",L188,INDEX(Variablen!$I:$AT, MATCH(M188, Variablen!$A:$A, 0), MATCH((YEAR(D188)+13), Variablen!$I$3:$AT$3, 0))),L188)))*(IF((YEAR(D188)+13)&lt;YEAR(E188),0,IF((YEAR(D188)+13)&gt;YEAR(E188),1,(12-MONTH(E188)+1)/12))) + (Q188)*(IF((YEAR(D188)+13)&lt;YEAR(E188),0,IF((YEAR(D188)+13)&gt;YEAR(E188),1,(12-MONTH(E188)+1)/12))))-((P188)*(IF((YEAR(D188)+13)&lt;YEAR(E188),0,IF((YEAR(D188)+13)&gt;YEAR(E188),1,(12-MONTH(E188)+1)/12))) + (R188)*(IF((YEAR(D188)+13)&lt;YEAR(E188),0,IF((YEAR(D188)+13)&gt;YEAR(E188),1,(12-MONTH(E188)+1)/12))))-(IF(OR(N188="",N188&lt;=0),0,(O188/N188)*(IF(OR(N188="",N188&lt;=0),0,IF((YEAR(D188)+13)&lt;YEAR(E188),0,IF((YEAR(D188)+13)&gt;=YEAR(E188)+N188,0,IF((YEAR(D188)+13)=YEAR(E188),(12-MONTH(E188)+1)/12,1))))))))&gt;0,(((K188)*(IF(M188="",L188,IFERROR(IF(INDEX(Variablen!$I:$AT, MATCH(M188, Variablen!$A:$A, 0), MATCH((YEAR(D188)+13), Variablen!$I$3:$AT$3, 0))="",L188,INDEX(Variablen!$I:$AT, MATCH(M188, Variablen!$A:$A, 0), MATCH((YEAR(D188)+13), Variablen!$I$3:$AT$3, 0))),L188)))*(IF((YEAR(D188)+13)&lt;YEAR(E188),0,IF((YEAR(D188)+13)&gt;YEAR(E188),1,(12-MONTH(E188)+1)/12))) + (Q188)*(IF((YEAR(D188)+13)&lt;YEAR(E188),0,IF((YEAR(D188)+13)&gt;YEAR(E188),1,(12-MONTH(E188)+1)/12))))-((P188)*(IF((YEAR(D188)+13)&lt;YEAR(E188),0,IF((YEAR(D188)+13)&gt;YEAR(E188),1,(12-MONTH(E188)+1)/12))) + (R188)*(IF((YEAR(D188)+13)&lt;YEAR(E188),0,IF((YEAR(D188)+13)&gt;YEAR(E188),1,(12-MONTH(E188)+1)/12))))-(IF(OR(N188="",N188&lt;=0),0,(O188/N188)*(IF(OR(N188="",N188&lt;=0),0,IF((YEAR(D188)+13)&lt;YEAR(E188),0,IF((YEAR(D188)+13)&gt;=YEAR(E188)+N188,0,IF((YEAR(D188)+13)=YEAR(E188),(12-MONTH(E188)+1)/12,1))))))))*TaxRate,0))-IF(13=0,O188,0))</f>
        <v/>
      </c>
      <c r="AG188" s="29">
        <f>IF(A188="","",((K188)*(IF(M188="",L188,IFERROR(IF(INDEX(Variablen!$I:$AT, MATCH(M188, Variablen!$A:$A, 0), MATCH((YEAR(D188)+14), Variablen!$I$3:$AT$3, 0))="",L188,INDEX(Variablen!$I:$AT, MATCH(M188, Variablen!$A:$A, 0), MATCH((YEAR(D188)+14), Variablen!$I$3:$AT$3, 0))),L188)))*(IF((YEAR(D188)+14)&lt;YEAR(E188),0,IF((YEAR(D188)+14)&gt;YEAR(E188),1,(12-MONTH(E188)+1)/12))) + (Q188)*(IF((YEAR(D188)+14)&lt;YEAR(E188),0,IF((YEAR(D188)+14)&gt;YEAR(E188),1,(12-MONTH(E188)+1)/12))))-((P188)*(IF((YEAR(D188)+14)&lt;YEAR(E188),0,IF((YEAR(D188)+14)&gt;YEAR(E188),1,(12-MONTH(E188)+1)/12))) + (R188)*(IF((YEAR(D188)+14)&lt;YEAR(E188),0,IF((YEAR(D188)+14)&gt;YEAR(E188),1,(12-MONTH(E188)+1)/12))))-(IF((((K188)*(IF(M188="",L188,IFERROR(IF(INDEX(Variablen!$I:$AT, MATCH(M188, Variablen!$A:$A, 0), MATCH((YEAR(D188)+14), Variablen!$I$3:$AT$3, 0))="",L188,INDEX(Variablen!$I:$AT, MATCH(M188, Variablen!$A:$A, 0), MATCH((YEAR(D188)+14), Variablen!$I$3:$AT$3, 0))),L188)))*(IF((YEAR(D188)+14)&lt;YEAR(E188),0,IF((YEAR(D188)+14)&gt;YEAR(E188),1,(12-MONTH(E188)+1)/12))) + (Q188)*(IF((YEAR(D188)+14)&lt;YEAR(E188),0,IF((YEAR(D188)+14)&gt;YEAR(E188),1,(12-MONTH(E188)+1)/12))))-((P188)*(IF((YEAR(D188)+14)&lt;YEAR(E188),0,IF((YEAR(D188)+14)&gt;YEAR(E188),1,(12-MONTH(E188)+1)/12))) + (R188)*(IF((YEAR(D188)+14)&lt;YEAR(E188),0,IF((YEAR(D188)+14)&gt;YEAR(E188),1,(12-MONTH(E188)+1)/12))))-(IF(OR(N188="",N188&lt;=0),0,(O188/N188)*(IF(OR(N188="",N188&lt;=0),0,IF((YEAR(D188)+14)&lt;YEAR(E188),0,IF((YEAR(D188)+14)&gt;=YEAR(E188)+N188,0,IF((YEAR(D188)+14)=YEAR(E188),(12-MONTH(E188)+1)/12,1))))))))&gt;0,(((K188)*(IF(M188="",L188,IFERROR(IF(INDEX(Variablen!$I:$AT, MATCH(M188, Variablen!$A:$A, 0), MATCH((YEAR(D188)+14), Variablen!$I$3:$AT$3, 0))="",L188,INDEX(Variablen!$I:$AT, MATCH(M188, Variablen!$A:$A, 0), MATCH((YEAR(D188)+14), Variablen!$I$3:$AT$3, 0))),L188)))*(IF((YEAR(D188)+14)&lt;YEAR(E188),0,IF((YEAR(D188)+14)&gt;YEAR(E188),1,(12-MONTH(E188)+1)/12))) + (Q188)*(IF((YEAR(D188)+14)&lt;YEAR(E188),0,IF((YEAR(D188)+14)&gt;YEAR(E188),1,(12-MONTH(E188)+1)/12))))-((P188)*(IF((YEAR(D188)+14)&lt;YEAR(E188),0,IF((YEAR(D188)+14)&gt;YEAR(E188),1,(12-MONTH(E188)+1)/12))) + (R188)*(IF((YEAR(D188)+14)&lt;YEAR(E188),0,IF((YEAR(D188)+14)&gt;YEAR(E188),1,(12-MONTH(E188)+1)/12))))-(IF(OR(N188="",N188&lt;=0),0,(O188/N188)*(IF(OR(N188="",N188&lt;=0),0,IF((YEAR(D188)+14)&lt;YEAR(E188),0,IF((YEAR(D188)+14)&gt;=YEAR(E188)+N188,0,IF((YEAR(D188)+14)=YEAR(E188),(12-MONTH(E188)+1)/12,1))))))))*TaxRate,0))-IF(14=0,O188,0))</f>
        <v/>
      </c>
      <c r="AH188" s="29">
        <f>IF(A188="","",((K188)*(IF(M188="",L188,IFERROR(IF(INDEX(Variablen!$I:$AT, MATCH(M188, Variablen!$A:$A, 0), MATCH((YEAR(D188)+15), Variablen!$I$3:$AT$3, 0))="",L188,INDEX(Variablen!$I:$AT, MATCH(M188, Variablen!$A:$A, 0), MATCH((YEAR(D188)+15), Variablen!$I$3:$AT$3, 0))),L188)))*(IF((YEAR(D188)+15)&lt;YEAR(E188),0,IF((YEAR(D188)+15)&gt;YEAR(E188),1,(12-MONTH(E188)+1)/12))) + (Q188)*(IF((YEAR(D188)+15)&lt;YEAR(E188),0,IF((YEAR(D188)+15)&gt;YEAR(E188),1,(12-MONTH(E188)+1)/12))))-((P188)*(IF((YEAR(D188)+15)&lt;YEAR(E188),0,IF((YEAR(D188)+15)&gt;YEAR(E188),1,(12-MONTH(E188)+1)/12))) + (R188)*(IF((YEAR(D188)+15)&lt;YEAR(E188),0,IF((YEAR(D188)+15)&gt;YEAR(E188),1,(12-MONTH(E188)+1)/12))))-(IF((((K188)*(IF(M188="",L188,IFERROR(IF(INDEX(Variablen!$I:$AT, MATCH(M188, Variablen!$A:$A, 0), MATCH((YEAR(D188)+15), Variablen!$I$3:$AT$3, 0))="",L188,INDEX(Variablen!$I:$AT, MATCH(M188, Variablen!$A:$A, 0), MATCH((YEAR(D188)+15), Variablen!$I$3:$AT$3, 0))),L188)))*(IF((YEAR(D188)+15)&lt;YEAR(E188),0,IF((YEAR(D188)+15)&gt;YEAR(E188),1,(12-MONTH(E188)+1)/12))) + (Q188)*(IF((YEAR(D188)+15)&lt;YEAR(E188),0,IF((YEAR(D188)+15)&gt;YEAR(E188),1,(12-MONTH(E188)+1)/12))))-((P188)*(IF((YEAR(D188)+15)&lt;YEAR(E188),0,IF((YEAR(D188)+15)&gt;YEAR(E188),1,(12-MONTH(E188)+1)/12))) + (R188)*(IF((YEAR(D188)+15)&lt;YEAR(E188),0,IF((YEAR(D188)+15)&gt;YEAR(E188),1,(12-MONTH(E188)+1)/12))))-(IF(OR(N188="",N188&lt;=0),0,(O188/N188)*(IF(OR(N188="",N188&lt;=0),0,IF((YEAR(D188)+15)&lt;YEAR(E188),0,IF((YEAR(D188)+15)&gt;=YEAR(E188)+N188,0,IF((YEAR(D188)+15)=YEAR(E188),(12-MONTH(E188)+1)/12,1))))))))&gt;0,(((K188)*(IF(M188="",L188,IFERROR(IF(INDEX(Variablen!$I:$AT, MATCH(M188, Variablen!$A:$A, 0), MATCH((YEAR(D188)+15), Variablen!$I$3:$AT$3, 0))="",L188,INDEX(Variablen!$I:$AT, MATCH(M188, Variablen!$A:$A, 0), MATCH((YEAR(D188)+15), Variablen!$I$3:$AT$3, 0))),L188)))*(IF((YEAR(D188)+15)&lt;YEAR(E188),0,IF((YEAR(D188)+15)&gt;YEAR(E188),1,(12-MONTH(E188)+1)/12))) + (Q188)*(IF((YEAR(D188)+15)&lt;YEAR(E188),0,IF((YEAR(D188)+15)&gt;YEAR(E188),1,(12-MONTH(E188)+1)/12))))-((P188)*(IF((YEAR(D188)+15)&lt;YEAR(E188),0,IF((YEAR(D188)+15)&gt;YEAR(E188),1,(12-MONTH(E188)+1)/12))) + (R188)*(IF((YEAR(D188)+15)&lt;YEAR(E188),0,IF((YEAR(D188)+15)&gt;YEAR(E188),1,(12-MONTH(E188)+1)/12))))-(IF(OR(N188="",N188&lt;=0),0,(O188/N188)*(IF(OR(N188="",N188&lt;=0),0,IF((YEAR(D188)+15)&lt;YEAR(E188),0,IF((YEAR(D188)+15)&gt;=YEAR(E188)+N188,0,IF((YEAR(D188)+15)=YEAR(E188),(12-MONTH(E188)+1)/12,1))))))))*TaxRate,0))-IF(15=0,O188,0))</f>
        <v/>
      </c>
      <c r="AI188" s="29">
        <f>IF(A188="","",((K188)*(IF(M188="",L188,IFERROR(IF(INDEX(Variablen!$I:$AT, MATCH(M188, Variablen!$A:$A, 0), MATCH((YEAR(D188)+16), Variablen!$I$3:$AT$3, 0))="",L188,INDEX(Variablen!$I:$AT, MATCH(M188, Variablen!$A:$A, 0), MATCH((YEAR(D188)+16), Variablen!$I$3:$AT$3, 0))),L188)))*(IF((YEAR(D188)+16)&lt;YEAR(E188),0,IF((YEAR(D188)+16)&gt;YEAR(E188),1,(12-MONTH(E188)+1)/12))) + (Q188)*(IF((YEAR(D188)+16)&lt;YEAR(E188),0,IF((YEAR(D188)+16)&gt;YEAR(E188),1,(12-MONTH(E188)+1)/12))))-((P188)*(IF((YEAR(D188)+16)&lt;YEAR(E188),0,IF((YEAR(D188)+16)&gt;YEAR(E188),1,(12-MONTH(E188)+1)/12))) + (R188)*(IF((YEAR(D188)+16)&lt;YEAR(E188),0,IF((YEAR(D188)+16)&gt;YEAR(E188),1,(12-MONTH(E188)+1)/12))))-(IF((((K188)*(IF(M188="",L188,IFERROR(IF(INDEX(Variablen!$I:$AT, MATCH(M188, Variablen!$A:$A, 0), MATCH((YEAR(D188)+16), Variablen!$I$3:$AT$3, 0))="",L188,INDEX(Variablen!$I:$AT, MATCH(M188, Variablen!$A:$A, 0), MATCH((YEAR(D188)+16), Variablen!$I$3:$AT$3, 0))),L188)))*(IF((YEAR(D188)+16)&lt;YEAR(E188),0,IF((YEAR(D188)+16)&gt;YEAR(E188),1,(12-MONTH(E188)+1)/12))) + (Q188)*(IF((YEAR(D188)+16)&lt;YEAR(E188),0,IF((YEAR(D188)+16)&gt;YEAR(E188),1,(12-MONTH(E188)+1)/12))))-((P188)*(IF((YEAR(D188)+16)&lt;YEAR(E188),0,IF((YEAR(D188)+16)&gt;YEAR(E188),1,(12-MONTH(E188)+1)/12))) + (R188)*(IF((YEAR(D188)+16)&lt;YEAR(E188),0,IF((YEAR(D188)+16)&gt;YEAR(E188),1,(12-MONTH(E188)+1)/12))))-(IF(OR(N188="",N188&lt;=0),0,(O188/N188)*(IF(OR(N188="",N188&lt;=0),0,IF((YEAR(D188)+16)&lt;YEAR(E188),0,IF((YEAR(D188)+16)&gt;=YEAR(E188)+N188,0,IF((YEAR(D188)+16)=YEAR(E188),(12-MONTH(E188)+1)/12,1))))))))&gt;0,(((K188)*(IF(M188="",L188,IFERROR(IF(INDEX(Variablen!$I:$AT, MATCH(M188, Variablen!$A:$A, 0), MATCH((YEAR(D188)+16), Variablen!$I$3:$AT$3, 0))="",L188,INDEX(Variablen!$I:$AT, MATCH(M188, Variablen!$A:$A, 0), MATCH((YEAR(D188)+16), Variablen!$I$3:$AT$3, 0))),L188)))*(IF((YEAR(D188)+16)&lt;YEAR(E188),0,IF((YEAR(D188)+16)&gt;YEAR(E188),1,(12-MONTH(E188)+1)/12))) + (Q188)*(IF((YEAR(D188)+16)&lt;YEAR(E188),0,IF((YEAR(D188)+16)&gt;YEAR(E188),1,(12-MONTH(E188)+1)/12))))-((P188)*(IF((YEAR(D188)+16)&lt;YEAR(E188),0,IF((YEAR(D188)+16)&gt;YEAR(E188),1,(12-MONTH(E188)+1)/12))) + (R188)*(IF((YEAR(D188)+16)&lt;YEAR(E188),0,IF((YEAR(D188)+16)&gt;YEAR(E188),1,(12-MONTH(E188)+1)/12))))-(IF(OR(N188="",N188&lt;=0),0,(O188/N188)*(IF(OR(N188="",N188&lt;=0),0,IF((YEAR(D188)+16)&lt;YEAR(E188),0,IF((YEAR(D188)+16)&gt;=YEAR(E188)+N188,0,IF((YEAR(D188)+16)=YEAR(E188),(12-MONTH(E188)+1)/12,1))))))))*TaxRate,0))-IF(16=0,O188,0))</f>
        <v/>
      </c>
      <c r="AJ188" s="29">
        <f>IF(A188="","",((K188)*(IF(M188="",L188,IFERROR(IF(INDEX(Variablen!$I:$AT, MATCH(M188, Variablen!$A:$A, 0), MATCH((YEAR(D188)+17), Variablen!$I$3:$AT$3, 0))="",L188,INDEX(Variablen!$I:$AT, MATCH(M188, Variablen!$A:$A, 0), MATCH((YEAR(D188)+17), Variablen!$I$3:$AT$3, 0))),L188)))*(IF((YEAR(D188)+17)&lt;YEAR(E188),0,IF((YEAR(D188)+17)&gt;YEAR(E188),1,(12-MONTH(E188)+1)/12))) + (Q188)*(IF((YEAR(D188)+17)&lt;YEAR(E188),0,IF((YEAR(D188)+17)&gt;YEAR(E188),1,(12-MONTH(E188)+1)/12))))-((P188)*(IF((YEAR(D188)+17)&lt;YEAR(E188),0,IF((YEAR(D188)+17)&gt;YEAR(E188),1,(12-MONTH(E188)+1)/12))) + (R188)*(IF((YEAR(D188)+17)&lt;YEAR(E188),0,IF((YEAR(D188)+17)&gt;YEAR(E188),1,(12-MONTH(E188)+1)/12))))-(IF((((K188)*(IF(M188="",L188,IFERROR(IF(INDEX(Variablen!$I:$AT, MATCH(M188, Variablen!$A:$A, 0), MATCH((YEAR(D188)+17), Variablen!$I$3:$AT$3, 0))="",L188,INDEX(Variablen!$I:$AT, MATCH(M188, Variablen!$A:$A, 0), MATCH((YEAR(D188)+17), Variablen!$I$3:$AT$3, 0))),L188)))*(IF((YEAR(D188)+17)&lt;YEAR(E188),0,IF((YEAR(D188)+17)&gt;YEAR(E188),1,(12-MONTH(E188)+1)/12))) + (Q188)*(IF((YEAR(D188)+17)&lt;YEAR(E188),0,IF((YEAR(D188)+17)&gt;YEAR(E188),1,(12-MONTH(E188)+1)/12))))-((P188)*(IF((YEAR(D188)+17)&lt;YEAR(E188),0,IF((YEAR(D188)+17)&gt;YEAR(E188),1,(12-MONTH(E188)+1)/12))) + (R188)*(IF((YEAR(D188)+17)&lt;YEAR(E188),0,IF((YEAR(D188)+17)&gt;YEAR(E188),1,(12-MONTH(E188)+1)/12))))-(IF(OR(N188="",N188&lt;=0),0,(O188/N188)*(IF(OR(N188="",N188&lt;=0),0,IF((YEAR(D188)+17)&lt;YEAR(E188),0,IF((YEAR(D188)+17)&gt;=YEAR(E188)+N188,0,IF((YEAR(D188)+17)=YEAR(E188),(12-MONTH(E188)+1)/12,1))))))))&gt;0,(((K188)*(IF(M188="",L188,IFERROR(IF(INDEX(Variablen!$I:$AT, MATCH(M188, Variablen!$A:$A, 0), MATCH((YEAR(D188)+17), Variablen!$I$3:$AT$3, 0))="",L188,INDEX(Variablen!$I:$AT, MATCH(M188, Variablen!$A:$A, 0), MATCH((YEAR(D188)+17), Variablen!$I$3:$AT$3, 0))),L188)))*(IF((YEAR(D188)+17)&lt;YEAR(E188),0,IF((YEAR(D188)+17)&gt;YEAR(E188),1,(12-MONTH(E188)+1)/12))) + (Q188)*(IF((YEAR(D188)+17)&lt;YEAR(E188),0,IF((YEAR(D188)+17)&gt;YEAR(E188),1,(12-MONTH(E188)+1)/12))))-((P188)*(IF((YEAR(D188)+17)&lt;YEAR(E188),0,IF((YEAR(D188)+17)&gt;YEAR(E188),1,(12-MONTH(E188)+1)/12))) + (R188)*(IF((YEAR(D188)+17)&lt;YEAR(E188),0,IF((YEAR(D188)+17)&gt;YEAR(E188),1,(12-MONTH(E188)+1)/12))))-(IF(OR(N188="",N188&lt;=0),0,(O188/N188)*(IF(OR(N188="",N188&lt;=0),0,IF((YEAR(D188)+17)&lt;YEAR(E188),0,IF((YEAR(D188)+17)&gt;=YEAR(E188)+N188,0,IF((YEAR(D188)+17)=YEAR(E188),(12-MONTH(E188)+1)/12,1))))))))*TaxRate,0))-IF(17=0,O188,0))</f>
        <v/>
      </c>
      <c r="AK188" s="29">
        <f>IF(A188="","",((K188)*(IF(M188="",L188,IFERROR(IF(INDEX(Variablen!$I:$AT, MATCH(M188, Variablen!$A:$A, 0), MATCH((YEAR(D188)+18), Variablen!$I$3:$AT$3, 0))="",L188,INDEX(Variablen!$I:$AT, MATCH(M188, Variablen!$A:$A, 0), MATCH((YEAR(D188)+18), Variablen!$I$3:$AT$3, 0))),L188)))*(IF((YEAR(D188)+18)&lt;YEAR(E188),0,IF((YEAR(D188)+18)&gt;YEAR(E188),1,(12-MONTH(E188)+1)/12))) + (Q188)*(IF((YEAR(D188)+18)&lt;YEAR(E188),0,IF((YEAR(D188)+18)&gt;YEAR(E188),1,(12-MONTH(E188)+1)/12))))-((P188)*(IF((YEAR(D188)+18)&lt;YEAR(E188),0,IF((YEAR(D188)+18)&gt;YEAR(E188),1,(12-MONTH(E188)+1)/12))) + (R188)*(IF((YEAR(D188)+18)&lt;YEAR(E188),0,IF((YEAR(D188)+18)&gt;YEAR(E188),1,(12-MONTH(E188)+1)/12))))-(IF((((K188)*(IF(M188="",L188,IFERROR(IF(INDEX(Variablen!$I:$AT, MATCH(M188, Variablen!$A:$A, 0), MATCH((YEAR(D188)+18), Variablen!$I$3:$AT$3, 0))="",L188,INDEX(Variablen!$I:$AT, MATCH(M188, Variablen!$A:$A, 0), MATCH((YEAR(D188)+18), Variablen!$I$3:$AT$3, 0))),L188)))*(IF((YEAR(D188)+18)&lt;YEAR(E188),0,IF((YEAR(D188)+18)&gt;YEAR(E188),1,(12-MONTH(E188)+1)/12))) + (Q188)*(IF((YEAR(D188)+18)&lt;YEAR(E188),0,IF((YEAR(D188)+18)&gt;YEAR(E188),1,(12-MONTH(E188)+1)/12))))-((P188)*(IF((YEAR(D188)+18)&lt;YEAR(E188),0,IF((YEAR(D188)+18)&gt;YEAR(E188),1,(12-MONTH(E188)+1)/12))) + (R188)*(IF((YEAR(D188)+18)&lt;YEAR(E188),0,IF((YEAR(D188)+18)&gt;YEAR(E188),1,(12-MONTH(E188)+1)/12))))-(IF(OR(N188="",N188&lt;=0),0,(O188/N188)*(IF(OR(N188="",N188&lt;=0),0,IF((YEAR(D188)+18)&lt;YEAR(E188),0,IF((YEAR(D188)+18)&gt;=YEAR(E188)+N188,0,IF((YEAR(D188)+18)=YEAR(E188),(12-MONTH(E188)+1)/12,1))))))))&gt;0,(((K188)*(IF(M188="",L188,IFERROR(IF(INDEX(Variablen!$I:$AT, MATCH(M188, Variablen!$A:$A, 0), MATCH((YEAR(D188)+18), Variablen!$I$3:$AT$3, 0))="",L188,INDEX(Variablen!$I:$AT, MATCH(M188, Variablen!$A:$A, 0), MATCH((YEAR(D188)+18), Variablen!$I$3:$AT$3, 0))),L188)))*(IF((YEAR(D188)+18)&lt;YEAR(E188),0,IF((YEAR(D188)+18)&gt;YEAR(E188),1,(12-MONTH(E188)+1)/12))) + (Q188)*(IF((YEAR(D188)+18)&lt;YEAR(E188),0,IF((YEAR(D188)+18)&gt;YEAR(E188),1,(12-MONTH(E188)+1)/12))))-((P188)*(IF((YEAR(D188)+18)&lt;YEAR(E188),0,IF((YEAR(D188)+18)&gt;YEAR(E188),1,(12-MONTH(E188)+1)/12))) + (R188)*(IF((YEAR(D188)+18)&lt;YEAR(E188),0,IF((YEAR(D188)+18)&gt;YEAR(E188),1,(12-MONTH(E188)+1)/12))))-(IF(OR(N188="",N188&lt;=0),0,(O188/N188)*(IF(OR(N188="",N188&lt;=0),0,IF((YEAR(D188)+18)&lt;YEAR(E188),0,IF((YEAR(D188)+18)&gt;=YEAR(E188)+N188,0,IF((YEAR(D188)+18)=YEAR(E188),(12-MONTH(E188)+1)/12,1))))))))*TaxRate,0))-IF(18=0,O188,0))</f>
        <v/>
      </c>
      <c r="AL188" s="29">
        <f>IF(A188="","",((K188)*(IF(M188="",L188,IFERROR(IF(INDEX(Variablen!$I:$AT, MATCH(M188, Variablen!$A:$A, 0), MATCH((YEAR(D188)+19), Variablen!$I$3:$AT$3, 0))="",L188,INDEX(Variablen!$I:$AT, MATCH(M188, Variablen!$A:$A, 0), MATCH((YEAR(D188)+19), Variablen!$I$3:$AT$3, 0))),L188)))*(IF((YEAR(D188)+19)&lt;YEAR(E188),0,IF((YEAR(D188)+19)&gt;YEAR(E188),1,(12-MONTH(E188)+1)/12))) + (Q188)*(IF((YEAR(D188)+19)&lt;YEAR(E188),0,IF((YEAR(D188)+19)&gt;YEAR(E188),1,(12-MONTH(E188)+1)/12))))-((P188)*(IF((YEAR(D188)+19)&lt;YEAR(E188),0,IF((YEAR(D188)+19)&gt;YEAR(E188),1,(12-MONTH(E188)+1)/12))) + (R188)*(IF((YEAR(D188)+19)&lt;YEAR(E188),0,IF((YEAR(D188)+19)&gt;YEAR(E188),1,(12-MONTH(E188)+1)/12))))-(IF((((K188)*(IF(M188="",L188,IFERROR(IF(INDEX(Variablen!$I:$AT, MATCH(M188, Variablen!$A:$A, 0), MATCH((YEAR(D188)+19), Variablen!$I$3:$AT$3, 0))="",L188,INDEX(Variablen!$I:$AT, MATCH(M188, Variablen!$A:$A, 0), MATCH((YEAR(D188)+19), Variablen!$I$3:$AT$3, 0))),L188)))*(IF((YEAR(D188)+19)&lt;YEAR(E188),0,IF((YEAR(D188)+19)&gt;YEAR(E188),1,(12-MONTH(E188)+1)/12))) + (Q188)*(IF((YEAR(D188)+19)&lt;YEAR(E188),0,IF((YEAR(D188)+19)&gt;YEAR(E188),1,(12-MONTH(E188)+1)/12))))-((P188)*(IF((YEAR(D188)+19)&lt;YEAR(E188),0,IF((YEAR(D188)+19)&gt;YEAR(E188),1,(12-MONTH(E188)+1)/12))) + (R188)*(IF((YEAR(D188)+19)&lt;YEAR(E188),0,IF((YEAR(D188)+19)&gt;YEAR(E188),1,(12-MONTH(E188)+1)/12))))-(IF(OR(N188="",N188&lt;=0),0,(O188/N188)*(IF(OR(N188="",N188&lt;=0),0,IF((YEAR(D188)+19)&lt;YEAR(E188),0,IF((YEAR(D188)+19)&gt;=YEAR(E188)+N188,0,IF((YEAR(D188)+19)=YEAR(E188),(12-MONTH(E188)+1)/12,1))))))))&gt;0,(((K188)*(IF(M188="",L188,IFERROR(IF(INDEX(Variablen!$I:$AT, MATCH(M188, Variablen!$A:$A, 0), MATCH((YEAR(D188)+19), Variablen!$I$3:$AT$3, 0))="",L188,INDEX(Variablen!$I:$AT, MATCH(M188, Variablen!$A:$A, 0), MATCH((YEAR(D188)+19), Variablen!$I$3:$AT$3, 0))),L188)))*(IF((YEAR(D188)+19)&lt;YEAR(E188),0,IF((YEAR(D188)+19)&gt;YEAR(E188),1,(12-MONTH(E188)+1)/12))) + (Q188)*(IF((YEAR(D188)+19)&lt;YEAR(E188),0,IF((YEAR(D188)+19)&gt;YEAR(E188),1,(12-MONTH(E188)+1)/12))))-((P188)*(IF((YEAR(D188)+19)&lt;YEAR(E188),0,IF((YEAR(D188)+19)&gt;YEAR(E188),1,(12-MONTH(E188)+1)/12))) + (R188)*(IF((YEAR(D188)+19)&lt;YEAR(E188),0,IF((YEAR(D188)+19)&gt;YEAR(E188),1,(12-MONTH(E188)+1)/12))))-(IF(OR(N188="",N188&lt;=0),0,(O188/N188)*(IF(OR(N188="",N188&lt;=0),0,IF((YEAR(D188)+19)&lt;YEAR(E188),0,IF((YEAR(D188)+19)&gt;=YEAR(E188)+N188,0,IF((YEAR(D188)+19)=YEAR(E188),(12-MONTH(E188)+1)/12,1))))))))*TaxRate,0))-IF(19=0,O188,0))</f>
        <v/>
      </c>
      <c r="AM188" s="29">
        <f>IF(A188="","",((K188)*(IF(M188="",L188,IFERROR(IF(INDEX(Variablen!$I:$AT, MATCH(M188, Variablen!$A:$A, 0), MATCH((YEAR(D188)+20), Variablen!$I$3:$AT$3, 0))="",L188,INDEX(Variablen!$I:$AT, MATCH(M188, Variablen!$A:$A, 0), MATCH((YEAR(D188)+20), Variablen!$I$3:$AT$3, 0))),L188)))*(IF((YEAR(D188)+20)&lt;YEAR(E188),0,IF((YEAR(D188)+20)&gt;YEAR(E188),1,(12-MONTH(E188)+1)/12))) + (Q188)*(IF((YEAR(D188)+20)&lt;YEAR(E188),0,IF((YEAR(D188)+20)&gt;YEAR(E188),1,(12-MONTH(E188)+1)/12))))-((P188)*(IF((YEAR(D188)+20)&lt;YEAR(E188),0,IF((YEAR(D188)+20)&gt;YEAR(E188),1,(12-MONTH(E188)+1)/12))) + (R188)*(IF((YEAR(D188)+20)&lt;YEAR(E188),0,IF((YEAR(D188)+20)&gt;YEAR(E188),1,(12-MONTH(E188)+1)/12))))-(IF((((K188)*(IF(M188="",L188,IFERROR(IF(INDEX(Variablen!$I:$AT, MATCH(M188, Variablen!$A:$A, 0), MATCH((YEAR(D188)+20), Variablen!$I$3:$AT$3, 0))="",L188,INDEX(Variablen!$I:$AT, MATCH(M188, Variablen!$A:$A, 0), MATCH((YEAR(D188)+20), Variablen!$I$3:$AT$3, 0))),L188)))*(IF((YEAR(D188)+20)&lt;YEAR(E188),0,IF((YEAR(D188)+20)&gt;YEAR(E188),1,(12-MONTH(E188)+1)/12))) + (Q188)*(IF((YEAR(D188)+20)&lt;YEAR(E188),0,IF((YEAR(D188)+20)&gt;YEAR(E188),1,(12-MONTH(E188)+1)/12))))-((P188)*(IF((YEAR(D188)+20)&lt;YEAR(E188),0,IF((YEAR(D188)+20)&gt;YEAR(E188),1,(12-MONTH(E188)+1)/12))) + (R188)*(IF((YEAR(D188)+20)&lt;YEAR(E188),0,IF((YEAR(D188)+20)&gt;YEAR(E188),1,(12-MONTH(E188)+1)/12))))-(IF(OR(N188="",N188&lt;=0),0,(O188/N188)*(IF(OR(N188="",N188&lt;=0),0,IF((YEAR(D188)+20)&lt;YEAR(E188),0,IF((YEAR(D188)+20)&gt;=YEAR(E188)+N188,0,IF((YEAR(D188)+20)=YEAR(E188),(12-MONTH(E188)+1)/12,1))))))))&gt;0,(((K188)*(IF(M188="",L188,IFERROR(IF(INDEX(Variablen!$I:$AT, MATCH(M188, Variablen!$A:$A, 0), MATCH((YEAR(D188)+20), Variablen!$I$3:$AT$3, 0))="",L188,INDEX(Variablen!$I:$AT, MATCH(M188, Variablen!$A:$A, 0), MATCH((YEAR(D188)+20), Variablen!$I$3:$AT$3, 0))),L188)))*(IF((YEAR(D188)+20)&lt;YEAR(E188),0,IF((YEAR(D188)+20)&gt;YEAR(E188),1,(12-MONTH(E188)+1)/12))) + (Q188)*(IF((YEAR(D188)+20)&lt;YEAR(E188),0,IF((YEAR(D188)+20)&gt;YEAR(E188),1,(12-MONTH(E188)+1)/12))))-((P188)*(IF((YEAR(D188)+20)&lt;YEAR(E188),0,IF((YEAR(D188)+20)&gt;YEAR(E188),1,(12-MONTH(E188)+1)/12))) + (R188)*(IF((YEAR(D188)+20)&lt;YEAR(E188),0,IF((YEAR(D188)+20)&gt;YEAR(E188),1,(12-MONTH(E188)+1)/12))))-(IF(OR(N188="",N188&lt;=0),0,(O188/N188)*(IF(OR(N188="",N188&lt;=0),0,IF((YEAR(D188)+20)&lt;YEAR(E188),0,IF((YEAR(D188)+20)&gt;=YEAR(E188)+N188,0,IF((YEAR(D188)+20)=YEAR(E188),(12-MONTH(E188)+1)/12,1))))))))*TaxRate,0))-IF(20=0,O188,0))</f>
        <v/>
      </c>
      <c r="AN188" s="29">
        <f>IF(A188="","",S188)</f>
        <v/>
      </c>
      <c r="AO188" s="29">
        <f>IF(A188="","",AN188+T188)</f>
        <v/>
      </c>
      <c r="AP188" s="29">
        <f>IF(A188="","",AO188+U188)</f>
        <v/>
      </c>
      <c r="AQ188" s="29">
        <f>IF(A188="","",AP188+V188)</f>
        <v/>
      </c>
      <c r="AR188" s="29">
        <f>IF(A188="","",AQ188+W188)</f>
        <v/>
      </c>
      <c r="AS188" s="29">
        <f>IF(A188="","",AR188+X188)</f>
        <v/>
      </c>
      <c r="AT188" s="29">
        <f>IF(A188="","",AS188+Y188)</f>
        <v/>
      </c>
      <c r="AU188" s="29">
        <f>IF(A188="","",AT188+Z188)</f>
        <v/>
      </c>
      <c r="AV188" s="29">
        <f>IF(A188="","",AU188+AA188)</f>
        <v/>
      </c>
      <c r="AW188" s="29">
        <f>IF(A188="","",AV188+AB188)</f>
        <v/>
      </c>
      <c r="AX188" s="29">
        <f>IF(A188="","",AW188+AC188)</f>
        <v/>
      </c>
      <c r="AY188" s="29">
        <f>IF(A188="","",AX188+AD188)</f>
        <v/>
      </c>
      <c r="AZ188" s="29">
        <f>IF(A188="","",AY188+AE188)</f>
        <v/>
      </c>
      <c r="BA188" s="29">
        <f>IF(A188="","",AZ188+AF188)</f>
        <v/>
      </c>
      <c r="BB188" s="29">
        <f>IF(A188="","",BA188+AG188)</f>
        <v/>
      </c>
      <c r="BC188" s="29">
        <f>IF(A188="","",BB188+AH188)</f>
        <v/>
      </c>
      <c r="BD188" s="29">
        <f>IF(A188="","",BC188+AI188)</f>
        <v/>
      </c>
      <c r="BE188" s="29">
        <f>IF(A188="","",BD188+AJ188)</f>
        <v/>
      </c>
      <c r="BF188" s="29">
        <f>IF(A188="","",BE188+AK188)</f>
        <v/>
      </c>
      <c r="BG188" s="29">
        <f>IF(A188="","",BF188+AL188)</f>
        <v/>
      </c>
      <c r="BH188" s="29">
        <f>IF(A188="","",BG188+AM188)</f>
        <v/>
      </c>
      <c r="BI188" s="36">
        <f>IF(A188="","",(K188)*(IF((YEAR(D188)+0)&lt;YEAR(E188),0,IF((YEAR(D188)+0)&gt;YEAR(E188),1,(12-MONTH(E188)+1)/12)))*(1/(1+DiscountRate)^0))</f>
        <v/>
      </c>
      <c r="BJ188" s="36">
        <f>IF(A188="","",(K188)*(IF((YEAR(D188)+1)&lt;YEAR(E188),0,IF((YEAR(D188)+1)&gt;YEAR(E188),1,(12-MONTH(E188)+1)/12)))*(1/(1+DiscountRate)^1))</f>
        <v/>
      </c>
      <c r="BK188" s="36">
        <f>IF(A188="","",(K188)*(IF((YEAR(D188)+2)&lt;YEAR(E188),0,IF((YEAR(D188)+2)&gt;YEAR(E188),1,(12-MONTH(E188)+1)/12)))*(1/(1+DiscountRate)^2))</f>
        <v/>
      </c>
      <c r="BL188" s="36">
        <f>IF(A188="","",(K188)*(IF((YEAR(D188)+3)&lt;YEAR(E188),0,IF((YEAR(D188)+3)&gt;YEAR(E188),1,(12-MONTH(E188)+1)/12)))*(1/(1+DiscountRate)^3))</f>
        <v/>
      </c>
      <c r="BM188" s="36">
        <f>IF(A188="","",(K188)*(IF((YEAR(D188)+4)&lt;YEAR(E188),0,IF((YEAR(D188)+4)&gt;YEAR(E188),1,(12-MONTH(E188)+1)/12)))*(1/(1+DiscountRate)^4))</f>
        <v/>
      </c>
      <c r="BN188" s="36">
        <f>IF(A188="","",(K188)*(IF((YEAR(D188)+5)&lt;YEAR(E188),0,IF((YEAR(D188)+5)&gt;YEAR(E188),1,(12-MONTH(E188)+1)/12)))*(1/(1+DiscountRate)^5))</f>
        <v/>
      </c>
      <c r="BO188" s="36">
        <f>IF(A188="","",(K188)*(IF((YEAR(D188)+6)&lt;YEAR(E188),0,IF((YEAR(D188)+6)&gt;YEAR(E188),1,(12-MONTH(E188)+1)/12)))*(1/(1+DiscountRate)^6))</f>
        <v/>
      </c>
      <c r="BP188" s="36">
        <f>IF(A188="","",(K188)*(IF((YEAR(D188)+7)&lt;YEAR(E188),0,IF((YEAR(D188)+7)&gt;YEAR(E188),1,(12-MONTH(E188)+1)/12)))*(1/(1+DiscountRate)^7))</f>
        <v/>
      </c>
      <c r="BQ188" s="36">
        <f>IF(A188="","",(K188)*(IF((YEAR(D188)+8)&lt;YEAR(E188),0,IF((YEAR(D188)+8)&gt;YEAR(E188),1,(12-MONTH(E188)+1)/12)))*(1/(1+DiscountRate)^8))</f>
        <v/>
      </c>
      <c r="BR188" s="36">
        <f>IF(A188="","",(K188)*(IF((YEAR(D188)+9)&lt;YEAR(E188),0,IF((YEAR(D188)+9)&gt;YEAR(E188),1,(12-MONTH(E188)+1)/12)))*(1/(1+DiscountRate)^9))</f>
        <v/>
      </c>
      <c r="BS188" s="36">
        <f>IF(A188="","",(K188)*(IF((YEAR(D188)+10)&lt;YEAR(E188),0,IF((YEAR(D188)+10)&gt;YEAR(E188),1,(12-MONTH(E188)+1)/12)))*(1/(1+DiscountRate)^10))</f>
        <v/>
      </c>
      <c r="BT188" s="36">
        <f>IF(A188="","",(K188)*(IF((YEAR(D188)+11)&lt;YEAR(E188),0,IF((YEAR(D188)+11)&gt;YEAR(E188),1,(12-MONTH(E188)+1)/12)))*(1/(1+DiscountRate)^11))</f>
        <v/>
      </c>
      <c r="BU188" s="36">
        <f>IF(A188="","",(K188)*(IF((YEAR(D188)+12)&lt;YEAR(E188),0,IF((YEAR(D188)+12)&gt;YEAR(E188),1,(12-MONTH(E188)+1)/12)))*(1/(1+DiscountRate)^12))</f>
        <v/>
      </c>
      <c r="BV188" s="36">
        <f>IF(A188="","",(K188)*(IF((YEAR(D188)+13)&lt;YEAR(E188),0,IF((YEAR(D188)+13)&gt;YEAR(E188),1,(12-MONTH(E188)+1)/12)))*(1/(1+DiscountRate)^13))</f>
        <v/>
      </c>
      <c r="BW188" s="36">
        <f>IF(A188="","",(K188)*(IF((YEAR(D188)+14)&lt;YEAR(E188),0,IF((YEAR(D188)+14)&gt;YEAR(E188),1,(12-MONTH(E188)+1)/12)))*(1/(1+DiscountRate)^14))</f>
        <v/>
      </c>
      <c r="BX188" s="36">
        <f>IF(A188="","",(K188)*(IF((YEAR(D188)+15)&lt;YEAR(E188),0,IF((YEAR(D188)+15)&gt;YEAR(E188),1,(12-MONTH(E188)+1)/12)))*(1/(1+DiscountRate)^15))</f>
        <v/>
      </c>
      <c r="BY188" s="36">
        <f>IF(A188="","",(K188)*(IF((YEAR(D188)+16)&lt;YEAR(E188),0,IF((YEAR(D188)+16)&gt;YEAR(E188),1,(12-MONTH(E188)+1)/12)))*(1/(1+DiscountRate)^16))</f>
        <v/>
      </c>
      <c r="BZ188" s="36">
        <f>IF(A188="","",(K188)*(IF((YEAR(D188)+17)&lt;YEAR(E188),0,IF((YEAR(D188)+17)&gt;YEAR(E188),1,(12-MONTH(E188)+1)/12)))*(1/(1+DiscountRate)^17))</f>
        <v/>
      </c>
      <c r="CA188" s="36">
        <f>IF(A188="","",(K188)*(IF((YEAR(D188)+18)&lt;YEAR(E188),0,IF((YEAR(D188)+18)&gt;YEAR(E188),1,(12-MONTH(E188)+1)/12)))*(1/(1+DiscountRate)^18))</f>
        <v/>
      </c>
      <c r="CB188" s="36">
        <f>IF(A188="","",(K188)*(IF((YEAR(D188)+19)&lt;YEAR(E188),0,IF((YEAR(D188)+19)&gt;YEAR(E188),1,(12-MONTH(E188)+1)/12)))*(1/(1+DiscountRate)^19))</f>
        <v/>
      </c>
      <c r="CC188" s="36">
        <f>IF(A188="","",(K188)*(IF((YEAR(D188)+20)&lt;YEAR(E188),0,IF((YEAR(D188)+20)&gt;YEAR(E188),1,(12-MONTH(E188)+1)/12)))*(1/(1+DiscountRate)^20))</f>
        <v/>
      </c>
      <c r="CD188" s="29">
        <f>IF(A188="","",S188/(1+DiscountRate)^0+T188/(1+DiscountRate)^1+U188/(1+DiscountRate)^2+V188/(1+DiscountRate)^3+W188/(1+DiscountRate)^4+X188/(1+DiscountRate)^5+Y188/(1+DiscountRate)^6+Z188/(1+DiscountRate)^7+AA188/(1+DiscountRate)^8+AB188/(1+DiscountRate)^9+AC188/(1+DiscountRate)^10+AD188/(1+DiscountRate)^11+AE188/(1+DiscountRate)^12+AF188/(1+DiscountRate)^13+AG188/(1+DiscountRate)^14+AH188/(1+DiscountRate)^15+AI188/(1+DiscountRate)^16+AJ188/(1+DiscountRate)^17+AK188/(1+DiscountRate)^18+AL188/(1+DiscountRate)^19+AM188/(1+DiscountRate)^20)</f>
        <v/>
      </c>
      <c r="CE188" s="37">
        <f>IF(A188="","",IFERROR(IRR(OFFSET(S188,0,0,1,MIN(HorizonYears,20)+1)),"n/a"))</f>
        <v/>
      </c>
      <c r="CF188" s="28">
        <f>IF(A188="","",IFERROR(MATCH(TRUE,OFFSET(AN188,0,0,1,MIN(HorizonYears,20)+1)&gt;=0,0)-1,"n/a"))</f>
        <v/>
      </c>
      <c r="CG188" s="36">
        <f>IF(A188="","",SUM(OFFSET(BI188,0,0,1,MIN(HorizonYears,20)+1)))</f>
        <v/>
      </c>
      <c r="CH188" s="36">
        <f>IF(A188="","",IFERROR(-CD188/CG188,"n/a"))</f>
        <v/>
      </c>
    </row>
    <row r="189">
      <c r="A189" s="6">
        <f>Actions!A187</f>
        <v/>
      </c>
      <c r="B189" s="6">
        <f>Actions!B187</f>
        <v/>
      </c>
      <c r="C189" s="6">
        <f>Actions!D187</f>
        <v/>
      </c>
      <c r="D189" s="35">
        <f>Actions!E187</f>
        <v/>
      </c>
      <c r="E189" s="35">
        <f>Actions!F187</f>
        <v/>
      </c>
      <c r="F189" s="6">
        <f>Actions!G187</f>
        <v/>
      </c>
      <c r="G189" s="6">
        <f>Actions!H187</f>
        <v/>
      </c>
      <c r="H189" s="29">
        <f>Actions!I187</f>
        <v/>
      </c>
      <c r="I189" s="6">
        <f>Actions!J187</f>
        <v/>
      </c>
      <c r="J189" s="16">
        <f>Actions!K187</f>
        <v/>
      </c>
      <c r="K189" s="16">
        <f>IF(A189="","",IF(I189="%",H189*J189,J189))</f>
        <v/>
      </c>
      <c r="L189" s="16">
        <f>Actions!L187</f>
        <v/>
      </c>
      <c r="M189" s="6">
        <f>Actions!M187</f>
        <v/>
      </c>
      <c r="N189" s="28">
        <f>Actions!N187</f>
        <v/>
      </c>
      <c r="O189" s="29">
        <f>Actions!T187</f>
        <v/>
      </c>
      <c r="P189" s="29">
        <f>Actions!Y187</f>
        <v/>
      </c>
      <c r="Q189" s="29">
        <f>Actions!Z187</f>
        <v/>
      </c>
      <c r="R189" s="29">
        <f>Actions!AA187</f>
        <v/>
      </c>
      <c r="S189" s="29">
        <f>IF(A189="","",((K189)*(IF(M189="",L189,IFERROR(IF(INDEX(Variablen!$I:$AT, MATCH(M189, Variablen!$A:$A, 0), MATCH((YEAR(D189)+0), Variablen!$I$3:$AT$3, 0))="",L189,INDEX(Variablen!$I:$AT, MATCH(M189, Variablen!$A:$A, 0), MATCH((YEAR(D189)+0), Variablen!$I$3:$AT$3, 0))),L189)))*(IF((YEAR(D189)+0)&lt;YEAR(E189),0,IF((YEAR(D189)+0)&gt;YEAR(E189),1,(12-MONTH(E189)+1)/12))) + (Q189)*(IF((YEAR(D189)+0)&lt;YEAR(E189),0,IF((YEAR(D189)+0)&gt;YEAR(E189),1,(12-MONTH(E189)+1)/12))))-((P189)*(IF((YEAR(D189)+0)&lt;YEAR(E189),0,IF((YEAR(D189)+0)&gt;YEAR(E189),1,(12-MONTH(E189)+1)/12))) + (R189)*(IF((YEAR(D189)+0)&lt;YEAR(E189),0,IF((YEAR(D189)+0)&gt;YEAR(E189),1,(12-MONTH(E189)+1)/12))))-(IF((((K189)*(IF(M189="",L189,IFERROR(IF(INDEX(Variablen!$I:$AT, MATCH(M189, Variablen!$A:$A, 0), MATCH((YEAR(D189)+0), Variablen!$I$3:$AT$3, 0))="",L189,INDEX(Variablen!$I:$AT, MATCH(M189, Variablen!$A:$A, 0), MATCH((YEAR(D189)+0), Variablen!$I$3:$AT$3, 0))),L189)))*(IF((YEAR(D189)+0)&lt;YEAR(E189),0,IF((YEAR(D189)+0)&gt;YEAR(E189),1,(12-MONTH(E189)+1)/12))) + (Q189)*(IF((YEAR(D189)+0)&lt;YEAR(E189),0,IF((YEAR(D189)+0)&gt;YEAR(E189),1,(12-MONTH(E189)+1)/12))))-((P189)*(IF((YEAR(D189)+0)&lt;YEAR(E189),0,IF((YEAR(D189)+0)&gt;YEAR(E189),1,(12-MONTH(E189)+1)/12))) + (R189)*(IF((YEAR(D189)+0)&lt;YEAR(E189),0,IF((YEAR(D189)+0)&gt;YEAR(E189),1,(12-MONTH(E189)+1)/12))))-(IF(OR(N189="",N189&lt;=0),0,(O189/N189)*(IF(OR(N189="",N189&lt;=0),0,IF((YEAR(D189)+0)&lt;YEAR(E189),0,IF((YEAR(D189)+0)&gt;=YEAR(E189)+N189,0,IF((YEAR(D189)+0)=YEAR(E189),(12-MONTH(E189)+1)/12,1))))))))&gt;0,(((K189)*(IF(M189="",L189,IFERROR(IF(INDEX(Variablen!$I:$AT, MATCH(M189, Variablen!$A:$A, 0), MATCH((YEAR(D189)+0), Variablen!$I$3:$AT$3, 0))="",L189,INDEX(Variablen!$I:$AT, MATCH(M189, Variablen!$A:$A, 0), MATCH((YEAR(D189)+0), Variablen!$I$3:$AT$3, 0))),L189)))*(IF((YEAR(D189)+0)&lt;YEAR(E189),0,IF((YEAR(D189)+0)&gt;YEAR(E189),1,(12-MONTH(E189)+1)/12))) + (Q189)*(IF((YEAR(D189)+0)&lt;YEAR(E189),0,IF((YEAR(D189)+0)&gt;YEAR(E189),1,(12-MONTH(E189)+1)/12))))-((P189)*(IF((YEAR(D189)+0)&lt;YEAR(E189),0,IF((YEAR(D189)+0)&gt;YEAR(E189),1,(12-MONTH(E189)+1)/12))) + (R189)*(IF((YEAR(D189)+0)&lt;YEAR(E189),0,IF((YEAR(D189)+0)&gt;YEAR(E189),1,(12-MONTH(E189)+1)/12))))-(IF(OR(N189="",N189&lt;=0),0,(O189/N189)*(IF(OR(N189="",N189&lt;=0),0,IF((YEAR(D189)+0)&lt;YEAR(E189),0,IF((YEAR(D189)+0)&gt;=YEAR(E189)+N189,0,IF((YEAR(D189)+0)=YEAR(E189),(12-MONTH(E189)+1)/12,1))))))))*TaxRate,0))-IF(0=0,O189,0))</f>
        <v/>
      </c>
      <c r="T189" s="29">
        <f>IF(A189="","",((K189)*(IF(M189="",L189,IFERROR(IF(INDEX(Variablen!$I:$AT, MATCH(M189, Variablen!$A:$A, 0), MATCH((YEAR(D189)+1), Variablen!$I$3:$AT$3, 0))="",L189,INDEX(Variablen!$I:$AT, MATCH(M189, Variablen!$A:$A, 0), MATCH((YEAR(D189)+1), Variablen!$I$3:$AT$3, 0))),L189)))*(IF((YEAR(D189)+1)&lt;YEAR(E189),0,IF((YEAR(D189)+1)&gt;YEAR(E189),1,(12-MONTH(E189)+1)/12))) + (Q189)*(IF((YEAR(D189)+1)&lt;YEAR(E189),0,IF((YEAR(D189)+1)&gt;YEAR(E189),1,(12-MONTH(E189)+1)/12))))-((P189)*(IF((YEAR(D189)+1)&lt;YEAR(E189),0,IF((YEAR(D189)+1)&gt;YEAR(E189),1,(12-MONTH(E189)+1)/12))) + (R189)*(IF((YEAR(D189)+1)&lt;YEAR(E189),0,IF((YEAR(D189)+1)&gt;YEAR(E189),1,(12-MONTH(E189)+1)/12))))-(IF((((K189)*(IF(M189="",L189,IFERROR(IF(INDEX(Variablen!$I:$AT, MATCH(M189, Variablen!$A:$A, 0), MATCH((YEAR(D189)+1), Variablen!$I$3:$AT$3, 0))="",L189,INDEX(Variablen!$I:$AT, MATCH(M189, Variablen!$A:$A, 0), MATCH((YEAR(D189)+1), Variablen!$I$3:$AT$3, 0))),L189)))*(IF((YEAR(D189)+1)&lt;YEAR(E189),0,IF((YEAR(D189)+1)&gt;YEAR(E189),1,(12-MONTH(E189)+1)/12))) + (Q189)*(IF((YEAR(D189)+1)&lt;YEAR(E189),0,IF((YEAR(D189)+1)&gt;YEAR(E189),1,(12-MONTH(E189)+1)/12))))-((P189)*(IF((YEAR(D189)+1)&lt;YEAR(E189),0,IF((YEAR(D189)+1)&gt;YEAR(E189),1,(12-MONTH(E189)+1)/12))) + (R189)*(IF((YEAR(D189)+1)&lt;YEAR(E189),0,IF((YEAR(D189)+1)&gt;YEAR(E189),1,(12-MONTH(E189)+1)/12))))-(IF(OR(N189="",N189&lt;=0),0,(O189/N189)*(IF(OR(N189="",N189&lt;=0),0,IF((YEAR(D189)+1)&lt;YEAR(E189),0,IF((YEAR(D189)+1)&gt;=YEAR(E189)+N189,0,IF((YEAR(D189)+1)=YEAR(E189),(12-MONTH(E189)+1)/12,1))))))))&gt;0,(((K189)*(IF(M189="",L189,IFERROR(IF(INDEX(Variablen!$I:$AT, MATCH(M189, Variablen!$A:$A, 0), MATCH((YEAR(D189)+1), Variablen!$I$3:$AT$3, 0))="",L189,INDEX(Variablen!$I:$AT, MATCH(M189, Variablen!$A:$A, 0), MATCH((YEAR(D189)+1), Variablen!$I$3:$AT$3, 0))),L189)))*(IF((YEAR(D189)+1)&lt;YEAR(E189),0,IF((YEAR(D189)+1)&gt;YEAR(E189),1,(12-MONTH(E189)+1)/12))) + (Q189)*(IF((YEAR(D189)+1)&lt;YEAR(E189),0,IF((YEAR(D189)+1)&gt;YEAR(E189),1,(12-MONTH(E189)+1)/12))))-((P189)*(IF((YEAR(D189)+1)&lt;YEAR(E189),0,IF((YEAR(D189)+1)&gt;YEAR(E189),1,(12-MONTH(E189)+1)/12))) + (R189)*(IF((YEAR(D189)+1)&lt;YEAR(E189),0,IF((YEAR(D189)+1)&gt;YEAR(E189),1,(12-MONTH(E189)+1)/12))))-(IF(OR(N189="",N189&lt;=0),0,(O189/N189)*(IF(OR(N189="",N189&lt;=0),0,IF((YEAR(D189)+1)&lt;YEAR(E189),0,IF((YEAR(D189)+1)&gt;=YEAR(E189)+N189,0,IF((YEAR(D189)+1)=YEAR(E189),(12-MONTH(E189)+1)/12,1))))))))*TaxRate,0))-IF(1=0,O189,0))</f>
        <v/>
      </c>
      <c r="U189" s="29">
        <f>IF(A189="","",((K189)*(IF(M189="",L189,IFERROR(IF(INDEX(Variablen!$I:$AT, MATCH(M189, Variablen!$A:$A, 0), MATCH((YEAR(D189)+2), Variablen!$I$3:$AT$3, 0))="",L189,INDEX(Variablen!$I:$AT, MATCH(M189, Variablen!$A:$A, 0), MATCH((YEAR(D189)+2), Variablen!$I$3:$AT$3, 0))),L189)))*(IF((YEAR(D189)+2)&lt;YEAR(E189),0,IF((YEAR(D189)+2)&gt;YEAR(E189),1,(12-MONTH(E189)+1)/12))) + (Q189)*(IF((YEAR(D189)+2)&lt;YEAR(E189),0,IF((YEAR(D189)+2)&gt;YEAR(E189),1,(12-MONTH(E189)+1)/12))))-((P189)*(IF((YEAR(D189)+2)&lt;YEAR(E189),0,IF((YEAR(D189)+2)&gt;YEAR(E189),1,(12-MONTH(E189)+1)/12))) + (R189)*(IF((YEAR(D189)+2)&lt;YEAR(E189),0,IF((YEAR(D189)+2)&gt;YEAR(E189),1,(12-MONTH(E189)+1)/12))))-(IF((((K189)*(IF(M189="",L189,IFERROR(IF(INDEX(Variablen!$I:$AT, MATCH(M189, Variablen!$A:$A, 0), MATCH((YEAR(D189)+2), Variablen!$I$3:$AT$3, 0))="",L189,INDEX(Variablen!$I:$AT, MATCH(M189, Variablen!$A:$A, 0), MATCH((YEAR(D189)+2), Variablen!$I$3:$AT$3, 0))),L189)))*(IF((YEAR(D189)+2)&lt;YEAR(E189),0,IF((YEAR(D189)+2)&gt;YEAR(E189),1,(12-MONTH(E189)+1)/12))) + (Q189)*(IF((YEAR(D189)+2)&lt;YEAR(E189),0,IF((YEAR(D189)+2)&gt;YEAR(E189),1,(12-MONTH(E189)+1)/12))))-((P189)*(IF((YEAR(D189)+2)&lt;YEAR(E189),0,IF((YEAR(D189)+2)&gt;YEAR(E189),1,(12-MONTH(E189)+1)/12))) + (R189)*(IF((YEAR(D189)+2)&lt;YEAR(E189),0,IF((YEAR(D189)+2)&gt;YEAR(E189),1,(12-MONTH(E189)+1)/12))))-(IF(OR(N189="",N189&lt;=0),0,(O189/N189)*(IF(OR(N189="",N189&lt;=0),0,IF((YEAR(D189)+2)&lt;YEAR(E189),0,IF((YEAR(D189)+2)&gt;=YEAR(E189)+N189,0,IF((YEAR(D189)+2)=YEAR(E189),(12-MONTH(E189)+1)/12,1))))))))&gt;0,(((K189)*(IF(M189="",L189,IFERROR(IF(INDEX(Variablen!$I:$AT, MATCH(M189, Variablen!$A:$A, 0), MATCH((YEAR(D189)+2), Variablen!$I$3:$AT$3, 0))="",L189,INDEX(Variablen!$I:$AT, MATCH(M189, Variablen!$A:$A, 0), MATCH((YEAR(D189)+2), Variablen!$I$3:$AT$3, 0))),L189)))*(IF((YEAR(D189)+2)&lt;YEAR(E189),0,IF((YEAR(D189)+2)&gt;YEAR(E189),1,(12-MONTH(E189)+1)/12))) + (Q189)*(IF((YEAR(D189)+2)&lt;YEAR(E189),0,IF((YEAR(D189)+2)&gt;YEAR(E189),1,(12-MONTH(E189)+1)/12))))-((P189)*(IF((YEAR(D189)+2)&lt;YEAR(E189),0,IF((YEAR(D189)+2)&gt;YEAR(E189),1,(12-MONTH(E189)+1)/12))) + (R189)*(IF((YEAR(D189)+2)&lt;YEAR(E189),0,IF((YEAR(D189)+2)&gt;YEAR(E189),1,(12-MONTH(E189)+1)/12))))-(IF(OR(N189="",N189&lt;=0),0,(O189/N189)*(IF(OR(N189="",N189&lt;=0),0,IF((YEAR(D189)+2)&lt;YEAR(E189),0,IF((YEAR(D189)+2)&gt;=YEAR(E189)+N189,0,IF((YEAR(D189)+2)=YEAR(E189),(12-MONTH(E189)+1)/12,1))))))))*TaxRate,0))-IF(2=0,O189,0))</f>
        <v/>
      </c>
      <c r="V189" s="29">
        <f>IF(A189="","",((K189)*(IF(M189="",L189,IFERROR(IF(INDEX(Variablen!$I:$AT, MATCH(M189, Variablen!$A:$A, 0), MATCH((YEAR(D189)+3), Variablen!$I$3:$AT$3, 0))="",L189,INDEX(Variablen!$I:$AT, MATCH(M189, Variablen!$A:$A, 0), MATCH((YEAR(D189)+3), Variablen!$I$3:$AT$3, 0))),L189)))*(IF((YEAR(D189)+3)&lt;YEAR(E189),0,IF((YEAR(D189)+3)&gt;YEAR(E189),1,(12-MONTH(E189)+1)/12))) + (Q189)*(IF((YEAR(D189)+3)&lt;YEAR(E189),0,IF((YEAR(D189)+3)&gt;YEAR(E189),1,(12-MONTH(E189)+1)/12))))-((P189)*(IF((YEAR(D189)+3)&lt;YEAR(E189),0,IF((YEAR(D189)+3)&gt;YEAR(E189),1,(12-MONTH(E189)+1)/12))) + (R189)*(IF((YEAR(D189)+3)&lt;YEAR(E189),0,IF((YEAR(D189)+3)&gt;YEAR(E189),1,(12-MONTH(E189)+1)/12))))-(IF((((K189)*(IF(M189="",L189,IFERROR(IF(INDEX(Variablen!$I:$AT, MATCH(M189, Variablen!$A:$A, 0), MATCH((YEAR(D189)+3), Variablen!$I$3:$AT$3, 0))="",L189,INDEX(Variablen!$I:$AT, MATCH(M189, Variablen!$A:$A, 0), MATCH((YEAR(D189)+3), Variablen!$I$3:$AT$3, 0))),L189)))*(IF((YEAR(D189)+3)&lt;YEAR(E189),0,IF((YEAR(D189)+3)&gt;YEAR(E189),1,(12-MONTH(E189)+1)/12))) + (Q189)*(IF((YEAR(D189)+3)&lt;YEAR(E189),0,IF((YEAR(D189)+3)&gt;YEAR(E189),1,(12-MONTH(E189)+1)/12))))-((P189)*(IF((YEAR(D189)+3)&lt;YEAR(E189),0,IF((YEAR(D189)+3)&gt;YEAR(E189),1,(12-MONTH(E189)+1)/12))) + (R189)*(IF((YEAR(D189)+3)&lt;YEAR(E189),0,IF((YEAR(D189)+3)&gt;YEAR(E189),1,(12-MONTH(E189)+1)/12))))-(IF(OR(N189="",N189&lt;=0),0,(O189/N189)*(IF(OR(N189="",N189&lt;=0),0,IF((YEAR(D189)+3)&lt;YEAR(E189),0,IF((YEAR(D189)+3)&gt;=YEAR(E189)+N189,0,IF((YEAR(D189)+3)=YEAR(E189),(12-MONTH(E189)+1)/12,1))))))))&gt;0,(((K189)*(IF(M189="",L189,IFERROR(IF(INDEX(Variablen!$I:$AT, MATCH(M189, Variablen!$A:$A, 0), MATCH((YEAR(D189)+3), Variablen!$I$3:$AT$3, 0))="",L189,INDEX(Variablen!$I:$AT, MATCH(M189, Variablen!$A:$A, 0), MATCH((YEAR(D189)+3), Variablen!$I$3:$AT$3, 0))),L189)))*(IF((YEAR(D189)+3)&lt;YEAR(E189),0,IF((YEAR(D189)+3)&gt;YEAR(E189),1,(12-MONTH(E189)+1)/12))) + (Q189)*(IF((YEAR(D189)+3)&lt;YEAR(E189),0,IF((YEAR(D189)+3)&gt;YEAR(E189),1,(12-MONTH(E189)+1)/12))))-((P189)*(IF((YEAR(D189)+3)&lt;YEAR(E189),0,IF((YEAR(D189)+3)&gt;YEAR(E189),1,(12-MONTH(E189)+1)/12))) + (R189)*(IF((YEAR(D189)+3)&lt;YEAR(E189),0,IF((YEAR(D189)+3)&gt;YEAR(E189),1,(12-MONTH(E189)+1)/12))))-(IF(OR(N189="",N189&lt;=0),0,(O189/N189)*(IF(OR(N189="",N189&lt;=0),0,IF((YEAR(D189)+3)&lt;YEAR(E189),0,IF((YEAR(D189)+3)&gt;=YEAR(E189)+N189,0,IF((YEAR(D189)+3)=YEAR(E189),(12-MONTH(E189)+1)/12,1))))))))*TaxRate,0))-IF(3=0,O189,0))</f>
        <v/>
      </c>
      <c r="W189" s="29">
        <f>IF(A189="","",((K189)*(IF(M189="",L189,IFERROR(IF(INDEX(Variablen!$I:$AT, MATCH(M189, Variablen!$A:$A, 0), MATCH((YEAR(D189)+4), Variablen!$I$3:$AT$3, 0))="",L189,INDEX(Variablen!$I:$AT, MATCH(M189, Variablen!$A:$A, 0), MATCH((YEAR(D189)+4), Variablen!$I$3:$AT$3, 0))),L189)))*(IF((YEAR(D189)+4)&lt;YEAR(E189),0,IF((YEAR(D189)+4)&gt;YEAR(E189),1,(12-MONTH(E189)+1)/12))) + (Q189)*(IF((YEAR(D189)+4)&lt;YEAR(E189),0,IF((YEAR(D189)+4)&gt;YEAR(E189),1,(12-MONTH(E189)+1)/12))))-((P189)*(IF((YEAR(D189)+4)&lt;YEAR(E189),0,IF((YEAR(D189)+4)&gt;YEAR(E189),1,(12-MONTH(E189)+1)/12))) + (R189)*(IF((YEAR(D189)+4)&lt;YEAR(E189),0,IF((YEAR(D189)+4)&gt;YEAR(E189),1,(12-MONTH(E189)+1)/12))))-(IF((((K189)*(IF(M189="",L189,IFERROR(IF(INDEX(Variablen!$I:$AT, MATCH(M189, Variablen!$A:$A, 0), MATCH((YEAR(D189)+4), Variablen!$I$3:$AT$3, 0))="",L189,INDEX(Variablen!$I:$AT, MATCH(M189, Variablen!$A:$A, 0), MATCH((YEAR(D189)+4), Variablen!$I$3:$AT$3, 0))),L189)))*(IF((YEAR(D189)+4)&lt;YEAR(E189),0,IF((YEAR(D189)+4)&gt;YEAR(E189),1,(12-MONTH(E189)+1)/12))) + (Q189)*(IF((YEAR(D189)+4)&lt;YEAR(E189),0,IF((YEAR(D189)+4)&gt;YEAR(E189),1,(12-MONTH(E189)+1)/12))))-((P189)*(IF((YEAR(D189)+4)&lt;YEAR(E189),0,IF((YEAR(D189)+4)&gt;YEAR(E189),1,(12-MONTH(E189)+1)/12))) + (R189)*(IF((YEAR(D189)+4)&lt;YEAR(E189),0,IF((YEAR(D189)+4)&gt;YEAR(E189),1,(12-MONTH(E189)+1)/12))))-(IF(OR(N189="",N189&lt;=0),0,(O189/N189)*(IF(OR(N189="",N189&lt;=0),0,IF((YEAR(D189)+4)&lt;YEAR(E189),0,IF((YEAR(D189)+4)&gt;=YEAR(E189)+N189,0,IF((YEAR(D189)+4)=YEAR(E189),(12-MONTH(E189)+1)/12,1))))))))&gt;0,(((K189)*(IF(M189="",L189,IFERROR(IF(INDEX(Variablen!$I:$AT, MATCH(M189, Variablen!$A:$A, 0), MATCH((YEAR(D189)+4), Variablen!$I$3:$AT$3, 0))="",L189,INDEX(Variablen!$I:$AT, MATCH(M189, Variablen!$A:$A, 0), MATCH((YEAR(D189)+4), Variablen!$I$3:$AT$3, 0))),L189)))*(IF((YEAR(D189)+4)&lt;YEAR(E189),0,IF((YEAR(D189)+4)&gt;YEAR(E189),1,(12-MONTH(E189)+1)/12))) + (Q189)*(IF((YEAR(D189)+4)&lt;YEAR(E189),0,IF((YEAR(D189)+4)&gt;YEAR(E189),1,(12-MONTH(E189)+1)/12))))-((P189)*(IF((YEAR(D189)+4)&lt;YEAR(E189),0,IF((YEAR(D189)+4)&gt;YEAR(E189),1,(12-MONTH(E189)+1)/12))) + (R189)*(IF((YEAR(D189)+4)&lt;YEAR(E189),0,IF((YEAR(D189)+4)&gt;YEAR(E189),1,(12-MONTH(E189)+1)/12))))-(IF(OR(N189="",N189&lt;=0),0,(O189/N189)*(IF(OR(N189="",N189&lt;=0),0,IF((YEAR(D189)+4)&lt;YEAR(E189),0,IF((YEAR(D189)+4)&gt;=YEAR(E189)+N189,0,IF((YEAR(D189)+4)=YEAR(E189),(12-MONTH(E189)+1)/12,1))))))))*TaxRate,0))-IF(4=0,O189,0))</f>
        <v/>
      </c>
      <c r="X189" s="29">
        <f>IF(A189="","",((K189)*(IF(M189="",L189,IFERROR(IF(INDEX(Variablen!$I:$AT, MATCH(M189, Variablen!$A:$A, 0), MATCH((YEAR(D189)+5), Variablen!$I$3:$AT$3, 0))="",L189,INDEX(Variablen!$I:$AT, MATCH(M189, Variablen!$A:$A, 0), MATCH((YEAR(D189)+5), Variablen!$I$3:$AT$3, 0))),L189)))*(IF((YEAR(D189)+5)&lt;YEAR(E189),0,IF((YEAR(D189)+5)&gt;YEAR(E189),1,(12-MONTH(E189)+1)/12))) + (Q189)*(IF((YEAR(D189)+5)&lt;YEAR(E189),0,IF((YEAR(D189)+5)&gt;YEAR(E189),1,(12-MONTH(E189)+1)/12))))-((P189)*(IF((YEAR(D189)+5)&lt;YEAR(E189),0,IF((YEAR(D189)+5)&gt;YEAR(E189),1,(12-MONTH(E189)+1)/12))) + (R189)*(IF((YEAR(D189)+5)&lt;YEAR(E189),0,IF((YEAR(D189)+5)&gt;YEAR(E189),1,(12-MONTH(E189)+1)/12))))-(IF((((K189)*(IF(M189="",L189,IFERROR(IF(INDEX(Variablen!$I:$AT, MATCH(M189, Variablen!$A:$A, 0), MATCH((YEAR(D189)+5), Variablen!$I$3:$AT$3, 0))="",L189,INDEX(Variablen!$I:$AT, MATCH(M189, Variablen!$A:$A, 0), MATCH((YEAR(D189)+5), Variablen!$I$3:$AT$3, 0))),L189)))*(IF((YEAR(D189)+5)&lt;YEAR(E189),0,IF((YEAR(D189)+5)&gt;YEAR(E189),1,(12-MONTH(E189)+1)/12))) + (Q189)*(IF((YEAR(D189)+5)&lt;YEAR(E189),0,IF((YEAR(D189)+5)&gt;YEAR(E189),1,(12-MONTH(E189)+1)/12))))-((P189)*(IF((YEAR(D189)+5)&lt;YEAR(E189),0,IF((YEAR(D189)+5)&gt;YEAR(E189),1,(12-MONTH(E189)+1)/12))) + (R189)*(IF((YEAR(D189)+5)&lt;YEAR(E189),0,IF((YEAR(D189)+5)&gt;YEAR(E189),1,(12-MONTH(E189)+1)/12))))-(IF(OR(N189="",N189&lt;=0),0,(O189/N189)*(IF(OR(N189="",N189&lt;=0),0,IF((YEAR(D189)+5)&lt;YEAR(E189),0,IF((YEAR(D189)+5)&gt;=YEAR(E189)+N189,0,IF((YEAR(D189)+5)=YEAR(E189),(12-MONTH(E189)+1)/12,1))))))))&gt;0,(((K189)*(IF(M189="",L189,IFERROR(IF(INDEX(Variablen!$I:$AT, MATCH(M189, Variablen!$A:$A, 0), MATCH((YEAR(D189)+5), Variablen!$I$3:$AT$3, 0))="",L189,INDEX(Variablen!$I:$AT, MATCH(M189, Variablen!$A:$A, 0), MATCH((YEAR(D189)+5), Variablen!$I$3:$AT$3, 0))),L189)))*(IF((YEAR(D189)+5)&lt;YEAR(E189),0,IF((YEAR(D189)+5)&gt;YEAR(E189),1,(12-MONTH(E189)+1)/12))) + (Q189)*(IF((YEAR(D189)+5)&lt;YEAR(E189),0,IF((YEAR(D189)+5)&gt;YEAR(E189),1,(12-MONTH(E189)+1)/12))))-((P189)*(IF((YEAR(D189)+5)&lt;YEAR(E189),0,IF((YEAR(D189)+5)&gt;YEAR(E189),1,(12-MONTH(E189)+1)/12))) + (R189)*(IF((YEAR(D189)+5)&lt;YEAR(E189),0,IF((YEAR(D189)+5)&gt;YEAR(E189),1,(12-MONTH(E189)+1)/12))))-(IF(OR(N189="",N189&lt;=0),0,(O189/N189)*(IF(OR(N189="",N189&lt;=0),0,IF((YEAR(D189)+5)&lt;YEAR(E189),0,IF((YEAR(D189)+5)&gt;=YEAR(E189)+N189,0,IF((YEAR(D189)+5)=YEAR(E189),(12-MONTH(E189)+1)/12,1))))))))*TaxRate,0))-IF(5=0,O189,0))</f>
        <v/>
      </c>
      <c r="Y189" s="29">
        <f>IF(A189="","",((K189)*(IF(M189="",L189,IFERROR(IF(INDEX(Variablen!$I:$AT, MATCH(M189, Variablen!$A:$A, 0), MATCH((YEAR(D189)+6), Variablen!$I$3:$AT$3, 0))="",L189,INDEX(Variablen!$I:$AT, MATCH(M189, Variablen!$A:$A, 0), MATCH((YEAR(D189)+6), Variablen!$I$3:$AT$3, 0))),L189)))*(IF((YEAR(D189)+6)&lt;YEAR(E189),0,IF((YEAR(D189)+6)&gt;YEAR(E189),1,(12-MONTH(E189)+1)/12))) + (Q189)*(IF((YEAR(D189)+6)&lt;YEAR(E189),0,IF((YEAR(D189)+6)&gt;YEAR(E189),1,(12-MONTH(E189)+1)/12))))-((P189)*(IF((YEAR(D189)+6)&lt;YEAR(E189),0,IF((YEAR(D189)+6)&gt;YEAR(E189),1,(12-MONTH(E189)+1)/12))) + (R189)*(IF((YEAR(D189)+6)&lt;YEAR(E189),0,IF((YEAR(D189)+6)&gt;YEAR(E189),1,(12-MONTH(E189)+1)/12))))-(IF((((K189)*(IF(M189="",L189,IFERROR(IF(INDEX(Variablen!$I:$AT, MATCH(M189, Variablen!$A:$A, 0), MATCH((YEAR(D189)+6), Variablen!$I$3:$AT$3, 0))="",L189,INDEX(Variablen!$I:$AT, MATCH(M189, Variablen!$A:$A, 0), MATCH((YEAR(D189)+6), Variablen!$I$3:$AT$3, 0))),L189)))*(IF((YEAR(D189)+6)&lt;YEAR(E189),0,IF((YEAR(D189)+6)&gt;YEAR(E189),1,(12-MONTH(E189)+1)/12))) + (Q189)*(IF((YEAR(D189)+6)&lt;YEAR(E189),0,IF((YEAR(D189)+6)&gt;YEAR(E189),1,(12-MONTH(E189)+1)/12))))-((P189)*(IF((YEAR(D189)+6)&lt;YEAR(E189),0,IF((YEAR(D189)+6)&gt;YEAR(E189),1,(12-MONTH(E189)+1)/12))) + (R189)*(IF((YEAR(D189)+6)&lt;YEAR(E189),0,IF((YEAR(D189)+6)&gt;YEAR(E189),1,(12-MONTH(E189)+1)/12))))-(IF(OR(N189="",N189&lt;=0),0,(O189/N189)*(IF(OR(N189="",N189&lt;=0),0,IF((YEAR(D189)+6)&lt;YEAR(E189),0,IF((YEAR(D189)+6)&gt;=YEAR(E189)+N189,0,IF((YEAR(D189)+6)=YEAR(E189),(12-MONTH(E189)+1)/12,1))))))))&gt;0,(((K189)*(IF(M189="",L189,IFERROR(IF(INDEX(Variablen!$I:$AT, MATCH(M189, Variablen!$A:$A, 0), MATCH((YEAR(D189)+6), Variablen!$I$3:$AT$3, 0))="",L189,INDEX(Variablen!$I:$AT, MATCH(M189, Variablen!$A:$A, 0), MATCH((YEAR(D189)+6), Variablen!$I$3:$AT$3, 0))),L189)))*(IF((YEAR(D189)+6)&lt;YEAR(E189),0,IF((YEAR(D189)+6)&gt;YEAR(E189),1,(12-MONTH(E189)+1)/12))) + (Q189)*(IF((YEAR(D189)+6)&lt;YEAR(E189),0,IF((YEAR(D189)+6)&gt;YEAR(E189),1,(12-MONTH(E189)+1)/12))))-((P189)*(IF((YEAR(D189)+6)&lt;YEAR(E189),0,IF((YEAR(D189)+6)&gt;YEAR(E189),1,(12-MONTH(E189)+1)/12))) + (R189)*(IF((YEAR(D189)+6)&lt;YEAR(E189),0,IF((YEAR(D189)+6)&gt;YEAR(E189),1,(12-MONTH(E189)+1)/12))))-(IF(OR(N189="",N189&lt;=0),0,(O189/N189)*(IF(OR(N189="",N189&lt;=0),0,IF((YEAR(D189)+6)&lt;YEAR(E189),0,IF((YEAR(D189)+6)&gt;=YEAR(E189)+N189,0,IF((YEAR(D189)+6)=YEAR(E189),(12-MONTH(E189)+1)/12,1))))))))*TaxRate,0))-IF(6=0,O189,0))</f>
        <v/>
      </c>
      <c r="Z189" s="29">
        <f>IF(A189="","",((K189)*(IF(M189="",L189,IFERROR(IF(INDEX(Variablen!$I:$AT, MATCH(M189, Variablen!$A:$A, 0), MATCH((YEAR(D189)+7), Variablen!$I$3:$AT$3, 0))="",L189,INDEX(Variablen!$I:$AT, MATCH(M189, Variablen!$A:$A, 0), MATCH((YEAR(D189)+7), Variablen!$I$3:$AT$3, 0))),L189)))*(IF((YEAR(D189)+7)&lt;YEAR(E189),0,IF((YEAR(D189)+7)&gt;YEAR(E189),1,(12-MONTH(E189)+1)/12))) + (Q189)*(IF((YEAR(D189)+7)&lt;YEAR(E189),0,IF((YEAR(D189)+7)&gt;YEAR(E189),1,(12-MONTH(E189)+1)/12))))-((P189)*(IF((YEAR(D189)+7)&lt;YEAR(E189),0,IF((YEAR(D189)+7)&gt;YEAR(E189),1,(12-MONTH(E189)+1)/12))) + (R189)*(IF((YEAR(D189)+7)&lt;YEAR(E189),0,IF((YEAR(D189)+7)&gt;YEAR(E189),1,(12-MONTH(E189)+1)/12))))-(IF((((K189)*(IF(M189="",L189,IFERROR(IF(INDEX(Variablen!$I:$AT, MATCH(M189, Variablen!$A:$A, 0), MATCH((YEAR(D189)+7), Variablen!$I$3:$AT$3, 0))="",L189,INDEX(Variablen!$I:$AT, MATCH(M189, Variablen!$A:$A, 0), MATCH((YEAR(D189)+7), Variablen!$I$3:$AT$3, 0))),L189)))*(IF((YEAR(D189)+7)&lt;YEAR(E189),0,IF((YEAR(D189)+7)&gt;YEAR(E189),1,(12-MONTH(E189)+1)/12))) + (Q189)*(IF((YEAR(D189)+7)&lt;YEAR(E189),0,IF((YEAR(D189)+7)&gt;YEAR(E189),1,(12-MONTH(E189)+1)/12))))-((P189)*(IF((YEAR(D189)+7)&lt;YEAR(E189),0,IF((YEAR(D189)+7)&gt;YEAR(E189),1,(12-MONTH(E189)+1)/12))) + (R189)*(IF((YEAR(D189)+7)&lt;YEAR(E189),0,IF((YEAR(D189)+7)&gt;YEAR(E189),1,(12-MONTH(E189)+1)/12))))-(IF(OR(N189="",N189&lt;=0),0,(O189/N189)*(IF(OR(N189="",N189&lt;=0),0,IF((YEAR(D189)+7)&lt;YEAR(E189),0,IF((YEAR(D189)+7)&gt;=YEAR(E189)+N189,0,IF((YEAR(D189)+7)=YEAR(E189),(12-MONTH(E189)+1)/12,1))))))))&gt;0,(((K189)*(IF(M189="",L189,IFERROR(IF(INDEX(Variablen!$I:$AT, MATCH(M189, Variablen!$A:$A, 0), MATCH((YEAR(D189)+7), Variablen!$I$3:$AT$3, 0))="",L189,INDEX(Variablen!$I:$AT, MATCH(M189, Variablen!$A:$A, 0), MATCH((YEAR(D189)+7), Variablen!$I$3:$AT$3, 0))),L189)))*(IF((YEAR(D189)+7)&lt;YEAR(E189),0,IF((YEAR(D189)+7)&gt;YEAR(E189),1,(12-MONTH(E189)+1)/12))) + (Q189)*(IF((YEAR(D189)+7)&lt;YEAR(E189),0,IF((YEAR(D189)+7)&gt;YEAR(E189),1,(12-MONTH(E189)+1)/12))))-((P189)*(IF((YEAR(D189)+7)&lt;YEAR(E189),0,IF((YEAR(D189)+7)&gt;YEAR(E189),1,(12-MONTH(E189)+1)/12))) + (R189)*(IF((YEAR(D189)+7)&lt;YEAR(E189),0,IF((YEAR(D189)+7)&gt;YEAR(E189),1,(12-MONTH(E189)+1)/12))))-(IF(OR(N189="",N189&lt;=0),0,(O189/N189)*(IF(OR(N189="",N189&lt;=0),0,IF((YEAR(D189)+7)&lt;YEAR(E189),0,IF((YEAR(D189)+7)&gt;=YEAR(E189)+N189,0,IF((YEAR(D189)+7)=YEAR(E189),(12-MONTH(E189)+1)/12,1))))))))*TaxRate,0))-IF(7=0,O189,0))</f>
        <v/>
      </c>
      <c r="AA189" s="29">
        <f>IF(A189="","",((K189)*(IF(M189="",L189,IFERROR(IF(INDEX(Variablen!$I:$AT, MATCH(M189, Variablen!$A:$A, 0), MATCH((YEAR(D189)+8), Variablen!$I$3:$AT$3, 0))="",L189,INDEX(Variablen!$I:$AT, MATCH(M189, Variablen!$A:$A, 0), MATCH((YEAR(D189)+8), Variablen!$I$3:$AT$3, 0))),L189)))*(IF((YEAR(D189)+8)&lt;YEAR(E189),0,IF((YEAR(D189)+8)&gt;YEAR(E189),1,(12-MONTH(E189)+1)/12))) + (Q189)*(IF((YEAR(D189)+8)&lt;YEAR(E189),0,IF((YEAR(D189)+8)&gt;YEAR(E189),1,(12-MONTH(E189)+1)/12))))-((P189)*(IF((YEAR(D189)+8)&lt;YEAR(E189),0,IF((YEAR(D189)+8)&gt;YEAR(E189),1,(12-MONTH(E189)+1)/12))) + (R189)*(IF((YEAR(D189)+8)&lt;YEAR(E189),0,IF((YEAR(D189)+8)&gt;YEAR(E189),1,(12-MONTH(E189)+1)/12))))-(IF((((K189)*(IF(M189="",L189,IFERROR(IF(INDEX(Variablen!$I:$AT, MATCH(M189, Variablen!$A:$A, 0), MATCH((YEAR(D189)+8), Variablen!$I$3:$AT$3, 0))="",L189,INDEX(Variablen!$I:$AT, MATCH(M189, Variablen!$A:$A, 0), MATCH((YEAR(D189)+8), Variablen!$I$3:$AT$3, 0))),L189)))*(IF((YEAR(D189)+8)&lt;YEAR(E189),0,IF((YEAR(D189)+8)&gt;YEAR(E189),1,(12-MONTH(E189)+1)/12))) + (Q189)*(IF((YEAR(D189)+8)&lt;YEAR(E189),0,IF((YEAR(D189)+8)&gt;YEAR(E189),1,(12-MONTH(E189)+1)/12))))-((P189)*(IF((YEAR(D189)+8)&lt;YEAR(E189),0,IF((YEAR(D189)+8)&gt;YEAR(E189),1,(12-MONTH(E189)+1)/12))) + (R189)*(IF((YEAR(D189)+8)&lt;YEAR(E189),0,IF((YEAR(D189)+8)&gt;YEAR(E189),1,(12-MONTH(E189)+1)/12))))-(IF(OR(N189="",N189&lt;=0),0,(O189/N189)*(IF(OR(N189="",N189&lt;=0),0,IF((YEAR(D189)+8)&lt;YEAR(E189),0,IF((YEAR(D189)+8)&gt;=YEAR(E189)+N189,0,IF((YEAR(D189)+8)=YEAR(E189),(12-MONTH(E189)+1)/12,1))))))))&gt;0,(((K189)*(IF(M189="",L189,IFERROR(IF(INDEX(Variablen!$I:$AT, MATCH(M189, Variablen!$A:$A, 0), MATCH((YEAR(D189)+8), Variablen!$I$3:$AT$3, 0))="",L189,INDEX(Variablen!$I:$AT, MATCH(M189, Variablen!$A:$A, 0), MATCH((YEAR(D189)+8), Variablen!$I$3:$AT$3, 0))),L189)))*(IF((YEAR(D189)+8)&lt;YEAR(E189),0,IF((YEAR(D189)+8)&gt;YEAR(E189),1,(12-MONTH(E189)+1)/12))) + (Q189)*(IF((YEAR(D189)+8)&lt;YEAR(E189),0,IF((YEAR(D189)+8)&gt;YEAR(E189),1,(12-MONTH(E189)+1)/12))))-((P189)*(IF((YEAR(D189)+8)&lt;YEAR(E189),0,IF((YEAR(D189)+8)&gt;YEAR(E189),1,(12-MONTH(E189)+1)/12))) + (R189)*(IF((YEAR(D189)+8)&lt;YEAR(E189),0,IF((YEAR(D189)+8)&gt;YEAR(E189),1,(12-MONTH(E189)+1)/12))))-(IF(OR(N189="",N189&lt;=0),0,(O189/N189)*(IF(OR(N189="",N189&lt;=0),0,IF((YEAR(D189)+8)&lt;YEAR(E189),0,IF((YEAR(D189)+8)&gt;=YEAR(E189)+N189,0,IF((YEAR(D189)+8)=YEAR(E189),(12-MONTH(E189)+1)/12,1))))))))*TaxRate,0))-IF(8=0,O189,0))</f>
        <v/>
      </c>
      <c r="AB189" s="29">
        <f>IF(A189="","",((K189)*(IF(M189="",L189,IFERROR(IF(INDEX(Variablen!$I:$AT, MATCH(M189, Variablen!$A:$A, 0), MATCH((YEAR(D189)+9), Variablen!$I$3:$AT$3, 0))="",L189,INDEX(Variablen!$I:$AT, MATCH(M189, Variablen!$A:$A, 0), MATCH((YEAR(D189)+9), Variablen!$I$3:$AT$3, 0))),L189)))*(IF((YEAR(D189)+9)&lt;YEAR(E189),0,IF((YEAR(D189)+9)&gt;YEAR(E189),1,(12-MONTH(E189)+1)/12))) + (Q189)*(IF((YEAR(D189)+9)&lt;YEAR(E189),0,IF((YEAR(D189)+9)&gt;YEAR(E189),1,(12-MONTH(E189)+1)/12))))-((P189)*(IF((YEAR(D189)+9)&lt;YEAR(E189),0,IF((YEAR(D189)+9)&gt;YEAR(E189),1,(12-MONTH(E189)+1)/12))) + (R189)*(IF((YEAR(D189)+9)&lt;YEAR(E189),0,IF((YEAR(D189)+9)&gt;YEAR(E189),1,(12-MONTH(E189)+1)/12))))-(IF((((K189)*(IF(M189="",L189,IFERROR(IF(INDEX(Variablen!$I:$AT, MATCH(M189, Variablen!$A:$A, 0), MATCH((YEAR(D189)+9), Variablen!$I$3:$AT$3, 0))="",L189,INDEX(Variablen!$I:$AT, MATCH(M189, Variablen!$A:$A, 0), MATCH((YEAR(D189)+9), Variablen!$I$3:$AT$3, 0))),L189)))*(IF((YEAR(D189)+9)&lt;YEAR(E189),0,IF((YEAR(D189)+9)&gt;YEAR(E189),1,(12-MONTH(E189)+1)/12))) + (Q189)*(IF((YEAR(D189)+9)&lt;YEAR(E189),0,IF((YEAR(D189)+9)&gt;YEAR(E189),1,(12-MONTH(E189)+1)/12))))-((P189)*(IF((YEAR(D189)+9)&lt;YEAR(E189),0,IF((YEAR(D189)+9)&gt;YEAR(E189),1,(12-MONTH(E189)+1)/12))) + (R189)*(IF((YEAR(D189)+9)&lt;YEAR(E189),0,IF((YEAR(D189)+9)&gt;YEAR(E189),1,(12-MONTH(E189)+1)/12))))-(IF(OR(N189="",N189&lt;=0),0,(O189/N189)*(IF(OR(N189="",N189&lt;=0),0,IF((YEAR(D189)+9)&lt;YEAR(E189),0,IF((YEAR(D189)+9)&gt;=YEAR(E189)+N189,0,IF((YEAR(D189)+9)=YEAR(E189),(12-MONTH(E189)+1)/12,1))))))))&gt;0,(((K189)*(IF(M189="",L189,IFERROR(IF(INDEX(Variablen!$I:$AT, MATCH(M189, Variablen!$A:$A, 0), MATCH((YEAR(D189)+9), Variablen!$I$3:$AT$3, 0))="",L189,INDEX(Variablen!$I:$AT, MATCH(M189, Variablen!$A:$A, 0), MATCH((YEAR(D189)+9), Variablen!$I$3:$AT$3, 0))),L189)))*(IF((YEAR(D189)+9)&lt;YEAR(E189),0,IF((YEAR(D189)+9)&gt;YEAR(E189),1,(12-MONTH(E189)+1)/12))) + (Q189)*(IF((YEAR(D189)+9)&lt;YEAR(E189),0,IF((YEAR(D189)+9)&gt;YEAR(E189),1,(12-MONTH(E189)+1)/12))))-((P189)*(IF((YEAR(D189)+9)&lt;YEAR(E189),0,IF((YEAR(D189)+9)&gt;YEAR(E189),1,(12-MONTH(E189)+1)/12))) + (R189)*(IF((YEAR(D189)+9)&lt;YEAR(E189),0,IF((YEAR(D189)+9)&gt;YEAR(E189),1,(12-MONTH(E189)+1)/12))))-(IF(OR(N189="",N189&lt;=0),0,(O189/N189)*(IF(OR(N189="",N189&lt;=0),0,IF((YEAR(D189)+9)&lt;YEAR(E189),0,IF((YEAR(D189)+9)&gt;=YEAR(E189)+N189,0,IF((YEAR(D189)+9)=YEAR(E189),(12-MONTH(E189)+1)/12,1))))))))*TaxRate,0))-IF(9=0,O189,0))</f>
        <v/>
      </c>
      <c r="AC189" s="29">
        <f>IF(A189="","",((K189)*(IF(M189="",L189,IFERROR(IF(INDEX(Variablen!$I:$AT, MATCH(M189, Variablen!$A:$A, 0), MATCH((YEAR(D189)+10), Variablen!$I$3:$AT$3, 0))="",L189,INDEX(Variablen!$I:$AT, MATCH(M189, Variablen!$A:$A, 0), MATCH((YEAR(D189)+10), Variablen!$I$3:$AT$3, 0))),L189)))*(IF((YEAR(D189)+10)&lt;YEAR(E189),0,IF((YEAR(D189)+10)&gt;YEAR(E189),1,(12-MONTH(E189)+1)/12))) + (Q189)*(IF((YEAR(D189)+10)&lt;YEAR(E189),0,IF((YEAR(D189)+10)&gt;YEAR(E189),1,(12-MONTH(E189)+1)/12))))-((P189)*(IF((YEAR(D189)+10)&lt;YEAR(E189),0,IF((YEAR(D189)+10)&gt;YEAR(E189),1,(12-MONTH(E189)+1)/12))) + (R189)*(IF((YEAR(D189)+10)&lt;YEAR(E189),0,IF((YEAR(D189)+10)&gt;YEAR(E189),1,(12-MONTH(E189)+1)/12))))-(IF((((K189)*(IF(M189="",L189,IFERROR(IF(INDEX(Variablen!$I:$AT, MATCH(M189, Variablen!$A:$A, 0), MATCH((YEAR(D189)+10), Variablen!$I$3:$AT$3, 0))="",L189,INDEX(Variablen!$I:$AT, MATCH(M189, Variablen!$A:$A, 0), MATCH((YEAR(D189)+10), Variablen!$I$3:$AT$3, 0))),L189)))*(IF((YEAR(D189)+10)&lt;YEAR(E189),0,IF((YEAR(D189)+10)&gt;YEAR(E189),1,(12-MONTH(E189)+1)/12))) + (Q189)*(IF((YEAR(D189)+10)&lt;YEAR(E189),0,IF((YEAR(D189)+10)&gt;YEAR(E189),1,(12-MONTH(E189)+1)/12))))-((P189)*(IF((YEAR(D189)+10)&lt;YEAR(E189),0,IF((YEAR(D189)+10)&gt;YEAR(E189),1,(12-MONTH(E189)+1)/12))) + (R189)*(IF((YEAR(D189)+10)&lt;YEAR(E189),0,IF((YEAR(D189)+10)&gt;YEAR(E189),1,(12-MONTH(E189)+1)/12))))-(IF(OR(N189="",N189&lt;=0),0,(O189/N189)*(IF(OR(N189="",N189&lt;=0),0,IF((YEAR(D189)+10)&lt;YEAR(E189),0,IF((YEAR(D189)+10)&gt;=YEAR(E189)+N189,0,IF((YEAR(D189)+10)=YEAR(E189),(12-MONTH(E189)+1)/12,1))))))))&gt;0,(((K189)*(IF(M189="",L189,IFERROR(IF(INDEX(Variablen!$I:$AT, MATCH(M189, Variablen!$A:$A, 0), MATCH((YEAR(D189)+10), Variablen!$I$3:$AT$3, 0))="",L189,INDEX(Variablen!$I:$AT, MATCH(M189, Variablen!$A:$A, 0), MATCH((YEAR(D189)+10), Variablen!$I$3:$AT$3, 0))),L189)))*(IF((YEAR(D189)+10)&lt;YEAR(E189),0,IF((YEAR(D189)+10)&gt;YEAR(E189),1,(12-MONTH(E189)+1)/12))) + (Q189)*(IF((YEAR(D189)+10)&lt;YEAR(E189),0,IF((YEAR(D189)+10)&gt;YEAR(E189),1,(12-MONTH(E189)+1)/12))))-((P189)*(IF((YEAR(D189)+10)&lt;YEAR(E189),0,IF((YEAR(D189)+10)&gt;YEAR(E189),1,(12-MONTH(E189)+1)/12))) + (R189)*(IF((YEAR(D189)+10)&lt;YEAR(E189),0,IF((YEAR(D189)+10)&gt;YEAR(E189),1,(12-MONTH(E189)+1)/12))))-(IF(OR(N189="",N189&lt;=0),0,(O189/N189)*(IF(OR(N189="",N189&lt;=0),0,IF((YEAR(D189)+10)&lt;YEAR(E189),0,IF((YEAR(D189)+10)&gt;=YEAR(E189)+N189,0,IF((YEAR(D189)+10)=YEAR(E189),(12-MONTH(E189)+1)/12,1))))))))*TaxRate,0))-IF(10=0,O189,0))</f>
        <v/>
      </c>
      <c r="AD189" s="29">
        <f>IF(A189="","",((K189)*(IF(M189="",L189,IFERROR(IF(INDEX(Variablen!$I:$AT, MATCH(M189, Variablen!$A:$A, 0), MATCH((YEAR(D189)+11), Variablen!$I$3:$AT$3, 0))="",L189,INDEX(Variablen!$I:$AT, MATCH(M189, Variablen!$A:$A, 0), MATCH((YEAR(D189)+11), Variablen!$I$3:$AT$3, 0))),L189)))*(IF((YEAR(D189)+11)&lt;YEAR(E189),0,IF((YEAR(D189)+11)&gt;YEAR(E189),1,(12-MONTH(E189)+1)/12))) + (Q189)*(IF((YEAR(D189)+11)&lt;YEAR(E189),0,IF((YEAR(D189)+11)&gt;YEAR(E189),1,(12-MONTH(E189)+1)/12))))-((P189)*(IF((YEAR(D189)+11)&lt;YEAR(E189),0,IF((YEAR(D189)+11)&gt;YEAR(E189),1,(12-MONTH(E189)+1)/12))) + (R189)*(IF((YEAR(D189)+11)&lt;YEAR(E189),0,IF((YEAR(D189)+11)&gt;YEAR(E189),1,(12-MONTH(E189)+1)/12))))-(IF((((K189)*(IF(M189="",L189,IFERROR(IF(INDEX(Variablen!$I:$AT, MATCH(M189, Variablen!$A:$A, 0), MATCH((YEAR(D189)+11), Variablen!$I$3:$AT$3, 0))="",L189,INDEX(Variablen!$I:$AT, MATCH(M189, Variablen!$A:$A, 0), MATCH((YEAR(D189)+11), Variablen!$I$3:$AT$3, 0))),L189)))*(IF((YEAR(D189)+11)&lt;YEAR(E189),0,IF((YEAR(D189)+11)&gt;YEAR(E189),1,(12-MONTH(E189)+1)/12))) + (Q189)*(IF((YEAR(D189)+11)&lt;YEAR(E189),0,IF((YEAR(D189)+11)&gt;YEAR(E189),1,(12-MONTH(E189)+1)/12))))-((P189)*(IF((YEAR(D189)+11)&lt;YEAR(E189),0,IF((YEAR(D189)+11)&gt;YEAR(E189),1,(12-MONTH(E189)+1)/12))) + (R189)*(IF((YEAR(D189)+11)&lt;YEAR(E189),0,IF((YEAR(D189)+11)&gt;YEAR(E189),1,(12-MONTH(E189)+1)/12))))-(IF(OR(N189="",N189&lt;=0),0,(O189/N189)*(IF(OR(N189="",N189&lt;=0),0,IF((YEAR(D189)+11)&lt;YEAR(E189),0,IF((YEAR(D189)+11)&gt;=YEAR(E189)+N189,0,IF((YEAR(D189)+11)=YEAR(E189),(12-MONTH(E189)+1)/12,1))))))))&gt;0,(((K189)*(IF(M189="",L189,IFERROR(IF(INDEX(Variablen!$I:$AT, MATCH(M189, Variablen!$A:$A, 0), MATCH((YEAR(D189)+11), Variablen!$I$3:$AT$3, 0))="",L189,INDEX(Variablen!$I:$AT, MATCH(M189, Variablen!$A:$A, 0), MATCH((YEAR(D189)+11), Variablen!$I$3:$AT$3, 0))),L189)))*(IF((YEAR(D189)+11)&lt;YEAR(E189),0,IF((YEAR(D189)+11)&gt;YEAR(E189),1,(12-MONTH(E189)+1)/12))) + (Q189)*(IF((YEAR(D189)+11)&lt;YEAR(E189),0,IF((YEAR(D189)+11)&gt;YEAR(E189),1,(12-MONTH(E189)+1)/12))))-((P189)*(IF((YEAR(D189)+11)&lt;YEAR(E189),0,IF((YEAR(D189)+11)&gt;YEAR(E189),1,(12-MONTH(E189)+1)/12))) + (R189)*(IF((YEAR(D189)+11)&lt;YEAR(E189),0,IF((YEAR(D189)+11)&gt;YEAR(E189),1,(12-MONTH(E189)+1)/12))))-(IF(OR(N189="",N189&lt;=0),0,(O189/N189)*(IF(OR(N189="",N189&lt;=0),0,IF((YEAR(D189)+11)&lt;YEAR(E189),0,IF((YEAR(D189)+11)&gt;=YEAR(E189)+N189,0,IF((YEAR(D189)+11)=YEAR(E189),(12-MONTH(E189)+1)/12,1))))))))*TaxRate,0))-IF(11=0,O189,0))</f>
        <v/>
      </c>
      <c r="AE189" s="29">
        <f>IF(A189="","",((K189)*(IF(M189="",L189,IFERROR(IF(INDEX(Variablen!$I:$AT, MATCH(M189, Variablen!$A:$A, 0), MATCH((YEAR(D189)+12), Variablen!$I$3:$AT$3, 0))="",L189,INDEX(Variablen!$I:$AT, MATCH(M189, Variablen!$A:$A, 0), MATCH((YEAR(D189)+12), Variablen!$I$3:$AT$3, 0))),L189)))*(IF((YEAR(D189)+12)&lt;YEAR(E189),0,IF((YEAR(D189)+12)&gt;YEAR(E189),1,(12-MONTH(E189)+1)/12))) + (Q189)*(IF((YEAR(D189)+12)&lt;YEAR(E189),0,IF((YEAR(D189)+12)&gt;YEAR(E189),1,(12-MONTH(E189)+1)/12))))-((P189)*(IF((YEAR(D189)+12)&lt;YEAR(E189),0,IF((YEAR(D189)+12)&gt;YEAR(E189),1,(12-MONTH(E189)+1)/12))) + (R189)*(IF((YEAR(D189)+12)&lt;YEAR(E189),0,IF((YEAR(D189)+12)&gt;YEAR(E189),1,(12-MONTH(E189)+1)/12))))-(IF((((K189)*(IF(M189="",L189,IFERROR(IF(INDEX(Variablen!$I:$AT, MATCH(M189, Variablen!$A:$A, 0), MATCH((YEAR(D189)+12), Variablen!$I$3:$AT$3, 0))="",L189,INDEX(Variablen!$I:$AT, MATCH(M189, Variablen!$A:$A, 0), MATCH((YEAR(D189)+12), Variablen!$I$3:$AT$3, 0))),L189)))*(IF((YEAR(D189)+12)&lt;YEAR(E189),0,IF((YEAR(D189)+12)&gt;YEAR(E189),1,(12-MONTH(E189)+1)/12))) + (Q189)*(IF((YEAR(D189)+12)&lt;YEAR(E189),0,IF((YEAR(D189)+12)&gt;YEAR(E189),1,(12-MONTH(E189)+1)/12))))-((P189)*(IF((YEAR(D189)+12)&lt;YEAR(E189),0,IF((YEAR(D189)+12)&gt;YEAR(E189),1,(12-MONTH(E189)+1)/12))) + (R189)*(IF((YEAR(D189)+12)&lt;YEAR(E189),0,IF((YEAR(D189)+12)&gt;YEAR(E189),1,(12-MONTH(E189)+1)/12))))-(IF(OR(N189="",N189&lt;=0),0,(O189/N189)*(IF(OR(N189="",N189&lt;=0),0,IF((YEAR(D189)+12)&lt;YEAR(E189),0,IF((YEAR(D189)+12)&gt;=YEAR(E189)+N189,0,IF((YEAR(D189)+12)=YEAR(E189),(12-MONTH(E189)+1)/12,1))))))))&gt;0,(((K189)*(IF(M189="",L189,IFERROR(IF(INDEX(Variablen!$I:$AT, MATCH(M189, Variablen!$A:$A, 0), MATCH((YEAR(D189)+12), Variablen!$I$3:$AT$3, 0))="",L189,INDEX(Variablen!$I:$AT, MATCH(M189, Variablen!$A:$A, 0), MATCH((YEAR(D189)+12), Variablen!$I$3:$AT$3, 0))),L189)))*(IF((YEAR(D189)+12)&lt;YEAR(E189),0,IF((YEAR(D189)+12)&gt;YEAR(E189),1,(12-MONTH(E189)+1)/12))) + (Q189)*(IF((YEAR(D189)+12)&lt;YEAR(E189),0,IF((YEAR(D189)+12)&gt;YEAR(E189),1,(12-MONTH(E189)+1)/12))))-((P189)*(IF((YEAR(D189)+12)&lt;YEAR(E189),0,IF((YEAR(D189)+12)&gt;YEAR(E189),1,(12-MONTH(E189)+1)/12))) + (R189)*(IF((YEAR(D189)+12)&lt;YEAR(E189),0,IF((YEAR(D189)+12)&gt;YEAR(E189),1,(12-MONTH(E189)+1)/12))))-(IF(OR(N189="",N189&lt;=0),0,(O189/N189)*(IF(OR(N189="",N189&lt;=0),0,IF((YEAR(D189)+12)&lt;YEAR(E189),0,IF((YEAR(D189)+12)&gt;=YEAR(E189)+N189,0,IF((YEAR(D189)+12)=YEAR(E189),(12-MONTH(E189)+1)/12,1))))))))*TaxRate,0))-IF(12=0,O189,0))</f>
        <v/>
      </c>
      <c r="AF189" s="29">
        <f>IF(A189="","",((K189)*(IF(M189="",L189,IFERROR(IF(INDEX(Variablen!$I:$AT, MATCH(M189, Variablen!$A:$A, 0), MATCH((YEAR(D189)+13), Variablen!$I$3:$AT$3, 0))="",L189,INDEX(Variablen!$I:$AT, MATCH(M189, Variablen!$A:$A, 0), MATCH((YEAR(D189)+13), Variablen!$I$3:$AT$3, 0))),L189)))*(IF((YEAR(D189)+13)&lt;YEAR(E189),0,IF((YEAR(D189)+13)&gt;YEAR(E189),1,(12-MONTH(E189)+1)/12))) + (Q189)*(IF((YEAR(D189)+13)&lt;YEAR(E189),0,IF((YEAR(D189)+13)&gt;YEAR(E189),1,(12-MONTH(E189)+1)/12))))-((P189)*(IF((YEAR(D189)+13)&lt;YEAR(E189),0,IF((YEAR(D189)+13)&gt;YEAR(E189),1,(12-MONTH(E189)+1)/12))) + (R189)*(IF((YEAR(D189)+13)&lt;YEAR(E189),0,IF((YEAR(D189)+13)&gt;YEAR(E189),1,(12-MONTH(E189)+1)/12))))-(IF((((K189)*(IF(M189="",L189,IFERROR(IF(INDEX(Variablen!$I:$AT, MATCH(M189, Variablen!$A:$A, 0), MATCH((YEAR(D189)+13), Variablen!$I$3:$AT$3, 0))="",L189,INDEX(Variablen!$I:$AT, MATCH(M189, Variablen!$A:$A, 0), MATCH((YEAR(D189)+13), Variablen!$I$3:$AT$3, 0))),L189)))*(IF((YEAR(D189)+13)&lt;YEAR(E189),0,IF((YEAR(D189)+13)&gt;YEAR(E189),1,(12-MONTH(E189)+1)/12))) + (Q189)*(IF((YEAR(D189)+13)&lt;YEAR(E189),0,IF((YEAR(D189)+13)&gt;YEAR(E189),1,(12-MONTH(E189)+1)/12))))-((P189)*(IF((YEAR(D189)+13)&lt;YEAR(E189),0,IF((YEAR(D189)+13)&gt;YEAR(E189),1,(12-MONTH(E189)+1)/12))) + (R189)*(IF((YEAR(D189)+13)&lt;YEAR(E189),0,IF((YEAR(D189)+13)&gt;YEAR(E189),1,(12-MONTH(E189)+1)/12))))-(IF(OR(N189="",N189&lt;=0),0,(O189/N189)*(IF(OR(N189="",N189&lt;=0),0,IF((YEAR(D189)+13)&lt;YEAR(E189),0,IF((YEAR(D189)+13)&gt;=YEAR(E189)+N189,0,IF((YEAR(D189)+13)=YEAR(E189),(12-MONTH(E189)+1)/12,1))))))))&gt;0,(((K189)*(IF(M189="",L189,IFERROR(IF(INDEX(Variablen!$I:$AT, MATCH(M189, Variablen!$A:$A, 0), MATCH((YEAR(D189)+13), Variablen!$I$3:$AT$3, 0))="",L189,INDEX(Variablen!$I:$AT, MATCH(M189, Variablen!$A:$A, 0), MATCH((YEAR(D189)+13), Variablen!$I$3:$AT$3, 0))),L189)))*(IF((YEAR(D189)+13)&lt;YEAR(E189),0,IF((YEAR(D189)+13)&gt;YEAR(E189),1,(12-MONTH(E189)+1)/12))) + (Q189)*(IF((YEAR(D189)+13)&lt;YEAR(E189),0,IF((YEAR(D189)+13)&gt;YEAR(E189),1,(12-MONTH(E189)+1)/12))))-((P189)*(IF((YEAR(D189)+13)&lt;YEAR(E189),0,IF((YEAR(D189)+13)&gt;YEAR(E189),1,(12-MONTH(E189)+1)/12))) + (R189)*(IF((YEAR(D189)+13)&lt;YEAR(E189),0,IF((YEAR(D189)+13)&gt;YEAR(E189),1,(12-MONTH(E189)+1)/12))))-(IF(OR(N189="",N189&lt;=0),0,(O189/N189)*(IF(OR(N189="",N189&lt;=0),0,IF((YEAR(D189)+13)&lt;YEAR(E189),0,IF((YEAR(D189)+13)&gt;=YEAR(E189)+N189,0,IF((YEAR(D189)+13)=YEAR(E189),(12-MONTH(E189)+1)/12,1))))))))*TaxRate,0))-IF(13=0,O189,0))</f>
        <v/>
      </c>
      <c r="AG189" s="29">
        <f>IF(A189="","",((K189)*(IF(M189="",L189,IFERROR(IF(INDEX(Variablen!$I:$AT, MATCH(M189, Variablen!$A:$A, 0), MATCH((YEAR(D189)+14), Variablen!$I$3:$AT$3, 0))="",L189,INDEX(Variablen!$I:$AT, MATCH(M189, Variablen!$A:$A, 0), MATCH((YEAR(D189)+14), Variablen!$I$3:$AT$3, 0))),L189)))*(IF((YEAR(D189)+14)&lt;YEAR(E189),0,IF((YEAR(D189)+14)&gt;YEAR(E189),1,(12-MONTH(E189)+1)/12))) + (Q189)*(IF((YEAR(D189)+14)&lt;YEAR(E189),0,IF((YEAR(D189)+14)&gt;YEAR(E189),1,(12-MONTH(E189)+1)/12))))-((P189)*(IF((YEAR(D189)+14)&lt;YEAR(E189),0,IF((YEAR(D189)+14)&gt;YEAR(E189),1,(12-MONTH(E189)+1)/12))) + (R189)*(IF((YEAR(D189)+14)&lt;YEAR(E189),0,IF((YEAR(D189)+14)&gt;YEAR(E189),1,(12-MONTH(E189)+1)/12))))-(IF((((K189)*(IF(M189="",L189,IFERROR(IF(INDEX(Variablen!$I:$AT, MATCH(M189, Variablen!$A:$A, 0), MATCH((YEAR(D189)+14), Variablen!$I$3:$AT$3, 0))="",L189,INDEX(Variablen!$I:$AT, MATCH(M189, Variablen!$A:$A, 0), MATCH((YEAR(D189)+14), Variablen!$I$3:$AT$3, 0))),L189)))*(IF((YEAR(D189)+14)&lt;YEAR(E189),0,IF((YEAR(D189)+14)&gt;YEAR(E189),1,(12-MONTH(E189)+1)/12))) + (Q189)*(IF((YEAR(D189)+14)&lt;YEAR(E189),0,IF((YEAR(D189)+14)&gt;YEAR(E189),1,(12-MONTH(E189)+1)/12))))-((P189)*(IF((YEAR(D189)+14)&lt;YEAR(E189),0,IF((YEAR(D189)+14)&gt;YEAR(E189),1,(12-MONTH(E189)+1)/12))) + (R189)*(IF((YEAR(D189)+14)&lt;YEAR(E189),0,IF((YEAR(D189)+14)&gt;YEAR(E189),1,(12-MONTH(E189)+1)/12))))-(IF(OR(N189="",N189&lt;=0),0,(O189/N189)*(IF(OR(N189="",N189&lt;=0),0,IF((YEAR(D189)+14)&lt;YEAR(E189),0,IF((YEAR(D189)+14)&gt;=YEAR(E189)+N189,0,IF((YEAR(D189)+14)=YEAR(E189),(12-MONTH(E189)+1)/12,1))))))))&gt;0,(((K189)*(IF(M189="",L189,IFERROR(IF(INDEX(Variablen!$I:$AT, MATCH(M189, Variablen!$A:$A, 0), MATCH((YEAR(D189)+14), Variablen!$I$3:$AT$3, 0))="",L189,INDEX(Variablen!$I:$AT, MATCH(M189, Variablen!$A:$A, 0), MATCH((YEAR(D189)+14), Variablen!$I$3:$AT$3, 0))),L189)))*(IF((YEAR(D189)+14)&lt;YEAR(E189),0,IF((YEAR(D189)+14)&gt;YEAR(E189),1,(12-MONTH(E189)+1)/12))) + (Q189)*(IF((YEAR(D189)+14)&lt;YEAR(E189),0,IF((YEAR(D189)+14)&gt;YEAR(E189),1,(12-MONTH(E189)+1)/12))))-((P189)*(IF((YEAR(D189)+14)&lt;YEAR(E189),0,IF((YEAR(D189)+14)&gt;YEAR(E189),1,(12-MONTH(E189)+1)/12))) + (R189)*(IF((YEAR(D189)+14)&lt;YEAR(E189),0,IF((YEAR(D189)+14)&gt;YEAR(E189),1,(12-MONTH(E189)+1)/12))))-(IF(OR(N189="",N189&lt;=0),0,(O189/N189)*(IF(OR(N189="",N189&lt;=0),0,IF((YEAR(D189)+14)&lt;YEAR(E189),0,IF((YEAR(D189)+14)&gt;=YEAR(E189)+N189,0,IF((YEAR(D189)+14)=YEAR(E189),(12-MONTH(E189)+1)/12,1))))))))*TaxRate,0))-IF(14=0,O189,0))</f>
        <v/>
      </c>
      <c r="AH189" s="29">
        <f>IF(A189="","",((K189)*(IF(M189="",L189,IFERROR(IF(INDEX(Variablen!$I:$AT, MATCH(M189, Variablen!$A:$A, 0), MATCH((YEAR(D189)+15), Variablen!$I$3:$AT$3, 0))="",L189,INDEX(Variablen!$I:$AT, MATCH(M189, Variablen!$A:$A, 0), MATCH((YEAR(D189)+15), Variablen!$I$3:$AT$3, 0))),L189)))*(IF((YEAR(D189)+15)&lt;YEAR(E189),0,IF((YEAR(D189)+15)&gt;YEAR(E189),1,(12-MONTH(E189)+1)/12))) + (Q189)*(IF((YEAR(D189)+15)&lt;YEAR(E189),0,IF((YEAR(D189)+15)&gt;YEAR(E189),1,(12-MONTH(E189)+1)/12))))-((P189)*(IF((YEAR(D189)+15)&lt;YEAR(E189),0,IF((YEAR(D189)+15)&gt;YEAR(E189),1,(12-MONTH(E189)+1)/12))) + (R189)*(IF((YEAR(D189)+15)&lt;YEAR(E189),0,IF((YEAR(D189)+15)&gt;YEAR(E189),1,(12-MONTH(E189)+1)/12))))-(IF((((K189)*(IF(M189="",L189,IFERROR(IF(INDEX(Variablen!$I:$AT, MATCH(M189, Variablen!$A:$A, 0), MATCH((YEAR(D189)+15), Variablen!$I$3:$AT$3, 0))="",L189,INDEX(Variablen!$I:$AT, MATCH(M189, Variablen!$A:$A, 0), MATCH((YEAR(D189)+15), Variablen!$I$3:$AT$3, 0))),L189)))*(IF((YEAR(D189)+15)&lt;YEAR(E189),0,IF((YEAR(D189)+15)&gt;YEAR(E189),1,(12-MONTH(E189)+1)/12))) + (Q189)*(IF((YEAR(D189)+15)&lt;YEAR(E189),0,IF((YEAR(D189)+15)&gt;YEAR(E189),1,(12-MONTH(E189)+1)/12))))-((P189)*(IF((YEAR(D189)+15)&lt;YEAR(E189),0,IF((YEAR(D189)+15)&gt;YEAR(E189),1,(12-MONTH(E189)+1)/12))) + (R189)*(IF((YEAR(D189)+15)&lt;YEAR(E189),0,IF((YEAR(D189)+15)&gt;YEAR(E189),1,(12-MONTH(E189)+1)/12))))-(IF(OR(N189="",N189&lt;=0),0,(O189/N189)*(IF(OR(N189="",N189&lt;=0),0,IF((YEAR(D189)+15)&lt;YEAR(E189),0,IF((YEAR(D189)+15)&gt;=YEAR(E189)+N189,0,IF((YEAR(D189)+15)=YEAR(E189),(12-MONTH(E189)+1)/12,1))))))))&gt;0,(((K189)*(IF(M189="",L189,IFERROR(IF(INDEX(Variablen!$I:$AT, MATCH(M189, Variablen!$A:$A, 0), MATCH((YEAR(D189)+15), Variablen!$I$3:$AT$3, 0))="",L189,INDEX(Variablen!$I:$AT, MATCH(M189, Variablen!$A:$A, 0), MATCH((YEAR(D189)+15), Variablen!$I$3:$AT$3, 0))),L189)))*(IF((YEAR(D189)+15)&lt;YEAR(E189),0,IF((YEAR(D189)+15)&gt;YEAR(E189),1,(12-MONTH(E189)+1)/12))) + (Q189)*(IF((YEAR(D189)+15)&lt;YEAR(E189),0,IF((YEAR(D189)+15)&gt;YEAR(E189),1,(12-MONTH(E189)+1)/12))))-((P189)*(IF((YEAR(D189)+15)&lt;YEAR(E189),0,IF((YEAR(D189)+15)&gt;YEAR(E189),1,(12-MONTH(E189)+1)/12))) + (R189)*(IF((YEAR(D189)+15)&lt;YEAR(E189),0,IF((YEAR(D189)+15)&gt;YEAR(E189),1,(12-MONTH(E189)+1)/12))))-(IF(OR(N189="",N189&lt;=0),0,(O189/N189)*(IF(OR(N189="",N189&lt;=0),0,IF((YEAR(D189)+15)&lt;YEAR(E189),0,IF((YEAR(D189)+15)&gt;=YEAR(E189)+N189,0,IF((YEAR(D189)+15)=YEAR(E189),(12-MONTH(E189)+1)/12,1))))))))*TaxRate,0))-IF(15=0,O189,0))</f>
        <v/>
      </c>
      <c r="AI189" s="29">
        <f>IF(A189="","",((K189)*(IF(M189="",L189,IFERROR(IF(INDEX(Variablen!$I:$AT, MATCH(M189, Variablen!$A:$A, 0), MATCH((YEAR(D189)+16), Variablen!$I$3:$AT$3, 0))="",L189,INDEX(Variablen!$I:$AT, MATCH(M189, Variablen!$A:$A, 0), MATCH((YEAR(D189)+16), Variablen!$I$3:$AT$3, 0))),L189)))*(IF((YEAR(D189)+16)&lt;YEAR(E189),0,IF((YEAR(D189)+16)&gt;YEAR(E189),1,(12-MONTH(E189)+1)/12))) + (Q189)*(IF((YEAR(D189)+16)&lt;YEAR(E189),0,IF((YEAR(D189)+16)&gt;YEAR(E189),1,(12-MONTH(E189)+1)/12))))-((P189)*(IF((YEAR(D189)+16)&lt;YEAR(E189),0,IF((YEAR(D189)+16)&gt;YEAR(E189),1,(12-MONTH(E189)+1)/12))) + (R189)*(IF((YEAR(D189)+16)&lt;YEAR(E189),0,IF((YEAR(D189)+16)&gt;YEAR(E189),1,(12-MONTH(E189)+1)/12))))-(IF((((K189)*(IF(M189="",L189,IFERROR(IF(INDEX(Variablen!$I:$AT, MATCH(M189, Variablen!$A:$A, 0), MATCH((YEAR(D189)+16), Variablen!$I$3:$AT$3, 0))="",L189,INDEX(Variablen!$I:$AT, MATCH(M189, Variablen!$A:$A, 0), MATCH((YEAR(D189)+16), Variablen!$I$3:$AT$3, 0))),L189)))*(IF((YEAR(D189)+16)&lt;YEAR(E189),0,IF((YEAR(D189)+16)&gt;YEAR(E189),1,(12-MONTH(E189)+1)/12))) + (Q189)*(IF((YEAR(D189)+16)&lt;YEAR(E189),0,IF((YEAR(D189)+16)&gt;YEAR(E189),1,(12-MONTH(E189)+1)/12))))-((P189)*(IF((YEAR(D189)+16)&lt;YEAR(E189),0,IF((YEAR(D189)+16)&gt;YEAR(E189),1,(12-MONTH(E189)+1)/12))) + (R189)*(IF((YEAR(D189)+16)&lt;YEAR(E189),0,IF((YEAR(D189)+16)&gt;YEAR(E189),1,(12-MONTH(E189)+1)/12))))-(IF(OR(N189="",N189&lt;=0),0,(O189/N189)*(IF(OR(N189="",N189&lt;=0),0,IF((YEAR(D189)+16)&lt;YEAR(E189),0,IF((YEAR(D189)+16)&gt;=YEAR(E189)+N189,0,IF((YEAR(D189)+16)=YEAR(E189),(12-MONTH(E189)+1)/12,1))))))))&gt;0,(((K189)*(IF(M189="",L189,IFERROR(IF(INDEX(Variablen!$I:$AT, MATCH(M189, Variablen!$A:$A, 0), MATCH((YEAR(D189)+16), Variablen!$I$3:$AT$3, 0))="",L189,INDEX(Variablen!$I:$AT, MATCH(M189, Variablen!$A:$A, 0), MATCH((YEAR(D189)+16), Variablen!$I$3:$AT$3, 0))),L189)))*(IF((YEAR(D189)+16)&lt;YEAR(E189),0,IF((YEAR(D189)+16)&gt;YEAR(E189),1,(12-MONTH(E189)+1)/12))) + (Q189)*(IF((YEAR(D189)+16)&lt;YEAR(E189),0,IF((YEAR(D189)+16)&gt;YEAR(E189),1,(12-MONTH(E189)+1)/12))))-((P189)*(IF((YEAR(D189)+16)&lt;YEAR(E189),0,IF((YEAR(D189)+16)&gt;YEAR(E189),1,(12-MONTH(E189)+1)/12))) + (R189)*(IF((YEAR(D189)+16)&lt;YEAR(E189),0,IF((YEAR(D189)+16)&gt;YEAR(E189),1,(12-MONTH(E189)+1)/12))))-(IF(OR(N189="",N189&lt;=0),0,(O189/N189)*(IF(OR(N189="",N189&lt;=0),0,IF((YEAR(D189)+16)&lt;YEAR(E189),0,IF((YEAR(D189)+16)&gt;=YEAR(E189)+N189,0,IF((YEAR(D189)+16)=YEAR(E189),(12-MONTH(E189)+1)/12,1))))))))*TaxRate,0))-IF(16=0,O189,0))</f>
        <v/>
      </c>
      <c r="AJ189" s="29">
        <f>IF(A189="","",((K189)*(IF(M189="",L189,IFERROR(IF(INDEX(Variablen!$I:$AT, MATCH(M189, Variablen!$A:$A, 0), MATCH((YEAR(D189)+17), Variablen!$I$3:$AT$3, 0))="",L189,INDEX(Variablen!$I:$AT, MATCH(M189, Variablen!$A:$A, 0), MATCH((YEAR(D189)+17), Variablen!$I$3:$AT$3, 0))),L189)))*(IF((YEAR(D189)+17)&lt;YEAR(E189),0,IF((YEAR(D189)+17)&gt;YEAR(E189),1,(12-MONTH(E189)+1)/12))) + (Q189)*(IF((YEAR(D189)+17)&lt;YEAR(E189),0,IF((YEAR(D189)+17)&gt;YEAR(E189),1,(12-MONTH(E189)+1)/12))))-((P189)*(IF((YEAR(D189)+17)&lt;YEAR(E189),0,IF((YEAR(D189)+17)&gt;YEAR(E189),1,(12-MONTH(E189)+1)/12))) + (R189)*(IF((YEAR(D189)+17)&lt;YEAR(E189),0,IF((YEAR(D189)+17)&gt;YEAR(E189),1,(12-MONTH(E189)+1)/12))))-(IF((((K189)*(IF(M189="",L189,IFERROR(IF(INDEX(Variablen!$I:$AT, MATCH(M189, Variablen!$A:$A, 0), MATCH((YEAR(D189)+17), Variablen!$I$3:$AT$3, 0))="",L189,INDEX(Variablen!$I:$AT, MATCH(M189, Variablen!$A:$A, 0), MATCH((YEAR(D189)+17), Variablen!$I$3:$AT$3, 0))),L189)))*(IF((YEAR(D189)+17)&lt;YEAR(E189),0,IF((YEAR(D189)+17)&gt;YEAR(E189),1,(12-MONTH(E189)+1)/12))) + (Q189)*(IF((YEAR(D189)+17)&lt;YEAR(E189),0,IF((YEAR(D189)+17)&gt;YEAR(E189),1,(12-MONTH(E189)+1)/12))))-((P189)*(IF((YEAR(D189)+17)&lt;YEAR(E189),0,IF((YEAR(D189)+17)&gt;YEAR(E189),1,(12-MONTH(E189)+1)/12))) + (R189)*(IF((YEAR(D189)+17)&lt;YEAR(E189),0,IF((YEAR(D189)+17)&gt;YEAR(E189),1,(12-MONTH(E189)+1)/12))))-(IF(OR(N189="",N189&lt;=0),0,(O189/N189)*(IF(OR(N189="",N189&lt;=0),0,IF((YEAR(D189)+17)&lt;YEAR(E189),0,IF((YEAR(D189)+17)&gt;=YEAR(E189)+N189,0,IF((YEAR(D189)+17)=YEAR(E189),(12-MONTH(E189)+1)/12,1))))))))&gt;0,(((K189)*(IF(M189="",L189,IFERROR(IF(INDEX(Variablen!$I:$AT, MATCH(M189, Variablen!$A:$A, 0), MATCH((YEAR(D189)+17), Variablen!$I$3:$AT$3, 0))="",L189,INDEX(Variablen!$I:$AT, MATCH(M189, Variablen!$A:$A, 0), MATCH((YEAR(D189)+17), Variablen!$I$3:$AT$3, 0))),L189)))*(IF((YEAR(D189)+17)&lt;YEAR(E189),0,IF((YEAR(D189)+17)&gt;YEAR(E189),1,(12-MONTH(E189)+1)/12))) + (Q189)*(IF((YEAR(D189)+17)&lt;YEAR(E189),0,IF((YEAR(D189)+17)&gt;YEAR(E189),1,(12-MONTH(E189)+1)/12))))-((P189)*(IF((YEAR(D189)+17)&lt;YEAR(E189),0,IF((YEAR(D189)+17)&gt;YEAR(E189),1,(12-MONTH(E189)+1)/12))) + (R189)*(IF((YEAR(D189)+17)&lt;YEAR(E189),0,IF((YEAR(D189)+17)&gt;YEAR(E189),1,(12-MONTH(E189)+1)/12))))-(IF(OR(N189="",N189&lt;=0),0,(O189/N189)*(IF(OR(N189="",N189&lt;=0),0,IF((YEAR(D189)+17)&lt;YEAR(E189),0,IF((YEAR(D189)+17)&gt;=YEAR(E189)+N189,0,IF((YEAR(D189)+17)=YEAR(E189),(12-MONTH(E189)+1)/12,1))))))))*TaxRate,0))-IF(17=0,O189,0))</f>
        <v/>
      </c>
      <c r="AK189" s="29">
        <f>IF(A189="","",((K189)*(IF(M189="",L189,IFERROR(IF(INDEX(Variablen!$I:$AT, MATCH(M189, Variablen!$A:$A, 0), MATCH((YEAR(D189)+18), Variablen!$I$3:$AT$3, 0))="",L189,INDEX(Variablen!$I:$AT, MATCH(M189, Variablen!$A:$A, 0), MATCH((YEAR(D189)+18), Variablen!$I$3:$AT$3, 0))),L189)))*(IF((YEAR(D189)+18)&lt;YEAR(E189),0,IF((YEAR(D189)+18)&gt;YEAR(E189),1,(12-MONTH(E189)+1)/12))) + (Q189)*(IF((YEAR(D189)+18)&lt;YEAR(E189),0,IF((YEAR(D189)+18)&gt;YEAR(E189),1,(12-MONTH(E189)+1)/12))))-((P189)*(IF((YEAR(D189)+18)&lt;YEAR(E189),0,IF((YEAR(D189)+18)&gt;YEAR(E189),1,(12-MONTH(E189)+1)/12))) + (R189)*(IF((YEAR(D189)+18)&lt;YEAR(E189),0,IF((YEAR(D189)+18)&gt;YEAR(E189),1,(12-MONTH(E189)+1)/12))))-(IF((((K189)*(IF(M189="",L189,IFERROR(IF(INDEX(Variablen!$I:$AT, MATCH(M189, Variablen!$A:$A, 0), MATCH((YEAR(D189)+18), Variablen!$I$3:$AT$3, 0))="",L189,INDEX(Variablen!$I:$AT, MATCH(M189, Variablen!$A:$A, 0), MATCH((YEAR(D189)+18), Variablen!$I$3:$AT$3, 0))),L189)))*(IF((YEAR(D189)+18)&lt;YEAR(E189),0,IF((YEAR(D189)+18)&gt;YEAR(E189),1,(12-MONTH(E189)+1)/12))) + (Q189)*(IF((YEAR(D189)+18)&lt;YEAR(E189),0,IF((YEAR(D189)+18)&gt;YEAR(E189),1,(12-MONTH(E189)+1)/12))))-((P189)*(IF((YEAR(D189)+18)&lt;YEAR(E189),0,IF((YEAR(D189)+18)&gt;YEAR(E189),1,(12-MONTH(E189)+1)/12))) + (R189)*(IF((YEAR(D189)+18)&lt;YEAR(E189),0,IF((YEAR(D189)+18)&gt;YEAR(E189),1,(12-MONTH(E189)+1)/12))))-(IF(OR(N189="",N189&lt;=0),0,(O189/N189)*(IF(OR(N189="",N189&lt;=0),0,IF((YEAR(D189)+18)&lt;YEAR(E189),0,IF((YEAR(D189)+18)&gt;=YEAR(E189)+N189,0,IF((YEAR(D189)+18)=YEAR(E189),(12-MONTH(E189)+1)/12,1))))))))&gt;0,(((K189)*(IF(M189="",L189,IFERROR(IF(INDEX(Variablen!$I:$AT, MATCH(M189, Variablen!$A:$A, 0), MATCH((YEAR(D189)+18), Variablen!$I$3:$AT$3, 0))="",L189,INDEX(Variablen!$I:$AT, MATCH(M189, Variablen!$A:$A, 0), MATCH((YEAR(D189)+18), Variablen!$I$3:$AT$3, 0))),L189)))*(IF((YEAR(D189)+18)&lt;YEAR(E189),0,IF((YEAR(D189)+18)&gt;YEAR(E189),1,(12-MONTH(E189)+1)/12))) + (Q189)*(IF((YEAR(D189)+18)&lt;YEAR(E189),0,IF((YEAR(D189)+18)&gt;YEAR(E189),1,(12-MONTH(E189)+1)/12))))-((P189)*(IF((YEAR(D189)+18)&lt;YEAR(E189),0,IF((YEAR(D189)+18)&gt;YEAR(E189),1,(12-MONTH(E189)+1)/12))) + (R189)*(IF((YEAR(D189)+18)&lt;YEAR(E189),0,IF((YEAR(D189)+18)&gt;YEAR(E189),1,(12-MONTH(E189)+1)/12))))-(IF(OR(N189="",N189&lt;=0),0,(O189/N189)*(IF(OR(N189="",N189&lt;=0),0,IF((YEAR(D189)+18)&lt;YEAR(E189),0,IF((YEAR(D189)+18)&gt;=YEAR(E189)+N189,0,IF((YEAR(D189)+18)=YEAR(E189),(12-MONTH(E189)+1)/12,1))))))))*TaxRate,0))-IF(18=0,O189,0))</f>
        <v/>
      </c>
      <c r="AL189" s="29">
        <f>IF(A189="","",((K189)*(IF(M189="",L189,IFERROR(IF(INDEX(Variablen!$I:$AT, MATCH(M189, Variablen!$A:$A, 0), MATCH((YEAR(D189)+19), Variablen!$I$3:$AT$3, 0))="",L189,INDEX(Variablen!$I:$AT, MATCH(M189, Variablen!$A:$A, 0), MATCH((YEAR(D189)+19), Variablen!$I$3:$AT$3, 0))),L189)))*(IF((YEAR(D189)+19)&lt;YEAR(E189),0,IF((YEAR(D189)+19)&gt;YEAR(E189),1,(12-MONTH(E189)+1)/12))) + (Q189)*(IF((YEAR(D189)+19)&lt;YEAR(E189),0,IF((YEAR(D189)+19)&gt;YEAR(E189),1,(12-MONTH(E189)+1)/12))))-((P189)*(IF((YEAR(D189)+19)&lt;YEAR(E189),0,IF((YEAR(D189)+19)&gt;YEAR(E189),1,(12-MONTH(E189)+1)/12))) + (R189)*(IF((YEAR(D189)+19)&lt;YEAR(E189),0,IF((YEAR(D189)+19)&gt;YEAR(E189),1,(12-MONTH(E189)+1)/12))))-(IF((((K189)*(IF(M189="",L189,IFERROR(IF(INDEX(Variablen!$I:$AT, MATCH(M189, Variablen!$A:$A, 0), MATCH((YEAR(D189)+19), Variablen!$I$3:$AT$3, 0))="",L189,INDEX(Variablen!$I:$AT, MATCH(M189, Variablen!$A:$A, 0), MATCH((YEAR(D189)+19), Variablen!$I$3:$AT$3, 0))),L189)))*(IF((YEAR(D189)+19)&lt;YEAR(E189),0,IF((YEAR(D189)+19)&gt;YEAR(E189),1,(12-MONTH(E189)+1)/12))) + (Q189)*(IF((YEAR(D189)+19)&lt;YEAR(E189),0,IF((YEAR(D189)+19)&gt;YEAR(E189),1,(12-MONTH(E189)+1)/12))))-((P189)*(IF((YEAR(D189)+19)&lt;YEAR(E189),0,IF((YEAR(D189)+19)&gt;YEAR(E189),1,(12-MONTH(E189)+1)/12))) + (R189)*(IF((YEAR(D189)+19)&lt;YEAR(E189),0,IF((YEAR(D189)+19)&gt;YEAR(E189),1,(12-MONTH(E189)+1)/12))))-(IF(OR(N189="",N189&lt;=0),0,(O189/N189)*(IF(OR(N189="",N189&lt;=0),0,IF((YEAR(D189)+19)&lt;YEAR(E189),0,IF((YEAR(D189)+19)&gt;=YEAR(E189)+N189,0,IF((YEAR(D189)+19)=YEAR(E189),(12-MONTH(E189)+1)/12,1))))))))&gt;0,(((K189)*(IF(M189="",L189,IFERROR(IF(INDEX(Variablen!$I:$AT, MATCH(M189, Variablen!$A:$A, 0), MATCH((YEAR(D189)+19), Variablen!$I$3:$AT$3, 0))="",L189,INDEX(Variablen!$I:$AT, MATCH(M189, Variablen!$A:$A, 0), MATCH((YEAR(D189)+19), Variablen!$I$3:$AT$3, 0))),L189)))*(IF((YEAR(D189)+19)&lt;YEAR(E189),0,IF((YEAR(D189)+19)&gt;YEAR(E189),1,(12-MONTH(E189)+1)/12))) + (Q189)*(IF((YEAR(D189)+19)&lt;YEAR(E189),0,IF((YEAR(D189)+19)&gt;YEAR(E189),1,(12-MONTH(E189)+1)/12))))-((P189)*(IF((YEAR(D189)+19)&lt;YEAR(E189),0,IF((YEAR(D189)+19)&gt;YEAR(E189),1,(12-MONTH(E189)+1)/12))) + (R189)*(IF((YEAR(D189)+19)&lt;YEAR(E189),0,IF((YEAR(D189)+19)&gt;YEAR(E189),1,(12-MONTH(E189)+1)/12))))-(IF(OR(N189="",N189&lt;=0),0,(O189/N189)*(IF(OR(N189="",N189&lt;=0),0,IF((YEAR(D189)+19)&lt;YEAR(E189),0,IF((YEAR(D189)+19)&gt;=YEAR(E189)+N189,0,IF((YEAR(D189)+19)=YEAR(E189),(12-MONTH(E189)+1)/12,1))))))))*TaxRate,0))-IF(19=0,O189,0))</f>
        <v/>
      </c>
      <c r="AM189" s="29">
        <f>IF(A189="","",((K189)*(IF(M189="",L189,IFERROR(IF(INDEX(Variablen!$I:$AT, MATCH(M189, Variablen!$A:$A, 0), MATCH((YEAR(D189)+20), Variablen!$I$3:$AT$3, 0))="",L189,INDEX(Variablen!$I:$AT, MATCH(M189, Variablen!$A:$A, 0), MATCH((YEAR(D189)+20), Variablen!$I$3:$AT$3, 0))),L189)))*(IF((YEAR(D189)+20)&lt;YEAR(E189),0,IF((YEAR(D189)+20)&gt;YEAR(E189),1,(12-MONTH(E189)+1)/12))) + (Q189)*(IF((YEAR(D189)+20)&lt;YEAR(E189),0,IF((YEAR(D189)+20)&gt;YEAR(E189),1,(12-MONTH(E189)+1)/12))))-((P189)*(IF((YEAR(D189)+20)&lt;YEAR(E189),0,IF((YEAR(D189)+20)&gt;YEAR(E189),1,(12-MONTH(E189)+1)/12))) + (R189)*(IF((YEAR(D189)+20)&lt;YEAR(E189),0,IF((YEAR(D189)+20)&gt;YEAR(E189),1,(12-MONTH(E189)+1)/12))))-(IF((((K189)*(IF(M189="",L189,IFERROR(IF(INDEX(Variablen!$I:$AT, MATCH(M189, Variablen!$A:$A, 0), MATCH((YEAR(D189)+20), Variablen!$I$3:$AT$3, 0))="",L189,INDEX(Variablen!$I:$AT, MATCH(M189, Variablen!$A:$A, 0), MATCH((YEAR(D189)+20), Variablen!$I$3:$AT$3, 0))),L189)))*(IF((YEAR(D189)+20)&lt;YEAR(E189),0,IF((YEAR(D189)+20)&gt;YEAR(E189),1,(12-MONTH(E189)+1)/12))) + (Q189)*(IF((YEAR(D189)+20)&lt;YEAR(E189),0,IF((YEAR(D189)+20)&gt;YEAR(E189),1,(12-MONTH(E189)+1)/12))))-((P189)*(IF((YEAR(D189)+20)&lt;YEAR(E189),0,IF((YEAR(D189)+20)&gt;YEAR(E189),1,(12-MONTH(E189)+1)/12))) + (R189)*(IF((YEAR(D189)+20)&lt;YEAR(E189),0,IF((YEAR(D189)+20)&gt;YEAR(E189),1,(12-MONTH(E189)+1)/12))))-(IF(OR(N189="",N189&lt;=0),0,(O189/N189)*(IF(OR(N189="",N189&lt;=0),0,IF((YEAR(D189)+20)&lt;YEAR(E189),0,IF((YEAR(D189)+20)&gt;=YEAR(E189)+N189,0,IF((YEAR(D189)+20)=YEAR(E189),(12-MONTH(E189)+1)/12,1))))))))&gt;0,(((K189)*(IF(M189="",L189,IFERROR(IF(INDEX(Variablen!$I:$AT, MATCH(M189, Variablen!$A:$A, 0), MATCH((YEAR(D189)+20), Variablen!$I$3:$AT$3, 0))="",L189,INDEX(Variablen!$I:$AT, MATCH(M189, Variablen!$A:$A, 0), MATCH((YEAR(D189)+20), Variablen!$I$3:$AT$3, 0))),L189)))*(IF((YEAR(D189)+20)&lt;YEAR(E189),0,IF((YEAR(D189)+20)&gt;YEAR(E189),1,(12-MONTH(E189)+1)/12))) + (Q189)*(IF((YEAR(D189)+20)&lt;YEAR(E189),0,IF((YEAR(D189)+20)&gt;YEAR(E189),1,(12-MONTH(E189)+1)/12))))-((P189)*(IF((YEAR(D189)+20)&lt;YEAR(E189),0,IF((YEAR(D189)+20)&gt;YEAR(E189),1,(12-MONTH(E189)+1)/12))) + (R189)*(IF((YEAR(D189)+20)&lt;YEAR(E189),0,IF((YEAR(D189)+20)&gt;YEAR(E189),1,(12-MONTH(E189)+1)/12))))-(IF(OR(N189="",N189&lt;=0),0,(O189/N189)*(IF(OR(N189="",N189&lt;=0),0,IF((YEAR(D189)+20)&lt;YEAR(E189),0,IF((YEAR(D189)+20)&gt;=YEAR(E189)+N189,0,IF((YEAR(D189)+20)=YEAR(E189),(12-MONTH(E189)+1)/12,1))))))))*TaxRate,0))-IF(20=0,O189,0))</f>
        <v/>
      </c>
      <c r="AN189" s="29">
        <f>IF(A189="","",S189)</f>
        <v/>
      </c>
      <c r="AO189" s="29">
        <f>IF(A189="","",AN189+T189)</f>
        <v/>
      </c>
      <c r="AP189" s="29">
        <f>IF(A189="","",AO189+U189)</f>
        <v/>
      </c>
      <c r="AQ189" s="29">
        <f>IF(A189="","",AP189+V189)</f>
        <v/>
      </c>
      <c r="AR189" s="29">
        <f>IF(A189="","",AQ189+W189)</f>
        <v/>
      </c>
      <c r="AS189" s="29">
        <f>IF(A189="","",AR189+X189)</f>
        <v/>
      </c>
      <c r="AT189" s="29">
        <f>IF(A189="","",AS189+Y189)</f>
        <v/>
      </c>
      <c r="AU189" s="29">
        <f>IF(A189="","",AT189+Z189)</f>
        <v/>
      </c>
      <c r="AV189" s="29">
        <f>IF(A189="","",AU189+AA189)</f>
        <v/>
      </c>
      <c r="AW189" s="29">
        <f>IF(A189="","",AV189+AB189)</f>
        <v/>
      </c>
      <c r="AX189" s="29">
        <f>IF(A189="","",AW189+AC189)</f>
        <v/>
      </c>
      <c r="AY189" s="29">
        <f>IF(A189="","",AX189+AD189)</f>
        <v/>
      </c>
      <c r="AZ189" s="29">
        <f>IF(A189="","",AY189+AE189)</f>
        <v/>
      </c>
      <c r="BA189" s="29">
        <f>IF(A189="","",AZ189+AF189)</f>
        <v/>
      </c>
      <c r="BB189" s="29">
        <f>IF(A189="","",BA189+AG189)</f>
        <v/>
      </c>
      <c r="BC189" s="29">
        <f>IF(A189="","",BB189+AH189)</f>
        <v/>
      </c>
      <c r="BD189" s="29">
        <f>IF(A189="","",BC189+AI189)</f>
        <v/>
      </c>
      <c r="BE189" s="29">
        <f>IF(A189="","",BD189+AJ189)</f>
        <v/>
      </c>
      <c r="BF189" s="29">
        <f>IF(A189="","",BE189+AK189)</f>
        <v/>
      </c>
      <c r="BG189" s="29">
        <f>IF(A189="","",BF189+AL189)</f>
        <v/>
      </c>
      <c r="BH189" s="29">
        <f>IF(A189="","",BG189+AM189)</f>
        <v/>
      </c>
      <c r="BI189" s="36">
        <f>IF(A189="","",(K189)*(IF((YEAR(D189)+0)&lt;YEAR(E189),0,IF((YEAR(D189)+0)&gt;YEAR(E189),1,(12-MONTH(E189)+1)/12)))*(1/(1+DiscountRate)^0))</f>
        <v/>
      </c>
      <c r="BJ189" s="36">
        <f>IF(A189="","",(K189)*(IF((YEAR(D189)+1)&lt;YEAR(E189),0,IF((YEAR(D189)+1)&gt;YEAR(E189),1,(12-MONTH(E189)+1)/12)))*(1/(1+DiscountRate)^1))</f>
        <v/>
      </c>
      <c r="BK189" s="36">
        <f>IF(A189="","",(K189)*(IF((YEAR(D189)+2)&lt;YEAR(E189),0,IF((YEAR(D189)+2)&gt;YEAR(E189),1,(12-MONTH(E189)+1)/12)))*(1/(1+DiscountRate)^2))</f>
        <v/>
      </c>
      <c r="BL189" s="36">
        <f>IF(A189="","",(K189)*(IF((YEAR(D189)+3)&lt;YEAR(E189),0,IF((YEAR(D189)+3)&gt;YEAR(E189),1,(12-MONTH(E189)+1)/12)))*(1/(1+DiscountRate)^3))</f>
        <v/>
      </c>
      <c r="BM189" s="36">
        <f>IF(A189="","",(K189)*(IF((YEAR(D189)+4)&lt;YEAR(E189),0,IF((YEAR(D189)+4)&gt;YEAR(E189),1,(12-MONTH(E189)+1)/12)))*(1/(1+DiscountRate)^4))</f>
        <v/>
      </c>
      <c r="BN189" s="36">
        <f>IF(A189="","",(K189)*(IF((YEAR(D189)+5)&lt;YEAR(E189),0,IF((YEAR(D189)+5)&gt;YEAR(E189),1,(12-MONTH(E189)+1)/12)))*(1/(1+DiscountRate)^5))</f>
        <v/>
      </c>
      <c r="BO189" s="36">
        <f>IF(A189="","",(K189)*(IF((YEAR(D189)+6)&lt;YEAR(E189),0,IF((YEAR(D189)+6)&gt;YEAR(E189),1,(12-MONTH(E189)+1)/12)))*(1/(1+DiscountRate)^6))</f>
        <v/>
      </c>
      <c r="BP189" s="36">
        <f>IF(A189="","",(K189)*(IF((YEAR(D189)+7)&lt;YEAR(E189),0,IF((YEAR(D189)+7)&gt;YEAR(E189),1,(12-MONTH(E189)+1)/12)))*(1/(1+DiscountRate)^7))</f>
        <v/>
      </c>
      <c r="BQ189" s="36">
        <f>IF(A189="","",(K189)*(IF((YEAR(D189)+8)&lt;YEAR(E189),0,IF((YEAR(D189)+8)&gt;YEAR(E189),1,(12-MONTH(E189)+1)/12)))*(1/(1+DiscountRate)^8))</f>
        <v/>
      </c>
      <c r="BR189" s="36">
        <f>IF(A189="","",(K189)*(IF((YEAR(D189)+9)&lt;YEAR(E189),0,IF((YEAR(D189)+9)&gt;YEAR(E189),1,(12-MONTH(E189)+1)/12)))*(1/(1+DiscountRate)^9))</f>
        <v/>
      </c>
      <c r="BS189" s="36">
        <f>IF(A189="","",(K189)*(IF((YEAR(D189)+10)&lt;YEAR(E189),0,IF((YEAR(D189)+10)&gt;YEAR(E189),1,(12-MONTH(E189)+1)/12)))*(1/(1+DiscountRate)^10))</f>
        <v/>
      </c>
      <c r="BT189" s="36">
        <f>IF(A189="","",(K189)*(IF((YEAR(D189)+11)&lt;YEAR(E189),0,IF((YEAR(D189)+11)&gt;YEAR(E189),1,(12-MONTH(E189)+1)/12)))*(1/(1+DiscountRate)^11))</f>
        <v/>
      </c>
      <c r="BU189" s="36">
        <f>IF(A189="","",(K189)*(IF((YEAR(D189)+12)&lt;YEAR(E189),0,IF((YEAR(D189)+12)&gt;YEAR(E189),1,(12-MONTH(E189)+1)/12)))*(1/(1+DiscountRate)^12))</f>
        <v/>
      </c>
      <c r="BV189" s="36">
        <f>IF(A189="","",(K189)*(IF((YEAR(D189)+13)&lt;YEAR(E189),0,IF((YEAR(D189)+13)&gt;YEAR(E189),1,(12-MONTH(E189)+1)/12)))*(1/(1+DiscountRate)^13))</f>
        <v/>
      </c>
      <c r="BW189" s="36">
        <f>IF(A189="","",(K189)*(IF((YEAR(D189)+14)&lt;YEAR(E189),0,IF((YEAR(D189)+14)&gt;YEAR(E189),1,(12-MONTH(E189)+1)/12)))*(1/(1+DiscountRate)^14))</f>
        <v/>
      </c>
      <c r="BX189" s="36">
        <f>IF(A189="","",(K189)*(IF((YEAR(D189)+15)&lt;YEAR(E189),0,IF((YEAR(D189)+15)&gt;YEAR(E189),1,(12-MONTH(E189)+1)/12)))*(1/(1+DiscountRate)^15))</f>
        <v/>
      </c>
      <c r="BY189" s="36">
        <f>IF(A189="","",(K189)*(IF((YEAR(D189)+16)&lt;YEAR(E189),0,IF((YEAR(D189)+16)&gt;YEAR(E189),1,(12-MONTH(E189)+1)/12)))*(1/(1+DiscountRate)^16))</f>
        <v/>
      </c>
      <c r="BZ189" s="36">
        <f>IF(A189="","",(K189)*(IF((YEAR(D189)+17)&lt;YEAR(E189),0,IF((YEAR(D189)+17)&gt;YEAR(E189),1,(12-MONTH(E189)+1)/12)))*(1/(1+DiscountRate)^17))</f>
        <v/>
      </c>
      <c r="CA189" s="36">
        <f>IF(A189="","",(K189)*(IF((YEAR(D189)+18)&lt;YEAR(E189),0,IF((YEAR(D189)+18)&gt;YEAR(E189),1,(12-MONTH(E189)+1)/12)))*(1/(1+DiscountRate)^18))</f>
        <v/>
      </c>
      <c r="CB189" s="36">
        <f>IF(A189="","",(K189)*(IF((YEAR(D189)+19)&lt;YEAR(E189),0,IF((YEAR(D189)+19)&gt;YEAR(E189),1,(12-MONTH(E189)+1)/12)))*(1/(1+DiscountRate)^19))</f>
        <v/>
      </c>
      <c r="CC189" s="36">
        <f>IF(A189="","",(K189)*(IF((YEAR(D189)+20)&lt;YEAR(E189),0,IF((YEAR(D189)+20)&gt;YEAR(E189),1,(12-MONTH(E189)+1)/12)))*(1/(1+DiscountRate)^20))</f>
        <v/>
      </c>
      <c r="CD189" s="29">
        <f>IF(A189="","",S189/(1+DiscountRate)^0+T189/(1+DiscountRate)^1+U189/(1+DiscountRate)^2+V189/(1+DiscountRate)^3+W189/(1+DiscountRate)^4+X189/(1+DiscountRate)^5+Y189/(1+DiscountRate)^6+Z189/(1+DiscountRate)^7+AA189/(1+DiscountRate)^8+AB189/(1+DiscountRate)^9+AC189/(1+DiscountRate)^10+AD189/(1+DiscountRate)^11+AE189/(1+DiscountRate)^12+AF189/(1+DiscountRate)^13+AG189/(1+DiscountRate)^14+AH189/(1+DiscountRate)^15+AI189/(1+DiscountRate)^16+AJ189/(1+DiscountRate)^17+AK189/(1+DiscountRate)^18+AL189/(1+DiscountRate)^19+AM189/(1+DiscountRate)^20)</f>
        <v/>
      </c>
      <c r="CE189" s="37">
        <f>IF(A189="","",IFERROR(IRR(OFFSET(S189,0,0,1,MIN(HorizonYears,20)+1)),"n/a"))</f>
        <v/>
      </c>
      <c r="CF189" s="28">
        <f>IF(A189="","",IFERROR(MATCH(TRUE,OFFSET(AN189,0,0,1,MIN(HorizonYears,20)+1)&gt;=0,0)-1,"n/a"))</f>
        <v/>
      </c>
      <c r="CG189" s="36">
        <f>IF(A189="","",SUM(OFFSET(BI189,0,0,1,MIN(HorizonYears,20)+1)))</f>
        <v/>
      </c>
      <c r="CH189" s="36">
        <f>IF(A189="","",IFERROR(-CD189/CG189,"n/a"))</f>
        <v/>
      </c>
    </row>
    <row r="190">
      <c r="A190" s="6">
        <f>Actions!A188</f>
        <v/>
      </c>
      <c r="B190" s="6">
        <f>Actions!B188</f>
        <v/>
      </c>
      <c r="C190" s="6">
        <f>Actions!D188</f>
        <v/>
      </c>
      <c r="D190" s="35">
        <f>Actions!E188</f>
        <v/>
      </c>
      <c r="E190" s="35">
        <f>Actions!F188</f>
        <v/>
      </c>
      <c r="F190" s="6">
        <f>Actions!G188</f>
        <v/>
      </c>
      <c r="G190" s="6">
        <f>Actions!H188</f>
        <v/>
      </c>
      <c r="H190" s="29">
        <f>Actions!I188</f>
        <v/>
      </c>
      <c r="I190" s="6">
        <f>Actions!J188</f>
        <v/>
      </c>
      <c r="J190" s="16">
        <f>Actions!K188</f>
        <v/>
      </c>
      <c r="K190" s="16">
        <f>IF(A190="","",IF(I190="%",H190*J190,J190))</f>
        <v/>
      </c>
      <c r="L190" s="16">
        <f>Actions!L188</f>
        <v/>
      </c>
      <c r="M190" s="6">
        <f>Actions!M188</f>
        <v/>
      </c>
      <c r="N190" s="28">
        <f>Actions!N188</f>
        <v/>
      </c>
      <c r="O190" s="29">
        <f>Actions!T188</f>
        <v/>
      </c>
      <c r="P190" s="29">
        <f>Actions!Y188</f>
        <v/>
      </c>
      <c r="Q190" s="29">
        <f>Actions!Z188</f>
        <v/>
      </c>
      <c r="R190" s="29">
        <f>Actions!AA188</f>
        <v/>
      </c>
      <c r="S190" s="29">
        <f>IF(A190="","",((K190)*(IF(M190="",L190,IFERROR(IF(INDEX(Variablen!$I:$AT, MATCH(M190, Variablen!$A:$A, 0), MATCH((YEAR(D190)+0), Variablen!$I$3:$AT$3, 0))="",L190,INDEX(Variablen!$I:$AT, MATCH(M190, Variablen!$A:$A, 0), MATCH((YEAR(D190)+0), Variablen!$I$3:$AT$3, 0))),L190)))*(IF((YEAR(D190)+0)&lt;YEAR(E190),0,IF((YEAR(D190)+0)&gt;YEAR(E190),1,(12-MONTH(E190)+1)/12))) + (Q190)*(IF((YEAR(D190)+0)&lt;YEAR(E190),0,IF((YEAR(D190)+0)&gt;YEAR(E190),1,(12-MONTH(E190)+1)/12))))-((P190)*(IF((YEAR(D190)+0)&lt;YEAR(E190),0,IF((YEAR(D190)+0)&gt;YEAR(E190),1,(12-MONTH(E190)+1)/12))) + (R190)*(IF((YEAR(D190)+0)&lt;YEAR(E190),0,IF((YEAR(D190)+0)&gt;YEAR(E190),1,(12-MONTH(E190)+1)/12))))-(IF((((K190)*(IF(M190="",L190,IFERROR(IF(INDEX(Variablen!$I:$AT, MATCH(M190, Variablen!$A:$A, 0), MATCH((YEAR(D190)+0), Variablen!$I$3:$AT$3, 0))="",L190,INDEX(Variablen!$I:$AT, MATCH(M190, Variablen!$A:$A, 0), MATCH((YEAR(D190)+0), Variablen!$I$3:$AT$3, 0))),L190)))*(IF((YEAR(D190)+0)&lt;YEAR(E190),0,IF((YEAR(D190)+0)&gt;YEAR(E190),1,(12-MONTH(E190)+1)/12))) + (Q190)*(IF((YEAR(D190)+0)&lt;YEAR(E190),0,IF((YEAR(D190)+0)&gt;YEAR(E190),1,(12-MONTH(E190)+1)/12))))-((P190)*(IF((YEAR(D190)+0)&lt;YEAR(E190),0,IF((YEAR(D190)+0)&gt;YEAR(E190),1,(12-MONTH(E190)+1)/12))) + (R190)*(IF((YEAR(D190)+0)&lt;YEAR(E190),0,IF((YEAR(D190)+0)&gt;YEAR(E190),1,(12-MONTH(E190)+1)/12))))-(IF(OR(N190="",N190&lt;=0),0,(O190/N190)*(IF(OR(N190="",N190&lt;=0),0,IF((YEAR(D190)+0)&lt;YEAR(E190),0,IF((YEAR(D190)+0)&gt;=YEAR(E190)+N190,0,IF((YEAR(D190)+0)=YEAR(E190),(12-MONTH(E190)+1)/12,1))))))))&gt;0,(((K190)*(IF(M190="",L190,IFERROR(IF(INDEX(Variablen!$I:$AT, MATCH(M190, Variablen!$A:$A, 0), MATCH((YEAR(D190)+0), Variablen!$I$3:$AT$3, 0))="",L190,INDEX(Variablen!$I:$AT, MATCH(M190, Variablen!$A:$A, 0), MATCH((YEAR(D190)+0), Variablen!$I$3:$AT$3, 0))),L190)))*(IF((YEAR(D190)+0)&lt;YEAR(E190),0,IF((YEAR(D190)+0)&gt;YEAR(E190),1,(12-MONTH(E190)+1)/12))) + (Q190)*(IF((YEAR(D190)+0)&lt;YEAR(E190),0,IF((YEAR(D190)+0)&gt;YEAR(E190),1,(12-MONTH(E190)+1)/12))))-((P190)*(IF((YEAR(D190)+0)&lt;YEAR(E190),0,IF((YEAR(D190)+0)&gt;YEAR(E190),1,(12-MONTH(E190)+1)/12))) + (R190)*(IF((YEAR(D190)+0)&lt;YEAR(E190),0,IF((YEAR(D190)+0)&gt;YEAR(E190),1,(12-MONTH(E190)+1)/12))))-(IF(OR(N190="",N190&lt;=0),0,(O190/N190)*(IF(OR(N190="",N190&lt;=0),0,IF((YEAR(D190)+0)&lt;YEAR(E190),0,IF((YEAR(D190)+0)&gt;=YEAR(E190)+N190,0,IF((YEAR(D190)+0)=YEAR(E190),(12-MONTH(E190)+1)/12,1))))))))*TaxRate,0))-IF(0=0,O190,0))</f>
        <v/>
      </c>
      <c r="T190" s="29">
        <f>IF(A190="","",((K190)*(IF(M190="",L190,IFERROR(IF(INDEX(Variablen!$I:$AT, MATCH(M190, Variablen!$A:$A, 0), MATCH((YEAR(D190)+1), Variablen!$I$3:$AT$3, 0))="",L190,INDEX(Variablen!$I:$AT, MATCH(M190, Variablen!$A:$A, 0), MATCH((YEAR(D190)+1), Variablen!$I$3:$AT$3, 0))),L190)))*(IF((YEAR(D190)+1)&lt;YEAR(E190),0,IF((YEAR(D190)+1)&gt;YEAR(E190),1,(12-MONTH(E190)+1)/12))) + (Q190)*(IF((YEAR(D190)+1)&lt;YEAR(E190),0,IF((YEAR(D190)+1)&gt;YEAR(E190),1,(12-MONTH(E190)+1)/12))))-((P190)*(IF((YEAR(D190)+1)&lt;YEAR(E190),0,IF((YEAR(D190)+1)&gt;YEAR(E190),1,(12-MONTH(E190)+1)/12))) + (R190)*(IF((YEAR(D190)+1)&lt;YEAR(E190),0,IF((YEAR(D190)+1)&gt;YEAR(E190),1,(12-MONTH(E190)+1)/12))))-(IF((((K190)*(IF(M190="",L190,IFERROR(IF(INDEX(Variablen!$I:$AT, MATCH(M190, Variablen!$A:$A, 0), MATCH((YEAR(D190)+1), Variablen!$I$3:$AT$3, 0))="",L190,INDEX(Variablen!$I:$AT, MATCH(M190, Variablen!$A:$A, 0), MATCH((YEAR(D190)+1), Variablen!$I$3:$AT$3, 0))),L190)))*(IF((YEAR(D190)+1)&lt;YEAR(E190),0,IF((YEAR(D190)+1)&gt;YEAR(E190),1,(12-MONTH(E190)+1)/12))) + (Q190)*(IF((YEAR(D190)+1)&lt;YEAR(E190),0,IF((YEAR(D190)+1)&gt;YEAR(E190),1,(12-MONTH(E190)+1)/12))))-((P190)*(IF((YEAR(D190)+1)&lt;YEAR(E190),0,IF((YEAR(D190)+1)&gt;YEAR(E190),1,(12-MONTH(E190)+1)/12))) + (R190)*(IF((YEAR(D190)+1)&lt;YEAR(E190),0,IF((YEAR(D190)+1)&gt;YEAR(E190),1,(12-MONTH(E190)+1)/12))))-(IF(OR(N190="",N190&lt;=0),0,(O190/N190)*(IF(OR(N190="",N190&lt;=0),0,IF((YEAR(D190)+1)&lt;YEAR(E190),0,IF((YEAR(D190)+1)&gt;=YEAR(E190)+N190,0,IF((YEAR(D190)+1)=YEAR(E190),(12-MONTH(E190)+1)/12,1))))))))&gt;0,(((K190)*(IF(M190="",L190,IFERROR(IF(INDEX(Variablen!$I:$AT, MATCH(M190, Variablen!$A:$A, 0), MATCH((YEAR(D190)+1), Variablen!$I$3:$AT$3, 0))="",L190,INDEX(Variablen!$I:$AT, MATCH(M190, Variablen!$A:$A, 0), MATCH((YEAR(D190)+1), Variablen!$I$3:$AT$3, 0))),L190)))*(IF((YEAR(D190)+1)&lt;YEAR(E190),0,IF((YEAR(D190)+1)&gt;YEAR(E190),1,(12-MONTH(E190)+1)/12))) + (Q190)*(IF((YEAR(D190)+1)&lt;YEAR(E190),0,IF((YEAR(D190)+1)&gt;YEAR(E190),1,(12-MONTH(E190)+1)/12))))-((P190)*(IF((YEAR(D190)+1)&lt;YEAR(E190),0,IF((YEAR(D190)+1)&gt;YEAR(E190),1,(12-MONTH(E190)+1)/12))) + (R190)*(IF((YEAR(D190)+1)&lt;YEAR(E190),0,IF((YEAR(D190)+1)&gt;YEAR(E190),1,(12-MONTH(E190)+1)/12))))-(IF(OR(N190="",N190&lt;=0),0,(O190/N190)*(IF(OR(N190="",N190&lt;=0),0,IF((YEAR(D190)+1)&lt;YEAR(E190),0,IF((YEAR(D190)+1)&gt;=YEAR(E190)+N190,0,IF((YEAR(D190)+1)=YEAR(E190),(12-MONTH(E190)+1)/12,1))))))))*TaxRate,0))-IF(1=0,O190,0))</f>
        <v/>
      </c>
      <c r="U190" s="29">
        <f>IF(A190="","",((K190)*(IF(M190="",L190,IFERROR(IF(INDEX(Variablen!$I:$AT, MATCH(M190, Variablen!$A:$A, 0), MATCH((YEAR(D190)+2), Variablen!$I$3:$AT$3, 0))="",L190,INDEX(Variablen!$I:$AT, MATCH(M190, Variablen!$A:$A, 0), MATCH((YEAR(D190)+2), Variablen!$I$3:$AT$3, 0))),L190)))*(IF((YEAR(D190)+2)&lt;YEAR(E190),0,IF((YEAR(D190)+2)&gt;YEAR(E190),1,(12-MONTH(E190)+1)/12))) + (Q190)*(IF((YEAR(D190)+2)&lt;YEAR(E190),0,IF((YEAR(D190)+2)&gt;YEAR(E190),1,(12-MONTH(E190)+1)/12))))-((P190)*(IF((YEAR(D190)+2)&lt;YEAR(E190),0,IF((YEAR(D190)+2)&gt;YEAR(E190),1,(12-MONTH(E190)+1)/12))) + (R190)*(IF((YEAR(D190)+2)&lt;YEAR(E190),0,IF((YEAR(D190)+2)&gt;YEAR(E190),1,(12-MONTH(E190)+1)/12))))-(IF((((K190)*(IF(M190="",L190,IFERROR(IF(INDEX(Variablen!$I:$AT, MATCH(M190, Variablen!$A:$A, 0), MATCH((YEAR(D190)+2), Variablen!$I$3:$AT$3, 0))="",L190,INDEX(Variablen!$I:$AT, MATCH(M190, Variablen!$A:$A, 0), MATCH((YEAR(D190)+2), Variablen!$I$3:$AT$3, 0))),L190)))*(IF((YEAR(D190)+2)&lt;YEAR(E190),0,IF((YEAR(D190)+2)&gt;YEAR(E190),1,(12-MONTH(E190)+1)/12))) + (Q190)*(IF((YEAR(D190)+2)&lt;YEAR(E190),0,IF((YEAR(D190)+2)&gt;YEAR(E190),1,(12-MONTH(E190)+1)/12))))-((P190)*(IF((YEAR(D190)+2)&lt;YEAR(E190),0,IF((YEAR(D190)+2)&gt;YEAR(E190),1,(12-MONTH(E190)+1)/12))) + (R190)*(IF((YEAR(D190)+2)&lt;YEAR(E190),0,IF((YEAR(D190)+2)&gt;YEAR(E190),1,(12-MONTH(E190)+1)/12))))-(IF(OR(N190="",N190&lt;=0),0,(O190/N190)*(IF(OR(N190="",N190&lt;=0),0,IF((YEAR(D190)+2)&lt;YEAR(E190),0,IF((YEAR(D190)+2)&gt;=YEAR(E190)+N190,0,IF((YEAR(D190)+2)=YEAR(E190),(12-MONTH(E190)+1)/12,1))))))))&gt;0,(((K190)*(IF(M190="",L190,IFERROR(IF(INDEX(Variablen!$I:$AT, MATCH(M190, Variablen!$A:$A, 0), MATCH((YEAR(D190)+2), Variablen!$I$3:$AT$3, 0))="",L190,INDEX(Variablen!$I:$AT, MATCH(M190, Variablen!$A:$A, 0), MATCH((YEAR(D190)+2), Variablen!$I$3:$AT$3, 0))),L190)))*(IF((YEAR(D190)+2)&lt;YEAR(E190),0,IF((YEAR(D190)+2)&gt;YEAR(E190),1,(12-MONTH(E190)+1)/12))) + (Q190)*(IF((YEAR(D190)+2)&lt;YEAR(E190),0,IF((YEAR(D190)+2)&gt;YEAR(E190),1,(12-MONTH(E190)+1)/12))))-((P190)*(IF((YEAR(D190)+2)&lt;YEAR(E190),0,IF((YEAR(D190)+2)&gt;YEAR(E190),1,(12-MONTH(E190)+1)/12))) + (R190)*(IF((YEAR(D190)+2)&lt;YEAR(E190),0,IF((YEAR(D190)+2)&gt;YEAR(E190),1,(12-MONTH(E190)+1)/12))))-(IF(OR(N190="",N190&lt;=0),0,(O190/N190)*(IF(OR(N190="",N190&lt;=0),0,IF((YEAR(D190)+2)&lt;YEAR(E190),0,IF((YEAR(D190)+2)&gt;=YEAR(E190)+N190,0,IF((YEAR(D190)+2)=YEAR(E190),(12-MONTH(E190)+1)/12,1))))))))*TaxRate,0))-IF(2=0,O190,0))</f>
        <v/>
      </c>
      <c r="V190" s="29">
        <f>IF(A190="","",((K190)*(IF(M190="",L190,IFERROR(IF(INDEX(Variablen!$I:$AT, MATCH(M190, Variablen!$A:$A, 0), MATCH((YEAR(D190)+3), Variablen!$I$3:$AT$3, 0))="",L190,INDEX(Variablen!$I:$AT, MATCH(M190, Variablen!$A:$A, 0), MATCH((YEAR(D190)+3), Variablen!$I$3:$AT$3, 0))),L190)))*(IF((YEAR(D190)+3)&lt;YEAR(E190),0,IF((YEAR(D190)+3)&gt;YEAR(E190),1,(12-MONTH(E190)+1)/12))) + (Q190)*(IF((YEAR(D190)+3)&lt;YEAR(E190),0,IF((YEAR(D190)+3)&gt;YEAR(E190),1,(12-MONTH(E190)+1)/12))))-((P190)*(IF((YEAR(D190)+3)&lt;YEAR(E190),0,IF((YEAR(D190)+3)&gt;YEAR(E190),1,(12-MONTH(E190)+1)/12))) + (R190)*(IF((YEAR(D190)+3)&lt;YEAR(E190),0,IF((YEAR(D190)+3)&gt;YEAR(E190),1,(12-MONTH(E190)+1)/12))))-(IF((((K190)*(IF(M190="",L190,IFERROR(IF(INDEX(Variablen!$I:$AT, MATCH(M190, Variablen!$A:$A, 0), MATCH((YEAR(D190)+3), Variablen!$I$3:$AT$3, 0))="",L190,INDEX(Variablen!$I:$AT, MATCH(M190, Variablen!$A:$A, 0), MATCH((YEAR(D190)+3), Variablen!$I$3:$AT$3, 0))),L190)))*(IF((YEAR(D190)+3)&lt;YEAR(E190),0,IF((YEAR(D190)+3)&gt;YEAR(E190),1,(12-MONTH(E190)+1)/12))) + (Q190)*(IF((YEAR(D190)+3)&lt;YEAR(E190),0,IF((YEAR(D190)+3)&gt;YEAR(E190),1,(12-MONTH(E190)+1)/12))))-((P190)*(IF((YEAR(D190)+3)&lt;YEAR(E190),0,IF((YEAR(D190)+3)&gt;YEAR(E190),1,(12-MONTH(E190)+1)/12))) + (R190)*(IF((YEAR(D190)+3)&lt;YEAR(E190),0,IF((YEAR(D190)+3)&gt;YEAR(E190),1,(12-MONTH(E190)+1)/12))))-(IF(OR(N190="",N190&lt;=0),0,(O190/N190)*(IF(OR(N190="",N190&lt;=0),0,IF((YEAR(D190)+3)&lt;YEAR(E190),0,IF((YEAR(D190)+3)&gt;=YEAR(E190)+N190,0,IF((YEAR(D190)+3)=YEAR(E190),(12-MONTH(E190)+1)/12,1))))))))&gt;0,(((K190)*(IF(M190="",L190,IFERROR(IF(INDEX(Variablen!$I:$AT, MATCH(M190, Variablen!$A:$A, 0), MATCH((YEAR(D190)+3), Variablen!$I$3:$AT$3, 0))="",L190,INDEX(Variablen!$I:$AT, MATCH(M190, Variablen!$A:$A, 0), MATCH((YEAR(D190)+3), Variablen!$I$3:$AT$3, 0))),L190)))*(IF((YEAR(D190)+3)&lt;YEAR(E190),0,IF((YEAR(D190)+3)&gt;YEAR(E190),1,(12-MONTH(E190)+1)/12))) + (Q190)*(IF((YEAR(D190)+3)&lt;YEAR(E190),0,IF((YEAR(D190)+3)&gt;YEAR(E190),1,(12-MONTH(E190)+1)/12))))-((P190)*(IF((YEAR(D190)+3)&lt;YEAR(E190),0,IF((YEAR(D190)+3)&gt;YEAR(E190),1,(12-MONTH(E190)+1)/12))) + (R190)*(IF((YEAR(D190)+3)&lt;YEAR(E190),0,IF((YEAR(D190)+3)&gt;YEAR(E190),1,(12-MONTH(E190)+1)/12))))-(IF(OR(N190="",N190&lt;=0),0,(O190/N190)*(IF(OR(N190="",N190&lt;=0),0,IF((YEAR(D190)+3)&lt;YEAR(E190),0,IF((YEAR(D190)+3)&gt;=YEAR(E190)+N190,0,IF((YEAR(D190)+3)=YEAR(E190),(12-MONTH(E190)+1)/12,1))))))))*TaxRate,0))-IF(3=0,O190,0))</f>
        <v/>
      </c>
      <c r="W190" s="29">
        <f>IF(A190="","",((K190)*(IF(M190="",L190,IFERROR(IF(INDEX(Variablen!$I:$AT, MATCH(M190, Variablen!$A:$A, 0), MATCH((YEAR(D190)+4), Variablen!$I$3:$AT$3, 0))="",L190,INDEX(Variablen!$I:$AT, MATCH(M190, Variablen!$A:$A, 0), MATCH((YEAR(D190)+4), Variablen!$I$3:$AT$3, 0))),L190)))*(IF((YEAR(D190)+4)&lt;YEAR(E190),0,IF((YEAR(D190)+4)&gt;YEAR(E190),1,(12-MONTH(E190)+1)/12))) + (Q190)*(IF((YEAR(D190)+4)&lt;YEAR(E190),0,IF((YEAR(D190)+4)&gt;YEAR(E190),1,(12-MONTH(E190)+1)/12))))-((P190)*(IF((YEAR(D190)+4)&lt;YEAR(E190),0,IF((YEAR(D190)+4)&gt;YEAR(E190),1,(12-MONTH(E190)+1)/12))) + (R190)*(IF((YEAR(D190)+4)&lt;YEAR(E190),0,IF((YEAR(D190)+4)&gt;YEAR(E190),1,(12-MONTH(E190)+1)/12))))-(IF((((K190)*(IF(M190="",L190,IFERROR(IF(INDEX(Variablen!$I:$AT, MATCH(M190, Variablen!$A:$A, 0), MATCH((YEAR(D190)+4), Variablen!$I$3:$AT$3, 0))="",L190,INDEX(Variablen!$I:$AT, MATCH(M190, Variablen!$A:$A, 0), MATCH((YEAR(D190)+4), Variablen!$I$3:$AT$3, 0))),L190)))*(IF((YEAR(D190)+4)&lt;YEAR(E190),0,IF((YEAR(D190)+4)&gt;YEAR(E190),1,(12-MONTH(E190)+1)/12))) + (Q190)*(IF((YEAR(D190)+4)&lt;YEAR(E190),0,IF((YEAR(D190)+4)&gt;YEAR(E190),1,(12-MONTH(E190)+1)/12))))-((P190)*(IF((YEAR(D190)+4)&lt;YEAR(E190),0,IF((YEAR(D190)+4)&gt;YEAR(E190),1,(12-MONTH(E190)+1)/12))) + (R190)*(IF((YEAR(D190)+4)&lt;YEAR(E190),0,IF((YEAR(D190)+4)&gt;YEAR(E190),1,(12-MONTH(E190)+1)/12))))-(IF(OR(N190="",N190&lt;=0),0,(O190/N190)*(IF(OR(N190="",N190&lt;=0),0,IF((YEAR(D190)+4)&lt;YEAR(E190),0,IF((YEAR(D190)+4)&gt;=YEAR(E190)+N190,0,IF((YEAR(D190)+4)=YEAR(E190),(12-MONTH(E190)+1)/12,1))))))))&gt;0,(((K190)*(IF(M190="",L190,IFERROR(IF(INDEX(Variablen!$I:$AT, MATCH(M190, Variablen!$A:$A, 0), MATCH((YEAR(D190)+4), Variablen!$I$3:$AT$3, 0))="",L190,INDEX(Variablen!$I:$AT, MATCH(M190, Variablen!$A:$A, 0), MATCH((YEAR(D190)+4), Variablen!$I$3:$AT$3, 0))),L190)))*(IF((YEAR(D190)+4)&lt;YEAR(E190),0,IF((YEAR(D190)+4)&gt;YEAR(E190),1,(12-MONTH(E190)+1)/12))) + (Q190)*(IF((YEAR(D190)+4)&lt;YEAR(E190),0,IF((YEAR(D190)+4)&gt;YEAR(E190),1,(12-MONTH(E190)+1)/12))))-((P190)*(IF((YEAR(D190)+4)&lt;YEAR(E190),0,IF((YEAR(D190)+4)&gt;YEAR(E190),1,(12-MONTH(E190)+1)/12))) + (R190)*(IF((YEAR(D190)+4)&lt;YEAR(E190),0,IF((YEAR(D190)+4)&gt;YEAR(E190),1,(12-MONTH(E190)+1)/12))))-(IF(OR(N190="",N190&lt;=0),0,(O190/N190)*(IF(OR(N190="",N190&lt;=0),0,IF((YEAR(D190)+4)&lt;YEAR(E190),0,IF((YEAR(D190)+4)&gt;=YEAR(E190)+N190,0,IF((YEAR(D190)+4)=YEAR(E190),(12-MONTH(E190)+1)/12,1))))))))*TaxRate,0))-IF(4=0,O190,0))</f>
        <v/>
      </c>
      <c r="X190" s="29">
        <f>IF(A190="","",((K190)*(IF(M190="",L190,IFERROR(IF(INDEX(Variablen!$I:$AT, MATCH(M190, Variablen!$A:$A, 0), MATCH((YEAR(D190)+5), Variablen!$I$3:$AT$3, 0))="",L190,INDEX(Variablen!$I:$AT, MATCH(M190, Variablen!$A:$A, 0), MATCH((YEAR(D190)+5), Variablen!$I$3:$AT$3, 0))),L190)))*(IF((YEAR(D190)+5)&lt;YEAR(E190),0,IF((YEAR(D190)+5)&gt;YEAR(E190),1,(12-MONTH(E190)+1)/12))) + (Q190)*(IF((YEAR(D190)+5)&lt;YEAR(E190),0,IF((YEAR(D190)+5)&gt;YEAR(E190),1,(12-MONTH(E190)+1)/12))))-((P190)*(IF((YEAR(D190)+5)&lt;YEAR(E190),0,IF((YEAR(D190)+5)&gt;YEAR(E190),1,(12-MONTH(E190)+1)/12))) + (R190)*(IF((YEAR(D190)+5)&lt;YEAR(E190),0,IF((YEAR(D190)+5)&gt;YEAR(E190),1,(12-MONTH(E190)+1)/12))))-(IF((((K190)*(IF(M190="",L190,IFERROR(IF(INDEX(Variablen!$I:$AT, MATCH(M190, Variablen!$A:$A, 0), MATCH((YEAR(D190)+5), Variablen!$I$3:$AT$3, 0))="",L190,INDEX(Variablen!$I:$AT, MATCH(M190, Variablen!$A:$A, 0), MATCH((YEAR(D190)+5), Variablen!$I$3:$AT$3, 0))),L190)))*(IF((YEAR(D190)+5)&lt;YEAR(E190),0,IF((YEAR(D190)+5)&gt;YEAR(E190),1,(12-MONTH(E190)+1)/12))) + (Q190)*(IF((YEAR(D190)+5)&lt;YEAR(E190),0,IF((YEAR(D190)+5)&gt;YEAR(E190),1,(12-MONTH(E190)+1)/12))))-((P190)*(IF((YEAR(D190)+5)&lt;YEAR(E190),0,IF((YEAR(D190)+5)&gt;YEAR(E190),1,(12-MONTH(E190)+1)/12))) + (R190)*(IF((YEAR(D190)+5)&lt;YEAR(E190),0,IF((YEAR(D190)+5)&gt;YEAR(E190),1,(12-MONTH(E190)+1)/12))))-(IF(OR(N190="",N190&lt;=0),0,(O190/N190)*(IF(OR(N190="",N190&lt;=0),0,IF((YEAR(D190)+5)&lt;YEAR(E190),0,IF((YEAR(D190)+5)&gt;=YEAR(E190)+N190,0,IF((YEAR(D190)+5)=YEAR(E190),(12-MONTH(E190)+1)/12,1))))))))&gt;0,(((K190)*(IF(M190="",L190,IFERROR(IF(INDEX(Variablen!$I:$AT, MATCH(M190, Variablen!$A:$A, 0), MATCH((YEAR(D190)+5), Variablen!$I$3:$AT$3, 0))="",L190,INDEX(Variablen!$I:$AT, MATCH(M190, Variablen!$A:$A, 0), MATCH((YEAR(D190)+5), Variablen!$I$3:$AT$3, 0))),L190)))*(IF((YEAR(D190)+5)&lt;YEAR(E190),0,IF((YEAR(D190)+5)&gt;YEAR(E190),1,(12-MONTH(E190)+1)/12))) + (Q190)*(IF((YEAR(D190)+5)&lt;YEAR(E190),0,IF((YEAR(D190)+5)&gt;YEAR(E190),1,(12-MONTH(E190)+1)/12))))-((P190)*(IF((YEAR(D190)+5)&lt;YEAR(E190),0,IF((YEAR(D190)+5)&gt;YEAR(E190),1,(12-MONTH(E190)+1)/12))) + (R190)*(IF((YEAR(D190)+5)&lt;YEAR(E190),0,IF((YEAR(D190)+5)&gt;YEAR(E190),1,(12-MONTH(E190)+1)/12))))-(IF(OR(N190="",N190&lt;=0),0,(O190/N190)*(IF(OR(N190="",N190&lt;=0),0,IF((YEAR(D190)+5)&lt;YEAR(E190),0,IF((YEAR(D190)+5)&gt;=YEAR(E190)+N190,0,IF((YEAR(D190)+5)=YEAR(E190),(12-MONTH(E190)+1)/12,1))))))))*TaxRate,0))-IF(5=0,O190,0))</f>
        <v/>
      </c>
      <c r="Y190" s="29">
        <f>IF(A190="","",((K190)*(IF(M190="",L190,IFERROR(IF(INDEX(Variablen!$I:$AT, MATCH(M190, Variablen!$A:$A, 0), MATCH((YEAR(D190)+6), Variablen!$I$3:$AT$3, 0))="",L190,INDEX(Variablen!$I:$AT, MATCH(M190, Variablen!$A:$A, 0), MATCH((YEAR(D190)+6), Variablen!$I$3:$AT$3, 0))),L190)))*(IF((YEAR(D190)+6)&lt;YEAR(E190),0,IF((YEAR(D190)+6)&gt;YEAR(E190),1,(12-MONTH(E190)+1)/12))) + (Q190)*(IF((YEAR(D190)+6)&lt;YEAR(E190),0,IF((YEAR(D190)+6)&gt;YEAR(E190),1,(12-MONTH(E190)+1)/12))))-((P190)*(IF((YEAR(D190)+6)&lt;YEAR(E190),0,IF((YEAR(D190)+6)&gt;YEAR(E190),1,(12-MONTH(E190)+1)/12))) + (R190)*(IF((YEAR(D190)+6)&lt;YEAR(E190),0,IF((YEAR(D190)+6)&gt;YEAR(E190),1,(12-MONTH(E190)+1)/12))))-(IF((((K190)*(IF(M190="",L190,IFERROR(IF(INDEX(Variablen!$I:$AT, MATCH(M190, Variablen!$A:$A, 0), MATCH((YEAR(D190)+6), Variablen!$I$3:$AT$3, 0))="",L190,INDEX(Variablen!$I:$AT, MATCH(M190, Variablen!$A:$A, 0), MATCH((YEAR(D190)+6), Variablen!$I$3:$AT$3, 0))),L190)))*(IF((YEAR(D190)+6)&lt;YEAR(E190),0,IF((YEAR(D190)+6)&gt;YEAR(E190),1,(12-MONTH(E190)+1)/12))) + (Q190)*(IF((YEAR(D190)+6)&lt;YEAR(E190),0,IF((YEAR(D190)+6)&gt;YEAR(E190),1,(12-MONTH(E190)+1)/12))))-((P190)*(IF((YEAR(D190)+6)&lt;YEAR(E190),0,IF((YEAR(D190)+6)&gt;YEAR(E190),1,(12-MONTH(E190)+1)/12))) + (R190)*(IF((YEAR(D190)+6)&lt;YEAR(E190),0,IF((YEAR(D190)+6)&gt;YEAR(E190),1,(12-MONTH(E190)+1)/12))))-(IF(OR(N190="",N190&lt;=0),0,(O190/N190)*(IF(OR(N190="",N190&lt;=0),0,IF((YEAR(D190)+6)&lt;YEAR(E190),0,IF((YEAR(D190)+6)&gt;=YEAR(E190)+N190,0,IF((YEAR(D190)+6)=YEAR(E190),(12-MONTH(E190)+1)/12,1))))))))&gt;0,(((K190)*(IF(M190="",L190,IFERROR(IF(INDEX(Variablen!$I:$AT, MATCH(M190, Variablen!$A:$A, 0), MATCH((YEAR(D190)+6), Variablen!$I$3:$AT$3, 0))="",L190,INDEX(Variablen!$I:$AT, MATCH(M190, Variablen!$A:$A, 0), MATCH((YEAR(D190)+6), Variablen!$I$3:$AT$3, 0))),L190)))*(IF((YEAR(D190)+6)&lt;YEAR(E190),0,IF((YEAR(D190)+6)&gt;YEAR(E190),1,(12-MONTH(E190)+1)/12))) + (Q190)*(IF((YEAR(D190)+6)&lt;YEAR(E190),0,IF((YEAR(D190)+6)&gt;YEAR(E190),1,(12-MONTH(E190)+1)/12))))-((P190)*(IF((YEAR(D190)+6)&lt;YEAR(E190),0,IF((YEAR(D190)+6)&gt;YEAR(E190),1,(12-MONTH(E190)+1)/12))) + (R190)*(IF((YEAR(D190)+6)&lt;YEAR(E190),0,IF((YEAR(D190)+6)&gt;YEAR(E190),1,(12-MONTH(E190)+1)/12))))-(IF(OR(N190="",N190&lt;=0),0,(O190/N190)*(IF(OR(N190="",N190&lt;=0),0,IF((YEAR(D190)+6)&lt;YEAR(E190),0,IF((YEAR(D190)+6)&gt;=YEAR(E190)+N190,0,IF((YEAR(D190)+6)=YEAR(E190),(12-MONTH(E190)+1)/12,1))))))))*TaxRate,0))-IF(6=0,O190,0))</f>
        <v/>
      </c>
      <c r="Z190" s="29">
        <f>IF(A190="","",((K190)*(IF(M190="",L190,IFERROR(IF(INDEX(Variablen!$I:$AT, MATCH(M190, Variablen!$A:$A, 0), MATCH((YEAR(D190)+7), Variablen!$I$3:$AT$3, 0))="",L190,INDEX(Variablen!$I:$AT, MATCH(M190, Variablen!$A:$A, 0), MATCH((YEAR(D190)+7), Variablen!$I$3:$AT$3, 0))),L190)))*(IF((YEAR(D190)+7)&lt;YEAR(E190),0,IF((YEAR(D190)+7)&gt;YEAR(E190),1,(12-MONTH(E190)+1)/12))) + (Q190)*(IF((YEAR(D190)+7)&lt;YEAR(E190),0,IF((YEAR(D190)+7)&gt;YEAR(E190),1,(12-MONTH(E190)+1)/12))))-((P190)*(IF((YEAR(D190)+7)&lt;YEAR(E190),0,IF((YEAR(D190)+7)&gt;YEAR(E190),1,(12-MONTH(E190)+1)/12))) + (R190)*(IF((YEAR(D190)+7)&lt;YEAR(E190),0,IF((YEAR(D190)+7)&gt;YEAR(E190),1,(12-MONTH(E190)+1)/12))))-(IF((((K190)*(IF(M190="",L190,IFERROR(IF(INDEX(Variablen!$I:$AT, MATCH(M190, Variablen!$A:$A, 0), MATCH((YEAR(D190)+7), Variablen!$I$3:$AT$3, 0))="",L190,INDEX(Variablen!$I:$AT, MATCH(M190, Variablen!$A:$A, 0), MATCH((YEAR(D190)+7), Variablen!$I$3:$AT$3, 0))),L190)))*(IF((YEAR(D190)+7)&lt;YEAR(E190),0,IF((YEAR(D190)+7)&gt;YEAR(E190),1,(12-MONTH(E190)+1)/12))) + (Q190)*(IF((YEAR(D190)+7)&lt;YEAR(E190),0,IF((YEAR(D190)+7)&gt;YEAR(E190),1,(12-MONTH(E190)+1)/12))))-((P190)*(IF((YEAR(D190)+7)&lt;YEAR(E190),0,IF((YEAR(D190)+7)&gt;YEAR(E190),1,(12-MONTH(E190)+1)/12))) + (R190)*(IF((YEAR(D190)+7)&lt;YEAR(E190),0,IF((YEAR(D190)+7)&gt;YEAR(E190),1,(12-MONTH(E190)+1)/12))))-(IF(OR(N190="",N190&lt;=0),0,(O190/N190)*(IF(OR(N190="",N190&lt;=0),0,IF((YEAR(D190)+7)&lt;YEAR(E190),0,IF((YEAR(D190)+7)&gt;=YEAR(E190)+N190,0,IF((YEAR(D190)+7)=YEAR(E190),(12-MONTH(E190)+1)/12,1))))))))&gt;0,(((K190)*(IF(M190="",L190,IFERROR(IF(INDEX(Variablen!$I:$AT, MATCH(M190, Variablen!$A:$A, 0), MATCH((YEAR(D190)+7), Variablen!$I$3:$AT$3, 0))="",L190,INDEX(Variablen!$I:$AT, MATCH(M190, Variablen!$A:$A, 0), MATCH((YEAR(D190)+7), Variablen!$I$3:$AT$3, 0))),L190)))*(IF((YEAR(D190)+7)&lt;YEAR(E190),0,IF((YEAR(D190)+7)&gt;YEAR(E190),1,(12-MONTH(E190)+1)/12))) + (Q190)*(IF((YEAR(D190)+7)&lt;YEAR(E190),0,IF((YEAR(D190)+7)&gt;YEAR(E190),1,(12-MONTH(E190)+1)/12))))-((P190)*(IF((YEAR(D190)+7)&lt;YEAR(E190),0,IF((YEAR(D190)+7)&gt;YEAR(E190),1,(12-MONTH(E190)+1)/12))) + (R190)*(IF((YEAR(D190)+7)&lt;YEAR(E190),0,IF((YEAR(D190)+7)&gt;YEAR(E190),1,(12-MONTH(E190)+1)/12))))-(IF(OR(N190="",N190&lt;=0),0,(O190/N190)*(IF(OR(N190="",N190&lt;=0),0,IF((YEAR(D190)+7)&lt;YEAR(E190),0,IF((YEAR(D190)+7)&gt;=YEAR(E190)+N190,0,IF((YEAR(D190)+7)=YEAR(E190),(12-MONTH(E190)+1)/12,1))))))))*TaxRate,0))-IF(7=0,O190,0))</f>
        <v/>
      </c>
      <c r="AA190" s="29">
        <f>IF(A190="","",((K190)*(IF(M190="",L190,IFERROR(IF(INDEX(Variablen!$I:$AT, MATCH(M190, Variablen!$A:$A, 0), MATCH((YEAR(D190)+8), Variablen!$I$3:$AT$3, 0))="",L190,INDEX(Variablen!$I:$AT, MATCH(M190, Variablen!$A:$A, 0), MATCH((YEAR(D190)+8), Variablen!$I$3:$AT$3, 0))),L190)))*(IF((YEAR(D190)+8)&lt;YEAR(E190),0,IF((YEAR(D190)+8)&gt;YEAR(E190),1,(12-MONTH(E190)+1)/12))) + (Q190)*(IF((YEAR(D190)+8)&lt;YEAR(E190),0,IF((YEAR(D190)+8)&gt;YEAR(E190),1,(12-MONTH(E190)+1)/12))))-((P190)*(IF((YEAR(D190)+8)&lt;YEAR(E190),0,IF((YEAR(D190)+8)&gt;YEAR(E190),1,(12-MONTH(E190)+1)/12))) + (R190)*(IF((YEAR(D190)+8)&lt;YEAR(E190),0,IF((YEAR(D190)+8)&gt;YEAR(E190),1,(12-MONTH(E190)+1)/12))))-(IF((((K190)*(IF(M190="",L190,IFERROR(IF(INDEX(Variablen!$I:$AT, MATCH(M190, Variablen!$A:$A, 0), MATCH((YEAR(D190)+8), Variablen!$I$3:$AT$3, 0))="",L190,INDEX(Variablen!$I:$AT, MATCH(M190, Variablen!$A:$A, 0), MATCH((YEAR(D190)+8), Variablen!$I$3:$AT$3, 0))),L190)))*(IF((YEAR(D190)+8)&lt;YEAR(E190),0,IF((YEAR(D190)+8)&gt;YEAR(E190),1,(12-MONTH(E190)+1)/12))) + (Q190)*(IF((YEAR(D190)+8)&lt;YEAR(E190),0,IF((YEAR(D190)+8)&gt;YEAR(E190),1,(12-MONTH(E190)+1)/12))))-((P190)*(IF((YEAR(D190)+8)&lt;YEAR(E190),0,IF((YEAR(D190)+8)&gt;YEAR(E190),1,(12-MONTH(E190)+1)/12))) + (R190)*(IF((YEAR(D190)+8)&lt;YEAR(E190),0,IF((YEAR(D190)+8)&gt;YEAR(E190),1,(12-MONTH(E190)+1)/12))))-(IF(OR(N190="",N190&lt;=0),0,(O190/N190)*(IF(OR(N190="",N190&lt;=0),0,IF((YEAR(D190)+8)&lt;YEAR(E190),0,IF((YEAR(D190)+8)&gt;=YEAR(E190)+N190,0,IF((YEAR(D190)+8)=YEAR(E190),(12-MONTH(E190)+1)/12,1))))))))&gt;0,(((K190)*(IF(M190="",L190,IFERROR(IF(INDEX(Variablen!$I:$AT, MATCH(M190, Variablen!$A:$A, 0), MATCH((YEAR(D190)+8), Variablen!$I$3:$AT$3, 0))="",L190,INDEX(Variablen!$I:$AT, MATCH(M190, Variablen!$A:$A, 0), MATCH((YEAR(D190)+8), Variablen!$I$3:$AT$3, 0))),L190)))*(IF((YEAR(D190)+8)&lt;YEAR(E190),0,IF((YEAR(D190)+8)&gt;YEAR(E190),1,(12-MONTH(E190)+1)/12))) + (Q190)*(IF((YEAR(D190)+8)&lt;YEAR(E190),0,IF((YEAR(D190)+8)&gt;YEAR(E190),1,(12-MONTH(E190)+1)/12))))-((P190)*(IF((YEAR(D190)+8)&lt;YEAR(E190),0,IF((YEAR(D190)+8)&gt;YEAR(E190),1,(12-MONTH(E190)+1)/12))) + (R190)*(IF((YEAR(D190)+8)&lt;YEAR(E190),0,IF((YEAR(D190)+8)&gt;YEAR(E190),1,(12-MONTH(E190)+1)/12))))-(IF(OR(N190="",N190&lt;=0),0,(O190/N190)*(IF(OR(N190="",N190&lt;=0),0,IF((YEAR(D190)+8)&lt;YEAR(E190),0,IF((YEAR(D190)+8)&gt;=YEAR(E190)+N190,0,IF((YEAR(D190)+8)=YEAR(E190),(12-MONTH(E190)+1)/12,1))))))))*TaxRate,0))-IF(8=0,O190,0))</f>
        <v/>
      </c>
      <c r="AB190" s="29">
        <f>IF(A190="","",((K190)*(IF(M190="",L190,IFERROR(IF(INDEX(Variablen!$I:$AT, MATCH(M190, Variablen!$A:$A, 0), MATCH((YEAR(D190)+9), Variablen!$I$3:$AT$3, 0))="",L190,INDEX(Variablen!$I:$AT, MATCH(M190, Variablen!$A:$A, 0), MATCH((YEAR(D190)+9), Variablen!$I$3:$AT$3, 0))),L190)))*(IF((YEAR(D190)+9)&lt;YEAR(E190),0,IF((YEAR(D190)+9)&gt;YEAR(E190),1,(12-MONTH(E190)+1)/12))) + (Q190)*(IF((YEAR(D190)+9)&lt;YEAR(E190),0,IF((YEAR(D190)+9)&gt;YEAR(E190),1,(12-MONTH(E190)+1)/12))))-((P190)*(IF((YEAR(D190)+9)&lt;YEAR(E190),0,IF((YEAR(D190)+9)&gt;YEAR(E190),1,(12-MONTH(E190)+1)/12))) + (R190)*(IF((YEAR(D190)+9)&lt;YEAR(E190),0,IF((YEAR(D190)+9)&gt;YEAR(E190),1,(12-MONTH(E190)+1)/12))))-(IF((((K190)*(IF(M190="",L190,IFERROR(IF(INDEX(Variablen!$I:$AT, MATCH(M190, Variablen!$A:$A, 0), MATCH((YEAR(D190)+9), Variablen!$I$3:$AT$3, 0))="",L190,INDEX(Variablen!$I:$AT, MATCH(M190, Variablen!$A:$A, 0), MATCH((YEAR(D190)+9), Variablen!$I$3:$AT$3, 0))),L190)))*(IF((YEAR(D190)+9)&lt;YEAR(E190),0,IF((YEAR(D190)+9)&gt;YEAR(E190),1,(12-MONTH(E190)+1)/12))) + (Q190)*(IF((YEAR(D190)+9)&lt;YEAR(E190),0,IF((YEAR(D190)+9)&gt;YEAR(E190),1,(12-MONTH(E190)+1)/12))))-((P190)*(IF((YEAR(D190)+9)&lt;YEAR(E190),0,IF((YEAR(D190)+9)&gt;YEAR(E190),1,(12-MONTH(E190)+1)/12))) + (R190)*(IF((YEAR(D190)+9)&lt;YEAR(E190),0,IF((YEAR(D190)+9)&gt;YEAR(E190),1,(12-MONTH(E190)+1)/12))))-(IF(OR(N190="",N190&lt;=0),0,(O190/N190)*(IF(OR(N190="",N190&lt;=0),0,IF((YEAR(D190)+9)&lt;YEAR(E190),0,IF((YEAR(D190)+9)&gt;=YEAR(E190)+N190,0,IF((YEAR(D190)+9)=YEAR(E190),(12-MONTH(E190)+1)/12,1))))))))&gt;0,(((K190)*(IF(M190="",L190,IFERROR(IF(INDEX(Variablen!$I:$AT, MATCH(M190, Variablen!$A:$A, 0), MATCH((YEAR(D190)+9), Variablen!$I$3:$AT$3, 0))="",L190,INDEX(Variablen!$I:$AT, MATCH(M190, Variablen!$A:$A, 0), MATCH((YEAR(D190)+9), Variablen!$I$3:$AT$3, 0))),L190)))*(IF((YEAR(D190)+9)&lt;YEAR(E190),0,IF((YEAR(D190)+9)&gt;YEAR(E190),1,(12-MONTH(E190)+1)/12))) + (Q190)*(IF((YEAR(D190)+9)&lt;YEAR(E190),0,IF((YEAR(D190)+9)&gt;YEAR(E190),1,(12-MONTH(E190)+1)/12))))-((P190)*(IF((YEAR(D190)+9)&lt;YEAR(E190),0,IF((YEAR(D190)+9)&gt;YEAR(E190),1,(12-MONTH(E190)+1)/12))) + (R190)*(IF((YEAR(D190)+9)&lt;YEAR(E190),0,IF((YEAR(D190)+9)&gt;YEAR(E190),1,(12-MONTH(E190)+1)/12))))-(IF(OR(N190="",N190&lt;=0),0,(O190/N190)*(IF(OR(N190="",N190&lt;=0),0,IF((YEAR(D190)+9)&lt;YEAR(E190),0,IF((YEAR(D190)+9)&gt;=YEAR(E190)+N190,0,IF((YEAR(D190)+9)=YEAR(E190),(12-MONTH(E190)+1)/12,1))))))))*TaxRate,0))-IF(9=0,O190,0))</f>
        <v/>
      </c>
      <c r="AC190" s="29">
        <f>IF(A190="","",((K190)*(IF(M190="",L190,IFERROR(IF(INDEX(Variablen!$I:$AT, MATCH(M190, Variablen!$A:$A, 0), MATCH((YEAR(D190)+10), Variablen!$I$3:$AT$3, 0))="",L190,INDEX(Variablen!$I:$AT, MATCH(M190, Variablen!$A:$A, 0), MATCH((YEAR(D190)+10), Variablen!$I$3:$AT$3, 0))),L190)))*(IF((YEAR(D190)+10)&lt;YEAR(E190),0,IF((YEAR(D190)+10)&gt;YEAR(E190),1,(12-MONTH(E190)+1)/12))) + (Q190)*(IF((YEAR(D190)+10)&lt;YEAR(E190),0,IF((YEAR(D190)+10)&gt;YEAR(E190),1,(12-MONTH(E190)+1)/12))))-((P190)*(IF((YEAR(D190)+10)&lt;YEAR(E190),0,IF((YEAR(D190)+10)&gt;YEAR(E190),1,(12-MONTH(E190)+1)/12))) + (R190)*(IF((YEAR(D190)+10)&lt;YEAR(E190),0,IF((YEAR(D190)+10)&gt;YEAR(E190),1,(12-MONTH(E190)+1)/12))))-(IF((((K190)*(IF(M190="",L190,IFERROR(IF(INDEX(Variablen!$I:$AT, MATCH(M190, Variablen!$A:$A, 0), MATCH((YEAR(D190)+10), Variablen!$I$3:$AT$3, 0))="",L190,INDEX(Variablen!$I:$AT, MATCH(M190, Variablen!$A:$A, 0), MATCH((YEAR(D190)+10), Variablen!$I$3:$AT$3, 0))),L190)))*(IF((YEAR(D190)+10)&lt;YEAR(E190),0,IF((YEAR(D190)+10)&gt;YEAR(E190),1,(12-MONTH(E190)+1)/12))) + (Q190)*(IF((YEAR(D190)+10)&lt;YEAR(E190),0,IF((YEAR(D190)+10)&gt;YEAR(E190),1,(12-MONTH(E190)+1)/12))))-((P190)*(IF((YEAR(D190)+10)&lt;YEAR(E190),0,IF((YEAR(D190)+10)&gt;YEAR(E190),1,(12-MONTH(E190)+1)/12))) + (R190)*(IF((YEAR(D190)+10)&lt;YEAR(E190),0,IF((YEAR(D190)+10)&gt;YEAR(E190),1,(12-MONTH(E190)+1)/12))))-(IF(OR(N190="",N190&lt;=0),0,(O190/N190)*(IF(OR(N190="",N190&lt;=0),0,IF((YEAR(D190)+10)&lt;YEAR(E190),0,IF((YEAR(D190)+10)&gt;=YEAR(E190)+N190,0,IF((YEAR(D190)+10)=YEAR(E190),(12-MONTH(E190)+1)/12,1))))))))&gt;0,(((K190)*(IF(M190="",L190,IFERROR(IF(INDEX(Variablen!$I:$AT, MATCH(M190, Variablen!$A:$A, 0), MATCH((YEAR(D190)+10), Variablen!$I$3:$AT$3, 0))="",L190,INDEX(Variablen!$I:$AT, MATCH(M190, Variablen!$A:$A, 0), MATCH((YEAR(D190)+10), Variablen!$I$3:$AT$3, 0))),L190)))*(IF((YEAR(D190)+10)&lt;YEAR(E190),0,IF((YEAR(D190)+10)&gt;YEAR(E190),1,(12-MONTH(E190)+1)/12))) + (Q190)*(IF((YEAR(D190)+10)&lt;YEAR(E190),0,IF((YEAR(D190)+10)&gt;YEAR(E190),1,(12-MONTH(E190)+1)/12))))-((P190)*(IF((YEAR(D190)+10)&lt;YEAR(E190),0,IF((YEAR(D190)+10)&gt;YEAR(E190),1,(12-MONTH(E190)+1)/12))) + (R190)*(IF((YEAR(D190)+10)&lt;YEAR(E190),0,IF((YEAR(D190)+10)&gt;YEAR(E190),1,(12-MONTH(E190)+1)/12))))-(IF(OR(N190="",N190&lt;=0),0,(O190/N190)*(IF(OR(N190="",N190&lt;=0),0,IF((YEAR(D190)+10)&lt;YEAR(E190),0,IF((YEAR(D190)+10)&gt;=YEAR(E190)+N190,0,IF((YEAR(D190)+10)=YEAR(E190),(12-MONTH(E190)+1)/12,1))))))))*TaxRate,0))-IF(10=0,O190,0))</f>
        <v/>
      </c>
      <c r="AD190" s="29">
        <f>IF(A190="","",((K190)*(IF(M190="",L190,IFERROR(IF(INDEX(Variablen!$I:$AT, MATCH(M190, Variablen!$A:$A, 0), MATCH((YEAR(D190)+11), Variablen!$I$3:$AT$3, 0))="",L190,INDEX(Variablen!$I:$AT, MATCH(M190, Variablen!$A:$A, 0), MATCH((YEAR(D190)+11), Variablen!$I$3:$AT$3, 0))),L190)))*(IF((YEAR(D190)+11)&lt;YEAR(E190),0,IF((YEAR(D190)+11)&gt;YEAR(E190),1,(12-MONTH(E190)+1)/12))) + (Q190)*(IF((YEAR(D190)+11)&lt;YEAR(E190),0,IF((YEAR(D190)+11)&gt;YEAR(E190),1,(12-MONTH(E190)+1)/12))))-((P190)*(IF((YEAR(D190)+11)&lt;YEAR(E190),0,IF((YEAR(D190)+11)&gt;YEAR(E190),1,(12-MONTH(E190)+1)/12))) + (R190)*(IF((YEAR(D190)+11)&lt;YEAR(E190),0,IF((YEAR(D190)+11)&gt;YEAR(E190),1,(12-MONTH(E190)+1)/12))))-(IF((((K190)*(IF(M190="",L190,IFERROR(IF(INDEX(Variablen!$I:$AT, MATCH(M190, Variablen!$A:$A, 0), MATCH((YEAR(D190)+11), Variablen!$I$3:$AT$3, 0))="",L190,INDEX(Variablen!$I:$AT, MATCH(M190, Variablen!$A:$A, 0), MATCH((YEAR(D190)+11), Variablen!$I$3:$AT$3, 0))),L190)))*(IF((YEAR(D190)+11)&lt;YEAR(E190),0,IF((YEAR(D190)+11)&gt;YEAR(E190),1,(12-MONTH(E190)+1)/12))) + (Q190)*(IF((YEAR(D190)+11)&lt;YEAR(E190),0,IF((YEAR(D190)+11)&gt;YEAR(E190),1,(12-MONTH(E190)+1)/12))))-((P190)*(IF((YEAR(D190)+11)&lt;YEAR(E190),0,IF((YEAR(D190)+11)&gt;YEAR(E190),1,(12-MONTH(E190)+1)/12))) + (R190)*(IF((YEAR(D190)+11)&lt;YEAR(E190),0,IF((YEAR(D190)+11)&gt;YEAR(E190),1,(12-MONTH(E190)+1)/12))))-(IF(OR(N190="",N190&lt;=0),0,(O190/N190)*(IF(OR(N190="",N190&lt;=0),0,IF((YEAR(D190)+11)&lt;YEAR(E190),0,IF((YEAR(D190)+11)&gt;=YEAR(E190)+N190,0,IF((YEAR(D190)+11)=YEAR(E190),(12-MONTH(E190)+1)/12,1))))))))&gt;0,(((K190)*(IF(M190="",L190,IFERROR(IF(INDEX(Variablen!$I:$AT, MATCH(M190, Variablen!$A:$A, 0), MATCH((YEAR(D190)+11), Variablen!$I$3:$AT$3, 0))="",L190,INDEX(Variablen!$I:$AT, MATCH(M190, Variablen!$A:$A, 0), MATCH((YEAR(D190)+11), Variablen!$I$3:$AT$3, 0))),L190)))*(IF((YEAR(D190)+11)&lt;YEAR(E190),0,IF((YEAR(D190)+11)&gt;YEAR(E190),1,(12-MONTH(E190)+1)/12))) + (Q190)*(IF((YEAR(D190)+11)&lt;YEAR(E190),0,IF((YEAR(D190)+11)&gt;YEAR(E190),1,(12-MONTH(E190)+1)/12))))-((P190)*(IF((YEAR(D190)+11)&lt;YEAR(E190),0,IF((YEAR(D190)+11)&gt;YEAR(E190),1,(12-MONTH(E190)+1)/12))) + (R190)*(IF((YEAR(D190)+11)&lt;YEAR(E190),0,IF((YEAR(D190)+11)&gt;YEAR(E190),1,(12-MONTH(E190)+1)/12))))-(IF(OR(N190="",N190&lt;=0),0,(O190/N190)*(IF(OR(N190="",N190&lt;=0),0,IF((YEAR(D190)+11)&lt;YEAR(E190),0,IF((YEAR(D190)+11)&gt;=YEAR(E190)+N190,0,IF((YEAR(D190)+11)=YEAR(E190),(12-MONTH(E190)+1)/12,1))))))))*TaxRate,0))-IF(11=0,O190,0))</f>
        <v/>
      </c>
      <c r="AE190" s="29">
        <f>IF(A190="","",((K190)*(IF(M190="",L190,IFERROR(IF(INDEX(Variablen!$I:$AT, MATCH(M190, Variablen!$A:$A, 0), MATCH((YEAR(D190)+12), Variablen!$I$3:$AT$3, 0))="",L190,INDEX(Variablen!$I:$AT, MATCH(M190, Variablen!$A:$A, 0), MATCH((YEAR(D190)+12), Variablen!$I$3:$AT$3, 0))),L190)))*(IF((YEAR(D190)+12)&lt;YEAR(E190),0,IF((YEAR(D190)+12)&gt;YEAR(E190),1,(12-MONTH(E190)+1)/12))) + (Q190)*(IF((YEAR(D190)+12)&lt;YEAR(E190),0,IF((YEAR(D190)+12)&gt;YEAR(E190),1,(12-MONTH(E190)+1)/12))))-((P190)*(IF((YEAR(D190)+12)&lt;YEAR(E190),0,IF((YEAR(D190)+12)&gt;YEAR(E190),1,(12-MONTH(E190)+1)/12))) + (R190)*(IF((YEAR(D190)+12)&lt;YEAR(E190),0,IF((YEAR(D190)+12)&gt;YEAR(E190),1,(12-MONTH(E190)+1)/12))))-(IF((((K190)*(IF(M190="",L190,IFERROR(IF(INDEX(Variablen!$I:$AT, MATCH(M190, Variablen!$A:$A, 0), MATCH((YEAR(D190)+12), Variablen!$I$3:$AT$3, 0))="",L190,INDEX(Variablen!$I:$AT, MATCH(M190, Variablen!$A:$A, 0), MATCH((YEAR(D190)+12), Variablen!$I$3:$AT$3, 0))),L190)))*(IF((YEAR(D190)+12)&lt;YEAR(E190),0,IF((YEAR(D190)+12)&gt;YEAR(E190),1,(12-MONTH(E190)+1)/12))) + (Q190)*(IF((YEAR(D190)+12)&lt;YEAR(E190),0,IF((YEAR(D190)+12)&gt;YEAR(E190),1,(12-MONTH(E190)+1)/12))))-((P190)*(IF((YEAR(D190)+12)&lt;YEAR(E190),0,IF((YEAR(D190)+12)&gt;YEAR(E190),1,(12-MONTH(E190)+1)/12))) + (R190)*(IF((YEAR(D190)+12)&lt;YEAR(E190),0,IF((YEAR(D190)+12)&gt;YEAR(E190),1,(12-MONTH(E190)+1)/12))))-(IF(OR(N190="",N190&lt;=0),0,(O190/N190)*(IF(OR(N190="",N190&lt;=0),0,IF((YEAR(D190)+12)&lt;YEAR(E190),0,IF((YEAR(D190)+12)&gt;=YEAR(E190)+N190,0,IF((YEAR(D190)+12)=YEAR(E190),(12-MONTH(E190)+1)/12,1))))))))&gt;0,(((K190)*(IF(M190="",L190,IFERROR(IF(INDEX(Variablen!$I:$AT, MATCH(M190, Variablen!$A:$A, 0), MATCH((YEAR(D190)+12), Variablen!$I$3:$AT$3, 0))="",L190,INDEX(Variablen!$I:$AT, MATCH(M190, Variablen!$A:$A, 0), MATCH((YEAR(D190)+12), Variablen!$I$3:$AT$3, 0))),L190)))*(IF((YEAR(D190)+12)&lt;YEAR(E190),0,IF((YEAR(D190)+12)&gt;YEAR(E190),1,(12-MONTH(E190)+1)/12))) + (Q190)*(IF((YEAR(D190)+12)&lt;YEAR(E190),0,IF((YEAR(D190)+12)&gt;YEAR(E190),1,(12-MONTH(E190)+1)/12))))-((P190)*(IF((YEAR(D190)+12)&lt;YEAR(E190),0,IF((YEAR(D190)+12)&gt;YEAR(E190),1,(12-MONTH(E190)+1)/12))) + (R190)*(IF((YEAR(D190)+12)&lt;YEAR(E190),0,IF((YEAR(D190)+12)&gt;YEAR(E190),1,(12-MONTH(E190)+1)/12))))-(IF(OR(N190="",N190&lt;=0),0,(O190/N190)*(IF(OR(N190="",N190&lt;=0),0,IF((YEAR(D190)+12)&lt;YEAR(E190),0,IF((YEAR(D190)+12)&gt;=YEAR(E190)+N190,0,IF((YEAR(D190)+12)=YEAR(E190),(12-MONTH(E190)+1)/12,1))))))))*TaxRate,0))-IF(12=0,O190,0))</f>
        <v/>
      </c>
      <c r="AF190" s="29">
        <f>IF(A190="","",((K190)*(IF(M190="",L190,IFERROR(IF(INDEX(Variablen!$I:$AT, MATCH(M190, Variablen!$A:$A, 0), MATCH((YEAR(D190)+13), Variablen!$I$3:$AT$3, 0))="",L190,INDEX(Variablen!$I:$AT, MATCH(M190, Variablen!$A:$A, 0), MATCH((YEAR(D190)+13), Variablen!$I$3:$AT$3, 0))),L190)))*(IF((YEAR(D190)+13)&lt;YEAR(E190),0,IF((YEAR(D190)+13)&gt;YEAR(E190),1,(12-MONTH(E190)+1)/12))) + (Q190)*(IF((YEAR(D190)+13)&lt;YEAR(E190),0,IF((YEAR(D190)+13)&gt;YEAR(E190),1,(12-MONTH(E190)+1)/12))))-((P190)*(IF((YEAR(D190)+13)&lt;YEAR(E190),0,IF((YEAR(D190)+13)&gt;YEAR(E190),1,(12-MONTH(E190)+1)/12))) + (R190)*(IF((YEAR(D190)+13)&lt;YEAR(E190),0,IF((YEAR(D190)+13)&gt;YEAR(E190),1,(12-MONTH(E190)+1)/12))))-(IF((((K190)*(IF(M190="",L190,IFERROR(IF(INDEX(Variablen!$I:$AT, MATCH(M190, Variablen!$A:$A, 0), MATCH((YEAR(D190)+13), Variablen!$I$3:$AT$3, 0))="",L190,INDEX(Variablen!$I:$AT, MATCH(M190, Variablen!$A:$A, 0), MATCH((YEAR(D190)+13), Variablen!$I$3:$AT$3, 0))),L190)))*(IF((YEAR(D190)+13)&lt;YEAR(E190),0,IF((YEAR(D190)+13)&gt;YEAR(E190),1,(12-MONTH(E190)+1)/12))) + (Q190)*(IF((YEAR(D190)+13)&lt;YEAR(E190),0,IF((YEAR(D190)+13)&gt;YEAR(E190),1,(12-MONTH(E190)+1)/12))))-((P190)*(IF((YEAR(D190)+13)&lt;YEAR(E190),0,IF((YEAR(D190)+13)&gt;YEAR(E190),1,(12-MONTH(E190)+1)/12))) + (R190)*(IF((YEAR(D190)+13)&lt;YEAR(E190),0,IF((YEAR(D190)+13)&gt;YEAR(E190),1,(12-MONTH(E190)+1)/12))))-(IF(OR(N190="",N190&lt;=0),0,(O190/N190)*(IF(OR(N190="",N190&lt;=0),0,IF((YEAR(D190)+13)&lt;YEAR(E190),0,IF((YEAR(D190)+13)&gt;=YEAR(E190)+N190,0,IF((YEAR(D190)+13)=YEAR(E190),(12-MONTH(E190)+1)/12,1))))))))&gt;0,(((K190)*(IF(M190="",L190,IFERROR(IF(INDEX(Variablen!$I:$AT, MATCH(M190, Variablen!$A:$A, 0), MATCH((YEAR(D190)+13), Variablen!$I$3:$AT$3, 0))="",L190,INDEX(Variablen!$I:$AT, MATCH(M190, Variablen!$A:$A, 0), MATCH((YEAR(D190)+13), Variablen!$I$3:$AT$3, 0))),L190)))*(IF((YEAR(D190)+13)&lt;YEAR(E190),0,IF((YEAR(D190)+13)&gt;YEAR(E190),1,(12-MONTH(E190)+1)/12))) + (Q190)*(IF((YEAR(D190)+13)&lt;YEAR(E190),0,IF((YEAR(D190)+13)&gt;YEAR(E190),1,(12-MONTH(E190)+1)/12))))-((P190)*(IF((YEAR(D190)+13)&lt;YEAR(E190),0,IF((YEAR(D190)+13)&gt;YEAR(E190),1,(12-MONTH(E190)+1)/12))) + (R190)*(IF((YEAR(D190)+13)&lt;YEAR(E190),0,IF((YEAR(D190)+13)&gt;YEAR(E190),1,(12-MONTH(E190)+1)/12))))-(IF(OR(N190="",N190&lt;=0),0,(O190/N190)*(IF(OR(N190="",N190&lt;=0),0,IF((YEAR(D190)+13)&lt;YEAR(E190),0,IF((YEAR(D190)+13)&gt;=YEAR(E190)+N190,0,IF((YEAR(D190)+13)=YEAR(E190),(12-MONTH(E190)+1)/12,1))))))))*TaxRate,0))-IF(13=0,O190,0))</f>
        <v/>
      </c>
      <c r="AG190" s="29">
        <f>IF(A190="","",((K190)*(IF(M190="",L190,IFERROR(IF(INDEX(Variablen!$I:$AT, MATCH(M190, Variablen!$A:$A, 0), MATCH((YEAR(D190)+14), Variablen!$I$3:$AT$3, 0))="",L190,INDEX(Variablen!$I:$AT, MATCH(M190, Variablen!$A:$A, 0), MATCH((YEAR(D190)+14), Variablen!$I$3:$AT$3, 0))),L190)))*(IF((YEAR(D190)+14)&lt;YEAR(E190),0,IF((YEAR(D190)+14)&gt;YEAR(E190),1,(12-MONTH(E190)+1)/12))) + (Q190)*(IF((YEAR(D190)+14)&lt;YEAR(E190),0,IF((YEAR(D190)+14)&gt;YEAR(E190),1,(12-MONTH(E190)+1)/12))))-((P190)*(IF((YEAR(D190)+14)&lt;YEAR(E190),0,IF((YEAR(D190)+14)&gt;YEAR(E190),1,(12-MONTH(E190)+1)/12))) + (R190)*(IF((YEAR(D190)+14)&lt;YEAR(E190),0,IF((YEAR(D190)+14)&gt;YEAR(E190),1,(12-MONTH(E190)+1)/12))))-(IF((((K190)*(IF(M190="",L190,IFERROR(IF(INDEX(Variablen!$I:$AT, MATCH(M190, Variablen!$A:$A, 0), MATCH((YEAR(D190)+14), Variablen!$I$3:$AT$3, 0))="",L190,INDEX(Variablen!$I:$AT, MATCH(M190, Variablen!$A:$A, 0), MATCH((YEAR(D190)+14), Variablen!$I$3:$AT$3, 0))),L190)))*(IF((YEAR(D190)+14)&lt;YEAR(E190),0,IF((YEAR(D190)+14)&gt;YEAR(E190),1,(12-MONTH(E190)+1)/12))) + (Q190)*(IF((YEAR(D190)+14)&lt;YEAR(E190),0,IF((YEAR(D190)+14)&gt;YEAR(E190),1,(12-MONTH(E190)+1)/12))))-((P190)*(IF((YEAR(D190)+14)&lt;YEAR(E190),0,IF((YEAR(D190)+14)&gt;YEAR(E190),1,(12-MONTH(E190)+1)/12))) + (R190)*(IF((YEAR(D190)+14)&lt;YEAR(E190),0,IF((YEAR(D190)+14)&gt;YEAR(E190),1,(12-MONTH(E190)+1)/12))))-(IF(OR(N190="",N190&lt;=0),0,(O190/N190)*(IF(OR(N190="",N190&lt;=0),0,IF((YEAR(D190)+14)&lt;YEAR(E190),0,IF((YEAR(D190)+14)&gt;=YEAR(E190)+N190,0,IF((YEAR(D190)+14)=YEAR(E190),(12-MONTH(E190)+1)/12,1))))))))&gt;0,(((K190)*(IF(M190="",L190,IFERROR(IF(INDEX(Variablen!$I:$AT, MATCH(M190, Variablen!$A:$A, 0), MATCH((YEAR(D190)+14), Variablen!$I$3:$AT$3, 0))="",L190,INDEX(Variablen!$I:$AT, MATCH(M190, Variablen!$A:$A, 0), MATCH((YEAR(D190)+14), Variablen!$I$3:$AT$3, 0))),L190)))*(IF((YEAR(D190)+14)&lt;YEAR(E190),0,IF((YEAR(D190)+14)&gt;YEAR(E190),1,(12-MONTH(E190)+1)/12))) + (Q190)*(IF((YEAR(D190)+14)&lt;YEAR(E190),0,IF((YEAR(D190)+14)&gt;YEAR(E190),1,(12-MONTH(E190)+1)/12))))-((P190)*(IF((YEAR(D190)+14)&lt;YEAR(E190),0,IF((YEAR(D190)+14)&gt;YEAR(E190),1,(12-MONTH(E190)+1)/12))) + (R190)*(IF((YEAR(D190)+14)&lt;YEAR(E190),0,IF((YEAR(D190)+14)&gt;YEAR(E190),1,(12-MONTH(E190)+1)/12))))-(IF(OR(N190="",N190&lt;=0),0,(O190/N190)*(IF(OR(N190="",N190&lt;=0),0,IF((YEAR(D190)+14)&lt;YEAR(E190),0,IF((YEAR(D190)+14)&gt;=YEAR(E190)+N190,0,IF((YEAR(D190)+14)=YEAR(E190),(12-MONTH(E190)+1)/12,1))))))))*TaxRate,0))-IF(14=0,O190,0))</f>
        <v/>
      </c>
      <c r="AH190" s="29">
        <f>IF(A190="","",((K190)*(IF(M190="",L190,IFERROR(IF(INDEX(Variablen!$I:$AT, MATCH(M190, Variablen!$A:$A, 0), MATCH((YEAR(D190)+15), Variablen!$I$3:$AT$3, 0))="",L190,INDEX(Variablen!$I:$AT, MATCH(M190, Variablen!$A:$A, 0), MATCH((YEAR(D190)+15), Variablen!$I$3:$AT$3, 0))),L190)))*(IF((YEAR(D190)+15)&lt;YEAR(E190),0,IF((YEAR(D190)+15)&gt;YEAR(E190),1,(12-MONTH(E190)+1)/12))) + (Q190)*(IF((YEAR(D190)+15)&lt;YEAR(E190),0,IF((YEAR(D190)+15)&gt;YEAR(E190),1,(12-MONTH(E190)+1)/12))))-((P190)*(IF((YEAR(D190)+15)&lt;YEAR(E190),0,IF((YEAR(D190)+15)&gt;YEAR(E190),1,(12-MONTH(E190)+1)/12))) + (R190)*(IF((YEAR(D190)+15)&lt;YEAR(E190),0,IF((YEAR(D190)+15)&gt;YEAR(E190),1,(12-MONTH(E190)+1)/12))))-(IF((((K190)*(IF(M190="",L190,IFERROR(IF(INDEX(Variablen!$I:$AT, MATCH(M190, Variablen!$A:$A, 0), MATCH((YEAR(D190)+15), Variablen!$I$3:$AT$3, 0))="",L190,INDEX(Variablen!$I:$AT, MATCH(M190, Variablen!$A:$A, 0), MATCH((YEAR(D190)+15), Variablen!$I$3:$AT$3, 0))),L190)))*(IF((YEAR(D190)+15)&lt;YEAR(E190),0,IF((YEAR(D190)+15)&gt;YEAR(E190),1,(12-MONTH(E190)+1)/12))) + (Q190)*(IF((YEAR(D190)+15)&lt;YEAR(E190),0,IF((YEAR(D190)+15)&gt;YEAR(E190),1,(12-MONTH(E190)+1)/12))))-((P190)*(IF((YEAR(D190)+15)&lt;YEAR(E190),0,IF((YEAR(D190)+15)&gt;YEAR(E190),1,(12-MONTH(E190)+1)/12))) + (R190)*(IF((YEAR(D190)+15)&lt;YEAR(E190),0,IF((YEAR(D190)+15)&gt;YEAR(E190),1,(12-MONTH(E190)+1)/12))))-(IF(OR(N190="",N190&lt;=0),0,(O190/N190)*(IF(OR(N190="",N190&lt;=0),0,IF((YEAR(D190)+15)&lt;YEAR(E190),0,IF((YEAR(D190)+15)&gt;=YEAR(E190)+N190,0,IF((YEAR(D190)+15)=YEAR(E190),(12-MONTH(E190)+1)/12,1))))))))&gt;0,(((K190)*(IF(M190="",L190,IFERROR(IF(INDEX(Variablen!$I:$AT, MATCH(M190, Variablen!$A:$A, 0), MATCH((YEAR(D190)+15), Variablen!$I$3:$AT$3, 0))="",L190,INDEX(Variablen!$I:$AT, MATCH(M190, Variablen!$A:$A, 0), MATCH((YEAR(D190)+15), Variablen!$I$3:$AT$3, 0))),L190)))*(IF((YEAR(D190)+15)&lt;YEAR(E190),0,IF((YEAR(D190)+15)&gt;YEAR(E190),1,(12-MONTH(E190)+1)/12))) + (Q190)*(IF((YEAR(D190)+15)&lt;YEAR(E190),0,IF((YEAR(D190)+15)&gt;YEAR(E190),1,(12-MONTH(E190)+1)/12))))-((P190)*(IF((YEAR(D190)+15)&lt;YEAR(E190),0,IF((YEAR(D190)+15)&gt;YEAR(E190),1,(12-MONTH(E190)+1)/12))) + (R190)*(IF((YEAR(D190)+15)&lt;YEAR(E190),0,IF((YEAR(D190)+15)&gt;YEAR(E190),1,(12-MONTH(E190)+1)/12))))-(IF(OR(N190="",N190&lt;=0),0,(O190/N190)*(IF(OR(N190="",N190&lt;=0),0,IF((YEAR(D190)+15)&lt;YEAR(E190),0,IF((YEAR(D190)+15)&gt;=YEAR(E190)+N190,0,IF((YEAR(D190)+15)=YEAR(E190),(12-MONTH(E190)+1)/12,1))))))))*TaxRate,0))-IF(15=0,O190,0))</f>
        <v/>
      </c>
      <c r="AI190" s="29">
        <f>IF(A190="","",((K190)*(IF(M190="",L190,IFERROR(IF(INDEX(Variablen!$I:$AT, MATCH(M190, Variablen!$A:$A, 0), MATCH((YEAR(D190)+16), Variablen!$I$3:$AT$3, 0))="",L190,INDEX(Variablen!$I:$AT, MATCH(M190, Variablen!$A:$A, 0), MATCH((YEAR(D190)+16), Variablen!$I$3:$AT$3, 0))),L190)))*(IF((YEAR(D190)+16)&lt;YEAR(E190),0,IF((YEAR(D190)+16)&gt;YEAR(E190),1,(12-MONTH(E190)+1)/12))) + (Q190)*(IF((YEAR(D190)+16)&lt;YEAR(E190),0,IF((YEAR(D190)+16)&gt;YEAR(E190),1,(12-MONTH(E190)+1)/12))))-((P190)*(IF((YEAR(D190)+16)&lt;YEAR(E190),0,IF((YEAR(D190)+16)&gt;YEAR(E190),1,(12-MONTH(E190)+1)/12))) + (R190)*(IF((YEAR(D190)+16)&lt;YEAR(E190),0,IF((YEAR(D190)+16)&gt;YEAR(E190),1,(12-MONTH(E190)+1)/12))))-(IF((((K190)*(IF(M190="",L190,IFERROR(IF(INDEX(Variablen!$I:$AT, MATCH(M190, Variablen!$A:$A, 0), MATCH((YEAR(D190)+16), Variablen!$I$3:$AT$3, 0))="",L190,INDEX(Variablen!$I:$AT, MATCH(M190, Variablen!$A:$A, 0), MATCH((YEAR(D190)+16), Variablen!$I$3:$AT$3, 0))),L190)))*(IF((YEAR(D190)+16)&lt;YEAR(E190),0,IF((YEAR(D190)+16)&gt;YEAR(E190),1,(12-MONTH(E190)+1)/12))) + (Q190)*(IF((YEAR(D190)+16)&lt;YEAR(E190),0,IF((YEAR(D190)+16)&gt;YEAR(E190),1,(12-MONTH(E190)+1)/12))))-((P190)*(IF((YEAR(D190)+16)&lt;YEAR(E190),0,IF((YEAR(D190)+16)&gt;YEAR(E190),1,(12-MONTH(E190)+1)/12))) + (R190)*(IF((YEAR(D190)+16)&lt;YEAR(E190),0,IF((YEAR(D190)+16)&gt;YEAR(E190),1,(12-MONTH(E190)+1)/12))))-(IF(OR(N190="",N190&lt;=0),0,(O190/N190)*(IF(OR(N190="",N190&lt;=0),0,IF((YEAR(D190)+16)&lt;YEAR(E190),0,IF((YEAR(D190)+16)&gt;=YEAR(E190)+N190,0,IF((YEAR(D190)+16)=YEAR(E190),(12-MONTH(E190)+1)/12,1))))))))&gt;0,(((K190)*(IF(M190="",L190,IFERROR(IF(INDEX(Variablen!$I:$AT, MATCH(M190, Variablen!$A:$A, 0), MATCH((YEAR(D190)+16), Variablen!$I$3:$AT$3, 0))="",L190,INDEX(Variablen!$I:$AT, MATCH(M190, Variablen!$A:$A, 0), MATCH((YEAR(D190)+16), Variablen!$I$3:$AT$3, 0))),L190)))*(IF((YEAR(D190)+16)&lt;YEAR(E190),0,IF((YEAR(D190)+16)&gt;YEAR(E190),1,(12-MONTH(E190)+1)/12))) + (Q190)*(IF((YEAR(D190)+16)&lt;YEAR(E190),0,IF((YEAR(D190)+16)&gt;YEAR(E190),1,(12-MONTH(E190)+1)/12))))-((P190)*(IF((YEAR(D190)+16)&lt;YEAR(E190),0,IF((YEAR(D190)+16)&gt;YEAR(E190),1,(12-MONTH(E190)+1)/12))) + (R190)*(IF((YEAR(D190)+16)&lt;YEAR(E190),0,IF((YEAR(D190)+16)&gt;YEAR(E190),1,(12-MONTH(E190)+1)/12))))-(IF(OR(N190="",N190&lt;=0),0,(O190/N190)*(IF(OR(N190="",N190&lt;=0),0,IF((YEAR(D190)+16)&lt;YEAR(E190),0,IF((YEAR(D190)+16)&gt;=YEAR(E190)+N190,0,IF((YEAR(D190)+16)=YEAR(E190),(12-MONTH(E190)+1)/12,1))))))))*TaxRate,0))-IF(16=0,O190,0))</f>
        <v/>
      </c>
      <c r="AJ190" s="29">
        <f>IF(A190="","",((K190)*(IF(M190="",L190,IFERROR(IF(INDEX(Variablen!$I:$AT, MATCH(M190, Variablen!$A:$A, 0), MATCH((YEAR(D190)+17), Variablen!$I$3:$AT$3, 0))="",L190,INDEX(Variablen!$I:$AT, MATCH(M190, Variablen!$A:$A, 0), MATCH((YEAR(D190)+17), Variablen!$I$3:$AT$3, 0))),L190)))*(IF((YEAR(D190)+17)&lt;YEAR(E190),0,IF((YEAR(D190)+17)&gt;YEAR(E190),1,(12-MONTH(E190)+1)/12))) + (Q190)*(IF((YEAR(D190)+17)&lt;YEAR(E190),0,IF((YEAR(D190)+17)&gt;YEAR(E190),1,(12-MONTH(E190)+1)/12))))-((P190)*(IF((YEAR(D190)+17)&lt;YEAR(E190),0,IF((YEAR(D190)+17)&gt;YEAR(E190),1,(12-MONTH(E190)+1)/12))) + (R190)*(IF((YEAR(D190)+17)&lt;YEAR(E190),0,IF((YEAR(D190)+17)&gt;YEAR(E190),1,(12-MONTH(E190)+1)/12))))-(IF((((K190)*(IF(M190="",L190,IFERROR(IF(INDEX(Variablen!$I:$AT, MATCH(M190, Variablen!$A:$A, 0), MATCH((YEAR(D190)+17), Variablen!$I$3:$AT$3, 0))="",L190,INDEX(Variablen!$I:$AT, MATCH(M190, Variablen!$A:$A, 0), MATCH((YEAR(D190)+17), Variablen!$I$3:$AT$3, 0))),L190)))*(IF((YEAR(D190)+17)&lt;YEAR(E190),0,IF((YEAR(D190)+17)&gt;YEAR(E190),1,(12-MONTH(E190)+1)/12))) + (Q190)*(IF((YEAR(D190)+17)&lt;YEAR(E190),0,IF((YEAR(D190)+17)&gt;YEAR(E190),1,(12-MONTH(E190)+1)/12))))-((P190)*(IF((YEAR(D190)+17)&lt;YEAR(E190),0,IF((YEAR(D190)+17)&gt;YEAR(E190),1,(12-MONTH(E190)+1)/12))) + (R190)*(IF((YEAR(D190)+17)&lt;YEAR(E190),0,IF((YEAR(D190)+17)&gt;YEAR(E190),1,(12-MONTH(E190)+1)/12))))-(IF(OR(N190="",N190&lt;=0),0,(O190/N190)*(IF(OR(N190="",N190&lt;=0),0,IF((YEAR(D190)+17)&lt;YEAR(E190),0,IF((YEAR(D190)+17)&gt;=YEAR(E190)+N190,0,IF((YEAR(D190)+17)=YEAR(E190),(12-MONTH(E190)+1)/12,1))))))))&gt;0,(((K190)*(IF(M190="",L190,IFERROR(IF(INDEX(Variablen!$I:$AT, MATCH(M190, Variablen!$A:$A, 0), MATCH((YEAR(D190)+17), Variablen!$I$3:$AT$3, 0))="",L190,INDEX(Variablen!$I:$AT, MATCH(M190, Variablen!$A:$A, 0), MATCH((YEAR(D190)+17), Variablen!$I$3:$AT$3, 0))),L190)))*(IF((YEAR(D190)+17)&lt;YEAR(E190),0,IF((YEAR(D190)+17)&gt;YEAR(E190),1,(12-MONTH(E190)+1)/12))) + (Q190)*(IF((YEAR(D190)+17)&lt;YEAR(E190),0,IF((YEAR(D190)+17)&gt;YEAR(E190),1,(12-MONTH(E190)+1)/12))))-((P190)*(IF((YEAR(D190)+17)&lt;YEAR(E190),0,IF((YEAR(D190)+17)&gt;YEAR(E190),1,(12-MONTH(E190)+1)/12))) + (R190)*(IF((YEAR(D190)+17)&lt;YEAR(E190),0,IF((YEAR(D190)+17)&gt;YEAR(E190),1,(12-MONTH(E190)+1)/12))))-(IF(OR(N190="",N190&lt;=0),0,(O190/N190)*(IF(OR(N190="",N190&lt;=0),0,IF((YEAR(D190)+17)&lt;YEAR(E190),0,IF((YEAR(D190)+17)&gt;=YEAR(E190)+N190,0,IF((YEAR(D190)+17)=YEAR(E190),(12-MONTH(E190)+1)/12,1))))))))*TaxRate,0))-IF(17=0,O190,0))</f>
        <v/>
      </c>
      <c r="AK190" s="29">
        <f>IF(A190="","",((K190)*(IF(M190="",L190,IFERROR(IF(INDEX(Variablen!$I:$AT, MATCH(M190, Variablen!$A:$A, 0), MATCH((YEAR(D190)+18), Variablen!$I$3:$AT$3, 0))="",L190,INDEX(Variablen!$I:$AT, MATCH(M190, Variablen!$A:$A, 0), MATCH((YEAR(D190)+18), Variablen!$I$3:$AT$3, 0))),L190)))*(IF((YEAR(D190)+18)&lt;YEAR(E190),0,IF((YEAR(D190)+18)&gt;YEAR(E190),1,(12-MONTH(E190)+1)/12))) + (Q190)*(IF((YEAR(D190)+18)&lt;YEAR(E190),0,IF((YEAR(D190)+18)&gt;YEAR(E190),1,(12-MONTH(E190)+1)/12))))-((P190)*(IF((YEAR(D190)+18)&lt;YEAR(E190),0,IF((YEAR(D190)+18)&gt;YEAR(E190),1,(12-MONTH(E190)+1)/12))) + (R190)*(IF((YEAR(D190)+18)&lt;YEAR(E190),0,IF((YEAR(D190)+18)&gt;YEAR(E190),1,(12-MONTH(E190)+1)/12))))-(IF((((K190)*(IF(M190="",L190,IFERROR(IF(INDEX(Variablen!$I:$AT, MATCH(M190, Variablen!$A:$A, 0), MATCH((YEAR(D190)+18), Variablen!$I$3:$AT$3, 0))="",L190,INDEX(Variablen!$I:$AT, MATCH(M190, Variablen!$A:$A, 0), MATCH((YEAR(D190)+18), Variablen!$I$3:$AT$3, 0))),L190)))*(IF((YEAR(D190)+18)&lt;YEAR(E190),0,IF((YEAR(D190)+18)&gt;YEAR(E190),1,(12-MONTH(E190)+1)/12))) + (Q190)*(IF((YEAR(D190)+18)&lt;YEAR(E190),0,IF((YEAR(D190)+18)&gt;YEAR(E190),1,(12-MONTH(E190)+1)/12))))-((P190)*(IF((YEAR(D190)+18)&lt;YEAR(E190),0,IF((YEAR(D190)+18)&gt;YEAR(E190),1,(12-MONTH(E190)+1)/12))) + (R190)*(IF((YEAR(D190)+18)&lt;YEAR(E190),0,IF((YEAR(D190)+18)&gt;YEAR(E190),1,(12-MONTH(E190)+1)/12))))-(IF(OR(N190="",N190&lt;=0),0,(O190/N190)*(IF(OR(N190="",N190&lt;=0),0,IF((YEAR(D190)+18)&lt;YEAR(E190),0,IF((YEAR(D190)+18)&gt;=YEAR(E190)+N190,0,IF((YEAR(D190)+18)=YEAR(E190),(12-MONTH(E190)+1)/12,1))))))))&gt;0,(((K190)*(IF(M190="",L190,IFERROR(IF(INDEX(Variablen!$I:$AT, MATCH(M190, Variablen!$A:$A, 0), MATCH((YEAR(D190)+18), Variablen!$I$3:$AT$3, 0))="",L190,INDEX(Variablen!$I:$AT, MATCH(M190, Variablen!$A:$A, 0), MATCH((YEAR(D190)+18), Variablen!$I$3:$AT$3, 0))),L190)))*(IF((YEAR(D190)+18)&lt;YEAR(E190),0,IF((YEAR(D190)+18)&gt;YEAR(E190),1,(12-MONTH(E190)+1)/12))) + (Q190)*(IF((YEAR(D190)+18)&lt;YEAR(E190),0,IF((YEAR(D190)+18)&gt;YEAR(E190),1,(12-MONTH(E190)+1)/12))))-((P190)*(IF((YEAR(D190)+18)&lt;YEAR(E190),0,IF((YEAR(D190)+18)&gt;YEAR(E190),1,(12-MONTH(E190)+1)/12))) + (R190)*(IF((YEAR(D190)+18)&lt;YEAR(E190),0,IF((YEAR(D190)+18)&gt;YEAR(E190),1,(12-MONTH(E190)+1)/12))))-(IF(OR(N190="",N190&lt;=0),0,(O190/N190)*(IF(OR(N190="",N190&lt;=0),0,IF((YEAR(D190)+18)&lt;YEAR(E190),0,IF((YEAR(D190)+18)&gt;=YEAR(E190)+N190,0,IF((YEAR(D190)+18)=YEAR(E190),(12-MONTH(E190)+1)/12,1))))))))*TaxRate,0))-IF(18=0,O190,0))</f>
        <v/>
      </c>
      <c r="AL190" s="29">
        <f>IF(A190="","",((K190)*(IF(M190="",L190,IFERROR(IF(INDEX(Variablen!$I:$AT, MATCH(M190, Variablen!$A:$A, 0), MATCH((YEAR(D190)+19), Variablen!$I$3:$AT$3, 0))="",L190,INDEX(Variablen!$I:$AT, MATCH(M190, Variablen!$A:$A, 0), MATCH((YEAR(D190)+19), Variablen!$I$3:$AT$3, 0))),L190)))*(IF((YEAR(D190)+19)&lt;YEAR(E190),0,IF((YEAR(D190)+19)&gt;YEAR(E190),1,(12-MONTH(E190)+1)/12))) + (Q190)*(IF((YEAR(D190)+19)&lt;YEAR(E190),0,IF((YEAR(D190)+19)&gt;YEAR(E190),1,(12-MONTH(E190)+1)/12))))-((P190)*(IF((YEAR(D190)+19)&lt;YEAR(E190),0,IF((YEAR(D190)+19)&gt;YEAR(E190),1,(12-MONTH(E190)+1)/12))) + (R190)*(IF((YEAR(D190)+19)&lt;YEAR(E190),0,IF((YEAR(D190)+19)&gt;YEAR(E190),1,(12-MONTH(E190)+1)/12))))-(IF((((K190)*(IF(M190="",L190,IFERROR(IF(INDEX(Variablen!$I:$AT, MATCH(M190, Variablen!$A:$A, 0), MATCH((YEAR(D190)+19), Variablen!$I$3:$AT$3, 0))="",L190,INDEX(Variablen!$I:$AT, MATCH(M190, Variablen!$A:$A, 0), MATCH((YEAR(D190)+19), Variablen!$I$3:$AT$3, 0))),L190)))*(IF((YEAR(D190)+19)&lt;YEAR(E190),0,IF((YEAR(D190)+19)&gt;YEAR(E190),1,(12-MONTH(E190)+1)/12))) + (Q190)*(IF((YEAR(D190)+19)&lt;YEAR(E190),0,IF((YEAR(D190)+19)&gt;YEAR(E190),1,(12-MONTH(E190)+1)/12))))-((P190)*(IF((YEAR(D190)+19)&lt;YEAR(E190),0,IF((YEAR(D190)+19)&gt;YEAR(E190),1,(12-MONTH(E190)+1)/12))) + (R190)*(IF((YEAR(D190)+19)&lt;YEAR(E190),0,IF((YEAR(D190)+19)&gt;YEAR(E190),1,(12-MONTH(E190)+1)/12))))-(IF(OR(N190="",N190&lt;=0),0,(O190/N190)*(IF(OR(N190="",N190&lt;=0),0,IF((YEAR(D190)+19)&lt;YEAR(E190),0,IF((YEAR(D190)+19)&gt;=YEAR(E190)+N190,0,IF((YEAR(D190)+19)=YEAR(E190),(12-MONTH(E190)+1)/12,1))))))))&gt;0,(((K190)*(IF(M190="",L190,IFERROR(IF(INDEX(Variablen!$I:$AT, MATCH(M190, Variablen!$A:$A, 0), MATCH((YEAR(D190)+19), Variablen!$I$3:$AT$3, 0))="",L190,INDEX(Variablen!$I:$AT, MATCH(M190, Variablen!$A:$A, 0), MATCH((YEAR(D190)+19), Variablen!$I$3:$AT$3, 0))),L190)))*(IF((YEAR(D190)+19)&lt;YEAR(E190),0,IF((YEAR(D190)+19)&gt;YEAR(E190),1,(12-MONTH(E190)+1)/12))) + (Q190)*(IF((YEAR(D190)+19)&lt;YEAR(E190),0,IF((YEAR(D190)+19)&gt;YEAR(E190),1,(12-MONTH(E190)+1)/12))))-((P190)*(IF((YEAR(D190)+19)&lt;YEAR(E190),0,IF((YEAR(D190)+19)&gt;YEAR(E190),1,(12-MONTH(E190)+1)/12))) + (R190)*(IF((YEAR(D190)+19)&lt;YEAR(E190),0,IF((YEAR(D190)+19)&gt;YEAR(E190),1,(12-MONTH(E190)+1)/12))))-(IF(OR(N190="",N190&lt;=0),0,(O190/N190)*(IF(OR(N190="",N190&lt;=0),0,IF((YEAR(D190)+19)&lt;YEAR(E190),0,IF((YEAR(D190)+19)&gt;=YEAR(E190)+N190,0,IF((YEAR(D190)+19)=YEAR(E190),(12-MONTH(E190)+1)/12,1))))))))*TaxRate,0))-IF(19=0,O190,0))</f>
        <v/>
      </c>
      <c r="AM190" s="29">
        <f>IF(A190="","",((K190)*(IF(M190="",L190,IFERROR(IF(INDEX(Variablen!$I:$AT, MATCH(M190, Variablen!$A:$A, 0), MATCH((YEAR(D190)+20), Variablen!$I$3:$AT$3, 0))="",L190,INDEX(Variablen!$I:$AT, MATCH(M190, Variablen!$A:$A, 0), MATCH((YEAR(D190)+20), Variablen!$I$3:$AT$3, 0))),L190)))*(IF((YEAR(D190)+20)&lt;YEAR(E190),0,IF((YEAR(D190)+20)&gt;YEAR(E190),1,(12-MONTH(E190)+1)/12))) + (Q190)*(IF((YEAR(D190)+20)&lt;YEAR(E190),0,IF((YEAR(D190)+20)&gt;YEAR(E190),1,(12-MONTH(E190)+1)/12))))-((P190)*(IF((YEAR(D190)+20)&lt;YEAR(E190),0,IF((YEAR(D190)+20)&gt;YEAR(E190),1,(12-MONTH(E190)+1)/12))) + (R190)*(IF((YEAR(D190)+20)&lt;YEAR(E190),0,IF((YEAR(D190)+20)&gt;YEAR(E190),1,(12-MONTH(E190)+1)/12))))-(IF((((K190)*(IF(M190="",L190,IFERROR(IF(INDEX(Variablen!$I:$AT, MATCH(M190, Variablen!$A:$A, 0), MATCH((YEAR(D190)+20), Variablen!$I$3:$AT$3, 0))="",L190,INDEX(Variablen!$I:$AT, MATCH(M190, Variablen!$A:$A, 0), MATCH((YEAR(D190)+20), Variablen!$I$3:$AT$3, 0))),L190)))*(IF((YEAR(D190)+20)&lt;YEAR(E190),0,IF((YEAR(D190)+20)&gt;YEAR(E190),1,(12-MONTH(E190)+1)/12))) + (Q190)*(IF((YEAR(D190)+20)&lt;YEAR(E190),0,IF((YEAR(D190)+20)&gt;YEAR(E190),1,(12-MONTH(E190)+1)/12))))-((P190)*(IF((YEAR(D190)+20)&lt;YEAR(E190),0,IF((YEAR(D190)+20)&gt;YEAR(E190),1,(12-MONTH(E190)+1)/12))) + (R190)*(IF((YEAR(D190)+20)&lt;YEAR(E190),0,IF((YEAR(D190)+20)&gt;YEAR(E190),1,(12-MONTH(E190)+1)/12))))-(IF(OR(N190="",N190&lt;=0),0,(O190/N190)*(IF(OR(N190="",N190&lt;=0),0,IF((YEAR(D190)+20)&lt;YEAR(E190),0,IF((YEAR(D190)+20)&gt;=YEAR(E190)+N190,0,IF((YEAR(D190)+20)=YEAR(E190),(12-MONTH(E190)+1)/12,1))))))))&gt;0,(((K190)*(IF(M190="",L190,IFERROR(IF(INDEX(Variablen!$I:$AT, MATCH(M190, Variablen!$A:$A, 0), MATCH((YEAR(D190)+20), Variablen!$I$3:$AT$3, 0))="",L190,INDEX(Variablen!$I:$AT, MATCH(M190, Variablen!$A:$A, 0), MATCH((YEAR(D190)+20), Variablen!$I$3:$AT$3, 0))),L190)))*(IF((YEAR(D190)+20)&lt;YEAR(E190),0,IF((YEAR(D190)+20)&gt;YEAR(E190),1,(12-MONTH(E190)+1)/12))) + (Q190)*(IF((YEAR(D190)+20)&lt;YEAR(E190),0,IF((YEAR(D190)+20)&gt;YEAR(E190),1,(12-MONTH(E190)+1)/12))))-((P190)*(IF((YEAR(D190)+20)&lt;YEAR(E190),0,IF((YEAR(D190)+20)&gt;YEAR(E190),1,(12-MONTH(E190)+1)/12))) + (R190)*(IF((YEAR(D190)+20)&lt;YEAR(E190),0,IF((YEAR(D190)+20)&gt;YEAR(E190),1,(12-MONTH(E190)+1)/12))))-(IF(OR(N190="",N190&lt;=0),0,(O190/N190)*(IF(OR(N190="",N190&lt;=0),0,IF((YEAR(D190)+20)&lt;YEAR(E190),0,IF((YEAR(D190)+20)&gt;=YEAR(E190)+N190,0,IF((YEAR(D190)+20)=YEAR(E190),(12-MONTH(E190)+1)/12,1))))))))*TaxRate,0))-IF(20=0,O190,0))</f>
        <v/>
      </c>
      <c r="AN190" s="29">
        <f>IF(A190="","",S190)</f>
        <v/>
      </c>
      <c r="AO190" s="29">
        <f>IF(A190="","",AN190+T190)</f>
        <v/>
      </c>
      <c r="AP190" s="29">
        <f>IF(A190="","",AO190+U190)</f>
        <v/>
      </c>
      <c r="AQ190" s="29">
        <f>IF(A190="","",AP190+V190)</f>
        <v/>
      </c>
      <c r="AR190" s="29">
        <f>IF(A190="","",AQ190+W190)</f>
        <v/>
      </c>
      <c r="AS190" s="29">
        <f>IF(A190="","",AR190+X190)</f>
        <v/>
      </c>
      <c r="AT190" s="29">
        <f>IF(A190="","",AS190+Y190)</f>
        <v/>
      </c>
      <c r="AU190" s="29">
        <f>IF(A190="","",AT190+Z190)</f>
        <v/>
      </c>
      <c r="AV190" s="29">
        <f>IF(A190="","",AU190+AA190)</f>
        <v/>
      </c>
      <c r="AW190" s="29">
        <f>IF(A190="","",AV190+AB190)</f>
        <v/>
      </c>
      <c r="AX190" s="29">
        <f>IF(A190="","",AW190+AC190)</f>
        <v/>
      </c>
      <c r="AY190" s="29">
        <f>IF(A190="","",AX190+AD190)</f>
        <v/>
      </c>
      <c r="AZ190" s="29">
        <f>IF(A190="","",AY190+AE190)</f>
        <v/>
      </c>
      <c r="BA190" s="29">
        <f>IF(A190="","",AZ190+AF190)</f>
        <v/>
      </c>
      <c r="BB190" s="29">
        <f>IF(A190="","",BA190+AG190)</f>
        <v/>
      </c>
      <c r="BC190" s="29">
        <f>IF(A190="","",BB190+AH190)</f>
        <v/>
      </c>
      <c r="BD190" s="29">
        <f>IF(A190="","",BC190+AI190)</f>
        <v/>
      </c>
      <c r="BE190" s="29">
        <f>IF(A190="","",BD190+AJ190)</f>
        <v/>
      </c>
      <c r="BF190" s="29">
        <f>IF(A190="","",BE190+AK190)</f>
        <v/>
      </c>
      <c r="BG190" s="29">
        <f>IF(A190="","",BF190+AL190)</f>
        <v/>
      </c>
      <c r="BH190" s="29">
        <f>IF(A190="","",BG190+AM190)</f>
        <v/>
      </c>
      <c r="BI190" s="36">
        <f>IF(A190="","",(K190)*(IF((YEAR(D190)+0)&lt;YEAR(E190),0,IF((YEAR(D190)+0)&gt;YEAR(E190),1,(12-MONTH(E190)+1)/12)))*(1/(1+DiscountRate)^0))</f>
        <v/>
      </c>
      <c r="BJ190" s="36">
        <f>IF(A190="","",(K190)*(IF((YEAR(D190)+1)&lt;YEAR(E190),0,IF((YEAR(D190)+1)&gt;YEAR(E190),1,(12-MONTH(E190)+1)/12)))*(1/(1+DiscountRate)^1))</f>
        <v/>
      </c>
      <c r="BK190" s="36">
        <f>IF(A190="","",(K190)*(IF((YEAR(D190)+2)&lt;YEAR(E190),0,IF((YEAR(D190)+2)&gt;YEAR(E190),1,(12-MONTH(E190)+1)/12)))*(1/(1+DiscountRate)^2))</f>
        <v/>
      </c>
      <c r="BL190" s="36">
        <f>IF(A190="","",(K190)*(IF((YEAR(D190)+3)&lt;YEAR(E190),0,IF((YEAR(D190)+3)&gt;YEAR(E190),1,(12-MONTH(E190)+1)/12)))*(1/(1+DiscountRate)^3))</f>
        <v/>
      </c>
      <c r="BM190" s="36">
        <f>IF(A190="","",(K190)*(IF((YEAR(D190)+4)&lt;YEAR(E190),0,IF((YEAR(D190)+4)&gt;YEAR(E190),1,(12-MONTH(E190)+1)/12)))*(1/(1+DiscountRate)^4))</f>
        <v/>
      </c>
      <c r="BN190" s="36">
        <f>IF(A190="","",(K190)*(IF((YEAR(D190)+5)&lt;YEAR(E190),0,IF((YEAR(D190)+5)&gt;YEAR(E190),1,(12-MONTH(E190)+1)/12)))*(1/(1+DiscountRate)^5))</f>
        <v/>
      </c>
      <c r="BO190" s="36">
        <f>IF(A190="","",(K190)*(IF((YEAR(D190)+6)&lt;YEAR(E190),0,IF((YEAR(D190)+6)&gt;YEAR(E190),1,(12-MONTH(E190)+1)/12)))*(1/(1+DiscountRate)^6))</f>
        <v/>
      </c>
      <c r="BP190" s="36">
        <f>IF(A190="","",(K190)*(IF((YEAR(D190)+7)&lt;YEAR(E190),0,IF((YEAR(D190)+7)&gt;YEAR(E190),1,(12-MONTH(E190)+1)/12)))*(1/(1+DiscountRate)^7))</f>
        <v/>
      </c>
      <c r="BQ190" s="36">
        <f>IF(A190="","",(K190)*(IF((YEAR(D190)+8)&lt;YEAR(E190),0,IF((YEAR(D190)+8)&gt;YEAR(E190),1,(12-MONTH(E190)+1)/12)))*(1/(1+DiscountRate)^8))</f>
        <v/>
      </c>
      <c r="BR190" s="36">
        <f>IF(A190="","",(K190)*(IF((YEAR(D190)+9)&lt;YEAR(E190),0,IF((YEAR(D190)+9)&gt;YEAR(E190),1,(12-MONTH(E190)+1)/12)))*(1/(1+DiscountRate)^9))</f>
        <v/>
      </c>
      <c r="BS190" s="36">
        <f>IF(A190="","",(K190)*(IF((YEAR(D190)+10)&lt;YEAR(E190),0,IF((YEAR(D190)+10)&gt;YEAR(E190),1,(12-MONTH(E190)+1)/12)))*(1/(1+DiscountRate)^10))</f>
        <v/>
      </c>
      <c r="BT190" s="36">
        <f>IF(A190="","",(K190)*(IF((YEAR(D190)+11)&lt;YEAR(E190),0,IF((YEAR(D190)+11)&gt;YEAR(E190),1,(12-MONTH(E190)+1)/12)))*(1/(1+DiscountRate)^11))</f>
        <v/>
      </c>
      <c r="BU190" s="36">
        <f>IF(A190="","",(K190)*(IF((YEAR(D190)+12)&lt;YEAR(E190),0,IF((YEAR(D190)+12)&gt;YEAR(E190),1,(12-MONTH(E190)+1)/12)))*(1/(1+DiscountRate)^12))</f>
        <v/>
      </c>
      <c r="BV190" s="36">
        <f>IF(A190="","",(K190)*(IF((YEAR(D190)+13)&lt;YEAR(E190),0,IF((YEAR(D190)+13)&gt;YEAR(E190),1,(12-MONTH(E190)+1)/12)))*(1/(1+DiscountRate)^13))</f>
        <v/>
      </c>
      <c r="BW190" s="36">
        <f>IF(A190="","",(K190)*(IF((YEAR(D190)+14)&lt;YEAR(E190),0,IF((YEAR(D190)+14)&gt;YEAR(E190),1,(12-MONTH(E190)+1)/12)))*(1/(1+DiscountRate)^14))</f>
        <v/>
      </c>
      <c r="BX190" s="36">
        <f>IF(A190="","",(K190)*(IF((YEAR(D190)+15)&lt;YEAR(E190),0,IF((YEAR(D190)+15)&gt;YEAR(E190),1,(12-MONTH(E190)+1)/12)))*(1/(1+DiscountRate)^15))</f>
        <v/>
      </c>
      <c r="BY190" s="36">
        <f>IF(A190="","",(K190)*(IF((YEAR(D190)+16)&lt;YEAR(E190),0,IF((YEAR(D190)+16)&gt;YEAR(E190),1,(12-MONTH(E190)+1)/12)))*(1/(1+DiscountRate)^16))</f>
        <v/>
      </c>
      <c r="BZ190" s="36">
        <f>IF(A190="","",(K190)*(IF((YEAR(D190)+17)&lt;YEAR(E190),0,IF((YEAR(D190)+17)&gt;YEAR(E190),1,(12-MONTH(E190)+1)/12)))*(1/(1+DiscountRate)^17))</f>
        <v/>
      </c>
      <c r="CA190" s="36">
        <f>IF(A190="","",(K190)*(IF((YEAR(D190)+18)&lt;YEAR(E190),0,IF((YEAR(D190)+18)&gt;YEAR(E190),1,(12-MONTH(E190)+1)/12)))*(1/(1+DiscountRate)^18))</f>
        <v/>
      </c>
      <c r="CB190" s="36">
        <f>IF(A190="","",(K190)*(IF((YEAR(D190)+19)&lt;YEAR(E190),0,IF((YEAR(D190)+19)&gt;YEAR(E190),1,(12-MONTH(E190)+1)/12)))*(1/(1+DiscountRate)^19))</f>
        <v/>
      </c>
      <c r="CC190" s="36">
        <f>IF(A190="","",(K190)*(IF((YEAR(D190)+20)&lt;YEAR(E190),0,IF((YEAR(D190)+20)&gt;YEAR(E190),1,(12-MONTH(E190)+1)/12)))*(1/(1+DiscountRate)^20))</f>
        <v/>
      </c>
      <c r="CD190" s="29">
        <f>IF(A190="","",S190/(1+DiscountRate)^0+T190/(1+DiscountRate)^1+U190/(1+DiscountRate)^2+V190/(1+DiscountRate)^3+W190/(1+DiscountRate)^4+X190/(1+DiscountRate)^5+Y190/(1+DiscountRate)^6+Z190/(1+DiscountRate)^7+AA190/(1+DiscountRate)^8+AB190/(1+DiscountRate)^9+AC190/(1+DiscountRate)^10+AD190/(1+DiscountRate)^11+AE190/(1+DiscountRate)^12+AF190/(1+DiscountRate)^13+AG190/(1+DiscountRate)^14+AH190/(1+DiscountRate)^15+AI190/(1+DiscountRate)^16+AJ190/(1+DiscountRate)^17+AK190/(1+DiscountRate)^18+AL190/(1+DiscountRate)^19+AM190/(1+DiscountRate)^20)</f>
        <v/>
      </c>
      <c r="CE190" s="37">
        <f>IF(A190="","",IFERROR(IRR(OFFSET(S190,0,0,1,MIN(HorizonYears,20)+1)),"n/a"))</f>
        <v/>
      </c>
      <c r="CF190" s="28">
        <f>IF(A190="","",IFERROR(MATCH(TRUE,OFFSET(AN190,0,0,1,MIN(HorizonYears,20)+1)&gt;=0,0)-1,"n/a"))</f>
        <v/>
      </c>
      <c r="CG190" s="36">
        <f>IF(A190="","",SUM(OFFSET(BI190,0,0,1,MIN(HorizonYears,20)+1)))</f>
        <v/>
      </c>
      <c r="CH190" s="36">
        <f>IF(A190="","",IFERROR(-CD190/CG190,"n/a"))</f>
        <v/>
      </c>
    </row>
    <row r="191">
      <c r="A191" s="6">
        <f>Actions!A189</f>
        <v/>
      </c>
      <c r="B191" s="6">
        <f>Actions!B189</f>
        <v/>
      </c>
      <c r="C191" s="6">
        <f>Actions!D189</f>
        <v/>
      </c>
      <c r="D191" s="35">
        <f>Actions!E189</f>
        <v/>
      </c>
      <c r="E191" s="35">
        <f>Actions!F189</f>
        <v/>
      </c>
      <c r="F191" s="6">
        <f>Actions!G189</f>
        <v/>
      </c>
      <c r="G191" s="6">
        <f>Actions!H189</f>
        <v/>
      </c>
      <c r="H191" s="29">
        <f>Actions!I189</f>
        <v/>
      </c>
      <c r="I191" s="6">
        <f>Actions!J189</f>
        <v/>
      </c>
      <c r="J191" s="16">
        <f>Actions!K189</f>
        <v/>
      </c>
      <c r="K191" s="16">
        <f>IF(A191="","",IF(I191="%",H191*J191,J191))</f>
        <v/>
      </c>
      <c r="L191" s="16">
        <f>Actions!L189</f>
        <v/>
      </c>
      <c r="M191" s="6">
        <f>Actions!M189</f>
        <v/>
      </c>
      <c r="N191" s="28">
        <f>Actions!N189</f>
        <v/>
      </c>
      <c r="O191" s="29">
        <f>Actions!T189</f>
        <v/>
      </c>
      <c r="P191" s="29">
        <f>Actions!Y189</f>
        <v/>
      </c>
      <c r="Q191" s="29">
        <f>Actions!Z189</f>
        <v/>
      </c>
      <c r="R191" s="29">
        <f>Actions!AA189</f>
        <v/>
      </c>
      <c r="S191" s="29">
        <f>IF(A191="","",((K191)*(IF(M191="",L191,IFERROR(IF(INDEX(Variablen!$I:$AT, MATCH(M191, Variablen!$A:$A, 0), MATCH((YEAR(D191)+0), Variablen!$I$3:$AT$3, 0))="",L191,INDEX(Variablen!$I:$AT, MATCH(M191, Variablen!$A:$A, 0), MATCH((YEAR(D191)+0), Variablen!$I$3:$AT$3, 0))),L191)))*(IF((YEAR(D191)+0)&lt;YEAR(E191),0,IF((YEAR(D191)+0)&gt;YEAR(E191),1,(12-MONTH(E191)+1)/12))) + (Q191)*(IF((YEAR(D191)+0)&lt;YEAR(E191),0,IF((YEAR(D191)+0)&gt;YEAR(E191),1,(12-MONTH(E191)+1)/12))))-((P191)*(IF((YEAR(D191)+0)&lt;YEAR(E191),0,IF((YEAR(D191)+0)&gt;YEAR(E191),1,(12-MONTH(E191)+1)/12))) + (R191)*(IF((YEAR(D191)+0)&lt;YEAR(E191),0,IF((YEAR(D191)+0)&gt;YEAR(E191),1,(12-MONTH(E191)+1)/12))))-(IF((((K191)*(IF(M191="",L191,IFERROR(IF(INDEX(Variablen!$I:$AT, MATCH(M191, Variablen!$A:$A, 0), MATCH((YEAR(D191)+0), Variablen!$I$3:$AT$3, 0))="",L191,INDEX(Variablen!$I:$AT, MATCH(M191, Variablen!$A:$A, 0), MATCH((YEAR(D191)+0), Variablen!$I$3:$AT$3, 0))),L191)))*(IF((YEAR(D191)+0)&lt;YEAR(E191),0,IF((YEAR(D191)+0)&gt;YEAR(E191),1,(12-MONTH(E191)+1)/12))) + (Q191)*(IF((YEAR(D191)+0)&lt;YEAR(E191),0,IF((YEAR(D191)+0)&gt;YEAR(E191),1,(12-MONTH(E191)+1)/12))))-((P191)*(IF((YEAR(D191)+0)&lt;YEAR(E191),0,IF((YEAR(D191)+0)&gt;YEAR(E191),1,(12-MONTH(E191)+1)/12))) + (R191)*(IF((YEAR(D191)+0)&lt;YEAR(E191),0,IF((YEAR(D191)+0)&gt;YEAR(E191),1,(12-MONTH(E191)+1)/12))))-(IF(OR(N191="",N191&lt;=0),0,(O191/N191)*(IF(OR(N191="",N191&lt;=0),0,IF((YEAR(D191)+0)&lt;YEAR(E191),0,IF((YEAR(D191)+0)&gt;=YEAR(E191)+N191,0,IF((YEAR(D191)+0)=YEAR(E191),(12-MONTH(E191)+1)/12,1))))))))&gt;0,(((K191)*(IF(M191="",L191,IFERROR(IF(INDEX(Variablen!$I:$AT, MATCH(M191, Variablen!$A:$A, 0), MATCH((YEAR(D191)+0), Variablen!$I$3:$AT$3, 0))="",L191,INDEX(Variablen!$I:$AT, MATCH(M191, Variablen!$A:$A, 0), MATCH((YEAR(D191)+0), Variablen!$I$3:$AT$3, 0))),L191)))*(IF((YEAR(D191)+0)&lt;YEAR(E191),0,IF((YEAR(D191)+0)&gt;YEAR(E191),1,(12-MONTH(E191)+1)/12))) + (Q191)*(IF((YEAR(D191)+0)&lt;YEAR(E191),0,IF((YEAR(D191)+0)&gt;YEAR(E191),1,(12-MONTH(E191)+1)/12))))-((P191)*(IF((YEAR(D191)+0)&lt;YEAR(E191),0,IF((YEAR(D191)+0)&gt;YEAR(E191),1,(12-MONTH(E191)+1)/12))) + (R191)*(IF((YEAR(D191)+0)&lt;YEAR(E191),0,IF((YEAR(D191)+0)&gt;YEAR(E191),1,(12-MONTH(E191)+1)/12))))-(IF(OR(N191="",N191&lt;=0),0,(O191/N191)*(IF(OR(N191="",N191&lt;=0),0,IF((YEAR(D191)+0)&lt;YEAR(E191),0,IF((YEAR(D191)+0)&gt;=YEAR(E191)+N191,0,IF((YEAR(D191)+0)=YEAR(E191),(12-MONTH(E191)+1)/12,1))))))))*TaxRate,0))-IF(0=0,O191,0))</f>
        <v/>
      </c>
      <c r="T191" s="29">
        <f>IF(A191="","",((K191)*(IF(M191="",L191,IFERROR(IF(INDEX(Variablen!$I:$AT, MATCH(M191, Variablen!$A:$A, 0), MATCH((YEAR(D191)+1), Variablen!$I$3:$AT$3, 0))="",L191,INDEX(Variablen!$I:$AT, MATCH(M191, Variablen!$A:$A, 0), MATCH((YEAR(D191)+1), Variablen!$I$3:$AT$3, 0))),L191)))*(IF((YEAR(D191)+1)&lt;YEAR(E191),0,IF((YEAR(D191)+1)&gt;YEAR(E191),1,(12-MONTH(E191)+1)/12))) + (Q191)*(IF((YEAR(D191)+1)&lt;YEAR(E191),0,IF((YEAR(D191)+1)&gt;YEAR(E191),1,(12-MONTH(E191)+1)/12))))-((P191)*(IF((YEAR(D191)+1)&lt;YEAR(E191),0,IF((YEAR(D191)+1)&gt;YEAR(E191),1,(12-MONTH(E191)+1)/12))) + (R191)*(IF((YEAR(D191)+1)&lt;YEAR(E191),0,IF((YEAR(D191)+1)&gt;YEAR(E191),1,(12-MONTH(E191)+1)/12))))-(IF((((K191)*(IF(M191="",L191,IFERROR(IF(INDEX(Variablen!$I:$AT, MATCH(M191, Variablen!$A:$A, 0), MATCH((YEAR(D191)+1), Variablen!$I$3:$AT$3, 0))="",L191,INDEX(Variablen!$I:$AT, MATCH(M191, Variablen!$A:$A, 0), MATCH((YEAR(D191)+1), Variablen!$I$3:$AT$3, 0))),L191)))*(IF((YEAR(D191)+1)&lt;YEAR(E191),0,IF((YEAR(D191)+1)&gt;YEAR(E191),1,(12-MONTH(E191)+1)/12))) + (Q191)*(IF((YEAR(D191)+1)&lt;YEAR(E191),0,IF((YEAR(D191)+1)&gt;YEAR(E191),1,(12-MONTH(E191)+1)/12))))-((P191)*(IF((YEAR(D191)+1)&lt;YEAR(E191),0,IF((YEAR(D191)+1)&gt;YEAR(E191),1,(12-MONTH(E191)+1)/12))) + (R191)*(IF((YEAR(D191)+1)&lt;YEAR(E191),0,IF((YEAR(D191)+1)&gt;YEAR(E191),1,(12-MONTH(E191)+1)/12))))-(IF(OR(N191="",N191&lt;=0),0,(O191/N191)*(IF(OR(N191="",N191&lt;=0),0,IF((YEAR(D191)+1)&lt;YEAR(E191),0,IF((YEAR(D191)+1)&gt;=YEAR(E191)+N191,0,IF((YEAR(D191)+1)=YEAR(E191),(12-MONTH(E191)+1)/12,1))))))))&gt;0,(((K191)*(IF(M191="",L191,IFERROR(IF(INDEX(Variablen!$I:$AT, MATCH(M191, Variablen!$A:$A, 0), MATCH((YEAR(D191)+1), Variablen!$I$3:$AT$3, 0))="",L191,INDEX(Variablen!$I:$AT, MATCH(M191, Variablen!$A:$A, 0), MATCH((YEAR(D191)+1), Variablen!$I$3:$AT$3, 0))),L191)))*(IF((YEAR(D191)+1)&lt;YEAR(E191),0,IF((YEAR(D191)+1)&gt;YEAR(E191),1,(12-MONTH(E191)+1)/12))) + (Q191)*(IF((YEAR(D191)+1)&lt;YEAR(E191),0,IF((YEAR(D191)+1)&gt;YEAR(E191),1,(12-MONTH(E191)+1)/12))))-((P191)*(IF((YEAR(D191)+1)&lt;YEAR(E191),0,IF((YEAR(D191)+1)&gt;YEAR(E191),1,(12-MONTH(E191)+1)/12))) + (R191)*(IF((YEAR(D191)+1)&lt;YEAR(E191),0,IF((YEAR(D191)+1)&gt;YEAR(E191),1,(12-MONTH(E191)+1)/12))))-(IF(OR(N191="",N191&lt;=0),0,(O191/N191)*(IF(OR(N191="",N191&lt;=0),0,IF((YEAR(D191)+1)&lt;YEAR(E191),0,IF((YEAR(D191)+1)&gt;=YEAR(E191)+N191,0,IF((YEAR(D191)+1)=YEAR(E191),(12-MONTH(E191)+1)/12,1))))))))*TaxRate,0))-IF(1=0,O191,0))</f>
        <v/>
      </c>
      <c r="U191" s="29">
        <f>IF(A191="","",((K191)*(IF(M191="",L191,IFERROR(IF(INDEX(Variablen!$I:$AT, MATCH(M191, Variablen!$A:$A, 0), MATCH((YEAR(D191)+2), Variablen!$I$3:$AT$3, 0))="",L191,INDEX(Variablen!$I:$AT, MATCH(M191, Variablen!$A:$A, 0), MATCH((YEAR(D191)+2), Variablen!$I$3:$AT$3, 0))),L191)))*(IF((YEAR(D191)+2)&lt;YEAR(E191),0,IF((YEAR(D191)+2)&gt;YEAR(E191),1,(12-MONTH(E191)+1)/12))) + (Q191)*(IF((YEAR(D191)+2)&lt;YEAR(E191),0,IF((YEAR(D191)+2)&gt;YEAR(E191),1,(12-MONTH(E191)+1)/12))))-((P191)*(IF((YEAR(D191)+2)&lt;YEAR(E191),0,IF((YEAR(D191)+2)&gt;YEAR(E191),1,(12-MONTH(E191)+1)/12))) + (R191)*(IF((YEAR(D191)+2)&lt;YEAR(E191),0,IF((YEAR(D191)+2)&gt;YEAR(E191),1,(12-MONTH(E191)+1)/12))))-(IF((((K191)*(IF(M191="",L191,IFERROR(IF(INDEX(Variablen!$I:$AT, MATCH(M191, Variablen!$A:$A, 0), MATCH((YEAR(D191)+2), Variablen!$I$3:$AT$3, 0))="",L191,INDEX(Variablen!$I:$AT, MATCH(M191, Variablen!$A:$A, 0), MATCH((YEAR(D191)+2), Variablen!$I$3:$AT$3, 0))),L191)))*(IF((YEAR(D191)+2)&lt;YEAR(E191),0,IF((YEAR(D191)+2)&gt;YEAR(E191),1,(12-MONTH(E191)+1)/12))) + (Q191)*(IF((YEAR(D191)+2)&lt;YEAR(E191),0,IF((YEAR(D191)+2)&gt;YEAR(E191),1,(12-MONTH(E191)+1)/12))))-((P191)*(IF((YEAR(D191)+2)&lt;YEAR(E191),0,IF((YEAR(D191)+2)&gt;YEAR(E191),1,(12-MONTH(E191)+1)/12))) + (R191)*(IF((YEAR(D191)+2)&lt;YEAR(E191),0,IF((YEAR(D191)+2)&gt;YEAR(E191),1,(12-MONTH(E191)+1)/12))))-(IF(OR(N191="",N191&lt;=0),0,(O191/N191)*(IF(OR(N191="",N191&lt;=0),0,IF((YEAR(D191)+2)&lt;YEAR(E191),0,IF((YEAR(D191)+2)&gt;=YEAR(E191)+N191,0,IF((YEAR(D191)+2)=YEAR(E191),(12-MONTH(E191)+1)/12,1))))))))&gt;0,(((K191)*(IF(M191="",L191,IFERROR(IF(INDEX(Variablen!$I:$AT, MATCH(M191, Variablen!$A:$A, 0), MATCH((YEAR(D191)+2), Variablen!$I$3:$AT$3, 0))="",L191,INDEX(Variablen!$I:$AT, MATCH(M191, Variablen!$A:$A, 0), MATCH((YEAR(D191)+2), Variablen!$I$3:$AT$3, 0))),L191)))*(IF((YEAR(D191)+2)&lt;YEAR(E191),0,IF((YEAR(D191)+2)&gt;YEAR(E191),1,(12-MONTH(E191)+1)/12))) + (Q191)*(IF((YEAR(D191)+2)&lt;YEAR(E191),0,IF((YEAR(D191)+2)&gt;YEAR(E191),1,(12-MONTH(E191)+1)/12))))-((P191)*(IF((YEAR(D191)+2)&lt;YEAR(E191),0,IF((YEAR(D191)+2)&gt;YEAR(E191),1,(12-MONTH(E191)+1)/12))) + (R191)*(IF((YEAR(D191)+2)&lt;YEAR(E191),0,IF((YEAR(D191)+2)&gt;YEAR(E191),1,(12-MONTH(E191)+1)/12))))-(IF(OR(N191="",N191&lt;=0),0,(O191/N191)*(IF(OR(N191="",N191&lt;=0),0,IF((YEAR(D191)+2)&lt;YEAR(E191),0,IF((YEAR(D191)+2)&gt;=YEAR(E191)+N191,0,IF((YEAR(D191)+2)=YEAR(E191),(12-MONTH(E191)+1)/12,1))))))))*TaxRate,0))-IF(2=0,O191,0))</f>
        <v/>
      </c>
      <c r="V191" s="29">
        <f>IF(A191="","",((K191)*(IF(M191="",L191,IFERROR(IF(INDEX(Variablen!$I:$AT, MATCH(M191, Variablen!$A:$A, 0), MATCH((YEAR(D191)+3), Variablen!$I$3:$AT$3, 0))="",L191,INDEX(Variablen!$I:$AT, MATCH(M191, Variablen!$A:$A, 0), MATCH((YEAR(D191)+3), Variablen!$I$3:$AT$3, 0))),L191)))*(IF((YEAR(D191)+3)&lt;YEAR(E191),0,IF((YEAR(D191)+3)&gt;YEAR(E191),1,(12-MONTH(E191)+1)/12))) + (Q191)*(IF((YEAR(D191)+3)&lt;YEAR(E191),0,IF((YEAR(D191)+3)&gt;YEAR(E191),1,(12-MONTH(E191)+1)/12))))-((P191)*(IF((YEAR(D191)+3)&lt;YEAR(E191),0,IF((YEAR(D191)+3)&gt;YEAR(E191),1,(12-MONTH(E191)+1)/12))) + (R191)*(IF((YEAR(D191)+3)&lt;YEAR(E191),0,IF((YEAR(D191)+3)&gt;YEAR(E191),1,(12-MONTH(E191)+1)/12))))-(IF((((K191)*(IF(M191="",L191,IFERROR(IF(INDEX(Variablen!$I:$AT, MATCH(M191, Variablen!$A:$A, 0), MATCH((YEAR(D191)+3), Variablen!$I$3:$AT$3, 0))="",L191,INDEX(Variablen!$I:$AT, MATCH(M191, Variablen!$A:$A, 0), MATCH((YEAR(D191)+3), Variablen!$I$3:$AT$3, 0))),L191)))*(IF((YEAR(D191)+3)&lt;YEAR(E191),0,IF((YEAR(D191)+3)&gt;YEAR(E191),1,(12-MONTH(E191)+1)/12))) + (Q191)*(IF((YEAR(D191)+3)&lt;YEAR(E191),0,IF((YEAR(D191)+3)&gt;YEAR(E191),1,(12-MONTH(E191)+1)/12))))-((P191)*(IF((YEAR(D191)+3)&lt;YEAR(E191),0,IF((YEAR(D191)+3)&gt;YEAR(E191),1,(12-MONTH(E191)+1)/12))) + (R191)*(IF((YEAR(D191)+3)&lt;YEAR(E191),0,IF((YEAR(D191)+3)&gt;YEAR(E191),1,(12-MONTH(E191)+1)/12))))-(IF(OR(N191="",N191&lt;=0),0,(O191/N191)*(IF(OR(N191="",N191&lt;=0),0,IF((YEAR(D191)+3)&lt;YEAR(E191),0,IF((YEAR(D191)+3)&gt;=YEAR(E191)+N191,0,IF((YEAR(D191)+3)=YEAR(E191),(12-MONTH(E191)+1)/12,1))))))))&gt;0,(((K191)*(IF(M191="",L191,IFERROR(IF(INDEX(Variablen!$I:$AT, MATCH(M191, Variablen!$A:$A, 0), MATCH((YEAR(D191)+3), Variablen!$I$3:$AT$3, 0))="",L191,INDEX(Variablen!$I:$AT, MATCH(M191, Variablen!$A:$A, 0), MATCH((YEAR(D191)+3), Variablen!$I$3:$AT$3, 0))),L191)))*(IF((YEAR(D191)+3)&lt;YEAR(E191),0,IF((YEAR(D191)+3)&gt;YEAR(E191),1,(12-MONTH(E191)+1)/12))) + (Q191)*(IF((YEAR(D191)+3)&lt;YEAR(E191),0,IF((YEAR(D191)+3)&gt;YEAR(E191),1,(12-MONTH(E191)+1)/12))))-((P191)*(IF((YEAR(D191)+3)&lt;YEAR(E191),0,IF((YEAR(D191)+3)&gt;YEAR(E191),1,(12-MONTH(E191)+1)/12))) + (R191)*(IF((YEAR(D191)+3)&lt;YEAR(E191),0,IF((YEAR(D191)+3)&gt;YEAR(E191),1,(12-MONTH(E191)+1)/12))))-(IF(OR(N191="",N191&lt;=0),0,(O191/N191)*(IF(OR(N191="",N191&lt;=0),0,IF((YEAR(D191)+3)&lt;YEAR(E191),0,IF((YEAR(D191)+3)&gt;=YEAR(E191)+N191,0,IF((YEAR(D191)+3)=YEAR(E191),(12-MONTH(E191)+1)/12,1))))))))*TaxRate,0))-IF(3=0,O191,0))</f>
        <v/>
      </c>
      <c r="W191" s="29">
        <f>IF(A191="","",((K191)*(IF(M191="",L191,IFERROR(IF(INDEX(Variablen!$I:$AT, MATCH(M191, Variablen!$A:$A, 0), MATCH((YEAR(D191)+4), Variablen!$I$3:$AT$3, 0))="",L191,INDEX(Variablen!$I:$AT, MATCH(M191, Variablen!$A:$A, 0), MATCH((YEAR(D191)+4), Variablen!$I$3:$AT$3, 0))),L191)))*(IF((YEAR(D191)+4)&lt;YEAR(E191),0,IF((YEAR(D191)+4)&gt;YEAR(E191),1,(12-MONTH(E191)+1)/12))) + (Q191)*(IF((YEAR(D191)+4)&lt;YEAR(E191),0,IF((YEAR(D191)+4)&gt;YEAR(E191),1,(12-MONTH(E191)+1)/12))))-((P191)*(IF((YEAR(D191)+4)&lt;YEAR(E191),0,IF((YEAR(D191)+4)&gt;YEAR(E191),1,(12-MONTH(E191)+1)/12))) + (R191)*(IF((YEAR(D191)+4)&lt;YEAR(E191),0,IF((YEAR(D191)+4)&gt;YEAR(E191),1,(12-MONTH(E191)+1)/12))))-(IF((((K191)*(IF(M191="",L191,IFERROR(IF(INDEX(Variablen!$I:$AT, MATCH(M191, Variablen!$A:$A, 0), MATCH((YEAR(D191)+4), Variablen!$I$3:$AT$3, 0))="",L191,INDEX(Variablen!$I:$AT, MATCH(M191, Variablen!$A:$A, 0), MATCH((YEAR(D191)+4), Variablen!$I$3:$AT$3, 0))),L191)))*(IF((YEAR(D191)+4)&lt;YEAR(E191),0,IF((YEAR(D191)+4)&gt;YEAR(E191),1,(12-MONTH(E191)+1)/12))) + (Q191)*(IF((YEAR(D191)+4)&lt;YEAR(E191),0,IF((YEAR(D191)+4)&gt;YEAR(E191),1,(12-MONTH(E191)+1)/12))))-((P191)*(IF((YEAR(D191)+4)&lt;YEAR(E191),0,IF((YEAR(D191)+4)&gt;YEAR(E191),1,(12-MONTH(E191)+1)/12))) + (R191)*(IF((YEAR(D191)+4)&lt;YEAR(E191),0,IF((YEAR(D191)+4)&gt;YEAR(E191),1,(12-MONTH(E191)+1)/12))))-(IF(OR(N191="",N191&lt;=0),0,(O191/N191)*(IF(OR(N191="",N191&lt;=0),0,IF((YEAR(D191)+4)&lt;YEAR(E191),0,IF((YEAR(D191)+4)&gt;=YEAR(E191)+N191,0,IF((YEAR(D191)+4)=YEAR(E191),(12-MONTH(E191)+1)/12,1))))))))&gt;0,(((K191)*(IF(M191="",L191,IFERROR(IF(INDEX(Variablen!$I:$AT, MATCH(M191, Variablen!$A:$A, 0), MATCH((YEAR(D191)+4), Variablen!$I$3:$AT$3, 0))="",L191,INDEX(Variablen!$I:$AT, MATCH(M191, Variablen!$A:$A, 0), MATCH((YEAR(D191)+4), Variablen!$I$3:$AT$3, 0))),L191)))*(IF((YEAR(D191)+4)&lt;YEAR(E191),0,IF((YEAR(D191)+4)&gt;YEAR(E191),1,(12-MONTH(E191)+1)/12))) + (Q191)*(IF((YEAR(D191)+4)&lt;YEAR(E191),0,IF((YEAR(D191)+4)&gt;YEAR(E191),1,(12-MONTH(E191)+1)/12))))-((P191)*(IF((YEAR(D191)+4)&lt;YEAR(E191),0,IF((YEAR(D191)+4)&gt;YEAR(E191),1,(12-MONTH(E191)+1)/12))) + (R191)*(IF((YEAR(D191)+4)&lt;YEAR(E191),0,IF((YEAR(D191)+4)&gt;YEAR(E191),1,(12-MONTH(E191)+1)/12))))-(IF(OR(N191="",N191&lt;=0),0,(O191/N191)*(IF(OR(N191="",N191&lt;=0),0,IF((YEAR(D191)+4)&lt;YEAR(E191),0,IF((YEAR(D191)+4)&gt;=YEAR(E191)+N191,0,IF((YEAR(D191)+4)=YEAR(E191),(12-MONTH(E191)+1)/12,1))))))))*TaxRate,0))-IF(4=0,O191,0))</f>
        <v/>
      </c>
      <c r="X191" s="29">
        <f>IF(A191="","",((K191)*(IF(M191="",L191,IFERROR(IF(INDEX(Variablen!$I:$AT, MATCH(M191, Variablen!$A:$A, 0), MATCH((YEAR(D191)+5), Variablen!$I$3:$AT$3, 0))="",L191,INDEX(Variablen!$I:$AT, MATCH(M191, Variablen!$A:$A, 0), MATCH((YEAR(D191)+5), Variablen!$I$3:$AT$3, 0))),L191)))*(IF((YEAR(D191)+5)&lt;YEAR(E191),0,IF((YEAR(D191)+5)&gt;YEAR(E191),1,(12-MONTH(E191)+1)/12))) + (Q191)*(IF((YEAR(D191)+5)&lt;YEAR(E191),0,IF((YEAR(D191)+5)&gt;YEAR(E191),1,(12-MONTH(E191)+1)/12))))-((P191)*(IF((YEAR(D191)+5)&lt;YEAR(E191),0,IF((YEAR(D191)+5)&gt;YEAR(E191),1,(12-MONTH(E191)+1)/12))) + (R191)*(IF((YEAR(D191)+5)&lt;YEAR(E191),0,IF((YEAR(D191)+5)&gt;YEAR(E191),1,(12-MONTH(E191)+1)/12))))-(IF((((K191)*(IF(M191="",L191,IFERROR(IF(INDEX(Variablen!$I:$AT, MATCH(M191, Variablen!$A:$A, 0), MATCH((YEAR(D191)+5), Variablen!$I$3:$AT$3, 0))="",L191,INDEX(Variablen!$I:$AT, MATCH(M191, Variablen!$A:$A, 0), MATCH((YEAR(D191)+5), Variablen!$I$3:$AT$3, 0))),L191)))*(IF((YEAR(D191)+5)&lt;YEAR(E191),0,IF((YEAR(D191)+5)&gt;YEAR(E191),1,(12-MONTH(E191)+1)/12))) + (Q191)*(IF((YEAR(D191)+5)&lt;YEAR(E191),0,IF((YEAR(D191)+5)&gt;YEAR(E191),1,(12-MONTH(E191)+1)/12))))-((P191)*(IF((YEAR(D191)+5)&lt;YEAR(E191),0,IF((YEAR(D191)+5)&gt;YEAR(E191),1,(12-MONTH(E191)+1)/12))) + (R191)*(IF((YEAR(D191)+5)&lt;YEAR(E191),0,IF((YEAR(D191)+5)&gt;YEAR(E191),1,(12-MONTH(E191)+1)/12))))-(IF(OR(N191="",N191&lt;=0),0,(O191/N191)*(IF(OR(N191="",N191&lt;=0),0,IF((YEAR(D191)+5)&lt;YEAR(E191),0,IF((YEAR(D191)+5)&gt;=YEAR(E191)+N191,0,IF((YEAR(D191)+5)=YEAR(E191),(12-MONTH(E191)+1)/12,1))))))))&gt;0,(((K191)*(IF(M191="",L191,IFERROR(IF(INDEX(Variablen!$I:$AT, MATCH(M191, Variablen!$A:$A, 0), MATCH((YEAR(D191)+5), Variablen!$I$3:$AT$3, 0))="",L191,INDEX(Variablen!$I:$AT, MATCH(M191, Variablen!$A:$A, 0), MATCH((YEAR(D191)+5), Variablen!$I$3:$AT$3, 0))),L191)))*(IF((YEAR(D191)+5)&lt;YEAR(E191),0,IF((YEAR(D191)+5)&gt;YEAR(E191),1,(12-MONTH(E191)+1)/12))) + (Q191)*(IF((YEAR(D191)+5)&lt;YEAR(E191),0,IF((YEAR(D191)+5)&gt;YEAR(E191),1,(12-MONTH(E191)+1)/12))))-((P191)*(IF((YEAR(D191)+5)&lt;YEAR(E191),0,IF((YEAR(D191)+5)&gt;YEAR(E191),1,(12-MONTH(E191)+1)/12))) + (R191)*(IF((YEAR(D191)+5)&lt;YEAR(E191),0,IF((YEAR(D191)+5)&gt;YEAR(E191),1,(12-MONTH(E191)+1)/12))))-(IF(OR(N191="",N191&lt;=0),0,(O191/N191)*(IF(OR(N191="",N191&lt;=0),0,IF((YEAR(D191)+5)&lt;YEAR(E191),0,IF((YEAR(D191)+5)&gt;=YEAR(E191)+N191,0,IF((YEAR(D191)+5)=YEAR(E191),(12-MONTH(E191)+1)/12,1))))))))*TaxRate,0))-IF(5=0,O191,0))</f>
        <v/>
      </c>
      <c r="Y191" s="29">
        <f>IF(A191="","",((K191)*(IF(M191="",L191,IFERROR(IF(INDEX(Variablen!$I:$AT, MATCH(M191, Variablen!$A:$A, 0), MATCH((YEAR(D191)+6), Variablen!$I$3:$AT$3, 0))="",L191,INDEX(Variablen!$I:$AT, MATCH(M191, Variablen!$A:$A, 0), MATCH((YEAR(D191)+6), Variablen!$I$3:$AT$3, 0))),L191)))*(IF((YEAR(D191)+6)&lt;YEAR(E191),0,IF((YEAR(D191)+6)&gt;YEAR(E191),1,(12-MONTH(E191)+1)/12))) + (Q191)*(IF((YEAR(D191)+6)&lt;YEAR(E191),0,IF((YEAR(D191)+6)&gt;YEAR(E191),1,(12-MONTH(E191)+1)/12))))-((P191)*(IF((YEAR(D191)+6)&lt;YEAR(E191),0,IF((YEAR(D191)+6)&gt;YEAR(E191),1,(12-MONTH(E191)+1)/12))) + (R191)*(IF((YEAR(D191)+6)&lt;YEAR(E191),0,IF((YEAR(D191)+6)&gt;YEAR(E191),1,(12-MONTH(E191)+1)/12))))-(IF((((K191)*(IF(M191="",L191,IFERROR(IF(INDEX(Variablen!$I:$AT, MATCH(M191, Variablen!$A:$A, 0), MATCH((YEAR(D191)+6), Variablen!$I$3:$AT$3, 0))="",L191,INDEX(Variablen!$I:$AT, MATCH(M191, Variablen!$A:$A, 0), MATCH((YEAR(D191)+6), Variablen!$I$3:$AT$3, 0))),L191)))*(IF((YEAR(D191)+6)&lt;YEAR(E191),0,IF((YEAR(D191)+6)&gt;YEAR(E191),1,(12-MONTH(E191)+1)/12))) + (Q191)*(IF((YEAR(D191)+6)&lt;YEAR(E191),0,IF((YEAR(D191)+6)&gt;YEAR(E191),1,(12-MONTH(E191)+1)/12))))-((P191)*(IF((YEAR(D191)+6)&lt;YEAR(E191),0,IF((YEAR(D191)+6)&gt;YEAR(E191),1,(12-MONTH(E191)+1)/12))) + (R191)*(IF((YEAR(D191)+6)&lt;YEAR(E191),0,IF((YEAR(D191)+6)&gt;YEAR(E191),1,(12-MONTH(E191)+1)/12))))-(IF(OR(N191="",N191&lt;=0),0,(O191/N191)*(IF(OR(N191="",N191&lt;=0),0,IF((YEAR(D191)+6)&lt;YEAR(E191),0,IF((YEAR(D191)+6)&gt;=YEAR(E191)+N191,0,IF((YEAR(D191)+6)=YEAR(E191),(12-MONTH(E191)+1)/12,1))))))))&gt;0,(((K191)*(IF(M191="",L191,IFERROR(IF(INDEX(Variablen!$I:$AT, MATCH(M191, Variablen!$A:$A, 0), MATCH((YEAR(D191)+6), Variablen!$I$3:$AT$3, 0))="",L191,INDEX(Variablen!$I:$AT, MATCH(M191, Variablen!$A:$A, 0), MATCH((YEAR(D191)+6), Variablen!$I$3:$AT$3, 0))),L191)))*(IF((YEAR(D191)+6)&lt;YEAR(E191),0,IF((YEAR(D191)+6)&gt;YEAR(E191),1,(12-MONTH(E191)+1)/12))) + (Q191)*(IF((YEAR(D191)+6)&lt;YEAR(E191),0,IF((YEAR(D191)+6)&gt;YEAR(E191),1,(12-MONTH(E191)+1)/12))))-((P191)*(IF((YEAR(D191)+6)&lt;YEAR(E191),0,IF((YEAR(D191)+6)&gt;YEAR(E191),1,(12-MONTH(E191)+1)/12))) + (R191)*(IF((YEAR(D191)+6)&lt;YEAR(E191),0,IF((YEAR(D191)+6)&gt;YEAR(E191),1,(12-MONTH(E191)+1)/12))))-(IF(OR(N191="",N191&lt;=0),0,(O191/N191)*(IF(OR(N191="",N191&lt;=0),0,IF((YEAR(D191)+6)&lt;YEAR(E191),0,IF((YEAR(D191)+6)&gt;=YEAR(E191)+N191,0,IF((YEAR(D191)+6)=YEAR(E191),(12-MONTH(E191)+1)/12,1))))))))*TaxRate,0))-IF(6=0,O191,0))</f>
        <v/>
      </c>
      <c r="Z191" s="29">
        <f>IF(A191="","",((K191)*(IF(M191="",L191,IFERROR(IF(INDEX(Variablen!$I:$AT, MATCH(M191, Variablen!$A:$A, 0), MATCH((YEAR(D191)+7), Variablen!$I$3:$AT$3, 0))="",L191,INDEX(Variablen!$I:$AT, MATCH(M191, Variablen!$A:$A, 0), MATCH((YEAR(D191)+7), Variablen!$I$3:$AT$3, 0))),L191)))*(IF((YEAR(D191)+7)&lt;YEAR(E191),0,IF((YEAR(D191)+7)&gt;YEAR(E191),1,(12-MONTH(E191)+1)/12))) + (Q191)*(IF((YEAR(D191)+7)&lt;YEAR(E191),0,IF((YEAR(D191)+7)&gt;YEAR(E191),1,(12-MONTH(E191)+1)/12))))-((P191)*(IF((YEAR(D191)+7)&lt;YEAR(E191),0,IF((YEAR(D191)+7)&gt;YEAR(E191),1,(12-MONTH(E191)+1)/12))) + (R191)*(IF((YEAR(D191)+7)&lt;YEAR(E191),0,IF((YEAR(D191)+7)&gt;YEAR(E191),1,(12-MONTH(E191)+1)/12))))-(IF((((K191)*(IF(M191="",L191,IFERROR(IF(INDEX(Variablen!$I:$AT, MATCH(M191, Variablen!$A:$A, 0), MATCH((YEAR(D191)+7), Variablen!$I$3:$AT$3, 0))="",L191,INDEX(Variablen!$I:$AT, MATCH(M191, Variablen!$A:$A, 0), MATCH((YEAR(D191)+7), Variablen!$I$3:$AT$3, 0))),L191)))*(IF((YEAR(D191)+7)&lt;YEAR(E191),0,IF((YEAR(D191)+7)&gt;YEAR(E191),1,(12-MONTH(E191)+1)/12))) + (Q191)*(IF((YEAR(D191)+7)&lt;YEAR(E191),0,IF((YEAR(D191)+7)&gt;YEAR(E191),1,(12-MONTH(E191)+1)/12))))-((P191)*(IF((YEAR(D191)+7)&lt;YEAR(E191),0,IF((YEAR(D191)+7)&gt;YEAR(E191),1,(12-MONTH(E191)+1)/12))) + (R191)*(IF((YEAR(D191)+7)&lt;YEAR(E191),0,IF((YEAR(D191)+7)&gt;YEAR(E191),1,(12-MONTH(E191)+1)/12))))-(IF(OR(N191="",N191&lt;=0),0,(O191/N191)*(IF(OR(N191="",N191&lt;=0),0,IF((YEAR(D191)+7)&lt;YEAR(E191),0,IF((YEAR(D191)+7)&gt;=YEAR(E191)+N191,0,IF((YEAR(D191)+7)=YEAR(E191),(12-MONTH(E191)+1)/12,1))))))))&gt;0,(((K191)*(IF(M191="",L191,IFERROR(IF(INDEX(Variablen!$I:$AT, MATCH(M191, Variablen!$A:$A, 0), MATCH((YEAR(D191)+7), Variablen!$I$3:$AT$3, 0))="",L191,INDEX(Variablen!$I:$AT, MATCH(M191, Variablen!$A:$A, 0), MATCH((YEAR(D191)+7), Variablen!$I$3:$AT$3, 0))),L191)))*(IF((YEAR(D191)+7)&lt;YEAR(E191),0,IF((YEAR(D191)+7)&gt;YEAR(E191),1,(12-MONTH(E191)+1)/12))) + (Q191)*(IF((YEAR(D191)+7)&lt;YEAR(E191),0,IF((YEAR(D191)+7)&gt;YEAR(E191),1,(12-MONTH(E191)+1)/12))))-((P191)*(IF((YEAR(D191)+7)&lt;YEAR(E191),0,IF((YEAR(D191)+7)&gt;YEAR(E191),1,(12-MONTH(E191)+1)/12))) + (R191)*(IF((YEAR(D191)+7)&lt;YEAR(E191),0,IF((YEAR(D191)+7)&gt;YEAR(E191),1,(12-MONTH(E191)+1)/12))))-(IF(OR(N191="",N191&lt;=0),0,(O191/N191)*(IF(OR(N191="",N191&lt;=0),0,IF((YEAR(D191)+7)&lt;YEAR(E191),0,IF((YEAR(D191)+7)&gt;=YEAR(E191)+N191,0,IF((YEAR(D191)+7)=YEAR(E191),(12-MONTH(E191)+1)/12,1))))))))*TaxRate,0))-IF(7=0,O191,0))</f>
        <v/>
      </c>
      <c r="AA191" s="29">
        <f>IF(A191="","",((K191)*(IF(M191="",L191,IFERROR(IF(INDEX(Variablen!$I:$AT, MATCH(M191, Variablen!$A:$A, 0), MATCH((YEAR(D191)+8), Variablen!$I$3:$AT$3, 0))="",L191,INDEX(Variablen!$I:$AT, MATCH(M191, Variablen!$A:$A, 0), MATCH((YEAR(D191)+8), Variablen!$I$3:$AT$3, 0))),L191)))*(IF((YEAR(D191)+8)&lt;YEAR(E191),0,IF((YEAR(D191)+8)&gt;YEAR(E191),1,(12-MONTH(E191)+1)/12))) + (Q191)*(IF((YEAR(D191)+8)&lt;YEAR(E191),0,IF((YEAR(D191)+8)&gt;YEAR(E191),1,(12-MONTH(E191)+1)/12))))-((P191)*(IF((YEAR(D191)+8)&lt;YEAR(E191),0,IF((YEAR(D191)+8)&gt;YEAR(E191),1,(12-MONTH(E191)+1)/12))) + (R191)*(IF((YEAR(D191)+8)&lt;YEAR(E191),0,IF((YEAR(D191)+8)&gt;YEAR(E191),1,(12-MONTH(E191)+1)/12))))-(IF((((K191)*(IF(M191="",L191,IFERROR(IF(INDEX(Variablen!$I:$AT, MATCH(M191, Variablen!$A:$A, 0), MATCH((YEAR(D191)+8), Variablen!$I$3:$AT$3, 0))="",L191,INDEX(Variablen!$I:$AT, MATCH(M191, Variablen!$A:$A, 0), MATCH((YEAR(D191)+8), Variablen!$I$3:$AT$3, 0))),L191)))*(IF((YEAR(D191)+8)&lt;YEAR(E191),0,IF((YEAR(D191)+8)&gt;YEAR(E191),1,(12-MONTH(E191)+1)/12))) + (Q191)*(IF((YEAR(D191)+8)&lt;YEAR(E191),0,IF((YEAR(D191)+8)&gt;YEAR(E191),1,(12-MONTH(E191)+1)/12))))-((P191)*(IF((YEAR(D191)+8)&lt;YEAR(E191),0,IF((YEAR(D191)+8)&gt;YEAR(E191),1,(12-MONTH(E191)+1)/12))) + (R191)*(IF((YEAR(D191)+8)&lt;YEAR(E191),0,IF((YEAR(D191)+8)&gt;YEAR(E191),1,(12-MONTH(E191)+1)/12))))-(IF(OR(N191="",N191&lt;=0),0,(O191/N191)*(IF(OR(N191="",N191&lt;=0),0,IF((YEAR(D191)+8)&lt;YEAR(E191),0,IF((YEAR(D191)+8)&gt;=YEAR(E191)+N191,0,IF((YEAR(D191)+8)=YEAR(E191),(12-MONTH(E191)+1)/12,1))))))))&gt;0,(((K191)*(IF(M191="",L191,IFERROR(IF(INDEX(Variablen!$I:$AT, MATCH(M191, Variablen!$A:$A, 0), MATCH((YEAR(D191)+8), Variablen!$I$3:$AT$3, 0))="",L191,INDEX(Variablen!$I:$AT, MATCH(M191, Variablen!$A:$A, 0), MATCH((YEAR(D191)+8), Variablen!$I$3:$AT$3, 0))),L191)))*(IF((YEAR(D191)+8)&lt;YEAR(E191),0,IF((YEAR(D191)+8)&gt;YEAR(E191),1,(12-MONTH(E191)+1)/12))) + (Q191)*(IF((YEAR(D191)+8)&lt;YEAR(E191),0,IF((YEAR(D191)+8)&gt;YEAR(E191),1,(12-MONTH(E191)+1)/12))))-((P191)*(IF((YEAR(D191)+8)&lt;YEAR(E191),0,IF((YEAR(D191)+8)&gt;YEAR(E191),1,(12-MONTH(E191)+1)/12))) + (R191)*(IF((YEAR(D191)+8)&lt;YEAR(E191),0,IF((YEAR(D191)+8)&gt;YEAR(E191),1,(12-MONTH(E191)+1)/12))))-(IF(OR(N191="",N191&lt;=0),0,(O191/N191)*(IF(OR(N191="",N191&lt;=0),0,IF((YEAR(D191)+8)&lt;YEAR(E191),0,IF((YEAR(D191)+8)&gt;=YEAR(E191)+N191,0,IF((YEAR(D191)+8)=YEAR(E191),(12-MONTH(E191)+1)/12,1))))))))*TaxRate,0))-IF(8=0,O191,0))</f>
        <v/>
      </c>
      <c r="AB191" s="29">
        <f>IF(A191="","",((K191)*(IF(M191="",L191,IFERROR(IF(INDEX(Variablen!$I:$AT, MATCH(M191, Variablen!$A:$A, 0), MATCH((YEAR(D191)+9), Variablen!$I$3:$AT$3, 0))="",L191,INDEX(Variablen!$I:$AT, MATCH(M191, Variablen!$A:$A, 0), MATCH((YEAR(D191)+9), Variablen!$I$3:$AT$3, 0))),L191)))*(IF((YEAR(D191)+9)&lt;YEAR(E191),0,IF((YEAR(D191)+9)&gt;YEAR(E191),1,(12-MONTH(E191)+1)/12))) + (Q191)*(IF((YEAR(D191)+9)&lt;YEAR(E191),0,IF((YEAR(D191)+9)&gt;YEAR(E191),1,(12-MONTH(E191)+1)/12))))-((P191)*(IF((YEAR(D191)+9)&lt;YEAR(E191),0,IF((YEAR(D191)+9)&gt;YEAR(E191),1,(12-MONTH(E191)+1)/12))) + (R191)*(IF((YEAR(D191)+9)&lt;YEAR(E191),0,IF((YEAR(D191)+9)&gt;YEAR(E191),1,(12-MONTH(E191)+1)/12))))-(IF((((K191)*(IF(M191="",L191,IFERROR(IF(INDEX(Variablen!$I:$AT, MATCH(M191, Variablen!$A:$A, 0), MATCH((YEAR(D191)+9), Variablen!$I$3:$AT$3, 0))="",L191,INDEX(Variablen!$I:$AT, MATCH(M191, Variablen!$A:$A, 0), MATCH((YEAR(D191)+9), Variablen!$I$3:$AT$3, 0))),L191)))*(IF((YEAR(D191)+9)&lt;YEAR(E191),0,IF((YEAR(D191)+9)&gt;YEAR(E191),1,(12-MONTH(E191)+1)/12))) + (Q191)*(IF((YEAR(D191)+9)&lt;YEAR(E191),0,IF((YEAR(D191)+9)&gt;YEAR(E191),1,(12-MONTH(E191)+1)/12))))-((P191)*(IF((YEAR(D191)+9)&lt;YEAR(E191),0,IF((YEAR(D191)+9)&gt;YEAR(E191),1,(12-MONTH(E191)+1)/12))) + (R191)*(IF((YEAR(D191)+9)&lt;YEAR(E191),0,IF((YEAR(D191)+9)&gt;YEAR(E191),1,(12-MONTH(E191)+1)/12))))-(IF(OR(N191="",N191&lt;=0),0,(O191/N191)*(IF(OR(N191="",N191&lt;=0),0,IF((YEAR(D191)+9)&lt;YEAR(E191),0,IF((YEAR(D191)+9)&gt;=YEAR(E191)+N191,0,IF((YEAR(D191)+9)=YEAR(E191),(12-MONTH(E191)+1)/12,1))))))))&gt;0,(((K191)*(IF(M191="",L191,IFERROR(IF(INDEX(Variablen!$I:$AT, MATCH(M191, Variablen!$A:$A, 0), MATCH((YEAR(D191)+9), Variablen!$I$3:$AT$3, 0))="",L191,INDEX(Variablen!$I:$AT, MATCH(M191, Variablen!$A:$A, 0), MATCH((YEAR(D191)+9), Variablen!$I$3:$AT$3, 0))),L191)))*(IF((YEAR(D191)+9)&lt;YEAR(E191),0,IF((YEAR(D191)+9)&gt;YEAR(E191),1,(12-MONTH(E191)+1)/12))) + (Q191)*(IF((YEAR(D191)+9)&lt;YEAR(E191),0,IF((YEAR(D191)+9)&gt;YEAR(E191),1,(12-MONTH(E191)+1)/12))))-((P191)*(IF((YEAR(D191)+9)&lt;YEAR(E191),0,IF((YEAR(D191)+9)&gt;YEAR(E191),1,(12-MONTH(E191)+1)/12))) + (R191)*(IF((YEAR(D191)+9)&lt;YEAR(E191),0,IF((YEAR(D191)+9)&gt;YEAR(E191),1,(12-MONTH(E191)+1)/12))))-(IF(OR(N191="",N191&lt;=0),0,(O191/N191)*(IF(OR(N191="",N191&lt;=0),0,IF((YEAR(D191)+9)&lt;YEAR(E191),0,IF((YEAR(D191)+9)&gt;=YEAR(E191)+N191,0,IF((YEAR(D191)+9)=YEAR(E191),(12-MONTH(E191)+1)/12,1))))))))*TaxRate,0))-IF(9=0,O191,0))</f>
        <v/>
      </c>
      <c r="AC191" s="29">
        <f>IF(A191="","",((K191)*(IF(M191="",L191,IFERROR(IF(INDEX(Variablen!$I:$AT, MATCH(M191, Variablen!$A:$A, 0), MATCH((YEAR(D191)+10), Variablen!$I$3:$AT$3, 0))="",L191,INDEX(Variablen!$I:$AT, MATCH(M191, Variablen!$A:$A, 0), MATCH((YEAR(D191)+10), Variablen!$I$3:$AT$3, 0))),L191)))*(IF((YEAR(D191)+10)&lt;YEAR(E191),0,IF((YEAR(D191)+10)&gt;YEAR(E191),1,(12-MONTH(E191)+1)/12))) + (Q191)*(IF((YEAR(D191)+10)&lt;YEAR(E191),0,IF((YEAR(D191)+10)&gt;YEAR(E191),1,(12-MONTH(E191)+1)/12))))-((P191)*(IF((YEAR(D191)+10)&lt;YEAR(E191),0,IF((YEAR(D191)+10)&gt;YEAR(E191),1,(12-MONTH(E191)+1)/12))) + (R191)*(IF((YEAR(D191)+10)&lt;YEAR(E191),0,IF((YEAR(D191)+10)&gt;YEAR(E191),1,(12-MONTH(E191)+1)/12))))-(IF((((K191)*(IF(M191="",L191,IFERROR(IF(INDEX(Variablen!$I:$AT, MATCH(M191, Variablen!$A:$A, 0), MATCH((YEAR(D191)+10), Variablen!$I$3:$AT$3, 0))="",L191,INDEX(Variablen!$I:$AT, MATCH(M191, Variablen!$A:$A, 0), MATCH((YEAR(D191)+10), Variablen!$I$3:$AT$3, 0))),L191)))*(IF((YEAR(D191)+10)&lt;YEAR(E191),0,IF((YEAR(D191)+10)&gt;YEAR(E191),1,(12-MONTH(E191)+1)/12))) + (Q191)*(IF((YEAR(D191)+10)&lt;YEAR(E191),0,IF((YEAR(D191)+10)&gt;YEAR(E191),1,(12-MONTH(E191)+1)/12))))-((P191)*(IF((YEAR(D191)+10)&lt;YEAR(E191),0,IF((YEAR(D191)+10)&gt;YEAR(E191),1,(12-MONTH(E191)+1)/12))) + (R191)*(IF((YEAR(D191)+10)&lt;YEAR(E191),0,IF((YEAR(D191)+10)&gt;YEAR(E191),1,(12-MONTH(E191)+1)/12))))-(IF(OR(N191="",N191&lt;=0),0,(O191/N191)*(IF(OR(N191="",N191&lt;=0),0,IF((YEAR(D191)+10)&lt;YEAR(E191),0,IF((YEAR(D191)+10)&gt;=YEAR(E191)+N191,0,IF((YEAR(D191)+10)=YEAR(E191),(12-MONTH(E191)+1)/12,1))))))))&gt;0,(((K191)*(IF(M191="",L191,IFERROR(IF(INDEX(Variablen!$I:$AT, MATCH(M191, Variablen!$A:$A, 0), MATCH((YEAR(D191)+10), Variablen!$I$3:$AT$3, 0))="",L191,INDEX(Variablen!$I:$AT, MATCH(M191, Variablen!$A:$A, 0), MATCH((YEAR(D191)+10), Variablen!$I$3:$AT$3, 0))),L191)))*(IF((YEAR(D191)+10)&lt;YEAR(E191),0,IF((YEAR(D191)+10)&gt;YEAR(E191),1,(12-MONTH(E191)+1)/12))) + (Q191)*(IF((YEAR(D191)+10)&lt;YEAR(E191),0,IF((YEAR(D191)+10)&gt;YEAR(E191),1,(12-MONTH(E191)+1)/12))))-((P191)*(IF((YEAR(D191)+10)&lt;YEAR(E191),0,IF((YEAR(D191)+10)&gt;YEAR(E191),1,(12-MONTH(E191)+1)/12))) + (R191)*(IF((YEAR(D191)+10)&lt;YEAR(E191),0,IF((YEAR(D191)+10)&gt;YEAR(E191),1,(12-MONTH(E191)+1)/12))))-(IF(OR(N191="",N191&lt;=0),0,(O191/N191)*(IF(OR(N191="",N191&lt;=0),0,IF((YEAR(D191)+10)&lt;YEAR(E191),0,IF((YEAR(D191)+10)&gt;=YEAR(E191)+N191,0,IF((YEAR(D191)+10)=YEAR(E191),(12-MONTH(E191)+1)/12,1))))))))*TaxRate,0))-IF(10=0,O191,0))</f>
        <v/>
      </c>
      <c r="AD191" s="29">
        <f>IF(A191="","",((K191)*(IF(M191="",L191,IFERROR(IF(INDEX(Variablen!$I:$AT, MATCH(M191, Variablen!$A:$A, 0), MATCH((YEAR(D191)+11), Variablen!$I$3:$AT$3, 0))="",L191,INDEX(Variablen!$I:$AT, MATCH(M191, Variablen!$A:$A, 0), MATCH((YEAR(D191)+11), Variablen!$I$3:$AT$3, 0))),L191)))*(IF((YEAR(D191)+11)&lt;YEAR(E191),0,IF((YEAR(D191)+11)&gt;YEAR(E191),1,(12-MONTH(E191)+1)/12))) + (Q191)*(IF((YEAR(D191)+11)&lt;YEAR(E191),0,IF((YEAR(D191)+11)&gt;YEAR(E191),1,(12-MONTH(E191)+1)/12))))-((P191)*(IF((YEAR(D191)+11)&lt;YEAR(E191),0,IF((YEAR(D191)+11)&gt;YEAR(E191),1,(12-MONTH(E191)+1)/12))) + (R191)*(IF((YEAR(D191)+11)&lt;YEAR(E191),0,IF((YEAR(D191)+11)&gt;YEAR(E191),1,(12-MONTH(E191)+1)/12))))-(IF((((K191)*(IF(M191="",L191,IFERROR(IF(INDEX(Variablen!$I:$AT, MATCH(M191, Variablen!$A:$A, 0), MATCH((YEAR(D191)+11), Variablen!$I$3:$AT$3, 0))="",L191,INDEX(Variablen!$I:$AT, MATCH(M191, Variablen!$A:$A, 0), MATCH((YEAR(D191)+11), Variablen!$I$3:$AT$3, 0))),L191)))*(IF((YEAR(D191)+11)&lt;YEAR(E191),0,IF((YEAR(D191)+11)&gt;YEAR(E191),1,(12-MONTH(E191)+1)/12))) + (Q191)*(IF((YEAR(D191)+11)&lt;YEAR(E191),0,IF((YEAR(D191)+11)&gt;YEAR(E191),1,(12-MONTH(E191)+1)/12))))-((P191)*(IF((YEAR(D191)+11)&lt;YEAR(E191),0,IF((YEAR(D191)+11)&gt;YEAR(E191),1,(12-MONTH(E191)+1)/12))) + (R191)*(IF((YEAR(D191)+11)&lt;YEAR(E191),0,IF((YEAR(D191)+11)&gt;YEAR(E191),1,(12-MONTH(E191)+1)/12))))-(IF(OR(N191="",N191&lt;=0),0,(O191/N191)*(IF(OR(N191="",N191&lt;=0),0,IF((YEAR(D191)+11)&lt;YEAR(E191),0,IF((YEAR(D191)+11)&gt;=YEAR(E191)+N191,0,IF((YEAR(D191)+11)=YEAR(E191),(12-MONTH(E191)+1)/12,1))))))))&gt;0,(((K191)*(IF(M191="",L191,IFERROR(IF(INDEX(Variablen!$I:$AT, MATCH(M191, Variablen!$A:$A, 0), MATCH((YEAR(D191)+11), Variablen!$I$3:$AT$3, 0))="",L191,INDEX(Variablen!$I:$AT, MATCH(M191, Variablen!$A:$A, 0), MATCH((YEAR(D191)+11), Variablen!$I$3:$AT$3, 0))),L191)))*(IF((YEAR(D191)+11)&lt;YEAR(E191),0,IF((YEAR(D191)+11)&gt;YEAR(E191),1,(12-MONTH(E191)+1)/12))) + (Q191)*(IF((YEAR(D191)+11)&lt;YEAR(E191),0,IF((YEAR(D191)+11)&gt;YEAR(E191),1,(12-MONTH(E191)+1)/12))))-((P191)*(IF((YEAR(D191)+11)&lt;YEAR(E191),0,IF((YEAR(D191)+11)&gt;YEAR(E191),1,(12-MONTH(E191)+1)/12))) + (R191)*(IF((YEAR(D191)+11)&lt;YEAR(E191),0,IF((YEAR(D191)+11)&gt;YEAR(E191),1,(12-MONTH(E191)+1)/12))))-(IF(OR(N191="",N191&lt;=0),0,(O191/N191)*(IF(OR(N191="",N191&lt;=0),0,IF((YEAR(D191)+11)&lt;YEAR(E191),0,IF((YEAR(D191)+11)&gt;=YEAR(E191)+N191,0,IF((YEAR(D191)+11)=YEAR(E191),(12-MONTH(E191)+1)/12,1))))))))*TaxRate,0))-IF(11=0,O191,0))</f>
        <v/>
      </c>
      <c r="AE191" s="29">
        <f>IF(A191="","",((K191)*(IF(M191="",L191,IFERROR(IF(INDEX(Variablen!$I:$AT, MATCH(M191, Variablen!$A:$A, 0), MATCH((YEAR(D191)+12), Variablen!$I$3:$AT$3, 0))="",L191,INDEX(Variablen!$I:$AT, MATCH(M191, Variablen!$A:$A, 0), MATCH((YEAR(D191)+12), Variablen!$I$3:$AT$3, 0))),L191)))*(IF((YEAR(D191)+12)&lt;YEAR(E191),0,IF((YEAR(D191)+12)&gt;YEAR(E191),1,(12-MONTH(E191)+1)/12))) + (Q191)*(IF((YEAR(D191)+12)&lt;YEAR(E191),0,IF((YEAR(D191)+12)&gt;YEAR(E191),1,(12-MONTH(E191)+1)/12))))-((P191)*(IF((YEAR(D191)+12)&lt;YEAR(E191),0,IF((YEAR(D191)+12)&gt;YEAR(E191),1,(12-MONTH(E191)+1)/12))) + (R191)*(IF((YEAR(D191)+12)&lt;YEAR(E191),0,IF((YEAR(D191)+12)&gt;YEAR(E191),1,(12-MONTH(E191)+1)/12))))-(IF((((K191)*(IF(M191="",L191,IFERROR(IF(INDEX(Variablen!$I:$AT, MATCH(M191, Variablen!$A:$A, 0), MATCH((YEAR(D191)+12), Variablen!$I$3:$AT$3, 0))="",L191,INDEX(Variablen!$I:$AT, MATCH(M191, Variablen!$A:$A, 0), MATCH((YEAR(D191)+12), Variablen!$I$3:$AT$3, 0))),L191)))*(IF((YEAR(D191)+12)&lt;YEAR(E191),0,IF((YEAR(D191)+12)&gt;YEAR(E191),1,(12-MONTH(E191)+1)/12))) + (Q191)*(IF((YEAR(D191)+12)&lt;YEAR(E191),0,IF((YEAR(D191)+12)&gt;YEAR(E191),1,(12-MONTH(E191)+1)/12))))-((P191)*(IF((YEAR(D191)+12)&lt;YEAR(E191),0,IF((YEAR(D191)+12)&gt;YEAR(E191),1,(12-MONTH(E191)+1)/12))) + (R191)*(IF((YEAR(D191)+12)&lt;YEAR(E191),0,IF((YEAR(D191)+12)&gt;YEAR(E191),1,(12-MONTH(E191)+1)/12))))-(IF(OR(N191="",N191&lt;=0),0,(O191/N191)*(IF(OR(N191="",N191&lt;=0),0,IF((YEAR(D191)+12)&lt;YEAR(E191),0,IF((YEAR(D191)+12)&gt;=YEAR(E191)+N191,0,IF((YEAR(D191)+12)=YEAR(E191),(12-MONTH(E191)+1)/12,1))))))))&gt;0,(((K191)*(IF(M191="",L191,IFERROR(IF(INDEX(Variablen!$I:$AT, MATCH(M191, Variablen!$A:$A, 0), MATCH((YEAR(D191)+12), Variablen!$I$3:$AT$3, 0))="",L191,INDEX(Variablen!$I:$AT, MATCH(M191, Variablen!$A:$A, 0), MATCH((YEAR(D191)+12), Variablen!$I$3:$AT$3, 0))),L191)))*(IF((YEAR(D191)+12)&lt;YEAR(E191),0,IF((YEAR(D191)+12)&gt;YEAR(E191),1,(12-MONTH(E191)+1)/12))) + (Q191)*(IF((YEAR(D191)+12)&lt;YEAR(E191),0,IF((YEAR(D191)+12)&gt;YEAR(E191),1,(12-MONTH(E191)+1)/12))))-((P191)*(IF((YEAR(D191)+12)&lt;YEAR(E191),0,IF((YEAR(D191)+12)&gt;YEAR(E191),1,(12-MONTH(E191)+1)/12))) + (R191)*(IF((YEAR(D191)+12)&lt;YEAR(E191),0,IF((YEAR(D191)+12)&gt;YEAR(E191),1,(12-MONTH(E191)+1)/12))))-(IF(OR(N191="",N191&lt;=0),0,(O191/N191)*(IF(OR(N191="",N191&lt;=0),0,IF((YEAR(D191)+12)&lt;YEAR(E191),0,IF((YEAR(D191)+12)&gt;=YEAR(E191)+N191,0,IF((YEAR(D191)+12)=YEAR(E191),(12-MONTH(E191)+1)/12,1))))))))*TaxRate,0))-IF(12=0,O191,0))</f>
        <v/>
      </c>
      <c r="AF191" s="29">
        <f>IF(A191="","",((K191)*(IF(M191="",L191,IFERROR(IF(INDEX(Variablen!$I:$AT, MATCH(M191, Variablen!$A:$A, 0), MATCH((YEAR(D191)+13), Variablen!$I$3:$AT$3, 0))="",L191,INDEX(Variablen!$I:$AT, MATCH(M191, Variablen!$A:$A, 0), MATCH((YEAR(D191)+13), Variablen!$I$3:$AT$3, 0))),L191)))*(IF((YEAR(D191)+13)&lt;YEAR(E191),0,IF((YEAR(D191)+13)&gt;YEAR(E191),1,(12-MONTH(E191)+1)/12))) + (Q191)*(IF((YEAR(D191)+13)&lt;YEAR(E191),0,IF((YEAR(D191)+13)&gt;YEAR(E191),1,(12-MONTH(E191)+1)/12))))-((P191)*(IF((YEAR(D191)+13)&lt;YEAR(E191),0,IF((YEAR(D191)+13)&gt;YEAR(E191),1,(12-MONTH(E191)+1)/12))) + (R191)*(IF((YEAR(D191)+13)&lt;YEAR(E191),0,IF((YEAR(D191)+13)&gt;YEAR(E191),1,(12-MONTH(E191)+1)/12))))-(IF((((K191)*(IF(M191="",L191,IFERROR(IF(INDEX(Variablen!$I:$AT, MATCH(M191, Variablen!$A:$A, 0), MATCH((YEAR(D191)+13), Variablen!$I$3:$AT$3, 0))="",L191,INDEX(Variablen!$I:$AT, MATCH(M191, Variablen!$A:$A, 0), MATCH((YEAR(D191)+13), Variablen!$I$3:$AT$3, 0))),L191)))*(IF((YEAR(D191)+13)&lt;YEAR(E191),0,IF((YEAR(D191)+13)&gt;YEAR(E191),1,(12-MONTH(E191)+1)/12))) + (Q191)*(IF((YEAR(D191)+13)&lt;YEAR(E191),0,IF((YEAR(D191)+13)&gt;YEAR(E191),1,(12-MONTH(E191)+1)/12))))-((P191)*(IF((YEAR(D191)+13)&lt;YEAR(E191),0,IF((YEAR(D191)+13)&gt;YEAR(E191),1,(12-MONTH(E191)+1)/12))) + (R191)*(IF((YEAR(D191)+13)&lt;YEAR(E191),0,IF((YEAR(D191)+13)&gt;YEAR(E191),1,(12-MONTH(E191)+1)/12))))-(IF(OR(N191="",N191&lt;=0),0,(O191/N191)*(IF(OR(N191="",N191&lt;=0),0,IF((YEAR(D191)+13)&lt;YEAR(E191),0,IF((YEAR(D191)+13)&gt;=YEAR(E191)+N191,0,IF((YEAR(D191)+13)=YEAR(E191),(12-MONTH(E191)+1)/12,1))))))))&gt;0,(((K191)*(IF(M191="",L191,IFERROR(IF(INDEX(Variablen!$I:$AT, MATCH(M191, Variablen!$A:$A, 0), MATCH((YEAR(D191)+13), Variablen!$I$3:$AT$3, 0))="",L191,INDEX(Variablen!$I:$AT, MATCH(M191, Variablen!$A:$A, 0), MATCH((YEAR(D191)+13), Variablen!$I$3:$AT$3, 0))),L191)))*(IF((YEAR(D191)+13)&lt;YEAR(E191),0,IF((YEAR(D191)+13)&gt;YEAR(E191),1,(12-MONTH(E191)+1)/12))) + (Q191)*(IF((YEAR(D191)+13)&lt;YEAR(E191),0,IF((YEAR(D191)+13)&gt;YEAR(E191),1,(12-MONTH(E191)+1)/12))))-((P191)*(IF((YEAR(D191)+13)&lt;YEAR(E191),0,IF((YEAR(D191)+13)&gt;YEAR(E191),1,(12-MONTH(E191)+1)/12))) + (R191)*(IF((YEAR(D191)+13)&lt;YEAR(E191),0,IF((YEAR(D191)+13)&gt;YEAR(E191),1,(12-MONTH(E191)+1)/12))))-(IF(OR(N191="",N191&lt;=0),0,(O191/N191)*(IF(OR(N191="",N191&lt;=0),0,IF((YEAR(D191)+13)&lt;YEAR(E191),0,IF((YEAR(D191)+13)&gt;=YEAR(E191)+N191,0,IF((YEAR(D191)+13)=YEAR(E191),(12-MONTH(E191)+1)/12,1))))))))*TaxRate,0))-IF(13=0,O191,0))</f>
        <v/>
      </c>
      <c r="AG191" s="29">
        <f>IF(A191="","",((K191)*(IF(M191="",L191,IFERROR(IF(INDEX(Variablen!$I:$AT, MATCH(M191, Variablen!$A:$A, 0), MATCH((YEAR(D191)+14), Variablen!$I$3:$AT$3, 0))="",L191,INDEX(Variablen!$I:$AT, MATCH(M191, Variablen!$A:$A, 0), MATCH((YEAR(D191)+14), Variablen!$I$3:$AT$3, 0))),L191)))*(IF((YEAR(D191)+14)&lt;YEAR(E191),0,IF((YEAR(D191)+14)&gt;YEAR(E191),1,(12-MONTH(E191)+1)/12))) + (Q191)*(IF((YEAR(D191)+14)&lt;YEAR(E191),0,IF((YEAR(D191)+14)&gt;YEAR(E191),1,(12-MONTH(E191)+1)/12))))-((P191)*(IF((YEAR(D191)+14)&lt;YEAR(E191),0,IF((YEAR(D191)+14)&gt;YEAR(E191),1,(12-MONTH(E191)+1)/12))) + (R191)*(IF((YEAR(D191)+14)&lt;YEAR(E191),0,IF((YEAR(D191)+14)&gt;YEAR(E191),1,(12-MONTH(E191)+1)/12))))-(IF((((K191)*(IF(M191="",L191,IFERROR(IF(INDEX(Variablen!$I:$AT, MATCH(M191, Variablen!$A:$A, 0), MATCH((YEAR(D191)+14), Variablen!$I$3:$AT$3, 0))="",L191,INDEX(Variablen!$I:$AT, MATCH(M191, Variablen!$A:$A, 0), MATCH((YEAR(D191)+14), Variablen!$I$3:$AT$3, 0))),L191)))*(IF((YEAR(D191)+14)&lt;YEAR(E191),0,IF((YEAR(D191)+14)&gt;YEAR(E191),1,(12-MONTH(E191)+1)/12))) + (Q191)*(IF((YEAR(D191)+14)&lt;YEAR(E191),0,IF((YEAR(D191)+14)&gt;YEAR(E191),1,(12-MONTH(E191)+1)/12))))-((P191)*(IF((YEAR(D191)+14)&lt;YEAR(E191),0,IF((YEAR(D191)+14)&gt;YEAR(E191),1,(12-MONTH(E191)+1)/12))) + (R191)*(IF((YEAR(D191)+14)&lt;YEAR(E191),0,IF((YEAR(D191)+14)&gt;YEAR(E191),1,(12-MONTH(E191)+1)/12))))-(IF(OR(N191="",N191&lt;=0),0,(O191/N191)*(IF(OR(N191="",N191&lt;=0),0,IF((YEAR(D191)+14)&lt;YEAR(E191),0,IF((YEAR(D191)+14)&gt;=YEAR(E191)+N191,0,IF((YEAR(D191)+14)=YEAR(E191),(12-MONTH(E191)+1)/12,1))))))))&gt;0,(((K191)*(IF(M191="",L191,IFERROR(IF(INDEX(Variablen!$I:$AT, MATCH(M191, Variablen!$A:$A, 0), MATCH((YEAR(D191)+14), Variablen!$I$3:$AT$3, 0))="",L191,INDEX(Variablen!$I:$AT, MATCH(M191, Variablen!$A:$A, 0), MATCH((YEAR(D191)+14), Variablen!$I$3:$AT$3, 0))),L191)))*(IF((YEAR(D191)+14)&lt;YEAR(E191),0,IF((YEAR(D191)+14)&gt;YEAR(E191),1,(12-MONTH(E191)+1)/12))) + (Q191)*(IF((YEAR(D191)+14)&lt;YEAR(E191),0,IF((YEAR(D191)+14)&gt;YEAR(E191),1,(12-MONTH(E191)+1)/12))))-((P191)*(IF((YEAR(D191)+14)&lt;YEAR(E191),0,IF((YEAR(D191)+14)&gt;YEAR(E191),1,(12-MONTH(E191)+1)/12))) + (R191)*(IF((YEAR(D191)+14)&lt;YEAR(E191),0,IF((YEAR(D191)+14)&gt;YEAR(E191),1,(12-MONTH(E191)+1)/12))))-(IF(OR(N191="",N191&lt;=0),0,(O191/N191)*(IF(OR(N191="",N191&lt;=0),0,IF((YEAR(D191)+14)&lt;YEAR(E191),0,IF((YEAR(D191)+14)&gt;=YEAR(E191)+N191,0,IF((YEAR(D191)+14)=YEAR(E191),(12-MONTH(E191)+1)/12,1))))))))*TaxRate,0))-IF(14=0,O191,0))</f>
        <v/>
      </c>
      <c r="AH191" s="29">
        <f>IF(A191="","",((K191)*(IF(M191="",L191,IFERROR(IF(INDEX(Variablen!$I:$AT, MATCH(M191, Variablen!$A:$A, 0), MATCH((YEAR(D191)+15), Variablen!$I$3:$AT$3, 0))="",L191,INDEX(Variablen!$I:$AT, MATCH(M191, Variablen!$A:$A, 0), MATCH((YEAR(D191)+15), Variablen!$I$3:$AT$3, 0))),L191)))*(IF((YEAR(D191)+15)&lt;YEAR(E191),0,IF((YEAR(D191)+15)&gt;YEAR(E191),1,(12-MONTH(E191)+1)/12))) + (Q191)*(IF((YEAR(D191)+15)&lt;YEAR(E191),0,IF((YEAR(D191)+15)&gt;YEAR(E191),1,(12-MONTH(E191)+1)/12))))-((P191)*(IF((YEAR(D191)+15)&lt;YEAR(E191),0,IF((YEAR(D191)+15)&gt;YEAR(E191),1,(12-MONTH(E191)+1)/12))) + (R191)*(IF((YEAR(D191)+15)&lt;YEAR(E191),0,IF((YEAR(D191)+15)&gt;YEAR(E191),1,(12-MONTH(E191)+1)/12))))-(IF((((K191)*(IF(M191="",L191,IFERROR(IF(INDEX(Variablen!$I:$AT, MATCH(M191, Variablen!$A:$A, 0), MATCH((YEAR(D191)+15), Variablen!$I$3:$AT$3, 0))="",L191,INDEX(Variablen!$I:$AT, MATCH(M191, Variablen!$A:$A, 0), MATCH((YEAR(D191)+15), Variablen!$I$3:$AT$3, 0))),L191)))*(IF((YEAR(D191)+15)&lt;YEAR(E191),0,IF((YEAR(D191)+15)&gt;YEAR(E191),1,(12-MONTH(E191)+1)/12))) + (Q191)*(IF((YEAR(D191)+15)&lt;YEAR(E191),0,IF((YEAR(D191)+15)&gt;YEAR(E191),1,(12-MONTH(E191)+1)/12))))-((P191)*(IF((YEAR(D191)+15)&lt;YEAR(E191),0,IF((YEAR(D191)+15)&gt;YEAR(E191),1,(12-MONTH(E191)+1)/12))) + (R191)*(IF((YEAR(D191)+15)&lt;YEAR(E191),0,IF((YEAR(D191)+15)&gt;YEAR(E191),1,(12-MONTH(E191)+1)/12))))-(IF(OR(N191="",N191&lt;=0),0,(O191/N191)*(IF(OR(N191="",N191&lt;=0),0,IF((YEAR(D191)+15)&lt;YEAR(E191),0,IF((YEAR(D191)+15)&gt;=YEAR(E191)+N191,0,IF((YEAR(D191)+15)=YEAR(E191),(12-MONTH(E191)+1)/12,1))))))))&gt;0,(((K191)*(IF(M191="",L191,IFERROR(IF(INDEX(Variablen!$I:$AT, MATCH(M191, Variablen!$A:$A, 0), MATCH((YEAR(D191)+15), Variablen!$I$3:$AT$3, 0))="",L191,INDEX(Variablen!$I:$AT, MATCH(M191, Variablen!$A:$A, 0), MATCH((YEAR(D191)+15), Variablen!$I$3:$AT$3, 0))),L191)))*(IF((YEAR(D191)+15)&lt;YEAR(E191),0,IF((YEAR(D191)+15)&gt;YEAR(E191),1,(12-MONTH(E191)+1)/12))) + (Q191)*(IF((YEAR(D191)+15)&lt;YEAR(E191),0,IF((YEAR(D191)+15)&gt;YEAR(E191),1,(12-MONTH(E191)+1)/12))))-((P191)*(IF((YEAR(D191)+15)&lt;YEAR(E191),0,IF((YEAR(D191)+15)&gt;YEAR(E191),1,(12-MONTH(E191)+1)/12))) + (R191)*(IF((YEAR(D191)+15)&lt;YEAR(E191),0,IF((YEAR(D191)+15)&gt;YEAR(E191),1,(12-MONTH(E191)+1)/12))))-(IF(OR(N191="",N191&lt;=0),0,(O191/N191)*(IF(OR(N191="",N191&lt;=0),0,IF((YEAR(D191)+15)&lt;YEAR(E191),0,IF((YEAR(D191)+15)&gt;=YEAR(E191)+N191,0,IF((YEAR(D191)+15)=YEAR(E191),(12-MONTH(E191)+1)/12,1))))))))*TaxRate,0))-IF(15=0,O191,0))</f>
        <v/>
      </c>
      <c r="AI191" s="29">
        <f>IF(A191="","",((K191)*(IF(M191="",L191,IFERROR(IF(INDEX(Variablen!$I:$AT, MATCH(M191, Variablen!$A:$A, 0), MATCH((YEAR(D191)+16), Variablen!$I$3:$AT$3, 0))="",L191,INDEX(Variablen!$I:$AT, MATCH(M191, Variablen!$A:$A, 0), MATCH((YEAR(D191)+16), Variablen!$I$3:$AT$3, 0))),L191)))*(IF((YEAR(D191)+16)&lt;YEAR(E191),0,IF((YEAR(D191)+16)&gt;YEAR(E191),1,(12-MONTH(E191)+1)/12))) + (Q191)*(IF((YEAR(D191)+16)&lt;YEAR(E191),0,IF((YEAR(D191)+16)&gt;YEAR(E191),1,(12-MONTH(E191)+1)/12))))-((P191)*(IF((YEAR(D191)+16)&lt;YEAR(E191),0,IF((YEAR(D191)+16)&gt;YEAR(E191),1,(12-MONTH(E191)+1)/12))) + (R191)*(IF((YEAR(D191)+16)&lt;YEAR(E191),0,IF((YEAR(D191)+16)&gt;YEAR(E191),1,(12-MONTH(E191)+1)/12))))-(IF((((K191)*(IF(M191="",L191,IFERROR(IF(INDEX(Variablen!$I:$AT, MATCH(M191, Variablen!$A:$A, 0), MATCH((YEAR(D191)+16), Variablen!$I$3:$AT$3, 0))="",L191,INDEX(Variablen!$I:$AT, MATCH(M191, Variablen!$A:$A, 0), MATCH((YEAR(D191)+16), Variablen!$I$3:$AT$3, 0))),L191)))*(IF((YEAR(D191)+16)&lt;YEAR(E191),0,IF((YEAR(D191)+16)&gt;YEAR(E191),1,(12-MONTH(E191)+1)/12))) + (Q191)*(IF((YEAR(D191)+16)&lt;YEAR(E191),0,IF((YEAR(D191)+16)&gt;YEAR(E191),1,(12-MONTH(E191)+1)/12))))-((P191)*(IF((YEAR(D191)+16)&lt;YEAR(E191),0,IF((YEAR(D191)+16)&gt;YEAR(E191),1,(12-MONTH(E191)+1)/12))) + (R191)*(IF((YEAR(D191)+16)&lt;YEAR(E191),0,IF((YEAR(D191)+16)&gt;YEAR(E191),1,(12-MONTH(E191)+1)/12))))-(IF(OR(N191="",N191&lt;=0),0,(O191/N191)*(IF(OR(N191="",N191&lt;=0),0,IF((YEAR(D191)+16)&lt;YEAR(E191),0,IF((YEAR(D191)+16)&gt;=YEAR(E191)+N191,0,IF((YEAR(D191)+16)=YEAR(E191),(12-MONTH(E191)+1)/12,1))))))))&gt;0,(((K191)*(IF(M191="",L191,IFERROR(IF(INDEX(Variablen!$I:$AT, MATCH(M191, Variablen!$A:$A, 0), MATCH((YEAR(D191)+16), Variablen!$I$3:$AT$3, 0))="",L191,INDEX(Variablen!$I:$AT, MATCH(M191, Variablen!$A:$A, 0), MATCH((YEAR(D191)+16), Variablen!$I$3:$AT$3, 0))),L191)))*(IF((YEAR(D191)+16)&lt;YEAR(E191),0,IF((YEAR(D191)+16)&gt;YEAR(E191),1,(12-MONTH(E191)+1)/12))) + (Q191)*(IF((YEAR(D191)+16)&lt;YEAR(E191),0,IF((YEAR(D191)+16)&gt;YEAR(E191),1,(12-MONTH(E191)+1)/12))))-((P191)*(IF((YEAR(D191)+16)&lt;YEAR(E191),0,IF((YEAR(D191)+16)&gt;YEAR(E191),1,(12-MONTH(E191)+1)/12))) + (R191)*(IF((YEAR(D191)+16)&lt;YEAR(E191),0,IF((YEAR(D191)+16)&gt;YEAR(E191),1,(12-MONTH(E191)+1)/12))))-(IF(OR(N191="",N191&lt;=0),0,(O191/N191)*(IF(OR(N191="",N191&lt;=0),0,IF((YEAR(D191)+16)&lt;YEAR(E191),0,IF((YEAR(D191)+16)&gt;=YEAR(E191)+N191,0,IF((YEAR(D191)+16)=YEAR(E191),(12-MONTH(E191)+1)/12,1))))))))*TaxRate,0))-IF(16=0,O191,0))</f>
        <v/>
      </c>
      <c r="AJ191" s="29">
        <f>IF(A191="","",((K191)*(IF(M191="",L191,IFERROR(IF(INDEX(Variablen!$I:$AT, MATCH(M191, Variablen!$A:$A, 0), MATCH((YEAR(D191)+17), Variablen!$I$3:$AT$3, 0))="",L191,INDEX(Variablen!$I:$AT, MATCH(M191, Variablen!$A:$A, 0), MATCH((YEAR(D191)+17), Variablen!$I$3:$AT$3, 0))),L191)))*(IF((YEAR(D191)+17)&lt;YEAR(E191),0,IF((YEAR(D191)+17)&gt;YEAR(E191),1,(12-MONTH(E191)+1)/12))) + (Q191)*(IF((YEAR(D191)+17)&lt;YEAR(E191),0,IF((YEAR(D191)+17)&gt;YEAR(E191),1,(12-MONTH(E191)+1)/12))))-((P191)*(IF((YEAR(D191)+17)&lt;YEAR(E191),0,IF((YEAR(D191)+17)&gt;YEAR(E191),1,(12-MONTH(E191)+1)/12))) + (R191)*(IF((YEAR(D191)+17)&lt;YEAR(E191),0,IF((YEAR(D191)+17)&gt;YEAR(E191),1,(12-MONTH(E191)+1)/12))))-(IF((((K191)*(IF(M191="",L191,IFERROR(IF(INDEX(Variablen!$I:$AT, MATCH(M191, Variablen!$A:$A, 0), MATCH((YEAR(D191)+17), Variablen!$I$3:$AT$3, 0))="",L191,INDEX(Variablen!$I:$AT, MATCH(M191, Variablen!$A:$A, 0), MATCH((YEAR(D191)+17), Variablen!$I$3:$AT$3, 0))),L191)))*(IF((YEAR(D191)+17)&lt;YEAR(E191),0,IF((YEAR(D191)+17)&gt;YEAR(E191),1,(12-MONTH(E191)+1)/12))) + (Q191)*(IF((YEAR(D191)+17)&lt;YEAR(E191),0,IF((YEAR(D191)+17)&gt;YEAR(E191),1,(12-MONTH(E191)+1)/12))))-((P191)*(IF((YEAR(D191)+17)&lt;YEAR(E191),0,IF((YEAR(D191)+17)&gt;YEAR(E191),1,(12-MONTH(E191)+1)/12))) + (R191)*(IF((YEAR(D191)+17)&lt;YEAR(E191),0,IF((YEAR(D191)+17)&gt;YEAR(E191),1,(12-MONTH(E191)+1)/12))))-(IF(OR(N191="",N191&lt;=0),0,(O191/N191)*(IF(OR(N191="",N191&lt;=0),0,IF((YEAR(D191)+17)&lt;YEAR(E191),0,IF((YEAR(D191)+17)&gt;=YEAR(E191)+N191,0,IF((YEAR(D191)+17)=YEAR(E191),(12-MONTH(E191)+1)/12,1))))))))&gt;0,(((K191)*(IF(M191="",L191,IFERROR(IF(INDEX(Variablen!$I:$AT, MATCH(M191, Variablen!$A:$A, 0), MATCH((YEAR(D191)+17), Variablen!$I$3:$AT$3, 0))="",L191,INDEX(Variablen!$I:$AT, MATCH(M191, Variablen!$A:$A, 0), MATCH((YEAR(D191)+17), Variablen!$I$3:$AT$3, 0))),L191)))*(IF((YEAR(D191)+17)&lt;YEAR(E191),0,IF((YEAR(D191)+17)&gt;YEAR(E191),1,(12-MONTH(E191)+1)/12))) + (Q191)*(IF((YEAR(D191)+17)&lt;YEAR(E191),0,IF((YEAR(D191)+17)&gt;YEAR(E191),1,(12-MONTH(E191)+1)/12))))-((P191)*(IF((YEAR(D191)+17)&lt;YEAR(E191),0,IF((YEAR(D191)+17)&gt;YEAR(E191),1,(12-MONTH(E191)+1)/12))) + (R191)*(IF((YEAR(D191)+17)&lt;YEAR(E191),0,IF((YEAR(D191)+17)&gt;YEAR(E191),1,(12-MONTH(E191)+1)/12))))-(IF(OR(N191="",N191&lt;=0),0,(O191/N191)*(IF(OR(N191="",N191&lt;=0),0,IF((YEAR(D191)+17)&lt;YEAR(E191),0,IF((YEAR(D191)+17)&gt;=YEAR(E191)+N191,0,IF((YEAR(D191)+17)=YEAR(E191),(12-MONTH(E191)+1)/12,1))))))))*TaxRate,0))-IF(17=0,O191,0))</f>
        <v/>
      </c>
      <c r="AK191" s="29">
        <f>IF(A191="","",((K191)*(IF(M191="",L191,IFERROR(IF(INDEX(Variablen!$I:$AT, MATCH(M191, Variablen!$A:$A, 0), MATCH((YEAR(D191)+18), Variablen!$I$3:$AT$3, 0))="",L191,INDEX(Variablen!$I:$AT, MATCH(M191, Variablen!$A:$A, 0), MATCH((YEAR(D191)+18), Variablen!$I$3:$AT$3, 0))),L191)))*(IF((YEAR(D191)+18)&lt;YEAR(E191),0,IF((YEAR(D191)+18)&gt;YEAR(E191),1,(12-MONTH(E191)+1)/12))) + (Q191)*(IF((YEAR(D191)+18)&lt;YEAR(E191),0,IF((YEAR(D191)+18)&gt;YEAR(E191),1,(12-MONTH(E191)+1)/12))))-((P191)*(IF((YEAR(D191)+18)&lt;YEAR(E191),0,IF((YEAR(D191)+18)&gt;YEAR(E191),1,(12-MONTH(E191)+1)/12))) + (R191)*(IF((YEAR(D191)+18)&lt;YEAR(E191),0,IF((YEAR(D191)+18)&gt;YEAR(E191),1,(12-MONTH(E191)+1)/12))))-(IF((((K191)*(IF(M191="",L191,IFERROR(IF(INDEX(Variablen!$I:$AT, MATCH(M191, Variablen!$A:$A, 0), MATCH((YEAR(D191)+18), Variablen!$I$3:$AT$3, 0))="",L191,INDEX(Variablen!$I:$AT, MATCH(M191, Variablen!$A:$A, 0), MATCH((YEAR(D191)+18), Variablen!$I$3:$AT$3, 0))),L191)))*(IF((YEAR(D191)+18)&lt;YEAR(E191),0,IF((YEAR(D191)+18)&gt;YEAR(E191),1,(12-MONTH(E191)+1)/12))) + (Q191)*(IF((YEAR(D191)+18)&lt;YEAR(E191),0,IF((YEAR(D191)+18)&gt;YEAR(E191),1,(12-MONTH(E191)+1)/12))))-((P191)*(IF((YEAR(D191)+18)&lt;YEAR(E191),0,IF((YEAR(D191)+18)&gt;YEAR(E191),1,(12-MONTH(E191)+1)/12))) + (R191)*(IF((YEAR(D191)+18)&lt;YEAR(E191),0,IF((YEAR(D191)+18)&gt;YEAR(E191),1,(12-MONTH(E191)+1)/12))))-(IF(OR(N191="",N191&lt;=0),0,(O191/N191)*(IF(OR(N191="",N191&lt;=0),0,IF((YEAR(D191)+18)&lt;YEAR(E191),0,IF((YEAR(D191)+18)&gt;=YEAR(E191)+N191,0,IF((YEAR(D191)+18)=YEAR(E191),(12-MONTH(E191)+1)/12,1))))))))&gt;0,(((K191)*(IF(M191="",L191,IFERROR(IF(INDEX(Variablen!$I:$AT, MATCH(M191, Variablen!$A:$A, 0), MATCH((YEAR(D191)+18), Variablen!$I$3:$AT$3, 0))="",L191,INDEX(Variablen!$I:$AT, MATCH(M191, Variablen!$A:$A, 0), MATCH((YEAR(D191)+18), Variablen!$I$3:$AT$3, 0))),L191)))*(IF((YEAR(D191)+18)&lt;YEAR(E191),0,IF((YEAR(D191)+18)&gt;YEAR(E191),1,(12-MONTH(E191)+1)/12))) + (Q191)*(IF((YEAR(D191)+18)&lt;YEAR(E191),0,IF((YEAR(D191)+18)&gt;YEAR(E191),1,(12-MONTH(E191)+1)/12))))-((P191)*(IF((YEAR(D191)+18)&lt;YEAR(E191),0,IF((YEAR(D191)+18)&gt;YEAR(E191),1,(12-MONTH(E191)+1)/12))) + (R191)*(IF((YEAR(D191)+18)&lt;YEAR(E191),0,IF((YEAR(D191)+18)&gt;YEAR(E191),1,(12-MONTH(E191)+1)/12))))-(IF(OR(N191="",N191&lt;=0),0,(O191/N191)*(IF(OR(N191="",N191&lt;=0),0,IF((YEAR(D191)+18)&lt;YEAR(E191),0,IF((YEAR(D191)+18)&gt;=YEAR(E191)+N191,0,IF((YEAR(D191)+18)=YEAR(E191),(12-MONTH(E191)+1)/12,1))))))))*TaxRate,0))-IF(18=0,O191,0))</f>
        <v/>
      </c>
      <c r="AL191" s="29">
        <f>IF(A191="","",((K191)*(IF(M191="",L191,IFERROR(IF(INDEX(Variablen!$I:$AT, MATCH(M191, Variablen!$A:$A, 0), MATCH((YEAR(D191)+19), Variablen!$I$3:$AT$3, 0))="",L191,INDEX(Variablen!$I:$AT, MATCH(M191, Variablen!$A:$A, 0), MATCH((YEAR(D191)+19), Variablen!$I$3:$AT$3, 0))),L191)))*(IF((YEAR(D191)+19)&lt;YEAR(E191),0,IF((YEAR(D191)+19)&gt;YEAR(E191),1,(12-MONTH(E191)+1)/12))) + (Q191)*(IF((YEAR(D191)+19)&lt;YEAR(E191),0,IF((YEAR(D191)+19)&gt;YEAR(E191),1,(12-MONTH(E191)+1)/12))))-((P191)*(IF((YEAR(D191)+19)&lt;YEAR(E191),0,IF((YEAR(D191)+19)&gt;YEAR(E191),1,(12-MONTH(E191)+1)/12))) + (R191)*(IF((YEAR(D191)+19)&lt;YEAR(E191),0,IF((YEAR(D191)+19)&gt;YEAR(E191),1,(12-MONTH(E191)+1)/12))))-(IF((((K191)*(IF(M191="",L191,IFERROR(IF(INDEX(Variablen!$I:$AT, MATCH(M191, Variablen!$A:$A, 0), MATCH((YEAR(D191)+19), Variablen!$I$3:$AT$3, 0))="",L191,INDEX(Variablen!$I:$AT, MATCH(M191, Variablen!$A:$A, 0), MATCH((YEAR(D191)+19), Variablen!$I$3:$AT$3, 0))),L191)))*(IF((YEAR(D191)+19)&lt;YEAR(E191),0,IF((YEAR(D191)+19)&gt;YEAR(E191),1,(12-MONTH(E191)+1)/12))) + (Q191)*(IF((YEAR(D191)+19)&lt;YEAR(E191),0,IF((YEAR(D191)+19)&gt;YEAR(E191),1,(12-MONTH(E191)+1)/12))))-((P191)*(IF((YEAR(D191)+19)&lt;YEAR(E191),0,IF((YEAR(D191)+19)&gt;YEAR(E191),1,(12-MONTH(E191)+1)/12))) + (R191)*(IF((YEAR(D191)+19)&lt;YEAR(E191),0,IF((YEAR(D191)+19)&gt;YEAR(E191),1,(12-MONTH(E191)+1)/12))))-(IF(OR(N191="",N191&lt;=0),0,(O191/N191)*(IF(OR(N191="",N191&lt;=0),0,IF((YEAR(D191)+19)&lt;YEAR(E191),0,IF((YEAR(D191)+19)&gt;=YEAR(E191)+N191,0,IF((YEAR(D191)+19)=YEAR(E191),(12-MONTH(E191)+1)/12,1))))))))&gt;0,(((K191)*(IF(M191="",L191,IFERROR(IF(INDEX(Variablen!$I:$AT, MATCH(M191, Variablen!$A:$A, 0), MATCH((YEAR(D191)+19), Variablen!$I$3:$AT$3, 0))="",L191,INDEX(Variablen!$I:$AT, MATCH(M191, Variablen!$A:$A, 0), MATCH((YEAR(D191)+19), Variablen!$I$3:$AT$3, 0))),L191)))*(IF((YEAR(D191)+19)&lt;YEAR(E191),0,IF((YEAR(D191)+19)&gt;YEAR(E191),1,(12-MONTH(E191)+1)/12))) + (Q191)*(IF((YEAR(D191)+19)&lt;YEAR(E191),0,IF((YEAR(D191)+19)&gt;YEAR(E191),1,(12-MONTH(E191)+1)/12))))-((P191)*(IF((YEAR(D191)+19)&lt;YEAR(E191),0,IF((YEAR(D191)+19)&gt;YEAR(E191),1,(12-MONTH(E191)+1)/12))) + (R191)*(IF((YEAR(D191)+19)&lt;YEAR(E191),0,IF((YEAR(D191)+19)&gt;YEAR(E191),1,(12-MONTH(E191)+1)/12))))-(IF(OR(N191="",N191&lt;=0),0,(O191/N191)*(IF(OR(N191="",N191&lt;=0),0,IF((YEAR(D191)+19)&lt;YEAR(E191),0,IF((YEAR(D191)+19)&gt;=YEAR(E191)+N191,0,IF((YEAR(D191)+19)=YEAR(E191),(12-MONTH(E191)+1)/12,1))))))))*TaxRate,0))-IF(19=0,O191,0))</f>
        <v/>
      </c>
      <c r="AM191" s="29">
        <f>IF(A191="","",((K191)*(IF(M191="",L191,IFERROR(IF(INDEX(Variablen!$I:$AT, MATCH(M191, Variablen!$A:$A, 0), MATCH((YEAR(D191)+20), Variablen!$I$3:$AT$3, 0))="",L191,INDEX(Variablen!$I:$AT, MATCH(M191, Variablen!$A:$A, 0), MATCH((YEAR(D191)+20), Variablen!$I$3:$AT$3, 0))),L191)))*(IF((YEAR(D191)+20)&lt;YEAR(E191),0,IF((YEAR(D191)+20)&gt;YEAR(E191),1,(12-MONTH(E191)+1)/12))) + (Q191)*(IF((YEAR(D191)+20)&lt;YEAR(E191),0,IF((YEAR(D191)+20)&gt;YEAR(E191),1,(12-MONTH(E191)+1)/12))))-((P191)*(IF((YEAR(D191)+20)&lt;YEAR(E191),0,IF((YEAR(D191)+20)&gt;YEAR(E191),1,(12-MONTH(E191)+1)/12))) + (R191)*(IF((YEAR(D191)+20)&lt;YEAR(E191),0,IF((YEAR(D191)+20)&gt;YEAR(E191),1,(12-MONTH(E191)+1)/12))))-(IF((((K191)*(IF(M191="",L191,IFERROR(IF(INDEX(Variablen!$I:$AT, MATCH(M191, Variablen!$A:$A, 0), MATCH((YEAR(D191)+20), Variablen!$I$3:$AT$3, 0))="",L191,INDEX(Variablen!$I:$AT, MATCH(M191, Variablen!$A:$A, 0), MATCH((YEAR(D191)+20), Variablen!$I$3:$AT$3, 0))),L191)))*(IF((YEAR(D191)+20)&lt;YEAR(E191),0,IF((YEAR(D191)+20)&gt;YEAR(E191),1,(12-MONTH(E191)+1)/12))) + (Q191)*(IF((YEAR(D191)+20)&lt;YEAR(E191),0,IF((YEAR(D191)+20)&gt;YEAR(E191),1,(12-MONTH(E191)+1)/12))))-((P191)*(IF((YEAR(D191)+20)&lt;YEAR(E191),0,IF((YEAR(D191)+20)&gt;YEAR(E191),1,(12-MONTH(E191)+1)/12))) + (R191)*(IF((YEAR(D191)+20)&lt;YEAR(E191),0,IF((YEAR(D191)+20)&gt;YEAR(E191),1,(12-MONTH(E191)+1)/12))))-(IF(OR(N191="",N191&lt;=0),0,(O191/N191)*(IF(OR(N191="",N191&lt;=0),0,IF((YEAR(D191)+20)&lt;YEAR(E191),0,IF((YEAR(D191)+20)&gt;=YEAR(E191)+N191,0,IF((YEAR(D191)+20)=YEAR(E191),(12-MONTH(E191)+1)/12,1))))))))&gt;0,(((K191)*(IF(M191="",L191,IFERROR(IF(INDEX(Variablen!$I:$AT, MATCH(M191, Variablen!$A:$A, 0), MATCH((YEAR(D191)+20), Variablen!$I$3:$AT$3, 0))="",L191,INDEX(Variablen!$I:$AT, MATCH(M191, Variablen!$A:$A, 0), MATCH((YEAR(D191)+20), Variablen!$I$3:$AT$3, 0))),L191)))*(IF((YEAR(D191)+20)&lt;YEAR(E191),0,IF((YEAR(D191)+20)&gt;YEAR(E191),1,(12-MONTH(E191)+1)/12))) + (Q191)*(IF((YEAR(D191)+20)&lt;YEAR(E191),0,IF((YEAR(D191)+20)&gt;YEAR(E191),1,(12-MONTH(E191)+1)/12))))-((P191)*(IF((YEAR(D191)+20)&lt;YEAR(E191),0,IF((YEAR(D191)+20)&gt;YEAR(E191),1,(12-MONTH(E191)+1)/12))) + (R191)*(IF((YEAR(D191)+20)&lt;YEAR(E191),0,IF((YEAR(D191)+20)&gt;YEAR(E191),1,(12-MONTH(E191)+1)/12))))-(IF(OR(N191="",N191&lt;=0),0,(O191/N191)*(IF(OR(N191="",N191&lt;=0),0,IF((YEAR(D191)+20)&lt;YEAR(E191),0,IF((YEAR(D191)+20)&gt;=YEAR(E191)+N191,0,IF((YEAR(D191)+20)=YEAR(E191),(12-MONTH(E191)+1)/12,1))))))))*TaxRate,0))-IF(20=0,O191,0))</f>
        <v/>
      </c>
      <c r="AN191" s="29">
        <f>IF(A191="","",S191)</f>
        <v/>
      </c>
      <c r="AO191" s="29">
        <f>IF(A191="","",AN191+T191)</f>
        <v/>
      </c>
      <c r="AP191" s="29">
        <f>IF(A191="","",AO191+U191)</f>
        <v/>
      </c>
      <c r="AQ191" s="29">
        <f>IF(A191="","",AP191+V191)</f>
        <v/>
      </c>
      <c r="AR191" s="29">
        <f>IF(A191="","",AQ191+W191)</f>
        <v/>
      </c>
      <c r="AS191" s="29">
        <f>IF(A191="","",AR191+X191)</f>
        <v/>
      </c>
      <c r="AT191" s="29">
        <f>IF(A191="","",AS191+Y191)</f>
        <v/>
      </c>
      <c r="AU191" s="29">
        <f>IF(A191="","",AT191+Z191)</f>
        <v/>
      </c>
      <c r="AV191" s="29">
        <f>IF(A191="","",AU191+AA191)</f>
        <v/>
      </c>
      <c r="AW191" s="29">
        <f>IF(A191="","",AV191+AB191)</f>
        <v/>
      </c>
      <c r="AX191" s="29">
        <f>IF(A191="","",AW191+AC191)</f>
        <v/>
      </c>
      <c r="AY191" s="29">
        <f>IF(A191="","",AX191+AD191)</f>
        <v/>
      </c>
      <c r="AZ191" s="29">
        <f>IF(A191="","",AY191+AE191)</f>
        <v/>
      </c>
      <c r="BA191" s="29">
        <f>IF(A191="","",AZ191+AF191)</f>
        <v/>
      </c>
      <c r="BB191" s="29">
        <f>IF(A191="","",BA191+AG191)</f>
        <v/>
      </c>
      <c r="BC191" s="29">
        <f>IF(A191="","",BB191+AH191)</f>
        <v/>
      </c>
      <c r="BD191" s="29">
        <f>IF(A191="","",BC191+AI191)</f>
        <v/>
      </c>
      <c r="BE191" s="29">
        <f>IF(A191="","",BD191+AJ191)</f>
        <v/>
      </c>
      <c r="BF191" s="29">
        <f>IF(A191="","",BE191+AK191)</f>
        <v/>
      </c>
      <c r="BG191" s="29">
        <f>IF(A191="","",BF191+AL191)</f>
        <v/>
      </c>
      <c r="BH191" s="29">
        <f>IF(A191="","",BG191+AM191)</f>
        <v/>
      </c>
      <c r="BI191" s="36">
        <f>IF(A191="","",(K191)*(IF((YEAR(D191)+0)&lt;YEAR(E191),0,IF((YEAR(D191)+0)&gt;YEAR(E191),1,(12-MONTH(E191)+1)/12)))*(1/(1+DiscountRate)^0))</f>
        <v/>
      </c>
      <c r="BJ191" s="36">
        <f>IF(A191="","",(K191)*(IF((YEAR(D191)+1)&lt;YEAR(E191),0,IF((YEAR(D191)+1)&gt;YEAR(E191),1,(12-MONTH(E191)+1)/12)))*(1/(1+DiscountRate)^1))</f>
        <v/>
      </c>
      <c r="BK191" s="36">
        <f>IF(A191="","",(K191)*(IF((YEAR(D191)+2)&lt;YEAR(E191),0,IF((YEAR(D191)+2)&gt;YEAR(E191),1,(12-MONTH(E191)+1)/12)))*(1/(1+DiscountRate)^2))</f>
        <v/>
      </c>
      <c r="BL191" s="36">
        <f>IF(A191="","",(K191)*(IF((YEAR(D191)+3)&lt;YEAR(E191),0,IF((YEAR(D191)+3)&gt;YEAR(E191),1,(12-MONTH(E191)+1)/12)))*(1/(1+DiscountRate)^3))</f>
        <v/>
      </c>
      <c r="BM191" s="36">
        <f>IF(A191="","",(K191)*(IF((YEAR(D191)+4)&lt;YEAR(E191),0,IF((YEAR(D191)+4)&gt;YEAR(E191),1,(12-MONTH(E191)+1)/12)))*(1/(1+DiscountRate)^4))</f>
        <v/>
      </c>
      <c r="BN191" s="36">
        <f>IF(A191="","",(K191)*(IF((YEAR(D191)+5)&lt;YEAR(E191),0,IF((YEAR(D191)+5)&gt;YEAR(E191),1,(12-MONTH(E191)+1)/12)))*(1/(1+DiscountRate)^5))</f>
        <v/>
      </c>
      <c r="BO191" s="36">
        <f>IF(A191="","",(K191)*(IF((YEAR(D191)+6)&lt;YEAR(E191),0,IF((YEAR(D191)+6)&gt;YEAR(E191),1,(12-MONTH(E191)+1)/12)))*(1/(1+DiscountRate)^6))</f>
        <v/>
      </c>
      <c r="BP191" s="36">
        <f>IF(A191="","",(K191)*(IF((YEAR(D191)+7)&lt;YEAR(E191),0,IF((YEAR(D191)+7)&gt;YEAR(E191),1,(12-MONTH(E191)+1)/12)))*(1/(1+DiscountRate)^7))</f>
        <v/>
      </c>
      <c r="BQ191" s="36">
        <f>IF(A191="","",(K191)*(IF((YEAR(D191)+8)&lt;YEAR(E191),0,IF((YEAR(D191)+8)&gt;YEAR(E191),1,(12-MONTH(E191)+1)/12)))*(1/(1+DiscountRate)^8))</f>
        <v/>
      </c>
      <c r="BR191" s="36">
        <f>IF(A191="","",(K191)*(IF((YEAR(D191)+9)&lt;YEAR(E191),0,IF((YEAR(D191)+9)&gt;YEAR(E191),1,(12-MONTH(E191)+1)/12)))*(1/(1+DiscountRate)^9))</f>
        <v/>
      </c>
      <c r="BS191" s="36">
        <f>IF(A191="","",(K191)*(IF((YEAR(D191)+10)&lt;YEAR(E191),0,IF((YEAR(D191)+10)&gt;YEAR(E191),1,(12-MONTH(E191)+1)/12)))*(1/(1+DiscountRate)^10))</f>
        <v/>
      </c>
      <c r="BT191" s="36">
        <f>IF(A191="","",(K191)*(IF((YEAR(D191)+11)&lt;YEAR(E191),0,IF((YEAR(D191)+11)&gt;YEAR(E191),1,(12-MONTH(E191)+1)/12)))*(1/(1+DiscountRate)^11))</f>
        <v/>
      </c>
      <c r="BU191" s="36">
        <f>IF(A191="","",(K191)*(IF((YEAR(D191)+12)&lt;YEAR(E191),0,IF((YEAR(D191)+12)&gt;YEAR(E191),1,(12-MONTH(E191)+1)/12)))*(1/(1+DiscountRate)^12))</f>
        <v/>
      </c>
      <c r="BV191" s="36">
        <f>IF(A191="","",(K191)*(IF((YEAR(D191)+13)&lt;YEAR(E191),0,IF((YEAR(D191)+13)&gt;YEAR(E191),1,(12-MONTH(E191)+1)/12)))*(1/(1+DiscountRate)^13))</f>
        <v/>
      </c>
      <c r="BW191" s="36">
        <f>IF(A191="","",(K191)*(IF((YEAR(D191)+14)&lt;YEAR(E191),0,IF((YEAR(D191)+14)&gt;YEAR(E191),1,(12-MONTH(E191)+1)/12)))*(1/(1+DiscountRate)^14))</f>
        <v/>
      </c>
      <c r="BX191" s="36">
        <f>IF(A191="","",(K191)*(IF((YEAR(D191)+15)&lt;YEAR(E191),0,IF((YEAR(D191)+15)&gt;YEAR(E191),1,(12-MONTH(E191)+1)/12)))*(1/(1+DiscountRate)^15))</f>
        <v/>
      </c>
      <c r="BY191" s="36">
        <f>IF(A191="","",(K191)*(IF((YEAR(D191)+16)&lt;YEAR(E191),0,IF((YEAR(D191)+16)&gt;YEAR(E191),1,(12-MONTH(E191)+1)/12)))*(1/(1+DiscountRate)^16))</f>
        <v/>
      </c>
      <c r="BZ191" s="36">
        <f>IF(A191="","",(K191)*(IF((YEAR(D191)+17)&lt;YEAR(E191),0,IF((YEAR(D191)+17)&gt;YEAR(E191),1,(12-MONTH(E191)+1)/12)))*(1/(1+DiscountRate)^17))</f>
        <v/>
      </c>
      <c r="CA191" s="36">
        <f>IF(A191="","",(K191)*(IF((YEAR(D191)+18)&lt;YEAR(E191),0,IF((YEAR(D191)+18)&gt;YEAR(E191),1,(12-MONTH(E191)+1)/12)))*(1/(1+DiscountRate)^18))</f>
        <v/>
      </c>
      <c r="CB191" s="36">
        <f>IF(A191="","",(K191)*(IF((YEAR(D191)+19)&lt;YEAR(E191),0,IF((YEAR(D191)+19)&gt;YEAR(E191),1,(12-MONTH(E191)+1)/12)))*(1/(1+DiscountRate)^19))</f>
        <v/>
      </c>
      <c r="CC191" s="36">
        <f>IF(A191="","",(K191)*(IF((YEAR(D191)+20)&lt;YEAR(E191),0,IF((YEAR(D191)+20)&gt;YEAR(E191),1,(12-MONTH(E191)+1)/12)))*(1/(1+DiscountRate)^20))</f>
        <v/>
      </c>
      <c r="CD191" s="29">
        <f>IF(A191="","",S191/(1+DiscountRate)^0+T191/(1+DiscountRate)^1+U191/(1+DiscountRate)^2+V191/(1+DiscountRate)^3+W191/(1+DiscountRate)^4+X191/(1+DiscountRate)^5+Y191/(1+DiscountRate)^6+Z191/(1+DiscountRate)^7+AA191/(1+DiscountRate)^8+AB191/(1+DiscountRate)^9+AC191/(1+DiscountRate)^10+AD191/(1+DiscountRate)^11+AE191/(1+DiscountRate)^12+AF191/(1+DiscountRate)^13+AG191/(1+DiscountRate)^14+AH191/(1+DiscountRate)^15+AI191/(1+DiscountRate)^16+AJ191/(1+DiscountRate)^17+AK191/(1+DiscountRate)^18+AL191/(1+DiscountRate)^19+AM191/(1+DiscountRate)^20)</f>
        <v/>
      </c>
      <c r="CE191" s="37">
        <f>IF(A191="","",IFERROR(IRR(OFFSET(S191,0,0,1,MIN(HorizonYears,20)+1)),"n/a"))</f>
        <v/>
      </c>
      <c r="CF191" s="28">
        <f>IF(A191="","",IFERROR(MATCH(TRUE,OFFSET(AN191,0,0,1,MIN(HorizonYears,20)+1)&gt;=0,0)-1,"n/a"))</f>
        <v/>
      </c>
      <c r="CG191" s="36">
        <f>IF(A191="","",SUM(OFFSET(BI191,0,0,1,MIN(HorizonYears,20)+1)))</f>
        <v/>
      </c>
      <c r="CH191" s="36">
        <f>IF(A191="","",IFERROR(-CD191/CG191,"n/a"))</f>
        <v/>
      </c>
    </row>
    <row r="192">
      <c r="A192" s="6">
        <f>Actions!A190</f>
        <v/>
      </c>
      <c r="B192" s="6">
        <f>Actions!B190</f>
        <v/>
      </c>
      <c r="C192" s="6">
        <f>Actions!D190</f>
        <v/>
      </c>
      <c r="D192" s="35">
        <f>Actions!E190</f>
        <v/>
      </c>
      <c r="E192" s="35">
        <f>Actions!F190</f>
        <v/>
      </c>
      <c r="F192" s="6">
        <f>Actions!G190</f>
        <v/>
      </c>
      <c r="G192" s="6">
        <f>Actions!H190</f>
        <v/>
      </c>
      <c r="H192" s="29">
        <f>Actions!I190</f>
        <v/>
      </c>
      <c r="I192" s="6">
        <f>Actions!J190</f>
        <v/>
      </c>
      <c r="J192" s="16">
        <f>Actions!K190</f>
        <v/>
      </c>
      <c r="K192" s="16">
        <f>IF(A192="","",IF(I192="%",H192*J192,J192))</f>
        <v/>
      </c>
      <c r="L192" s="16">
        <f>Actions!L190</f>
        <v/>
      </c>
      <c r="M192" s="6">
        <f>Actions!M190</f>
        <v/>
      </c>
      <c r="N192" s="28">
        <f>Actions!N190</f>
        <v/>
      </c>
      <c r="O192" s="29">
        <f>Actions!T190</f>
        <v/>
      </c>
      <c r="P192" s="29">
        <f>Actions!Y190</f>
        <v/>
      </c>
      <c r="Q192" s="29">
        <f>Actions!Z190</f>
        <v/>
      </c>
      <c r="R192" s="29">
        <f>Actions!AA190</f>
        <v/>
      </c>
      <c r="S192" s="29">
        <f>IF(A192="","",((K192)*(IF(M192="",L192,IFERROR(IF(INDEX(Variablen!$I:$AT, MATCH(M192, Variablen!$A:$A, 0), MATCH((YEAR(D192)+0), Variablen!$I$3:$AT$3, 0))="",L192,INDEX(Variablen!$I:$AT, MATCH(M192, Variablen!$A:$A, 0), MATCH((YEAR(D192)+0), Variablen!$I$3:$AT$3, 0))),L192)))*(IF((YEAR(D192)+0)&lt;YEAR(E192),0,IF((YEAR(D192)+0)&gt;YEAR(E192),1,(12-MONTH(E192)+1)/12))) + (Q192)*(IF((YEAR(D192)+0)&lt;YEAR(E192),0,IF((YEAR(D192)+0)&gt;YEAR(E192),1,(12-MONTH(E192)+1)/12))))-((P192)*(IF((YEAR(D192)+0)&lt;YEAR(E192),0,IF((YEAR(D192)+0)&gt;YEAR(E192),1,(12-MONTH(E192)+1)/12))) + (R192)*(IF((YEAR(D192)+0)&lt;YEAR(E192),0,IF((YEAR(D192)+0)&gt;YEAR(E192),1,(12-MONTH(E192)+1)/12))))-(IF((((K192)*(IF(M192="",L192,IFERROR(IF(INDEX(Variablen!$I:$AT, MATCH(M192, Variablen!$A:$A, 0), MATCH((YEAR(D192)+0), Variablen!$I$3:$AT$3, 0))="",L192,INDEX(Variablen!$I:$AT, MATCH(M192, Variablen!$A:$A, 0), MATCH((YEAR(D192)+0), Variablen!$I$3:$AT$3, 0))),L192)))*(IF((YEAR(D192)+0)&lt;YEAR(E192),0,IF((YEAR(D192)+0)&gt;YEAR(E192),1,(12-MONTH(E192)+1)/12))) + (Q192)*(IF((YEAR(D192)+0)&lt;YEAR(E192),0,IF((YEAR(D192)+0)&gt;YEAR(E192),1,(12-MONTH(E192)+1)/12))))-((P192)*(IF((YEAR(D192)+0)&lt;YEAR(E192),0,IF((YEAR(D192)+0)&gt;YEAR(E192),1,(12-MONTH(E192)+1)/12))) + (R192)*(IF((YEAR(D192)+0)&lt;YEAR(E192),0,IF((YEAR(D192)+0)&gt;YEAR(E192),1,(12-MONTH(E192)+1)/12))))-(IF(OR(N192="",N192&lt;=0),0,(O192/N192)*(IF(OR(N192="",N192&lt;=0),0,IF((YEAR(D192)+0)&lt;YEAR(E192),0,IF((YEAR(D192)+0)&gt;=YEAR(E192)+N192,0,IF((YEAR(D192)+0)=YEAR(E192),(12-MONTH(E192)+1)/12,1))))))))&gt;0,(((K192)*(IF(M192="",L192,IFERROR(IF(INDEX(Variablen!$I:$AT, MATCH(M192, Variablen!$A:$A, 0), MATCH((YEAR(D192)+0), Variablen!$I$3:$AT$3, 0))="",L192,INDEX(Variablen!$I:$AT, MATCH(M192, Variablen!$A:$A, 0), MATCH((YEAR(D192)+0), Variablen!$I$3:$AT$3, 0))),L192)))*(IF((YEAR(D192)+0)&lt;YEAR(E192),0,IF((YEAR(D192)+0)&gt;YEAR(E192),1,(12-MONTH(E192)+1)/12))) + (Q192)*(IF((YEAR(D192)+0)&lt;YEAR(E192),0,IF((YEAR(D192)+0)&gt;YEAR(E192),1,(12-MONTH(E192)+1)/12))))-((P192)*(IF((YEAR(D192)+0)&lt;YEAR(E192),0,IF((YEAR(D192)+0)&gt;YEAR(E192),1,(12-MONTH(E192)+1)/12))) + (R192)*(IF((YEAR(D192)+0)&lt;YEAR(E192),0,IF((YEAR(D192)+0)&gt;YEAR(E192),1,(12-MONTH(E192)+1)/12))))-(IF(OR(N192="",N192&lt;=0),0,(O192/N192)*(IF(OR(N192="",N192&lt;=0),0,IF((YEAR(D192)+0)&lt;YEAR(E192),0,IF((YEAR(D192)+0)&gt;=YEAR(E192)+N192,0,IF((YEAR(D192)+0)=YEAR(E192),(12-MONTH(E192)+1)/12,1))))))))*TaxRate,0))-IF(0=0,O192,0))</f>
        <v/>
      </c>
      <c r="T192" s="29">
        <f>IF(A192="","",((K192)*(IF(M192="",L192,IFERROR(IF(INDEX(Variablen!$I:$AT, MATCH(M192, Variablen!$A:$A, 0), MATCH((YEAR(D192)+1), Variablen!$I$3:$AT$3, 0))="",L192,INDEX(Variablen!$I:$AT, MATCH(M192, Variablen!$A:$A, 0), MATCH((YEAR(D192)+1), Variablen!$I$3:$AT$3, 0))),L192)))*(IF((YEAR(D192)+1)&lt;YEAR(E192),0,IF((YEAR(D192)+1)&gt;YEAR(E192),1,(12-MONTH(E192)+1)/12))) + (Q192)*(IF((YEAR(D192)+1)&lt;YEAR(E192),0,IF((YEAR(D192)+1)&gt;YEAR(E192),1,(12-MONTH(E192)+1)/12))))-((P192)*(IF((YEAR(D192)+1)&lt;YEAR(E192),0,IF((YEAR(D192)+1)&gt;YEAR(E192),1,(12-MONTH(E192)+1)/12))) + (R192)*(IF((YEAR(D192)+1)&lt;YEAR(E192),0,IF((YEAR(D192)+1)&gt;YEAR(E192),1,(12-MONTH(E192)+1)/12))))-(IF((((K192)*(IF(M192="",L192,IFERROR(IF(INDEX(Variablen!$I:$AT, MATCH(M192, Variablen!$A:$A, 0), MATCH((YEAR(D192)+1), Variablen!$I$3:$AT$3, 0))="",L192,INDEX(Variablen!$I:$AT, MATCH(M192, Variablen!$A:$A, 0), MATCH((YEAR(D192)+1), Variablen!$I$3:$AT$3, 0))),L192)))*(IF((YEAR(D192)+1)&lt;YEAR(E192),0,IF((YEAR(D192)+1)&gt;YEAR(E192),1,(12-MONTH(E192)+1)/12))) + (Q192)*(IF((YEAR(D192)+1)&lt;YEAR(E192),0,IF((YEAR(D192)+1)&gt;YEAR(E192),1,(12-MONTH(E192)+1)/12))))-((P192)*(IF((YEAR(D192)+1)&lt;YEAR(E192),0,IF((YEAR(D192)+1)&gt;YEAR(E192),1,(12-MONTH(E192)+1)/12))) + (R192)*(IF((YEAR(D192)+1)&lt;YEAR(E192),0,IF((YEAR(D192)+1)&gt;YEAR(E192),1,(12-MONTH(E192)+1)/12))))-(IF(OR(N192="",N192&lt;=0),0,(O192/N192)*(IF(OR(N192="",N192&lt;=0),0,IF((YEAR(D192)+1)&lt;YEAR(E192),0,IF((YEAR(D192)+1)&gt;=YEAR(E192)+N192,0,IF((YEAR(D192)+1)=YEAR(E192),(12-MONTH(E192)+1)/12,1))))))))&gt;0,(((K192)*(IF(M192="",L192,IFERROR(IF(INDEX(Variablen!$I:$AT, MATCH(M192, Variablen!$A:$A, 0), MATCH((YEAR(D192)+1), Variablen!$I$3:$AT$3, 0))="",L192,INDEX(Variablen!$I:$AT, MATCH(M192, Variablen!$A:$A, 0), MATCH((YEAR(D192)+1), Variablen!$I$3:$AT$3, 0))),L192)))*(IF((YEAR(D192)+1)&lt;YEAR(E192),0,IF((YEAR(D192)+1)&gt;YEAR(E192),1,(12-MONTH(E192)+1)/12))) + (Q192)*(IF((YEAR(D192)+1)&lt;YEAR(E192),0,IF((YEAR(D192)+1)&gt;YEAR(E192),1,(12-MONTH(E192)+1)/12))))-((P192)*(IF((YEAR(D192)+1)&lt;YEAR(E192),0,IF((YEAR(D192)+1)&gt;YEAR(E192),1,(12-MONTH(E192)+1)/12))) + (R192)*(IF((YEAR(D192)+1)&lt;YEAR(E192),0,IF((YEAR(D192)+1)&gt;YEAR(E192),1,(12-MONTH(E192)+1)/12))))-(IF(OR(N192="",N192&lt;=0),0,(O192/N192)*(IF(OR(N192="",N192&lt;=0),0,IF((YEAR(D192)+1)&lt;YEAR(E192),0,IF((YEAR(D192)+1)&gt;=YEAR(E192)+N192,0,IF((YEAR(D192)+1)=YEAR(E192),(12-MONTH(E192)+1)/12,1))))))))*TaxRate,0))-IF(1=0,O192,0))</f>
        <v/>
      </c>
      <c r="U192" s="29">
        <f>IF(A192="","",((K192)*(IF(M192="",L192,IFERROR(IF(INDEX(Variablen!$I:$AT, MATCH(M192, Variablen!$A:$A, 0), MATCH((YEAR(D192)+2), Variablen!$I$3:$AT$3, 0))="",L192,INDEX(Variablen!$I:$AT, MATCH(M192, Variablen!$A:$A, 0), MATCH((YEAR(D192)+2), Variablen!$I$3:$AT$3, 0))),L192)))*(IF((YEAR(D192)+2)&lt;YEAR(E192),0,IF((YEAR(D192)+2)&gt;YEAR(E192),1,(12-MONTH(E192)+1)/12))) + (Q192)*(IF((YEAR(D192)+2)&lt;YEAR(E192),0,IF((YEAR(D192)+2)&gt;YEAR(E192),1,(12-MONTH(E192)+1)/12))))-((P192)*(IF((YEAR(D192)+2)&lt;YEAR(E192),0,IF((YEAR(D192)+2)&gt;YEAR(E192),1,(12-MONTH(E192)+1)/12))) + (R192)*(IF((YEAR(D192)+2)&lt;YEAR(E192),0,IF((YEAR(D192)+2)&gt;YEAR(E192),1,(12-MONTH(E192)+1)/12))))-(IF((((K192)*(IF(M192="",L192,IFERROR(IF(INDEX(Variablen!$I:$AT, MATCH(M192, Variablen!$A:$A, 0), MATCH((YEAR(D192)+2), Variablen!$I$3:$AT$3, 0))="",L192,INDEX(Variablen!$I:$AT, MATCH(M192, Variablen!$A:$A, 0), MATCH((YEAR(D192)+2), Variablen!$I$3:$AT$3, 0))),L192)))*(IF((YEAR(D192)+2)&lt;YEAR(E192),0,IF((YEAR(D192)+2)&gt;YEAR(E192),1,(12-MONTH(E192)+1)/12))) + (Q192)*(IF((YEAR(D192)+2)&lt;YEAR(E192),0,IF((YEAR(D192)+2)&gt;YEAR(E192),1,(12-MONTH(E192)+1)/12))))-((P192)*(IF((YEAR(D192)+2)&lt;YEAR(E192),0,IF((YEAR(D192)+2)&gt;YEAR(E192),1,(12-MONTH(E192)+1)/12))) + (R192)*(IF((YEAR(D192)+2)&lt;YEAR(E192),0,IF((YEAR(D192)+2)&gt;YEAR(E192),1,(12-MONTH(E192)+1)/12))))-(IF(OR(N192="",N192&lt;=0),0,(O192/N192)*(IF(OR(N192="",N192&lt;=0),0,IF((YEAR(D192)+2)&lt;YEAR(E192),0,IF((YEAR(D192)+2)&gt;=YEAR(E192)+N192,0,IF((YEAR(D192)+2)=YEAR(E192),(12-MONTH(E192)+1)/12,1))))))))&gt;0,(((K192)*(IF(M192="",L192,IFERROR(IF(INDEX(Variablen!$I:$AT, MATCH(M192, Variablen!$A:$A, 0), MATCH((YEAR(D192)+2), Variablen!$I$3:$AT$3, 0))="",L192,INDEX(Variablen!$I:$AT, MATCH(M192, Variablen!$A:$A, 0), MATCH((YEAR(D192)+2), Variablen!$I$3:$AT$3, 0))),L192)))*(IF((YEAR(D192)+2)&lt;YEAR(E192),0,IF((YEAR(D192)+2)&gt;YEAR(E192),1,(12-MONTH(E192)+1)/12))) + (Q192)*(IF((YEAR(D192)+2)&lt;YEAR(E192),0,IF((YEAR(D192)+2)&gt;YEAR(E192),1,(12-MONTH(E192)+1)/12))))-((P192)*(IF((YEAR(D192)+2)&lt;YEAR(E192),0,IF((YEAR(D192)+2)&gt;YEAR(E192),1,(12-MONTH(E192)+1)/12))) + (R192)*(IF((YEAR(D192)+2)&lt;YEAR(E192),0,IF((YEAR(D192)+2)&gt;YEAR(E192),1,(12-MONTH(E192)+1)/12))))-(IF(OR(N192="",N192&lt;=0),0,(O192/N192)*(IF(OR(N192="",N192&lt;=0),0,IF((YEAR(D192)+2)&lt;YEAR(E192),0,IF((YEAR(D192)+2)&gt;=YEAR(E192)+N192,0,IF((YEAR(D192)+2)=YEAR(E192),(12-MONTH(E192)+1)/12,1))))))))*TaxRate,0))-IF(2=0,O192,0))</f>
        <v/>
      </c>
      <c r="V192" s="29">
        <f>IF(A192="","",((K192)*(IF(M192="",L192,IFERROR(IF(INDEX(Variablen!$I:$AT, MATCH(M192, Variablen!$A:$A, 0), MATCH((YEAR(D192)+3), Variablen!$I$3:$AT$3, 0))="",L192,INDEX(Variablen!$I:$AT, MATCH(M192, Variablen!$A:$A, 0), MATCH((YEAR(D192)+3), Variablen!$I$3:$AT$3, 0))),L192)))*(IF((YEAR(D192)+3)&lt;YEAR(E192),0,IF((YEAR(D192)+3)&gt;YEAR(E192),1,(12-MONTH(E192)+1)/12))) + (Q192)*(IF((YEAR(D192)+3)&lt;YEAR(E192),0,IF((YEAR(D192)+3)&gt;YEAR(E192),1,(12-MONTH(E192)+1)/12))))-((P192)*(IF((YEAR(D192)+3)&lt;YEAR(E192),0,IF((YEAR(D192)+3)&gt;YEAR(E192),1,(12-MONTH(E192)+1)/12))) + (R192)*(IF((YEAR(D192)+3)&lt;YEAR(E192),0,IF((YEAR(D192)+3)&gt;YEAR(E192),1,(12-MONTH(E192)+1)/12))))-(IF((((K192)*(IF(M192="",L192,IFERROR(IF(INDEX(Variablen!$I:$AT, MATCH(M192, Variablen!$A:$A, 0), MATCH((YEAR(D192)+3), Variablen!$I$3:$AT$3, 0))="",L192,INDEX(Variablen!$I:$AT, MATCH(M192, Variablen!$A:$A, 0), MATCH((YEAR(D192)+3), Variablen!$I$3:$AT$3, 0))),L192)))*(IF((YEAR(D192)+3)&lt;YEAR(E192),0,IF((YEAR(D192)+3)&gt;YEAR(E192),1,(12-MONTH(E192)+1)/12))) + (Q192)*(IF((YEAR(D192)+3)&lt;YEAR(E192),0,IF((YEAR(D192)+3)&gt;YEAR(E192),1,(12-MONTH(E192)+1)/12))))-((P192)*(IF((YEAR(D192)+3)&lt;YEAR(E192),0,IF((YEAR(D192)+3)&gt;YEAR(E192),1,(12-MONTH(E192)+1)/12))) + (R192)*(IF((YEAR(D192)+3)&lt;YEAR(E192),0,IF((YEAR(D192)+3)&gt;YEAR(E192),1,(12-MONTH(E192)+1)/12))))-(IF(OR(N192="",N192&lt;=0),0,(O192/N192)*(IF(OR(N192="",N192&lt;=0),0,IF((YEAR(D192)+3)&lt;YEAR(E192),0,IF((YEAR(D192)+3)&gt;=YEAR(E192)+N192,0,IF((YEAR(D192)+3)=YEAR(E192),(12-MONTH(E192)+1)/12,1))))))))&gt;0,(((K192)*(IF(M192="",L192,IFERROR(IF(INDEX(Variablen!$I:$AT, MATCH(M192, Variablen!$A:$A, 0), MATCH((YEAR(D192)+3), Variablen!$I$3:$AT$3, 0))="",L192,INDEX(Variablen!$I:$AT, MATCH(M192, Variablen!$A:$A, 0), MATCH((YEAR(D192)+3), Variablen!$I$3:$AT$3, 0))),L192)))*(IF((YEAR(D192)+3)&lt;YEAR(E192),0,IF((YEAR(D192)+3)&gt;YEAR(E192),1,(12-MONTH(E192)+1)/12))) + (Q192)*(IF((YEAR(D192)+3)&lt;YEAR(E192),0,IF((YEAR(D192)+3)&gt;YEAR(E192),1,(12-MONTH(E192)+1)/12))))-((P192)*(IF((YEAR(D192)+3)&lt;YEAR(E192),0,IF((YEAR(D192)+3)&gt;YEAR(E192),1,(12-MONTH(E192)+1)/12))) + (R192)*(IF((YEAR(D192)+3)&lt;YEAR(E192),0,IF((YEAR(D192)+3)&gt;YEAR(E192),1,(12-MONTH(E192)+1)/12))))-(IF(OR(N192="",N192&lt;=0),0,(O192/N192)*(IF(OR(N192="",N192&lt;=0),0,IF((YEAR(D192)+3)&lt;YEAR(E192),0,IF((YEAR(D192)+3)&gt;=YEAR(E192)+N192,0,IF((YEAR(D192)+3)=YEAR(E192),(12-MONTH(E192)+1)/12,1))))))))*TaxRate,0))-IF(3=0,O192,0))</f>
        <v/>
      </c>
      <c r="W192" s="29">
        <f>IF(A192="","",((K192)*(IF(M192="",L192,IFERROR(IF(INDEX(Variablen!$I:$AT, MATCH(M192, Variablen!$A:$A, 0), MATCH((YEAR(D192)+4), Variablen!$I$3:$AT$3, 0))="",L192,INDEX(Variablen!$I:$AT, MATCH(M192, Variablen!$A:$A, 0), MATCH((YEAR(D192)+4), Variablen!$I$3:$AT$3, 0))),L192)))*(IF((YEAR(D192)+4)&lt;YEAR(E192),0,IF((YEAR(D192)+4)&gt;YEAR(E192),1,(12-MONTH(E192)+1)/12))) + (Q192)*(IF((YEAR(D192)+4)&lt;YEAR(E192),0,IF((YEAR(D192)+4)&gt;YEAR(E192),1,(12-MONTH(E192)+1)/12))))-((P192)*(IF((YEAR(D192)+4)&lt;YEAR(E192),0,IF((YEAR(D192)+4)&gt;YEAR(E192),1,(12-MONTH(E192)+1)/12))) + (R192)*(IF((YEAR(D192)+4)&lt;YEAR(E192),0,IF((YEAR(D192)+4)&gt;YEAR(E192),1,(12-MONTH(E192)+1)/12))))-(IF((((K192)*(IF(M192="",L192,IFERROR(IF(INDEX(Variablen!$I:$AT, MATCH(M192, Variablen!$A:$A, 0), MATCH((YEAR(D192)+4), Variablen!$I$3:$AT$3, 0))="",L192,INDEX(Variablen!$I:$AT, MATCH(M192, Variablen!$A:$A, 0), MATCH((YEAR(D192)+4), Variablen!$I$3:$AT$3, 0))),L192)))*(IF((YEAR(D192)+4)&lt;YEAR(E192),0,IF((YEAR(D192)+4)&gt;YEAR(E192),1,(12-MONTH(E192)+1)/12))) + (Q192)*(IF((YEAR(D192)+4)&lt;YEAR(E192),0,IF((YEAR(D192)+4)&gt;YEAR(E192),1,(12-MONTH(E192)+1)/12))))-((P192)*(IF((YEAR(D192)+4)&lt;YEAR(E192),0,IF((YEAR(D192)+4)&gt;YEAR(E192),1,(12-MONTH(E192)+1)/12))) + (R192)*(IF((YEAR(D192)+4)&lt;YEAR(E192),0,IF((YEAR(D192)+4)&gt;YEAR(E192),1,(12-MONTH(E192)+1)/12))))-(IF(OR(N192="",N192&lt;=0),0,(O192/N192)*(IF(OR(N192="",N192&lt;=0),0,IF((YEAR(D192)+4)&lt;YEAR(E192),0,IF((YEAR(D192)+4)&gt;=YEAR(E192)+N192,0,IF((YEAR(D192)+4)=YEAR(E192),(12-MONTH(E192)+1)/12,1))))))))&gt;0,(((K192)*(IF(M192="",L192,IFERROR(IF(INDEX(Variablen!$I:$AT, MATCH(M192, Variablen!$A:$A, 0), MATCH((YEAR(D192)+4), Variablen!$I$3:$AT$3, 0))="",L192,INDEX(Variablen!$I:$AT, MATCH(M192, Variablen!$A:$A, 0), MATCH((YEAR(D192)+4), Variablen!$I$3:$AT$3, 0))),L192)))*(IF((YEAR(D192)+4)&lt;YEAR(E192),0,IF((YEAR(D192)+4)&gt;YEAR(E192),1,(12-MONTH(E192)+1)/12))) + (Q192)*(IF((YEAR(D192)+4)&lt;YEAR(E192),0,IF((YEAR(D192)+4)&gt;YEAR(E192),1,(12-MONTH(E192)+1)/12))))-((P192)*(IF((YEAR(D192)+4)&lt;YEAR(E192),0,IF((YEAR(D192)+4)&gt;YEAR(E192),1,(12-MONTH(E192)+1)/12))) + (R192)*(IF((YEAR(D192)+4)&lt;YEAR(E192),0,IF((YEAR(D192)+4)&gt;YEAR(E192),1,(12-MONTH(E192)+1)/12))))-(IF(OR(N192="",N192&lt;=0),0,(O192/N192)*(IF(OR(N192="",N192&lt;=0),0,IF((YEAR(D192)+4)&lt;YEAR(E192),0,IF((YEAR(D192)+4)&gt;=YEAR(E192)+N192,0,IF((YEAR(D192)+4)=YEAR(E192),(12-MONTH(E192)+1)/12,1))))))))*TaxRate,0))-IF(4=0,O192,0))</f>
        <v/>
      </c>
      <c r="X192" s="29">
        <f>IF(A192="","",((K192)*(IF(M192="",L192,IFERROR(IF(INDEX(Variablen!$I:$AT, MATCH(M192, Variablen!$A:$A, 0), MATCH((YEAR(D192)+5), Variablen!$I$3:$AT$3, 0))="",L192,INDEX(Variablen!$I:$AT, MATCH(M192, Variablen!$A:$A, 0), MATCH((YEAR(D192)+5), Variablen!$I$3:$AT$3, 0))),L192)))*(IF((YEAR(D192)+5)&lt;YEAR(E192),0,IF((YEAR(D192)+5)&gt;YEAR(E192),1,(12-MONTH(E192)+1)/12))) + (Q192)*(IF((YEAR(D192)+5)&lt;YEAR(E192),0,IF((YEAR(D192)+5)&gt;YEAR(E192),1,(12-MONTH(E192)+1)/12))))-((P192)*(IF((YEAR(D192)+5)&lt;YEAR(E192),0,IF((YEAR(D192)+5)&gt;YEAR(E192),1,(12-MONTH(E192)+1)/12))) + (R192)*(IF((YEAR(D192)+5)&lt;YEAR(E192),0,IF((YEAR(D192)+5)&gt;YEAR(E192),1,(12-MONTH(E192)+1)/12))))-(IF((((K192)*(IF(M192="",L192,IFERROR(IF(INDEX(Variablen!$I:$AT, MATCH(M192, Variablen!$A:$A, 0), MATCH((YEAR(D192)+5), Variablen!$I$3:$AT$3, 0))="",L192,INDEX(Variablen!$I:$AT, MATCH(M192, Variablen!$A:$A, 0), MATCH((YEAR(D192)+5), Variablen!$I$3:$AT$3, 0))),L192)))*(IF((YEAR(D192)+5)&lt;YEAR(E192),0,IF((YEAR(D192)+5)&gt;YEAR(E192),1,(12-MONTH(E192)+1)/12))) + (Q192)*(IF((YEAR(D192)+5)&lt;YEAR(E192),0,IF((YEAR(D192)+5)&gt;YEAR(E192),1,(12-MONTH(E192)+1)/12))))-((P192)*(IF((YEAR(D192)+5)&lt;YEAR(E192),0,IF((YEAR(D192)+5)&gt;YEAR(E192),1,(12-MONTH(E192)+1)/12))) + (R192)*(IF((YEAR(D192)+5)&lt;YEAR(E192),0,IF((YEAR(D192)+5)&gt;YEAR(E192),1,(12-MONTH(E192)+1)/12))))-(IF(OR(N192="",N192&lt;=0),0,(O192/N192)*(IF(OR(N192="",N192&lt;=0),0,IF((YEAR(D192)+5)&lt;YEAR(E192),0,IF((YEAR(D192)+5)&gt;=YEAR(E192)+N192,0,IF((YEAR(D192)+5)=YEAR(E192),(12-MONTH(E192)+1)/12,1))))))))&gt;0,(((K192)*(IF(M192="",L192,IFERROR(IF(INDEX(Variablen!$I:$AT, MATCH(M192, Variablen!$A:$A, 0), MATCH((YEAR(D192)+5), Variablen!$I$3:$AT$3, 0))="",L192,INDEX(Variablen!$I:$AT, MATCH(M192, Variablen!$A:$A, 0), MATCH((YEAR(D192)+5), Variablen!$I$3:$AT$3, 0))),L192)))*(IF((YEAR(D192)+5)&lt;YEAR(E192),0,IF((YEAR(D192)+5)&gt;YEAR(E192),1,(12-MONTH(E192)+1)/12))) + (Q192)*(IF((YEAR(D192)+5)&lt;YEAR(E192),0,IF((YEAR(D192)+5)&gt;YEAR(E192),1,(12-MONTH(E192)+1)/12))))-((P192)*(IF((YEAR(D192)+5)&lt;YEAR(E192),0,IF((YEAR(D192)+5)&gt;YEAR(E192),1,(12-MONTH(E192)+1)/12))) + (R192)*(IF((YEAR(D192)+5)&lt;YEAR(E192),0,IF((YEAR(D192)+5)&gt;YEAR(E192),1,(12-MONTH(E192)+1)/12))))-(IF(OR(N192="",N192&lt;=0),0,(O192/N192)*(IF(OR(N192="",N192&lt;=0),0,IF((YEAR(D192)+5)&lt;YEAR(E192),0,IF((YEAR(D192)+5)&gt;=YEAR(E192)+N192,0,IF((YEAR(D192)+5)=YEAR(E192),(12-MONTH(E192)+1)/12,1))))))))*TaxRate,0))-IF(5=0,O192,0))</f>
        <v/>
      </c>
      <c r="Y192" s="29">
        <f>IF(A192="","",((K192)*(IF(M192="",L192,IFERROR(IF(INDEX(Variablen!$I:$AT, MATCH(M192, Variablen!$A:$A, 0), MATCH((YEAR(D192)+6), Variablen!$I$3:$AT$3, 0))="",L192,INDEX(Variablen!$I:$AT, MATCH(M192, Variablen!$A:$A, 0), MATCH((YEAR(D192)+6), Variablen!$I$3:$AT$3, 0))),L192)))*(IF((YEAR(D192)+6)&lt;YEAR(E192),0,IF((YEAR(D192)+6)&gt;YEAR(E192),1,(12-MONTH(E192)+1)/12))) + (Q192)*(IF((YEAR(D192)+6)&lt;YEAR(E192),0,IF((YEAR(D192)+6)&gt;YEAR(E192),1,(12-MONTH(E192)+1)/12))))-((P192)*(IF((YEAR(D192)+6)&lt;YEAR(E192),0,IF((YEAR(D192)+6)&gt;YEAR(E192),1,(12-MONTH(E192)+1)/12))) + (R192)*(IF((YEAR(D192)+6)&lt;YEAR(E192),0,IF((YEAR(D192)+6)&gt;YEAR(E192),1,(12-MONTH(E192)+1)/12))))-(IF((((K192)*(IF(M192="",L192,IFERROR(IF(INDEX(Variablen!$I:$AT, MATCH(M192, Variablen!$A:$A, 0), MATCH((YEAR(D192)+6), Variablen!$I$3:$AT$3, 0))="",L192,INDEX(Variablen!$I:$AT, MATCH(M192, Variablen!$A:$A, 0), MATCH((YEAR(D192)+6), Variablen!$I$3:$AT$3, 0))),L192)))*(IF((YEAR(D192)+6)&lt;YEAR(E192),0,IF((YEAR(D192)+6)&gt;YEAR(E192),1,(12-MONTH(E192)+1)/12))) + (Q192)*(IF((YEAR(D192)+6)&lt;YEAR(E192),0,IF((YEAR(D192)+6)&gt;YEAR(E192),1,(12-MONTH(E192)+1)/12))))-((P192)*(IF((YEAR(D192)+6)&lt;YEAR(E192),0,IF((YEAR(D192)+6)&gt;YEAR(E192),1,(12-MONTH(E192)+1)/12))) + (R192)*(IF((YEAR(D192)+6)&lt;YEAR(E192),0,IF((YEAR(D192)+6)&gt;YEAR(E192),1,(12-MONTH(E192)+1)/12))))-(IF(OR(N192="",N192&lt;=0),0,(O192/N192)*(IF(OR(N192="",N192&lt;=0),0,IF((YEAR(D192)+6)&lt;YEAR(E192),0,IF((YEAR(D192)+6)&gt;=YEAR(E192)+N192,0,IF((YEAR(D192)+6)=YEAR(E192),(12-MONTH(E192)+1)/12,1))))))))&gt;0,(((K192)*(IF(M192="",L192,IFERROR(IF(INDEX(Variablen!$I:$AT, MATCH(M192, Variablen!$A:$A, 0), MATCH((YEAR(D192)+6), Variablen!$I$3:$AT$3, 0))="",L192,INDEX(Variablen!$I:$AT, MATCH(M192, Variablen!$A:$A, 0), MATCH((YEAR(D192)+6), Variablen!$I$3:$AT$3, 0))),L192)))*(IF((YEAR(D192)+6)&lt;YEAR(E192),0,IF((YEAR(D192)+6)&gt;YEAR(E192),1,(12-MONTH(E192)+1)/12))) + (Q192)*(IF((YEAR(D192)+6)&lt;YEAR(E192),0,IF((YEAR(D192)+6)&gt;YEAR(E192),1,(12-MONTH(E192)+1)/12))))-((P192)*(IF((YEAR(D192)+6)&lt;YEAR(E192),0,IF((YEAR(D192)+6)&gt;YEAR(E192),1,(12-MONTH(E192)+1)/12))) + (R192)*(IF((YEAR(D192)+6)&lt;YEAR(E192),0,IF((YEAR(D192)+6)&gt;YEAR(E192),1,(12-MONTH(E192)+1)/12))))-(IF(OR(N192="",N192&lt;=0),0,(O192/N192)*(IF(OR(N192="",N192&lt;=0),0,IF((YEAR(D192)+6)&lt;YEAR(E192),0,IF((YEAR(D192)+6)&gt;=YEAR(E192)+N192,0,IF((YEAR(D192)+6)=YEAR(E192),(12-MONTH(E192)+1)/12,1))))))))*TaxRate,0))-IF(6=0,O192,0))</f>
        <v/>
      </c>
      <c r="Z192" s="29">
        <f>IF(A192="","",((K192)*(IF(M192="",L192,IFERROR(IF(INDEX(Variablen!$I:$AT, MATCH(M192, Variablen!$A:$A, 0), MATCH((YEAR(D192)+7), Variablen!$I$3:$AT$3, 0))="",L192,INDEX(Variablen!$I:$AT, MATCH(M192, Variablen!$A:$A, 0), MATCH((YEAR(D192)+7), Variablen!$I$3:$AT$3, 0))),L192)))*(IF((YEAR(D192)+7)&lt;YEAR(E192),0,IF((YEAR(D192)+7)&gt;YEAR(E192),1,(12-MONTH(E192)+1)/12))) + (Q192)*(IF((YEAR(D192)+7)&lt;YEAR(E192),0,IF((YEAR(D192)+7)&gt;YEAR(E192),1,(12-MONTH(E192)+1)/12))))-((P192)*(IF((YEAR(D192)+7)&lt;YEAR(E192),0,IF((YEAR(D192)+7)&gt;YEAR(E192),1,(12-MONTH(E192)+1)/12))) + (R192)*(IF((YEAR(D192)+7)&lt;YEAR(E192),0,IF((YEAR(D192)+7)&gt;YEAR(E192),1,(12-MONTH(E192)+1)/12))))-(IF((((K192)*(IF(M192="",L192,IFERROR(IF(INDEX(Variablen!$I:$AT, MATCH(M192, Variablen!$A:$A, 0), MATCH((YEAR(D192)+7), Variablen!$I$3:$AT$3, 0))="",L192,INDEX(Variablen!$I:$AT, MATCH(M192, Variablen!$A:$A, 0), MATCH((YEAR(D192)+7), Variablen!$I$3:$AT$3, 0))),L192)))*(IF((YEAR(D192)+7)&lt;YEAR(E192),0,IF((YEAR(D192)+7)&gt;YEAR(E192),1,(12-MONTH(E192)+1)/12))) + (Q192)*(IF((YEAR(D192)+7)&lt;YEAR(E192),0,IF((YEAR(D192)+7)&gt;YEAR(E192),1,(12-MONTH(E192)+1)/12))))-((P192)*(IF((YEAR(D192)+7)&lt;YEAR(E192),0,IF((YEAR(D192)+7)&gt;YEAR(E192),1,(12-MONTH(E192)+1)/12))) + (R192)*(IF((YEAR(D192)+7)&lt;YEAR(E192),0,IF((YEAR(D192)+7)&gt;YEAR(E192),1,(12-MONTH(E192)+1)/12))))-(IF(OR(N192="",N192&lt;=0),0,(O192/N192)*(IF(OR(N192="",N192&lt;=0),0,IF((YEAR(D192)+7)&lt;YEAR(E192),0,IF((YEAR(D192)+7)&gt;=YEAR(E192)+N192,0,IF((YEAR(D192)+7)=YEAR(E192),(12-MONTH(E192)+1)/12,1))))))))&gt;0,(((K192)*(IF(M192="",L192,IFERROR(IF(INDEX(Variablen!$I:$AT, MATCH(M192, Variablen!$A:$A, 0), MATCH((YEAR(D192)+7), Variablen!$I$3:$AT$3, 0))="",L192,INDEX(Variablen!$I:$AT, MATCH(M192, Variablen!$A:$A, 0), MATCH((YEAR(D192)+7), Variablen!$I$3:$AT$3, 0))),L192)))*(IF((YEAR(D192)+7)&lt;YEAR(E192),0,IF((YEAR(D192)+7)&gt;YEAR(E192),1,(12-MONTH(E192)+1)/12))) + (Q192)*(IF((YEAR(D192)+7)&lt;YEAR(E192),0,IF((YEAR(D192)+7)&gt;YEAR(E192),1,(12-MONTH(E192)+1)/12))))-((P192)*(IF((YEAR(D192)+7)&lt;YEAR(E192),0,IF((YEAR(D192)+7)&gt;YEAR(E192),1,(12-MONTH(E192)+1)/12))) + (R192)*(IF((YEAR(D192)+7)&lt;YEAR(E192),0,IF((YEAR(D192)+7)&gt;YEAR(E192),1,(12-MONTH(E192)+1)/12))))-(IF(OR(N192="",N192&lt;=0),0,(O192/N192)*(IF(OR(N192="",N192&lt;=0),0,IF((YEAR(D192)+7)&lt;YEAR(E192),0,IF((YEAR(D192)+7)&gt;=YEAR(E192)+N192,0,IF((YEAR(D192)+7)=YEAR(E192),(12-MONTH(E192)+1)/12,1))))))))*TaxRate,0))-IF(7=0,O192,0))</f>
        <v/>
      </c>
      <c r="AA192" s="29">
        <f>IF(A192="","",((K192)*(IF(M192="",L192,IFERROR(IF(INDEX(Variablen!$I:$AT, MATCH(M192, Variablen!$A:$A, 0), MATCH((YEAR(D192)+8), Variablen!$I$3:$AT$3, 0))="",L192,INDEX(Variablen!$I:$AT, MATCH(M192, Variablen!$A:$A, 0), MATCH((YEAR(D192)+8), Variablen!$I$3:$AT$3, 0))),L192)))*(IF((YEAR(D192)+8)&lt;YEAR(E192),0,IF((YEAR(D192)+8)&gt;YEAR(E192),1,(12-MONTH(E192)+1)/12))) + (Q192)*(IF((YEAR(D192)+8)&lt;YEAR(E192),0,IF((YEAR(D192)+8)&gt;YEAR(E192),1,(12-MONTH(E192)+1)/12))))-((P192)*(IF((YEAR(D192)+8)&lt;YEAR(E192),0,IF((YEAR(D192)+8)&gt;YEAR(E192),1,(12-MONTH(E192)+1)/12))) + (R192)*(IF((YEAR(D192)+8)&lt;YEAR(E192),0,IF((YEAR(D192)+8)&gt;YEAR(E192),1,(12-MONTH(E192)+1)/12))))-(IF((((K192)*(IF(M192="",L192,IFERROR(IF(INDEX(Variablen!$I:$AT, MATCH(M192, Variablen!$A:$A, 0), MATCH((YEAR(D192)+8), Variablen!$I$3:$AT$3, 0))="",L192,INDEX(Variablen!$I:$AT, MATCH(M192, Variablen!$A:$A, 0), MATCH((YEAR(D192)+8), Variablen!$I$3:$AT$3, 0))),L192)))*(IF((YEAR(D192)+8)&lt;YEAR(E192),0,IF((YEAR(D192)+8)&gt;YEAR(E192),1,(12-MONTH(E192)+1)/12))) + (Q192)*(IF((YEAR(D192)+8)&lt;YEAR(E192),0,IF((YEAR(D192)+8)&gt;YEAR(E192),1,(12-MONTH(E192)+1)/12))))-((P192)*(IF((YEAR(D192)+8)&lt;YEAR(E192),0,IF((YEAR(D192)+8)&gt;YEAR(E192),1,(12-MONTH(E192)+1)/12))) + (R192)*(IF((YEAR(D192)+8)&lt;YEAR(E192),0,IF((YEAR(D192)+8)&gt;YEAR(E192),1,(12-MONTH(E192)+1)/12))))-(IF(OR(N192="",N192&lt;=0),0,(O192/N192)*(IF(OR(N192="",N192&lt;=0),0,IF((YEAR(D192)+8)&lt;YEAR(E192),0,IF((YEAR(D192)+8)&gt;=YEAR(E192)+N192,0,IF((YEAR(D192)+8)=YEAR(E192),(12-MONTH(E192)+1)/12,1))))))))&gt;0,(((K192)*(IF(M192="",L192,IFERROR(IF(INDEX(Variablen!$I:$AT, MATCH(M192, Variablen!$A:$A, 0), MATCH((YEAR(D192)+8), Variablen!$I$3:$AT$3, 0))="",L192,INDEX(Variablen!$I:$AT, MATCH(M192, Variablen!$A:$A, 0), MATCH((YEAR(D192)+8), Variablen!$I$3:$AT$3, 0))),L192)))*(IF((YEAR(D192)+8)&lt;YEAR(E192),0,IF((YEAR(D192)+8)&gt;YEAR(E192),1,(12-MONTH(E192)+1)/12))) + (Q192)*(IF((YEAR(D192)+8)&lt;YEAR(E192),0,IF((YEAR(D192)+8)&gt;YEAR(E192),1,(12-MONTH(E192)+1)/12))))-((P192)*(IF((YEAR(D192)+8)&lt;YEAR(E192),0,IF((YEAR(D192)+8)&gt;YEAR(E192),1,(12-MONTH(E192)+1)/12))) + (R192)*(IF((YEAR(D192)+8)&lt;YEAR(E192),0,IF((YEAR(D192)+8)&gt;YEAR(E192),1,(12-MONTH(E192)+1)/12))))-(IF(OR(N192="",N192&lt;=0),0,(O192/N192)*(IF(OR(N192="",N192&lt;=0),0,IF((YEAR(D192)+8)&lt;YEAR(E192),0,IF((YEAR(D192)+8)&gt;=YEAR(E192)+N192,0,IF((YEAR(D192)+8)=YEAR(E192),(12-MONTH(E192)+1)/12,1))))))))*TaxRate,0))-IF(8=0,O192,0))</f>
        <v/>
      </c>
      <c r="AB192" s="29">
        <f>IF(A192="","",((K192)*(IF(M192="",L192,IFERROR(IF(INDEX(Variablen!$I:$AT, MATCH(M192, Variablen!$A:$A, 0), MATCH((YEAR(D192)+9), Variablen!$I$3:$AT$3, 0))="",L192,INDEX(Variablen!$I:$AT, MATCH(M192, Variablen!$A:$A, 0), MATCH((YEAR(D192)+9), Variablen!$I$3:$AT$3, 0))),L192)))*(IF((YEAR(D192)+9)&lt;YEAR(E192),0,IF((YEAR(D192)+9)&gt;YEAR(E192),1,(12-MONTH(E192)+1)/12))) + (Q192)*(IF((YEAR(D192)+9)&lt;YEAR(E192),0,IF((YEAR(D192)+9)&gt;YEAR(E192),1,(12-MONTH(E192)+1)/12))))-((P192)*(IF((YEAR(D192)+9)&lt;YEAR(E192),0,IF((YEAR(D192)+9)&gt;YEAR(E192),1,(12-MONTH(E192)+1)/12))) + (R192)*(IF((YEAR(D192)+9)&lt;YEAR(E192),0,IF((YEAR(D192)+9)&gt;YEAR(E192),1,(12-MONTH(E192)+1)/12))))-(IF((((K192)*(IF(M192="",L192,IFERROR(IF(INDEX(Variablen!$I:$AT, MATCH(M192, Variablen!$A:$A, 0), MATCH((YEAR(D192)+9), Variablen!$I$3:$AT$3, 0))="",L192,INDEX(Variablen!$I:$AT, MATCH(M192, Variablen!$A:$A, 0), MATCH((YEAR(D192)+9), Variablen!$I$3:$AT$3, 0))),L192)))*(IF((YEAR(D192)+9)&lt;YEAR(E192),0,IF((YEAR(D192)+9)&gt;YEAR(E192),1,(12-MONTH(E192)+1)/12))) + (Q192)*(IF((YEAR(D192)+9)&lt;YEAR(E192),0,IF((YEAR(D192)+9)&gt;YEAR(E192),1,(12-MONTH(E192)+1)/12))))-((P192)*(IF((YEAR(D192)+9)&lt;YEAR(E192),0,IF((YEAR(D192)+9)&gt;YEAR(E192),1,(12-MONTH(E192)+1)/12))) + (R192)*(IF((YEAR(D192)+9)&lt;YEAR(E192),0,IF((YEAR(D192)+9)&gt;YEAR(E192),1,(12-MONTH(E192)+1)/12))))-(IF(OR(N192="",N192&lt;=0),0,(O192/N192)*(IF(OR(N192="",N192&lt;=0),0,IF((YEAR(D192)+9)&lt;YEAR(E192),0,IF((YEAR(D192)+9)&gt;=YEAR(E192)+N192,0,IF((YEAR(D192)+9)=YEAR(E192),(12-MONTH(E192)+1)/12,1))))))))&gt;0,(((K192)*(IF(M192="",L192,IFERROR(IF(INDEX(Variablen!$I:$AT, MATCH(M192, Variablen!$A:$A, 0), MATCH((YEAR(D192)+9), Variablen!$I$3:$AT$3, 0))="",L192,INDEX(Variablen!$I:$AT, MATCH(M192, Variablen!$A:$A, 0), MATCH((YEAR(D192)+9), Variablen!$I$3:$AT$3, 0))),L192)))*(IF((YEAR(D192)+9)&lt;YEAR(E192),0,IF((YEAR(D192)+9)&gt;YEAR(E192),1,(12-MONTH(E192)+1)/12))) + (Q192)*(IF((YEAR(D192)+9)&lt;YEAR(E192),0,IF((YEAR(D192)+9)&gt;YEAR(E192),1,(12-MONTH(E192)+1)/12))))-((P192)*(IF((YEAR(D192)+9)&lt;YEAR(E192),0,IF((YEAR(D192)+9)&gt;YEAR(E192),1,(12-MONTH(E192)+1)/12))) + (R192)*(IF((YEAR(D192)+9)&lt;YEAR(E192),0,IF((YEAR(D192)+9)&gt;YEAR(E192),1,(12-MONTH(E192)+1)/12))))-(IF(OR(N192="",N192&lt;=0),0,(O192/N192)*(IF(OR(N192="",N192&lt;=0),0,IF((YEAR(D192)+9)&lt;YEAR(E192),0,IF((YEAR(D192)+9)&gt;=YEAR(E192)+N192,0,IF((YEAR(D192)+9)=YEAR(E192),(12-MONTH(E192)+1)/12,1))))))))*TaxRate,0))-IF(9=0,O192,0))</f>
        <v/>
      </c>
      <c r="AC192" s="29">
        <f>IF(A192="","",((K192)*(IF(M192="",L192,IFERROR(IF(INDEX(Variablen!$I:$AT, MATCH(M192, Variablen!$A:$A, 0), MATCH((YEAR(D192)+10), Variablen!$I$3:$AT$3, 0))="",L192,INDEX(Variablen!$I:$AT, MATCH(M192, Variablen!$A:$A, 0), MATCH((YEAR(D192)+10), Variablen!$I$3:$AT$3, 0))),L192)))*(IF((YEAR(D192)+10)&lt;YEAR(E192),0,IF((YEAR(D192)+10)&gt;YEAR(E192),1,(12-MONTH(E192)+1)/12))) + (Q192)*(IF((YEAR(D192)+10)&lt;YEAR(E192),0,IF((YEAR(D192)+10)&gt;YEAR(E192),1,(12-MONTH(E192)+1)/12))))-((P192)*(IF((YEAR(D192)+10)&lt;YEAR(E192),0,IF((YEAR(D192)+10)&gt;YEAR(E192),1,(12-MONTH(E192)+1)/12))) + (R192)*(IF((YEAR(D192)+10)&lt;YEAR(E192),0,IF((YEAR(D192)+10)&gt;YEAR(E192),1,(12-MONTH(E192)+1)/12))))-(IF((((K192)*(IF(M192="",L192,IFERROR(IF(INDEX(Variablen!$I:$AT, MATCH(M192, Variablen!$A:$A, 0), MATCH((YEAR(D192)+10), Variablen!$I$3:$AT$3, 0))="",L192,INDEX(Variablen!$I:$AT, MATCH(M192, Variablen!$A:$A, 0), MATCH((YEAR(D192)+10), Variablen!$I$3:$AT$3, 0))),L192)))*(IF((YEAR(D192)+10)&lt;YEAR(E192),0,IF((YEAR(D192)+10)&gt;YEAR(E192),1,(12-MONTH(E192)+1)/12))) + (Q192)*(IF((YEAR(D192)+10)&lt;YEAR(E192),0,IF((YEAR(D192)+10)&gt;YEAR(E192),1,(12-MONTH(E192)+1)/12))))-((P192)*(IF((YEAR(D192)+10)&lt;YEAR(E192),0,IF((YEAR(D192)+10)&gt;YEAR(E192),1,(12-MONTH(E192)+1)/12))) + (R192)*(IF((YEAR(D192)+10)&lt;YEAR(E192),0,IF((YEAR(D192)+10)&gt;YEAR(E192),1,(12-MONTH(E192)+1)/12))))-(IF(OR(N192="",N192&lt;=0),0,(O192/N192)*(IF(OR(N192="",N192&lt;=0),0,IF((YEAR(D192)+10)&lt;YEAR(E192),0,IF((YEAR(D192)+10)&gt;=YEAR(E192)+N192,0,IF((YEAR(D192)+10)=YEAR(E192),(12-MONTH(E192)+1)/12,1))))))))&gt;0,(((K192)*(IF(M192="",L192,IFERROR(IF(INDEX(Variablen!$I:$AT, MATCH(M192, Variablen!$A:$A, 0), MATCH((YEAR(D192)+10), Variablen!$I$3:$AT$3, 0))="",L192,INDEX(Variablen!$I:$AT, MATCH(M192, Variablen!$A:$A, 0), MATCH((YEAR(D192)+10), Variablen!$I$3:$AT$3, 0))),L192)))*(IF((YEAR(D192)+10)&lt;YEAR(E192),0,IF((YEAR(D192)+10)&gt;YEAR(E192),1,(12-MONTH(E192)+1)/12))) + (Q192)*(IF((YEAR(D192)+10)&lt;YEAR(E192),0,IF((YEAR(D192)+10)&gt;YEAR(E192),1,(12-MONTH(E192)+1)/12))))-((P192)*(IF((YEAR(D192)+10)&lt;YEAR(E192),0,IF((YEAR(D192)+10)&gt;YEAR(E192),1,(12-MONTH(E192)+1)/12))) + (R192)*(IF((YEAR(D192)+10)&lt;YEAR(E192),0,IF((YEAR(D192)+10)&gt;YEAR(E192),1,(12-MONTH(E192)+1)/12))))-(IF(OR(N192="",N192&lt;=0),0,(O192/N192)*(IF(OR(N192="",N192&lt;=0),0,IF((YEAR(D192)+10)&lt;YEAR(E192),0,IF((YEAR(D192)+10)&gt;=YEAR(E192)+N192,0,IF((YEAR(D192)+10)=YEAR(E192),(12-MONTH(E192)+1)/12,1))))))))*TaxRate,0))-IF(10=0,O192,0))</f>
        <v/>
      </c>
      <c r="AD192" s="29">
        <f>IF(A192="","",((K192)*(IF(M192="",L192,IFERROR(IF(INDEX(Variablen!$I:$AT, MATCH(M192, Variablen!$A:$A, 0), MATCH((YEAR(D192)+11), Variablen!$I$3:$AT$3, 0))="",L192,INDEX(Variablen!$I:$AT, MATCH(M192, Variablen!$A:$A, 0), MATCH((YEAR(D192)+11), Variablen!$I$3:$AT$3, 0))),L192)))*(IF((YEAR(D192)+11)&lt;YEAR(E192),0,IF((YEAR(D192)+11)&gt;YEAR(E192),1,(12-MONTH(E192)+1)/12))) + (Q192)*(IF((YEAR(D192)+11)&lt;YEAR(E192),0,IF((YEAR(D192)+11)&gt;YEAR(E192),1,(12-MONTH(E192)+1)/12))))-((P192)*(IF((YEAR(D192)+11)&lt;YEAR(E192),0,IF((YEAR(D192)+11)&gt;YEAR(E192),1,(12-MONTH(E192)+1)/12))) + (R192)*(IF((YEAR(D192)+11)&lt;YEAR(E192),0,IF((YEAR(D192)+11)&gt;YEAR(E192),1,(12-MONTH(E192)+1)/12))))-(IF((((K192)*(IF(M192="",L192,IFERROR(IF(INDEX(Variablen!$I:$AT, MATCH(M192, Variablen!$A:$A, 0), MATCH((YEAR(D192)+11), Variablen!$I$3:$AT$3, 0))="",L192,INDEX(Variablen!$I:$AT, MATCH(M192, Variablen!$A:$A, 0), MATCH((YEAR(D192)+11), Variablen!$I$3:$AT$3, 0))),L192)))*(IF((YEAR(D192)+11)&lt;YEAR(E192),0,IF((YEAR(D192)+11)&gt;YEAR(E192),1,(12-MONTH(E192)+1)/12))) + (Q192)*(IF((YEAR(D192)+11)&lt;YEAR(E192),0,IF((YEAR(D192)+11)&gt;YEAR(E192),1,(12-MONTH(E192)+1)/12))))-((P192)*(IF((YEAR(D192)+11)&lt;YEAR(E192),0,IF((YEAR(D192)+11)&gt;YEAR(E192),1,(12-MONTH(E192)+1)/12))) + (R192)*(IF((YEAR(D192)+11)&lt;YEAR(E192),0,IF((YEAR(D192)+11)&gt;YEAR(E192),1,(12-MONTH(E192)+1)/12))))-(IF(OR(N192="",N192&lt;=0),0,(O192/N192)*(IF(OR(N192="",N192&lt;=0),0,IF((YEAR(D192)+11)&lt;YEAR(E192),0,IF((YEAR(D192)+11)&gt;=YEAR(E192)+N192,0,IF((YEAR(D192)+11)=YEAR(E192),(12-MONTH(E192)+1)/12,1))))))))&gt;0,(((K192)*(IF(M192="",L192,IFERROR(IF(INDEX(Variablen!$I:$AT, MATCH(M192, Variablen!$A:$A, 0), MATCH((YEAR(D192)+11), Variablen!$I$3:$AT$3, 0))="",L192,INDEX(Variablen!$I:$AT, MATCH(M192, Variablen!$A:$A, 0), MATCH((YEAR(D192)+11), Variablen!$I$3:$AT$3, 0))),L192)))*(IF((YEAR(D192)+11)&lt;YEAR(E192),0,IF((YEAR(D192)+11)&gt;YEAR(E192),1,(12-MONTH(E192)+1)/12))) + (Q192)*(IF((YEAR(D192)+11)&lt;YEAR(E192),0,IF((YEAR(D192)+11)&gt;YEAR(E192),1,(12-MONTH(E192)+1)/12))))-((P192)*(IF((YEAR(D192)+11)&lt;YEAR(E192),0,IF((YEAR(D192)+11)&gt;YEAR(E192),1,(12-MONTH(E192)+1)/12))) + (R192)*(IF((YEAR(D192)+11)&lt;YEAR(E192),0,IF((YEAR(D192)+11)&gt;YEAR(E192),1,(12-MONTH(E192)+1)/12))))-(IF(OR(N192="",N192&lt;=0),0,(O192/N192)*(IF(OR(N192="",N192&lt;=0),0,IF((YEAR(D192)+11)&lt;YEAR(E192),0,IF((YEAR(D192)+11)&gt;=YEAR(E192)+N192,0,IF((YEAR(D192)+11)=YEAR(E192),(12-MONTH(E192)+1)/12,1))))))))*TaxRate,0))-IF(11=0,O192,0))</f>
        <v/>
      </c>
      <c r="AE192" s="29">
        <f>IF(A192="","",((K192)*(IF(M192="",L192,IFERROR(IF(INDEX(Variablen!$I:$AT, MATCH(M192, Variablen!$A:$A, 0), MATCH((YEAR(D192)+12), Variablen!$I$3:$AT$3, 0))="",L192,INDEX(Variablen!$I:$AT, MATCH(M192, Variablen!$A:$A, 0), MATCH((YEAR(D192)+12), Variablen!$I$3:$AT$3, 0))),L192)))*(IF((YEAR(D192)+12)&lt;YEAR(E192),0,IF((YEAR(D192)+12)&gt;YEAR(E192),1,(12-MONTH(E192)+1)/12))) + (Q192)*(IF((YEAR(D192)+12)&lt;YEAR(E192),0,IF((YEAR(D192)+12)&gt;YEAR(E192),1,(12-MONTH(E192)+1)/12))))-((P192)*(IF((YEAR(D192)+12)&lt;YEAR(E192),0,IF((YEAR(D192)+12)&gt;YEAR(E192),1,(12-MONTH(E192)+1)/12))) + (R192)*(IF((YEAR(D192)+12)&lt;YEAR(E192),0,IF((YEAR(D192)+12)&gt;YEAR(E192),1,(12-MONTH(E192)+1)/12))))-(IF((((K192)*(IF(M192="",L192,IFERROR(IF(INDEX(Variablen!$I:$AT, MATCH(M192, Variablen!$A:$A, 0), MATCH((YEAR(D192)+12), Variablen!$I$3:$AT$3, 0))="",L192,INDEX(Variablen!$I:$AT, MATCH(M192, Variablen!$A:$A, 0), MATCH((YEAR(D192)+12), Variablen!$I$3:$AT$3, 0))),L192)))*(IF((YEAR(D192)+12)&lt;YEAR(E192),0,IF((YEAR(D192)+12)&gt;YEAR(E192),1,(12-MONTH(E192)+1)/12))) + (Q192)*(IF((YEAR(D192)+12)&lt;YEAR(E192),0,IF((YEAR(D192)+12)&gt;YEAR(E192),1,(12-MONTH(E192)+1)/12))))-((P192)*(IF((YEAR(D192)+12)&lt;YEAR(E192),0,IF((YEAR(D192)+12)&gt;YEAR(E192),1,(12-MONTH(E192)+1)/12))) + (R192)*(IF((YEAR(D192)+12)&lt;YEAR(E192),0,IF((YEAR(D192)+12)&gt;YEAR(E192),1,(12-MONTH(E192)+1)/12))))-(IF(OR(N192="",N192&lt;=0),0,(O192/N192)*(IF(OR(N192="",N192&lt;=0),0,IF((YEAR(D192)+12)&lt;YEAR(E192),0,IF((YEAR(D192)+12)&gt;=YEAR(E192)+N192,0,IF((YEAR(D192)+12)=YEAR(E192),(12-MONTH(E192)+1)/12,1))))))))&gt;0,(((K192)*(IF(M192="",L192,IFERROR(IF(INDEX(Variablen!$I:$AT, MATCH(M192, Variablen!$A:$A, 0), MATCH((YEAR(D192)+12), Variablen!$I$3:$AT$3, 0))="",L192,INDEX(Variablen!$I:$AT, MATCH(M192, Variablen!$A:$A, 0), MATCH((YEAR(D192)+12), Variablen!$I$3:$AT$3, 0))),L192)))*(IF((YEAR(D192)+12)&lt;YEAR(E192),0,IF((YEAR(D192)+12)&gt;YEAR(E192),1,(12-MONTH(E192)+1)/12))) + (Q192)*(IF((YEAR(D192)+12)&lt;YEAR(E192),0,IF((YEAR(D192)+12)&gt;YEAR(E192),1,(12-MONTH(E192)+1)/12))))-((P192)*(IF((YEAR(D192)+12)&lt;YEAR(E192),0,IF((YEAR(D192)+12)&gt;YEAR(E192),1,(12-MONTH(E192)+1)/12))) + (R192)*(IF((YEAR(D192)+12)&lt;YEAR(E192),0,IF((YEAR(D192)+12)&gt;YEAR(E192),1,(12-MONTH(E192)+1)/12))))-(IF(OR(N192="",N192&lt;=0),0,(O192/N192)*(IF(OR(N192="",N192&lt;=0),0,IF((YEAR(D192)+12)&lt;YEAR(E192),0,IF((YEAR(D192)+12)&gt;=YEAR(E192)+N192,0,IF((YEAR(D192)+12)=YEAR(E192),(12-MONTH(E192)+1)/12,1))))))))*TaxRate,0))-IF(12=0,O192,0))</f>
        <v/>
      </c>
      <c r="AF192" s="29">
        <f>IF(A192="","",((K192)*(IF(M192="",L192,IFERROR(IF(INDEX(Variablen!$I:$AT, MATCH(M192, Variablen!$A:$A, 0), MATCH((YEAR(D192)+13), Variablen!$I$3:$AT$3, 0))="",L192,INDEX(Variablen!$I:$AT, MATCH(M192, Variablen!$A:$A, 0), MATCH((YEAR(D192)+13), Variablen!$I$3:$AT$3, 0))),L192)))*(IF((YEAR(D192)+13)&lt;YEAR(E192),0,IF((YEAR(D192)+13)&gt;YEAR(E192),1,(12-MONTH(E192)+1)/12))) + (Q192)*(IF((YEAR(D192)+13)&lt;YEAR(E192),0,IF((YEAR(D192)+13)&gt;YEAR(E192),1,(12-MONTH(E192)+1)/12))))-((P192)*(IF((YEAR(D192)+13)&lt;YEAR(E192),0,IF((YEAR(D192)+13)&gt;YEAR(E192),1,(12-MONTH(E192)+1)/12))) + (R192)*(IF((YEAR(D192)+13)&lt;YEAR(E192),0,IF((YEAR(D192)+13)&gt;YEAR(E192),1,(12-MONTH(E192)+1)/12))))-(IF((((K192)*(IF(M192="",L192,IFERROR(IF(INDEX(Variablen!$I:$AT, MATCH(M192, Variablen!$A:$A, 0), MATCH((YEAR(D192)+13), Variablen!$I$3:$AT$3, 0))="",L192,INDEX(Variablen!$I:$AT, MATCH(M192, Variablen!$A:$A, 0), MATCH((YEAR(D192)+13), Variablen!$I$3:$AT$3, 0))),L192)))*(IF((YEAR(D192)+13)&lt;YEAR(E192),0,IF((YEAR(D192)+13)&gt;YEAR(E192),1,(12-MONTH(E192)+1)/12))) + (Q192)*(IF((YEAR(D192)+13)&lt;YEAR(E192),0,IF((YEAR(D192)+13)&gt;YEAR(E192),1,(12-MONTH(E192)+1)/12))))-((P192)*(IF((YEAR(D192)+13)&lt;YEAR(E192),0,IF((YEAR(D192)+13)&gt;YEAR(E192),1,(12-MONTH(E192)+1)/12))) + (R192)*(IF((YEAR(D192)+13)&lt;YEAR(E192),0,IF((YEAR(D192)+13)&gt;YEAR(E192),1,(12-MONTH(E192)+1)/12))))-(IF(OR(N192="",N192&lt;=0),0,(O192/N192)*(IF(OR(N192="",N192&lt;=0),0,IF((YEAR(D192)+13)&lt;YEAR(E192),0,IF((YEAR(D192)+13)&gt;=YEAR(E192)+N192,0,IF((YEAR(D192)+13)=YEAR(E192),(12-MONTH(E192)+1)/12,1))))))))&gt;0,(((K192)*(IF(M192="",L192,IFERROR(IF(INDEX(Variablen!$I:$AT, MATCH(M192, Variablen!$A:$A, 0), MATCH((YEAR(D192)+13), Variablen!$I$3:$AT$3, 0))="",L192,INDEX(Variablen!$I:$AT, MATCH(M192, Variablen!$A:$A, 0), MATCH((YEAR(D192)+13), Variablen!$I$3:$AT$3, 0))),L192)))*(IF((YEAR(D192)+13)&lt;YEAR(E192),0,IF((YEAR(D192)+13)&gt;YEAR(E192),1,(12-MONTH(E192)+1)/12))) + (Q192)*(IF((YEAR(D192)+13)&lt;YEAR(E192),0,IF((YEAR(D192)+13)&gt;YEAR(E192),1,(12-MONTH(E192)+1)/12))))-((P192)*(IF((YEAR(D192)+13)&lt;YEAR(E192),0,IF((YEAR(D192)+13)&gt;YEAR(E192),1,(12-MONTH(E192)+1)/12))) + (R192)*(IF((YEAR(D192)+13)&lt;YEAR(E192),0,IF((YEAR(D192)+13)&gt;YEAR(E192),1,(12-MONTH(E192)+1)/12))))-(IF(OR(N192="",N192&lt;=0),0,(O192/N192)*(IF(OR(N192="",N192&lt;=0),0,IF((YEAR(D192)+13)&lt;YEAR(E192),0,IF((YEAR(D192)+13)&gt;=YEAR(E192)+N192,0,IF((YEAR(D192)+13)=YEAR(E192),(12-MONTH(E192)+1)/12,1))))))))*TaxRate,0))-IF(13=0,O192,0))</f>
        <v/>
      </c>
      <c r="AG192" s="29">
        <f>IF(A192="","",((K192)*(IF(M192="",L192,IFERROR(IF(INDEX(Variablen!$I:$AT, MATCH(M192, Variablen!$A:$A, 0), MATCH((YEAR(D192)+14), Variablen!$I$3:$AT$3, 0))="",L192,INDEX(Variablen!$I:$AT, MATCH(M192, Variablen!$A:$A, 0), MATCH((YEAR(D192)+14), Variablen!$I$3:$AT$3, 0))),L192)))*(IF((YEAR(D192)+14)&lt;YEAR(E192),0,IF((YEAR(D192)+14)&gt;YEAR(E192),1,(12-MONTH(E192)+1)/12))) + (Q192)*(IF((YEAR(D192)+14)&lt;YEAR(E192),0,IF((YEAR(D192)+14)&gt;YEAR(E192),1,(12-MONTH(E192)+1)/12))))-((P192)*(IF((YEAR(D192)+14)&lt;YEAR(E192),0,IF((YEAR(D192)+14)&gt;YEAR(E192),1,(12-MONTH(E192)+1)/12))) + (R192)*(IF((YEAR(D192)+14)&lt;YEAR(E192),0,IF((YEAR(D192)+14)&gt;YEAR(E192),1,(12-MONTH(E192)+1)/12))))-(IF((((K192)*(IF(M192="",L192,IFERROR(IF(INDEX(Variablen!$I:$AT, MATCH(M192, Variablen!$A:$A, 0), MATCH((YEAR(D192)+14), Variablen!$I$3:$AT$3, 0))="",L192,INDEX(Variablen!$I:$AT, MATCH(M192, Variablen!$A:$A, 0), MATCH((YEAR(D192)+14), Variablen!$I$3:$AT$3, 0))),L192)))*(IF((YEAR(D192)+14)&lt;YEAR(E192),0,IF((YEAR(D192)+14)&gt;YEAR(E192),1,(12-MONTH(E192)+1)/12))) + (Q192)*(IF((YEAR(D192)+14)&lt;YEAR(E192),0,IF((YEAR(D192)+14)&gt;YEAR(E192),1,(12-MONTH(E192)+1)/12))))-((P192)*(IF((YEAR(D192)+14)&lt;YEAR(E192),0,IF((YEAR(D192)+14)&gt;YEAR(E192),1,(12-MONTH(E192)+1)/12))) + (R192)*(IF((YEAR(D192)+14)&lt;YEAR(E192),0,IF((YEAR(D192)+14)&gt;YEAR(E192),1,(12-MONTH(E192)+1)/12))))-(IF(OR(N192="",N192&lt;=0),0,(O192/N192)*(IF(OR(N192="",N192&lt;=0),0,IF((YEAR(D192)+14)&lt;YEAR(E192),0,IF((YEAR(D192)+14)&gt;=YEAR(E192)+N192,0,IF((YEAR(D192)+14)=YEAR(E192),(12-MONTH(E192)+1)/12,1))))))))&gt;0,(((K192)*(IF(M192="",L192,IFERROR(IF(INDEX(Variablen!$I:$AT, MATCH(M192, Variablen!$A:$A, 0), MATCH((YEAR(D192)+14), Variablen!$I$3:$AT$3, 0))="",L192,INDEX(Variablen!$I:$AT, MATCH(M192, Variablen!$A:$A, 0), MATCH((YEAR(D192)+14), Variablen!$I$3:$AT$3, 0))),L192)))*(IF((YEAR(D192)+14)&lt;YEAR(E192),0,IF((YEAR(D192)+14)&gt;YEAR(E192),1,(12-MONTH(E192)+1)/12))) + (Q192)*(IF((YEAR(D192)+14)&lt;YEAR(E192),0,IF((YEAR(D192)+14)&gt;YEAR(E192),1,(12-MONTH(E192)+1)/12))))-((P192)*(IF((YEAR(D192)+14)&lt;YEAR(E192),0,IF((YEAR(D192)+14)&gt;YEAR(E192),1,(12-MONTH(E192)+1)/12))) + (R192)*(IF((YEAR(D192)+14)&lt;YEAR(E192),0,IF((YEAR(D192)+14)&gt;YEAR(E192),1,(12-MONTH(E192)+1)/12))))-(IF(OR(N192="",N192&lt;=0),0,(O192/N192)*(IF(OR(N192="",N192&lt;=0),0,IF((YEAR(D192)+14)&lt;YEAR(E192),0,IF((YEAR(D192)+14)&gt;=YEAR(E192)+N192,0,IF((YEAR(D192)+14)=YEAR(E192),(12-MONTH(E192)+1)/12,1))))))))*TaxRate,0))-IF(14=0,O192,0))</f>
        <v/>
      </c>
      <c r="AH192" s="29">
        <f>IF(A192="","",((K192)*(IF(M192="",L192,IFERROR(IF(INDEX(Variablen!$I:$AT, MATCH(M192, Variablen!$A:$A, 0), MATCH((YEAR(D192)+15), Variablen!$I$3:$AT$3, 0))="",L192,INDEX(Variablen!$I:$AT, MATCH(M192, Variablen!$A:$A, 0), MATCH((YEAR(D192)+15), Variablen!$I$3:$AT$3, 0))),L192)))*(IF((YEAR(D192)+15)&lt;YEAR(E192),0,IF((YEAR(D192)+15)&gt;YEAR(E192),1,(12-MONTH(E192)+1)/12))) + (Q192)*(IF((YEAR(D192)+15)&lt;YEAR(E192),0,IF((YEAR(D192)+15)&gt;YEAR(E192),1,(12-MONTH(E192)+1)/12))))-((P192)*(IF((YEAR(D192)+15)&lt;YEAR(E192),0,IF((YEAR(D192)+15)&gt;YEAR(E192),1,(12-MONTH(E192)+1)/12))) + (R192)*(IF((YEAR(D192)+15)&lt;YEAR(E192),0,IF((YEAR(D192)+15)&gt;YEAR(E192),1,(12-MONTH(E192)+1)/12))))-(IF((((K192)*(IF(M192="",L192,IFERROR(IF(INDEX(Variablen!$I:$AT, MATCH(M192, Variablen!$A:$A, 0), MATCH((YEAR(D192)+15), Variablen!$I$3:$AT$3, 0))="",L192,INDEX(Variablen!$I:$AT, MATCH(M192, Variablen!$A:$A, 0), MATCH((YEAR(D192)+15), Variablen!$I$3:$AT$3, 0))),L192)))*(IF((YEAR(D192)+15)&lt;YEAR(E192),0,IF((YEAR(D192)+15)&gt;YEAR(E192),1,(12-MONTH(E192)+1)/12))) + (Q192)*(IF((YEAR(D192)+15)&lt;YEAR(E192),0,IF((YEAR(D192)+15)&gt;YEAR(E192),1,(12-MONTH(E192)+1)/12))))-((P192)*(IF((YEAR(D192)+15)&lt;YEAR(E192),0,IF((YEAR(D192)+15)&gt;YEAR(E192),1,(12-MONTH(E192)+1)/12))) + (R192)*(IF((YEAR(D192)+15)&lt;YEAR(E192),0,IF((YEAR(D192)+15)&gt;YEAR(E192),1,(12-MONTH(E192)+1)/12))))-(IF(OR(N192="",N192&lt;=0),0,(O192/N192)*(IF(OR(N192="",N192&lt;=0),0,IF((YEAR(D192)+15)&lt;YEAR(E192),0,IF((YEAR(D192)+15)&gt;=YEAR(E192)+N192,0,IF((YEAR(D192)+15)=YEAR(E192),(12-MONTH(E192)+1)/12,1))))))))&gt;0,(((K192)*(IF(M192="",L192,IFERROR(IF(INDEX(Variablen!$I:$AT, MATCH(M192, Variablen!$A:$A, 0), MATCH((YEAR(D192)+15), Variablen!$I$3:$AT$3, 0))="",L192,INDEX(Variablen!$I:$AT, MATCH(M192, Variablen!$A:$A, 0), MATCH((YEAR(D192)+15), Variablen!$I$3:$AT$3, 0))),L192)))*(IF((YEAR(D192)+15)&lt;YEAR(E192),0,IF((YEAR(D192)+15)&gt;YEAR(E192),1,(12-MONTH(E192)+1)/12))) + (Q192)*(IF((YEAR(D192)+15)&lt;YEAR(E192),0,IF((YEAR(D192)+15)&gt;YEAR(E192),1,(12-MONTH(E192)+1)/12))))-((P192)*(IF((YEAR(D192)+15)&lt;YEAR(E192),0,IF((YEAR(D192)+15)&gt;YEAR(E192),1,(12-MONTH(E192)+1)/12))) + (R192)*(IF((YEAR(D192)+15)&lt;YEAR(E192),0,IF((YEAR(D192)+15)&gt;YEAR(E192),1,(12-MONTH(E192)+1)/12))))-(IF(OR(N192="",N192&lt;=0),0,(O192/N192)*(IF(OR(N192="",N192&lt;=0),0,IF((YEAR(D192)+15)&lt;YEAR(E192),0,IF((YEAR(D192)+15)&gt;=YEAR(E192)+N192,0,IF((YEAR(D192)+15)=YEAR(E192),(12-MONTH(E192)+1)/12,1))))))))*TaxRate,0))-IF(15=0,O192,0))</f>
        <v/>
      </c>
      <c r="AI192" s="29">
        <f>IF(A192="","",((K192)*(IF(M192="",L192,IFERROR(IF(INDEX(Variablen!$I:$AT, MATCH(M192, Variablen!$A:$A, 0), MATCH((YEAR(D192)+16), Variablen!$I$3:$AT$3, 0))="",L192,INDEX(Variablen!$I:$AT, MATCH(M192, Variablen!$A:$A, 0), MATCH((YEAR(D192)+16), Variablen!$I$3:$AT$3, 0))),L192)))*(IF((YEAR(D192)+16)&lt;YEAR(E192),0,IF((YEAR(D192)+16)&gt;YEAR(E192),1,(12-MONTH(E192)+1)/12))) + (Q192)*(IF((YEAR(D192)+16)&lt;YEAR(E192),0,IF((YEAR(D192)+16)&gt;YEAR(E192),1,(12-MONTH(E192)+1)/12))))-((P192)*(IF((YEAR(D192)+16)&lt;YEAR(E192),0,IF((YEAR(D192)+16)&gt;YEAR(E192),1,(12-MONTH(E192)+1)/12))) + (R192)*(IF((YEAR(D192)+16)&lt;YEAR(E192),0,IF((YEAR(D192)+16)&gt;YEAR(E192),1,(12-MONTH(E192)+1)/12))))-(IF((((K192)*(IF(M192="",L192,IFERROR(IF(INDEX(Variablen!$I:$AT, MATCH(M192, Variablen!$A:$A, 0), MATCH((YEAR(D192)+16), Variablen!$I$3:$AT$3, 0))="",L192,INDEX(Variablen!$I:$AT, MATCH(M192, Variablen!$A:$A, 0), MATCH((YEAR(D192)+16), Variablen!$I$3:$AT$3, 0))),L192)))*(IF((YEAR(D192)+16)&lt;YEAR(E192),0,IF((YEAR(D192)+16)&gt;YEAR(E192),1,(12-MONTH(E192)+1)/12))) + (Q192)*(IF((YEAR(D192)+16)&lt;YEAR(E192),0,IF((YEAR(D192)+16)&gt;YEAR(E192),1,(12-MONTH(E192)+1)/12))))-((P192)*(IF((YEAR(D192)+16)&lt;YEAR(E192),0,IF((YEAR(D192)+16)&gt;YEAR(E192),1,(12-MONTH(E192)+1)/12))) + (R192)*(IF((YEAR(D192)+16)&lt;YEAR(E192),0,IF((YEAR(D192)+16)&gt;YEAR(E192),1,(12-MONTH(E192)+1)/12))))-(IF(OR(N192="",N192&lt;=0),0,(O192/N192)*(IF(OR(N192="",N192&lt;=0),0,IF((YEAR(D192)+16)&lt;YEAR(E192),0,IF((YEAR(D192)+16)&gt;=YEAR(E192)+N192,0,IF((YEAR(D192)+16)=YEAR(E192),(12-MONTH(E192)+1)/12,1))))))))&gt;0,(((K192)*(IF(M192="",L192,IFERROR(IF(INDEX(Variablen!$I:$AT, MATCH(M192, Variablen!$A:$A, 0), MATCH((YEAR(D192)+16), Variablen!$I$3:$AT$3, 0))="",L192,INDEX(Variablen!$I:$AT, MATCH(M192, Variablen!$A:$A, 0), MATCH((YEAR(D192)+16), Variablen!$I$3:$AT$3, 0))),L192)))*(IF((YEAR(D192)+16)&lt;YEAR(E192),0,IF((YEAR(D192)+16)&gt;YEAR(E192),1,(12-MONTH(E192)+1)/12))) + (Q192)*(IF((YEAR(D192)+16)&lt;YEAR(E192),0,IF((YEAR(D192)+16)&gt;YEAR(E192),1,(12-MONTH(E192)+1)/12))))-((P192)*(IF((YEAR(D192)+16)&lt;YEAR(E192),0,IF((YEAR(D192)+16)&gt;YEAR(E192),1,(12-MONTH(E192)+1)/12))) + (R192)*(IF((YEAR(D192)+16)&lt;YEAR(E192),0,IF((YEAR(D192)+16)&gt;YEAR(E192),1,(12-MONTH(E192)+1)/12))))-(IF(OR(N192="",N192&lt;=0),0,(O192/N192)*(IF(OR(N192="",N192&lt;=0),0,IF((YEAR(D192)+16)&lt;YEAR(E192),0,IF((YEAR(D192)+16)&gt;=YEAR(E192)+N192,0,IF((YEAR(D192)+16)=YEAR(E192),(12-MONTH(E192)+1)/12,1))))))))*TaxRate,0))-IF(16=0,O192,0))</f>
        <v/>
      </c>
      <c r="AJ192" s="29">
        <f>IF(A192="","",((K192)*(IF(M192="",L192,IFERROR(IF(INDEX(Variablen!$I:$AT, MATCH(M192, Variablen!$A:$A, 0), MATCH((YEAR(D192)+17), Variablen!$I$3:$AT$3, 0))="",L192,INDEX(Variablen!$I:$AT, MATCH(M192, Variablen!$A:$A, 0), MATCH((YEAR(D192)+17), Variablen!$I$3:$AT$3, 0))),L192)))*(IF((YEAR(D192)+17)&lt;YEAR(E192),0,IF((YEAR(D192)+17)&gt;YEAR(E192),1,(12-MONTH(E192)+1)/12))) + (Q192)*(IF((YEAR(D192)+17)&lt;YEAR(E192),0,IF((YEAR(D192)+17)&gt;YEAR(E192),1,(12-MONTH(E192)+1)/12))))-((P192)*(IF((YEAR(D192)+17)&lt;YEAR(E192),0,IF((YEAR(D192)+17)&gt;YEAR(E192),1,(12-MONTH(E192)+1)/12))) + (R192)*(IF((YEAR(D192)+17)&lt;YEAR(E192),0,IF((YEAR(D192)+17)&gt;YEAR(E192),1,(12-MONTH(E192)+1)/12))))-(IF((((K192)*(IF(M192="",L192,IFERROR(IF(INDEX(Variablen!$I:$AT, MATCH(M192, Variablen!$A:$A, 0), MATCH((YEAR(D192)+17), Variablen!$I$3:$AT$3, 0))="",L192,INDEX(Variablen!$I:$AT, MATCH(M192, Variablen!$A:$A, 0), MATCH((YEAR(D192)+17), Variablen!$I$3:$AT$3, 0))),L192)))*(IF((YEAR(D192)+17)&lt;YEAR(E192),0,IF((YEAR(D192)+17)&gt;YEAR(E192),1,(12-MONTH(E192)+1)/12))) + (Q192)*(IF((YEAR(D192)+17)&lt;YEAR(E192),0,IF((YEAR(D192)+17)&gt;YEAR(E192),1,(12-MONTH(E192)+1)/12))))-((P192)*(IF((YEAR(D192)+17)&lt;YEAR(E192),0,IF((YEAR(D192)+17)&gt;YEAR(E192),1,(12-MONTH(E192)+1)/12))) + (R192)*(IF((YEAR(D192)+17)&lt;YEAR(E192),0,IF((YEAR(D192)+17)&gt;YEAR(E192),1,(12-MONTH(E192)+1)/12))))-(IF(OR(N192="",N192&lt;=0),0,(O192/N192)*(IF(OR(N192="",N192&lt;=0),0,IF((YEAR(D192)+17)&lt;YEAR(E192),0,IF((YEAR(D192)+17)&gt;=YEAR(E192)+N192,0,IF((YEAR(D192)+17)=YEAR(E192),(12-MONTH(E192)+1)/12,1))))))))&gt;0,(((K192)*(IF(M192="",L192,IFERROR(IF(INDEX(Variablen!$I:$AT, MATCH(M192, Variablen!$A:$A, 0), MATCH((YEAR(D192)+17), Variablen!$I$3:$AT$3, 0))="",L192,INDEX(Variablen!$I:$AT, MATCH(M192, Variablen!$A:$A, 0), MATCH((YEAR(D192)+17), Variablen!$I$3:$AT$3, 0))),L192)))*(IF((YEAR(D192)+17)&lt;YEAR(E192),0,IF((YEAR(D192)+17)&gt;YEAR(E192),1,(12-MONTH(E192)+1)/12))) + (Q192)*(IF((YEAR(D192)+17)&lt;YEAR(E192),0,IF((YEAR(D192)+17)&gt;YEAR(E192),1,(12-MONTH(E192)+1)/12))))-((P192)*(IF((YEAR(D192)+17)&lt;YEAR(E192),0,IF((YEAR(D192)+17)&gt;YEAR(E192),1,(12-MONTH(E192)+1)/12))) + (R192)*(IF((YEAR(D192)+17)&lt;YEAR(E192),0,IF((YEAR(D192)+17)&gt;YEAR(E192),1,(12-MONTH(E192)+1)/12))))-(IF(OR(N192="",N192&lt;=0),0,(O192/N192)*(IF(OR(N192="",N192&lt;=0),0,IF((YEAR(D192)+17)&lt;YEAR(E192),0,IF((YEAR(D192)+17)&gt;=YEAR(E192)+N192,0,IF((YEAR(D192)+17)=YEAR(E192),(12-MONTH(E192)+1)/12,1))))))))*TaxRate,0))-IF(17=0,O192,0))</f>
        <v/>
      </c>
      <c r="AK192" s="29">
        <f>IF(A192="","",((K192)*(IF(M192="",L192,IFERROR(IF(INDEX(Variablen!$I:$AT, MATCH(M192, Variablen!$A:$A, 0), MATCH((YEAR(D192)+18), Variablen!$I$3:$AT$3, 0))="",L192,INDEX(Variablen!$I:$AT, MATCH(M192, Variablen!$A:$A, 0), MATCH((YEAR(D192)+18), Variablen!$I$3:$AT$3, 0))),L192)))*(IF((YEAR(D192)+18)&lt;YEAR(E192),0,IF((YEAR(D192)+18)&gt;YEAR(E192),1,(12-MONTH(E192)+1)/12))) + (Q192)*(IF((YEAR(D192)+18)&lt;YEAR(E192),0,IF((YEAR(D192)+18)&gt;YEAR(E192),1,(12-MONTH(E192)+1)/12))))-((P192)*(IF((YEAR(D192)+18)&lt;YEAR(E192),0,IF((YEAR(D192)+18)&gt;YEAR(E192),1,(12-MONTH(E192)+1)/12))) + (R192)*(IF((YEAR(D192)+18)&lt;YEAR(E192),0,IF((YEAR(D192)+18)&gt;YEAR(E192),1,(12-MONTH(E192)+1)/12))))-(IF((((K192)*(IF(M192="",L192,IFERROR(IF(INDEX(Variablen!$I:$AT, MATCH(M192, Variablen!$A:$A, 0), MATCH((YEAR(D192)+18), Variablen!$I$3:$AT$3, 0))="",L192,INDEX(Variablen!$I:$AT, MATCH(M192, Variablen!$A:$A, 0), MATCH((YEAR(D192)+18), Variablen!$I$3:$AT$3, 0))),L192)))*(IF((YEAR(D192)+18)&lt;YEAR(E192),0,IF((YEAR(D192)+18)&gt;YEAR(E192),1,(12-MONTH(E192)+1)/12))) + (Q192)*(IF((YEAR(D192)+18)&lt;YEAR(E192),0,IF((YEAR(D192)+18)&gt;YEAR(E192),1,(12-MONTH(E192)+1)/12))))-((P192)*(IF((YEAR(D192)+18)&lt;YEAR(E192),0,IF((YEAR(D192)+18)&gt;YEAR(E192),1,(12-MONTH(E192)+1)/12))) + (R192)*(IF((YEAR(D192)+18)&lt;YEAR(E192),0,IF((YEAR(D192)+18)&gt;YEAR(E192),1,(12-MONTH(E192)+1)/12))))-(IF(OR(N192="",N192&lt;=0),0,(O192/N192)*(IF(OR(N192="",N192&lt;=0),0,IF((YEAR(D192)+18)&lt;YEAR(E192),0,IF((YEAR(D192)+18)&gt;=YEAR(E192)+N192,0,IF((YEAR(D192)+18)=YEAR(E192),(12-MONTH(E192)+1)/12,1))))))))&gt;0,(((K192)*(IF(M192="",L192,IFERROR(IF(INDEX(Variablen!$I:$AT, MATCH(M192, Variablen!$A:$A, 0), MATCH((YEAR(D192)+18), Variablen!$I$3:$AT$3, 0))="",L192,INDEX(Variablen!$I:$AT, MATCH(M192, Variablen!$A:$A, 0), MATCH((YEAR(D192)+18), Variablen!$I$3:$AT$3, 0))),L192)))*(IF((YEAR(D192)+18)&lt;YEAR(E192),0,IF((YEAR(D192)+18)&gt;YEAR(E192),1,(12-MONTH(E192)+1)/12))) + (Q192)*(IF((YEAR(D192)+18)&lt;YEAR(E192),0,IF((YEAR(D192)+18)&gt;YEAR(E192),1,(12-MONTH(E192)+1)/12))))-((P192)*(IF((YEAR(D192)+18)&lt;YEAR(E192),0,IF((YEAR(D192)+18)&gt;YEAR(E192),1,(12-MONTH(E192)+1)/12))) + (R192)*(IF((YEAR(D192)+18)&lt;YEAR(E192),0,IF((YEAR(D192)+18)&gt;YEAR(E192),1,(12-MONTH(E192)+1)/12))))-(IF(OR(N192="",N192&lt;=0),0,(O192/N192)*(IF(OR(N192="",N192&lt;=0),0,IF((YEAR(D192)+18)&lt;YEAR(E192),0,IF((YEAR(D192)+18)&gt;=YEAR(E192)+N192,0,IF((YEAR(D192)+18)=YEAR(E192),(12-MONTH(E192)+1)/12,1))))))))*TaxRate,0))-IF(18=0,O192,0))</f>
        <v/>
      </c>
      <c r="AL192" s="29">
        <f>IF(A192="","",((K192)*(IF(M192="",L192,IFERROR(IF(INDEX(Variablen!$I:$AT, MATCH(M192, Variablen!$A:$A, 0), MATCH((YEAR(D192)+19), Variablen!$I$3:$AT$3, 0))="",L192,INDEX(Variablen!$I:$AT, MATCH(M192, Variablen!$A:$A, 0), MATCH((YEAR(D192)+19), Variablen!$I$3:$AT$3, 0))),L192)))*(IF((YEAR(D192)+19)&lt;YEAR(E192),0,IF((YEAR(D192)+19)&gt;YEAR(E192),1,(12-MONTH(E192)+1)/12))) + (Q192)*(IF((YEAR(D192)+19)&lt;YEAR(E192),0,IF((YEAR(D192)+19)&gt;YEAR(E192),1,(12-MONTH(E192)+1)/12))))-((P192)*(IF((YEAR(D192)+19)&lt;YEAR(E192),0,IF((YEAR(D192)+19)&gt;YEAR(E192),1,(12-MONTH(E192)+1)/12))) + (R192)*(IF((YEAR(D192)+19)&lt;YEAR(E192),0,IF((YEAR(D192)+19)&gt;YEAR(E192),1,(12-MONTH(E192)+1)/12))))-(IF((((K192)*(IF(M192="",L192,IFERROR(IF(INDEX(Variablen!$I:$AT, MATCH(M192, Variablen!$A:$A, 0), MATCH((YEAR(D192)+19), Variablen!$I$3:$AT$3, 0))="",L192,INDEX(Variablen!$I:$AT, MATCH(M192, Variablen!$A:$A, 0), MATCH((YEAR(D192)+19), Variablen!$I$3:$AT$3, 0))),L192)))*(IF((YEAR(D192)+19)&lt;YEAR(E192),0,IF((YEAR(D192)+19)&gt;YEAR(E192),1,(12-MONTH(E192)+1)/12))) + (Q192)*(IF((YEAR(D192)+19)&lt;YEAR(E192),0,IF((YEAR(D192)+19)&gt;YEAR(E192),1,(12-MONTH(E192)+1)/12))))-((P192)*(IF((YEAR(D192)+19)&lt;YEAR(E192),0,IF((YEAR(D192)+19)&gt;YEAR(E192),1,(12-MONTH(E192)+1)/12))) + (R192)*(IF((YEAR(D192)+19)&lt;YEAR(E192),0,IF((YEAR(D192)+19)&gt;YEAR(E192),1,(12-MONTH(E192)+1)/12))))-(IF(OR(N192="",N192&lt;=0),0,(O192/N192)*(IF(OR(N192="",N192&lt;=0),0,IF((YEAR(D192)+19)&lt;YEAR(E192),0,IF((YEAR(D192)+19)&gt;=YEAR(E192)+N192,0,IF((YEAR(D192)+19)=YEAR(E192),(12-MONTH(E192)+1)/12,1))))))))&gt;0,(((K192)*(IF(M192="",L192,IFERROR(IF(INDEX(Variablen!$I:$AT, MATCH(M192, Variablen!$A:$A, 0), MATCH((YEAR(D192)+19), Variablen!$I$3:$AT$3, 0))="",L192,INDEX(Variablen!$I:$AT, MATCH(M192, Variablen!$A:$A, 0), MATCH((YEAR(D192)+19), Variablen!$I$3:$AT$3, 0))),L192)))*(IF((YEAR(D192)+19)&lt;YEAR(E192),0,IF((YEAR(D192)+19)&gt;YEAR(E192),1,(12-MONTH(E192)+1)/12))) + (Q192)*(IF((YEAR(D192)+19)&lt;YEAR(E192),0,IF((YEAR(D192)+19)&gt;YEAR(E192),1,(12-MONTH(E192)+1)/12))))-((P192)*(IF((YEAR(D192)+19)&lt;YEAR(E192),0,IF((YEAR(D192)+19)&gt;YEAR(E192),1,(12-MONTH(E192)+1)/12))) + (R192)*(IF((YEAR(D192)+19)&lt;YEAR(E192),0,IF((YEAR(D192)+19)&gt;YEAR(E192),1,(12-MONTH(E192)+1)/12))))-(IF(OR(N192="",N192&lt;=0),0,(O192/N192)*(IF(OR(N192="",N192&lt;=0),0,IF((YEAR(D192)+19)&lt;YEAR(E192),0,IF((YEAR(D192)+19)&gt;=YEAR(E192)+N192,0,IF((YEAR(D192)+19)=YEAR(E192),(12-MONTH(E192)+1)/12,1))))))))*TaxRate,0))-IF(19=0,O192,0))</f>
        <v/>
      </c>
      <c r="AM192" s="29">
        <f>IF(A192="","",((K192)*(IF(M192="",L192,IFERROR(IF(INDEX(Variablen!$I:$AT, MATCH(M192, Variablen!$A:$A, 0), MATCH((YEAR(D192)+20), Variablen!$I$3:$AT$3, 0))="",L192,INDEX(Variablen!$I:$AT, MATCH(M192, Variablen!$A:$A, 0), MATCH((YEAR(D192)+20), Variablen!$I$3:$AT$3, 0))),L192)))*(IF((YEAR(D192)+20)&lt;YEAR(E192),0,IF((YEAR(D192)+20)&gt;YEAR(E192),1,(12-MONTH(E192)+1)/12))) + (Q192)*(IF((YEAR(D192)+20)&lt;YEAR(E192),0,IF((YEAR(D192)+20)&gt;YEAR(E192),1,(12-MONTH(E192)+1)/12))))-((P192)*(IF((YEAR(D192)+20)&lt;YEAR(E192),0,IF((YEAR(D192)+20)&gt;YEAR(E192),1,(12-MONTH(E192)+1)/12))) + (R192)*(IF((YEAR(D192)+20)&lt;YEAR(E192),0,IF((YEAR(D192)+20)&gt;YEAR(E192),1,(12-MONTH(E192)+1)/12))))-(IF((((K192)*(IF(M192="",L192,IFERROR(IF(INDEX(Variablen!$I:$AT, MATCH(M192, Variablen!$A:$A, 0), MATCH((YEAR(D192)+20), Variablen!$I$3:$AT$3, 0))="",L192,INDEX(Variablen!$I:$AT, MATCH(M192, Variablen!$A:$A, 0), MATCH((YEAR(D192)+20), Variablen!$I$3:$AT$3, 0))),L192)))*(IF((YEAR(D192)+20)&lt;YEAR(E192),0,IF((YEAR(D192)+20)&gt;YEAR(E192),1,(12-MONTH(E192)+1)/12))) + (Q192)*(IF((YEAR(D192)+20)&lt;YEAR(E192),0,IF((YEAR(D192)+20)&gt;YEAR(E192),1,(12-MONTH(E192)+1)/12))))-((P192)*(IF((YEAR(D192)+20)&lt;YEAR(E192),0,IF((YEAR(D192)+20)&gt;YEAR(E192),1,(12-MONTH(E192)+1)/12))) + (R192)*(IF((YEAR(D192)+20)&lt;YEAR(E192),0,IF((YEAR(D192)+20)&gt;YEAR(E192),1,(12-MONTH(E192)+1)/12))))-(IF(OR(N192="",N192&lt;=0),0,(O192/N192)*(IF(OR(N192="",N192&lt;=0),0,IF((YEAR(D192)+20)&lt;YEAR(E192),0,IF((YEAR(D192)+20)&gt;=YEAR(E192)+N192,0,IF((YEAR(D192)+20)=YEAR(E192),(12-MONTH(E192)+1)/12,1))))))))&gt;0,(((K192)*(IF(M192="",L192,IFERROR(IF(INDEX(Variablen!$I:$AT, MATCH(M192, Variablen!$A:$A, 0), MATCH((YEAR(D192)+20), Variablen!$I$3:$AT$3, 0))="",L192,INDEX(Variablen!$I:$AT, MATCH(M192, Variablen!$A:$A, 0), MATCH((YEAR(D192)+20), Variablen!$I$3:$AT$3, 0))),L192)))*(IF((YEAR(D192)+20)&lt;YEAR(E192),0,IF((YEAR(D192)+20)&gt;YEAR(E192),1,(12-MONTH(E192)+1)/12))) + (Q192)*(IF((YEAR(D192)+20)&lt;YEAR(E192),0,IF((YEAR(D192)+20)&gt;YEAR(E192),1,(12-MONTH(E192)+1)/12))))-((P192)*(IF((YEAR(D192)+20)&lt;YEAR(E192),0,IF((YEAR(D192)+20)&gt;YEAR(E192),1,(12-MONTH(E192)+1)/12))) + (R192)*(IF((YEAR(D192)+20)&lt;YEAR(E192),0,IF((YEAR(D192)+20)&gt;YEAR(E192),1,(12-MONTH(E192)+1)/12))))-(IF(OR(N192="",N192&lt;=0),0,(O192/N192)*(IF(OR(N192="",N192&lt;=0),0,IF((YEAR(D192)+20)&lt;YEAR(E192),0,IF((YEAR(D192)+20)&gt;=YEAR(E192)+N192,0,IF((YEAR(D192)+20)=YEAR(E192),(12-MONTH(E192)+1)/12,1))))))))*TaxRate,0))-IF(20=0,O192,0))</f>
        <v/>
      </c>
      <c r="AN192" s="29">
        <f>IF(A192="","",S192)</f>
        <v/>
      </c>
      <c r="AO192" s="29">
        <f>IF(A192="","",AN192+T192)</f>
        <v/>
      </c>
      <c r="AP192" s="29">
        <f>IF(A192="","",AO192+U192)</f>
        <v/>
      </c>
      <c r="AQ192" s="29">
        <f>IF(A192="","",AP192+V192)</f>
        <v/>
      </c>
      <c r="AR192" s="29">
        <f>IF(A192="","",AQ192+W192)</f>
        <v/>
      </c>
      <c r="AS192" s="29">
        <f>IF(A192="","",AR192+X192)</f>
        <v/>
      </c>
      <c r="AT192" s="29">
        <f>IF(A192="","",AS192+Y192)</f>
        <v/>
      </c>
      <c r="AU192" s="29">
        <f>IF(A192="","",AT192+Z192)</f>
        <v/>
      </c>
      <c r="AV192" s="29">
        <f>IF(A192="","",AU192+AA192)</f>
        <v/>
      </c>
      <c r="AW192" s="29">
        <f>IF(A192="","",AV192+AB192)</f>
        <v/>
      </c>
      <c r="AX192" s="29">
        <f>IF(A192="","",AW192+AC192)</f>
        <v/>
      </c>
      <c r="AY192" s="29">
        <f>IF(A192="","",AX192+AD192)</f>
        <v/>
      </c>
      <c r="AZ192" s="29">
        <f>IF(A192="","",AY192+AE192)</f>
        <v/>
      </c>
      <c r="BA192" s="29">
        <f>IF(A192="","",AZ192+AF192)</f>
        <v/>
      </c>
      <c r="BB192" s="29">
        <f>IF(A192="","",BA192+AG192)</f>
        <v/>
      </c>
      <c r="BC192" s="29">
        <f>IF(A192="","",BB192+AH192)</f>
        <v/>
      </c>
      <c r="BD192" s="29">
        <f>IF(A192="","",BC192+AI192)</f>
        <v/>
      </c>
      <c r="BE192" s="29">
        <f>IF(A192="","",BD192+AJ192)</f>
        <v/>
      </c>
      <c r="BF192" s="29">
        <f>IF(A192="","",BE192+AK192)</f>
        <v/>
      </c>
      <c r="BG192" s="29">
        <f>IF(A192="","",BF192+AL192)</f>
        <v/>
      </c>
      <c r="BH192" s="29">
        <f>IF(A192="","",BG192+AM192)</f>
        <v/>
      </c>
      <c r="BI192" s="36">
        <f>IF(A192="","",(K192)*(IF((YEAR(D192)+0)&lt;YEAR(E192),0,IF((YEAR(D192)+0)&gt;YEAR(E192),1,(12-MONTH(E192)+1)/12)))*(1/(1+DiscountRate)^0))</f>
        <v/>
      </c>
      <c r="BJ192" s="36">
        <f>IF(A192="","",(K192)*(IF((YEAR(D192)+1)&lt;YEAR(E192),0,IF((YEAR(D192)+1)&gt;YEAR(E192),1,(12-MONTH(E192)+1)/12)))*(1/(1+DiscountRate)^1))</f>
        <v/>
      </c>
      <c r="BK192" s="36">
        <f>IF(A192="","",(K192)*(IF((YEAR(D192)+2)&lt;YEAR(E192),0,IF((YEAR(D192)+2)&gt;YEAR(E192),1,(12-MONTH(E192)+1)/12)))*(1/(1+DiscountRate)^2))</f>
        <v/>
      </c>
      <c r="BL192" s="36">
        <f>IF(A192="","",(K192)*(IF((YEAR(D192)+3)&lt;YEAR(E192),0,IF((YEAR(D192)+3)&gt;YEAR(E192),1,(12-MONTH(E192)+1)/12)))*(1/(1+DiscountRate)^3))</f>
        <v/>
      </c>
      <c r="BM192" s="36">
        <f>IF(A192="","",(K192)*(IF((YEAR(D192)+4)&lt;YEAR(E192),0,IF((YEAR(D192)+4)&gt;YEAR(E192),1,(12-MONTH(E192)+1)/12)))*(1/(1+DiscountRate)^4))</f>
        <v/>
      </c>
      <c r="BN192" s="36">
        <f>IF(A192="","",(K192)*(IF((YEAR(D192)+5)&lt;YEAR(E192),0,IF((YEAR(D192)+5)&gt;YEAR(E192),1,(12-MONTH(E192)+1)/12)))*(1/(1+DiscountRate)^5))</f>
        <v/>
      </c>
      <c r="BO192" s="36">
        <f>IF(A192="","",(K192)*(IF((YEAR(D192)+6)&lt;YEAR(E192),0,IF((YEAR(D192)+6)&gt;YEAR(E192),1,(12-MONTH(E192)+1)/12)))*(1/(1+DiscountRate)^6))</f>
        <v/>
      </c>
      <c r="BP192" s="36">
        <f>IF(A192="","",(K192)*(IF((YEAR(D192)+7)&lt;YEAR(E192),0,IF((YEAR(D192)+7)&gt;YEAR(E192),1,(12-MONTH(E192)+1)/12)))*(1/(1+DiscountRate)^7))</f>
        <v/>
      </c>
      <c r="BQ192" s="36">
        <f>IF(A192="","",(K192)*(IF((YEAR(D192)+8)&lt;YEAR(E192),0,IF((YEAR(D192)+8)&gt;YEAR(E192),1,(12-MONTH(E192)+1)/12)))*(1/(1+DiscountRate)^8))</f>
        <v/>
      </c>
      <c r="BR192" s="36">
        <f>IF(A192="","",(K192)*(IF((YEAR(D192)+9)&lt;YEAR(E192),0,IF((YEAR(D192)+9)&gt;YEAR(E192),1,(12-MONTH(E192)+1)/12)))*(1/(1+DiscountRate)^9))</f>
        <v/>
      </c>
      <c r="BS192" s="36">
        <f>IF(A192="","",(K192)*(IF((YEAR(D192)+10)&lt;YEAR(E192),0,IF((YEAR(D192)+10)&gt;YEAR(E192),1,(12-MONTH(E192)+1)/12)))*(1/(1+DiscountRate)^10))</f>
        <v/>
      </c>
      <c r="BT192" s="36">
        <f>IF(A192="","",(K192)*(IF((YEAR(D192)+11)&lt;YEAR(E192),0,IF((YEAR(D192)+11)&gt;YEAR(E192),1,(12-MONTH(E192)+1)/12)))*(1/(1+DiscountRate)^11))</f>
        <v/>
      </c>
      <c r="BU192" s="36">
        <f>IF(A192="","",(K192)*(IF((YEAR(D192)+12)&lt;YEAR(E192),0,IF((YEAR(D192)+12)&gt;YEAR(E192),1,(12-MONTH(E192)+1)/12)))*(1/(1+DiscountRate)^12))</f>
        <v/>
      </c>
      <c r="BV192" s="36">
        <f>IF(A192="","",(K192)*(IF((YEAR(D192)+13)&lt;YEAR(E192),0,IF((YEAR(D192)+13)&gt;YEAR(E192),1,(12-MONTH(E192)+1)/12)))*(1/(1+DiscountRate)^13))</f>
        <v/>
      </c>
      <c r="BW192" s="36">
        <f>IF(A192="","",(K192)*(IF((YEAR(D192)+14)&lt;YEAR(E192),0,IF((YEAR(D192)+14)&gt;YEAR(E192),1,(12-MONTH(E192)+1)/12)))*(1/(1+DiscountRate)^14))</f>
        <v/>
      </c>
      <c r="BX192" s="36">
        <f>IF(A192="","",(K192)*(IF((YEAR(D192)+15)&lt;YEAR(E192),0,IF((YEAR(D192)+15)&gt;YEAR(E192),1,(12-MONTH(E192)+1)/12)))*(1/(1+DiscountRate)^15))</f>
        <v/>
      </c>
      <c r="BY192" s="36">
        <f>IF(A192="","",(K192)*(IF((YEAR(D192)+16)&lt;YEAR(E192),0,IF((YEAR(D192)+16)&gt;YEAR(E192),1,(12-MONTH(E192)+1)/12)))*(1/(1+DiscountRate)^16))</f>
        <v/>
      </c>
      <c r="BZ192" s="36">
        <f>IF(A192="","",(K192)*(IF((YEAR(D192)+17)&lt;YEAR(E192),0,IF((YEAR(D192)+17)&gt;YEAR(E192),1,(12-MONTH(E192)+1)/12)))*(1/(1+DiscountRate)^17))</f>
        <v/>
      </c>
      <c r="CA192" s="36">
        <f>IF(A192="","",(K192)*(IF((YEAR(D192)+18)&lt;YEAR(E192),0,IF((YEAR(D192)+18)&gt;YEAR(E192),1,(12-MONTH(E192)+1)/12)))*(1/(1+DiscountRate)^18))</f>
        <v/>
      </c>
      <c r="CB192" s="36">
        <f>IF(A192="","",(K192)*(IF((YEAR(D192)+19)&lt;YEAR(E192),0,IF((YEAR(D192)+19)&gt;YEAR(E192),1,(12-MONTH(E192)+1)/12)))*(1/(1+DiscountRate)^19))</f>
        <v/>
      </c>
      <c r="CC192" s="36">
        <f>IF(A192="","",(K192)*(IF((YEAR(D192)+20)&lt;YEAR(E192),0,IF((YEAR(D192)+20)&gt;YEAR(E192),1,(12-MONTH(E192)+1)/12)))*(1/(1+DiscountRate)^20))</f>
        <v/>
      </c>
      <c r="CD192" s="29">
        <f>IF(A192="","",S192/(1+DiscountRate)^0+T192/(1+DiscountRate)^1+U192/(1+DiscountRate)^2+V192/(1+DiscountRate)^3+W192/(1+DiscountRate)^4+X192/(1+DiscountRate)^5+Y192/(1+DiscountRate)^6+Z192/(1+DiscountRate)^7+AA192/(1+DiscountRate)^8+AB192/(1+DiscountRate)^9+AC192/(1+DiscountRate)^10+AD192/(1+DiscountRate)^11+AE192/(1+DiscountRate)^12+AF192/(1+DiscountRate)^13+AG192/(1+DiscountRate)^14+AH192/(1+DiscountRate)^15+AI192/(1+DiscountRate)^16+AJ192/(1+DiscountRate)^17+AK192/(1+DiscountRate)^18+AL192/(1+DiscountRate)^19+AM192/(1+DiscountRate)^20)</f>
        <v/>
      </c>
      <c r="CE192" s="37">
        <f>IF(A192="","",IFERROR(IRR(OFFSET(S192,0,0,1,MIN(HorizonYears,20)+1)),"n/a"))</f>
        <v/>
      </c>
      <c r="CF192" s="28">
        <f>IF(A192="","",IFERROR(MATCH(TRUE,OFFSET(AN192,0,0,1,MIN(HorizonYears,20)+1)&gt;=0,0)-1,"n/a"))</f>
        <v/>
      </c>
      <c r="CG192" s="36">
        <f>IF(A192="","",SUM(OFFSET(BI192,0,0,1,MIN(HorizonYears,20)+1)))</f>
        <v/>
      </c>
      <c r="CH192" s="36">
        <f>IF(A192="","",IFERROR(-CD192/CG192,"n/a"))</f>
        <v/>
      </c>
    </row>
    <row r="193">
      <c r="A193" s="6">
        <f>Actions!A191</f>
        <v/>
      </c>
      <c r="B193" s="6">
        <f>Actions!B191</f>
        <v/>
      </c>
      <c r="C193" s="6">
        <f>Actions!D191</f>
        <v/>
      </c>
      <c r="D193" s="35">
        <f>Actions!E191</f>
        <v/>
      </c>
      <c r="E193" s="35">
        <f>Actions!F191</f>
        <v/>
      </c>
      <c r="F193" s="6">
        <f>Actions!G191</f>
        <v/>
      </c>
      <c r="G193" s="6">
        <f>Actions!H191</f>
        <v/>
      </c>
      <c r="H193" s="29">
        <f>Actions!I191</f>
        <v/>
      </c>
      <c r="I193" s="6">
        <f>Actions!J191</f>
        <v/>
      </c>
      <c r="J193" s="16">
        <f>Actions!K191</f>
        <v/>
      </c>
      <c r="K193" s="16">
        <f>IF(A193="","",IF(I193="%",H193*J193,J193))</f>
        <v/>
      </c>
      <c r="L193" s="16">
        <f>Actions!L191</f>
        <v/>
      </c>
      <c r="M193" s="6">
        <f>Actions!M191</f>
        <v/>
      </c>
      <c r="N193" s="28">
        <f>Actions!N191</f>
        <v/>
      </c>
      <c r="O193" s="29">
        <f>Actions!T191</f>
        <v/>
      </c>
      <c r="P193" s="29">
        <f>Actions!Y191</f>
        <v/>
      </c>
      <c r="Q193" s="29">
        <f>Actions!Z191</f>
        <v/>
      </c>
      <c r="R193" s="29">
        <f>Actions!AA191</f>
        <v/>
      </c>
      <c r="S193" s="29">
        <f>IF(A193="","",((K193)*(IF(M193="",L193,IFERROR(IF(INDEX(Variablen!$I:$AT, MATCH(M193, Variablen!$A:$A, 0), MATCH((YEAR(D193)+0), Variablen!$I$3:$AT$3, 0))="",L193,INDEX(Variablen!$I:$AT, MATCH(M193, Variablen!$A:$A, 0), MATCH((YEAR(D193)+0), Variablen!$I$3:$AT$3, 0))),L193)))*(IF((YEAR(D193)+0)&lt;YEAR(E193),0,IF((YEAR(D193)+0)&gt;YEAR(E193),1,(12-MONTH(E193)+1)/12))) + (Q193)*(IF((YEAR(D193)+0)&lt;YEAR(E193),0,IF((YEAR(D193)+0)&gt;YEAR(E193),1,(12-MONTH(E193)+1)/12))))-((P193)*(IF((YEAR(D193)+0)&lt;YEAR(E193),0,IF((YEAR(D193)+0)&gt;YEAR(E193),1,(12-MONTH(E193)+1)/12))) + (R193)*(IF((YEAR(D193)+0)&lt;YEAR(E193),0,IF((YEAR(D193)+0)&gt;YEAR(E193),1,(12-MONTH(E193)+1)/12))))-(IF((((K193)*(IF(M193="",L193,IFERROR(IF(INDEX(Variablen!$I:$AT, MATCH(M193, Variablen!$A:$A, 0), MATCH((YEAR(D193)+0), Variablen!$I$3:$AT$3, 0))="",L193,INDEX(Variablen!$I:$AT, MATCH(M193, Variablen!$A:$A, 0), MATCH((YEAR(D193)+0), Variablen!$I$3:$AT$3, 0))),L193)))*(IF((YEAR(D193)+0)&lt;YEAR(E193),0,IF((YEAR(D193)+0)&gt;YEAR(E193),1,(12-MONTH(E193)+1)/12))) + (Q193)*(IF((YEAR(D193)+0)&lt;YEAR(E193),0,IF((YEAR(D193)+0)&gt;YEAR(E193),1,(12-MONTH(E193)+1)/12))))-((P193)*(IF((YEAR(D193)+0)&lt;YEAR(E193),0,IF((YEAR(D193)+0)&gt;YEAR(E193),1,(12-MONTH(E193)+1)/12))) + (R193)*(IF((YEAR(D193)+0)&lt;YEAR(E193),0,IF((YEAR(D193)+0)&gt;YEAR(E193),1,(12-MONTH(E193)+1)/12))))-(IF(OR(N193="",N193&lt;=0),0,(O193/N193)*(IF(OR(N193="",N193&lt;=0),0,IF((YEAR(D193)+0)&lt;YEAR(E193),0,IF((YEAR(D193)+0)&gt;=YEAR(E193)+N193,0,IF((YEAR(D193)+0)=YEAR(E193),(12-MONTH(E193)+1)/12,1))))))))&gt;0,(((K193)*(IF(M193="",L193,IFERROR(IF(INDEX(Variablen!$I:$AT, MATCH(M193, Variablen!$A:$A, 0), MATCH((YEAR(D193)+0), Variablen!$I$3:$AT$3, 0))="",L193,INDEX(Variablen!$I:$AT, MATCH(M193, Variablen!$A:$A, 0), MATCH((YEAR(D193)+0), Variablen!$I$3:$AT$3, 0))),L193)))*(IF((YEAR(D193)+0)&lt;YEAR(E193),0,IF((YEAR(D193)+0)&gt;YEAR(E193),1,(12-MONTH(E193)+1)/12))) + (Q193)*(IF((YEAR(D193)+0)&lt;YEAR(E193),0,IF((YEAR(D193)+0)&gt;YEAR(E193),1,(12-MONTH(E193)+1)/12))))-((P193)*(IF((YEAR(D193)+0)&lt;YEAR(E193),0,IF((YEAR(D193)+0)&gt;YEAR(E193),1,(12-MONTH(E193)+1)/12))) + (R193)*(IF((YEAR(D193)+0)&lt;YEAR(E193),0,IF((YEAR(D193)+0)&gt;YEAR(E193),1,(12-MONTH(E193)+1)/12))))-(IF(OR(N193="",N193&lt;=0),0,(O193/N193)*(IF(OR(N193="",N193&lt;=0),0,IF((YEAR(D193)+0)&lt;YEAR(E193),0,IF((YEAR(D193)+0)&gt;=YEAR(E193)+N193,0,IF((YEAR(D193)+0)=YEAR(E193),(12-MONTH(E193)+1)/12,1))))))))*TaxRate,0))-IF(0=0,O193,0))</f>
        <v/>
      </c>
      <c r="T193" s="29">
        <f>IF(A193="","",((K193)*(IF(M193="",L193,IFERROR(IF(INDEX(Variablen!$I:$AT, MATCH(M193, Variablen!$A:$A, 0), MATCH((YEAR(D193)+1), Variablen!$I$3:$AT$3, 0))="",L193,INDEX(Variablen!$I:$AT, MATCH(M193, Variablen!$A:$A, 0), MATCH((YEAR(D193)+1), Variablen!$I$3:$AT$3, 0))),L193)))*(IF((YEAR(D193)+1)&lt;YEAR(E193),0,IF((YEAR(D193)+1)&gt;YEAR(E193),1,(12-MONTH(E193)+1)/12))) + (Q193)*(IF((YEAR(D193)+1)&lt;YEAR(E193),0,IF((YEAR(D193)+1)&gt;YEAR(E193),1,(12-MONTH(E193)+1)/12))))-((P193)*(IF((YEAR(D193)+1)&lt;YEAR(E193),0,IF((YEAR(D193)+1)&gt;YEAR(E193),1,(12-MONTH(E193)+1)/12))) + (R193)*(IF((YEAR(D193)+1)&lt;YEAR(E193),0,IF((YEAR(D193)+1)&gt;YEAR(E193),1,(12-MONTH(E193)+1)/12))))-(IF((((K193)*(IF(M193="",L193,IFERROR(IF(INDEX(Variablen!$I:$AT, MATCH(M193, Variablen!$A:$A, 0), MATCH((YEAR(D193)+1), Variablen!$I$3:$AT$3, 0))="",L193,INDEX(Variablen!$I:$AT, MATCH(M193, Variablen!$A:$A, 0), MATCH((YEAR(D193)+1), Variablen!$I$3:$AT$3, 0))),L193)))*(IF((YEAR(D193)+1)&lt;YEAR(E193),0,IF((YEAR(D193)+1)&gt;YEAR(E193),1,(12-MONTH(E193)+1)/12))) + (Q193)*(IF((YEAR(D193)+1)&lt;YEAR(E193),0,IF((YEAR(D193)+1)&gt;YEAR(E193),1,(12-MONTH(E193)+1)/12))))-((P193)*(IF((YEAR(D193)+1)&lt;YEAR(E193),0,IF((YEAR(D193)+1)&gt;YEAR(E193),1,(12-MONTH(E193)+1)/12))) + (R193)*(IF((YEAR(D193)+1)&lt;YEAR(E193),0,IF((YEAR(D193)+1)&gt;YEAR(E193),1,(12-MONTH(E193)+1)/12))))-(IF(OR(N193="",N193&lt;=0),0,(O193/N193)*(IF(OR(N193="",N193&lt;=0),0,IF((YEAR(D193)+1)&lt;YEAR(E193),0,IF((YEAR(D193)+1)&gt;=YEAR(E193)+N193,0,IF((YEAR(D193)+1)=YEAR(E193),(12-MONTH(E193)+1)/12,1))))))))&gt;0,(((K193)*(IF(M193="",L193,IFERROR(IF(INDEX(Variablen!$I:$AT, MATCH(M193, Variablen!$A:$A, 0), MATCH((YEAR(D193)+1), Variablen!$I$3:$AT$3, 0))="",L193,INDEX(Variablen!$I:$AT, MATCH(M193, Variablen!$A:$A, 0), MATCH((YEAR(D193)+1), Variablen!$I$3:$AT$3, 0))),L193)))*(IF((YEAR(D193)+1)&lt;YEAR(E193),0,IF((YEAR(D193)+1)&gt;YEAR(E193),1,(12-MONTH(E193)+1)/12))) + (Q193)*(IF((YEAR(D193)+1)&lt;YEAR(E193),0,IF((YEAR(D193)+1)&gt;YEAR(E193),1,(12-MONTH(E193)+1)/12))))-((P193)*(IF((YEAR(D193)+1)&lt;YEAR(E193),0,IF((YEAR(D193)+1)&gt;YEAR(E193),1,(12-MONTH(E193)+1)/12))) + (R193)*(IF((YEAR(D193)+1)&lt;YEAR(E193),0,IF((YEAR(D193)+1)&gt;YEAR(E193),1,(12-MONTH(E193)+1)/12))))-(IF(OR(N193="",N193&lt;=0),0,(O193/N193)*(IF(OR(N193="",N193&lt;=0),0,IF((YEAR(D193)+1)&lt;YEAR(E193),0,IF((YEAR(D193)+1)&gt;=YEAR(E193)+N193,0,IF((YEAR(D193)+1)=YEAR(E193),(12-MONTH(E193)+1)/12,1))))))))*TaxRate,0))-IF(1=0,O193,0))</f>
        <v/>
      </c>
      <c r="U193" s="29">
        <f>IF(A193="","",((K193)*(IF(M193="",L193,IFERROR(IF(INDEX(Variablen!$I:$AT, MATCH(M193, Variablen!$A:$A, 0), MATCH((YEAR(D193)+2), Variablen!$I$3:$AT$3, 0))="",L193,INDEX(Variablen!$I:$AT, MATCH(M193, Variablen!$A:$A, 0), MATCH((YEAR(D193)+2), Variablen!$I$3:$AT$3, 0))),L193)))*(IF((YEAR(D193)+2)&lt;YEAR(E193),0,IF((YEAR(D193)+2)&gt;YEAR(E193),1,(12-MONTH(E193)+1)/12))) + (Q193)*(IF((YEAR(D193)+2)&lt;YEAR(E193),0,IF((YEAR(D193)+2)&gt;YEAR(E193),1,(12-MONTH(E193)+1)/12))))-((P193)*(IF((YEAR(D193)+2)&lt;YEAR(E193),0,IF((YEAR(D193)+2)&gt;YEAR(E193),1,(12-MONTH(E193)+1)/12))) + (R193)*(IF((YEAR(D193)+2)&lt;YEAR(E193),0,IF((YEAR(D193)+2)&gt;YEAR(E193),1,(12-MONTH(E193)+1)/12))))-(IF((((K193)*(IF(M193="",L193,IFERROR(IF(INDEX(Variablen!$I:$AT, MATCH(M193, Variablen!$A:$A, 0), MATCH((YEAR(D193)+2), Variablen!$I$3:$AT$3, 0))="",L193,INDEX(Variablen!$I:$AT, MATCH(M193, Variablen!$A:$A, 0), MATCH((YEAR(D193)+2), Variablen!$I$3:$AT$3, 0))),L193)))*(IF((YEAR(D193)+2)&lt;YEAR(E193),0,IF((YEAR(D193)+2)&gt;YEAR(E193),1,(12-MONTH(E193)+1)/12))) + (Q193)*(IF((YEAR(D193)+2)&lt;YEAR(E193),0,IF((YEAR(D193)+2)&gt;YEAR(E193),1,(12-MONTH(E193)+1)/12))))-((P193)*(IF((YEAR(D193)+2)&lt;YEAR(E193),0,IF((YEAR(D193)+2)&gt;YEAR(E193),1,(12-MONTH(E193)+1)/12))) + (R193)*(IF((YEAR(D193)+2)&lt;YEAR(E193),0,IF((YEAR(D193)+2)&gt;YEAR(E193),1,(12-MONTH(E193)+1)/12))))-(IF(OR(N193="",N193&lt;=0),0,(O193/N193)*(IF(OR(N193="",N193&lt;=0),0,IF((YEAR(D193)+2)&lt;YEAR(E193),0,IF((YEAR(D193)+2)&gt;=YEAR(E193)+N193,0,IF((YEAR(D193)+2)=YEAR(E193),(12-MONTH(E193)+1)/12,1))))))))&gt;0,(((K193)*(IF(M193="",L193,IFERROR(IF(INDEX(Variablen!$I:$AT, MATCH(M193, Variablen!$A:$A, 0), MATCH((YEAR(D193)+2), Variablen!$I$3:$AT$3, 0))="",L193,INDEX(Variablen!$I:$AT, MATCH(M193, Variablen!$A:$A, 0), MATCH((YEAR(D193)+2), Variablen!$I$3:$AT$3, 0))),L193)))*(IF((YEAR(D193)+2)&lt;YEAR(E193),0,IF((YEAR(D193)+2)&gt;YEAR(E193),1,(12-MONTH(E193)+1)/12))) + (Q193)*(IF((YEAR(D193)+2)&lt;YEAR(E193),0,IF((YEAR(D193)+2)&gt;YEAR(E193),1,(12-MONTH(E193)+1)/12))))-((P193)*(IF((YEAR(D193)+2)&lt;YEAR(E193),0,IF((YEAR(D193)+2)&gt;YEAR(E193),1,(12-MONTH(E193)+1)/12))) + (R193)*(IF((YEAR(D193)+2)&lt;YEAR(E193),0,IF((YEAR(D193)+2)&gt;YEAR(E193),1,(12-MONTH(E193)+1)/12))))-(IF(OR(N193="",N193&lt;=0),0,(O193/N193)*(IF(OR(N193="",N193&lt;=0),0,IF((YEAR(D193)+2)&lt;YEAR(E193),0,IF((YEAR(D193)+2)&gt;=YEAR(E193)+N193,0,IF((YEAR(D193)+2)=YEAR(E193),(12-MONTH(E193)+1)/12,1))))))))*TaxRate,0))-IF(2=0,O193,0))</f>
        <v/>
      </c>
      <c r="V193" s="29">
        <f>IF(A193="","",((K193)*(IF(M193="",L193,IFERROR(IF(INDEX(Variablen!$I:$AT, MATCH(M193, Variablen!$A:$A, 0), MATCH((YEAR(D193)+3), Variablen!$I$3:$AT$3, 0))="",L193,INDEX(Variablen!$I:$AT, MATCH(M193, Variablen!$A:$A, 0), MATCH((YEAR(D193)+3), Variablen!$I$3:$AT$3, 0))),L193)))*(IF((YEAR(D193)+3)&lt;YEAR(E193),0,IF((YEAR(D193)+3)&gt;YEAR(E193),1,(12-MONTH(E193)+1)/12))) + (Q193)*(IF((YEAR(D193)+3)&lt;YEAR(E193),0,IF((YEAR(D193)+3)&gt;YEAR(E193),1,(12-MONTH(E193)+1)/12))))-((P193)*(IF((YEAR(D193)+3)&lt;YEAR(E193),0,IF((YEAR(D193)+3)&gt;YEAR(E193),1,(12-MONTH(E193)+1)/12))) + (R193)*(IF((YEAR(D193)+3)&lt;YEAR(E193),0,IF((YEAR(D193)+3)&gt;YEAR(E193),1,(12-MONTH(E193)+1)/12))))-(IF((((K193)*(IF(M193="",L193,IFERROR(IF(INDEX(Variablen!$I:$AT, MATCH(M193, Variablen!$A:$A, 0), MATCH((YEAR(D193)+3), Variablen!$I$3:$AT$3, 0))="",L193,INDEX(Variablen!$I:$AT, MATCH(M193, Variablen!$A:$A, 0), MATCH((YEAR(D193)+3), Variablen!$I$3:$AT$3, 0))),L193)))*(IF((YEAR(D193)+3)&lt;YEAR(E193),0,IF((YEAR(D193)+3)&gt;YEAR(E193),1,(12-MONTH(E193)+1)/12))) + (Q193)*(IF((YEAR(D193)+3)&lt;YEAR(E193),0,IF((YEAR(D193)+3)&gt;YEAR(E193),1,(12-MONTH(E193)+1)/12))))-((P193)*(IF((YEAR(D193)+3)&lt;YEAR(E193),0,IF((YEAR(D193)+3)&gt;YEAR(E193),1,(12-MONTH(E193)+1)/12))) + (R193)*(IF((YEAR(D193)+3)&lt;YEAR(E193),0,IF((YEAR(D193)+3)&gt;YEAR(E193),1,(12-MONTH(E193)+1)/12))))-(IF(OR(N193="",N193&lt;=0),0,(O193/N193)*(IF(OR(N193="",N193&lt;=0),0,IF((YEAR(D193)+3)&lt;YEAR(E193),0,IF((YEAR(D193)+3)&gt;=YEAR(E193)+N193,0,IF((YEAR(D193)+3)=YEAR(E193),(12-MONTH(E193)+1)/12,1))))))))&gt;0,(((K193)*(IF(M193="",L193,IFERROR(IF(INDEX(Variablen!$I:$AT, MATCH(M193, Variablen!$A:$A, 0), MATCH((YEAR(D193)+3), Variablen!$I$3:$AT$3, 0))="",L193,INDEX(Variablen!$I:$AT, MATCH(M193, Variablen!$A:$A, 0), MATCH((YEAR(D193)+3), Variablen!$I$3:$AT$3, 0))),L193)))*(IF((YEAR(D193)+3)&lt;YEAR(E193),0,IF((YEAR(D193)+3)&gt;YEAR(E193),1,(12-MONTH(E193)+1)/12))) + (Q193)*(IF((YEAR(D193)+3)&lt;YEAR(E193),0,IF((YEAR(D193)+3)&gt;YEAR(E193),1,(12-MONTH(E193)+1)/12))))-((P193)*(IF((YEAR(D193)+3)&lt;YEAR(E193),0,IF((YEAR(D193)+3)&gt;YEAR(E193),1,(12-MONTH(E193)+1)/12))) + (R193)*(IF((YEAR(D193)+3)&lt;YEAR(E193),0,IF((YEAR(D193)+3)&gt;YEAR(E193),1,(12-MONTH(E193)+1)/12))))-(IF(OR(N193="",N193&lt;=0),0,(O193/N193)*(IF(OR(N193="",N193&lt;=0),0,IF((YEAR(D193)+3)&lt;YEAR(E193),0,IF((YEAR(D193)+3)&gt;=YEAR(E193)+N193,0,IF((YEAR(D193)+3)=YEAR(E193),(12-MONTH(E193)+1)/12,1))))))))*TaxRate,0))-IF(3=0,O193,0))</f>
        <v/>
      </c>
      <c r="W193" s="29">
        <f>IF(A193="","",((K193)*(IF(M193="",L193,IFERROR(IF(INDEX(Variablen!$I:$AT, MATCH(M193, Variablen!$A:$A, 0), MATCH((YEAR(D193)+4), Variablen!$I$3:$AT$3, 0))="",L193,INDEX(Variablen!$I:$AT, MATCH(M193, Variablen!$A:$A, 0), MATCH((YEAR(D193)+4), Variablen!$I$3:$AT$3, 0))),L193)))*(IF((YEAR(D193)+4)&lt;YEAR(E193),0,IF((YEAR(D193)+4)&gt;YEAR(E193),1,(12-MONTH(E193)+1)/12))) + (Q193)*(IF((YEAR(D193)+4)&lt;YEAR(E193),0,IF((YEAR(D193)+4)&gt;YEAR(E193),1,(12-MONTH(E193)+1)/12))))-((P193)*(IF((YEAR(D193)+4)&lt;YEAR(E193),0,IF((YEAR(D193)+4)&gt;YEAR(E193),1,(12-MONTH(E193)+1)/12))) + (R193)*(IF((YEAR(D193)+4)&lt;YEAR(E193),0,IF((YEAR(D193)+4)&gt;YEAR(E193),1,(12-MONTH(E193)+1)/12))))-(IF((((K193)*(IF(M193="",L193,IFERROR(IF(INDEX(Variablen!$I:$AT, MATCH(M193, Variablen!$A:$A, 0), MATCH((YEAR(D193)+4), Variablen!$I$3:$AT$3, 0))="",L193,INDEX(Variablen!$I:$AT, MATCH(M193, Variablen!$A:$A, 0), MATCH((YEAR(D193)+4), Variablen!$I$3:$AT$3, 0))),L193)))*(IF((YEAR(D193)+4)&lt;YEAR(E193),0,IF((YEAR(D193)+4)&gt;YEAR(E193),1,(12-MONTH(E193)+1)/12))) + (Q193)*(IF((YEAR(D193)+4)&lt;YEAR(E193),0,IF((YEAR(D193)+4)&gt;YEAR(E193),1,(12-MONTH(E193)+1)/12))))-((P193)*(IF((YEAR(D193)+4)&lt;YEAR(E193),0,IF((YEAR(D193)+4)&gt;YEAR(E193),1,(12-MONTH(E193)+1)/12))) + (R193)*(IF((YEAR(D193)+4)&lt;YEAR(E193),0,IF((YEAR(D193)+4)&gt;YEAR(E193),1,(12-MONTH(E193)+1)/12))))-(IF(OR(N193="",N193&lt;=0),0,(O193/N193)*(IF(OR(N193="",N193&lt;=0),0,IF((YEAR(D193)+4)&lt;YEAR(E193),0,IF((YEAR(D193)+4)&gt;=YEAR(E193)+N193,0,IF((YEAR(D193)+4)=YEAR(E193),(12-MONTH(E193)+1)/12,1))))))))&gt;0,(((K193)*(IF(M193="",L193,IFERROR(IF(INDEX(Variablen!$I:$AT, MATCH(M193, Variablen!$A:$A, 0), MATCH((YEAR(D193)+4), Variablen!$I$3:$AT$3, 0))="",L193,INDEX(Variablen!$I:$AT, MATCH(M193, Variablen!$A:$A, 0), MATCH((YEAR(D193)+4), Variablen!$I$3:$AT$3, 0))),L193)))*(IF((YEAR(D193)+4)&lt;YEAR(E193),0,IF((YEAR(D193)+4)&gt;YEAR(E193),1,(12-MONTH(E193)+1)/12))) + (Q193)*(IF((YEAR(D193)+4)&lt;YEAR(E193),0,IF((YEAR(D193)+4)&gt;YEAR(E193),1,(12-MONTH(E193)+1)/12))))-((P193)*(IF((YEAR(D193)+4)&lt;YEAR(E193),0,IF((YEAR(D193)+4)&gt;YEAR(E193),1,(12-MONTH(E193)+1)/12))) + (R193)*(IF((YEAR(D193)+4)&lt;YEAR(E193),0,IF((YEAR(D193)+4)&gt;YEAR(E193),1,(12-MONTH(E193)+1)/12))))-(IF(OR(N193="",N193&lt;=0),0,(O193/N193)*(IF(OR(N193="",N193&lt;=0),0,IF((YEAR(D193)+4)&lt;YEAR(E193),0,IF((YEAR(D193)+4)&gt;=YEAR(E193)+N193,0,IF((YEAR(D193)+4)=YEAR(E193),(12-MONTH(E193)+1)/12,1))))))))*TaxRate,0))-IF(4=0,O193,0))</f>
        <v/>
      </c>
      <c r="X193" s="29">
        <f>IF(A193="","",((K193)*(IF(M193="",L193,IFERROR(IF(INDEX(Variablen!$I:$AT, MATCH(M193, Variablen!$A:$A, 0), MATCH((YEAR(D193)+5), Variablen!$I$3:$AT$3, 0))="",L193,INDEX(Variablen!$I:$AT, MATCH(M193, Variablen!$A:$A, 0), MATCH((YEAR(D193)+5), Variablen!$I$3:$AT$3, 0))),L193)))*(IF((YEAR(D193)+5)&lt;YEAR(E193),0,IF((YEAR(D193)+5)&gt;YEAR(E193),1,(12-MONTH(E193)+1)/12))) + (Q193)*(IF((YEAR(D193)+5)&lt;YEAR(E193),0,IF((YEAR(D193)+5)&gt;YEAR(E193),1,(12-MONTH(E193)+1)/12))))-((P193)*(IF((YEAR(D193)+5)&lt;YEAR(E193),0,IF((YEAR(D193)+5)&gt;YEAR(E193),1,(12-MONTH(E193)+1)/12))) + (R193)*(IF((YEAR(D193)+5)&lt;YEAR(E193),0,IF((YEAR(D193)+5)&gt;YEAR(E193),1,(12-MONTH(E193)+1)/12))))-(IF((((K193)*(IF(M193="",L193,IFERROR(IF(INDEX(Variablen!$I:$AT, MATCH(M193, Variablen!$A:$A, 0), MATCH((YEAR(D193)+5), Variablen!$I$3:$AT$3, 0))="",L193,INDEX(Variablen!$I:$AT, MATCH(M193, Variablen!$A:$A, 0), MATCH((YEAR(D193)+5), Variablen!$I$3:$AT$3, 0))),L193)))*(IF((YEAR(D193)+5)&lt;YEAR(E193),0,IF((YEAR(D193)+5)&gt;YEAR(E193),1,(12-MONTH(E193)+1)/12))) + (Q193)*(IF((YEAR(D193)+5)&lt;YEAR(E193),0,IF((YEAR(D193)+5)&gt;YEAR(E193),1,(12-MONTH(E193)+1)/12))))-((P193)*(IF((YEAR(D193)+5)&lt;YEAR(E193),0,IF((YEAR(D193)+5)&gt;YEAR(E193),1,(12-MONTH(E193)+1)/12))) + (R193)*(IF((YEAR(D193)+5)&lt;YEAR(E193),0,IF((YEAR(D193)+5)&gt;YEAR(E193),1,(12-MONTH(E193)+1)/12))))-(IF(OR(N193="",N193&lt;=0),0,(O193/N193)*(IF(OR(N193="",N193&lt;=0),0,IF((YEAR(D193)+5)&lt;YEAR(E193),0,IF((YEAR(D193)+5)&gt;=YEAR(E193)+N193,0,IF((YEAR(D193)+5)=YEAR(E193),(12-MONTH(E193)+1)/12,1))))))))&gt;0,(((K193)*(IF(M193="",L193,IFERROR(IF(INDEX(Variablen!$I:$AT, MATCH(M193, Variablen!$A:$A, 0), MATCH((YEAR(D193)+5), Variablen!$I$3:$AT$3, 0))="",L193,INDEX(Variablen!$I:$AT, MATCH(M193, Variablen!$A:$A, 0), MATCH((YEAR(D193)+5), Variablen!$I$3:$AT$3, 0))),L193)))*(IF((YEAR(D193)+5)&lt;YEAR(E193),0,IF((YEAR(D193)+5)&gt;YEAR(E193),1,(12-MONTH(E193)+1)/12))) + (Q193)*(IF((YEAR(D193)+5)&lt;YEAR(E193),0,IF((YEAR(D193)+5)&gt;YEAR(E193),1,(12-MONTH(E193)+1)/12))))-((P193)*(IF((YEAR(D193)+5)&lt;YEAR(E193),0,IF((YEAR(D193)+5)&gt;YEAR(E193),1,(12-MONTH(E193)+1)/12))) + (R193)*(IF((YEAR(D193)+5)&lt;YEAR(E193),0,IF((YEAR(D193)+5)&gt;YEAR(E193),1,(12-MONTH(E193)+1)/12))))-(IF(OR(N193="",N193&lt;=0),0,(O193/N193)*(IF(OR(N193="",N193&lt;=0),0,IF((YEAR(D193)+5)&lt;YEAR(E193),0,IF((YEAR(D193)+5)&gt;=YEAR(E193)+N193,0,IF((YEAR(D193)+5)=YEAR(E193),(12-MONTH(E193)+1)/12,1))))))))*TaxRate,0))-IF(5=0,O193,0))</f>
        <v/>
      </c>
      <c r="Y193" s="29">
        <f>IF(A193="","",((K193)*(IF(M193="",L193,IFERROR(IF(INDEX(Variablen!$I:$AT, MATCH(M193, Variablen!$A:$A, 0), MATCH((YEAR(D193)+6), Variablen!$I$3:$AT$3, 0))="",L193,INDEX(Variablen!$I:$AT, MATCH(M193, Variablen!$A:$A, 0), MATCH((YEAR(D193)+6), Variablen!$I$3:$AT$3, 0))),L193)))*(IF((YEAR(D193)+6)&lt;YEAR(E193),0,IF((YEAR(D193)+6)&gt;YEAR(E193),1,(12-MONTH(E193)+1)/12))) + (Q193)*(IF((YEAR(D193)+6)&lt;YEAR(E193),0,IF((YEAR(D193)+6)&gt;YEAR(E193),1,(12-MONTH(E193)+1)/12))))-((P193)*(IF((YEAR(D193)+6)&lt;YEAR(E193),0,IF((YEAR(D193)+6)&gt;YEAR(E193),1,(12-MONTH(E193)+1)/12))) + (R193)*(IF((YEAR(D193)+6)&lt;YEAR(E193),0,IF((YEAR(D193)+6)&gt;YEAR(E193),1,(12-MONTH(E193)+1)/12))))-(IF((((K193)*(IF(M193="",L193,IFERROR(IF(INDEX(Variablen!$I:$AT, MATCH(M193, Variablen!$A:$A, 0), MATCH((YEAR(D193)+6), Variablen!$I$3:$AT$3, 0))="",L193,INDEX(Variablen!$I:$AT, MATCH(M193, Variablen!$A:$A, 0), MATCH((YEAR(D193)+6), Variablen!$I$3:$AT$3, 0))),L193)))*(IF((YEAR(D193)+6)&lt;YEAR(E193),0,IF((YEAR(D193)+6)&gt;YEAR(E193),1,(12-MONTH(E193)+1)/12))) + (Q193)*(IF((YEAR(D193)+6)&lt;YEAR(E193),0,IF((YEAR(D193)+6)&gt;YEAR(E193),1,(12-MONTH(E193)+1)/12))))-((P193)*(IF((YEAR(D193)+6)&lt;YEAR(E193),0,IF((YEAR(D193)+6)&gt;YEAR(E193),1,(12-MONTH(E193)+1)/12))) + (R193)*(IF((YEAR(D193)+6)&lt;YEAR(E193),0,IF((YEAR(D193)+6)&gt;YEAR(E193),1,(12-MONTH(E193)+1)/12))))-(IF(OR(N193="",N193&lt;=0),0,(O193/N193)*(IF(OR(N193="",N193&lt;=0),0,IF((YEAR(D193)+6)&lt;YEAR(E193),0,IF((YEAR(D193)+6)&gt;=YEAR(E193)+N193,0,IF((YEAR(D193)+6)=YEAR(E193),(12-MONTH(E193)+1)/12,1))))))))&gt;0,(((K193)*(IF(M193="",L193,IFERROR(IF(INDEX(Variablen!$I:$AT, MATCH(M193, Variablen!$A:$A, 0), MATCH((YEAR(D193)+6), Variablen!$I$3:$AT$3, 0))="",L193,INDEX(Variablen!$I:$AT, MATCH(M193, Variablen!$A:$A, 0), MATCH((YEAR(D193)+6), Variablen!$I$3:$AT$3, 0))),L193)))*(IF((YEAR(D193)+6)&lt;YEAR(E193),0,IF((YEAR(D193)+6)&gt;YEAR(E193),1,(12-MONTH(E193)+1)/12))) + (Q193)*(IF((YEAR(D193)+6)&lt;YEAR(E193),0,IF((YEAR(D193)+6)&gt;YEAR(E193),1,(12-MONTH(E193)+1)/12))))-((P193)*(IF((YEAR(D193)+6)&lt;YEAR(E193),0,IF((YEAR(D193)+6)&gt;YEAR(E193),1,(12-MONTH(E193)+1)/12))) + (R193)*(IF((YEAR(D193)+6)&lt;YEAR(E193),0,IF((YEAR(D193)+6)&gt;YEAR(E193),1,(12-MONTH(E193)+1)/12))))-(IF(OR(N193="",N193&lt;=0),0,(O193/N193)*(IF(OR(N193="",N193&lt;=0),0,IF((YEAR(D193)+6)&lt;YEAR(E193),0,IF((YEAR(D193)+6)&gt;=YEAR(E193)+N193,0,IF((YEAR(D193)+6)=YEAR(E193),(12-MONTH(E193)+1)/12,1))))))))*TaxRate,0))-IF(6=0,O193,0))</f>
        <v/>
      </c>
      <c r="Z193" s="29">
        <f>IF(A193="","",((K193)*(IF(M193="",L193,IFERROR(IF(INDEX(Variablen!$I:$AT, MATCH(M193, Variablen!$A:$A, 0), MATCH((YEAR(D193)+7), Variablen!$I$3:$AT$3, 0))="",L193,INDEX(Variablen!$I:$AT, MATCH(M193, Variablen!$A:$A, 0), MATCH((YEAR(D193)+7), Variablen!$I$3:$AT$3, 0))),L193)))*(IF((YEAR(D193)+7)&lt;YEAR(E193),0,IF((YEAR(D193)+7)&gt;YEAR(E193),1,(12-MONTH(E193)+1)/12))) + (Q193)*(IF((YEAR(D193)+7)&lt;YEAR(E193),0,IF((YEAR(D193)+7)&gt;YEAR(E193),1,(12-MONTH(E193)+1)/12))))-((P193)*(IF((YEAR(D193)+7)&lt;YEAR(E193),0,IF((YEAR(D193)+7)&gt;YEAR(E193),1,(12-MONTH(E193)+1)/12))) + (R193)*(IF((YEAR(D193)+7)&lt;YEAR(E193),0,IF((YEAR(D193)+7)&gt;YEAR(E193),1,(12-MONTH(E193)+1)/12))))-(IF((((K193)*(IF(M193="",L193,IFERROR(IF(INDEX(Variablen!$I:$AT, MATCH(M193, Variablen!$A:$A, 0), MATCH((YEAR(D193)+7), Variablen!$I$3:$AT$3, 0))="",L193,INDEX(Variablen!$I:$AT, MATCH(M193, Variablen!$A:$A, 0), MATCH((YEAR(D193)+7), Variablen!$I$3:$AT$3, 0))),L193)))*(IF((YEAR(D193)+7)&lt;YEAR(E193),0,IF((YEAR(D193)+7)&gt;YEAR(E193),1,(12-MONTH(E193)+1)/12))) + (Q193)*(IF((YEAR(D193)+7)&lt;YEAR(E193),0,IF((YEAR(D193)+7)&gt;YEAR(E193),1,(12-MONTH(E193)+1)/12))))-((P193)*(IF((YEAR(D193)+7)&lt;YEAR(E193),0,IF((YEAR(D193)+7)&gt;YEAR(E193),1,(12-MONTH(E193)+1)/12))) + (R193)*(IF((YEAR(D193)+7)&lt;YEAR(E193),0,IF((YEAR(D193)+7)&gt;YEAR(E193),1,(12-MONTH(E193)+1)/12))))-(IF(OR(N193="",N193&lt;=0),0,(O193/N193)*(IF(OR(N193="",N193&lt;=0),0,IF((YEAR(D193)+7)&lt;YEAR(E193),0,IF((YEAR(D193)+7)&gt;=YEAR(E193)+N193,0,IF((YEAR(D193)+7)=YEAR(E193),(12-MONTH(E193)+1)/12,1))))))))&gt;0,(((K193)*(IF(M193="",L193,IFERROR(IF(INDEX(Variablen!$I:$AT, MATCH(M193, Variablen!$A:$A, 0), MATCH((YEAR(D193)+7), Variablen!$I$3:$AT$3, 0))="",L193,INDEX(Variablen!$I:$AT, MATCH(M193, Variablen!$A:$A, 0), MATCH((YEAR(D193)+7), Variablen!$I$3:$AT$3, 0))),L193)))*(IF((YEAR(D193)+7)&lt;YEAR(E193),0,IF((YEAR(D193)+7)&gt;YEAR(E193),1,(12-MONTH(E193)+1)/12))) + (Q193)*(IF((YEAR(D193)+7)&lt;YEAR(E193),0,IF((YEAR(D193)+7)&gt;YEAR(E193),1,(12-MONTH(E193)+1)/12))))-((P193)*(IF((YEAR(D193)+7)&lt;YEAR(E193),0,IF((YEAR(D193)+7)&gt;YEAR(E193),1,(12-MONTH(E193)+1)/12))) + (R193)*(IF((YEAR(D193)+7)&lt;YEAR(E193),0,IF((YEAR(D193)+7)&gt;YEAR(E193),1,(12-MONTH(E193)+1)/12))))-(IF(OR(N193="",N193&lt;=0),0,(O193/N193)*(IF(OR(N193="",N193&lt;=0),0,IF((YEAR(D193)+7)&lt;YEAR(E193),0,IF((YEAR(D193)+7)&gt;=YEAR(E193)+N193,0,IF((YEAR(D193)+7)=YEAR(E193),(12-MONTH(E193)+1)/12,1))))))))*TaxRate,0))-IF(7=0,O193,0))</f>
        <v/>
      </c>
      <c r="AA193" s="29">
        <f>IF(A193="","",((K193)*(IF(M193="",L193,IFERROR(IF(INDEX(Variablen!$I:$AT, MATCH(M193, Variablen!$A:$A, 0), MATCH((YEAR(D193)+8), Variablen!$I$3:$AT$3, 0))="",L193,INDEX(Variablen!$I:$AT, MATCH(M193, Variablen!$A:$A, 0), MATCH((YEAR(D193)+8), Variablen!$I$3:$AT$3, 0))),L193)))*(IF((YEAR(D193)+8)&lt;YEAR(E193),0,IF((YEAR(D193)+8)&gt;YEAR(E193),1,(12-MONTH(E193)+1)/12))) + (Q193)*(IF((YEAR(D193)+8)&lt;YEAR(E193),0,IF((YEAR(D193)+8)&gt;YEAR(E193),1,(12-MONTH(E193)+1)/12))))-((P193)*(IF((YEAR(D193)+8)&lt;YEAR(E193),0,IF((YEAR(D193)+8)&gt;YEAR(E193),1,(12-MONTH(E193)+1)/12))) + (R193)*(IF((YEAR(D193)+8)&lt;YEAR(E193),0,IF((YEAR(D193)+8)&gt;YEAR(E193),1,(12-MONTH(E193)+1)/12))))-(IF((((K193)*(IF(M193="",L193,IFERROR(IF(INDEX(Variablen!$I:$AT, MATCH(M193, Variablen!$A:$A, 0), MATCH((YEAR(D193)+8), Variablen!$I$3:$AT$3, 0))="",L193,INDEX(Variablen!$I:$AT, MATCH(M193, Variablen!$A:$A, 0), MATCH((YEAR(D193)+8), Variablen!$I$3:$AT$3, 0))),L193)))*(IF((YEAR(D193)+8)&lt;YEAR(E193),0,IF((YEAR(D193)+8)&gt;YEAR(E193),1,(12-MONTH(E193)+1)/12))) + (Q193)*(IF((YEAR(D193)+8)&lt;YEAR(E193),0,IF((YEAR(D193)+8)&gt;YEAR(E193),1,(12-MONTH(E193)+1)/12))))-((P193)*(IF((YEAR(D193)+8)&lt;YEAR(E193),0,IF((YEAR(D193)+8)&gt;YEAR(E193),1,(12-MONTH(E193)+1)/12))) + (R193)*(IF((YEAR(D193)+8)&lt;YEAR(E193),0,IF((YEAR(D193)+8)&gt;YEAR(E193),1,(12-MONTH(E193)+1)/12))))-(IF(OR(N193="",N193&lt;=0),0,(O193/N193)*(IF(OR(N193="",N193&lt;=0),0,IF((YEAR(D193)+8)&lt;YEAR(E193),0,IF((YEAR(D193)+8)&gt;=YEAR(E193)+N193,0,IF((YEAR(D193)+8)=YEAR(E193),(12-MONTH(E193)+1)/12,1))))))))&gt;0,(((K193)*(IF(M193="",L193,IFERROR(IF(INDEX(Variablen!$I:$AT, MATCH(M193, Variablen!$A:$A, 0), MATCH((YEAR(D193)+8), Variablen!$I$3:$AT$3, 0))="",L193,INDEX(Variablen!$I:$AT, MATCH(M193, Variablen!$A:$A, 0), MATCH((YEAR(D193)+8), Variablen!$I$3:$AT$3, 0))),L193)))*(IF((YEAR(D193)+8)&lt;YEAR(E193),0,IF((YEAR(D193)+8)&gt;YEAR(E193),1,(12-MONTH(E193)+1)/12))) + (Q193)*(IF((YEAR(D193)+8)&lt;YEAR(E193),0,IF((YEAR(D193)+8)&gt;YEAR(E193),1,(12-MONTH(E193)+1)/12))))-((P193)*(IF((YEAR(D193)+8)&lt;YEAR(E193),0,IF((YEAR(D193)+8)&gt;YEAR(E193),1,(12-MONTH(E193)+1)/12))) + (R193)*(IF((YEAR(D193)+8)&lt;YEAR(E193),0,IF((YEAR(D193)+8)&gt;YEAR(E193),1,(12-MONTH(E193)+1)/12))))-(IF(OR(N193="",N193&lt;=0),0,(O193/N193)*(IF(OR(N193="",N193&lt;=0),0,IF((YEAR(D193)+8)&lt;YEAR(E193),0,IF((YEAR(D193)+8)&gt;=YEAR(E193)+N193,0,IF((YEAR(D193)+8)=YEAR(E193),(12-MONTH(E193)+1)/12,1))))))))*TaxRate,0))-IF(8=0,O193,0))</f>
        <v/>
      </c>
      <c r="AB193" s="29">
        <f>IF(A193="","",((K193)*(IF(M193="",L193,IFERROR(IF(INDEX(Variablen!$I:$AT, MATCH(M193, Variablen!$A:$A, 0), MATCH((YEAR(D193)+9), Variablen!$I$3:$AT$3, 0))="",L193,INDEX(Variablen!$I:$AT, MATCH(M193, Variablen!$A:$A, 0), MATCH((YEAR(D193)+9), Variablen!$I$3:$AT$3, 0))),L193)))*(IF((YEAR(D193)+9)&lt;YEAR(E193),0,IF((YEAR(D193)+9)&gt;YEAR(E193),1,(12-MONTH(E193)+1)/12))) + (Q193)*(IF((YEAR(D193)+9)&lt;YEAR(E193),0,IF((YEAR(D193)+9)&gt;YEAR(E193),1,(12-MONTH(E193)+1)/12))))-((P193)*(IF((YEAR(D193)+9)&lt;YEAR(E193),0,IF((YEAR(D193)+9)&gt;YEAR(E193),1,(12-MONTH(E193)+1)/12))) + (R193)*(IF((YEAR(D193)+9)&lt;YEAR(E193),0,IF((YEAR(D193)+9)&gt;YEAR(E193),1,(12-MONTH(E193)+1)/12))))-(IF((((K193)*(IF(M193="",L193,IFERROR(IF(INDEX(Variablen!$I:$AT, MATCH(M193, Variablen!$A:$A, 0), MATCH((YEAR(D193)+9), Variablen!$I$3:$AT$3, 0))="",L193,INDEX(Variablen!$I:$AT, MATCH(M193, Variablen!$A:$A, 0), MATCH((YEAR(D193)+9), Variablen!$I$3:$AT$3, 0))),L193)))*(IF((YEAR(D193)+9)&lt;YEAR(E193),0,IF((YEAR(D193)+9)&gt;YEAR(E193),1,(12-MONTH(E193)+1)/12))) + (Q193)*(IF((YEAR(D193)+9)&lt;YEAR(E193),0,IF((YEAR(D193)+9)&gt;YEAR(E193),1,(12-MONTH(E193)+1)/12))))-((P193)*(IF((YEAR(D193)+9)&lt;YEAR(E193),0,IF((YEAR(D193)+9)&gt;YEAR(E193),1,(12-MONTH(E193)+1)/12))) + (R193)*(IF((YEAR(D193)+9)&lt;YEAR(E193),0,IF((YEAR(D193)+9)&gt;YEAR(E193),1,(12-MONTH(E193)+1)/12))))-(IF(OR(N193="",N193&lt;=0),0,(O193/N193)*(IF(OR(N193="",N193&lt;=0),0,IF((YEAR(D193)+9)&lt;YEAR(E193),0,IF((YEAR(D193)+9)&gt;=YEAR(E193)+N193,0,IF((YEAR(D193)+9)=YEAR(E193),(12-MONTH(E193)+1)/12,1))))))))&gt;0,(((K193)*(IF(M193="",L193,IFERROR(IF(INDEX(Variablen!$I:$AT, MATCH(M193, Variablen!$A:$A, 0), MATCH((YEAR(D193)+9), Variablen!$I$3:$AT$3, 0))="",L193,INDEX(Variablen!$I:$AT, MATCH(M193, Variablen!$A:$A, 0), MATCH((YEAR(D193)+9), Variablen!$I$3:$AT$3, 0))),L193)))*(IF((YEAR(D193)+9)&lt;YEAR(E193),0,IF((YEAR(D193)+9)&gt;YEAR(E193),1,(12-MONTH(E193)+1)/12))) + (Q193)*(IF((YEAR(D193)+9)&lt;YEAR(E193),0,IF((YEAR(D193)+9)&gt;YEAR(E193),1,(12-MONTH(E193)+1)/12))))-((P193)*(IF((YEAR(D193)+9)&lt;YEAR(E193),0,IF((YEAR(D193)+9)&gt;YEAR(E193),1,(12-MONTH(E193)+1)/12))) + (R193)*(IF((YEAR(D193)+9)&lt;YEAR(E193),0,IF((YEAR(D193)+9)&gt;YEAR(E193),1,(12-MONTH(E193)+1)/12))))-(IF(OR(N193="",N193&lt;=0),0,(O193/N193)*(IF(OR(N193="",N193&lt;=0),0,IF((YEAR(D193)+9)&lt;YEAR(E193),0,IF((YEAR(D193)+9)&gt;=YEAR(E193)+N193,0,IF((YEAR(D193)+9)=YEAR(E193),(12-MONTH(E193)+1)/12,1))))))))*TaxRate,0))-IF(9=0,O193,0))</f>
        <v/>
      </c>
      <c r="AC193" s="29">
        <f>IF(A193="","",((K193)*(IF(M193="",L193,IFERROR(IF(INDEX(Variablen!$I:$AT, MATCH(M193, Variablen!$A:$A, 0), MATCH((YEAR(D193)+10), Variablen!$I$3:$AT$3, 0))="",L193,INDEX(Variablen!$I:$AT, MATCH(M193, Variablen!$A:$A, 0), MATCH((YEAR(D193)+10), Variablen!$I$3:$AT$3, 0))),L193)))*(IF((YEAR(D193)+10)&lt;YEAR(E193),0,IF((YEAR(D193)+10)&gt;YEAR(E193),1,(12-MONTH(E193)+1)/12))) + (Q193)*(IF((YEAR(D193)+10)&lt;YEAR(E193),0,IF((YEAR(D193)+10)&gt;YEAR(E193),1,(12-MONTH(E193)+1)/12))))-((P193)*(IF((YEAR(D193)+10)&lt;YEAR(E193),0,IF((YEAR(D193)+10)&gt;YEAR(E193),1,(12-MONTH(E193)+1)/12))) + (R193)*(IF((YEAR(D193)+10)&lt;YEAR(E193),0,IF((YEAR(D193)+10)&gt;YEAR(E193),1,(12-MONTH(E193)+1)/12))))-(IF((((K193)*(IF(M193="",L193,IFERROR(IF(INDEX(Variablen!$I:$AT, MATCH(M193, Variablen!$A:$A, 0), MATCH((YEAR(D193)+10), Variablen!$I$3:$AT$3, 0))="",L193,INDEX(Variablen!$I:$AT, MATCH(M193, Variablen!$A:$A, 0), MATCH((YEAR(D193)+10), Variablen!$I$3:$AT$3, 0))),L193)))*(IF((YEAR(D193)+10)&lt;YEAR(E193),0,IF((YEAR(D193)+10)&gt;YEAR(E193),1,(12-MONTH(E193)+1)/12))) + (Q193)*(IF((YEAR(D193)+10)&lt;YEAR(E193),0,IF((YEAR(D193)+10)&gt;YEAR(E193),1,(12-MONTH(E193)+1)/12))))-((P193)*(IF((YEAR(D193)+10)&lt;YEAR(E193),0,IF((YEAR(D193)+10)&gt;YEAR(E193),1,(12-MONTH(E193)+1)/12))) + (R193)*(IF((YEAR(D193)+10)&lt;YEAR(E193),0,IF((YEAR(D193)+10)&gt;YEAR(E193),1,(12-MONTH(E193)+1)/12))))-(IF(OR(N193="",N193&lt;=0),0,(O193/N193)*(IF(OR(N193="",N193&lt;=0),0,IF((YEAR(D193)+10)&lt;YEAR(E193),0,IF((YEAR(D193)+10)&gt;=YEAR(E193)+N193,0,IF((YEAR(D193)+10)=YEAR(E193),(12-MONTH(E193)+1)/12,1))))))))&gt;0,(((K193)*(IF(M193="",L193,IFERROR(IF(INDEX(Variablen!$I:$AT, MATCH(M193, Variablen!$A:$A, 0), MATCH((YEAR(D193)+10), Variablen!$I$3:$AT$3, 0))="",L193,INDEX(Variablen!$I:$AT, MATCH(M193, Variablen!$A:$A, 0), MATCH((YEAR(D193)+10), Variablen!$I$3:$AT$3, 0))),L193)))*(IF((YEAR(D193)+10)&lt;YEAR(E193),0,IF((YEAR(D193)+10)&gt;YEAR(E193),1,(12-MONTH(E193)+1)/12))) + (Q193)*(IF((YEAR(D193)+10)&lt;YEAR(E193),0,IF((YEAR(D193)+10)&gt;YEAR(E193),1,(12-MONTH(E193)+1)/12))))-((P193)*(IF((YEAR(D193)+10)&lt;YEAR(E193),0,IF((YEAR(D193)+10)&gt;YEAR(E193),1,(12-MONTH(E193)+1)/12))) + (R193)*(IF((YEAR(D193)+10)&lt;YEAR(E193),0,IF((YEAR(D193)+10)&gt;YEAR(E193),1,(12-MONTH(E193)+1)/12))))-(IF(OR(N193="",N193&lt;=0),0,(O193/N193)*(IF(OR(N193="",N193&lt;=0),0,IF((YEAR(D193)+10)&lt;YEAR(E193),0,IF((YEAR(D193)+10)&gt;=YEAR(E193)+N193,0,IF((YEAR(D193)+10)=YEAR(E193),(12-MONTH(E193)+1)/12,1))))))))*TaxRate,0))-IF(10=0,O193,0))</f>
        <v/>
      </c>
      <c r="AD193" s="29">
        <f>IF(A193="","",((K193)*(IF(M193="",L193,IFERROR(IF(INDEX(Variablen!$I:$AT, MATCH(M193, Variablen!$A:$A, 0), MATCH((YEAR(D193)+11), Variablen!$I$3:$AT$3, 0))="",L193,INDEX(Variablen!$I:$AT, MATCH(M193, Variablen!$A:$A, 0), MATCH((YEAR(D193)+11), Variablen!$I$3:$AT$3, 0))),L193)))*(IF((YEAR(D193)+11)&lt;YEAR(E193),0,IF((YEAR(D193)+11)&gt;YEAR(E193),1,(12-MONTH(E193)+1)/12))) + (Q193)*(IF((YEAR(D193)+11)&lt;YEAR(E193),0,IF((YEAR(D193)+11)&gt;YEAR(E193),1,(12-MONTH(E193)+1)/12))))-((P193)*(IF((YEAR(D193)+11)&lt;YEAR(E193),0,IF((YEAR(D193)+11)&gt;YEAR(E193),1,(12-MONTH(E193)+1)/12))) + (R193)*(IF((YEAR(D193)+11)&lt;YEAR(E193),0,IF((YEAR(D193)+11)&gt;YEAR(E193),1,(12-MONTH(E193)+1)/12))))-(IF((((K193)*(IF(M193="",L193,IFERROR(IF(INDEX(Variablen!$I:$AT, MATCH(M193, Variablen!$A:$A, 0), MATCH((YEAR(D193)+11), Variablen!$I$3:$AT$3, 0))="",L193,INDEX(Variablen!$I:$AT, MATCH(M193, Variablen!$A:$A, 0), MATCH((YEAR(D193)+11), Variablen!$I$3:$AT$3, 0))),L193)))*(IF((YEAR(D193)+11)&lt;YEAR(E193),0,IF((YEAR(D193)+11)&gt;YEAR(E193),1,(12-MONTH(E193)+1)/12))) + (Q193)*(IF((YEAR(D193)+11)&lt;YEAR(E193),0,IF((YEAR(D193)+11)&gt;YEAR(E193),1,(12-MONTH(E193)+1)/12))))-((P193)*(IF((YEAR(D193)+11)&lt;YEAR(E193),0,IF((YEAR(D193)+11)&gt;YEAR(E193),1,(12-MONTH(E193)+1)/12))) + (R193)*(IF((YEAR(D193)+11)&lt;YEAR(E193),0,IF((YEAR(D193)+11)&gt;YEAR(E193),1,(12-MONTH(E193)+1)/12))))-(IF(OR(N193="",N193&lt;=0),0,(O193/N193)*(IF(OR(N193="",N193&lt;=0),0,IF((YEAR(D193)+11)&lt;YEAR(E193),0,IF((YEAR(D193)+11)&gt;=YEAR(E193)+N193,0,IF((YEAR(D193)+11)=YEAR(E193),(12-MONTH(E193)+1)/12,1))))))))&gt;0,(((K193)*(IF(M193="",L193,IFERROR(IF(INDEX(Variablen!$I:$AT, MATCH(M193, Variablen!$A:$A, 0), MATCH((YEAR(D193)+11), Variablen!$I$3:$AT$3, 0))="",L193,INDEX(Variablen!$I:$AT, MATCH(M193, Variablen!$A:$A, 0), MATCH((YEAR(D193)+11), Variablen!$I$3:$AT$3, 0))),L193)))*(IF((YEAR(D193)+11)&lt;YEAR(E193),0,IF((YEAR(D193)+11)&gt;YEAR(E193),1,(12-MONTH(E193)+1)/12))) + (Q193)*(IF((YEAR(D193)+11)&lt;YEAR(E193),0,IF((YEAR(D193)+11)&gt;YEAR(E193),1,(12-MONTH(E193)+1)/12))))-((P193)*(IF((YEAR(D193)+11)&lt;YEAR(E193),0,IF((YEAR(D193)+11)&gt;YEAR(E193),1,(12-MONTH(E193)+1)/12))) + (R193)*(IF((YEAR(D193)+11)&lt;YEAR(E193),0,IF((YEAR(D193)+11)&gt;YEAR(E193),1,(12-MONTH(E193)+1)/12))))-(IF(OR(N193="",N193&lt;=0),0,(O193/N193)*(IF(OR(N193="",N193&lt;=0),0,IF((YEAR(D193)+11)&lt;YEAR(E193),0,IF((YEAR(D193)+11)&gt;=YEAR(E193)+N193,0,IF((YEAR(D193)+11)=YEAR(E193),(12-MONTH(E193)+1)/12,1))))))))*TaxRate,0))-IF(11=0,O193,0))</f>
        <v/>
      </c>
      <c r="AE193" s="29">
        <f>IF(A193="","",((K193)*(IF(M193="",L193,IFERROR(IF(INDEX(Variablen!$I:$AT, MATCH(M193, Variablen!$A:$A, 0), MATCH((YEAR(D193)+12), Variablen!$I$3:$AT$3, 0))="",L193,INDEX(Variablen!$I:$AT, MATCH(M193, Variablen!$A:$A, 0), MATCH((YEAR(D193)+12), Variablen!$I$3:$AT$3, 0))),L193)))*(IF((YEAR(D193)+12)&lt;YEAR(E193),0,IF((YEAR(D193)+12)&gt;YEAR(E193),1,(12-MONTH(E193)+1)/12))) + (Q193)*(IF((YEAR(D193)+12)&lt;YEAR(E193),0,IF((YEAR(D193)+12)&gt;YEAR(E193),1,(12-MONTH(E193)+1)/12))))-((P193)*(IF((YEAR(D193)+12)&lt;YEAR(E193),0,IF((YEAR(D193)+12)&gt;YEAR(E193),1,(12-MONTH(E193)+1)/12))) + (R193)*(IF((YEAR(D193)+12)&lt;YEAR(E193),0,IF((YEAR(D193)+12)&gt;YEAR(E193),1,(12-MONTH(E193)+1)/12))))-(IF((((K193)*(IF(M193="",L193,IFERROR(IF(INDEX(Variablen!$I:$AT, MATCH(M193, Variablen!$A:$A, 0), MATCH((YEAR(D193)+12), Variablen!$I$3:$AT$3, 0))="",L193,INDEX(Variablen!$I:$AT, MATCH(M193, Variablen!$A:$A, 0), MATCH((YEAR(D193)+12), Variablen!$I$3:$AT$3, 0))),L193)))*(IF((YEAR(D193)+12)&lt;YEAR(E193),0,IF((YEAR(D193)+12)&gt;YEAR(E193),1,(12-MONTH(E193)+1)/12))) + (Q193)*(IF((YEAR(D193)+12)&lt;YEAR(E193),0,IF((YEAR(D193)+12)&gt;YEAR(E193),1,(12-MONTH(E193)+1)/12))))-((P193)*(IF((YEAR(D193)+12)&lt;YEAR(E193),0,IF((YEAR(D193)+12)&gt;YEAR(E193),1,(12-MONTH(E193)+1)/12))) + (R193)*(IF((YEAR(D193)+12)&lt;YEAR(E193),0,IF((YEAR(D193)+12)&gt;YEAR(E193),1,(12-MONTH(E193)+1)/12))))-(IF(OR(N193="",N193&lt;=0),0,(O193/N193)*(IF(OR(N193="",N193&lt;=0),0,IF((YEAR(D193)+12)&lt;YEAR(E193),0,IF((YEAR(D193)+12)&gt;=YEAR(E193)+N193,0,IF((YEAR(D193)+12)=YEAR(E193),(12-MONTH(E193)+1)/12,1))))))))&gt;0,(((K193)*(IF(M193="",L193,IFERROR(IF(INDEX(Variablen!$I:$AT, MATCH(M193, Variablen!$A:$A, 0), MATCH((YEAR(D193)+12), Variablen!$I$3:$AT$3, 0))="",L193,INDEX(Variablen!$I:$AT, MATCH(M193, Variablen!$A:$A, 0), MATCH((YEAR(D193)+12), Variablen!$I$3:$AT$3, 0))),L193)))*(IF((YEAR(D193)+12)&lt;YEAR(E193),0,IF((YEAR(D193)+12)&gt;YEAR(E193),1,(12-MONTH(E193)+1)/12))) + (Q193)*(IF((YEAR(D193)+12)&lt;YEAR(E193),0,IF((YEAR(D193)+12)&gt;YEAR(E193),1,(12-MONTH(E193)+1)/12))))-((P193)*(IF((YEAR(D193)+12)&lt;YEAR(E193),0,IF((YEAR(D193)+12)&gt;YEAR(E193),1,(12-MONTH(E193)+1)/12))) + (R193)*(IF((YEAR(D193)+12)&lt;YEAR(E193),0,IF((YEAR(D193)+12)&gt;YEAR(E193),1,(12-MONTH(E193)+1)/12))))-(IF(OR(N193="",N193&lt;=0),0,(O193/N193)*(IF(OR(N193="",N193&lt;=0),0,IF((YEAR(D193)+12)&lt;YEAR(E193),0,IF((YEAR(D193)+12)&gt;=YEAR(E193)+N193,0,IF((YEAR(D193)+12)=YEAR(E193),(12-MONTH(E193)+1)/12,1))))))))*TaxRate,0))-IF(12=0,O193,0))</f>
        <v/>
      </c>
      <c r="AF193" s="29">
        <f>IF(A193="","",((K193)*(IF(M193="",L193,IFERROR(IF(INDEX(Variablen!$I:$AT, MATCH(M193, Variablen!$A:$A, 0), MATCH((YEAR(D193)+13), Variablen!$I$3:$AT$3, 0))="",L193,INDEX(Variablen!$I:$AT, MATCH(M193, Variablen!$A:$A, 0), MATCH((YEAR(D193)+13), Variablen!$I$3:$AT$3, 0))),L193)))*(IF((YEAR(D193)+13)&lt;YEAR(E193),0,IF((YEAR(D193)+13)&gt;YEAR(E193),1,(12-MONTH(E193)+1)/12))) + (Q193)*(IF((YEAR(D193)+13)&lt;YEAR(E193),0,IF((YEAR(D193)+13)&gt;YEAR(E193),1,(12-MONTH(E193)+1)/12))))-((P193)*(IF((YEAR(D193)+13)&lt;YEAR(E193),0,IF((YEAR(D193)+13)&gt;YEAR(E193),1,(12-MONTH(E193)+1)/12))) + (R193)*(IF((YEAR(D193)+13)&lt;YEAR(E193),0,IF((YEAR(D193)+13)&gt;YEAR(E193),1,(12-MONTH(E193)+1)/12))))-(IF((((K193)*(IF(M193="",L193,IFERROR(IF(INDEX(Variablen!$I:$AT, MATCH(M193, Variablen!$A:$A, 0), MATCH((YEAR(D193)+13), Variablen!$I$3:$AT$3, 0))="",L193,INDEX(Variablen!$I:$AT, MATCH(M193, Variablen!$A:$A, 0), MATCH((YEAR(D193)+13), Variablen!$I$3:$AT$3, 0))),L193)))*(IF((YEAR(D193)+13)&lt;YEAR(E193),0,IF((YEAR(D193)+13)&gt;YEAR(E193),1,(12-MONTH(E193)+1)/12))) + (Q193)*(IF((YEAR(D193)+13)&lt;YEAR(E193),0,IF((YEAR(D193)+13)&gt;YEAR(E193),1,(12-MONTH(E193)+1)/12))))-((P193)*(IF((YEAR(D193)+13)&lt;YEAR(E193),0,IF((YEAR(D193)+13)&gt;YEAR(E193),1,(12-MONTH(E193)+1)/12))) + (R193)*(IF((YEAR(D193)+13)&lt;YEAR(E193),0,IF((YEAR(D193)+13)&gt;YEAR(E193),1,(12-MONTH(E193)+1)/12))))-(IF(OR(N193="",N193&lt;=0),0,(O193/N193)*(IF(OR(N193="",N193&lt;=0),0,IF((YEAR(D193)+13)&lt;YEAR(E193),0,IF((YEAR(D193)+13)&gt;=YEAR(E193)+N193,0,IF((YEAR(D193)+13)=YEAR(E193),(12-MONTH(E193)+1)/12,1))))))))&gt;0,(((K193)*(IF(M193="",L193,IFERROR(IF(INDEX(Variablen!$I:$AT, MATCH(M193, Variablen!$A:$A, 0), MATCH((YEAR(D193)+13), Variablen!$I$3:$AT$3, 0))="",L193,INDEX(Variablen!$I:$AT, MATCH(M193, Variablen!$A:$A, 0), MATCH((YEAR(D193)+13), Variablen!$I$3:$AT$3, 0))),L193)))*(IF((YEAR(D193)+13)&lt;YEAR(E193),0,IF((YEAR(D193)+13)&gt;YEAR(E193),1,(12-MONTH(E193)+1)/12))) + (Q193)*(IF((YEAR(D193)+13)&lt;YEAR(E193),0,IF((YEAR(D193)+13)&gt;YEAR(E193),1,(12-MONTH(E193)+1)/12))))-((P193)*(IF((YEAR(D193)+13)&lt;YEAR(E193),0,IF((YEAR(D193)+13)&gt;YEAR(E193),1,(12-MONTH(E193)+1)/12))) + (R193)*(IF((YEAR(D193)+13)&lt;YEAR(E193),0,IF((YEAR(D193)+13)&gt;YEAR(E193),1,(12-MONTH(E193)+1)/12))))-(IF(OR(N193="",N193&lt;=0),0,(O193/N193)*(IF(OR(N193="",N193&lt;=0),0,IF((YEAR(D193)+13)&lt;YEAR(E193),0,IF((YEAR(D193)+13)&gt;=YEAR(E193)+N193,0,IF((YEAR(D193)+13)=YEAR(E193),(12-MONTH(E193)+1)/12,1))))))))*TaxRate,0))-IF(13=0,O193,0))</f>
        <v/>
      </c>
      <c r="AG193" s="29">
        <f>IF(A193="","",((K193)*(IF(M193="",L193,IFERROR(IF(INDEX(Variablen!$I:$AT, MATCH(M193, Variablen!$A:$A, 0), MATCH((YEAR(D193)+14), Variablen!$I$3:$AT$3, 0))="",L193,INDEX(Variablen!$I:$AT, MATCH(M193, Variablen!$A:$A, 0), MATCH((YEAR(D193)+14), Variablen!$I$3:$AT$3, 0))),L193)))*(IF((YEAR(D193)+14)&lt;YEAR(E193),0,IF((YEAR(D193)+14)&gt;YEAR(E193),1,(12-MONTH(E193)+1)/12))) + (Q193)*(IF((YEAR(D193)+14)&lt;YEAR(E193),0,IF((YEAR(D193)+14)&gt;YEAR(E193),1,(12-MONTH(E193)+1)/12))))-((P193)*(IF((YEAR(D193)+14)&lt;YEAR(E193),0,IF((YEAR(D193)+14)&gt;YEAR(E193),1,(12-MONTH(E193)+1)/12))) + (R193)*(IF((YEAR(D193)+14)&lt;YEAR(E193),0,IF((YEAR(D193)+14)&gt;YEAR(E193),1,(12-MONTH(E193)+1)/12))))-(IF((((K193)*(IF(M193="",L193,IFERROR(IF(INDEX(Variablen!$I:$AT, MATCH(M193, Variablen!$A:$A, 0), MATCH((YEAR(D193)+14), Variablen!$I$3:$AT$3, 0))="",L193,INDEX(Variablen!$I:$AT, MATCH(M193, Variablen!$A:$A, 0), MATCH((YEAR(D193)+14), Variablen!$I$3:$AT$3, 0))),L193)))*(IF((YEAR(D193)+14)&lt;YEAR(E193),0,IF((YEAR(D193)+14)&gt;YEAR(E193),1,(12-MONTH(E193)+1)/12))) + (Q193)*(IF((YEAR(D193)+14)&lt;YEAR(E193),0,IF((YEAR(D193)+14)&gt;YEAR(E193),1,(12-MONTH(E193)+1)/12))))-((P193)*(IF((YEAR(D193)+14)&lt;YEAR(E193),0,IF((YEAR(D193)+14)&gt;YEAR(E193),1,(12-MONTH(E193)+1)/12))) + (R193)*(IF((YEAR(D193)+14)&lt;YEAR(E193),0,IF((YEAR(D193)+14)&gt;YEAR(E193),1,(12-MONTH(E193)+1)/12))))-(IF(OR(N193="",N193&lt;=0),0,(O193/N193)*(IF(OR(N193="",N193&lt;=0),0,IF((YEAR(D193)+14)&lt;YEAR(E193),0,IF((YEAR(D193)+14)&gt;=YEAR(E193)+N193,0,IF((YEAR(D193)+14)=YEAR(E193),(12-MONTH(E193)+1)/12,1))))))))&gt;0,(((K193)*(IF(M193="",L193,IFERROR(IF(INDEX(Variablen!$I:$AT, MATCH(M193, Variablen!$A:$A, 0), MATCH((YEAR(D193)+14), Variablen!$I$3:$AT$3, 0))="",L193,INDEX(Variablen!$I:$AT, MATCH(M193, Variablen!$A:$A, 0), MATCH((YEAR(D193)+14), Variablen!$I$3:$AT$3, 0))),L193)))*(IF((YEAR(D193)+14)&lt;YEAR(E193),0,IF((YEAR(D193)+14)&gt;YEAR(E193),1,(12-MONTH(E193)+1)/12))) + (Q193)*(IF((YEAR(D193)+14)&lt;YEAR(E193),0,IF((YEAR(D193)+14)&gt;YEAR(E193),1,(12-MONTH(E193)+1)/12))))-((P193)*(IF((YEAR(D193)+14)&lt;YEAR(E193),0,IF((YEAR(D193)+14)&gt;YEAR(E193),1,(12-MONTH(E193)+1)/12))) + (R193)*(IF((YEAR(D193)+14)&lt;YEAR(E193),0,IF((YEAR(D193)+14)&gt;YEAR(E193),1,(12-MONTH(E193)+1)/12))))-(IF(OR(N193="",N193&lt;=0),0,(O193/N193)*(IF(OR(N193="",N193&lt;=0),0,IF((YEAR(D193)+14)&lt;YEAR(E193),0,IF((YEAR(D193)+14)&gt;=YEAR(E193)+N193,0,IF((YEAR(D193)+14)=YEAR(E193),(12-MONTH(E193)+1)/12,1))))))))*TaxRate,0))-IF(14=0,O193,0))</f>
        <v/>
      </c>
      <c r="AH193" s="29">
        <f>IF(A193="","",((K193)*(IF(M193="",L193,IFERROR(IF(INDEX(Variablen!$I:$AT, MATCH(M193, Variablen!$A:$A, 0), MATCH((YEAR(D193)+15), Variablen!$I$3:$AT$3, 0))="",L193,INDEX(Variablen!$I:$AT, MATCH(M193, Variablen!$A:$A, 0), MATCH((YEAR(D193)+15), Variablen!$I$3:$AT$3, 0))),L193)))*(IF((YEAR(D193)+15)&lt;YEAR(E193),0,IF((YEAR(D193)+15)&gt;YEAR(E193),1,(12-MONTH(E193)+1)/12))) + (Q193)*(IF((YEAR(D193)+15)&lt;YEAR(E193),0,IF((YEAR(D193)+15)&gt;YEAR(E193),1,(12-MONTH(E193)+1)/12))))-((P193)*(IF((YEAR(D193)+15)&lt;YEAR(E193),0,IF((YEAR(D193)+15)&gt;YEAR(E193),1,(12-MONTH(E193)+1)/12))) + (R193)*(IF((YEAR(D193)+15)&lt;YEAR(E193),0,IF((YEAR(D193)+15)&gt;YEAR(E193),1,(12-MONTH(E193)+1)/12))))-(IF((((K193)*(IF(M193="",L193,IFERROR(IF(INDEX(Variablen!$I:$AT, MATCH(M193, Variablen!$A:$A, 0), MATCH((YEAR(D193)+15), Variablen!$I$3:$AT$3, 0))="",L193,INDEX(Variablen!$I:$AT, MATCH(M193, Variablen!$A:$A, 0), MATCH((YEAR(D193)+15), Variablen!$I$3:$AT$3, 0))),L193)))*(IF((YEAR(D193)+15)&lt;YEAR(E193),0,IF((YEAR(D193)+15)&gt;YEAR(E193),1,(12-MONTH(E193)+1)/12))) + (Q193)*(IF((YEAR(D193)+15)&lt;YEAR(E193),0,IF((YEAR(D193)+15)&gt;YEAR(E193),1,(12-MONTH(E193)+1)/12))))-((P193)*(IF((YEAR(D193)+15)&lt;YEAR(E193),0,IF((YEAR(D193)+15)&gt;YEAR(E193),1,(12-MONTH(E193)+1)/12))) + (R193)*(IF((YEAR(D193)+15)&lt;YEAR(E193),0,IF((YEAR(D193)+15)&gt;YEAR(E193),1,(12-MONTH(E193)+1)/12))))-(IF(OR(N193="",N193&lt;=0),0,(O193/N193)*(IF(OR(N193="",N193&lt;=0),0,IF((YEAR(D193)+15)&lt;YEAR(E193),0,IF((YEAR(D193)+15)&gt;=YEAR(E193)+N193,0,IF((YEAR(D193)+15)=YEAR(E193),(12-MONTH(E193)+1)/12,1))))))))&gt;0,(((K193)*(IF(M193="",L193,IFERROR(IF(INDEX(Variablen!$I:$AT, MATCH(M193, Variablen!$A:$A, 0), MATCH((YEAR(D193)+15), Variablen!$I$3:$AT$3, 0))="",L193,INDEX(Variablen!$I:$AT, MATCH(M193, Variablen!$A:$A, 0), MATCH((YEAR(D193)+15), Variablen!$I$3:$AT$3, 0))),L193)))*(IF((YEAR(D193)+15)&lt;YEAR(E193),0,IF((YEAR(D193)+15)&gt;YEAR(E193),1,(12-MONTH(E193)+1)/12))) + (Q193)*(IF((YEAR(D193)+15)&lt;YEAR(E193),0,IF((YEAR(D193)+15)&gt;YEAR(E193),1,(12-MONTH(E193)+1)/12))))-((P193)*(IF((YEAR(D193)+15)&lt;YEAR(E193),0,IF((YEAR(D193)+15)&gt;YEAR(E193),1,(12-MONTH(E193)+1)/12))) + (R193)*(IF((YEAR(D193)+15)&lt;YEAR(E193),0,IF((YEAR(D193)+15)&gt;YEAR(E193),1,(12-MONTH(E193)+1)/12))))-(IF(OR(N193="",N193&lt;=0),0,(O193/N193)*(IF(OR(N193="",N193&lt;=0),0,IF((YEAR(D193)+15)&lt;YEAR(E193),0,IF((YEAR(D193)+15)&gt;=YEAR(E193)+N193,0,IF((YEAR(D193)+15)=YEAR(E193),(12-MONTH(E193)+1)/12,1))))))))*TaxRate,0))-IF(15=0,O193,0))</f>
        <v/>
      </c>
      <c r="AI193" s="29">
        <f>IF(A193="","",((K193)*(IF(M193="",L193,IFERROR(IF(INDEX(Variablen!$I:$AT, MATCH(M193, Variablen!$A:$A, 0), MATCH((YEAR(D193)+16), Variablen!$I$3:$AT$3, 0))="",L193,INDEX(Variablen!$I:$AT, MATCH(M193, Variablen!$A:$A, 0), MATCH((YEAR(D193)+16), Variablen!$I$3:$AT$3, 0))),L193)))*(IF((YEAR(D193)+16)&lt;YEAR(E193),0,IF((YEAR(D193)+16)&gt;YEAR(E193),1,(12-MONTH(E193)+1)/12))) + (Q193)*(IF((YEAR(D193)+16)&lt;YEAR(E193),0,IF((YEAR(D193)+16)&gt;YEAR(E193),1,(12-MONTH(E193)+1)/12))))-((P193)*(IF((YEAR(D193)+16)&lt;YEAR(E193),0,IF((YEAR(D193)+16)&gt;YEAR(E193),1,(12-MONTH(E193)+1)/12))) + (R193)*(IF((YEAR(D193)+16)&lt;YEAR(E193),0,IF((YEAR(D193)+16)&gt;YEAR(E193),1,(12-MONTH(E193)+1)/12))))-(IF((((K193)*(IF(M193="",L193,IFERROR(IF(INDEX(Variablen!$I:$AT, MATCH(M193, Variablen!$A:$A, 0), MATCH((YEAR(D193)+16), Variablen!$I$3:$AT$3, 0))="",L193,INDEX(Variablen!$I:$AT, MATCH(M193, Variablen!$A:$A, 0), MATCH((YEAR(D193)+16), Variablen!$I$3:$AT$3, 0))),L193)))*(IF((YEAR(D193)+16)&lt;YEAR(E193),0,IF((YEAR(D193)+16)&gt;YEAR(E193),1,(12-MONTH(E193)+1)/12))) + (Q193)*(IF((YEAR(D193)+16)&lt;YEAR(E193),0,IF((YEAR(D193)+16)&gt;YEAR(E193),1,(12-MONTH(E193)+1)/12))))-((P193)*(IF((YEAR(D193)+16)&lt;YEAR(E193),0,IF((YEAR(D193)+16)&gt;YEAR(E193),1,(12-MONTH(E193)+1)/12))) + (R193)*(IF((YEAR(D193)+16)&lt;YEAR(E193),0,IF((YEAR(D193)+16)&gt;YEAR(E193),1,(12-MONTH(E193)+1)/12))))-(IF(OR(N193="",N193&lt;=0),0,(O193/N193)*(IF(OR(N193="",N193&lt;=0),0,IF((YEAR(D193)+16)&lt;YEAR(E193),0,IF((YEAR(D193)+16)&gt;=YEAR(E193)+N193,0,IF((YEAR(D193)+16)=YEAR(E193),(12-MONTH(E193)+1)/12,1))))))))&gt;0,(((K193)*(IF(M193="",L193,IFERROR(IF(INDEX(Variablen!$I:$AT, MATCH(M193, Variablen!$A:$A, 0), MATCH((YEAR(D193)+16), Variablen!$I$3:$AT$3, 0))="",L193,INDEX(Variablen!$I:$AT, MATCH(M193, Variablen!$A:$A, 0), MATCH((YEAR(D193)+16), Variablen!$I$3:$AT$3, 0))),L193)))*(IF((YEAR(D193)+16)&lt;YEAR(E193),0,IF((YEAR(D193)+16)&gt;YEAR(E193),1,(12-MONTH(E193)+1)/12))) + (Q193)*(IF((YEAR(D193)+16)&lt;YEAR(E193),0,IF((YEAR(D193)+16)&gt;YEAR(E193),1,(12-MONTH(E193)+1)/12))))-((P193)*(IF((YEAR(D193)+16)&lt;YEAR(E193),0,IF((YEAR(D193)+16)&gt;YEAR(E193),1,(12-MONTH(E193)+1)/12))) + (R193)*(IF((YEAR(D193)+16)&lt;YEAR(E193),0,IF((YEAR(D193)+16)&gt;YEAR(E193),1,(12-MONTH(E193)+1)/12))))-(IF(OR(N193="",N193&lt;=0),0,(O193/N193)*(IF(OR(N193="",N193&lt;=0),0,IF((YEAR(D193)+16)&lt;YEAR(E193),0,IF((YEAR(D193)+16)&gt;=YEAR(E193)+N193,0,IF((YEAR(D193)+16)=YEAR(E193),(12-MONTH(E193)+1)/12,1))))))))*TaxRate,0))-IF(16=0,O193,0))</f>
        <v/>
      </c>
      <c r="AJ193" s="29">
        <f>IF(A193="","",((K193)*(IF(M193="",L193,IFERROR(IF(INDEX(Variablen!$I:$AT, MATCH(M193, Variablen!$A:$A, 0), MATCH((YEAR(D193)+17), Variablen!$I$3:$AT$3, 0))="",L193,INDEX(Variablen!$I:$AT, MATCH(M193, Variablen!$A:$A, 0), MATCH((YEAR(D193)+17), Variablen!$I$3:$AT$3, 0))),L193)))*(IF((YEAR(D193)+17)&lt;YEAR(E193),0,IF((YEAR(D193)+17)&gt;YEAR(E193),1,(12-MONTH(E193)+1)/12))) + (Q193)*(IF((YEAR(D193)+17)&lt;YEAR(E193),0,IF((YEAR(D193)+17)&gt;YEAR(E193),1,(12-MONTH(E193)+1)/12))))-((P193)*(IF((YEAR(D193)+17)&lt;YEAR(E193),0,IF((YEAR(D193)+17)&gt;YEAR(E193),1,(12-MONTH(E193)+1)/12))) + (R193)*(IF((YEAR(D193)+17)&lt;YEAR(E193),0,IF((YEAR(D193)+17)&gt;YEAR(E193),1,(12-MONTH(E193)+1)/12))))-(IF((((K193)*(IF(M193="",L193,IFERROR(IF(INDEX(Variablen!$I:$AT, MATCH(M193, Variablen!$A:$A, 0), MATCH((YEAR(D193)+17), Variablen!$I$3:$AT$3, 0))="",L193,INDEX(Variablen!$I:$AT, MATCH(M193, Variablen!$A:$A, 0), MATCH((YEAR(D193)+17), Variablen!$I$3:$AT$3, 0))),L193)))*(IF((YEAR(D193)+17)&lt;YEAR(E193),0,IF((YEAR(D193)+17)&gt;YEAR(E193),1,(12-MONTH(E193)+1)/12))) + (Q193)*(IF((YEAR(D193)+17)&lt;YEAR(E193),0,IF((YEAR(D193)+17)&gt;YEAR(E193),1,(12-MONTH(E193)+1)/12))))-((P193)*(IF((YEAR(D193)+17)&lt;YEAR(E193),0,IF((YEAR(D193)+17)&gt;YEAR(E193),1,(12-MONTH(E193)+1)/12))) + (R193)*(IF((YEAR(D193)+17)&lt;YEAR(E193),0,IF((YEAR(D193)+17)&gt;YEAR(E193),1,(12-MONTH(E193)+1)/12))))-(IF(OR(N193="",N193&lt;=0),0,(O193/N193)*(IF(OR(N193="",N193&lt;=0),0,IF((YEAR(D193)+17)&lt;YEAR(E193),0,IF((YEAR(D193)+17)&gt;=YEAR(E193)+N193,0,IF((YEAR(D193)+17)=YEAR(E193),(12-MONTH(E193)+1)/12,1))))))))&gt;0,(((K193)*(IF(M193="",L193,IFERROR(IF(INDEX(Variablen!$I:$AT, MATCH(M193, Variablen!$A:$A, 0), MATCH((YEAR(D193)+17), Variablen!$I$3:$AT$3, 0))="",L193,INDEX(Variablen!$I:$AT, MATCH(M193, Variablen!$A:$A, 0), MATCH((YEAR(D193)+17), Variablen!$I$3:$AT$3, 0))),L193)))*(IF((YEAR(D193)+17)&lt;YEAR(E193),0,IF((YEAR(D193)+17)&gt;YEAR(E193),1,(12-MONTH(E193)+1)/12))) + (Q193)*(IF((YEAR(D193)+17)&lt;YEAR(E193),0,IF((YEAR(D193)+17)&gt;YEAR(E193),1,(12-MONTH(E193)+1)/12))))-((P193)*(IF((YEAR(D193)+17)&lt;YEAR(E193),0,IF((YEAR(D193)+17)&gt;YEAR(E193),1,(12-MONTH(E193)+1)/12))) + (R193)*(IF((YEAR(D193)+17)&lt;YEAR(E193),0,IF((YEAR(D193)+17)&gt;YEAR(E193),1,(12-MONTH(E193)+1)/12))))-(IF(OR(N193="",N193&lt;=0),0,(O193/N193)*(IF(OR(N193="",N193&lt;=0),0,IF((YEAR(D193)+17)&lt;YEAR(E193),0,IF((YEAR(D193)+17)&gt;=YEAR(E193)+N193,0,IF((YEAR(D193)+17)=YEAR(E193),(12-MONTH(E193)+1)/12,1))))))))*TaxRate,0))-IF(17=0,O193,0))</f>
        <v/>
      </c>
      <c r="AK193" s="29">
        <f>IF(A193="","",((K193)*(IF(M193="",L193,IFERROR(IF(INDEX(Variablen!$I:$AT, MATCH(M193, Variablen!$A:$A, 0), MATCH((YEAR(D193)+18), Variablen!$I$3:$AT$3, 0))="",L193,INDEX(Variablen!$I:$AT, MATCH(M193, Variablen!$A:$A, 0), MATCH((YEAR(D193)+18), Variablen!$I$3:$AT$3, 0))),L193)))*(IF((YEAR(D193)+18)&lt;YEAR(E193),0,IF((YEAR(D193)+18)&gt;YEAR(E193),1,(12-MONTH(E193)+1)/12))) + (Q193)*(IF((YEAR(D193)+18)&lt;YEAR(E193),0,IF((YEAR(D193)+18)&gt;YEAR(E193),1,(12-MONTH(E193)+1)/12))))-((P193)*(IF((YEAR(D193)+18)&lt;YEAR(E193),0,IF((YEAR(D193)+18)&gt;YEAR(E193),1,(12-MONTH(E193)+1)/12))) + (R193)*(IF((YEAR(D193)+18)&lt;YEAR(E193),0,IF((YEAR(D193)+18)&gt;YEAR(E193),1,(12-MONTH(E193)+1)/12))))-(IF((((K193)*(IF(M193="",L193,IFERROR(IF(INDEX(Variablen!$I:$AT, MATCH(M193, Variablen!$A:$A, 0), MATCH((YEAR(D193)+18), Variablen!$I$3:$AT$3, 0))="",L193,INDEX(Variablen!$I:$AT, MATCH(M193, Variablen!$A:$A, 0), MATCH((YEAR(D193)+18), Variablen!$I$3:$AT$3, 0))),L193)))*(IF((YEAR(D193)+18)&lt;YEAR(E193),0,IF((YEAR(D193)+18)&gt;YEAR(E193),1,(12-MONTH(E193)+1)/12))) + (Q193)*(IF((YEAR(D193)+18)&lt;YEAR(E193),0,IF((YEAR(D193)+18)&gt;YEAR(E193),1,(12-MONTH(E193)+1)/12))))-((P193)*(IF((YEAR(D193)+18)&lt;YEAR(E193),0,IF((YEAR(D193)+18)&gt;YEAR(E193),1,(12-MONTH(E193)+1)/12))) + (R193)*(IF((YEAR(D193)+18)&lt;YEAR(E193),0,IF((YEAR(D193)+18)&gt;YEAR(E193),1,(12-MONTH(E193)+1)/12))))-(IF(OR(N193="",N193&lt;=0),0,(O193/N193)*(IF(OR(N193="",N193&lt;=0),0,IF((YEAR(D193)+18)&lt;YEAR(E193),0,IF((YEAR(D193)+18)&gt;=YEAR(E193)+N193,0,IF((YEAR(D193)+18)=YEAR(E193),(12-MONTH(E193)+1)/12,1))))))))&gt;0,(((K193)*(IF(M193="",L193,IFERROR(IF(INDEX(Variablen!$I:$AT, MATCH(M193, Variablen!$A:$A, 0), MATCH((YEAR(D193)+18), Variablen!$I$3:$AT$3, 0))="",L193,INDEX(Variablen!$I:$AT, MATCH(M193, Variablen!$A:$A, 0), MATCH((YEAR(D193)+18), Variablen!$I$3:$AT$3, 0))),L193)))*(IF((YEAR(D193)+18)&lt;YEAR(E193),0,IF((YEAR(D193)+18)&gt;YEAR(E193),1,(12-MONTH(E193)+1)/12))) + (Q193)*(IF((YEAR(D193)+18)&lt;YEAR(E193),0,IF((YEAR(D193)+18)&gt;YEAR(E193),1,(12-MONTH(E193)+1)/12))))-((P193)*(IF((YEAR(D193)+18)&lt;YEAR(E193),0,IF((YEAR(D193)+18)&gt;YEAR(E193),1,(12-MONTH(E193)+1)/12))) + (R193)*(IF((YEAR(D193)+18)&lt;YEAR(E193),0,IF((YEAR(D193)+18)&gt;YEAR(E193),1,(12-MONTH(E193)+1)/12))))-(IF(OR(N193="",N193&lt;=0),0,(O193/N193)*(IF(OR(N193="",N193&lt;=0),0,IF((YEAR(D193)+18)&lt;YEAR(E193),0,IF((YEAR(D193)+18)&gt;=YEAR(E193)+N193,0,IF((YEAR(D193)+18)=YEAR(E193),(12-MONTH(E193)+1)/12,1))))))))*TaxRate,0))-IF(18=0,O193,0))</f>
        <v/>
      </c>
      <c r="AL193" s="29">
        <f>IF(A193="","",((K193)*(IF(M193="",L193,IFERROR(IF(INDEX(Variablen!$I:$AT, MATCH(M193, Variablen!$A:$A, 0), MATCH((YEAR(D193)+19), Variablen!$I$3:$AT$3, 0))="",L193,INDEX(Variablen!$I:$AT, MATCH(M193, Variablen!$A:$A, 0), MATCH((YEAR(D193)+19), Variablen!$I$3:$AT$3, 0))),L193)))*(IF((YEAR(D193)+19)&lt;YEAR(E193),0,IF((YEAR(D193)+19)&gt;YEAR(E193),1,(12-MONTH(E193)+1)/12))) + (Q193)*(IF((YEAR(D193)+19)&lt;YEAR(E193),0,IF((YEAR(D193)+19)&gt;YEAR(E193),1,(12-MONTH(E193)+1)/12))))-((P193)*(IF((YEAR(D193)+19)&lt;YEAR(E193),0,IF((YEAR(D193)+19)&gt;YEAR(E193),1,(12-MONTH(E193)+1)/12))) + (R193)*(IF((YEAR(D193)+19)&lt;YEAR(E193),0,IF((YEAR(D193)+19)&gt;YEAR(E193),1,(12-MONTH(E193)+1)/12))))-(IF((((K193)*(IF(M193="",L193,IFERROR(IF(INDEX(Variablen!$I:$AT, MATCH(M193, Variablen!$A:$A, 0), MATCH((YEAR(D193)+19), Variablen!$I$3:$AT$3, 0))="",L193,INDEX(Variablen!$I:$AT, MATCH(M193, Variablen!$A:$A, 0), MATCH((YEAR(D193)+19), Variablen!$I$3:$AT$3, 0))),L193)))*(IF((YEAR(D193)+19)&lt;YEAR(E193),0,IF((YEAR(D193)+19)&gt;YEAR(E193),1,(12-MONTH(E193)+1)/12))) + (Q193)*(IF((YEAR(D193)+19)&lt;YEAR(E193),0,IF((YEAR(D193)+19)&gt;YEAR(E193),1,(12-MONTH(E193)+1)/12))))-((P193)*(IF((YEAR(D193)+19)&lt;YEAR(E193),0,IF((YEAR(D193)+19)&gt;YEAR(E193),1,(12-MONTH(E193)+1)/12))) + (R193)*(IF((YEAR(D193)+19)&lt;YEAR(E193),0,IF((YEAR(D193)+19)&gt;YEAR(E193),1,(12-MONTH(E193)+1)/12))))-(IF(OR(N193="",N193&lt;=0),0,(O193/N193)*(IF(OR(N193="",N193&lt;=0),0,IF((YEAR(D193)+19)&lt;YEAR(E193),0,IF((YEAR(D193)+19)&gt;=YEAR(E193)+N193,0,IF((YEAR(D193)+19)=YEAR(E193),(12-MONTH(E193)+1)/12,1))))))))&gt;0,(((K193)*(IF(M193="",L193,IFERROR(IF(INDEX(Variablen!$I:$AT, MATCH(M193, Variablen!$A:$A, 0), MATCH((YEAR(D193)+19), Variablen!$I$3:$AT$3, 0))="",L193,INDEX(Variablen!$I:$AT, MATCH(M193, Variablen!$A:$A, 0), MATCH((YEAR(D193)+19), Variablen!$I$3:$AT$3, 0))),L193)))*(IF((YEAR(D193)+19)&lt;YEAR(E193),0,IF((YEAR(D193)+19)&gt;YEAR(E193),1,(12-MONTH(E193)+1)/12))) + (Q193)*(IF((YEAR(D193)+19)&lt;YEAR(E193),0,IF((YEAR(D193)+19)&gt;YEAR(E193),1,(12-MONTH(E193)+1)/12))))-((P193)*(IF((YEAR(D193)+19)&lt;YEAR(E193),0,IF((YEAR(D193)+19)&gt;YEAR(E193),1,(12-MONTH(E193)+1)/12))) + (R193)*(IF((YEAR(D193)+19)&lt;YEAR(E193),0,IF((YEAR(D193)+19)&gt;YEAR(E193),1,(12-MONTH(E193)+1)/12))))-(IF(OR(N193="",N193&lt;=0),0,(O193/N193)*(IF(OR(N193="",N193&lt;=0),0,IF((YEAR(D193)+19)&lt;YEAR(E193),0,IF((YEAR(D193)+19)&gt;=YEAR(E193)+N193,0,IF((YEAR(D193)+19)=YEAR(E193),(12-MONTH(E193)+1)/12,1))))))))*TaxRate,0))-IF(19=0,O193,0))</f>
        <v/>
      </c>
      <c r="AM193" s="29">
        <f>IF(A193="","",((K193)*(IF(M193="",L193,IFERROR(IF(INDEX(Variablen!$I:$AT, MATCH(M193, Variablen!$A:$A, 0), MATCH((YEAR(D193)+20), Variablen!$I$3:$AT$3, 0))="",L193,INDEX(Variablen!$I:$AT, MATCH(M193, Variablen!$A:$A, 0), MATCH((YEAR(D193)+20), Variablen!$I$3:$AT$3, 0))),L193)))*(IF((YEAR(D193)+20)&lt;YEAR(E193),0,IF((YEAR(D193)+20)&gt;YEAR(E193),1,(12-MONTH(E193)+1)/12))) + (Q193)*(IF((YEAR(D193)+20)&lt;YEAR(E193),0,IF((YEAR(D193)+20)&gt;YEAR(E193),1,(12-MONTH(E193)+1)/12))))-((P193)*(IF((YEAR(D193)+20)&lt;YEAR(E193),0,IF((YEAR(D193)+20)&gt;YEAR(E193),1,(12-MONTH(E193)+1)/12))) + (R193)*(IF((YEAR(D193)+20)&lt;YEAR(E193),0,IF((YEAR(D193)+20)&gt;YEAR(E193),1,(12-MONTH(E193)+1)/12))))-(IF((((K193)*(IF(M193="",L193,IFERROR(IF(INDEX(Variablen!$I:$AT, MATCH(M193, Variablen!$A:$A, 0), MATCH((YEAR(D193)+20), Variablen!$I$3:$AT$3, 0))="",L193,INDEX(Variablen!$I:$AT, MATCH(M193, Variablen!$A:$A, 0), MATCH((YEAR(D193)+20), Variablen!$I$3:$AT$3, 0))),L193)))*(IF((YEAR(D193)+20)&lt;YEAR(E193),0,IF((YEAR(D193)+20)&gt;YEAR(E193),1,(12-MONTH(E193)+1)/12))) + (Q193)*(IF((YEAR(D193)+20)&lt;YEAR(E193),0,IF((YEAR(D193)+20)&gt;YEAR(E193),1,(12-MONTH(E193)+1)/12))))-((P193)*(IF((YEAR(D193)+20)&lt;YEAR(E193),0,IF((YEAR(D193)+20)&gt;YEAR(E193),1,(12-MONTH(E193)+1)/12))) + (R193)*(IF((YEAR(D193)+20)&lt;YEAR(E193),0,IF((YEAR(D193)+20)&gt;YEAR(E193),1,(12-MONTH(E193)+1)/12))))-(IF(OR(N193="",N193&lt;=0),0,(O193/N193)*(IF(OR(N193="",N193&lt;=0),0,IF((YEAR(D193)+20)&lt;YEAR(E193),0,IF((YEAR(D193)+20)&gt;=YEAR(E193)+N193,0,IF((YEAR(D193)+20)=YEAR(E193),(12-MONTH(E193)+1)/12,1))))))))&gt;0,(((K193)*(IF(M193="",L193,IFERROR(IF(INDEX(Variablen!$I:$AT, MATCH(M193, Variablen!$A:$A, 0), MATCH((YEAR(D193)+20), Variablen!$I$3:$AT$3, 0))="",L193,INDEX(Variablen!$I:$AT, MATCH(M193, Variablen!$A:$A, 0), MATCH((YEAR(D193)+20), Variablen!$I$3:$AT$3, 0))),L193)))*(IF((YEAR(D193)+20)&lt;YEAR(E193),0,IF((YEAR(D193)+20)&gt;YEAR(E193),1,(12-MONTH(E193)+1)/12))) + (Q193)*(IF((YEAR(D193)+20)&lt;YEAR(E193),0,IF((YEAR(D193)+20)&gt;YEAR(E193),1,(12-MONTH(E193)+1)/12))))-((P193)*(IF((YEAR(D193)+20)&lt;YEAR(E193),0,IF((YEAR(D193)+20)&gt;YEAR(E193),1,(12-MONTH(E193)+1)/12))) + (R193)*(IF((YEAR(D193)+20)&lt;YEAR(E193),0,IF((YEAR(D193)+20)&gt;YEAR(E193),1,(12-MONTH(E193)+1)/12))))-(IF(OR(N193="",N193&lt;=0),0,(O193/N193)*(IF(OR(N193="",N193&lt;=0),0,IF((YEAR(D193)+20)&lt;YEAR(E193),0,IF((YEAR(D193)+20)&gt;=YEAR(E193)+N193,0,IF((YEAR(D193)+20)=YEAR(E193),(12-MONTH(E193)+1)/12,1))))))))*TaxRate,0))-IF(20=0,O193,0))</f>
        <v/>
      </c>
      <c r="AN193" s="29">
        <f>IF(A193="","",S193)</f>
        <v/>
      </c>
      <c r="AO193" s="29">
        <f>IF(A193="","",AN193+T193)</f>
        <v/>
      </c>
      <c r="AP193" s="29">
        <f>IF(A193="","",AO193+U193)</f>
        <v/>
      </c>
      <c r="AQ193" s="29">
        <f>IF(A193="","",AP193+V193)</f>
        <v/>
      </c>
      <c r="AR193" s="29">
        <f>IF(A193="","",AQ193+W193)</f>
        <v/>
      </c>
      <c r="AS193" s="29">
        <f>IF(A193="","",AR193+X193)</f>
        <v/>
      </c>
      <c r="AT193" s="29">
        <f>IF(A193="","",AS193+Y193)</f>
        <v/>
      </c>
      <c r="AU193" s="29">
        <f>IF(A193="","",AT193+Z193)</f>
        <v/>
      </c>
      <c r="AV193" s="29">
        <f>IF(A193="","",AU193+AA193)</f>
        <v/>
      </c>
      <c r="AW193" s="29">
        <f>IF(A193="","",AV193+AB193)</f>
        <v/>
      </c>
      <c r="AX193" s="29">
        <f>IF(A193="","",AW193+AC193)</f>
        <v/>
      </c>
      <c r="AY193" s="29">
        <f>IF(A193="","",AX193+AD193)</f>
        <v/>
      </c>
      <c r="AZ193" s="29">
        <f>IF(A193="","",AY193+AE193)</f>
        <v/>
      </c>
      <c r="BA193" s="29">
        <f>IF(A193="","",AZ193+AF193)</f>
        <v/>
      </c>
      <c r="BB193" s="29">
        <f>IF(A193="","",BA193+AG193)</f>
        <v/>
      </c>
      <c r="BC193" s="29">
        <f>IF(A193="","",BB193+AH193)</f>
        <v/>
      </c>
      <c r="BD193" s="29">
        <f>IF(A193="","",BC193+AI193)</f>
        <v/>
      </c>
      <c r="BE193" s="29">
        <f>IF(A193="","",BD193+AJ193)</f>
        <v/>
      </c>
      <c r="BF193" s="29">
        <f>IF(A193="","",BE193+AK193)</f>
        <v/>
      </c>
      <c r="BG193" s="29">
        <f>IF(A193="","",BF193+AL193)</f>
        <v/>
      </c>
      <c r="BH193" s="29">
        <f>IF(A193="","",BG193+AM193)</f>
        <v/>
      </c>
      <c r="BI193" s="36">
        <f>IF(A193="","",(K193)*(IF((YEAR(D193)+0)&lt;YEAR(E193),0,IF((YEAR(D193)+0)&gt;YEAR(E193),1,(12-MONTH(E193)+1)/12)))*(1/(1+DiscountRate)^0))</f>
        <v/>
      </c>
      <c r="BJ193" s="36">
        <f>IF(A193="","",(K193)*(IF((YEAR(D193)+1)&lt;YEAR(E193),0,IF((YEAR(D193)+1)&gt;YEAR(E193),1,(12-MONTH(E193)+1)/12)))*(1/(1+DiscountRate)^1))</f>
        <v/>
      </c>
      <c r="BK193" s="36">
        <f>IF(A193="","",(K193)*(IF((YEAR(D193)+2)&lt;YEAR(E193),0,IF((YEAR(D193)+2)&gt;YEAR(E193),1,(12-MONTH(E193)+1)/12)))*(1/(1+DiscountRate)^2))</f>
        <v/>
      </c>
      <c r="BL193" s="36">
        <f>IF(A193="","",(K193)*(IF((YEAR(D193)+3)&lt;YEAR(E193),0,IF((YEAR(D193)+3)&gt;YEAR(E193),1,(12-MONTH(E193)+1)/12)))*(1/(1+DiscountRate)^3))</f>
        <v/>
      </c>
      <c r="BM193" s="36">
        <f>IF(A193="","",(K193)*(IF((YEAR(D193)+4)&lt;YEAR(E193),0,IF((YEAR(D193)+4)&gt;YEAR(E193),1,(12-MONTH(E193)+1)/12)))*(1/(1+DiscountRate)^4))</f>
        <v/>
      </c>
      <c r="BN193" s="36">
        <f>IF(A193="","",(K193)*(IF((YEAR(D193)+5)&lt;YEAR(E193),0,IF((YEAR(D193)+5)&gt;YEAR(E193),1,(12-MONTH(E193)+1)/12)))*(1/(1+DiscountRate)^5))</f>
        <v/>
      </c>
      <c r="BO193" s="36">
        <f>IF(A193="","",(K193)*(IF((YEAR(D193)+6)&lt;YEAR(E193),0,IF((YEAR(D193)+6)&gt;YEAR(E193),1,(12-MONTH(E193)+1)/12)))*(1/(1+DiscountRate)^6))</f>
        <v/>
      </c>
      <c r="BP193" s="36">
        <f>IF(A193="","",(K193)*(IF((YEAR(D193)+7)&lt;YEAR(E193),0,IF((YEAR(D193)+7)&gt;YEAR(E193),1,(12-MONTH(E193)+1)/12)))*(1/(1+DiscountRate)^7))</f>
        <v/>
      </c>
      <c r="BQ193" s="36">
        <f>IF(A193="","",(K193)*(IF((YEAR(D193)+8)&lt;YEAR(E193),0,IF((YEAR(D193)+8)&gt;YEAR(E193),1,(12-MONTH(E193)+1)/12)))*(1/(1+DiscountRate)^8))</f>
        <v/>
      </c>
      <c r="BR193" s="36">
        <f>IF(A193="","",(K193)*(IF((YEAR(D193)+9)&lt;YEAR(E193),0,IF((YEAR(D193)+9)&gt;YEAR(E193),1,(12-MONTH(E193)+1)/12)))*(1/(1+DiscountRate)^9))</f>
        <v/>
      </c>
      <c r="BS193" s="36">
        <f>IF(A193="","",(K193)*(IF((YEAR(D193)+10)&lt;YEAR(E193),0,IF((YEAR(D193)+10)&gt;YEAR(E193),1,(12-MONTH(E193)+1)/12)))*(1/(1+DiscountRate)^10))</f>
        <v/>
      </c>
      <c r="BT193" s="36">
        <f>IF(A193="","",(K193)*(IF((YEAR(D193)+11)&lt;YEAR(E193),0,IF((YEAR(D193)+11)&gt;YEAR(E193),1,(12-MONTH(E193)+1)/12)))*(1/(1+DiscountRate)^11))</f>
        <v/>
      </c>
      <c r="BU193" s="36">
        <f>IF(A193="","",(K193)*(IF((YEAR(D193)+12)&lt;YEAR(E193),0,IF((YEAR(D193)+12)&gt;YEAR(E193),1,(12-MONTH(E193)+1)/12)))*(1/(1+DiscountRate)^12))</f>
        <v/>
      </c>
      <c r="BV193" s="36">
        <f>IF(A193="","",(K193)*(IF((YEAR(D193)+13)&lt;YEAR(E193),0,IF((YEAR(D193)+13)&gt;YEAR(E193),1,(12-MONTH(E193)+1)/12)))*(1/(1+DiscountRate)^13))</f>
        <v/>
      </c>
      <c r="BW193" s="36">
        <f>IF(A193="","",(K193)*(IF((YEAR(D193)+14)&lt;YEAR(E193),0,IF((YEAR(D193)+14)&gt;YEAR(E193),1,(12-MONTH(E193)+1)/12)))*(1/(1+DiscountRate)^14))</f>
        <v/>
      </c>
      <c r="BX193" s="36">
        <f>IF(A193="","",(K193)*(IF((YEAR(D193)+15)&lt;YEAR(E193),0,IF((YEAR(D193)+15)&gt;YEAR(E193),1,(12-MONTH(E193)+1)/12)))*(1/(1+DiscountRate)^15))</f>
        <v/>
      </c>
      <c r="BY193" s="36">
        <f>IF(A193="","",(K193)*(IF((YEAR(D193)+16)&lt;YEAR(E193),0,IF((YEAR(D193)+16)&gt;YEAR(E193),1,(12-MONTH(E193)+1)/12)))*(1/(1+DiscountRate)^16))</f>
        <v/>
      </c>
      <c r="BZ193" s="36">
        <f>IF(A193="","",(K193)*(IF((YEAR(D193)+17)&lt;YEAR(E193),0,IF((YEAR(D193)+17)&gt;YEAR(E193),1,(12-MONTH(E193)+1)/12)))*(1/(1+DiscountRate)^17))</f>
        <v/>
      </c>
      <c r="CA193" s="36">
        <f>IF(A193="","",(K193)*(IF((YEAR(D193)+18)&lt;YEAR(E193),0,IF((YEAR(D193)+18)&gt;YEAR(E193),1,(12-MONTH(E193)+1)/12)))*(1/(1+DiscountRate)^18))</f>
        <v/>
      </c>
      <c r="CB193" s="36">
        <f>IF(A193="","",(K193)*(IF((YEAR(D193)+19)&lt;YEAR(E193),0,IF((YEAR(D193)+19)&gt;YEAR(E193),1,(12-MONTH(E193)+1)/12)))*(1/(1+DiscountRate)^19))</f>
        <v/>
      </c>
      <c r="CC193" s="36">
        <f>IF(A193="","",(K193)*(IF((YEAR(D193)+20)&lt;YEAR(E193),0,IF((YEAR(D193)+20)&gt;YEAR(E193),1,(12-MONTH(E193)+1)/12)))*(1/(1+DiscountRate)^20))</f>
        <v/>
      </c>
      <c r="CD193" s="29">
        <f>IF(A193="","",S193/(1+DiscountRate)^0+T193/(1+DiscountRate)^1+U193/(1+DiscountRate)^2+V193/(1+DiscountRate)^3+W193/(1+DiscountRate)^4+X193/(1+DiscountRate)^5+Y193/(1+DiscountRate)^6+Z193/(1+DiscountRate)^7+AA193/(1+DiscountRate)^8+AB193/(1+DiscountRate)^9+AC193/(1+DiscountRate)^10+AD193/(1+DiscountRate)^11+AE193/(1+DiscountRate)^12+AF193/(1+DiscountRate)^13+AG193/(1+DiscountRate)^14+AH193/(1+DiscountRate)^15+AI193/(1+DiscountRate)^16+AJ193/(1+DiscountRate)^17+AK193/(1+DiscountRate)^18+AL193/(1+DiscountRate)^19+AM193/(1+DiscountRate)^20)</f>
        <v/>
      </c>
      <c r="CE193" s="37">
        <f>IF(A193="","",IFERROR(IRR(OFFSET(S193,0,0,1,MIN(HorizonYears,20)+1)),"n/a"))</f>
        <v/>
      </c>
      <c r="CF193" s="28">
        <f>IF(A193="","",IFERROR(MATCH(TRUE,OFFSET(AN193,0,0,1,MIN(HorizonYears,20)+1)&gt;=0,0)-1,"n/a"))</f>
        <v/>
      </c>
      <c r="CG193" s="36">
        <f>IF(A193="","",SUM(OFFSET(BI193,0,0,1,MIN(HorizonYears,20)+1)))</f>
        <v/>
      </c>
      <c r="CH193" s="36">
        <f>IF(A193="","",IFERROR(-CD193/CG193,"n/a"))</f>
        <v/>
      </c>
    </row>
    <row r="194">
      <c r="A194" s="6">
        <f>Actions!A192</f>
        <v/>
      </c>
      <c r="B194" s="6">
        <f>Actions!B192</f>
        <v/>
      </c>
      <c r="C194" s="6">
        <f>Actions!D192</f>
        <v/>
      </c>
      <c r="D194" s="35">
        <f>Actions!E192</f>
        <v/>
      </c>
      <c r="E194" s="35">
        <f>Actions!F192</f>
        <v/>
      </c>
      <c r="F194" s="6">
        <f>Actions!G192</f>
        <v/>
      </c>
      <c r="G194" s="6">
        <f>Actions!H192</f>
        <v/>
      </c>
      <c r="H194" s="29">
        <f>Actions!I192</f>
        <v/>
      </c>
      <c r="I194" s="6">
        <f>Actions!J192</f>
        <v/>
      </c>
      <c r="J194" s="16">
        <f>Actions!K192</f>
        <v/>
      </c>
      <c r="K194" s="16">
        <f>IF(A194="","",IF(I194="%",H194*J194,J194))</f>
        <v/>
      </c>
      <c r="L194" s="16">
        <f>Actions!L192</f>
        <v/>
      </c>
      <c r="M194" s="6">
        <f>Actions!M192</f>
        <v/>
      </c>
      <c r="N194" s="28">
        <f>Actions!N192</f>
        <v/>
      </c>
      <c r="O194" s="29">
        <f>Actions!T192</f>
        <v/>
      </c>
      <c r="P194" s="29">
        <f>Actions!Y192</f>
        <v/>
      </c>
      <c r="Q194" s="29">
        <f>Actions!Z192</f>
        <v/>
      </c>
      <c r="R194" s="29">
        <f>Actions!AA192</f>
        <v/>
      </c>
      <c r="S194" s="29">
        <f>IF(A194="","",((K194)*(IF(M194="",L194,IFERROR(IF(INDEX(Variablen!$I:$AT, MATCH(M194, Variablen!$A:$A, 0), MATCH((YEAR(D194)+0), Variablen!$I$3:$AT$3, 0))="",L194,INDEX(Variablen!$I:$AT, MATCH(M194, Variablen!$A:$A, 0), MATCH((YEAR(D194)+0), Variablen!$I$3:$AT$3, 0))),L194)))*(IF((YEAR(D194)+0)&lt;YEAR(E194),0,IF((YEAR(D194)+0)&gt;YEAR(E194),1,(12-MONTH(E194)+1)/12))) + (Q194)*(IF((YEAR(D194)+0)&lt;YEAR(E194),0,IF((YEAR(D194)+0)&gt;YEAR(E194),1,(12-MONTH(E194)+1)/12))))-((P194)*(IF((YEAR(D194)+0)&lt;YEAR(E194),0,IF((YEAR(D194)+0)&gt;YEAR(E194),1,(12-MONTH(E194)+1)/12))) + (R194)*(IF((YEAR(D194)+0)&lt;YEAR(E194),0,IF((YEAR(D194)+0)&gt;YEAR(E194),1,(12-MONTH(E194)+1)/12))))-(IF((((K194)*(IF(M194="",L194,IFERROR(IF(INDEX(Variablen!$I:$AT, MATCH(M194, Variablen!$A:$A, 0), MATCH((YEAR(D194)+0), Variablen!$I$3:$AT$3, 0))="",L194,INDEX(Variablen!$I:$AT, MATCH(M194, Variablen!$A:$A, 0), MATCH((YEAR(D194)+0), Variablen!$I$3:$AT$3, 0))),L194)))*(IF((YEAR(D194)+0)&lt;YEAR(E194),0,IF((YEAR(D194)+0)&gt;YEAR(E194),1,(12-MONTH(E194)+1)/12))) + (Q194)*(IF((YEAR(D194)+0)&lt;YEAR(E194),0,IF((YEAR(D194)+0)&gt;YEAR(E194),1,(12-MONTH(E194)+1)/12))))-((P194)*(IF((YEAR(D194)+0)&lt;YEAR(E194),0,IF((YEAR(D194)+0)&gt;YEAR(E194),1,(12-MONTH(E194)+1)/12))) + (R194)*(IF((YEAR(D194)+0)&lt;YEAR(E194),0,IF((YEAR(D194)+0)&gt;YEAR(E194),1,(12-MONTH(E194)+1)/12))))-(IF(OR(N194="",N194&lt;=0),0,(O194/N194)*(IF(OR(N194="",N194&lt;=0),0,IF((YEAR(D194)+0)&lt;YEAR(E194),0,IF((YEAR(D194)+0)&gt;=YEAR(E194)+N194,0,IF((YEAR(D194)+0)=YEAR(E194),(12-MONTH(E194)+1)/12,1))))))))&gt;0,(((K194)*(IF(M194="",L194,IFERROR(IF(INDEX(Variablen!$I:$AT, MATCH(M194, Variablen!$A:$A, 0), MATCH((YEAR(D194)+0), Variablen!$I$3:$AT$3, 0))="",L194,INDEX(Variablen!$I:$AT, MATCH(M194, Variablen!$A:$A, 0), MATCH((YEAR(D194)+0), Variablen!$I$3:$AT$3, 0))),L194)))*(IF((YEAR(D194)+0)&lt;YEAR(E194),0,IF((YEAR(D194)+0)&gt;YEAR(E194),1,(12-MONTH(E194)+1)/12))) + (Q194)*(IF((YEAR(D194)+0)&lt;YEAR(E194),0,IF((YEAR(D194)+0)&gt;YEAR(E194),1,(12-MONTH(E194)+1)/12))))-((P194)*(IF((YEAR(D194)+0)&lt;YEAR(E194),0,IF((YEAR(D194)+0)&gt;YEAR(E194),1,(12-MONTH(E194)+1)/12))) + (R194)*(IF((YEAR(D194)+0)&lt;YEAR(E194),0,IF((YEAR(D194)+0)&gt;YEAR(E194),1,(12-MONTH(E194)+1)/12))))-(IF(OR(N194="",N194&lt;=0),0,(O194/N194)*(IF(OR(N194="",N194&lt;=0),0,IF((YEAR(D194)+0)&lt;YEAR(E194),0,IF((YEAR(D194)+0)&gt;=YEAR(E194)+N194,0,IF((YEAR(D194)+0)=YEAR(E194),(12-MONTH(E194)+1)/12,1))))))))*TaxRate,0))-IF(0=0,O194,0))</f>
        <v/>
      </c>
      <c r="T194" s="29">
        <f>IF(A194="","",((K194)*(IF(M194="",L194,IFERROR(IF(INDEX(Variablen!$I:$AT, MATCH(M194, Variablen!$A:$A, 0), MATCH((YEAR(D194)+1), Variablen!$I$3:$AT$3, 0))="",L194,INDEX(Variablen!$I:$AT, MATCH(M194, Variablen!$A:$A, 0), MATCH((YEAR(D194)+1), Variablen!$I$3:$AT$3, 0))),L194)))*(IF((YEAR(D194)+1)&lt;YEAR(E194),0,IF((YEAR(D194)+1)&gt;YEAR(E194),1,(12-MONTH(E194)+1)/12))) + (Q194)*(IF((YEAR(D194)+1)&lt;YEAR(E194),0,IF((YEAR(D194)+1)&gt;YEAR(E194),1,(12-MONTH(E194)+1)/12))))-((P194)*(IF((YEAR(D194)+1)&lt;YEAR(E194),0,IF((YEAR(D194)+1)&gt;YEAR(E194),1,(12-MONTH(E194)+1)/12))) + (R194)*(IF((YEAR(D194)+1)&lt;YEAR(E194),0,IF((YEAR(D194)+1)&gt;YEAR(E194),1,(12-MONTH(E194)+1)/12))))-(IF((((K194)*(IF(M194="",L194,IFERROR(IF(INDEX(Variablen!$I:$AT, MATCH(M194, Variablen!$A:$A, 0), MATCH((YEAR(D194)+1), Variablen!$I$3:$AT$3, 0))="",L194,INDEX(Variablen!$I:$AT, MATCH(M194, Variablen!$A:$A, 0), MATCH((YEAR(D194)+1), Variablen!$I$3:$AT$3, 0))),L194)))*(IF((YEAR(D194)+1)&lt;YEAR(E194),0,IF((YEAR(D194)+1)&gt;YEAR(E194),1,(12-MONTH(E194)+1)/12))) + (Q194)*(IF((YEAR(D194)+1)&lt;YEAR(E194),0,IF((YEAR(D194)+1)&gt;YEAR(E194),1,(12-MONTH(E194)+1)/12))))-((P194)*(IF((YEAR(D194)+1)&lt;YEAR(E194),0,IF((YEAR(D194)+1)&gt;YEAR(E194),1,(12-MONTH(E194)+1)/12))) + (R194)*(IF((YEAR(D194)+1)&lt;YEAR(E194),0,IF((YEAR(D194)+1)&gt;YEAR(E194),1,(12-MONTH(E194)+1)/12))))-(IF(OR(N194="",N194&lt;=0),0,(O194/N194)*(IF(OR(N194="",N194&lt;=0),0,IF((YEAR(D194)+1)&lt;YEAR(E194),0,IF((YEAR(D194)+1)&gt;=YEAR(E194)+N194,0,IF((YEAR(D194)+1)=YEAR(E194),(12-MONTH(E194)+1)/12,1))))))))&gt;0,(((K194)*(IF(M194="",L194,IFERROR(IF(INDEX(Variablen!$I:$AT, MATCH(M194, Variablen!$A:$A, 0), MATCH((YEAR(D194)+1), Variablen!$I$3:$AT$3, 0))="",L194,INDEX(Variablen!$I:$AT, MATCH(M194, Variablen!$A:$A, 0), MATCH((YEAR(D194)+1), Variablen!$I$3:$AT$3, 0))),L194)))*(IF((YEAR(D194)+1)&lt;YEAR(E194),0,IF((YEAR(D194)+1)&gt;YEAR(E194),1,(12-MONTH(E194)+1)/12))) + (Q194)*(IF((YEAR(D194)+1)&lt;YEAR(E194),0,IF((YEAR(D194)+1)&gt;YEAR(E194),1,(12-MONTH(E194)+1)/12))))-((P194)*(IF((YEAR(D194)+1)&lt;YEAR(E194),0,IF((YEAR(D194)+1)&gt;YEAR(E194),1,(12-MONTH(E194)+1)/12))) + (R194)*(IF((YEAR(D194)+1)&lt;YEAR(E194),0,IF((YEAR(D194)+1)&gt;YEAR(E194),1,(12-MONTH(E194)+1)/12))))-(IF(OR(N194="",N194&lt;=0),0,(O194/N194)*(IF(OR(N194="",N194&lt;=0),0,IF((YEAR(D194)+1)&lt;YEAR(E194),0,IF((YEAR(D194)+1)&gt;=YEAR(E194)+N194,0,IF((YEAR(D194)+1)=YEAR(E194),(12-MONTH(E194)+1)/12,1))))))))*TaxRate,0))-IF(1=0,O194,0))</f>
        <v/>
      </c>
      <c r="U194" s="29">
        <f>IF(A194="","",((K194)*(IF(M194="",L194,IFERROR(IF(INDEX(Variablen!$I:$AT, MATCH(M194, Variablen!$A:$A, 0), MATCH((YEAR(D194)+2), Variablen!$I$3:$AT$3, 0))="",L194,INDEX(Variablen!$I:$AT, MATCH(M194, Variablen!$A:$A, 0), MATCH((YEAR(D194)+2), Variablen!$I$3:$AT$3, 0))),L194)))*(IF((YEAR(D194)+2)&lt;YEAR(E194),0,IF((YEAR(D194)+2)&gt;YEAR(E194),1,(12-MONTH(E194)+1)/12))) + (Q194)*(IF((YEAR(D194)+2)&lt;YEAR(E194),0,IF((YEAR(D194)+2)&gt;YEAR(E194),1,(12-MONTH(E194)+1)/12))))-((P194)*(IF((YEAR(D194)+2)&lt;YEAR(E194),0,IF((YEAR(D194)+2)&gt;YEAR(E194),1,(12-MONTH(E194)+1)/12))) + (R194)*(IF((YEAR(D194)+2)&lt;YEAR(E194),0,IF((YEAR(D194)+2)&gt;YEAR(E194),1,(12-MONTH(E194)+1)/12))))-(IF((((K194)*(IF(M194="",L194,IFERROR(IF(INDEX(Variablen!$I:$AT, MATCH(M194, Variablen!$A:$A, 0), MATCH((YEAR(D194)+2), Variablen!$I$3:$AT$3, 0))="",L194,INDEX(Variablen!$I:$AT, MATCH(M194, Variablen!$A:$A, 0), MATCH((YEAR(D194)+2), Variablen!$I$3:$AT$3, 0))),L194)))*(IF((YEAR(D194)+2)&lt;YEAR(E194),0,IF((YEAR(D194)+2)&gt;YEAR(E194),1,(12-MONTH(E194)+1)/12))) + (Q194)*(IF((YEAR(D194)+2)&lt;YEAR(E194),0,IF((YEAR(D194)+2)&gt;YEAR(E194),1,(12-MONTH(E194)+1)/12))))-((P194)*(IF((YEAR(D194)+2)&lt;YEAR(E194),0,IF((YEAR(D194)+2)&gt;YEAR(E194),1,(12-MONTH(E194)+1)/12))) + (R194)*(IF((YEAR(D194)+2)&lt;YEAR(E194),0,IF((YEAR(D194)+2)&gt;YEAR(E194),1,(12-MONTH(E194)+1)/12))))-(IF(OR(N194="",N194&lt;=0),0,(O194/N194)*(IF(OR(N194="",N194&lt;=0),0,IF((YEAR(D194)+2)&lt;YEAR(E194),0,IF((YEAR(D194)+2)&gt;=YEAR(E194)+N194,0,IF((YEAR(D194)+2)=YEAR(E194),(12-MONTH(E194)+1)/12,1))))))))&gt;0,(((K194)*(IF(M194="",L194,IFERROR(IF(INDEX(Variablen!$I:$AT, MATCH(M194, Variablen!$A:$A, 0), MATCH((YEAR(D194)+2), Variablen!$I$3:$AT$3, 0))="",L194,INDEX(Variablen!$I:$AT, MATCH(M194, Variablen!$A:$A, 0), MATCH((YEAR(D194)+2), Variablen!$I$3:$AT$3, 0))),L194)))*(IF((YEAR(D194)+2)&lt;YEAR(E194),0,IF((YEAR(D194)+2)&gt;YEAR(E194),1,(12-MONTH(E194)+1)/12))) + (Q194)*(IF((YEAR(D194)+2)&lt;YEAR(E194),0,IF((YEAR(D194)+2)&gt;YEAR(E194),1,(12-MONTH(E194)+1)/12))))-((P194)*(IF((YEAR(D194)+2)&lt;YEAR(E194),0,IF((YEAR(D194)+2)&gt;YEAR(E194),1,(12-MONTH(E194)+1)/12))) + (R194)*(IF((YEAR(D194)+2)&lt;YEAR(E194),0,IF((YEAR(D194)+2)&gt;YEAR(E194),1,(12-MONTH(E194)+1)/12))))-(IF(OR(N194="",N194&lt;=0),0,(O194/N194)*(IF(OR(N194="",N194&lt;=0),0,IF((YEAR(D194)+2)&lt;YEAR(E194),0,IF((YEAR(D194)+2)&gt;=YEAR(E194)+N194,0,IF((YEAR(D194)+2)=YEAR(E194),(12-MONTH(E194)+1)/12,1))))))))*TaxRate,0))-IF(2=0,O194,0))</f>
        <v/>
      </c>
      <c r="V194" s="29">
        <f>IF(A194="","",((K194)*(IF(M194="",L194,IFERROR(IF(INDEX(Variablen!$I:$AT, MATCH(M194, Variablen!$A:$A, 0), MATCH((YEAR(D194)+3), Variablen!$I$3:$AT$3, 0))="",L194,INDEX(Variablen!$I:$AT, MATCH(M194, Variablen!$A:$A, 0), MATCH((YEAR(D194)+3), Variablen!$I$3:$AT$3, 0))),L194)))*(IF((YEAR(D194)+3)&lt;YEAR(E194),0,IF((YEAR(D194)+3)&gt;YEAR(E194),1,(12-MONTH(E194)+1)/12))) + (Q194)*(IF((YEAR(D194)+3)&lt;YEAR(E194),0,IF((YEAR(D194)+3)&gt;YEAR(E194),1,(12-MONTH(E194)+1)/12))))-((P194)*(IF((YEAR(D194)+3)&lt;YEAR(E194),0,IF((YEAR(D194)+3)&gt;YEAR(E194),1,(12-MONTH(E194)+1)/12))) + (R194)*(IF((YEAR(D194)+3)&lt;YEAR(E194),0,IF((YEAR(D194)+3)&gt;YEAR(E194),1,(12-MONTH(E194)+1)/12))))-(IF((((K194)*(IF(M194="",L194,IFERROR(IF(INDEX(Variablen!$I:$AT, MATCH(M194, Variablen!$A:$A, 0), MATCH((YEAR(D194)+3), Variablen!$I$3:$AT$3, 0))="",L194,INDEX(Variablen!$I:$AT, MATCH(M194, Variablen!$A:$A, 0), MATCH((YEAR(D194)+3), Variablen!$I$3:$AT$3, 0))),L194)))*(IF((YEAR(D194)+3)&lt;YEAR(E194),0,IF((YEAR(D194)+3)&gt;YEAR(E194),1,(12-MONTH(E194)+1)/12))) + (Q194)*(IF((YEAR(D194)+3)&lt;YEAR(E194),0,IF((YEAR(D194)+3)&gt;YEAR(E194),1,(12-MONTH(E194)+1)/12))))-((P194)*(IF((YEAR(D194)+3)&lt;YEAR(E194),0,IF((YEAR(D194)+3)&gt;YEAR(E194),1,(12-MONTH(E194)+1)/12))) + (R194)*(IF((YEAR(D194)+3)&lt;YEAR(E194),0,IF((YEAR(D194)+3)&gt;YEAR(E194),1,(12-MONTH(E194)+1)/12))))-(IF(OR(N194="",N194&lt;=0),0,(O194/N194)*(IF(OR(N194="",N194&lt;=0),0,IF((YEAR(D194)+3)&lt;YEAR(E194),0,IF((YEAR(D194)+3)&gt;=YEAR(E194)+N194,0,IF((YEAR(D194)+3)=YEAR(E194),(12-MONTH(E194)+1)/12,1))))))))&gt;0,(((K194)*(IF(M194="",L194,IFERROR(IF(INDEX(Variablen!$I:$AT, MATCH(M194, Variablen!$A:$A, 0), MATCH((YEAR(D194)+3), Variablen!$I$3:$AT$3, 0))="",L194,INDEX(Variablen!$I:$AT, MATCH(M194, Variablen!$A:$A, 0), MATCH((YEAR(D194)+3), Variablen!$I$3:$AT$3, 0))),L194)))*(IF((YEAR(D194)+3)&lt;YEAR(E194),0,IF((YEAR(D194)+3)&gt;YEAR(E194),1,(12-MONTH(E194)+1)/12))) + (Q194)*(IF((YEAR(D194)+3)&lt;YEAR(E194),0,IF((YEAR(D194)+3)&gt;YEAR(E194),1,(12-MONTH(E194)+1)/12))))-((P194)*(IF((YEAR(D194)+3)&lt;YEAR(E194),0,IF((YEAR(D194)+3)&gt;YEAR(E194),1,(12-MONTH(E194)+1)/12))) + (R194)*(IF((YEAR(D194)+3)&lt;YEAR(E194),0,IF((YEAR(D194)+3)&gt;YEAR(E194),1,(12-MONTH(E194)+1)/12))))-(IF(OR(N194="",N194&lt;=0),0,(O194/N194)*(IF(OR(N194="",N194&lt;=0),0,IF((YEAR(D194)+3)&lt;YEAR(E194),0,IF((YEAR(D194)+3)&gt;=YEAR(E194)+N194,0,IF((YEAR(D194)+3)=YEAR(E194),(12-MONTH(E194)+1)/12,1))))))))*TaxRate,0))-IF(3=0,O194,0))</f>
        <v/>
      </c>
      <c r="W194" s="29">
        <f>IF(A194="","",((K194)*(IF(M194="",L194,IFERROR(IF(INDEX(Variablen!$I:$AT, MATCH(M194, Variablen!$A:$A, 0), MATCH((YEAR(D194)+4), Variablen!$I$3:$AT$3, 0))="",L194,INDEX(Variablen!$I:$AT, MATCH(M194, Variablen!$A:$A, 0), MATCH((YEAR(D194)+4), Variablen!$I$3:$AT$3, 0))),L194)))*(IF((YEAR(D194)+4)&lt;YEAR(E194),0,IF((YEAR(D194)+4)&gt;YEAR(E194),1,(12-MONTH(E194)+1)/12))) + (Q194)*(IF((YEAR(D194)+4)&lt;YEAR(E194),0,IF((YEAR(D194)+4)&gt;YEAR(E194),1,(12-MONTH(E194)+1)/12))))-((P194)*(IF((YEAR(D194)+4)&lt;YEAR(E194),0,IF((YEAR(D194)+4)&gt;YEAR(E194),1,(12-MONTH(E194)+1)/12))) + (R194)*(IF((YEAR(D194)+4)&lt;YEAR(E194),0,IF((YEAR(D194)+4)&gt;YEAR(E194),1,(12-MONTH(E194)+1)/12))))-(IF((((K194)*(IF(M194="",L194,IFERROR(IF(INDEX(Variablen!$I:$AT, MATCH(M194, Variablen!$A:$A, 0), MATCH((YEAR(D194)+4), Variablen!$I$3:$AT$3, 0))="",L194,INDEX(Variablen!$I:$AT, MATCH(M194, Variablen!$A:$A, 0), MATCH((YEAR(D194)+4), Variablen!$I$3:$AT$3, 0))),L194)))*(IF((YEAR(D194)+4)&lt;YEAR(E194),0,IF((YEAR(D194)+4)&gt;YEAR(E194),1,(12-MONTH(E194)+1)/12))) + (Q194)*(IF((YEAR(D194)+4)&lt;YEAR(E194),0,IF((YEAR(D194)+4)&gt;YEAR(E194),1,(12-MONTH(E194)+1)/12))))-((P194)*(IF((YEAR(D194)+4)&lt;YEAR(E194),0,IF((YEAR(D194)+4)&gt;YEAR(E194),1,(12-MONTH(E194)+1)/12))) + (R194)*(IF((YEAR(D194)+4)&lt;YEAR(E194),0,IF((YEAR(D194)+4)&gt;YEAR(E194),1,(12-MONTH(E194)+1)/12))))-(IF(OR(N194="",N194&lt;=0),0,(O194/N194)*(IF(OR(N194="",N194&lt;=0),0,IF((YEAR(D194)+4)&lt;YEAR(E194),0,IF((YEAR(D194)+4)&gt;=YEAR(E194)+N194,0,IF((YEAR(D194)+4)=YEAR(E194),(12-MONTH(E194)+1)/12,1))))))))&gt;0,(((K194)*(IF(M194="",L194,IFERROR(IF(INDEX(Variablen!$I:$AT, MATCH(M194, Variablen!$A:$A, 0), MATCH((YEAR(D194)+4), Variablen!$I$3:$AT$3, 0))="",L194,INDEX(Variablen!$I:$AT, MATCH(M194, Variablen!$A:$A, 0), MATCH((YEAR(D194)+4), Variablen!$I$3:$AT$3, 0))),L194)))*(IF((YEAR(D194)+4)&lt;YEAR(E194),0,IF((YEAR(D194)+4)&gt;YEAR(E194),1,(12-MONTH(E194)+1)/12))) + (Q194)*(IF((YEAR(D194)+4)&lt;YEAR(E194),0,IF((YEAR(D194)+4)&gt;YEAR(E194),1,(12-MONTH(E194)+1)/12))))-((P194)*(IF((YEAR(D194)+4)&lt;YEAR(E194),0,IF((YEAR(D194)+4)&gt;YEAR(E194),1,(12-MONTH(E194)+1)/12))) + (R194)*(IF((YEAR(D194)+4)&lt;YEAR(E194),0,IF((YEAR(D194)+4)&gt;YEAR(E194),1,(12-MONTH(E194)+1)/12))))-(IF(OR(N194="",N194&lt;=0),0,(O194/N194)*(IF(OR(N194="",N194&lt;=0),0,IF((YEAR(D194)+4)&lt;YEAR(E194),0,IF((YEAR(D194)+4)&gt;=YEAR(E194)+N194,0,IF((YEAR(D194)+4)=YEAR(E194),(12-MONTH(E194)+1)/12,1))))))))*TaxRate,0))-IF(4=0,O194,0))</f>
        <v/>
      </c>
      <c r="X194" s="29">
        <f>IF(A194="","",((K194)*(IF(M194="",L194,IFERROR(IF(INDEX(Variablen!$I:$AT, MATCH(M194, Variablen!$A:$A, 0), MATCH((YEAR(D194)+5), Variablen!$I$3:$AT$3, 0))="",L194,INDEX(Variablen!$I:$AT, MATCH(M194, Variablen!$A:$A, 0), MATCH((YEAR(D194)+5), Variablen!$I$3:$AT$3, 0))),L194)))*(IF((YEAR(D194)+5)&lt;YEAR(E194),0,IF((YEAR(D194)+5)&gt;YEAR(E194),1,(12-MONTH(E194)+1)/12))) + (Q194)*(IF((YEAR(D194)+5)&lt;YEAR(E194),0,IF((YEAR(D194)+5)&gt;YEAR(E194),1,(12-MONTH(E194)+1)/12))))-((P194)*(IF((YEAR(D194)+5)&lt;YEAR(E194),0,IF((YEAR(D194)+5)&gt;YEAR(E194),1,(12-MONTH(E194)+1)/12))) + (R194)*(IF((YEAR(D194)+5)&lt;YEAR(E194),0,IF((YEAR(D194)+5)&gt;YEAR(E194),1,(12-MONTH(E194)+1)/12))))-(IF((((K194)*(IF(M194="",L194,IFERROR(IF(INDEX(Variablen!$I:$AT, MATCH(M194, Variablen!$A:$A, 0), MATCH((YEAR(D194)+5), Variablen!$I$3:$AT$3, 0))="",L194,INDEX(Variablen!$I:$AT, MATCH(M194, Variablen!$A:$A, 0), MATCH((YEAR(D194)+5), Variablen!$I$3:$AT$3, 0))),L194)))*(IF((YEAR(D194)+5)&lt;YEAR(E194),0,IF((YEAR(D194)+5)&gt;YEAR(E194),1,(12-MONTH(E194)+1)/12))) + (Q194)*(IF((YEAR(D194)+5)&lt;YEAR(E194),0,IF((YEAR(D194)+5)&gt;YEAR(E194),1,(12-MONTH(E194)+1)/12))))-((P194)*(IF((YEAR(D194)+5)&lt;YEAR(E194),0,IF((YEAR(D194)+5)&gt;YEAR(E194),1,(12-MONTH(E194)+1)/12))) + (R194)*(IF((YEAR(D194)+5)&lt;YEAR(E194),0,IF((YEAR(D194)+5)&gt;YEAR(E194),1,(12-MONTH(E194)+1)/12))))-(IF(OR(N194="",N194&lt;=0),0,(O194/N194)*(IF(OR(N194="",N194&lt;=0),0,IF((YEAR(D194)+5)&lt;YEAR(E194),0,IF((YEAR(D194)+5)&gt;=YEAR(E194)+N194,0,IF((YEAR(D194)+5)=YEAR(E194),(12-MONTH(E194)+1)/12,1))))))))&gt;0,(((K194)*(IF(M194="",L194,IFERROR(IF(INDEX(Variablen!$I:$AT, MATCH(M194, Variablen!$A:$A, 0), MATCH((YEAR(D194)+5), Variablen!$I$3:$AT$3, 0))="",L194,INDEX(Variablen!$I:$AT, MATCH(M194, Variablen!$A:$A, 0), MATCH((YEAR(D194)+5), Variablen!$I$3:$AT$3, 0))),L194)))*(IF((YEAR(D194)+5)&lt;YEAR(E194),0,IF((YEAR(D194)+5)&gt;YEAR(E194),1,(12-MONTH(E194)+1)/12))) + (Q194)*(IF((YEAR(D194)+5)&lt;YEAR(E194),0,IF((YEAR(D194)+5)&gt;YEAR(E194),1,(12-MONTH(E194)+1)/12))))-((P194)*(IF((YEAR(D194)+5)&lt;YEAR(E194),0,IF((YEAR(D194)+5)&gt;YEAR(E194),1,(12-MONTH(E194)+1)/12))) + (R194)*(IF((YEAR(D194)+5)&lt;YEAR(E194),0,IF((YEAR(D194)+5)&gt;YEAR(E194),1,(12-MONTH(E194)+1)/12))))-(IF(OR(N194="",N194&lt;=0),0,(O194/N194)*(IF(OR(N194="",N194&lt;=0),0,IF((YEAR(D194)+5)&lt;YEAR(E194),0,IF((YEAR(D194)+5)&gt;=YEAR(E194)+N194,0,IF((YEAR(D194)+5)=YEAR(E194),(12-MONTH(E194)+1)/12,1))))))))*TaxRate,0))-IF(5=0,O194,0))</f>
        <v/>
      </c>
      <c r="Y194" s="29">
        <f>IF(A194="","",((K194)*(IF(M194="",L194,IFERROR(IF(INDEX(Variablen!$I:$AT, MATCH(M194, Variablen!$A:$A, 0), MATCH((YEAR(D194)+6), Variablen!$I$3:$AT$3, 0))="",L194,INDEX(Variablen!$I:$AT, MATCH(M194, Variablen!$A:$A, 0), MATCH((YEAR(D194)+6), Variablen!$I$3:$AT$3, 0))),L194)))*(IF((YEAR(D194)+6)&lt;YEAR(E194),0,IF((YEAR(D194)+6)&gt;YEAR(E194),1,(12-MONTH(E194)+1)/12))) + (Q194)*(IF((YEAR(D194)+6)&lt;YEAR(E194),0,IF((YEAR(D194)+6)&gt;YEAR(E194),1,(12-MONTH(E194)+1)/12))))-((P194)*(IF((YEAR(D194)+6)&lt;YEAR(E194),0,IF((YEAR(D194)+6)&gt;YEAR(E194),1,(12-MONTH(E194)+1)/12))) + (R194)*(IF((YEAR(D194)+6)&lt;YEAR(E194),0,IF((YEAR(D194)+6)&gt;YEAR(E194),1,(12-MONTH(E194)+1)/12))))-(IF((((K194)*(IF(M194="",L194,IFERROR(IF(INDEX(Variablen!$I:$AT, MATCH(M194, Variablen!$A:$A, 0), MATCH((YEAR(D194)+6), Variablen!$I$3:$AT$3, 0))="",L194,INDEX(Variablen!$I:$AT, MATCH(M194, Variablen!$A:$A, 0), MATCH((YEAR(D194)+6), Variablen!$I$3:$AT$3, 0))),L194)))*(IF((YEAR(D194)+6)&lt;YEAR(E194),0,IF((YEAR(D194)+6)&gt;YEAR(E194),1,(12-MONTH(E194)+1)/12))) + (Q194)*(IF((YEAR(D194)+6)&lt;YEAR(E194),0,IF((YEAR(D194)+6)&gt;YEAR(E194),1,(12-MONTH(E194)+1)/12))))-((P194)*(IF((YEAR(D194)+6)&lt;YEAR(E194),0,IF((YEAR(D194)+6)&gt;YEAR(E194),1,(12-MONTH(E194)+1)/12))) + (R194)*(IF((YEAR(D194)+6)&lt;YEAR(E194),0,IF((YEAR(D194)+6)&gt;YEAR(E194),1,(12-MONTH(E194)+1)/12))))-(IF(OR(N194="",N194&lt;=0),0,(O194/N194)*(IF(OR(N194="",N194&lt;=0),0,IF((YEAR(D194)+6)&lt;YEAR(E194),0,IF((YEAR(D194)+6)&gt;=YEAR(E194)+N194,0,IF((YEAR(D194)+6)=YEAR(E194),(12-MONTH(E194)+1)/12,1))))))))&gt;0,(((K194)*(IF(M194="",L194,IFERROR(IF(INDEX(Variablen!$I:$AT, MATCH(M194, Variablen!$A:$A, 0), MATCH((YEAR(D194)+6), Variablen!$I$3:$AT$3, 0))="",L194,INDEX(Variablen!$I:$AT, MATCH(M194, Variablen!$A:$A, 0), MATCH((YEAR(D194)+6), Variablen!$I$3:$AT$3, 0))),L194)))*(IF((YEAR(D194)+6)&lt;YEAR(E194),0,IF((YEAR(D194)+6)&gt;YEAR(E194),1,(12-MONTH(E194)+1)/12))) + (Q194)*(IF((YEAR(D194)+6)&lt;YEAR(E194),0,IF((YEAR(D194)+6)&gt;YEAR(E194),1,(12-MONTH(E194)+1)/12))))-((P194)*(IF((YEAR(D194)+6)&lt;YEAR(E194),0,IF((YEAR(D194)+6)&gt;YEAR(E194),1,(12-MONTH(E194)+1)/12))) + (R194)*(IF((YEAR(D194)+6)&lt;YEAR(E194),0,IF((YEAR(D194)+6)&gt;YEAR(E194),1,(12-MONTH(E194)+1)/12))))-(IF(OR(N194="",N194&lt;=0),0,(O194/N194)*(IF(OR(N194="",N194&lt;=0),0,IF((YEAR(D194)+6)&lt;YEAR(E194),0,IF((YEAR(D194)+6)&gt;=YEAR(E194)+N194,0,IF((YEAR(D194)+6)=YEAR(E194),(12-MONTH(E194)+1)/12,1))))))))*TaxRate,0))-IF(6=0,O194,0))</f>
        <v/>
      </c>
      <c r="Z194" s="29">
        <f>IF(A194="","",((K194)*(IF(M194="",L194,IFERROR(IF(INDEX(Variablen!$I:$AT, MATCH(M194, Variablen!$A:$A, 0), MATCH((YEAR(D194)+7), Variablen!$I$3:$AT$3, 0))="",L194,INDEX(Variablen!$I:$AT, MATCH(M194, Variablen!$A:$A, 0), MATCH((YEAR(D194)+7), Variablen!$I$3:$AT$3, 0))),L194)))*(IF((YEAR(D194)+7)&lt;YEAR(E194),0,IF((YEAR(D194)+7)&gt;YEAR(E194),1,(12-MONTH(E194)+1)/12))) + (Q194)*(IF((YEAR(D194)+7)&lt;YEAR(E194),0,IF((YEAR(D194)+7)&gt;YEAR(E194),1,(12-MONTH(E194)+1)/12))))-((P194)*(IF((YEAR(D194)+7)&lt;YEAR(E194),0,IF((YEAR(D194)+7)&gt;YEAR(E194),1,(12-MONTH(E194)+1)/12))) + (R194)*(IF((YEAR(D194)+7)&lt;YEAR(E194),0,IF((YEAR(D194)+7)&gt;YEAR(E194),1,(12-MONTH(E194)+1)/12))))-(IF((((K194)*(IF(M194="",L194,IFERROR(IF(INDEX(Variablen!$I:$AT, MATCH(M194, Variablen!$A:$A, 0), MATCH((YEAR(D194)+7), Variablen!$I$3:$AT$3, 0))="",L194,INDEX(Variablen!$I:$AT, MATCH(M194, Variablen!$A:$A, 0), MATCH((YEAR(D194)+7), Variablen!$I$3:$AT$3, 0))),L194)))*(IF((YEAR(D194)+7)&lt;YEAR(E194),0,IF((YEAR(D194)+7)&gt;YEAR(E194),1,(12-MONTH(E194)+1)/12))) + (Q194)*(IF((YEAR(D194)+7)&lt;YEAR(E194),0,IF((YEAR(D194)+7)&gt;YEAR(E194),1,(12-MONTH(E194)+1)/12))))-((P194)*(IF((YEAR(D194)+7)&lt;YEAR(E194),0,IF((YEAR(D194)+7)&gt;YEAR(E194),1,(12-MONTH(E194)+1)/12))) + (R194)*(IF((YEAR(D194)+7)&lt;YEAR(E194),0,IF((YEAR(D194)+7)&gt;YEAR(E194),1,(12-MONTH(E194)+1)/12))))-(IF(OR(N194="",N194&lt;=0),0,(O194/N194)*(IF(OR(N194="",N194&lt;=0),0,IF((YEAR(D194)+7)&lt;YEAR(E194),0,IF((YEAR(D194)+7)&gt;=YEAR(E194)+N194,0,IF((YEAR(D194)+7)=YEAR(E194),(12-MONTH(E194)+1)/12,1))))))))&gt;0,(((K194)*(IF(M194="",L194,IFERROR(IF(INDEX(Variablen!$I:$AT, MATCH(M194, Variablen!$A:$A, 0), MATCH((YEAR(D194)+7), Variablen!$I$3:$AT$3, 0))="",L194,INDEX(Variablen!$I:$AT, MATCH(M194, Variablen!$A:$A, 0), MATCH((YEAR(D194)+7), Variablen!$I$3:$AT$3, 0))),L194)))*(IF((YEAR(D194)+7)&lt;YEAR(E194),0,IF((YEAR(D194)+7)&gt;YEAR(E194),1,(12-MONTH(E194)+1)/12))) + (Q194)*(IF((YEAR(D194)+7)&lt;YEAR(E194),0,IF((YEAR(D194)+7)&gt;YEAR(E194),1,(12-MONTH(E194)+1)/12))))-((P194)*(IF((YEAR(D194)+7)&lt;YEAR(E194),0,IF((YEAR(D194)+7)&gt;YEAR(E194),1,(12-MONTH(E194)+1)/12))) + (R194)*(IF((YEAR(D194)+7)&lt;YEAR(E194),0,IF((YEAR(D194)+7)&gt;YEAR(E194),1,(12-MONTH(E194)+1)/12))))-(IF(OR(N194="",N194&lt;=0),0,(O194/N194)*(IF(OR(N194="",N194&lt;=0),0,IF((YEAR(D194)+7)&lt;YEAR(E194),0,IF((YEAR(D194)+7)&gt;=YEAR(E194)+N194,0,IF((YEAR(D194)+7)=YEAR(E194),(12-MONTH(E194)+1)/12,1))))))))*TaxRate,0))-IF(7=0,O194,0))</f>
        <v/>
      </c>
      <c r="AA194" s="29">
        <f>IF(A194="","",((K194)*(IF(M194="",L194,IFERROR(IF(INDEX(Variablen!$I:$AT, MATCH(M194, Variablen!$A:$A, 0), MATCH((YEAR(D194)+8), Variablen!$I$3:$AT$3, 0))="",L194,INDEX(Variablen!$I:$AT, MATCH(M194, Variablen!$A:$A, 0), MATCH((YEAR(D194)+8), Variablen!$I$3:$AT$3, 0))),L194)))*(IF((YEAR(D194)+8)&lt;YEAR(E194),0,IF((YEAR(D194)+8)&gt;YEAR(E194),1,(12-MONTH(E194)+1)/12))) + (Q194)*(IF((YEAR(D194)+8)&lt;YEAR(E194),0,IF((YEAR(D194)+8)&gt;YEAR(E194),1,(12-MONTH(E194)+1)/12))))-((P194)*(IF((YEAR(D194)+8)&lt;YEAR(E194),0,IF((YEAR(D194)+8)&gt;YEAR(E194),1,(12-MONTH(E194)+1)/12))) + (R194)*(IF((YEAR(D194)+8)&lt;YEAR(E194),0,IF((YEAR(D194)+8)&gt;YEAR(E194),1,(12-MONTH(E194)+1)/12))))-(IF((((K194)*(IF(M194="",L194,IFERROR(IF(INDEX(Variablen!$I:$AT, MATCH(M194, Variablen!$A:$A, 0), MATCH((YEAR(D194)+8), Variablen!$I$3:$AT$3, 0))="",L194,INDEX(Variablen!$I:$AT, MATCH(M194, Variablen!$A:$A, 0), MATCH((YEAR(D194)+8), Variablen!$I$3:$AT$3, 0))),L194)))*(IF((YEAR(D194)+8)&lt;YEAR(E194),0,IF((YEAR(D194)+8)&gt;YEAR(E194),1,(12-MONTH(E194)+1)/12))) + (Q194)*(IF((YEAR(D194)+8)&lt;YEAR(E194),0,IF((YEAR(D194)+8)&gt;YEAR(E194),1,(12-MONTH(E194)+1)/12))))-((P194)*(IF((YEAR(D194)+8)&lt;YEAR(E194),0,IF((YEAR(D194)+8)&gt;YEAR(E194),1,(12-MONTH(E194)+1)/12))) + (R194)*(IF((YEAR(D194)+8)&lt;YEAR(E194),0,IF((YEAR(D194)+8)&gt;YEAR(E194),1,(12-MONTH(E194)+1)/12))))-(IF(OR(N194="",N194&lt;=0),0,(O194/N194)*(IF(OR(N194="",N194&lt;=0),0,IF((YEAR(D194)+8)&lt;YEAR(E194),0,IF((YEAR(D194)+8)&gt;=YEAR(E194)+N194,0,IF((YEAR(D194)+8)=YEAR(E194),(12-MONTH(E194)+1)/12,1))))))))&gt;0,(((K194)*(IF(M194="",L194,IFERROR(IF(INDEX(Variablen!$I:$AT, MATCH(M194, Variablen!$A:$A, 0), MATCH((YEAR(D194)+8), Variablen!$I$3:$AT$3, 0))="",L194,INDEX(Variablen!$I:$AT, MATCH(M194, Variablen!$A:$A, 0), MATCH((YEAR(D194)+8), Variablen!$I$3:$AT$3, 0))),L194)))*(IF((YEAR(D194)+8)&lt;YEAR(E194),0,IF((YEAR(D194)+8)&gt;YEAR(E194),1,(12-MONTH(E194)+1)/12))) + (Q194)*(IF((YEAR(D194)+8)&lt;YEAR(E194),0,IF((YEAR(D194)+8)&gt;YEAR(E194),1,(12-MONTH(E194)+1)/12))))-((P194)*(IF((YEAR(D194)+8)&lt;YEAR(E194),0,IF((YEAR(D194)+8)&gt;YEAR(E194),1,(12-MONTH(E194)+1)/12))) + (R194)*(IF((YEAR(D194)+8)&lt;YEAR(E194),0,IF((YEAR(D194)+8)&gt;YEAR(E194),1,(12-MONTH(E194)+1)/12))))-(IF(OR(N194="",N194&lt;=0),0,(O194/N194)*(IF(OR(N194="",N194&lt;=0),0,IF((YEAR(D194)+8)&lt;YEAR(E194),0,IF((YEAR(D194)+8)&gt;=YEAR(E194)+N194,0,IF((YEAR(D194)+8)=YEAR(E194),(12-MONTH(E194)+1)/12,1))))))))*TaxRate,0))-IF(8=0,O194,0))</f>
        <v/>
      </c>
      <c r="AB194" s="29">
        <f>IF(A194="","",((K194)*(IF(M194="",L194,IFERROR(IF(INDEX(Variablen!$I:$AT, MATCH(M194, Variablen!$A:$A, 0), MATCH((YEAR(D194)+9), Variablen!$I$3:$AT$3, 0))="",L194,INDEX(Variablen!$I:$AT, MATCH(M194, Variablen!$A:$A, 0), MATCH((YEAR(D194)+9), Variablen!$I$3:$AT$3, 0))),L194)))*(IF((YEAR(D194)+9)&lt;YEAR(E194),0,IF((YEAR(D194)+9)&gt;YEAR(E194),1,(12-MONTH(E194)+1)/12))) + (Q194)*(IF((YEAR(D194)+9)&lt;YEAR(E194),0,IF((YEAR(D194)+9)&gt;YEAR(E194),1,(12-MONTH(E194)+1)/12))))-((P194)*(IF((YEAR(D194)+9)&lt;YEAR(E194),0,IF((YEAR(D194)+9)&gt;YEAR(E194),1,(12-MONTH(E194)+1)/12))) + (R194)*(IF((YEAR(D194)+9)&lt;YEAR(E194),0,IF((YEAR(D194)+9)&gt;YEAR(E194),1,(12-MONTH(E194)+1)/12))))-(IF((((K194)*(IF(M194="",L194,IFERROR(IF(INDEX(Variablen!$I:$AT, MATCH(M194, Variablen!$A:$A, 0), MATCH((YEAR(D194)+9), Variablen!$I$3:$AT$3, 0))="",L194,INDEX(Variablen!$I:$AT, MATCH(M194, Variablen!$A:$A, 0), MATCH((YEAR(D194)+9), Variablen!$I$3:$AT$3, 0))),L194)))*(IF((YEAR(D194)+9)&lt;YEAR(E194),0,IF((YEAR(D194)+9)&gt;YEAR(E194),1,(12-MONTH(E194)+1)/12))) + (Q194)*(IF((YEAR(D194)+9)&lt;YEAR(E194),0,IF((YEAR(D194)+9)&gt;YEAR(E194),1,(12-MONTH(E194)+1)/12))))-((P194)*(IF((YEAR(D194)+9)&lt;YEAR(E194),0,IF((YEAR(D194)+9)&gt;YEAR(E194),1,(12-MONTH(E194)+1)/12))) + (R194)*(IF((YEAR(D194)+9)&lt;YEAR(E194),0,IF((YEAR(D194)+9)&gt;YEAR(E194),1,(12-MONTH(E194)+1)/12))))-(IF(OR(N194="",N194&lt;=0),0,(O194/N194)*(IF(OR(N194="",N194&lt;=0),0,IF((YEAR(D194)+9)&lt;YEAR(E194),0,IF((YEAR(D194)+9)&gt;=YEAR(E194)+N194,0,IF((YEAR(D194)+9)=YEAR(E194),(12-MONTH(E194)+1)/12,1))))))))&gt;0,(((K194)*(IF(M194="",L194,IFERROR(IF(INDEX(Variablen!$I:$AT, MATCH(M194, Variablen!$A:$A, 0), MATCH((YEAR(D194)+9), Variablen!$I$3:$AT$3, 0))="",L194,INDEX(Variablen!$I:$AT, MATCH(M194, Variablen!$A:$A, 0), MATCH((YEAR(D194)+9), Variablen!$I$3:$AT$3, 0))),L194)))*(IF((YEAR(D194)+9)&lt;YEAR(E194),0,IF((YEAR(D194)+9)&gt;YEAR(E194),1,(12-MONTH(E194)+1)/12))) + (Q194)*(IF((YEAR(D194)+9)&lt;YEAR(E194),0,IF((YEAR(D194)+9)&gt;YEAR(E194),1,(12-MONTH(E194)+1)/12))))-((P194)*(IF((YEAR(D194)+9)&lt;YEAR(E194),0,IF((YEAR(D194)+9)&gt;YEAR(E194),1,(12-MONTH(E194)+1)/12))) + (R194)*(IF((YEAR(D194)+9)&lt;YEAR(E194),0,IF((YEAR(D194)+9)&gt;YEAR(E194),1,(12-MONTH(E194)+1)/12))))-(IF(OR(N194="",N194&lt;=0),0,(O194/N194)*(IF(OR(N194="",N194&lt;=0),0,IF((YEAR(D194)+9)&lt;YEAR(E194),0,IF((YEAR(D194)+9)&gt;=YEAR(E194)+N194,0,IF((YEAR(D194)+9)=YEAR(E194),(12-MONTH(E194)+1)/12,1))))))))*TaxRate,0))-IF(9=0,O194,0))</f>
        <v/>
      </c>
      <c r="AC194" s="29">
        <f>IF(A194="","",((K194)*(IF(M194="",L194,IFERROR(IF(INDEX(Variablen!$I:$AT, MATCH(M194, Variablen!$A:$A, 0), MATCH((YEAR(D194)+10), Variablen!$I$3:$AT$3, 0))="",L194,INDEX(Variablen!$I:$AT, MATCH(M194, Variablen!$A:$A, 0), MATCH((YEAR(D194)+10), Variablen!$I$3:$AT$3, 0))),L194)))*(IF((YEAR(D194)+10)&lt;YEAR(E194),0,IF((YEAR(D194)+10)&gt;YEAR(E194),1,(12-MONTH(E194)+1)/12))) + (Q194)*(IF((YEAR(D194)+10)&lt;YEAR(E194),0,IF((YEAR(D194)+10)&gt;YEAR(E194),1,(12-MONTH(E194)+1)/12))))-((P194)*(IF((YEAR(D194)+10)&lt;YEAR(E194),0,IF((YEAR(D194)+10)&gt;YEAR(E194),1,(12-MONTH(E194)+1)/12))) + (R194)*(IF((YEAR(D194)+10)&lt;YEAR(E194),0,IF((YEAR(D194)+10)&gt;YEAR(E194),1,(12-MONTH(E194)+1)/12))))-(IF((((K194)*(IF(M194="",L194,IFERROR(IF(INDEX(Variablen!$I:$AT, MATCH(M194, Variablen!$A:$A, 0), MATCH((YEAR(D194)+10), Variablen!$I$3:$AT$3, 0))="",L194,INDEX(Variablen!$I:$AT, MATCH(M194, Variablen!$A:$A, 0), MATCH((YEAR(D194)+10), Variablen!$I$3:$AT$3, 0))),L194)))*(IF((YEAR(D194)+10)&lt;YEAR(E194),0,IF((YEAR(D194)+10)&gt;YEAR(E194),1,(12-MONTH(E194)+1)/12))) + (Q194)*(IF((YEAR(D194)+10)&lt;YEAR(E194),0,IF((YEAR(D194)+10)&gt;YEAR(E194),1,(12-MONTH(E194)+1)/12))))-((P194)*(IF((YEAR(D194)+10)&lt;YEAR(E194),0,IF((YEAR(D194)+10)&gt;YEAR(E194),1,(12-MONTH(E194)+1)/12))) + (R194)*(IF((YEAR(D194)+10)&lt;YEAR(E194),0,IF((YEAR(D194)+10)&gt;YEAR(E194),1,(12-MONTH(E194)+1)/12))))-(IF(OR(N194="",N194&lt;=0),0,(O194/N194)*(IF(OR(N194="",N194&lt;=0),0,IF((YEAR(D194)+10)&lt;YEAR(E194),0,IF((YEAR(D194)+10)&gt;=YEAR(E194)+N194,0,IF((YEAR(D194)+10)=YEAR(E194),(12-MONTH(E194)+1)/12,1))))))))&gt;0,(((K194)*(IF(M194="",L194,IFERROR(IF(INDEX(Variablen!$I:$AT, MATCH(M194, Variablen!$A:$A, 0), MATCH((YEAR(D194)+10), Variablen!$I$3:$AT$3, 0))="",L194,INDEX(Variablen!$I:$AT, MATCH(M194, Variablen!$A:$A, 0), MATCH((YEAR(D194)+10), Variablen!$I$3:$AT$3, 0))),L194)))*(IF((YEAR(D194)+10)&lt;YEAR(E194),0,IF((YEAR(D194)+10)&gt;YEAR(E194),1,(12-MONTH(E194)+1)/12))) + (Q194)*(IF((YEAR(D194)+10)&lt;YEAR(E194),0,IF((YEAR(D194)+10)&gt;YEAR(E194),1,(12-MONTH(E194)+1)/12))))-((P194)*(IF((YEAR(D194)+10)&lt;YEAR(E194),0,IF((YEAR(D194)+10)&gt;YEAR(E194),1,(12-MONTH(E194)+1)/12))) + (R194)*(IF((YEAR(D194)+10)&lt;YEAR(E194),0,IF((YEAR(D194)+10)&gt;YEAR(E194),1,(12-MONTH(E194)+1)/12))))-(IF(OR(N194="",N194&lt;=0),0,(O194/N194)*(IF(OR(N194="",N194&lt;=0),0,IF((YEAR(D194)+10)&lt;YEAR(E194),0,IF((YEAR(D194)+10)&gt;=YEAR(E194)+N194,0,IF((YEAR(D194)+10)=YEAR(E194),(12-MONTH(E194)+1)/12,1))))))))*TaxRate,0))-IF(10=0,O194,0))</f>
        <v/>
      </c>
      <c r="AD194" s="29">
        <f>IF(A194="","",((K194)*(IF(M194="",L194,IFERROR(IF(INDEX(Variablen!$I:$AT, MATCH(M194, Variablen!$A:$A, 0), MATCH((YEAR(D194)+11), Variablen!$I$3:$AT$3, 0))="",L194,INDEX(Variablen!$I:$AT, MATCH(M194, Variablen!$A:$A, 0), MATCH((YEAR(D194)+11), Variablen!$I$3:$AT$3, 0))),L194)))*(IF((YEAR(D194)+11)&lt;YEAR(E194),0,IF((YEAR(D194)+11)&gt;YEAR(E194),1,(12-MONTH(E194)+1)/12))) + (Q194)*(IF((YEAR(D194)+11)&lt;YEAR(E194),0,IF((YEAR(D194)+11)&gt;YEAR(E194),1,(12-MONTH(E194)+1)/12))))-((P194)*(IF((YEAR(D194)+11)&lt;YEAR(E194),0,IF((YEAR(D194)+11)&gt;YEAR(E194),1,(12-MONTH(E194)+1)/12))) + (R194)*(IF((YEAR(D194)+11)&lt;YEAR(E194),0,IF((YEAR(D194)+11)&gt;YEAR(E194),1,(12-MONTH(E194)+1)/12))))-(IF((((K194)*(IF(M194="",L194,IFERROR(IF(INDEX(Variablen!$I:$AT, MATCH(M194, Variablen!$A:$A, 0), MATCH((YEAR(D194)+11), Variablen!$I$3:$AT$3, 0))="",L194,INDEX(Variablen!$I:$AT, MATCH(M194, Variablen!$A:$A, 0), MATCH((YEAR(D194)+11), Variablen!$I$3:$AT$3, 0))),L194)))*(IF((YEAR(D194)+11)&lt;YEAR(E194),0,IF((YEAR(D194)+11)&gt;YEAR(E194),1,(12-MONTH(E194)+1)/12))) + (Q194)*(IF((YEAR(D194)+11)&lt;YEAR(E194),0,IF((YEAR(D194)+11)&gt;YEAR(E194),1,(12-MONTH(E194)+1)/12))))-((P194)*(IF((YEAR(D194)+11)&lt;YEAR(E194),0,IF((YEAR(D194)+11)&gt;YEAR(E194),1,(12-MONTH(E194)+1)/12))) + (R194)*(IF((YEAR(D194)+11)&lt;YEAR(E194),0,IF((YEAR(D194)+11)&gt;YEAR(E194),1,(12-MONTH(E194)+1)/12))))-(IF(OR(N194="",N194&lt;=0),0,(O194/N194)*(IF(OR(N194="",N194&lt;=0),0,IF((YEAR(D194)+11)&lt;YEAR(E194),0,IF((YEAR(D194)+11)&gt;=YEAR(E194)+N194,0,IF((YEAR(D194)+11)=YEAR(E194),(12-MONTH(E194)+1)/12,1))))))))&gt;0,(((K194)*(IF(M194="",L194,IFERROR(IF(INDEX(Variablen!$I:$AT, MATCH(M194, Variablen!$A:$A, 0), MATCH((YEAR(D194)+11), Variablen!$I$3:$AT$3, 0))="",L194,INDEX(Variablen!$I:$AT, MATCH(M194, Variablen!$A:$A, 0), MATCH((YEAR(D194)+11), Variablen!$I$3:$AT$3, 0))),L194)))*(IF((YEAR(D194)+11)&lt;YEAR(E194),0,IF((YEAR(D194)+11)&gt;YEAR(E194),1,(12-MONTH(E194)+1)/12))) + (Q194)*(IF((YEAR(D194)+11)&lt;YEAR(E194),0,IF((YEAR(D194)+11)&gt;YEAR(E194),1,(12-MONTH(E194)+1)/12))))-((P194)*(IF((YEAR(D194)+11)&lt;YEAR(E194),0,IF((YEAR(D194)+11)&gt;YEAR(E194),1,(12-MONTH(E194)+1)/12))) + (R194)*(IF((YEAR(D194)+11)&lt;YEAR(E194),0,IF((YEAR(D194)+11)&gt;YEAR(E194),1,(12-MONTH(E194)+1)/12))))-(IF(OR(N194="",N194&lt;=0),0,(O194/N194)*(IF(OR(N194="",N194&lt;=0),0,IF((YEAR(D194)+11)&lt;YEAR(E194),0,IF((YEAR(D194)+11)&gt;=YEAR(E194)+N194,0,IF((YEAR(D194)+11)=YEAR(E194),(12-MONTH(E194)+1)/12,1))))))))*TaxRate,0))-IF(11=0,O194,0))</f>
        <v/>
      </c>
      <c r="AE194" s="29">
        <f>IF(A194="","",((K194)*(IF(M194="",L194,IFERROR(IF(INDEX(Variablen!$I:$AT, MATCH(M194, Variablen!$A:$A, 0), MATCH((YEAR(D194)+12), Variablen!$I$3:$AT$3, 0))="",L194,INDEX(Variablen!$I:$AT, MATCH(M194, Variablen!$A:$A, 0), MATCH((YEAR(D194)+12), Variablen!$I$3:$AT$3, 0))),L194)))*(IF((YEAR(D194)+12)&lt;YEAR(E194),0,IF((YEAR(D194)+12)&gt;YEAR(E194),1,(12-MONTH(E194)+1)/12))) + (Q194)*(IF((YEAR(D194)+12)&lt;YEAR(E194),0,IF((YEAR(D194)+12)&gt;YEAR(E194),1,(12-MONTH(E194)+1)/12))))-((P194)*(IF((YEAR(D194)+12)&lt;YEAR(E194),0,IF((YEAR(D194)+12)&gt;YEAR(E194),1,(12-MONTH(E194)+1)/12))) + (R194)*(IF((YEAR(D194)+12)&lt;YEAR(E194),0,IF((YEAR(D194)+12)&gt;YEAR(E194),1,(12-MONTH(E194)+1)/12))))-(IF((((K194)*(IF(M194="",L194,IFERROR(IF(INDEX(Variablen!$I:$AT, MATCH(M194, Variablen!$A:$A, 0), MATCH((YEAR(D194)+12), Variablen!$I$3:$AT$3, 0))="",L194,INDEX(Variablen!$I:$AT, MATCH(M194, Variablen!$A:$A, 0), MATCH((YEAR(D194)+12), Variablen!$I$3:$AT$3, 0))),L194)))*(IF((YEAR(D194)+12)&lt;YEAR(E194),0,IF((YEAR(D194)+12)&gt;YEAR(E194),1,(12-MONTH(E194)+1)/12))) + (Q194)*(IF((YEAR(D194)+12)&lt;YEAR(E194),0,IF((YEAR(D194)+12)&gt;YEAR(E194),1,(12-MONTH(E194)+1)/12))))-((P194)*(IF((YEAR(D194)+12)&lt;YEAR(E194),0,IF((YEAR(D194)+12)&gt;YEAR(E194),1,(12-MONTH(E194)+1)/12))) + (R194)*(IF((YEAR(D194)+12)&lt;YEAR(E194),0,IF((YEAR(D194)+12)&gt;YEAR(E194),1,(12-MONTH(E194)+1)/12))))-(IF(OR(N194="",N194&lt;=0),0,(O194/N194)*(IF(OR(N194="",N194&lt;=0),0,IF((YEAR(D194)+12)&lt;YEAR(E194),0,IF((YEAR(D194)+12)&gt;=YEAR(E194)+N194,0,IF((YEAR(D194)+12)=YEAR(E194),(12-MONTH(E194)+1)/12,1))))))))&gt;0,(((K194)*(IF(M194="",L194,IFERROR(IF(INDEX(Variablen!$I:$AT, MATCH(M194, Variablen!$A:$A, 0), MATCH((YEAR(D194)+12), Variablen!$I$3:$AT$3, 0))="",L194,INDEX(Variablen!$I:$AT, MATCH(M194, Variablen!$A:$A, 0), MATCH((YEAR(D194)+12), Variablen!$I$3:$AT$3, 0))),L194)))*(IF((YEAR(D194)+12)&lt;YEAR(E194),0,IF((YEAR(D194)+12)&gt;YEAR(E194),1,(12-MONTH(E194)+1)/12))) + (Q194)*(IF((YEAR(D194)+12)&lt;YEAR(E194),0,IF((YEAR(D194)+12)&gt;YEAR(E194),1,(12-MONTH(E194)+1)/12))))-((P194)*(IF((YEAR(D194)+12)&lt;YEAR(E194),0,IF((YEAR(D194)+12)&gt;YEAR(E194),1,(12-MONTH(E194)+1)/12))) + (R194)*(IF((YEAR(D194)+12)&lt;YEAR(E194),0,IF((YEAR(D194)+12)&gt;YEAR(E194),1,(12-MONTH(E194)+1)/12))))-(IF(OR(N194="",N194&lt;=0),0,(O194/N194)*(IF(OR(N194="",N194&lt;=0),0,IF((YEAR(D194)+12)&lt;YEAR(E194),0,IF((YEAR(D194)+12)&gt;=YEAR(E194)+N194,0,IF((YEAR(D194)+12)=YEAR(E194),(12-MONTH(E194)+1)/12,1))))))))*TaxRate,0))-IF(12=0,O194,0))</f>
        <v/>
      </c>
      <c r="AF194" s="29">
        <f>IF(A194="","",((K194)*(IF(M194="",L194,IFERROR(IF(INDEX(Variablen!$I:$AT, MATCH(M194, Variablen!$A:$A, 0), MATCH((YEAR(D194)+13), Variablen!$I$3:$AT$3, 0))="",L194,INDEX(Variablen!$I:$AT, MATCH(M194, Variablen!$A:$A, 0), MATCH((YEAR(D194)+13), Variablen!$I$3:$AT$3, 0))),L194)))*(IF((YEAR(D194)+13)&lt;YEAR(E194),0,IF((YEAR(D194)+13)&gt;YEAR(E194),1,(12-MONTH(E194)+1)/12))) + (Q194)*(IF((YEAR(D194)+13)&lt;YEAR(E194),0,IF((YEAR(D194)+13)&gt;YEAR(E194),1,(12-MONTH(E194)+1)/12))))-((P194)*(IF((YEAR(D194)+13)&lt;YEAR(E194),0,IF((YEAR(D194)+13)&gt;YEAR(E194),1,(12-MONTH(E194)+1)/12))) + (R194)*(IF((YEAR(D194)+13)&lt;YEAR(E194),0,IF((YEAR(D194)+13)&gt;YEAR(E194),1,(12-MONTH(E194)+1)/12))))-(IF((((K194)*(IF(M194="",L194,IFERROR(IF(INDEX(Variablen!$I:$AT, MATCH(M194, Variablen!$A:$A, 0), MATCH((YEAR(D194)+13), Variablen!$I$3:$AT$3, 0))="",L194,INDEX(Variablen!$I:$AT, MATCH(M194, Variablen!$A:$A, 0), MATCH((YEAR(D194)+13), Variablen!$I$3:$AT$3, 0))),L194)))*(IF((YEAR(D194)+13)&lt;YEAR(E194),0,IF((YEAR(D194)+13)&gt;YEAR(E194),1,(12-MONTH(E194)+1)/12))) + (Q194)*(IF((YEAR(D194)+13)&lt;YEAR(E194),0,IF((YEAR(D194)+13)&gt;YEAR(E194),1,(12-MONTH(E194)+1)/12))))-((P194)*(IF((YEAR(D194)+13)&lt;YEAR(E194),0,IF((YEAR(D194)+13)&gt;YEAR(E194),1,(12-MONTH(E194)+1)/12))) + (R194)*(IF((YEAR(D194)+13)&lt;YEAR(E194),0,IF((YEAR(D194)+13)&gt;YEAR(E194),1,(12-MONTH(E194)+1)/12))))-(IF(OR(N194="",N194&lt;=0),0,(O194/N194)*(IF(OR(N194="",N194&lt;=0),0,IF((YEAR(D194)+13)&lt;YEAR(E194),0,IF((YEAR(D194)+13)&gt;=YEAR(E194)+N194,0,IF((YEAR(D194)+13)=YEAR(E194),(12-MONTH(E194)+1)/12,1))))))))&gt;0,(((K194)*(IF(M194="",L194,IFERROR(IF(INDEX(Variablen!$I:$AT, MATCH(M194, Variablen!$A:$A, 0), MATCH((YEAR(D194)+13), Variablen!$I$3:$AT$3, 0))="",L194,INDEX(Variablen!$I:$AT, MATCH(M194, Variablen!$A:$A, 0), MATCH((YEAR(D194)+13), Variablen!$I$3:$AT$3, 0))),L194)))*(IF((YEAR(D194)+13)&lt;YEAR(E194),0,IF((YEAR(D194)+13)&gt;YEAR(E194),1,(12-MONTH(E194)+1)/12))) + (Q194)*(IF((YEAR(D194)+13)&lt;YEAR(E194),0,IF((YEAR(D194)+13)&gt;YEAR(E194),1,(12-MONTH(E194)+1)/12))))-((P194)*(IF((YEAR(D194)+13)&lt;YEAR(E194),0,IF((YEAR(D194)+13)&gt;YEAR(E194),1,(12-MONTH(E194)+1)/12))) + (R194)*(IF((YEAR(D194)+13)&lt;YEAR(E194),0,IF((YEAR(D194)+13)&gt;YEAR(E194),1,(12-MONTH(E194)+1)/12))))-(IF(OR(N194="",N194&lt;=0),0,(O194/N194)*(IF(OR(N194="",N194&lt;=0),0,IF((YEAR(D194)+13)&lt;YEAR(E194),0,IF((YEAR(D194)+13)&gt;=YEAR(E194)+N194,0,IF((YEAR(D194)+13)=YEAR(E194),(12-MONTH(E194)+1)/12,1))))))))*TaxRate,0))-IF(13=0,O194,0))</f>
        <v/>
      </c>
      <c r="AG194" s="29">
        <f>IF(A194="","",((K194)*(IF(M194="",L194,IFERROR(IF(INDEX(Variablen!$I:$AT, MATCH(M194, Variablen!$A:$A, 0), MATCH((YEAR(D194)+14), Variablen!$I$3:$AT$3, 0))="",L194,INDEX(Variablen!$I:$AT, MATCH(M194, Variablen!$A:$A, 0), MATCH((YEAR(D194)+14), Variablen!$I$3:$AT$3, 0))),L194)))*(IF((YEAR(D194)+14)&lt;YEAR(E194),0,IF((YEAR(D194)+14)&gt;YEAR(E194),1,(12-MONTH(E194)+1)/12))) + (Q194)*(IF((YEAR(D194)+14)&lt;YEAR(E194),0,IF((YEAR(D194)+14)&gt;YEAR(E194),1,(12-MONTH(E194)+1)/12))))-((P194)*(IF((YEAR(D194)+14)&lt;YEAR(E194),0,IF((YEAR(D194)+14)&gt;YEAR(E194),1,(12-MONTH(E194)+1)/12))) + (R194)*(IF((YEAR(D194)+14)&lt;YEAR(E194),0,IF((YEAR(D194)+14)&gt;YEAR(E194),1,(12-MONTH(E194)+1)/12))))-(IF((((K194)*(IF(M194="",L194,IFERROR(IF(INDEX(Variablen!$I:$AT, MATCH(M194, Variablen!$A:$A, 0), MATCH((YEAR(D194)+14), Variablen!$I$3:$AT$3, 0))="",L194,INDEX(Variablen!$I:$AT, MATCH(M194, Variablen!$A:$A, 0), MATCH((YEAR(D194)+14), Variablen!$I$3:$AT$3, 0))),L194)))*(IF((YEAR(D194)+14)&lt;YEAR(E194),0,IF((YEAR(D194)+14)&gt;YEAR(E194),1,(12-MONTH(E194)+1)/12))) + (Q194)*(IF((YEAR(D194)+14)&lt;YEAR(E194),0,IF((YEAR(D194)+14)&gt;YEAR(E194),1,(12-MONTH(E194)+1)/12))))-((P194)*(IF((YEAR(D194)+14)&lt;YEAR(E194),0,IF((YEAR(D194)+14)&gt;YEAR(E194),1,(12-MONTH(E194)+1)/12))) + (R194)*(IF((YEAR(D194)+14)&lt;YEAR(E194),0,IF((YEAR(D194)+14)&gt;YEAR(E194),1,(12-MONTH(E194)+1)/12))))-(IF(OR(N194="",N194&lt;=0),0,(O194/N194)*(IF(OR(N194="",N194&lt;=0),0,IF((YEAR(D194)+14)&lt;YEAR(E194),0,IF((YEAR(D194)+14)&gt;=YEAR(E194)+N194,0,IF((YEAR(D194)+14)=YEAR(E194),(12-MONTH(E194)+1)/12,1))))))))&gt;0,(((K194)*(IF(M194="",L194,IFERROR(IF(INDEX(Variablen!$I:$AT, MATCH(M194, Variablen!$A:$A, 0), MATCH((YEAR(D194)+14), Variablen!$I$3:$AT$3, 0))="",L194,INDEX(Variablen!$I:$AT, MATCH(M194, Variablen!$A:$A, 0), MATCH((YEAR(D194)+14), Variablen!$I$3:$AT$3, 0))),L194)))*(IF((YEAR(D194)+14)&lt;YEAR(E194),0,IF((YEAR(D194)+14)&gt;YEAR(E194),1,(12-MONTH(E194)+1)/12))) + (Q194)*(IF((YEAR(D194)+14)&lt;YEAR(E194),0,IF((YEAR(D194)+14)&gt;YEAR(E194),1,(12-MONTH(E194)+1)/12))))-((P194)*(IF((YEAR(D194)+14)&lt;YEAR(E194),0,IF((YEAR(D194)+14)&gt;YEAR(E194),1,(12-MONTH(E194)+1)/12))) + (R194)*(IF((YEAR(D194)+14)&lt;YEAR(E194),0,IF((YEAR(D194)+14)&gt;YEAR(E194),1,(12-MONTH(E194)+1)/12))))-(IF(OR(N194="",N194&lt;=0),0,(O194/N194)*(IF(OR(N194="",N194&lt;=0),0,IF((YEAR(D194)+14)&lt;YEAR(E194),0,IF((YEAR(D194)+14)&gt;=YEAR(E194)+N194,0,IF((YEAR(D194)+14)=YEAR(E194),(12-MONTH(E194)+1)/12,1))))))))*TaxRate,0))-IF(14=0,O194,0))</f>
        <v/>
      </c>
      <c r="AH194" s="29">
        <f>IF(A194="","",((K194)*(IF(M194="",L194,IFERROR(IF(INDEX(Variablen!$I:$AT, MATCH(M194, Variablen!$A:$A, 0), MATCH((YEAR(D194)+15), Variablen!$I$3:$AT$3, 0))="",L194,INDEX(Variablen!$I:$AT, MATCH(M194, Variablen!$A:$A, 0), MATCH((YEAR(D194)+15), Variablen!$I$3:$AT$3, 0))),L194)))*(IF((YEAR(D194)+15)&lt;YEAR(E194),0,IF((YEAR(D194)+15)&gt;YEAR(E194),1,(12-MONTH(E194)+1)/12))) + (Q194)*(IF((YEAR(D194)+15)&lt;YEAR(E194),0,IF((YEAR(D194)+15)&gt;YEAR(E194),1,(12-MONTH(E194)+1)/12))))-((P194)*(IF((YEAR(D194)+15)&lt;YEAR(E194),0,IF((YEAR(D194)+15)&gt;YEAR(E194),1,(12-MONTH(E194)+1)/12))) + (R194)*(IF((YEAR(D194)+15)&lt;YEAR(E194),0,IF((YEAR(D194)+15)&gt;YEAR(E194),1,(12-MONTH(E194)+1)/12))))-(IF((((K194)*(IF(M194="",L194,IFERROR(IF(INDEX(Variablen!$I:$AT, MATCH(M194, Variablen!$A:$A, 0), MATCH((YEAR(D194)+15), Variablen!$I$3:$AT$3, 0))="",L194,INDEX(Variablen!$I:$AT, MATCH(M194, Variablen!$A:$A, 0), MATCH((YEAR(D194)+15), Variablen!$I$3:$AT$3, 0))),L194)))*(IF((YEAR(D194)+15)&lt;YEAR(E194),0,IF((YEAR(D194)+15)&gt;YEAR(E194),1,(12-MONTH(E194)+1)/12))) + (Q194)*(IF((YEAR(D194)+15)&lt;YEAR(E194),0,IF((YEAR(D194)+15)&gt;YEAR(E194),1,(12-MONTH(E194)+1)/12))))-((P194)*(IF((YEAR(D194)+15)&lt;YEAR(E194),0,IF((YEAR(D194)+15)&gt;YEAR(E194),1,(12-MONTH(E194)+1)/12))) + (R194)*(IF((YEAR(D194)+15)&lt;YEAR(E194),0,IF((YEAR(D194)+15)&gt;YEAR(E194),1,(12-MONTH(E194)+1)/12))))-(IF(OR(N194="",N194&lt;=0),0,(O194/N194)*(IF(OR(N194="",N194&lt;=0),0,IF((YEAR(D194)+15)&lt;YEAR(E194),0,IF((YEAR(D194)+15)&gt;=YEAR(E194)+N194,0,IF((YEAR(D194)+15)=YEAR(E194),(12-MONTH(E194)+1)/12,1))))))))&gt;0,(((K194)*(IF(M194="",L194,IFERROR(IF(INDEX(Variablen!$I:$AT, MATCH(M194, Variablen!$A:$A, 0), MATCH((YEAR(D194)+15), Variablen!$I$3:$AT$3, 0))="",L194,INDEX(Variablen!$I:$AT, MATCH(M194, Variablen!$A:$A, 0), MATCH((YEAR(D194)+15), Variablen!$I$3:$AT$3, 0))),L194)))*(IF((YEAR(D194)+15)&lt;YEAR(E194),0,IF((YEAR(D194)+15)&gt;YEAR(E194),1,(12-MONTH(E194)+1)/12))) + (Q194)*(IF((YEAR(D194)+15)&lt;YEAR(E194),0,IF((YEAR(D194)+15)&gt;YEAR(E194),1,(12-MONTH(E194)+1)/12))))-((P194)*(IF((YEAR(D194)+15)&lt;YEAR(E194),0,IF((YEAR(D194)+15)&gt;YEAR(E194),1,(12-MONTH(E194)+1)/12))) + (R194)*(IF((YEAR(D194)+15)&lt;YEAR(E194),0,IF((YEAR(D194)+15)&gt;YEAR(E194),1,(12-MONTH(E194)+1)/12))))-(IF(OR(N194="",N194&lt;=0),0,(O194/N194)*(IF(OR(N194="",N194&lt;=0),0,IF((YEAR(D194)+15)&lt;YEAR(E194),0,IF((YEAR(D194)+15)&gt;=YEAR(E194)+N194,0,IF((YEAR(D194)+15)=YEAR(E194),(12-MONTH(E194)+1)/12,1))))))))*TaxRate,0))-IF(15=0,O194,0))</f>
        <v/>
      </c>
      <c r="AI194" s="29">
        <f>IF(A194="","",((K194)*(IF(M194="",L194,IFERROR(IF(INDEX(Variablen!$I:$AT, MATCH(M194, Variablen!$A:$A, 0), MATCH((YEAR(D194)+16), Variablen!$I$3:$AT$3, 0))="",L194,INDEX(Variablen!$I:$AT, MATCH(M194, Variablen!$A:$A, 0), MATCH((YEAR(D194)+16), Variablen!$I$3:$AT$3, 0))),L194)))*(IF((YEAR(D194)+16)&lt;YEAR(E194),0,IF((YEAR(D194)+16)&gt;YEAR(E194),1,(12-MONTH(E194)+1)/12))) + (Q194)*(IF((YEAR(D194)+16)&lt;YEAR(E194),0,IF((YEAR(D194)+16)&gt;YEAR(E194),1,(12-MONTH(E194)+1)/12))))-((P194)*(IF((YEAR(D194)+16)&lt;YEAR(E194),0,IF((YEAR(D194)+16)&gt;YEAR(E194),1,(12-MONTH(E194)+1)/12))) + (R194)*(IF((YEAR(D194)+16)&lt;YEAR(E194),0,IF((YEAR(D194)+16)&gt;YEAR(E194),1,(12-MONTH(E194)+1)/12))))-(IF((((K194)*(IF(M194="",L194,IFERROR(IF(INDEX(Variablen!$I:$AT, MATCH(M194, Variablen!$A:$A, 0), MATCH((YEAR(D194)+16), Variablen!$I$3:$AT$3, 0))="",L194,INDEX(Variablen!$I:$AT, MATCH(M194, Variablen!$A:$A, 0), MATCH((YEAR(D194)+16), Variablen!$I$3:$AT$3, 0))),L194)))*(IF((YEAR(D194)+16)&lt;YEAR(E194),0,IF((YEAR(D194)+16)&gt;YEAR(E194),1,(12-MONTH(E194)+1)/12))) + (Q194)*(IF((YEAR(D194)+16)&lt;YEAR(E194),0,IF((YEAR(D194)+16)&gt;YEAR(E194),1,(12-MONTH(E194)+1)/12))))-((P194)*(IF((YEAR(D194)+16)&lt;YEAR(E194),0,IF((YEAR(D194)+16)&gt;YEAR(E194),1,(12-MONTH(E194)+1)/12))) + (R194)*(IF((YEAR(D194)+16)&lt;YEAR(E194),0,IF((YEAR(D194)+16)&gt;YEAR(E194),1,(12-MONTH(E194)+1)/12))))-(IF(OR(N194="",N194&lt;=0),0,(O194/N194)*(IF(OR(N194="",N194&lt;=0),0,IF((YEAR(D194)+16)&lt;YEAR(E194),0,IF((YEAR(D194)+16)&gt;=YEAR(E194)+N194,0,IF((YEAR(D194)+16)=YEAR(E194),(12-MONTH(E194)+1)/12,1))))))))&gt;0,(((K194)*(IF(M194="",L194,IFERROR(IF(INDEX(Variablen!$I:$AT, MATCH(M194, Variablen!$A:$A, 0), MATCH((YEAR(D194)+16), Variablen!$I$3:$AT$3, 0))="",L194,INDEX(Variablen!$I:$AT, MATCH(M194, Variablen!$A:$A, 0), MATCH((YEAR(D194)+16), Variablen!$I$3:$AT$3, 0))),L194)))*(IF((YEAR(D194)+16)&lt;YEAR(E194),0,IF((YEAR(D194)+16)&gt;YEAR(E194),1,(12-MONTH(E194)+1)/12))) + (Q194)*(IF((YEAR(D194)+16)&lt;YEAR(E194),0,IF((YEAR(D194)+16)&gt;YEAR(E194),1,(12-MONTH(E194)+1)/12))))-((P194)*(IF((YEAR(D194)+16)&lt;YEAR(E194),0,IF((YEAR(D194)+16)&gt;YEAR(E194),1,(12-MONTH(E194)+1)/12))) + (R194)*(IF((YEAR(D194)+16)&lt;YEAR(E194),0,IF((YEAR(D194)+16)&gt;YEAR(E194),1,(12-MONTH(E194)+1)/12))))-(IF(OR(N194="",N194&lt;=0),0,(O194/N194)*(IF(OR(N194="",N194&lt;=0),0,IF((YEAR(D194)+16)&lt;YEAR(E194),0,IF((YEAR(D194)+16)&gt;=YEAR(E194)+N194,0,IF((YEAR(D194)+16)=YEAR(E194),(12-MONTH(E194)+1)/12,1))))))))*TaxRate,0))-IF(16=0,O194,0))</f>
        <v/>
      </c>
      <c r="AJ194" s="29">
        <f>IF(A194="","",((K194)*(IF(M194="",L194,IFERROR(IF(INDEX(Variablen!$I:$AT, MATCH(M194, Variablen!$A:$A, 0), MATCH((YEAR(D194)+17), Variablen!$I$3:$AT$3, 0))="",L194,INDEX(Variablen!$I:$AT, MATCH(M194, Variablen!$A:$A, 0), MATCH((YEAR(D194)+17), Variablen!$I$3:$AT$3, 0))),L194)))*(IF((YEAR(D194)+17)&lt;YEAR(E194),0,IF((YEAR(D194)+17)&gt;YEAR(E194),1,(12-MONTH(E194)+1)/12))) + (Q194)*(IF((YEAR(D194)+17)&lt;YEAR(E194),0,IF((YEAR(D194)+17)&gt;YEAR(E194),1,(12-MONTH(E194)+1)/12))))-((P194)*(IF((YEAR(D194)+17)&lt;YEAR(E194),0,IF((YEAR(D194)+17)&gt;YEAR(E194),1,(12-MONTH(E194)+1)/12))) + (R194)*(IF((YEAR(D194)+17)&lt;YEAR(E194),0,IF((YEAR(D194)+17)&gt;YEAR(E194),1,(12-MONTH(E194)+1)/12))))-(IF((((K194)*(IF(M194="",L194,IFERROR(IF(INDEX(Variablen!$I:$AT, MATCH(M194, Variablen!$A:$A, 0), MATCH((YEAR(D194)+17), Variablen!$I$3:$AT$3, 0))="",L194,INDEX(Variablen!$I:$AT, MATCH(M194, Variablen!$A:$A, 0), MATCH((YEAR(D194)+17), Variablen!$I$3:$AT$3, 0))),L194)))*(IF((YEAR(D194)+17)&lt;YEAR(E194),0,IF((YEAR(D194)+17)&gt;YEAR(E194),1,(12-MONTH(E194)+1)/12))) + (Q194)*(IF((YEAR(D194)+17)&lt;YEAR(E194),0,IF((YEAR(D194)+17)&gt;YEAR(E194),1,(12-MONTH(E194)+1)/12))))-((P194)*(IF((YEAR(D194)+17)&lt;YEAR(E194),0,IF((YEAR(D194)+17)&gt;YEAR(E194),1,(12-MONTH(E194)+1)/12))) + (R194)*(IF((YEAR(D194)+17)&lt;YEAR(E194),0,IF((YEAR(D194)+17)&gt;YEAR(E194),1,(12-MONTH(E194)+1)/12))))-(IF(OR(N194="",N194&lt;=0),0,(O194/N194)*(IF(OR(N194="",N194&lt;=0),0,IF((YEAR(D194)+17)&lt;YEAR(E194),0,IF((YEAR(D194)+17)&gt;=YEAR(E194)+N194,0,IF((YEAR(D194)+17)=YEAR(E194),(12-MONTH(E194)+1)/12,1))))))))&gt;0,(((K194)*(IF(M194="",L194,IFERROR(IF(INDEX(Variablen!$I:$AT, MATCH(M194, Variablen!$A:$A, 0), MATCH((YEAR(D194)+17), Variablen!$I$3:$AT$3, 0))="",L194,INDEX(Variablen!$I:$AT, MATCH(M194, Variablen!$A:$A, 0), MATCH((YEAR(D194)+17), Variablen!$I$3:$AT$3, 0))),L194)))*(IF((YEAR(D194)+17)&lt;YEAR(E194),0,IF((YEAR(D194)+17)&gt;YEAR(E194),1,(12-MONTH(E194)+1)/12))) + (Q194)*(IF((YEAR(D194)+17)&lt;YEAR(E194),0,IF((YEAR(D194)+17)&gt;YEAR(E194),1,(12-MONTH(E194)+1)/12))))-((P194)*(IF((YEAR(D194)+17)&lt;YEAR(E194),0,IF((YEAR(D194)+17)&gt;YEAR(E194),1,(12-MONTH(E194)+1)/12))) + (R194)*(IF((YEAR(D194)+17)&lt;YEAR(E194),0,IF((YEAR(D194)+17)&gt;YEAR(E194),1,(12-MONTH(E194)+1)/12))))-(IF(OR(N194="",N194&lt;=0),0,(O194/N194)*(IF(OR(N194="",N194&lt;=0),0,IF((YEAR(D194)+17)&lt;YEAR(E194),0,IF((YEAR(D194)+17)&gt;=YEAR(E194)+N194,0,IF((YEAR(D194)+17)=YEAR(E194),(12-MONTH(E194)+1)/12,1))))))))*TaxRate,0))-IF(17=0,O194,0))</f>
        <v/>
      </c>
      <c r="AK194" s="29">
        <f>IF(A194="","",((K194)*(IF(M194="",L194,IFERROR(IF(INDEX(Variablen!$I:$AT, MATCH(M194, Variablen!$A:$A, 0), MATCH((YEAR(D194)+18), Variablen!$I$3:$AT$3, 0))="",L194,INDEX(Variablen!$I:$AT, MATCH(M194, Variablen!$A:$A, 0), MATCH((YEAR(D194)+18), Variablen!$I$3:$AT$3, 0))),L194)))*(IF((YEAR(D194)+18)&lt;YEAR(E194),0,IF((YEAR(D194)+18)&gt;YEAR(E194),1,(12-MONTH(E194)+1)/12))) + (Q194)*(IF((YEAR(D194)+18)&lt;YEAR(E194),0,IF((YEAR(D194)+18)&gt;YEAR(E194),1,(12-MONTH(E194)+1)/12))))-((P194)*(IF((YEAR(D194)+18)&lt;YEAR(E194),0,IF((YEAR(D194)+18)&gt;YEAR(E194),1,(12-MONTH(E194)+1)/12))) + (R194)*(IF((YEAR(D194)+18)&lt;YEAR(E194),0,IF((YEAR(D194)+18)&gt;YEAR(E194),1,(12-MONTH(E194)+1)/12))))-(IF((((K194)*(IF(M194="",L194,IFERROR(IF(INDEX(Variablen!$I:$AT, MATCH(M194, Variablen!$A:$A, 0), MATCH((YEAR(D194)+18), Variablen!$I$3:$AT$3, 0))="",L194,INDEX(Variablen!$I:$AT, MATCH(M194, Variablen!$A:$A, 0), MATCH((YEAR(D194)+18), Variablen!$I$3:$AT$3, 0))),L194)))*(IF((YEAR(D194)+18)&lt;YEAR(E194),0,IF((YEAR(D194)+18)&gt;YEAR(E194),1,(12-MONTH(E194)+1)/12))) + (Q194)*(IF((YEAR(D194)+18)&lt;YEAR(E194),0,IF((YEAR(D194)+18)&gt;YEAR(E194),1,(12-MONTH(E194)+1)/12))))-((P194)*(IF((YEAR(D194)+18)&lt;YEAR(E194),0,IF((YEAR(D194)+18)&gt;YEAR(E194),1,(12-MONTH(E194)+1)/12))) + (R194)*(IF((YEAR(D194)+18)&lt;YEAR(E194),0,IF((YEAR(D194)+18)&gt;YEAR(E194),1,(12-MONTH(E194)+1)/12))))-(IF(OR(N194="",N194&lt;=0),0,(O194/N194)*(IF(OR(N194="",N194&lt;=0),0,IF((YEAR(D194)+18)&lt;YEAR(E194),0,IF((YEAR(D194)+18)&gt;=YEAR(E194)+N194,0,IF((YEAR(D194)+18)=YEAR(E194),(12-MONTH(E194)+1)/12,1))))))))&gt;0,(((K194)*(IF(M194="",L194,IFERROR(IF(INDEX(Variablen!$I:$AT, MATCH(M194, Variablen!$A:$A, 0), MATCH((YEAR(D194)+18), Variablen!$I$3:$AT$3, 0))="",L194,INDEX(Variablen!$I:$AT, MATCH(M194, Variablen!$A:$A, 0), MATCH((YEAR(D194)+18), Variablen!$I$3:$AT$3, 0))),L194)))*(IF((YEAR(D194)+18)&lt;YEAR(E194),0,IF((YEAR(D194)+18)&gt;YEAR(E194),1,(12-MONTH(E194)+1)/12))) + (Q194)*(IF((YEAR(D194)+18)&lt;YEAR(E194),0,IF((YEAR(D194)+18)&gt;YEAR(E194),1,(12-MONTH(E194)+1)/12))))-((P194)*(IF((YEAR(D194)+18)&lt;YEAR(E194),0,IF((YEAR(D194)+18)&gt;YEAR(E194),1,(12-MONTH(E194)+1)/12))) + (R194)*(IF((YEAR(D194)+18)&lt;YEAR(E194),0,IF((YEAR(D194)+18)&gt;YEAR(E194),1,(12-MONTH(E194)+1)/12))))-(IF(OR(N194="",N194&lt;=0),0,(O194/N194)*(IF(OR(N194="",N194&lt;=0),0,IF((YEAR(D194)+18)&lt;YEAR(E194),0,IF((YEAR(D194)+18)&gt;=YEAR(E194)+N194,0,IF((YEAR(D194)+18)=YEAR(E194),(12-MONTH(E194)+1)/12,1))))))))*TaxRate,0))-IF(18=0,O194,0))</f>
        <v/>
      </c>
      <c r="AL194" s="29">
        <f>IF(A194="","",((K194)*(IF(M194="",L194,IFERROR(IF(INDEX(Variablen!$I:$AT, MATCH(M194, Variablen!$A:$A, 0), MATCH((YEAR(D194)+19), Variablen!$I$3:$AT$3, 0))="",L194,INDEX(Variablen!$I:$AT, MATCH(M194, Variablen!$A:$A, 0), MATCH((YEAR(D194)+19), Variablen!$I$3:$AT$3, 0))),L194)))*(IF((YEAR(D194)+19)&lt;YEAR(E194),0,IF((YEAR(D194)+19)&gt;YEAR(E194),1,(12-MONTH(E194)+1)/12))) + (Q194)*(IF((YEAR(D194)+19)&lt;YEAR(E194),0,IF((YEAR(D194)+19)&gt;YEAR(E194),1,(12-MONTH(E194)+1)/12))))-((P194)*(IF((YEAR(D194)+19)&lt;YEAR(E194),0,IF((YEAR(D194)+19)&gt;YEAR(E194),1,(12-MONTH(E194)+1)/12))) + (R194)*(IF((YEAR(D194)+19)&lt;YEAR(E194),0,IF((YEAR(D194)+19)&gt;YEAR(E194),1,(12-MONTH(E194)+1)/12))))-(IF((((K194)*(IF(M194="",L194,IFERROR(IF(INDEX(Variablen!$I:$AT, MATCH(M194, Variablen!$A:$A, 0), MATCH((YEAR(D194)+19), Variablen!$I$3:$AT$3, 0))="",L194,INDEX(Variablen!$I:$AT, MATCH(M194, Variablen!$A:$A, 0), MATCH((YEAR(D194)+19), Variablen!$I$3:$AT$3, 0))),L194)))*(IF((YEAR(D194)+19)&lt;YEAR(E194),0,IF((YEAR(D194)+19)&gt;YEAR(E194),1,(12-MONTH(E194)+1)/12))) + (Q194)*(IF((YEAR(D194)+19)&lt;YEAR(E194),0,IF((YEAR(D194)+19)&gt;YEAR(E194),1,(12-MONTH(E194)+1)/12))))-((P194)*(IF((YEAR(D194)+19)&lt;YEAR(E194),0,IF((YEAR(D194)+19)&gt;YEAR(E194),1,(12-MONTH(E194)+1)/12))) + (R194)*(IF((YEAR(D194)+19)&lt;YEAR(E194),0,IF((YEAR(D194)+19)&gt;YEAR(E194),1,(12-MONTH(E194)+1)/12))))-(IF(OR(N194="",N194&lt;=0),0,(O194/N194)*(IF(OR(N194="",N194&lt;=0),0,IF((YEAR(D194)+19)&lt;YEAR(E194),0,IF((YEAR(D194)+19)&gt;=YEAR(E194)+N194,0,IF((YEAR(D194)+19)=YEAR(E194),(12-MONTH(E194)+1)/12,1))))))))&gt;0,(((K194)*(IF(M194="",L194,IFERROR(IF(INDEX(Variablen!$I:$AT, MATCH(M194, Variablen!$A:$A, 0), MATCH((YEAR(D194)+19), Variablen!$I$3:$AT$3, 0))="",L194,INDEX(Variablen!$I:$AT, MATCH(M194, Variablen!$A:$A, 0), MATCH((YEAR(D194)+19), Variablen!$I$3:$AT$3, 0))),L194)))*(IF((YEAR(D194)+19)&lt;YEAR(E194),0,IF((YEAR(D194)+19)&gt;YEAR(E194),1,(12-MONTH(E194)+1)/12))) + (Q194)*(IF((YEAR(D194)+19)&lt;YEAR(E194),0,IF((YEAR(D194)+19)&gt;YEAR(E194),1,(12-MONTH(E194)+1)/12))))-((P194)*(IF((YEAR(D194)+19)&lt;YEAR(E194),0,IF((YEAR(D194)+19)&gt;YEAR(E194),1,(12-MONTH(E194)+1)/12))) + (R194)*(IF((YEAR(D194)+19)&lt;YEAR(E194),0,IF((YEAR(D194)+19)&gt;YEAR(E194),1,(12-MONTH(E194)+1)/12))))-(IF(OR(N194="",N194&lt;=0),0,(O194/N194)*(IF(OR(N194="",N194&lt;=0),0,IF((YEAR(D194)+19)&lt;YEAR(E194),0,IF((YEAR(D194)+19)&gt;=YEAR(E194)+N194,0,IF((YEAR(D194)+19)=YEAR(E194),(12-MONTH(E194)+1)/12,1))))))))*TaxRate,0))-IF(19=0,O194,0))</f>
        <v/>
      </c>
      <c r="AM194" s="29">
        <f>IF(A194="","",((K194)*(IF(M194="",L194,IFERROR(IF(INDEX(Variablen!$I:$AT, MATCH(M194, Variablen!$A:$A, 0), MATCH((YEAR(D194)+20), Variablen!$I$3:$AT$3, 0))="",L194,INDEX(Variablen!$I:$AT, MATCH(M194, Variablen!$A:$A, 0), MATCH((YEAR(D194)+20), Variablen!$I$3:$AT$3, 0))),L194)))*(IF((YEAR(D194)+20)&lt;YEAR(E194),0,IF((YEAR(D194)+20)&gt;YEAR(E194),1,(12-MONTH(E194)+1)/12))) + (Q194)*(IF((YEAR(D194)+20)&lt;YEAR(E194),0,IF((YEAR(D194)+20)&gt;YEAR(E194),1,(12-MONTH(E194)+1)/12))))-((P194)*(IF((YEAR(D194)+20)&lt;YEAR(E194),0,IF((YEAR(D194)+20)&gt;YEAR(E194),1,(12-MONTH(E194)+1)/12))) + (R194)*(IF((YEAR(D194)+20)&lt;YEAR(E194),0,IF((YEAR(D194)+20)&gt;YEAR(E194),1,(12-MONTH(E194)+1)/12))))-(IF((((K194)*(IF(M194="",L194,IFERROR(IF(INDEX(Variablen!$I:$AT, MATCH(M194, Variablen!$A:$A, 0), MATCH((YEAR(D194)+20), Variablen!$I$3:$AT$3, 0))="",L194,INDEX(Variablen!$I:$AT, MATCH(M194, Variablen!$A:$A, 0), MATCH((YEAR(D194)+20), Variablen!$I$3:$AT$3, 0))),L194)))*(IF((YEAR(D194)+20)&lt;YEAR(E194),0,IF((YEAR(D194)+20)&gt;YEAR(E194),1,(12-MONTH(E194)+1)/12))) + (Q194)*(IF((YEAR(D194)+20)&lt;YEAR(E194),0,IF((YEAR(D194)+20)&gt;YEAR(E194),1,(12-MONTH(E194)+1)/12))))-((P194)*(IF((YEAR(D194)+20)&lt;YEAR(E194),0,IF((YEAR(D194)+20)&gt;YEAR(E194),1,(12-MONTH(E194)+1)/12))) + (R194)*(IF((YEAR(D194)+20)&lt;YEAR(E194),0,IF((YEAR(D194)+20)&gt;YEAR(E194),1,(12-MONTH(E194)+1)/12))))-(IF(OR(N194="",N194&lt;=0),0,(O194/N194)*(IF(OR(N194="",N194&lt;=0),0,IF((YEAR(D194)+20)&lt;YEAR(E194),0,IF((YEAR(D194)+20)&gt;=YEAR(E194)+N194,0,IF((YEAR(D194)+20)=YEAR(E194),(12-MONTH(E194)+1)/12,1))))))))&gt;0,(((K194)*(IF(M194="",L194,IFERROR(IF(INDEX(Variablen!$I:$AT, MATCH(M194, Variablen!$A:$A, 0), MATCH((YEAR(D194)+20), Variablen!$I$3:$AT$3, 0))="",L194,INDEX(Variablen!$I:$AT, MATCH(M194, Variablen!$A:$A, 0), MATCH((YEAR(D194)+20), Variablen!$I$3:$AT$3, 0))),L194)))*(IF((YEAR(D194)+20)&lt;YEAR(E194),0,IF((YEAR(D194)+20)&gt;YEAR(E194),1,(12-MONTH(E194)+1)/12))) + (Q194)*(IF((YEAR(D194)+20)&lt;YEAR(E194),0,IF((YEAR(D194)+20)&gt;YEAR(E194),1,(12-MONTH(E194)+1)/12))))-((P194)*(IF((YEAR(D194)+20)&lt;YEAR(E194),0,IF((YEAR(D194)+20)&gt;YEAR(E194),1,(12-MONTH(E194)+1)/12))) + (R194)*(IF((YEAR(D194)+20)&lt;YEAR(E194),0,IF((YEAR(D194)+20)&gt;YEAR(E194),1,(12-MONTH(E194)+1)/12))))-(IF(OR(N194="",N194&lt;=0),0,(O194/N194)*(IF(OR(N194="",N194&lt;=0),0,IF((YEAR(D194)+20)&lt;YEAR(E194),0,IF((YEAR(D194)+20)&gt;=YEAR(E194)+N194,0,IF((YEAR(D194)+20)=YEAR(E194),(12-MONTH(E194)+1)/12,1))))))))*TaxRate,0))-IF(20=0,O194,0))</f>
        <v/>
      </c>
      <c r="AN194" s="29">
        <f>IF(A194="","",S194)</f>
        <v/>
      </c>
      <c r="AO194" s="29">
        <f>IF(A194="","",AN194+T194)</f>
        <v/>
      </c>
      <c r="AP194" s="29">
        <f>IF(A194="","",AO194+U194)</f>
        <v/>
      </c>
      <c r="AQ194" s="29">
        <f>IF(A194="","",AP194+V194)</f>
        <v/>
      </c>
      <c r="AR194" s="29">
        <f>IF(A194="","",AQ194+W194)</f>
        <v/>
      </c>
      <c r="AS194" s="29">
        <f>IF(A194="","",AR194+X194)</f>
        <v/>
      </c>
      <c r="AT194" s="29">
        <f>IF(A194="","",AS194+Y194)</f>
        <v/>
      </c>
      <c r="AU194" s="29">
        <f>IF(A194="","",AT194+Z194)</f>
        <v/>
      </c>
      <c r="AV194" s="29">
        <f>IF(A194="","",AU194+AA194)</f>
        <v/>
      </c>
      <c r="AW194" s="29">
        <f>IF(A194="","",AV194+AB194)</f>
        <v/>
      </c>
      <c r="AX194" s="29">
        <f>IF(A194="","",AW194+AC194)</f>
        <v/>
      </c>
      <c r="AY194" s="29">
        <f>IF(A194="","",AX194+AD194)</f>
        <v/>
      </c>
      <c r="AZ194" s="29">
        <f>IF(A194="","",AY194+AE194)</f>
        <v/>
      </c>
      <c r="BA194" s="29">
        <f>IF(A194="","",AZ194+AF194)</f>
        <v/>
      </c>
      <c r="BB194" s="29">
        <f>IF(A194="","",BA194+AG194)</f>
        <v/>
      </c>
      <c r="BC194" s="29">
        <f>IF(A194="","",BB194+AH194)</f>
        <v/>
      </c>
      <c r="BD194" s="29">
        <f>IF(A194="","",BC194+AI194)</f>
        <v/>
      </c>
      <c r="BE194" s="29">
        <f>IF(A194="","",BD194+AJ194)</f>
        <v/>
      </c>
      <c r="BF194" s="29">
        <f>IF(A194="","",BE194+AK194)</f>
        <v/>
      </c>
      <c r="BG194" s="29">
        <f>IF(A194="","",BF194+AL194)</f>
        <v/>
      </c>
      <c r="BH194" s="29">
        <f>IF(A194="","",BG194+AM194)</f>
        <v/>
      </c>
      <c r="BI194" s="36">
        <f>IF(A194="","",(K194)*(IF((YEAR(D194)+0)&lt;YEAR(E194),0,IF((YEAR(D194)+0)&gt;YEAR(E194),1,(12-MONTH(E194)+1)/12)))*(1/(1+DiscountRate)^0))</f>
        <v/>
      </c>
      <c r="BJ194" s="36">
        <f>IF(A194="","",(K194)*(IF((YEAR(D194)+1)&lt;YEAR(E194),0,IF((YEAR(D194)+1)&gt;YEAR(E194),1,(12-MONTH(E194)+1)/12)))*(1/(1+DiscountRate)^1))</f>
        <v/>
      </c>
      <c r="BK194" s="36">
        <f>IF(A194="","",(K194)*(IF((YEAR(D194)+2)&lt;YEAR(E194),0,IF((YEAR(D194)+2)&gt;YEAR(E194),1,(12-MONTH(E194)+1)/12)))*(1/(1+DiscountRate)^2))</f>
        <v/>
      </c>
      <c r="BL194" s="36">
        <f>IF(A194="","",(K194)*(IF((YEAR(D194)+3)&lt;YEAR(E194),0,IF((YEAR(D194)+3)&gt;YEAR(E194),1,(12-MONTH(E194)+1)/12)))*(1/(1+DiscountRate)^3))</f>
        <v/>
      </c>
      <c r="BM194" s="36">
        <f>IF(A194="","",(K194)*(IF((YEAR(D194)+4)&lt;YEAR(E194),0,IF((YEAR(D194)+4)&gt;YEAR(E194),1,(12-MONTH(E194)+1)/12)))*(1/(1+DiscountRate)^4))</f>
        <v/>
      </c>
      <c r="BN194" s="36">
        <f>IF(A194="","",(K194)*(IF((YEAR(D194)+5)&lt;YEAR(E194),0,IF((YEAR(D194)+5)&gt;YEAR(E194),1,(12-MONTH(E194)+1)/12)))*(1/(1+DiscountRate)^5))</f>
        <v/>
      </c>
      <c r="BO194" s="36">
        <f>IF(A194="","",(K194)*(IF((YEAR(D194)+6)&lt;YEAR(E194),0,IF((YEAR(D194)+6)&gt;YEAR(E194),1,(12-MONTH(E194)+1)/12)))*(1/(1+DiscountRate)^6))</f>
        <v/>
      </c>
      <c r="BP194" s="36">
        <f>IF(A194="","",(K194)*(IF((YEAR(D194)+7)&lt;YEAR(E194),0,IF((YEAR(D194)+7)&gt;YEAR(E194),1,(12-MONTH(E194)+1)/12)))*(1/(1+DiscountRate)^7))</f>
        <v/>
      </c>
      <c r="BQ194" s="36">
        <f>IF(A194="","",(K194)*(IF((YEAR(D194)+8)&lt;YEAR(E194),0,IF((YEAR(D194)+8)&gt;YEAR(E194),1,(12-MONTH(E194)+1)/12)))*(1/(1+DiscountRate)^8))</f>
        <v/>
      </c>
      <c r="BR194" s="36">
        <f>IF(A194="","",(K194)*(IF((YEAR(D194)+9)&lt;YEAR(E194),0,IF((YEAR(D194)+9)&gt;YEAR(E194),1,(12-MONTH(E194)+1)/12)))*(1/(1+DiscountRate)^9))</f>
        <v/>
      </c>
      <c r="BS194" s="36">
        <f>IF(A194="","",(K194)*(IF((YEAR(D194)+10)&lt;YEAR(E194),0,IF((YEAR(D194)+10)&gt;YEAR(E194),1,(12-MONTH(E194)+1)/12)))*(1/(1+DiscountRate)^10))</f>
        <v/>
      </c>
      <c r="BT194" s="36">
        <f>IF(A194="","",(K194)*(IF((YEAR(D194)+11)&lt;YEAR(E194),0,IF((YEAR(D194)+11)&gt;YEAR(E194),1,(12-MONTH(E194)+1)/12)))*(1/(1+DiscountRate)^11))</f>
        <v/>
      </c>
      <c r="BU194" s="36">
        <f>IF(A194="","",(K194)*(IF((YEAR(D194)+12)&lt;YEAR(E194),0,IF((YEAR(D194)+12)&gt;YEAR(E194),1,(12-MONTH(E194)+1)/12)))*(1/(1+DiscountRate)^12))</f>
        <v/>
      </c>
      <c r="BV194" s="36">
        <f>IF(A194="","",(K194)*(IF((YEAR(D194)+13)&lt;YEAR(E194),0,IF((YEAR(D194)+13)&gt;YEAR(E194),1,(12-MONTH(E194)+1)/12)))*(1/(1+DiscountRate)^13))</f>
        <v/>
      </c>
      <c r="BW194" s="36">
        <f>IF(A194="","",(K194)*(IF((YEAR(D194)+14)&lt;YEAR(E194),0,IF((YEAR(D194)+14)&gt;YEAR(E194),1,(12-MONTH(E194)+1)/12)))*(1/(1+DiscountRate)^14))</f>
        <v/>
      </c>
      <c r="BX194" s="36">
        <f>IF(A194="","",(K194)*(IF((YEAR(D194)+15)&lt;YEAR(E194),0,IF((YEAR(D194)+15)&gt;YEAR(E194),1,(12-MONTH(E194)+1)/12)))*(1/(1+DiscountRate)^15))</f>
        <v/>
      </c>
      <c r="BY194" s="36">
        <f>IF(A194="","",(K194)*(IF((YEAR(D194)+16)&lt;YEAR(E194),0,IF((YEAR(D194)+16)&gt;YEAR(E194),1,(12-MONTH(E194)+1)/12)))*(1/(1+DiscountRate)^16))</f>
        <v/>
      </c>
      <c r="BZ194" s="36">
        <f>IF(A194="","",(K194)*(IF((YEAR(D194)+17)&lt;YEAR(E194),0,IF((YEAR(D194)+17)&gt;YEAR(E194),1,(12-MONTH(E194)+1)/12)))*(1/(1+DiscountRate)^17))</f>
        <v/>
      </c>
      <c r="CA194" s="36">
        <f>IF(A194="","",(K194)*(IF((YEAR(D194)+18)&lt;YEAR(E194),0,IF((YEAR(D194)+18)&gt;YEAR(E194),1,(12-MONTH(E194)+1)/12)))*(1/(1+DiscountRate)^18))</f>
        <v/>
      </c>
      <c r="CB194" s="36">
        <f>IF(A194="","",(K194)*(IF((YEAR(D194)+19)&lt;YEAR(E194),0,IF((YEAR(D194)+19)&gt;YEAR(E194),1,(12-MONTH(E194)+1)/12)))*(1/(1+DiscountRate)^19))</f>
        <v/>
      </c>
      <c r="CC194" s="36">
        <f>IF(A194="","",(K194)*(IF((YEAR(D194)+20)&lt;YEAR(E194),0,IF((YEAR(D194)+20)&gt;YEAR(E194),1,(12-MONTH(E194)+1)/12)))*(1/(1+DiscountRate)^20))</f>
        <v/>
      </c>
      <c r="CD194" s="29">
        <f>IF(A194="","",S194/(1+DiscountRate)^0+T194/(1+DiscountRate)^1+U194/(1+DiscountRate)^2+V194/(1+DiscountRate)^3+W194/(1+DiscountRate)^4+X194/(1+DiscountRate)^5+Y194/(1+DiscountRate)^6+Z194/(1+DiscountRate)^7+AA194/(1+DiscountRate)^8+AB194/(1+DiscountRate)^9+AC194/(1+DiscountRate)^10+AD194/(1+DiscountRate)^11+AE194/(1+DiscountRate)^12+AF194/(1+DiscountRate)^13+AG194/(1+DiscountRate)^14+AH194/(1+DiscountRate)^15+AI194/(1+DiscountRate)^16+AJ194/(1+DiscountRate)^17+AK194/(1+DiscountRate)^18+AL194/(1+DiscountRate)^19+AM194/(1+DiscountRate)^20)</f>
        <v/>
      </c>
      <c r="CE194" s="37">
        <f>IF(A194="","",IFERROR(IRR(OFFSET(S194,0,0,1,MIN(HorizonYears,20)+1)),"n/a"))</f>
        <v/>
      </c>
      <c r="CF194" s="28">
        <f>IF(A194="","",IFERROR(MATCH(TRUE,OFFSET(AN194,0,0,1,MIN(HorizonYears,20)+1)&gt;=0,0)-1,"n/a"))</f>
        <v/>
      </c>
      <c r="CG194" s="36">
        <f>IF(A194="","",SUM(OFFSET(BI194,0,0,1,MIN(HorizonYears,20)+1)))</f>
        <v/>
      </c>
      <c r="CH194" s="36">
        <f>IF(A194="","",IFERROR(-CD194/CG194,"n/a"))</f>
        <v/>
      </c>
    </row>
    <row r="195">
      <c r="A195" s="6">
        <f>Actions!A193</f>
        <v/>
      </c>
      <c r="B195" s="6">
        <f>Actions!B193</f>
        <v/>
      </c>
      <c r="C195" s="6">
        <f>Actions!D193</f>
        <v/>
      </c>
      <c r="D195" s="35">
        <f>Actions!E193</f>
        <v/>
      </c>
      <c r="E195" s="35">
        <f>Actions!F193</f>
        <v/>
      </c>
      <c r="F195" s="6">
        <f>Actions!G193</f>
        <v/>
      </c>
      <c r="G195" s="6">
        <f>Actions!H193</f>
        <v/>
      </c>
      <c r="H195" s="29">
        <f>Actions!I193</f>
        <v/>
      </c>
      <c r="I195" s="6">
        <f>Actions!J193</f>
        <v/>
      </c>
      <c r="J195" s="16">
        <f>Actions!K193</f>
        <v/>
      </c>
      <c r="K195" s="16">
        <f>IF(A195="","",IF(I195="%",H195*J195,J195))</f>
        <v/>
      </c>
      <c r="L195" s="16">
        <f>Actions!L193</f>
        <v/>
      </c>
      <c r="M195" s="6">
        <f>Actions!M193</f>
        <v/>
      </c>
      <c r="N195" s="28">
        <f>Actions!N193</f>
        <v/>
      </c>
      <c r="O195" s="29">
        <f>Actions!T193</f>
        <v/>
      </c>
      <c r="P195" s="29">
        <f>Actions!Y193</f>
        <v/>
      </c>
      <c r="Q195" s="29">
        <f>Actions!Z193</f>
        <v/>
      </c>
      <c r="R195" s="29">
        <f>Actions!AA193</f>
        <v/>
      </c>
      <c r="S195" s="29">
        <f>IF(A195="","",((K195)*(IF(M195="",L195,IFERROR(IF(INDEX(Variablen!$I:$AT, MATCH(M195, Variablen!$A:$A, 0), MATCH((YEAR(D195)+0), Variablen!$I$3:$AT$3, 0))="",L195,INDEX(Variablen!$I:$AT, MATCH(M195, Variablen!$A:$A, 0), MATCH((YEAR(D195)+0), Variablen!$I$3:$AT$3, 0))),L195)))*(IF((YEAR(D195)+0)&lt;YEAR(E195),0,IF((YEAR(D195)+0)&gt;YEAR(E195),1,(12-MONTH(E195)+1)/12))) + (Q195)*(IF((YEAR(D195)+0)&lt;YEAR(E195),0,IF((YEAR(D195)+0)&gt;YEAR(E195),1,(12-MONTH(E195)+1)/12))))-((P195)*(IF((YEAR(D195)+0)&lt;YEAR(E195),0,IF((YEAR(D195)+0)&gt;YEAR(E195),1,(12-MONTH(E195)+1)/12))) + (R195)*(IF((YEAR(D195)+0)&lt;YEAR(E195),0,IF((YEAR(D195)+0)&gt;YEAR(E195),1,(12-MONTH(E195)+1)/12))))-(IF((((K195)*(IF(M195="",L195,IFERROR(IF(INDEX(Variablen!$I:$AT, MATCH(M195, Variablen!$A:$A, 0), MATCH((YEAR(D195)+0), Variablen!$I$3:$AT$3, 0))="",L195,INDEX(Variablen!$I:$AT, MATCH(M195, Variablen!$A:$A, 0), MATCH((YEAR(D195)+0), Variablen!$I$3:$AT$3, 0))),L195)))*(IF((YEAR(D195)+0)&lt;YEAR(E195),0,IF((YEAR(D195)+0)&gt;YEAR(E195),1,(12-MONTH(E195)+1)/12))) + (Q195)*(IF((YEAR(D195)+0)&lt;YEAR(E195),0,IF((YEAR(D195)+0)&gt;YEAR(E195),1,(12-MONTH(E195)+1)/12))))-((P195)*(IF((YEAR(D195)+0)&lt;YEAR(E195),0,IF((YEAR(D195)+0)&gt;YEAR(E195),1,(12-MONTH(E195)+1)/12))) + (R195)*(IF((YEAR(D195)+0)&lt;YEAR(E195),0,IF((YEAR(D195)+0)&gt;YEAR(E195),1,(12-MONTH(E195)+1)/12))))-(IF(OR(N195="",N195&lt;=0),0,(O195/N195)*(IF(OR(N195="",N195&lt;=0),0,IF((YEAR(D195)+0)&lt;YEAR(E195),0,IF((YEAR(D195)+0)&gt;=YEAR(E195)+N195,0,IF((YEAR(D195)+0)=YEAR(E195),(12-MONTH(E195)+1)/12,1))))))))&gt;0,(((K195)*(IF(M195="",L195,IFERROR(IF(INDEX(Variablen!$I:$AT, MATCH(M195, Variablen!$A:$A, 0), MATCH((YEAR(D195)+0), Variablen!$I$3:$AT$3, 0))="",L195,INDEX(Variablen!$I:$AT, MATCH(M195, Variablen!$A:$A, 0), MATCH((YEAR(D195)+0), Variablen!$I$3:$AT$3, 0))),L195)))*(IF((YEAR(D195)+0)&lt;YEAR(E195),0,IF((YEAR(D195)+0)&gt;YEAR(E195),1,(12-MONTH(E195)+1)/12))) + (Q195)*(IF((YEAR(D195)+0)&lt;YEAR(E195),0,IF((YEAR(D195)+0)&gt;YEAR(E195),1,(12-MONTH(E195)+1)/12))))-((P195)*(IF((YEAR(D195)+0)&lt;YEAR(E195),0,IF((YEAR(D195)+0)&gt;YEAR(E195),1,(12-MONTH(E195)+1)/12))) + (R195)*(IF((YEAR(D195)+0)&lt;YEAR(E195),0,IF((YEAR(D195)+0)&gt;YEAR(E195),1,(12-MONTH(E195)+1)/12))))-(IF(OR(N195="",N195&lt;=0),0,(O195/N195)*(IF(OR(N195="",N195&lt;=0),0,IF((YEAR(D195)+0)&lt;YEAR(E195),0,IF((YEAR(D195)+0)&gt;=YEAR(E195)+N195,0,IF((YEAR(D195)+0)=YEAR(E195),(12-MONTH(E195)+1)/12,1))))))))*TaxRate,0))-IF(0=0,O195,0))</f>
        <v/>
      </c>
      <c r="T195" s="29">
        <f>IF(A195="","",((K195)*(IF(M195="",L195,IFERROR(IF(INDEX(Variablen!$I:$AT, MATCH(M195, Variablen!$A:$A, 0), MATCH((YEAR(D195)+1), Variablen!$I$3:$AT$3, 0))="",L195,INDEX(Variablen!$I:$AT, MATCH(M195, Variablen!$A:$A, 0), MATCH((YEAR(D195)+1), Variablen!$I$3:$AT$3, 0))),L195)))*(IF((YEAR(D195)+1)&lt;YEAR(E195),0,IF((YEAR(D195)+1)&gt;YEAR(E195),1,(12-MONTH(E195)+1)/12))) + (Q195)*(IF((YEAR(D195)+1)&lt;YEAR(E195),0,IF((YEAR(D195)+1)&gt;YEAR(E195),1,(12-MONTH(E195)+1)/12))))-((P195)*(IF((YEAR(D195)+1)&lt;YEAR(E195),0,IF((YEAR(D195)+1)&gt;YEAR(E195),1,(12-MONTH(E195)+1)/12))) + (R195)*(IF((YEAR(D195)+1)&lt;YEAR(E195),0,IF((YEAR(D195)+1)&gt;YEAR(E195),1,(12-MONTH(E195)+1)/12))))-(IF((((K195)*(IF(M195="",L195,IFERROR(IF(INDEX(Variablen!$I:$AT, MATCH(M195, Variablen!$A:$A, 0), MATCH((YEAR(D195)+1), Variablen!$I$3:$AT$3, 0))="",L195,INDEX(Variablen!$I:$AT, MATCH(M195, Variablen!$A:$A, 0), MATCH((YEAR(D195)+1), Variablen!$I$3:$AT$3, 0))),L195)))*(IF((YEAR(D195)+1)&lt;YEAR(E195),0,IF((YEAR(D195)+1)&gt;YEAR(E195),1,(12-MONTH(E195)+1)/12))) + (Q195)*(IF((YEAR(D195)+1)&lt;YEAR(E195),0,IF((YEAR(D195)+1)&gt;YEAR(E195),1,(12-MONTH(E195)+1)/12))))-((P195)*(IF((YEAR(D195)+1)&lt;YEAR(E195),0,IF((YEAR(D195)+1)&gt;YEAR(E195),1,(12-MONTH(E195)+1)/12))) + (R195)*(IF((YEAR(D195)+1)&lt;YEAR(E195),0,IF((YEAR(D195)+1)&gt;YEAR(E195),1,(12-MONTH(E195)+1)/12))))-(IF(OR(N195="",N195&lt;=0),0,(O195/N195)*(IF(OR(N195="",N195&lt;=0),0,IF((YEAR(D195)+1)&lt;YEAR(E195),0,IF((YEAR(D195)+1)&gt;=YEAR(E195)+N195,0,IF((YEAR(D195)+1)=YEAR(E195),(12-MONTH(E195)+1)/12,1))))))))&gt;0,(((K195)*(IF(M195="",L195,IFERROR(IF(INDEX(Variablen!$I:$AT, MATCH(M195, Variablen!$A:$A, 0), MATCH((YEAR(D195)+1), Variablen!$I$3:$AT$3, 0))="",L195,INDEX(Variablen!$I:$AT, MATCH(M195, Variablen!$A:$A, 0), MATCH((YEAR(D195)+1), Variablen!$I$3:$AT$3, 0))),L195)))*(IF((YEAR(D195)+1)&lt;YEAR(E195),0,IF((YEAR(D195)+1)&gt;YEAR(E195),1,(12-MONTH(E195)+1)/12))) + (Q195)*(IF((YEAR(D195)+1)&lt;YEAR(E195),0,IF((YEAR(D195)+1)&gt;YEAR(E195),1,(12-MONTH(E195)+1)/12))))-((P195)*(IF((YEAR(D195)+1)&lt;YEAR(E195),0,IF((YEAR(D195)+1)&gt;YEAR(E195),1,(12-MONTH(E195)+1)/12))) + (R195)*(IF((YEAR(D195)+1)&lt;YEAR(E195),0,IF((YEAR(D195)+1)&gt;YEAR(E195),1,(12-MONTH(E195)+1)/12))))-(IF(OR(N195="",N195&lt;=0),0,(O195/N195)*(IF(OR(N195="",N195&lt;=0),0,IF((YEAR(D195)+1)&lt;YEAR(E195),0,IF((YEAR(D195)+1)&gt;=YEAR(E195)+N195,0,IF((YEAR(D195)+1)=YEAR(E195),(12-MONTH(E195)+1)/12,1))))))))*TaxRate,0))-IF(1=0,O195,0))</f>
        <v/>
      </c>
      <c r="U195" s="29">
        <f>IF(A195="","",((K195)*(IF(M195="",L195,IFERROR(IF(INDEX(Variablen!$I:$AT, MATCH(M195, Variablen!$A:$A, 0), MATCH((YEAR(D195)+2), Variablen!$I$3:$AT$3, 0))="",L195,INDEX(Variablen!$I:$AT, MATCH(M195, Variablen!$A:$A, 0), MATCH((YEAR(D195)+2), Variablen!$I$3:$AT$3, 0))),L195)))*(IF((YEAR(D195)+2)&lt;YEAR(E195),0,IF((YEAR(D195)+2)&gt;YEAR(E195),1,(12-MONTH(E195)+1)/12))) + (Q195)*(IF((YEAR(D195)+2)&lt;YEAR(E195),0,IF((YEAR(D195)+2)&gt;YEAR(E195),1,(12-MONTH(E195)+1)/12))))-((P195)*(IF((YEAR(D195)+2)&lt;YEAR(E195),0,IF((YEAR(D195)+2)&gt;YEAR(E195),1,(12-MONTH(E195)+1)/12))) + (R195)*(IF((YEAR(D195)+2)&lt;YEAR(E195),0,IF((YEAR(D195)+2)&gt;YEAR(E195),1,(12-MONTH(E195)+1)/12))))-(IF((((K195)*(IF(M195="",L195,IFERROR(IF(INDEX(Variablen!$I:$AT, MATCH(M195, Variablen!$A:$A, 0), MATCH((YEAR(D195)+2), Variablen!$I$3:$AT$3, 0))="",L195,INDEX(Variablen!$I:$AT, MATCH(M195, Variablen!$A:$A, 0), MATCH((YEAR(D195)+2), Variablen!$I$3:$AT$3, 0))),L195)))*(IF((YEAR(D195)+2)&lt;YEAR(E195),0,IF((YEAR(D195)+2)&gt;YEAR(E195),1,(12-MONTH(E195)+1)/12))) + (Q195)*(IF((YEAR(D195)+2)&lt;YEAR(E195),0,IF((YEAR(D195)+2)&gt;YEAR(E195),1,(12-MONTH(E195)+1)/12))))-((P195)*(IF((YEAR(D195)+2)&lt;YEAR(E195),0,IF((YEAR(D195)+2)&gt;YEAR(E195),1,(12-MONTH(E195)+1)/12))) + (R195)*(IF((YEAR(D195)+2)&lt;YEAR(E195),0,IF((YEAR(D195)+2)&gt;YEAR(E195),1,(12-MONTH(E195)+1)/12))))-(IF(OR(N195="",N195&lt;=0),0,(O195/N195)*(IF(OR(N195="",N195&lt;=0),0,IF((YEAR(D195)+2)&lt;YEAR(E195),0,IF((YEAR(D195)+2)&gt;=YEAR(E195)+N195,0,IF((YEAR(D195)+2)=YEAR(E195),(12-MONTH(E195)+1)/12,1))))))))&gt;0,(((K195)*(IF(M195="",L195,IFERROR(IF(INDEX(Variablen!$I:$AT, MATCH(M195, Variablen!$A:$A, 0), MATCH((YEAR(D195)+2), Variablen!$I$3:$AT$3, 0))="",L195,INDEX(Variablen!$I:$AT, MATCH(M195, Variablen!$A:$A, 0), MATCH((YEAR(D195)+2), Variablen!$I$3:$AT$3, 0))),L195)))*(IF((YEAR(D195)+2)&lt;YEAR(E195),0,IF((YEAR(D195)+2)&gt;YEAR(E195),1,(12-MONTH(E195)+1)/12))) + (Q195)*(IF((YEAR(D195)+2)&lt;YEAR(E195),0,IF((YEAR(D195)+2)&gt;YEAR(E195),1,(12-MONTH(E195)+1)/12))))-((P195)*(IF((YEAR(D195)+2)&lt;YEAR(E195),0,IF((YEAR(D195)+2)&gt;YEAR(E195),1,(12-MONTH(E195)+1)/12))) + (R195)*(IF((YEAR(D195)+2)&lt;YEAR(E195),0,IF((YEAR(D195)+2)&gt;YEAR(E195),1,(12-MONTH(E195)+1)/12))))-(IF(OR(N195="",N195&lt;=0),0,(O195/N195)*(IF(OR(N195="",N195&lt;=0),0,IF((YEAR(D195)+2)&lt;YEAR(E195),0,IF((YEAR(D195)+2)&gt;=YEAR(E195)+N195,0,IF((YEAR(D195)+2)=YEAR(E195),(12-MONTH(E195)+1)/12,1))))))))*TaxRate,0))-IF(2=0,O195,0))</f>
        <v/>
      </c>
      <c r="V195" s="29">
        <f>IF(A195="","",((K195)*(IF(M195="",L195,IFERROR(IF(INDEX(Variablen!$I:$AT, MATCH(M195, Variablen!$A:$A, 0), MATCH((YEAR(D195)+3), Variablen!$I$3:$AT$3, 0))="",L195,INDEX(Variablen!$I:$AT, MATCH(M195, Variablen!$A:$A, 0), MATCH((YEAR(D195)+3), Variablen!$I$3:$AT$3, 0))),L195)))*(IF((YEAR(D195)+3)&lt;YEAR(E195),0,IF((YEAR(D195)+3)&gt;YEAR(E195),1,(12-MONTH(E195)+1)/12))) + (Q195)*(IF((YEAR(D195)+3)&lt;YEAR(E195),0,IF((YEAR(D195)+3)&gt;YEAR(E195),1,(12-MONTH(E195)+1)/12))))-((P195)*(IF((YEAR(D195)+3)&lt;YEAR(E195),0,IF((YEAR(D195)+3)&gt;YEAR(E195),1,(12-MONTH(E195)+1)/12))) + (R195)*(IF((YEAR(D195)+3)&lt;YEAR(E195),0,IF((YEAR(D195)+3)&gt;YEAR(E195),1,(12-MONTH(E195)+1)/12))))-(IF((((K195)*(IF(M195="",L195,IFERROR(IF(INDEX(Variablen!$I:$AT, MATCH(M195, Variablen!$A:$A, 0), MATCH((YEAR(D195)+3), Variablen!$I$3:$AT$3, 0))="",L195,INDEX(Variablen!$I:$AT, MATCH(M195, Variablen!$A:$A, 0), MATCH((YEAR(D195)+3), Variablen!$I$3:$AT$3, 0))),L195)))*(IF((YEAR(D195)+3)&lt;YEAR(E195),0,IF((YEAR(D195)+3)&gt;YEAR(E195),1,(12-MONTH(E195)+1)/12))) + (Q195)*(IF((YEAR(D195)+3)&lt;YEAR(E195),0,IF((YEAR(D195)+3)&gt;YEAR(E195),1,(12-MONTH(E195)+1)/12))))-((P195)*(IF((YEAR(D195)+3)&lt;YEAR(E195),0,IF((YEAR(D195)+3)&gt;YEAR(E195),1,(12-MONTH(E195)+1)/12))) + (R195)*(IF((YEAR(D195)+3)&lt;YEAR(E195),0,IF((YEAR(D195)+3)&gt;YEAR(E195),1,(12-MONTH(E195)+1)/12))))-(IF(OR(N195="",N195&lt;=0),0,(O195/N195)*(IF(OR(N195="",N195&lt;=0),0,IF((YEAR(D195)+3)&lt;YEAR(E195),0,IF((YEAR(D195)+3)&gt;=YEAR(E195)+N195,0,IF((YEAR(D195)+3)=YEAR(E195),(12-MONTH(E195)+1)/12,1))))))))&gt;0,(((K195)*(IF(M195="",L195,IFERROR(IF(INDEX(Variablen!$I:$AT, MATCH(M195, Variablen!$A:$A, 0), MATCH((YEAR(D195)+3), Variablen!$I$3:$AT$3, 0))="",L195,INDEX(Variablen!$I:$AT, MATCH(M195, Variablen!$A:$A, 0), MATCH((YEAR(D195)+3), Variablen!$I$3:$AT$3, 0))),L195)))*(IF((YEAR(D195)+3)&lt;YEAR(E195),0,IF((YEAR(D195)+3)&gt;YEAR(E195),1,(12-MONTH(E195)+1)/12))) + (Q195)*(IF((YEAR(D195)+3)&lt;YEAR(E195),0,IF((YEAR(D195)+3)&gt;YEAR(E195),1,(12-MONTH(E195)+1)/12))))-((P195)*(IF((YEAR(D195)+3)&lt;YEAR(E195),0,IF((YEAR(D195)+3)&gt;YEAR(E195),1,(12-MONTH(E195)+1)/12))) + (R195)*(IF((YEAR(D195)+3)&lt;YEAR(E195),0,IF((YEAR(D195)+3)&gt;YEAR(E195),1,(12-MONTH(E195)+1)/12))))-(IF(OR(N195="",N195&lt;=0),0,(O195/N195)*(IF(OR(N195="",N195&lt;=0),0,IF((YEAR(D195)+3)&lt;YEAR(E195),0,IF((YEAR(D195)+3)&gt;=YEAR(E195)+N195,0,IF((YEAR(D195)+3)=YEAR(E195),(12-MONTH(E195)+1)/12,1))))))))*TaxRate,0))-IF(3=0,O195,0))</f>
        <v/>
      </c>
      <c r="W195" s="29">
        <f>IF(A195="","",((K195)*(IF(M195="",L195,IFERROR(IF(INDEX(Variablen!$I:$AT, MATCH(M195, Variablen!$A:$A, 0), MATCH((YEAR(D195)+4), Variablen!$I$3:$AT$3, 0))="",L195,INDEX(Variablen!$I:$AT, MATCH(M195, Variablen!$A:$A, 0), MATCH((YEAR(D195)+4), Variablen!$I$3:$AT$3, 0))),L195)))*(IF((YEAR(D195)+4)&lt;YEAR(E195),0,IF((YEAR(D195)+4)&gt;YEAR(E195),1,(12-MONTH(E195)+1)/12))) + (Q195)*(IF((YEAR(D195)+4)&lt;YEAR(E195),0,IF((YEAR(D195)+4)&gt;YEAR(E195),1,(12-MONTH(E195)+1)/12))))-((P195)*(IF((YEAR(D195)+4)&lt;YEAR(E195),0,IF((YEAR(D195)+4)&gt;YEAR(E195),1,(12-MONTH(E195)+1)/12))) + (R195)*(IF((YEAR(D195)+4)&lt;YEAR(E195),0,IF((YEAR(D195)+4)&gt;YEAR(E195),1,(12-MONTH(E195)+1)/12))))-(IF((((K195)*(IF(M195="",L195,IFERROR(IF(INDEX(Variablen!$I:$AT, MATCH(M195, Variablen!$A:$A, 0), MATCH((YEAR(D195)+4), Variablen!$I$3:$AT$3, 0))="",L195,INDEX(Variablen!$I:$AT, MATCH(M195, Variablen!$A:$A, 0), MATCH((YEAR(D195)+4), Variablen!$I$3:$AT$3, 0))),L195)))*(IF((YEAR(D195)+4)&lt;YEAR(E195),0,IF((YEAR(D195)+4)&gt;YEAR(E195),1,(12-MONTH(E195)+1)/12))) + (Q195)*(IF((YEAR(D195)+4)&lt;YEAR(E195),0,IF((YEAR(D195)+4)&gt;YEAR(E195),1,(12-MONTH(E195)+1)/12))))-((P195)*(IF((YEAR(D195)+4)&lt;YEAR(E195),0,IF((YEAR(D195)+4)&gt;YEAR(E195),1,(12-MONTH(E195)+1)/12))) + (R195)*(IF((YEAR(D195)+4)&lt;YEAR(E195),0,IF((YEAR(D195)+4)&gt;YEAR(E195),1,(12-MONTH(E195)+1)/12))))-(IF(OR(N195="",N195&lt;=0),0,(O195/N195)*(IF(OR(N195="",N195&lt;=0),0,IF((YEAR(D195)+4)&lt;YEAR(E195),0,IF((YEAR(D195)+4)&gt;=YEAR(E195)+N195,0,IF((YEAR(D195)+4)=YEAR(E195),(12-MONTH(E195)+1)/12,1))))))))&gt;0,(((K195)*(IF(M195="",L195,IFERROR(IF(INDEX(Variablen!$I:$AT, MATCH(M195, Variablen!$A:$A, 0), MATCH((YEAR(D195)+4), Variablen!$I$3:$AT$3, 0))="",L195,INDEX(Variablen!$I:$AT, MATCH(M195, Variablen!$A:$A, 0), MATCH((YEAR(D195)+4), Variablen!$I$3:$AT$3, 0))),L195)))*(IF((YEAR(D195)+4)&lt;YEAR(E195),0,IF((YEAR(D195)+4)&gt;YEAR(E195),1,(12-MONTH(E195)+1)/12))) + (Q195)*(IF((YEAR(D195)+4)&lt;YEAR(E195),0,IF((YEAR(D195)+4)&gt;YEAR(E195),1,(12-MONTH(E195)+1)/12))))-((P195)*(IF((YEAR(D195)+4)&lt;YEAR(E195),0,IF((YEAR(D195)+4)&gt;YEAR(E195),1,(12-MONTH(E195)+1)/12))) + (R195)*(IF((YEAR(D195)+4)&lt;YEAR(E195),0,IF((YEAR(D195)+4)&gt;YEAR(E195),1,(12-MONTH(E195)+1)/12))))-(IF(OR(N195="",N195&lt;=0),0,(O195/N195)*(IF(OR(N195="",N195&lt;=0),0,IF((YEAR(D195)+4)&lt;YEAR(E195),0,IF((YEAR(D195)+4)&gt;=YEAR(E195)+N195,0,IF((YEAR(D195)+4)=YEAR(E195),(12-MONTH(E195)+1)/12,1))))))))*TaxRate,0))-IF(4=0,O195,0))</f>
        <v/>
      </c>
      <c r="X195" s="29">
        <f>IF(A195="","",((K195)*(IF(M195="",L195,IFERROR(IF(INDEX(Variablen!$I:$AT, MATCH(M195, Variablen!$A:$A, 0), MATCH((YEAR(D195)+5), Variablen!$I$3:$AT$3, 0))="",L195,INDEX(Variablen!$I:$AT, MATCH(M195, Variablen!$A:$A, 0), MATCH((YEAR(D195)+5), Variablen!$I$3:$AT$3, 0))),L195)))*(IF((YEAR(D195)+5)&lt;YEAR(E195),0,IF((YEAR(D195)+5)&gt;YEAR(E195),1,(12-MONTH(E195)+1)/12))) + (Q195)*(IF((YEAR(D195)+5)&lt;YEAR(E195),0,IF((YEAR(D195)+5)&gt;YEAR(E195),1,(12-MONTH(E195)+1)/12))))-((P195)*(IF((YEAR(D195)+5)&lt;YEAR(E195),0,IF((YEAR(D195)+5)&gt;YEAR(E195),1,(12-MONTH(E195)+1)/12))) + (R195)*(IF((YEAR(D195)+5)&lt;YEAR(E195),0,IF((YEAR(D195)+5)&gt;YEAR(E195),1,(12-MONTH(E195)+1)/12))))-(IF((((K195)*(IF(M195="",L195,IFERROR(IF(INDEX(Variablen!$I:$AT, MATCH(M195, Variablen!$A:$A, 0), MATCH((YEAR(D195)+5), Variablen!$I$3:$AT$3, 0))="",L195,INDEX(Variablen!$I:$AT, MATCH(M195, Variablen!$A:$A, 0), MATCH((YEAR(D195)+5), Variablen!$I$3:$AT$3, 0))),L195)))*(IF((YEAR(D195)+5)&lt;YEAR(E195),0,IF((YEAR(D195)+5)&gt;YEAR(E195),1,(12-MONTH(E195)+1)/12))) + (Q195)*(IF((YEAR(D195)+5)&lt;YEAR(E195),0,IF((YEAR(D195)+5)&gt;YEAR(E195),1,(12-MONTH(E195)+1)/12))))-((P195)*(IF((YEAR(D195)+5)&lt;YEAR(E195),0,IF((YEAR(D195)+5)&gt;YEAR(E195),1,(12-MONTH(E195)+1)/12))) + (R195)*(IF((YEAR(D195)+5)&lt;YEAR(E195),0,IF((YEAR(D195)+5)&gt;YEAR(E195),1,(12-MONTH(E195)+1)/12))))-(IF(OR(N195="",N195&lt;=0),0,(O195/N195)*(IF(OR(N195="",N195&lt;=0),0,IF((YEAR(D195)+5)&lt;YEAR(E195),0,IF((YEAR(D195)+5)&gt;=YEAR(E195)+N195,0,IF((YEAR(D195)+5)=YEAR(E195),(12-MONTH(E195)+1)/12,1))))))))&gt;0,(((K195)*(IF(M195="",L195,IFERROR(IF(INDEX(Variablen!$I:$AT, MATCH(M195, Variablen!$A:$A, 0), MATCH((YEAR(D195)+5), Variablen!$I$3:$AT$3, 0))="",L195,INDEX(Variablen!$I:$AT, MATCH(M195, Variablen!$A:$A, 0), MATCH((YEAR(D195)+5), Variablen!$I$3:$AT$3, 0))),L195)))*(IF((YEAR(D195)+5)&lt;YEAR(E195),0,IF((YEAR(D195)+5)&gt;YEAR(E195),1,(12-MONTH(E195)+1)/12))) + (Q195)*(IF((YEAR(D195)+5)&lt;YEAR(E195),0,IF((YEAR(D195)+5)&gt;YEAR(E195),1,(12-MONTH(E195)+1)/12))))-((P195)*(IF((YEAR(D195)+5)&lt;YEAR(E195),0,IF((YEAR(D195)+5)&gt;YEAR(E195),1,(12-MONTH(E195)+1)/12))) + (R195)*(IF((YEAR(D195)+5)&lt;YEAR(E195),0,IF((YEAR(D195)+5)&gt;YEAR(E195),1,(12-MONTH(E195)+1)/12))))-(IF(OR(N195="",N195&lt;=0),0,(O195/N195)*(IF(OR(N195="",N195&lt;=0),0,IF((YEAR(D195)+5)&lt;YEAR(E195),0,IF((YEAR(D195)+5)&gt;=YEAR(E195)+N195,0,IF((YEAR(D195)+5)=YEAR(E195),(12-MONTH(E195)+1)/12,1))))))))*TaxRate,0))-IF(5=0,O195,0))</f>
        <v/>
      </c>
      <c r="Y195" s="29">
        <f>IF(A195="","",((K195)*(IF(M195="",L195,IFERROR(IF(INDEX(Variablen!$I:$AT, MATCH(M195, Variablen!$A:$A, 0), MATCH((YEAR(D195)+6), Variablen!$I$3:$AT$3, 0))="",L195,INDEX(Variablen!$I:$AT, MATCH(M195, Variablen!$A:$A, 0), MATCH((YEAR(D195)+6), Variablen!$I$3:$AT$3, 0))),L195)))*(IF((YEAR(D195)+6)&lt;YEAR(E195),0,IF((YEAR(D195)+6)&gt;YEAR(E195),1,(12-MONTH(E195)+1)/12))) + (Q195)*(IF((YEAR(D195)+6)&lt;YEAR(E195),0,IF((YEAR(D195)+6)&gt;YEAR(E195),1,(12-MONTH(E195)+1)/12))))-((P195)*(IF((YEAR(D195)+6)&lt;YEAR(E195),0,IF((YEAR(D195)+6)&gt;YEAR(E195),1,(12-MONTH(E195)+1)/12))) + (R195)*(IF((YEAR(D195)+6)&lt;YEAR(E195),0,IF((YEAR(D195)+6)&gt;YEAR(E195),1,(12-MONTH(E195)+1)/12))))-(IF((((K195)*(IF(M195="",L195,IFERROR(IF(INDEX(Variablen!$I:$AT, MATCH(M195, Variablen!$A:$A, 0), MATCH((YEAR(D195)+6), Variablen!$I$3:$AT$3, 0))="",L195,INDEX(Variablen!$I:$AT, MATCH(M195, Variablen!$A:$A, 0), MATCH((YEAR(D195)+6), Variablen!$I$3:$AT$3, 0))),L195)))*(IF((YEAR(D195)+6)&lt;YEAR(E195),0,IF((YEAR(D195)+6)&gt;YEAR(E195),1,(12-MONTH(E195)+1)/12))) + (Q195)*(IF((YEAR(D195)+6)&lt;YEAR(E195),0,IF((YEAR(D195)+6)&gt;YEAR(E195),1,(12-MONTH(E195)+1)/12))))-((P195)*(IF((YEAR(D195)+6)&lt;YEAR(E195),0,IF((YEAR(D195)+6)&gt;YEAR(E195),1,(12-MONTH(E195)+1)/12))) + (R195)*(IF((YEAR(D195)+6)&lt;YEAR(E195),0,IF((YEAR(D195)+6)&gt;YEAR(E195),1,(12-MONTH(E195)+1)/12))))-(IF(OR(N195="",N195&lt;=0),0,(O195/N195)*(IF(OR(N195="",N195&lt;=0),0,IF((YEAR(D195)+6)&lt;YEAR(E195),0,IF((YEAR(D195)+6)&gt;=YEAR(E195)+N195,0,IF((YEAR(D195)+6)=YEAR(E195),(12-MONTH(E195)+1)/12,1))))))))&gt;0,(((K195)*(IF(M195="",L195,IFERROR(IF(INDEX(Variablen!$I:$AT, MATCH(M195, Variablen!$A:$A, 0), MATCH((YEAR(D195)+6), Variablen!$I$3:$AT$3, 0))="",L195,INDEX(Variablen!$I:$AT, MATCH(M195, Variablen!$A:$A, 0), MATCH((YEAR(D195)+6), Variablen!$I$3:$AT$3, 0))),L195)))*(IF((YEAR(D195)+6)&lt;YEAR(E195),0,IF((YEAR(D195)+6)&gt;YEAR(E195),1,(12-MONTH(E195)+1)/12))) + (Q195)*(IF((YEAR(D195)+6)&lt;YEAR(E195),0,IF((YEAR(D195)+6)&gt;YEAR(E195),1,(12-MONTH(E195)+1)/12))))-((P195)*(IF((YEAR(D195)+6)&lt;YEAR(E195),0,IF((YEAR(D195)+6)&gt;YEAR(E195),1,(12-MONTH(E195)+1)/12))) + (R195)*(IF((YEAR(D195)+6)&lt;YEAR(E195),0,IF((YEAR(D195)+6)&gt;YEAR(E195),1,(12-MONTH(E195)+1)/12))))-(IF(OR(N195="",N195&lt;=0),0,(O195/N195)*(IF(OR(N195="",N195&lt;=0),0,IF((YEAR(D195)+6)&lt;YEAR(E195),0,IF((YEAR(D195)+6)&gt;=YEAR(E195)+N195,0,IF((YEAR(D195)+6)=YEAR(E195),(12-MONTH(E195)+1)/12,1))))))))*TaxRate,0))-IF(6=0,O195,0))</f>
        <v/>
      </c>
      <c r="Z195" s="29">
        <f>IF(A195="","",((K195)*(IF(M195="",L195,IFERROR(IF(INDEX(Variablen!$I:$AT, MATCH(M195, Variablen!$A:$A, 0), MATCH((YEAR(D195)+7), Variablen!$I$3:$AT$3, 0))="",L195,INDEX(Variablen!$I:$AT, MATCH(M195, Variablen!$A:$A, 0), MATCH((YEAR(D195)+7), Variablen!$I$3:$AT$3, 0))),L195)))*(IF((YEAR(D195)+7)&lt;YEAR(E195),0,IF((YEAR(D195)+7)&gt;YEAR(E195),1,(12-MONTH(E195)+1)/12))) + (Q195)*(IF((YEAR(D195)+7)&lt;YEAR(E195),0,IF((YEAR(D195)+7)&gt;YEAR(E195),1,(12-MONTH(E195)+1)/12))))-((P195)*(IF((YEAR(D195)+7)&lt;YEAR(E195),0,IF((YEAR(D195)+7)&gt;YEAR(E195),1,(12-MONTH(E195)+1)/12))) + (R195)*(IF((YEAR(D195)+7)&lt;YEAR(E195),0,IF((YEAR(D195)+7)&gt;YEAR(E195),1,(12-MONTH(E195)+1)/12))))-(IF((((K195)*(IF(M195="",L195,IFERROR(IF(INDEX(Variablen!$I:$AT, MATCH(M195, Variablen!$A:$A, 0), MATCH((YEAR(D195)+7), Variablen!$I$3:$AT$3, 0))="",L195,INDEX(Variablen!$I:$AT, MATCH(M195, Variablen!$A:$A, 0), MATCH((YEAR(D195)+7), Variablen!$I$3:$AT$3, 0))),L195)))*(IF((YEAR(D195)+7)&lt;YEAR(E195),0,IF((YEAR(D195)+7)&gt;YEAR(E195),1,(12-MONTH(E195)+1)/12))) + (Q195)*(IF((YEAR(D195)+7)&lt;YEAR(E195),0,IF((YEAR(D195)+7)&gt;YEAR(E195),1,(12-MONTH(E195)+1)/12))))-((P195)*(IF((YEAR(D195)+7)&lt;YEAR(E195),0,IF((YEAR(D195)+7)&gt;YEAR(E195),1,(12-MONTH(E195)+1)/12))) + (R195)*(IF((YEAR(D195)+7)&lt;YEAR(E195),0,IF((YEAR(D195)+7)&gt;YEAR(E195),1,(12-MONTH(E195)+1)/12))))-(IF(OR(N195="",N195&lt;=0),0,(O195/N195)*(IF(OR(N195="",N195&lt;=0),0,IF((YEAR(D195)+7)&lt;YEAR(E195),0,IF((YEAR(D195)+7)&gt;=YEAR(E195)+N195,0,IF((YEAR(D195)+7)=YEAR(E195),(12-MONTH(E195)+1)/12,1))))))))&gt;0,(((K195)*(IF(M195="",L195,IFERROR(IF(INDEX(Variablen!$I:$AT, MATCH(M195, Variablen!$A:$A, 0), MATCH((YEAR(D195)+7), Variablen!$I$3:$AT$3, 0))="",L195,INDEX(Variablen!$I:$AT, MATCH(M195, Variablen!$A:$A, 0), MATCH((YEAR(D195)+7), Variablen!$I$3:$AT$3, 0))),L195)))*(IF((YEAR(D195)+7)&lt;YEAR(E195),0,IF((YEAR(D195)+7)&gt;YEAR(E195),1,(12-MONTH(E195)+1)/12))) + (Q195)*(IF((YEAR(D195)+7)&lt;YEAR(E195),0,IF((YEAR(D195)+7)&gt;YEAR(E195),1,(12-MONTH(E195)+1)/12))))-((P195)*(IF((YEAR(D195)+7)&lt;YEAR(E195),0,IF((YEAR(D195)+7)&gt;YEAR(E195),1,(12-MONTH(E195)+1)/12))) + (R195)*(IF((YEAR(D195)+7)&lt;YEAR(E195),0,IF((YEAR(D195)+7)&gt;YEAR(E195),1,(12-MONTH(E195)+1)/12))))-(IF(OR(N195="",N195&lt;=0),0,(O195/N195)*(IF(OR(N195="",N195&lt;=0),0,IF((YEAR(D195)+7)&lt;YEAR(E195),0,IF((YEAR(D195)+7)&gt;=YEAR(E195)+N195,0,IF((YEAR(D195)+7)=YEAR(E195),(12-MONTH(E195)+1)/12,1))))))))*TaxRate,0))-IF(7=0,O195,0))</f>
        <v/>
      </c>
      <c r="AA195" s="29">
        <f>IF(A195="","",((K195)*(IF(M195="",L195,IFERROR(IF(INDEX(Variablen!$I:$AT, MATCH(M195, Variablen!$A:$A, 0), MATCH((YEAR(D195)+8), Variablen!$I$3:$AT$3, 0))="",L195,INDEX(Variablen!$I:$AT, MATCH(M195, Variablen!$A:$A, 0), MATCH((YEAR(D195)+8), Variablen!$I$3:$AT$3, 0))),L195)))*(IF((YEAR(D195)+8)&lt;YEAR(E195),0,IF((YEAR(D195)+8)&gt;YEAR(E195),1,(12-MONTH(E195)+1)/12))) + (Q195)*(IF((YEAR(D195)+8)&lt;YEAR(E195),0,IF((YEAR(D195)+8)&gt;YEAR(E195),1,(12-MONTH(E195)+1)/12))))-((P195)*(IF((YEAR(D195)+8)&lt;YEAR(E195),0,IF((YEAR(D195)+8)&gt;YEAR(E195),1,(12-MONTH(E195)+1)/12))) + (R195)*(IF((YEAR(D195)+8)&lt;YEAR(E195),0,IF((YEAR(D195)+8)&gt;YEAR(E195),1,(12-MONTH(E195)+1)/12))))-(IF((((K195)*(IF(M195="",L195,IFERROR(IF(INDEX(Variablen!$I:$AT, MATCH(M195, Variablen!$A:$A, 0), MATCH((YEAR(D195)+8), Variablen!$I$3:$AT$3, 0))="",L195,INDEX(Variablen!$I:$AT, MATCH(M195, Variablen!$A:$A, 0), MATCH((YEAR(D195)+8), Variablen!$I$3:$AT$3, 0))),L195)))*(IF((YEAR(D195)+8)&lt;YEAR(E195),0,IF((YEAR(D195)+8)&gt;YEAR(E195),1,(12-MONTH(E195)+1)/12))) + (Q195)*(IF((YEAR(D195)+8)&lt;YEAR(E195),0,IF((YEAR(D195)+8)&gt;YEAR(E195),1,(12-MONTH(E195)+1)/12))))-((P195)*(IF((YEAR(D195)+8)&lt;YEAR(E195),0,IF((YEAR(D195)+8)&gt;YEAR(E195),1,(12-MONTH(E195)+1)/12))) + (R195)*(IF((YEAR(D195)+8)&lt;YEAR(E195),0,IF((YEAR(D195)+8)&gt;YEAR(E195),1,(12-MONTH(E195)+1)/12))))-(IF(OR(N195="",N195&lt;=0),0,(O195/N195)*(IF(OR(N195="",N195&lt;=0),0,IF((YEAR(D195)+8)&lt;YEAR(E195),0,IF((YEAR(D195)+8)&gt;=YEAR(E195)+N195,0,IF((YEAR(D195)+8)=YEAR(E195),(12-MONTH(E195)+1)/12,1))))))))&gt;0,(((K195)*(IF(M195="",L195,IFERROR(IF(INDEX(Variablen!$I:$AT, MATCH(M195, Variablen!$A:$A, 0), MATCH((YEAR(D195)+8), Variablen!$I$3:$AT$3, 0))="",L195,INDEX(Variablen!$I:$AT, MATCH(M195, Variablen!$A:$A, 0), MATCH((YEAR(D195)+8), Variablen!$I$3:$AT$3, 0))),L195)))*(IF((YEAR(D195)+8)&lt;YEAR(E195),0,IF((YEAR(D195)+8)&gt;YEAR(E195),1,(12-MONTH(E195)+1)/12))) + (Q195)*(IF((YEAR(D195)+8)&lt;YEAR(E195),0,IF((YEAR(D195)+8)&gt;YEAR(E195),1,(12-MONTH(E195)+1)/12))))-((P195)*(IF((YEAR(D195)+8)&lt;YEAR(E195),0,IF((YEAR(D195)+8)&gt;YEAR(E195),1,(12-MONTH(E195)+1)/12))) + (R195)*(IF((YEAR(D195)+8)&lt;YEAR(E195),0,IF((YEAR(D195)+8)&gt;YEAR(E195),1,(12-MONTH(E195)+1)/12))))-(IF(OR(N195="",N195&lt;=0),0,(O195/N195)*(IF(OR(N195="",N195&lt;=0),0,IF((YEAR(D195)+8)&lt;YEAR(E195),0,IF((YEAR(D195)+8)&gt;=YEAR(E195)+N195,0,IF((YEAR(D195)+8)=YEAR(E195),(12-MONTH(E195)+1)/12,1))))))))*TaxRate,0))-IF(8=0,O195,0))</f>
        <v/>
      </c>
      <c r="AB195" s="29">
        <f>IF(A195="","",((K195)*(IF(M195="",L195,IFERROR(IF(INDEX(Variablen!$I:$AT, MATCH(M195, Variablen!$A:$A, 0), MATCH((YEAR(D195)+9), Variablen!$I$3:$AT$3, 0))="",L195,INDEX(Variablen!$I:$AT, MATCH(M195, Variablen!$A:$A, 0), MATCH((YEAR(D195)+9), Variablen!$I$3:$AT$3, 0))),L195)))*(IF((YEAR(D195)+9)&lt;YEAR(E195),0,IF((YEAR(D195)+9)&gt;YEAR(E195),1,(12-MONTH(E195)+1)/12))) + (Q195)*(IF((YEAR(D195)+9)&lt;YEAR(E195),0,IF((YEAR(D195)+9)&gt;YEAR(E195),1,(12-MONTH(E195)+1)/12))))-((P195)*(IF((YEAR(D195)+9)&lt;YEAR(E195),0,IF((YEAR(D195)+9)&gt;YEAR(E195),1,(12-MONTH(E195)+1)/12))) + (R195)*(IF((YEAR(D195)+9)&lt;YEAR(E195),0,IF((YEAR(D195)+9)&gt;YEAR(E195),1,(12-MONTH(E195)+1)/12))))-(IF((((K195)*(IF(M195="",L195,IFERROR(IF(INDEX(Variablen!$I:$AT, MATCH(M195, Variablen!$A:$A, 0), MATCH((YEAR(D195)+9), Variablen!$I$3:$AT$3, 0))="",L195,INDEX(Variablen!$I:$AT, MATCH(M195, Variablen!$A:$A, 0), MATCH((YEAR(D195)+9), Variablen!$I$3:$AT$3, 0))),L195)))*(IF((YEAR(D195)+9)&lt;YEAR(E195),0,IF((YEAR(D195)+9)&gt;YEAR(E195),1,(12-MONTH(E195)+1)/12))) + (Q195)*(IF((YEAR(D195)+9)&lt;YEAR(E195),0,IF((YEAR(D195)+9)&gt;YEAR(E195),1,(12-MONTH(E195)+1)/12))))-((P195)*(IF((YEAR(D195)+9)&lt;YEAR(E195),0,IF((YEAR(D195)+9)&gt;YEAR(E195),1,(12-MONTH(E195)+1)/12))) + (R195)*(IF((YEAR(D195)+9)&lt;YEAR(E195),0,IF((YEAR(D195)+9)&gt;YEAR(E195),1,(12-MONTH(E195)+1)/12))))-(IF(OR(N195="",N195&lt;=0),0,(O195/N195)*(IF(OR(N195="",N195&lt;=0),0,IF((YEAR(D195)+9)&lt;YEAR(E195),0,IF((YEAR(D195)+9)&gt;=YEAR(E195)+N195,0,IF((YEAR(D195)+9)=YEAR(E195),(12-MONTH(E195)+1)/12,1))))))))&gt;0,(((K195)*(IF(M195="",L195,IFERROR(IF(INDEX(Variablen!$I:$AT, MATCH(M195, Variablen!$A:$A, 0), MATCH((YEAR(D195)+9), Variablen!$I$3:$AT$3, 0))="",L195,INDEX(Variablen!$I:$AT, MATCH(M195, Variablen!$A:$A, 0), MATCH((YEAR(D195)+9), Variablen!$I$3:$AT$3, 0))),L195)))*(IF((YEAR(D195)+9)&lt;YEAR(E195),0,IF((YEAR(D195)+9)&gt;YEAR(E195),1,(12-MONTH(E195)+1)/12))) + (Q195)*(IF((YEAR(D195)+9)&lt;YEAR(E195),0,IF((YEAR(D195)+9)&gt;YEAR(E195),1,(12-MONTH(E195)+1)/12))))-((P195)*(IF((YEAR(D195)+9)&lt;YEAR(E195),0,IF((YEAR(D195)+9)&gt;YEAR(E195),1,(12-MONTH(E195)+1)/12))) + (R195)*(IF((YEAR(D195)+9)&lt;YEAR(E195),0,IF((YEAR(D195)+9)&gt;YEAR(E195),1,(12-MONTH(E195)+1)/12))))-(IF(OR(N195="",N195&lt;=0),0,(O195/N195)*(IF(OR(N195="",N195&lt;=0),0,IF((YEAR(D195)+9)&lt;YEAR(E195),0,IF((YEAR(D195)+9)&gt;=YEAR(E195)+N195,0,IF((YEAR(D195)+9)=YEAR(E195),(12-MONTH(E195)+1)/12,1))))))))*TaxRate,0))-IF(9=0,O195,0))</f>
        <v/>
      </c>
      <c r="AC195" s="29">
        <f>IF(A195="","",((K195)*(IF(M195="",L195,IFERROR(IF(INDEX(Variablen!$I:$AT, MATCH(M195, Variablen!$A:$A, 0), MATCH((YEAR(D195)+10), Variablen!$I$3:$AT$3, 0))="",L195,INDEX(Variablen!$I:$AT, MATCH(M195, Variablen!$A:$A, 0), MATCH((YEAR(D195)+10), Variablen!$I$3:$AT$3, 0))),L195)))*(IF((YEAR(D195)+10)&lt;YEAR(E195),0,IF((YEAR(D195)+10)&gt;YEAR(E195),1,(12-MONTH(E195)+1)/12))) + (Q195)*(IF((YEAR(D195)+10)&lt;YEAR(E195),0,IF((YEAR(D195)+10)&gt;YEAR(E195),1,(12-MONTH(E195)+1)/12))))-((P195)*(IF((YEAR(D195)+10)&lt;YEAR(E195),0,IF((YEAR(D195)+10)&gt;YEAR(E195),1,(12-MONTH(E195)+1)/12))) + (R195)*(IF((YEAR(D195)+10)&lt;YEAR(E195),0,IF((YEAR(D195)+10)&gt;YEAR(E195),1,(12-MONTH(E195)+1)/12))))-(IF((((K195)*(IF(M195="",L195,IFERROR(IF(INDEX(Variablen!$I:$AT, MATCH(M195, Variablen!$A:$A, 0), MATCH((YEAR(D195)+10), Variablen!$I$3:$AT$3, 0))="",L195,INDEX(Variablen!$I:$AT, MATCH(M195, Variablen!$A:$A, 0), MATCH((YEAR(D195)+10), Variablen!$I$3:$AT$3, 0))),L195)))*(IF((YEAR(D195)+10)&lt;YEAR(E195),0,IF((YEAR(D195)+10)&gt;YEAR(E195),1,(12-MONTH(E195)+1)/12))) + (Q195)*(IF((YEAR(D195)+10)&lt;YEAR(E195),0,IF((YEAR(D195)+10)&gt;YEAR(E195),1,(12-MONTH(E195)+1)/12))))-((P195)*(IF((YEAR(D195)+10)&lt;YEAR(E195),0,IF((YEAR(D195)+10)&gt;YEAR(E195),1,(12-MONTH(E195)+1)/12))) + (R195)*(IF((YEAR(D195)+10)&lt;YEAR(E195),0,IF((YEAR(D195)+10)&gt;YEAR(E195),1,(12-MONTH(E195)+1)/12))))-(IF(OR(N195="",N195&lt;=0),0,(O195/N195)*(IF(OR(N195="",N195&lt;=0),0,IF((YEAR(D195)+10)&lt;YEAR(E195),0,IF((YEAR(D195)+10)&gt;=YEAR(E195)+N195,0,IF((YEAR(D195)+10)=YEAR(E195),(12-MONTH(E195)+1)/12,1))))))))&gt;0,(((K195)*(IF(M195="",L195,IFERROR(IF(INDEX(Variablen!$I:$AT, MATCH(M195, Variablen!$A:$A, 0), MATCH((YEAR(D195)+10), Variablen!$I$3:$AT$3, 0))="",L195,INDEX(Variablen!$I:$AT, MATCH(M195, Variablen!$A:$A, 0), MATCH((YEAR(D195)+10), Variablen!$I$3:$AT$3, 0))),L195)))*(IF((YEAR(D195)+10)&lt;YEAR(E195),0,IF((YEAR(D195)+10)&gt;YEAR(E195),1,(12-MONTH(E195)+1)/12))) + (Q195)*(IF((YEAR(D195)+10)&lt;YEAR(E195),0,IF((YEAR(D195)+10)&gt;YEAR(E195),1,(12-MONTH(E195)+1)/12))))-((P195)*(IF((YEAR(D195)+10)&lt;YEAR(E195),0,IF((YEAR(D195)+10)&gt;YEAR(E195),1,(12-MONTH(E195)+1)/12))) + (R195)*(IF((YEAR(D195)+10)&lt;YEAR(E195),0,IF((YEAR(D195)+10)&gt;YEAR(E195),1,(12-MONTH(E195)+1)/12))))-(IF(OR(N195="",N195&lt;=0),0,(O195/N195)*(IF(OR(N195="",N195&lt;=0),0,IF((YEAR(D195)+10)&lt;YEAR(E195),0,IF((YEAR(D195)+10)&gt;=YEAR(E195)+N195,0,IF((YEAR(D195)+10)=YEAR(E195),(12-MONTH(E195)+1)/12,1))))))))*TaxRate,0))-IF(10=0,O195,0))</f>
        <v/>
      </c>
      <c r="AD195" s="29">
        <f>IF(A195="","",((K195)*(IF(M195="",L195,IFERROR(IF(INDEX(Variablen!$I:$AT, MATCH(M195, Variablen!$A:$A, 0), MATCH((YEAR(D195)+11), Variablen!$I$3:$AT$3, 0))="",L195,INDEX(Variablen!$I:$AT, MATCH(M195, Variablen!$A:$A, 0), MATCH((YEAR(D195)+11), Variablen!$I$3:$AT$3, 0))),L195)))*(IF((YEAR(D195)+11)&lt;YEAR(E195),0,IF((YEAR(D195)+11)&gt;YEAR(E195),1,(12-MONTH(E195)+1)/12))) + (Q195)*(IF((YEAR(D195)+11)&lt;YEAR(E195),0,IF((YEAR(D195)+11)&gt;YEAR(E195),1,(12-MONTH(E195)+1)/12))))-((P195)*(IF((YEAR(D195)+11)&lt;YEAR(E195),0,IF((YEAR(D195)+11)&gt;YEAR(E195),1,(12-MONTH(E195)+1)/12))) + (R195)*(IF((YEAR(D195)+11)&lt;YEAR(E195),0,IF((YEAR(D195)+11)&gt;YEAR(E195),1,(12-MONTH(E195)+1)/12))))-(IF((((K195)*(IF(M195="",L195,IFERROR(IF(INDEX(Variablen!$I:$AT, MATCH(M195, Variablen!$A:$A, 0), MATCH((YEAR(D195)+11), Variablen!$I$3:$AT$3, 0))="",L195,INDEX(Variablen!$I:$AT, MATCH(M195, Variablen!$A:$A, 0), MATCH((YEAR(D195)+11), Variablen!$I$3:$AT$3, 0))),L195)))*(IF((YEAR(D195)+11)&lt;YEAR(E195),0,IF((YEAR(D195)+11)&gt;YEAR(E195),1,(12-MONTH(E195)+1)/12))) + (Q195)*(IF((YEAR(D195)+11)&lt;YEAR(E195),0,IF((YEAR(D195)+11)&gt;YEAR(E195),1,(12-MONTH(E195)+1)/12))))-((P195)*(IF((YEAR(D195)+11)&lt;YEAR(E195),0,IF((YEAR(D195)+11)&gt;YEAR(E195),1,(12-MONTH(E195)+1)/12))) + (R195)*(IF((YEAR(D195)+11)&lt;YEAR(E195),0,IF((YEAR(D195)+11)&gt;YEAR(E195),1,(12-MONTH(E195)+1)/12))))-(IF(OR(N195="",N195&lt;=0),0,(O195/N195)*(IF(OR(N195="",N195&lt;=0),0,IF((YEAR(D195)+11)&lt;YEAR(E195),0,IF((YEAR(D195)+11)&gt;=YEAR(E195)+N195,0,IF((YEAR(D195)+11)=YEAR(E195),(12-MONTH(E195)+1)/12,1))))))))&gt;0,(((K195)*(IF(M195="",L195,IFERROR(IF(INDEX(Variablen!$I:$AT, MATCH(M195, Variablen!$A:$A, 0), MATCH((YEAR(D195)+11), Variablen!$I$3:$AT$3, 0))="",L195,INDEX(Variablen!$I:$AT, MATCH(M195, Variablen!$A:$A, 0), MATCH((YEAR(D195)+11), Variablen!$I$3:$AT$3, 0))),L195)))*(IF((YEAR(D195)+11)&lt;YEAR(E195),0,IF((YEAR(D195)+11)&gt;YEAR(E195),1,(12-MONTH(E195)+1)/12))) + (Q195)*(IF((YEAR(D195)+11)&lt;YEAR(E195),0,IF((YEAR(D195)+11)&gt;YEAR(E195),1,(12-MONTH(E195)+1)/12))))-((P195)*(IF((YEAR(D195)+11)&lt;YEAR(E195),0,IF((YEAR(D195)+11)&gt;YEAR(E195),1,(12-MONTH(E195)+1)/12))) + (R195)*(IF((YEAR(D195)+11)&lt;YEAR(E195),0,IF((YEAR(D195)+11)&gt;YEAR(E195),1,(12-MONTH(E195)+1)/12))))-(IF(OR(N195="",N195&lt;=0),0,(O195/N195)*(IF(OR(N195="",N195&lt;=0),0,IF((YEAR(D195)+11)&lt;YEAR(E195),0,IF((YEAR(D195)+11)&gt;=YEAR(E195)+N195,0,IF((YEAR(D195)+11)=YEAR(E195),(12-MONTH(E195)+1)/12,1))))))))*TaxRate,0))-IF(11=0,O195,0))</f>
        <v/>
      </c>
      <c r="AE195" s="29">
        <f>IF(A195="","",((K195)*(IF(M195="",L195,IFERROR(IF(INDEX(Variablen!$I:$AT, MATCH(M195, Variablen!$A:$A, 0), MATCH((YEAR(D195)+12), Variablen!$I$3:$AT$3, 0))="",L195,INDEX(Variablen!$I:$AT, MATCH(M195, Variablen!$A:$A, 0), MATCH((YEAR(D195)+12), Variablen!$I$3:$AT$3, 0))),L195)))*(IF((YEAR(D195)+12)&lt;YEAR(E195),0,IF((YEAR(D195)+12)&gt;YEAR(E195),1,(12-MONTH(E195)+1)/12))) + (Q195)*(IF((YEAR(D195)+12)&lt;YEAR(E195),0,IF((YEAR(D195)+12)&gt;YEAR(E195),1,(12-MONTH(E195)+1)/12))))-((P195)*(IF((YEAR(D195)+12)&lt;YEAR(E195),0,IF((YEAR(D195)+12)&gt;YEAR(E195),1,(12-MONTH(E195)+1)/12))) + (R195)*(IF((YEAR(D195)+12)&lt;YEAR(E195),0,IF((YEAR(D195)+12)&gt;YEAR(E195),1,(12-MONTH(E195)+1)/12))))-(IF((((K195)*(IF(M195="",L195,IFERROR(IF(INDEX(Variablen!$I:$AT, MATCH(M195, Variablen!$A:$A, 0), MATCH((YEAR(D195)+12), Variablen!$I$3:$AT$3, 0))="",L195,INDEX(Variablen!$I:$AT, MATCH(M195, Variablen!$A:$A, 0), MATCH((YEAR(D195)+12), Variablen!$I$3:$AT$3, 0))),L195)))*(IF((YEAR(D195)+12)&lt;YEAR(E195),0,IF((YEAR(D195)+12)&gt;YEAR(E195),1,(12-MONTH(E195)+1)/12))) + (Q195)*(IF((YEAR(D195)+12)&lt;YEAR(E195),0,IF((YEAR(D195)+12)&gt;YEAR(E195),1,(12-MONTH(E195)+1)/12))))-((P195)*(IF((YEAR(D195)+12)&lt;YEAR(E195),0,IF((YEAR(D195)+12)&gt;YEAR(E195),1,(12-MONTH(E195)+1)/12))) + (R195)*(IF((YEAR(D195)+12)&lt;YEAR(E195),0,IF((YEAR(D195)+12)&gt;YEAR(E195),1,(12-MONTH(E195)+1)/12))))-(IF(OR(N195="",N195&lt;=0),0,(O195/N195)*(IF(OR(N195="",N195&lt;=0),0,IF((YEAR(D195)+12)&lt;YEAR(E195),0,IF((YEAR(D195)+12)&gt;=YEAR(E195)+N195,0,IF((YEAR(D195)+12)=YEAR(E195),(12-MONTH(E195)+1)/12,1))))))))&gt;0,(((K195)*(IF(M195="",L195,IFERROR(IF(INDEX(Variablen!$I:$AT, MATCH(M195, Variablen!$A:$A, 0), MATCH((YEAR(D195)+12), Variablen!$I$3:$AT$3, 0))="",L195,INDEX(Variablen!$I:$AT, MATCH(M195, Variablen!$A:$A, 0), MATCH((YEAR(D195)+12), Variablen!$I$3:$AT$3, 0))),L195)))*(IF((YEAR(D195)+12)&lt;YEAR(E195),0,IF((YEAR(D195)+12)&gt;YEAR(E195),1,(12-MONTH(E195)+1)/12))) + (Q195)*(IF((YEAR(D195)+12)&lt;YEAR(E195),0,IF((YEAR(D195)+12)&gt;YEAR(E195),1,(12-MONTH(E195)+1)/12))))-((P195)*(IF((YEAR(D195)+12)&lt;YEAR(E195),0,IF((YEAR(D195)+12)&gt;YEAR(E195),1,(12-MONTH(E195)+1)/12))) + (R195)*(IF((YEAR(D195)+12)&lt;YEAR(E195),0,IF((YEAR(D195)+12)&gt;YEAR(E195),1,(12-MONTH(E195)+1)/12))))-(IF(OR(N195="",N195&lt;=0),0,(O195/N195)*(IF(OR(N195="",N195&lt;=0),0,IF((YEAR(D195)+12)&lt;YEAR(E195),0,IF((YEAR(D195)+12)&gt;=YEAR(E195)+N195,0,IF((YEAR(D195)+12)=YEAR(E195),(12-MONTH(E195)+1)/12,1))))))))*TaxRate,0))-IF(12=0,O195,0))</f>
        <v/>
      </c>
      <c r="AF195" s="29">
        <f>IF(A195="","",((K195)*(IF(M195="",L195,IFERROR(IF(INDEX(Variablen!$I:$AT, MATCH(M195, Variablen!$A:$A, 0), MATCH((YEAR(D195)+13), Variablen!$I$3:$AT$3, 0))="",L195,INDEX(Variablen!$I:$AT, MATCH(M195, Variablen!$A:$A, 0), MATCH((YEAR(D195)+13), Variablen!$I$3:$AT$3, 0))),L195)))*(IF((YEAR(D195)+13)&lt;YEAR(E195),0,IF((YEAR(D195)+13)&gt;YEAR(E195),1,(12-MONTH(E195)+1)/12))) + (Q195)*(IF((YEAR(D195)+13)&lt;YEAR(E195),0,IF((YEAR(D195)+13)&gt;YEAR(E195),1,(12-MONTH(E195)+1)/12))))-((P195)*(IF((YEAR(D195)+13)&lt;YEAR(E195),0,IF((YEAR(D195)+13)&gt;YEAR(E195),1,(12-MONTH(E195)+1)/12))) + (R195)*(IF((YEAR(D195)+13)&lt;YEAR(E195),0,IF((YEAR(D195)+13)&gt;YEAR(E195),1,(12-MONTH(E195)+1)/12))))-(IF((((K195)*(IF(M195="",L195,IFERROR(IF(INDEX(Variablen!$I:$AT, MATCH(M195, Variablen!$A:$A, 0), MATCH((YEAR(D195)+13), Variablen!$I$3:$AT$3, 0))="",L195,INDEX(Variablen!$I:$AT, MATCH(M195, Variablen!$A:$A, 0), MATCH((YEAR(D195)+13), Variablen!$I$3:$AT$3, 0))),L195)))*(IF((YEAR(D195)+13)&lt;YEAR(E195),0,IF((YEAR(D195)+13)&gt;YEAR(E195),1,(12-MONTH(E195)+1)/12))) + (Q195)*(IF((YEAR(D195)+13)&lt;YEAR(E195),0,IF((YEAR(D195)+13)&gt;YEAR(E195),1,(12-MONTH(E195)+1)/12))))-((P195)*(IF((YEAR(D195)+13)&lt;YEAR(E195),0,IF((YEAR(D195)+13)&gt;YEAR(E195),1,(12-MONTH(E195)+1)/12))) + (R195)*(IF((YEAR(D195)+13)&lt;YEAR(E195),0,IF((YEAR(D195)+13)&gt;YEAR(E195),1,(12-MONTH(E195)+1)/12))))-(IF(OR(N195="",N195&lt;=0),0,(O195/N195)*(IF(OR(N195="",N195&lt;=0),0,IF((YEAR(D195)+13)&lt;YEAR(E195),0,IF((YEAR(D195)+13)&gt;=YEAR(E195)+N195,0,IF((YEAR(D195)+13)=YEAR(E195),(12-MONTH(E195)+1)/12,1))))))))&gt;0,(((K195)*(IF(M195="",L195,IFERROR(IF(INDEX(Variablen!$I:$AT, MATCH(M195, Variablen!$A:$A, 0), MATCH((YEAR(D195)+13), Variablen!$I$3:$AT$3, 0))="",L195,INDEX(Variablen!$I:$AT, MATCH(M195, Variablen!$A:$A, 0), MATCH((YEAR(D195)+13), Variablen!$I$3:$AT$3, 0))),L195)))*(IF((YEAR(D195)+13)&lt;YEAR(E195),0,IF((YEAR(D195)+13)&gt;YEAR(E195),1,(12-MONTH(E195)+1)/12))) + (Q195)*(IF((YEAR(D195)+13)&lt;YEAR(E195),0,IF((YEAR(D195)+13)&gt;YEAR(E195),1,(12-MONTH(E195)+1)/12))))-((P195)*(IF((YEAR(D195)+13)&lt;YEAR(E195),0,IF((YEAR(D195)+13)&gt;YEAR(E195),1,(12-MONTH(E195)+1)/12))) + (R195)*(IF((YEAR(D195)+13)&lt;YEAR(E195),0,IF((YEAR(D195)+13)&gt;YEAR(E195),1,(12-MONTH(E195)+1)/12))))-(IF(OR(N195="",N195&lt;=0),0,(O195/N195)*(IF(OR(N195="",N195&lt;=0),0,IF((YEAR(D195)+13)&lt;YEAR(E195),0,IF((YEAR(D195)+13)&gt;=YEAR(E195)+N195,0,IF((YEAR(D195)+13)=YEAR(E195),(12-MONTH(E195)+1)/12,1))))))))*TaxRate,0))-IF(13=0,O195,0))</f>
        <v/>
      </c>
      <c r="AG195" s="29">
        <f>IF(A195="","",((K195)*(IF(M195="",L195,IFERROR(IF(INDEX(Variablen!$I:$AT, MATCH(M195, Variablen!$A:$A, 0), MATCH((YEAR(D195)+14), Variablen!$I$3:$AT$3, 0))="",L195,INDEX(Variablen!$I:$AT, MATCH(M195, Variablen!$A:$A, 0), MATCH((YEAR(D195)+14), Variablen!$I$3:$AT$3, 0))),L195)))*(IF((YEAR(D195)+14)&lt;YEAR(E195),0,IF((YEAR(D195)+14)&gt;YEAR(E195),1,(12-MONTH(E195)+1)/12))) + (Q195)*(IF((YEAR(D195)+14)&lt;YEAR(E195),0,IF((YEAR(D195)+14)&gt;YEAR(E195),1,(12-MONTH(E195)+1)/12))))-((P195)*(IF((YEAR(D195)+14)&lt;YEAR(E195),0,IF((YEAR(D195)+14)&gt;YEAR(E195),1,(12-MONTH(E195)+1)/12))) + (R195)*(IF((YEAR(D195)+14)&lt;YEAR(E195),0,IF((YEAR(D195)+14)&gt;YEAR(E195),1,(12-MONTH(E195)+1)/12))))-(IF((((K195)*(IF(M195="",L195,IFERROR(IF(INDEX(Variablen!$I:$AT, MATCH(M195, Variablen!$A:$A, 0), MATCH((YEAR(D195)+14), Variablen!$I$3:$AT$3, 0))="",L195,INDEX(Variablen!$I:$AT, MATCH(M195, Variablen!$A:$A, 0), MATCH((YEAR(D195)+14), Variablen!$I$3:$AT$3, 0))),L195)))*(IF((YEAR(D195)+14)&lt;YEAR(E195),0,IF((YEAR(D195)+14)&gt;YEAR(E195),1,(12-MONTH(E195)+1)/12))) + (Q195)*(IF((YEAR(D195)+14)&lt;YEAR(E195),0,IF((YEAR(D195)+14)&gt;YEAR(E195),1,(12-MONTH(E195)+1)/12))))-((P195)*(IF((YEAR(D195)+14)&lt;YEAR(E195),0,IF((YEAR(D195)+14)&gt;YEAR(E195),1,(12-MONTH(E195)+1)/12))) + (R195)*(IF((YEAR(D195)+14)&lt;YEAR(E195),0,IF((YEAR(D195)+14)&gt;YEAR(E195),1,(12-MONTH(E195)+1)/12))))-(IF(OR(N195="",N195&lt;=0),0,(O195/N195)*(IF(OR(N195="",N195&lt;=0),0,IF((YEAR(D195)+14)&lt;YEAR(E195),0,IF((YEAR(D195)+14)&gt;=YEAR(E195)+N195,0,IF((YEAR(D195)+14)=YEAR(E195),(12-MONTH(E195)+1)/12,1))))))))&gt;0,(((K195)*(IF(M195="",L195,IFERROR(IF(INDEX(Variablen!$I:$AT, MATCH(M195, Variablen!$A:$A, 0), MATCH((YEAR(D195)+14), Variablen!$I$3:$AT$3, 0))="",L195,INDEX(Variablen!$I:$AT, MATCH(M195, Variablen!$A:$A, 0), MATCH((YEAR(D195)+14), Variablen!$I$3:$AT$3, 0))),L195)))*(IF((YEAR(D195)+14)&lt;YEAR(E195),0,IF((YEAR(D195)+14)&gt;YEAR(E195),1,(12-MONTH(E195)+1)/12))) + (Q195)*(IF((YEAR(D195)+14)&lt;YEAR(E195),0,IF((YEAR(D195)+14)&gt;YEAR(E195),1,(12-MONTH(E195)+1)/12))))-((P195)*(IF((YEAR(D195)+14)&lt;YEAR(E195),0,IF((YEAR(D195)+14)&gt;YEAR(E195),1,(12-MONTH(E195)+1)/12))) + (R195)*(IF((YEAR(D195)+14)&lt;YEAR(E195),0,IF((YEAR(D195)+14)&gt;YEAR(E195),1,(12-MONTH(E195)+1)/12))))-(IF(OR(N195="",N195&lt;=0),0,(O195/N195)*(IF(OR(N195="",N195&lt;=0),0,IF((YEAR(D195)+14)&lt;YEAR(E195),0,IF((YEAR(D195)+14)&gt;=YEAR(E195)+N195,0,IF((YEAR(D195)+14)=YEAR(E195),(12-MONTH(E195)+1)/12,1))))))))*TaxRate,0))-IF(14=0,O195,0))</f>
        <v/>
      </c>
      <c r="AH195" s="29">
        <f>IF(A195="","",((K195)*(IF(M195="",L195,IFERROR(IF(INDEX(Variablen!$I:$AT, MATCH(M195, Variablen!$A:$A, 0), MATCH((YEAR(D195)+15), Variablen!$I$3:$AT$3, 0))="",L195,INDEX(Variablen!$I:$AT, MATCH(M195, Variablen!$A:$A, 0), MATCH((YEAR(D195)+15), Variablen!$I$3:$AT$3, 0))),L195)))*(IF((YEAR(D195)+15)&lt;YEAR(E195),0,IF((YEAR(D195)+15)&gt;YEAR(E195),1,(12-MONTH(E195)+1)/12))) + (Q195)*(IF((YEAR(D195)+15)&lt;YEAR(E195),0,IF((YEAR(D195)+15)&gt;YEAR(E195),1,(12-MONTH(E195)+1)/12))))-((P195)*(IF((YEAR(D195)+15)&lt;YEAR(E195),0,IF((YEAR(D195)+15)&gt;YEAR(E195),1,(12-MONTH(E195)+1)/12))) + (R195)*(IF((YEAR(D195)+15)&lt;YEAR(E195),0,IF((YEAR(D195)+15)&gt;YEAR(E195),1,(12-MONTH(E195)+1)/12))))-(IF((((K195)*(IF(M195="",L195,IFERROR(IF(INDEX(Variablen!$I:$AT, MATCH(M195, Variablen!$A:$A, 0), MATCH((YEAR(D195)+15), Variablen!$I$3:$AT$3, 0))="",L195,INDEX(Variablen!$I:$AT, MATCH(M195, Variablen!$A:$A, 0), MATCH((YEAR(D195)+15), Variablen!$I$3:$AT$3, 0))),L195)))*(IF((YEAR(D195)+15)&lt;YEAR(E195),0,IF((YEAR(D195)+15)&gt;YEAR(E195),1,(12-MONTH(E195)+1)/12))) + (Q195)*(IF((YEAR(D195)+15)&lt;YEAR(E195),0,IF((YEAR(D195)+15)&gt;YEAR(E195),1,(12-MONTH(E195)+1)/12))))-((P195)*(IF((YEAR(D195)+15)&lt;YEAR(E195),0,IF((YEAR(D195)+15)&gt;YEAR(E195),1,(12-MONTH(E195)+1)/12))) + (R195)*(IF((YEAR(D195)+15)&lt;YEAR(E195),0,IF((YEAR(D195)+15)&gt;YEAR(E195),1,(12-MONTH(E195)+1)/12))))-(IF(OR(N195="",N195&lt;=0),0,(O195/N195)*(IF(OR(N195="",N195&lt;=0),0,IF((YEAR(D195)+15)&lt;YEAR(E195),0,IF((YEAR(D195)+15)&gt;=YEAR(E195)+N195,0,IF((YEAR(D195)+15)=YEAR(E195),(12-MONTH(E195)+1)/12,1))))))))&gt;0,(((K195)*(IF(M195="",L195,IFERROR(IF(INDEX(Variablen!$I:$AT, MATCH(M195, Variablen!$A:$A, 0), MATCH((YEAR(D195)+15), Variablen!$I$3:$AT$3, 0))="",L195,INDEX(Variablen!$I:$AT, MATCH(M195, Variablen!$A:$A, 0), MATCH((YEAR(D195)+15), Variablen!$I$3:$AT$3, 0))),L195)))*(IF((YEAR(D195)+15)&lt;YEAR(E195),0,IF((YEAR(D195)+15)&gt;YEAR(E195),1,(12-MONTH(E195)+1)/12))) + (Q195)*(IF((YEAR(D195)+15)&lt;YEAR(E195),0,IF((YEAR(D195)+15)&gt;YEAR(E195),1,(12-MONTH(E195)+1)/12))))-((P195)*(IF((YEAR(D195)+15)&lt;YEAR(E195),0,IF((YEAR(D195)+15)&gt;YEAR(E195),1,(12-MONTH(E195)+1)/12))) + (R195)*(IF((YEAR(D195)+15)&lt;YEAR(E195),0,IF((YEAR(D195)+15)&gt;YEAR(E195),1,(12-MONTH(E195)+1)/12))))-(IF(OR(N195="",N195&lt;=0),0,(O195/N195)*(IF(OR(N195="",N195&lt;=0),0,IF((YEAR(D195)+15)&lt;YEAR(E195),0,IF((YEAR(D195)+15)&gt;=YEAR(E195)+N195,0,IF((YEAR(D195)+15)=YEAR(E195),(12-MONTH(E195)+1)/12,1))))))))*TaxRate,0))-IF(15=0,O195,0))</f>
        <v/>
      </c>
      <c r="AI195" s="29">
        <f>IF(A195="","",((K195)*(IF(M195="",L195,IFERROR(IF(INDEX(Variablen!$I:$AT, MATCH(M195, Variablen!$A:$A, 0), MATCH((YEAR(D195)+16), Variablen!$I$3:$AT$3, 0))="",L195,INDEX(Variablen!$I:$AT, MATCH(M195, Variablen!$A:$A, 0), MATCH((YEAR(D195)+16), Variablen!$I$3:$AT$3, 0))),L195)))*(IF((YEAR(D195)+16)&lt;YEAR(E195),0,IF((YEAR(D195)+16)&gt;YEAR(E195),1,(12-MONTH(E195)+1)/12))) + (Q195)*(IF((YEAR(D195)+16)&lt;YEAR(E195),0,IF((YEAR(D195)+16)&gt;YEAR(E195),1,(12-MONTH(E195)+1)/12))))-((P195)*(IF((YEAR(D195)+16)&lt;YEAR(E195),0,IF((YEAR(D195)+16)&gt;YEAR(E195),1,(12-MONTH(E195)+1)/12))) + (R195)*(IF((YEAR(D195)+16)&lt;YEAR(E195),0,IF((YEAR(D195)+16)&gt;YEAR(E195),1,(12-MONTH(E195)+1)/12))))-(IF((((K195)*(IF(M195="",L195,IFERROR(IF(INDEX(Variablen!$I:$AT, MATCH(M195, Variablen!$A:$A, 0), MATCH((YEAR(D195)+16), Variablen!$I$3:$AT$3, 0))="",L195,INDEX(Variablen!$I:$AT, MATCH(M195, Variablen!$A:$A, 0), MATCH((YEAR(D195)+16), Variablen!$I$3:$AT$3, 0))),L195)))*(IF((YEAR(D195)+16)&lt;YEAR(E195),0,IF((YEAR(D195)+16)&gt;YEAR(E195),1,(12-MONTH(E195)+1)/12))) + (Q195)*(IF((YEAR(D195)+16)&lt;YEAR(E195),0,IF((YEAR(D195)+16)&gt;YEAR(E195),1,(12-MONTH(E195)+1)/12))))-((P195)*(IF((YEAR(D195)+16)&lt;YEAR(E195),0,IF((YEAR(D195)+16)&gt;YEAR(E195),1,(12-MONTH(E195)+1)/12))) + (R195)*(IF((YEAR(D195)+16)&lt;YEAR(E195),0,IF((YEAR(D195)+16)&gt;YEAR(E195),1,(12-MONTH(E195)+1)/12))))-(IF(OR(N195="",N195&lt;=0),0,(O195/N195)*(IF(OR(N195="",N195&lt;=0),0,IF((YEAR(D195)+16)&lt;YEAR(E195),0,IF((YEAR(D195)+16)&gt;=YEAR(E195)+N195,0,IF((YEAR(D195)+16)=YEAR(E195),(12-MONTH(E195)+1)/12,1))))))))&gt;0,(((K195)*(IF(M195="",L195,IFERROR(IF(INDEX(Variablen!$I:$AT, MATCH(M195, Variablen!$A:$A, 0), MATCH((YEAR(D195)+16), Variablen!$I$3:$AT$3, 0))="",L195,INDEX(Variablen!$I:$AT, MATCH(M195, Variablen!$A:$A, 0), MATCH((YEAR(D195)+16), Variablen!$I$3:$AT$3, 0))),L195)))*(IF((YEAR(D195)+16)&lt;YEAR(E195),0,IF((YEAR(D195)+16)&gt;YEAR(E195),1,(12-MONTH(E195)+1)/12))) + (Q195)*(IF((YEAR(D195)+16)&lt;YEAR(E195),0,IF((YEAR(D195)+16)&gt;YEAR(E195),1,(12-MONTH(E195)+1)/12))))-((P195)*(IF((YEAR(D195)+16)&lt;YEAR(E195),0,IF((YEAR(D195)+16)&gt;YEAR(E195),1,(12-MONTH(E195)+1)/12))) + (R195)*(IF((YEAR(D195)+16)&lt;YEAR(E195),0,IF((YEAR(D195)+16)&gt;YEAR(E195),1,(12-MONTH(E195)+1)/12))))-(IF(OR(N195="",N195&lt;=0),0,(O195/N195)*(IF(OR(N195="",N195&lt;=0),0,IF((YEAR(D195)+16)&lt;YEAR(E195),0,IF((YEAR(D195)+16)&gt;=YEAR(E195)+N195,0,IF((YEAR(D195)+16)=YEAR(E195),(12-MONTH(E195)+1)/12,1))))))))*TaxRate,0))-IF(16=0,O195,0))</f>
        <v/>
      </c>
      <c r="AJ195" s="29">
        <f>IF(A195="","",((K195)*(IF(M195="",L195,IFERROR(IF(INDEX(Variablen!$I:$AT, MATCH(M195, Variablen!$A:$A, 0), MATCH((YEAR(D195)+17), Variablen!$I$3:$AT$3, 0))="",L195,INDEX(Variablen!$I:$AT, MATCH(M195, Variablen!$A:$A, 0), MATCH((YEAR(D195)+17), Variablen!$I$3:$AT$3, 0))),L195)))*(IF((YEAR(D195)+17)&lt;YEAR(E195),0,IF((YEAR(D195)+17)&gt;YEAR(E195),1,(12-MONTH(E195)+1)/12))) + (Q195)*(IF((YEAR(D195)+17)&lt;YEAR(E195),0,IF((YEAR(D195)+17)&gt;YEAR(E195),1,(12-MONTH(E195)+1)/12))))-((P195)*(IF((YEAR(D195)+17)&lt;YEAR(E195),0,IF((YEAR(D195)+17)&gt;YEAR(E195),1,(12-MONTH(E195)+1)/12))) + (R195)*(IF((YEAR(D195)+17)&lt;YEAR(E195),0,IF((YEAR(D195)+17)&gt;YEAR(E195),1,(12-MONTH(E195)+1)/12))))-(IF((((K195)*(IF(M195="",L195,IFERROR(IF(INDEX(Variablen!$I:$AT, MATCH(M195, Variablen!$A:$A, 0), MATCH((YEAR(D195)+17), Variablen!$I$3:$AT$3, 0))="",L195,INDEX(Variablen!$I:$AT, MATCH(M195, Variablen!$A:$A, 0), MATCH((YEAR(D195)+17), Variablen!$I$3:$AT$3, 0))),L195)))*(IF((YEAR(D195)+17)&lt;YEAR(E195),0,IF((YEAR(D195)+17)&gt;YEAR(E195),1,(12-MONTH(E195)+1)/12))) + (Q195)*(IF((YEAR(D195)+17)&lt;YEAR(E195),0,IF((YEAR(D195)+17)&gt;YEAR(E195),1,(12-MONTH(E195)+1)/12))))-((P195)*(IF((YEAR(D195)+17)&lt;YEAR(E195),0,IF((YEAR(D195)+17)&gt;YEAR(E195),1,(12-MONTH(E195)+1)/12))) + (R195)*(IF((YEAR(D195)+17)&lt;YEAR(E195),0,IF((YEAR(D195)+17)&gt;YEAR(E195),1,(12-MONTH(E195)+1)/12))))-(IF(OR(N195="",N195&lt;=0),0,(O195/N195)*(IF(OR(N195="",N195&lt;=0),0,IF((YEAR(D195)+17)&lt;YEAR(E195),0,IF((YEAR(D195)+17)&gt;=YEAR(E195)+N195,0,IF((YEAR(D195)+17)=YEAR(E195),(12-MONTH(E195)+1)/12,1))))))))&gt;0,(((K195)*(IF(M195="",L195,IFERROR(IF(INDEX(Variablen!$I:$AT, MATCH(M195, Variablen!$A:$A, 0), MATCH((YEAR(D195)+17), Variablen!$I$3:$AT$3, 0))="",L195,INDEX(Variablen!$I:$AT, MATCH(M195, Variablen!$A:$A, 0), MATCH((YEAR(D195)+17), Variablen!$I$3:$AT$3, 0))),L195)))*(IF((YEAR(D195)+17)&lt;YEAR(E195),0,IF((YEAR(D195)+17)&gt;YEAR(E195),1,(12-MONTH(E195)+1)/12))) + (Q195)*(IF((YEAR(D195)+17)&lt;YEAR(E195),0,IF((YEAR(D195)+17)&gt;YEAR(E195),1,(12-MONTH(E195)+1)/12))))-((P195)*(IF((YEAR(D195)+17)&lt;YEAR(E195),0,IF((YEAR(D195)+17)&gt;YEAR(E195),1,(12-MONTH(E195)+1)/12))) + (R195)*(IF((YEAR(D195)+17)&lt;YEAR(E195),0,IF((YEAR(D195)+17)&gt;YEAR(E195),1,(12-MONTH(E195)+1)/12))))-(IF(OR(N195="",N195&lt;=0),0,(O195/N195)*(IF(OR(N195="",N195&lt;=0),0,IF((YEAR(D195)+17)&lt;YEAR(E195),0,IF((YEAR(D195)+17)&gt;=YEAR(E195)+N195,0,IF((YEAR(D195)+17)=YEAR(E195),(12-MONTH(E195)+1)/12,1))))))))*TaxRate,0))-IF(17=0,O195,0))</f>
        <v/>
      </c>
      <c r="AK195" s="29">
        <f>IF(A195="","",((K195)*(IF(M195="",L195,IFERROR(IF(INDEX(Variablen!$I:$AT, MATCH(M195, Variablen!$A:$A, 0), MATCH((YEAR(D195)+18), Variablen!$I$3:$AT$3, 0))="",L195,INDEX(Variablen!$I:$AT, MATCH(M195, Variablen!$A:$A, 0), MATCH((YEAR(D195)+18), Variablen!$I$3:$AT$3, 0))),L195)))*(IF((YEAR(D195)+18)&lt;YEAR(E195),0,IF((YEAR(D195)+18)&gt;YEAR(E195),1,(12-MONTH(E195)+1)/12))) + (Q195)*(IF((YEAR(D195)+18)&lt;YEAR(E195),0,IF((YEAR(D195)+18)&gt;YEAR(E195),1,(12-MONTH(E195)+1)/12))))-((P195)*(IF((YEAR(D195)+18)&lt;YEAR(E195),0,IF((YEAR(D195)+18)&gt;YEAR(E195),1,(12-MONTH(E195)+1)/12))) + (R195)*(IF((YEAR(D195)+18)&lt;YEAR(E195),0,IF((YEAR(D195)+18)&gt;YEAR(E195),1,(12-MONTH(E195)+1)/12))))-(IF((((K195)*(IF(M195="",L195,IFERROR(IF(INDEX(Variablen!$I:$AT, MATCH(M195, Variablen!$A:$A, 0), MATCH((YEAR(D195)+18), Variablen!$I$3:$AT$3, 0))="",L195,INDEX(Variablen!$I:$AT, MATCH(M195, Variablen!$A:$A, 0), MATCH((YEAR(D195)+18), Variablen!$I$3:$AT$3, 0))),L195)))*(IF((YEAR(D195)+18)&lt;YEAR(E195),0,IF((YEAR(D195)+18)&gt;YEAR(E195),1,(12-MONTH(E195)+1)/12))) + (Q195)*(IF((YEAR(D195)+18)&lt;YEAR(E195),0,IF((YEAR(D195)+18)&gt;YEAR(E195),1,(12-MONTH(E195)+1)/12))))-((P195)*(IF((YEAR(D195)+18)&lt;YEAR(E195),0,IF((YEAR(D195)+18)&gt;YEAR(E195),1,(12-MONTH(E195)+1)/12))) + (R195)*(IF((YEAR(D195)+18)&lt;YEAR(E195),0,IF((YEAR(D195)+18)&gt;YEAR(E195),1,(12-MONTH(E195)+1)/12))))-(IF(OR(N195="",N195&lt;=0),0,(O195/N195)*(IF(OR(N195="",N195&lt;=0),0,IF((YEAR(D195)+18)&lt;YEAR(E195),0,IF((YEAR(D195)+18)&gt;=YEAR(E195)+N195,0,IF((YEAR(D195)+18)=YEAR(E195),(12-MONTH(E195)+1)/12,1))))))))&gt;0,(((K195)*(IF(M195="",L195,IFERROR(IF(INDEX(Variablen!$I:$AT, MATCH(M195, Variablen!$A:$A, 0), MATCH((YEAR(D195)+18), Variablen!$I$3:$AT$3, 0))="",L195,INDEX(Variablen!$I:$AT, MATCH(M195, Variablen!$A:$A, 0), MATCH((YEAR(D195)+18), Variablen!$I$3:$AT$3, 0))),L195)))*(IF((YEAR(D195)+18)&lt;YEAR(E195),0,IF((YEAR(D195)+18)&gt;YEAR(E195),1,(12-MONTH(E195)+1)/12))) + (Q195)*(IF((YEAR(D195)+18)&lt;YEAR(E195),0,IF((YEAR(D195)+18)&gt;YEAR(E195),1,(12-MONTH(E195)+1)/12))))-((P195)*(IF((YEAR(D195)+18)&lt;YEAR(E195),0,IF((YEAR(D195)+18)&gt;YEAR(E195),1,(12-MONTH(E195)+1)/12))) + (R195)*(IF((YEAR(D195)+18)&lt;YEAR(E195),0,IF((YEAR(D195)+18)&gt;YEAR(E195),1,(12-MONTH(E195)+1)/12))))-(IF(OR(N195="",N195&lt;=0),0,(O195/N195)*(IF(OR(N195="",N195&lt;=0),0,IF((YEAR(D195)+18)&lt;YEAR(E195),0,IF((YEAR(D195)+18)&gt;=YEAR(E195)+N195,0,IF((YEAR(D195)+18)=YEAR(E195),(12-MONTH(E195)+1)/12,1))))))))*TaxRate,0))-IF(18=0,O195,0))</f>
        <v/>
      </c>
      <c r="AL195" s="29">
        <f>IF(A195="","",((K195)*(IF(M195="",L195,IFERROR(IF(INDEX(Variablen!$I:$AT, MATCH(M195, Variablen!$A:$A, 0), MATCH((YEAR(D195)+19), Variablen!$I$3:$AT$3, 0))="",L195,INDEX(Variablen!$I:$AT, MATCH(M195, Variablen!$A:$A, 0), MATCH((YEAR(D195)+19), Variablen!$I$3:$AT$3, 0))),L195)))*(IF((YEAR(D195)+19)&lt;YEAR(E195),0,IF((YEAR(D195)+19)&gt;YEAR(E195),1,(12-MONTH(E195)+1)/12))) + (Q195)*(IF((YEAR(D195)+19)&lt;YEAR(E195),0,IF((YEAR(D195)+19)&gt;YEAR(E195),1,(12-MONTH(E195)+1)/12))))-((P195)*(IF((YEAR(D195)+19)&lt;YEAR(E195),0,IF((YEAR(D195)+19)&gt;YEAR(E195),1,(12-MONTH(E195)+1)/12))) + (R195)*(IF((YEAR(D195)+19)&lt;YEAR(E195),0,IF((YEAR(D195)+19)&gt;YEAR(E195),1,(12-MONTH(E195)+1)/12))))-(IF((((K195)*(IF(M195="",L195,IFERROR(IF(INDEX(Variablen!$I:$AT, MATCH(M195, Variablen!$A:$A, 0), MATCH((YEAR(D195)+19), Variablen!$I$3:$AT$3, 0))="",L195,INDEX(Variablen!$I:$AT, MATCH(M195, Variablen!$A:$A, 0), MATCH((YEAR(D195)+19), Variablen!$I$3:$AT$3, 0))),L195)))*(IF((YEAR(D195)+19)&lt;YEAR(E195),0,IF((YEAR(D195)+19)&gt;YEAR(E195),1,(12-MONTH(E195)+1)/12))) + (Q195)*(IF((YEAR(D195)+19)&lt;YEAR(E195),0,IF((YEAR(D195)+19)&gt;YEAR(E195),1,(12-MONTH(E195)+1)/12))))-((P195)*(IF((YEAR(D195)+19)&lt;YEAR(E195),0,IF((YEAR(D195)+19)&gt;YEAR(E195),1,(12-MONTH(E195)+1)/12))) + (R195)*(IF((YEAR(D195)+19)&lt;YEAR(E195),0,IF((YEAR(D195)+19)&gt;YEAR(E195),1,(12-MONTH(E195)+1)/12))))-(IF(OR(N195="",N195&lt;=0),0,(O195/N195)*(IF(OR(N195="",N195&lt;=0),0,IF((YEAR(D195)+19)&lt;YEAR(E195),0,IF((YEAR(D195)+19)&gt;=YEAR(E195)+N195,0,IF((YEAR(D195)+19)=YEAR(E195),(12-MONTH(E195)+1)/12,1))))))))&gt;0,(((K195)*(IF(M195="",L195,IFERROR(IF(INDEX(Variablen!$I:$AT, MATCH(M195, Variablen!$A:$A, 0), MATCH((YEAR(D195)+19), Variablen!$I$3:$AT$3, 0))="",L195,INDEX(Variablen!$I:$AT, MATCH(M195, Variablen!$A:$A, 0), MATCH((YEAR(D195)+19), Variablen!$I$3:$AT$3, 0))),L195)))*(IF((YEAR(D195)+19)&lt;YEAR(E195),0,IF((YEAR(D195)+19)&gt;YEAR(E195),1,(12-MONTH(E195)+1)/12))) + (Q195)*(IF((YEAR(D195)+19)&lt;YEAR(E195),0,IF((YEAR(D195)+19)&gt;YEAR(E195),1,(12-MONTH(E195)+1)/12))))-((P195)*(IF((YEAR(D195)+19)&lt;YEAR(E195),0,IF((YEAR(D195)+19)&gt;YEAR(E195),1,(12-MONTH(E195)+1)/12))) + (R195)*(IF((YEAR(D195)+19)&lt;YEAR(E195),0,IF((YEAR(D195)+19)&gt;YEAR(E195),1,(12-MONTH(E195)+1)/12))))-(IF(OR(N195="",N195&lt;=0),0,(O195/N195)*(IF(OR(N195="",N195&lt;=0),0,IF((YEAR(D195)+19)&lt;YEAR(E195),0,IF((YEAR(D195)+19)&gt;=YEAR(E195)+N195,0,IF((YEAR(D195)+19)=YEAR(E195),(12-MONTH(E195)+1)/12,1))))))))*TaxRate,0))-IF(19=0,O195,0))</f>
        <v/>
      </c>
      <c r="AM195" s="29">
        <f>IF(A195="","",((K195)*(IF(M195="",L195,IFERROR(IF(INDEX(Variablen!$I:$AT, MATCH(M195, Variablen!$A:$A, 0), MATCH((YEAR(D195)+20), Variablen!$I$3:$AT$3, 0))="",L195,INDEX(Variablen!$I:$AT, MATCH(M195, Variablen!$A:$A, 0), MATCH((YEAR(D195)+20), Variablen!$I$3:$AT$3, 0))),L195)))*(IF((YEAR(D195)+20)&lt;YEAR(E195),0,IF((YEAR(D195)+20)&gt;YEAR(E195),1,(12-MONTH(E195)+1)/12))) + (Q195)*(IF((YEAR(D195)+20)&lt;YEAR(E195),0,IF((YEAR(D195)+20)&gt;YEAR(E195),1,(12-MONTH(E195)+1)/12))))-((P195)*(IF((YEAR(D195)+20)&lt;YEAR(E195),0,IF((YEAR(D195)+20)&gt;YEAR(E195),1,(12-MONTH(E195)+1)/12))) + (R195)*(IF((YEAR(D195)+20)&lt;YEAR(E195),0,IF((YEAR(D195)+20)&gt;YEAR(E195),1,(12-MONTH(E195)+1)/12))))-(IF((((K195)*(IF(M195="",L195,IFERROR(IF(INDEX(Variablen!$I:$AT, MATCH(M195, Variablen!$A:$A, 0), MATCH((YEAR(D195)+20), Variablen!$I$3:$AT$3, 0))="",L195,INDEX(Variablen!$I:$AT, MATCH(M195, Variablen!$A:$A, 0), MATCH((YEAR(D195)+20), Variablen!$I$3:$AT$3, 0))),L195)))*(IF((YEAR(D195)+20)&lt;YEAR(E195),0,IF((YEAR(D195)+20)&gt;YEAR(E195),1,(12-MONTH(E195)+1)/12))) + (Q195)*(IF((YEAR(D195)+20)&lt;YEAR(E195),0,IF((YEAR(D195)+20)&gt;YEAR(E195),1,(12-MONTH(E195)+1)/12))))-((P195)*(IF((YEAR(D195)+20)&lt;YEAR(E195),0,IF((YEAR(D195)+20)&gt;YEAR(E195),1,(12-MONTH(E195)+1)/12))) + (R195)*(IF((YEAR(D195)+20)&lt;YEAR(E195),0,IF((YEAR(D195)+20)&gt;YEAR(E195),1,(12-MONTH(E195)+1)/12))))-(IF(OR(N195="",N195&lt;=0),0,(O195/N195)*(IF(OR(N195="",N195&lt;=0),0,IF((YEAR(D195)+20)&lt;YEAR(E195),0,IF((YEAR(D195)+20)&gt;=YEAR(E195)+N195,0,IF((YEAR(D195)+20)=YEAR(E195),(12-MONTH(E195)+1)/12,1))))))))&gt;0,(((K195)*(IF(M195="",L195,IFERROR(IF(INDEX(Variablen!$I:$AT, MATCH(M195, Variablen!$A:$A, 0), MATCH((YEAR(D195)+20), Variablen!$I$3:$AT$3, 0))="",L195,INDEX(Variablen!$I:$AT, MATCH(M195, Variablen!$A:$A, 0), MATCH((YEAR(D195)+20), Variablen!$I$3:$AT$3, 0))),L195)))*(IF((YEAR(D195)+20)&lt;YEAR(E195),0,IF((YEAR(D195)+20)&gt;YEAR(E195),1,(12-MONTH(E195)+1)/12))) + (Q195)*(IF((YEAR(D195)+20)&lt;YEAR(E195),0,IF((YEAR(D195)+20)&gt;YEAR(E195),1,(12-MONTH(E195)+1)/12))))-((P195)*(IF((YEAR(D195)+20)&lt;YEAR(E195),0,IF((YEAR(D195)+20)&gt;YEAR(E195),1,(12-MONTH(E195)+1)/12))) + (R195)*(IF((YEAR(D195)+20)&lt;YEAR(E195),0,IF((YEAR(D195)+20)&gt;YEAR(E195),1,(12-MONTH(E195)+1)/12))))-(IF(OR(N195="",N195&lt;=0),0,(O195/N195)*(IF(OR(N195="",N195&lt;=0),0,IF((YEAR(D195)+20)&lt;YEAR(E195),0,IF((YEAR(D195)+20)&gt;=YEAR(E195)+N195,0,IF((YEAR(D195)+20)=YEAR(E195),(12-MONTH(E195)+1)/12,1))))))))*TaxRate,0))-IF(20=0,O195,0))</f>
        <v/>
      </c>
      <c r="AN195" s="29">
        <f>IF(A195="","",S195)</f>
        <v/>
      </c>
      <c r="AO195" s="29">
        <f>IF(A195="","",AN195+T195)</f>
        <v/>
      </c>
      <c r="AP195" s="29">
        <f>IF(A195="","",AO195+U195)</f>
        <v/>
      </c>
      <c r="AQ195" s="29">
        <f>IF(A195="","",AP195+V195)</f>
        <v/>
      </c>
      <c r="AR195" s="29">
        <f>IF(A195="","",AQ195+W195)</f>
        <v/>
      </c>
      <c r="AS195" s="29">
        <f>IF(A195="","",AR195+X195)</f>
        <v/>
      </c>
      <c r="AT195" s="29">
        <f>IF(A195="","",AS195+Y195)</f>
        <v/>
      </c>
      <c r="AU195" s="29">
        <f>IF(A195="","",AT195+Z195)</f>
        <v/>
      </c>
      <c r="AV195" s="29">
        <f>IF(A195="","",AU195+AA195)</f>
        <v/>
      </c>
      <c r="AW195" s="29">
        <f>IF(A195="","",AV195+AB195)</f>
        <v/>
      </c>
      <c r="AX195" s="29">
        <f>IF(A195="","",AW195+AC195)</f>
        <v/>
      </c>
      <c r="AY195" s="29">
        <f>IF(A195="","",AX195+AD195)</f>
        <v/>
      </c>
      <c r="AZ195" s="29">
        <f>IF(A195="","",AY195+AE195)</f>
        <v/>
      </c>
      <c r="BA195" s="29">
        <f>IF(A195="","",AZ195+AF195)</f>
        <v/>
      </c>
      <c r="BB195" s="29">
        <f>IF(A195="","",BA195+AG195)</f>
        <v/>
      </c>
      <c r="BC195" s="29">
        <f>IF(A195="","",BB195+AH195)</f>
        <v/>
      </c>
      <c r="BD195" s="29">
        <f>IF(A195="","",BC195+AI195)</f>
        <v/>
      </c>
      <c r="BE195" s="29">
        <f>IF(A195="","",BD195+AJ195)</f>
        <v/>
      </c>
      <c r="BF195" s="29">
        <f>IF(A195="","",BE195+AK195)</f>
        <v/>
      </c>
      <c r="BG195" s="29">
        <f>IF(A195="","",BF195+AL195)</f>
        <v/>
      </c>
      <c r="BH195" s="29">
        <f>IF(A195="","",BG195+AM195)</f>
        <v/>
      </c>
      <c r="BI195" s="36">
        <f>IF(A195="","",(K195)*(IF((YEAR(D195)+0)&lt;YEAR(E195),0,IF((YEAR(D195)+0)&gt;YEAR(E195),1,(12-MONTH(E195)+1)/12)))*(1/(1+DiscountRate)^0))</f>
        <v/>
      </c>
      <c r="BJ195" s="36">
        <f>IF(A195="","",(K195)*(IF((YEAR(D195)+1)&lt;YEAR(E195),0,IF((YEAR(D195)+1)&gt;YEAR(E195),1,(12-MONTH(E195)+1)/12)))*(1/(1+DiscountRate)^1))</f>
        <v/>
      </c>
      <c r="BK195" s="36">
        <f>IF(A195="","",(K195)*(IF((YEAR(D195)+2)&lt;YEAR(E195),0,IF((YEAR(D195)+2)&gt;YEAR(E195),1,(12-MONTH(E195)+1)/12)))*(1/(1+DiscountRate)^2))</f>
        <v/>
      </c>
      <c r="BL195" s="36">
        <f>IF(A195="","",(K195)*(IF((YEAR(D195)+3)&lt;YEAR(E195),0,IF((YEAR(D195)+3)&gt;YEAR(E195),1,(12-MONTH(E195)+1)/12)))*(1/(1+DiscountRate)^3))</f>
        <v/>
      </c>
      <c r="BM195" s="36">
        <f>IF(A195="","",(K195)*(IF((YEAR(D195)+4)&lt;YEAR(E195),0,IF((YEAR(D195)+4)&gt;YEAR(E195),1,(12-MONTH(E195)+1)/12)))*(1/(1+DiscountRate)^4))</f>
        <v/>
      </c>
      <c r="BN195" s="36">
        <f>IF(A195="","",(K195)*(IF((YEAR(D195)+5)&lt;YEAR(E195),0,IF((YEAR(D195)+5)&gt;YEAR(E195),1,(12-MONTH(E195)+1)/12)))*(1/(1+DiscountRate)^5))</f>
        <v/>
      </c>
      <c r="BO195" s="36">
        <f>IF(A195="","",(K195)*(IF((YEAR(D195)+6)&lt;YEAR(E195),0,IF((YEAR(D195)+6)&gt;YEAR(E195),1,(12-MONTH(E195)+1)/12)))*(1/(1+DiscountRate)^6))</f>
        <v/>
      </c>
      <c r="BP195" s="36">
        <f>IF(A195="","",(K195)*(IF((YEAR(D195)+7)&lt;YEAR(E195),0,IF((YEAR(D195)+7)&gt;YEAR(E195),1,(12-MONTH(E195)+1)/12)))*(1/(1+DiscountRate)^7))</f>
        <v/>
      </c>
      <c r="BQ195" s="36">
        <f>IF(A195="","",(K195)*(IF((YEAR(D195)+8)&lt;YEAR(E195),0,IF((YEAR(D195)+8)&gt;YEAR(E195),1,(12-MONTH(E195)+1)/12)))*(1/(1+DiscountRate)^8))</f>
        <v/>
      </c>
      <c r="BR195" s="36">
        <f>IF(A195="","",(K195)*(IF((YEAR(D195)+9)&lt;YEAR(E195),0,IF((YEAR(D195)+9)&gt;YEAR(E195),1,(12-MONTH(E195)+1)/12)))*(1/(1+DiscountRate)^9))</f>
        <v/>
      </c>
      <c r="BS195" s="36">
        <f>IF(A195="","",(K195)*(IF((YEAR(D195)+10)&lt;YEAR(E195),0,IF((YEAR(D195)+10)&gt;YEAR(E195),1,(12-MONTH(E195)+1)/12)))*(1/(1+DiscountRate)^10))</f>
        <v/>
      </c>
      <c r="BT195" s="36">
        <f>IF(A195="","",(K195)*(IF((YEAR(D195)+11)&lt;YEAR(E195),0,IF((YEAR(D195)+11)&gt;YEAR(E195),1,(12-MONTH(E195)+1)/12)))*(1/(1+DiscountRate)^11))</f>
        <v/>
      </c>
      <c r="BU195" s="36">
        <f>IF(A195="","",(K195)*(IF((YEAR(D195)+12)&lt;YEAR(E195),0,IF((YEAR(D195)+12)&gt;YEAR(E195),1,(12-MONTH(E195)+1)/12)))*(1/(1+DiscountRate)^12))</f>
        <v/>
      </c>
      <c r="BV195" s="36">
        <f>IF(A195="","",(K195)*(IF((YEAR(D195)+13)&lt;YEAR(E195),0,IF((YEAR(D195)+13)&gt;YEAR(E195),1,(12-MONTH(E195)+1)/12)))*(1/(1+DiscountRate)^13))</f>
        <v/>
      </c>
      <c r="BW195" s="36">
        <f>IF(A195="","",(K195)*(IF((YEAR(D195)+14)&lt;YEAR(E195),0,IF((YEAR(D195)+14)&gt;YEAR(E195),1,(12-MONTH(E195)+1)/12)))*(1/(1+DiscountRate)^14))</f>
        <v/>
      </c>
      <c r="BX195" s="36">
        <f>IF(A195="","",(K195)*(IF((YEAR(D195)+15)&lt;YEAR(E195),0,IF((YEAR(D195)+15)&gt;YEAR(E195),1,(12-MONTH(E195)+1)/12)))*(1/(1+DiscountRate)^15))</f>
        <v/>
      </c>
      <c r="BY195" s="36">
        <f>IF(A195="","",(K195)*(IF((YEAR(D195)+16)&lt;YEAR(E195),0,IF((YEAR(D195)+16)&gt;YEAR(E195),1,(12-MONTH(E195)+1)/12)))*(1/(1+DiscountRate)^16))</f>
        <v/>
      </c>
      <c r="BZ195" s="36">
        <f>IF(A195="","",(K195)*(IF((YEAR(D195)+17)&lt;YEAR(E195),0,IF((YEAR(D195)+17)&gt;YEAR(E195),1,(12-MONTH(E195)+1)/12)))*(1/(1+DiscountRate)^17))</f>
        <v/>
      </c>
      <c r="CA195" s="36">
        <f>IF(A195="","",(K195)*(IF((YEAR(D195)+18)&lt;YEAR(E195),0,IF((YEAR(D195)+18)&gt;YEAR(E195),1,(12-MONTH(E195)+1)/12)))*(1/(1+DiscountRate)^18))</f>
        <v/>
      </c>
      <c r="CB195" s="36">
        <f>IF(A195="","",(K195)*(IF((YEAR(D195)+19)&lt;YEAR(E195),0,IF((YEAR(D195)+19)&gt;YEAR(E195),1,(12-MONTH(E195)+1)/12)))*(1/(1+DiscountRate)^19))</f>
        <v/>
      </c>
      <c r="CC195" s="36">
        <f>IF(A195="","",(K195)*(IF((YEAR(D195)+20)&lt;YEAR(E195),0,IF((YEAR(D195)+20)&gt;YEAR(E195),1,(12-MONTH(E195)+1)/12)))*(1/(1+DiscountRate)^20))</f>
        <v/>
      </c>
      <c r="CD195" s="29">
        <f>IF(A195="","",S195/(1+DiscountRate)^0+T195/(1+DiscountRate)^1+U195/(1+DiscountRate)^2+V195/(1+DiscountRate)^3+W195/(1+DiscountRate)^4+X195/(1+DiscountRate)^5+Y195/(1+DiscountRate)^6+Z195/(1+DiscountRate)^7+AA195/(1+DiscountRate)^8+AB195/(1+DiscountRate)^9+AC195/(1+DiscountRate)^10+AD195/(1+DiscountRate)^11+AE195/(1+DiscountRate)^12+AF195/(1+DiscountRate)^13+AG195/(1+DiscountRate)^14+AH195/(1+DiscountRate)^15+AI195/(1+DiscountRate)^16+AJ195/(1+DiscountRate)^17+AK195/(1+DiscountRate)^18+AL195/(1+DiscountRate)^19+AM195/(1+DiscountRate)^20)</f>
        <v/>
      </c>
      <c r="CE195" s="37">
        <f>IF(A195="","",IFERROR(IRR(OFFSET(S195,0,0,1,MIN(HorizonYears,20)+1)),"n/a"))</f>
        <v/>
      </c>
      <c r="CF195" s="28">
        <f>IF(A195="","",IFERROR(MATCH(TRUE,OFFSET(AN195,0,0,1,MIN(HorizonYears,20)+1)&gt;=0,0)-1,"n/a"))</f>
        <v/>
      </c>
      <c r="CG195" s="36">
        <f>IF(A195="","",SUM(OFFSET(BI195,0,0,1,MIN(HorizonYears,20)+1)))</f>
        <v/>
      </c>
      <c r="CH195" s="36">
        <f>IF(A195="","",IFERROR(-CD195/CG195,"n/a"))</f>
        <v/>
      </c>
    </row>
    <row r="196">
      <c r="A196" s="6">
        <f>Actions!A194</f>
        <v/>
      </c>
      <c r="B196" s="6">
        <f>Actions!B194</f>
        <v/>
      </c>
      <c r="C196" s="6">
        <f>Actions!D194</f>
        <v/>
      </c>
      <c r="D196" s="35">
        <f>Actions!E194</f>
        <v/>
      </c>
      <c r="E196" s="35">
        <f>Actions!F194</f>
        <v/>
      </c>
      <c r="F196" s="6">
        <f>Actions!G194</f>
        <v/>
      </c>
      <c r="G196" s="6">
        <f>Actions!H194</f>
        <v/>
      </c>
      <c r="H196" s="29">
        <f>Actions!I194</f>
        <v/>
      </c>
      <c r="I196" s="6">
        <f>Actions!J194</f>
        <v/>
      </c>
      <c r="J196" s="16">
        <f>Actions!K194</f>
        <v/>
      </c>
      <c r="K196" s="16">
        <f>IF(A196="","",IF(I196="%",H196*J196,J196))</f>
        <v/>
      </c>
      <c r="L196" s="16">
        <f>Actions!L194</f>
        <v/>
      </c>
      <c r="M196" s="6">
        <f>Actions!M194</f>
        <v/>
      </c>
      <c r="N196" s="28">
        <f>Actions!N194</f>
        <v/>
      </c>
      <c r="O196" s="29">
        <f>Actions!T194</f>
        <v/>
      </c>
      <c r="P196" s="29">
        <f>Actions!Y194</f>
        <v/>
      </c>
      <c r="Q196" s="29">
        <f>Actions!Z194</f>
        <v/>
      </c>
      <c r="R196" s="29">
        <f>Actions!AA194</f>
        <v/>
      </c>
      <c r="S196" s="29">
        <f>IF(A196="","",((K196)*(IF(M196="",L196,IFERROR(IF(INDEX(Variablen!$I:$AT, MATCH(M196, Variablen!$A:$A, 0), MATCH((YEAR(D196)+0), Variablen!$I$3:$AT$3, 0))="",L196,INDEX(Variablen!$I:$AT, MATCH(M196, Variablen!$A:$A, 0), MATCH((YEAR(D196)+0), Variablen!$I$3:$AT$3, 0))),L196)))*(IF((YEAR(D196)+0)&lt;YEAR(E196),0,IF((YEAR(D196)+0)&gt;YEAR(E196),1,(12-MONTH(E196)+1)/12))) + (Q196)*(IF((YEAR(D196)+0)&lt;YEAR(E196),0,IF((YEAR(D196)+0)&gt;YEAR(E196),1,(12-MONTH(E196)+1)/12))))-((P196)*(IF((YEAR(D196)+0)&lt;YEAR(E196),0,IF((YEAR(D196)+0)&gt;YEAR(E196),1,(12-MONTH(E196)+1)/12))) + (R196)*(IF((YEAR(D196)+0)&lt;YEAR(E196),0,IF((YEAR(D196)+0)&gt;YEAR(E196),1,(12-MONTH(E196)+1)/12))))-(IF((((K196)*(IF(M196="",L196,IFERROR(IF(INDEX(Variablen!$I:$AT, MATCH(M196, Variablen!$A:$A, 0), MATCH((YEAR(D196)+0), Variablen!$I$3:$AT$3, 0))="",L196,INDEX(Variablen!$I:$AT, MATCH(M196, Variablen!$A:$A, 0), MATCH((YEAR(D196)+0), Variablen!$I$3:$AT$3, 0))),L196)))*(IF((YEAR(D196)+0)&lt;YEAR(E196),0,IF((YEAR(D196)+0)&gt;YEAR(E196),1,(12-MONTH(E196)+1)/12))) + (Q196)*(IF((YEAR(D196)+0)&lt;YEAR(E196),0,IF((YEAR(D196)+0)&gt;YEAR(E196),1,(12-MONTH(E196)+1)/12))))-((P196)*(IF((YEAR(D196)+0)&lt;YEAR(E196),0,IF((YEAR(D196)+0)&gt;YEAR(E196),1,(12-MONTH(E196)+1)/12))) + (R196)*(IF((YEAR(D196)+0)&lt;YEAR(E196),0,IF((YEAR(D196)+0)&gt;YEAR(E196),1,(12-MONTH(E196)+1)/12))))-(IF(OR(N196="",N196&lt;=0),0,(O196/N196)*(IF(OR(N196="",N196&lt;=0),0,IF((YEAR(D196)+0)&lt;YEAR(E196),0,IF((YEAR(D196)+0)&gt;=YEAR(E196)+N196,0,IF((YEAR(D196)+0)=YEAR(E196),(12-MONTH(E196)+1)/12,1))))))))&gt;0,(((K196)*(IF(M196="",L196,IFERROR(IF(INDEX(Variablen!$I:$AT, MATCH(M196, Variablen!$A:$A, 0), MATCH((YEAR(D196)+0), Variablen!$I$3:$AT$3, 0))="",L196,INDEX(Variablen!$I:$AT, MATCH(M196, Variablen!$A:$A, 0), MATCH((YEAR(D196)+0), Variablen!$I$3:$AT$3, 0))),L196)))*(IF((YEAR(D196)+0)&lt;YEAR(E196),0,IF((YEAR(D196)+0)&gt;YEAR(E196),1,(12-MONTH(E196)+1)/12))) + (Q196)*(IF((YEAR(D196)+0)&lt;YEAR(E196),0,IF((YEAR(D196)+0)&gt;YEAR(E196),1,(12-MONTH(E196)+1)/12))))-((P196)*(IF((YEAR(D196)+0)&lt;YEAR(E196),0,IF((YEAR(D196)+0)&gt;YEAR(E196),1,(12-MONTH(E196)+1)/12))) + (R196)*(IF((YEAR(D196)+0)&lt;YEAR(E196),0,IF((YEAR(D196)+0)&gt;YEAR(E196),1,(12-MONTH(E196)+1)/12))))-(IF(OR(N196="",N196&lt;=0),0,(O196/N196)*(IF(OR(N196="",N196&lt;=0),0,IF((YEAR(D196)+0)&lt;YEAR(E196),0,IF((YEAR(D196)+0)&gt;=YEAR(E196)+N196,0,IF((YEAR(D196)+0)=YEAR(E196),(12-MONTH(E196)+1)/12,1))))))))*TaxRate,0))-IF(0=0,O196,0))</f>
        <v/>
      </c>
      <c r="T196" s="29">
        <f>IF(A196="","",((K196)*(IF(M196="",L196,IFERROR(IF(INDEX(Variablen!$I:$AT, MATCH(M196, Variablen!$A:$A, 0), MATCH((YEAR(D196)+1), Variablen!$I$3:$AT$3, 0))="",L196,INDEX(Variablen!$I:$AT, MATCH(M196, Variablen!$A:$A, 0), MATCH((YEAR(D196)+1), Variablen!$I$3:$AT$3, 0))),L196)))*(IF((YEAR(D196)+1)&lt;YEAR(E196),0,IF((YEAR(D196)+1)&gt;YEAR(E196),1,(12-MONTH(E196)+1)/12))) + (Q196)*(IF((YEAR(D196)+1)&lt;YEAR(E196),0,IF((YEAR(D196)+1)&gt;YEAR(E196),1,(12-MONTH(E196)+1)/12))))-((P196)*(IF((YEAR(D196)+1)&lt;YEAR(E196),0,IF((YEAR(D196)+1)&gt;YEAR(E196),1,(12-MONTH(E196)+1)/12))) + (R196)*(IF((YEAR(D196)+1)&lt;YEAR(E196),0,IF((YEAR(D196)+1)&gt;YEAR(E196),1,(12-MONTH(E196)+1)/12))))-(IF((((K196)*(IF(M196="",L196,IFERROR(IF(INDEX(Variablen!$I:$AT, MATCH(M196, Variablen!$A:$A, 0), MATCH((YEAR(D196)+1), Variablen!$I$3:$AT$3, 0))="",L196,INDEX(Variablen!$I:$AT, MATCH(M196, Variablen!$A:$A, 0), MATCH((YEAR(D196)+1), Variablen!$I$3:$AT$3, 0))),L196)))*(IF((YEAR(D196)+1)&lt;YEAR(E196),0,IF((YEAR(D196)+1)&gt;YEAR(E196),1,(12-MONTH(E196)+1)/12))) + (Q196)*(IF((YEAR(D196)+1)&lt;YEAR(E196),0,IF((YEAR(D196)+1)&gt;YEAR(E196),1,(12-MONTH(E196)+1)/12))))-((P196)*(IF((YEAR(D196)+1)&lt;YEAR(E196),0,IF((YEAR(D196)+1)&gt;YEAR(E196),1,(12-MONTH(E196)+1)/12))) + (R196)*(IF((YEAR(D196)+1)&lt;YEAR(E196),0,IF((YEAR(D196)+1)&gt;YEAR(E196),1,(12-MONTH(E196)+1)/12))))-(IF(OR(N196="",N196&lt;=0),0,(O196/N196)*(IF(OR(N196="",N196&lt;=0),0,IF((YEAR(D196)+1)&lt;YEAR(E196),0,IF((YEAR(D196)+1)&gt;=YEAR(E196)+N196,0,IF((YEAR(D196)+1)=YEAR(E196),(12-MONTH(E196)+1)/12,1))))))))&gt;0,(((K196)*(IF(M196="",L196,IFERROR(IF(INDEX(Variablen!$I:$AT, MATCH(M196, Variablen!$A:$A, 0), MATCH((YEAR(D196)+1), Variablen!$I$3:$AT$3, 0))="",L196,INDEX(Variablen!$I:$AT, MATCH(M196, Variablen!$A:$A, 0), MATCH((YEAR(D196)+1), Variablen!$I$3:$AT$3, 0))),L196)))*(IF((YEAR(D196)+1)&lt;YEAR(E196),0,IF((YEAR(D196)+1)&gt;YEAR(E196),1,(12-MONTH(E196)+1)/12))) + (Q196)*(IF((YEAR(D196)+1)&lt;YEAR(E196),0,IF((YEAR(D196)+1)&gt;YEAR(E196),1,(12-MONTH(E196)+1)/12))))-((P196)*(IF((YEAR(D196)+1)&lt;YEAR(E196),0,IF((YEAR(D196)+1)&gt;YEAR(E196),1,(12-MONTH(E196)+1)/12))) + (R196)*(IF((YEAR(D196)+1)&lt;YEAR(E196),0,IF((YEAR(D196)+1)&gt;YEAR(E196),1,(12-MONTH(E196)+1)/12))))-(IF(OR(N196="",N196&lt;=0),0,(O196/N196)*(IF(OR(N196="",N196&lt;=0),0,IF((YEAR(D196)+1)&lt;YEAR(E196),0,IF((YEAR(D196)+1)&gt;=YEAR(E196)+N196,0,IF((YEAR(D196)+1)=YEAR(E196),(12-MONTH(E196)+1)/12,1))))))))*TaxRate,0))-IF(1=0,O196,0))</f>
        <v/>
      </c>
      <c r="U196" s="29">
        <f>IF(A196="","",((K196)*(IF(M196="",L196,IFERROR(IF(INDEX(Variablen!$I:$AT, MATCH(M196, Variablen!$A:$A, 0), MATCH((YEAR(D196)+2), Variablen!$I$3:$AT$3, 0))="",L196,INDEX(Variablen!$I:$AT, MATCH(M196, Variablen!$A:$A, 0), MATCH((YEAR(D196)+2), Variablen!$I$3:$AT$3, 0))),L196)))*(IF((YEAR(D196)+2)&lt;YEAR(E196),0,IF((YEAR(D196)+2)&gt;YEAR(E196),1,(12-MONTH(E196)+1)/12))) + (Q196)*(IF((YEAR(D196)+2)&lt;YEAR(E196),0,IF((YEAR(D196)+2)&gt;YEAR(E196),1,(12-MONTH(E196)+1)/12))))-((P196)*(IF((YEAR(D196)+2)&lt;YEAR(E196),0,IF((YEAR(D196)+2)&gt;YEAR(E196),1,(12-MONTH(E196)+1)/12))) + (R196)*(IF((YEAR(D196)+2)&lt;YEAR(E196),0,IF((YEAR(D196)+2)&gt;YEAR(E196),1,(12-MONTH(E196)+1)/12))))-(IF((((K196)*(IF(M196="",L196,IFERROR(IF(INDEX(Variablen!$I:$AT, MATCH(M196, Variablen!$A:$A, 0), MATCH((YEAR(D196)+2), Variablen!$I$3:$AT$3, 0))="",L196,INDEX(Variablen!$I:$AT, MATCH(M196, Variablen!$A:$A, 0), MATCH((YEAR(D196)+2), Variablen!$I$3:$AT$3, 0))),L196)))*(IF((YEAR(D196)+2)&lt;YEAR(E196),0,IF((YEAR(D196)+2)&gt;YEAR(E196),1,(12-MONTH(E196)+1)/12))) + (Q196)*(IF((YEAR(D196)+2)&lt;YEAR(E196),0,IF((YEAR(D196)+2)&gt;YEAR(E196),1,(12-MONTH(E196)+1)/12))))-((P196)*(IF((YEAR(D196)+2)&lt;YEAR(E196),0,IF((YEAR(D196)+2)&gt;YEAR(E196),1,(12-MONTH(E196)+1)/12))) + (R196)*(IF((YEAR(D196)+2)&lt;YEAR(E196),0,IF((YEAR(D196)+2)&gt;YEAR(E196),1,(12-MONTH(E196)+1)/12))))-(IF(OR(N196="",N196&lt;=0),0,(O196/N196)*(IF(OR(N196="",N196&lt;=0),0,IF((YEAR(D196)+2)&lt;YEAR(E196),0,IF((YEAR(D196)+2)&gt;=YEAR(E196)+N196,0,IF((YEAR(D196)+2)=YEAR(E196),(12-MONTH(E196)+1)/12,1))))))))&gt;0,(((K196)*(IF(M196="",L196,IFERROR(IF(INDEX(Variablen!$I:$AT, MATCH(M196, Variablen!$A:$A, 0), MATCH((YEAR(D196)+2), Variablen!$I$3:$AT$3, 0))="",L196,INDEX(Variablen!$I:$AT, MATCH(M196, Variablen!$A:$A, 0), MATCH((YEAR(D196)+2), Variablen!$I$3:$AT$3, 0))),L196)))*(IF((YEAR(D196)+2)&lt;YEAR(E196),0,IF((YEAR(D196)+2)&gt;YEAR(E196),1,(12-MONTH(E196)+1)/12))) + (Q196)*(IF((YEAR(D196)+2)&lt;YEAR(E196),0,IF((YEAR(D196)+2)&gt;YEAR(E196),1,(12-MONTH(E196)+1)/12))))-((P196)*(IF((YEAR(D196)+2)&lt;YEAR(E196),0,IF((YEAR(D196)+2)&gt;YEAR(E196),1,(12-MONTH(E196)+1)/12))) + (R196)*(IF((YEAR(D196)+2)&lt;YEAR(E196),0,IF((YEAR(D196)+2)&gt;YEAR(E196),1,(12-MONTH(E196)+1)/12))))-(IF(OR(N196="",N196&lt;=0),0,(O196/N196)*(IF(OR(N196="",N196&lt;=0),0,IF((YEAR(D196)+2)&lt;YEAR(E196),0,IF((YEAR(D196)+2)&gt;=YEAR(E196)+N196,0,IF((YEAR(D196)+2)=YEAR(E196),(12-MONTH(E196)+1)/12,1))))))))*TaxRate,0))-IF(2=0,O196,0))</f>
        <v/>
      </c>
      <c r="V196" s="29">
        <f>IF(A196="","",((K196)*(IF(M196="",L196,IFERROR(IF(INDEX(Variablen!$I:$AT, MATCH(M196, Variablen!$A:$A, 0), MATCH((YEAR(D196)+3), Variablen!$I$3:$AT$3, 0))="",L196,INDEX(Variablen!$I:$AT, MATCH(M196, Variablen!$A:$A, 0), MATCH((YEAR(D196)+3), Variablen!$I$3:$AT$3, 0))),L196)))*(IF((YEAR(D196)+3)&lt;YEAR(E196),0,IF((YEAR(D196)+3)&gt;YEAR(E196),1,(12-MONTH(E196)+1)/12))) + (Q196)*(IF((YEAR(D196)+3)&lt;YEAR(E196),0,IF((YEAR(D196)+3)&gt;YEAR(E196),1,(12-MONTH(E196)+1)/12))))-((P196)*(IF((YEAR(D196)+3)&lt;YEAR(E196),0,IF((YEAR(D196)+3)&gt;YEAR(E196),1,(12-MONTH(E196)+1)/12))) + (R196)*(IF((YEAR(D196)+3)&lt;YEAR(E196),0,IF((YEAR(D196)+3)&gt;YEAR(E196),1,(12-MONTH(E196)+1)/12))))-(IF((((K196)*(IF(M196="",L196,IFERROR(IF(INDEX(Variablen!$I:$AT, MATCH(M196, Variablen!$A:$A, 0), MATCH((YEAR(D196)+3), Variablen!$I$3:$AT$3, 0))="",L196,INDEX(Variablen!$I:$AT, MATCH(M196, Variablen!$A:$A, 0), MATCH((YEAR(D196)+3), Variablen!$I$3:$AT$3, 0))),L196)))*(IF((YEAR(D196)+3)&lt;YEAR(E196),0,IF((YEAR(D196)+3)&gt;YEAR(E196),1,(12-MONTH(E196)+1)/12))) + (Q196)*(IF((YEAR(D196)+3)&lt;YEAR(E196),0,IF((YEAR(D196)+3)&gt;YEAR(E196),1,(12-MONTH(E196)+1)/12))))-((P196)*(IF((YEAR(D196)+3)&lt;YEAR(E196),0,IF((YEAR(D196)+3)&gt;YEAR(E196),1,(12-MONTH(E196)+1)/12))) + (R196)*(IF((YEAR(D196)+3)&lt;YEAR(E196),0,IF((YEAR(D196)+3)&gt;YEAR(E196),1,(12-MONTH(E196)+1)/12))))-(IF(OR(N196="",N196&lt;=0),0,(O196/N196)*(IF(OR(N196="",N196&lt;=0),0,IF((YEAR(D196)+3)&lt;YEAR(E196),0,IF((YEAR(D196)+3)&gt;=YEAR(E196)+N196,0,IF((YEAR(D196)+3)=YEAR(E196),(12-MONTH(E196)+1)/12,1))))))))&gt;0,(((K196)*(IF(M196="",L196,IFERROR(IF(INDEX(Variablen!$I:$AT, MATCH(M196, Variablen!$A:$A, 0), MATCH((YEAR(D196)+3), Variablen!$I$3:$AT$3, 0))="",L196,INDEX(Variablen!$I:$AT, MATCH(M196, Variablen!$A:$A, 0), MATCH((YEAR(D196)+3), Variablen!$I$3:$AT$3, 0))),L196)))*(IF((YEAR(D196)+3)&lt;YEAR(E196),0,IF((YEAR(D196)+3)&gt;YEAR(E196),1,(12-MONTH(E196)+1)/12))) + (Q196)*(IF((YEAR(D196)+3)&lt;YEAR(E196),0,IF((YEAR(D196)+3)&gt;YEAR(E196),1,(12-MONTH(E196)+1)/12))))-((P196)*(IF((YEAR(D196)+3)&lt;YEAR(E196),0,IF((YEAR(D196)+3)&gt;YEAR(E196),1,(12-MONTH(E196)+1)/12))) + (R196)*(IF((YEAR(D196)+3)&lt;YEAR(E196),0,IF((YEAR(D196)+3)&gt;YEAR(E196),1,(12-MONTH(E196)+1)/12))))-(IF(OR(N196="",N196&lt;=0),0,(O196/N196)*(IF(OR(N196="",N196&lt;=0),0,IF((YEAR(D196)+3)&lt;YEAR(E196),0,IF((YEAR(D196)+3)&gt;=YEAR(E196)+N196,0,IF((YEAR(D196)+3)=YEAR(E196),(12-MONTH(E196)+1)/12,1))))))))*TaxRate,0))-IF(3=0,O196,0))</f>
        <v/>
      </c>
      <c r="W196" s="29">
        <f>IF(A196="","",((K196)*(IF(M196="",L196,IFERROR(IF(INDEX(Variablen!$I:$AT, MATCH(M196, Variablen!$A:$A, 0), MATCH((YEAR(D196)+4), Variablen!$I$3:$AT$3, 0))="",L196,INDEX(Variablen!$I:$AT, MATCH(M196, Variablen!$A:$A, 0), MATCH((YEAR(D196)+4), Variablen!$I$3:$AT$3, 0))),L196)))*(IF((YEAR(D196)+4)&lt;YEAR(E196),0,IF((YEAR(D196)+4)&gt;YEAR(E196),1,(12-MONTH(E196)+1)/12))) + (Q196)*(IF((YEAR(D196)+4)&lt;YEAR(E196),0,IF((YEAR(D196)+4)&gt;YEAR(E196),1,(12-MONTH(E196)+1)/12))))-((P196)*(IF((YEAR(D196)+4)&lt;YEAR(E196),0,IF((YEAR(D196)+4)&gt;YEAR(E196),1,(12-MONTH(E196)+1)/12))) + (R196)*(IF((YEAR(D196)+4)&lt;YEAR(E196),0,IF((YEAR(D196)+4)&gt;YEAR(E196),1,(12-MONTH(E196)+1)/12))))-(IF((((K196)*(IF(M196="",L196,IFERROR(IF(INDEX(Variablen!$I:$AT, MATCH(M196, Variablen!$A:$A, 0), MATCH((YEAR(D196)+4), Variablen!$I$3:$AT$3, 0))="",L196,INDEX(Variablen!$I:$AT, MATCH(M196, Variablen!$A:$A, 0), MATCH((YEAR(D196)+4), Variablen!$I$3:$AT$3, 0))),L196)))*(IF((YEAR(D196)+4)&lt;YEAR(E196),0,IF((YEAR(D196)+4)&gt;YEAR(E196),1,(12-MONTH(E196)+1)/12))) + (Q196)*(IF((YEAR(D196)+4)&lt;YEAR(E196),0,IF((YEAR(D196)+4)&gt;YEAR(E196),1,(12-MONTH(E196)+1)/12))))-((P196)*(IF((YEAR(D196)+4)&lt;YEAR(E196),0,IF((YEAR(D196)+4)&gt;YEAR(E196),1,(12-MONTH(E196)+1)/12))) + (R196)*(IF((YEAR(D196)+4)&lt;YEAR(E196),0,IF((YEAR(D196)+4)&gt;YEAR(E196),1,(12-MONTH(E196)+1)/12))))-(IF(OR(N196="",N196&lt;=0),0,(O196/N196)*(IF(OR(N196="",N196&lt;=0),0,IF((YEAR(D196)+4)&lt;YEAR(E196),0,IF((YEAR(D196)+4)&gt;=YEAR(E196)+N196,0,IF((YEAR(D196)+4)=YEAR(E196),(12-MONTH(E196)+1)/12,1))))))))&gt;0,(((K196)*(IF(M196="",L196,IFERROR(IF(INDEX(Variablen!$I:$AT, MATCH(M196, Variablen!$A:$A, 0), MATCH((YEAR(D196)+4), Variablen!$I$3:$AT$3, 0))="",L196,INDEX(Variablen!$I:$AT, MATCH(M196, Variablen!$A:$A, 0), MATCH((YEAR(D196)+4), Variablen!$I$3:$AT$3, 0))),L196)))*(IF((YEAR(D196)+4)&lt;YEAR(E196),0,IF((YEAR(D196)+4)&gt;YEAR(E196),1,(12-MONTH(E196)+1)/12))) + (Q196)*(IF((YEAR(D196)+4)&lt;YEAR(E196),0,IF((YEAR(D196)+4)&gt;YEAR(E196),1,(12-MONTH(E196)+1)/12))))-((P196)*(IF((YEAR(D196)+4)&lt;YEAR(E196),0,IF((YEAR(D196)+4)&gt;YEAR(E196),1,(12-MONTH(E196)+1)/12))) + (R196)*(IF((YEAR(D196)+4)&lt;YEAR(E196),0,IF((YEAR(D196)+4)&gt;YEAR(E196),1,(12-MONTH(E196)+1)/12))))-(IF(OR(N196="",N196&lt;=0),0,(O196/N196)*(IF(OR(N196="",N196&lt;=0),0,IF((YEAR(D196)+4)&lt;YEAR(E196),0,IF((YEAR(D196)+4)&gt;=YEAR(E196)+N196,0,IF((YEAR(D196)+4)=YEAR(E196),(12-MONTH(E196)+1)/12,1))))))))*TaxRate,0))-IF(4=0,O196,0))</f>
        <v/>
      </c>
      <c r="X196" s="29">
        <f>IF(A196="","",((K196)*(IF(M196="",L196,IFERROR(IF(INDEX(Variablen!$I:$AT, MATCH(M196, Variablen!$A:$A, 0), MATCH((YEAR(D196)+5), Variablen!$I$3:$AT$3, 0))="",L196,INDEX(Variablen!$I:$AT, MATCH(M196, Variablen!$A:$A, 0), MATCH((YEAR(D196)+5), Variablen!$I$3:$AT$3, 0))),L196)))*(IF((YEAR(D196)+5)&lt;YEAR(E196),0,IF((YEAR(D196)+5)&gt;YEAR(E196),1,(12-MONTH(E196)+1)/12))) + (Q196)*(IF((YEAR(D196)+5)&lt;YEAR(E196),0,IF((YEAR(D196)+5)&gt;YEAR(E196),1,(12-MONTH(E196)+1)/12))))-((P196)*(IF((YEAR(D196)+5)&lt;YEAR(E196),0,IF((YEAR(D196)+5)&gt;YEAR(E196),1,(12-MONTH(E196)+1)/12))) + (R196)*(IF((YEAR(D196)+5)&lt;YEAR(E196),0,IF((YEAR(D196)+5)&gt;YEAR(E196),1,(12-MONTH(E196)+1)/12))))-(IF((((K196)*(IF(M196="",L196,IFERROR(IF(INDEX(Variablen!$I:$AT, MATCH(M196, Variablen!$A:$A, 0), MATCH((YEAR(D196)+5), Variablen!$I$3:$AT$3, 0))="",L196,INDEX(Variablen!$I:$AT, MATCH(M196, Variablen!$A:$A, 0), MATCH((YEAR(D196)+5), Variablen!$I$3:$AT$3, 0))),L196)))*(IF((YEAR(D196)+5)&lt;YEAR(E196),0,IF((YEAR(D196)+5)&gt;YEAR(E196),1,(12-MONTH(E196)+1)/12))) + (Q196)*(IF((YEAR(D196)+5)&lt;YEAR(E196),0,IF((YEAR(D196)+5)&gt;YEAR(E196),1,(12-MONTH(E196)+1)/12))))-((P196)*(IF((YEAR(D196)+5)&lt;YEAR(E196),0,IF((YEAR(D196)+5)&gt;YEAR(E196),1,(12-MONTH(E196)+1)/12))) + (R196)*(IF((YEAR(D196)+5)&lt;YEAR(E196),0,IF((YEAR(D196)+5)&gt;YEAR(E196),1,(12-MONTH(E196)+1)/12))))-(IF(OR(N196="",N196&lt;=0),0,(O196/N196)*(IF(OR(N196="",N196&lt;=0),0,IF((YEAR(D196)+5)&lt;YEAR(E196),0,IF((YEAR(D196)+5)&gt;=YEAR(E196)+N196,0,IF((YEAR(D196)+5)=YEAR(E196),(12-MONTH(E196)+1)/12,1))))))))&gt;0,(((K196)*(IF(M196="",L196,IFERROR(IF(INDEX(Variablen!$I:$AT, MATCH(M196, Variablen!$A:$A, 0), MATCH((YEAR(D196)+5), Variablen!$I$3:$AT$3, 0))="",L196,INDEX(Variablen!$I:$AT, MATCH(M196, Variablen!$A:$A, 0), MATCH((YEAR(D196)+5), Variablen!$I$3:$AT$3, 0))),L196)))*(IF((YEAR(D196)+5)&lt;YEAR(E196),0,IF((YEAR(D196)+5)&gt;YEAR(E196),1,(12-MONTH(E196)+1)/12))) + (Q196)*(IF((YEAR(D196)+5)&lt;YEAR(E196),0,IF((YEAR(D196)+5)&gt;YEAR(E196),1,(12-MONTH(E196)+1)/12))))-((P196)*(IF((YEAR(D196)+5)&lt;YEAR(E196),0,IF((YEAR(D196)+5)&gt;YEAR(E196),1,(12-MONTH(E196)+1)/12))) + (R196)*(IF((YEAR(D196)+5)&lt;YEAR(E196),0,IF((YEAR(D196)+5)&gt;YEAR(E196),1,(12-MONTH(E196)+1)/12))))-(IF(OR(N196="",N196&lt;=0),0,(O196/N196)*(IF(OR(N196="",N196&lt;=0),0,IF((YEAR(D196)+5)&lt;YEAR(E196),0,IF((YEAR(D196)+5)&gt;=YEAR(E196)+N196,0,IF((YEAR(D196)+5)=YEAR(E196),(12-MONTH(E196)+1)/12,1))))))))*TaxRate,0))-IF(5=0,O196,0))</f>
        <v/>
      </c>
      <c r="Y196" s="29">
        <f>IF(A196="","",((K196)*(IF(M196="",L196,IFERROR(IF(INDEX(Variablen!$I:$AT, MATCH(M196, Variablen!$A:$A, 0), MATCH((YEAR(D196)+6), Variablen!$I$3:$AT$3, 0))="",L196,INDEX(Variablen!$I:$AT, MATCH(M196, Variablen!$A:$A, 0), MATCH((YEAR(D196)+6), Variablen!$I$3:$AT$3, 0))),L196)))*(IF((YEAR(D196)+6)&lt;YEAR(E196),0,IF((YEAR(D196)+6)&gt;YEAR(E196),1,(12-MONTH(E196)+1)/12))) + (Q196)*(IF((YEAR(D196)+6)&lt;YEAR(E196),0,IF((YEAR(D196)+6)&gt;YEAR(E196),1,(12-MONTH(E196)+1)/12))))-((P196)*(IF((YEAR(D196)+6)&lt;YEAR(E196),0,IF((YEAR(D196)+6)&gt;YEAR(E196),1,(12-MONTH(E196)+1)/12))) + (R196)*(IF((YEAR(D196)+6)&lt;YEAR(E196),0,IF((YEAR(D196)+6)&gt;YEAR(E196),1,(12-MONTH(E196)+1)/12))))-(IF((((K196)*(IF(M196="",L196,IFERROR(IF(INDEX(Variablen!$I:$AT, MATCH(M196, Variablen!$A:$A, 0), MATCH((YEAR(D196)+6), Variablen!$I$3:$AT$3, 0))="",L196,INDEX(Variablen!$I:$AT, MATCH(M196, Variablen!$A:$A, 0), MATCH((YEAR(D196)+6), Variablen!$I$3:$AT$3, 0))),L196)))*(IF((YEAR(D196)+6)&lt;YEAR(E196),0,IF((YEAR(D196)+6)&gt;YEAR(E196),1,(12-MONTH(E196)+1)/12))) + (Q196)*(IF((YEAR(D196)+6)&lt;YEAR(E196),0,IF((YEAR(D196)+6)&gt;YEAR(E196),1,(12-MONTH(E196)+1)/12))))-((P196)*(IF((YEAR(D196)+6)&lt;YEAR(E196),0,IF((YEAR(D196)+6)&gt;YEAR(E196),1,(12-MONTH(E196)+1)/12))) + (R196)*(IF((YEAR(D196)+6)&lt;YEAR(E196),0,IF((YEAR(D196)+6)&gt;YEAR(E196),1,(12-MONTH(E196)+1)/12))))-(IF(OR(N196="",N196&lt;=0),0,(O196/N196)*(IF(OR(N196="",N196&lt;=0),0,IF((YEAR(D196)+6)&lt;YEAR(E196),0,IF((YEAR(D196)+6)&gt;=YEAR(E196)+N196,0,IF((YEAR(D196)+6)=YEAR(E196),(12-MONTH(E196)+1)/12,1))))))))&gt;0,(((K196)*(IF(M196="",L196,IFERROR(IF(INDEX(Variablen!$I:$AT, MATCH(M196, Variablen!$A:$A, 0), MATCH((YEAR(D196)+6), Variablen!$I$3:$AT$3, 0))="",L196,INDEX(Variablen!$I:$AT, MATCH(M196, Variablen!$A:$A, 0), MATCH((YEAR(D196)+6), Variablen!$I$3:$AT$3, 0))),L196)))*(IF((YEAR(D196)+6)&lt;YEAR(E196),0,IF((YEAR(D196)+6)&gt;YEAR(E196),1,(12-MONTH(E196)+1)/12))) + (Q196)*(IF((YEAR(D196)+6)&lt;YEAR(E196),0,IF((YEAR(D196)+6)&gt;YEAR(E196),1,(12-MONTH(E196)+1)/12))))-((P196)*(IF((YEAR(D196)+6)&lt;YEAR(E196),0,IF((YEAR(D196)+6)&gt;YEAR(E196),1,(12-MONTH(E196)+1)/12))) + (R196)*(IF((YEAR(D196)+6)&lt;YEAR(E196),0,IF((YEAR(D196)+6)&gt;YEAR(E196),1,(12-MONTH(E196)+1)/12))))-(IF(OR(N196="",N196&lt;=0),0,(O196/N196)*(IF(OR(N196="",N196&lt;=0),0,IF((YEAR(D196)+6)&lt;YEAR(E196),0,IF((YEAR(D196)+6)&gt;=YEAR(E196)+N196,0,IF((YEAR(D196)+6)=YEAR(E196),(12-MONTH(E196)+1)/12,1))))))))*TaxRate,0))-IF(6=0,O196,0))</f>
        <v/>
      </c>
      <c r="Z196" s="29">
        <f>IF(A196="","",((K196)*(IF(M196="",L196,IFERROR(IF(INDEX(Variablen!$I:$AT, MATCH(M196, Variablen!$A:$A, 0), MATCH((YEAR(D196)+7), Variablen!$I$3:$AT$3, 0))="",L196,INDEX(Variablen!$I:$AT, MATCH(M196, Variablen!$A:$A, 0), MATCH((YEAR(D196)+7), Variablen!$I$3:$AT$3, 0))),L196)))*(IF((YEAR(D196)+7)&lt;YEAR(E196),0,IF((YEAR(D196)+7)&gt;YEAR(E196),1,(12-MONTH(E196)+1)/12))) + (Q196)*(IF((YEAR(D196)+7)&lt;YEAR(E196),0,IF((YEAR(D196)+7)&gt;YEAR(E196),1,(12-MONTH(E196)+1)/12))))-((P196)*(IF((YEAR(D196)+7)&lt;YEAR(E196),0,IF((YEAR(D196)+7)&gt;YEAR(E196),1,(12-MONTH(E196)+1)/12))) + (R196)*(IF((YEAR(D196)+7)&lt;YEAR(E196),0,IF((YEAR(D196)+7)&gt;YEAR(E196),1,(12-MONTH(E196)+1)/12))))-(IF((((K196)*(IF(M196="",L196,IFERROR(IF(INDEX(Variablen!$I:$AT, MATCH(M196, Variablen!$A:$A, 0), MATCH((YEAR(D196)+7), Variablen!$I$3:$AT$3, 0))="",L196,INDEX(Variablen!$I:$AT, MATCH(M196, Variablen!$A:$A, 0), MATCH((YEAR(D196)+7), Variablen!$I$3:$AT$3, 0))),L196)))*(IF((YEAR(D196)+7)&lt;YEAR(E196),0,IF((YEAR(D196)+7)&gt;YEAR(E196),1,(12-MONTH(E196)+1)/12))) + (Q196)*(IF((YEAR(D196)+7)&lt;YEAR(E196),0,IF((YEAR(D196)+7)&gt;YEAR(E196),1,(12-MONTH(E196)+1)/12))))-((P196)*(IF((YEAR(D196)+7)&lt;YEAR(E196),0,IF((YEAR(D196)+7)&gt;YEAR(E196),1,(12-MONTH(E196)+1)/12))) + (R196)*(IF((YEAR(D196)+7)&lt;YEAR(E196),0,IF((YEAR(D196)+7)&gt;YEAR(E196),1,(12-MONTH(E196)+1)/12))))-(IF(OR(N196="",N196&lt;=0),0,(O196/N196)*(IF(OR(N196="",N196&lt;=0),0,IF((YEAR(D196)+7)&lt;YEAR(E196),0,IF((YEAR(D196)+7)&gt;=YEAR(E196)+N196,0,IF((YEAR(D196)+7)=YEAR(E196),(12-MONTH(E196)+1)/12,1))))))))&gt;0,(((K196)*(IF(M196="",L196,IFERROR(IF(INDEX(Variablen!$I:$AT, MATCH(M196, Variablen!$A:$A, 0), MATCH((YEAR(D196)+7), Variablen!$I$3:$AT$3, 0))="",L196,INDEX(Variablen!$I:$AT, MATCH(M196, Variablen!$A:$A, 0), MATCH((YEAR(D196)+7), Variablen!$I$3:$AT$3, 0))),L196)))*(IF((YEAR(D196)+7)&lt;YEAR(E196),0,IF((YEAR(D196)+7)&gt;YEAR(E196),1,(12-MONTH(E196)+1)/12))) + (Q196)*(IF((YEAR(D196)+7)&lt;YEAR(E196),0,IF((YEAR(D196)+7)&gt;YEAR(E196),1,(12-MONTH(E196)+1)/12))))-((P196)*(IF((YEAR(D196)+7)&lt;YEAR(E196),0,IF((YEAR(D196)+7)&gt;YEAR(E196),1,(12-MONTH(E196)+1)/12))) + (R196)*(IF((YEAR(D196)+7)&lt;YEAR(E196),0,IF((YEAR(D196)+7)&gt;YEAR(E196),1,(12-MONTH(E196)+1)/12))))-(IF(OR(N196="",N196&lt;=0),0,(O196/N196)*(IF(OR(N196="",N196&lt;=0),0,IF((YEAR(D196)+7)&lt;YEAR(E196),0,IF((YEAR(D196)+7)&gt;=YEAR(E196)+N196,0,IF((YEAR(D196)+7)=YEAR(E196),(12-MONTH(E196)+1)/12,1))))))))*TaxRate,0))-IF(7=0,O196,0))</f>
        <v/>
      </c>
      <c r="AA196" s="29">
        <f>IF(A196="","",((K196)*(IF(M196="",L196,IFERROR(IF(INDEX(Variablen!$I:$AT, MATCH(M196, Variablen!$A:$A, 0), MATCH((YEAR(D196)+8), Variablen!$I$3:$AT$3, 0))="",L196,INDEX(Variablen!$I:$AT, MATCH(M196, Variablen!$A:$A, 0), MATCH((YEAR(D196)+8), Variablen!$I$3:$AT$3, 0))),L196)))*(IF((YEAR(D196)+8)&lt;YEAR(E196),0,IF((YEAR(D196)+8)&gt;YEAR(E196),1,(12-MONTH(E196)+1)/12))) + (Q196)*(IF((YEAR(D196)+8)&lt;YEAR(E196),0,IF((YEAR(D196)+8)&gt;YEAR(E196),1,(12-MONTH(E196)+1)/12))))-((P196)*(IF((YEAR(D196)+8)&lt;YEAR(E196),0,IF((YEAR(D196)+8)&gt;YEAR(E196),1,(12-MONTH(E196)+1)/12))) + (R196)*(IF((YEAR(D196)+8)&lt;YEAR(E196),0,IF((YEAR(D196)+8)&gt;YEAR(E196),1,(12-MONTH(E196)+1)/12))))-(IF((((K196)*(IF(M196="",L196,IFERROR(IF(INDEX(Variablen!$I:$AT, MATCH(M196, Variablen!$A:$A, 0), MATCH((YEAR(D196)+8), Variablen!$I$3:$AT$3, 0))="",L196,INDEX(Variablen!$I:$AT, MATCH(M196, Variablen!$A:$A, 0), MATCH((YEAR(D196)+8), Variablen!$I$3:$AT$3, 0))),L196)))*(IF((YEAR(D196)+8)&lt;YEAR(E196),0,IF((YEAR(D196)+8)&gt;YEAR(E196),1,(12-MONTH(E196)+1)/12))) + (Q196)*(IF((YEAR(D196)+8)&lt;YEAR(E196),0,IF((YEAR(D196)+8)&gt;YEAR(E196),1,(12-MONTH(E196)+1)/12))))-((P196)*(IF((YEAR(D196)+8)&lt;YEAR(E196),0,IF((YEAR(D196)+8)&gt;YEAR(E196),1,(12-MONTH(E196)+1)/12))) + (R196)*(IF((YEAR(D196)+8)&lt;YEAR(E196),0,IF((YEAR(D196)+8)&gt;YEAR(E196),1,(12-MONTH(E196)+1)/12))))-(IF(OR(N196="",N196&lt;=0),0,(O196/N196)*(IF(OR(N196="",N196&lt;=0),0,IF((YEAR(D196)+8)&lt;YEAR(E196),0,IF((YEAR(D196)+8)&gt;=YEAR(E196)+N196,0,IF((YEAR(D196)+8)=YEAR(E196),(12-MONTH(E196)+1)/12,1))))))))&gt;0,(((K196)*(IF(M196="",L196,IFERROR(IF(INDEX(Variablen!$I:$AT, MATCH(M196, Variablen!$A:$A, 0), MATCH((YEAR(D196)+8), Variablen!$I$3:$AT$3, 0))="",L196,INDEX(Variablen!$I:$AT, MATCH(M196, Variablen!$A:$A, 0), MATCH((YEAR(D196)+8), Variablen!$I$3:$AT$3, 0))),L196)))*(IF((YEAR(D196)+8)&lt;YEAR(E196),0,IF((YEAR(D196)+8)&gt;YEAR(E196),1,(12-MONTH(E196)+1)/12))) + (Q196)*(IF((YEAR(D196)+8)&lt;YEAR(E196),0,IF((YEAR(D196)+8)&gt;YEAR(E196),1,(12-MONTH(E196)+1)/12))))-((P196)*(IF((YEAR(D196)+8)&lt;YEAR(E196),0,IF((YEAR(D196)+8)&gt;YEAR(E196),1,(12-MONTH(E196)+1)/12))) + (R196)*(IF((YEAR(D196)+8)&lt;YEAR(E196),0,IF((YEAR(D196)+8)&gt;YEAR(E196),1,(12-MONTH(E196)+1)/12))))-(IF(OR(N196="",N196&lt;=0),0,(O196/N196)*(IF(OR(N196="",N196&lt;=0),0,IF((YEAR(D196)+8)&lt;YEAR(E196),0,IF((YEAR(D196)+8)&gt;=YEAR(E196)+N196,0,IF((YEAR(D196)+8)=YEAR(E196),(12-MONTH(E196)+1)/12,1))))))))*TaxRate,0))-IF(8=0,O196,0))</f>
        <v/>
      </c>
      <c r="AB196" s="29">
        <f>IF(A196="","",((K196)*(IF(M196="",L196,IFERROR(IF(INDEX(Variablen!$I:$AT, MATCH(M196, Variablen!$A:$A, 0), MATCH((YEAR(D196)+9), Variablen!$I$3:$AT$3, 0))="",L196,INDEX(Variablen!$I:$AT, MATCH(M196, Variablen!$A:$A, 0), MATCH((YEAR(D196)+9), Variablen!$I$3:$AT$3, 0))),L196)))*(IF((YEAR(D196)+9)&lt;YEAR(E196),0,IF((YEAR(D196)+9)&gt;YEAR(E196),1,(12-MONTH(E196)+1)/12))) + (Q196)*(IF((YEAR(D196)+9)&lt;YEAR(E196),0,IF((YEAR(D196)+9)&gt;YEAR(E196),1,(12-MONTH(E196)+1)/12))))-((P196)*(IF((YEAR(D196)+9)&lt;YEAR(E196),0,IF((YEAR(D196)+9)&gt;YEAR(E196),1,(12-MONTH(E196)+1)/12))) + (R196)*(IF((YEAR(D196)+9)&lt;YEAR(E196),0,IF((YEAR(D196)+9)&gt;YEAR(E196),1,(12-MONTH(E196)+1)/12))))-(IF((((K196)*(IF(M196="",L196,IFERROR(IF(INDEX(Variablen!$I:$AT, MATCH(M196, Variablen!$A:$A, 0), MATCH((YEAR(D196)+9), Variablen!$I$3:$AT$3, 0))="",L196,INDEX(Variablen!$I:$AT, MATCH(M196, Variablen!$A:$A, 0), MATCH((YEAR(D196)+9), Variablen!$I$3:$AT$3, 0))),L196)))*(IF((YEAR(D196)+9)&lt;YEAR(E196),0,IF((YEAR(D196)+9)&gt;YEAR(E196),1,(12-MONTH(E196)+1)/12))) + (Q196)*(IF((YEAR(D196)+9)&lt;YEAR(E196),0,IF((YEAR(D196)+9)&gt;YEAR(E196),1,(12-MONTH(E196)+1)/12))))-((P196)*(IF((YEAR(D196)+9)&lt;YEAR(E196),0,IF((YEAR(D196)+9)&gt;YEAR(E196),1,(12-MONTH(E196)+1)/12))) + (R196)*(IF((YEAR(D196)+9)&lt;YEAR(E196),0,IF((YEAR(D196)+9)&gt;YEAR(E196),1,(12-MONTH(E196)+1)/12))))-(IF(OR(N196="",N196&lt;=0),0,(O196/N196)*(IF(OR(N196="",N196&lt;=0),0,IF((YEAR(D196)+9)&lt;YEAR(E196),0,IF((YEAR(D196)+9)&gt;=YEAR(E196)+N196,0,IF((YEAR(D196)+9)=YEAR(E196),(12-MONTH(E196)+1)/12,1))))))))&gt;0,(((K196)*(IF(M196="",L196,IFERROR(IF(INDEX(Variablen!$I:$AT, MATCH(M196, Variablen!$A:$A, 0), MATCH((YEAR(D196)+9), Variablen!$I$3:$AT$3, 0))="",L196,INDEX(Variablen!$I:$AT, MATCH(M196, Variablen!$A:$A, 0), MATCH((YEAR(D196)+9), Variablen!$I$3:$AT$3, 0))),L196)))*(IF((YEAR(D196)+9)&lt;YEAR(E196),0,IF((YEAR(D196)+9)&gt;YEAR(E196),1,(12-MONTH(E196)+1)/12))) + (Q196)*(IF((YEAR(D196)+9)&lt;YEAR(E196),0,IF((YEAR(D196)+9)&gt;YEAR(E196),1,(12-MONTH(E196)+1)/12))))-((P196)*(IF((YEAR(D196)+9)&lt;YEAR(E196),0,IF((YEAR(D196)+9)&gt;YEAR(E196),1,(12-MONTH(E196)+1)/12))) + (R196)*(IF((YEAR(D196)+9)&lt;YEAR(E196),0,IF((YEAR(D196)+9)&gt;YEAR(E196),1,(12-MONTH(E196)+1)/12))))-(IF(OR(N196="",N196&lt;=0),0,(O196/N196)*(IF(OR(N196="",N196&lt;=0),0,IF((YEAR(D196)+9)&lt;YEAR(E196),0,IF((YEAR(D196)+9)&gt;=YEAR(E196)+N196,0,IF((YEAR(D196)+9)=YEAR(E196),(12-MONTH(E196)+1)/12,1))))))))*TaxRate,0))-IF(9=0,O196,0))</f>
        <v/>
      </c>
      <c r="AC196" s="29">
        <f>IF(A196="","",((K196)*(IF(M196="",L196,IFERROR(IF(INDEX(Variablen!$I:$AT, MATCH(M196, Variablen!$A:$A, 0), MATCH((YEAR(D196)+10), Variablen!$I$3:$AT$3, 0))="",L196,INDEX(Variablen!$I:$AT, MATCH(M196, Variablen!$A:$A, 0), MATCH((YEAR(D196)+10), Variablen!$I$3:$AT$3, 0))),L196)))*(IF((YEAR(D196)+10)&lt;YEAR(E196),0,IF((YEAR(D196)+10)&gt;YEAR(E196),1,(12-MONTH(E196)+1)/12))) + (Q196)*(IF((YEAR(D196)+10)&lt;YEAR(E196),0,IF((YEAR(D196)+10)&gt;YEAR(E196),1,(12-MONTH(E196)+1)/12))))-((P196)*(IF((YEAR(D196)+10)&lt;YEAR(E196),0,IF((YEAR(D196)+10)&gt;YEAR(E196),1,(12-MONTH(E196)+1)/12))) + (R196)*(IF((YEAR(D196)+10)&lt;YEAR(E196),0,IF((YEAR(D196)+10)&gt;YEAR(E196),1,(12-MONTH(E196)+1)/12))))-(IF((((K196)*(IF(M196="",L196,IFERROR(IF(INDEX(Variablen!$I:$AT, MATCH(M196, Variablen!$A:$A, 0), MATCH((YEAR(D196)+10), Variablen!$I$3:$AT$3, 0))="",L196,INDEX(Variablen!$I:$AT, MATCH(M196, Variablen!$A:$A, 0), MATCH((YEAR(D196)+10), Variablen!$I$3:$AT$3, 0))),L196)))*(IF((YEAR(D196)+10)&lt;YEAR(E196),0,IF((YEAR(D196)+10)&gt;YEAR(E196),1,(12-MONTH(E196)+1)/12))) + (Q196)*(IF((YEAR(D196)+10)&lt;YEAR(E196),0,IF((YEAR(D196)+10)&gt;YEAR(E196),1,(12-MONTH(E196)+1)/12))))-((P196)*(IF((YEAR(D196)+10)&lt;YEAR(E196),0,IF((YEAR(D196)+10)&gt;YEAR(E196),1,(12-MONTH(E196)+1)/12))) + (R196)*(IF((YEAR(D196)+10)&lt;YEAR(E196),0,IF((YEAR(D196)+10)&gt;YEAR(E196),1,(12-MONTH(E196)+1)/12))))-(IF(OR(N196="",N196&lt;=0),0,(O196/N196)*(IF(OR(N196="",N196&lt;=0),0,IF((YEAR(D196)+10)&lt;YEAR(E196),0,IF((YEAR(D196)+10)&gt;=YEAR(E196)+N196,0,IF((YEAR(D196)+10)=YEAR(E196),(12-MONTH(E196)+1)/12,1))))))))&gt;0,(((K196)*(IF(M196="",L196,IFERROR(IF(INDEX(Variablen!$I:$AT, MATCH(M196, Variablen!$A:$A, 0), MATCH((YEAR(D196)+10), Variablen!$I$3:$AT$3, 0))="",L196,INDEX(Variablen!$I:$AT, MATCH(M196, Variablen!$A:$A, 0), MATCH((YEAR(D196)+10), Variablen!$I$3:$AT$3, 0))),L196)))*(IF((YEAR(D196)+10)&lt;YEAR(E196),0,IF((YEAR(D196)+10)&gt;YEAR(E196),1,(12-MONTH(E196)+1)/12))) + (Q196)*(IF((YEAR(D196)+10)&lt;YEAR(E196),0,IF((YEAR(D196)+10)&gt;YEAR(E196),1,(12-MONTH(E196)+1)/12))))-((P196)*(IF((YEAR(D196)+10)&lt;YEAR(E196),0,IF((YEAR(D196)+10)&gt;YEAR(E196),1,(12-MONTH(E196)+1)/12))) + (R196)*(IF((YEAR(D196)+10)&lt;YEAR(E196),0,IF((YEAR(D196)+10)&gt;YEAR(E196),1,(12-MONTH(E196)+1)/12))))-(IF(OR(N196="",N196&lt;=0),0,(O196/N196)*(IF(OR(N196="",N196&lt;=0),0,IF((YEAR(D196)+10)&lt;YEAR(E196),0,IF((YEAR(D196)+10)&gt;=YEAR(E196)+N196,0,IF((YEAR(D196)+10)=YEAR(E196),(12-MONTH(E196)+1)/12,1))))))))*TaxRate,0))-IF(10=0,O196,0))</f>
        <v/>
      </c>
      <c r="AD196" s="29">
        <f>IF(A196="","",((K196)*(IF(M196="",L196,IFERROR(IF(INDEX(Variablen!$I:$AT, MATCH(M196, Variablen!$A:$A, 0), MATCH((YEAR(D196)+11), Variablen!$I$3:$AT$3, 0))="",L196,INDEX(Variablen!$I:$AT, MATCH(M196, Variablen!$A:$A, 0), MATCH((YEAR(D196)+11), Variablen!$I$3:$AT$3, 0))),L196)))*(IF((YEAR(D196)+11)&lt;YEAR(E196),0,IF((YEAR(D196)+11)&gt;YEAR(E196),1,(12-MONTH(E196)+1)/12))) + (Q196)*(IF((YEAR(D196)+11)&lt;YEAR(E196),0,IF((YEAR(D196)+11)&gt;YEAR(E196),1,(12-MONTH(E196)+1)/12))))-((P196)*(IF((YEAR(D196)+11)&lt;YEAR(E196),0,IF((YEAR(D196)+11)&gt;YEAR(E196),1,(12-MONTH(E196)+1)/12))) + (R196)*(IF((YEAR(D196)+11)&lt;YEAR(E196),0,IF((YEAR(D196)+11)&gt;YEAR(E196),1,(12-MONTH(E196)+1)/12))))-(IF((((K196)*(IF(M196="",L196,IFERROR(IF(INDEX(Variablen!$I:$AT, MATCH(M196, Variablen!$A:$A, 0), MATCH((YEAR(D196)+11), Variablen!$I$3:$AT$3, 0))="",L196,INDEX(Variablen!$I:$AT, MATCH(M196, Variablen!$A:$A, 0), MATCH((YEAR(D196)+11), Variablen!$I$3:$AT$3, 0))),L196)))*(IF((YEAR(D196)+11)&lt;YEAR(E196),0,IF((YEAR(D196)+11)&gt;YEAR(E196),1,(12-MONTH(E196)+1)/12))) + (Q196)*(IF((YEAR(D196)+11)&lt;YEAR(E196),0,IF((YEAR(D196)+11)&gt;YEAR(E196),1,(12-MONTH(E196)+1)/12))))-((P196)*(IF((YEAR(D196)+11)&lt;YEAR(E196),0,IF((YEAR(D196)+11)&gt;YEAR(E196),1,(12-MONTH(E196)+1)/12))) + (R196)*(IF((YEAR(D196)+11)&lt;YEAR(E196),0,IF((YEAR(D196)+11)&gt;YEAR(E196),1,(12-MONTH(E196)+1)/12))))-(IF(OR(N196="",N196&lt;=0),0,(O196/N196)*(IF(OR(N196="",N196&lt;=0),0,IF((YEAR(D196)+11)&lt;YEAR(E196),0,IF((YEAR(D196)+11)&gt;=YEAR(E196)+N196,0,IF((YEAR(D196)+11)=YEAR(E196),(12-MONTH(E196)+1)/12,1))))))))&gt;0,(((K196)*(IF(M196="",L196,IFERROR(IF(INDEX(Variablen!$I:$AT, MATCH(M196, Variablen!$A:$A, 0), MATCH((YEAR(D196)+11), Variablen!$I$3:$AT$3, 0))="",L196,INDEX(Variablen!$I:$AT, MATCH(M196, Variablen!$A:$A, 0), MATCH((YEAR(D196)+11), Variablen!$I$3:$AT$3, 0))),L196)))*(IF((YEAR(D196)+11)&lt;YEAR(E196),0,IF((YEAR(D196)+11)&gt;YEAR(E196),1,(12-MONTH(E196)+1)/12))) + (Q196)*(IF((YEAR(D196)+11)&lt;YEAR(E196),0,IF((YEAR(D196)+11)&gt;YEAR(E196),1,(12-MONTH(E196)+1)/12))))-((P196)*(IF((YEAR(D196)+11)&lt;YEAR(E196),0,IF((YEAR(D196)+11)&gt;YEAR(E196),1,(12-MONTH(E196)+1)/12))) + (R196)*(IF((YEAR(D196)+11)&lt;YEAR(E196),0,IF((YEAR(D196)+11)&gt;YEAR(E196),1,(12-MONTH(E196)+1)/12))))-(IF(OR(N196="",N196&lt;=0),0,(O196/N196)*(IF(OR(N196="",N196&lt;=0),0,IF((YEAR(D196)+11)&lt;YEAR(E196),0,IF((YEAR(D196)+11)&gt;=YEAR(E196)+N196,0,IF((YEAR(D196)+11)=YEAR(E196),(12-MONTH(E196)+1)/12,1))))))))*TaxRate,0))-IF(11=0,O196,0))</f>
        <v/>
      </c>
      <c r="AE196" s="29">
        <f>IF(A196="","",((K196)*(IF(M196="",L196,IFERROR(IF(INDEX(Variablen!$I:$AT, MATCH(M196, Variablen!$A:$A, 0), MATCH((YEAR(D196)+12), Variablen!$I$3:$AT$3, 0))="",L196,INDEX(Variablen!$I:$AT, MATCH(M196, Variablen!$A:$A, 0), MATCH((YEAR(D196)+12), Variablen!$I$3:$AT$3, 0))),L196)))*(IF((YEAR(D196)+12)&lt;YEAR(E196),0,IF((YEAR(D196)+12)&gt;YEAR(E196),1,(12-MONTH(E196)+1)/12))) + (Q196)*(IF((YEAR(D196)+12)&lt;YEAR(E196),0,IF((YEAR(D196)+12)&gt;YEAR(E196),1,(12-MONTH(E196)+1)/12))))-((P196)*(IF((YEAR(D196)+12)&lt;YEAR(E196),0,IF((YEAR(D196)+12)&gt;YEAR(E196),1,(12-MONTH(E196)+1)/12))) + (R196)*(IF((YEAR(D196)+12)&lt;YEAR(E196),0,IF((YEAR(D196)+12)&gt;YEAR(E196),1,(12-MONTH(E196)+1)/12))))-(IF((((K196)*(IF(M196="",L196,IFERROR(IF(INDEX(Variablen!$I:$AT, MATCH(M196, Variablen!$A:$A, 0), MATCH((YEAR(D196)+12), Variablen!$I$3:$AT$3, 0))="",L196,INDEX(Variablen!$I:$AT, MATCH(M196, Variablen!$A:$A, 0), MATCH((YEAR(D196)+12), Variablen!$I$3:$AT$3, 0))),L196)))*(IF((YEAR(D196)+12)&lt;YEAR(E196),0,IF((YEAR(D196)+12)&gt;YEAR(E196),1,(12-MONTH(E196)+1)/12))) + (Q196)*(IF((YEAR(D196)+12)&lt;YEAR(E196),0,IF((YEAR(D196)+12)&gt;YEAR(E196),1,(12-MONTH(E196)+1)/12))))-((P196)*(IF((YEAR(D196)+12)&lt;YEAR(E196),0,IF((YEAR(D196)+12)&gt;YEAR(E196),1,(12-MONTH(E196)+1)/12))) + (R196)*(IF((YEAR(D196)+12)&lt;YEAR(E196),0,IF((YEAR(D196)+12)&gt;YEAR(E196),1,(12-MONTH(E196)+1)/12))))-(IF(OR(N196="",N196&lt;=0),0,(O196/N196)*(IF(OR(N196="",N196&lt;=0),0,IF((YEAR(D196)+12)&lt;YEAR(E196),0,IF((YEAR(D196)+12)&gt;=YEAR(E196)+N196,0,IF((YEAR(D196)+12)=YEAR(E196),(12-MONTH(E196)+1)/12,1))))))))&gt;0,(((K196)*(IF(M196="",L196,IFERROR(IF(INDEX(Variablen!$I:$AT, MATCH(M196, Variablen!$A:$A, 0), MATCH((YEAR(D196)+12), Variablen!$I$3:$AT$3, 0))="",L196,INDEX(Variablen!$I:$AT, MATCH(M196, Variablen!$A:$A, 0), MATCH((YEAR(D196)+12), Variablen!$I$3:$AT$3, 0))),L196)))*(IF((YEAR(D196)+12)&lt;YEAR(E196),0,IF((YEAR(D196)+12)&gt;YEAR(E196),1,(12-MONTH(E196)+1)/12))) + (Q196)*(IF((YEAR(D196)+12)&lt;YEAR(E196),0,IF((YEAR(D196)+12)&gt;YEAR(E196),1,(12-MONTH(E196)+1)/12))))-((P196)*(IF((YEAR(D196)+12)&lt;YEAR(E196),0,IF((YEAR(D196)+12)&gt;YEAR(E196),1,(12-MONTH(E196)+1)/12))) + (R196)*(IF((YEAR(D196)+12)&lt;YEAR(E196),0,IF((YEAR(D196)+12)&gt;YEAR(E196),1,(12-MONTH(E196)+1)/12))))-(IF(OR(N196="",N196&lt;=0),0,(O196/N196)*(IF(OR(N196="",N196&lt;=0),0,IF((YEAR(D196)+12)&lt;YEAR(E196),0,IF((YEAR(D196)+12)&gt;=YEAR(E196)+N196,0,IF((YEAR(D196)+12)=YEAR(E196),(12-MONTH(E196)+1)/12,1))))))))*TaxRate,0))-IF(12=0,O196,0))</f>
        <v/>
      </c>
      <c r="AF196" s="29">
        <f>IF(A196="","",((K196)*(IF(M196="",L196,IFERROR(IF(INDEX(Variablen!$I:$AT, MATCH(M196, Variablen!$A:$A, 0), MATCH((YEAR(D196)+13), Variablen!$I$3:$AT$3, 0))="",L196,INDEX(Variablen!$I:$AT, MATCH(M196, Variablen!$A:$A, 0), MATCH((YEAR(D196)+13), Variablen!$I$3:$AT$3, 0))),L196)))*(IF((YEAR(D196)+13)&lt;YEAR(E196),0,IF((YEAR(D196)+13)&gt;YEAR(E196),1,(12-MONTH(E196)+1)/12))) + (Q196)*(IF((YEAR(D196)+13)&lt;YEAR(E196),0,IF((YEAR(D196)+13)&gt;YEAR(E196),1,(12-MONTH(E196)+1)/12))))-((P196)*(IF((YEAR(D196)+13)&lt;YEAR(E196),0,IF((YEAR(D196)+13)&gt;YEAR(E196),1,(12-MONTH(E196)+1)/12))) + (R196)*(IF((YEAR(D196)+13)&lt;YEAR(E196),0,IF((YEAR(D196)+13)&gt;YEAR(E196),1,(12-MONTH(E196)+1)/12))))-(IF((((K196)*(IF(M196="",L196,IFERROR(IF(INDEX(Variablen!$I:$AT, MATCH(M196, Variablen!$A:$A, 0), MATCH((YEAR(D196)+13), Variablen!$I$3:$AT$3, 0))="",L196,INDEX(Variablen!$I:$AT, MATCH(M196, Variablen!$A:$A, 0), MATCH((YEAR(D196)+13), Variablen!$I$3:$AT$3, 0))),L196)))*(IF((YEAR(D196)+13)&lt;YEAR(E196),0,IF((YEAR(D196)+13)&gt;YEAR(E196),1,(12-MONTH(E196)+1)/12))) + (Q196)*(IF((YEAR(D196)+13)&lt;YEAR(E196),0,IF((YEAR(D196)+13)&gt;YEAR(E196),1,(12-MONTH(E196)+1)/12))))-((P196)*(IF((YEAR(D196)+13)&lt;YEAR(E196),0,IF((YEAR(D196)+13)&gt;YEAR(E196),1,(12-MONTH(E196)+1)/12))) + (R196)*(IF((YEAR(D196)+13)&lt;YEAR(E196),0,IF((YEAR(D196)+13)&gt;YEAR(E196),1,(12-MONTH(E196)+1)/12))))-(IF(OR(N196="",N196&lt;=0),0,(O196/N196)*(IF(OR(N196="",N196&lt;=0),0,IF((YEAR(D196)+13)&lt;YEAR(E196),0,IF((YEAR(D196)+13)&gt;=YEAR(E196)+N196,0,IF((YEAR(D196)+13)=YEAR(E196),(12-MONTH(E196)+1)/12,1))))))))&gt;0,(((K196)*(IF(M196="",L196,IFERROR(IF(INDEX(Variablen!$I:$AT, MATCH(M196, Variablen!$A:$A, 0), MATCH((YEAR(D196)+13), Variablen!$I$3:$AT$3, 0))="",L196,INDEX(Variablen!$I:$AT, MATCH(M196, Variablen!$A:$A, 0), MATCH((YEAR(D196)+13), Variablen!$I$3:$AT$3, 0))),L196)))*(IF((YEAR(D196)+13)&lt;YEAR(E196),0,IF((YEAR(D196)+13)&gt;YEAR(E196),1,(12-MONTH(E196)+1)/12))) + (Q196)*(IF((YEAR(D196)+13)&lt;YEAR(E196),0,IF((YEAR(D196)+13)&gt;YEAR(E196),1,(12-MONTH(E196)+1)/12))))-((P196)*(IF((YEAR(D196)+13)&lt;YEAR(E196),0,IF((YEAR(D196)+13)&gt;YEAR(E196),1,(12-MONTH(E196)+1)/12))) + (R196)*(IF((YEAR(D196)+13)&lt;YEAR(E196),0,IF((YEAR(D196)+13)&gt;YEAR(E196),1,(12-MONTH(E196)+1)/12))))-(IF(OR(N196="",N196&lt;=0),0,(O196/N196)*(IF(OR(N196="",N196&lt;=0),0,IF((YEAR(D196)+13)&lt;YEAR(E196),0,IF((YEAR(D196)+13)&gt;=YEAR(E196)+N196,0,IF((YEAR(D196)+13)=YEAR(E196),(12-MONTH(E196)+1)/12,1))))))))*TaxRate,0))-IF(13=0,O196,0))</f>
        <v/>
      </c>
      <c r="AG196" s="29">
        <f>IF(A196="","",((K196)*(IF(M196="",L196,IFERROR(IF(INDEX(Variablen!$I:$AT, MATCH(M196, Variablen!$A:$A, 0), MATCH((YEAR(D196)+14), Variablen!$I$3:$AT$3, 0))="",L196,INDEX(Variablen!$I:$AT, MATCH(M196, Variablen!$A:$A, 0), MATCH((YEAR(D196)+14), Variablen!$I$3:$AT$3, 0))),L196)))*(IF((YEAR(D196)+14)&lt;YEAR(E196),0,IF((YEAR(D196)+14)&gt;YEAR(E196),1,(12-MONTH(E196)+1)/12))) + (Q196)*(IF((YEAR(D196)+14)&lt;YEAR(E196),0,IF((YEAR(D196)+14)&gt;YEAR(E196),1,(12-MONTH(E196)+1)/12))))-((P196)*(IF((YEAR(D196)+14)&lt;YEAR(E196),0,IF((YEAR(D196)+14)&gt;YEAR(E196),1,(12-MONTH(E196)+1)/12))) + (R196)*(IF((YEAR(D196)+14)&lt;YEAR(E196),0,IF((YEAR(D196)+14)&gt;YEAR(E196),1,(12-MONTH(E196)+1)/12))))-(IF((((K196)*(IF(M196="",L196,IFERROR(IF(INDEX(Variablen!$I:$AT, MATCH(M196, Variablen!$A:$A, 0), MATCH((YEAR(D196)+14), Variablen!$I$3:$AT$3, 0))="",L196,INDEX(Variablen!$I:$AT, MATCH(M196, Variablen!$A:$A, 0), MATCH((YEAR(D196)+14), Variablen!$I$3:$AT$3, 0))),L196)))*(IF((YEAR(D196)+14)&lt;YEAR(E196),0,IF((YEAR(D196)+14)&gt;YEAR(E196),1,(12-MONTH(E196)+1)/12))) + (Q196)*(IF((YEAR(D196)+14)&lt;YEAR(E196),0,IF((YEAR(D196)+14)&gt;YEAR(E196),1,(12-MONTH(E196)+1)/12))))-((P196)*(IF((YEAR(D196)+14)&lt;YEAR(E196),0,IF((YEAR(D196)+14)&gt;YEAR(E196),1,(12-MONTH(E196)+1)/12))) + (R196)*(IF((YEAR(D196)+14)&lt;YEAR(E196),0,IF((YEAR(D196)+14)&gt;YEAR(E196),1,(12-MONTH(E196)+1)/12))))-(IF(OR(N196="",N196&lt;=0),0,(O196/N196)*(IF(OR(N196="",N196&lt;=0),0,IF((YEAR(D196)+14)&lt;YEAR(E196),0,IF((YEAR(D196)+14)&gt;=YEAR(E196)+N196,0,IF((YEAR(D196)+14)=YEAR(E196),(12-MONTH(E196)+1)/12,1))))))))&gt;0,(((K196)*(IF(M196="",L196,IFERROR(IF(INDEX(Variablen!$I:$AT, MATCH(M196, Variablen!$A:$A, 0), MATCH((YEAR(D196)+14), Variablen!$I$3:$AT$3, 0))="",L196,INDEX(Variablen!$I:$AT, MATCH(M196, Variablen!$A:$A, 0), MATCH((YEAR(D196)+14), Variablen!$I$3:$AT$3, 0))),L196)))*(IF((YEAR(D196)+14)&lt;YEAR(E196),0,IF((YEAR(D196)+14)&gt;YEAR(E196),1,(12-MONTH(E196)+1)/12))) + (Q196)*(IF((YEAR(D196)+14)&lt;YEAR(E196),0,IF((YEAR(D196)+14)&gt;YEAR(E196),1,(12-MONTH(E196)+1)/12))))-((P196)*(IF((YEAR(D196)+14)&lt;YEAR(E196),0,IF((YEAR(D196)+14)&gt;YEAR(E196),1,(12-MONTH(E196)+1)/12))) + (R196)*(IF((YEAR(D196)+14)&lt;YEAR(E196),0,IF((YEAR(D196)+14)&gt;YEAR(E196),1,(12-MONTH(E196)+1)/12))))-(IF(OR(N196="",N196&lt;=0),0,(O196/N196)*(IF(OR(N196="",N196&lt;=0),0,IF((YEAR(D196)+14)&lt;YEAR(E196),0,IF((YEAR(D196)+14)&gt;=YEAR(E196)+N196,0,IF((YEAR(D196)+14)=YEAR(E196),(12-MONTH(E196)+1)/12,1))))))))*TaxRate,0))-IF(14=0,O196,0))</f>
        <v/>
      </c>
      <c r="AH196" s="29">
        <f>IF(A196="","",((K196)*(IF(M196="",L196,IFERROR(IF(INDEX(Variablen!$I:$AT, MATCH(M196, Variablen!$A:$A, 0), MATCH((YEAR(D196)+15), Variablen!$I$3:$AT$3, 0))="",L196,INDEX(Variablen!$I:$AT, MATCH(M196, Variablen!$A:$A, 0), MATCH((YEAR(D196)+15), Variablen!$I$3:$AT$3, 0))),L196)))*(IF((YEAR(D196)+15)&lt;YEAR(E196),0,IF((YEAR(D196)+15)&gt;YEAR(E196),1,(12-MONTH(E196)+1)/12))) + (Q196)*(IF((YEAR(D196)+15)&lt;YEAR(E196),0,IF((YEAR(D196)+15)&gt;YEAR(E196),1,(12-MONTH(E196)+1)/12))))-((P196)*(IF((YEAR(D196)+15)&lt;YEAR(E196),0,IF((YEAR(D196)+15)&gt;YEAR(E196),1,(12-MONTH(E196)+1)/12))) + (R196)*(IF((YEAR(D196)+15)&lt;YEAR(E196),0,IF((YEAR(D196)+15)&gt;YEAR(E196),1,(12-MONTH(E196)+1)/12))))-(IF((((K196)*(IF(M196="",L196,IFERROR(IF(INDEX(Variablen!$I:$AT, MATCH(M196, Variablen!$A:$A, 0), MATCH((YEAR(D196)+15), Variablen!$I$3:$AT$3, 0))="",L196,INDEX(Variablen!$I:$AT, MATCH(M196, Variablen!$A:$A, 0), MATCH((YEAR(D196)+15), Variablen!$I$3:$AT$3, 0))),L196)))*(IF((YEAR(D196)+15)&lt;YEAR(E196),0,IF((YEAR(D196)+15)&gt;YEAR(E196),1,(12-MONTH(E196)+1)/12))) + (Q196)*(IF((YEAR(D196)+15)&lt;YEAR(E196),0,IF((YEAR(D196)+15)&gt;YEAR(E196),1,(12-MONTH(E196)+1)/12))))-((P196)*(IF((YEAR(D196)+15)&lt;YEAR(E196),0,IF((YEAR(D196)+15)&gt;YEAR(E196),1,(12-MONTH(E196)+1)/12))) + (R196)*(IF((YEAR(D196)+15)&lt;YEAR(E196),0,IF((YEAR(D196)+15)&gt;YEAR(E196),1,(12-MONTH(E196)+1)/12))))-(IF(OR(N196="",N196&lt;=0),0,(O196/N196)*(IF(OR(N196="",N196&lt;=0),0,IF((YEAR(D196)+15)&lt;YEAR(E196),0,IF((YEAR(D196)+15)&gt;=YEAR(E196)+N196,0,IF((YEAR(D196)+15)=YEAR(E196),(12-MONTH(E196)+1)/12,1))))))))&gt;0,(((K196)*(IF(M196="",L196,IFERROR(IF(INDEX(Variablen!$I:$AT, MATCH(M196, Variablen!$A:$A, 0), MATCH((YEAR(D196)+15), Variablen!$I$3:$AT$3, 0))="",L196,INDEX(Variablen!$I:$AT, MATCH(M196, Variablen!$A:$A, 0), MATCH((YEAR(D196)+15), Variablen!$I$3:$AT$3, 0))),L196)))*(IF((YEAR(D196)+15)&lt;YEAR(E196),0,IF((YEAR(D196)+15)&gt;YEAR(E196),1,(12-MONTH(E196)+1)/12))) + (Q196)*(IF((YEAR(D196)+15)&lt;YEAR(E196),0,IF((YEAR(D196)+15)&gt;YEAR(E196),1,(12-MONTH(E196)+1)/12))))-((P196)*(IF((YEAR(D196)+15)&lt;YEAR(E196),0,IF((YEAR(D196)+15)&gt;YEAR(E196),1,(12-MONTH(E196)+1)/12))) + (R196)*(IF((YEAR(D196)+15)&lt;YEAR(E196),0,IF((YEAR(D196)+15)&gt;YEAR(E196),1,(12-MONTH(E196)+1)/12))))-(IF(OR(N196="",N196&lt;=0),0,(O196/N196)*(IF(OR(N196="",N196&lt;=0),0,IF((YEAR(D196)+15)&lt;YEAR(E196),0,IF((YEAR(D196)+15)&gt;=YEAR(E196)+N196,0,IF((YEAR(D196)+15)=YEAR(E196),(12-MONTH(E196)+1)/12,1))))))))*TaxRate,0))-IF(15=0,O196,0))</f>
        <v/>
      </c>
      <c r="AI196" s="29">
        <f>IF(A196="","",((K196)*(IF(M196="",L196,IFERROR(IF(INDEX(Variablen!$I:$AT, MATCH(M196, Variablen!$A:$A, 0), MATCH((YEAR(D196)+16), Variablen!$I$3:$AT$3, 0))="",L196,INDEX(Variablen!$I:$AT, MATCH(M196, Variablen!$A:$A, 0), MATCH((YEAR(D196)+16), Variablen!$I$3:$AT$3, 0))),L196)))*(IF((YEAR(D196)+16)&lt;YEAR(E196),0,IF((YEAR(D196)+16)&gt;YEAR(E196),1,(12-MONTH(E196)+1)/12))) + (Q196)*(IF((YEAR(D196)+16)&lt;YEAR(E196),0,IF((YEAR(D196)+16)&gt;YEAR(E196),1,(12-MONTH(E196)+1)/12))))-((P196)*(IF((YEAR(D196)+16)&lt;YEAR(E196),0,IF((YEAR(D196)+16)&gt;YEAR(E196),1,(12-MONTH(E196)+1)/12))) + (R196)*(IF((YEAR(D196)+16)&lt;YEAR(E196),0,IF((YEAR(D196)+16)&gt;YEAR(E196),1,(12-MONTH(E196)+1)/12))))-(IF((((K196)*(IF(M196="",L196,IFERROR(IF(INDEX(Variablen!$I:$AT, MATCH(M196, Variablen!$A:$A, 0), MATCH((YEAR(D196)+16), Variablen!$I$3:$AT$3, 0))="",L196,INDEX(Variablen!$I:$AT, MATCH(M196, Variablen!$A:$A, 0), MATCH((YEAR(D196)+16), Variablen!$I$3:$AT$3, 0))),L196)))*(IF((YEAR(D196)+16)&lt;YEAR(E196),0,IF((YEAR(D196)+16)&gt;YEAR(E196),1,(12-MONTH(E196)+1)/12))) + (Q196)*(IF((YEAR(D196)+16)&lt;YEAR(E196),0,IF((YEAR(D196)+16)&gt;YEAR(E196),1,(12-MONTH(E196)+1)/12))))-((P196)*(IF((YEAR(D196)+16)&lt;YEAR(E196),0,IF((YEAR(D196)+16)&gt;YEAR(E196),1,(12-MONTH(E196)+1)/12))) + (R196)*(IF((YEAR(D196)+16)&lt;YEAR(E196),0,IF((YEAR(D196)+16)&gt;YEAR(E196),1,(12-MONTH(E196)+1)/12))))-(IF(OR(N196="",N196&lt;=0),0,(O196/N196)*(IF(OR(N196="",N196&lt;=0),0,IF((YEAR(D196)+16)&lt;YEAR(E196),0,IF((YEAR(D196)+16)&gt;=YEAR(E196)+N196,0,IF((YEAR(D196)+16)=YEAR(E196),(12-MONTH(E196)+1)/12,1))))))))&gt;0,(((K196)*(IF(M196="",L196,IFERROR(IF(INDEX(Variablen!$I:$AT, MATCH(M196, Variablen!$A:$A, 0), MATCH((YEAR(D196)+16), Variablen!$I$3:$AT$3, 0))="",L196,INDEX(Variablen!$I:$AT, MATCH(M196, Variablen!$A:$A, 0), MATCH((YEAR(D196)+16), Variablen!$I$3:$AT$3, 0))),L196)))*(IF((YEAR(D196)+16)&lt;YEAR(E196),0,IF((YEAR(D196)+16)&gt;YEAR(E196),1,(12-MONTH(E196)+1)/12))) + (Q196)*(IF((YEAR(D196)+16)&lt;YEAR(E196),0,IF((YEAR(D196)+16)&gt;YEAR(E196),1,(12-MONTH(E196)+1)/12))))-((P196)*(IF((YEAR(D196)+16)&lt;YEAR(E196),0,IF((YEAR(D196)+16)&gt;YEAR(E196),1,(12-MONTH(E196)+1)/12))) + (R196)*(IF((YEAR(D196)+16)&lt;YEAR(E196),0,IF((YEAR(D196)+16)&gt;YEAR(E196),1,(12-MONTH(E196)+1)/12))))-(IF(OR(N196="",N196&lt;=0),0,(O196/N196)*(IF(OR(N196="",N196&lt;=0),0,IF((YEAR(D196)+16)&lt;YEAR(E196),0,IF((YEAR(D196)+16)&gt;=YEAR(E196)+N196,0,IF((YEAR(D196)+16)=YEAR(E196),(12-MONTH(E196)+1)/12,1))))))))*TaxRate,0))-IF(16=0,O196,0))</f>
        <v/>
      </c>
      <c r="AJ196" s="29">
        <f>IF(A196="","",((K196)*(IF(M196="",L196,IFERROR(IF(INDEX(Variablen!$I:$AT, MATCH(M196, Variablen!$A:$A, 0), MATCH((YEAR(D196)+17), Variablen!$I$3:$AT$3, 0))="",L196,INDEX(Variablen!$I:$AT, MATCH(M196, Variablen!$A:$A, 0), MATCH((YEAR(D196)+17), Variablen!$I$3:$AT$3, 0))),L196)))*(IF((YEAR(D196)+17)&lt;YEAR(E196),0,IF((YEAR(D196)+17)&gt;YEAR(E196),1,(12-MONTH(E196)+1)/12))) + (Q196)*(IF((YEAR(D196)+17)&lt;YEAR(E196),0,IF((YEAR(D196)+17)&gt;YEAR(E196),1,(12-MONTH(E196)+1)/12))))-((P196)*(IF((YEAR(D196)+17)&lt;YEAR(E196),0,IF((YEAR(D196)+17)&gt;YEAR(E196),1,(12-MONTH(E196)+1)/12))) + (R196)*(IF((YEAR(D196)+17)&lt;YEAR(E196),0,IF((YEAR(D196)+17)&gt;YEAR(E196),1,(12-MONTH(E196)+1)/12))))-(IF((((K196)*(IF(M196="",L196,IFERROR(IF(INDEX(Variablen!$I:$AT, MATCH(M196, Variablen!$A:$A, 0), MATCH((YEAR(D196)+17), Variablen!$I$3:$AT$3, 0))="",L196,INDEX(Variablen!$I:$AT, MATCH(M196, Variablen!$A:$A, 0), MATCH((YEAR(D196)+17), Variablen!$I$3:$AT$3, 0))),L196)))*(IF((YEAR(D196)+17)&lt;YEAR(E196),0,IF((YEAR(D196)+17)&gt;YEAR(E196),1,(12-MONTH(E196)+1)/12))) + (Q196)*(IF((YEAR(D196)+17)&lt;YEAR(E196),0,IF((YEAR(D196)+17)&gt;YEAR(E196),1,(12-MONTH(E196)+1)/12))))-((P196)*(IF((YEAR(D196)+17)&lt;YEAR(E196),0,IF((YEAR(D196)+17)&gt;YEAR(E196),1,(12-MONTH(E196)+1)/12))) + (R196)*(IF((YEAR(D196)+17)&lt;YEAR(E196),0,IF((YEAR(D196)+17)&gt;YEAR(E196),1,(12-MONTH(E196)+1)/12))))-(IF(OR(N196="",N196&lt;=0),0,(O196/N196)*(IF(OR(N196="",N196&lt;=0),0,IF((YEAR(D196)+17)&lt;YEAR(E196),0,IF((YEAR(D196)+17)&gt;=YEAR(E196)+N196,0,IF((YEAR(D196)+17)=YEAR(E196),(12-MONTH(E196)+1)/12,1))))))))&gt;0,(((K196)*(IF(M196="",L196,IFERROR(IF(INDEX(Variablen!$I:$AT, MATCH(M196, Variablen!$A:$A, 0), MATCH((YEAR(D196)+17), Variablen!$I$3:$AT$3, 0))="",L196,INDEX(Variablen!$I:$AT, MATCH(M196, Variablen!$A:$A, 0), MATCH((YEAR(D196)+17), Variablen!$I$3:$AT$3, 0))),L196)))*(IF((YEAR(D196)+17)&lt;YEAR(E196),0,IF((YEAR(D196)+17)&gt;YEAR(E196),1,(12-MONTH(E196)+1)/12))) + (Q196)*(IF((YEAR(D196)+17)&lt;YEAR(E196),0,IF((YEAR(D196)+17)&gt;YEAR(E196),1,(12-MONTH(E196)+1)/12))))-((P196)*(IF((YEAR(D196)+17)&lt;YEAR(E196),0,IF((YEAR(D196)+17)&gt;YEAR(E196),1,(12-MONTH(E196)+1)/12))) + (R196)*(IF((YEAR(D196)+17)&lt;YEAR(E196),0,IF((YEAR(D196)+17)&gt;YEAR(E196),1,(12-MONTH(E196)+1)/12))))-(IF(OR(N196="",N196&lt;=0),0,(O196/N196)*(IF(OR(N196="",N196&lt;=0),0,IF((YEAR(D196)+17)&lt;YEAR(E196),0,IF((YEAR(D196)+17)&gt;=YEAR(E196)+N196,0,IF((YEAR(D196)+17)=YEAR(E196),(12-MONTH(E196)+1)/12,1))))))))*TaxRate,0))-IF(17=0,O196,0))</f>
        <v/>
      </c>
      <c r="AK196" s="29">
        <f>IF(A196="","",((K196)*(IF(M196="",L196,IFERROR(IF(INDEX(Variablen!$I:$AT, MATCH(M196, Variablen!$A:$A, 0), MATCH((YEAR(D196)+18), Variablen!$I$3:$AT$3, 0))="",L196,INDEX(Variablen!$I:$AT, MATCH(M196, Variablen!$A:$A, 0), MATCH((YEAR(D196)+18), Variablen!$I$3:$AT$3, 0))),L196)))*(IF((YEAR(D196)+18)&lt;YEAR(E196),0,IF((YEAR(D196)+18)&gt;YEAR(E196),1,(12-MONTH(E196)+1)/12))) + (Q196)*(IF((YEAR(D196)+18)&lt;YEAR(E196),0,IF((YEAR(D196)+18)&gt;YEAR(E196),1,(12-MONTH(E196)+1)/12))))-((P196)*(IF((YEAR(D196)+18)&lt;YEAR(E196),0,IF((YEAR(D196)+18)&gt;YEAR(E196),1,(12-MONTH(E196)+1)/12))) + (R196)*(IF((YEAR(D196)+18)&lt;YEAR(E196),0,IF((YEAR(D196)+18)&gt;YEAR(E196),1,(12-MONTH(E196)+1)/12))))-(IF((((K196)*(IF(M196="",L196,IFERROR(IF(INDEX(Variablen!$I:$AT, MATCH(M196, Variablen!$A:$A, 0), MATCH((YEAR(D196)+18), Variablen!$I$3:$AT$3, 0))="",L196,INDEX(Variablen!$I:$AT, MATCH(M196, Variablen!$A:$A, 0), MATCH((YEAR(D196)+18), Variablen!$I$3:$AT$3, 0))),L196)))*(IF((YEAR(D196)+18)&lt;YEAR(E196),0,IF((YEAR(D196)+18)&gt;YEAR(E196),1,(12-MONTH(E196)+1)/12))) + (Q196)*(IF((YEAR(D196)+18)&lt;YEAR(E196),0,IF((YEAR(D196)+18)&gt;YEAR(E196),1,(12-MONTH(E196)+1)/12))))-((P196)*(IF((YEAR(D196)+18)&lt;YEAR(E196),0,IF((YEAR(D196)+18)&gt;YEAR(E196),1,(12-MONTH(E196)+1)/12))) + (R196)*(IF((YEAR(D196)+18)&lt;YEAR(E196),0,IF((YEAR(D196)+18)&gt;YEAR(E196),1,(12-MONTH(E196)+1)/12))))-(IF(OR(N196="",N196&lt;=0),0,(O196/N196)*(IF(OR(N196="",N196&lt;=0),0,IF((YEAR(D196)+18)&lt;YEAR(E196),0,IF((YEAR(D196)+18)&gt;=YEAR(E196)+N196,0,IF((YEAR(D196)+18)=YEAR(E196),(12-MONTH(E196)+1)/12,1))))))))&gt;0,(((K196)*(IF(M196="",L196,IFERROR(IF(INDEX(Variablen!$I:$AT, MATCH(M196, Variablen!$A:$A, 0), MATCH((YEAR(D196)+18), Variablen!$I$3:$AT$3, 0))="",L196,INDEX(Variablen!$I:$AT, MATCH(M196, Variablen!$A:$A, 0), MATCH((YEAR(D196)+18), Variablen!$I$3:$AT$3, 0))),L196)))*(IF((YEAR(D196)+18)&lt;YEAR(E196),0,IF((YEAR(D196)+18)&gt;YEAR(E196),1,(12-MONTH(E196)+1)/12))) + (Q196)*(IF((YEAR(D196)+18)&lt;YEAR(E196),0,IF((YEAR(D196)+18)&gt;YEAR(E196),1,(12-MONTH(E196)+1)/12))))-((P196)*(IF((YEAR(D196)+18)&lt;YEAR(E196),0,IF((YEAR(D196)+18)&gt;YEAR(E196),1,(12-MONTH(E196)+1)/12))) + (R196)*(IF((YEAR(D196)+18)&lt;YEAR(E196),0,IF((YEAR(D196)+18)&gt;YEAR(E196),1,(12-MONTH(E196)+1)/12))))-(IF(OR(N196="",N196&lt;=0),0,(O196/N196)*(IF(OR(N196="",N196&lt;=0),0,IF((YEAR(D196)+18)&lt;YEAR(E196),0,IF((YEAR(D196)+18)&gt;=YEAR(E196)+N196,0,IF((YEAR(D196)+18)=YEAR(E196),(12-MONTH(E196)+1)/12,1))))))))*TaxRate,0))-IF(18=0,O196,0))</f>
        <v/>
      </c>
      <c r="AL196" s="29">
        <f>IF(A196="","",((K196)*(IF(M196="",L196,IFERROR(IF(INDEX(Variablen!$I:$AT, MATCH(M196, Variablen!$A:$A, 0), MATCH((YEAR(D196)+19), Variablen!$I$3:$AT$3, 0))="",L196,INDEX(Variablen!$I:$AT, MATCH(M196, Variablen!$A:$A, 0), MATCH((YEAR(D196)+19), Variablen!$I$3:$AT$3, 0))),L196)))*(IF((YEAR(D196)+19)&lt;YEAR(E196),0,IF((YEAR(D196)+19)&gt;YEAR(E196),1,(12-MONTH(E196)+1)/12))) + (Q196)*(IF((YEAR(D196)+19)&lt;YEAR(E196),0,IF((YEAR(D196)+19)&gt;YEAR(E196),1,(12-MONTH(E196)+1)/12))))-((P196)*(IF((YEAR(D196)+19)&lt;YEAR(E196),0,IF((YEAR(D196)+19)&gt;YEAR(E196),1,(12-MONTH(E196)+1)/12))) + (R196)*(IF((YEAR(D196)+19)&lt;YEAR(E196),0,IF((YEAR(D196)+19)&gt;YEAR(E196),1,(12-MONTH(E196)+1)/12))))-(IF((((K196)*(IF(M196="",L196,IFERROR(IF(INDEX(Variablen!$I:$AT, MATCH(M196, Variablen!$A:$A, 0), MATCH((YEAR(D196)+19), Variablen!$I$3:$AT$3, 0))="",L196,INDEX(Variablen!$I:$AT, MATCH(M196, Variablen!$A:$A, 0), MATCH((YEAR(D196)+19), Variablen!$I$3:$AT$3, 0))),L196)))*(IF((YEAR(D196)+19)&lt;YEAR(E196),0,IF((YEAR(D196)+19)&gt;YEAR(E196),1,(12-MONTH(E196)+1)/12))) + (Q196)*(IF((YEAR(D196)+19)&lt;YEAR(E196),0,IF((YEAR(D196)+19)&gt;YEAR(E196),1,(12-MONTH(E196)+1)/12))))-((P196)*(IF((YEAR(D196)+19)&lt;YEAR(E196),0,IF((YEAR(D196)+19)&gt;YEAR(E196),1,(12-MONTH(E196)+1)/12))) + (R196)*(IF((YEAR(D196)+19)&lt;YEAR(E196),0,IF((YEAR(D196)+19)&gt;YEAR(E196),1,(12-MONTH(E196)+1)/12))))-(IF(OR(N196="",N196&lt;=0),0,(O196/N196)*(IF(OR(N196="",N196&lt;=0),0,IF((YEAR(D196)+19)&lt;YEAR(E196),0,IF((YEAR(D196)+19)&gt;=YEAR(E196)+N196,0,IF((YEAR(D196)+19)=YEAR(E196),(12-MONTH(E196)+1)/12,1))))))))&gt;0,(((K196)*(IF(M196="",L196,IFERROR(IF(INDEX(Variablen!$I:$AT, MATCH(M196, Variablen!$A:$A, 0), MATCH((YEAR(D196)+19), Variablen!$I$3:$AT$3, 0))="",L196,INDEX(Variablen!$I:$AT, MATCH(M196, Variablen!$A:$A, 0), MATCH((YEAR(D196)+19), Variablen!$I$3:$AT$3, 0))),L196)))*(IF((YEAR(D196)+19)&lt;YEAR(E196),0,IF((YEAR(D196)+19)&gt;YEAR(E196),1,(12-MONTH(E196)+1)/12))) + (Q196)*(IF((YEAR(D196)+19)&lt;YEAR(E196),0,IF((YEAR(D196)+19)&gt;YEAR(E196),1,(12-MONTH(E196)+1)/12))))-((P196)*(IF((YEAR(D196)+19)&lt;YEAR(E196),0,IF((YEAR(D196)+19)&gt;YEAR(E196),1,(12-MONTH(E196)+1)/12))) + (R196)*(IF((YEAR(D196)+19)&lt;YEAR(E196),0,IF((YEAR(D196)+19)&gt;YEAR(E196),1,(12-MONTH(E196)+1)/12))))-(IF(OR(N196="",N196&lt;=0),0,(O196/N196)*(IF(OR(N196="",N196&lt;=0),0,IF((YEAR(D196)+19)&lt;YEAR(E196),0,IF((YEAR(D196)+19)&gt;=YEAR(E196)+N196,0,IF((YEAR(D196)+19)=YEAR(E196),(12-MONTH(E196)+1)/12,1))))))))*TaxRate,0))-IF(19=0,O196,0))</f>
        <v/>
      </c>
      <c r="AM196" s="29">
        <f>IF(A196="","",((K196)*(IF(M196="",L196,IFERROR(IF(INDEX(Variablen!$I:$AT, MATCH(M196, Variablen!$A:$A, 0), MATCH((YEAR(D196)+20), Variablen!$I$3:$AT$3, 0))="",L196,INDEX(Variablen!$I:$AT, MATCH(M196, Variablen!$A:$A, 0), MATCH((YEAR(D196)+20), Variablen!$I$3:$AT$3, 0))),L196)))*(IF((YEAR(D196)+20)&lt;YEAR(E196),0,IF((YEAR(D196)+20)&gt;YEAR(E196),1,(12-MONTH(E196)+1)/12))) + (Q196)*(IF((YEAR(D196)+20)&lt;YEAR(E196),0,IF((YEAR(D196)+20)&gt;YEAR(E196),1,(12-MONTH(E196)+1)/12))))-((P196)*(IF((YEAR(D196)+20)&lt;YEAR(E196),0,IF((YEAR(D196)+20)&gt;YEAR(E196),1,(12-MONTH(E196)+1)/12))) + (R196)*(IF((YEAR(D196)+20)&lt;YEAR(E196),0,IF((YEAR(D196)+20)&gt;YEAR(E196),1,(12-MONTH(E196)+1)/12))))-(IF((((K196)*(IF(M196="",L196,IFERROR(IF(INDEX(Variablen!$I:$AT, MATCH(M196, Variablen!$A:$A, 0), MATCH((YEAR(D196)+20), Variablen!$I$3:$AT$3, 0))="",L196,INDEX(Variablen!$I:$AT, MATCH(M196, Variablen!$A:$A, 0), MATCH((YEAR(D196)+20), Variablen!$I$3:$AT$3, 0))),L196)))*(IF((YEAR(D196)+20)&lt;YEAR(E196),0,IF((YEAR(D196)+20)&gt;YEAR(E196),1,(12-MONTH(E196)+1)/12))) + (Q196)*(IF((YEAR(D196)+20)&lt;YEAR(E196),0,IF((YEAR(D196)+20)&gt;YEAR(E196),1,(12-MONTH(E196)+1)/12))))-((P196)*(IF((YEAR(D196)+20)&lt;YEAR(E196),0,IF((YEAR(D196)+20)&gt;YEAR(E196),1,(12-MONTH(E196)+1)/12))) + (R196)*(IF((YEAR(D196)+20)&lt;YEAR(E196),0,IF((YEAR(D196)+20)&gt;YEAR(E196),1,(12-MONTH(E196)+1)/12))))-(IF(OR(N196="",N196&lt;=0),0,(O196/N196)*(IF(OR(N196="",N196&lt;=0),0,IF((YEAR(D196)+20)&lt;YEAR(E196),0,IF((YEAR(D196)+20)&gt;=YEAR(E196)+N196,0,IF((YEAR(D196)+20)=YEAR(E196),(12-MONTH(E196)+1)/12,1))))))))&gt;0,(((K196)*(IF(M196="",L196,IFERROR(IF(INDEX(Variablen!$I:$AT, MATCH(M196, Variablen!$A:$A, 0), MATCH((YEAR(D196)+20), Variablen!$I$3:$AT$3, 0))="",L196,INDEX(Variablen!$I:$AT, MATCH(M196, Variablen!$A:$A, 0), MATCH((YEAR(D196)+20), Variablen!$I$3:$AT$3, 0))),L196)))*(IF((YEAR(D196)+20)&lt;YEAR(E196),0,IF((YEAR(D196)+20)&gt;YEAR(E196),1,(12-MONTH(E196)+1)/12))) + (Q196)*(IF((YEAR(D196)+20)&lt;YEAR(E196),0,IF((YEAR(D196)+20)&gt;YEAR(E196),1,(12-MONTH(E196)+1)/12))))-((P196)*(IF((YEAR(D196)+20)&lt;YEAR(E196),0,IF((YEAR(D196)+20)&gt;YEAR(E196),1,(12-MONTH(E196)+1)/12))) + (R196)*(IF((YEAR(D196)+20)&lt;YEAR(E196),0,IF((YEAR(D196)+20)&gt;YEAR(E196),1,(12-MONTH(E196)+1)/12))))-(IF(OR(N196="",N196&lt;=0),0,(O196/N196)*(IF(OR(N196="",N196&lt;=0),0,IF((YEAR(D196)+20)&lt;YEAR(E196),0,IF((YEAR(D196)+20)&gt;=YEAR(E196)+N196,0,IF((YEAR(D196)+20)=YEAR(E196),(12-MONTH(E196)+1)/12,1))))))))*TaxRate,0))-IF(20=0,O196,0))</f>
        <v/>
      </c>
      <c r="AN196" s="29">
        <f>IF(A196="","",S196)</f>
        <v/>
      </c>
      <c r="AO196" s="29">
        <f>IF(A196="","",AN196+T196)</f>
        <v/>
      </c>
      <c r="AP196" s="29">
        <f>IF(A196="","",AO196+U196)</f>
        <v/>
      </c>
      <c r="AQ196" s="29">
        <f>IF(A196="","",AP196+V196)</f>
        <v/>
      </c>
      <c r="AR196" s="29">
        <f>IF(A196="","",AQ196+W196)</f>
        <v/>
      </c>
      <c r="AS196" s="29">
        <f>IF(A196="","",AR196+X196)</f>
        <v/>
      </c>
      <c r="AT196" s="29">
        <f>IF(A196="","",AS196+Y196)</f>
        <v/>
      </c>
      <c r="AU196" s="29">
        <f>IF(A196="","",AT196+Z196)</f>
        <v/>
      </c>
      <c r="AV196" s="29">
        <f>IF(A196="","",AU196+AA196)</f>
        <v/>
      </c>
      <c r="AW196" s="29">
        <f>IF(A196="","",AV196+AB196)</f>
        <v/>
      </c>
      <c r="AX196" s="29">
        <f>IF(A196="","",AW196+AC196)</f>
        <v/>
      </c>
      <c r="AY196" s="29">
        <f>IF(A196="","",AX196+AD196)</f>
        <v/>
      </c>
      <c r="AZ196" s="29">
        <f>IF(A196="","",AY196+AE196)</f>
        <v/>
      </c>
      <c r="BA196" s="29">
        <f>IF(A196="","",AZ196+AF196)</f>
        <v/>
      </c>
      <c r="BB196" s="29">
        <f>IF(A196="","",BA196+AG196)</f>
        <v/>
      </c>
      <c r="BC196" s="29">
        <f>IF(A196="","",BB196+AH196)</f>
        <v/>
      </c>
      <c r="BD196" s="29">
        <f>IF(A196="","",BC196+AI196)</f>
        <v/>
      </c>
      <c r="BE196" s="29">
        <f>IF(A196="","",BD196+AJ196)</f>
        <v/>
      </c>
      <c r="BF196" s="29">
        <f>IF(A196="","",BE196+AK196)</f>
        <v/>
      </c>
      <c r="BG196" s="29">
        <f>IF(A196="","",BF196+AL196)</f>
        <v/>
      </c>
      <c r="BH196" s="29">
        <f>IF(A196="","",BG196+AM196)</f>
        <v/>
      </c>
      <c r="BI196" s="36">
        <f>IF(A196="","",(K196)*(IF((YEAR(D196)+0)&lt;YEAR(E196),0,IF((YEAR(D196)+0)&gt;YEAR(E196),1,(12-MONTH(E196)+1)/12)))*(1/(1+DiscountRate)^0))</f>
        <v/>
      </c>
      <c r="BJ196" s="36">
        <f>IF(A196="","",(K196)*(IF((YEAR(D196)+1)&lt;YEAR(E196),0,IF((YEAR(D196)+1)&gt;YEAR(E196),1,(12-MONTH(E196)+1)/12)))*(1/(1+DiscountRate)^1))</f>
        <v/>
      </c>
      <c r="BK196" s="36">
        <f>IF(A196="","",(K196)*(IF((YEAR(D196)+2)&lt;YEAR(E196),0,IF((YEAR(D196)+2)&gt;YEAR(E196),1,(12-MONTH(E196)+1)/12)))*(1/(1+DiscountRate)^2))</f>
        <v/>
      </c>
      <c r="BL196" s="36">
        <f>IF(A196="","",(K196)*(IF((YEAR(D196)+3)&lt;YEAR(E196),0,IF((YEAR(D196)+3)&gt;YEAR(E196),1,(12-MONTH(E196)+1)/12)))*(1/(1+DiscountRate)^3))</f>
        <v/>
      </c>
      <c r="BM196" s="36">
        <f>IF(A196="","",(K196)*(IF((YEAR(D196)+4)&lt;YEAR(E196),0,IF((YEAR(D196)+4)&gt;YEAR(E196),1,(12-MONTH(E196)+1)/12)))*(1/(1+DiscountRate)^4))</f>
        <v/>
      </c>
      <c r="BN196" s="36">
        <f>IF(A196="","",(K196)*(IF((YEAR(D196)+5)&lt;YEAR(E196),0,IF((YEAR(D196)+5)&gt;YEAR(E196),1,(12-MONTH(E196)+1)/12)))*(1/(1+DiscountRate)^5))</f>
        <v/>
      </c>
      <c r="BO196" s="36">
        <f>IF(A196="","",(K196)*(IF((YEAR(D196)+6)&lt;YEAR(E196),0,IF((YEAR(D196)+6)&gt;YEAR(E196),1,(12-MONTH(E196)+1)/12)))*(1/(1+DiscountRate)^6))</f>
        <v/>
      </c>
      <c r="BP196" s="36">
        <f>IF(A196="","",(K196)*(IF((YEAR(D196)+7)&lt;YEAR(E196),0,IF((YEAR(D196)+7)&gt;YEAR(E196),1,(12-MONTH(E196)+1)/12)))*(1/(1+DiscountRate)^7))</f>
        <v/>
      </c>
      <c r="BQ196" s="36">
        <f>IF(A196="","",(K196)*(IF((YEAR(D196)+8)&lt;YEAR(E196),0,IF((YEAR(D196)+8)&gt;YEAR(E196),1,(12-MONTH(E196)+1)/12)))*(1/(1+DiscountRate)^8))</f>
        <v/>
      </c>
      <c r="BR196" s="36">
        <f>IF(A196="","",(K196)*(IF((YEAR(D196)+9)&lt;YEAR(E196),0,IF((YEAR(D196)+9)&gt;YEAR(E196),1,(12-MONTH(E196)+1)/12)))*(1/(1+DiscountRate)^9))</f>
        <v/>
      </c>
      <c r="BS196" s="36">
        <f>IF(A196="","",(K196)*(IF((YEAR(D196)+10)&lt;YEAR(E196),0,IF((YEAR(D196)+10)&gt;YEAR(E196),1,(12-MONTH(E196)+1)/12)))*(1/(1+DiscountRate)^10))</f>
        <v/>
      </c>
      <c r="BT196" s="36">
        <f>IF(A196="","",(K196)*(IF((YEAR(D196)+11)&lt;YEAR(E196),0,IF((YEAR(D196)+11)&gt;YEAR(E196),1,(12-MONTH(E196)+1)/12)))*(1/(1+DiscountRate)^11))</f>
        <v/>
      </c>
      <c r="BU196" s="36">
        <f>IF(A196="","",(K196)*(IF((YEAR(D196)+12)&lt;YEAR(E196),0,IF((YEAR(D196)+12)&gt;YEAR(E196),1,(12-MONTH(E196)+1)/12)))*(1/(1+DiscountRate)^12))</f>
        <v/>
      </c>
      <c r="BV196" s="36">
        <f>IF(A196="","",(K196)*(IF((YEAR(D196)+13)&lt;YEAR(E196),0,IF((YEAR(D196)+13)&gt;YEAR(E196),1,(12-MONTH(E196)+1)/12)))*(1/(1+DiscountRate)^13))</f>
        <v/>
      </c>
      <c r="BW196" s="36">
        <f>IF(A196="","",(K196)*(IF((YEAR(D196)+14)&lt;YEAR(E196),0,IF((YEAR(D196)+14)&gt;YEAR(E196),1,(12-MONTH(E196)+1)/12)))*(1/(1+DiscountRate)^14))</f>
        <v/>
      </c>
      <c r="BX196" s="36">
        <f>IF(A196="","",(K196)*(IF((YEAR(D196)+15)&lt;YEAR(E196),0,IF((YEAR(D196)+15)&gt;YEAR(E196),1,(12-MONTH(E196)+1)/12)))*(1/(1+DiscountRate)^15))</f>
        <v/>
      </c>
      <c r="BY196" s="36">
        <f>IF(A196="","",(K196)*(IF((YEAR(D196)+16)&lt;YEAR(E196),0,IF((YEAR(D196)+16)&gt;YEAR(E196),1,(12-MONTH(E196)+1)/12)))*(1/(1+DiscountRate)^16))</f>
        <v/>
      </c>
      <c r="BZ196" s="36">
        <f>IF(A196="","",(K196)*(IF((YEAR(D196)+17)&lt;YEAR(E196),0,IF((YEAR(D196)+17)&gt;YEAR(E196),1,(12-MONTH(E196)+1)/12)))*(1/(1+DiscountRate)^17))</f>
        <v/>
      </c>
      <c r="CA196" s="36">
        <f>IF(A196="","",(K196)*(IF((YEAR(D196)+18)&lt;YEAR(E196),0,IF((YEAR(D196)+18)&gt;YEAR(E196),1,(12-MONTH(E196)+1)/12)))*(1/(1+DiscountRate)^18))</f>
        <v/>
      </c>
      <c r="CB196" s="36">
        <f>IF(A196="","",(K196)*(IF((YEAR(D196)+19)&lt;YEAR(E196),0,IF((YEAR(D196)+19)&gt;YEAR(E196),1,(12-MONTH(E196)+1)/12)))*(1/(1+DiscountRate)^19))</f>
        <v/>
      </c>
      <c r="CC196" s="36">
        <f>IF(A196="","",(K196)*(IF((YEAR(D196)+20)&lt;YEAR(E196),0,IF((YEAR(D196)+20)&gt;YEAR(E196),1,(12-MONTH(E196)+1)/12)))*(1/(1+DiscountRate)^20))</f>
        <v/>
      </c>
      <c r="CD196" s="29">
        <f>IF(A196="","",S196/(1+DiscountRate)^0+T196/(1+DiscountRate)^1+U196/(1+DiscountRate)^2+V196/(1+DiscountRate)^3+W196/(1+DiscountRate)^4+X196/(1+DiscountRate)^5+Y196/(1+DiscountRate)^6+Z196/(1+DiscountRate)^7+AA196/(1+DiscountRate)^8+AB196/(1+DiscountRate)^9+AC196/(1+DiscountRate)^10+AD196/(1+DiscountRate)^11+AE196/(1+DiscountRate)^12+AF196/(1+DiscountRate)^13+AG196/(1+DiscountRate)^14+AH196/(1+DiscountRate)^15+AI196/(1+DiscountRate)^16+AJ196/(1+DiscountRate)^17+AK196/(1+DiscountRate)^18+AL196/(1+DiscountRate)^19+AM196/(1+DiscountRate)^20)</f>
        <v/>
      </c>
      <c r="CE196" s="37">
        <f>IF(A196="","",IFERROR(IRR(OFFSET(S196,0,0,1,MIN(HorizonYears,20)+1)),"n/a"))</f>
        <v/>
      </c>
      <c r="CF196" s="28">
        <f>IF(A196="","",IFERROR(MATCH(TRUE,OFFSET(AN196,0,0,1,MIN(HorizonYears,20)+1)&gt;=0,0)-1,"n/a"))</f>
        <v/>
      </c>
      <c r="CG196" s="36">
        <f>IF(A196="","",SUM(OFFSET(BI196,0,0,1,MIN(HorizonYears,20)+1)))</f>
        <v/>
      </c>
      <c r="CH196" s="36">
        <f>IF(A196="","",IFERROR(-CD196/CG196,"n/a"))</f>
        <v/>
      </c>
    </row>
    <row r="197">
      <c r="A197" s="6">
        <f>Actions!A195</f>
        <v/>
      </c>
      <c r="B197" s="6">
        <f>Actions!B195</f>
        <v/>
      </c>
      <c r="C197" s="6">
        <f>Actions!D195</f>
        <v/>
      </c>
      <c r="D197" s="35">
        <f>Actions!E195</f>
        <v/>
      </c>
      <c r="E197" s="35">
        <f>Actions!F195</f>
        <v/>
      </c>
      <c r="F197" s="6">
        <f>Actions!G195</f>
        <v/>
      </c>
      <c r="G197" s="6">
        <f>Actions!H195</f>
        <v/>
      </c>
      <c r="H197" s="29">
        <f>Actions!I195</f>
        <v/>
      </c>
      <c r="I197" s="6">
        <f>Actions!J195</f>
        <v/>
      </c>
      <c r="J197" s="16">
        <f>Actions!K195</f>
        <v/>
      </c>
      <c r="K197" s="16">
        <f>IF(A197="","",IF(I197="%",H197*J197,J197))</f>
        <v/>
      </c>
      <c r="L197" s="16">
        <f>Actions!L195</f>
        <v/>
      </c>
      <c r="M197" s="6">
        <f>Actions!M195</f>
        <v/>
      </c>
      <c r="N197" s="28">
        <f>Actions!N195</f>
        <v/>
      </c>
      <c r="O197" s="29">
        <f>Actions!T195</f>
        <v/>
      </c>
      <c r="P197" s="29">
        <f>Actions!Y195</f>
        <v/>
      </c>
      <c r="Q197" s="29">
        <f>Actions!Z195</f>
        <v/>
      </c>
      <c r="R197" s="29">
        <f>Actions!AA195</f>
        <v/>
      </c>
      <c r="S197" s="29">
        <f>IF(A197="","",((K197)*(IF(M197="",L197,IFERROR(IF(INDEX(Variablen!$I:$AT, MATCH(M197, Variablen!$A:$A, 0), MATCH((YEAR(D197)+0), Variablen!$I$3:$AT$3, 0))="",L197,INDEX(Variablen!$I:$AT, MATCH(M197, Variablen!$A:$A, 0), MATCH((YEAR(D197)+0), Variablen!$I$3:$AT$3, 0))),L197)))*(IF((YEAR(D197)+0)&lt;YEAR(E197),0,IF((YEAR(D197)+0)&gt;YEAR(E197),1,(12-MONTH(E197)+1)/12))) + (Q197)*(IF((YEAR(D197)+0)&lt;YEAR(E197),0,IF((YEAR(D197)+0)&gt;YEAR(E197),1,(12-MONTH(E197)+1)/12))))-((P197)*(IF((YEAR(D197)+0)&lt;YEAR(E197),0,IF((YEAR(D197)+0)&gt;YEAR(E197),1,(12-MONTH(E197)+1)/12))) + (R197)*(IF((YEAR(D197)+0)&lt;YEAR(E197),0,IF((YEAR(D197)+0)&gt;YEAR(E197),1,(12-MONTH(E197)+1)/12))))-(IF((((K197)*(IF(M197="",L197,IFERROR(IF(INDEX(Variablen!$I:$AT, MATCH(M197, Variablen!$A:$A, 0), MATCH((YEAR(D197)+0), Variablen!$I$3:$AT$3, 0))="",L197,INDEX(Variablen!$I:$AT, MATCH(M197, Variablen!$A:$A, 0), MATCH((YEAR(D197)+0), Variablen!$I$3:$AT$3, 0))),L197)))*(IF((YEAR(D197)+0)&lt;YEAR(E197),0,IF((YEAR(D197)+0)&gt;YEAR(E197),1,(12-MONTH(E197)+1)/12))) + (Q197)*(IF((YEAR(D197)+0)&lt;YEAR(E197),0,IF((YEAR(D197)+0)&gt;YEAR(E197),1,(12-MONTH(E197)+1)/12))))-((P197)*(IF((YEAR(D197)+0)&lt;YEAR(E197),0,IF((YEAR(D197)+0)&gt;YEAR(E197),1,(12-MONTH(E197)+1)/12))) + (R197)*(IF((YEAR(D197)+0)&lt;YEAR(E197),0,IF((YEAR(D197)+0)&gt;YEAR(E197),1,(12-MONTH(E197)+1)/12))))-(IF(OR(N197="",N197&lt;=0),0,(O197/N197)*(IF(OR(N197="",N197&lt;=0),0,IF((YEAR(D197)+0)&lt;YEAR(E197),0,IF((YEAR(D197)+0)&gt;=YEAR(E197)+N197,0,IF((YEAR(D197)+0)=YEAR(E197),(12-MONTH(E197)+1)/12,1))))))))&gt;0,(((K197)*(IF(M197="",L197,IFERROR(IF(INDEX(Variablen!$I:$AT, MATCH(M197, Variablen!$A:$A, 0), MATCH((YEAR(D197)+0), Variablen!$I$3:$AT$3, 0))="",L197,INDEX(Variablen!$I:$AT, MATCH(M197, Variablen!$A:$A, 0), MATCH((YEAR(D197)+0), Variablen!$I$3:$AT$3, 0))),L197)))*(IF((YEAR(D197)+0)&lt;YEAR(E197),0,IF((YEAR(D197)+0)&gt;YEAR(E197),1,(12-MONTH(E197)+1)/12))) + (Q197)*(IF((YEAR(D197)+0)&lt;YEAR(E197),0,IF((YEAR(D197)+0)&gt;YEAR(E197),1,(12-MONTH(E197)+1)/12))))-((P197)*(IF((YEAR(D197)+0)&lt;YEAR(E197),0,IF((YEAR(D197)+0)&gt;YEAR(E197),1,(12-MONTH(E197)+1)/12))) + (R197)*(IF((YEAR(D197)+0)&lt;YEAR(E197),0,IF((YEAR(D197)+0)&gt;YEAR(E197),1,(12-MONTH(E197)+1)/12))))-(IF(OR(N197="",N197&lt;=0),0,(O197/N197)*(IF(OR(N197="",N197&lt;=0),0,IF((YEAR(D197)+0)&lt;YEAR(E197),0,IF((YEAR(D197)+0)&gt;=YEAR(E197)+N197,0,IF((YEAR(D197)+0)=YEAR(E197),(12-MONTH(E197)+1)/12,1))))))))*TaxRate,0))-IF(0=0,O197,0))</f>
        <v/>
      </c>
      <c r="T197" s="29">
        <f>IF(A197="","",((K197)*(IF(M197="",L197,IFERROR(IF(INDEX(Variablen!$I:$AT, MATCH(M197, Variablen!$A:$A, 0), MATCH((YEAR(D197)+1), Variablen!$I$3:$AT$3, 0))="",L197,INDEX(Variablen!$I:$AT, MATCH(M197, Variablen!$A:$A, 0), MATCH((YEAR(D197)+1), Variablen!$I$3:$AT$3, 0))),L197)))*(IF((YEAR(D197)+1)&lt;YEAR(E197),0,IF((YEAR(D197)+1)&gt;YEAR(E197),1,(12-MONTH(E197)+1)/12))) + (Q197)*(IF((YEAR(D197)+1)&lt;YEAR(E197),0,IF((YEAR(D197)+1)&gt;YEAR(E197),1,(12-MONTH(E197)+1)/12))))-((P197)*(IF((YEAR(D197)+1)&lt;YEAR(E197),0,IF((YEAR(D197)+1)&gt;YEAR(E197),1,(12-MONTH(E197)+1)/12))) + (R197)*(IF((YEAR(D197)+1)&lt;YEAR(E197),0,IF((YEAR(D197)+1)&gt;YEAR(E197),1,(12-MONTH(E197)+1)/12))))-(IF((((K197)*(IF(M197="",L197,IFERROR(IF(INDEX(Variablen!$I:$AT, MATCH(M197, Variablen!$A:$A, 0), MATCH((YEAR(D197)+1), Variablen!$I$3:$AT$3, 0))="",L197,INDEX(Variablen!$I:$AT, MATCH(M197, Variablen!$A:$A, 0), MATCH((YEAR(D197)+1), Variablen!$I$3:$AT$3, 0))),L197)))*(IF((YEAR(D197)+1)&lt;YEAR(E197),0,IF((YEAR(D197)+1)&gt;YEAR(E197),1,(12-MONTH(E197)+1)/12))) + (Q197)*(IF((YEAR(D197)+1)&lt;YEAR(E197),0,IF((YEAR(D197)+1)&gt;YEAR(E197),1,(12-MONTH(E197)+1)/12))))-((P197)*(IF((YEAR(D197)+1)&lt;YEAR(E197),0,IF((YEAR(D197)+1)&gt;YEAR(E197),1,(12-MONTH(E197)+1)/12))) + (R197)*(IF((YEAR(D197)+1)&lt;YEAR(E197),0,IF((YEAR(D197)+1)&gt;YEAR(E197),1,(12-MONTH(E197)+1)/12))))-(IF(OR(N197="",N197&lt;=0),0,(O197/N197)*(IF(OR(N197="",N197&lt;=0),0,IF((YEAR(D197)+1)&lt;YEAR(E197),0,IF((YEAR(D197)+1)&gt;=YEAR(E197)+N197,0,IF((YEAR(D197)+1)=YEAR(E197),(12-MONTH(E197)+1)/12,1))))))))&gt;0,(((K197)*(IF(M197="",L197,IFERROR(IF(INDEX(Variablen!$I:$AT, MATCH(M197, Variablen!$A:$A, 0), MATCH((YEAR(D197)+1), Variablen!$I$3:$AT$3, 0))="",L197,INDEX(Variablen!$I:$AT, MATCH(M197, Variablen!$A:$A, 0), MATCH((YEAR(D197)+1), Variablen!$I$3:$AT$3, 0))),L197)))*(IF((YEAR(D197)+1)&lt;YEAR(E197),0,IF((YEAR(D197)+1)&gt;YEAR(E197),1,(12-MONTH(E197)+1)/12))) + (Q197)*(IF((YEAR(D197)+1)&lt;YEAR(E197),0,IF((YEAR(D197)+1)&gt;YEAR(E197),1,(12-MONTH(E197)+1)/12))))-((P197)*(IF((YEAR(D197)+1)&lt;YEAR(E197),0,IF((YEAR(D197)+1)&gt;YEAR(E197),1,(12-MONTH(E197)+1)/12))) + (R197)*(IF((YEAR(D197)+1)&lt;YEAR(E197),0,IF((YEAR(D197)+1)&gt;YEAR(E197),1,(12-MONTH(E197)+1)/12))))-(IF(OR(N197="",N197&lt;=0),0,(O197/N197)*(IF(OR(N197="",N197&lt;=0),0,IF((YEAR(D197)+1)&lt;YEAR(E197),0,IF((YEAR(D197)+1)&gt;=YEAR(E197)+N197,0,IF((YEAR(D197)+1)=YEAR(E197),(12-MONTH(E197)+1)/12,1))))))))*TaxRate,0))-IF(1=0,O197,0))</f>
        <v/>
      </c>
      <c r="U197" s="29">
        <f>IF(A197="","",((K197)*(IF(M197="",L197,IFERROR(IF(INDEX(Variablen!$I:$AT, MATCH(M197, Variablen!$A:$A, 0), MATCH((YEAR(D197)+2), Variablen!$I$3:$AT$3, 0))="",L197,INDEX(Variablen!$I:$AT, MATCH(M197, Variablen!$A:$A, 0), MATCH((YEAR(D197)+2), Variablen!$I$3:$AT$3, 0))),L197)))*(IF((YEAR(D197)+2)&lt;YEAR(E197),0,IF((YEAR(D197)+2)&gt;YEAR(E197),1,(12-MONTH(E197)+1)/12))) + (Q197)*(IF((YEAR(D197)+2)&lt;YEAR(E197),0,IF((YEAR(D197)+2)&gt;YEAR(E197),1,(12-MONTH(E197)+1)/12))))-((P197)*(IF((YEAR(D197)+2)&lt;YEAR(E197),0,IF((YEAR(D197)+2)&gt;YEAR(E197),1,(12-MONTH(E197)+1)/12))) + (R197)*(IF((YEAR(D197)+2)&lt;YEAR(E197),0,IF((YEAR(D197)+2)&gt;YEAR(E197),1,(12-MONTH(E197)+1)/12))))-(IF((((K197)*(IF(M197="",L197,IFERROR(IF(INDEX(Variablen!$I:$AT, MATCH(M197, Variablen!$A:$A, 0), MATCH((YEAR(D197)+2), Variablen!$I$3:$AT$3, 0))="",L197,INDEX(Variablen!$I:$AT, MATCH(M197, Variablen!$A:$A, 0), MATCH((YEAR(D197)+2), Variablen!$I$3:$AT$3, 0))),L197)))*(IF((YEAR(D197)+2)&lt;YEAR(E197),0,IF((YEAR(D197)+2)&gt;YEAR(E197),1,(12-MONTH(E197)+1)/12))) + (Q197)*(IF((YEAR(D197)+2)&lt;YEAR(E197),0,IF((YEAR(D197)+2)&gt;YEAR(E197),1,(12-MONTH(E197)+1)/12))))-((P197)*(IF((YEAR(D197)+2)&lt;YEAR(E197),0,IF((YEAR(D197)+2)&gt;YEAR(E197),1,(12-MONTH(E197)+1)/12))) + (R197)*(IF((YEAR(D197)+2)&lt;YEAR(E197),0,IF((YEAR(D197)+2)&gt;YEAR(E197),1,(12-MONTH(E197)+1)/12))))-(IF(OR(N197="",N197&lt;=0),0,(O197/N197)*(IF(OR(N197="",N197&lt;=0),0,IF((YEAR(D197)+2)&lt;YEAR(E197),0,IF((YEAR(D197)+2)&gt;=YEAR(E197)+N197,0,IF((YEAR(D197)+2)=YEAR(E197),(12-MONTH(E197)+1)/12,1))))))))&gt;0,(((K197)*(IF(M197="",L197,IFERROR(IF(INDEX(Variablen!$I:$AT, MATCH(M197, Variablen!$A:$A, 0), MATCH((YEAR(D197)+2), Variablen!$I$3:$AT$3, 0))="",L197,INDEX(Variablen!$I:$AT, MATCH(M197, Variablen!$A:$A, 0), MATCH((YEAR(D197)+2), Variablen!$I$3:$AT$3, 0))),L197)))*(IF((YEAR(D197)+2)&lt;YEAR(E197),0,IF((YEAR(D197)+2)&gt;YEAR(E197),1,(12-MONTH(E197)+1)/12))) + (Q197)*(IF((YEAR(D197)+2)&lt;YEAR(E197),0,IF((YEAR(D197)+2)&gt;YEAR(E197),1,(12-MONTH(E197)+1)/12))))-((P197)*(IF((YEAR(D197)+2)&lt;YEAR(E197),0,IF((YEAR(D197)+2)&gt;YEAR(E197),1,(12-MONTH(E197)+1)/12))) + (R197)*(IF((YEAR(D197)+2)&lt;YEAR(E197),0,IF((YEAR(D197)+2)&gt;YEAR(E197),1,(12-MONTH(E197)+1)/12))))-(IF(OR(N197="",N197&lt;=0),0,(O197/N197)*(IF(OR(N197="",N197&lt;=0),0,IF((YEAR(D197)+2)&lt;YEAR(E197),0,IF((YEAR(D197)+2)&gt;=YEAR(E197)+N197,0,IF((YEAR(D197)+2)=YEAR(E197),(12-MONTH(E197)+1)/12,1))))))))*TaxRate,0))-IF(2=0,O197,0))</f>
        <v/>
      </c>
      <c r="V197" s="29">
        <f>IF(A197="","",((K197)*(IF(M197="",L197,IFERROR(IF(INDEX(Variablen!$I:$AT, MATCH(M197, Variablen!$A:$A, 0), MATCH((YEAR(D197)+3), Variablen!$I$3:$AT$3, 0))="",L197,INDEX(Variablen!$I:$AT, MATCH(M197, Variablen!$A:$A, 0), MATCH((YEAR(D197)+3), Variablen!$I$3:$AT$3, 0))),L197)))*(IF((YEAR(D197)+3)&lt;YEAR(E197),0,IF((YEAR(D197)+3)&gt;YEAR(E197),1,(12-MONTH(E197)+1)/12))) + (Q197)*(IF((YEAR(D197)+3)&lt;YEAR(E197),0,IF((YEAR(D197)+3)&gt;YEAR(E197),1,(12-MONTH(E197)+1)/12))))-((P197)*(IF((YEAR(D197)+3)&lt;YEAR(E197),0,IF((YEAR(D197)+3)&gt;YEAR(E197),1,(12-MONTH(E197)+1)/12))) + (R197)*(IF((YEAR(D197)+3)&lt;YEAR(E197),0,IF((YEAR(D197)+3)&gt;YEAR(E197),1,(12-MONTH(E197)+1)/12))))-(IF((((K197)*(IF(M197="",L197,IFERROR(IF(INDEX(Variablen!$I:$AT, MATCH(M197, Variablen!$A:$A, 0), MATCH((YEAR(D197)+3), Variablen!$I$3:$AT$3, 0))="",L197,INDEX(Variablen!$I:$AT, MATCH(M197, Variablen!$A:$A, 0), MATCH((YEAR(D197)+3), Variablen!$I$3:$AT$3, 0))),L197)))*(IF((YEAR(D197)+3)&lt;YEAR(E197),0,IF((YEAR(D197)+3)&gt;YEAR(E197),1,(12-MONTH(E197)+1)/12))) + (Q197)*(IF((YEAR(D197)+3)&lt;YEAR(E197),0,IF((YEAR(D197)+3)&gt;YEAR(E197),1,(12-MONTH(E197)+1)/12))))-((P197)*(IF((YEAR(D197)+3)&lt;YEAR(E197),0,IF((YEAR(D197)+3)&gt;YEAR(E197),1,(12-MONTH(E197)+1)/12))) + (R197)*(IF((YEAR(D197)+3)&lt;YEAR(E197),0,IF((YEAR(D197)+3)&gt;YEAR(E197),1,(12-MONTH(E197)+1)/12))))-(IF(OR(N197="",N197&lt;=0),0,(O197/N197)*(IF(OR(N197="",N197&lt;=0),0,IF((YEAR(D197)+3)&lt;YEAR(E197),0,IF((YEAR(D197)+3)&gt;=YEAR(E197)+N197,0,IF((YEAR(D197)+3)=YEAR(E197),(12-MONTH(E197)+1)/12,1))))))))&gt;0,(((K197)*(IF(M197="",L197,IFERROR(IF(INDEX(Variablen!$I:$AT, MATCH(M197, Variablen!$A:$A, 0), MATCH((YEAR(D197)+3), Variablen!$I$3:$AT$3, 0))="",L197,INDEX(Variablen!$I:$AT, MATCH(M197, Variablen!$A:$A, 0), MATCH((YEAR(D197)+3), Variablen!$I$3:$AT$3, 0))),L197)))*(IF((YEAR(D197)+3)&lt;YEAR(E197),0,IF((YEAR(D197)+3)&gt;YEAR(E197),1,(12-MONTH(E197)+1)/12))) + (Q197)*(IF((YEAR(D197)+3)&lt;YEAR(E197),0,IF((YEAR(D197)+3)&gt;YEAR(E197),1,(12-MONTH(E197)+1)/12))))-((P197)*(IF((YEAR(D197)+3)&lt;YEAR(E197),0,IF((YEAR(D197)+3)&gt;YEAR(E197),1,(12-MONTH(E197)+1)/12))) + (R197)*(IF((YEAR(D197)+3)&lt;YEAR(E197),0,IF((YEAR(D197)+3)&gt;YEAR(E197),1,(12-MONTH(E197)+1)/12))))-(IF(OR(N197="",N197&lt;=0),0,(O197/N197)*(IF(OR(N197="",N197&lt;=0),0,IF((YEAR(D197)+3)&lt;YEAR(E197),0,IF((YEAR(D197)+3)&gt;=YEAR(E197)+N197,0,IF((YEAR(D197)+3)=YEAR(E197),(12-MONTH(E197)+1)/12,1))))))))*TaxRate,0))-IF(3=0,O197,0))</f>
        <v/>
      </c>
      <c r="W197" s="29">
        <f>IF(A197="","",((K197)*(IF(M197="",L197,IFERROR(IF(INDEX(Variablen!$I:$AT, MATCH(M197, Variablen!$A:$A, 0), MATCH((YEAR(D197)+4), Variablen!$I$3:$AT$3, 0))="",L197,INDEX(Variablen!$I:$AT, MATCH(M197, Variablen!$A:$A, 0), MATCH((YEAR(D197)+4), Variablen!$I$3:$AT$3, 0))),L197)))*(IF((YEAR(D197)+4)&lt;YEAR(E197),0,IF((YEAR(D197)+4)&gt;YEAR(E197),1,(12-MONTH(E197)+1)/12))) + (Q197)*(IF((YEAR(D197)+4)&lt;YEAR(E197),0,IF((YEAR(D197)+4)&gt;YEAR(E197),1,(12-MONTH(E197)+1)/12))))-((P197)*(IF((YEAR(D197)+4)&lt;YEAR(E197),0,IF((YEAR(D197)+4)&gt;YEAR(E197),1,(12-MONTH(E197)+1)/12))) + (R197)*(IF((YEAR(D197)+4)&lt;YEAR(E197),0,IF((YEAR(D197)+4)&gt;YEAR(E197),1,(12-MONTH(E197)+1)/12))))-(IF((((K197)*(IF(M197="",L197,IFERROR(IF(INDEX(Variablen!$I:$AT, MATCH(M197, Variablen!$A:$A, 0), MATCH((YEAR(D197)+4), Variablen!$I$3:$AT$3, 0))="",L197,INDEX(Variablen!$I:$AT, MATCH(M197, Variablen!$A:$A, 0), MATCH((YEAR(D197)+4), Variablen!$I$3:$AT$3, 0))),L197)))*(IF((YEAR(D197)+4)&lt;YEAR(E197),0,IF((YEAR(D197)+4)&gt;YEAR(E197),1,(12-MONTH(E197)+1)/12))) + (Q197)*(IF((YEAR(D197)+4)&lt;YEAR(E197),0,IF((YEAR(D197)+4)&gt;YEAR(E197),1,(12-MONTH(E197)+1)/12))))-((P197)*(IF((YEAR(D197)+4)&lt;YEAR(E197),0,IF((YEAR(D197)+4)&gt;YEAR(E197),1,(12-MONTH(E197)+1)/12))) + (R197)*(IF((YEAR(D197)+4)&lt;YEAR(E197),0,IF((YEAR(D197)+4)&gt;YEAR(E197),1,(12-MONTH(E197)+1)/12))))-(IF(OR(N197="",N197&lt;=0),0,(O197/N197)*(IF(OR(N197="",N197&lt;=0),0,IF((YEAR(D197)+4)&lt;YEAR(E197),0,IF((YEAR(D197)+4)&gt;=YEAR(E197)+N197,0,IF((YEAR(D197)+4)=YEAR(E197),(12-MONTH(E197)+1)/12,1))))))))&gt;0,(((K197)*(IF(M197="",L197,IFERROR(IF(INDEX(Variablen!$I:$AT, MATCH(M197, Variablen!$A:$A, 0), MATCH((YEAR(D197)+4), Variablen!$I$3:$AT$3, 0))="",L197,INDEX(Variablen!$I:$AT, MATCH(M197, Variablen!$A:$A, 0), MATCH((YEAR(D197)+4), Variablen!$I$3:$AT$3, 0))),L197)))*(IF((YEAR(D197)+4)&lt;YEAR(E197),0,IF((YEAR(D197)+4)&gt;YEAR(E197),1,(12-MONTH(E197)+1)/12))) + (Q197)*(IF((YEAR(D197)+4)&lt;YEAR(E197),0,IF((YEAR(D197)+4)&gt;YEAR(E197),1,(12-MONTH(E197)+1)/12))))-((P197)*(IF((YEAR(D197)+4)&lt;YEAR(E197),0,IF((YEAR(D197)+4)&gt;YEAR(E197),1,(12-MONTH(E197)+1)/12))) + (R197)*(IF((YEAR(D197)+4)&lt;YEAR(E197),0,IF((YEAR(D197)+4)&gt;YEAR(E197),1,(12-MONTH(E197)+1)/12))))-(IF(OR(N197="",N197&lt;=0),0,(O197/N197)*(IF(OR(N197="",N197&lt;=0),0,IF((YEAR(D197)+4)&lt;YEAR(E197),0,IF((YEAR(D197)+4)&gt;=YEAR(E197)+N197,0,IF((YEAR(D197)+4)=YEAR(E197),(12-MONTH(E197)+1)/12,1))))))))*TaxRate,0))-IF(4=0,O197,0))</f>
        <v/>
      </c>
      <c r="X197" s="29">
        <f>IF(A197="","",((K197)*(IF(M197="",L197,IFERROR(IF(INDEX(Variablen!$I:$AT, MATCH(M197, Variablen!$A:$A, 0), MATCH((YEAR(D197)+5), Variablen!$I$3:$AT$3, 0))="",L197,INDEX(Variablen!$I:$AT, MATCH(M197, Variablen!$A:$A, 0), MATCH((YEAR(D197)+5), Variablen!$I$3:$AT$3, 0))),L197)))*(IF((YEAR(D197)+5)&lt;YEAR(E197),0,IF((YEAR(D197)+5)&gt;YEAR(E197),1,(12-MONTH(E197)+1)/12))) + (Q197)*(IF((YEAR(D197)+5)&lt;YEAR(E197),0,IF((YEAR(D197)+5)&gt;YEAR(E197),1,(12-MONTH(E197)+1)/12))))-((P197)*(IF((YEAR(D197)+5)&lt;YEAR(E197),0,IF((YEAR(D197)+5)&gt;YEAR(E197),1,(12-MONTH(E197)+1)/12))) + (R197)*(IF((YEAR(D197)+5)&lt;YEAR(E197),0,IF((YEAR(D197)+5)&gt;YEAR(E197),1,(12-MONTH(E197)+1)/12))))-(IF((((K197)*(IF(M197="",L197,IFERROR(IF(INDEX(Variablen!$I:$AT, MATCH(M197, Variablen!$A:$A, 0), MATCH((YEAR(D197)+5), Variablen!$I$3:$AT$3, 0))="",L197,INDEX(Variablen!$I:$AT, MATCH(M197, Variablen!$A:$A, 0), MATCH((YEAR(D197)+5), Variablen!$I$3:$AT$3, 0))),L197)))*(IF((YEAR(D197)+5)&lt;YEAR(E197),0,IF((YEAR(D197)+5)&gt;YEAR(E197),1,(12-MONTH(E197)+1)/12))) + (Q197)*(IF((YEAR(D197)+5)&lt;YEAR(E197),0,IF((YEAR(D197)+5)&gt;YEAR(E197),1,(12-MONTH(E197)+1)/12))))-((P197)*(IF((YEAR(D197)+5)&lt;YEAR(E197),0,IF((YEAR(D197)+5)&gt;YEAR(E197),1,(12-MONTH(E197)+1)/12))) + (R197)*(IF((YEAR(D197)+5)&lt;YEAR(E197),0,IF((YEAR(D197)+5)&gt;YEAR(E197),1,(12-MONTH(E197)+1)/12))))-(IF(OR(N197="",N197&lt;=0),0,(O197/N197)*(IF(OR(N197="",N197&lt;=0),0,IF((YEAR(D197)+5)&lt;YEAR(E197),0,IF((YEAR(D197)+5)&gt;=YEAR(E197)+N197,0,IF((YEAR(D197)+5)=YEAR(E197),(12-MONTH(E197)+1)/12,1))))))))&gt;0,(((K197)*(IF(M197="",L197,IFERROR(IF(INDEX(Variablen!$I:$AT, MATCH(M197, Variablen!$A:$A, 0), MATCH((YEAR(D197)+5), Variablen!$I$3:$AT$3, 0))="",L197,INDEX(Variablen!$I:$AT, MATCH(M197, Variablen!$A:$A, 0), MATCH((YEAR(D197)+5), Variablen!$I$3:$AT$3, 0))),L197)))*(IF((YEAR(D197)+5)&lt;YEAR(E197),0,IF((YEAR(D197)+5)&gt;YEAR(E197),1,(12-MONTH(E197)+1)/12))) + (Q197)*(IF((YEAR(D197)+5)&lt;YEAR(E197),0,IF((YEAR(D197)+5)&gt;YEAR(E197),1,(12-MONTH(E197)+1)/12))))-((P197)*(IF((YEAR(D197)+5)&lt;YEAR(E197),0,IF((YEAR(D197)+5)&gt;YEAR(E197),1,(12-MONTH(E197)+1)/12))) + (R197)*(IF((YEAR(D197)+5)&lt;YEAR(E197),0,IF((YEAR(D197)+5)&gt;YEAR(E197),1,(12-MONTH(E197)+1)/12))))-(IF(OR(N197="",N197&lt;=0),0,(O197/N197)*(IF(OR(N197="",N197&lt;=0),0,IF((YEAR(D197)+5)&lt;YEAR(E197),0,IF((YEAR(D197)+5)&gt;=YEAR(E197)+N197,0,IF((YEAR(D197)+5)=YEAR(E197),(12-MONTH(E197)+1)/12,1))))))))*TaxRate,0))-IF(5=0,O197,0))</f>
        <v/>
      </c>
      <c r="Y197" s="29">
        <f>IF(A197="","",((K197)*(IF(M197="",L197,IFERROR(IF(INDEX(Variablen!$I:$AT, MATCH(M197, Variablen!$A:$A, 0), MATCH((YEAR(D197)+6), Variablen!$I$3:$AT$3, 0))="",L197,INDEX(Variablen!$I:$AT, MATCH(M197, Variablen!$A:$A, 0), MATCH((YEAR(D197)+6), Variablen!$I$3:$AT$3, 0))),L197)))*(IF((YEAR(D197)+6)&lt;YEAR(E197),0,IF((YEAR(D197)+6)&gt;YEAR(E197),1,(12-MONTH(E197)+1)/12))) + (Q197)*(IF((YEAR(D197)+6)&lt;YEAR(E197),0,IF((YEAR(D197)+6)&gt;YEAR(E197),1,(12-MONTH(E197)+1)/12))))-((P197)*(IF((YEAR(D197)+6)&lt;YEAR(E197),0,IF((YEAR(D197)+6)&gt;YEAR(E197),1,(12-MONTH(E197)+1)/12))) + (R197)*(IF((YEAR(D197)+6)&lt;YEAR(E197),0,IF((YEAR(D197)+6)&gt;YEAR(E197),1,(12-MONTH(E197)+1)/12))))-(IF((((K197)*(IF(M197="",L197,IFERROR(IF(INDEX(Variablen!$I:$AT, MATCH(M197, Variablen!$A:$A, 0), MATCH((YEAR(D197)+6), Variablen!$I$3:$AT$3, 0))="",L197,INDEX(Variablen!$I:$AT, MATCH(M197, Variablen!$A:$A, 0), MATCH((YEAR(D197)+6), Variablen!$I$3:$AT$3, 0))),L197)))*(IF((YEAR(D197)+6)&lt;YEAR(E197),0,IF((YEAR(D197)+6)&gt;YEAR(E197),1,(12-MONTH(E197)+1)/12))) + (Q197)*(IF((YEAR(D197)+6)&lt;YEAR(E197),0,IF((YEAR(D197)+6)&gt;YEAR(E197),1,(12-MONTH(E197)+1)/12))))-((P197)*(IF((YEAR(D197)+6)&lt;YEAR(E197),0,IF((YEAR(D197)+6)&gt;YEAR(E197),1,(12-MONTH(E197)+1)/12))) + (R197)*(IF((YEAR(D197)+6)&lt;YEAR(E197),0,IF((YEAR(D197)+6)&gt;YEAR(E197),1,(12-MONTH(E197)+1)/12))))-(IF(OR(N197="",N197&lt;=0),0,(O197/N197)*(IF(OR(N197="",N197&lt;=0),0,IF((YEAR(D197)+6)&lt;YEAR(E197),0,IF((YEAR(D197)+6)&gt;=YEAR(E197)+N197,0,IF((YEAR(D197)+6)=YEAR(E197),(12-MONTH(E197)+1)/12,1))))))))&gt;0,(((K197)*(IF(M197="",L197,IFERROR(IF(INDEX(Variablen!$I:$AT, MATCH(M197, Variablen!$A:$A, 0), MATCH((YEAR(D197)+6), Variablen!$I$3:$AT$3, 0))="",L197,INDEX(Variablen!$I:$AT, MATCH(M197, Variablen!$A:$A, 0), MATCH((YEAR(D197)+6), Variablen!$I$3:$AT$3, 0))),L197)))*(IF((YEAR(D197)+6)&lt;YEAR(E197),0,IF((YEAR(D197)+6)&gt;YEAR(E197),1,(12-MONTH(E197)+1)/12))) + (Q197)*(IF((YEAR(D197)+6)&lt;YEAR(E197),0,IF((YEAR(D197)+6)&gt;YEAR(E197),1,(12-MONTH(E197)+1)/12))))-((P197)*(IF((YEAR(D197)+6)&lt;YEAR(E197),0,IF((YEAR(D197)+6)&gt;YEAR(E197),1,(12-MONTH(E197)+1)/12))) + (R197)*(IF((YEAR(D197)+6)&lt;YEAR(E197),0,IF((YEAR(D197)+6)&gt;YEAR(E197),1,(12-MONTH(E197)+1)/12))))-(IF(OR(N197="",N197&lt;=0),0,(O197/N197)*(IF(OR(N197="",N197&lt;=0),0,IF((YEAR(D197)+6)&lt;YEAR(E197),0,IF((YEAR(D197)+6)&gt;=YEAR(E197)+N197,0,IF((YEAR(D197)+6)=YEAR(E197),(12-MONTH(E197)+1)/12,1))))))))*TaxRate,0))-IF(6=0,O197,0))</f>
        <v/>
      </c>
      <c r="Z197" s="29">
        <f>IF(A197="","",((K197)*(IF(M197="",L197,IFERROR(IF(INDEX(Variablen!$I:$AT, MATCH(M197, Variablen!$A:$A, 0), MATCH((YEAR(D197)+7), Variablen!$I$3:$AT$3, 0))="",L197,INDEX(Variablen!$I:$AT, MATCH(M197, Variablen!$A:$A, 0), MATCH((YEAR(D197)+7), Variablen!$I$3:$AT$3, 0))),L197)))*(IF((YEAR(D197)+7)&lt;YEAR(E197),0,IF((YEAR(D197)+7)&gt;YEAR(E197),1,(12-MONTH(E197)+1)/12))) + (Q197)*(IF((YEAR(D197)+7)&lt;YEAR(E197),0,IF((YEAR(D197)+7)&gt;YEAR(E197),1,(12-MONTH(E197)+1)/12))))-((P197)*(IF((YEAR(D197)+7)&lt;YEAR(E197),0,IF((YEAR(D197)+7)&gt;YEAR(E197),1,(12-MONTH(E197)+1)/12))) + (R197)*(IF((YEAR(D197)+7)&lt;YEAR(E197),0,IF((YEAR(D197)+7)&gt;YEAR(E197),1,(12-MONTH(E197)+1)/12))))-(IF((((K197)*(IF(M197="",L197,IFERROR(IF(INDEX(Variablen!$I:$AT, MATCH(M197, Variablen!$A:$A, 0), MATCH((YEAR(D197)+7), Variablen!$I$3:$AT$3, 0))="",L197,INDEX(Variablen!$I:$AT, MATCH(M197, Variablen!$A:$A, 0), MATCH((YEAR(D197)+7), Variablen!$I$3:$AT$3, 0))),L197)))*(IF((YEAR(D197)+7)&lt;YEAR(E197),0,IF((YEAR(D197)+7)&gt;YEAR(E197),1,(12-MONTH(E197)+1)/12))) + (Q197)*(IF((YEAR(D197)+7)&lt;YEAR(E197),0,IF((YEAR(D197)+7)&gt;YEAR(E197),1,(12-MONTH(E197)+1)/12))))-((P197)*(IF((YEAR(D197)+7)&lt;YEAR(E197),0,IF((YEAR(D197)+7)&gt;YEAR(E197),1,(12-MONTH(E197)+1)/12))) + (R197)*(IF((YEAR(D197)+7)&lt;YEAR(E197),0,IF((YEAR(D197)+7)&gt;YEAR(E197),1,(12-MONTH(E197)+1)/12))))-(IF(OR(N197="",N197&lt;=0),0,(O197/N197)*(IF(OR(N197="",N197&lt;=0),0,IF((YEAR(D197)+7)&lt;YEAR(E197),0,IF((YEAR(D197)+7)&gt;=YEAR(E197)+N197,0,IF((YEAR(D197)+7)=YEAR(E197),(12-MONTH(E197)+1)/12,1))))))))&gt;0,(((K197)*(IF(M197="",L197,IFERROR(IF(INDEX(Variablen!$I:$AT, MATCH(M197, Variablen!$A:$A, 0), MATCH((YEAR(D197)+7), Variablen!$I$3:$AT$3, 0))="",L197,INDEX(Variablen!$I:$AT, MATCH(M197, Variablen!$A:$A, 0), MATCH((YEAR(D197)+7), Variablen!$I$3:$AT$3, 0))),L197)))*(IF((YEAR(D197)+7)&lt;YEAR(E197),0,IF((YEAR(D197)+7)&gt;YEAR(E197),1,(12-MONTH(E197)+1)/12))) + (Q197)*(IF((YEAR(D197)+7)&lt;YEAR(E197),0,IF((YEAR(D197)+7)&gt;YEAR(E197),1,(12-MONTH(E197)+1)/12))))-((P197)*(IF((YEAR(D197)+7)&lt;YEAR(E197),0,IF((YEAR(D197)+7)&gt;YEAR(E197),1,(12-MONTH(E197)+1)/12))) + (R197)*(IF((YEAR(D197)+7)&lt;YEAR(E197),0,IF((YEAR(D197)+7)&gt;YEAR(E197),1,(12-MONTH(E197)+1)/12))))-(IF(OR(N197="",N197&lt;=0),0,(O197/N197)*(IF(OR(N197="",N197&lt;=0),0,IF((YEAR(D197)+7)&lt;YEAR(E197),0,IF((YEAR(D197)+7)&gt;=YEAR(E197)+N197,0,IF((YEAR(D197)+7)=YEAR(E197),(12-MONTH(E197)+1)/12,1))))))))*TaxRate,0))-IF(7=0,O197,0))</f>
        <v/>
      </c>
      <c r="AA197" s="29">
        <f>IF(A197="","",((K197)*(IF(M197="",L197,IFERROR(IF(INDEX(Variablen!$I:$AT, MATCH(M197, Variablen!$A:$A, 0), MATCH((YEAR(D197)+8), Variablen!$I$3:$AT$3, 0))="",L197,INDEX(Variablen!$I:$AT, MATCH(M197, Variablen!$A:$A, 0), MATCH((YEAR(D197)+8), Variablen!$I$3:$AT$3, 0))),L197)))*(IF((YEAR(D197)+8)&lt;YEAR(E197),0,IF((YEAR(D197)+8)&gt;YEAR(E197),1,(12-MONTH(E197)+1)/12))) + (Q197)*(IF((YEAR(D197)+8)&lt;YEAR(E197),0,IF((YEAR(D197)+8)&gt;YEAR(E197),1,(12-MONTH(E197)+1)/12))))-((P197)*(IF((YEAR(D197)+8)&lt;YEAR(E197),0,IF((YEAR(D197)+8)&gt;YEAR(E197),1,(12-MONTH(E197)+1)/12))) + (R197)*(IF((YEAR(D197)+8)&lt;YEAR(E197),0,IF((YEAR(D197)+8)&gt;YEAR(E197),1,(12-MONTH(E197)+1)/12))))-(IF((((K197)*(IF(M197="",L197,IFERROR(IF(INDEX(Variablen!$I:$AT, MATCH(M197, Variablen!$A:$A, 0), MATCH((YEAR(D197)+8), Variablen!$I$3:$AT$3, 0))="",L197,INDEX(Variablen!$I:$AT, MATCH(M197, Variablen!$A:$A, 0), MATCH((YEAR(D197)+8), Variablen!$I$3:$AT$3, 0))),L197)))*(IF((YEAR(D197)+8)&lt;YEAR(E197),0,IF((YEAR(D197)+8)&gt;YEAR(E197),1,(12-MONTH(E197)+1)/12))) + (Q197)*(IF((YEAR(D197)+8)&lt;YEAR(E197),0,IF((YEAR(D197)+8)&gt;YEAR(E197),1,(12-MONTH(E197)+1)/12))))-((P197)*(IF((YEAR(D197)+8)&lt;YEAR(E197),0,IF((YEAR(D197)+8)&gt;YEAR(E197),1,(12-MONTH(E197)+1)/12))) + (R197)*(IF((YEAR(D197)+8)&lt;YEAR(E197),0,IF((YEAR(D197)+8)&gt;YEAR(E197),1,(12-MONTH(E197)+1)/12))))-(IF(OR(N197="",N197&lt;=0),0,(O197/N197)*(IF(OR(N197="",N197&lt;=0),0,IF((YEAR(D197)+8)&lt;YEAR(E197),0,IF((YEAR(D197)+8)&gt;=YEAR(E197)+N197,0,IF((YEAR(D197)+8)=YEAR(E197),(12-MONTH(E197)+1)/12,1))))))))&gt;0,(((K197)*(IF(M197="",L197,IFERROR(IF(INDEX(Variablen!$I:$AT, MATCH(M197, Variablen!$A:$A, 0), MATCH((YEAR(D197)+8), Variablen!$I$3:$AT$3, 0))="",L197,INDEX(Variablen!$I:$AT, MATCH(M197, Variablen!$A:$A, 0), MATCH((YEAR(D197)+8), Variablen!$I$3:$AT$3, 0))),L197)))*(IF((YEAR(D197)+8)&lt;YEAR(E197),0,IF((YEAR(D197)+8)&gt;YEAR(E197),1,(12-MONTH(E197)+1)/12))) + (Q197)*(IF((YEAR(D197)+8)&lt;YEAR(E197),0,IF((YEAR(D197)+8)&gt;YEAR(E197),1,(12-MONTH(E197)+1)/12))))-((P197)*(IF((YEAR(D197)+8)&lt;YEAR(E197),0,IF((YEAR(D197)+8)&gt;YEAR(E197),1,(12-MONTH(E197)+1)/12))) + (R197)*(IF((YEAR(D197)+8)&lt;YEAR(E197),0,IF((YEAR(D197)+8)&gt;YEAR(E197),1,(12-MONTH(E197)+1)/12))))-(IF(OR(N197="",N197&lt;=0),0,(O197/N197)*(IF(OR(N197="",N197&lt;=0),0,IF((YEAR(D197)+8)&lt;YEAR(E197),0,IF((YEAR(D197)+8)&gt;=YEAR(E197)+N197,0,IF((YEAR(D197)+8)=YEAR(E197),(12-MONTH(E197)+1)/12,1))))))))*TaxRate,0))-IF(8=0,O197,0))</f>
        <v/>
      </c>
      <c r="AB197" s="29">
        <f>IF(A197="","",((K197)*(IF(M197="",L197,IFERROR(IF(INDEX(Variablen!$I:$AT, MATCH(M197, Variablen!$A:$A, 0), MATCH((YEAR(D197)+9), Variablen!$I$3:$AT$3, 0))="",L197,INDEX(Variablen!$I:$AT, MATCH(M197, Variablen!$A:$A, 0), MATCH((YEAR(D197)+9), Variablen!$I$3:$AT$3, 0))),L197)))*(IF((YEAR(D197)+9)&lt;YEAR(E197),0,IF((YEAR(D197)+9)&gt;YEAR(E197),1,(12-MONTH(E197)+1)/12))) + (Q197)*(IF((YEAR(D197)+9)&lt;YEAR(E197),0,IF((YEAR(D197)+9)&gt;YEAR(E197),1,(12-MONTH(E197)+1)/12))))-((P197)*(IF((YEAR(D197)+9)&lt;YEAR(E197),0,IF((YEAR(D197)+9)&gt;YEAR(E197),1,(12-MONTH(E197)+1)/12))) + (R197)*(IF((YEAR(D197)+9)&lt;YEAR(E197),0,IF((YEAR(D197)+9)&gt;YEAR(E197),1,(12-MONTH(E197)+1)/12))))-(IF((((K197)*(IF(M197="",L197,IFERROR(IF(INDEX(Variablen!$I:$AT, MATCH(M197, Variablen!$A:$A, 0), MATCH((YEAR(D197)+9), Variablen!$I$3:$AT$3, 0))="",L197,INDEX(Variablen!$I:$AT, MATCH(M197, Variablen!$A:$A, 0), MATCH((YEAR(D197)+9), Variablen!$I$3:$AT$3, 0))),L197)))*(IF((YEAR(D197)+9)&lt;YEAR(E197),0,IF((YEAR(D197)+9)&gt;YEAR(E197),1,(12-MONTH(E197)+1)/12))) + (Q197)*(IF((YEAR(D197)+9)&lt;YEAR(E197),0,IF((YEAR(D197)+9)&gt;YEAR(E197),1,(12-MONTH(E197)+1)/12))))-((P197)*(IF((YEAR(D197)+9)&lt;YEAR(E197),0,IF((YEAR(D197)+9)&gt;YEAR(E197),1,(12-MONTH(E197)+1)/12))) + (R197)*(IF((YEAR(D197)+9)&lt;YEAR(E197),0,IF((YEAR(D197)+9)&gt;YEAR(E197),1,(12-MONTH(E197)+1)/12))))-(IF(OR(N197="",N197&lt;=0),0,(O197/N197)*(IF(OR(N197="",N197&lt;=0),0,IF((YEAR(D197)+9)&lt;YEAR(E197),0,IF((YEAR(D197)+9)&gt;=YEAR(E197)+N197,0,IF((YEAR(D197)+9)=YEAR(E197),(12-MONTH(E197)+1)/12,1))))))))&gt;0,(((K197)*(IF(M197="",L197,IFERROR(IF(INDEX(Variablen!$I:$AT, MATCH(M197, Variablen!$A:$A, 0), MATCH((YEAR(D197)+9), Variablen!$I$3:$AT$3, 0))="",L197,INDEX(Variablen!$I:$AT, MATCH(M197, Variablen!$A:$A, 0), MATCH((YEAR(D197)+9), Variablen!$I$3:$AT$3, 0))),L197)))*(IF((YEAR(D197)+9)&lt;YEAR(E197),0,IF((YEAR(D197)+9)&gt;YEAR(E197),1,(12-MONTH(E197)+1)/12))) + (Q197)*(IF((YEAR(D197)+9)&lt;YEAR(E197),0,IF((YEAR(D197)+9)&gt;YEAR(E197),1,(12-MONTH(E197)+1)/12))))-((P197)*(IF((YEAR(D197)+9)&lt;YEAR(E197),0,IF((YEAR(D197)+9)&gt;YEAR(E197),1,(12-MONTH(E197)+1)/12))) + (R197)*(IF((YEAR(D197)+9)&lt;YEAR(E197),0,IF((YEAR(D197)+9)&gt;YEAR(E197),1,(12-MONTH(E197)+1)/12))))-(IF(OR(N197="",N197&lt;=0),0,(O197/N197)*(IF(OR(N197="",N197&lt;=0),0,IF((YEAR(D197)+9)&lt;YEAR(E197),0,IF((YEAR(D197)+9)&gt;=YEAR(E197)+N197,0,IF((YEAR(D197)+9)=YEAR(E197),(12-MONTH(E197)+1)/12,1))))))))*TaxRate,0))-IF(9=0,O197,0))</f>
        <v/>
      </c>
      <c r="AC197" s="29">
        <f>IF(A197="","",((K197)*(IF(M197="",L197,IFERROR(IF(INDEX(Variablen!$I:$AT, MATCH(M197, Variablen!$A:$A, 0), MATCH((YEAR(D197)+10), Variablen!$I$3:$AT$3, 0))="",L197,INDEX(Variablen!$I:$AT, MATCH(M197, Variablen!$A:$A, 0), MATCH((YEAR(D197)+10), Variablen!$I$3:$AT$3, 0))),L197)))*(IF((YEAR(D197)+10)&lt;YEAR(E197),0,IF((YEAR(D197)+10)&gt;YEAR(E197),1,(12-MONTH(E197)+1)/12))) + (Q197)*(IF((YEAR(D197)+10)&lt;YEAR(E197),0,IF((YEAR(D197)+10)&gt;YEAR(E197),1,(12-MONTH(E197)+1)/12))))-((P197)*(IF((YEAR(D197)+10)&lt;YEAR(E197),0,IF((YEAR(D197)+10)&gt;YEAR(E197),1,(12-MONTH(E197)+1)/12))) + (R197)*(IF((YEAR(D197)+10)&lt;YEAR(E197),0,IF((YEAR(D197)+10)&gt;YEAR(E197),1,(12-MONTH(E197)+1)/12))))-(IF((((K197)*(IF(M197="",L197,IFERROR(IF(INDEX(Variablen!$I:$AT, MATCH(M197, Variablen!$A:$A, 0), MATCH((YEAR(D197)+10), Variablen!$I$3:$AT$3, 0))="",L197,INDEX(Variablen!$I:$AT, MATCH(M197, Variablen!$A:$A, 0), MATCH((YEAR(D197)+10), Variablen!$I$3:$AT$3, 0))),L197)))*(IF((YEAR(D197)+10)&lt;YEAR(E197),0,IF((YEAR(D197)+10)&gt;YEAR(E197),1,(12-MONTH(E197)+1)/12))) + (Q197)*(IF((YEAR(D197)+10)&lt;YEAR(E197),0,IF((YEAR(D197)+10)&gt;YEAR(E197),1,(12-MONTH(E197)+1)/12))))-((P197)*(IF((YEAR(D197)+10)&lt;YEAR(E197),0,IF((YEAR(D197)+10)&gt;YEAR(E197),1,(12-MONTH(E197)+1)/12))) + (R197)*(IF((YEAR(D197)+10)&lt;YEAR(E197),0,IF((YEAR(D197)+10)&gt;YEAR(E197),1,(12-MONTH(E197)+1)/12))))-(IF(OR(N197="",N197&lt;=0),0,(O197/N197)*(IF(OR(N197="",N197&lt;=0),0,IF((YEAR(D197)+10)&lt;YEAR(E197),0,IF((YEAR(D197)+10)&gt;=YEAR(E197)+N197,0,IF((YEAR(D197)+10)=YEAR(E197),(12-MONTH(E197)+1)/12,1))))))))&gt;0,(((K197)*(IF(M197="",L197,IFERROR(IF(INDEX(Variablen!$I:$AT, MATCH(M197, Variablen!$A:$A, 0), MATCH((YEAR(D197)+10), Variablen!$I$3:$AT$3, 0))="",L197,INDEX(Variablen!$I:$AT, MATCH(M197, Variablen!$A:$A, 0), MATCH((YEAR(D197)+10), Variablen!$I$3:$AT$3, 0))),L197)))*(IF((YEAR(D197)+10)&lt;YEAR(E197),0,IF((YEAR(D197)+10)&gt;YEAR(E197),1,(12-MONTH(E197)+1)/12))) + (Q197)*(IF((YEAR(D197)+10)&lt;YEAR(E197),0,IF((YEAR(D197)+10)&gt;YEAR(E197),1,(12-MONTH(E197)+1)/12))))-((P197)*(IF((YEAR(D197)+10)&lt;YEAR(E197),0,IF((YEAR(D197)+10)&gt;YEAR(E197),1,(12-MONTH(E197)+1)/12))) + (R197)*(IF((YEAR(D197)+10)&lt;YEAR(E197),0,IF((YEAR(D197)+10)&gt;YEAR(E197),1,(12-MONTH(E197)+1)/12))))-(IF(OR(N197="",N197&lt;=0),0,(O197/N197)*(IF(OR(N197="",N197&lt;=0),0,IF((YEAR(D197)+10)&lt;YEAR(E197),0,IF((YEAR(D197)+10)&gt;=YEAR(E197)+N197,0,IF((YEAR(D197)+10)=YEAR(E197),(12-MONTH(E197)+1)/12,1))))))))*TaxRate,0))-IF(10=0,O197,0))</f>
        <v/>
      </c>
      <c r="AD197" s="29">
        <f>IF(A197="","",((K197)*(IF(M197="",L197,IFERROR(IF(INDEX(Variablen!$I:$AT, MATCH(M197, Variablen!$A:$A, 0), MATCH((YEAR(D197)+11), Variablen!$I$3:$AT$3, 0))="",L197,INDEX(Variablen!$I:$AT, MATCH(M197, Variablen!$A:$A, 0), MATCH((YEAR(D197)+11), Variablen!$I$3:$AT$3, 0))),L197)))*(IF((YEAR(D197)+11)&lt;YEAR(E197),0,IF((YEAR(D197)+11)&gt;YEAR(E197),1,(12-MONTH(E197)+1)/12))) + (Q197)*(IF((YEAR(D197)+11)&lt;YEAR(E197),0,IF((YEAR(D197)+11)&gt;YEAR(E197),1,(12-MONTH(E197)+1)/12))))-((P197)*(IF((YEAR(D197)+11)&lt;YEAR(E197),0,IF((YEAR(D197)+11)&gt;YEAR(E197),1,(12-MONTH(E197)+1)/12))) + (R197)*(IF((YEAR(D197)+11)&lt;YEAR(E197),0,IF((YEAR(D197)+11)&gt;YEAR(E197),1,(12-MONTH(E197)+1)/12))))-(IF((((K197)*(IF(M197="",L197,IFERROR(IF(INDEX(Variablen!$I:$AT, MATCH(M197, Variablen!$A:$A, 0), MATCH((YEAR(D197)+11), Variablen!$I$3:$AT$3, 0))="",L197,INDEX(Variablen!$I:$AT, MATCH(M197, Variablen!$A:$A, 0), MATCH((YEAR(D197)+11), Variablen!$I$3:$AT$3, 0))),L197)))*(IF((YEAR(D197)+11)&lt;YEAR(E197),0,IF((YEAR(D197)+11)&gt;YEAR(E197),1,(12-MONTH(E197)+1)/12))) + (Q197)*(IF((YEAR(D197)+11)&lt;YEAR(E197),0,IF((YEAR(D197)+11)&gt;YEAR(E197),1,(12-MONTH(E197)+1)/12))))-((P197)*(IF((YEAR(D197)+11)&lt;YEAR(E197),0,IF((YEAR(D197)+11)&gt;YEAR(E197),1,(12-MONTH(E197)+1)/12))) + (R197)*(IF((YEAR(D197)+11)&lt;YEAR(E197),0,IF((YEAR(D197)+11)&gt;YEAR(E197),1,(12-MONTH(E197)+1)/12))))-(IF(OR(N197="",N197&lt;=0),0,(O197/N197)*(IF(OR(N197="",N197&lt;=0),0,IF((YEAR(D197)+11)&lt;YEAR(E197),0,IF((YEAR(D197)+11)&gt;=YEAR(E197)+N197,0,IF((YEAR(D197)+11)=YEAR(E197),(12-MONTH(E197)+1)/12,1))))))))&gt;0,(((K197)*(IF(M197="",L197,IFERROR(IF(INDEX(Variablen!$I:$AT, MATCH(M197, Variablen!$A:$A, 0), MATCH((YEAR(D197)+11), Variablen!$I$3:$AT$3, 0))="",L197,INDEX(Variablen!$I:$AT, MATCH(M197, Variablen!$A:$A, 0), MATCH((YEAR(D197)+11), Variablen!$I$3:$AT$3, 0))),L197)))*(IF((YEAR(D197)+11)&lt;YEAR(E197),0,IF((YEAR(D197)+11)&gt;YEAR(E197),1,(12-MONTH(E197)+1)/12))) + (Q197)*(IF((YEAR(D197)+11)&lt;YEAR(E197),0,IF((YEAR(D197)+11)&gt;YEAR(E197),1,(12-MONTH(E197)+1)/12))))-((P197)*(IF((YEAR(D197)+11)&lt;YEAR(E197),0,IF((YEAR(D197)+11)&gt;YEAR(E197),1,(12-MONTH(E197)+1)/12))) + (R197)*(IF((YEAR(D197)+11)&lt;YEAR(E197),0,IF((YEAR(D197)+11)&gt;YEAR(E197),1,(12-MONTH(E197)+1)/12))))-(IF(OR(N197="",N197&lt;=0),0,(O197/N197)*(IF(OR(N197="",N197&lt;=0),0,IF((YEAR(D197)+11)&lt;YEAR(E197),0,IF((YEAR(D197)+11)&gt;=YEAR(E197)+N197,0,IF((YEAR(D197)+11)=YEAR(E197),(12-MONTH(E197)+1)/12,1))))))))*TaxRate,0))-IF(11=0,O197,0))</f>
        <v/>
      </c>
      <c r="AE197" s="29">
        <f>IF(A197="","",((K197)*(IF(M197="",L197,IFERROR(IF(INDEX(Variablen!$I:$AT, MATCH(M197, Variablen!$A:$A, 0), MATCH((YEAR(D197)+12), Variablen!$I$3:$AT$3, 0))="",L197,INDEX(Variablen!$I:$AT, MATCH(M197, Variablen!$A:$A, 0), MATCH((YEAR(D197)+12), Variablen!$I$3:$AT$3, 0))),L197)))*(IF((YEAR(D197)+12)&lt;YEAR(E197),0,IF((YEAR(D197)+12)&gt;YEAR(E197),1,(12-MONTH(E197)+1)/12))) + (Q197)*(IF((YEAR(D197)+12)&lt;YEAR(E197),0,IF((YEAR(D197)+12)&gt;YEAR(E197),1,(12-MONTH(E197)+1)/12))))-((P197)*(IF((YEAR(D197)+12)&lt;YEAR(E197),0,IF((YEAR(D197)+12)&gt;YEAR(E197),1,(12-MONTH(E197)+1)/12))) + (R197)*(IF((YEAR(D197)+12)&lt;YEAR(E197),0,IF((YEAR(D197)+12)&gt;YEAR(E197),1,(12-MONTH(E197)+1)/12))))-(IF((((K197)*(IF(M197="",L197,IFERROR(IF(INDEX(Variablen!$I:$AT, MATCH(M197, Variablen!$A:$A, 0), MATCH((YEAR(D197)+12), Variablen!$I$3:$AT$3, 0))="",L197,INDEX(Variablen!$I:$AT, MATCH(M197, Variablen!$A:$A, 0), MATCH((YEAR(D197)+12), Variablen!$I$3:$AT$3, 0))),L197)))*(IF((YEAR(D197)+12)&lt;YEAR(E197),0,IF((YEAR(D197)+12)&gt;YEAR(E197),1,(12-MONTH(E197)+1)/12))) + (Q197)*(IF((YEAR(D197)+12)&lt;YEAR(E197),0,IF((YEAR(D197)+12)&gt;YEAR(E197),1,(12-MONTH(E197)+1)/12))))-((P197)*(IF((YEAR(D197)+12)&lt;YEAR(E197),0,IF((YEAR(D197)+12)&gt;YEAR(E197),1,(12-MONTH(E197)+1)/12))) + (R197)*(IF((YEAR(D197)+12)&lt;YEAR(E197),0,IF((YEAR(D197)+12)&gt;YEAR(E197),1,(12-MONTH(E197)+1)/12))))-(IF(OR(N197="",N197&lt;=0),0,(O197/N197)*(IF(OR(N197="",N197&lt;=0),0,IF((YEAR(D197)+12)&lt;YEAR(E197),0,IF((YEAR(D197)+12)&gt;=YEAR(E197)+N197,0,IF((YEAR(D197)+12)=YEAR(E197),(12-MONTH(E197)+1)/12,1))))))))&gt;0,(((K197)*(IF(M197="",L197,IFERROR(IF(INDEX(Variablen!$I:$AT, MATCH(M197, Variablen!$A:$A, 0), MATCH((YEAR(D197)+12), Variablen!$I$3:$AT$3, 0))="",L197,INDEX(Variablen!$I:$AT, MATCH(M197, Variablen!$A:$A, 0), MATCH((YEAR(D197)+12), Variablen!$I$3:$AT$3, 0))),L197)))*(IF((YEAR(D197)+12)&lt;YEAR(E197),0,IF((YEAR(D197)+12)&gt;YEAR(E197),1,(12-MONTH(E197)+1)/12))) + (Q197)*(IF((YEAR(D197)+12)&lt;YEAR(E197),0,IF((YEAR(D197)+12)&gt;YEAR(E197),1,(12-MONTH(E197)+1)/12))))-((P197)*(IF((YEAR(D197)+12)&lt;YEAR(E197),0,IF((YEAR(D197)+12)&gt;YEAR(E197),1,(12-MONTH(E197)+1)/12))) + (R197)*(IF((YEAR(D197)+12)&lt;YEAR(E197),0,IF((YEAR(D197)+12)&gt;YEAR(E197),1,(12-MONTH(E197)+1)/12))))-(IF(OR(N197="",N197&lt;=0),0,(O197/N197)*(IF(OR(N197="",N197&lt;=0),0,IF((YEAR(D197)+12)&lt;YEAR(E197),0,IF((YEAR(D197)+12)&gt;=YEAR(E197)+N197,0,IF((YEAR(D197)+12)=YEAR(E197),(12-MONTH(E197)+1)/12,1))))))))*TaxRate,0))-IF(12=0,O197,0))</f>
        <v/>
      </c>
      <c r="AF197" s="29">
        <f>IF(A197="","",((K197)*(IF(M197="",L197,IFERROR(IF(INDEX(Variablen!$I:$AT, MATCH(M197, Variablen!$A:$A, 0), MATCH((YEAR(D197)+13), Variablen!$I$3:$AT$3, 0))="",L197,INDEX(Variablen!$I:$AT, MATCH(M197, Variablen!$A:$A, 0), MATCH((YEAR(D197)+13), Variablen!$I$3:$AT$3, 0))),L197)))*(IF((YEAR(D197)+13)&lt;YEAR(E197),0,IF((YEAR(D197)+13)&gt;YEAR(E197),1,(12-MONTH(E197)+1)/12))) + (Q197)*(IF((YEAR(D197)+13)&lt;YEAR(E197),0,IF((YEAR(D197)+13)&gt;YEAR(E197),1,(12-MONTH(E197)+1)/12))))-((P197)*(IF((YEAR(D197)+13)&lt;YEAR(E197),0,IF((YEAR(D197)+13)&gt;YEAR(E197),1,(12-MONTH(E197)+1)/12))) + (R197)*(IF((YEAR(D197)+13)&lt;YEAR(E197),0,IF((YEAR(D197)+13)&gt;YEAR(E197),1,(12-MONTH(E197)+1)/12))))-(IF((((K197)*(IF(M197="",L197,IFERROR(IF(INDEX(Variablen!$I:$AT, MATCH(M197, Variablen!$A:$A, 0), MATCH((YEAR(D197)+13), Variablen!$I$3:$AT$3, 0))="",L197,INDEX(Variablen!$I:$AT, MATCH(M197, Variablen!$A:$A, 0), MATCH((YEAR(D197)+13), Variablen!$I$3:$AT$3, 0))),L197)))*(IF((YEAR(D197)+13)&lt;YEAR(E197),0,IF((YEAR(D197)+13)&gt;YEAR(E197),1,(12-MONTH(E197)+1)/12))) + (Q197)*(IF((YEAR(D197)+13)&lt;YEAR(E197),0,IF((YEAR(D197)+13)&gt;YEAR(E197),1,(12-MONTH(E197)+1)/12))))-((P197)*(IF((YEAR(D197)+13)&lt;YEAR(E197),0,IF((YEAR(D197)+13)&gt;YEAR(E197),1,(12-MONTH(E197)+1)/12))) + (R197)*(IF((YEAR(D197)+13)&lt;YEAR(E197),0,IF((YEAR(D197)+13)&gt;YEAR(E197),1,(12-MONTH(E197)+1)/12))))-(IF(OR(N197="",N197&lt;=0),0,(O197/N197)*(IF(OR(N197="",N197&lt;=0),0,IF((YEAR(D197)+13)&lt;YEAR(E197),0,IF((YEAR(D197)+13)&gt;=YEAR(E197)+N197,0,IF((YEAR(D197)+13)=YEAR(E197),(12-MONTH(E197)+1)/12,1))))))))&gt;0,(((K197)*(IF(M197="",L197,IFERROR(IF(INDEX(Variablen!$I:$AT, MATCH(M197, Variablen!$A:$A, 0), MATCH((YEAR(D197)+13), Variablen!$I$3:$AT$3, 0))="",L197,INDEX(Variablen!$I:$AT, MATCH(M197, Variablen!$A:$A, 0), MATCH((YEAR(D197)+13), Variablen!$I$3:$AT$3, 0))),L197)))*(IF((YEAR(D197)+13)&lt;YEAR(E197),0,IF((YEAR(D197)+13)&gt;YEAR(E197),1,(12-MONTH(E197)+1)/12))) + (Q197)*(IF((YEAR(D197)+13)&lt;YEAR(E197),0,IF((YEAR(D197)+13)&gt;YEAR(E197),1,(12-MONTH(E197)+1)/12))))-((P197)*(IF((YEAR(D197)+13)&lt;YEAR(E197),0,IF((YEAR(D197)+13)&gt;YEAR(E197),1,(12-MONTH(E197)+1)/12))) + (R197)*(IF((YEAR(D197)+13)&lt;YEAR(E197),0,IF((YEAR(D197)+13)&gt;YEAR(E197),1,(12-MONTH(E197)+1)/12))))-(IF(OR(N197="",N197&lt;=0),0,(O197/N197)*(IF(OR(N197="",N197&lt;=0),0,IF((YEAR(D197)+13)&lt;YEAR(E197),0,IF((YEAR(D197)+13)&gt;=YEAR(E197)+N197,0,IF((YEAR(D197)+13)=YEAR(E197),(12-MONTH(E197)+1)/12,1))))))))*TaxRate,0))-IF(13=0,O197,0))</f>
        <v/>
      </c>
      <c r="AG197" s="29">
        <f>IF(A197="","",((K197)*(IF(M197="",L197,IFERROR(IF(INDEX(Variablen!$I:$AT, MATCH(M197, Variablen!$A:$A, 0), MATCH((YEAR(D197)+14), Variablen!$I$3:$AT$3, 0))="",L197,INDEX(Variablen!$I:$AT, MATCH(M197, Variablen!$A:$A, 0), MATCH((YEAR(D197)+14), Variablen!$I$3:$AT$3, 0))),L197)))*(IF((YEAR(D197)+14)&lt;YEAR(E197),0,IF((YEAR(D197)+14)&gt;YEAR(E197),1,(12-MONTH(E197)+1)/12))) + (Q197)*(IF((YEAR(D197)+14)&lt;YEAR(E197),0,IF((YEAR(D197)+14)&gt;YEAR(E197),1,(12-MONTH(E197)+1)/12))))-((P197)*(IF((YEAR(D197)+14)&lt;YEAR(E197),0,IF((YEAR(D197)+14)&gt;YEAR(E197),1,(12-MONTH(E197)+1)/12))) + (R197)*(IF((YEAR(D197)+14)&lt;YEAR(E197),0,IF((YEAR(D197)+14)&gt;YEAR(E197),1,(12-MONTH(E197)+1)/12))))-(IF((((K197)*(IF(M197="",L197,IFERROR(IF(INDEX(Variablen!$I:$AT, MATCH(M197, Variablen!$A:$A, 0), MATCH((YEAR(D197)+14), Variablen!$I$3:$AT$3, 0))="",L197,INDEX(Variablen!$I:$AT, MATCH(M197, Variablen!$A:$A, 0), MATCH((YEAR(D197)+14), Variablen!$I$3:$AT$3, 0))),L197)))*(IF((YEAR(D197)+14)&lt;YEAR(E197),0,IF((YEAR(D197)+14)&gt;YEAR(E197),1,(12-MONTH(E197)+1)/12))) + (Q197)*(IF((YEAR(D197)+14)&lt;YEAR(E197),0,IF((YEAR(D197)+14)&gt;YEAR(E197),1,(12-MONTH(E197)+1)/12))))-((P197)*(IF((YEAR(D197)+14)&lt;YEAR(E197),0,IF((YEAR(D197)+14)&gt;YEAR(E197),1,(12-MONTH(E197)+1)/12))) + (R197)*(IF((YEAR(D197)+14)&lt;YEAR(E197),0,IF((YEAR(D197)+14)&gt;YEAR(E197),1,(12-MONTH(E197)+1)/12))))-(IF(OR(N197="",N197&lt;=0),0,(O197/N197)*(IF(OR(N197="",N197&lt;=0),0,IF((YEAR(D197)+14)&lt;YEAR(E197),0,IF((YEAR(D197)+14)&gt;=YEAR(E197)+N197,0,IF((YEAR(D197)+14)=YEAR(E197),(12-MONTH(E197)+1)/12,1))))))))&gt;0,(((K197)*(IF(M197="",L197,IFERROR(IF(INDEX(Variablen!$I:$AT, MATCH(M197, Variablen!$A:$A, 0), MATCH((YEAR(D197)+14), Variablen!$I$3:$AT$3, 0))="",L197,INDEX(Variablen!$I:$AT, MATCH(M197, Variablen!$A:$A, 0), MATCH((YEAR(D197)+14), Variablen!$I$3:$AT$3, 0))),L197)))*(IF((YEAR(D197)+14)&lt;YEAR(E197),0,IF((YEAR(D197)+14)&gt;YEAR(E197),1,(12-MONTH(E197)+1)/12))) + (Q197)*(IF((YEAR(D197)+14)&lt;YEAR(E197),0,IF((YEAR(D197)+14)&gt;YEAR(E197),1,(12-MONTH(E197)+1)/12))))-((P197)*(IF((YEAR(D197)+14)&lt;YEAR(E197),0,IF((YEAR(D197)+14)&gt;YEAR(E197),1,(12-MONTH(E197)+1)/12))) + (R197)*(IF((YEAR(D197)+14)&lt;YEAR(E197),0,IF((YEAR(D197)+14)&gt;YEAR(E197),1,(12-MONTH(E197)+1)/12))))-(IF(OR(N197="",N197&lt;=0),0,(O197/N197)*(IF(OR(N197="",N197&lt;=0),0,IF((YEAR(D197)+14)&lt;YEAR(E197),0,IF((YEAR(D197)+14)&gt;=YEAR(E197)+N197,0,IF((YEAR(D197)+14)=YEAR(E197),(12-MONTH(E197)+1)/12,1))))))))*TaxRate,0))-IF(14=0,O197,0))</f>
        <v/>
      </c>
      <c r="AH197" s="29">
        <f>IF(A197="","",((K197)*(IF(M197="",L197,IFERROR(IF(INDEX(Variablen!$I:$AT, MATCH(M197, Variablen!$A:$A, 0), MATCH((YEAR(D197)+15), Variablen!$I$3:$AT$3, 0))="",L197,INDEX(Variablen!$I:$AT, MATCH(M197, Variablen!$A:$A, 0), MATCH((YEAR(D197)+15), Variablen!$I$3:$AT$3, 0))),L197)))*(IF((YEAR(D197)+15)&lt;YEAR(E197),0,IF((YEAR(D197)+15)&gt;YEAR(E197),1,(12-MONTH(E197)+1)/12))) + (Q197)*(IF((YEAR(D197)+15)&lt;YEAR(E197),0,IF((YEAR(D197)+15)&gt;YEAR(E197),1,(12-MONTH(E197)+1)/12))))-((P197)*(IF((YEAR(D197)+15)&lt;YEAR(E197),0,IF((YEAR(D197)+15)&gt;YEAR(E197),1,(12-MONTH(E197)+1)/12))) + (R197)*(IF((YEAR(D197)+15)&lt;YEAR(E197),0,IF((YEAR(D197)+15)&gt;YEAR(E197),1,(12-MONTH(E197)+1)/12))))-(IF((((K197)*(IF(M197="",L197,IFERROR(IF(INDEX(Variablen!$I:$AT, MATCH(M197, Variablen!$A:$A, 0), MATCH((YEAR(D197)+15), Variablen!$I$3:$AT$3, 0))="",L197,INDEX(Variablen!$I:$AT, MATCH(M197, Variablen!$A:$A, 0), MATCH((YEAR(D197)+15), Variablen!$I$3:$AT$3, 0))),L197)))*(IF((YEAR(D197)+15)&lt;YEAR(E197),0,IF((YEAR(D197)+15)&gt;YEAR(E197),1,(12-MONTH(E197)+1)/12))) + (Q197)*(IF((YEAR(D197)+15)&lt;YEAR(E197),0,IF((YEAR(D197)+15)&gt;YEAR(E197),1,(12-MONTH(E197)+1)/12))))-((P197)*(IF((YEAR(D197)+15)&lt;YEAR(E197),0,IF((YEAR(D197)+15)&gt;YEAR(E197),1,(12-MONTH(E197)+1)/12))) + (R197)*(IF((YEAR(D197)+15)&lt;YEAR(E197),0,IF((YEAR(D197)+15)&gt;YEAR(E197),1,(12-MONTH(E197)+1)/12))))-(IF(OR(N197="",N197&lt;=0),0,(O197/N197)*(IF(OR(N197="",N197&lt;=0),0,IF((YEAR(D197)+15)&lt;YEAR(E197),0,IF((YEAR(D197)+15)&gt;=YEAR(E197)+N197,0,IF((YEAR(D197)+15)=YEAR(E197),(12-MONTH(E197)+1)/12,1))))))))&gt;0,(((K197)*(IF(M197="",L197,IFERROR(IF(INDEX(Variablen!$I:$AT, MATCH(M197, Variablen!$A:$A, 0), MATCH((YEAR(D197)+15), Variablen!$I$3:$AT$3, 0))="",L197,INDEX(Variablen!$I:$AT, MATCH(M197, Variablen!$A:$A, 0), MATCH((YEAR(D197)+15), Variablen!$I$3:$AT$3, 0))),L197)))*(IF((YEAR(D197)+15)&lt;YEAR(E197),0,IF((YEAR(D197)+15)&gt;YEAR(E197),1,(12-MONTH(E197)+1)/12))) + (Q197)*(IF((YEAR(D197)+15)&lt;YEAR(E197),0,IF((YEAR(D197)+15)&gt;YEAR(E197),1,(12-MONTH(E197)+1)/12))))-((P197)*(IF((YEAR(D197)+15)&lt;YEAR(E197),0,IF((YEAR(D197)+15)&gt;YEAR(E197),1,(12-MONTH(E197)+1)/12))) + (R197)*(IF((YEAR(D197)+15)&lt;YEAR(E197),0,IF((YEAR(D197)+15)&gt;YEAR(E197),1,(12-MONTH(E197)+1)/12))))-(IF(OR(N197="",N197&lt;=0),0,(O197/N197)*(IF(OR(N197="",N197&lt;=0),0,IF((YEAR(D197)+15)&lt;YEAR(E197),0,IF((YEAR(D197)+15)&gt;=YEAR(E197)+N197,0,IF((YEAR(D197)+15)=YEAR(E197),(12-MONTH(E197)+1)/12,1))))))))*TaxRate,0))-IF(15=0,O197,0))</f>
        <v/>
      </c>
      <c r="AI197" s="29">
        <f>IF(A197="","",((K197)*(IF(M197="",L197,IFERROR(IF(INDEX(Variablen!$I:$AT, MATCH(M197, Variablen!$A:$A, 0), MATCH((YEAR(D197)+16), Variablen!$I$3:$AT$3, 0))="",L197,INDEX(Variablen!$I:$AT, MATCH(M197, Variablen!$A:$A, 0), MATCH((YEAR(D197)+16), Variablen!$I$3:$AT$3, 0))),L197)))*(IF((YEAR(D197)+16)&lt;YEAR(E197),0,IF((YEAR(D197)+16)&gt;YEAR(E197),1,(12-MONTH(E197)+1)/12))) + (Q197)*(IF((YEAR(D197)+16)&lt;YEAR(E197),0,IF((YEAR(D197)+16)&gt;YEAR(E197),1,(12-MONTH(E197)+1)/12))))-((P197)*(IF((YEAR(D197)+16)&lt;YEAR(E197),0,IF((YEAR(D197)+16)&gt;YEAR(E197),1,(12-MONTH(E197)+1)/12))) + (R197)*(IF((YEAR(D197)+16)&lt;YEAR(E197),0,IF((YEAR(D197)+16)&gt;YEAR(E197),1,(12-MONTH(E197)+1)/12))))-(IF((((K197)*(IF(M197="",L197,IFERROR(IF(INDEX(Variablen!$I:$AT, MATCH(M197, Variablen!$A:$A, 0), MATCH((YEAR(D197)+16), Variablen!$I$3:$AT$3, 0))="",L197,INDEX(Variablen!$I:$AT, MATCH(M197, Variablen!$A:$A, 0), MATCH((YEAR(D197)+16), Variablen!$I$3:$AT$3, 0))),L197)))*(IF((YEAR(D197)+16)&lt;YEAR(E197),0,IF((YEAR(D197)+16)&gt;YEAR(E197),1,(12-MONTH(E197)+1)/12))) + (Q197)*(IF((YEAR(D197)+16)&lt;YEAR(E197),0,IF((YEAR(D197)+16)&gt;YEAR(E197),1,(12-MONTH(E197)+1)/12))))-((P197)*(IF((YEAR(D197)+16)&lt;YEAR(E197),0,IF((YEAR(D197)+16)&gt;YEAR(E197),1,(12-MONTH(E197)+1)/12))) + (R197)*(IF((YEAR(D197)+16)&lt;YEAR(E197),0,IF((YEAR(D197)+16)&gt;YEAR(E197),1,(12-MONTH(E197)+1)/12))))-(IF(OR(N197="",N197&lt;=0),0,(O197/N197)*(IF(OR(N197="",N197&lt;=0),0,IF((YEAR(D197)+16)&lt;YEAR(E197),0,IF((YEAR(D197)+16)&gt;=YEAR(E197)+N197,0,IF((YEAR(D197)+16)=YEAR(E197),(12-MONTH(E197)+1)/12,1))))))))&gt;0,(((K197)*(IF(M197="",L197,IFERROR(IF(INDEX(Variablen!$I:$AT, MATCH(M197, Variablen!$A:$A, 0), MATCH((YEAR(D197)+16), Variablen!$I$3:$AT$3, 0))="",L197,INDEX(Variablen!$I:$AT, MATCH(M197, Variablen!$A:$A, 0), MATCH((YEAR(D197)+16), Variablen!$I$3:$AT$3, 0))),L197)))*(IF((YEAR(D197)+16)&lt;YEAR(E197),0,IF((YEAR(D197)+16)&gt;YEAR(E197),1,(12-MONTH(E197)+1)/12))) + (Q197)*(IF((YEAR(D197)+16)&lt;YEAR(E197),0,IF((YEAR(D197)+16)&gt;YEAR(E197),1,(12-MONTH(E197)+1)/12))))-((P197)*(IF((YEAR(D197)+16)&lt;YEAR(E197),0,IF((YEAR(D197)+16)&gt;YEAR(E197),1,(12-MONTH(E197)+1)/12))) + (R197)*(IF((YEAR(D197)+16)&lt;YEAR(E197),0,IF((YEAR(D197)+16)&gt;YEAR(E197),1,(12-MONTH(E197)+1)/12))))-(IF(OR(N197="",N197&lt;=0),0,(O197/N197)*(IF(OR(N197="",N197&lt;=0),0,IF((YEAR(D197)+16)&lt;YEAR(E197),0,IF((YEAR(D197)+16)&gt;=YEAR(E197)+N197,0,IF((YEAR(D197)+16)=YEAR(E197),(12-MONTH(E197)+1)/12,1))))))))*TaxRate,0))-IF(16=0,O197,0))</f>
        <v/>
      </c>
      <c r="AJ197" s="29">
        <f>IF(A197="","",((K197)*(IF(M197="",L197,IFERROR(IF(INDEX(Variablen!$I:$AT, MATCH(M197, Variablen!$A:$A, 0), MATCH((YEAR(D197)+17), Variablen!$I$3:$AT$3, 0))="",L197,INDEX(Variablen!$I:$AT, MATCH(M197, Variablen!$A:$A, 0), MATCH((YEAR(D197)+17), Variablen!$I$3:$AT$3, 0))),L197)))*(IF((YEAR(D197)+17)&lt;YEAR(E197),0,IF((YEAR(D197)+17)&gt;YEAR(E197),1,(12-MONTH(E197)+1)/12))) + (Q197)*(IF((YEAR(D197)+17)&lt;YEAR(E197),0,IF((YEAR(D197)+17)&gt;YEAR(E197),1,(12-MONTH(E197)+1)/12))))-((P197)*(IF((YEAR(D197)+17)&lt;YEAR(E197),0,IF((YEAR(D197)+17)&gt;YEAR(E197),1,(12-MONTH(E197)+1)/12))) + (R197)*(IF((YEAR(D197)+17)&lt;YEAR(E197),0,IF((YEAR(D197)+17)&gt;YEAR(E197),1,(12-MONTH(E197)+1)/12))))-(IF((((K197)*(IF(M197="",L197,IFERROR(IF(INDEX(Variablen!$I:$AT, MATCH(M197, Variablen!$A:$A, 0), MATCH((YEAR(D197)+17), Variablen!$I$3:$AT$3, 0))="",L197,INDEX(Variablen!$I:$AT, MATCH(M197, Variablen!$A:$A, 0), MATCH((YEAR(D197)+17), Variablen!$I$3:$AT$3, 0))),L197)))*(IF((YEAR(D197)+17)&lt;YEAR(E197),0,IF((YEAR(D197)+17)&gt;YEAR(E197),1,(12-MONTH(E197)+1)/12))) + (Q197)*(IF((YEAR(D197)+17)&lt;YEAR(E197),0,IF((YEAR(D197)+17)&gt;YEAR(E197),1,(12-MONTH(E197)+1)/12))))-((P197)*(IF((YEAR(D197)+17)&lt;YEAR(E197),0,IF((YEAR(D197)+17)&gt;YEAR(E197),1,(12-MONTH(E197)+1)/12))) + (R197)*(IF((YEAR(D197)+17)&lt;YEAR(E197),0,IF((YEAR(D197)+17)&gt;YEAR(E197),1,(12-MONTH(E197)+1)/12))))-(IF(OR(N197="",N197&lt;=0),0,(O197/N197)*(IF(OR(N197="",N197&lt;=0),0,IF((YEAR(D197)+17)&lt;YEAR(E197),0,IF((YEAR(D197)+17)&gt;=YEAR(E197)+N197,0,IF((YEAR(D197)+17)=YEAR(E197),(12-MONTH(E197)+1)/12,1))))))))&gt;0,(((K197)*(IF(M197="",L197,IFERROR(IF(INDEX(Variablen!$I:$AT, MATCH(M197, Variablen!$A:$A, 0), MATCH((YEAR(D197)+17), Variablen!$I$3:$AT$3, 0))="",L197,INDEX(Variablen!$I:$AT, MATCH(M197, Variablen!$A:$A, 0), MATCH((YEAR(D197)+17), Variablen!$I$3:$AT$3, 0))),L197)))*(IF((YEAR(D197)+17)&lt;YEAR(E197),0,IF((YEAR(D197)+17)&gt;YEAR(E197),1,(12-MONTH(E197)+1)/12))) + (Q197)*(IF((YEAR(D197)+17)&lt;YEAR(E197),0,IF((YEAR(D197)+17)&gt;YEAR(E197),1,(12-MONTH(E197)+1)/12))))-((P197)*(IF((YEAR(D197)+17)&lt;YEAR(E197),0,IF((YEAR(D197)+17)&gt;YEAR(E197),1,(12-MONTH(E197)+1)/12))) + (R197)*(IF((YEAR(D197)+17)&lt;YEAR(E197),0,IF((YEAR(D197)+17)&gt;YEAR(E197),1,(12-MONTH(E197)+1)/12))))-(IF(OR(N197="",N197&lt;=0),0,(O197/N197)*(IF(OR(N197="",N197&lt;=0),0,IF((YEAR(D197)+17)&lt;YEAR(E197),0,IF((YEAR(D197)+17)&gt;=YEAR(E197)+N197,0,IF((YEAR(D197)+17)=YEAR(E197),(12-MONTH(E197)+1)/12,1))))))))*TaxRate,0))-IF(17=0,O197,0))</f>
        <v/>
      </c>
      <c r="AK197" s="29">
        <f>IF(A197="","",((K197)*(IF(M197="",L197,IFERROR(IF(INDEX(Variablen!$I:$AT, MATCH(M197, Variablen!$A:$A, 0), MATCH((YEAR(D197)+18), Variablen!$I$3:$AT$3, 0))="",L197,INDEX(Variablen!$I:$AT, MATCH(M197, Variablen!$A:$A, 0), MATCH((YEAR(D197)+18), Variablen!$I$3:$AT$3, 0))),L197)))*(IF((YEAR(D197)+18)&lt;YEAR(E197),0,IF((YEAR(D197)+18)&gt;YEAR(E197),1,(12-MONTH(E197)+1)/12))) + (Q197)*(IF((YEAR(D197)+18)&lt;YEAR(E197),0,IF((YEAR(D197)+18)&gt;YEAR(E197),1,(12-MONTH(E197)+1)/12))))-((P197)*(IF((YEAR(D197)+18)&lt;YEAR(E197),0,IF((YEAR(D197)+18)&gt;YEAR(E197),1,(12-MONTH(E197)+1)/12))) + (R197)*(IF((YEAR(D197)+18)&lt;YEAR(E197),0,IF((YEAR(D197)+18)&gt;YEAR(E197),1,(12-MONTH(E197)+1)/12))))-(IF((((K197)*(IF(M197="",L197,IFERROR(IF(INDEX(Variablen!$I:$AT, MATCH(M197, Variablen!$A:$A, 0), MATCH((YEAR(D197)+18), Variablen!$I$3:$AT$3, 0))="",L197,INDEX(Variablen!$I:$AT, MATCH(M197, Variablen!$A:$A, 0), MATCH((YEAR(D197)+18), Variablen!$I$3:$AT$3, 0))),L197)))*(IF((YEAR(D197)+18)&lt;YEAR(E197),0,IF((YEAR(D197)+18)&gt;YEAR(E197),1,(12-MONTH(E197)+1)/12))) + (Q197)*(IF((YEAR(D197)+18)&lt;YEAR(E197),0,IF((YEAR(D197)+18)&gt;YEAR(E197),1,(12-MONTH(E197)+1)/12))))-((P197)*(IF((YEAR(D197)+18)&lt;YEAR(E197),0,IF((YEAR(D197)+18)&gt;YEAR(E197),1,(12-MONTH(E197)+1)/12))) + (R197)*(IF((YEAR(D197)+18)&lt;YEAR(E197),0,IF((YEAR(D197)+18)&gt;YEAR(E197),1,(12-MONTH(E197)+1)/12))))-(IF(OR(N197="",N197&lt;=0),0,(O197/N197)*(IF(OR(N197="",N197&lt;=0),0,IF((YEAR(D197)+18)&lt;YEAR(E197),0,IF((YEAR(D197)+18)&gt;=YEAR(E197)+N197,0,IF((YEAR(D197)+18)=YEAR(E197),(12-MONTH(E197)+1)/12,1))))))))&gt;0,(((K197)*(IF(M197="",L197,IFERROR(IF(INDEX(Variablen!$I:$AT, MATCH(M197, Variablen!$A:$A, 0), MATCH((YEAR(D197)+18), Variablen!$I$3:$AT$3, 0))="",L197,INDEX(Variablen!$I:$AT, MATCH(M197, Variablen!$A:$A, 0), MATCH((YEAR(D197)+18), Variablen!$I$3:$AT$3, 0))),L197)))*(IF((YEAR(D197)+18)&lt;YEAR(E197),0,IF((YEAR(D197)+18)&gt;YEAR(E197),1,(12-MONTH(E197)+1)/12))) + (Q197)*(IF((YEAR(D197)+18)&lt;YEAR(E197),0,IF((YEAR(D197)+18)&gt;YEAR(E197),1,(12-MONTH(E197)+1)/12))))-((P197)*(IF((YEAR(D197)+18)&lt;YEAR(E197),0,IF((YEAR(D197)+18)&gt;YEAR(E197),1,(12-MONTH(E197)+1)/12))) + (R197)*(IF((YEAR(D197)+18)&lt;YEAR(E197),0,IF((YEAR(D197)+18)&gt;YEAR(E197),1,(12-MONTH(E197)+1)/12))))-(IF(OR(N197="",N197&lt;=0),0,(O197/N197)*(IF(OR(N197="",N197&lt;=0),0,IF((YEAR(D197)+18)&lt;YEAR(E197),0,IF((YEAR(D197)+18)&gt;=YEAR(E197)+N197,0,IF((YEAR(D197)+18)=YEAR(E197),(12-MONTH(E197)+1)/12,1))))))))*TaxRate,0))-IF(18=0,O197,0))</f>
        <v/>
      </c>
      <c r="AL197" s="29">
        <f>IF(A197="","",((K197)*(IF(M197="",L197,IFERROR(IF(INDEX(Variablen!$I:$AT, MATCH(M197, Variablen!$A:$A, 0), MATCH((YEAR(D197)+19), Variablen!$I$3:$AT$3, 0))="",L197,INDEX(Variablen!$I:$AT, MATCH(M197, Variablen!$A:$A, 0), MATCH((YEAR(D197)+19), Variablen!$I$3:$AT$3, 0))),L197)))*(IF((YEAR(D197)+19)&lt;YEAR(E197),0,IF((YEAR(D197)+19)&gt;YEAR(E197),1,(12-MONTH(E197)+1)/12))) + (Q197)*(IF((YEAR(D197)+19)&lt;YEAR(E197),0,IF((YEAR(D197)+19)&gt;YEAR(E197),1,(12-MONTH(E197)+1)/12))))-((P197)*(IF((YEAR(D197)+19)&lt;YEAR(E197),0,IF((YEAR(D197)+19)&gt;YEAR(E197),1,(12-MONTH(E197)+1)/12))) + (R197)*(IF((YEAR(D197)+19)&lt;YEAR(E197),0,IF((YEAR(D197)+19)&gt;YEAR(E197),1,(12-MONTH(E197)+1)/12))))-(IF((((K197)*(IF(M197="",L197,IFERROR(IF(INDEX(Variablen!$I:$AT, MATCH(M197, Variablen!$A:$A, 0), MATCH((YEAR(D197)+19), Variablen!$I$3:$AT$3, 0))="",L197,INDEX(Variablen!$I:$AT, MATCH(M197, Variablen!$A:$A, 0), MATCH((YEAR(D197)+19), Variablen!$I$3:$AT$3, 0))),L197)))*(IF((YEAR(D197)+19)&lt;YEAR(E197),0,IF((YEAR(D197)+19)&gt;YEAR(E197),1,(12-MONTH(E197)+1)/12))) + (Q197)*(IF((YEAR(D197)+19)&lt;YEAR(E197),0,IF((YEAR(D197)+19)&gt;YEAR(E197),1,(12-MONTH(E197)+1)/12))))-((P197)*(IF((YEAR(D197)+19)&lt;YEAR(E197),0,IF((YEAR(D197)+19)&gt;YEAR(E197),1,(12-MONTH(E197)+1)/12))) + (R197)*(IF((YEAR(D197)+19)&lt;YEAR(E197),0,IF((YEAR(D197)+19)&gt;YEAR(E197),1,(12-MONTH(E197)+1)/12))))-(IF(OR(N197="",N197&lt;=0),0,(O197/N197)*(IF(OR(N197="",N197&lt;=0),0,IF((YEAR(D197)+19)&lt;YEAR(E197),0,IF((YEAR(D197)+19)&gt;=YEAR(E197)+N197,0,IF((YEAR(D197)+19)=YEAR(E197),(12-MONTH(E197)+1)/12,1))))))))&gt;0,(((K197)*(IF(M197="",L197,IFERROR(IF(INDEX(Variablen!$I:$AT, MATCH(M197, Variablen!$A:$A, 0), MATCH((YEAR(D197)+19), Variablen!$I$3:$AT$3, 0))="",L197,INDEX(Variablen!$I:$AT, MATCH(M197, Variablen!$A:$A, 0), MATCH((YEAR(D197)+19), Variablen!$I$3:$AT$3, 0))),L197)))*(IF((YEAR(D197)+19)&lt;YEAR(E197),0,IF((YEAR(D197)+19)&gt;YEAR(E197),1,(12-MONTH(E197)+1)/12))) + (Q197)*(IF((YEAR(D197)+19)&lt;YEAR(E197),0,IF((YEAR(D197)+19)&gt;YEAR(E197),1,(12-MONTH(E197)+1)/12))))-((P197)*(IF((YEAR(D197)+19)&lt;YEAR(E197),0,IF((YEAR(D197)+19)&gt;YEAR(E197),1,(12-MONTH(E197)+1)/12))) + (R197)*(IF((YEAR(D197)+19)&lt;YEAR(E197),0,IF((YEAR(D197)+19)&gt;YEAR(E197),1,(12-MONTH(E197)+1)/12))))-(IF(OR(N197="",N197&lt;=0),0,(O197/N197)*(IF(OR(N197="",N197&lt;=0),0,IF((YEAR(D197)+19)&lt;YEAR(E197),0,IF((YEAR(D197)+19)&gt;=YEAR(E197)+N197,0,IF((YEAR(D197)+19)=YEAR(E197),(12-MONTH(E197)+1)/12,1))))))))*TaxRate,0))-IF(19=0,O197,0))</f>
        <v/>
      </c>
      <c r="AM197" s="29">
        <f>IF(A197="","",((K197)*(IF(M197="",L197,IFERROR(IF(INDEX(Variablen!$I:$AT, MATCH(M197, Variablen!$A:$A, 0), MATCH((YEAR(D197)+20), Variablen!$I$3:$AT$3, 0))="",L197,INDEX(Variablen!$I:$AT, MATCH(M197, Variablen!$A:$A, 0), MATCH((YEAR(D197)+20), Variablen!$I$3:$AT$3, 0))),L197)))*(IF((YEAR(D197)+20)&lt;YEAR(E197),0,IF((YEAR(D197)+20)&gt;YEAR(E197),1,(12-MONTH(E197)+1)/12))) + (Q197)*(IF((YEAR(D197)+20)&lt;YEAR(E197),0,IF((YEAR(D197)+20)&gt;YEAR(E197),1,(12-MONTH(E197)+1)/12))))-((P197)*(IF((YEAR(D197)+20)&lt;YEAR(E197),0,IF((YEAR(D197)+20)&gt;YEAR(E197),1,(12-MONTH(E197)+1)/12))) + (R197)*(IF((YEAR(D197)+20)&lt;YEAR(E197),0,IF((YEAR(D197)+20)&gt;YEAR(E197),1,(12-MONTH(E197)+1)/12))))-(IF((((K197)*(IF(M197="",L197,IFERROR(IF(INDEX(Variablen!$I:$AT, MATCH(M197, Variablen!$A:$A, 0), MATCH((YEAR(D197)+20), Variablen!$I$3:$AT$3, 0))="",L197,INDEX(Variablen!$I:$AT, MATCH(M197, Variablen!$A:$A, 0), MATCH((YEAR(D197)+20), Variablen!$I$3:$AT$3, 0))),L197)))*(IF((YEAR(D197)+20)&lt;YEAR(E197),0,IF((YEAR(D197)+20)&gt;YEAR(E197),1,(12-MONTH(E197)+1)/12))) + (Q197)*(IF((YEAR(D197)+20)&lt;YEAR(E197),0,IF((YEAR(D197)+20)&gt;YEAR(E197),1,(12-MONTH(E197)+1)/12))))-((P197)*(IF((YEAR(D197)+20)&lt;YEAR(E197),0,IF((YEAR(D197)+20)&gt;YEAR(E197),1,(12-MONTH(E197)+1)/12))) + (R197)*(IF((YEAR(D197)+20)&lt;YEAR(E197),0,IF((YEAR(D197)+20)&gt;YEAR(E197),1,(12-MONTH(E197)+1)/12))))-(IF(OR(N197="",N197&lt;=0),0,(O197/N197)*(IF(OR(N197="",N197&lt;=0),0,IF((YEAR(D197)+20)&lt;YEAR(E197),0,IF((YEAR(D197)+20)&gt;=YEAR(E197)+N197,0,IF((YEAR(D197)+20)=YEAR(E197),(12-MONTH(E197)+1)/12,1))))))))&gt;0,(((K197)*(IF(M197="",L197,IFERROR(IF(INDEX(Variablen!$I:$AT, MATCH(M197, Variablen!$A:$A, 0), MATCH((YEAR(D197)+20), Variablen!$I$3:$AT$3, 0))="",L197,INDEX(Variablen!$I:$AT, MATCH(M197, Variablen!$A:$A, 0), MATCH((YEAR(D197)+20), Variablen!$I$3:$AT$3, 0))),L197)))*(IF((YEAR(D197)+20)&lt;YEAR(E197),0,IF((YEAR(D197)+20)&gt;YEAR(E197),1,(12-MONTH(E197)+1)/12))) + (Q197)*(IF((YEAR(D197)+20)&lt;YEAR(E197),0,IF((YEAR(D197)+20)&gt;YEAR(E197),1,(12-MONTH(E197)+1)/12))))-((P197)*(IF((YEAR(D197)+20)&lt;YEAR(E197),0,IF((YEAR(D197)+20)&gt;YEAR(E197),1,(12-MONTH(E197)+1)/12))) + (R197)*(IF((YEAR(D197)+20)&lt;YEAR(E197),0,IF((YEAR(D197)+20)&gt;YEAR(E197),1,(12-MONTH(E197)+1)/12))))-(IF(OR(N197="",N197&lt;=0),0,(O197/N197)*(IF(OR(N197="",N197&lt;=0),0,IF((YEAR(D197)+20)&lt;YEAR(E197),0,IF((YEAR(D197)+20)&gt;=YEAR(E197)+N197,0,IF((YEAR(D197)+20)=YEAR(E197),(12-MONTH(E197)+1)/12,1))))))))*TaxRate,0))-IF(20=0,O197,0))</f>
        <v/>
      </c>
      <c r="AN197" s="29">
        <f>IF(A197="","",S197)</f>
        <v/>
      </c>
      <c r="AO197" s="29">
        <f>IF(A197="","",AN197+T197)</f>
        <v/>
      </c>
      <c r="AP197" s="29">
        <f>IF(A197="","",AO197+U197)</f>
        <v/>
      </c>
      <c r="AQ197" s="29">
        <f>IF(A197="","",AP197+V197)</f>
        <v/>
      </c>
      <c r="AR197" s="29">
        <f>IF(A197="","",AQ197+W197)</f>
        <v/>
      </c>
      <c r="AS197" s="29">
        <f>IF(A197="","",AR197+X197)</f>
        <v/>
      </c>
      <c r="AT197" s="29">
        <f>IF(A197="","",AS197+Y197)</f>
        <v/>
      </c>
      <c r="AU197" s="29">
        <f>IF(A197="","",AT197+Z197)</f>
        <v/>
      </c>
      <c r="AV197" s="29">
        <f>IF(A197="","",AU197+AA197)</f>
        <v/>
      </c>
      <c r="AW197" s="29">
        <f>IF(A197="","",AV197+AB197)</f>
        <v/>
      </c>
      <c r="AX197" s="29">
        <f>IF(A197="","",AW197+AC197)</f>
        <v/>
      </c>
      <c r="AY197" s="29">
        <f>IF(A197="","",AX197+AD197)</f>
        <v/>
      </c>
      <c r="AZ197" s="29">
        <f>IF(A197="","",AY197+AE197)</f>
        <v/>
      </c>
      <c r="BA197" s="29">
        <f>IF(A197="","",AZ197+AF197)</f>
        <v/>
      </c>
      <c r="BB197" s="29">
        <f>IF(A197="","",BA197+AG197)</f>
        <v/>
      </c>
      <c r="BC197" s="29">
        <f>IF(A197="","",BB197+AH197)</f>
        <v/>
      </c>
      <c r="BD197" s="29">
        <f>IF(A197="","",BC197+AI197)</f>
        <v/>
      </c>
      <c r="BE197" s="29">
        <f>IF(A197="","",BD197+AJ197)</f>
        <v/>
      </c>
      <c r="BF197" s="29">
        <f>IF(A197="","",BE197+AK197)</f>
        <v/>
      </c>
      <c r="BG197" s="29">
        <f>IF(A197="","",BF197+AL197)</f>
        <v/>
      </c>
      <c r="BH197" s="29">
        <f>IF(A197="","",BG197+AM197)</f>
        <v/>
      </c>
      <c r="BI197" s="36">
        <f>IF(A197="","",(K197)*(IF((YEAR(D197)+0)&lt;YEAR(E197),0,IF((YEAR(D197)+0)&gt;YEAR(E197),1,(12-MONTH(E197)+1)/12)))*(1/(1+DiscountRate)^0))</f>
        <v/>
      </c>
      <c r="BJ197" s="36">
        <f>IF(A197="","",(K197)*(IF((YEAR(D197)+1)&lt;YEAR(E197),0,IF((YEAR(D197)+1)&gt;YEAR(E197),1,(12-MONTH(E197)+1)/12)))*(1/(1+DiscountRate)^1))</f>
        <v/>
      </c>
      <c r="BK197" s="36">
        <f>IF(A197="","",(K197)*(IF((YEAR(D197)+2)&lt;YEAR(E197),0,IF((YEAR(D197)+2)&gt;YEAR(E197),1,(12-MONTH(E197)+1)/12)))*(1/(1+DiscountRate)^2))</f>
        <v/>
      </c>
      <c r="BL197" s="36">
        <f>IF(A197="","",(K197)*(IF((YEAR(D197)+3)&lt;YEAR(E197),0,IF((YEAR(D197)+3)&gt;YEAR(E197),1,(12-MONTH(E197)+1)/12)))*(1/(1+DiscountRate)^3))</f>
        <v/>
      </c>
      <c r="BM197" s="36">
        <f>IF(A197="","",(K197)*(IF((YEAR(D197)+4)&lt;YEAR(E197),0,IF((YEAR(D197)+4)&gt;YEAR(E197),1,(12-MONTH(E197)+1)/12)))*(1/(1+DiscountRate)^4))</f>
        <v/>
      </c>
      <c r="BN197" s="36">
        <f>IF(A197="","",(K197)*(IF((YEAR(D197)+5)&lt;YEAR(E197),0,IF((YEAR(D197)+5)&gt;YEAR(E197),1,(12-MONTH(E197)+1)/12)))*(1/(1+DiscountRate)^5))</f>
        <v/>
      </c>
      <c r="BO197" s="36">
        <f>IF(A197="","",(K197)*(IF((YEAR(D197)+6)&lt;YEAR(E197),0,IF((YEAR(D197)+6)&gt;YEAR(E197),1,(12-MONTH(E197)+1)/12)))*(1/(1+DiscountRate)^6))</f>
        <v/>
      </c>
      <c r="BP197" s="36">
        <f>IF(A197="","",(K197)*(IF((YEAR(D197)+7)&lt;YEAR(E197),0,IF((YEAR(D197)+7)&gt;YEAR(E197),1,(12-MONTH(E197)+1)/12)))*(1/(1+DiscountRate)^7))</f>
        <v/>
      </c>
      <c r="BQ197" s="36">
        <f>IF(A197="","",(K197)*(IF((YEAR(D197)+8)&lt;YEAR(E197),0,IF((YEAR(D197)+8)&gt;YEAR(E197),1,(12-MONTH(E197)+1)/12)))*(1/(1+DiscountRate)^8))</f>
        <v/>
      </c>
      <c r="BR197" s="36">
        <f>IF(A197="","",(K197)*(IF((YEAR(D197)+9)&lt;YEAR(E197),0,IF((YEAR(D197)+9)&gt;YEAR(E197),1,(12-MONTH(E197)+1)/12)))*(1/(1+DiscountRate)^9))</f>
        <v/>
      </c>
      <c r="BS197" s="36">
        <f>IF(A197="","",(K197)*(IF((YEAR(D197)+10)&lt;YEAR(E197),0,IF((YEAR(D197)+10)&gt;YEAR(E197),1,(12-MONTH(E197)+1)/12)))*(1/(1+DiscountRate)^10))</f>
        <v/>
      </c>
      <c r="BT197" s="36">
        <f>IF(A197="","",(K197)*(IF((YEAR(D197)+11)&lt;YEAR(E197),0,IF((YEAR(D197)+11)&gt;YEAR(E197),1,(12-MONTH(E197)+1)/12)))*(1/(1+DiscountRate)^11))</f>
        <v/>
      </c>
      <c r="BU197" s="36">
        <f>IF(A197="","",(K197)*(IF((YEAR(D197)+12)&lt;YEAR(E197),0,IF((YEAR(D197)+12)&gt;YEAR(E197),1,(12-MONTH(E197)+1)/12)))*(1/(1+DiscountRate)^12))</f>
        <v/>
      </c>
      <c r="BV197" s="36">
        <f>IF(A197="","",(K197)*(IF((YEAR(D197)+13)&lt;YEAR(E197),0,IF((YEAR(D197)+13)&gt;YEAR(E197),1,(12-MONTH(E197)+1)/12)))*(1/(1+DiscountRate)^13))</f>
        <v/>
      </c>
      <c r="BW197" s="36">
        <f>IF(A197="","",(K197)*(IF((YEAR(D197)+14)&lt;YEAR(E197),0,IF((YEAR(D197)+14)&gt;YEAR(E197),1,(12-MONTH(E197)+1)/12)))*(1/(1+DiscountRate)^14))</f>
        <v/>
      </c>
      <c r="BX197" s="36">
        <f>IF(A197="","",(K197)*(IF((YEAR(D197)+15)&lt;YEAR(E197),0,IF((YEAR(D197)+15)&gt;YEAR(E197),1,(12-MONTH(E197)+1)/12)))*(1/(1+DiscountRate)^15))</f>
        <v/>
      </c>
      <c r="BY197" s="36">
        <f>IF(A197="","",(K197)*(IF((YEAR(D197)+16)&lt;YEAR(E197),0,IF((YEAR(D197)+16)&gt;YEAR(E197),1,(12-MONTH(E197)+1)/12)))*(1/(1+DiscountRate)^16))</f>
        <v/>
      </c>
      <c r="BZ197" s="36">
        <f>IF(A197="","",(K197)*(IF((YEAR(D197)+17)&lt;YEAR(E197),0,IF((YEAR(D197)+17)&gt;YEAR(E197),1,(12-MONTH(E197)+1)/12)))*(1/(1+DiscountRate)^17))</f>
        <v/>
      </c>
      <c r="CA197" s="36">
        <f>IF(A197="","",(K197)*(IF((YEAR(D197)+18)&lt;YEAR(E197),0,IF((YEAR(D197)+18)&gt;YEAR(E197),1,(12-MONTH(E197)+1)/12)))*(1/(1+DiscountRate)^18))</f>
        <v/>
      </c>
      <c r="CB197" s="36">
        <f>IF(A197="","",(K197)*(IF((YEAR(D197)+19)&lt;YEAR(E197),0,IF((YEAR(D197)+19)&gt;YEAR(E197),1,(12-MONTH(E197)+1)/12)))*(1/(1+DiscountRate)^19))</f>
        <v/>
      </c>
      <c r="CC197" s="36">
        <f>IF(A197="","",(K197)*(IF((YEAR(D197)+20)&lt;YEAR(E197),0,IF((YEAR(D197)+20)&gt;YEAR(E197),1,(12-MONTH(E197)+1)/12)))*(1/(1+DiscountRate)^20))</f>
        <v/>
      </c>
      <c r="CD197" s="29">
        <f>IF(A197="","",S197/(1+DiscountRate)^0+T197/(1+DiscountRate)^1+U197/(1+DiscountRate)^2+V197/(1+DiscountRate)^3+W197/(1+DiscountRate)^4+X197/(1+DiscountRate)^5+Y197/(1+DiscountRate)^6+Z197/(1+DiscountRate)^7+AA197/(1+DiscountRate)^8+AB197/(1+DiscountRate)^9+AC197/(1+DiscountRate)^10+AD197/(1+DiscountRate)^11+AE197/(1+DiscountRate)^12+AF197/(1+DiscountRate)^13+AG197/(1+DiscountRate)^14+AH197/(1+DiscountRate)^15+AI197/(1+DiscountRate)^16+AJ197/(1+DiscountRate)^17+AK197/(1+DiscountRate)^18+AL197/(1+DiscountRate)^19+AM197/(1+DiscountRate)^20)</f>
        <v/>
      </c>
      <c r="CE197" s="37">
        <f>IF(A197="","",IFERROR(IRR(OFFSET(S197,0,0,1,MIN(HorizonYears,20)+1)),"n/a"))</f>
        <v/>
      </c>
      <c r="CF197" s="28">
        <f>IF(A197="","",IFERROR(MATCH(TRUE,OFFSET(AN197,0,0,1,MIN(HorizonYears,20)+1)&gt;=0,0)-1,"n/a"))</f>
        <v/>
      </c>
      <c r="CG197" s="36">
        <f>IF(A197="","",SUM(OFFSET(BI197,0,0,1,MIN(HorizonYears,20)+1)))</f>
        <v/>
      </c>
      <c r="CH197" s="36">
        <f>IF(A197="","",IFERROR(-CD197/CG197,"n/a"))</f>
        <v/>
      </c>
    </row>
    <row r="198">
      <c r="A198" s="6">
        <f>Actions!A196</f>
        <v/>
      </c>
      <c r="B198" s="6">
        <f>Actions!B196</f>
        <v/>
      </c>
      <c r="C198" s="6">
        <f>Actions!D196</f>
        <v/>
      </c>
      <c r="D198" s="35">
        <f>Actions!E196</f>
        <v/>
      </c>
      <c r="E198" s="35">
        <f>Actions!F196</f>
        <v/>
      </c>
      <c r="F198" s="6">
        <f>Actions!G196</f>
        <v/>
      </c>
      <c r="G198" s="6">
        <f>Actions!H196</f>
        <v/>
      </c>
      <c r="H198" s="29">
        <f>Actions!I196</f>
        <v/>
      </c>
      <c r="I198" s="6">
        <f>Actions!J196</f>
        <v/>
      </c>
      <c r="J198" s="16">
        <f>Actions!K196</f>
        <v/>
      </c>
      <c r="K198" s="16">
        <f>IF(A198="","",IF(I198="%",H198*J198,J198))</f>
        <v/>
      </c>
      <c r="L198" s="16">
        <f>Actions!L196</f>
        <v/>
      </c>
      <c r="M198" s="6">
        <f>Actions!M196</f>
        <v/>
      </c>
      <c r="N198" s="28">
        <f>Actions!N196</f>
        <v/>
      </c>
      <c r="O198" s="29">
        <f>Actions!T196</f>
        <v/>
      </c>
      <c r="P198" s="29">
        <f>Actions!Y196</f>
        <v/>
      </c>
      <c r="Q198" s="29">
        <f>Actions!Z196</f>
        <v/>
      </c>
      <c r="R198" s="29">
        <f>Actions!AA196</f>
        <v/>
      </c>
      <c r="S198" s="29">
        <f>IF(A198="","",((K198)*(IF(M198="",L198,IFERROR(IF(INDEX(Variablen!$I:$AT, MATCH(M198, Variablen!$A:$A, 0), MATCH((YEAR(D198)+0), Variablen!$I$3:$AT$3, 0))="",L198,INDEX(Variablen!$I:$AT, MATCH(M198, Variablen!$A:$A, 0), MATCH((YEAR(D198)+0), Variablen!$I$3:$AT$3, 0))),L198)))*(IF((YEAR(D198)+0)&lt;YEAR(E198),0,IF((YEAR(D198)+0)&gt;YEAR(E198),1,(12-MONTH(E198)+1)/12))) + (Q198)*(IF((YEAR(D198)+0)&lt;YEAR(E198),0,IF((YEAR(D198)+0)&gt;YEAR(E198),1,(12-MONTH(E198)+1)/12))))-((P198)*(IF((YEAR(D198)+0)&lt;YEAR(E198),0,IF((YEAR(D198)+0)&gt;YEAR(E198),1,(12-MONTH(E198)+1)/12))) + (R198)*(IF((YEAR(D198)+0)&lt;YEAR(E198),0,IF((YEAR(D198)+0)&gt;YEAR(E198),1,(12-MONTH(E198)+1)/12))))-(IF((((K198)*(IF(M198="",L198,IFERROR(IF(INDEX(Variablen!$I:$AT, MATCH(M198, Variablen!$A:$A, 0), MATCH((YEAR(D198)+0), Variablen!$I$3:$AT$3, 0))="",L198,INDEX(Variablen!$I:$AT, MATCH(M198, Variablen!$A:$A, 0), MATCH((YEAR(D198)+0), Variablen!$I$3:$AT$3, 0))),L198)))*(IF((YEAR(D198)+0)&lt;YEAR(E198),0,IF((YEAR(D198)+0)&gt;YEAR(E198),1,(12-MONTH(E198)+1)/12))) + (Q198)*(IF((YEAR(D198)+0)&lt;YEAR(E198),0,IF((YEAR(D198)+0)&gt;YEAR(E198),1,(12-MONTH(E198)+1)/12))))-((P198)*(IF((YEAR(D198)+0)&lt;YEAR(E198),0,IF((YEAR(D198)+0)&gt;YEAR(E198),1,(12-MONTH(E198)+1)/12))) + (R198)*(IF((YEAR(D198)+0)&lt;YEAR(E198),0,IF((YEAR(D198)+0)&gt;YEAR(E198),1,(12-MONTH(E198)+1)/12))))-(IF(OR(N198="",N198&lt;=0),0,(O198/N198)*(IF(OR(N198="",N198&lt;=0),0,IF((YEAR(D198)+0)&lt;YEAR(E198),0,IF((YEAR(D198)+0)&gt;=YEAR(E198)+N198,0,IF((YEAR(D198)+0)=YEAR(E198),(12-MONTH(E198)+1)/12,1))))))))&gt;0,(((K198)*(IF(M198="",L198,IFERROR(IF(INDEX(Variablen!$I:$AT, MATCH(M198, Variablen!$A:$A, 0), MATCH((YEAR(D198)+0), Variablen!$I$3:$AT$3, 0))="",L198,INDEX(Variablen!$I:$AT, MATCH(M198, Variablen!$A:$A, 0), MATCH((YEAR(D198)+0), Variablen!$I$3:$AT$3, 0))),L198)))*(IF((YEAR(D198)+0)&lt;YEAR(E198),0,IF((YEAR(D198)+0)&gt;YEAR(E198),1,(12-MONTH(E198)+1)/12))) + (Q198)*(IF((YEAR(D198)+0)&lt;YEAR(E198),0,IF((YEAR(D198)+0)&gt;YEAR(E198),1,(12-MONTH(E198)+1)/12))))-((P198)*(IF((YEAR(D198)+0)&lt;YEAR(E198),0,IF((YEAR(D198)+0)&gt;YEAR(E198),1,(12-MONTH(E198)+1)/12))) + (R198)*(IF((YEAR(D198)+0)&lt;YEAR(E198),0,IF((YEAR(D198)+0)&gt;YEAR(E198),1,(12-MONTH(E198)+1)/12))))-(IF(OR(N198="",N198&lt;=0),0,(O198/N198)*(IF(OR(N198="",N198&lt;=0),0,IF((YEAR(D198)+0)&lt;YEAR(E198),0,IF((YEAR(D198)+0)&gt;=YEAR(E198)+N198,0,IF((YEAR(D198)+0)=YEAR(E198),(12-MONTH(E198)+1)/12,1))))))))*TaxRate,0))-IF(0=0,O198,0))</f>
        <v/>
      </c>
      <c r="T198" s="29">
        <f>IF(A198="","",((K198)*(IF(M198="",L198,IFERROR(IF(INDEX(Variablen!$I:$AT, MATCH(M198, Variablen!$A:$A, 0), MATCH((YEAR(D198)+1), Variablen!$I$3:$AT$3, 0))="",L198,INDEX(Variablen!$I:$AT, MATCH(M198, Variablen!$A:$A, 0), MATCH((YEAR(D198)+1), Variablen!$I$3:$AT$3, 0))),L198)))*(IF((YEAR(D198)+1)&lt;YEAR(E198),0,IF((YEAR(D198)+1)&gt;YEAR(E198),1,(12-MONTH(E198)+1)/12))) + (Q198)*(IF((YEAR(D198)+1)&lt;YEAR(E198),0,IF((YEAR(D198)+1)&gt;YEAR(E198),1,(12-MONTH(E198)+1)/12))))-((P198)*(IF((YEAR(D198)+1)&lt;YEAR(E198),0,IF((YEAR(D198)+1)&gt;YEAR(E198),1,(12-MONTH(E198)+1)/12))) + (R198)*(IF((YEAR(D198)+1)&lt;YEAR(E198),0,IF((YEAR(D198)+1)&gt;YEAR(E198),1,(12-MONTH(E198)+1)/12))))-(IF((((K198)*(IF(M198="",L198,IFERROR(IF(INDEX(Variablen!$I:$AT, MATCH(M198, Variablen!$A:$A, 0), MATCH((YEAR(D198)+1), Variablen!$I$3:$AT$3, 0))="",L198,INDEX(Variablen!$I:$AT, MATCH(M198, Variablen!$A:$A, 0), MATCH((YEAR(D198)+1), Variablen!$I$3:$AT$3, 0))),L198)))*(IF((YEAR(D198)+1)&lt;YEAR(E198),0,IF((YEAR(D198)+1)&gt;YEAR(E198),1,(12-MONTH(E198)+1)/12))) + (Q198)*(IF((YEAR(D198)+1)&lt;YEAR(E198),0,IF((YEAR(D198)+1)&gt;YEAR(E198),1,(12-MONTH(E198)+1)/12))))-((P198)*(IF((YEAR(D198)+1)&lt;YEAR(E198),0,IF((YEAR(D198)+1)&gt;YEAR(E198),1,(12-MONTH(E198)+1)/12))) + (R198)*(IF((YEAR(D198)+1)&lt;YEAR(E198),0,IF((YEAR(D198)+1)&gt;YEAR(E198),1,(12-MONTH(E198)+1)/12))))-(IF(OR(N198="",N198&lt;=0),0,(O198/N198)*(IF(OR(N198="",N198&lt;=0),0,IF((YEAR(D198)+1)&lt;YEAR(E198),0,IF((YEAR(D198)+1)&gt;=YEAR(E198)+N198,0,IF((YEAR(D198)+1)=YEAR(E198),(12-MONTH(E198)+1)/12,1))))))))&gt;0,(((K198)*(IF(M198="",L198,IFERROR(IF(INDEX(Variablen!$I:$AT, MATCH(M198, Variablen!$A:$A, 0), MATCH((YEAR(D198)+1), Variablen!$I$3:$AT$3, 0))="",L198,INDEX(Variablen!$I:$AT, MATCH(M198, Variablen!$A:$A, 0), MATCH((YEAR(D198)+1), Variablen!$I$3:$AT$3, 0))),L198)))*(IF((YEAR(D198)+1)&lt;YEAR(E198),0,IF((YEAR(D198)+1)&gt;YEAR(E198),1,(12-MONTH(E198)+1)/12))) + (Q198)*(IF((YEAR(D198)+1)&lt;YEAR(E198),0,IF((YEAR(D198)+1)&gt;YEAR(E198),1,(12-MONTH(E198)+1)/12))))-((P198)*(IF((YEAR(D198)+1)&lt;YEAR(E198),0,IF((YEAR(D198)+1)&gt;YEAR(E198),1,(12-MONTH(E198)+1)/12))) + (R198)*(IF((YEAR(D198)+1)&lt;YEAR(E198),0,IF((YEAR(D198)+1)&gt;YEAR(E198),1,(12-MONTH(E198)+1)/12))))-(IF(OR(N198="",N198&lt;=0),0,(O198/N198)*(IF(OR(N198="",N198&lt;=0),0,IF((YEAR(D198)+1)&lt;YEAR(E198),0,IF((YEAR(D198)+1)&gt;=YEAR(E198)+N198,0,IF((YEAR(D198)+1)=YEAR(E198),(12-MONTH(E198)+1)/12,1))))))))*TaxRate,0))-IF(1=0,O198,0))</f>
        <v/>
      </c>
      <c r="U198" s="29">
        <f>IF(A198="","",((K198)*(IF(M198="",L198,IFERROR(IF(INDEX(Variablen!$I:$AT, MATCH(M198, Variablen!$A:$A, 0), MATCH((YEAR(D198)+2), Variablen!$I$3:$AT$3, 0))="",L198,INDEX(Variablen!$I:$AT, MATCH(M198, Variablen!$A:$A, 0), MATCH((YEAR(D198)+2), Variablen!$I$3:$AT$3, 0))),L198)))*(IF((YEAR(D198)+2)&lt;YEAR(E198),0,IF((YEAR(D198)+2)&gt;YEAR(E198),1,(12-MONTH(E198)+1)/12))) + (Q198)*(IF((YEAR(D198)+2)&lt;YEAR(E198),0,IF((YEAR(D198)+2)&gt;YEAR(E198),1,(12-MONTH(E198)+1)/12))))-((P198)*(IF((YEAR(D198)+2)&lt;YEAR(E198),0,IF((YEAR(D198)+2)&gt;YEAR(E198),1,(12-MONTH(E198)+1)/12))) + (R198)*(IF((YEAR(D198)+2)&lt;YEAR(E198),0,IF((YEAR(D198)+2)&gt;YEAR(E198),1,(12-MONTH(E198)+1)/12))))-(IF((((K198)*(IF(M198="",L198,IFERROR(IF(INDEX(Variablen!$I:$AT, MATCH(M198, Variablen!$A:$A, 0), MATCH((YEAR(D198)+2), Variablen!$I$3:$AT$3, 0))="",L198,INDEX(Variablen!$I:$AT, MATCH(M198, Variablen!$A:$A, 0), MATCH((YEAR(D198)+2), Variablen!$I$3:$AT$3, 0))),L198)))*(IF((YEAR(D198)+2)&lt;YEAR(E198),0,IF((YEAR(D198)+2)&gt;YEAR(E198),1,(12-MONTH(E198)+1)/12))) + (Q198)*(IF((YEAR(D198)+2)&lt;YEAR(E198),0,IF((YEAR(D198)+2)&gt;YEAR(E198),1,(12-MONTH(E198)+1)/12))))-((P198)*(IF((YEAR(D198)+2)&lt;YEAR(E198),0,IF((YEAR(D198)+2)&gt;YEAR(E198),1,(12-MONTH(E198)+1)/12))) + (R198)*(IF((YEAR(D198)+2)&lt;YEAR(E198),0,IF((YEAR(D198)+2)&gt;YEAR(E198),1,(12-MONTH(E198)+1)/12))))-(IF(OR(N198="",N198&lt;=0),0,(O198/N198)*(IF(OR(N198="",N198&lt;=0),0,IF((YEAR(D198)+2)&lt;YEAR(E198),0,IF((YEAR(D198)+2)&gt;=YEAR(E198)+N198,0,IF((YEAR(D198)+2)=YEAR(E198),(12-MONTH(E198)+1)/12,1))))))))&gt;0,(((K198)*(IF(M198="",L198,IFERROR(IF(INDEX(Variablen!$I:$AT, MATCH(M198, Variablen!$A:$A, 0), MATCH((YEAR(D198)+2), Variablen!$I$3:$AT$3, 0))="",L198,INDEX(Variablen!$I:$AT, MATCH(M198, Variablen!$A:$A, 0), MATCH((YEAR(D198)+2), Variablen!$I$3:$AT$3, 0))),L198)))*(IF((YEAR(D198)+2)&lt;YEAR(E198),0,IF((YEAR(D198)+2)&gt;YEAR(E198),1,(12-MONTH(E198)+1)/12))) + (Q198)*(IF((YEAR(D198)+2)&lt;YEAR(E198),0,IF((YEAR(D198)+2)&gt;YEAR(E198),1,(12-MONTH(E198)+1)/12))))-((P198)*(IF((YEAR(D198)+2)&lt;YEAR(E198),0,IF((YEAR(D198)+2)&gt;YEAR(E198),1,(12-MONTH(E198)+1)/12))) + (R198)*(IF((YEAR(D198)+2)&lt;YEAR(E198),0,IF((YEAR(D198)+2)&gt;YEAR(E198),1,(12-MONTH(E198)+1)/12))))-(IF(OR(N198="",N198&lt;=0),0,(O198/N198)*(IF(OR(N198="",N198&lt;=0),0,IF((YEAR(D198)+2)&lt;YEAR(E198),0,IF((YEAR(D198)+2)&gt;=YEAR(E198)+N198,0,IF((YEAR(D198)+2)=YEAR(E198),(12-MONTH(E198)+1)/12,1))))))))*TaxRate,0))-IF(2=0,O198,0))</f>
        <v/>
      </c>
      <c r="V198" s="29">
        <f>IF(A198="","",((K198)*(IF(M198="",L198,IFERROR(IF(INDEX(Variablen!$I:$AT, MATCH(M198, Variablen!$A:$A, 0), MATCH((YEAR(D198)+3), Variablen!$I$3:$AT$3, 0))="",L198,INDEX(Variablen!$I:$AT, MATCH(M198, Variablen!$A:$A, 0), MATCH((YEAR(D198)+3), Variablen!$I$3:$AT$3, 0))),L198)))*(IF((YEAR(D198)+3)&lt;YEAR(E198),0,IF((YEAR(D198)+3)&gt;YEAR(E198),1,(12-MONTH(E198)+1)/12))) + (Q198)*(IF((YEAR(D198)+3)&lt;YEAR(E198),0,IF((YEAR(D198)+3)&gt;YEAR(E198),1,(12-MONTH(E198)+1)/12))))-((P198)*(IF((YEAR(D198)+3)&lt;YEAR(E198),0,IF((YEAR(D198)+3)&gt;YEAR(E198),1,(12-MONTH(E198)+1)/12))) + (R198)*(IF((YEAR(D198)+3)&lt;YEAR(E198),0,IF((YEAR(D198)+3)&gt;YEAR(E198),1,(12-MONTH(E198)+1)/12))))-(IF((((K198)*(IF(M198="",L198,IFERROR(IF(INDEX(Variablen!$I:$AT, MATCH(M198, Variablen!$A:$A, 0), MATCH((YEAR(D198)+3), Variablen!$I$3:$AT$3, 0))="",L198,INDEX(Variablen!$I:$AT, MATCH(M198, Variablen!$A:$A, 0), MATCH((YEAR(D198)+3), Variablen!$I$3:$AT$3, 0))),L198)))*(IF((YEAR(D198)+3)&lt;YEAR(E198),0,IF((YEAR(D198)+3)&gt;YEAR(E198),1,(12-MONTH(E198)+1)/12))) + (Q198)*(IF((YEAR(D198)+3)&lt;YEAR(E198),0,IF((YEAR(D198)+3)&gt;YEAR(E198),1,(12-MONTH(E198)+1)/12))))-((P198)*(IF((YEAR(D198)+3)&lt;YEAR(E198),0,IF((YEAR(D198)+3)&gt;YEAR(E198),1,(12-MONTH(E198)+1)/12))) + (R198)*(IF((YEAR(D198)+3)&lt;YEAR(E198),0,IF((YEAR(D198)+3)&gt;YEAR(E198),1,(12-MONTH(E198)+1)/12))))-(IF(OR(N198="",N198&lt;=0),0,(O198/N198)*(IF(OR(N198="",N198&lt;=0),0,IF((YEAR(D198)+3)&lt;YEAR(E198),0,IF((YEAR(D198)+3)&gt;=YEAR(E198)+N198,0,IF((YEAR(D198)+3)=YEAR(E198),(12-MONTH(E198)+1)/12,1))))))))&gt;0,(((K198)*(IF(M198="",L198,IFERROR(IF(INDEX(Variablen!$I:$AT, MATCH(M198, Variablen!$A:$A, 0), MATCH((YEAR(D198)+3), Variablen!$I$3:$AT$3, 0))="",L198,INDEX(Variablen!$I:$AT, MATCH(M198, Variablen!$A:$A, 0), MATCH((YEAR(D198)+3), Variablen!$I$3:$AT$3, 0))),L198)))*(IF((YEAR(D198)+3)&lt;YEAR(E198),0,IF((YEAR(D198)+3)&gt;YEAR(E198),1,(12-MONTH(E198)+1)/12))) + (Q198)*(IF((YEAR(D198)+3)&lt;YEAR(E198),0,IF((YEAR(D198)+3)&gt;YEAR(E198),1,(12-MONTH(E198)+1)/12))))-((P198)*(IF((YEAR(D198)+3)&lt;YEAR(E198),0,IF((YEAR(D198)+3)&gt;YEAR(E198),1,(12-MONTH(E198)+1)/12))) + (R198)*(IF((YEAR(D198)+3)&lt;YEAR(E198),0,IF((YEAR(D198)+3)&gt;YEAR(E198),1,(12-MONTH(E198)+1)/12))))-(IF(OR(N198="",N198&lt;=0),0,(O198/N198)*(IF(OR(N198="",N198&lt;=0),0,IF((YEAR(D198)+3)&lt;YEAR(E198),0,IF((YEAR(D198)+3)&gt;=YEAR(E198)+N198,0,IF((YEAR(D198)+3)=YEAR(E198),(12-MONTH(E198)+1)/12,1))))))))*TaxRate,0))-IF(3=0,O198,0))</f>
        <v/>
      </c>
      <c r="W198" s="29">
        <f>IF(A198="","",((K198)*(IF(M198="",L198,IFERROR(IF(INDEX(Variablen!$I:$AT, MATCH(M198, Variablen!$A:$A, 0), MATCH((YEAR(D198)+4), Variablen!$I$3:$AT$3, 0))="",L198,INDEX(Variablen!$I:$AT, MATCH(M198, Variablen!$A:$A, 0), MATCH((YEAR(D198)+4), Variablen!$I$3:$AT$3, 0))),L198)))*(IF((YEAR(D198)+4)&lt;YEAR(E198),0,IF((YEAR(D198)+4)&gt;YEAR(E198),1,(12-MONTH(E198)+1)/12))) + (Q198)*(IF((YEAR(D198)+4)&lt;YEAR(E198),0,IF((YEAR(D198)+4)&gt;YEAR(E198),1,(12-MONTH(E198)+1)/12))))-((P198)*(IF((YEAR(D198)+4)&lt;YEAR(E198),0,IF((YEAR(D198)+4)&gt;YEAR(E198),1,(12-MONTH(E198)+1)/12))) + (R198)*(IF((YEAR(D198)+4)&lt;YEAR(E198),0,IF((YEAR(D198)+4)&gt;YEAR(E198),1,(12-MONTH(E198)+1)/12))))-(IF((((K198)*(IF(M198="",L198,IFERROR(IF(INDEX(Variablen!$I:$AT, MATCH(M198, Variablen!$A:$A, 0), MATCH((YEAR(D198)+4), Variablen!$I$3:$AT$3, 0))="",L198,INDEX(Variablen!$I:$AT, MATCH(M198, Variablen!$A:$A, 0), MATCH((YEAR(D198)+4), Variablen!$I$3:$AT$3, 0))),L198)))*(IF((YEAR(D198)+4)&lt;YEAR(E198),0,IF((YEAR(D198)+4)&gt;YEAR(E198),1,(12-MONTH(E198)+1)/12))) + (Q198)*(IF((YEAR(D198)+4)&lt;YEAR(E198),0,IF((YEAR(D198)+4)&gt;YEAR(E198),1,(12-MONTH(E198)+1)/12))))-((P198)*(IF((YEAR(D198)+4)&lt;YEAR(E198),0,IF((YEAR(D198)+4)&gt;YEAR(E198),1,(12-MONTH(E198)+1)/12))) + (R198)*(IF((YEAR(D198)+4)&lt;YEAR(E198),0,IF((YEAR(D198)+4)&gt;YEAR(E198),1,(12-MONTH(E198)+1)/12))))-(IF(OR(N198="",N198&lt;=0),0,(O198/N198)*(IF(OR(N198="",N198&lt;=0),0,IF((YEAR(D198)+4)&lt;YEAR(E198),0,IF((YEAR(D198)+4)&gt;=YEAR(E198)+N198,0,IF((YEAR(D198)+4)=YEAR(E198),(12-MONTH(E198)+1)/12,1))))))))&gt;0,(((K198)*(IF(M198="",L198,IFERROR(IF(INDEX(Variablen!$I:$AT, MATCH(M198, Variablen!$A:$A, 0), MATCH((YEAR(D198)+4), Variablen!$I$3:$AT$3, 0))="",L198,INDEX(Variablen!$I:$AT, MATCH(M198, Variablen!$A:$A, 0), MATCH((YEAR(D198)+4), Variablen!$I$3:$AT$3, 0))),L198)))*(IF((YEAR(D198)+4)&lt;YEAR(E198),0,IF((YEAR(D198)+4)&gt;YEAR(E198),1,(12-MONTH(E198)+1)/12))) + (Q198)*(IF((YEAR(D198)+4)&lt;YEAR(E198),0,IF((YEAR(D198)+4)&gt;YEAR(E198),1,(12-MONTH(E198)+1)/12))))-((P198)*(IF((YEAR(D198)+4)&lt;YEAR(E198),0,IF((YEAR(D198)+4)&gt;YEAR(E198),1,(12-MONTH(E198)+1)/12))) + (R198)*(IF((YEAR(D198)+4)&lt;YEAR(E198),0,IF((YEAR(D198)+4)&gt;YEAR(E198),1,(12-MONTH(E198)+1)/12))))-(IF(OR(N198="",N198&lt;=0),0,(O198/N198)*(IF(OR(N198="",N198&lt;=0),0,IF((YEAR(D198)+4)&lt;YEAR(E198),0,IF((YEAR(D198)+4)&gt;=YEAR(E198)+N198,0,IF((YEAR(D198)+4)=YEAR(E198),(12-MONTH(E198)+1)/12,1))))))))*TaxRate,0))-IF(4=0,O198,0))</f>
        <v/>
      </c>
      <c r="X198" s="29">
        <f>IF(A198="","",((K198)*(IF(M198="",L198,IFERROR(IF(INDEX(Variablen!$I:$AT, MATCH(M198, Variablen!$A:$A, 0), MATCH((YEAR(D198)+5), Variablen!$I$3:$AT$3, 0))="",L198,INDEX(Variablen!$I:$AT, MATCH(M198, Variablen!$A:$A, 0), MATCH((YEAR(D198)+5), Variablen!$I$3:$AT$3, 0))),L198)))*(IF((YEAR(D198)+5)&lt;YEAR(E198),0,IF((YEAR(D198)+5)&gt;YEAR(E198),1,(12-MONTH(E198)+1)/12))) + (Q198)*(IF((YEAR(D198)+5)&lt;YEAR(E198),0,IF((YEAR(D198)+5)&gt;YEAR(E198),1,(12-MONTH(E198)+1)/12))))-((P198)*(IF((YEAR(D198)+5)&lt;YEAR(E198),0,IF((YEAR(D198)+5)&gt;YEAR(E198),1,(12-MONTH(E198)+1)/12))) + (R198)*(IF((YEAR(D198)+5)&lt;YEAR(E198),0,IF((YEAR(D198)+5)&gt;YEAR(E198),1,(12-MONTH(E198)+1)/12))))-(IF((((K198)*(IF(M198="",L198,IFERROR(IF(INDEX(Variablen!$I:$AT, MATCH(M198, Variablen!$A:$A, 0), MATCH((YEAR(D198)+5), Variablen!$I$3:$AT$3, 0))="",L198,INDEX(Variablen!$I:$AT, MATCH(M198, Variablen!$A:$A, 0), MATCH((YEAR(D198)+5), Variablen!$I$3:$AT$3, 0))),L198)))*(IF((YEAR(D198)+5)&lt;YEAR(E198),0,IF((YEAR(D198)+5)&gt;YEAR(E198),1,(12-MONTH(E198)+1)/12))) + (Q198)*(IF((YEAR(D198)+5)&lt;YEAR(E198),0,IF((YEAR(D198)+5)&gt;YEAR(E198),1,(12-MONTH(E198)+1)/12))))-((P198)*(IF((YEAR(D198)+5)&lt;YEAR(E198),0,IF((YEAR(D198)+5)&gt;YEAR(E198),1,(12-MONTH(E198)+1)/12))) + (R198)*(IF((YEAR(D198)+5)&lt;YEAR(E198),0,IF((YEAR(D198)+5)&gt;YEAR(E198),1,(12-MONTH(E198)+1)/12))))-(IF(OR(N198="",N198&lt;=0),0,(O198/N198)*(IF(OR(N198="",N198&lt;=0),0,IF((YEAR(D198)+5)&lt;YEAR(E198),0,IF((YEAR(D198)+5)&gt;=YEAR(E198)+N198,0,IF((YEAR(D198)+5)=YEAR(E198),(12-MONTH(E198)+1)/12,1))))))))&gt;0,(((K198)*(IF(M198="",L198,IFERROR(IF(INDEX(Variablen!$I:$AT, MATCH(M198, Variablen!$A:$A, 0), MATCH((YEAR(D198)+5), Variablen!$I$3:$AT$3, 0))="",L198,INDEX(Variablen!$I:$AT, MATCH(M198, Variablen!$A:$A, 0), MATCH((YEAR(D198)+5), Variablen!$I$3:$AT$3, 0))),L198)))*(IF((YEAR(D198)+5)&lt;YEAR(E198),0,IF((YEAR(D198)+5)&gt;YEAR(E198),1,(12-MONTH(E198)+1)/12))) + (Q198)*(IF((YEAR(D198)+5)&lt;YEAR(E198),0,IF((YEAR(D198)+5)&gt;YEAR(E198),1,(12-MONTH(E198)+1)/12))))-((P198)*(IF((YEAR(D198)+5)&lt;YEAR(E198),0,IF((YEAR(D198)+5)&gt;YEAR(E198),1,(12-MONTH(E198)+1)/12))) + (R198)*(IF((YEAR(D198)+5)&lt;YEAR(E198),0,IF((YEAR(D198)+5)&gt;YEAR(E198),1,(12-MONTH(E198)+1)/12))))-(IF(OR(N198="",N198&lt;=0),0,(O198/N198)*(IF(OR(N198="",N198&lt;=0),0,IF((YEAR(D198)+5)&lt;YEAR(E198),0,IF((YEAR(D198)+5)&gt;=YEAR(E198)+N198,0,IF((YEAR(D198)+5)=YEAR(E198),(12-MONTH(E198)+1)/12,1))))))))*TaxRate,0))-IF(5=0,O198,0))</f>
        <v/>
      </c>
      <c r="Y198" s="29">
        <f>IF(A198="","",((K198)*(IF(M198="",L198,IFERROR(IF(INDEX(Variablen!$I:$AT, MATCH(M198, Variablen!$A:$A, 0), MATCH((YEAR(D198)+6), Variablen!$I$3:$AT$3, 0))="",L198,INDEX(Variablen!$I:$AT, MATCH(M198, Variablen!$A:$A, 0), MATCH((YEAR(D198)+6), Variablen!$I$3:$AT$3, 0))),L198)))*(IF((YEAR(D198)+6)&lt;YEAR(E198),0,IF((YEAR(D198)+6)&gt;YEAR(E198),1,(12-MONTH(E198)+1)/12))) + (Q198)*(IF((YEAR(D198)+6)&lt;YEAR(E198),0,IF((YEAR(D198)+6)&gt;YEAR(E198),1,(12-MONTH(E198)+1)/12))))-((P198)*(IF((YEAR(D198)+6)&lt;YEAR(E198),0,IF((YEAR(D198)+6)&gt;YEAR(E198),1,(12-MONTH(E198)+1)/12))) + (R198)*(IF((YEAR(D198)+6)&lt;YEAR(E198),0,IF((YEAR(D198)+6)&gt;YEAR(E198),1,(12-MONTH(E198)+1)/12))))-(IF((((K198)*(IF(M198="",L198,IFERROR(IF(INDEX(Variablen!$I:$AT, MATCH(M198, Variablen!$A:$A, 0), MATCH((YEAR(D198)+6), Variablen!$I$3:$AT$3, 0))="",L198,INDEX(Variablen!$I:$AT, MATCH(M198, Variablen!$A:$A, 0), MATCH((YEAR(D198)+6), Variablen!$I$3:$AT$3, 0))),L198)))*(IF((YEAR(D198)+6)&lt;YEAR(E198),0,IF((YEAR(D198)+6)&gt;YEAR(E198),1,(12-MONTH(E198)+1)/12))) + (Q198)*(IF((YEAR(D198)+6)&lt;YEAR(E198),0,IF((YEAR(D198)+6)&gt;YEAR(E198),1,(12-MONTH(E198)+1)/12))))-((P198)*(IF((YEAR(D198)+6)&lt;YEAR(E198),0,IF((YEAR(D198)+6)&gt;YEAR(E198),1,(12-MONTH(E198)+1)/12))) + (R198)*(IF((YEAR(D198)+6)&lt;YEAR(E198),0,IF((YEAR(D198)+6)&gt;YEAR(E198),1,(12-MONTH(E198)+1)/12))))-(IF(OR(N198="",N198&lt;=0),0,(O198/N198)*(IF(OR(N198="",N198&lt;=0),0,IF((YEAR(D198)+6)&lt;YEAR(E198),0,IF((YEAR(D198)+6)&gt;=YEAR(E198)+N198,0,IF((YEAR(D198)+6)=YEAR(E198),(12-MONTH(E198)+1)/12,1))))))))&gt;0,(((K198)*(IF(M198="",L198,IFERROR(IF(INDEX(Variablen!$I:$AT, MATCH(M198, Variablen!$A:$A, 0), MATCH((YEAR(D198)+6), Variablen!$I$3:$AT$3, 0))="",L198,INDEX(Variablen!$I:$AT, MATCH(M198, Variablen!$A:$A, 0), MATCH((YEAR(D198)+6), Variablen!$I$3:$AT$3, 0))),L198)))*(IF((YEAR(D198)+6)&lt;YEAR(E198),0,IF((YEAR(D198)+6)&gt;YEAR(E198),1,(12-MONTH(E198)+1)/12))) + (Q198)*(IF((YEAR(D198)+6)&lt;YEAR(E198),0,IF((YEAR(D198)+6)&gt;YEAR(E198),1,(12-MONTH(E198)+1)/12))))-((P198)*(IF((YEAR(D198)+6)&lt;YEAR(E198),0,IF((YEAR(D198)+6)&gt;YEAR(E198),1,(12-MONTH(E198)+1)/12))) + (R198)*(IF((YEAR(D198)+6)&lt;YEAR(E198),0,IF((YEAR(D198)+6)&gt;YEAR(E198),1,(12-MONTH(E198)+1)/12))))-(IF(OR(N198="",N198&lt;=0),0,(O198/N198)*(IF(OR(N198="",N198&lt;=0),0,IF((YEAR(D198)+6)&lt;YEAR(E198),0,IF((YEAR(D198)+6)&gt;=YEAR(E198)+N198,0,IF((YEAR(D198)+6)=YEAR(E198),(12-MONTH(E198)+1)/12,1))))))))*TaxRate,0))-IF(6=0,O198,0))</f>
        <v/>
      </c>
      <c r="Z198" s="29">
        <f>IF(A198="","",((K198)*(IF(M198="",L198,IFERROR(IF(INDEX(Variablen!$I:$AT, MATCH(M198, Variablen!$A:$A, 0), MATCH((YEAR(D198)+7), Variablen!$I$3:$AT$3, 0))="",L198,INDEX(Variablen!$I:$AT, MATCH(M198, Variablen!$A:$A, 0), MATCH((YEAR(D198)+7), Variablen!$I$3:$AT$3, 0))),L198)))*(IF((YEAR(D198)+7)&lt;YEAR(E198),0,IF((YEAR(D198)+7)&gt;YEAR(E198),1,(12-MONTH(E198)+1)/12))) + (Q198)*(IF((YEAR(D198)+7)&lt;YEAR(E198),0,IF((YEAR(D198)+7)&gt;YEAR(E198),1,(12-MONTH(E198)+1)/12))))-((P198)*(IF((YEAR(D198)+7)&lt;YEAR(E198),0,IF((YEAR(D198)+7)&gt;YEAR(E198),1,(12-MONTH(E198)+1)/12))) + (R198)*(IF((YEAR(D198)+7)&lt;YEAR(E198),0,IF((YEAR(D198)+7)&gt;YEAR(E198),1,(12-MONTH(E198)+1)/12))))-(IF((((K198)*(IF(M198="",L198,IFERROR(IF(INDEX(Variablen!$I:$AT, MATCH(M198, Variablen!$A:$A, 0), MATCH((YEAR(D198)+7), Variablen!$I$3:$AT$3, 0))="",L198,INDEX(Variablen!$I:$AT, MATCH(M198, Variablen!$A:$A, 0), MATCH((YEAR(D198)+7), Variablen!$I$3:$AT$3, 0))),L198)))*(IF((YEAR(D198)+7)&lt;YEAR(E198),0,IF((YEAR(D198)+7)&gt;YEAR(E198),1,(12-MONTH(E198)+1)/12))) + (Q198)*(IF((YEAR(D198)+7)&lt;YEAR(E198),0,IF((YEAR(D198)+7)&gt;YEAR(E198),1,(12-MONTH(E198)+1)/12))))-((P198)*(IF((YEAR(D198)+7)&lt;YEAR(E198),0,IF((YEAR(D198)+7)&gt;YEAR(E198),1,(12-MONTH(E198)+1)/12))) + (R198)*(IF((YEAR(D198)+7)&lt;YEAR(E198),0,IF((YEAR(D198)+7)&gt;YEAR(E198),1,(12-MONTH(E198)+1)/12))))-(IF(OR(N198="",N198&lt;=0),0,(O198/N198)*(IF(OR(N198="",N198&lt;=0),0,IF((YEAR(D198)+7)&lt;YEAR(E198),0,IF((YEAR(D198)+7)&gt;=YEAR(E198)+N198,0,IF((YEAR(D198)+7)=YEAR(E198),(12-MONTH(E198)+1)/12,1))))))))&gt;0,(((K198)*(IF(M198="",L198,IFERROR(IF(INDEX(Variablen!$I:$AT, MATCH(M198, Variablen!$A:$A, 0), MATCH((YEAR(D198)+7), Variablen!$I$3:$AT$3, 0))="",L198,INDEX(Variablen!$I:$AT, MATCH(M198, Variablen!$A:$A, 0), MATCH((YEAR(D198)+7), Variablen!$I$3:$AT$3, 0))),L198)))*(IF((YEAR(D198)+7)&lt;YEAR(E198),0,IF((YEAR(D198)+7)&gt;YEAR(E198),1,(12-MONTH(E198)+1)/12))) + (Q198)*(IF((YEAR(D198)+7)&lt;YEAR(E198),0,IF((YEAR(D198)+7)&gt;YEAR(E198),1,(12-MONTH(E198)+1)/12))))-((P198)*(IF((YEAR(D198)+7)&lt;YEAR(E198),0,IF((YEAR(D198)+7)&gt;YEAR(E198),1,(12-MONTH(E198)+1)/12))) + (R198)*(IF((YEAR(D198)+7)&lt;YEAR(E198),0,IF((YEAR(D198)+7)&gt;YEAR(E198),1,(12-MONTH(E198)+1)/12))))-(IF(OR(N198="",N198&lt;=0),0,(O198/N198)*(IF(OR(N198="",N198&lt;=0),0,IF((YEAR(D198)+7)&lt;YEAR(E198),0,IF((YEAR(D198)+7)&gt;=YEAR(E198)+N198,0,IF((YEAR(D198)+7)=YEAR(E198),(12-MONTH(E198)+1)/12,1))))))))*TaxRate,0))-IF(7=0,O198,0))</f>
        <v/>
      </c>
      <c r="AA198" s="29">
        <f>IF(A198="","",((K198)*(IF(M198="",L198,IFERROR(IF(INDEX(Variablen!$I:$AT, MATCH(M198, Variablen!$A:$A, 0), MATCH((YEAR(D198)+8), Variablen!$I$3:$AT$3, 0))="",L198,INDEX(Variablen!$I:$AT, MATCH(M198, Variablen!$A:$A, 0), MATCH((YEAR(D198)+8), Variablen!$I$3:$AT$3, 0))),L198)))*(IF((YEAR(D198)+8)&lt;YEAR(E198),0,IF((YEAR(D198)+8)&gt;YEAR(E198),1,(12-MONTH(E198)+1)/12))) + (Q198)*(IF((YEAR(D198)+8)&lt;YEAR(E198),0,IF((YEAR(D198)+8)&gt;YEAR(E198),1,(12-MONTH(E198)+1)/12))))-((P198)*(IF((YEAR(D198)+8)&lt;YEAR(E198),0,IF((YEAR(D198)+8)&gt;YEAR(E198),1,(12-MONTH(E198)+1)/12))) + (R198)*(IF((YEAR(D198)+8)&lt;YEAR(E198),0,IF((YEAR(D198)+8)&gt;YEAR(E198),1,(12-MONTH(E198)+1)/12))))-(IF((((K198)*(IF(M198="",L198,IFERROR(IF(INDEX(Variablen!$I:$AT, MATCH(M198, Variablen!$A:$A, 0), MATCH((YEAR(D198)+8), Variablen!$I$3:$AT$3, 0))="",L198,INDEX(Variablen!$I:$AT, MATCH(M198, Variablen!$A:$A, 0), MATCH((YEAR(D198)+8), Variablen!$I$3:$AT$3, 0))),L198)))*(IF((YEAR(D198)+8)&lt;YEAR(E198),0,IF((YEAR(D198)+8)&gt;YEAR(E198),1,(12-MONTH(E198)+1)/12))) + (Q198)*(IF((YEAR(D198)+8)&lt;YEAR(E198),0,IF((YEAR(D198)+8)&gt;YEAR(E198),1,(12-MONTH(E198)+1)/12))))-((P198)*(IF((YEAR(D198)+8)&lt;YEAR(E198),0,IF((YEAR(D198)+8)&gt;YEAR(E198),1,(12-MONTH(E198)+1)/12))) + (R198)*(IF((YEAR(D198)+8)&lt;YEAR(E198),0,IF((YEAR(D198)+8)&gt;YEAR(E198),1,(12-MONTH(E198)+1)/12))))-(IF(OR(N198="",N198&lt;=0),0,(O198/N198)*(IF(OR(N198="",N198&lt;=0),0,IF((YEAR(D198)+8)&lt;YEAR(E198),0,IF((YEAR(D198)+8)&gt;=YEAR(E198)+N198,0,IF((YEAR(D198)+8)=YEAR(E198),(12-MONTH(E198)+1)/12,1))))))))&gt;0,(((K198)*(IF(M198="",L198,IFERROR(IF(INDEX(Variablen!$I:$AT, MATCH(M198, Variablen!$A:$A, 0), MATCH((YEAR(D198)+8), Variablen!$I$3:$AT$3, 0))="",L198,INDEX(Variablen!$I:$AT, MATCH(M198, Variablen!$A:$A, 0), MATCH((YEAR(D198)+8), Variablen!$I$3:$AT$3, 0))),L198)))*(IF((YEAR(D198)+8)&lt;YEAR(E198),0,IF((YEAR(D198)+8)&gt;YEAR(E198),1,(12-MONTH(E198)+1)/12))) + (Q198)*(IF((YEAR(D198)+8)&lt;YEAR(E198),0,IF((YEAR(D198)+8)&gt;YEAR(E198),1,(12-MONTH(E198)+1)/12))))-((P198)*(IF((YEAR(D198)+8)&lt;YEAR(E198),0,IF((YEAR(D198)+8)&gt;YEAR(E198),1,(12-MONTH(E198)+1)/12))) + (R198)*(IF((YEAR(D198)+8)&lt;YEAR(E198),0,IF((YEAR(D198)+8)&gt;YEAR(E198),1,(12-MONTH(E198)+1)/12))))-(IF(OR(N198="",N198&lt;=0),0,(O198/N198)*(IF(OR(N198="",N198&lt;=0),0,IF((YEAR(D198)+8)&lt;YEAR(E198),0,IF((YEAR(D198)+8)&gt;=YEAR(E198)+N198,0,IF((YEAR(D198)+8)=YEAR(E198),(12-MONTH(E198)+1)/12,1))))))))*TaxRate,0))-IF(8=0,O198,0))</f>
        <v/>
      </c>
      <c r="AB198" s="29">
        <f>IF(A198="","",((K198)*(IF(M198="",L198,IFERROR(IF(INDEX(Variablen!$I:$AT, MATCH(M198, Variablen!$A:$A, 0), MATCH((YEAR(D198)+9), Variablen!$I$3:$AT$3, 0))="",L198,INDEX(Variablen!$I:$AT, MATCH(M198, Variablen!$A:$A, 0), MATCH((YEAR(D198)+9), Variablen!$I$3:$AT$3, 0))),L198)))*(IF((YEAR(D198)+9)&lt;YEAR(E198),0,IF((YEAR(D198)+9)&gt;YEAR(E198),1,(12-MONTH(E198)+1)/12))) + (Q198)*(IF((YEAR(D198)+9)&lt;YEAR(E198),0,IF((YEAR(D198)+9)&gt;YEAR(E198),1,(12-MONTH(E198)+1)/12))))-((P198)*(IF((YEAR(D198)+9)&lt;YEAR(E198),0,IF((YEAR(D198)+9)&gt;YEAR(E198),1,(12-MONTH(E198)+1)/12))) + (R198)*(IF((YEAR(D198)+9)&lt;YEAR(E198),0,IF((YEAR(D198)+9)&gt;YEAR(E198),1,(12-MONTH(E198)+1)/12))))-(IF((((K198)*(IF(M198="",L198,IFERROR(IF(INDEX(Variablen!$I:$AT, MATCH(M198, Variablen!$A:$A, 0), MATCH((YEAR(D198)+9), Variablen!$I$3:$AT$3, 0))="",L198,INDEX(Variablen!$I:$AT, MATCH(M198, Variablen!$A:$A, 0), MATCH((YEAR(D198)+9), Variablen!$I$3:$AT$3, 0))),L198)))*(IF((YEAR(D198)+9)&lt;YEAR(E198),0,IF((YEAR(D198)+9)&gt;YEAR(E198),1,(12-MONTH(E198)+1)/12))) + (Q198)*(IF((YEAR(D198)+9)&lt;YEAR(E198),0,IF((YEAR(D198)+9)&gt;YEAR(E198),1,(12-MONTH(E198)+1)/12))))-((P198)*(IF((YEAR(D198)+9)&lt;YEAR(E198),0,IF((YEAR(D198)+9)&gt;YEAR(E198),1,(12-MONTH(E198)+1)/12))) + (R198)*(IF((YEAR(D198)+9)&lt;YEAR(E198),0,IF((YEAR(D198)+9)&gt;YEAR(E198),1,(12-MONTH(E198)+1)/12))))-(IF(OR(N198="",N198&lt;=0),0,(O198/N198)*(IF(OR(N198="",N198&lt;=0),0,IF((YEAR(D198)+9)&lt;YEAR(E198),0,IF((YEAR(D198)+9)&gt;=YEAR(E198)+N198,0,IF((YEAR(D198)+9)=YEAR(E198),(12-MONTH(E198)+1)/12,1))))))))&gt;0,(((K198)*(IF(M198="",L198,IFERROR(IF(INDEX(Variablen!$I:$AT, MATCH(M198, Variablen!$A:$A, 0), MATCH((YEAR(D198)+9), Variablen!$I$3:$AT$3, 0))="",L198,INDEX(Variablen!$I:$AT, MATCH(M198, Variablen!$A:$A, 0), MATCH((YEAR(D198)+9), Variablen!$I$3:$AT$3, 0))),L198)))*(IF((YEAR(D198)+9)&lt;YEAR(E198),0,IF((YEAR(D198)+9)&gt;YEAR(E198),1,(12-MONTH(E198)+1)/12))) + (Q198)*(IF((YEAR(D198)+9)&lt;YEAR(E198),0,IF((YEAR(D198)+9)&gt;YEAR(E198),1,(12-MONTH(E198)+1)/12))))-((P198)*(IF((YEAR(D198)+9)&lt;YEAR(E198),0,IF((YEAR(D198)+9)&gt;YEAR(E198),1,(12-MONTH(E198)+1)/12))) + (R198)*(IF((YEAR(D198)+9)&lt;YEAR(E198),0,IF((YEAR(D198)+9)&gt;YEAR(E198),1,(12-MONTH(E198)+1)/12))))-(IF(OR(N198="",N198&lt;=0),0,(O198/N198)*(IF(OR(N198="",N198&lt;=0),0,IF((YEAR(D198)+9)&lt;YEAR(E198),0,IF((YEAR(D198)+9)&gt;=YEAR(E198)+N198,0,IF((YEAR(D198)+9)=YEAR(E198),(12-MONTH(E198)+1)/12,1))))))))*TaxRate,0))-IF(9=0,O198,0))</f>
        <v/>
      </c>
      <c r="AC198" s="29">
        <f>IF(A198="","",((K198)*(IF(M198="",L198,IFERROR(IF(INDEX(Variablen!$I:$AT, MATCH(M198, Variablen!$A:$A, 0), MATCH((YEAR(D198)+10), Variablen!$I$3:$AT$3, 0))="",L198,INDEX(Variablen!$I:$AT, MATCH(M198, Variablen!$A:$A, 0), MATCH((YEAR(D198)+10), Variablen!$I$3:$AT$3, 0))),L198)))*(IF((YEAR(D198)+10)&lt;YEAR(E198),0,IF((YEAR(D198)+10)&gt;YEAR(E198),1,(12-MONTH(E198)+1)/12))) + (Q198)*(IF((YEAR(D198)+10)&lt;YEAR(E198),0,IF((YEAR(D198)+10)&gt;YEAR(E198),1,(12-MONTH(E198)+1)/12))))-((P198)*(IF((YEAR(D198)+10)&lt;YEAR(E198),0,IF((YEAR(D198)+10)&gt;YEAR(E198),1,(12-MONTH(E198)+1)/12))) + (R198)*(IF((YEAR(D198)+10)&lt;YEAR(E198),0,IF((YEAR(D198)+10)&gt;YEAR(E198),1,(12-MONTH(E198)+1)/12))))-(IF((((K198)*(IF(M198="",L198,IFERROR(IF(INDEX(Variablen!$I:$AT, MATCH(M198, Variablen!$A:$A, 0), MATCH((YEAR(D198)+10), Variablen!$I$3:$AT$3, 0))="",L198,INDEX(Variablen!$I:$AT, MATCH(M198, Variablen!$A:$A, 0), MATCH((YEAR(D198)+10), Variablen!$I$3:$AT$3, 0))),L198)))*(IF((YEAR(D198)+10)&lt;YEAR(E198),0,IF((YEAR(D198)+10)&gt;YEAR(E198),1,(12-MONTH(E198)+1)/12))) + (Q198)*(IF((YEAR(D198)+10)&lt;YEAR(E198),0,IF((YEAR(D198)+10)&gt;YEAR(E198),1,(12-MONTH(E198)+1)/12))))-((P198)*(IF((YEAR(D198)+10)&lt;YEAR(E198),0,IF((YEAR(D198)+10)&gt;YEAR(E198),1,(12-MONTH(E198)+1)/12))) + (R198)*(IF((YEAR(D198)+10)&lt;YEAR(E198),0,IF((YEAR(D198)+10)&gt;YEAR(E198),1,(12-MONTH(E198)+1)/12))))-(IF(OR(N198="",N198&lt;=0),0,(O198/N198)*(IF(OR(N198="",N198&lt;=0),0,IF((YEAR(D198)+10)&lt;YEAR(E198),0,IF((YEAR(D198)+10)&gt;=YEAR(E198)+N198,0,IF((YEAR(D198)+10)=YEAR(E198),(12-MONTH(E198)+1)/12,1))))))))&gt;0,(((K198)*(IF(M198="",L198,IFERROR(IF(INDEX(Variablen!$I:$AT, MATCH(M198, Variablen!$A:$A, 0), MATCH((YEAR(D198)+10), Variablen!$I$3:$AT$3, 0))="",L198,INDEX(Variablen!$I:$AT, MATCH(M198, Variablen!$A:$A, 0), MATCH((YEAR(D198)+10), Variablen!$I$3:$AT$3, 0))),L198)))*(IF((YEAR(D198)+10)&lt;YEAR(E198),0,IF((YEAR(D198)+10)&gt;YEAR(E198),1,(12-MONTH(E198)+1)/12))) + (Q198)*(IF((YEAR(D198)+10)&lt;YEAR(E198),0,IF((YEAR(D198)+10)&gt;YEAR(E198),1,(12-MONTH(E198)+1)/12))))-((P198)*(IF((YEAR(D198)+10)&lt;YEAR(E198),0,IF((YEAR(D198)+10)&gt;YEAR(E198),1,(12-MONTH(E198)+1)/12))) + (R198)*(IF((YEAR(D198)+10)&lt;YEAR(E198),0,IF((YEAR(D198)+10)&gt;YEAR(E198),1,(12-MONTH(E198)+1)/12))))-(IF(OR(N198="",N198&lt;=0),0,(O198/N198)*(IF(OR(N198="",N198&lt;=0),0,IF((YEAR(D198)+10)&lt;YEAR(E198),0,IF((YEAR(D198)+10)&gt;=YEAR(E198)+N198,0,IF((YEAR(D198)+10)=YEAR(E198),(12-MONTH(E198)+1)/12,1))))))))*TaxRate,0))-IF(10=0,O198,0))</f>
        <v/>
      </c>
      <c r="AD198" s="29">
        <f>IF(A198="","",((K198)*(IF(M198="",L198,IFERROR(IF(INDEX(Variablen!$I:$AT, MATCH(M198, Variablen!$A:$A, 0), MATCH((YEAR(D198)+11), Variablen!$I$3:$AT$3, 0))="",L198,INDEX(Variablen!$I:$AT, MATCH(M198, Variablen!$A:$A, 0), MATCH((YEAR(D198)+11), Variablen!$I$3:$AT$3, 0))),L198)))*(IF((YEAR(D198)+11)&lt;YEAR(E198),0,IF((YEAR(D198)+11)&gt;YEAR(E198),1,(12-MONTH(E198)+1)/12))) + (Q198)*(IF((YEAR(D198)+11)&lt;YEAR(E198),0,IF((YEAR(D198)+11)&gt;YEAR(E198),1,(12-MONTH(E198)+1)/12))))-((P198)*(IF((YEAR(D198)+11)&lt;YEAR(E198),0,IF((YEAR(D198)+11)&gt;YEAR(E198),1,(12-MONTH(E198)+1)/12))) + (R198)*(IF((YEAR(D198)+11)&lt;YEAR(E198),0,IF((YEAR(D198)+11)&gt;YEAR(E198),1,(12-MONTH(E198)+1)/12))))-(IF((((K198)*(IF(M198="",L198,IFERROR(IF(INDEX(Variablen!$I:$AT, MATCH(M198, Variablen!$A:$A, 0), MATCH((YEAR(D198)+11), Variablen!$I$3:$AT$3, 0))="",L198,INDEX(Variablen!$I:$AT, MATCH(M198, Variablen!$A:$A, 0), MATCH((YEAR(D198)+11), Variablen!$I$3:$AT$3, 0))),L198)))*(IF((YEAR(D198)+11)&lt;YEAR(E198),0,IF((YEAR(D198)+11)&gt;YEAR(E198),1,(12-MONTH(E198)+1)/12))) + (Q198)*(IF((YEAR(D198)+11)&lt;YEAR(E198),0,IF((YEAR(D198)+11)&gt;YEAR(E198),1,(12-MONTH(E198)+1)/12))))-((P198)*(IF((YEAR(D198)+11)&lt;YEAR(E198),0,IF((YEAR(D198)+11)&gt;YEAR(E198),1,(12-MONTH(E198)+1)/12))) + (R198)*(IF((YEAR(D198)+11)&lt;YEAR(E198),0,IF((YEAR(D198)+11)&gt;YEAR(E198),1,(12-MONTH(E198)+1)/12))))-(IF(OR(N198="",N198&lt;=0),0,(O198/N198)*(IF(OR(N198="",N198&lt;=0),0,IF((YEAR(D198)+11)&lt;YEAR(E198),0,IF((YEAR(D198)+11)&gt;=YEAR(E198)+N198,0,IF((YEAR(D198)+11)=YEAR(E198),(12-MONTH(E198)+1)/12,1))))))))&gt;0,(((K198)*(IF(M198="",L198,IFERROR(IF(INDEX(Variablen!$I:$AT, MATCH(M198, Variablen!$A:$A, 0), MATCH((YEAR(D198)+11), Variablen!$I$3:$AT$3, 0))="",L198,INDEX(Variablen!$I:$AT, MATCH(M198, Variablen!$A:$A, 0), MATCH((YEAR(D198)+11), Variablen!$I$3:$AT$3, 0))),L198)))*(IF((YEAR(D198)+11)&lt;YEAR(E198),0,IF((YEAR(D198)+11)&gt;YEAR(E198),1,(12-MONTH(E198)+1)/12))) + (Q198)*(IF((YEAR(D198)+11)&lt;YEAR(E198),0,IF((YEAR(D198)+11)&gt;YEAR(E198),1,(12-MONTH(E198)+1)/12))))-((P198)*(IF((YEAR(D198)+11)&lt;YEAR(E198),0,IF((YEAR(D198)+11)&gt;YEAR(E198),1,(12-MONTH(E198)+1)/12))) + (R198)*(IF((YEAR(D198)+11)&lt;YEAR(E198),0,IF((YEAR(D198)+11)&gt;YEAR(E198),1,(12-MONTH(E198)+1)/12))))-(IF(OR(N198="",N198&lt;=0),0,(O198/N198)*(IF(OR(N198="",N198&lt;=0),0,IF((YEAR(D198)+11)&lt;YEAR(E198),0,IF((YEAR(D198)+11)&gt;=YEAR(E198)+N198,0,IF((YEAR(D198)+11)=YEAR(E198),(12-MONTH(E198)+1)/12,1))))))))*TaxRate,0))-IF(11=0,O198,0))</f>
        <v/>
      </c>
      <c r="AE198" s="29">
        <f>IF(A198="","",((K198)*(IF(M198="",L198,IFERROR(IF(INDEX(Variablen!$I:$AT, MATCH(M198, Variablen!$A:$A, 0), MATCH((YEAR(D198)+12), Variablen!$I$3:$AT$3, 0))="",L198,INDEX(Variablen!$I:$AT, MATCH(M198, Variablen!$A:$A, 0), MATCH((YEAR(D198)+12), Variablen!$I$3:$AT$3, 0))),L198)))*(IF((YEAR(D198)+12)&lt;YEAR(E198),0,IF((YEAR(D198)+12)&gt;YEAR(E198),1,(12-MONTH(E198)+1)/12))) + (Q198)*(IF((YEAR(D198)+12)&lt;YEAR(E198),0,IF((YEAR(D198)+12)&gt;YEAR(E198),1,(12-MONTH(E198)+1)/12))))-((P198)*(IF((YEAR(D198)+12)&lt;YEAR(E198),0,IF((YEAR(D198)+12)&gt;YEAR(E198),1,(12-MONTH(E198)+1)/12))) + (R198)*(IF((YEAR(D198)+12)&lt;YEAR(E198),0,IF((YEAR(D198)+12)&gt;YEAR(E198),1,(12-MONTH(E198)+1)/12))))-(IF((((K198)*(IF(M198="",L198,IFERROR(IF(INDEX(Variablen!$I:$AT, MATCH(M198, Variablen!$A:$A, 0), MATCH((YEAR(D198)+12), Variablen!$I$3:$AT$3, 0))="",L198,INDEX(Variablen!$I:$AT, MATCH(M198, Variablen!$A:$A, 0), MATCH((YEAR(D198)+12), Variablen!$I$3:$AT$3, 0))),L198)))*(IF((YEAR(D198)+12)&lt;YEAR(E198),0,IF((YEAR(D198)+12)&gt;YEAR(E198),1,(12-MONTH(E198)+1)/12))) + (Q198)*(IF((YEAR(D198)+12)&lt;YEAR(E198),0,IF((YEAR(D198)+12)&gt;YEAR(E198),1,(12-MONTH(E198)+1)/12))))-((P198)*(IF((YEAR(D198)+12)&lt;YEAR(E198),0,IF((YEAR(D198)+12)&gt;YEAR(E198),1,(12-MONTH(E198)+1)/12))) + (R198)*(IF((YEAR(D198)+12)&lt;YEAR(E198),0,IF((YEAR(D198)+12)&gt;YEAR(E198),1,(12-MONTH(E198)+1)/12))))-(IF(OR(N198="",N198&lt;=0),0,(O198/N198)*(IF(OR(N198="",N198&lt;=0),0,IF((YEAR(D198)+12)&lt;YEAR(E198),0,IF((YEAR(D198)+12)&gt;=YEAR(E198)+N198,0,IF((YEAR(D198)+12)=YEAR(E198),(12-MONTH(E198)+1)/12,1))))))))&gt;0,(((K198)*(IF(M198="",L198,IFERROR(IF(INDEX(Variablen!$I:$AT, MATCH(M198, Variablen!$A:$A, 0), MATCH((YEAR(D198)+12), Variablen!$I$3:$AT$3, 0))="",L198,INDEX(Variablen!$I:$AT, MATCH(M198, Variablen!$A:$A, 0), MATCH((YEAR(D198)+12), Variablen!$I$3:$AT$3, 0))),L198)))*(IF((YEAR(D198)+12)&lt;YEAR(E198),0,IF((YEAR(D198)+12)&gt;YEAR(E198),1,(12-MONTH(E198)+1)/12))) + (Q198)*(IF((YEAR(D198)+12)&lt;YEAR(E198),0,IF((YEAR(D198)+12)&gt;YEAR(E198),1,(12-MONTH(E198)+1)/12))))-((P198)*(IF((YEAR(D198)+12)&lt;YEAR(E198),0,IF((YEAR(D198)+12)&gt;YEAR(E198),1,(12-MONTH(E198)+1)/12))) + (R198)*(IF((YEAR(D198)+12)&lt;YEAR(E198),0,IF((YEAR(D198)+12)&gt;YEAR(E198),1,(12-MONTH(E198)+1)/12))))-(IF(OR(N198="",N198&lt;=0),0,(O198/N198)*(IF(OR(N198="",N198&lt;=0),0,IF((YEAR(D198)+12)&lt;YEAR(E198),0,IF((YEAR(D198)+12)&gt;=YEAR(E198)+N198,0,IF((YEAR(D198)+12)=YEAR(E198),(12-MONTH(E198)+1)/12,1))))))))*TaxRate,0))-IF(12=0,O198,0))</f>
        <v/>
      </c>
      <c r="AF198" s="29">
        <f>IF(A198="","",((K198)*(IF(M198="",L198,IFERROR(IF(INDEX(Variablen!$I:$AT, MATCH(M198, Variablen!$A:$A, 0), MATCH((YEAR(D198)+13), Variablen!$I$3:$AT$3, 0))="",L198,INDEX(Variablen!$I:$AT, MATCH(M198, Variablen!$A:$A, 0), MATCH((YEAR(D198)+13), Variablen!$I$3:$AT$3, 0))),L198)))*(IF((YEAR(D198)+13)&lt;YEAR(E198),0,IF((YEAR(D198)+13)&gt;YEAR(E198),1,(12-MONTH(E198)+1)/12))) + (Q198)*(IF((YEAR(D198)+13)&lt;YEAR(E198),0,IF((YEAR(D198)+13)&gt;YEAR(E198),1,(12-MONTH(E198)+1)/12))))-((P198)*(IF((YEAR(D198)+13)&lt;YEAR(E198),0,IF((YEAR(D198)+13)&gt;YEAR(E198),1,(12-MONTH(E198)+1)/12))) + (R198)*(IF((YEAR(D198)+13)&lt;YEAR(E198),0,IF((YEAR(D198)+13)&gt;YEAR(E198),1,(12-MONTH(E198)+1)/12))))-(IF((((K198)*(IF(M198="",L198,IFERROR(IF(INDEX(Variablen!$I:$AT, MATCH(M198, Variablen!$A:$A, 0), MATCH((YEAR(D198)+13), Variablen!$I$3:$AT$3, 0))="",L198,INDEX(Variablen!$I:$AT, MATCH(M198, Variablen!$A:$A, 0), MATCH((YEAR(D198)+13), Variablen!$I$3:$AT$3, 0))),L198)))*(IF((YEAR(D198)+13)&lt;YEAR(E198),0,IF((YEAR(D198)+13)&gt;YEAR(E198),1,(12-MONTH(E198)+1)/12))) + (Q198)*(IF((YEAR(D198)+13)&lt;YEAR(E198),0,IF((YEAR(D198)+13)&gt;YEAR(E198),1,(12-MONTH(E198)+1)/12))))-((P198)*(IF((YEAR(D198)+13)&lt;YEAR(E198),0,IF((YEAR(D198)+13)&gt;YEAR(E198),1,(12-MONTH(E198)+1)/12))) + (R198)*(IF((YEAR(D198)+13)&lt;YEAR(E198),0,IF((YEAR(D198)+13)&gt;YEAR(E198),1,(12-MONTH(E198)+1)/12))))-(IF(OR(N198="",N198&lt;=0),0,(O198/N198)*(IF(OR(N198="",N198&lt;=0),0,IF((YEAR(D198)+13)&lt;YEAR(E198),0,IF((YEAR(D198)+13)&gt;=YEAR(E198)+N198,0,IF((YEAR(D198)+13)=YEAR(E198),(12-MONTH(E198)+1)/12,1))))))))&gt;0,(((K198)*(IF(M198="",L198,IFERROR(IF(INDEX(Variablen!$I:$AT, MATCH(M198, Variablen!$A:$A, 0), MATCH((YEAR(D198)+13), Variablen!$I$3:$AT$3, 0))="",L198,INDEX(Variablen!$I:$AT, MATCH(M198, Variablen!$A:$A, 0), MATCH((YEAR(D198)+13), Variablen!$I$3:$AT$3, 0))),L198)))*(IF((YEAR(D198)+13)&lt;YEAR(E198),0,IF((YEAR(D198)+13)&gt;YEAR(E198),1,(12-MONTH(E198)+1)/12))) + (Q198)*(IF((YEAR(D198)+13)&lt;YEAR(E198),0,IF((YEAR(D198)+13)&gt;YEAR(E198),1,(12-MONTH(E198)+1)/12))))-((P198)*(IF((YEAR(D198)+13)&lt;YEAR(E198),0,IF((YEAR(D198)+13)&gt;YEAR(E198),1,(12-MONTH(E198)+1)/12))) + (R198)*(IF((YEAR(D198)+13)&lt;YEAR(E198),0,IF((YEAR(D198)+13)&gt;YEAR(E198),1,(12-MONTH(E198)+1)/12))))-(IF(OR(N198="",N198&lt;=0),0,(O198/N198)*(IF(OR(N198="",N198&lt;=0),0,IF((YEAR(D198)+13)&lt;YEAR(E198),0,IF((YEAR(D198)+13)&gt;=YEAR(E198)+N198,0,IF((YEAR(D198)+13)=YEAR(E198),(12-MONTH(E198)+1)/12,1))))))))*TaxRate,0))-IF(13=0,O198,0))</f>
        <v/>
      </c>
      <c r="AG198" s="29">
        <f>IF(A198="","",((K198)*(IF(M198="",L198,IFERROR(IF(INDEX(Variablen!$I:$AT, MATCH(M198, Variablen!$A:$A, 0), MATCH((YEAR(D198)+14), Variablen!$I$3:$AT$3, 0))="",L198,INDEX(Variablen!$I:$AT, MATCH(M198, Variablen!$A:$A, 0), MATCH((YEAR(D198)+14), Variablen!$I$3:$AT$3, 0))),L198)))*(IF((YEAR(D198)+14)&lt;YEAR(E198),0,IF((YEAR(D198)+14)&gt;YEAR(E198),1,(12-MONTH(E198)+1)/12))) + (Q198)*(IF((YEAR(D198)+14)&lt;YEAR(E198),0,IF((YEAR(D198)+14)&gt;YEAR(E198),1,(12-MONTH(E198)+1)/12))))-((P198)*(IF((YEAR(D198)+14)&lt;YEAR(E198),0,IF((YEAR(D198)+14)&gt;YEAR(E198),1,(12-MONTH(E198)+1)/12))) + (R198)*(IF((YEAR(D198)+14)&lt;YEAR(E198),0,IF((YEAR(D198)+14)&gt;YEAR(E198),1,(12-MONTH(E198)+1)/12))))-(IF((((K198)*(IF(M198="",L198,IFERROR(IF(INDEX(Variablen!$I:$AT, MATCH(M198, Variablen!$A:$A, 0), MATCH((YEAR(D198)+14), Variablen!$I$3:$AT$3, 0))="",L198,INDEX(Variablen!$I:$AT, MATCH(M198, Variablen!$A:$A, 0), MATCH((YEAR(D198)+14), Variablen!$I$3:$AT$3, 0))),L198)))*(IF((YEAR(D198)+14)&lt;YEAR(E198),0,IF((YEAR(D198)+14)&gt;YEAR(E198),1,(12-MONTH(E198)+1)/12))) + (Q198)*(IF((YEAR(D198)+14)&lt;YEAR(E198),0,IF((YEAR(D198)+14)&gt;YEAR(E198),1,(12-MONTH(E198)+1)/12))))-((P198)*(IF((YEAR(D198)+14)&lt;YEAR(E198),0,IF((YEAR(D198)+14)&gt;YEAR(E198),1,(12-MONTH(E198)+1)/12))) + (R198)*(IF((YEAR(D198)+14)&lt;YEAR(E198),0,IF((YEAR(D198)+14)&gt;YEAR(E198),1,(12-MONTH(E198)+1)/12))))-(IF(OR(N198="",N198&lt;=0),0,(O198/N198)*(IF(OR(N198="",N198&lt;=0),0,IF((YEAR(D198)+14)&lt;YEAR(E198),0,IF((YEAR(D198)+14)&gt;=YEAR(E198)+N198,0,IF((YEAR(D198)+14)=YEAR(E198),(12-MONTH(E198)+1)/12,1))))))))&gt;0,(((K198)*(IF(M198="",L198,IFERROR(IF(INDEX(Variablen!$I:$AT, MATCH(M198, Variablen!$A:$A, 0), MATCH((YEAR(D198)+14), Variablen!$I$3:$AT$3, 0))="",L198,INDEX(Variablen!$I:$AT, MATCH(M198, Variablen!$A:$A, 0), MATCH((YEAR(D198)+14), Variablen!$I$3:$AT$3, 0))),L198)))*(IF((YEAR(D198)+14)&lt;YEAR(E198),0,IF((YEAR(D198)+14)&gt;YEAR(E198),1,(12-MONTH(E198)+1)/12))) + (Q198)*(IF((YEAR(D198)+14)&lt;YEAR(E198),0,IF((YEAR(D198)+14)&gt;YEAR(E198),1,(12-MONTH(E198)+1)/12))))-((P198)*(IF((YEAR(D198)+14)&lt;YEAR(E198),0,IF((YEAR(D198)+14)&gt;YEAR(E198),1,(12-MONTH(E198)+1)/12))) + (R198)*(IF((YEAR(D198)+14)&lt;YEAR(E198),0,IF((YEAR(D198)+14)&gt;YEAR(E198),1,(12-MONTH(E198)+1)/12))))-(IF(OR(N198="",N198&lt;=0),0,(O198/N198)*(IF(OR(N198="",N198&lt;=0),0,IF((YEAR(D198)+14)&lt;YEAR(E198),0,IF((YEAR(D198)+14)&gt;=YEAR(E198)+N198,0,IF((YEAR(D198)+14)=YEAR(E198),(12-MONTH(E198)+1)/12,1))))))))*TaxRate,0))-IF(14=0,O198,0))</f>
        <v/>
      </c>
      <c r="AH198" s="29">
        <f>IF(A198="","",((K198)*(IF(M198="",L198,IFERROR(IF(INDEX(Variablen!$I:$AT, MATCH(M198, Variablen!$A:$A, 0), MATCH((YEAR(D198)+15), Variablen!$I$3:$AT$3, 0))="",L198,INDEX(Variablen!$I:$AT, MATCH(M198, Variablen!$A:$A, 0), MATCH((YEAR(D198)+15), Variablen!$I$3:$AT$3, 0))),L198)))*(IF((YEAR(D198)+15)&lt;YEAR(E198),0,IF((YEAR(D198)+15)&gt;YEAR(E198),1,(12-MONTH(E198)+1)/12))) + (Q198)*(IF((YEAR(D198)+15)&lt;YEAR(E198),0,IF((YEAR(D198)+15)&gt;YEAR(E198),1,(12-MONTH(E198)+1)/12))))-((P198)*(IF((YEAR(D198)+15)&lt;YEAR(E198),0,IF((YEAR(D198)+15)&gt;YEAR(E198),1,(12-MONTH(E198)+1)/12))) + (R198)*(IF((YEAR(D198)+15)&lt;YEAR(E198),0,IF((YEAR(D198)+15)&gt;YEAR(E198),1,(12-MONTH(E198)+1)/12))))-(IF((((K198)*(IF(M198="",L198,IFERROR(IF(INDEX(Variablen!$I:$AT, MATCH(M198, Variablen!$A:$A, 0), MATCH((YEAR(D198)+15), Variablen!$I$3:$AT$3, 0))="",L198,INDEX(Variablen!$I:$AT, MATCH(M198, Variablen!$A:$A, 0), MATCH((YEAR(D198)+15), Variablen!$I$3:$AT$3, 0))),L198)))*(IF((YEAR(D198)+15)&lt;YEAR(E198),0,IF((YEAR(D198)+15)&gt;YEAR(E198),1,(12-MONTH(E198)+1)/12))) + (Q198)*(IF((YEAR(D198)+15)&lt;YEAR(E198),0,IF((YEAR(D198)+15)&gt;YEAR(E198),1,(12-MONTH(E198)+1)/12))))-((P198)*(IF((YEAR(D198)+15)&lt;YEAR(E198),0,IF((YEAR(D198)+15)&gt;YEAR(E198),1,(12-MONTH(E198)+1)/12))) + (R198)*(IF((YEAR(D198)+15)&lt;YEAR(E198),0,IF((YEAR(D198)+15)&gt;YEAR(E198),1,(12-MONTH(E198)+1)/12))))-(IF(OR(N198="",N198&lt;=0),0,(O198/N198)*(IF(OR(N198="",N198&lt;=0),0,IF((YEAR(D198)+15)&lt;YEAR(E198),0,IF((YEAR(D198)+15)&gt;=YEAR(E198)+N198,0,IF((YEAR(D198)+15)=YEAR(E198),(12-MONTH(E198)+1)/12,1))))))))&gt;0,(((K198)*(IF(M198="",L198,IFERROR(IF(INDEX(Variablen!$I:$AT, MATCH(M198, Variablen!$A:$A, 0), MATCH((YEAR(D198)+15), Variablen!$I$3:$AT$3, 0))="",L198,INDEX(Variablen!$I:$AT, MATCH(M198, Variablen!$A:$A, 0), MATCH((YEAR(D198)+15), Variablen!$I$3:$AT$3, 0))),L198)))*(IF((YEAR(D198)+15)&lt;YEAR(E198),0,IF((YEAR(D198)+15)&gt;YEAR(E198),1,(12-MONTH(E198)+1)/12))) + (Q198)*(IF((YEAR(D198)+15)&lt;YEAR(E198),0,IF((YEAR(D198)+15)&gt;YEAR(E198),1,(12-MONTH(E198)+1)/12))))-((P198)*(IF((YEAR(D198)+15)&lt;YEAR(E198),0,IF((YEAR(D198)+15)&gt;YEAR(E198),1,(12-MONTH(E198)+1)/12))) + (R198)*(IF((YEAR(D198)+15)&lt;YEAR(E198),0,IF((YEAR(D198)+15)&gt;YEAR(E198),1,(12-MONTH(E198)+1)/12))))-(IF(OR(N198="",N198&lt;=0),0,(O198/N198)*(IF(OR(N198="",N198&lt;=0),0,IF((YEAR(D198)+15)&lt;YEAR(E198),0,IF((YEAR(D198)+15)&gt;=YEAR(E198)+N198,0,IF((YEAR(D198)+15)=YEAR(E198),(12-MONTH(E198)+1)/12,1))))))))*TaxRate,0))-IF(15=0,O198,0))</f>
        <v/>
      </c>
      <c r="AI198" s="29">
        <f>IF(A198="","",((K198)*(IF(M198="",L198,IFERROR(IF(INDEX(Variablen!$I:$AT, MATCH(M198, Variablen!$A:$A, 0), MATCH((YEAR(D198)+16), Variablen!$I$3:$AT$3, 0))="",L198,INDEX(Variablen!$I:$AT, MATCH(M198, Variablen!$A:$A, 0), MATCH((YEAR(D198)+16), Variablen!$I$3:$AT$3, 0))),L198)))*(IF((YEAR(D198)+16)&lt;YEAR(E198),0,IF((YEAR(D198)+16)&gt;YEAR(E198),1,(12-MONTH(E198)+1)/12))) + (Q198)*(IF((YEAR(D198)+16)&lt;YEAR(E198),0,IF((YEAR(D198)+16)&gt;YEAR(E198),1,(12-MONTH(E198)+1)/12))))-((P198)*(IF((YEAR(D198)+16)&lt;YEAR(E198),0,IF((YEAR(D198)+16)&gt;YEAR(E198),1,(12-MONTH(E198)+1)/12))) + (R198)*(IF((YEAR(D198)+16)&lt;YEAR(E198),0,IF((YEAR(D198)+16)&gt;YEAR(E198),1,(12-MONTH(E198)+1)/12))))-(IF((((K198)*(IF(M198="",L198,IFERROR(IF(INDEX(Variablen!$I:$AT, MATCH(M198, Variablen!$A:$A, 0), MATCH((YEAR(D198)+16), Variablen!$I$3:$AT$3, 0))="",L198,INDEX(Variablen!$I:$AT, MATCH(M198, Variablen!$A:$A, 0), MATCH((YEAR(D198)+16), Variablen!$I$3:$AT$3, 0))),L198)))*(IF((YEAR(D198)+16)&lt;YEAR(E198),0,IF((YEAR(D198)+16)&gt;YEAR(E198),1,(12-MONTH(E198)+1)/12))) + (Q198)*(IF((YEAR(D198)+16)&lt;YEAR(E198),0,IF((YEAR(D198)+16)&gt;YEAR(E198),1,(12-MONTH(E198)+1)/12))))-((P198)*(IF((YEAR(D198)+16)&lt;YEAR(E198),0,IF((YEAR(D198)+16)&gt;YEAR(E198),1,(12-MONTH(E198)+1)/12))) + (R198)*(IF((YEAR(D198)+16)&lt;YEAR(E198),0,IF((YEAR(D198)+16)&gt;YEAR(E198),1,(12-MONTH(E198)+1)/12))))-(IF(OR(N198="",N198&lt;=0),0,(O198/N198)*(IF(OR(N198="",N198&lt;=0),0,IF((YEAR(D198)+16)&lt;YEAR(E198),0,IF((YEAR(D198)+16)&gt;=YEAR(E198)+N198,0,IF((YEAR(D198)+16)=YEAR(E198),(12-MONTH(E198)+1)/12,1))))))))&gt;0,(((K198)*(IF(M198="",L198,IFERROR(IF(INDEX(Variablen!$I:$AT, MATCH(M198, Variablen!$A:$A, 0), MATCH((YEAR(D198)+16), Variablen!$I$3:$AT$3, 0))="",L198,INDEX(Variablen!$I:$AT, MATCH(M198, Variablen!$A:$A, 0), MATCH((YEAR(D198)+16), Variablen!$I$3:$AT$3, 0))),L198)))*(IF((YEAR(D198)+16)&lt;YEAR(E198),0,IF((YEAR(D198)+16)&gt;YEAR(E198),1,(12-MONTH(E198)+1)/12))) + (Q198)*(IF((YEAR(D198)+16)&lt;YEAR(E198),0,IF((YEAR(D198)+16)&gt;YEAR(E198),1,(12-MONTH(E198)+1)/12))))-((P198)*(IF((YEAR(D198)+16)&lt;YEAR(E198),0,IF((YEAR(D198)+16)&gt;YEAR(E198),1,(12-MONTH(E198)+1)/12))) + (R198)*(IF((YEAR(D198)+16)&lt;YEAR(E198),0,IF((YEAR(D198)+16)&gt;YEAR(E198),1,(12-MONTH(E198)+1)/12))))-(IF(OR(N198="",N198&lt;=0),0,(O198/N198)*(IF(OR(N198="",N198&lt;=0),0,IF((YEAR(D198)+16)&lt;YEAR(E198),0,IF((YEAR(D198)+16)&gt;=YEAR(E198)+N198,0,IF((YEAR(D198)+16)=YEAR(E198),(12-MONTH(E198)+1)/12,1))))))))*TaxRate,0))-IF(16=0,O198,0))</f>
        <v/>
      </c>
      <c r="AJ198" s="29">
        <f>IF(A198="","",((K198)*(IF(M198="",L198,IFERROR(IF(INDEX(Variablen!$I:$AT, MATCH(M198, Variablen!$A:$A, 0), MATCH((YEAR(D198)+17), Variablen!$I$3:$AT$3, 0))="",L198,INDEX(Variablen!$I:$AT, MATCH(M198, Variablen!$A:$A, 0), MATCH((YEAR(D198)+17), Variablen!$I$3:$AT$3, 0))),L198)))*(IF((YEAR(D198)+17)&lt;YEAR(E198),0,IF((YEAR(D198)+17)&gt;YEAR(E198),1,(12-MONTH(E198)+1)/12))) + (Q198)*(IF((YEAR(D198)+17)&lt;YEAR(E198),0,IF((YEAR(D198)+17)&gt;YEAR(E198),1,(12-MONTH(E198)+1)/12))))-((P198)*(IF((YEAR(D198)+17)&lt;YEAR(E198),0,IF((YEAR(D198)+17)&gt;YEAR(E198),1,(12-MONTH(E198)+1)/12))) + (R198)*(IF((YEAR(D198)+17)&lt;YEAR(E198),0,IF((YEAR(D198)+17)&gt;YEAR(E198),1,(12-MONTH(E198)+1)/12))))-(IF((((K198)*(IF(M198="",L198,IFERROR(IF(INDEX(Variablen!$I:$AT, MATCH(M198, Variablen!$A:$A, 0), MATCH((YEAR(D198)+17), Variablen!$I$3:$AT$3, 0))="",L198,INDEX(Variablen!$I:$AT, MATCH(M198, Variablen!$A:$A, 0), MATCH((YEAR(D198)+17), Variablen!$I$3:$AT$3, 0))),L198)))*(IF((YEAR(D198)+17)&lt;YEAR(E198),0,IF((YEAR(D198)+17)&gt;YEAR(E198),1,(12-MONTH(E198)+1)/12))) + (Q198)*(IF((YEAR(D198)+17)&lt;YEAR(E198),0,IF((YEAR(D198)+17)&gt;YEAR(E198),1,(12-MONTH(E198)+1)/12))))-((P198)*(IF((YEAR(D198)+17)&lt;YEAR(E198),0,IF((YEAR(D198)+17)&gt;YEAR(E198),1,(12-MONTH(E198)+1)/12))) + (R198)*(IF((YEAR(D198)+17)&lt;YEAR(E198),0,IF((YEAR(D198)+17)&gt;YEAR(E198),1,(12-MONTH(E198)+1)/12))))-(IF(OR(N198="",N198&lt;=0),0,(O198/N198)*(IF(OR(N198="",N198&lt;=0),0,IF((YEAR(D198)+17)&lt;YEAR(E198),0,IF((YEAR(D198)+17)&gt;=YEAR(E198)+N198,0,IF((YEAR(D198)+17)=YEAR(E198),(12-MONTH(E198)+1)/12,1))))))))&gt;0,(((K198)*(IF(M198="",L198,IFERROR(IF(INDEX(Variablen!$I:$AT, MATCH(M198, Variablen!$A:$A, 0), MATCH((YEAR(D198)+17), Variablen!$I$3:$AT$3, 0))="",L198,INDEX(Variablen!$I:$AT, MATCH(M198, Variablen!$A:$A, 0), MATCH((YEAR(D198)+17), Variablen!$I$3:$AT$3, 0))),L198)))*(IF((YEAR(D198)+17)&lt;YEAR(E198),0,IF((YEAR(D198)+17)&gt;YEAR(E198),1,(12-MONTH(E198)+1)/12))) + (Q198)*(IF((YEAR(D198)+17)&lt;YEAR(E198),0,IF((YEAR(D198)+17)&gt;YEAR(E198),1,(12-MONTH(E198)+1)/12))))-((P198)*(IF((YEAR(D198)+17)&lt;YEAR(E198),0,IF((YEAR(D198)+17)&gt;YEAR(E198),1,(12-MONTH(E198)+1)/12))) + (R198)*(IF((YEAR(D198)+17)&lt;YEAR(E198),0,IF((YEAR(D198)+17)&gt;YEAR(E198),1,(12-MONTH(E198)+1)/12))))-(IF(OR(N198="",N198&lt;=0),0,(O198/N198)*(IF(OR(N198="",N198&lt;=0),0,IF((YEAR(D198)+17)&lt;YEAR(E198),0,IF((YEAR(D198)+17)&gt;=YEAR(E198)+N198,0,IF((YEAR(D198)+17)=YEAR(E198),(12-MONTH(E198)+1)/12,1))))))))*TaxRate,0))-IF(17=0,O198,0))</f>
        <v/>
      </c>
      <c r="AK198" s="29">
        <f>IF(A198="","",((K198)*(IF(M198="",L198,IFERROR(IF(INDEX(Variablen!$I:$AT, MATCH(M198, Variablen!$A:$A, 0), MATCH((YEAR(D198)+18), Variablen!$I$3:$AT$3, 0))="",L198,INDEX(Variablen!$I:$AT, MATCH(M198, Variablen!$A:$A, 0), MATCH((YEAR(D198)+18), Variablen!$I$3:$AT$3, 0))),L198)))*(IF((YEAR(D198)+18)&lt;YEAR(E198),0,IF((YEAR(D198)+18)&gt;YEAR(E198),1,(12-MONTH(E198)+1)/12))) + (Q198)*(IF((YEAR(D198)+18)&lt;YEAR(E198),0,IF((YEAR(D198)+18)&gt;YEAR(E198),1,(12-MONTH(E198)+1)/12))))-((P198)*(IF((YEAR(D198)+18)&lt;YEAR(E198),0,IF((YEAR(D198)+18)&gt;YEAR(E198),1,(12-MONTH(E198)+1)/12))) + (R198)*(IF((YEAR(D198)+18)&lt;YEAR(E198),0,IF((YEAR(D198)+18)&gt;YEAR(E198),1,(12-MONTH(E198)+1)/12))))-(IF((((K198)*(IF(M198="",L198,IFERROR(IF(INDEX(Variablen!$I:$AT, MATCH(M198, Variablen!$A:$A, 0), MATCH((YEAR(D198)+18), Variablen!$I$3:$AT$3, 0))="",L198,INDEX(Variablen!$I:$AT, MATCH(M198, Variablen!$A:$A, 0), MATCH((YEAR(D198)+18), Variablen!$I$3:$AT$3, 0))),L198)))*(IF((YEAR(D198)+18)&lt;YEAR(E198),0,IF((YEAR(D198)+18)&gt;YEAR(E198),1,(12-MONTH(E198)+1)/12))) + (Q198)*(IF((YEAR(D198)+18)&lt;YEAR(E198),0,IF((YEAR(D198)+18)&gt;YEAR(E198),1,(12-MONTH(E198)+1)/12))))-((P198)*(IF((YEAR(D198)+18)&lt;YEAR(E198),0,IF((YEAR(D198)+18)&gt;YEAR(E198),1,(12-MONTH(E198)+1)/12))) + (R198)*(IF((YEAR(D198)+18)&lt;YEAR(E198),0,IF((YEAR(D198)+18)&gt;YEAR(E198),1,(12-MONTH(E198)+1)/12))))-(IF(OR(N198="",N198&lt;=0),0,(O198/N198)*(IF(OR(N198="",N198&lt;=0),0,IF((YEAR(D198)+18)&lt;YEAR(E198),0,IF((YEAR(D198)+18)&gt;=YEAR(E198)+N198,0,IF((YEAR(D198)+18)=YEAR(E198),(12-MONTH(E198)+1)/12,1))))))))&gt;0,(((K198)*(IF(M198="",L198,IFERROR(IF(INDEX(Variablen!$I:$AT, MATCH(M198, Variablen!$A:$A, 0), MATCH((YEAR(D198)+18), Variablen!$I$3:$AT$3, 0))="",L198,INDEX(Variablen!$I:$AT, MATCH(M198, Variablen!$A:$A, 0), MATCH((YEAR(D198)+18), Variablen!$I$3:$AT$3, 0))),L198)))*(IF((YEAR(D198)+18)&lt;YEAR(E198),0,IF((YEAR(D198)+18)&gt;YEAR(E198),1,(12-MONTH(E198)+1)/12))) + (Q198)*(IF((YEAR(D198)+18)&lt;YEAR(E198),0,IF((YEAR(D198)+18)&gt;YEAR(E198),1,(12-MONTH(E198)+1)/12))))-((P198)*(IF((YEAR(D198)+18)&lt;YEAR(E198),0,IF((YEAR(D198)+18)&gt;YEAR(E198),1,(12-MONTH(E198)+1)/12))) + (R198)*(IF((YEAR(D198)+18)&lt;YEAR(E198),0,IF((YEAR(D198)+18)&gt;YEAR(E198),1,(12-MONTH(E198)+1)/12))))-(IF(OR(N198="",N198&lt;=0),0,(O198/N198)*(IF(OR(N198="",N198&lt;=0),0,IF((YEAR(D198)+18)&lt;YEAR(E198),0,IF((YEAR(D198)+18)&gt;=YEAR(E198)+N198,0,IF((YEAR(D198)+18)=YEAR(E198),(12-MONTH(E198)+1)/12,1))))))))*TaxRate,0))-IF(18=0,O198,0))</f>
        <v/>
      </c>
      <c r="AL198" s="29">
        <f>IF(A198="","",((K198)*(IF(M198="",L198,IFERROR(IF(INDEX(Variablen!$I:$AT, MATCH(M198, Variablen!$A:$A, 0), MATCH((YEAR(D198)+19), Variablen!$I$3:$AT$3, 0))="",L198,INDEX(Variablen!$I:$AT, MATCH(M198, Variablen!$A:$A, 0), MATCH((YEAR(D198)+19), Variablen!$I$3:$AT$3, 0))),L198)))*(IF((YEAR(D198)+19)&lt;YEAR(E198),0,IF((YEAR(D198)+19)&gt;YEAR(E198),1,(12-MONTH(E198)+1)/12))) + (Q198)*(IF((YEAR(D198)+19)&lt;YEAR(E198),0,IF((YEAR(D198)+19)&gt;YEAR(E198),1,(12-MONTH(E198)+1)/12))))-((P198)*(IF((YEAR(D198)+19)&lt;YEAR(E198),0,IF((YEAR(D198)+19)&gt;YEAR(E198),1,(12-MONTH(E198)+1)/12))) + (R198)*(IF((YEAR(D198)+19)&lt;YEAR(E198),0,IF((YEAR(D198)+19)&gt;YEAR(E198),1,(12-MONTH(E198)+1)/12))))-(IF((((K198)*(IF(M198="",L198,IFERROR(IF(INDEX(Variablen!$I:$AT, MATCH(M198, Variablen!$A:$A, 0), MATCH((YEAR(D198)+19), Variablen!$I$3:$AT$3, 0))="",L198,INDEX(Variablen!$I:$AT, MATCH(M198, Variablen!$A:$A, 0), MATCH((YEAR(D198)+19), Variablen!$I$3:$AT$3, 0))),L198)))*(IF((YEAR(D198)+19)&lt;YEAR(E198),0,IF((YEAR(D198)+19)&gt;YEAR(E198),1,(12-MONTH(E198)+1)/12))) + (Q198)*(IF((YEAR(D198)+19)&lt;YEAR(E198),0,IF((YEAR(D198)+19)&gt;YEAR(E198),1,(12-MONTH(E198)+1)/12))))-((P198)*(IF((YEAR(D198)+19)&lt;YEAR(E198),0,IF((YEAR(D198)+19)&gt;YEAR(E198),1,(12-MONTH(E198)+1)/12))) + (R198)*(IF((YEAR(D198)+19)&lt;YEAR(E198),0,IF((YEAR(D198)+19)&gt;YEAR(E198),1,(12-MONTH(E198)+1)/12))))-(IF(OR(N198="",N198&lt;=0),0,(O198/N198)*(IF(OR(N198="",N198&lt;=0),0,IF((YEAR(D198)+19)&lt;YEAR(E198),0,IF((YEAR(D198)+19)&gt;=YEAR(E198)+N198,0,IF((YEAR(D198)+19)=YEAR(E198),(12-MONTH(E198)+1)/12,1))))))))&gt;0,(((K198)*(IF(M198="",L198,IFERROR(IF(INDEX(Variablen!$I:$AT, MATCH(M198, Variablen!$A:$A, 0), MATCH((YEAR(D198)+19), Variablen!$I$3:$AT$3, 0))="",L198,INDEX(Variablen!$I:$AT, MATCH(M198, Variablen!$A:$A, 0), MATCH((YEAR(D198)+19), Variablen!$I$3:$AT$3, 0))),L198)))*(IF((YEAR(D198)+19)&lt;YEAR(E198),0,IF((YEAR(D198)+19)&gt;YEAR(E198),1,(12-MONTH(E198)+1)/12))) + (Q198)*(IF((YEAR(D198)+19)&lt;YEAR(E198),0,IF((YEAR(D198)+19)&gt;YEAR(E198),1,(12-MONTH(E198)+1)/12))))-((P198)*(IF((YEAR(D198)+19)&lt;YEAR(E198),0,IF((YEAR(D198)+19)&gt;YEAR(E198),1,(12-MONTH(E198)+1)/12))) + (R198)*(IF((YEAR(D198)+19)&lt;YEAR(E198),0,IF((YEAR(D198)+19)&gt;YEAR(E198),1,(12-MONTH(E198)+1)/12))))-(IF(OR(N198="",N198&lt;=0),0,(O198/N198)*(IF(OR(N198="",N198&lt;=0),0,IF((YEAR(D198)+19)&lt;YEAR(E198),0,IF((YEAR(D198)+19)&gt;=YEAR(E198)+N198,0,IF((YEAR(D198)+19)=YEAR(E198),(12-MONTH(E198)+1)/12,1))))))))*TaxRate,0))-IF(19=0,O198,0))</f>
        <v/>
      </c>
      <c r="AM198" s="29">
        <f>IF(A198="","",((K198)*(IF(M198="",L198,IFERROR(IF(INDEX(Variablen!$I:$AT, MATCH(M198, Variablen!$A:$A, 0), MATCH((YEAR(D198)+20), Variablen!$I$3:$AT$3, 0))="",L198,INDEX(Variablen!$I:$AT, MATCH(M198, Variablen!$A:$A, 0), MATCH((YEAR(D198)+20), Variablen!$I$3:$AT$3, 0))),L198)))*(IF((YEAR(D198)+20)&lt;YEAR(E198),0,IF((YEAR(D198)+20)&gt;YEAR(E198),1,(12-MONTH(E198)+1)/12))) + (Q198)*(IF((YEAR(D198)+20)&lt;YEAR(E198),0,IF((YEAR(D198)+20)&gt;YEAR(E198),1,(12-MONTH(E198)+1)/12))))-((P198)*(IF((YEAR(D198)+20)&lt;YEAR(E198),0,IF((YEAR(D198)+20)&gt;YEAR(E198),1,(12-MONTH(E198)+1)/12))) + (R198)*(IF((YEAR(D198)+20)&lt;YEAR(E198),0,IF((YEAR(D198)+20)&gt;YEAR(E198),1,(12-MONTH(E198)+1)/12))))-(IF((((K198)*(IF(M198="",L198,IFERROR(IF(INDEX(Variablen!$I:$AT, MATCH(M198, Variablen!$A:$A, 0), MATCH((YEAR(D198)+20), Variablen!$I$3:$AT$3, 0))="",L198,INDEX(Variablen!$I:$AT, MATCH(M198, Variablen!$A:$A, 0), MATCH((YEAR(D198)+20), Variablen!$I$3:$AT$3, 0))),L198)))*(IF((YEAR(D198)+20)&lt;YEAR(E198),0,IF((YEAR(D198)+20)&gt;YEAR(E198),1,(12-MONTH(E198)+1)/12))) + (Q198)*(IF((YEAR(D198)+20)&lt;YEAR(E198),0,IF((YEAR(D198)+20)&gt;YEAR(E198),1,(12-MONTH(E198)+1)/12))))-((P198)*(IF((YEAR(D198)+20)&lt;YEAR(E198),0,IF((YEAR(D198)+20)&gt;YEAR(E198),1,(12-MONTH(E198)+1)/12))) + (R198)*(IF((YEAR(D198)+20)&lt;YEAR(E198),0,IF((YEAR(D198)+20)&gt;YEAR(E198),1,(12-MONTH(E198)+1)/12))))-(IF(OR(N198="",N198&lt;=0),0,(O198/N198)*(IF(OR(N198="",N198&lt;=0),0,IF((YEAR(D198)+20)&lt;YEAR(E198),0,IF((YEAR(D198)+20)&gt;=YEAR(E198)+N198,0,IF((YEAR(D198)+20)=YEAR(E198),(12-MONTH(E198)+1)/12,1))))))))&gt;0,(((K198)*(IF(M198="",L198,IFERROR(IF(INDEX(Variablen!$I:$AT, MATCH(M198, Variablen!$A:$A, 0), MATCH((YEAR(D198)+20), Variablen!$I$3:$AT$3, 0))="",L198,INDEX(Variablen!$I:$AT, MATCH(M198, Variablen!$A:$A, 0), MATCH((YEAR(D198)+20), Variablen!$I$3:$AT$3, 0))),L198)))*(IF((YEAR(D198)+20)&lt;YEAR(E198),0,IF((YEAR(D198)+20)&gt;YEAR(E198),1,(12-MONTH(E198)+1)/12))) + (Q198)*(IF((YEAR(D198)+20)&lt;YEAR(E198),0,IF((YEAR(D198)+20)&gt;YEAR(E198),1,(12-MONTH(E198)+1)/12))))-((P198)*(IF((YEAR(D198)+20)&lt;YEAR(E198),0,IF((YEAR(D198)+20)&gt;YEAR(E198),1,(12-MONTH(E198)+1)/12))) + (R198)*(IF((YEAR(D198)+20)&lt;YEAR(E198),0,IF((YEAR(D198)+20)&gt;YEAR(E198),1,(12-MONTH(E198)+1)/12))))-(IF(OR(N198="",N198&lt;=0),0,(O198/N198)*(IF(OR(N198="",N198&lt;=0),0,IF((YEAR(D198)+20)&lt;YEAR(E198),0,IF((YEAR(D198)+20)&gt;=YEAR(E198)+N198,0,IF((YEAR(D198)+20)=YEAR(E198),(12-MONTH(E198)+1)/12,1))))))))*TaxRate,0))-IF(20=0,O198,0))</f>
        <v/>
      </c>
      <c r="AN198" s="29">
        <f>IF(A198="","",S198)</f>
        <v/>
      </c>
      <c r="AO198" s="29">
        <f>IF(A198="","",AN198+T198)</f>
        <v/>
      </c>
      <c r="AP198" s="29">
        <f>IF(A198="","",AO198+U198)</f>
        <v/>
      </c>
      <c r="AQ198" s="29">
        <f>IF(A198="","",AP198+V198)</f>
        <v/>
      </c>
      <c r="AR198" s="29">
        <f>IF(A198="","",AQ198+W198)</f>
        <v/>
      </c>
      <c r="AS198" s="29">
        <f>IF(A198="","",AR198+X198)</f>
        <v/>
      </c>
      <c r="AT198" s="29">
        <f>IF(A198="","",AS198+Y198)</f>
        <v/>
      </c>
      <c r="AU198" s="29">
        <f>IF(A198="","",AT198+Z198)</f>
        <v/>
      </c>
      <c r="AV198" s="29">
        <f>IF(A198="","",AU198+AA198)</f>
        <v/>
      </c>
      <c r="AW198" s="29">
        <f>IF(A198="","",AV198+AB198)</f>
        <v/>
      </c>
      <c r="AX198" s="29">
        <f>IF(A198="","",AW198+AC198)</f>
        <v/>
      </c>
      <c r="AY198" s="29">
        <f>IF(A198="","",AX198+AD198)</f>
        <v/>
      </c>
      <c r="AZ198" s="29">
        <f>IF(A198="","",AY198+AE198)</f>
        <v/>
      </c>
      <c r="BA198" s="29">
        <f>IF(A198="","",AZ198+AF198)</f>
        <v/>
      </c>
      <c r="BB198" s="29">
        <f>IF(A198="","",BA198+AG198)</f>
        <v/>
      </c>
      <c r="BC198" s="29">
        <f>IF(A198="","",BB198+AH198)</f>
        <v/>
      </c>
      <c r="BD198" s="29">
        <f>IF(A198="","",BC198+AI198)</f>
        <v/>
      </c>
      <c r="BE198" s="29">
        <f>IF(A198="","",BD198+AJ198)</f>
        <v/>
      </c>
      <c r="BF198" s="29">
        <f>IF(A198="","",BE198+AK198)</f>
        <v/>
      </c>
      <c r="BG198" s="29">
        <f>IF(A198="","",BF198+AL198)</f>
        <v/>
      </c>
      <c r="BH198" s="29">
        <f>IF(A198="","",BG198+AM198)</f>
        <v/>
      </c>
      <c r="BI198" s="36">
        <f>IF(A198="","",(K198)*(IF((YEAR(D198)+0)&lt;YEAR(E198),0,IF((YEAR(D198)+0)&gt;YEAR(E198),1,(12-MONTH(E198)+1)/12)))*(1/(1+DiscountRate)^0))</f>
        <v/>
      </c>
      <c r="BJ198" s="36">
        <f>IF(A198="","",(K198)*(IF((YEAR(D198)+1)&lt;YEAR(E198),0,IF((YEAR(D198)+1)&gt;YEAR(E198),1,(12-MONTH(E198)+1)/12)))*(1/(1+DiscountRate)^1))</f>
        <v/>
      </c>
      <c r="BK198" s="36">
        <f>IF(A198="","",(K198)*(IF((YEAR(D198)+2)&lt;YEAR(E198),0,IF((YEAR(D198)+2)&gt;YEAR(E198),1,(12-MONTH(E198)+1)/12)))*(1/(1+DiscountRate)^2))</f>
        <v/>
      </c>
      <c r="BL198" s="36">
        <f>IF(A198="","",(K198)*(IF((YEAR(D198)+3)&lt;YEAR(E198),0,IF((YEAR(D198)+3)&gt;YEAR(E198),1,(12-MONTH(E198)+1)/12)))*(1/(1+DiscountRate)^3))</f>
        <v/>
      </c>
      <c r="BM198" s="36">
        <f>IF(A198="","",(K198)*(IF((YEAR(D198)+4)&lt;YEAR(E198),0,IF((YEAR(D198)+4)&gt;YEAR(E198),1,(12-MONTH(E198)+1)/12)))*(1/(1+DiscountRate)^4))</f>
        <v/>
      </c>
      <c r="BN198" s="36">
        <f>IF(A198="","",(K198)*(IF((YEAR(D198)+5)&lt;YEAR(E198),0,IF((YEAR(D198)+5)&gt;YEAR(E198),1,(12-MONTH(E198)+1)/12)))*(1/(1+DiscountRate)^5))</f>
        <v/>
      </c>
      <c r="BO198" s="36">
        <f>IF(A198="","",(K198)*(IF((YEAR(D198)+6)&lt;YEAR(E198),0,IF((YEAR(D198)+6)&gt;YEAR(E198),1,(12-MONTH(E198)+1)/12)))*(1/(1+DiscountRate)^6))</f>
        <v/>
      </c>
      <c r="BP198" s="36">
        <f>IF(A198="","",(K198)*(IF((YEAR(D198)+7)&lt;YEAR(E198),0,IF((YEAR(D198)+7)&gt;YEAR(E198),1,(12-MONTH(E198)+1)/12)))*(1/(1+DiscountRate)^7))</f>
        <v/>
      </c>
      <c r="BQ198" s="36">
        <f>IF(A198="","",(K198)*(IF((YEAR(D198)+8)&lt;YEAR(E198),0,IF((YEAR(D198)+8)&gt;YEAR(E198),1,(12-MONTH(E198)+1)/12)))*(1/(1+DiscountRate)^8))</f>
        <v/>
      </c>
      <c r="BR198" s="36">
        <f>IF(A198="","",(K198)*(IF((YEAR(D198)+9)&lt;YEAR(E198),0,IF((YEAR(D198)+9)&gt;YEAR(E198),1,(12-MONTH(E198)+1)/12)))*(1/(1+DiscountRate)^9))</f>
        <v/>
      </c>
      <c r="BS198" s="36">
        <f>IF(A198="","",(K198)*(IF((YEAR(D198)+10)&lt;YEAR(E198),0,IF((YEAR(D198)+10)&gt;YEAR(E198),1,(12-MONTH(E198)+1)/12)))*(1/(1+DiscountRate)^10))</f>
        <v/>
      </c>
      <c r="BT198" s="36">
        <f>IF(A198="","",(K198)*(IF((YEAR(D198)+11)&lt;YEAR(E198),0,IF((YEAR(D198)+11)&gt;YEAR(E198),1,(12-MONTH(E198)+1)/12)))*(1/(1+DiscountRate)^11))</f>
        <v/>
      </c>
      <c r="BU198" s="36">
        <f>IF(A198="","",(K198)*(IF((YEAR(D198)+12)&lt;YEAR(E198),0,IF((YEAR(D198)+12)&gt;YEAR(E198),1,(12-MONTH(E198)+1)/12)))*(1/(1+DiscountRate)^12))</f>
        <v/>
      </c>
      <c r="BV198" s="36">
        <f>IF(A198="","",(K198)*(IF((YEAR(D198)+13)&lt;YEAR(E198),0,IF((YEAR(D198)+13)&gt;YEAR(E198),1,(12-MONTH(E198)+1)/12)))*(1/(1+DiscountRate)^13))</f>
        <v/>
      </c>
      <c r="BW198" s="36">
        <f>IF(A198="","",(K198)*(IF((YEAR(D198)+14)&lt;YEAR(E198),0,IF((YEAR(D198)+14)&gt;YEAR(E198),1,(12-MONTH(E198)+1)/12)))*(1/(1+DiscountRate)^14))</f>
        <v/>
      </c>
      <c r="BX198" s="36">
        <f>IF(A198="","",(K198)*(IF((YEAR(D198)+15)&lt;YEAR(E198),0,IF((YEAR(D198)+15)&gt;YEAR(E198),1,(12-MONTH(E198)+1)/12)))*(1/(1+DiscountRate)^15))</f>
        <v/>
      </c>
      <c r="BY198" s="36">
        <f>IF(A198="","",(K198)*(IF((YEAR(D198)+16)&lt;YEAR(E198),0,IF((YEAR(D198)+16)&gt;YEAR(E198),1,(12-MONTH(E198)+1)/12)))*(1/(1+DiscountRate)^16))</f>
        <v/>
      </c>
      <c r="BZ198" s="36">
        <f>IF(A198="","",(K198)*(IF((YEAR(D198)+17)&lt;YEAR(E198),0,IF((YEAR(D198)+17)&gt;YEAR(E198),1,(12-MONTH(E198)+1)/12)))*(1/(1+DiscountRate)^17))</f>
        <v/>
      </c>
      <c r="CA198" s="36">
        <f>IF(A198="","",(K198)*(IF((YEAR(D198)+18)&lt;YEAR(E198),0,IF((YEAR(D198)+18)&gt;YEAR(E198),1,(12-MONTH(E198)+1)/12)))*(1/(1+DiscountRate)^18))</f>
        <v/>
      </c>
      <c r="CB198" s="36">
        <f>IF(A198="","",(K198)*(IF((YEAR(D198)+19)&lt;YEAR(E198),0,IF((YEAR(D198)+19)&gt;YEAR(E198),1,(12-MONTH(E198)+1)/12)))*(1/(1+DiscountRate)^19))</f>
        <v/>
      </c>
      <c r="CC198" s="36">
        <f>IF(A198="","",(K198)*(IF((YEAR(D198)+20)&lt;YEAR(E198),0,IF((YEAR(D198)+20)&gt;YEAR(E198),1,(12-MONTH(E198)+1)/12)))*(1/(1+DiscountRate)^20))</f>
        <v/>
      </c>
      <c r="CD198" s="29">
        <f>IF(A198="","",S198/(1+DiscountRate)^0+T198/(1+DiscountRate)^1+U198/(1+DiscountRate)^2+V198/(1+DiscountRate)^3+W198/(1+DiscountRate)^4+X198/(1+DiscountRate)^5+Y198/(1+DiscountRate)^6+Z198/(1+DiscountRate)^7+AA198/(1+DiscountRate)^8+AB198/(1+DiscountRate)^9+AC198/(1+DiscountRate)^10+AD198/(1+DiscountRate)^11+AE198/(1+DiscountRate)^12+AF198/(1+DiscountRate)^13+AG198/(1+DiscountRate)^14+AH198/(1+DiscountRate)^15+AI198/(1+DiscountRate)^16+AJ198/(1+DiscountRate)^17+AK198/(1+DiscountRate)^18+AL198/(1+DiscountRate)^19+AM198/(1+DiscountRate)^20)</f>
        <v/>
      </c>
      <c r="CE198" s="37">
        <f>IF(A198="","",IFERROR(IRR(OFFSET(S198,0,0,1,MIN(HorizonYears,20)+1)),"n/a"))</f>
        <v/>
      </c>
      <c r="CF198" s="28">
        <f>IF(A198="","",IFERROR(MATCH(TRUE,OFFSET(AN198,0,0,1,MIN(HorizonYears,20)+1)&gt;=0,0)-1,"n/a"))</f>
        <v/>
      </c>
      <c r="CG198" s="36">
        <f>IF(A198="","",SUM(OFFSET(BI198,0,0,1,MIN(HorizonYears,20)+1)))</f>
        <v/>
      </c>
      <c r="CH198" s="36">
        <f>IF(A198="","",IFERROR(-CD198/CG198,"n/a"))</f>
        <v/>
      </c>
    </row>
    <row r="199">
      <c r="A199" s="6">
        <f>Actions!A197</f>
        <v/>
      </c>
      <c r="B199" s="6">
        <f>Actions!B197</f>
        <v/>
      </c>
      <c r="C199" s="6">
        <f>Actions!D197</f>
        <v/>
      </c>
      <c r="D199" s="35">
        <f>Actions!E197</f>
        <v/>
      </c>
      <c r="E199" s="35">
        <f>Actions!F197</f>
        <v/>
      </c>
      <c r="F199" s="6">
        <f>Actions!G197</f>
        <v/>
      </c>
      <c r="G199" s="6">
        <f>Actions!H197</f>
        <v/>
      </c>
      <c r="H199" s="29">
        <f>Actions!I197</f>
        <v/>
      </c>
      <c r="I199" s="6">
        <f>Actions!J197</f>
        <v/>
      </c>
      <c r="J199" s="16">
        <f>Actions!K197</f>
        <v/>
      </c>
      <c r="K199" s="16">
        <f>IF(A199="","",IF(I199="%",H199*J199,J199))</f>
        <v/>
      </c>
      <c r="L199" s="16">
        <f>Actions!L197</f>
        <v/>
      </c>
      <c r="M199" s="6">
        <f>Actions!M197</f>
        <v/>
      </c>
      <c r="N199" s="28">
        <f>Actions!N197</f>
        <v/>
      </c>
      <c r="O199" s="29">
        <f>Actions!T197</f>
        <v/>
      </c>
      <c r="P199" s="29">
        <f>Actions!Y197</f>
        <v/>
      </c>
      <c r="Q199" s="29">
        <f>Actions!Z197</f>
        <v/>
      </c>
      <c r="R199" s="29">
        <f>Actions!AA197</f>
        <v/>
      </c>
      <c r="S199" s="29">
        <f>IF(A199="","",((K199)*(IF(M199="",L199,IFERROR(IF(INDEX(Variablen!$I:$AT, MATCH(M199, Variablen!$A:$A, 0), MATCH((YEAR(D199)+0), Variablen!$I$3:$AT$3, 0))="",L199,INDEX(Variablen!$I:$AT, MATCH(M199, Variablen!$A:$A, 0), MATCH((YEAR(D199)+0), Variablen!$I$3:$AT$3, 0))),L199)))*(IF((YEAR(D199)+0)&lt;YEAR(E199),0,IF((YEAR(D199)+0)&gt;YEAR(E199),1,(12-MONTH(E199)+1)/12))) + (Q199)*(IF((YEAR(D199)+0)&lt;YEAR(E199),0,IF((YEAR(D199)+0)&gt;YEAR(E199),1,(12-MONTH(E199)+1)/12))))-((P199)*(IF((YEAR(D199)+0)&lt;YEAR(E199),0,IF((YEAR(D199)+0)&gt;YEAR(E199),1,(12-MONTH(E199)+1)/12))) + (R199)*(IF((YEAR(D199)+0)&lt;YEAR(E199),0,IF((YEAR(D199)+0)&gt;YEAR(E199),1,(12-MONTH(E199)+1)/12))))-(IF((((K199)*(IF(M199="",L199,IFERROR(IF(INDEX(Variablen!$I:$AT, MATCH(M199, Variablen!$A:$A, 0), MATCH((YEAR(D199)+0), Variablen!$I$3:$AT$3, 0))="",L199,INDEX(Variablen!$I:$AT, MATCH(M199, Variablen!$A:$A, 0), MATCH((YEAR(D199)+0), Variablen!$I$3:$AT$3, 0))),L199)))*(IF((YEAR(D199)+0)&lt;YEAR(E199),0,IF((YEAR(D199)+0)&gt;YEAR(E199),1,(12-MONTH(E199)+1)/12))) + (Q199)*(IF((YEAR(D199)+0)&lt;YEAR(E199),0,IF((YEAR(D199)+0)&gt;YEAR(E199),1,(12-MONTH(E199)+1)/12))))-((P199)*(IF((YEAR(D199)+0)&lt;YEAR(E199),0,IF((YEAR(D199)+0)&gt;YEAR(E199),1,(12-MONTH(E199)+1)/12))) + (R199)*(IF((YEAR(D199)+0)&lt;YEAR(E199),0,IF((YEAR(D199)+0)&gt;YEAR(E199),1,(12-MONTH(E199)+1)/12))))-(IF(OR(N199="",N199&lt;=0),0,(O199/N199)*(IF(OR(N199="",N199&lt;=0),0,IF((YEAR(D199)+0)&lt;YEAR(E199),0,IF((YEAR(D199)+0)&gt;=YEAR(E199)+N199,0,IF((YEAR(D199)+0)=YEAR(E199),(12-MONTH(E199)+1)/12,1))))))))&gt;0,(((K199)*(IF(M199="",L199,IFERROR(IF(INDEX(Variablen!$I:$AT, MATCH(M199, Variablen!$A:$A, 0), MATCH((YEAR(D199)+0), Variablen!$I$3:$AT$3, 0))="",L199,INDEX(Variablen!$I:$AT, MATCH(M199, Variablen!$A:$A, 0), MATCH((YEAR(D199)+0), Variablen!$I$3:$AT$3, 0))),L199)))*(IF((YEAR(D199)+0)&lt;YEAR(E199),0,IF((YEAR(D199)+0)&gt;YEAR(E199),1,(12-MONTH(E199)+1)/12))) + (Q199)*(IF((YEAR(D199)+0)&lt;YEAR(E199),0,IF((YEAR(D199)+0)&gt;YEAR(E199),1,(12-MONTH(E199)+1)/12))))-((P199)*(IF((YEAR(D199)+0)&lt;YEAR(E199),0,IF((YEAR(D199)+0)&gt;YEAR(E199),1,(12-MONTH(E199)+1)/12))) + (R199)*(IF((YEAR(D199)+0)&lt;YEAR(E199),0,IF((YEAR(D199)+0)&gt;YEAR(E199),1,(12-MONTH(E199)+1)/12))))-(IF(OR(N199="",N199&lt;=0),0,(O199/N199)*(IF(OR(N199="",N199&lt;=0),0,IF((YEAR(D199)+0)&lt;YEAR(E199),0,IF((YEAR(D199)+0)&gt;=YEAR(E199)+N199,0,IF((YEAR(D199)+0)=YEAR(E199),(12-MONTH(E199)+1)/12,1))))))))*TaxRate,0))-IF(0=0,O199,0))</f>
        <v/>
      </c>
      <c r="T199" s="29">
        <f>IF(A199="","",((K199)*(IF(M199="",L199,IFERROR(IF(INDEX(Variablen!$I:$AT, MATCH(M199, Variablen!$A:$A, 0), MATCH((YEAR(D199)+1), Variablen!$I$3:$AT$3, 0))="",L199,INDEX(Variablen!$I:$AT, MATCH(M199, Variablen!$A:$A, 0), MATCH((YEAR(D199)+1), Variablen!$I$3:$AT$3, 0))),L199)))*(IF((YEAR(D199)+1)&lt;YEAR(E199),0,IF((YEAR(D199)+1)&gt;YEAR(E199),1,(12-MONTH(E199)+1)/12))) + (Q199)*(IF((YEAR(D199)+1)&lt;YEAR(E199),0,IF((YEAR(D199)+1)&gt;YEAR(E199),1,(12-MONTH(E199)+1)/12))))-((P199)*(IF((YEAR(D199)+1)&lt;YEAR(E199),0,IF((YEAR(D199)+1)&gt;YEAR(E199),1,(12-MONTH(E199)+1)/12))) + (R199)*(IF((YEAR(D199)+1)&lt;YEAR(E199),0,IF((YEAR(D199)+1)&gt;YEAR(E199),1,(12-MONTH(E199)+1)/12))))-(IF((((K199)*(IF(M199="",L199,IFERROR(IF(INDEX(Variablen!$I:$AT, MATCH(M199, Variablen!$A:$A, 0), MATCH((YEAR(D199)+1), Variablen!$I$3:$AT$3, 0))="",L199,INDEX(Variablen!$I:$AT, MATCH(M199, Variablen!$A:$A, 0), MATCH((YEAR(D199)+1), Variablen!$I$3:$AT$3, 0))),L199)))*(IF((YEAR(D199)+1)&lt;YEAR(E199),0,IF((YEAR(D199)+1)&gt;YEAR(E199),1,(12-MONTH(E199)+1)/12))) + (Q199)*(IF((YEAR(D199)+1)&lt;YEAR(E199),0,IF((YEAR(D199)+1)&gt;YEAR(E199),1,(12-MONTH(E199)+1)/12))))-((P199)*(IF((YEAR(D199)+1)&lt;YEAR(E199),0,IF((YEAR(D199)+1)&gt;YEAR(E199),1,(12-MONTH(E199)+1)/12))) + (R199)*(IF((YEAR(D199)+1)&lt;YEAR(E199),0,IF((YEAR(D199)+1)&gt;YEAR(E199),1,(12-MONTH(E199)+1)/12))))-(IF(OR(N199="",N199&lt;=0),0,(O199/N199)*(IF(OR(N199="",N199&lt;=0),0,IF((YEAR(D199)+1)&lt;YEAR(E199),0,IF((YEAR(D199)+1)&gt;=YEAR(E199)+N199,0,IF((YEAR(D199)+1)=YEAR(E199),(12-MONTH(E199)+1)/12,1))))))))&gt;0,(((K199)*(IF(M199="",L199,IFERROR(IF(INDEX(Variablen!$I:$AT, MATCH(M199, Variablen!$A:$A, 0), MATCH((YEAR(D199)+1), Variablen!$I$3:$AT$3, 0))="",L199,INDEX(Variablen!$I:$AT, MATCH(M199, Variablen!$A:$A, 0), MATCH((YEAR(D199)+1), Variablen!$I$3:$AT$3, 0))),L199)))*(IF((YEAR(D199)+1)&lt;YEAR(E199),0,IF((YEAR(D199)+1)&gt;YEAR(E199),1,(12-MONTH(E199)+1)/12))) + (Q199)*(IF((YEAR(D199)+1)&lt;YEAR(E199),0,IF((YEAR(D199)+1)&gt;YEAR(E199),1,(12-MONTH(E199)+1)/12))))-((P199)*(IF((YEAR(D199)+1)&lt;YEAR(E199),0,IF((YEAR(D199)+1)&gt;YEAR(E199),1,(12-MONTH(E199)+1)/12))) + (R199)*(IF((YEAR(D199)+1)&lt;YEAR(E199),0,IF((YEAR(D199)+1)&gt;YEAR(E199),1,(12-MONTH(E199)+1)/12))))-(IF(OR(N199="",N199&lt;=0),0,(O199/N199)*(IF(OR(N199="",N199&lt;=0),0,IF((YEAR(D199)+1)&lt;YEAR(E199),0,IF((YEAR(D199)+1)&gt;=YEAR(E199)+N199,0,IF((YEAR(D199)+1)=YEAR(E199),(12-MONTH(E199)+1)/12,1))))))))*TaxRate,0))-IF(1=0,O199,0))</f>
        <v/>
      </c>
      <c r="U199" s="29">
        <f>IF(A199="","",((K199)*(IF(M199="",L199,IFERROR(IF(INDEX(Variablen!$I:$AT, MATCH(M199, Variablen!$A:$A, 0), MATCH((YEAR(D199)+2), Variablen!$I$3:$AT$3, 0))="",L199,INDEX(Variablen!$I:$AT, MATCH(M199, Variablen!$A:$A, 0), MATCH((YEAR(D199)+2), Variablen!$I$3:$AT$3, 0))),L199)))*(IF((YEAR(D199)+2)&lt;YEAR(E199),0,IF((YEAR(D199)+2)&gt;YEAR(E199),1,(12-MONTH(E199)+1)/12))) + (Q199)*(IF((YEAR(D199)+2)&lt;YEAR(E199),0,IF((YEAR(D199)+2)&gt;YEAR(E199),1,(12-MONTH(E199)+1)/12))))-((P199)*(IF((YEAR(D199)+2)&lt;YEAR(E199),0,IF((YEAR(D199)+2)&gt;YEAR(E199),1,(12-MONTH(E199)+1)/12))) + (R199)*(IF((YEAR(D199)+2)&lt;YEAR(E199),0,IF((YEAR(D199)+2)&gt;YEAR(E199),1,(12-MONTH(E199)+1)/12))))-(IF((((K199)*(IF(M199="",L199,IFERROR(IF(INDEX(Variablen!$I:$AT, MATCH(M199, Variablen!$A:$A, 0), MATCH((YEAR(D199)+2), Variablen!$I$3:$AT$3, 0))="",L199,INDEX(Variablen!$I:$AT, MATCH(M199, Variablen!$A:$A, 0), MATCH((YEAR(D199)+2), Variablen!$I$3:$AT$3, 0))),L199)))*(IF((YEAR(D199)+2)&lt;YEAR(E199),0,IF((YEAR(D199)+2)&gt;YEAR(E199),1,(12-MONTH(E199)+1)/12))) + (Q199)*(IF((YEAR(D199)+2)&lt;YEAR(E199),0,IF((YEAR(D199)+2)&gt;YEAR(E199),1,(12-MONTH(E199)+1)/12))))-((P199)*(IF((YEAR(D199)+2)&lt;YEAR(E199),0,IF((YEAR(D199)+2)&gt;YEAR(E199),1,(12-MONTH(E199)+1)/12))) + (R199)*(IF((YEAR(D199)+2)&lt;YEAR(E199),0,IF((YEAR(D199)+2)&gt;YEAR(E199),1,(12-MONTH(E199)+1)/12))))-(IF(OR(N199="",N199&lt;=0),0,(O199/N199)*(IF(OR(N199="",N199&lt;=0),0,IF((YEAR(D199)+2)&lt;YEAR(E199),0,IF((YEAR(D199)+2)&gt;=YEAR(E199)+N199,0,IF((YEAR(D199)+2)=YEAR(E199),(12-MONTH(E199)+1)/12,1))))))))&gt;0,(((K199)*(IF(M199="",L199,IFERROR(IF(INDEX(Variablen!$I:$AT, MATCH(M199, Variablen!$A:$A, 0), MATCH((YEAR(D199)+2), Variablen!$I$3:$AT$3, 0))="",L199,INDEX(Variablen!$I:$AT, MATCH(M199, Variablen!$A:$A, 0), MATCH((YEAR(D199)+2), Variablen!$I$3:$AT$3, 0))),L199)))*(IF((YEAR(D199)+2)&lt;YEAR(E199),0,IF((YEAR(D199)+2)&gt;YEAR(E199),1,(12-MONTH(E199)+1)/12))) + (Q199)*(IF((YEAR(D199)+2)&lt;YEAR(E199),0,IF((YEAR(D199)+2)&gt;YEAR(E199),1,(12-MONTH(E199)+1)/12))))-((P199)*(IF((YEAR(D199)+2)&lt;YEAR(E199),0,IF((YEAR(D199)+2)&gt;YEAR(E199),1,(12-MONTH(E199)+1)/12))) + (R199)*(IF((YEAR(D199)+2)&lt;YEAR(E199),0,IF((YEAR(D199)+2)&gt;YEAR(E199),1,(12-MONTH(E199)+1)/12))))-(IF(OR(N199="",N199&lt;=0),0,(O199/N199)*(IF(OR(N199="",N199&lt;=0),0,IF((YEAR(D199)+2)&lt;YEAR(E199),0,IF((YEAR(D199)+2)&gt;=YEAR(E199)+N199,0,IF((YEAR(D199)+2)=YEAR(E199),(12-MONTH(E199)+1)/12,1))))))))*TaxRate,0))-IF(2=0,O199,0))</f>
        <v/>
      </c>
      <c r="V199" s="29">
        <f>IF(A199="","",((K199)*(IF(M199="",L199,IFERROR(IF(INDEX(Variablen!$I:$AT, MATCH(M199, Variablen!$A:$A, 0), MATCH((YEAR(D199)+3), Variablen!$I$3:$AT$3, 0))="",L199,INDEX(Variablen!$I:$AT, MATCH(M199, Variablen!$A:$A, 0), MATCH((YEAR(D199)+3), Variablen!$I$3:$AT$3, 0))),L199)))*(IF((YEAR(D199)+3)&lt;YEAR(E199),0,IF((YEAR(D199)+3)&gt;YEAR(E199),1,(12-MONTH(E199)+1)/12))) + (Q199)*(IF((YEAR(D199)+3)&lt;YEAR(E199),0,IF((YEAR(D199)+3)&gt;YEAR(E199),1,(12-MONTH(E199)+1)/12))))-((P199)*(IF((YEAR(D199)+3)&lt;YEAR(E199),0,IF((YEAR(D199)+3)&gt;YEAR(E199),1,(12-MONTH(E199)+1)/12))) + (R199)*(IF((YEAR(D199)+3)&lt;YEAR(E199),0,IF((YEAR(D199)+3)&gt;YEAR(E199),1,(12-MONTH(E199)+1)/12))))-(IF((((K199)*(IF(M199="",L199,IFERROR(IF(INDEX(Variablen!$I:$AT, MATCH(M199, Variablen!$A:$A, 0), MATCH((YEAR(D199)+3), Variablen!$I$3:$AT$3, 0))="",L199,INDEX(Variablen!$I:$AT, MATCH(M199, Variablen!$A:$A, 0), MATCH((YEAR(D199)+3), Variablen!$I$3:$AT$3, 0))),L199)))*(IF((YEAR(D199)+3)&lt;YEAR(E199),0,IF((YEAR(D199)+3)&gt;YEAR(E199),1,(12-MONTH(E199)+1)/12))) + (Q199)*(IF((YEAR(D199)+3)&lt;YEAR(E199),0,IF((YEAR(D199)+3)&gt;YEAR(E199),1,(12-MONTH(E199)+1)/12))))-((P199)*(IF((YEAR(D199)+3)&lt;YEAR(E199),0,IF((YEAR(D199)+3)&gt;YEAR(E199),1,(12-MONTH(E199)+1)/12))) + (R199)*(IF((YEAR(D199)+3)&lt;YEAR(E199),0,IF((YEAR(D199)+3)&gt;YEAR(E199),1,(12-MONTH(E199)+1)/12))))-(IF(OR(N199="",N199&lt;=0),0,(O199/N199)*(IF(OR(N199="",N199&lt;=0),0,IF((YEAR(D199)+3)&lt;YEAR(E199),0,IF((YEAR(D199)+3)&gt;=YEAR(E199)+N199,0,IF((YEAR(D199)+3)=YEAR(E199),(12-MONTH(E199)+1)/12,1))))))))&gt;0,(((K199)*(IF(M199="",L199,IFERROR(IF(INDEX(Variablen!$I:$AT, MATCH(M199, Variablen!$A:$A, 0), MATCH((YEAR(D199)+3), Variablen!$I$3:$AT$3, 0))="",L199,INDEX(Variablen!$I:$AT, MATCH(M199, Variablen!$A:$A, 0), MATCH((YEAR(D199)+3), Variablen!$I$3:$AT$3, 0))),L199)))*(IF((YEAR(D199)+3)&lt;YEAR(E199),0,IF((YEAR(D199)+3)&gt;YEAR(E199),1,(12-MONTH(E199)+1)/12))) + (Q199)*(IF((YEAR(D199)+3)&lt;YEAR(E199),0,IF((YEAR(D199)+3)&gt;YEAR(E199),1,(12-MONTH(E199)+1)/12))))-((P199)*(IF((YEAR(D199)+3)&lt;YEAR(E199),0,IF((YEAR(D199)+3)&gt;YEAR(E199),1,(12-MONTH(E199)+1)/12))) + (R199)*(IF((YEAR(D199)+3)&lt;YEAR(E199),0,IF((YEAR(D199)+3)&gt;YEAR(E199),1,(12-MONTH(E199)+1)/12))))-(IF(OR(N199="",N199&lt;=0),0,(O199/N199)*(IF(OR(N199="",N199&lt;=0),0,IF((YEAR(D199)+3)&lt;YEAR(E199),0,IF((YEAR(D199)+3)&gt;=YEAR(E199)+N199,0,IF((YEAR(D199)+3)=YEAR(E199),(12-MONTH(E199)+1)/12,1))))))))*TaxRate,0))-IF(3=0,O199,0))</f>
        <v/>
      </c>
      <c r="W199" s="29">
        <f>IF(A199="","",((K199)*(IF(M199="",L199,IFERROR(IF(INDEX(Variablen!$I:$AT, MATCH(M199, Variablen!$A:$A, 0), MATCH((YEAR(D199)+4), Variablen!$I$3:$AT$3, 0))="",L199,INDEX(Variablen!$I:$AT, MATCH(M199, Variablen!$A:$A, 0), MATCH((YEAR(D199)+4), Variablen!$I$3:$AT$3, 0))),L199)))*(IF((YEAR(D199)+4)&lt;YEAR(E199),0,IF((YEAR(D199)+4)&gt;YEAR(E199),1,(12-MONTH(E199)+1)/12))) + (Q199)*(IF((YEAR(D199)+4)&lt;YEAR(E199),0,IF((YEAR(D199)+4)&gt;YEAR(E199),1,(12-MONTH(E199)+1)/12))))-((P199)*(IF((YEAR(D199)+4)&lt;YEAR(E199),0,IF((YEAR(D199)+4)&gt;YEAR(E199),1,(12-MONTH(E199)+1)/12))) + (R199)*(IF((YEAR(D199)+4)&lt;YEAR(E199),0,IF((YEAR(D199)+4)&gt;YEAR(E199),1,(12-MONTH(E199)+1)/12))))-(IF((((K199)*(IF(M199="",L199,IFERROR(IF(INDEX(Variablen!$I:$AT, MATCH(M199, Variablen!$A:$A, 0), MATCH((YEAR(D199)+4), Variablen!$I$3:$AT$3, 0))="",L199,INDEX(Variablen!$I:$AT, MATCH(M199, Variablen!$A:$A, 0), MATCH((YEAR(D199)+4), Variablen!$I$3:$AT$3, 0))),L199)))*(IF((YEAR(D199)+4)&lt;YEAR(E199),0,IF((YEAR(D199)+4)&gt;YEAR(E199),1,(12-MONTH(E199)+1)/12))) + (Q199)*(IF((YEAR(D199)+4)&lt;YEAR(E199),0,IF((YEAR(D199)+4)&gt;YEAR(E199),1,(12-MONTH(E199)+1)/12))))-((P199)*(IF((YEAR(D199)+4)&lt;YEAR(E199),0,IF((YEAR(D199)+4)&gt;YEAR(E199),1,(12-MONTH(E199)+1)/12))) + (R199)*(IF((YEAR(D199)+4)&lt;YEAR(E199),0,IF((YEAR(D199)+4)&gt;YEAR(E199),1,(12-MONTH(E199)+1)/12))))-(IF(OR(N199="",N199&lt;=0),0,(O199/N199)*(IF(OR(N199="",N199&lt;=0),0,IF((YEAR(D199)+4)&lt;YEAR(E199),0,IF((YEAR(D199)+4)&gt;=YEAR(E199)+N199,0,IF((YEAR(D199)+4)=YEAR(E199),(12-MONTH(E199)+1)/12,1))))))))&gt;0,(((K199)*(IF(M199="",L199,IFERROR(IF(INDEX(Variablen!$I:$AT, MATCH(M199, Variablen!$A:$A, 0), MATCH((YEAR(D199)+4), Variablen!$I$3:$AT$3, 0))="",L199,INDEX(Variablen!$I:$AT, MATCH(M199, Variablen!$A:$A, 0), MATCH((YEAR(D199)+4), Variablen!$I$3:$AT$3, 0))),L199)))*(IF((YEAR(D199)+4)&lt;YEAR(E199),0,IF((YEAR(D199)+4)&gt;YEAR(E199),1,(12-MONTH(E199)+1)/12))) + (Q199)*(IF((YEAR(D199)+4)&lt;YEAR(E199),0,IF((YEAR(D199)+4)&gt;YEAR(E199),1,(12-MONTH(E199)+1)/12))))-((P199)*(IF((YEAR(D199)+4)&lt;YEAR(E199),0,IF((YEAR(D199)+4)&gt;YEAR(E199),1,(12-MONTH(E199)+1)/12))) + (R199)*(IF((YEAR(D199)+4)&lt;YEAR(E199),0,IF((YEAR(D199)+4)&gt;YEAR(E199),1,(12-MONTH(E199)+1)/12))))-(IF(OR(N199="",N199&lt;=0),0,(O199/N199)*(IF(OR(N199="",N199&lt;=0),0,IF((YEAR(D199)+4)&lt;YEAR(E199),0,IF((YEAR(D199)+4)&gt;=YEAR(E199)+N199,0,IF((YEAR(D199)+4)=YEAR(E199),(12-MONTH(E199)+1)/12,1))))))))*TaxRate,0))-IF(4=0,O199,0))</f>
        <v/>
      </c>
      <c r="X199" s="29">
        <f>IF(A199="","",((K199)*(IF(M199="",L199,IFERROR(IF(INDEX(Variablen!$I:$AT, MATCH(M199, Variablen!$A:$A, 0), MATCH((YEAR(D199)+5), Variablen!$I$3:$AT$3, 0))="",L199,INDEX(Variablen!$I:$AT, MATCH(M199, Variablen!$A:$A, 0), MATCH((YEAR(D199)+5), Variablen!$I$3:$AT$3, 0))),L199)))*(IF((YEAR(D199)+5)&lt;YEAR(E199),0,IF((YEAR(D199)+5)&gt;YEAR(E199),1,(12-MONTH(E199)+1)/12))) + (Q199)*(IF((YEAR(D199)+5)&lt;YEAR(E199),0,IF((YEAR(D199)+5)&gt;YEAR(E199),1,(12-MONTH(E199)+1)/12))))-((P199)*(IF((YEAR(D199)+5)&lt;YEAR(E199),0,IF((YEAR(D199)+5)&gt;YEAR(E199),1,(12-MONTH(E199)+1)/12))) + (R199)*(IF((YEAR(D199)+5)&lt;YEAR(E199),0,IF((YEAR(D199)+5)&gt;YEAR(E199),1,(12-MONTH(E199)+1)/12))))-(IF((((K199)*(IF(M199="",L199,IFERROR(IF(INDEX(Variablen!$I:$AT, MATCH(M199, Variablen!$A:$A, 0), MATCH((YEAR(D199)+5), Variablen!$I$3:$AT$3, 0))="",L199,INDEX(Variablen!$I:$AT, MATCH(M199, Variablen!$A:$A, 0), MATCH((YEAR(D199)+5), Variablen!$I$3:$AT$3, 0))),L199)))*(IF((YEAR(D199)+5)&lt;YEAR(E199),0,IF((YEAR(D199)+5)&gt;YEAR(E199),1,(12-MONTH(E199)+1)/12))) + (Q199)*(IF((YEAR(D199)+5)&lt;YEAR(E199),0,IF((YEAR(D199)+5)&gt;YEAR(E199),1,(12-MONTH(E199)+1)/12))))-((P199)*(IF((YEAR(D199)+5)&lt;YEAR(E199),0,IF((YEAR(D199)+5)&gt;YEAR(E199),1,(12-MONTH(E199)+1)/12))) + (R199)*(IF((YEAR(D199)+5)&lt;YEAR(E199),0,IF((YEAR(D199)+5)&gt;YEAR(E199),1,(12-MONTH(E199)+1)/12))))-(IF(OR(N199="",N199&lt;=0),0,(O199/N199)*(IF(OR(N199="",N199&lt;=0),0,IF((YEAR(D199)+5)&lt;YEAR(E199),0,IF((YEAR(D199)+5)&gt;=YEAR(E199)+N199,0,IF((YEAR(D199)+5)=YEAR(E199),(12-MONTH(E199)+1)/12,1))))))))&gt;0,(((K199)*(IF(M199="",L199,IFERROR(IF(INDEX(Variablen!$I:$AT, MATCH(M199, Variablen!$A:$A, 0), MATCH((YEAR(D199)+5), Variablen!$I$3:$AT$3, 0))="",L199,INDEX(Variablen!$I:$AT, MATCH(M199, Variablen!$A:$A, 0), MATCH((YEAR(D199)+5), Variablen!$I$3:$AT$3, 0))),L199)))*(IF((YEAR(D199)+5)&lt;YEAR(E199),0,IF((YEAR(D199)+5)&gt;YEAR(E199),1,(12-MONTH(E199)+1)/12))) + (Q199)*(IF((YEAR(D199)+5)&lt;YEAR(E199),0,IF((YEAR(D199)+5)&gt;YEAR(E199),1,(12-MONTH(E199)+1)/12))))-((P199)*(IF((YEAR(D199)+5)&lt;YEAR(E199),0,IF((YEAR(D199)+5)&gt;YEAR(E199),1,(12-MONTH(E199)+1)/12))) + (R199)*(IF((YEAR(D199)+5)&lt;YEAR(E199),0,IF((YEAR(D199)+5)&gt;YEAR(E199),1,(12-MONTH(E199)+1)/12))))-(IF(OR(N199="",N199&lt;=0),0,(O199/N199)*(IF(OR(N199="",N199&lt;=0),0,IF((YEAR(D199)+5)&lt;YEAR(E199),0,IF((YEAR(D199)+5)&gt;=YEAR(E199)+N199,0,IF((YEAR(D199)+5)=YEAR(E199),(12-MONTH(E199)+1)/12,1))))))))*TaxRate,0))-IF(5=0,O199,0))</f>
        <v/>
      </c>
      <c r="Y199" s="29">
        <f>IF(A199="","",((K199)*(IF(M199="",L199,IFERROR(IF(INDEX(Variablen!$I:$AT, MATCH(M199, Variablen!$A:$A, 0), MATCH((YEAR(D199)+6), Variablen!$I$3:$AT$3, 0))="",L199,INDEX(Variablen!$I:$AT, MATCH(M199, Variablen!$A:$A, 0), MATCH((YEAR(D199)+6), Variablen!$I$3:$AT$3, 0))),L199)))*(IF((YEAR(D199)+6)&lt;YEAR(E199),0,IF((YEAR(D199)+6)&gt;YEAR(E199),1,(12-MONTH(E199)+1)/12))) + (Q199)*(IF((YEAR(D199)+6)&lt;YEAR(E199),0,IF((YEAR(D199)+6)&gt;YEAR(E199),1,(12-MONTH(E199)+1)/12))))-((P199)*(IF((YEAR(D199)+6)&lt;YEAR(E199),0,IF((YEAR(D199)+6)&gt;YEAR(E199),1,(12-MONTH(E199)+1)/12))) + (R199)*(IF((YEAR(D199)+6)&lt;YEAR(E199),0,IF((YEAR(D199)+6)&gt;YEAR(E199),1,(12-MONTH(E199)+1)/12))))-(IF((((K199)*(IF(M199="",L199,IFERROR(IF(INDEX(Variablen!$I:$AT, MATCH(M199, Variablen!$A:$A, 0), MATCH((YEAR(D199)+6), Variablen!$I$3:$AT$3, 0))="",L199,INDEX(Variablen!$I:$AT, MATCH(M199, Variablen!$A:$A, 0), MATCH((YEAR(D199)+6), Variablen!$I$3:$AT$3, 0))),L199)))*(IF((YEAR(D199)+6)&lt;YEAR(E199),0,IF((YEAR(D199)+6)&gt;YEAR(E199),1,(12-MONTH(E199)+1)/12))) + (Q199)*(IF((YEAR(D199)+6)&lt;YEAR(E199),0,IF((YEAR(D199)+6)&gt;YEAR(E199),1,(12-MONTH(E199)+1)/12))))-((P199)*(IF((YEAR(D199)+6)&lt;YEAR(E199),0,IF((YEAR(D199)+6)&gt;YEAR(E199),1,(12-MONTH(E199)+1)/12))) + (R199)*(IF((YEAR(D199)+6)&lt;YEAR(E199),0,IF((YEAR(D199)+6)&gt;YEAR(E199),1,(12-MONTH(E199)+1)/12))))-(IF(OR(N199="",N199&lt;=0),0,(O199/N199)*(IF(OR(N199="",N199&lt;=0),0,IF((YEAR(D199)+6)&lt;YEAR(E199),0,IF((YEAR(D199)+6)&gt;=YEAR(E199)+N199,0,IF((YEAR(D199)+6)=YEAR(E199),(12-MONTH(E199)+1)/12,1))))))))&gt;0,(((K199)*(IF(M199="",L199,IFERROR(IF(INDEX(Variablen!$I:$AT, MATCH(M199, Variablen!$A:$A, 0), MATCH((YEAR(D199)+6), Variablen!$I$3:$AT$3, 0))="",L199,INDEX(Variablen!$I:$AT, MATCH(M199, Variablen!$A:$A, 0), MATCH((YEAR(D199)+6), Variablen!$I$3:$AT$3, 0))),L199)))*(IF((YEAR(D199)+6)&lt;YEAR(E199),0,IF((YEAR(D199)+6)&gt;YEAR(E199),1,(12-MONTH(E199)+1)/12))) + (Q199)*(IF((YEAR(D199)+6)&lt;YEAR(E199),0,IF((YEAR(D199)+6)&gt;YEAR(E199),1,(12-MONTH(E199)+1)/12))))-((P199)*(IF((YEAR(D199)+6)&lt;YEAR(E199),0,IF((YEAR(D199)+6)&gt;YEAR(E199),1,(12-MONTH(E199)+1)/12))) + (R199)*(IF((YEAR(D199)+6)&lt;YEAR(E199),0,IF((YEAR(D199)+6)&gt;YEAR(E199),1,(12-MONTH(E199)+1)/12))))-(IF(OR(N199="",N199&lt;=0),0,(O199/N199)*(IF(OR(N199="",N199&lt;=0),0,IF((YEAR(D199)+6)&lt;YEAR(E199),0,IF((YEAR(D199)+6)&gt;=YEAR(E199)+N199,0,IF((YEAR(D199)+6)=YEAR(E199),(12-MONTH(E199)+1)/12,1))))))))*TaxRate,0))-IF(6=0,O199,0))</f>
        <v/>
      </c>
      <c r="Z199" s="29">
        <f>IF(A199="","",((K199)*(IF(M199="",L199,IFERROR(IF(INDEX(Variablen!$I:$AT, MATCH(M199, Variablen!$A:$A, 0), MATCH((YEAR(D199)+7), Variablen!$I$3:$AT$3, 0))="",L199,INDEX(Variablen!$I:$AT, MATCH(M199, Variablen!$A:$A, 0), MATCH((YEAR(D199)+7), Variablen!$I$3:$AT$3, 0))),L199)))*(IF((YEAR(D199)+7)&lt;YEAR(E199),0,IF((YEAR(D199)+7)&gt;YEAR(E199),1,(12-MONTH(E199)+1)/12))) + (Q199)*(IF((YEAR(D199)+7)&lt;YEAR(E199),0,IF((YEAR(D199)+7)&gt;YEAR(E199),1,(12-MONTH(E199)+1)/12))))-((P199)*(IF((YEAR(D199)+7)&lt;YEAR(E199),0,IF((YEAR(D199)+7)&gt;YEAR(E199),1,(12-MONTH(E199)+1)/12))) + (R199)*(IF((YEAR(D199)+7)&lt;YEAR(E199),0,IF((YEAR(D199)+7)&gt;YEAR(E199),1,(12-MONTH(E199)+1)/12))))-(IF((((K199)*(IF(M199="",L199,IFERROR(IF(INDEX(Variablen!$I:$AT, MATCH(M199, Variablen!$A:$A, 0), MATCH((YEAR(D199)+7), Variablen!$I$3:$AT$3, 0))="",L199,INDEX(Variablen!$I:$AT, MATCH(M199, Variablen!$A:$A, 0), MATCH((YEAR(D199)+7), Variablen!$I$3:$AT$3, 0))),L199)))*(IF((YEAR(D199)+7)&lt;YEAR(E199),0,IF((YEAR(D199)+7)&gt;YEAR(E199),1,(12-MONTH(E199)+1)/12))) + (Q199)*(IF((YEAR(D199)+7)&lt;YEAR(E199),0,IF((YEAR(D199)+7)&gt;YEAR(E199),1,(12-MONTH(E199)+1)/12))))-((P199)*(IF((YEAR(D199)+7)&lt;YEAR(E199),0,IF((YEAR(D199)+7)&gt;YEAR(E199),1,(12-MONTH(E199)+1)/12))) + (R199)*(IF((YEAR(D199)+7)&lt;YEAR(E199),0,IF((YEAR(D199)+7)&gt;YEAR(E199),1,(12-MONTH(E199)+1)/12))))-(IF(OR(N199="",N199&lt;=0),0,(O199/N199)*(IF(OR(N199="",N199&lt;=0),0,IF((YEAR(D199)+7)&lt;YEAR(E199),0,IF((YEAR(D199)+7)&gt;=YEAR(E199)+N199,0,IF((YEAR(D199)+7)=YEAR(E199),(12-MONTH(E199)+1)/12,1))))))))&gt;0,(((K199)*(IF(M199="",L199,IFERROR(IF(INDEX(Variablen!$I:$AT, MATCH(M199, Variablen!$A:$A, 0), MATCH((YEAR(D199)+7), Variablen!$I$3:$AT$3, 0))="",L199,INDEX(Variablen!$I:$AT, MATCH(M199, Variablen!$A:$A, 0), MATCH((YEAR(D199)+7), Variablen!$I$3:$AT$3, 0))),L199)))*(IF((YEAR(D199)+7)&lt;YEAR(E199),0,IF((YEAR(D199)+7)&gt;YEAR(E199),1,(12-MONTH(E199)+1)/12))) + (Q199)*(IF((YEAR(D199)+7)&lt;YEAR(E199),0,IF((YEAR(D199)+7)&gt;YEAR(E199),1,(12-MONTH(E199)+1)/12))))-((P199)*(IF((YEAR(D199)+7)&lt;YEAR(E199),0,IF((YEAR(D199)+7)&gt;YEAR(E199),1,(12-MONTH(E199)+1)/12))) + (R199)*(IF((YEAR(D199)+7)&lt;YEAR(E199),0,IF((YEAR(D199)+7)&gt;YEAR(E199),1,(12-MONTH(E199)+1)/12))))-(IF(OR(N199="",N199&lt;=0),0,(O199/N199)*(IF(OR(N199="",N199&lt;=0),0,IF((YEAR(D199)+7)&lt;YEAR(E199),0,IF((YEAR(D199)+7)&gt;=YEAR(E199)+N199,0,IF((YEAR(D199)+7)=YEAR(E199),(12-MONTH(E199)+1)/12,1))))))))*TaxRate,0))-IF(7=0,O199,0))</f>
        <v/>
      </c>
      <c r="AA199" s="29">
        <f>IF(A199="","",((K199)*(IF(M199="",L199,IFERROR(IF(INDEX(Variablen!$I:$AT, MATCH(M199, Variablen!$A:$A, 0), MATCH((YEAR(D199)+8), Variablen!$I$3:$AT$3, 0))="",L199,INDEX(Variablen!$I:$AT, MATCH(M199, Variablen!$A:$A, 0), MATCH((YEAR(D199)+8), Variablen!$I$3:$AT$3, 0))),L199)))*(IF((YEAR(D199)+8)&lt;YEAR(E199),0,IF((YEAR(D199)+8)&gt;YEAR(E199),1,(12-MONTH(E199)+1)/12))) + (Q199)*(IF((YEAR(D199)+8)&lt;YEAR(E199),0,IF((YEAR(D199)+8)&gt;YEAR(E199),1,(12-MONTH(E199)+1)/12))))-((P199)*(IF((YEAR(D199)+8)&lt;YEAR(E199),0,IF((YEAR(D199)+8)&gt;YEAR(E199),1,(12-MONTH(E199)+1)/12))) + (R199)*(IF((YEAR(D199)+8)&lt;YEAR(E199),0,IF((YEAR(D199)+8)&gt;YEAR(E199),1,(12-MONTH(E199)+1)/12))))-(IF((((K199)*(IF(M199="",L199,IFERROR(IF(INDEX(Variablen!$I:$AT, MATCH(M199, Variablen!$A:$A, 0), MATCH((YEAR(D199)+8), Variablen!$I$3:$AT$3, 0))="",L199,INDEX(Variablen!$I:$AT, MATCH(M199, Variablen!$A:$A, 0), MATCH((YEAR(D199)+8), Variablen!$I$3:$AT$3, 0))),L199)))*(IF((YEAR(D199)+8)&lt;YEAR(E199),0,IF((YEAR(D199)+8)&gt;YEAR(E199),1,(12-MONTH(E199)+1)/12))) + (Q199)*(IF((YEAR(D199)+8)&lt;YEAR(E199),0,IF((YEAR(D199)+8)&gt;YEAR(E199),1,(12-MONTH(E199)+1)/12))))-((P199)*(IF((YEAR(D199)+8)&lt;YEAR(E199),0,IF((YEAR(D199)+8)&gt;YEAR(E199),1,(12-MONTH(E199)+1)/12))) + (R199)*(IF((YEAR(D199)+8)&lt;YEAR(E199),0,IF((YEAR(D199)+8)&gt;YEAR(E199),1,(12-MONTH(E199)+1)/12))))-(IF(OR(N199="",N199&lt;=0),0,(O199/N199)*(IF(OR(N199="",N199&lt;=0),0,IF((YEAR(D199)+8)&lt;YEAR(E199),0,IF((YEAR(D199)+8)&gt;=YEAR(E199)+N199,0,IF((YEAR(D199)+8)=YEAR(E199),(12-MONTH(E199)+1)/12,1))))))))&gt;0,(((K199)*(IF(M199="",L199,IFERROR(IF(INDEX(Variablen!$I:$AT, MATCH(M199, Variablen!$A:$A, 0), MATCH((YEAR(D199)+8), Variablen!$I$3:$AT$3, 0))="",L199,INDEX(Variablen!$I:$AT, MATCH(M199, Variablen!$A:$A, 0), MATCH((YEAR(D199)+8), Variablen!$I$3:$AT$3, 0))),L199)))*(IF((YEAR(D199)+8)&lt;YEAR(E199),0,IF((YEAR(D199)+8)&gt;YEAR(E199),1,(12-MONTH(E199)+1)/12))) + (Q199)*(IF((YEAR(D199)+8)&lt;YEAR(E199),0,IF((YEAR(D199)+8)&gt;YEAR(E199),1,(12-MONTH(E199)+1)/12))))-((P199)*(IF((YEAR(D199)+8)&lt;YEAR(E199),0,IF((YEAR(D199)+8)&gt;YEAR(E199),1,(12-MONTH(E199)+1)/12))) + (R199)*(IF((YEAR(D199)+8)&lt;YEAR(E199),0,IF((YEAR(D199)+8)&gt;YEAR(E199),1,(12-MONTH(E199)+1)/12))))-(IF(OR(N199="",N199&lt;=0),0,(O199/N199)*(IF(OR(N199="",N199&lt;=0),0,IF((YEAR(D199)+8)&lt;YEAR(E199),0,IF((YEAR(D199)+8)&gt;=YEAR(E199)+N199,0,IF((YEAR(D199)+8)=YEAR(E199),(12-MONTH(E199)+1)/12,1))))))))*TaxRate,0))-IF(8=0,O199,0))</f>
        <v/>
      </c>
      <c r="AB199" s="29">
        <f>IF(A199="","",((K199)*(IF(M199="",L199,IFERROR(IF(INDEX(Variablen!$I:$AT, MATCH(M199, Variablen!$A:$A, 0), MATCH((YEAR(D199)+9), Variablen!$I$3:$AT$3, 0))="",L199,INDEX(Variablen!$I:$AT, MATCH(M199, Variablen!$A:$A, 0), MATCH((YEAR(D199)+9), Variablen!$I$3:$AT$3, 0))),L199)))*(IF((YEAR(D199)+9)&lt;YEAR(E199),0,IF((YEAR(D199)+9)&gt;YEAR(E199),1,(12-MONTH(E199)+1)/12))) + (Q199)*(IF((YEAR(D199)+9)&lt;YEAR(E199),0,IF((YEAR(D199)+9)&gt;YEAR(E199),1,(12-MONTH(E199)+1)/12))))-((P199)*(IF((YEAR(D199)+9)&lt;YEAR(E199),0,IF((YEAR(D199)+9)&gt;YEAR(E199),1,(12-MONTH(E199)+1)/12))) + (R199)*(IF((YEAR(D199)+9)&lt;YEAR(E199),0,IF((YEAR(D199)+9)&gt;YEAR(E199),1,(12-MONTH(E199)+1)/12))))-(IF((((K199)*(IF(M199="",L199,IFERROR(IF(INDEX(Variablen!$I:$AT, MATCH(M199, Variablen!$A:$A, 0), MATCH((YEAR(D199)+9), Variablen!$I$3:$AT$3, 0))="",L199,INDEX(Variablen!$I:$AT, MATCH(M199, Variablen!$A:$A, 0), MATCH((YEAR(D199)+9), Variablen!$I$3:$AT$3, 0))),L199)))*(IF((YEAR(D199)+9)&lt;YEAR(E199),0,IF((YEAR(D199)+9)&gt;YEAR(E199),1,(12-MONTH(E199)+1)/12))) + (Q199)*(IF((YEAR(D199)+9)&lt;YEAR(E199),0,IF((YEAR(D199)+9)&gt;YEAR(E199),1,(12-MONTH(E199)+1)/12))))-((P199)*(IF((YEAR(D199)+9)&lt;YEAR(E199),0,IF((YEAR(D199)+9)&gt;YEAR(E199),1,(12-MONTH(E199)+1)/12))) + (R199)*(IF((YEAR(D199)+9)&lt;YEAR(E199),0,IF((YEAR(D199)+9)&gt;YEAR(E199),1,(12-MONTH(E199)+1)/12))))-(IF(OR(N199="",N199&lt;=0),0,(O199/N199)*(IF(OR(N199="",N199&lt;=0),0,IF((YEAR(D199)+9)&lt;YEAR(E199),0,IF((YEAR(D199)+9)&gt;=YEAR(E199)+N199,0,IF((YEAR(D199)+9)=YEAR(E199),(12-MONTH(E199)+1)/12,1))))))))&gt;0,(((K199)*(IF(M199="",L199,IFERROR(IF(INDEX(Variablen!$I:$AT, MATCH(M199, Variablen!$A:$A, 0), MATCH((YEAR(D199)+9), Variablen!$I$3:$AT$3, 0))="",L199,INDEX(Variablen!$I:$AT, MATCH(M199, Variablen!$A:$A, 0), MATCH((YEAR(D199)+9), Variablen!$I$3:$AT$3, 0))),L199)))*(IF((YEAR(D199)+9)&lt;YEAR(E199),0,IF((YEAR(D199)+9)&gt;YEAR(E199),1,(12-MONTH(E199)+1)/12))) + (Q199)*(IF((YEAR(D199)+9)&lt;YEAR(E199),0,IF((YEAR(D199)+9)&gt;YEAR(E199),1,(12-MONTH(E199)+1)/12))))-((P199)*(IF((YEAR(D199)+9)&lt;YEAR(E199),0,IF((YEAR(D199)+9)&gt;YEAR(E199),1,(12-MONTH(E199)+1)/12))) + (R199)*(IF((YEAR(D199)+9)&lt;YEAR(E199),0,IF((YEAR(D199)+9)&gt;YEAR(E199),1,(12-MONTH(E199)+1)/12))))-(IF(OR(N199="",N199&lt;=0),0,(O199/N199)*(IF(OR(N199="",N199&lt;=0),0,IF((YEAR(D199)+9)&lt;YEAR(E199),0,IF((YEAR(D199)+9)&gt;=YEAR(E199)+N199,0,IF((YEAR(D199)+9)=YEAR(E199),(12-MONTH(E199)+1)/12,1))))))))*TaxRate,0))-IF(9=0,O199,0))</f>
        <v/>
      </c>
      <c r="AC199" s="29">
        <f>IF(A199="","",((K199)*(IF(M199="",L199,IFERROR(IF(INDEX(Variablen!$I:$AT, MATCH(M199, Variablen!$A:$A, 0), MATCH((YEAR(D199)+10), Variablen!$I$3:$AT$3, 0))="",L199,INDEX(Variablen!$I:$AT, MATCH(M199, Variablen!$A:$A, 0), MATCH((YEAR(D199)+10), Variablen!$I$3:$AT$3, 0))),L199)))*(IF((YEAR(D199)+10)&lt;YEAR(E199),0,IF((YEAR(D199)+10)&gt;YEAR(E199),1,(12-MONTH(E199)+1)/12))) + (Q199)*(IF((YEAR(D199)+10)&lt;YEAR(E199),0,IF((YEAR(D199)+10)&gt;YEAR(E199),1,(12-MONTH(E199)+1)/12))))-((P199)*(IF((YEAR(D199)+10)&lt;YEAR(E199),0,IF((YEAR(D199)+10)&gt;YEAR(E199),1,(12-MONTH(E199)+1)/12))) + (R199)*(IF((YEAR(D199)+10)&lt;YEAR(E199),0,IF((YEAR(D199)+10)&gt;YEAR(E199),1,(12-MONTH(E199)+1)/12))))-(IF((((K199)*(IF(M199="",L199,IFERROR(IF(INDEX(Variablen!$I:$AT, MATCH(M199, Variablen!$A:$A, 0), MATCH((YEAR(D199)+10), Variablen!$I$3:$AT$3, 0))="",L199,INDEX(Variablen!$I:$AT, MATCH(M199, Variablen!$A:$A, 0), MATCH((YEAR(D199)+10), Variablen!$I$3:$AT$3, 0))),L199)))*(IF((YEAR(D199)+10)&lt;YEAR(E199),0,IF((YEAR(D199)+10)&gt;YEAR(E199),1,(12-MONTH(E199)+1)/12))) + (Q199)*(IF((YEAR(D199)+10)&lt;YEAR(E199),0,IF((YEAR(D199)+10)&gt;YEAR(E199),1,(12-MONTH(E199)+1)/12))))-((P199)*(IF((YEAR(D199)+10)&lt;YEAR(E199),0,IF((YEAR(D199)+10)&gt;YEAR(E199),1,(12-MONTH(E199)+1)/12))) + (R199)*(IF((YEAR(D199)+10)&lt;YEAR(E199),0,IF((YEAR(D199)+10)&gt;YEAR(E199),1,(12-MONTH(E199)+1)/12))))-(IF(OR(N199="",N199&lt;=0),0,(O199/N199)*(IF(OR(N199="",N199&lt;=0),0,IF((YEAR(D199)+10)&lt;YEAR(E199),0,IF((YEAR(D199)+10)&gt;=YEAR(E199)+N199,0,IF((YEAR(D199)+10)=YEAR(E199),(12-MONTH(E199)+1)/12,1))))))))&gt;0,(((K199)*(IF(M199="",L199,IFERROR(IF(INDEX(Variablen!$I:$AT, MATCH(M199, Variablen!$A:$A, 0), MATCH((YEAR(D199)+10), Variablen!$I$3:$AT$3, 0))="",L199,INDEX(Variablen!$I:$AT, MATCH(M199, Variablen!$A:$A, 0), MATCH((YEAR(D199)+10), Variablen!$I$3:$AT$3, 0))),L199)))*(IF((YEAR(D199)+10)&lt;YEAR(E199),0,IF((YEAR(D199)+10)&gt;YEAR(E199),1,(12-MONTH(E199)+1)/12))) + (Q199)*(IF((YEAR(D199)+10)&lt;YEAR(E199),0,IF((YEAR(D199)+10)&gt;YEAR(E199),1,(12-MONTH(E199)+1)/12))))-((P199)*(IF((YEAR(D199)+10)&lt;YEAR(E199),0,IF((YEAR(D199)+10)&gt;YEAR(E199),1,(12-MONTH(E199)+1)/12))) + (R199)*(IF((YEAR(D199)+10)&lt;YEAR(E199),0,IF((YEAR(D199)+10)&gt;YEAR(E199),1,(12-MONTH(E199)+1)/12))))-(IF(OR(N199="",N199&lt;=0),0,(O199/N199)*(IF(OR(N199="",N199&lt;=0),0,IF((YEAR(D199)+10)&lt;YEAR(E199),0,IF((YEAR(D199)+10)&gt;=YEAR(E199)+N199,0,IF((YEAR(D199)+10)=YEAR(E199),(12-MONTH(E199)+1)/12,1))))))))*TaxRate,0))-IF(10=0,O199,0))</f>
        <v/>
      </c>
      <c r="AD199" s="29">
        <f>IF(A199="","",((K199)*(IF(M199="",L199,IFERROR(IF(INDEX(Variablen!$I:$AT, MATCH(M199, Variablen!$A:$A, 0), MATCH((YEAR(D199)+11), Variablen!$I$3:$AT$3, 0))="",L199,INDEX(Variablen!$I:$AT, MATCH(M199, Variablen!$A:$A, 0), MATCH((YEAR(D199)+11), Variablen!$I$3:$AT$3, 0))),L199)))*(IF((YEAR(D199)+11)&lt;YEAR(E199),0,IF((YEAR(D199)+11)&gt;YEAR(E199),1,(12-MONTH(E199)+1)/12))) + (Q199)*(IF((YEAR(D199)+11)&lt;YEAR(E199),0,IF((YEAR(D199)+11)&gt;YEAR(E199),1,(12-MONTH(E199)+1)/12))))-((P199)*(IF((YEAR(D199)+11)&lt;YEAR(E199),0,IF((YEAR(D199)+11)&gt;YEAR(E199),1,(12-MONTH(E199)+1)/12))) + (R199)*(IF((YEAR(D199)+11)&lt;YEAR(E199),0,IF((YEAR(D199)+11)&gt;YEAR(E199),1,(12-MONTH(E199)+1)/12))))-(IF((((K199)*(IF(M199="",L199,IFERROR(IF(INDEX(Variablen!$I:$AT, MATCH(M199, Variablen!$A:$A, 0), MATCH((YEAR(D199)+11), Variablen!$I$3:$AT$3, 0))="",L199,INDEX(Variablen!$I:$AT, MATCH(M199, Variablen!$A:$A, 0), MATCH((YEAR(D199)+11), Variablen!$I$3:$AT$3, 0))),L199)))*(IF((YEAR(D199)+11)&lt;YEAR(E199),0,IF((YEAR(D199)+11)&gt;YEAR(E199),1,(12-MONTH(E199)+1)/12))) + (Q199)*(IF((YEAR(D199)+11)&lt;YEAR(E199),0,IF((YEAR(D199)+11)&gt;YEAR(E199),1,(12-MONTH(E199)+1)/12))))-((P199)*(IF((YEAR(D199)+11)&lt;YEAR(E199),0,IF((YEAR(D199)+11)&gt;YEAR(E199),1,(12-MONTH(E199)+1)/12))) + (R199)*(IF((YEAR(D199)+11)&lt;YEAR(E199),0,IF((YEAR(D199)+11)&gt;YEAR(E199),1,(12-MONTH(E199)+1)/12))))-(IF(OR(N199="",N199&lt;=0),0,(O199/N199)*(IF(OR(N199="",N199&lt;=0),0,IF((YEAR(D199)+11)&lt;YEAR(E199),0,IF((YEAR(D199)+11)&gt;=YEAR(E199)+N199,0,IF((YEAR(D199)+11)=YEAR(E199),(12-MONTH(E199)+1)/12,1))))))))&gt;0,(((K199)*(IF(M199="",L199,IFERROR(IF(INDEX(Variablen!$I:$AT, MATCH(M199, Variablen!$A:$A, 0), MATCH((YEAR(D199)+11), Variablen!$I$3:$AT$3, 0))="",L199,INDEX(Variablen!$I:$AT, MATCH(M199, Variablen!$A:$A, 0), MATCH((YEAR(D199)+11), Variablen!$I$3:$AT$3, 0))),L199)))*(IF((YEAR(D199)+11)&lt;YEAR(E199),0,IF((YEAR(D199)+11)&gt;YEAR(E199),1,(12-MONTH(E199)+1)/12))) + (Q199)*(IF((YEAR(D199)+11)&lt;YEAR(E199),0,IF((YEAR(D199)+11)&gt;YEAR(E199),1,(12-MONTH(E199)+1)/12))))-((P199)*(IF((YEAR(D199)+11)&lt;YEAR(E199),0,IF((YEAR(D199)+11)&gt;YEAR(E199),1,(12-MONTH(E199)+1)/12))) + (R199)*(IF((YEAR(D199)+11)&lt;YEAR(E199),0,IF((YEAR(D199)+11)&gt;YEAR(E199),1,(12-MONTH(E199)+1)/12))))-(IF(OR(N199="",N199&lt;=0),0,(O199/N199)*(IF(OR(N199="",N199&lt;=0),0,IF((YEAR(D199)+11)&lt;YEAR(E199),0,IF((YEAR(D199)+11)&gt;=YEAR(E199)+N199,0,IF((YEAR(D199)+11)=YEAR(E199),(12-MONTH(E199)+1)/12,1))))))))*TaxRate,0))-IF(11=0,O199,0))</f>
        <v/>
      </c>
      <c r="AE199" s="29">
        <f>IF(A199="","",((K199)*(IF(M199="",L199,IFERROR(IF(INDEX(Variablen!$I:$AT, MATCH(M199, Variablen!$A:$A, 0), MATCH((YEAR(D199)+12), Variablen!$I$3:$AT$3, 0))="",L199,INDEX(Variablen!$I:$AT, MATCH(M199, Variablen!$A:$A, 0), MATCH((YEAR(D199)+12), Variablen!$I$3:$AT$3, 0))),L199)))*(IF((YEAR(D199)+12)&lt;YEAR(E199),0,IF((YEAR(D199)+12)&gt;YEAR(E199),1,(12-MONTH(E199)+1)/12))) + (Q199)*(IF((YEAR(D199)+12)&lt;YEAR(E199),0,IF((YEAR(D199)+12)&gt;YEAR(E199),1,(12-MONTH(E199)+1)/12))))-((P199)*(IF((YEAR(D199)+12)&lt;YEAR(E199),0,IF((YEAR(D199)+12)&gt;YEAR(E199),1,(12-MONTH(E199)+1)/12))) + (R199)*(IF((YEAR(D199)+12)&lt;YEAR(E199),0,IF((YEAR(D199)+12)&gt;YEAR(E199),1,(12-MONTH(E199)+1)/12))))-(IF((((K199)*(IF(M199="",L199,IFERROR(IF(INDEX(Variablen!$I:$AT, MATCH(M199, Variablen!$A:$A, 0), MATCH((YEAR(D199)+12), Variablen!$I$3:$AT$3, 0))="",L199,INDEX(Variablen!$I:$AT, MATCH(M199, Variablen!$A:$A, 0), MATCH((YEAR(D199)+12), Variablen!$I$3:$AT$3, 0))),L199)))*(IF((YEAR(D199)+12)&lt;YEAR(E199),0,IF((YEAR(D199)+12)&gt;YEAR(E199),1,(12-MONTH(E199)+1)/12))) + (Q199)*(IF((YEAR(D199)+12)&lt;YEAR(E199),0,IF((YEAR(D199)+12)&gt;YEAR(E199),1,(12-MONTH(E199)+1)/12))))-((P199)*(IF((YEAR(D199)+12)&lt;YEAR(E199),0,IF((YEAR(D199)+12)&gt;YEAR(E199),1,(12-MONTH(E199)+1)/12))) + (R199)*(IF((YEAR(D199)+12)&lt;YEAR(E199),0,IF((YEAR(D199)+12)&gt;YEAR(E199),1,(12-MONTH(E199)+1)/12))))-(IF(OR(N199="",N199&lt;=0),0,(O199/N199)*(IF(OR(N199="",N199&lt;=0),0,IF((YEAR(D199)+12)&lt;YEAR(E199),0,IF((YEAR(D199)+12)&gt;=YEAR(E199)+N199,0,IF((YEAR(D199)+12)=YEAR(E199),(12-MONTH(E199)+1)/12,1))))))))&gt;0,(((K199)*(IF(M199="",L199,IFERROR(IF(INDEX(Variablen!$I:$AT, MATCH(M199, Variablen!$A:$A, 0), MATCH((YEAR(D199)+12), Variablen!$I$3:$AT$3, 0))="",L199,INDEX(Variablen!$I:$AT, MATCH(M199, Variablen!$A:$A, 0), MATCH((YEAR(D199)+12), Variablen!$I$3:$AT$3, 0))),L199)))*(IF((YEAR(D199)+12)&lt;YEAR(E199),0,IF((YEAR(D199)+12)&gt;YEAR(E199),1,(12-MONTH(E199)+1)/12))) + (Q199)*(IF((YEAR(D199)+12)&lt;YEAR(E199),0,IF((YEAR(D199)+12)&gt;YEAR(E199),1,(12-MONTH(E199)+1)/12))))-((P199)*(IF((YEAR(D199)+12)&lt;YEAR(E199),0,IF((YEAR(D199)+12)&gt;YEAR(E199),1,(12-MONTH(E199)+1)/12))) + (R199)*(IF((YEAR(D199)+12)&lt;YEAR(E199),0,IF((YEAR(D199)+12)&gt;YEAR(E199),1,(12-MONTH(E199)+1)/12))))-(IF(OR(N199="",N199&lt;=0),0,(O199/N199)*(IF(OR(N199="",N199&lt;=0),0,IF((YEAR(D199)+12)&lt;YEAR(E199),0,IF((YEAR(D199)+12)&gt;=YEAR(E199)+N199,0,IF((YEAR(D199)+12)=YEAR(E199),(12-MONTH(E199)+1)/12,1))))))))*TaxRate,0))-IF(12=0,O199,0))</f>
        <v/>
      </c>
      <c r="AF199" s="29">
        <f>IF(A199="","",((K199)*(IF(M199="",L199,IFERROR(IF(INDEX(Variablen!$I:$AT, MATCH(M199, Variablen!$A:$A, 0), MATCH((YEAR(D199)+13), Variablen!$I$3:$AT$3, 0))="",L199,INDEX(Variablen!$I:$AT, MATCH(M199, Variablen!$A:$A, 0), MATCH((YEAR(D199)+13), Variablen!$I$3:$AT$3, 0))),L199)))*(IF((YEAR(D199)+13)&lt;YEAR(E199),0,IF((YEAR(D199)+13)&gt;YEAR(E199),1,(12-MONTH(E199)+1)/12))) + (Q199)*(IF((YEAR(D199)+13)&lt;YEAR(E199),0,IF((YEAR(D199)+13)&gt;YEAR(E199),1,(12-MONTH(E199)+1)/12))))-((P199)*(IF((YEAR(D199)+13)&lt;YEAR(E199),0,IF((YEAR(D199)+13)&gt;YEAR(E199),1,(12-MONTH(E199)+1)/12))) + (R199)*(IF((YEAR(D199)+13)&lt;YEAR(E199),0,IF((YEAR(D199)+13)&gt;YEAR(E199),1,(12-MONTH(E199)+1)/12))))-(IF((((K199)*(IF(M199="",L199,IFERROR(IF(INDEX(Variablen!$I:$AT, MATCH(M199, Variablen!$A:$A, 0), MATCH((YEAR(D199)+13), Variablen!$I$3:$AT$3, 0))="",L199,INDEX(Variablen!$I:$AT, MATCH(M199, Variablen!$A:$A, 0), MATCH((YEAR(D199)+13), Variablen!$I$3:$AT$3, 0))),L199)))*(IF((YEAR(D199)+13)&lt;YEAR(E199),0,IF((YEAR(D199)+13)&gt;YEAR(E199),1,(12-MONTH(E199)+1)/12))) + (Q199)*(IF((YEAR(D199)+13)&lt;YEAR(E199),0,IF((YEAR(D199)+13)&gt;YEAR(E199),1,(12-MONTH(E199)+1)/12))))-((P199)*(IF((YEAR(D199)+13)&lt;YEAR(E199),0,IF((YEAR(D199)+13)&gt;YEAR(E199),1,(12-MONTH(E199)+1)/12))) + (R199)*(IF((YEAR(D199)+13)&lt;YEAR(E199),0,IF((YEAR(D199)+13)&gt;YEAR(E199),1,(12-MONTH(E199)+1)/12))))-(IF(OR(N199="",N199&lt;=0),0,(O199/N199)*(IF(OR(N199="",N199&lt;=0),0,IF((YEAR(D199)+13)&lt;YEAR(E199),0,IF((YEAR(D199)+13)&gt;=YEAR(E199)+N199,0,IF((YEAR(D199)+13)=YEAR(E199),(12-MONTH(E199)+1)/12,1))))))))&gt;0,(((K199)*(IF(M199="",L199,IFERROR(IF(INDEX(Variablen!$I:$AT, MATCH(M199, Variablen!$A:$A, 0), MATCH((YEAR(D199)+13), Variablen!$I$3:$AT$3, 0))="",L199,INDEX(Variablen!$I:$AT, MATCH(M199, Variablen!$A:$A, 0), MATCH((YEAR(D199)+13), Variablen!$I$3:$AT$3, 0))),L199)))*(IF((YEAR(D199)+13)&lt;YEAR(E199),0,IF((YEAR(D199)+13)&gt;YEAR(E199),1,(12-MONTH(E199)+1)/12))) + (Q199)*(IF((YEAR(D199)+13)&lt;YEAR(E199),0,IF((YEAR(D199)+13)&gt;YEAR(E199),1,(12-MONTH(E199)+1)/12))))-((P199)*(IF((YEAR(D199)+13)&lt;YEAR(E199),0,IF((YEAR(D199)+13)&gt;YEAR(E199),1,(12-MONTH(E199)+1)/12))) + (R199)*(IF((YEAR(D199)+13)&lt;YEAR(E199),0,IF((YEAR(D199)+13)&gt;YEAR(E199),1,(12-MONTH(E199)+1)/12))))-(IF(OR(N199="",N199&lt;=0),0,(O199/N199)*(IF(OR(N199="",N199&lt;=0),0,IF((YEAR(D199)+13)&lt;YEAR(E199),0,IF((YEAR(D199)+13)&gt;=YEAR(E199)+N199,0,IF((YEAR(D199)+13)=YEAR(E199),(12-MONTH(E199)+1)/12,1))))))))*TaxRate,0))-IF(13=0,O199,0))</f>
        <v/>
      </c>
      <c r="AG199" s="29">
        <f>IF(A199="","",((K199)*(IF(M199="",L199,IFERROR(IF(INDEX(Variablen!$I:$AT, MATCH(M199, Variablen!$A:$A, 0), MATCH((YEAR(D199)+14), Variablen!$I$3:$AT$3, 0))="",L199,INDEX(Variablen!$I:$AT, MATCH(M199, Variablen!$A:$A, 0), MATCH((YEAR(D199)+14), Variablen!$I$3:$AT$3, 0))),L199)))*(IF((YEAR(D199)+14)&lt;YEAR(E199),0,IF((YEAR(D199)+14)&gt;YEAR(E199),1,(12-MONTH(E199)+1)/12))) + (Q199)*(IF((YEAR(D199)+14)&lt;YEAR(E199),0,IF((YEAR(D199)+14)&gt;YEAR(E199),1,(12-MONTH(E199)+1)/12))))-((P199)*(IF((YEAR(D199)+14)&lt;YEAR(E199),0,IF((YEAR(D199)+14)&gt;YEAR(E199),1,(12-MONTH(E199)+1)/12))) + (R199)*(IF((YEAR(D199)+14)&lt;YEAR(E199),0,IF((YEAR(D199)+14)&gt;YEAR(E199),1,(12-MONTH(E199)+1)/12))))-(IF((((K199)*(IF(M199="",L199,IFERROR(IF(INDEX(Variablen!$I:$AT, MATCH(M199, Variablen!$A:$A, 0), MATCH((YEAR(D199)+14), Variablen!$I$3:$AT$3, 0))="",L199,INDEX(Variablen!$I:$AT, MATCH(M199, Variablen!$A:$A, 0), MATCH((YEAR(D199)+14), Variablen!$I$3:$AT$3, 0))),L199)))*(IF((YEAR(D199)+14)&lt;YEAR(E199),0,IF((YEAR(D199)+14)&gt;YEAR(E199),1,(12-MONTH(E199)+1)/12))) + (Q199)*(IF((YEAR(D199)+14)&lt;YEAR(E199),0,IF((YEAR(D199)+14)&gt;YEAR(E199),1,(12-MONTH(E199)+1)/12))))-((P199)*(IF((YEAR(D199)+14)&lt;YEAR(E199),0,IF((YEAR(D199)+14)&gt;YEAR(E199),1,(12-MONTH(E199)+1)/12))) + (R199)*(IF((YEAR(D199)+14)&lt;YEAR(E199),0,IF((YEAR(D199)+14)&gt;YEAR(E199),1,(12-MONTH(E199)+1)/12))))-(IF(OR(N199="",N199&lt;=0),0,(O199/N199)*(IF(OR(N199="",N199&lt;=0),0,IF((YEAR(D199)+14)&lt;YEAR(E199),0,IF((YEAR(D199)+14)&gt;=YEAR(E199)+N199,0,IF((YEAR(D199)+14)=YEAR(E199),(12-MONTH(E199)+1)/12,1))))))))&gt;0,(((K199)*(IF(M199="",L199,IFERROR(IF(INDEX(Variablen!$I:$AT, MATCH(M199, Variablen!$A:$A, 0), MATCH((YEAR(D199)+14), Variablen!$I$3:$AT$3, 0))="",L199,INDEX(Variablen!$I:$AT, MATCH(M199, Variablen!$A:$A, 0), MATCH((YEAR(D199)+14), Variablen!$I$3:$AT$3, 0))),L199)))*(IF((YEAR(D199)+14)&lt;YEAR(E199),0,IF((YEAR(D199)+14)&gt;YEAR(E199),1,(12-MONTH(E199)+1)/12))) + (Q199)*(IF((YEAR(D199)+14)&lt;YEAR(E199),0,IF((YEAR(D199)+14)&gt;YEAR(E199),1,(12-MONTH(E199)+1)/12))))-((P199)*(IF((YEAR(D199)+14)&lt;YEAR(E199),0,IF((YEAR(D199)+14)&gt;YEAR(E199),1,(12-MONTH(E199)+1)/12))) + (R199)*(IF((YEAR(D199)+14)&lt;YEAR(E199),0,IF((YEAR(D199)+14)&gt;YEAR(E199),1,(12-MONTH(E199)+1)/12))))-(IF(OR(N199="",N199&lt;=0),0,(O199/N199)*(IF(OR(N199="",N199&lt;=0),0,IF((YEAR(D199)+14)&lt;YEAR(E199),0,IF((YEAR(D199)+14)&gt;=YEAR(E199)+N199,0,IF((YEAR(D199)+14)=YEAR(E199),(12-MONTH(E199)+1)/12,1))))))))*TaxRate,0))-IF(14=0,O199,0))</f>
        <v/>
      </c>
      <c r="AH199" s="29">
        <f>IF(A199="","",((K199)*(IF(M199="",L199,IFERROR(IF(INDEX(Variablen!$I:$AT, MATCH(M199, Variablen!$A:$A, 0), MATCH((YEAR(D199)+15), Variablen!$I$3:$AT$3, 0))="",L199,INDEX(Variablen!$I:$AT, MATCH(M199, Variablen!$A:$A, 0), MATCH((YEAR(D199)+15), Variablen!$I$3:$AT$3, 0))),L199)))*(IF((YEAR(D199)+15)&lt;YEAR(E199),0,IF((YEAR(D199)+15)&gt;YEAR(E199),1,(12-MONTH(E199)+1)/12))) + (Q199)*(IF((YEAR(D199)+15)&lt;YEAR(E199),0,IF((YEAR(D199)+15)&gt;YEAR(E199),1,(12-MONTH(E199)+1)/12))))-((P199)*(IF((YEAR(D199)+15)&lt;YEAR(E199),0,IF((YEAR(D199)+15)&gt;YEAR(E199),1,(12-MONTH(E199)+1)/12))) + (R199)*(IF((YEAR(D199)+15)&lt;YEAR(E199),0,IF((YEAR(D199)+15)&gt;YEAR(E199),1,(12-MONTH(E199)+1)/12))))-(IF((((K199)*(IF(M199="",L199,IFERROR(IF(INDEX(Variablen!$I:$AT, MATCH(M199, Variablen!$A:$A, 0), MATCH((YEAR(D199)+15), Variablen!$I$3:$AT$3, 0))="",L199,INDEX(Variablen!$I:$AT, MATCH(M199, Variablen!$A:$A, 0), MATCH((YEAR(D199)+15), Variablen!$I$3:$AT$3, 0))),L199)))*(IF((YEAR(D199)+15)&lt;YEAR(E199),0,IF((YEAR(D199)+15)&gt;YEAR(E199),1,(12-MONTH(E199)+1)/12))) + (Q199)*(IF((YEAR(D199)+15)&lt;YEAR(E199),0,IF((YEAR(D199)+15)&gt;YEAR(E199),1,(12-MONTH(E199)+1)/12))))-((P199)*(IF((YEAR(D199)+15)&lt;YEAR(E199),0,IF((YEAR(D199)+15)&gt;YEAR(E199),1,(12-MONTH(E199)+1)/12))) + (R199)*(IF((YEAR(D199)+15)&lt;YEAR(E199),0,IF((YEAR(D199)+15)&gt;YEAR(E199),1,(12-MONTH(E199)+1)/12))))-(IF(OR(N199="",N199&lt;=0),0,(O199/N199)*(IF(OR(N199="",N199&lt;=0),0,IF((YEAR(D199)+15)&lt;YEAR(E199),0,IF((YEAR(D199)+15)&gt;=YEAR(E199)+N199,0,IF((YEAR(D199)+15)=YEAR(E199),(12-MONTH(E199)+1)/12,1))))))))&gt;0,(((K199)*(IF(M199="",L199,IFERROR(IF(INDEX(Variablen!$I:$AT, MATCH(M199, Variablen!$A:$A, 0), MATCH((YEAR(D199)+15), Variablen!$I$3:$AT$3, 0))="",L199,INDEX(Variablen!$I:$AT, MATCH(M199, Variablen!$A:$A, 0), MATCH((YEAR(D199)+15), Variablen!$I$3:$AT$3, 0))),L199)))*(IF((YEAR(D199)+15)&lt;YEAR(E199),0,IF((YEAR(D199)+15)&gt;YEAR(E199),1,(12-MONTH(E199)+1)/12))) + (Q199)*(IF((YEAR(D199)+15)&lt;YEAR(E199),0,IF((YEAR(D199)+15)&gt;YEAR(E199),1,(12-MONTH(E199)+1)/12))))-((P199)*(IF((YEAR(D199)+15)&lt;YEAR(E199),0,IF((YEAR(D199)+15)&gt;YEAR(E199),1,(12-MONTH(E199)+1)/12))) + (R199)*(IF((YEAR(D199)+15)&lt;YEAR(E199),0,IF((YEAR(D199)+15)&gt;YEAR(E199),1,(12-MONTH(E199)+1)/12))))-(IF(OR(N199="",N199&lt;=0),0,(O199/N199)*(IF(OR(N199="",N199&lt;=0),0,IF((YEAR(D199)+15)&lt;YEAR(E199),0,IF((YEAR(D199)+15)&gt;=YEAR(E199)+N199,0,IF((YEAR(D199)+15)=YEAR(E199),(12-MONTH(E199)+1)/12,1))))))))*TaxRate,0))-IF(15=0,O199,0))</f>
        <v/>
      </c>
      <c r="AI199" s="29">
        <f>IF(A199="","",((K199)*(IF(M199="",L199,IFERROR(IF(INDEX(Variablen!$I:$AT, MATCH(M199, Variablen!$A:$A, 0), MATCH((YEAR(D199)+16), Variablen!$I$3:$AT$3, 0))="",L199,INDEX(Variablen!$I:$AT, MATCH(M199, Variablen!$A:$A, 0), MATCH((YEAR(D199)+16), Variablen!$I$3:$AT$3, 0))),L199)))*(IF((YEAR(D199)+16)&lt;YEAR(E199),0,IF((YEAR(D199)+16)&gt;YEAR(E199),1,(12-MONTH(E199)+1)/12))) + (Q199)*(IF((YEAR(D199)+16)&lt;YEAR(E199),0,IF((YEAR(D199)+16)&gt;YEAR(E199),1,(12-MONTH(E199)+1)/12))))-((P199)*(IF((YEAR(D199)+16)&lt;YEAR(E199),0,IF((YEAR(D199)+16)&gt;YEAR(E199),1,(12-MONTH(E199)+1)/12))) + (R199)*(IF((YEAR(D199)+16)&lt;YEAR(E199),0,IF((YEAR(D199)+16)&gt;YEAR(E199),1,(12-MONTH(E199)+1)/12))))-(IF((((K199)*(IF(M199="",L199,IFERROR(IF(INDEX(Variablen!$I:$AT, MATCH(M199, Variablen!$A:$A, 0), MATCH((YEAR(D199)+16), Variablen!$I$3:$AT$3, 0))="",L199,INDEX(Variablen!$I:$AT, MATCH(M199, Variablen!$A:$A, 0), MATCH((YEAR(D199)+16), Variablen!$I$3:$AT$3, 0))),L199)))*(IF((YEAR(D199)+16)&lt;YEAR(E199),0,IF((YEAR(D199)+16)&gt;YEAR(E199),1,(12-MONTH(E199)+1)/12))) + (Q199)*(IF((YEAR(D199)+16)&lt;YEAR(E199),0,IF((YEAR(D199)+16)&gt;YEAR(E199),1,(12-MONTH(E199)+1)/12))))-((P199)*(IF((YEAR(D199)+16)&lt;YEAR(E199),0,IF((YEAR(D199)+16)&gt;YEAR(E199),1,(12-MONTH(E199)+1)/12))) + (R199)*(IF((YEAR(D199)+16)&lt;YEAR(E199),0,IF((YEAR(D199)+16)&gt;YEAR(E199),1,(12-MONTH(E199)+1)/12))))-(IF(OR(N199="",N199&lt;=0),0,(O199/N199)*(IF(OR(N199="",N199&lt;=0),0,IF((YEAR(D199)+16)&lt;YEAR(E199),0,IF((YEAR(D199)+16)&gt;=YEAR(E199)+N199,0,IF((YEAR(D199)+16)=YEAR(E199),(12-MONTH(E199)+1)/12,1))))))))&gt;0,(((K199)*(IF(M199="",L199,IFERROR(IF(INDEX(Variablen!$I:$AT, MATCH(M199, Variablen!$A:$A, 0), MATCH((YEAR(D199)+16), Variablen!$I$3:$AT$3, 0))="",L199,INDEX(Variablen!$I:$AT, MATCH(M199, Variablen!$A:$A, 0), MATCH((YEAR(D199)+16), Variablen!$I$3:$AT$3, 0))),L199)))*(IF((YEAR(D199)+16)&lt;YEAR(E199),0,IF((YEAR(D199)+16)&gt;YEAR(E199),1,(12-MONTH(E199)+1)/12))) + (Q199)*(IF((YEAR(D199)+16)&lt;YEAR(E199),0,IF((YEAR(D199)+16)&gt;YEAR(E199),1,(12-MONTH(E199)+1)/12))))-((P199)*(IF((YEAR(D199)+16)&lt;YEAR(E199),0,IF((YEAR(D199)+16)&gt;YEAR(E199),1,(12-MONTH(E199)+1)/12))) + (R199)*(IF((YEAR(D199)+16)&lt;YEAR(E199),0,IF((YEAR(D199)+16)&gt;YEAR(E199),1,(12-MONTH(E199)+1)/12))))-(IF(OR(N199="",N199&lt;=0),0,(O199/N199)*(IF(OR(N199="",N199&lt;=0),0,IF((YEAR(D199)+16)&lt;YEAR(E199),0,IF((YEAR(D199)+16)&gt;=YEAR(E199)+N199,0,IF((YEAR(D199)+16)=YEAR(E199),(12-MONTH(E199)+1)/12,1))))))))*TaxRate,0))-IF(16=0,O199,0))</f>
        <v/>
      </c>
      <c r="AJ199" s="29">
        <f>IF(A199="","",((K199)*(IF(M199="",L199,IFERROR(IF(INDEX(Variablen!$I:$AT, MATCH(M199, Variablen!$A:$A, 0), MATCH((YEAR(D199)+17), Variablen!$I$3:$AT$3, 0))="",L199,INDEX(Variablen!$I:$AT, MATCH(M199, Variablen!$A:$A, 0), MATCH((YEAR(D199)+17), Variablen!$I$3:$AT$3, 0))),L199)))*(IF((YEAR(D199)+17)&lt;YEAR(E199),0,IF((YEAR(D199)+17)&gt;YEAR(E199),1,(12-MONTH(E199)+1)/12))) + (Q199)*(IF((YEAR(D199)+17)&lt;YEAR(E199),0,IF((YEAR(D199)+17)&gt;YEAR(E199),1,(12-MONTH(E199)+1)/12))))-((P199)*(IF((YEAR(D199)+17)&lt;YEAR(E199),0,IF((YEAR(D199)+17)&gt;YEAR(E199),1,(12-MONTH(E199)+1)/12))) + (R199)*(IF((YEAR(D199)+17)&lt;YEAR(E199),0,IF((YEAR(D199)+17)&gt;YEAR(E199),1,(12-MONTH(E199)+1)/12))))-(IF((((K199)*(IF(M199="",L199,IFERROR(IF(INDEX(Variablen!$I:$AT, MATCH(M199, Variablen!$A:$A, 0), MATCH((YEAR(D199)+17), Variablen!$I$3:$AT$3, 0))="",L199,INDEX(Variablen!$I:$AT, MATCH(M199, Variablen!$A:$A, 0), MATCH((YEAR(D199)+17), Variablen!$I$3:$AT$3, 0))),L199)))*(IF((YEAR(D199)+17)&lt;YEAR(E199),0,IF((YEAR(D199)+17)&gt;YEAR(E199),1,(12-MONTH(E199)+1)/12))) + (Q199)*(IF((YEAR(D199)+17)&lt;YEAR(E199),0,IF((YEAR(D199)+17)&gt;YEAR(E199),1,(12-MONTH(E199)+1)/12))))-((P199)*(IF((YEAR(D199)+17)&lt;YEAR(E199),0,IF((YEAR(D199)+17)&gt;YEAR(E199),1,(12-MONTH(E199)+1)/12))) + (R199)*(IF((YEAR(D199)+17)&lt;YEAR(E199),0,IF((YEAR(D199)+17)&gt;YEAR(E199),1,(12-MONTH(E199)+1)/12))))-(IF(OR(N199="",N199&lt;=0),0,(O199/N199)*(IF(OR(N199="",N199&lt;=0),0,IF((YEAR(D199)+17)&lt;YEAR(E199),0,IF((YEAR(D199)+17)&gt;=YEAR(E199)+N199,0,IF((YEAR(D199)+17)=YEAR(E199),(12-MONTH(E199)+1)/12,1))))))))&gt;0,(((K199)*(IF(M199="",L199,IFERROR(IF(INDEX(Variablen!$I:$AT, MATCH(M199, Variablen!$A:$A, 0), MATCH((YEAR(D199)+17), Variablen!$I$3:$AT$3, 0))="",L199,INDEX(Variablen!$I:$AT, MATCH(M199, Variablen!$A:$A, 0), MATCH((YEAR(D199)+17), Variablen!$I$3:$AT$3, 0))),L199)))*(IF((YEAR(D199)+17)&lt;YEAR(E199),0,IF((YEAR(D199)+17)&gt;YEAR(E199),1,(12-MONTH(E199)+1)/12))) + (Q199)*(IF((YEAR(D199)+17)&lt;YEAR(E199),0,IF((YEAR(D199)+17)&gt;YEAR(E199),1,(12-MONTH(E199)+1)/12))))-((P199)*(IF((YEAR(D199)+17)&lt;YEAR(E199),0,IF((YEAR(D199)+17)&gt;YEAR(E199),1,(12-MONTH(E199)+1)/12))) + (R199)*(IF((YEAR(D199)+17)&lt;YEAR(E199),0,IF((YEAR(D199)+17)&gt;YEAR(E199),1,(12-MONTH(E199)+1)/12))))-(IF(OR(N199="",N199&lt;=0),0,(O199/N199)*(IF(OR(N199="",N199&lt;=0),0,IF((YEAR(D199)+17)&lt;YEAR(E199),0,IF((YEAR(D199)+17)&gt;=YEAR(E199)+N199,0,IF((YEAR(D199)+17)=YEAR(E199),(12-MONTH(E199)+1)/12,1))))))))*TaxRate,0))-IF(17=0,O199,0))</f>
        <v/>
      </c>
      <c r="AK199" s="29">
        <f>IF(A199="","",((K199)*(IF(M199="",L199,IFERROR(IF(INDEX(Variablen!$I:$AT, MATCH(M199, Variablen!$A:$A, 0), MATCH((YEAR(D199)+18), Variablen!$I$3:$AT$3, 0))="",L199,INDEX(Variablen!$I:$AT, MATCH(M199, Variablen!$A:$A, 0), MATCH((YEAR(D199)+18), Variablen!$I$3:$AT$3, 0))),L199)))*(IF((YEAR(D199)+18)&lt;YEAR(E199),0,IF((YEAR(D199)+18)&gt;YEAR(E199),1,(12-MONTH(E199)+1)/12))) + (Q199)*(IF((YEAR(D199)+18)&lt;YEAR(E199),0,IF((YEAR(D199)+18)&gt;YEAR(E199),1,(12-MONTH(E199)+1)/12))))-((P199)*(IF((YEAR(D199)+18)&lt;YEAR(E199),0,IF((YEAR(D199)+18)&gt;YEAR(E199),1,(12-MONTH(E199)+1)/12))) + (R199)*(IF((YEAR(D199)+18)&lt;YEAR(E199),0,IF((YEAR(D199)+18)&gt;YEAR(E199),1,(12-MONTH(E199)+1)/12))))-(IF((((K199)*(IF(M199="",L199,IFERROR(IF(INDEX(Variablen!$I:$AT, MATCH(M199, Variablen!$A:$A, 0), MATCH((YEAR(D199)+18), Variablen!$I$3:$AT$3, 0))="",L199,INDEX(Variablen!$I:$AT, MATCH(M199, Variablen!$A:$A, 0), MATCH((YEAR(D199)+18), Variablen!$I$3:$AT$3, 0))),L199)))*(IF((YEAR(D199)+18)&lt;YEAR(E199),0,IF((YEAR(D199)+18)&gt;YEAR(E199),1,(12-MONTH(E199)+1)/12))) + (Q199)*(IF((YEAR(D199)+18)&lt;YEAR(E199),0,IF((YEAR(D199)+18)&gt;YEAR(E199),1,(12-MONTH(E199)+1)/12))))-((P199)*(IF((YEAR(D199)+18)&lt;YEAR(E199),0,IF((YEAR(D199)+18)&gt;YEAR(E199),1,(12-MONTH(E199)+1)/12))) + (R199)*(IF((YEAR(D199)+18)&lt;YEAR(E199),0,IF((YEAR(D199)+18)&gt;YEAR(E199),1,(12-MONTH(E199)+1)/12))))-(IF(OR(N199="",N199&lt;=0),0,(O199/N199)*(IF(OR(N199="",N199&lt;=0),0,IF((YEAR(D199)+18)&lt;YEAR(E199),0,IF((YEAR(D199)+18)&gt;=YEAR(E199)+N199,0,IF((YEAR(D199)+18)=YEAR(E199),(12-MONTH(E199)+1)/12,1))))))))&gt;0,(((K199)*(IF(M199="",L199,IFERROR(IF(INDEX(Variablen!$I:$AT, MATCH(M199, Variablen!$A:$A, 0), MATCH((YEAR(D199)+18), Variablen!$I$3:$AT$3, 0))="",L199,INDEX(Variablen!$I:$AT, MATCH(M199, Variablen!$A:$A, 0), MATCH((YEAR(D199)+18), Variablen!$I$3:$AT$3, 0))),L199)))*(IF((YEAR(D199)+18)&lt;YEAR(E199),0,IF((YEAR(D199)+18)&gt;YEAR(E199),1,(12-MONTH(E199)+1)/12))) + (Q199)*(IF((YEAR(D199)+18)&lt;YEAR(E199),0,IF((YEAR(D199)+18)&gt;YEAR(E199),1,(12-MONTH(E199)+1)/12))))-((P199)*(IF((YEAR(D199)+18)&lt;YEAR(E199),0,IF((YEAR(D199)+18)&gt;YEAR(E199),1,(12-MONTH(E199)+1)/12))) + (R199)*(IF((YEAR(D199)+18)&lt;YEAR(E199),0,IF((YEAR(D199)+18)&gt;YEAR(E199),1,(12-MONTH(E199)+1)/12))))-(IF(OR(N199="",N199&lt;=0),0,(O199/N199)*(IF(OR(N199="",N199&lt;=0),0,IF((YEAR(D199)+18)&lt;YEAR(E199),0,IF((YEAR(D199)+18)&gt;=YEAR(E199)+N199,0,IF((YEAR(D199)+18)=YEAR(E199),(12-MONTH(E199)+1)/12,1))))))))*TaxRate,0))-IF(18=0,O199,0))</f>
        <v/>
      </c>
      <c r="AL199" s="29">
        <f>IF(A199="","",((K199)*(IF(M199="",L199,IFERROR(IF(INDEX(Variablen!$I:$AT, MATCH(M199, Variablen!$A:$A, 0), MATCH((YEAR(D199)+19), Variablen!$I$3:$AT$3, 0))="",L199,INDEX(Variablen!$I:$AT, MATCH(M199, Variablen!$A:$A, 0), MATCH((YEAR(D199)+19), Variablen!$I$3:$AT$3, 0))),L199)))*(IF((YEAR(D199)+19)&lt;YEAR(E199),0,IF((YEAR(D199)+19)&gt;YEAR(E199),1,(12-MONTH(E199)+1)/12))) + (Q199)*(IF((YEAR(D199)+19)&lt;YEAR(E199),0,IF((YEAR(D199)+19)&gt;YEAR(E199),1,(12-MONTH(E199)+1)/12))))-((P199)*(IF((YEAR(D199)+19)&lt;YEAR(E199),0,IF((YEAR(D199)+19)&gt;YEAR(E199),1,(12-MONTH(E199)+1)/12))) + (R199)*(IF((YEAR(D199)+19)&lt;YEAR(E199),0,IF((YEAR(D199)+19)&gt;YEAR(E199),1,(12-MONTH(E199)+1)/12))))-(IF((((K199)*(IF(M199="",L199,IFERROR(IF(INDEX(Variablen!$I:$AT, MATCH(M199, Variablen!$A:$A, 0), MATCH((YEAR(D199)+19), Variablen!$I$3:$AT$3, 0))="",L199,INDEX(Variablen!$I:$AT, MATCH(M199, Variablen!$A:$A, 0), MATCH((YEAR(D199)+19), Variablen!$I$3:$AT$3, 0))),L199)))*(IF((YEAR(D199)+19)&lt;YEAR(E199),0,IF((YEAR(D199)+19)&gt;YEAR(E199),1,(12-MONTH(E199)+1)/12))) + (Q199)*(IF((YEAR(D199)+19)&lt;YEAR(E199),0,IF((YEAR(D199)+19)&gt;YEAR(E199),1,(12-MONTH(E199)+1)/12))))-((P199)*(IF((YEAR(D199)+19)&lt;YEAR(E199),0,IF((YEAR(D199)+19)&gt;YEAR(E199),1,(12-MONTH(E199)+1)/12))) + (R199)*(IF((YEAR(D199)+19)&lt;YEAR(E199),0,IF((YEAR(D199)+19)&gt;YEAR(E199),1,(12-MONTH(E199)+1)/12))))-(IF(OR(N199="",N199&lt;=0),0,(O199/N199)*(IF(OR(N199="",N199&lt;=0),0,IF((YEAR(D199)+19)&lt;YEAR(E199),0,IF((YEAR(D199)+19)&gt;=YEAR(E199)+N199,0,IF((YEAR(D199)+19)=YEAR(E199),(12-MONTH(E199)+1)/12,1))))))))&gt;0,(((K199)*(IF(M199="",L199,IFERROR(IF(INDEX(Variablen!$I:$AT, MATCH(M199, Variablen!$A:$A, 0), MATCH((YEAR(D199)+19), Variablen!$I$3:$AT$3, 0))="",L199,INDEX(Variablen!$I:$AT, MATCH(M199, Variablen!$A:$A, 0), MATCH((YEAR(D199)+19), Variablen!$I$3:$AT$3, 0))),L199)))*(IF((YEAR(D199)+19)&lt;YEAR(E199),0,IF((YEAR(D199)+19)&gt;YEAR(E199),1,(12-MONTH(E199)+1)/12))) + (Q199)*(IF((YEAR(D199)+19)&lt;YEAR(E199),0,IF((YEAR(D199)+19)&gt;YEAR(E199),1,(12-MONTH(E199)+1)/12))))-((P199)*(IF((YEAR(D199)+19)&lt;YEAR(E199),0,IF((YEAR(D199)+19)&gt;YEAR(E199),1,(12-MONTH(E199)+1)/12))) + (R199)*(IF((YEAR(D199)+19)&lt;YEAR(E199),0,IF((YEAR(D199)+19)&gt;YEAR(E199),1,(12-MONTH(E199)+1)/12))))-(IF(OR(N199="",N199&lt;=0),0,(O199/N199)*(IF(OR(N199="",N199&lt;=0),0,IF((YEAR(D199)+19)&lt;YEAR(E199),0,IF((YEAR(D199)+19)&gt;=YEAR(E199)+N199,0,IF((YEAR(D199)+19)=YEAR(E199),(12-MONTH(E199)+1)/12,1))))))))*TaxRate,0))-IF(19=0,O199,0))</f>
        <v/>
      </c>
      <c r="AM199" s="29">
        <f>IF(A199="","",((K199)*(IF(M199="",L199,IFERROR(IF(INDEX(Variablen!$I:$AT, MATCH(M199, Variablen!$A:$A, 0), MATCH((YEAR(D199)+20), Variablen!$I$3:$AT$3, 0))="",L199,INDEX(Variablen!$I:$AT, MATCH(M199, Variablen!$A:$A, 0), MATCH((YEAR(D199)+20), Variablen!$I$3:$AT$3, 0))),L199)))*(IF((YEAR(D199)+20)&lt;YEAR(E199),0,IF((YEAR(D199)+20)&gt;YEAR(E199),1,(12-MONTH(E199)+1)/12))) + (Q199)*(IF((YEAR(D199)+20)&lt;YEAR(E199),0,IF((YEAR(D199)+20)&gt;YEAR(E199),1,(12-MONTH(E199)+1)/12))))-((P199)*(IF((YEAR(D199)+20)&lt;YEAR(E199),0,IF((YEAR(D199)+20)&gt;YEAR(E199),1,(12-MONTH(E199)+1)/12))) + (R199)*(IF((YEAR(D199)+20)&lt;YEAR(E199),0,IF((YEAR(D199)+20)&gt;YEAR(E199),1,(12-MONTH(E199)+1)/12))))-(IF((((K199)*(IF(M199="",L199,IFERROR(IF(INDEX(Variablen!$I:$AT, MATCH(M199, Variablen!$A:$A, 0), MATCH((YEAR(D199)+20), Variablen!$I$3:$AT$3, 0))="",L199,INDEX(Variablen!$I:$AT, MATCH(M199, Variablen!$A:$A, 0), MATCH((YEAR(D199)+20), Variablen!$I$3:$AT$3, 0))),L199)))*(IF((YEAR(D199)+20)&lt;YEAR(E199),0,IF((YEAR(D199)+20)&gt;YEAR(E199),1,(12-MONTH(E199)+1)/12))) + (Q199)*(IF((YEAR(D199)+20)&lt;YEAR(E199),0,IF((YEAR(D199)+20)&gt;YEAR(E199),1,(12-MONTH(E199)+1)/12))))-((P199)*(IF((YEAR(D199)+20)&lt;YEAR(E199),0,IF((YEAR(D199)+20)&gt;YEAR(E199),1,(12-MONTH(E199)+1)/12))) + (R199)*(IF((YEAR(D199)+20)&lt;YEAR(E199),0,IF((YEAR(D199)+20)&gt;YEAR(E199),1,(12-MONTH(E199)+1)/12))))-(IF(OR(N199="",N199&lt;=0),0,(O199/N199)*(IF(OR(N199="",N199&lt;=0),0,IF((YEAR(D199)+20)&lt;YEAR(E199),0,IF((YEAR(D199)+20)&gt;=YEAR(E199)+N199,0,IF((YEAR(D199)+20)=YEAR(E199),(12-MONTH(E199)+1)/12,1))))))))&gt;0,(((K199)*(IF(M199="",L199,IFERROR(IF(INDEX(Variablen!$I:$AT, MATCH(M199, Variablen!$A:$A, 0), MATCH((YEAR(D199)+20), Variablen!$I$3:$AT$3, 0))="",L199,INDEX(Variablen!$I:$AT, MATCH(M199, Variablen!$A:$A, 0), MATCH((YEAR(D199)+20), Variablen!$I$3:$AT$3, 0))),L199)))*(IF((YEAR(D199)+20)&lt;YEAR(E199),0,IF((YEAR(D199)+20)&gt;YEAR(E199),1,(12-MONTH(E199)+1)/12))) + (Q199)*(IF((YEAR(D199)+20)&lt;YEAR(E199),0,IF((YEAR(D199)+20)&gt;YEAR(E199),1,(12-MONTH(E199)+1)/12))))-((P199)*(IF((YEAR(D199)+20)&lt;YEAR(E199),0,IF((YEAR(D199)+20)&gt;YEAR(E199),1,(12-MONTH(E199)+1)/12))) + (R199)*(IF((YEAR(D199)+20)&lt;YEAR(E199),0,IF((YEAR(D199)+20)&gt;YEAR(E199),1,(12-MONTH(E199)+1)/12))))-(IF(OR(N199="",N199&lt;=0),0,(O199/N199)*(IF(OR(N199="",N199&lt;=0),0,IF((YEAR(D199)+20)&lt;YEAR(E199),0,IF((YEAR(D199)+20)&gt;=YEAR(E199)+N199,0,IF((YEAR(D199)+20)=YEAR(E199),(12-MONTH(E199)+1)/12,1))))))))*TaxRate,0))-IF(20=0,O199,0))</f>
        <v/>
      </c>
      <c r="AN199" s="29">
        <f>IF(A199="","",S199)</f>
        <v/>
      </c>
      <c r="AO199" s="29">
        <f>IF(A199="","",AN199+T199)</f>
        <v/>
      </c>
      <c r="AP199" s="29">
        <f>IF(A199="","",AO199+U199)</f>
        <v/>
      </c>
      <c r="AQ199" s="29">
        <f>IF(A199="","",AP199+V199)</f>
        <v/>
      </c>
      <c r="AR199" s="29">
        <f>IF(A199="","",AQ199+W199)</f>
        <v/>
      </c>
      <c r="AS199" s="29">
        <f>IF(A199="","",AR199+X199)</f>
        <v/>
      </c>
      <c r="AT199" s="29">
        <f>IF(A199="","",AS199+Y199)</f>
        <v/>
      </c>
      <c r="AU199" s="29">
        <f>IF(A199="","",AT199+Z199)</f>
        <v/>
      </c>
      <c r="AV199" s="29">
        <f>IF(A199="","",AU199+AA199)</f>
        <v/>
      </c>
      <c r="AW199" s="29">
        <f>IF(A199="","",AV199+AB199)</f>
        <v/>
      </c>
      <c r="AX199" s="29">
        <f>IF(A199="","",AW199+AC199)</f>
        <v/>
      </c>
      <c r="AY199" s="29">
        <f>IF(A199="","",AX199+AD199)</f>
        <v/>
      </c>
      <c r="AZ199" s="29">
        <f>IF(A199="","",AY199+AE199)</f>
        <v/>
      </c>
      <c r="BA199" s="29">
        <f>IF(A199="","",AZ199+AF199)</f>
        <v/>
      </c>
      <c r="BB199" s="29">
        <f>IF(A199="","",BA199+AG199)</f>
        <v/>
      </c>
      <c r="BC199" s="29">
        <f>IF(A199="","",BB199+AH199)</f>
        <v/>
      </c>
      <c r="BD199" s="29">
        <f>IF(A199="","",BC199+AI199)</f>
        <v/>
      </c>
      <c r="BE199" s="29">
        <f>IF(A199="","",BD199+AJ199)</f>
        <v/>
      </c>
      <c r="BF199" s="29">
        <f>IF(A199="","",BE199+AK199)</f>
        <v/>
      </c>
      <c r="BG199" s="29">
        <f>IF(A199="","",BF199+AL199)</f>
        <v/>
      </c>
      <c r="BH199" s="29">
        <f>IF(A199="","",BG199+AM199)</f>
        <v/>
      </c>
      <c r="BI199" s="36">
        <f>IF(A199="","",(K199)*(IF((YEAR(D199)+0)&lt;YEAR(E199),0,IF((YEAR(D199)+0)&gt;YEAR(E199),1,(12-MONTH(E199)+1)/12)))*(1/(1+DiscountRate)^0))</f>
        <v/>
      </c>
      <c r="BJ199" s="36">
        <f>IF(A199="","",(K199)*(IF((YEAR(D199)+1)&lt;YEAR(E199),0,IF((YEAR(D199)+1)&gt;YEAR(E199),1,(12-MONTH(E199)+1)/12)))*(1/(1+DiscountRate)^1))</f>
        <v/>
      </c>
      <c r="BK199" s="36">
        <f>IF(A199="","",(K199)*(IF((YEAR(D199)+2)&lt;YEAR(E199),0,IF((YEAR(D199)+2)&gt;YEAR(E199),1,(12-MONTH(E199)+1)/12)))*(1/(1+DiscountRate)^2))</f>
        <v/>
      </c>
      <c r="BL199" s="36">
        <f>IF(A199="","",(K199)*(IF((YEAR(D199)+3)&lt;YEAR(E199),0,IF((YEAR(D199)+3)&gt;YEAR(E199),1,(12-MONTH(E199)+1)/12)))*(1/(1+DiscountRate)^3))</f>
        <v/>
      </c>
      <c r="BM199" s="36">
        <f>IF(A199="","",(K199)*(IF((YEAR(D199)+4)&lt;YEAR(E199),0,IF((YEAR(D199)+4)&gt;YEAR(E199),1,(12-MONTH(E199)+1)/12)))*(1/(1+DiscountRate)^4))</f>
        <v/>
      </c>
      <c r="BN199" s="36">
        <f>IF(A199="","",(K199)*(IF((YEAR(D199)+5)&lt;YEAR(E199),0,IF((YEAR(D199)+5)&gt;YEAR(E199),1,(12-MONTH(E199)+1)/12)))*(1/(1+DiscountRate)^5))</f>
        <v/>
      </c>
      <c r="BO199" s="36">
        <f>IF(A199="","",(K199)*(IF((YEAR(D199)+6)&lt;YEAR(E199),0,IF((YEAR(D199)+6)&gt;YEAR(E199),1,(12-MONTH(E199)+1)/12)))*(1/(1+DiscountRate)^6))</f>
        <v/>
      </c>
      <c r="BP199" s="36">
        <f>IF(A199="","",(K199)*(IF((YEAR(D199)+7)&lt;YEAR(E199),0,IF((YEAR(D199)+7)&gt;YEAR(E199),1,(12-MONTH(E199)+1)/12)))*(1/(1+DiscountRate)^7))</f>
        <v/>
      </c>
      <c r="BQ199" s="36">
        <f>IF(A199="","",(K199)*(IF((YEAR(D199)+8)&lt;YEAR(E199),0,IF((YEAR(D199)+8)&gt;YEAR(E199),1,(12-MONTH(E199)+1)/12)))*(1/(1+DiscountRate)^8))</f>
        <v/>
      </c>
      <c r="BR199" s="36">
        <f>IF(A199="","",(K199)*(IF((YEAR(D199)+9)&lt;YEAR(E199),0,IF((YEAR(D199)+9)&gt;YEAR(E199),1,(12-MONTH(E199)+1)/12)))*(1/(1+DiscountRate)^9))</f>
        <v/>
      </c>
      <c r="BS199" s="36">
        <f>IF(A199="","",(K199)*(IF((YEAR(D199)+10)&lt;YEAR(E199),0,IF((YEAR(D199)+10)&gt;YEAR(E199),1,(12-MONTH(E199)+1)/12)))*(1/(1+DiscountRate)^10))</f>
        <v/>
      </c>
      <c r="BT199" s="36">
        <f>IF(A199="","",(K199)*(IF((YEAR(D199)+11)&lt;YEAR(E199),0,IF((YEAR(D199)+11)&gt;YEAR(E199),1,(12-MONTH(E199)+1)/12)))*(1/(1+DiscountRate)^11))</f>
        <v/>
      </c>
      <c r="BU199" s="36">
        <f>IF(A199="","",(K199)*(IF((YEAR(D199)+12)&lt;YEAR(E199),0,IF((YEAR(D199)+12)&gt;YEAR(E199),1,(12-MONTH(E199)+1)/12)))*(1/(1+DiscountRate)^12))</f>
        <v/>
      </c>
      <c r="BV199" s="36">
        <f>IF(A199="","",(K199)*(IF((YEAR(D199)+13)&lt;YEAR(E199),0,IF((YEAR(D199)+13)&gt;YEAR(E199),1,(12-MONTH(E199)+1)/12)))*(1/(1+DiscountRate)^13))</f>
        <v/>
      </c>
      <c r="BW199" s="36">
        <f>IF(A199="","",(K199)*(IF((YEAR(D199)+14)&lt;YEAR(E199),0,IF((YEAR(D199)+14)&gt;YEAR(E199),1,(12-MONTH(E199)+1)/12)))*(1/(1+DiscountRate)^14))</f>
        <v/>
      </c>
      <c r="BX199" s="36">
        <f>IF(A199="","",(K199)*(IF((YEAR(D199)+15)&lt;YEAR(E199),0,IF((YEAR(D199)+15)&gt;YEAR(E199),1,(12-MONTH(E199)+1)/12)))*(1/(1+DiscountRate)^15))</f>
        <v/>
      </c>
      <c r="BY199" s="36">
        <f>IF(A199="","",(K199)*(IF((YEAR(D199)+16)&lt;YEAR(E199),0,IF((YEAR(D199)+16)&gt;YEAR(E199),1,(12-MONTH(E199)+1)/12)))*(1/(1+DiscountRate)^16))</f>
        <v/>
      </c>
      <c r="BZ199" s="36">
        <f>IF(A199="","",(K199)*(IF((YEAR(D199)+17)&lt;YEAR(E199),0,IF((YEAR(D199)+17)&gt;YEAR(E199),1,(12-MONTH(E199)+1)/12)))*(1/(1+DiscountRate)^17))</f>
        <v/>
      </c>
      <c r="CA199" s="36">
        <f>IF(A199="","",(K199)*(IF((YEAR(D199)+18)&lt;YEAR(E199),0,IF((YEAR(D199)+18)&gt;YEAR(E199),1,(12-MONTH(E199)+1)/12)))*(1/(1+DiscountRate)^18))</f>
        <v/>
      </c>
      <c r="CB199" s="36">
        <f>IF(A199="","",(K199)*(IF((YEAR(D199)+19)&lt;YEAR(E199),0,IF((YEAR(D199)+19)&gt;YEAR(E199),1,(12-MONTH(E199)+1)/12)))*(1/(1+DiscountRate)^19))</f>
        <v/>
      </c>
      <c r="CC199" s="36">
        <f>IF(A199="","",(K199)*(IF((YEAR(D199)+20)&lt;YEAR(E199),0,IF((YEAR(D199)+20)&gt;YEAR(E199),1,(12-MONTH(E199)+1)/12)))*(1/(1+DiscountRate)^20))</f>
        <v/>
      </c>
      <c r="CD199" s="29">
        <f>IF(A199="","",S199/(1+DiscountRate)^0+T199/(1+DiscountRate)^1+U199/(1+DiscountRate)^2+V199/(1+DiscountRate)^3+W199/(1+DiscountRate)^4+X199/(1+DiscountRate)^5+Y199/(1+DiscountRate)^6+Z199/(1+DiscountRate)^7+AA199/(1+DiscountRate)^8+AB199/(1+DiscountRate)^9+AC199/(1+DiscountRate)^10+AD199/(1+DiscountRate)^11+AE199/(1+DiscountRate)^12+AF199/(1+DiscountRate)^13+AG199/(1+DiscountRate)^14+AH199/(1+DiscountRate)^15+AI199/(1+DiscountRate)^16+AJ199/(1+DiscountRate)^17+AK199/(1+DiscountRate)^18+AL199/(1+DiscountRate)^19+AM199/(1+DiscountRate)^20)</f>
        <v/>
      </c>
      <c r="CE199" s="37">
        <f>IF(A199="","",IFERROR(IRR(OFFSET(S199,0,0,1,MIN(HorizonYears,20)+1)),"n/a"))</f>
        <v/>
      </c>
      <c r="CF199" s="28">
        <f>IF(A199="","",IFERROR(MATCH(TRUE,OFFSET(AN199,0,0,1,MIN(HorizonYears,20)+1)&gt;=0,0)-1,"n/a"))</f>
        <v/>
      </c>
      <c r="CG199" s="36">
        <f>IF(A199="","",SUM(OFFSET(BI199,0,0,1,MIN(HorizonYears,20)+1)))</f>
        <v/>
      </c>
      <c r="CH199" s="36">
        <f>IF(A199="","",IFERROR(-CD199/CG199,"n/a"))</f>
        <v/>
      </c>
    </row>
    <row r="200">
      <c r="A200" s="6">
        <f>Actions!A198</f>
        <v/>
      </c>
      <c r="B200" s="6">
        <f>Actions!B198</f>
        <v/>
      </c>
      <c r="C200" s="6">
        <f>Actions!D198</f>
        <v/>
      </c>
      <c r="D200" s="35">
        <f>Actions!E198</f>
        <v/>
      </c>
      <c r="E200" s="35">
        <f>Actions!F198</f>
        <v/>
      </c>
      <c r="F200" s="6">
        <f>Actions!G198</f>
        <v/>
      </c>
      <c r="G200" s="6">
        <f>Actions!H198</f>
        <v/>
      </c>
      <c r="H200" s="29">
        <f>Actions!I198</f>
        <v/>
      </c>
      <c r="I200" s="6">
        <f>Actions!J198</f>
        <v/>
      </c>
      <c r="J200" s="16">
        <f>Actions!K198</f>
        <v/>
      </c>
      <c r="K200" s="16">
        <f>IF(A200="","",IF(I200="%",H200*J200,J200))</f>
        <v/>
      </c>
      <c r="L200" s="16">
        <f>Actions!L198</f>
        <v/>
      </c>
      <c r="M200" s="6">
        <f>Actions!M198</f>
        <v/>
      </c>
      <c r="N200" s="28">
        <f>Actions!N198</f>
        <v/>
      </c>
      <c r="O200" s="29">
        <f>Actions!T198</f>
        <v/>
      </c>
      <c r="P200" s="29">
        <f>Actions!Y198</f>
        <v/>
      </c>
      <c r="Q200" s="29">
        <f>Actions!Z198</f>
        <v/>
      </c>
      <c r="R200" s="29">
        <f>Actions!AA198</f>
        <v/>
      </c>
      <c r="S200" s="29">
        <f>IF(A200="","",((K200)*(IF(M200="",L200,IFERROR(IF(INDEX(Variablen!$I:$AT, MATCH(M200, Variablen!$A:$A, 0), MATCH((YEAR(D200)+0), Variablen!$I$3:$AT$3, 0))="",L200,INDEX(Variablen!$I:$AT, MATCH(M200, Variablen!$A:$A, 0), MATCH((YEAR(D200)+0), Variablen!$I$3:$AT$3, 0))),L200)))*(IF((YEAR(D200)+0)&lt;YEAR(E200),0,IF((YEAR(D200)+0)&gt;YEAR(E200),1,(12-MONTH(E200)+1)/12))) + (Q200)*(IF((YEAR(D200)+0)&lt;YEAR(E200),0,IF((YEAR(D200)+0)&gt;YEAR(E200),1,(12-MONTH(E200)+1)/12))))-((P200)*(IF((YEAR(D200)+0)&lt;YEAR(E200),0,IF((YEAR(D200)+0)&gt;YEAR(E200),1,(12-MONTH(E200)+1)/12))) + (R200)*(IF((YEAR(D200)+0)&lt;YEAR(E200),0,IF((YEAR(D200)+0)&gt;YEAR(E200),1,(12-MONTH(E200)+1)/12))))-(IF((((K200)*(IF(M200="",L200,IFERROR(IF(INDEX(Variablen!$I:$AT, MATCH(M200, Variablen!$A:$A, 0), MATCH((YEAR(D200)+0), Variablen!$I$3:$AT$3, 0))="",L200,INDEX(Variablen!$I:$AT, MATCH(M200, Variablen!$A:$A, 0), MATCH((YEAR(D200)+0), Variablen!$I$3:$AT$3, 0))),L200)))*(IF((YEAR(D200)+0)&lt;YEAR(E200),0,IF((YEAR(D200)+0)&gt;YEAR(E200),1,(12-MONTH(E200)+1)/12))) + (Q200)*(IF((YEAR(D200)+0)&lt;YEAR(E200),0,IF((YEAR(D200)+0)&gt;YEAR(E200),1,(12-MONTH(E200)+1)/12))))-((P200)*(IF((YEAR(D200)+0)&lt;YEAR(E200),0,IF((YEAR(D200)+0)&gt;YEAR(E200),1,(12-MONTH(E200)+1)/12))) + (R200)*(IF((YEAR(D200)+0)&lt;YEAR(E200),0,IF((YEAR(D200)+0)&gt;YEAR(E200),1,(12-MONTH(E200)+1)/12))))-(IF(OR(N200="",N200&lt;=0),0,(O200/N200)*(IF(OR(N200="",N200&lt;=0),0,IF((YEAR(D200)+0)&lt;YEAR(E200),0,IF((YEAR(D200)+0)&gt;=YEAR(E200)+N200,0,IF((YEAR(D200)+0)=YEAR(E200),(12-MONTH(E200)+1)/12,1))))))))&gt;0,(((K200)*(IF(M200="",L200,IFERROR(IF(INDEX(Variablen!$I:$AT, MATCH(M200, Variablen!$A:$A, 0), MATCH((YEAR(D200)+0), Variablen!$I$3:$AT$3, 0))="",L200,INDEX(Variablen!$I:$AT, MATCH(M200, Variablen!$A:$A, 0), MATCH((YEAR(D200)+0), Variablen!$I$3:$AT$3, 0))),L200)))*(IF((YEAR(D200)+0)&lt;YEAR(E200),0,IF((YEAR(D200)+0)&gt;YEAR(E200),1,(12-MONTH(E200)+1)/12))) + (Q200)*(IF((YEAR(D200)+0)&lt;YEAR(E200),0,IF((YEAR(D200)+0)&gt;YEAR(E200),1,(12-MONTH(E200)+1)/12))))-((P200)*(IF((YEAR(D200)+0)&lt;YEAR(E200),0,IF((YEAR(D200)+0)&gt;YEAR(E200),1,(12-MONTH(E200)+1)/12))) + (R200)*(IF((YEAR(D200)+0)&lt;YEAR(E200),0,IF((YEAR(D200)+0)&gt;YEAR(E200),1,(12-MONTH(E200)+1)/12))))-(IF(OR(N200="",N200&lt;=0),0,(O200/N200)*(IF(OR(N200="",N200&lt;=0),0,IF((YEAR(D200)+0)&lt;YEAR(E200),0,IF((YEAR(D200)+0)&gt;=YEAR(E200)+N200,0,IF((YEAR(D200)+0)=YEAR(E200),(12-MONTH(E200)+1)/12,1))))))))*TaxRate,0))-IF(0=0,O200,0))</f>
        <v/>
      </c>
      <c r="T200" s="29">
        <f>IF(A200="","",((K200)*(IF(M200="",L200,IFERROR(IF(INDEX(Variablen!$I:$AT, MATCH(M200, Variablen!$A:$A, 0), MATCH((YEAR(D200)+1), Variablen!$I$3:$AT$3, 0))="",L200,INDEX(Variablen!$I:$AT, MATCH(M200, Variablen!$A:$A, 0), MATCH((YEAR(D200)+1), Variablen!$I$3:$AT$3, 0))),L200)))*(IF((YEAR(D200)+1)&lt;YEAR(E200),0,IF((YEAR(D200)+1)&gt;YEAR(E200),1,(12-MONTH(E200)+1)/12))) + (Q200)*(IF((YEAR(D200)+1)&lt;YEAR(E200),0,IF((YEAR(D200)+1)&gt;YEAR(E200),1,(12-MONTH(E200)+1)/12))))-((P200)*(IF((YEAR(D200)+1)&lt;YEAR(E200),0,IF((YEAR(D200)+1)&gt;YEAR(E200),1,(12-MONTH(E200)+1)/12))) + (R200)*(IF((YEAR(D200)+1)&lt;YEAR(E200),0,IF((YEAR(D200)+1)&gt;YEAR(E200),1,(12-MONTH(E200)+1)/12))))-(IF((((K200)*(IF(M200="",L200,IFERROR(IF(INDEX(Variablen!$I:$AT, MATCH(M200, Variablen!$A:$A, 0), MATCH((YEAR(D200)+1), Variablen!$I$3:$AT$3, 0))="",L200,INDEX(Variablen!$I:$AT, MATCH(M200, Variablen!$A:$A, 0), MATCH((YEAR(D200)+1), Variablen!$I$3:$AT$3, 0))),L200)))*(IF((YEAR(D200)+1)&lt;YEAR(E200),0,IF((YEAR(D200)+1)&gt;YEAR(E200),1,(12-MONTH(E200)+1)/12))) + (Q200)*(IF((YEAR(D200)+1)&lt;YEAR(E200),0,IF((YEAR(D200)+1)&gt;YEAR(E200),1,(12-MONTH(E200)+1)/12))))-((P200)*(IF((YEAR(D200)+1)&lt;YEAR(E200),0,IF((YEAR(D200)+1)&gt;YEAR(E200),1,(12-MONTH(E200)+1)/12))) + (R200)*(IF((YEAR(D200)+1)&lt;YEAR(E200),0,IF((YEAR(D200)+1)&gt;YEAR(E200),1,(12-MONTH(E200)+1)/12))))-(IF(OR(N200="",N200&lt;=0),0,(O200/N200)*(IF(OR(N200="",N200&lt;=0),0,IF((YEAR(D200)+1)&lt;YEAR(E200),0,IF((YEAR(D200)+1)&gt;=YEAR(E200)+N200,0,IF((YEAR(D200)+1)=YEAR(E200),(12-MONTH(E200)+1)/12,1))))))))&gt;0,(((K200)*(IF(M200="",L200,IFERROR(IF(INDEX(Variablen!$I:$AT, MATCH(M200, Variablen!$A:$A, 0), MATCH((YEAR(D200)+1), Variablen!$I$3:$AT$3, 0))="",L200,INDEX(Variablen!$I:$AT, MATCH(M200, Variablen!$A:$A, 0), MATCH((YEAR(D200)+1), Variablen!$I$3:$AT$3, 0))),L200)))*(IF((YEAR(D200)+1)&lt;YEAR(E200),0,IF((YEAR(D200)+1)&gt;YEAR(E200),1,(12-MONTH(E200)+1)/12))) + (Q200)*(IF((YEAR(D200)+1)&lt;YEAR(E200),0,IF((YEAR(D200)+1)&gt;YEAR(E200),1,(12-MONTH(E200)+1)/12))))-((P200)*(IF((YEAR(D200)+1)&lt;YEAR(E200),0,IF((YEAR(D200)+1)&gt;YEAR(E200),1,(12-MONTH(E200)+1)/12))) + (R200)*(IF((YEAR(D200)+1)&lt;YEAR(E200),0,IF((YEAR(D200)+1)&gt;YEAR(E200),1,(12-MONTH(E200)+1)/12))))-(IF(OR(N200="",N200&lt;=0),0,(O200/N200)*(IF(OR(N200="",N200&lt;=0),0,IF((YEAR(D200)+1)&lt;YEAR(E200),0,IF((YEAR(D200)+1)&gt;=YEAR(E200)+N200,0,IF((YEAR(D200)+1)=YEAR(E200),(12-MONTH(E200)+1)/12,1))))))))*TaxRate,0))-IF(1=0,O200,0))</f>
        <v/>
      </c>
      <c r="U200" s="29">
        <f>IF(A200="","",((K200)*(IF(M200="",L200,IFERROR(IF(INDEX(Variablen!$I:$AT, MATCH(M200, Variablen!$A:$A, 0), MATCH((YEAR(D200)+2), Variablen!$I$3:$AT$3, 0))="",L200,INDEX(Variablen!$I:$AT, MATCH(M200, Variablen!$A:$A, 0), MATCH((YEAR(D200)+2), Variablen!$I$3:$AT$3, 0))),L200)))*(IF((YEAR(D200)+2)&lt;YEAR(E200),0,IF((YEAR(D200)+2)&gt;YEAR(E200),1,(12-MONTH(E200)+1)/12))) + (Q200)*(IF((YEAR(D200)+2)&lt;YEAR(E200),0,IF((YEAR(D200)+2)&gt;YEAR(E200),1,(12-MONTH(E200)+1)/12))))-((P200)*(IF((YEAR(D200)+2)&lt;YEAR(E200),0,IF((YEAR(D200)+2)&gt;YEAR(E200),1,(12-MONTH(E200)+1)/12))) + (R200)*(IF((YEAR(D200)+2)&lt;YEAR(E200),0,IF((YEAR(D200)+2)&gt;YEAR(E200),1,(12-MONTH(E200)+1)/12))))-(IF((((K200)*(IF(M200="",L200,IFERROR(IF(INDEX(Variablen!$I:$AT, MATCH(M200, Variablen!$A:$A, 0), MATCH((YEAR(D200)+2), Variablen!$I$3:$AT$3, 0))="",L200,INDEX(Variablen!$I:$AT, MATCH(M200, Variablen!$A:$A, 0), MATCH((YEAR(D200)+2), Variablen!$I$3:$AT$3, 0))),L200)))*(IF((YEAR(D200)+2)&lt;YEAR(E200),0,IF((YEAR(D200)+2)&gt;YEAR(E200),1,(12-MONTH(E200)+1)/12))) + (Q200)*(IF((YEAR(D200)+2)&lt;YEAR(E200),0,IF((YEAR(D200)+2)&gt;YEAR(E200),1,(12-MONTH(E200)+1)/12))))-((P200)*(IF((YEAR(D200)+2)&lt;YEAR(E200),0,IF((YEAR(D200)+2)&gt;YEAR(E200),1,(12-MONTH(E200)+1)/12))) + (R200)*(IF((YEAR(D200)+2)&lt;YEAR(E200),0,IF((YEAR(D200)+2)&gt;YEAR(E200),1,(12-MONTH(E200)+1)/12))))-(IF(OR(N200="",N200&lt;=0),0,(O200/N200)*(IF(OR(N200="",N200&lt;=0),0,IF((YEAR(D200)+2)&lt;YEAR(E200),0,IF((YEAR(D200)+2)&gt;=YEAR(E200)+N200,0,IF((YEAR(D200)+2)=YEAR(E200),(12-MONTH(E200)+1)/12,1))))))))&gt;0,(((K200)*(IF(M200="",L200,IFERROR(IF(INDEX(Variablen!$I:$AT, MATCH(M200, Variablen!$A:$A, 0), MATCH((YEAR(D200)+2), Variablen!$I$3:$AT$3, 0))="",L200,INDEX(Variablen!$I:$AT, MATCH(M200, Variablen!$A:$A, 0), MATCH((YEAR(D200)+2), Variablen!$I$3:$AT$3, 0))),L200)))*(IF((YEAR(D200)+2)&lt;YEAR(E200),0,IF((YEAR(D200)+2)&gt;YEAR(E200),1,(12-MONTH(E200)+1)/12))) + (Q200)*(IF((YEAR(D200)+2)&lt;YEAR(E200),0,IF((YEAR(D200)+2)&gt;YEAR(E200),1,(12-MONTH(E200)+1)/12))))-((P200)*(IF((YEAR(D200)+2)&lt;YEAR(E200),0,IF((YEAR(D200)+2)&gt;YEAR(E200),1,(12-MONTH(E200)+1)/12))) + (R200)*(IF((YEAR(D200)+2)&lt;YEAR(E200),0,IF((YEAR(D200)+2)&gt;YEAR(E200),1,(12-MONTH(E200)+1)/12))))-(IF(OR(N200="",N200&lt;=0),0,(O200/N200)*(IF(OR(N200="",N200&lt;=0),0,IF((YEAR(D200)+2)&lt;YEAR(E200),0,IF((YEAR(D200)+2)&gt;=YEAR(E200)+N200,0,IF((YEAR(D200)+2)=YEAR(E200),(12-MONTH(E200)+1)/12,1))))))))*TaxRate,0))-IF(2=0,O200,0))</f>
        <v/>
      </c>
      <c r="V200" s="29">
        <f>IF(A200="","",((K200)*(IF(M200="",L200,IFERROR(IF(INDEX(Variablen!$I:$AT, MATCH(M200, Variablen!$A:$A, 0), MATCH((YEAR(D200)+3), Variablen!$I$3:$AT$3, 0))="",L200,INDEX(Variablen!$I:$AT, MATCH(M200, Variablen!$A:$A, 0), MATCH((YEAR(D200)+3), Variablen!$I$3:$AT$3, 0))),L200)))*(IF((YEAR(D200)+3)&lt;YEAR(E200),0,IF((YEAR(D200)+3)&gt;YEAR(E200),1,(12-MONTH(E200)+1)/12))) + (Q200)*(IF((YEAR(D200)+3)&lt;YEAR(E200),0,IF((YEAR(D200)+3)&gt;YEAR(E200),1,(12-MONTH(E200)+1)/12))))-((P200)*(IF((YEAR(D200)+3)&lt;YEAR(E200),0,IF((YEAR(D200)+3)&gt;YEAR(E200),1,(12-MONTH(E200)+1)/12))) + (R200)*(IF((YEAR(D200)+3)&lt;YEAR(E200),0,IF((YEAR(D200)+3)&gt;YEAR(E200),1,(12-MONTH(E200)+1)/12))))-(IF((((K200)*(IF(M200="",L200,IFERROR(IF(INDEX(Variablen!$I:$AT, MATCH(M200, Variablen!$A:$A, 0), MATCH((YEAR(D200)+3), Variablen!$I$3:$AT$3, 0))="",L200,INDEX(Variablen!$I:$AT, MATCH(M200, Variablen!$A:$A, 0), MATCH((YEAR(D200)+3), Variablen!$I$3:$AT$3, 0))),L200)))*(IF((YEAR(D200)+3)&lt;YEAR(E200),0,IF((YEAR(D200)+3)&gt;YEAR(E200),1,(12-MONTH(E200)+1)/12))) + (Q200)*(IF((YEAR(D200)+3)&lt;YEAR(E200),0,IF((YEAR(D200)+3)&gt;YEAR(E200),1,(12-MONTH(E200)+1)/12))))-((P200)*(IF((YEAR(D200)+3)&lt;YEAR(E200),0,IF((YEAR(D200)+3)&gt;YEAR(E200),1,(12-MONTH(E200)+1)/12))) + (R200)*(IF((YEAR(D200)+3)&lt;YEAR(E200),0,IF((YEAR(D200)+3)&gt;YEAR(E200),1,(12-MONTH(E200)+1)/12))))-(IF(OR(N200="",N200&lt;=0),0,(O200/N200)*(IF(OR(N200="",N200&lt;=0),0,IF((YEAR(D200)+3)&lt;YEAR(E200),0,IF((YEAR(D200)+3)&gt;=YEAR(E200)+N200,0,IF((YEAR(D200)+3)=YEAR(E200),(12-MONTH(E200)+1)/12,1))))))))&gt;0,(((K200)*(IF(M200="",L200,IFERROR(IF(INDEX(Variablen!$I:$AT, MATCH(M200, Variablen!$A:$A, 0), MATCH((YEAR(D200)+3), Variablen!$I$3:$AT$3, 0))="",L200,INDEX(Variablen!$I:$AT, MATCH(M200, Variablen!$A:$A, 0), MATCH((YEAR(D200)+3), Variablen!$I$3:$AT$3, 0))),L200)))*(IF((YEAR(D200)+3)&lt;YEAR(E200),0,IF((YEAR(D200)+3)&gt;YEAR(E200),1,(12-MONTH(E200)+1)/12))) + (Q200)*(IF((YEAR(D200)+3)&lt;YEAR(E200),0,IF((YEAR(D200)+3)&gt;YEAR(E200),1,(12-MONTH(E200)+1)/12))))-((P200)*(IF((YEAR(D200)+3)&lt;YEAR(E200),0,IF((YEAR(D200)+3)&gt;YEAR(E200),1,(12-MONTH(E200)+1)/12))) + (R200)*(IF((YEAR(D200)+3)&lt;YEAR(E200),0,IF((YEAR(D200)+3)&gt;YEAR(E200),1,(12-MONTH(E200)+1)/12))))-(IF(OR(N200="",N200&lt;=0),0,(O200/N200)*(IF(OR(N200="",N200&lt;=0),0,IF((YEAR(D200)+3)&lt;YEAR(E200),0,IF((YEAR(D200)+3)&gt;=YEAR(E200)+N200,0,IF((YEAR(D200)+3)=YEAR(E200),(12-MONTH(E200)+1)/12,1))))))))*TaxRate,0))-IF(3=0,O200,0))</f>
        <v/>
      </c>
      <c r="W200" s="29">
        <f>IF(A200="","",((K200)*(IF(M200="",L200,IFERROR(IF(INDEX(Variablen!$I:$AT, MATCH(M200, Variablen!$A:$A, 0), MATCH((YEAR(D200)+4), Variablen!$I$3:$AT$3, 0))="",L200,INDEX(Variablen!$I:$AT, MATCH(M200, Variablen!$A:$A, 0), MATCH((YEAR(D200)+4), Variablen!$I$3:$AT$3, 0))),L200)))*(IF((YEAR(D200)+4)&lt;YEAR(E200),0,IF((YEAR(D200)+4)&gt;YEAR(E200),1,(12-MONTH(E200)+1)/12))) + (Q200)*(IF((YEAR(D200)+4)&lt;YEAR(E200),0,IF((YEAR(D200)+4)&gt;YEAR(E200),1,(12-MONTH(E200)+1)/12))))-((P200)*(IF((YEAR(D200)+4)&lt;YEAR(E200),0,IF((YEAR(D200)+4)&gt;YEAR(E200),1,(12-MONTH(E200)+1)/12))) + (R200)*(IF((YEAR(D200)+4)&lt;YEAR(E200),0,IF((YEAR(D200)+4)&gt;YEAR(E200),1,(12-MONTH(E200)+1)/12))))-(IF((((K200)*(IF(M200="",L200,IFERROR(IF(INDEX(Variablen!$I:$AT, MATCH(M200, Variablen!$A:$A, 0), MATCH((YEAR(D200)+4), Variablen!$I$3:$AT$3, 0))="",L200,INDEX(Variablen!$I:$AT, MATCH(M200, Variablen!$A:$A, 0), MATCH((YEAR(D200)+4), Variablen!$I$3:$AT$3, 0))),L200)))*(IF((YEAR(D200)+4)&lt;YEAR(E200),0,IF((YEAR(D200)+4)&gt;YEAR(E200),1,(12-MONTH(E200)+1)/12))) + (Q200)*(IF((YEAR(D200)+4)&lt;YEAR(E200),0,IF((YEAR(D200)+4)&gt;YEAR(E200),1,(12-MONTH(E200)+1)/12))))-((P200)*(IF((YEAR(D200)+4)&lt;YEAR(E200),0,IF((YEAR(D200)+4)&gt;YEAR(E200),1,(12-MONTH(E200)+1)/12))) + (R200)*(IF((YEAR(D200)+4)&lt;YEAR(E200),0,IF((YEAR(D200)+4)&gt;YEAR(E200),1,(12-MONTH(E200)+1)/12))))-(IF(OR(N200="",N200&lt;=0),0,(O200/N200)*(IF(OR(N200="",N200&lt;=0),0,IF((YEAR(D200)+4)&lt;YEAR(E200),0,IF((YEAR(D200)+4)&gt;=YEAR(E200)+N200,0,IF((YEAR(D200)+4)=YEAR(E200),(12-MONTH(E200)+1)/12,1))))))))&gt;0,(((K200)*(IF(M200="",L200,IFERROR(IF(INDEX(Variablen!$I:$AT, MATCH(M200, Variablen!$A:$A, 0), MATCH((YEAR(D200)+4), Variablen!$I$3:$AT$3, 0))="",L200,INDEX(Variablen!$I:$AT, MATCH(M200, Variablen!$A:$A, 0), MATCH((YEAR(D200)+4), Variablen!$I$3:$AT$3, 0))),L200)))*(IF((YEAR(D200)+4)&lt;YEAR(E200),0,IF((YEAR(D200)+4)&gt;YEAR(E200),1,(12-MONTH(E200)+1)/12))) + (Q200)*(IF((YEAR(D200)+4)&lt;YEAR(E200),0,IF((YEAR(D200)+4)&gt;YEAR(E200),1,(12-MONTH(E200)+1)/12))))-((P200)*(IF((YEAR(D200)+4)&lt;YEAR(E200),0,IF((YEAR(D200)+4)&gt;YEAR(E200),1,(12-MONTH(E200)+1)/12))) + (R200)*(IF((YEAR(D200)+4)&lt;YEAR(E200),0,IF((YEAR(D200)+4)&gt;YEAR(E200),1,(12-MONTH(E200)+1)/12))))-(IF(OR(N200="",N200&lt;=0),0,(O200/N200)*(IF(OR(N200="",N200&lt;=0),0,IF((YEAR(D200)+4)&lt;YEAR(E200),0,IF((YEAR(D200)+4)&gt;=YEAR(E200)+N200,0,IF((YEAR(D200)+4)=YEAR(E200),(12-MONTH(E200)+1)/12,1))))))))*TaxRate,0))-IF(4=0,O200,0))</f>
        <v/>
      </c>
      <c r="X200" s="29">
        <f>IF(A200="","",((K200)*(IF(M200="",L200,IFERROR(IF(INDEX(Variablen!$I:$AT, MATCH(M200, Variablen!$A:$A, 0), MATCH((YEAR(D200)+5), Variablen!$I$3:$AT$3, 0))="",L200,INDEX(Variablen!$I:$AT, MATCH(M200, Variablen!$A:$A, 0), MATCH((YEAR(D200)+5), Variablen!$I$3:$AT$3, 0))),L200)))*(IF((YEAR(D200)+5)&lt;YEAR(E200),0,IF((YEAR(D200)+5)&gt;YEAR(E200),1,(12-MONTH(E200)+1)/12))) + (Q200)*(IF((YEAR(D200)+5)&lt;YEAR(E200),0,IF((YEAR(D200)+5)&gt;YEAR(E200),1,(12-MONTH(E200)+1)/12))))-((P200)*(IF((YEAR(D200)+5)&lt;YEAR(E200),0,IF((YEAR(D200)+5)&gt;YEAR(E200),1,(12-MONTH(E200)+1)/12))) + (R200)*(IF((YEAR(D200)+5)&lt;YEAR(E200),0,IF((YEAR(D200)+5)&gt;YEAR(E200),1,(12-MONTH(E200)+1)/12))))-(IF((((K200)*(IF(M200="",L200,IFERROR(IF(INDEX(Variablen!$I:$AT, MATCH(M200, Variablen!$A:$A, 0), MATCH((YEAR(D200)+5), Variablen!$I$3:$AT$3, 0))="",L200,INDEX(Variablen!$I:$AT, MATCH(M200, Variablen!$A:$A, 0), MATCH((YEAR(D200)+5), Variablen!$I$3:$AT$3, 0))),L200)))*(IF((YEAR(D200)+5)&lt;YEAR(E200),0,IF((YEAR(D200)+5)&gt;YEAR(E200),1,(12-MONTH(E200)+1)/12))) + (Q200)*(IF((YEAR(D200)+5)&lt;YEAR(E200),0,IF((YEAR(D200)+5)&gt;YEAR(E200),1,(12-MONTH(E200)+1)/12))))-((P200)*(IF((YEAR(D200)+5)&lt;YEAR(E200),0,IF((YEAR(D200)+5)&gt;YEAR(E200),1,(12-MONTH(E200)+1)/12))) + (R200)*(IF((YEAR(D200)+5)&lt;YEAR(E200),0,IF((YEAR(D200)+5)&gt;YEAR(E200),1,(12-MONTH(E200)+1)/12))))-(IF(OR(N200="",N200&lt;=0),0,(O200/N200)*(IF(OR(N200="",N200&lt;=0),0,IF((YEAR(D200)+5)&lt;YEAR(E200),0,IF((YEAR(D200)+5)&gt;=YEAR(E200)+N200,0,IF((YEAR(D200)+5)=YEAR(E200),(12-MONTH(E200)+1)/12,1))))))))&gt;0,(((K200)*(IF(M200="",L200,IFERROR(IF(INDEX(Variablen!$I:$AT, MATCH(M200, Variablen!$A:$A, 0), MATCH((YEAR(D200)+5), Variablen!$I$3:$AT$3, 0))="",L200,INDEX(Variablen!$I:$AT, MATCH(M200, Variablen!$A:$A, 0), MATCH((YEAR(D200)+5), Variablen!$I$3:$AT$3, 0))),L200)))*(IF((YEAR(D200)+5)&lt;YEAR(E200),0,IF((YEAR(D200)+5)&gt;YEAR(E200),1,(12-MONTH(E200)+1)/12))) + (Q200)*(IF((YEAR(D200)+5)&lt;YEAR(E200),0,IF((YEAR(D200)+5)&gt;YEAR(E200),1,(12-MONTH(E200)+1)/12))))-((P200)*(IF((YEAR(D200)+5)&lt;YEAR(E200),0,IF((YEAR(D200)+5)&gt;YEAR(E200),1,(12-MONTH(E200)+1)/12))) + (R200)*(IF((YEAR(D200)+5)&lt;YEAR(E200),0,IF((YEAR(D200)+5)&gt;YEAR(E200),1,(12-MONTH(E200)+1)/12))))-(IF(OR(N200="",N200&lt;=0),0,(O200/N200)*(IF(OR(N200="",N200&lt;=0),0,IF((YEAR(D200)+5)&lt;YEAR(E200),0,IF((YEAR(D200)+5)&gt;=YEAR(E200)+N200,0,IF((YEAR(D200)+5)=YEAR(E200),(12-MONTH(E200)+1)/12,1))))))))*TaxRate,0))-IF(5=0,O200,0))</f>
        <v/>
      </c>
      <c r="Y200" s="29">
        <f>IF(A200="","",((K200)*(IF(M200="",L200,IFERROR(IF(INDEX(Variablen!$I:$AT, MATCH(M200, Variablen!$A:$A, 0), MATCH((YEAR(D200)+6), Variablen!$I$3:$AT$3, 0))="",L200,INDEX(Variablen!$I:$AT, MATCH(M200, Variablen!$A:$A, 0), MATCH((YEAR(D200)+6), Variablen!$I$3:$AT$3, 0))),L200)))*(IF((YEAR(D200)+6)&lt;YEAR(E200),0,IF((YEAR(D200)+6)&gt;YEAR(E200),1,(12-MONTH(E200)+1)/12))) + (Q200)*(IF((YEAR(D200)+6)&lt;YEAR(E200),0,IF((YEAR(D200)+6)&gt;YEAR(E200),1,(12-MONTH(E200)+1)/12))))-((P200)*(IF((YEAR(D200)+6)&lt;YEAR(E200),0,IF((YEAR(D200)+6)&gt;YEAR(E200),1,(12-MONTH(E200)+1)/12))) + (R200)*(IF((YEAR(D200)+6)&lt;YEAR(E200),0,IF((YEAR(D200)+6)&gt;YEAR(E200),1,(12-MONTH(E200)+1)/12))))-(IF((((K200)*(IF(M200="",L200,IFERROR(IF(INDEX(Variablen!$I:$AT, MATCH(M200, Variablen!$A:$A, 0), MATCH((YEAR(D200)+6), Variablen!$I$3:$AT$3, 0))="",L200,INDEX(Variablen!$I:$AT, MATCH(M200, Variablen!$A:$A, 0), MATCH((YEAR(D200)+6), Variablen!$I$3:$AT$3, 0))),L200)))*(IF((YEAR(D200)+6)&lt;YEAR(E200),0,IF((YEAR(D200)+6)&gt;YEAR(E200),1,(12-MONTH(E200)+1)/12))) + (Q200)*(IF((YEAR(D200)+6)&lt;YEAR(E200),0,IF((YEAR(D200)+6)&gt;YEAR(E200),1,(12-MONTH(E200)+1)/12))))-((P200)*(IF((YEAR(D200)+6)&lt;YEAR(E200),0,IF((YEAR(D200)+6)&gt;YEAR(E200),1,(12-MONTH(E200)+1)/12))) + (R200)*(IF((YEAR(D200)+6)&lt;YEAR(E200),0,IF((YEAR(D200)+6)&gt;YEAR(E200),1,(12-MONTH(E200)+1)/12))))-(IF(OR(N200="",N200&lt;=0),0,(O200/N200)*(IF(OR(N200="",N200&lt;=0),0,IF((YEAR(D200)+6)&lt;YEAR(E200),0,IF((YEAR(D200)+6)&gt;=YEAR(E200)+N200,0,IF((YEAR(D200)+6)=YEAR(E200),(12-MONTH(E200)+1)/12,1))))))))&gt;0,(((K200)*(IF(M200="",L200,IFERROR(IF(INDEX(Variablen!$I:$AT, MATCH(M200, Variablen!$A:$A, 0), MATCH((YEAR(D200)+6), Variablen!$I$3:$AT$3, 0))="",L200,INDEX(Variablen!$I:$AT, MATCH(M200, Variablen!$A:$A, 0), MATCH((YEAR(D200)+6), Variablen!$I$3:$AT$3, 0))),L200)))*(IF((YEAR(D200)+6)&lt;YEAR(E200),0,IF((YEAR(D200)+6)&gt;YEAR(E200),1,(12-MONTH(E200)+1)/12))) + (Q200)*(IF((YEAR(D200)+6)&lt;YEAR(E200),0,IF((YEAR(D200)+6)&gt;YEAR(E200),1,(12-MONTH(E200)+1)/12))))-((P200)*(IF((YEAR(D200)+6)&lt;YEAR(E200),0,IF((YEAR(D200)+6)&gt;YEAR(E200),1,(12-MONTH(E200)+1)/12))) + (R200)*(IF((YEAR(D200)+6)&lt;YEAR(E200),0,IF((YEAR(D200)+6)&gt;YEAR(E200),1,(12-MONTH(E200)+1)/12))))-(IF(OR(N200="",N200&lt;=0),0,(O200/N200)*(IF(OR(N200="",N200&lt;=0),0,IF((YEAR(D200)+6)&lt;YEAR(E200),0,IF((YEAR(D200)+6)&gt;=YEAR(E200)+N200,0,IF((YEAR(D200)+6)=YEAR(E200),(12-MONTH(E200)+1)/12,1))))))))*TaxRate,0))-IF(6=0,O200,0))</f>
        <v/>
      </c>
      <c r="Z200" s="29">
        <f>IF(A200="","",((K200)*(IF(M200="",L200,IFERROR(IF(INDEX(Variablen!$I:$AT, MATCH(M200, Variablen!$A:$A, 0), MATCH((YEAR(D200)+7), Variablen!$I$3:$AT$3, 0))="",L200,INDEX(Variablen!$I:$AT, MATCH(M200, Variablen!$A:$A, 0), MATCH((YEAR(D200)+7), Variablen!$I$3:$AT$3, 0))),L200)))*(IF((YEAR(D200)+7)&lt;YEAR(E200),0,IF((YEAR(D200)+7)&gt;YEAR(E200),1,(12-MONTH(E200)+1)/12))) + (Q200)*(IF((YEAR(D200)+7)&lt;YEAR(E200),0,IF((YEAR(D200)+7)&gt;YEAR(E200),1,(12-MONTH(E200)+1)/12))))-((P200)*(IF((YEAR(D200)+7)&lt;YEAR(E200),0,IF((YEAR(D200)+7)&gt;YEAR(E200),1,(12-MONTH(E200)+1)/12))) + (R200)*(IF((YEAR(D200)+7)&lt;YEAR(E200),0,IF((YEAR(D200)+7)&gt;YEAR(E200),1,(12-MONTH(E200)+1)/12))))-(IF((((K200)*(IF(M200="",L200,IFERROR(IF(INDEX(Variablen!$I:$AT, MATCH(M200, Variablen!$A:$A, 0), MATCH((YEAR(D200)+7), Variablen!$I$3:$AT$3, 0))="",L200,INDEX(Variablen!$I:$AT, MATCH(M200, Variablen!$A:$A, 0), MATCH((YEAR(D200)+7), Variablen!$I$3:$AT$3, 0))),L200)))*(IF((YEAR(D200)+7)&lt;YEAR(E200),0,IF((YEAR(D200)+7)&gt;YEAR(E200),1,(12-MONTH(E200)+1)/12))) + (Q200)*(IF((YEAR(D200)+7)&lt;YEAR(E200),0,IF((YEAR(D200)+7)&gt;YEAR(E200),1,(12-MONTH(E200)+1)/12))))-((P200)*(IF((YEAR(D200)+7)&lt;YEAR(E200),0,IF((YEAR(D200)+7)&gt;YEAR(E200),1,(12-MONTH(E200)+1)/12))) + (R200)*(IF((YEAR(D200)+7)&lt;YEAR(E200),0,IF((YEAR(D200)+7)&gt;YEAR(E200),1,(12-MONTH(E200)+1)/12))))-(IF(OR(N200="",N200&lt;=0),0,(O200/N200)*(IF(OR(N200="",N200&lt;=0),0,IF((YEAR(D200)+7)&lt;YEAR(E200),0,IF((YEAR(D200)+7)&gt;=YEAR(E200)+N200,0,IF((YEAR(D200)+7)=YEAR(E200),(12-MONTH(E200)+1)/12,1))))))))&gt;0,(((K200)*(IF(M200="",L200,IFERROR(IF(INDEX(Variablen!$I:$AT, MATCH(M200, Variablen!$A:$A, 0), MATCH((YEAR(D200)+7), Variablen!$I$3:$AT$3, 0))="",L200,INDEX(Variablen!$I:$AT, MATCH(M200, Variablen!$A:$A, 0), MATCH((YEAR(D200)+7), Variablen!$I$3:$AT$3, 0))),L200)))*(IF((YEAR(D200)+7)&lt;YEAR(E200),0,IF((YEAR(D200)+7)&gt;YEAR(E200),1,(12-MONTH(E200)+1)/12))) + (Q200)*(IF((YEAR(D200)+7)&lt;YEAR(E200),0,IF((YEAR(D200)+7)&gt;YEAR(E200),1,(12-MONTH(E200)+1)/12))))-((P200)*(IF((YEAR(D200)+7)&lt;YEAR(E200),0,IF((YEAR(D200)+7)&gt;YEAR(E200),1,(12-MONTH(E200)+1)/12))) + (R200)*(IF((YEAR(D200)+7)&lt;YEAR(E200),0,IF((YEAR(D200)+7)&gt;YEAR(E200),1,(12-MONTH(E200)+1)/12))))-(IF(OR(N200="",N200&lt;=0),0,(O200/N200)*(IF(OR(N200="",N200&lt;=0),0,IF((YEAR(D200)+7)&lt;YEAR(E200),0,IF((YEAR(D200)+7)&gt;=YEAR(E200)+N200,0,IF((YEAR(D200)+7)=YEAR(E200),(12-MONTH(E200)+1)/12,1))))))))*TaxRate,0))-IF(7=0,O200,0))</f>
        <v/>
      </c>
      <c r="AA200" s="29">
        <f>IF(A200="","",((K200)*(IF(M200="",L200,IFERROR(IF(INDEX(Variablen!$I:$AT, MATCH(M200, Variablen!$A:$A, 0), MATCH((YEAR(D200)+8), Variablen!$I$3:$AT$3, 0))="",L200,INDEX(Variablen!$I:$AT, MATCH(M200, Variablen!$A:$A, 0), MATCH((YEAR(D200)+8), Variablen!$I$3:$AT$3, 0))),L200)))*(IF((YEAR(D200)+8)&lt;YEAR(E200),0,IF((YEAR(D200)+8)&gt;YEAR(E200),1,(12-MONTH(E200)+1)/12))) + (Q200)*(IF((YEAR(D200)+8)&lt;YEAR(E200),0,IF((YEAR(D200)+8)&gt;YEAR(E200),1,(12-MONTH(E200)+1)/12))))-((P200)*(IF((YEAR(D200)+8)&lt;YEAR(E200),0,IF((YEAR(D200)+8)&gt;YEAR(E200),1,(12-MONTH(E200)+1)/12))) + (R200)*(IF((YEAR(D200)+8)&lt;YEAR(E200),0,IF((YEAR(D200)+8)&gt;YEAR(E200),1,(12-MONTH(E200)+1)/12))))-(IF((((K200)*(IF(M200="",L200,IFERROR(IF(INDEX(Variablen!$I:$AT, MATCH(M200, Variablen!$A:$A, 0), MATCH((YEAR(D200)+8), Variablen!$I$3:$AT$3, 0))="",L200,INDEX(Variablen!$I:$AT, MATCH(M200, Variablen!$A:$A, 0), MATCH((YEAR(D200)+8), Variablen!$I$3:$AT$3, 0))),L200)))*(IF((YEAR(D200)+8)&lt;YEAR(E200),0,IF((YEAR(D200)+8)&gt;YEAR(E200),1,(12-MONTH(E200)+1)/12))) + (Q200)*(IF((YEAR(D200)+8)&lt;YEAR(E200),0,IF((YEAR(D200)+8)&gt;YEAR(E200),1,(12-MONTH(E200)+1)/12))))-((P200)*(IF((YEAR(D200)+8)&lt;YEAR(E200),0,IF((YEAR(D200)+8)&gt;YEAR(E200),1,(12-MONTH(E200)+1)/12))) + (R200)*(IF((YEAR(D200)+8)&lt;YEAR(E200),0,IF((YEAR(D200)+8)&gt;YEAR(E200),1,(12-MONTH(E200)+1)/12))))-(IF(OR(N200="",N200&lt;=0),0,(O200/N200)*(IF(OR(N200="",N200&lt;=0),0,IF((YEAR(D200)+8)&lt;YEAR(E200),0,IF((YEAR(D200)+8)&gt;=YEAR(E200)+N200,0,IF((YEAR(D200)+8)=YEAR(E200),(12-MONTH(E200)+1)/12,1))))))))&gt;0,(((K200)*(IF(M200="",L200,IFERROR(IF(INDEX(Variablen!$I:$AT, MATCH(M200, Variablen!$A:$A, 0), MATCH((YEAR(D200)+8), Variablen!$I$3:$AT$3, 0))="",L200,INDEX(Variablen!$I:$AT, MATCH(M200, Variablen!$A:$A, 0), MATCH((YEAR(D200)+8), Variablen!$I$3:$AT$3, 0))),L200)))*(IF((YEAR(D200)+8)&lt;YEAR(E200),0,IF((YEAR(D200)+8)&gt;YEAR(E200),1,(12-MONTH(E200)+1)/12))) + (Q200)*(IF((YEAR(D200)+8)&lt;YEAR(E200),0,IF((YEAR(D200)+8)&gt;YEAR(E200),1,(12-MONTH(E200)+1)/12))))-((P200)*(IF((YEAR(D200)+8)&lt;YEAR(E200),0,IF((YEAR(D200)+8)&gt;YEAR(E200),1,(12-MONTH(E200)+1)/12))) + (R200)*(IF((YEAR(D200)+8)&lt;YEAR(E200),0,IF((YEAR(D200)+8)&gt;YEAR(E200),1,(12-MONTH(E200)+1)/12))))-(IF(OR(N200="",N200&lt;=0),0,(O200/N200)*(IF(OR(N200="",N200&lt;=0),0,IF((YEAR(D200)+8)&lt;YEAR(E200),0,IF((YEAR(D200)+8)&gt;=YEAR(E200)+N200,0,IF((YEAR(D200)+8)=YEAR(E200),(12-MONTH(E200)+1)/12,1))))))))*TaxRate,0))-IF(8=0,O200,0))</f>
        <v/>
      </c>
      <c r="AB200" s="29">
        <f>IF(A200="","",((K200)*(IF(M200="",L200,IFERROR(IF(INDEX(Variablen!$I:$AT, MATCH(M200, Variablen!$A:$A, 0), MATCH((YEAR(D200)+9), Variablen!$I$3:$AT$3, 0))="",L200,INDEX(Variablen!$I:$AT, MATCH(M200, Variablen!$A:$A, 0), MATCH((YEAR(D200)+9), Variablen!$I$3:$AT$3, 0))),L200)))*(IF((YEAR(D200)+9)&lt;YEAR(E200),0,IF((YEAR(D200)+9)&gt;YEAR(E200),1,(12-MONTH(E200)+1)/12))) + (Q200)*(IF((YEAR(D200)+9)&lt;YEAR(E200),0,IF((YEAR(D200)+9)&gt;YEAR(E200),1,(12-MONTH(E200)+1)/12))))-((P200)*(IF((YEAR(D200)+9)&lt;YEAR(E200),0,IF((YEAR(D200)+9)&gt;YEAR(E200),1,(12-MONTH(E200)+1)/12))) + (R200)*(IF((YEAR(D200)+9)&lt;YEAR(E200),0,IF((YEAR(D200)+9)&gt;YEAR(E200),1,(12-MONTH(E200)+1)/12))))-(IF((((K200)*(IF(M200="",L200,IFERROR(IF(INDEX(Variablen!$I:$AT, MATCH(M200, Variablen!$A:$A, 0), MATCH((YEAR(D200)+9), Variablen!$I$3:$AT$3, 0))="",L200,INDEX(Variablen!$I:$AT, MATCH(M200, Variablen!$A:$A, 0), MATCH((YEAR(D200)+9), Variablen!$I$3:$AT$3, 0))),L200)))*(IF((YEAR(D200)+9)&lt;YEAR(E200),0,IF((YEAR(D200)+9)&gt;YEAR(E200),1,(12-MONTH(E200)+1)/12))) + (Q200)*(IF((YEAR(D200)+9)&lt;YEAR(E200),0,IF((YEAR(D200)+9)&gt;YEAR(E200),1,(12-MONTH(E200)+1)/12))))-((P200)*(IF((YEAR(D200)+9)&lt;YEAR(E200),0,IF((YEAR(D200)+9)&gt;YEAR(E200),1,(12-MONTH(E200)+1)/12))) + (R200)*(IF((YEAR(D200)+9)&lt;YEAR(E200),0,IF((YEAR(D200)+9)&gt;YEAR(E200),1,(12-MONTH(E200)+1)/12))))-(IF(OR(N200="",N200&lt;=0),0,(O200/N200)*(IF(OR(N200="",N200&lt;=0),0,IF((YEAR(D200)+9)&lt;YEAR(E200),0,IF((YEAR(D200)+9)&gt;=YEAR(E200)+N200,0,IF((YEAR(D200)+9)=YEAR(E200),(12-MONTH(E200)+1)/12,1))))))))&gt;0,(((K200)*(IF(M200="",L200,IFERROR(IF(INDEX(Variablen!$I:$AT, MATCH(M200, Variablen!$A:$A, 0), MATCH((YEAR(D200)+9), Variablen!$I$3:$AT$3, 0))="",L200,INDEX(Variablen!$I:$AT, MATCH(M200, Variablen!$A:$A, 0), MATCH((YEAR(D200)+9), Variablen!$I$3:$AT$3, 0))),L200)))*(IF((YEAR(D200)+9)&lt;YEAR(E200),0,IF((YEAR(D200)+9)&gt;YEAR(E200),1,(12-MONTH(E200)+1)/12))) + (Q200)*(IF((YEAR(D200)+9)&lt;YEAR(E200),0,IF((YEAR(D200)+9)&gt;YEAR(E200),1,(12-MONTH(E200)+1)/12))))-((P200)*(IF((YEAR(D200)+9)&lt;YEAR(E200),0,IF((YEAR(D200)+9)&gt;YEAR(E200),1,(12-MONTH(E200)+1)/12))) + (R200)*(IF((YEAR(D200)+9)&lt;YEAR(E200),0,IF((YEAR(D200)+9)&gt;YEAR(E200),1,(12-MONTH(E200)+1)/12))))-(IF(OR(N200="",N200&lt;=0),0,(O200/N200)*(IF(OR(N200="",N200&lt;=0),0,IF((YEAR(D200)+9)&lt;YEAR(E200),0,IF((YEAR(D200)+9)&gt;=YEAR(E200)+N200,0,IF((YEAR(D200)+9)=YEAR(E200),(12-MONTH(E200)+1)/12,1))))))))*TaxRate,0))-IF(9=0,O200,0))</f>
        <v/>
      </c>
      <c r="AC200" s="29">
        <f>IF(A200="","",((K200)*(IF(M200="",L200,IFERROR(IF(INDEX(Variablen!$I:$AT, MATCH(M200, Variablen!$A:$A, 0), MATCH((YEAR(D200)+10), Variablen!$I$3:$AT$3, 0))="",L200,INDEX(Variablen!$I:$AT, MATCH(M200, Variablen!$A:$A, 0), MATCH((YEAR(D200)+10), Variablen!$I$3:$AT$3, 0))),L200)))*(IF((YEAR(D200)+10)&lt;YEAR(E200),0,IF((YEAR(D200)+10)&gt;YEAR(E200),1,(12-MONTH(E200)+1)/12))) + (Q200)*(IF((YEAR(D200)+10)&lt;YEAR(E200),0,IF((YEAR(D200)+10)&gt;YEAR(E200),1,(12-MONTH(E200)+1)/12))))-((P200)*(IF((YEAR(D200)+10)&lt;YEAR(E200),0,IF((YEAR(D200)+10)&gt;YEAR(E200),1,(12-MONTH(E200)+1)/12))) + (R200)*(IF((YEAR(D200)+10)&lt;YEAR(E200),0,IF((YEAR(D200)+10)&gt;YEAR(E200),1,(12-MONTH(E200)+1)/12))))-(IF((((K200)*(IF(M200="",L200,IFERROR(IF(INDEX(Variablen!$I:$AT, MATCH(M200, Variablen!$A:$A, 0), MATCH((YEAR(D200)+10), Variablen!$I$3:$AT$3, 0))="",L200,INDEX(Variablen!$I:$AT, MATCH(M200, Variablen!$A:$A, 0), MATCH((YEAR(D200)+10), Variablen!$I$3:$AT$3, 0))),L200)))*(IF((YEAR(D200)+10)&lt;YEAR(E200),0,IF((YEAR(D200)+10)&gt;YEAR(E200),1,(12-MONTH(E200)+1)/12))) + (Q200)*(IF((YEAR(D200)+10)&lt;YEAR(E200),0,IF((YEAR(D200)+10)&gt;YEAR(E200),1,(12-MONTH(E200)+1)/12))))-((P200)*(IF((YEAR(D200)+10)&lt;YEAR(E200),0,IF((YEAR(D200)+10)&gt;YEAR(E200),1,(12-MONTH(E200)+1)/12))) + (R200)*(IF((YEAR(D200)+10)&lt;YEAR(E200),0,IF((YEAR(D200)+10)&gt;YEAR(E200),1,(12-MONTH(E200)+1)/12))))-(IF(OR(N200="",N200&lt;=0),0,(O200/N200)*(IF(OR(N200="",N200&lt;=0),0,IF((YEAR(D200)+10)&lt;YEAR(E200),0,IF((YEAR(D200)+10)&gt;=YEAR(E200)+N200,0,IF((YEAR(D200)+10)=YEAR(E200),(12-MONTH(E200)+1)/12,1))))))))&gt;0,(((K200)*(IF(M200="",L200,IFERROR(IF(INDEX(Variablen!$I:$AT, MATCH(M200, Variablen!$A:$A, 0), MATCH((YEAR(D200)+10), Variablen!$I$3:$AT$3, 0))="",L200,INDEX(Variablen!$I:$AT, MATCH(M200, Variablen!$A:$A, 0), MATCH((YEAR(D200)+10), Variablen!$I$3:$AT$3, 0))),L200)))*(IF((YEAR(D200)+10)&lt;YEAR(E200),0,IF((YEAR(D200)+10)&gt;YEAR(E200),1,(12-MONTH(E200)+1)/12))) + (Q200)*(IF((YEAR(D200)+10)&lt;YEAR(E200),0,IF((YEAR(D200)+10)&gt;YEAR(E200),1,(12-MONTH(E200)+1)/12))))-((P200)*(IF((YEAR(D200)+10)&lt;YEAR(E200),0,IF((YEAR(D200)+10)&gt;YEAR(E200),1,(12-MONTH(E200)+1)/12))) + (R200)*(IF((YEAR(D200)+10)&lt;YEAR(E200),0,IF((YEAR(D200)+10)&gt;YEAR(E200),1,(12-MONTH(E200)+1)/12))))-(IF(OR(N200="",N200&lt;=0),0,(O200/N200)*(IF(OR(N200="",N200&lt;=0),0,IF((YEAR(D200)+10)&lt;YEAR(E200),0,IF((YEAR(D200)+10)&gt;=YEAR(E200)+N200,0,IF((YEAR(D200)+10)=YEAR(E200),(12-MONTH(E200)+1)/12,1))))))))*TaxRate,0))-IF(10=0,O200,0))</f>
        <v/>
      </c>
      <c r="AD200" s="29">
        <f>IF(A200="","",((K200)*(IF(M200="",L200,IFERROR(IF(INDEX(Variablen!$I:$AT, MATCH(M200, Variablen!$A:$A, 0), MATCH((YEAR(D200)+11), Variablen!$I$3:$AT$3, 0))="",L200,INDEX(Variablen!$I:$AT, MATCH(M200, Variablen!$A:$A, 0), MATCH((YEAR(D200)+11), Variablen!$I$3:$AT$3, 0))),L200)))*(IF((YEAR(D200)+11)&lt;YEAR(E200),0,IF((YEAR(D200)+11)&gt;YEAR(E200),1,(12-MONTH(E200)+1)/12))) + (Q200)*(IF((YEAR(D200)+11)&lt;YEAR(E200),0,IF((YEAR(D200)+11)&gt;YEAR(E200),1,(12-MONTH(E200)+1)/12))))-((P200)*(IF((YEAR(D200)+11)&lt;YEAR(E200),0,IF((YEAR(D200)+11)&gt;YEAR(E200),1,(12-MONTH(E200)+1)/12))) + (R200)*(IF((YEAR(D200)+11)&lt;YEAR(E200),0,IF((YEAR(D200)+11)&gt;YEAR(E200),1,(12-MONTH(E200)+1)/12))))-(IF((((K200)*(IF(M200="",L200,IFERROR(IF(INDEX(Variablen!$I:$AT, MATCH(M200, Variablen!$A:$A, 0), MATCH((YEAR(D200)+11), Variablen!$I$3:$AT$3, 0))="",L200,INDEX(Variablen!$I:$AT, MATCH(M200, Variablen!$A:$A, 0), MATCH((YEAR(D200)+11), Variablen!$I$3:$AT$3, 0))),L200)))*(IF((YEAR(D200)+11)&lt;YEAR(E200),0,IF((YEAR(D200)+11)&gt;YEAR(E200),1,(12-MONTH(E200)+1)/12))) + (Q200)*(IF((YEAR(D200)+11)&lt;YEAR(E200),0,IF((YEAR(D200)+11)&gt;YEAR(E200),1,(12-MONTH(E200)+1)/12))))-((P200)*(IF((YEAR(D200)+11)&lt;YEAR(E200),0,IF((YEAR(D200)+11)&gt;YEAR(E200),1,(12-MONTH(E200)+1)/12))) + (R200)*(IF((YEAR(D200)+11)&lt;YEAR(E200),0,IF((YEAR(D200)+11)&gt;YEAR(E200),1,(12-MONTH(E200)+1)/12))))-(IF(OR(N200="",N200&lt;=0),0,(O200/N200)*(IF(OR(N200="",N200&lt;=0),0,IF((YEAR(D200)+11)&lt;YEAR(E200),0,IF((YEAR(D200)+11)&gt;=YEAR(E200)+N200,0,IF((YEAR(D200)+11)=YEAR(E200),(12-MONTH(E200)+1)/12,1))))))))&gt;0,(((K200)*(IF(M200="",L200,IFERROR(IF(INDEX(Variablen!$I:$AT, MATCH(M200, Variablen!$A:$A, 0), MATCH((YEAR(D200)+11), Variablen!$I$3:$AT$3, 0))="",L200,INDEX(Variablen!$I:$AT, MATCH(M200, Variablen!$A:$A, 0), MATCH((YEAR(D200)+11), Variablen!$I$3:$AT$3, 0))),L200)))*(IF((YEAR(D200)+11)&lt;YEAR(E200),0,IF((YEAR(D200)+11)&gt;YEAR(E200),1,(12-MONTH(E200)+1)/12))) + (Q200)*(IF((YEAR(D200)+11)&lt;YEAR(E200),0,IF((YEAR(D200)+11)&gt;YEAR(E200),1,(12-MONTH(E200)+1)/12))))-((P200)*(IF((YEAR(D200)+11)&lt;YEAR(E200),0,IF((YEAR(D200)+11)&gt;YEAR(E200),1,(12-MONTH(E200)+1)/12))) + (R200)*(IF((YEAR(D200)+11)&lt;YEAR(E200),0,IF((YEAR(D200)+11)&gt;YEAR(E200),1,(12-MONTH(E200)+1)/12))))-(IF(OR(N200="",N200&lt;=0),0,(O200/N200)*(IF(OR(N200="",N200&lt;=0),0,IF((YEAR(D200)+11)&lt;YEAR(E200),0,IF((YEAR(D200)+11)&gt;=YEAR(E200)+N200,0,IF((YEAR(D200)+11)=YEAR(E200),(12-MONTH(E200)+1)/12,1))))))))*TaxRate,0))-IF(11=0,O200,0))</f>
        <v/>
      </c>
      <c r="AE200" s="29">
        <f>IF(A200="","",((K200)*(IF(M200="",L200,IFERROR(IF(INDEX(Variablen!$I:$AT, MATCH(M200, Variablen!$A:$A, 0), MATCH((YEAR(D200)+12), Variablen!$I$3:$AT$3, 0))="",L200,INDEX(Variablen!$I:$AT, MATCH(M200, Variablen!$A:$A, 0), MATCH((YEAR(D200)+12), Variablen!$I$3:$AT$3, 0))),L200)))*(IF((YEAR(D200)+12)&lt;YEAR(E200),0,IF((YEAR(D200)+12)&gt;YEAR(E200),1,(12-MONTH(E200)+1)/12))) + (Q200)*(IF((YEAR(D200)+12)&lt;YEAR(E200),0,IF((YEAR(D200)+12)&gt;YEAR(E200),1,(12-MONTH(E200)+1)/12))))-((P200)*(IF((YEAR(D200)+12)&lt;YEAR(E200),0,IF((YEAR(D200)+12)&gt;YEAR(E200),1,(12-MONTH(E200)+1)/12))) + (R200)*(IF((YEAR(D200)+12)&lt;YEAR(E200),0,IF((YEAR(D200)+12)&gt;YEAR(E200),1,(12-MONTH(E200)+1)/12))))-(IF((((K200)*(IF(M200="",L200,IFERROR(IF(INDEX(Variablen!$I:$AT, MATCH(M200, Variablen!$A:$A, 0), MATCH((YEAR(D200)+12), Variablen!$I$3:$AT$3, 0))="",L200,INDEX(Variablen!$I:$AT, MATCH(M200, Variablen!$A:$A, 0), MATCH((YEAR(D200)+12), Variablen!$I$3:$AT$3, 0))),L200)))*(IF((YEAR(D200)+12)&lt;YEAR(E200),0,IF((YEAR(D200)+12)&gt;YEAR(E200),1,(12-MONTH(E200)+1)/12))) + (Q200)*(IF((YEAR(D200)+12)&lt;YEAR(E200),0,IF((YEAR(D200)+12)&gt;YEAR(E200),1,(12-MONTH(E200)+1)/12))))-((P200)*(IF((YEAR(D200)+12)&lt;YEAR(E200),0,IF((YEAR(D200)+12)&gt;YEAR(E200),1,(12-MONTH(E200)+1)/12))) + (R200)*(IF((YEAR(D200)+12)&lt;YEAR(E200),0,IF((YEAR(D200)+12)&gt;YEAR(E200),1,(12-MONTH(E200)+1)/12))))-(IF(OR(N200="",N200&lt;=0),0,(O200/N200)*(IF(OR(N200="",N200&lt;=0),0,IF((YEAR(D200)+12)&lt;YEAR(E200),0,IF((YEAR(D200)+12)&gt;=YEAR(E200)+N200,0,IF((YEAR(D200)+12)=YEAR(E200),(12-MONTH(E200)+1)/12,1))))))))&gt;0,(((K200)*(IF(M200="",L200,IFERROR(IF(INDEX(Variablen!$I:$AT, MATCH(M200, Variablen!$A:$A, 0), MATCH((YEAR(D200)+12), Variablen!$I$3:$AT$3, 0))="",L200,INDEX(Variablen!$I:$AT, MATCH(M200, Variablen!$A:$A, 0), MATCH((YEAR(D200)+12), Variablen!$I$3:$AT$3, 0))),L200)))*(IF((YEAR(D200)+12)&lt;YEAR(E200),0,IF((YEAR(D200)+12)&gt;YEAR(E200),1,(12-MONTH(E200)+1)/12))) + (Q200)*(IF((YEAR(D200)+12)&lt;YEAR(E200),0,IF((YEAR(D200)+12)&gt;YEAR(E200),1,(12-MONTH(E200)+1)/12))))-((P200)*(IF((YEAR(D200)+12)&lt;YEAR(E200),0,IF((YEAR(D200)+12)&gt;YEAR(E200),1,(12-MONTH(E200)+1)/12))) + (R200)*(IF((YEAR(D200)+12)&lt;YEAR(E200),0,IF((YEAR(D200)+12)&gt;YEAR(E200),1,(12-MONTH(E200)+1)/12))))-(IF(OR(N200="",N200&lt;=0),0,(O200/N200)*(IF(OR(N200="",N200&lt;=0),0,IF((YEAR(D200)+12)&lt;YEAR(E200),0,IF((YEAR(D200)+12)&gt;=YEAR(E200)+N200,0,IF((YEAR(D200)+12)=YEAR(E200),(12-MONTH(E200)+1)/12,1))))))))*TaxRate,0))-IF(12=0,O200,0))</f>
        <v/>
      </c>
      <c r="AF200" s="29">
        <f>IF(A200="","",((K200)*(IF(M200="",L200,IFERROR(IF(INDEX(Variablen!$I:$AT, MATCH(M200, Variablen!$A:$A, 0), MATCH((YEAR(D200)+13), Variablen!$I$3:$AT$3, 0))="",L200,INDEX(Variablen!$I:$AT, MATCH(M200, Variablen!$A:$A, 0), MATCH((YEAR(D200)+13), Variablen!$I$3:$AT$3, 0))),L200)))*(IF((YEAR(D200)+13)&lt;YEAR(E200),0,IF((YEAR(D200)+13)&gt;YEAR(E200),1,(12-MONTH(E200)+1)/12))) + (Q200)*(IF((YEAR(D200)+13)&lt;YEAR(E200),0,IF((YEAR(D200)+13)&gt;YEAR(E200),1,(12-MONTH(E200)+1)/12))))-((P200)*(IF((YEAR(D200)+13)&lt;YEAR(E200),0,IF((YEAR(D200)+13)&gt;YEAR(E200),1,(12-MONTH(E200)+1)/12))) + (R200)*(IF((YEAR(D200)+13)&lt;YEAR(E200),0,IF((YEAR(D200)+13)&gt;YEAR(E200),1,(12-MONTH(E200)+1)/12))))-(IF((((K200)*(IF(M200="",L200,IFERROR(IF(INDEX(Variablen!$I:$AT, MATCH(M200, Variablen!$A:$A, 0), MATCH((YEAR(D200)+13), Variablen!$I$3:$AT$3, 0))="",L200,INDEX(Variablen!$I:$AT, MATCH(M200, Variablen!$A:$A, 0), MATCH((YEAR(D200)+13), Variablen!$I$3:$AT$3, 0))),L200)))*(IF((YEAR(D200)+13)&lt;YEAR(E200),0,IF((YEAR(D200)+13)&gt;YEAR(E200),1,(12-MONTH(E200)+1)/12))) + (Q200)*(IF((YEAR(D200)+13)&lt;YEAR(E200),0,IF((YEAR(D200)+13)&gt;YEAR(E200),1,(12-MONTH(E200)+1)/12))))-((P200)*(IF((YEAR(D200)+13)&lt;YEAR(E200),0,IF((YEAR(D200)+13)&gt;YEAR(E200),1,(12-MONTH(E200)+1)/12))) + (R200)*(IF((YEAR(D200)+13)&lt;YEAR(E200),0,IF((YEAR(D200)+13)&gt;YEAR(E200),1,(12-MONTH(E200)+1)/12))))-(IF(OR(N200="",N200&lt;=0),0,(O200/N200)*(IF(OR(N200="",N200&lt;=0),0,IF((YEAR(D200)+13)&lt;YEAR(E200),0,IF((YEAR(D200)+13)&gt;=YEAR(E200)+N200,0,IF((YEAR(D200)+13)=YEAR(E200),(12-MONTH(E200)+1)/12,1))))))))&gt;0,(((K200)*(IF(M200="",L200,IFERROR(IF(INDEX(Variablen!$I:$AT, MATCH(M200, Variablen!$A:$A, 0), MATCH((YEAR(D200)+13), Variablen!$I$3:$AT$3, 0))="",L200,INDEX(Variablen!$I:$AT, MATCH(M200, Variablen!$A:$A, 0), MATCH((YEAR(D200)+13), Variablen!$I$3:$AT$3, 0))),L200)))*(IF((YEAR(D200)+13)&lt;YEAR(E200),0,IF((YEAR(D200)+13)&gt;YEAR(E200),1,(12-MONTH(E200)+1)/12))) + (Q200)*(IF((YEAR(D200)+13)&lt;YEAR(E200),0,IF((YEAR(D200)+13)&gt;YEAR(E200),1,(12-MONTH(E200)+1)/12))))-((P200)*(IF((YEAR(D200)+13)&lt;YEAR(E200),0,IF((YEAR(D200)+13)&gt;YEAR(E200),1,(12-MONTH(E200)+1)/12))) + (R200)*(IF((YEAR(D200)+13)&lt;YEAR(E200),0,IF((YEAR(D200)+13)&gt;YEAR(E200),1,(12-MONTH(E200)+1)/12))))-(IF(OR(N200="",N200&lt;=0),0,(O200/N200)*(IF(OR(N200="",N200&lt;=0),0,IF((YEAR(D200)+13)&lt;YEAR(E200),0,IF((YEAR(D200)+13)&gt;=YEAR(E200)+N200,0,IF((YEAR(D200)+13)=YEAR(E200),(12-MONTH(E200)+1)/12,1))))))))*TaxRate,0))-IF(13=0,O200,0))</f>
        <v/>
      </c>
      <c r="AG200" s="29">
        <f>IF(A200="","",((K200)*(IF(M200="",L200,IFERROR(IF(INDEX(Variablen!$I:$AT, MATCH(M200, Variablen!$A:$A, 0), MATCH((YEAR(D200)+14), Variablen!$I$3:$AT$3, 0))="",L200,INDEX(Variablen!$I:$AT, MATCH(M200, Variablen!$A:$A, 0), MATCH((YEAR(D200)+14), Variablen!$I$3:$AT$3, 0))),L200)))*(IF((YEAR(D200)+14)&lt;YEAR(E200),0,IF((YEAR(D200)+14)&gt;YEAR(E200),1,(12-MONTH(E200)+1)/12))) + (Q200)*(IF((YEAR(D200)+14)&lt;YEAR(E200),0,IF((YEAR(D200)+14)&gt;YEAR(E200),1,(12-MONTH(E200)+1)/12))))-((P200)*(IF((YEAR(D200)+14)&lt;YEAR(E200),0,IF((YEAR(D200)+14)&gt;YEAR(E200),1,(12-MONTH(E200)+1)/12))) + (R200)*(IF((YEAR(D200)+14)&lt;YEAR(E200),0,IF((YEAR(D200)+14)&gt;YEAR(E200),1,(12-MONTH(E200)+1)/12))))-(IF((((K200)*(IF(M200="",L200,IFERROR(IF(INDEX(Variablen!$I:$AT, MATCH(M200, Variablen!$A:$A, 0), MATCH((YEAR(D200)+14), Variablen!$I$3:$AT$3, 0))="",L200,INDEX(Variablen!$I:$AT, MATCH(M200, Variablen!$A:$A, 0), MATCH((YEAR(D200)+14), Variablen!$I$3:$AT$3, 0))),L200)))*(IF((YEAR(D200)+14)&lt;YEAR(E200),0,IF((YEAR(D200)+14)&gt;YEAR(E200),1,(12-MONTH(E200)+1)/12))) + (Q200)*(IF((YEAR(D200)+14)&lt;YEAR(E200),0,IF((YEAR(D200)+14)&gt;YEAR(E200),1,(12-MONTH(E200)+1)/12))))-((P200)*(IF((YEAR(D200)+14)&lt;YEAR(E200),0,IF((YEAR(D200)+14)&gt;YEAR(E200),1,(12-MONTH(E200)+1)/12))) + (R200)*(IF((YEAR(D200)+14)&lt;YEAR(E200),0,IF((YEAR(D200)+14)&gt;YEAR(E200),1,(12-MONTH(E200)+1)/12))))-(IF(OR(N200="",N200&lt;=0),0,(O200/N200)*(IF(OR(N200="",N200&lt;=0),0,IF((YEAR(D200)+14)&lt;YEAR(E200),0,IF((YEAR(D200)+14)&gt;=YEAR(E200)+N200,0,IF((YEAR(D200)+14)=YEAR(E200),(12-MONTH(E200)+1)/12,1))))))))&gt;0,(((K200)*(IF(M200="",L200,IFERROR(IF(INDEX(Variablen!$I:$AT, MATCH(M200, Variablen!$A:$A, 0), MATCH((YEAR(D200)+14), Variablen!$I$3:$AT$3, 0))="",L200,INDEX(Variablen!$I:$AT, MATCH(M200, Variablen!$A:$A, 0), MATCH((YEAR(D200)+14), Variablen!$I$3:$AT$3, 0))),L200)))*(IF((YEAR(D200)+14)&lt;YEAR(E200),0,IF((YEAR(D200)+14)&gt;YEAR(E200),1,(12-MONTH(E200)+1)/12))) + (Q200)*(IF((YEAR(D200)+14)&lt;YEAR(E200),0,IF((YEAR(D200)+14)&gt;YEAR(E200),1,(12-MONTH(E200)+1)/12))))-((P200)*(IF((YEAR(D200)+14)&lt;YEAR(E200),0,IF((YEAR(D200)+14)&gt;YEAR(E200),1,(12-MONTH(E200)+1)/12))) + (R200)*(IF((YEAR(D200)+14)&lt;YEAR(E200),0,IF((YEAR(D200)+14)&gt;YEAR(E200),1,(12-MONTH(E200)+1)/12))))-(IF(OR(N200="",N200&lt;=0),0,(O200/N200)*(IF(OR(N200="",N200&lt;=0),0,IF((YEAR(D200)+14)&lt;YEAR(E200),0,IF((YEAR(D200)+14)&gt;=YEAR(E200)+N200,0,IF((YEAR(D200)+14)=YEAR(E200),(12-MONTH(E200)+1)/12,1))))))))*TaxRate,0))-IF(14=0,O200,0))</f>
        <v/>
      </c>
      <c r="AH200" s="29">
        <f>IF(A200="","",((K200)*(IF(M200="",L200,IFERROR(IF(INDEX(Variablen!$I:$AT, MATCH(M200, Variablen!$A:$A, 0), MATCH((YEAR(D200)+15), Variablen!$I$3:$AT$3, 0))="",L200,INDEX(Variablen!$I:$AT, MATCH(M200, Variablen!$A:$A, 0), MATCH((YEAR(D200)+15), Variablen!$I$3:$AT$3, 0))),L200)))*(IF((YEAR(D200)+15)&lt;YEAR(E200),0,IF((YEAR(D200)+15)&gt;YEAR(E200),1,(12-MONTH(E200)+1)/12))) + (Q200)*(IF((YEAR(D200)+15)&lt;YEAR(E200),0,IF((YEAR(D200)+15)&gt;YEAR(E200),1,(12-MONTH(E200)+1)/12))))-((P200)*(IF((YEAR(D200)+15)&lt;YEAR(E200),0,IF((YEAR(D200)+15)&gt;YEAR(E200),1,(12-MONTH(E200)+1)/12))) + (R200)*(IF((YEAR(D200)+15)&lt;YEAR(E200),0,IF((YEAR(D200)+15)&gt;YEAR(E200),1,(12-MONTH(E200)+1)/12))))-(IF((((K200)*(IF(M200="",L200,IFERROR(IF(INDEX(Variablen!$I:$AT, MATCH(M200, Variablen!$A:$A, 0), MATCH((YEAR(D200)+15), Variablen!$I$3:$AT$3, 0))="",L200,INDEX(Variablen!$I:$AT, MATCH(M200, Variablen!$A:$A, 0), MATCH((YEAR(D200)+15), Variablen!$I$3:$AT$3, 0))),L200)))*(IF((YEAR(D200)+15)&lt;YEAR(E200),0,IF((YEAR(D200)+15)&gt;YEAR(E200),1,(12-MONTH(E200)+1)/12))) + (Q200)*(IF((YEAR(D200)+15)&lt;YEAR(E200),0,IF((YEAR(D200)+15)&gt;YEAR(E200),1,(12-MONTH(E200)+1)/12))))-((P200)*(IF((YEAR(D200)+15)&lt;YEAR(E200),0,IF((YEAR(D200)+15)&gt;YEAR(E200),1,(12-MONTH(E200)+1)/12))) + (R200)*(IF((YEAR(D200)+15)&lt;YEAR(E200),0,IF((YEAR(D200)+15)&gt;YEAR(E200),1,(12-MONTH(E200)+1)/12))))-(IF(OR(N200="",N200&lt;=0),0,(O200/N200)*(IF(OR(N200="",N200&lt;=0),0,IF((YEAR(D200)+15)&lt;YEAR(E200),0,IF((YEAR(D200)+15)&gt;=YEAR(E200)+N200,0,IF((YEAR(D200)+15)=YEAR(E200),(12-MONTH(E200)+1)/12,1))))))))&gt;0,(((K200)*(IF(M200="",L200,IFERROR(IF(INDEX(Variablen!$I:$AT, MATCH(M200, Variablen!$A:$A, 0), MATCH((YEAR(D200)+15), Variablen!$I$3:$AT$3, 0))="",L200,INDEX(Variablen!$I:$AT, MATCH(M200, Variablen!$A:$A, 0), MATCH((YEAR(D200)+15), Variablen!$I$3:$AT$3, 0))),L200)))*(IF((YEAR(D200)+15)&lt;YEAR(E200),0,IF((YEAR(D200)+15)&gt;YEAR(E200),1,(12-MONTH(E200)+1)/12))) + (Q200)*(IF((YEAR(D200)+15)&lt;YEAR(E200),0,IF((YEAR(D200)+15)&gt;YEAR(E200),1,(12-MONTH(E200)+1)/12))))-((P200)*(IF((YEAR(D200)+15)&lt;YEAR(E200),0,IF((YEAR(D200)+15)&gt;YEAR(E200),1,(12-MONTH(E200)+1)/12))) + (R200)*(IF((YEAR(D200)+15)&lt;YEAR(E200),0,IF((YEAR(D200)+15)&gt;YEAR(E200),1,(12-MONTH(E200)+1)/12))))-(IF(OR(N200="",N200&lt;=0),0,(O200/N200)*(IF(OR(N200="",N200&lt;=0),0,IF((YEAR(D200)+15)&lt;YEAR(E200),0,IF((YEAR(D200)+15)&gt;=YEAR(E200)+N200,0,IF((YEAR(D200)+15)=YEAR(E200),(12-MONTH(E200)+1)/12,1))))))))*TaxRate,0))-IF(15=0,O200,0))</f>
        <v/>
      </c>
      <c r="AI200" s="29">
        <f>IF(A200="","",((K200)*(IF(M200="",L200,IFERROR(IF(INDEX(Variablen!$I:$AT, MATCH(M200, Variablen!$A:$A, 0), MATCH((YEAR(D200)+16), Variablen!$I$3:$AT$3, 0))="",L200,INDEX(Variablen!$I:$AT, MATCH(M200, Variablen!$A:$A, 0), MATCH((YEAR(D200)+16), Variablen!$I$3:$AT$3, 0))),L200)))*(IF((YEAR(D200)+16)&lt;YEAR(E200),0,IF((YEAR(D200)+16)&gt;YEAR(E200),1,(12-MONTH(E200)+1)/12))) + (Q200)*(IF((YEAR(D200)+16)&lt;YEAR(E200),0,IF((YEAR(D200)+16)&gt;YEAR(E200),1,(12-MONTH(E200)+1)/12))))-((P200)*(IF((YEAR(D200)+16)&lt;YEAR(E200),0,IF((YEAR(D200)+16)&gt;YEAR(E200),1,(12-MONTH(E200)+1)/12))) + (R200)*(IF((YEAR(D200)+16)&lt;YEAR(E200),0,IF((YEAR(D200)+16)&gt;YEAR(E200),1,(12-MONTH(E200)+1)/12))))-(IF((((K200)*(IF(M200="",L200,IFERROR(IF(INDEX(Variablen!$I:$AT, MATCH(M200, Variablen!$A:$A, 0), MATCH((YEAR(D200)+16), Variablen!$I$3:$AT$3, 0))="",L200,INDEX(Variablen!$I:$AT, MATCH(M200, Variablen!$A:$A, 0), MATCH((YEAR(D200)+16), Variablen!$I$3:$AT$3, 0))),L200)))*(IF((YEAR(D200)+16)&lt;YEAR(E200),0,IF((YEAR(D200)+16)&gt;YEAR(E200),1,(12-MONTH(E200)+1)/12))) + (Q200)*(IF((YEAR(D200)+16)&lt;YEAR(E200),0,IF((YEAR(D200)+16)&gt;YEAR(E200),1,(12-MONTH(E200)+1)/12))))-((P200)*(IF((YEAR(D200)+16)&lt;YEAR(E200),0,IF((YEAR(D200)+16)&gt;YEAR(E200),1,(12-MONTH(E200)+1)/12))) + (R200)*(IF((YEAR(D200)+16)&lt;YEAR(E200),0,IF((YEAR(D200)+16)&gt;YEAR(E200),1,(12-MONTH(E200)+1)/12))))-(IF(OR(N200="",N200&lt;=0),0,(O200/N200)*(IF(OR(N200="",N200&lt;=0),0,IF((YEAR(D200)+16)&lt;YEAR(E200),0,IF((YEAR(D200)+16)&gt;=YEAR(E200)+N200,0,IF((YEAR(D200)+16)=YEAR(E200),(12-MONTH(E200)+1)/12,1))))))))&gt;0,(((K200)*(IF(M200="",L200,IFERROR(IF(INDEX(Variablen!$I:$AT, MATCH(M200, Variablen!$A:$A, 0), MATCH((YEAR(D200)+16), Variablen!$I$3:$AT$3, 0))="",L200,INDEX(Variablen!$I:$AT, MATCH(M200, Variablen!$A:$A, 0), MATCH((YEAR(D200)+16), Variablen!$I$3:$AT$3, 0))),L200)))*(IF((YEAR(D200)+16)&lt;YEAR(E200),0,IF((YEAR(D200)+16)&gt;YEAR(E200),1,(12-MONTH(E200)+1)/12))) + (Q200)*(IF((YEAR(D200)+16)&lt;YEAR(E200),0,IF((YEAR(D200)+16)&gt;YEAR(E200),1,(12-MONTH(E200)+1)/12))))-((P200)*(IF((YEAR(D200)+16)&lt;YEAR(E200),0,IF((YEAR(D200)+16)&gt;YEAR(E200),1,(12-MONTH(E200)+1)/12))) + (R200)*(IF((YEAR(D200)+16)&lt;YEAR(E200),0,IF((YEAR(D200)+16)&gt;YEAR(E200),1,(12-MONTH(E200)+1)/12))))-(IF(OR(N200="",N200&lt;=0),0,(O200/N200)*(IF(OR(N200="",N200&lt;=0),0,IF((YEAR(D200)+16)&lt;YEAR(E200),0,IF((YEAR(D200)+16)&gt;=YEAR(E200)+N200,0,IF((YEAR(D200)+16)=YEAR(E200),(12-MONTH(E200)+1)/12,1))))))))*TaxRate,0))-IF(16=0,O200,0))</f>
        <v/>
      </c>
      <c r="AJ200" s="29">
        <f>IF(A200="","",((K200)*(IF(M200="",L200,IFERROR(IF(INDEX(Variablen!$I:$AT, MATCH(M200, Variablen!$A:$A, 0), MATCH((YEAR(D200)+17), Variablen!$I$3:$AT$3, 0))="",L200,INDEX(Variablen!$I:$AT, MATCH(M200, Variablen!$A:$A, 0), MATCH((YEAR(D200)+17), Variablen!$I$3:$AT$3, 0))),L200)))*(IF((YEAR(D200)+17)&lt;YEAR(E200),0,IF((YEAR(D200)+17)&gt;YEAR(E200),1,(12-MONTH(E200)+1)/12))) + (Q200)*(IF((YEAR(D200)+17)&lt;YEAR(E200),0,IF((YEAR(D200)+17)&gt;YEAR(E200),1,(12-MONTH(E200)+1)/12))))-((P200)*(IF((YEAR(D200)+17)&lt;YEAR(E200),0,IF((YEAR(D200)+17)&gt;YEAR(E200),1,(12-MONTH(E200)+1)/12))) + (R200)*(IF((YEAR(D200)+17)&lt;YEAR(E200),0,IF((YEAR(D200)+17)&gt;YEAR(E200),1,(12-MONTH(E200)+1)/12))))-(IF((((K200)*(IF(M200="",L200,IFERROR(IF(INDEX(Variablen!$I:$AT, MATCH(M200, Variablen!$A:$A, 0), MATCH((YEAR(D200)+17), Variablen!$I$3:$AT$3, 0))="",L200,INDEX(Variablen!$I:$AT, MATCH(M200, Variablen!$A:$A, 0), MATCH((YEAR(D200)+17), Variablen!$I$3:$AT$3, 0))),L200)))*(IF((YEAR(D200)+17)&lt;YEAR(E200),0,IF((YEAR(D200)+17)&gt;YEAR(E200),1,(12-MONTH(E200)+1)/12))) + (Q200)*(IF((YEAR(D200)+17)&lt;YEAR(E200),0,IF((YEAR(D200)+17)&gt;YEAR(E200),1,(12-MONTH(E200)+1)/12))))-((P200)*(IF((YEAR(D200)+17)&lt;YEAR(E200),0,IF((YEAR(D200)+17)&gt;YEAR(E200),1,(12-MONTH(E200)+1)/12))) + (R200)*(IF((YEAR(D200)+17)&lt;YEAR(E200),0,IF((YEAR(D200)+17)&gt;YEAR(E200),1,(12-MONTH(E200)+1)/12))))-(IF(OR(N200="",N200&lt;=0),0,(O200/N200)*(IF(OR(N200="",N200&lt;=0),0,IF((YEAR(D200)+17)&lt;YEAR(E200),0,IF((YEAR(D200)+17)&gt;=YEAR(E200)+N200,0,IF((YEAR(D200)+17)=YEAR(E200),(12-MONTH(E200)+1)/12,1))))))))&gt;0,(((K200)*(IF(M200="",L200,IFERROR(IF(INDEX(Variablen!$I:$AT, MATCH(M200, Variablen!$A:$A, 0), MATCH((YEAR(D200)+17), Variablen!$I$3:$AT$3, 0))="",L200,INDEX(Variablen!$I:$AT, MATCH(M200, Variablen!$A:$A, 0), MATCH((YEAR(D200)+17), Variablen!$I$3:$AT$3, 0))),L200)))*(IF((YEAR(D200)+17)&lt;YEAR(E200),0,IF((YEAR(D200)+17)&gt;YEAR(E200),1,(12-MONTH(E200)+1)/12))) + (Q200)*(IF((YEAR(D200)+17)&lt;YEAR(E200),0,IF((YEAR(D200)+17)&gt;YEAR(E200),1,(12-MONTH(E200)+1)/12))))-((P200)*(IF((YEAR(D200)+17)&lt;YEAR(E200),0,IF((YEAR(D200)+17)&gt;YEAR(E200),1,(12-MONTH(E200)+1)/12))) + (R200)*(IF((YEAR(D200)+17)&lt;YEAR(E200),0,IF((YEAR(D200)+17)&gt;YEAR(E200),1,(12-MONTH(E200)+1)/12))))-(IF(OR(N200="",N200&lt;=0),0,(O200/N200)*(IF(OR(N200="",N200&lt;=0),0,IF((YEAR(D200)+17)&lt;YEAR(E200),0,IF((YEAR(D200)+17)&gt;=YEAR(E200)+N200,0,IF((YEAR(D200)+17)=YEAR(E200),(12-MONTH(E200)+1)/12,1))))))))*TaxRate,0))-IF(17=0,O200,0))</f>
        <v/>
      </c>
      <c r="AK200" s="29">
        <f>IF(A200="","",((K200)*(IF(M200="",L200,IFERROR(IF(INDEX(Variablen!$I:$AT, MATCH(M200, Variablen!$A:$A, 0), MATCH((YEAR(D200)+18), Variablen!$I$3:$AT$3, 0))="",L200,INDEX(Variablen!$I:$AT, MATCH(M200, Variablen!$A:$A, 0), MATCH((YEAR(D200)+18), Variablen!$I$3:$AT$3, 0))),L200)))*(IF((YEAR(D200)+18)&lt;YEAR(E200),0,IF((YEAR(D200)+18)&gt;YEAR(E200),1,(12-MONTH(E200)+1)/12))) + (Q200)*(IF((YEAR(D200)+18)&lt;YEAR(E200),0,IF((YEAR(D200)+18)&gt;YEAR(E200),1,(12-MONTH(E200)+1)/12))))-((P200)*(IF((YEAR(D200)+18)&lt;YEAR(E200),0,IF((YEAR(D200)+18)&gt;YEAR(E200),1,(12-MONTH(E200)+1)/12))) + (R200)*(IF((YEAR(D200)+18)&lt;YEAR(E200),0,IF((YEAR(D200)+18)&gt;YEAR(E200),1,(12-MONTH(E200)+1)/12))))-(IF((((K200)*(IF(M200="",L200,IFERROR(IF(INDEX(Variablen!$I:$AT, MATCH(M200, Variablen!$A:$A, 0), MATCH((YEAR(D200)+18), Variablen!$I$3:$AT$3, 0))="",L200,INDEX(Variablen!$I:$AT, MATCH(M200, Variablen!$A:$A, 0), MATCH((YEAR(D200)+18), Variablen!$I$3:$AT$3, 0))),L200)))*(IF((YEAR(D200)+18)&lt;YEAR(E200),0,IF((YEAR(D200)+18)&gt;YEAR(E200),1,(12-MONTH(E200)+1)/12))) + (Q200)*(IF((YEAR(D200)+18)&lt;YEAR(E200),0,IF((YEAR(D200)+18)&gt;YEAR(E200),1,(12-MONTH(E200)+1)/12))))-((P200)*(IF((YEAR(D200)+18)&lt;YEAR(E200),0,IF((YEAR(D200)+18)&gt;YEAR(E200),1,(12-MONTH(E200)+1)/12))) + (R200)*(IF((YEAR(D200)+18)&lt;YEAR(E200),0,IF((YEAR(D200)+18)&gt;YEAR(E200),1,(12-MONTH(E200)+1)/12))))-(IF(OR(N200="",N200&lt;=0),0,(O200/N200)*(IF(OR(N200="",N200&lt;=0),0,IF((YEAR(D200)+18)&lt;YEAR(E200),0,IF((YEAR(D200)+18)&gt;=YEAR(E200)+N200,0,IF((YEAR(D200)+18)=YEAR(E200),(12-MONTH(E200)+1)/12,1))))))))&gt;0,(((K200)*(IF(M200="",L200,IFERROR(IF(INDEX(Variablen!$I:$AT, MATCH(M200, Variablen!$A:$A, 0), MATCH((YEAR(D200)+18), Variablen!$I$3:$AT$3, 0))="",L200,INDEX(Variablen!$I:$AT, MATCH(M200, Variablen!$A:$A, 0), MATCH((YEAR(D200)+18), Variablen!$I$3:$AT$3, 0))),L200)))*(IF((YEAR(D200)+18)&lt;YEAR(E200),0,IF((YEAR(D200)+18)&gt;YEAR(E200),1,(12-MONTH(E200)+1)/12))) + (Q200)*(IF((YEAR(D200)+18)&lt;YEAR(E200),0,IF((YEAR(D200)+18)&gt;YEAR(E200),1,(12-MONTH(E200)+1)/12))))-((P200)*(IF((YEAR(D200)+18)&lt;YEAR(E200),0,IF((YEAR(D200)+18)&gt;YEAR(E200),1,(12-MONTH(E200)+1)/12))) + (R200)*(IF((YEAR(D200)+18)&lt;YEAR(E200),0,IF((YEAR(D200)+18)&gt;YEAR(E200),1,(12-MONTH(E200)+1)/12))))-(IF(OR(N200="",N200&lt;=0),0,(O200/N200)*(IF(OR(N200="",N200&lt;=0),0,IF((YEAR(D200)+18)&lt;YEAR(E200),0,IF((YEAR(D200)+18)&gt;=YEAR(E200)+N200,0,IF((YEAR(D200)+18)=YEAR(E200),(12-MONTH(E200)+1)/12,1))))))))*TaxRate,0))-IF(18=0,O200,0))</f>
        <v/>
      </c>
      <c r="AL200" s="29">
        <f>IF(A200="","",((K200)*(IF(M200="",L200,IFERROR(IF(INDEX(Variablen!$I:$AT, MATCH(M200, Variablen!$A:$A, 0), MATCH((YEAR(D200)+19), Variablen!$I$3:$AT$3, 0))="",L200,INDEX(Variablen!$I:$AT, MATCH(M200, Variablen!$A:$A, 0), MATCH((YEAR(D200)+19), Variablen!$I$3:$AT$3, 0))),L200)))*(IF((YEAR(D200)+19)&lt;YEAR(E200),0,IF((YEAR(D200)+19)&gt;YEAR(E200),1,(12-MONTH(E200)+1)/12))) + (Q200)*(IF((YEAR(D200)+19)&lt;YEAR(E200),0,IF((YEAR(D200)+19)&gt;YEAR(E200),1,(12-MONTH(E200)+1)/12))))-((P200)*(IF((YEAR(D200)+19)&lt;YEAR(E200),0,IF((YEAR(D200)+19)&gt;YEAR(E200),1,(12-MONTH(E200)+1)/12))) + (R200)*(IF((YEAR(D200)+19)&lt;YEAR(E200),0,IF((YEAR(D200)+19)&gt;YEAR(E200),1,(12-MONTH(E200)+1)/12))))-(IF((((K200)*(IF(M200="",L200,IFERROR(IF(INDEX(Variablen!$I:$AT, MATCH(M200, Variablen!$A:$A, 0), MATCH((YEAR(D200)+19), Variablen!$I$3:$AT$3, 0))="",L200,INDEX(Variablen!$I:$AT, MATCH(M200, Variablen!$A:$A, 0), MATCH((YEAR(D200)+19), Variablen!$I$3:$AT$3, 0))),L200)))*(IF((YEAR(D200)+19)&lt;YEAR(E200),0,IF((YEAR(D200)+19)&gt;YEAR(E200),1,(12-MONTH(E200)+1)/12))) + (Q200)*(IF((YEAR(D200)+19)&lt;YEAR(E200),0,IF((YEAR(D200)+19)&gt;YEAR(E200),1,(12-MONTH(E200)+1)/12))))-((P200)*(IF((YEAR(D200)+19)&lt;YEAR(E200),0,IF((YEAR(D200)+19)&gt;YEAR(E200),1,(12-MONTH(E200)+1)/12))) + (R200)*(IF((YEAR(D200)+19)&lt;YEAR(E200),0,IF((YEAR(D200)+19)&gt;YEAR(E200),1,(12-MONTH(E200)+1)/12))))-(IF(OR(N200="",N200&lt;=0),0,(O200/N200)*(IF(OR(N200="",N200&lt;=0),0,IF((YEAR(D200)+19)&lt;YEAR(E200),0,IF((YEAR(D200)+19)&gt;=YEAR(E200)+N200,0,IF((YEAR(D200)+19)=YEAR(E200),(12-MONTH(E200)+1)/12,1))))))))&gt;0,(((K200)*(IF(M200="",L200,IFERROR(IF(INDEX(Variablen!$I:$AT, MATCH(M200, Variablen!$A:$A, 0), MATCH((YEAR(D200)+19), Variablen!$I$3:$AT$3, 0))="",L200,INDEX(Variablen!$I:$AT, MATCH(M200, Variablen!$A:$A, 0), MATCH((YEAR(D200)+19), Variablen!$I$3:$AT$3, 0))),L200)))*(IF((YEAR(D200)+19)&lt;YEAR(E200),0,IF((YEAR(D200)+19)&gt;YEAR(E200),1,(12-MONTH(E200)+1)/12))) + (Q200)*(IF((YEAR(D200)+19)&lt;YEAR(E200),0,IF((YEAR(D200)+19)&gt;YEAR(E200),1,(12-MONTH(E200)+1)/12))))-((P200)*(IF((YEAR(D200)+19)&lt;YEAR(E200),0,IF((YEAR(D200)+19)&gt;YEAR(E200),1,(12-MONTH(E200)+1)/12))) + (R200)*(IF((YEAR(D200)+19)&lt;YEAR(E200),0,IF((YEAR(D200)+19)&gt;YEAR(E200),1,(12-MONTH(E200)+1)/12))))-(IF(OR(N200="",N200&lt;=0),0,(O200/N200)*(IF(OR(N200="",N200&lt;=0),0,IF((YEAR(D200)+19)&lt;YEAR(E200),0,IF((YEAR(D200)+19)&gt;=YEAR(E200)+N200,0,IF((YEAR(D200)+19)=YEAR(E200),(12-MONTH(E200)+1)/12,1))))))))*TaxRate,0))-IF(19=0,O200,0))</f>
        <v/>
      </c>
      <c r="AM200" s="29">
        <f>IF(A200="","",((K200)*(IF(M200="",L200,IFERROR(IF(INDEX(Variablen!$I:$AT, MATCH(M200, Variablen!$A:$A, 0), MATCH((YEAR(D200)+20), Variablen!$I$3:$AT$3, 0))="",L200,INDEX(Variablen!$I:$AT, MATCH(M200, Variablen!$A:$A, 0), MATCH((YEAR(D200)+20), Variablen!$I$3:$AT$3, 0))),L200)))*(IF((YEAR(D200)+20)&lt;YEAR(E200),0,IF((YEAR(D200)+20)&gt;YEAR(E200),1,(12-MONTH(E200)+1)/12))) + (Q200)*(IF((YEAR(D200)+20)&lt;YEAR(E200),0,IF((YEAR(D200)+20)&gt;YEAR(E200),1,(12-MONTH(E200)+1)/12))))-((P200)*(IF((YEAR(D200)+20)&lt;YEAR(E200),0,IF((YEAR(D200)+20)&gt;YEAR(E200),1,(12-MONTH(E200)+1)/12))) + (R200)*(IF((YEAR(D200)+20)&lt;YEAR(E200),0,IF((YEAR(D200)+20)&gt;YEAR(E200),1,(12-MONTH(E200)+1)/12))))-(IF((((K200)*(IF(M200="",L200,IFERROR(IF(INDEX(Variablen!$I:$AT, MATCH(M200, Variablen!$A:$A, 0), MATCH((YEAR(D200)+20), Variablen!$I$3:$AT$3, 0))="",L200,INDEX(Variablen!$I:$AT, MATCH(M200, Variablen!$A:$A, 0), MATCH((YEAR(D200)+20), Variablen!$I$3:$AT$3, 0))),L200)))*(IF((YEAR(D200)+20)&lt;YEAR(E200),0,IF((YEAR(D200)+20)&gt;YEAR(E200),1,(12-MONTH(E200)+1)/12))) + (Q200)*(IF((YEAR(D200)+20)&lt;YEAR(E200),0,IF((YEAR(D200)+20)&gt;YEAR(E200),1,(12-MONTH(E200)+1)/12))))-((P200)*(IF((YEAR(D200)+20)&lt;YEAR(E200),0,IF((YEAR(D200)+20)&gt;YEAR(E200),1,(12-MONTH(E200)+1)/12))) + (R200)*(IF((YEAR(D200)+20)&lt;YEAR(E200),0,IF((YEAR(D200)+20)&gt;YEAR(E200),1,(12-MONTH(E200)+1)/12))))-(IF(OR(N200="",N200&lt;=0),0,(O200/N200)*(IF(OR(N200="",N200&lt;=0),0,IF((YEAR(D200)+20)&lt;YEAR(E200),0,IF((YEAR(D200)+20)&gt;=YEAR(E200)+N200,0,IF((YEAR(D200)+20)=YEAR(E200),(12-MONTH(E200)+1)/12,1))))))))&gt;0,(((K200)*(IF(M200="",L200,IFERROR(IF(INDEX(Variablen!$I:$AT, MATCH(M200, Variablen!$A:$A, 0), MATCH((YEAR(D200)+20), Variablen!$I$3:$AT$3, 0))="",L200,INDEX(Variablen!$I:$AT, MATCH(M200, Variablen!$A:$A, 0), MATCH((YEAR(D200)+20), Variablen!$I$3:$AT$3, 0))),L200)))*(IF((YEAR(D200)+20)&lt;YEAR(E200),0,IF((YEAR(D200)+20)&gt;YEAR(E200),1,(12-MONTH(E200)+1)/12))) + (Q200)*(IF((YEAR(D200)+20)&lt;YEAR(E200),0,IF((YEAR(D200)+20)&gt;YEAR(E200),1,(12-MONTH(E200)+1)/12))))-((P200)*(IF((YEAR(D200)+20)&lt;YEAR(E200),0,IF((YEAR(D200)+20)&gt;YEAR(E200),1,(12-MONTH(E200)+1)/12))) + (R200)*(IF((YEAR(D200)+20)&lt;YEAR(E200),0,IF((YEAR(D200)+20)&gt;YEAR(E200),1,(12-MONTH(E200)+1)/12))))-(IF(OR(N200="",N200&lt;=0),0,(O200/N200)*(IF(OR(N200="",N200&lt;=0),0,IF((YEAR(D200)+20)&lt;YEAR(E200),0,IF((YEAR(D200)+20)&gt;=YEAR(E200)+N200,0,IF((YEAR(D200)+20)=YEAR(E200),(12-MONTH(E200)+1)/12,1))))))))*TaxRate,0))-IF(20=0,O200,0))</f>
        <v/>
      </c>
      <c r="AN200" s="29">
        <f>IF(A200="","",S200)</f>
        <v/>
      </c>
      <c r="AO200" s="29">
        <f>IF(A200="","",AN200+T200)</f>
        <v/>
      </c>
      <c r="AP200" s="29">
        <f>IF(A200="","",AO200+U200)</f>
        <v/>
      </c>
      <c r="AQ200" s="29">
        <f>IF(A200="","",AP200+V200)</f>
        <v/>
      </c>
      <c r="AR200" s="29">
        <f>IF(A200="","",AQ200+W200)</f>
        <v/>
      </c>
      <c r="AS200" s="29">
        <f>IF(A200="","",AR200+X200)</f>
        <v/>
      </c>
      <c r="AT200" s="29">
        <f>IF(A200="","",AS200+Y200)</f>
        <v/>
      </c>
      <c r="AU200" s="29">
        <f>IF(A200="","",AT200+Z200)</f>
        <v/>
      </c>
      <c r="AV200" s="29">
        <f>IF(A200="","",AU200+AA200)</f>
        <v/>
      </c>
      <c r="AW200" s="29">
        <f>IF(A200="","",AV200+AB200)</f>
        <v/>
      </c>
      <c r="AX200" s="29">
        <f>IF(A200="","",AW200+AC200)</f>
        <v/>
      </c>
      <c r="AY200" s="29">
        <f>IF(A200="","",AX200+AD200)</f>
        <v/>
      </c>
      <c r="AZ200" s="29">
        <f>IF(A200="","",AY200+AE200)</f>
        <v/>
      </c>
      <c r="BA200" s="29">
        <f>IF(A200="","",AZ200+AF200)</f>
        <v/>
      </c>
      <c r="BB200" s="29">
        <f>IF(A200="","",BA200+AG200)</f>
        <v/>
      </c>
      <c r="BC200" s="29">
        <f>IF(A200="","",BB200+AH200)</f>
        <v/>
      </c>
      <c r="BD200" s="29">
        <f>IF(A200="","",BC200+AI200)</f>
        <v/>
      </c>
      <c r="BE200" s="29">
        <f>IF(A200="","",BD200+AJ200)</f>
        <v/>
      </c>
      <c r="BF200" s="29">
        <f>IF(A200="","",BE200+AK200)</f>
        <v/>
      </c>
      <c r="BG200" s="29">
        <f>IF(A200="","",BF200+AL200)</f>
        <v/>
      </c>
      <c r="BH200" s="29">
        <f>IF(A200="","",BG200+AM200)</f>
        <v/>
      </c>
      <c r="BI200" s="36">
        <f>IF(A200="","",(K200)*(IF((YEAR(D200)+0)&lt;YEAR(E200),0,IF((YEAR(D200)+0)&gt;YEAR(E200),1,(12-MONTH(E200)+1)/12)))*(1/(1+DiscountRate)^0))</f>
        <v/>
      </c>
      <c r="BJ200" s="36">
        <f>IF(A200="","",(K200)*(IF((YEAR(D200)+1)&lt;YEAR(E200),0,IF((YEAR(D200)+1)&gt;YEAR(E200),1,(12-MONTH(E200)+1)/12)))*(1/(1+DiscountRate)^1))</f>
        <v/>
      </c>
      <c r="BK200" s="36">
        <f>IF(A200="","",(K200)*(IF((YEAR(D200)+2)&lt;YEAR(E200),0,IF((YEAR(D200)+2)&gt;YEAR(E200),1,(12-MONTH(E200)+1)/12)))*(1/(1+DiscountRate)^2))</f>
        <v/>
      </c>
      <c r="BL200" s="36">
        <f>IF(A200="","",(K200)*(IF((YEAR(D200)+3)&lt;YEAR(E200),0,IF((YEAR(D200)+3)&gt;YEAR(E200),1,(12-MONTH(E200)+1)/12)))*(1/(1+DiscountRate)^3))</f>
        <v/>
      </c>
      <c r="BM200" s="36">
        <f>IF(A200="","",(K200)*(IF((YEAR(D200)+4)&lt;YEAR(E200),0,IF((YEAR(D200)+4)&gt;YEAR(E200),1,(12-MONTH(E200)+1)/12)))*(1/(1+DiscountRate)^4))</f>
        <v/>
      </c>
      <c r="BN200" s="36">
        <f>IF(A200="","",(K200)*(IF((YEAR(D200)+5)&lt;YEAR(E200),0,IF((YEAR(D200)+5)&gt;YEAR(E200),1,(12-MONTH(E200)+1)/12)))*(1/(1+DiscountRate)^5))</f>
        <v/>
      </c>
      <c r="BO200" s="36">
        <f>IF(A200="","",(K200)*(IF((YEAR(D200)+6)&lt;YEAR(E200),0,IF((YEAR(D200)+6)&gt;YEAR(E200),1,(12-MONTH(E200)+1)/12)))*(1/(1+DiscountRate)^6))</f>
        <v/>
      </c>
      <c r="BP200" s="36">
        <f>IF(A200="","",(K200)*(IF((YEAR(D200)+7)&lt;YEAR(E200),0,IF((YEAR(D200)+7)&gt;YEAR(E200),1,(12-MONTH(E200)+1)/12)))*(1/(1+DiscountRate)^7))</f>
        <v/>
      </c>
      <c r="BQ200" s="36">
        <f>IF(A200="","",(K200)*(IF((YEAR(D200)+8)&lt;YEAR(E200),0,IF((YEAR(D200)+8)&gt;YEAR(E200),1,(12-MONTH(E200)+1)/12)))*(1/(1+DiscountRate)^8))</f>
        <v/>
      </c>
      <c r="BR200" s="36">
        <f>IF(A200="","",(K200)*(IF((YEAR(D200)+9)&lt;YEAR(E200),0,IF((YEAR(D200)+9)&gt;YEAR(E200),1,(12-MONTH(E200)+1)/12)))*(1/(1+DiscountRate)^9))</f>
        <v/>
      </c>
      <c r="BS200" s="36">
        <f>IF(A200="","",(K200)*(IF((YEAR(D200)+10)&lt;YEAR(E200),0,IF((YEAR(D200)+10)&gt;YEAR(E200),1,(12-MONTH(E200)+1)/12)))*(1/(1+DiscountRate)^10))</f>
        <v/>
      </c>
      <c r="BT200" s="36">
        <f>IF(A200="","",(K200)*(IF((YEAR(D200)+11)&lt;YEAR(E200),0,IF((YEAR(D200)+11)&gt;YEAR(E200),1,(12-MONTH(E200)+1)/12)))*(1/(1+DiscountRate)^11))</f>
        <v/>
      </c>
      <c r="BU200" s="36">
        <f>IF(A200="","",(K200)*(IF((YEAR(D200)+12)&lt;YEAR(E200),0,IF((YEAR(D200)+12)&gt;YEAR(E200),1,(12-MONTH(E200)+1)/12)))*(1/(1+DiscountRate)^12))</f>
        <v/>
      </c>
      <c r="BV200" s="36">
        <f>IF(A200="","",(K200)*(IF((YEAR(D200)+13)&lt;YEAR(E200),0,IF((YEAR(D200)+13)&gt;YEAR(E200),1,(12-MONTH(E200)+1)/12)))*(1/(1+DiscountRate)^13))</f>
        <v/>
      </c>
      <c r="BW200" s="36">
        <f>IF(A200="","",(K200)*(IF((YEAR(D200)+14)&lt;YEAR(E200),0,IF((YEAR(D200)+14)&gt;YEAR(E200),1,(12-MONTH(E200)+1)/12)))*(1/(1+DiscountRate)^14))</f>
        <v/>
      </c>
      <c r="BX200" s="36">
        <f>IF(A200="","",(K200)*(IF((YEAR(D200)+15)&lt;YEAR(E200),0,IF((YEAR(D200)+15)&gt;YEAR(E200),1,(12-MONTH(E200)+1)/12)))*(1/(1+DiscountRate)^15))</f>
        <v/>
      </c>
      <c r="BY200" s="36">
        <f>IF(A200="","",(K200)*(IF((YEAR(D200)+16)&lt;YEAR(E200),0,IF((YEAR(D200)+16)&gt;YEAR(E200),1,(12-MONTH(E200)+1)/12)))*(1/(1+DiscountRate)^16))</f>
        <v/>
      </c>
      <c r="BZ200" s="36">
        <f>IF(A200="","",(K200)*(IF((YEAR(D200)+17)&lt;YEAR(E200),0,IF((YEAR(D200)+17)&gt;YEAR(E200),1,(12-MONTH(E200)+1)/12)))*(1/(1+DiscountRate)^17))</f>
        <v/>
      </c>
      <c r="CA200" s="36">
        <f>IF(A200="","",(K200)*(IF((YEAR(D200)+18)&lt;YEAR(E200),0,IF((YEAR(D200)+18)&gt;YEAR(E200),1,(12-MONTH(E200)+1)/12)))*(1/(1+DiscountRate)^18))</f>
        <v/>
      </c>
      <c r="CB200" s="36">
        <f>IF(A200="","",(K200)*(IF((YEAR(D200)+19)&lt;YEAR(E200),0,IF((YEAR(D200)+19)&gt;YEAR(E200),1,(12-MONTH(E200)+1)/12)))*(1/(1+DiscountRate)^19))</f>
        <v/>
      </c>
      <c r="CC200" s="36">
        <f>IF(A200="","",(K200)*(IF((YEAR(D200)+20)&lt;YEAR(E200),0,IF((YEAR(D200)+20)&gt;YEAR(E200),1,(12-MONTH(E200)+1)/12)))*(1/(1+DiscountRate)^20))</f>
        <v/>
      </c>
      <c r="CD200" s="29">
        <f>IF(A200="","",S200/(1+DiscountRate)^0+T200/(1+DiscountRate)^1+U200/(1+DiscountRate)^2+V200/(1+DiscountRate)^3+W200/(1+DiscountRate)^4+X200/(1+DiscountRate)^5+Y200/(1+DiscountRate)^6+Z200/(1+DiscountRate)^7+AA200/(1+DiscountRate)^8+AB200/(1+DiscountRate)^9+AC200/(1+DiscountRate)^10+AD200/(1+DiscountRate)^11+AE200/(1+DiscountRate)^12+AF200/(1+DiscountRate)^13+AG200/(1+DiscountRate)^14+AH200/(1+DiscountRate)^15+AI200/(1+DiscountRate)^16+AJ200/(1+DiscountRate)^17+AK200/(1+DiscountRate)^18+AL200/(1+DiscountRate)^19+AM200/(1+DiscountRate)^20)</f>
        <v/>
      </c>
      <c r="CE200" s="37">
        <f>IF(A200="","",IFERROR(IRR(OFFSET(S200,0,0,1,MIN(HorizonYears,20)+1)),"n/a"))</f>
        <v/>
      </c>
      <c r="CF200" s="28">
        <f>IF(A200="","",IFERROR(MATCH(TRUE,OFFSET(AN200,0,0,1,MIN(HorizonYears,20)+1)&gt;=0,0)-1,"n/a"))</f>
        <v/>
      </c>
      <c r="CG200" s="36">
        <f>IF(A200="","",SUM(OFFSET(BI200,0,0,1,MIN(HorizonYears,20)+1)))</f>
        <v/>
      </c>
      <c r="CH200" s="36">
        <f>IF(A200="","",IFERROR(-CD200/CG200,"n/a"))</f>
        <v/>
      </c>
    </row>
    <row r="201">
      <c r="A201" s="6">
        <f>Actions!A199</f>
        <v/>
      </c>
      <c r="B201" s="6">
        <f>Actions!B199</f>
        <v/>
      </c>
      <c r="C201" s="6">
        <f>Actions!D199</f>
        <v/>
      </c>
      <c r="D201" s="35">
        <f>Actions!E199</f>
        <v/>
      </c>
      <c r="E201" s="35">
        <f>Actions!F199</f>
        <v/>
      </c>
      <c r="F201" s="6">
        <f>Actions!G199</f>
        <v/>
      </c>
      <c r="G201" s="6">
        <f>Actions!H199</f>
        <v/>
      </c>
      <c r="H201" s="29">
        <f>Actions!I199</f>
        <v/>
      </c>
      <c r="I201" s="6">
        <f>Actions!J199</f>
        <v/>
      </c>
      <c r="J201" s="16">
        <f>Actions!K199</f>
        <v/>
      </c>
      <c r="K201" s="16">
        <f>IF(A201="","",IF(I201="%",H201*J201,J201))</f>
        <v/>
      </c>
      <c r="L201" s="16">
        <f>Actions!L199</f>
        <v/>
      </c>
      <c r="M201" s="6">
        <f>Actions!M199</f>
        <v/>
      </c>
      <c r="N201" s="28">
        <f>Actions!N199</f>
        <v/>
      </c>
      <c r="O201" s="29">
        <f>Actions!T199</f>
        <v/>
      </c>
      <c r="P201" s="29">
        <f>Actions!Y199</f>
        <v/>
      </c>
      <c r="Q201" s="29">
        <f>Actions!Z199</f>
        <v/>
      </c>
      <c r="R201" s="29">
        <f>Actions!AA199</f>
        <v/>
      </c>
      <c r="S201" s="29">
        <f>IF(A201="","",((K201)*(IF(M201="",L201,IFERROR(IF(INDEX(Variablen!$I:$AT, MATCH(M201, Variablen!$A:$A, 0), MATCH((YEAR(D201)+0), Variablen!$I$3:$AT$3, 0))="",L201,INDEX(Variablen!$I:$AT, MATCH(M201, Variablen!$A:$A, 0), MATCH((YEAR(D201)+0), Variablen!$I$3:$AT$3, 0))),L201)))*(IF((YEAR(D201)+0)&lt;YEAR(E201),0,IF((YEAR(D201)+0)&gt;YEAR(E201),1,(12-MONTH(E201)+1)/12))) + (Q201)*(IF((YEAR(D201)+0)&lt;YEAR(E201),0,IF((YEAR(D201)+0)&gt;YEAR(E201),1,(12-MONTH(E201)+1)/12))))-((P201)*(IF((YEAR(D201)+0)&lt;YEAR(E201),0,IF((YEAR(D201)+0)&gt;YEAR(E201),1,(12-MONTH(E201)+1)/12))) + (R201)*(IF((YEAR(D201)+0)&lt;YEAR(E201),0,IF((YEAR(D201)+0)&gt;YEAR(E201),1,(12-MONTH(E201)+1)/12))))-(IF((((K201)*(IF(M201="",L201,IFERROR(IF(INDEX(Variablen!$I:$AT, MATCH(M201, Variablen!$A:$A, 0), MATCH((YEAR(D201)+0), Variablen!$I$3:$AT$3, 0))="",L201,INDEX(Variablen!$I:$AT, MATCH(M201, Variablen!$A:$A, 0), MATCH((YEAR(D201)+0), Variablen!$I$3:$AT$3, 0))),L201)))*(IF((YEAR(D201)+0)&lt;YEAR(E201),0,IF((YEAR(D201)+0)&gt;YEAR(E201),1,(12-MONTH(E201)+1)/12))) + (Q201)*(IF((YEAR(D201)+0)&lt;YEAR(E201),0,IF((YEAR(D201)+0)&gt;YEAR(E201),1,(12-MONTH(E201)+1)/12))))-((P201)*(IF((YEAR(D201)+0)&lt;YEAR(E201),0,IF((YEAR(D201)+0)&gt;YEAR(E201),1,(12-MONTH(E201)+1)/12))) + (R201)*(IF((YEAR(D201)+0)&lt;YEAR(E201),0,IF((YEAR(D201)+0)&gt;YEAR(E201),1,(12-MONTH(E201)+1)/12))))-(IF(OR(N201="",N201&lt;=0),0,(O201/N201)*(IF(OR(N201="",N201&lt;=0),0,IF((YEAR(D201)+0)&lt;YEAR(E201),0,IF((YEAR(D201)+0)&gt;=YEAR(E201)+N201,0,IF((YEAR(D201)+0)=YEAR(E201),(12-MONTH(E201)+1)/12,1))))))))&gt;0,(((K201)*(IF(M201="",L201,IFERROR(IF(INDEX(Variablen!$I:$AT, MATCH(M201, Variablen!$A:$A, 0), MATCH((YEAR(D201)+0), Variablen!$I$3:$AT$3, 0))="",L201,INDEX(Variablen!$I:$AT, MATCH(M201, Variablen!$A:$A, 0), MATCH((YEAR(D201)+0), Variablen!$I$3:$AT$3, 0))),L201)))*(IF((YEAR(D201)+0)&lt;YEAR(E201),0,IF((YEAR(D201)+0)&gt;YEAR(E201),1,(12-MONTH(E201)+1)/12))) + (Q201)*(IF((YEAR(D201)+0)&lt;YEAR(E201),0,IF((YEAR(D201)+0)&gt;YEAR(E201),1,(12-MONTH(E201)+1)/12))))-((P201)*(IF((YEAR(D201)+0)&lt;YEAR(E201),0,IF((YEAR(D201)+0)&gt;YEAR(E201),1,(12-MONTH(E201)+1)/12))) + (R201)*(IF((YEAR(D201)+0)&lt;YEAR(E201),0,IF((YEAR(D201)+0)&gt;YEAR(E201),1,(12-MONTH(E201)+1)/12))))-(IF(OR(N201="",N201&lt;=0),0,(O201/N201)*(IF(OR(N201="",N201&lt;=0),0,IF((YEAR(D201)+0)&lt;YEAR(E201),0,IF((YEAR(D201)+0)&gt;=YEAR(E201)+N201,0,IF((YEAR(D201)+0)=YEAR(E201),(12-MONTH(E201)+1)/12,1))))))))*TaxRate,0))-IF(0=0,O201,0))</f>
        <v/>
      </c>
      <c r="T201" s="29">
        <f>IF(A201="","",((K201)*(IF(M201="",L201,IFERROR(IF(INDEX(Variablen!$I:$AT, MATCH(M201, Variablen!$A:$A, 0), MATCH((YEAR(D201)+1), Variablen!$I$3:$AT$3, 0))="",L201,INDEX(Variablen!$I:$AT, MATCH(M201, Variablen!$A:$A, 0), MATCH((YEAR(D201)+1), Variablen!$I$3:$AT$3, 0))),L201)))*(IF((YEAR(D201)+1)&lt;YEAR(E201),0,IF((YEAR(D201)+1)&gt;YEAR(E201),1,(12-MONTH(E201)+1)/12))) + (Q201)*(IF((YEAR(D201)+1)&lt;YEAR(E201),0,IF((YEAR(D201)+1)&gt;YEAR(E201),1,(12-MONTH(E201)+1)/12))))-((P201)*(IF((YEAR(D201)+1)&lt;YEAR(E201),0,IF((YEAR(D201)+1)&gt;YEAR(E201),1,(12-MONTH(E201)+1)/12))) + (R201)*(IF((YEAR(D201)+1)&lt;YEAR(E201),0,IF((YEAR(D201)+1)&gt;YEAR(E201),1,(12-MONTH(E201)+1)/12))))-(IF((((K201)*(IF(M201="",L201,IFERROR(IF(INDEX(Variablen!$I:$AT, MATCH(M201, Variablen!$A:$A, 0), MATCH((YEAR(D201)+1), Variablen!$I$3:$AT$3, 0))="",L201,INDEX(Variablen!$I:$AT, MATCH(M201, Variablen!$A:$A, 0), MATCH((YEAR(D201)+1), Variablen!$I$3:$AT$3, 0))),L201)))*(IF((YEAR(D201)+1)&lt;YEAR(E201),0,IF((YEAR(D201)+1)&gt;YEAR(E201),1,(12-MONTH(E201)+1)/12))) + (Q201)*(IF((YEAR(D201)+1)&lt;YEAR(E201),0,IF((YEAR(D201)+1)&gt;YEAR(E201),1,(12-MONTH(E201)+1)/12))))-((P201)*(IF((YEAR(D201)+1)&lt;YEAR(E201),0,IF((YEAR(D201)+1)&gt;YEAR(E201),1,(12-MONTH(E201)+1)/12))) + (R201)*(IF((YEAR(D201)+1)&lt;YEAR(E201),0,IF((YEAR(D201)+1)&gt;YEAR(E201),1,(12-MONTH(E201)+1)/12))))-(IF(OR(N201="",N201&lt;=0),0,(O201/N201)*(IF(OR(N201="",N201&lt;=0),0,IF((YEAR(D201)+1)&lt;YEAR(E201),0,IF((YEAR(D201)+1)&gt;=YEAR(E201)+N201,0,IF((YEAR(D201)+1)=YEAR(E201),(12-MONTH(E201)+1)/12,1))))))))&gt;0,(((K201)*(IF(M201="",L201,IFERROR(IF(INDEX(Variablen!$I:$AT, MATCH(M201, Variablen!$A:$A, 0), MATCH((YEAR(D201)+1), Variablen!$I$3:$AT$3, 0))="",L201,INDEX(Variablen!$I:$AT, MATCH(M201, Variablen!$A:$A, 0), MATCH((YEAR(D201)+1), Variablen!$I$3:$AT$3, 0))),L201)))*(IF((YEAR(D201)+1)&lt;YEAR(E201),0,IF((YEAR(D201)+1)&gt;YEAR(E201),1,(12-MONTH(E201)+1)/12))) + (Q201)*(IF((YEAR(D201)+1)&lt;YEAR(E201),0,IF((YEAR(D201)+1)&gt;YEAR(E201),1,(12-MONTH(E201)+1)/12))))-((P201)*(IF((YEAR(D201)+1)&lt;YEAR(E201),0,IF((YEAR(D201)+1)&gt;YEAR(E201),1,(12-MONTH(E201)+1)/12))) + (R201)*(IF((YEAR(D201)+1)&lt;YEAR(E201),0,IF((YEAR(D201)+1)&gt;YEAR(E201),1,(12-MONTH(E201)+1)/12))))-(IF(OR(N201="",N201&lt;=0),0,(O201/N201)*(IF(OR(N201="",N201&lt;=0),0,IF((YEAR(D201)+1)&lt;YEAR(E201),0,IF((YEAR(D201)+1)&gt;=YEAR(E201)+N201,0,IF((YEAR(D201)+1)=YEAR(E201),(12-MONTH(E201)+1)/12,1))))))))*TaxRate,0))-IF(1=0,O201,0))</f>
        <v/>
      </c>
      <c r="U201" s="29">
        <f>IF(A201="","",((K201)*(IF(M201="",L201,IFERROR(IF(INDEX(Variablen!$I:$AT, MATCH(M201, Variablen!$A:$A, 0), MATCH((YEAR(D201)+2), Variablen!$I$3:$AT$3, 0))="",L201,INDEX(Variablen!$I:$AT, MATCH(M201, Variablen!$A:$A, 0), MATCH((YEAR(D201)+2), Variablen!$I$3:$AT$3, 0))),L201)))*(IF((YEAR(D201)+2)&lt;YEAR(E201),0,IF((YEAR(D201)+2)&gt;YEAR(E201),1,(12-MONTH(E201)+1)/12))) + (Q201)*(IF((YEAR(D201)+2)&lt;YEAR(E201),0,IF((YEAR(D201)+2)&gt;YEAR(E201),1,(12-MONTH(E201)+1)/12))))-((P201)*(IF((YEAR(D201)+2)&lt;YEAR(E201),0,IF((YEAR(D201)+2)&gt;YEAR(E201),1,(12-MONTH(E201)+1)/12))) + (R201)*(IF((YEAR(D201)+2)&lt;YEAR(E201),0,IF((YEAR(D201)+2)&gt;YEAR(E201),1,(12-MONTH(E201)+1)/12))))-(IF((((K201)*(IF(M201="",L201,IFERROR(IF(INDEX(Variablen!$I:$AT, MATCH(M201, Variablen!$A:$A, 0), MATCH((YEAR(D201)+2), Variablen!$I$3:$AT$3, 0))="",L201,INDEX(Variablen!$I:$AT, MATCH(M201, Variablen!$A:$A, 0), MATCH((YEAR(D201)+2), Variablen!$I$3:$AT$3, 0))),L201)))*(IF((YEAR(D201)+2)&lt;YEAR(E201),0,IF((YEAR(D201)+2)&gt;YEAR(E201),1,(12-MONTH(E201)+1)/12))) + (Q201)*(IF((YEAR(D201)+2)&lt;YEAR(E201),0,IF((YEAR(D201)+2)&gt;YEAR(E201),1,(12-MONTH(E201)+1)/12))))-((P201)*(IF((YEAR(D201)+2)&lt;YEAR(E201),0,IF((YEAR(D201)+2)&gt;YEAR(E201),1,(12-MONTH(E201)+1)/12))) + (R201)*(IF((YEAR(D201)+2)&lt;YEAR(E201),0,IF((YEAR(D201)+2)&gt;YEAR(E201),1,(12-MONTH(E201)+1)/12))))-(IF(OR(N201="",N201&lt;=0),0,(O201/N201)*(IF(OR(N201="",N201&lt;=0),0,IF((YEAR(D201)+2)&lt;YEAR(E201),0,IF((YEAR(D201)+2)&gt;=YEAR(E201)+N201,0,IF((YEAR(D201)+2)=YEAR(E201),(12-MONTH(E201)+1)/12,1))))))))&gt;0,(((K201)*(IF(M201="",L201,IFERROR(IF(INDEX(Variablen!$I:$AT, MATCH(M201, Variablen!$A:$A, 0), MATCH((YEAR(D201)+2), Variablen!$I$3:$AT$3, 0))="",L201,INDEX(Variablen!$I:$AT, MATCH(M201, Variablen!$A:$A, 0), MATCH((YEAR(D201)+2), Variablen!$I$3:$AT$3, 0))),L201)))*(IF((YEAR(D201)+2)&lt;YEAR(E201),0,IF((YEAR(D201)+2)&gt;YEAR(E201),1,(12-MONTH(E201)+1)/12))) + (Q201)*(IF((YEAR(D201)+2)&lt;YEAR(E201),0,IF((YEAR(D201)+2)&gt;YEAR(E201),1,(12-MONTH(E201)+1)/12))))-((P201)*(IF((YEAR(D201)+2)&lt;YEAR(E201),0,IF((YEAR(D201)+2)&gt;YEAR(E201),1,(12-MONTH(E201)+1)/12))) + (R201)*(IF((YEAR(D201)+2)&lt;YEAR(E201),0,IF((YEAR(D201)+2)&gt;YEAR(E201),1,(12-MONTH(E201)+1)/12))))-(IF(OR(N201="",N201&lt;=0),0,(O201/N201)*(IF(OR(N201="",N201&lt;=0),0,IF((YEAR(D201)+2)&lt;YEAR(E201),0,IF((YEAR(D201)+2)&gt;=YEAR(E201)+N201,0,IF((YEAR(D201)+2)=YEAR(E201),(12-MONTH(E201)+1)/12,1))))))))*TaxRate,0))-IF(2=0,O201,0))</f>
        <v/>
      </c>
      <c r="V201" s="29">
        <f>IF(A201="","",((K201)*(IF(M201="",L201,IFERROR(IF(INDEX(Variablen!$I:$AT, MATCH(M201, Variablen!$A:$A, 0), MATCH((YEAR(D201)+3), Variablen!$I$3:$AT$3, 0))="",L201,INDEX(Variablen!$I:$AT, MATCH(M201, Variablen!$A:$A, 0), MATCH((YEAR(D201)+3), Variablen!$I$3:$AT$3, 0))),L201)))*(IF((YEAR(D201)+3)&lt;YEAR(E201),0,IF((YEAR(D201)+3)&gt;YEAR(E201),1,(12-MONTH(E201)+1)/12))) + (Q201)*(IF((YEAR(D201)+3)&lt;YEAR(E201),0,IF((YEAR(D201)+3)&gt;YEAR(E201),1,(12-MONTH(E201)+1)/12))))-((P201)*(IF((YEAR(D201)+3)&lt;YEAR(E201),0,IF((YEAR(D201)+3)&gt;YEAR(E201),1,(12-MONTH(E201)+1)/12))) + (R201)*(IF((YEAR(D201)+3)&lt;YEAR(E201),0,IF((YEAR(D201)+3)&gt;YEAR(E201),1,(12-MONTH(E201)+1)/12))))-(IF((((K201)*(IF(M201="",L201,IFERROR(IF(INDEX(Variablen!$I:$AT, MATCH(M201, Variablen!$A:$A, 0), MATCH((YEAR(D201)+3), Variablen!$I$3:$AT$3, 0))="",L201,INDEX(Variablen!$I:$AT, MATCH(M201, Variablen!$A:$A, 0), MATCH((YEAR(D201)+3), Variablen!$I$3:$AT$3, 0))),L201)))*(IF((YEAR(D201)+3)&lt;YEAR(E201),0,IF((YEAR(D201)+3)&gt;YEAR(E201),1,(12-MONTH(E201)+1)/12))) + (Q201)*(IF((YEAR(D201)+3)&lt;YEAR(E201),0,IF((YEAR(D201)+3)&gt;YEAR(E201),1,(12-MONTH(E201)+1)/12))))-((P201)*(IF((YEAR(D201)+3)&lt;YEAR(E201),0,IF((YEAR(D201)+3)&gt;YEAR(E201),1,(12-MONTH(E201)+1)/12))) + (R201)*(IF((YEAR(D201)+3)&lt;YEAR(E201),0,IF((YEAR(D201)+3)&gt;YEAR(E201),1,(12-MONTH(E201)+1)/12))))-(IF(OR(N201="",N201&lt;=0),0,(O201/N201)*(IF(OR(N201="",N201&lt;=0),0,IF((YEAR(D201)+3)&lt;YEAR(E201),0,IF((YEAR(D201)+3)&gt;=YEAR(E201)+N201,0,IF((YEAR(D201)+3)=YEAR(E201),(12-MONTH(E201)+1)/12,1))))))))&gt;0,(((K201)*(IF(M201="",L201,IFERROR(IF(INDEX(Variablen!$I:$AT, MATCH(M201, Variablen!$A:$A, 0), MATCH((YEAR(D201)+3), Variablen!$I$3:$AT$3, 0))="",L201,INDEX(Variablen!$I:$AT, MATCH(M201, Variablen!$A:$A, 0), MATCH((YEAR(D201)+3), Variablen!$I$3:$AT$3, 0))),L201)))*(IF((YEAR(D201)+3)&lt;YEAR(E201),0,IF((YEAR(D201)+3)&gt;YEAR(E201),1,(12-MONTH(E201)+1)/12))) + (Q201)*(IF((YEAR(D201)+3)&lt;YEAR(E201),0,IF((YEAR(D201)+3)&gt;YEAR(E201),1,(12-MONTH(E201)+1)/12))))-((P201)*(IF((YEAR(D201)+3)&lt;YEAR(E201),0,IF((YEAR(D201)+3)&gt;YEAR(E201),1,(12-MONTH(E201)+1)/12))) + (R201)*(IF((YEAR(D201)+3)&lt;YEAR(E201),0,IF((YEAR(D201)+3)&gt;YEAR(E201),1,(12-MONTH(E201)+1)/12))))-(IF(OR(N201="",N201&lt;=0),0,(O201/N201)*(IF(OR(N201="",N201&lt;=0),0,IF((YEAR(D201)+3)&lt;YEAR(E201),0,IF((YEAR(D201)+3)&gt;=YEAR(E201)+N201,0,IF((YEAR(D201)+3)=YEAR(E201),(12-MONTH(E201)+1)/12,1))))))))*TaxRate,0))-IF(3=0,O201,0))</f>
        <v/>
      </c>
      <c r="W201" s="29">
        <f>IF(A201="","",((K201)*(IF(M201="",L201,IFERROR(IF(INDEX(Variablen!$I:$AT, MATCH(M201, Variablen!$A:$A, 0), MATCH((YEAR(D201)+4), Variablen!$I$3:$AT$3, 0))="",L201,INDEX(Variablen!$I:$AT, MATCH(M201, Variablen!$A:$A, 0), MATCH((YEAR(D201)+4), Variablen!$I$3:$AT$3, 0))),L201)))*(IF((YEAR(D201)+4)&lt;YEAR(E201),0,IF((YEAR(D201)+4)&gt;YEAR(E201),1,(12-MONTH(E201)+1)/12))) + (Q201)*(IF((YEAR(D201)+4)&lt;YEAR(E201),0,IF((YEAR(D201)+4)&gt;YEAR(E201),1,(12-MONTH(E201)+1)/12))))-((P201)*(IF((YEAR(D201)+4)&lt;YEAR(E201),0,IF((YEAR(D201)+4)&gt;YEAR(E201),1,(12-MONTH(E201)+1)/12))) + (R201)*(IF((YEAR(D201)+4)&lt;YEAR(E201),0,IF((YEAR(D201)+4)&gt;YEAR(E201),1,(12-MONTH(E201)+1)/12))))-(IF((((K201)*(IF(M201="",L201,IFERROR(IF(INDEX(Variablen!$I:$AT, MATCH(M201, Variablen!$A:$A, 0), MATCH((YEAR(D201)+4), Variablen!$I$3:$AT$3, 0))="",L201,INDEX(Variablen!$I:$AT, MATCH(M201, Variablen!$A:$A, 0), MATCH((YEAR(D201)+4), Variablen!$I$3:$AT$3, 0))),L201)))*(IF((YEAR(D201)+4)&lt;YEAR(E201),0,IF((YEAR(D201)+4)&gt;YEAR(E201),1,(12-MONTH(E201)+1)/12))) + (Q201)*(IF((YEAR(D201)+4)&lt;YEAR(E201),0,IF((YEAR(D201)+4)&gt;YEAR(E201),1,(12-MONTH(E201)+1)/12))))-((P201)*(IF((YEAR(D201)+4)&lt;YEAR(E201),0,IF((YEAR(D201)+4)&gt;YEAR(E201),1,(12-MONTH(E201)+1)/12))) + (R201)*(IF((YEAR(D201)+4)&lt;YEAR(E201),0,IF((YEAR(D201)+4)&gt;YEAR(E201),1,(12-MONTH(E201)+1)/12))))-(IF(OR(N201="",N201&lt;=0),0,(O201/N201)*(IF(OR(N201="",N201&lt;=0),0,IF((YEAR(D201)+4)&lt;YEAR(E201),0,IF((YEAR(D201)+4)&gt;=YEAR(E201)+N201,0,IF((YEAR(D201)+4)=YEAR(E201),(12-MONTH(E201)+1)/12,1))))))))&gt;0,(((K201)*(IF(M201="",L201,IFERROR(IF(INDEX(Variablen!$I:$AT, MATCH(M201, Variablen!$A:$A, 0), MATCH((YEAR(D201)+4), Variablen!$I$3:$AT$3, 0))="",L201,INDEX(Variablen!$I:$AT, MATCH(M201, Variablen!$A:$A, 0), MATCH((YEAR(D201)+4), Variablen!$I$3:$AT$3, 0))),L201)))*(IF((YEAR(D201)+4)&lt;YEAR(E201),0,IF((YEAR(D201)+4)&gt;YEAR(E201),1,(12-MONTH(E201)+1)/12))) + (Q201)*(IF((YEAR(D201)+4)&lt;YEAR(E201),0,IF((YEAR(D201)+4)&gt;YEAR(E201),1,(12-MONTH(E201)+1)/12))))-((P201)*(IF((YEAR(D201)+4)&lt;YEAR(E201),0,IF((YEAR(D201)+4)&gt;YEAR(E201),1,(12-MONTH(E201)+1)/12))) + (R201)*(IF((YEAR(D201)+4)&lt;YEAR(E201),0,IF((YEAR(D201)+4)&gt;YEAR(E201),1,(12-MONTH(E201)+1)/12))))-(IF(OR(N201="",N201&lt;=0),0,(O201/N201)*(IF(OR(N201="",N201&lt;=0),0,IF((YEAR(D201)+4)&lt;YEAR(E201),0,IF((YEAR(D201)+4)&gt;=YEAR(E201)+N201,0,IF((YEAR(D201)+4)=YEAR(E201),(12-MONTH(E201)+1)/12,1))))))))*TaxRate,0))-IF(4=0,O201,0))</f>
        <v/>
      </c>
      <c r="X201" s="29">
        <f>IF(A201="","",((K201)*(IF(M201="",L201,IFERROR(IF(INDEX(Variablen!$I:$AT, MATCH(M201, Variablen!$A:$A, 0), MATCH((YEAR(D201)+5), Variablen!$I$3:$AT$3, 0))="",L201,INDEX(Variablen!$I:$AT, MATCH(M201, Variablen!$A:$A, 0), MATCH((YEAR(D201)+5), Variablen!$I$3:$AT$3, 0))),L201)))*(IF((YEAR(D201)+5)&lt;YEAR(E201),0,IF((YEAR(D201)+5)&gt;YEAR(E201),1,(12-MONTH(E201)+1)/12))) + (Q201)*(IF((YEAR(D201)+5)&lt;YEAR(E201),0,IF((YEAR(D201)+5)&gt;YEAR(E201),1,(12-MONTH(E201)+1)/12))))-((P201)*(IF((YEAR(D201)+5)&lt;YEAR(E201),0,IF((YEAR(D201)+5)&gt;YEAR(E201),1,(12-MONTH(E201)+1)/12))) + (R201)*(IF((YEAR(D201)+5)&lt;YEAR(E201),0,IF((YEAR(D201)+5)&gt;YEAR(E201),1,(12-MONTH(E201)+1)/12))))-(IF((((K201)*(IF(M201="",L201,IFERROR(IF(INDEX(Variablen!$I:$AT, MATCH(M201, Variablen!$A:$A, 0), MATCH((YEAR(D201)+5), Variablen!$I$3:$AT$3, 0))="",L201,INDEX(Variablen!$I:$AT, MATCH(M201, Variablen!$A:$A, 0), MATCH((YEAR(D201)+5), Variablen!$I$3:$AT$3, 0))),L201)))*(IF((YEAR(D201)+5)&lt;YEAR(E201),0,IF((YEAR(D201)+5)&gt;YEAR(E201),1,(12-MONTH(E201)+1)/12))) + (Q201)*(IF((YEAR(D201)+5)&lt;YEAR(E201),0,IF((YEAR(D201)+5)&gt;YEAR(E201),1,(12-MONTH(E201)+1)/12))))-((P201)*(IF((YEAR(D201)+5)&lt;YEAR(E201),0,IF((YEAR(D201)+5)&gt;YEAR(E201),1,(12-MONTH(E201)+1)/12))) + (R201)*(IF((YEAR(D201)+5)&lt;YEAR(E201),0,IF((YEAR(D201)+5)&gt;YEAR(E201),1,(12-MONTH(E201)+1)/12))))-(IF(OR(N201="",N201&lt;=0),0,(O201/N201)*(IF(OR(N201="",N201&lt;=0),0,IF((YEAR(D201)+5)&lt;YEAR(E201),0,IF((YEAR(D201)+5)&gt;=YEAR(E201)+N201,0,IF((YEAR(D201)+5)=YEAR(E201),(12-MONTH(E201)+1)/12,1))))))))&gt;0,(((K201)*(IF(M201="",L201,IFERROR(IF(INDEX(Variablen!$I:$AT, MATCH(M201, Variablen!$A:$A, 0), MATCH((YEAR(D201)+5), Variablen!$I$3:$AT$3, 0))="",L201,INDEX(Variablen!$I:$AT, MATCH(M201, Variablen!$A:$A, 0), MATCH((YEAR(D201)+5), Variablen!$I$3:$AT$3, 0))),L201)))*(IF((YEAR(D201)+5)&lt;YEAR(E201),0,IF((YEAR(D201)+5)&gt;YEAR(E201),1,(12-MONTH(E201)+1)/12))) + (Q201)*(IF((YEAR(D201)+5)&lt;YEAR(E201),0,IF((YEAR(D201)+5)&gt;YEAR(E201),1,(12-MONTH(E201)+1)/12))))-((P201)*(IF((YEAR(D201)+5)&lt;YEAR(E201),0,IF((YEAR(D201)+5)&gt;YEAR(E201),1,(12-MONTH(E201)+1)/12))) + (R201)*(IF((YEAR(D201)+5)&lt;YEAR(E201),0,IF((YEAR(D201)+5)&gt;YEAR(E201),1,(12-MONTH(E201)+1)/12))))-(IF(OR(N201="",N201&lt;=0),0,(O201/N201)*(IF(OR(N201="",N201&lt;=0),0,IF((YEAR(D201)+5)&lt;YEAR(E201),0,IF((YEAR(D201)+5)&gt;=YEAR(E201)+N201,0,IF((YEAR(D201)+5)=YEAR(E201),(12-MONTH(E201)+1)/12,1))))))))*TaxRate,0))-IF(5=0,O201,0))</f>
        <v/>
      </c>
      <c r="Y201" s="29">
        <f>IF(A201="","",((K201)*(IF(M201="",L201,IFERROR(IF(INDEX(Variablen!$I:$AT, MATCH(M201, Variablen!$A:$A, 0), MATCH((YEAR(D201)+6), Variablen!$I$3:$AT$3, 0))="",L201,INDEX(Variablen!$I:$AT, MATCH(M201, Variablen!$A:$A, 0), MATCH((YEAR(D201)+6), Variablen!$I$3:$AT$3, 0))),L201)))*(IF((YEAR(D201)+6)&lt;YEAR(E201),0,IF((YEAR(D201)+6)&gt;YEAR(E201),1,(12-MONTH(E201)+1)/12))) + (Q201)*(IF((YEAR(D201)+6)&lt;YEAR(E201),0,IF((YEAR(D201)+6)&gt;YEAR(E201),1,(12-MONTH(E201)+1)/12))))-((P201)*(IF((YEAR(D201)+6)&lt;YEAR(E201),0,IF((YEAR(D201)+6)&gt;YEAR(E201),1,(12-MONTH(E201)+1)/12))) + (R201)*(IF((YEAR(D201)+6)&lt;YEAR(E201),0,IF((YEAR(D201)+6)&gt;YEAR(E201),1,(12-MONTH(E201)+1)/12))))-(IF((((K201)*(IF(M201="",L201,IFERROR(IF(INDEX(Variablen!$I:$AT, MATCH(M201, Variablen!$A:$A, 0), MATCH((YEAR(D201)+6), Variablen!$I$3:$AT$3, 0))="",L201,INDEX(Variablen!$I:$AT, MATCH(M201, Variablen!$A:$A, 0), MATCH((YEAR(D201)+6), Variablen!$I$3:$AT$3, 0))),L201)))*(IF((YEAR(D201)+6)&lt;YEAR(E201),0,IF((YEAR(D201)+6)&gt;YEAR(E201),1,(12-MONTH(E201)+1)/12))) + (Q201)*(IF((YEAR(D201)+6)&lt;YEAR(E201),0,IF((YEAR(D201)+6)&gt;YEAR(E201),1,(12-MONTH(E201)+1)/12))))-((P201)*(IF((YEAR(D201)+6)&lt;YEAR(E201),0,IF((YEAR(D201)+6)&gt;YEAR(E201),1,(12-MONTH(E201)+1)/12))) + (R201)*(IF((YEAR(D201)+6)&lt;YEAR(E201),0,IF((YEAR(D201)+6)&gt;YEAR(E201),1,(12-MONTH(E201)+1)/12))))-(IF(OR(N201="",N201&lt;=0),0,(O201/N201)*(IF(OR(N201="",N201&lt;=0),0,IF((YEAR(D201)+6)&lt;YEAR(E201),0,IF((YEAR(D201)+6)&gt;=YEAR(E201)+N201,0,IF((YEAR(D201)+6)=YEAR(E201),(12-MONTH(E201)+1)/12,1))))))))&gt;0,(((K201)*(IF(M201="",L201,IFERROR(IF(INDEX(Variablen!$I:$AT, MATCH(M201, Variablen!$A:$A, 0), MATCH((YEAR(D201)+6), Variablen!$I$3:$AT$3, 0))="",L201,INDEX(Variablen!$I:$AT, MATCH(M201, Variablen!$A:$A, 0), MATCH((YEAR(D201)+6), Variablen!$I$3:$AT$3, 0))),L201)))*(IF((YEAR(D201)+6)&lt;YEAR(E201),0,IF((YEAR(D201)+6)&gt;YEAR(E201),1,(12-MONTH(E201)+1)/12))) + (Q201)*(IF((YEAR(D201)+6)&lt;YEAR(E201),0,IF((YEAR(D201)+6)&gt;YEAR(E201),1,(12-MONTH(E201)+1)/12))))-((P201)*(IF((YEAR(D201)+6)&lt;YEAR(E201),0,IF((YEAR(D201)+6)&gt;YEAR(E201),1,(12-MONTH(E201)+1)/12))) + (R201)*(IF((YEAR(D201)+6)&lt;YEAR(E201),0,IF((YEAR(D201)+6)&gt;YEAR(E201),1,(12-MONTH(E201)+1)/12))))-(IF(OR(N201="",N201&lt;=0),0,(O201/N201)*(IF(OR(N201="",N201&lt;=0),0,IF((YEAR(D201)+6)&lt;YEAR(E201),0,IF((YEAR(D201)+6)&gt;=YEAR(E201)+N201,0,IF((YEAR(D201)+6)=YEAR(E201),(12-MONTH(E201)+1)/12,1))))))))*TaxRate,0))-IF(6=0,O201,0))</f>
        <v/>
      </c>
      <c r="Z201" s="29">
        <f>IF(A201="","",((K201)*(IF(M201="",L201,IFERROR(IF(INDEX(Variablen!$I:$AT, MATCH(M201, Variablen!$A:$A, 0), MATCH((YEAR(D201)+7), Variablen!$I$3:$AT$3, 0))="",L201,INDEX(Variablen!$I:$AT, MATCH(M201, Variablen!$A:$A, 0), MATCH((YEAR(D201)+7), Variablen!$I$3:$AT$3, 0))),L201)))*(IF((YEAR(D201)+7)&lt;YEAR(E201),0,IF((YEAR(D201)+7)&gt;YEAR(E201),1,(12-MONTH(E201)+1)/12))) + (Q201)*(IF((YEAR(D201)+7)&lt;YEAR(E201),0,IF((YEAR(D201)+7)&gt;YEAR(E201),1,(12-MONTH(E201)+1)/12))))-((P201)*(IF((YEAR(D201)+7)&lt;YEAR(E201),0,IF((YEAR(D201)+7)&gt;YEAR(E201),1,(12-MONTH(E201)+1)/12))) + (R201)*(IF((YEAR(D201)+7)&lt;YEAR(E201),0,IF((YEAR(D201)+7)&gt;YEAR(E201),1,(12-MONTH(E201)+1)/12))))-(IF((((K201)*(IF(M201="",L201,IFERROR(IF(INDEX(Variablen!$I:$AT, MATCH(M201, Variablen!$A:$A, 0), MATCH((YEAR(D201)+7), Variablen!$I$3:$AT$3, 0))="",L201,INDEX(Variablen!$I:$AT, MATCH(M201, Variablen!$A:$A, 0), MATCH((YEAR(D201)+7), Variablen!$I$3:$AT$3, 0))),L201)))*(IF((YEAR(D201)+7)&lt;YEAR(E201),0,IF((YEAR(D201)+7)&gt;YEAR(E201),1,(12-MONTH(E201)+1)/12))) + (Q201)*(IF((YEAR(D201)+7)&lt;YEAR(E201),0,IF((YEAR(D201)+7)&gt;YEAR(E201),1,(12-MONTH(E201)+1)/12))))-((P201)*(IF((YEAR(D201)+7)&lt;YEAR(E201),0,IF((YEAR(D201)+7)&gt;YEAR(E201),1,(12-MONTH(E201)+1)/12))) + (R201)*(IF((YEAR(D201)+7)&lt;YEAR(E201),0,IF((YEAR(D201)+7)&gt;YEAR(E201),1,(12-MONTH(E201)+1)/12))))-(IF(OR(N201="",N201&lt;=0),0,(O201/N201)*(IF(OR(N201="",N201&lt;=0),0,IF((YEAR(D201)+7)&lt;YEAR(E201),0,IF((YEAR(D201)+7)&gt;=YEAR(E201)+N201,0,IF((YEAR(D201)+7)=YEAR(E201),(12-MONTH(E201)+1)/12,1))))))))&gt;0,(((K201)*(IF(M201="",L201,IFERROR(IF(INDEX(Variablen!$I:$AT, MATCH(M201, Variablen!$A:$A, 0), MATCH((YEAR(D201)+7), Variablen!$I$3:$AT$3, 0))="",L201,INDEX(Variablen!$I:$AT, MATCH(M201, Variablen!$A:$A, 0), MATCH((YEAR(D201)+7), Variablen!$I$3:$AT$3, 0))),L201)))*(IF((YEAR(D201)+7)&lt;YEAR(E201),0,IF((YEAR(D201)+7)&gt;YEAR(E201),1,(12-MONTH(E201)+1)/12))) + (Q201)*(IF((YEAR(D201)+7)&lt;YEAR(E201),0,IF((YEAR(D201)+7)&gt;YEAR(E201),1,(12-MONTH(E201)+1)/12))))-((P201)*(IF((YEAR(D201)+7)&lt;YEAR(E201),0,IF((YEAR(D201)+7)&gt;YEAR(E201),1,(12-MONTH(E201)+1)/12))) + (R201)*(IF((YEAR(D201)+7)&lt;YEAR(E201),0,IF((YEAR(D201)+7)&gt;YEAR(E201),1,(12-MONTH(E201)+1)/12))))-(IF(OR(N201="",N201&lt;=0),0,(O201/N201)*(IF(OR(N201="",N201&lt;=0),0,IF((YEAR(D201)+7)&lt;YEAR(E201),0,IF((YEAR(D201)+7)&gt;=YEAR(E201)+N201,0,IF((YEAR(D201)+7)=YEAR(E201),(12-MONTH(E201)+1)/12,1))))))))*TaxRate,0))-IF(7=0,O201,0))</f>
        <v/>
      </c>
      <c r="AA201" s="29">
        <f>IF(A201="","",((K201)*(IF(M201="",L201,IFERROR(IF(INDEX(Variablen!$I:$AT, MATCH(M201, Variablen!$A:$A, 0), MATCH((YEAR(D201)+8), Variablen!$I$3:$AT$3, 0))="",L201,INDEX(Variablen!$I:$AT, MATCH(M201, Variablen!$A:$A, 0), MATCH((YEAR(D201)+8), Variablen!$I$3:$AT$3, 0))),L201)))*(IF((YEAR(D201)+8)&lt;YEAR(E201),0,IF((YEAR(D201)+8)&gt;YEAR(E201),1,(12-MONTH(E201)+1)/12))) + (Q201)*(IF((YEAR(D201)+8)&lt;YEAR(E201),0,IF((YEAR(D201)+8)&gt;YEAR(E201),1,(12-MONTH(E201)+1)/12))))-((P201)*(IF((YEAR(D201)+8)&lt;YEAR(E201),0,IF((YEAR(D201)+8)&gt;YEAR(E201),1,(12-MONTH(E201)+1)/12))) + (R201)*(IF((YEAR(D201)+8)&lt;YEAR(E201),0,IF((YEAR(D201)+8)&gt;YEAR(E201),1,(12-MONTH(E201)+1)/12))))-(IF((((K201)*(IF(M201="",L201,IFERROR(IF(INDEX(Variablen!$I:$AT, MATCH(M201, Variablen!$A:$A, 0), MATCH((YEAR(D201)+8), Variablen!$I$3:$AT$3, 0))="",L201,INDEX(Variablen!$I:$AT, MATCH(M201, Variablen!$A:$A, 0), MATCH((YEAR(D201)+8), Variablen!$I$3:$AT$3, 0))),L201)))*(IF((YEAR(D201)+8)&lt;YEAR(E201),0,IF((YEAR(D201)+8)&gt;YEAR(E201),1,(12-MONTH(E201)+1)/12))) + (Q201)*(IF((YEAR(D201)+8)&lt;YEAR(E201),0,IF((YEAR(D201)+8)&gt;YEAR(E201),1,(12-MONTH(E201)+1)/12))))-((P201)*(IF((YEAR(D201)+8)&lt;YEAR(E201),0,IF((YEAR(D201)+8)&gt;YEAR(E201),1,(12-MONTH(E201)+1)/12))) + (R201)*(IF((YEAR(D201)+8)&lt;YEAR(E201),0,IF((YEAR(D201)+8)&gt;YEAR(E201),1,(12-MONTH(E201)+1)/12))))-(IF(OR(N201="",N201&lt;=0),0,(O201/N201)*(IF(OR(N201="",N201&lt;=0),0,IF((YEAR(D201)+8)&lt;YEAR(E201),0,IF((YEAR(D201)+8)&gt;=YEAR(E201)+N201,0,IF((YEAR(D201)+8)=YEAR(E201),(12-MONTH(E201)+1)/12,1))))))))&gt;0,(((K201)*(IF(M201="",L201,IFERROR(IF(INDEX(Variablen!$I:$AT, MATCH(M201, Variablen!$A:$A, 0), MATCH((YEAR(D201)+8), Variablen!$I$3:$AT$3, 0))="",L201,INDEX(Variablen!$I:$AT, MATCH(M201, Variablen!$A:$A, 0), MATCH((YEAR(D201)+8), Variablen!$I$3:$AT$3, 0))),L201)))*(IF((YEAR(D201)+8)&lt;YEAR(E201),0,IF((YEAR(D201)+8)&gt;YEAR(E201),1,(12-MONTH(E201)+1)/12))) + (Q201)*(IF((YEAR(D201)+8)&lt;YEAR(E201),0,IF((YEAR(D201)+8)&gt;YEAR(E201),1,(12-MONTH(E201)+1)/12))))-((P201)*(IF((YEAR(D201)+8)&lt;YEAR(E201),0,IF((YEAR(D201)+8)&gt;YEAR(E201),1,(12-MONTH(E201)+1)/12))) + (R201)*(IF((YEAR(D201)+8)&lt;YEAR(E201),0,IF((YEAR(D201)+8)&gt;YEAR(E201),1,(12-MONTH(E201)+1)/12))))-(IF(OR(N201="",N201&lt;=0),0,(O201/N201)*(IF(OR(N201="",N201&lt;=0),0,IF((YEAR(D201)+8)&lt;YEAR(E201),0,IF((YEAR(D201)+8)&gt;=YEAR(E201)+N201,0,IF((YEAR(D201)+8)=YEAR(E201),(12-MONTH(E201)+1)/12,1))))))))*TaxRate,0))-IF(8=0,O201,0))</f>
        <v/>
      </c>
      <c r="AB201" s="29">
        <f>IF(A201="","",((K201)*(IF(M201="",L201,IFERROR(IF(INDEX(Variablen!$I:$AT, MATCH(M201, Variablen!$A:$A, 0), MATCH((YEAR(D201)+9), Variablen!$I$3:$AT$3, 0))="",L201,INDEX(Variablen!$I:$AT, MATCH(M201, Variablen!$A:$A, 0), MATCH((YEAR(D201)+9), Variablen!$I$3:$AT$3, 0))),L201)))*(IF((YEAR(D201)+9)&lt;YEAR(E201),0,IF((YEAR(D201)+9)&gt;YEAR(E201),1,(12-MONTH(E201)+1)/12))) + (Q201)*(IF((YEAR(D201)+9)&lt;YEAR(E201),0,IF((YEAR(D201)+9)&gt;YEAR(E201),1,(12-MONTH(E201)+1)/12))))-((P201)*(IF((YEAR(D201)+9)&lt;YEAR(E201),0,IF((YEAR(D201)+9)&gt;YEAR(E201),1,(12-MONTH(E201)+1)/12))) + (R201)*(IF((YEAR(D201)+9)&lt;YEAR(E201),0,IF((YEAR(D201)+9)&gt;YEAR(E201),1,(12-MONTH(E201)+1)/12))))-(IF((((K201)*(IF(M201="",L201,IFERROR(IF(INDEX(Variablen!$I:$AT, MATCH(M201, Variablen!$A:$A, 0), MATCH((YEAR(D201)+9), Variablen!$I$3:$AT$3, 0))="",L201,INDEX(Variablen!$I:$AT, MATCH(M201, Variablen!$A:$A, 0), MATCH((YEAR(D201)+9), Variablen!$I$3:$AT$3, 0))),L201)))*(IF((YEAR(D201)+9)&lt;YEAR(E201),0,IF((YEAR(D201)+9)&gt;YEAR(E201),1,(12-MONTH(E201)+1)/12))) + (Q201)*(IF((YEAR(D201)+9)&lt;YEAR(E201),0,IF((YEAR(D201)+9)&gt;YEAR(E201),1,(12-MONTH(E201)+1)/12))))-((P201)*(IF((YEAR(D201)+9)&lt;YEAR(E201),0,IF((YEAR(D201)+9)&gt;YEAR(E201),1,(12-MONTH(E201)+1)/12))) + (R201)*(IF((YEAR(D201)+9)&lt;YEAR(E201),0,IF((YEAR(D201)+9)&gt;YEAR(E201),1,(12-MONTH(E201)+1)/12))))-(IF(OR(N201="",N201&lt;=0),0,(O201/N201)*(IF(OR(N201="",N201&lt;=0),0,IF((YEAR(D201)+9)&lt;YEAR(E201),0,IF((YEAR(D201)+9)&gt;=YEAR(E201)+N201,0,IF((YEAR(D201)+9)=YEAR(E201),(12-MONTH(E201)+1)/12,1))))))))&gt;0,(((K201)*(IF(M201="",L201,IFERROR(IF(INDEX(Variablen!$I:$AT, MATCH(M201, Variablen!$A:$A, 0), MATCH((YEAR(D201)+9), Variablen!$I$3:$AT$3, 0))="",L201,INDEX(Variablen!$I:$AT, MATCH(M201, Variablen!$A:$A, 0), MATCH((YEAR(D201)+9), Variablen!$I$3:$AT$3, 0))),L201)))*(IF((YEAR(D201)+9)&lt;YEAR(E201),0,IF((YEAR(D201)+9)&gt;YEAR(E201),1,(12-MONTH(E201)+1)/12))) + (Q201)*(IF((YEAR(D201)+9)&lt;YEAR(E201),0,IF((YEAR(D201)+9)&gt;YEAR(E201),1,(12-MONTH(E201)+1)/12))))-((P201)*(IF((YEAR(D201)+9)&lt;YEAR(E201),0,IF((YEAR(D201)+9)&gt;YEAR(E201),1,(12-MONTH(E201)+1)/12))) + (R201)*(IF((YEAR(D201)+9)&lt;YEAR(E201),0,IF((YEAR(D201)+9)&gt;YEAR(E201),1,(12-MONTH(E201)+1)/12))))-(IF(OR(N201="",N201&lt;=0),0,(O201/N201)*(IF(OR(N201="",N201&lt;=0),0,IF((YEAR(D201)+9)&lt;YEAR(E201),0,IF((YEAR(D201)+9)&gt;=YEAR(E201)+N201,0,IF((YEAR(D201)+9)=YEAR(E201),(12-MONTH(E201)+1)/12,1))))))))*TaxRate,0))-IF(9=0,O201,0))</f>
        <v/>
      </c>
      <c r="AC201" s="29">
        <f>IF(A201="","",((K201)*(IF(M201="",L201,IFERROR(IF(INDEX(Variablen!$I:$AT, MATCH(M201, Variablen!$A:$A, 0), MATCH((YEAR(D201)+10), Variablen!$I$3:$AT$3, 0))="",L201,INDEX(Variablen!$I:$AT, MATCH(M201, Variablen!$A:$A, 0), MATCH((YEAR(D201)+10), Variablen!$I$3:$AT$3, 0))),L201)))*(IF((YEAR(D201)+10)&lt;YEAR(E201),0,IF((YEAR(D201)+10)&gt;YEAR(E201),1,(12-MONTH(E201)+1)/12))) + (Q201)*(IF((YEAR(D201)+10)&lt;YEAR(E201),0,IF((YEAR(D201)+10)&gt;YEAR(E201),1,(12-MONTH(E201)+1)/12))))-((P201)*(IF((YEAR(D201)+10)&lt;YEAR(E201),0,IF((YEAR(D201)+10)&gt;YEAR(E201),1,(12-MONTH(E201)+1)/12))) + (R201)*(IF((YEAR(D201)+10)&lt;YEAR(E201),0,IF((YEAR(D201)+10)&gt;YEAR(E201),1,(12-MONTH(E201)+1)/12))))-(IF((((K201)*(IF(M201="",L201,IFERROR(IF(INDEX(Variablen!$I:$AT, MATCH(M201, Variablen!$A:$A, 0), MATCH((YEAR(D201)+10), Variablen!$I$3:$AT$3, 0))="",L201,INDEX(Variablen!$I:$AT, MATCH(M201, Variablen!$A:$A, 0), MATCH((YEAR(D201)+10), Variablen!$I$3:$AT$3, 0))),L201)))*(IF((YEAR(D201)+10)&lt;YEAR(E201),0,IF((YEAR(D201)+10)&gt;YEAR(E201),1,(12-MONTH(E201)+1)/12))) + (Q201)*(IF((YEAR(D201)+10)&lt;YEAR(E201),0,IF((YEAR(D201)+10)&gt;YEAR(E201),1,(12-MONTH(E201)+1)/12))))-((P201)*(IF((YEAR(D201)+10)&lt;YEAR(E201),0,IF((YEAR(D201)+10)&gt;YEAR(E201),1,(12-MONTH(E201)+1)/12))) + (R201)*(IF((YEAR(D201)+10)&lt;YEAR(E201),0,IF((YEAR(D201)+10)&gt;YEAR(E201),1,(12-MONTH(E201)+1)/12))))-(IF(OR(N201="",N201&lt;=0),0,(O201/N201)*(IF(OR(N201="",N201&lt;=0),0,IF((YEAR(D201)+10)&lt;YEAR(E201),0,IF((YEAR(D201)+10)&gt;=YEAR(E201)+N201,0,IF((YEAR(D201)+10)=YEAR(E201),(12-MONTH(E201)+1)/12,1))))))))&gt;0,(((K201)*(IF(M201="",L201,IFERROR(IF(INDEX(Variablen!$I:$AT, MATCH(M201, Variablen!$A:$A, 0), MATCH((YEAR(D201)+10), Variablen!$I$3:$AT$3, 0))="",L201,INDEX(Variablen!$I:$AT, MATCH(M201, Variablen!$A:$A, 0), MATCH((YEAR(D201)+10), Variablen!$I$3:$AT$3, 0))),L201)))*(IF((YEAR(D201)+10)&lt;YEAR(E201),0,IF((YEAR(D201)+10)&gt;YEAR(E201),1,(12-MONTH(E201)+1)/12))) + (Q201)*(IF((YEAR(D201)+10)&lt;YEAR(E201),0,IF((YEAR(D201)+10)&gt;YEAR(E201),1,(12-MONTH(E201)+1)/12))))-((P201)*(IF((YEAR(D201)+10)&lt;YEAR(E201),0,IF((YEAR(D201)+10)&gt;YEAR(E201),1,(12-MONTH(E201)+1)/12))) + (R201)*(IF((YEAR(D201)+10)&lt;YEAR(E201),0,IF((YEAR(D201)+10)&gt;YEAR(E201),1,(12-MONTH(E201)+1)/12))))-(IF(OR(N201="",N201&lt;=0),0,(O201/N201)*(IF(OR(N201="",N201&lt;=0),0,IF((YEAR(D201)+10)&lt;YEAR(E201),0,IF((YEAR(D201)+10)&gt;=YEAR(E201)+N201,0,IF((YEAR(D201)+10)=YEAR(E201),(12-MONTH(E201)+1)/12,1))))))))*TaxRate,0))-IF(10=0,O201,0))</f>
        <v/>
      </c>
      <c r="AD201" s="29">
        <f>IF(A201="","",((K201)*(IF(M201="",L201,IFERROR(IF(INDEX(Variablen!$I:$AT, MATCH(M201, Variablen!$A:$A, 0), MATCH((YEAR(D201)+11), Variablen!$I$3:$AT$3, 0))="",L201,INDEX(Variablen!$I:$AT, MATCH(M201, Variablen!$A:$A, 0), MATCH((YEAR(D201)+11), Variablen!$I$3:$AT$3, 0))),L201)))*(IF((YEAR(D201)+11)&lt;YEAR(E201),0,IF((YEAR(D201)+11)&gt;YEAR(E201),1,(12-MONTH(E201)+1)/12))) + (Q201)*(IF((YEAR(D201)+11)&lt;YEAR(E201),0,IF((YEAR(D201)+11)&gt;YEAR(E201),1,(12-MONTH(E201)+1)/12))))-((P201)*(IF((YEAR(D201)+11)&lt;YEAR(E201),0,IF((YEAR(D201)+11)&gt;YEAR(E201),1,(12-MONTH(E201)+1)/12))) + (R201)*(IF((YEAR(D201)+11)&lt;YEAR(E201),0,IF((YEAR(D201)+11)&gt;YEAR(E201),1,(12-MONTH(E201)+1)/12))))-(IF((((K201)*(IF(M201="",L201,IFERROR(IF(INDEX(Variablen!$I:$AT, MATCH(M201, Variablen!$A:$A, 0), MATCH((YEAR(D201)+11), Variablen!$I$3:$AT$3, 0))="",L201,INDEX(Variablen!$I:$AT, MATCH(M201, Variablen!$A:$A, 0), MATCH((YEAR(D201)+11), Variablen!$I$3:$AT$3, 0))),L201)))*(IF((YEAR(D201)+11)&lt;YEAR(E201),0,IF((YEAR(D201)+11)&gt;YEAR(E201),1,(12-MONTH(E201)+1)/12))) + (Q201)*(IF((YEAR(D201)+11)&lt;YEAR(E201),0,IF((YEAR(D201)+11)&gt;YEAR(E201),1,(12-MONTH(E201)+1)/12))))-((P201)*(IF((YEAR(D201)+11)&lt;YEAR(E201),0,IF((YEAR(D201)+11)&gt;YEAR(E201),1,(12-MONTH(E201)+1)/12))) + (R201)*(IF((YEAR(D201)+11)&lt;YEAR(E201),0,IF((YEAR(D201)+11)&gt;YEAR(E201),1,(12-MONTH(E201)+1)/12))))-(IF(OR(N201="",N201&lt;=0),0,(O201/N201)*(IF(OR(N201="",N201&lt;=0),0,IF((YEAR(D201)+11)&lt;YEAR(E201),0,IF((YEAR(D201)+11)&gt;=YEAR(E201)+N201,0,IF((YEAR(D201)+11)=YEAR(E201),(12-MONTH(E201)+1)/12,1))))))))&gt;0,(((K201)*(IF(M201="",L201,IFERROR(IF(INDEX(Variablen!$I:$AT, MATCH(M201, Variablen!$A:$A, 0), MATCH((YEAR(D201)+11), Variablen!$I$3:$AT$3, 0))="",L201,INDEX(Variablen!$I:$AT, MATCH(M201, Variablen!$A:$A, 0), MATCH((YEAR(D201)+11), Variablen!$I$3:$AT$3, 0))),L201)))*(IF((YEAR(D201)+11)&lt;YEAR(E201),0,IF((YEAR(D201)+11)&gt;YEAR(E201),1,(12-MONTH(E201)+1)/12))) + (Q201)*(IF((YEAR(D201)+11)&lt;YEAR(E201),0,IF((YEAR(D201)+11)&gt;YEAR(E201),1,(12-MONTH(E201)+1)/12))))-((P201)*(IF((YEAR(D201)+11)&lt;YEAR(E201),0,IF((YEAR(D201)+11)&gt;YEAR(E201),1,(12-MONTH(E201)+1)/12))) + (R201)*(IF((YEAR(D201)+11)&lt;YEAR(E201),0,IF((YEAR(D201)+11)&gt;YEAR(E201),1,(12-MONTH(E201)+1)/12))))-(IF(OR(N201="",N201&lt;=0),0,(O201/N201)*(IF(OR(N201="",N201&lt;=0),0,IF((YEAR(D201)+11)&lt;YEAR(E201),0,IF((YEAR(D201)+11)&gt;=YEAR(E201)+N201,0,IF((YEAR(D201)+11)=YEAR(E201),(12-MONTH(E201)+1)/12,1))))))))*TaxRate,0))-IF(11=0,O201,0))</f>
        <v/>
      </c>
      <c r="AE201" s="29">
        <f>IF(A201="","",((K201)*(IF(M201="",L201,IFERROR(IF(INDEX(Variablen!$I:$AT, MATCH(M201, Variablen!$A:$A, 0), MATCH((YEAR(D201)+12), Variablen!$I$3:$AT$3, 0))="",L201,INDEX(Variablen!$I:$AT, MATCH(M201, Variablen!$A:$A, 0), MATCH((YEAR(D201)+12), Variablen!$I$3:$AT$3, 0))),L201)))*(IF((YEAR(D201)+12)&lt;YEAR(E201),0,IF((YEAR(D201)+12)&gt;YEAR(E201),1,(12-MONTH(E201)+1)/12))) + (Q201)*(IF((YEAR(D201)+12)&lt;YEAR(E201),0,IF((YEAR(D201)+12)&gt;YEAR(E201),1,(12-MONTH(E201)+1)/12))))-((P201)*(IF((YEAR(D201)+12)&lt;YEAR(E201),0,IF((YEAR(D201)+12)&gt;YEAR(E201),1,(12-MONTH(E201)+1)/12))) + (R201)*(IF((YEAR(D201)+12)&lt;YEAR(E201),0,IF((YEAR(D201)+12)&gt;YEAR(E201),1,(12-MONTH(E201)+1)/12))))-(IF((((K201)*(IF(M201="",L201,IFERROR(IF(INDEX(Variablen!$I:$AT, MATCH(M201, Variablen!$A:$A, 0), MATCH((YEAR(D201)+12), Variablen!$I$3:$AT$3, 0))="",L201,INDEX(Variablen!$I:$AT, MATCH(M201, Variablen!$A:$A, 0), MATCH((YEAR(D201)+12), Variablen!$I$3:$AT$3, 0))),L201)))*(IF((YEAR(D201)+12)&lt;YEAR(E201),0,IF((YEAR(D201)+12)&gt;YEAR(E201),1,(12-MONTH(E201)+1)/12))) + (Q201)*(IF((YEAR(D201)+12)&lt;YEAR(E201),0,IF((YEAR(D201)+12)&gt;YEAR(E201),1,(12-MONTH(E201)+1)/12))))-((P201)*(IF((YEAR(D201)+12)&lt;YEAR(E201),0,IF((YEAR(D201)+12)&gt;YEAR(E201),1,(12-MONTH(E201)+1)/12))) + (R201)*(IF((YEAR(D201)+12)&lt;YEAR(E201),0,IF((YEAR(D201)+12)&gt;YEAR(E201),1,(12-MONTH(E201)+1)/12))))-(IF(OR(N201="",N201&lt;=0),0,(O201/N201)*(IF(OR(N201="",N201&lt;=0),0,IF((YEAR(D201)+12)&lt;YEAR(E201),0,IF((YEAR(D201)+12)&gt;=YEAR(E201)+N201,0,IF((YEAR(D201)+12)=YEAR(E201),(12-MONTH(E201)+1)/12,1))))))))&gt;0,(((K201)*(IF(M201="",L201,IFERROR(IF(INDEX(Variablen!$I:$AT, MATCH(M201, Variablen!$A:$A, 0), MATCH((YEAR(D201)+12), Variablen!$I$3:$AT$3, 0))="",L201,INDEX(Variablen!$I:$AT, MATCH(M201, Variablen!$A:$A, 0), MATCH((YEAR(D201)+12), Variablen!$I$3:$AT$3, 0))),L201)))*(IF((YEAR(D201)+12)&lt;YEAR(E201),0,IF((YEAR(D201)+12)&gt;YEAR(E201),1,(12-MONTH(E201)+1)/12))) + (Q201)*(IF((YEAR(D201)+12)&lt;YEAR(E201),0,IF((YEAR(D201)+12)&gt;YEAR(E201),1,(12-MONTH(E201)+1)/12))))-((P201)*(IF((YEAR(D201)+12)&lt;YEAR(E201),0,IF((YEAR(D201)+12)&gt;YEAR(E201),1,(12-MONTH(E201)+1)/12))) + (R201)*(IF((YEAR(D201)+12)&lt;YEAR(E201),0,IF((YEAR(D201)+12)&gt;YEAR(E201),1,(12-MONTH(E201)+1)/12))))-(IF(OR(N201="",N201&lt;=0),0,(O201/N201)*(IF(OR(N201="",N201&lt;=0),0,IF((YEAR(D201)+12)&lt;YEAR(E201),0,IF((YEAR(D201)+12)&gt;=YEAR(E201)+N201,0,IF((YEAR(D201)+12)=YEAR(E201),(12-MONTH(E201)+1)/12,1))))))))*TaxRate,0))-IF(12=0,O201,0))</f>
        <v/>
      </c>
      <c r="AF201" s="29">
        <f>IF(A201="","",((K201)*(IF(M201="",L201,IFERROR(IF(INDEX(Variablen!$I:$AT, MATCH(M201, Variablen!$A:$A, 0), MATCH((YEAR(D201)+13), Variablen!$I$3:$AT$3, 0))="",L201,INDEX(Variablen!$I:$AT, MATCH(M201, Variablen!$A:$A, 0), MATCH((YEAR(D201)+13), Variablen!$I$3:$AT$3, 0))),L201)))*(IF((YEAR(D201)+13)&lt;YEAR(E201),0,IF((YEAR(D201)+13)&gt;YEAR(E201),1,(12-MONTH(E201)+1)/12))) + (Q201)*(IF((YEAR(D201)+13)&lt;YEAR(E201),0,IF((YEAR(D201)+13)&gt;YEAR(E201),1,(12-MONTH(E201)+1)/12))))-((P201)*(IF((YEAR(D201)+13)&lt;YEAR(E201),0,IF((YEAR(D201)+13)&gt;YEAR(E201),1,(12-MONTH(E201)+1)/12))) + (R201)*(IF((YEAR(D201)+13)&lt;YEAR(E201),0,IF((YEAR(D201)+13)&gt;YEAR(E201),1,(12-MONTH(E201)+1)/12))))-(IF((((K201)*(IF(M201="",L201,IFERROR(IF(INDEX(Variablen!$I:$AT, MATCH(M201, Variablen!$A:$A, 0), MATCH((YEAR(D201)+13), Variablen!$I$3:$AT$3, 0))="",L201,INDEX(Variablen!$I:$AT, MATCH(M201, Variablen!$A:$A, 0), MATCH((YEAR(D201)+13), Variablen!$I$3:$AT$3, 0))),L201)))*(IF((YEAR(D201)+13)&lt;YEAR(E201),0,IF((YEAR(D201)+13)&gt;YEAR(E201),1,(12-MONTH(E201)+1)/12))) + (Q201)*(IF((YEAR(D201)+13)&lt;YEAR(E201),0,IF((YEAR(D201)+13)&gt;YEAR(E201),1,(12-MONTH(E201)+1)/12))))-((P201)*(IF((YEAR(D201)+13)&lt;YEAR(E201),0,IF((YEAR(D201)+13)&gt;YEAR(E201),1,(12-MONTH(E201)+1)/12))) + (R201)*(IF((YEAR(D201)+13)&lt;YEAR(E201),0,IF((YEAR(D201)+13)&gt;YEAR(E201),1,(12-MONTH(E201)+1)/12))))-(IF(OR(N201="",N201&lt;=0),0,(O201/N201)*(IF(OR(N201="",N201&lt;=0),0,IF((YEAR(D201)+13)&lt;YEAR(E201),0,IF((YEAR(D201)+13)&gt;=YEAR(E201)+N201,0,IF((YEAR(D201)+13)=YEAR(E201),(12-MONTH(E201)+1)/12,1))))))))&gt;0,(((K201)*(IF(M201="",L201,IFERROR(IF(INDEX(Variablen!$I:$AT, MATCH(M201, Variablen!$A:$A, 0), MATCH((YEAR(D201)+13), Variablen!$I$3:$AT$3, 0))="",L201,INDEX(Variablen!$I:$AT, MATCH(M201, Variablen!$A:$A, 0), MATCH((YEAR(D201)+13), Variablen!$I$3:$AT$3, 0))),L201)))*(IF((YEAR(D201)+13)&lt;YEAR(E201),0,IF((YEAR(D201)+13)&gt;YEAR(E201),1,(12-MONTH(E201)+1)/12))) + (Q201)*(IF((YEAR(D201)+13)&lt;YEAR(E201),0,IF((YEAR(D201)+13)&gt;YEAR(E201),1,(12-MONTH(E201)+1)/12))))-((P201)*(IF((YEAR(D201)+13)&lt;YEAR(E201),0,IF((YEAR(D201)+13)&gt;YEAR(E201),1,(12-MONTH(E201)+1)/12))) + (R201)*(IF((YEAR(D201)+13)&lt;YEAR(E201),0,IF((YEAR(D201)+13)&gt;YEAR(E201),1,(12-MONTH(E201)+1)/12))))-(IF(OR(N201="",N201&lt;=0),0,(O201/N201)*(IF(OR(N201="",N201&lt;=0),0,IF((YEAR(D201)+13)&lt;YEAR(E201),0,IF((YEAR(D201)+13)&gt;=YEAR(E201)+N201,0,IF((YEAR(D201)+13)=YEAR(E201),(12-MONTH(E201)+1)/12,1))))))))*TaxRate,0))-IF(13=0,O201,0))</f>
        <v/>
      </c>
      <c r="AG201" s="29">
        <f>IF(A201="","",((K201)*(IF(M201="",L201,IFERROR(IF(INDEX(Variablen!$I:$AT, MATCH(M201, Variablen!$A:$A, 0), MATCH((YEAR(D201)+14), Variablen!$I$3:$AT$3, 0))="",L201,INDEX(Variablen!$I:$AT, MATCH(M201, Variablen!$A:$A, 0), MATCH((YEAR(D201)+14), Variablen!$I$3:$AT$3, 0))),L201)))*(IF((YEAR(D201)+14)&lt;YEAR(E201),0,IF((YEAR(D201)+14)&gt;YEAR(E201),1,(12-MONTH(E201)+1)/12))) + (Q201)*(IF((YEAR(D201)+14)&lt;YEAR(E201),0,IF((YEAR(D201)+14)&gt;YEAR(E201),1,(12-MONTH(E201)+1)/12))))-((P201)*(IF((YEAR(D201)+14)&lt;YEAR(E201),0,IF((YEAR(D201)+14)&gt;YEAR(E201),1,(12-MONTH(E201)+1)/12))) + (R201)*(IF((YEAR(D201)+14)&lt;YEAR(E201),0,IF((YEAR(D201)+14)&gt;YEAR(E201),1,(12-MONTH(E201)+1)/12))))-(IF((((K201)*(IF(M201="",L201,IFERROR(IF(INDEX(Variablen!$I:$AT, MATCH(M201, Variablen!$A:$A, 0), MATCH((YEAR(D201)+14), Variablen!$I$3:$AT$3, 0))="",L201,INDEX(Variablen!$I:$AT, MATCH(M201, Variablen!$A:$A, 0), MATCH((YEAR(D201)+14), Variablen!$I$3:$AT$3, 0))),L201)))*(IF((YEAR(D201)+14)&lt;YEAR(E201),0,IF((YEAR(D201)+14)&gt;YEAR(E201),1,(12-MONTH(E201)+1)/12))) + (Q201)*(IF((YEAR(D201)+14)&lt;YEAR(E201),0,IF((YEAR(D201)+14)&gt;YEAR(E201),1,(12-MONTH(E201)+1)/12))))-((P201)*(IF((YEAR(D201)+14)&lt;YEAR(E201),0,IF((YEAR(D201)+14)&gt;YEAR(E201),1,(12-MONTH(E201)+1)/12))) + (R201)*(IF((YEAR(D201)+14)&lt;YEAR(E201),0,IF((YEAR(D201)+14)&gt;YEAR(E201),1,(12-MONTH(E201)+1)/12))))-(IF(OR(N201="",N201&lt;=0),0,(O201/N201)*(IF(OR(N201="",N201&lt;=0),0,IF((YEAR(D201)+14)&lt;YEAR(E201),0,IF((YEAR(D201)+14)&gt;=YEAR(E201)+N201,0,IF((YEAR(D201)+14)=YEAR(E201),(12-MONTH(E201)+1)/12,1))))))))&gt;0,(((K201)*(IF(M201="",L201,IFERROR(IF(INDEX(Variablen!$I:$AT, MATCH(M201, Variablen!$A:$A, 0), MATCH((YEAR(D201)+14), Variablen!$I$3:$AT$3, 0))="",L201,INDEX(Variablen!$I:$AT, MATCH(M201, Variablen!$A:$A, 0), MATCH((YEAR(D201)+14), Variablen!$I$3:$AT$3, 0))),L201)))*(IF((YEAR(D201)+14)&lt;YEAR(E201),0,IF((YEAR(D201)+14)&gt;YEAR(E201),1,(12-MONTH(E201)+1)/12))) + (Q201)*(IF((YEAR(D201)+14)&lt;YEAR(E201),0,IF((YEAR(D201)+14)&gt;YEAR(E201),1,(12-MONTH(E201)+1)/12))))-((P201)*(IF((YEAR(D201)+14)&lt;YEAR(E201),0,IF((YEAR(D201)+14)&gt;YEAR(E201),1,(12-MONTH(E201)+1)/12))) + (R201)*(IF((YEAR(D201)+14)&lt;YEAR(E201),0,IF((YEAR(D201)+14)&gt;YEAR(E201),1,(12-MONTH(E201)+1)/12))))-(IF(OR(N201="",N201&lt;=0),0,(O201/N201)*(IF(OR(N201="",N201&lt;=0),0,IF((YEAR(D201)+14)&lt;YEAR(E201),0,IF((YEAR(D201)+14)&gt;=YEAR(E201)+N201,0,IF((YEAR(D201)+14)=YEAR(E201),(12-MONTH(E201)+1)/12,1))))))))*TaxRate,0))-IF(14=0,O201,0))</f>
        <v/>
      </c>
      <c r="AH201" s="29">
        <f>IF(A201="","",((K201)*(IF(M201="",L201,IFERROR(IF(INDEX(Variablen!$I:$AT, MATCH(M201, Variablen!$A:$A, 0), MATCH((YEAR(D201)+15), Variablen!$I$3:$AT$3, 0))="",L201,INDEX(Variablen!$I:$AT, MATCH(M201, Variablen!$A:$A, 0), MATCH((YEAR(D201)+15), Variablen!$I$3:$AT$3, 0))),L201)))*(IF((YEAR(D201)+15)&lt;YEAR(E201),0,IF((YEAR(D201)+15)&gt;YEAR(E201),1,(12-MONTH(E201)+1)/12))) + (Q201)*(IF((YEAR(D201)+15)&lt;YEAR(E201),0,IF((YEAR(D201)+15)&gt;YEAR(E201),1,(12-MONTH(E201)+1)/12))))-((P201)*(IF((YEAR(D201)+15)&lt;YEAR(E201),0,IF((YEAR(D201)+15)&gt;YEAR(E201),1,(12-MONTH(E201)+1)/12))) + (R201)*(IF((YEAR(D201)+15)&lt;YEAR(E201),0,IF((YEAR(D201)+15)&gt;YEAR(E201),1,(12-MONTH(E201)+1)/12))))-(IF((((K201)*(IF(M201="",L201,IFERROR(IF(INDEX(Variablen!$I:$AT, MATCH(M201, Variablen!$A:$A, 0), MATCH((YEAR(D201)+15), Variablen!$I$3:$AT$3, 0))="",L201,INDEX(Variablen!$I:$AT, MATCH(M201, Variablen!$A:$A, 0), MATCH((YEAR(D201)+15), Variablen!$I$3:$AT$3, 0))),L201)))*(IF((YEAR(D201)+15)&lt;YEAR(E201),0,IF((YEAR(D201)+15)&gt;YEAR(E201),1,(12-MONTH(E201)+1)/12))) + (Q201)*(IF((YEAR(D201)+15)&lt;YEAR(E201),0,IF((YEAR(D201)+15)&gt;YEAR(E201),1,(12-MONTH(E201)+1)/12))))-((P201)*(IF((YEAR(D201)+15)&lt;YEAR(E201),0,IF((YEAR(D201)+15)&gt;YEAR(E201),1,(12-MONTH(E201)+1)/12))) + (R201)*(IF((YEAR(D201)+15)&lt;YEAR(E201),0,IF((YEAR(D201)+15)&gt;YEAR(E201),1,(12-MONTH(E201)+1)/12))))-(IF(OR(N201="",N201&lt;=0),0,(O201/N201)*(IF(OR(N201="",N201&lt;=0),0,IF((YEAR(D201)+15)&lt;YEAR(E201),0,IF((YEAR(D201)+15)&gt;=YEAR(E201)+N201,0,IF((YEAR(D201)+15)=YEAR(E201),(12-MONTH(E201)+1)/12,1))))))))&gt;0,(((K201)*(IF(M201="",L201,IFERROR(IF(INDEX(Variablen!$I:$AT, MATCH(M201, Variablen!$A:$A, 0), MATCH((YEAR(D201)+15), Variablen!$I$3:$AT$3, 0))="",L201,INDEX(Variablen!$I:$AT, MATCH(M201, Variablen!$A:$A, 0), MATCH((YEAR(D201)+15), Variablen!$I$3:$AT$3, 0))),L201)))*(IF((YEAR(D201)+15)&lt;YEAR(E201),0,IF((YEAR(D201)+15)&gt;YEAR(E201),1,(12-MONTH(E201)+1)/12))) + (Q201)*(IF((YEAR(D201)+15)&lt;YEAR(E201),0,IF((YEAR(D201)+15)&gt;YEAR(E201),1,(12-MONTH(E201)+1)/12))))-((P201)*(IF((YEAR(D201)+15)&lt;YEAR(E201),0,IF((YEAR(D201)+15)&gt;YEAR(E201),1,(12-MONTH(E201)+1)/12))) + (R201)*(IF((YEAR(D201)+15)&lt;YEAR(E201),0,IF((YEAR(D201)+15)&gt;YEAR(E201),1,(12-MONTH(E201)+1)/12))))-(IF(OR(N201="",N201&lt;=0),0,(O201/N201)*(IF(OR(N201="",N201&lt;=0),0,IF((YEAR(D201)+15)&lt;YEAR(E201),0,IF((YEAR(D201)+15)&gt;=YEAR(E201)+N201,0,IF((YEAR(D201)+15)=YEAR(E201),(12-MONTH(E201)+1)/12,1))))))))*TaxRate,0))-IF(15=0,O201,0))</f>
        <v/>
      </c>
      <c r="AI201" s="29">
        <f>IF(A201="","",((K201)*(IF(M201="",L201,IFERROR(IF(INDEX(Variablen!$I:$AT, MATCH(M201, Variablen!$A:$A, 0), MATCH((YEAR(D201)+16), Variablen!$I$3:$AT$3, 0))="",L201,INDEX(Variablen!$I:$AT, MATCH(M201, Variablen!$A:$A, 0), MATCH((YEAR(D201)+16), Variablen!$I$3:$AT$3, 0))),L201)))*(IF((YEAR(D201)+16)&lt;YEAR(E201),0,IF((YEAR(D201)+16)&gt;YEAR(E201),1,(12-MONTH(E201)+1)/12))) + (Q201)*(IF((YEAR(D201)+16)&lt;YEAR(E201),0,IF((YEAR(D201)+16)&gt;YEAR(E201),1,(12-MONTH(E201)+1)/12))))-((P201)*(IF((YEAR(D201)+16)&lt;YEAR(E201),0,IF((YEAR(D201)+16)&gt;YEAR(E201),1,(12-MONTH(E201)+1)/12))) + (R201)*(IF((YEAR(D201)+16)&lt;YEAR(E201),0,IF((YEAR(D201)+16)&gt;YEAR(E201),1,(12-MONTH(E201)+1)/12))))-(IF((((K201)*(IF(M201="",L201,IFERROR(IF(INDEX(Variablen!$I:$AT, MATCH(M201, Variablen!$A:$A, 0), MATCH((YEAR(D201)+16), Variablen!$I$3:$AT$3, 0))="",L201,INDEX(Variablen!$I:$AT, MATCH(M201, Variablen!$A:$A, 0), MATCH((YEAR(D201)+16), Variablen!$I$3:$AT$3, 0))),L201)))*(IF((YEAR(D201)+16)&lt;YEAR(E201),0,IF((YEAR(D201)+16)&gt;YEAR(E201),1,(12-MONTH(E201)+1)/12))) + (Q201)*(IF((YEAR(D201)+16)&lt;YEAR(E201),0,IF((YEAR(D201)+16)&gt;YEAR(E201),1,(12-MONTH(E201)+1)/12))))-((P201)*(IF((YEAR(D201)+16)&lt;YEAR(E201),0,IF((YEAR(D201)+16)&gt;YEAR(E201),1,(12-MONTH(E201)+1)/12))) + (R201)*(IF((YEAR(D201)+16)&lt;YEAR(E201),0,IF((YEAR(D201)+16)&gt;YEAR(E201),1,(12-MONTH(E201)+1)/12))))-(IF(OR(N201="",N201&lt;=0),0,(O201/N201)*(IF(OR(N201="",N201&lt;=0),0,IF((YEAR(D201)+16)&lt;YEAR(E201),0,IF((YEAR(D201)+16)&gt;=YEAR(E201)+N201,0,IF((YEAR(D201)+16)=YEAR(E201),(12-MONTH(E201)+1)/12,1))))))))&gt;0,(((K201)*(IF(M201="",L201,IFERROR(IF(INDEX(Variablen!$I:$AT, MATCH(M201, Variablen!$A:$A, 0), MATCH((YEAR(D201)+16), Variablen!$I$3:$AT$3, 0))="",L201,INDEX(Variablen!$I:$AT, MATCH(M201, Variablen!$A:$A, 0), MATCH((YEAR(D201)+16), Variablen!$I$3:$AT$3, 0))),L201)))*(IF((YEAR(D201)+16)&lt;YEAR(E201),0,IF((YEAR(D201)+16)&gt;YEAR(E201),1,(12-MONTH(E201)+1)/12))) + (Q201)*(IF((YEAR(D201)+16)&lt;YEAR(E201),0,IF((YEAR(D201)+16)&gt;YEAR(E201),1,(12-MONTH(E201)+1)/12))))-((P201)*(IF((YEAR(D201)+16)&lt;YEAR(E201),0,IF((YEAR(D201)+16)&gt;YEAR(E201),1,(12-MONTH(E201)+1)/12))) + (R201)*(IF((YEAR(D201)+16)&lt;YEAR(E201),0,IF((YEAR(D201)+16)&gt;YEAR(E201),1,(12-MONTH(E201)+1)/12))))-(IF(OR(N201="",N201&lt;=0),0,(O201/N201)*(IF(OR(N201="",N201&lt;=0),0,IF((YEAR(D201)+16)&lt;YEAR(E201),0,IF((YEAR(D201)+16)&gt;=YEAR(E201)+N201,0,IF((YEAR(D201)+16)=YEAR(E201),(12-MONTH(E201)+1)/12,1))))))))*TaxRate,0))-IF(16=0,O201,0))</f>
        <v/>
      </c>
      <c r="AJ201" s="29">
        <f>IF(A201="","",((K201)*(IF(M201="",L201,IFERROR(IF(INDEX(Variablen!$I:$AT, MATCH(M201, Variablen!$A:$A, 0), MATCH((YEAR(D201)+17), Variablen!$I$3:$AT$3, 0))="",L201,INDEX(Variablen!$I:$AT, MATCH(M201, Variablen!$A:$A, 0), MATCH((YEAR(D201)+17), Variablen!$I$3:$AT$3, 0))),L201)))*(IF((YEAR(D201)+17)&lt;YEAR(E201),0,IF((YEAR(D201)+17)&gt;YEAR(E201),1,(12-MONTH(E201)+1)/12))) + (Q201)*(IF((YEAR(D201)+17)&lt;YEAR(E201),0,IF((YEAR(D201)+17)&gt;YEAR(E201),1,(12-MONTH(E201)+1)/12))))-((P201)*(IF((YEAR(D201)+17)&lt;YEAR(E201),0,IF((YEAR(D201)+17)&gt;YEAR(E201),1,(12-MONTH(E201)+1)/12))) + (R201)*(IF((YEAR(D201)+17)&lt;YEAR(E201),0,IF((YEAR(D201)+17)&gt;YEAR(E201),1,(12-MONTH(E201)+1)/12))))-(IF((((K201)*(IF(M201="",L201,IFERROR(IF(INDEX(Variablen!$I:$AT, MATCH(M201, Variablen!$A:$A, 0), MATCH((YEAR(D201)+17), Variablen!$I$3:$AT$3, 0))="",L201,INDEX(Variablen!$I:$AT, MATCH(M201, Variablen!$A:$A, 0), MATCH((YEAR(D201)+17), Variablen!$I$3:$AT$3, 0))),L201)))*(IF((YEAR(D201)+17)&lt;YEAR(E201),0,IF((YEAR(D201)+17)&gt;YEAR(E201),1,(12-MONTH(E201)+1)/12))) + (Q201)*(IF((YEAR(D201)+17)&lt;YEAR(E201),0,IF((YEAR(D201)+17)&gt;YEAR(E201),1,(12-MONTH(E201)+1)/12))))-((P201)*(IF((YEAR(D201)+17)&lt;YEAR(E201),0,IF((YEAR(D201)+17)&gt;YEAR(E201),1,(12-MONTH(E201)+1)/12))) + (R201)*(IF((YEAR(D201)+17)&lt;YEAR(E201),0,IF((YEAR(D201)+17)&gt;YEAR(E201),1,(12-MONTH(E201)+1)/12))))-(IF(OR(N201="",N201&lt;=0),0,(O201/N201)*(IF(OR(N201="",N201&lt;=0),0,IF((YEAR(D201)+17)&lt;YEAR(E201),0,IF((YEAR(D201)+17)&gt;=YEAR(E201)+N201,0,IF((YEAR(D201)+17)=YEAR(E201),(12-MONTH(E201)+1)/12,1))))))))&gt;0,(((K201)*(IF(M201="",L201,IFERROR(IF(INDEX(Variablen!$I:$AT, MATCH(M201, Variablen!$A:$A, 0), MATCH((YEAR(D201)+17), Variablen!$I$3:$AT$3, 0))="",L201,INDEX(Variablen!$I:$AT, MATCH(M201, Variablen!$A:$A, 0), MATCH((YEAR(D201)+17), Variablen!$I$3:$AT$3, 0))),L201)))*(IF((YEAR(D201)+17)&lt;YEAR(E201),0,IF((YEAR(D201)+17)&gt;YEAR(E201),1,(12-MONTH(E201)+1)/12))) + (Q201)*(IF((YEAR(D201)+17)&lt;YEAR(E201),0,IF((YEAR(D201)+17)&gt;YEAR(E201),1,(12-MONTH(E201)+1)/12))))-((P201)*(IF((YEAR(D201)+17)&lt;YEAR(E201),0,IF((YEAR(D201)+17)&gt;YEAR(E201),1,(12-MONTH(E201)+1)/12))) + (R201)*(IF((YEAR(D201)+17)&lt;YEAR(E201),0,IF((YEAR(D201)+17)&gt;YEAR(E201),1,(12-MONTH(E201)+1)/12))))-(IF(OR(N201="",N201&lt;=0),0,(O201/N201)*(IF(OR(N201="",N201&lt;=0),0,IF((YEAR(D201)+17)&lt;YEAR(E201),0,IF((YEAR(D201)+17)&gt;=YEAR(E201)+N201,0,IF((YEAR(D201)+17)=YEAR(E201),(12-MONTH(E201)+1)/12,1))))))))*TaxRate,0))-IF(17=0,O201,0))</f>
        <v/>
      </c>
      <c r="AK201" s="29">
        <f>IF(A201="","",((K201)*(IF(M201="",L201,IFERROR(IF(INDEX(Variablen!$I:$AT, MATCH(M201, Variablen!$A:$A, 0), MATCH((YEAR(D201)+18), Variablen!$I$3:$AT$3, 0))="",L201,INDEX(Variablen!$I:$AT, MATCH(M201, Variablen!$A:$A, 0), MATCH((YEAR(D201)+18), Variablen!$I$3:$AT$3, 0))),L201)))*(IF((YEAR(D201)+18)&lt;YEAR(E201),0,IF((YEAR(D201)+18)&gt;YEAR(E201),1,(12-MONTH(E201)+1)/12))) + (Q201)*(IF((YEAR(D201)+18)&lt;YEAR(E201),0,IF((YEAR(D201)+18)&gt;YEAR(E201),1,(12-MONTH(E201)+1)/12))))-((P201)*(IF((YEAR(D201)+18)&lt;YEAR(E201),0,IF((YEAR(D201)+18)&gt;YEAR(E201),1,(12-MONTH(E201)+1)/12))) + (R201)*(IF((YEAR(D201)+18)&lt;YEAR(E201),0,IF((YEAR(D201)+18)&gt;YEAR(E201),1,(12-MONTH(E201)+1)/12))))-(IF((((K201)*(IF(M201="",L201,IFERROR(IF(INDEX(Variablen!$I:$AT, MATCH(M201, Variablen!$A:$A, 0), MATCH((YEAR(D201)+18), Variablen!$I$3:$AT$3, 0))="",L201,INDEX(Variablen!$I:$AT, MATCH(M201, Variablen!$A:$A, 0), MATCH((YEAR(D201)+18), Variablen!$I$3:$AT$3, 0))),L201)))*(IF((YEAR(D201)+18)&lt;YEAR(E201),0,IF((YEAR(D201)+18)&gt;YEAR(E201),1,(12-MONTH(E201)+1)/12))) + (Q201)*(IF((YEAR(D201)+18)&lt;YEAR(E201),0,IF((YEAR(D201)+18)&gt;YEAR(E201),1,(12-MONTH(E201)+1)/12))))-((P201)*(IF((YEAR(D201)+18)&lt;YEAR(E201),0,IF((YEAR(D201)+18)&gt;YEAR(E201),1,(12-MONTH(E201)+1)/12))) + (R201)*(IF((YEAR(D201)+18)&lt;YEAR(E201),0,IF((YEAR(D201)+18)&gt;YEAR(E201),1,(12-MONTH(E201)+1)/12))))-(IF(OR(N201="",N201&lt;=0),0,(O201/N201)*(IF(OR(N201="",N201&lt;=0),0,IF((YEAR(D201)+18)&lt;YEAR(E201),0,IF((YEAR(D201)+18)&gt;=YEAR(E201)+N201,0,IF((YEAR(D201)+18)=YEAR(E201),(12-MONTH(E201)+1)/12,1))))))))&gt;0,(((K201)*(IF(M201="",L201,IFERROR(IF(INDEX(Variablen!$I:$AT, MATCH(M201, Variablen!$A:$A, 0), MATCH((YEAR(D201)+18), Variablen!$I$3:$AT$3, 0))="",L201,INDEX(Variablen!$I:$AT, MATCH(M201, Variablen!$A:$A, 0), MATCH((YEAR(D201)+18), Variablen!$I$3:$AT$3, 0))),L201)))*(IF((YEAR(D201)+18)&lt;YEAR(E201),0,IF((YEAR(D201)+18)&gt;YEAR(E201),1,(12-MONTH(E201)+1)/12))) + (Q201)*(IF((YEAR(D201)+18)&lt;YEAR(E201),0,IF((YEAR(D201)+18)&gt;YEAR(E201),1,(12-MONTH(E201)+1)/12))))-((P201)*(IF((YEAR(D201)+18)&lt;YEAR(E201),0,IF((YEAR(D201)+18)&gt;YEAR(E201),1,(12-MONTH(E201)+1)/12))) + (R201)*(IF((YEAR(D201)+18)&lt;YEAR(E201),0,IF((YEAR(D201)+18)&gt;YEAR(E201),1,(12-MONTH(E201)+1)/12))))-(IF(OR(N201="",N201&lt;=0),0,(O201/N201)*(IF(OR(N201="",N201&lt;=0),0,IF((YEAR(D201)+18)&lt;YEAR(E201),0,IF((YEAR(D201)+18)&gt;=YEAR(E201)+N201,0,IF((YEAR(D201)+18)=YEAR(E201),(12-MONTH(E201)+1)/12,1))))))))*TaxRate,0))-IF(18=0,O201,0))</f>
        <v/>
      </c>
      <c r="AL201" s="29">
        <f>IF(A201="","",((K201)*(IF(M201="",L201,IFERROR(IF(INDEX(Variablen!$I:$AT, MATCH(M201, Variablen!$A:$A, 0), MATCH((YEAR(D201)+19), Variablen!$I$3:$AT$3, 0))="",L201,INDEX(Variablen!$I:$AT, MATCH(M201, Variablen!$A:$A, 0), MATCH((YEAR(D201)+19), Variablen!$I$3:$AT$3, 0))),L201)))*(IF((YEAR(D201)+19)&lt;YEAR(E201),0,IF((YEAR(D201)+19)&gt;YEAR(E201),1,(12-MONTH(E201)+1)/12))) + (Q201)*(IF((YEAR(D201)+19)&lt;YEAR(E201),0,IF((YEAR(D201)+19)&gt;YEAR(E201),1,(12-MONTH(E201)+1)/12))))-((P201)*(IF((YEAR(D201)+19)&lt;YEAR(E201),0,IF((YEAR(D201)+19)&gt;YEAR(E201),1,(12-MONTH(E201)+1)/12))) + (R201)*(IF((YEAR(D201)+19)&lt;YEAR(E201),0,IF((YEAR(D201)+19)&gt;YEAR(E201),1,(12-MONTH(E201)+1)/12))))-(IF((((K201)*(IF(M201="",L201,IFERROR(IF(INDEX(Variablen!$I:$AT, MATCH(M201, Variablen!$A:$A, 0), MATCH((YEAR(D201)+19), Variablen!$I$3:$AT$3, 0))="",L201,INDEX(Variablen!$I:$AT, MATCH(M201, Variablen!$A:$A, 0), MATCH((YEAR(D201)+19), Variablen!$I$3:$AT$3, 0))),L201)))*(IF((YEAR(D201)+19)&lt;YEAR(E201),0,IF((YEAR(D201)+19)&gt;YEAR(E201),1,(12-MONTH(E201)+1)/12))) + (Q201)*(IF((YEAR(D201)+19)&lt;YEAR(E201),0,IF((YEAR(D201)+19)&gt;YEAR(E201),1,(12-MONTH(E201)+1)/12))))-((P201)*(IF((YEAR(D201)+19)&lt;YEAR(E201),0,IF((YEAR(D201)+19)&gt;YEAR(E201),1,(12-MONTH(E201)+1)/12))) + (R201)*(IF((YEAR(D201)+19)&lt;YEAR(E201),0,IF((YEAR(D201)+19)&gt;YEAR(E201),1,(12-MONTH(E201)+1)/12))))-(IF(OR(N201="",N201&lt;=0),0,(O201/N201)*(IF(OR(N201="",N201&lt;=0),0,IF((YEAR(D201)+19)&lt;YEAR(E201),0,IF((YEAR(D201)+19)&gt;=YEAR(E201)+N201,0,IF((YEAR(D201)+19)=YEAR(E201),(12-MONTH(E201)+1)/12,1))))))))&gt;0,(((K201)*(IF(M201="",L201,IFERROR(IF(INDEX(Variablen!$I:$AT, MATCH(M201, Variablen!$A:$A, 0), MATCH((YEAR(D201)+19), Variablen!$I$3:$AT$3, 0))="",L201,INDEX(Variablen!$I:$AT, MATCH(M201, Variablen!$A:$A, 0), MATCH((YEAR(D201)+19), Variablen!$I$3:$AT$3, 0))),L201)))*(IF((YEAR(D201)+19)&lt;YEAR(E201),0,IF((YEAR(D201)+19)&gt;YEAR(E201),1,(12-MONTH(E201)+1)/12))) + (Q201)*(IF((YEAR(D201)+19)&lt;YEAR(E201),0,IF((YEAR(D201)+19)&gt;YEAR(E201),1,(12-MONTH(E201)+1)/12))))-((P201)*(IF((YEAR(D201)+19)&lt;YEAR(E201),0,IF((YEAR(D201)+19)&gt;YEAR(E201),1,(12-MONTH(E201)+1)/12))) + (R201)*(IF((YEAR(D201)+19)&lt;YEAR(E201),0,IF((YEAR(D201)+19)&gt;YEAR(E201),1,(12-MONTH(E201)+1)/12))))-(IF(OR(N201="",N201&lt;=0),0,(O201/N201)*(IF(OR(N201="",N201&lt;=0),0,IF((YEAR(D201)+19)&lt;YEAR(E201),0,IF((YEAR(D201)+19)&gt;=YEAR(E201)+N201,0,IF((YEAR(D201)+19)=YEAR(E201),(12-MONTH(E201)+1)/12,1))))))))*TaxRate,0))-IF(19=0,O201,0))</f>
        <v/>
      </c>
      <c r="AM201" s="29">
        <f>IF(A201="","",((K201)*(IF(M201="",L201,IFERROR(IF(INDEX(Variablen!$I:$AT, MATCH(M201, Variablen!$A:$A, 0), MATCH((YEAR(D201)+20), Variablen!$I$3:$AT$3, 0))="",L201,INDEX(Variablen!$I:$AT, MATCH(M201, Variablen!$A:$A, 0), MATCH((YEAR(D201)+20), Variablen!$I$3:$AT$3, 0))),L201)))*(IF((YEAR(D201)+20)&lt;YEAR(E201),0,IF((YEAR(D201)+20)&gt;YEAR(E201),1,(12-MONTH(E201)+1)/12))) + (Q201)*(IF((YEAR(D201)+20)&lt;YEAR(E201),0,IF((YEAR(D201)+20)&gt;YEAR(E201),1,(12-MONTH(E201)+1)/12))))-((P201)*(IF((YEAR(D201)+20)&lt;YEAR(E201),0,IF((YEAR(D201)+20)&gt;YEAR(E201),1,(12-MONTH(E201)+1)/12))) + (R201)*(IF((YEAR(D201)+20)&lt;YEAR(E201),0,IF((YEAR(D201)+20)&gt;YEAR(E201),1,(12-MONTH(E201)+1)/12))))-(IF((((K201)*(IF(M201="",L201,IFERROR(IF(INDEX(Variablen!$I:$AT, MATCH(M201, Variablen!$A:$A, 0), MATCH((YEAR(D201)+20), Variablen!$I$3:$AT$3, 0))="",L201,INDEX(Variablen!$I:$AT, MATCH(M201, Variablen!$A:$A, 0), MATCH((YEAR(D201)+20), Variablen!$I$3:$AT$3, 0))),L201)))*(IF((YEAR(D201)+20)&lt;YEAR(E201),0,IF((YEAR(D201)+20)&gt;YEAR(E201),1,(12-MONTH(E201)+1)/12))) + (Q201)*(IF((YEAR(D201)+20)&lt;YEAR(E201),0,IF((YEAR(D201)+20)&gt;YEAR(E201),1,(12-MONTH(E201)+1)/12))))-((P201)*(IF((YEAR(D201)+20)&lt;YEAR(E201),0,IF((YEAR(D201)+20)&gt;YEAR(E201),1,(12-MONTH(E201)+1)/12))) + (R201)*(IF((YEAR(D201)+20)&lt;YEAR(E201),0,IF((YEAR(D201)+20)&gt;YEAR(E201),1,(12-MONTH(E201)+1)/12))))-(IF(OR(N201="",N201&lt;=0),0,(O201/N201)*(IF(OR(N201="",N201&lt;=0),0,IF((YEAR(D201)+20)&lt;YEAR(E201),0,IF((YEAR(D201)+20)&gt;=YEAR(E201)+N201,0,IF((YEAR(D201)+20)=YEAR(E201),(12-MONTH(E201)+1)/12,1))))))))&gt;0,(((K201)*(IF(M201="",L201,IFERROR(IF(INDEX(Variablen!$I:$AT, MATCH(M201, Variablen!$A:$A, 0), MATCH((YEAR(D201)+20), Variablen!$I$3:$AT$3, 0))="",L201,INDEX(Variablen!$I:$AT, MATCH(M201, Variablen!$A:$A, 0), MATCH((YEAR(D201)+20), Variablen!$I$3:$AT$3, 0))),L201)))*(IF((YEAR(D201)+20)&lt;YEAR(E201),0,IF((YEAR(D201)+20)&gt;YEAR(E201),1,(12-MONTH(E201)+1)/12))) + (Q201)*(IF((YEAR(D201)+20)&lt;YEAR(E201),0,IF((YEAR(D201)+20)&gt;YEAR(E201),1,(12-MONTH(E201)+1)/12))))-((P201)*(IF((YEAR(D201)+20)&lt;YEAR(E201),0,IF((YEAR(D201)+20)&gt;YEAR(E201),1,(12-MONTH(E201)+1)/12))) + (R201)*(IF((YEAR(D201)+20)&lt;YEAR(E201),0,IF((YEAR(D201)+20)&gt;YEAR(E201),1,(12-MONTH(E201)+1)/12))))-(IF(OR(N201="",N201&lt;=0),0,(O201/N201)*(IF(OR(N201="",N201&lt;=0),0,IF((YEAR(D201)+20)&lt;YEAR(E201),0,IF((YEAR(D201)+20)&gt;=YEAR(E201)+N201,0,IF((YEAR(D201)+20)=YEAR(E201),(12-MONTH(E201)+1)/12,1))))))))*TaxRate,0))-IF(20=0,O201,0))</f>
        <v/>
      </c>
      <c r="AN201" s="29">
        <f>IF(A201="","",S201)</f>
        <v/>
      </c>
      <c r="AO201" s="29">
        <f>IF(A201="","",AN201+T201)</f>
        <v/>
      </c>
      <c r="AP201" s="29">
        <f>IF(A201="","",AO201+U201)</f>
        <v/>
      </c>
      <c r="AQ201" s="29">
        <f>IF(A201="","",AP201+V201)</f>
        <v/>
      </c>
      <c r="AR201" s="29">
        <f>IF(A201="","",AQ201+W201)</f>
        <v/>
      </c>
      <c r="AS201" s="29">
        <f>IF(A201="","",AR201+X201)</f>
        <v/>
      </c>
      <c r="AT201" s="29">
        <f>IF(A201="","",AS201+Y201)</f>
        <v/>
      </c>
      <c r="AU201" s="29">
        <f>IF(A201="","",AT201+Z201)</f>
        <v/>
      </c>
      <c r="AV201" s="29">
        <f>IF(A201="","",AU201+AA201)</f>
        <v/>
      </c>
      <c r="AW201" s="29">
        <f>IF(A201="","",AV201+AB201)</f>
        <v/>
      </c>
      <c r="AX201" s="29">
        <f>IF(A201="","",AW201+AC201)</f>
        <v/>
      </c>
      <c r="AY201" s="29">
        <f>IF(A201="","",AX201+AD201)</f>
        <v/>
      </c>
      <c r="AZ201" s="29">
        <f>IF(A201="","",AY201+AE201)</f>
        <v/>
      </c>
      <c r="BA201" s="29">
        <f>IF(A201="","",AZ201+AF201)</f>
        <v/>
      </c>
      <c r="BB201" s="29">
        <f>IF(A201="","",BA201+AG201)</f>
        <v/>
      </c>
      <c r="BC201" s="29">
        <f>IF(A201="","",BB201+AH201)</f>
        <v/>
      </c>
      <c r="BD201" s="29">
        <f>IF(A201="","",BC201+AI201)</f>
        <v/>
      </c>
      <c r="BE201" s="29">
        <f>IF(A201="","",BD201+AJ201)</f>
        <v/>
      </c>
      <c r="BF201" s="29">
        <f>IF(A201="","",BE201+AK201)</f>
        <v/>
      </c>
      <c r="BG201" s="29">
        <f>IF(A201="","",BF201+AL201)</f>
        <v/>
      </c>
      <c r="BH201" s="29">
        <f>IF(A201="","",BG201+AM201)</f>
        <v/>
      </c>
      <c r="BI201" s="36">
        <f>IF(A201="","",(K201)*(IF((YEAR(D201)+0)&lt;YEAR(E201),0,IF((YEAR(D201)+0)&gt;YEAR(E201),1,(12-MONTH(E201)+1)/12)))*(1/(1+DiscountRate)^0))</f>
        <v/>
      </c>
      <c r="BJ201" s="36">
        <f>IF(A201="","",(K201)*(IF((YEAR(D201)+1)&lt;YEAR(E201),0,IF((YEAR(D201)+1)&gt;YEAR(E201),1,(12-MONTH(E201)+1)/12)))*(1/(1+DiscountRate)^1))</f>
        <v/>
      </c>
      <c r="BK201" s="36">
        <f>IF(A201="","",(K201)*(IF((YEAR(D201)+2)&lt;YEAR(E201),0,IF((YEAR(D201)+2)&gt;YEAR(E201),1,(12-MONTH(E201)+1)/12)))*(1/(1+DiscountRate)^2))</f>
        <v/>
      </c>
      <c r="BL201" s="36">
        <f>IF(A201="","",(K201)*(IF((YEAR(D201)+3)&lt;YEAR(E201),0,IF((YEAR(D201)+3)&gt;YEAR(E201),1,(12-MONTH(E201)+1)/12)))*(1/(1+DiscountRate)^3))</f>
        <v/>
      </c>
      <c r="BM201" s="36">
        <f>IF(A201="","",(K201)*(IF((YEAR(D201)+4)&lt;YEAR(E201),0,IF((YEAR(D201)+4)&gt;YEAR(E201),1,(12-MONTH(E201)+1)/12)))*(1/(1+DiscountRate)^4))</f>
        <v/>
      </c>
      <c r="BN201" s="36">
        <f>IF(A201="","",(K201)*(IF((YEAR(D201)+5)&lt;YEAR(E201),0,IF((YEAR(D201)+5)&gt;YEAR(E201),1,(12-MONTH(E201)+1)/12)))*(1/(1+DiscountRate)^5))</f>
        <v/>
      </c>
      <c r="BO201" s="36">
        <f>IF(A201="","",(K201)*(IF((YEAR(D201)+6)&lt;YEAR(E201),0,IF((YEAR(D201)+6)&gt;YEAR(E201),1,(12-MONTH(E201)+1)/12)))*(1/(1+DiscountRate)^6))</f>
        <v/>
      </c>
      <c r="BP201" s="36">
        <f>IF(A201="","",(K201)*(IF((YEAR(D201)+7)&lt;YEAR(E201),0,IF((YEAR(D201)+7)&gt;YEAR(E201),1,(12-MONTH(E201)+1)/12)))*(1/(1+DiscountRate)^7))</f>
        <v/>
      </c>
      <c r="BQ201" s="36">
        <f>IF(A201="","",(K201)*(IF((YEAR(D201)+8)&lt;YEAR(E201),0,IF((YEAR(D201)+8)&gt;YEAR(E201),1,(12-MONTH(E201)+1)/12)))*(1/(1+DiscountRate)^8))</f>
        <v/>
      </c>
      <c r="BR201" s="36">
        <f>IF(A201="","",(K201)*(IF((YEAR(D201)+9)&lt;YEAR(E201),0,IF((YEAR(D201)+9)&gt;YEAR(E201),1,(12-MONTH(E201)+1)/12)))*(1/(1+DiscountRate)^9))</f>
        <v/>
      </c>
      <c r="BS201" s="36">
        <f>IF(A201="","",(K201)*(IF((YEAR(D201)+10)&lt;YEAR(E201),0,IF((YEAR(D201)+10)&gt;YEAR(E201),1,(12-MONTH(E201)+1)/12)))*(1/(1+DiscountRate)^10))</f>
        <v/>
      </c>
      <c r="BT201" s="36">
        <f>IF(A201="","",(K201)*(IF((YEAR(D201)+11)&lt;YEAR(E201),0,IF((YEAR(D201)+11)&gt;YEAR(E201),1,(12-MONTH(E201)+1)/12)))*(1/(1+DiscountRate)^11))</f>
        <v/>
      </c>
      <c r="BU201" s="36">
        <f>IF(A201="","",(K201)*(IF((YEAR(D201)+12)&lt;YEAR(E201),0,IF((YEAR(D201)+12)&gt;YEAR(E201),1,(12-MONTH(E201)+1)/12)))*(1/(1+DiscountRate)^12))</f>
        <v/>
      </c>
      <c r="BV201" s="36">
        <f>IF(A201="","",(K201)*(IF((YEAR(D201)+13)&lt;YEAR(E201),0,IF((YEAR(D201)+13)&gt;YEAR(E201),1,(12-MONTH(E201)+1)/12)))*(1/(1+DiscountRate)^13))</f>
        <v/>
      </c>
      <c r="BW201" s="36">
        <f>IF(A201="","",(K201)*(IF((YEAR(D201)+14)&lt;YEAR(E201),0,IF((YEAR(D201)+14)&gt;YEAR(E201),1,(12-MONTH(E201)+1)/12)))*(1/(1+DiscountRate)^14))</f>
        <v/>
      </c>
      <c r="BX201" s="36">
        <f>IF(A201="","",(K201)*(IF((YEAR(D201)+15)&lt;YEAR(E201),0,IF((YEAR(D201)+15)&gt;YEAR(E201),1,(12-MONTH(E201)+1)/12)))*(1/(1+DiscountRate)^15))</f>
        <v/>
      </c>
      <c r="BY201" s="36">
        <f>IF(A201="","",(K201)*(IF((YEAR(D201)+16)&lt;YEAR(E201),0,IF((YEAR(D201)+16)&gt;YEAR(E201),1,(12-MONTH(E201)+1)/12)))*(1/(1+DiscountRate)^16))</f>
        <v/>
      </c>
      <c r="BZ201" s="36">
        <f>IF(A201="","",(K201)*(IF((YEAR(D201)+17)&lt;YEAR(E201),0,IF((YEAR(D201)+17)&gt;YEAR(E201),1,(12-MONTH(E201)+1)/12)))*(1/(1+DiscountRate)^17))</f>
        <v/>
      </c>
      <c r="CA201" s="36">
        <f>IF(A201="","",(K201)*(IF((YEAR(D201)+18)&lt;YEAR(E201),0,IF((YEAR(D201)+18)&gt;YEAR(E201),1,(12-MONTH(E201)+1)/12)))*(1/(1+DiscountRate)^18))</f>
        <v/>
      </c>
      <c r="CB201" s="36">
        <f>IF(A201="","",(K201)*(IF((YEAR(D201)+19)&lt;YEAR(E201),0,IF((YEAR(D201)+19)&gt;YEAR(E201),1,(12-MONTH(E201)+1)/12)))*(1/(1+DiscountRate)^19))</f>
        <v/>
      </c>
      <c r="CC201" s="36">
        <f>IF(A201="","",(K201)*(IF((YEAR(D201)+20)&lt;YEAR(E201),0,IF((YEAR(D201)+20)&gt;YEAR(E201),1,(12-MONTH(E201)+1)/12)))*(1/(1+DiscountRate)^20))</f>
        <v/>
      </c>
      <c r="CD201" s="29">
        <f>IF(A201="","",S201/(1+DiscountRate)^0+T201/(1+DiscountRate)^1+U201/(1+DiscountRate)^2+V201/(1+DiscountRate)^3+W201/(1+DiscountRate)^4+X201/(1+DiscountRate)^5+Y201/(1+DiscountRate)^6+Z201/(1+DiscountRate)^7+AA201/(1+DiscountRate)^8+AB201/(1+DiscountRate)^9+AC201/(1+DiscountRate)^10+AD201/(1+DiscountRate)^11+AE201/(1+DiscountRate)^12+AF201/(1+DiscountRate)^13+AG201/(1+DiscountRate)^14+AH201/(1+DiscountRate)^15+AI201/(1+DiscountRate)^16+AJ201/(1+DiscountRate)^17+AK201/(1+DiscountRate)^18+AL201/(1+DiscountRate)^19+AM201/(1+DiscountRate)^20)</f>
        <v/>
      </c>
      <c r="CE201" s="37">
        <f>IF(A201="","",IFERROR(IRR(OFFSET(S201,0,0,1,MIN(HorizonYears,20)+1)),"n/a"))</f>
        <v/>
      </c>
      <c r="CF201" s="28">
        <f>IF(A201="","",IFERROR(MATCH(TRUE,OFFSET(AN201,0,0,1,MIN(HorizonYears,20)+1)&gt;=0,0)-1,"n/a"))</f>
        <v/>
      </c>
      <c r="CG201" s="36">
        <f>IF(A201="","",SUM(OFFSET(BI201,0,0,1,MIN(HorizonYears,20)+1)))</f>
        <v/>
      </c>
      <c r="CH201" s="36">
        <f>IF(A201="","",IFERROR(-CD201/CG201,"n/a"))</f>
        <v/>
      </c>
    </row>
    <row r="202">
      <c r="A202" s="6">
        <f>Actions!A200</f>
        <v/>
      </c>
      <c r="B202" s="6">
        <f>Actions!B200</f>
        <v/>
      </c>
      <c r="C202" s="6">
        <f>Actions!D200</f>
        <v/>
      </c>
      <c r="D202" s="35">
        <f>Actions!E200</f>
        <v/>
      </c>
      <c r="E202" s="35">
        <f>Actions!F200</f>
        <v/>
      </c>
      <c r="F202" s="6">
        <f>Actions!G200</f>
        <v/>
      </c>
      <c r="G202" s="6">
        <f>Actions!H200</f>
        <v/>
      </c>
      <c r="H202" s="29">
        <f>Actions!I200</f>
        <v/>
      </c>
      <c r="I202" s="6">
        <f>Actions!J200</f>
        <v/>
      </c>
      <c r="J202" s="16">
        <f>Actions!K200</f>
        <v/>
      </c>
      <c r="K202" s="16">
        <f>IF(A202="","",IF(I202="%",H202*J202,J202))</f>
        <v/>
      </c>
      <c r="L202" s="16">
        <f>Actions!L200</f>
        <v/>
      </c>
      <c r="M202" s="6">
        <f>Actions!M200</f>
        <v/>
      </c>
      <c r="N202" s="28">
        <f>Actions!N200</f>
        <v/>
      </c>
      <c r="O202" s="29">
        <f>Actions!T200</f>
        <v/>
      </c>
      <c r="P202" s="29">
        <f>Actions!Y200</f>
        <v/>
      </c>
      <c r="Q202" s="29">
        <f>Actions!Z200</f>
        <v/>
      </c>
      <c r="R202" s="29">
        <f>Actions!AA200</f>
        <v/>
      </c>
      <c r="S202" s="29">
        <f>IF(A202="","",((K202)*(IF(M202="",L202,IFERROR(IF(INDEX(Variablen!$I:$AT, MATCH(M202, Variablen!$A:$A, 0), MATCH((YEAR(D202)+0), Variablen!$I$3:$AT$3, 0))="",L202,INDEX(Variablen!$I:$AT, MATCH(M202, Variablen!$A:$A, 0), MATCH((YEAR(D202)+0), Variablen!$I$3:$AT$3, 0))),L202)))*(IF((YEAR(D202)+0)&lt;YEAR(E202),0,IF((YEAR(D202)+0)&gt;YEAR(E202),1,(12-MONTH(E202)+1)/12))) + (Q202)*(IF((YEAR(D202)+0)&lt;YEAR(E202),0,IF((YEAR(D202)+0)&gt;YEAR(E202),1,(12-MONTH(E202)+1)/12))))-((P202)*(IF((YEAR(D202)+0)&lt;YEAR(E202),0,IF((YEAR(D202)+0)&gt;YEAR(E202),1,(12-MONTH(E202)+1)/12))) + (R202)*(IF((YEAR(D202)+0)&lt;YEAR(E202),0,IF((YEAR(D202)+0)&gt;YEAR(E202),1,(12-MONTH(E202)+1)/12))))-(IF((((K202)*(IF(M202="",L202,IFERROR(IF(INDEX(Variablen!$I:$AT, MATCH(M202, Variablen!$A:$A, 0), MATCH((YEAR(D202)+0), Variablen!$I$3:$AT$3, 0))="",L202,INDEX(Variablen!$I:$AT, MATCH(M202, Variablen!$A:$A, 0), MATCH((YEAR(D202)+0), Variablen!$I$3:$AT$3, 0))),L202)))*(IF((YEAR(D202)+0)&lt;YEAR(E202),0,IF((YEAR(D202)+0)&gt;YEAR(E202),1,(12-MONTH(E202)+1)/12))) + (Q202)*(IF((YEAR(D202)+0)&lt;YEAR(E202),0,IF((YEAR(D202)+0)&gt;YEAR(E202),1,(12-MONTH(E202)+1)/12))))-((P202)*(IF((YEAR(D202)+0)&lt;YEAR(E202),0,IF((YEAR(D202)+0)&gt;YEAR(E202),1,(12-MONTH(E202)+1)/12))) + (R202)*(IF((YEAR(D202)+0)&lt;YEAR(E202),0,IF((YEAR(D202)+0)&gt;YEAR(E202),1,(12-MONTH(E202)+1)/12))))-(IF(OR(N202="",N202&lt;=0),0,(O202/N202)*(IF(OR(N202="",N202&lt;=0),0,IF((YEAR(D202)+0)&lt;YEAR(E202),0,IF((YEAR(D202)+0)&gt;=YEAR(E202)+N202,0,IF((YEAR(D202)+0)=YEAR(E202),(12-MONTH(E202)+1)/12,1))))))))&gt;0,(((K202)*(IF(M202="",L202,IFERROR(IF(INDEX(Variablen!$I:$AT, MATCH(M202, Variablen!$A:$A, 0), MATCH((YEAR(D202)+0), Variablen!$I$3:$AT$3, 0))="",L202,INDEX(Variablen!$I:$AT, MATCH(M202, Variablen!$A:$A, 0), MATCH((YEAR(D202)+0), Variablen!$I$3:$AT$3, 0))),L202)))*(IF((YEAR(D202)+0)&lt;YEAR(E202),0,IF((YEAR(D202)+0)&gt;YEAR(E202),1,(12-MONTH(E202)+1)/12))) + (Q202)*(IF((YEAR(D202)+0)&lt;YEAR(E202),0,IF((YEAR(D202)+0)&gt;YEAR(E202),1,(12-MONTH(E202)+1)/12))))-((P202)*(IF((YEAR(D202)+0)&lt;YEAR(E202),0,IF((YEAR(D202)+0)&gt;YEAR(E202),1,(12-MONTH(E202)+1)/12))) + (R202)*(IF((YEAR(D202)+0)&lt;YEAR(E202),0,IF((YEAR(D202)+0)&gt;YEAR(E202),1,(12-MONTH(E202)+1)/12))))-(IF(OR(N202="",N202&lt;=0),0,(O202/N202)*(IF(OR(N202="",N202&lt;=0),0,IF((YEAR(D202)+0)&lt;YEAR(E202),0,IF((YEAR(D202)+0)&gt;=YEAR(E202)+N202,0,IF((YEAR(D202)+0)=YEAR(E202),(12-MONTH(E202)+1)/12,1))))))))*TaxRate,0))-IF(0=0,O202,0))</f>
        <v/>
      </c>
      <c r="T202" s="29">
        <f>IF(A202="","",((K202)*(IF(M202="",L202,IFERROR(IF(INDEX(Variablen!$I:$AT, MATCH(M202, Variablen!$A:$A, 0), MATCH((YEAR(D202)+1), Variablen!$I$3:$AT$3, 0))="",L202,INDEX(Variablen!$I:$AT, MATCH(M202, Variablen!$A:$A, 0), MATCH((YEAR(D202)+1), Variablen!$I$3:$AT$3, 0))),L202)))*(IF((YEAR(D202)+1)&lt;YEAR(E202),0,IF((YEAR(D202)+1)&gt;YEAR(E202),1,(12-MONTH(E202)+1)/12))) + (Q202)*(IF((YEAR(D202)+1)&lt;YEAR(E202),0,IF((YEAR(D202)+1)&gt;YEAR(E202),1,(12-MONTH(E202)+1)/12))))-((P202)*(IF((YEAR(D202)+1)&lt;YEAR(E202),0,IF((YEAR(D202)+1)&gt;YEAR(E202),1,(12-MONTH(E202)+1)/12))) + (R202)*(IF((YEAR(D202)+1)&lt;YEAR(E202),0,IF((YEAR(D202)+1)&gt;YEAR(E202),1,(12-MONTH(E202)+1)/12))))-(IF((((K202)*(IF(M202="",L202,IFERROR(IF(INDEX(Variablen!$I:$AT, MATCH(M202, Variablen!$A:$A, 0), MATCH((YEAR(D202)+1), Variablen!$I$3:$AT$3, 0))="",L202,INDEX(Variablen!$I:$AT, MATCH(M202, Variablen!$A:$A, 0), MATCH((YEAR(D202)+1), Variablen!$I$3:$AT$3, 0))),L202)))*(IF((YEAR(D202)+1)&lt;YEAR(E202),0,IF((YEAR(D202)+1)&gt;YEAR(E202),1,(12-MONTH(E202)+1)/12))) + (Q202)*(IF((YEAR(D202)+1)&lt;YEAR(E202),0,IF((YEAR(D202)+1)&gt;YEAR(E202),1,(12-MONTH(E202)+1)/12))))-((P202)*(IF((YEAR(D202)+1)&lt;YEAR(E202),0,IF((YEAR(D202)+1)&gt;YEAR(E202),1,(12-MONTH(E202)+1)/12))) + (R202)*(IF((YEAR(D202)+1)&lt;YEAR(E202),0,IF((YEAR(D202)+1)&gt;YEAR(E202),1,(12-MONTH(E202)+1)/12))))-(IF(OR(N202="",N202&lt;=0),0,(O202/N202)*(IF(OR(N202="",N202&lt;=0),0,IF((YEAR(D202)+1)&lt;YEAR(E202),0,IF((YEAR(D202)+1)&gt;=YEAR(E202)+N202,0,IF((YEAR(D202)+1)=YEAR(E202),(12-MONTH(E202)+1)/12,1))))))))&gt;0,(((K202)*(IF(M202="",L202,IFERROR(IF(INDEX(Variablen!$I:$AT, MATCH(M202, Variablen!$A:$A, 0), MATCH((YEAR(D202)+1), Variablen!$I$3:$AT$3, 0))="",L202,INDEX(Variablen!$I:$AT, MATCH(M202, Variablen!$A:$A, 0), MATCH((YEAR(D202)+1), Variablen!$I$3:$AT$3, 0))),L202)))*(IF((YEAR(D202)+1)&lt;YEAR(E202),0,IF((YEAR(D202)+1)&gt;YEAR(E202),1,(12-MONTH(E202)+1)/12))) + (Q202)*(IF((YEAR(D202)+1)&lt;YEAR(E202),0,IF((YEAR(D202)+1)&gt;YEAR(E202),1,(12-MONTH(E202)+1)/12))))-((P202)*(IF((YEAR(D202)+1)&lt;YEAR(E202),0,IF((YEAR(D202)+1)&gt;YEAR(E202),1,(12-MONTH(E202)+1)/12))) + (R202)*(IF((YEAR(D202)+1)&lt;YEAR(E202),0,IF((YEAR(D202)+1)&gt;YEAR(E202),1,(12-MONTH(E202)+1)/12))))-(IF(OR(N202="",N202&lt;=0),0,(O202/N202)*(IF(OR(N202="",N202&lt;=0),0,IF((YEAR(D202)+1)&lt;YEAR(E202),0,IF((YEAR(D202)+1)&gt;=YEAR(E202)+N202,0,IF((YEAR(D202)+1)=YEAR(E202),(12-MONTH(E202)+1)/12,1))))))))*TaxRate,0))-IF(1=0,O202,0))</f>
        <v/>
      </c>
      <c r="U202" s="29">
        <f>IF(A202="","",((K202)*(IF(M202="",L202,IFERROR(IF(INDEX(Variablen!$I:$AT, MATCH(M202, Variablen!$A:$A, 0), MATCH((YEAR(D202)+2), Variablen!$I$3:$AT$3, 0))="",L202,INDEX(Variablen!$I:$AT, MATCH(M202, Variablen!$A:$A, 0), MATCH((YEAR(D202)+2), Variablen!$I$3:$AT$3, 0))),L202)))*(IF((YEAR(D202)+2)&lt;YEAR(E202),0,IF((YEAR(D202)+2)&gt;YEAR(E202),1,(12-MONTH(E202)+1)/12))) + (Q202)*(IF((YEAR(D202)+2)&lt;YEAR(E202),0,IF((YEAR(D202)+2)&gt;YEAR(E202),1,(12-MONTH(E202)+1)/12))))-((P202)*(IF((YEAR(D202)+2)&lt;YEAR(E202),0,IF((YEAR(D202)+2)&gt;YEAR(E202),1,(12-MONTH(E202)+1)/12))) + (R202)*(IF((YEAR(D202)+2)&lt;YEAR(E202),0,IF((YEAR(D202)+2)&gt;YEAR(E202),1,(12-MONTH(E202)+1)/12))))-(IF((((K202)*(IF(M202="",L202,IFERROR(IF(INDEX(Variablen!$I:$AT, MATCH(M202, Variablen!$A:$A, 0), MATCH((YEAR(D202)+2), Variablen!$I$3:$AT$3, 0))="",L202,INDEX(Variablen!$I:$AT, MATCH(M202, Variablen!$A:$A, 0), MATCH((YEAR(D202)+2), Variablen!$I$3:$AT$3, 0))),L202)))*(IF((YEAR(D202)+2)&lt;YEAR(E202),0,IF((YEAR(D202)+2)&gt;YEAR(E202),1,(12-MONTH(E202)+1)/12))) + (Q202)*(IF((YEAR(D202)+2)&lt;YEAR(E202),0,IF((YEAR(D202)+2)&gt;YEAR(E202),1,(12-MONTH(E202)+1)/12))))-((P202)*(IF((YEAR(D202)+2)&lt;YEAR(E202),0,IF((YEAR(D202)+2)&gt;YEAR(E202),1,(12-MONTH(E202)+1)/12))) + (R202)*(IF((YEAR(D202)+2)&lt;YEAR(E202),0,IF((YEAR(D202)+2)&gt;YEAR(E202),1,(12-MONTH(E202)+1)/12))))-(IF(OR(N202="",N202&lt;=0),0,(O202/N202)*(IF(OR(N202="",N202&lt;=0),0,IF((YEAR(D202)+2)&lt;YEAR(E202),0,IF((YEAR(D202)+2)&gt;=YEAR(E202)+N202,0,IF((YEAR(D202)+2)=YEAR(E202),(12-MONTH(E202)+1)/12,1))))))))&gt;0,(((K202)*(IF(M202="",L202,IFERROR(IF(INDEX(Variablen!$I:$AT, MATCH(M202, Variablen!$A:$A, 0), MATCH((YEAR(D202)+2), Variablen!$I$3:$AT$3, 0))="",L202,INDEX(Variablen!$I:$AT, MATCH(M202, Variablen!$A:$A, 0), MATCH((YEAR(D202)+2), Variablen!$I$3:$AT$3, 0))),L202)))*(IF((YEAR(D202)+2)&lt;YEAR(E202),0,IF((YEAR(D202)+2)&gt;YEAR(E202),1,(12-MONTH(E202)+1)/12))) + (Q202)*(IF((YEAR(D202)+2)&lt;YEAR(E202),0,IF((YEAR(D202)+2)&gt;YEAR(E202),1,(12-MONTH(E202)+1)/12))))-((P202)*(IF((YEAR(D202)+2)&lt;YEAR(E202),0,IF((YEAR(D202)+2)&gt;YEAR(E202),1,(12-MONTH(E202)+1)/12))) + (R202)*(IF((YEAR(D202)+2)&lt;YEAR(E202),0,IF((YEAR(D202)+2)&gt;YEAR(E202),1,(12-MONTH(E202)+1)/12))))-(IF(OR(N202="",N202&lt;=0),0,(O202/N202)*(IF(OR(N202="",N202&lt;=0),0,IF((YEAR(D202)+2)&lt;YEAR(E202),0,IF((YEAR(D202)+2)&gt;=YEAR(E202)+N202,0,IF((YEAR(D202)+2)=YEAR(E202),(12-MONTH(E202)+1)/12,1))))))))*TaxRate,0))-IF(2=0,O202,0))</f>
        <v/>
      </c>
      <c r="V202" s="29">
        <f>IF(A202="","",((K202)*(IF(M202="",L202,IFERROR(IF(INDEX(Variablen!$I:$AT, MATCH(M202, Variablen!$A:$A, 0), MATCH((YEAR(D202)+3), Variablen!$I$3:$AT$3, 0))="",L202,INDEX(Variablen!$I:$AT, MATCH(M202, Variablen!$A:$A, 0), MATCH((YEAR(D202)+3), Variablen!$I$3:$AT$3, 0))),L202)))*(IF((YEAR(D202)+3)&lt;YEAR(E202),0,IF((YEAR(D202)+3)&gt;YEAR(E202),1,(12-MONTH(E202)+1)/12))) + (Q202)*(IF((YEAR(D202)+3)&lt;YEAR(E202),0,IF((YEAR(D202)+3)&gt;YEAR(E202),1,(12-MONTH(E202)+1)/12))))-((P202)*(IF((YEAR(D202)+3)&lt;YEAR(E202),0,IF((YEAR(D202)+3)&gt;YEAR(E202),1,(12-MONTH(E202)+1)/12))) + (R202)*(IF((YEAR(D202)+3)&lt;YEAR(E202),0,IF((YEAR(D202)+3)&gt;YEAR(E202),1,(12-MONTH(E202)+1)/12))))-(IF((((K202)*(IF(M202="",L202,IFERROR(IF(INDEX(Variablen!$I:$AT, MATCH(M202, Variablen!$A:$A, 0), MATCH((YEAR(D202)+3), Variablen!$I$3:$AT$3, 0))="",L202,INDEX(Variablen!$I:$AT, MATCH(M202, Variablen!$A:$A, 0), MATCH((YEAR(D202)+3), Variablen!$I$3:$AT$3, 0))),L202)))*(IF((YEAR(D202)+3)&lt;YEAR(E202),0,IF((YEAR(D202)+3)&gt;YEAR(E202),1,(12-MONTH(E202)+1)/12))) + (Q202)*(IF((YEAR(D202)+3)&lt;YEAR(E202),0,IF((YEAR(D202)+3)&gt;YEAR(E202),1,(12-MONTH(E202)+1)/12))))-((P202)*(IF((YEAR(D202)+3)&lt;YEAR(E202),0,IF((YEAR(D202)+3)&gt;YEAR(E202),1,(12-MONTH(E202)+1)/12))) + (R202)*(IF((YEAR(D202)+3)&lt;YEAR(E202),0,IF((YEAR(D202)+3)&gt;YEAR(E202),1,(12-MONTH(E202)+1)/12))))-(IF(OR(N202="",N202&lt;=0),0,(O202/N202)*(IF(OR(N202="",N202&lt;=0),0,IF((YEAR(D202)+3)&lt;YEAR(E202),0,IF((YEAR(D202)+3)&gt;=YEAR(E202)+N202,0,IF((YEAR(D202)+3)=YEAR(E202),(12-MONTH(E202)+1)/12,1))))))))&gt;0,(((K202)*(IF(M202="",L202,IFERROR(IF(INDEX(Variablen!$I:$AT, MATCH(M202, Variablen!$A:$A, 0), MATCH((YEAR(D202)+3), Variablen!$I$3:$AT$3, 0))="",L202,INDEX(Variablen!$I:$AT, MATCH(M202, Variablen!$A:$A, 0), MATCH((YEAR(D202)+3), Variablen!$I$3:$AT$3, 0))),L202)))*(IF((YEAR(D202)+3)&lt;YEAR(E202),0,IF((YEAR(D202)+3)&gt;YEAR(E202),1,(12-MONTH(E202)+1)/12))) + (Q202)*(IF((YEAR(D202)+3)&lt;YEAR(E202),0,IF((YEAR(D202)+3)&gt;YEAR(E202),1,(12-MONTH(E202)+1)/12))))-((P202)*(IF((YEAR(D202)+3)&lt;YEAR(E202),0,IF((YEAR(D202)+3)&gt;YEAR(E202),1,(12-MONTH(E202)+1)/12))) + (R202)*(IF((YEAR(D202)+3)&lt;YEAR(E202),0,IF((YEAR(D202)+3)&gt;YEAR(E202),1,(12-MONTH(E202)+1)/12))))-(IF(OR(N202="",N202&lt;=0),0,(O202/N202)*(IF(OR(N202="",N202&lt;=0),0,IF((YEAR(D202)+3)&lt;YEAR(E202),0,IF((YEAR(D202)+3)&gt;=YEAR(E202)+N202,0,IF((YEAR(D202)+3)=YEAR(E202),(12-MONTH(E202)+1)/12,1))))))))*TaxRate,0))-IF(3=0,O202,0))</f>
        <v/>
      </c>
      <c r="W202" s="29">
        <f>IF(A202="","",((K202)*(IF(M202="",L202,IFERROR(IF(INDEX(Variablen!$I:$AT, MATCH(M202, Variablen!$A:$A, 0), MATCH((YEAR(D202)+4), Variablen!$I$3:$AT$3, 0))="",L202,INDEX(Variablen!$I:$AT, MATCH(M202, Variablen!$A:$A, 0), MATCH((YEAR(D202)+4), Variablen!$I$3:$AT$3, 0))),L202)))*(IF((YEAR(D202)+4)&lt;YEAR(E202),0,IF((YEAR(D202)+4)&gt;YEAR(E202),1,(12-MONTH(E202)+1)/12))) + (Q202)*(IF((YEAR(D202)+4)&lt;YEAR(E202),0,IF((YEAR(D202)+4)&gt;YEAR(E202),1,(12-MONTH(E202)+1)/12))))-((P202)*(IF((YEAR(D202)+4)&lt;YEAR(E202),0,IF((YEAR(D202)+4)&gt;YEAR(E202),1,(12-MONTH(E202)+1)/12))) + (R202)*(IF((YEAR(D202)+4)&lt;YEAR(E202),0,IF((YEAR(D202)+4)&gt;YEAR(E202),1,(12-MONTH(E202)+1)/12))))-(IF((((K202)*(IF(M202="",L202,IFERROR(IF(INDEX(Variablen!$I:$AT, MATCH(M202, Variablen!$A:$A, 0), MATCH((YEAR(D202)+4), Variablen!$I$3:$AT$3, 0))="",L202,INDEX(Variablen!$I:$AT, MATCH(M202, Variablen!$A:$A, 0), MATCH((YEAR(D202)+4), Variablen!$I$3:$AT$3, 0))),L202)))*(IF((YEAR(D202)+4)&lt;YEAR(E202),0,IF((YEAR(D202)+4)&gt;YEAR(E202),1,(12-MONTH(E202)+1)/12))) + (Q202)*(IF((YEAR(D202)+4)&lt;YEAR(E202),0,IF((YEAR(D202)+4)&gt;YEAR(E202),1,(12-MONTH(E202)+1)/12))))-((P202)*(IF((YEAR(D202)+4)&lt;YEAR(E202),0,IF((YEAR(D202)+4)&gt;YEAR(E202),1,(12-MONTH(E202)+1)/12))) + (R202)*(IF((YEAR(D202)+4)&lt;YEAR(E202),0,IF((YEAR(D202)+4)&gt;YEAR(E202),1,(12-MONTH(E202)+1)/12))))-(IF(OR(N202="",N202&lt;=0),0,(O202/N202)*(IF(OR(N202="",N202&lt;=0),0,IF((YEAR(D202)+4)&lt;YEAR(E202),0,IF((YEAR(D202)+4)&gt;=YEAR(E202)+N202,0,IF((YEAR(D202)+4)=YEAR(E202),(12-MONTH(E202)+1)/12,1))))))))&gt;0,(((K202)*(IF(M202="",L202,IFERROR(IF(INDEX(Variablen!$I:$AT, MATCH(M202, Variablen!$A:$A, 0), MATCH((YEAR(D202)+4), Variablen!$I$3:$AT$3, 0))="",L202,INDEX(Variablen!$I:$AT, MATCH(M202, Variablen!$A:$A, 0), MATCH((YEAR(D202)+4), Variablen!$I$3:$AT$3, 0))),L202)))*(IF((YEAR(D202)+4)&lt;YEAR(E202),0,IF((YEAR(D202)+4)&gt;YEAR(E202),1,(12-MONTH(E202)+1)/12))) + (Q202)*(IF((YEAR(D202)+4)&lt;YEAR(E202),0,IF((YEAR(D202)+4)&gt;YEAR(E202),1,(12-MONTH(E202)+1)/12))))-((P202)*(IF((YEAR(D202)+4)&lt;YEAR(E202),0,IF((YEAR(D202)+4)&gt;YEAR(E202),1,(12-MONTH(E202)+1)/12))) + (R202)*(IF((YEAR(D202)+4)&lt;YEAR(E202),0,IF((YEAR(D202)+4)&gt;YEAR(E202),1,(12-MONTH(E202)+1)/12))))-(IF(OR(N202="",N202&lt;=0),0,(O202/N202)*(IF(OR(N202="",N202&lt;=0),0,IF((YEAR(D202)+4)&lt;YEAR(E202),0,IF((YEAR(D202)+4)&gt;=YEAR(E202)+N202,0,IF((YEAR(D202)+4)=YEAR(E202),(12-MONTH(E202)+1)/12,1))))))))*TaxRate,0))-IF(4=0,O202,0))</f>
        <v/>
      </c>
      <c r="X202" s="29">
        <f>IF(A202="","",((K202)*(IF(M202="",L202,IFERROR(IF(INDEX(Variablen!$I:$AT, MATCH(M202, Variablen!$A:$A, 0), MATCH((YEAR(D202)+5), Variablen!$I$3:$AT$3, 0))="",L202,INDEX(Variablen!$I:$AT, MATCH(M202, Variablen!$A:$A, 0), MATCH((YEAR(D202)+5), Variablen!$I$3:$AT$3, 0))),L202)))*(IF((YEAR(D202)+5)&lt;YEAR(E202),0,IF((YEAR(D202)+5)&gt;YEAR(E202),1,(12-MONTH(E202)+1)/12))) + (Q202)*(IF((YEAR(D202)+5)&lt;YEAR(E202),0,IF((YEAR(D202)+5)&gt;YEAR(E202),1,(12-MONTH(E202)+1)/12))))-((P202)*(IF((YEAR(D202)+5)&lt;YEAR(E202),0,IF((YEAR(D202)+5)&gt;YEAR(E202),1,(12-MONTH(E202)+1)/12))) + (R202)*(IF((YEAR(D202)+5)&lt;YEAR(E202),0,IF((YEAR(D202)+5)&gt;YEAR(E202),1,(12-MONTH(E202)+1)/12))))-(IF((((K202)*(IF(M202="",L202,IFERROR(IF(INDEX(Variablen!$I:$AT, MATCH(M202, Variablen!$A:$A, 0), MATCH((YEAR(D202)+5), Variablen!$I$3:$AT$3, 0))="",L202,INDEX(Variablen!$I:$AT, MATCH(M202, Variablen!$A:$A, 0), MATCH((YEAR(D202)+5), Variablen!$I$3:$AT$3, 0))),L202)))*(IF((YEAR(D202)+5)&lt;YEAR(E202),0,IF((YEAR(D202)+5)&gt;YEAR(E202),1,(12-MONTH(E202)+1)/12))) + (Q202)*(IF((YEAR(D202)+5)&lt;YEAR(E202),0,IF((YEAR(D202)+5)&gt;YEAR(E202),1,(12-MONTH(E202)+1)/12))))-((P202)*(IF((YEAR(D202)+5)&lt;YEAR(E202),0,IF((YEAR(D202)+5)&gt;YEAR(E202),1,(12-MONTH(E202)+1)/12))) + (R202)*(IF((YEAR(D202)+5)&lt;YEAR(E202),0,IF((YEAR(D202)+5)&gt;YEAR(E202),1,(12-MONTH(E202)+1)/12))))-(IF(OR(N202="",N202&lt;=0),0,(O202/N202)*(IF(OR(N202="",N202&lt;=0),0,IF((YEAR(D202)+5)&lt;YEAR(E202),0,IF((YEAR(D202)+5)&gt;=YEAR(E202)+N202,0,IF((YEAR(D202)+5)=YEAR(E202),(12-MONTH(E202)+1)/12,1))))))))&gt;0,(((K202)*(IF(M202="",L202,IFERROR(IF(INDEX(Variablen!$I:$AT, MATCH(M202, Variablen!$A:$A, 0), MATCH((YEAR(D202)+5), Variablen!$I$3:$AT$3, 0))="",L202,INDEX(Variablen!$I:$AT, MATCH(M202, Variablen!$A:$A, 0), MATCH((YEAR(D202)+5), Variablen!$I$3:$AT$3, 0))),L202)))*(IF((YEAR(D202)+5)&lt;YEAR(E202),0,IF((YEAR(D202)+5)&gt;YEAR(E202),1,(12-MONTH(E202)+1)/12))) + (Q202)*(IF((YEAR(D202)+5)&lt;YEAR(E202),0,IF((YEAR(D202)+5)&gt;YEAR(E202),1,(12-MONTH(E202)+1)/12))))-((P202)*(IF((YEAR(D202)+5)&lt;YEAR(E202),0,IF((YEAR(D202)+5)&gt;YEAR(E202),1,(12-MONTH(E202)+1)/12))) + (R202)*(IF((YEAR(D202)+5)&lt;YEAR(E202),0,IF((YEAR(D202)+5)&gt;YEAR(E202),1,(12-MONTH(E202)+1)/12))))-(IF(OR(N202="",N202&lt;=0),0,(O202/N202)*(IF(OR(N202="",N202&lt;=0),0,IF((YEAR(D202)+5)&lt;YEAR(E202),0,IF((YEAR(D202)+5)&gt;=YEAR(E202)+N202,0,IF((YEAR(D202)+5)=YEAR(E202),(12-MONTH(E202)+1)/12,1))))))))*TaxRate,0))-IF(5=0,O202,0))</f>
        <v/>
      </c>
      <c r="Y202" s="29">
        <f>IF(A202="","",((K202)*(IF(M202="",L202,IFERROR(IF(INDEX(Variablen!$I:$AT, MATCH(M202, Variablen!$A:$A, 0), MATCH((YEAR(D202)+6), Variablen!$I$3:$AT$3, 0))="",L202,INDEX(Variablen!$I:$AT, MATCH(M202, Variablen!$A:$A, 0), MATCH((YEAR(D202)+6), Variablen!$I$3:$AT$3, 0))),L202)))*(IF((YEAR(D202)+6)&lt;YEAR(E202),0,IF((YEAR(D202)+6)&gt;YEAR(E202),1,(12-MONTH(E202)+1)/12))) + (Q202)*(IF((YEAR(D202)+6)&lt;YEAR(E202),0,IF((YEAR(D202)+6)&gt;YEAR(E202),1,(12-MONTH(E202)+1)/12))))-((P202)*(IF((YEAR(D202)+6)&lt;YEAR(E202),0,IF((YEAR(D202)+6)&gt;YEAR(E202),1,(12-MONTH(E202)+1)/12))) + (R202)*(IF((YEAR(D202)+6)&lt;YEAR(E202),0,IF((YEAR(D202)+6)&gt;YEAR(E202),1,(12-MONTH(E202)+1)/12))))-(IF((((K202)*(IF(M202="",L202,IFERROR(IF(INDEX(Variablen!$I:$AT, MATCH(M202, Variablen!$A:$A, 0), MATCH((YEAR(D202)+6), Variablen!$I$3:$AT$3, 0))="",L202,INDEX(Variablen!$I:$AT, MATCH(M202, Variablen!$A:$A, 0), MATCH((YEAR(D202)+6), Variablen!$I$3:$AT$3, 0))),L202)))*(IF((YEAR(D202)+6)&lt;YEAR(E202),0,IF((YEAR(D202)+6)&gt;YEAR(E202),1,(12-MONTH(E202)+1)/12))) + (Q202)*(IF((YEAR(D202)+6)&lt;YEAR(E202),0,IF((YEAR(D202)+6)&gt;YEAR(E202),1,(12-MONTH(E202)+1)/12))))-((P202)*(IF((YEAR(D202)+6)&lt;YEAR(E202),0,IF((YEAR(D202)+6)&gt;YEAR(E202),1,(12-MONTH(E202)+1)/12))) + (R202)*(IF((YEAR(D202)+6)&lt;YEAR(E202),0,IF((YEAR(D202)+6)&gt;YEAR(E202),1,(12-MONTH(E202)+1)/12))))-(IF(OR(N202="",N202&lt;=0),0,(O202/N202)*(IF(OR(N202="",N202&lt;=0),0,IF((YEAR(D202)+6)&lt;YEAR(E202),0,IF((YEAR(D202)+6)&gt;=YEAR(E202)+N202,0,IF((YEAR(D202)+6)=YEAR(E202),(12-MONTH(E202)+1)/12,1))))))))&gt;0,(((K202)*(IF(M202="",L202,IFERROR(IF(INDEX(Variablen!$I:$AT, MATCH(M202, Variablen!$A:$A, 0), MATCH((YEAR(D202)+6), Variablen!$I$3:$AT$3, 0))="",L202,INDEX(Variablen!$I:$AT, MATCH(M202, Variablen!$A:$A, 0), MATCH((YEAR(D202)+6), Variablen!$I$3:$AT$3, 0))),L202)))*(IF((YEAR(D202)+6)&lt;YEAR(E202),0,IF((YEAR(D202)+6)&gt;YEAR(E202),1,(12-MONTH(E202)+1)/12))) + (Q202)*(IF((YEAR(D202)+6)&lt;YEAR(E202),0,IF((YEAR(D202)+6)&gt;YEAR(E202),1,(12-MONTH(E202)+1)/12))))-((P202)*(IF((YEAR(D202)+6)&lt;YEAR(E202),0,IF((YEAR(D202)+6)&gt;YEAR(E202),1,(12-MONTH(E202)+1)/12))) + (R202)*(IF((YEAR(D202)+6)&lt;YEAR(E202),0,IF((YEAR(D202)+6)&gt;YEAR(E202),1,(12-MONTH(E202)+1)/12))))-(IF(OR(N202="",N202&lt;=0),0,(O202/N202)*(IF(OR(N202="",N202&lt;=0),0,IF((YEAR(D202)+6)&lt;YEAR(E202),0,IF((YEAR(D202)+6)&gt;=YEAR(E202)+N202,0,IF((YEAR(D202)+6)=YEAR(E202),(12-MONTH(E202)+1)/12,1))))))))*TaxRate,0))-IF(6=0,O202,0))</f>
        <v/>
      </c>
      <c r="Z202" s="29">
        <f>IF(A202="","",((K202)*(IF(M202="",L202,IFERROR(IF(INDEX(Variablen!$I:$AT, MATCH(M202, Variablen!$A:$A, 0), MATCH((YEAR(D202)+7), Variablen!$I$3:$AT$3, 0))="",L202,INDEX(Variablen!$I:$AT, MATCH(M202, Variablen!$A:$A, 0), MATCH((YEAR(D202)+7), Variablen!$I$3:$AT$3, 0))),L202)))*(IF((YEAR(D202)+7)&lt;YEAR(E202),0,IF((YEAR(D202)+7)&gt;YEAR(E202),1,(12-MONTH(E202)+1)/12))) + (Q202)*(IF((YEAR(D202)+7)&lt;YEAR(E202),0,IF((YEAR(D202)+7)&gt;YEAR(E202),1,(12-MONTH(E202)+1)/12))))-((P202)*(IF((YEAR(D202)+7)&lt;YEAR(E202),0,IF((YEAR(D202)+7)&gt;YEAR(E202),1,(12-MONTH(E202)+1)/12))) + (R202)*(IF((YEAR(D202)+7)&lt;YEAR(E202),0,IF((YEAR(D202)+7)&gt;YEAR(E202),1,(12-MONTH(E202)+1)/12))))-(IF((((K202)*(IF(M202="",L202,IFERROR(IF(INDEX(Variablen!$I:$AT, MATCH(M202, Variablen!$A:$A, 0), MATCH((YEAR(D202)+7), Variablen!$I$3:$AT$3, 0))="",L202,INDEX(Variablen!$I:$AT, MATCH(M202, Variablen!$A:$A, 0), MATCH((YEAR(D202)+7), Variablen!$I$3:$AT$3, 0))),L202)))*(IF((YEAR(D202)+7)&lt;YEAR(E202),0,IF((YEAR(D202)+7)&gt;YEAR(E202),1,(12-MONTH(E202)+1)/12))) + (Q202)*(IF((YEAR(D202)+7)&lt;YEAR(E202),0,IF((YEAR(D202)+7)&gt;YEAR(E202),1,(12-MONTH(E202)+1)/12))))-((P202)*(IF((YEAR(D202)+7)&lt;YEAR(E202),0,IF((YEAR(D202)+7)&gt;YEAR(E202),1,(12-MONTH(E202)+1)/12))) + (R202)*(IF((YEAR(D202)+7)&lt;YEAR(E202),0,IF((YEAR(D202)+7)&gt;YEAR(E202),1,(12-MONTH(E202)+1)/12))))-(IF(OR(N202="",N202&lt;=0),0,(O202/N202)*(IF(OR(N202="",N202&lt;=0),0,IF((YEAR(D202)+7)&lt;YEAR(E202),0,IF((YEAR(D202)+7)&gt;=YEAR(E202)+N202,0,IF((YEAR(D202)+7)=YEAR(E202),(12-MONTH(E202)+1)/12,1))))))))&gt;0,(((K202)*(IF(M202="",L202,IFERROR(IF(INDEX(Variablen!$I:$AT, MATCH(M202, Variablen!$A:$A, 0), MATCH((YEAR(D202)+7), Variablen!$I$3:$AT$3, 0))="",L202,INDEX(Variablen!$I:$AT, MATCH(M202, Variablen!$A:$A, 0), MATCH((YEAR(D202)+7), Variablen!$I$3:$AT$3, 0))),L202)))*(IF((YEAR(D202)+7)&lt;YEAR(E202),0,IF((YEAR(D202)+7)&gt;YEAR(E202),1,(12-MONTH(E202)+1)/12))) + (Q202)*(IF((YEAR(D202)+7)&lt;YEAR(E202),0,IF((YEAR(D202)+7)&gt;YEAR(E202),1,(12-MONTH(E202)+1)/12))))-((P202)*(IF((YEAR(D202)+7)&lt;YEAR(E202),0,IF((YEAR(D202)+7)&gt;YEAR(E202),1,(12-MONTH(E202)+1)/12))) + (R202)*(IF((YEAR(D202)+7)&lt;YEAR(E202),0,IF((YEAR(D202)+7)&gt;YEAR(E202),1,(12-MONTH(E202)+1)/12))))-(IF(OR(N202="",N202&lt;=0),0,(O202/N202)*(IF(OR(N202="",N202&lt;=0),0,IF((YEAR(D202)+7)&lt;YEAR(E202),0,IF((YEAR(D202)+7)&gt;=YEAR(E202)+N202,0,IF((YEAR(D202)+7)=YEAR(E202),(12-MONTH(E202)+1)/12,1))))))))*TaxRate,0))-IF(7=0,O202,0))</f>
        <v/>
      </c>
      <c r="AA202" s="29">
        <f>IF(A202="","",((K202)*(IF(M202="",L202,IFERROR(IF(INDEX(Variablen!$I:$AT, MATCH(M202, Variablen!$A:$A, 0), MATCH((YEAR(D202)+8), Variablen!$I$3:$AT$3, 0))="",L202,INDEX(Variablen!$I:$AT, MATCH(M202, Variablen!$A:$A, 0), MATCH((YEAR(D202)+8), Variablen!$I$3:$AT$3, 0))),L202)))*(IF((YEAR(D202)+8)&lt;YEAR(E202),0,IF((YEAR(D202)+8)&gt;YEAR(E202),1,(12-MONTH(E202)+1)/12))) + (Q202)*(IF((YEAR(D202)+8)&lt;YEAR(E202),0,IF((YEAR(D202)+8)&gt;YEAR(E202),1,(12-MONTH(E202)+1)/12))))-((P202)*(IF((YEAR(D202)+8)&lt;YEAR(E202),0,IF((YEAR(D202)+8)&gt;YEAR(E202),1,(12-MONTH(E202)+1)/12))) + (R202)*(IF((YEAR(D202)+8)&lt;YEAR(E202),0,IF((YEAR(D202)+8)&gt;YEAR(E202),1,(12-MONTH(E202)+1)/12))))-(IF((((K202)*(IF(M202="",L202,IFERROR(IF(INDEX(Variablen!$I:$AT, MATCH(M202, Variablen!$A:$A, 0), MATCH((YEAR(D202)+8), Variablen!$I$3:$AT$3, 0))="",L202,INDEX(Variablen!$I:$AT, MATCH(M202, Variablen!$A:$A, 0), MATCH((YEAR(D202)+8), Variablen!$I$3:$AT$3, 0))),L202)))*(IF((YEAR(D202)+8)&lt;YEAR(E202),0,IF((YEAR(D202)+8)&gt;YEAR(E202),1,(12-MONTH(E202)+1)/12))) + (Q202)*(IF((YEAR(D202)+8)&lt;YEAR(E202),0,IF((YEAR(D202)+8)&gt;YEAR(E202),1,(12-MONTH(E202)+1)/12))))-((P202)*(IF((YEAR(D202)+8)&lt;YEAR(E202),0,IF((YEAR(D202)+8)&gt;YEAR(E202),1,(12-MONTH(E202)+1)/12))) + (R202)*(IF((YEAR(D202)+8)&lt;YEAR(E202),0,IF((YEAR(D202)+8)&gt;YEAR(E202),1,(12-MONTH(E202)+1)/12))))-(IF(OR(N202="",N202&lt;=0),0,(O202/N202)*(IF(OR(N202="",N202&lt;=0),0,IF((YEAR(D202)+8)&lt;YEAR(E202),0,IF((YEAR(D202)+8)&gt;=YEAR(E202)+N202,0,IF((YEAR(D202)+8)=YEAR(E202),(12-MONTH(E202)+1)/12,1))))))))&gt;0,(((K202)*(IF(M202="",L202,IFERROR(IF(INDEX(Variablen!$I:$AT, MATCH(M202, Variablen!$A:$A, 0), MATCH((YEAR(D202)+8), Variablen!$I$3:$AT$3, 0))="",L202,INDEX(Variablen!$I:$AT, MATCH(M202, Variablen!$A:$A, 0), MATCH((YEAR(D202)+8), Variablen!$I$3:$AT$3, 0))),L202)))*(IF((YEAR(D202)+8)&lt;YEAR(E202),0,IF((YEAR(D202)+8)&gt;YEAR(E202),1,(12-MONTH(E202)+1)/12))) + (Q202)*(IF((YEAR(D202)+8)&lt;YEAR(E202),0,IF((YEAR(D202)+8)&gt;YEAR(E202),1,(12-MONTH(E202)+1)/12))))-((P202)*(IF((YEAR(D202)+8)&lt;YEAR(E202),0,IF((YEAR(D202)+8)&gt;YEAR(E202),1,(12-MONTH(E202)+1)/12))) + (R202)*(IF((YEAR(D202)+8)&lt;YEAR(E202),0,IF((YEAR(D202)+8)&gt;YEAR(E202),1,(12-MONTH(E202)+1)/12))))-(IF(OR(N202="",N202&lt;=0),0,(O202/N202)*(IF(OR(N202="",N202&lt;=0),0,IF((YEAR(D202)+8)&lt;YEAR(E202),0,IF((YEAR(D202)+8)&gt;=YEAR(E202)+N202,0,IF((YEAR(D202)+8)=YEAR(E202),(12-MONTH(E202)+1)/12,1))))))))*TaxRate,0))-IF(8=0,O202,0))</f>
        <v/>
      </c>
      <c r="AB202" s="29">
        <f>IF(A202="","",((K202)*(IF(M202="",L202,IFERROR(IF(INDEX(Variablen!$I:$AT, MATCH(M202, Variablen!$A:$A, 0), MATCH((YEAR(D202)+9), Variablen!$I$3:$AT$3, 0))="",L202,INDEX(Variablen!$I:$AT, MATCH(M202, Variablen!$A:$A, 0), MATCH((YEAR(D202)+9), Variablen!$I$3:$AT$3, 0))),L202)))*(IF((YEAR(D202)+9)&lt;YEAR(E202),0,IF((YEAR(D202)+9)&gt;YEAR(E202),1,(12-MONTH(E202)+1)/12))) + (Q202)*(IF((YEAR(D202)+9)&lt;YEAR(E202),0,IF((YEAR(D202)+9)&gt;YEAR(E202),1,(12-MONTH(E202)+1)/12))))-((P202)*(IF((YEAR(D202)+9)&lt;YEAR(E202),0,IF((YEAR(D202)+9)&gt;YEAR(E202),1,(12-MONTH(E202)+1)/12))) + (R202)*(IF((YEAR(D202)+9)&lt;YEAR(E202),0,IF((YEAR(D202)+9)&gt;YEAR(E202),1,(12-MONTH(E202)+1)/12))))-(IF((((K202)*(IF(M202="",L202,IFERROR(IF(INDEX(Variablen!$I:$AT, MATCH(M202, Variablen!$A:$A, 0), MATCH((YEAR(D202)+9), Variablen!$I$3:$AT$3, 0))="",L202,INDEX(Variablen!$I:$AT, MATCH(M202, Variablen!$A:$A, 0), MATCH((YEAR(D202)+9), Variablen!$I$3:$AT$3, 0))),L202)))*(IF((YEAR(D202)+9)&lt;YEAR(E202),0,IF((YEAR(D202)+9)&gt;YEAR(E202),1,(12-MONTH(E202)+1)/12))) + (Q202)*(IF((YEAR(D202)+9)&lt;YEAR(E202),0,IF((YEAR(D202)+9)&gt;YEAR(E202),1,(12-MONTH(E202)+1)/12))))-((P202)*(IF((YEAR(D202)+9)&lt;YEAR(E202),0,IF((YEAR(D202)+9)&gt;YEAR(E202),1,(12-MONTH(E202)+1)/12))) + (R202)*(IF((YEAR(D202)+9)&lt;YEAR(E202),0,IF((YEAR(D202)+9)&gt;YEAR(E202),1,(12-MONTH(E202)+1)/12))))-(IF(OR(N202="",N202&lt;=0),0,(O202/N202)*(IF(OR(N202="",N202&lt;=0),0,IF((YEAR(D202)+9)&lt;YEAR(E202),0,IF((YEAR(D202)+9)&gt;=YEAR(E202)+N202,0,IF((YEAR(D202)+9)=YEAR(E202),(12-MONTH(E202)+1)/12,1))))))))&gt;0,(((K202)*(IF(M202="",L202,IFERROR(IF(INDEX(Variablen!$I:$AT, MATCH(M202, Variablen!$A:$A, 0), MATCH((YEAR(D202)+9), Variablen!$I$3:$AT$3, 0))="",L202,INDEX(Variablen!$I:$AT, MATCH(M202, Variablen!$A:$A, 0), MATCH((YEAR(D202)+9), Variablen!$I$3:$AT$3, 0))),L202)))*(IF((YEAR(D202)+9)&lt;YEAR(E202),0,IF((YEAR(D202)+9)&gt;YEAR(E202),1,(12-MONTH(E202)+1)/12))) + (Q202)*(IF((YEAR(D202)+9)&lt;YEAR(E202),0,IF((YEAR(D202)+9)&gt;YEAR(E202),1,(12-MONTH(E202)+1)/12))))-((P202)*(IF((YEAR(D202)+9)&lt;YEAR(E202),0,IF((YEAR(D202)+9)&gt;YEAR(E202),1,(12-MONTH(E202)+1)/12))) + (R202)*(IF((YEAR(D202)+9)&lt;YEAR(E202),0,IF((YEAR(D202)+9)&gt;YEAR(E202),1,(12-MONTH(E202)+1)/12))))-(IF(OR(N202="",N202&lt;=0),0,(O202/N202)*(IF(OR(N202="",N202&lt;=0),0,IF((YEAR(D202)+9)&lt;YEAR(E202),0,IF((YEAR(D202)+9)&gt;=YEAR(E202)+N202,0,IF((YEAR(D202)+9)=YEAR(E202),(12-MONTH(E202)+1)/12,1))))))))*TaxRate,0))-IF(9=0,O202,0))</f>
        <v/>
      </c>
      <c r="AC202" s="29">
        <f>IF(A202="","",((K202)*(IF(M202="",L202,IFERROR(IF(INDEX(Variablen!$I:$AT, MATCH(M202, Variablen!$A:$A, 0), MATCH((YEAR(D202)+10), Variablen!$I$3:$AT$3, 0))="",L202,INDEX(Variablen!$I:$AT, MATCH(M202, Variablen!$A:$A, 0), MATCH((YEAR(D202)+10), Variablen!$I$3:$AT$3, 0))),L202)))*(IF((YEAR(D202)+10)&lt;YEAR(E202),0,IF((YEAR(D202)+10)&gt;YEAR(E202),1,(12-MONTH(E202)+1)/12))) + (Q202)*(IF((YEAR(D202)+10)&lt;YEAR(E202),0,IF((YEAR(D202)+10)&gt;YEAR(E202),1,(12-MONTH(E202)+1)/12))))-((P202)*(IF((YEAR(D202)+10)&lt;YEAR(E202),0,IF((YEAR(D202)+10)&gt;YEAR(E202),1,(12-MONTH(E202)+1)/12))) + (R202)*(IF((YEAR(D202)+10)&lt;YEAR(E202),0,IF((YEAR(D202)+10)&gt;YEAR(E202),1,(12-MONTH(E202)+1)/12))))-(IF((((K202)*(IF(M202="",L202,IFERROR(IF(INDEX(Variablen!$I:$AT, MATCH(M202, Variablen!$A:$A, 0), MATCH((YEAR(D202)+10), Variablen!$I$3:$AT$3, 0))="",L202,INDEX(Variablen!$I:$AT, MATCH(M202, Variablen!$A:$A, 0), MATCH((YEAR(D202)+10), Variablen!$I$3:$AT$3, 0))),L202)))*(IF((YEAR(D202)+10)&lt;YEAR(E202),0,IF((YEAR(D202)+10)&gt;YEAR(E202),1,(12-MONTH(E202)+1)/12))) + (Q202)*(IF((YEAR(D202)+10)&lt;YEAR(E202),0,IF((YEAR(D202)+10)&gt;YEAR(E202),1,(12-MONTH(E202)+1)/12))))-((P202)*(IF((YEAR(D202)+10)&lt;YEAR(E202),0,IF((YEAR(D202)+10)&gt;YEAR(E202),1,(12-MONTH(E202)+1)/12))) + (R202)*(IF((YEAR(D202)+10)&lt;YEAR(E202),0,IF((YEAR(D202)+10)&gt;YEAR(E202),1,(12-MONTH(E202)+1)/12))))-(IF(OR(N202="",N202&lt;=0),0,(O202/N202)*(IF(OR(N202="",N202&lt;=0),0,IF((YEAR(D202)+10)&lt;YEAR(E202),0,IF((YEAR(D202)+10)&gt;=YEAR(E202)+N202,0,IF((YEAR(D202)+10)=YEAR(E202),(12-MONTH(E202)+1)/12,1))))))))&gt;0,(((K202)*(IF(M202="",L202,IFERROR(IF(INDEX(Variablen!$I:$AT, MATCH(M202, Variablen!$A:$A, 0), MATCH((YEAR(D202)+10), Variablen!$I$3:$AT$3, 0))="",L202,INDEX(Variablen!$I:$AT, MATCH(M202, Variablen!$A:$A, 0), MATCH((YEAR(D202)+10), Variablen!$I$3:$AT$3, 0))),L202)))*(IF((YEAR(D202)+10)&lt;YEAR(E202),0,IF((YEAR(D202)+10)&gt;YEAR(E202),1,(12-MONTH(E202)+1)/12))) + (Q202)*(IF((YEAR(D202)+10)&lt;YEAR(E202),0,IF((YEAR(D202)+10)&gt;YEAR(E202),1,(12-MONTH(E202)+1)/12))))-((P202)*(IF((YEAR(D202)+10)&lt;YEAR(E202),0,IF((YEAR(D202)+10)&gt;YEAR(E202),1,(12-MONTH(E202)+1)/12))) + (R202)*(IF((YEAR(D202)+10)&lt;YEAR(E202),0,IF((YEAR(D202)+10)&gt;YEAR(E202),1,(12-MONTH(E202)+1)/12))))-(IF(OR(N202="",N202&lt;=0),0,(O202/N202)*(IF(OR(N202="",N202&lt;=0),0,IF((YEAR(D202)+10)&lt;YEAR(E202),0,IF((YEAR(D202)+10)&gt;=YEAR(E202)+N202,0,IF((YEAR(D202)+10)=YEAR(E202),(12-MONTH(E202)+1)/12,1))))))))*TaxRate,0))-IF(10=0,O202,0))</f>
        <v/>
      </c>
      <c r="AD202" s="29">
        <f>IF(A202="","",((K202)*(IF(M202="",L202,IFERROR(IF(INDEX(Variablen!$I:$AT, MATCH(M202, Variablen!$A:$A, 0), MATCH((YEAR(D202)+11), Variablen!$I$3:$AT$3, 0))="",L202,INDEX(Variablen!$I:$AT, MATCH(M202, Variablen!$A:$A, 0), MATCH((YEAR(D202)+11), Variablen!$I$3:$AT$3, 0))),L202)))*(IF((YEAR(D202)+11)&lt;YEAR(E202),0,IF((YEAR(D202)+11)&gt;YEAR(E202),1,(12-MONTH(E202)+1)/12))) + (Q202)*(IF((YEAR(D202)+11)&lt;YEAR(E202),0,IF((YEAR(D202)+11)&gt;YEAR(E202),1,(12-MONTH(E202)+1)/12))))-((P202)*(IF((YEAR(D202)+11)&lt;YEAR(E202),0,IF((YEAR(D202)+11)&gt;YEAR(E202),1,(12-MONTH(E202)+1)/12))) + (R202)*(IF((YEAR(D202)+11)&lt;YEAR(E202),0,IF((YEAR(D202)+11)&gt;YEAR(E202),1,(12-MONTH(E202)+1)/12))))-(IF((((K202)*(IF(M202="",L202,IFERROR(IF(INDEX(Variablen!$I:$AT, MATCH(M202, Variablen!$A:$A, 0), MATCH((YEAR(D202)+11), Variablen!$I$3:$AT$3, 0))="",L202,INDEX(Variablen!$I:$AT, MATCH(M202, Variablen!$A:$A, 0), MATCH((YEAR(D202)+11), Variablen!$I$3:$AT$3, 0))),L202)))*(IF((YEAR(D202)+11)&lt;YEAR(E202),0,IF((YEAR(D202)+11)&gt;YEAR(E202),1,(12-MONTH(E202)+1)/12))) + (Q202)*(IF((YEAR(D202)+11)&lt;YEAR(E202),0,IF((YEAR(D202)+11)&gt;YEAR(E202),1,(12-MONTH(E202)+1)/12))))-((P202)*(IF((YEAR(D202)+11)&lt;YEAR(E202),0,IF((YEAR(D202)+11)&gt;YEAR(E202),1,(12-MONTH(E202)+1)/12))) + (R202)*(IF((YEAR(D202)+11)&lt;YEAR(E202),0,IF((YEAR(D202)+11)&gt;YEAR(E202),1,(12-MONTH(E202)+1)/12))))-(IF(OR(N202="",N202&lt;=0),0,(O202/N202)*(IF(OR(N202="",N202&lt;=0),0,IF((YEAR(D202)+11)&lt;YEAR(E202),0,IF((YEAR(D202)+11)&gt;=YEAR(E202)+N202,0,IF((YEAR(D202)+11)=YEAR(E202),(12-MONTH(E202)+1)/12,1))))))))&gt;0,(((K202)*(IF(M202="",L202,IFERROR(IF(INDEX(Variablen!$I:$AT, MATCH(M202, Variablen!$A:$A, 0), MATCH((YEAR(D202)+11), Variablen!$I$3:$AT$3, 0))="",L202,INDEX(Variablen!$I:$AT, MATCH(M202, Variablen!$A:$A, 0), MATCH((YEAR(D202)+11), Variablen!$I$3:$AT$3, 0))),L202)))*(IF((YEAR(D202)+11)&lt;YEAR(E202),0,IF((YEAR(D202)+11)&gt;YEAR(E202),1,(12-MONTH(E202)+1)/12))) + (Q202)*(IF((YEAR(D202)+11)&lt;YEAR(E202),0,IF((YEAR(D202)+11)&gt;YEAR(E202),1,(12-MONTH(E202)+1)/12))))-((P202)*(IF((YEAR(D202)+11)&lt;YEAR(E202),0,IF((YEAR(D202)+11)&gt;YEAR(E202),1,(12-MONTH(E202)+1)/12))) + (R202)*(IF((YEAR(D202)+11)&lt;YEAR(E202),0,IF((YEAR(D202)+11)&gt;YEAR(E202),1,(12-MONTH(E202)+1)/12))))-(IF(OR(N202="",N202&lt;=0),0,(O202/N202)*(IF(OR(N202="",N202&lt;=0),0,IF((YEAR(D202)+11)&lt;YEAR(E202),0,IF((YEAR(D202)+11)&gt;=YEAR(E202)+N202,0,IF((YEAR(D202)+11)=YEAR(E202),(12-MONTH(E202)+1)/12,1))))))))*TaxRate,0))-IF(11=0,O202,0))</f>
        <v/>
      </c>
      <c r="AE202" s="29">
        <f>IF(A202="","",((K202)*(IF(M202="",L202,IFERROR(IF(INDEX(Variablen!$I:$AT, MATCH(M202, Variablen!$A:$A, 0), MATCH((YEAR(D202)+12), Variablen!$I$3:$AT$3, 0))="",L202,INDEX(Variablen!$I:$AT, MATCH(M202, Variablen!$A:$A, 0), MATCH((YEAR(D202)+12), Variablen!$I$3:$AT$3, 0))),L202)))*(IF((YEAR(D202)+12)&lt;YEAR(E202),0,IF((YEAR(D202)+12)&gt;YEAR(E202),1,(12-MONTH(E202)+1)/12))) + (Q202)*(IF((YEAR(D202)+12)&lt;YEAR(E202),0,IF((YEAR(D202)+12)&gt;YEAR(E202),1,(12-MONTH(E202)+1)/12))))-((P202)*(IF((YEAR(D202)+12)&lt;YEAR(E202),0,IF((YEAR(D202)+12)&gt;YEAR(E202),1,(12-MONTH(E202)+1)/12))) + (R202)*(IF((YEAR(D202)+12)&lt;YEAR(E202),0,IF((YEAR(D202)+12)&gt;YEAR(E202),1,(12-MONTH(E202)+1)/12))))-(IF((((K202)*(IF(M202="",L202,IFERROR(IF(INDEX(Variablen!$I:$AT, MATCH(M202, Variablen!$A:$A, 0), MATCH((YEAR(D202)+12), Variablen!$I$3:$AT$3, 0))="",L202,INDEX(Variablen!$I:$AT, MATCH(M202, Variablen!$A:$A, 0), MATCH((YEAR(D202)+12), Variablen!$I$3:$AT$3, 0))),L202)))*(IF((YEAR(D202)+12)&lt;YEAR(E202),0,IF((YEAR(D202)+12)&gt;YEAR(E202),1,(12-MONTH(E202)+1)/12))) + (Q202)*(IF((YEAR(D202)+12)&lt;YEAR(E202),0,IF((YEAR(D202)+12)&gt;YEAR(E202),1,(12-MONTH(E202)+1)/12))))-((P202)*(IF((YEAR(D202)+12)&lt;YEAR(E202),0,IF((YEAR(D202)+12)&gt;YEAR(E202),1,(12-MONTH(E202)+1)/12))) + (R202)*(IF((YEAR(D202)+12)&lt;YEAR(E202),0,IF((YEAR(D202)+12)&gt;YEAR(E202),1,(12-MONTH(E202)+1)/12))))-(IF(OR(N202="",N202&lt;=0),0,(O202/N202)*(IF(OR(N202="",N202&lt;=0),0,IF((YEAR(D202)+12)&lt;YEAR(E202),0,IF((YEAR(D202)+12)&gt;=YEAR(E202)+N202,0,IF((YEAR(D202)+12)=YEAR(E202),(12-MONTH(E202)+1)/12,1))))))))&gt;0,(((K202)*(IF(M202="",L202,IFERROR(IF(INDEX(Variablen!$I:$AT, MATCH(M202, Variablen!$A:$A, 0), MATCH((YEAR(D202)+12), Variablen!$I$3:$AT$3, 0))="",L202,INDEX(Variablen!$I:$AT, MATCH(M202, Variablen!$A:$A, 0), MATCH((YEAR(D202)+12), Variablen!$I$3:$AT$3, 0))),L202)))*(IF((YEAR(D202)+12)&lt;YEAR(E202),0,IF((YEAR(D202)+12)&gt;YEAR(E202),1,(12-MONTH(E202)+1)/12))) + (Q202)*(IF((YEAR(D202)+12)&lt;YEAR(E202),0,IF((YEAR(D202)+12)&gt;YEAR(E202),1,(12-MONTH(E202)+1)/12))))-((P202)*(IF((YEAR(D202)+12)&lt;YEAR(E202),0,IF((YEAR(D202)+12)&gt;YEAR(E202),1,(12-MONTH(E202)+1)/12))) + (R202)*(IF((YEAR(D202)+12)&lt;YEAR(E202),0,IF((YEAR(D202)+12)&gt;YEAR(E202),1,(12-MONTH(E202)+1)/12))))-(IF(OR(N202="",N202&lt;=0),0,(O202/N202)*(IF(OR(N202="",N202&lt;=0),0,IF((YEAR(D202)+12)&lt;YEAR(E202),0,IF((YEAR(D202)+12)&gt;=YEAR(E202)+N202,0,IF((YEAR(D202)+12)=YEAR(E202),(12-MONTH(E202)+1)/12,1))))))))*TaxRate,0))-IF(12=0,O202,0))</f>
        <v/>
      </c>
      <c r="AF202" s="29">
        <f>IF(A202="","",((K202)*(IF(M202="",L202,IFERROR(IF(INDEX(Variablen!$I:$AT, MATCH(M202, Variablen!$A:$A, 0), MATCH((YEAR(D202)+13), Variablen!$I$3:$AT$3, 0))="",L202,INDEX(Variablen!$I:$AT, MATCH(M202, Variablen!$A:$A, 0), MATCH((YEAR(D202)+13), Variablen!$I$3:$AT$3, 0))),L202)))*(IF((YEAR(D202)+13)&lt;YEAR(E202),0,IF((YEAR(D202)+13)&gt;YEAR(E202),1,(12-MONTH(E202)+1)/12))) + (Q202)*(IF((YEAR(D202)+13)&lt;YEAR(E202),0,IF((YEAR(D202)+13)&gt;YEAR(E202),1,(12-MONTH(E202)+1)/12))))-((P202)*(IF((YEAR(D202)+13)&lt;YEAR(E202),0,IF((YEAR(D202)+13)&gt;YEAR(E202),1,(12-MONTH(E202)+1)/12))) + (R202)*(IF((YEAR(D202)+13)&lt;YEAR(E202),0,IF((YEAR(D202)+13)&gt;YEAR(E202),1,(12-MONTH(E202)+1)/12))))-(IF((((K202)*(IF(M202="",L202,IFERROR(IF(INDEX(Variablen!$I:$AT, MATCH(M202, Variablen!$A:$A, 0), MATCH((YEAR(D202)+13), Variablen!$I$3:$AT$3, 0))="",L202,INDEX(Variablen!$I:$AT, MATCH(M202, Variablen!$A:$A, 0), MATCH((YEAR(D202)+13), Variablen!$I$3:$AT$3, 0))),L202)))*(IF((YEAR(D202)+13)&lt;YEAR(E202),0,IF((YEAR(D202)+13)&gt;YEAR(E202),1,(12-MONTH(E202)+1)/12))) + (Q202)*(IF((YEAR(D202)+13)&lt;YEAR(E202),0,IF((YEAR(D202)+13)&gt;YEAR(E202),1,(12-MONTH(E202)+1)/12))))-((P202)*(IF((YEAR(D202)+13)&lt;YEAR(E202),0,IF((YEAR(D202)+13)&gt;YEAR(E202),1,(12-MONTH(E202)+1)/12))) + (R202)*(IF((YEAR(D202)+13)&lt;YEAR(E202),0,IF((YEAR(D202)+13)&gt;YEAR(E202),1,(12-MONTH(E202)+1)/12))))-(IF(OR(N202="",N202&lt;=0),0,(O202/N202)*(IF(OR(N202="",N202&lt;=0),0,IF((YEAR(D202)+13)&lt;YEAR(E202),0,IF((YEAR(D202)+13)&gt;=YEAR(E202)+N202,0,IF((YEAR(D202)+13)=YEAR(E202),(12-MONTH(E202)+1)/12,1))))))))&gt;0,(((K202)*(IF(M202="",L202,IFERROR(IF(INDEX(Variablen!$I:$AT, MATCH(M202, Variablen!$A:$A, 0), MATCH((YEAR(D202)+13), Variablen!$I$3:$AT$3, 0))="",L202,INDEX(Variablen!$I:$AT, MATCH(M202, Variablen!$A:$A, 0), MATCH((YEAR(D202)+13), Variablen!$I$3:$AT$3, 0))),L202)))*(IF((YEAR(D202)+13)&lt;YEAR(E202),0,IF((YEAR(D202)+13)&gt;YEAR(E202),1,(12-MONTH(E202)+1)/12))) + (Q202)*(IF((YEAR(D202)+13)&lt;YEAR(E202),0,IF((YEAR(D202)+13)&gt;YEAR(E202),1,(12-MONTH(E202)+1)/12))))-((P202)*(IF((YEAR(D202)+13)&lt;YEAR(E202),0,IF((YEAR(D202)+13)&gt;YEAR(E202),1,(12-MONTH(E202)+1)/12))) + (R202)*(IF((YEAR(D202)+13)&lt;YEAR(E202),0,IF((YEAR(D202)+13)&gt;YEAR(E202),1,(12-MONTH(E202)+1)/12))))-(IF(OR(N202="",N202&lt;=0),0,(O202/N202)*(IF(OR(N202="",N202&lt;=0),0,IF((YEAR(D202)+13)&lt;YEAR(E202),0,IF((YEAR(D202)+13)&gt;=YEAR(E202)+N202,0,IF((YEAR(D202)+13)=YEAR(E202),(12-MONTH(E202)+1)/12,1))))))))*TaxRate,0))-IF(13=0,O202,0))</f>
        <v/>
      </c>
      <c r="AG202" s="29">
        <f>IF(A202="","",((K202)*(IF(M202="",L202,IFERROR(IF(INDEX(Variablen!$I:$AT, MATCH(M202, Variablen!$A:$A, 0), MATCH((YEAR(D202)+14), Variablen!$I$3:$AT$3, 0))="",L202,INDEX(Variablen!$I:$AT, MATCH(M202, Variablen!$A:$A, 0), MATCH((YEAR(D202)+14), Variablen!$I$3:$AT$3, 0))),L202)))*(IF((YEAR(D202)+14)&lt;YEAR(E202),0,IF((YEAR(D202)+14)&gt;YEAR(E202),1,(12-MONTH(E202)+1)/12))) + (Q202)*(IF((YEAR(D202)+14)&lt;YEAR(E202),0,IF((YEAR(D202)+14)&gt;YEAR(E202),1,(12-MONTH(E202)+1)/12))))-((P202)*(IF((YEAR(D202)+14)&lt;YEAR(E202),0,IF((YEAR(D202)+14)&gt;YEAR(E202),1,(12-MONTH(E202)+1)/12))) + (R202)*(IF((YEAR(D202)+14)&lt;YEAR(E202),0,IF((YEAR(D202)+14)&gt;YEAR(E202),1,(12-MONTH(E202)+1)/12))))-(IF((((K202)*(IF(M202="",L202,IFERROR(IF(INDEX(Variablen!$I:$AT, MATCH(M202, Variablen!$A:$A, 0), MATCH((YEAR(D202)+14), Variablen!$I$3:$AT$3, 0))="",L202,INDEX(Variablen!$I:$AT, MATCH(M202, Variablen!$A:$A, 0), MATCH((YEAR(D202)+14), Variablen!$I$3:$AT$3, 0))),L202)))*(IF((YEAR(D202)+14)&lt;YEAR(E202),0,IF((YEAR(D202)+14)&gt;YEAR(E202),1,(12-MONTH(E202)+1)/12))) + (Q202)*(IF((YEAR(D202)+14)&lt;YEAR(E202),0,IF((YEAR(D202)+14)&gt;YEAR(E202),1,(12-MONTH(E202)+1)/12))))-((P202)*(IF((YEAR(D202)+14)&lt;YEAR(E202),0,IF((YEAR(D202)+14)&gt;YEAR(E202),1,(12-MONTH(E202)+1)/12))) + (R202)*(IF((YEAR(D202)+14)&lt;YEAR(E202),0,IF((YEAR(D202)+14)&gt;YEAR(E202),1,(12-MONTH(E202)+1)/12))))-(IF(OR(N202="",N202&lt;=0),0,(O202/N202)*(IF(OR(N202="",N202&lt;=0),0,IF((YEAR(D202)+14)&lt;YEAR(E202),0,IF((YEAR(D202)+14)&gt;=YEAR(E202)+N202,0,IF((YEAR(D202)+14)=YEAR(E202),(12-MONTH(E202)+1)/12,1))))))))&gt;0,(((K202)*(IF(M202="",L202,IFERROR(IF(INDEX(Variablen!$I:$AT, MATCH(M202, Variablen!$A:$A, 0), MATCH((YEAR(D202)+14), Variablen!$I$3:$AT$3, 0))="",L202,INDEX(Variablen!$I:$AT, MATCH(M202, Variablen!$A:$A, 0), MATCH((YEAR(D202)+14), Variablen!$I$3:$AT$3, 0))),L202)))*(IF((YEAR(D202)+14)&lt;YEAR(E202),0,IF((YEAR(D202)+14)&gt;YEAR(E202),1,(12-MONTH(E202)+1)/12))) + (Q202)*(IF((YEAR(D202)+14)&lt;YEAR(E202),0,IF((YEAR(D202)+14)&gt;YEAR(E202),1,(12-MONTH(E202)+1)/12))))-((P202)*(IF((YEAR(D202)+14)&lt;YEAR(E202),0,IF((YEAR(D202)+14)&gt;YEAR(E202),1,(12-MONTH(E202)+1)/12))) + (R202)*(IF((YEAR(D202)+14)&lt;YEAR(E202),0,IF((YEAR(D202)+14)&gt;YEAR(E202),1,(12-MONTH(E202)+1)/12))))-(IF(OR(N202="",N202&lt;=0),0,(O202/N202)*(IF(OR(N202="",N202&lt;=0),0,IF((YEAR(D202)+14)&lt;YEAR(E202),0,IF((YEAR(D202)+14)&gt;=YEAR(E202)+N202,0,IF((YEAR(D202)+14)=YEAR(E202),(12-MONTH(E202)+1)/12,1))))))))*TaxRate,0))-IF(14=0,O202,0))</f>
        <v/>
      </c>
      <c r="AH202" s="29">
        <f>IF(A202="","",((K202)*(IF(M202="",L202,IFERROR(IF(INDEX(Variablen!$I:$AT, MATCH(M202, Variablen!$A:$A, 0), MATCH((YEAR(D202)+15), Variablen!$I$3:$AT$3, 0))="",L202,INDEX(Variablen!$I:$AT, MATCH(M202, Variablen!$A:$A, 0), MATCH((YEAR(D202)+15), Variablen!$I$3:$AT$3, 0))),L202)))*(IF((YEAR(D202)+15)&lt;YEAR(E202),0,IF((YEAR(D202)+15)&gt;YEAR(E202),1,(12-MONTH(E202)+1)/12))) + (Q202)*(IF((YEAR(D202)+15)&lt;YEAR(E202),0,IF((YEAR(D202)+15)&gt;YEAR(E202),1,(12-MONTH(E202)+1)/12))))-((P202)*(IF((YEAR(D202)+15)&lt;YEAR(E202),0,IF((YEAR(D202)+15)&gt;YEAR(E202),1,(12-MONTH(E202)+1)/12))) + (R202)*(IF((YEAR(D202)+15)&lt;YEAR(E202),0,IF((YEAR(D202)+15)&gt;YEAR(E202),1,(12-MONTH(E202)+1)/12))))-(IF((((K202)*(IF(M202="",L202,IFERROR(IF(INDEX(Variablen!$I:$AT, MATCH(M202, Variablen!$A:$A, 0), MATCH((YEAR(D202)+15), Variablen!$I$3:$AT$3, 0))="",L202,INDEX(Variablen!$I:$AT, MATCH(M202, Variablen!$A:$A, 0), MATCH((YEAR(D202)+15), Variablen!$I$3:$AT$3, 0))),L202)))*(IF((YEAR(D202)+15)&lt;YEAR(E202),0,IF((YEAR(D202)+15)&gt;YEAR(E202),1,(12-MONTH(E202)+1)/12))) + (Q202)*(IF((YEAR(D202)+15)&lt;YEAR(E202),0,IF((YEAR(D202)+15)&gt;YEAR(E202),1,(12-MONTH(E202)+1)/12))))-((P202)*(IF((YEAR(D202)+15)&lt;YEAR(E202),0,IF((YEAR(D202)+15)&gt;YEAR(E202),1,(12-MONTH(E202)+1)/12))) + (R202)*(IF((YEAR(D202)+15)&lt;YEAR(E202),0,IF((YEAR(D202)+15)&gt;YEAR(E202),1,(12-MONTH(E202)+1)/12))))-(IF(OR(N202="",N202&lt;=0),0,(O202/N202)*(IF(OR(N202="",N202&lt;=0),0,IF((YEAR(D202)+15)&lt;YEAR(E202),0,IF((YEAR(D202)+15)&gt;=YEAR(E202)+N202,0,IF((YEAR(D202)+15)=YEAR(E202),(12-MONTH(E202)+1)/12,1))))))))&gt;0,(((K202)*(IF(M202="",L202,IFERROR(IF(INDEX(Variablen!$I:$AT, MATCH(M202, Variablen!$A:$A, 0), MATCH((YEAR(D202)+15), Variablen!$I$3:$AT$3, 0))="",L202,INDEX(Variablen!$I:$AT, MATCH(M202, Variablen!$A:$A, 0), MATCH((YEAR(D202)+15), Variablen!$I$3:$AT$3, 0))),L202)))*(IF((YEAR(D202)+15)&lt;YEAR(E202),0,IF((YEAR(D202)+15)&gt;YEAR(E202),1,(12-MONTH(E202)+1)/12))) + (Q202)*(IF((YEAR(D202)+15)&lt;YEAR(E202),0,IF((YEAR(D202)+15)&gt;YEAR(E202),1,(12-MONTH(E202)+1)/12))))-((P202)*(IF((YEAR(D202)+15)&lt;YEAR(E202),0,IF((YEAR(D202)+15)&gt;YEAR(E202),1,(12-MONTH(E202)+1)/12))) + (R202)*(IF((YEAR(D202)+15)&lt;YEAR(E202),0,IF((YEAR(D202)+15)&gt;YEAR(E202),1,(12-MONTH(E202)+1)/12))))-(IF(OR(N202="",N202&lt;=0),0,(O202/N202)*(IF(OR(N202="",N202&lt;=0),0,IF((YEAR(D202)+15)&lt;YEAR(E202),0,IF((YEAR(D202)+15)&gt;=YEAR(E202)+N202,0,IF((YEAR(D202)+15)=YEAR(E202),(12-MONTH(E202)+1)/12,1))))))))*TaxRate,0))-IF(15=0,O202,0))</f>
        <v/>
      </c>
      <c r="AI202" s="29">
        <f>IF(A202="","",((K202)*(IF(M202="",L202,IFERROR(IF(INDEX(Variablen!$I:$AT, MATCH(M202, Variablen!$A:$A, 0), MATCH((YEAR(D202)+16), Variablen!$I$3:$AT$3, 0))="",L202,INDEX(Variablen!$I:$AT, MATCH(M202, Variablen!$A:$A, 0), MATCH((YEAR(D202)+16), Variablen!$I$3:$AT$3, 0))),L202)))*(IF((YEAR(D202)+16)&lt;YEAR(E202),0,IF((YEAR(D202)+16)&gt;YEAR(E202),1,(12-MONTH(E202)+1)/12))) + (Q202)*(IF((YEAR(D202)+16)&lt;YEAR(E202),0,IF((YEAR(D202)+16)&gt;YEAR(E202),1,(12-MONTH(E202)+1)/12))))-((P202)*(IF((YEAR(D202)+16)&lt;YEAR(E202),0,IF((YEAR(D202)+16)&gt;YEAR(E202),1,(12-MONTH(E202)+1)/12))) + (R202)*(IF((YEAR(D202)+16)&lt;YEAR(E202),0,IF((YEAR(D202)+16)&gt;YEAR(E202),1,(12-MONTH(E202)+1)/12))))-(IF((((K202)*(IF(M202="",L202,IFERROR(IF(INDEX(Variablen!$I:$AT, MATCH(M202, Variablen!$A:$A, 0), MATCH((YEAR(D202)+16), Variablen!$I$3:$AT$3, 0))="",L202,INDEX(Variablen!$I:$AT, MATCH(M202, Variablen!$A:$A, 0), MATCH((YEAR(D202)+16), Variablen!$I$3:$AT$3, 0))),L202)))*(IF((YEAR(D202)+16)&lt;YEAR(E202),0,IF((YEAR(D202)+16)&gt;YEAR(E202),1,(12-MONTH(E202)+1)/12))) + (Q202)*(IF((YEAR(D202)+16)&lt;YEAR(E202),0,IF((YEAR(D202)+16)&gt;YEAR(E202),1,(12-MONTH(E202)+1)/12))))-((P202)*(IF((YEAR(D202)+16)&lt;YEAR(E202),0,IF((YEAR(D202)+16)&gt;YEAR(E202),1,(12-MONTH(E202)+1)/12))) + (R202)*(IF((YEAR(D202)+16)&lt;YEAR(E202),0,IF((YEAR(D202)+16)&gt;YEAR(E202),1,(12-MONTH(E202)+1)/12))))-(IF(OR(N202="",N202&lt;=0),0,(O202/N202)*(IF(OR(N202="",N202&lt;=0),0,IF((YEAR(D202)+16)&lt;YEAR(E202),0,IF((YEAR(D202)+16)&gt;=YEAR(E202)+N202,0,IF((YEAR(D202)+16)=YEAR(E202),(12-MONTH(E202)+1)/12,1))))))))&gt;0,(((K202)*(IF(M202="",L202,IFERROR(IF(INDEX(Variablen!$I:$AT, MATCH(M202, Variablen!$A:$A, 0), MATCH((YEAR(D202)+16), Variablen!$I$3:$AT$3, 0))="",L202,INDEX(Variablen!$I:$AT, MATCH(M202, Variablen!$A:$A, 0), MATCH((YEAR(D202)+16), Variablen!$I$3:$AT$3, 0))),L202)))*(IF((YEAR(D202)+16)&lt;YEAR(E202),0,IF((YEAR(D202)+16)&gt;YEAR(E202),1,(12-MONTH(E202)+1)/12))) + (Q202)*(IF((YEAR(D202)+16)&lt;YEAR(E202),0,IF((YEAR(D202)+16)&gt;YEAR(E202),1,(12-MONTH(E202)+1)/12))))-((P202)*(IF((YEAR(D202)+16)&lt;YEAR(E202),0,IF((YEAR(D202)+16)&gt;YEAR(E202),1,(12-MONTH(E202)+1)/12))) + (R202)*(IF((YEAR(D202)+16)&lt;YEAR(E202),0,IF((YEAR(D202)+16)&gt;YEAR(E202),1,(12-MONTH(E202)+1)/12))))-(IF(OR(N202="",N202&lt;=0),0,(O202/N202)*(IF(OR(N202="",N202&lt;=0),0,IF((YEAR(D202)+16)&lt;YEAR(E202),0,IF((YEAR(D202)+16)&gt;=YEAR(E202)+N202,0,IF((YEAR(D202)+16)=YEAR(E202),(12-MONTH(E202)+1)/12,1))))))))*TaxRate,0))-IF(16=0,O202,0))</f>
        <v/>
      </c>
      <c r="AJ202" s="29">
        <f>IF(A202="","",((K202)*(IF(M202="",L202,IFERROR(IF(INDEX(Variablen!$I:$AT, MATCH(M202, Variablen!$A:$A, 0), MATCH((YEAR(D202)+17), Variablen!$I$3:$AT$3, 0))="",L202,INDEX(Variablen!$I:$AT, MATCH(M202, Variablen!$A:$A, 0), MATCH((YEAR(D202)+17), Variablen!$I$3:$AT$3, 0))),L202)))*(IF((YEAR(D202)+17)&lt;YEAR(E202),0,IF((YEAR(D202)+17)&gt;YEAR(E202),1,(12-MONTH(E202)+1)/12))) + (Q202)*(IF((YEAR(D202)+17)&lt;YEAR(E202),0,IF((YEAR(D202)+17)&gt;YEAR(E202),1,(12-MONTH(E202)+1)/12))))-((P202)*(IF((YEAR(D202)+17)&lt;YEAR(E202),0,IF((YEAR(D202)+17)&gt;YEAR(E202),1,(12-MONTH(E202)+1)/12))) + (R202)*(IF((YEAR(D202)+17)&lt;YEAR(E202),0,IF((YEAR(D202)+17)&gt;YEAR(E202),1,(12-MONTH(E202)+1)/12))))-(IF((((K202)*(IF(M202="",L202,IFERROR(IF(INDEX(Variablen!$I:$AT, MATCH(M202, Variablen!$A:$A, 0), MATCH((YEAR(D202)+17), Variablen!$I$3:$AT$3, 0))="",L202,INDEX(Variablen!$I:$AT, MATCH(M202, Variablen!$A:$A, 0), MATCH((YEAR(D202)+17), Variablen!$I$3:$AT$3, 0))),L202)))*(IF((YEAR(D202)+17)&lt;YEAR(E202),0,IF((YEAR(D202)+17)&gt;YEAR(E202),1,(12-MONTH(E202)+1)/12))) + (Q202)*(IF((YEAR(D202)+17)&lt;YEAR(E202),0,IF((YEAR(D202)+17)&gt;YEAR(E202),1,(12-MONTH(E202)+1)/12))))-((P202)*(IF((YEAR(D202)+17)&lt;YEAR(E202),0,IF((YEAR(D202)+17)&gt;YEAR(E202),1,(12-MONTH(E202)+1)/12))) + (R202)*(IF((YEAR(D202)+17)&lt;YEAR(E202),0,IF((YEAR(D202)+17)&gt;YEAR(E202),1,(12-MONTH(E202)+1)/12))))-(IF(OR(N202="",N202&lt;=0),0,(O202/N202)*(IF(OR(N202="",N202&lt;=0),0,IF((YEAR(D202)+17)&lt;YEAR(E202),0,IF((YEAR(D202)+17)&gt;=YEAR(E202)+N202,0,IF((YEAR(D202)+17)=YEAR(E202),(12-MONTH(E202)+1)/12,1))))))))&gt;0,(((K202)*(IF(M202="",L202,IFERROR(IF(INDEX(Variablen!$I:$AT, MATCH(M202, Variablen!$A:$A, 0), MATCH((YEAR(D202)+17), Variablen!$I$3:$AT$3, 0))="",L202,INDEX(Variablen!$I:$AT, MATCH(M202, Variablen!$A:$A, 0), MATCH((YEAR(D202)+17), Variablen!$I$3:$AT$3, 0))),L202)))*(IF((YEAR(D202)+17)&lt;YEAR(E202),0,IF((YEAR(D202)+17)&gt;YEAR(E202),1,(12-MONTH(E202)+1)/12))) + (Q202)*(IF((YEAR(D202)+17)&lt;YEAR(E202),0,IF((YEAR(D202)+17)&gt;YEAR(E202),1,(12-MONTH(E202)+1)/12))))-((P202)*(IF((YEAR(D202)+17)&lt;YEAR(E202),0,IF((YEAR(D202)+17)&gt;YEAR(E202),1,(12-MONTH(E202)+1)/12))) + (R202)*(IF((YEAR(D202)+17)&lt;YEAR(E202),0,IF((YEAR(D202)+17)&gt;YEAR(E202),1,(12-MONTH(E202)+1)/12))))-(IF(OR(N202="",N202&lt;=0),0,(O202/N202)*(IF(OR(N202="",N202&lt;=0),0,IF((YEAR(D202)+17)&lt;YEAR(E202),0,IF((YEAR(D202)+17)&gt;=YEAR(E202)+N202,0,IF((YEAR(D202)+17)=YEAR(E202),(12-MONTH(E202)+1)/12,1))))))))*TaxRate,0))-IF(17=0,O202,0))</f>
        <v/>
      </c>
      <c r="AK202" s="29">
        <f>IF(A202="","",((K202)*(IF(M202="",L202,IFERROR(IF(INDEX(Variablen!$I:$AT, MATCH(M202, Variablen!$A:$A, 0), MATCH((YEAR(D202)+18), Variablen!$I$3:$AT$3, 0))="",L202,INDEX(Variablen!$I:$AT, MATCH(M202, Variablen!$A:$A, 0), MATCH((YEAR(D202)+18), Variablen!$I$3:$AT$3, 0))),L202)))*(IF((YEAR(D202)+18)&lt;YEAR(E202),0,IF((YEAR(D202)+18)&gt;YEAR(E202),1,(12-MONTH(E202)+1)/12))) + (Q202)*(IF((YEAR(D202)+18)&lt;YEAR(E202),0,IF((YEAR(D202)+18)&gt;YEAR(E202),1,(12-MONTH(E202)+1)/12))))-((P202)*(IF((YEAR(D202)+18)&lt;YEAR(E202),0,IF((YEAR(D202)+18)&gt;YEAR(E202),1,(12-MONTH(E202)+1)/12))) + (R202)*(IF((YEAR(D202)+18)&lt;YEAR(E202),0,IF((YEAR(D202)+18)&gt;YEAR(E202),1,(12-MONTH(E202)+1)/12))))-(IF((((K202)*(IF(M202="",L202,IFERROR(IF(INDEX(Variablen!$I:$AT, MATCH(M202, Variablen!$A:$A, 0), MATCH((YEAR(D202)+18), Variablen!$I$3:$AT$3, 0))="",L202,INDEX(Variablen!$I:$AT, MATCH(M202, Variablen!$A:$A, 0), MATCH((YEAR(D202)+18), Variablen!$I$3:$AT$3, 0))),L202)))*(IF((YEAR(D202)+18)&lt;YEAR(E202),0,IF((YEAR(D202)+18)&gt;YEAR(E202),1,(12-MONTH(E202)+1)/12))) + (Q202)*(IF((YEAR(D202)+18)&lt;YEAR(E202),0,IF((YEAR(D202)+18)&gt;YEAR(E202),1,(12-MONTH(E202)+1)/12))))-((P202)*(IF((YEAR(D202)+18)&lt;YEAR(E202),0,IF((YEAR(D202)+18)&gt;YEAR(E202),1,(12-MONTH(E202)+1)/12))) + (R202)*(IF((YEAR(D202)+18)&lt;YEAR(E202),0,IF((YEAR(D202)+18)&gt;YEAR(E202),1,(12-MONTH(E202)+1)/12))))-(IF(OR(N202="",N202&lt;=0),0,(O202/N202)*(IF(OR(N202="",N202&lt;=0),0,IF((YEAR(D202)+18)&lt;YEAR(E202),0,IF((YEAR(D202)+18)&gt;=YEAR(E202)+N202,0,IF((YEAR(D202)+18)=YEAR(E202),(12-MONTH(E202)+1)/12,1))))))))&gt;0,(((K202)*(IF(M202="",L202,IFERROR(IF(INDEX(Variablen!$I:$AT, MATCH(M202, Variablen!$A:$A, 0), MATCH((YEAR(D202)+18), Variablen!$I$3:$AT$3, 0))="",L202,INDEX(Variablen!$I:$AT, MATCH(M202, Variablen!$A:$A, 0), MATCH((YEAR(D202)+18), Variablen!$I$3:$AT$3, 0))),L202)))*(IF((YEAR(D202)+18)&lt;YEAR(E202),0,IF((YEAR(D202)+18)&gt;YEAR(E202),1,(12-MONTH(E202)+1)/12))) + (Q202)*(IF((YEAR(D202)+18)&lt;YEAR(E202),0,IF((YEAR(D202)+18)&gt;YEAR(E202),1,(12-MONTH(E202)+1)/12))))-((P202)*(IF((YEAR(D202)+18)&lt;YEAR(E202),0,IF((YEAR(D202)+18)&gt;YEAR(E202),1,(12-MONTH(E202)+1)/12))) + (R202)*(IF((YEAR(D202)+18)&lt;YEAR(E202),0,IF((YEAR(D202)+18)&gt;YEAR(E202),1,(12-MONTH(E202)+1)/12))))-(IF(OR(N202="",N202&lt;=0),0,(O202/N202)*(IF(OR(N202="",N202&lt;=0),0,IF((YEAR(D202)+18)&lt;YEAR(E202),0,IF((YEAR(D202)+18)&gt;=YEAR(E202)+N202,0,IF((YEAR(D202)+18)=YEAR(E202),(12-MONTH(E202)+1)/12,1))))))))*TaxRate,0))-IF(18=0,O202,0))</f>
        <v/>
      </c>
      <c r="AL202" s="29">
        <f>IF(A202="","",((K202)*(IF(M202="",L202,IFERROR(IF(INDEX(Variablen!$I:$AT, MATCH(M202, Variablen!$A:$A, 0), MATCH((YEAR(D202)+19), Variablen!$I$3:$AT$3, 0))="",L202,INDEX(Variablen!$I:$AT, MATCH(M202, Variablen!$A:$A, 0), MATCH((YEAR(D202)+19), Variablen!$I$3:$AT$3, 0))),L202)))*(IF((YEAR(D202)+19)&lt;YEAR(E202),0,IF((YEAR(D202)+19)&gt;YEAR(E202),1,(12-MONTH(E202)+1)/12))) + (Q202)*(IF((YEAR(D202)+19)&lt;YEAR(E202),0,IF((YEAR(D202)+19)&gt;YEAR(E202),1,(12-MONTH(E202)+1)/12))))-((P202)*(IF((YEAR(D202)+19)&lt;YEAR(E202),0,IF((YEAR(D202)+19)&gt;YEAR(E202),1,(12-MONTH(E202)+1)/12))) + (R202)*(IF((YEAR(D202)+19)&lt;YEAR(E202),0,IF((YEAR(D202)+19)&gt;YEAR(E202),1,(12-MONTH(E202)+1)/12))))-(IF((((K202)*(IF(M202="",L202,IFERROR(IF(INDEX(Variablen!$I:$AT, MATCH(M202, Variablen!$A:$A, 0), MATCH((YEAR(D202)+19), Variablen!$I$3:$AT$3, 0))="",L202,INDEX(Variablen!$I:$AT, MATCH(M202, Variablen!$A:$A, 0), MATCH((YEAR(D202)+19), Variablen!$I$3:$AT$3, 0))),L202)))*(IF((YEAR(D202)+19)&lt;YEAR(E202),0,IF((YEAR(D202)+19)&gt;YEAR(E202),1,(12-MONTH(E202)+1)/12))) + (Q202)*(IF((YEAR(D202)+19)&lt;YEAR(E202),0,IF((YEAR(D202)+19)&gt;YEAR(E202),1,(12-MONTH(E202)+1)/12))))-((P202)*(IF((YEAR(D202)+19)&lt;YEAR(E202),0,IF((YEAR(D202)+19)&gt;YEAR(E202),1,(12-MONTH(E202)+1)/12))) + (R202)*(IF((YEAR(D202)+19)&lt;YEAR(E202),0,IF((YEAR(D202)+19)&gt;YEAR(E202),1,(12-MONTH(E202)+1)/12))))-(IF(OR(N202="",N202&lt;=0),0,(O202/N202)*(IF(OR(N202="",N202&lt;=0),0,IF((YEAR(D202)+19)&lt;YEAR(E202),0,IF((YEAR(D202)+19)&gt;=YEAR(E202)+N202,0,IF((YEAR(D202)+19)=YEAR(E202),(12-MONTH(E202)+1)/12,1))))))))&gt;0,(((K202)*(IF(M202="",L202,IFERROR(IF(INDEX(Variablen!$I:$AT, MATCH(M202, Variablen!$A:$A, 0), MATCH((YEAR(D202)+19), Variablen!$I$3:$AT$3, 0))="",L202,INDEX(Variablen!$I:$AT, MATCH(M202, Variablen!$A:$A, 0), MATCH((YEAR(D202)+19), Variablen!$I$3:$AT$3, 0))),L202)))*(IF((YEAR(D202)+19)&lt;YEAR(E202),0,IF((YEAR(D202)+19)&gt;YEAR(E202),1,(12-MONTH(E202)+1)/12))) + (Q202)*(IF((YEAR(D202)+19)&lt;YEAR(E202),0,IF((YEAR(D202)+19)&gt;YEAR(E202),1,(12-MONTH(E202)+1)/12))))-((P202)*(IF((YEAR(D202)+19)&lt;YEAR(E202),0,IF((YEAR(D202)+19)&gt;YEAR(E202),1,(12-MONTH(E202)+1)/12))) + (R202)*(IF((YEAR(D202)+19)&lt;YEAR(E202),0,IF((YEAR(D202)+19)&gt;YEAR(E202),1,(12-MONTH(E202)+1)/12))))-(IF(OR(N202="",N202&lt;=0),0,(O202/N202)*(IF(OR(N202="",N202&lt;=0),0,IF((YEAR(D202)+19)&lt;YEAR(E202),0,IF((YEAR(D202)+19)&gt;=YEAR(E202)+N202,0,IF((YEAR(D202)+19)=YEAR(E202),(12-MONTH(E202)+1)/12,1))))))))*TaxRate,0))-IF(19=0,O202,0))</f>
        <v/>
      </c>
      <c r="AM202" s="29">
        <f>IF(A202="","",((K202)*(IF(M202="",L202,IFERROR(IF(INDEX(Variablen!$I:$AT, MATCH(M202, Variablen!$A:$A, 0), MATCH((YEAR(D202)+20), Variablen!$I$3:$AT$3, 0))="",L202,INDEX(Variablen!$I:$AT, MATCH(M202, Variablen!$A:$A, 0), MATCH((YEAR(D202)+20), Variablen!$I$3:$AT$3, 0))),L202)))*(IF((YEAR(D202)+20)&lt;YEAR(E202),0,IF((YEAR(D202)+20)&gt;YEAR(E202),1,(12-MONTH(E202)+1)/12))) + (Q202)*(IF((YEAR(D202)+20)&lt;YEAR(E202),0,IF((YEAR(D202)+20)&gt;YEAR(E202),1,(12-MONTH(E202)+1)/12))))-((P202)*(IF((YEAR(D202)+20)&lt;YEAR(E202),0,IF((YEAR(D202)+20)&gt;YEAR(E202),1,(12-MONTH(E202)+1)/12))) + (R202)*(IF((YEAR(D202)+20)&lt;YEAR(E202),0,IF((YEAR(D202)+20)&gt;YEAR(E202),1,(12-MONTH(E202)+1)/12))))-(IF((((K202)*(IF(M202="",L202,IFERROR(IF(INDEX(Variablen!$I:$AT, MATCH(M202, Variablen!$A:$A, 0), MATCH((YEAR(D202)+20), Variablen!$I$3:$AT$3, 0))="",L202,INDEX(Variablen!$I:$AT, MATCH(M202, Variablen!$A:$A, 0), MATCH((YEAR(D202)+20), Variablen!$I$3:$AT$3, 0))),L202)))*(IF((YEAR(D202)+20)&lt;YEAR(E202),0,IF((YEAR(D202)+20)&gt;YEAR(E202),1,(12-MONTH(E202)+1)/12))) + (Q202)*(IF((YEAR(D202)+20)&lt;YEAR(E202),0,IF((YEAR(D202)+20)&gt;YEAR(E202),1,(12-MONTH(E202)+1)/12))))-((P202)*(IF((YEAR(D202)+20)&lt;YEAR(E202),0,IF((YEAR(D202)+20)&gt;YEAR(E202),1,(12-MONTH(E202)+1)/12))) + (R202)*(IF((YEAR(D202)+20)&lt;YEAR(E202),0,IF((YEAR(D202)+20)&gt;YEAR(E202),1,(12-MONTH(E202)+1)/12))))-(IF(OR(N202="",N202&lt;=0),0,(O202/N202)*(IF(OR(N202="",N202&lt;=0),0,IF((YEAR(D202)+20)&lt;YEAR(E202),0,IF((YEAR(D202)+20)&gt;=YEAR(E202)+N202,0,IF((YEAR(D202)+20)=YEAR(E202),(12-MONTH(E202)+1)/12,1))))))))&gt;0,(((K202)*(IF(M202="",L202,IFERROR(IF(INDEX(Variablen!$I:$AT, MATCH(M202, Variablen!$A:$A, 0), MATCH((YEAR(D202)+20), Variablen!$I$3:$AT$3, 0))="",L202,INDEX(Variablen!$I:$AT, MATCH(M202, Variablen!$A:$A, 0), MATCH((YEAR(D202)+20), Variablen!$I$3:$AT$3, 0))),L202)))*(IF((YEAR(D202)+20)&lt;YEAR(E202),0,IF((YEAR(D202)+20)&gt;YEAR(E202),1,(12-MONTH(E202)+1)/12))) + (Q202)*(IF((YEAR(D202)+20)&lt;YEAR(E202),0,IF((YEAR(D202)+20)&gt;YEAR(E202),1,(12-MONTH(E202)+1)/12))))-((P202)*(IF((YEAR(D202)+20)&lt;YEAR(E202),0,IF((YEAR(D202)+20)&gt;YEAR(E202),1,(12-MONTH(E202)+1)/12))) + (R202)*(IF((YEAR(D202)+20)&lt;YEAR(E202),0,IF((YEAR(D202)+20)&gt;YEAR(E202),1,(12-MONTH(E202)+1)/12))))-(IF(OR(N202="",N202&lt;=0),0,(O202/N202)*(IF(OR(N202="",N202&lt;=0),0,IF((YEAR(D202)+20)&lt;YEAR(E202),0,IF((YEAR(D202)+20)&gt;=YEAR(E202)+N202,0,IF((YEAR(D202)+20)=YEAR(E202),(12-MONTH(E202)+1)/12,1))))))))*TaxRate,0))-IF(20=0,O202,0))</f>
        <v/>
      </c>
      <c r="AN202" s="29">
        <f>IF(A202="","",S202)</f>
        <v/>
      </c>
      <c r="AO202" s="29">
        <f>IF(A202="","",AN202+T202)</f>
        <v/>
      </c>
      <c r="AP202" s="29">
        <f>IF(A202="","",AO202+U202)</f>
        <v/>
      </c>
      <c r="AQ202" s="29">
        <f>IF(A202="","",AP202+V202)</f>
        <v/>
      </c>
      <c r="AR202" s="29">
        <f>IF(A202="","",AQ202+W202)</f>
        <v/>
      </c>
      <c r="AS202" s="29">
        <f>IF(A202="","",AR202+X202)</f>
        <v/>
      </c>
      <c r="AT202" s="29">
        <f>IF(A202="","",AS202+Y202)</f>
        <v/>
      </c>
      <c r="AU202" s="29">
        <f>IF(A202="","",AT202+Z202)</f>
        <v/>
      </c>
      <c r="AV202" s="29">
        <f>IF(A202="","",AU202+AA202)</f>
        <v/>
      </c>
      <c r="AW202" s="29">
        <f>IF(A202="","",AV202+AB202)</f>
        <v/>
      </c>
      <c r="AX202" s="29">
        <f>IF(A202="","",AW202+AC202)</f>
        <v/>
      </c>
      <c r="AY202" s="29">
        <f>IF(A202="","",AX202+AD202)</f>
        <v/>
      </c>
      <c r="AZ202" s="29">
        <f>IF(A202="","",AY202+AE202)</f>
        <v/>
      </c>
      <c r="BA202" s="29">
        <f>IF(A202="","",AZ202+AF202)</f>
        <v/>
      </c>
      <c r="BB202" s="29">
        <f>IF(A202="","",BA202+AG202)</f>
        <v/>
      </c>
      <c r="BC202" s="29">
        <f>IF(A202="","",BB202+AH202)</f>
        <v/>
      </c>
      <c r="BD202" s="29">
        <f>IF(A202="","",BC202+AI202)</f>
        <v/>
      </c>
      <c r="BE202" s="29">
        <f>IF(A202="","",BD202+AJ202)</f>
        <v/>
      </c>
      <c r="BF202" s="29">
        <f>IF(A202="","",BE202+AK202)</f>
        <v/>
      </c>
      <c r="BG202" s="29">
        <f>IF(A202="","",BF202+AL202)</f>
        <v/>
      </c>
      <c r="BH202" s="29">
        <f>IF(A202="","",BG202+AM202)</f>
        <v/>
      </c>
      <c r="BI202" s="36">
        <f>IF(A202="","",(K202)*(IF((YEAR(D202)+0)&lt;YEAR(E202),0,IF((YEAR(D202)+0)&gt;YEAR(E202),1,(12-MONTH(E202)+1)/12)))*(1/(1+DiscountRate)^0))</f>
        <v/>
      </c>
      <c r="BJ202" s="36">
        <f>IF(A202="","",(K202)*(IF((YEAR(D202)+1)&lt;YEAR(E202),0,IF((YEAR(D202)+1)&gt;YEAR(E202),1,(12-MONTH(E202)+1)/12)))*(1/(1+DiscountRate)^1))</f>
        <v/>
      </c>
      <c r="BK202" s="36">
        <f>IF(A202="","",(K202)*(IF((YEAR(D202)+2)&lt;YEAR(E202),0,IF((YEAR(D202)+2)&gt;YEAR(E202),1,(12-MONTH(E202)+1)/12)))*(1/(1+DiscountRate)^2))</f>
        <v/>
      </c>
      <c r="BL202" s="36">
        <f>IF(A202="","",(K202)*(IF((YEAR(D202)+3)&lt;YEAR(E202),0,IF((YEAR(D202)+3)&gt;YEAR(E202),1,(12-MONTH(E202)+1)/12)))*(1/(1+DiscountRate)^3))</f>
        <v/>
      </c>
      <c r="BM202" s="36">
        <f>IF(A202="","",(K202)*(IF((YEAR(D202)+4)&lt;YEAR(E202),0,IF((YEAR(D202)+4)&gt;YEAR(E202),1,(12-MONTH(E202)+1)/12)))*(1/(1+DiscountRate)^4))</f>
        <v/>
      </c>
      <c r="BN202" s="36">
        <f>IF(A202="","",(K202)*(IF((YEAR(D202)+5)&lt;YEAR(E202),0,IF((YEAR(D202)+5)&gt;YEAR(E202),1,(12-MONTH(E202)+1)/12)))*(1/(1+DiscountRate)^5))</f>
        <v/>
      </c>
      <c r="BO202" s="36">
        <f>IF(A202="","",(K202)*(IF((YEAR(D202)+6)&lt;YEAR(E202),0,IF((YEAR(D202)+6)&gt;YEAR(E202),1,(12-MONTH(E202)+1)/12)))*(1/(1+DiscountRate)^6))</f>
        <v/>
      </c>
      <c r="BP202" s="36">
        <f>IF(A202="","",(K202)*(IF((YEAR(D202)+7)&lt;YEAR(E202),0,IF((YEAR(D202)+7)&gt;YEAR(E202),1,(12-MONTH(E202)+1)/12)))*(1/(1+DiscountRate)^7))</f>
        <v/>
      </c>
      <c r="BQ202" s="36">
        <f>IF(A202="","",(K202)*(IF((YEAR(D202)+8)&lt;YEAR(E202),0,IF((YEAR(D202)+8)&gt;YEAR(E202),1,(12-MONTH(E202)+1)/12)))*(1/(1+DiscountRate)^8))</f>
        <v/>
      </c>
      <c r="BR202" s="36">
        <f>IF(A202="","",(K202)*(IF((YEAR(D202)+9)&lt;YEAR(E202),0,IF((YEAR(D202)+9)&gt;YEAR(E202),1,(12-MONTH(E202)+1)/12)))*(1/(1+DiscountRate)^9))</f>
        <v/>
      </c>
      <c r="BS202" s="36">
        <f>IF(A202="","",(K202)*(IF((YEAR(D202)+10)&lt;YEAR(E202),0,IF((YEAR(D202)+10)&gt;YEAR(E202),1,(12-MONTH(E202)+1)/12)))*(1/(1+DiscountRate)^10))</f>
        <v/>
      </c>
      <c r="BT202" s="36">
        <f>IF(A202="","",(K202)*(IF((YEAR(D202)+11)&lt;YEAR(E202),0,IF((YEAR(D202)+11)&gt;YEAR(E202),1,(12-MONTH(E202)+1)/12)))*(1/(1+DiscountRate)^11))</f>
        <v/>
      </c>
      <c r="BU202" s="36">
        <f>IF(A202="","",(K202)*(IF((YEAR(D202)+12)&lt;YEAR(E202),0,IF((YEAR(D202)+12)&gt;YEAR(E202),1,(12-MONTH(E202)+1)/12)))*(1/(1+DiscountRate)^12))</f>
        <v/>
      </c>
      <c r="BV202" s="36">
        <f>IF(A202="","",(K202)*(IF((YEAR(D202)+13)&lt;YEAR(E202),0,IF((YEAR(D202)+13)&gt;YEAR(E202),1,(12-MONTH(E202)+1)/12)))*(1/(1+DiscountRate)^13))</f>
        <v/>
      </c>
      <c r="BW202" s="36">
        <f>IF(A202="","",(K202)*(IF((YEAR(D202)+14)&lt;YEAR(E202),0,IF((YEAR(D202)+14)&gt;YEAR(E202),1,(12-MONTH(E202)+1)/12)))*(1/(1+DiscountRate)^14))</f>
        <v/>
      </c>
      <c r="BX202" s="36">
        <f>IF(A202="","",(K202)*(IF((YEAR(D202)+15)&lt;YEAR(E202),0,IF((YEAR(D202)+15)&gt;YEAR(E202),1,(12-MONTH(E202)+1)/12)))*(1/(1+DiscountRate)^15))</f>
        <v/>
      </c>
      <c r="BY202" s="36">
        <f>IF(A202="","",(K202)*(IF((YEAR(D202)+16)&lt;YEAR(E202),0,IF((YEAR(D202)+16)&gt;YEAR(E202),1,(12-MONTH(E202)+1)/12)))*(1/(1+DiscountRate)^16))</f>
        <v/>
      </c>
      <c r="BZ202" s="36">
        <f>IF(A202="","",(K202)*(IF((YEAR(D202)+17)&lt;YEAR(E202),0,IF((YEAR(D202)+17)&gt;YEAR(E202),1,(12-MONTH(E202)+1)/12)))*(1/(1+DiscountRate)^17))</f>
        <v/>
      </c>
      <c r="CA202" s="36">
        <f>IF(A202="","",(K202)*(IF((YEAR(D202)+18)&lt;YEAR(E202),0,IF((YEAR(D202)+18)&gt;YEAR(E202),1,(12-MONTH(E202)+1)/12)))*(1/(1+DiscountRate)^18))</f>
        <v/>
      </c>
      <c r="CB202" s="36">
        <f>IF(A202="","",(K202)*(IF((YEAR(D202)+19)&lt;YEAR(E202),0,IF((YEAR(D202)+19)&gt;YEAR(E202),1,(12-MONTH(E202)+1)/12)))*(1/(1+DiscountRate)^19))</f>
        <v/>
      </c>
      <c r="CC202" s="36">
        <f>IF(A202="","",(K202)*(IF((YEAR(D202)+20)&lt;YEAR(E202),0,IF((YEAR(D202)+20)&gt;YEAR(E202),1,(12-MONTH(E202)+1)/12)))*(1/(1+DiscountRate)^20))</f>
        <v/>
      </c>
      <c r="CD202" s="29">
        <f>IF(A202="","",S202/(1+DiscountRate)^0+T202/(1+DiscountRate)^1+U202/(1+DiscountRate)^2+V202/(1+DiscountRate)^3+W202/(1+DiscountRate)^4+X202/(1+DiscountRate)^5+Y202/(1+DiscountRate)^6+Z202/(1+DiscountRate)^7+AA202/(1+DiscountRate)^8+AB202/(1+DiscountRate)^9+AC202/(1+DiscountRate)^10+AD202/(1+DiscountRate)^11+AE202/(1+DiscountRate)^12+AF202/(1+DiscountRate)^13+AG202/(1+DiscountRate)^14+AH202/(1+DiscountRate)^15+AI202/(1+DiscountRate)^16+AJ202/(1+DiscountRate)^17+AK202/(1+DiscountRate)^18+AL202/(1+DiscountRate)^19+AM202/(1+DiscountRate)^20)</f>
        <v/>
      </c>
      <c r="CE202" s="37">
        <f>IF(A202="","",IFERROR(IRR(OFFSET(S202,0,0,1,MIN(HorizonYears,20)+1)),"n/a"))</f>
        <v/>
      </c>
      <c r="CF202" s="28">
        <f>IF(A202="","",IFERROR(MATCH(TRUE,OFFSET(AN202,0,0,1,MIN(HorizonYears,20)+1)&gt;=0,0)-1,"n/a"))</f>
        <v/>
      </c>
      <c r="CG202" s="36">
        <f>IF(A202="","",SUM(OFFSET(BI202,0,0,1,MIN(HorizonYears,20)+1)))</f>
        <v/>
      </c>
      <c r="CH202" s="36">
        <f>IF(A202="","",IFERROR(-CD202/CG202,"n/a"))</f>
        <v/>
      </c>
    </row>
    <row r="203">
      <c r="A203" s="6">
        <f>Actions!A201</f>
        <v/>
      </c>
      <c r="B203" s="6">
        <f>Actions!B201</f>
        <v/>
      </c>
      <c r="C203" s="6">
        <f>Actions!D201</f>
        <v/>
      </c>
      <c r="D203" s="35">
        <f>Actions!E201</f>
        <v/>
      </c>
      <c r="E203" s="35">
        <f>Actions!F201</f>
        <v/>
      </c>
      <c r="F203" s="6">
        <f>Actions!G201</f>
        <v/>
      </c>
      <c r="G203" s="6">
        <f>Actions!H201</f>
        <v/>
      </c>
      <c r="H203" s="29">
        <f>Actions!I201</f>
        <v/>
      </c>
      <c r="I203" s="6">
        <f>Actions!J201</f>
        <v/>
      </c>
      <c r="J203" s="16">
        <f>Actions!K201</f>
        <v/>
      </c>
      <c r="K203" s="16">
        <f>IF(A203="","",IF(I203="%",H203*J203,J203))</f>
        <v/>
      </c>
      <c r="L203" s="16">
        <f>Actions!L201</f>
        <v/>
      </c>
      <c r="M203" s="6">
        <f>Actions!M201</f>
        <v/>
      </c>
      <c r="N203" s="28">
        <f>Actions!N201</f>
        <v/>
      </c>
      <c r="O203" s="29">
        <f>Actions!T201</f>
        <v/>
      </c>
      <c r="P203" s="29">
        <f>Actions!Y201</f>
        <v/>
      </c>
      <c r="Q203" s="29">
        <f>Actions!Z201</f>
        <v/>
      </c>
      <c r="R203" s="29">
        <f>Actions!AA201</f>
        <v/>
      </c>
      <c r="S203" s="29">
        <f>IF(A203="","",((K203)*(IF(M203="",L203,IFERROR(IF(INDEX(Variablen!$I:$AT, MATCH(M203, Variablen!$A:$A, 0), MATCH((YEAR(D203)+0), Variablen!$I$3:$AT$3, 0))="",L203,INDEX(Variablen!$I:$AT, MATCH(M203, Variablen!$A:$A, 0), MATCH((YEAR(D203)+0), Variablen!$I$3:$AT$3, 0))),L203)))*(IF((YEAR(D203)+0)&lt;YEAR(E203),0,IF((YEAR(D203)+0)&gt;YEAR(E203),1,(12-MONTH(E203)+1)/12))) + (Q203)*(IF((YEAR(D203)+0)&lt;YEAR(E203),0,IF((YEAR(D203)+0)&gt;YEAR(E203),1,(12-MONTH(E203)+1)/12))))-((P203)*(IF((YEAR(D203)+0)&lt;YEAR(E203),0,IF((YEAR(D203)+0)&gt;YEAR(E203),1,(12-MONTH(E203)+1)/12))) + (R203)*(IF((YEAR(D203)+0)&lt;YEAR(E203),0,IF((YEAR(D203)+0)&gt;YEAR(E203),1,(12-MONTH(E203)+1)/12))))-(IF((((K203)*(IF(M203="",L203,IFERROR(IF(INDEX(Variablen!$I:$AT, MATCH(M203, Variablen!$A:$A, 0), MATCH((YEAR(D203)+0), Variablen!$I$3:$AT$3, 0))="",L203,INDEX(Variablen!$I:$AT, MATCH(M203, Variablen!$A:$A, 0), MATCH((YEAR(D203)+0), Variablen!$I$3:$AT$3, 0))),L203)))*(IF((YEAR(D203)+0)&lt;YEAR(E203),0,IF((YEAR(D203)+0)&gt;YEAR(E203),1,(12-MONTH(E203)+1)/12))) + (Q203)*(IF((YEAR(D203)+0)&lt;YEAR(E203),0,IF((YEAR(D203)+0)&gt;YEAR(E203),1,(12-MONTH(E203)+1)/12))))-((P203)*(IF((YEAR(D203)+0)&lt;YEAR(E203),0,IF((YEAR(D203)+0)&gt;YEAR(E203),1,(12-MONTH(E203)+1)/12))) + (R203)*(IF((YEAR(D203)+0)&lt;YEAR(E203),0,IF((YEAR(D203)+0)&gt;YEAR(E203),1,(12-MONTH(E203)+1)/12))))-(IF(OR(N203="",N203&lt;=0),0,(O203/N203)*(IF(OR(N203="",N203&lt;=0),0,IF((YEAR(D203)+0)&lt;YEAR(E203),0,IF((YEAR(D203)+0)&gt;=YEAR(E203)+N203,0,IF((YEAR(D203)+0)=YEAR(E203),(12-MONTH(E203)+1)/12,1))))))))&gt;0,(((K203)*(IF(M203="",L203,IFERROR(IF(INDEX(Variablen!$I:$AT, MATCH(M203, Variablen!$A:$A, 0), MATCH((YEAR(D203)+0), Variablen!$I$3:$AT$3, 0))="",L203,INDEX(Variablen!$I:$AT, MATCH(M203, Variablen!$A:$A, 0), MATCH((YEAR(D203)+0), Variablen!$I$3:$AT$3, 0))),L203)))*(IF((YEAR(D203)+0)&lt;YEAR(E203),0,IF((YEAR(D203)+0)&gt;YEAR(E203),1,(12-MONTH(E203)+1)/12))) + (Q203)*(IF((YEAR(D203)+0)&lt;YEAR(E203),0,IF((YEAR(D203)+0)&gt;YEAR(E203),1,(12-MONTH(E203)+1)/12))))-((P203)*(IF((YEAR(D203)+0)&lt;YEAR(E203),0,IF((YEAR(D203)+0)&gt;YEAR(E203),1,(12-MONTH(E203)+1)/12))) + (R203)*(IF((YEAR(D203)+0)&lt;YEAR(E203),0,IF((YEAR(D203)+0)&gt;YEAR(E203),1,(12-MONTH(E203)+1)/12))))-(IF(OR(N203="",N203&lt;=0),0,(O203/N203)*(IF(OR(N203="",N203&lt;=0),0,IF((YEAR(D203)+0)&lt;YEAR(E203),0,IF((YEAR(D203)+0)&gt;=YEAR(E203)+N203,0,IF((YEAR(D203)+0)=YEAR(E203),(12-MONTH(E203)+1)/12,1))))))))*TaxRate,0))-IF(0=0,O203,0))</f>
        <v/>
      </c>
      <c r="T203" s="29">
        <f>IF(A203="","",((K203)*(IF(M203="",L203,IFERROR(IF(INDEX(Variablen!$I:$AT, MATCH(M203, Variablen!$A:$A, 0), MATCH((YEAR(D203)+1), Variablen!$I$3:$AT$3, 0))="",L203,INDEX(Variablen!$I:$AT, MATCH(M203, Variablen!$A:$A, 0), MATCH((YEAR(D203)+1), Variablen!$I$3:$AT$3, 0))),L203)))*(IF((YEAR(D203)+1)&lt;YEAR(E203),0,IF((YEAR(D203)+1)&gt;YEAR(E203),1,(12-MONTH(E203)+1)/12))) + (Q203)*(IF((YEAR(D203)+1)&lt;YEAR(E203),0,IF((YEAR(D203)+1)&gt;YEAR(E203),1,(12-MONTH(E203)+1)/12))))-((P203)*(IF((YEAR(D203)+1)&lt;YEAR(E203),0,IF((YEAR(D203)+1)&gt;YEAR(E203),1,(12-MONTH(E203)+1)/12))) + (R203)*(IF((YEAR(D203)+1)&lt;YEAR(E203),0,IF((YEAR(D203)+1)&gt;YEAR(E203),1,(12-MONTH(E203)+1)/12))))-(IF((((K203)*(IF(M203="",L203,IFERROR(IF(INDEX(Variablen!$I:$AT, MATCH(M203, Variablen!$A:$A, 0), MATCH((YEAR(D203)+1), Variablen!$I$3:$AT$3, 0))="",L203,INDEX(Variablen!$I:$AT, MATCH(M203, Variablen!$A:$A, 0), MATCH((YEAR(D203)+1), Variablen!$I$3:$AT$3, 0))),L203)))*(IF((YEAR(D203)+1)&lt;YEAR(E203),0,IF((YEAR(D203)+1)&gt;YEAR(E203),1,(12-MONTH(E203)+1)/12))) + (Q203)*(IF((YEAR(D203)+1)&lt;YEAR(E203),0,IF((YEAR(D203)+1)&gt;YEAR(E203),1,(12-MONTH(E203)+1)/12))))-((P203)*(IF((YEAR(D203)+1)&lt;YEAR(E203),0,IF((YEAR(D203)+1)&gt;YEAR(E203),1,(12-MONTH(E203)+1)/12))) + (R203)*(IF((YEAR(D203)+1)&lt;YEAR(E203),0,IF((YEAR(D203)+1)&gt;YEAR(E203),1,(12-MONTH(E203)+1)/12))))-(IF(OR(N203="",N203&lt;=0),0,(O203/N203)*(IF(OR(N203="",N203&lt;=0),0,IF((YEAR(D203)+1)&lt;YEAR(E203),0,IF((YEAR(D203)+1)&gt;=YEAR(E203)+N203,0,IF((YEAR(D203)+1)=YEAR(E203),(12-MONTH(E203)+1)/12,1))))))))&gt;0,(((K203)*(IF(M203="",L203,IFERROR(IF(INDEX(Variablen!$I:$AT, MATCH(M203, Variablen!$A:$A, 0), MATCH((YEAR(D203)+1), Variablen!$I$3:$AT$3, 0))="",L203,INDEX(Variablen!$I:$AT, MATCH(M203, Variablen!$A:$A, 0), MATCH((YEAR(D203)+1), Variablen!$I$3:$AT$3, 0))),L203)))*(IF((YEAR(D203)+1)&lt;YEAR(E203),0,IF((YEAR(D203)+1)&gt;YEAR(E203),1,(12-MONTH(E203)+1)/12))) + (Q203)*(IF((YEAR(D203)+1)&lt;YEAR(E203),0,IF((YEAR(D203)+1)&gt;YEAR(E203),1,(12-MONTH(E203)+1)/12))))-((P203)*(IF((YEAR(D203)+1)&lt;YEAR(E203),0,IF((YEAR(D203)+1)&gt;YEAR(E203),1,(12-MONTH(E203)+1)/12))) + (R203)*(IF((YEAR(D203)+1)&lt;YEAR(E203),0,IF((YEAR(D203)+1)&gt;YEAR(E203),1,(12-MONTH(E203)+1)/12))))-(IF(OR(N203="",N203&lt;=0),0,(O203/N203)*(IF(OR(N203="",N203&lt;=0),0,IF((YEAR(D203)+1)&lt;YEAR(E203),0,IF((YEAR(D203)+1)&gt;=YEAR(E203)+N203,0,IF((YEAR(D203)+1)=YEAR(E203),(12-MONTH(E203)+1)/12,1))))))))*TaxRate,0))-IF(1=0,O203,0))</f>
        <v/>
      </c>
      <c r="U203" s="29">
        <f>IF(A203="","",((K203)*(IF(M203="",L203,IFERROR(IF(INDEX(Variablen!$I:$AT, MATCH(M203, Variablen!$A:$A, 0), MATCH((YEAR(D203)+2), Variablen!$I$3:$AT$3, 0))="",L203,INDEX(Variablen!$I:$AT, MATCH(M203, Variablen!$A:$A, 0), MATCH((YEAR(D203)+2), Variablen!$I$3:$AT$3, 0))),L203)))*(IF((YEAR(D203)+2)&lt;YEAR(E203),0,IF((YEAR(D203)+2)&gt;YEAR(E203),1,(12-MONTH(E203)+1)/12))) + (Q203)*(IF((YEAR(D203)+2)&lt;YEAR(E203),0,IF((YEAR(D203)+2)&gt;YEAR(E203),1,(12-MONTH(E203)+1)/12))))-((P203)*(IF((YEAR(D203)+2)&lt;YEAR(E203),0,IF((YEAR(D203)+2)&gt;YEAR(E203),1,(12-MONTH(E203)+1)/12))) + (R203)*(IF((YEAR(D203)+2)&lt;YEAR(E203),0,IF((YEAR(D203)+2)&gt;YEAR(E203),1,(12-MONTH(E203)+1)/12))))-(IF((((K203)*(IF(M203="",L203,IFERROR(IF(INDEX(Variablen!$I:$AT, MATCH(M203, Variablen!$A:$A, 0), MATCH((YEAR(D203)+2), Variablen!$I$3:$AT$3, 0))="",L203,INDEX(Variablen!$I:$AT, MATCH(M203, Variablen!$A:$A, 0), MATCH((YEAR(D203)+2), Variablen!$I$3:$AT$3, 0))),L203)))*(IF((YEAR(D203)+2)&lt;YEAR(E203),0,IF((YEAR(D203)+2)&gt;YEAR(E203),1,(12-MONTH(E203)+1)/12))) + (Q203)*(IF((YEAR(D203)+2)&lt;YEAR(E203),0,IF((YEAR(D203)+2)&gt;YEAR(E203),1,(12-MONTH(E203)+1)/12))))-((P203)*(IF((YEAR(D203)+2)&lt;YEAR(E203),0,IF((YEAR(D203)+2)&gt;YEAR(E203),1,(12-MONTH(E203)+1)/12))) + (R203)*(IF((YEAR(D203)+2)&lt;YEAR(E203),0,IF((YEAR(D203)+2)&gt;YEAR(E203),1,(12-MONTH(E203)+1)/12))))-(IF(OR(N203="",N203&lt;=0),0,(O203/N203)*(IF(OR(N203="",N203&lt;=0),0,IF((YEAR(D203)+2)&lt;YEAR(E203),0,IF((YEAR(D203)+2)&gt;=YEAR(E203)+N203,0,IF((YEAR(D203)+2)=YEAR(E203),(12-MONTH(E203)+1)/12,1))))))))&gt;0,(((K203)*(IF(M203="",L203,IFERROR(IF(INDEX(Variablen!$I:$AT, MATCH(M203, Variablen!$A:$A, 0), MATCH((YEAR(D203)+2), Variablen!$I$3:$AT$3, 0))="",L203,INDEX(Variablen!$I:$AT, MATCH(M203, Variablen!$A:$A, 0), MATCH((YEAR(D203)+2), Variablen!$I$3:$AT$3, 0))),L203)))*(IF((YEAR(D203)+2)&lt;YEAR(E203),0,IF((YEAR(D203)+2)&gt;YEAR(E203),1,(12-MONTH(E203)+1)/12))) + (Q203)*(IF((YEAR(D203)+2)&lt;YEAR(E203),0,IF((YEAR(D203)+2)&gt;YEAR(E203),1,(12-MONTH(E203)+1)/12))))-((P203)*(IF((YEAR(D203)+2)&lt;YEAR(E203),0,IF((YEAR(D203)+2)&gt;YEAR(E203),1,(12-MONTH(E203)+1)/12))) + (R203)*(IF((YEAR(D203)+2)&lt;YEAR(E203),0,IF((YEAR(D203)+2)&gt;YEAR(E203),1,(12-MONTH(E203)+1)/12))))-(IF(OR(N203="",N203&lt;=0),0,(O203/N203)*(IF(OR(N203="",N203&lt;=0),0,IF((YEAR(D203)+2)&lt;YEAR(E203),0,IF((YEAR(D203)+2)&gt;=YEAR(E203)+N203,0,IF((YEAR(D203)+2)=YEAR(E203),(12-MONTH(E203)+1)/12,1))))))))*TaxRate,0))-IF(2=0,O203,0))</f>
        <v/>
      </c>
      <c r="V203" s="29">
        <f>IF(A203="","",((K203)*(IF(M203="",L203,IFERROR(IF(INDEX(Variablen!$I:$AT, MATCH(M203, Variablen!$A:$A, 0), MATCH((YEAR(D203)+3), Variablen!$I$3:$AT$3, 0))="",L203,INDEX(Variablen!$I:$AT, MATCH(M203, Variablen!$A:$A, 0), MATCH((YEAR(D203)+3), Variablen!$I$3:$AT$3, 0))),L203)))*(IF((YEAR(D203)+3)&lt;YEAR(E203),0,IF((YEAR(D203)+3)&gt;YEAR(E203),1,(12-MONTH(E203)+1)/12))) + (Q203)*(IF((YEAR(D203)+3)&lt;YEAR(E203),0,IF((YEAR(D203)+3)&gt;YEAR(E203),1,(12-MONTH(E203)+1)/12))))-((P203)*(IF((YEAR(D203)+3)&lt;YEAR(E203),0,IF((YEAR(D203)+3)&gt;YEAR(E203),1,(12-MONTH(E203)+1)/12))) + (R203)*(IF((YEAR(D203)+3)&lt;YEAR(E203),0,IF((YEAR(D203)+3)&gt;YEAR(E203),1,(12-MONTH(E203)+1)/12))))-(IF((((K203)*(IF(M203="",L203,IFERROR(IF(INDEX(Variablen!$I:$AT, MATCH(M203, Variablen!$A:$A, 0), MATCH((YEAR(D203)+3), Variablen!$I$3:$AT$3, 0))="",L203,INDEX(Variablen!$I:$AT, MATCH(M203, Variablen!$A:$A, 0), MATCH((YEAR(D203)+3), Variablen!$I$3:$AT$3, 0))),L203)))*(IF((YEAR(D203)+3)&lt;YEAR(E203),0,IF((YEAR(D203)+3)&gt;YEAR(E203),1,(12-MONTH(E203)+1)/12))) + (Q203)*(IF((YEAR(D203)+3)&lt;YEAR(E203),0,IF((YEAR(D203)+3)&gt;YEAR(E203),1,(12-MONTH(E203)+1)/12))))-((P203)*(IF((YEAR(D203)+3)&lt;YEAR(E203),0,IF((YEAR(D203)+3)&gt;YEAR(E203),1,(12-MONTH(E203)+1)/12))) + (R203)*(IF((YEAR(D203)+3)&lt;YEAR(E203),0,IF((YEAR(D203)+3)&gt;YEAR(E203),1,(12-MONTH(E203)+1)/12))))-(IF(OR(N203="",N203&lt;=0),0,(O203/N203)*(IF(OR(N203="",N203&lt;=0),0,IF((YEAR(D203)+3)&lt;YEAR(E203),0,IF((YEAR(D203)+3)&gt;=YEAR(E203)+N203,0,IF((YEAR(D203)+3)=YEAR(E203),(12-MONTH(E203)+1)/12,1))))))))&gt;0,(((K203)*(IF(M203="",L203,IFERROR(IF(INDEX(Variablen!$I:$AT, MATCH(M203, Variablen!$A:$A, 0), MATCH((YEAR(D203)+3), Variablen!$I$3:$AT$3, 0))="",L203,INDEX(Variablen!$I:$AT, MATCH(M203, Variablen!$A:$A, 0), MATCH((YEAR(D203)+3), Variablen!$I$3:$AT$3, 0))),L203)))*(IF((YEAR(D203)+3)&lt;YEAR(E203),0,IF((YEAR(D203)+3)&gt;YEAR(E203),1,(12-MONTH(E203)+1)/12))) + (Q203)*(IF((YEAR(D203)+3)&lt;YEAR(E203),0,IF((YEAR(D203)+3)&gt;YEAR(E203),1,(12-MONTH(E203)+1)/12))))-((P203)*(IF((YEAR(D203)+3)&lt;YEAR(E203),0,IF((YEAR(D203)+3)&gt;YEAR(E203),1,(12-MONTH(E203)+1)/12))) + (R203)*(IF((YEAR(D203)+3)&lt;YEAR(E203),0,IF((YEAR(D203)+3)&gt;YEAR(E203),1,(12-MONTH(E203)+1)/12))))-(IF(OR(N203="",N203&lt;=0),0,(O203/N203)*(IF(OR(N203="",N203&lt;=0),0,IF((YEAR(D203)+3)&lt;YEAR(E203),0,IF((YEAR(D203)+3)&gt;=YEAR(E203)+N203,0,IF((YEAR(D203)+3)=YEAR(E203),(12-MONTH(E203)+1)/12,1))))))))*TaxRate,0))-IF(3=0,O203,0))</f>
        <v/>
      </c>
      <c r="W203" s="29">
        <f>IF(A203="","",((K203)*(IF(M203="",L203,IFERROR(IF(INDEX(Variablen!$I:$AT, MATCH(M203, Variablen!$A:$A, 0), MATCH((YEAR(D203)+4), Variablen!$I$3:$AT$3, 0))="",L203,INDEX(Variablen!$I:$AT, MATCH(M203, Variablen!$A:$A, 0), MATCH((YEAR(D203)+4), Variablen!$I$3:$AT$3, 0))),L203)))*(IF((YEAR(D203)+4)&lt;YEAR(E203),0,IF((YEAR(D203)+4)&gt;YEAR(E203),1,(12-MONTH(E203)+1)/12))) + (Q203)*(IF((YEAR(D203)+4)&lt;YEAR(E203),0,IF((YEAR(D203)+4)&gt;YEAR(E203),1,(12-MONTH(E203)+1)/12))))-((P203)*(IF((YEAR(D203)+4)&lt;YEAR(E203),0,IF((YEAR(D203)+4)&gt;YEAR(E203),1,(12-MONTH(E203)+1)/12))) + (R203)*(IF((YEAR(D203)+4)&lt;YEAR(E203),0,IF((YEAR(D203)+4)&gt;YEAR(E203),1,(12-MONTH(E203)+1)/12))))-(IF((((K203)*(IF(M203="",L203,IFERROR(IF(INDEX(Variablen!$I:$AT, MATCH(M203, Variablen!$A:$A, 0), MATCH((YEAR(D203)+4), Variablen!$I$3:$AT$3, 0))="",L203,INDEX(Variablen!$I:$AT, MATCH(M203, Variablen!$A:$A, 0), MATCH((YEAR(D203)+4), Variablen!$I$3:$AT$3, 0))),L203)))*(IF((YEAR(D203)+4)&lt;YEAR(E203),0,IF((YEAR(D203)+4)&gt;YEAR(E203),1,(12-MONTH(E203)+1)/12))) + (Q203)*(IF((YEAR(D203)+4)&lt;YEAR(E203),0,IF((YEAR(D203)+4)&gt;YEAR(E203),1,(12-MONTH(E203)+1)/12))))-((P203)*(IF((YEAR(D203)+4)&lt;YEAR(E203),0,IF((YEAR(D203)+4)&gt;YEAR(E203),1,(12-MONTH(E203)+1)/12))) + (R203)*(IF((YEAR(D203)+4)&lt;YEAR(E203),0,IF((YEAR(D203)+4)&gt;YEAR(E203),1,(12-MONTH(E203)+1)/12))))-(IF(OR(N203="",N203&lt;=0),0,(O203/N203)*(IF(OR(N203="",N203&lt;=0),0,IF((YEAR(D203)+4)&lt;YEAR(E203),0,IF((YEAR(D203)+4)&gt;=YEAR(E203)+N203,0,IF((YEAR(D203)+4)=YEAR(E203),(12-MONTH(E203)+1)/12,1))))))))&gt;0,(((K203)*(IF(M203="",L203,IFERROR(IF(INDEX(Variablen!$I:$AT, MATCH(M203, Variablen!$A:$A, 0), MATCH((YEAR(D203)+4), Variablen!$I$3:$AT$3, 0))="",L203,INDEX(Variablen!$I:$AT, MATCH(M203, Variablen!$A:$A, 0), MATCH((YEAR(D203)+4), Variablen!$I$3:$AT$3, 0))),L203)))*(IF((YEAR(D203)+4)&lt;YEAR(E203),0,IF((YEAR(D203)+4)&gt;YEAR(E203),1,(12-MONTH(E203)+1)/12))) + (Q203)*(IF((YEAR(D203)+4)&lt;YEAR(E203),0,IF((YEAR(D203)+4)&gt;YEAR(E203),1,(12-MONTH(E203)+1)/12))))-((P203)*(IF((YEAR(D203)+4)&lt;YEAR(E203),0,IF((YEAR(D203)+4)&gt;YEAR(E203),1,(12-MONTH(E203)+1)/12))) + (R203)*(IF((YEAR(D203)+4)&lt;YEAR(E203),0,IF((YEAR(D203)+4)&gt;YEAR(E203),1,(12-MONTH(E203)+1)/12))))-(IF(OR(N203="",N203&lt;=0),0,(O203/N203)*(IF(OR(N203="",N203&lt;=0),0,IF((YEAR(D203)+4)&lt;YEAR(E203),0,IF((YEAR(D203)+4)&gt;=YEAR(E203)+N203,0,IF((YEAR(D203)+4)=YEAR(E203),(12-MONTH(E203)+1)/12,1))))))))*TaxRate,0))-IF(4=0,O203,0))</f>
        <v/>
      </c>
      <c r="X203" s="29">
        <f>IF(A203="","",((K203)*(IF(M203="",L203,IFERROR(IF(INDEX(Variablen!$I:$AT, MATCH(M203, Variablen!$A:$A, 0), MATCH((YEAR(D203)+5), Variablen!$I$3:$AT$3, 0))="",L203,INDEX(Variablen!$I:$AT, MATCH(M203, Variablen!$A:$A, 0), MATCH((YEAR(D203)+5), Variablen!$I$3:$AT$3, 0))),L203)))*(IF((YEAR(D203)+5)&lt;YEAR(E203),0,IF((YEAR(D203)+5)&gt;YEAR(E203),1,(12-MONTH(E203)+1)/12))) + (Q203)*(IF((YEAR(D203)+5)&lt;YEAR(E203),0,IF((YEAR(D203)+5)&gt;YEAR(E203),1,(12-MONTH(E203)+1)/12))))-((P203)*(IF((YEAR(D203)+5)&lt;YEAR(E203),0,IF((YEAR(D203)+5)&gt;YEAR(E203),1,(12-MONTH(E203)+1)/12))) + (R203)*(IF((YEAR(D203)+5)&lt;YEAR(E203),0,IF((YEAR(D203)+5)&gt;YEAR(E203),1,(12-MONTH(E203)+1)/12))))-(IF((((K203)*(IF(M203="",L203,IFERROR(IF(INDEX(Variablen!$I:$AT, MATCH(M203, Variablen!$A:$A, 0), MATCH((YEAR(D203)+5), Variablen!$I$3:$AT$3, 0))="",L203,INDEX(Variablen!$I:$AT, MATCH(M203, Variablen!$A:$A, 0), MATCH((YEAR(D203)+5), Variablen!$I$3:$AT$3, 0))),L203)))*(IF((YEAR(D203)+5)&lt;YEAR(E203),0,IF((YEAR(D203)+5)&gt;YEAR(E203),1,(12-MONTH(E203)+1)/12))) + (Q203)*(IF((YEAR(D203)+5)&lt;YEAR(E203),0,IF((YEAR(D203)+5)&gt;YEAR(E203),1,(12-MONTH(E203)+1)/12))))-((P203)*(IF((YEAR(D203)+5)&lt;YEAR(E203),0,IF((YEAR(D203)+5)&gt;YEAR(E203),1,(12-MONTH(E203)+1)/12))) + (R203)*(IF((YEAR(D203)+5)&lt;YEAR(E203),0,IF((YEAR(D203)+5)&gt;YEAR(E203),1,(12-MONTH(E203)+1)/12))))-(IF(OR(N203="",N203&lt;=0),0,(O203/N203)*(IF(OR(N203="",N203&lt;=0),0,IF((YEAR(D203)+5)&lt;YEAR(E203),0,IF((YEAR(D203)+5)&gt;=YEAR(E203)+N203,0,IF((YEAR(D203)+5)=YEAR(E203),(12-MONTH(E203)+1)/12,1))))))))&gt;0,(((K203)*(IF(M203="",L203,IFERROR(IF(INDEX(Variablen!$I:$AT, MATCH(M203, Variablen!$A:$A, 0), MATCH((YEAR(D203)+5), Variablen!$I$3:$AT$3, 0))="",L203,INDEX(Variablen!$I:$AT, MATCH(M203, Variablen!$A:$A, 0), MATCH((YEAR(D203)+5), Variablen!$I$3:$AT$3, 0))),L203)))*(IF((YEAR(D203)+5)&lt;YEAR(E203),0,IF((YEAR(D203)+5)&gt;YEAR(E203),1,(12-MONTH(E203)+1)/12))) + (Q203)*(IF((YEAR(D203)+5)&lt;YEAR(E203),0,IF((YEAR(D203)+5)&gt;YEAR(E203),1,(12-MONTH(E203)+1)/12))))-((P203)*(IF((YEAR(D203)+5)&lt;YEAR(E203),0,IF((YEAR(D203)+5)&gt;YEAR(E203),1,(12-MONTH(E203)+1)/12))) + (R203)*(IF((YEAR(D203)+5)&lt;YEAR(E203),0,IF((YEAR(D203)+5)&gt;YEAR(E203),1,(12-MONTH(E203)+1)/12))))-(IF(OR(N203="",N203&lt;=0),0,(O203/N203)*(IF(OR(N203="",N203&lt;=0),0,IF((YEAR(D203)+5)&lt;YEAR(E203),0,IF((YEAR(D203)+5)&gt;=YEAR(E203)+N203,0,IF((YEAR(D203)+5)=YEAR(E203),(12-MONTH(E203)+1)/12,1))))))))*TaxRate,0))-IF(5=0,O203,0))</f>
        <v/>
      </c>
      <c r="Y203" s="29">
        <f>IF(A203="","",((K203)*(IF(M203="",L203,IFERROR(IF(INDEX(Variablen!$I:$AT, MATCH(M203, Variablen!$A:$A, 0), MATCH((YEAR(D203)+6), Variablen!$I$3:$AT$3, 0))="",L203,INDEX(Variablen!$I:$AT, MATCH(M203, Variablen!$A:$A, 0), MATCH((YEAR(D203)+6), Variablen!$I$3:$AT$3, 0))),L203)))*(IF((YEAR(D203)+6)&lt;YEAR(E203),0,IF((YEAR(D203)+6)&gt;YEAR(E203),1,(12-MONTH(E203)+1)/12))) + (Q203)*(IF((YEAR(D203)+6)&lt;YEAR(E203),0,IF((YEAR(D203)+6)&gt;YEAR(E203),1,(12-MONTH(E203)+1)/12))))-((P203)*(IF((YEAR(D203)+6)&lt;YEAR(E203),0,IF((YEAR(D203)+6)&gt;YEAR(E203),1,(12-MONTH(E203)+1)/12))) + (R203)*(IF((YEAR(D203)+6)&lt;YEAR(E203),0,IF((YEAR(D203)+6)&gt;YEAR(E203),1,(12-MONTH(E203)+1)/12))))-(IF((((K203)*(IF(M203="",L203,IFERROR(IF(INDEX(Variablen!$I:$AT, MATCH(M203, Variablen!$A:$A, 0), MATCH((YEAR(D203)+6), Variablen!$I$3:$AT$3, 0))="",L203,INDEX(Variablen!$I:$AT, MATCH(M203, Variablen!$A:$A, 0), MATCH((YEAR(D203)+6), Variablen!$I$3:$AT$3, 0))),L203)))*(IF((YEAR(D203)+6)&lt;YEAR(E203),0,IF((YEAR(D203)+6)&gt;YEAR(E203),1,(12-MONTH(E203)+1)/12))) + (Q203)*(IF((YEAR(D203)+6)&lt;YEAR(E203),0,IF((YEAR(D203)+6)&gt;YEAR(E203),1,(12-MONTH(E203)+1)/12))))-((P203)*(IF((YEAR(D203)+6)&lt;YEAR(E203),0,IF((YEAR(D203)+6)&gt;YEAR(E203),1,(12-MONTH(E203)+1)/12))) + (R203)*(IF((YEAR(D203)+6)&lt;YEAR(E203),0,IF((YEAR(D203)+6)&gt;YEAR(E203),1,(12-MONTH(E203)+1)/12))))-(IF(OR(N203="",N203&lt;=0),0,(O203/N203)*(IF(OR(N203="",N203&lt;=0),0,IF((YEAR(D203)+6)&lt;YEAR(E203),0,IF((YEAR(D203)+6)&gt;=YEAR(E203)+N203,0,IF((YEAR(D203)+6)=YEAR(E203),(12-MONTH(E203)+1)/12,1))))))))&gt;0,(((K203)*(IF(M203="",L203,IFERROR(IF(INDEX(Variablen!$I:$AT, MATCH(M203, Variablen!$A:$A, 0), MATCH((YEAR(D203)+6), Variablen!$I$3:$AT$3, 0))="",L203,INDEX(Variablen!$I:$AT, MATCH(M203, Variablen!$A:$A, 0), MATCH((YEAR(D203)+6), Variablen!$I$3:$AT$3, 0))),L203)))*(IF((YEAR(D203)+6)&lt;YEAR(E203),0,IF((YEAR(D203)+6)&gt;YEAR(E203),1,(12-MONTH(E203)+1)/12))) + (Q203)*(IF((YEAR(D203)+6)&lt;YEAR(E203),0,IF((YEAR(D203)+6)&gt;YEAR(E203),1,(12-MONTH(E203)+1)/12))))-((P203)*(IF((YEAR(D203)+6)&lt;YEAR(E203),0,IF((YEAR(D203)+6)&gt;YEAR(E203),1,(12-MONTH(E203)+1)/12))) + (R203)*(IF((YEAR(D203)+6)&lt;YEAR(E203),0,IF((YEAR(D203)+6)&gt;YEAR(E203),1,(12-MONTH(E203)+1)/12))))-(IF(OR(N203="",N203&lt;=0),0,(O203/N203)*(IF(OR(N203="",N203&lt;=0),0,IF((YEAR(D203)+6)&lt;YEAR(E203),0,IF((YEAR(D203)+6)&gt;=YEAR(E203)+N203,0,IF((YEAR(D203)+6)=YEAR(E203),(12-MONTH(E203)+1)/12,1))))))))*TaxRate,0))-IF(6=0,O203,0))</f>
        <v/>
      </c>
      <c r="Z203" s="29">
        <f>IF(A203="","",((K203)*(IF(M203="",L203,IFERROR(IF(INDEX(Variablen!$I:$AT, MATCH(M203, Variablen!$A:$A, 0), MATCH((YEAR(D203)+7), Variablen!$I$3:$AT$3, 0))="",L203,INDEX(Variablen!$I:$AT, MATCH(M203, Variablen!$A:$A, 0), MATCH((YEAR(D203)+7), Variablen!$I$3:$AT$3, 0))),L203)))*(IF((YEAR(D203)+7)&lt;YEAR(E203),0,IF((YEAR(D203)+7)&gt;YEAR(E203),1,(12-MONTH(E203)+1)/12))) + (Q203)*(IF((YEAR(D203)+7)&lt;YEAR(E203),0,IF((YEAR(D203)+7)&gt;YEAR(E203),1,(12-MONTH(E203)+1)/12))))-((P203)*(IF((YEAR(D203)+7)&lt;YEAR(E203),0,IF((YEAR(D203)+7)&gt;YEAR(E203),1,(12-MONTH(E203)+1)/12))) + (R203)*(IF((YEAR(D203)+7)&lt;YEAR(E203),0,IF((YEAR(D203)+7)&gt;YEAR(E203),1,(12-MONTH(E203)+1)/12))))-(IF((((K203)*(IF(M203="",L203,IFERROR(IF(INDEX(Variablen!$I:$AT, MATCH(M203, Variablen!$A:$A, 0), MATCH((YEAR(D203)+7), Variablen!$I$3:$AT$3, 0))="",L203,INDEX(Variablen!$I:$AT, MATCH(M203, Variablen!$A:$A, 0), MATCH((YEAR(D203)+7), Variablen!$I$3:$AT$3, 0))),L203)))*(IF((YEAR(D203)+7)&lt;YEAR(E203),0,IF((YEAR(D203)+7)&gt;YEAR(E203),1,(12-MONTH(E203)+1)/12))) + (Q203)*(IF((YEAR(D203)+7)&lt;YEAR(E203),0,IF((YEAR(D203)+7)&gt;YEAR(E203),1,(12-MONTH(E203)+1)/12))))-((P203)*(IF((YEAR(D203)+7)&lt;YEAR(E203),0,IF((YEAR(D203)+7)&gt;YEAR(E203),1,(12-MONTH(E203)+1)/12))) + (R203)*(IF((YEAR(D203)+7)&lt;YEAR(E203),0,IF((YEAR(D203)+7)&gt;YEAR(E203),1,(12-MONTH(E203)+1)/12))))-(IF(OR(N203="",N203&lt;=0),0,(O203/N203)*(IF(OR(N203="",N203&lt;=0),0,IF((YEAR(D203)+7)&lt;YEAR(E203),0,IF((YEAR(D203)+7)&gt;=YEAR(E203)+N203,0,IF((YEAR(D203)+7)=YEAR(E203),(12-MONTH(E203)+1)/12,1))))))))&gt;0,(((K203)*(IF(M203="",L203,IFERROR(IF(INDEX(Variablen!$I:$AT, MATCH(M203, Variablen!$A:$A, 0), MATCH((YEAR(D203)+7), Variablen!$I$3:$AT$3, 0))="",L203,INDEX(Variablen!$I:$AT, MATCH(M203, Variablen!$A:$A, 0), MATCH((YEAR(D203)+7), Variablen!$I$3:$AT$3, 0))),L203)))*(IF((YEAR(D203)+7)&lt;YEAR(E203),0,IF((YEAR(D203)+7)&gt;YEAR(E203),1,(12-MONTH(E203)+1)/12))) + (Q203)*(IF((YEAR(D203)+7)&lt;YEAR(E203),0,IF((YEAR(D203)+7)&gt;YEAR(E203),1,(12-MONTH(E203)+1)/12))))-((P203)*(IF((YEAR(D203)+7)&lt;YEAR(E203),0,IF((YEAR(D203)+7)&gt;YEAR(E203),1,(12-MONTH(E203)+1)/12))) + (R203)*(IF((YEAR(D203)+7)&lt;YEAR(E203),0,IF((YEAR(D203)+7)&gt;YEAR(E203),1,(12-MONTH(E203)+1)/12))))-(IF(OR(N203="",N203&lt;=0),0,(O203/N203)*(IF(OR(N203="",N203&lt;=0),0,IF((YEAR(D203)+7)&lt;YEAR(E203),0,IF((YEAR(D203)+7)&gt;=YEAR(E203)+N203,0,IF((YEAR(D203)+7)=YEAR(E203),(12-MONTH(E203)+1)/12,1))))))))*TaxRate,0))-IF(7=0,O203,0))</f>
        <v/>
      </c>
      <c r="AA203" s="29">
        <f>IF(A203="","",((K203)*(IF(M203="",L203,IFERROR(IF(INDEX(Variablen!$I:$AT, MATCH(M203, Variablen!$A:$A, 0), MATCH((YEAR(D203)+8), Variablen!$I$3:$AT$3, 0))="",L203,INDEX(Variablen!$I:$AT, MATCH(M203, Variablen!$A:$A, 0), MATCH((YEAR(D203)+8), Variablen!$I$3:$AT$3, 0))),L203)))*(IF((YEAR(D203)+8)&lt;YEAR(E203),0,IF((YEAR(D203)+8)&gt;YEAR(E203),1,(12-MONTH(E203)+1)/12))) + (Q203)*(IF((YEAR(D203)+8)&lt;YEAR(E203),0,IF((YEAR(D203)+8)&gt;YEAR(E203),1,(12-MONTH(E203)+1)/12))))-((P203)*(IF((YEAR(D203)+8)&lt;YEAR(E203),0,IF((YEAR(D203)+8)&gt;YEAR(E203),1,(12-MONTH(E203)+1)/12))) + (R203)*(IF((YEAR(D203)+8)&lt;YEAR(E203),0,IF((YEAR(D203)+8)&gt;YEAR(E203),1,(12-MONTH(E203)+1)/12))))-(IF((((K203)*(IF(M203="",L203,IFERROR(IF(INDEX(Variablen!$I:$AT, MATCH(M203, Variablen!$A:$A, 0), MATCH((YEAR(D203)+8), Variablen!$I$3:$AT$3, 0))="",L203,INDEX(Variablen!$I:$AT, MATCH(M203, Variablen!$A:$A, 0), MATCH((YEAR(D203)+8), Variablen!$I$3:$AT$3, 0))),L203)))*(IF((YEAR(D203)+8)&lt;YEAR(E203),0,IF((YEAR(D203)+8)&gt;YEAR(E203),1,(12-MONTH(E203)+1)/12))) + (Q203)*(IF((YEAR(D203)+8)&lt;YEAR(E203),0,IF((YEAR(D203)+8)&gt;YEAR(E203),1,(12-MONTH(E203)+1)/12))))-((P203)*(IF((YEAR(D203)+8)&lt;YEAR(E203),0,IF((YEAR(D203)+8)&gt;YEAR(E203),1,(12-MONTH(E203)+1)/12))) + (R203)*(IF((YEAR(D203)+8)&lt;YEAR(E203),0,IF((YEAR(D203)+8)&gt;YEAR(E203),1,(12-MONTH(E203)+1)/12))))-(IF(OR(N203="",N203&lt;=0),0,(O203/N203)*(IF(OR(N203="",N203&lt;=0),0,IF((YEAR(D203)+8)&lt;YEAR(E203),0,IF((YEAR(D203)+8)&gt;=YEAR(E203)+N203,0,IF((YEAR(D203)+8)=YEAR(E203),(12-MONTH(E203)+1)/12,1))))))))&gt;0,(((K203)*(IF(M203="",L203,IFERROR(IF(INDEX(Variablen!$I:$AT, MATCH(M203, Variablen!$A:$A, 0), MATCH((YEAR(D203)+8), Variablen!$I$3:$AT$3, 0))="",L203,INDEX(Variablen!$I:$AT, MATCH(M203, Variablen!$A:$A, 0), MATCH((YEAR(D203)+8), Variablen!$I$3:$AT$3, 0))),L203)))*(IF((YEAR(D203)+8)&lt;YEAR(E203),0,IF((YEAR(D203)+8)&gt;YEAR(E203),1,(12-MONTH(E203)+1)/12))) + (Q203)*(IF((YEAR(D203)+8)&lt;YEAR(E203),0,IF((YEAR(D203)+8)&gt;YEAR(E203),1,(12-MONTH(E203)+1)/12))))-((P203)*(IF((YEAR(D203)+8)&lt;YEAR(E203),0,IF((YEAR(D203)+8)&gt;YEAR(E203),1,(12-MONTH(E203)+1)/12))) + (R203)*(IF((YEAR(D203)+8)&lt;YEAR(E203),0,IF((YEAR(D203)+8)&gt;YEAR(E203),1,(12-MONTH(E203)+1)/12))))-(IF(OR(N203="",N203&lt;=0),0,(O203/N203)*(IF(OR(N203="",N203&lt;=0),0,IF((YEAR(D203)+8)&lt;YEAR(E203),0,IF((YEAR(D203)+8)&gt;=YEAR(E203)+N203,0,IF((YEAR(D203)+8)=YEAR(E203),(12-MONTH(E203)+1)/12,1))))))))*TaxRate,0))-IF(8=0,O203,0))</f>
        <v/>
      </c>
      <c r="AB203" s="29">
        <f>IF(A203="","",((K203)*(IF(M203="",L203,IFERROR(IF(INDEX(Variablen!$I:$AT, MATCH(M203, Variablen!$A:$A, 0), MATCH((YEAR(D203)+9), Variablen!$I$3:$AT$3, 0))="",L203,INDEX(Variablen!$I:$AT, MATCH(M203, Variablen!$A:$A, 0), MATCH((YEAR(D203)+9), Variablen!$I$3:$AT$3, 0))),L203)))*(IF((YEAR(D203)+9)&lt;YEAR(E203),0,IF((YEAR(D203)+9)&gt;YEAR(E203),1,(12-MONTH(E203)+1)/12))) + (Q203)*(IF((YEAR(D203)+9)&lt;YEAR(E203),0,IF((YEAR(D203)+9)&gt;YEAR(E203),1,(12-MONTH(E203)+1)/12))))-((P203)*(IF((YEAR(D203)+9)&lt;YEAR(E203),0,IF((YEAR(D203)+9)&gt;YEAR(E203),1,(12-MONTH(E203)+1)/12))) + (R203)*(IF((YEAR(D203)+9)&lt;YEAR(E203),0,IF((YEAR(D203)+9)&gt;YEAR(E203),1,(12-MONTH(E203)+1)/12))))-(IF((((K203)*(IF(M203="",L203,IFERROR(IF(INDEX(Variablen!$I:$AT, MATCH(M203, Variablen!$A:$A, 0), MATCH((YEAR(D203)+9), Variablen!$I$3:$AT$3, 0))="",L203,INDEX(Variablen!$I:$AT, MATCH(M203, Variablen!$A:$A, 0), MATCH((YEAR(D203)+9), Variablen!$I$3:$AT$3, 0))),L203)))*(IF((YEAR(D203)+9)&lt;YEAR(E203),0,IF((YEAR(D203)+9)&gt;YEAR(E203),1,(12-MONTH(E203)+1)/12))) + (Q203)*(IF((YEAR(D203)+9)&lt;YEAR(E203),0,IF((YEAR(D203)+9)&gt;YEAR(E203),1,(12-MONTH(E203)+1)/12))))-((P203)*(IF((YEAR(D203)+9)&lt;YEAR(E203),0,IF((YEAR(D203)+9)&gt;YEAR(E203),1,(12-MONTH(E203)+1)/12))) + (R203)*(IF((YEAR(D203)+9)&lt;YEAR(E203),0,IF((YEAR(D203)+9)&gt;YEAR(E203),1,(12-MONTH(E203)+1)/12))))-(IF(OR(N203="",N203&lt;=0),0,(O203/N203)*(IF(OR(N203="",N203&lt;=0),0,IF((YEAR(D203)+9)&lt;YEAR(E203),0,IF((YEAR(D203)+9)&gt;=YEAR(E203)+N203,0,IF((YEAR(D203)+9)=YEAR(E203),(12-MONTH(E203)+1)/12,1))))))))&gt;0,(((K203)*(IF(M203="",L203,IFERROR(IF(INDEX(Variablen!$I:$AT, MATCH(M203, Variablen!$A:$A, 0), MATCH((YEAR(D203)+9), Variablen!$I$3:$AT$3, 0))="",L203,INDEX(Variablen!$I:$AT, MATCH(M203, Variablen!$A:$A, 0), MATCH((YEAR(D203)+9), Variablen!$I$3:$AT$3, 0))),L203)))*(IF((YEAR(D203)+9)&lt;YEAR(E203),0,IF((YEAR(D203)+9)&gt;YEAR(E203),1,(12-MONTH(E203)+1)/12))) + (Q203)*(IF((YEAR(D203)+9)&lt;YEAR(E203),0,IF((YEAR(D203)+9)&gt;YEAR(E203),1,(12-MONTH(E203)+1)/12))))-((P203)*(IF((YEAR(D203)+9)&lt;YEAR(E203),0,IF((YEAR(D203)+9)&gt;YEAR(E203),1,(12-MONTH(E203)+1)/12))) + (R203)*(IF((YEAR(D203)+9)&lt;YEAR(E203),0,IF((YEAR(D203)+9)&gt;YEAR(E203),1,(12-MONTH(E203)+1)/12))))-(IF(OR(N203="",N203&lt;=0),0,(O203/N203)*(IF(OR(N203="",N203&lt;=0),0,IF((YEAR(D203)+9)&lt;YEAR(E203),0,IF((YEAR(D203)+9)&gt;=YEAR(E203)+N203,0,IF((YEAR(D203)+9)=YEAR(E203),(12-MONTH(E203)+1)/12,1))))))))*TaxRate,0))-IF(9=0,O203,0))</f>
        <v/>
      </c>
      <c r="AC203" s="29">
        <f>IF(A203="","",((K203)*(IF(M203="",L203,IFERROR(IF(INDEX(Variablen!$I:$AT, MATCH(M203, Variablen!$A:$A, 0), MATCH((YEAR(D203)+10), Variablen!$I$3:$AT$3, 0))="",L203,INDEX(Variablen!$I:$AT, MATCH(M203, Variablen!$A:$A, 0), MATCH((YEAR(D203)+10), Variablen!$I$3:$AT$3, 0))),L203)))*(IF((YEAR(D203)+10)&lt;YEAR(E203),0,IF((YEAR(D203)+10)&gt;YEAR(E203),1,(12-MONTH(E203)+1)/12))) + (Q203)*(IF((YEAR(D203)+10)&lt;YEAR(E203),0,IF((YEAR(D203)+10)&gt;YEAR(E203),1,(12-MONTH(E203)+1)/12))))-((P203)*(IF((YEAR(D203)+10)&lt;YEAR(E203),0,IF((YEAR(D203)+10)&gt;YEAR(E203),1,(12-MONTH(E203)+1)/12))) + (R203)*(IF((YEAR(D203)+10)&lt;YEAR(E203),0,IF((YEAR(D203)+10)&gt;YEAR(E203),1,(12-MONTH(E203)+1)/12))))-(IF((((K203)*(IF(M203="",L203,IFERROR(IF(INDEX(Variablen!$I:$AT, MATCH(M203, Variablen!$A:$A, 0), MATCH((YEAR(D203)+10), Variablen!$I$3:$AT$3, 0))="",L203,INDEX(Variablen!$I:$AT, MATCH(M203, Variablen!$A:$A, 0), MATCH((YEAR(D203)+10), Variablen!$I$3:$AT$3, 0))),L203)))*(IF((YEAR(D203)+10)&lt;YEAR(E203),0,IF((YEAR(D203)+10)&gt;YEAR(E203),1,(12-MONTH(E203)+1)/12))) + (Q203)*(IF((YEAR(D203)+10)&lt;YEAR(E203),0,IF((YEAR(D203)+10)&gt;YEAR(E203),1,(12-MONTH(E203)+1)/12))))-((P203)*(IF((YEAR(D203)+10)&lt;YEAR(E203),0,IF((YEAR(D203)+10)&gt;YEAR(E203),1,(12-MONTH(E203)+1)/12))) + (R203)*(IF((YEAR(D203)+10)&lt;YEAR(E203),0,IF((YEAR(D203)+10)&gt;YEAR(E203),1,(12-MONTH(E203)+1)/12))))-(IF(OR(N203="",N203&lt;=0),0,(O203/N203)*(IF(OR(N203="",N203&lt;=0),0,IF((YEAR(D203)+10)&lt;YEAR(E203),0,IF((YEAR(D203)+10)&gt;=YEAR(E203)+N203,0,IF((YEAR(D203)+10)=YEAR(E203),(12-MONTH(E203)+1)/12,1))))))))&gt;0,(((K203)*(IF(M203="",L203,IFERROR(IF(INDEX(Variablen!$I:$AT, MATCH(M203, Variablen!$A:$A, 0), MATCH((YEAR(D203)+10), Variablen!$I$3:$AT$3, 0))="",L203,INDEX(Variablen!$I:$AT, MATCH(M203, Variablen!$A:$A, 0), MATCH((YEAR(D203)+10), Variablen!$I$3:$AT$3, 0))),L203)))*(IF((YEAR(D203)+10)&lt;YEAR(E203),0,IF((YEAR(D203)+10)&gt;YEAR(E203),1,(12-MONTH(E203)+1)/12))) + (Q203)*(IF((YEAR(D203)+10)&lt;YEAR(E203),0,IF((YEAR(D203)+10)&gt;YEAR(E203),1,(12-MONTH(E203)+1)/12))))-((P203)*(IF((YEAR(D203)+10)&lt;YEAR(E203),0,IF((YEAR(D203)+10)&gt;YEAR(E203),1,(12-MONTH(E203)+1)/12))) + (R203)*(IF((YEAR(D203)+10)&lt;YEAR(E203),0,IF((YEAR(D203)+10)&gt;YEAR(E203),1,(12-MONTH(E203)+1)/12))))-(IF(OR(N203="",N203&lt;=0),0,(O203/N203)*(IF(OR(N203="",N203&lt;=0),0,IF((YEAR(D203)+10)&lt;YEAR(E203),0,IF((YEAR(D203)+10)&gt;=YEAR(E203)+N203,0,IF((YEAR(D203)+10)=YEAR(E203),(12-MONTH(E203)+1)/12,1))))))))*TaxRate,0))-IF(10=0,O203,0))</f>
        <v/>
      </c>
      <c r="AD203" s="29">
        <f>IF(A203="","",((K203)*(IF(M203="",L203,IFERROR(IF(INDEX(Variablen!$I:$AT, MATCH(M203, Variablen!$A:$A, 0), MATCH((YEAR(D203)+11), Variablen!$I$3:$AT$3, 0))="",L203,INDEX(Variablen!$I:$AT, MATCH(M203, Variablen!$A:$A, 0), MATCH((YEAR(D203)+11), Variablen!$I$3:$AT$3, 0))),L203)))*(IF((YEAR(D203)+11)&lt;YEAR(E203),0,IF((YEAR(D203)+11)&gt;YEAR(E203),1,(12-MONTH(E203)+1)/12))) + (Q203)*(IF((YEAR(D203)+11)&lt;YEAR(E203),0,IF((YEAR(D203)+11)&gt;YEAR(E203),1,(12-MONTH(E203)+1)/12))))-((P203)*(IF((YEAR(D203)+11)&lt;YEAR(E203),0,IF((YEAR(D203)+11)&gt;YEAR(E203),1,(12-MONTH(E203)+1)/12))) + (R203)*(IF((YEAR(D203)+11)&lt;YEAR(E203),0,IF((YEAR(D203)+11)&gt;YEAR(E203),1,(12-MONTH(E203)+1)/12))))-(IF((((K203)*(IF(M203="",L203,IFERROR(IF(INDEX(Variablen!$I:$AT, MATCH(M203, Variablen!$A:$A, 0), MATCH((YEAR(D203)+11), Variablen!$I$3:$AT$3, 0))="",L203,INDEX(Variablen!$I:$AT, MATCH(M203, Variablen!$A:$A, 0), MATCH((YEAR(D203)+11), Variablen!$I$3:$AT$3, 0))),L203)))*(IF((YEAR(D203)+11)&lt;YEAR(E203),0,IF((YEAR(D203)+11)&gt;YEAR(E203),1,(12-MONTH(E203)+1)/12))) + (Q203)*(IF((YEAR(D203)+11)&lt;YEAR(E203),0,IF((YEAR(D203)+11)&gt;YEAR(E203),1,(12-MONTH(E203)+1)/12))))-((P203)*(IF((YEAR(D203)+11)&lt;YEAR(E203),0,IF((YEAR(D203)+11)&gt;YEAR(E203),1,(12-MONTH(E203)+1)/12))) + (R203)*(IF((YEAR(D203)+11)&lt;YEAR(E203),0,IF((YEAR(D203)+11)&gt;YEAR(E203),1,(12-MONTH(E203)+1)/12))))-(IF(OR(N203="",N203&lt;=0),0,(O203/N203)*(IF(OR(N203="",N203&lt;=0),0,IF((YEAR(D203)+11)&lt;YEAR(E203),0,IF((YEAR(D203)+11)&gt;=YEAR(E203)+N203,0,IF((YEAR(D203)+11)=YEAR(E203),(12-MONTH(E203)+1)/12,1))))))))&gt;0,(((K203)*(IF(M203="",L203,IFERROR(IF(INDEX(Variablen!$I:$AT, MATCH(M203, Variablen!$A:$A, 0), MATCH((YEAR(D203)+11), Variablen!$I$3:$AT$3, 0))="",L203,INDEX(Variablen!$I:$AT, MATCH(M203, Variablen!$A:$A, 0), MATCH((YEAR(D203)+11), Variablen!$I$3:$AT$3, 0))),L203)))*(IF((YEAR(D203)+11)&lt;YEAR(E203),0,IF((YEAR(D203)+11)&gt;YEAR(E203),1,(12-MONTH(E203)+1)/12))) + (Q203)*(IF((YEAR(D203)+11)&lt;YEAR(E203),0,IF((YEAR(D203)+11)&gt;YEAR(E203),1,(12-MONTH(E203)+1)/12))))-((P203)*(IF((YEAR(D203)+11)&lt;YEAR(E203),0,IF((YEAR(D203)+11)&gt;YEAR(E203),1,(12-MONTH(E203)+1)/12))) + (R203)*(IF((YEAR(D203)+11)&lt;YEAR(E203),0,IF((YEAR(D203)+11)&gt;YEAR(E203),1,(12-MONTH(E203)+1)/12))))-(IF(OR(N203="",N203&lt;=0),0,(O203/N203)*(IF(OR(N203="",N203&lt;=0),0,IF((YEAR(D203)+11)&lt;YEAR(E203),0,IF((YEAR(D203)+11)&gt;=YEAR(E203)+N203,0,IF((YEAR(D203)+11)=YEAR(E203),(12-MONTH(E203)+1)/12,1))))))))*TaxRate,0))-IF(11=0,O203,0))</f>
        <v/>
      </c>
      <c r="AE203" s="29">
        <f>IF(A203="","",((K203)*(IF(M203="",L203,IFERROR(IF(INDEX(Variablen!$I:$AT, MATCH(M203, Variablen!$A:$A, 0), MATCH((YEAR(D203)+12), Variablen!$I$3:$AT$3, 0))="",L203,INDEX(Variablen!$I:$AT, MATCH(M203, Variablen!$A:$A, 0), MATCH((YEAR(D203)+12), Variablen!$I$3:$AT$3, 0))),L203)))*(IF((YEAR(D203)+12)&lt;YEAR(E203),0,IF((YEAR(D203)+12)&gt;YEAR(E203),1,(12-MONTH(E203)+1)/12))) + (Q203)*(IF((YEAR(D203)+12)&lt;YEAR(E203),0,IF((YEAR(D203)+12)&gt;YEAR(E203),1,(12-MONTH(E203)+1)/12))))-((P203)*(IF((YEAR(D203)+12)&lt;YEAR(E203),0,IF((YEAR(D203)+12)&gt;YEAR(E203),1,(12-MONTH(E203)+1)/12))) + (R203)*(IF((YEAR(D203)+12)&lt;YEAR(E203),0,IF((YEAR(D203)+12)&gt;YEAR(E203),1,(12-MONTH(E203)+1)/12))))-(IF((((K203)*(IF(M203="",L203,IFERROR(IF(INDEX(Variablen!$I:$AT, MATCH(M203, Variablen!$A:$A, 0), MATCH((YEAR(D203)+12), Variablen!$I$3:$AT$3, 0))="",L203,INDEX(Variablen!$I:$AT, MATCH(M203, Variablen!$A:$A, 0), MATCH((YEAR(D203)+12), Variablen!$I$3:$AT$3, 0))),L203)))*(IF((YEAR(D203)+12)&lt;YEAR(E203),0,IF((YEAR(D203)+12)&gt;YEAR(E203),1,(12-MONTH(E203)+1)/12))) + (Q203)*(IF((YEAR(D203)+12)&lt;YEAR(E203),0,IF((YEAR(D203)+12)&gt;YEAR(E203),1,(12-MONTH(E203)+1)/12))))-((P203)*(IF((YEAR(D203)+12)&lt;YEAR(E203),0,IF((YEAR(D203)+12)&gt;YEAR(E203),1,(12-MONTH(E203)+1)/12))) + (R203)*(IF((YEAR(D203)+12)&lt;YEAR(E203),0,IF((YEAR(D203)+12)&gt;YEAR(E203),1,(12-MONTH(E203)+1)/12))))-(IF(OR(N203="",N203&lt;=0),0,(O203/N203)*(IF(OR(N203="",N203&lt;=0),0,IF((YEAR(D203)+12)&lt;YEAR(E203),0,IF((YEAR(D203)+12)&gt;=YEAR(E203)+N203,0,IF((YEAR(D203)+12)=YEAR(E203),(12-MONTH(E203)+1)/12,1))))))))&gt;0,(((K203)*(IF(M203="",L203,IFERROR(IF(INDEX(Variablen!$I:$AT, MATCH(M203, Variablen!$A:$A, 0), MATCH((YEAR(D203)+12), Variablen!$I$3:$AT$3, 0))="",L203,INDEX(Variablen!$I:$AT, MATCH(M203, Variablen!$A:$A, 0), MATCH((YEAR(D203)+12), Variablen!$I$3:$AT$3, 0))),L203)))*(IF((YEAR(D203)+12)&lt;YEAR(E203),0,IF((YEAR(D203)+12)&gt;YEAR(E203),1,(12-MONTH(E203)+1)/12))) + (Q203)*(IF((YEAR(D203)+12)&lt;YEAR(E203),0,IF((YEAR(D203)+12)&gt;YEAR(E203),1,(12-MONTH(E203)+1)/12))))-((P203)*(IF((YEAR(D203)+12)&lt;YEAR(E203),0,IF((YEAR(D203)+12)&gt;YEAR(E203),1,(12-MONTH(E203)+1)/12))) + (R203)*(IF((YEAR(D203)+12)&lt;YEAR(E203),0,IF((YEAR(D203)+12)&gt;YEAR(E203),1,(12-MONTH(E203)+1)/12))))-(IF(OR(N203="",N203&lt;=0),0,(O203/N203)*(IF(OR(N203="",N203&lt;=0),0,IF((YEAR(D203)+12)&lt;YEAR(E203),0,IF((YEAR(D203)+12)&gt;=YEAR(E203)+N203,0,IF((YEAR(D203)+12)=YEAR(E203),(12-MONTH(E203)+1)/12,1))))))))*TaxRate,0))-IF(12=0,O203,0))</f>
        <v/>
      </c>
      <c r="AF203" s="29">
        <f>IF(A203="","",((K203)*(IF(M203="",L203,IFERROR(IF(INDEX(Variablen!$I:$AT, MATCH(M203, Variablen!$A:$A, 0), MATCH((YEAR(D203)+13), Variablen!$I$3:$AT$3, 0))="",L203,INDEX(Variablen!$I:$AT, MATCH(M203, Variablen!$A:$A, 0), MATCH((YEAR(D203)+13), Variablen!$I$3:$AT$3, 0))),L203)))*(IF((YEAR(D203)+13)&lt;YEAR(E203),0,IF((YEAR(D203)+13)&gt;YEAR(E203),1,(12-MONTH(E203)+1)/12))) + (Q203)*(IF((YEAR(D203)+13)&lt;YEAR(E203),0,IF((YEAR(D203)+13)&gt;YEAR(E203),1,(12-MONTH(E203)+1)/12))))-((P203)*(IF((YEAR(D203)+13)&lt;YEAR(E203),0,IF((YEAR(D203)+13)&gt;YEAR(E203),1,(12-MONTH(E203)+1)/12))) + (R203)*(IF((YEAR(D203)+13)&lt;YEAR(E203),0,IF((YEAR(D203)+13)&gt;YEAR(E203),1,(12-MONTH(E203)+1)/12))))-(IF((((K203)*(IF(M203="",L203,IFERROR(IF(INDEX(Variablen!$I:$AT, MATCH(M203, Variablen!$A:$A, 0), MATCH((YEAR(D203)+13), Variablen!$I$3:$AT$3, 0))="",L203,INDEX(Variablen!$I:$AT, MATCH(M203, Variablen!$A:$A, 0), MATCH((YEAR(D203)+13), Variablen!$I$3:$AT$3, 0))),L203)))*(IF((YEAR(D203)+13)&lt;YEAR(E203),0,IF((YEAR(D203)+13)&gt;YEAR(E203),1,(12-MONTH(E203)+1)/12))) + (Q203)*(IF((YEAR(D203)+13)&lt;YEAR(E203),0,IF((YEAR(D203)+13)&gt;YEAR(E203),1,(12-MONTH(E203)+1)/12))))-((P203)*(IF((YEAR(D203)+13)&lt;YEAR(E203),0,IF((YEAR(D203)+13)&gt;YEAR(E203),1,(12-MONTH(E203)+1)/12))) + (R203)*(IF((YEAR(D203)+13)&lt;YEAR(E203),0,IF((YEAR(D203)+13)&gt;YEAR(E203),1,(12-MONTH(E203)+1)/12))))-(IF(OR(N203="",N203&lt;=0),0,(O203/N203)*(IF(OR(N203="",N203&lt;=0),0,IF((YEAR(D203)+13)&lt;YEAR(E203),0,IF((YEAR(D203)+13)&gt;=YEAR(E203)+N203,0,IF((YEAR(D203)+13)=YEAR(E203),(12-MONTH(E203)+1)/12,1))))))))&gt;0,(((K203)*(IF(M203="",L203,IFERROR(IF(INDEX(Variablen!$I:$AT, MATCH(M203, Variablen!$A:$A, 0), MATCH((YEAR(D203)+13), Variablen!$I$3:$AT$3, 0))="",L203,INDEX(Variablen!$I:$AT, MATCH(M203, Variablen!$A:$A, 0), MATCH((YEAR(D203)+13), Variablen!$I$3:$AT$3, 0))),L203)))*(IF((YEAR(D203)+13)&lt;YEAR(E203),0,IF((YEAR(D203)+13)&gt;YEAR(E203),1,(12-MONTH(E203)+1)/12))) + (Q203)*(IF((YEAR(D203)+13)&lt;YEAR(E203),0,IF((YEAR(D203)+13)&gt;YEAR(E203),1,(12-MONTH(E203)+1)/12))))-((P203)*(IF((YEAR(D203)+13)&lt;YEAR(E203),0,IF((YEAR(D203)+13)&gt;YEAR(E203),1,(12-MONTH(E203)+1)/12))) + (R203)*(IF((YEAR(D203)+13)&lt;YEAR(E203),0,IF((YEAR(D203)+13)&gt;YEAR(E203),1,(12-MONTH(E203)+1)/12))))-(IF(OR(N203="",N203&lt;=0),0,(O203/N203)*(IF(OR(N203="",N203&lt;=0),0,IF((YEAR(D203)+13)&lt;YEAR(E203),0,IF((YEAR(D203)+13)&gt;=YEAR(E203)+N203,0,IF((YEAR(D203)+13)=YEAR(E203),(12-MONTH(E203)+1)/12,1))))))))*TaxRate,0))-IF(13=0,O203,0))</f>
        <v/>
      </c>
      <c r="AG203" s="29">
        <f>IF(A203="","",((K203)*(IF(M203="",L203,IFERROR(IF(INDEX(Variablen!$I:$AT, MATCH(M203, Variablen!$A:$A, 0), MATCH((YEAR(D203)+14), Variablen!$I$3:$AT$3, 0))="",L203,INDEX(Variablen!$I:$AT, MATCH(M203, Variablen!$A:$A, 0), MATCH((YEAR(D203)+14), Variablen!$I$3:$AT$3, 0))),L203)))*(IF((YEAR(D203)+14)&lt;YEAR(E203),0,IF((YEAR(D203)+14)&gt;YEAR(E203),1,(12-MONTH(E203)+1)/12))) + (Q203)*(IF((YEAR(D203)+14)&lt;YEAR(E203),0,IF((YEAR(D203)+14)&gt;YEAR(E203),1,(12-MONTH(E203)+1)/12))))-((P203)*(IF((YEAR(D203)+14)&lt;YEAR(E203),0,IF((YEAR(D203)+14)&gt;YEAR(E203),1,(12-MONTH(E203)+1)/12))) + (R203)*(IF((YEAR(D203)+14)&lt;YEAR(E203),0,IF((YEAR(D203)+14)&gt;YEAR(E203),1,(12-MONTH(E203)+1)/12))))-(IF((((K203)*(IF(M203="",L203,IFERROR(IF(INDEX(Variablen!$I:$AT, MATCH(M203, Variablen!$A:$A, 0), MATCH((YEAR(D203)+14), Variablen!$I$3:$AT$3, 0))="",L203,INDEX(Variablen!$I:$AT, MATCH(M203, Variablen!$A:$A, 0), MATCH((YEAR(D203)+14), Variablen!$I$3:$AT$3, 0))),L203)))*(IF((YEAR(D203)+14)&lt;YEAR(E203),0,IF((YEAR(D203)+14)&gt;YEAR(E203),1,(12-MONTH(E203)+1)/12))) + (Q203)*(IF((YEAR(D203)+14)&lt;YEAR(E203),0,IF((YEAR(D203)+14)&gt;YEAR(E203),1,(12-MONTH(E203)+1)/12))))-((P203)*(IF((YEAR(D203)+14)&lt;YEAR(E203),0,IF((YEAR(D203)+14)&gt;YEAR(E203),1,(12-MONTH(E203)+1)/12))) + (R203)*(IF((YEAR(D203)+14)&lt;YEAR(E203),0,IF((YEAR(D203)+14)&gt;YEAR(E203),1,(12-MONTH(E203)+1)/12))))-(IF(OR(N203="",N203&lt;=0),0,(O203/N203)*(IF(OR(N203="",N203&lt;=0),0,IF((YEAR(D203)+14)&lt;YEAR(E203),0,IF((YEAR(D203)+14)&gt;=YEAR(E203)+N203,0,IF((YEAR(D203)+14)=YEAR(E203),(12-MONTH(E203)+1)/12,1))))))))&gt;0,(((K203)*(IF(M203="",L203,IFERROR(IF(INDEX(Variablen!$I:$AT, MATCH(M203, Variablen!$A:$A, 0), MATCH((YEAR(D203)+14), Variablen!$I$3:$AT$3, 0))="",L203,INDEX(Variablen!$I:$AT, MATCH(M203, Variablen!$A:$A, 0), MATCH((YEAR(D203)+14), Variablen!$I$3:$AT$3, 0))),L203)))*(IF((YEAR(D203)+14)&lt;YEAR(E203),0,IF((YEAR(D203)+14)&gt;YEAR(E203),1,(12-MONTH(E203)+1)/12))) + (Q203)*(IF((YEAR(D203)+14)&lt;YEAR(E203),0,IF((YEAR(D203)+14)&gt;YEAR(E203),1,(12-MONTH(E203)+1)/12))))-((P203)*(IF((YEAR(D203)+14)&lt;YEAR(E203),0,IF((YEAR(D203)+14)&gt;YEAR(E203),1,(12-MONTH(E203)+1)/12))) + (R203)*(IF((YEAR(D203)+14)&lt;YEAR(E203),0,IF((YEAR(D203)+14)&gt;YEAR(E203),1,(12-MONTH(E203)+1)/12))))-(IF(OR(N203="",N203&lt;=0),0,(O203/N203)*(IF(OR(N203="",N203&lt;=0),0,IF((YEAR(D203)+14)&lt;YEAR(E203),0,IF((YEAR(D203)+14)&gt;=YEAR(E203)+N203,0,IF((YEAR(D203)+14)=YEAR(E203),(12-MONTH(E203)+1)/12,1))))))))*TaxRate,0))-IF(14=0,O203,0))</f>
        <v/>
      </c>
      <c r="AH203" s="29">
        <f>IF(A203="","",((K203)*(IF(M203="",L203,IFERROR(IF(INDEX(Variablen!$I:$AT, MATCH(M203, Variablen!$A:$A, 0), MATCH((YEAR(D203)+15), Variablen!$I$3:$AT$3, 0))="",L203,INDEX(Variablen!$I:$AT, MATCH(M203, Variablen!$A:$A, 0), MATCH((YEAR(D203)+15), Variablen!$I$3:$AT$3, 0))),L203)))*(IF((YEAR(D203)+15)&lt;YEAR(E203),0,IF((YEAR(D203)+15)&gt;YEAR(E203),1,(12-MONTH(E203)+1)/12))) + (Q203)*(IF((YEAR(D203)+15)&lt;YEAR(E203),0,IF((YEAR(D203)+15)&gt;YEAR(E203),1,(12-MONTH(E203)+1)/12))))-((P203)*(IF((YEAR(D203)+15)&lt;YEAR(E203),0,IF((YEAR(D203)+15)&gt;YEAR(E203),1,(12-MONTH(E203)+1)/12))) + (R203)*(IF((YEAR(D203)+15)&lt;YEAR(E203),0,IF((YEAR(D203)+15)&gt;YEAR(E203),1,(12-MONTH(E203)+1)/12))))-(IF((((K203)*(IF(M203="",L203,IFERROR(IF(INDEX(Variablen!$I:$AT, MATCH(M203, Variablen!$A:$A, 0), MATCH((YEAR(D203)+15), Variablen!$I$3:$AT$3, 0))="",L203,INDEX(Variablen!$I:$AT, MATCH(M203, Variablen!$A:$A, 0), MATCH((YEAR(D203)+15), Variablen!$I$3:$AT$3, 0))),L203)))*(IF((YEAR(D203)+15)&lt;YEAR(E203),0,IF((YEAR(D203)+15)&gt;YEAR(E203),1,(12-MONTH(E203)+1)/12))) + (Q203)*(IF((YEAR(D203)+15)&lt;YEAR(E203),0,IF((YEAR(D203)+15)&gt;YEAR(E203),1,(12-MONTH(E203)+1)/12))))-((P203)*(IF((YEAR(D203)+15)&lt;YEAR(E203),0,IF((YEAR(D203)+15)&gt;YEAR(E203),1,(12-MONTH(E203)+1)/12))) + (R203)*(IF((YEAR(D203)+15)&lt;YEAR(E203),0,IF((YEAR(D203)+15)&gt;YEAR(E203),1,(12-MONTH(E203)+1)/12))))-(IF(OR(N203="",N203&lt;=0),0,(O203/N203)*(IF(OR(N203="",N203&lt;=0),0,IF((YEAR(D203)+15)&lt;YEAR(E203),0,IF((YEAR(D203)+15)&gt;=YEAR(E203)+N203,0,IF((YEAR(D203)+15)=YEAR(E203),(12-MONTH(E203)+1)/12,1))))))))&gt;0,(((K203)*(IF(M203="",L203,IFERROR(IF(INDEX(Variablen!$I:$AT, MATCH(M203, Variablen!$A:$A, 0), MATCH((YEAR(D203)+15), Variablen!$I$3:$AT$3, 0))="",L203,INDEX(Variablen!$I:$AT, MATCH(M203, Variablen!$A:$A, 0), MATCH((YEAR(D203)+15), Variablen!$I$3:$AT$3, 0))),L203)))*(IF((YEAR(D203)+15)&lt;YEAR(E203),0,IF((YEAR(D203)+15)&gt;YEAR(E203),1,(12-MONTH(E203)+1)/12))) + (Q203)*(IF((YEAR(D203)+15)&lt;YEAR(E203),0,IF((YEAR(D203)+15)&gt;YEAR(E203),1,(12-MONTH(E203)+1)/12))))-((P203)*(IF((YEAR(D203)+15)&lt;YEAR(E203),0,IF((YEAR(D203)+15)&gt;YEAR(E203),1,(12-MONTH(E203)+1)/12))) + (R203)*(IF((YEAR(D203)+15)&lt;YEAR(E203),0,IF((YEAR(D203)+15)&gt;YEAR(E203),1,(12-MONTH(E203)+1)/12))))-(IF(OR(N203="",N203&lt;=0),0,(O203/N203)*(IF(OR(N203="",N203&lt;=0),0,IF((YEAR(D203)+15)&lt;YEAR(E203),0,IF((YEAR(D203)+15)&gt;=YEAR(E203)+N203,0,IF((YEAR(D203)+15)=YEAR(E203),(12-MONTH(E203)+1)/12,1))))))))*TaxRate,0))-IF(15=0,O203,0))</f>
        <v/>
      </c>
      <c r="AI203" s="29">
        <f>IF(A203="","",((K203)*(IF(M203="",L203,IFERROR(IF(INDEX(Variablen!$I:$AT, MATCH(M203, Variablen!$A:$A, 0), MATCH((YEAR(D203)+16), Variablen!$I$3:$AT$3, 0))="",L203,INDEX(Variablen!$I:$AT, MATCH(M203, Variablen!$A:$A, 0), MATCH((YEAR(D203)+16), Variablen!$I$3:$AT$3, 0))),L203)))*(IF((YEAR(D203)+16)&lt;YEAR(E203),0,IF((YEAR(D203)+16)&gt;YEAR(E203),1,(12-MONTH(E203)+1)/12))) + (Q203)*(IF((YEAR(D203)+16)&lt;YEAR(E203),0,IF((YEAR(D203)+16)&gt;YEAR(E203),1,(12-MONTH(E203)+1)/12))))-((P203)*(IF((YEAR(D203)+16)&lt;YEAR(E203),0,IF((YEAR(D203)+16)&gt;YEAR(E203),1,(12-MONTH(E203)+1)/12))) + (R203)*(IF((YEAR(D203)+16)&lt;YEAR(E203),0,IF((YEAR(D203)+16)&gt;YEAR(E203),1,(12-MONTH(E203)+1)/12))))-(IF((((K203)*(IF(M203="",L203,IFERROR(IF(INDEX(Variablen!$I:$AT, MATCH(M203, Variablen!$A:$A, 0), MATCH((YEAR(D203)+16), Variablen!$I$3:$AT$3, 0))="",L203,INDEX(Variablen!$I:$AT, MATCH(M203, Variablen!$A:$A, 0), MATCH((YEAR(D203)+16), Variablen!$I$3:$AT$3, 0))),L203)))*(IF((YEAR(D203)+16)&lt;YEAR(E203),0,IF((YEAR(D203)+16)&gt;YEAR(E203),1,(12-MONTH(E203)+1)/12))) + (Q203)*(IF((YEAR(D203)+16)&lt;YEAR(E203),0,IF((YEAR(D203)+16)&gt;YEAR(E203),1,(12-MONTH(E203)+1)/12))))-((P203)*(IF((YEAR(D203)+16)&lt;YEAR(E203),0,IF((YEAR(D203)+16)&gt;YEAR(E203),1,(12-MONTH(E203)+1)/12))) + (R203)*(IF((YEAR(D203)+16)&lt;YEAR(E203),0,IF((YEAR(D203)+16)&gt;YEAR(E203),1,(12-MONTH(E203)+1)/12))))-(IF(OR(N203="",N203&lt;=0),0,(O203/N203)*(IF(OR(N203="",N203&lt;=0),0,IF((YEAR(D203)+16)&lt;YEAR(E203),0,IF((YEAR(D203)+16)&gt;=YEAR(E203)+N203,0,IF((YEAR(D203)+16)=YEAR(E203),(12-MONTH(E203)+1)/12,1))))))))&gt;0,(((K203)*(IF(M203="",L203,IFERROR(IF(INDEX(Variablen!$I:$AT, MATCH(M203, Variablen!$A:$A, 0), MATCH((YEAR(D203)+16), Variablen!$I$3:$AT$3, 0))="",L203,INDEX(Variablen!$I:$AT, MATCH(M203, Variablen!$A:$A, 0), MATCH((YEAR(D203)+16), Variablen!$I$3:$AT$3, 0))),L203)))*(IF((YEAR(D203)+16)&lt;YEAR(E203),0,IF((YEAR(D203)+16)&gt;YEAR(E203),1,(12-MONTH(E203)+1)/12))) + (Q203)*(IF((YEAR(D203)+16)&lt;YEAR(E203),0,IF((YEAR(D203)+16)&gt;YEAR(E203),1,(12-MONTH(E203)+1)/12))))-((P203)*(IF((YEAR(D203)+16)&lt;YEAR(E203),0,IF((YEAR(D203)+16)&gt;YEAR(E203),1,(12-MONTH(E203)+1)/12))) + (R203)*(IF((YEAR(D203)+16)&lt;YEAR(E203),0,IF((YEAR(D203)+16)&gt;YEAR(E203),1,(12-MONTH(E203)+1)/12))))-(IF(OR(N203="",N203&lt;=0),0,(O203/N203)*(IF(OR(N203="",N203&lt;=0),0,IF((YEAR(D203)+16)&lt;YEAR(E203),0,IF((YEAR(D203)+16)&gt;=YEAR(E203)+N203,0,IF((YEAR(D203)+16)=YEAR(E203),(12-MONTH(E203)+1)/12,1))))))))*TaxRate,0))-IF(16=0,O203,0))</f>
        <v/>
      </c>
      <c r="AJ203" s="29">
        <f>IF(A203="","",((K203)*(IF(M203="",L203,IFERROR(IF(INDEX(Variablen!$I:$AT, MATCH(M203, Variablen!$A:$A, 0), MATCH((YEAR(D203)+17), Variablen!$I$3:$AT$3, 0))="",L203,INDEX(Variablen!$I:$AT, MATCH(M203, Variablen!$A:$A, 0), MATCH((YEAR(D203)+17), Variablen!$I$3:$AT$3, 0))),L203)))*(IF((YEAR(D203)+17)&lt;YEAR(E203),0,IF((YEAR(D203)+17)&gt;YEAR(E203),1,(12-MONTH(E203)+1)/12))) + (Q203)*(IF((YEAR(D203)+17)&lt;YEAR(E203),0,IF((YEAR(D203)+17)&gt;YEAR(E203),1,(12-MONTH(E203)+1)/12))))-((P203)*(IF((YEAR(D203)+17)&lt;YEAR(E203),0,IF((YEAR(D203)+17)&gt;YEAR(E203),1,(12-MONTH(E203)+1)/12))) + (R203)*(IF((YEAR(D203)+17)&lt;YEAR(E203),0,IF((YEAR(D203)+17)&gt;YEAR(E203),1,(12-MONTH(E203)+1)/12))))-(IF((((K203)*(IF(M203="",L203,IFERROR(IF(INDEX(Variablen!$I:$AT, MATCH(M203, Variablen!$A:$A, 0), MATCH((YEAR(D203)+17), Variablen!$I$3:$AT$3, 0))="",L203,INDEX(Variablen!$I:$AT, MATCH(M203, Variablen!$A:$A, 0), MATCH((YEAR(D203)+17), Variablen!$I$3:$AT$3, 0))),L203)))*(IF((YEAR(D203)+17)&lt;YEAR(E203),0,IF((YEAR(D203)+17)&gt;YEAR(E203),1,(12-MONTH(E203)+1)/12))) + (Q203)*(IF((YEAR(D203)+17)&lt;YEAR(E203),0,IF((YEAR(D203)+17)&gt;YEAR(E203),1,(12-MONTH(E203)+1)/12))))-((P203)*(IF((YEAR(D203)+17)&lt;YEAR(E203),0,IF((YEAR(D203)+17)&gt;YEAR(E203),1,(12-MONTH(E203)+1)/12))) + (R203)*(IF((YEAR(D203)+17)&lt;YEAR(E203),0,IF((YEAR(D203)+17)&gt;YEAR(E203),1,(12-MONTH(E203)+1)/12))))-(IF(OR(N203="",N203&lt;=0),0,(O203/N203)*(IF(OR(N203="",N203&lt;=0),0,IF((YEAR(D203)+17)&lt;YEAR(E203),0,IF((YEAR(D203)+17)&gt;=YEAR(E203)+N203,0,IF((YEAR(D203)+17)=YEAR(E203),(12-MONTH(E203)+1)/12,1))))))))&gt;0,(((K203)*(IF(M203="",L203,IFERROR(IF(INDEX(Variablen!$I:$AT, MATCH(M203, Variablen!$A:$A, 0), MATCH((YEAR(D203)+17), Variablen!$I$3:$AT$3, 0))="",L203,INDEX(Variablen!$I:$AT, MATCH(M203, Variablen!$A:$A, 0), MATCH((YEAR(D203)+17), Variablen!$I$3:$AT$3, 0))),L203)))*(IF((YEAR(D203)+17)&lt;YEAR(E203),0,IF((YEAR(D203)+17)&gt;YEAR(E203),1,(12-MONTH(E203)+1)/12))) + (Q203)*(IF((YEAR(D203)+17)&lt;YEAR(E203),0,IF((YEAR(D203)+17)&gt;YEAR(E203),1,(12-MONTH(E203)+1)/12))))-((P203)*(IF((YEAR(D203)+17)&lt;YEAR(E203),0,IF((YEAR(D203)+17)&gt;YEAR(E203),1,(12-MONTH(E203)+1)/12))) + (R203)*(IF((YEAR(D203)+17)&lt;YEAR(E203),0,IF((YEAR(D203)+17)&gt;YEAR(E203),1,(12-MONTH(E203)+1)/12))))-(IF(OR(N203="",N203&lt;=0),0,(O203/N203)*(IF(OR(N203="",N203&lt;=0),0,IF((YEAR(D203)+17)&lt;YEAR(E203),0,IF((YEAR(D203)+17)&gt;=YEAR(E203)+N203,0,IF((YEAR(D203)+17)=YEAR(E203),(12-MONTH(E203)+1)/12,1))))))))*TaxRate,0))-IF(17=0,O203,0))</f>
        <v/>
      </c>
      <c r="AK203" s="29">
        <f>IF(A203="","",((K203)*(IF(M203="",L203,IFERROR(IF(INDEX(Variablen!$I:$AT, MATCH(M203, Variablen!$A:$A, 0), MATCH((YEAR(D203)+18), Variablen!$I$3:$AT$3, 0))="",L203,INDEX(Variablen!$I:$AT, MATCH(M203, Variablen!$A:$A, 0), MATCH((YEAR(D203)+18), Variablen!$I$3:$AT$3, 0))),L203)))*(IF((YEAR(D203)+18)&lt;YEAR(E203),0,IF((YEAR(D203)+18)&gt;YEAR(E203),1,(12-MONTH(E203)+1)/12))) + (Q203)*(IF((YEAR(D203)+18)&lt;YEAR(E203),0,IF((YEAR(D203)+18)&gt;YEAR(E203),1,(12-MONTH(E203)+1)/12))))-((P203)*(IF((YEAR(D203)+18)&lt;YEAR(E203),0,IF((YEAR(D203)+18)&gt;YEAR(E203),1,(12-MONTH(E203)+1)/12))) + (R203)*(IF((YEAR(D203)+18)&lt;YEAR(E203),0,IF((YEAR(D203)+18)&gt;YEAR(E203),1,(12-MONTH(E203)+1)/12))))-(IF((((K203)*(IF(M203="",L203,IFERROR(IF(INDEX(Variablen!$I:$AT, MATCH(M203, Variablen!$A:$A, 0), MATCH((YEAR(D203)+18), Variablen!$I$3:$AT$3, 0))="",L203,INDEX(Variablen!$I:$AT, MATCH(M203, Variablen!$A:$A, 0), MATCH((YEAR(D203)+18), Variablen!$I$3:$AT$3, 0))),L203)))*(IF((YEAR(D203)+18)&lt;YEAR(E203),0,IF((YEAR(D203)+18)&gt;YEAR(E203),1,(12-MONTH(E203)+1)/12))) + (Q203)*(IF((YEAR(D203)+18)&lt;YEAR(E203),0,IF((YEAR(D203)+18)&gt;YEAR(E203),1,(12-MONTH(E203)+1)/12))))-((P203)*(IF((YEAR(D203)+18)&lt;YEAR(E203),0,IF((YEAR(D203)+18)&gt;YEAR(E203),1,(12-MONTH(E203)+1)/12))) + (R203)*(IF((YEAR(D203)+18)&lt;YEAR(E203),0,IF((YEAR(D203)+18)&gt;YEAR(E203),1,(12-MONTH(E203)+1)/12))))-(IF(OR(N203="",N203&lt;=0),0,(O203/N203)*(IF(OR(N203="",N203&lt;=0),0,IF((YEAR(D203)+18)&lt;YEAR(E203),0,IF((YEAR(D203)+18)&gt;=YEAR(E203)+N203,0,IF((YEAR(D203)+18)=YEAR(E203),(12-MONTH(E203)+1)/12,1))))))))&gt;0,(((K203)*(IF(M203="",L203,IFERROR(IF(INDEX(Variablen!$I:$AT, MATCH(M203, Variablen!$A:$A, 0), MATCH((YEAR(D203)+18), Variablen!$I$3:$AT$3, 0))="",L203,INDEX(Variablen!$I:$AT, MATCH(M203, Variablen!$A:$A, 0), MATCH((YEAR(D203)+18), Variablen!$I$3:$AT$3, 0))),L203)))*(IF((YEAR(D203)+18)&lt;YEAR(E203),0,IF((YEAR(D203)+18)&gt;YEAR(E203),1,(12-MONTH(E203)+1)/12))) + (Q203)*(IF((YEAR(D203)+18)&lt;YEAR(E203),0,IF((YEAR(D203)+18)&gt;YEAR(E203),1,(12-MONTH(E203)+1)/12))))-((P203)*(IF((YEAR(D203)+18)&lt;YEAR(E203),0,IF((YEAR(D203)+18)&gt;YEAR(E203),1,(12-MONTH(E203)+1)/12))) + (R203)*(IF((YEAR(D203)+18)&lt;YEAR(E203),0,IF((YEAR(D203)+18)&gt;YEAR(E203),1,(12-MONTH(E203)+1)/12))))-(IF(OR(N203="",N203&lt;=0),0,(O203/N203)*(IF(OR(N203="",N203&lt;=0),0,IF((YEAR(D203)+18)&lt;YEAR(E203),0,IF((YEAR(D203)+18)&gt;=YEAR(E203)+N203,0,IF((YEAR(D203)+18)=YEAR(E203),(12-MONTH(E203)+1)/12,1))))))))*TaxRate,0))-IF(18=0,O203,0))</f>
        <v/>
      </c>
      <c r="AL203" s="29">
        <f>IF(A203="","",((K203)*(IF(M203="",L203,IFERROR(IF(INDEX(Variablen!$I:$AT, MATCH(M203, Variablen!$A:$A, 0), MATCH((YEAR(D203)+19), Variablen!$I$3:$AT$3, 0))="",L203,INDEX(Variablen!$I:$AT, MATCH(M203, Variablen!$A:$A, 0), MATCH((YEAR(D203)+19), Variablen!$I$3:$AT$3, 0))),L203)))*(IF((YEAR(D203)+19)&lt;YEAR(E203),0,IF((YEAR(D203)+19)&gt;YEAR(E203),1,(12-MONTH(E203)+1)/12))) + (Q203)*(IF((YEAR(D203)+19)&lt;YEAR(E203),0,IF((YEAR(D203)+19)&gt;YEAR(E203),1,(12-MONTH(E203)+1)/12))))-((P203)*(IF((YEAR(D203)+19)&lt;YEAR(E203),0,IF((YEAR(D203)+19)&gt;YEAR(E203),1,(12-MONTH(E203)+1)/12))) + (R203)*(IF((YEAR(D203)+19)&lt;YEAR(E203),0,IF((YEAR(D203)+19)&gt;YEAR(E203),1,(12-MONTH(E203)+1)/12))))-(IF((((K203)*(IF(M203="",L203,IFERROR(IF(INDEX(Variablen!$I:$AT, MATCH(M203, Variablen!$A:$A, 0), MATCH((YEAR(D203)+19), Variablen!$I$3:$AT$3, 0))="",L203,INDEX(Variablen!$I:$AT, MATCH(M203, Variablen!$A:$A, 0), MATCH((YEAR(D203)+19), Variablen!$I$3:$AT$3, 0))),L203)))*(IF((YEAR(D203)+19)&lt;YEAR(E203),0,IF((YEAR(D203)+19)&gt;YEAR(E203),1,(12-MONTH(E203)+1)/12))) + (Q203)*(IF((YEAR(D203)+19)&lt;YEAR(E203),0,IF((YEAR(D203)+19)&gt;YEAR(E203),1,(12-MONTH(E203)+1)/12))))-((P203)*(IF((YEAR(D203)+19)&lt;YEAR(E203),0,IF((YEAR(D203)+19)&gt;YEAR(E203),1,(12-MONTH(E203)+1)/12))) + (R203)*(IF((YEAR(D203)+19)&lt;YEAR(E203),0,IF((YEAR(D203)+19)&gt;YEAR(E203),1,(12-MONTH(E203)+1)/12))))-(IF(OR(N203="",N203&lt;=0),0,(O203/N203)*(IF(OR(N203="",N203&lt;=0),0,IF((YEAR(D203)+19)&lt;YEAR(E203),0,IF((YEAR(D203)+19)&gt;=YEAR(E203)+N203,0,IF((YEAR(D203)+19)=YEAR(E203),(12-MONTH(E203)+1)/12,1))))))))&gt;0,(((K203)*(IF(M203="",L203,IFERROR(IF(INDEX(Variablen!$I:$AT, MATCH(M203, Variablen!$A:$A, 0), MATCH((YEAR(D203)+19), Variablen!$I$3:$AT$3, 0))="",L203,INDEX(Variablen!$I:$AT, MATCH(M203, Variablen!$A:$A, 0), MATCH((YEAR(D203)+19), Variablen!$I$3:$AT$3, 0))),L203)))*(IF((YEAR(D203)+19)&lt;YEAR(E203),0,IF((YEAR(D203)+19)&gt;YEAR(E203),1,(12-MONTH(E203)+1)/12))) + (Q203)*(IF((YEAR(D203)+19)&lt;YEAR(E203),0,IF((YEAR(D203)+19)&gt;YEAR(E203),1,(12-MONTH(E203)+1)/12))))-((P203)*(IF((YEAR(D203)+19)&lt;YEAR(E203),0,IF((YEAR(D203)+19)&gt;YEAR(E203),1,(12-MONTH(E203)+1)/12))) + (R203)*(IF((YEAR(D203)+19)&lt;YEAR(E203),0,IF((YEAR(D203)+19)&gt;YEAR(E203),1,(12-MONTH(E203)+1)/12))))-(IF(OR(N203="",N203&lt;=0),0,(O203/N203)*(IF(OR(N203="",N203&lt;=0),0,IF((YEAR(D203)+19)&lt;YEAR(E203),0,IF((YEAR(D203)+19)&gt;=YEAR(E203)+N203,0,IF((YEAR(D203)+19)=YEAR(E203),(12-MONTH(E203)+1)/12,1))))))))*TaxRate,0))-IF(19=0,O203,0))</f>
        <v/>
      </c>
      <c r="AM203" s="29">
        <f>IF(A203="","",((K203)*(IF(M203="",L203,IFERROR(IF(INDEX(Variablen!$I:$AT, MATCH(M203, Variablen!$A:$A, 0), MATCH((YEAR(D203)+20), Variablen!$I$3:$AT$3, 0))="",L203,INDEX(Variablen!$I:$AT, MATCH(M203, Variablen!$A:$A, 0), MATCH((YEAR(D203)+20), Variablen!$I$3:$AT$3, 0))),L203)))*(IF((YEAR(D203)+20)&lt;YEAR(E203),0,IF((YEAR(D203)+20)&gt;YEAR(E203),1,(12-MONTH(E203)+1)/12))) + (Q203)*(IF((YEAR(D203)+20)&lt;YEAR(E203),0,IF((YEAR(D203)+20)&gt;YEAR(E203),1,(12-MONTH(E203)+1)/12))))-((P203)*(IF((YEAR(D203)+20)&lt;YEAR(E203),0,IF((YEAR(D203)+20)&gt;YEAR(E203),1,(12-MONTH(E203)+1)/12))) + (R203)*(IF((YEAR(D203)+20)&lt;YEAR(E203),0,IF((YEAR(D203)+20)&gt;YEAR(E203),1,(12-MONTH(E203)+1)/12))))-(IF((((K203)*(IF(M203="",L203,IFERROR(IF(INDEX(Variablen!$I:$AT, MATCH(M203, Variablen!$A:$A, 0), MATCH((YEAR(D203)+20), Variablen!$I$3:$AT$3, 0))="",L203,INDEX(Variablen!$I:$AT, MATCH(M203, Variablen!$A:$A, 0), MATCH((YEAR(D203)+20), Variablen!$I$3:$AT$3, 0))),L203)))*(IF((YEAR(D203)+20)&lt;YEAR(E203),0,IF((YEAR(D203)+20)&gt;YEAR(E203),1,(12-MONTH(E203)+1)/12))) + (Q203)*(IF((YEAR(D203)+20)&lt;YEAR(E203),0,IF((YEAR(D203)+20)&gt;YEAR(E203),1,(12-MONTH(E203)+1)/12))))-((P203)*(IF((YEAR(D203)+20)&lt;YEAR(E203),0,IF((YEAR(D203)+20)&gt;YEAR(E203),1,(12-MONTH(E203)+1)/12))) + (R203)*(IF((YEAR(D203)+20)&lt;YEAR(E203),0,IF((YEAR(D203)+20)&gt;YEAR(E203),1,(12-MONTH(E203)+1)/12))))-(IF(OR(N203="",N203&lt;=0),0,(O203/N203)*(IF(OR(N203="",N203&lt;=0),0,IF((YEAR(D203)+20)&lt;YEAR(E203),0,IF((YEAR(D203)+20)&gt;=YEAR(E203)+N203,0,IF((YEAR(D203)+20)=YEAR(E203),(12-MONTH(E203)+1)/12,1))))))))&gt;0,(((K203)*(IF(M203="",L203,IFERROR(IF(INDEX(Variablen!$I:$AT, MATCH(M203, Variablen!$A:$A, 0), MATCH((YEAR(D203)+20), Variablen!$I$3:$AT$3, 0))="",L203,INDEX(Variablen!$I:$AT, MATCH(M203, Variablen!$A:$A, 0), MATCH((YEAR(D203)+20), Variablen!$I$3:$AT$3, 0))),L203)))*(IF((YEAR(D203)+20)&lt;YEAR(E203),0,IF((YEAR(D203)+20)&gt;YEAR(E203),1,(12-MONTH(E203)+1)/12))) + (Q203)*(IF((YEAR(D203)+20)&lt;YEAR(E203),0,IF((YEAR(D203)+20)&gt;YEAR(E203),1,(12-MONTH(E203)+1)/12))))-((P203)*(IF((YEAR(D203)+20)&lt;YEAR(E203),0,IF((YEAR(D203)+20)&gt;YEAR(E203),1,(12-MONTH(E203)+1)/12))) + (R203)*(IF((YEAR(D203)+20)&lt;YEAR(E203),0,IF((YEAR(D203)+20)&gt;YEAR(E203),1,(12-MONTH(E203)+1)/12))))-(IF(OR(N203="",N203&lt;=0),0,(O203/N203)*(IF(OR(N203="",N203&lt;=0),0,IF((YEAR(D203)+20)&lt;YEAR(E203),0,IF((YEAR(D203)+20)&gt;=YEAR(E203)+N203,0,IF((YEAR(D203)+20)=YEAR(E203),(12-MONTH(E203)+1)/12,1))))))))*TaxRate,0))-IF(20=0,O203,0))</f>
        <v/>
      </c>
      <c r="AN203" s="29">
        <f>IF(A203="","",S203)</f>
        <v/>
      </c>
      <c r="AO203" s="29">
        <f>IF(A203="","",AN203+T203)</f>
        <v/>
      </c>
      <c r="AP203" s="29">
        <f>IF(A203="","",AO203+U203)</f>
        <v/>
      </c>
      <c r="AQ203" s="29">
        <f>IF(A203="","",AP203+V203)</f>
        <v/>
      </c>
      <c r="AR203" s="29">
        <f>IF(A203="","",AQ203+W203)</f>
        <v/>
      </c>
      <c r="AS203" s="29">
        <f>IF(A203="","",AR203+X203)</f>
        <v/>
      </c>
      <c r="AT203" s="29">
        <f>IF(A203="","",AS203+Y203)</f>
        <v/>
      </c>
      <c r="AU203" s="29">
        <f>IF(A203="","",AT203+Z203)</f>
        <v/>
      </c>
      <c r="AV203" s="29">
        <f>IF(A203="","",AU203+AA203)</f>
        <v/>
      </c>
      <c r="AW203" s="29">
        <f>IF(A203="","",AV203+AB203)</f>
        <v/>
      </c>
      <c r="AX203" s="29">
        <f>IF(A203="","",AW203+AC203)</f>
        <v/>
      </c>
      <c r="AY203" s="29">
        <f>IF(A203="","",AX203+AD203)</f>
        <v/>
      </c>
      <c r="AZ203" s="29">
        <f>IF(A203="","",AY203+AE203)</f>
        <v/>
      </c>
      <c r="BA203" s="29">
        <f>IF(A203="","",AZ203+AF203)</f>
        <v/>
      </c>
      <c r="BB203" s="29">
        <f>IF(A203="","",BA203+AG203)</f>
        <v/>
      </c>
      <c r="BC203" s="29">
        <f>IF(A203="","",BB203+AH203)</f>
        <v/>
      </c>
      <c r="BD203" s="29">
        <f>IF(A203="","",BC203+AI203)</f>
        <v/>
      </c>
      <c r="BE203" s="29">
        <f>IF(A203="","",BD203+AJ203)</f>
        <v/>
      </c>
      <c r="BF203" s="29">
        <f>IF(A203="","",BE203+AK203)</f>
        <v/>
      </c>
      <c r="BG203" s="29">
        <f>IF(A203="","",BF203+AL203)</f>
        <v/>
      </c>
      <c r="BH203" s="29">
        <f>IF(A203="","",BG203+AM203)</f>
        <v/>
      </c>
      <c r="BI203" s="36">
        <f>IF(A203="","",(K203)*(IF((YEAR(D203)+0)&lt;YEAR(E203),0,IF((YEAR(D203)+0)&gt;YEAR(E203),1,(12-MONTH(E203)+1)/12)))*(1/(1+DiscountRate)^0))</f>
        <v/>
      </c>
      <c r="BJ203" s="36">
        <f>IF(A203="","",(K203)*(IF((YEAR(D203)+1)&lt;YEAR(E203),0,IF((YEAR(D203)+1)&gt;YEAR(E203),1,(12-MONTH(E203)+1)/12)))*(1/(1+DiscountRate)^1))</f>
        <v/>
      </c>
      <c r="BK203" s="36">
        <f>IF(A203="","",(K203)*(IF((YEAR(D203)+2)&lt;YEAR(E203),0,IF((YEAR(D203)+2)&gt;YEAR(E203),1,(12-MONTH(E203)+1)/12)))*(1/(1+DiscountRate)^2))</f>
        <v/>
      </c>
      <c r="BL203" s="36">
        <f>IF(A203="","",(K203)*(IF((YEAR(D203)+3)&lt;YEAR(E203),0,IF((YEAR(D203)+3)&gt;YEAR(E203),1,(12-MONTH(E203)+1)/12)))*(1/(1+DiscountRate)^3))</f>
        <v/>
      </c>
      <c r="BM203" s="36">
        <f>IF(A203="","",(K203)*(IF((YEAR(D203)+4)&lt;YEAR(E203),0,IF((YEAR(D203)+4)&gt;YEAR(E203),1,(12-MONTH(E203)+1)/12)))*(1/(1+DiscountRate)^4))</f>
        <v/>
      </c>
      <c r="BN203" s="36">
        <f>IF(A203="","",(K203)*(IF((YEAR(D203)+5)&lt;YEAR(E203),0,IF((YEAR(D203)+5)&gt;YEAR(E203),1,(12-MONTH(E203)+1)/12)))*(1/(1+DiscountRate)^5))</f>
        <v/>
      </c>
      <c r="BO203" s="36">
        <f>IF(A203="","",(K203)*(IF((YEAR(D203)+6)&lt;YEAR(E203),0,IF((YEAR(D203)+6)&gt;YEAR(E203),1,(12-MONTH(E203)+1)/12)))*(1/(1+DiscountRate)^6))</f>
        <v/>
      </c>
      <c r="BP203" s="36">
        <f>IF(A203="","",(K203)*(IF((YEAR(D203)+7)&lt;YEAR(E203),0,IF((YEAR(D203)+7)&gt;YEAR(E203),1,(12-MONTH(E203)+1)/12)))*(1/(1+DiscountRate)^7))</f>
        <v/>
      </c>
      <c r="BQ203" s="36">
        <f>IF(A203="","",(K203)*(IF((YEAR(D203)+8)&lt;YEAR(E203),0,IF((YEAR(D203)+8)&gt;YEAR(E203),1,(12-MONTH(E203)+1)/12)))*(1/(1+DiscountRate)^8))</f>
        <v/>
      </c>
      <c r="BR203" s="36">
        <f>IF(A203="","",(K203)*(IF((YEAR(D203)+9)&lt;YEAR(E203),0,IF((YEAR(D203)+9)&gt;YEAR(E203),1,(12-MONTH(E203)+1)/12)))*(1/(1+DiscountRate)^9))</f>
        <v/>
      </c>
      <c r="BS203" s="36">
        <f>IF(A203="","",(K203)*(IF((YEAR(D203)+10)&lt;YEAR(E203),0,IF((YEAR(D203)+10)&gt;YEAR(E203),1,(12-MONTH(E203)+1)/12)))*(1/(1+DiscountRate)^10))</f>
        <v/>
      </c>
      <c r="BT203" s="36">
        <f>IF(A203="","",(K203)*(IF((YEAR(D203)+11)&lt;YEAR(E203),0,IF((YEAR(D203)+11)&gt;YEAR(E203),1,(12-MONTH(E203)+1)/12)))*(1/(1+DiscountRate)^11))</f>
        <v/>
      </c>
      <c r="BU203" s="36">
        <f>IF(A203="","",(K203)*(IF((YEAR(D203)+12)&lt;YEAR(E203),0,IF((YEAR(D203)+12)&gt;YEAR(E203),1,(12-MONTH(E203)+1)/12)))*(1/(1+DiscountRate)^12))</f>
        <v/>
      </c>
      <c r="BV203" s="36">
        <f>IF(A203="","",(K203)*(IF((YEAR(D203)+13)&lt;YEAR(E203),0,IF((YEAR(D203)+13)&gt;YEAR(E203),1,(12-MONTH(E203)+1)/12)))*(1/(1+DiscountRate)^13))</f>
        <v/>
      </c>
      <c r="BW203" s="36">
        <f>IF(A203="","",(K203)*(IF((YEAR(D203)+14)&lt;YEAR(E203),0,IF((YEAR(D203)+14)&gt;YEAR(E203),1,(12-MONTH(E203)+1)/12)))*(1/(1+DiscountRate)^14))</f>
        <v/>
      </c>
      <c r="BX203" s="36">
        <f>IF(A203="","",(K203)*(IF((YEAR(D203)+15)&lt;YEAR(E203),0,IF((YEAR(D203)+15)&gt;YEAR(E203),1,(12-MONTH(E203)+1)/12)))*(1/(1+DiscountRate)^15))</f>
        <v/>
      </c>
      <c r="BY203" s="36">
        <f>IF(A203="","",(K203)*(IF((YEAR(D203)+16)&lt;YEAR(E203),0,IF((YEAR(D203)+16)&gt;YEAR(E203),1,(12-MONTH(E203)+1)/12)))*(1/(1+DiscountRate)^16))</f>
        <v/>
      </c>
      <c r="BZ203" s="36">
        <f>IF(A203="","",(K203)*(IF((YEAR(D203)+17)&lt;YEAR(E203),0,IF((YEAR(D203)+17)&gt;YEAR(E203),1,(12-MONTH(E203)+1)/12)))*(1/(1+DiscountRate)^17))</f>
        <v/>
      </c>
      <c r="CA203" s="36">
        <f>IF(A203="","",(K203)*(IF((YEAR(D203)+18)&lt;YEAR(E203),0,IF((YEAR(D203)+18)&gt;YEAR(E203),1,(12-MONTH(E203)+1)/12)))*(1/(1+DiscountRate)^18))</f>
        <v/>
      </c>
      <c r="CB203" s="36">
        <f>IF(A203="","",(K203)*(IF((YEAR(D203)+19)&lt;YEAR(E203),0,IF((YEAR(D203)+19)&gt;YEAR(E203),1,(12-MONTH(E203)+1)/12)))*(1/(1+DiscountRate)^19))</f>
        <v/>
      </c>
      <c r="CC203" s="36">
        <f>IF(A203="","",(K203)*(IF((YEAR(D203)+20)&lt;YEAR(E203),0,IF((YEAR(D203)+20)&gt;YEAR(E203),1,(12-MONTH(E203)+1)/12)))*(1/(1+DiscountRate)^20))</f>
        <v/>
      </c>
      <c r="CD203" s="29">
        <f>IF(A203="","",S203/(1+DiscountRate)^0+T203/(1+DiscountRate)^1+U203/(1+DiscountRate)^2+V203/(1+DiscountRate)^3+W203/(1+DiscountRate)^4+X203/(1+DiscountRate)^5+Y203/(1+DiscountRate)^6+Z203/(1+DiscountRate)^7+AA203/(1+DiscountRate)^8+AB203/(1+DiscountRate)^9+AC203/(1+DiscountRate)^10+AD203/(1+DiscountRate)^11+AE203/(1+DiscountRate)^12+AF203/(1+DiscountRate)^13+AG203/(1+DiscountRate)^14+AH203/(1+DiscountRate)^15+AI203/(1+DiscountRate)^16+AJ203/(1+DiscountRate)^17+AK203/(1+DiscountRate)^18+AL203/(1+DiscountRate)^19+AM203/(1+DiscountRate)^20)</f>
        <v/>
      </c>
      <c r="CE203" s="37">
        <f>IF(A203="","",IFERROR(IRR(OFFSET(S203,0,0,1,MIN(HorizonYears,20)+1)),"n/a"))</f>
        <v/>
      </c>
      <c r="CF203" s="28">
        <f>IF(A203="","",IFERROR(MATCH(TRUE,OFFSET(AN203,0,0,1,MIN(HorizonYears,20)+1)&gt;=0,0)-1,"n/a"))</f>
        <v/>
      </c>
      <c r="CG203" s="36">
        <f>IF(A203="","",SUM(OFFSET(BI203,0,0,1,MIN(HorizonYears,20)+1)))</f>
        <v/>
      </c>
      <c r="CH203" s="36">
        <f>IF(A203="","",IFERROR(-CD203/CG203,"n/a"))</f>
        <v/>
      </c>
    </row>
  </sheetData>
  <mergeCells count="5">
    <mergeCell ref="S2:AM2"/>
    <mergeCell ref="A2:R2"/>
    <mergeCell ref="BI2:CC2"/>
    <mergeCell ref="CD2:CH2"/>
    <mergeCell ref="AN2:BH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6" customWidth="1" min="4" max="4"/>
    <col width="22" customWidth="1" min="5" max="5"/>
    <col width="20" customWidth="1" min="6" max="6"/>
    <col width="18" customWidth="1" min="7" max="7"/>
    <col width="12" customWidth="1" min="8" max="8"/>
    <col width="12" customWidth="1" min="9" max="9"/>
    <col width="14" customWidth="1" min="10" max="10"/>
    <col width="10" customWidth="1" min="11" max="11"/>
    <col width="10" customWidth="1" min="12" max="12"/>
    <col width="16" customWidth="1" min="13" max="13"/>
    <col width="14" customWidth="1" min="14" max="14"/>
  </cols>
  <sheetData>
    <row r="1">
      <c r="A1" s="7" t="inlineStr">
        <is>
          <t>Dashboard (Portfolio-Übersicht)</t>
        </is>
      </c>
    </row>
    <row r="3">
      <c r="A3" s="38" t="inlineStr">
        <is>
          <t>Anzahl Actions</t>
        </is>
      </c>
      <c r="B3" s="39">
        <f>COUNTA(Actions!A2:A201)</f>
        <v/>
      </c>
    </row>
    <row r="4">
      <c r="A4" s="38" t="inlineStr">
        <is>
          <t>Total CAPEX (€)</t>
        </is>
      </c>
      <c r="B4" s="40">
        <f>SUM(Actions!T2:T201)</f>
        <v/>
      </c>
    </row>
    <row r="5">
      <c r="A5" s="38" t="inlineStr">
        <is>
          <t>Total OPEX p.a. (€)</t>
        </is>
      </c>
      <c r="B5" s="40">
        <f>SUM(Actions!Y2:Y201)</f>
        <v/>
      </c>
    </row>
    <row r="6">
      <c r="A6" s="38" t="inlineStr">
        <is>
          <t>Portfolio NPV Nachsteuer (€)</t>
        </is>
      </c>
      <c r="B6" s="40">
        <f>SUM(Portfolio_Calc!CD4:CD203)</f>
        <v/>
      </c>
    </row>
    <row r="9">
      <c r="A9" s="4" t="inlineStr">
        <is>
          <t>ID</t>
        </is>
      </c>
      <c r="B9" s="4" t="inlineStr">
        <is>
          <t>Action</t>
        </is>
      </c>
      <c r="C9" s="4" t="inlineStr">
        <is>
          <t>Owner</t>
        </is>
      </c>
      <c r="D9" s="4" t="inlineStr">
        <is>
          <t>Go-Live</t>
        </is>
      </c>
      <c r="E9" s="4" t="inlineStr">
        <is>
          <t>KPI</t>
        </is>
      </c>
      <c r="F9" s="4" t="inlineStr">
        <is>
          <t>Einheit</t>
        </is>
      </c>
      <c r="G9" s="4" t="inlineStr">
        <is>
          <t>KPI-Reduktion p.a.</t>
        </is>
      </c>
      <c r="H9" s="4" t="inlineStr">
        <is>
          <t>CAPEX</t>
        </is>
      </c>
      <c r="I9" s="4" t="inlineStr">
        <is>
          <t>OPEX p.a.</t>
        </is>
      </c>
      <c r="J9" s="4" t="inlineStr">
        <is>
          <t>NPV</t>
        </is>
      </c>
      <c r="K9" s="4" t="inlineStr">
        <is>
          <t>IRR</t>
        </is>
      </c>
      <c r="L9" s="4" t="inlineStr">
        <is>
          <t>Payback</t>
        </is>
      </c>
      <c r="M9" s="4" t="inlineStr">
        <is>
          <t>Disk. KPI-Reduktion</t>
        </is>
      </c>
      <c r="N9" s="4" t="inlineStr">
        <is>
          <t>MACC €/Einheit</t>
        </is>
      </c>
    </row>
    <row r="10">
      <c r="A10" s="6">
        <f>Actions!A2</f>
        <v/>
      </c>
      <c r="B10" s="6">
        <f>Actions!B2</f>
        <v/>
      </c>
      <c r="C10" s="6">
        <f>Actions!D2</f>
        <v/>
      </c>
      <c r="D10" s="41">
        <f>Actions!F2</f>
        <v/>
      </c>
      <c r="E10" s="6">
        <f>Actions!G2</f>
        <v/>
      </c>
      <c r="F10" s="6">
        <f>Actions!H2</f>
        <v/>
      </c>
      <c r="G10" s="16">
        <f>Portfolio_Calc!K4</f>
        <v/>
      </c>
      <c r="H10" s="29">
        <f>Actions!T2</f>
        <v/>
      </c>
      <c r="I10" s="29">
        <f>Actions!Y2</f>
        <v/>
      </c>
      <c r="J10" s="29">
        <f>Portfolio_Calc!CD4</f>
        <v/>
      </c>
      <c r="K10" s="37">
        <f>Portfolio_Calc!CE4</f>
        <v/>
      </c>
      <c r="L10" s="28">
        <f>Portfolio_Calc!CF4</f>
        <v/>
      </c>
      <c r="M10" s="36">
        <f>Portfolio_Calc!CG4</f>
        <v/>
      </c>
      <c r="N10" s="36">
        <f>Portfolio_Calc!CH4</f>
        <v/>
      </c>
    </row>
    <row r="11">
      <c r="A11" s="6">
        <f>Actions!A3</f>
        <v/>
      </c>
      <c r="B11" s="6">
        <f>Actions!B3</f>
        <v/>
      </c>
      <c r="C11" s="6">
        <f>Actions!D3</f>
        <v/>
      </c>
      <c r="D11" s="41">
        <f>Actions!F3</f>
        <v/>
      </c>
      <c r="E11" s="6">
        <f>Actions!G3</f>
        <v/>
      </c>
      <c r="F11" s="6">
        <f>Actions!H3</f>
        <v/>
      </c>
      <c r="G11" s="16">
        <f>Portfolio_Calc!K5</f>
        <v/>
      </c>
      <c r="H11" s="29">
        <f>Actions!T3</f>
        <v/>
      </c>
      <c r="I11" s="29">
        <f>Actions!Y3</f>
        <v/>
      </c>
      <c r="J11" s="29">
        <f>Portfolio_Calc!CD5</f>
        <v/>
      </c>
      <c r="K11" s="37">
        <f>Portfolio_Calc!CE5</f>
        <v/>
      </c>
      <c r="L11" s="28">
        <f>Portfolio_Calc!CF5</f>
        <v/>
      </c>
      <c r="M11" s="36">
        <f>Portfolio_Calc!CG5</f>
        <v/>
      </c>
      <c r="N11" s="36">
        <f>Portfolio_Calc!CH5</f>
        <v/>
      </c>
    </row>
    <row r="12">
      <c r="A12" s="6">
        <f>Actions!A4</f>
        <v/>
      </c>
      <c r="B12" s="6">
        <f>Actions!B4</f>
        <v/>
      </c>
      <c r="C12" s="6">
        <f>Actions!D4</f>
        <v/>
      </c>
      <c r="D12" s="41">
        <f>Actions!F4</f>
        <v/>
      </c>
      <c r="E12" s="6">
        <f>Actions!G4</f>
        <v/>
      </c>
      <c r="F12" s="6">
        <f>Actions!H4</f>
        <v/>
      </c>
      <c r="G12" s="16">
        <f>Portfolio_Calc!K6</f>
        <v/>
      </c>
      <c r="H12" s="29">
        <f>Actions!T4</f>
        <v/>
      </c>
      <c r="I12" s="29">
        <f>Actions!Y4</f>
        <v/>
      </c>
      <c r="J12" s="29">
        <f>Portfolio_Calc!CD6</f>
        <v/>
      </c>
      <c r="K12" s="37">
        <f>Portfolio_Calc!CE6</f>
        <v/>
      </c>
      <c r="L12" s="28">
        <f>Portfolio_Calc!CF6</f>
        <v/>
      </c>
      <c r="M12" s="36">
        <f>Portfolio_Calc!CG6</f>
        <v/>
      </c>
      <c r="N12" s="36">
        <f>Portfolio_Calc!CH6</f>
        <v/>
      </c>
    </row>
    <row r="13">
      <c r="A13" s="6">
        <f>Actions!A5</f>
        <v/>
      </c>
      <c r="B13" s="6">
        <f>Actions!B5</f>
        <v/>
      </c>
      <c r="C13" s="6">
        <f>Actions!D5</f>
        <v/>
      </c>
      <c r="D13" s="41">
        <f>Actions!F5</f>
        <v/>
      </c>
      <c r="E13" s="6">
        <f>Actions!G5</f>
        <v/>
      </c>
      <c r="F13" s="6">
        <f>Actions!H5</f>
        <v/>
      </c>
      <c r="G13" s="16">
        <f>Portfolio_Calc!K7</f>
        <v/>
      </c>
      <c r="H13" s="29">
        <f>Actions!T5</f>
        <v/>
      </c>
      <c r="I13" s="29">
        <f>Actions!Y5</f>
        <v/>
      </c>
      <c r="J13" s="29">
        <f>Portfolio_Calc!CD7</f>
        <v/>
      </c>
      <c r="K13" s="37">
        <f>Portfolio_Calc!CE7</f>
        <v/>
      </c>
      <c r="L13" s="28">
        <f>Portfolio_Calc!CF7</f>
        <v/>
      </c>
      <c r="M13" s="36">
        <f>Portfolio_Calc!CG7</f>
        <v/>
      </c>
      <c r="N13" s="36">
        <f>Portfolio_Calc!CH7</f>
        <v/>
      </c>
    </row>
    <row r="14">
      <c r="A14" s="6">
        <f>Actions!A6</f>
        <v/>
      </c>
      <c r="B14" s="6">
        <f>Actions!B6</f>
        <v/>
      </c>
      <c r="C14" s="6">
        <f>Actions!D6</f>
        <v/>
      </c>
      <c r="D14" s="41">
        <f>Actions!F6</f>
        <v/>
      </c>
      <c r="E14" s="6">
        <f>Actions!G6</f>
        <v/>
      </c>
      <c r="F14" s="6">
        <f>Actions!H6</f>
        <v/>
      </c>
      <c r="G14" s="16">
        <f>Portfolio_Calc!K8</f>
        <v/>
      </c>
      <c r="H14" s="29">
        <f>Actions!T6</f>
        <v/>
      </c>
      <c r="I14" s="29">
        <f>Actions!Y6</f>
        <v/>
      </c>
      <c r="J14" s="29">
        <f>Portfolio_Calc!CD8</f>
        <v/>
      </c>
      <c r="K14" s="37">
        <f>Portfolio_Calc!CE8</f>
        <v/>
      </c>
      <c r="L14" s="28">
        <f>Portfolio_Calc!CF8</f>
        <v/>
      </c>
      <c r="M14" s="36">
        <f>Portfolio_Calc!CG8</f>
        <v/>
      </c>
      <c r="N14" s="36">
        <f>Portfolio_Calc!CH8</f>
        <v/>
      </c>
    </row>
    <row r="15">
      <c r="A15" s="6">
        <f>Actions!A7</f>
        <v/>
      </c>
      <c r="B15" s="6">
        <f>Actions!B7</f>
        <v/>
      </c>
      <c r="C15" s="6">
        <f>Actions!D7</f>
        <v/>
      </c>
      <c r="D15" s="41">
        <f>Actions!F7</f>
        <v/>
      </c>
      <c r="E15" s="6">
        <f>Actions!G7</f>
        <v/>
      </c>
      <c r="F15" s="6">
        <f>Actions!H7</f>
        <v/>
      </c>
      <c r="G15" s="16">
        <f>Portfolio_Calc!K9</f>
        <v/>
      </c>
      <c r="H15" s="29">
        <f>Actions!T7</f>
        <v/>
      </c>
      <c r="I15" s="29">
        <f>Actions!Y7</f>
        <v/>
      </c>
      <c r="J15" s="29">
        <f>Portfolio_Calc!CD9</f>
        <v/>
      </c>
      <c r="K15" s="37">
        <f>Portfolio_Calc!CE9</f>
        <v/>
      </c>
      <c r="L15" s="28">
        <f>Portfolio_Calc!CF9</f>
        <v/>
      </c>
      <c r="M15" s="36">
        <f>Portfolio_Calc!CG9</f>
        <v/>
      </c>
      <c r="N15" s="36">
        <f>Portfolio_Calc!CH9</f>
        <v/>
      </c>
    </row>
    <row r="16">
      <c r="A16" s="6">
        <f>Actions!A8</f>
        <v/>
      </c>
      <c r="B16" s="6">
        <f>Actions!B8</f>
        <v/>
      </c>
      <c r="C16" s="6">
        <f>Actions!D8</f>
        <v/>
      </c>
      <c r="D16" s="41">
        <f>Actions!F8</f>
        <v/>
      </c>
      <c r="E16" s="6">
        <f>Actions!G8</f>
        <v/>
      </c>
      <c r="F16" s="6">
        <f>Actions!H8</f>
        <v/>
      </c>
      <c r="G16" s="16">
        <f>Portfolio_Calc!K10</f>
        <v/>
      </c>
      <c r="H16" s="29">
        <f>Actions!T8</f>
        <v/>
      </c>
      <c r="I16" s="29">
        <f>Actions!Y8</f>
        <v/>
      </c>
      <c r="J16" s="29">
        <f>Portfolio_Calc!CD10</f>
        <v/>
      </c>
      <c r="K16" s="37">
        <f>Portfolio_Calc!CE10</f>
        <v/>
      </c>
      <c r="L16" s="28">
        <f>Portfolio_Calc!CF10</f>
        <v/>
      </c>
      <c r="M16" s="36">
        <f>Portfolio_Calc!CG10</f>
        <v/>
      </c>
      <c r="N16" s="36">
        <f>Portfolio_Calc!CH10</f>
        <v/>
      </c>
    </row>
    <row r="17">
      <c r="A17" s="6">
        <f>Actions!A9</f>
        <v/>
      </c>
      <c r="B17" s="6">
        <f>Actions!B9</f>
        <v/>
      </c>
      <c r="C17" s="6">
        <f>Actions!D9</f>
        <v/>
      </c>
      <c r="D17" s="41">
        <f>Actions!F9</f>
        <v/>
      </c>
      <c r="E17" s="6">
        <f>Actions!G9</f>
        <v/>
      </c>
      <c r="F17" s="6">
        <f>Actions!H9</f>
        <v/>
      </c>
      <c r="G17" s="16">
        <f>Portfolio_Calc!K11</f>
        <v/>
      </c>
      <c r="H17" s="29">
        <f>Actions!T9</f>
        <v/>
      </c>
      <c r="I17" s="29">
        <f>Actions!Y9</f>
        <v/>
      </c>
      <c r="J17" s="29">
        <f>Portfolio_Calc!CD11</f>
        <v/>
      </c>
      <c r="K17" s="37">
        <f>Portfolio_Calc!CE11</f>
        <v/>
      </c>
      <c r="L17" s="28">
        <f>Portfolio_Calc!CF11</f>
        <v/>
      </c>
      <c r="M17" s="36">
        <f>Portfolio_Calc!CG11</f>
        <v/>
      </c>
      <c r="N17" s="36">
        <f>Portfolio_Calc!CH11</f>
        <v/>
      </c>
    </row>
    <row r="18">
      <c r="A18" s="6">
        <f>Actions!A10</f>
        <v/>
      </c>
      <c r="B18" s="6">
        <f>Actions!B10</f>
        <v/>
      </c>
      <c r="C18" s="6">
        <f>Actions!D10</f>
        <v/>
      </c>
      <c r="D18" s="41">
        <f>Actions!F10</f>
        <v/>
      </c>
      <c r="E18" s="6">
        <f>Actions!G10</f>
        <v/>
      </c>
      <c r="F18" s="6">
        <f>Actions!H10</f>
        <v/>
      </c>
      <c r="G18" s="16">
        <f>Portfolio_Calc!K12</f>
        <v/>
      </c>
      <c r="H18" s="29">
        <f>Actions!T10</f>
        <v/>
      </c>
      <c r="I18" s="29">
        <f>Actions!Y10</f>
        <v/>
      </c>
      <c r="J18" s="29">
        <f>Portfolio_Calc!CD12</f>
        <v/>
      </c>
      <c r="K18" s="37">
        <f>Portfolio_Calc!CE12</f>
        <v/>
      </c>
      <c r="L18" s="28">
        <f>Portfolio_Calc!CF12</f>
        <v/>
      </c>
      <c r="M18" s="36">
        <f>Portfolio_Calc!CG12</f>
        <v/>
      </c>
      <c r="N18" s="36">
        <f>Portfolio_Calc!CH12</f>
        <v/>
      </c>
    </row>
    <row r="19">
      <c r="A19" s="6">
        <f>Actions!A11</f>
        <v/>
      </c>
      <c r="B19" s="6">
        <f>Actions!B11</f>
        <v/>
      </c>
      <c r="C19" s="6">
        <f>Actions!D11</f>
        <v/>
      </c>
      <c r="D19" s="41">
        <f>Actions!F11</f>
        <v/>
      </c>
      <c r="E19" s="6">
        <f>Actions!G11</f>
        <v/>
      </c>
      <c r="F19" s="6">
        <f>Actions!H11</f>
        <v/>
      </c>
      <c r="G19" s="16">
        <f>Portfolio_Calc!K13</f>
        <v/>
      </c>
      <c r="H19" s="29">
        <f>Actions!T11</f>
        <v/>
      </c>
      <c r="I19" s="29">
        <f>Actions!Y11</f>
        <v/>
      </c>
      <c r="J19" s="29">
        <f>Portfolio_Calc!CD13</f>
        <v/>
      </c>
      <c r="K19" s="37">
        <f>Portfolio_Calc!CE13</f>
        <v/>
      </c>
      <c r="L19" s="28">
        <f>Portfolio_Calc!CF13</f>
        <v/>
      </c>
      <c r="M19" s="36">
        <f>Portfolio_Calc!CG13</f>
        <v/>
      </c>
      <c r="N19" s="36">
        <f>Portfolio_Calc!CH13</f>
        <v/>
      </c>
    </row>
    <row r="20">
      <c r="A20" s="6">
        <f>Actions!A12</f>
        <v/>
      </c>
      <c r="B20" s="6">
        <f>Actions!B12</f>
        <v/>
      </c>
      <c r="C20" s="6">
        <f>Actions!D12</f>
        <v/>
      </c>
      <c r="D20" s="41">
        <f>Actions!F12</f>
        <v/>
      </c>
      <c r="E20" s="6">
        <f>Actions!G12</f>
        <v/>
      </c>
      <c r="F20" s="6">
        <f>Actions!H12</f>
        <v/>
      </c>
      <c r="G20" s="16">
        <f>Portfolio_Calc!K14</f>
        <v/>
      </c>
      <c r="H20" s="29">
        <f>Actions!T12</f>
        <v/>
      </c>
      <c r="I20" s="29">
        <f>Actions!Y12</f>
        <v/>
      </c>
      <c r="J20" s="29">
        <f>Portfolio_Calc!CD14</f>
        <v/>
      </c>
      <c r="K20" s="37">
        <f>Portfolio_Calc!CE14</f>
        <v/>
      </c>
      <c r="L20" s="28">
        <f>Portfolio_Calc!CF14</f>
        <v/>
      </c>
      <c r="M20" s="36">
        <f>Portfolio_Calc!CG14</f>
        <v/>
      </c>
      <c r="N20" s="36">
        <f>Portfolio_Calc!CH14</f>
        <v/>
      </c>
    </row>
    <row r="21">
      <c r="A21" s="6">
        <f>Actions!A13</f>
        <v/>
      </c>
      <c r="B21" s="6">
        <f>Actions!B13</f>
        <v/>
      </c>
      <c r="C21" s="6">
        <f>Actions!D13</f>
        <v/>
      </c>
      <c r="D21" s="41">
        <f>Actions!F13</f>
        <v/>
      </c>
      <c r="E21" s="6">
        <f>Actions!G13</f>
        <v/>
      </c>
      <c r="F21" s="6">
        <f>Actions!H13</f>
        <v/>
      </c>
      <c r="G21" s="16">
        <f>Portfolio_Calc!K15</f>
        <v/>
      </c>
      <c r="H21" s="29">
        <f>Actions!T13</f>
        <v/>
      </c>
      <c r="I21" s="29">
        <f>Actions!Y13</f>
        <v/>
      </c>
      <c r="J21" s="29">
        <f>Portfolio_Calc!CD15</f>
        <v/>
      </c>
      <c r="K21" s="37">
        <f>Portfolio_Calc!CE15</f>
        <v/>
      </c>
      <c r="L21" s="28">
        <f>Portfolio_Calc!CF15</f>
        <v/>
      </c>
      <c r="M21" s="36">
        <f>Portfolio_Calc!CG15</f>
        <v/>
      </c>
      <c r="N21" s="36">
        <f>Portfolio_Calc!CH15</f>
        <v/>
      </c>
    </row>
    <row r="22">
      <c r="A22" s="6">
        <f>Actions!A14</f>
        <v/>
      </c>
      <c r="B22" s="6">
        <f>Actions!B14</f>
        <v/>
      </c>
      <c r="C22" s="6">
        <f>Actions!D14</f>
        <v/>
      </c>
      <c r="D22" s="41">
        <f>Actions!F14</f>
        <v/>
      </c>
      <c r="E22" s="6">
        <f>Actions!G14</f>
        <v/>
      </c>
      <c r="F22" s="6">
        <f>Actions!H14</f>
        <v/>
      </c>
      <c r="G22" s="16">
        <f>Portfolio_Calc!K16</f>
        <v/>
      </c>
      <c r="H22" s="29">
        <f>Actions!T14</f>
        <v/>
      </c>
      <c r="I22" s="29">
        <f>Actions!Y14</f>
        <v/>
      </c>
      <c r="J22" s="29">
        <f>Portfolio_Calc!CD16</f>
        <v/>
      </c>
      <c r="K22" s="37">
        <f>Portfolio_Calc!CE16</f>
        <v/>
      </c>
      <c r="L22" s="28">
        <f>Portfolio_Calc!CF16</f>
        <v/>
      </c>
      <c r="M22" s="36">
        <f>Portfolio_Calc!CG16</f>
        <v/>
      </c>
      <c r="N22" s="36">
        <f>Portfolio_Calc!CH16</f>
        <v/>
      </c>
    </row>
    <row r="23">
      <c r="A23" s="6">
        <f>Actions!A15</f>
        <v/>
      </c>
      <c r="B23" s="6">
        <f>Actions!B15</f>
        <v/>
      </c>
      <c r="C23" s="6">
        <f>Actions!D15</f>
        <v/>
      </c>
      <c r="D23" s="41">
        <f>Actions!F15</f>
        <v/>
      </c>
      <c r="E23" s="6">
        <f>Actions!G15</f>
        <v/>
      </c>
      <c r="F23" s="6">
        <f>Actions!H15</f>
        <v/>
      </c>
      <c r="G23" s="16">
        <f>Portfolio_Calc!K17</f>
        <v/>
      </c>
      <c r="H23" s="29">
        <f>Actions!T15</f>
        <v/>
      </c>
      <c r="I23" s="29">
        <f>Actions!Y15</f>
        <v/>
      </c>
      <c r="J23" s="29">
        <f>Portfolio_Calc!CD17</f>
        <v/>
      </c>
      <c r="K23" s="37">
        <f>Portfolio_Calc!CE17</f>
        <v/>
      </c>
      <c r="L23" s="28">
        <f>Portfolio_Calc!CF17</f>
        <v/>
      </c>
      <c r="M23" s="36">
        <f>Portfolio_Calc!CG17</f>
        <v/>
      </c>
      <c r="N23" s="36">
        <f>Portfolio_Calc!CH17</f>
        <v/>
      </c>
    </row>
    <row r="24">
      <c r="A24" s="6">
        <f>Actions!A16</f>
        <v/>
      </c>
      <c r="B24" s="6">
        <f>Actions!B16</f>
        <v/>
      </c>
      <c r="C24" s="6">
        <f>Actions!D16</f>
        <v/>
      </c>
      <c r="D24" s="41">
        <f>Actions!F16</f>
        <v/>
      </c>
      <c r="E24" s="6">
        <f>Actions!G16</f>
        <v/>
      </c>
      <c r="F24" s="6">
        <f>Actions!H16</f>
        <v/>
      </c>
      <c r="G24" s="16">
        <f>Portfolio_Calc!K18</f>
        <v/>
      </c>
      <c r="H24" s="29">
        <f>Actions!T16</f>
        <v/>
      </c>
      <c r="I24" s="29">
        <f>Actions!Y16</f>
        <v/>
      </c>
      <c r="J24" s="29">
        <f>Portfolio_Calc!CD18</f>
        <v/>
      </c>
      <c r="K24" s="37">
        <f>Portfolio_Calc!CE18</f>
        <v/>
      </c>
      <c r="L24" s="28">
        <f>Portfolio_Calc!CF18</f>
        <v/>
      </c>
      <c r="M24" s="36">
        <f>Portfolio_Calc!CG18</f>
        <v/>
      </c>
      <c r="N24" s="36">
        <f>Portfolio_Calc!CH18</f>
        <v/>
      </c>
    </row>
    <row r="25">
      <c r="A25" s="6">
        <f>Actions!A17</f>
        <v/>
      </c>
      <c r="B25" s="6">
        <f>Actions!B17</f>
        <v/>
      </c>
      <c r="C25" s="6">
        <f>Actions!D17</f>
        <v/>
      </c>
      <c r="D25" s="41">
        <f>Actions!F17</f>
        <v/>
      </c>
      <c r="E25" s="6">
        <f>Actions!G17</f>
        <v/>
      </c>
      <c r="F25" s="6">
        <f>Actions!H17</f>
        <v/>
      </c>
      <c r="G25" s="16">
        <f>Portfolio_Calc!K19</f>
        <v/>
      </c>
      <c r="H25" s="29">
        <f>Actions!T17</f>
        <v/>
      </c>
      <c r="I25" s="29">
        <f>Actions!Y17</f>
        <v/>
      </c>
      <c r="J25" s="29">
        <f>Portfolio_Calc!CD19</f>
        <v/>
      </c>
      <c r="K25" s="37">
        <f>Portfolio_Calc!CE19</f>
        <v/>
      </c>
      <c r="L25" s="28">
        <f>Portfolio_Calc!CF19</f>
        <v/>
      </c>
      <c r="M25" s="36">
        <f>Portfolio_Calc!CG19</f>
        <v/>
      </c>
      <c r="N25" s="36">
        <f>Portfolio_Calc!CH19</f>
        <v/>
      </c>
    </row>
    <row r="26">
      <c r="A26" s="6">
        <f>Actions!A18</f>
        <v/>
      </c>
      <c r="B26" s="6">
        <f>Actions!B18</f>
        <v/>
      </c>
      <c r="C26" s="6">
        <f>Actions!D18</f>
        <v/>
      </c>
      <c r="D26" s="41">
        <f>Actions!F18</f>
        <v/>
      </c>
      <c r="E26" s="6">
        <f>Actions!G18</f>
        <v/>
      </c>
      <c r="F26" s="6">
        <f>Actions!H18</f>
        <v/>
      </c>
      <c r="G26" s="16">
        <f>Portfolio_Calc!K20</f>
        <v/>
      </c>
      <c r="H26" s="29">
        <f>Actions!T18</f>
        <v/>
      </c>
      <c r="I26" s="29">
        <f>Actions!Y18</f>
        <v/>
      </c>
      <c r="J26" s="29">
        <f>Portfolio_Calc!CD20</f>
        <v/>
      </c>
      <c r="K26" s="37">
        <f>Portfolio_Calc!CE20</f>
        <v/>
      </c>
      <c r="L26" s="28">
        <f>Portfolio_Calc!CF20</f>
        <v/>
      </c>
      <c r="M26" s="36">
        <f>Portfolio_Calc!CG20</f>
        <v/>
      </c>
      <c r="N26" s="36">
        <f>Portfolio_Calc!CH20</f>
        <v/>
      </c>
    </row>
    <row r="27">
      <c r="A27" s="6">
        <f>Actions!A19</f>
        <v/>
      </c>
      <c r="B27" s="6">
        <f>Actions!B19</f>
        <v/>
      </c>
      <c r="C27" s="6">
        <f>Actions!D19</f>
        <v/>
      </c>
      <c r="D27" s="41">
        <f>Actions!F19</f>
        <v/>
      </c>
      <c r="E27" s="6">
        <f>Actions!G19</f>
        <v/>
      </c>
      <c r="F27" s="6">
        <f>Actions!H19</f>
        <v/>
      </c>
      <c r="G27" s="16">
        <f>Portfolio_Calc!K21</f>
        <v/>
      </c>
      <c r="H27" s="29">
        <f>Actions!T19</f>
        <v/>
      </c>
      <c r="I27" s="29">
        <f>Actions!Y19</f>
        <v/>
      </c>
      <c r="J27" s="29">
        <f>Portfolio_Calc!CD21</f>
        <v/>
      </c>
      <c r="K27" s="37">
        <f>Portfolio_Calc!CE21</f>
        <v/>
      </c>
      <c r="L27" s="28">
        <f>Portfolio_Calc!CF21</f>
        <v/>
      </c>
      <c r="M27" s="36">
        <f>Portfolio_Calc!CG21</f>
        <v/>
      </c>
      <c r="N27" s="36">
        <f>Portfolio_Calc!CH21</f>
        <v/>
      </c>
    </row>
    <row r="28">
      <c r="A28" s="6">
        <f>Actions!A20</f>
        <v/>
      </c>
      <c r="B28" s="6">
        <f>Actions!B20</f>
        <v/>
      </c>
      <c r="C28" s="6">
        <f>Actions!D20</f>
        <v/>
      </c>
      <c r="D28" s="41">
        <f>Actions!F20</f>
        <v/>
      </c>
      <c r="E28" s="6">
        <f>Actions!G20</f>
        <v/>
      </c>
      <c r="F28" s="6">
        <f>Actions!H20</f>
        <v/>
      </c>
      <c r="G28" s="16">
        <f>Portfolio_Calc!K22</f>
        <v/>
      </c>
      <c r="H28" s="29">
        <f>Actions!T20</f>
        <v/>
      </c>
      <c r="I28" s="29">
        <f>Actions!Y20</f>
        <v/>
      </c>
      <c r="J28" s="29">
        <f>Portfolio_Calc!CD22</f>
        <v/>
      </c>
      <c r="K28" s="37">
        <f>Portfolio_Calc!CE22</f>
        <v/>
      </c>
      <c r="L28" s="28">
        <f>Portfolio_Calc!CF22</f>
        <v/>
      </c>
      <c r="M28" s="36">
        <f>Portfolio_Calc!CG22</f>
        <v/>
      </c>
      <c r="N28" s="36">
        <f>Portfolio_Calc!CH22</f>
        <v/>
      </c>
    </row>
    <row r="29">
      <c r="A29" s="6">
        <f>Actions!A21</f>
        <v/>
      </c>
      <c r="B29" s="6">
        <f>Actions!B21</f>
        <v/>
      </c>
      <c r="C29" s="6">
        <f>Actions!D21</f>
        <v/>
      </c>
      <c r="D29" s="41">
        <f>Actions!F21</f>
        <v/>
      </c>
      <c r="E29" s="6">
        <f>Actions!G21</f>
        <v/>
      </c>
      <c r="F29" s="6">
        <f>Actions!H21</f>
        <v/>
      </c>
      <c r="G29" s="16">
        <f>Portfolio_Calc!K23</f>
        <v/>
      </c>
      <c r="H29" s="29">
        <f>Actions!T21</f>
        <v/>
      </c>
      <c r="I29" s="29">
        <f>Actions!Y21</f>
        <v/>
      </c>
      <c r="J29" s="29">
        <f>Portfolio_Calc!CD23</f>
        <v/>
      </c>
      <c r="K29" s="37">
        <f>Portfolio_Calc!CE23</f>
        <v/>
      </c>
      <c r="L29" s="28">
        <f>Portfolio_Calc!CF23</f>
        <v/>
      </c>
      <c r="M29" s="36">
        <f>Portfolio_Calc!CG23</f>
        <v/>
      </c>
      <c r="N29" s="36">
        <f>Portfolio_Calc!CH23</f>
        <v/>
      </c>
    </row>
    <row r="30">
      <c r="A30" s="6">
        <f>Actions!A22</f>
        <v/>
      </c>
      <c r="B30" s="6">
        <f>Actions!B22</f>
        <v/>
      </c>
      <c r="C30" s="6">
        <f>Actions!D22</f>
        <v/>
      </c>
      <c r="D30" s="41">
        <f>Actions!F22</f>
        <v/>
      </c>
      <c r="E30" s="6">
        <f>Actions!G22</f>
        <v/>
      </c>
      <c r="F30" s="6">
        <f>Actions!H22</f>
        <v/>
      </c>
      <c r="G30" s="16">
        <f>Portfolio_Calc!K24</f>
        <v/>
      </c>
      <c r="H30" s="29">
        <f>Actions!T22</f>
        <v/>
      </c>
      <c r="I30" s="29">
        <f>Actions!Y22</f>
        <v/>
      </c>
      <c r="J30" s="29">
        <f>Portfolio_Calc!CD24</f>
        <v/>
      </c>
      <c r="K30" s="37">
        <f>Portfolio_Calc!CE24</f>
        <v/>
      </c>
      <c r="L30" s="28">
        <f>Portfolio_Calc!CF24</f>
        <v/>
      </c>
      <c r="M30" s="36">
        <f>Portfolio_Calc!CG24</f>
        <v/>
      </c>
      <c r="N30" s="36">
        <f>Portfolio_Calc!CH24</f>
        <v/>
      </c>
    </row>
    <row r="31">
      <c r="A31" s="6">
        <f>Actions!A23</f>
        <v/>
      </c>
      <c r="B31" s="6">
        <f>Actions!B23</f>
        <v/>
      </c>
      <c r="C31" s="6">
        <f>Actions!D23</f>
        <v/>
      </c>
      <c r="D31" s="41">
        <f>Actions!F23</f>
        <v/>
      </c>
      <c r="E31" s="6">
        <f>Actions!G23</f>
        <v/>
      </c>
      <c r="F31" s="6">
        <f>Actions!H23</f>
        <v/>
      </c>
      <c r="G31" s="16">
        <f>Portfolio_Calc!K25</f>
        <v/>
      </c>
      <c r="H31" s="29">
        <f>Actions!T23</f>
        <v/>
      </c>
      <c r="I31" s="29">
        <f>Actions!Y23</f>
        <v/>
      </c>
      <c r="J31" s="29">
        <f>Portfolio_Calc!CD25</f>
        <v/>
      </c>
      <c r="K31" s="37">
        <f>Portfolio_Calc!CE25</f>
        <v/>
      </c>
      <c r="L31" s="28">
        <f>Portfolio_Calc!CF25</f>
        <v/>
      </c>
      <c r="M31" s="36">
        <f>Portfolio_Calc!CG25</f>
        <v/>
      </c>
      <c r="N31" s="36">
        <f>Portfolio_Calc!CH25</f>
        <v/>
      </c>
    </row>
    <row r="32">
      <c r="A32" s="6">
        <f>Actions!A24</f>
        <v/>
      </c>
      <c r="B32" s="6">
        <f>Actions!B24</f>
        <v/>
      </c>
      <c r="C32" s="6">
        <f>Actions!D24</f>
        <v/>
      </c>
      <c r="D32" s="41">
        <f>Actions!F24</f>
        <v/>
      </c>
      <c r="E32" s="6">
        <f>Actions!G24</f>
        <v/>
      </c>
      <c r="F32" s="6">
        <f>Actions!H24</f>
        <v/>
      </c>
      <c r="G32" s="16">
        <f>Portfolio_Calc!K26</f>
        <v/>
      </c>
      <c r="H32" s="29">
        <f>Actions!T24</f>
        <v/>
      </c>
      <c r="I32" s="29">
        <f>Actions!Y24</f>
        <v/>
      </c>
      <c r="J32" s="29">
        <f>Portfolio_Calc!CD26</f>
        <v/>
      </c>
      <c r="K32" s="37">
        <f>Portfolio_Calc!CE26</f>
        <v/>
      </c>
      <c r="L32" s="28">
        <f>Portfolio_Calc!CF26</f>
        <v/>
      </c>
      <c r="M32" s="36">
        <f>Portfolio_Calc!CG26</f>
        <v/>
      </c>
      <c r="N32" s="36">
        <f>Portfolio_Calc!CH26</f>
        <v/>
      </c>
    </row>
    <row r="33">
      <c r="A33" s="6">
        <f>Actions!A25</f>
        <v/>
      </c>
      <c r="B33" s="6">
        <f>Actions!B25</f>
        <v/>
      </c>
      <c r="C33" s="6">
        <f>Actions!D25</f>
        <v/>
      </c>
      <c r="D33" s="41">
        <f>Actions!F25</f>
        <v/>
      </c>
      <c r="E33" s="6">
        <f>Actions!G25</f>
        <v/>
      </c>
      <c r="F33" s="6">
        <f>Actions!H25</f>
        <v/>
      </c>
      <c r="G33" s="16">
        <f>Portfolio_Calc!K27</f>
        <v/>
      </c>
      <c r="H33" s="29">
        <f>Actions!T25</f>
        <v/>
      </c>
      <c r="I33" s="29">
        <f>Actions!Y25</f>
        <v/>
      </c>
      <c r="J33" s="29">
        <f>Portfolio_Calc!CD27</f>
        <v/>
      </c>
      <c r="K33" s="37">
        <f>Portfolio_Calc!CE27</f>
        <v/>
      </c>
      <c r="L33" s="28">
        <f>Portfolio_Calc!CF27</f>
        <v/>
      </c>
      <c r="M33" s="36">
        <f>Portfolio_Calc!CG27</f>
        <v/>
      </c>
      <c r="N33" s="36">
        <f>Portfolio_Calc!CH27</f>
        <v/>
      </c>
    </row>
    <row r="34">
      <c r="A34" s="6">
        <f>Actions!A26</f>
        <v/>
      </c>
      <c r="B34" s="6">
        <f>Actions!B26</f>
        <v/>
      </c>
      <c r="C34" s="6">
        <f>Actions!D26</f>
        <v/>
      </c>
      <c r="D34" s="41">
        <f>Actions!F26</f>
        <v/>
      </c>
      <c r="E34" s="6">
        <f>Actions!G26</f>
        <v/>
      </c>
      <c r="F34" s="6">
        <f>Actions!H26</f>
        <v/>
      </c>
      <c r="G34" s="16">
        <f>Portfolio_Calc!K28</f>
        <v/>
      </c>
      <c r="H34" s="29">
        <f>Actions!T26</f>
        <v/>
      </c>
      <c r="I34" s="29">
        <f>Actions!Y26</f>
        <v/>
      </c>
      <c r="J34" s="29">
        <f>Portfolio_Calc!CD28</f>
        <v/>
      </c>
      <c r="K34" s="37">
        <f>Portfolio_Calc!CE28</f>
        <v/>
      </c>
      <c r="L34" s="28">
        <f>Portfolio_Calc!CF28</f>
        <v/>
      </c>
      <c r="M34" s="36">
        <f>Portfolio_Calc!CG28</f>
        <v/>
      </c>
      <c r="N34" s="36">
        <f>Portfolio_Calc!CH28</f>
        <v/>
      </c>
    </row>
    <row r="35">
      <c r="A35" s="6">
        <f>Actions!A27</f>
        <v/>
      </c>
      <c r="B35" s="6">
        <f>Actions!B27</f>
        <v/>
      </c>
      <c r="C35" s="6">
        <f>Actions!D27</f>
        <v/>
      </c>
      <c r="D35" s="41">
        <f>Actions!F27</f>
        <v/>
      </c>
      <c r="E35" s="6">
        <f>Actions!G27</f>
        <v/>
      </c>
      <c r="F35" s="6">
        <f>Actions!H27</f>
        <v/>
      </c>
      <c r="G35" s="16">
        <f>Portfolio_Calc!K29</f>
        <v/>
      </c>
      <c r="H35" s="29">
        <f>Actions!T27</f>
        <v/>
      </c>
      <c r="I35" s="29">
        <f>Actions!Y27</f>
        <v/>
      </c>
      <c r="J35" s="29">
        <f>Portfolio_Calc!CD29</f>
        <v/>
      </c>
      <c r="K35" s="37">
        <f>Portfolio_Calc!CE29</f>
        <v/>
      </c>
      <c r="L35" s="28">
        <f>Portfolio_Calc!CF29</f>
        <v/>
      </c>
      <c r="M35" s="36">
        <f>Portfolio_Calc!CG29</f>
        <v/>
      </c>
      <c r="N35" s="36">
        <f>Portfolio_Calc!CH29</f>
        <v/>
      </c>
    </row>
    <row r="36">
      <c r="A36" s="6">
        <f>Actions!A28</f>
        <v/>
      </c>
      <c r="B36" s="6">
        <f>Actions!B28</f>
        <v/>
      </c>
      <c r="C36" s="6">
        <f>Actions!D28</f>
        <v/>
      </c>
      <c r="D36" s="41">
        <f>Actions!F28</f>
        <v/>
      </c>
      <c r="E36" s="6">
        <f>Actions!G28</f>
        <v/>
      </c>
      <c r="F36" s="6">
        <f>Actions!H28</f>
        <v/>
      </c>
      <c r="G36" s="16">
        <f>Portfolio_Calc!K30</f>
        <v/>
      </c>
      <c r="H36" s="29">
        <f>Actions!T28</f>
        <v/>
      </c>
      <c r="I36" s="29">
        <f>Actions!Y28</f>
        <v/>
      </c>
      <c r="J36" s="29">
        <f>Portfolio_Calc!CD30</f>
        <v/>
      </c>
      <c r="K36" s="37">
        <f>Portfolio_Calc!CE30</f>
        <v/>
      </c>
      <c r="L36" s="28">
        <f>Portfolio_Calc!CF30</f>
        <v/>
      </c>
      <c r="M36" s="36">
        <f>Portfolio_Calc!CG30</f>
        <v/>
      </c>
      <c r="N36" s="36">
        <f>Portfolio_Calc!CH30</f>
        <v/>
      </c>
    </row>
    <row r="37">
      <c r="A37" s="6">
        <f>Actions!A29</f>
        <v/>
      </c>
      <c r="B37" s="6">
        <f>Actions!B29</f>
        <v/>
      </c>
      <c r="C37" s="6">
        <f>Actions!D29</f>
        <v/>
      </c>
      <c r="D37" s="41">
        <f>Actions!F29</f>
        <v/>
      </c>
      <c r="E37" s="6">
        <f>Actions!G29</f>
        <v/>
      </c>
      <c r="F37" s="6">
        <f>Actions!H29</f>
        <v/>
      </c>
      <c r="G37" s="16">
        <f>Portfolio_Calc!K31</f>
        <v/>
      </c>
      <c r="H37" s="29">
        <f>Actions!T29</f>
        <v/>
      </c>
      <c r="I37" s="29">
        <f>Actions!Y29</f>
        <v/>
      </c>
      <c r="J37" s="29">
        <f>Portfolio_Calc!CD31</f>
        <v/>
      </c>
      <c r="K37" s="37">
        <f>Portfolio_Calc!CE31</f>
        <v/>
      </c>
      <c r="L37" s="28">
        <f>Portfolio_Calc!CF31</f>
        <v/>
      </c>
      <c r="M37" s="36">
        <f>Portfolio_Calc!CG31</f>
        <v/>
      </c>
      <c r="N37" s="36">
        <f>Portfolio_Calc!CH31</f>
        <v/>
      </c>
    </row>
    <row r="38">
      <c r="A38" s="6">
        <f>Actions!A30</f>
        <v/>
      </c>
      <c r="B38" s="6">
        <f>Actions!B30</f>
        <v/>
      </c>
      <c r="C38" s="6">
        <f>Actions!D30</f>
        <v/>
      </c>
      <c r="D38" s="41">
        <f>Actions!F30</f>
        <v/>
      </c>
      <c r="E38" s="6">
        <f>Actions!G30</f>
        <v/>
      </c>
      <c r="F38" s="6">
        <f>Actions!H30</f>
        <v/>
      </c>
      <c r="G38" s="16">
        <f>Portfolio_Calc!K32</f>
        <v/>
      </c>
      <c r="H38" s="29">
        <f>Actions!T30</f>
        <v/>
      </c>
      <c r="I38" s="29">
        <f>Actions!Y30</f>
        <v/>
      </c>
      <c r="J38" s="29">
        <f>Portfolio_Calc!CD32</f>
        <v/>
      </c>
      <c r="K38" s="37">
        <f>Portfolio_Calc!CE32</f>
        <v/>
      </c>
      <c r="L38" s="28">
        <f>Portfolio_Calc!CF32</f>
        <v/>
      </c>
      <c r="M38" s="36">
        <f>Portfolio_Calc!CG32</f>
        <v/>
      </c>
      <c r="N38" s="36">
        <f>Portfolio_Calc!CH32</f>
        <v/>
      </c>
    </row>
    <row r="39">
      <c r="A39" s="6">
        <f>Actions!A31</f>
        <v/>
      </c>
      <c r="B39" s="6">
        <f>Actions!B31</f>
        <v/>
      </c>
      <c r="C39" s="6">
        <f>Actions!D31</f>
        <v/>
      </c>
      <c r="D39" s="41">
        <f>Actions!F31</f>
        <v/>
      </c>
      <c r="E39" s="6">
        <f>Actions!G31</f>
        <v/>
      </c>
      <c r="F39" s="6">
        <f>Actions!H31</f>
        <v/>
      </c>
      <c r="G39" s="16">
        <f>Portfolio_Calc!K33</f>
        <v/>
      </c>
      <c r="H39" s="29">
        <f>Actions!T31</f>
        <v/>
      </c>
      <c r="I39" s="29">
        <f>Actions!Y31</f>
        <v/>
      </c>
      <c r="J39" s="29">
        <f>Portfolio_Calc!CD33</f>
        <v/>
      </c>
      <c r="K39" s="37">
        <f>Portfolio_Calc!CE33</f>
        <v/>
      </c>
      <c r="L39" s="28">
        <f>Portfolio_Calc!CF33</f>
        <v/>
      </c>
      <c r="M39" s="36">
        <f>Portfolio_Calc!CG33</f>
        <v/>
      </c>
      <c r="N39" s="36">
        <f>Portfolio_Calc!CH33</f>
        <v/>
      </c>
    </row>
    <row r="40">
      <c r="A40" s="6">
        <f>Actions!A32</f>
        <v/>
      </c>
      <c r="B40" s="6">
        <f>Actions!B32</f>
        <v/>
      </c>
      <c r="C40" s="6">
        <f>Actions!D32</f>
        <v/>
      </c>
      <c r="D40" s="41">
        <f>Actions!F32</f>
        <v/>
      </c>
      <c r="E40" s="6">
        <f>Actions!G32</f>
        <v/>
      </c>
      <c r="F40" s="6">
        <f>Actions!H32</f>
        <v/>
      </c>
      <c r="G40" s="16">
        <f>Portfolio_Calc!K34</f>
        <v/>
      </c>
      <c r="H40" s="29">
        <f>Actions!T32</f>
        <v/>
      </c>
      <c r="I40" s="29">
        <f>Actions!Y32</f>
        <v/>
      </c>
      <c r="J40" s="29">
        <f>Portfolio_Calc!CD34</f>
        <v/>
      </c>
      <c r="K40" s="37">
        <f>Portfolio_Calc!CE34</f>
        <v/>
      </c>
      <c r="L40" s="28">
        <f>Portfolio_Calc!CF34</f>
        <v/>
      </c>
      <c r="M40" s="36">
        <f>Portfolio_Calc!CG34</f>
        <v/>
      </c>
      <c r="N40" s="36">
        <f>Portfolio_Calc!CH34</f>
        <v/>
      </c>
    </row>
    <row r="41">
      <c r="A41" s="6">
        <f>Actions!A33</f>
        <v/>
      </c>
      <c r="B41" s="6">
        <f>Actions!B33</f>
        <v/>
      </c>
      <c r="C41" s="6">
        <f>Actions!D33</f>
        <v/>
      </c>
      <c r="D41" s="41">
        <f>Actions!F33</f>
        <v/>
      </c>
      <c r="E41" s="6">
        <f>Actions!G33</f>
        <v/>
      </c>
      <c r="F41" s="6">
        <f>Actions!H33</f>
        <v/>
      </c>
      <c r="G41" s="16">
        <f>Portfolio_Calc!K35</f>
        <v/>
      </c>
      <c r="H41" s="29">
        <f>Actions!T33</f>
        <v/>
      </c>
      <c r="I41" s="29">
        <f>Actions!Y33</f>
        <v/>
      </c>
      <c r="J41" s="29">
        <f>Portfolio_Calc!CD35</f>
        <v/>
      </c>
      <c r="K41" s="37">
        <f>Portfolio_Calc!CE35</f>
        <v/>
      </c>
      <c r="L41" s="28">
        <f>Portfolio_Calc!CF35</f>
        <v/>
      </c>
      <c r="M41" s="36">
        <f>Portfolio_Calc!CG35</f>
        <v/>
      </c>
      <c r="N41" s="36">
        <f>Portfolio_Calc!CH35</f>
        <v/>
      </c>
    </row>
    <row r="42">
      <c r="A42" s="6">
        <f>Actions!A34</f>
        <v/>
      </c>
      <c r="B42" s="6">
        <f>Actions!B34</f>
        <v/>
      </c>
      <c r="C42" s="6">
        <f>Actions!D34</f>
        <v/>
      </c>
      <c r="D42" s="41">
        <f>Actions!F34</f>
        <v/>
      </c>
      <c r="E42" s="6">
        <f>Actions!G34</f>
        <v/>
      </c>
      <c r="F42" s="6">
        <f>Actions!H34</f>
        <v/>
      </c>
      <c r="G42" s="16">
        <f>Portfolio_Calc!K36</f>
        <v/>
      </c>
      <c r="H42" s="29">
        <f>Actions!T34</f>
        <v/>
      </c>
      <c r="I42" s="29">
        <f>Actions!Y34</f>
        <v/>
      </c>
      <c r="J42" s="29">
        <f>Portfolio_Calc!CD36</f>
        <v/>
      </c>
      <c r="K42" s="37">
        <f>Portfolio_Calc!CE36</f>
        <v/>
      </c>
      <c r="L42" s="28">
        <f>Portfolio_Calc!CF36</f>
        <v/>
      </c>
      <c r="M42" s="36">
        <f>Portfolio_Calc!CG36</f>
        <v/>
      </c>
      <c r="N42" s="36">
        <f>Portfolio_Calc!CH36</f>
        <v/>
      </c>
    </row>
    <row r="43">
      <c r="A43" s="6">
        <f>Actions!A35</f>
        <v/>
      </c>
      <c r="B43" s="6">
        <f>Actions!B35</f>
        <v/>
      </c>
      <c r="C43" s="6">
        <f>Actions!D35</f>
        <v/>
      </c>
      <c r="D43" s="41">
        <f>Actions!F35</f>
        <v/>
      </c>
      <c r="E43" s="6">
        <f>Actions!G35</f>
        <v/>
      </c>
      <c r="F43" s="6">
        <f>Actions!H35</f>
        <v/>
      </c>
      <c r="G43" s="16">
        <f>Portfolio_Calc!K37</f>
        <v/>
      </c>
      <c r="H43" s="29">
        <f>Actions!T35</f>
        <v/>
      </c>
      <c r="I43" s="29">
        <f>Actions!Y35</f>
        <v/>
      </c>
      <c r="J43" s="29">
        <f>Portfolio_Calc!CD37</f>
        <v/>
      </c>
      <c r="K43" s="37">
        <f>Portfolio_Calc!CE37</f>
        <v/>
      </c>
      <c r="L43" s="28">
        <f>Portfolio_Calc!CF37</f>
        <v/>
      </c>
      <c r="M43" s="36">
        <f>Portfolio_Calc!CG37</f>
        <v/>
      </c>
      <c r="N43" s="36">
        <f>Portfolio_Calc!CH37</f>
        <v/>
      </c>
    </row>
    <row r="44">
      <c r="A44" s="6">
        <f>Actions!A36</f>
        <v/>
      </c>
      <c r="B44" s="6">
        <f>Actions!B36</f>
        <v/>
      </c>
      <c r="C44" s="6">
        <f>Actions!D36</f>
        <v/>
      </c>
      <c r="D44" s="41">
        <f>Actions!F36</f>
        <v/>
      </c>
      <c r="E44" s="6">
        <f>Actions!G36</f>
        <v/>
      </c>
      <c r="F44" s="6">
        <f>Actions!H36</f>
        <v/>
      </c>
      <c r="G44" s="16">
        <f>Portfolio_Calc!K38</f>
        <v/>
      </c>
      <c r="H44" s="29">
        <f>Actions!T36</f>
        <v/>
      </c>
      <c r="I44" s="29">
        <f>Actions!Y36</f>
        <v/>
      </c>
      <c r="J44" s="29">
        <f>Portfolio_Calc!CD38</f>
        <v/>
      </c>
      <c r="K44" s="37">
        <f>Portfolio_Calc!CE38</f>
        <v/>
      </c>
      <c r="L44" s="28">
        <f>Portfolio_Calc!CF38</f>
        <v/>
      </c>
      <c r="M44" s="36">
        <f>Portfolio_Calc!CG38</f>
        <v/>
      </c>
      <c r="N44" s="36">
        <f>Portfolio_Calc!CH38</f>
        <v/>
      </c>
    </row>
    <row r="45">
      <c r="A45" s="6">
        <f>Actions!A37</f>
        <v/>
      </c>
      <c r="B45" s="6">
        <f>Actions!B37</f>
        <v/>
      </c>
      <c r="C45" s="6">
        <f>Actions!D37</f>
        <v/>
      </c>
      <c r="D45" s="41">
        <f>Actions!F37</f>
        <v/>
      </c>
      <c r="E45" s="6">
        <f>Actions!G37</f>
        <v/>
      </c>
      <c r="F45" s="6">
        <f>Actions!H37</f>
        <v/>
      </c>
      <c r="G45" s="16">
        <f>Portfolio_Calc!K39</f>
        <v/>
      </c>
      <c r="H45" s="29">
        <f>Actions!T37</f>
        <v/>
      </c>
      <c r="I45" s="29">
        <f>Actions!Y37</f>
        <v/>
      </c>
      <c r="J45" s="29">
        <f>Portfolio_Calc!CD39</f>
        <v/>
      </c>
      <c r="K45" s="37">
        <f>Portfolio_Calc!CE39</f>
        <v/>
      </c>
      <c r="L45" s="28">
        <f>Portfolio_Calc!CF39</f>
        <v/>
      </c>
      <c r="M45" s="36">
        <f>Portfolio_Calc!CG39</f>
        <v/>
      </c>
      <c r="N45" s="36">
        <f>Portfolio_Calc!CH39</f>
        <v/>
      </c>
    </row>
    <row r="46">
      <c r="A46" s="6">
        <f>Actions!A38</f>
        <v/>
      </c>
      <c r="B46" s="6">
        <f>Actions!B38</f>
        <v/>
      </c>
      <c r="C46" s="6">
        <f>Actions!D38</f>
        <v/>
      </c>
      <c r="D46" s="41">
        <f>Actions!F38</f>
        <v/>
      </c>
      <c r="E46" s="6">
        <f>Actions!G38</f>
        <v/>
      </c>
      <c r="F46" s="6">
        <f>Actions!H38</f>
        <v/>
      </c>
      <c r="G46" s="16">
        <f>Portfolio_Calc!K40</f>
        <v/>
      </c>
      <c r="H46" s="29">
        <f>Actions!T38</f>
        <v/>
      </c>
      <c r="I46" s="29">
        <f>Actions!Y38</f>
        <v/>
      </c>
      <c r="J46" s="29">
        <f>Portfolio_Calc!CD40</f>
        <v/>
      </c>
      <c r="K46" s="37">
        <f>Portfolio_Calc!CE40</f>
        <v/>
      </c>
      <c r="L46" s="28">
        <f>Portfolio_Calc!CF40</f>
        <v/>
      </c>
      <c r="M46" s="36">
        <f>Portfolio_Calc!CG40</f>
        <v/>
      </c>
      <c r="N46" s="36">
        <f>Portfolio_Calc!CH40</f>
        <v/>
      </c>
    </row>
    <row r="47">
      <c r="A47" s="6">
        <f>Actions!A39</f>
        <v/>
      </c>
      <c r="B47" s="6">
        <f>Actions!B39</f>
        <v/>
      </c>
      <c r="C47" s="6">
        <f>Actions!D39</f>
        <v/>
      </c>
      <c r="D47" s="41">
        <f>Actions!F39</f>
        <v/>
      </c>
      <c r="E47" s="6">
        <f>Actions!G39</f>
        <v/>
      </c>
      <c r="F47" s="6">
        <f>Actions!H39</f>
        <v/>
      </c>
      <c r="G47" s="16">
        <f>Portfolio_Calc!K41</f>
        <v/>
      </c>
      <c r="H47" s="29">
        <f>Actions!T39</f>
        <v/>
      </c>
      <c r="I47" s="29">
        <f>Actions!Y39</f>
        <v/>
      </c>
      <c r="J47" s="29">
        <f>Portfolio_Calc!CD41</f>
        <v/>
      </c>
      <c r="K47" s="37">
        <f>Portfolio_Calc!CE41</f>
        <v/>
      </c>
      <c r="L47" s="28">
        <f>Portfolio_Calc!CF41</f>
        <v/>
      </c>
      <c r="M47" s="36">
        <f>Portfolio_Calc!CG41</f>
        <v/>
      </c>
      <c r="N47" s="36">
        <f>Portfolio_Calc!CH41</f>
        <v/>
      </c>
    </row>
    <row r="48">
      <c r="A48" s="6">
        <f>Actions!A40</f>
        <v/>
      </c>
      <c r="B48" s="6">
        <f>Actions!B40</f>
        <v/>
      </c>
      <c r="C48" s="6">
        <f>Actions!D40</f>
        <v/>
      </c>
      <c r="D48" s="41">
        <f>Actions!F40</f>
        <v/>
      </c>
      <c r="E48" s="6">
        <f>Actions!G40</f>
        <v/>
      </c>
      <c r="F48" s="6">
        <f>Actions!H40</f>
        <v/>
      </c>
      <c r="G48" s="16">
        <f>Portfolio_Calc!K42</f>
        <v/>
      </c>
      <c r="H48" s="29">
        <f>Actions!T40</f>
        <v/>
      </c>
      <c r="I48" s="29">
        <f>Actions!Y40</f>
        <v/>
      </c>
      <c r="J48" s="29">
        <f>Portfolio_Calc!CD42</f>
        <v/>
      </c>
      <c r="K48" s="37">
        <f>Portfolio_Calc!CE42</f>
        <v/>
      </c>
      <c r="L48" s="28">
        <f>Portfolio_Calc!CF42</f>
        <v/>
      </c>
      <c r="M48" s="36">
        <f>Portfolio_Calc!CG42</f>
        <v/>
      </c>
      <c r="N48" s="36">
        <f>Portfolio_Calc!CH42</f>
        <v/>
      </c>
    </row>
    <row r="49">
      <c r="A49" s="6">
        <f>Actions!A41</f>
        <v/>
      </c>
      <c r="B49" s="6">
        <f>Actions!B41</f>
        <v/>
      </c>
      <c r="C49" s="6">
        <f>Actions!D41</f>
        <v/>
      </c>
      <c r="D49" s="41">
        <f>Actions!F41</f>
        <v/>
      </c>
      <c r="E49" s="6">
        <f>Actions!G41</f>
        <v/>
      </c>
      <c r="F49" s="6">
        <f>Actions!H41</f>
        <v/>
      </c>
      <c r="G49" s="16">
        <f>Portfolio_Calc!K43</f>
        <v/>
      </c>
      <c r="H49" s="29">
        <f>Actions!T41</f>
        <v/>
      </c>
      <c r="I49" s="29">
        <f>Actions!Y41</f>
        <v/>
      </c>
      <c r="J49" s="29">
        <f>Portfolio_Calc!CD43</f>
        <v/>
      </c>
      <c r="K49" s="37">
        <f>Portfolio_Calc!CE43</f>
        <v/>
      </c>
      <c r="L49" s="28">
        <f>Portfolio_Calc!CF43</f>
        <v/>
      </c>
      <c r="M49" s="36">
        <f>Portfolio_Calc!CG43</f>
        <v/>
      </c>
      <c r="N49" s="36">
        <f>Portfolio_Calc!CH43</f>
        <v/>
      </c>
    </row>
    <row r="50">
      <c r="A50" s="6">
        <f>Actions!A42</f>
        <v/>
      </c>
      <c r="B50" s="6">
        <f>Actions!B42</f>
        <v/>
      </c>
      <c r="C50" s="6">
        <f>Actions!D42</f>
        <v/>
      </c>
      <c r="D50" s="41">
        <f>Actions!F42</f>
        <v/>
      </c>
      <c r="E50" s="6">
        <f>Actions!G42</f>
        <v/>
      </c>
      <c r="F50" s="6">
        <f>Actions!H42</f>
        <v/>
      </c>
      <c r="G50" s="16">
        <f>Portfolio_Calc!K44</f>
        <v/>
      </c>
      <c r="H50" s="29">
        <f>Actions!T42</f>
        <v/>
      </c>
      <c r="I50" s="29">
        <f>Actions!Y42</f>
        <v/>
      </c>
      <c r="J50" s="29">
        <f>Portfolio_Calc!CD44</f>
        <v/>
      </c>
      <c r="K50" s="37">
        <f>Portfolio_Calc!CE44</f>
        <v/>
      </c>
      <c r="L50" s="28">
        <f>Portfolio_Calc!CF44</f>
        <v/>
      </c>
      <c r="M50" s="36">
        <f>Portfolio_Calc!CG44</f>
        <v/>
      </c>
      <c r="N50" s="36">
        <f>Portfolio_Calc!CH44</f>
        <v/>
      </c>
    </row>
    <row r="51">
      <c r="A51" s="6">
        <f>Actions!A43</f>
        <v/>
      </c>
      <c r="B51" s="6">
        <f>Actions!B43</f>
        <v/>
      </c>
      <c r="C51" s="6">
        <f>Actions!D43</f>
        <v/>
      </c>
      <c r="D51" s="41">
        <f>Actions!F43</f>
        <v/>
      </c>
      <c r="E51" s="6">
        <f>Actions!G43</f>
        <v/>
      </c>
      <c r="F51" s="6">
        <f>Actions!H43</f>
        <v/>
      </c>
      <c r="G51" s="16">
        <f>Portfolio_Calc!K45</f>
        <v/>
      </c>
      <c r="H51" s="29">
        <f>Actions!T43</f>
        <v/>
      </c>
      <c r="I51" s="29">
        <f>Actions!Y43</f>
        <v/>
      </c>
      <c r="J51" s="29">
        <f>Portfolio_Calc!CD45</f>
        <v/>
      </c>
      <c r="K51" s="37">
        <f>Portfolio_Calc!CE45</f>
        <v/>
      </c>
      <c r="L51" s="28">
        <f>Portfolio_Calc!CF45</f>
        <v/>
      </c>
      <c r="M51" s="36">
        <f>Portfolio_Calc!CG45</f>
        <v/>
      </c>
      <c r="N51" s="36">
        <f>Portfolio_Calc!CH45</f>
        <v/>
      </c>
    </row>
    <row r="52">
      <c r="A52" s="6">
        <f>Actions!A44</f>
        <v/>
      </c>
      <c r="B52" s="6">
        <f>Actions!B44</f>
        <v/>
      </c>
      <c r="C52" s="6">
        <f>Actions!D44</f>
        <v/>
      </c>
      <c r="D52" s="41">
        <f>Actions!F44</f>
        <v/>
      </c>
      <c r="E52" s="6">
        <f>Actions!G44</f>
        <v/>
      </c>
      <c r="F52" s="6">
        <f>Actions!H44</f>
        <v/>
      </c>
      <c r="G52" s="16">
        <f>Portfolio_Calc!K46</f>
        <v/>
      </c>
      <c r="H52" s="29">
        <f>Actions!T44</f>
        <v/>
      </c>
      <c r="I52" s="29">
        <f>Actions!Y44</f>
        <v/>
      </c>
      <c r="J52" s="29">
        <f>Portfolio_Calc!CD46</f>
        <v/>
      </c>
      <c r="K52" s="37">
        <f>Portfolio_Calc!CE46</f>
        <v/>
      </c>
      <c r="L52" s="28">
        <f>Portfolio_Calc!CF46</f>
        <v/>
      </c>
      <c r="M52" s="36">
        <f>Portfolio_Calc!CG46</f>
        <v/>
      </c>
      <c r="N52" s="36">
        <f>Portfolio_Calc!CH46</f>
        <v/>
      </c>
    </row>
    <row r="53">
      <c r="A53" s="6">
        <f>Actions!A45</f>
        <v/>
      </c>
      <c r="B53" s="6">
        <f>Actions!B45</f>
        <v/>
      </c>
      <c r="C53" s="6">
        <f>Actions!D45</f>
        <v/>
      </c>
      <c r="D53" s="41">
        <f>Actions!F45</f>
        <v/>
      </c>
      <c r="E53" s="6">
        <f>Actions!G45</f>
        <v/>
      </c>
      <c r="F53" s="6">
        <f>Actions!H45</f>
        <v/>
      </c>
      <c r="G53" s="16">
        <f>Portfolio_Calc!K47</f>
        <v/>
      </c>
      <c r="H53" s="29">
        <f>Actions!T45</f>
        <v/>
      </c>
      <c r="I53" s="29">
        <f>Actions!Y45</f>
        <v/>
      </c>
      <c r="J53" s="29">
        <f>Portfolio_Calc!CD47</f>
        <v/>
      </c>
      <c r="K53" s="37">
        <f>Portfolio_Calc!CE47</f>
        <v/>
      </c>
      <c r="L53" s="28">
        <f>Portfolio_Calc!CF47</f>
        <v/>
      </c>
      <c r="M53" s="36">
        <f>Portfolio_Calc!CG47</f>
        <v/>
      </c>
      <c r="N53" s="36">
        <f>Portfolio_Calc!CH47</f>
        <v/>
      </c>
    </row>
    <row r="54">
      <c r="A54" s="6">
        <f>Actions!A46</f>
        <v/>
      </c>
      <c r="B54" s="6">
        <f>Actions!B46</f>
        <v/>
      </c>
      <c r="C54" s="6">
        <f>Actions!D46</f>
        <v/>
      </c>
      <c r="D54" s="41">
        <f>Actions!F46</f>
        <v/>
      </c>
      <c r="E54" s="6">
        <f>Actions!G46</f>
        <v/>
      </c>
      <c r="F54" s="6">
        <f>Actions!H46</f>
        <v/>
      </c>
      <c r="G54" s="16">
        <f>Portfolio_Calc!K48</f>
        <v/>
      </c>
      <c r="H54" s="29">
        <f>Actions!T46</f>
        <v/>
      </c>
      <c r="I54" s="29">
        <f>Actions!Y46</f>
        <v/>
      </c>
      <c r="J54" s="29">
        <f>Portfolio_Calc!CD48</f>
        <v/>
      </c>
      <c r="K54" s="37">
        <f>Portfolio_Calc!CE48</f>
        <v/>
      </c>
      <c r="L54" s="28">
        <f>Portfolio_Calc!CF48</f>
        <v/>
      </c>
      <c r="M54" s="36">
        <f>Portfolio_Calc!CG48</f>
        <v/>
      </c>
      <c r="N54" s="36">
        <f>Portfolio_Calc!CH48</f>
        <v/>
      </c>
    </row>
    <row r="55">
      <c r="A55" s="6">
        <f>Actions!A47</f>
        <v/>
      </c>
      <c r="B55" s="6">
        <f>Actions!B47</f>
        <v/>
      </c>
      <c r="C55" s="6">
        <f>Actions!D47</f>
        <v/>
      </c>
      <c r="D55" s="41">
        <f>Actions!F47</f>
        <v/>
      </c>
      <c r="E55" s="6">
        <f>Actions!G47</f>
        <v/>
      </c>
      <c r="F55" s="6">
        <f>Actions!H47</f>
        <v/>
      </c>
      <c r="G55" s="16">
        <f>Portfolio_Calc!K49</f>
        <v/>
      </c>
      <c r="H55" s="29">
        <f>Actions!T47</f>
        <v/>
      </c>
      <c r="I55" s="29">
        <f>Actions!Y47</f>
        <v/>
      </c>
      <c r="J55" s="29">
        <f>Portfolio_Calc!CD49</f>
        <v/>
      </c>
      <c r="K55" s="37">
        <f>Portfolio_Calc!CE49</f>
        <v/>
      </c>
      <c r="L55" s="28">
        <f>Portfolio_Calc!CF49</f>
        <v/>
      </c>
      <c r="M55" s="36">
        <f>Portfolio_Calc!CG49</f>
        <v/>
      </c>
      <c r="N55" s="36">
        <f>Portfolio_Calc!CH49</f>
        <v/>
      </c>
    </row>
    <row r="56">
      <c r="A56" s="6">
        <f>Actions!A48</f>
        <v/>
      </c>
      <c r="B56" s="6">
        <f>Actions!B48</f>
        <v/>
      </c>
      <c r="C56" s="6">
        <f>Actions!D48</f>
        <v/>
      </c>
      <c r="D56" s="41">
        <f>Actions!F48</f>
        <v/>
      </c>
      <c r="E56" s="6">
        <f>Actions!G48</f>
        <v/>
      </c>
      <c r="F56" s="6">
        <f>Actions!H48</f>
        <v/>
      </c>
      <c r="G56" s="16">
        <f>Portfolio_Calc!K50</f>
        <v/>
      </c>
      <c r="H56" s="29">
        <f>Actions!T48</f>
        <v/>
      </c>
      <c r="I56" s="29">
        <f>Actions!Y48</f>
        <v/>
      </c>
      <c r="J56" s="29">
        <f>Portfolio_Calc!CD50</f>
        <v/>
      </c>
      <c r="K56" s="37">
        <f>Portfolio_Calc!CE50</f>
        <v/>
      </c>
      <c r="L56" s="28">
        <f>Portfolio_Calc!CF50</f>
        <v/>
      </c>
      <c r="M56" s="36">
        <f>Portfolio_Calc!CG50</f>
        <v/>
      </c>
      <c r="N56" s="36">
        <f>Portfolio_Calc!CH50</f>
        <v/>
      </c>
    </row>
    <row r="57">
      <c r="A57" s="6">
        <f>Actions!A49</f>
        <v/>
      </c>
      <c r="B57" s="6">
        <f>Actions!B49</f>
        <v/>
      </c>
      <c r="C57" s="6">
        <f>Actions!D49</f>
        <v/>
      </c>
      <c r="D57" s="41">
        <f>Actions!F49</f>
        <v/>
      </c>
      <c r="E57" s="6">
        <f>Actions!G49</f>
        <v/>
      </c>
      <c r="F57" s="6">
        <f>Actions!H49</f>
        <v/>
      </c>
      <c r="G57" s="16">
        <f>Portfolio_Calc!K51</f>
        <v/>
      </c>
      <c r="H57" s="29">
        <f>Actions!T49</f>
        <v/>
      </c>
      <c r="I57" s="29">
        <f>Actions!Y49</f>
        <v/>
      </c>
      <c r="J57" s="29">
        <f>Portfolio_Calc!CD51</f>
        <v/>
      </c>
      <c r="K57" s="37">
        <f>Portfolio_Calc!CE51</f>
        <v/>
      </c>
      <c r="L57" s="28">
        <f>Portfolio_Calc!CF51</f>
        <v/>
      </c>
      <c r="M57" s="36">
        <f>Portfolio_Calc!CG51</f>
        <v/>
      </c>
      <c r="N57" s="36">
        <f>Portfolio_Calc!CH51</f>
        <v/>
      </c>
    </row>
    <row r="58">
      <c r="A58" s="6">
        <f>Actions!A50</f>
        <v/>
      </c>
      <c r="B58" s="6">
        <f>Actions!B50</f>
        <v/>
      </c>
      <c r="C58" s="6">
        <f>Actions!D50</f>
        <v/>
      </c>
      <c r="D58" s="41">
        <f>Actions!F50</f>
        <v/>
      </c>
      <c r="E58" s="6">
        <f>Actions!G50</f>
        <v/>
      </c>
      <c r="F58" s="6">
        <f>Actions!H50</f>
        <v/>
      </c>
      <c r="G58" s="16">
        <f>Portfolio_Calc!K52</f>
        <v/>
      </c>
      <c r="H58" s="29">
        <f>Actions!T50</f>
        <v/>
      </c>
      <c r="I58" s="29">
        <f>Actions!Y50</f>
        <v/>
      </c>
      <c r="J58" s="29">
        <f>Portfolio_Calc!CD52</f>
        <v/>
      </c>
      <c r="K58" s="37">
        <f>Portfolio_Calc!CE52</f>
        <v/>
      </c>
      <c r="L58" s="28">
        <f>Portfolio_Calc!CF52</f>
        <v/>
      </c>
      <c r="M58" s="36">
        <f>Portfolio_Calc!CG52</f>
        <v/>
      </c>
      <c r="N58" s="36">
        <f>Portfolio_Calc!CH52</f>
        <v/>
      </c>
    </row>
    <row r="59">
      <c r="A59" s="6">
        <f>Actions!A51</f>
        <v/>
      </c>
      <c r="B59" s="6">
        <f>Actions!B51</f>
        <v/>
      </c>
      <c r="C59" s="6">
        <f>Actions!D51</f>
        <v/>
      </c>
      <c r="D59" s="41">
        <f>Actions!F51</f>
        <v/>
      </c>
      <c r="E59" s="6">
        <f>Actions!G51</f>
        <v/>
      </c>
      <c r="F59" s="6">
        <f>Actions!H51</f>
        <v/>
      </c>
      <c r="G59" s="16">
        <f>Portfolio_Calc!K53</f>
        <v/>
      </c>
      <c r="H59" s="29">
        <f>Actions!T51</f>
        <v/>
      </c>
      <c r="I59" s="29">
        <f>Actions!Y51</f>
        <v/>
      </c>
      <c r="J59" s="29">
        <f>Portfolio_Calc!CD53</f>
        <v/>
      </c>
      <c r="K59" s="37">
        <f>Portfolio_Calc!CE53</f>
        <v/>
      </c>
      <c r="L59" s="28">
        <f>Portfolio_Calc!CF53</f>
        <v/>
      </c>
      <c r="M59" s="36">
        <f>Portfolio_Calc!CG53</f>
        <v/>
      </c>
      <c r="N59" s="36">
        <f>Portfolio_Calc!CH53</f>
        <v/>
      </c>
    </row>
    <row r="60">
      <c r="A60" s="6">
        <f>Actions!A52</f>
        <v/>
      </c>
      <c r="B60" s="6">
        <f>Actions!B52</f>
        <v/>
      </c>
      <c r="C60" s="6">
        <f>Actions!D52</f>
        <v/>
      </c>
      <c r="D60" s="41">
        <f>Actions!F52</f>
        <v/>
      </c>
      <c r="E60" s="6">
        <f>Actions!G52</f>
        <v/>
      </c>
      <c r="F60" s="6">
        <f>Actions!H52</f>
        <v/>
      </c>
      <c r="G60" s="16">
        <f>Portfolio_Calc!K54</f>
        <v/>
      </c>
      <c r="H60" s="29">
        <f>Actions!T52</f>
        <v/>
      </c>
      <c r="I60" s="29">
        <f>Actions!Y52</f>
        <v/>
      </c>
      <c r="J60" s="29">
        <f>Portfolio_Calc!CD54</f>
        <v/>
      </c>
      <c r="K60" s="37">
        <f>Portfolio_Calc!CE54</f>
        <v/>
      </c>
      <c r="L60" s="28">
        <f>Portfolio_Calc!CF54</f>
        <v/>
      </c>
      <c r="M60" s="36">
        <f>Portfolio_Calc!CG54</f>
        <v/>
      </c>
      <c r="N60" s="36">
        <f>Portfolio_Calc!CH54</f>
        <v/>
      </c>
    </row>
    <row r="61">
      <c r="A61" s="6">
        <f>Actions!A53</f>
        <v/>
      </c>
      <c r="B61" s="6">
        <f>Actions!B53</f>
        <v/>
      </c>
      <c r="C61" s="6">
        <f>Actions!D53</f>
        <v/>
      </c>
      <c r="D61" s="41">
        <f>Actions!F53</f>
        <v/>
      </c>
      <c r="E61" s="6">
        <f>Actions!G53</f>
        <v/>
      </c>
      <c r="F61" s="6">
        <f>Actions!H53</f>
        <v/>
      </c>
      <c r="G61" s="16">
        <f>Portfolio_Calc!K55</f>
        <v/>
      </c>
      <c r="H61" s="29">
        <f>Actions!T53</f>
        <v/>
      </c>
      <c r="I61" s="29">
        <f>Actions!Y53</f>
        <v/>
      </c>
      <c r="J61" s="29">
        <f>Portfolio_Calc!CD55</f>
        <v/>
      </c>
      <c r="K61" s="37">
        <f>Portfolio_Calc!CE55</f>
        <v/>
      </c>
      <c r="L61" s="28">
        <f>Portfolio_Calc!CF55</f>
        <v/>
      </c>
      <c r="M61" s="36">
        <f>Portfolio_Calc!CG55</f>
        <v/>
      </c>
      <c r="N61" s="36">
        <f>Portfolio_Calc!CH55</f>
        <v/>
      </c>
    </row>
    <row r="62">
      <c r="A62" s="6">
        <f>Actions!A54</f>
        <v/>
      </c>
      <c r="B62" s="6">
        <f>Actions!B54</f>
        <v/>
      </c>
      <c r="C62" s="6">
        <f>Actions!D54</f>
        <v/>
      </c>
      <c r="D62" s="41">
        <f>Actions!F54</f>
        <v/>
      </c>
      <c r="E62" s="6">
        <f>Actions!G54</f>
        <v/>
      </c>
      <c r="F62" s="6">
        <f>Actions!H54</f>
        <v/>
      </c>
      <c r="G62" s="16">
        <f>Portfolio_Calc!K56</f>
        <v/>
      </c>
      <c r="H62" s="29">
        <f>Actions!T54</f>
        <v/>
      </c>
      <c r="I62" s="29">
        <f>Actions!Y54</f>
        <v/>
      </c>
      <c r="J62" s="29">
        <f>Portfolio_Calc!CD56</f>
        <v/>
      </c>
      <c r="K62" s="37">
        <f>Portfolio_Calc!CE56</f>
        <v/>
      </c>
      <c r="L62" s="28">
        <f>Portfolio_Calc!CF56</f>
        <v/>
      </c>
      <c r="M62" s="36">
        <f>Portfolio_Calc!CG56</f>
        <v/>
      </c>
      <c r="N62" s="36">
        <f>Portfolio_Calc!CH56</f>
        <v/>
      </c>
    </row>
    <row r="63">
      <c r="A63" s="6">
        <f>Actions!A55</f>
        <v/>
      </c>
      <c r="B63" s="6">
        <f>Actions!B55</f>
        <v/>
      </c>
      <c r="C63" s="6">
        <f>Actions!D55</f>
        <v/>
      </c>
      <c r="D63" s="41">
        <f>Actions!F55</f>
        <v/>
      </c>
      <c r="E63" s="6">
        <f>Actions!G55</f>
        <v/>
      </c>
      <c r="F63" s="6">
        <f>Actions!H55</f>
        <v/>
      </c>
      <c r="G63" s="16">
        <f>Portfolio_Calc!K57</f>
        <v/>
      </c>
      <c r="H63" s="29">
        <f>Actions!T55</f>
        <v/>
      </c>
      <c r="I63" s="29">
        <f>Actions!Y55</f>
        <v/>
      </c>
      <c r="J63" s="29">
        <f>Portfolio_Calc!CD57</f>
        <v/>
      </c>
      <c r="K63" s="37">
        <f>Portfolio_Calc!CE57</f>
        <v/>
      </c>
      <c r="L63" s="28">
        <f>Portfolio_Calc!CF57</f>
        <v/>
      </c>
      <c r="M63" s="36">
        <f>Portfolio_Calc!CG57</f>
        <v/>
      </c>
      <c r="N63" s="36">
        <f>Portfolio_Calc!CH57</f>
        <v/>
      </c>
    </row>
    <row r="64">
      <c r="A64" s="6">
        <f>Actions!A56</f>
        <v/>
      </c>
      <c r="B64" s="6">
        <f>Actions!B56</f>
        <v/>
      </c>
      <c r="C64" s="6">
        <f>Actions!D56</f>
        <v/>
      </c>
      <c r="D64" s="41">
        <f>Actions!F56</f>
        <v/>
      </c>
      <c r="E64" s="6">
        <f>Actions!G56</f>
        <v/>
      </c>
      <c r="F64" s="6">
        <f>Actions!H56</f>
        <v/>
      </c>
      <c r="G64" s="16">
        <f>Portfolio_Calc!K58</f>
        <v/>
      </c>
      <c r="H64" s="29">
        <f>Actions!T56</f>
        <v/>
      </c>
      <c r="I64" s="29">
        <f>Actions!Y56</f>
        <v/>
      </c>
      <c r="J64" s="29">
        <f>Portfolio_Calc!CD58</f>
        <v/>
      </c>
      <c r="K64" s="37">
        <f>Portfolio_Calc!CE58</f>
        <v/>
      </c>
      <c r="L64" s="28">
        <f>Portfolio_Calc!CF58</f>
        <v/>
      </c>
      <c r="M64" s="36">
        <f>Portfolio_Calc!CG58</f>
        <v/>
      </c>
      <c r="N64" s="36">
        <f>Portfolio_Calc!CH58</f>
        <v/>
      </c>
    </row>
    <row r="65">
      <c r="A65" s="6">
        <f>Actions!A57</f>
        <v/>
      </c>
      <c r="B65" s="6">
        <f>Actions!B57</f>
        <v/>
      </c>
      <c r="C65" s="6">
        <f>Actions!D57</f>
        <v/>
      </c>
      <c r="D65" s="41">
        <f>Actions!F57</f>
        <v/>
      </c>
      <c r="E65" s="6">
        <f>Actions!G57</f>
        <v/>
      </c>
      <c r="F65" s="6">
        <f>Actions!H57</f>
        <v/>
      </c>
      <c r="G65" s="16">
        <f>Portfolio_Calc!K59</f>
        <v/>
      </c>
      <c r="H65" s="29">
        <f>Actions!T57</f>
        <v/>
      </c>
      <c r="I65" s="29">
        <f>Actions!Y57</f>
        <v/>
      </c>
      <c r="J65" s="29">
        <f>Portfolio_Calc!CD59</f>
        <v/>
      </c>
      <c r="K65" s="37">
        <f>Portfolio_Calc!CE59</f>
        <v/>
      </c>
      <c r="L65" s="28">
        <f>Portfolio_Calc!CF59</f>
        <v/>
      </c>
      <c r="M65" s="36">
        <f>Portfolio_Calc!CG59</f>
        <v/>
      </c>
      <c r="N65" s="36">
        <f>Portfolio_Calc!CH59</f>
        <v/>
      </c>
    </row>
    <row r="66">
      <c r="A66" s="6">
        <f>Actions!A58</f>
        <v/>
      </c>
      <c r="B66" s="6">
        <f>Actions!B58</f>
        <v/>
      </c>
      <c r="C66" s="6">
        <f>Actions!D58</f>
        <v/>
      </c>
      <c r="D66" s="41">
        <f>Actions!F58</f>
        <v/>
      </c>
      <c r="E66" s="6">
        <f>Actions!G58</f>
        <v/>
      </c>
      <c r="F66" s="6">
        <f>Actions!H58</f>
        <v/>
      </c>
      <c r="G66" s="16">
        <f>Portfolio_Calc!K60</f>
        <v/>
      </c>
      <c r="H66" s="29">
        <f>Actions!T58</f>
        <v/>
      </c>
      <c r="I66" s="29">
        <f>Actions!Y58</f>
        <v/>
      </c>
      <c r="J66" s="29">
        <f>Portfolio_Calc!CD60</f>
        <v/>
      </c>
      <c r="K66" s="37">
        <f>Portfolio_Calc!CE60</f>
        <v/>
      </c>
      <c r="L66" s="28">
        <f>Portfolio_Calc!CF60</f>
        <v/>
      </c>
      <c r="M66" s="36">
        <f>Portfolio_Calc!CG60</f>
        <v/>
      </c>
      <c r="N66" s="36">
        <f>Portfolio_Calc!CH60</f>
        <v/>
      </c>
    </row>
    <row r="67">
      <c r="A67" s="6">
        <f>Actions!A59</f>
        <v/>
      </c>
      <c r="B67" s="6">
        <f>Actions!B59</f>
        <v/>
      </c>
      <c r="C67" s="6">
        <f>Actions!D59</f>
        <v/>
      </c>
      <c r="D67" s="41">
        <f>Actions!F59</f>
        <v/>
      </c>
      <c r="E67" s="6">
        <f>Actions!G59</f>
        <v/>
      </c>
      <c r="F67" s="6">
        <f>Actions!H59</f>
        <v/>
      </c>
      <c r="G67" s="16">
        <f>Portfolio_Calc!K61</f>
        <v/>
      </c>
      <c r="H67" s="29">
        <f>Actions!T59</f>
        <v/>
      </c>
      <c r="I67" s="29">
        <f>Actions!Y59</f>
        <v/>
      </c>
      <c r="J67" s="29">
        <f>Portfolio_Calc!CD61</f>
        <v/>
      </c>
      <c r="K67" s="37">
        <f>Portfolio_Calc!CE61</f>
        <v/>
      </c>
      <c r="L67" s="28">
        <f>Portfolio_Calc!CF61</f>
        <v/>
      </c>
      <c r="M67" s="36">
        <f>Portfolio_Calc!CG61</f>
        <v/>
      </c>
      <c r="N67" s="36">
        <f>Portfolio_Calc!CH61</f>
        <v/>
      </c>
    </row>
    <row r="68">
      <c r="A68" s="6">
        <f>Actions!A60</f>
        <v/>
      </c>
      <c r="B68" s="6">
        <f>Actions!B60</f>
        <v/>
      </c>
      <c r="C68" s="6">
        <f>Actions!D60</f>
        <v/>
      </c>
      <c r="D68" s="41">
        <f>Actions!F60</f>
        <v/>
      </c>
      <c r="E68" s="6">
        <f>Actions!G60</f>
        <v/>
      </c>
      <c r="F68" s="6">
        <f>Actions!H60</f>
        <v/>
      </c>
      <c r="G68" s="16">
        <f>Portfolio_Calc!K62</f>
        <v/>
      </c>
      <c r="H68" s="29">
        <f>Actions!T60</f>
        <v/>
      </c>
      <c r="I68" s="29">
        <f>Actions!Y60</f>
        <v/>
      </c>
      <c r="J68" s="29">
        <f>Portfolio_Calc!CD62</f>
        <v/>
      </c>
      <c r="K68" s="37">
        <f>Portfolio_Calc!CE62</f>
        <v/>
      </c>
      <c r="L68" s="28">
        <f>Portfolio_Calc!CF62</f>
        <v/>
      </c>
      <c r="M68" s="36">
        <f>Portfolio_Calc!CG62</f>
        <v/>
      </c>
      <c r="N68" s="36">
        <f>Portfolio_Calc!CH62</f>
        <v/>
      </c>
    </row>
    <row r="69">
      <c r="A69" s="6">
        <f>Actions!A61</f>
        <v/>
      </c>
      <c r="B69" s="6">
        <f>Actions!B61</f>
        <v/>
      </c>
      <c r="C69" s="6">
        <f>Actions!D61</f>
        <v/>
      </c>
      <c r="D69" s="41">
        <f>Actions!F61</f>
        <v/>
      </c>
      <c r="E69" s="6">
        <f>Actions!G61</f>
        <v/>
      </c>
      <c r="F69" s="6">
        <f>Actions!H61</f>
        <v/>
      </c>
      <c r="G69" s="16">
        <f>Portfolio_Calc!K63</f>
        <v/>
      </c>
      <c r="H69" s="29">
        <f>Actions!T61</f>
        <v/>
      </c>
      <c r="I69" s="29">
        <f>Actions!Y61</f>
        <v/>
      </c>
      <c r="J69" s="29">
        <f>Portfolio_Calc!CD63</f>
        <v/>
      </c>
      <c r="K69" s="37">
        <f>Portfolio_Calc!CE63</f>
        <v/>
      </c>
      <c r="L69" s="28">
        <f>Portfolio_Calc!CF63</f>
        <v/>
      </c>
      <c r="M69" s="36">
        <f>Portfolio_Calc!CG63</f>
        <v/>
      </c>
      <c r="N69" s="36">
        <f>Portfolio_Calc!CH63</f>
        <v/>
      </c>
    </row>
    <row r="70">
      <c r="A70" s="6">
        <f>Actions!A62</f>
        <v/>
      </c>
      <c r="B70" s="6">
        <f>Actions!B62</f>
        <v/>
      </c>
      <c r="C70" s="6">
        <f>Actions!D62</f>
        <v/>
      </c>
      <c r="D70" s="41">
        <f>Actions!F62</f>
        <v/>
      </c>
      <c r="E70" s="6">
        <f>Actions!G62</f>
        <v/>
      </c>
      <c r="F70" s="6">
        <f>Actions!H62</f>
        <v/>
      </c>
      <c r="G70" s="16">
        <f>Portfolio_Calc!K64</f>
        <v/>
      </c>
      <c r="H70" s="29">
        <f>Actions!T62</f>
        <v/>
      </c>
      <c r="I70" s="29">
        <f>Actions!Y62</f>
        <v/>
      </c>
      <c r="J70" s="29">
        <f>Portfolio_Calc!CD64</f>
        <v/>
      </c>
      <c r="K70" s="37">
        <f>Portfolio_Calc!CE64</f>
        <v/>
      </c>
      <c r="L70" s="28">
        <f>Portfolio_Calc!CF64</f>
        <v/>
      </c>
      <c r="M70" s="36">
        <f>Portfolio_Calc!CG64</f>
        <v/>
      </c>
      <c r="N70" s="36">
        <f>Portfolio_Calc!CH64</f>
        <v/>
      </c>
    </row>
    <row r="71">
      <c r="A71" s="6">
        <f>Actions!A63</f>
        <v/>
      </c>
      <c r="B71" s="6">
        <f>Actions!B63</f>
        <v/>
      </c>
      <c r="C71" s="6">
        <f>Actions!D63</f>
        <v/>
      </c>
      <c r="D71" s="41">
        <f>Actions!F63</f>
        <v/>
      </c>
      <c r="E71" s="6">
        <f>Actions!G63</f>
        <v/>
      </c>
      <c r="F71" s="6">
        <f>Actions!H63</f>
        <v/>
      </c>
      <c r="G71" s="16">
        <f>Portfolio_Calc!K65</f>
        <v/>
      </c>
      <c r="H71" s="29">
        <f>Actions!T63</f>
        <v/>
      </c>
      <c r="I71" s="29">
        <f>Actions!Y63</f>
        <v/>
      </c>
      <c r="J71" s="29">
        <f>Portfolio_Calc!CD65</f>
        <v/>
      </c>
      <c r="K71" s="37">
        <f>Portfolio_Calc!CE65</f>
        <v/>
      </c>
      <c r="L71" s="28">
        <f>Portfolio_Calc!CF65</f>
        <v/>
      </c>
      <c r="M71" s="36">
        <f>Portfolio_Calc!CG65</f>
        <v/>
      </c>
      <c r="N71" s="36">
        <f>Portfolio_Calc!CH65</f>
        <v/>
      </c>
    </row>
    <row r="72">
      <c r="A72" s="6">
        <f>Actions!A64</f>
        <v/>
      </c>
      <c r="B72" s="6">
        <f>Actions!B64</f>
        <v/>
      </c>
      <c r="C72" s="6">
        <f>Actions!D64</f>
        <v/>
      </c>
      <c r="D72" s="41">
        <f>Actions!F64</f>
        <v/>
      </c>
      <c r="E72" s="6">
        <f>Actions!G64</f>
        <v/>
      </c>
      <c r="F72" s="6">
        <f>Actions!H64</f>
        <v/>
      </c>
      <c r="G72" s="16">
        <f>Portfolio_Calc!K66</f>
        <v/>
      </c>
      <c r="H72" s="29">
        <f>Actions!T64</f>
        <v/>
      </c>
      <c r="I72" s="29">
        <f>Actions!Y64</f>
        <v/>
      </c>
      <c r="J72" s="29">
        <f>Portfolio_Calc!CD66</f>
        <v/>
      </c>
      <c r="K72" s="37">
        <f>Portfolio_Calc!CE66</f>
        <v/>
      </c>
      <c r="L72" s="28">
        <f>Portfolio_Calc!CF66</f>
        <v/>
      </c>
      <c r="M72" s="36">
        <f>Portfolio_Calc!CG66</f>
        <v/>
      </c>
      <c r="N72" s="36">
        <f>Portfolio_Calc!CH66</f>
        <v/>
      </c>
    </row>
    <row r="73">
      <c r="A73" s="6">
        <f>Actions!A65</f>
        <v/>
      </c>
      <c r="B73" s="6">
        <f>Actions!B65</f>
        <v/>
      </c>
      <c r="C73" s="6">
        <f>Actions!D65</f>
        <v/>
      </c>
      <c r="D73" s="41">
        <f>Actions!F65</f>
        <v/>
      </c>
      <c r="E73" s="6">
        <f>Actions!G65</f>
        <v/>
      </c>
      <c r="F73" s="6">
        <f>Actions!H65</f>
        <v/>
      </c>
      <c r="G73" s="16">
        <f>Portfolio_Calc!K67</f>
        <v/>
      </c>
      <c r="H73" s="29">
        <f>Actions!T65</f>
        <v/>
      </c>
      <c r="I73" s="29">
        <f>Actions!Y65</f>
        <v/>
      </c>
      <c r="J73" s="29">
        <f>Portfolio_Calc!CD67</f>
        <v/>
      </c>
      <c r="K73" s="37">
        <f>Portfolio_Calc!CE67</f>
        <v/>
      </c>
      <c r="L73" s="28">
        <f>Portfolio_Calc!CF67</f>
        <v/>
      </c>
      <c r="M73" s="36">
        <f>Portfolio_Calc!CG67</f>
        <v/>
      </c>
      <c r="N73" s="36">
        <f>Portfolio_Calc!CH67</f>
        <v/>
      </c>
    </row>
    <row r="74">
      <c r="A74" s="6">
        <f>Actions!A66</f>
        <v/>
      </c>
      <c r="B74" s="6">
        <f>Actions!B66</f>
        <v/>
      </c>
      <c r="C74" s="6">
        <f>Actions!D66</f>
        <v/>
      </c>
      <c r="D74" s="41">
        <f>Actions!F66</f>
        <v/>
      </c>
      <c r="E74" s="6">
        <f>Actions!G66</f>
        <v/>
      </c>
      <c r="F74" s="6">
        <f>Actions!H66</f>
        <v/>
      </c>
      <c r="G74" s="16">
        <f>Portfolio_Calc!K68</f>
        <v/>
      </c>
      <c r="H74" s="29">
        <f>Actions!T66</f>
        <v/>
      </c>
      <c r="I74" s="29">
        <f>Actions!Y66</f>
        <v/>
      </c>
      <c r="J74" s="29">
        <f>Portfolio_Calc!CD68</f>
        <v/>
      </c>
      <c r="K74" s="37">
        <f>Portfolio_Calc!CE68</f>
        <v/>
      </c>
      <c r="L74" s="28">
        <f>Portfolio_Calc!CF68</f>
        <v/>
      </c>
      <c r="M74" s="36">
        <f>Portfolio_Calc!CG68</f>
        <v/>
      </c>
      <c r="N74" s="36">
        <f>Portfolio_Calc!CH68</f>
        <v/>
      </c>
    </row>
    <row r="75">
      <c r="A75" s="6">
        <f>Actions!A67</f>
        <v/>
      </c>
      <c r="B75" s="6">
        <f>Actions!B67</f>
        <v/>
      </c>
      <c r="C75" s="6">
        <f>Actions!D67</f>
        <v/>
      </c>
      <c r="D75" s="41">
        <f>Actions!F67</f>
        <v/>
      </c>
      <c r="E75" s="6">
        <f>Actions!G67</f>
        <v/>
      </c>
      <c r="F75" s="6">
        <f>Actions!H67</f>
        <v/>
      </c>
      <c r="G75" s="16">
        <f>Portfolio_Calc!K69</f>
        <v/>
      </c>
      <c r="H75" s="29">
        <f>Actions!T67</f>
        <v/>
      </c>
      <c r="I75" s="29">
        <f>Actions!Y67</f>
        <v/>
      </c>
      <c r="J75" s="29">
        <f>Portfolio_Calc!CD69</f>
        <v/>
      </c>
      <c r="K75" s="37">
        <f>Portfolio_Calc!CE69</f>
        <v/>
      </c>
      <c r="L75" s="28">
        <f>Portfolio_Calc!CF69</f>
        <v/>
      </c>
      <c r="M75" s="36">
        <f>Portfolio_Calc!CG69</f>
        <v/>
      </c>
      <c r="N75" s="36">
        <f>Portfolio_Calc!CH69</f>
        <v/>
      </c>
    </row>
    <row r="76">
      <c r="A76" s="6">
        <f>Actions!A68</f>
        <v/>
      </c>
      <c r="B76" s="6">
        <f>Actions!B68</f>
        <v/>
      </c>
      <c r="C76" s="6">
        <f>Actions!D68</f>
        <v/>
      </c>
      <c r="D76" s="41">
        <f>Actions!F68</f>
        <v/>
      </c>
      <c r="E76" s="6">
        <f>Actions!G68</f>
        <v/>
      </c>
      <c r="F76" s="6">
        <f>Actions!H68</f>
        <v/>
      </c>
      <c r="G76" s="16">
        <f>Portfolio_Calc!K70</f>
        <v/>
      </c>
      <c r="H76" s="29">
        <f>Actions!T68</f>
        <v/>
      </c>
      <c r="I76" s="29">
        <f>Actions!Y68</f>
        <v/>
      </c>
      <c r="J76" s="29">
        <f>Portfolio_Calc!CD70</f>
        <v/>
      </c>
      <c r="K76" s="37">
        <f>Portfolio_Calc!CE70</f>
        <v/>
      </c>
      <c r="L76" s="28">
        <f>Portfolio_Calc!CF70</f>
        <v/>
      </c>
      <c r="M76" s="36">
        <f>Portfolio_Calc!CG70</f>
        <v/>
      </c>
      <c r="N76" s="36">
        <f>Portfolio_Calc!CH70</f>
        <v/>
      </c>
    </row>
    <row r="77">
      <c r="A77" s="6">
        <f>Actions!A69</f>
        <v/>
      </c>
      <c r="B77" s="6">
        <f>Actions!B69</f>
        <v/>
      </c>
      <c r="C77" s="6">
        <f>Actions!D69</f>
        <v/>
      </c>
      <c r="D77" s="41">
        <f>Actions!F69</f>
        <v/>
      </c>
      <c r="E77" s="6">
        <f>Actions!G69</f>
        <v/>
      </c>
      <c r="F77" s="6">
        <f>Actions!H69</f>
        <v/>
      </c>
      <c r="G77" s="16">
        <f>Portfolio_Calc!K71</f>
        <v/>
      </c>
      <c r="H77" s="29">
        <f>Actions!T69</f>
        <v/>
      </c>
      <c r="I77" s="29">
        <f>Actions!Y69</f>
        <v/>
      </c>
      <c r="J77" s="29">
        <f>Portfolio_Calc!CD71</f>
        <v/>
      </c>
      <c r="K77" s="37">
        <f>Portfolio_Calc!CE71</f>
        <v/>
      </c>
      <c r="L77" s="28">
        <f>Portfolio_Calc!CF71</f>
        <v/>
      </c>
      <c r="M77" s="36">
        <f>Portfolio_Calc!CG71</f>
        <v/>
      </c>
      <c r="N77" s="36">
        <f>Portfolio_Calc!CH71</f>
        <v/>
      </c>
    </row>
    <row r="78">
      <c r="A78" s="6">
        <f>Actions!A70</f>
        <v/>
      </c>
      <c r="B78" s="6">
        <f>Actions!B70</f>
        <v/>
      </c>
      <c r="C78" s="6">
        <f>Actions!D70</f>
        <v/>
      </c>
      <c r="D78" s="41">
        <f>Actions!F70</f>
        <v/>
      </c>
      <c r="E78" s="6">
        <f>Actions!G70</f>
        <v/>
      </c>
      <c r="F78" s="6">
        <f>Actions!H70</f>
        <v/>
      </c>
      <c r="G78" s="16">
        <f>Portfolio_Calc!K72</f>
        <v/>
      </c>
      <c r="H78" s="29">
        <f>Actions!T70</f>
        <v/>
      </c>
      <c r="I78" s="29">
        <f>Actions!Y70</f>
        <v/>
      </c>
      <c r="J78" s="29">
        <f>Portfolio_Calc!CD72</f>
        <v/>
      </c>
      <c r="K78" s="37">
        <f>Portfolio_Calc!CE72</f>
        <v/>
      </c>
      <c r="L78" s="28">
        <f>Portfolio_Calc!CF72</f>
        <v/>
      </c>
      <c r="M78" s="36">
        <f>Portfolio_Calc!CG72</f>
        <v/>
      </c>
      <c r="N78" s="36">
        <f>Portfolio_Calc!CH72</f>
        <v/>
      </c>
    </row>
    <row r="79">
      <c r="A79" s="6">
        <f>Actions!A71</f>
        <v/>
      </c>
      <c r="B79" s="6">
        <f>Actions!B71</f>
        <v/>
      </c>
      <c r="C79" s="6">
        <f>Actions!D71</f>
        <v/>
      </c>
      <c r="D79" s="41">
        <f>Actions!F71</f>
        <v/>
      </c>
      <c r="E79" s="6">
        <f>Actions!G71</f>
        <v/>
      </c>
      <c r="F79" s="6">
        <f>Actions!H71</f>
        <v/>
      </c>
      <c r="G79" s="16">
        <f>Portfolio_Calc!K73</f>
        <v/>
      </c>
      <c r="H79" s="29">
        <f>Actions!T71</f>
        <v/>
      </c>
      <c r="I79" s="29">
        <f>Actions!Y71</f>
        <v/>
      </c>
      <c r="J79" s="29">
        <f>Portfolio_Calc!CD73</f>
        <v/>
      </c>
      <c r="K79" s="37">
        <f>Portfolio_Calc!CE73</f>
        <v/>
      </c>
      <c r="L79" s="28">
        <f>Portfolio_Calc!CF73</f>
        <v/>
      </c>
      <c r="M79" s="36">
        <f>Portfolio_Calc!CG73</f>
        <v/>
      </c>
      <c r="N79" s="36">
        <f>Portfolio_Calc!CH73</f>
        <v/>
      </c>
    </row>
    <row r="80">
      <c r="A80" s="6">
        <f>Actions!A72</f>
        <v/>
      </c>
      <c r="B80" s="6">
        <f>Actions!B72</f>
        <v/>
      </c>
      <c r="C80" s="6">
        <f>Actions!D72</f>
        <v/>
      </c>
      <c r="D80" s="41">
        <f>Actions!F72</f>
        <v/>
      </c>
      <c r="E80" s="6">
        <f>Actions!G72</f>
        <v/>
      </c>
      <c r="F80" s="6">
        <f>Actions!H72</f>
        <v/>
      </c>
      <c r="G80" s="16">
        <f>Portfolio_Calc!K74</f>
        <v/>
      </c>
      <c r="H80" s="29">
        <f>Actions!T72</f>
        <v/>
      </c>
      <c r="I80" s="29">
        <f>Actions!Y72</f>
        <v/>
      </c>
      <c r="J80" s="29">
        <f>Portfolio_Calc!CD74</f>
        <v/>
      </c>
      <c r="K80" s="37">
        <f>Portfolio_Calc!CE74</f>
        <v/>
      </c>
      <c r="L80" s="28">
        <f>Portfolio_Calc!CF74</f>
        <v/>
      </c>
      <c r="M80" s="36">
        <f>Portfolio_Calc!CG74</f>
        <v/>
      </c>
      <c r="N80" s="36">
        <f>Portfolio_Calc!CH74</f>
        <v/>
      </c>
    </row>
    <row r="81">
      <c r="A81" s="6">
        <f>Actions!A73</f>
        <v/>
      </c>
      <c r="B81" s="6">
        <f>Actions!B73</f>
        <v/>
      </c>
      <c r="C81" s="6">
        <f>Actions!D73</f>
        <v/>
      </c>
      <c r="D81" s="41">
        <f>Actions!F73</f>
        <v/>
      </c>
      <c r="E81" s="6">
        <f>Actions!G73</f>
        <v/>
      </c>
      <c r="F81" s="6">
        <f>Actions!H73</f>
        <v/>
      </c>
      <c r="G81" s="16">
        <f>Portfolio_Calc!K75</f>
        <v/>
      </c>
      <c r="H81" s="29">
        <f>Actions!T73</f>
        <v/>
      </c>
      <c r="I81" s="29">
        <f>Actions!Y73</f>
        <v/>
      </c>
      <c r="J81" s="29">
        <f>Portfolio_Calc!CD75</f>
        <v/>
      </c>
      <c r="K81" s="37">
        <f>Portfolio_Calc!CE75</f>
        <v/>
      </c>
      <c r="L81" s="28">
        <f>Portfolio_Calc!CF75</f>
        <v/>
      </c>
      <c r="M81" s="36">
        <f>Portfolio_Calc!CG75</f>
        <v/>
      </c>
      <c r="N81" s="36">
        <f>Portfolio_Calc!CH75</f>
        <v/>
      </c>
    </row>
    <row r="82">
      <c r="A82" s="6">
        <f>Actions!A74</f>
        <v/>
      </c>
      <c r="B82" s="6">
        <f>Actions!B74</f>
        <v/>
      </c>
      <c r="C82" s="6">
        <f>Actions!D74</f>
        <v/>
      </c>
      <c r="D82" s="41">
        <f>Actions!F74</f>
        <v/>
      </c>
      <c r="E82" s="6">
        <f>Actions!G74</f>
        <v/>
      </c>
      <c r="F82" s="6">
        <f>Actions!H74</f>
        <v/>
      </c>
      <c r="G82" s="16">
        <f>Portfolio_Calc!K76</f>
        <v/>
      </c>
      <c r="H82" s="29">
        <f>Actions!T74</f>
        <v/>
      </c>
      <c r="I82" s="29">
        <f>Actions!Y74</f>
        <v/>
      </c>
      <c r="J82" s="29">
        <f>Portfolio_Calc!CD76</f>
        <v/>
      </c>
      <c r="K82" s="37">
        <f>Portfolio_Calc!CE76</f>
        <v/>
      </c>
      <c r="L82" s="28">
        <f>Portfolio_Calc!CF76</f>
        <v/>
      </c>
      <c r="M82" s="36">
        <f>Portfolio_Calc!CG76</f>
        <v/>
      </c>
      <c r="N82" s="36">
        <f>Portfolio_Calc!CH76</f>
        <v/>
      </c>
    </row>
    <row r="83">
      <c r="A83" s="6">
        <f>Actions!A75</f>
        <v/>
      </c>
      <c r="B83" s="6">
        <f>Actions!B75</f>
        <v/>
      </c>
      <c r="C83" s="6">
        <f>Actions!D75</f>
        <v/>
      </c>
      <c r="D83" s="41">
        <f>Actions!F75</f>
        <v/>
      </c>
      <c r="E83" s="6">
        <f>Actions!G75</f>
        <v/>
      </c>
      <c r="F83" s="6">
        <f>Actions!H75</f>
        <v/>
      </c>
      <c r="G83" s="16">
        <f>Portfolio_Calc!K77</f>
        <v/>
      </c>
      <c r="H83" s="29">
        <f>Actions!T75</f>
        <v/>
      </c>
      <c r="I83" s="29">
        <f>Actions!Y75</f>
        <v/>
      </c>
      <c r="J83" s="29">
        <f>Portfolio_Calc!CD77</f>
        <v/>
      </c>
      <c r="K83" s="37">
        <f>Portfolio_Calc!CE77</f>
        <v/>
      </c>
      <c r="L83" s="28">
        <f>Portfolio_Calc!CF77</f>
        <v/>
      </c>
      <c r="M83" s="36">
        <f>Portfolio_Calc!CG77</f>
        <v/>
      </c>
      <c r="N83" s="36">
        <f>Portfolio_Calc!CH77</f>
        <v/>
      </c>
    </row>
    <row r="84">
      <c r="A84" s="6">
        <f>Actions!A76</f>
        <v/>
      </c>
      <c r="B84" s="6">
        <f>Actions!B76</f>
        <v/>
      </c>
      <c r="C84" s="6">
        <f>Actions!D76</f>
        <v/>
      </c>
      <c r="D84" s="41">
        <f>Actions!F76</f>
        <v/>
      </c>
      <c r="E84" s="6">
        <f>Actions!G76</f>
        <v/>
      </c>
      <c r="F84" s="6">
        <f>Actions!H76</f>
        <v/>
      </c>
      <c r="G84" s="16">
        <f>Portfolio_Calc!K78</f>
        <v/>
      </c>
      <c r="H84" s="29">
        <f>Actions!T76</f>
        <v/>
      </c>
      <c r="I84" s="29">
        <f>Actions!Y76</f>
        <v/>
      </c>
      <c r="J84" s="29">
        <f>Portfolio_Calc!CD78</f>
        <v/>
      </c>
      <c r="K84" s="37">
        <f>Portfolio_Calc!CE78</f>
        <v/>
      </c>
      <c r="L84" s="28">
        <f>Portfolio_Calc!CF78</f>
        <v/>
      </c>
      <c r="M84" s="36">
        <f>Portfolio_Calc!CG78</f>
        <v/>
      </c>
      <c r="N84" s="36">
        <f>Portfolio_Calc!CH78</f>
        <v/>
      </c>
    </row>
    <row r="85">
      <c r="A85" s="6">
        <f>Actions!A77</f>
        <v/>
      </c>
      <c r="B85" s="6">
        <f>Actions!B77</f>
        <v/>
      </c>
      <c r="C85" s="6">
        <f>Actions!D77</f>
        <v/>
      </c>
      <c r="D85" s="41">
        <f>Actions!F77</f>
        <v/>
      </c>
      <c r="E85" s="6">
        <f>Actions!G77</f>
        <v/>
      </c>
      <c r="F85" s="6">
        <f>Actions!H77</f>
        <v/>
      </c>
      <c r="G85" s="16">
        <f>Portfolio_Calc!K79</f>
        <v/>
      </c>
      <c r="H85" s="29">
        <f>Actions!T77</f>
        <v/>
      </c>
      <c r="I85" s="29">
        <f>Actions!Y77</f>
        <v/>
      </c>
      <c r="J85" s="29">
        <f>Portfolio_Calc!CD79</f>
        <v/>
      </c>
      <c r="K85" s="37">
        <f>Portfolio_Calc!CE79</f>
        <v/>
      </c>
      <c r="L85" s="28">
        <f>Portfolio_Calc!CF79</f>
        <v/>
      </c>
      <c r="M85" s="36">
        <f>Portfolio_Calc!CG79</f>
        <v/>
      </c>
      <c r="N85" s="36">
        <f>Portfolio_Calc!CH79</f>
        <v/>
      </c>
    </row>
    <row r="86">
      <c r="A86" s="6">
        <f>Actions!A78</f>
        <v/>
      </c>
      <c r="B86" s="6">
        <f>Actions!B78</f>
        <v/>
      </c>
      <c r="C86" s="6">
        <f>Actions!D78</f>
        <v/>
      </c>
      <c r="D86" s="41">
        <f>Actions!F78</f>
        <v/>
      </c>
      <c r="E86" s="6">
        <f>Actions!G78</f>
        <v/>
      </c>
      <c r="F86" s="6">
        <f>Actions!H78</f>
        <v/>
      </c>
      <c r="G86" s="16">
        <f>Portfolio_Calc!K80</f>
        <v/>
      </c>
      <c r="H86" s="29">
        <f>Actions!T78</f>
        <v/>
      </c>
      <c r="I86" s="29">
        <f>Actions!Y78</f>
        <v/>
      </c>
      <c r="J86" s="29">
        <f>Portfolio_Calc!CD80</f>
        <v/>
      </c>
      <c r="K86" s="37">
        <f>Portfolio_Calc!CE80</f>
        <v/>
      </c>
      <c r="L86" s="28">
        <f>Portfolio_Calc!CF80</f>
        <v/>
      </c>
      <c r="M86" s="36">
        <f>Portfolio_Calc!CG80</f>
        <v/>
      </c>
      <c r="N86" s="36">
        <f>Portfolio_Calc!CH80</f>
        <v/>
      </c>
    </row>
    <row r="87">
      <c r="A87" s="6">
        <f>Actions!A79</f>
        <v/>
      </c>
      <c r="B87" s="6">
        <f>Actions!B79</f>
        <v/>
      </c>
      <c r="C87" s="6">
        <f>Actions!D79</f>
        <v/>
      </c>
      <c r="D87" s="41">
        <f>Actions!F79</f>
        <v/>
      </c>
      <c r="E87" s="6">
        <f>Actions!G79</f>
        <v/>
      </c>
      <c r="F87" s="6">
        <f>Actions!H79</f>
        <v/>
      </c>
      <c r="G87" s="16">
        <f>Portfolio_Calc!K81</f>
        <v/>
      </c>
      <c r="H87" s="29">
        <f>Actions!T79</f>
        <v/>
      </c>
      <c r="I87" s="29">
        <f>Actions!Y79</f>
        <v/>
      </c>
      <c r="J87" s="29">
        <f>Portfolio_Calc!CD81</f>
        <v/>
      </c>
      <c r="K87" s="37">
        <f>Portfolio_Calc!CE81</f>
        <v/>
      </c>
      <c r="L87" s="28">
        <f>Portfolio_Calc!CF81</f>
        <v/>
      </c>
      <c r="M87" s="36">
        <f>Portfolio_Calc!CG81</f>
        <v/>
      </c>
      <c r="N87" s="36">
        <f>Portfolio_Calc!CH81</f>
        <v/>
      </c>
    </row>
    <row r="88">
      <c r="A88" s="6">
        <f>Actions!A80</f>
        <v/>
      </c>
      <c r="B88" s="6">
        <f>Actions!B80</f>
        <v/>
      </c>
      <c r="C88" s="6">
        <f>Actions!D80</f>
        <v/>
      </c>
      <c r="D88" s="41">
        <f>Actions!F80</f>
        <v/>
      </c>
      <c r="E88" s="6">
        <f>Actions!G80</f>
        <v/>
      </c>
      <c r="F88" s="6">
        <f>Actions!H80</f>
        <v/>
      </c>
      <c r="G88" s="16">
        <f>Portfolio_Calc!K82</f>
        <v/>
      </c>
      <c r="H88" s="29">
        <f>Actions!T80</f>
        <v/>
      </c>
      <c r="I88" s="29">
        <f>Actions!Y80</f>
        <v/>
      </c>
      <c r="J88" s="29">
        <f>Portfolio_Calc!CD82</f>
        <v/>
      </c>
      <c r="K88" s="37">
        <f>Portfolio_Calc!CE82</f>
        <v/>
      </c>
      <c r="L88" s="28">
        <f>Portfolio_Calc!CF82</f>
        <v/>
      </c>
      <c r="M88" s="36">
        <f>Portfolio_Calc!CG82</f>
        <v/>
      </c>
      <c r="N88" s="36">
        <f>Portfolio_Calc!CH82</f>
        <v/>
      </c>
    </row>
    <row r="89">
      <c r="A89" s="6">
        <f>Actions!A81</f>
        <v/>
      </c>
      <c r="B89" s="6">
        <f>Actions!B81</f>
        <v/>
      </c>
      <c r="C89" s="6">
        <f>Actions!D81</f>
        <v/>
      </c>
      <c r="D89" s="41">
        <f>Actions!F81</f>
        <v/>
      </c>
      <c r="E89" s="6">
        <f>Actions!G81</f>
        <v/>
      </c>
      <c r="F89" s="6">
        <f>Actions!H81</f>
        <v/>
      </c>
      <c r="G89" s="16">
        <f>Portfolio_Calc!K83</f>
        <v/>
      </c>
      <c r="H89" s="29">
        <f>Actions!T81</f>
        <v/>
      </c>
      <c r="I89" s="29">
        <f>Actions!Y81</f>
        <v/>
      </c>
      <c r="J89" s="29">
        <f>Portfolio_Calc!CD83</f>
        <v/>
      </c>
      <c r="K89" s="37">
        <f>Portfolio_Calc!CE83</f>
        <v/>
      </c>
      <c r="L89" s="28">
        <f>Portfolio_Calc!CF83</f>
        <v/>
      </c>
      <c r="M89" s="36">
        <f>Portfolio_Calc!CG83</f>
        <v/>
      </c>
      <c r="N89" s="36">
        <f>Portfolio_Calc!CH83</f>
        <v/>
      </c>
    </row>
    <row r="90">
      <c r="A90" s="6">
        <f>Actions!A82</f>
        <v/>
      </c>
      <c r="B90" s="6">
        <f>Actions!B82</f>
        <v/>
      </c>
      <c r="C90" s="6">
        <f>Actions!D82</f>
        <v/>
      </c>
      <c r="D90" s="41">
        <f>Actions!F82</f>
        <v/>
      </c>
      <c r="E90" s="6">
        <f>Actions!G82</f>
        <v/>
      </c>
      <c r="F90" s="6">
        <f>Actions!H82</f>
        <v/>
      </c>
      <c r="G90" s="16">
        <f>Portfolio_Calc!K84</f>
        <v/>
      </c>
      <c r="H90" s="29">
        <f>Actions!T82</f>
        <v/>
      </c>
      <c r="I90" s="29">
        <f>Actions!Y82</f>
        <v/>
      </c>
      <c r="J90" s="29">
        <f>Portfolio_Calc!CD84</f>
        <v/>
      </c>
      <c r="K90" s="37">
        <f>Portfolio_Calc!CE84</f>
        <v/>
      </c>
      <c r="L90" s="28">
        <f>Portfolio_Calc!CF84</f>
        <v/>
      </c>
      <c r="M90" s="36">
        <f>Portfolio_Calc!CG84</f>
        <v/>
      </c>
      <c r="N90" s="36">
        <f>Portfolio_Calc!CH84</f>
        <v/>
      </c>
    </row>
    <row r="91">
      <c r="A91" s="6">
        <f>Actions!A83</f>
        <v/>
      </c>
      <c r="B91" s="6">
        <f>Actions!B83</f>
        <v/>
      </c>
      <c r="C91" s="6">
        <f>Actions!D83</f>
        <v/>
      </c>
      <c r="D91" s="41">
        <f>Actions!F83</f>
        <v/>
      </c>
      <c r="E91" s="6">
        <f>Actions!G83</f>
        <v/>
      </c>
      <c r="F91" s="6">
        <f>Actions!H83</f>
        <v/>
      </c>
      <c r="G91" s="16">
        <f>Portfolio_Calc!K85</f>
        <v/>
      </c>
      <c r="H91" s="29">
        <f>Actions!T83</f>
        <v/>
      </c>
      <c r="I91" s="29">
        <f>Actions!Y83</f>
        <v/>
      </c>
      <c r="J91" s="29">
        <f>Portfolio_Calc!CD85</f>
        <v/>
      </c>
      <c r="K91" s="37">
        <f>Portfolio_Calc!CE85</f>
        <v/>
      </c>
      <c r="L91" s="28">
        <f>Portfolio_Calc!CF85</f>
        <v/>
      </c>
      <c r="M91" s="36">
        <f>Portfolio_Calc!CG85</f>
        <v/>
      </c>
      <c r="N91" s="36">
        <f>Portfolio_Calc!CH85</f>
        <v/>
      </c>
    </row>
    <row r="92">
      <c r="A92" s="6">
        <f>Actions!A84</f>
        <v/>
      </c>
      <c r="B92" s="6">
        <f>Actions!B84</f>
        <v/>
      </c>
      <c r="C92" s="6">
        <f>Actions!D84</f>
        <v/>
      </c>
      <c r="D92" s="41">
        <f>Actions!F84</f>
        <v/>
      </c>
      <c r="E92" s="6">
        <f>Actions!G84</f>
        <v/>
      </c>
      <c r="F92" s="6">
        <f>Actions!H84</f>
        <v/>
      </c>
      <c r="G92" s="16">
        <f>Portfolio_Calc!K86</f>
        <v/>
      </c>
      <c r="H92" s="29">
        <f>Actions!T84</f>
        <v/>
      </c>
      <c r="I92" s="29">
        <f>Actions!Y84</f>
        <v/>
      </c>
      <c r="J92" s="29">
        <f>Portfolio_Calc!CD86</f>
        <v/>
      </c>
      <c r="K92" s="37">
        <f>Portfolio_Calc!CE86</f>
        <v/>
      </c>
      <c r="L92" s="28">
        <f>Portfolio_Calc!CF86</f>
        <v/>
      </c>
      <c r="M92" s="36">
        <f>Portfolio_Calc!CG86</f>
        <v/>
      </c>
      <c r="N92" s="36">
        <f>Portfolio_Calc!CH86</f>
        <v/>
      </c>
    </row>
    <row r="93">
      <c r="A93" s="6">
        <f>Actions!A85</f>
        <v/>
      </c>
      <c r="B93" s="6">
        <f>Actions!B85</f>
        <v/>
      </c>
      <c r="C93" s="6">
        <f>Actions!D85</f>
        <v/>
      </c>
      <c r="D93" s="41">
        <f>Actions!F85</f>
        <v/>
      </c>
      <c r="E93" s="6">
        <f>Actions!G85</f>
        <v/>
      </c>
      <c r="F93" s="6">
        <f>Actions!H85</f>
        <v/>
      </c>
      <c r="G93" s="16">
        <f>Portfolio_Calc!K87</f>
        <v/>
      </c>
      <c r="H93" s="29">
        <f>Actions!T85</f>
        <v/>
      </c>
      <c r="I93" s="29">
        <f>Actions!Y85</f>
        <v/>
      </c>
      <c r="J93" s="29">
        <f>Portfolio_Calc!CD87</f>
        <v/>
      </c>
      <c r="K93" s="37">
        <f>Portfolio_Calc!CE87</f>
        <v/>
      </c>
      <c r="L93" s="28">
        <f>Portfolio_Calc!CF87</f>
        <v/>
      </c>
      <c r="M93" s="36">
        <f>Portfolio_Calc!CG87</f>
        <v/>
      </c>
      <c r="N93" s="36">
        <f>Portfolio_Calc!CH87</f>
        <v/>
      </c>
    </row>
    <row r="94">
      <c r="A94" s="6">
        <f>Actions!A86</f>
        <v/>
      </c>
      <c r="B94" s="6">
        <f>Actions!B86</f>
        <v/>
      </c>
      <c r="C94" s="6">
        <f>Actions!D86</f>
        <v/>
      </c>
      <c r="D94" s="41">
        <f>Actions!F86</f>
        <v/>
      </c>
      <c r="E94" s="6">
        <f>Actions!G86</f>
        <v/>
      </c>
      <c r="F94" s="6">
        <f>Actions!H86</f>
        <v/>
      </c>
      <c r="G94" s="16">
        <f>Portfolio_Calc!K88</f>
        <v/>
      </c>
      <c r="H94" s="29">
        <f>Actions!T86</f>
        <v/>
      </c>
      <c r="I94" s="29">
        <f>Actions!Y86</f>
        <v/>
      </c>
      <c r="J94" s="29">
        <f>Portfolio_Calc!CD88</f>
        <v/>
      </c>
      <c r="K94" s="37">
        <f>Portfolio_Calc!CE88</f>
        <v/>
      </c>
      <c r="L94" s="28">
        <f>Portfolio_Calc!CF88</f>
        <v/>
      </c>
      <c r="M94" s="36">
        <f>Portfolio_Calc!CG88</f>
        <v/>
      </c>
      <c r="N94" s="36">
        <f>Portfolio_Calc!CH88</f>
        <v/>
      </c>
    </row>
    <row r="95">
      <c r="A95" s="6">
        <f>Actions!A87</f>
        <v/>
      </c>
      <c r="B95" s="6">
        <f>Actions!B87</f>
        <v/>
      </c>
      <c r="C95" s="6">
        <f>Actions!D87</f>
        <v/>
      </c>
      <c r="D95" s="41">
        <f>Actions!F87</f>
        <v/>
      </c>
      <c r="E95" s="6">
        <f>Actions!G87</f>
        <v/>
      </c>
      <c r="F95" s="6">
        <f>Actions!H87</f>
        <v/>
      </c>
      <c r="G95" s="16">
        <f>Portfolio_Calc!K89</f>
        <v/>
      </c>
      <c r="H95" s="29">
        <f>Actions!T87</f>
        <v/>
      </c>
      <c r="I95" s="29">
        <f>Actions!Y87</f>
        <v/>
      </c>
      <c r="J95" s="29">
        <f>Portfolio_Calc!CD89</f>
        <v/>
      </c>
      <c r="K95" s="37">
        <f>Portfolio_Calc!CE89</f>
        <v/>
      </c>
      <c r="L95" s="28">
        <f>Portfolio_Calc!CF89</f>
        <v/>
      </c>
      <c r="M95" s="36">
        <f>Portfolio_Calc!CG89</f>
        <v/>
      </c>
      <c r="N95" s="36">
        <f>Portfolio_Calc!CH89</f>
        <v/>
      </c>
    </row>
    <row r="96">
      <c r="A96" s="6">
        <f>Actions!A88</f>
        <v/>
      </c>
      <c r="B96" s="6">
        <f>Actions!B88</f>
        <v/>
      </c>
      <c r="C96" s="6">
        <f>Actions!D88</f>
        <v/>
      </c>
      <c r="D96" s="41">
        <f>Actions!F88</f>
        <v/>
      </c>
      <c r="E96" s="6">
        <f>Actions!G88</f>
        <v/>
      </c>
      <c r="F96" s="6">
        <f>Actions!H88</f>
        <v/>
      </c>
      <c r="G96" s="16">
        <f>Portfolio_Calc!K90</f>
        <v/>
      </c>
      <c r="H96" s="29">
        <f>Actions!T88</f>
        <v/>
      </c>
      <c r="I96" s="29">
        <f>Actions!Y88</f>
        <v/>
      </c>
      <c r="J96" s="29">
        <f>Portfolio_Calc!CD90</f>
        <v/>
      </c>
      <c r="K96" s="37">
        <f>Portfolio_Calc!CE90</f>
        <v/>
      </c>
      <c r="L96" s="28">
        <f>Portfolio_Calc!CF90</f>
        <v/>
      </c>
      <c r="M96" s="36">
        <f>Portfolio_Calc!CG90</f>
        <v/>
      </c>
      <c r="N96" s="36">
        <f>Portfolio_Calc!CH90</f>
        <v/>
      </c>
    </row>
    <row r="97">
      <c r="A97" s="6">
        <f>Actions!A89</f>
        <v/>
      </c>
      <c r="B97" s="6">
        <f>Actions!B89</f>
        <v/>
      </c>
      <c r="C97" s="6">
        <f>Actions!D89</f>
        <v/>
      </c>
      <c r="D97" s="41">
        <f>Actions!F89</f>
        <v/>
      </c>
      <c r="E97" s="6">
        <f>Actions!G89</f>
        <v/>
      </c>
      <c r="F97" s="6">
        <f>Actions!H89</f>
        <v/>
      </c>
      <c r="G97" s="16">
        <f>Portfolio_Calc!K91</f>
        <v/>
      </c>
      <c r="H97" s="29">
        <f>Actions!T89</f>
        <v/>
      </c>
      <c r="I97" s="29">
        <f>Actions!Y89</f>
        <v/>
      </c>
      <c r="J97" s="29">
        <f>Portfolio_Calc!CD91</f>
        <v/>
      </c>
      <c r="K97" s="37">
        <f>Portfolio_Calc!CE91</f>
        <v/>
      </c>
      <c r="L97" s="28">
        <f>Portfolio_Calc!CF91</f>
        <v/>
      </c>
      <c r="M97" s="36">
        <f>Portfolio_Calc!CG91</f>
        <v/>
      </c>
      <c r="N97" s="36">
        <f>Portfolio_Calc!CH91</f>
        <v/>
      </c>
    </row>
    <row r="98">
      <c r="A98" s="6">
        <f>Actions!A90</f>
        <v/>
      </c>
      <c r="B98" s="6">
        <f>Actions!B90</f>
        <v/>
      </c>
      <c r="C98" s="6">
        <f>Actions!D90</f>
        <v/>
      </c>
      <c r="D98" s="41">
        <f>Actions!F90</f>
        <v/>
      </c>
      <c r="E98" s="6">
        <f>Actions!G90</f>
        <v/>
      </c>
      <c r="F98" s="6">
        <f>Actions!H90</f>
        <v/>
      </c>
      <c r="G98" s="16">
        <f>Portfolio_Calc!K92</f>
        <v/>
      </c>
      <c r="H98" s="29">
        <f>Actions!T90</f>
        <v/>
      </c>
      <c r="I98" s="29">
        <f>Actions!Y90</f>
        <v/>
      </c>
      <c r="J98" s="29">
        <f>Portfolio_Calc!CD92</f>
        <v/>
      </c>
      <c r="K98" s="37">
        <f>Portfolio_Calc!CE92</f>
        <v/>
      </c>
      <c r="L98" s="28">
        <f>Portfolio_Calc!CF92</f>
        <v/>
      </c>
      <c r="M98" s="36">
        <f>Portfolio_Calc!CG92</f>
        <v/>
      </c>
      <c r="N98" s="36">
        <f>Portfolio_Calc!CH92</f>
        <v/>
      </c>
    </row>
    <row r="99">
      <c r="A99" s="6">
        <f>Actions!A91</f>
        <v/>
      </c>
      <c r="B99" s="6">
        <f>Actions!B91</f>
        <v/>
      </c>
      <c r="C99" s="6">
        <f>Actions!D91</f>
        <v/>
      </c>
      <c r="D99" s="41">
        <f>Actions!F91</f>
        <v/>
      </c>
      <c r="E99" s="6">
        <f>Actions!G91</f>
        <v/>
      </c>
      <c r="F99" s="6">
        <f>Actions!H91</f>
        <v/>
      </c>
      <c r="G99" s="16">
        <f>Portfolio_Calc!K93</f>
        <v/>
      </c>
      <c r="H99" s="29">
        <f>Actions!T91</f>
        <v/>
      </c>
      <c r="I99" s="29">
        <f>Actions!Y91</f>
        <v/>
      </c>
      <c r="J99" s="29">
        <f>Portfolio_Calc!CD93</f>
        <v/>
      </c>
      <c r="K99" s="37">
        <f>Portfolio_Calc!CE93</f>
        <v/>
      </c>
      <c r="L99" s="28">
        <f>Portfolio_Calc!CF93</f>
        <v/>
      </c>
      <c r="M99" s="36">
        <f>Portfolio_Calc!CG93</f>
        <v/>
      </c>
      <c r="N99" s="36">
        <f>Portfolio_Calc!CH93</f>
        <v/>
      </c>
    </row>
    <row r="100">
      <c r="A100" s="6">
        <f>Actions!A92</f>
        <v/>
      </c>
      <c r="B100" s="6">
        <f>Actions!B92</f>
        <v/>
      </c>
      <c r="C100" s="6">
        <f>Actions!D92</f>
        <v/>
      </c>
      <c r="D100" s="41">
        <f>Actions!F92</f>
        <v/>
      </c>
      <c r="E100" s="6">
        <f>Actions!G92</f>
        <v/>
      </c>
      <c r="F100" s="6">
        <f>Actions!H92</f>
        <v/>
      </c>
      <c r="G100" s="16">
        <f>Portfolio_Calc!K94</f>
        <v/>
      </c>
      <c r="H100" s="29">
        <f>Actions!T92</f>
        <v/>
      </c>
      <c r="I100" s="29">
        <f>Actions!Y92</f>
        <v/>
      </c>
      <c r="J100" s="29">
        <f>Portfolio_Calc!CD94</f>
        <v/>
      </c>
      <c r="K100" s="37">
        <f>Portfolio_Calc!CE94</f>
        <v/>
      </c>
      <c r="L100" s="28">
        <f>Portfolio_Calc!CF94</f>
        <v/>
      </c>
      <c r="M100" s="36">
        <f>Portfolio_Calc!CG94</f>
        <v/>
      </c>
      <c r="N100" s="36">
        <f>Portfolio_Calc!CH94</f>
        <v/>
      </c>
    </row>
    <row r="101">
      <c r="A101" s="6">
        <f>Actions!A93</f>
        <v/>
      </c>
      <c r="B101" s="6">
        <f>Actions!B93</f>
        <v/>
      </c>
      <c r="C101" s="6">
        <f>Actions!D93</f>
        <v/>
      </c>
      <c r="D101" s="41">
        <f>Actions!F93</f>
        <v/>
      </c>
      <c r="E101" s="6">
        <f>Actions!G93</f>
        <v/>
      </c>
      <c r="F101" s="6">
        <f>Actions!H93</f>
        <v/>
      </c>
      <c r="G101" s="16">
        <f>Portfolio_Calc!K95</f>
        <v/>
      </c>
      <c r="H101" s="29">
        <f>Actions!T93</f>
        <v/>
      </c>
      <c r="I101" s="29">
        <f>Actions!Y93</f>
        <v/>
      </c>
      <c r="J101" s="29">
        <f>Portfolio_Calc!CD95</f>
        <v/>
      </c>
      <c r="K101" s="37">
        <f>Portfolio_Calc!CE95</f>
        <v/>
      </c>
      <c r="L101" s="28">
        <f>Portfolio_Calc!CF95</f>
        <v/>
      </c>
      <c r="M101" s="36">
        <f>Portfolio_Calc!CG95</f>
        <v/>
      </c>
      <c r="N101" s="36">
        <f>Portfolio_Calc!CH95</f>
        <v/>
      </c>
    </row>
    <row r="102">
      <c r="A102" s="6">
        <f>Actions!A94</f>
        <v/>
      </c>
      <c r="B102" s="6">
        <f>Actions!B94</f>
        <v/>
      </c>
      <c r="C102" s="6">
        <f>Actions!D94</f>
        <v/>
      </c>
      <c r="D102" s="41">
        <f>Actions!F94</f>
        <v/>
      </c>
      <c r="E102" s="6">
        <f>Actions!G94</f>
        <v/>
      </c>
      <c r="F102" s="6">
        <f>Actions!H94</f>
        <v/>
      </c>
      <c r="G102" s="16">
        <f>Portfolio_Calc!K96</f>
        <v/>
      </c>
      <c r="H102" s="29">
        <f>Actions!T94</f>
        <v/>
      </c>
      <c r="I102" s="29">
        <f>Actions!Y94</f>
        <v/>
      </c>
      <c r="J102" s="29">
        <f>Portfolio_Calc!CD96</f>
        <v/>
      </c>
      <c r="K102" s="37">
        <f>Portfolio_Calc!CE96</f>
        <v/>
      </c>
      <c r="L102" s="28">
        <f>Portfolio_Calc!CF96</f>
        <v/>
      </c>
      <c r="M102" s="36">
        <f>Portfolio_Calc!CG96</f>
        <v/>
      </c>
      <c r="N102" s="36">
        <f>Portfolio_Calc!CH96</f>
        <v/>
      </c>
    </row>
    <row r="103">
      <c r="A103" s="6">
        <f>Actions!A95</f>
        <v/>
      </c>
      <c r="B103" s="6">
        <f>Actions!B95</f>
        <v/>
      </c>
      <c r="C103" s="6">
        <f>Actions!D95</f>
        <v/>
      </c>
      <c r="D103" s="41">
        <f>Actions!F95</f>
        <v/>
      </c>
      <c r="E103" s="6">
        <f>Actions!G95</f>
        <v/>
      </c>
      <c r="F103" s="6">
        <f>Actions!H95</f>
        <v/>
      </c>
      <c r="G103" s="16">
        <f>Portfolio_Calc!K97</f>
        <v/>
      </c>
      <c r="H103" s="29">
        <f>Actions!T95</f>
        <v/>
      </c>
      <c r="I103" s="29">
        <f>Actions!Y95</f>
        <v/>
      </c>
      <c r="J103" s="29">
        <f>Portfolio_Calc!CD97</f>
        <v/>
      </c>
      <c r="K103" s="37">
        <f>Portfolio_Calc!CE97</f>
        <v/>
      </c>
      <c r="L103" s="28">
        <f>Portfolio_Calc!CF97</f>
        <v/>
      </c>
      <c r="M103" s="36">
        <f>Portfolio_Calc!CG97</f>
        <v/>
      </c>
      <c r="N103" s="36">
        <f>Portfolio_Calc!CH97</f>
        <v/>
      </c>
    </row>
    <row r="104">
      <c r="A104" s="6">
        <f>Actions!A96</f>
        <v/>
      </c>
      <c r="B104" s="6">
        <f>Actions!B96</f>
        <v/>
      </c>
      <c r="C104" s="6">
        <f>Actions!D96</f>
        <v/>
      </c>
      <c r="D104" s="41">
        <f>Actions!F96</f>
        <v/>
      </c>
      <c r="E104" s="6">
        <f>Actions!G96</f>
        <v/>
      </c>
      <c r="F104" s="6">
        <f>Actions!H96</f>
        <v/>
      </c>
      <c r="G104" s="16">
        <f>Portfolio_Calc!K98</f>
        <v/>
      </c>
      <c r="H104" s="29">
        <f>Actions!T96</f>
        <v/>
      </c>
      <c r="I104" s="29">
        <f>Actions!Y96</f>
        <v/>
      </c>
      <c r="J104" s="29">
        <f>Portfolio_Calc!CD98</f>
        <v/>
      </c>
      <c r="K104" s="37">
        <f>Portfolio_Calc!CE98</f>
        <v/>
      </c>
      <c r="L104" s="28">
        <f>Portfolio_Calc!CF98</f>
        <v/>
      </c>
      <c r="M104" s="36">
        <f>Portfolio_Calc!CG98</f>
        <v/>
      </c>
      <c r="N104" s="36">
        <f>Portfolio_Calc!CH98</f>
        <v/>
      </c>
    </row>
    <row r="105">
      <c r="A105" s="6">
        <f>Actions!A97</f>
        <v/>
      </c>
      <c r="B105" s="6">
        <f>Actions!B97</f>
        <v/>
      </c>
      <c r="C105" s="6">
        <f>Actions!D97</f>
        <v/>
      </c>
      <c r="D105" s="41">
        <f>Actions!F97</f>
        <v/>
      </c>
      <c r="E105" s="6">
        <f>Actions!G97</f>
        <v/>
      </c>
      <c r="F105" s="6">
        <f>Actions!H97</f>
        <v/>
      </c>
      <c r="G105" s="16">
        <f>Portfolio_Calc!K99</f>
        <v/>
      </c>
      <c r="H105" s="29">
        <f>Actions!T97</f>
        <v/>
      </c>
      <c r="I105" s="29">
        <f>Actions!Y97</f>
        <v/>
      </c>
      <c r="J105" s="29">
        <f>Portfolio_Calc!CD99</f>
        <v/>
      </c>
      <c r="K105" s="37">
        <f>Portfolio_Calc!CE99</f>
        <v/>
      </c>
      <c r="L105" s="28">
        <f>Portfolio_Calc!CF99</f>
        <v/>
      </c>
      <c r="M105" s="36">
        <f>Portfolio_Calc!CG99</f>
        <v/>
      </c>
      <c r="N105" s="36">
        <f>Portfolio_Calc!CH99</f>
        <v/>
      </c>
    </row>
    <row r="106">
      <c r="A106" s="6">
        <f>Actions!A98</f>
        <v/>
      </c>
      <c r="B106" s="6">
        <f>Actions!B98</f>
        <v/>
      </c>
      <c r="C106" s="6">
        <f>Actions!D98</f>
        <v/>
      </c>
      <c r="D106" s="41">
        <f>Actions!F98</f>
        <v/>
      </c>
      <c r="E106" s="6">
        <f>Actions!G98</f>
        <v/>
      </c>
      <c r="F106" s="6">
        <f>Actions!H98</f>
        <v/>
      </c>
      <c r="G106" s="16">
        <f>Portfolio_Calc!K100</f>
        <v/>
      </c>
      <c r="H106" s="29">
        <f>Actions!T98</f>
        <v/>
      </c>
      <c r="I106" s="29">
        <f>Actions!Y98</f>
        <v/>
      </c>
      <c r="J106" s="29">
        <f>Portfolio_Calc!CD100</f>
        <v/>
      </c>
      <c r="K106" s="37">
        <f>Portfolio_Calc!CE100</f>
        <v/>
      </c>
      <c r="L106" s="28">
        <f>Portfolio_Calc!CF100</f>
        <v/>
      </c>
      <c r="M106" s="36">
        <f>Portfolio_Calc!CG100</f>
        <v/>
      </c>
      <c r="N106" s="36">
        <f>Portfolio_Calc!CH100</f>
        <v/>
      </c>
    </row>
    <row r="107">
      <c r="A107" s="6">
        <f>Actions!A99</f>
        <v/>
      </c>
      <c r="B107" s="6">
        <f>Actions!B99</f>
        <v/>
      </c>
      <c r="C107" s="6">
        <f>Actions!D99</f>
        <v/>
      </c>
      <c r="D107" s="41">
        <f>Actions!F99</f>
        <v/>
      </c>
      <c r="E107" s="6">
        <f>Actions!G99</f>
        <v/>
      </c>
      <c r="F107" s="6">
        <f>Actions!H99</f>
        <v/>
      </c>
      <c r="G107" s="16">
        <f>Portfolio_Calc!K101</f>
        <v/>
      </c>
      <c r="H107" s="29">
        <f>Actions!T99</f>
        <v/>
      </c>
      <c r="I107" s="29">
        <f>Actions!Y99</f>
        <v/>
      </c>
      <c r="J107" s="29">
        <f>Portfolio_Calc!CD101</f>
        <v/>
      </c>
      <c r="K107" s="37">
        <f>Portfolio_Calc!CE101</f>
        <v/>
      </c>
      <c r="L107" s="28">
        <f>Portfolio_Calc!CF101</f>
        <v/>
      </c>
      <c r="M107" s="36">
        <f>Portfolio_Calc!CG101</f>
        <v/>
      </c>
      <c r="N107" s="36">
        <f>Portfolio_Calc!CH101</f>
        <v/>
      </c>
    </row>
    <row r="108">
      <c r="A108" s="6">
        <f>Actions!A100</f>
        <v/>
      </c>
      <c r="B108" s="6">
        <f>Actions!B100</f>
        <v/>
      </c>
      <c r="C108" s="6">
        <f>Actions!D100</f>
        <v/>
      </c>
      <c r="D108" s="41">
        <f>Actions!F100</f>
        <v/>
      </c>
      <c r="E108" s="6">
        <f>Actions!G100</f>
        <v/>
      </c>
      <c r="F108" s="6">
        <f>Actions!H100</f>
        <v/>
      </c>
      <c r="G108" s="16">
        <f>Portfolio_Calc!K102</f>
        <v/>
      </c>
      <c r="H108" s="29">
        <f>Actions!T100</f>
        <v/>
      </c>
      <c r="I108" s="29">
        <f>Actions!Y100</f>
        <v/>
      </c>
      <c r="J108" s="29">
        <f>Portfolio_Calc!CD102</f>
        <v/>
      </c>
      <c r="K108" s="37">
        <f>Portfolio_Calc!CE102</f>
        <v/>
      </c>
      <c r="L108" s="28">
        <f>Portfolio_Calc!CF102</f>
        <v/>
      </c>
      <c r="M108" s="36">
        <f>Portfolio_Calc!CG102</f>
        <v/>
      </c>
      <c r="N108" s="36">
        <f>Portfolio_Calc!CH102</f>
        <v/>
      </c>
    </row>
    <row r="109">
      <c r="A109" s="6">
        <f>Actions!A101</f>
        <v/>
      </c>
      <c r="B109" s="6">
        <f>Actions!B101</f>
        <v/>
      </c>
      <c r="C109" s="6">
        <f>Actions!D101</f>
        <v/>
      </c>
      <c r="D109" s="41">
        <f>Actions!F101</f>
        <v/>
      </c>
      <c r="E109" s="6">
        <f>Actions!G101</f>
        <v/>
      </c>
      <c r="F109" s="6">
        <f>Actions!H101</f>
        <v/>
      </c>
      <c r="G109" s="16">
        <f>Portfolio_Calc!K103</f>
        <v/>
      </c>
      <c r="H109" s="29">
        <f>Actions!T101</f>
        <v/>
      </c>
      <c r="I109" s="29">
        <f>Actions!Y101</f>
        <v/>
      </c>
      <c r="J109" s="29">
        <f>Portfolio_Calc!CD103</f>
        <v/>
      </c>
      <c r="K109" s="37">
        <f>Portfolio_Calc!CE103</f>
        <v/>
      </c>
      <c r="L109" s="28">
        <f>Portfolio_Calc!CF103</f>
        <v/>
      </c>
      <c r="M109" s="36">
        <f>Portfolio_Calc!CG103</f>
        <v/>
      </c>
      <c r="N109" s="36">
        <f>Portfolio_Calc!CH103</f>
        <v/>
      </c>
    </row>
    <row r="110">
      <c r="A110" s="6">
        <f>Actions!A102</f>
        <v/>
      </c>
      <c r="B110" s="6">
        <f>Actions!B102</f>
        <v/>
      </c>
      <c r="C110" s="6">
        <f>Actions!D102</f>
        <v/>
      </c>
      <c r="D110" s="41">
        <f>Actions!F102</f>
        <v/>
      </c>
      <c r="E110" s="6">
        <f>Actions!G102</f>
        <v/>
      </c>
      <c r="F110" s="6">
        <f>Actions!H102</f>
        <v/>
      </c>
      <c r="G110" s="16">
        <f>Portfolio_Calc!K104</f>
        <v/>
      </c>
      <c r="H110" s="29">
        <f>Actions!T102</f>
        <v/>
      </c>
      <c r="I110" s="29">
        <f>Actions!Y102</f>
        <v/>
      </c>
      <c r="J110" s="29">
        <f>Portfolio_Calc!CD104</f>
        <v/>
      </c>
      <c r="K110" s="37">
        <f>Portfolio_Calc!CE104</f>
        <v/>
      </c>
      <c r="L110" s="28">
        <f>Portfolio_Calc!CF104</f>
        <v/>
      </c>
      <c r="M110" s="36">
        <f>Portfolio_Calc!CG104</f>
        <v/>
      </c>
      <c r="N110" s="36">
        <f>Portfolio_Calc!CH104</f>
        <v/>
      </c>
    </row>
    <row r="111">
      <c r="A111" s="6">
        <f>Actions!A103</f>
        <v/>
      </c>
      <c r="B111" s="6">
        <f>Actions!B103</f>
        <v/>
      </c>
      <c r="C111" s="6">
        <f>Actions!D103</f>
        <v/>
      </c>
      <c r="D111" s="41">
        <f>Actions!F103</f>
        <v/>
      </c>
      <c r="E111" s="6">
        <f>Actions!G103</f>
        <v/>
      </c>
      <c r="F111" s="6">
        <f>Actions!H103</f>
        <v/>
      </c>
      <c r="G111" s="16">
        <f>Portfolio_Calc!K105</f>
        <v/>
      </c>
      <c r="H111" s="29">
        <f>Actions!T103</f>
        <v/>
      </c>
      <c r="I111" s="29">
        <f>Actions!Y103</f>
        <v/>
      </c>
      <c r="J111" s="29">
        <f>Portfolio_Calc!CD105</f>
        <v/>
      </c>
      <c r="K111" s="37">
        <f>Portfolio_Calc!CE105</f>
        <v/>
      </c>
      <c r="L111" s="28">
        <f>Portfolio_Calc!CF105</f>
        <v/>
      </c>
      <c r="M111" s="36">
        <f>Portfolio_Calc!CG105</f>
        <v/>
      </c>
      <c r="N111" s="36">
        <f>Portfolio_Calc!CH105</f>
        <v/>
      </c>
    </row>
    <row r="112">
      <c r="A112" s="6">
        <f>Actions!A104</f>
        <v/>
      </c>
      <c r="B112" s="6">
        <f>Actions!B104</f>
        <v/>
      </c>
      <c r="C112" s="6">
        <f>Actions!D104</f>
        <v/>
      </c>
      <c r="D112" s="41">
        <f>Actions!F104</f>
        <v/>
      </c>
      <c r="E112" s="6">
        <f>Actions!G104</f>
        <v/>
      </c>
      <c r="F112" s="6">
        <f>Actions!H104</f>
        <v/>
      </c>
      <c r="G112" s="16">
        <f>Portfolio_Calc!K106</f>
        <v/>
      </c>
      <c r="H112" s="29">
        <f>Actions!T104</f>
        <v/>
      </c>
      <c r="I112" s="29">
        <f>Actions!Y104</f>
        <v/>
      </c>
      <c r="J112" s="29">
        <f>Portfolio_Calc!CD106</f>
        <v/>
      </c>
      <c r="K112" s="37">
        <f>Portfolio_Calc!CE106</f>
        <v/>
      </c>
      <c r="L112" s="28">
        <f>Portfolio_Calc!CF106</f>
        <v/>
      </c>
      <c r="M112" s="36">
        <f>Portfolio_Calc!CG106</f>
        <v/>
      </c>
      <c r="N112" s="36">
        <f>Portfolio_Calc!CH106</f>
        <v/>
      </c>
    </row>
    <row r="113">
      <c r="A113" s="6">
        <f>Actions!A105</f>
        <v/>
      </c>
      <c r="B113" s="6">
        <f>Actions!B105</f>
        <v/>
      </c>
      <c r="C113" s="6">
        <f>Actions!D105</f>
        <v/>
      </c>
      <c r="D113" s="41">
        <f>Actions!F105</f>
        <v/>
      </c>
      <c r="E113" s="6">
        <f>Actions!G105</f>
        <v/>
      </c>
      <c r="F113" s="6">
        <f>Actions!H105</f>
        <v/>
      </c>
      <c r="G113" s="16">
        <f>Portfolio_Calc!K107</f>
        <v/>
      </c>
      <c r="H113" s="29">
        <f>Actions!T105</f>
        <v/>
      </c>
      <c r="I113" s="29">
        <f>Actions!Y105</f>
        <v/>
      </c>
      <c r="J113" s="29">
        <f>Portfolio_Calc!CD107</f>
        <v/>
      </c>
      <c r="K113" s="37">
        <f>Portfolio_Calc!CE107</f>
        <v/>
      </c>
      <c r="L113" s="28">
        <f>Portfolio_Calc!CF107</f>
        <v/>
      </c>
      <c r="M113" s="36">
        <f>Portfolio_Calc!CG107</f>
        <v/>
      </c>
      <c r="N113" s="36">
        <f>Portfolio_Calc!CH107</f>
        <v/>
      </c>
    </row>
    <row r="114">
      <c r="A114" s="6">
        <f>Actions!A106</f>
        <v/>
      </c>
      <c r="B114" s="6">
        <f>Actions!B106</f>
        <v/>
      </c>
      <c r="C114" s="6">
        <f>Actions!D106</f>
        <v/>
      </c>
      <c r="D114" s="41">
        <f>Actions!F106</f>
        <v/>
      </c>
      <c r="E114" s="6">
        <f>Actions!G106</f>
        <v/>
      </c>
      <c r="F114" s="6">
        <f>Actions!H106</f>
        <v/>
      </c>
      <c r="G114" s="16">
        <f>Portfolio_Calc!K108</f>
        <v/>
      </c>
      <c r="H114" s="29">
        <f>Actions!T106</f>
        <v/>
      </c>
      <c r="I114" s="29">
        <f>Actions!Y106</f>
        <v/>
      </c>
      <c r="J114" s="29">
        <f>Portfolio_Calc!CD108</f>
        <v/>
      </c>
      <c r="K114" s="37">
        <f>Portfolio_Calc!CE108</f>
        <v/>
      </c>
      <c r="L114" s="28">
        <f>Portfolio_Calc!CF108</f>
        <v/>
      </c>
      <c r="M114" s="36">
        <f>Portfolio_Calc!CG108</f>
        <v/>
      </c>
      <c r="N114" s="36">
        <f>Portfolio_Calc!CH108</f>
        <v/>
      </c>
    </row>
    <row r="115">
      <c r="A115" s="6">
        <f>Actions!A107</f>
        <v/>
      </c>
      <c r="B115" s="6">
        <f>Actions!B107</f>
        <v/>
      </c>
      <c r="C115" s="6">
        <f>Actions!D107</f>
        <v/>
      </c>
      <c r="D115" s="41">
        <f>Actions!F107</f>
        <v/>
      </c>
      <c r="E115" s="6">
        <f>Actions!G107</f>
        <v/>
      </c>
      <c r="F115" s="6">
        <f>Actions!H107</f>
        <v/>
      </c>
      <c r="G115" s="16">
        <f>Portfolio_Calc!K109</f>
        <v/>
      </c>
      <c r="H115" s="29">
        <f>Actions!T107</f>
        <v/>
      </c>
      <c r="I115" s="29">
        <f>Actions!Y107</f>
        <v/>
      </c>
      <c r="J115" s="29">
        <f>Portfolio_Calc!CD109</f>
        <v/>
      </c>
      <c r="K115" s="37">
        <f>Portfolio_Calc!CE109</f>
        <v/>
      </c>
      <c r="L115" s="28">
        <f>Portfolio_Calc!CF109</f>
        <v/>
      </c>
      <c r="M115" s="36">
        <f>Portfolio_Calc!CG109</f>
        <v/>
      </c>
      <c r="N115" s="36">
        <f>Portfolio_Calc!CH109</f>
        <v/>
      </c>
    </row>
    <row r="116">
      <c r="A116" s="6">
        <f>Actions!A108</f>
        <v/>
      </c>
      <c r="B116" s="6">
        <f>Actions!B108</f>
        <v/>
      </c>
      <c r="C116" s="6">
        <f>Actions!D108</f>
        <v/>
      </c>
      <c r="D116" s="41">
        <f>Actions!F108</f>
        <v/>
      </c>
      <c r="E116" s="6">
        <f>Actions!G108</f>
        <v/>
      </c>
      <c r="F116" s="6">
        <f>Actions!H108</f>
        <v/>
      </c>
      <c r="G116" s="16">
        <f>Portfolio_Calc!K110</f>
        <v/>
      </c>
      <c r="H116" s="29">
        <f>Actions!T108</f>
        <v/>
      </c>
      <c r="I116" s="29">
        <f>Actions!Y108</f>
        <v/>
      </c>
      <c r="J116" s="29">
        <f>Portfolio_Calc!CD110</f>
        <v/>
      </c>
      <c r="K116" s="37">
        <f>Portfolio_Calc!CE110</f>
        <v/>
      </c>
      <c r="L116" s="28">
        <f>Portfolio_Calc!CF110</f>
        <v/>
      </c>
      <c r="M116" s="36">
        <f>Portfolio_Calc!CG110</f>
        <v/>
      </c>
      <c r="N116" s="36">
        <f>Portfolio_Calc!CH110</f>
        <v/>
      </c>
    </row>
    <row r="117">
      <c r="A117" s="6">
        <f>Actions!A109</f>
        <v/>
      </c>
      <c r="B117" s="6">
        <f>Actions!B109</f>
        <v/>
      </c>
      <c r="C117" s="6">
        <f>Actions!D109</f>
        <v/>
      </c>
      <c r="D117" s="41">
        <f>Actions!F109</f>
        <v/>
      </c>
      <c r="E117" s="6">
        <f>Actions!G109</f>
        <v/>
      </c>
      <c r="F117" s="6">
        <f>Actions!H109</f>
        <v/>
      </c>
      <c r="G117" s="16">
        <f>Portfolio_Calc!K111</f>
        <v/>
      </c>
      <c r="H117" s="29">
        <f>Actions!T109</f>
        <v/>
      </c>
      <c r="I117" s="29">
        <f>Actions!Y109</f>
        <v/>
      </c>
      <c r="J117" s="29">
        <f>Portfolio_Calc!CD111</f>
        <v/>
      </c>
      <c r="K117" s="37">
        <f>Portfolio_Calc!CE111</f>
        <v/>
      </c>
      <c r="L117" s="28">
        <f>Portfolio_Calc!CF111</f>
        <v/>
      </c>
      <c r="M117" s="36">
        <f>Portfolio_Calc!CG111</f>
        <v/>
      </c>
      <c r="N117" s="36">
        <f>Portfolio_Calc!CH111</f>
        <v/>
      </c>
    </row>
    <row r="118">
      <c r="A118" s="6">
        <f>Actions!A110</f>
        <v/>
      </c>
      <c r="B118" s="6">
        <f>Actions!B110</f>
        <v/>
      </c>
      <c r="C118" s="6">
        <f>Actions!D110</f>
        <v/>
      </c>
      <c r="D118" s="41">
        <f>Actions!F110</f>
        <v/>
      </c>
      <c r="E118" s="6">
        <f>Actions!G110</f>
        <v/>
      </c>
      <c r="F118" s="6">
        <f>Actions!H110</f>
        <v/>
      </c>
      <c r="G118" s="16">
        <f>Portfolio_Calc!K112</f>
        <v/>
      </c>
      <c r="H118" s="29">
        <f>Actions!T110</f>
        <v/>
      </c>
      <c r="I118" s="29">
        <f>Actions!Y110</f>
        <v/>
      </c>
      <c r="J118" s="29">
        <f>Portfolio_Calc!CD112</f>
        <v/>
      </c>
      <c r="K118" s="37">
        <f>Portfolio_Calc!CE112</f>
        <v/>
      </c>
      <c r="L118" s="28">
        <f>Portfolio_Calc!CF112</f>
        <v/>
      </c>
      <c r="M118" s="36">
        <f>Portfolio_Calc!CG112</f>
        <v/>
      </c>
      <c r="N118" s="36">
        <f>Portfolio_Calc!CH112</f>
        <v/>
      </c>
    </row>
    <row r="119">
      <c r="A119" s="6">
        <f>Actions!A111</f>
        <v/>
      </c>
      <c r="B119" s="6">
        <f>Actions!B111</f>
        <v/>
      </c>
      <c r="C119" s="6">
        <f>Actions!D111</f>
        <v/>
      </c>
      <c r="D119" s="41">
        <f>Actions!F111</f>
        <v/>
      </c>
      <c r="E119" s="6">
        <f>Actions!G111</f>
        <v/>
      </c>
      <c r="F119" s="6">
        <f>Actions!H111</f>
        <v/>
      </c>
      <c r="G119" s="16">
        <f>Portfolio_Calc!K113</f>
        <v/>
      </c>
      <c r="H119" s="29">
        <f>Actions!T111</f>
        <v/>
      </c>
      <c r="I119" s="29">
        <f>Actions!Y111</f>
        <v/>
      </c>
      <c r="J119" s="29">
        <f>Portfolio_Calc!CD113</f>
        <v/>
      </c>
      <c r="K119" s="37">
        <f>Portfolio_Calc!CE113</f>
        <v/>
      </c>
      <c r="L119" s="28">
        <f>Portfolio_Calc!CF113</f>
        <v/>
      </c>
      <c r="M119" s="36">
        <f>Portfolio_Calc!CG113</f>
        <v/>
      </c>
      <c r="N119" s="36">
        <f>Portfolio_Calc!CH113</f>
        <v/>
      </c>
    </row>
    <row r="120">
      <c r="A120" s="6">
        <f>Actions!A112</f>
        <v/>
      </c>
      <c r="B120" s="6">
        <f>Actions!B112</f>
        <v/>
      </c>
      <c r="C120" s="6">
        <f>Actions!D112</f>
        <v/>
      </c>
      <c r="D120" s="41">
        <f>Actions!F112</f>
        <v/>
      </c>
      <c r="E120" s="6">
        <f>Actions!G112</f>
        <v/>
      </c>
      <c r="F120" s="6">
        <f>Actions!H112</f>
        <v/>
      </c>
      <c r="G120" s="16">
        <f>Portfolio_Calc!K114</f>
        <v/>
      </c>
      <c r="H120" s="29">
        <f>Actions!T112</f>
        <v/>
      </c>
      <c r="I120" s="29">
        <f>Actions!Y112</f>
        <v/>
      </c>
      <c r="J120" s="29">
        <f>Portfolio_Calc!CD114</f>
        <v/>
      </c>
      <c r="K120" s="37">
        <f>Portfolio_Calc!CE114</f>
        <v/>
      </c>
      <c r="L120" s="28">
        <f>Portfolio_Calc!CF114</f>
        <v/>
      </c>
      <c r="M120" s="36">
        <f>Portfolio_Calc!CG114</f>
        <v/>
      </c>
      <c r="N120" s="36">
        <f>Portfolio_Calc!CH114</f>
        <v/>
      </c>
    </row>
    <row r="121">
      <c r="A121" s="6">
        <f>Actions!A113</f>
        <v/>
      </c>
      <c r="B121" s="6">
        <f>Actions!B113</f>
        <v/>
      </c>
      <c r="C121" s="6">
        <f>Actions!D113</f>
        <v/>
      </c>
      <c r="D121" s="41">
        <f>Actions!F113</f>
        <v/>
      </c>
      <c r="E121" s="6">
        <f>Actions!G113</f>
        <v/>
      </c>
      <c r="F121" s="6">
        <f>Actions!H113</f>
        <v/>
      </c>
      <c r="G121" s="16">
        <f>Portfolio_Calc!K115</f>
        <v/>
      </c>
      <c r="H121" s="29">
        <f>Actions!T113</f>
        <v/>
      </c>
      <c r="I121" s="29">
        <f>Actions!Y113</f>
        <v/>
      </c>
      <c r="J121" s="29">
        <f>Portfolio_Calc!CD115</f>
        <v/>
      </c>
      <c r="K121" s="37">
        <f>Portfolio_Calc!CE115</f>
        <v/>
      </c>
      <c r="L121" s="28">
        <f>Portfolio_Calc!CF115</f>
        <v/>
      </c>
      <c r="M121" s="36">
        <f>Portfolio_Calc!CG115</f>
        <v/>
      </c>
      <c r="N121" s="36">
        <f>Portfolio_Calc!CH115</f>
        <v/>
      </c>
    </row>
    <row r="122">
      <c r="A122" s="6">
        <f>Actions!A114</f>
        <v/>
      </c>
      <c r="B122" s="6">
        <f>Actions!B114</f>
        <v/>
      </c>
      <c r="C122" s="6">
        <f>Actions!D114</f>
        <v/>
      </c>
      <c r="D122" s="41">
        <f>Actions!F114</f>
        <v/>
      </c>
      <c r="E122" s="6">
        <f>Actions!G114</f>
        <v/>
      </c>
      <c r="F122" s="6">
        <f>Actions!H114</f>
        <v/>
      </c>
      <c r="G122" s="16">
        <f>Portfolio_Calc!K116</f>
        <v/>
      </c>
      <c r="H122" s="29">
        <f>Actions!T114</f>
        <v/>
      </c>
      <c r="I122" s="29">
        <f>Actions!Y114</f>
        <v/>
      </c>
      <c r="J122" s="29">
        <f>Portfolio_Calc!CD116</f>
        <v/>
      </c>
      <c r="K122" s="37">
        <f>Portfolio_Calc!CE116</f>
        <v/>
      </c>
      <c r="L122" s="28">
        <f>Portfolio_Calc!CF116</f>
        <v/>
      </c>
      <c r="M122" s="36">
        <f>Portfolio_Calc!CG116</f>
        <v/>
      </c>
      <c r="N122" s="36">
        <f>Portfolio_Calc!CH116</f>
        <v/>
      </c>
    </row>
    <row r="123">
      <c r="A123" s="6">
        <f>Actions!A115</f>
        <v/>
      </c>
      <c r="B123" s="6">
        <f>Actions!B115</f>
        <v/>
      </c>
      <c r="C123" s="6">
        <f>Actions!D115</f>
        <v/>
      </c>
      <c r="D123" s="41">
        <f>Actions!F115</f>
        <v/>
      </c>
      <c r="E123" s="6">
        <f>Actions!G115</f>
        <v/>
      </c>
      <c r="F123" s="6">
        <f>Actions!H115</f>
        <v/>
      </c>
      <c r="G123" s="16">
        <f>Portfolio_Calc!K117</f>
        <v/>
      </c>
      <c r="H123" s="29">
        <f>Actions!T115</f>
        <v/>
      </c>
      <c r="I123" s="29">
        <f>Actions!Y115</f>
        <v/>
      </c>
      <c r="J123" s="29">
        <f>Portfolio_Calc!CD117</f>
        <v/>
      </c>
      <c r="K123" s="37">
        <f>Portfolio_Calc!CE117</f>
        <v/>
      </c>
      <c r="L123" s="28">
        <f>Portfolio_Calc!CF117</f>
        <v/>
      </c>
      <c r="M123" s="36">
        <f>Portfolio_Calc!CG117</f>
        <v/>
      </c>
      <c r="N123" s="36">
        <f>Portfolio_Calc!CH117</f>
        <v/>
      </c>
    </row>
    <row r="124">
      <c r="A124" s="6">
        <f>Actions!A116</f>
        <v/>
      </c>
      <c r="B124" s="6">
        <f>Actions!B116</f>
        <v/>
      </c>
      <c r="C124" s="6">
        <f>Actions!D116</f>
        <v/>
      </c>
      <c r="D124" s="41">
        <f>Actions!F116</f>
        <v/>
      </c>
      <c r="E124" s="6">
        <f>Actions!G116</f>
        <v/>
      </c>
      <c r="F124" s="6">
        <f>Actions!H116</f>
        <v/>
      </c>
      <c r="G124" s="16">
        <f>Portfolio_Calc!K118</f>
        <v/>
      </c>
      <c r="H124" s="29">
        <f>Actions!T116</f>
        <v/>
      </c>
      <c r="I124" s="29">
        <f>Actions!Y116</f>
        <v/>
      </c>
      <c r="J124" s="29">
        <f>Portfolio_Calc!CD118</f>
        <v/>
      </c>
      <c r="K124" s="37">
        <f>Portfolio_Calc!CE118</f>
        <v/>
      </c>
      <c r="L124" s="28">
        <f>Portfolio_Calc!CF118</f>
        <v/>
      </c>
      <c r="M124" s="36">
        <f>Portfolio_Calc!CG118</f>
        <v/>
      </c>
      <c r="N124" s="36">
        <f>Portfolio_Calc!CH118</f>
        <v/>
      </c>
    </row>
    <row r="125">
      <c r="A125" s="6">
        <f>Actions!A117</f>
        <v/>
      </c>
      <c r="B125" s="6">
        <f>Actions!B117</f>
        <v/>
      </c>
      <c r="C125" s="6">
        <f>Actions!D117</f>
        <v/>
      </c>
      <c r="D125" s="41">
        <f>Actions!F117</f>
        <v/>
      </c>
      <c r="E125" s="6">
        <f>Actions!G117</f>
        <v/>
      </c>
      <c r="F125" s="6">
        <f>Actions!H117</f>
        <v/>
      </c>
      <c r="G125" s="16">
        <f>Portfolio_Calc!K119</f>
        <v/>
      </c>
      <c r="H125" s="29">
        <f>Actions!T117</f>
        <v/>
      </c>
      <c r="I125" s="29">
        <f>Actions!Y117</f>
        <v/>
      </c>
      <c r="J125" s="29">
        <f>Portfolio_Calc!CD119</f>
        <v/>
      </c>
      <c r="K125" s="37">
        <f>Portfolio_Calc!CE119</f>
        <v/>
      </c>
      <c r="L125" s="28">
        <f>Portfolio_Calc!CF119</f>
        <v/>
      </c>
      <c r="M125" s="36">
        <f>Portfolio_Calc!CG119</f>
        <v/>
      </c>
      <c r="N125" s="36">
        <f>Portfolio_Calc!CH119</f>
        <v/>
      </c>
    </row>
    <row r="126">
      <c r="A126" s="6">
        <f>Actions!A118</f>
        <v/>
      </c>
      <c r="B126" s="6">
        <f>Actions!B118</f>
        <v/>
      </c>
      <c r="C126" s="6">
        <f>Actions!D118</f>
        <v/>
      </c>
      <c r="D126" s="41">
        <f>Actions!F118</f>
        <v/>
      </c>
      <c r="E126" s="6">
        <f>Actions!G118</f>
        <v/>
      </c>
      <c r="F126" s="6">
        <f>Actions!H118</f>
        <v/>
      </c>
      <c r="G126" s="16">
        <f>Portfolio_Calc!K120</f>
        <v/>
      </c>
      <c r="H126" s="29">
        <f>Actions!T118</f>
        <v/>
      </c>
      <c r="I126" s="29">
        <f>Actions!Y118</f>
        <v/>
      </c>
      <c r="J126" s="29">
        <f>Portfolio_Calc!CD120</f>
        <v/>
      </c>
      <c r="K126" s="37">
        <f>Portfolio_Calc!CE120</f>
        <v/>
      </c>
      <c r="L126" s="28">
        <f>Portfolio_Calc!CF120</f>
        <v/>
      </c>
      <c r="M126" s="36">
        <f>Portfolio_Calc!CG120</f>
        <v/>
      </c>
      <c r="N126" s="36">
        <f>Portfolio_Calc!CH120</f>
        <v/>
      </c>
    </row>
    <row r="127">
      <c r="A127" s="6">
        <f>Actions!A119</f>
        <v/>
      </c>
      <c r="B127" s="6">
        <f>Actions!B119</f>
        <v/>
      </c>
      <c r="C127" s="6">
        <f>Actions!D119</f>
        <v/>
      </c>
      <c r="D127" s="41">
        <f>Actions!F119</f>
        <v/>
      </c>
      <c r="E127" s="6">
        <f>Actions!G119</f>
        <v/>
      </c>
      <c r="F127" s="6">
        <f>Actions!H119</f>
        <v/>
      </c>
      <c r="G127" s="16">
        <f>Portfolio_Calc!K121</f>
        <v/>
      </c>
      <c r="H127" s="29">
        <f>Actions!T119</f>
        <v/>
      </c>
      <c r="I127" s="29">
        <f>Actions!Y119</f>
        <v/>
      </c>
      <c r="J127" s="29">
        <f>Portfolio_Calc!CD121</f>
        <v/>
      </c>
      <c r="K127" s="37">
        <f>Portfolio_Calc!CE121</f>
        <v/>
      </c>
      <c r="L127" s="28">
        <f>Portfolio_Calc!CF121</f>
        <v/>
      </c>
      <c r="M127" s="36">
        <f>Portfolio_Calc!CG121</f>
        <v/>
      </c>
      <c r="N127" s="36">
        <f>Portfolio_Calc!CH121</f>
        <v/>
      </c>
    </row>
    <row r="128">
      <c r="A128" s="6">
        <f>Actions!A120</f>
        <v/>
      </c>
      <c r="B128" s="6">
        <f>Actions!B120</f>
        <v/>
      </c>
      <c r="C128" s="6">
        <f>Actions!D120</f>
        <v/>
      </c>
      <c r="D128" s="41">
        <f>Actions!F120</f>
        <v/>
      </c>
      <c r="E128" s="6">
        <f>Actions!G120</f>
        <v/>
      </c>
      <c r="F128" s="6">
        <f>Actions!H120</f>
        <v/>
      </c>
      <c r="G128" s="16">
        <f>Portfolio_Calc!K122</f>
        <v/>
      </c>
      <c r="H128" s="29">
        <f>Actions!T120</f>
        <v/>
      </c>
      <c r="I128" s="29">
        <f>Actions!Y120</f>
        <v/>
      </c>
      <c r="J128" s="29">
        <f>Portfolio_Calc!CD122</f>
        <v/>
      </c>
      <c r="K128" s="37">
        <f>Portfolio_Calc!CE122</f>
        <v/>
      </c>
      <c r="L128" s="28">
        <f>Portfolio_Calc!CF122</f>
        <v/>
      </c>
      <c r="M128" s="36">
        <f>Portfolio_Calc!CG122</f>
        <v/>
      </c>
      <c r="N128" s="36">
        <f>Portfolio_Calc!CH122</f>
        <v/>
      </c>
    </row>
    <row r="129">
      <c r="A129" s="6">
        <f>Actions!A121</f>
        <v/>
      </c>
      <c r="B129" s="6">
        <f>Actions!B121</f>
        <v/>
      </c>
      <c r="C129" s="6">
        <f>Actions!D121</f>
        <v/>
      </c>
      <c r="D129" s="41">
        <f>Actions!F121</f>
        <v/>
      </c>
      <c r="E129" s="6">
        <f>Actions!G121</f>
        <v/>
      </c>
      <c r="F129" s="6">
        <f>Actions!H121</f>
        <v/>
      </c>
      <c r="G129" s="16">
        <f>Portfolio_Calc!K123</f>
        <v/>
      </c>
      <c r="H129" s="29">
        <f>Actions!T121</f>
        <v/>
      </c>
      <c r="I129" s="29">
        <f>Actions!Y121</f>
        <v/>
      </c>
      <c r="J129" s="29">
        <f>Portfolio_Calc!CD123</f>
        <v/>
      </c>
      <c r="K129" s="37">
        <f>Portfolio_Calc!CE123</f>
        <v/>
      </c>
      <c r="L129" s="28">
        <f>Portfolio_Calc!CF123</f>
        <v/>
      </c>
      <c r="M129" s="36">
        <f>Portfolio_Calc!CG123</f>
        <v/>
      </c>
      <c r="N129" s="36">
        <f>Portfolio_Calc!CH123</f>
        <v/>
      </c>
    </row>
    <row r="130">
      <c r="A130" s="6">
        <f>Actions!A122</f>
        <v/>
      </c>
      <c r="B130" s="6">
        <f>Actions!B122</f>
        <v/>
      </c>
      <c r="C130" s="6">
        <f>Actions!D122</f>
        <v/>
      </c>
      <c r="D130" s="41">
        <f>Actions!F122</f>
        <v/>
      </c>
      <c r="E130" s="6">
        <f>Actions!G122</f>
        <v/>
      </c>
      <c r="F130" s="6">
        <f>Actions!H122</f>
        <v/>
      </c>
      <c r="G130" s="16">
        <f>Portfolio_Calc!K124</f>
        <v/>
      </c>
      <c r="H130" s="29">
        <f>Actions!T122</f>
        <v/>
      </c>
      <c r="I130" s="29">
        <f>Actions!Y122</f>
        <v/>
      </c>
      <c r="J130" s="29">
        <f>Portfolio_Calc!CD124</f>
        <v/>
      </c>
      <c r="K130" s="37">
        <f>Portfolio_Calc!CE124</f>
        <v/>
      </c>
      <c r="L130" s="28">
        <f>Portfolio_Calc!CF124</f>
        <v/>
      </c>
      <c r="M130" s="36">
        <f>Portfolio_Calc!CG124</f>
        <v/>
      </c>
      <c r="N130" s="36">
        <f>Portfolio_Calc!CH124</f>
        <v/>
      </c>
    </row>
    <row r="131">
      <c r="A131" s="6">
        <f>Actions!A123</f>
        <v/>
      </c>
      <c r="B131" s="6">
        <f>Actions!B123</f>
        <v/>
      </c>
      <c r="C131" s="6">
        <f>Actions!D123</f>
        <v/>
      </c>
      <c r="D131" s="41">
        <f>Actions!F123</f>
        <v/>
      </c>
      <c r="E131" s="6">
        <f>Actions!G123</f>
        <v/>
      </c>
      <c r="F131" s="6">
        <f>Actions!H123</f>
        <v/>
      </c>
      <c r="G131" s="16">
        <f>Portfolio_Calc!K125</f>
        <v/>
      </c>
      <c r="H131" s="29">
        <f>Actions!T123</f>
        <v/>
      </c>
      <c r="I131" s="29">
        <f>Actions!Y123</f>
        <v/>
      </c>
      <c r="J131" s="29">
        <f>Portfolio_Calc!CD125</f>
        <v/>
      </c>
      <c r="K131" s="37">
        <f>Portfolio_Calc!CE125</f>
        <v/>
      </c>
      <c r="L131" s="28">
        <f>Portfolio_Calc!CF125</f>
        <v/>
      </c>
      <c r="M131" s="36">
        <f>Portfolio_Calc!CG125</f>
        <v/>
      </c>
      <c r="N131" s="36">
        <f>Portfolio_Calc!CH125</f>
        <v/>
      </c>
    </row>
    <row r="132">
      <c r="A132" s="6">
        <f>Actions!A124</f>
        <v/>
      </c>
      <c r="B132" s="6">
        <f>Actions!B124</f>
        <v/>
      </c>
      <c r="C132" s="6">
        <f>Actions!D124</f>
        <v/>
      </c>
      <c r="D132" s="41">
        <f>Actions!F124</f>
        <v/>
      </c>
      <c r="E132" s="6">
        <f>Actions!G124</f>
        <v/>
      </c>
      <c r="F132" s="6">
        <f>Actions!H124</f>
        <v/>
      </c>
      <c r="G132" s="16">
        <f>Portfolio_Calc!K126</f>
        <v/>
      </c>
      <c r="H132" s="29">
        <f>Actions!T124</f>
        <v/>
      </c>
      <c r="I132" s="29">
        <f>Actions!Y124</f>
        <v/>
      </c>
      <c r="J132" s="29">
        <f>Portfolio_Calc!CD126</f>
        <v/>
      </c>
      <c r="K132" s="37">
        <f>Portfolio_Calc!CE126</f>
        <v/>
      </c>
      <c r="L132" s="28">
        <f>Portfolio_Calc!CF126</f>
        <v/>
      </c>
      <c r="M132" s="36">
        <f>Portfolio_Calc!CG126</f>
        <v/>
      </c>
      <c r="N132" s="36">
        <f>Portfolio_Calc!CH126</f>
        <v/>
      </c>
    </row>
    <row r="133">
      <c r="A133" s="6">
        <f>Actions!A125</f>
        <v/>
      </c>
      <c r="B133" s="6">
        <f>Actions!B125</f>
        <v/>
      </c>
      <c r="C133" s="6">
        <f>Actions!D125</f>
        <v/>
      </c>
      <c r="D133" s="41">
        <f>Actions!F125</f>
        <v/>
      </c>
      <c r="E133" s="6">
        <f>Actions!G125</f>
        <v/>
      </c>
      <c r="F133" s="6">
        <f>Actions!H125</f>
        <v/>
      </c>
      <c r="G133" s="16">
        <f>Portfolio_Calc!K127</f>
        <v/>
      </c>
      <c r="H133" s="29">
        <f>Actions!T125</f>
        <v/>
      </c>
      <c r="I133" s="29">
        <f>Actions!Y125</f>
        <v/>
      </c>
      <c r="J133" s="29">
        <f>Portfolio_Calc!CD127</f>
        <v/>
      </c>
      <c r="K133" s="37">
        <f>Portfolio_Calc!CE127</f>
        <v/>
      </c>
      <c r="L133" s="28">
        <f>Portfolio_Calc!CF127</f>
        <v/>
      </c>
      <c r="M133" s="36">
        <f>Portfolio_Calc!CG127</f>
        <v/>
      </c>
      <c r="N133" s="36">
        <f>Portfolio_Calc!CH127</f>
        <v/>
      </c>
    </row>
    <row r="134">
      <c r="A134" s="6">
        <f>Actions!A126</f>
        <v/>
      </c>
      <c r="B134" s="6">
        <f>Actions!B126</f>
        <v/>
      </c>
      <c r="C134" s="6">
        <f>Actions!D126</f>
        <v/>
      </c>
      <c r="D134" s="41">
        <f>Actions!F126</f>
        <v/>
      </c>
      <c r="E134" s="6">
        <f>Actions!G126</f>
        <v/>
      </c>
      <c r="F134" s="6">
        <f>Actions!H126</f>
        <v/>
      </c>
      <c r="G134" s="16">
        <f>Portfolio_Calc!K128</f>
        <v/>
      </c>
      <c r="H134" s="29">
        <f>Actions!T126</f>
        <v/>
      </c>
      <c r="I134" s="29">
        <f>Actions!Y126</f>
        <v/>
      </c>
      <c r="J134" s="29">
        <f>Portfolio_Calc!CD128</f>
        <v/>
      </c>
      <c r="K134" s="37">
        <f>Portfolio_Calc!CE128</f>
        <v/>
      </c>
      <c r="L134" s="28">
        <f>Portfolio_Calc!CF128</f>
        <v/>
      </c>
      <c r="M134" s="36">
        <f>Portfolio_Calc!CG128</f>
        <v/>
      </c>
      <c r="N134" s="36">
        <f>Portfolio_Calc!CH128</f>
        <v/>
      </c>
    </row>
    <row r="135">
      <c r="A135" s="6">
        <f>Actions!A127</f>
        <v/>
      </c>
      <c r="B135" s="6">
        <f>Actions!B127</f>
        <v/>
      </c>
      <c r="C135" s="6">
        <f>Actions!D127</f>
        <v/>
      </c>
      <c r="D135" s="41">
        <f>Actions!F127</f>
        <v/>
      </c>
      <c r="E135" s="6">
        <f>Actions!G127</f>
        <v/>
      </c>
      <c r="F135" s="6">
        <f>Actions!H127</f>
        <v/>
      </c>
      <c r="G135" s="16">
        <f>Portfolio_Calc!K129</f>
        <v/>
      </c>
      <c r="H135" s="29">
        <f>Actions!T127</f>
        <v/>
      </c>
      <c r="I135" s="29">
        <f>Actions!Y127</f>
        <v/>
      </c>
      <c r="J135" s="29">
        <f>Portfolio_Calc!CD129</f>
        <v/>
      </c>
      <c r="K135" s="37">
        <f>Portfolio_Calc!CE129</f>
        <v/>
      </c>
      <c r="L135" s="28">
        <f>Portfolio_Calc!CF129</f>
        <v/>
      </c>
      <c r="M135" s="36">
        <f>Portfolio_Calc!CG129</f>
        <v/>
      </c>
      <c r="N135" s="36">
        <f>Portfolio_Calc!CH129</f>
        <v/>
      </c>
    </row>
    <row r="136">
      <c r="A136" s="6">
        <f>Actions!A128</f>
        <v/>
      </c>
      <c r="B136" s="6">
        <f>Actions!B128</f>
        <v/>
      </c>
      <c r="C136" s="6">
        <f>Actions!D128</f>
        <v/>
      </c>
      <c r="D136" s="41">
        <f>Actions!F128</f>
        <v/>
      </c>
      <c r="E136" s="6">
        <f>Actions!G128</f>
        <v/>
      </c>
      <c r="F136" s="6">
        <f>Actions!H128</f>
        <v/>
      </c>
      <c r="G136" s="16">
        <f>Portfolio_Calc!K130</f>
        <v/>
      </c>
      <c r="H136" s="29">
        <f>Actions!T128</f>
        <v/>
      </c>
      <c r="I136" s="29">
        <f>Actions!Y128</f>
        <v/>
      </c>
      <c r="J136" s="29">
        <f>Portfolio_Calc!CD130</f>
        <v/>
      </c>
      <c r="K136" s="37">
        <f>Portfolio_Calc!CE130</f>
        <v/>
      </c>
      <c r="L136" s="28">
        <f>Portfolio_Calc!CF130</f>
        <v/>
      </c>
      <c r="M136" s="36">
        <f>Portfolio_Calc!CG130</f>
        <v/>
      </c>
      <c r="N136" s="36">
        <f>Portfolio_Calc!CH130</f>
        <v/>
      </c>
    </row>
    <row r="137">
      <c r="A137" s="6">
        <f>Actions!A129</f>
        <v/>
      </c>
      <c r="B137" s="6">
        <f>Actions!B129</f>
        <v/>
      </c>
      <c r="C137" s="6">
        <f>Actions!D129</f>
        <v/>
      </c>
      <c r="D137" s="41">
        <f>Actions!F129</f>
        <v/>
      </c>
      <c r="E137" s="6">
        <f>Actions!G129</f>
        <v/>
      </c>
      <c r="F137" s="6">
        <f>Actions!H129</f>
        <v/>
      </c>
      <c r="G137" s="16">
        <f>Portfolio_Calc!K131</f>
        <v/>
      </c>
      <c r="H137" s="29">
        <f>Actions!T129</f>
        <v/>
      </c>
      <c r="I137" s="29">
        <f>Actions!Y129</f>
        <v/>
      </c>
      <c r="J137" s="29">
        <f>Portfolio_Calc!CD131</f>
        <v/>
      </c>
      <c r="K137" s="37">
        <f>Portfolio_Calc!CE131</f>
        <v/>
      </c>
      <c r="L137" s="28">
        <f>Portfolio_Calc!CF131</f>
        <v/>
      </c>
      <c r="M137" s="36">
        <f>Portfolio_Calc!CG131</f>
        <v/>
      </c>
      <c r="N137" s="36">
        <f>Portfolio_Calc!CH131</f>
        <v/>
      </c>
    </row>
    <row r="138">
      <c r="A138" s="6">
        <f>Actions!A130</f>
        <v/>
      </c>
      <c r="B138" s="6">
        <f>Actions!B130</f>
        <v/>
      </c>
      <c r="C138" s="6">
        <f>Actions!D130</f>
        <v/>
      </c>
      <c r="D138" s="41">
        <f>Actions!F130</f>
        <v/>
      </c>
      <c r="E138" s="6">
        <f>Actions!G130</f>
        <v/>
      </c>
      <c r="F138" s="6">
        <f>Actions!H130</f>
        <v/>
      </c>
      <c r="G138" s="16">
        <f>Portfolio_Calc!K132</f>
        <v/>
      </c>
      <c r="H138" s="29">
        <f>Actions!T130</f>
        <v/>
      </c>
      <c r="I138" s="29">
        <f>Actions!Y130</f>
        <v/>
      </c>
      <c r="J138" s="29">
        <f>Portfolio_Calc!CD132</f>
        <v/>
      </c>
      <c r="K138" s="37">
        <f>Portfolio_Calc!CE132</f>
        <v/>
      </c>
      <c r="L138" s="28">
        <f>Portfolio_Calc!CF132</f>
        <v/>
      </c>
      <c r="M138" s="36">
        <f>Portfolio_Calc!CG132</f>
        <v/>
      </c>
      <c r="N138" s="36">
        <f>Portfolio_Calc!CH132</f>
        <v/>
      </c>
    </row>
    <row r="139">
      <c r="A139" s="6">
        <f>Actions!A131</f>
        <v/>
      </c>
      <c r="B139" s="6">
        <f>Actions!B131</f>
        <v/>
      </c>
      <c r="C139" s="6">
        <f>Actions!D131</f>
        <v/>
      </c>
      <c r="D139" s="41">
        <f>Actions!F131</f>
        <v/>
      </c>
      <c r="E139" s="6">
        <f>Actions!G131</f>
        <v/>
      </c>
      <c r="F139" s="6">
        <f>Actions!H131</f>
        <v/>
      </c>
      <c r="G139" s="16">
        <f>Portfolio_Calc!K133</f>
        <v/>
      </c>
      <c r="H139" s="29">
        <f>Actions!T131</f>
        <v/>
      </c>
      <c r="I139" s="29">
        <f>Actions!Y131</f>
        <v/>
      </c>
      <c r="J139" s="29">
        <f>Portfolio_Calc!CD133</f>
        <v/>
      </c>
      <c r="K139" s="37">
        <f>Portfolio_Calc!CE133</f>
        <v/>
      </c>
      <c r="L139" s="28">
        <f>Portfolio_Calc!CF133</f>
        <v/>
      </c>
      <c r="M139" s="36">
        <f>Portfolio_Calc!CG133</f>
        <v/>
      </c>
      <c r="N139" s="36">
        <f>Portfolio_Calc!CH133</f>
        <v/>
      </c>
    </row>
    <row r="140">
      <c r="A140" s="6">
        <f>Actions!A132</f>
        <v/>
      </c>
      <c r="B140" s="6">
        <f>Actions!B132</f>
        <v/>
      </c>
      <c r="C140" s="6">
        <f>Actions!D132</f>
        <v/>
      </c>
      <c r="D140" s="41">
        <f>Actions!F132</f>
        <v/>
      </c>
      <c r="E140" s="6">
        <f>Actions!G132</f>
        <v/>
      </c>
      <c r="F140" s="6">
        <f>Actions!H132</f>
        <v/>
      </c>
      <c r="G140" s="16">
        <f>Portfolio_Calc!K134</f>
        <v/>
      </c>
      <c r="H140" s="29">
        <f>Actions!T132</f>
        <v/>
      </c>
      <c r="I140" s="29">
        <f>Actions!Y132</f>
        <v/>
      </c>
      <c r="J140" s="29">
        <f>Portfolio_Calc!CD134</f>
        <v/>
      </c>
      <c r="K140" s="37">
        <f>Portfolio_Calc!CE134</f>
        <v/>
      </c>
      <c r="L140" s="28">
        <f>Portfolio_Calc!CF134</f>
        <v/>
      </c>
      <c r="M140" s="36">
        <f>Portfolio_Calc!CG134</f>
        <v/>
      </c>
      <c r="N140" s="36">
        <f>Portfolio_Calc!CH134</f>
        <v/>
      </c>
    </row>
    <row r="141">
      <c r="A141" s="6">
        <f>Actions!A133</f>
        <v/>
      </c>
      <c r="B141" s="6">
        <f>Actions!B133</f>
        <v/>
      </c>
      <c r="C141" s="6">
        <f>Actions!D133</f>
        <v/>
      </c>
      <c r="D141" s="41">
        <f>Actions!F133</f>
        <v/>
      </c>
      <c r="E141" s="6">
        <f>Actions!G133</f>
        <v/>
      </c>
      <c r="F141" s="6">
        <f>Actions!H133</f>
        <v/>
      </c>
      <c r="G141" s="16">
        <f>Portfolio_Calc!K135</f>
        <v/>
      </c>
      <c r="H141" s="29">
        <f>Actions!T133</f>
        <v/>
      </c>
      <c r="I141" s="29">
        <f>Actions!Y133</f>
        <v/>
      </c>
      <c r="J141" s="29">
        <f>Portfolio_Calc!CD135</f>
        <v/>
      </c>
      <c r="K141" s="37">
        <f>Portfolio_Calc!CE135</f>
        <v/>
      </c>
      <c r="L141" s="28">
        <f>Portfolio_Calc!CF135</f>
        <v/>
      </c>
      <c r="M141" s="36">
        <f>Portfolio_Calc!CG135</f>
        <v/>
      </c>
      <c r="N141" s="36">
        <f>Portfolio_Calc!CH135</f>
        <v/>
      </c>
    </row>
    <row r="142">
      <c r="A142" s="6">
        <f>Actions!A134</f>
        <v/>
      </c>
      <c r="B142" s="6">
        <f>Actions!B134</f>
        <v/>
      </c>
      <c r="C142" s="6">
        <f>Actions!D134</f>
        <v/>
      </c>
      <c r="D142" s="41">
        <f>Actions!F134</f>
        <v/>
      </c>
      <c r="E142" s="6">
        <f>Actions!G134</f>
        <v/>
      </c>
      <c r="F142" s="6">
        <f>Actions!H134</f>
        <v/>
      </c>
      <c r="G142" s="16">
        <f>Portfolio_Calc!K136</f>
        <v/>
      </c>
      <c r="H142" s="29">
        <f>Actions!T134</f>
        <v/>
      </c>
      <c r="I142" s="29">
        <f>Actions!Y134</f>
        <v/>
      </c>
      <c r="J142" s="29">
        <f>Portfolio_Calc!CD136</f>
        <v/>
      </c>
      <c r="K142" s="37">
        <f>Portfolio_Calc!CE136</f>
        <v/>
      </c>
      <c r="L142" s="28">
        <f>Portfolio_Calc!CF136</f>
        <v/>
      </c>
      <c r="M142" s="36">
        <f>Portfolio_Calc!CG136</f>
        <v/>
      </c>
      <c r="N142" s="36">
        <f>Portfolio_Calc!CH136</f>
        <v/>
      </c>
    </row>
    <row r="143">
      <c r="A143" s="6">
        <f>Actions!A135</f>
        <v/>
      </c>
      <c r="B143" s="6">
        <f>Actions!B135</f>
        <v/>
      </c>
      <c r="C143" s="6">
        <f>Actions!D135</f>
        <v/>
      </c>
      <c r="D143" s="41">
        <f>Actions!F135</f>
        <v/>
      </c>
      <c r="E143" s="6">
        <f>Actions!G135</f>
        <v/>
      </c>
      <c r="F143" s="6">
        <f>Actions!H135</f>
        <v/>
      </c>
      <c r="G143" s="16">
        <f>Portfolio_Calc!K137</f>
        <v/>
      </c>
      <c r="H143" s="29">
        <f>Actions!T135</f>
        <v/>
      </c>
      <c r="I143" s="29">
        <f>Actions!Y135</f>
        <v/>
      </c>
      <c r="J143" s="29">
        <f>Portfolio_Calc!CD137</f>
        <v/>
      </c>
      <c r="K143" s="37">
        <f>Portfolio_Calc!CE137</f>
        <v/>
      </c>
      <c r="L143" s="28">
        <f>Portfolio_Calc!CF137</f>
        <v/>
      </c>
      <c r="M143" s="36">
        <f>Portfolio_Calc!CG137</f>
        <v/>
      </c>
      <c r="N143" s="36">
        <f>Portfolio_Calc!CH137</f>
        <v/>
      </c>
    </row>
    <row r="144">
      <c r="A144" s="6">
        <f>Actions!A136</f>
        <v/>
      </c>
      <c r="B144" s="6">
        <f>Actions!B136</f>
        <v/>
      </c>
      <c r="C144" s="6">
        <f>Actions!D136</f>
        <v/>
      </c>
      <c r="D144" s="41">
        <f>Actions!F136</f>
        <v/>
      </c>
      <c r="E144" s="6">
        <f>Actions!G136</f>
        <v/>
      </c>
      <c r="F144" s="6">
        <f>Actions!H136</f>
        <v/>
      </c>
      <c r="G144" s="16">
        <f>Portfolio_Calc!K138</f>
        <v/>
      </c>
      <c r="H144" s="29">
        <f>Actions!T136</f>
        <v/>
      </c>
      <c r="I144" s="29">
        <f>Actions!Y136</f>
        <v/>
      </c>
      <c r="J144" s="29">
        <f>Portfolio_Calc!CD138</f>
        <v/>
      </c>
      <c r="K144" s="37">
        <f>Portfolio_Calc!CE138</f>
        <v/>
      </c>
      <c r="L144" s="28">
        <f>Portfolio_Calc!CF138</f>
        <v/>
      </c>
      <c r="M144" s="36">
        <f>Portfolio_Calc!CG138</f>
        <v/>
      </c>
      <c r="N144" s="36">
        <f>Portfolio_Calc!CH138</f>
        <v/>
      </c>
    </row>
    <row r="145">
      <c r="A145" s="6">
        <f>Actions!A137</f>
        <v/>
      </c>
      <c r="B145" s="6">
        <f>Actions!B137</f>
        <v/>
      </c>
      <c r="C145" s="6">
        <f>Actions!D137</f>
        <v/>
      </c>
      <c r="D145" s="41">
        <f>Actions!F137</f>
        <v/>
      </c>
      <c r="E145" s="6">
        <f>Actions!G137</f>
        <v/>
      </c>
      <c r="F145" s="6">
        <f>Actions!H137</f>
        <v/>
      </c>
      <c r="G145" s="16">
        <f>Portfolio_Calc!K139</f>
        <v/>
      </c>
      <c r="H145" s="29">
        <f>Actions!T137</f>
        <v/>
      </c>
      <c r="I145" s="29">
        <f>Actions!Y137</f>
        <v/>
      </c>
      <c r="J145" s="29">
        <f>Portfolio_Calc!CD139</f>
        <v/>
      </c>
      <c r="K145" s="37">
        <f>Portfolio_Calc!CE139</f>
        <v/>
      </c>
      <c r="L145" s="28">
        <f>Portfolio_Calc!CF139</f>
        <v/>
      </c>
      <c r="M145" s="36">
        <f>Portfolio_Calc!CG139</f>
        <v/>
      </c>
      <c r="N145" s="36">
        <f>Portfolio_Calc!CH139</f>
        <v/>
      </c>
    </row>
    <row r="146">
      <c r="A146" s="6">
        <f>Actions!A138</f>
        <v/>
      </c>
      <c r="B146" s="6">
        <f>Actions!B138</f>
        <v/>
      </c>
      <c r="C146" s="6">
        <f>Actions!D138</f>
        <v/>
      </c>
      <c r="D146" s="41">
        <f>Actions!F138</f>
        <v/>
      </c>
      <c r="E146" s="6">
        <f>Actions!G138</f>
        <v/>
      </c>
      <c r="F146" s="6">
        <f>Actions!H138</f>
        <v/>
      </c>
      <c r="G146" s="16">
        <f>Portfolio_Calc!K140</f>
        <v/>
      </c>
      <c r="H146" s="29">
        <f>Actions!T138</f>
        <v/>
      </c>
      <c r="I146" s="29">
        <f>Actions!Y138</f>
        <v/>
      </c>
      <c r="J146" s="29">
        <f>Portfolio_Calc!CD140</f>
        <v/>
      </c>
      <c r="K146" s="37">
        <f>Portfolio_Calc!CE140</f>
        <v/>
      </c>
      <c r="L146" s="28">
        <f>Portfolio_Calc!CF140</f>
        <v/>
      </c>
      <c r="M146" s="36">
        <f>Portfolio_Calc!CG140</f>
        <v/>
      </c>
      <c r="N146" s="36">
        <f>Portfolio_Calc!CH140</f>
        <v/>
      </c>
    </row>
    <row r="147">
      <c r="A147" s="6">
        <f>Actions!A139</f>
        <v/>
      </c>
      <c r="B147" s="6">
        <f>Actions!B139</f>
        <v/>
      </c>
      <c r="C147" s="6">
        <f>Actions!D139</f>
        <v/>
      </c>
      <c r="D147" s="41">
        <f>Actions!F139</f>
        <v/>
      </c>
      <c r="E147" s="6">
        <f>Actions!G139</f>
        <v/>
      </c>
      <c r="F147" s="6">
        <f>Actions!H139</f>
        <v/>
      </c>
      <c r="G147" s="16">
        <f>Portfolio_Calc!K141</f>
        <v/>
      </c>
      <c r="H147" s="29">
        <f>Actions!T139</f>
        <v/>
      </c>
      <c r="I147" s="29">
        <f>Actions!Y139</f>
        <v/>
      </c>
      <c r="J147" s="29">
        <f>Portfolio_Calc!CD141</f>
        <v/>
      </c>
      <c r="K147" s="37">
        <f>Portfolio_Calc!CE141</f>
        <v/>
      </c>
      <c r="L147" s="28">
        <f>Portfolio_Calc!CF141</f>
        <v/>
      </c>
      <c r="M147" s="36">
        <f>Portfolio_Calc!CG141</f>
        <v/>
      </c>
      <c r="N147" s="36">
        <f>Portfolio_Calc!CH141</f>
        <v/>
      </c>
    </row>
    <row r="148">
      <c r="A148" s="6">
        <f>Actions!A140</f>
        <v/>
      </c>
      <c r="B148" s="6">
        <f>Actions!B140</f>
        <v/>
      </c>
      <c r="C148" s="6">
        <f>Actions!D140</f>
        <v/>
      </c>
      <c r="D148" s="41">
        <f>Actions!F140</f>
        <v/>
      </c>
      <c r="E148" s="6">
        <f>Actions!G140</f>
        <v/>
      </c>
      <c r="F148" s="6">
        <f>Actions!H140</f>
        <v/>
      </c>
      <c r="G148" s="16">
        <f>Portfolio_Calc!K142</f>
        <v/>
      </c>
      <c r="H148" s="29">
        <f>Actions!T140</f>
        <v/>
      </c>
      <c r="I148" s="29">
        <f>Actions!Y140</f>
        <v/>
      </c>
      <c r="J148" s="29">
        <f>Portfolio_Calc!CD142</f>
        <v/>
      </c>
      <c r="K148" s="37">
        <f>Portfolio_Calc!CE142</f>
        <v/>
      </c>
      <c r="L148" s="28">
        <f>Portfolio_Calc!CF142</f>
        <v/>
      </c>
      <c r="M148" s="36">
        <f>Portfolio_Calc!CG142</f>
        <v/>
      </c>
      <c r="N148" s="36">
        <f>Portfolio_Calc!CH142</f>
        <v/>
      </c>
    </row>
    <row r="149">
      <c r="A149" s="6">
        <f>Actions!A141</f>
        <v/>
      </c>
      <c r="B149" s="6">
        <f>Actions!B141</f>
        <v/>
      </c>
      <c r="C149" s="6">
        <f>Actions!D141</f>
        <v/>
      </c>
      <c r="D149" s="41">
        <f>Actions!F141</f>
        <v/>
      </c>
      <c r="E149" s="6">
        <f>Actions!G141</f>
        <v/>
      </c>
      <c r="F149" s="6">
        <f>Actions!H141</f>
        <v/>
      </c>
      <c r="G149" s="16">
        <f>Portfolio_Calc!K143</f>
        <v/>
      </c>
      <c r="H149" s="29">
        <f>Actions!T141</f>
        <v/>
      </c>
      <c r="I149" s="29">
        <f>Actions!Y141</f>
        <v/>
      </c>
      <c r="J149" s="29">
        <f>Portfolio_Calc!CD143</f>
        <v/>
      </c>
      <c r="K149" s="37">
        <f>Portfolio_Calc!CE143</f>
        <v/>
      </c>
      <c r="L149" s="28">
        <f>Portfolio_Calc!CF143</f>
        <v/>
      </c>
      <c r="M149" s="36">
        <f>Portfolio_Calc!CG143</f>
        <v/>
      </c>
      <c r="N149" s="36">
        <f>Portfolio_Calc!CH143</f>
        <v/>
      </c>
    </row>
    <row r="150">
      <c r="A150" s="6">
        <f>Actions!A142</f>
        <v/>
      </c>
      <c r="B150" s="6">
        <f>Actions!B142</f>
        <v/>
      </c>
      <c r="C150" s="6">
        <f>Actions!D142</f>
        <v/>
      </c>
      <c r="D150" s="41">
        <f>Actions!F142</f>
        <v/>
      </c>
      <c r="E150" s="6">
        <f>Actions!G142</f>
        <v/>
      </c>
      <c r="F150" s="6">
        <f>Actions!H142</f>
        <v/>
      </c>
      <c r="G150" s="16">
        <f>Portfolio_Calc!K144</f>
        <v/>
      </c>
      <c r="H150" s="29">
        <f>Actions!T142</f>
        <v/>
      </c>
      <c r="I150" s="29">
        <f>Actions!Y142</f>
        <v/>
      </c>
      <c r="J150" s="29">
        <f>Portfolio_Calc!CD144</f>
        <v/>
      </c>
      <c r="K150" s="37">
        <f>Portfolio_Calc!CE144</f>
        <v/>
      </c>
      <c r="L150" s="28">
        <f>Portfolio_Calc!CF144</f>
        <v/>
      </c>
      <c r="M150" s="36">
        <f>Portfolio_Calc!CG144</f>
        <v/>
      </c>
      <c r="N150" s="36">
        <f>Portfolio_Calc!CH144</f>
        <v/>
      </c>
    </row>
    <row r="151">
      <c r="A151" s="6">
        <f>Actions!A143</f>
        <v/>
      </c>
      <c r="B151" s="6">
        <f>Actions!B143</f>
        <v/>
      </c>
      <c r="C151" s="6">
        <f>Actions!D143</f>
        <v/>
      </c>
      <c r="D151" s="41">
        <f>Actions!F143</f>
        <v/>
      </c>
      <c r="E151" s="6">
        <f>Actions!G143</f>
        <v/>
      </c>
      <c r="F151" s="6">
        <f>Actions!H143</f>
        <v/>
      </c>
      <c r="G151" s="16">
        <f>Portfolio_Calc!K145</f>
        <v/>
      </c>
      <c r="H151" s="29">
        <f>Actions!T143</f>
        <v/>
      </c>
      <c r="I151" s="29">
        <f>Actions!Y143</f>
        <v/>
      </c>
      <c r="J151" s="29">
        <f>Portfolio_Calc!CD145</f>
        <v/>
      </c>
      <c r="K151" s="37">
        <f>Portfolio_Calc!CE145</f>
        <v/>
      </c>
      <c r="L151" s="28">
        <f>Portfolio_Calc!CF145</f>
        <v/>
      </c>
      <c r="M151" s="36">
        <f>Portfolio_Calc!CG145</f>
        <v/>
      </c>
      <c r="N151" s="36">
        <f>Portfolio_Calc!CH145</f>
        <v/>
      </c>
    </row>
    <row r="152">
      <c r="A152" s="6">
        <f>Actions!A144</f>
        <v/>
      </c>
      <c r="B152" s="6">
        <f>Actions!B144</f>
        <v/>
      </c>
      <c r="C152" s="6">
        <f>Actions!D144</f>
        <v/>
      </c>
      <c r="D152" s="41">
        <f>Actions!F144</f>
        <v/>
      </c>
      <c r="E152" s="6">
        <f>Actions!G144</f>
        <v/>
      </c>
      <c r="F152" s="6">
        <f>Actions!H144</f>
        <v/>
      </c>
      <c r="G152" s="16">
        <f>Portfolio_Calc!K146</f>
        <v/>
      </c>
      <c r="H152" s="29">
        <f>Actions!T144</f>
        <v/>
      </c>
      <c r="I152" s="29">
        <f>Actions!Y144</f>
        <v/>
      </c>
      <c r="J152" s="29">
        <f>Portfolio_Calc!CD146</f>
        <v/>
      </c>
      <c r="K152" s="37">
        <f>Portfolio_Calc!CE146</f>
        <v/>
      </c>
      <c r="L152" s="28">
        <f>Portfolio_Calc!CF146</f>
        <v/>
      </c>
      <c r="M152" s="36">
        <f>Portfolio_Calc!CG146</f>
        <v/>
      </c>
      <c r="N152" s="36">
        <f>Portfolio_Calc!CH146</f>
        <v/>
      </c>
    </row>
    <row r="153">
      <c r="A153" s="6">
        <f>Actions!A145</f>
        <v/>
      </c>
      <c r="B153" s="6">
        <f>Actions!B145</f>
        <v/>
      </c>
      <c r="C153" s="6">
        <f>Actions!D145</f>
        <v/>
      </c>
      <c r="D153" s="41">
        <f>Actions!F145</f>
        <v/>
      </c>
      <c r="E153" s="6">
        <f>Actions!G145</f>
        <v/>
      </c>
      <c r="F153" s="6">
        <f>Actions!H145</f>
        <v/>
      </c>
      <c r="G153" s="16">
        <f>Portfolio_Calc!K147</f>
        <v/>
      </c>
      <c r="H153" s="29">
        <f>Actions!T145</f>
        <v/>
      </c>
      <c r="I153" s="29">
        <f>Actions!Y145</f>
        <v/>
      </c>
      <c r="J153" s="29">
        <f>Portfolio_Calc!CD147</f>
        <v/>
      </c>
      <c r="K153" s="37">
        <f>Portfolio_Calc!CE147</f>
        <v/>
      </c>
      <c r="L153" s="28">
        <f>Portfolio_Calc!CF147</f>
        <v/>
      </c>
      <c r="M153" s="36">
        <f>Portfolio_Calc!CG147</f>
        <v/>
      </c>
      <c r="N153" s="36">
        <f>Portfolio_Calc!CH147</f>
        <v/>
      </c>
    </row>
    <row r="154">
      <c r="A154" s="6">
        <f>Actions!A146</f>
        <v/>
      </c>
      <c r="B154" s="6">
        <f>Actions!B146</f>
        <v/>
      </c>
      <c r="C154" s="6">
        <f>Actions!D146</f>
        <v/>
      </c>
      <c r="D154" s="41">
        <f>Actions!F146</f>
        <v/>
      </c>
      <c r="E154" s="6">
        <f>Actions!G146</f>
        <v/>
      </c>
      <c r="F154" s="6">
        <f>Actions!H146</f>
        <v/>
      </c>
      <c r="G154" s="16">
        <f>Portfolio_Calc!K148</f>
        <v/>
      </c>
      <c r="H154" s="29">
        <f>Actions!T146</f>
        <v/>
      </c>
      <c r="I154" s="29">
        <f>Actions!Y146</f>
        <v/>
      </c>
      <c r="J154" s="29">
        <f>Portfolio_Calc!CD148</f>
        <v/>
      </c>
      <c r="K154" s="37">
        <f>Portfolio_Calc!CE148</f>
        <v/>
      </c>
      <c r="L154" s="28">
        <f>Portfolio_Calc!CF148</f>
        <v/>
      </c>
      <c r="M154" s="36">
        <f>Portfolio_Calc!CG148</f>
        <v/>
      </c>
      <c r="N154" s="36">
        <f>Portfolio_Calc!CH148</f>
        <v/>
      </c>
    </row>
    <row r="155">
      <c r="A155" s="6">
        <f>Actions!A147</f>
        <v/>
      </c>
      <c r="B155" s="6">
        <f>Actions!B147</f>
        <v/>
      </c>
      <c r="C155" s="6">
        <f>Actions!D147</f>
        <v/>
      </c>
      <c r="D155" s="41">
        <f>Actions!F147</f>
        <v/>
      </c>
      <c r="E155" s="6">
        <f>Actions!G147</f>
        <v/>
      </c>
      <c r="F155" s="6">
        <f>Actions!H147</f>
        <v/>
      </c>
      <c r="G155" s="16">
        <f>Portfolio_Calc!K149</f>
        <v/>
      </c>
      <c r="H155" s="29">
        <f>Actions!T147</f>
        <v/>
      </c>
      <c r="I155" s="29">
        <f>Actions!Y147</f>
        <v/>
      </c>
      <c r="J155" s="29">
        <f>Portfolio_Calc!CD149</f>
        <v/>
      </c>
      <c r="K155" s="37">
        <f>Portfolio_Calc!CE149</f>
        <v/>
      </c>
      <c r="L155" s="28">
        <f>Portfolio_Calc!CF149</f>
        <v/>
      </c>
      <c r="M155" s="36">
        <f>Portfolio_Calc!CG149</f>
        <v/>
      </c>
      <c r="N155" s="36">
        <f>Portfolio_Calc!CH149</f>
        <v/>
      </c>
    </row>
    <row r="156">
      <c r="A156" s="6">
        <f>Actions!A148</f>
        <v/>
      </c>
      <c r="B156" s="6">
        <f>Actions!B148</f>
        <v/>
      </c>
      <c r="C156" s="6">
        <f>Actions!D148</f>
        <v/>
      </c>
      <c r="D156" s="41">
        <f>Actions!F148</f>
        <v/>
      </c>
      <c r="E156" s="6">
        <f>Actions!G148</f>
        <v/>
      </c>
      <c r="F156" s="6">
        <f>Actions!H148</f>
        <v/>
      </c>
      <c r="G156" s="16">
        <f>Portfolio_Calc!K150</f>
        <v/>
      </c>
      <c r="H156" s="29">
        <f>Actions!T148</f>
        <v/>
      </c>
      <c r="I156" s="29">
        <f>Actions!Y148</f>
        <v/>
      </c>
      <c r="J156" s="29">
        <f>Portfolio_Calc!CD150</f>
        <v/>
      </c>
      <c r="K156" s="37">
        <f>Portfolio_Calc!CE150</f>
        <v/>
      </c>
      <c r="L156" s="28">
        <f>Portfolio_Calc!CF150</f>
        <v/>
      </c>
      <c r="M156" s="36">
        <f>Portfolio_Calc!CG150</f>
        <v/>
      </c>
      <c r="N156" s="36">
        <f>Portfolio_Calc!CH150</f>
        <v/>
      </c>
    </row>
    <row r="157">
      <c r="A157" s="6">
        <f>Actions!A149</f>
        <v/>
      </c>
      <c r="B157" s="6">
        <f>Actions!B149</f>
        <v/>
      </c>
      <c r="C157" s="6">
        <f>Actions!D149</f>
        <v/>
      </c>
      <c r="D157" s="41">
        <f>Actions!F149</f>
        <v/>
      </c>
      <c r="E157" s="6">
        <f>Actions!G149</f>
        <v/>
      </c>
      <c r="F157" s="6">
        <f>Actions!H149</f>
        <v/>
      </c>
      <c r="G157" s="16">
        <f>Portfolio_Calc!K151</f>
        <v/>
      </c>
      <c r="H157" s="29">
        <f>Actions!T149</f>
        <v/>
      </c>
      <c r="I157" s="29">
        <f>Actions!Y149</f>
        <v/>
      </c>
      <c r="J157" s="29">
        <f>Portfolio_Calc!CD151</f>
        <v/>
      </c>
      <c r="K157" s="37">
        <f>Portfolio_Calc!CE151</f>
        <v/>
      </c>
      <c r="L157" s="28">
        <f>Portfolio_Calc!CF151</f>
        <v/>
      </c>
      <c r="M157" s="36">
        <f>Portfolio_Calc!CG151</f>
        <v/>
      </c>
      <c r="N157" s="36">
        <f>Portfolio_Calc!CH151</f>
        <v/>
      </c>
    </row>
    <row r="158">
      <c r="A158" s="6">
        <f>Actions!A150</f>
        <v/>
      </c>
      <c r="B158" s="6">
        <f>Actions!B150</f>
        <v/>
      </c>
      <c r="C158" s="6">
        <f>Actions!D150</f>
        <v/>
      </c>
      <c r="D158" s="41">
        <f>Actions!F150</f>
        <v/>
      </c>
      <c r="E158" s="6">
        <f>Actions!G150</f>
        <v/>
      </c>
      <c r="F158" s="6">
        <f>Actions!H150</f>
        <v/>
      </c>
      <c r="G158" s="16">
        <f>Portfolio_Calc!K152</f>
        <v/>
      </c>
      <c r="H158" s="29">
        <f>Actions!T150</f>
        <v/>
      </c>
      <c r="I158" s="29">
        <f>Actions!Y150</f>
        <v/>
      </c>
      <c r="J158" s="29">
        <f>Portfolio_Calc!CD152</f>
        <v/>
      </c>
      <c r="K158" s="37">
        <f>Portfolio_Calc!CE152</f>
        <v/>
      </c>
      <c r="L158" s="28">
        <f>Portfolio_Calc!CF152</f>
        <v/>
      </c>
      <c r="M158" s="36">
        <f>Portfolio_Calc!CG152</f>
        <v/>
      </c>
      <c r="N158" s="36">
        <f>Portfolio_Calc!CH152</f>
        <v/>
      </c>
    </row>
    <row r="159">
      <c r="A159" s="6">
        <f>Actions!A151</f>
        <v/>
      </c>
      <c r="B159" s="6">
        <f>Actions!B151</f>
        <v/>
      </c>
      <c r="C159" s="6">
        <f>Actions!D151</f>
        <v/>
      </c>
      <c r="D159" s="41">
        <f>Actions!F151</f>
        <v/>
      </c>
      <c r="E159" s="6">
        <f>Actions!G151</f>
        <v/>
      </c>
      <c r="F159" s="6">
        <f>Actions!H151</f>
        <v/>
      </c>
      <c r="G159" s="16">
        <f>Portfolio_Calc!K153</f>
        <v/>
      </c>
      <c r="H159" s="29">
        <f>Actions!T151</f>
        <v/>
      </c>
      <c r="I159" s="29">
        <f>Actions!Y151</f>
        <v/>
      </c>
      <c r="J159" s="29">
        <f>Portfolio_Calc!CD153</f>
        <v/>
      </c>
      <c r="K159" s="37">
        <f>Portfolio_Calc!CE153</f>
        <v/>
      </c>
      <c r="L159" s="28">
        <f>Portfolio_Calc!CF153</f>
        <v/>
      </c>
      <c r="M159" s="36">
        <f>Portfolio_Calc!CG153</f>
        <v/>
      </c>
      <c r="N159" s="36">
        <f>Portfolio_Calc!CH153</f>
        <v/>
      </c>
    </row>
    <row r="160">
      <c r="A160" s="6">
        <f>Actions!A152</f>
        <v/>
      </c>
      <c r="B160" s="6">
        <f>Actions!B152</f>
        <v/>
      </c>
      <c r="C160" s="6">
        <f>Actions!D152</f>
        <v/>
      </c>
      <c r="D160" s="41">
        <f>Actions!F152</f>
        <v/>
      </c>
      <c r="E160" s="6">
        <f>Actions!G152</f>
        <v/>
      </c>
      <c r="F160" s="6">
        <f>Actions!H152</f>
        <v/>
      </c>
      <c r="G160" s="16">
        <f>Portfolio_Calc!K154</f>
        <v/>
      </c>
      <c r="H160" s="29">
        <f>Actions!T152</f>
        <v/>
      </c>
      <c r="I160" s="29">
        <f>Actions!Y152</f>
        <v/>
      </c>
      <c r="J160" s="29">
        <f>Portfolio_Calc!CD154</f>
        <v/>
      </c>
      <c r="K160" s="37">
        <f>Portfolio_Calc!CE154</f>
        <v/>
      </c>
      <c r="L160" s="28">
        <f>Portfolio_Calc!CF154</f>
        <v/>
      </c>
      <c r="M160" s="36">
        <f>Portfolio_Calc!CG154</f>
        <v/>
      </c>
      <c r="N160" s="36">
        <f>Portfolio_Calc!CH154</f>
        <v/>
      </c>
    </row>
    <row r="161">
      <c r="A161" s="6">
        <f>Actions!A153</f>
        <v/>
      </c>
      <c r="B161" s="6">
        <f>Actions!B153</f>
        <v/>
      </c>
      <c r="C161" s="6">
        <f>Actions!D153</f>
        <v/>
      </c>
      <c r="D161" s="41">
        <f>Actions!F153</f>
        <v/>
      </c>
      <c r="E161" s="6">
        <f>Actions!G153</f>
        <v/>
      </c>
      <c r="F161" s="6">
        <f>Actions!H153</f>
        <v/>
      </c>
      <c r="G161" s="16">
        <f>Portfolio_Calc!K155</f>
        <v/>
      </c>
      <c r="H161" s="29">
        <f>Actions!T153</f>
        <v/>
      </c>
      <c r="I161" s="29">
        <f>Actions!Y153</f>
        <v/>
      </c>
      <c r="J161" s="29">
        <f>Portfolio_Calc!CD155</f>
        <v/>
      </c>
      <c r="K161" s="37">
        <f>Portfolio_Calc!CE155</f>
        <v/>
      </c>
      <c r="L161" s="28">
        <f>Portfolio_Calc!CF155</f>
        <v/>
      </c>
      <c r="M161" s="36">
        <f>Portfolio_Calc!CG155</f>
        <v/>
      </c>
      <c r="N161" s="36">
        <f>Portfolio_Calc!CH155</f>
        <v/>
      </c>
    </row>
    <row r="162">
      <c r="A162" s="6">
        <f>Actions!A154</f>
        <v/>
      </c>
      <c r="B162" s="6">
        <f>Actions!B154</f>
        <v/>
      </c>
      <c r="C162" s="6">
        <f>Actions!D154</f>
        <v/>
      </c>
      <c r="D162" s="41">
        <f>Actions!F154</f>
        <v/>
      </c>
      <c r="E162" s="6">
        <f>Actions!G154</f>
        <v/>
      </c>
      <c r="F162" s="6">
        <f>Actions!H154</f>
        <v/>
      </c>
      <c r="G162" s="16">
        <f>Portfolio_Calc!K156</f>
        <v/>
      </c>
      <c r="H162" s="29">
        <f>Actions!T154</f>
        <v/>
      </c>
      <c r="I162" s="29">
        <f>Actions!Y154</f>
        <v/>
      </c>
      <c r="J162" s="29">
        <f>Portfolio_Calc!CD156</f>
        <v/>
      </c>
      <c r="K162" s="37">
        <f>Portfolio_Calc!CE156</f>
        <v/>
      </c>
      <c r="L162" s="28">
        <f>Portfolio_Calc!CF156</f>
        <v/>
      </c>
      <c r="M162" s="36">
        <f>Portfolio_Calc!CG156</f>
        <v/>
      </c>
      <c r="N162" s="36">
        <f>Portfolio_Calc!CH156</f>
        <v/>
      </c>
    </row>
    <row r="163">
      <c r="A163" s="6">
        <f>Actions!A155</f>
        <v/>
      </c>
      <c r="B163" s="6">
        <f>Actions!B155</f>
        <v/>
      </c>
      <c r="C163" s="6">
        <f>Actions!D155</f>
        <v/>
      </c>
      <c r="D163" s="41">
        <f>Actions!F155</f>
        <v/>
      </c>
      <c r="E163" s="6">
        <f>Actions!G155</f>
        <v/>
      </c>
      <c r="F163" s="6">
        <f>Actions!H155</f>
        <v/>
      </c>
      <c r="G163" s="16">
        <f>Portfolio_Calc!K157</f>
        <v/>
      </c>
      <c r="H163" s="29">
        <f>Actions!T155</f>
        <v/>
      </c>
      <c r="I163" s="29">
        <f>Actions!Y155</f>
        <v/>
      </c>
      <c r="J163" s="29">
        <f>Portfolio_Calc!CD157</f>
        <v/>
      </c>
      <c r="K163" s="37">
        <f>Portfolio_Calc!CE157</f>
        <v/>
      </c>
      <c r="L163" s="28">
        <f>Portfolio_Calc!CF157</f>
        <v/>
      </c>
      <c r="M163" s="36">
        <f>Portfolio_Calc!CG157</f>
        <v/>
      </c>
      <c r="N163" s="36">
        <f>Portfolio_Calc!CH157</f>
        <v/>
      </c>
    </row>
    <row r="164">
      <c r="A164" s="6">
        <f>Actions!A156</f>
        <v/>
      </c>
      <c r="B164" s="6">
        <f>Actions!B156</f>
        <v/>
      </c>
      <c r="C164" s="6">
        <f>Actions!D156</f>
        <v/>
      </c>
      <c r="D164" s="41">
        <f>Actions!F156</f>
        <v/>
      </c>
      <c r="E164" s="6">
        <f>Actions!G156</f>
        <v/>
      </c>
      <c r="F164" s="6">
        <f>Actions!H156</f>
        <v/>
      </c>
      <c r="G164" s="16">
        <f>Portfolio_Calc!K158</f>
        <v/>
      </c>
      <c r="H164" s="29">
        <f>Actions!T156</f>
        <v/>
      </c>
      <c r="I164" s="29">
        <f>Actions!Y156</f>
        <v/>
      </c>
      <c r="J164" s="29">
        <f>Portfolio_Calc!CD158</f>
        <v/>
      </c>
      <c r="K164" s="37">
        <f>Portfolio_Calc!CE158</f>
        <v/>
      </c>
      <c r="L164" s="28">
        <f>Portfolio_Calc!CF158</f>
        <v/>
      </c>
      <c r="M164" s="36">
        <f>Portfolio_Calc!CG158</f>
        <v/>
      </c>
      <c r="N164" s="36">
        <f>Portfolio_Calc!CH158</f>
        <v/>
      </c>
    </row>
    <row r="165">
      <c r="A165" s="6">
        <f>Actions!A157</f>
        <v/>
      </c>
      <c r="B165" s="6">
        <f>Actions!B157</f>
        <v/>
      </c>
      <c r="C165" s="6">
        <f>Actions!D157</f>
        <v/>
      </c>
      <c r="D165" s="41">
        <f>Actions!F157</f>
        <v/>
      </c>
      <c r="E165" s="6">
        <f>Actions!G157</f>
        <v/>
      </c>
      <c r="F165" s="6">
        <f>Actions!H157</f>
        <v/>
      </c>
      <c r="G165" s="16">
        <f>Portfolio_Calc!K159</f>
        <v/>
      </c>
      <c r="H165" s="29">
        <f>Actions!T157</f>
        <v/>
      </c>
      <c r="I165" s="29">
        <f>Actions!Y157</f>
        <v/>
      </c>
      <c r="J165" s="29">
        <f>Portfolio_Calc!CD159</f>
        <v/>
      </c>
      <c r="K165" s="37">
        <f>Portfolio_Calc!CE159</f>
        <v/>
      </c>
      <c r="L165" s="28">
        <f>Portfolio_Calc!CF159</f>
        <v/>
      </c>
      <c r="M165" s="36">
        <f>Portfolio_Calc!CG159</f>
        <v/>
      </c>
      <c r="N165" s="36">
        <f>Portfolio_Calc!CH159</f>
        <v/>
      </c>
    </row>
    <row r="166">
      <c r="A166" s="6">
        <f>Actions!A158</f>
        <v/>
      </c>
      <c r="B166" s="6">
        <f>Actions!B158</f>
        <v/>
      </c>
      <c r="C166" s="6">
        <f>Actions!D158</f>
        <v/>
      </c>
      <c r="D166" s="41">
        <f>Actions!F158</f>
        <v/>
      </c>
      <c r="E166" s="6">
        <f>Actions!G158</f>
        <v/>
      </c>
      <c r="F166" s="6">
        <f>Actions!H158</f>
        <v/>
      </c>
      <c r="G166" s="16">
        <f>Portfolio_Calc!K160</f>
        <v/>
      </c>
      <c r="H166" s="29">
        <f>Actions!T158</f>
        <v/>
      </c>
      <c r="I166" s="29">
        <f>Actions!Y158</f>
        <v/>
      </c>
      <c r="J166" s="29">
        <f>Portfolio_Calc!CD160</f>
        <v/>
      </c>
      <c r="K166" s="37">
        <f>Portfolio_Calc!CE160</f>
        <v/>
      </c>
      <c r="L166" s="28">
        <f>Portfolio_Calc!CF160</f>
        <v/>
      </c>
      <c r="M166" s="36">
        <f>Portfolio_Calc!CG160</f>
        <v/>
      </c>
      <c r="N166" s="36">
        <f>Portfolio_Calc!CH160</f>
        <v/>
      </c>
    </row>
    <row r="167">
      <c r="A167" s="6">
        <f>Actions!A159</f>
        <v/>
      </c>
      <c r="B167" s="6">
        <f>Actions!B159</f>
        <v/>
      </c>
      <c r="C167" s="6">
        <f>Actions!D159</f>
        <v/>
      </c>
      <c r="D167" s="41">
        <f>Actions!F159</f>
        <v/>
      </c>
      <c r="E167" s="6">
        <f>Actions!G159</f>
        <v/>
      </c>
      <c r="F167" s="6">
        <f>Actions!H159</f>
        <v/>
      </c>
      <c r="G167" s="16">
        <f>Portfolio_Calc!K161</f>
        <v/>
      </c>
      <c r="H167" s="29">
        <f>Actions!T159</f>
        <v/>
      </c>
      <c r="I167" s="29">
        <f>Actions!Y159</f>
        <v/>
      </c>
      <c r="J167" s="29">
        <f>Portfolio_Calc!CD161</f>
        <v/>
      </c>
      <c r="K167" s="37">
        <f>Portfolio_Calc!CE161</f>
        <v/>
      </c>
      <c r="L167" s="28">
        <f>Portfolio_Calc!CF161</f>
        <v/>
      </c>
      <c r="M167" s="36">
        <f>Portfolio_Calc!CG161</f>
        <v/>
      </c>
      <c r="N167" s="36">
        <f>Portfolio_Calc!CH161</f>
        <v/>
      </c>
    </row>
    <row r="168">
      <c r="A168" s="6">
        <f>Actions!A160</f>
        <v/>
      </c>
      <c r="B168" s="6">
        <f>Actions!B160</f>
        <v/>
      </c>
      <c r="C168" s="6">
        <f>Actions!D160</f>
        <v/>
      </c>
      <c r="D168" s="41">
        <f>Actions!F160</f>
        <v/>
      </c>
      <c r="E168" s="6">
        <f>Actions!G160</f>
        <v/>
      </c>
      <c r="F168" s="6">
        <f>Actions!H160</f>
        <v/>
      </c>
      <c r="G168" s="16">
        <f>Portfolio_Calc!K162</f>
        <v/>
      </c>
      <c r="H168" s="29">
        <f>Actions!T160</f>
        <v/>
      </c>
      <c r="I168" s="29">
        <f>Actions!Y160</f>
        <v/>
      </c>
      <c r="J168" s="29">
        <f>Portfolio_Calc!CD162</f>
        <v/>
      </c>
      <c r="K168" s="37">
        <f>Portfolio_Calc!CE162</f>
        <v/>
      </c>
      <c r="L168" s="28">
        <f>Portfolio_Calc!CF162</f>
        <v/>
      </c>
      <c r="M168" s="36">
        <f>Portfolio_Calc!CG162</f>
        <v/>
      </c>
      <c r="N168" s="36">
        <f>Portfolio_Calc!CH162</f>
        <v/>
      </c>
    </row>
    <row r="169">
      <c r="A169" s="6">
        <f>Actions!A161</f>
        <v/>
      </c>
      <c r="B169" s="6">
        <f>Actions!B161</f>
        <v/>
      </c>
      <c r="C169" s="6">
        <f>Actions!D161</f>
        <v/>
      </c>
      <c r="D169" s="41">
        <f>Actions!F161</f>
        <v/>
      </c>
      <c r="E169" s="6">
        <f>Actions!G161</f>
        <v/>
      </c>
      <c r="F169" s="6">
        <f>Actions!H161</f>
        <v/>
      </c>
      <c r="G169" s="16">
        <f>Portfolio_Calc!K163</f>
        <v/>
      </c>
      <c r="H169" s="29">
        <f>Actions!T161</f>
        <v/>
      </c>
      <c r="I169" s="29">
        <f>Actions!Y161</f>
        <v/>
      </c>
      <c r="J169" s="29">
        <f>Portfolio_Calc!CD163</f>
        <v/>
      </c>
      <c r="K169" s="37">
        <f>Portfolio_Calc!CE163</f>
        <v/>
      </c>
      <c r="L169" s="28">
        <f>Portfolio_Calc!CF163</f>
        <v/>
      </c>
      <c r="M169" s="36">
        <f>Portfolio_Calc!CG163</f>
        <v/>
      </c>
      <c r="N169" s="36">
        <f>Portfolio_Calc!CH163</f>
        <v/>
      </c>
    </row>
    <row r="170">
      <c r="A170" s="6">
        <f>Actions!A162</f>
        <v/>
      </c>
      <c r="B170" s="6">
        <f>Actions!B162</f>
        <v/>
      </c>
      <c r="C170" s="6">
        <f>Actions!D162</f>
        <v/>
      </c>
      <c r="D170" s="41">
        <f>Actions!F162</f>
        <v/>
      </c>
      <c r="E170" s="6">
        <f>Actions!G162</f>
        <v/>
      </c>
      <c r="F170" s="6">
        <f>Actions!H162</f>
        <v/>
      </c>
      <c r="G170" s="16">
        <f>Portfolio_Calc!K164</f>
        <v/>
      </c>
      <c r="H170" s="29">
        <f>Actions!T162</f>
        <v/>
      </c>
      <c r="I170" s="29">
        <f>Actions!Y162</f>
        <v/>
      </c>
      <c r="J170" s="29">
        <f>Portfolio_Calc!CD164</f>
        <v/>
      </c>
      <c r="K170" s="37">
        <f>Portfolio_Calc!CE164</f>
        <v/>
      </c>
      <c r="L170" s="28">
        <f>Portfolio_Calc!CF164</f>
        <v/>
      </c>
      <c r="M170" s="36">
        <f>Portfolio_Calc!CG164</f>
        <v/>
      </c>
      <c r="N170" s="36">
        <f>Portfolio_Calc!CH164</f>
        <v/>
      </c>
    </row>
    <row r="171">
      <c r="A171" s="6">
        <f>Actions!A163</f>
        <v/>
      </c>
      <c r="B171" s="6">
        <f>Actions!B163</f>
        <v/>
      </c>
      <c r="C171" s="6">
        <f>Actions!D163</f>
        <v/>
      </c>
      <c r="D171" s="41">
        <f>Actions!F163</f>
        <v/>
      </c>
      <c r="E171" s="6">
        <f>Actions!G163</f>
        <v/>
      </c>
      <c r="F171" s="6">
        <f>Actions!H163</f>
        <v/>
      </c>
      <c r="G171" s="16">
        <f>Portfolio_Calc!K165</f>
        <v/>
      </c>
      <c r="H171" s="29">
        <f>Actions!T163</f>
        <v/>
      </c>
      <c r="I171" s="29">
        <f>Actions!Y163</f>
        <v/>
      </c>
      <c r="J171" s="29">
        <f>Portfolio_Calc!CD165</f>
        <v/>
      </c>
      <c r="K171" s="37">
        <f>Portfolio_Calc!CE165</f>
        <v/>
      </c>
      <c r="L171" s="28">
        <f>Portfolio_Calc!CF165</f>
        <v/>
      </c>
      <c r="M171" s="36">
        <f>Portfolio_Calc!CG165</f>
        <v/>
      </c>
      <c r="N171" s="36">
        <f>Portfolio_Calc!CH165</f>
        <v/>
      </c>
    </row>
    <row r="172">
      <c r="A172" s="6">
        <f>Actions!A164</f>
        <v/>
      </c>
      <c r="B172" s="6">
        <f>Actions!B164</f>
        <v/>
      </c>
      <c r="C172" s="6">
        <f>Actions!D164</f>
        <v/>
      </c>
      <c r="D172" s="41">
        <f>Actions!F164</f>
        <v/>
      </c>
      <c r="E172" s="6">
        <f>Actions!G164</f>
        <v/>
      </c>
      <c r="F172" s="6">
        <f>Actions!H164</f>
        <v/>
      </c>
      <c r="G172" s="16">
        <f>Portfolio_Calc!K166</f>
        <v/>
      </c>
      <c r="H172" s="29">
        <f>Actions!T164</f>
        <v/>
      </c>
      <c r="I172" s="29">
        <f>Actions!Y164</f>
        <v/>
      </c>
      <c r="J172" s="29">
        <f>Portfolio_Calc!CD166</f>
        <v/>
      </c>
      <c r="K172" s="37">
        <f>Portfolio_Calc!CE166</f>
        <v/>
      </c>
      <c r="L172" s="28">
        <f>Portfolio_Calc!CF166</f>
        <v/>
      </c>
      <c r="M172" s="36">
        <f>Portfolio_Calc!CG166</f>
        <v/>
      </c>
      <c r="N172" s="36">
        <f>Portfolio_Calc!CH166</f>
        <v/>
      </c>
    </row>
    <row r="173">
      <c r="A173" s="6">
        <f>Actions!A165</f>
        <v/>
      </c>
      <c r="B173" s="6">
        <f>Actions!B165</f>
        <v/>
      </c>
      <c r="C173" s="6">
        <f>Actions!D165</f>
        <v/>
      </c>
      <c r="D173" s="41">
        <f>Actions!F165</f>
        <v/>
      </c>
      <c r="E173" s="6">
        <f>Actions!G165</f>
        <v/>
      </c>
      <c r="F173" s="6">
        <f>Actions!H165</f>
        <v/>
      </c>
      <c r="G173" s="16">
        <f>Portfolio_Calc!K167</f>
        <v/>
      </c>
      <c r="H173" s="29">
        <f>Actions!T165</f>
        <v/>
      </c>
      <c r="I173" s="29">
        <f>Actions!Y165</f>
        <v/>
      </c>
      <c r="J173" s="29">
        <f>Portfolio_Calc!CD167</f>
        <v/>
      </c>
      <c r="K173" s="37">
        <f>Portfolio_Calc!CE167</f>
        <v/>
      </c>
      <c r="L173" s="28">
        <f>Portfolio_Calc!CF167</f>
        <v/>
      </c>
      <c r="M173" s="36">
        <f>Portfolio_Calc!CG167</f>
        <v/>
      </c>
      <c r="N173" s="36">
        <f>Portfolio_Calc!CH167</f>
        <v/>
      </c>
    </row>
    <row r="174">
      <c r="A174" s="6">
        <f>Actions!A166</f>
        <v/>
      </c>
      <c r="B174" s="6">
        <f>Actions!B166</f>
        <v/>
      </c>
      <c r="C174" s="6">
        <f>Actions!D166</f>
        <v/>
      </c>
      <c r="D174" s="41">
        <f>Actions!F166</f>
        <v/>
      </c>
      <c r="E174" s="6">
        <f>Actions!G166</f>
        <v/>
      </c>
      <c r="F174" s="6">
        <f>Actions!H166</f>
        <v/>
      </c>
      <c r="G174" s="16">
        <f>Portfolio_Calc!K168</f>
        <v/>
      </c>
      <c r="H174" s="29">
        <f>Actions!T166</f>
        <v/>
      </c>
      <c r="I174" s="29">
        <f>Actions!Y166</f>
        <v/>
      </c>
      <c r="J174" s="29">
        <f>Portfolio_Calc!CD168</f>
        <v/>
      </c>
      <c r="K174" s="37">
        <f>Portfolio_Calc!CE168</f>
        <v/>
      </c>
      <c r="L174" s="28">
        <f>Portfolio_Calc!CF168</f>
        <v/>
      </c>
      <c r="M174" s="36">
        <f>Portfolio_Calc!CG168</f>
        <v/>
      </c>
      <c r="N174" s="36">
        <f>Portfolio_Calc!CH168</f>
        <v/>
      </c>
    </row>
    <row r="175">
      <c r="A175" s="6">
        <f>Actions!A167</f>
        <v/>
      </c>
      <c r="B175" s="6">
        <f>Actions!B167</f>
        <v/>
      </c>
      <c r="C175" s="6">
        <f>Actions!D167</f>
        <v/>
      </c>
      <c r="D175" s="41">
        <f>Actions!F167</f>
        <v/>
      </c>
      <c r="E175" s="6">
        <f>Actions!G167</f>
        <v/>
      </c>
      <c r="F175" s="6">
        <f>Actions!H167</f>
        <v/>
      </c>
      <c r="G175" s="16">
        <f>Portfolio_Calc!K169</f>
        <v/>
      </c>
      <c r="H175" s="29">
        <f>Actions!T167</f>
        <v/>
      </c>
      <c r="I175" s="29">
        <f>Actions!Y167</f>
        <v/>
      </c>
      <c r="J175" s="29">
        <f>Portfolio_Calc!CD169</f>
        <v/>
      </c>
      <c r="K175" s="37">
        <f>Portfolio_Calc!CE169</f>
        <v/>
      </c>
      <c r="L175" s="28">
        <f>Portfolio_Calc!CF169</f>
        <v/>
      </c>
      <c r="M175" s="36">
        <f>Portfolio_Calc!CG169</f>
        <v/>
      </c>
      <c r="N175" s="36">
        <f>Portfolio_Calc!CH169</f>
        <v/>
      </c>
    </row>
    <row r="176">
      <c r="A176" s="6">
        <f>Actions!A168</f>
        <v/>
      </c>
      <c r="B176" s="6">
        <f>Actions!B168</f>
        <v/>
      </c>
      <c r="C176" s="6">
        <f>Actions!D168</f>
        <v/>
      </c>
      <c r="D176" s="41">
        <f>Actions!F168</f>
        <v/>
      </c>
      <c r="E176" s="6">
        <f>Actions!G168</f>
        <v/>
      </c>
      <c r="F176" s="6">
        <f>Actions!H168</f>
        <v/>
      </c>
      <c r="G176" s="16">
        <f>Portfolio_Calc!K170</f>
        <v/>
      </c>
      <c r="H176" s="29">
        <f>Actions!T168</f>
        <v/>
      </c>
      <c r="I176" s="29">
        <f>Actions!Y168</f>
        <v/>
      </c>
      <c r="J176" s="29">
        <f>Portfolio_Calc!CD170</f>
        <v/>
      </c>
      <c r="K176" s="37">
        <f>Portfolio_Calc!CE170</f>
        <v/>
      </c>
      <c r="L176" s="28">
        <f>Portfolio_Calc!CF170</f>
        <v/>
      </c>
      <c r="M176" s="36">
        <f>Portfolio_Calc!CG170</f>
        <v/>
      </c>
      <c r="N176" s="36">
        <f>Portfolio_Calc!CH170</f>
        <v/>
      </c>
    </row>
    <row r="177">
      <c r="A177" s="6">
        <f>Actions!A169</f>
        <v/>
      </c>
      <c r="B177" s="6">
        <f>Actions!B169</f>
        <v/>
      </c>
      <c r="C177" s="6">
        <f>Actions!D169</f>
        <v/>
      </c>
      <c r="D177" s="41">
        <f>Actions!F169</f>
        <v/>
      </c>
      <c r="E177" s="6">
        <f>Actions!G169</f>
        <v/>
      </c>
      <c r="F177" s="6">
        <f>Actions!H169</f>
        <v/>
      </c>
      <c r="G177" s="16">
        <f>Portfolio_Calc!K171</f>
        <v/>
      </c>
      <c r="H177" s="29">
        <f>Actions!T169</f>
        <v/>
      </c>
      <c r="I177" s="29">
        <f>Actions!Y169</f>
        <v/>
      </c>
      <c r="J177" s="29">
        <f>Portfolio_Calc!CD171</f>
        <v/>
      </c>
      <c r="K177" s="37">
        <f>Portfolio_Calc!CE171</f>
        <v/>
      </c>
      <c r="L177" s="28">
        <f>Portfolio_Calc!CF171</f>
        <v/>
      </c>
      <c r="M177" s="36">
        <f>Portfolio_Calc!CG171</f>
        <v/>
      </c>
      <c r="N177" s="36">
        <f>Portfolio_Calc!CH171</f>
        <v/>
      </c>
    </row>
    <row r="178">
      <c r="A178" s="6">
        <f>Actions!A170</f>
        <v/>
      </c>
      <c r="B178" s="6">
        <f>Actions!B170</f>
        <v/>
      </c>
      <c r="C178" s="6">
        <f>Actions!D170</f>
        <v/>
      </c>
      <c r="D178" s="41">
        <f>Actions!F170</f>
        <v/>
      </c>
      <c r="E178" s="6">
        <f>Actions!G170</f>
        <v/>
      </c>
      <c r="F178" s="6">
        <f>Actions!H170</f>
        <v/>
      </c>
      <c r="G178" s="16">
        <f>Portfolio_Calc!K172</f>
        <v/>
      </c>
      <c r="H178" s="29">
        <f>Actions!T170</f>
        <v/>
      </c>
      <c r="I178" s="29">
        <f>Actions!Y170</f>
        <v/>
      </c>
      <c r="J178" s="29">
        <f>Portfolio_Calc!CD172</f>
        <v/>
      </c>
      <c r="K178" s="37">
        <f>Portfolio_Calc!CE172</f>
        <v/>
      </c>
      <c r="L178" s="28">
        <f>Portfolio_Calc!CF172</f>
        <v/>
      </c>
      <c r="M178" s="36">
        <f>Portfolio_Calc!CG172</f>
        <v/>
      </c>
      <c r="N178" s="36">
        <f>Portfolio_Calc!CH172</f>
        <v/>
      </c>
    </row>
    <row r="179">
      <c r="A179" s="6">
        <f>Actions!A171</f>
        <v/>
      </c>
      <c r="B179" s="6">
        <f>Actions!B171</f>
        <v/>
      </c>
      <c r="C179" s="6">
        <f>Actions!D171</f>
        <v/>
      </c>
      <c r="D179" s="41">
        <f>Actions!F171</f>
        <v/>
      </c>
      <c r="E179" s="6">
        <f>Actions!G171</f>
        <v/>
      </c>
      <c r="F179" s="6">
        <f>Actions!H171</f>
        <v/>
      </c>
      <c r="G179" s="16">
        <f>Portfolio_Calc!K173</f>
        <v/>
      </c>
      <c r="H179" s="29">
        <f>Actions!T171</f>
        <v/>
      </c>
      <c r="I179" s="29">
        <f>Actions!Y171</f>
        <v/>
      </c>
      <c r="J179" s="29">
        <f>Portfolio_Calc!CD173</f>
        <v/>
      </c>
      <c r="K179" s="37">
        <f>Portfolio_Calc!CE173</f>
        <v/>
      </c>
      <c r="L179" s="28">
        <f>Portfolio_Calc!CF173</f>
        <v/>
      </c>
      <c r="M179" s="36">
        <f>Portfolio_Calc!CG173</f>
        <v/>
      </c>
      <c r="N179" s="36">
        <f>Portfolio_Calc!CH173</f>
        <v/>
      </c>
    </row>
    <row r="180">
      <c r="A180" s="6">
        <f>Actions!A172</f>
        <v/>
      </c>
      <c r="B180" s="6">
        <f>Actions!B172</f>
        <v/>
      </c>
      <c r="C180" s="6">
        <f>Actions!D172</f>
        <v/>
      </c>
      <c r="D180" s="41">
        <f>Actions!F172</f>
        <v/>
      </c>
      <c r="E180" s="6">
        <f>Actions!G172</f>
        <v/>
      </c>
      <c r="F180" s="6">
        <f>Actions!H172</f>
        <v/>
      </c>
      <c r="G180" s="16">
        <f>Portfolio_Calc!K174</f>
        <v/>
      </c>
      <c r="H180" s="29">
        <f>Actions!T172</f>
        <v/>
      </c>
      <c r="I180" s="29">
        <f>Actions!Y172</f>
        <v/>
      </c>
      <c r="J180" s="29">
        <f>Portfolio_Calc!CD174</f>
        <v/>
      </c>
      <c r="K180" s="37">
        <f>Portfolio_Calc!CE174</f>
        <v/>
      </c>
      <c r="L180" s="28">
        <f>Portfolio_Calc!CF174</f>
        <v/>
      </c>
      <c r="M180" s="36">
        <f>Portfolio_Calc!CG174</f>
        <v/>
      </c>
      <c r="N180" s="36">
        <f>Portfolio_Calc!CH174</f>
        <v/>
      </c>
    </row>
    <row r="181">
      <c r="A181" s="6">
        <f>Actions!A173</f>
        <v/>
      </c>
      <c r="B181" s="6">
        <f>Actions!B173</f>
        <v/>
      </c>
      <c r="C181" s="6">
        <f>Actions!D173</f>
        <v/>
      </c>
      <c r="D181" s="41">
        <f>Actions!F173</f>
        <v/>
      </c>
      <c r="E181" s="6">
        <f>Actions!G173</f>
        <v/>
      </c>
      <c r="F181" s="6">
        <f>Actions!H173</f>
        <v/>
      </c>
      <c r="G181" s="16">
        <f>Portfolio_Calc!K175</f>
        <v/>
      </c>
      <c r="H181" s="29">
        <f>Actions!T173</f>
        <v/>
      </c>
      <c r="I181" s="29">
        <f>Actions!Y173</f>
        <v/>
      </c>
      <c r="J181" s="29">
        <f>Portfolio_Calc!CD175</f>
        <v/>
      </c>
      <c r="K181" s="37">
        <f>Portfolio_Calc!CE175</f>
        <v/>
      </c>
      <c r="L181" s="28">
        <f>Portfolio_Calc!CF175</f>
        <v/>
      </c>
      <c r="M181" s="36">
        <f>Portfolio_Calc!CG175</f>
        <v/>
      </c>
      <c r="N181" s="36">
        <f>Portfolio_Calc!CH175</f>
        <v/>
      </c>
    </row>
    <row r="182">
      <c r="A182" s="6">
        <f>Actions!A174</f>
        <v/>
      </c>
      <c r="B182" s="6">
        <f>Actions!B174</f>
        <v/>
      </c>
      <c r="C182" s="6">
        <f>Actions!D174</f>
        <v/>
      </c>
      <c r="D182" s="41">
        <f>Actions!F174</f>
        <v/>
      </c>
      <c r="E182" s="6">
        <f>Actions!G174</f>
        <v/>
      </c>
      <c r="F182" s="6">
        <f>Actions!H174</f>
        <v/>
      </c>
      <c r="G182" s="16">
        <f>Portfolio_Calc!K176</f>
        <v/>
      </c>
      <c r="H182" s="29">
        <f>Actions!T174</f>
        <v/>
      </c>
      <c r="I182" s="29">
        <f>Actions!Y174</f>
        <v/>
      </c>
      <c r="J182" s="29">
        <f>Portfolio_Calc!CD176</f>
        <v/>
      </c>
      <c r="K182" s="37">
        <f>Portfolio_Calc!CE176</f>
        <v/>
      </c>
      <c r="L182" s="28">
        <f>Portfolio_Calc!CF176</f>
        <v/>
      </c>
      <c r="M182" s="36">
        <f>Portfolio_Calc!CG176</f>
        <v/>
      </c>
      <c r="N182" s="36">
        <f>Portfolio_Calc!CH176</f>
        <v/>
      </c>
    </row>
    <row r="183">
      <c r="A183" s="6">
        <f>Actions!A175</f>
        <v/>
      </c>
      <c r="B183" s="6">
        <f>Actions!B175</f>
        <v/>
      </c>
      <c r="C183" s="6">
        <f>Actions!D175</f>
        <v/>
      </c>
      <c r="D183" s="41">
        <f>Actions!F175</f>
        <v/>
      </c>
      <c r="E183" s="6">
        <f>Actions!G175</f>
        <v/>
      </c>
      <c r="F183" s="6">
        <f>Actions!H175</f>
        <v/>
      </c>
      <c r="G183" s="16">
        <f>Portfolio_Calc!K177</f>
        <v/>
      </c>
      <c r="H183" s="29">
        <f>Actions!T175</f>
        <v/>
      </c>
      <c r="I183" s="29">
        <f>Actions!Y175</f>
        <v/>
      </c>
      <c r="J183" s="29">
        <f>Portfolio_Calc!CD177</f>
        <v/>
      </c>
      <c r="K183" s="37">
        <f>Portfolio_Calc!CE177</f>
        <v/>
      </c>
      <c r="L183" s="28">
        <f>Portfolio_Calc!CF177</f>
        <v/>
      </c>
      <c r="M183" s="36">
        <f>Portfolio_Calc!CG177</f>
        <v/>
      </c>
      <c r="N183" s="36">
        <f>Portfolio_Calc!CH177</f>
        <v/>
      </c>
    </row>
    <row r="184">
      <c r="A184" s="6">
        <f>Actions!A176</f>
        <v/>
      </c>
      <c r="B184" s="6">
        <f>Actions!B176</f>
        <v/>
      </c>
      <c r="C184" s="6">
        <f>Actions!D176</f>
        <v/>
      </c>
      <c r="D184" s="41">
        <f>Actions!F176</f>
        <v/>
      </c>
      <c r="E184" s="6">
        <f>Actions!G176</f>
        <v/>
      </c>
      <c r="F184" s="6">
        <f>Actions!H176</f>
        <v/>
      </c>
      <c r="G184" s="16">
        <f>Portfolio_Calc!K178</f>
        <v/>
      </c>
      <c r="H184" s="29">
        <f>Actions!T176</f>
        <v/>
      </c>
      <c r="I184" s="29">
        <f>Actions!Y176</f>
        <v/>
      </c>
      <c r="J184" s="29">
        <f>Portfolio_Calc!CD178</f>
        <v/>
      </c>
      <c r="K184" s="37">
        <f>Portfolio_Calc!CE178</f>
        <v/>
      </c>
      <c r="L184" s="28">
        <f>Portfolio_Calc!CF178</f>
        <v/>
      </c>
      <c r="M184" s="36">
        <f>Portfolio_Calc!CG178</f>
        <v/>
      </c>
      <c r="N184" s="36">
        <f>Portfolio_Calc!CH178</f>
        <v/>
      </c>
    </row>
    <row r="185">
      <c r="A185" s="6">
        <f>Actions!A177</f>
        <v/>
      </c>
      <c r="B185" s="6">
        <f>Actions!B177</f>
        <v/>
      </c>
      <c r="C185" s="6">
        <f>Actions!D177</f>
        <v/>
      </c>
      <c r="D185" s="41">
        <f>Actions!F177</f>
        <v/>
      </c>
      <c r="E185" s="6">
        <f>Actions!G177</f>
        <v/>
      </c>
      <c r="F185" s="6">
        <f>Actions!H177</f>
        <v/>
      </c>
      <c r="G185" s="16">
        <f>Portfolio_Calc!K179</f>
        <v/>
      </c>
      <c r="H185" s="29">
        <f>Actions!T177</f>
        <v/>
      </c>
      <c r="I185" s="29">
        <f>Actions!Y177</f>
        <v/>
      </c>
      <c r="J185" s="29">
        <f>Portfolio_Calc!CD179</f>
        <v/>
      </c>
      <c r="K185" s="37">
        <f>Portfolio_Calc!CE179</f>
        <v/>
      </c>
      <c r="L185" s="28">
        <f>Portfolio_Calc!CF179</f>
        <v/>
      </c>
      <c r="M185" s="36">
        <f>Portfolio_Calc!CG179</f>
        <v/>
      </c>
      <c r="N185" s="36">
        <f>Portfolio_Calc!CH179</f>
        <v/>
      </c>
    </row>
    <row r="186">
      <c r="A186" s="6">
        <f>Actions!A178</f>
        <v/>
      </c>
      <c r="B186" s="6">
        <f>Actions!B178</f>
        <v/>
      </c>
      <c r="C186" s="6">
        <f>Actions!D178</f>
        <v/>
      </c>
      <c r="D186" s="41">
        <f>Actions!F178</f>
        <v/>
      </c>
      <c r="E186" s="6">
        <f>Actions!G178</f>
        <v/>
      </c>
      <c r="F186" s="6">
        <f>Actions!H178</f>
        <v/>
      </c>
      <c r="G186" s="16">
        <f>Portfolio_Calc!K180</f>
        <v/>
      </c>
      <c r="H186" s="29">
        <f>Actions!T178</f>
        <v/>
      </c>
      <c r="I186" s="29">
        <f>Actions!Y178</f>
        <v/>
      </c>
      <c r="J186" s="29">
        <f>Portfolio_Calc!CD180</f>
        <v/>
      </c>
      <c r="K186" s="37">
        <f>Portfolio_Calc!CE180</f>
        <v/>
      </c>
      <c r="L186" s="28">
        <f>Portfolio_Calc!CF180</f>
        <v/>
      </c>
      <c r="M186" s="36">
        <f>Portfolio_Calc!CG180</f>
        <v/>
      </c>
      <c r="N186" s="36">
        <f>Portfolio_Calc!CH180</f>
        <v/>
      </c>
    </row>
    <row r="187">
      <c r="A187" s="6">
        <f>Actions!A179</f>
        <v/>
      </c>
      <c r="B187" s="6">
        <f>Actions!B179</f>
        <v/>
      </c>
      <c r="C187" s="6">
        <f>Actions!D179</f>
        <v/>
      </c>
      <c r="D187" s="41">
        <f>Actions!F179</f>
        <v/>
      </c>
      <c r="E187" s="6">
        <f>Actions!G179</f>
        <v/>
      </c>
      <c r="F187" s="6">
        <f>Actions!H179</f>
        <v/>
      </c>
      <c r="G187" s="16">
        <f>Portfolio_Calc!K181</f>
        <v/>
      </c>
      <c r="H187" s="29">
        <f>Actions!T179</f>
        <v/>
      </c>
      <c r="I187" s="29">
        <f>Actions!Y179</f>
        <v/>
      </c>
      <c r="J187" s="29">
        <f>Portfolio_Calc!CD181</f>
        <v/>
      </c>
      <c r="K187" s="37">
        <f>Portfolio_Calc!CE181</f>
        <v/>
      </c>
      <c r="L187" s="28">
        <f>Portfolio_Calc!CF181</f>
        <v/>
      </c>
      <c r="M187" s="36">
        <f>Portfolio_Calc!CG181</f>
        <v/>
      </c>
      <c r="N187" s="36">
        <f>Portfolio_Calc!CH181</f>
        <v/>
      </c>
    </row>
    <row r="188">
      <c r="A188" s="6">
        <f>Actions!A180</f>
        <v/>
      </c>
      <c r="B188" s="6">
        <f>Actions!B180</f>
        <v/>
      </c>
      <c r="C188" s="6">
        <f>Actions!D180</f>
        <v/>
      </c>
      <c r="D188" s="41">
        <f>Actions!F180</f>
        <v/>
      </c>
      <c r="E188" s="6">
        <f>Actions!G180</f>
        <v/>
      </c>
      <c r="F188" s="6">
        <f>Actions!H180</f>
        <v/>
      </c>
      <c r="G188" s="16">
        <f>Portfolio_Calc!K182</f>
        <v/>
      </c>
      <c r="H188" s="29">
        <f>Actions!T180</f>
        <v/>
      </c>
      <c r="I188" s="29">
        <f>Actions!Y180</f>
        <v/>
      </c>
      <c r="J188" s="29">
        <f>Portfolio_Calc!CD182</f>
        <v/>
      </c>
      <c r="K188" s="37">
        <f>Portfolio_Calc!CE182</f>
        <v/>
      </c>
      <c r="L188" s="28">
        <f>Portfolio_Calc!CF182</f>
        <v/>
      </c>
      <c r="M188" s="36">
        <f>Portfolio_Calc!CG182</f>
        <v/>
      </c>
      <c r="N188" s="36">
        <f>Portfolio_Calc!CH182</f>
        <v/>
      </c>
    </row>
    <row r="189">
      <c r="A189" s="6">
        <f>Actions!A181</f>
        <v/>
      </c>
      <c r="B189" s="6">
        <f>Actions!B181</f>
        <v/>
      </c>
      <c r="C189" s="6">
        <f>Actions!D181</f>
        <v/>
      </c>
      <c r="D189" s="41">
        <f>Actions!F181</f>
        <v/>
      </c>
      <c r="E189" s="6">
        <f>Actions!G181</f>
        <v/>
      </c>
      <c r="F189" s="6">
        <f>Actions!H181</f>
        <v/>
      </c>
      <c r="G189" s="16">
        <f>Portfolio_Calc!K183</f>
        <v/>
      </c>
      <c r="H189" s="29">
        <f>Actions!T181</f>
        <v/>
      </c>
      <c r="I189" s="29">
        <f>Actions!Y181</f>
        <v/>
      </c>
      <c r="J189" s="29">
        <f>Portfolio_Calc!CD183</f>
        <v/>
      </c>
      <c r="K189" s="37">
        <f>Portfolio_Calc!CE183</f>
        <v/>
      </c>
      <c r="L189" s="28">
        <f>Portfolio_Calc!CF183</f>
        <v/>
      </c>
      <c r="M189" s="36">
        <f>Portfolio_Calc!CG183</f>
        <v/>
      </c>
      <c r="N189" s="36">
        <f>Portfolio_Calc!CH183</f>
        <v/>
      </c>
    </row>
    <row r="190">
      <c r="A190" s="6">
        <f>Actions!A182</f>
        <v/>
      </c>
      <c r="B190" s="6">
        <f>Actions!B182</f>
        <v/>
      </c>
      <c r="C190" s="6">
        <f>Actions!D182</f>
        <v/>
      </c>
      <c r="D190" s="41">
        <f>Actions!F182</f>
        <v/>
      </c>
      <c r="E190" s="6">
        <f>Actions!G182</f>
        <v/>
      </c>
      <c r="F190" s="6">
        <f>Actions!H182</f>
        <v/>
      </c>
      <c r="G190" s="16">
        <f>Portfolio_Calc!K184</f>
        <v/>
      </c>
      <c r="H190" s="29">
        <f>Actions!T182</f>
        <v/>
      </c>
      <c r="I190" s="29">
        <f>Actions!Y182</f>
        <v/>
      </c>
      <c r="J190" s="29">
        <f>Portfolio_Calc!CD184</f>
        <v/>
      </c>
      <c r="K190" s="37">
        <f>Portfolio_Calc!CE184</f>
        <v/>
      </c>
      <c r="L190" s="28">
        <f>Portfolio_Calc!CF184</f>
        <v/>
      </c>
      <c r="M190" s="36">
        <f>Portfolio_Calc!CG184</f>
        <v/>
      </c>
      <c r="N190" s="36">
        <f>Portfolio_Calc!CH184</f>
        <v/>
      </c>
    </row>
    <row r="191">
      <c r="A191" s="6">
        <f>Actions!A183</f>
        <v/>
      </c>
      <c r="B191" s="6">
        <f>Actions!B183</f>
        <v/>
      </c>
      <c r="C191" s="6">
        <f>Actions!D183</f>
        <v/>
      </c>
      <c r="D191" s="41">
        <f>Actions!F183</f>
        <v/>
      </c>
      <c r="E191" s="6">
        <f>Actions!G183</f>
        <v/>
      </c>
      <c r="F191" s="6">
        <f>Actions!H183</f>
        <v/>
      </c>
      <c r="G191" s="16">
        <f>Portfolio_Calc!K185</f>
        <v/>
      </c>
      <c r="H191" s="29">
        <f>Actions!T183</f>
        <v/>
      </c>
      <c r="I191" s="29">
        <f>Actions!Y183</f>
        <v/>
      </c>
      <c r="J191" s="29">
        <f>Portfolio_Calc!CD185</f>
        <v/>
      </c>
      <c r="K191" s="37">
        <f>Portfolio_Calc!CE185</f>
        <v/>
      </c>
      <c r="L191" s="28">
        <f>Portfolio_Calc!CF185</f>
        <v/>
      </c>
      <c r="M191" s="36">
        <f>Portfolio_Calc!CG185</f>
        <v/>
      </c>
      <c r="N191" s="36">
        <f>Portfolio_Calc!CH185</f>
        <v/>
      </c>
    </row>
    <row r="192">
      <c r="A192" s="6">
        <f>Actions!A184</f>
        <v/>
      </c>
      <c r="B192" s="6">
        <f>Actions!B184</f>
        <v/>
      </c>
      <c r="C192" s="6">
        <f>Actions!D184</f>
        <v/>
      </c>
      <c r="D192" s="41">
        <f>Actions!F184</f>
        <v/>
      </c>
      <c r="E192" s="6">
        <f>Actions!G184</f>
        <v/>
      </c>
      <c r="F192" s="6">
        <f>Actions!H184</f>
        <v/>
      </c>
      <c r="G192" s="16">
        <f>Portfolio_Calc!K186</f>
        <v/>
      </c>
      <c r="H192" s="29">
        <f>Actions!T184</f>
        <v/>
      </c>
      <c r="I192" s="29">
        <f>Actions!Y184</f>
        <v/>
      </c>
      <c r="J192" s="29">
        <f>Portfolio_Calc!CD186</f>
        <v/>
      </c>
      <c r="K192" s="37">
        <f>Portfolio_Calc!CE186</f>
        <v/>
      </c>
      <c r="L192" s="28">
        <f>Portfolio_Calc!CF186</f>
        <v/>
      </c>
      <c r="M192" s="36">
        <f>Portfolio_Calc!CG186</f>
        <v/>
      </c>
      <c r="N192" s="36">
        <f>Portfolio_Calc!CH186</f>
        <v/>
      </c>
    </row>
    <row r="193">
      <c r="A193" s="6">
        <f>Actions!A185</f>
        <v/>
      </c>
      <c r="B193" s="6">
        <f>Actions!B185</f>
        <v/>
      </c>
      <c r="C193" s="6">
        <f>Actions!D185</f>
        <v/>
      </c>
      <c r="D193" s="41">
        <f>Actions!F185</f>
        <v/>
      </c>
      <c r="E193" s="6">
        <f>Actions!G185</f>
        <v/>
      </c>
      <c r="F193" s="6">
        <f>Actions!H185</f>
        <v/>
      </c>
      <c r="G193" s="16">
        <f>Portfolio_Calc!K187</f>
        <v/>
      </c>
      <c r="H193" s="29">
        <f>Actions!T185</f>
        <v/>
      </c>
      <c r="I193" s="29">
        <f>Actions!Y185</f>
        <v/>
      </c>
      <c r="J193" s="29">
        <f>Portfolio_Calc!CD187</f>
        <v/>
      </c>
      <c r="K193" s="37">
        <f>Portfolio_Calc!CE187</f>
        <v/>
      </c>
      <c r="L193" s="28">
        <f>Portfolio_Calc!CF187</f>
        <v/>
      </c>
      <c r="M193" s="36">
        <f>Portfolio_Calc!CG187</f>
        <v/>
      </c>
      <c r="N193" s="36">
        <f>Portfolio_Calc!CH187</f>
        <v/>
      </c>
    </row>
    <row r="194">
      <c r="A194" s="6">
        <f>Actions!A186</f>
        <v/>
      </c>
      <c r="B194" s="6">
        <f>Actions!B186</f>
        <v/>
      </c>
      <c r="C194" s="6">
        <f>Actions!D186</f>
        <v/>
      </c>
      <c r="D194" s="41">
        <f>Actions!F186</f>
        <v/>
      </c>
      <c r="E194" s="6">
        <f>Actions!G186</f>
        <v/>
      </c>
      <c r="F194" s="6">
        <f>Actions!H186</f>
        <v/>
      </c>
      <c r="G194" s="16">
        <f>Portfolio_Calc!K188</f>
        <v/>
      </c>
      <c r="H194" s="29">
        <f>Actions!T186</f>
        <v/>
      </c>
      <c r="I194" s="29">
        <f>Actions!Y186</f>
        <v/>
      </c>
      <c r="J194" s="29">
        <f>Portfolio_Calc!CD188</f>
        <v/>
      </c>
      <c r="K194" s="37">
        <f>Portfolio_Calc!CE188</f>
        <v/>
      </c>
      <c r="L194" s="28">
        <f>Portfolio_Calc!CF188</f>
        <v/>
      </c>
      <c r="M194" s="36">
        <f>Portfolio_Calc!CG188</f>
        <v/>
      </c>
      <c r="N194" s="36">
        <f>Portfolio_Calc!CH188</f>
        <v/>
      </c>
    </row>
    <row r="195">
      <c r="A195" s="6">
        <f>Actions!A187</f>
        <v/>
      </c>
      <c r="B195" s="6">
        <f>Actions!B187</f>
        <v/>
      </c>
      <c r="C195" s="6">
        <f>Actions!D187</f>
        <v/>
      </c>
      <c r="D195" s="41">
        <f>Actions!F187</f>
        <v/>
      </c>
      <c r="E195" s="6">
        <f>Actions!G187</f>
        <v/>
      </c>
      <c r="F195" s="6">
        <f>Actions!H187</f>
        <v/>
      </c>
      <c r="G195" s="16">
        <f>Portfolio_Calc!K189</f>
        <v/>
      </c>
      <c r="H195" s="29">
        <f>Actions!T187</f>
        <v/>
      </c>
      <c r="I195" s="29">
        <f>Actions!Y187</f>
        <v/>
      </c>
      <c r="J195" s="29">
        <f>Portfolio_Calc!CD189</f>
        <v/>
      </c>
      <c r="K195" s="37">
        <f>Portfolio_Calc!CE189</f>
        <v/>
      </c>
      <c r="L195" s="28">
        <f>Portfolio_Calc!CF189</f>
        <v/>
      </c>
      <c r="M195" s="36">
        <f>Portfolio_Calc!CG189</f>
        <v/>
      </c>
      <c r="N195" s="36">
        <f>Portfolio_Calc!CH189</f>
        <v/>
      </c>
    </row>
    <row r="196">
      <c r="A196" s="6">
        <f>Actions!A188</f>
        <v/>
      </c>
      <c r="B196" s="6">
        <f>Actions!B188</f>
        <v/>
      </c>
      <c r="C196" s="6">
        <f>Actions!D188</f>
        <v/>
      </c>
      <c r="D196" s="41">
        <f>Actions!F188</f>
        <v/>
      </c>
      <c r="E196" s="6">
        <f>Actions!G188</f>
        <v/>
      </c>
      <c r="F196" s="6">
        <f>Actions!H188</f>
        <v/>
      </c>
      <c r="G196" s="16">
        <f>Portfolio_Calc!K190</f>
        <v/>
      </c>
      <c r="H196" s="29">
        <f>Actions!T188</f>
        <v/>
      </c>
      <c r="I196" s="29">
        <f>Actions!Y188</f>
        <v/>
      </c>
      <c r="J196" s="29">
        <f>Portfolio_Calc!CD190</f>
        <v/>
      </c>
      <c r="K196" s="37">
        <f>Portfolio_Calc!CE190</f>
        <v/>
      </c>
      <c r="L196" s="28">
        <f>Portfolio_Calc!CF190</f>
        <v/>
      </c>
      <c r="M196" s="36">
        <f>Portfolio_Calc!CG190</f>
        <v/>
      </c>
      <c r="N196" s="36">
        <f>Portfolio_Calc!CH190</f>
        <v/>
      </c>
    </row>
    <row r="197">
      <c r="A197" s="6">
        <f>Actions!A189</f>
        <v/>
      </c>
      <c r="B197" s="6">
        <f>Actions!B189</f>
        <v/>
      </c>
      <c r="C197" s="6">
        <f>Actions!D189</f>
        <v/>
      </c>
      <c r="D197" s="41">
        <f>Actions!F189</f>
        <v/>
      </c>
      <c r="E197" s="6">
        <f>Actions!G189</f>
        <v/>
      </c>
      <c r="F197" s="6">
        <f>Actions!H189</f>
        <v/>
      </c>
      <c r="G197" s="16">
        <f>Portfolio_Calc!K191</f>
        <v/>
      </c>
      <c r="H197" s="29">
        <f>Actions!T189</f>
        <v/>
      </c>
      <c r="I197" s="29">
        <f>Actions!Y189</f>
        <v/>
      </c>
      <c r="J197" s="29">
        <f>Portfolio_Calc!CD191</f>
        <v/>
      </c>
      <c r="K197" s="37">
        <f>Portfolio_Calc!CE191</f>
        <v/>
      </c>
      <c r="L197" s="28">
        <f>Portfolio_Calc!CF191</f>
        <v/>
      </c>
      <c r="M197" s="36">
        <f>Portfolio_Calc!CG191</f>
        <v/>
      </c>
      <c r="N197" s="36">
        <f>Portfolio_Calc!CH191</f>
        <v/>
      </c>
    </row>
    <row r="198">
      <c r="A198" s="6">
        <f>Actions!A190</f>
        <v/>
      </c>
      <c r="B198" s="6">
        <f>Actions!B190</f>
        <v/>
      </c>
      <c r="C198" s="6">
        <f>Actions!D190</f>
        <v/>
      </c>
      <c r="D198" s="41">
        <f>Actions!F190</f>
        <v/>
      </c>
      <c r="E198" s="6">
        <f>Actions!G190</f>
        <v/>
      </c>
      <c r="F198" s="6">
        <f>Actions!H190</f>
        <v/>
      </c>
      <c r="G198" s="16">
        <f>Portfolio_Calc!K192</f>
        <v/>
      </c>
      <c r="H198" s="29">
        <f>Actions!T190</f>
        <v/>
      </c>
      <c r="I198" s="29">
        <f>Actions!Y190</f>
        <v/>
      </c>
      <c r="J198" s="29">
        <f>Portfolio_Calc!CD192</f>
        <v/>
      </c>
      <c r="K198" s="37">
        <f>Portfolio_Calc!CE192</f>
        <v/>
      </c>
      <c r="L198" s="28">
        <f>Portfolio_Calc!CF192</f>
        <v/>
      </c>
      <c r="M198" s="36">
        <f>Portfolio_Calc!CG192</f>
        <v/>
      </c>
      <c r="N198" s="36">
        <f>Portfolio_Calc!CH192</f>
        <v/>
      </c>
    </row>
    <row r="199">
      <c r="A199" s="6">
        <f>Actions!A191</f>
        <v/>
      </c>
      <c r="B199" s="6">
        <f>Actions!B191</f>
        <v/>
      </c>
      <c r="C199" s="6">
        <f>Actions!D191</f>
        <v/>
      </c>
      <c r="D199" s="41">
        <f>Actions!F191</f>
        <v/>
      </c>
      <c r="E199" s="6">
        <f>Actions!G191</f>
        <v/>
      </c>
      <c r="F199" s="6">
        <f>Actions!H191</f>
        <v/>
      </c>
      <c r="G199" s="16">
        <f>Portfolio_Calc!K193</f>
        <v/>
      </c>
      <c r="H199" s="29">
        <f>Actions!T191</f>
        <v/>
      </c>
      <c r="I199" s="29">
        <f>Actions!Y191</f>
        <v/>
      </c>
      <c r="J199" s="29">
        <f>Portfolio_Calc!CD193</f>
        <v/>
      </c>
      <c r="K199" s="37">
        <f>Portfolio_Calc!CE193</f>
        <v/>
      </c>
      <c r="L199" s="28">
        <f>Portfolio_Calc!CF193</f>
        <v/>
      </c>
      <c r="M199" s="36">
        <f>Portfolio_Calc!CG193</f>
        <v/>
      </c>
      <c r="N199" s="36">
        <f>Portfolio_Calc!CH193</f>
        <v/>
      </c>
    </row>
    <row r="200">
      <c r="A200" s="6">
        <f>Actions!A192</f>
        <v/>
      </c>
      <c r="B200" s="6">
        <f>Actions!B192</f>
        <v/>
      </c>
      <c r="C200" s="6">
        <f>Actions!D192</f>
        <v/>
      </c>
      <c r="D200" s="41">
        <f>Actions!F192</f>
        <v/>
      </c>
      <c r="E200" s="6">
        <f>Actions!G192</f>
        <v/>
      </c>
      <c r="F200" s="6">
        <f>Actions!H192</f>
        <v/>
      </c>
      <c r="G200" s="16">
        <f>Portfolio_Calc!K194</f>
        <v/>
      </c>
      <c r="H200" s="29">
        <f>Actions!T192</f>
        <v/>
      </c>
      <c r="I200" s="29">
        <f>Actions!Y192</f>
        <v/>
      </c>
      <c r="J200" s="29">
        <f>Portfolio_Calc!CD194</f>
        <v/>
      </c>
      <c r="K200" s="37">
        <f>Portfolio_Calc!CE194</f>
        <v/>
      </c>
      <c r="L200" s="28">
        <f>Portfolio_Calc!CF194</f>
        <v/>
      </c>
      <c r="M200" s="36">
        <f>Portfolio_Calc!CG194</f>
        <v/>
      </c>
      <c r="N200" s="36">
        <f>Portfolio_Calc!CH194</f>
        <v/>
      </c>
    </row>
    <row r="201">
      <c r="A201" s="6">
        <f>Actions!A193</f>
        <v/>
      </c>
      <c r="B201" s="6">
        <f>Actions!B193</f>
        <v/>
      </c>
      <c r="C201" s="6">
        <f>Actions!D193</f>
        <v/>
      </c>
      <c r="D201" s="41">
        <f>Actions!F193</f>
        <v/>
      </c>
      <c r="E201" s="6">
        <f>Actions!G193</f>
        <v/>
      </c>
      <c r="F201" s="6">
        <f>Actions!H193</f>
        <v/>
      </c>
      <c r="G201" s="16">
        <f>Portfolio_Calc!K195</f>
        <v/>
      </c>
      <c r="H201" s="29">
        <f>Actions!T193</f>
        <v/>
      </c>
      <c r="I201" s="29">
        <f>Actions!Y193</f>
        <v/>
      </c>
      <c r="J201" s="29">
        <f>Portfolio_Calc!CD195</f>
        <v/>
      </c>
      <c r="K201" s="37">
        <f>Portfolio_Calc!CE195</f>
        <v/>
      </c>
      <c r="L201" s="28">
        <f>Portfolio_Calc!CF195</f>
        <v/>
      </c>
      <c r="M201" s="36">
        <f>Portfolio_Calc!CG195</f>
        <v/>
      </c>
      <c r="N201" s="36">
        <f>Portfolio_Calc!CH195</f>
        <v/>
      </c>
    </row>
    <row r="202">
      <c r="A202" s="6">
        <f>Actions!A194</f>
        <v/>
      </c>
      <c r="B202" s="6">
        <f>Actions!B194</f>
        <v/>
      </c>
      <c r="C202" s="6">
        <f>Actions!D194</f>
        <v/>
      </c>
      <c r="D202" s="41">
        <f>Actions!F194</f>
        <v/>
      </c>
      <c r="E202" s="6">
        <f>Actions!G194</f>
        <v/>
      </c>
      <c r="F202" s="6">
        <f>Actions!H194</f>
        <v/>
      </c>
      <c r="G202" s="16">
        <f>Portfolio_Calc!K196</f>
        <v/>
      </c>
      <c r="H202" s="29">
        <f>Actions!T194</f>
        <v/>
      </c>
      <c r="I202" s="29">
        <f>Actions!Y194</f>
        <v/>
      </c>
      <c r="J202" s="29">
        <f>Portfolio_Calc!CD196</f>
        <v/>
      </c>
      <c r="K202" s="37">
        <f>Portfolio_Calc!CE196</f>
        <v/>
      </c>
      <c r="L202" s="28">
        <f>Portfolio_Calc!CF196</f>
        <v/>
      </c>
      <c r="M202" s="36">
        <f>Portfolio_Calc!CG196</f>
        <v/>
      </c>
      <c r="N202" s="36">
        <f>Portfolio_Calc!CH196</f>
        <v/>
      </c>
    </row>
    <row r="203">
      <c r="A203" s="6">
        <f>Actions!A195</f>
        <v/>
      </c>
      <c r="B203" s="6">
        <f>Actions!B195</f>
        <v/>
      </c>
      <c r="C203" s="6">
        <f>Actions!D195</f>
        <v/>
      </c>
      <c r="D203" s="41">
        <f>Actions!F195</f>
        <v/>
      </c>
      <c r="E203" s="6">
        <f>Actions!G195</f>
        <v/>
      </c>
      <c r="F203" s="6">
        <f>Actions!H195</f>
        <v/>
      </c>
      <c r="G203" s="16">
        <f>Portfolio_Calc!K197</f>
        <v/>
      </c>
      <c r="H203" s="29">
        <f>Actions!T195</f>
        <v/>
      </c>
      <c r="I203" s="29">
        <f>Actions!Y195</f>
        <v/>
      </c>
      <c r="J203" s="29">
        <f>Portfolio_Calc!CD197</f>
        <v/>
      </c>
      <c r="K203" s="37">
        <f>Portfolio_Calc!CE197</f>
        <v/>
      </c>
      <c r="L203" s="28">
        <f>Portfolio_Calc!CF197</f>
        <v/>
      </c>
      <c r="M203" s="36">
        <f>Portfolio_Calc!CG197</f>
        <v/>
      </c>
      <c r="N203" s="36">
        <f>Portfolio_Calc!CH197</f>
        <v/>
      </c>
    </row>
    <row r="204">
      <c r="A204" s="6">
        <f>Actions!A196</f>
        <v/>
      </c>
      <c r="B204" s="6">
        <f>Actions!B196</f>
        <v/>
      </c>
      <c r="C204" s="6">
        <f>Actions!D196</f>
        <v/>
      </c>
      <c r="D204" s="41">
        <f>Actions!F196</f>
        <v/>
      </c>
      <c r="E204" s="6">
        <f>Actions!G196</f>
        <v/>
      </c>
      <c r="F204" s="6">
        <f>Actions!H196</f>
        <v/>
      </c>
      <c r="G204" s="16">
        <f>Portfolio_Calc!K198</f>
        <v/>
      </c>
      <c r="H204" s="29">
        <f>Actions!T196</f>
        <v/>
      </c>
      <c r="I204" s="29">
        <f>Actions!Y196</f>
        <v/>
      </c>
      <c r="J204" s="29">
        <f>Portfolio_Calc!CD198</f>
        <v/>
      </c>
      <c r="K204" s="37">
        <f>Portfolio_Calc!CE198</f>
        <v/>
      </c>
      <c r="L204" s="28">
        <f>Portfolio_Calc!CF198</f>
        <v/>
      </c>
      <c r="M204" s="36">
        <f>Portfolio_Calc!CG198</f>
        <v/>
      </c>
      <c r="N204" s="36">
        <f>Portfolio_Calc!CH198</f>
        <v/>
      </c>
    </row>
    <row r="205">
      <c r="A205" s="6">
        <f>Actions!A197</f>
        <v/>
      </c>
      <c r="B205" s="6">
        <f>Actions!B197</f>
        <v/>
      </c>
      <c r="C205" s="6">
        <f>Actions!D197</f>
        <v/>
      </c>
      <c r="D205" s="41">
        <f>Actions!F197</f>
        <v/>
      </c>
      <c r="E205" s="6">
        <f>Actions!G197</f>
        <v/>
      </c>
      <c r="F205" s="6">
        <f>Actions!H197</f>
        <v/>
      </c>
      <c r="G205" s="16">
        <f>Portfolio_Calc!K199</f>
        <v/>
      </c>
      <c r="H205" s="29">
        <f>Actions!T197</f>
        <v/>
      </c>
      <c r="I205" s="29">
        <f>Actions!Y197</f>
        <v/>
      </c>
      <c r="J205" s="29">
        <f>Portfolio_Calc!CD199</f>
        <v/>
      </c>
      <c r="K205" s="37">
        <f>Portfolio_Calc!CE199</f>
        <v/>
      </c>
      <c r="L205" s="28">
        <f>Portfolio_Calc!CF199</f>
        <v/>
      </c>
      <c r="M205" s="36">
        <f>Portfolio_Calc!CG199</f>
        <v/>
      </c>
      <c r="N205" s="36">
        <f>Portfolio_Calc!CH199</f>
        <v/>
      </c>
    </row>
    <row r="206">
      <c r="A206" s="6">
        <f>Actions!A198</f>
        <v/>
      </c>
      <c r="B206" s="6">
        <f>Actions!B198</f>
        <v/>
      </c>
      <c r="C206" s="6">
        <f>Actions!D198</f>
        <v/>
      </c>
      <c r="D206" s="41">
        <f>Actions!F198</f>
        <v/>
      </c>
      <c r="E206" s="6">
        <f>Actions!G198</f>
        <v/>
      </c>
      <c r="F206" s="6">
        <f>Actions!H198</f>
        <v/>
      </c>
      <c r="G206" s="16">
        <f>Portfolio_Calc!K200</f>
        <v/>
      </c>
      <c r="H206" s="29">
        <f>Actions!T198</f>
        <v/>
      </c>
      <c r="I206" s="29">
        <f>Actions!Y198</f>
        <v/>
      </c>
      <c r="J206" s="29">
        <f>Portfolio_Calc!CD200</f>
        <v/>
      </c>
      <c r="K206" s="37">
        <f>Portfolio_Calc!CE200</f>
        <v/>
      </c>
      <c r="L206" s="28">
        <f>Portfolio_Calc!CF200</f>
        <v/>
      </c>
      <c r="M206" s="36">
        <f>Portfolio_Calc!CG200</f>
        <v/>
      </c>
      <c r="N206" s="36">
        <f>Portfolio_Calc!CH200</f>
        <v/>
      </c>
    </row>
    <row r="207">
      <c r="A207" s="6">
        <f>Actions!A199</f>
        <v/>
      </c>
      <c r="B207" s="6">
        <f>Actions!B199</f>
        <v/>
      </c>
      <c r="C207" s="6">
        <f>Actions!D199</f>
        <v/>
      </c>
      <c r="D207" s="41">
        <f>Actions!F199</f>
        <v/>
      </c>
      <c r="E207" s="6">
        <f>Actions!G199</f>
        <v/>
      </c>
      <c r="F207" s="6">
        <f>Actions!H199</f>
        <v/>
      </c>
      <c r="G207" s="16">
        <f>Portfolio_Calc!K201</f>
        <v/>
      </c>
      <c r="H207" s="29">
        <f>Actions!T199</f>
        <v/>
      </c>
      <c r="I207" s="29">
        <f>Actions!Y199</f>
        <v/>
      </c>
      <c r="J207" s="29">
        <f>Portfolio_Calc!CD201</f>
        <v/>
      </c>
      <c r="K207" s="37">
        <f>Portfolio_Calc!CE201</f>
        <v/>
      </c>
      <c r="L207" s="28">
        <f>Portfolio_Calc!CF201</f>
        <v/>
      </c>
      <c r="M207" s="36">
        <f>Portfolio_Calc!CG201</f>
        <v/>
      </c>
      <c r="N207" s="36">
        <f>Portfolio_Calc!CH201</f>
        <v/>
      </c>
    </row>
    <row r="208">
      <c r="A208" s="6">
        <f>Actions!A200</f>
        <v/>
      </c>
      <c r="B208" s="6">
        <f>Actions!B200</f>
        <v/>
      </c>
      <c r="C208" s="6">
        <f>Actions!D200</f>
        <v/>
      </c>
      <c r="D208" s="41">
        <f>Actions!F200</f>
        <v/>
      </c>
      <c r="E208" s="6">
        <f>Actions!G200</f>
        <v/>
      </c>
      <c r="F208" s="6">
        <f>Actions!H200</f>
        <v/>
      </c>
      <c r="G208" s="16">
        <f>Portfolio_Calc!K202</f>
        <v/>
      </c>
      <c r="H208" s="29">
        <f>Actions!T200</f>
        <v/>
      </c>
      <c r="I208" s="29">
        <f>Actions!Y200</f>
        <v/>
      </c>
      <c r="J208" s="29">
        <f>Portfolio_Calc!CD202</f>
        <v/>
      </c>
      <c r="K208" s="37">
        <f>Portfolio_Calc!CE202</f>
        <v/>
      </c>
      <c r="L208" s="28">
        <f>Portfolio_Calc!CF202</f>
        <v/>
      </c>
      <c r="M208" s="36">
        <f>Portfolio_Calc!CG202</f>
        <v/>
      </c>
      <c r="N208" s="36">
        <f>Portfolio_Calc!CH202</f>
        <v/>
      </c>
    </row>
    <row r="209">
      <c r="A209" s="6">
        <f>Actions!A201</f>
        <v/>
      </c>
      <c r="B209" s="6">
        <f>Actions!B201</f>
        <v/>
      </c>
      <c r="C209" s="6">
        <f>Actions!D201</f>
        <v/>
      </c>
      <c r="D209" s="41">
        <f>Actions!F201</f>
        <v/>
      </c>
      <c r="E209" s="6">
        <f>Actions!G201</f>
        <v/>
      </c>
      <c r="F209" s="6">
        <f>Actions!H201</f>
        <v/>
      </c>
      <c r="G209" s="16">
        <f>Portfolio_Calc!K203</f>
        <v/>
      </c>
      <c r="H209" s="29">
        <f>Actions!T201</f>
        <v/>
      </c>
      <c r="I209" s="29">
        <f>Actions!Y201</f>
        <v/>
      </c>
      <c r="J209" s="29">
        <f>Portfolio_Calc!CD203</f>
        <v/>
      </c>
      <c r="K209" s="37">
        <f>Portfolio_Calc!CE203</f>
        <v/>
      </c>
      <c r="L209" s="28">
        <f>Portfolio_Calc!CF203</f>
        <v/>
      </c>
      <c r="M209" s="36">
        <f>Portfolio_Calc!CG203</f>
        <v/>
      </c>
      <c r="N209" s="36">
        <f>Portfolio_Calc!CH203</f>
        <v/>
      </c>
    </row>
    <row r="220">
      <c r="A220" s="21" t="inlineStr">
        <is>
          <t>KPI-Übersicht (Summen pro KPI)</t>
        </is>
      </c>
    </row>
    <row r="221">
      <c r="A221" s="4" t="inlineStr">
        <is>
          <t>KPI</t>
        </is>
      </c>
      <c r="B221" s="4" t="inlineStr">
        <is>
          <t>Einheit</t>
        </is>
      </c>
      <c r="C221" s="4" t="inlineStr">
        <is>
          <t>Anzahl Actions</t>
        </is>
      </c>
      <c r="D221" s="4" t="inlineStr">
        <is>
          <t>Summe NPV (€)</t>
        </is>
      </c>
      <c r="E221" s="4" t="inlineStr">
        <is>
          <t>Summe disk. KPI-Reduktion</t>
        </is>
      </c>
      <c r="F221" s="4" t="inlineStr">
        <is>
          <t>Portfolio MACC (€/Einheit)</t>
        </is>
      </c>
    </row>
    <row r="222">
      <c r="A222" s="6">
        <f>IFERROR(INDEX(Helper!$A$2#, 1), "")</f>
        <v/>
      </c>
      <c r="B222" s="6">
        <f>IF(A222="","",IFERROR(INDEX(Actions!H:H, MATCH(A222, Actions!G:G, 0)),""))</f>
        <v/>
      </c>
      <c r="C222" s="28">
        <f>IF(A222="","",COUNTIF($E$10:$E$209, A222))</f>
        <v/>
      </c>
      <c r="D222" s="29">
        <f>IF(A222="","",SUMIF($E$10:$E$209, A222, $J$10:$J$209))</f>
        <v/>
      </c>
      <c r="E222" s="36">
        <f>IF(A222="","",SUMIF($E$10:$E$209, A222, $M$10:$M$209))</f>
        <v/>
      </c>
      <c r="F222" s="36">
        <f>IFERROR(-D222/E222,"n/a")</f>
        <v/>
      </c>
    </row>
    <row r="223">
      <c r="A223" s="6">
        <f>IFERROR(INDEX(Helper!$A$2#, 2), "")</f>
        <v/>
      </c>
      <c r="B223" s="6">
        <f>IF(A223="","",IFERROR(INDEX(Actions!H:H, MATCH(A223, Actions!G:G, 0)),""))</f>
        <v/>
      </c>
      <c r="C223" s="28">
        <f>IF(A223="","",COUNTIF($E$10:$E$209, A223))</f>
        <v/>
      </c>
      <c r="D223" s="29">
        <f>IF(A223="","",SUMIF($E$10:$E$209, A223, $J$10:$J$209))</f>
        <v/>
      </c>
      <c r="E223" s="36">
        <f>IF(A223="","",SUMIF($E$10:$E$209, A223, $M$10:$M$209))</f>
        <v/>
      </c>
      <c r="F223" s="36">
        <f>IFERROR(-D223/E223,"n/a")</f>
        <v/>
      </c>
    </row>
    <row r="224">
      <c r="A224" s="6">
        <f>IFERROR(INDEX(Helper!$A$2#, 3), "")</f>
        <v/>
      </c>
      <c r="B224" s="6">
        <f>IF(A224="","",IFERROR(INDEX(Actions!H:H, MATCH(A224, Actions!G:G, 0)),""))</f>
        <v/>
      </c>
      <c r="C224" s="28">
        <f>IF(A224="","",COUNTIF($E$10:$E$209, A224))</f>
        <v/>
      </c>
      <c r="D224" s="29">
        <f>IF(A224="","",SUMIF($E$10:$E$209, A224, $J$10:$J$209))</f>
        <v/>
      </c>
      <c r="E224" s="36">
        <f>IF(A224="","",SUMIF($E$10:$E$209, A224, $M$10:$M$209))</f>
        <v/>
      </c>
      <c r="F224" s="36">
        <f>IFERROR(-D224/E224,"n/a")</f>
        <v/>
      </c>
    </row>
    <row r="225">
      <c r="A225" s="6">
        <f>IFERROR(INDEX(Helper!$A$2#, 4), "")</f>
        <v/>
      </c>
      <c r="B225" s="6">
        <f>IF(A225="","",IFERROR(INDEX(Actions!H:H, MATCH(A225, Actions!G:G, 0)),""))</f>
        <v/>
      </c>
      <c r="C225" s="28">
        <f>IF(A225="","",COUNTIF($E$10:$E$209, A225))</f>
        <v/>
      </c>
      <c r="D225" s="29">
        <f>IF(A225="","",SUMIF($E$10:$E$209, A225, $J$10:$J$209))</f>
        <v/>
      </c>
      <c r="E225" s="36">
        <f>IF(A225="","",SUMIF($E$10:$E$209, A225, $M$10:$M$209))</f>
        <v/>
      </c>
      <c r="F225" s="36">
        <f>IFERROR(-D225/E225,"n/a")</f>
        <v/>
      </c>
    </row>
    <row r="226">
      <c r="A226" s="6">
        <f>IFERROR(INDEX(Helper!$A$2#, 5), "")</f>
        <v/>
      </c>
      <c r="B226" s="6">
        <f>IF(A226="","",IFERROR(INDEX(Actions!H:H, MATCH(A226, Actions!G:G, 0)),""))</f>
        <v/>
      </c>
      <c r="C226" s="28">
        <f>IF(A226="","",COUNTIF($E$10:$E$209, A226))</f>
        <v/>
      </c>
      <c r="D226" s="29">
        <f>IF(A226="","",SUMIF($E$10:$E$209, A226, $J$10:$J$209))</f>
        <v/>
      </c>
      <c r="E226" s="36">
        <f>IF(A226="","",SUMIF($E$10:$E$209, A226, $M$10:$M$209))</f>
        <v/>
      </c>
      <c r="F226" s="36">
        <f>IFERROR(-D226/E226,"n/a")</f>
        <v/>
      </c>
    </row>
    <row r="227">
      <c r="A227" s="6">
        <f>IFERROR(INDEX(Helper!$A$2#, 6), "")</f>
        <v/>
      </c>
      <c r="B227" s="6">
        <f>IF(A227="","",IFERROR(INDEX(Actions!H:H, MATCH(A227, Actions!G:G, 0)),""))</f>
        <v/>
      </c>
      <c r="C227" s="28">
        <f>IF(A227="","",COUNTIF($E$10:$E$209, A227))</f>
        <v/>
      </c>
      <c r="D227" s="29">
        <f>IF(A227="","",SUMIF($E$10:$E$209, A227, $J$10:$J$209))</f>
        <v/>
      </c>
      <c r="E227" s="36">
        <f>IF(A227="","",SUMIF($E$10:$E$209, A227, $M$10:$M$209))</f>
        <v/>
      </c>
      <c r="F227" s="36">
        <f>IFERROR(-D227/E227,"n/a")</f>
        <v/>
      </c>
    </row>
    <row r="228">
      <c r="A228" s="6">
        <f>IFERROR(INDEX(Helper!$A$2#, 7), "")</f>
        <v/>
      </c>
      <c r="B228" s="6">
        <f>IF(A228="","",IFERROR(INDEX(Actions!H:H, MATCH(A228, Actions!G:G, 0)),""))</f>
        <v/>
      </c>
      <c r="C228" s="28">
        <f>IF(A228="","",COUNTIF($E$10:$E$209, A228))</f>
        <v/>
      </c>
      <c r="D228" s="29">
        <f>IF(A228="","",SUMIF($E$10:$E$209, A228, $J$10:$J$209))</f>
        <v/>
      </c>
      <c r="E228" s="36">
        <f>IF(A228="","",SUMIF($E$10:$E$209, A228, $M$10:$M$209))</f>
        <v/>
      </c>
      <c r="F228" s="36">
        <f>IFERROR(-D228/E228,"n/a")</f>
        <v/>
      </c>
    </row>
    <row r="229">
      <c r="A229" s="6">
        <f>IFERROR(INDEX(Helper!$A$2#, 8), "")</f>
        <v/>
      </c>
      <c r="B229" s="6">
        <f>IF(A229="","",IFERROR(INDEX(Actions!H:H, MATCH(A229, Actions!G:G, 0)),""))</f>
        <v/>
      </c>
      <c r="C229" s="28">
        <f>IF(A229="","",COUNTIF($E$10:$E$209, A229))</f>
        <v/>
      </c>
      <c r="D229" s="29">
        <f>IF(A229="","",SUMIF($E$10:$E$209, A229, $J$10:$J$209))</f>
        <v/>
      </c>
      <c r="E229" s="36">
        <f>IF(A229="","",SUMIF($E$10:$E$209, A229, $M$10:$M$209))</f>
        <v/>
      </c>
      <c r="F229" s="36">
        <f>IFERROR(-D229/E229,"n/a")</f>
        <v/>
      </c>
    </row>
    <row r="230">
      <c r="A230" s="6">
        <f>IFERROR(INDEX(Helper!$A$2#, 9), "")</f>
        <v/>
      </c>
      <c r="B230" s="6">
        <f>IF(A230="","",IFERROR(INDEX(Actions!H:H, MATCH(A230, Actions!G:G, 0)),""))</f>
        <v/>
      </c>
      <c r="C230" s="28">
        <f>IF(A230="","",COUNTIF($E$10:$E$209, A230))</f>
        <v/>
      </c>
      <c r="D230" s="29">
        <f>IF(A230="","",SUMIF($E$10:$E$209, A230, $J$10:$J$209))</f>
        <v/>
      </c>
      <c r="E230" s="36">
        <f>IF(A230="","",SUMIF($E$10:$E$209, A230, $M$10:$M$209))</f>
        <v/>
      </c>
      <c r="F230" s="36">
        <f>IFERROR(-D230/E230,"n/a")</f>
        <v/>
      </c>
    </row>
    <row r="231">
      <c r="A231" s="6">
        <f>IFERROR(INDEX(Helper!$A$2#, 10), "")</f>
        <v/>
      </c>
      <c r="B231" s="6">
        <f>IF(A231="","",IFERROR(INDEX(Actions!H:H, MATCH(A231, Actions!G:G, 0)),""))</f>
        <v/>
      </c>
      <c r="C231" s="28">
        <f>IF(A231="","",COUNTIF($E$10:$E$209, A231))</f>
        <v/>
      </c>
      <c r="D231" s="29">
        <f>IF(A231="","",SUMIF($E$10:$E$209, A231, $J$10:$J$209))</f>
        <v/>
      </c>
      <c r="E231" s="36">
        <f>IF(A231="","",SUMIF($E$10:$E$209, A231, $M$10:$M$209))</f>
        <v/>
      </c>
      <c r="F231" s="36">
        <f>IFERROR(-D231/E231,"n/a")</f>
        <v/>
      </c>
    </row>
    <row r="232">
      <c r="A232" s="6">
        <f>IFERROR(INDEX(Helper!$A$2#, 11), "")</f>
        <v/>
      </c>
      <c r="B232" s="6">
        <f>IF(A232="","",IFERROR(INDEX(Actions!H:H, MATCH(A232, Actions!G:G, 0)),""))</f>
        <v/>
      </c>
      <c r="C232" s="28">
        <f>IF(A232="","",COUNTIF($E$10:$E$209, A232))</f>
        <v/>
      </c>
      <c r="D232" s="29">
        <f>IF(A232="","",SUMIF($E$10:$E$209, A232, $J$10:$J$209))</f>
        <v/>
      </c>
      <c r="E232" s="36">
        <f>IF(A232="","",SUMIF($E$10:$E$209, A232, $M$10:$M$209))</f>
        <v/>
      </c>
      <c r="F232" s="36">
        <f>IFERROR(-D232/E232,"n/a")</f>
        <v/>
      </c>
    </row>
    <row r="233">
      <c r="A233" s="6">
        <f>IFERROR(INDEX(Helper!$A$2#, 12), "")</f>
        <v/>
      </c>
      <c r="B233" s="6">
        <f>IF(A233="","",IFERROR(INDEX(Actions!H:H, MATCH(A233, Actions!G:G, 0)),""))</f>
        <v/>
      </c>
      <c r="C233" s="28">
        <f>IF(A233="","",COUNTIF($E$10:$E$209, A233))</f>
        <v/>
      </c>
      <c r="D233" s="29">
        <f>IF(A233="","",SUMIF($E$10:$E$209, A233, $J$10:$J$209))</f>
        <v/>
      </c>
      <c r="E233" s="36">
        <f>IF(A233="","",SUMIF($E$10:$E$209, A233, $M$10:$M$209))</f>
        <v/>
      </c>
      <c r="F233" s="36">
        <f>IFERROR(-D233/E233,"n/a")</f>
        <v/>
      </c>
    </row>
    <row r="234">
      <c r="A234" s="6">
        <f>IFERROR(INDEX(Helper!$A$2#, 13), "")</f>
        <v/>
      </c>
      <c r="B234" s="6">
        <f>IF(A234="","",IFERROR(INDEX(Actions!H:H, MATCH(A234, Actions!G:G, 0)),""))</f>
        <v/>
      </c>
      <c r="C234" s="28">
        <f>IF(A234="","",COUNTIF($E$10:$E$209, A234))</f>
        <v/>
      </c>
      <c r="D234" s="29">
        <f>IF(A234="","",SUMIF($E$10:$E$209, A234, $J$10:$J$209))</f>
        <v/>
      </c>
      <c r="E234" s="36">
        <f>IF(A234="","",SUMIF($E$10:$E$209, A234, $M$10:$M$209))</f>
        <v/>
      </c>
      <c r="F234" s="36">
        <f>IFERROR(-D234/E234,"n/a")</f>
        <v/>
      </c>
    </row>
    <row r="235">
      <c r="A235" s="6">
        <f>IFERROR(INDEX(Helper!$A$2#, 14), "")</f>
        <v/>
      </c>
      <c r="B235" s="6">
        <f>IF(A235="","",IFERROR(INDEX(Actions!H:H, MATCH(A235, Actions!G:G, 0)),""))</f>
        <v/>
      </c>
      <c r="C235" s="28">
        <f>IF(A235="","",COUNTIF($E$10:$E$209, A235))</f>
        <v/>
      </c>
      <c r="D235" s="29">
        <f>IF(A235="","",SUMIF($E$10:$E$209, A235, $J$10:$J$209))</f>
        <v/>
      </c>
      <c r="E235" s="36">
        <f>IF(A235="","",SUMIF($E$10:$E$209, A235, $M$10:$M$209))</f>
        <v/>
      </c>
      <c r="F235" s="36">
        <f>IFERROR(-D235/E235,"n/a")</f>
        <v/>
      </c>
    </row>
    <row r="236">
      <c r="A236" s="6">
        <f>IFERROR(INDEX(Helper!$A$2#, 15), "")</f>
        <v/>
      </c>
      <c r="B236" s="6">
        <f>IF(A236="","",IFERROR(INDEX(Actions!H:H, MATCH(A236, Actions!G:G, 0)),""))</f>
        <v/>
      </c>
      <c r="C236" s="28">
        <f>IF(A236="","",COUNTIF($E$10:$E$209, A236))</f>
        <v/>
      </c>
      <c r="D236" s="29">
        <f>IF(A236="","",SUMIF($E$10:$E$209, A236, $J$10:$J$209))</f>
        <v/>
      </c>
      <c r="E236" s="36">
        <f>IF(A236="","",SUMIF($E$10:$E$209, A236, $M$10:$M$209))</f>
        <v/>
      </c>
      <c r="F236" s="36">
        <f>IFERROR(-D236/E236,"n/a")</f>
        <v/>
      </c>
    </row>
    <row r="237">
      <c r="A237" s="6">
        <f>IFERROR(INDEX(Helper!$A$2#, 16), "")</f>
        <v/>
      </c>
      <c r="B237" s="6">
        <f>IF(A237="","",IFERROR(INDEX(Actions!H:H, MATCH(A237, Actions!G:G, 0)),""))</f>
        <v/>
      </c>
      <c r="C237" s="28">
        <f>IF(A237="","",COUNTIF($E$10:$E$209, A237))</f>
        <v/>
      </c>
      <c r="D237" s="29">
        <f>IF(A237="","",SUMIF($E$10:$E$209, A237, $J$10:$J$209))</f>
        <v/>
      </c>
      <c r="E237" s="36">
        <f>IF(A237="","",SUMIF($E$10:$E$209, A237, $M$10:$M$209))</f>
        <v/>
      </c>
      <c r="F237" s="36">
        <f>IFERROR(-D237/E237,"n/a")</f>
        <v/>
      </c>
    </row>
    <row r="238">
      <c r="A238" s="6">
        <f>IFERROR(INDEX(Helper!$A$2#, 17), "")</f>
        <v/>
      </c>
      <c r="B238" s="6">
        <f>IF(A238="","",IFERROR(INDEX(Actions!H:H, MATCH(A238, Actions!G:G, 0)),""))</f>
        <v/>
      </c>
      <c r="C238" s="28">
        <f>IF(A238="","",COUNTIF($E$10:$E$209, A238))</f>
        <v/>
      </c>
      <c r="D238" s="29">
        <f>IF(A238="","",SUMIF($E$10:$E$209, A238, $J$10:$J$209))</f>
        <v/>
      </c>
      <c r="E238" s="36">
        <f>IF(A238="","",SUMIF($E$10:$E$209, A238, $M$10:$M$209))</f>
        <v/>
      </c>
      <c r="F238" s="36">
        <f>IFERROR(-D238/E238,"n/a")</f>
        <v/>
      </c>
    </row>
    <row r="239">
      <c r="A239" s="6">
        <f>IFERROR(INDEX(Helper!$A$2#, 18), "")</f>
        <v/>
      </c>
      <c r="B239" s="6">
        <f>IF(A239="","",IFERROR(INDEX(Actions!H:H, MATCH(A239, Actions!G:G, 0)),""))</f>
        <v/>
      </c>
      <c r="C239" s="28">
        <f>IF(A239="","",COUNTIF($E$10:$E$209, A239))</f>
        <v/>
      </c>
      <c r="D239" s="29">
        <f>IF(A239="","",SUMIF($E$10:$E$209, A239, $J$10:$J$209))</f>
        <v/>
      </c>
      <c r="E239" s="36">
        <f>IF(A239="","",SUMIF($E$10:$E$209, A239, $M$10:$M$209))</f>
        <v/>
      </c>
      <c r="F239" s="36">
        <f>IFERROR(-D239/E239,"n/a")</f>
        <v/>
      </c>
    </row>
    <row r="240">
      <c r="A240" s="6">
        <f>IFERROR(INDEX(Helper!$A$2#, 19), "")</f>
        <v/>
      </c>
      <c r="B240" s="6">
        <f>IF(A240="","",IFERROR(INDEX(Actions!H:H, MATCH(A240, Actions!G:G, 0)),""))</f>
        <v/>
      </c>
      <c r="C240" s="28">
        <f>IF(A240="","",COUNTIF($E$10:$E$209, A240))</f>
        <v/>
      </c>
      <c r="D240" s="29">
        <f>IF(A240="","",SUMIF($E$10:$E$209, A240, $J$10:$J$209))</f>
        <v/>
      </c>
      <c r="E240" s="36">
        <f>IF(A240="","",SUMIF($E$10:$E$209, A240, $M$10:$M$209))</f>
        <v/>
      </c>
      <c r="F240" s="36">
        <f>IFERROR(-D240/E240,"n/a")</f>
        <v/>
      </c>
    </row>
    <row r="241">
      <c r="A241" s="6">
        <f>IFERROR(INDEX(Helper!$A$2#, 20), "")</f>
        <v/>
      </c>
      <c r="B241" s="6">
        <f>IF(A241="","",IFERROR(INDEX(Actions!H:H, MATCH(A241, Actions!G:G, 0)),""))</f>
        <v/>
      </c>
      <c r="C241" s="28">
        <f>IF(A241="","",COUNTIF($E$10:$E$209, A241))</f>
        <v/>
      </c>
      <c r="D241" s="29">
        <f>IF(A241="","",SUMIF($E$10:$E$209, A241, $J$10:$J$209))</f>
        <v/>
      </c>
      <c r="E241" s="36">
        <f>IF(A241="","",SUMIF($E$10:$E$209, A241, $M$10:$M$209))</f>
        <v/>
      </c>
      <c r="F241" s="36">
        <f>IFERROR(-D241/E241,"n/a")</f>
        <v/>
      </c>
    </row>
    <row r="242">
      <c r="A242" s="6">
        <f>IFERROR(INDEX(Helper!$A$2#, 21), "")</f>
        <v/>
      </c>
      <c r="B242" s="6">
        <f>IF(A242="","",IFERROR(INDEX(Actions!H:H, MATCH(A242, Actions!G:G, 0)),""))</f>
        <v/>
      </c>
      <c r="C242" s="28">
        <f>IF(A242="","",COUNTIF($E$10:$E$209, A242))</f>
        <v/>
      </c>
      <c r="D242" s="29">
        <f>IF(A242="","",SUMIF($E$10:$E$209, A242, $J$10:$J$209))</f>
        <v/>
      </c>
      <c r="E242" s="36">
        <f>IF(A242="","",SUMIF($E$10:$E$209, A242, $M$10:$M$209))</f>
        <v/>
      </c>
      <c r="F242" s="36">
        <f>IFERROR(-D242/E242,"n/a")</f>
        <v/>
      </c>
    </row>
    <row r="243">
      <c r="A243" s="6">
        <f>IFERROR(INDEX(Helper!$A$2#, 22), "")</f>
        <v/>
      </c>
      <c r="B243" s="6">
        <f>IF(A243="","",IFERROR(INDEX(Actions!H:H, MATCH(A243, Actions!G:G, 0)),""))</f>
        <v/>
      </c>
      <c r="C243" s="28">
        <f>IF(A243="","",COUNTIF($E$10:$E$209, A243))</f>
        <v/>
      </c>
      <c r="D243" s="29">
        <f>IF(A243="","",SUMIF($E$10:$E$209, A243, $J$10:$J$209))</f>
        <v/>
      </c>
      <c r="E243" s="36">
        <f>IF(A243="","",SUMIF($E$10:$E$209, A243, $M$10:$M$209))</f>
        <v/>
      </c>
      <c r="F243" s="36">
        <f>IFERROR(-D243/E243,"n/a")</f>
        <v/>
      </c>
    </row>
    <row r="244">
      <c r="A244" s="6">
        <f>IFERROR(INDEX(Helper!$A$2#, 23), "")</f>
        <v/>
      </c>
      <c r="B244" s="6">
        <f>IF(A244="","",IFERROR(INDEX(Actions!H:H, MATCH(A244, Actions!G:G, 0)),""))</f>
        <v/>
      </c>
      <c r="C244" s="28">
        <f>IF(A244="","",COUNTIF($E$10:$E$209, A244))</f>
        <v/>
      </c>
      <c r="D244" s="29">
        <f>IF(A244="","",SUMIF($E$10:$E$209, A244, $J$10:$J$209))</f>
        <v/>
      </c>
      <c r="E244" s="36">
        <f>IF(A244="","",SUMIF($E$10:$E$209, A244, $M$10:$M$209))</f>
        <v/>
      </c>
      <c r="F244" s="36">
        <f>IFERROR(-D244/E244,"n/a")</f>
        <v/>
      </c>
    </row>
    <row r="245">
      <c r="A245" s="6">
        <f>IFERROR(INDEX(Helper!$A$2#, 24), "")</f>
        <v/>
      </c>
      <c r="B245" s="6">
        <f>IF(A245="","",IFERROR(INDEX(Actions!H:H, MATCH(A245, Actions!G:G, 0)),""))</f>
        <v/>
      </c>
      <c r="C245" s="28">
        <f>IF(A245="","",COUNTIF($E$10:$E$209, A245))</f>
        <v/>
      </c>
      <c r="D245" s="29">
        <f>IF(A245="","",SUMIF($E$10:$E$209, A245, $J$10:$J$209))</f>
        <v/>
      </c>
      <c r="E245" s="36">
        <f>IF(A245="","",SUMIF($E$10:$E$209, A245, $M$10:$M$209))</f>
        <v/>
      </c>
      <c r="F245" s="36">
        <f>IFERROR(-D245/E245,"n/a")</f>
        <v/>
      </c>
    </row>
    <row r="246">
      <c r="A246" s="6">
        <f>IFERROR(INDEX(Helper!$A$2#, 25), "")</f>
        <v/>
      </c>
      <c r="B246" s="6">
        <f>IF(A246="","",IFERROR(INDEX(Actions!H:H, MATCH(A246, Actions!G:G, 0)),""))</f>
        <v/>
      </c>
      <c r="C246" s="28">
        <f>IF(A246="","",COUNTIF($E$10:$E$209, A246))</f>
        <v/>
      </c>
      <c r="D246" s="29">
        <f>IF(A246="","",SUMIF($E$10:$E$209, A246, $J$10:$J$209))</f>
        <v/>
      </c>
      <c r="E246" s="36">
        <f>IF(A246="","",SUMIF($E$10:$E$209, A246, $M$10:$M$209))</f>
        <v/>
      </c>
      <c r="F246" s="36">
        <f>IFERROR(-D246/E246,"n/a")</f>
        <v/>
      </c>
    </row>
    <row r="247">
      <c r="A247" s="6">
        <f>IFERROR(INDEX(Helper!$A$2#, 26), "")</f>
        <v/>
      </c>
      <c r="B247" s="6">
        <f>IF(A247="","",IFERROR(INDEX(Actions!H:H, MATCH(A247, Actions!G:G, 0)),""))</f>
        <v/>
      </c>
      <c r="C247" s="28">
        <f>IF(A247="","",COUNTIF($E$10:$E$209, A247))</f>
        <v/>
      </c>
      <c r="D247" s="29">
        <f>IF(A247="","",SUMIF($E$10:$E$209, A247, $J$10:$J$209))</f>
        <v/>
      </c>
      <c r="E247" s="36">
        <f>IF(A247="","",SUMIF($E$10:$E$209, A247, $M$10:$M$209))</f>
        <v/>
      </c>
      <c r="F247" s="36">
        <f>IFERROR(-D247/E247,"n/a")</f>
        <v/>
      </c>
    </row>
    <row r="248">
      <c r="A248" s="6">
        <f>IFERROR(INDEX(Helper!$A$2#, 27), "")</f>
        <v/>
      </c>
      <c r="B248" s="6">
        <f>IF(A248="","",IFERROR(INDEX(Actions!H:H, MATCH(A248, Actions!G:G, 0)),""))</f>
        <v/>
      </c>
      <c r="C248" s="28">
        <f>IF(A248="","",COUNTIF($E$10:$E$209, A248))</f>
        <v/>
      </c>
      <c r="D248" s="29">
        <f>IF(A248="","",SUMIF($E$10:$E$209, A248, $J$10:$J$209))</f>
        <v/>
      </c>
      <c r="E248" s="36">
        <f>IF(A248="","",SUMIF($E$10:$E$209, A248, $M$10:$M$209))</f>
        <v/>
      </c>
      <c r="F248" s="36">
        <f>IFERROR(-D248/E248,"n/a")</f>
        <v/>
      </c>
    </row>
    <row r="249">
      <c r="A249" s="6">
        <f>IFERROR(INDEX(Helper!$A$2#, 28), "")</f>
        <v/>
      </c>
      <c r="B249" s="6">
        <f>IF(A249="","",IFERROR(INDEX(Actions!H:H, MATCH(A249, Actions!G:G, 0)),""))</f>
        <v/>
      </c>
      <c r="C249" s="28">
        <f>IF(A249="","",COUNTIF($E$10:$E$209, A249))</f>
        <v/>
      </c>
      <c r="D249" s="29">
        <f>IF(A249="","",SUMIF($E$10:$E$209, A249, $J$10:$J$209))</f>
        <v/>
      </c>
      <c r="E249" s="36">
        <f>IF(A249="","",SUMIF($E$10:$E$209, A249, $M$10:$M$209))</f>
        <v/>
      </c>
      <c r="F249" s="36">
        <f>IFERROR(-D249/E249,"n/a")</f>
        <v/>
      </c>
    </row>
    <row r="250">
      <c r="A250" s="6">
        <f>IFERROR(INDEX(Helper!$A$2#, 29), "")</f>
        <v/>
      </c>
      <c r="B250" s="6">
        <f>IF(A250="","",IFERROR(INDEX(Actions!H:H, MATCH(A250, Actions!G:G, 0)),""))</f>
        <v/>
      </c>
      <c r="C250" s="28">
        <f>IF(A250="","",COUNTIF($E$10:$E$209, A250))</f>
        <v/>
      </c>
      <c r="D250" s="29">
        <f>IF(A250="","",SUMIF($E$10:$E$209, A250, $J$10:$J$209))</f>
        <v/>
      </c>
      <c r="E250" s="36">
        <f>IF(A250="","",SUMIF($E$10:$E$209, A250, $M$10:$M$209))</f>
        <v/>
      </c>
      <c r="F250" s="36">
        <f>IFERROR(-D250/E250,"n/a")</f>
        <v/>
      </c>
    </row>
    <row r="251">
      <c r="A251" s="6">
        <f>IFERROR(INDEX(Helper!$A$2#, 30), "")</f>
        <v/>
      </c>
      <c r="B251" s="6">
        <f>IF(A251="","",IFERROR(INDEX(Actions!H:H, MATCH(A251, Actions!G:G, 0)),""))</f>
        <v/>
      </c>
      <c r="C251" s="28">
        <f>IF(A251="","",COUNTIF($E$10:$E$209, A251))</f>
        <v/>
      </c>
      <c r="D251" s="29">
        <f>IF(A251="","",SUMIF($E$10:$E$209, A251, $J$10:$J$209))</f>
        <v/>
      </c>
      <c r="E251" s="36">
        <f>IF(A251="","",SUMIF($E$10:$E$209, A251, $M$10:$M$209))</f>
        <v/>
      </c>
      <c r="F251" s="36">
        <f>IFERROR(-D251/E251,"n/a")</f>
        <v/>
      </c>
    </row>
  </sheetData>
  <mergeCells count="1">
    <mergeCell ref="A220:N220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</cols>
  <sheetData>
    <row r="1">
      <c r="A1" s="7" t="inlineStr">
        <is>
          <t>MACC pro Nachhaltigkeits-KPI (€/Einheit KPI)</t>
        </is>
      </c>
    </row>
    <row r="3">
      <c r="A3" s="20" t="inlineStr">
        <is>
          <t>KPI auswählen</t>
        </is>
      </c>
      <c r="B3" s="14" t="inlineStr"/>
    </row>
    <row r="4">
      <c r="A4" s="13" t="inlineStr">
        <is>
          <t>Hinweis: MACC ist nur innerhalb eines KPI sinnvoll, weil Einheiten unterschiedlich sind. Sortierung erfolgt automatisch (Excel 365) oder manuell nach MACC.</t>
        </is>
      </c>
    </row>
    <row r="6">
      <c r="A6" s="4" t="inlineStr">
        <is>
          <t>ID</t>
        </is>
      </c>
      <c r="B6" s="4" t="inlineStr">
        <is>
          <t>Action</t>
        </is>
      </c>
      <c r="C6" s="4" t="inlineStr">
        <is>
          <t>Einheit</t>
        </is>
      </c>
      <c r="D6" s="4" t="inlineStr">
        <is>
          <t>Disk. KPI-Reduktion</t>
        </is>
      </c>
      <c r="E6" s="4" t="inlineStr">
        <is>
          <t>MACC (€/Einheit)</t>
        </is>
      </c>
      <c r="F6" s="4" t="inlineStr">
        <is>
          <t>CumStart</t>
        </is>
      </c>
      <c r="G6" s="4" t="inlineStr">
        <is>
          <t>CumEnd</t>
        </is>
      </c>
      <c r="I6" s="4" t="inlineStr">
        <is>
          <t>X (kumuliert)</t>
        </is>
      </c>
      <c r="J6" s="4" t="inlineStr">
        <is>
          <t>Y (MACC)</t>
        </is>
      </c>
    </row>
    <row r="7">
      <c r="A7" s="42">
        <f>IF($B$3="","",INDEX(SORTBY(FILTER(Dashboard!A10:N209,Dashboard!E10:E209=$B$3),FILTER(Dashboard!N10:N209,Dashboard!E10:E209=$B$3),1),0,1))</f>
        <v/>
      </c>
      <c r="B7" s="42">
        <f>IF($B$3="","",INDEX($A$7#,0,2))</f>
        <v/>
      </c>
      <c r="C7" s="42">
        <f>IF($B$3="","",INDEX($A$7#,0,6))</f>
        <v/>
      </c>
      <c r="D7" s="42">
        <f>IF($B$3="","",INDEX($A$7#,0,13))</f>
        <v/>
      </c>
      <c r="E7" s="42">
        <f>IF($B$3="","",INDEX($A$7#,0,14))</f>
        <v/>
      </c>
      <c r="F7" s="42">
        <f>IF($B$3="","",SCAN(0,$D$7#,LAMBDA(a,v,a+v))- $D$7#)</f>
        <v/>
      </c>
      <c r="G7" s="42">
        <f>IF($B$3="","",SCAN(0,$D$7#,LAMBDA(a,v,a+v)))</f>
        <v/>
      </c>
      <c r="I7" s="36">
        <f>IF($A7="","",$F7)</f>
        <v/>
      </c>
      <c r="J7" s="36">
        <f>IF($A7="","",$E7)</f>
        <v/>
      </c>
    </row>
    <row r="8">
      <c r="I8" s="36">
        <f>IF($A7="","",$G7)</f>
        <v/>
      </c>
      <c r="J8" s="36">
        <f>IF($A7="","",$E7)</f>
        <v/>
      </c>
    </row>
    <row r="9">
      <c r="I9" s="36">
        <f>IF($A8="","",$F8)</f>
        <v/>
      </c>
      <c r="J9" s="36">
        <f>IF($A8="","",$E8)</f>
        <v/>
      </c>
    </row>
    <row r="10">
      <c r="I10" s="36">
        <f>IF($A8="","",$G8)</f>
        <v/>
      </c>
      <c r="J10" s="36">
        <f>IF($A8="","",$E8)</f>
        <v/>
      </c>
    </row>
    <row r="11">
      <c r="I11" s="36">
        <f>IF($A9="","",$F9)</f>
        <v/>
      </c>
      <c r="J11" s="36">
        <f>IF($A9="","",$E9)</f>
        <v/>
      </c>
    </row>
    <row r="12">
      <c r="I12" s="36">
        <f>IF($A9="","",$G9)</f>
        <v/>
      </c>
      <c r="J12" s="36">
        <f>IF($A9="","",$E9)</f>
        <v/>
      </c>
    </row>
    <row r="13">
      <c r="I13" s="36">
        <f>IF($A10="","",$F10)</f>
        <v/>
      </c>
      <c r="J13" s="36">
        <f>IF($A10="","",$E10)</f>
        <v/>
      </c>
    </row>
    <row r="14">
      <c r="I14" s="36">
        <f>IF($A10="","",$G10)</f>
        <v/>
      </c>
      <c r="J14" s="36">
        <f>IF($A10="","",$E10)</f>
        <v/>
      </c>
    </row>
    <row r="15">
      <c r="I15" s="36">
        <f>IF($A11="","",$F11)</f>
        <v/>
      </c>
      <c r="J15" s="36">
        <f>IF($A11="","",$E11)</f>
        <v/>
      </c>
    </row>
    <row r="16">
      <c r="I16" s="36">
        <f>IF($A11="","",$G11)</f>
        <v/>
      </c>
      <c r="J16" s="36">
        <f>IF($A11="","",$E11)</f>
        <v/>
      </c>
    </row>
    <row r="17">
      <c r="I17" s="36">
        <f>IF($A12="","",$F12)</f>
        <v/>
      </c>
      <c r="J17" s="36">
        <f>IF($A12="","",$E12)</f>
        <v/>
      </c>
    </row>
    <row r="18">
      <c r="I18" s="36">
        <f>IF($A12="","",$G12)</f>
        <v/>
      </c>
      <c r="J18" s="36">
        <f>IF($A12="","",$E12)</f>
        <v/>
      </c>
    </row>
    <row r="19">
      <c r="I19" s="36">
        <f>IF($A13="","",$F13)</f>
        <v/>
      </c>
      <c r="J19" s="36">
        <f>IF($A13="","",$E13)</f>
        <v/>
      </c>
    </row>
    <row r="20">
      <c r="I20" s="36">
        <f>IF($A13="","",$G13)</f>
        <v/>
      </c>
      <c r="J20" s="36">
        <f>IF($A13="","",$E13)</f>
        <v/>
      </c>
    </row>
    <row r="21">
      <c r="I21" s="36">
        <f>IF($A14="","",$F14)</f>
        <v/>
      </c>
      <c r="J21" s="36">
        <f>IF($A14="","",$E14)</f>
        <v/>
      </c>
    </row>
    <row r="22">
      <c r="I22" s="36">
        <f>IF($A14="","",$G14)</f>
        <v/>
      </c>
      <c r="J22" s="36">
        <f>IF($A14="","",$E14)</f>
        <v/>
      </c>
    </row>
    <row r="23">
      <c r="I23" s="36">
        <f>IF($A15="","",$F15)</f>
        <v/>
      </c>
      <c r="J23" s="36">
        <f>IF($A15="","",$E15)</f>
        <v/>
      </c>
    </row>
    <row r="24">
      <c r="I24" s="36">
        <f>IF($A15="","",$G15)</f>
        <v/>
      </c>
      <c r="J24" s="36">
        <f>IF($A15="","",$E15)</f>
        <v/>
      </c>
    </row>
    <row r="25">
      <c r="I25" s="36">
        <f>IF($A16="","",$F16)</f>
        <v/>
      </c>
      <c r="J25" s="36">
        <f>IF($A16="","",$E16)</f>
        <v/>
      </c>
    </row>
    <row r="26">
      <c r="I26" s="36">
        <f>IF($A16="","",$G16)</f>
        <v/>
      </c>
      <c r="J26" s="36">
        <f>IF($A16="","",$E16)</f>
        <v/>
      </c>
    </row>
    <row r="27">
      <c r="I27" s="36">
        <f>IF($A17="","",$F17)</f>
        <v/>
      </c>
      <c r="J27" s="36">
        <f>IF($A17="","",$E17)</f>
        <v/>
      </c>
    </row>
    <row r="28">
      <c r="I28" s="36">
        <f>IF($A17="","",$G17)</f>
        <v/>
      </c>
      <c r="J28" s="36">
        <f>IF($A17="","",$E17)</f>
        <v/>
      </c>
    </row>
    <row r="29">
      <c r="I29" s="36">
        <f>IF($A18="","",$F18)</f>
        <v/>
      </c>
      <c r="J29" s="36">
        <f>IF($A18="","",$E18)</f>
        <v/>
      </c>
    </row>
    <row r="30">
      <c r="I30" s="36">
        <f>IF($A18="","",$G18)</f>
        <v/>
      </c>
      <c r="J30" s="36">
        <f>IF($A18="","",$E18)</f>
        <v/>
      </c>
    </row>
    <row r="31">
      <c r="I31" s="36">
        <f>IF($A19="","",$F19)</f>
        <v/>
      </c>
      <c r="J31" s="36">
        <f>IF($A19="","",$E19)</f>
        <v/>
      </c>
    </row>
    <row r="32">
      <c r="I32" s="36">
        <f>IF($A19="","",$G19)</f>
        <v/>
      </c>
      <c r="J32" s="36">
        <f>IF($A19="","",$E19)</f>
        <v/>
      </c>
    </row>
    <row r="33">
      <c r="I33" s="36">
        <f>IF($A20="","",$F20)</f>
        <v/>
      </c>
      <c r="J33" s="36">
        <f>IF($A20="","",$E20)</f>
        <v/>
      </c>
    </row>
    <row r="34">
      <c r="I34" s="36">
        <f>IF($A20="","",$G20)</f>
        <v/>
      </c>
      <c r="J34" s="36">
        <f>IF($A20="","",$E20)</f>
        <v/>
      </c>
    </row>
    <row r="35">
      <c r="I35" s="36">
        <f>IF($A21="","",$F21)</f>
        <v/>
      </c>
      <c r="J35" s="36">
        <f>IF($A21="","",$E21)</f>
        <v/>
      </c>
    </row>
    <row r="36">
      <c r="I36" s="36">
        <f>IF($A21="","",$G21)</f>
        <v/>
      </c>
      <c r="J36" s="36">
        <f>IF($A21="","",$E21)</f>
        <v/>
      </c>
    </row>
    <row r="37">
      <c r="I37" s="36">
        <f>IF($A22="","",$F22)</f>
        <v/>
      </c>
      <c r="J37" s="36">
        <f>IF($A22="","",$E22)</f>
        <v/>
      </c>
    </row>
    <row r="38">
      <c r="I38" s="36">
        <f>IF($A22="","",$G22)</f>
        <v/>
      </c>
      <c r="J38" s="36">
        <f>IF($A22="","",$E22)</f>
        <v/>
      </c>
    </row>
    <row r="39">
      <c r="I39" s="36">
        <f>IF($A23="","",$F23)</f>
        <v/>
      </c>
      <c r="J39" s="36">
        <f>IF($A23="","",$E23)</f>
        <v/>
      </c>
    </row>
    <row r="40">
      <c r="I40" s="36">
        <f>IF($A23="","",$G23)</f>
        <v/>
      </c>
      <c r="J40" s="36">
        <f>IF($A23="","",$E23)</f>
        <v/>
      </c>
    </row>
    <row r="41">
      <c r="I41" s="36">
        <f>IF($A24="","",$F24)</f>
        <v/>
      </c>
      <c r="J41" s="36">
        <f>IF($A24="","",$E24)</f>
        <v/>
      </c>
    </row>
    <row r="42">
      <c r="I42" s="36">
        <f>IF($A24="","",$G24)</f>
        <v/>
      </c>
      <c r="J42" s="36">
        <f>IF($A24="","",$E24)</f>
        <v/>
      </c>
    </row>
    <row r="43">
      <c r="I43" s="36">
        <f>IF($A25="","",$F25)</f>
        <v/>
      </c>
      <c r="J43" s="36">
        <f>IF($A25="","",$E25)</f>
        <v/>
      </c>
    </row>
    <row r="44">
      <c r="I44" s="36">
        <f>IF($A25="","",$G25)</f>
        <v/>
      </c>
      <c r="J44" s="36">
        <f>IF($A25="","",$E25)</f>
        <v/>
      </c>
    </row>
    <row r="45">
      <c r="I45" s="36">
        <f>IF($A26="","",$F26)</f>
        <v/>
      </c>
      <c r="J45" s="36">
        <f>IF($A26="","",$E26)</f>
        <v/>
      </c>
    </row>
    <row r="46">
      <c r="I46" s="36">
        <f>IF($A26="","",$G26)</f>
        <v/>
      </c>
      <c r="J46" s="36">
        <f>IF($A26="","",$E26)</f>
        <v/>
      </c>
    </row>
    <row r="47">
      <c r="I47" s="36">
        <f>IF($A27="","",$F27)</f>
        <v/>
      </c>
      <c r="J47" s="36">
        <f>IF($A27="","",$E27)</f>
        <v/>
      </c>
    </row>
    <row r="48">
      <c r="I48" s="36">
        <f>IF($A27="","",$G27)</f>
        <v/>
      </c>
      <c r="J48" s="36">
        <f>IF($A27="","",$E27)</f>
        <v/>
      </c>
    </row>
    <row r="49">
      <c r="I49" s="36">
        <f>IF($A28="","",$F28)</f>
        <v/>
      </c>
      <c r="J49" s="36">
        <f>IF($A28="","",$E28)</f>
        <v/>
      </c>
    </row>
    <row r="50">
      <c r="I50" s="36">
        <f>IF($A28="","",$G28)</f>
        <v/>
      </c>
      <c r="J50" s="36">
        <f>IF($A28="","",$E28)</f>
        <v/>
      </c>
    </row>
    <row r="51">
      <c r="I51" s="36">
        <f>IF($A29="","",$F29)</f>
        <v/>
      </c>
      <c r="J51" s="36">
        <f>IF($A29="","",$E29)</f>
        <v/>
      </c>
    </row>
    <row r="52">
      <c r="I52" s="36">
        <f>IF($A29="","",$G29)</f>
        <v/>
      </c>
      <c r="J52" s="36">
        <f>IF($A29="","",$E29)</f>
        <v/>
      </c>
    </row>
    <row r="53">
      <c r="I53" s="36">
        <f>IF($A30="","",$F30)</f>
        <v/>
      </c>
      <c r="J53" s="36">
        <f>IF($A30="","",$E30)</f>
        <v/>
      </c>
    </row>
    <row r="54">
      <c r="I54" s="36">
        <f>IF($A30="","",$G30)</f>
        <v/>
      </c>
      <c r="J54" s="36">
        <f>IF($A30="","",$E30)</f>
        <v/>
      </c>
    </row>
    <row r="55">
      <c r="I55" s="36">
        <f>IF($A31="","",$F31)</f>
        <v/>
      </c>
      <c r="J55" s="36">
        <f>IF($A31="","",$E31)</f>
        <v/>
      </c>
    </row>
    <row r="56">
      <c r="I56" s="36">
        <f>IF($A31="","",$G31)</f>
        <v/>
      </c>
      <c r="J56" s="36">
        <f>IF($A31="","",$E31)</f>
        <v/>
      </c>
    </row>
    <row r="57">
      <c r="I57" s="36">
        <f>IF($A32="","",$F32)</f>
        <v/>
      </c>
      <c r="J57" s="36">
        <f>IF($A32="","",$E32)</f>
        <v/>
      </c>
    </row>
    <row r="58">
      <c r="I58" s="36">
        <f>IF($A32="","",$G32)</f>
        <v/>
      </c>
      <c r="J58" s="36">
        <f>IF($A32="","",$E32)</f>
        <v/>
      </c>
    </row>
    <row r="59">
      <c r="I59" s="36">
        <f>IF($A33="","",$F33)</f>
        <v/>
      </c>
      <c r="J59" s="36">
        <f>IF($A33="","",$E33)</f>
        <v/>
      </c>
    </row>
    <row r="60">
      <c r="I60" s="36">
        <f>IF($A33="","",$G33)</f>
        <v/>
      </c>
      <c r="J60" s="36">
        <f>IF($A33="","",$E33)</f>
        <v/>
      </c>
    </row>
    <row r="61">
      <c r="I61" s="36">
        <f>IF($A34="","",$F34)</f>
        <v/>
      </c>
      <c r="J61" s="36">
        <f>IF($A34="","",$E34)</f>
        <v/>
      </c>
    </row>
    <row r="62">
      <c r="I62" s="36">
        <f>IF($A34="","",$G34)</f>
        <v/>
      </c>
      <c r="J62" s="36">
        <f>IF($A34="","",$E34)</f>
        <v/>
      </c>
    </row>
    <row r="63">
      <c r="I63" s="36">
        <f>IF($A35="","",$F35)</f>
        <v/>
      </c>
      <c r="J63" s="36">
        <f>IF($A35="","",$E35)</f>
        <v/>
      </c>
    </row>
    <row r="64">
      <c r="I64" s="36">
        <f>IF($A35="","",$G35)</f>
        <v/>
      </c>
      <c r="J64" s="36">
        <f>IF($A35="","",$E35)</f>
        <v/>
      </c>
    </row>
    <row r="65">
      <c r="I65" s="36">
        <f>IF($A36="","",$F36)</f>
        <v/>
      </c>
      <c r="J65" s="36">
        <f>IF($A36="","",$E36)</f>
        <v/>
      </c>
    </row>
    <row r="66">
      <c r="I66" s="36">
        <f>IF($A36="","",$G36)</f>
        <v/>
      </c>
      <c r="J66" s="36">
        <f>IF($A36="","",$E36)</f>
        <v/>
      </c>
    </row>
    <row r="67">
      <c r="I67" s="36">
        <f>IF($A37="","",$F37)</f>
        <v/>
      </c>
      <c r="J67" s="36">
        <f>IF($A37="","",$E37)</f>
        <v/>
      </c>
    </row>
    <row r="68">
      <c r="I68" s="36">
        <f>IF($A37="","",$G37)</f>
        <v/>
      </c>
      <c r="J68" s="36">
        <f>IF($A37="","",$E37)</f>
        <v/>
      </c>
    </row>
    <row r="69">
      <c r="I69" s="36">
        <f>IF($A38="","",$F38)</f>
        <v/>
      </c>
      <c r="J69" s="36">
        <f>IF($A38="","",$E38)</f>
        <v/>
      </c>
    </row>
    <row r="70">
      <c r="I70" s="36">
        <f>IF($A38="","",$G38)</f>
        <v/>
      </c>
      <c r="J70" s="36">
        <f>IF($A38="","",$E38)</f>
        <v/>
      </c>
    </row>
    <row r="71">
      <c r="I71" s="36">
        <f>IF($A39="","",$F39)</f>
        <v/>
      </c>
      <c r="J71" s="36">
        <f>IF($A39="","",$E39)</f>
        <v/>
      </c>
    </row>
    <row r="72">
      <c r="I72" s="36">
        <f>IF($A39="","",$G39)</f>
        <v/>
      </c>
      <c r="J72" s="36">
        <f>IF($A39="","",$E39)</f>
        <v/>
      </c>
    </row>
    <row r="73">
      <c r="I73" s="36">
        <f>IF($A40="","",$F40)</f>
        <v/>
      </c>
      <c r="J73" s="36">
        <f>IF($A40="","",$E40)</f>
        <v/>
      </c>
    </row>
    <row r="74">
      <c r="I74" s="36">
        <f>IF($A40="","",$G40)</f>
        <v/>
      </c>
      <c r="J74" s="36">
        <f>IF($A40="","",$E40)</f>
        <v/>
      </c>
    </row>
    <row r="75">
      <c r="I75" s="36">
        <f>IF($A41="","",$F41)</f>
        <v/>
      </c>
      <c r="J75" s="36">
        <f>IF($A41="","",$E41)</f>
        <v/>
      </c>
    </row>
    <row r="76">
      <c r="I76" s="36">
        <f>IF($A41="","",$G41)</f>
        <v/>
      </c>
      <c r="J76" s="36">
        <f>IF($A41="","",$E41)</f>
        <v/>
      </c>
    </row>
    <row r="77">
      <c r="I77" s="36">
        <f>IF($A42="","",$F42)</f>
        <v/>
      </c>
      <c r="J77" s="36">
        <f>IF($A42="","",$E42)</f>
        <v/>
      </c>
    </row>
    <row r="78">
      <c r="I78" s="36">
        <f>IF($A42="","",$G42)</f>
        <v/>
      </c>
      <c r="J78" s="36">
        <f>IF($A42="","",$E42)</f>
        <v/>
      </c>
    </row>
    <row r="79">
      <c r="I79" s="36">
        <f>IF($A43="","",$F43)</f>
        <v/>
      </c>
      <c r="J79" s="36">
        <f>IF($A43="","",$E43)</f>
        <v/>
      </c>
    </row>
    <row r="80">
      <c r="I80" s="36">
        <f>IF($A43="","",$G43)</f>
        <v/>
      </c>
      <c r="J80" s="36">
        <f>IF($A43="","",$E43)</f>
        <v/>
      </c>
    </row>
    <row r="81">
      <c r="I81" s="36">
        <f>IF($A44="","",$F44)</f>
        <v/>
      </c>
      <c r="J81" s="36">
        <f>IF($A44="","",$E44)</f>
        <v/>
      </c>
    </row>
    <row r="82">
      <c r="I82" s="36">
        <f>IF($A44="","",$G44)</f>
        <v/>
      </c>
      <c r="J82" s="36">
        <f>IF($A44="","",$E44)</f>
        <v/>
      </c>
    </row>
    <row r="83">
      <c r="I83" s="36">
        <f>IF($A45="","",$F45)</f>
        <v/>
      </c>
      <c r="J83" s="36">
        <f>IF($A45="","",$E45)</f>
        <v/>
      </c>
    </row>
    <row r="84">
      <c r="I84" s="36">
        <f>IF($A45="","",$G45)</f>
        <v/>
      </c>
      <c r="J84" s="36">
        <f>IF($A45="","",$E45)</f>
        <v/>
      </c>
    </row>
    <row r="85">
      <c r="I85" s="36">
        <f>IF($A46="","",$F46)</f>
        <v/>
      </c>
      <c r="J85" s="36">
        <f>IF($A46="","",$E46)</f>
        <v/>
      </c>
    </row>
    <row r="86">
      <c r="I86" s="36">
        <f>IF($A46="","",$G46)</f>
        <v/>
      </c>
      <c r="J86" s="36">
        <f>IF($A46="","",$E46)</f>
        <v/>
      </c>
    </row>
    <row r="87">
      <c r="I87" s="36">
        <f>IF($A47="","",$F47)</f>
        <v/>
      </c>
      <c r="J87" s="36">
        <f>IF($A47="","",$E47)</f>
        <v/>
      </c>
    </row>
    <row r="88">
      <c r="I88" s="36">
        <f>IF($A47="","",$G47)</f>
        <v/>
      </c>
      <c r="J88" s="36">
        <f>IF($A47="","",$E47)</f>
        <v/>
      </c>
    </row>
    <row r="89">
      <c r="I89" s="36">
        <f>IF($A48="","",$F48)</f>
        <v/>
      </c>
      <c r="J89" s="36">
        <f>IF($A48="","",$E48)</f>
        <v/>
      </c>
    </row>
    <row r="90">
      <c r="I90" s="36">
        <f>IF($A48="","",$G48)</f>
        <v/>
      </c>
      <c r="J90" s="36">
        <f>IF($A48="","",$E48)</f>
        <v/>
      </c>
    </row>
    <row r="91">
      <c r="I91" s="36">
        <f>IF($A49="","",$F49)</f>
        <v/>
      </c>
      <c r="J91" s="36">
        <f>IF($A49="","",$E49)</f>
        <v/>
      </c>
    </row>
    <row r="92">
      <c r="I92" s="36">
        <f>IF($A49="","",$G49)</f>
        <v/>
      </c>
      <c r="J92" s="36">
        <f>IF($A49="","",$E49)</f>
        <v/>
      </c>
    </row>
    <row r="93">
      <c r="I93" s="36">
        <f>IF($A50="","",$F50)</f>
        <v/>
      </c>
      <c r="J93" s="36">
        <f>IF($A50="","",$E50)</f>
        <v/>
      </c>
    </row>
    <row r="94">
      <c r="I94" s="36">
        <f>IF($A50="","",$G50)</f>
        <v/>
      </c>
      <c r="J94" s="36">
        <f>IF($A50="","",$E50)</f>
        <v/>
      </c>
    </row>
    <row r="95">
      <c r="I95" s="36">
        <f>IF($A51="","",$F51)</f>
        <v/>
      </c>
      <c r="J95" s="36">
        <f>IF($A51="","",$E51)</f>
        <v/>
      </c>
    </row>
    <row r="96">
      <c r="I96" s="36">
        <f>IF($A51="","",$G51)</f>
        <v/>
      </c>
      <c r="J96" s="36">
        <f>IF($A51="","",$E51)</f>
        <v/>
      </c>
    </row>
    <row r="97">
      <c r="I97" s="36">
        <f>IF($A52="","",$F52)</f>
        <v/>
      </c>
      <c r="J97" s="36">
        <f>IF($A52="","",$E52)</f>
        <v/>
      </c>
    </row>
    <row r="98">
      <c r="I98" s="36">
        <f>IF($A52="","",$G52)</f>
        <v/>
      </c>
      <c r="J98" s="36">
        <f>IF($A52="","",$E52)</f>
        <v/>
      </c>
    </row>
    <row r="99">
      <c r="I99" s="36">
        <f>IF($A53="","",$F53)</f>
        <v/>
      </c>
      <c r="J99" s="36">
        <f>IF($A53="","",$E53)</f>
        <v/>
      </c>
    </row>
    <row r="100">
      <c r="I100" s="36">
        <f>IF($A53="","",$G53)</f>
        <v/>
      </c>
      <c r="J100" s="36">
        <f>IF($A53="","",$E53)</f>
        <v/>
      </c>
    </row>
    <row r="101">
      <c r="I101" s="36">
        <f>IF($A54="","",$F54)</f>
        <v/>
      </c>
      <c r="J101" s="36">
        <f>IF($A54="","",$E54)</f>
        <v/>
      </c>
    </row>
    <row r="102">
      <c r="I102" s="36">
        <f>IF($A54="","",$G54)</f>
        <v/>
      </c>
      <c r="J102" s="36">
        <f>IF($A54="","",$E54)</f>
        <v/>
      </c>
    </row>
    <row r="103">
      <c r="I103" s="36">
        <f>IF($A55="","",$F55)</f>
        <v/>
      </c>
      <c r="J103" s="36">
        <f>IF($A55="","",$E55)</f>
        <v/>
      </c>
    </row>
    <row r="104">
      <c r="I104" s="36">
        <f>IF($A55="","",$G55)</f>
        <v/>
      </c>
      <c r="J104" s="36">
        <f>IF($A55="","",$E55)</f>
        <v/>
      </c>
    </row>
    <row r="105">
      <c r="I105" s="36">
        <f>IF($A56="","",$F56)</f>
        <v/>
      </c>
      <c r="J105" s="36">
        <f>IF($A56="","",$E56)</f>
        <v/>
      </c>
    </row>
    <row r="106">
      <c r="I106" s="36">
        <f>IF($A56="","",$G56)</f>
        <v/>
      </c>
      <c r="J106" s="36">
        <f>IF($A56="","",$E56)</f>
        <v/>
      </c>
    </row>
  </sheetData>
  <mergeCells count="1">
    <mergeCell ref="A4:H4"/>
  </mergeCells>
  <dataValidations count="1">
    <dataValidation sqref="B3" showDropDown="0" showInputMessage="0" showErrorMessage="0" allowBlank="1" type="list">
      <formula1>=KPIList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2026-01-23T16:48:12Z</dcterms:created>
  <dcterms:modified xmlns:dcterms="http://purl.org/dc/terms/" xmlns:xsi="http://www.w3.org/2001/XMLSchema-instance" xsi:type="dcterms:W3CDTF">2026-01-23T16:48:14Z</dcterms:modified>
</cp:coreProperties>
</file>